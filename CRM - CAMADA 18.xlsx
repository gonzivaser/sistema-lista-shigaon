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ado" sheetId="1" r:id="rId5"/>
    <sheet state="visible" name="DIVISION 15" sheetId="2" r:id="rId6"/>
    <sheet state="visible" name="AsistenciaViewJetAdmin" sheetId="3" r:id="rId7"/>
    <sheet state="visible" name="ActividadesEspeciales" sheetId="4" r:id="rId8"/>
    <sheet state="visible" name="AsistenciaJetAdmin" sheetId="5" r:id="rId9"/>
    <sheet state="visible" name="AsistenciaJetAdminConcatenada" sheetId="6" r:id="rId10"/>
    <sheet state="visible" name="ListaNaranja" sheetId="7" r:id="rId11"/>
    <sheet state="visible" name="ListaAzul" sheetId="8" r:id="rId12"/>
  </sheets>
  <definedNames>
    <definedName hidden="1" localSheetId="0" name="_xlnm._FilterDatabase">Listado!$A$1:$V$100</definedName>
    <definedName hidden="1" localSheetId="6" name="_xlnm._FilterDatabase">ListaNaranja!$A$1:$B$50</definedName>
    <definedName hidden="1" localSheetId="7" name="_xlnm._FilterDatabase">ListaAzul!$A$1:$B$53</definedName>
  </definedNames>
  <calcPr/>
</workbook>
</file>

<file path=xl/sharedStrings.xml><?xml version="1.0" encoding="utf-8"?>
<sst xmlns="http://schemas.openxmlformats.org/spreadsheetml/2006/main" count="6133" uniqueCount="1773">
  <si>
    <t>IdJanij</t>
  </si>
  <si>
    <t>Nombre</t>
  </si>
  <si>
    <t>NumSocio</t>
  </si>
  <si>
    <t>FechaNacimiento</t>
  </si>
  <si>
    <t>DNI</t>
  </si>
  <si>
    <t>MailJanij</t>
  </si>
  <si>
    <t>TeléfonoJanij</t>
  </si>
  <si>
    <t>Adulto1</t>
  </si>
  <si>
    <t>MailAdulto1</t>
  </si>
  <si>
    <t>TelAdulto1</t>
  </si>
  <si>
    <t>Adulto2</t>
  </si>
  <si>
    <t>MailAdulto2</t>
  </si>
  <si>
    <t>TelAdulto2</t>
  </si>
  <si>
    <t>Colegio</t>
  </si>
  <si>
    <t>HermanxsJuventud</t>
  </si>
  <si>
    <t>ActividadesCISSAB</t>
  </si>
  <si>
    <t>JashiNeda</t>
  </si>
  <si>
    <t>Alimentacion</t>
  </si>
  <si>
    <t>Color</t>
  </si>
  <si>
    <t>Mejan</t>
  </si>
  <si>
    <t>Asistencia Promedio</t>
  </si>
  <si>
    <t>Victoria Mizrahi</t>
  </si>
  <si>
    <t>mizrahivictoria09@gmail.com</t>
  </si>
  <si>
    <t>Valeria Bulgach</t>
  </si>
  <si>
    <t>valebulg@gmail.com</t>
  </si>
  <si>
    <t>David mizrahi</t>
  </si>
  <si>
    <t>davidurielmizrahi@gmail.com</t>
  </si>
  <si>
    <t>ort</t>
  </si>
  <si>
    <t>hermana en bogrim mayor</t>
  </si>
  <si>
    <t>fútbol femenino</t>
  </si>
  <si>
    <t>Nedarim</t>
  </si>
  <si>
    <t>Sin restricciones</t>
  </si>
  <si>
    <t>AZUL</t>
  </si>
  <si>
    <t>Vera Kaplan</t>
  </si>
  <si>
    <t>50031430@est.ort.edu.ar</t>
  </si>
  <si>
    <t>Adrian Kaplan</t>
  </si>
  <si>
    <t>adrokaplan@yahoo.com.ar</t>
  </si>
  <si>
    <t>Juliana gil gomez</t>
  </si>
  <si>
    <t>julianagilgomez@gmail.com</t>
  </si>
  <si>
    <t>112472-0628</t>
  </si>
  <si>
    <t>Ort yatay</t>
  </si>
  <si>
    <t>Galo madrij.</t>
  </si>
  <si>
    <t>Hockey</t>
  </si>
  <si>
    <t>NARANJA</t>
  </si>
  <si>
    <t>Valentín Cohen</t>
  </si>
  <si>
    <t>22/06/2010</t>
  </si>
  <si>
    <t>chinobostero09@gmail.com</t>
  </si>
  <si>
    <t>Andrea Basile</t>
  </si>
  <si>
    <t>andrea.marina.basile@gmail.com</t>
  </si>
  <si>
    <t>Ricardo cohen</t>
  </si>
  <si>
    <t>riquicohen@gnail.com</t>
  </si>
  <si>
    <t>ORT</t>
  </si>
  <si>
    <t>Si. En modadon</t>
  </si>
  <si>
    <t>Futbol</t>
  </si>
  <si>
    <t>Tomas Garbovetsky</t>
  </si>
  <si>
    <t>0706/2010</t>
  </si>
  <si>
    <t>totogarbo10@gmail.com</t>
  </si>
  <si>
    <t>Melisa Fenig</t>
  </si>
  <si>
    <t>fenignelisa@hotmail.com</t>
  </si>
  <si>
    <t>Alan Garbovetsky</t>
  </si>
  <si>
    <t>alangarbo@gmail.com</t>
  </si>
  <si>
    <t>Ort</t>
  </si>
  <si>
    <t>Si en ananim y letamid</t>
  </si>
  <si>
    <t>Tomas Gameroff</t>
  </si>
  <si>
    <t>17/12/09</t>
  </si>
  <si>
    <t>tomigameroff@gmail.com</t>
  </si>
  <si>
    <t>Nancy Buschenbaum</t>
  </si>
  <si>
    <t>nbuschenbaum@gmail.com</t>
  </si>
  <si>
    <t>115-626-2121</t>
  </si>
  <si>
    <t>Diego Gameroff</t>
  </si>
  <si>
    <t>gameroffdiego@gmail.com</t>
  </si>
  <si>
    <t>114-992-3061</t>
  </si>
  <si>
    <t>Madrij</t>
  </si>
  <si>
    <t>Futbol Padel</t>
  </si>
  <si>
    <t>Jashibut</t>
  </si>
  <si>
    <t>Tomas Alma</t>
  </si>
  <si>
    <t>29/01/2010</t>
  </si>
  <si>
    <t>tomasmarcosalma@gmail.com</t>
  </si>
  <si>
    <t>Karen nakache</t>
  </si>
  <si>
    <t>turkita@gmail.com</t>
  </si>
  <si>
    <t>11 6280-5331</t>
  </si>
  <si>
    <t>Mariano alma</t>
  </si>
  <si>
    <t>marianoalma@hotmail.com</t>
  </si>
  <si>
    <t>+54 9 11 5762-2480</t>
  </si>
  <si>
    <t>Wolfsohn</t>
  </si>
  <si>
    <t>Mondon sofi alma</t>
  </si>
  <si>
    <t>Tenis</t>
  </si>
  <si>
    <t>Kosher</t>
  </si>
  <si>
    <t>Tobias Losicer</t>
  </si>
  <si>
    <t>tobiaslosicer@gmail.com</t>
  </si>
  <si>
    <t>Javier Losicer</t>
  </si>
  <si>
    <t>jlosicer@gmail.com</t>
  </si>
  <si>
    <t>Constanza Saul</t>
  </si>
  <si>
    <t>conisaul@gmail.com</t>
  </si>
  <si>
    <t>ORT ALMAGRO</t>
  </si>
  <si>
    <t>Bogrim Mayor</t>
  </si>
  <si>
    <t>no</t>
  </si>
  <si>
    <t>Tobias Karpeliowski</t>
  </si>
  <si>
    <t>26/10/2009</t>
  </si>
  <si>
    <t>ycreiener@ort.edu.ar</t>
  </si>
  <si>
    <t>yanina creiner</t>
  </si>
  <si>
    <t>ycreiner@ort.edu.ar</t>
  </si>
  <si>
    <t>laureano karpeliowski</t>
  </si>
  <si>
    <t>crtiter1@hotmail.com</t>
  </si>
  <si>
    <t>futbol</t>
  </si>
  <si>
    <t>Tobias Ciepelinski</t>
  </si>
  <si>
    <t>22/12/2009</t>
  </si>
  <si>
    <t>tobiciepe@gmail.com</t>
  </si>
  <si>
    <t>Gabriel Ciepelinski</t>
  </si>
  <si>
    <t>gabiciepe76@gmail.com</t>
  </si>
  <si>
    <t>Romina Maetta</t>
  </si>
  <si>
    <t>maettaromina79@gmail.com</t>
  </si>
  <si>
    <t>Bogrim mayor , leshatef</t>
  </si>
  <si>
    <t>Si, Fútbol</t>
  </si>
  <si>
    <t>Tobias Chame</t>
  </si>
  <si>
    <t>chametobias442@gmail.com</t>
  </si>
  <si>
    <t>Elena Juaya</t>
  </si>
  <si>
    <t>elenajuaya@yahoo.com.ar</t>
  </si>
  <si>
    <t>David Chame</t>
  </si>
  <si>
    <t>chamedavid@gmail.com</t>
  </si>
  <si>
    <t>No</t>
  </si>
  <si>
    <t>Tiziana Mida</t>
  </si>
  <si>
    <t>16/07/2009</t>
  </si>
  <si>
    <t>tizimida@gmail.com</t>
  </si>
  <si>
    <t>Cynthia Gisuk</t>
  </si>
  <si>
    <t>c.gisuk@yahoo.com.ar</t>
  </si>
  <si>
    <t>David Mida</t>
  </si>
  <si>
    <t>davidm74@live.com.ar</t>
  </si>
  <si>
    <t>Ort Almagro</t>
  </si>
  <si>
    <t>No asiste a los grupos actualmente</t>
  </si>
  <si>
    <t>Thiago Wagner</t>
  </si>
  <si>
    <t>thiagowagner9@gmail.com</t>
  </si>
  <si>
    <t>Ileana cohen</t>
  </si>
  <si>
    <t>ilecohen@gmail.com</t>
  </si>
  <si>
    <t>Hernán Wagner</t>
  </si>
  <si>
    <t>hernanmwagner@gmail.com</t>
  </si>
  <si>
    <t>Fútbol</t>
  </si>
  <si>
    <t>Tatiana Schijman</t>
  </si>
  <si>
    <t>tatianaschijman@gmail.com</t>
  </si>
  <si>
    <t>Marcelo Schijman</t>
  </si>
  <si>
    <t>marcelo.schijman@gmail.com</t>
  </si>
  <si>
    <t>11-4415-2624</t>
  </si>
  <si>
    <t>Verónica Waiman</t>
  </si>
  <si>
    <t>veronicawaiman@hotmail.com</t>
  </si>
  <si>
    <t>11-5666-9080</t>
  </si>
  <si>
    <t>Buber</t>
  </si>
  <si>
    <t>Tatiana Baratz</t>
  </si>
  <si>
    <t>tatianabaratz7@gmail.com</t>
  </si>
  <si>
    <t>Vanesa Vuguin</t>
  </si>
  <si>
    <t>vuguinvanesa@yahoo.com</t>
  </si>
  <si>
    <t>Daniel Baratz</t>
  </si>
  <si>
    <t>danielbaratz@hotmail.com</t>
  </si>
  <si>
    <t>Si Shorashim ( Maga Baratz)</t>
  </si>
  <si>
    <t>Nahace empezo y antes hockey</t>
  </si>
  <si>
    <t>Tali Avram</t>
  </si>
  <si>
    <t>31/03/2010</t>
  </si>
  <si>
    <t>tali@avram.com.ar</t>
  </si>
  <si>
    <t>Gabriel Avram</t>
  </si>
  <si>
    <t>gaby@avram.com.ar</t>
  </si>
  <si>
    <t>Debora Dessel</t>
  </si>
  <si>
    <t>Debora@dessel.com.ar</t>
  </si>
  <si>
    <t>Bogrim mayor</t>
  </si>
  <si>
    <t>Sol Wolff</t>
  </si>
  <si>
    <t>28/06/2010</t>
  </si>
  <si>
    <t>solwolff10@gmail.com</t>
  </si>
  <si>
    <t>Tamara Kadis</t>
  </si>
  <si>
    <t>tamarakadis@hotmail.com</t>
  </si>
  <si>
    <t>Dario Wolff</t>
  </si>
  <si>
    <t>dariowolff@yahoo.com.ar</t>
  </si>
  <si>
    <t>Martín Buber</t>
  </si>
  <si>
    <t>Sol Teplisky</t>
  </si>
  <si>
    <t>30/05/2010</t>
  </si>
  <si>
    <t>solteplis@buber.edu.ar</t>
  </si>
  <si>
    <t>Andrea Savransky</t>
  </si>
  <si>
    <t>andreagsavransky@gmail.com</t>
  </si>
  <si>
    <t>Darío Teplisky</t>
  </si>
  <si>
    <t>dteplisky@gmail.com</t>
  </si>
  <si>
    <t>Si bogrim mayor</t>
  </si>
  <si>
    <t>Vegetariana</t>
  </si>
  <si>
    <t>Sofía Roffé</t>
  </si>
  <si>
    <t>25/05/10</t>
  </si>
  <si>
    <t>sofiaroffe1@gmail.com</t>
  </si>
  <si>
    <t>Adriana Jurberg</t>
  </si>
  <si>
    <t>ajurberg@hotmail.com</t>
  </si>
  <si>
    <t>Damián Roffé</t>
  </si>
  <si>
    <t>roffedamian@hotmail.com</t>
  </si>
  <si>
    <t>Sofia Kartofel</t>
  </si>
  <si>
    <t>24/10/2009</t>
  </si>
  <si>
    <t>kartofelsofia@gmail.com</t>
  </si>
  <si>
    <t>Alejandra Kaminovich</t>
  </si>
  <si>
    <t>alejandrakaminovich@gmail.com</t>
  </si>
  <si>
    <t>Dario Kartofel</t>
  </si>
  <si>
    <t>dariokartofel@outlook.es</t>
  </si>
  <si>
    <t>NO</t>
  </si>
  <si>
    <t>Simón Joab</t>
  </si>
  <si>
    <t>30/3/2010</t>
  </si>
  <si>
    <t>joabsimonuriel@gmail.com</t>
  </si>
  <si>
    <t>Emiliano Joab</t>
  </si>
  <si>
    <t>emilianojoab@hotmail.com</t>
  </si>
  <si>
    <t>Débora Najnudel</t>
  </si>
  <si>
    <t>deboranajnudel@gmail.com</t>
  </si>
  <si>
    <t>Ort sede Almagro</t>
  </si>
  <si>
    <t>Si, Bogrim mayor</t>
  </si>
  <si>
    <t>Si, fútbol</t>
  </si>
  <si>
    <t>Santino Toimaher</t>
  </si>
  <si>
    <t>stoimaher@gmail.com</t>
  </si>
  <si>
    <t>Romina Frydman</t>
  </si>
  <si>
    <t>rominumeral@hotmail.com</t>
  </si>
  <si>
    <t>Ariel Toimaher</t>
  </si>
  <si>
    <t>aritoima@hotmail.com</t>
  </si>
  <si>
    <t>Hermano en Moadon</t>
  </si>
  <si>
    <t>Santiago Biman</t>
  </si>
  <si>
    <t>15/03/2010</t>
  </si>
  <si>
    <t>santiagobiman@gmail.com</t>
  </si>
  <si>
    <t>Laura Bocles</t>
  </si>
  <si>
    <t>laubocles@hotmail.com</t>
  </si>
  <si>
    <t>11-6694-0173</t>
  </si>
  <si>
    <t>Mariano Biman</t>
  </si>
  <si>
    <t>marianobiman@gmail.com</t>
  </si>
  <si>
    <t>113795-6945</t>
  </si>
  <si>
    <t>Ort Yatay</t>
  </si>
  <si>
    <t>Moadon (2025)</t>
  </si>
  <si>
    <t>Roy Alhadeff</t>
  </si>
  <si>
    <t>24/08/08</t>
  </si>
  <si>
    <t>alhadeffroy24@gmail.com</t>
  </si>
  <si>
    <t>Adriana Fainstein</t>
  </si>
  <si>
    <t>Fainsteinadriana@gmail.com</t>
  </si>
  <si>
    <t>54 9 11 5581 5581</t>
  </si>
  <si>
    <t>Rodrigo Alhadeff</t>
  </si>
  <si>
    <t>Bandini@gmail.com</t>
  </si>
  <si>
    <t>54 9 11 3452-1662</t>
  </si>
  <si>
    <t>Ort monta</t>
  </si>
  <si>
    <t>Rocco Erlich</t>
  </si>
  <si>
    <t>rocco.erlich@gmail.com</t>
  </si>
  <si>
    <t>Tamara Kaplan</t>
  </si>
  <si>
    <t>tamytamy@yahoo.com</t>
  </si>
  <si>
    <t>Luciano Erlich</t>
  </si>
  <si>
    <t>Luciano@huntertravel.com.ar</t>
  </si>
  <si>
    <t>Ort montañeses</t>
  </si>
  <si>
    <t>Padel</t>
  </si>
  <si>
    <t>Ramiro Kosower</t>
  </si>
  <si>
    <t>27-05-10</t>
  </si>
  <si>
    <t>lallur76@gmail.com</t>
  </si>
  <si>
    <t>LAURA ALVAREZ</t>
  </si>
  <si>
    <t>DIEGO MARTIN KOSOWER</t>
  </si>
  <si>
    <t>DIEGOKOSOWER@YAHOO.COM.AR</t>
  </si>
  <si>
    <t>ORT YATAY</t>
  </si>
  <si>
    <t>FUTBOL</t>
  </si>
  <si>
    <t>Piera Elman</t>
  </si>
  <si>
    <t>21/02/2010</t>
  </si>
  <si>
    <t>pieraelman@gmail.com</t>
  </si>
  <si>
    <t>Paula Woloski</t>
  </si>
  <si>
    <t>paulawoloski@yahoo.com.ar</t>
  </si>
  <si>
    <t>Nicolás Elman</t>
  </si>
  <si>
    <t>nicoelman@gmail.com</t>
  </si>
  <si>
    <t>Si. Bruno Elman en Jalutzim</t>
  </si>
  <si>
    <t>Otro</t>
  </si>
  <si>
    <t>Paula Kuligowski</t>
  </si>
  <si>
    <t>21/05/2010</t>
  </si>
  <si>
    <t>kulipauchi@gmail.com</t>
  </si>
  <si>
    <t>Giselle Raznoszczyk</t>
  </si>
  <si>
    <t>girazno@gmail.com</t>
  </si>
  <si>
    <t>Damián Kuligowski</t>
  </si>
  <si>
    <t>damikuli@gmail.com</t>
  </si>
  <si>
    <t>Martín buber</t>
  </si>
  <si>
    <t>Ya es madrij</t>
  </si>
  <si>
    <t>Noah Szejer</t>
  </si>
  <si>
    <t>16/03/2010</t>
  </si>
  <si>
    <t>nszejer@gmail.com</t>
  </si>
  <si>
    <t>Pedro szejer</t>
  </si>
  <si>
    <t>pszejer@gmail.com</t>
  </si>
  <si>
    <t>Marilí Eugenia Garcia</t>
  </si>
  <si>
    <t>mariggi@gmail.com</t>
  </si>
  <si>
    <t>Martin Buber</t>
  </si>
  <si>
    <t>Nicolás Topor</t>
  </si>
  <si>
    <t>niquetetopor@gmail.com</t>
  </si>
  <si>
    <t>Gabriel Topor</t>
  </si>
  <si>
    <t>ghtopor@gmail.com</t>
  </si>
  <si>
    <t>Valeria Frigioni</t>
  </si>
  <si>
    <t>valfrigioni@hotmail.com</t>
  </si>
  <si>
    <t>El taller</t>
  </si>
  <si>
    <t>Nicolás Faintich</t>
  </si>
  <si>
    <t>16/12</t>
  </si>
  <si>
    <t>nicofaintich09@gmail.com</t>
  </si>
  <si>
    <t>Maria Laura Elorza</t>
  </si>
  <si>
    <t>lauelorza@gmail.com</t>
  </si>
  <si>
    <t>Fabián Faintich Bril</t>
  </si>
  <si>
    <t>fabianfaintich@gmail.com</t>
  </si>
  <si>
    <t>Milena Aizenberg</t>
  </si>
  <si>
    <t>25/09/09</t>
  </si>
  <si>
    <t>milenaaize@gmail.com</t>
  </si>
  <si>
    <t>Mariano aizenberg</t>
  </si>
  <si>
    <t>maizen75@gmail.com</t>
  </si>
  <si>
    <t>Tamara Landesman</t>
  </si>
  <si>
    <t>tamara_landesman@gmail.com</t>
  </si>
  <si>
    <t>Si en moadon</t>
  </si>
  <si>
    <t>Mijal Rybnik</t>
  </si>
  <si>
    <t>24/07/2009</t>
  </si>
  <si>
    <t>mijirybnik@gmail.com</t>
  </si>
  <si>
    <t>Veronica Rosin</t>
  </si>
  <si>
    <t>Veronica.a.rosin@gmail.com</t>
  </si>
  <si>
    <t>Misael Rybnik</t>
  </si>
  <si>
    <t>mrybnik@gmail.com</t>
  </si>
  <si>
    <t>Si. Moadon</t>
  </si>
  <si>
    <t>Handball</t>
  </si>
  <si>
    <t>Mia Roizenberg</t>
  </si>
  <si>
    <t>miaroi0505@gmail.com</t>
  </si>
  <si>
    <t>Denise Saidman</t>
  </si>
  <si>
    <t>Ventas@jactans.com</t>
  </si>
  <si>
    <t>Diego Roizenberg</t>
  </si>
  <si>
    <t>diegoroi0513@gmail.com</t>
  </si>
  <si>
    <t>Si, Bogrim Mayor.</t>
  </si>
  <si>
    <t>Mía Kritzer</t>
  </si>
  <si>
    <t>20/05/2010</t>
  </si>
  <si>
    <t>kritzermia2@gmail.com</t>
  </si>
  <si>
    <t>Paola Blanco</t>
  </si>
  <si>
    <t>paolean@hotmail.com</t>
  </si>
  <si>
    <t>Leandro Kritzer</t>
  </si>
  <si>
    <t>Madrija en bogrim menor y coordinadora en shorashim</t>
  </si>
  <si>
    <t>Melina Gossis</t>
  </si>
  <si>
    <t>16/12/2009</t>
  </si>
  <si>
    <t>melinagossis@gmail.com</t>
  </si>
  <si>
    <t>Magali abibo</t>
  </si>
  <si>
    <t>MAGALIABIBO@GMAIL.COM</t>
  </si>
  <si>
    <t>Si   Teshuka. Bogrim mayor pasa a Moadon</t>
  </si>
  <si>
    <t>Meital Stolarza</t>
  </si>
  <si>
    <t>14/10/09</t>
  </si>
  <si>
    <t>memustola@gmail.com</t>
  </si>
  <si>
    <t>Carolina Freidkes</t>
  </si>
  <si>
    <t>caf1982@gmail.com</t>
  </si>
  <si>
    <t>Jonathan Stolarza</t>
  </si>
  <si>
    <t>jonstolarza@gmail.com</t>
  </si>
  <si>
    <t>ORT Yatay</t>
  </si>
  <si>
    <t>serán nuevos socios en 2025</t>
  </si>
  <si>
    <t>Hockey 6ta</t>
  </si>
  <si>
    <t>Máxima Epelbaum</t>
  </si>
  <si>
    <t>maxirubia11@gmail.com</t>
  </si>
  <si>
    <t>Jacqueline Humoller</t>
  </si>
  <si>
    <t>viverorosse@gmail.com</t>
  </si>
  <si>
    <t>Alberto Epelbaum</t>
  </si>
  <si>
    <t>alberto.epelbaum@gmail.com</t>
  </si>
  <si>
    <t>Nueva Gente</t>
  </si>
  <si>
    <t>Si, Moadon</t>
  </si>
  <si>
    <t>Si golf</t>
  </si>
  <si>
    <t>Matias Trufelman</t>
  </si>
  <si>
    <t>20/04/2010</t>
  </si>
  <si>
    <t>2023trufelmanm@scholem.edu.ar</t>
  </si>
  <si>
    <t>Mariela hilu</t>
  </si>
  <si>
    <t>mariehilu@hotmail.com</t>
  </si>
  <si>
    <t>Pablo Trufelman</t>
  </si>
  <si>
    <t>autosdago@hotmail.com</t>
  </si>
  <si>
    <t>Scholem Aleijem</t>
  </si>
  <si>
    <t>Moadon</t>
  </si>
  <si>
    <t>Matias Sabbagh</t>
  </si>
  <si>
    <t>21/11/2009</t>
  </si>
  <si>
    <t>Matiassabbagh@gmail.com</t>
  </si>
  <si>
    <t>Valeria Dehter</t>
  </si>
  <si>
    <t>valedehter@hotmail.com</t>
  </si>
  <si>
    <t>Pablo Sabbagh</t>
  </si>
  <si>
    <t>Pablosabbagh@hotmail.com</t>
  </si>
  <si>
    <t>Matías Moguelevsky</t>
  </si>
  <si>
    <t>17/03/2010</t>
  </si>
  <si>
    <t>matimogue@gmail.com</t>
  </si>
  <si>
    <t>Sebastian Moguelevsky</t>
  </si>
  <si>
    <t>mogueseba@hotmail.com</t>
  </si>
  <si>
    <t>Romina Gerlic</t>
  </si>
  <si>
    <t>gerlicromina@hotmail.com</t>
  </si>
  <si>
    <t>Mellizo</t>
  </si>
  <si>
    <t>Matias Lati</t>
  </si>
  <si>
    <t>matiaslati9@gmail.com</t>
  </si>
  <si>
    <t>Roxana Umansky</t>
  </si>
  <si>
    <t>roxiuu@yahoo.com.ar</t>
  </si>
  <si>
    <t>±5491168821323</t>
  </si>
  <si>
    <t>Jorge Lati</t>
  </si>
  <si>
    <t>Jorgelati@yahoo.com.ar</t>
  </si>
  <si>
    <t>Si. 1 en Megalim</t>
  </si>
  <si>
    <t>Matías Jukielis</t>
  </si>
  <si>
    <t>24/05/2010</t>
  </si>
  <si>
    <t>matijukielis@gmail.com</t>
  </si>
  <si>
    <t>Romina szafirsztein</t>
  </si>
  <si>
    <t>r.szafirsztein@gmail.com</t>
  </si>
  <si>
    <t>Jorge jukielis rozental</t>
  </si>
  <si>
    <t>rozenjuk@hotmail.com</t>
  </si>
  <si>
    <t>Matías Aizenberg</t>
  </si>
  <si>
    <t>25/9/9</t>
  </si>
  <si>
    <t>matiasaize@gmail.com</t>
  </si>
  <si>
    <t>Mariano Aizenberg</t>
  </si>
  <si>
    <t>maizen75@hotmail.com</t>
  </si>
  <si>
    <t>Tamara landesman</t>
  </si>
  <si>
    <t>tamara_landesman@hotmail.com</t>
  </si>
  <si>
    <t>Martina Drucaroff</t>
  </si>
  <si>
    <t>17/06/2010</t>
  </si>
  <si>
    <t>mardruca@gmail.com</t>
  </si>
  <si>
    <t>Carolina Duek</t>
  </si>
  <si>
    <t>caroduek@gmail.com</t>
  </si>
  <si>
    <t>Dario Drucaroff</t>
  </si>
  <si>
    <t>ddruca@gmail.com</t>
  </si>
  <si>
    <t>ORT Almagro</t>
  </si>
  <si>
    <t>Hermano en letamid</t>
  </si>
  <si>
    <t>Tal vez empiece fútbol femenino</t>
  </si>
  <si>
    <t>Martin Poniachik</t>
  </si>
  <si>
    <t>martin.poniachik@gmail.com</t>
  </si>
  <si>
    <t>Juan Poniachik</t>
  </si>
  <si>
    <t>ssysgod@gmail.com</t>
  </si>
  <si>
    <t>11-5481-0682</t>
  </si>
  <si>
    <t>Cintia Dorfman</t>
  </si>
  <si>
    <t>cintidorf@gmail.com</t>
  </si>
  <si>
    <t>11-6973-5514</t>
  </si>
  <si>
    <t>-</t>
  </si>
  <si>
    <t>Martín Berenstein</t>
  </si>
  <si>
    <t>25/2/2010</t>
  </si>
  <si>
    <t>tinchoberenstein25@gmail.com</t>
  </si>
  <si>
    <t>Mereces amicone</t>
  </si>
  <si>
    <t>mercedesamicone@gmail.com</t>
  </si>
  <si>
    <t>Mauro Berenstein</t>
  </si>
  <si>
    <t>mberenstein@hotmail.com.ar</t>
  </si>
  <si>
    <t>Si</t>
  </si>
  <si>
    <t>Manuel Karszenbaum</t>
  </si>
  <si>
    <t>28/10/2009</t>
  </si>
  <si>
    <t>manuelkarszen@gmail.com</t>
  </si>
  <si>
    <t>Gisela Junovich</t>
  </si>
  <si>
    <t>giselajunovich@gmail.com</t>
  </si>
  <si>
    <t>Gaston karszenbaum</t>
  </si>
  <si>
    <t>Kargas@hotmail.com</t>
  </si>
  <si>
    <t>Pasa a moadon</t>
  </si>
  <si>
    <t>Futbol padle</t>
  </si>
  <si>
    <t>Manuel Hojman</t>
  </si>
  <si>
    <t>29/3/10</t>
  </si>
  <si>
    <t>hojmanmanuel@gmail.com</t>
  </si>
  <si>
    <t>Nadia scolnic</t>
  </si>
  <si>
    <t>scolnicnadia@gmail.com</t>
  </si>
  <si>
    <t>Ariel hojman</t>
  </si>
  <si>
    <t>arielhojman@hotmail.com</t>
  </si>
  <si>
    <t>Si, moadon y bogrim menor (teshuka, guiborim)</t>
  </si>
  <si>
    <t>Si, futbol</t>
  </si>
  <si>
    <t>Maia Schuster</t>
  </si>
  <si>
    <t>maiamijalschuster@gmail.com</t>
  </si>
  <si>
    <t>Brenda Sznajderhaua</t>
  </si>
  <si>
    <t>brendahaus@hotmail.com</t>
  </si>
  <si>
    <t>Gabriel Schuster</t>
  </si>
  <si>
    <t>gabrielalejandroschuster@gmail.com</t>
  </si>
  <si>
    <t>Si. En Mekorim. Bogrim mayor</t>
  </si>
  <si>
    <t>Magalí Waldfogiel</t>
  </si>
  <si>
    <t>mag2009wa@gmail.com</t>
  </si>
  <si>
    <t>Daniela Wallach</t>
  </si>
  <si>
    <t>danielawallach@yahoo.com.ar</t>
  </si>
  <si>
    <t>Gustavo Waldfogiel</t>
  </si>
  <si>
    <t>gwaldfogiel@gmail.com</t>
  </si>
  <si>
    <t>Luna rausch</t>
  </si>
  <si>
    <t>30-10-2009</t>
  </si>
  <si>
    <t>lunarausch@gmail.com</t>
  </si>
  <si>
    <t>Daniela vedronik</t>
  </si>
  <si>
    <t>daniluana@gmail.com</t>
  </si>
  <si>
    <t>Fernando rausch</t>
  </si>
  <si>
    <t>frausch@gmail.com</t>
  </si>
  <si>
    <t>Hermana MOADON y hermano y virgin mayor</t>
  </si>
  <si>
    <t>Lucia Levita Slafer</t>
  </si>
  <si>
    <t>20/10/2009</t>
  </si>
  <si>
    <t>lucials@buber.edu.ar</t>
  </si>
  <si>
    <t>Paula Slafer</t>
  </si>
  <si>
    <t>pslafer@hotmail.com</t>
  </si>
  <si>
    <t>Gabriel Darío Levita</t>
  </si>
  <si>
    <t>glevita@libero.it</t>
  </si>
  <si>
    <t>Lucas Faifman</t>
  </si>
  <si>
    <t>17/11/2009</t>
  </si>
  <si>
    <t>Lfaifmanbuber.ar.com1@gmail.com</t>
  </si>
  <si>
    <t>Felicitas Kaczka</t>
  </si>
  <si>
    <t>felika30@hotmail.com</t>
  </si>
  <si>
    <t>Pablo Faifman</t>
  </si>
  <si>
    <t>Pablofaifman@yahoo.com.ar</t>
  </si>
  <si>
    <t>Martin Bubber</t>
  </si>
  <si>
    <t>Luca Melman</t>
  </si>
  <si>
    <t>lucamelman2@gmail.com</t>
  </si>
  <si>
    <t>Cintia Stochyk</t>
  </si>
  <si>
    <t>cintiastochyk@hotmail.com</t>
  </si>
  <si>
    <t>Jonathan melman</t>
  </si>
  <si>
    <t>jonimel@hotmail.com</t>
  </si>
  <si>
    <t>Ort almagro</t>
  </si>
  <si>
    <t>Dos en bogrim mayor</t>
  </si>
  <si>
    <t>Fútbol y pádel</t>
  </si>
  <si>
    <t>Lola Ini</t>
  </si>
  <si>
    <t>inilola3@gmail.com</t>
  </si>
  <si>
    <t>Laura Cikurel</t>
  </si>
  <si>
    <t>lauracikurel@gmail.com</t>
  </si>
  <si>
    <t>11 57204093</t>
  </si>
  <si>
    <t>Iván ini</t>
  </si>
  <si>
    <t>iniivan@gmail.com</t>
  </si>
  <si>
    <t>Si. En bogrim mayor y menor</t>
  </si>
  <si>
    <t>Lola Hecht</t>
  </si>
  <si>
    <t>lolahecht1@gmail.com</t>
  </si>
  <si>
    <t>Sheila Kerner</t>
  </si>
  <si>
    <t>sheikerner@yahoo.com.ar</t>
  </si>
  <si>
    <t>Alejandro Hecht</t>
  </si>
  <si>
    <t>hechtalejandro@gmail.com</t>
  </si>
  <si>
    <t>ORT sede montañeses</t>
  </si>
  <si>
    <t>Si, 2 hermanas en bogrim menor y 1 hermano en bogrim mayor (2025)</t>
  </si>
  <si>
    <t>Lautaro Yaffe</t>
  </si>
  <si>
    <t>27/02/2010</t>
  </si>
  <si>
    <t>lautaroyaffe@gmail.com</t>
  </si>
  <si>
    <t>Diego Yaffe</t>
  </si>
  <si>
    <t>diegoyaffe@gmail.com</t>
  </si>
  <si>
    <t>Julieta Gordon</t>
  </si>
  <si>
    <t>julygor@hotmail.com</t>
  </si>
  <si>
    <t>Lari Belski</t>
  </si>
  <si>
    <t>larabelski2010@gmail.com</t>
  </si>
  <si>
    <t>Denise Winograd</t>
  </si>
  <si>
    <t>dgwinograd@gmail.com</t>
  </si>
  <si>
    <t>Ezequiel Belski</t>
  </si>
  <si>
    <t>sequi07@gmail.com</t>
  </si>
  <si>
    <t>FACUNDO Belski</t>
  </si>
  <si>
    <t>Kyara Micaela Trufelman</t>
  </si>
  <si>
    <t>kyaratruf@gmail.com</t>
  </si>
  <si>
    <t>Alejandro Marcelo Trufelman</t>
  </si>
  <si>
    <t>atrufelman0521@gmail.com</t>
  </si>
  <si>
    <t>Karina Andrea Katz</t>
  </si>
  <si>
    <t>karikatz@gmail.com</t>
  </si>
  <si>
    <t>Kiara Levin</t>
  </si>
  <si>
    <t>kiara.levin@icloud.com</t>
  </si>
  <si>
    <t>Romina wallach</t>
  </si>
  <si>
    <t>rominawallach@gmail.com</t>
  </si>
  <si>
    <t>Manuel Levin</t>
  </si>
  <si>
    <t>manuel.levin@gmail.com</t>
  </si>
  <si>
    <t>Tarbut</t>
  </si>
  <si>
    <t>Keyla Halac</t>
  </si>
  <si>
    <t>27/04/2010</t>
  </si>
  <si>
    <t>keyhalac@gmail.com</t>
  </si>
  <si>
    <t>Mara Museri</t>
  </si>
  <si>
    <t>maramuseri@hotmail.com</t>
  </si>
  <si>
    <t>Sebastián Halac</t>
  </si>
  <si>
    <t>sebastian_halac@yahoo.com.ar</t>
  </si>
  <si>
    <t>Pasa a Moadon</t>
  </si>
  <si>
    <t>Julieta Romano</t>
  </si>
  <si>
    <t>05:09/2009</t>
  </si>
  <si>
    <t>juromano2009@gmail.com</t>
  </si>
  <si>
    <t>Valeria Piliavsky</t>
  </si>
  <si>
    <t>vpiliavsky@hotmail.com</t>
  </si>
  <si>
    <t>Pablo Romano</t>
  </si>
  <si>
    <t>pablo@massinergia.com.ar</t>
  </si>
  <si>
    <t>Si, este año pasa a Bogrim menor</t>
  </si>
  <si>
    <t>Julieta Kowenski</t>
  </si>
  <si>
    <t>juchikowen@gmail.com</t>
  </si>
  <si>
    <t>Vanina Beja</t>
  </si>
  <si>
    <t>vaninabeja@hotmail.com</t>
  </si>
  <si>
    <t>Jonatan Kowenski</t>
  </si>
  <si>
    <t>jonatank@fibertel.com.ar</t>
  </si>
  <si>
    <t>Julieta Goldvaser</t>
  </si>
  <si>
    <t>19/02/2010</t>
  </si>
  <si>
    <t>julietagoldvaser@gmail.com</t>
  </si>
  <si>
    <t>Ariana Brener</t>
  </si>
  <si>
    <t>arianalbrener@gmail.com</t>
  </si>
  <si>
    <t>Nicolas Goldvaser</t>
  </si>
  <si>
    <t>ngoldva@gmail.com</t>
  </si>
  <si>
    <t>Julieta Glotzer</t>
  </si>
  <si>
    <t>24/06/2010</t>
  </si>
  <si>
    <t>julietaglot2010@gmail.com</t>
  </si>
  <si>
    <t>Renata Rosemberg</t>
  </si>
  <si>
    <t>renatarosemberg@yahoo.com</t>
  </si>
  <si>
    <t>Adrián Glotzer</t>
  </si>
  <si>
    <t>adrianglotzer@yahoo.com.ar</t>
  </si>
  <si>
    <t>Si, terminó Edma.</t>
  </si>
  <si>
    <t>No actualmente</t>
  </si>
  <si>
    <t>Julieta Fischman</t>
  </si>
  <si>
    <t>22/12/09</t>
  </si>
  <si>
    <t>julifischmannn@gmail.com</t>
  </si>
  <si>
    <t>Mariana Schuster</t>
  </si>
  <si>
    <t>marianaschuster71@gmail.com</t>
  </si>
  <si>
    <t>Edgardo Fischman</t>
  </si>
  <si>
    <t>efischman@gmail.com</t>
  </si>
  <si>
    <t>Ort Montañeses</t>
  </si>
  <si>
    <t>Julian Blumberg</t>
  </si>
  <si>
    <t>02 agosto 2009</t>
  </si>
  <si>
    <t>juliannblumberg@gmail.com</t>
  </si>
  <si>
    <t>magali castellan</t>
  </si>
  <si>
    <t>magacaste@gmail.com</t>
  </si>
  <si>
    <t>miguel blumberg</t>
  </si>
  <si>
    <t>miguelblumberg01@gmail.com</t>
  </si>
  <si>
    <t>Juli Menace</t>
  </si>
  <si>
    <t>18/8/09</t>
  </si>
  <si>
    <t>julimenace@gmail.com</t>
  </si>
  <si>
    <t>Romina</t>
  </si>
  <si>
    <t>rkoplowicz@gmail.com</t>
  </si>
  <si>
    <t>Ariel</t>
  </si>
  <si>
    <t>arielmenace@gmail.com</t>
  </si>
  <si>
    <t>Scholem</t>
  </si>
  <si>
    <t>Juana Mariñansky</t>
  </si>
  <si>
    <t>28/4/2010</t>
  </si>
  <si>
    <t>juanamarinansky1@gmail.com</t>
  </si>
  <si>
    <t>Jonatan Mariñansky</t>
  </si>
  <si>
    <t>jonyma@hotmail.com</t>
  </si>
  <si>
    <t>Mariela ferreira</t>
  </si>
  <si>
    <t>ferreiramariela@hotmail.com</t>
  </si>
  <si>
    <t>Mayor</t>
  </si>
  <si>
    <t>Celíaca</t>
  </si>
  <si>
    <t>Joaquin levy</t>
  </si>
  <si>
    <t>15/10/2009</t>
  </si>
  <si>
    <t>joacolevy1@gmail.com</t>
  </si>
  <si>
    <t>Daniel levy</t>
  </si>
  <si>
    <t>abaitregalos@hotmail.com</t>
  </si>
  <si>
    <t>Romina Rosenberg</t>
  </si>
  <si>
    <t>camushlulo@hotmail.com</t>
  </si>
  <si>
    <t>Joaquín Iglesias Baum</t>
  </si>
  <si>
    <t>joaquin.iglesias.baum2010@gmail.com</t>
  </si>
  <si>
    <t>Fabián Iglesias</t>
  </si>
  <si>
    <t>fabian.iglesias72@gmail.com</t>
  </si>
  <si>
    <t>Natali Baum</t>
  </si>
  <si>
    <t>natibaum@hotmail.com</t>
  </si>
  <si>
    <t>Iara Schestenger</t>
  </si>
  <si>
    <t>iaritaschesten@gmail.com</t>
  </si>
  <si>
    <t>Leonardo Schestenger</t>
  </si>
  <si>
    <t>schesten@hotmail.com</t>
  </si>
  <si>
    <t>Eva Gisela Siquiroff</t>
  </si>
  <si>
    <t>gsiqui@hotmail.com</t>
  </si>
  <si>
    <t>San Jorge Quilmes</t>
  </si>
  <si>
    <t>Sí, Moadon</t>
  </si>
  <si>
    <t>Sí, handball</t>
  </si>
  <si>
    <t>Iara Cohen Lozie</t>
  </si>
  <si>
    <t>icohenlozie@gmail.com</t>
  </si>
  <si>
    <t>Cynthia Zyngier</t>
  </si>
  <si>
    <t>cynthiazyngier@gmail.com</t>
  </si>
  <si>
    <t>Jonathan Cohen Lozie</t>
  </si>
  <si>
    <t>jcohenlozie@gmail.com</t>
  </si>
  <si>
    <t>ort Yatay</t>
  </si>
  <si>
    <t>Nicolas Cohen Lozie</t>
  </si>
  <si>
    <t>Gian suli</t>
  </si>
  <si>
    <t>giansuli8@gmail.com</t>
  </si>
  <si>
    <t>Sebastian suli</t>
  </si>
  <si>
    <t>sebasuli@gmail.com</t>
  </si>
  <si>
    <t>Yanina brasilovsky</t>
  </si>
  <si>
    <t>yanibrasi@hotmail.com</t>
  </si>
  <si>
    <t>Ort Belgrano</t>
  </si>
  <si>
    <t>Gael Gotfryd</t>
  </si>
  <si>
    <t>50416825@est.ort.edu.ar</t>
  </si>
  <si>
    <t>Sergio Gotfryd</t>
  </si>
  <si>
    <t>sagotfryd@gmail.com</t>
  </si>
  <si>
    <t>Claudia Romano</t>
  </si>
  <si>
    <t>crpericial@hotmail.com</t>
  </si>
  <si>
    <t>Futbol/ Paddle</t>
  </si>
  <si>
    <t>Gael Goses</t>
  </si>
  <si>
    <t>gaelgoses01@gmail.com</t>
  </si>
  <si>
    <t>Carolina</t>
  </si>
  <si>
    <t>caronemiro@hotmail.com</t>
  </si>
  <si>
    <t>Diego Goses</t>
  </si>
  <si>
    <t>deg973@htotmail.com</t>
  </si>
  <si>
    <t>Franco Minian</t>
  </si>
  <si>
    <t>18/01/2010</t>
  </si>
  <si>
    <t>Francominian36@gmail.com</t>
  </si>
  <si>
    <t>Damián minian</t>
  </si>
  <si>
    <t>ldminian@hotmail.com</t>
  </si>
  <si>
    <t>Annemie troxler</t>
  </si>
  <si>
    <t>annemietroxlerc@gmail.com</t>
  </si>
  <si>
    <t>En Teshuka y en Jazakim</t>
  </si>
  <si>
    <t>Paddle , tenis</t>
  </si>
  <si>
    <t>Florencia Panczuch</t>
  </si>
  <si>
    <t>18/05/2010</t>
  </si>
  <si>
    <t>florpanczuch@gmail.com</t>
  </si>
  <si>
    <t>Giselle Duek</t>
  </si>
  <si>
    <t>giseduek@yahoo.com.ar</t>
  </si>
  <si>
    <t>Nicolas Panczuch</t>
  </si>
  <si>
    <t>nicolaspanczuch@gmail.com</t>
  </si>
  <si>
    <t>Flor Naiman</t>
  </si>
  <si>
    <t>22/02/2010</t>
  </si>
  <si>
    <t>naimanflor@gmail.com</t>
  </si>
  <si>
    <t>Martin Naiman</t>
  </si>
  <si>
    <t>martininaiman@gmail.com</t>
  </si>
  <si>
    <t>Romina Fudim</t>
  </si>
  <si>
    <t>romifudim22@hotmail.com</t>
  </si>
  <si>
    <t>Si, Moadon (Teshuka)</t>
  </si>
  <si>
    <t>Si, Hockey</t>
  </si>
  <si>
    <t>Felipe Groshaus</t>
  </si>
  <si>
    <t>21/10/2009</t>
  </si>
  <si>
    <t>felipegroshaus@gmail.com</t>
  </si>
  <si>
    <t>Romina Churba</t>
  </si>
  <si>
    <t>romichurba@gmail.com</t>
  </si>
  <si>
    <t>Rafael Groshaus</t>
  </si>
  <si>
    <t>rafaelgroshaus@gmail.com</t>
  </si>
  <si>
    <t>Shorashim y Bogrim mayor</t>
  </si>
  <si>
    <t>Federico Jalife</t>
  </si>
  <si>
    <t>fedejali@buber.edu.ar</t>
  </si>
  <si>
    <t>Mariana Nahon</t>
  </si>
  <si>
    <t>mariananahon77@gmail.com</t>
  </si>
  <si>
    <t>Adrián Jalife</t>
  </si>
  <si>
    <t>aajalife@hotmail.com</t>
  </si>
  <si>
    <t>El hermano es Madrij</t>
  </si>
  <si>
    <t>Federico Borodovsky</t>
  </si>
  <si>
    <t>15/02/2010</t>
  </si>
  <si>
    <t>fedeboro2010@gmail.com</t>
  </si>
  <si>
    <t>Yanina mantero</t>
  </si>
  <si>
    <t>yanimantero@yahoo.com</t>
  </si>
  <si>
    <t>Gabriel Borodovsky</t>
  </si>
  <si>
    <t>gabyborodo@gmail.com</t>
  </si>
  <si>
    <t>Ezequiel Moguelevsky</t>
  </si>
  <si>
    <t>ezemogue@gmail.com</t>
  </si>
  <si>
    <t>Ezequiel Meseri</t>
  </si>
  <si>
    <t>29/04/2010</t>
  </si>
  <si>
    <t>ameseri2@gmail.com</t>
  </si>
  <si>
    <t>Analia Wior</t>
  </si>
  <si>
    <t>analiarwior@gmail.com</t>
  </si>
  <si>
    <t>Alexis Meseri</t>
  </si>
  <si>
    <t>ameseri@gmail.com</t>
  </si>
  <si>
    <t>Delfina Rosenberg</t>
  </si>
  <si>
    <t>delfirosenberg@gmail.com</t>
  </si>
  <si>
    <t>Vanina Roitman</t>
  </si>
  <si>
    <t>vaninaroitman@gmail.com</t>
  </si>
  <si>
    <t>Gustavo Rosenberg</t>
  </si>
  <si>
    <t>rosenbergustavo@gmail.com</t>
  </si>
  <si>
    <t>Sholem Aleijem</t>
  </si>
  <si>
    <t>Moadon, 1er año</t>
  </si>
  <si>
    <t>Delfina Divinsky</t>
  </si>
  <si>
    <t>delfinadivinsky@gmail.com</t>
  </si>
  <si>
    <t>Hernan Divinsky</t>
  </si>
  <si>
    <t>arq.divinsky@gmail.com</t>
  </si>
  <si>
    <t>Gabriela Suken</t>
  </si>
  <si>
    <t>gsuken@gmail.com</t>
  </si>
  <si>
    <t>Daniel Zymerman</t>
  </si>
  <si>
    <t>danizym09@gmail.com</t>
  </si>
  <si>
    <t>Frida Dijtiar</t>
  </si>
  <si>
    <t>fridadij@gmail.com</t>
  </si>
  <si>
    <t>Osvaldo Zymerman</t>
  </si>
  <si>
    <t>auditen@gmail.com</t>
  </si>
  <si>
    <t>Ortno</t>
  </si>
  <si>
    <t>Catalina Taitelbaun</t>
  </si>
  <si>
    <t>catataitel@gmail.com</t>
  </si>
  <si>
    <t>Samanta sarnacki</t>
  </si>
  <si>
    <t>slsarnacki@gmail.com</t>
  </si>
  <si>
    <t>Si, bogrim mayor y moadon</t>
  </si>
  <si>
    <t>Carolina Litvak</t>
  </si>
  <si>
    <t>litvakcaro@gmail.com</t>
  </si>
  <si>
    <t>Sebastian Litvak</t>
  </si>
  <si>
    <t>arqlitvak@hotmail.com</t>
  </si>
  <si>
    <t>Gabriela Kostetsky</t>
  </si>
  <si>
    <t>gabyk@hotmail.com</t>
  </si>
  <si>
    <t>Camila Rozanski</t>
  </si>
  <si>
    <t>30/07/09</t>
  </si>
  <si>
    <t>rozanskicamila@gmail.com</t>
  </si>
  <si>
    <t>Carolina Rudy</t>
  </si>
  <si>
    <t>carorudy@yahoo.com.ar</t>
  </si>
  <si>
    <t>Andrés Rozanski</t>
  </si>
  <si>
    <t>arozanski@hotmail.com</t>
  </si>
  <si>
    <t>Si. en Mohadon , Bogrim mayor y Bogrim menor</t>
  </si>
  <si>
    <t>Bianca Kipershmit</t>
  </si>
  <si>
    <t>biancakipershmit@gmail.com</t>
  </si>
  <si>
    <t>Lorena Villalba</t>
  </si>
  <si>
    <t>contableval@gmail.com</t>
  </si>
  <si>
    <t>Adrián kipershmit</t>
  </si>
  <si>
    <t>adrikiper@yahoo.com</t>
  </si>
  <si>
    <t>Alexander Safdieh</t>
  </si>
  <si>
    <t>alexsafdieh@gmail.com</t>
  </si>
  <si>
    <t>Glenda Jalles</t>
  </si>
  <si>
    <t>glendajalles@gmail.com</t>
  </si>
  <si>
    <t>Ezequiel Safdieh</t>
  </si>
  <si>
    <t>es@aliver.us</t>
  </si>
  <si>
    <t>Alejo Grinblat</t>
  </si>
  <si>
    <t>17/12/2009</t>
  </si>
  <si>
    <t>alejogrinblat09@gmail.com</t>
  </si>
  <si>
    <t>Patricia Goldstein</t>
  </si>
  <si>
    <t>patricia.goldstein@gmail.com</t>
  </si>
  <si>
    <t>Damián Grinblat</t>
  </si>
  <si>
    <t>damiangrinblat@gmail.com</t>
  </si>
  <si>
    <t>Alan Shifman</t>
  </si>
  <si>
    <t>1/3 2010</t>
  </si>
  <si>
    <t>alanshifman13@gmail.com</t>
  </si>
  <si>
    <t>Andrea Glickman</t>
  </si>
  <si>
    <t>andreglickman@gmail.com</t>
  </si>
  <si>
    <t>Marcelo Shifman</t>
  </si>
  <si>
    <t>elsur26@gmail.com</t>
  </si>
  <si>
    <t>Agustín Stenta samelnik</t>
  </si>
  <si>
    <t>15/04/2010</t>
  </si>
  <si>
    <t>agustinstentaok@gmail.com</t>
  </si>
  <si>
    <t>Romina samelnik</t>
  </si>
  <si>
    <t>rsamelnik@gmail.com</t>
  </si>
  <si>
    <t>Gustavo</t>
  </si>
  <si>
    <t>Gustavo Stenta</t>
  </si>
  <si>
    <t>Tavostenta@gmail.com</t>
  </si>
  <si>
    <t>Agustin Slonimsky</t>
  </si>
  <si>
    <t>23/08/2009</t>
  </si>
  <si>
    <t>agustinslonimsky@gmail.com</t>
  </si>
  <si>
    <t>Damián Slonimsky</t>
  </si>
  <si>
    <t>damianslonimsky@hotmail.com</t>
  </si>
  <si>
    <t>11 54608387</t>
  </si>
  <si>
    <t>Laura Sanguinetti</t>
  </si>
  <si>
    <t>sanguinetti.lau@gmail.com</t>
  </si>
  <si>
    <t>Agustin Sielecki</t>
  </si>
  <si>
    <t>agustin.sielecki@gmail.com</t>
  </si>
  <si>
    <t>Noemi koloditzki</t>
  </si>
  <si>
    <t>noemi.koloditzki@yahoo.com.ar</t>
  </si>
  <si>
    <t>Raul Sielecki</t>
  </si>
  <si>
    <t>rsielecki@yahoo.com.ar</t>
  </si>
  <si>
    <t>Agustin Said</t>
  </si>
  <si>
    <t>agustinlionelsa@gmail.com</t>
  </si>
  <si>
    <t>Adriana buchner</t>
  </si>
  <si>
    <t>addina_@hotmail.com</t>
  </si>
  <si>
    <t>Andres said</t>
  </si>
  <si>
    <t>Andres_said1978@hotmail.com</t>
  </si>
  <si>
    <t>Abril Goldberg</t>
  </si>
  <si>
    <t>abrilgoldberg@gmail.com</t>
  </si>
  <si>
    <t>Natalia Joaquin</t>
  </si>
  <si>
    <t>nataliajoaquin@hotmail.com</t>
  </si>
  <si>
    <t>Gabriel Goldberg</t>
  </si>
  <si>
    <t>gabohemio@hotmail.com</t>
  </si>
  <si>
    <t>Mosdon</t>
  </si>
  <si>
    <t>GONZI</t>
  </si>
  <si>
    <t>EITU</t>
  </si>
  <si>
    <t>MARTO</t>
  </si>
  <si>
    <t>GASTI</t>
  </si>
  <si>
    <t>MELU</t>
  </si>
  <si>
    <t>DAIU</t>
  </si>
  <si>
    <t>LULI</t>
  </si>
  <si>
    <t>SOFI</t>
  </si>
  <si>
    <t>IDJanij</t>
  </si>
  <si>
    <t>TOTAL</t>
  </si>
  <si>
    <t>T</t>
  </si>
  <si>
    <t>M</t>
  </si>
  <si>
    <t>N</t>
  </si>
  <si>
    <t>Magalí Waldfouel</t>
  </si>
  <si>
    <t>PORCENTAJE DE ASISTENCIA POR ACTIVIDAD</t>
  </si>
  <si>
    <t>MAJANE DE INVIERNO</t>
  </si>
  <si>
    <t>NDA</t>
  </si>
  <si>
    <t xml:space="preserve">AGS </t>
  </si>
  <si>
    <t>22/7/25</t>
  </si>
  <si>
    <t>26/7/25</t>
  </si>
  <si>
    <t>22/12/25</t>
  </si>
  <si>
    <t>25/12/25</t>
  </si>
  <si>
    <t>Fecha</t>
  </si>
  <si>
    <t>TipoActividad</t>
  </si>
  <si>
    <t>IDPresentes</t>
  </si>
  <si>
    <t>IDTardes</t>
  </si>
  <si>
    <t>108,110,111,127,129,137,140,155,163,165,167,174,184,207,219</t>
  </si>
  <si>
    <t/>
  </si>
  <si>
    <t>114,163,141,180,175,174,188,211,217,107,128,124,158,189,220,176,159,142,125,143,150,137,206</t>
  </si>
  <si>
    <t>173,149,161</t>
  </si>
  <si>
    <t>114,118,163,141,180,175,116,174,188,140,169,211,217,221,107,111,146,129,128,124,158,160,122,196,189,152,190,157,192,220,164,208,194,176,159,202,205,142,212,125,143,207,110,193,150,127,100,137,206</t>
  </si>
  <si>
    <t>114,118,163,131,141,180,175,200,116,145,174,216,188,140,169,155,195,204,211,217,221,107,111,146,168,178,129,198,128,181,124,158,167,160,136,177,153,201,186,122,171,196,189,152,190,157,192,220,164,208,172,117,194,176,159,162,202,205,142,212,125,143,215,197,207,110,193,183,150,127,100,137,134,206</t>
  </si>
  <si>
    <t>114,118,163,138,131,141,180,175,179,200,123,116,145,166,174,216,188,140,101,169,155,184,135,195,204,211,217,221,107,111,151,146,168,178,129,198,128,181,103,121,113,124,158,144,167,160,136,177,153,201,186,122,210,171,196,189,152,133,190,157,192,220,164,208,172,117,203,156,194,176,182,159,162,202,205,142,212,125,199,108,143,191,215,197,207,110,193,183,165,150,218,127,100,137,134,170,206</t>
  </si>
  <si>
    <t>104</t>
  </si>
  <si>
    <t>175,174,120,219,107,129,124,196,157,220,117,199,143,193</t>
  </si>
  <si>
    <t>166,101,155,211,128,132,136,142,183,170,206</t>
  </si>
  <si>
    <t>114,138,180,104,221,151,146,144,192,182,159,205,125</t>
  </si>
  <si>
    <t>179,178,181,177,171,133,156,202,154,100,161,134</t>
  </si>
  <si>
    <t>111</t>
  </si>
  <si>
    <t>163,116,140,135,168,103,121,210,190,208,203,176,187,197</t>
  </si>
  <si>
    <t>200,188,169,195,198,113,167,153,122,149,215,207,110,218</t>
  </si>
  <si>
    <t>118,141,184,102,186,105,164,194,162,212,165,150,137</t>
  </si>
  <si>
    <t>131,123,145,216,204,158,160,201,189,152,172,108,191,127</t>
  </si>
  <si>
    <t>155,211,106,170</t>
  </si>
  <si>
    <t>101,155,211,106,170</t>
  </si>
  <si>
    <t>175,174,120,219,107,124,196,157,220,117,199,143,193</t>
  </si>
  <si>
    <t>101,155,211,136,106,183,170,206</t>
  </si>
  <si>
    <t>118,141,184,105,162,212,165,150,137</t>
  </si>
  <si>
    <t>101,155,211,136,142,106,183,170,206</t>
  </si>
  <si>
    <t>118,141,184,186,105,164,162,212,165,150,137</t>
  </si>
  <si>
    <t>179,111,178,181,177,133,156,202,100,161,134</t>
  </si>
  <si>
    <t>114,138,180,200,123,116,145,216,188,140,135,195,204,221,151,146,168,198,103,121,113,158,167,160,153,201,122,189,152,190,192,208,203,149,176,182,159,187,205,125,108,191,215,197,207,110,218,127</t>
  </si>
  <si>
    <t>163</t>
  </si>
  <si>
    <t>166</t>
  </si>
  <si>
    <t>173,194</t>
  </si>
  <si>
    <t>171</t>
  </si>
  <si>
    <t>155,211,128,132,142,170,206</t>
  </si>
  <si>
    <t>101</t>
  </si>
  <si>
    <t>166,183</t>
  </si>
  <si>
    <t>114,138,180,104,221,151,146,144,192,159,125</t>
  </si>
  <si>
    <t>200,188,169,195,198,167,153,122,215,207,110</t>
  </si>
  <si>
    <t>118,141,184,102,186,105,164,194,162,212,165,137</t>
  </si>
  <si>
    <t>179,111,178,177,171,133,156,202,100,134</t>
  </si>
  <si>
    <t>136</t>
  </si>
  <si>
    <t>182,205</t>
  </si>
  <si>
    <t>161</t>
  </si>
  <si>
    <t>149</t>
  </si>
  <si>
    <t>118,173,141,184,102,186,105,164,194,162,212,165,150,137</t>
  </si>
  <si>
    <t>131,123,216,204,158,160,201,189,152,172,108,191</t>
  </si>
  <si>
    <t>145</t>
  </si>
  <si>
    <t>140,135</t>
  </si>
  <si>
    <t>140,135,210</t>
  </si>
  <si>
    <t>140,135,210,203</t>
  </si>
  <si>
    <t>163,140,135,210,203</t>
  </si>
  <si>
    <t>163,140,135,168,210,203</t>
  </si>
  <si>
    <t>163,116,140,135,168,103,121,210,190,208,203</t>
  </si>
  <si>
    <t>163,116,140,135,168,103,121,210,190,208,203,197</t>
  </si>
  <si>
    <t>175,174,120,219,107,129,124,196,157,220,117,199,193</t>
  </si>
  <si>
    <t>101,211,128,132,142,183</t>
  </si>
  <si>
    <t>101,155,211,128,132,142,183,170,206</t>
  </si>
  <si>
    <t>114,138,180,104,221,151,146,160,159,205,125</t>
  </si>
  <si>
    <t>188,195,198,113,167,153,122,215,207,110</t>
  </si>
  <si>
    <t>141,184,102,105,164,194,162,212,165,137</t>
  </si>
  <si>
    <t>179,217,178,181,177,171,156,202,100,134</t>
  </si>
  <si>
    <t>114,138,180,104,221,151,146,144,160,159,205,125</t>
  </si>
  <si>
    <t>131,123,216,201,172,108,191,127</t>
  </si>
  <si>
    <t>175,174,219,107,129,124,196,157,220,117,199,143,193</t>
  </si>
  <si>
    <t>101,155,211,128,132,136,142,183,170,206</t>
  </si>
  <si>
    <t>179,111,178,177,171,133,156,202,100,161,134</t>
  </si>
  <si>
    <t>131,123,145,216,204,158,201,152,172,108,191,127</t>
  </si>
  <si>
    <t>189</t>
  </si>
  <si>
    <t>188,169,195,198,113,167,153,122,149,215,207,110</t>
  </si>
  <si>
    <t>155,211,128,132,136,142,183,170,206</t>
  </si>
  <si>
    <t>179,178,177,171,133,156,202,100,134</t>
  </si>
  <si>
    <t>163,116,140,135,168,121,208,197</t>
  </si>
  <si>
    <t>175,174,120,129,124,196,157,220,117,199,143,197,208,121,168,135,140,116,163</t>
  </si>
  <si>
    <t>131,123,145,158,189,108,127</t>
  </si>
  <si>
    <t>114,138,166,104,188,101,155,184,195,151,146,128,132,113,144,167,160,136,186,122,105,189,164</t>
  </si>
  <si>
    <t>194,162,205,142,125,215,110,183,165,218,170,206</t>
  </si>
  <si>
    <t>114,138,180,104,221,151,146,144,160,192,182,159,205,125</t>
  </si>
  <si>
    <t>166,101,155,211,128,132,136,142,170,206</t>
  </si>
  <si>
    <t>131,123,145,216,204,158,201,189,152,172,108,191,127</t>
  </si>
  <si>
    <t>175,174,219,107,124,196,220,199,193</t>
  </si>
  <si>
    <t>184,102,186,105,194,162,212,137</t>
  </si>
  <si>
    <t>175,174,219,107,129,124,196,220,199,193</t>
  </si>
  <si>
    <t>163,116,168,103,121,210,190,208,197</t>
  </si>
  <si>
    <t>163,116,135,168,103,121,210,190,208,197</t>
  </si>
  <si>
    <t>163,116,140,135,168,103,121,210,190,208,197</t>
  </si>
  <si>
    <t>169,195,198,113,167,153,122,215,207,218</t>
  </si>
  <si>
    <t>143</t>
  </si>
  <si>
    <t>200,169,195,198,113,167,153,122,215,207,218</t>
  </si>
  <si>
    <t>179,111,178,181,171,133,156,202,100,134</t>
  </si>
  <si>
    <t>149,110</t>
  </si>
  <si>
    <t>166,101,155,211,132,136,142,183,170</t>
  </si>
  <si>
    <t>118,184,102,186,105,164,194,162,212,137</t>
  </si>
  <si>
    <t>173,150</t>
  </si>
  <si>
    <t>131,123,145,216,204,158,201,172,108,191,127</t>
  </si>
  <si>
    <t>128</t>
  </si>
  <si>
    <t>166,101,155,132,136,142,183,170,206</t>
  </si>
  <si>
    <t>175,174,120,219,107,129,196,157,220,117,199,143,193</t>
  </si>
  <si>
    <t>188,195,198,113,167,122,215,110</t>
  </si>
  <si>
    <t>188,169,195,198,113,167,122,215,110</t>
  </si>
  <si>
    <t>188,169,195,198,113,167,153,122,215,110</t>
  </si>
  <si>
    <t>163,140,135,168,121,210,190,208,197</t>
  </si>
  <si>
    <t>114,180,104,221,151,146,144,160,192,182,159,205,125</t>
  </si>
  <si>
    <t>179,217,111,178,181,177,133,100,161,134</t>
  </si>
  <si>
    <t>156</t>
  </si>
  <si>
    <t>203</t>
  </si>
  <si>
    <t>101,132,136,142,183,170</t>
  </si>
  <si>
    <t>155</t>
  </si>
  <si>
    <t>145,216,158,201,189,152,172,108,191</t>
  </si>
  <si>
    <t>175,120,107,129,220,117,143</t>
  </si>
  <si>
    <t>175,174,120,219,107,129,220,117,143,193</t>
  </si>
  <si>
    <t>166,155,132,142,183,170,206</t>
  </si>
  <si>
    <t>118,184,102,186,105,164,194,162,212,165,137</t>
  </si>
  <si>
    <t>114,138,104,151,146,144,160,205,125</t>
  </si>
  <si>
    <t>114,138,180,104,151,146,144,160,159,205,125</t>
  </si>
  <si>
    <t>101,136</t>
  </si>
  <si>
    <t>163,116,135,168,121,210,190,208,203,197,125,205,159,160,144,146,151,221,104,180,138,114</t>
  </si>
  <si>
    <t>188,195,198,113,167,122,149,215,207,218</t>
  </si>
  <si>
    <t>145,216,204,158,201,189,172,108</t>
  </si>
  <si>
    <t>174,107,157,220,199,193</t>
  </si>
  <si>
    <t>215</t>
  </si>
  <si>
    <t>175,174,107,157,220,117,199,193</t>
  </si>
  <si>
    <t>221,151,146,160,125</t>
  </si>
  <si>
    <t>118,141,164,162,212</t>
  </si>
  <si>
    <t>179,217,178,171</t>
  </si>
  <si>
    <t>221,151,146,144,160,125</t>
  </si>
  <si>
    <t>132,170</t>
  </si>
  <si>
    <t>175,174,107,129,157,220,117,199,193</t>
  </si>
  <si>
    <t>198,215</t>
  </si>
  <si>
    <t>216,201,172,108</t>
  </si>
  <si>
    <t>218</t>
  </si>
  <si>
    <t>167</t>
  </si>
  <si>
    <t>116,168,210,190,208,203</t>
  </si>
  <si>
    <t>180,221,151,146,144,160,125</t>
  </si>
  <si>
    <t>166,132,170</t>
  </si>
  <si>
    <t>216,201,172</t>
  </si>
  <si>
    <t>179,217,178,181,171,133,156,100</t>
  </si>
  <si>
    <t>134</t>
  </si>
  <si>
    <t>163,116,135,168,121,210,190,208,203,197</t>
  </si>
  <si>
    <t>140</t>
  </si>
  <si>
    <t>188,169,195,167,122,215,110,218</t>
  </si>
  <si>
    <t>188,169,195,113,167,122,215,110,218</t>
  </si>
  <si>
    <t>175,219,107,129,124,196,157,220,117,199,193</t>
  </si>
  <si>
    <t>138,180,221,144,192,159</t>
  </si>
  <si>
    <t>166,183,206</t>
  </si>
  <si>
    <t>163,168,121,210,190,208,203</t>
  </si>
  <si>
    <t>179,217,178,177,171,133,156,202,100,134</t>
  </si>
  <si>
    <t>166,128,183,206</t>
  </si>
  <si>
    <t>123,145,216,204,201,152,172,191,127</t>
  </si>
  <si>
    <t>182</t>
  </si>
  <si>
    <t>118,184,109,102,186,105,164,194,165,137</t>
  </si>
  <si>
    <t>170</t>
  </si>
  <si>
    <t>101,170</t>
  </si>
  <si>
    <t>101,128,132,136,170</t>
  </si>
  <si>
    <t>101,211,128,132,136,170</t>
  </si>
  <si>
    <t>200,169,198,215,207,110</t>
  </si>
  <si>
    <t>175,174,219,107,129,157,220,117,199,143,193</t>
  </si>
  <si>
    <t>179,217,111,181,171,133,156,202,161</t>
  </si>
  <si>
    <t>179,217,181,171,133,156,202</t>
  </si>
  <si>
    <t>102,186,105,194,162,165,137</t>
  </si>
  <si>
    <t>114,104,221,146,160,192,182,159,205,125</t>
  </si>
  <si>
    <t>200,169,198,153,215,207,110,218</t>
  </si>
  <si>
    <t>124,196</t>
  </si>
  <si>
    <t>200,188,169,198,153,215,207,110,218</t>
  </si>
  <si>
    <t>114,138,180,104,221,146,160,192,182,159,205,125</t>
  </si>
  <si>
    <t>200,188,169,198,167,153,215,207,110,218</t>
  </si>
  <si>
    <t>102,186,105,164,194,162,165,137</t>
  </si>
  <si>
    <t>116,135,103,121,208,197</t>
  </si>
  <si>
    <t>168</t>
  </si>
  <si>
    <t>123,145,204,158,189,172,191,127</t>
  </si>
  <si>
    <t>149,207</t>
  </si>
  <si>
    <t>114,221,146,144,160,182,159,205,125</t>
  </si>
  <si>
    <t>114,138,221,146,144,160,182,159,205,125</t>
  </si>
  <si>
    <t>138</t>
  </si>
  <si>
    <t>175,174,219,107,129,124,196,157,220,117,199,193</t>
  </si>
  <si>
    <t>169,195,198,113,167,153,149,215,110</t>
  </si>
  <si>
    <t>118,173,141,102,186,105,164,194,162,165,150,137</t>
  </si>
  <si>
    <t>184</t>
  </si>
  <si>
    <t>116,140,135,103,121,190,208,197</t>
  </si>
  <si>
    <t>116,140,135,103,121,190,208,203,197</t>
  </si>
  <si>
    <t>101,211,128,132,136,142</t>
  </si>
  <si>
    <t>183</t>
  </si>
  <si>
    <t>123,145,204,158,201,189,108,127</t>
  </si>
  <si>
    <t>200,195,113,167,122,215</t>
  </si>
  <si>
    <t>153</t>
  </si>
  <si>
    <t>211,128,132,142,206</t>
  </si>
  <si>
    <t>188,153</t>
  </si>
  <si>
    <t>211,128,132,136,142,206</t>
  </si>
  <si>
    <t>166,211,128,132,136,142,206</t>
  </si>
  <si>
    <t>188,153,207,110</t>
  </si>
  <si>
    <t>188,153,207,110,218</t>
  </si>
  <si>
    <t>166,101,211,128,132,136,142,206</t>
  </si>
  <si>
    <t>179,178,177,171,133,156,202,100,161,134</t>
  </si>
  <si>
    <t>118,173,184,109,102,186,105,164,194,162,212,150,137</t>
  </si>
  <si>
    <t>141</t>
  </si>
  <si>
    <t>163,116,140,168,210,190,208,197</t>
  </si>
  <si>
    <t>135,121,203</t>
  </si>
  <si>
    <t>145,201</t>
  </si>
  <si>
    <t>217</t>
  </si>
  <si>
    <t>200,188,195,113,167,153,122,149,215,207,110,218</t>
  </si>
  <si>
    <t>123,216,204,158,189,152,172,108,191,127</t>
  </si>
  <si>
    <t>166,155,211,128,132,142,183,206</t>
  </si>
  <si>
    <t>179,217,111,178,181,177,171,133,156,202,100</t>
  </si>
  <si>
    <t>200,188,169,195,198,113,167,153,122,215,218</t>
  </si>
  <si>
    <t>200,188,169,195,198,113,167,153,122,215,207,218</t>
  </si>
  <si>
    <t>123,145,216,204,158,201,152,172,108,191,127</t>
  </si>
  <si>
    <t>175,174,219,107,124,196,157,220,117,199,143,193</t>
  </si>
  <si>
    <t>118,173,184,109,102,186,105,164,194,162,212,165,150,137</t>
  </si>
  <si>
    <t>110</t>
  </si>
  <si>
    <t>101,155,211,128,142</t>
  </si>
  <si>
    <t>116,140,135,168,103,121,210,190,208</t>
  </si>
  <si>
    <t>188,195,198,113,167,153,122,215,207,218</t>
  </si>
  <si>
    <t>101,155,211,128,142,183</t>
  </si>
  <si>
    <t>186,105,194,137</t>
  </si>
  <si>
    <t>118,212</t>
  </si>
  <si>
    <t>179,217,178,177,156,202,100</t>
  </si>
  <si>
    <t>138,151,146,160,192,125</t>
  </si>
  <si>
    <t>216,158,201,152,108</t>
  </si>
  <si>
    <t>221,159</t>
  </si>
  <si>
    <t>174,219,107,124,196,157,220,199,143,193</t>
  </si>
  <si>
    <t>166,101,132,136,142,183,170</t>
  </si>
  <si>
    <t>155,211</t>
  </si>
  <si>
    <t>114,138,180,151,146,144,192,205,125</t>
  </si>
  <si>
    <t>174,219,107,129,124,196,220,199,193</t>
  </si>
  <si>
    <t>178,181,177,156,100,134</t>
  </si>
  <si>
    <t>200,188,195,198,113,167,122,215,110</t>
  </si>
  <si>
    <t>200,188,195,198,113,167,122,215,207,110</t>
  </si>
  <si>
    <t>123,216,158,201,189,152,172,108,191,127</t>
  </si>
  <si>
    <t>141,184,109,186,105,164,194,212,165</t>
  </si>
  <si>
    <t>179,133</t>
  </si>
  <si>
    <t>120,157,117,143</t>
  </si>
  <si>
    <t>116,140,135,168,103,210,190,197</t>
  </si>
  <si>
    <t>163,208,203</t>
  </si>
  <si>
    <t>200,188,198,167,122,215</t>
  </si>
  <si>
    <t>200,188,198,167,122,215,110</t>
  </si>
  <si>
    <t>101,136,142,170,206</t>
  </si>
  <si>
    <t>101,211,132,136,142,170,206</t>
  </si>
  <si>
    <t>101,155,211,132,136,142,170,206</t>
  </si>
  <si>
    <t>114,138,180,104,151,146,144,160,125</t>
  </si>
  <si>
    <t>116,135,168,210,190,208,197</t>
  </si>
  <si>
    <t>200,188,169,198,167,122,215,110</t>
  </si>
  <si>
    <t>123,145,216,158,201,152,172,108</t>
  </si>
  <si>
    <t>118,141,184,102,186,164,194,162,212</t>
  </si>
  <si>
    <t>179,178,181,133,156,100,134</t>
  </si>
  <si>
    <t>202</t>
  </si>
  <si>
    <t>111,202,161</t>
  </si>
  <si>
    <t>153,218</t>
  </si>
  <si>
    <t>153,149,207,218</t>
  </si>
  <si>
    <t>174,107,129,124,196,220,199,143,193</t>
  </si>
  <si>
    <t>175,120,117</t>
  </si>
  <si>
    <t>163,116,168,121,210,190,208,197</t>
  </si>
  <si>
    <t>204,189</t>
  </si>
  <si>
    <t>188,169,195,198,113,153,122,215,207,218</t>
  </si>
  <si>
    <t>188,169,195,198,113,167,153,122,215,207,218</t>
  </si>
  <si>
    <t>188,169,195,198,113,167,153,122,215,207,110,218</t>
  </si>
  <si>
    <t>200,188,169,195,198,113,167,153,122,215,207,110,218</t>
  </si>
  <si>
    <t>155,211,128,132,136,183,170,206</t>
  </si>
  <si>
    <t>175,174,120,107,129,124,196,157,220,117,199,143,193</t>
  </si>
  <si>
    <t>179,217,178,177,171,133,156,100,134</t>
  </si>
  <si>
    <t>114,138,180,104,221,151,146,144,160,192,159,205,125</t>
  </si>
  <si>
    <t>163,116,140,168,103,121,210,190,208,197,193,143,199,117,220,157,196,124,129,107,120,174,175</t>
  </si>
  <si>
    <t>135</t>
  </si>
  <si>
    <t>123,145,216,204,201,189,152,172,108,191,127</t>
  </si>
  <si>
    <t>118,184,109,102,186,105,164,194,162,137</t>
  </si>
  <si>
    <t>179,217,178,181,171,161,134</t>
  </si>
  <si>
    <t>179,217,178,181,171,202,161,134</t>
  </si>
  <si>
    <t>114,138,180,104,221,151,146,160,159,125</t>
  </si>
  <si>
    <t>188,195,198,113,167,153,122,215</t>
  </si>
  <si>
    <t>123,145,204,158,201,152,172,108,191,127</t>
  </si>
  <si>
    <t>118,141,184,109,102,105,164,194,162,165,137</t>
  </si>
  <si>
    <t>174,219,107,129,124,196,157,220,117,199,143,193</t>
  </si>
  <si>
    <t>116,140,135,168,103,121,210,190,208,197</t>
  </si>
  <si>
    <t>188,195,198,113,167,153,122,149,215,218</t>
  </si>
  <si>
    <t>200,207</t>
  </si>
  <si>
    <t>200,169,198,167,122,215</t>
  </si>
  <si>
    <t>200,169,198,167,122,215,207</t>
  </si>
  <si>
    <t>200,169,198,167,122,215,207,110</t>
  </si>
  <si>
    <t>200,169,195,198,113,167,122,215,207,110,218</t>
  </si>
  <si>
    <t>101,128,132,142,170,206</t>
  </si>
  <si>
    <t>118,141,184,102,186,105,164,194,212,165,137</t>
  </si>
  <si>
    <t>153,149</t>
  </si>
  <si>
    <t>109</t>
  </si>
  <si>
    <t>123,145,216,201,152,172,191,127</t>
  </si>
  <si>
    <t>135,168,103,208,203</t>
  </si>
  <si>
    <t>163,140,121</t>
  </si>
  <si>
    <t>155,211,136</t>
  </si>
  <si>
    <t>114,138,180,104,221,151,146,144,160,192,182,159,125</t>
  </si>
  <si>
    <t>123,145,216,201,152,172,108,191,127</t>
  </si>
  <si>
    <t>173,109,150</t>
  </si>
  <si>
    <t>175,174,219,107,124,157,220,117,199,143,193</t>
  </si>
  <si>
    <t>204,152</t>
  </si>
  <si>
    <t>179,178</t>
  </si>
  <si>
    <t>111,177,171,133,156,100,161</t>
  </si>
  <si>
    <t>195,113,122</t>
  </si>
  <si>
    <t>188,195,113,167,122</t>
  </si>
  <si>
    <t>188,169,195,113,167,122</t>
  </si>
  <si>
    <t>188,169,195,113,167,122,110</t>
  </si>
  <si>
    <t>217,111,178,181,177,171,133,156,202,100</t>
  </si>
  <si>
    <t>188,169,195,113,167,122,149,110</t>
  </si>
  <si>
    <t>200,188,169,195,113,167,122,149,110</t>
  </si>
  <si>
    <t>101,155,211,128,132,136,142,183</t>
  </si>
  <si>
    <t>118,173,184,186,105,164,194,162,212,165,150,137</t>
  </si>
  <si>
    <t>123,145,216,158,201,189,172,108,191</t>
  </si>
  <si>
    <t>144</t>
  </si>
  <si>
    <t>163,116,140,135,168,121,210,208,203</t>
  </si>
  <si>
    <t>175,120,107,129,124,196,117,193</t>
  </si>
  <si>
    <t>114,180,104,221,146,144,160,182,159,205,125</t>
  </si>
  <si>
    <t>200,188,169,195,113,167,153,122,149,110,218</t>
  </si>
  <si>
    <t>123,145,158,201,172,108,191</t>
  </si>
  <si>
    <t>179,171,133,156</t>
  </si>
  <si>
    <t>178</t>
  </si>
  <si>
    <t>118,141,102,186,164,194,162,212,165,137</t>
  </si>
  <si>
    <t>151,144,160,192,159,125</t>
  </si>
  <si>
    <t>155,211,128,132,206</t>
  </si>
  <si>
    <t>163,116,103,121,210,190,208</t>
  </si>
  <si>
    <t>198,167,153,215,218</t>
  </si>
  <si>
    <t>221</t>
  </si>
  <si>
    <t>175,174,120,219,107,129,157,220,117,199,143,193</t>
  </si>
  <si>
    <t>179,111,178,177,133,156,100</t>
  </si>
  <si>
    <t>200,195,198,113,215,110</t>
  </si>
  <si>
    <t>200,195,198,113,167,215,207,110</t>
  </si>
  <si>
    <t>138,180,151,146,160,205,125</t>
  </si>
  <si>
    <t>173,109,164,194,162</t>
  </si>
  <si>
    <t>102</t>
  </si>
  <si>
    <t>118,141,102</t>
  </si>
  <si>
    <t>138,180,151,146,144,160,182,205,125</t>
  </si>
  <si>
    <t>200,188,169,195,198,113,167,215,207,110</t>
  </si>
  <si>
    <t>101,155,211,128,132,136,183,170,206,125,205,182,160,144,146,151,180,138</t>
  </si>
  <si>
    <t>174,219,107,129,124,196,157,220,199,143,193</t>
  </si>
  <si>
    <t>198,167,153,215,207,218</t>
  </si>
  <si>
    <t>140,135,168,103,210,208,197</t>
  </si>
  <si>
    <t>123,145,204,158,201,189,108</t>
  </si>
  <si>
    <t>163,180,169,144,201,122,172,203,159,191,197,207</t>
  </si>
  <si>
    <t>211,219,128,102,186,171,194,137,206</t>
  </si>
  <si>
    <t>141,174,101,109,107,105,220,164,156,162,150</t>
  </si>
  <si>
    <t>116,216,146,121,160,210,190,192,149,205,108,215,218</t>
  </si>
  <si>
    <t>211,219,128,102,186,171,194,137,134,206</t>
  </si>
  <si>
    <t>184,178,132,133,202,212,199,143,193,183,165,161</t>
  </si>
  <si>
    <t>114,138,200,145,104,221,198,103,153,152,208</t>
  </si>
  <si>
    <t>123,188,140,195,204,151,168,113,158,167,189,125,110</t>
  </si>
  <si>
    <t>173,179,120,217,111,181,196,115,157,117,100,170</t>
  </si>
  <si>
    <t>114,200,104</t>
  </si>
  <si>
    <t>114,200,104,198</t>
  </si>
  <si>
    <t>114,200,104,198,208</t>
  </si>
  <si>
    <t>114,138,200,104,135,198,208</t>
  </si>
  <si>
    <t>141,174,107,136,105,220,164,156,162</t>
  </si>
  <si>
    <t>114,138,200,104,135,221,198,208</t>
  </si>
  <si>
    <t>118,184,178,132,133,202,212,199,143,183,165</t>
  </si>
  <si>
    <t>141,174,107,136,105,220,164,156,162,150</t>
  </si>
  <si>
    <t>114,138,200,145,104,135,221,198,103,153,152,208</t>
  </si>
  <si>
    <t>118,184,178,132,133,202,212,199,143,183,165,161</t>
  </si>
  <si>
    <t>116,216,146,121,160,210,192,149,205,108,215,218</t>
  </si>
  <si>
    <t>163,169,144,201,172,203,159,191,197,207</t>
  </si>
  <si>
    <t>124</t>
  </si>
  <si>
    <t>163,169,144,201,122,172,203,182,159,191,197,207</t>
  </si>
  <si>
    <t>122,182</t>
  </si>
  <si>
    <t>163,180,169,144,201,122,172,203,182,159,191,197,207</t>
  </si>
  <si>
    <t>180,122,182</t>
  </si>
  <si>
    <t>173,179,120,111,196,115,157,117,100</t>
  </si>
  <si>
    <t>175,211,128,102,186,171,194,137</t>
  </si>
  <si>
    <t>177,134</t>
  </si>
  <si>
    <t>123,188,195,151,168,113,158,189,125,110</t>
  </si>
  <si>
    <t>140,204,167</t>
  </si>
  <si>
    <t>114,179,116,145,174,104,184,211,219,107,151,146,168,178,198,128,103,102,132,158,144,167,160,186,115,133,190,157,192,220,164,208,156,194,162,125,199,108,143,215,197,134,206</t>
  </si>
  <si>
    <t>163,180,169,144,201,122,172,203,159,191</t>
  </si>
  <si>
    <t>188,140,151,168,113,167,189,125,110</t>
  </si>
  <si>
    <t>211,129,128,102,186,194,137</t>
  </si>
  <si>
    <t>155,107,220,164,156</t>
  </si>
  <si>
    <t>216,146,121,160,190,192,205,215,218</t>
  </si>
  <si>
    <t>178,132,133,212,199,193</t>
  </si>
  <si>
    <t>114,138,145,104,221,198,103,153,152,208</t>
  </si>
  <si>
    <t>178,132,133,143</t>
  </si>
  <si>
    <t>118,163,175,116,174,101,169,155,211,107,178,129,128,121,132,158,167,153,186,171,189,115,133,164,208,117,156,194,182,159,205,108,143,197,218,127,137,134,206</t>
  </si>
  <si>
    <t>146,160</t>
  </si>
  <si>
    <t>219,146,160,157</t>
  </si>
  <si>
    <t>221,219,146,160,157</t>
  </si>
  <si>
    <t>212</t>
  </si>
  <si>
    <t>221,153,208,127</t>
  </si>
  <si>
    <t>118,178,124,133,199,183,165</t>
  </si>
  <si>
    <t>135,221,198,103,153,152,208</t>
  </si>
  <si>
    <t>123,188,195,151,168,113,158,125</t>
  </si>
  <si>
    <t>179,196,157,117,142,100,208,152,153,103,198,221,135</t>
  </si>
  <si>
    <t>135,221,198,103,153,152,208,100,142,117,157,196,179</t>
  </si>
  <si>
    <t>116,216,146,160,210,205,108,215,218</t>
  </si>
  <si>
    <t>163,180,169,201,122,172,203,159,191,197</t>
  </si>
  <si>
    <t>141,174,101,155,109,107,105,164,156</t>
  </si>
  <si>
    <t>166,211,219,129,128,171,194,137,134,206</t>
  </si>
  <si>
    <t>200</t>
  </si>
  <si>
    <t>179,196,157,117,142,100,170</t>
  </si>
  <si>
    <t>180,197,207</t>
  </si>
  <si>
    <t>116,146,160,190,192,205,215</t>
  </si>
  <si>
    <t>114,138,145,104,135,221,198,103,153,152,208,127</t>
  </si>
  <si>
    <t>123,140,195,168,113,167,189,125,110</t>
  </si>
  <si>
    <t>123,140,195,168,113,158,167,189,125,110</t>
  </si>
  <si>
    <t>118,175,179,166,174,120,211,217,219,178,128,132,136,177,171,133,157,220,117,156,194,212,199,143,193,183,165,100,137,134,170,206</t>
  </si>
  <si>
    <t>163,180,169,201,203,159,197,207</t>
  </si>
  <si>
    <t>163,169,201,203,159</t>
  </si>
  <si>
    <t>179,120,217,157,117,100,170</t>
  </si>
  <si>
    <t>175,166,219,128,177,171,194,137,206</t>
  </si>
  <si>
    <t>211,134</t>
  </si>
  <si>
    <t>118,184,178,124,133,202,212,199,143,183</t>
  </si>
  <si>
    <t>173,179,120,217,111,196,115,157,117,100</t>
  </si>
  <si>
    <t>114,138,200,145,135,221,153,208,100,117,157,115,196,111,217,120,179,173</t>
  </si>
  <si>
    <t>188,195,204,167,189,125,110</t>
  </si>
  <si>
    <t>155,109,107,136,220,164,162,150</t>
  </si>
  <si>
    <t>180,201,182,159,207</t>
  </si>
  <si>
    <t>175,211,129,128,102,177,186,171,194,137,134</t>
  </si>
  <si>
    <t>210,190,192,149,108,218</t>
  </si>
  <si>
    <t>127</t>
  </si>
  <si>
    <t>118,184,178,124,133,202,199,143</t>
  </si>
  <si>
    <t>116,216,146,121,160,205,215,218</t>
  </si>
  <si>
    <t>141,174,136,105,220,164</t>
  </si>
  <si>
    <t>163,180,201,122,203,159,197,207</t>
  </si>
  <si>
    <t>179,120,115,157,117,142,100</t>
  </si>
  <si>
    <t>140,195,151,168,113,167,189,110</t>
  </si>
  <si>
    <t>204</t>
  </si>
  <si>
    <t>175,129,128,102,177,137</t>
  </si>
  <si>
    <t>179,120,157,117,142,100</t>
  </si>
  <si>
    <t>211,129,128,102,177,137</t>
  </si>
  <si>
    <t>174,155,136</t>
  </si>
  <si>
    <t>179,120,117,142,100</t>
  </si>
  <si>
    <t>180,179,116,145,174,140,155,184,135,120,211,168,178,129,128,102,113,124,167,136,122,189,133,208,117,202,205,142,199,108,143,197,207,110,218,100,137,134</t>
  </si>
  <si>
    <t>114,104</t>
  </si>
  <si>
    <t>188,140,195,168,167,125,110</t>
  </si>
  <si>
    <t>118,178,133,212,143,193</t>
  </si>
  <si>
    <t>179,120,196,115,117,100</t>
  </si>
  <si>
    <t>179,120,181,196,115,117,100</t>
  </si>
  <si>
    <t>116,216,121,210,190,192,205,108,215</t>
  </si>
  <si>
    <t>175,211,129,137</t>
  </si>
  <si>
    <t>163,180,201,122,159,197,207</t>
  </si>
  <si>
    <t>114,138,200,104,221,198,152,208</t>
  </si>
  <si>
    <t>116,216,146,121,160,210,190,192,205,108,215</t>
  </si>
  <si>
    <t>140,195,204,168,167,189,125,110</t>
  </si>
  <si>
    <t>141,174,155,107,136,220,162,150</t>
  </si>
  <si>
    <t>188</t>
  </si>
  <si>
    <t>173,179,111,181,196,115,157,170</t>
  </si>
  <si>
    <t>200,145,221,198,153,152,208,127</t>
  </si>
  <si>
    <t>145,198,103,152,208,127</t>
  </si>
  <si>
    <t>138,135</t>
  </si>
  <si>
    <t>151,168,167,125,110</t>
  </si>
  <si>
    <t>140,195,204,189</t>
  </si>
  <si>
    <t>141,174,155,107,136,220</t>
  </si>
  <si>
    <t>179,111,115,157,117,142,170</t>
  </si>
  <si>
    <t>118,184,178,124,133,202,212,199,143,193,165,161</t>
  </si>
  <si>
    <t>118,184,178,133,212,199,143,193</t>
  </si>
  <si>
    <t>202,165,161</t>
  </si>
  <si>
    <t>175,211,219,129,128,102,186,171,194,137,206</t>
  </si>
  <si>
    <t>201,159,197,207</t>
  </si>
  <si>
    <t>180</t>
  </si>
  <si>
    <t>180,201,159,207</t>
  </si>
  <si>
    <t>135,151</t>
  </si>
  <si>
    <t>221,153</t>
  </si>
  <si>
    <t>114,138,145,104,135,198,103,153,152,208,127</t>
  </si>
  <si>
    <t>163,180,144,201,122,182,159,197</t>
  </si>
  <si>
    <t>123,188,140,195,204,151,168,113,158,167,125,110</t>
  </si>
  <si>
    <t>169</t>
  </si>
  <si>
    <t>116,216,146,121,160,210,190,192,108,215,218</t>
  </si>
  <si>
    <t>114,104,221,198,103,153,208,127</t>
  </si>
  <si>
    <t>178,132,133,199,143,193,183,127,208,153,103,198,221,104,114</t>
  </si>
  <si>
    <t>116,146,121,160,205,108</t>
  </si>
  <si>
    <t>163,180,144,201,122,197,183,193,143,199,133,132,178,127,208,153,103,198,221,104,114</t>
  </si>
  <si>
    <t>174,101,155,107,164</t>
  </si>
  <si>
    <t>216,215</t>
  </si>
  <si>
    <t>179,196,115,157,142,100,170</t>
  </si>
  <si>
    <t>188,140,195,151,168,113,158,167,189,125,110</t>
  </si>
  <si>
    <t>179,196,115,157,142,100</t>
  </si>
  <si>
    <t>141,136</t>
  </si>
  <si>
    <t>188,140,195,151,168,113,158,167,189,125</t>
  </si>
  <si>
    <t>117,170</t>
  </si>
  <si>
    <t>120,117,170</t>
  </si>
  <si>
    <t>123,110</t>
  </si>
  <si>
    <t>175,211,219,129,128,102,177,186,171,194,137,134,206</t>
  </si>
  <si>
    <t>175,166,211,219,129,128,177,186,171,194,137,206</t>
  </si>
  <si>
    <t>102,134</t>
  </si>
  <si>
    <t>141,174,101,155,109,107,136,220,164,156,162</t>
  </si>
  <si>
    <t>118,184,178,132,133,202,212,199,143,193,183,165,161</t>
  </si>
  <si>
    <t>118,184,178,132,133,202,212,199,143,193,183,165</t>
  </si>
  <si>
    <t>141,174,169,217,151,168,181,132,153,171,115,182,159,199,108,215,207,134</t>
  </si>
  <si>
    <t>173,179,111,196,115,157,117,100</t>
  </si>
  <si>
    <t>163,180,169,144,201,122,182,159,197,207</t>
  </si>
  <si>
    <t>178,124,133,202,199,143,193,183,165</t>
  </si>
  <si>
    <t>174,155,107,220,164,156</t>
  </si>
  <si>
    <t>175,166,211,219,129,128,177,186,171,194,137,134</t>
  </si>
  <si>
    <t>123,140,195,151,168,113,158,167,189,125,110</t>
  </si>
  <si>
    <t>116,146,121,160,210,190,192,149,205,108,218</t>
  </si>
  <si>
    <t>123,188,140,195,151,168,113,158,167,189,125,110</t>
  </si>
  <si>
    <t>174,155,136,164,162</t>
  </si>
  <si>
    <t>179,120,181,196,117,142,100,170</t>
  </si>
  <si>
    <t>123,188,140,195,151,168,113,158,189,125</t>
  </si>
  <si>
    <t>123,188,140,195,204,151,168,113,158,189,125</t>
  </si>
  <si>
    <t>118,184,178,132,124,133,202,212,199,143,193,183,165,161</t>
  </si>
  <si>
    <t>123,188,140,195,204,151,168,113,158,189,125,110</t>
  </si>
  <si>
    <t>114,145,104,135,221,198,103,153,152,208</t>
  </si>
  <si>
    <t>141,174,101,155,109,136,164,156,162</t>
  </si>
  <si>
    <t>163,180,169,144,201,122,203,182,159,197,207</t>
  </si>
  <si>
    <t>166,211,129,128,177,186,171,194,137,206</t>
  </si>
  <si>
    <t>116,216,146,121,160,210,190,192,205,108,215,218</t>
  </si>
  <si>
    <t>179,217,115,157,117</t>
  </si>
  <si>
    <t>179,217,115,157</t>
  </si>
  <si>
    <t>184,178,132,133,199,143,193</t>
  </si>
  <si>
    <t>174,155,107,164,156</t>
  </si>
  <si>
    <t>211,128,102,186,194,134</t>
  </si>
  <si>
    <t>146,160,108,215</t>
  </si>
  <si>
    <t>123,151,158,125</t>
  </si>
  <si>
    <t>144,207</t>
  </si>
  <si>
    <t>145,152,208</t>
  </si>
  <si>
    <t>178,124,133,199,143,183</t>
  </si>
  <si>
    <t>196,115,142,100</t>
  </si>
  <si>
    <t>138,135,208,127</t>
  </si>
  <si>
    <t>180,122,207</t>
  </si>
  <si>
    <t>140,195,113,158,189,125,110</t>
  </si>
  <si>
    <t>216,146,160,205,108,215,218</t>
  </si>
  <si>
    <t>101,155,107,136,164,156</t>
  </si>
  <si>
    <t>196,115,157,142,100</t>
  </si>
  <si>
    <t>211,177,186,194</t>
  </si>
  <si>
    <t>188,140,195,113,158,189,110</t>
  </si>
  <si>
    <t>163,180,169,201,122,182,159,197,207</t>
  </si>
  <si>
    <t>141,174,155,109,107,136,220,164</t>
  </si>
  <si>
    <t>114,138,145,104,135,221,198,103,152,208</t>
  </si>
  <si>
    <t>118,184,178,132,124,133,212,199,143,193,183,165,161</t>
  </si>
  <si>
    <t>179,120,181,115,157,117,142,100,170</t>
  </si>
  <si>
    <t>123,188,195,204,168,113,158,167,189,125,110</t>
  </si>
  <si>
    <t>175,166,211,129,128,102,177,186,171,194,137,134</t>
  </si>
  <si>
    <t>118,184,178,132,124,133,202,212,199,143,193,183,165</t>
  </si>
  <si>
    <t>114,104,221,198,103,153,152,208,127</t>
  </si>
  <si>
    <t>179,120,217,111,181,196,157,170</t>
  </si>
  <si>
    <t>117</t>
  </si>
  <si>
    <t>175,219,186,171,194,206</t>
  </si>
  <si>
    <t>211,129,137</t>
  </si>
  <si>
    <t>178,124,212,199,193,165</t>
  </si>
  <si>
    <t>132</t>
  </si>
  <si>
    <t>188,151,168,158,167,189,125,110</t>
  </si>
  <si>
    <t>144,201,122,159,197</t>
  </si>
  <si>
    <t>174,101,155,107,136,220,164</t>
  </si>
  <si>
    <t>180,175,179,123,116,145,166,174,169,184,204,211,217,219,107,151,146,168,178,129,198,128,181,103,102,132,158,144,167,160,136,153,186,171,152,115,133,190,157,208,117,156,194,159,205,125,108,143,215,197,207,193,165,134,170,206</t>
  </si>
  <si>
    <t>121</t>
  </si>
  <si>
    <t>175,166,211,219,177,186,171,194,137,134</t>
  </si>
  <si>
    <t>129,128</t>
  </si>
  <si>
    <t>118,184,178,132,124,133,202,212,199,193,165,161</t>
  </si>
  <si>
    <t>116,216,146,121,160,210,190,192,149,108,215,218</t>
  </si>
  <si>
    <t>114,138,104,135,221,198,153,152,208,127</t>
  </si>
  <si>
    <t>174,101,155,107,220,164,156</t>
  </si>
  <si>
    <t>163,180,169,144,201,122,203,159,197</t>
  </si>
  <si>
    <t>179,196,157,117,100</t>
  </si>
  <si>
    <t>109,136</t>
  </si>
  <si>
    <t>175,211,219,128,177,171,137</t>
  </si>
  <si>
    <t>141,174,155,107,220,164,156,150</t>
  </si>
  <si>
    <t>173,179,120,111,115,157,117,142,170</t>
  </si>
  <si>
    <t>196,100</t>
  </si>
  <si>
    <t>118,184,178,132,133,212,199,143,183,165</t>
  </si>
  <si>
    <t>124,183</t>
  </si>
  <si>
    <t>114,138,145,104,135,221,198,103,153,152,208</t>
  </si>
  <si>
    <t>123,188,140,195,204,113,158,167,125,110</t>
  </si>
  <si>
    <t>163,180,169,201,122,203,182,159,197,207</t>
  </si>
  <si>
    <t>141,174,155,107,220,164,150</t>
  </si>
  <si>
    <t>123,204,168,158,167,125</t>
  </si>
  <si>
    <t>216,210,190,192,149,205,108</t>
  </si>
  <si>
    <t>146,160,215</t>
  </si>
  <si>
    <t>179,111,115,157</t>
  </si>
  <si>
    <t>211,219,129,102,194,137,134</t>
  </si>
  <si>
    <t>163,169,201,203,182,159,197</t>
  </si>
  <si>
    <t>118,184,178,132,202,212,199,161</t>
  </si>
  <si>
    <t>175,166,211,219,129,128,102,186,171,194,137,134,206</t>
  </si>
  <si>
    <t>179,217,196,157,117,142,100,170</t>
  </si>
  <si>
    <t>118,184,178,132,124,133,202,212,199,143,193,161</t>
  </si>
  <si>
    <t>116,146,121,160,210,190,192,149,205,215,218</t>
  </si>
  <si>
    <t>163,180,169,144,122,203,182,159,197</t>
  </si>
  <si>
    <t>141,174,155,109,107,220,164,156</t>
  </si>
  <si>
    <t>201</t>
  </si>
  <si>
    <t>123,188,140,195,204,151,168,158,167,189,125,110</t>
  </si>
  <si>
    <t>175,219,129,102,177,186,171,194,206</t>
  </si>
  <si>
    <t>101,155,107,136,220,164,156</t>
  </si>
  <si>
    <t>175,219,129,128,102,177,186,171,194,134,206</t>
  </si>
  <si>
    <t>166,211</t>
  </si>
  <si>
    <t>180,169,144,201,122,182,159,197,207</t>
  </si>
  <si>
    <t>150</t>
  </si>
  <si>
    <t>114,138,145,104,135,198,103,152,208,127,207,197,159,182,122,201,144,169,180</t>
  </si>
  <si>
    <t>184,178,132,124,133,202,143,193,183,165</t>
  </si>
  <si>
    <t>123,188,140,195,168,113,158,167,189,125,110</t>
  </si>
  <si>
    <t>116,216,146,121,160,192,205,108,215,218</t>
  </si>
  <si>
    <t>155,107,136,220,164,156,150</t>
  </si>
  <si>
    <t>211,219,129,177,134,206</t>
  </si>
  <si>
    <t>129</t>
  </si>
  <si>
    <t>129,128,171</t>
  </si>
  <si>
    <t>198,103,152,208,127</t>
  </si>
  <si>
    <t>188,140,195,204,113,158,167,189,125,110</t>
  </si>
  <si>
    <t>180,169,201,122,197,207</t>
  </si>
  <si>
    <t>173,217,111,196,115,157,142,100,170</t>
  </si>
  <si>
    <t>120,117</t>
  </si>
  <si>
    <t>175,129,128,171</t>
  </si>
  <si>
    <t>159</t>
  </si>
  <si>
    <t>118,184,178,133,212,143,193,161</t>
  </si>
  <si>
    <t>202,183,165</t>
  </si>
  <si>
    <t>116,216,146,121,160,190,192,149,205,108,215,218</t>
  </si>
  <si>
    <t>163,159</t>
  </si>
  <si>
    <t>141,101,155,107,136,220,164,156</t>
  </si>
  <si>
    <t>180,169,201,122,159,197</t>
  </si>
  <si>
    <t>118,184,178,124,133,202,212,193,183,161</t>
  </si>
  <si>
    <t>114,138,145,104,135,221,198,153,152,208</t>
  </si>
  <si>
    <t>116,216,146,210,190,192,149,205,108,215,218</t>
  </si>
  <si>
    <t>175,166,211,219,129,128,102,177,186,171,194,137,134</t>
  </si>
  <si>
    <t>179,217,181,196,157,117,100,170</t>
  </si>
  <si>
    <t>151,113,158,189,125</t>
  </si>
  <si>
    <t>123,195,204,151,168,113,158,189,125,110</t>
  </si>
  <si>
    <t>184,178,133,199,143,165,161</t>
  </si>
  <si>
    <t>118,124,212</t>
  </si>
  <si>
    <t>179,217,111,115,157,117,142,100,170</t>
  </si>
  <si>
    <t>173,196</t>
  </si>
  <si>
    <t>116,216,121,160,190,192,205</t>
  </si>
  <si>
    <t>188,140,195,204,168,113,158,189,125,110</t>
  </si>
  <si>
    <t>163,180,169,122,182,197,207</t>
  </si>
  <si>
    <t>201,159</t>
  </si>
  <si>
    <t>114,138,145,104,135,221,198,153,208</t>
  </si>
  <si>
    <t>173,179,217,111,181,196,115,157,117,142,100,170</t>
  </si>
  <si>
    <t>141,101,155,136,220,164,156,150</t>
  </si>
  <si>
    <t>175,219,129,177,186,171,194,137,206</t>
  </si>
  <si>
    <t>114,145,104,198,103,153,152,208</t>
  </si>
  <si>
    <t>118,178,212,199,193,165</t>
  </si>
  <si>
    <t>179,217,111,181,157,142</t>
  </si>
  <si>
    <t>140,195,204,151,168,113,167,189,125,110</t>
  </si>
  <si>
    <t>180,201,122,159</t>
  </si>
  <si>
    <t>211,219,128,102,177,186,171,194,137,134</t>
  </si>
  <si>
    <t>216,146,160,210,190,192,205,218</t>
  </si>
  <si>
    <t>174,155,136,220,164</t>
  </si>
  <si>
    <t>141,101,155,109,107,136,164,156,150</t>
  </si>
  <si>
    <t>114,138,145,104,135,198,103,152,208</t>
  </si>
  <si>
    <t>118,178,124,133,212,199,143,193,183,161</t>
  </si>
  <si>
    <t>184,202</t>
  </si>
  <si>
    <t>173,179,217,111,196,157,117,142,100,170</t>
  </si>
  <si>
    <t>163,180,169,144,201,122,159,197,207</t>
  </si>
  <si>
    <t>184,132,202</t>
  </si>
  <si>
    <t>166,219,129,102,177,186,171,194</t>
  </si>
  <si>
    <t>128,137</t>
  </si>
  <si>
    <t>116,216,146,210,190,192,149,205,215</t>
  </si>
  <si>
    <t>116,216,146,210,190,192,149,205,215,218</t>
  </si>
  <si>
    <t>160,108</t>
  </si>
  <si>
    <t>163,180,169,144,201,182,159,197,207</t>
  </si>
  <si>
    <t>173,179,217,111,196,115,157,117,100,170</t>
  </si>
  <si>
    <t>116,216,146,160,210,190,192,149,205,108,215,218</t>
  </si>
  <si>
    <t>123,140,195,204,151,168,113,158,189,125,110</t>
  </si>
  <si>
    <t>123,140,195,204,151,168,113,158,167,189,125,110</t>
  </si>
  <si>
    <t>101,155,107,136,164,156,150</t>
  </si>
  <si>
    <t>166,211,219,129,128,102,177,186,171,194,137,134</t>
  </si>
  <si>
    <t>138,145,135,221,198,103,153,152,208</t>
  </si>
  <si>
    <t>118,178,132,124,133,202,212,143,193,183,165,161</t>
  </si>
  <si>
    <t>118,178,132,133,202,212,199</t>
  </si>
  <si>
    <t>163,180,169,201,203,159</t>
  </si>
  <si>
    <t>179,115,157,170</t>
  </si>
  <si>
    <t>163,180,169,201,203,182,159</t>
  </si>
  <si>
    <t>114,145,104,221,198,103,152,208,127</t>
  </si>
  <si>
    <t>175,166,219,129,128,102,177,186,171,194,137,134</t>
  </si>
  <si>
    <t>184,161</t>
  </si>
  <si>
    <t>116,216,146,160,210,149,205,108,215,218</t>
  </si>
  <si>
    <t>123,140,195,204,151,168,113,158,167,189,125</t>
  </si>
  <si>
    <t>155,107,136,220,156</t>
  </si>
  <si>
    <t>179,181,157,117</t>
  </si>
  <si>
    <t>142,100</t>
  </si>
  <si>
    <t>196,142,100</t>
  </si>
  <si>
    <t>138,198,103,208</t>
  </si>
  <si>
    <t>116,160,205,108,215</t>
  </si>
  <si>
    <t>163,180,144,159,207</t>
  </si>
  <si>
    <t>188,140,195,151,113,158,167,189,125,110</t>
  </si>
  <si>
    <t>118,178,132,133,202,199,143,193</t>
  </si>
  <si>
    <t>175,166,211,219,128,177,186,194,137</t>
  </si>
  <si>
    <t>120</t>
  </si>
  <si>
    <t>116,216,146,160,190,192,149,205,108,215,218</t>
  </si>
  <si>
    <t>114,145,104,221,198,103,153,152,208</t>
  </si>
  <si>
    <t>141,174,101,155,107,136,164,150</t>
  </si>
  <si>
    <t>211,219,129,128,102,186,194</t>
  </si>
  <si>
    <t>204,151,158,167,189,125,110</t>
  </si>
  <si>
    <t>179,120,217,111,181,115,157,117</t>
  </si>
  <si>
    <t>173</t>
  </si>
  <si>
    <t>118,184,178,132,124,133,202,212,199,143,193</t>
  </si>
  <si>
    <t>169,144,201,122,197,207</t>
  </si>
  <si>
    <t>180,144,197,207</t>
  </si>
  <si>
    <t>123,140,195,113,158,167,189,125,110</t>
  </si>
  <si>
    <t>145,198</t>
  </si>
  <si>
    <t>166,211,219,129,128,102,177,186,194,134</t>
  </si>
  <si>
    <t>179,217,181,115,157,117,170</t>
  </si>
  <si>
    <t>146,190,192,108,215</t>
  </si>
  <si>
    <t>184,178,132,133,199,143</t>
  </si>
  <si>
    <t>166,219,129,128,102,177,171,194,137</t>
  </si>
  <si>
    <t>174,101,155,109,107,136,164,150,137,194,171,177,102,128,129,219,166</t>
  </si>
  <si>
    <t>123,188,140,195,204,151,168,113,167,189,125,110,150,164,136,107,109,155,101,174,137,194,171,177,102,128,129,219,166</t>
  </si>
  <si>
    <t>103,152,208,110,125,189,167,113,168,151,204,195,140,188,123,150,164,136,107,109,155,101,174,137,194,171,177,102,128,129,219,166</t>
  </si>
  <si>
    <t>180,201,122,182,159,197,207,208,152,103,110,125,189,167,113,168,151,204,195,140,188,123,150,164,136,107,109,155,101,174,137,194,171,177,102,128,129,219,166</t>
  </si>
  <si>
    <t>132,124,133,199,193,161</t>
  </si>
  <si>
    <t>116,146,160,210,190,192,205,215,218</t>
  </si>
  <si>
    <t>111,196,157,117,100</t>
  </si>
  <si>
    <t>174,101,155,109,107,136,164,150</t>
  </si>
  <si>
    <t>123,188,195,204,151,168,113,167,189,125</t>
  </si>
  <si>
    <t>145,103,152,208</t>
  </si>
  <si>
    <t>180,144,182,197,207</t>
  </si>
  <si>
    <t>116,146,160,210,190,192,215,218</t>
  </si>
  <si>
    <t>111,196,117,100</t>
  </si>
  <si>
    <t>118,201,205,212,110</t>
  </si>
  <si>
    <t>179,111,181,115,157,117,100</t>
  </si>
  <si>
    <t>118,184,178,132,124,133,202,212,199,193,183,161</t>
  </si>
  <si>
    <t>123,188,140,195,204,151,168,113,167,189,125,110</t>
  </si>
  <si>
    <t>219,129,128,102,177,186,194,137,134</t>
  </si>
  <si>
    <t>141,174,101,155,109,107,136,156,150</t>
  </si>
  <si>
    <t>116,216,146,210,192,205,215</t>
  </si>
  <si>
    <t>169,144,201,122,203,197,207</t>
  </si>
  <si>
    <t>138,135,221,198,152,208,127</t>
  </si>
  <si>
    <t>180,169,201,182,197</t>
  </si>
  <si>
    <t>123,140,195,204,113,158,167,189,125,110</t>
  </si>
  <si>
    <t>103</t>
  </si>
  <si>
    <t>116,216,190,192,205,108,215</t>
  </si>
  <si>
    <t>207</t>
  </si>
  <si>
    <t>118,178,132,133,212,199,193,183,161</t>
  </si>
  <si>
    <t>184,143</t>
  </si>
  <si>
    <t>173,179,217,111,181,115,157,117,142,100,170</t>
  </si>
  <si>
    <t>175,166,219,129,177</t>
  </si>
  <si>
    <t>141,174,101,155,107,136,164,156,150</t>
  </si>
  <si>
    <t>174,101,155,107,136,164,156</t>
  </si>
  <si>
    <t>175,166,211,219,128,102,177,171,194,137,134</t>
  </si>
  <si>
    <t>163,180,169,144,122,182,159,197,207</t>
  </si>
  <si>
    <t>141,174,155,109,107,164,156</t>
  </si>
  <si>
    <t>118,184,178,124,133,199,143,193,183,161</t>
  </si>
  <si>
    <t>132,202,212</t>
  </si>
  <si>
    <t>175,166,211,219,129,128,102,177,186,171,194,134</t>
  </si>
  <si>
    <t>116,216,146,121,160,210,149,205,108,215,218</t>
  </si>
  <si>
    <t>114,138,145,104,135,198,103,152,208,127</t>
  </si>
  <si>
    <t>179,120,181,196,157,117,142,100</t>
  </si>
  <si>
    <t>179,120,181,196,157,117,142,100,170</t>
  </si>
  <si>
    <t>123,188,140,195,204,168,113,158,167,189,110</t>
  </si>
  <si>
    <t>180,144,201,122,182,159,197</t>
  </si>
  <si>
    <t>118,184,178,132,124,133,212,199,143,193,183,161</t>
  </si>
  <si>
    <t>160,190,192,108,218</t>
  </si>
  <si>
    <t>115</t>
  </si>
  <si>
    <t>141,174,155,218,108,192,190,160</t>
  </si>
  <si>
    <t>211,129,128,102,171,134</t>
  </si>
  <si>
    <t>151,158</t>
  </si>
  <si>
    <t>178,132,133,193</t>
  </si>
  <si>
    <t>163,144,201</t>
  </si>
  <si>
    <t>118,163,138,180,175,179,123,116,145,166,174,216,188,140,101,169,155,184,135,120,195,204,211,217,219,107,111,168,178,198,128,181,103,121,102,132,113,124,158,144,167,160,136,177,122,171,196,189,152,133,190,157,192,164,208,117,156,194,182,159,205,212,125,199,108,143,215,197,207,110,193,183,218,100,137,161,134</t>
  </si>
  <si>
    <t>142</t>
  </si>
  <si>
    <t>175,211,219,129,128,102,177,186,171,194,134</t>
  </si>
  <si>
    <t>169,201,122,182,197</t>
  </si>
  <si>
    <t>118,184,178,124,133,199,193,183</t>
  </si>
  <si>
    <t>143,161</t>
  </si>
  <si>
    <t>174,101,155,109,107,136,164,156</t>
  </si>
  <si>
    <t>173,179,120,115,157,117</t>
  </si>
  <si>
    <t>116,216,121,160,210,190,192,149,205,108,215,218</t>
  </si>
  <si>
    <t>114,145,104,135,221,198,103,152,208</t>
  </si>
  <si>
    <t>196</t>
  </si>
  <si>
    <t>188,204,151,168,113,158,167,125</t>
  </si>
  <si>
    <t>163,180,207</t>
  </si>
  <si>
    <t>118,141,179,166,101,109,219,107,178,129,181,132,136,186,171,117</t>
  </si>
  <si>
    <t>155,202</t>
  </si>
  <si>
    <t>114,138,180,123,116,174,104,151,146,102,156,212,199,183,100,137,134,170</t>
  </si>
  <si>
    <t>216</t>
  </si>
  <si>
    <t>144,218,110,159,201,153,221</t>
  </si>
  <si>
    <t>168,198,103,113,167,160,210,189,152,190,192,208,203,205,125,108,197,207</t>
  </si>
  <si>
    <t>211,219,129,102,186,194,137</t>
  </si>
  <si>
    <t>184,178,132,133,212,143</t>
  </si>
  <si>
    <t>217,117</t>
  </si>
  <si>
    <t>116,216,146,160,210,190,192,108,215,218</t>
  </si>
  <si>
    <t>123,204,151,168,158,167,125,110</t>
  </si>
  <si>
    <t>169,144,197,207</t>
  </si>
  <si>
    <t>101,155,136,156</t>
  </si>
  <si>
    <t>128,134</t>
  </si>
  <si>
    <t>114,145,104,153</t>
  </si>
  <si>
    <t>179,181,115,157</t>
  </si>
  <si>
    <t>219</t>
  </si>
  <si>
    <t>179,217,181,115,157</t>
  </si>
  <si>
    <t>219,194</t>
  </si>
  <si>
    <t>219,129,194</t>
  </si>
  <si>
    <t>219,129,186,194</t>
  </si>
  <si>
    <t>174,155,107,136,156,150</t>
  </si>
  <si>
    <t>173,179,217,111,181,115,157</t>
  </si>
  <si>
    <t>114,145,104,198,103,152,208,127,170</t>
  </si>
  <si>
    <t>116,216,146,160,190,149,205,108,215</t>
  </si>
  <si>
    <t>169,201,197,207</t>
  </si>
  <si>
    <t>123,140,204,151,167,189</t>
  </si>
  <si>
    <t>118,178,132,133,199,143,193,161</t>
  </si>
  <si>
    <t>211,128,102,186</t>
  </si>
  <si>
    <t>163,180,169,144,201,122,203,159,197,207</t>
  </si>
  <si>
    <t>175,166,211,219,129,128,102,177,186,171,194,137</t>
  </si>
  <si>
    <t>202,165</t>
  </si>
  <si>
    <t>116,216,146,160,210,190,192,205,108,215,218</t>
  </si>
  <si>
    <t>145,135,221,198,103,208,170</t>
  </si>
  <si>
    <t>179,217,111,181,196,115,157,117,100</t>
  </si>
  <si>
    <t>141,174,101,155,109,107,136,156</t>
  </si>
  <si>
    <t>175,128,177,186,194,137</t>
  </si>
  <si>
    <t>160,210,205,215</t>
  </si>
  <si>
    <t>195,151,168,189,125,110</t>
  </si>
  <si>
    <t>138,104,221,198</t>
  </si>
  <si>
    <t>184,178,132,124,133,212,143,193</t>
  </si>
  <si>
    <t>202,183</t>
  </si>
  <si>
    <t>180,169,201,122,159,207</t>
  </si>
  <si>
    <t>174,101,155,109,136,156</t>
  </si>
  <si>
    <t>114,145,104,221,198,152,208,170</t>
  </si>
  <si>
    <t>174,101,109,107,136,164,156</t>
  </si>
  <si>
    <t>211,219,129,128,102,186,171,194,134</t>
  </si>
  <si>
    <t>140,151,113,158,167,189,125</t>
  </si>
  <si>
    <t>217,181,196,157,117,142</t>
  </si>
  <si>
    <t>116,216,160,210,108,215,218</t>
  </si>
  <si>
    <t>175</t>
  </si>
  <si>
    <t>180,144,201,159</t>
  </si>
  <si>
    <t>184,178,199,193</t>
  </si>
  <si>
    <t>179,157,117</t>
  </si>
  <si>
    <t>179,115,157,117</t>
  </si>
  <si>
    <t>201,203</t>
  </si>
  <si>
    <t>155,156</t>
  </si>
  <si>
    <t>211,219,186,171,194</t>
  </si>
  <si>
    <t>174,155,156</t>
  </si>
  <si>
    <t>141,174,155,156</t>
  </si>
  <si>
    <t>141,174,155,107,164,156</t>
  </si>
  <si>
    <t>179,217,181,115,157,117,142</t>
  </si>
  <si>
    <t>141,174,155,107,136,164,156</t>
  </si>
  <si>
    <t>179,217,181,115,157,117,142,100</t>
  </si>
  <si>
    <t>141,174,155,107,136,164,156,150</t>
  </si>
  <si>
    <t>180,169,201,203,197,207</t>
  </si>
  <si>
    <t>118,184,178,132,133,212,199,143,183,161</t>
  </si>
  <si>
    <t>116,216,146,160,210,192,205,108,215,218</t>
  </si>
  <si>
    <t>166,211,219,128,102,177,186,171,194,134</t>
  </si>
  <si>
    <t>123,140,195,204,168,113,158,167,189,125,110</t>
  </si>
  <si>
    <t>169,140,166,116,123,179,175,180,173,170,134,137,100,127,218,150,183,207,197,215,143,108,199,125,202,194,156,117,208,157,133,115,171,153,177,160,167,158,124,113,132,102,103,181,128,198,178,168,107,219,217,211,135,184,155</t>
  </si>
  <si>
    <t>122,196,145</t>
  </si>
  <si>
    <t>118,184,178,132,124,133,199,193</t>
  </si>
  <si>
    <t>160,192,205,218</t>
  </si>
  <si>
    <t>146,108,215</t>
  </si>
  <si>
    <t>114,104,198,103,152,208,127</t>
  </si>
  <si>
    <t>169,144,201,122,203,182,159</t>
  </si>
  <si>
    <t>174,109,107,136,164,156</t>
  </si>
  <si>
    <t>180,182</t>
  </si>
  <si>
    <t>179,181,157,117,100</t>
  </si>
  <si>
    <t>196,142</t>
  </si>
  <si>
    <t>175,166,129,128,102,177,137,134</t>
  </si>
  <si>
    <t>123,140,195,168,167,189,125,110</t>
  </si>
  <si>
    <t>140,189,110</t>
  </si>
  <si>
    <t>152</t>
  </si>
  <si>
    <t>175,171,137,136</t>
  </si>
  <si>
    <t>121,205</t>
  </si>
  <si>
    <t>163,159,205,121</t>
  </si>
  <si>
    <t>144,197</t>
  </si>
  <si>
    <t>211,128,102</t>
  </si>
  <si>
    <t>198,208,170</t>
  </si>
  <si>
    <t>123,151,168,125</t>
  </si>
  <si>
    <t>158</t>
  </si>
  <si>
    <t>184,178,199</t>
  </si>
  <si>
    <t>132,133,143</t>
  </si>
  <si>
    <t>179,115,157</t>
  </si>
  <si>
    <t>116,160,108</t>
  </si>
  <si>
    <t>180,201</t>
  </si>
  <si>
    <t>115,157,142,100</t>
  </si>
  <si>
    <t>175,166,171,137</t>
  </si>
  <si>
    <t>121,160,210,205,108</t>
  </si>
  <si>
    <t>163,144,159</t>
  </si>
  <si>
    <t>211,219,129,128,194</t>
  </si>
  <si>
    <t>138,145,135,198,208</t>
  </si>
  <si>
    <t>184,178,132,133,212,199</t>
  </si>
  <si>
    <t>123,140,195,168,113,158,189,125,110</t>
  </si>
  <si>
    <t>145,135,221,198,103,153,152,208,127,170</t>
  </si>
  <si>
    <t>123,188,140,195,151,168,113,158,167,170,127,208,152,153,103,198,221,135,145</t>
  </si>
  <si>
    <t>123,188,140,195,151,168,113,158,167</t>
  </si>
  <si>
    <t>189,110</t>
  </si>
  <si>
    <t>180,144,122,159,197,207</t>
  </si>
  <si>
    <t>116,216,146,160,205,108,215,218</t>
  </si>
  <si>
    <t>175,166,211,219,129,128,102,177,171,194</t>
  </si>
  <si>
    <t>174,101,155,136,156</t>
  </si>
  <si>
    <t>184,178,132,124,133,199,143,193,183</t>
  </si>
  <si>
    <t>173,179,196,115,157,117,142,100</t>
  </si>
  <si>
    <t>211,219,129,128,102,177,186,171,194,137,134</t>
  </si>
  <si>
    <t>123,140,195,204,151,168,113,158,167,189,110</t>
  </si>
  <si>
    <t>180,169,144,201,182,159,197,207</t>
  </si>
  <si>
    <t>122</t>
  </si>
  <si>
    <t>141,174,101,155,136,156,150</t>
  </si>
  <si>
    <t>173,179,120,111,196,115,157,117,142,100</t>
  </si>
  <si>
    <t>184,178,132,133,199,143,193,183</t>
  </si>
  <si>
    <t>179,196,115,157,117,142,100</t>
  </si>
  <si>
    <t>138,141,179,145,166,174,140,169,219,128,158,153,171,196,115,208,117,182,202,205,108,143,197,110,183,100,134</t>
  </si>
  <si>
    <t>163,138,141,180,179,123,116,145,166,174,188,140,169,195,204,219,151,198,128,158,144,160,136,153,122,210,171,196,189,115,157,208,117,156,182,159,202,205,142,199,108,143,197,110,183,100,134</t>
  </si>
  <si>
    <t>181,115,117</t>
  </si>
  <si>
    <t>180,123,116,169,195,168,122,210,203,108,207</t>
  </si>
  <si>
    <t>166,184,211,109,181,177,196,156,212,143,161,134</t>
  </si>
  <si>
    <t>180,123,116,169,195,168,122,210,203,108,207,110</t>
  </si>
  <si>
    <t>174,101,155,120,178,129,102,136,133,100,137</t>
  </si>
  <si>
    <t>118,141,175,219,171,157,142</t>
  </si>
  <si>
    <t>135,151,121,113,158,167,189,190,192,208</t>
  </si>
  <si>
    <t>179,217,107,111,128,132,124,115,117,193,165,150</t>
  </si>
  <si>
    <t>204,103,144,160,152,182,159,218,127</t>
  </si>
  <si>
    <t>163,138,216,188,140,221,146,198,201,125,215,170</t>
  </si>
  <si>
    <t>205,197</t>
  </si>
  <si>
    <t>135,151,121,113,158,167,189,190,192,208,205,197</t>
  </si>
  <si>
    <t>199,183</t>
  </si>
  <si>
    <t>184,211,109,181,177,196,156,212,143,134</t>
  </si>
  <si>
    <t>180,123,116,169,195,122,210,108,207,110</t>
  </si>
  <si>
    <t>180,123,116,169,195,168,122,210,108,207,110</t>
  </si>
  <si>
    <t>179,217,107,128,124,164,117,193,165</t>
  </si>
  <si>
    <t>114,145,104,103,144,160,152,218</t>
  </si>
  <si>
    <t>175,219,171,157,142,199,183</t>
  </si>
  <si>
    <t>141,194</t>
  </si>
  <si>
    <t>138,188,140,221,146,198,201,125,215,170</t>
  </si>
  <si>
    <t>135,151,121,113,158,167,153,189,190,192,208,205,197</t>
  </si>
  <si>
    <t>175,219,171,157,202,142,199,183</t>
  </si>
  <si>
    <t>111,150</t>
  </si>
  <si>
    <t>179,217,107,128,117,193</t>
  </si>
  <si>
    <t>145,204,103,144,152,127</t>
  </si>
  <si>
    <t>211,181,156,143</t>
  </si>
  <si>
    <t>216,146,198,215,170</t>
  </si>
  <si>
    <t>123,116,169,168,210,108,207,110</t>
  </si>
  <si>
    <t>151,158,167,189,208,205,197</t>
  </si>
  <si>
    <t>173,174,101,155,178,129,102,136</t>
  </si>
  <si>
    <t>118,219,186,157,194,199</t>
  </si>
  <si>
    <t>123,116,195,122,203,108,207,110</t>
  </si>
  <si>
    <t>166,184,211,109,181,177,156,212,143,134</t>
  </si>
  <si>
    <t>123,116,195,122,203,149,108,207,110</t>
  </si>
  <si>
    <t>173,174,101,155,120,178,129,102,136,133,202,100</t>
  </si>
  <si>
    <t>151,113,158,167,153,189,190,192,208,205,197</t>
  </si>
  <si>
    <t>179,217,111,128,132,124,117,165,150</t>
  </si>
  <si>
    <t>114,145,104,204,103,144,160,152,182,127</t>
  </si>
  <si>
    <t>138,216,140,221,146,198,125,215,170</t>
  </si>
  <si>
    <t>118,141,175,219,186,171,157,194,142,199,183,137</t>
  </si>
  <si>
    <t>163,188</t>
  </si>
  <si>
    <t>149,168</t>
  </si>
  <si>
    <t>180,123,116,195,122,210,108,207</t>
  </si>
  <si>
    <t>135,151,113,167,153,189,192,208,197</t>
  </si>
  <si>
    <t>174,101,120,178,129,102,136,133,202,100</t>
  </si>
  <si>
    <t>138,188,140,146,198,201,125,215</t>
  </si>
  <si>
    <t>216,221</t>
  </si>
  <si>
    <t>114,145,104,103,144,160,182,159,218</t>
  </si>
  <si>
    <t>166,184,211,109,177,156,212,143</t>
  </si>
  <si>
    <t>179,217,128,132,115,117,193</t>
  </si>
  <si>
    <t>118,141,175,219,199,183,137</t>
  </si>
  <si>
    <t>180,123,116,195,210,108,207</t>
  </si>
  <si>
    <t>135,113,158,167,192,208,205,197</t>
  </si>
  <si>
    <t>179,107,128,132,117,193,165</t>
  </si>
  <si>
    <t>175,219,157,142,199,183</t>
  </si>
  <si>
    <t>118</t>
  </si>
  <si>
    <t>114,145,104,103,144,160,152,159,218</t>
  </si>
  <si>
    <t>221,146,198,201,125,215,170</t>
  </si>
  <si>
    <t>174,120,178,129,136,133,100</t>
  </si>
  <si>
    <t>101,102</t>
  </si>
  <si>
    <t>174,101,120,178,129,102,136,133</t>
  </si>
  <si>
    <t>175,219,186,157,194,142,199,183</t>
  </si>
  <si>
    <t>180,123,116,195,122,210,207,110</t>
  </si>
  <si>
    <t>166,184,109,181,177,196,156,212,143,134</t>
  </si>
  <si>
    <t>173,174,101,178,102,136,133,100</t>
  </si>
  <si>
    <t>179,217,111,124,115,193,150</t>
  </si>
  <si>
    <t>179,217,111,128,132,124,115,193,150</t>
  </si>
  <si>
    <t>138,216,188,140,221,146,198,201,125,215</t>
  </si>
  <si>
    <t>166,184,211,109,181,177,196,156,212,143,134</t>
  </si>
  <si>
    <t>179,217,111,128,132,124,115,117,193,165,150</t>
  </si>
  <si>
    <t>118,141,175,219,157,142,199,183,137</t>
  </si>
  <si>
    <t>118,141,175,219,186,157,194,142,199,183,137</t>
  </si>
  <si>
    <t>135,113,158,167,189,208,205,197</t>
  </si>
  <si>
    <t>114,145,104,204,103,144,160,152,182,159,218</t>
  </si>
  <si>
    <t>163,138,216,188,140,221,146,198,201,125,215</t>
  </si>
  <si>
    <t>186,194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</si>
</sst>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&quot;/&quot;mm&quot;/&quot;yyyy"/>
    <numFmt numFmtId="165" formatCode="m/d/yyyy"/>
    <numFmt numFmtId="166" formatCode="d&quot;/&quot;m&quot;/&quot;yy"/>
    <numFmt numFmtId="167" formatCode="m/d/yy"/>
  </numFmts>
  <fonts count="11">
    <font>
      <sz val="10.0"/>
      <color rgb="FF000000"/>
      <name val="Arial"/>
      <scheme val="minor"/>
    </font>
    <font>
      <b/>
      <sz val="9.0"/>
      <color theme="1"/>
      <name val="Archivo"/>
    </font>
    <font>
      <sz val="9.0"/>
      <color theme="1"/>
      <name val="Archivo"/>
    </font>
    <font>
      <color theme="1"/>
      <name val="Archivo"/>
    </font>
    <font>
      <sz val="9.0"/>
      <color rgb="FF000000"/>
      <name val="&quot;Anthropic Sans&quot;"/>
    </font>
    <font>
      <color rgb="FF000000"/>
      <name val="&quot;Anthropic Sans&quot;"/>
    </font>
    <font>
      <color theme="1"/>
      <name val="Arial"/>
      <scheme val="minor"/>
    </font>
    <font>
      <color rgb="FF000000"/>
      <name val="Archivo"/>
    </font>
    <font>
      <b/>
      <i/>
      <sz val="9.0"/>
      <color theme="1"/>
      <name val="Archivo"/>
    </font>
    <font/>
    <font>
      <b/>
      <color theme="1"/>
      <name val="Archivo"/>
    </font>
  </fonts>
  <fills count="7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EDCD1"/>
      </left>
      <right style="thin">
        <color rgb="FFDEDCD1"/>
      </right>
      <top style="thin">
        <color rgb="FFDEDCD1"/>
      </top>
      <bottom style="thin">
        <color rgb="FFDEDCD1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49" xfId="0" applyAlignment="1" applyBorder="1" applyFont="1" applyNumberFormat="1">
      <alignment horizontal="center" readingOrder="0" vertical="center"/>
    </xf>
    <xf borderId="1" fillId="3" fontId="2" numFmtId="0" xfId="0" applyAlignment="1" applyBorder="1" applyFill="1" applyFont="1">
      <alignment horizontal="center" readingOrder="0" vertical="center"/>
    </xf>
    <xf borderId="1" fillId="3" fontId="2" numFmtId="0" xfId="0" applyAlignment="1" applyBorder="1" applyFont="1">
      <alignment readingOrder="0" vertical="center"/>
    </xf>
    <xf borderId="1" fillId="0" fontId="2" numFmtId="0" xfId="0" applyAlignment="1" applyBorder="1" applyFont="1">
      <alignment readingOrder="0" vertical="center"/>
    </xf>
    <xf borderId="1" fillId="0" fontId="2" numFmtId="164" xfId="0" applyAlignment="1" applyBorder="1" applyFont="1" applyNumberFormat="1">
      <alignment horizontal="right" readingOrder="0" vertical="center"/>
    </xf>
    <xf borderId="1" fillId="0" fontId="2" numFmtId="0" xfId="0" applyAlignment="1" applyBorder="1" applyFont="1">
      <alignment horizontal="right" readingOrder="0" vertical="center"/>
    </xf>
    <xf borderId="1" fillId="0" fontId="2" numFmtId="0" xfId="0" applyAlignment="1" applyBorder="1" applyFont="1">
      <alignment horizontal="center" readingOrder="0" vertical="center"/>
    </xf>
    <xf borderId="1" fillId="0" fontId="2" numFmtId="4" xfId="0" applyAlignment="1" applyBorder="1" applyFont="1" applyNumberFormat="1">
      <alignment horizontal="center" readingOrder="0" vertical="center"/>
    </xf>
    <xf borderId="1" fillId="0" fontId="2" numFmtId="0" xfId="0" applyAlignment="1" applyBorder="1" applyFont="1">
      <alignment horizontal="right" readingOrder="0" shrinkToFit="0" vertical="center" wrapText="1"/>
    </xf>
    <xf borderId="1" fillId="4" fontId="2" numFmtId="0" xfId="0" applyAlignment="1" applyBorder="1" applyFill="1" applyFont="1">
      <alignment horizontal="right" readingOrder="0" vertical="center"/>
    </xf>
    <xf borderId="1" fillId="3" fontId="2" numFmtId="0" xfId="0" applyAlignment="1" applyBorder="1" applyFont="1">
      <alignment horizontal="center" readingOrder="0" shrinkToFit="0" vertical="center" wrapText="1"/>
    </xf>
    <xf borderId="1" fillId="3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2" numFmtId="164" xfId="0" applyAlignment="1" applyBorder="1" applyFont="1" applyNumberFormat="1">
      <alignment horizontal="right" readingOrder="0" shrinkToFit="0" vertical="center" wrapText="1"/>
    </xf>
    <xf borderId="1" fillId="0" fontId="2" numFmtId="165" xfId="0" applyAlignment="1" applyBorder="1" applyFont="1" applyNumberFormat="1">
      <alignment horizontal="right" readingOrder="0" vertical="center"/>
    </xf>
    <xf borderId="0" fillId="0" fontId="2" numFmtId="0" xfId="0" applyAlignment="1" applyFont="1">
      <alignment horizontal="right" readingOrder="0" vertical="center"/>
    </xf>
    <xf borderId="1" fillId="2" fontId="1" numFmtId="0" xfId="0" applyAlignment="1" applyBorder="1" applyFont="1">
      <alignment horizontal="center" readingOrder="0" shrinkToFit="0" vertical="center" wrapText="0"/>
    </xf>
    <xf borderId="0" fillId="0" fontId="3" numFmtId="0" xfId="0" applyAlignment="1" applyFont="1">
      <alignment shrinkToFit="0" vertical="center" wrapText="0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 shrinkToFit="0" vertical="bottom" wrapText="1"/>
    </xf>
    <xf borderId="0" fillId="0" fontId="3" numFmtId="0" xfId="0" applyAlignment="1" applyFont="1">
      <alignment shrinkToFit="0" wrapText="0"/>
    </xf>
    <xf borderId="2" fillId="0" fontId="4" numFmtId="0" xfId="0" applyAlignment="1" applyBorder="1" applyFont="1">
      <alignment horizontal="left" readingOrder="0"/>
    </xf>
    <xf borderId="2" fillId="0" fontId="5" numFmtId="0" xfId="0" applyAlignment="1" applyBorder="1" applyFont="1">
      <alignment readingOrder="0" vertical="top"/>
    </xf>
    <xf borderId="1" fillId="0" fontId="6" numFmtId="0" xfId="0" applyBorder="1" applyFont="1"/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2" fillId="0" fontId="5" numFmtId="0" xfId="0" applyAlignment="1" applyBorder="1" applyFont="1">
      <alignment vertical="top"/>
    </xf>
    <xf borderId="1" fillId="0" fontId="2" numFmtId="0" xfId="0" applyAlignment="1" applyBorder="1" applyFont="1">
      <alignment shrinkToFit="0" vertical="bottom" wrapText="0"/>
    </xf>
    <xf borderId="2" fillId="0" fontId="5" numFmtId="0" xfId="0" applyAlignment="1" applyBorder="1" applyFont="1">
      <alignment vertical="top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Font="1"/>
    <xf borderId="0" fillId="0" fontId="7" numFmtId="0" xfId="0" applyAlignment="1" applyFont="1">
      <alignment shrinkToFit="0" wrapText="0"/>
    </xf>
    <xf borderId="3" fillId="3" fontId="8" numFmtId="0" xfId="0" applyAlignment="1" applyBorder="1" applyFont="1">
      <alignment horizontal="center" shrinkToFit="0" vertical="center" wrapText="0"/>
    </xf>
    <xf borderId="4" fillId="0" fontId="9" numFmtId="0" xfId="0" applyBorder="1" applyFont="1"/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vertical="center"/>
    </xf>
    <xf borderId="0" fillId="0" fontId="3" numFmtId="0" xfId="0" applyFont="1"/>
    <xf borderId="0" fillId="0" fontId="2" numFmtId="0" xfId="0" applyAlignment="1" applyFont="1">
      <alignment readingOrder="0" shrinkToFit="0" vertical="center" wrapText="1"/>
    </xf>
    <xf borderId="3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/>
    </xf>
    <xf borderId="1" fillId="2" fontId="1" numFmtId="0" xfId="0" applyAlignment="1" applyBorder="1" applyFont="1">
      <alignment horizontal="center" readingOrder="0"/>
    </xf>
    <xf borderId="1" fillId="2" fontId="1" numFmtId="166" xfId="0" applyAlignment="1" applyBorder="1" applyFont="1" applyNumberFormat="1">
      <alignment horizontal="center"/>
    </xf>
    <xf borderId="1" fillId="2" fontId="1" numFmtId="166" xfId="0" applyAlignment="1" applyBorder="1" applyFont="1" applyNumberFormat="1">
      <alignment horizontal="center" readingOrder="0"/>
    </xf>
    <xf borderId="1" fillId="0" fontId="2" numFmtId="0" xfId="0" applyAlignment="1" applyBorder="1" applyFont="1">
      <alignment horizontal="center" vertical="center"/>
    </xf>
    <xf borderId="5" fillId="2" fontId="1" numFmtId="0" xfId="0" applyAlignment="1" applyBorder="1" applyFont="1">
      <alignment horizontal="center" vertical="center"/>
    </xf>
    <xf borderId="6" fillId="0" fontId="9" numFmtId="0" xfId="0" applyBorder="1" applyFont="1"/>
    <xf borderId="1" fillId="0" fontId="2" numFmtId="0" xfId="0" applyAlignment="1" applyBorder="1" applyFont="1">
      <alignment vertical="center"/>
    </xf>
    <xf borderId="5" fillId="2" fontId="1" numFmtId="0" xfId="0" applyAlignment="1" applyBorder="1" applyFont="1">
      <alignment horizontal="center" readingOrder="0" vertical="center"/>
    </xf>
    <xf borderId="1" fillId="0" fontId="2" numFmtId="10" xfId="0" applyAlignment="1" applyBorder="1" applyFont="1" applyNumberFormat="1">
      <alignment horizontal="center" vertical="center"/>
    </xf>
    <xf borderId="5" fillId="2" fontId="1" numFmtId="0" xfId="0" applyAlignment="1" applyBorder="1" applyFont="1">
      <alignment horizontal="center" readingOrder="0"/>
    </xf>
    <xf borderId="1" fillId="2" fontId="1" numFmtId="167" xfId="0" applyAlignment="1" applyBorder="1" applyFont="1" applyNumberFormat="1">
      <alignment horizontal="center" readingOrder="0"/>
    </xf>
    <xf borderId="5" fillId="0" fontId="2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5" fillId="0" fontId="2" numFmtId="10" xfId="0" applyAlignment="1" applyBorder="1" applyFont="1" applyNumberFormat="1">
      <alignment horizontal="center" vertical="center"/>
    </xf>
    <xf borderId="0" fillId="0" fontId="10" numFmtId="166" xfId="0" applyAlignment="1" applyFont="1" applyNumberFormat="1">
      <alignment horizontal="center" shrinkToFit="0" vertical="bottom" wrapText="0"/>
    </xf>
    <xf borderId="0" fillId="0" fontId="10" numFmtId="0" xfId="0" applyAlignment="1" applyFont="1">
      <alignment horizontal="center" shrinkToFit="0" vertical="bottom" wrapText="0"/>
    </xf>
    <xf borderId="0" fillId="0" fontId="10" numFmtId="49" xfId="0" applyAlignment="1" applyFont="1" applyNumberFormat="1">
      <alignment horizontal="center" shrinkToFit="0" vertical="bottom" wrapText="0"/>
    </xf>
    <xf borderId="0" fillId="0" fontId="3" numFmtId="166" xfId="0" applyAlignment="1" applyFont="1" applyNumberFormat="1">
      <alignment horizontal="center" shrinkToFit="0" vertical="bottom" wrapText="0"/>
    </xf>
    <xf borderId="0" fillId="0" fontId="3" numFmtId="0" xfId="0" applyAlignment="1" applyFont="1">
      <alignment horizontal="center" shrinkToFit="0" vertical="bottom" wrapText="0"/>
    </xf>
    <xf borderId="0" fillId="0" fontId="3" numFmtId="0" xfId="0" applyAlignment="1" applyFont="1">
      <alignment shrinkToFit="0" vertical="bottom" wrapText="0"/>
    </xf>
    <xf borderId="0" fillId="0" fontId="3" numFmtId="166" xfId="0" applyAlignment="1" applyFont="1" applyNumberFormat="1">
      <alignment horizontal="center" readingOrder="0" shrinkToFit="0" wrapText="0"/>
    </xf>
    <xf borderId="0" fillId="0" fontId="3" numFmtId="0" xfId="0" applyAlignment="1" applyFont="1">
      <alignment horizontal="center" readingOrder="0" shrinkToFit="0" wrapText="0"/>
    </xf>
    <xf quotePrefix="1" borderId="0" fillId="0" fontId="3" numFmtId="0" xfId="0" applyAlignment="1" applyFont="1">
      <alignment readingOrder="0" shrinkToFit="0" wrapText="0"/>
    </xf>
    <xf borderId="0" fillId="0" fontId="3" numFmtId="0" xfId="0" applyAlignment="1" applyFont="1">
      <alignment readingOrder="0" shrinkToFit="0" wrapText="0"/>
    </xf>
    <xf borderId="0" fillId="0" fontId="10" numFmtId="166" xfId="0" applyAlignment="1" applyFont="1" applyNumberFormat="1">
      <alignment horizontal="center" vertical="bottom"/>
    </xf>
    <xf borderId="0" fillId="0" fontId="10" numFmtId="0" xfId="0" applyAlignment="1" applyFont="1">
      <alignment horizontal="center" vertical="bottom"/>
    </xf>
    <xf borderId="0" fillId="0" fontId="3" numFmtId="166" xfId="0" applyAlignment="1" applyFont="1" applyNumberFormat="1">
      <alignment horizontal="center"/>
    </xf>
    <xf borderId="0" fillId="0" fontId="3" numFmtId="0" xfId="0" applyAlignment="1" applyFont="1">
      <alignment horizontal="center"/>
    </xf>
    <xf borderId="1" fillId="5" fontId="1" numFmtId="0" xfId="0" applyAlignment="1" applyBorder="1" applyFill="1" applyFont="1">
      <alignment horizontal="center" readingOrder="0" vertical="center"/>
    </xf>
    <xf borderId="1" fillId="6" fontId="2" numFmtId="0" xfId="0" applyAlignment="1" applyBorder="1" applyFill="1" applyFont="1">
      <alignment horizontal="center" readingOrder="0" vertical="center"/>
    </xf>
    <xf borderId="1" fillId="6" fontId="2" numFmtId="0" xfId="0" applyAlignment="1" applyBorder="1" applyFont="1">
      <alignment readingOrder="0" vertical="center"/>
    </xf>
    <xf borderId="1" fillId="6" fontId="2" numFmtId="0" xfId="0" applyAlignment="1" applyBorder="1" applyFont="1">
      <alignment horizontal="center" readingOrder="0" shrinkToFit="0" vertical="center" wrapText="1"/>
    </xf>
    <xf borderId="1" fillId="6" fontId="2" numFmtId="0" xfId="0" applyAlignment="1" applyBorder="1" applyFont="1">
      <alignment readingOrder="0" shrinkToFit="0" vertical="center" wrapText="1"/>
    </xf>
  </cellXfs>
  <cellStyles count="1">
    <cellStyle xfId="0" name="Normal" builtinId="0"/>
  </cellStyles>
  <dxfs count="2">
    <dxf>
      <font/>
      <fill>
        <patternFill patternType="solid">
          <fgColor rgb="FFC9DAF8"/>
          <bgColor rgb="FFC9DAF8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9.63"/>
    <col customWidth="1" min="2" max="2" width="22.5"/>
    <col customWidth="1" min="3" max="5" width="16.75"/>
    <col customWidth="1" min="6" max="6" width="30.25"/>
    <col customWidth="1" min="7" max="7" width="16.75"/>
    <col customWidth="1" min="8" max="8" width="20.25"/>
    <col customWidth="1" min="9" max="9" width="23.5"/>
    <col customWidth="1" min="10" max="10" width="16.75"/>
    <col customWidth="1" min="11" max="11" width="19.25"/>
    <col customWidth="1" min="12" max="12" width="25.88"/>
    <col customWidth="1" min="13" max="13" width="17.25"/>
    <col customWidth="1" min="14" max="14" width="16.0"/>
    <col customWidth="1" min="15" max="15" width="25.38"/>
    <col customWidth="1" min="16" max="16" width="23.75"/>
    <col customWidth="1" min="17" max="20" width="16.75"/>
    <col customWidth="1" hidden="1" min="21" max="21" width="16.75"/>
    <col customWidth="1" min="22" max="22" width="20.75"/>
  </cols>
  <sheetData>
    <row r="1" ht="28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/>
      <c r="V1" s="1" t="s">
        <v>20</v>
      </c>
    </row>
    <row r="2" ht="28.5" customHeight="1">
      <c r="A2" s="3">
        <v>170.0</v>
      </c>
      <c r="B2" s="4" t="s">
        <v>21</v>
      </c>
      <c r="C2" s="5">
        <v>1077302.0</v>
      </c>
      <c r="D2" s="6">
        <v>40065.0</v>
      </c>
      <c r="E2" s="5">
        <v>4.9700884E7</v>
      </c>
      <c r="F2" s="5" t="s">
        <v>22</v>
      </c>
      <c r="G2" s="7">
        <v>1.165785831E9</v>
      </c>
      <c r="H2" s="5" t="s">
        <v>23</v>
      </c>
      <c r="I2" s="5" t="s">
        <v>24</v>
      </c>
      <c r="J2" s="7">
        <v>1.154900991E9</v>
      </c>
      <c r="K2" s="5" t="s">
        <v>25</v>
      </c>
      <c r="L2" s="5" t="s">
        <v>26</v>
      </c>
      <c r="M2" s="7">
        <v>1.13198967E9</v>
      </c>
      <c r="N2" s="5" t="s">
        <v>27</v>
      </c>
      <c r="O2" s="5" t="s">
        <v>28</v>
      </c>
      <c r="P2" s="5" t="s">
        <v>29</v>
      </c>
      <c r="Q2" s="5" t="s">
        <v>30</v>
      </c>
      <c r="R2" s="5" t="s">
        <v>31</v>
      </c>
      <c r="S2" s="5" t="s">
        <v>32</v>
      </c>
      <c r="T2" s="8" t="str">
        <f>IFS(SUM(IFNA(MATCH($B2,'DIVISION 15'!$A$2:$H$2,0),""),IFNA(MATCH($B2,'DIVISION 15'!$A$3:$H$3,0),""),IFNA(MATCH($B2,'DIVISION 15'!$A$4:$H$4,0),""),IFNA(MATCH($B2,'DIVISION 15'!$A$5:$H$5,0),""),IFNA(MATCH($B2,'DIVISION 15'!$A$6:$H$6,0),""),IFNA(MATCH($B2,'DIVISION 15'!$A$7:$H$7,0),""),IFNA(MATCH($B2,'DIVISION 15'!$A$8:$H$8,0),""),IFNA(MATCH($B2,'DIVISION 15'!$A$9:$H$9,0),""),IFNA(MATCH($B2,'DIVISION 15'!$A$10:$H$10,0),""),IFNA(MATCH($B2,'DIVISION 15'!$A$11:$H$11,0),""),IFNA(MATCH($B2,'DIVISION 15'!$A$12:$H$12,0),""),IFNA(MATCH($B2,'DIVISION 15'!$A$13:$H$13,0),""),IFNA(MATCH($B2,'DIVISION 15'!$A$14:$H$14,0),""),IFNA(MATCH($B2,'DIVISION 15'!$A$15:$H$15,0),""),IFNA(MATCH($B2,'DIVISION 15'!$A$16:$H$16,0),""),IFNA(MATCH($B2,'DIVISION 15'!$A$17:$H$17,0),""),IFNA(MATCH($B2,'DIVISION 15'!$A$18:$H$18,0),""))=1,'DIVISION 15'!$A$1,SUM(IFNA(MATCH($B2,'DIVISION 15'!$A$2:$H$2,0),""),IFNA(MATCH($B2,'DIVISION 15'!$A$3:$H$3,0),""),IFNA(MATCH($B2,'DIVISION 15'!$A$4:$H$4,0),""),IFNA(MATCH($B2,'DIVISION 15'!$A$5:$H$5,0),""),IFNA(MATCH($B2,'DIVISION 15'!$A$6:$H$6,0),""),IFNA(MATCH($B2,'DIVISION 15'!$A$7:$H$7,0),""),IFNA(MATCH($B2,'DIVISION 15'!$A$8:$H$8,0),""),IFNA(MATCH($B2,'DIVISION 15'!$A$9:$H$9,0),""),IFNA(MATCH($B2,'DIVISION 15'!$A$10:$H$10,0),""),IFNA(MATCH($B2,'DIVISION 15'!$A$11:$H$11,0),""),IFNA(MATCH($B2,'DIVISION 15'!$A$12:$H$12,0),""),IFNA(MATCH($B2,'DIVISION 15'!$A$13:$H$13,0),""),IFNA(MATCH($B2,'DIVISION 15'!$A$14:$H$14,0),""),IFNA(MATCH($B2,'DIVISION 15'!$A$15:$H$15,0),""),IFNA(MATCH($B2,'DIVISION 15'!$A$16:$H$16,0),""),IFNA(MATCH($B2,'DIVISION 15'!$A$17:$H$17,0),""),IFNA(MATCH($B2,'DIVISION 15'!$A$18:$H$18,0),""))=2,'DIVISION 15'!$B$1,SUM(IFNA(MATCH($B2,'DIVISION 15'!$A$2:$H$2,0),""),IFNA(MATCH($B2,'DIVISION 15'!$A$3:$H$3,0),""),IFNA(MATCH($B2,'DIVISION 15'!$A$4:$H$4,0),""),IFNA(MATCH($B2,'DIVISION 15'!$A$5:$H$5,0),""),IFNA(MATCH($B2,'DIVISION 15'!$A$6:$H$6,0),""),IFNA(MATCH($B2,'DIVISION 15'!$A$7:$H$7,0),""),IFNA(MATCH($B2,'DIVISION 15'!$A$8:$H$8,0),""),IFNA(MATCH($B2,'DIVISION 15'!$A$9:$H$9,0),""),IFNA(MATCH($B2,'DIVISION 15'!$A$10:$H$10,0),""),IFNA(MATCH($B2,'DIVISION 15'!$A$11:$H$11,0),""),IFNA(MATCH($B2,'DIVISION 15'!$A$12:$H$12,0),""),IFNA(MATCH($B2,'DIVISION 15'!$A$13:$H$13,0),""),IFNA(MATCH($B2,'DIVISION 15'!$A$14:$H$14,0),""),IFNA(MATCH($B2,'DIVISION 15'!$A$15:$H$15,0),""),IFNA(MATCH($B2,'DIVISION 15'!$A$16:$H$16,0),""),IFNA(MATCH($B2,'DIVISION 15'!$A$17:$H$17,0),""),IFNA(MATCH($B2,'DIVISION 15'!$A$18:$H$18,0),""))=3,'DIVISION 15'!$C$1,SUM(IFNA(MATCH($B2,'DIVISION 15'!$A$2:$H$2,0),""),IFNA(MATCH($B2,'DIVISION 15'!$A$3:$H$3,0),""),IFNA(MATCH($B2,'DIVISION 15'!$A$4:$H$4,0),""),IFNA(MATCH($B2,'DIVISION 15'!$A$5:$H$5,0),""),IFNA(MATCH($B2,'DIVISION 15'!$A$6:$H$6,0),""),IFNA(MATCH($B2,'DIVISION 15'!$A$7:$H$7,0),""),IFNA(MATCH($B2,'DIVISION 15'!$A$8:$H$8,0),""),IFNA(MATCH($B2,'DIVISION 15'!$A$9:$H$9,0),""),IFNA(MATCH($B2,'DIVISION 15'!$A$10:$H$10,0),""),IFNA(MATCH($B2,'DIVISION 15'!$A$11:$H$11,0),""),IFNA(MATCH($B2,'DIVISION 15'!$A$12:$H$12,0),""),IFNA(MATCH($B2,'DIVISION 15'!$A$13:$H$13,0),""),IFNA(MATCH($B2,'DIVISION 15'!$A$14:$H$14,0),""),IFNA(MATCH($B2,'DIVISION 15'!$A$15:$H$15,0),""),IFNA(MATCH($B2,'DIVISION 15'!$A$16:$H$16,0),""),IFNA(MATCH($B2,'DIVISION 15'!$A$17:$H$17,0),""),IFNA(MATCH($B2,'DIVISION 15'!$A$18:$H$18,0),""))=4,'DIVISION 15'!$D$1,SUM(IFNA(MATCH($B2,'DIVISION 15'!$A$2:$H$2,0),""),IFNA(MATCH($B2,'DIVISION 15'!$A$3:$H$3,0),""),IFNA(MATCH($B2,'DIVISION 15'!$A$4:$H$4,0),""),IFNA(MATCH($B2,'DIVISION 15'!$A$5:$H$5,0),""),IFNA(MATCH($B2,'DIVISION 15'!$A$6:$H$6,0),""),IFNA(MATCH($B2,'DIVISION 15'!$A$7:$H$7,0),""),IFNA(MATCH($B2,'DIVISION 15'!$A$8:$H$8,0),""),IFNA(MATCH($B2,'DIVISION 15'!$A$9:$H$9,0),""),IFNA(MATCH($B2,'DIVISION 15'!$A$10:$H$10,0),""),IFNA(MATCH($B2,'DIVISION 15'!$A$11:$H$11,0),""),IFNA(MATCH($B2,'DIVISION 15'!$A$12:$H$12,0),""),IFNA(MATCH($B2,'DIVISION 15'!$A$13:$H$13,0),""),IFNA(MATCH($B2,'DIVISION 15'!$A$14:$H$14,0),""),IFNA(MATCH($B2,'DIVISION 15'!$A$15:$H$15,0),""),IFNA(MATCH($B2,'DIVISION 15'!$A$16:$H$16,0),""),IFNA(MATCH($B2,'DIVISION 15'!$A$17:$H$17,0),""),IFNA(MATCH($B2,'DIVISION 15'!$A$18:$H$18,0),""))=5,'DIVISION 15'!$E$1,SUM(IFNA(MATCH($B2,'DIVISION 15'!$A$2:$H$2,0),""),IFNA(MATCH($B2,'DIVISION 15'!$A$3:$H$3,0),""),IFNA(MATCH($B2,'DIVISION 15'!$A$4:$H$4,0),""),IFNA(MATCH($B2,'DIVISION 15'!$A$5:$H$5,0),""),IFNA(MATCH($B2,'DIVISION 15'!$A$6:$H$6,0),""),IFNA(MATCH($B2,'DIVISION 15'!$A$7:$H$7,0),""),IFNA(MATCH($B2,'DIVISION 15'!$A$8:$H$8,0),""),IFNA(MATCH($B2,'DIVISION 15'!$A$9:$H$9,0),""),IFNA(MATCH($B2,'DIVISION 15'!$A$10:$H$10,0),""),IFNA(MATCH($B2,'DIVISION 15'!$A$11:$H$11,0),""),IFNA(MATCH($B2,'DIVISION 15'!$A$12:$H$12,0),""),IFNA(MATCH($B2,'DIVISION 15'!$A$13:$H$13,0),""),IFNA(MATCH($B2,'DIVISION 15'!$A$14:$H$14,0),""),IFNA(MATCH($B2,'DIVISION 15'!$A$15:$H$15,0),""),IFNA(MATCH($B2,'DIVISION 15'!$A$16:$H$16,0),""),IFNA(MATCH($B2,'DIVISION 15'!$A$17:$H$17,0),""),IFNA(MATCH($B2,'DIVISION 15'!$A$18:$H$18,0),""))=6,'DIVISION 15'!$F$1,SUM(IFNA(MATCH($B2,'DIVISION 15'!$A$2:$H$2,0),""),IFNA(MATCH($B2,'DIVISION 15'!$A$3:$H$3,0),""),IFNA(MATCH($B2,'DIVISION 15'!$A$4:$H$4,0),""),IFNA(MATCH($B2,'DIVISION 15'!$A$5:$H$5,0),""),IFNA(MATCH($B2,'DIVISION 15'!$A$6:$H$6,0),""),IFNA(MATCH($B2,'DIVISION 15'!$A$7:$H$7,0),""),IFNA(MATCH($B2,'DIVISION 15'!$A$8:$H$8,0),""),IFNA(MATCH($B2,'DIVISION 15'!$A$9:$H$9,0),""),IFNA(MATCH($B2,'DIVISION 15'!$A$10:$H$10,0),""),IFNA(MATCH($B2,'DIVISION 15'!$A$11:$H$11,0),""),IFNA(MATCH($B2,'DIVISION 15'!$A$12:$H$12,0),""),IFNA(MATCH($B2,'DIVISION 15'!$A$13:$H$13,0),""),IFNA(MATCH($B2,'DIVISION 15'!$A$14:$H$14,0),""),IFNA(MATCH($B2,'DIVISION 15'!$A$15:$H$15,0),""),IFNA(MATCH($B2,'DIVISION 15'!$A$16:$H$16,0),""),IFNA(MATCH($B2,'DIVISION 15'!$A$17:$H$17,0),""),IFNA(MATCH($B2,'DIVISION 15'!$A$18:$H$18,0),""))=7,'DIVISION 15'!$G$1,SUM(IFNA(MATCH($B2,'DIVISION 15'!$A$2:$H$2,0),""),IFNA(MATCH($B2,'DIVISION 15'!$A$3:$H$3,0),""),IFNA(MATCH($B2,'DIVISION 15'!$A$4:$H$4,0),""),IFNA(MATCH($B2,'DIVISION 15'!$A$5:$H$5,0),""),IFNA(MATCH($B2,'DIVISION 15'!$A$6:$H$6,0),""),IFNA(MATCH($B2,'DIVISION 15'!$A$7:$H$7,0),""),IFNA(MATCH($B2,'DIVISION 15'!$A$8:$H$8,0),""),IFNA(MATCH($B2,'DIVISION 15'!$A$9:$H$9,0),""),IFNA(MATCH($B2,'DIVISION 15'!$A$10:$H$10,0),""),IFNA(MATCH($B2,'DIVISION 15'!$A$11:$H$11,0),""),IFNA(MATCH($B2,'DIVISION 15'!$A$12:$H$12,0),""),IFNA(MATCH($B2,'DIVISION 15'!$A$13:$H$13,0),""),IFNA(MATCH($B2,'DIVISION 15'!$A$14:$H$14,0),""),IFNA(MATCH($B2,'DIVISION 15'!$A$15:$H$15,0),""),IFNA(MATCH($B2,'DIVISION 15'!$A$16:$H$16,0),""),IFNA(MATCH($B2,'DIVISION 15'!$A$17:$H$17,0),""),IFNA(MATCH($B2,'DIVISION 15'!$A$18:$H$18,0),""))=8,'DIVISION 15'!$H$1)</f>
        <v>LULI</v>
      </c>
      <c r="U2" s="8" t="str">
        <f t="shared" ref="U2:U37" si="1">T2&amp;COUNTIF($T$1:T2,T2)</f>
        <v>LULI1</v>
      </c>
      <c r="V2" s="9">
        <f>SUMIF(AsistenciaViewJetAdmin!$A$3:$A$101,A2,AsistenciaViewJetAdmin!$C$3:$C$101)/(COUNTIF(AsistenciaViewJetAdmin!$D$102:V$102,"&gt;0")+COUNTIF(ActividadesEspeciales!$D$102:V$102,"&gt;0"))*100</f>
        <v>57.9787234</v>
      </c>
    </row>
    <row r="3" ht="28.5" customHeight="1">
      <c r="A3" s="3">
        <v>134.0</v>
      </c>
      <c r="B3" s="4" t="s">
        <v>33</v>
      </c>
      <c r="C3" s="5">
        <v>69312.0</v>
      </c>
      <c r="D3" s="7">
        <v>2.3122009E7</v>
      </c>
      <c r="E3" s="5">
        <v>5.003143E7</v>
      </c>
      <c r="F3" s="5" t="s">
        <v>34</v>
      </c>
      <c r="G3" s="7">
        <v>1.167004882E9</v>
      </c>
      <c r="H3" s="5" t="s">
        <v>35</v>
      </c>
      <c r="I3" s="5" t="s">
        <v>36</v>
      </c>
      <c r="J3" s="7">
        <v>1.131751107E9</v>
      </c>
      <c r="K3" s="5" t="s">
        <v>37</v>
      </c>
      <c r="L3" s="5" t="s">
        <v>38</v>
      </c>
      <c r="M3" s="7" t="s">
        <v>39</v>
      </c>
      <c r="N3" s="5" t="s">
        <v>40</v>
      </c>
      <c r="O3" s="5" t="s">
        <v>41</v>
      </c>
      <c r="P3" s="5" t="s">
        <v>42</v>
      </c>
      <c r="Q3" s="5" t="s">
        <v>30</v>
      </c>
      <c r="R3" s="5"/>
      <c r="S3" s="5" t="s">
        <v>43</v>
      </c>
      <c r="T3" s="8" t="str">
        <f>IFS(SUM(IFNA(MATCH($B3,'DIVISION 15'!$A$2:$H$2,0),""),IFNA(MATCH($B3,'DIVISION 15'!$A$3:$H$3,0),""),IFNA(MATCH($B3,'DIVISION 15'!$A$4:$H$4,0),""),IFNA(MATCH($B3,'DIVISION 15'!$A$5:$H$5,0),""),IFNA(MATCH($B3,'DIVISION 15'!$A$6:$H$6,0),""),IFNA(MATCH($B3,'DIVISION 15'!$A$7:$H$7,0),""),IFNA(MATCH($B3,'DIVISION 15'!$A$8:$H$8,0),""),IFNA(MATCH($B3,'DIVISION 15'!$A$9:$H$9,0),""),IFNA(MATCH($B3,'DIVISION 15'!$A$10:$H$10,0),""),IFNA(MATCH($B3,'DIVISION 15'!$A$11:$H$11,0),""),IFNA(MATCH($B3,'DIVISION 15'!$A$12:$H$12,0),""),IFNA(MATCH($B3,'DIVISION 15'!$A$13:$H$13,0),""),IFNA(MATCH($B3,'DIVISION 15'!$A$14:$H$14,0),""),IFNA(MATCH($B3,'DIVISION 15'!$A$15:$H$15,0),""),IFNA(MATCH($B3,'DIVISION 15'!$A$16:$H$16,0),""),IFNA(MATCH($B3,'DIVISION 15'!$A$17:$H$17,0),""),IFNA(MATCH($B3,'DIVISION 15'!$A$18:$H$18,0),""))=1,'DIVISION 15'!$A$1,SUM(IFNA(MATCH($B3,'DIVISION 15'!$A$2:$H$2,0),""),IFNA(MATCH($B3,'DIVISION 15'!$A$3:$H$3,0),""),IFNA(MATCH($B3,'DIVISION 15'!$A$4:$H$4,0),""),IFNA(MATCH($B3,'DIVISION 15'!$A$5:$H$5,0),""),IFNA(MATCH($B3,'DIVISION 15'!$A$6:$H$6,0),""),IFNA(MATCH($B3,'DIVISION 15'!$A$7:$H$7,0),""),IFNA(MATCH($B3,'DIVISION 15'!$A$8:$H$8,0),""),IFNA(MATCH($B3,'DIVISION 15'!$A$9:$H$9,0),""),IFNA(MATCH($B3,'DIVISION 15'!$A$10:$H$10,0),""),IFNA(MATCH($B3,'DIVISION 15'!$A$11:$H$11,0),""),IFNA(MATCH($B3,'DIVISION 15'!$A$12:$H$12,0),""),IFNA(MATCH($B3,'DIVISION 15'!$A$13:$H$13,0),""),IFNA(MATCH($B3,'DIVISION 15'!$A$14:$H$14,0),""),IFNA(MATCH($B3,'DIVISION 15'!$A$15:$H$15,0),""),IFNA(MATCH($B3,'DIVISION 15'!$A$16:$H$16,0),""),IFNA(MATCH($B3,'DIVISION 15'!$A$17:$H$17,0),""),IFNA(MATCH($B3,'DIVISION 15'!$A$18:$H$18,0),""))=2,'DIVISION 15'!$B$1,SUM(IFNA(MATCH($B3,'DIVISION 15'!$A$2:$H$2,0),""),IFNA(MATCH($B3,'DIVISION 15'!$A$3:$H$3,0),""),IFNA(MATCH($B3,'DIVISION 15'!$A$4:$H$4,0),""),IFNA(MATCH($B3,'DIVISION 15'!$A$5:$H$5,0),""),IFNA(MATCH($B3,'DIVISION 15'!$A$6:$H$6,0),""),IFNA(MATCH($B3,'DIVISION 15'!$A$7:$H$7,0),""),IFNA(MATCH($B3,'DIVISION 15'!$A$8:$H$8,0),""),IFNA(MATCH($B3,'DIVISION 15'!$A$9:$H$9,0),""),IFNA(MATCH($B3,'DIVISION 15'!$A$10:$H$10,0),""),IFNA(MATCH($B3,'DIVISION 15'!$A$11:$H$11,0),""),IFNA(MATCH($B3,'DIVISION 15'!$A$12:$H$12,0),""),IFNA(MATCH($B3,'DIVISION 15'!$A$13:$H$13,0),""),IFNA(MATCH($B3,'DIVISION 15'!$A$14:$H$14,0),""),IFNA(MATCH($B3,'DIVISION 15'!$A$15:$H$15,0),""),IFNA(MATCH($B3,'DIVISION 15'!$A$16:$H$16,0),""),IFNA(MATCH($B3,'DIVISION 15'!$A$17:$H$17,0),""),IFNA(MATCH($B3,'DIVISION 15'!$A$18:$H$18,0),""))=3,'DIVISION 15'!$C$1,SUM(IFNA(MATCH($B3,'DIVISION 15'!$A$2:$H$2,0),""),IFNA(MATCH($B3,'DIVISION 15'!$A$3:$H$3,0),""),IFNA(MATCH($B3,'DIVISION 15'!$A$4:$H$4,0),""),IFNA(MATCH($B3,'DIVISION 15'!$A$5:$H$5,0),""),IFNA(MATCH($B3,'DIVISION 15'!$A$6:$H$6,0),""),IFNA(MATCH($B3,'DIVISION 15'!$A$7:$H$7,0),""),IFNA(MATCH($B3,'DIVISION 15'!$A$8:$H$8,0),""),IFNA(MATCH($B3,'DIVISION 15'!$A$9:$H$9,0),""),IFNA(MATCH($B3,'DIVISION 15'!$A$10:$H$10,0),""),IFNA(MATCH($B3,'DIVISION 15'!$A$11:$H$11,0),""),IFNA(MATCH($B3,'DIVISION 15'!$A$12:$H$12,0),""),IFNA(MATCH($B3,'DIVISION 15'!$A$13:$H$13,0),""),IFNA(MATCH($B3,'DIVISION 15'!$A$14:$H$14,0),""),IFNA(MATCH($B3,'DIVISION 15'!$A$15:$H$15,0),""),IFNA(MATCH($B3,'DIVISION 15'!$A$16:$H$16,0),""),IFNA(MATCH($B3,'DIVISION 15'!$A$17:$H$17,0),""),IFNA(MATCH($B3,'DIVISION 15'!$A$18:$H$18,0),""))=4,'DIVISION 15'!$D$1,SUM(IFNA(MATCH($B3,'DIVISION 15'!$A$2:$H$2,0),""),IFNA(MATCH($B3,'DIVISION 15'!$A$3:$H$3,0),""),IFNA(MATCH($B3,'DIVISION 15'!$A$4:$H$4,0),""),IFNA(MATCH($B3,'DIVISION 15'!$A$5:$H$5,0),""),IFNA(MATCH($B3,'DIVISION 15'!$A$6:$H$6,0),""),IFNA(MATCH($B3,'DIVISION 15'!$A$7:$H$7,0),""),IFNA(MATCH($B3,'DIVISION 15'!$A$8:$H$8,0),""),IFNA(MATCH($B3,'DIVISION 15'!$A$9:$H$9,0),""),IFNA(MATCH($B3,'DIVISION 15'!$A$10:$H$10,0),""),IFNA(MATCH($B3,'DIVISION 15'!$A$11:$H$11,0),""),IFNA(MATCH($B3,'DIVISION 15'!$A$12:$H$12,0),""),IFNA(MATCH($B3,'DIVISION 15'!$A$13:$H$13,0),""),IFNA(MATCH($B3,'DIVISION 15'!$A$14:$H$14,0),""),IFNA(MATCH($B3,'DIVISION 15'!$A$15:$H$15,0),""),IFNA(MATCH($B3,'DIVISION 15'!$A$16:$H$16,0),""),IFNA(MATCH($B3,'DIVISION 15'!$A$17:$H$17,0),""),IFNA(MATCH($B3,'DIVISION 15'!$A$18:$H$18,0),""))=5,'DIVISION 15'!$E$1,SUM(IFNA(MATCH($B3,'DIVISION 15'!$A$2:$H$2,0),""),IFNA(MATCH($B3,'DIVISION 15'!$A$3:$H$3,0),""),IFNA(MATCH($B3,'DIVISION 15'!$A$4:$H$4,0),""),IFNA(MATCH($B3,'DIVISION 15'!$A$5:$H$5,0),""),IFNA(MATCH($B3,'DIVISION 15'!$A$6:$H$6,0),""),IFNA(MATCH($B3,'DIVISION 15'!$A$7:$H$7,0),""),IFNA(MATCH($B3,'DIVISION 15'!$A$8:$H$8,0),""),IFNA(MATCH($B3,'DIVISION 15'!$A$9:$H$9,0),""),IFNA(MATCH($B3,'DIVISION 15'!$A$10:$H$10,0),""),IFNA(MATCH($B3,'DIVISION 15'!$A$11:$H$11,0),""),IFNA(MATCH($B3,'DIVISION 15'!$A$12:$H$12,0),""),IFNA(MATCH($B3,'DIVISION 15'!$A$13:$H$13,0),""),IFNA(MATCH($B3,'DIVISION 15'!$A$14:$H$14,0),""),IFNA(MATCH($B3,'DIVISION 15'!$A$15:$H$15,0),""),IFNA(MATCH($B3,'DIVISION 15'!$A$16:$H$16,0),""),IFNA(MATCH($B3,'DIVISION 15'!$A$17:$H$17,0),""),IFNA(MATCH($B3,'DIVISION 15'!$A$18:$H$18,0),""))=6,'DIVISION 15'!$F$1,SUM(IFNA(MATCH($B3,'DIVISION 15'!$A$2:$H$2,0),""),IFNA(MATCH($B3,'DIVISION 15'!$A$3:$H$3,0),""),IFNA(MATCH($B3,'DIVISION 15'!$A$4:$H$4,0),""),IFNA(MATCH($B3,'DIVISION 15'!$A$5:$H$5,0),""),IFNA(MATCH($B3,'DIVISION 15'!$A$6:$H$6,0),""),IFNA(MATCH($B3,'DIVISION 15'!$A$7:$H$7,0),""),IFNA(MATCH($B3,'DIVISION 15'!$A$8:$H$8,0),""),IFNA(MATCH($B3,'DIVISION 15'!$A$9:$H$9,0),""),IFNA(MATCH($B3,'DIVISION 15'!$A$10:$H$10,0),""),IFNA(MATCH($B3,'DIVISION 15'!$A$11:$H$11,0),""),IFNA(MATCH($B3,'DIVISION 15'!$A$12:$H$12,0),""),IFNA(MATCH($B3,'DIVISION 15'!$A$13:$H$13,0),""),IFNA(MATCH($B3,'DIVISION 15'!$A$14:$H$14,0),""),IFNA(MATCH($B3,'DIVISION 15'!$A$15:$H$15,0),""),IFNA(MATCH($B3,'DIVISION 15'!$A$16:$H$16,0),""),IFNA(MATCH($B3,'DIVISION 15'!$A$17:$H$17,0),""),IFNA(MATCH($B3,'DIVISION 15'!$A$18:$H$18,0),""))=7,'DIVISION 15'!$G$1,SUM(IFNA(MATCH($B3,'DIVISION 15'!$A$2:$H$2,0),""),IFNA(MATCH($B3,'DIVISION 15'!$A$3:$H$3,0),""),IFNA(MATCH($B3,'DIVISION 15'!$A$4:$H$4,0),""),IFNA(MATCH($B3,'DIVISION 15'!$A$5:$H$5,0),""),IFNA(MATCH($B3,'DIVISION 15'!$A$6:$H$6,0),""),IFNA(MATCH($B3,'DIVISION 15'!$A$7:$H$7,0),""),IFNA(MATCH($B3,'DIVISION 15'!$A$8:$H$8,0),""),IFNA(MATCH($B3,'DIVISION 15'!$A$9:$H$9,0),""),IFNA(MATCH($B3,'DIVISION 15'!$A$10:$H$10,0),""),IFNA(MATCH($B3,'DIVISION 15'!$A$11:$H$11,0),""),IFNA(MATCH($B3,'DIVISION 15'!$A$12:$H$12,0),""),IFNA(MATCH($B3,'DIVISION 15'!$A$13:$H$13,0),""),IFNA(MATCH($B3,'DIVISION 15'!$A$14:$H$14,0),""),IFNA(MATCH($B3,'DIVISION 15'!$A$15:$H$15,0),""),IFNA(MATCH($B3,'DIVISION 15'!$A$16:$H$16,0),""),IFNA(MATCH($B3,'DIVISION 15'!$A$17:$H$17,0),""),IFNA(MATCH($B3,'DIVISION 15'!$A$18:$H$18,0),""))=8,'DIVISION 15'!$H$1)</f>
        <v>EITU</v>
      </c>
      <c r="U3" s="8" t="str">
        <f t="shared" si="1"/>
        <v>EITU1</v>
      </c>
      <c r="V3" s="9">
        <f>SUMIF(AsistenciaViewJetAdmin!$A$3:$A$101,A3,AsistenciaViewJetAdmin!$C$3:$C$101)/(COUNTIF(AsistenciaViewJetAdmin!$D$102:V$102,"&gt;0")+COUNTIF(ActividadesEspeciales!$D$102:V$102,"&gt;0"))*100</f>
        <v>67.55319149</v>
      </c>
    </row>
    <row r="4" ht="28.5" customHeight="1">
      <c r="A4" s="3">
        <v>161.0</v>
      </c>
      <c r="B4" s="4" t="s">
        <v>44</v>
      </c>
      <c r="C4" s="5">
        <v>905507.0</v>
      </c>
      <c r="D4" s="7" t="s">
        <v>45</v>
      </c>
      <c r="E4" s="5">
        <v>5.0416933E7</v>
      </c>
      <c r="F4" s="5" t="s">
        <v>46</v>
      </c>
      <c r="G4" s="7">
        <v>1.164929717E9</v>
      </c>
      <c r="H4" s="5" t="s">
        <v>47</v>
      </c>
      <c r="I4" s="5" t="s">
        <v>48</v>
      </c>
      <c r="J4" s="7">
        <v>1.149361831E9</v>
      </c>
      <c r="K4" s="5" t="s">
        <v>49</v>
      </c>
      <c r="L4" s="5" t="s">
        <v>50</v>
      </c>
      <c r="M4" s="7">
        <v>1.149376172E9</v>
      </c>
      <c r="N4" s="5" t="s">
        <v>51</v>
      </c>
      <c r="O4" s="5" t="s">
        <v>52</v>
      </c>
      <c r="P4" s="5" t="s">
        <v>53</v>
      </c>
      <c r="Q4" s="5" t="s">
        <v>30</v>
      </c>
      <c r="R4" s="5" t="s">
        <v>31</v>
      </c>
      <c r="S4" s="5" t="s">
        <v>43</v>
      </c>
      <c r="T4" s="8" t="str">
        <f>IFS(SUM(IFNA(MATCH($B4,'DIVISION 15'!$A$2:$H$2,0),""),IFNA(MATCH($B4,'DIVISION 15'!$A$3:$H$3,0),""),IFNA(MATCH($B4,'DIVISION 15'!$A$4:$H$4,0),""),IFNA(MATCH($B4,'DIVISION 15'!$A$5:$H$5,0),""),IFNA(MATCH($B4,'DIVISION 15'!$A$6:$H$6,0),""),IFNA(MATCH($B4,'DIVISION 15'!$A$7:$H$7,0),""),IFNA(MATCH($B4,'DIVISION 15'!$A$8:$H$8,0),""),IFNA(MATCH($B4,'DIVISION 15'!$A$9:$H$9,0),""),IFNA(MATCH($B4,'DIVISION 15'!$A$10:$H$10,0),""),IFNA(MATCH($B4,'DIVISION 15'!$A$11:$H$11,0),""),IFNA(MATCH($B4,'DIVISION 15'!$A$12:$H$12,0),""),IFNA(MATCH($B4,'DIVISION 15'!$A$13:$H$13,0),""),IFNA(MATCH($B4,'DIVISION 15'!$A$14:$H$14,0),""),IFNA(MATCH($B4,'DIVISION 15'!$A$15:$H$15,0),""),IFNA(MATCH($B4,'DIVISION 15'!$A$16:$H$16,0),""),IFNA(MATCH($B4,'DIVISION 15'!$A$17:$H$17,0),""),IFNA(MATCH($B4,'DIVISION 15'!$A$18:$H$18,0),""))=1,'DIVISION 15'!$A$1,SUM(IFNA(MATCH($B4,'DIVISION 15'!$A$2:$H$2,0),""),IFNA(MATCH($B4,'DIVISION 15'!$A$3:$H$3,0),""),IFNA(MATCH($B4,'DIVISION 15'!$A$4:$H$4,0),""),IFNA(MATCH($B4,'DIVISION 15'!$A$5:$H$5,0),""),IFNA(MATCH($B4,'DIVISION 15'!$A$6:$H$6,0),""),IFNA(MATCH($B4,'DIVISION 15'!$A$7:$H$7,0),""),IFNA(MATCH($B4,'DIVISION 15'!$A$8:$H$8,0),""),IFNA(MATCH($B4,'DIVISION 15'!$A$9:$H$9,0),""),IFNA(MATCH($B4,'DIVISION 15'!$A$10:$H$10,0),""),IFNA(MATCH($B4,'DIVISION 15'!$A$11:$H$11,0),""),IFNA(MATCH($B4,'DIVISION 15'!$A$12:$H$12,0),""),IFNA(MATCH($B4,'DIVISION 15'!$A$13:$H$13,0),""),IFNA(MATCH($B4,'DIVISION 15'!$A$14:$H$14,0),""),IFNA(MATCH($B4,'DIVISION 15'!$A$15:$H$15,0),""),IFNA(MATCH($B4,'DIVISION 15'!$A$16:$H$16,0),""),IFNA(MATCH($B4,'DIVISION 15'!$A$17:$H$17,0),""),IFNA(MATCH($B4,'DIVISION 15'!$A$18:$H$18,0),""))=2,'DIVISION 15'!$B$1,SUM(IFNA(MATCH($B4,'DIVISION 15'!$A$2:$H$2,0),""),IFNA(MATCH($B4,'DIVISION 15'!$A$3:$H$3,0),""),IFNA(MATCH($B4,'DIVISION 15'!$A$4:$H$4,0),""),IFNA(MATCH($B4,'DIVISION 15'!$A$5:$H$5,0),""),IFNA(MATCH($B4,'DIVISION 15'!$A$6:$H$6,0),""),IFNA(MATCH($B4,'DIVISION 15'!$A$7:$H$7,0),""),IFNA(MATCH($B4,'DIVISION 15'!$A$8:$H$8,0),""),IFNA(MATCH($B4,'DIVISION 15'!$A$9:$H$9,0),""),IFNA(MATCH($B4,'DIVISION 15'!$A$10:$H$10,0),""),IFNA(MATCH($B4,'DIVISION 15'!$A$11:$H$11,0),""),IFNA(MATCH($B4,'DIVISION 15'!$A$12:$H$12,0),""),IFNA(MATCH($B4,'DIVISION 15'!$A$13:$H$13,0),""),IFNA(MATCH($B4,'DIVISION 15'!$A$14:$H$14,0),""),IFNA(MATCH($B4,'DIVISION 15'!$A$15:$H$15,0),""),IFNA(MATCH($B4,'DIVISION 15'!$A$16:$H$16,0),""),IFNA(MATCH($B4,'DIVISION 15'!$A$17:$H$17,0),""),IFNA(MATCH($B4,'DIVISION 15'!$A$18:$H$18,0),""))=3,'DIVISION 15'!$C$1,SUM(IFNA(MATCH($B4,'DIVISION 15'!$A$2:$H$2,0),""),IFNA(MATCH($B4,'DIVISION 15'!$A$3:$H$3,0),""),IFNA(MATCH($B4,'DIVISION 15'!$A$4:$H$4,0),""),IFNA(MATCH($B4,'DIVISION 15'!$A$5:$H$5,0),""),IFNA(MATCH($B4,'DIVISION 15'!$A$6:$H$6,0),""),IFNA(MATCH($B4,'DIVISION 15'!$A$7:$H$7,0),""),IFNA(MATCH($B4,'DIVISION 15'!$A$8:$H$8,0),""),IFNA(MATCH($B4,'DIVISION 15'!$A$9:$H$9,0),""),IFNA(MATCH($B4,'DIVISION 15'!$A$10:$H$10,0),""),IFNA(MATCH($B4,'DIVISION 15'!$A$11:$H$11,0),""),IFNA(MATCH($B4,'DIVISION 15'!$A$12:$H$12,0),""),IFNA(MATCH($B4,'DIVISION 15'!$A$13:$H$13,0),""),IFNA(MATCH($B4,'DIVISION 15'!$A$14:$H$14,0),""),IFNA(MATCH($B4,'DIVISION 15'!$A$15:$H$15,0),""),IFNA(MATCH($B4,'DIVISION 15'!$A$16:$H$16,0),""),IFNA(MATCH($B4,'DIVISION 15'!$A$17:$H$17,0),""),IFNA(MATCH($B4,'DIVISION 15'!$A$18:$H$18,0),""))=4,'DIVISION 15'!$D$1,SUM(IFNA(MATCH($B4,'DIVISION 15'!$A$2:$H$2,0),""),IFNA(MATCH($B4,'DIVISION 15'!$A$3:$H$3,0),""),IFNA(MATCH($B4,'DIVISION 15'!$A$4:$H$4,0),""),IFNA(MATCH($B4,'DIVISION 15'!$A$5:$H$5,0),""),IFNA(MATCH($B4,'DIVISION 15'!$A$6:$H$6,0),""),IFNA(MATCH($B4,'DIVISION 15'!$A$7:$H$7,0),""),IFNA(MATCH($B4,'DIVISION 15'!$A$8:$H$8,0),""),IFNA(MATCH($B4,'DIVISION 15'!$A$9:$H$9,0),""),IFNA(MATCH($B4,'DIVISION 15'!$A$10:$H$10,0),""),IFNA(MATCH($B4,'DIVISION 15'!$A$11:$H$11,0),""),IFNA(MATCH($B4,'DIVISION 15'!$A$12:$H$12,0),""),IFNA(MATCH($B4,'DIVISION 15'!$A$13:$H$13,0),""),IFNA(MATCH($B4,'DIVISION 15'!$A$14:$H$14,0),""),IFNA(MATCH($B4,'DIVISION 15'!$A$15:$H$15,0),""),IFNA(MATCH($B4,'DIVISION 15'!$A$16:$H$16,0),""),IFNA(MATCH($B4,'DIVISION 15'!$A$17:$H$17,0),""),IFNA(MATCH($B4,'DIVISION 15'!$A$18:$H$18,0),""))=5,'DIVISION 15'!$E$1,SUM(IFNA(MATCH($B4,'DIVISION 15'!$A$2:$H$2,0),""),IFNA(MATCH($B4,'DIVISION 15'!$A$3:$H$3,0),""),IFNA(MATCH($B4,'DIVISION 15'!$A$4:$H$4,0),""),IFNA(MATCH($B4,'DIVISION 15'!$A$5:$H$5,0),""),IFNA(MATCH($B4,'DIVISION 15'!$A$6:$H$6,0),""),IFNA(MATCH($B4,'DIVISION 15'!$A$7:$H$7,0),""),IFNA(MATCH($B4,'DIVISION 15'!$A$8:$H$8,0),""),IFNA(MATCH($B4,'DIVISION 15'!$A$9:$H$9,0),""),IFNA(MATCH($B4,'DIVISION 15'!$A$10:$H$10,0),""),IFNA(MATCH($B4,'DIVISION 15'!$A$11:$H$11,0),""),IFNA(MATCH($B4,'DIVISION 15'!$A$12:$H$12,0),""),IFNA(MATCH($B4,'DIVISION 15'!$A$13:$H$13,0),""),IFNA(MATCH($B4,'DIVISION 15'!$A$14:$H$14,0),""),IFNA(MATCH($B4,'DIVISION 15'!$A$15:$H$15,0),""),IFNA(MATCH($B4,'DIVISION 15'!$A$16:$H$16,0),""),IFNA(MATCH($B4,'DIVISION 15'!$A$17:$H$17,0),""),IFNA(MATCH($B4,'DIVISION 15'!$A$18:$H$18,0),""))=6,'DIVISION 15'!$F$1,SUM(IFNA(MATCH($B4,'DIVISION 15'!$A$2:$H$2,0),""),IFNA(MATCH($B4,'DIVISION 15'!$A$3:$H$3,0),""),IFNA(MATCH($B4,'DIVISION 15'!$A$4:$H$4,0),""),IFNA(MATCH($B4,'DIVISION 15'!$A$5:$H$5,0),""),IFNA(MATCH($B4,'DIVISION 15'!$A$6:$H$6,0),""),IFNA(MATCH($B4,'DIVISION 15'!$A$7:$H$7,0),""),IFNA(MATCH($B4,'DIVISION 15'!$A$8:$H$8,0),""),IFNA(MATCH($B4,'DIVISION 15'!$A$9:$H$9,0),""),IFNA(MATCH($B4,'DIVISION 15'!$A$10:$H$10,0),""),IFNA(MATCH($B4,'DIVISION 15'!$A$11:$H$11,0),""),IFNA(MATCH($B4,'DIVISION 15'!$A$12:$H$12,0),""),IFNA(MATCH($B4,'DIVISION 15'!$A$13:$H$13,0),""),IFNA(MATCH($B4,'DIVISION 15'!$A$14:$H$14,0),""),IFNA(MATCH($B4,'DIVISION 15'!$A$15:$H$15,0),""),IFNA(MATCH($B4,'DIVISION 15'!$A$16:$H$16,0),""),IFNA(MATCH($B4,'DIVISION 15'!$A$17:$H$17,0),""),IFNA(MATCH($B4,'DIVISION 15'!$A$18:$H$18,0),""))=7,'DIVISION 15'!$G$1,SUM(IFNA(MATCH($B4,'DIVISION 15'!$A$2:$H$2,0),""),IFNA(MATCH($B4,'DIVISION 15'!$A$3:$H$3,0),""),IFNA(MATCH($B4,'DIVISION 15'!$A$4:$H$4,0),""),IFNA(MATCH($B4,'DIVISION 15'!$A$5:$H$5,0),""),IFNA(MATCH($B4,'DIVISION 15'!$A$6:$H$6,0),""),IFNA(MATCH($B4,'DIVISION 15'!$A$7:$H$7,0),""),IFNA(MATCH($B4,'DIVISION 15'!$A$8:$H$8,0),""),IFNA(MATCH($B4,'DIVISION 15'!$A$9:$H$9,0),""),IFNA(MATCH($B4,'DIVISION 15'!$A$10:$H$10,0),""),IFNA(MATCH($B4,'DIVISION 15'!$A$11:$H$11,0),""),IFNA(MATCH($B4,'DIVISION 15'!$A$12:$H$12,0),""),IFNA(MATCH($B4,'DIVISION 15'!$A$13:$H$13,0),""),IFNA(MATCH($B4,'DIVISION 15'!$A$14:$H$14,0),""),IFNA(MATCH($B4,'DIVISION 15'!$A$15:$H$15,0),""),IFNA(MATCH($B4,'DIVISION 15'!$A$16:$H$16,0),""),IFNA(MATCH($B4,'DIVISION 15'!$A$17:$H$17,0),""),IFNA(MATCH($B4,'DIVISION 15'!$A$18:$H$18,0),""))=8,'DIVISION 15'!$H$1)</f>
        <v>EITU</v>
      </c>
      <c r="U4" s="8" t="str">
        <f t="shared" si="1"/>
        <v>EITU2</v>
      </c>
      <c r="V4" s="9">
        <f>SUMIF(AsistenciaViewJetAdmin!$A$3:$A$101,A4,AsistenciaViewJetAdmin!$C$3:$C$101)/(COUNTIF(AsistenciaViewJetAdmin!$D$102:V$102,"&gt;0")+COUNTIF(ActividadesEspeciales!$D$102:V$102,"&gt;0"))*100</f>
        <v>42.0212766</v>
      </c>
    </row>
    <row r="5" ht="28.5" customHeight="1">
      <c r="A5" s="3">
        <v>137.0</v>
      </c>
      <c r="B5" s="4" t="s">
        <v>54</v>
      </c>
      <c r="C5" s="5">
        <v>1030601.0</v>
      </c>
      <c r="D5" s="7" t="s">
        <v>55</v>
      </c>
      <c r="E5" s="5">
        <v>5.0322872E7</v>
      </c>
      <c r="F5" s="5" t="s">
        <v>56</v>
      </c>
      <c r="G5" s="7">
        <v>1.140512585E9</v>
      </c>
      <c r="H5" s="5" t="s">
        <v>57</v>
      </c>
      <c r="I5" s="5" t="s">
        <v>58</v>
      </c>
      <c r="J5" s="7">
        <v>1.168302846E9</v>
      </c>
      <c r="K5" s="5" t="s">
        <v>59</v>
      </c>
      <c r="L5" s="5" t="s">
        <v>60</v>
      </c>
      <c r="M5" s="7">
        <v>1.151615809E9</v>
      </c>
      <c r="N5" s="5" t="s">
        <v>61</v>
      </c>
      <c r="O5" s="5" t="s">
        <v>62</v>
      </c>
      <c r="P5" s="5" t="s">
        <v>53</v>
      </c>
      <c r="Q5" s="5" t="s">
        <v>30</v>
      </c>
      <c r="R5" s="5" t="s">
        <v>31</v>
      </c>
      <c r="S5" s="5" t="s">
        <v>43</v>
      </c>
      <c r="T5" s="8" t="str">
        <f>IFS(SUM(IFNA(MATCH($B5,'DIVISION 15'!$A$2:$H$2,0),""),IFNA(MATCH($B5,'DIVISION 15'!$A$3:$H$3,0),""),IFNA(MATCH($B5,'DIVISION 15'!$A$4:$H$4,0),""),IFNA(MATCH($B5,'DIVISION 15'!$A$5:$H$5,0),""),IFNA(MATCH($B5,'DIVISION 15'!$A$6:$H$6,0),""),IFNA(MATCH($B5,'DIVISION 15'!$A$7:$H$7,0),""),IFNA(MATCH($B5,'DIVISION 15'!$A$8:$H$8,0),""),IFNA(MATCH($B5,'DIVISION 15'!$A$9:$H$9,0),""),IFNA(MATCH($B5,'DIVISION 15'!$A$10:$H$10,0),""),IFNA(MATCH($B5,'DIVISION 15'!$A$11:$H$11,0),""),IFNA(MATCH($B5,'DIVISION 15'!$A$12:$H$12,0),""),IFNA(MATCH($B5,'DIVISION 15'!$A$13:$H$13,0),""),IFNA(MATCH($B5,'DIVISION 15'!$A$14:$H$14,0),""),IFNA(MATCH($B5,'DIVISION 15'!$A$15:$H$15,0),""),IFNA(MATCH($B5,'DIVISION 15'!$A$16:$H$16,0),""),IFNA(MATCH($B5,'DIVISION 15'!$A$17:$H$17,0),""),IFNA(MATCH($B5,'DIVISION 15'!$A$18:$H$18,0),""))=1,'DIVISION 15'!$A$1,SUM(IFNA(MATCH($B5,'DIVISION 15'!$A$2:$H$2,0),""),IFNA(MATCH($B5,'DIVISION 15'!$A$3:$H$3,0),""),IFNA(MATCH($B5,'DIVISION 15'!$A$4:$H$4,0),""),IFNA(MATCH($B5,'DIVISION 15'!$A$5:$H$5,0),""),IFNA(MATCH($B5,'DIVISION 15'!$A$6:$H$6,0),""),IFNA(MATCH($B5,'DIVISION 15'!$A$7:$H$7,0),""),IFNA(MATCH($B5,'DIVISION 15'!$A$8:$H$8,0),""),IFNA(MATCH($B5,'DIVISION 15'!$A$9:$H$9,0),""),IFNA(MATCH($B5,'DIVISION 15'!$A$10:$H$10,0),""),IFNA(MATCH($B5,'DIVISION 15'!$A$11:$H$11,0),""),IFNA(MATCH($B5,'DIVISION 15'!$A$12:$H$12,0),""),IFNA(MATCH($B5,'DIVISION 15'!$A$13:$H$13,0),""),IFNA(MATCH($B5,'DIVISION 15'!$A$14:$H$14,0),""),IFNA(MATCH($B5,'DIVISION 15'!$A$15:$H$15,0),""),IFNA(MATCH($B5,'DIVISION 15'!$A$16:$H$16,0),""),IFNA(MATCH($B5,'DIVISION 15'!$A$17:$H$17,0),""),IFNA(MATCH($B5,'DIVISION 15'!$A$18:$H$18,0),""))=2,'DIVISION 15'!$B$1,SUM(IFNA(MATCH($B5,'DIVISION 15'!$A$2:$H$2,0),""),IFNA(MATCH($B5,'DIVISION 15'!$A$3:$H$3,0),""),IFNA(MATCH($B5,'DIVISION 15'!$A$4:$H$4,0),""),IFNA(MATCH($B5,'DIVISION 15'!$A$5:$H$5,0),""),IFNA(MATCH($B5,'DIVISION 15'!$A$6:$H$6,0),""),IFNA(MATCH($B5,'DIVISION 15'!$A$7:$H$7,0),""),IFNA(MATCH($B5,'DIVISION 15'!$A$8:$H$8,0),""),IFNA(MATCH($B5,'DIVISION 15'!$A$9:$H$9,0),""),IFNA(MATCH($B5,'DIVISION 15'!$A$10:$H$10,0),""),IFNA(MATCH($B5,'DIVISION 15'!$A$11:$H$11,0),""),IFNA(MATCH($B5,'DIVISION 15'!$A$12:$H$12,0),""),IFNA(MATCH($B5,'DIVISION 15'!$A$13:$H$13,0),""),IFNA(MATCH($B5,'DIVISION 15'!$A$14:$H$14,0),""),IFNA(MATCH($B5,'DIVISION 15'!$A$15:$H$15,0),""),IFNA(MATCH($B5,'DIVISION 15'!$A$16:$H$16,0),""),IFNA(MATCH($B5,'DIVISION 15'!$A$17:$H$17,0),""),IFNA(MATCH($B5,'DIVISION 15'!$A$18:$H$18,0),""))=3,'DIVISION 15'!$C$1,SUM(IFNA(MATCH($B5,'DIVISION 15'!$A$2:$H$2,0),""),IFNA(MATCH($B5,'DIVISION 15'!$A$3:$H$3,0),""),IFNA(MATCH($B5,'DIVISION 15'!$A$4:$H$4,0),""),IFNA(MATCH($B5,'DIVISION 15'!$A$5:$H$5,0),""),IFNA(MATCH($B5,'DIVISION 15'!$A$6:$H$6,0),""),IFNA(MATCH($B5,'DIVISION 15'!$A$7:$H$7,0),""),IFNA(MATCH($B5,'DIVISION 15'!$A$8:$H$8,0),""),IFNA(MATCH($B5,'DIVISION 15'!$A$9:$H$9,0),""),IFNA(MATCH($B5,'DIVISION 15'!$A$10:$H$10,0),""),IFNA(MATCH($B5,'DIVISION 15'!$A$11:$H$11,0),""),IFNA(MATCH($B5,'DIVISION 15'!$A$12:$H$12,0),""),IFNA(MATCH($B5,'DIVISION 15'!$A$13:$H$13,0),""),IFNA(MATCH($B5,'DIVISION 15'!$A$14:$H$14,0),""),IFNA(MATCH($B5,'DIVISION 15'!$A$15:$H$15,0),""),IFNA(MATCH($B5,'DIVISION 15'!$A$16:$H$16,0),""),IFNA(MATCH($B5,'DIVISION 15'!$A$17:$H$17,0),""),IFNA(MATCH($B5,'DIVISION 15'!$A$18:$H$18,0),""))=4,'DIVISION 15'!$D$1,SUM(IFNA(MATCH($B5,'DIVISION 15'!$A$2:$H$2,0),""),IFNA(MATCH($B5,'DIVISION 15'!$A$3:$H$3,0),""),IFNA(MATCH($B5,'DIVISION 15'!$A$4:$H$4,0),""),IFNA(MATCH($B5,'DIVISION 15'!$A$5:$H$5,0),""),IFNA(MATCH($B5,'DIVISION 15'!$A$6:$H$6,0),""),IFNA(MATCH($B5,'DIVISION 15'!$A$7:$H$7,0),""),IFNA(MATCH($B5,'DIVISION 15'!$A$8:$H$8,0),""),IFNA(MATCH($B5,'DIVISION 15'!$A$9:$H$9,0),""),IFNA(MATCH($B5,'DIVISION 15'!$A$10:$H$10,0),""),IFNA(MATCH($B5,'DIVISION 15'!$A$11:$H$11,0),""),IFNA(MATCH($B5,'DIVISION 15'!$A$12:$H$12,0),""),IFNA(MATCH($B5,'DIVISION 15'!$A$13:$H$13,0),""),IFNA(MATCH($B5,'DIVISION 15'!$A$14:$H$14,0),""),IFNA(MATCH($B5,'DIVISION 15'!$A$15:$H$15,0),""),IFNA(MATCH($B5,'DIVISION 15'!$A$16:$H$16,0),""),IFNA(MATCH($B5,'DIVISION 15'!$A$17:$H$17,0),""),IFNA(MATCH($B5,'DIVISION 15'!$A$18:$H$18,0),""))=5,'DIVISION 15'!$E$1,SUM(IFNA(MATCH($B5,'DIVISION 15'!$A$2:$H$2,0),""),IFNA(MATCH($B5,'DIVISION 15'!$A$3:$H$3,0),""),IFNA(MATCH($B5,'DIVISION 15'!$A$4:$H$4,0),""),IFNA(MATCH($B5,'DIVISION 15'!$A$5:$H$5,0),""),IFNA(MATCH($B5,'DIVISION 15'!$A$6:$H$6,0),""),IFNA(MATCH($B5,'DIVISION 15'!$A$7:$H$7,0),""),IFNA(MATCH($B5,'DIVISION 15'!$A$8:$H$8,0),""),IFNA(MATCH($B5,'DIVISION 15'!$A$9:$H$9,0),""),IFNA(MATCH($B5,'DIVISION 15'!$A$10:$H$10,0),""),IFNA(MATCH($B5,'DIVISION 15'!$A$11:$H$11,0),""),IFNA(MATCH($B5,'DIVISION 15'!$A$12:$H$12,0),""),IFNA(MATCH($B5,'DIVISION 15'!$A$13:$H$13,0),""),IFNA(MATCH($B5,'DIVISION 15'!$A$14:$H$14,0),""),IFNA(MATCH($B5,'DIVISION 15'!$A$15:$H$15,0),""),IFNA(MATCH($B5,'DIVISION 15'!$A$16:$H$16,0),""),IFNA(MATCH($B5,'DIVISION 15'!$A$17:$H$17,0),""),IFNA(MATCH($B5,'DIVISION 15'!$A$18:$H$18,0),""))=6,'DIVISION 15'!$F$1,SUM(IFNA(MATCH($B5,'DIVISION 15'!$A$2:$H$2,0),""),IFNA(MATCH($B5,'DIVISION 15'!$A$3:$H$3,0),""),IFNA(MATCH($B5,'DIVISION 15'!$A$4:$H$4,0),""),IFNA(MATCH($B5,'DIVISION 15'!$A$5:$H$5,0),""),IFNA(MATCH($B5,'DIVISION 15'!$A$6:$H$6,0),""),IFNA(MATCH($B5,'DIVISION 15'!$A$7:$H$7,0),""),IFNA(MATCH($B5,'DIVISION 15'!$A$8:$H$8,0),""),IFNA(MATCH($B5,'DIVISION 15'!$A$9:$H$9,0),""),IFNA(MATCH($B5,'DIVISION 15'!$A$10:$H$10,0),""),IFNA(MATCH($B5,'DIVISION 15'!$A$11:$H$11,0),""),IFNA(MATCH($B5,'DIVISION 15'!$A$12:$H$12,0),""),IFNA(MATCH($B5,'DIVISION 15'!$A$13:$H$13,0),""),IFNA(MATCH($B5,'DIVISION 15'!$A$14:$H$14,0),""),IFNA(MATCH($B5,'DIVISION 15'!$A$15:$H$15,0),""),IFNA(MATCH($B5,'DIVISION 15'!$A$16:$H$16,0),""),IFNA(MATCH($B5,'DIVISION 15'!$A$17:$H$17,0),""),IFNA(MATCH($B5,'DIVISION 15'!$A$18:$H$18,0),""))=7,'DIVISION 15'!$G$1,SUM(IFNA(MATCH($B5,'DIVISION 15'!$A$2:$H$2,0),""),IFNA(MATCH($B5,'DIVISION 15'!$A$3:$H$3,0),""),IFNA(MATCH($B5,'DIVISION 15'!$A$4:$H$4,0),""),IFNA(MATCH($B5,'DIVISION 15'!$A$5:$H$5,0),""),IFNA(MATCH($B5,'DIVISION 15'!$A$6:$H$6,0),""),IFNA(MATCH($B5,'DIVISION 15'!$A$7:$H$7,0),""),IFNA(MATCH($B5,'DIVISION 15'!$A$8:$H$8,0),""),IFNA(MATCH($B5,'DIVISION 15'!$A$9:$H$9,0),""),IFNA(MATCH($B5,'DIVISION 15'!$A$10:$H$10,0),""),IFNA(MATCH($B5,'DIVISION 15'!$A$11:$H$11,0),""),IFNA(MATCH($B5,'DIVISION 15'!$A$12:$H$12,0),""),IFNA(MATCH($B5,'DIVISION 15'!$A$13:$H$13,0),""),IFNA(MATCH($B5,'DIVISION 15'!$A$14:$H$14,0),""),IFNA(MATCH($B5,'DIVISION 15'!$A$15:$H$15,0),""),IFNA(MATCH($B5,'DIVISION 15'!$A$16:$H$16,0),""),IFNA(MATCH($B5,'DIVISION 15'!$A$17:$H$17,0),""),IFNA(MATCH($B5,'DIVISION 15'!$A$18:$H$18,0),""))=8,'DIVISION 15'!$H$1)</f>
        <v>DAIU</v>
      </c>
      <c r="U5" s="8" t="str">
        <f t="shared" si="1"/>
        <v>DAIU1</v>
      </c>
      <c r="V5" s="9">
        <f>SUMIF(AsistenciaViewJetAdmin!$A$3:$A$101,A5,AsistenciaViewJetAdmin!$C$3:$C$101)/(COUNTIF(AsistenciaViewJetAdmin!$D$102:V$102,"&gt;0")+COUNTIF(ActividadesEspeciales!$D$102:V$102,"&gt;0"))*100</f>
        <v>71.80851064</v>
      </c>
    </row>
    <row r="6" ht="28.5" customHeight="1">
      <c r="A6" s="3">
        <v>100.0</v>
      </c>
      <c r="B6" s="4" t="s">
        <v>63</v>
      </c>
      <c r="C6" s="5">
        <v>994503.0</v>
      </c>
      <c r="D6" s="7" t="s">
        <v>64</v>
      </c>
      <c r="E6" s="5">
        <v>4.9960126E7</v>
      </c>
      <c r="F6" s="5" t="s">
        <v>65</v>
      </c>
      <c r="G6" s="7">
        <v>1.132391205E9</v>
      </c>
      <c r="H6" s="5" t="s">
        <v>66</v>
      </c>
      <c r="I6" s="5" t="s">
        <v>67</v>
      </c>
      <c r="J6" s="7" t="s">
        <v>68</v>
      </c>
      <c r="K6" s="5" t="s">
        <v>69</v>
      </c>
      <c r="L6" s="5" t="s">
        <v>70</v>
      </c>
      <c r="M6" s="7" t="s">
        <v>71</v>
      </c>
      <c r="N6" s="5" t="s">
        <v>61</v>
      </c>
      <c r="O6" s="5" t="s">
        <v>72</v>
      </c>
      <c r="P6" s="5" t="s">
        <v>73</v>
      </c>
      <c r="Q6" s="5" t="s">
        <v>74</v>
      </c>
      <c r="R6" s="5" t="s">
        <v>31</v>
      </c>
      <c r="S6" s="5" t="s">
        <v>43</v>
      </c>
      <c r="T6" s="8" t="str">
        <f>IFS(SUM(IFNA(MATCH($B6,'DIVISION 15'!$A$2:$H$2,0),""),IFNA(MATCH($B6,'DIVISION 15'!$A$3:$H$3,0),""),IFNA(MATCH($B6,'DIVISION 15'!$A$4:$H$4,0),""),IFNA(MATCH($B6,'DIVISION 15'!$A$5:$H$5,0),""),IFNA(MATCH($B6,'DIVISION 15'!$A$6:$H$6,0),""),IFNA(MATCH($B6,'DIVISION 15'!$A$7:$H$7,0),""),IFNA(MATCH($B6,'DIVISION 15'!$A$8:$H$8,0),""),IFNA(MATCH($B6,'DIVISION 15'!$A$9:$H$9,0),""),IFNA(MATCH($B6,'DIVISION 15'!$A$10:$H$10,0),""),IFNA(MATCH($B6,'DIVISION 15'!$A$11:$H$11,0),""),IFNA(MATCH($B6,'DIVISION 15'!$A$12:$H$12,0),""),IFNA(MATCH($B6,'DIVISION 15'!$A$13:$H$13,0),""),IFNA(MATCH($B6,'DIVISION 15'!$A$14:$H$14,0),""),IFNA(MATCH($B6,'DIVISION 15'!$A$15:$H$15,0),""),IFNA(MATCH($B6,'DIVISION 15'!$A$16:$H$16,0),""),IFNA(MATCH($B6,'DIVISION 15'!$A$17:$H$17,0),""),IFNA(MATCH($B6,'DIVISION 15'!$A$18:$H$18,0),""))=1,'DIVISION 15'!$A$1,SUM(IFNA(MATCH($B6,'DIVISION 15'!$A$2:$H$2,0),""),IFNA(MATCH($B6,'DIVISION 15'!$A$3:$H$3,0),""),IFNA(MATCH($B6,'DIVISION 15'!$A$4:$H$4,0),""),IFNA(MATCH($B6,'DIVISION 15'!$A$5:$H$5,0),""),IFNA(MATCH($B6,'DIVISION 15'!$A$6:$H$6,0),""),IFNA(MATCH($B6,'DIVISION 15'!$A$7:$H$7,0),""),IFNA(MATCH($B6,'DIVISION 15'!$A$8:$H$8,0),""),IFNA(MATCH($B6,'DIVISION 15'!$A$9:$H$9,0),""),IFNA(MATCH($B6,'DIVISION 15'!$A$10:$H$10,0),""),IFNA(MATCH($B6,'DIVISION 15'!$A$11:$H$11,0),""),IFNA(MATCH($B6,'DIVISION 15'!$A$12:$H$12,0),""),IFNA(MATCH($B6,'DIVISION 15'!$A$13:$H$13,0),""),IFNA(MATCH($B6,'DIVISION 15'!$A$14:$H$14,0),""),IFNA(MATCH($B6,'DIVISION 15'!$A$15:$H$15,0),""),IFNA(MATCH($B6,'DIVISION 15'!$A$16:$H$16,0),""),IFNA(MATCH($B6,'DIVISION 15'!$A$17:$H$17,0),""),IFNA(MATCH($B6,'DIVISION 15'!$A$18:$H$18,0),""))=2,'DIVISION 15'!$B$1,SUM(IFNA(MATCH($B6,'DIVISION 15'!$A$2:$H$2,0),""),IFNA(MATCH($B6,'DIVISION 15'!$A$3:$H$3,0),""),IFNA(MATCH($B6,'DIVISION 15'!$A$4:$H$4,0),""),IFNA(MATCH($B6,'DIVISION 15'!$A$5:$H$5,0),""),IFNA(MATCH($B6,'DIVISION 15'!$A$6:$H$6,0),""),IFNA(MATCH($B6,'DIVISION 15'!$A$7:$H$7,0),""),IFNA(MATCH($B6,'DIVISION 15'!$A$8:$H$8,0),""),IFNA(MATCH($B6,'DIVISION 15'!$A$9:$H$9,0),""),IFNA(MATCH($B6,'DIVISION 15'!$A$10:$H$10,0),""),IFNA(MATCH($B6,'DIVISION 15'!$A$11:$H$11,0),""),IFNA(MATCH($B6,'DIVISION 15'!$A$12:$H$12,0),""),IFNA(MATCH($B6,'DIVISION 15'!$A$13:$H$13,0),""),IFNA(MATCH($B6,'DIVISION 15'!$A$14:$H$14,0),""),IFNA(MATCH($B6,'DIVISION 15'!$A$15:$H$15,0),""),IFNA(MATCH($B6,'DIVISION 15'!$A$16:$H$16,0),""),IFNA(MATCH($B6,'DIVISION 15'!$A$17:$H$17,0),""),IFNA(MATCH($B6,'DIVISION 15'!$A$18:$H$18,0),""))=3,'DIVISION 15'!$C$1,SUM(IFNA(MATCH($B6,'DIVISION 15'!$A$2:$H$2,0),""),IFNA(MATCH($B6,'DIVISION 15'!$A$3:$H$3,0),""),IFNA(MATCH($B6,'DIVISION 15'!$A$4:$H$4,0),""),IFNA(MATCH($B6,'DIVISION 15'!$A$5:$H$5,0),""),IFNA(MATCH($B6,'DIVISION 15'!$A$6:$H$6,0),""),IFNA(MATCH($B6,'DIVISION 15'!$A$7:$H$7,0),""),IFNA(MATCH($B6,'DIVISION 15'!$A$8:$H$8,0),""),IFNA(MATCH($B6,'DIVISION 15'!$A$9:$H$9,0),""),IFNA(MATCH($B6,'DIVISION 15'!$A$10:$H$10,0),""),IFNA(MATCH($B6,'DIVISION 15'!$A$11:$H$11,0),""),IFNA(MATCH($B6,'DIVISION 15'!$A$12:$H$12,0),""),IFNA(MATCH($B6,'DIVISION 15'!$A$13:$H$13,0),""),IFNA(MATCH($B6,'DIVISION 15'!$A$14:$H$14,0),""),IFNA(MATCH($B6,'DIVISION 15'!$A$15:$H$15,0),""),IFNA(MATCH($B6,'DIVISION 15'!$A$16:$H$16,0),""),IFNA(MATCH($B6,'DIVISION 15'!$A$17:$H$17,0),""),IFNA(MATCH($B6,'DIVISION 15'!$A$18:$H$18,0),""))=4,'DIVISION 15'!$D$1,SUM(IFNA(MATCH($B6,'DIVISION 15'!$A$2:$H$2,0),""),IFNA(MATCH($B6,'DIVISION 15'!$A$3:$H$3,0),""),IFNA(MATCH($B6,'DIVISION 15'!$A$4:$H$4,0),""),IFNA(MATCH($B6,'DIVISION 15'!$A$5:$H$5,0),""),IFNA(MATCH($B6,'DIVISION 15'!$A$6:$H$6,0),""),IFNA(MATCH($B6,'DIVISION 15'!$A$7:$H$7,0),""),IFNA(MATCH($B6,'DIVISION 15'!$A$8:$H$8,0),""),IFNA(MATCH($B6,'DIVISION 15'!$A$9:$H$9,0),""),IFNA(MATCH($B6,'DIVISION 15'!$A$10:$H$10,0),""),IFNA(MATCH($B6,'DIVISION 15'!$A$11:$H$11,0),""),IFNA(MATCH($B6,'DIVISION 15'!$A$12:$H$12,0),""),IFNA(MATCH($B6,'DIVISION 15'!$A$13:$H$13,0),""),IFNA(MATCH($B6,'DIVISION 15'!$A$14:$H$14,0),""),IFNA(MATCH($B6,'DIVISION 15'!$A$15:$H$15,0),""),IFNA(MATCH($B6,'DIVISION 15'!$A$16:$H$16,0),""),IFNA(MATCH($B6,'DIVISION 15'!$A$17:$H$17,0),""),IFNA(MATCH($B6,'DIVISION 15'!$A$18:$H$18,0),""))=5,'DIVISION 15'!$E$1,SUM(IFNA(MATCH($B6,'DIVISION 15'!$A$2:$H$2,0),""),IFNA(MATCH($B6,'DIVISION 15'!$A$3:$H$3,0),""),IFNA(MATCH($B6,'DIVISION 15'!$A$4:$H$4,0),""),IFNA(MATCH($B6,'DIVISION 15'!$A$5:$H$5,0),""),IFNA(MATCH($B6,'DIVISION 15'!$A$6:$H$6,0),""),IFNA(MATCH($B6,'DIVISION 15'!$A$7:$H$7,0),""),IFNA(MATCH($B6,'DIVISION 15'!$A$8:$H$8,0),""),IFNA(MATCH($B6,'DIVISION 15'!$A$9:$H$9,0),""),IFNA(MATCH($B6,'DIVISION 15'!$A$10:$H$10,0),""),IFNA(MATCH($B6,'DIVISION 15'!$A$11:$H$11,0),""),IFNA(MATCH($B6,'DIVISION 15'!$A$12:$H$12,0),""),IFNA(MATCH($B6,'DIVISION 15'!$A$13:$H$13,0),""),IFNA(MATCH($B6,'DIVISION 15'!$A$14:$H$14,0),""),IFNA(MATCH($B6,'DIVISION 15'!$A$15:$H$15,0),""),IFNA(MATCH($B6,'DIVISION 15'!$A$16:$H$16,0),""),IFNA(MATCH($B6,'DIVISION 15'!$A$17:$H$17,0),""),IFNA(MATCH($B6,'DIVISION 15'!$A$18:$H$18,0),""))=6,'DIVISION 15'!$F$1,SUM(IFNA(MATCH($B6,'DIVISION 15'!$A$2:$H$2,0),""),IFNA(MATCH($B6,'DIVISION 15'!$A$3:$H$3,0),""),IFNA(MATCH($B6,'DIVISION 15'!$A$4:$H$4,0),""),IFNA(MATCH($B6,'DIVISION 15'!$A$5:$H$5,0),""),IFNA(MATCH($B6,'DIVISION 15'!$A$6:$H$6,0),""),IFNA(MATCH($B6,'DIVISION 15'!$A$7:$H$7,0),""),IFNA(MATCH($B6,'DIVISION 15'!$A$8:$H$8,0),""),IFNA(MATCH($B6,'DIVISION 15'!$A$9:$H$9,0),""),IFNA(MATCH($B6,'DIVISION 15'!$A$10:$H$10,0),""),IFNA(MATCH($B6,'DIVISION 15'!$A$11:$H$11,0),""),IFNA(MATCH($B6,'DIVISION 15'!$A$12:$H$12,0),""),IFNA(MATCH($B6,'DIVISION 15'!$A$13:$H$13,0),""),IFNA(MATCH($B6,'DIVISION 15'!$A$14:$H$14,0),""),IFNA(MATCH($B6,'DIVISION 15'!$A$15:$H$15,0),""),IFNA(MATCH($B6,'DIVISION 15'!$A$16:$H$16,0),""),IFNA(MATCH($B6,'DIVISION 15'!$A$17:$H$17,0),""),IFNA(MATCH($B6,'DIVISION 15'!$A$18:$H$18,0),""))=7,'DIVISION 15'!$G$1,SUM(IFNA(MATCH($B6,'DIVISION 15'!$A$2:$H$2,0),""),IFNA(MATCH($B6,'DIVISION 15'!$A$3:$H$3,0),""),IFNA(MATCH($B6,'DIVISION 15'!$A$4:$H$4,0),""),IFNA(MATCH($B6,'DIVISION 15'!$A$5:$H$5,0),""),IFNA(MATCH($B6,'DIVISION 15'!$A$6:$H$6,0),""),IFNA(MATCH($B6,'DIVISION 15'!$A$7:$H$7,0),""),IFNA(MATCH($B6,'DIVISION 15'!$A$8:$H$8,0),""),IFNA(MATCH($B6,'DIVISION 15'!$A$9:$H$9,0),""),IFNA(MATCH($B6,'DIVISION 15'!$A$10:$H$10,0),""),IFNA(MATCH($B6,'DIVISION 15'!$A$11:$H$11,0),""),IFNA(MATCH($B6,'DIVISION 15'!$A$12:$H$12,0),""),IFNA(MATCH($B6,'DIVISION 15'!$A$13:$H$13,0),""),IFNA(MATCH($B6,'DIVISION 15'!$A$14:$H$14,0),""),IFNA(MATCH($B6,'DIVISION 15'!$A$15:$H$15,0),""),IFNA(MATCH($B6,'DIVISION 15'!$A$16:$H$16,0),""),IFNA(MATCH($B6,'DIVISION 15'!$A$17:$H$17,0),""),IFNA(MATCH($B6,'DIVISION 15'!$A$18:$H$18,0),""))=8,'DIVISION 15'!$H$1)</f>
        <v>GONZI</v>
      </c>
      <c r="U6" s="8" t="str">
        <f t="shared" si="1"/>
        <v>GONZI1</v>
      </c>
      <c r="V6" s="9">
        <f>SUMIF(AsistenciaViewJetAdmin!$A$3:$A$101,A6,AsistenciaViewJetAdmin!$C$3:$C$101)/(COUNTIF(AsistenciaViewJetAdmin!$D$102:V$102,"&gt;0")+COUNTIF(ActividadesEspeciales!$D$102:V$102,"&gt;0"))*100</f>
        <v>66.4893617</v>
      </c>
    </row>
    <row r="7" ht="28.5" customHeight="1">
      <c r="A7" s="3">
        <v>127.0</v>
      </c>
      <c r="B7" s="4" t="s">
        <v>75</v>
      </c>
      <c r="C7" s="5">
        <v>1083800.0</v>
      </c>
      <c r="D7" s="7" t="s">
        <v>76</v>
      </c>
      <c r="E7" s="5">
        <v>4.9982841E7</v>
      </c>
      <c r="F7" s="5" t="s">
        <v>77</v>
      </c>
      <c r="G7" s="7">
        <v>6.8727061E7</v>
      </c>
      <c r="H7" s="5" t="s">
        <v>78</v>
      </c>
      <c r="I7" s="5" t="s">
        <v>79</v>
      </c>
      <c r="J7" s="10" t="s">
        <v>80</v>
      </c>
      <c r="K7" s="5" t="s">
        <v>81</v>
      </c>
      <c r="L7" s="5" t="s">
        <v>82</v>
      </c>
      <c r="M7" s="7" t="s">
        <v>83</v>
      </c>
      <c r="N7" s="5" t="s">
        <v>84</v>
      </c>
      <c r="O7" s="5" t="s">
        <v>85</v>
      </c>
      <c r="P7" s="5" t="s">
        <v>86</v>
      </c>
      <c r="Q7" s="5" t="s">
        <v>30</v>
      </c>
      <c r="R7" s="5" t="s">
        <v>87</v>
      </c>
      <c r="S7" s="5" t="s">
        <v>32</v>
      </c>
      <c r="T7" s="8" t="str">
        <f>IFS(SUM(IFNA(MATCH($B7,'DIVISION 15'!$A$2:$H$2,0),""),IFNA(MATCH($B7,'DIVISION 15'!$A$3:$H$3,0),""),IFNA(MATCH($B7,'DIVISION 15'!$A$4:$H$4,0),""),IFNA(MATCH($B7,'DIVISION 15'!$A$5:$H$5,0),""),IFNA(MATCH($B7,'DIVISION 15'!$A$6:$H$6,0),""),IFNA(MATCH($B7,'DIVISION 15'!$A$7:$H$7,0),""),IFNA(MATCH($B7,'DIVISION 15'!$A$8:$H$8,0),""),IFNA(MATCH($B7,'DIVISION 15'!$A$9:$H$9,0),""),IFNA(MATCH($B7,'DIVISION 15'!$A$10:$H$10,0),""),IFNA(MATCH($B7,'DIVISION 15'!$A$11:$H$11,0),""),IFNA(MATCH($B7,'DIVISION 15'!$A$12:$H$12,0),""),IFNA(MATCH($B7,'DIVISION 15'!$A$13:$H$13,0),""),IFNA(MATCH($B7,'DIVISION 15'!$A$14:$H$14,0),""),IFNA(MATCH($B7,'DIVISION 15'!$A$15:$H$15,0),""),IFNA(MATCH($B7,'DIVISION 15'!$A$16:$H$16,0),""),IFNA(MATCH($B7,'DIVISION 15'!$A$17:$H$17,0),""),IFNA(MATCH($B7,'DIVISION 15'!$A$18:$H$18,0),""))=1,'DIVISION 15'!$A$1,SUM(IFNA(MATCH($B7,'DIVISION 15'!$A$2:$H$2,0),""),IFNA(MATCH($B7,'DIVISION 15'!$A$3:$H$3,0),""),IFNA(MATCH($B7,'DIVISION 15'!$A$4:$H$4,0),""),IFNA(MATCH($B7,'DIVISION 15'!$A$5:$H$5,0),""),IFNA(MATCH($B7,'DIVISION 15'!$A$6:$H$6,0),""),IFNA(MATCH($B7,'DIVISION 15'!$A$7:$H$7,0),""),IFNA(MATCH($B7,'DIVISION 15'!$A$8:$H$8,0),""),IFNA(MATCH($B7,'DIVISION 15'!$A$9:$H$9,0),""),IFNA(MATCH($B7,'DIVISION 15'!$A$10:$H$10,0),""),IFNA(MATCH($B7,'DIVISION 15'!$A$11:$H$11,0),""),IFNA(MATCH($B7,'DIVISION 15'!$A$12:$H$12,0),""),IFNA(MATCH($B7,'DIVISION 15'!$A$13:$H$13,0),""),IFNA(MATCH($B7,'DIVISION 15'!$A$14:$H$14,0),""),IFNA(MATCH($B7,'DIVISION 15'!$A$15:$H$15,0),""),IFNA(MATCH($B7,'DIVISION 15'!$A$16:$H$16,0),""),IFNA(MATCH($B7,'DIVISION 15'!$A$17:$H$17,0),""),IFNA(MATCH($B7,'DIVISION 15'!$A$18:$H$18,0),""))=2,'DIVISION 15'!$B$1,SUM(IFNA(MATCH($B7,'DIVISION 15'!$A$2:$H$2,0),""),IFNA(MATCH($B7,'DIVISION 15'!$A$3:$H$3,0),""),IFNA(MATCH($B7,'DIVISION 15'!$A$4:$H$4,0),""),IFNA(MATCH($B7,'DIVISION 15'!$A$5:$H$5,0),""),IFNA(MATCH($B7,'DIVISION 15'!$A$6:$H$6,0),""),IFNA(MATCH($B7,'DIVISION 15'!$A$7:$H$7,0),""),IFNA(MATCH($B7,'DIVISION 15'!$A$8:$H$8,0),""),IFNA(MATCH($B7,'DIVISION 15'!$A$9:$H$9,0),""),IFNA(MATCH($B7,'DIVISION 15'!$A$10:$H$10,0),""),IFNA(MATCH($B7,'DIVISION 15'!$A$11:$H$11,0),""),IFNA(MATCH($B7,'DIVISION 15'!$A$12:$H$12,0),""),IFNA(MATCH($B7,'DIVISION 15'!$A$13:$H$13,0),""),IFNA(MATCH($B7,'DIVISION 15'!$A$14:$H$14,0),""),IFNA(MATCH($B7,'DIVISION 15'!$A$15:$H$15,0),""),IFNA(MATCH($B7,'DIVISION 15'!$A$16:$H$16,0),""),IFNA(MATCH($B7,'DIVISION 15'!$A$17:$H$17,0),""),IFNA(MATCH($B7,'DIVISION 15'!$A$18:$H$18,0),""))=3,'DIVISION 15'!$C$1,SUM(IFNA(MATCH($B7,'DIVISION 15'!$A$2:$H$2,0),""),IFNA(MATCH($B7,'DIVISION 15'!$A$3:$H$3,0),""),IFNA(MATCH($B7,'DIVISION 15'!$A$4:$H$4,0),""),IFNA(MATCH($B7,'DIVISION 15'!$A$5:$H$5,0),""),IFNA(MATCH($B7,'DIVISION 15'!$A$6:$H$6,0),""),IFNA(MATCH($B7,'DIVISION 15'!$A$7:$H$7,0),""),IFNA(MATCH($B7,'DIVISION 15'!$A$8:$H$8,0),""),IFNA(MATCH($B7,'DIVISION 15'!$A$9:$H$9,0),""),IFNA(MATCH($B7,'DIVISION 15'!$A$10:$H$10,0),""),IFNA(MATCH($B7,'DIVISION 15'!$A$11:$H$11,0),""),IFNA(MATCH($B7,'DIVISION 15'!$A$12:$H$12,0),""),IFNA(MATCH($B7,'DIVISION 15'!$A$13:$H$13,0),""),IFNA(MATCH($B7,'DIVISION 15'!$A$14:$H$14,0),""),IFNA(MATCH($B7,'DIVISION 15'!$A$15:$H$15,0),""),IFNA(MATCH($B7,'DIVISION 15'!$A$16:$H$16,0),""),IFNA(MATCH($B7,'DIVISION 15'!$A$17:$H$17,0),""),IFNA(MATCH($B7,'DIVISION 15'!$A$18:$H$18,0),""))=4,'DIVISION 15'!$D$1,SUM(IFNA(MATCH($B7,'DIVISION 15'!$A$2:$H$2,0),""),IFNA(MATCH($B7,'DIVISION 15'!$A$3:$H$3,0),""),IFNA(MATCH($B7,'DIVISION 15'!$A$4:$H$4,0),""),IFNA(MATCH($B7,'DIVISION 15'!$A$5:$H$5,0),""),IFNA(MATCH($B7,'DIVISION 15'!$A$6:$H$6,0),""),IFNA(MATCH($B7,'DIVISION 15'!$A$7:$H$7,0),""),IFNA(MATCH($B7,'DIVISION 15'!$A$8:$H$8,0),""),IFNA(MATCH($B7,'DIVISION 15'!$A$9:$H$9,0),""),IFNA(MATCH($B7,'DIVISION 15'!$A$10:$H$10,0),""),IFNA(MATCH($B7,'DIVISION 15'!$A$11:$H$11,0),""),IFNA(MATCH($B7,'DIVISION 15'!$A$12:$H$12,0),""),IFNA(MATCH($B7,'DIVISION 15'!$A$13:$H$13,0),""),IFNA(MATCH($B7,'DIVISION 15'!$A$14:$H$14,0),""),IFNA(MATCH($B7,'DIVISION 15'!$A$15:$H$15,0),""),IFNA(MATCH($B7,'DIVISION 15'!$A$16:$H$16,0),""),IFNA(MATCH($B7,'DIVISION 15'!$A$17:$H$17,0),""),IFNA(MATCH($B7,'DIVISION 15'!$A$18:$H$18,0),""))=5,'DIVISION 15'!$E$1,SUM(IFNA(MATCH($B7,'DIVISION 15'!$A$2:$H$2,0),""),IFNA(MATCH($B7,'DIVISION 15'!$A$3:$H$3,0),""),IFNA(MATCH($B7,'DIVISION 15'!$A$4:$H$4,0),""),IFNA(MATCH($B7,'DIVISION 15'!$A$5:$H$5,0),""),IFNA(MATCH($B7,'DIVISION 15'!$A$6:$H$6,0),""),IFNA(MATCH($B7,'DIVISION 15'!$A$7:$H$7,0),""),IFNA(MATCH($B7,'DIVISION 15'!$A$8:$H$8,0),""),IFNA(MATCH($B7,'DIVISION 15'!$A$9:$H$9,0),""),IFNA(MATCH($B7,'DIVISION 15'!$A$10:$H$10,0),""),IFNA(MATCH($B7,'DIVISION 15'!$A$11:$H$11,0),""),IFNA(MATCH($B7,'DIVISION 15'!$A$12:$H$12,0),""),IFNA(MATCH($B7,'DIVISION 15'!$A$13:$H$13,0),""),IFNA(MATCH($B7,'DIVISION 15'!$A$14:$H$14,0),""),IFNA(MATCH($B7,'DIVISION 15'!$A$15:$H$15,0),""),IFNA(MATCH($B7,'DIVISION 15'!$A$16:$H$16,0),""),IFNA(MATCH($B7,'DIVISION 15'!$A$17:$H$17,0),""),IFNA(MATCH($B7,'DIVISION 15'!$A$18:$H$18,0),""))=6,'DIVISION 15'!$F$1,SUM(IFNA(MATCH($B7,'DIVISION 15'!$A$2:$H$2,0),""),IFNA(MATCH($B7,'DIVISION 15'!$A$3:$H$3,0),""),IFNA(MATCH($B7,'DIVISION 15'!$A$4:$H$4,0),""),IFNA(MATCH($B7,'DIVISION 15'!$A$5:$H$5,0),""),IFNA(MATCH($B7,'DIVISION 15'!$A$6:$H$6,0),""),IFNA(MATCH($B7,'DIVISION 15'!$A$7:$H$7,0),""),IFNA(MATCH($B7,'DIVISION 15'!$A$8:$H$8,0),""),IFNA(MATCH($B7,'DIVISION 15'!$A$9:$H$9,0),""),IFNA(MATCH($B7,'DIVISION 15'!$A$10:$H$10,0),""),IFNA(MATCH($B7,'DIVISION 15'!$A$11:$H$11,0),""),IFNA(MATCH($B7,'DIVISION 15'!$A$12:$H$12,0),""),IFNA(MATCH($B7,'DIVISION 15'!$A$13:$H$13,0),""),IFNA(MATCH($B7,'DIVISION 15'!$A$14:$H$14,0),""),IFNA(MATCH($B7,'DIVISION 15'!$A$15:$H$15,0),""),IFNA(MATCH($B7,'DIVISION 15'!$A$16:$H$16,0),""),IFNA(MATCH($B7,'DIVISION 15'!$A$17:$H$17,0),""),IFNA(MATCH($B7,'DIVISION 15'!$A$18:$H$18,0),""))=7,'DIVISION 15'!$G$1,SUM(IFNA(MATCH($B7,'DIVISION 15'!$A$2:$H$2,0),""),IFNA(MATCH($B7,'DIVISION 15'!$A$3:$H$3,0),""),IFNA(MATCH($B7,'DIVISION 15'!$A$4:$H$4,0),""),IFNA(MATCH($B7,'DIVISION 15'!$A$5:$H$5,0),""),IFNA(MATCH($B7,'DIVISION 15'!$A$6:$H$6,0),""),IFNA(MATCH($B7,'DIVISION 15'!$A$7:$H$7,0),""),IFNA(MATCH($B7,'DIVISION 15'!$A$8:$H$8,0),""),IFNA(MATCH($B7,'DIVISION 15'!$A$9:$H$9,0),""),IFNA(MATCH($B7,'DIVISION 15'!$A$10:$H$10,0),""),IFNA(MATCH($B7,'DIVISION 15'!$A$11:$H$11,0),""),IFNA(MATCH($B7,'DIVISION 15'!$A$12:$H$12,0),""),IFNA(MATCH($B7,'DIVISION 15'!$A$13:$H$13,0),""),IFNA(MATCH($B7,'DIVISION 15'!$A$14:$H$14,0),""),IFNA(MATCH($B7,'DIVISION 15'!$A$15:$H$15,0),""),IFNA(MATCH($B7,'DIVISION 15'!$A$16:$H$16,0),""),IFNA(MATCH($B7,'DIVISION 15'!$A$17:$H$17,0),""),IFNA(MATCH($B7,'DIVISION 15'!$A$18:$H$18,0),""))=8,'DIVISION 15'!$H$1)</f>
        <v>MARTO</v>
      </c>
      <c r="U7" s="8" t="str">
        <f t="shared" si="1"/>
        <v>MARTO1</v>
      </c>
      <c r="V7" s="9">
        <f>SUMIF(AsistenciaViewJetAdmin!$A$3:$A$101,A7,AsistenciaViewJetAdmin!$C$3:$C$101)/(COUNTIF(AsistenciaViewJetAdmin!$D$102:V$102,"&gt;0")+COUNTIF(ActividadesEspeciales!$D$102:V$102,"&gt;0"))*100</f>
        <v>46.27659574</v>
      </c>
    </row>
    <row r="8" ht="28.5" customHeight="1">
      <c r="A8" s="3">
        <v>218.0</v>
      </c>
      <c r="B8" s="4" t="s">
        <v>88</v>
      </c>
      <c r="C8" s="5">
        <v>1098402.0</v>
      </c>
      <c r="D8" s="6">
        <v>40097.0</v>
      </c>
      <c r="E8" s="5">
        <v>4.9905586E7</v>
      </c>
      <c r="F8" s="5" t="s">
        <v>89</v>
      </c>
      <c r="G8" s="7">
        <v>1.125465099E9</v>
      </c>
      <c r="H8" s="5" t="s">
        <v>90</v>
      </c>
      <c r="I8" s="5" t="s">
        <v>91</v>
      </c>
      <c r="J8" s="7">
        <v>1.157426573E9</v>
      </c>
      <c r="K8" s="5" t="s">
        <v>92</v>
      </c>
      <c r="L8" s="5" t="s">
        <v>93</v>
      </c>
      <c r="M8" s="7">
        <v>1.151758035E9</v>
      </c>
      <c r="N8" s="5" t="s">
        <v>94</v>
      </c>
      <c r="O8" s="5" t="s">
        <v>95</v>
      </c>
      <c r="P8" s="5" t="s">
        <v>96</v>
      </c>
      <c r="Q8" s="5" t="s">
        <v>30</v>
      </c>
      <c r="R8" s="5" t="s">
        <v>31</v>
      </c>
      <c r="S8" s="5" t="s">
        <v>32</v>
      </c>
      <c r="T8" s="8" t="str">
        <f>IFS(SUM(IFNA(MATCH($B8,'DIVISION 15'!$A$2:$H$2,0),""),IFNA(MATCH($B8,'DIVISION 15'!$A$3:$H$3,0),""),IFNA(MATCH($B8,'DIVISION 15'!$A$4:$H$4,0),""),IFNA(MATCH($B8,'DIVISION 15'!$A$5:$H$5,0),""),IFNA(MATCH($B8,'DIVISION 15'!$A$6:$H$6,0),""),IFNA(MATCH($B8,'DIVISION 15'!$A$7:$H$7,0),""),IFNA(MATCH($B8,'DIVISION 15'!$A$8:$H$8,0),""),IFNA(MATCH($B8,'DIVISION 15'!$A$9:$H$9,0),""),IFNA(MATCH($B8,'DIVISION 15'!$A$10:$H$10,0),""),IFNA(MATCH($B8,'DIVISION 15'!$A$11:$H$11,0),""),IFNA(MATCH($B8,'DIVISION 15'!$A$12:$H$12,0),""),IFNA(MATCH($B8,'DIVISION 15'!$A$13:$H$13,0),""),IFNA(MATCH($B8,'DIVISION 15'!$A$14:$H$14,0),""),IFNA(MATCH($B8,'DIVISION 15'!$A$15:$H$15,0),""),IFNA(MATCH($B8,'DIVISION 15'!$A$16:$H$16,0),""),IFNA(MATCH($B8,'DIVISION 15'!$A$17:$H$17,0),""),IFNA(MATCH($B8,'DIVISION 15'!$A$18:$H$18,0),""))=1,'DIVISION 15'!$A$1,SUM(IFNA(MATCH($B8,'DIVISION 15'!$A$2:$H$2,0),""),IFNA(MATCH($B8,'DIVISION 15'!$A$3:$H$3,0),""),IFNA(MATCH($B8,'DIVISION 15'!$A$4:$H$4,0),""),IFNA(MATCH($B8,'DIVISION 15'!$A$5:$H$5,0),""),IFNA(MATCH($B8,'DIVISION 15'!$A$6:$H$6,0),""),IFNA(MATCH($B8,'DIVISION 15'!$A$7:$H$7,0),""),IFNA(MATCH($B8,'DIVISION 15'!$A$8:$H$8,0),""),IFNA(MATCH($B8,'DIVISION 15'!$A$9:$H$9,0),""),IFNA(MATCH($B8,'DIVISION 15'!$A$10:$H$10,0),""),IFNA(MATCH($B8,'DIVISION 15'!$A$11:$H$11,0),""),IFNA(MATCH($B8,'DIVISION 15'!$A$12:$H$12,0),""),IFNA(MATCH($B8,'DIVISION 15'!$A$13:$H$13,0),""),IFNA(MATCH($B8,'DIVISION 15'!$A$14:$H$14,0),""),IFNA(MATCH($B8,'DIVISION 15'!$A$15:$H$15,0),""),IFNA(MATCH($B8,'DIVISION 15'!$A$16:$H$16,0),""),IFNA(MATCH($B8,'DIVISION 15'!$A$17:$H$17,0),""),IFNA(MATCH($B8,'DIVISION 15'!$A$18:$H$18,0),""))=2,'DIVISION 15'!$B$1,SUM(IFNA(MATCH($B8,'DIVISION 15'!$A$2:$H$2,0),""),IFNA(MATCH($B8,'DIVISION 15'!$A$3:$H$3,0),""),IFNA(MATCH($B8,'DIVISION 15'!$A$4:$H$4,0),""),IFNA(MATCH($B8,'DIVISION 15'!$A$5:$H$5,0),""),IFNA(MATCH($B8,'DIVISION 15'!$A$6:$H$6,0),""),IFNA(MATCH($B8,'DIVISION 15'!$A$7:$H$7,0),""),IFNA(MATCH($B8,'DIVISION 15'!$A$8:$H$8,0),""),IFNA(MATCH($B8,'DIVISION 15'!$A$9:$H$9,0),""),IFNA(MATCH($B8,'DIVISION 15'!$A$10:$H$10,0),""),IFNA(MATCH($B8,'DIVISION 15'!$A$11:$H$11,0),""),IFNA(MATCH($B8,'DIVISION 15'!$A$12:$H$12,0),""),IFNA(MATCH($B8,'DIVISION 15'!$A$13:$H$13,0),""),IFNA(MATCH($B8,'DIVISION 15'!$A$14:$H$14,0),""),IFNA(MATCH($B8,'DIVISION 15'!$A$15:$H$15,0),""),IFNA(MATCH($B8,'DIVISION 15'!$A$16:$H$16,0),""),IFNA(MATCH($B8,'DIVISION 15'!$A$17:$H$17,0),""),IFNA(MATCH($B8,'DIVISION 15'!$A$18:$H$18,0),""))=3,'DIVISION 15'!$C$1,SUM(IFNA(MATCH($B8,'DIVISION 15'!$A$2:$H$2,0),""),IFNA(MATCH($B8,'DIVISION 15'!$A$3:$H$3,0),""),IFNA(MATCH($B8,'DIVISION 15'!$A$4:$H$4,0),""),IFNA(MATCH($B8,'DIVISION 15'!$A$5:$H$5,0),""),IFNA(MATCH($B8,'DIVISION 15'!$A$6:$H$6,0),""),IFNA(MATCH($B8,'DIVISION 15'!$A$7:$H$7,0),""),IFNA(MATCH($B8,'DIVISION 15'!$A$8:$H$8,0),""),IFNA(MATCH($B8,'DIVISION 15'!$A$9:$H$9,0),""),IFNA(MATCH($B8,'DIVISION 15'!$A$10:$H$10,0),""),IFNA(MATCH($B8,'DIVISION 15'!$A$11:$H$11,0),""),IFNA(MATCH($B8,'DIVISION 15'!$A$12:$H$12,0),""),IFNA(MATCH($B8,'DIVISION 15'!$A$13:$H$13,0),""),IFNA(MATCH($B8,'DIVISION 15'!$A$14:$H$14,0),""),IFNA(MATCH($B8,'DIVISION 15'!$A$15:$H$15,0),""),IFNA(MATCH($B8,'DIVISION 15'!$A$16:$H$16,0),""),IFNA(MATCH($B8,'DIVISION 15'!$A$17:$H$17,0),""),IFNA(MATCH($B8,'DIVISION 15'!$A$18:$H$18,0),""))=4,'DIVISION 15'!$D$1,SUM(IFNA(MATCH($B8,'DIVISION 15'!$A$2:$H$2,0),""),IFNA(MATCH($B8,'DIVISION 15'!$A$3:$H$3,0),""),IFNA(MATCH($B8,'DIVISION 15'!$A$4:$H$4,0),""),IFNA(MATCH($B8,'DIVISION 15'!$A$5:$H$5,0),""),IFNA(MATCH($B8,'DIVISION 15'!$A$6:$H$6,0),""),IFNA(MATCH($B8,'DIVISION 15'!$A$7:$H$7,0),""),IFNA(MATCH($B8,'DIVISION 15'!$A$8:$H$8,0),""),IFNA(MATCH($B8,'DIVISION 15'!$A$9:$H$9,0),""),IFNA(MATCH($B8,'DIVISION 15'!$A$10:$H$10,0),""),IFNA(MATCH($B8,'DIVISION 15'!$A$11:$H$11,0),""),IFNA(MATCH($B8,'DIVISION 15'!$A$12:$H$12,0),""),IFNA(MATCH($B8,'DIVISION 15'!$A$13:$H$13,0),""),IFNA(MATCH($B8,'DIVISION 15'!$A$14:$H$14,0),""),IFNA(MATCH($B8,'DIVISION 15'!$A$15:$H$15,0),""),IFNA(MATCH($B8,'DIVISION 15'!$A$16:$H$16,0),""),IFNA(MATCH($B8,'DIVISION 15'!$A$17:$H$17,0),""),IFNA(MATCH($B8,'DIVISION 15'!$A$18:$H$18,0),""))=5,'DIVISION 15'!$E$1,SUM(IFNA(MATCH($B8,'DIVISION 15'!$A$2:$H$2,0),""),IFNA(MATCH($B8,'DIVISION 15'!$A$3:$H$3,0),""),IFNA(MATCH($B8,'DIVISION 15'!$A$4:$H$4,0),""),IFNA(MATCH($B8,'DIVISION 15'!$A$5:$H$5,0),""),IFNA(MATCH($B8,'DIVISION 15'!$A$6:$H$6,0),""),IFNA(MATCH($B8,'DIVISION 15'!$A$7:$H$7,0),""),IFNA(MATCH($B8,'DIVISION 15'!$A$8:$H$8,0),""),IFNA(MATCH($B8,'DIVISION 15'!$A$9:$H$9,0),""),IFNA(MATCH($B8,'DIVISION 15'!$A$10:$H$10,0),""),IFNA(MATCH($B8,'DIVISION 15'!$A$11:$H$11,0),""),IFNA(MATCH($B8,'DIVISION 15'!$A$12:$H$12,0),""),IFNA(MATCH($B8,'DIVISION 15'!$A$13:$H$13,0),""),IFNA(MATCH($B8,'DIVISION 15'!$A$14:$H$14,0),""),IFNA(MATCH($B8,'DIVISION 15'!$A$15:$H$15,0),""),IFNA(MATCH($B8,'DIVISION 15'!$A$16:$H$16,0),""),IFNA(MATCH($B8,'DIVISION 15'!$A$17:$H$17,0),""),IFNA(MATCH($B8,'DIVISION 15'!$A$18:$H$18,0),""))=6,'DIVISION 15'!$F$1,SUM(IFNA(MATCH($B8,'DIVISION 15'!$A$2:$H$2,0),""),IFNA(MATCH($B8,'DIVISION 15'!$A$3:$H$3,0),""),IFNA(MATCH($B8,'DIVISION 15'!$A$4:$H$4,0),""),IFNA(MATCH($B8,'DIVISION 15'!$A$5:$H$5,0),""),IFNA(MATCH($B8,'DIVISION 15'!$A$6:$H$6,0),""),IFNA(MATCH($B8,'DIVISION 15'!$A$7:$H$7,0),""),IFNA(MATCH($B8,'DIVISION 15'!$A$8:$H$8,0),""),IFNA(MATCH($B8,'DIVISION 15'!$A$9:$H$9,0),""),IFNA(MATCH($B8,'DIVISION 15'!$A$10:$H$10,0),""),IFNA(MATCH($B8,'DIVISION 15'!$A$11:$H$11,0),""),IFNA(MATCH($B8,'DIVISION 15'!$A$12:$H$12,0),""),IFNA(MATCH($B8,'DIVISION 15'!$A$13:$H$13,0),""),IFNA(MATCH($B8,'DIVISION 15'!$A$14:$H$14,0),""),IFNA(MATCH($B8,'DIVISION 15'!$A$15:$H$15,0),""),IFNA(MATCH($B8,'DIVISION 15'!$A$16:$H$16,0),""),IFNA(MATCH($B8,'DIVISION 15'!$A$17:$H$17,0),""),IFNA(MATCH($B8,'DIVISION 15'!$A$18:$H$18,0),""))=7,'DIVISION 15'!$G$1,SUM(IFNA(MATCH($B8,'DIVISION 15'!$A$2:$H$2,0),""),IFNA(MATCH($B8,'DIVISION 15'!$A$3:$H$3,0),""),IFNA(MATCH($B8,'DIVISION 15'!$A$4:$H$4,0),""),IFNA(MATCH($B8,'DIVISION 15'!$A$5:$H$5,0),""),IFNA(MATCH($B8,'DIVISION 15'!$A$6:$H$6,0),""),IFNA(MATCH($B8,'DIVISION 15'!$A$7:$H$7,0),""),IFNA(MATCH($B8,'DIVISION 15'!$A$8:$H$8,0),""),IFNA(MATCH($B8,'DIVISION 15'!$A$9:$H$9,0),""),IFNA(MATCH($B8,'DIVISION 15'!$A$10:$H$10,0),""),IFNA(MATCH($B8,'DIVISION 15'!$A$11:$H$11,0),""),IFNA(MATCH($B8,'DIVISION 15'!$A$12:$H$12,0),""),IFNA(MATCH($B8,'DIVISION 15'!$A$13:$H$13,0),""),IFNA(MATCH($B8,'DIVISION 15'!$A$14:$H$14,0),""),IFNA(MATCH($B8,'DIVISION 15'!$A$15:$H$15,0),""),IFNA(MATCH($B8,'DIVISION 15'!$A$16:$H$16,0),""),IFNA(MATCH($B8,'DIVISION 15'!$A$17:$H$17,0),""),IFNA(MATCH($B8,'DIVISION 15'!$A$18:$H$18,0),""))=8,'DIVISION 15'!$H$1)</f>
        <v>MARTO</v>
      </c>
      <c r="U8" s="8" t="str">
        <f t="shared" si="1"/>
        <v>MARTO2</v>
      </c>
      <c r="V8" s="9">
        <f>SUMIF(AsistenciaViewJetAdmin!$A$3:$A$101,A8,AsistenciaViewJetAdmin!$C$3:$C$101)/(COUNTIF(AsistenciaViewJetAdmin!$D$102:V$102,"&gt;0")+COUNTIF(ActividadesEspeciales!$D$102:V$102,"&gt;0"))*100</f>
        <v>71.80851064</v>
      </c>
    </row>
    <row r="9" ht="28.5" customHeight="1">
      <c r="A9" s="3">
        <v>150.0</v>
      </c>
      <c r="B9" s="4" t="s">
        <v>97</v>
      </c>
      <c r="C9" s="5">
        <v>11901.0</v>
      </c>
      <c r="D9" s="7" t="s">
        <v>98</v>
      </c>
      <c r="E9" s="5">
        <v>4.9926649E7</v>
      </c>
      <c r="F9" s="5" t="s">
        <v>99</v>
      </c>
      <c r="G9" s="7">
        <v>1.170037804E9</v>
      </c>
      <c r="H9" s="5" t="s">
        <v>100</v>
      </c>
      <c r="I9" s="5" t="s">
        <v>101</v>
      </c>
      <c r="J9" s="7">
        <v>1.168668577E9</v>
      </c>
      <c r="K9" s="5" t="s">
        <v>102</v>
      </c>
      <c r="L9" s="5" t="s">
        <v>103</v>
      </c>
      <c r="M9" s="7">
        <v>1.149974001E9</v>
      </c>
      <c r="N9" s="5" t="s">
        <v>27</v>
      </c>
      <c r="O9" s="5" t="s">
        <v>96</v>
      </c>
      <c r="P9" s="5" t="s">
        <v>104</v>
      </c>
      <c r="Q9" s="5" t="s">
        <v>30</v>
      </c>
      <c r="R9" s="5" t="s">
        <v>31</v>
      </c>
      <c r="S9" s="5" t="s">
        <v>43</v>
      </c>
      <c r="T9" s="8" t="str">
        <f>IFS(SUM(IFNA(MATCH($B9,'DIVISION 15'!$A$2:$H$2,0),""),IFNA(MATCH($B9,'DIVISION 15'!$A$3:$H$3,0),""),IFNA(MATCH($B9,'DIVISION 15'!$A$4:$H$4,0),""),IFNA(MATCH($B9,'DIVISION 15'!$A$5:$H$5,0),""),IFNA(MATCH($B9,'DIVISION 15'!$A$6:$H$6,0),""),IFNA(MATCH($B9,'DIVISION 15'!$A$7:$H$7,0),""),IFNA(MATCH($B9,'DIVISION 15'!$A$8:$H$8,0),""),IFNA(MATCH($B9,'DIVISION 15'!$A$9:$H$9,0),""),IFNA(MATCH($B9,'DIVISION 15'!$A$10:$H$10,0),""),IFNA(MATCH($B9,'DIVISION 15'!$A$11:$H$11,0),""),IFNA(MATCH($B9,'DIVISION 15'!$A$12:$H$12,0),""),IFNA(MATCH($B9,'DIVISION 15'!$A$13:$H$13,0),""),IFNA(MATCH($B9,'DIVISION 15'!$A$14:$H$14,0),""),IFNA(MATCH($B9,'DIVISION 15'!$A$15:$H$15,0),""),IFNA(MATCH($B9,'DIVISION 15'!$A$16:$H$16,0),""),IFNA(MATCH($B9,'DIVISION 15'!$A$17:$H$17,0),""),IFNA(MATCH($B9,'DIVISION 15'!$A$18:$H$18,0),""))=1,'DIVISION 15'!$A$1,SUM(IFNA(MATCH($B9,'DIVISION 15'!$A$2:$H$2,0),""),IFNA(MATCH($B9,'DIVISION 15'!$A$3:$H$3,0),""),IFNA(MATCH($B9,'DIVISION 15'!$A$4:$H$4,0),""),IFNA(MATCH($B9,'DIVISION 15'!$A$5:$H$5,0),""),IFNA(MATCH($B9,'DIVISION 15'!$A$6:$H$6,0),""),IFNA(MATCH($B9,'DIVISION 15'!$A$7:$H$7,0),""),IFNA(MATCH($B9,'DIVISION 15'!$A$8:$H$8,0),""),IFNA(MATCH($B9,'DIVISION 15'!$A$9:$H$9,0),""),IFNA(MATCH($B9,'DIVISION 15'!$A$10:$H$10,0),""),IFNA(MATCH($B9,'DIVISION 15'!$A$11:$H$11,0),""),IFNA(MATCH($B9,'DIVISION 15'!$A$12:$H$12,0),""),IFNA(MATCH($B9,'DIVISION 15'!$A$13:$H$13,0),""),IFNA(MATCH($B9,'DIVISION 15'!$A$14:$H$14,0),""),IFNA(MATCH($B9,'DIVISION 15'!$A$15:$H$15,0),""),IFNA(MATCH($B9,'DIVISION 15'!$A$16:$H$16,0),""),IFNA(MATCH($B9,'DIVISION 15'!$A$17:$H$17,0),""),IFNA(MATCH($B9,'DIVISION 15'!$A$18:$H$18,0),""))=2,'DIVISION 15'!$B$1,SUM(IFNA(MATCH($B9,'DIVISION 15'!$A$2:$H$2,0),""),IFNA(MATCH($B9,'DIVISION 15'!$A$3:$H$3,0),""),IFNA(MATCH($B9,'DIVISION 15'!$A$4:$H$4,0),""),IFNA(MATCH($B9,'DIVISION 15'!$A$5:$H$5,0),""),IFNA(MATCH($B9,'DIVISION 15'!$A$6:$H$6,0),""),IFNA(MATCH($B9,'DIVISION 15'!$A$7:$H$7,0),""),IFNA(MATCH($B9,'DIVISION 15'!$A$8:$H$8,0),""),IFNA(MATCH($B9,'DIVISION 15'!$A$9:$H$9,0),""),IFNA(MATCH($B9,'DIVISION 15'!$A$10:$H$10,0),""),IFNA(MATCH($B9,'DIVISION 15'!$A$11:$H$11,0),""),IFNA(MATCH($B9,'DIVISION 15'!$A$12:$H$12,0),""),IFNA(MATCH($B9,'DIVISION 15'!$A$13:$H$13,0),""),IFNA(MATCH($B9,'DIVISION 15'!$A$14:$H$14,0),""),IFNA(MATCH($B9,'DIVISION 15'!$A$15:$H$15,0),""),IFNA(MATCH($B9,'DIVISION 15'!$A$16:$H$16,0),""),IFNA(MATCH($B9,'DIVISION 15'!$A$17:$H$17,0),""),IFNA(MATCH($B9,'DIVISION 15'!$A$18:$H$18,0),""))=3,'DIVISION 15'!$C$1,SUM(IFNA(MATCH($B9,'DIVISION 15'!$A$2:$H$2,0),""),IFNA(MATCH($B9,'DIVISION 15'!$A$3:$H$3,0),""),IFNA(MATCH($B9,'DIVISION 15'!$A$4:$H$4,0),""),IFNA(MATCH($B9,'DIVISION 15'!$A$5:$H$5,0),""),IFNA(MATCH($B9,'DIVISION 15'!$A$6:$H$6,0),""),IFNA(MATCH($B9,'DIVISION 15'!$A$7:$H$7,0),""),IFNA(MATCH($B9,'DIVISION 15'!$A$8:$H$8,0),""),IFNA(MATCH($B9,'DIVISION 15'!$A$9:$H$9,0),""),IFNA(MATCH($B9,'DIVISION 15'!$A$10:$H$10,0),""),IFNA(MATCH($B9,'DIVISION 15'!$A$11:$H$11,0),""),IFNA(MATCH($B9,'DIVISION 15'!$A$12:$H$12,0),""),IFNA(MATCH($B9,'DIVISION 15'!$A$13:$H$13,0),""),IFNA(MATCH($B9,'DIVISION 15'!$A$14:$H$14,0),""),IFNA(MATCH($B9,'DIVISION 15'!$A$15:$H$15,0),""),IFNA(MATCH($B9,'DIVISION 15'!$A$16:$H$16,0),""),IFNA(MATCH($B9,'DIVISION 15'!$A$17:$H$17,0),""),IFNA(MATCH($B9,'DIVISION 15'!$A$18:$H$18,0),""))=4,'DIVISION 15'!$D$1,SUM(IFNA(MATCH($B9,'DIVISION 15'!$A$2:$H$2,0),""),IFNA(MATCH($B9,'DIVISION 15'!$A$3:$H$3,0),""),IFNA(MATCH($B9,'DIVISION 15'!$A$4:$H$4,0),""),IFNA(MATCH($B9,'DIVISION 15'!$A$5:$H$5,0),""),IFNA(MATCH($B9,'DIVISION 15'!$A$6:$H$6,0),""),IFNA(MATCH($B9,'DIVISION 15'!$A$7:$H$7,0),""),IFNA(MATCH($B9,'DIVISION 15'!$A$8:$H$8,0),""),IFNA(MATCH($B9,'DIVISION 15'!$A$9:$H$9,0),""),IFNA(MATCH($B9,'DIVISION 15'!$A$10:$H$10,0),""),IFNA(MATCH($B9,'DIVISION 15'!$A$11:$H$11,0),""),IFNA(MATCH($B9,'DIVISION 15'!$A$12:$H$12,0),""),IFNA(MATCH($B9,'DIVISION 15'!$A$13:$H$13,0),""),IFNA(MATCH($B9,'DIVISION 15'!$A$14:$H$14,0),""),IFNA(MATCH($B9,'DIVISION 15'!$A$15:$H$15,0),""),IFNA(MATCH($B9,'DIVISION 15'!$A$16:$H$16,0),""),IFNA(MATCH($B9,'DIVISION 15'!$A$17:$H$17,0),""),IFNA(MATCH($B9,'DIVISION 15'!$A$18:$H$18,0),""))=5,'DIVISION 15'!$E$1,SUM(IFNA(MATCH($B9,'DIVISION 15'!$A$2:$H$2,0),""),IFNA(MATCH($B9,'DIVISION 15'!$A$3:$H$3,0),""),IFNA(MATCH($B9,'DIVISION 15'!$A$4:$H$4,0),""),IFNA(MATCH($B9,'DIVISION 15'!$A$5:$H$5,0),""),IFNA(MATCH($B9,'DIVISION 15'!$A$6:$H$6,0),""),IFNA(MATCH($B9,'DIVISION 15'!$A$7:$H$7,0),""),IFNA(MATCH($B9,'DIVISION 15'!$A$8:$H$8,0),""),IFNA(MATCH($B9,'DIVISION 15'!$A$9:$H$9,0),""),IFNA(MATCH($B9,'DIVISION 15'!$A$10:$H$10,0),""),IFNA(MATCH($B9,'DIVISION 15'!$A$11:$H$11,0),""),IFNA(MATCH($B9,'DIVISION 15'!$A$12:$H$12,0),""),IFNA(MATCH($B9,'DIVISION 15'!$A$13:$H$13,0),""),IFNA(MATCH($B9,'DIVISION 15'!$A$14:$H$14,0),""),IFNA(MATCH($B9,'DIVISION 15'!$A$15:$H$15,0),""),IFNA(MATCH($B9,'DIVISION 15'!$A$16:$H$16,0),""),IFNA(MATCH($B9,'DIVISION 15'!$A$17:$H$17,0),""),IFNA(MATCH($B9,'DIVISION 15'!$A$18:$H$18,0),""))=6,'DIVISION 15'!$F$1,SUM(IFNA(MATCH($B9,'DIVISION 15'!$A$2:$H$2,0),""),IFNA(MATCH($B9,'DIVISION 15'!$A$3:$H$3,0),""),IFNA(MATCH($B9,'DIVISION 15'!$A$4:$H$4,0),""),IFNA(MATCH($B9,'DIVISION 15'!$A$5:$H$5,0),""),IFNA(MATCH($B9,'DIVISION 15'!$A$6:$H$6,0),""),IFNA(MATCH($B9,'DIVISION 15'!$A$7:$H$7,0),""),IFNA(MATCH($B9,'DIVISION 15'!$A$8:$H$8,0),""),IFNA(MATCH($B9,'DIVISION 15'!$A$9:$H$9,0),""),IFNA(MATCH($B9,'DIVISION 15'!$A$10:$H$10,0),""),IFNA(MATCH($B9,'DIVISION 15'!$A$11:$H$11,0),""),IFNA(MATCH($B9,'DIVISION 15'!$A$12:$H$12,0),""),IFNA(MATCH($B9,'DIVISION 15'!$A$13:$H$13,0),""),IFNA(MATCH($B9,'DIVISION 15'!$A$14:$H$14,0),""),IFNA(MATCH($B9,'DIVISION 15'!$A$15:$H$15,0),""),IFNA(MATCH($B9,'DIVISION 15'!$A$16:$H$16,0),""),IFNA(MATCH($B9,'DIVISION 15'!$A$17:$H$17,0),""),IFNA(MATCH($B9,'DIVISION 15'!$A$18:$H$18,0),""))=7,'DIVISION 15'!$G$1,SUM(IFNA(MATCH($B9,'DIVISION 15'!$A$2:$H$2,0),""),IFNA(MATCH($B9,'DIVISION 15'!$A$3:$H$3,0),""),IFNA(MATCH($B9,'DIVISION 15'!$A$4:$H$4,0),""),IFNA(MATCH($B9,'DIVISION 15'!$A$5:$H$5,0),""),IFNA(MATCH($B9,'DIVISION 15'!$A$6:$H$6,0),""),IFNA(MATCH($B9,'DIVISION 15'!$A$7:$H$7,0),""),IFNA(MATCH($B9,'DIVISION 15'!$A$8:$H$8,0),""),IFNA(MATCH($B9,'DIVISION 15'!$A$9:$H$9,0),""),IFNA(MATCH($B9,'DIVISION 15'!$A$10:$H$10,0),""),IFNA(MATCH($B9,'DIVISION 15'!$A$11:$H$11,0),""),IFNA(MATCH($B9,'DIVISION 15'!$A$12:$H$12,0),""),IFNA(MATCH($B9,'DIVISION 15'!$A$13:$H$13,0),""),IFNA(MATCH($B9,'DIVISION 15'!$A$14:$H$14,0),""),IFNA(MATCH($B9,'DIVISION 15'!$A$15:$H$15,0),""),IFNA(MATCH($B9,'DIVISION 15'!$A$16:$H$16,0),""),IFNA(MATCH($B9,'DIVISION 15'!$A$17:$H$17,0),""),IFNA(MATCH($B9,'DIVISION 15'!$A$18:$H$18,0),""))=8,'DIVISION 15'!$H$1)</f>
        <v>SOFI</v>
      </c>
      <c r="U9" s="8" t="str">
        <f t="shared" si="1"/>
        <v>SOFI1</v>
      </c>
      <c r="V9" s="9">
        <f>SUMIF(AsistenciaViewJetAdmin!$A$3:$A$101,A9,AsistenciaViewJetAdmin!$C$3:$C$101)/(COUNTIF(AsistenciaViewJetAdmin!$D$102:V$102,"&gt;0")+COUNTIF(ActividadesEspeciales!$D$102:V$102,"&gt;0"))*100</f>
        <v>39.89361702</v>
      </c>
    </row>
    <row r="10" ht="28.5" customHeight="1">
      <c r="A10" s="3">
        <v>165.0</v>
      </c>
      <c r="B10" s="4" t="s">
        <v>105</v>
      </c>
      <c r="C10" s="5">
        <v>9675.0</v>
      </c>
      <c r="D10" s="7" t="s">
        <v>106</v>
      </c>
      <c r="E10" s="5">
        <v>4.9951941E7</v>
      </c>
      <c r="F10" s="5" t="s">
        <v>107</v>
      </c>
      <c r="G10" s="7">
        <v>1.155252385E9</v>
      </c>
      <c r="H10" s="5" t="s">
        <v>108</v>
      </c>
      <c r="I10" s="5" t="s">
        <v>109</v>
      </c>
      <c r="J10" s="5">
        <v>1.151761638E9</v>
      </c>
      <c r="K10" s="5" t="s">
        <v>110</v>
      </c>
      <c r="L10" s="5" t="s">
        <v>111</v>
      </c>
      <c r="M10" s="5">
        <v>1.151761643E9</v>
      </c>
      <c r="N10" s="5" t="s">
        <v>61</v>
      </c>
      <c r="O10" s="5" t="s">
        <v>112</v>
      </c>
      <c r="P10" s="5" t="s">
        <v>113</v>
      </c>
      <c r="Q10" s="5" t="s">
        <v>30</v>
      </c>
      <c r="R10" s="5" t="s">
        <v>31</v>
      </c>
      <c r="S10" s="5" t="s">
        <v>43</v>
      </c>
      <c r="T10" s="8" t="str">
        <f>IFS(SUM(IFNA(MATCH($B10,'DIVISION 15'!$A$2:$H$2,0),""),IFNA(MATCH($B10,'DIVISION 15'!$A$3:$H$3,0),""),IFNA(MATCH($B10,'DIVISION 15'!$A$4:$H$4,0),""),IFNA(MATCH($B10,'DIVISION 15'!$A$5:$H$5,0),""),IFNA(MATCH($B10,'DIVISION 15'!$A$6:$H$6,0),""),IFNA(MATCH($B10,'DIVISION 15'!$A$7:$H$7,0),""),IFNA(MATCH($B10,'DIVISION 15'!$A$8:$H$8,0),""),IFNA(MATCH($B10,'DIVISION 15'!$A$9:$H$9,0),""),IFNA(MATCH($B10,'DIVISION 15'!$A$10:$H$10,0),""),IFNA(MATCH($B10,'DIVISION 15'!$A$11:$H$11,0),""),IFNA(MATCH($B10,'DIVISION 15'!$A$12:$H$12,0),""),IFNA(MATCH($B10,'DIVISION 15'!$A$13:$H$13,0),""),IFNA(MATCH($B10,'DIVISION 15'!$A$14:$H$14,0),""),IFNA(MATCH($B10,'DIVISION 15'!$A$15:$H$15,0),""),IFNA(MATCH($B10,'DIVISION 15'!$A$16:$H$16,0),""),IFNA(MATCH($B10,'DIVISION 15'!$A$17:$H$17,0),""),IFNA(MATCH($B10,'DIVISION 15'!$A$18:$H$18,0),""))=1,'DIVISION 15'!$A$1,SUM(IFNA(MATCH($B10,'DIVISION 15'!$A$2:$H$2,0),""),IFNA(MATCH($B10,'DIVISION 15'!$A$3:$H$3,0),""),IFNA(MATCH($B10,'DIVISION 15'!$A$4:$H$4,0),""),IFNA(MATCH($B10,'DIVISION 15'!$A$5:$H$5,0),""),IFNA(MATCH($B10,'DIVISION 15'!$A$6:$H$6,0),""),IFNA(MATCH($B10,'DIVISION 15'!$A$7:$H$7,0),""),IFNA(MATCH($B10,'DIVISION 15'!$A$8:$H$8,0),""),IFNA(MATCH($B10,'DIVISION 15'!$A$9:$H$9,0),""),IFNA(MATCH($B10,'DIVISION 15'!$A$10:$H$10,0),""),IFNA(MATCH($B10,'DIVISION 15'!$A$11:$H$11,0),""),IFNA(MATCH($B10,'DIVISION 15'!$A$12:$H$12,0),""),IFNA(MATCH($B10,'DIVISION 15'!$A$13:$H$13,0),""),IFNA(MATCH($B10,'DIVISION 15'!$A$14:$H$14,0),""),IFNA(MATCH($B10,'DIVISION 15'!$A$15:$H$15,0),""),IFNA(MATCH($B10,'DIVISION 15'!$A$16:$H$16,0),""),IFNA(MATCH($B10,'DIVISION 15'!$A$17:$H$17,0),""),IFNA(MATCH($B10,'DIVISION 15'!$A$18:$H$18,0),""))=2,'DIVISION 15'!$B$1,SUM(IFNA(MATCH($B10,'DIVISION 15'!$A$2:$H$2,0),""),IFNA(MATCH($B10,'DIVISION 15'!$A$3:$H$3,0),""),IFNA(MATCH($B10,'DIVISION 15'!$A$4:$H$4,0),""),IFNA(MATCH($B10,'DIVISION 15'!$A$5:$H$5,0),""),IFNA(MATCH($B10,'DIVISION 15'!$A$6:$H$6,0),""),IFNA(MATCH($B10,'DIVISION 15'!$A$7:$H$7,0),""),IFNA(MATCH($B10,'DIVISION 15'!$A$8:$H$8,0),""),IFNA(MATCH($B10,'DIVISION 15'!$A$9:$H$9,0),""),IFNA(MATCH($B10,'DIVISION 15'!$A$10:$H$10,0),""),IFNA(MATCH($B10,'DIVISION 15'!$A$11:$H$11,0),""),IFNA(MATCH($B10,'DIVISION 15'!$A$12:$H$12,0),""),IFNA(MATCH($B10,'DIVISION 15'!$A$13:$H$13,0),""),IFNA(MATCH($B10,'DIVISION 15'!$A$14:$H$14,0),""),IFNA(MATCH($B10,'DIVISION 15'!$A$15:$H$15,0),""),IFNA(MATCH($B10,'DIVISION 15'!$A$16:$H$16,0),""),IFNA(MATCH($B10,'DIVISION 15'!$A$17:$H$17,0),""),IFNA(MATCH($B10,'DIVISION 15'!$A$18:$H$18,0),""))=3,'DIVISION 15'!$C$1,SUM(IFNA(MATCH($B10,'DIVISION 15'!$A$2:$H$2,0),""),IFNA(MATCH($B10,'DIVISION 15'!$A$3:$H$3,0),""),IFNA(MATCH($B10,'DIVISION 15'!$A$4:$H$4,0),""),IFNA(MATCH($B10,'DIVISION 15'!$A$5:$H$5,0),""),IFNA(MATCH($B10,'DIVISION 15'!$A$6:$H$6,0),""),IFNA(MATCH($B10,'DIVISION 15'!$A$7:$H$7,0),""),IFNA(MATCH($B10,'DIVISION 15'!$A$8:$H$8,0),""),IFNA(MATCH($B10,'DIVISION 15'!$A$9:$H$9,0),""),IFNA(MATCH($B10,'DIVISION 15'!$A$10:$H$10,0),""),IFNA(MATCH($B10,'DIVISION 15'!$A$11:$H$11,0),""),IFNA(MATCH($B10,'DIVISION 15'!$A$12:$H$12,0),""),IFNA(MATCH($B10,'DIVISION 15'!$A$13:$H$13,0),""),IFNA(MATCH($B10,'DIVISION 15'!$A$14:$H$14,0),""),IFNA(MATCH($B10,'DIVISION 15'!$A$15:$H$15,0),""),IFNA(MATCH($B10,'DIVISION 15'!$A$16:$H$16,0),""),IFNA(MATCH($B10,'DIVISION 15'!$A$17:$H$17,0),""),IFNA(MATCH($B10,'DIVISION 15'!$A$18:$H$18,0),""))=4,'DIVISION 15'!$D$1,SUM(IFNA(MATCH($B10,'DIVISION 15'!$A$2:$H$2,0),""),IFNA(MATCH($B10,'DIVISION 15'!$A$3:$H$3,0),""),IFNA(MATCH($B10,'DIVISION 15'!$A$4:$H$4,0),""),IFNA(MATCH($B10,'DIVISION 15'!$A$5:$H$5,0),""),IFNA(MATCH($B10,'DIVISION 15'!$A$6:$H$6,0),""),IFNA(MATCH($B10,'DIVISION 15'!$A$7:$H$7,0),""),IFNA(MATCH($B10,'DIVISION 15'!$A$8:$H$8,0),""),IFNA(MATCH($B10,'DIVISION 15'!$A$9:$H$9,0),""),IFNA(MATCH($B10,'DIVISION 15'!$A$10:$H$10,0),""),IFNA(MATCH($B10,'DIVISION 15'!$A$11:$H$11,0),""),IFNA(MATCH($B10,'DIVISION 15'!$A$12:$H$12,0),""),IFNA(MATCH($B10,'DIVISION 15'!$A$13:$H$13,0),""),IFNA(MATCH($B10,'DIVISION 15'!$A$14:$H$14,0),""),IFNA(MATCH($B10,'DIVISION 15'!$A$15:$H$15,0),""),IFNA(MATCH($B10,'DIVISION 15'!$A$16:$H$16,0),""),IFNA(MATCH($B10,'DIVISION 15'!$A$17:$H$17,0),""),IFNA(MATCH($B10,'DIVISION 15'!$A$18:$H$18,0),""))=5,'DIVISION 15'!$E$1,SUM(IFNA(MATCH($B10,'DIVISION 15'!$A$2:$H$2,0),""),IFNA(MATCH($B10,'DIVISION 15'!$A$3:$H$3,0),""),IFNA(MATCH($B10,'DIVISION 15'!$A$4:$H$4,0),""),IFNA(MATCH($B10,'DIVISION 15'!$A$5:$H$5,0),""),IFNA(MATCH($B10,'DIVISION 15'!$A$6:$H$6,0),""),IFNA(MATCH($B10,'DIVISION 15'!$A$7:$H$7,0),""),IFNA(MATCH($B10,'DIVISION 15'!$A$8:$H$8,0),""),IFNA(MATCH($B10,'DIVISION 15'!$A$9:$H$9,0),""),IFNA(MATCH($B10,'DIVISION 15'!$A$10:$H$10,0),""),IFNA(MATCH($B10,'DIVISION 15'!$A$11:$H$11,0),""),IFNA(MATCH($B10,'DIVISION 15'!$A$12:$H$12,0),""),IFNA(MATCH($B10,'DIVISION 15'!$A$13:$H$13,0),""),IFNA(MATCH($B10,'DIVISION 15'!$A$14:$H$14,0),""),IFNA(MATCH($B10,'DIVISION 15'!$A$15:$H$15,0),""),IFNA(MATCH($B10,'DIVISION 15'!$A$16:$H$16,0),""),IFNA(MATCH($B10,'DIVISION 15'!$A$17:$H$17,0),""),IFNA(MATCH($B10,'DIVISION 15'!$A$18:$H$18,0),""))=6,'DIVISION 15'!$F$1,SUM(IFNA(MATCH($B10,'DIVISION 15'!$A$2:$H$2,0),""),IFNA(MATCH($B10,'DIVISION 15'!$A$3:$H$3,0),""),IFNA(MATCH($B10,'DIVISION 15'!$A$4:$H$4,0),""),IFNA(MATCH($B10,'DIVISION 15'!$A$5:$H$5,0),""),IFNA(MATCH($B10,'DIVISION 15'!$A$6:$H$6,0),""),IFNA(MATCH($B10,'DIVISION 15'!$A$7:$H$7,0),""),IFNA(MATCH($B10,'DIVISION 15'!$A$8:$H$8,0),""),IFNA(MATCH($B10,'DIVISION 15'!$A$9:$H$9,0),""),IFNA(MATCH($B10,'DIVISION 15'!$A$10:$H$10,0),""),IFNA(MATCH($B10,'DIVISION 15'!$A$11:$H$11,0),""),IFNA(MATCH($B10,'DIVISION 15'!$A$12:$H$12,0),""),IFNA(MATCH($B10,'DIVISION 15'!$A$13:$H$13,0),""),IFNA(MATCH($B10,'DIVISION 15'!$A$14:$H$14,0),""),IFNA(MATCH($B10,'DIVISION 15'!$A$15:$H$15,0),""),IFNA(MATCH($B10,'DIVISION 15'!$A$16:$H$16,0),""),IFNA(MATCH($B10,'DIVISION 15'!$A$17:$H$17,0),""),IFNA(MATCH($B10,'DIVISION 15'!$A$18:$H$18,0),""))=7,'DIVISION 15'!$G$1,SUM(IFNA(MATCH($B10,'DIVISION 15'!$A$2:$H$2,0),""),IFNA(MATCH($B10,'DIVISION 15'!$A$3:$H$3,0),""),IFNA(MATCH($B10,'DIVISION 15'!$A$4:$H$4,0),""),IFNA(MATCH($B10,'DIVISION 15'!$A$5:$H$5,0),""),IFNA(MATCH($B10,'DIVISION 15'!$A$6:$H$6,0),""),IFNA(MATCH($B10,'DIVISION 15'!$A$7:$H$7,0),""),IFNA(MATCH($B10,'DIVISION 15'!$A$8:$H$8,0),""),IFNA(MATCH($B10,'DIVISION 15'!$A$9:$H$9,0),""),IFNA(MATCH($B10,'DIVISION 15'!$A$10:$H$10,0),""),IFNA(MATCH($B10,'DIVISION 15'!$A$11:$H$11,0),""),IFNA(MATCH($B10,'DIVISION 15'!$A$12:$H$12,0),""),IFNA(MATCH($B10,'DIVISION 15'!$A$13:$H$13,0),""),IFNA(MATCH($B10,'DIVISION 15'!$A$14:$H$14,0),""),IFNA(MATCH($B10,'DIVISION 15'!$A$15:$H$15,0),""),IFNA(MATCH($B10,'DIVISION 15'!$A$16:$H$16,0),""),IFNA(MATCH($B10,'DIVISION 15'!$A$17:$H$17,0),""),IFNA(MATCH($B10,'DIVISION 15'!$A$18:$H$18,0),""))=8,'DIVISION 15'!$H$1)</f>
        <v>SOFI</v>
      </c>
      <c r="U10" s="8" t="str">
        <f t="shared" si="1"/>
        <v>SOFI2</v>
      </c>
      <c r="V10" s="9">
        <f>SUMIF(AsistenciaViewJetAdmin!$A$3:$A$101,A10,AsistenciaViewJetAdmin!$C$3:$C$101)/(COUNTIF(AsistenciaViewJetAdmin!$D$102:V$102,"&gt;0")+COUNTIF(ActividadesEspeciales!$D$102:V$102,"&gt;0"))*100</f>
        <v>48.40425532</v>
      </c>
    </row>
    <row r="11" ht="28.5" customHeight="1">
      <c r="A11" s="3">
        <v>183.0</v>
      </c>
      <c r="B11" s="4" t="s">
        <v>114</v>
      </c>
      <c r="C11" s="5">
        <v>958404.0</v>
      </c>
      <c r="D11" s="6">
        <v>40097.0</v>
      </c>
      <c r="E11" s="5">
        <v>4.990375E7</v>
      </c>
      <c r="F11" s="5" t="s">
        <v>115</v>
      </c>
      <c r="G11" s="7">
        <v>1.165489322E9</v>
      </c>
      <c r="H11" s="5" t="s">
        <v>116</v>
      </c>
      <c r="I11" s="5" t="s">
        <v>117</v>
      </c>
      <c r="J11" s="7">
        <v>1.130024499E9</v>
      </c>
      <c r="K11" s="5" t="s">
        <v>118</v>
      </c>
      <c r="L11" s="5" t="s">
        <v>119</v>
      </c>
      <c r="M11" s="7">
        <v>1.168907429E9</v>
      </c>
      <c r="N11" s="5" t="s">
        <v>61</v>
      </c>
      <c r="O11" s="5" t="s">
        <v>120</v>
      </c>
      <c r="P11" s="5" t="s">
        <v>53</v>
      </c>
      <c r="Q11" s="5" t="s">
        <v>74</v>
      </c>
      <c r="R11" s="5" t="s">
        <v>31</v>
      </c>
      <c r="S11" s="5" t="s">
        <v>43</v>
      </c>
      <c r="T11" s="8" t="str">
        <f>IFS(SUM(IFNA(MATCH($B11,'DIVISION 15'!$A$2:$H$2,0),""),IFNA(MATCH($B11,'DIVISION 15'!$A$3:$H$3,0),""),IFNA(MATCH($B11,'DIVISION 15'!$A$4:$H$4,0),""),IFNA(MATCH($B11,'DIVISION 15'!$A$5:$H$5,0),""),IFNA(MATCH($B11,'DIVISION 15'!$A$6:$H$6,0),""),IFNA(MATCH($B11,'DIVISION 15'!$A$7:$H$7,0),""),IFNA(MATCH($B11,'DIVISION 15'!$A$8:$H$8,0),""),IFNA(MATCH($B11,'DIVISION 15'!$A$9:$H$9,0),""),IFNA(MATCH($B11,'DIVISION 15'!$A$10:$H$10,0),""),IFNA(MATCH($B11,'DIVISION 15'!$A$11:$H$11,0),""),IFNA(MATCH($B11,'DIVISION 15'!$A$12:$H$12,0),""),IFNA(MATCH($B11,'DIVISION 15'!$A$13:$H$13,0),""),IFNA(MATCH($B11,'DIVISION 15'!$A$14:$H$14,0),""),IFNA(MATCH($B11,'DIVISION 15'!$A$15:$H$15,0),""),IFNA(MATCH($B11,'DIVISION 15'!$A$16:$H$16,0),""),IFNA(MATCH($B11,'DIVISION 15'!$A$17:$H$17,0),""),IFNA(MATCH($B11,'DIVISION 15'!$A$18:$H$18,0),""))=1,'DIVISION 15'!$A$1,SUM(IFNA(MATCH($B11,'DIVISION 15'!$A$2:$H$2,0),""),IFNA(MATCH($B11,'DIVISION 15'!$A$3:$H$3,0),""),IFNA(MATCH($B11,'DIVISION 15'!$A$4:$H$4,0),""),IFNA(MATCH($B11,'DIVISION 15'!$A$5:$H$5,0),""),IFNA(MATCH($B11,'DIVISION 15'!$A$6:$H$6,0),""),IFNA(MATCH($B11,'DIVISION 15'!$A$7:$H$7,0),""),IFNA(MATCH($B11,'DIVISION 15'!$A$8:$H$8,0),""),IFNA(MATCH($B11,'DIVISION 15'!$A$9:$H$9,0),""),IFNA(MATCH($B11,'DIVISION 15'!$A$10:$H$10,0),""),IFNA(MATCH($B11,'DIVISION 15'!$A$11:$H$11,0),""),IFNA(MATCH($B11,'DIVISION 15'!$A$12:$H$12,0),""),IFNA(MATCH($B11,'DIVISION 15'!$A$13:$H$13,0),""),IFNA(MATCH($B11,'DIVISION 15'!$A$14:$H$14,0),""),IFNA(MATCH($B11,'DIVISION 15'!$A$15:$H$15,0),""),IFNA(MATCH($B11,'DIVISION 15'!$A$16:$H$16,0),""),IFNA(MATCH($B11,'DIVISION 15'!$A$17:$H$17,0),""),IFNA(MATCH($B11,'DIVISION 15'!$A$18:$H$18,0),""))=2,'DIVISION 15'!$B$1,SUM(IFNA(MATCH($B11,'DIVISION 15'!$A$2:$H$2,0),""),IFNA(MATCH($B11,'DIVISION 15'!$A$3:$H$3,0),""),IFNA(MATCH($B11,'DIVISION 15'!$A$4:$H$4,0),""),IFNA(MATCH($B11,'DIVISION 15'!$A$5:$H$5,0),""),IFNA(MATCH($B11,'DIVISION 15'!$A$6:$H$6,0),""),IFNA(MATCH($B11,'DIVISION 15'!$A$7:$H$7,0),""),IFNA(MATCH($B11,'DIVISION 15'!$A$8:$H$8,0),""),IFNA(MATCH($B11,'DIVISION 15'!$A$9:$H$9,0),""),IFNA(MATCH($B11,'DIVISION 15'!$A$10:$H$10,0),""),IFNA(MATCH($B11,'DIVISION 15'!$A$11:$H$11,0),""),IFNA(MATCH($B11,'DIVISION 15'!$A$12:$H$12,0),""),IFNA(MATCH($B11,'DIVISION 15'!$A$13:$H$13,0),""),IFNA(MATCH($B11,'DIVISION 15'!$A$14:$H$14,0),""),IFNA(MATCH($B11,'DIVISION 15'!$A$15:$H$15,0),""),IFNA(MATCH($B11,'DIVISION 15'!$A$16:$H$16,0),""),IFNA(MATCH($B11,'DIVISION 15'!$A$17:$H$17,0),""),IFNA(MATCH($B11,'DIVISION 15'!$A$18:$H$18,0),""))=3,'DIVISION 15'!$C$1,SUM(IFNA(MATCH($B11,'DIVISION 15'!$A$2:$H$2,0),""),IFNA(MATCH($B11,'DIVISION 15'!$A$3:$H$3,0),""),IFNA(MATCH($B11,'DIVISION 15'!$A$4:$H$4,0),""),IFNA(MATCH($B11,'DIVISION 15'!$A$5:$H$5,0),""),IFNA(MATCH($B11,'DIVISION 15'!$A$6:$H$6,0),""),IFNA(MATCH($B11,'DIVISION 15'!$A$7:$H$7,0),""),IFNA(MATCH($B11,'DIVISION 15'!$A$8:$H$8,0),""),IFNA(MATCH($B11,'DIVISION 15'!$A$9:$H$9,0),""),IFNA(MATCH($B11,'DIVISION 15'!$A$10:$H$10,0),""),IFNA(MATCH($B11,'DIVISION 15'!$A$11:$H$11,0),""),IFNA(MATCH($B11,'DIVISION 15'!$A$12:$H$12,0),""),IFNA(MATCH($B11,'DIVISION 15'!$A$13:$H$13,0),""),IFNA(MATCH($B11,'DIVISION 15'!$A$14:$H$14,0),""),IFNA(MATCH($B11,'DIVISION 15'!$A$15:$H$15,0),""),IFNA(MATCH($B11,'DIVISION 15'!$A$16:$H$16,0),""),IFNA(MATCH($B11,'DIVISION 15'!$A$17:$H$17,0),""),IFNA(MATCH($B11,'DIVISION 15'!$A$18:$H$18,0),""))=4,'DIVISION 15'!$D$1,SUM(IFNA(MATCH($B11,'DIVISION 15'!$A$2:$H$2,0),""),IFNA(MATCH($B11,'DIVISION 15'!$A$3:$H$3,0),""),IFNA(MATCH($B11,'DIVISION 15'!$A$4:$H$4,0),""),IFNA(MATCH($B11,'DIVISION 15'!$A$5:$H$5,0),""),IFNA(MATCH($B11,'DIVISION 15'!$A$6:$H$6,0),""),IFNA(MATCH($B11,'DIVISION 15'!$A$7:$H$7,0),""),IFNA(MATCH($B11,'DIVISION 15'!$A$8:$H$8,0),""),IFNA(MATCH($B11,'DIVISION 15'!$A$9:$H$9,0),""),IFNA(MATCH($B11,'DIVISION 15'!$A$10:$H$10,0),""),IFNA(MATCH($B11,'DIVISION 15'!$A$11:$H$11,0),""),IFNA(MATCH($B11,'DIVISION 15'!$A$12:$H$12,0),""),IFNA(MATCH($B11,'DIVISION 15'!$A$13:$H$13,0),""),IFNA(MATCH($B11,'DIVISION 15'!$A$14:$H$14,0),""),IFNA(MATCH($B11,'DIVISION 15'!$A$15:$H$15,0),""),IFNA(MATCH($B11,'DIVISION 15'!$A$16:$H$16,0),""),IFNA(MATCH($B11,'DIVISION 15'!$A$17:$H$17,0),""),IFNA(MATCH($B11,'DIVISION 15'!$A$18:$H$18,0),""))=5,'DIVISION 15'!$E$1,SUM(IFNA(MATCH($B11,'DIVISION 15'!$A$2:$H$2,0),""),IFNA(MATCH($B11,'DIVISION 15'!$A$3:$H$3,0),""),IFNA(MATCH($B11,'DIVISION 15'!$A$4:$H$4,0),""),IFNA(MATCH($B11,'DIVISION 15'!$A$5:$H$5,0),""),IFNA(MATCH($B11,'DIVISION 15'!$A$6:$H$6,0),""),IFNA(MATCH($B11,'DIVISION 15'!$A$7:$H$7,0),""),IFNA(MATCH($B11,'DIVISION 15'!$A$8:$H$8,0),""),IFNA(MATCH($B11,'DIVISION 15'!$A$9:$H$9,0),""),IFNA(MATCH($B11,'DIVISION 15'!$A$10:$H$10,0),""),IFNA(MATCH($B11,'DIVISION 15'!$A$11:$H$11,0),""),IFNA(MATCH($B11,'DIVISION 15'!$A$12:$H$12,0),""),IFNA(MATCH($B11,'DIVISION 15'!$A$13:$H$13,0),""),IFNA(MATCH($B11,'DIVISION 15'!$A$14:$H$14,0),""),IFNA(MATCH($B11,'DIVISION 15'!$A$15:$H$15,0),""),IFNA(MATCH($B11,'DIVISION 15'!$A$16:$H$16,0),""),IFNA(MATCH($B11,'DIVISION 15'!$A$17:$H$17,0),""),IFNA(MATCH($B11,'DIVISION 15'!$A$18:$H$18,0),""))=6,'DIVISION 15'!$F$1,SUM(IFNA(MATCH($B11,'DIVISION 15'!$A$2:$H$2,0),""),IFNA(MATCH($B11,'DIVISION 15'!$A$3:$H$3,0),""),IFNA(MATCH($B11,'DIVISION 15'!$A$4:$H$4,0),""),IFNA(MATCH($B11,'DIVISION 15'!$A$5:$H$5,0),""),IFNA(MATCH($B11,'DIVISION 15'!$A$6:$H$6,0),""),IFNA(MATCH($B11,'DIVISION 15'!$A$7:$H$7,0),""),IFNA(MATCH($B11,'DIVISION 15'!$A$8:$H$8,0),""),IFNA(MATCH($B11,'DIVISION 15'!$A$9:$H$9,0),""),IFNA(MATCH($B11,'DIVISION 15'!$A$10:$H$10,0),""),IFNA(MATCH($B11,'DIVISION 15'!$A$11:$H$11,0),""),IFNA(MATCH($B11,'DIVISION 15'!$A$12:$H$12,0),""),IFNA(MATCH($B11,'DIVISION 15'!$A$13:$H$13,0),""),IFNA(MATCH($B11,'DIVISION 15'!$A$14:$H$14,0),""),IFNA(MATCH($B11,'DIVISION 15'!$A$15:$H$15,0),""),IFNA(MATCH($B11,'DIVISION 15'!$A$16:$H$16,0),""),IFNA(MATCH($B11,'DIVISION 15'!$A$17:$H$17,0),""),IFNA(MATCH($B11,'DIVISION 15'!$A$18:$H$18,0),""))=7,'DIVISION 15'!$G$1,SUM(IFNA(MATCH($B11,'DIVISION 15'!$A$2:$H$2,0),""),IFNA(MATCH($B11,'DIVISION 15'!$A$3:$H$3,0),""),IFNA(MATCH($B11,'DIVISION 15'!$A$4:$H$4,0),""),IFNA(MATCH($B11,'DIVISION 15'!$A$5:$H$5,0),""),IFNA(MATCH($B11,'DIVISION 15'!$A$6:$H$6,0),""),IFNA(MATCH($B11,'DIVISION 15'!$A$7:$H$7,0),""),IFNA(MATCH($B11,'DIVISION 15'!$A$8:$H$8,0),""),IFNA(MATCH($B11,'DIVISION 15'!$A$9:$H$9,0),""),IFNA(MATCH($B11,'DIVISION 15'!$A$10:$H$10,0),""),IFNA(MATCH($B11,'DIVISION 15'!$A$11:$H$11,0),""),IFNA(MATCH($B11,'DIVISION 15'!$A$12:$H$12,0),""),IFNA(MATCH($B11,'DIVISION 15'!$A$13:$H$13,0),""),IFNA(MATCH($B11,'DIVISION 15'!$A$14:$H$14,0),""),IFNA(MATCH($B11,'DIVISION 15'!$A$15:$H$15,0),""),IFNA(MATCH($B11,'DIVISION 15'!$A$16:$H$16,0),""),IFNA(MATCH($B11,'DIVISION 15'!$A$17:$H$17,0),""),IFNA(MATCH($B11,'DIVISION 15'!$A$18:$H$18,0),""))=8,'DIVISION 15'!$H$1)</f>
        <v>DAIU</v>
      </c>
      <c r="U11" s="8" t="str">
        <f t="shared" si="1"/>
        <v>DAIU2</v>
      </c>
      <c r="V11" s="9">
        <f>SUMIF(AsistenciaViewJetAdmin!$A$3:$A$101,A11,AsistenciaViewJetAdmin!$C$3:$C$101)/(COUNTIF(AsistenciaViewJetAdmin!$D$102:V$102,"&gt;0")+COUNTIF(ActividadesEspeciales!$D$102:V$102,"&gt;0"))*100</f>
        <v>57.9787234</v>
      </c>
    </row>
    <row r="12" ht="28.5" customHeight="1">
      <c r="A12" s="3">
        <v>193.0</v>
      </c>
      <c r="B12" s="4" t="s">
        <v>121</v>
      </c>
      <c r="C12" s="5">
        <v>1218502.0</v>
      </c>
      <c r="D12" s="7" t="s">
        <v>122</v>
      </c>
      <c r="E12" s="5">
        <v>4.962421E7</v>
      </c>
      <c r="F12" s="5" t="s">
        <v>123</v>
      </c>
      <c r="G12" s="7">
        <v>1.125733104E9</v>
      </c>
      <c r="H12" s="5" t="s">
        <v>124</v>
      </c>
      <c r="I12" s="5" t="s">
        <v>125</v>
      </c>
      <c r="J12" s="7">
        <v>1.134389244E9</v>
      </c>
      <c r="K12" s="5" t="s">
        <v>126</v>
      </c>
      <c r="L12" s="5" t="s">
        <v>127</v>
      </c>
      <c r="M12" s="7">
        <v>1.164036174E9</v>
      </c>
      <c r="N12" s="5" t="s">
        <v>128</v>
      </c>
      <c r="O12" s="5" t="s">
        <v>120</v>
      </c>
      <c r="P12" s="5" t="s">
        <v>120</v>
      </c>
      <c r="Q12" s="5" t="s">
        <v>129</v>
      </c>
      <c r="R12" s="5" t="s">
        <v>31</v>
      </c>
      <c r="S12" s="5" t="s">
        <v>43</v>
      </c>
      <c r="T12" s="8" t="str">
        <f>IFS(SUM(IFNA(MATCH($B12,'DIVISION 15'!$A$2:$H$2,0),""),IFNA(MATCH($B12,'DIVISION 15'!$A$3:$H$3,0),""),IFNA(MATCH($B12,'DIVISION 15'!$A$4:$H$4,0),""),IFNA(MATCH($B12,'DIVISION 15'!$A$5:$H$5,0),""),IFNA(MATCH($B12,'DIVISION 15'!$A$6:$H$6,0),""),IFNA(MATCH($B12,'DIVISION 15'!$A$7:$H$7,0),""),IFNA(MATCH($B12,'DIVISION 15'!$A$8:$H$8,0),""),IFNA(MATCH($B12,'DIVISION 15'!$A$9:$H$9,0),""),IFNA(MATCH($B12,'DIVISION 15'!$A$10:$H$10,0),""),IFNA(MATCH($B12,'DIVISION 15'!$A$11:$H$11,0),""),IFNA(MATCH($B12,'DIVISION 15'!$A$12:$H$12,0),""),IFNA(MATCH($B12,'DIVISION 15'!$A$13:$H$13,0),""),IFNA(MATCH($B12,'DIVISION 15'!$A$14:$H$14,0),""),IFNA(MATCH($B12,'DIVISION 15'!$A$15:$H$15,0),""),IFNA(MATCH($B12,'DIVISION 15'!$A$16:$H$16,0),""),IFNA(MATCH($B12,'DIVISION 15'!$A$17:$H$17,0),""),IFNA(MATCH($B12,'DIVISION 15'!$A$18:$H$18,0),""))=1,'DIVISION 15'!$A$1,SUM(IFNA(MATCH($B12,'DIVISION 15'!$A$2:$H$2,0),""),IFNA(MATCH($B12,'DIVISION 15'!$A$3:$H$3,0),""),IFNA(MATCH($B12,'DIVISION 15'!$A$4:$H$4,0),""),IFNA(MATCH($B12,'DIVISION 15'!$A$5:$H$5,0),""),IFNA(MATCH($B12,'DIVISION 15'!$A$6:$H$6,0),""),IFNA(MATCH($B12,'DIVISION 15'!$A$7:$H$7,0),""),IFNA(MATCH($B12,'DIVISION 15'!$A$8:$H$8,0),""),IFNA(MATCH($B12,'DIVISION 15'!$A$9:$H$9,0),""),IFNA(MATCH($B12,'DIVISION 15'!$A$10:$H$10,0),""),IFNA(MATCH($B12,'DIVISION 15'!$A$11:$H$11,0),""),IFNA(MATCH($B12,'DIVISION 15'!$A$12:$H$12,0),""),IFNA(MATCH($B12,'DIVISION 15'!$A$13:$H$13,0),""),IFNA(MATCH($B12,'DIVISION 15'!$A$14:$H$14,0),""),IFNA(MATCH($B12,'DIVISION 15'!$A$15:$H$15,0),""),IFNA(MATCH($B12,'DIVISION 15'!$A$16:$H$16,0),""),IFNA(MATCH($B12,'DIVISION 15'!$A$17:$H$17,0),""),IFNA(MATCH($B12,'DIVISION 15'!$A$18:$H$18,0),""))=2,'DIVISION 15'!$B$1,SUM(IFNA(MATCH($B12,'DIVISION 15'!$A$2:$H$2,0),""),IFNA(MATCH($B12,'DIVISION 15'!$A$3:$H$3,0),""),IFNA(MATCH($B12,'DIVISION 15'!$A$4:$H$4,0),""),IFNA(MATCH($B12,'DIVISION 15'!$A$5:$H$5,0),""),IFNA(MATCH($B12,'DIVISION 15'!$A$6:$H$6,0),""),IFNA(MATCH($B12,'DIVISION 15'!$A$7:$H$7,0),""),IFNA(MATCH($B12,'DIVISION 15'!$A$8:$H$8,0),""),IFNA(MATCH($B12,'DIVISION 15'!$A$9:$H$9,0),""),IFNA(MATCH($B12,'DIVISION 15'!$A$10:$H$10,0),""),IFNA(MATCH($B12,'DIVISION 15'!$A$11:$H$11,0),""),IFNA(MATCH($B12,'DIVISION 15'!$A$12:$H$12,0),""),IFNA(MATCH($B12,'DIVISION 15'!$A$13:$H$13,0),""),IFNA(MATCH($B12,'DIVISION 15'!$A$14:$H$14,0),""),IFNA(MATCH($B12,'DIVISION 15'!$A$15:$H$15,0),""),IFNA(MATCH($B12,'DIVISION 15'!$A$16:$H$16,0),""),IFNA(MATCH($B12,'DIVISION 15'!$A$17:$H$17,0),""),IFNA(MATCH($B12,'DIVISION 15'!$A$18:$H$18,0),""))=3,'DIVISION 15'!$C$1,SUM(IFNA(MATCH($B12,'DIVISION 15'!$A$2:$H$2,0),""),IFNA(MATCH($B12,'DIVISION 15'!$A$3:$H$3,0),""),IFNA(MATCH($B12,'DIVISION 15'!$A$4:$H$4,0),""),IFNA(MATCH($B12,'DIVISION 15'!$A$5:$H$5,0),""),IFNA(MATCH($B12,'DIVISION 15'!$A$6:$H$6,0),""),IFNA(MATCH($B12,'DIVISION 15'!$A$7:$H$7,0),""),IFNA(MATCH($B12,'DIVISION 15'!$A$8:$H$8,0),""),IFNA(MATCH($B12,'DIVISION 15'!$A$9:$H$9,0),""),IFNA(MATCH($B12,'DIVISION 15'!$A$10:$H$10,0),""),IFNA(MATCH($B12,'DIVISION 15'!$A$11:$H$11,0),""),IFNA(MATCH($B12,'DIVISION 15'!$A$12:$H$12,0),""),IFNA(MATCH($B12,'DIVISION 15'!$A$13:$H$13,0),""),IFNA(MATCH($B12,'DIVISION 15'!$A$14:$H$14,0),""),IFNA(MATCH($B12,'DIVISION 15'!$A$15:$H$15,0),""),IFNA(MATCH($B12,'DIVISION 15'!$A$16:$H$16,0),""),IFNA(MATCH($B12,'DIVISION 15'!$A$17:$H$17,0),""),IFNA(MATCH($B12,'DIVISION 15'!$A$18:$H$18,0),""))=4,'DIVISION 15'!$D$1,SUM(IFNA(MATCH($B12,'DIVISION 15'!$A$2:$H$2,0),""),IFNA(MATCH($B12,'DIVISION 15'!$A$3:$H$3,0),""),IFNA(MATCH($B12,'DIVISION 15'!$A$4:$H$4,0),""),IFNA(MATCH($B12,'DIVISION 15'!$A$5:$H$5,0),""),IFNA(MATCH($B12,'DIVISION 15'!$A$6:$H$6,0),""),IFNA(MATCH($B12,'DIVISION 15'!$A$7:$H$7,0),""),IFNA(MATCH($B12,'DIVISION 15'!$A$8:$H$8,0),""),IFNA(MATCH($B12,'DIVISION 15'!$A$9:$H$9,0),""),IFNA(MATCH($B12,'DIVISION 15'!$A$10:$H$10,0),""),IFNA(MATCH($B12,'DIVISION 15'!$A$11:$H$11,0),""),IFNA(MATCH($B12,'DIVISION 15'!$A$12:$H$12,0),""),IFNA(MATCH($B12,'DIVISION 15'!$A$13:$H$13,0),""),IFNA(MATCH($B12,'DIVISION 15'!$A$14:$H$14,0),""),IFNA(MATCH($B12,'DIVISION 15'!$A$15:$H$15,0),""),IFNA(MATCH($B12,'DIVISION 15'!$A$16:$H$16,0),""),IFNA(MATCH($B12,'DIVISION 15'!$A$17:$H$17,0),""),IFNA(MATCH($B12,'DIVISION 15'!$A$18:$H$18,0),""))=5,'DIVISION 15'!$E$1,SUM(IFNA(MATCH($B12,'DIVISION 15'!$A$2:$H$2,0),""),IFNA(MATCH($B12,'DIVISION 15'!$A$3:$H$3,0),""),IFNA(MATCH($B12,'DIVISION 15'!$A$4:$H$4,0),""),IFNA(MATCH($B12,'DIVISION 15'!$A$5:$H$5,0),""),IFNA(MATCH($B12,'DIVISION 15'!$A$6:$H$6,0),""),IFNA(MATCH($B12,'DIVISION 15'!$A$7:$H$7,0),""),IFNA(MATCH($B12,'DIVISION 15'!$A$8:$H$8,0),""),IFNA(MATCH($B12,'DIVISION 15'!$A$9:$H$9,0),""),IFNA(MATCH($B12,'DIVISION 15'!$A$10:$H$10,0),""),IFNA(MATCH($B12,'DIVISION 15'!$A$11:$H$11,0),""),IFNA(MATCH($B12,'DIVISION 15'!$A$12:$H$12,0),""),IFNA(MATCH($B12,'DIVISION 15'!$A$13:$H$13,0),""),IFNA(MATCH($B12,'DIVISION 15'!$A$14:$H$14,0),""),IFNA(MATCH($B12,'DIVISION 15'!$A$15:$H$15,0),""),IFNA(MATCH($B12,'DIVISION 15'!$A$16:$H$16,0),""),IFNA(MATCH($B12,'DIVISION 15'!$A$17:$H$17,0),""),IFNA(MATCH($B12,'DIVISION 15'!$A$18:$H$18,0),""))=6,'DIVISION 15'!$F$1,SUM(IFNA(MATCH($B12,'DIVISION 15'!$A$2:$H$2,0),""),IFNA(MATCH($B12,'DIVISION 15'!$A$3:$H$3,0),""),IFNA(MATCH($B12,'DIVISION 15'!$A$4:$H$4,0),""),IFNA(MATCH($B12,'DIVISION 15'!$A$5:$H$5,0),""),IFNA(MATCH($B12,'DIVISION 15'!$A$6:$H$6,0),""),IFNA(MATCH($B12,'DIVISION 15'!$A$7:$H$7,0),""),IFNA(MATCH($B12,'DIVISION 15'!$A$8:$H$8,0),""),IFNA(MATCH($B12,'DIVISION 15'!$A$9:$H$9,0),""),IFNA(MATCH($B12,'DIVISION 15'!$A$10:$H$10,0),""),IFNA(MATCH($B12,'DIVISION 15'!$A$11:$H$11,0),""),IFNA(MATCH($B12,'DIVISION 15'!$A$12:$H$12,0),""),IFNA(MATCH($B12,'DIVISION 15'!$A$13:$H$13,0),""),IFNA(MATCH($B12,'DIVISION 15'!$A$14:$H$14,0),""),IFNA(MATCH($B12,'DIVISION 15'!$A$15:$H$15,0),""),IFNA(MATCH($B12,'DIVISION 15'!$A$16:$H$16,0),""),IFNA(MATCH($B12,'DIVISION 15'!$A$17:$H$17,0),""),IFNA(MATCH($B12,'DIVISION 15'!$A$18:$H$18,0),""))=7,'DIVISION 15'!$G$1,SUM(IFNA(MATCH($B12,'DIVISION 15'!$A$2:$H$2,0),""),IFNA(MATCH($B12,'DIVISION 15'!$A$3:$H$3,0),""),IFNA(MATCH($B12,'DIVISION 15'!$A$4:$H$4,0),""),IFNA(MATCH($B12,'DIVISION 15'!$A$5:$H$5,0),""),IFNA(MATCH($B12,'DIVISION 15'!$A$6:$H$6,0),""),IFNA(MATCH($B12,'DIVISION 15'!$A$7:$H$7,0),""),IFNA(MATCH($B12,'DIVISION 15'!$A$8:$H$8,0),""),IFNA(MATCH($B12,'DIVISION 15'!$A$9:$H$9,0),""),IFNA(MATCH($B12,'DIVISION 15'!$A$10:$H$10,0),""),IFNA(MATCH($B12,'DIVISION 15'!$A$11:$H$11,0),""),IFNA(MATCH($B12,'DIVISION 15'!$A$12:$H$12,0),""),IFNA(MATCH($B12,'DIVISION 15'!$A$13:$H$13,0),""),IFNA(MATCH($B12,'DIVISION 15'!$A$14:$H$14,0),""),IFNA(MATCH($B12,'DIVISION 15'!$A$15:$H$15,0),""),IFNA(MATCH($B12,'DIVISION 15'!$A$16:$H$16,0),""),IFNA(MATCH($B12,'DIVISION 15'!$A$17:$H$17,0),""),IFNA(MATCH($B12,'DIVISION 15'!$A$18:$H$18,0),""))=8,'DIVISION 15'!$H$1)</f>
        <v>SOFI</v>
      </c>
      <c r="U12" s="8" t="str">
        <f t="shared" si="1"/>
        <v>SOFI3</v>
      </c>
      <c r="V12" s="9">
        <f>SUMIF(AsistenciaViewJetAdmin!$A$3:$A$101,A12,AsistenciaViewJetAdmin!$C$3:$C$101)/(COUNTIF(AsistenciaViewJetAdmin!$D$102:V$102,"&gt;0")+COUNTIF(ActividadesEspeciales!$D$102:V$102,"&gt;0"))*100</f>
        <v>77.65957447</v>
      </c>
    </row>
    <row r="13" ht="28.5" customHeight="1">
      <c r="A13" s="3">
        <v>110.0</v>
      </c>
      <c r="B13" s="4" t="s">
        <v>130</v>
      </c>
      <c r="C13" s="5">
        <v>1046904.0</v>
      </c>
      <c r="D13" s="6">
        <v>40242.0</v>
      </c>
      <c r="E13" s="5">
        <v>5.0291822E7</v>
      </c>
      <c r="F13" s="5" t="s">
        <v>131</v>
      </c>
      <c r="G13" s="7">
        <v>1.122694908E9</v>
      </c>
      <c r="H13" s="5" t="s">
        <v>132</v>
      </c>
      <c r="I13" s="5" t="s">
        <v>133</v>
      </c>
      <c r="J13" s="7">
        <v>1.150439693E9</v>
      </c>
      <c r="K13" s="5" t="s">
        <v>134</v>
      </c>
      <c r="L13" s="5" t="s">
        <v>135</v>
      </c>
      <c r="M13" s="7">
        <v>1.1358503E9</v>
      </c>
      <c r="N13" s="5" t="s">
        <v>61</v>
      </c>
      <c r="O13" s="5" t="s">
        <v>120</v>
      </c>
      <c r="P13" s="5" t="s">
        <v>136</v>
      </c>
      <c r="Q13" s="5" t="s">
        <v>30</v>
      </c>
      <c r="R13" s="5" t="s">
        <v>31</v>
      </c>
      <c r="S13" s="5" t="s">
        <v>32</v>
      </c>
      <c r="T13" s="8" t="str">
        <f>IFS(SUM(IFNA(MATCH($B13,'DIVISION 15'!$A$2:$H$2,0),""),IFNA(MATCH($B13,'DIVISION 15'!$A$3:$H$3,0),""),IFNA(MATCH($B13,'DIVISION 15'!$A$4:$H$4,0),""),IFNA(MATCH($B13,'DIVISION 15'!$A$5:$H$5,0),""),IFNA(MATCH($B13,'DIVISION 15'!$A$6:$H$6,0),""),IFNA(MATCH($B13,'DIVISION 15'!$A$7:$H$7,0),""),IFNA(MATCH($B13,'DIVISION 15'!$A$8:$H$8,0),""),IFNA(MATCH($B13,'DIVISION 15'!$A$9:$H$9,0),""),IFNA(MATCH($B13,'DIVISION 15'!$A$10:$H$10,0),""),IFNA(MATCH($B13,'DIVISION 15'!$A$11:$H$11,0),""),IFNA(MATCH($B13,'DIVISION 15'!$A$12:$H$12,0),""),IFNA(MATCH($B13,'DIVISION 15'!$A$13:$H$13,0),""),IFNA(MATCH($B13,'DIVISION 15'!$A$14:$H$14,0),""),IFNA(MATCH($B13,'DIVISION 15'!$A$15:$H$15,0),""),IFNA(MATCH($B13,'DIVISION 15'!$A$16:$H$16,0),""),IFNA(MATCH($B13,'DIVISION 15'!$A$17:$H$17,0),""),IFNA(MATCH($B13,'DIVISION 15'!$A$18:$H$18,0),""))=1,'DIVISION 15'!$A$1,SUM(IFNA(MATCH($B13,'DIVISION 15'!$A$2:$H$2,0),""),IFNA(MATCH($B13,'DIVISION 15'!$A$3:$H$3,0),""),IFNA(MATCH($B13,'DIVISION 15'!$A$4:$H$4,0),""),IFNA(MATCH($B13,'DIVISION 15'!$A$5:$H$5,0),""),IFNA(MATCH($B13,'DIVISION 15'!$A$6:$H$6,0),""),IFNA(MATCH($B13,'DIVISION 15'!$A$7:$H$7,0),""),IFNA(MATCH($B13,'DIVISION 15'!$A$8:$H$8,0),""),IFNA(MATCH($B13,'DIVISION 15'!$A$9:$H$9,0),""),IFNA(MATCH($B13,'DIVISION 15'!$A$10:$H$10,0),""),IFNA(MATCH($B13,'DIVISION 15'!$A$11:$H$11,0),""),IFNA(MATCH($B13,'DIVISION 15'!$A$12:$H$12,0),""),IFNA(MATCH($B13,'DIVISION 15'!$A$13:$H$13,0),""),IFNA(MATCH($B13,'DIVISION 15'!$A$14:$H$14,0),""),IFNA(MATCH($B13,'DIVISION 15'!$A$15:$H$15,0),""),IFNA(MATCH($B13,'DIVISION 15'!$A$16:$H$16,0),""),IFNA(MATCH($B13,'DIVISION 15'!$A$17:$H$17,0),""),IFNA(MATCH($B13,'DIVISION 15'!$A$18:$H$18,0),""))=2,'DIVISION 15'!$B$1,SUM(IFNA(MATCH($B13,'DIVISION 15'!$A$2:$H$2,0),""),IFNA(MATCH($B13,'DIVISION 15'!$A$3:$H$3,0),""),IFNA(MATCH($B13,'DIVISION 15'!$A$4:$H$4,0),""),IFNA(MATCH($B13,'DIVISION 15'!$A$5:$H$5,0),""),IFNA(MATCH($B13,'DIVISION 15'!$A$6:$H$6,0),""),IFNA(MATCH($B13,'DIVISION 15'!$A$7:$H$7,0),""),IFNA(MATCH($B13,'DIVISION 15'!$A$8:$H$8,0),""),IFNA(MATCH($B13,'DIVISION 15'!$A$9:$H$9,0),""),IFNA(MATCH($B13,'DIVISION 15'!$A$10:$H$10,0),""),IFNA(MATCH($B13,'DIVISION 15'!$A$11:$H$11,0),""),IFNA(MATCH($B13,'DIVISION 15'!$A$12:$H$12,0),""),IFNA(MATCH($B13,'DIVISION 15'!$A$13:$H$13,0),""),IFNA(MATCH($B13,'DIVISION 15'!$A$14:$H$14,0),""),IFNA(MATCH($B13,'DIVISION 15'!$A$15:$H$15,0),""),IFNA(MATCH($B13,'DIVISION 15'!$A$16:$H$16,0),""),IFNA(MATCH($B13,'DIVISION 15'!$A$17:$H$17,0),""),IFNA(MATCH($B13,'DIVISION 15'!$A$18:$H$18,0),""))=3,'DIVISION 15'!$C$1,SUM(IFNA(MATCH($B13,'DIVISION 15'!$A$2:$H$2,0),""),IFNA(MATCH($B13,'DIVISION 15'!$A$3:$H$3,0),""),IFNA(MATCH($B13,'DIVISION 15'!$A$4:$H$4,0),""),IFNA(MATCH($B13,'DIVISION 15'!$A$5:$H$5,0),""),IFNA(MATCH($B13,'DIVISION 15'!$A$6:$H$6,0),""),IFNA(MATCH($B13,'DIVISION 15'!$A$7:$H$7,0),""),IFNA(MATCH($B13,'DIVISION 15'!$A$8:$H$8,0),""),IFNA(MATCH($B13,'DIVISION 15'!$A$9:$H$9,0),""),IFNA(MATCH($B13,'DIVISION 15'!$A$10:$H$10,0),""),IFNA(MATCH($B13,'DIVISION 15'!$A$11:$H$11,0),""),IFNA(MATCH($B13,'DIVISION 15'!$A$12:$H$12,0),""),IFNA(MATCH($B13,'DIVISION 15'!$A$13:$H$13,0),""),IFNA(MATCH($B13,'DIVISION 15'!$A$14:$H$14,0),""),IFNA(MATCH($B13,'DIVISION 15'!$A$15:$H$15,0),""),IFNA(MATCH($B13,'DIVISION 15'!$A$16:$H$16,0),""),IFNA(MATCH($B13,'DIVISION 15'!$A$17:$H$17,0),""),IFNA(MATCH($B13,'DIVISION 15'!$A$18:$H$18,0),""))=4,'DIVISION 15'!$D$1,SUM(IFNA(MATCH($B13,'DIVISION 15'!$A$2:$H$2,0),""),IFNA(MATCH($B13,'DIVISION 15'!$A$3:$H$3,0),""),IFNA(MATCH($B13,'DIVISION 15'!$A$4:$H$4,0),""),IFNA(MATCH($B13,'DIVISION 15'!$A$5:$H$5,0),""),IFNA(MATCH($B13,'DIVISION 15'!$A$6:$H$6,0),""),IFNA(MATCH($B13,'DIVISION 15'!$A$7:$H$7,0),""),IFNA(MATCH($B13,'DIVISION 15'!$A$8:$H$8,0),""),IFNA(MATCH($B13,'DIVISION 15'!$A$9:$H$9,0),""),IFNA(MATCH($B13,'DIVISION 15'!$A$10:$H$10,0),""),IFNA(MATCH($B13,'DIVISION 15'!$A$11:$H$11,0),""),IFNA(MATCH($B13,'DIVISION 15'!$A$12:$H$12,0),""),IFNA(MATCH($B13,'DIVISION 15'!$A$13:$H$13,0),""),IFNA(MATCH($B13,'DIVISION 15'!$A$14:$H$14,0),""),IFNA(MATCH($B13,'DIVISION 15'!$A$15:$H$15,0),""),IFNA(MATCH($B13,'DIVISION 15'!$A$16:$H$16,0),""),IFNA(MATCH($B13,'DIVISION 15'!$A$17:$H$17,0),""),IFNA(MATCH($B13,'DIVISION 15'!$A$18:$H$18,0),""))=5,'DIVISION 15'!$E$1,SUM(IFNA(MATCH($B13,'DIVISION 15'!$A$2:$H$2,0),""),IFNA(MATCH($B13,'DIVISION 15'!$A$3:$H$3,0),""),IFNA(MATCH($B13,'DIVISION 15'!$A$4:$H$4,0),""),IFNA(MATCH($B13,'DIVISION 15'!$A$5:$H$5,0),""),IFNA(MATCH($B13,'DIVISION 15'!$A$6:$H$6,0),""),IFNA(MATCH($B13,'DIVISION 15'!$A$7:$H$7,0),""),IFNA(MATCH($B13,'DIVISION 15'!$A$8:$H$8,0),""),IFNA(MATCH($B13,'DIVISION 15'!$A$9:$H$9,0),""),IFNA(MATCH($B13,'DIVISION 15'!$A$10:$H$10,0),""),IFNA(MATCH($B13,'DIVISION 15'!$A$11:$H$11,0),""),IFNA(MATCH($B13,'DIVISION 15'!$A$12:$H$12,0),""),IFNA(MATCH($B13,'DIVISION 15'!$A$13:$H$13,0),""),IFNA(MATCH($B13,'DIVISION 15'!$A$14:$H$14,0),""),IFNA(MATCH($B13,'DIVISION 15'!$A$15:$H$15,0),""),IFNA(MATCH($B13,'DIVISION 15'!$A$16:$H$16,0),""),IFNA(MATCH($B13,'DIVISION 15'!$A$17:$H$17,0),""),IFNA(MATCH($B13,'DIVISION 15'!$A$18:$H$18,0),""))=6,'DIVISION 15'!$F$1,SUM(IFNA(MATCH($B13,'DIVISION 15'!$A$2:$H$2,0),""),IFNA(MATCH($B13,'DIVISION 15'!$A$3:$H$3,0),""),IFNA(MATCH($B13,'DIVISION 15'!$A$4:$H$4,0),""),IFNA(MATCH($B13,'DIVISION 15'!$A$5:$H$5,0),""),IFNA(MATCH($B13,'DIVISION 15'!$A$6:$H$6,0),""),IFNA(MATCH($B13,'DIVISION 15'!$A$7:$H$7,0),""),IFNA(MATCH($B13,'DIVISION 15'!$A$8:$H$8,0),""),IFNA(MATCH($B13,'DIVISION 15'!$A$9:$H$9,0),""),IFNA(MATCH($B13,'DIVISION 15'!$A$10:$H$10,0),""),IFNA(MATCH($B13,'DIVISION 15'!$A$11:$H$11,0),""),IFNA(MATCH($B13,'DIVISION 15'!$A$12:$H$12,0),""),IFNA(MATCH($B13,'DIVISION 15'!$A$13:$H$13,0),""),IFNA(MATCH($B13,'DIVISION 15'!$A$14:$H$14,0),""),IFNA(MATCH($B13,'DIVISION 15'!$A$15:$H$15,0),""),IFNA(MATCH($B13,'DIVISION 15'!$A$16:$H$16,0),""),IFNA(MATCH($B13,'DIVISION 15'!$A$17:$H$17,0),""),IFNA(MATCH($B13,'DIVISION 15'!$A$18:$H$18,0),""))=7,'DIVISION 15'!$G$1,SUM(IFNA(MATCH($B13,'DIVISION 15'!$A$2:$H$2,0),""),IFNA(MATCH($B13,'DIVISION 15'!$A$3:$H$3,0),""),IFNA(MATCH($B13,'DIVISION 15'!$A$4:$H$4,0),""),IFNA(MATCH($B13,'DIVISION 15'!$A$5:$H$5,0),""),IFNA(MATCH($B13,'DIVISION 15'!$A$6:$H$6,0),""),IFNA(MATCH($B13,'DIVISION 15'!$A$7:$H$7,0),""),IFNA(MATCH($B13,'DIVISION 15'!$A$8:$H$8,0),""),IFNA(MATCH($B13,'DIVISION 15'!$A$9:$H$9,0),""),IFNA(MATCH($B13,'DIVISION 15'!$A$10:$H$10,0),""),IFNA(MATCH($B13,'DIVISION 15'!$A$11:$H$11,0),""),IFNA(MATCH($B13,'DIVISION 15'!$A$12:$H$12,0),""),IFNA(MATCH($B13,'DIVISION 15'!$A$13:$H$13,0),""),IFNA(MATCH($B13,'DIVISION 15'!$A$14:$H$14,0),""),IFNA(MATCH($B13,'DIVISION 15'!$A$15:$H$15,0),""),IFNA(MATCH($B13,'DIVISION 15'!$A$16:$H$16,0),""),IFNA(MATCH($B13,'DIVISION 15'!$A$17:$H$17,0),""),IFNA(MATCH($B13,'DIVISION 15'!$A$18:$H$18,0),""))=8,'DIVISION 15'!$H$1)</f>
        <v>GASTI</v>
      </c>
      <c r="U13" s="8" t="str">
        <f t="shared" si="1"/>
        <v>GASTI1</v>
      </c>
      <c r="V13" s="9">
        <f>SUMIF(AsistenciaViewJetAdmin!$A$3:$A$101,A13,AsistenciaViewJetAdmin!$C$3:$C$101)/(COUNTIF(AsistenciaViewJetAdmin!$D$102:V$102,"&gt;0")+COUNTIF(ActividadesEspeciales!$D$102:V$102,"&gt;0"))*100</f>
        <v>78.72340426</v>
      </c>
    </row>
    <row r="14" ht="28.5" customHeight="1">
      <c r="A14" s="3">
        <v>207.0</v>
      </c>
      <c r="B14" s="4" t="s">
        <v>137</v>
      </c>
      <c r="C14" s="5">
        <v>1177302.0</v>
      </c>
      <c r="D14" s="6">
        <v>40391.0</v>
      </c>
      <c r="E14" s="5">
        <v>4.9905962E7</v>
      </c>
      <c r="F14" s="5" t="s">
        <v>138</v>
      </c>
      <c r="G14" s="7">
        <v>1.136679587E9</v>
      </c>
      <c r="H14" s="5" t="s">
        <v>139</v>
      </c>
      <c r="I14" s="5" t="s">
        <v>140</v>
      </c>
      <c r="J14" s="7" t="s">
        <v>141</v>
      </c>
      <c r="K14" s="5" t="s">
        <v>142</v>
      </c>
      <c r="L14" s="5" t="s">
        <v>143</v>
      </c>
      <c r="M14" s="7" t="s">
        <v>144</v>
      </c>
      <c r="N14" s="5" t="s">
        <v>145</v>
      </c>
      <c r="O14" s="5" t="s">
        <v>120</v>
      </c>
      <c r="P14" s="5" t="s">
        <v>120</v>
      </c>
      <c r="Q14" s="5" t="s">
        <v>74</v>
      </c>
      <c r="R14" s="5" t="s">
        <v>31</v>
      </c>
      <c r="S14" s="5" t="s">
        <v>32</v>
      </c>
      <c r="T14" s="8" t="str">
        <f>IFS(SUM(IFNA(MATCH($B14,'DIVISION 15'!$A$2:$H$2,0),""),IFNA(MATCH($B14,'DIVISION 15'!$A$3:$H$3,0),""),IFNA(MATCH($B14,'DIVISION 15'!$A$4:$H$4,0),""),IFNA(MATCH($B14,'DIVISION 15'!$A$5:$H$5,0),""),IFNA(MATCH($B14,'DIVISION 15'!$A$6:$H$6,0),""),IFNA(MATCH($B14,'DIVISION 15'!$A$7:$H$7,0),""),IFNA(MATCH($B14,'DIVISION 15'!$A$8:$H$8,0),""),IFNA(MATCH($B14,'DIVISION 15'!$A$9:$H$9,0),""),IFNA(MATCH($B14,'DIVISION 15'!$A$10:$H$10,0),""),IFNA(MATCH($B14,'DIVISION 15'!$A$11:$H$11,0),""),IFNA(MATCH($B14,'DIVISION 15'!$A$12:$H$12,0),""),IFNA(MATCH($B14,'DIVISION 15'!$A$13:$H$13,0),""),IFNA(MATCH($B14,'DIVISION 15'!$A$14:$H$14,0),""),IFNA(MATCH($B14,'DIVISION 15'!$A$15:$H$15,0),""),IFNA(MATCH($B14,'DIVISION 15'!$A$16:$H$16,0),""),IFNA(MATCH($B14,'DIVISION 15'!$A$17:$H$17,0),""),IFNA(MATCH($B14,'DIVISION 15'!$A$18:$H$18,0),""))=1,'DIVISION 15'!$A$1,SUM(IFNA(MATCH($B14,'DIVISION 15'!$A$2:$H$2,0),""),IFNA(MATCH($B14,'DIVISION 15'!$A$3:$H$3,0),""),IFNA(MATCH($B14,'DIVISION 15'!$A$4:$H$4,0),""),IFNA(MATCH($B14,'DIVISION 15'!$A$5:$H$5,0),""),IFNA(MATCH($B14,'DIVISION 15'!$A$6:$H$6,0),""),IFNA(MATCH($B14,'DIVISION 15'!$A$7:$H$7,0),""),IFNA(MATCH($B14,'DIVISION 15'!$A$8:$H$8,0),""),IFNA(MATCH($B14,'DIVISION 15'!$A$9:$H$9,0),""),IFNA(MATCH($B14,'DIVISION 15'!$A$10:$H$10,0),""),IFNA(MATCH($B14,'DIVISION 15'!$A$11:$H$11,0),""),IFNA(MATCH($B14,'DIVISION 15'!$A$12:$H$12,0),""),IFNA(MATCH($B14,'DIVISION 15'!$A$13:$H$13,0),""),IFNA(MATCH($B14,'DIVISION 15'!$A$14:$H$14,0),""),IFNA(MATCH($B14,'DIVISION 15'!$A$15:$H$15,0),""),IFNA(MATCH($B14,'DIVISION 15'!$A$16:$H$16,0),""),IFNA(MATCH($B14,'DIVISION 15'!$A$17:$H$17,0),""),IFNA(MATCH($B14,'DIVISION 15'!$A$18:$H$18,0),""))=2,'DIVISION 15'!$B$1,SUM(IFNA(MATCH($B14,'DIVISION 15'!$A$2:$H$2,0),""),IFNA(MATCH($B14,'DIVISION 15'!$A$3:$H$3,0),""),IFNA(MATCH($B14,'DIVISION 15'!$A$4:$H$4,0),""),IFNA(MATCH($B14,'DIVISION 15'!$A$5:$H$5,0),""),IFNA(MATCH($B14,'DIVISION 15'!$A$6:$H$6,0),""),IFNA(MATCH($B14,'DIVISION 15'!$A$7:$H$7,0),""),IFNA(MATCH($B14,'DIVISION 15'!$A$8:$H$8,0),""),IFNA(MATCH($B14,'DIVISION 15'!$A$9:$H$9,0),""),IFNA(MATCH($B14,'DIVISION 15'!$A$10:$H$10,0),""),IFNA(MATCH($B14,'DIVISION 15'!$A$11:$H$11,0),""),IFNA(MATCH($B14,'DIVISION 15'!$A$12:$H$12,0),""),IFNA(MATCH($B14,'DIVISION 15'!$A$13:$H$13,0),""),IFNA(MATCH($B14,'DIVISION 15'!$A$14:$H$14,0),""),IFNA(MATCH($B14,'DIVISION 15'!$A$15:$H$15,0),""),IFNA(MATCH($B14,'DIVISION 15'!$A$16:$H$16,0),""),IFNA(MATCH($B14,'DIVISION 15'!$A$17:$H$17,0),""),IFNA(MATCH($B14,'DIVISION 15'!$A$18:$H$18,0),""))=3,'DIVISION 15'!$C$1,SUM(IFNA(MATCH($B14,'DIVISION 15'!$A$2:$H$2,0),""),IFNA(MATCH($B14,'DIVISION 15'!$A$3:$H$3,0),""),IFNA(MATCH($B14,'DIVISION 15'!$A$4:$H$4,0),""),IFNA(MATCH($B14,'DIVISION 15'!$A$5:$H$5,0),""),IFNA(MATCH($B14,'DIVISION 15'!$A$6:$H$6,0),""),IFNA(MATCH($B14,'DIVISION 15'!$A$7:$H$7,0),""),IFNA(MATCH($B14,'DIVISION 15'!$A$8:$H$8,0),""),IFNA(MATCH($B14,'DIVISION 15'!$A$9:$H$9,0),""),IFNA(MATCH($B14,'DIVISION 15'!$A$10:$H$10,0),""),IFNA(MATCH($B14,'DIVISION 15'!$A$11:$H$11,0),""),IFNA(MATCH($B14,'DIVISION 15'!$A$12:$H$12,0),""),IFNA(MATCH($B14,'DIVISION 15'!$A$13:$H$13,0),""),IFNA(MATCH($B14,'DIVISION 15'!$A$14:$H$14,0),""),IFNA(MATCH($B14,'DIVISION 15'!$A$15:$H$15,0),""),IFNA(MATCH($B14,'DIVISION 15'!$A$16:$H$16,0),""),IFNA(MATCH($B14,'DIVISION 15'!$A$17:$H$17,0),""),IFNA(MATCH($B14,'DIVISION 15'!$A$18:$H$18,0),""))=4,'DIVISION 15'!$D$1,SUM(IFNA(MATCH($B14,'DIVISION 15'!$A$2:$H$2,0),""),IFNA(MATCH($B14,'DIVISION 15'!$A$3:$H$3,0),""),IFNA(MATCH($B14,'DIVISION 15'!$A$4:$H$4,0),""),IFNA(MATCH($B14,'DIVISION 15'!$A$5:$H$5,0),""),IFNA(MATCH($B14,'DIVISION 15'!$A$6:$H$6,0),""),IFNA(MATCH($B14,'DIVISION 15'!$A$7:$H$7,0),""),IFNA(MATCH($B14,'DIVISION 15'!$A$8:$H$8,0),""),IFNA(MATCH($B14,'DIVISION 15'!$A$9:$H$9,0),""),IFNA(MATCH($B14,'DIVISION 15'!$A$10:$H$10,0),""),IFNA(MATCH($B14,'DIVISION 15'!$A$11:$H$11,0),""),IFNA(MATCH($B14,'DIVISION 15'!$A$12:$H$12,0),""),IFNA(MATCH($B14,'DIVISION 15'!$A$13:$H$13,0),""),IFNA(MATCH($B14,'DIVISION 15'!$A$14:$H$14,0),""),IFNA(MATCH($B14,'DIVISION 15'!$A$15:$H$15,0),""),IFNA(MATCH($B14,'DIVISION 15'!$A$16:$H$16,0),""),IFNA(MATCH($B14,'DIVISION 15'!$A$17:$H$17,0),""),IFNA(MATCH($B14,'DIVISION 15'!$A$18:$H$18,0),""))=5,'DIVISION 15'!$E$1,SUM(IFNA(MATCH($B14,'DIVISION 15'!$A$2:$H$2,0),""),IFNA(MATCH($B14,'DIVISION 15'!$A$3:$H$3,0),""),IFNA(MATCH($B14,'DIVISION 15'!$A$4:$H$4,0),""),IFNA(MATCH($B14,'DIVISION 15'!$A$5:$H$5,0),""),IFNA(MATCH($B14,'DIVISION 15'!$A$6:$H$6,0),""),IFNA(MATCH($B14,'DIVISION 15'!$A$7:$H$7,0),""),IFNA(MATCH($B14,'DIVISION 15'!$A$8:$H$8,0),""),IFNA(MATCH($B14,'DIVISION 15'!$A$9:$H$9,0),""),IFNA(MATCH($B14,'DIVISION 15'!$A$10:$H$10,0),""),IFNA(MATCH($B14,'DIVISION 15'!$A$11:$H$11,0),""),IFNA(MATCH($B14,'DIVISION 15'!$A$12:$H$12,0),""),IFNA(MATCH($B14,'DIVISION 15'!$A$13:$H$13,0),""),IFNA(MATCH($B14,'DIVISION 15'!$A$14:$H$14,0),""),IFNA(MATCH($B14,'DIVISION 15'!$A$15:$H$15,0),""),IFNA(MATCH($B14,'DIVISION 15'!$A$16:$H$16,0),""),IFNA(MATCH($B14,'DIVISION 15'!$A$17:$H$17,0),""),IFNA(MATCH($B14,'DIVISION 15'!$A$18:$H$18,0),""))=6,'DIVISION 15'!$F$1,SUM(IFNA(MATCH($B14,'DIVISION 15'!$A$2:$H$2,0),""),IFNA(MATCH($B14,'DIVISION 15'!$A$3:$H$3,0),""),IFNA(MATCH($B14,'DIVISION 15'!$A$4:$H$4,0),""),IFNA(MATCH($B14,'DIVISION 15'!$A$5:$H$5,0),""),IFNA(MATCH($B14,'DIVISION 15'!$A$6:$H$6,0),""),IFNA(MATCH($B14,'DIVISION 15'!$A$7:$H$7,0),""),IFNA(MATCH($B14,'DIVISION 15'!$A$8:$H$8,0),""),IFNA(MATCH($B14,'DIVISION 15'!$A$9:$H$9,0),""),IFNA(MATCH($B14,'DIVISION 15'!$A$10:$H$10,0),""),IFNA(MATCH($B14,'DIVISION 15'!$A$11:$H$11,0),""),IFNA(MATCH($B14,'DIVISION 15'!$A$12:$H$12,0),""),IFNA(MATCH($B14,'DIVISION 15'!$A$13:$H$13,0),""),IFNA(MATCH($B14,'DIVISION 15'!$A$14:$H$14,0),""),IFNA(MATCH($B14,'DIVISION 15'!$A$15:$H$15,0),""),IFNA(MATCH($B14,'DIVISION 15'!$A$16:$H$16,0),""),IFNA(MATCH($B14,'DIVISION 15'!$A$17:$H$17,0),""),IFNA(MATCH($B14,'DIVISION 15'!$A$18:$H$18,0),""))=7,'DIVISION 15'!$G$1,SUM(IFNA(MATCH($B14,'DIVISION 15'!$A$2:$H$2,0),""),IFNA(MATCH($B14,'DIVISION 15'!$A$3:$H$3,0),""),IFNA(MATCH($B14,'DIVISION 15'!$A$4:$H$4,0),""),IFNA(MATCH($B14,'DIVISION 15'!$A$5:$H$5,0),""),IFNA(MATCH($B14,'DIVISION 15'!$A$6:$H$6,0),""),IFNA(MATCH($B14,'DIVISION 15'!$A$7:$H$7,0),""),IFNA(MATCH($B14,'DIVISION 15'!$A$8:$H$8,0),""),IFNA(MATCH($B14,'DIVISION 15'!$A$9:$H$9,0),""),IFNA(MATCH($B14,'DIVISION 15'!$A$10:$H$10,0),""),IFNA(MATCH($B14,'DIVISION 15'!$A$11:$H$11,0),""),IFNA(MATCH($B14,'DIVISION 15'!$A$12:$H$12,0),""),IFNA(MATCH($B14,'DIVISION 15'!$A$13:$H$13,0),""),IFNA(MATCH($B14,'DIVISION 15'!$A$14:$H$14,0),""),IFNA(MATCH($B14,'DIVISION 15'!$A$15:$H$15,0),""),IFNA(MATCH($B14,'DIVISION 15'!$A$16:$H$16,0),""),IFNA(MATCH($B14,'DIVISION 15'!$A$17:$H$17,0),""),IFNA(MATCH($B14,'DIVISION 15'!$A$18:$H$18,0),""))=8,'DIVISION 15'!$H$1)</f>
        <v>GASTI</v>
      </c>
      <c r="U14" s="8" t="str">
        <f t="shared" si="1"/>
        <v>GASTI2</v>
      </c>
      <c r="V14" s="9">
        <f>SUMIF(AsistenciaViewJetAdmin!$A$3:$A$101,A14,AsistenciaViewJetAdmin!$C$3:$C$101)/(COUNTIF(AsistenciaViewJetAdmin!$D$102:V$102,"&gt;0")+COUNTIF(ActividadesEspeciales!$D$102:V$102,"&gt;0"))*100</f>
        <v>72.34042553</v>
      </c>
    </row>
    <row r="15" ht="28.5" customHeight="1">
      <c r="A15" s="3">
        <v>197.0</v>
      </c>
      <c r="B15" s="4" t="s">
        <v>146</v>
      </c>
      <c r="C15" s="5">
        <v>934103.0</v>
      </c>
      <c r="D15" s="6">
        <v>40155.0</v>
      </c>
      <c r="E15" s="5">
        <v>4.955109E7</v>
      </c>
      <c r="F15" s="5" t="s">
        <v>147</v>
      </c>
      <c r="G15" s="7">
        <v>1.133356412E9</v>
      </c>
      <c r="H15" s="5" t="s">
        <v>148</v>
      </c>
      <c r="I15" s="5" t="s">
        <v>149</v>
      </c>
      <c r="J15" s="7">
        <v>5.41145375295E11</v>
      </c>
      <c r="K15" s="5" t="s">
        <v>150</v>
      </c>
      <c r="L15" s="5" t="s">
        <v>151</v>
      </c>
      <c r="M15" s="7">
        <v>1.141414354E9</v>
      </c>
      <c r="N15" s="5" t="s">
        <v>61</v>
      </c>
      <c r="O15" s="5" t="s">
        <v>152</v>
      </c>
      <c r="P15" s="5" t="s">
        <v>153</v>
      </c>
      <c r="Q15" s="5" t="s">
        <v>74</v>
      </c>
      <c r="R15" s="5" t="s">
        <v>31</v>
      </c>
      <c r="S15" s="5" t="s">
        <v>32</v>
      </c>
      <c r="T15" s="8" t="str">
        <f>IFS(SUM(IFNA(MATCH($B15,'DIVISION 15'!$A$2:$H$2,0),""),IFNA(MATCH($B15,'DIVISION 15'!$A$3:$H$3,0),""),IFNA(MATCH($B15,'DIVISION 15'!$A$4:$H$4,0),""),IFNA(MATCH($B15,'DIVISION 15'!$A$5:$H$5,0),""),IFNA(MATCH($B15,'DIVISION 15'!$A$6:$H$6,0),""),IFNA(MATCH($B15,'DIVISION 15'!$A$7:$H$7,0),""),IFNA(MATCH($B15,'DIVISION 15'!$A$8:$H$8,0),""),IFNA(MATCH($B15,'DIVISION 15'!$A$9:$H$9,0),""),IFNA(MATCH($B15,'DIVISION 15'!$A$10:$H$10,0),""),IFNA(MATCH($B15,'DIVISION 15'!$A$11:$H$11,0),""),IFNA(MATCH($B15,'DIVISION 15'!$A$12:$H$12,0),""),IFNA(MATCH($B15,'DIVISION 15'!$A$13:$H$13,0),""),IFNA(MATCH($B15,'DIVISION 15'!$A$14:$H$14,0),""),IFNA(MATCH($B15,'DIVISION 15'!$A$15:$H$15,0),""),IFNA(MATCH($B15,'DIVISION 15'!$A$16:$H$16,0),""),IFNA(MATCH($B15,'DIVISION 15'!$A$17:$H$17,0),""),IFNA(MATCH($B15,'DIVISION 15'!$A$18:$H$18,0),""))=1,'DIVISION 15'!$A$1,SUM(IFNA(MATCH($B15,'DIVISION 15'!$A$2:$H$2,0),""),IFNA(MATCH($B15,'DIVISION 15'!$A$3:$H$3,0),""),IFNA(MATCH($B15,'DIVISION 15'!$A$4:$H$4,0),""),IFNA(MATCH($B15,'DIVISION 15'!$A$5:$H$5,0),""),IFNA(MATCH($B15,'DIVISION 15'!$A$6:$H$6,0),""),IFNA(MATCH($B15,'DIVISION 15'!$A$7:$H$7,0),""),IFNA(MATCH($B15,'DIVISION 15'!$A$8:$H$8,0),""),IFNA(MATCH($B15,'DIVISION 15'!$A$9:$H$9,0),""),IFNA(MATCH($B15,'DIVISION 15'!$A$10:$H$10,0),""),IFNA(MATCH($B15,'DIVISION 15'!$A$11:$H$11,0),""),IFNA(MATCH($B15,'DIVISION 15'!$A$12:$H$12,0),""),IFNA(MATCH($B15,'DIVISION 15'!$A$13:$H$13,0),""),IFNA(MATCH($B15,'DIVISION 15'!$A$14:$H$14,0),""),IFNA(MATCH($B15,'DIVISION 15'!$A$15:$H$15,0),""),IFNA(MATCH($B15,'DIVISION 15'!$A$16:$H$16,0),""),IFNA(MATCH($B15,'DIVISION 15'!$A$17:$H$17,0),""),IFNA(MATCH($B15,'DIVISION 15'!$A$18:$H$18,0),""))=2,'DIVISION 15'!$B$1,SUM(IFNA(MATCH($B15,'DIVISION 15'!$A$2:$H$2,0),""),IFNA(MATCH($B15,'DIVISION 15'!$A$3:$H$3,0),""),IFNA(MATCH($B15,'DIVISION 15'!$A$4:$H$4,0),""),IFNA(MATCH($B15,'DIVISION 15'!$A$5:$H$5,0),""),IFNA(MATCH($B15,'DIVISION 15'!$A$6:$H$6,0),""),IFNA(MATCH($B15,'DIVISION 15'!$A$7:$H$7,0),""),IFNA(MATCH($B15,'DIVISION 15'!$A$8:$H$8,0),""),IFNA(MATCH($B15,'DIVISION 15'!$A$9:$H$9,0),""),IFNA(MATCH($B15,'DIVISION 15'!$A$10:$H$10,0),""),IFNA(MATCH($B15,'DIVISION 15'!$A$11:$H$11,0),""),IFNA(MATCH($B15,'DIVISION 15'!$A$12:$H$12,0),""),IFNA(MATCH($B15,'DIVISION 15'!$A$13:$H$13,0),""),IFNA(MATCH($B15,'DIVISION 15'!$A$14:$H$14,0),""),IFNA(MATCH($B15,'DIVISION 15'!$A$15:$H$15,0),""),IFNA(MATCH($B15,'DIVISION 15'!$A$16:$H$16,0),""),IFNA(MATCH($B15,'DIVISION 15'!$A$17:$H$17,0),""),IFNA(MATCH($B15,'DIVISION 15'!$A$18:$H$18,0),""))=3,'DIVISION 15'!$C$1,SUM(IFNA(MATCH($B15,'DIVISION 15'!$A$2:$H$2,0),""),IFNA(MATCH($B15,'DIVISION 15'!$A$3:$H$3,0),""),IFNA(MATCH($B15,'DIVISION 15'!$A$4:$H$4,0),""),IFNA(MATCH($B15,'DIVISION 15'!$A$5:$H$5,0),""),IFNA(MATCH($B15,'DIVISION 15'!$A$6:$H$6,0),""),IFNA(MATCH($B15,'DIVISION 15'!$A$7:$H$7,0),""),IFNA(MATCH($B15,'DIVISION 15'!$A$8:$H$8,0),""),IFNA(MATCH($B15,'DIVISION 15'!$A$9:$H$9,0),""),IFNA(MATCH($B15,'DIVISION 15'!$A$10:$H$10,0),""),IFNA(MATCH($B15,'DIVISION 15'!$A$11:$H$11,0),""),IFNA(MATCH($B15,'DIVISION 15'!$A$12:$H$12,0),""),IFNA(MATCH($B15,'DIVISION 15'!$A$13:$H$13,0),""),IFNA(MATCH($B15,'DIVISION 15'!$A$14:$H$14,0),""),IFNA(MATCH($B15,'DIVISION 15'!$A$15:$H$15,0),""),IFNA(MATCH($B15,'DIVISION 15'!$A$16:$H$16,0),""),IFNA(MATCH($B15,'DIVISION 15'!$A$17:$H$17,0),""),IFNA(MATCH($B15,'DIVISION 15'!$A$18:$H$18,0),""))=4,'DIVISION 15'!$D$1,SUM(IFNA(MATCH($B15,'DIVISION 15'!$A$2:$H$2,0),""),IFNA(MATCH($B15,'DIVISION 15'!$A$3:$H$3,0),""),IFNA(MATCH($B15,'DIVISION 15'!$A$4:$H$4,0),""),IFNA(MATCH($B15,'DIVISION 15'!$A$5:$H$5,0),""),IFNA(MATCH($B15,'DIVISION 15'!$A$6:$H$6,0),""),IFNA(MATCH($B15,'DIVISION 15'!$A$7:$H$7,0),""),IFNA(MATCH($B15,'DIVISION 15'!$A$8:$H$8,0),""),IFNA(MATCH($B15,'DIVISION 15'!$A$9:$H$9,0),""),IFNA(MATCH($B15,'DIVISION 15'!$A$10:$H$10,0),""),IFNA(MATCH($B15,'DIVISION 15'!$A$11:$H$11,0),""),IFNA(MATCH($B15,'DIVISION 15'!$A$12:$H$12,0),""),IFNA(MATCH($B15,'DIVISION 15'!$A$13:$H$13,0),""),IFNA(MATCH($B15,'DIVISION 15'!$A$14:$H$14,0),""),IFNA(MATCH($B15,'DIVISION 15'!$A$15:$H$15,0),""),IFNA(MATCH($B15,'DIVISION 15'!$A$16:$H$16,0),""),IFNA(MATCH($B15,'DIVISION 15'!$A$17:$H$17,0),""),IFNA(MATCH($B15,'DIVISION 15'!$A$18:$H$18,0),""))=5,'DIVISION 15'!$E$1,SUM(IFNA(MATCH($B15,'DIVISION 15'!$A$2:$H$2,0),""),IFNA(MATCH($B15,'DIVISION 15'!$A$3:$H$3,0),""),IFNA(MATCH($B15,'DIVISION 15'!$A$4:$H$4,0),""),IFNA(MATCH($B15,'DIVISION 15'!$A$5:$H$5,0),""),IFNA(MATCH($B15,'DIVISION 15'!$A$6:$H$6,0),""),IFNA(MATCH($B15,'DIVISION 15'!$A$7:$H$7,0),""),IFNA(MATCH($B15,'DIVISION 15'!$A$8:$H$8,0),""),IFNA(MATCH($B15,'DIVISION 15'!$A$9:$H$9,0),""),IFNA(MATCH($B15,'DIVISION 15'!$A$10:$H$10,0),""),IFNA(MATCH($B15,'DIVISION 15'!$A$11:$H$11,0),""),IFNA(MATCH($B15,'DIVISION 15'!$A$12:$H$12,0),""),IFNA(MATCH($B15,'DIVISION 15'!$A$13:$H$13,0),""),IFNA(MATCH($B15,'DIVISION 15'!$A$14:$H$14,0),""),IFNA(MATCH($B15,'DIVISION 15'!$A$15:$H$15,0),""),IFNA(MATCH($B15,'DIVISION 15'!$A$16:$H$16,0),""),IFNA(MATCH($B15,'DIVISION 15'!$A$17:$H$17,0),""),IFNA(MATCH($B15,'DIVISION 15'!$A$18:$H$18,0),""))=6,'DIVISION 15'!$F$1,SUM(IFNA(MATCH($B15,'DIVISION 15'!$A$2:$H$2,0),""),IFNA(MATCH($B15,'DIVISION 15'!$A$3:$H$3,0),""),IFNA(MATCH($B15,'DIVISION 15'!$A$4:$H$4,0),""),IFNA(MATCH($B15,'DIVISION 15'!$A$5:$H$5,0),""),IFNA(MATCH($B15,'DIVISION 15'!$A$6:$H$6,0),""),IFNA(MATCH($B15,'DIVISION 15'!$A$7:$H$7,0),""),IFNA(MATCH($B15,'DIVISION 15'!$A$8:$H$8,0),""),IFNA(MATCH($B15,'DIVISION 15'!$A$9:$H$9,0),""),IFNA(MATCH($B15,'DIVISION 15'!$A$10:$H$10,0),""),IFNA(MATCH($B15,'DIVISION 15'!$A$11:$H$11,0),""),IFNA(MATCH($B15,'DIVISION 15'!$A$12:$H$12,0),""),IFNA(MATCH($B15,'DIVISION 15'!$A$13:$H$13,0),""),IFNA(MATCH($B15,'DIVISION 15'!$A$14:$H$14,0),""),IFNA(MATCH($B15,'DIVISION 15'!$A$15:$H$15,0),""),IFNA(MATCH($B15,'DIVISION 15'!$A$16:$H$16,0),""),IFNA(MATCH($B15,'DIVISION 15'!$A$17:$H$17,0),""),IFNA(MATCH($B15,'DIVISION 15'!$A$18:$H$18,0),""))=7,'DIVISION 15'!$G$1,SUM(IFNA(MATCH($B15,'DIVISION 15'!$A$2:$H$2,0),""),IFNA(MATCH($B15,'DIVISION 15'!$A$3:$H$3,0),""),IFNA(MATCH($B15,'DIVISION 15'!$A$4:$H$4,0),""),IFNA(MATCH($B15,'DIVISION 15'!$A$5:$H$5,0),""),IFNA(MATCH($B15,'DIVISION 15'!$A$6:$H$6,0),""),IFNA(MATCH($B15,'DIVISION 15'!$A$7:$H$7,0),""),IFNA(MATCH($B15,'DIVISION 15'!$A$8:$H$8,0),""),IFNA(MATCH($B15,'DIVISION 15'!$A$9:$H$9,0),""),IFNA(MATCH($B15,'DIVISION 15'!$A$10:$H$10,0),""),IFNA(MATCH($B15,'DIVISION 15'!$A$11:$H$11,0),""),IFNA(MATCH($B15,'DIVISION 15'!$A$12:$H$12,0),""),IFNA(MATCH($B15,'DIVISION 15'!$A$13:$H$13,0),""),IFNA(MATCH($B15,'DIVISION 15'!$A$14:$H$14,0),""),IFNA(MATCH($B15,'DIVISION 15'!$A$15:$H$15,0),""),IFNA(MATCH($B15,'DIVISION 15'!$A$16:$H$16,0),""),IFNA(MATCH($B15,'DIVISION 15'!$A$17:$H$17,0),""),IFNA(MATCH($B15,'DIVISION 15'!$A$18:$H$18,0),""))=8,'DIVISION 15'!$H$1)</f>
        <v>MELU</v>
      </c>
      <c r="U15" s="8" t="str">
        <f t="shared" si="1"/>
        <v>MELU1</v>
      </c>
      <c r="V15" s="9">
        <f>SUMIF(AsistenciaViewJetAdmin!$A$3:$A$101,A15,AsistenciaViewJetAdmin!$C$3:$C$101)/(COUNTIF(AsistenciaViewJetAdmin!$D$102:V$102,"&gt;0")+COUNTIF(ActividadesEspeciales!$D$102:V$102,"&gt;0"))*100</f>
        <v>78.72340426</v>
      </c>
    </row>
    <row r="16" ht="28.5" customHeight="1">
      <c r="A16" s="3">
        <v>215.0</v>
      </c>
      <c r="B16" s="4" t="s">
        <v>154</v>
      </c>
      <c r="C16" s="5">
        <v>955902.0</v>
      </c>
      <c r="D16" s="7" t="s">
        <v>155</v>
      </c>
      <c r="E16" s="5">
        <v>5.0233942E7</v>
      </c>
      <c r="F16" s="5" t="s">
        <v>156</v>
      </c>
      <c r="G16" s="7">
        <v>1.12452918E9</v>
      </c>
      <c r="H16" s="5" t="s">
        <v>157</v>
      </c>
      <c r="I16" s="5" t="s">
        <v>158</v>
      </c>
      <c r="J16" s="7">
        <v>1.164616346E9</v>
      </c>
      <c r="K16" s="5" t="s">
        <v>159</v>
      </c>
      <c r="L16" s="5" t="s">
        <v>160</v>
      </c>
      <c r="M16" s="7">
        <v>1.157290875E9</v>
      </c>
      <c r="N16" s="5" t="s">
        <v>61</v>
      </c>
      <c r="O16" s="5" t="s">
        <v>161</v>
      </c>
      <c r="P16" s="5" t="s">
        <v>53</v>
      </c>
      <c r="Q16" s="5" t="s">
        <v>30</v>
      </c>
      <c r="R16" s="5" t="s">
        <v>31</v>
      </c>
      <c r="S16" s="5" t="s">
        <v>32</v>
      </c>
      <c r="T16" s="8" t="str">
        <f>IFS(SUM(IFNA(MATCH($B16,'DIVISION 15'!$A$2:$H$2,0),""),IFNA(MATCH($B16,'DIVISION 15'!$A$3:$H$3,0),""),IFNA(MATCH($B16,'DIVISION 15'!$A$4:$H$4,0),""),IFNA(MATCH($B16,'DIVISION 15'!$A$5:$H$5,0),""),IFNA(MATCH($B16,'DIVISION 15'!$A$6:$H$6,0),""),IFNA(MATCH($B16,'DIVISION 15'!$A$7:$H$7,0),""),IFNA(MATCH($B16,'DIVISION 15'!$A$8:$H$8,0),""),IFNA(MATCH($B16,'DIVISION 15'!$A$9:$H$9,0),""),IFNA(MATCH($B16,'DIVISION 15'!$A$10:$H$10,0),""),IFNA(MATCH($B16,'DIVISION 15'!$A$11:$H$11,0),""),IFNA(MATCH($B16,'DIVISION 15'!$A$12:$H$12,0),""),IFNA(MATCH($B16,'DIVISION 15'!$A$13:$H$13,0),""),IFNA(MATCH($B16,'DIVISION 15'!$A$14:$H$14,0),""),IFNA(MATCH($B16,'DIVISION 15'!$A$15:$H$15,0),""),IFNA(MATCH($B16,'DIVISION 15'!$A$16:$H$16,0),""),IFNA(MATCH($B16,'DIVISION 15'!$A$17:$H$17,0),""),IFNA(MATCH($B16,'DIVISION 15'!$A$18:$H$18,0),""))=1,'DIVISION 15'!$A$1,SUM(IFNA(MATCH($B16,'DIVISION 15'!$A$2:$H$2,0),""),IFNA(MATCH($B16,'DIVISION 15'!$A$3:$H$3,0),""),IFNA(MATCH($B16,'DIVISION 15'!$A$4:$H$4,0),""),IFNA(MATCH($B16,'DIVISION 15'!$A$5:$H$5,0),""),IFNA(MATCH($B16,'DIVISION 15'!$A$6:$H$6,0),""),IFNA(MATCH($B16,'DIVISION 15'!$A$7:$H$7,0),""),IFNA(MATCH($B16,'DIVISION 15'!$A$8:$H$8,0),""),IFNA(MATCH($B16,'DIVISION 15'!$A$9:$H$9,0),""),IFNA(MATCH($B16,'DIVISION 15'!$A$10:$H$10,0),""),IFNA(MATCH($B16,'DIVISION 15'!$A$11:$H$11,0),""),IFNA(MATCH($B16,'DIVISION 15'!$A$12:$H$12,0),""),IFNA(MATCH($B16,'DIVISION 15'!$A$13:$H$13,0),""),IFNA(MATCH($B16,'DIVISION 15'!$A$14:$H$14,0),""),IFNA(MATCH($B16,'DIVISION 15'!$A$15:$H$15,0),""),IFNA(MATCH($B16,'DIVISION 15'!$A$16:$H$16,0),""),IFNA(MATCH($B16,'DIVISION 15'!$A$17:$H$17,0),""),IFNA(MATCH($B16,'DIVISION 15'!$A$18:$H$18,0),""))=2,'DIVISION 15'!$B$1,SUM(IFNA(MATCH($B16,'DIVISION 15'!$A$2:$H$2,0),""),IFNA(MATCH($B16,'DIVISION 15'!$A$3:$H$3,0),""),IFNA(MATCH($B16,'DIVISION 15'!$A$4:$H$4,0),""),IFNA(MATCH($B16,'DIVISION 15'!$A$5:$H$5,0),""),IFNA(MATCH($B16,'DIVISION 15'!$A$6:$H$6,0),""),IFNA(MATCH($B16,'DIVISION 15'!$A$7:$H$7,0),""),IFNA(MATCH($B16,'DIVISION 15'!$A$8:$H$8,0),""),IFNA(MATCH($B16,'DIVISION 15'!$A$9:$H$9,0),""),IFNA(MATCH($B16,'DIVISION 15'!$A$10:$H$10,0),""),IFNA(MATCH($B16,'DIVISION 15'!$A$11:$H$11,0),""),IFNA(MATCH($B16,'DIVISION 15'!$A$12:$H$12,0),""),IFNA(MATCH($B16,'DIVISION 15'!$A$13:$H$13,0),""),IFNA(MATCH($B16,'DIVISION 15'!$A$14:$H$14,0),""),IFNA(MATCH($B16,'DIVISION 15'!$A$15:$H$15,0),""),IFNA(MATCH($B16,'DIVISION 15'!$A$16:$H$16,0),""),IFNA(MATCH($B16,'DIVISION 15'!$A$17:$H$17,0),""),IFNA(MATCH($B16,'DIVISION 15'!$A$18:$H$18,0),""))=3,'DIVISION 15'!$C$1,SUM(IFNA(MATCH($B16,'DIVISION 15'!$A$2:$H$2,0),""),IFNA(MATCH($B16,'DIVISION 15'!$A$3:$H$3,0),""),IFNA(MATCH($B16,'DIVISION 15'!$A$4:$H$4,0),""),IFNA(MATCH($B16,'DIVISION 15'!$A$5:$H$5,0),""),IFNA(MATCH($B16,'DIVISION 15'!$A$6:$H$6,0),""),IFNA(MATCH($B16,'DIVISION 15'!$A$7:$H$7,0),""),IFNA(MATCH($B16,'DIVISION 15'!$A$8:$H$8,0),""),IFNA(MATCH($B16,'DIVISION 15'!$A$9:$H$9,0),""),IFNA(MATCH($B16,'DIVISION 15'!$A$10:$H$10,0),""),IFNA(MATCH($B16,'DIVISION 15'!$A$11:$H$11,0),""),IFNA(MATCH($B16,'DIVISION 15'!$A$12:$H$12,0),""),IFNA(MATCH($B16,'DIVISION 15'!$A$13:$H$13,0),""),IFNA(MATCH($B16,'DIVISION 15'!$A$14:$H$14,0),""),IFNA(MATCH($B16,'DIVISION 15'!$A$15:$H$15,0),""),IFNA(MATCH($B16,'DIVISION 15'!$A$16:$H$16,0),""),IFNA(MATCH($B16,'DIVISION 15'!$A$17:$H$17,0),""),IFNA(MATCH($B16,'DIVISION 15'!$A$18:$H$18,0),""))=4,'DIVISION 15'!$D$1,SUM(IFNA(MATCH($B16,'DIVISION 15'!$A$2:$H$2,0),""),IFNA(MATCH($B16,'DIVISION 15'!$A$3:$H$3,0),""),IFNA(MATCH($B16,'DIVISION 15'!$A$4:$H$4,0),""),IFNA(MATCH($B16,'DIVISION 15'!$A$5:$H$5,0),""),IFNA(MATCH($B16,'DIVISION 15'!$A$6:$H$6,0),""),IFNA(MATCH($B16,'DIVISION 15'!$A$7:$H$7,0),""),IFNA(MATCH($B16,'DIVISION 15'!$A$8:$H$8,0),""),IFNA(MATCH($B16,'DIVISION 15'!$A$9:$H$9,0),""),IFNA(MATCH($B16,'DIVISION 15'!$A$10:$H$10,0),""),IFNA(MATCH($B16,'DIVISION 15'!$A$11:$H$11,0),""),IFNA(MATCH($B16,'DIVISION 15'!$A$12:$H$12,0),""),IFNA(MATCH($B16,'DIVISION 15'!$A$13:$H$13,0),""),IFNA(MATCH($B16,'DIVISION 15'!$A$14:$H$14,0),""),IFNA(MATCH($B16,'DIVISION 15'!$A$15:$H$15,0),""),IFNA(MATCH($B16,'DIVISION 15'!$A$16:$H$16,0),""),IFNA(MATCH($B16,'DIVISION 15'!$A$17:$H$17,0),""),IFNA(MATCH($B16,'DIVISION 15'!$A$18:$H$18,0),""))=5,'DIVISION 15'!$E$1,SUM(IFNA(MATCH($B16,'DIVISION 15'!$A$2:$H$2,0),""),IFNA(MATCH($B16,'DIVISION 15'!$A$3:$H$3,0),""),IFNA(MATCH($B16,'DIVISION 15'!$A$4:$H$4,0),""),IFNA(MATCH($B16,'DIVISION 15'!$A$5:$H$5,0),""),IFNA(MATCH($B16,'DIVISION 15'!$A$6:$H$6,0),""),IFNA(MATCH($B16,'DIVISION 15'!$A$7:$H$7,0),""),IFNA(MATCH($B16,'DIVISION 15'!$A$8:$H$8,0),""),IFNA(MATCH($B16,'DIVISION 15'!$A$9:$H$9,0),""),IFNA(MATCH($B16,'DIVISION 15'!$A$10:$H$10,0),""),IFNA(MATCH($B16,'DIVISION 15'!$A$11:$H$11,0),""),IFNA(MATCH($B16,'DIVISION 15'!$A$12:$H$12,0),""),IFNA(MATCH($B16,'DIVISION 15'!$A$13:$H$13,0),""),IFNA(MATCH($B16,'DIVISION 15'!$A$14:$H$14,0),""),IFNA(MATCH($B16,'DIVISION 15'!$A$15:$H$15,0),""),IFNA(MATCH($B16,'DIVISION 15'!$A$16:$H$16,0),""),IFNA(MATCH($B16,'DIVISION 15'!$A$17:$H$17,0),""),IFNA(MATCH($B16,'DIVISION 15'!$A$18:$H$18,0),""))=6,'DIVISION 15'!$F$1,SUM(IFNA(MATCH($B16,'DIVISION 15'!$A$2:$H$2,0),""),IFNA(MATCH($B16,'DIVISION 15'!$A$3:$H$3,0),""),IFNA(MATCH($B16,'DIVISION 15'!$A$4:$H$4,0),""),IFNA(MATCH($B16,'DIVISION 15'!$A$5:$H$5,0),""),IFNA(MATCH($B16,'DIVISION 15'!$A$6:$H$6,0),""),IFNA(MATCH($B16,'DIVISION 15'!$A$7:$H$7,0),""),IFNA(MATCH($B16,'DIVISION 15'!$A$8:$H$8,0),""),IFNA(MATCH($B16,'DIVISION 15'!$A$9:$H$9,0),""),IFNA(MATCH($B16,'DIVISION 15'!$A$10:$H$10,0),""),IFNA(MATCH($B16,'DIVISION 15'!$A$11:$H$11,0),""),IFNA(MATCH($B16,'DIVISION 15'!$A$12:$H$12,0),""),IFNA(MATCH($B16,'DIVISION 15'!$A$13:$H$13,0),""),IFNA(MATCH($B16,'DIVISION 15'!$A$14:$H$14,0),""),IFNA(MATCH($B16,'DIVISION 15'!$A$15:$H$15,0),""),IFNA(MATCH($B16,'DIVISION 15'!$A$16:$H$16,0),""),IFNA(MATCH($B16,'DIVISION 15'!$A$17:$H$17,0),""),IFNA(MATCH($B16,'DIVISION 15'!$A$18:$H$18,0),""))=7,'DIVISION 15'!$G$1,SUM(IFNA(MATCH($B16,'DIVISION 15'!$A$2:$H$2,0),""),IFNA(MATCH($B16,'DIVISION 15'!$A$3:$H$3,0),""),IFNA(MATCH($B16,'DIVISION 15'!$A$4:$H$4,0),""),IFNA(MATCH($B16,'DIVISION 15'!$A$5:$H$5,0),""),IFNA(MATCH($B16,'DIVISION 15'!$A$6:$H$6,0),""),IFNA(MATCH($B16,'DIVISION 15'!$A$7:$H$7,0),""),IFNA(MATCH($B16,'DIVISION 15'!$A$8:$H$8,0),""),IFNA(MATCH($B16,'DIVISION 15'!$A$9:$H$9,0),""),IFNA(MATCH($B16,'DIVISION 15'!$A$10:$H$10,0),""),IFNA(MATCH($B16,'DIVISION 15'!$A$11:$H$11,0),""),IFNA(MATCH($B16,'DIVISION 15'!$A$12:$H$12,0),""),IFNA(MATCH($B16,'DIVISION 15'!$A$13:$H$13,0),""),IFNA(MATCH($B16,'DIVISION 15'!$A$14:$H$14,0),""),IFNA(MATCH($B16,'DIVISION 15'!$A$15:$H$15,0),""),IFNA(MATCH($B16,'DIVISION 15'!$A$16:$H$16,0),""),IFNA(MATCH($B16,'DIVISION 15'!$A$17:$H$17,0),""),IFNA(MATCH($B16,'DIVISION 15'!$A$18:$H$18,0),""))=8,'DIVISION 15'!$H$1)</f>
        <v>LULI</v>
      </c>
      <c r="U16" s="8" t="str">
        <f t="shared" si="1"/>
        <v>LULI2</v>
      </c>
      <c r="V16" s="9">
        <f>SUMIF(AsistenciaViewJetAdmin!$A$3:$A$101,A16,AsistenciaViewJetAdmin!$C$3:$C$101)/(COUNTIF(AsistenciaViewJetAdmin!$D$102:V$102,"&gt;0")+COUNTIF(ActividadesEspeciales!$D$102:V$102,"&gt;0"))*100</f>
        <v>83.5106383</v>
      </c>
    </row>
    <row r="17" ht="28.5" customHeight="1">
      <c r="A17" s="3">
        <v>143.0</v>
      </c>
      <c r="B17" s="4" t="s">
        <v>162</v>
      </c>
      <c r="C17" s="5">
        <v>973804.0</v>
      </c>
      <c r="D17" s="7" t="s">
        <v>163</v>
      </c>
      <c r="E17" s="5">
        <v>5.0416932E7</v>
      </c>
      <c r="F17" s="5" t="s">
        <v>164</v>
      </c>
      <c r="G17" s="7">
        <v>1.121572191E9</v>
      </c>
      <c r="H17" s="5" t="s">
        <v>165</v>
      </c>
      <c r="I17" s="5" t="s">
        <v>166</v>
      </c>
      <c r="J17" s="7">
        <v>1.140700708E9</v>
      </c>
      <c r="K17" s="5" t="s">
        <v>167</v>
      </c>
      <c r="L17" s="5" t="s">
        <v>168</v>
      </c>
      <c r="M17" s="7">
        <v>1.14070099E9</v>
      </c>
      <c r="N17" s="5" t="s">
        <v>169</v>
      </c>
      <c r="O17" s="5" t="s">
        <v>120</v>
      </c>
      <c r="P17" s="5" t="s">
        <v>120</v>
      </c>
      <c r="Q17" s="5" t="s">
        <v>74</v>
      </c>
      <c r="R17" s="5"/>
      <c r="S17" s="5" t="s">
        <v>43</v>
      </c>
      <c r="T17" s="8" t="str">
        <f>IFS(SUM(IFNA(MATCH($B17,'DIVISION 15'!$A$2:$H$2,0),""),IFNA(MATCH($B17,'DIVISION 15'!$A$3:$H$3,0),""),IFNA(MATCH($B17,'DIVISION 15'!$A$4:$H$4,0),""),IFNA(MATCH($B17,'DIVISION 15'!$A$5:$H$5,0),""),IFNA(MATCH($B17,'DIVISION 15'!$A$6:$H$6,0),""),IFNA(MATCH($B17,'DIVISION 15'!$A$7:$H$7,0),""),IFNA(MATCH($B17,'DIVISION 15'!$A$8:$H$8,0),""),IFNA(MATCH($B17,'DIVISION 15'!$A$9:$H$9,0),""),IFNA(MATCH($B17,'DIVISION 15'!$A$10:$H$10,0),""),IFNA(MATCH($B17,'DIVISION 15'!$A$11:$H$11,0),""),IFNA(MATCH($B17,'DIVISION 15'!$A$12:$H$12,0),""),IFNA(MATCH($B17,'DIVISION 15'!$A$13:$H$13,0),""),IFNA(MATCH($B17,'DIVISION 15'!$A$14:$H$14,0),""),IFNA(MATCH($B17,'DIVISION 15'!$A$15:$H$15,0),""),IFNA(MATCH($B17,'DIVISION 15'!$A$16:$H$16,0),""),IFNA(MATCH($B17,'DIVISION 15'!$A$17:$H$17,0),""),IFNA(MATCH($B17,'DIVISION 15'!$A$18:$H$18,0),""))=1,'DIVISION 15'!$A$1,SUM(IFNA(MATCH($B17,'DIVISION 15'!$A$2:$H$2,0),""),IFNA(MATCH($B17,'DIVISION 15'!$A$3:$H$3,0),""),IFNA(MATCH($B17,'DIVISION 15'!$A$4:$H$4,0),""),IFNA(MATCH($B17,'DIVISION 15'!$A$5:$H$5,0),""),IFNA(MATCH($B17,'DIVISION 15'!$A$6:$H$6,0),""),IFNA(MATCH($B17,'DIVISION 15'!$A$7:$H$7,0),""),IFNA(MATCH($B17,'DIVISION 15'!$A$8:$H$8,0),""),IFNA(MATCH($B17,'DIVISION 15'!$A$9:$H$9,0),""),IFNA(MATCH($B17,'DIVISION 15'!$A$10:$H$10,0),""),IFNA(MATCH($B17,'DIVISION 15'!$A$11:$H$11,0),""),IFNA(MATCH($B17,'DIVISION 15'!$A$12:$H$12,0),""),IFNA(MATCH($B17,'DIVISION 15'!$A$13:$H$13,0),""),IFNA(MATCH($B17,'DIVISION 15'!$A$14:$H$14,0),""),IFNA(MATCH($B17,'DIVISION 15'!$A$15:$H$15,0),""),IFNA(MATCH($B17,'DIVISION 15'!$A$16:$H$16,0),""),IFNA(MATCH($B17,'DIVISION 15'!$A$17:$H$17,0),""),IFNA(MATCH($B17,'DIVISION 15'!$A$18:$H$18,0),""))=2,'DIVISION 15'!$B$1,SUM(IFNA(MATCH($B17,'DIVISION 15'!$A$2:$H$2,0),""),IFNA(MATCH($B17,'DIVISION 15'!$A$3:$H$3,0),""),IFNA(MATCH($B17,'DIVISION 15'!$A$4:$H$4,0),""),IFNA(MATCH($B17,'DIVISION 15'!$A$5:$H$5,0),""),IFNA(MATCH($B17,'DIVISION 15'!$A$6:$H$6,0),""),IFNA(MATCH($B17,'DIVISION 15'!$A$7:$H$7,0),""),IFNA(MATCH($B17,'DIVISION 15'!$A$8:$H$8,0),""),IFNA(MATCH($B17,'DIVISION 15'!$A$9:$H$9,0),""),IFNA(MATCH($B17,'DIVISION 15'!$A$10:$H$10,0),""),IFNA(MATCH($B17,'DIVISION 15'!$A$11:$H$11,0),""),IFNA(MATCH($B17,'DIVISION 15'!$A$12:$H$12,0),""),IFNA(MATCH($B17,'DIVISION 15'!$A$13:$H$13,0),""),IFNA(MATCH($B17,'DIVISION 15'!$A$14:$H$14,0),""),IFNA(MATCH($B17,'DIVISION 15'!$A$15:$H$15,0),""),IFNA(MATCH($B17,'DIVISION 15'!$A$16:$H$16,0),""),IFNA(MATCH($B17,'DIVISION 15'!$A$17:$H$17,0),""),IFNA(MATCH($B17,'DIVISION 15'!$A$18:$H$18,0),""))=3,'DIVISION 15'!$C$1,SUM(IFNA(MATCH($B17,'DIVISION 15'!$A$2:$H$2,0),""),IFNA(MATCH($B17,'DIVISION 15'!$A$3:$H$3,0),""),IFNA(MATCH($B17,'DIVISION 15'!$A$4:$H$4,0),""),IFNA(MATCH($B17,'DIVISION 15'!$A$5:$H$5,0),""),IFNA(MATCH($B17,'DIVISION 15'!$A$6:$H$6,0),""),IFNA(MATCH($B17,'DIVISION 15'!$A$7:$H$7,0),""),IFNA(MATCH($B17,'DIVISION 15'!$A$8:$H$8,0),""),IFNA(MATCH($B17,'DIVISION 15'!$A$9:$H$9,0),""),IFNA(MATCH($B17,'DIVISION 15'!$A$10:$H$10,0),""),IFNA(MATCH($B17,'DIVISION 15'!$A$11:$H$11,0),""),IFNA(MATCH($B17,'DIVISION 15'!$A$12:$H$12,0),""),IFNA(MATCH($B17,'DIVISION 15'!$A$13:$H$13,0),""),IFNA(MATCH($B17,'DIVISION 15'!$A$14:$H$14,0),""),IFNA(MATCH($B17,'DIVISION 15'!$A$15:$H$15,0),""),IFNA(MATCH($B17,'DIVISION 15'!$A$16:$H$16,0),""),IFNA(MATCH($B17,'DIVISION 15'!$A$17:$H$17,0),""),IFNA(MATCH($B17,'DIVISION 15'!$A$18:$H$18,0),""))=4,'DIVISION 15'!$D$1,SUM(IFNA(MATCH($B17,'DIVISION 15'!$A$2:$H$2,0),""),IFNA(MATCH($B17,'DIVISION 15'!$A$3:$H$3,0),""),IFNA(MATCH($B17,'DIVISION 15'!$A$4:$H$4,0),""),IFNA(MATCH($B17,'DIVISION 15'!$A$5:$H$5,0),""),IFNA(MATCH($B17,'DIVISION 15'!$A$6:$H$6,0),""),IFNA(MATCH($B17,'DIVISION 15'!$A$7:$H$7,0),""),IFNA(MATCH($B17,'DIVISION 15'!$A$8:$H$8,0),""),IFNA(MATCH($B17,'DIVISION 15'!$A$9:$H$9,0),""),IFNA(MATCH($B17,'DIVISION 15'!$A$10:$H$10,0),""),IFNA(MATCH($B17,'DIVISION 15'!$A$11:$H$11,0),""),IFNA(MATCH($B17,'DIVISION 15'!$A$12:$H$12,0),""),IFNA(MATCH($B17,'DIVISION 15'!$A$13:$H$13,0),""),IFNA(MATCH($B17,'DIVISION 15'!$A$14:$H$14,0),""),IFNA(MATCH($B17,'DIVISION 15'!$A$15:$H$15,0),""),IFNA(MATCH($B17,'DIVISION 15'!$A$16:$H$16,0),""),IFNA(MATCH($B17,'DIVISION 15'!$A$17:$H$17,0),""),IFNA(MATCH($B17,'DIVISION 15'!$A$18:$H$18,0),""))=5,'DIVISION 15'!$E$1,SUM(IFNA(MATCH($B17,'DIVISION 15'!$A$2:$H$2,0),""),IFNA(MATCH($B17,'DIVISION 15'!$A$3:$H$3,0),""),IFNA(MATCH($B17,'DIVISION 15'!$A$4:$H$4,0),""),IFNA(MATCH($B17,'DIVISION 15'!$A$5:$H$5,0),""),IFNA(MATCH($B17,'DIVISION 15'!$A$6:$H$6,0),""),IFNA(MATCH($B17,'DIVISION 15'!$A$7:$H$7,0),""),IFNA(MATCH($B17,'DIVISION 15'!$A$8:$H$8,0),""),IFNA(MATCH($B17,'DIVISION 15'!$A$9:$H$9,0),""),IFNA(MATCH($B17,'DIVISION 15'!$A$10:$H$10,0),""),IFNA(MATCH($B17,'DIVISION 15'!$A$11:$H$11,0),""),IFNA(MATCH($B17,'DIVISION 15'!$A$12:$H$12,0),""),IFNA(MATCH($B17,'DIVISION 15'!$A$13:$H$13,0),""),IFNA(MATCH($B17,'DIVISION 15'!$A$14:$H$14,0),""),IFNA(MATCH($B17,'DIVISION 15'!$A$15:$H$15,0),""),IFNA(MATCH($B17,'DIVISION 15'!$A$16:$H$16,0),""),IFNA(MATCH($B17,'DIVISION 15'!$A$17:$H$17,0),""),IFNA(MATCH($B17,'DIVISION 15'!$A$18:$H$18,0),""))=6,'DIVISION 15'!$F$1,SUM(IFNA(MATCH($B17,'DIVISION 15'!$A$2:$H$2,0),""),IFNA(MATCH($B17,'DIVISION 15'!$A$3:$H$3,0),""),IFNA(MATCH($B17,'DIVISION 15'!$A$4:$H$4,0),""),IFNA(MATCH($B17,'DIVISION 15'!$A$5:$H$5,0),""),IFNA(MATCH($B17,'DIVISION 15'!$A$6:$H$6,0),""),IFNA(MATCH($B17,'DIVISION 15'!$A$7:$H$7,0),""),IFNA(MATCH($B17,'DIVISION 15'!$A$8:$H$8,0),""),IFNA(MATCH($B17,'DIVISION 15'!$A$9:$H$9,0),""),IFNA(MATCH($B17,'DIVISION 15'!$A$10:$H$10,0),""),IFNA(MATCH($B17,'DIVISION 15'!$A$11:$H$11,0),""),IFNA(MATCH($B17,'DIVISION 15'!$A$12:$H$12,0),""),IFNA(MATCH($B17,'DIVISION 15'!$A$13:$H$13,0),""),IFNA(MATCH($B17,'DIVISION 15'!$A$14:$H$14,0),""),IFNA(MATCH($B17,'DIVISION 15'!$A$15:$H$15,0),""),IFNA(MATCH($B17,'DIVISION 15'!$A$16:$H$16,0),""),IFNA(MATCH($B17,'DIVISION 15'!$A$17:$H$17,0),""),IFNA(MATCH($B17,'DIVISION 15'!$A$18:$H$18,0),""))=7,'DIVISION 15'!$G$1,SUM(IFNA(MATCH($B17,'DIVISION 15'!$A$2:$H$2,0),""),IFNA(MATCH($B17,'DIVISION 15'!$A$3:$H$3,0),""),IFNA(MATCH($B17,'DIVISION 15'!$A$4:$H$4,0),""),IFNA(MATCH($B17,'DIVISION 15'!$A$5:$H$5,0),""),IFNA(MATCH($B17,'DIVISION 15'!$A$6:$H$6,0),""),IFNA(MATCH($B17,'DIVISION 15'!$A$7:$H$7,0),""),IFNA(MATCH($B17,'DIVISION 15'!$A$8:$H$8,0),""),IFNA(MATCH($B17,'DIVISION 15'!$A$9:$H$9,0),""),IFNA(MATCH($B17,'DIVISION 15'!$A$10:$H$10,0),""),IFNA(MATCH($B17,'DIVISION 15'!$A$11:$H$11,0),""),IFNA(MATCH($B17,'DIVISION 15'!$A$12:$H$12,0),""),IFNA(MATCH($B17,'DIVISION 15'!$A$13:$H$13,0),""),IFNA(MATCH($B17,'DIVISION 15'!$A$14:$H$14,0),""),IFNA(MATCH($B17,'DIVISION 15'!$A$15:$H$15,0),""),IFNA(MATCH($B17,'DIVISION 15'!$A$16:$H$16,0),""),IFNA(MATCH($B17,'DIVISION 15'!$A$17:$H$17,0),""),IFNA(MATCH($B17,'DIVISION 15'!$A$18:$H$18,0),""))=8,'DIVISION 15'!$H$1)</f>
        <v>EITU</v>
      </c>
      <c r="U17" s="8" t="str">
        <f t="shared" si="1"/>
        <v>EITU3</v>
      </c>
      <c r="V17" s="9">
        <f>SUMIF(AsistenciaViewJetAdmin!$A$3:$A$101,A17,AsistenciaViewJetAdmin!$C$3:$C$101)/(COUNTIF(AsistenciaViewJetAdmin!$D$102:V$102,"&gt;0")+COUNTIF(ActividadesEspeciales!$D$102:V$102,"&gt;0"))*100</f>
        <v>77.12765957</v>
      </c>
    </row>
    <row r="18" ht="28.5" customHeight="1">
      <c r="A18" s="3">
        <v>108.0</v>
      </c>
      <c r="B18" s="4" t="s">
        <v>170</v>
      </c>
      <c r="C18" s="5">
        <v>425106.0</v>
      </c>
      <c r="D18" s="7" t="s">
        <v>171</v>
      </c>
      <c r="E18" s="5">
        <v>5.0159469E7</v>
      </c>
      <c r="F18" s="5" t="s">
        <v>172</v>
      </c>
      <c r="G18" s="7">
        <v>1.151234908E9</v>
      </c>
      <c r="H18" s="5" t="s">
        <v>173</v>
      </c>
      <c r="I18" s="5" t="s">
        <v>174</v>
      </c>
      <c r="J18" s="7">
        <v>1.553783426E9</v>
      </c>
      <c r="K18" s="5" t="s">
        <v>175</v>
      </c>
      <c r="L18" s="5" t="s">
        <v>176</v>
      </c>
      <c r="M18" s="7">
        <v>1.540530272E9</v>
      </c>
      <c r="N18" s="5" t="s">
        <v>169</v>
      </c>
      <c r="O18" s="5" t="s">
        <v>177</v>
      </c>
      <c r="P18" s="5" t="s">
        <v>42</v>
      </c>
      <c r="Q18" s="5" t="s">
        <v>74</v>
      </c>
      <c r="R18" s="5" t="s">
        <v>178</v>
      </c>
      <c r="S18" s="5" t="s">
        <v>32</v>
      </c>
      <c r="T18" s="8" t="str">
        <f>IFS(SUM(IFNA(MATCH($B18,'DIVISION 15'!$A$2:$H$2,0),""),IFNA(MATCH($B18,'DIVISION 15'!$A$3:$H$3,0),""),IFNA(MATCH($B18,'DIVISION 15'!$A$4:$H$4,0),""),IFNA(MATCH($B18,'DIVISION 15'!$A$5:$H$5,0),""),IFNA(MATCH($B18,'DIVISION 15'!$A$6:$H$6,0),""),IFNA(MATCH($B18,'DIVISION 15'!$A$7:$H$7,0),""),IFNA(MATCH($B18,'DIVISION 15'!$A$8:$H$8,0),""),IFNA(MATCH($B18,'DIVISION 15'!$A$9:$H$9,0),""),IFNA(MATCH($B18,'DIVISION 15'!$A$10:$H$10,0),""),IFNA(MATCH($B18,'DIVISION 15'!$A$11:$H$11,0),""),IFNA(MATCH($B18,'DIVISION 15'!$A$12:$H$12,0),""),IFNA(MATCH($B18,'DIVISION 15'!$A$13:$H$13,0),""),IFNA(MATCH($B18,'DIVISION 15'!$A$14:$H$14,0),""),IFNA(MATCH($B18,'DIVISION 15'!$A$15:$H$15,0),""),IFNA(MATCH($B18,'DIVISION 15'!$A$16:$H$16,0),""),IFNA(MATCH($B18,'DIVISION 15'!$A$17:$H$17,0),""),IFNA(MATCH($B18,'DIVISION 15'!$A$18:$H$18,0),""))=1,'DIVISION 15'!$A$1,SUM(IFNA(MATCH($B18,'DIVISION 15'!$A$2:$H$2,0),""),IFNA(MATCH($B18,'DIVISION 15'!$A$3:$H$3,0),""),IFNA(MATCH($B18,'DIVISION 15'!$A$4:$H$4,0),""),IFNA(MATCH($B18,'DIVISION 15'!$A$5:$H$5,0),""),IFNA(MATCH($B18,'DIVISION 15'!$A$6:$H$6,0),""),IFNA(MATCH($B18,'DIVISION 15'!$A$7:$H$7,0),""),IFNA(MATCH($B18,'DIVISION 15'!$A$8:$H$8,0),""),IFNA(MATCH($B18,'DIVISION 15'!$A$9:$H$9,0),""),IFNA(MATCH($B18,'DIVISION 15'!$A$10:$H$10,0),""),IFNA(MATCH($B18,'DIVISION 15'!$A$11:$H$11,0),""),IFNA(MATCH($B18,'DIVISION 15'!$A$12:$H$12,0),""),IFNA(MATCH($B18,'DIVISION 15'!$A$13:$H$13,0),""),IFNA(MATCH($B18,'DIVISION 15'!$A$14:$H$14,0),""),IFNA(MATCH($B18,'DIVISION 15'!$A$15:$H$15,0),""),IFNA(MATCH($B18,'DIVISION 15'!$A$16:$H$16,0),""),IFNA(MATCH($B18,'DIVISION 15'!$A$17:$H$17,0),""),IFNA(MATCH($B18,'DIVISION 15'!$A$18:$H$18,0),""))=2,'DIVISION 15'!$B$1,SUM(IFNA(MATCH($B18,'DIVISION 15'!$A$2:$H$2,0),""),IFNA(MATCH($B18,'DIVISION 15'!$A$3:$H$3,0),""),IFNA(MATCH($B18,'DIVISION 15'!$A$4:$H$4,0),""),IFNA(MATCH($B18,'DIVISION 15'!$A$5:$H$5,0),""),IFNA(MATCH($B18,'DIVISION 15'!$A$6:$H$6,0),""),IFNA(MATCH($B18,'DIVISION 15'!$A$7:$H$7,0),""),IFNA(MATCH($B18,'DIVISION 15'!$A$8:$H$8,0),""),IFNA(MATCH($B18,'DIVISION 15'!$A$9:$H$9,0),""),IFNA(MATCH($B18,'DIVISION 15'!$A$10:$H$10,0),""),IFNA(MATCH($B18,'DIVISION 15'!$A$11:$H$11,0),""),IFNA(MATCH($B18,'DIVISION 15'!$A$12:$H$12,0),""),IFNA(MATCH($B18,'DIVISION 15'!$A$13:$H$13,0),""),IFNA(MATCH($B18,'DIVISION 15'!$A$14:$H$14,0),""),IFNA(MATCH($B18,'DIVISION 15'!$A$15:$H$15,0),""),IFNA(MATCH($B18,'DIVISION 15'!$A$16:$H$16,0),""),IFNA(MATCH($B18,'DIVISION 15'!$A$17:$H$17,0),""),IFNA(MATCH($B18,'DIVISION 15'!$A$18:$H$18,0),""))=3,'DIVISION 15'!$C$1,SUM(IFNA(MATCH($B18,'DIVISION 15'!$A$2:$H$2,0),""),IFNA(MATCH($B18,'DIVISION 15'!$A$3:$H$3,0),""),IFNA(MATCH($B18,'DIVISION 15'!$A$4:$H$4,0),""),IFNA(MATCH($B18,'DIVISION 15'!$A$5:$H$5,0),""),IFNA(MATCH($B18,'DIVISION 15'!$A$6:$H$6,0),""),IFNA(MATCH($B18,'DIVISION 15'!$A$7:$H$7,0),""),IFNA(MATCH($B18,'DIVISION 15'!$A$8:$H$8,0),""),IFNA(MATCH($B18,'DIVISION 15'!$A$9:$H$9,0),""),IFNA(MATCH($B18,'DIVISION 15'!$A$10:$H$10,0),""),IFNA(MATCH($B18,'DIVISION 15'!$A$11:$H$11,0),""),IFNA(MATCH($B18,'DIVISION 15'!$A$12:$H$12,0),""),IFNA(MATCH($B18,'DIVISION 15'!$A$13:$H$13,0),""),IFNA(MATCH($B18,'DIVISION 15'!$A$14:$H$14,0),""),IFNA(MATCH($B18,'DIVISION 15'!$A$15:$H$15,0),""),IFNA(MATCH($B18,'DIVISION 15'!$A$16:$H$16,0),""),IFNA(MATCH($B18,'DIVISION 15'!$A$17:$H$17,0),""),IFNA(MATCH($B18,'DIVISION 15'!$A$18:$H$18,0),""))=4,'DIVISION 15'!$D$1,SUM(IFNA(MATCH($B18,'DIVISION 15'!$A$2:$H$2,0),""),IFNA(MATCH($B18,'DIVISION 15'!$A$3:$H$3,0),""),IFNA(MATCH($B18,'DIVISION 15'!$A$4:$H$4,0),""),IFNA(MATCH($B18,'DIVISION 15'!$A$5:$H$5,0),""),IFNA(MATCH($B18,'DIVISION 15'!$A$6:$H$6,0),""),IFNA(MATCH($B18,'DIVISION 15'!$A$7:$H$7,0),""),IFNA(MATCH($B18,'DIVISION 15'!$A$8:$H$8,0),""),IFNA(MATCH($B18,'DIVISION 15'!$A$9:$H$9,0),""),IFNA(MATCH($B18,'DIVISION 15'!$A$10:$H$10,0),""),IFNA(MATCH($B18,'DIVISION 15'!$A$11:$H$11,0),""),IFNA(MATCH($B18,'DIVISION 15'!$A$12:$H$12,0),""),IFNA(MATCH($B18,'DIVISION 15'!$A$13:$H$13,0),""),IFNA(MATCH($B18,'DIVISION 15'!$A$14:$H$14,0),""),IFNA(MATCH($B18,'DIVISION 15'!$A$15:$H$15,0),""),IFNA(MATCH($B18,'DIVISION 15'!$A$16:$H$16,0),""),IFNA(MATCH($B18,'DIVISION 15'!$A$17:$H$17,0),""),IFNA(MATCH($B18,'DIVISION 15'!$A$18:$H$18,0),""))=5,'DIVISION 15'!$E$1,SUM(IFNA(MATCH($B18,'DIVISION 15'!$A$2:$H$2,0),""),IFNA(MATCH($B18,'DIVISION 15'!$A$3:$H$3,0),""),IFNA(MATCH($B18,'DIVISION 15'!$A$4:$H$4,0),""),IFNA(MATCH($B18,'DIVISION 15'!$A$5:$H$5,0),""),IFNA(MATCH($B18,'DIVISION 15'!$A$6:$H$6,0),""),IFNA(MATCH($B18,'DIVISION 15'!$A$7:$H$7,0),""),IFNA(MATCH($B18,'DIVISION 15'!$A$8:$H$8,0),""),IFNA(MATCH($B18,'DIVISION 15'!$A$9:$H$9,0),""),IFNA(MATCH($B18,'DIVISION 15'!$A$10:$H$10,0),""),IFNA(MATCH($B18,'DIVISION 15'!$A$11:$H$11,0),""),IFNA(MATCH($B18,'DIVISION 15'!$A$12:$H$12,0),""),IFNA(MATCH($B18,'DIVISION 15'!$A$13:$H$13,0),""),IFNA(MATCH($B18,'DIVISION 15'!$A$14:$H$14,0),""),IFNA(MATCH($B18,'DIVISION 15'!$A$15:$H$15,0),""),IFNA(MATCH($B18,'DIVISION 15'!$A$16:$H$16,0),""),IFNA(MATCH($B18,'DIVISION 15'!$A$17:$H$17,0),""),IFNA(MATCH($B18,'DIVISION 15'!$A$18:$H$18,0),""))=6,'DIVISION 15'!$F$1,SUM(IFNA(MATCH($B18,'DIVISION 15'!$A$2:$H$2,0),""),IFNA(MATCH($B18,'DIVISION 15'!$A$3:$H$3,0),""),IFNA(MATCH($B18,'DIVISION 15'!$A$4:$H$4,0),""),IFNA(MATCH($B18,'DIVISION 15'!$A$5:$H$5,0),""),IFNA(MATCH($B18,'DIVISION 15'!$A$6:$H$6,0),""),IFNA(MATCH($B18,'DIVISION 15'!$A$7:$H$7,0),""),IFNA(MATCH($B18,'DIVISION 15'!$A$8:$H$8,0),""),IFNA(MATCH($B18,'DIVISION 15'!$A$9:$H$9,0),""),IFNA(MATCH($B18,'DIVISION 15'!$A$10:$H$10,0),""),IFNA(MATCH($B18,'DIVISION 15'!$A$11:$H$11,0),""),IFNA(MATCH($B18,'DIVISION 15'!$A$12:$H$12,0),""),IFNA(MATCH($B18,'DIVISION 15'!$A$13:$H$13,0),""),IFNA(MATCH($B18,'DIVISION 15'!$A$14:$H$14,0),""),IFNA(MATCH($B18,'DIVISION 15'!$A$15:$H$15,0),""),IFNA(MATCH($B18,'DIVISION 15'!$A$16:$H$16,0),""),IFNA(MATCH($B18,'DIVISION 15'!$A$17:$H$17,0),""),IFNA(MATCH($B18,'DIVISION 15'!$A$18:$H$18,0),""))=7,'DIVISION 15'!$G$1,SUM(IFNA(MATCH($B18,'DIVISION 15'!$A$2:$H$2,0),""),IFNA(MATCH($B18,'DIVISION 15'!$A$3:$H$3,0),""),IFNA(MATCH($B18,'DIVISION 15'!$A$4:$H$4,0),""),IFNA(MATCH($B18,'DIVISION 15'!$A$5:$H$5,0),""),IFNA(MATCH($B18,'DIVISION 15'!$A$6:$H$6,0),""),IFNA(MATCH($B18,'DIVISION 15'!$A$7:$H$7,0),""),IFNA(MATCH($B18,'DIVISION 15'!$A$8:$H$8,0),""),IFNA(MATCH($B18,'DIVISION 15'!$A$9:$H$9,0),""),IFNA(MATCH($B18,'DIVISION 15'!$A$10:$H$10,0),""),IFNA(MATCH($B18,'DIVISION 15'!$A$11:$H$11,0),""),IFNA(MATCH($B18,'DIVISION 15'!$A$12:$H$12,0),""),IFNA(MATCH($B18,'DIVISION 15'!$A$13:$H$13,0),""),IFNA(MATCH($B18,'DIVISION 15'!$A$14:$H$14,0),""),IFNA(MATCH($B18,'DIVISION 15'!$A$15:$H$15,0),""),IFNA(MATCH($B18,'DIVISION 15'!$A$16:$H$16,0),""),IFNA(MATCH($B18,'DIVISION 15'!$A$17:$H$17,0),""),IFNA(MATCH($B18,'DIVISION 15'!$A$18:$H$18,0),""))=8,'DIVISION 15'!$H$1)</f>
        <v>GASTI</v>
      </c>
      <c r="U18" s="8" t="str">
        <f t="shared" si="1"/>
        <v>GASTI3</v>
      </c>
      <c r="V18" s="9">
        <f>SUMIF(AsistenciaViewJetAdmin!$A$3:$A$101,A18,AsistenciaViewJetAdmin!$C$3:$C$101)/(COUNTIF(AsistenciaViewJetAdmin!$D$102:V$102,"&gt;0")+COUNTIF(ActividadesEspeciales!$D$102:V$102,"&gt;0"))*100</f>
        <v>85.63829787</v>
      </c>
    </row>
    <row r="19" ht="28.5" customHeight="1">
      <c r="A19" s="3">
        <v>199.0</v>
      </c>
      <c r="B19" s="4" t="s">
        <v>179</v>
      </c>
      <c r="C19" s="5">
        <v>940803.0</v>
      </c>
      <c r="D19" s="7" t="s">
        <v>180</v>
      </c>
      <c r="E19" s="5">
        <v>5.0320535E7</v>
      </c>
      <c r="F19" s="5" t="s">
        <v>181</v>
      </c>
      <c r="G19" s="7">
        <v>1.165901184E9</v>
      </c>
      <c r="H19" s="5" t="s">
        <v>182</v>
      </c>
      <c r="I19" s="5" t="s">
        <v>183</v>
      </c>
      <c r="J19" s="7">
        <v>1.168856344E9</v>
      </c>
      <c r="K19" s="5" t="s">
        <v>184</v>
      </c>
      <c r="L19" s="5" t="s">
        <v>185</v>
      </c>
      <c r="M19" s="7">
        <v>1.168024588E9</v>
      </c>
      <c r="N19" s="5" t="s">
        <v>61</v>
      </c>
      <c r="O19" s="5" t="s">
        <v>120</v>
      </c>
      <c r="P19" s="5" t="s">
        <v>120</v>
      </c>
      <c r="Q19" s="5" t="s">
        <v>30</v>
      </c>
      <c r="R19" s="5" t="s">
        <v>178</v>
      </c>
      <c r="S19" s="5" t="s">
        <v>43</v>
      </c>
      <c r="T19" s="8" t="str">
        <f>IFS(SUM(IFNA(MATCH($B19,'DIVISION 15'!$A$2:$H$2,0),""),IFNA(MATCH($B19,'DIVISION 15'!$A$3:$H$3,0),""),IFNA(MATCH($B19,'DIVISION 15'!$A$4:$H$4,0),""),IFNA(MATCH($B19,'DIVISION 15'!$A$5:$H$5,0),""),IFNA(MATCH($B19,'DIVISION 15'!$A$6:$H$6,0),""),IFNA(MATCH($B19,'DIVISION 15'!$A$7:$H$7,0),""),IFNA(MATCH($B19,'DIVISION 15'!$A$8:$H$8,0),""),IFNA(MATCH($B19,'DIVISION 15'!$A$9:$H$9,0),""),IFNA(MATCH($B19,'DIVISION 15'!$A$10:$H$10,0),""),IFNA(MATCH($B19,'DIVISION 15'!$A$11:$H$11,0),""),IFNA(MATCH($B19,'DIVISION 15'!$A$12:$H$12,0),""),IFNA(MATCH($B19,'DIVISION 15'!$A$13:$H$13,0),""),IFNA(MATCH($B19,'DIVISION 15'!$A$14:$H$14,0),""),IFNA(MATCH($B19,'DIVISION 15'!$A$15:$H$15,0),""),IFNA(MATCH($B19,'DIVISION 15'!$A$16:$H$16,0),""),IFNA(MATCH($B19,'DIVISION 15'!$A$17:$H$17,0),""),IFNA(MATCH($B19,'DIVISION 15'!$A$18:$H$18,0),""))=1,'DIVISION 15'!$A$1,SUM(IFNA(MATCH($B19,'DIVISION 15'!$A$2:$H$2,0),""),IFNA(MATCH($B19,'DIVISION 15'!$A$3:$H$3,0),""),IFNA(MATCH($B19,'DIVISION 15'!$A$4:$H$4,0),""),IFNA(MATCH($B19,'DIVISION 15'!$A$5:$H$5,0),""),IFNA(MATCH($B19,'DIVISION 15'!$A$6:$H$6,0),""),IFNA(MATCH($B19,'DIVISION 15'!$A$7:$H$7,0),""),IFNA(MATCH($B19,'DIVISION 15'!$A$8:$H$8,0),""),IFNA(MATCH($B19,'DIVISION 15'!$A$9:$H$9,0),""),IFNA(MATCH($B19,'DIVISION 15'!$A$10:$H$10,0),""),IFNA(MATCH($B19,'DIVISION 15'!$A$11:$H$11,0),""),IFNA(MATCH($B19,'DIVISION 15'!$A$12:$H$12,0),""),IFNA(MATCH($B19,'DIVISION 15'!$A$13:$H$13,0),""),IFNA(MATCH($B19,'DIVISION 15'!$A$14:$H$14,0),""),IFNA(MATCH($B19,'DIVISION 15'!$A$15:$H$15,0),""),IFNA(MATCH($B19,'DIVISION 15'!$A$16:$H$16,0),""),IFNA(MATCH($B19,'DIVISION 15'!$A$17:$H$17,0),""),IFNA(MATCH($B19,'DIVISION 15'!$A$18:$H$18,0),""))=2,'DIVISION 15'!$B$1,SUM(IFNA(MATCH($B19,'DIVISION 15'!$A$2:$H$2,0),""),IFNA(MATCH($B19,'DIVISION 15'!$A$3:$H$3,0),""),IFNA(MATCH($B19,'DIVISION 15'!$A$4:$H$4,0),""),IFNA(MATCH($B19,'DIVISION 15'!$A$5:$H$5,0),""),IFNA(MATCH($B19,'DIVISION 15'!$A$6:$H$6,0),""),IFNA(MATCH($B19,'DIVISION 15'!$A$7:$H$7,0),""),IFNA(MATCH($B19,'DIVISION 15'!$A$8:$H$8,0),""),IFNA(MATCH($B19,'DIVISION 15'!$A$9:$H$9,0),""),IFNA(MATCH($B19,'DIVISION 15'!$A$10:$H$10,0),""),IFNA(MATCH($B19,'DIVISION 15'!$A$11:$H$11,0),""),IFNA(MATCH($B19,'DIVISION 15'!$A$12:$H$12,0),""),IFNA(MATCH($B19,'DIVISION 15'!$A$13:$H$13,0),""),IFNA(MATCH($B19,'DIVISION 15'!$A$14:$H$14,0),""),IFNA(MATCH($B19,'DIVISION 15'!$A$15:$H$15,0),""),IFNA(MATCH($B19,'DIVISION 15'!$A$16:$H$16,0),""),IFNA(MATCH($B19,'DIVISION 15'!$A$17:$H$17,0),""),IFNA(MATCH($B19,'DIVISION 15'!$A$18:$H$18,0),""))=3,'DIVISION 15'!$C$1,SUM(IFNA(MATCH($B19,'DIVISION 15'!$A$2:$H$2,0),""),IFNA(MATCH($B19,'DIVISION 15'!$A$3:$H$3,0),""),IFNA(MATCH($B19,'DIVISION 15'!$A$4:$H$4,0),""),IFNA(MATCH($B19,'DIVISION 15'!$A$5:$H$5,0),""),IFNA(MATCH($B19,'DIVISION 15'!$A$6:$H$6,0),""),IFNA(MATCH($B19,'DIVISION 15'!$A$7:$H$7,0),""),IFNA(MATCH($B19,'DIVISION 15'!$A$8:$H$8,0),""),IFNA(MATCH($B19,'DIVISION 15'!$A$9:$H$9,0),""),IFNA(MATCH($B19,'DIVISION 15'!$A$10:$H$10,0),""),IFNA(MATCH($B19,'DIVISION 15'!$A$11:$H$11,0),""),IFNA(MATCH($B19,'DIVISION 15'!$A$12:$H$12,0),""),IFNA(MATCH($B19,'DIVISION 15'!$A$13:$H$13,0),""),IFNA(MATCH($B19,'DIVISION 15'!$A$14:$H$14,0),""),IFNA(MATCH($B19,'DIVISION 15'!$A$15:$H$15,0),""),IFNA(MATCH($B19,'DIVISION 15'!$A$16:$H$16,0),""),IFNA(MATCH($B19,'DIVISION 15'!$A$17:$H$17,0),""),IFNA(MATCH($B19,'DIVISION 15'!$A$18:$H$18,0),""))=4,'DIVISION 15'!$D$1,SUM(IFNA(MATCH($B19,'DIVISION 15'!$A$2:$H$2,0),""),IFNA(MATCH($B19,'DIVISION 15'!$A$3:$H$3,0),""),IFNA(MATCH($B19,'DIVISION 15'!$A$4:$H$4,0),""),IFNA(MATCH($B19,'DIVISION 15'!$A$5:$H$5,0),""),IFNA(MATCH($B19,'DIVISION 15'!$A$6:$H$6,0),""),IFNA(MATCH($B19,'DIVISION 15'!$A$7:$H$7,0),""),IFNA(MATCH($B19,'DIVISION 15'!$A$8:$H$8,0),""),IFNA(MATCH($B19,'DIVISION 15'!$A$9:$H$9,0),""),IFNA(MATCH($B19,'DIVISION 15'!$A$10:$H$10,0),""),IFNA(MATCH($B19,'DIVISION 15'!$A$11:$H$11,0),""),IFNA(MATCH($B19,'DIVISION 15'!$A$12:$H$12,0),""),IFNA(MATCH($B19,'DIVISION 15'!$A$13:$H$13,0),""),IFNA(MATCH($B19,'DIVISION 15'!$A$14:$H$14,0),""),IFNA(MATCH($B19,'DIVISION 15'!$A$15:$H$15,0),""),IFNA(MATCH($B19,'DIVISION 15'!$A$16:$H$16,0),""),IFNA(MATCH($B19,'DIVISION 15'!$A$17:$H$17,0),""),IFNA(MATCH($B19,'DIVISION 15'!$A$18:$H$18,0),""))=5,'DIVISION 15'!$E$1,SUM(IFNA(MATCH($B19,'DIVISION 15'!$A$2:$H$2,0),""),IFNA(MATCH($B19,'DIVISION 15'!$A$3:$H$3,0),""),IFNA(MATCH($B19,'DIVISION 15'!$A$4:$H$4,0),""),IFNA(MATCH($B19,'DIVISION 15'!$A$5:$H$5,0),""),IFNA(MATCH($B19,'DIVISION 15'!$A$6:$H$6,0),""),IFNA(MATCH($B19,'DIVISION 15'!$A$7:$H$7,0),""),IFNA(MATCH($B19,'DIVISION 15'!$A$8:$H$8,0),""),IFNA(MATCH($B19,'DIVISION 15'!$A$9:$H$9,0),""),IFNA(MATCH($B19,'DIVISION 15'!$A$10:$H$10,0),""),IFNA(MATCH($B19,'DIVISION 15'!$A$11:$H$11,0),""),IFNA(MATCH($B19,'DIVISION 15'!$A$12:$H$12,0),""),IFNA(MATCH($B19,'DIVISION 15'!$A$13:$H$13,0),""),IFNA(MATCH($B19,'DIVISION 15'!$A$14:$H$14,0),""),IFNA(MATCH($B19,'DIVISION 15'!$A$15:$H$15,0),""),IFNA(MATCH($B19,'DIVISION 15'!$A$16:$H$16,0),""),IFNA(MATCH($B19,'DIVISION 15'!$A$17:$H$17,0),""),IFNA(MATCH($B19,'DIVISION 15'!$A$18:$H$18,0),""))=6,'DIVISION 15'!$F$1,SUM(IFNA(MATCH($B19,'DIVISION 15'!$A$2:$H$2,0),""),IFNA(MATCH($B19,'DIVISION 15'!$A$3:$H$3,0),""),IFNA(MATCH($B19,'DIVISION 15'!$A$4:$H$4,0),""),IFNA(MATCH($B19,'DIVISION 15'!$A$5:$H$5,0),""),IFNA(MATCH($B19,'DIVISION 15'!$A$6:$H$6,0),""),IFNA(MATCH($B19,'DIVISION 15'!$A$7:$H$7,0),""),IFNA(MATCH($B19,'DIVISION 15'!$A$8:$H$8,0),""),IFNA(MATCH($B19,'DIVISION 15'!$A$9:$H$9,0),""),IFNA(MATCH($B19,'DIVISION 15'!$A$10:$H$10,0),""),IFNA(MATCH($B19,'DIVISION 15'!$A$11:$H$11,0),""),IFNA(MATCH($B19,'DIVISION 15'!$A$12:$H$12,0),""),IFNA(MATCH($B19,'DIVISION 15'!$A$13:$H$13,0),""),IFNA(MATCH($B19,'DIVISION 15'!$A$14:$H$14,0),""),IFNA(MATCH($B19,'DIVISION 15'!$A$15:$H$15,0),""),IFNA(MATCH($B19,'DIVISION 15'!$A$16:$H$16,0),""),IFNA(MATCH($B19,'DIVISION 15'!$A$17:$H$17,0),""),IFNA(MATCH($B19,'DIVISION 15'!$A$18:$H$18,0),""))=7,'DIVISION 15'!$G$1,SUM(IFNA(MATCH($B19,'DIVISION 15'!$A$2:$H$2,0),""),IFNA(MATCH($B19,'DIVISION 15'!$A$3:$H$3,0),""),IFNA(MATCH($B19,'DIVISION 15'!$A$4:$H$4,0),""),IFNA(MATCH($B19,'DIVISION 15'!$A$5:$H$5,0),""),IFNA(MATCH($B19,'DIVISION 15'!$A$6:$H$6,0),""),IFNA(MATCH($B19,'DIVISION 15'!$A$7:$H$7,0),""),IFNA(MATCH($B19,'DIVISION 15'!$A$8:$H$8,0),""),IFNA(MATCH($B19,'DIVISION 15'!$A$9:$H$9,0),""),IFNA(MATCH($B19,'DIVISION 15'!$A$10:$H$10,0),""),IFNA(MATCH($B19,'DIVISION 15'!$A$11:$H$11,0),""),IFNA(MATCH($B19,'DIVISION 15'!$A$12:$H$12,0),""),IFNA(MATCH($B19,'DIVISION 15'!$A$13:$H$13,0),""),IFNA(MATCH($B19,'DIVISION 15'!$A$14:$H$14,0),""),IFNA(MATCH($B19,'DIVISION 15'!$A$15:$H$15,0),""),IFNA(MATCH($B19,'DIVISION 15'!$A$16:$H$16,0),""),IFNA(MATCH($B19,'DIVISION 15'!$A$17:$H$17,0),""),IFNA(MATCH($B19,'DIVISION 15'!$A$18:$H$18,0),""))=8,'DIVISION 15'!$H$1)</f>
        <v>DAIU</v>
      </c>
      <c r="U19" s="8" t="str">
        <f t="shared" si="1"/>
        <v>DAIU3</v>
      </c>
      <c r="V19" s="9">
        <f>SUMIF(AsistenciaViewJetAdmin!$A$3:$A$101,A19,AsistenciaViewJetAdmin!$C$3:$C$101)/(COUNTIF(AsistenciaViewJetAdmin!$D$102:V$102,"&gt;0")+COUNTIF(ActividadesEspeciales!$D$102:V$102,"&gt;0"))*100</f>
        <v>88.29787234</v>
      </c>
    </row>
    <row r="20" ht="28.5" customHeight="1">
      <c r="A20" s="3">
        <v>125.0</v>
      </c>
      <c r="B20" s="4" t="s">
        <v>186</v>
      </c>
      <c r="C20" s="5">
        <v>1004503.0</v>
      </c>
      <c r="D20" s="7" t="s">
        <v>187</v>
      </c>
      <c r="E20" s="5">
        <v>4.9437915E7</v>
      </c>
      <c r="F20" s="5" t="s">
        <v>188</v>
      </c>
      <c r="G20" s="7">
        <v>1.127955408E9</v>
      </c>
      <c r="H20" s="5" t="s">
        <v>189</v>
      </c>
      <c r="I20" s="5" t="s">
        <v>190</v>
      </c>
      <c r="J20" s="7">
        <v>1.137938921E9</v>
      </c>
      <c r="K20" s="5" t="s">
        <v>191</v>
      </c>
      <c r="L20" s="5" t="s">
        <v>192</v>
      </c>
      <c r="M20" s="7">
        <v>1.155081526E9</v>
      </c>
      <c r="N20" s="5" t="s">
        <v>51</v>
      </c>
      <c r="O20" s="5" t="s">
        <v>120</v>
      </c>
      <c r="P20" s="5" t="s">
        <v>193</v>
      </c>
      <c r="Q20" s="5" t="s">
        <v>30</v>
      </c>
      <c r="R20" s="5" t="s">
        <v>31</v>
      </c>
      <c r="S20" s="5" t="s">
        <v>32</v>
      </c>
      <c r="T20" s="8" t="str">
        <f>IFS(SUM(IFNA(MATCH($B20,'DIVISION 15'!$A$2:$H$2,0),""),IFNA(MATCH($B20,'DIVISION 15'!$A$3:$H$3,0),""),IFNA(MATCH($B20,'DIVISION 15'!$A$4:$H$4,0),""),IFNA(MATCH($B20,'DIVISION 15'!$A$5:$H$5,0),""),IFNA(MATCH($B20,'DIVISION 15'!$A$6:$H$6,0),""),IFNA(MATCH($B20,'DIVISION 15'!$A$7:$H$7,0),""),IFNA(MATCH($B20,'DIVISION 15'!$A$8:$H$8,0),""),IFNA(MATCH($B20,'DIVISION 15'!$A$9:$H$9,0),""),IFNA(MATCH($B20,'DIVISION 15'!$A$10:$H$10,0),""),IFNA(MATCH($B20,'DIVISION 15'!$A$11:$H$11,0),""),IFNA(MATCH($B20,'DIVISION 15'!$A$12:$H$12,0),""),IFNA(MATCH($B20,'DIVISION 15'!$A$13:$H$13,0),""),IFNA(MATCH($B20,'DIVISION 15'!$A$14:$H$14,0),""),IFNA(MATCH($B20,'DIVISION 15'!$A$15:$H$15,0),""),IFNA(MATCH($B20,'DIVISION 15'!$A$16:$H$16,0),""),IFNA(MATCH($B20,'DIVISION 15'!$A$17:$H$17,0),""),IFNA(MATCH($B20,'DIVISION 15'!$A$18:$H$18,0),""))=1,'DIVISION 15'!$A$1,SUM(IFNA(MATCH($B20,'DIVISION 15'!$A$2:$H$2,0),""),IFNA(MATCH($B20,'DIVISION 15'!$A$3:$H$3,0),""),IFNA(MATCH($B20,'DIVISION 15'!$A$4:$H$4,0),""),IFNA(MATCH($B20,'DIVISION 15'!$A$5:$H$5,0),""),IFNA(MATCH($B20,'DIVISION 15'!$A$6:$H$6,0),""),IFNA(MATCH($B20,'DIVISION 15'!$A$7:$H$7,0),""),IFNA(MATCH($B20,'DIVISION 15'!$A$8:$H$8,0),""),IFNA(MATCH($B20,'DIVISION 15'!$A$9:$H$9,0),""),IFNA(MATCH($B20,'DIVISION 15'!$A$10:$H$10,0),""),IFNA(MATCH($B20,'DIVISION 15'!$A$11:$H$11,0),""),IFNA(MATCH($B20,'DIVISION 15'!$A$12:$H$12,0),""),IFNA(MATCH($B20,'DIVISION 15'!$A$13:$H$13,0),""),IFNA(MATCH($B20,'DIVISION 15'!$A$14:$H$14,0),""),IFNA(MATCH($B20,'DIVISION 15'!$A$15:$H$15,0),""),IFNA(MATCH($B20,'DIVISION 15'!$A$16:$H$16,0),""),IFNA(MATCH($B20,'DIVISION 15'!$A$17:$H$17,0),""),IFNA(MATCH($B20,'DIVISION 15'!$A$18:$H$18,0),""))=2,'DIVISION 15'!$B$1,SUM(IFNA(MATCH($B20,'DIVISION 15'!$A$2:$H$2,0),""),IFNA(MATCH($B20,'DIVISION 15'!$A$3:$H$3,0),""),IFNA(MATCH($B20,'DIVISION 15'!$A$4:$H$4,0),""),IFNA(MATCH($B20,'DIVISION 15'!$A$5:$H$5,0),""),IFNA(MATCH($B20,'DIVISION 15'!$A$6:$H$6,0),""),IFNA(MATCH($B20,'DIVISION 15'!$A$7:$H$7,0),""),IFNA(MATCH($B20,'DIVISION 15'!$A$8:$H$8,0),""),IFNA(MATCH($B20,'DIVISION 15'!$A$9:$H$9,0),""),IFNA(MATCH($B20,'DIVISION 15'!$A$10:$H$10,0),""),IFNA(MATCH($B20,'DIVISION 15'!$A$11:$H$11,0),""),IFNA(MATCH($B20,'DIVISION 15'!$A$12:$H$12,0),""),IFNA(MATCH($B20,'DIVISION 15'!$A$13:$H$13,0),""),IFNA(MATCH($B20,'DIVISION 15'!$A$14:$H$14,0),""),IFNA(MATCH($B20,'DIVISION 15'!$A$15:$H$15,0),""),IFNA(MATCH($B20,'DIVISION 15'!$A$16:$H$16,0),""),IFNA(MATCH($B20,'DIVISION 15'!$A$17:$H$17,0),""),IFNA(MATCH($B20,'DIVISION 15'!$A$18:$H$18,0),""))=3,'DIVISION 15'!$C$1,SUM(IFNA(MATCH($B20,'DIVISION 15'!$A$2:$H$2,0),""),IFNA(MATCH($B20,'DIVISION 15'!$A$3:$H$3,0),""),IFNA(MATCH($B20,'DIVISION 15'!$A$4:$H$4,0),""),IFNA(MATCH($B20,'DIVISION 15'!$A$5:$H$5,0),""),IFNA(MATCH($B20,'DIVISION 15'!$A$6:$H$6,0),""),IFNA(MATCH($B20,'DIVISION 15'!$A$7:$H$7,0),""),IFNA(MATCH($B20,'DIVISION 15'!$A$8:$H$8,0),""),IFNA(MATCH($B20,'DIVISION 15'!$A$9:$H$9,0),""),IFNA(MATCH($B20,'DIVISION 15'!$A$10:$H$10,0),""),IFNA(MATCH($B20,'DIVISION 15'!$A$11:$H$11,0),""),IFNA(MATCH($B20,'DIVISION 15'!$A$12:$H$12,0),""),IFNA(MATCH($B20,'DIVISION 15'!$A$13:$H$13,0),""),IFNA(MATCH($B20,'DIVISION 15'!$A$14:$H$14,0),""),IFNA(MATCH($B20,'DIVISION 15'!$A$15:$H$15,0),""),IFNA(MATCH($B20,'DIVISION 15'!$A$16:$H$16,0),""),IFNA(MATCH($B20,'DIVISION 15'!$A$17:$H$17,0),""),IFNA(MATCH($B20,'DIVISION 15'!$A$18:$H$18,0),""))=4,'DIVISION 15'!$D$1,SUM(IFNA(MATCH($B20,'DIVISION 15'!$A$2:$H$2,0),""),IFNA(MATCH($B20,'DIVISION 15'!$A$3:$H$3,0),""),IFNA(MATCH($B20,'DIVISION 15'!$A$4:$H$4,0),""),IFNA(MATCH($B20,'DIVISION 15'!$A$5:$H$5,0),""),IFNA(MATCH($B20,'DIVISION 15'!$A$6:$H$6,0),""),IFNA(MATCH($B20,'DIVISION 15'!$A$7:$H$7,0),""),IFNA(MATCH($B20,'DIVISION 15'!$A$8:$H$8,0),""),IFNA(MATCH($B20,'DIVISION 15'!$A$9:$H$9,0),""),IFNA(MATCH($B20,'DIVISION 15'!$A$10:$H$10,0),""),IFNA(MATCH($B20,'DIVISION 15'!$A$11:$H$11,0),""),IFNA(MATCH($B20,'DIVISION 15'!$A$12:$H$12,0),""),IFNA(MATCH($B20,'DIVISION 15'!$A$13:$H$13,0),""),IFNA(MATCH($B20,'DIVISION 15'!$A$14:$H$14,0),""),IFNA(MATCH($B20,'DIVISION 15'!$A$15:$H$15,0),""),IFNA(MATCH($B20,'DIVISION 15'!$A$16:$H$16,0),""),IFNA(MATCH($B20,'DIVISION 15'!$A$17:$H$17,0),""),IFNA(MATCH($B20,'DIVISION 15'!$A$18:$H$18,0),""))=5,'DIVISION 15'!$E$1,SUM(IFNA(MATCH($B20,'DIVISION 15'!$A$2:$H$2,0),""),IFNA(MATCH($B20,'DIVISION 15'!$A$3:$H$3,0),""),IFNA(MATCH($B20,'DIVISION 15'!$A$4:$H$4,0),""),IFNA(MATCH($B20,'DIVISION 15'!$A$5:$H$5,0),""),IFNA(MATCH($B20,'DIVISION 15'!$A$6:$H$6,0),""),IFNA(MATCH($B20,'DIVISION 15'!$A$7:$H$7,0),""),IFNA(MATCH($B20,'DIVISION 15'!$A$8:$H$8,0),""),IFNA(MATCH($B20,'DIVISION 15'!$A$9:$H$9,0),""),IFNA(MATCH($B20,'DIVISION 15'!$A$10:$H$10,0),""),IFNA(MATCH($B20,'DIVISION 15'!$A$11:$H$11,0),""),IFNA(MATCH($B20,'DIVISION 15'!$A$12:$H$12,0),""),IFNA(MATCH($B20,'DIVISION 15'!$A$13:$H$13,0),""),IFNA(MATCH($B20,'DIVISION 15'!$A$14:$H$14,0),""),IFNA(MATCH($B20,'DIVISION 15'!$A$15:$H$15,0),""),IFNA(MATCH($B20,'DIVISION 15'!$A$16:$H$16,0),""),IFNA(MATCH($B20,'DIVISION 15'!$A$17:$H$17,0),""),IFNA(MATCH($B20,'DIVISION 15'!$A$18:$H$18,0),""))=6,'DIVISION 15'!$F$1,SUM(IFNA(MATCH($B20,'DIVISION 15'!$A$2:$H$2,0),""),IFNA(MATCH($B20,'DIVISION 15'!$A$3:$H$3,0),""),IFNA(MATCH($B20,'DIVISION 15'!$A$4:$H$4,0),""),IFNA(MATCH($B20,'DIVISION 15'!$A$5:$H$5,0),""),IFNA(MATCH($B20,'DIVISION 15'!$A$6:$H$6,0),""),IFNA(MATCH($B20,'DIVISION 15'!$A$7:$H$7,0),""),IFNA(MATCH($B20,'DIVISION 15'!$A$8:$H$8,0),""),IFNA(MATCH($B20,'DIVISION 15'!$A$9:$H$9,0),""),IFNA(MATCH($B20,'DIVISION 15'!$A$10:$H$10,0),""),IFNA(MATCH($B20,'DIVISION 15'!$A$11:$H$11,0),""),IFNA(MATCH($B20,'DIVISION 15'!$A$12:$H$12,0),""),IFNA(MATCH($B20,'DIVISION 15'!$A$13:$H$13,0),""),IFNA(MATCH($B20,'DIVISION 15'!$A$14:$H$14,0),""),IFNA(MATCH($B20,'DIVISION 15'!$A$15:$H$15,0),""),IFNA(MATCH($B20,'DIVISION 15'!$A$16:$H$16,0),""),IFNA(MATCH($B20,'DIVISION 15'!$A$17:$H$17,0),""),IFNA(MATCH($B20,'DIVISION 15'!$A$18:$H$18,0),""))=7,'DIVISION 15'!$G$1,SUM(IFNA(MATCH($B20,'DIVISION 15'!$A$2:$H$2,0),""),IFNA(MATCH($B20,'DIVISION 15'!$A$3:$H$3,0),""),IFNA(MATCH($B20,'DIVISION 15'!$A$4:$H$4,0),""),IFNA(MATCH($B20,'DIVISION 15'!$A$5:$H$5,0),""),IFNA(MATCH($B20,'DIVISION 15'!$A$6:$H$6,0),""),IFNA(MATCH($B20,'DIVISION 15'!$A$7:$H$7,0),""),IFNA(MATCH($B20,'DIVISION 15'!$A$8:$H$8,0),""),IFNA(MATCH($B20,'DIVISION 15'!$A$9:$H$9,0),""),IFNA(MATCH($B20,'DIVISION 15'!$A$10:$H$10,0),""),IFNA(MATCH($B20,'DIVISION 15'!$A$11:$H$11,0),""),IFNA(MATCH($B20,'DIVISION 15'!$A$12:$H$12,0),""),IFNA(MATCH($B20,'DIVISION 15'!$A$13:$H$13,0),""),IFNA(MATCH($B20,'DIVISION 15'!$A$14:$H$14,0),""),IFNA(MATCH($B20,'DIVISION 15'!$A$15:$H$15,0),""),IFNA(MATCH($B20,'DIVISION 15'!$A$16:$H$16,0),""),IFNA(MATCH($B20,'DIVISION 15'!$A$17:$H$17,0),""),IFNA(MATCH($B20,'DIVISION 15'!$A$18:$H$18,0),""))=8,'DIVISION 15'!$H$1)</f>
        <v>LULI</v>
      </c>
      <c r="U20" s="8" t="str">
        <f t="shared" si="1"/>
        <v>LULI3</v>
      </c>
      <c r="V20" s="9">
        <f>SUMIF(AsistenciaViewJetAdmin!$A$3:$A$101,A20,AsistenciaViewJetAdmin!$C$3:$C$101)/(COUNTIF(AsistenciaViewJetAdmin!$D$102:V$102,"&gt;0")+COUNTIF(ActividadesEspeciales!$D$102:V$102,"&gt;0"))*100</f>
        <v>88.29787234</v>
      </c>
    </row>
    <row r="21" ht="28.5" customHeight="1">
      <c r="A21" s="3">
        <v>212.0</v>
      </c>
      <c r="B21" s="4" t="s">
        <v>194</v>
      </c>
      <c r="C21" s="5">
        <v>1019802.0</v>
      </c>
      <c r="D21" s="7" t="s">
        <v>195</v>
      </c>
      <c r="E21" s="5">
        <v>5.0233907E7</v>
      </c>
      <c r="F21" s="5" t="s">
        <v>196</v>
      </c>
      <c r="G21" s="7">
        <v>1.151405121E9</v>
      </c>
      <c r="H21" s="5" t="s">
        <v>197</v>
      </c>
      <c r="I21" s="5" t="s">
        <v>198</v>
      </c>
      <c r="J21" s="7">
        <v>1.155066161E9</v>
      </c>
      <c r="K21" s="5" t="s">
        <v>199</v>
      </c>
      <c r="L21" s="5" t="s">
        <v>200</v>
      </c>
      <c r="M21" s="7">
        <v>1.149144576E9</v>
      </c>
      <c r="N21" s="5" t="s">
        <v>201</v>
      </c>
      <c r="O21" s="5" t="s">
        <v>202</v>
      </c>
      <c r="P21" s="5" t="s">
        <v>203</v>
      </c>
      <c r="Q21" s="5" t="s">
        <v>74</v>
      </c>
      <c r="R21" s="5" t="s">
        <v>31</v>
      </c>
      <c r="S21" s="5" t="s">
        <v>43</v>
      </c>
      <c r="T21" s="8" t="str">
        <f>IFS(SUM(IFNA(MATCH($B21,'DIVISION 15'!$A$2:$H$2,0),""),IFNA(MATCH($B21,'DIVISION 15'!$A$3:$H$3,0),""),IFNA(MATCH($B21,'DIVISION 15'!$A$4:$H$4,0),""),IFNA(MATCH($B21,'DIVISION 15'!$A$5:$H$5,0),""),IFNA(MATCH($B21,'DIVISION 15'!$A$6:$H$6,0),""),IFNA(MATCH($B21,'DIVISION 15'!$A$7:$H$7,0),""),IFNA(MATCH($B21,'DIVISION 15'!$A$8:$H$8,0),""),IFNA(MATCH($B21,'DIVISION 15'!$A$9:$H$9,0),""),IFNA(MATCH($B21,'DIVISION 15'!$A$10:$H$10,0),""),IFNA(MATCH($B21,'DIVISION 15'!$A$11:$H$11,0),""),IFNA(MATCH($B21,'DIVISION 15'!$A$12:$H$12,0),""),IFNA(MATCH($B21,'DIVISION 15'!$A$13:$H$13,0),""),IFNA(MATCH($B21,'DIVISION 15'!$A$14:$H$14,0),""),IFNA(MATCH($B21,'DIVISION 15'!$A$15:$H$15,0),""),IFNA(MATCH($B21,'DIVISION 15'!$A$16:$H$16,0),""),IFNA(MATCH($B21,'DIVISION 15'!$A$17:$H$17,0),""),IFNA(MATCH($B21,'DIVISION 15'!$A$18:$H$18,0),""))=1,'DIVISION 15'!$A$1,SUM(IFNA(MATCH($B21,'DIVISION 15'!$A$2:$H$2,0),""),IFNA(MATCH($B21,'DIVISION 15'!$A$3:$H$3,0),""),IFNA(MATCH($B21,'DIVISION 15'!$A$4:$H$4,0),""),IFNA(MATCH($B21,'DIVISION 15'!$A$5:$H$5,0),""),IFNA(MATCH($B21,'DIVISION 15'!$A$6:$H$6,0),""),IFNA(MATCH($B21,'DIVISION 15'!$A$7:$H$7,0),""),IFNA(MATCH($B21,'DIVISION 15'!$A$8:$H$8,0),""),IFNA(MATCH($B21,'DIVISION 15'!$A$9:$H$9,0),""),IFNA(MATCH($B21,'DIVISION 15'!$A$10:$H$10,0),""),IFNA(MATCH($B21,'DIVISION 15'!$A$11:$H$11,0),""),IFNA(MATCH($B21,'DIVISION 15'!$A$12:$H$12,0),""),IFNA(MATCH($B21,'DIVISION 15'!$A$13:$H$13,0),""),IFNA(MATCH($B21,'DIVISION 15'!$A$14:$H$14,0),""),IFNA(MATCH($B21,'DIVISION 15'!$A$15:$H$15,0),""),IFNA(MATCH($B21,'DIVISION 15'!$A$16:$H$16,0),""),IFNA(MATCH($B21,'DIVISION 15'!$A$17:$H$17,0),""),IFNA(MATCH($B21,'DIVISION 15'!$A$18:$H$18,0),""))=2,'DIVISION 15'!$B$1,SUM(IFNA(MATCH($B21,'DIVISION 15'!$A$2:$H$2,0),""),IFNA(MATCH($B21,'DIVISION 15'!$A$3:$H$3,0),""),IFNA(MATCH($B21,'DIVISION 15'!$A$4:$H$4,0),""),IFNA(MATCH($B21,'DIVISION 15'!$A$5:$H$5,0),""),IFNA(MATCH($B21,'DIVISION 15'!$A$6:$H$6,0),""),IFNA(MATCH($B21,'DIVISION 15'!$A$7:$H$7,0),""),IFNA(MATCH($B21,'DIVISION 15'!$A$8:$H$8,0),""),IFNA(MATCH($B21,'DIVISION 15'!$A$9:$H$9,0),""),IFNA(MATCH($B21,'DIVISION 15'!$A$10:$H$10,0),""),IFNA(MATCH($B21,'DIVISION 15'!$A$11:$H$11,0),""),IFNA(MATCH($B21,'DIVISION 15'!$A$12:$H$12,0),""),IFNA(MATCH($B21,'DIVISION 15'!$A$13:$H$13,0),""),IFNA(MATCH($B21,'DIVISION 15'!$A$14:$H$14,0),""),IFNA(MATCH($B21,'DIVISION 15'!$A$15:$H$15,0),""),IFNA(MATCH($B21,'DIVISION 15'!$A$16:$H$16,0),""),IFNA(MATCH($B21,'DIVISION 15'!$A$17:$H$17,0),""),IFNA(MATCH($B21,'DIVISION 15'!$A$18:$H$18,0),""))=3,'DIVISION 15'!$C$1,SUM(IFNA(MATCH($B21,'DIVISION 15'!$A$2:$H$2,0),""),IFNA(MATCH($B21,'DIVISION 15'!$A$3:$H$3,0),""),IFNA(MATCH($B21,'DIVISION 15'!$A$4:$H$4,0),""),IFNA(MATCH($B21,'DIVISION 15'!$A$5:$H$5,0),""),IFNA(MATCH($B21,'DIVISION 15'!$A$6:$H$6,0),""),IFNA(MATCH($B21,'DIVISION 15'!$A$7:$H$7,0),""),IFNA(MATCH($B21,'DIVISION 15'!$A$8:$H$8,0),""),IFNA(MATCH($B21,'DIVISION 15'!$A$9:$H$9,0),""),IFNA(MATCH($B21,'DIVISION 15'!$A$10:$H$10,0),""),IFNA(MATCH($B21,'DIVISION 15'!$A$11:$H$11,0),""),IFNA(MATCH($B21,'DIVISION 15'!$A$12:$H$12,0),""),IFNA(MATCH($B21,'DIVISION 15'!$A$13:$H$13,0),""),IFNA(MATCH($B21,'DIVISION 15'!$A$14:$H$14,0),""),IFNA(MATCH($B21,'DIVISION 15'!$A$15:$H$15,0),""),IFNA(MATCH($B21,'DIVISION 15'!$A$16:$H$16,0),""),IFNA(MATCH($B21,'DIVISION 15'!$A$17:$H$17,0),""),IFNA(MATCH($B21,'DIVISION 15'!$A$18:$H$18,0),""))=4,'DIVISION 15'!$D$1,SUM(IFNA(MATCH($B21,'DIVISION 15'!$A$2:$H$2,0),""),IFNA(MATCH($B21,'DIVISION 15'!$A$3:$H$3,0),""),IFNA(MATCH($B21,'DIVISION 15'!$A$4:$H$4,0),""),IFNA(MATCH($B21,'DIVISION 15'!$A$5:$H$5,0),""),IFNA(MATCH($B21,'DIVISION 15'!$A$6:$H$6,0),""),IFNA(MATCH($B21,'DIVISION 15'!$A$7:$H$7,0),""),IFNA(MATCH($B21,'DIVISION 15'!$A$8:$H$8,0),""),IFNA(MATCH($B21,'DIVISION 15'!$A$9:$H$9,0),""),IFNA(MATCH($B21,'DIVISION 15'!$A$10:$H$10,0),""),IFNA(MATCH($B21,'DIVISION 15'!$A$11:$H$11,0),""),IFNA(MATCH($B21,'DIVISION 15'!$A$12:$H$12,0),""),IFNA(MATCH($B21,'DIVISION 15'!$A$13:$H$13,0),""),IFNA(MATCH($B21,'DIVISION 15'!$A$14:$H$14,0),""),IFNA(MATCH($B21,'DIVISION 15'!$A$15:$H$15,0),""),IFNA(MATCH($B21,'DIVISION 15'!$A$16:$H$16,0),""),IFNA(MATCH($B21,'DIVISION 15'!$A$17:$H$17,0),""),IFNA(MATCH($B21,'DIVISION 15'!$A$18:$H$18,0),""))=5,'DIVISION 15'!$E$1,SUM(IFNA(MATCH($B21,'DIVISION 15'!$A$2:$H$2,0),""),IFNA(MATCH($B21,'DIVISION 15'!$A$3:$H$3,0),""),IFNA(MATCH($B21,'DIVISION 15'!$A$4:$H$4,0),""),IFNA(MATCH($B21,'DIVISION 15'!$A$5:$H$5,0),""),IFNA(MATCH($B21,'DIVISION 15'!$A$6:$H$6,0),""),IFNA(MATCH($B21,'DIVISION 15'!$A$7:$H$7,0),""),IFNA(MATCH($B21,'DIVISION 15'!$A$8:$H$8,0),""),IFNA(MATCH($B21,'DIVISION 15'!$A$9:$H$9,0),""),IFNA(MATCH($B21,'DIVISION 15'!$A$10:$H$10,0),""),IFNA(MATCH($B21,'DIVISION 15'!$A$11:$H$11,0),""),IFNA(MATCH($B21,'DIVISION 15'!$A$12:$H$12,0),""),IFNA(MATCH($B21,'DIVISION 15'!$A$13:$H$13,0),""),IFNA(MATCH($B21,'DIVISION 15'!$A$14:$H$14,0),""),IFNA(MATCH($B21,'DIVISION 15'!$A$15:$H$15,0),""),IFNA(MATCH($B21,'DIVISION 15'!$A$16:$H$16,0),""),IFNA(MATCH($B21,'DIVISION 15'!$A$17:$H$17,0),""),IFNA(MATCH($B21,'DIVISION 15'!$A$18:$H$18,0),""))=6,'DIVISION 15'!$F$1,SUM(IFNA(MATCH($B21,'DIVISION 15'!$A$2:$H$2,0),""),IFNA(MATCH($B21,'DIVISION 15'!$A$3:$H$3,0),""),IFNA(MATCH($B21,'DIVISION 15'!$A$4:$H$4,0),""),IFNA(MATCH($B21,'DIVISION 15'!$A$5:$H$5,0),""),IFNA(MATCH($B21,'DIVISION 15'!$A$6:$H$6,0),""),IFNA(MATCH($B21,'DIVISION 15'!$A$7:$H$7,0),""),IFNA(MATCH($B21,'DIVISION 15'!$A$8:$H$8,0),""),IFNA(MATCH($B21,'DIVISION 15'!$A$9:$H$9,0),""),IFNA(MATCH($B21,'DIVISION 15'!$A$10:$H$10,0),""),IFNA(MATCH($B21,'DIVISION 15'!$A$11:$H$11,0),""),IFNA(MATCH($B21,'DIVISION 15'!$A$12:$H$12,0),""),IFNA(MATCH($B21,'DIVISION 15'!$A$13:$H$13,0),""),IFNA(MATCH($B21,'DIVISION 15'!$A$14:$H$14,0),""),IFNA(MATCH($B21,'DIVISION 15'!$A$15:$H$15,0),""),IFNA(MATCH($B21,'DIVISION 15'!$A$16:$H$16,0),""),IFNA(MATCH($B21,'DIVISION 15'!$A$17:$H$17,0),""),IFNA(MATCH($B21,'DIVISION 15'!$A$18:$H$18,0),""))=7,'DIVISION 15'!$G$1,SUM(IFNA(MATCH($B21,'DIVISION 15'!$A$2:$H$2,0),""),IFNA(MATCH($B21,'DIVISION 15'!$A$3:$H$3,0),""),IFNA(MATCH($B21,'DIVISION 15'!$A$4:$H$4,0),""),IFNA(MATCH($B21,'DIVISION 15'!$A$5:$H$5,0),""),IFNA(MATCH($B21,'DIVISION 15'!$A$6:$H$6,0),""),IFNA(MATCH($B21,'DIVISION 15'!$A$7:$H$7,0),""),IFNA(MATCH($B21,'DIVISION 15'!$A$8:$H$8,0),""),IFNA(MATCH($B21,'DIVISION 15'!$A$9:$H$9,0),""),IFNA(MATCH($B21,'DIVISION 15'!$A$10:$H$10,0),""),IFNA(MATCH($B21,'DIVISION 15'!$A$11:$H$11,0),""),IFNA(MATCH($B21,'DIVISION 15'!$A$12:$H$12,0),""),IFNA(MATCH($B21,'DIVISION 15'!$A$13:$H$13,0),""),IFNA(MATCH($B21,'DIVISION 15'!$A$14:$H$14,0),""),IFNA(MATCH($B21,'DIVISION 15'!$A$15:$H$15,0),""),IFNA(MATCH($B21,'DIVISION 15'!$A$16:$H$16,0),""),IFNA(MATCH($B21,'DIVISION 15'!$A$17:$H$17,0),""),IFNA(MATCH($B21,'DIVISION 15'!$A$18:$H$18,0),""))=8,'DIVISION 15'!$H$1)</f>
        <v>EITU</v>
      </c>
      <c r="U21" s="8" t="str">
        <f t="shared" si="1"/>
        <v>EITU4</v>
      </c>
      <c r="V21" s="9">
        <f>SUMIF(AsistenciaViewJetAdmin!$A$3:$A$101,A21,AsistenciaViewJetAdmin!$C$3:$C$101)/(COUNTIF(AsistenciaViewJetAdmin!$D$102:V$102,"&gt;0")+COUNTIF(ActividadesEspeciales!$D$102:V$102,"&gt;0"))*100</f>
        <v>69.14893617</v>
      </c>
    </row>
    <row r="22" ht="28.5" customHeight="1">
      <c r="A22" s="3">
        <v>142.0</v>
      </c>
      <c r="B22" s="4" t="s">
        <v>204</v>
      </c>
      <c r="C22" s="5">
        <v>1137502.0</v>
      </c>
      <c r="D22" s="6">
        <v>39824.0</v>
      </c>
      <c r="E22" s="5">
        <v>4.9836499E7</v>
      </c>
      <c r="F22" s="5" t="s">
        <v>205</v>
      </c>
      <c r="G22" s="7">
        <v>1.128505242E9</v>
      </c>
      <c r="H22" s="5" t="s">
        <v>206</v>
      </c>
      <c r="I22" s="5" t="s">
        <v>207</v>
      </c>
      <c r="J22" s="7">
        <v>1.132519557E9</v>
      </c>
      <c r="K22" s="5" t="s">
        <v>208</v>
      </c>
      <c r="L22" s="5" t="s">
        <v>209</v>
      </c>
      <c r="M22" s="7">
        <v>1.158827737E9</v>
      </c>
      <c r="N22" s="5" t="s">
        <v>61</v>
      </c>
      <c r="O22" s="5" t="s">
        <v>210</v>
      </c>
      <c r="P22" s="5" t="s">
        <v>136</v>
      </c>
      <c r="Q22" s="5" t="s">
        <v>74</v>
      </c>
      <c r="R22" s="5" t="s">
        <v>31</v>
      </c>
      <c r="S22" s="5" t="s">
        <v>43</v>
      </c>
      <c r="T22" s="8" t="str">
        <f>IFS(SUM(IFNA(MATCH($B22,'DIVISION 15'!$A$2:$H$2,0),""),IFNA(MATCH($B22,'DIVISION 15'!$A$3:$H$3,0),""),IFNA(MATCH($B22,'DIVISION 15'!$A$4:$H$4,0),""),IFNA(MATCH($B22,'DIVISION 15'!$A$5:$H$5,0),""),IFNA(MATCH($B22,'DIVISION 15'!$A$6:$H$6,0),""),IFNA(MATCH($B22,'DIVISION 15'!$A$7:$H$7,0),""),IFNA(MATCH($B22,'DIVISION 15'!$A$8:$H$8,0),""),IFNA(MATCH($B22,'DIVISION 15'!$A$9:$H$9,0),""),IFNA(MATCH($B22,'DIVISION 15'!$A$10:$H$10,0),""),IFNA(MATCH($B22,'DIVISION 15'!$A$11:$H$11,0),""),IFNA(MATCH($B22,'DIVISION 15'!$A$12:$H$12,0),""),IFNA(MATCH($B22,'DIVISION 15'!$A$13:$H$13,0),""),IFNA(MATCH($B22,'DIVISION 15'!$A$14:$H$14,0),""),IFNA(MATCH($B22,'DIVISION 15'!$A$15:$H$15,0),""),IFNA(MATCH($B22,'DIVISION 15'!$A$16:$H$16,0),""),IFNA(MATCH($B22,'DIVISION 15'!$A$17:$H$17,0),""),IFNA(MATCH($B22,'DIVISION 15'!$A$18:$H$18,0),""))=1,'DIVISION 15'!$A$1,SUM(IFNA(MATCH($B22,'DIVISION 15'!$A$2:$H$2,0),""),IFNA(MATCH($B22,'DIVISION 15'!$A$3:$H$3,0),""),IFNA(MATCH($B22,'DIVISION 15'!$A$4:$H$4,0),""),IFNA(MATCH($B22,'DIVISION 15'!$A$5:$H$5,0),""),IFNA(MATCH($B22,'DIVISION 15'!$A$6:$H$6,0),""),IFNA(MATCH($B22,'DIVISION 15'!$A$7:$H$7,0),""),IFNA(MATCH($B22,'DIVISION 15'!$A$8:$H$8,0),""),IFNA(MATCH($B22,'DIVISION 15'!$A$9:$H$9,0),""),IFNA(MATCH($B22,'DIVISION 15'!$A$10:$H$10,0),""),IFNA(MATCH($B22,'DIVISION 15'!$A$11:$H$11,0),""),IFNA(MATCH($B22,'DIVISION 15'!$A$12:$H$12,0),""),IFNA(MATCH($B22,'DIVISION 15'!$A$13:$H$13,0),""),IFNA(MATCH($B22,'DIVISION 15'!$A$14:$H$14,0),""),IFNA(MATCH($B22,'DIVISION 15'!$A$15:$H$15,0),""),IFNA(MATCH($B22,'DIVISION 15'!$A$16:$H$16,0),""),IFNA(MATCH($B22,'DIVISION 15'!$A$17:$H$17,0),""),IFNA(MATCH($B22,'DIVISION 15'!$A$18:$H$18,0),""))=2,'DIVISION 15'!$B$1,SUM(IFNA(MATCH($B22,'DIVISION 15'!$A$2:$H$2,0),""),IFNA(MATCH($B22,'DIVISION 15'!$A$3:$H$3,0),""),IFNA(MATCH($B22,'DIVISION 15'!$A$4:$H$4,0),""),IFNA(MATCH($B22,'DIVISION 15'!$A$5:$H$5,0),""),IFNA(MATCH($B22,'DIVISION 15'!$A$6:$H$6,0),""),IFNA(MATCH($B22,'DIVISION 15'!$A$7:$H$7,0),""),IFNA(MATCH($B22,'DIVISION 15'!$A$8:$H$8,0),""),IFNA(MATCH($B22,'DIVISION 15'!$A$9:$H$9,0),""),IFNA(MATCH($B22,'DIVISION 15'!$A$10:$H$10,0),""),IFNA(MATCH($B22,'DIVISION 15'!$A$11:$H$11,0),""),IFNA(MATCH($B22,'DIVISION 15'!$A$12:$H$12,0),""),IFNA(MATCH($B22,'DIVISION 15'!$A$13:$H$13,0),""),IFNA(MATCH($B22,'DIVISION 15'!$A$14:$H$14,0),""),IFNA(MATCH($B22,'DIVISION 15'!$A$15:$H$15,0),""),IFNA(MATCH($B22,'DIVISION 15'!$A$16:$H$16,0),""),IFNA(MATCH($B22,'DIVISION 15'!$A$17:$H$17,0),""),IFNA(MATCH($B22,'DIVISION 15'!$A$18:$H$18,0),""))=3,'DIVISION 15'!$C$1,SUM(IFNA(MATCH($B22,'DIVISION 15'!$A$2:$H$2,0),""),IFNA(MATCH($B22,'DIVISION 15'!$A$3:$H$3,0),""),IFNA(MATCH($B22,'DIVISION 15'!$A$4:$H$4,0),""),IFNA(MATCH($B22,'DIVISION 15'!$A$5:$H$5,0),""),IFNA(MATCH($B22,'DIVISION 15'!$A$6:$H$6,0),""),IFNA(MATCH($B22,'DIVISION 15'!$A$7:$H$7,0),""),IFNA(MATCH($B22,'DIVISION 15'!$A$8:$H$8,0),""),IFNA(MATCH($B22,'DIVISION 15'!$A$9:$H$9,0),""),IFNA(MATCH($B22,'DIVISION 15'!$A$10:$H$10,0),""),IFNA(MATCH($B22,'DIVISION 15'!$A$11:$H$11,0),""),IFNA(MATCH($B22,'DIVISION 15'!$A$12:$H$12,0),""),IFNA(MATCH($B22,'DIVISION 15'!$A$13:$H$13,0),""),IFNA(MATCH($B22,'DIVISION 15'!$A$14:$H$14,0),""),IFNA(MATCH($B22,'DIVISION 15'!$A$15:$H$15,0),""),IFNA(MATCH($B22,'DIVISION 15'!$A$16:$H$16,0),""),IFNA(MATCH($B22,'DIVISION 15'!$A$17:$H$17,0),""),IFNA(MATCH($B22,'DIVISION 15'!$A$18:$H$18,0),""))=4,'DIVISION 15'!$D$1,SUM(IFNA(MATCH($B22,'DIVISION 15'!$A$2:$H$2,0),""),IFNA(MATCH($B22,'DIVISION 15'!$A$3:$H$3,0),""),IFNA(MATCH($B22,'DIVISION 15'!$A$4:$H$4,0),""),IFNA(MATCH($B22,'DIVISION 15'!$A$5:$H$5,0),""),IFNA(MATCH($B22,'DIVISION 15'!$A$6:$H$6,0),""),IFNA(MATCH($B22,'DIVISION 15'!$A$7:$H$7,0),""),IFNA(MATCH($B22,'DIVISION 15'!$A$8:$H$8,0),""),IFNA(MATCH($B22,'DIVISION 15'!$A$9:$H$9,0),""),IFNA(MATCH($B22,'DIVISION 15'!$A$10:$H$10,0),""),IFNA(MATCH($B22,'DIVISION 15'!$A$11:$H$11,0),""),IFNA(MATCH($B22,'DIVISION 15'!$A$12:$H$12,0),""),IFNA(MATCH($B22,'DIVISION 15'!$A$13:$H$13,0),""),IFNA(MATCH($B22,'DIVISION 15'!$A$14:$H$14,0),""),IFNA(MATCH($B22,'DIVISION 15'!$A$15:$H$15,0),""),IFNA(MATCH($B22,'DIVISION 15'!$A$16:$H$16,0),""),IFNA(MATCH($B22,'DIVISION 15'!$A$17:$H$17,0),""),IFNA(MATCH($B22,'DIVISION 15'!$A$18:$H$18,0),""))=5,'DIVISION 15'!$E$1,SUM(IFNA(MATCH($B22,'DIVISION 15'!$A$2:$H$2,0),""),IFNA(MATCH($B22,'DIVISION 15'!$A$3:$H$3,0),""),IFNA(MATCH($B22,'DIVISION 15'!$A$4:$H$4,0),""),IFNA(MATCH($B22,'DIVISION 15'!$A$5:$H$5,0),""),IFNA(MATCH($B22,'DIVISION 15'!$A$6:$H$6,0),""),IFNA(MATCH($B22,'DIVISION 15'!$A$7:$H$7,0),""),IFNA(MATCH($B22,'DIVISION 15'!$A$8:$H$8,0),""),IFNA(MATCH($B22,'DIVISION 15'!$A$9:$H$9,0),""),IFNA(MATCH($B22,'DIVISION 15'!$A$10:$H$10,0),""),IFNA(MATCH($B22,'DIVISION 15'!$A$11:$H$11,0),""),IFNA(MATCH($B22,'DIVISION 15'!$A$12:$H$12,0),""),IFNA(MATCH($B22,'DIVISION 15'!$A$13:$H$13,0),""),IFNA(MATCH($B22,'DIVISION 15'!$A$14:$H$14,0),""),IFNA(MATCH($B22,'DIVISION 15'!$A$15:$H$15,0),""),IFNA(MATCH($B22,'DIVISION 15'!$A$16:$H$16,0),""),IFNA(MATCH($B22,'DIVISION 15'!$A$17:$H$17,0),""),IFNA(MATCH($B22,'DIVISION 15'!$A$18:$H$18,0),""))=6,'DIVISION 15'!$F$1,SUM(IFNA(MATCH($B22,'DIVISION 15'!$A$2:$H$2,0),""),IFNA(MATCH($B22,'DIVISION 15'!$A$3:$H$3,0),""),IFNA(MATCH($B22,'DIVISION 15'!$A$4:$H$4,0),""),IFNA(MATCH($B22,'DIVISION 15'!$A$5:$H$5,0),""),IFNA(MATCH($B22,'DIVISION 15'!$A$6:$H$6,0),""),IFNA(MATCH($B22,'DIVISION 15'!$A$7:$H$7,0),""),IFNA(MATCH($B22,'DIVISION 15'!$A$8:$H$8,0),""),IFNA(MATCH($B22,'DIVISION 15'!$A$9:$H$9,0),""),IFNA(MATCH($B22,'DIVISION 15'!$A$10:$H$10,0),""),IFNA(MATCH($B22,'DIVISION 15'!$A$11:$H$11,0),""),IFNA(MATCH($B22,'DIVISION 15'!$A$12:$H$12,0),""),IFNA(MATCH($B22,'DIVISION 15'!$A$13:$H$13,0),""),IFNA(MATCH($B22,'DIVISION 15'!$A$14:$H$14,0),""),IFNA(MATCH($B22,'DIVISION 15'!$A$15:$H$15,0),""),IFNA(MATCH($B22,'DIVISION 15'!$A$16:$H$16,0),""),IFNA(MATCH($B22,'DIVISION 15'!$A$17:$H$17,0),""),IFNA(MATCH($B22,'DIVISION 15'!$A$18:$H$18,0),""))=7,'DIVISION 15'!$G$1,SUM(IFNA(MATCH($B22,'DIVISION 15'!$A$2:$H$2,0),""),IFNA(MATCH($B22,'DIVISION 15'!$A$3:$H$3,0),""),IFNA(MATCH($B22,'DIVISION 15'!$A$4:$H$4,0),""),IFNA(MATCH($B22,'DIVISION 15'!$A$5:$H$5,0),""),IFNA(MATCH($B22,'DIVISION 15'!$A$6:$H$6,0),""),IFNA(MATCH($B22,'DIVISION 15'!$A$7:$H$7,0),""),IFNA(MATCH($B22,'DIVISION 15'!$A$8:$H$8,0),""),IFNA(MATCH($B22,'DIVISION 15'!$A$9:$H$9,0),""),IFNA(MATCH($B22,'DIVISION 15'!$A$10:$H$10,0),""),IFNA(MATCH($B22,'DIVISION 15'!$A$11:$H$11,0),""),IFNA(MATCH($B22,'DIVISION 15'!$A$12:$H$12,0),""),IFNA(MATCH($B22,'DIVISION 15'!$A$13:$H$13,0),""),IFNA(MATCH($B22,'DIVISION 15'!$A$14:$H$14,0),""),IFNA(MATCH($B22,'DIVISION 15'!$A$15:$H$15,0),""),IFNA(MATCH($B22,'DIVISION 15'!$A$16:$H$16,0),""),IFNA(MATCH($B22,'DIVISION 15'!$A$17:$H$17,0),""),IFNA(MATCH($B22,'DIVISION 15'!$A$18:$H$18,0),""))=8,'DIVISION 15'!$H$1)</f>
        <v>DAIU</v>
      </c>
      <c r="U22" s="8" t="str">
        <f t="shared" si="1"/>
        <v>DAIU4</v>
      </c>
      <c r="V22" s="9">
        <f>SUMIF(AsistenciaViewJetAdmin!$A$3:$A$101,A22,AsistenciaViewJetAdmin!$C$3:$C$101)/(COUNTIF(AsistenciaViewJetAdmin!$D$102:V$102,"&gt;0")+COUNTIF(ActividadesEspeciales!$D$102:V$102,"&gt;0"))*100</f>
        <v>51.59574468</v>
      </c>
    </row>
    <row r="23" ht="28.5" customHeight="1">
      <c r="A23" s="3">
        <v>205.0</v>
      </c>
      <c r="B23" s="4" t="s">
        <v>211</v>
      </c>
      <c r="C23" s="5">
        <v>1033702.0</v>
      </c>
      <c r="D23" s="7" t="s">
        <v>212</v>
      </c>
      <c r="E23" s="5">
        <v>5.0235076E7</v>
      </c>
      <c r="F23" s="5" t="s">
        <v>213</v>
      </c>
      <c r="G23" s="7">
        <v>1.127093547E9</v>
      </c>
      <c r="H23" s="5" t="s">
        <v>214</v>
      </c>
      <c r="I23" s="5" t="s">
        <v>215</v>
      </c>
      <c r="J23" s="7" t="s">
        <v>216</v>
      </c>
      <c r="K23" s="5" t="s">
        <v>217</v>
      </c>
      <c r="L23" s="5" t="s">
        <v>218</v>
      </c>
      <c r="M23" s="7" t="s">
        <v>219</v>
      </c>
      <c r="N23" s="5" t="s">
        <v>220</v>
      </c>
      <c r="O23" s="5" t="s">
        <v>221</v>
      </c>
      <c r="P23" s="5" t="s">
        <v>53</v>
      </c>
      <c r="Q23" s="5" t="s">
        <v>30</v>
      </c>
      <c r="R23" s="5" t="s">
        <v>87</v>
      </c>
      <c r="S23" s="5" t="s">
        <v>32</v>
      </c>
      <c r="T23" s="8" t="str">
        <f>IFS(SUM(IFNA(MATCH($B23,'DIVISION 15'!$A$2:$H$2,0),""),IFNA(MATCH($B23,'DIVISION 15'!$A$3:$H$3,0),""),IFNA(MATCH($B23,'DIVISION 15'!$A$4:$H$4,0),""),IFNA(MATCH($B23,'DIVISION 15'!$A$5:$H$5,0),""),IFNA(MATCH($B23,'DIVISION 15'!$A$6:$H$6,0),""),IFNA(MATCH($B23,'DIVISION 15'!$A$7:$H$7,0),""),IFNA(MATCH($B23,'DIVISION 15'!$A$8:$H$8,0),""),IFNA(MATCH($B23,'DIVISION 15'!$A$9:$H$9,0),""),IFNA(MATCH($B23,'DIVISION 15'!$A$10:$H$10,0),""),IFNA(MATCH($B23,'DIVISION 15'!$A$11:$H$11,0),""),IFNA(MATCH($B23,'DIVISION 15'!$A$12:$H$12,0),""),IFNA(MATCH($B23,'DIVISION 15'!$A$13:$H$13,0),""),IFNA(MATCH($B23,'DIVISION 15'!$A$14:$H$14,0),""),IFNA(MATCH($B23,'DIVISION 15'!$A$15:$H$15,0),""),IFNA(MATCH($B23,'DIVISION 15'!$A$16:$H$16,0),""),IFNA(MATCH($B23,'DIVISION 15'!$A$17:$H$17,0),""),IFNA(MATCH($B23,'DIVISION 15'!$A$18:$H$18,0),""))=1,'DIVISION 15'!$A$1,SUM(IFNA(MATCH($B23,'DIVISION 15'!$A$2:$H$2,0),""),IFNA(MATCH($B23,'DIVISION 15'!$A$3:$H$3,0),""),IFNA(MATCH($B23,'DIVISION 15'!$A$4:$H$4,0),""),IFNA(MATCH($B23,'DIVISION 15'!$A$5:$H$5,0),""),IFNA(MATCH($B23,'DIVISION 15'!$A$6:$H$6,0),""),IFNA(MATCH($B23,'DIVISION 15'!$A$7:$H$7,0),""),IFNA(MATCH($B23,'DIVISION 15'!$A$8:$H$8,0),""),IFNA(MATCH($B23,'DIVISION 15'!$A$9:$H$9,0),""),IFNA(MATCH($B23,'DIVISION 15'!$A$10:$H$10,0),""),IFNA(MATCH($B23,'DIVISION 15'!$A$11:$H$11,0),""),IFNA(MATCH($B23,'DIVISION 15'!$A$12:$H$12,0),""),IFNA(MATCH($B23,'DIVISION 15'!$A$13:$H$13,0),""),IFNA(MATCH($B23,'DIVISION 15'!$A$14:$H$14,0),""),IFNA(MATCH($B23,'DIVISION 15'!$A$15:$H$15,0),""),IFNA(MATCH($B23,'DIVISION 15'!$A$16:$H$16,0),""),IFNA(MATCH($B23,'DIVISION 15'!$A$17:$H$17,0),""),IFNA(MATCH($B23,'DIVISION 15'!$A$18:$H$18,0),""))=2,'DIVISION 15'!$B$1,SUM(IFNA(MATCH($B23,'DIVISION 15'!$A$2:$H$2,0),""),IFNA(MATCH($B23,'DIVISION 15'!$A$3:$H$3,0),""),IFNA(MATCH($B23,'DIVISION 15'!$A$4:$H$4,0),""),IFNA(MATCH($B23,'DIVISION 15'!$A$5:$H$5,0),""),IFNA(MATCH($B23,'DIVISION 15'!$A$6:$H$6,0),""),IFNA(MATCH($B23,'DIVISION 15'!$A$7:$H$7,0),""),IFNA(MATCH($B23,'DIVISION 15'!$A$8:$H$8,0),""),IFNA(MATCH($B23,'DIVISION 15'!$A$9:$H$9,0),""),IFNA(MATCH($B23,'DIVISION 15'!$A$10:$H$10,0),""),IFNA(MATCH($B23,'DIVISION 15'!$A$11:$H$11,0),""),IFNA(MATCH($B23,'DIVISION 15'!$A$12:$H$12,0),""),IFNA(MATCH($B23,'DIVISION 15'!$A$13:$H$13,0),""),IFNA(MATCH($B23,'DIVISION 15'!$A$14:$H$14,0),""),IFNA(MATCH($B23,'DIVISION 15'!$A$15:$H$15,0),""),IFNA(MATCH($B23,'DIVISION 15'!$A$16:$H$16,0),""),IFNA(MATCH($B23,'DIVISION 15'!$A$17:$H$17,0),""),IFNA(MATCH($B23,'DIVISION 15'!$A$18:$H$18,0),""))=3,'DIVISION 15'!$C$1,SUM(IFNA(MATCH($B23,'DIVISION 15'!$A$2:$H$2,0),""),IFNA(MATCH($B23,'DIVISION 15'!$A$3:$H$3,0),""),IFNA(MATCH($B23,'DIVISION 15'!$A$4:$H$4,0),""),IFNA(MATCH($B23,'DIVISION 15'!$A$5:$H$5,0),""),IFNA(MATCH($B23,'DIVISION 15'!$A$6:$H$6,0),""),IFNA(MATCH($B23,'DIVISION 15'!$A$7:$H$7,0),""),IFNA(MATCH($B23,'DIVISION 15'!$A$8:$H$8,0),""),IFNA(MATCH($B23,'DIVISION 15'!$A$9:$H$9,0),""),IFNA(MATCH($B23,'DIVISION 15'!$A$10:$H$10,0),""),IFNA(MATCH($B23,'DIVISION 15'!$A$11:$H$11,0),""),IFNA(MATCH($B23,'DIVISION 15'!$A$12:$H$12,0),""),IFNA(MATCH($B23,'DIVISION 15'!$A$13:$H$13,0),""),IFNA(MATCH($B23,'DIVISION 15'!$A$14:$H$14,0),""),IFNA(MATCH($B23,'DIVISION 15'!$A$15:$H$15,0),""),IFNA(MATCH($B23,'DIVISION 15'!$A$16:$H$16,0),""),IFNA(MATCH($B23,'DIVISION 15'!$A$17:$H$17,0),""),IFNA(MATCH($B23,'DIVISION 15'!$A$18:$H$18,0),""))=4,'DIVISION 15'!$D$1,SUM(IFNA(MATCH($B23,'DIVISION 15'!$A$2:$H$2,0),""),IFNA(MATCH($B23,'DIVISION 15'!$A$3:$H$3,0),""),IFNA(MATCH($B23,'DIVISION 15'!$A$4:$H$4,0),""),IFNA(MATCH($B23,'DIVISION 15'!$A$5:$H$5,0),""),IFNA(MATCH($B23,'DIVISION 15'!$A$6:$H$6,0),""),IFNA(MATCH($B23,'DIVISION 15'!$A$7:$H$7,0),""),IFNA(MATCH($B23,'DIVISION 15'!$A$8:$H$8,0),""),IFNA(MATCH($B23,'DIVISION 15'!$A$9:$H$9,0),""),IFNA(MATCH($B23,'DIVISION 15'!$A$10:$H$10,0),""),IFNA(MATCH($B23,'DIVISION 15'!$A$11:$H$11,0),""),IFNA(MATCH($B23,'DIVISION 15'!$A$12:$H$12,0),""),IFNA(MATCH($B23,'DIVISION 15'!$A$13:$H$13,0),""),IFNA(MATCH($B23,'DIVISION 15'!$A$14:$H$14,0),""),IFNA(MATCH($B23,'DIVISION 15'!$A$15:$H$15,0),""),IFNA(MATCH($B23,'DIVISION 15'!$A$16:$H$16,0),""),IFNA(MATCH($B23,'DIVISION 15'!$A$17:$H$17,0),""),IFNA(MATCH($B23,'DIVISION 15'!$A$18:$H$18,0),""))=5,'DIVISION 15'!$E$1,SUM(IFNA(MATCH($B23,'DIVISION 15'!$A$2:$H$2,0),""),IFNA(MATCH($B23,'DIVISION 15'!$A$3:$H$3,0),""),IFNA(MATCH($B23,'DIVISION 15'!$A$4:$H$4,0),""),IFNA(MATCH($B23,'DIVISION 15'!$A$5:$H$5,0),""),IFNA(MATCH($B23,'DIVISION 15'!$A$6:$H$6,0),""),IFNA(MATCH($B23,'DIVISION 15'!$A$7:$H$7,0),""),IFNA(MATCH($B23,'DIVISION 15'!$A$8:$H$8,0),""),IFNA(MATCH($B23,'DIVISION 15'!$A$9:$H$9,0),""),IFNA(MATCH($B23,'DIVISION 15'!$A$10:$H$10,0),""),IFNA(MATCH($B23,'DIVISION 15'!$A$11:$H$11,0),""),IFNA(MATCH($B23,'DIVISION 15'!$A$12:$H$12,0),""),IFNA(MATCH($B23,'DIVISION 15'!$A$13:$H$13,0),""),IFNA(MATCH($B23,'DIVISION 15'!$A$14:$H$14,0),""),IFNA(MATCH($B23,'DIVISION 15'!$A$15:$H$15,0),""),IFNA(MATCH($B23,'DIVISION 15'!$A$16:$H$16,0),""),IFNA(MATCH($B23,'DIVISION 15'!$A$17:$H$17,0),""),IFNA(MATCH($B23,'DIVISION 15'!$A$18:$H$18,0),""))=6,'DIVISION 15'!$F$1,SUM(IFNA(MATCH($B23,'DIVISION 15'!$A$2:$H$2,0),""),IFNA(MATCH($B23,'DIVISION 15'!$A$3:$H$3,0),""),IFNA(MATCH($B23,'DIVISION 15'!$A$4:$H$4,0),""),IFNA(MATCH($B23,'DIVISION 15'!$A$5:$H$5,0),""),IFNA(MATCH($B23,'DIVISION 15'!$A$6:$H$6,0),""),IFNA(MATCH($B23,'DIVISION 15'!$A$7:$H$7,0),""),IFNA(MATCH($B23,'DIVISION 15'!$A$8:$H$8,0),""),IFNA(MATCH($B23,'DIVISION 15'!$A$9:$H$9,0),""),IFNA(MATCH($B23,'DIVISION 15'!$A$10:$H$10,0),""),IFNA(MATCH($B23,'DIVISION 15'!$A$11:$H$11,0),""),IFNA(MATCH($B23,'DIVISION 15'!$A$12:$H$12,0),""),IFNA(MATCH($B23,'DIVISION 15'!$A$13:$H$13,0),""),IFNA(MATCH($B23,'DIVISION 15'!$A$14:$H$14,0),""),IFNA(MATCH($B23,'DIVISION 15'!$A$15:$H$15,0),""),IFNA(MATCH($B23,'DIVISION 15'!$A$16:$H$16,0),""),IFNA(MATCH($B23,'DIVISION 15'!$A$17:$H$17,0),""),IFNA(MATCH($B23,'DIVISION 15'!$A$18:$H$18,0),""))=7,'DIVISION 15'!$G$1,SUM(IFNA(MATCH($B23,'DIVISION 15'!$A$2:$H$2,0),""),IFNA(MATCH($B23,'DIVISION 15'!$A$3:$H$3,0),""),IFNA(MATCH($B23,'DIVISION 15'!$A$4:$H$4,0),""),IFNA(MATCH($B23,'DIVISION 15'!$A$5:$H$5,0),""),IFNA(MATCH($B23,'DIVISION 15'!$A$6:$H$6,0),""),IFNA(MATCH($B23,'DIVISION 15'!$A$7:$H$7,0),""),IFNA(MATCH($B23,'DIVISION 15'!$A$8:$H$8,0),""),IFNA(MATCH($B23,'DIVISION 15'!$A$9:$H$9,0),""),IFNA(MATCH($B23,'DIVISION 15'!$A$10:$H$10,0),""),IFNA(MATCH($B23,'DIVISION 15'!$A$11:$H$11,0),""),IFNA(MATCH($B23,'DIVISION 15'!$A$12:$H$12,0),""),IFNA(MATCH($B23,'DIVISION 15'!$A$13:$H$13,0),""),IFNA(MATCH($B23,'DIVISION 15'!$A$14:$H$14,0),""),IFNA(MATCH($B23,'DIVISION 15'!$A$15:$H$15,0),""),IFNA(MATCH($B23,'DIVISION 15'!$A$16:$H$16,0),""),IFNA(MATCH($B23,'DIVISION 15'!$A$17:$H$17,0),""),IFNA(MATCH($B23,'DIVISION 15'!$A$18:$H$18,0),""))=8,'DIVISION 15'!$H$1)</f>
        <v>MELU</v>
      </c>
      <c r="U23" s="8" t="str">
        <f t="shared" si="1"/>
        <v>MELU2</v>
      </c>
      <c r="V23" s="9">
        <f>SUMIF(AsistenciaViewJetAdmin!$A$3:$A$101,A23,AsistenciaViewJetAdmin!$C$3:$C$101)/(COUNTIF(AsistenciaViewJetAdmin!$D$102:V$102,"&gt;0")+COUNTIF(ActividadesEspeciales!$D$102:V$102,"&gt;0"))*100</f>
        <v>80.31914894</v>
      </c>
    </row>
    <row r="24" ht="28.5" customHeight="1">
      <c r="A24" s="3">
        <v>202.0</v>
      </c>
      <c r="B24" s="4" t="s">
        <v>222</v>
      </c>
      <c r="C24" s="5">
        <v>9946.0</v>
      </c>
      <c r="D24" s="7" t="s">
        <v>223</v>
      </c>
      <c r="E24" s="5">
        <v>4.9703283E7</v>
      </c>
      <c r="F24" s="5" t="s">
        <v>224</v>
      </c>
      <c r="G24" s="7">
        <v>3.8261502E7</v>
      </c>
      <c r="H24" s="5" t="s">
        <v>225</v>
      </c>
      <c r="I24" s="5" t="s">
        <v>226</v>
      </c>
      <c r="J24" s="7" t="s">
        <v>227</v>
      </c>
      <c r="K24" s="5" t="s">
        <v>228</v>
      </c>
      <c r="L24" s="5" t="s">
        <v>229</v>
      </c>
      <c r="M24" s="7" t="s">
        <v>230</v>
      </c>
      <c r="N24" s="5" t="s">
        <v>231</v>
      </c>
      <c r="O24" s="5" t="s">
        <v>96</v>
      </c>
      <c r="P24" s="5" t="s">
        <v>104</v>
      </c>
      <c r="Q24" s="5" t="s">
        <v>30</v>
      </c>
      <c r="R24" s="5" t="s">
        <v>31</v>
      </c>
      <c r="S24" s="5" t="s">
        <v>43</v>
      </c>
      <c r="T24" s="8" t="str">
        <f>IFS(SUM(IFNA(MATCH($B24,'DIVISION 15'!$A$2:$H$2,0),""),IFNA(MATCH($B24,'DIVISION 15'!$A$3:$H$3,0),""),IFNA(MATCH($B24,'DIVISION 15'!$A$4:$H$4,0),""),IFNA(MATCH($B24,'DIVISION 15'!$A$5:$H$5,0),""),IFNA(MATCH($B24,'DIVISION 15'!$A$6:$H$6,0),""),IFNA(MATCH($B24,'DIVISION 15'!$A$7:$H$7,0),""),IFNA(MATCH($B24,'DIVISION 15'!$A$8:$H$8,0),""),IFNA(MATCH($B24,'DIVISION 15'!$A$9:$H$9,0),""),IFNA(MATCH($B24,'DIVISION 15'!$A$10:$H$10,0),""),IFNA(MATCH($B24,'DIVISION 15'!$A$11:$H$11,0),""),IFNA(MATCH($B24,'DIVISION 15'!$A$12:$H$12,0),""),IFNA(MATCH($B24,'DIVISION 15'!$A$13:$H$13,0),""),IFNA(MATCH($B24,'DIVISION 15'!$A$14:$H$14,0),""),IFNA(MATCH($B24,'DIVISION 15'!$A$15:$H$15,0),""),IFNA(MATCH($B24,'DIVISION 15'!$A$16:$H$16,0),""),IFNA(MATCH($B24,'DIVISION 15'!$A$17:$H$17,0),""),IFNA(MATCH($B24,'DIVISION 15'!$A$18:$H$18,0),""))=1,'DIVISION 15'!$A$1,SUM(IFNA(MATCH($B24,'DIVISION 15'!$A$2:$H$2,0),""),IFNA(MATCH($B24,'DIVISION 15'!$A$3:$H$3,0),""),IFNA(MATCH($B24,'DIVISION 15'!$A$4:$H$4,0),""),IFNA(MATCH($B24,'DIVISION 15'!$A$5:$H$5,0),""),IFNA(MATCH($B24,'DIVISION 15'!$A$6:$H$6,0),""),IFNA(MATCH($B24,'DIVISION 15'!$A$7:$H$7,0),""),IFNA(MATCH($B24,'DIVISION 15'!$A$8:$H$8,0),""),IFNA(MATCH($B24,'DIVISION 15'!$A$9:$H$9,0),""),IFNA(MATCH($B24,'DIVISION 15'!$A$10:$H$10,0),""),IFNA(MATCH($B24,'DIVISION 15'!$A$11:$H$11,0),""),IFNA(MATCH($B24,'DIVISION 15'!$A$12:$H$12,0),""),IFNA(MATCH($B24,'DIVISION 15'!$A$13:$H$13,0),""),IFNA(MATCH($B24,'DIVISION 15'!$A$14:$H$14,0),""),IFNA(MATCH($B24,'DIVISION 15'!$A$15:$H$15,0),""),IFNA(MATCH($B24,'DIVISION 15'!$A$16:$H$16,0),""),IFNA(MATCH($B24,'DIVISION 15'!$A$17:$H$17,0),""),IFNA(MATCH($B24,'DIVISION 15'!$A$18:$H$18,0),""))=2,'DIVISION 15'!$B$1,SUM(IFNA(MATCH($B24,'DIVISION 15'!$A$2:$H$2,0),""),IFNA(MATCH($B24,'DIVISION 15'!$A$3:$H$3,0),""),IFNA(MATCH($B24,'DIVISION 15'!$A$4:$H$4,0),""),IFNA(MATCH($B24,'DIVISION 15'!$A$5:$H$5,0),""),IFNA(MATCH($B24,'DIVISION 15'!$A$6:$H$6,0),""),IFNA(MATCH($B24,'DIVISION 15'!$A$7:$H$7,0),""),IFNA(MATCH($B24,'DIVISION 15'!$A$8:$H$8,0),""),IFNA(MATCH($B24,'DIVISION 15'!$A$9:$H$9,0),""),IFNA(MATCH($B24,'DIVISION 15'!$A$10:$H$10,0),""),IFNA(MATCH($B24,'DIVISION 15'!$A$11:$H$11,0),""),IFNA(MATCH($B24,'DIVISION 15'!$A$12:$H$12,0),""),IFNA(MATCH($B24,'DIVISION 15'!$A$13:$H$13,0),""),IFNA(MATCH($B24,'DIVISION 15'!$A$14:$H$14,0),""),IFNA(MATCH($B24,'DIVISION 15'!$A$15:$H$15,0),""),IFNA(MATCH($B24,'DIVISION 15'!$A$16:$H$16,0),""),IFNA(MATCH($B24,'DIVISION 15'!$A$17:$H$17,0),""),IFNA(MATCH($B24,'DIVISION 15'!$A$18:$H$18,0),""))=3,'DIVISION 15'!$C$1,SUM(IFNA(MATCH($B24,'DIVISION 15'!$A$2:$H$2,0),""),IFNA(MATCH($B24,'DIVISION 15'!$A$3:$H$3,0),""),IFNA(MATCH($B24,'DIVISION 15'!$A$4:$H$4,0),""),IFNA(MATCH($B24,'DIVISION 15'!$A$5:$H$5,0),""),IFNA(MATCH($B24,'DIVISION 15'!$A$6:$H$6,0),""),IFNA(MATCH($B24,'DIVISION 15'!$A$7:$H$7,0),""),IFNA(MATCH($B24,'DIVISION 15'!$A$8:$H$8,0),""),IFNA(MATCH($B24,'DIVISION 15'!$A$9:$H$9,0),""),IFNA(MATCH($B24,'DIVISION 15'!$A$10:$H$10,0),""),IFNA(MATCH($B24,'DIVISION 15'!$A$11:$H$11,0),""),IFNA(MATCH($B24,'DIVISION 15'!$A$12:$H$12,0),""),IFNA(MATCH($B24,'DIVISION 15'!$A$13:$H$13,0),""),IFNA(MATCH($B24,'DIVISION 15'!$A$14:$H$14,0),""),IFNA(MATCH($B24,'DIVISION 15'!$A$15:$H$15,0),""),IFNA(MATCH($B24,'DIVISION 15'!$A$16:$H$16,0),""),IFNA(MATCH($B24,'DIVISION 15'!$A$17:$H$17,0),""),IFNA(MATCH($B24,'DIVISION 15'!$A$18:$H$18,0),""))=4,'DIVISION 15'!$D$1,SUM(IFNA(MATCH($B24,'DIVISION 15'!$A$2:$H$2,0),""),IFNA(MATCH($B24,'DIVISION 15'!$A$3:$H$3,0),""),IFNA(MATCH($B24,'DIVISION 15'!$A$4:$H$4,0),""),IFNA(MATCH($B24,'DIVISION 15'!$A$5:$H$5,0),""),IFNA(MATCH($B24,'DIVISION 15'!$A$6:$H$6,0),""),IFNA(MATCH($B24,'DIVISION 15'!$A$7:$H$7,0),""),IFNA(MATCH($B24,'DIVISION 15'!$A$8:$H$8,0),""),IFNA(MATCH($B24,'DIVISION 15'!$A$9:$H$9,0),""),IFNA(MATCH($B24,'DIVISION 15'!$A$10:$H$10,0),""),IFNA(MATCH($B24,'DIVISION 15'!$A$11:$H$11,0),""),IFNA(MATCH($B24,'DIVISION 15'!$A$12:$H$12,0),""),IFNA(MATCH($B24,'DIVISION 15'!$A$13:$H$13,0),""),IFNA(MATCH($B24,'DIVISION 15'!$A$14:$H$14,0),""),IFNA(MATCH($B24,'DIVISION 15'!$A$15:$H$15,0),""),IFNA(MATCH($B24,'DIVISION 15'!$A$16:$H$16,0),""),IFNA(MATCH($B24,'DIVISION 15'!$A$17:$H$17,0),""),IFNA(MATCH($B24,'DIVISION 15'!$A$18:$H$18,0),""))=5,'DIVISION 15'!$E$1,SUM(IFNA(MATCH($B24,'DIVISION 15'!$A$2:$H$2,0),""),IFNA(MATCH($B24,'DIVISION 15'!$A$3:$H$3,0),""),IFNA(MATCH($B24,'DIVISION 15'!$A$4:$H$4,0),""),IFNA(MATCH($B24,'DIVISION 15'!$A$5:$H$5,0),""),IFNA(MATCH($B24,'DIVISION 15'!$A$6:$H$6,0),""),IFNA(MATCH($B24,'DIVISION 15'!$A$7:$H$7,0),""),IFNA(MATCH($B24,'DIVISION 15'!$A$8:$H$8,0),""),IFNA(MATCH($B24,'DIVISION 15'!$A$9:$H$9,0),""),IFNA(MATCH($B24,'DIVISION 15'!$A$10:$H$10,0),""),IFNA(MATCH($B24,'DIVISION 15'!$A$11:$H$11,0),""),IFNA(MATCH($B24,'DIVISION 15'!$A$12:$H$12,0),""),IFNA(MATCH($B24,'DIVISION 15'!$A$13:$H$13,0),""),IFNA(MATCH($B24,'DIVISION 15'!$A$14:$H$14,0),""),IFNA(MATCH($B24,'DIVISION 15'!$A$15:$H$15,0),""),IFNA(MATCH($B24,'DIVISION 15'!$A$16:$H$16,0),""),IFNA(MATCH($B24,'DIVISION 15'!$A$17:$H$17,0),""),IFNA(MATCH($B24,'DIVISION 15'!$A$18:$H$18,0),""))=6,'DIVISION 15'!$F$1,SUM(IFNA(MATCH($B24,'DIVISION 15'!$A$2:$H$2,0),""),IFNA(MATCH($B24,'DIVISION 15'!$A$3:$H$3,0),""),IFNA(MATCH($B24,'DIVISION 15'!$A$4:$H$4,0),""),IFNA(MATCH($B24,'DIVISION 15'!$A$5:$H$5,0),""),IFNA(MATCH($B24,'DIVISION 15'!$A$6:$H$6,0),""),IFNA(MATCH($B24,'DIVISION 15'!$A$7:$H$7,0),""),IFNA(MATCH($B24,'DIVISION 15'!$A$8:$H$8,0),""),IFNA(MATCH($B24,'DIVISION 15'!$A$9:$H$9,0),""),IFNA(MATCH($B24,'DIVISION 15'!$A$10:$H$10,0),""),IFNA(MATCH($B24,'DIVISION 15'!$A$11:$H$11,0),""),IFNA(MATCH($B24,'DIVISION 15'!$A$12:$H$12,0),""),IFNA(MATCH($B24,'DIVISION 15'!$A$13:$H$13,0),""),IFNA(MATCH($B24,'DIVISION 15'!$A$14:$H$14,0),""),IFNA(MATCH($B24,'DIVISION 15'!$A$15:$H$15,0),""),IFNA(MATCH($B24,'DIVISION 15'!$A$16:$H$16,0),""),IFNA(MATCH($B24,'DIVISION 15'!$A$17:$H$17,0),""),IFNA(MATCH($B24,'DIVISION 15'!$A$18:$H$18,0),""))=7,'DIVISION 15'!$G$1,SUM(IFNA(MATCH($B24,'DIVISION 15'!$A$2:$H$2,0),""),IFNA(MATCH($B24,'DIVISION 15'!$A$3:$H$3,0),""),IFNA(MATCH($B24,'DIVISION 15'!$A$4:$H$4,0),""),IFNA(MATCH($B24,'DIVISION 15'!$A$5:$H$5,0),""),IFNA(MATCH($B24,'DIVISION 15'!$A$6:$H$6,0),""),IFNA(MATCH($B24,'DIVISION 15'!$A$7:$H$7,0),""),IFNA(MATCH($B24,'DIVISION 15'!$A$8:$H$8,0),""),IFNA(MATCH($B24,'DIVISION 15'!$A$9:$H$9,0),""),IFNA(MATCH($B24,'DIVISION 15'!$A$10:$H$10,0),""),IFNA(MATCH($B24,'DIVISION 15'!$A$11:$H$11,0),""),IFNA(MATCH($B24,'DIVISION 15'!$A$12:$H$12,0),""),IFNA(MATCH($B24,'DIVISION 15'!$A$13:$H$13,0),""),IFNA(MATCH($B24,'DIVISION 15'!$A$14:$H$14,0),""),IFNA(MATCH($B24,'DIVISION 15'!$A$15:$H$15,0),""),IFNA(MATCH($B24,'DIVISION 15'!$A$16:$H$16,0),""),IFNA(MATCH($B24,'DIVISION 15'!$A$17:$H$17,0),""),IFNA(MATCH($B24,'DIVISION 15'!$A$18:$H$18,0),""))=8,'DIVISION 15'!$H$1)</f>
        <v>GONZI</v>
      </c>
      <c r="U24" s="8" t="str">
        <f t="shared" si="1"/>
        <v>GONZI2</v>
      </c>
      <c r="V24" s="9">
        <f>SUMIF(AsistenciaViewJetAdmin!$A$3:$A$101,A24,AsistenciaViewJetAdmin!$C$3:$C$101)/(COUNTIF(AsistenciaViewJetAdmin!$D$102:V$102,"&gt;0")+COUNTIF(ActividadesEspeciales!$D$102:V$102,"&gt;0"))*100</f>
        <v>53.72340426</v>
      </c>
    </row>
    <row r="25" ht="28.5" customHeight="1">
      <c r="A25" s="3">
        <v>159.0</v>
      </c>
      <c r="B25" s="4" t="s">
        <v>232</v>
      </c>
      <c r="C25" s="5">
        <v>993303.0</v>
      </c>
      <c r="D25" s="6">
        <v>40396.0</v>
      </c>
      <c r="E25" s="5">
        <v>5.0290974E7</v>
      </c>
      <c r="F25" s="5" t="s">
        <v>233</v>
      </c>
      <c r="G25" s="7">
        <v>1.131486226E9</v>
      </c>
      <c r="H25" s="5" t="s">
        <v>234</v>
      </c>
      <c r="I25" s="5" t="s">
        <v>235</v>
      </c>
      <c r="J25" s="7">
        <v>1.14182716E9</v>
      </c>
      <c r="K25" s="5" t="s">
        <v>236</v>
      </c>
      <c r="L25" s="5" t="s">
        <v>237</v>
      </c>
      <c r="M25" s="7">
        <v>1.141827167E9</v>
      </c>
      <c r="N25" s="5" t="s">
        <v>238</v>
      </c>
      <c r="O25" s="5" t="s">
        <v>120</v>
      </c>
      <c r="P25" s="5" t="s">
        <v>239</v>
      </c>
      <c r="Q25" s="5" t="s">
        <v>30</v>
      </c>
      <c r="R25" s="5" t="s">
        <v>31</v>
      </c>
      <c r="S25" s="5" t="s">
        <v>32</v>
      </c>
      <c r="T25" s="8" t="str">
        <f>IFS(SUM(IFNA(MATCH($B25,'DIVISION 15'!$A$2:$H$2,0),""),IFNA(MATCH($B25,'DIVISION 15'!$A$3:$H$3,0),""),IFNA(MATCH($B25,'DIVISION 15'!$A$4:$H$4,0),""),IFNA(MATCH($B25,'DIVISION 15'!$A$5:$H$5,0),""),IFNA(MATCH($B25,'DIVISION 15'!$A$6:$H$6,0),""),IFNA(MATCH($B25,'DIVISION 15'!$A$7:$H$7,0),""),IFNA(MATCH($B25,'DIVISION 15'!$A$8:$H$8,0),""),IFNA(MATCH($B25,'DIVISION 15'!$A$9:$H$9,0),""),IFNA(MATCH($B25,'DIVISION 15'!$A$10:$H$10,0),""),IFNA(MATCH($B25,'DIVISION 15'!$A$11:$H$11,0),""),IFNA(MATCH($B25,'DIVISION 15'!$A$12:$H$12,0),""),IFNA(MATCH($B25,'DIVISION 15'!$A$13:$H$13,0),""),IFNA(MATCH($B25,'DIVISION 15'!$A$14:$H$14,0),""),IFNA(MATCH($B25,'DIVISION 15'!$A$15:$H$15,0),""),IFNA(MATCH($B25,'DIVISION 15'!$A$16:$H$16,0),""),IFNA(MATCH($B25,'DIVISION 15'!$A$17:$H$17,0),""),IFNA(MATCH($B25,'DIVISION 15'!$A$18:$H$18,0),""))=1,'DIVISION 15'!$A$1,SUM(IFNA(MATCH($B25,'DIVISION 15'!$A$2:$H$2,0),""),IFNA(MATCH($B25,'DIVISION 15'!$A$3:$H$3,0),""),IFNA(MATCH($B25,'DIVISION 15'!$A$4:$H$4,0),""),IFNA(MATCH($B25,'DIVISION 15'!$A$5:$H$5,0),""),IFNA(MATCH($B25,'DIVISION 15'!$A$6:$H$6,0),""),IFNA(MATCH($B25,'DIVISION 15'!$A$7:$H$7,0),""),IFNA(MATCH($B25,'DIVISION 15'!$A$8:$H$8,0),""),IFNA(MATCH($B25,'DIVISION 15'!$A$9:$H$9,0),""),IFNA(MATCH($B25,'DIVISION 15'!$A$10:$H$10,0),""),IFNA(MATCH($B25,'DIVISION 15'!$A$11:$H$11,0),""),IFNA(MATCH($B25,'DIVISION 15'!$A$12:$H$12,0),""),IFNA(MATCH($B25,'DIVISION 15'!$A$13:$H$13,0),""),IFNA(MATCH($B25,'DIVISION 15'!$A$14:$H$14,0),""),IFNA(MATCH($B25,'DIVISION 15'!$A$15:$H$15,0),""),IFNA(MATCH($B25,'DIVISION 15'!$A$16:$H$16,0),""),IFNA(MATCH($B25,'DIVISION 15'!$A$17:$H$17,0),""),IFNA(MATCH($B25,'DIVISION 15'!$A$18:$H$18,0),""))=2,'DIVISION 15'!$B$1,SUM(IFNA(MATCH($B25,'DIVISION 15'!$A$2:$H$2,0),""),IFNA(MATCH($B25,'DIVISION 15'!$A$3:$H$3,0),""),IFNA(MATCH($B25,'DIVISION 15'!$A$4:$H$4,0),""),IFNA(MATCH($B25,'DIVISION 15'!$A$5:$H$5,0),""),IFNA(MATCH($B25,'DIVISION 15'!$A$6:$H$6,0),""),IFNA(MATCH($B25,'DIVISION 15'!$A$7:$H$7,0),""),IFNA(MATCH($B25,'DIVISION 15'!$A$8:$H$8,0),""),IFNA(MATCH($B25,'DIVISION 15'!$A$9:$H$9,0),""),IFNA(MATCH($B25,'DIVISION 15'!$A$10:$H$10,0),""),IFNA(MATCH($B25,'DIVISION 15'!$A$11:$H$11,0),""),IFNA(MATCH($B25,'DIVISION 15'!$A$12:$H$12,0),""),IFNA(MATCH($B25,'DIVISION 15'!$A$13:$H$13,0),""),IFNA(MATCH($B25,'DIVISION 15'!$A$14:$H$14,0),""),IFNA(MATCH($B25,'DIVISION 15'!$A$15:$H$15,0),""),IFNA(MATCH($B25,'DIVISION 15'!$A$16:$H$16,0),""),IFNA(MATCH($B25,'DIVISION 15'!$A$17:$H$17,0),""),IFNA(MATCH($B25,'DIVISION 15'!$A$18:$H$18,0),""))=3,'DIVISION 15'!$C$1,SUM(IFNA(MATCH($B25,'DIVISION 15'!$A$2:$H$2,0),""),IFNA(MATCH($B25,'DIVISION 15'!$A$3:$H$3,0),""),IFNA(MATCH($B25,'DIVISION 15'!$A$4:$H$4,0),""),IFNA(MATCH($B25,'DIVISION 15'!$A$5:$H$5,0),""),IFNA(MATCH($B25,'DIVISION 15'!$A$6:$H$6,0),""),IFNA(MATCH($B25,'DIVISION 15'!$A$7:$H$7,0),""),IFNA(MATCH($B25,'DIVISION 15'!$A$8:$H$8,0),""),IFNA(MATCH($B25,'DIVISION 15'!$A$9:$H$9,0),""),IFNA(MATCH($B25,'DIVISION 15'!$A$10:$H$10,0),""),IFNA(MATCH($B25,'DIVISION 15'!$A$11:$H$11,0),""),IFNA(MATCH($B25,'DIVISION 15'!$A$12:$H$12,0),""),IFNA(MATCH($B25,'DIVISION 15'!$A$13:$H$13,0),""),IFNA(MATCH($B25,'DIVISION 15'!$A$14:$H$14,0),""),IFNA(MATCH($B25,'DIVISION 15'!$A$15:$H$15,0),""),IFNA(MATCH($B25,'DIVISION 15'!$A$16:$H$16,0),""),IFNA(MATCH($B25,'DIVISION 15'!$A$17:$H$17,0),""),IFNA(MATCH($B25,'DIVISION 15'!$A$18:$H$18,0),""))=4,'DIVISION 15'!$D$1,SUM(IFNA(MATCH($B25,'DIVISION 15'!$A$2:$H$2,0),""),IFNA(MATCH($B25,'DIVISION 15'!$A$3:$H$3,0),""),IFNA(MATCH($B25,'DIVISION 15'!$A$4:$H$4,0),""),IFNA(MATCH($B25,'DIVISION 15'!$A$5:$H$5,0),""),IFNA(MATCH($B25,'DIVISION 15'!$A$6:$H$6,0),""),IFNA(MATCH($B25,'DIVISION 15'!$A$7:$H$7,0),""),IFNA(MATCH($B25,'DIVISION 15'!$A$8:$H$8,0),""),IFNA(MATCH($B25,'DIVISION 15'!$A$9:$H$9,0),""),IFNA(MATCH($B25,'DIVISION 15'!$A$10:$H$10,0),""),IFNA(MATCH($B25,'DIVISION 15'!$A$11:$H$11,0),""),IFNA(MATCH($B25,'DIVISION 15'!$A$12:$H$12,0),""),IFNA(MATCH($B25,'DIVISION 15'!$A$13:$H$13,0),""),IFNA(MATCH($B25,'DIVISION 15'!$A$14:$H$14,0),""),IFNA(MATCH($B25,'DIVISION 15'!$A$15:$H$15,0),""),IFNA(MATCH($B25,'DIVISION 15'!$A$16:$H$16,0),""),IFNA(MATCH($B25,'DIVISION 15'!$A$17:$H$17,0),""),IFNA(MATCH($B25,'DIVISION 15'!$A$18:$H$18,0),""))=5,'DIVISION 15'!$E$1,SUM(IFNA(MATCH($B25,'DIVISION 15'!$A$2:$H$2,0),""),IFNA(MATCH($B25,'DIVISION 15'!$A$3:$H$3,0),""),IFNA(MATCH($B25,'DIVISION 15'!$A$4:$H$4,0),""),IFNA(MATCH($B25,'DIVISION 15'!$A$5:$H$5,0),""),IFNA(MATCH($B25,'DIVISION 15'!$A$6:$H$6,0),""),IFNA(MATCH($B25,'DIVISION 15'!$A$7:$H$7,0),""),IFNA(MATCH($B25,'DIVISION 15'!$A$8:$H$8,0),""),IFNA(MATCH($B25,'DIVISION 15'!$A$9:$H$9,0),""),IFNA(MATCH($B25,'DIVISION 15'!$A$10:$H$10,0),""),IFNA(MATCH($B25,'DIVISION 15'!$A$11:$H$11,0),""),IFNA(MATCH($B25,'DIVISION 15'!$A$12:$H$12,0),""),IFNA(MATCH($B25,'DIVISION 15'!$A$13:$H$13,0),""),IFNA(MATCH($B25,'DIVISION 15'!$A$14:$H$14,0),""),IFNA(MATCH($B25,'DIVISION 15'!$A$15:$H$15,0),""),IFNA(MATCH($B25,'DIVISION 15'!$A$16:$H$16,0),""),IFNA(MATCH($B25,'DIVISION 15'!$A$17:$H$17,0),""),IFNA(MATCH($B25,'DIVISION 15'!$A$18:$H$18,0),""))=6,'DIVISION 15'!$F$1,SUM(IFNA(MATCH($B25,'DIVISION 15'!$A$2:$H$2,0),""),IFNA(MATCH($B25,'DIVISION 15'!$A$3:$H$3,0),""),IFNA(MATCH($B25,'DIVISION 15'!$A$4:$H$4,0),""),IFNA(MATCH($B25,'DIVISION 15'!$A$5:$H$5,0),""),IFNA(MATCH($B25,'DIVISION 15'!$A$6:$H$6,0),""),IFNA(MATCH($B25,'DIVISION 15'!$A$7:$H$7,0),""),IFNA(MATCH($B25,'DIVISION 15'!$A$8:$H$8,0),""),IFNA(MATCH($B25,'DIVISION 15'!$A$9:$H$9,0),""),IFNA(MATCH($B25,'DIVISION 15'!$A$10:$H$10,0),""),IFNA(MATCH($B25,'DIVISION 15'!$A$11:$H$11,0),""),IFNA(MATCH($B25,'DIVISION 15'!$A$12:$H$12,0),""),IFNA(MATCH($B25,'DIVISION 15'!$A$13:$H$13,0),""),IFNA(MATCH($B25,'DIVISION 15'!$A$14:$H$14,0),""),IFNA(MATCH($B25,'DIVISION 15'!$A$15:$H$15,0),""),IFNA(MATCH($B25,'DIVISION 15'!$A$16:$H$16,0),""),IFNA(MATCH($B25,'DIVISION 15'!$A$17:$H$17,0),""),IFNA(MATCH($B25,'DIVISION 15'!$A$18:$H$18,0),""))=7,'DIVISION 15'!$G$1,SUM(IFNA(MATCH($B25,'DIVISION 15'!$A$2:$H$2,0),""),IFNA(MATCH($B25,'DIVISION 15'!$A$3:$H$3,0),""),IFNA(MATCH($B25,'DIVISION 15'!$A$4:$H$4,0),""),IFNA(MATCH($B25,'DIVISION 15'!$A$5:$H$5,0),""),IFNA(MATCH($B25,'DIVISION 15'!$A$6:$H$6,0),""),IFNA(MATCH($B25,'DIVISION 15'!$A$7:$H$7,0),""),IFNA(MATCH($B25,'DIVISION 15'!$A$8:$H$8,0),""),IFNA(MATCH($B25,'DIVISION 15'!$A$9:$H$9,0),""),IFNA(MATCH($B25,'DIVISION 15'!$A$10:$H$10,0),""),IFNA(MATCH($B25,'DIVISION 15'!$A$11:$H$11,0),""),IFNA(MATCH($B25,'DIVISION 15'!$A$12:$H$12,0),""),IFNA(MATCH($B25,'DIVISION 15'!$A$13:$H$13,0),""),IFNA(MATCH($B25,'DIVISION 15'!$A$14:$H$14,0),""),IFNA(MATCH($B25,'DIVISION 15'!$A$15:$H$15,0),""),IFNA(MATCH($B25,'DIVISION 15'!$A$16:$H$16,0),""),IFNA(MATCH($B25,'DIVISION 15'!$A$17:$H$17,0),""),IFNA(MATCH($B25,'DIVISION 15'!$A$18:$H$18,0),""))=8,'DIVISION 15'!$H$1)</f>
        <v>MARTO</v>
      </c>
      <c r="U25" s="8" t="str">
        <f t="shared" si="1"/>
        <v>MARTO3</v>
      </c>
      <c r="V25" s="9">
        <f>SUMIF(AsistenciaViewJetAdmin!$A$3:$A$101,A25,AsistenciaViewJetAdmin!$C$3:$C$101)/(COUNTIF(AsistenciaViewJetAdmin!$D$102:V$102,"&gt;0")+COUNTIF(ActividadesEspeciales!$D$102:V$102,"&gt;0"))*100</f>
        <v>72.87234043</v>
      </c>
    </row>
    <row r="26" ht="28.5" customHeight="1">
      <c r="A26" s="3">
        <v>182.0</v>
      </c>
      <c r="B26" s="4" t="s">
        <v>240</v>
      </c>
      <c r="C26" s="5">
        <v>1150604.0</v>
      </c>
      <c r="D26" s="7" t="s">
        <v>241</v>
      </c>
      <c r="E26" s="5">
        <v>5.0324136E7</v>
      </c>
      <c r="F26" s="5" t="s">
        <v>242</v>
      </c>
      <c r="G26" s="7">
        <v>1.162747293E9</v>
      </c>
      <c r="H26" s="5" t="s">
        <v>243</v>
      </c>
      <c r="I26" s="5" t="s">
        <v>242</v>
      </c>
      <c r="J26" s="7">
        <v>1.134150261E9</v>
      </c>
      <c r="K26" s="5" t="s">
        <v>244</v>
      </c>
      <c r="L26" s="5" t="s">
        <v>245</v>
      </c>
      <c r="M26" s="7">
        <v>1.134150388E9</v>
      </c>
      <c r="N26" s="5" t="s">
        <v>246</v>
      </c>
      <c r="O26" s="5" t="s">
        <v>193</v>
      </c>
      <c r="P26" s="5" t="s">
        <v>247</v>
      </c>
      <c r="Q26" s="5" t="s">
        <v>30</v>
      </c>
      <c r="R26" s="5" t="s">
        <v>31</v>
      </c>
      <c r="S26" s="5" t="s">
        <v>32</v>
      </c>
      <c r="T26" s="8" t="str">
        <f>IFS(SUM(IFNA(MATCH($B26,'DIVISION 15'!$A$2:$H$2,0),""),IFNA(MATCH($B26,'DIVISION 15'!$A$3:$H$3,0),""),IFNA(MATCH($B26,'DIVISION 15'!$A$4:$H$4,0),""),IFNA(MATCH($B26,'DIVISION 15'!$A$5:$H$5,0),""),IFNA(MATCH($B26,'DIVISION 15'!$A$6:$H$6,0),""),IFNA(MATCH($B26,'DIVISION 15'!$A$7:$H$7,0),""),IFNA(MATCH($B26,'DIVISION 15'!$A$8:$H$8,0),""),IFNA(MATCH($B26,'DIVISION 15'!$A$9:$H$9,0),""),IFNA(MATCH($B26,'DIVISION 15'!$A$10:$H$10,0),""),IFNA(MATCH($B26,'DIVISION 15'!$A$11:$H$11,0),""),IFNA(MATCH($B26,'DIVISION 15'!$A$12:$H$12,0),""),IFNA(MATCH($B26,'DIVISION 15'!$A$13:$H$13,0),""),IFNA(MATCH($B26,'DIVISION 15'!$A$14:$H$14,0),""),IFNA(MATCH($B26,'DIVISION 15'!$A$15:$H$15,0),""),IFNA(MATCH($B26,'DIVISION 15'!$A$16:$H$16,0),""),IFNA(MATCH($B26,'DIVISION 15'!$A$17:$H$17,0),""),IFNA(MATCH($B26,'DIVISION 15'!$A$18:$H$18,0),""))=1,'DIVISION 15'!$A$1,SUM(IFNA(MATCH($B26,'DIVISION 15'!$A$2:$H$2,0),""),IFNA(MATCH($B26,'DIVISION 15'!$A$3:$H$3,0),""),IFNA(MATCH($B26,'DIVISION 15'!$A$4:$H$4,0),""),IFNA(MATCH($B26,'DIVISION 15'!$A$5:$H$5,0),""),IFNA(MATCH($B26,'DIVISION 15'!$A$6:$H$6,0),""),IFNA(MATCH($B26,'DIVISION 15'!$A$7:$H$7,0),""),IFNA(MATCH($B26,'DIVISION 15'!$A$8:$H$8,0),""),IFNA(MATCH($B26,'DIVISION 15'!$A$9:$H$9,0),""),IFNA(MATCH($B26,'DIVISION 15'!$A$10:$H$10,0),""),IFNA(MATCH($B26,'DIVISION 15'!$A$11:$H$11,0),""),IFNA(MATCH($B26,'DIVISION 15'!$A$12:$H$12,0),""),IFNA(MATCH($B26,'DIVISION 15'!$A$13:$H$13,0),""),IFNA(MATCH($B26,'DIVISION 15'!$A$14:$H$14,0),""),IFNA(MATCH($B26,'DIVISION 15'!$A$15:$H$15,0),""),IFNA(MATCH($B26,'DIVISION 15'!$A$16:$H$16,0),""),IFNA(MATCH($B26,'DIVISION 15'!$A$17:$H$17,0),""),IFNA(MATCH($B26,'DIVISION 15'!$A$18:$H$18,0),""))=2,'DIVISION 15'!$B$1,SUM(IFNA(MATCH($B26,'DIVISION 15'!$A$2:$H$2,0),""),IFNA(MATCH($B26,'DIVISION 15'!$A$3:$H$3,0),""),IFNA(MATCH($B26,'DIVISION 15'!$A$4:$H$4,0),""),IFNA(MATCH($B26,'DIVISION 15'!$A$5:$H$5,0),""),IFNA(MATCH($B26,'DIVISION 15'!$A$6:$H$6,0),""),IFNA(MATCH($B26,'DIVISION 15'!$A$7:$H$7,0),""),IFNA(MATCH($B26,'DIVISION 15'!$A$8:$H$8,0),""),IFNA(MATCH($B26,'DIVISION 15'!$A$9:$H$9,0),""),IFNA(MATCH($B26,'DIVISION 15'!$A$10:$H$10,0),""),IFNA(MATCH($B26,'DIVISION 15'!$A$11:$H$11,0),""),IFNA(MATCH($B26,'DIVISION 15'!$A$12:$H$12,0),""),IFNA(MATCH($B26,'DIVISION 15'!$A$13:$H$13,0),""),IFNA(MATCH($B26,'DIVISION 15'!$A$14:$H$14,0),""),IFNA(MATCH($B26,'DIVISION 15'!$A$15:$H$15,0),""),IFNA(MATCH($B26,'DIVISION 15'!$A$16:$H$16,0),""),IFNA(MATCH($B26,'DIVISION 15'!$A$17:$H$17,0),""),IFNA(MATCH($B26,'DIVISION 15'!$A$18:$H$18,0),""))=3,'DIVISION 15'!$C$1,SUM(IFNA(MATCH($B26,'DIVISION 15'!$A$2:$H$2,0),""),IFNA(MATCH($B26,'DIVISION 15'!$A$3:$H$3,0),""),IFNA(MATCH($B26,'DIVISION 15'!$A$4:$H$4,0),""),IFNA(MATCH($B26,'DIVISION 15'!$A$5:$H$5,0),""),IFNA(MATCH($B26,'DIVISION 15'!$A$6:$H$6,0),""),IFNA(MATCH($B26,'DIVISION 15'!$A$7:$H$7,0),""),IFNA(MATCH($B26,'DIVISION 15'!$A$8:$H$8,0),""),IFNA(MATCH($B26,'DIVISION 15'!$A$9:$H$9,0),""),IFNA(MATCH($B26,'DIVISION 15'!$A$10:$H$10,0),""),IFNA(MATCH($B26,'DIVISION 15'!$A$11:$H$11,0),""),IFNA(MATCH($B26,'DIVISION 15'!$A$12:$H$12,0),""),IFNA(MATCH($B26,'DIVISION 15'!$A$13:$H$13,0),""),IFNA(MATCH($B26,'DIVISION 15'!$A$14:$H$14,0),""),IFNA(MATCH($B26,'DIVISION 15'!$A$15:$H$15,0),""),IFNA(MATCH($B26,'DIVISION 15'!$A$16:$H$16,0),""),IFNA(MATCH($B26,'DIVISION 15'!$A$17:$H$17,0),""),IFNA(MATCH($B26,'DIVISION 15'!$A$18:$H$18,0),""))=4,'DIVISION 15'!$D$1,SUM(IFNA(MATCH($B26,'DIVISION 15'!$A$2:$H$2,0),""),IFNA(MATCH($B26,'DIVISION 15'!$A$3:$H$3,0),""),IFNA(MATCH($B26,'DIVISION 15'!$A$4:$H$4,0),""),IFNA(MATCH($B26,'DIVISION 15'!$A$5:$H$5,0),""),IFNA(MATCH($B26,'DIVISION 15'!$A$6:$H$6,0),""),IFNA(MATCH($B26,'DIVISION 15'!$A$7:$H$7,0),""),IFNA(MATCH($B26,'DIVISION 15'!$A$8:$H$8,0),""),IFNA(MATCH($B26,'DIVISION 15'!$A$9:$H$9,0),""),IFNA(MATCH($B26,'DIVISION 15'!$A$10:$H$10,0),""),IFNA(MATCH($B26,'DIVISION 15'!$A$11:$H$11,0),""),IFNA(MATCH($B26,'DIVISION 15'!$A$12:$H$12,0),""),IFNA(MATCH($B26,'DIVISION 15'!$A$13:$H$13,0),""),IFNA(MATCH($B26,'DIVISION 15'!$A$14:$H$14,0),""),IFNA(MATCH($B26,'DIVISION 15'!$A$15:$H$15,0),""),IFNA(MATCH($B26,'DIVISION 15'!$A$16:$H$16,0),""),IFNA(MATCH($B26,'DIVISION 15'!$A$17:$H$17,0),""),IFNA(MATCH($B26,'DIVISION 15'!$A$18:$H$18,0),""))=5,'DIVISION 15'!$E$1,SUM(IFNA(MATCH($B26,'DIVISION 15'!$A$2:$H$2,0),""),IFNA(MATCH($B26,'DIVISION 15'!$A$3:$H$3,0),""),IFNA(MATCH($B26,'DIVISION 15'!$A$4:$H$4,0),""),IFNA(MATCH($B26,'DIVISION 15'!$A$5:$H$5,0),""),IFNA(MATCH($B26,'DIVISION 15'!$A$6:$H$6,0),""),IFNA(MATCH($B26,'DIVISION 15'!$A$7:$H$7,0),""),IFNA(MATCH($B26,'DIVISION 15'!$A$8:$H$8,0),""),IFNA(MATCH($B26,'DIVISION 15'!$A$9:$H$9,0),""),IFNA(MATCH($B26,'DIVISION 15'!$A$10:$H$10,0),""),IFNA(MATCH($B26,'DIVISION 15'!$A$11:$H$11,0),""),IFNA(MATCH($B26,'DIVISION 15'!$A$12:$H$12,0),""),IFNA(MATCH($B26,'DIVISION 15'!$A$13:$H$13,0),""),IFNA(MATCH($B26,'DIVISION 15'!$A$14:$H$14,0),""),IFNA(MATCH($B26,'DIVISION 15'!$A$15:$H$15,0),""),IFNA(MATCH($B26,'DIVISION 15'!$A$16:$H$16,0),""),IFNA(MATCH($B26,'DIVISION 15'!$A$17:$H$17,0),""),IFNA(MATCH($B26,'DIVISION 15'!$A$18:$H$18,0),""))=6,'DIVISION 15'!$F$1,SUM(IFNA(MATCH($B26,'DIVISION 15'!$A$2:$H$2,0),""),IFNA(MATCH($B26,'DIVISION 15'!$A$3:$H$3,0),""),IFNA(MATCH($B26,'DIVISION 15'!$A$4:$H$4,0),""),IFNA(MATCH($B26,'DIVISION 15'!$A$5:$H$5,0),""),IFNA(MATCH($B26,'DIVISION 15'!$A$6:$H$6,0),""),IFNA(MATCH($B26,'DIVISION 15'!$A$7:$H$7,0),""),IFNA(MATCH($B26,'DIVISION 15'!$A$8:$H$8,0),""),IFNA(MATCH($B26,'DIVISION 15'!$A$9:$H$9,0),""),IFNA(MATCH($B26,'DIVISION 15'!$A$10:$H$10,0),""),IFNA(MATCH($B26,'DIVISION 15'!$A$11:$H$11,0),""),IFNA(MATCH($B26,'DIVISION 15'!$A$12:$H$12,0),""),IFNA(MATCH($B26,'DIVISION 15'!$A$13:$H$13,0),""),IFNA(MATCH($B26,'DIVISION 15'!$A$14:$H$14,0),""),IFNA(MATCH($B26,'DIVISION 15'!$A$15:$H$15,0),""),IFNA(MATCH($B26,'DIVISION 15'!$A$16:$H$16,0),""),IFNA(MATCH($B26,'DIVISION 15'!$A$17:$H$17,0),""),IFNA(MATCH($B26,'DIVISION 15'!$A$18:$H$18,0),""))=7,'DIVISION 15'!$G$1,SUM(IFNA(MATCH($B26,'DIVISION 15'!$A$2:$H$2,0),""),IFNA(MATCH($B26,'DIVISION 15'!$A$3:$H$3,0),""),IFNA(MATCH($B26,'DIVISION 15'!$A$4:$H$4,0),""),IFNA(MATCH($B26,'DIVISION 15'!$A$5:$H$5,0),""),IFNA(MATCH($B26,'DIVISION 15'!$A$6:$H$6,0),""),IFNA(MATCH($B26,'DIVISION 15'!$A$7:$H$7,0),""),IFNA(MATCH($B26,'DIVISION 15'!$A$8:$H$8,0),""),IFNA(MATCH($B26,'DIVISION 15'!$A$9:$H$9,0),""),IFNA(MATCH($B26,'DIVISION 15'!$A$10:$H$10,0),""),IFNA(MATCH($B26,'DIVISION 15'!$A$11:$H$11,0),""),IFNA(MATCH($B26,'DIVISION 15'!$A$12:$H$12,0),""),IFNA(MATCH($B26,'DIVISION 15'!$A$13:$H$13,0),""),IFNA(MATCH($B26,'DIVISION 15'!$A$14:$H$14,0),""),IFNA(MATCH($B26,'DIVISION 15'!$A$15:$H$15,0),""),IFNA(MATCH($B26,'DIVISION 15'!$A$16:$H$16,0),""),IFNA(MATCH($B26,'DIVISION 15'!$A$17:$H$17,0),""),IFNA(MATCH($B26,'DIVISION 15'!$A$18:$H$18,0),""))=8,'DIVISION 15'!$H$1)</f>
        <v>MARTO</v>
      </c>
      <c r="U26" s="8" t="str">
        <f t="shared" si="1"/>
        <v>MARTO4</v>
      </c>
      <c r="V26" s="9">
        <f>SUMIF(AsistenciaViewJetAdmin!$A$3:$A$101,A26,AsistenciaViewJetAdmin!$C$3:$C$101)/(COUNTIF(AsistenciaViewJetAdmin!$D$102:V$102,"&gt;0")+COUNTIF(ActividadesEspeciales!$D$102:V$102,"&gt;0"))*100</f>
        <v>53.19148936</v>
      </c>
    </row>
    <row r="27" ht="28.5" customHeight="1">
      <c r="A27" s="3">
        <v>194.0</v>
      </c>
      <c r="B27" s="4" t="s">
        <v>248</v>
      </c>
      <c r="C27" s="5">
        <v>10238.0</v>
      </c>
      <c r="D27" s="7" t="s">
        <v>249</v>
      </c>
      <c r="E27" s="5">
        <v>5.0155747E7</v>
      </c>
      <c r="F27" s="5" t="s">
        <v>250</v>
      </c>
      <c r="G27" s="7">
        <v>1.161134517E9</v>
      </c>
      <c r="H27" s="5" t="s">
        <v>251</v>
      </c>
      <c r="I27" s="5" t="s">
        <v>252</v>
      </c>
      <c r="J27" s="7">
        <v>1.14074E9</v>
      </c>
      <c r="K27" s="5" t="s">
        <v>253</v>
      </c>
      <c r="L27" s="5" t="s">
        <v>254</v>
      </c>
      <c r="M27" s="7">
        <v>1.137993704E9</v>
      </c>
      <c r="N27" s="5" t="s">
        <v>128</v>
      </c>
      <c r="O27" s="5" t="s">
        <v>255</v>
      </c>
      <c r="P27" s="5" t="s">
        <v>120</v>
      </c>
      <c r="Q27" s="5" t="s">
        <v>129</v>
      </c>
      <c r="R27" s="5" t="s">
        <v>256</v>
      </c>
      <c r="S27" s="5" t="s">
        <v>32</v>
      </c>
      <c r="T27" s="8" t="str">
        <f>IFS(SUM(IFNA(MATCH($B27,'DIVISION 15'!$A$2:$H$2,0),""),IFNA(MATCH($B27,'DIVISION 15'!$A$3:$H$3,0),""),IFNA(MATCH($B27,'DIVISION 15'!$A$4:$H$4,0),""),IFNA(MATCH($B27,'DIVISION 15'!$A$5:$H$5,0),""),IFNA(MATCH($B27,'DIVISION 15'!$A$6:$H$6,0),""),IFNA(MATCH($B27,'DIVISION 15'!$A$7:$H$7,0),""),IFNA(MATCH($B27,'DIVISION 15'!$A$8:$H$8,0),""),IFNA(MATCH($B27,'DIVISION 15'!$A$9:$H$9,0),""),IFNA(MATCH($B27,'DIVISION 15'!$A$10:$H$10,0),""),IFNA(MATCH($B27,'DIVISION 15'!$A$11:$H$11,0),""),IFNA(MATCH($B27,'DIVISION 15'!$A$12:$H$12,0),""),IFNA(MATCH($B27,'DIVISION 15'!$A$13:$H$13,0),""),IFNA(MATCH($B27,'DIVISION 15'!$A$14:$H$14,0),""),IFNA(MATCH($B27,'DIVISION 15'!$A$15:$H$15,0),""),IFNA(MATCH($B27,'DIVISION 15'!$A$16:$H$16,0),""),IFNA(MATCH($B27,'DIVISION 15'!$A$17:$H$17,0),""),IFNA(MATCH($B27,'DIVISION 15'!$A$18:$H$18,0),""))=1,'DIVISION 15'!$A$1,SUM(IFNA(MATCH($B27,'DIVISION 15'!$A$2:$H$2,0),""),IFNA(MATCH($B27,'DIVISION 15'!$A$3:$H$3,0),""),IFNA(MATCH($B27,'DIVISION 15'!$A$4:$H$4,0),""),IFNA(MATCH($B27,'DIVISION 15'!$A$5:$H$5,0),""),IFNA(MATCH($B27,'DIVISION 15'!$A$6:$H$6,0),""),IFNA(MATCH($B27,'DIVISION 15'!$A$7:$H$7,0),""),IFNA(MATCH($B27,'DIVISION 15'!$A$8:$H$8,0),""),IFNA(MATCH($B27,'DIVISION 15'!$A$9:$H$9,0),""),IFNA(MATCH($B27,'DIVISION 15'!$A$10:$H$10,0),""),IFNA(MATCH($B27,'DIVISION 15'!$A$11:$H$11,0),""),IFNA(MATCH($B27,'DIVISION 15'!$A$12:$H$12,0),""),IFNA(MATCH($B27,'DIVISION 15'!$A$13:$H$13,0),""),IFNA(MATCH($B27,'DIVISION 15'!$A$14:$H$14,0),""),IFNA(MATCH($B27,'DIVISION 15'!$A$15:$H$15,0),""),IFNA(MATCH($B27,'DIVISION 15'!$A$16:$H$16,0),""),IFNA(MATCH($B27,'DIVISION 15'!$A$17:$H$17,0),""),IFNA(MATCH($B27,'DIVISION 15'!$A$18:$H$18,0),""))=2,'DIVISION 15'!$B$1,SUM(IFNA(MATCH($B27,'DIVISION 15'!$A$2:$H$2,0),""),IFNA(MATCH($B27,'DIVISION 15'!$A$3:$H$3,0),""),IFNA(MATCH($B27,'DIVISION 15'!$A$4:$H$4,0),""),IFNA(MATCH($B27,'DIVISION 15'!$A$5:$H$5,0),""),IFNA(MATCH($B27,'DIVISION 15'!$A$6:$H$6,0),""),IFNA(MATCH($B27,'DIVISION 15'!$A$7:$H$7,0),""),IFNA(MATCH($B27,'DIVISION 15'!$A$8:$H$8,0),""),IFNA(MATCH($B27,'DIVISION 15'!$A$9:$H$9,0),""),IFNA(MATCH($B27,'DIVISION 15'!$A$10:$H$10,0),""),IFNA(MATCH($B27,'DIVISION 15'!$A$11:$H$11,0),""),IFNA(MATCH($B27,'DIVISION 15'!$A$12:$H$12,0),""),IFNA(MATCH($B27,'DIVISION 15'!$A$13:$H$13,0),""),IFNA(MATCH($B27,'DIVISION 15'!$A$14:$H$14,0),""),IFNA(MATCH($B27,'DIVISION 15'!$A$15:$H$15,0),""),IFNA(MATCH($B27,'DIVISION 15'!$A$16:$H$16,0),""),IFNA(MATCH($B27,'DIVISION 15'!$A$17:$H$17,0),""),IFNA(MATCH($B27,'DIVISION 15'!$A$18:$H$18,0),""))=3,'DIVISION 15'!$C$1,SUM(IFNA(MATCH($B27,'DIVISION 15'!$A$2:$H$2,0),""),IFNA(MATCH($B27,'DIVISION 15'!$A$3:$H$3,0),""),IFNA(MATCH($B27,'DIVISION 15'!$A$4:$H$4,0),""),IFNA(MATCH($B27,'DIVISION 15'!$A$5:$H$5,0),""),IFNA(MATCH($B27,'DIVISION 15'!$A$6:$H$6,0),""),IFNA(MATCH($B27,'DIVISION 15'!$A$7:$H$7,0),""),IFNA(MATCH($B27,'DIVISION 15'!$A$8:$H$8,0),""),IFNA(MATCH($B27,'DIVISION 15'!$A$9:$H$9,0),""),IFNA(MATCH($B27,'DIVISION 15'!$A$10:$H$10,0),""),IFNA(MATCH($B27,'DIVISION 15'!$A$11:$H$11,0),""),IFNA(MATCH($B27,'DIVISION 15'!$A$12:$H$12,0),""),IFNA(MATCH($B27,'DIVISION 15'!$A$13:$H$13,0),""),IFNA(MATCH($B27,'DIVISION 15'!$A$14:$H$14,0),""),IFNA(MATCH($B27,'DIVISION 15'!$A$15:$H$15,0),""),IFNA(MATCH($B27,'DIVISION 15'!$A$16:$H$16,0),""),IFNA(MATCH($B27,'DIVISION 15'!$A$17:$H$17,0),""),IFNA(MATCH($B27,'DIVISION 15'!$A$18:$H$18,0),""))=4,'DIVISION 15'!$D$1,SUM(IFNA(MATCH($B27,'DIVISION 15'!$A$2:$H$2,0),""),IFNA(MATCH($B27,'DIVISION 15'!$A$3:$H$3,0),""),IFNA(MATCH($B27,'DIVISION 15'!$A$4:$H$4,0),""),IFNA(MATCH($B27,'DIVISION 15'!$A$5:$H$5,0),""),IFNA(MATCH($B27,'DIVISION 15'!$A$6:$H$6,0),""),IFNA(MATCH($B27,'DIVISION 15'!$A$7:$H$7,0),""),IFNA(MATCH($B27,'DIVISION 15'!$A$8:$H$8,0),""),IFNA(MATCH($B27,'DIVISION 15'!$A$9:$H$9,0),""),IFNA(MATCH($B27,'DIVISION 15'!$A$10:$H$10,0),""),IFNA(MATCH($B27,'DIVISION 15'!$A$11:$H$11,0),""),IFNA(MATCH($B27,'DIVISION 15'!$A$12:$H$12,0),""),IFNA(MATCH($B27,'DIVISION 15'!$A$13:$H$13,0),""),IFNA(MATCH($B27,'DIVISION 15'!$A$14:$H$14,0),""),IFNA(MATCH($B27,'DIVISION 15'!$A$15:$H$15,0),""),IFNA(MATCH($B27,'DIVISION 15'!$A$16:$H$16,0),""),IFNA(MATCH($B27,'DIVISION 15'!$A$17:$H$17,0),""),IFNA(MATCH($B27,'DIVISION 15'!$A$18:$H$18,0),""))=5,'DIVISION 15'!$E$1,SUM(IFNA(MATCH($B27,'DIVISION 15'!$A$2:$H$2,0),""),IFNA(MATCH($B27,'DIVISION 15'!$A$3:$H$3,0),""),IFNA(MATCH($B27,'DIVISION 15'!$A$4:$H$4,0),""),IFNA(MATCH($B27,'DIVISION 15'!$A$5:$H$5,0),""),IFNA(MATCH($B27,'DIVISION 15'!$A$6:$H$6,0),""),IFNA(MATCH($B27,'DIVISION 15'!$A$7:$H$7,0),""),IFNA(MATCH($B27,'DIVISION 15'!$A$8:$H$8,0),""),IFNA(MATCH($B27,'DIVISION 15'!$A$9:$H$9,0),""),IFNA(MATCH($B27,'DIVISION 15'!$A$10:$H$10,0),""),IFNA(MATCH($B27,'DIVISION 15'!$A$11:$H$11,0),""),IFNA(MATCH($B27,'DIVISION 15'!$A$12:$H$12,0),""),IFNA(MATCH($B27,'DIVISION 15'!$A$13:$H$13,0),""),IFNA(MATCH($B27,'DIVISION 15'!$A$14:$H$14,0),""),IFNA(MATCH($B27,'DIVISION 15'!$A$15:$H$15,0),""),IFNA(MATCH($B27,'DIVISION 15'!$A$16:$H$16,0),""),IFNA(MATCH($B27,'DIVISION 15'!$A$17:$H$17,0),""),IFNA(MATCH($B27,'DIVISION 15'!$A$18:$H$18,0),""))=6,'DIVISION 15'!$F$1,SUM(IFNA(MATCH($B27,'DIVISION 15'!$A$2:$H$2,0),""),IFNA(MATCH($B27,'DIVISION 15'!$A$3:$H$3,0),""),IFNA(MATCH($B27,'DIVISION 15'!$A$4:$H$4,0),""),IFNA(MATCH($B27,'DIVISION 15'!$A$5:$H$5,0),""),IFNA(MATCH($B27,'DIVISION 15'!$A$6:$H$6,0),""),IFNA(MATCH($B27,'DIVISION 15'!$A$7:$H$7,0),""),IFNA(MATCH($B27,'DIVISION 15'!$A$8:$H$8,0),""),IFNA(MATCH($B27,'DIVISION 15'!$A$9:$H$9,0),""),IFNA(MATCH($B27,'DIVISION 15'!$A$10:$H$10,0),""),IFNA(MATCH($B27,'DIVISION 15'!$A$11:$H$11,0),""),IFNA(MATCH($B27,'DIVISION 15'!$A$12:$H$12,0),""),IFNA(MATCH($B27,'DIVISION 15'!$A$13:$H$13,0),""),IFNA(MATCH($B27,'DIVISION 15'!$A$14:$H$14,0),""),IFNA(MATCH($B27,'DIVISION 15'!$A$15:$H$15,0),""),IFNA(MATCH($B27,'DIVISION 15'!$A$16:$H$16,0),""),IFNA(MATCH($B27,'DIVISION 15'!$A$17:$H$17,0),""),IFNA(MATCH($B27,'DIVISION 15'!$A$18:$H$18,0),""))=7,'DIVISION 15'!$G$1,SUM(IFNA(MATCH($B27,'DIVISION 15'!$A$2:$H$2,0),""),IFNA(MATCH($B27,'DIVISION 15'!$A$3:$H$3,0),""),IFNA(MATCH($B27,'DIVISION 15'!$A$4:$H$4,0),""),IFNA(MATCH($B27,'DIVISION 15'!$A$5:$H$5,0),""),IFNA(MATCH($B27,'DIVISION 15'!$A$6:$H$6,0),""),IFNA(MATCH($B27,'DIVISION 15'!$A$7:$H$7,0),""),IFNA(MATCH($B27,'DIVISION 15'!$A$8:$H$8,0),""),IFNA(MATCH($B27,'DIVISION 15'!$A$9:$H$9,0),""),IFNA(MATCH($B27,'DIVISION 15'!$A$10:$H$10,0),""),IFNA(MATCH($B27,'DIVISION 15'!$A$11:$H$11,0),""),IFNA(MATCH($B27,'DIVISION 15'!$A$12:$H$12,0),""),IFNA(MATCH($B27,'DIVISION 15'!$A$13:$H$13,0),""),IFNA(MATCH($B27,'DIVISION 15'!$A$14:$H$14,0),""),IFNA(MATCH($B27,'DIVISION 15'!$A$15:$H$15,0),""),IFNA(MATCH($B27,'DIVISION 15'!$A$16:$H$16,0),""),IFNA(MATCH($B27,'DIVISION 15'!$A$17:$H$17,0),""),IFNA(MATCH($B27,'DIVISION 15'!$A$18:$H$18,0),""))=8,'DIVISION 15'!$H$1)</f>
        <v>MARTO</v>
      </c>
      <c r="U27" s="8" t="str">
        <f t="shared" si="1"/>
        <v>MARTO5</v>
      </c>
      <c r="V27" s="9">
        <f>SUMIF(AsistenciaViewJetAdmin!$A$3:$A$101,A27,AsistenciaViewJetAdmin!$C$3:$C$101)/(COUNTIF(AsistenciaViewJetAdmin!$D$102:V$102,"&gt;0")+COUNTIF(ActividadesEspeciales!$D$102:V$102,"&gt;0"))*100</f>
        <v>84.04255319</v>
      </c>
    </row>
    <row r="28" ht="28.5" customHeight="1">
      <c r="A28" s="3">
        <v>156.0</v>
      </c>
      <c r="B28" s="4" t="s">
        <v>257</v>
      </c>
      <c r="C28" s="5">
        <v>958503.0</v>
      </c>
      <c r="D28" s="7" t="s">
        <v>258</v>
      </c>
      <c r="E28" s="5">
        <v>5.015944E7</v>
      </c>
      <c r="F28" s="5" t="s">
        <v>259</v>
      </c>
      <c r="G28" s="7">
        <v>1.162274914E9</v>
      </c>
      <c r="H28" s="5" t="s">
        <v>260</v>
      </c>
      <c r="I28" s="5" t="s">
        <v>261</v>
      </c>
      <c r="J28" s="7">
        <v>1.150025252E9</v>
      </c>
      <c r="K28" s="5" t="s">
        <v>262</v>
      </c>
      <c r="L28" s="5" t="s">
        <v>263</v>
      </c>
      <c r="M28" s="7">
        <v>1.150033178E9</v>
      </c>
      <c r="N28" s="5" t="s">
        <v>264</v>
      </c>
      <c r="O28" s="5" t="s">
        <v>265</v>
      </c>
      <c r="P28" s="5" t="s">
        <v>42</v>
      </c>
      <c r="Q28" s="5" t="s">
        <v>74</v>
      </c>
      <c r="R28" s="5" t="s">
        <v>31</v>
      </c>
      <c r="S28" s="5" t="s">
        <v>43</v>
      </c>
      <c r="T28" s="8" t="str">
        <f>IFS(SUM(IFNA(MATCH($B28,'DIVISION 15'!$A$2:$H$2,0),""),IFNA(MATCH($B28,'DIVISION 15'!$A$3:$H$3,0),""),IFNA(MATCH($B28,'DIVISION 15'!$A$4:$H$4,0),""),IFNA(MATCH($B28,'DIVISION 15'!$A$5:$H$5,0),""),IFNA(MATCH($B28,'DIVISION 15'!$A$6:$H$6,0),""),IFNA(MATCH($B28,'DIVISION 15'!$A$7:$H$7,0),""),IFNA(MATCH($B28,'DIVISION 15'!$A$8:$H$8,0),""),IFNA(MATCH($B28,'DIVISION 15'!$A$9:$H$9,0),""),IFNA(MATCH($B28,'DIVISION 15'!$A$10:$H$10,0),""),IFNA(MATCH($B28,'DIVISION 15'!$A$11:$H$11,0),""),IFNA(MATCH($B28,'DIVISION 15'!$A$12:$H$12,0),""),IFNA(MATCH($B28,'DIVISION 15'!$A$13:$H$13,0),""),IFNA(MATCH($B28,'DIVISION 15'!$A$14:$H$14,0),""),IFNA(MATCH($B28,'DIVISION 15'!$A$15:$H$15,0),""),IFNA(MATCH($B28,'DIVISION 15'!$A$16:$H$16,0),""),IFNA(MATCH($B28,'DIVISION 15'!$A$17:$H$17,0),""),IFNA(MATCH($B28,'DIVISION 15'!$A$18:$H$18,0),""))=1,'DIVISION 15'!$A$1,SUM(IFNA(MATCH($B28,'DIVISION 15'!$A$2:$H$2,0),""),IFNA(MATCH($B28,'DIVISION 15'!$A$3:$H$3,0),""),IFNA(MATCH($B28,'DIVISION 15'!$A$4:$H$4,0),""),IFNA(MATCH($B28,'DIVISION 15'!$A$5:$H$5,0),""),IFNA(MATCH($B28,'DIVISION 15'!$A$6:$H$6,0),""),IFNA(MATCH($B28,'DIVISION 15'!$A$7:$H$7,0),""),IFNA(MATCH($B28,'DIVISION 15'!$A$8:$H$8,0),""),IFNA(MATCH($B28,'DIVISION 15'!$A$9:$H$9,0),""),IFNA(MATCH($B28,'DIVISION 15'!$A$10:$H$10,0),""),IFNA(MATCH($B28,'DIVISION 15'!$A$11:$H$11,0),""),IFNA(MATCH($B28,'DIVISION 15'!$A$12:$H$12,0),""),IFNA(MATCH($B28,'DIVISION 15'!$A$13:$H$13,0),""),IFNA(MATCH($B28,'DIVISION 15'!$A$14:$H$14,0),""),IFNA(MATCH($B28,'DIVISION 15'!$A$15:$H$15,0),""),IFNA(MATCH($B28,'DIVISION 15'!$A$16:$H$16,0),""),IFNA(MATCH($B28,'DIVISION 15'!$A$17:$H$17,0),""),IFNA(MATCH($B28,'DIVISION 15'!$A$18:$H$18,0),""))=2,'DIVISION 15'!$B$1,SUM(IFNA(MATCH($B28,'DIVISION 15'!$A$2:$H$2,0),""),IFNA(MATCH($B28,'DIVISION 15'!$A$3:$H$3,0),""),IFNA(MATCH($B28,'DIVISION 15'!$A$4:$H$4,0),""),IFNA(MATCH($B28,'DIVISION 15'!$A$5:$H$5,0),""),IFNA(MATCH($B28,'DIVISION 15'!$A$6:$H$6,0),""),IFNA(MATCH($B28,'DIVISION 15'!$A$7:$H$7,0),""),IFNA(MATCH($B28,'DIVISION 15'!$A$8:$H$8,0),""),IFNA(MATCH($B28,'DIVISION 15'!$A$9:$H$9,0),""),IFNA(MATCH($B28,'DIVISION 15'!$A$10:$H$10,0),""),IFNA(MATCH($B28,'DIVISION 15'!$A$11:$H$11,0),""),IFNA(MATCH($B28,'DIVISION 15'!$A$12:$H$12,0),""),IFNA(MATCH($B28,'DIVISION 15'!$A$13:$H$13,0),""),IFNA(MATCH($B28,'DIVISION 15'!$A$14:$H$14,0),""),IFNA(MATCH($B28,'DIVISION 15'!$A$15:$H$15,0),""),IFNA(MATCH($B28,'DIVISION 15'!$A$16:$H$16,0),""),IFNA(MATCH($B28,'DIVISION 15'!$A$17:$H$17,0),""),IFNA(MATCH($B28,'DIVISION 15'!$A$18:$H$18,0),""))=3,'DIVISION 15'!$C$1,SUM(IFNA(MATCH($B28,'DIVISION 15'!$A$2:$H$2,0),""),IFNA(MATCH($B28,'DIVISION 15'!$A$3:$H$3,0),""),IFNA(MATCH($B28,'DIVISION 15'!$A$4:$H$4,0),""),IFNA(MATCH($B28,'DIVISION 15'!$A$5:$H$5,0),""),IFNA(MATCH($B28,'DIVISION 15'!$A$6:$H$6,0),""),IFNA(MATCH($B28,'DIVISION 15'!$A$7:$H$7,0),""),IFNA(MATCH($B28,'DIVISION 15'!$A$8:$H$8,0),""),IFNA(MATCH($B28,'DIVISION 15'!$A$9:$H$9,0),""),IFNA(MATCH($B28,'DIVISION 15'!$A$10:$H$10,0),""),IFNA(MATCH($B28,'DIVISION 15'!$A$11:$H$11,0),""),IFNA(MATCH($B28,'DIVISION 15'!$A$12:$H$12,0),""),IFNA(MATCH($B28,'DIVISION 15'!$A$13:$H$13,0),""),IFNA(MATCH($B28,'DIVISION 15'!$A$14:$H$14,0),""),IFNA(MATCH($B28,'DIVISION 15'!$A$15:$H$15,0),""),IFNA(MATCH($B28,'DIVISION 15'!$A$16:$H$16,0),""),IFNA(MATCH($B28,'DIVISION 15'!$A$17:$H$17,0),""),IFNA(MATCH($B28,'DIVISION 15'!$A$18:$H$18,0),""))=4,'DIVISION 15'!$D$1,SUM(IFNA(MATCH($B28,'DIVISION 15'!$A$2:$H$2,0),""),IFNA(MATCH($B28,'DIVISION 15'!$A$3:$H$3,0),""),IFNA(MATCH($B28,'DIVISION 15'!$A$4:$H$4,0),""),IFNA(MATCH($B28,'DIVISION 15'!$A$5:$H$5,0),""),IFNA(MATCH($B28,'DIVISION 15'!$A$6:$H$6,0),""),IFNA(MATCH($B28,'DIVISION 15'!$A$7:$H$7,0),""),IFNA(MATCH($B28,'DIVISION 15'!$A$8:$H$8,0),""),IFNA(MATCH($B28,'DIVISION 15'!$A$9:$H$9,0),""),IFNA(MATCH($B28,'DIVISION 15'!$A$10:$H$10,0),""),IFNA(MATCH($B28,'DIVISION 15'!$A$11:$H$11,0),""),IFNA(MATCH($B28,'DIVISION 15'!$A$12:$H$12,0),""),IFNA(MATCH($B28,'DIVISION 15'!$A$13:$H$13,0),""),IFNA(MATCH($B28,'DIVISION 15'!$A$14:$H$14,0),""),IFNA(MATCH($B28,'DIVISION 15'!$A$15:$H$15,0),""),IFNA(MATCH($B28,'DIVISION 15'!$A$16:$H$16,0),""),IFNA(MATCH($B28,'DIVISION 15'!$A$17:$H$17,0),""),IFNA(MATCH($B28,'DIVISION 15'!$A$18:$H$18,0),""))=5,'DIVISION 15'!$E$1,SUM(IFNA(MATCH($B28,'DIVISION 15'!$A$2:$H$2,0),""),IFNA(MATCH($B28,'DIVISION 15'!$A$3:$H$3,0),""),IFNA(MATCH($B28,'DIVISION 15'!$A$4:$H$4,0),""),IFNA(MATCH($B28,'DIVISION 15'!$A$5:$H$5,0),""),IFNA(MATCH($B28,'DIVISION 15'!$A$6:$H$6,0),""),IFNA(MATCH($B28,'DIVISION 15'!$A$7:$H$7,0),""),IFNA(MATCH($B28,'DIVISION 15'!$A$8:$H$8,0),""),IFNA(MATCH($B28,'DIVISION 15'!$A$9:$H$9,0),""),IFNA(MATCH($B28,'DIVISION 15'!$A$10:$H$10,0),""),IFNA(MATCH($B28,'DIVISION 15'!$A$11:$H$11,0),""),IFNA(MATCH($B28,'DIVISION 15'!$A$12:$H$12,0),""),IFNA(MATCH($B28,'DIVISION 15'!$A$13:$H$13,0),""),IFNA(MATCH($B28,'DIVISION 15'!$A$14:$H$14,0),""),IFNA(MATCH($B28,'DIVISION 15'!$A$15:$H$15,0),""),IFNA(MATCH($B28,'DIVISION 15'!$A$16:$H$16,0),""),IFNA(MATCH($B28,'DIVISION 15'!$A$17:$H$17,0),""),IFNA(MATCH($B28,'DIVISION 15'!$A$18:$H$18,0),""))=6,'DIVISION 15'!$F$1,SUM(IFNA(MATCH($B28,'DIVISION 15'!$A$2:$H$2,0),""),IFNA(MATCH($B28,'DIVISION 15'!$A$3:$H$3,0),""),IFNA(MATCH($B28,'DIVISION 15'!$A$4:$H$4,0),""),IFNA(MATCH($B28,'DIVISION 15'!$A$5:$H$5,0),""),IFNA(MATCH($B28,'DIVISION 15'!$A$6:$H$6,0),""),IFNA(MATCH($B28,'DIVISION 15'!$A$7:$H$7,0),""),IFNA(MATCH($B28,'DIVISION 15'!$A$8:$H$8,0),""),IFNA(MATCH($B28,'DIVISION 15'!$A$9:$H$9,0),""),IFNA(MATCH($B28,'DIVISION 15'!$A$10:$H$10,0),""),IFNA(MATCH($B28,'DIVISION 15'!$A$11:$H$11,0),""),IFNA(MATCH($B28,'DIVISION 15'!$A$12:$H$12,0),""),IFNA(MATCH($B28,'DIVISION 15'!$A$13:$H$13,0),""),IFNA(MATCH($B28,'DIVISION 15'!$A$14:$H$14,0),""),IFNA(MATCH($B28,'DIVISION 15'!$A$15:$H$15,0),""),IFNA(MATCH($B28,'DIVISION 15'!$A$16:$H$16,0),""),IFNA(MATCH($B28,'DIVISION 15'!$A$17:$H$17,0),""),IFNA(MATCH($B28,'DIVISION 15'!$A$18:$H$18,0),""))=7,'DIVISION 15'!$G$1,SUM(IFNA(MATCH($B28,'DIVISION 15'!$A$2:$H$2,0),""),IFNA(MATCH($B28,'DIVISION 15'!$A$3:$H$3,0),""),IFNA(MATCH($B28,'DIVISION 15'!$A$4:$H$4,0),""),IFNA(MATCH($B28,'DIVISION 15'!$A$5:$H$5,0),""),IFNA(MATCH($B28,'DIVISION 15'!$A$6:$H$6,0),""),IFNA(MATCH($B28,'DIVISION 15'!$A$7:$H$7,0),""),IFNA(MATCH($B28,'DIVISION 15'!$A$8:$H$8,0),""),IFNA(MATCH($B28,'DIVISION 15'!$A$9:$H$9,0),""),IFNA(MATCH($B28,'DIVISION 15'!$A$10:$H$10,0),""),IFNA(MATCH($B28,'DIVISION 15'!$A$11:$H$11,0),""),IFNA(MATCH($B28,'DIVISION 15'!$A$12:$H$12,0),""),IFNA(MATCH($B28,'DIVISION 15'!$A$13:$H$13,0),""),IFNA(MATCH($B28,'DIVISION 15'!$A$14:$H$14,0),""),IFNA(MATCH($B28,'DIVISION 15'!$A$15:$H$15,0),""),IFNA(MATCH($B28,'DIVISION 15'!$A$16:$H$16,0),""),IFNA(MATCH($B28,'DIVISION 15'!$A$17:$H$17,0),""),IFNA(MATCH($B28,'DIVISION 15'!$A$18:$H$18,0),""))=8,'DIVISION 15'!$H$1)</f>
        <v>EITU</v>
      </c>
      <c r="U28" s="8" t="str">
        <f t="shared" si="1"/>
        <v>EITU5</v>
      </c>
      <c r="V28" s="9">
        <f>SUMIF(AsistenciaViewJetAdmin!$A$3:$A$101,A28,AsistenciaViewJetAdmin!$C$3:$C$101)/(COUNTIF(AsistenciaViewJetAdmin!$D$102:V$102,"&gt;0")+COUNTIF(ActividadesEspeciales!$D$102:V$102,"&gt;0"))*100</f>
        <v>79.25531915</v>
      </c>
    </row>
    <row r="29" ht="28.5" customHeight="1">
      <c r="A29" s="3">
        <v>149.0</v>
      </c>
      <c r="B29" s="4" t="s">
        <v>266</v>
      </c>
      <c r="C29" s="5">
        <v>1145302.0</v>
      </c>
      <c r="D29" s="7" t="s">
        <v>267</v>
      </c>
      <c r="E29" s="5">
        <v>5.0103573E7</v>
      </c>
      <c r="F29" s="5" t="s">
        <v>268</v>
      </c>
      <c r="G29" s="7">
        <v>1.155239873E9</v>
      </c>
      <c r="H29" s="5" t="s">
        <v>269</v>
      </c>
      <c r="I29" s="5" t="s">
        <v>270</v>
      </c>
      <c r="J29" s="7">
        <v>1.160149905E9</v>
      </c>
      <c r="K29" s="5" t="s">
        <v>271</v>
      </c>
      <c r="L29" s="5" t="s">
        <v>272</v>
      </c>
      <c r="M29" s="7">
        <v>1.138175321E9</v>
      </c>
      <c r="N29" s="5" t="s">
        <v>273</v>
      </c>
      <c r="O29" s="5" t="s">
        <v>120</v>
      </c>
      <c r="P29" s="5" t="s">
        <v>136</v>
      </c>
      <c r="Q29" s="5" t="s">
        <v>30</v>
      </c>
      <c r="R29" s="5" t="s">
        <v>31</v>
      </c>
      <c r="S29" s="5" t="s">
        <v>32</v>
      </c>
      <c r="T29" s="8" t="str">
        <f>IFS(SUM(IFNA(MATCH($B29,'DIVISION 15'!$A$2:$H$2,0),""),IFNA(MATCH($B29,'DIVISION 15'!$A$3:$H$3,0),""),IFNA(MATCH($B29,'DIVISION 15'!$A$4:$H$4,0),""),IFNA(MATCH($B29,'DIVISION 15'!$A$5:$H$5,0),""),IFNA(MATCH($B29,'DIVISION 15'!$A$6:$H$6,0),""),IFNA(MATCH($B29,'DIVISION 15'!$A$7:$H$7,0),""),IFNA(MATCH($B29,'DIVISION 15'!$A$8:$H$8,0),""),IFNA(MATCH($B29,'DIVISION 15'!$A$9:$H$9,0),""),IFNA(MATCH($B29,'DIVISION 15'!$A$10:$H$10,0),""),IFNA(MATCH($B29,'DIVISION 15'!$A$11:$H$11,0),""),IFNA(MATCH($B29,'DIVISION 15'!$A$12:$H$12,0),""),IFNA(MATCH($B29,'DIVISION 15'!$A$13:$H$13,0),""),IFNA(MATCH($B29,'DIVISION 15'!$A$14:$H$14,0),""),IFNA(MATCH($B29,'DIVISION 15'!$A$15:$H$15,0),""),IFNA(MATCH($B29,'DIVISION 15'!$A$16:$H$16,0),""),IFNA(MATCH($B29,'DIVISION 15'!$A$17:$H$17,0),""),IFNA(MATCH($B29,'DIVISION 15'!$A$18:$H$18,0),""))=1,'DIVISION 15'!$A$1,SUM(IFNA(MATCH($B29,'DIVISION 15'!$A$2:$H$2,0),""),IFNA(MATCH($B29,'DIVISION 15'!$A$3:$H$3,0),""),IFNA(MATCH($B29,'DIVISION 15'!$A$4:$H$4,0),""),IFNA(MATCH($B29,'DIVISION 15'!$A$5:$H$5,0),""),IFNA(MATCH($B29,'DIVISION 15'!$A$6:$H$6,0),""),IFNA(MATCH($B29,'DIVISION 15'!$A$7:$H$7,0),""),IFNA(MATCH($B29,'DIVISION 15'!$A$8:$H$8,0),""),IFNA(MATCH($B29,'DIVISION 15'!$A$9:$H$9,0),""),IFNA(MATCH($B29,'DIVISION 15'!$A$10:$H$10,0),""),IFNA(MATCH($B29,'DIVISION 15'!$A$11:$H$11,0),""),IFNA(MATCH($B29,'DIVISION 15'!$A$12:$H$12,0),""),IFNA(MATCH($B29,'DIVISION 15'!$A$13:$H$13,0),""),IFNA(MATCH($B29,'DIVISION 15'!$A$14:$H$14,0),""),IFNA(MATCH($B29,'DIVISION 15'!$A$15:$H$15,0),""),IFNA(MATCH($B29,'DIVISION 15'!$A$16:$H$16,0),""),IFNA(MATCH($B29,'DIVISION 15'!$A$17:$H$17,0),""),IFNA(MATCH($B29,'DIVISION 15'!$A$18:$H$18,0),""))=2,'DIVISION 15'!$B$1,SUM(IFNA(MATCH($B29,'DIVISION 15'!$A$2:$H$2,0),""),IFNA(MATCH($B29,'DIVISION 15'!$A$3:$H$3,0),""),IFNA(MATCH($B29,'DIVISION 15'!$A$4:$H$4,0),""),IFNA(MATCH($B29,'DIVISION 15'!$A$5:$H$5,0),""),IFNA(MATCH($B29,'DIVISION 15'!$A$6:$H$6,0),""),IFNA(MATCH($B29,'DIVISION 15'!$A$7:$H$7,0),""),IFNA(MATCH($B29,'DIVISION 15'!$A$8:$H$8,0),""),IFNA(MATCH($B29,'DIVISION 15'!$A$9:$H$9,0),""),IFNA(MATCH($B29,'DIVISION 15'!$A$10:$H$10,0),""),IFNA(MATCH($B29,'DIVISION 15'!$A$11:$H$11,0),""),IFNA(MATCH($B29,'DIVISION 15'!$A$12:$H$12,0),""),IFNA(MATCH($B29,'DIVISION 15'!$A$13:$H$13,0),""),IFNA(MATCH($B29,'DIVISION 15'!$A$14:$H$14,0),""),IFNA(MATCH($B29,'DIVISION 15'!$A$15:$H$15,0),""),IFNA(MATCH($B29,'DIVISION 15'!$A$16:$H$16,0),""),IFNA(MATCH($B29,'DIVISION 15'!$A$17:$H$17,0),""),IFNA(MATCH($B29,'DIVISION 15'!$A$18:$H$18,0),""))=3,'DIVISION 15'!$C$1,SUM(IFNA(MATCH($B29,'DIVISION 15'!$A$2:$H$2,0),""),IFNA(MATCH($B29,'DIVISION 15'!$A$3:$H$3,0),""),IFNA(MATCH($B29,'DIVISION 15'!$A$4:$H$4,0),""),IFNA(MATCH($B29,'DIVISION 15'!$A$5:$H$5,0),""),IFNA(MATCH($B29,'DIVISION 15'!$A$6:$H$6,0),""),IFNA(MATCH($B29,'DIVISION 15'!$A$7:$H$7,0),""),IFNA(MATCH($B29,'DIVISION 15'!$A$8:$H$8,0),""),IFNA(MATCH($B29,'DIVISION 15'!$A$9:$H$9,0),""),IFNA(MATCH($B29,'DIVISION 15'!$A$10:$H$10,0),""),IFNA(MATCH($B29,'DIVISION 15'!$A$11:$H$11,0),""),IFNA(MATCH($B29,'DIVISION 15'!$A$12:$H$12,0),""),IFNA(MATCH($B29,'DIVISION 15'!$A$13:$H$13,0),""),IFNA(MATCH($B29,'DIVISION 15'!$A$14:$H$14,0),""),IFNA(MATCH($B29,'DIVISION 15'!$A$15:$H$15,0),""),IFNA(MATCH($B29,'DIVISION 15'!$A$16:$H$16,0),""),IFNA(MATCH($B29,'DIVISION 15'!$A$17:$H$17,0),""),IFNA(MATCH($B29,'DIVISION 15'!$A$18:$H$18,0),""))=4,'DIVISION 15'!$D$1,SUM(IFNA(MATCH($B29,'DIVISION 15'!$A$2:$H$2,0),""),IFNA(MATCH($B29,'DIVISION 15'!$A$3:$H$3,0),""),IFNA(MATCH($B29,'DIVISION 15'!$A$4:$H$4,0),""),IFNA(MATCH($B29,'DIVISION 15'!$A$5:$H$5,0),""),IFNA(MATCH($B29,'DIVISION 15'!$A$6:$H$6,0),""),IFNA(MATCH($B29,'DIVISION 15'!$A$7:$H$7,0),""),IFNA(MATCH($B29,'DIVISION 15'!$A$8:$H$8,0),""),IFNA(MATCH($B29,'DIVISION 15'!$A$9:$H$9,0),""),IFNA(MATCH($B29,'DIVISION 15'!$A$10:$H$10,0),""),IFNA(MATCH($B29,'DIVISION 15'!$A$11:$H$11,0),""),IFNA(MATCH($B29,'DIVISION 15'!$A$12:$H$12,0),""),IFNA(MATCH($B29,'DIVISION 15'!$A$13:$H$13,0),""),IFNA(MATCH($B29,'DIVISION 15'!$A$14:$H$14,0),""),IFNA(MATCH($B29,'DIVISION 15'!$A$15:$H$15,0),""),IFNA(MATCH($B29,'DIVISION 15'!$A$16:$H$16,0),""),IFNA(MATCH($B29,'DIVISION 15'!$A$17:$H$17,0),""),IFNA(MATCH($B29,'DIVISION 15'!$A$18:$H$18,0),""))=5,'DIVISION 15'!$E$1,SUM(IFNA(MATCH($B29,'DIVISION 15'!$A$2:$H$2,0),""),IFNA(MATCH($B29,'DIVISION 15'!$A$3:$H$3,0),""),IFNA(MATCH($B29,'DIVISION 15'!$A$4:$H$4,0),""),IFNA(MATCH($B29,'DIVISION 15'!$A$5:$H$5,0),""),IFNA(MATCH($B29,'DIVISION 15'!$A$6:$H$6,0),""),IFNA(MATCH($B29,'DIVISION 15'!$A$7:$H$7,0),""),IFNA(MATCH($B29,'DIVISION 15'!$A$8:$H$8,0),""),IFNA(MATCH($B29,'DIVISION 15'!$A$9:$H$9,0),""),IFNA(MATCH($B29,'DIVISION 15'!$A$10:$H$10,0),""),IFNA(MATCH($B29,'DIVISION 15'!$A$11:$H$11,0),""),IFNA(MATCH($B29,'DIVISION 15'!$A$12:$H$12,0),""),IFNA(MATCH($B29,'DIVISION 15'!$A$13:$H$13,0),""),IFNA(MATCH($B29,'DIVISION 15'!$A$14:$H$14,0),""),IFNA(MATCH($B29,'DIVISION 15'!$A$15:$H$15,0),""),IFNA(MATCH($B29,'DIVISION 15'!$A$16:$H$16,0),""),IFNA(MATCH($B29,'DIVISION 15'!$A$17:$H$17,0),""),IFNA(MATCH($B29,'DIVISION 15'!$A$18:$H$18,0),""))=6,'DIVISION 15'!$F$1,SUM(IFNA(MATCH($B29,'DIVISION 15'!$A$2:$H$2,0),""),IFNA(MATCH($B29,'DIVISION 15'!$A$3:$H$3,0),""),IFNA(MATCH($B29,'DIVISION 15'!$A$4:$H$4,0),""),IFNA(MATCH($B29,'DIVISION 15'!$A$5:$H$5,0),""),IFNA(MATCH($B29,'DIVISION 15'!$A$6:$H$6,0),""),IFNA(MATCH($B29,'DIVISION 15'!$A$7:$H$7,0),""),IFNA(MATCH($B29,'DIVISION 15'!$A$8:$H$8,0),""),IFNA(MATCH($B29,'DIVISION 15'!$A$9:$H$9,0),""),IFNA(MATCH($B29,'DIVISION 15'!$A$10:$H$10,0),""),IFNA(MATCH($B29,'DIVISION 15'!$A$11:$H$11,0),""),IFNA(MATCH($B29,'DIVISION 15'!$A$12:$H$12,0),""),IFNA(MATCH($B29,'DIVISION 15'!$A$13:$H$13,0),""),IFNA(MATCH($B29,'DIVISION 15'!$A$14:$H$14,0),""),IFNA(MATCH($B29,'DIVISION 15'!$A$15:$H$15,0),""),IFNA(MATCH($B29,'DIVISION 15'!$A$16:$H$16,0),""),IFNA(MATCH($B29,'DIVISION 15'!$A$17:$H$17,0),""),IFNA(MATCH($B29,'DIVISION 15'!$A$18:$H$18,0),""))=7,'DIVISION 15'!$G$1,SUM(IFNA(MATCH($B29,'DIVISION 15'!$A$2:$H$2,0),""),IFNA(MATCH($B29,'DIVISION 15'!$A$3:$H$3,0),""),IFNA(MATCH($B29,'DIVISION 15'!$A$4:$H$4,0),""),IFNA(MATCH($B29,'DIVISION 15'!$A$5:$H$5,0),""),IFNA(MATCH($B29,'DIVISION 15'!$A$6:$H$6,0),""),IFNA(MATCH($B29,'DIVISION 15'!$A$7:$H$7,0),""),IFNA(MATCH($B29,'DIVISION 15'!$A$8:$H$8,0),""),IFNA(MATCH($B29,'DIVISION 15'!$A$9:$H$9,0),""),IFNA(MATCH($B29,'DIVISION 15'!$A$10:$H$10,0),""),IFNA(MATCH($B29,'DIVISION 15'!$A$11:$H$11,0),""),IFNA(MATCH($B29,'DIVISION 15'!$A$12:$H$12,0),""),IFNA(MATCH($B29,'DIVISION 15'!$A$13:$H$13,0),""),IFNA(MATCH($B29,'DIVISION 15'!$A$14:$H$14,0),""),IFNA(MATCH($B29,'DIVISION 15'!$A$15:$H$15,0),""),IFNA(MATCH($B29,'DIVISION 15'!$A$16:$H$16,0),""),IFNA(MATCH($B29,'DIVISION 15'!$A$17:$H$17,0),""),IFNA(MATCH($B29,'DIVISION 15'!$A$18:$H$18,0),""))=8,'DIVISION 15'!$H$1)</f>
        <v>GASTI</v>
      </c>
      <c r="U29" s="8" t="str">
        <f t="shared" si="1"/>
        <v>GASTI4</v>
      </c>
      <c r="V29" s="9">
        <f>SUMIF(AsistenciaViewJetAdmin!$A$3:$A$101,A29,AsistenciaViewJetAdmin!$C$3:$C$101)/(COUNTIF(AsistenciaViewJetAdmin!$D$102:V$102,"&gt;0")+COUNTIF(ActividadesEspeciales!$D$102:V$102,"&gt;0"))*100</f>
        <v>38.82978723</v>
      </c>
    </row>
    <row r="30" ht="28.5" customHeight="1">
      <c r="A30" s="3">
        <v>203.0</v>
      </c>
      <c r="B30" s="4" t="s">
        <v>274</v>
      </c>
      <c r="C30" s="5">
        <v>1463.0</v>
      </c>
      <c r="D30" s="6">
        <v>39881.0</v>
      </c>
      <c r="E30" s="5">
        <v>4.9700932E7</v>
      </c>
      <c r="F30" s="5" t="s">
        <v>275</v>
      </c>
      <c r="G30" s="7">
        <v>1.164116856E9</v>
      </c>
      <c r="H30" s="5" t="s">
        <v>276</v>
      </c>
      <c r="I30" s="5" t="s">
        <v>277</v>
      </c>
      <c r="J30" s="7">
        <v>1.15855411E9</v>
      </c>
      <c r="K30" s="5" t="s">
        <v>278</v>
      </c>
      <c r="L30" s="5" t="s">
        <v>279</v>
      </c>
      <c r="M30" s="7">
        <v>1.165084028E9</v>
      </c>
      <c r="N30" s="5" t="s">
        <v>280</v>
      </c>
      <c r="O30" s="5" t="s">
        <v>120</v>
      </c>
      <c r="P30" s="5" t="s">
        <v>120</v>
      </c>
      <c r="Q30" s="5" t="s">
        <v>74</v>
      </c>
      <c r="R30" s="5" t="s">
        <v>31</v>
      </c>
      <c r="S30" s="5" t="s">
        <v>32</v>
      </c>
      <c r="T30" s="8" t="str">
        <f>IFS(SUM(IFNA(MATCH($B30,'DIVISION 15'!$A$2:$H$2,0),""),IFNA(MATCH($B30,'DIVISION 15'!$A$3:$H$3,0),""),IFNA(MATCH($B30,'DIVISION 15'!$A$4:$H$4,0),""),IFNA(MATCH($B30,'DIVISION 15'!$A$5:$H$5,0),""),IFNA(MATCH($B30,'DIVISION 15'!$A$6:$H$6,0),""),IFNA(MATCH($B30,'DIVISION 15'!$A$7:$H$7,0),""),IFNA(MATCH($B30,'DIVISION 15'!$A$8:$H$8,0),""),IFNA(MATCH($B30,'DIVISION 15'!$A$9:$H$9,0),""),IFNA(MATCH($B30,'DIVISION 15'!$A$10:$H$10,0),""),IFNA(MATCH($B30,'DIVISION 15'!$A$11:$H$11,0),""),IFNA(MATCH($B30,'DIVISION 15'!$A$12:$H$12,0),""),IFNA(MATCH($B30,'DIVISION 15'!$A$13:$H$13,0),""),IFNA(MATCH($B30,'DIVISION 15'!$A$14:$H$14,0),""),IFNA(MATCH($B30,'DIVISION 15'!$A$15:$H$15,0),""),IFNA(MATCH($B30,'DIVISION 15'!$A$16:$H$16,0),""),IFNA(MATCH($B30,'DIVISION 15'!$A$17:$H$17,0),""),IFNA(MATCH($B30,'DIVISION 15'!$A$18:$H$18,0),""))=1,'DIVISION 15'!$A$1,SUM(IFNA(MATCH($B30,'DIVISION 15'!$A$2:$H$2,0),""),IFNA(MATCH($B30,'DIVISION 15'!$A$3:$H$3,0),""),IFNA(MATCH($B30,'DIVISION 15'!$A$4:$H$4,0),""),IFNA(MATCH($B30,'DIVISION 15'!$A$5:$H$5,0),""),IFNA(MATCH($B30,'DIVISION 15'!$A$6:$H$6,0),""),IFNA(MATCH($B30,'DIVISION 15'!$A$7:$H$7,0),""),IFNA(MATCH($B30,'DIVISION 15'!$A$8:$H$8,0),""),IFNA(MATCH($B30,'DIVISION 15'!$A$9:$H$9,0),""),IFNA(MATCH($B30,'DIVISION 15'!$A$10:$H$10,0),""),IFNA(MATCH($B30,'DIVISION 15'!$A$11:$H$11,0),""),IFNA(MATCH($B30,'DIVISION 15'!$A$12:$H$12,0),""),IFNA(MATCH($B30,'DIVISION 15'!$A$13:$H$13,0),""),IFNA(MATCH($B30,'DIVISION 15'!$A$14:$H$14,0),""),IFNA(MATCH($B30,'DIVISION 15'!$A$15:$H$15,0),""),IFNA(MATCH($B30,'DIVISION 15'!$A$16:$H$16,0),""),IFNA(MATCH($B30,'DIVISION 15'!$A$17:$H$17,0),""),IFNA(MATCH($B30,'DIVISION 15'!$A$18:$H$18,0),""))=2,'DIVISION 15'!$B$1,SUM(IFNA(MATCH($B30,'DIVISION 15'!$A$2:$H$2,0),""),IFNA(MATCH($B30,'DIVISION 15'!$A$3:$H$3,0),""),IFNA(MATCH($B30,'DIVISION 15'!$A$4:$H$4,0),""),IFNA(MATCH($B30,'DIVISION 15'!$A$5:$H$5,0),""),IFNA(MATCH($B30,'DIVISION 15'!$A$6:$H$6,0),""),IFNA(MATCH($B30,'DIVISION 15'!$A$7:$H$7,0),""),IFNA(MATCH($B30,'DIVISION 15'!$A$8:$H$8,0),""),IFNA(MATCH($B30,'DIVISION 15'!$A$9:$H$9,0),""),IFNA(MATCH($B30,'DIVISION 15'!$A$10:$H$10,0),""),IFNA(MATCH($B30,'DIVISION 15'!$A$11:$H$11,0),""),IFNA(MATCH($B30,'DIVISION 15'!$A$12:$H$12,0),""),IFNA(MATCH($B30,'DIVISION 15'!$A$13:$H$13,0),""),IFNA(MATCH($B30,'DIVISION 15'!$A$14:$H$14,0),""),IFNA(MATCH($B30,'DIVISION 15'!$A$15:$H$15,0),""),IFNA(MATCH($B30,'DIVISION 15'!$A$16:$H$16,0),""),IFNA(MATCH($B30,'DIVISION 15'!$A$17:$H$17,0),""),IFNA(MATCH($B30,'DIVISION 15'!$A$18:$H$18,0),""))=3,'DIVISION 15'!$C$1,SUM(IFNA(MATCH($B30,'DIVISION 15'!$A$2:$H$2,0),""),IFNA(MATCH($B30,'DIVISION 15'!$A$3:$H$3,0),""),IFNA(MATCH($B30,'DIVISION 15'!$A$4:$H$4,0),""),IFNA(MATCH($B30,'DIVISION 15'!$A$5:$H$5,0),""),IFNA(MATCH($B30,'DIVISION 15'!$A$6:$H$6,0),""),IFNA(MATCH($B30,'DIVISION 15'!$A$7:$H$7,0),""),IFNA(MATCH($B30,'DIVISION 15'!$A$8:$H$8,0),""),IFNA(MATCH($B30,'DIVISION 15'!$A$9:$H$9,0),""),IFNA(MATCH($B30,'DIVISION 15'!$A$10:$H$10,0),""),IFNA(MATCH($B30,'DIVISION 15'!$A$11:$H$11,0),""),IFNA(MATCH($B30,'DIVISION 15'!$A$12:$H$12,0),""),IFNA(MATCH($B30,'DIVISION 15'!$A$13:$H$13,0),""),IFNA(MATCH($B30,'DIVISION 15'!$A$14:$H$14,0),""),IFNA(MATCH($B30,'DIVISION 15'!$A$15:$H$15,0),""),IFNA(MATCH($B30,'DIVISION 15'!$A$16:$H$16,0),""),IFNA(MATCH($B30,'DIVISION 15'!$A$17:$H$17,0),""),IFNA(MATCH($B30,'DIVISION 15'!$A$18:$H$18,0),""))=4,'DIVISION 15'!$D$1,SUM(IFNA(MATCH($B30,'DIVISION 15'!$A$2:$H$2,0),""),IFNA(MATCH($B30,'DIVISION 15'!$A$3:$H$3,0),""),IFNA(MATCH($B30,'DIVISION 15'!$A$4:$H$4,0),""),IFNA(MATCH($B30,'DIVISION 15'!$A$5:$H$5,0),""),IFNA(MATCH($B30,'DIVISION 15'!$A$6:$H$6,0),""),IFNA(MATCH($B30,'DIVISION 15'!$A$7:$H$7,0),""),IFNA(MATCH($B30,'DIVISION 15'!$A$8:$H$8,0),""),IFNA(MATCH($B30,'DIVISION 15'!$A$9:$H$9,0),""),IFNA(MATCH($B30,'DIVISION 15'!$A$10:$H$10,0),""),IFNA(MATCH($B30,'DIVISION 15'!$A$11:$H$11,0),""),IFNA(MATCH($B30,'DIVISION 15'!$A$12:$H$12,0),""),IFNA(MATCH($B30,'DIVISION 15'!$A$13:$H$13,0),""),IFNA(MATCH($B30,'DIVISION 15'!$A$14:$H$14,0),""),IFNA(MATCH($B30,'DIVISION 15'!$A$15:$H$15,0),""),IFNA(MATCH($B30,'DIVISION 15'!$A$16:$H$16,0),""),IFNA(MATCH($B30,'DIVISION 15'!$A$17:$H$17,0),""),IFNA(MATCH($B30,'DIVISION 15'!$A$18:$H$18,0),""))=5,'DIVISION 15'!$E$1,SUM(IFNA(MATCH($B30,'DIVISION 15'!$A$2:$H$2,0),""),IFNA(MATCH($B30,'DIVISION 15'!$A$3:$H$3,0),""),IFNA(MATCH($B30,'DIVISION 15'!$A$4:$H$4,0),""),IFNA(MATCH($B30,'DIVISION 15'!$A$5:$H$5,0),""),IFNA(MATCH($B30,'DIVISION 15'!$A$6:$H$6,0),""),IFNA(MATCH($B30,'DIVISION 15'!$A$7:$H$7,0),""),IFNA(MATCH($B30,'DIVISION 15'!$A$8:$H$8,0),""),IFNA(MATCH($B30,'DIVISION 15'!$A$9:$H$9,0),""),IFNA(MATCH($B30,'DIVISION 15'!$A$10:$H$10,0),""),IFNA(MATCH($B30,'DIVISION 15'!$A$11:$H$11,0),""),IFNA(MATCH($B30,'DIVISION 15'!$A$12:$H$12,0),""),IFNA(MATCH($B30,'DIVISION 15'!$A$13:$H$13,0),""),IFNA(MATCH($B30,'DIVISION 15'!$A$14:$H$14,0),""),IFNA(MATCH($B30,'DIVISION 15'!$A$15:$H$15,0),""),IFNA(MATCH($B30,'DIVISION 15'!$A$16:$H$16,0),""),IFNA(MATCH($B30,'DIVISION 15'!$A$17:$H$17,0),""),IFNA(MATCH($B30,'DIVISION 15'!$A$18:$H$18,0),""))=6,'DIVISION 15'!$F$1,SUM(IFNA(MATCH($B30,'DIVISION 15'!$A$2:$H$2,0),""),IFNA(MATCH($B30,'DIVISION 15'!$A$3:$H$3,0),""),IFNA(MATCH($B30,'DIVISION 15'!$A$4:$H$4,0),""),IFNA(MATCH($B30,'DIVISION 15'!$A$5:$H$5,0),""),IFNA(MATCH($B30,'DIVISION 15'!$A$6:$H$6,0),""),IFNA(MATCH($B30,'DIVISION 15'!$A$7:$H$7,0),""),IFNA(MATCH($B30,'DIVISION 15'!$A$8:$H$8,0),""),IFNA(MATCH($B30,'DIVISION 15'!$A$9:$H$9,0),""),IFNA(MATCH($B30,'DIVISION 15'!$A$10:$H$10,0),""),IFNA(MATCH($B30,'DIVISION 15'!$A$11:$H$11,0),""),IFNA(MATCH($B30,'DIVISION 15'!$A$12:$H$12,0),""),IFNA(MATCH($B30,'DIVISION 15'!$A$13:$H$13,0),""),IFNA(MATCH($B30,'DIVISION 15'!$A$14:$H$14,0),""),IFNA(MATCH($B30,'DIVISION 15'!$A$15:$H$15,0),""),IFNA(MATCH($B30,'DIVISION 15'!$A$16:$H$16,0),""),IFNA(MATCH($B30,'DIVISION 15'!$A$17:$H$17,0),""),IFNA(MATCH($B30,'DIVISION 15'!$A$18:$H$18,0),""))=7,'DIVISION 15'!$G$1,SUM(IFNA(MATCH($B30,'DIVISION 15'!$A$2:$H$2,0),""),IFNA(MATCH($B30,'DIVISION 15'!$A$3:$H$3,0),""),IFNA(MATCH($B30,'DIVISION 15'!$A$4:$H$4,0),""),IFNA(MATCH($B30,'DIVISION 15'!$A$5:$H$5,0),""),IFNA(MATCH($B30,'DIVISION 15'!$A$6:$H$6,0),""),IFNA(MATCH($B30,'DIVISION 15'!$A$7:$H$7,0),""),IFNA(MATCH($B30,'DIVISION 15'!$A$8:$H$8,0),""),IFNA(MATCH($B30,'DIVISION 15'!$A$9:$H$9,0),""),IFNA(MATCH($B30,'DIVISION 15'!$A$10:$H$10,0),""),IFNA(MATCH($B30,'DIVISION 15'!$A$11:$H$11,0),""),IFNA(MATCH($B30,'DIVISION 15'!$A$12:$H$12,0),""),IFNA(MATCH($B30,'DIVISION 15'!$A$13:$H$13,0),""),IFNA(MATCH($B30,'DIVISION 15'!$A$14:$H$14,0),""),IFNA(MATCH($B30,'DIVISION 15'!$A$15:$H$15,0),""),IFNA(MATCH($B30,'DIVISION 15'!$A$16:$H$16,0),""),IFNA(MATCH($B30,'DIVISION 15'!$A$17:$H$17,0),""),IFNA(MATCH($B30,'DIVISION 15'!$A$18:$H$18,0),""))=8,'DIVISION 15'!$H$1)</f>
        <v>GASTI</v>
      </c>
      <c r="U30" s="8" t="str">
        <f t="shared" si="1"/>
        <v>GASTI5</v>
      </c>
      <c r="V30" s="9">
        <f>SUMIF(AsistenciaViewJetAdmin!$A$3:$A$101,A30,AsistenciaViewJetAdmin!$C$3:$C$101)/(COUNTIF(AsistenciaViewJetAdmin!$D$102:V$102,"&gt;0")+COUNTIF(ActividadesEspeciales!$D$102:V$102,"&gt;0"))*100</f>
        <v>37.23404255</v>
      </c>
    </row>
    <row r="31" ht="28.5" customHeight="1">
      <c r="A31" s="3">
        <v>117.0</v>
      </c>
      <c r="B31" s="4" t="s">
        <v>281</v>
      </c>
      <c r="C31" s="5">
        <v>142806.0</v>
      </c>
      <c r="D31" s="7" t="s">
        <v>282</v>
      </c>
      <c r="E31" s="5">
        <v>4.9929567E7</v>
      </c>
      <c r="F31" s="5" t="s">
        <v>283</v>
      </c>
      <c r="G31" s="7">
        <v>6.1689215E7</v>
      </c>
      <c r="H31" s="5" t="s">
        <v>284</v>
      </c>
      <c r="I31" s="5" t="s">
        <v>285</v>
      </c>
      <c r="J31" s="7">
        <v>6.2912384E7</v>
      </c>
      <c r="K31" s="5" t="s">
        <v>286</v>
      </c>
      <c r="L31" s="5" t="s">
        <v>287</v>
      </c>
      <c r="M31" s="7">
        <v>5.2263674E7</v>
      </c>
      <c r="N31" s="5" t="s">
        <v>40</v>
      </c>
      <c r="O31" s="5" t="s">
        <v>120</v>
      </c>
      <c r="P31" s="5" t="s">
        <v>53</v>
      </c>
      <c r="Q31" s="5" t="s">
        <v>30</v>
      </c>
      <c r="R31" s="5" t="s">
        <v>31</v>
      </c>
      <c r="S31" s="5" t="s">
        <v>43</v>
      </c>
      <c r="T31" s="8" t="str">
        <f>IFS(SUM(IFNA(MATCH($B31,'DIVISION 15'!$A$2:$H$2,0),""),IFNA(MATCH($B31,'DIVISION 15'!$A$3:$H$3,0),""),IFNA(MATCH($B31,'DIVISION 15'!$A$4:$H$4,0),""),IFNA(MATCH($B31,'DIVISION 15'!$A$5:$H$5,0),""),IFNA(MATCH($B31,'DIVISION 15'!$A$6:$H$6,0),""),IFNA(MATCH($B31,'DIVISION 15'!$A$7:$H$7,0),""),IFNA(MATCH($B31,'DIVISION 15'!$A$8:$H$8,0),""),IFNA(MATCH($B31,'DIVISION 15'!$A$9:$H$9,0),""),IFNA(MATCH($B31,'DIVISION 15'!$A$10:$H$10,0),""),IFNA(MATCH($B31,'DIVISION 15'!$A$11:$H$11,0),""),IFNA(MATCH($B31,'DIVISION 15'!$A$12:$H$12,0),""),IFNA(MATCH($B31,'DIVISION 15'!$A$13:$H$13,0),""),IFNA(MATCH($B31,'DIVISION 15'!$A$14:$H$14,0),""),IFNA(MATCH($B31,'DIVISION 15'!$A$15:$H$15,0),""),IFNA(MATCH($B31,'DIVISION 15'!$A$16:$H$16,0),""),IFNA(MATCH($B31,'DIVISION 15'!$A$17:$H$17,0),""),IFNA(MATCH($B31,'DIVISION 15'!$A$18:$H$18,0),""))=1,'DIVISION 15'!$A$1,SUM(IFNA(MATCH($B31,'DIVISION 15'!$A$2:$H$2,0),""),IFNA(MATCH($B31,'DIVISION 15'!$A$3:$H$3,0),""),IFNA(MATCH($B31,'DIVISION 15'!$A$4:$H$4,0),""),IFNA(MATCH($B31,'DIVISION 15'!$A$5:$H$5,0),""),IFNA(MATCH($B31,'DIVISION 15'!$A$6:$H$6,0),""),IFNA(MATCH($B31,'DIVISION 15'!$A$7:$H$7,0),""),IFNA(MATCH($B31,'DIVISION 15'!$A$8:$H$8,0),""),IFNA(MATCH($B31,'DIVISION 15'!$A$9:$H$9,0),""),IFNA(MATCH($B31,'DIVISION 15'!$A$10:$H$10,0),""),IFNA(MATCH($B31,'DIVISION 15'!$A$11:$H$11,0),""),IFNA(MATCH($B31,'DIVISION 15'!$A$12:$H$12,0),""),IFNA(MATCH($B31,'DIVISION 15'!$A$13:$H$13,0),""),IFNA(MATCH($B31,'DIVISION 15'!$A$14:$H$14,0),""),IFNA(MATCH($B31,'DIVISION 15'!$A$15:$H$15,0),""),IFNA(MATCH($B31,'DIVISION 15'!$A$16:$H$16,0),""),IFNA(MATCH($B31,'DIVISION 15'!$A$17:$H$17,0),""),IFNA(MATCH($B31,'DIVISION 15'!$A$18:$H$18,0),""))=2,'DIVISION 15'!$B$1,SUM(IFNA(MATCH($B31,'DIVISION 15'!$A$2:$H$2,0),""),IFNA(MATCH($B31,'DIVISION 15'!$A$3:$H$3,0),""),IFNA(MATCH($B31,'DIVISION 15'!$A$4:$H$4,0),""),IFNA(MATCH($B31,'DIVISION 15'!$A$5:$H$5,0),""),IFNA(MATCH($B31,'DIVISION 15'!$A$6:$H$6,0),""),IFNA(MATCH($B31,'DIVISION 15'!$A$7:$H$7,0),""),IFNA(MATCH($B31,'DIVISION 15'!$A$8:$H$8,0),""),IFNA(MATCH($B31,'DIVISION 15'!$A$9:$H$9,0),""),IFNA(MATCH($B31,'DIVISION 15'!$A$10:$H$10,0),""),IFNA(MATCH($B31,'DIVISION 15'!$A$11:$H$11,0),""),IFNA(MATCH($B31,'DIVISION 15'!$A$12:$H$12,0),""),IFNA(MATCH($B31,'DIVISION 15'!$A$13:$H$13,0),""),IFNA(MATCH($B31,'DIVISION 15'!$A$14:$H$14,0),""),IFNA(MATCH($B31,'DIVISION 15'!$A$15:$H$15,0),""),IFNA(MATCH($B31,'DIVISION 15'!$A$16:$H$16,0),""),IFNA(MATCH($B31,'DIVISION 15'!$A$17:$H$17,0),""),IFNA(MATCH($B31,'DIVISION 15'!$A$18:$H$18,0),""))=3,'DIVISION 15'!$C$1,SUM(IFNA(MATCH($B31,'DIVISION 15'!$A$2:$H$2,0),""),IFNA(MATCH($B31,'DIVISION 15'!$A$3:$H$3,0),""),IFNA(MATCH($B31,'DIVISION 15'!$A$4:$H$4,0),""),IFNA(MATCH($B31,'DIVISION 15'!$A$5:$H$5,0),""),IFNA(MATCH($B31,'DIVISION 15'!$A$6:$H$6,0),""),IFNA(MATCH($B31,'DIVISION 15'!$A$7:$H$7,0),""),IFNA(MATCH($B31,'DIVISION 15'!$A$8:$H$8,0),""),IFNA(MATCH($B31,'DIVISION 15'!$A$9:$H$9,0),""),IFNA(MATCH($B31,'DIVISION 15'!$A$10:$H$10,0),""),IFNA(MATCH($B31,'DIVISION 15'!$A$11:$H$11,0),""),IFNA(MATCH($B31,'DIVISION 15'!$A$12:$H$12,0),""),IFNA(MATCH($B31,'DIVISION 15'!$A$13:$H$13,0),""),IFNA(MATCH($B31,'DIVISION 15'!$A$14:$H$14,0),""),IFNA(MATCH($B31,'DIVISION 15'!$A$15:$H$15,0),""),IFNA(MATCH($B31,'DIVISION 15'!$A$16:$H$16,0),""),IFNA(MATCH($B31,'DIVISION 15'!$A$17:$H$17,0),""),IFNA(MATCH($B31,'DIVISION 15'!$A$18:$H$18,0),""))=4,'DIVISION 15'!$D$1,SUM(IFNA(MATCH($B31,'DIVISION 15'!$A$2:$H$2,0),""),IFNA(MATCH($B31,'DIVISION 15'!$A$3:$H$3,0),""),IFNA(MATCH($B31,'DIVISION 15'!$A$4:$H$4,0),""),IFNA(MATCH($B31,'DIVISION 15'!$A$5:$H$5,0),""),IFNA(MATCH($B31,'DIVISION 15'!$A$6:$H$6,0),""),IFNA(MATCH($B31,'DIVISION 15'!$A$7:$H$7,0),""),IFNA(MATCH($B31,'DIVISION 15'!$A$8:$H$8,0),""),IFNA(MATCH($B31,'DIVISION 15'!$A$9:$H$9,0),""),IFNA(MATCH($B31,'DIVISION 15'!$A$10:$H$10,0),""),IFNA(MATCH($B31,'DIVISION 15'!$A$11:$H$11,0),""),IFNA(MATCH($B31,'DIVISION 15'!$A$12:$H$12,0),""),IFNA(MATCH($B31,'DIVISION 15'!$A$13:$H$13,0),""),IFNA(MATCH($B31,'DIVISION 15'!$A$14:$H$14,0),""),IFNA(MATCH($B31,'DIVISION 15'!$A$15:$H$15,0),""),IFNA(MATCH($B31,'DIVISION 15'!$A$16:$H$16,0),""),IFNA(MATCH($B31,'DIVISION 15'!$A$17:$H$17,0),""),IFNA(MATCH($B31,'DIVISION 15'!$A$18:$H$18,0),""))=5,'DIVISION 15'!$E$1,SUM(IFNA(MATCH($B31,'DIVISION 15'!$A$2:$H$2,0),""),IFNA(MATCH($B31,'DIVISION 15'!$A$3:$H$3,0),""),IFNA(MATCH($B31,'DIVISION 15'!$A$4:$H$4,0),""),IFNA(MATCH($B31,'DIVISION 15'!$A$5:$H$5,0),""),IFNA(MATCH($B31,'DIVISION 15'!$A$6:$H$6,0),""),IFNA(MATCH($B31,'DIVISION 15'!$A$7:$H$7,0),""),IFNA(MATCH($B31,'DIVISION 15'!$A$8:$H$8,0),""),IFNA(MATCH($B31,'DIVISION 15'!$A$9:$H$9,0),""),IFNA(MATCH($B31,'DIVISION 15'!$A$10:$H$10,0),""),IFNA(MATCH($B31,'DIVISION 15'!$A$11:$H$11,0),""),IFNA(MATCH($B31,'DIVISION 15'!$A$12:$H$12,0),""),IFNA(MATCH($B31,'DIVISION 15'!$A$13:$H$13,0),""),IFNA(MATCH($B31,'DIVISION 15'!$A$14:$H$14,0),""),IFNA(MATCH($B31,'DIVISION 15'!$A$15:$H$15,0),""),IFNA(MATCH($B31,'DIVISION 15'!$A$16:$H$16,0),""),IFNA(MATCH($B31,'DIVISION 15'!$A$17:$H$17,0),""),IFNA(MATCH($B31,'DIVISION 15'!$A$18:$H$18,0),""))=6,'DIVISION 15'!$F$1,SUM(IFNA(MATCH($B31,'DIVISION 15'!$A$2:$H$2,0),""),IFNA(MATCH($B31,'DIVISION 15'!$A$3:$H$3,0),""),IFNA(MATCH($B31,'DIVISION 15'!$A$4:$H$4,0),""),IFNA(MATCH($B31,'DIVISION 15'!$A$5:$H$5,0),""),IFNA(MATCH($B31,'DIVISION 15'!$A$6:$H$6,0),""),IFNA(MATCH($B31,'DIVISION 15'!$A$7:$H$7,0),""),IFNA(MATCH($B31,'DIVISION 15'!$A$8:$H$8,0),""),IFNA(MATCH($B31,'DIVISION 15'!$A$9:$H$9,0),""),IFNA(MATCH($B31,'DIVISION 15'!$A$10:$H$10,0),""),IFNA(MATCH($B31,'DIVISION 15'!$A$11:$H$11,0),""),IFNA(MATCH($B31,'DIVISION 15'!$A$12:$H$12,0),""),IFNA(MATCH($B31,'DIVISION 15'!$A$13:$H$13,0),""),IFNA(MATCH($B31,'DIVISION 15'!$A$14:$H$14,0),""),IFNA(MATCH($B31,'DIVISION 15'!$A$15:$H$15,0),""),IFNA(MATCH($B31,'DIVISION 15'!$A$16:$H$16,0),""),IFNA(MATCH($B31,'DIVISION 15'!$A$17:$H$17,0),""),IFNA(MATCH($B31,'DIVISION 15'!$A$18:$H$18,0),""))=7,'DIVISION 15'!$G$1,SUM(IFNA(MATCH($B31,'DIVISION 15'!$A$2:$H$2,0),""),IFNA(MATCH($B31,'DIVISION 15'!$A$3:$H$3,0),""),IFNA(MATCH($B31,'DIVISION 15'!$A$4:$H$4,0),""),IFNA(MATCH($B31,'DIVISION 15'!$A$5:$H$5,0),""),IFNA(MATCH($B31,'DIVISION 15'!$A$6:$H$6,0),""),IFNA(MATCH($B31,'DIVISION 15'!$A$7:$H$7,0),""),IFNA(MATCH($B31,'DIVISION 15'!$A$8:$H$8,0),""),IFNA(MATCH($B31,'DIVISION 15'!$A$9:$H$9,0),""),IFNA(MATCH($B31,'DIVISION 15'!$A$10:$H$10,0),""),IFNA(MATCH($B31,'DIVISION 15'!$A$11:$H$11,0),""),IFNA(MATCH($B31,'DIVISION 15'!$A$12:$H$12,0),""),IFNA(MATCH($B31,'DIVISION 15'!$A$13:$H$13,0),""),IFNA(MATCH($B31,'DIVISION 15'!$A$14:$H$14,0),""),IFNA(MATCH($B31,'DIVISION 15'!$A$15:$H$15,0),""),IFNA(MATCH($B31,'DIVISION 15'!$A$16:$H$16,0),""),IFNA(MATCH($B31,'DIVISION 15'!$A$17:$H$17,0),""),IFNA(MATCH($B31,'DIVISION 15'!$A$18:$H$18,0),""))=8,'DIVISION 15'!$H$1)</f>
        <v>SOFI</v>
      </c>
      <c r="U31" s="8" t="str">
        <f t="shared" si="1"/>
        <v>SOFI4</v>
      </c>
      <c r="V31" s="9">
        <f>SUMIF(AsistenciaViewJetAdmin!$A$3:$A$101,A31,AsistenciaViewJetAdmin!$C$3:$C$101)/(COUNTIF(AsistenciaViewJetAdmin!$D$102:V$102,"&gt;0")+COUNTIF(ActividadesEspeciales!$D$102:V$102,"&gt;0"))*100</f>
        <v>81.38297872</v>
      </c>
    </row>
    <row r="32" ht="28.5" customHeight="1">
      <c r="A32" s="3">
        <v>208.0</v>
      </c>
      <c r="B32" s="4" t="s">
        <v>288</v>
      </c>
      <c r="C32" s="5">
        <v>1086502.0</v>
      </c>
      <c r="D32" s="7" t="s">
        <v>289</v>
      </c>
      <c r="E32" s="5">
        <v>4.9764338E7</v>
      </c>
      <c r="F32" s="5" t="s">
        <v>290</v>
      </c>
      <c r="G32" s="7">
        <v>1.128631394E9</v>
      </c>
      <c r="H32" s="5" t="s">
        <v>291</v>
      </c>
      <c r="I32" s="5" t="s">
        <v>292</v>
      </c>
      <c r="J32" s="7">
        <v>1.122651763E9</v>
      </c>
      <c r="K32" s="5" t="s">
        <v>293</v>
      </c>
      <c r="L32" s="5" t="s">
        <v>294</v>
      </c>
      <c r="M32" s="7">
        <v>1.16733555E9</v>
      </c>
      <c r="N32" s="5" t="s">
        <v>40</v>
      </c>
      <c r="O32" s="5" t="s">
        <v>295</v>
      </c>
      <c r="P32" s="5" t="s">
        <v>120</v>
      </c>
      <c r="Q32" s="5" t="s">
        <v>30</v>
      </c>
      <c r="R32" s="5" t="s">
        <v>31</v>
      </c>
      <c r="S32" s="5" t="s">
        <v>32</v>
      </c>
      <c r="T32" s="8" t="str">
        <f>IFS(SUM(IFNA(MATCH($B32,'DIVISION 15'!$A$2:$H$2,0),""),IFNA(MATCH($B32,'DIVISION 15'!$A$3:$H$3,0),""),IFNA(MATCH($B32,'DIVISION 15'!$A$4:$H$4,0),""),IFNA(MATCH($B32,'DIVISION 15'!$A$5:$H$5,0),""),IFNA(MATCH($B32,'DIVISION 15'!$A$6:$H$6,0),""),IFNA(MATCH($B32,'DIVISION 15'!$A$7:$H$7,0),""),IFNA(MATCH($B32,'DIVISION 15'!$A$8:$H$8,0),""),IFNA(MATCH($B32,'DIVISION 15'!$A$9:$H$9,0),""),IFNA(MATCH($B32,'DIVISION 15'!$A$10:$H$10,0),""),IFNA(MATCH($B32,'DIVISION 15'!$A$11:$H$11,0),""),IFNA(MATCH($B32,'DIVISION 15'!$A$12:$H$12,0),""),IFNA(MATCH($B32,'DIVISION 15'!$A$13:$H$13,0),""),IFNA(MATCH($B32,'DIVISION 15'!$A$14:$H$14,0),""),IFNA(MATCH($B32,'DIVISION 15'!$A$15:$H$15,0),""),IFNA(MATCH($B32,'DIVISION 15'!$A$16:$H$16,0),""),IFNA(MATCH($B32,'DIVISION 15'!$A$17:$H$17,0),""),IFNA(MATCH($B32,'DIVISION 15'!$A$18:$H$18,0),""))=1,'DIVISION 15'!$A$1,SUM(IFNA(MATCH($B32,'DIVISION 15'!$A$2:$H$2,0),""),IFNA(MATCH($B32,'DIVISION 15'!$A$3:$H$3,0),""),IFNA(MATCH($B32,'DIVISION 15'!$A$4:$H$4,0),""),IFNA(MATCH($B32,'DIVISION 15'!$A$5:$H$5,0),""),IFNA(MATCH($B32,'DIVISION 15'!$A$6:$H$6,0),""),IFNA(MATCH($B32,'DIVISION 15'!$A$7:$H$7,0),""),IFNA(MATCH($B32,'DIVISION 15'!$A$8:$H$8,0),""),IFNA(MATCH($B32,'DIVISION 15'!$A$9:$H$9,0),""),IFNA(MATCH($B32,'DIVISION 15'!$A$10:$H$10,0),""),IFNA(MATCH($B32,'DIVISION 15'!$A$11:$H$11,0),""),IFNA(MATCH($B32,'DIVISION 15'!$A$12:$H$12,0),""),IFNA(MATCH($B32,'DIVISION 15'!$A$13:$H$13,0),""),IFNA(MATCH($B32,'DIVISION 15'!$A$14:$H$14,0),""),IFNA(MATCH($B32,'DIVISION 15'!$A$15:$H$15,0),""),IFNA(MATCH($B32,'DIVISION 15'!$A$16:$H$16,0),""),IFNA(MATCH($B32,'DIVISION 15'!$A$17:$H$17,0),""),IFNA(MATCH($B32,'DIVISION 15'!$A$18:$H$18,0),""))=2,'DIVISION 15'!$B$1,SUM(IFNA(MATCH($B32,'DIVISION 15'!$A$2:$H$2,0),""),IFNA(MATCH($B32,'DIVISION 15'!$A$3:$H$3,0),""),IFNA(MATCH($B32,'DIVISION 15'!$A$4:$H$4,0),""),IFNA(MATCH($B32,'DIVISION 15'!$A$5:$H$5,0),""),IFNA(MATCH($B32,'DIVISION 15'!$A$6:$H$6,0),""),IFNA(MATCH($B32,'DIVISION 15'!$A$7:$H$7,0),""),IFNA(MATCH($B32,'DIVISION 15'!$A$8:$H$8,0),""),IFNA(MATCH($B32,'DIVISION 15'!$A$9:$H$9,0),""),IFNA(MATCH($B32,'DIVISION 15'!$A$10:$H$10,0),""),IFNA(MATCH($B32,'DIVISION 15'!$A$11:$H$11,0),""),IFNA(MATCH($B32,'DIVISION 15'!$A$12:$H$12,0),""),IFNA(MATCH($B32,'DIVISION 15'!$A$13:$H$13,0),""),IFNA(MATCH($B32,'DIVISION 15'!$A$14:$H$14,0),""),IFNA(MATCH($B32,'DIVISION 15'!$A$15:$H$15,0),""),IFNA(MATCH($B32,'DIVISION 15'!$A$16:$H$16,0),""),IFNA(MATCH($B32,'DIVISION 15'!$A$17:$H$17,0),""),IFNA(MATCH($B32,'DIVISION 15'!$A$18:$H$18,0),""))=3,'DIVISION 15'!$C$1,SUM(IFNA(MATCH($B32,'DIVISION 15'!$A$2:$H$2,0),""),IFNA(MATCH($B32,'DIVISION 15'!$A$3:$H$3,0),""),IFNA(MATCH($B32,'DIVISION 15'!$A$4:$H$4,0),""),IFNA(MATCH($B32,'DIVISION 15'!$A$5:$H$5,0),""),IFNA(MATCH($B32,'DIVISION 15'!$A$6:$H$6,0),""),IFNA(MATCH($B32,'DIVISION 15'!$A$7:$H$7,0),""),IFNA(MATCH($B32,'DIVISION 15'!$A$8:$H$8,0),""),IFNA(MATCH($B32,'DIVISION 15'!$A$9:$H$9,0),""),IFNA(MATCH($B32,'DIVISION 15'!$A$10:$H$10,0),""),IFNA(MATCH($B32,'DIVISION 15'!$A$11:$H$11,0),""),IFNA(MATCH($B32,'DIVISION 15'!$A$12:$H$12,0),""),IFNA(MATCH($B32,'DIVISION 15'!$A$13:$H$13,0),""),IFNA(MATCH($B32,'DIVISION 15'!$A$14:$H$14,0),""),IFNA(MATCH($B32,'DIVISION 15'!$A$15:$H$15,0),""),IFNA(MATCH($B32,'DIVISION 15'!$A$16:$H$16,0),""),IFNA(MATCH($B32,'DIVISION 15'!$A$17:$H$17,0),""),IFNA(MATCH($B32,'DIVISION 15'!$A$18:$H$18,0),""))=4,'DIVISION 15'!$D$1,SUM(IFNA(MATCH($B32,'DIVISION 15'!$A$2:$H$2,0),""),IFNA(MATCH($B32,'DIVISION 15'!$A$3:$H$3,0),""),IFNA(MATCH($B32,'DIVISION 15'!$A$4:$H$4,0),""),IFNA(MATCH($B32,'DIVISION 15'!$A$5:$H$5,0),""),IFNA(MATCH($B32,'DIVISION 15'!$A$6:$H$6,0),""),IFNA(MATCH($B32,'DIVISION 15'!$A$7:$H$7,0),""),IFNA(MATCH($B32,'DIVISION 15'!$A$8:$H$8,0),""),IFNA(MATCH($B32,'DIVISION 15'!$A$9:$H$9,0),""),IFNA(MATCH($B32,'DIVISION 15'!$A$10:$H$10,0),""),IFNA(MATCH($B32,'DIVISION 15'!$A$11:$H$11,0),""),IFNA(MATCH($B32,'DIVISION 15'!$A$12:$H$12,0),""),IFNA(MATCH($B32,'DIVISION 15'!$A$13:$H$13,0),""),IFNA(MATCH($B32,'DIVISION 15'!$A$14:$H$14,0),""),IFNA(MATCH($B32,'DIVISION 15'!$A$15:$H$15,0),""),IFNA(MATCH($B32,'DIVISION 15'!$A$16:$H$16,0),""),IFNA(MATCH($B32,'DIVISION 15'!$A$17:$H$17,0),""),IFNA(MATCH($B32,'DIVISION 15'!$A$18:$H$18,0),""))=5,'DIVISION 15'!$E$1,SUM(IFNA(MATCH($B32,'DIVISION 15'!$A$2:$H$2,0),""),IFNA(MATCH($B32,'DIVISION 15'!$A$3:$H$3,0),""),IFNA(MATCH($B32,'DIVISION 15'!$A$4:$H$4,0),""),IFNA(MATCH($B32,'DIVISION 15'!$A$5:$H$5,0),""),IFNA(MATCH($B32,'DIVISION 15'!$A$6:$H$6,0),""),IFNA(MATCH($B32,'DIVISION 15'!$A$7:$H$7,0),""),IFNA(MATCH($B32,'DIVISION 15'!$A$8:$H$8,0),""),IFNA(MATCH($B32,'DIVISION 15'!$A$9:$H$9,0),""),IFNA(MATCH($B32,'DIVISION 15'!$A$10:$H$10,0),""),IFNA(MATCH($B32,'DIVISION 15'!$A$11:$H$11,0),""),IFNA(MATCH($B32,'DIVISION 15'!$A$12:$H$12,0),""),IFNA(MATCH($B32,'DIVISION 15'!$A$13:$H$13,0),""),IFNA(MATCH($B32,'DIVISION 15'!$A$14:$H$14,0),""),IFNA(MATCH($B32,'DIVISION 15'!$A$15:$H$15,0),""),IFNA(MATCH($B32,'DIVISION 15'!$A$16:$H$16,0),""),IFNA(MATCH($B32,'DIVISION 15'!$A$17:$H$17,0),""),IFNA(MATCH($B32,'DIVISION 15'!$A$18:$H$18,0),""))=6,'DIVISION 15'!$F$1,SUM(IFNA(MATCH($B32,'DIVISION 15'!$A$2:$H$2,0),""),IFNA(MATCH($B32,'DIVISION 15'!$A$3:$H$3,0),""),IFNA(MATCH($B32,'DIVISION 15'!$A$4:$H$4,0),""),IFNA(MATCH($B32,'DIVISION 15'!$A$5:$H$5,0),""),IFNA(MATCH($B32,'DIVISION 15'!$A$6:$H$6,0),""),IFNA(MATCH($B32,'DIVISION 15'!$A$7:$H$7,0),""),IFNA(MATCH($B32,'DIVISION 15'!$A$8:$H$8,0),""),IFNA(MATCH($B32,'DIVISION 15'!$A$9:$H$9,0),""),IFNA(MATCH($B32,'DIVISION 15'!$A$10:$H$10,0),""),IFNA(MATCH($B32,'DIVISION 15'!$A$11:$H$11,0),""),IFNA(MATCH($B32,'DIVISION 15'!$A$12:$H$12,0),""),IFNA(MATCH($B32,'DIVISION 15'!$A$13:$H$13,0),""),IFNA(MATCH($B32,'DIVISION 15'!$A$14:$H$14,0),""),IFNA(MATCH($B32,'DIVISION 15'!$A$15:$H$15,0),""),IFNA(MATCH($B32,'DIVISION 15'!$A$16:$H$16,0),""),IFNA(MATCH($B32,'DIVISION 15'!$A$17:$H$17,0),""),IFNA(MATCH($B32,'DIVISION 15'!$A$18:$H$18,0),""))=7,'DIVISION 15'!$G$1,SUM(IFNA(MATCH($B32,'DIVISION 15'!$A$2:$H$2,0),""),IFNA(MATCH($B32,'DIVISION 15'!$A$3:$H$3,0),""),IFNA(MATCH($B32,'DIVISION 15'!$A$4:$H$4,0),""),IFNA(MATCH($B32,'DIVISION 15'!$A$5:$H$5,0),""),IFNA(MATCH($B32,'DIVISION 15'!$A$6:$H$6,0),""),IFNA(MATCH($B32,'DIVISION 15'!$A$7:$H$7,0),""),IFNA(MATCH($B32,'DIVISION 15'!$A$8:$H$8,0),""),IFNA(MATCH($B32,'DIVISION 15'!$A$9:$H$9,0),""),IFNA(MATCH($B32,'DIVISION 15'!$A$10:$H$10,0),""),IFNA(MATCH($B32,'DIVISION 15'!$A$11:$H$11,0),""),IFNA(MATCH($B32,'DIVISION 15'!$A$12:$H$12,0),""),IFNA(MATCH($B32,'DIVISION 15'!$A$13:$H$13,0),""),IFNA(MATCH($B32,'DIVISION 15'!$A$14:$H$14,0),""),IFNA(MATCH($B32,'DIVISION 15'!$A$15:$H$15,0),""),IFNA(MATCH($B32,'DIVISION 15'!$A$16:$H$16,0),""),IFNA(MATCH($B32,'DIVISION 15'!$A$17:$H$17,0),""),IFNA(MATCH($B32,'DIVISION 15'!$A$18:$H$18,0),""))=8,'DIVISION 15'!$H$1)</f>
        <v>MELU</v>
      </c>
      <c r="U32" s="8" t="str">
        <f t="shared" si="1"/>
        <v>MELU3</v>
      </c>
      <c r="V32" s="9">
        <f>SUMIF(AsistenciaViewJetAdmin!$A$3:$A$101,A32,AsistenciaViewJetAdmin!$C$3:$C$101)/(COUNTIF(AsistenciaViewJetAdmin!$D$102:V$102,"&gt;0")+COUNTIF(ActividadesEspeciales!$D$102:V$102,"&gt;0"))*100</f>
        <v>89.89361702</v>
      </c>
    </row>
    <row r="33" ht="28.5" customHeight="1">
      <c r="A33" s="3">
        <v>164.0</v>
      </c>
      <c r="B33" s="4" t="s">
        <v>296</v>
      </c>
      <c r="C33" s="5">
        <v>1067502.0</v>
      </c>
      <c r="D33" s="7" t="s">
        <v>297</v>
      </c>
      <c r="E33" s="5">
        <v>4.9553388E7</v>
      </c>
      <c r="F33" s="5" t="s">
        <v>298</v>
      </c>
      <c r="G33" s="7">
        <v>1.132613466E9</v>
      </c>
      <c r="H33" s="5" t="s">
        <v>299</v>
      </c>
      <c r="I33" s="5" t="s">
        <v>300</v>
      </c>
      <c r="J33" s="7">
        <v>1.169048151E9</v>
      </c>
      <c r="K33" s="5" t="s">
        <v>301</v>
      </c>
      <c r="L33" s="5" t="s">
        <v>302</v>
      </c>
      <c r="M33" s="7">
        <v>1.141629413E9</v>
      </c>
      <c r="N33" s="5" t="s">
        <v>61</v>
      </c>
      <c r="O33" s="5" t="s">
        <v>303</v>
      </c>
      <c r="P33" s="5" t="s">
        <v>304</v>
      </c>
      <c r="Q33" s="5" t="s">
        <v>74</v>
      </c>
      <c r="R33" s="5" t="s">
        <v>31</v>
      </c>
      <c r="S33" s="5" t="s">
        <v>43</v>
      </c>
      <c r="T33" s="8" t="str">
        <f>IFS(SUM(IFNA(MATCH($B33,'DIVISION 15'!$A$2:$H$2,0),""),IFNA(MATCH($B33,'DIVISION 15'!$A$3:$H$3,0),""),IFNA(MATCH($B33,'DIVISION 15'!$A$4:$H$4,0),""),IFNA(MATCH($B33,'DIVISION 15'!$A$5:$H$5,0),""),IFNA(MATCH($B33,'DIVISION 15'!$A$6:$H$6,0),""),IFNA(MATCH($B33,'DIVISION 15'!$A$7:$H$7,0),""),IFNA(MATCH($B33,'DIVISION 15'!$A$8:$H$8,0),""),IFNA(MATCH($B33,'DIVISION 15'!$A$9:$H$9,0),""),IFNA(MATCH($B33,'DIVISION 15'!$A$10:$H$10,0),""),IFNA(MATCH($B33,'DIVISION 15'!$A$11:$H$11,0),""),IFNA(MATCH($B33,'DIVISION 15'!$A$12:$H$12,0),""),IFNA(MATCH($B33,'DIVISION 15'!$A$13:$H$13,0),""),IFNA(MATCH($B33,'DIVISION 15'!$A$14:$H$14,0),""),IFNA(MATCH($B33,'DIVISION 15'!$A$15:$H$15,0),""),IFNA(MATCH($B33,'DIVISION 15'!$A$16:$H$16,0),""),IFNA(MATCH($B33,'DIVISION 15'!$A$17:$H$17,0),""),IFNA(MATCH($B33,'DIVISION 15'!$A$18:$H$18,0),""))=1,'DIVISION 15'!$A$1,SUM(IFNA(MATCH($B33,'DIVISION 15'!$A$2:$H$2,0),""),IFNA(MATCH($B33,'DIVISION 15'!$A$3:$H$3,0),""),IFNA(MATCH($B33,'DIVISION 15'!$A$4:$H$4,0),""),IFNA(MATCH($B33,'DIVISION 15'!$A$5:$H$5,0),""),IFNA(MATCH($B33,'DIVISION 15'!$A$6:$H$6,0),""),IFNA(MATCH($B33,'DIVISION 15'!$A$7:$H$7,0),""),IFNA(MATCH($B33,'DIVISION 15'!$A$8:$H$8,0),""),IFNA(MATCH($B33,'DIVISION 15'!$A$9:$H$9,0),""),IFNA(MATCH($B33,'DIVISION 15'!$A$10:$H$10,0),""),IFNA(MATCH($B33,'DIVISION 15'!$A$11:$H$11,0),""),IFNA(MATCH($B33,'DIVISION 15'!$A$12:$H$12,0),""),IFNA(MATCH($B33,'DIVISION 15'!$A$13:$H$13,0),""),IFNA(MATCH($B33,'DIVISION 15'!$A$14:$H$14,0),""),IFNA(MATCH($B33,'DIVISION 15'!$A$15:$H$15,0),""),IFNA(MATCH($B33,'DIVISION 15'!$A$16:$H$16,0),""),IFNA(MATCH($B33,'DIVISION 15'!$A$17:$H$17,0),""),IFNA(MATCH($B33,'DIVISION 15'!$A$18:$H$18,0),""))=2,'DIVISION 15'!$B$1,SUM(IFNA(MATCH($B33,'DIVISION 15'!$A$2:$H$2,0),""),IFNA(MATCH($B33,'DIVISION 15'!$A$3:$H$3,0),""),IFNA(MATCH($B33,'DIVISION 15'!$A$4:$H$4,0),""),IFNA(MATCH($B33,'DIVISION 15'!$A$5:$H$5,0),""),IFNA(MATCH($B33,'DIVISION 15'!$A$6:$H$6,0),""),IFNA(MATCH($B33,'DIVISION 15'!$A$7:$H$7,0),""),IFNA(MATCH($B33,'DIVISION 15'!$A$8:$H$8,0),""),IFNA(MATCH($B33,'DIVISION 15'!$A$9:$H$9,0),""),IFNA(MATCH($B33,'DIVISION 15'!$A$10:$H$10,0),""),IFNA(MATCH($B33,'DIVISION 15'!$A$11:$H$11,0),""),IFNA(MATCH($B33,'DIVISION 15'!$A$12:$H$12,0),""),IFNA(MATCH($B33,'DIVISION 15'!$A$13:$H$13,0),""),IFNA(MATCH($B33,'DIVISION 15'!$A$14:$H$14,0),""),IFNA(MATCH($B33,'DIVISION 15'!$A$15:$H$15,0),""),IFNA(MATCH($B33,'DIVISION 15'!$A$16:$H$16,0),""),IFNA(MATCH($B33,'DIVISION 15'!$A$17:$H$17,0),""),IFNA(MATCH($B33,'DIVISION 15'!$A$18:$H$18,0),""))=3,'DIVISION 15'!$C$1,SUM(IFNA(MATCH($B33,'DIVISION 15'!$A$2:$H$2,0),""),IFNA(MATCH($B33,'DIVISION 15'!$A$3:$H$3,0),""),IFNA(MATCH($B33,'DIVISION 15'!$A$4:$H$4,0),""),IFNA(MATCH($B33,'DIVISION 15'!$A$5:$H$5,0),""),IFNA(MATCH($B33,'DIVISION 15'!$A$6:$H$6,0),""),IFNA(MATCH($B33,'DIVISION 15'!$A$7:$H$7,0),""),IFNA(MATCH($B33,'DIVISION 15'!$A$8:$H$8,0),""),IFNA(MATCH($B33,'DIVISION 15'!$A$9:$H$9,0),""),IFNA(MATCH($B33,'DIVISION 15'!$A$10:$H$10,0),""),IFNA(MATCH($B33,'DIVISION 15'!$A$11:$H$11,0),""),IFNA(MATCH($B33,'DIVISION 15'!$A$12:$H$12,0),""),IFNA(MATCH($B33,'DIVISION 15'!$A$13:$H$13,0),""),IFNA(MATCH($B33,'DIVISION 15'!$A$14:$H$14,0),""),IFNA(MATCH($B33,'DIVISION 15'!$A$15:$H$15,0),""),IFNA(MATCH($B33,'DIVISION 15'!$A$16:$H$16,0),""),IFNA(MATCH($B33,'DIVISION 15'!$A$17:$H$17,0),""),IFNA(MATCH($B33,'DIVISION 15'!$A$18:$H$18,0),""))=4,'DIVISION 15'!$D$1,SUM(IFNA(MATCH($B33,'DIVISION 15'!$A$2:$H$2,0),""),IFNA(MATCH($B33,'DIVISION 15'!$A$3:$H$3,0),""),IFNA(MATCH($B33,'DIVISION 15'!$A$4:$H$4,0),""),IFNA(MATCH($B33,'DIVISION 15'!$A$5:$H$5,0),""),IFNA(MATCH($B33,'DIVISION 15'!$A$6:$H$6,0),""),IFNA(MATCH($B33,'DIVISION 15'!$A$7:$H$7,0),""),IFNA(MATCH($B33,'DIVISION 15'!$A$8:$H$8,0),""),IFNA(MATCH($B33,'DIVISION 15'!$A$9:$H$9,0),""),IFNA(MATCH($B33,'DIVISION 15'!$A$10:$H$10,0),""),IFNA(MATCH($B33,'DIVISION 15'!$A$11:$H$11,0),""),IFNA(MATCH($B33,'DIVISION 15'!$A$12:$H$12,0),""),IFNA(MATCH($B33,'DIVISION 15'!$A$13:$H$13,0),""),IFNA(MATCH($B33,'DIVISION 15'!$A$14:$H$14,0),""),IFNA(MATCH($B33,'DIVISION 15'!$A$15:$H$15,0),""),IFNA(MATCH($B33,'DIVISION 15'!$A$16:$H$16,0),""),IFNA(MATCH($B33,'DIVISION 15'!$A$17:$H$17,0),""),IFNA(MATCH($B33,'DIVISION 15'!$A$18:$H$18,0),""))=5,'DIVISION 15'!$E$1,SUM(IFNA(MATCH($B33,'DIVISION 15'!$A$2:$H$2,0),""),IFNA(MATCH($B33,'DIVISION 15'!$A$3:$H$3,0),""),IFNA(MATCH($B33,'DIVISION 15'!$A$4:$H$4,0),""),IFNA(MATCH($B33,'DIVISION 15'!$A$5:$H$5,0),""),IFNA(MATCH($B33,'DIVISION 15'!$A$6:$H$6,0),""),IFNA(MATCH($B33,'DIVISION 15'!$A$7:$H$7,0),""),IFNA(MATCH($B33,'DIVISION 15'!$A$8:$H$8,0),""),IFNA(MATCH($B33,'DIVISION 15'!$A$9:$H$9,0),""),IFNA(MATCH($B33,'DIVISION 15'!$A$10:$H$10,0),""),IFNA(MATCH($B33,'DIVISION 15'!$A$11:$H$11,0),""),IFNA(MATCH($B33,'DIVISION 15'!$A$12:$H$12,0),""),IFNA(MATCH($B33,'DIVISION 15'!$A$13:$H$13,0),""),IFNA(MATCH($B33,'DIVISION 15'!$A$14:$H$14,0),""),IFNA(MATCH($B33,'DIVISION 15'!$A$15:$H$15,0),""),IFNA(MATCH($B33,'DIVISION 15'!$A$16:$H$16,0),""),IFNA(MATCH($B33,'DIVISION 15'!$A$17:$H$17,0),""),IFNA(MATCH($B33,'DIVISION 15'!$A$18:$H$18,0),""))=6,'DIVISION 15'!$F$1,SUM(IFNA(MATCH($B33,'DIVISION 15'!$A$2:$H$2,0),""),IFNA(MATCH($B33,'DIVISION 15'!$A$3:$H$3,0),""),IFNA(MATCH($B33,'DIVISION 15'!$A$4:$H$4,0),""),IFNA(MATCH($B33,'DIVISION 15'!$A$5:$H$5,0),""),IFNA(MATCH($B33,'DIVISION 15'!$A$6:$H$6,0),""),IFNA(MATCH($B33,'DIVISION 15'!$A$7:$H$7,0),""),IFNA(MATCH($B33,'DIVISION 15'!$A$8:$H$8,0),""),IFNA(MATCH($B33,'DIVISION 15'!$A$9:$H$9,0),""),IFNA(MATCH($B33,'DIVISION 15'!$A$10:$H$10,0),""),IFNA(MATCH($B33,'DIVISION 15'!$A$11:$H$11,0),""),IFNA(MATCH($B33,'DIVISION 15'!$A$12:$H$12,0),""),IFNA(MATCH($B33,'DIVISION 15'!$A$13:$H$13,0),""),IFNA(MATCH($B33,'DIVISION 15'!$A$14:$H$14,0),""),IFNA(MATCH($B33,'DIVISION 15'!$A$15:$H$15,0),""),IFNA(MATCH($B33,'DIVISION 15'!$A$16:$H$16,0),""),IFNA(MATCH($B33,'DIVISION 15'!$A$17:$H$17,0),""),IFNA(MATCH($B33,'DIVISION 15'!$A$18:$H$18,0),""))=7,'DIVISION 15'!$G$1,SUM(IFNA(MATCH($B33,'DIVISION 15'!$A$2:$H$2,0),""),IFNA(MATCH($B33,'DIVISION 15'!$A$3:$H$3,0),""),IFNA(MATCH($B33,'DIVISION 15'!$A$4:$H$4,0),""),IFNA(MATCH($B33,'DIVISION 15'!$A$5:$H$5,0),""),IFNA(MATCH($B33,'DIVISION 15'!$A$6:$H$6,0),""),IFNA(MATCH($B33,'DIVISION 15'!$A$7:$H$7,0),""),IFNA(MATCH($B33,'DIVISION 15'!$A$8:$H$8,0),""),IFNA(MATCH($B33,'DIVISION 15'!$A$9:$H$9,0),""),IFNA(MATCH($B33,'DIVISION 15'!$A$10:$H$10,0),""),IFNA(MATCH($B33,'DIVISION 15'!$A$11:$H$11,0),""),IFNA(MATCH($B33,'DIVISION 15'!$A$12:$H$12,0),""),IFNA(MATCH($B33,'DIVISION 15'!$A$13:$H$13,0),""),IFNA(MATCH($B33,'DIVISION 15'!$A$14:$H$14,0),""),IFNA(MATCH($B33,'DIVISION 15'!$A$15:$H$15,0),""),IFNA(MATCH($B33,'DIVISION 15'!$A$16:$H$16,0),""),IFNA(MATCH($B33,'DIVISION 15'!$A$17:$H$17,0),""),IFNA(MATCH($B33,'DIVISION 15'!$A$18:$H$18,0),""))=8,'DIVISION 15'!$H$1)</f>
        <v>SOFI</v>
      </c>
      <c r="U33" s="8" t="str">
        <f t="shared" si="1"/>
        <v>SOFI5</v>
      </c>
      <c r="V33" s="9">
        <f>SUMIF(AsistenciaViewJetAdmin!$A$3:$A$101,A33,AsistenciaViewJetAdmin!$C$3:$C$101)/(COUNTIF(AsistenciaViewJetAdmin!$D$102:V$102,"&gt;0")+COUNTIF(ActividadesEspeciales!$D$102:V$102,"&gt;0"))*100</f>
        <v>68.08510638</v>
      </c>
    </row>
    <row r="34" ht="28.5" customHeight="1">
      <c r="A34" s="3">
        <v>192.0</v>
      </c>
      <c r="B34" s="4" t="s">
        <v>305</v>
      </c>
      <c r="C34" s="5">
        <v>12020.0</v>
      </c>
      <c r="D34" s="6">
        <v>40303.0</v>
      </c>
      <c r="E34" s="5">
        <v>5.0291047E7</v>
      </c>
      <c r="F34" s="5" t="s">
        <v>306</v>
      </c>
      <c r="G34" s="7">
        <v>1.1373467E9</v>
      </c>
      <c r="H34" s="5" t="s">
        <v>307</v>
      </c>
      <c r="I34" s="5" t="s">
        <v>308</v>
      </c>
      <c r="J34" s="7">
        <v>1.14439295E9</v>
      </c>
      <c r="K34" s="5" t="s">
        <v>309</v>
      </c>
      <c r="L34" s="5" t="s">
        <v>310</v>
      </c>
      <c r="M34" s="7">
        <v>1.14076071E9</v>
      </c>
      <c r="N34" s="5" t="s">
        <v>51</v>
      </c>
      <c r="O34" s="5" t="s">
        <v>311</v>
      </c>
      <c r="P34" s="5" t="s">
        <v>42</v>
      </c>
      <c r="Q34" s="5" t="s">
        <v>129</v>
      </c>
      <c r="R34" s="5" t="s">
        <v>31</v>
      </c>
      <c r="S34" s="5" t="s">
        <v>32</v>
      </c>
      <c r="T34" s="8" t="str">
        <f>IFS(SUM(IFNA(MATCH($B34,'DIVISION 15'!$A$2:$H$2,0),""),IFNA(MATCH($B34,'DIVISION 15'!$A$3:$H$3,0),""),IFNA(MATCH($B34,'DIVISION 15'!$A$4:$H$4,0),""),IFNA(MATCH($B34,'DIVISION 15'!$A$5:$H$5,0),""),IFNA(MATCH($B34,'DIVISION 15'!$A$6:$H$6,0),""),IFNA(MATCH($B34,'DIVISION 15'!$A$7:$H$7,0),""),IFNA(MATCH($B34,'DIVISION 15'!$A$8:$H$8,0),""),IFNA(MATCH($B34,'DIVISION 15'!$A$9:$H$9,0),""),IFNA(MATCH($B34,'DIVISION 15'!$A$10:$H$10,0),""),IFNA(MATCH($B34,'DIVISION 15'!$A$11:$H$11,0),""),IFNA(MATCH($B34,'DIVISION 15'!$A$12:$H$12,0),""),IFNA(MATCH($B34,'DIVISION 15'!$A$13:$H$13,0),""),IFNA(MATCH($B34,'DIVISION 15'!$A$14:$H$14,0),""),IFNA(MATCH($B34,'DIVISION 15'!$A$15:$H$15,0),""),IFNA(MATCH($B34,'DIVISION 15'!$A$16:$H$16,0),""),IFNA(MATCH($B34,'DIVISION 15'!$A$17:$H$17,0),""),IFNA(MATCH($B34,'DIVISION 15'!$A$18:$H$18,0),""))=1,'DIVISION 15'!$A$1,SUM(IFNA(MATCH($B34,'DIVISION 15'!$A$2:$H$2,0),""),IFNA(MATCH($B34,'DIVISION 15'!$A$3:$H$3,0),""),IFNA(MATCH($B34,'DIVISION 15'!$A$4:$H$4,0),""),IFNA(MATCH($B34,'DIVISION 15'!$A$5:$H$5,0),""),IFNA(MATCH($B34,'DIVISION 15'!$A$6:$H$6,0),""),IFNA(MATCH($B34,'DIVISION 15'!$A$7:$H$7,0),""),IFNA(MATCH($B34,'DIVISION 15'!$A$8:$H$8,0),""),IFNA(MATCH($B34,'DIVISION 15'!$A$9:$H$9,0),""),IFNA(MATCH($B34,'DIVISION 15'!$A$10:$H$10,0),""),IFNA(MATCH($B34,'DIVISION 15'!$A$11:$H$11,0),""),IFNA(MATCH($B34,'DIVISION 15'!$A$12:$H$12,0),""),IFNA(MATCH($B34,'DIVISION 15'!$A$13:$H$13,0),""),IFNA(MATCH($B34,'DIVISION 15'!$A$14:$H$14,0),""),IFNA(MATCH($B34,'DIVISION 15'!$A$15:$H$15,0),""),IFNA(MATCH($B34,'DIVISION 15'!$A$16:$H$16,0),""),IFNA(MATCH($B34,'DIVISION 15'!$A$17:$H$17,0),""),IFNA(MATCH($B34,'DIVISION 15'!$A$18:$H$18,0),""))=2,'DIVISION 15'!$B$1,SUM(IFNA(MATCH($B34,'DIVISION 15'!$A$2:$H$2,0),""),IFNA(MATCH($B34,'DIVISION 15'!$A$3:$H$3,0),""),IFNA(MATCH($B34,'DIVISION 15'!$A$4:$H$4,0),""),IFNA(MATCH($B34,'DIVISION 15'!$A$5:$H$5,0),""),IFNA(MATCH($B34,'DIVISION 15'!$A$6:$H$6,0),""),IFNA(MATCH($B34,'DIVISION 15'!$A$7:$H$7,0),""),IFNA(MATCH($B34,'DIVISION 15'!$A$8:$H$8,0),""),IFNA(MATCH($B34,'DIVISION 15'!$A$9:$H$9,0),""),IFNA(MATCH($B34,'DIVISION 15'!$A$10:$H$10,0),""),IFNA(MATCH($B34,'DIVISION 15'!$A$11:$H$11,0),""),IFNA(MATCH($B34,'DIVISION 15'!$A$12:$H$12,0),""),IFNA(MATCH($B34,'DIVISION 15'!$A$13:$H$13,0),""),IFNA(MATCH($B34,'DIVISION 15'!$A$14:$H$14,0),""),IFNA(MATCH($B34,'DIVISION 15'!$A$15:$H$15,0),""),IFNA(MATCH($B34,'DIVISION 15'!$A$16:$H$16,0),""),IFNA(MATCH($B34,'DIVISION 15'!$A$17:$H$17,0),""),IFNA(MATCH($B34,'DIVISION 15'!$A$18:$H$18,0),""))=3,'DIVISION 15'!$C$1,SUM(IFNA(MATCH($B34,'DIVISION 15'!$A$2:$H$2,0),""),IFNA(MATCH($B34,'DIVISION 15'!$A$3:$H$3,0),""),IFNA(MATCH($B34,'DIVISION 15'!$A$4:$H$4,0),""),IFNA(MATCH($B34,'DIVISION 15'!$A$5:$H$5,0),""),IFNA(MATCH($B34,'DIVISION 15'!$A$6:$H$6,0),""),IFNA(MATCH($B34,'DIVISION 15'!$A$7:$H$7,0),""),IFNA(MATCH($B34,'DIVISION 15'!$A$8:$H$8,0),""),IFNA(MATCH($B34,'DIVISION 15'!$A$9:$H$9,0),""),IFNA(MATCH($B34,'DIVISION 15'!$A$10:$H$10,0),""),IFNA(MATCH($B34,'DIVISION 15'!$A$11:$H$11,0),""),IFNA(MATCH($B34,'DIVISION 15'!$A$12:$H$12,0),""),IFNA(MATCH($B34,'DIVISION 15'!$A$13:$H$13,0),""),IFNA(MATCH($B34,'DIVISION 15'!$A$14:$H$14,0),""),IFNA(MATCH($B34,'DIVISION 15'!$A$15:$H$15,0),""),IFNA(MATCH($B34,'DIVISION 15'!$A$16:$H$16,0),""),IFNA(MATCH($B34,'DIVISION 15'!$A$17:$H$17,0),""),IFNA(MATCH($B34,'DIVISION 15'!$A$18:$H$18,0),""))=4,'DIVISION 15'!$D$1,SUM(IFNA(MATCH($B34,'DIVISION 15'!$A$2:$H$2,0),""),IFNA(MATCH($B34,'DIVISION 15'!$A$3:$H$3,0),""),IFNA(MATCH($B34,'DIVISION 15'!$A$4:$H$4,0),""),IFNA(MATCH($B34,'DIVISION 15'!$A$5:$H$5,0),""),IFNA(MATCH($B34,'DIVISION 15'!$A$6:$H$6,0),""),IFNA(MATCH($B34,'DIVISION 15'!$A$7:$H$7,0),""),IFNA(MATCH($B34,'DIVISION 15'!$A$8:$H$8,0),""),IFNA(MATCH($B34,'DIVISION 15'!$A$9:$H$9,0),""),IFNA(MATCH($B34,'DIVISION 15'!$A$10:$H$10,0),""),IFNA(MATCH($B34,'DIVISION 15'!$A$11:$H$11,0),""),IFNA(MATCH($B34,'DIVISION 15'!$A$12:$H$12,0),""),IFNA(MATCH($B34,'DIVISION 15'!$A$13:$H$13,0),""),IFNA(MATCH($B34,'DIVISION 15'!$A$14:$H$14,0),""),IFNA(MATCH($B34,'DIVISION 15'!$A$15:$H$15,0),""),IFNA(MATCH($B34,'DIVISION 15'!$A$16:$H$16,0),""),IFNA(MATCH($B34,'DIVISION 15'!$A$17:$H$17,0),""),IFNA(MATCH($B34,'DIVISION 15'!$A$18:$H$18,0),""))=5,'DIVISION 15'!$E$1,SUM(IFNA(MATCH($B34,'DIVISION 15'!$A$2:$H$2,0),""),IFNA(MATCH($B34,'DIVISION 15'!$A$3:$H$3,0),""),IFNA(MATCH($B34,'DIVISION 15'!$A$4:$H$4,0),""),IFNA(MATCH($B34,'DIVISION 15'!$A$5:$H$5,0),""),IFNA(MATCH($B34,'DIVISION 15'!$A$6:$H$6,0),""),IFNA(MATCH($B34,'DIVISION 15'!$A$7:$H$7,0),""),IFNA(MATCH($B34,'DIVISION 15'!$A$8:$H$8,0),""),IFNA(MATCH($B34,'DIVISION 15'!$A$9:$H$9,0),""),IFNA(MATCH($B34,'DIVISION 15'!$A$10:$H$10,0),""),IFNA(MATCH($B34,'DIVISION 15'!$A$11:$H$11,0),""),IFNA(MATCH($B34,'DIVISION 15'!$A$12:$H$12,0),""),IFNA(MATCH($B34,'DIVISION 15'!$A$13:$H$13,0),""),IFNA(MATCH($B34,'DIVISION 15'!$A$14:$H$14,0),""),IFNA(MATCH($B34,'DIVISION 15'!$A$15:$H$15,0),""),IFNA(MATCH($B34,'DIVISION 15'!$A$16:$H$16,0),""),IFNA(MATCH($B34,'DIVISION 15'!$A$17:$H$17,0),""),IFNA(MATCH($B34,'DIVISION 15'!$A$18:$H$18,0),""))=6,'DIVISION 15'!$F$1,SUM(IFNA(MATCH($B34,'DIVISION 15'!$A$2:$H$2,0),""),IFNA(MATCH($B34,'DIVISION 15'!$A$3:$H$3,0),""),IFNA(MATCH($B34,'DIVISION 15'!$A$4:$H$4,0),""),IFNA(MATCH($B34,'DIVISION 15'!$A$5:$H$5,0),""),IFNA(MATCH($B34,'DIVISION 15'!$A$6:$H$6,0),""),IFNA(MATCH($B34,'DIVISION 15'!$A$7:$H$7,0),""),IFNA(MATCH($B34,'DIVISION 15'!$A$8:$H$8,0),""),IFNA(MATCH($B34,'DIVISION 15'!$A$9:$H$9,0),""),IFNA(MATCH($B34,'DIVISION 15'!$A$10:$H$10,0),""),IFNA(MATCH($B34,'DIVISION 15'!$A$11:$H$11,0),""),IFNA(MATCH($B34,'DIVISION 15'!$A$12:$H$12,0),""),IFNA(MATCH($B34,'DIVISION 15'!$A$13:$H$13,0),""),IFNA(MATCH($B34,'DIVISION 15'!$A$14:$H$14,0),""),IFNA(MATCH($B34,'DIVISION 15'!$A$15:$H$15,0),""),IFNA(MATCH($B34,'DIVISION 15'!$A$16:$H$16,0),""),IFNA(MATCH($B34,'DIVISION 15'!$A$17:$H$17,0),""),IFNA(MATCH($B34,'DIVISION 15'!$A$18:$H$18,0),""))=7,'DIVISION 15'!$G$1,SUM(IFNA(MATCH($B34,'DIVISION 15'!$A$2:$H$2,0),""),IFNA(MATCH($B34,'DIVISION 15'!$A$3:$H$3,0),""),IFNA(MATCH($B34,'DIVISION 15'!$A$4:$H$4,0),""),IFNA(MATCH($B34,'DIVISION 15'!$A$5:$H$5,0),""),IFNA(MATCH($B34,'DIVISION 15'!$A$6:$H$6,0),""),IFNA(MATCH($B34,'DIVISION 15'!$A$7:$H$7,0),""),IFNA(MATCH($B34,'DIVISION 15'!$A$8:$H$8,0),""),IFNA(MATCH($B34,'DIVISION 15'!$A$9:$H$9,0),""),IFNA(MATCH($B34,'DIVISION 15'!$A$10:$H$10,0),""),IFNA(MATCH($B34,'DIVISION 15'!$A$11:$H$11,0),""),IFNA(MATCH($B34,'DIVISION 15'!$A$12:$H$12,0),""),IFNA(MATCH($B34,'DIVISION 15'!$A$13:$H$13,0),""),IFNA(MATCH($B34,'DIVISION 15'!$A$14:$H$14,0),""),IFNA(MATCH($B34,'DIVISION 15'!$A$15:$H$15,0),""),IFNA(MATCH($B34,'DIVISION 15'!$A$16:$H$16,0),""),IFNA(MATCH($B34,'DIVISION 15'!$A$17:$H$17,0),""),IFNA(MATCH($B34,'DIVISION 15'!$A$18:$H$18,0),""))=8,'DIVISION 15'!$H$1)</f>
        <v>MELU</v>
      </c>
      <c r="U34" s="8" t="str">
        <f t="shared" si="1"/>
        <v>MELU4</v>
      </c>
      <c r="V34" s="9">
        <f>SUMIF(AsistenciaViewJetAdmin!$A$3:$A$101,A34,AsistenciaViewJetAdmin!$C$3:$C$101)/(COUNTIF(AsistenciaViewJetAdmin!$D$102:V$102,"&gt;0")+COUNTIF(ActividadesEspeciales!$D$102:V$102,"&gt;0"))*100</f>
        <v>63.82978723</v>
      </c>
    </row>
    <row r="35" ht="28.5" customHeight="1">
      <c r="A35" s="3">
        <v>157.0</v>
      </c>
      <c r="B35" s="4" t="s">
        <v>312</v>
      </c>
      <c r="C35" s="5">
        <v>929304.0</v>
      </c>
      <c r="D35" s="7" t="s">
        <v>313</v>
      </c>
      <c r="E35" s="5">
        <v>5.0289183E7</v>
      </c>
      <c r="F35" s="5" t="s">
        <v>314</v>
      </c>
      <c r="G35" s="7">
        <v>1.145286022E9</v>
      </c>
      <c r="H35" s="5" t="s">
        <v>315</v>
      </c>
      <c r="I35" s="5" t="s">
        <v>316</v>
      </c>
      <c r="J35" s="7">
        <v>1.161139021E9</v>
      </c>
      <c r="K35" s="5" t="s">
        <v>317</v>
      </c>
      <c r="L35" s="5" t="s">
        <v>316</v>
      </c>
      <c r="M35" s="7">
        <v>1.154296734E9</v>
      </c>
      <c r="N35" s="5" t="s">
        <v>61</v>
      </c>
      <c r="O35" s="5" t="s">
        <v>318</v>
      </c>
      <c r="P35" s="5" t="s">
        <v>120</v>
      </c>
      <c r="Q35" s="5" t="s">
        <v>30</v>
      </c>
      <c r="R35" s="5" t="s">
        <v>31</v>
      </c>
      <c r="S35" s="5" t="s">
        <v>43</v>
      </c>
      <c r="T35" s="8" t="str">
        <f>IFS(SUM(IFNA(MATCH($B35,'DIVISION 15'!$A$2:$H$2,0),""),IFNA(MATCH($B35,'DIVISION 15'!$A$3:$H$3,0),""),IFNA(MATCH($B35,'DIVISION 15'!$A$4:$H$4,0),""),IFNA(MATCH($B35,'DIVISION 15'!$A$5:$H$5,0),""),IFNA(MATCH($B35,'DIVISION 15'!$A$6:$H$6,0),""),IFNA(MATCH($B35,'DIVISION 15'!$A$7:$H$7,0),""),IFNA(MATCH($B35,'DIVISION 15'!$A$8:$H$8,0),""),IFNA(MATCH($B35,'DIVISION 15'!$A$9:$H$9,0),""),IFNA(MATCH($B35,'DIVISION 15'!$A$10:$H$10,0),""),IFNA(MATCH($B35,'DIVISION 15'!$A$11:$H$11,0),""),IFNA(MATCH($B35,'DIVISION 15'!$A$12:$H$12,0),""),IFNA(MATCH($B35,'DIVISION 15'!$A$13:$H$13,0),""),IFNA(MATCH($B35,'DIVISION 15'!$A$14:$H$14,0),""),IFNA(MATCH($B35,'DIVISION 15'!$A$15:$H$15,0),""),IFNA(MATCH($B35,'DIVISION 15'!$A$16:$H$16,0),""),IFNA(MATCH($B35,'DIVISION 15'!$A$17:$H$17,0),""),IFNA(MATCH($B35,'DIVISION 15'!$A$18:$H$18,0),""))=1,'DIVISION 15'!$A$1,SUM(IFNA(MATCH($B35,'DIVISION 15'!$A$2:$H$2,0),""),IFNA(MATCH($B35,'DIVISION 15'!$A$3:$H$3,0),""),IFNA(MATCH($B35,'DIVISION 15'!$A$4:$H$4,0),""),IFNA(MATCH($B35,'DIVISION 15'!$A$5:$H$5,0),""),IFNA(MATCH($B35,'DIVISION 15'!$A$6:$H$6,0),""),IFNA(MATCH($B35,'DIVISION 15'!$A$7:$H$7,0),""),IFNA(MATCH($B35,'DIVISION 15'!$A$8:$H$8,0),""),IFNA(MATCH($B35,'DIVISION 15'!$A$9:$H$9,0),""),IFNA(MATCH($B35,'DIVISION 15'!$A$10:$H$10,0),""),IFNA(MATCH($B35,'DIVISION 15'!$A$11:$H$11,0),""),IFNA(MATCH($B35,'DIVISION 15'!$A$12:$H$12,0),""),IFNA(MATCH($B35,'DIVISION 15'!$A$13:$H$13,0),""),IFNA(MATCH($B35,'DIVISION 15'!$A$14:$H$14,0),""),IFNA(MATCH($B35,'DIVISION 15'!$A$15:$H$15,0),""),IFNA(MATCH($B35,'DIVISION 15'!$A$16:$H$16,0),""),IFNA(MATCH($B35,'DIVISION 15'!$A$17:$H$17,0),""),IFNA(MATCH($B35,'DIVISION 15'!$A$18:$H$18,0),""))=2,'DIVISION 15'!$B$1,SUM(IFNA(MATCH($B35,'DIVISION 15'!$A$2:$H$2,0),""),IFNA(MATCH($B35,'DIVISION 15'!$A$3:$H$3,0),""),IFNA(MATCH($B35,'DIVISION 15'!$A$4:$H$4,0),""),IFNA(MATCH($B35,'DIVISION 15'!$A$5:$H$5,0),""),IFNA(MATCH($B35,'DIVISION 15'!$A$6:$H$6,0),""),IFNA(MATCH($B35,'DIVISION 15'!$A$7:$H$7,0),""),IFNA(MATCH($B35,'DIVISION 15'!$A$8:$H$8,0),""),IFNA(MATCH($B35,'DIVISION 15'!$A$9:$H$9,0),""),IFNA(MATCH($B35,'DIVISION 15'!$A$10:$H$10,0),""),IFNA(MATCH($B35,'DIVISION 15'!$A$11:$H$11,0),""),IFNA(MATCH($B35,'DIVISION 15'!$A$12:$H$12,0),""),IFNA(MATCH($B35,'DIVISION 15'!$A$13:$H$13,0),""),IFNA(MATCH($B35,'DIVISION 15'!$A$14:$H$14,0),""),IFNA(MATCH($B35,'DIVISION 15'!$A$15:$H$15,0),""),IFNA(MATCH($B35,'DIVISION 15'!$A$16:$H$16,0),""),IFNA(MATCH($B35,'DIVISION 15'!$A$17:$H$17,0),""),IFNA(MATCH($B35,'DIVISION 15'!$A$18:$H$18,0),""))=3,'DIVISION 15'!$C$1,SUM(IFNA(MATCH($B35,'DIVISION 15'!$A$2:$H$2,0),""),IFNA(MATCH($B35,'DIVISION 15'!$A$3:$H$3,0),""),IFNA(MATCH($B35,'DIVISION 15'!$A$4:$H$4,0),""),IFNA(MATCH($B35,'DIVISION 15'!$A$5:$H$5,0),""),IFNA(MATCH($B35,'DIVISION 15'!$A$6:$H$6,0),""),IFNA(MATCH($B35,'DIVISION 15'!$A$7:$H$7,0),""),IFNA(MATCH($B35,'DIVISION 15'!$A$8:$H$8,0),""),IFNA(MATCH($B35,'DIVISION 15'!$A$9:$H$9,0),""),IFNA(MATCH($B35,'DIVISION 15'!$A$10:$H$10,0),""),IFNA(MATCH($B35,'DIVISION 15'!$A$11:$H$11,0),""),IFNA(MATCH($B35,'DIVISION 15'!$A$12:$H$12,0),""),IFNA(MATCH($B35,'DIVISION 15'!$A$13:$H$13,0),""),IFNA(MATCH($B35,'DIVISION 15'!$A$14:$H$14,0),""),IFNA(MATCH($B35,'DIVISION 15'!$A$15:$H$15,0),""),IFNA(MATCH($B35,'DIVISION 15'!$A$16:$H$16,0),""),IFNA(MATCH($B35,'DIVISION 15'!$A$17:$H$17,0),""),IFNA(MATCH($B35,'DIVISION 15'!$A$18:$H$18,0),""))=4,'DIVISION 15'!$D$1,SUM(IFNA(MATCH($B35,'DIVISION 15'!$A$2:$H$2,0),""),IFNA(MATCH($B35,'DIVISION 15'!$A$3:$H$3,0),""),IFNA(MATCH($B35,'DIVISION 15'!$A$4:$H$4,0),""),IFNA(MATCH($B35,'DIVISION 15'!$A$5:$H$5,0),""),IFNA(MATCH($B35,'DIVISION 15'!$A$6:$H$6,0),""),IFNA(MATCH($B35,'DIVISION 15'!$A$7:$H$7,0),""),IFNA(MATCH($B35,'DIVISION 15'!$A$8:$H$8,0),""),IFNA(MATCH($B35,'DIVISION 15'!$A$9:$H$9,0),""),IFNA(MATCH($B35,'DIVISION 15'!$A$10:$H$10,0),""),IFNA(MATCH($B35,'DIVISION 15'!$A$11:$H$11,0),""),IFNA(MATCH($B35,'DIVISION 15'!$A$12:$H$12,0),""),IFNA(MATCH($B35,'DIVISION 15'!$A$13:$H$13,0),""),IFNA(MATCH($B35,'DIVISION 15'!$A$14:$H$14,0),""),IFNA(MATCH($B35,'DIVISION 15'!$A$15:$H$15,0),""),IFNA(MATCH($B35,'DIVISION 15'!$A$16:$H$16,0),""),IFNA(MATCH($B35,'DIVISION 15'!$A$17:$H$17,0),""),IFNA(MATCH($B35,'DIVISION 15'!$A$18:$H$18,0),""))=5,'DIVISION 15'!$E$1,SUM(IFNA(MATCH($B35,'DIVISION 15'!$A$2:$H$2,0),""),IFNA(MATCH($B35,'DIVISION 15'!$A$3:$H$3,0),""),IFNA(MATCH($B35,'DIVISION 15'!$A$4:$H$4,0),""),IFNA(MATCH($B35,'DIVISION 15'!$A$5:$H$5,0),""),IFNA(MATCH($B35,'DIVISION 15'!$A$6:$H$6,0),""),IFNA(MATCH($B35,'DIVISION 15'!$A$7:$H$7,0),""),IFNA(MATCH($B35,'DIVISION 15'!$A$8:$H$8,0),""),IFNA(MATCH($B35,'DIVISION 15'!$A$9:$H$9,0),""),IFNA(MATCH($B35,'DIVISION 15'!$A$10:$H$10,0),""),IFNA(MATCH($B35,'DIVISION 15'!$A$11:$H$11,0),""),IFNA(MATCH($B35,'DIVISION 15'!$A$12:$H$12,0),""),IFNA(MATCH($B35,'DIVISION 15'!$A$13:$H$13,0),""),IFNA(MATCH($B35,'DIVISION 15'!$A$14:$H$14,0),""),IFNA(MATCH($B35,'DIVISION 15'!$A$15:$H$15,0),""),IFNA(MATCH($B35,'DIVISION 15'!$A$16:$H$16,0),""),IFNA(MATCH($B35,'DIVISION 15'!$A$17:$H$17,0),""),IFNA(MATCH($B35,'DIVISION 15'!$A$18:$H$18,0),""))=6,'DIVISION 15'!$F$1,SUM(IFNA(MATCH($B35,'DIVISION 15'!$A$2:$H$2,0),""),IFNA(MATCH($B35,'DIVISION 15'!$A$3:$H$3,0),""),IFNA(MATCH($B35,'DIVISION 15'!$A$4:$H$4,0),""),IFNA(MATCH($B35,'DIVISION 15'!$A$5:$H$5,0),""),IFNA(MATCH($B35,'DIVISION 15'!$A$6:$H$6,0),""),IFNA(MATCH($B35,'DIVISION 15'!$A$7:$H$7,0),""),IFNA(MATCH($B35,'DIVISION 15'!$A$8:$H$8,0),""),IFNA(MATCH($B35,'DIVISION 15'!$A$9:$H$9,0),""),IFNA(MATCH($B35,'DIVISION 15'!$A$10:$H$10,0),""),IFNA(MATCH($B35,'DIVISION 15'!$A$11:$H$11,0),""),IFNA(MATCH($B35,'DIVISION 15'!$A$12:$H$12,0),""),IFNA(MATCH($B35,'DIVISION 15'!$A$13:$H$13,0),""),IFNA(MATCH($B35,'DIVISION 15'!$A$14:$H$14,0),""),IFNA(MATCH($B35,'DIVISION 15'!$A$15:$H$15,0),""),IFNA(MATCH($B35,'DIVISION 15'!$A$16:$H$16,0),""),IFNA(MATCH($B35,'DIVISION 15'!$A$17:$H$17,0),""),IFNA(MATCH($B35,'DIVISION 15'!$A$18:$H$18,0),""))=7,'DIVISION 15'!$G$1,SUM(IFNA(MATCH($B35,'DIVISION 15'!$A$2:$H$2,0),""),IFNA(MATCH($B35,'DIVISION 15'!$A$3:$H$3,0),""),IFNA(MATCH($B35,'DIVISION 15'!$A$4:$H$4,0),""),IFNA(MATCH($B35,'DIVISION 15'!$A$5:$H$5,0),""),IFNA(MATCH($B35,'DIVISION 15'!$A$6:$H$6,0),""),IFNA(MATCH($B35,'DIVISION 15'!$A$7:$H$7,0),""),IFNA(MATCH($B35,'DIVISION 15'!$A$8:$H$8,0),""),IFNA(MATCH($B35,'DIVISION 15'!$A$9:$H$9,0),""),IFNA(MATCH($B35,'DIVISION 15'!$A$10:$H$10,0),""),IFNA(MATCH($B35,'DIVISION 15'!$A$11:$H$11,0),""),IFNA(MATCH($B35,'DIVISION 15'!$A$12:$H$12,0),""),IFNA(MATCH($B35,'DIVISION 15'!$A$13:$H$13,0),""),IFNA(MATCH($B35,'DIVISION 15'!$A$14:$H$14,0),""),IFNA(MATCH($B35,'DIVISION 15'!$A$15:$H$15,0),""),IFNA(MATCH($B35,'DIVISION 15'!$A$16:$H$16,0),""),IFNA(MATCH($B35,'DIVISION 15'!$A$17:$H$17,0),""),IFNA(MATCH($B35,'DIVISION 15'!$A$18:$H$18,0),""))=8,'DIVISION 15'!$H$1)</f>
        <v>DAIU</v>
      </c>
      <c r="U35" s="8" t="str">
        <f t="shared" si="1"/>
        <v>DAIU5</v>
      </c>
      <c r="V35" s="9">
        <f>SUMIF(AsistenciaViewJetAdmin!$A$3:$A$101,A35,AsistenciaViewJetAdmin!$C$3:$C$101)/(COUNTIF(AsistenciaViewJetAdmin!$D$102:V$102,"&gt;0")+COUNTIF(ActividadesEspeciales!$D$102:V$102,"&gt;0"))*100</f>
        <v>82.9787234</v>
      </c>
    </row>
    <row r="36" ht="28.5" customHeight="1">
      <c r="A36" s="3">
        <v>190.0</v>
      </c>
      <c r="B36" s="4" t="s">
        <v>319</v>
      </c>
      <c r="C36" s="5">
        <v>987302.0</v>
      </c>
      <c r="D36" s="7" t="s">
        <v>320</v>
      </c>
      <c r="E36" s="5">
        <v>4.9951878E7</v>
      </c>
      <c r="F36" s="5" t="s">
        <v>321</v>
      </c>
      <c r="G36" s="7">
        <v>1.123162452E9</v>
      </c>
      <c r="H36" s="5" t="s">
        <v>322</v>
      </c>
      <c r="I36" s="5" t="s">
        <v>323</v>
      </c>
      <c r="J36" s="7">
        <v>1.139557525E9</v>
      </c>
      <c r="K36" s="5"/>
      <c r="L36" s="5"/>
      <c r="M36" s="7"/>
      <c r="N36" s="5" t="s">
        <v>40</v>
      </c>
      <c r="O36" s="5" t="s">
        <v>324</v>
      </c>
      <c r="P36" s="5" t="s">
        <v>120</v>
      </c>
      <c r="Q36" s="5" t="s">
        <v>30</v>
      </c>
      <c r="R36" s="5" t="s">
        <v>31</v>
      </c>
      <c r="S36" s="5" t="s">
        <v>32</v>
      </c>
      <c r="T36" s="8" t="str">
        <f>IFS(SUM(IFNA(MATCH($B36,'DIVISION 15'!$A$2:$H$2,0),""),IFNA(MATCH($B36,'DIVISION 15'!$A$3:$H$3,0),""),IFNA(MATCH($B36,'DIVISION 15'!$A$4:$H$4,0),""),IFNA(MATCH($B36,'DIVISION 15'!$A$5:$H$5,0),""),IFNA(MATCH($B36,'DIVISION 15'!$A$6:$H$6,0),""),IFNA(MATCH($B36,'DIVISION 15'!$A$7:$H$7,0),""),IFNA(MATCH($B36,'DIVISION 15'!$A$8:$H$8,0),""),IFNA(MATCH($B36,'DIVISION 15'!$A$9:$H$9,0),""),IFNA(MATCH($B36,'DIVISION 15'!$A$10:$H$10,0),""),IFNA(MATCH($B36,'DIVISION 15'!$A$11:$H$11,0),""),IFNA(MATCH($B36,'DIVISION 15'!$A$12:$H$12,0),""),IFNA(MATCH($B36,'DIVISION 15'!$A$13:$H$13,0),""),IFNA(MATCH($B36,'DIVISION 15'!$A$14:$H$14,0),""),IFNA(MATCH($B36,'DIVISION 15'!$A$15:$H$15,0),""),IFNA(MATCH($B36,'DIVISION 15'!$A$16:$H$16,0),""),IFNA(MATCH($B36,'DIVISION 15'!$A$17:$H$17,0),""),IFNA(MATCH($B36,'DIVISION 15'!$A$18:$H$18,0),""))=1,'DIVISION 15'!$A$1,SUM(IFNA(MATCH($B36,'DIVISION 15'!$A$2:$H$2,0),""),IFNA(MATCH($B36,'DIVISION 15'!$A$3:$H$3,0),""),IFNA(MATCH($B36,'DIVISION 15'!$A$4:$H$4,0),""),IFNA(MATCH($B36,'DIVISION 15'!$A$5:$H$5,0),""),IFNA(MATCH($B36,'DIVISION 15'!$A$6:$H$6,0),""),IFNA(MATCH($B36,'DIVISION 15'!$A$7:$H$7,0),""),IFNA(MATCH($B36,'DIVISION 15'!$A$8:$H$8,0),""),IFNA(MATCH($B36,'DIVISION 15'!$A$9:$H$9,0),""),IFNA(MATCH($B36,'DIVISION 15'!$A$10:$H$10,0),""),IFNA(MATCH($B36,'DIVISION 15'!$A$11:$H$11,0),""),IFNA(MATCH($B36,'DIVISION 15'!$A$12:$H$12,0),""),IFNA(MATCH($B36,'DIVISION 15'!$A$13:$H$13,0),""),IFNA(MATCH($B36,'DIVISION 15'!$A$14:$H$14,0),""),IFNA(MATCH($B36,'DIVISION 15'!$A$15:$H$15,0),""),IFNA(MATCH($B36,'DIVISION 15'!$A$16:$H$16,0),""),IFNA(MATCH($B36,'DIVISION 15'!$A$17:$H$17,0),""),IFNA(MATCH($B36,'DIVISION 15'!$A$18:$H$18,0),""))=2,'DIVISION 15'!$B$1,SUM(IFNA(MATCH($B36,'DIVISION 15'!$A$2:$H$2,0),""),IFNA(MATCH($B36,'DIVISION 15'!$A$3:$H$3,0),""),IFNA(MATCH($B36,'DIVISION 15'!$A$4:$H$4,0),""),IFNA(MATCH($B36,'DIVISION 15'!$A$5:$H$5,0),""),IFNA(MATCH($B36,'DIVISION 15'!$A$6:$H$6,0),""),IFNA(MATCH($B36,'DIVISION 15'!$A$7:$H$7,0),""),IFNA(MATCH($B36,'DIVISION 15'!$A$8:$H$8,0),""),IFNA(MATCH($B36,'DIVISION 15'!$A$9:$H$9,0),""),IFNA(MATCH($B36,'DIVISION 15'!$A$10:$H$10,0),""),IFNA(MATCH($B36,'DIVISION 15'!$A$11:$H$11,0),""),IFNA(MATCH($B36,'DIVISION 15'!$A$12:$H$12,0),""),IFNA(MATCH($B36,'DIVISION 15'!$A$13:$H$13,0),""),IFNA(MATCH($B36,'DIVISION 15'!$A$14:$H$14,0),""),IFNA(MATCH($B36,'DIVISION 15'!$A$15:$H$15,0),""),IFNA(MATCH($B36,'DIVISION 15'!$A$16:$H$16,0),""),IFNA(MATCH($B36,'DIVISION 15'!$A$17:$H$17,0),""),IFNA(MATCH($B36,'DIVISION 15'!$A$18:$H$18,0),""))=3,'DIVISION 15'!$C$1,SUM(IFNA(MATCH($B36,'DIVISION 15'!$A$2:$H$2,0),""),IFNA(MATCH($B36,'DIVISION 15'!$A$3:$H$3,0),""),IFNA(MATCH($B36,'DIVISION 15'!$A$4:$H$4,0),""),IFNA(MATCH($B36,'DIVISION 15'!$A$5:$H$5,0),""),IFNA(MATCH($B36,'DIVISION 15'!$A$6:$H$6,0),""),IFNA(MATCH($B36,'DIVISION 15'!$A$7:$H$7,0),""),IFNA(MATCH($B36,'DIVISION 15'!$A$8:$H$8,0),""),IFNA(MATCH($B36,'DIVISION 15'!$A$9:$H$9,0),""),IFNA(MATCH($B36,'DIVISION 15'!$A$10:$H$10,0),""),IFNA(MATCH($B36,'DIVISION 15'!$A$11:$H$11,0),""),IFNA(MATCH($B36,'DIVISION 15'!$A$12:$H$12,0),""),IFNA(MATCH($B36,'DIVISION 15'!$A$13:$H$13,0),""),IFNA(MATCH($B36,'DIVISION 15'!$A$14:$H$14,0),""),IFNA(MATCH($B36,'DIVISION 15'!$A$15:$H$15,0),""),IFNA(MATCH($B36,'DIVISION 15'!$A$16:$H$16,0),""),IFNA(MATCH($B36,'DIVISION 15'!$A$17:$H$17,0),""),IFNA(MATCH($B36,'DIVISION 15'!$A$18:$H$18,0),""))=4,'DIVISION 15'!$D$1,SUM(IFNA(MATCH($B36,'DIVISION 15'!$A$2:$H$2,0),""),IFNA(MATCH($B36,'DIVISION 15'!$A$3:$H$3,0),""),IFNA(MATCH($B36,'DIVISION 15'!$A$4:$H$4,0),""),IFNA(MATCH($B36,'DIVISION 15'!$A$5:$H$5,0),""),IFNA(MATCH($B36,'DIVISION 15'!$A$6:$H$6,0),""),IFNA(MATCH($B36,'DIVISION 15'!$A$7:$H$7,0),""),IFNA(MATCH($B36,'DIVISION 15'!$A$8:$H$8,0),""),IFNA(MATCH($B36,'DIVISION 15'!$A$9:$H$9,0),""),IFNA(MATCH($B36,'DIVISION 15'!$A$10:$H$10,0),""),IFNA(MATCH($B36,'DIVISION 15'!$A$11:$H$11,0),""),IFNA(MATCH($B36,'DIVISION 15'!$A$12:$H$12,0),""),IFNA(MATCH($B36,'DIVISION 15'!$A$13:$H$13,0),""),IFNA(MATCH($B36,'DIVISION 15'!$A$14:$H$14,0),""),IFNA(MATCH($B36,'DIVISION 15'!$A$15:$H$15,0),""),IFNA(MATCH($B36,'DIVISION 15'!$A$16:$H$16,0),""),IFNA(MATCH($B36,'DIVISION 15'!$A$17:$H$17,0),""),IFNA(MATCH($B36,'DIVISION 15'!$A$18:$H$18,0),""))=5,'DIVISION 15'!$E$1,SUM(IFNA(MATCH($B36,'DIVISION 15'!$A$2:$H$2,0),""),IFNA(MATCH($B36,'DIVISION 15'!$A$3:$H$3,0),""),IFNA(MATCH($B36,'DIVISION 15'!$A$4:$H$4,0),""),IFNA(MATCH($B36,'DIVISION 15'!$A$5:$H$5,0),""),IFNA(MATCH($B36,'DIVISION 15'!$A$6:$H$6,0),""),IFNA(MATCH($B36,'DIVISION 15'!$A$7:$H$7,0),""),IFNA(MATCH($B36,'DIVISION 15'!$A$8:$H$8,0),""),IFNA(MATCH($B36,'DIVISION 15'!$A$9:$H$9,0),""),IFNA(MATCH($B36,'DIVISION 15'!$A$10:$H$10,0),""),IFNA(MATCH($B36,'DIVISION 15'!$A$11:$H$11,0),""),IFNA(MATCH($B36,'DIVISION 15'!$A$12:$H$12,0),""),IFNA(MATCH($B36,'DIVISION 15'!$A$13:$H$13,0),""),IFNA(MATCH($B36,'DIVISION 15'!$A$14:$H$14,0),""),IFNA(MATCH($B36,'DIVISION 15'!$A$15:$H$15,0),""),IFNA(MATCH($B36,'DIVISION 15'!$A$16:$H$16,0),""),IFNA(MATCH($B36,'DIVISION 15'!$A$17:$H$17,0),""),IFNA(MATCH($B36,'DIVISION 15'!$A$18:$H$18,0),""))=6,'DIVISION 15'!$F$1,SUM(IFNA(MATCH($B36,'DIVISION 15'!$A$2:$H$2,0),""),IFNA(MATCH($B36,'DIVISION 15'!$A$3:$H$3,0),""),IFNA(MATCH($B36,'DIVISION 15'!$A$4:$H$4,0),""),IFNA(MATCH($B36,'DIVISION 15'!$A$5:$H$5,0),""),IFNA(MATCH($B36,'DIVISION 15'!$A$6:$H$6,0),""),IFNA(MATCH($B36,'DIVISION 15'!$A$7:$H$7,0),""),IFNA(MATCH($B36,'DIVISION 15'!$A$8:$H$8,0),""),IFNA(MATCH($B36,'DIVISION 15'!$A$9:$H$9,0),""),IFNA(MATCH($B36,'DIVISION 15'!$A$10:$H$10,0),""),IFNA(MATCH($B36,'DIVISION 15'!$A$11:$H$11,0),""),IFNA(MATCH($B36,'DIVISION 15'!$A$12:$H$12,0),""),IFNA(MATCH($B36,'DIVISION 15'!$A$13:$H$13,0),""),IFNA(MATCH($B36,'DIVISION 15'!$A$14:$H$14,0),""),IFNA(MATCH($B36,'DIVISION 15'!$A$15:$H$15,0),""),IFNA(MATCH($B36,'DIVISION 15'!$A$16:$H$16,0),""),IFNA(MATCH($B36,'DIVISION 15'!$A$17:$H$17,0),""),IFNA(MATCH($B36,'DIVISION 15'!$A$18:$H$18,0),""))=7,'DIVISION 15'!$G$1,SUM(IFNA(MATCH($B36,'DIVISION 15'!$A$2:$H$2,0),""),IFNA(MATCH($B36,'DIVISION 15'!$A$3:$H$3,0),""),IFNA(MATCH($B36,'DIVISION 15'!$A$4:$H$4,0),""),IFNA(MATCH($B36,'DIVISION 15'!$A$5:$H$5,0),""),IFNA(MATCH($B36,'DIVISION 15'!$A$6:$H$6,0),""),IFNA(MATCH($B36,'DIVISION 15'!$A$7:$H$7,0),""),IFNA(MATCH($B36,'DIVISION 15'!$A$8:$H$8,0),""),IFNA(MATCH($B36,'DIVISION 15'!$A$9:$H$9,0),""),IFNA(MATCH($B36,'DIVISION 15'!$A$10:$H$10,0),""),IFNA(MATCH($B36,'DIVISION 15'!$A$11:$H$11,0),""),IFNA(MATCH($B36,'DIVISION 15'!$A$12:$H$12,0),""),IFNA(MATCH($B36,'DIVISION 15'!$A$13:$H$13,0),""),IFNA(MATCH($B36,'DIVISION 15'!$A$14:$H$14,0),""),IFNA(MATCH($B36,'DIVISION 15'!$A$15:$H$15,0),""),IFNA(MATCH($B36,'DIVISION 15'!$A$16:$H$16,0),""),IFNA(MATCH($B36,'DIVISION 15'!$A$17:$H$17,0),""),IFNA(MATCH($B36,'DIVISION 15'!$A$18:$H$18,0),""))=8,'DIVISION 15'!$H$1)</f>
        <v>MELU</v>
      </c>
      <c r="U36" s="8" t="str">
        <f t="shared" si="1"/>
        <v>MELU5</v>
      </c>
      <c r="V36" s="9">
        <f>SUMIF(AsistenciaViewJetAdmin!$A$3:$A$101,A36,AsistenciaViewJetAdmin!$C$3:$C$101)/(COUNTIF(AsistenciaViewJetAdmin!$D$102:V$102,"&gt;0")+COUNTIF(ActividadesEspeciales!$D$102:V$102,"&gt;0"))*100</f>
        <v>61.70212766</v>
      </c>
    </row>
    <row r="37" ht="28.5" customHeight="1">
      <c r="A37" s="3">
        <v>133.0</v>
      </c>
      <c r="B37" s="4" t="s">
        <v>325</v>
      </c>
      <c r="C37" s="5">
        <v>12025.0</v>
      </c>
      <c r="D37" s="7" t="s">
        <v>326</v>
      </c>
      <c r="E37" s="5">
        <v>4.9761374E7</v>
      </c>
      <c r="F37" s="5" t="s">
        <v>327</v>
      </c>
      <c r="G37" s="7">
        <v>1.133382495E9</v>
      </c>
      <c r="H37" s="5" t="s">
        <v>328</v>
      </c>
      <c r="I37" s="5" t="s">
        <v>329</v>
      </c>
      <c r="J37" s="7">
        <v>1.155986721E9</v>
      </c>
      <c r="K37" s="5" t="s">
        <v>330</v>
      </c>
      <c r="L37" s="5" t="s">
        <v>331</v>
      </c>
      <c r="M37" s="7">
        <v>1.16480691E9</v>
      </c>
      <c r="N37" s="5" t="s">
        <v>332</v>
      </c>
      <c r="O37" s="5" t="s">
        <v>333</v>
      </c>
      <c r="P37" s="5" t="s">
        <v>334</v>
      </c>
      <c r="Q37" s="5" t="s">
        <v>74</v>
      </c>
      <c r="R37" s="5" t="s">
        <v>31</v>
      </c>
      <c r="S37" s="5" t="s">
        <v>43</v>
      </c>
      <c r="T37" s="8" t="str">
        <f>IFS(SUM(IFNA(MATCH($B37,'DIVISION 15'!$A$2:$H$2,0),""),IFNA(MATCH($B37,'DIVISION 15'!$A$3:$H$3,0),""),IFNA(MATCH($B37,'DIVISION 15'!$A$4:$H$4,0),""),IFNA(MATCH($B37,'DIVISION 15'!$A$5:$H$5,0),""),IFNA(MATCH($B37,'DIVISION 15'!$A$6:$H$6,0),""),IFNA(MATCH($B37,'DIVISION 15'!$A$7:$H$7,0),""),IFNA(MATCH($B37,'DIVISION 15'!$A$8:$H$8,0),""),IFNA(MATCH($B37,'DIVISION 15'!$A$9:$H$9,0),""),IFNA(MATCH($B37,'DIVISION 15'!$A$10:$H$10,0),""),IFNA(MATCH($B37,'DIVISION 15'!$A$11:$H$11,0),""),IFNA(MATCH($B37,'DIVISION 15'!$A$12:$H$12,0),""),IFNA(MATCH($B37,'DIVISION 15'!$A$13:$H$13,0),""),IFNA(MATCH($B37,'DIVISION 15'!$A$14:$H$14,0),""),IFNA(MATCH($B37,'DIVISION 15'!$A$15:$H$15,0),""),IFNA(MATCH($B37,'DIVISION 15'!$A$16:$H$16,0),""),IFNA(MATCH($B37,'DIVISION 15'!$A$17:$H$17,0),""),IFNA(MATCH($B37,'DIVISION 15'!$A$18:$H$18,0),""))=1,'DIVISION 15'!$A$1,SUM(IFNA(MATCH($B37,'DIVISION 15'!$A$2:$H$2,0),""),IFNA(MATCH($B37,'DIVISION 15'!$A$3:$H$3,0),""),IFNA(MATCH($B37,'DIVISION 15'!$A$4:$H$4,0),""),IFNA(MATCH($B37,'DIVISION 15'!$A$5:$H$5,0),""),IFNA(MATCH($B37,'DIVISION 15'!$A$6:$H$6,0),""),IFNA(MATCH($B37,'DIVISION 15'!$A$7:$H$7,0),""),IFNA(MATCH($B37,'DIVISION 15'!$A$8:$H$8,0),""),IFNA(MATCH($B37,'DIVISION 15'!$A$9:$H$9,0),""),IFNA(MATCH($B37,'DIVISION 15'!$A$10:$H$10,0),""),IFNA(MATCH($B37,'DIVISION 15'!$A$11:$H$11,0),""),IFNA(MATCH($B37,'DIVISION 15'!$A$12:$H$12,0),""),IFNA(MATCH($B37,'DIVISION 15'!$A$13:$H$13,0),""),IFNA(MATCH($B37,'DIVISION 15'!$A$14:$H$14,0),""),IFNA(MATCH($B37,'DIVISION 15'!$A$15:$H$15,0),""),IFNA(MATCH($B37,'DIVISION 15'!$A$16:$H$16,0),""),IFNA(MATCH($B37,'DIVISION 15'!$A$17:$H$17,0),""),IFNA(MATCH($B37,'DIVISION 15'!$A$18:$H$18,0),""))=2,'DIVISION 15'!$B$1,SUM(IFNA(MATCH($B37,'DIVISION 15'!$A$2:$H$2,0),""),IFNA(MATCH($B37,'DIVISION 15'!$A$3:$H$3,0),""),IFNA(MATCH($B37,'DIVISION 15'!$A$4:$H$4,0),""),IFNA(MATCH($B37,'DIVISION 15'!$A$5:$H$5,0),""),IFNA(MATCH($B37,'DIVISION 15'!$A$6:$H$6,0),""),IFNA(MATCH($B37,'DIVISION 15'!$A$7:$H$7,0),""),IFNA(MATCH($B37,'DIVISION 15'!$A$8:$H$8,0),""),IFNA(MATCH($B37,'DIVISION 15'!$A$9:$H$9,0),""),IFNA(MATCH($B37,'DIVISION 15'!$A$10:$H$10,0),""),IFNA(MATCH($B37,'DIVISION 15'!$A$11:$H$11,0),""),IFNA(MATCH($B37,'DIVISION 15'!$A$12:$H$12,0),""),IFNA(MATCH($B37,'DIVISION 15'!$A$13:$H$13,0),""),IFNA(MATCH($B37,'DIVISION 15'!$A$14:$H$14,0),""),IFNA(MATCH($B37,'DIVISION 15'!$A$15:$H$15,0),""),IFNA(MATCH($B37,'DIVISION 15'!$A$16:$H$16,0),""),IFNA(MATCH($B37,'DIVISION 15'!$A$17:$H$17,0),""),IFNA(MATCH($B37,'DIVISION 15'!$A$18:$H$18,0),""))=3,'DIVISION 15'!$C$1,SUM(IFNA(MATCH($B37,'DIVISION 15'!$A$2:$H$2,0),""),IFNA(MATCH($B37,'DIVISION 15'!$A$3:$H$3,0),""),IFNA(MATCH($B37,'DIVISION 15'!$A$4:$H$4,0),""),IFNA(MATCH($B37,'DIVISION 15'!$A$5:$H$5,0),""),IFNA(MATCH($B37,'DIVISION 15'!$A$6:$H$6,0),""),IFNA(MATCH($B37,'DIVISION 15'!$A$7:$H$7,0),""),IFNA(MATCH($B37,'DIVISION 15'!$A$8:$H$8,0),""),IFNA(MATCH($B37,'DIVISION 15'!$A$9:$H$9,0),""),IFNA(MATCH($B37,'DIVISION 15'!$A$10:$H$10,0),""),IFNA(MATCH($B37,'DIVISION 15'!$A$11:$H$11,0),""),IFNA(MATCH($B37,'DIVISION 15'!$A$12:$H$12,0),""),IFNA(MATCH($B37,'DIVISION 15'!$A$13:$H$13,0),""),IFNA(MATCH($B37,'DIVISION 15'!$A$14:$H$14,0),""),IFNA(MATCH($B37,'DIVISION 15'!$A$15:$H$15,0),""),IFNA(MATCH($B37,'DIVISION 15'!$A$16:$H$16,0),""),IFNA(MATCH($B37,'DIVISION 15'!$A$17:$H$17,0),""),IFNA(MATCH($B37,'DIVISION 15'!$A$18:$H$18,0),""))=4,'DIVISION 15'!$D$1,SUM(IFNA(MATCH($B37,'DIVISION 15'!$A$2:$H$2,0),""),IFNA(MATCH($B37,'DIVISION 15'!$A$3:$H$3,0),""),IFNA(MATCH($B37,'DIVISION 15'!$A$4:$H$4,0),""),IFNA(MATCH($B37,'DIVISION 15'!$A$5:$H$5,0),""),IFNA(MATCH($B37,'DIVISION 15'!$A$6:$H$6,0),""),IFNA(MATCH($B37,'DIVISION 15'!$A$7:$H$7,0),""),IFNA(MATCH($B37,'DIVISION 15'!$A$8:$H$8,0),""),IFNA(MATCH($B37,'DIVISION 15'!$A$9:$H$9,0),""),IFNA(MATCH($B37,'DIVISION 15'!$A$10:$H$10,0),""),IFNA(MATCH($B37,'DIVISION 15'!$A$11:$H$11,0),""),IFNA(MATCH($B37,'DIVISION 15'!$A$12:$H$12,0),""),IFNA(MATCH($B37,'DIVISION 15'!$A$13:$H$13,0),""),IFNA(MATCH($B37,'DIVISION 15'!$A$14:$H$14,0),""),IFNA(MATCH($B37,'DIVISION 15'!$A$15:$H$15,0),""),IFNA(MATCH($B37,'DIVISION 15'!$A$16:$H$16,0),""),IFNA(MATCH($B37,'DIVISION 15'!$A$17:$H$17,0),""),IFNA(MATCH($B37,'DIVISION 15'!$A$18:$H$18,0),""))=5,'DIVISION 15'!$E$1,SUM(IFNA(MATCH($B37,'DIVISION 15'!$A$2:$H$2,0),""),IFNA(MATCH($B37,'DIVISION 15'!$A$3:$H$3,0),""),IFNA(MATCH($B37,'DIVISION 15'!$A$4:$H$4,0),""),IFNA(MATCH($B37,'DIVISION 15'!$A$5:$H$5,0),""),IFNA(MATCH($B37,'DIVISION 15'!$A$6:$H$6,0),""),IFNA(MATCH($B37,'DIVISION 15'!$A$7:$H$7,0),""),IFNA(MATCH($B37,'DIVISION 15'!$A$8:$H$8,0),""),IFNA(MATCH($B37,'DIVISION 15'!$A$9:$H$9,0),""),IFNA(MATCH($B37,'DIVISION 15'!$A$10:$H$10,0),""),IFNA(MATCH($B37,'DIVISION 15'!$A$11:$H$11,0),""),IFNA(MATCH($B37,'DIVISION 15'!$A$12:$H$12,0),""),IFNA(MATCH($B37,'DIVISION 15'!$A$13:$H$13,0),""),IFNA(MATCH($B37,'DIVISION 15'!$A$14:$H$14,0),""),IFNA(MATCH($B37,'DIVISION 15'!$A$15:$H$15,0),""),IFNA(MATCH($B37,'DIVISION 15'!$A$16:$H$16,0),""),IFNA(MATCH($B37,'DIVISION 15'!$A$17:$H$17,0),""),IFNA(MATCH($B37,'DIVISION 15'!$A$18:$H$18,0),""))=6,'DIVISION 15'!$F$1,SUM(IFNA(MATCH($B37,'DIVISION 15'!$A$2:$H$2,0),""),IFNA(MATCH($B37,'DIVISION 15'!$A$3:$H$3,0),""),IFNA(MATCH($B37,'DIVISION 15'!$A$4:$H$4,0),""),IFNA(MATCH($B37,'DIVISION 15'!$A$5:$H$5,0),""),IFNA(MATCH($B37,'DIVISION 15'!$A$6:$H$6,0),""),IFNA(MATCH($B37,'DIVISION 15'!$A$7:$H$7,0),""),IFNA(MATCH($B37,'DIVISION 15'!$A$8:$H$8,0),""),IFNA(MATCH($B37,'DIVISION 15'!$A$9:$H$9,0),""),IFNA(MATCH($B37,'DIVISION 15'!$A$10:$H$10,0),""),IFNA(MATCH($B37,'DIVISION 15'!$A$11:$H$11,0),""),IFNA(MATCH($B37,'DIVISION 15'!$A$12:$H$12,0),""),IFNA(MATCH($B37,'DIVISION 15'!$A$13:$H$13,0),""),IFNA(MATCH($B37,'DIVISION 15'!$A$14:$H$14,0),""),IFNA(MATCH($B37,'DIVISION 15'!$A$15:$H$15,0),""),IFNA(MATCH($B37,'DIVISION 15'!$A$16:$H$16,0),""),IFNA(MATCH($B37,'DIVISION 15'!$A$17:$H$17,0),""),IFNA(MATCH($B37,'DIVISION 15'!$A$18:$H$18,0),""))=7,'DIVISION 15'!$G$1,SUM(IFNA(MATCH($B37,'DIVISION 15'!$A$2:$H$2,0),""),IFNA(MATCH($B37,'DIVISION 15'!$A$3:$H$3,0),""),IFNA(MATCH($B37,'DIVISION 15'!$A$4:$H$4,0),""),IFNA(MATCH($B37,'DIVISION 15'!$A$5:$H$5,0),""),IFNA(MATCH($B37,'DIVISION 15'!$A$6:$H$6,0),""),IFNA(MATCH($B37,'DIVISION 15'!$A$7:$H$7,0),""),IFNA(MATCH($B37,'DIVISION 15'!$A$8:$H$8,0),""),IFNA(MATCH($B37,'DIVISION 15'!$A$9:$H$9,0),""),IFNA(MATCH($B37,'DIVISION 15'!$A$10:$H$10,0),""),IFNA(MATCH($B37,'DIVISION 15'!$A$11:$H$11,0),""),IFNA(MATCH($B37,'DIVISION 15'!$A$12:$H$12,0),""),IFNA(MATCH($B37,'DIVISION 15'!$A$13:$H$13,0),""),IFNA(MATCH($B37,'DIVISION 15'!$A$14:$H$14,0),""),IFNA(MATCH($B37,'DIVISION 15'!$A$15:$H$15,0),""),IFNA(MATCH($B37,'DIVISION 15'!$A$16:$H$16,0),""),IFNA(MATCH($B37,'DIVISION 15'!$A$17:$H$17,0),""),IFNA(MATCH($B37,'DIVISION 15'!$A$18:$H$18,0),""))=8,'DIVISION 15'!$H$1)</f>
        <v>GONZI</v>
      </c>
      <c r="U37" s="8" t="str">
        <f t="shared" si="1"/>
        <v>GONZI3</v>
      </c>
      <c r="V37" s="9">
        <f>SUMIF(AsistenciaViewJetAdmin!$A$3:$A$101,A37,AsistenciaViewJetAdmin!$C$3:$C$101)/(COUNTIF(AsistenciaViewJetAdmin!$D$102:V$102,"&gt;0")+COUNTIF(ActividadesEspeciales!$D$102:V$102,"&gt;0"))*100</f>
        <v>84.57446809</v>
      </c>
    </row>
    <row r="38" ht="28.5" customHeight="1">
      <c r="A38" s="3">
        <v>115.0</v>
      </c>
      <c r="B38" s="4" t="s">
        <v>335</v>
      </c>
      <c r="C38" s="5">
        <v>1074402.0</v>
      </c>
      <c r="D38" s="6">
        <v>39519.0</v>
      </c>
      <c r="E38" s="5">
        <v>4.9122421E7</v>
      </c>
      <c r="F38" s="5" t="s">
        <v>336</v>
      </c>
      <c r="G38" s="7">
        <v>1.166746755E9</v>
      </c>
      <c r="H38" s="5" t="s">
        <v>337</v>
      </c>
      <c r="I38" s="5" t="s">
        <v>338</v>
      </c>
      <c r="J38" s="7">
        <v>1.157663782E9</v>
      </c>
      <c r="K38" s="5" t="s">
        <v>339</v>
      </c>
      <c r="L38" s="5" t="s">
        <v>340</v>
      </c>
      <c r="M38" s="7">
        <v>1.153048671E9</v>
      </c>
      <c r="N38" s="5" t="s">
        <v>341</v>
      </c>
      <c r="O38" s="5" t="s">
        <v>342</v>
      </c>
      <c r="P38" s="5" t="s">
        <v>343</v>
      </c>
      <c r="Q38" s="5"/>
      <c r="R38" s="5" t="s">
        <v>31</v>
      </c>
      <c r="S38" s="5" t="s">
        <v>43</v>
      </c>
      <c r="T38" s="8" t="str">
        <f>IFS(SUM(IFNA(MATCH($B38,'DIVISION 15'!$A$2:$H$2,0),""),IFNA(MATCH($B38,'DIVISION 15'!$A$3:$H$3,0),""),IFNA(MATCH($B38,'DIVISION 15'!$A$4:$H$4,0),""),IFNA(MATCH($B38,'DIVISION 15'!$A$5:$H$5,0),""),IFNA(MATCH($B38,'DIVISION 15'!$A$6:$H$6,0),""),IFNA(MATCH($B38,'DIVISION 15'!$A$7:$H$7,0),""),IFNA(MATCH($B38,'DIVISION 15'!$A$8:$H$8,0),""),IFNA(MATCH($B38,'DIVISION 15'!$A$9:$H$9,0),""),IFNA(MATCH($B38,'DIVISION 15'!$A$10:$H$10,0),""),IFNA(MATCH($B38,'DIVISION 15'!$A$11:$H$11,0),""),IFNA(MATCH($B38,'DIVISION 15'!$A$12:$H$12,0),""),IFNA(MATCH($B38,'DIVISION 15'!$A$13:$H$13,0),""),IFNA(MATCH($B38,'DIVISION 15'!$A$14:$H$14,0),""),IFNA(MATCH($B38,'DIVISION 15'!$A$15:$H$15,0),""),IFNA(MATCH($B38,'DIVISION 15'!$A$16:$H$16,0),""),IFNA(MATCH($B38,'DIVISION 15'!$A$17:$H$17,0),""),IFNA(MATCH($B38,'DIVISION 15'!$A$18:$H$18,0),""))=1,'DIVISION 15'!$A$1,SUM(IFNA(MATCH($B38,'DIVISION 15'!$A$2:$H$2,0),""),IFNA(MATCH($B38,'DIVISION 15'!$A$3:$H$3,0),""),IFNA(MATCH($B38,'DIVISION 15'!$A$4:$H$4,0),""),IFNA(MATCH($B38,'DIVISION 15'!$A$5:$H$5,0),""),IFNA(MATCH($B38,'DIVISION 15'!$A$6:$H$6,0),""),IFNA(MATCH($B38,'DIVISION 15'!$A$7:$H$7,0),""),IFNA(MATCH($B38,'DIVISION 15'!$A$8:$H$8,0),""),IFNA(MATCH($B38,'DIVISION 15'!$A$9:$H$9,0),""),IFNA(MATCH($B38,'DIVISION 15'!$A$10:$H$10,0),""),IFNA(MATCH($B38,'DIVISION 15'!$A$11:$H$11,0),""),IFNA(MATCH($B38,'DIVISION 15'!$A$12:$H$12,0),""),IFNA(MATCH($B38,'DIVISION 15'!$A$13:$H$13,0),""),IFNA(MATCH($B38,'DIVISION 15'!$A$14:$H$14,0),""),IFNA(MATCH($B38,'DIVISION 15'!$A$15:$H$15,0),""),IFNA(MATCH($B38,'DIVISION 15'!$A$16:$H$16,0),""),IFNA(MATCH($B38,'DIVISION 15'!$A$17:$H$17,0),""),IFNA(MATCH($B38,'DIVISION 15'!$A$18:$H$18,0),""))=2,'DIVISION 15'!$B$1,SUM(IFNA(MATCH($B38,'DIVISION 15'!$A$2:$H$2,0),""),IFNA(MATCH($B38,'DIVISION 15'!$A$3:$H$3,0),""),IFNA(MATCH($B38,'DIVISION 15'!$A$4:$H$4,0),""),IFNA(MATCH($B38,'DIVISION 15'!$A$5:$H$5,0),""),IFNA(MATCH($B38,'DIVISION 15'!$A$6:$H$6,0),""),IFNA(MATCH($B38,'DIVISION 15'!$A$7:$H$7,0),""),IFNA(MATCH($B38,'DIVISION 15'!$A$8:$H$8,0),""),IFNA(MATCH($B38,'DIVISION 15'!$A$9:$H$9,0),""),IFNA(MATCH($B38,'DIVISION 15'!$A$10:$H$10,0),""),IFNA(MATCH($B38,'DIVISION 15'!$A$11:$H$11,0),""),IFNA(MATCH($B38,'DIVISION 15'!$A$12:$H$12,0),""),IFNA(MATCH($B38,'DIVISION 15'!$A$13:$H$13,0),""),IFNA(MATCH($B38,'DIVISION 15'!$A$14:$H$14,0),""),IFNA(MATCH($B38,'DIVISION 15'!$A$15:$H$15,0),""),IFNA(MATCH($B38,'DIVISION 15'!$A$16:$H$16,0),""),IFNA(MATCH($B38,'DIVISION 15'!$A$17:$H$17,0),""),IFNA(MATCH($B38,'DIVISION 15'!$A$18:$H$18,0),""))=3,'DIVISION 15'!$C$1,SUM(IFNA(MATCH($B38,'DIVISION 15'!$A$2:$H$2,0),""),IFNA(MATCH($B38,'DIVISION 15'!$A$3:$H$3,0),""),IFNA(MATCH($B38,'DIVISION 15'!$A$4:$H$4,0),""),IFNA(MATCH($B38,'DIVISION 15'!$A$5:$H$5,0),""),IFNA(MATCH($B38,'DIVISION 15'!$A$6:$H$6,0),""),IFNA(MATCH($B38,'DIVISION 15'!$A$7:$H$7,0),""),IFNA(MATCH($B38,'DIVISION 15'!$A$8:$H$8,0),""),IFNA(MATCH($B38,'DIVISION 15'!$A$9:$H$9,0),""),IFNA(MATCH($B38,'DIVISION 15'!$A$10:$H$10,0),""),IFNA(MATCH($B38,'DIVISION 15'!$A$11:$H$11,0),""),IFNA(MATCH($B38,'DIVISION 15'!$A$12:$H$12,0),""),IFNA(MATCH($B38,'DIVISION 15'!$A$13:$H$13,0),""),IFNA(MATCH($B38,'DIVISION 15'!$A$14:$H$14,0),""),IFNA(MATCH($B38,'DIVISION 15'!$A$15:$H$15,0),""),IFNA(MATCH($B38,'DIVISION 15'!$A$16:$H$16,0),""),IFNA(MATCH($B38,'DIVISION 15'!$A$17:$H$17,0),""),IFNA(MATCH($B38,'DIVISION 15'!$A$18:$H$18,0),""))=4,'DIVISION 15'!$D$1,SUM(IFNA(MATCH($B38,'DIVISION 15'!$A$2:$H$2,0),""),IFNA(MATCH($B38,'DIVISION 15'!$A$3:$H$3,0),""),IFNA(MATCH($B38,'DIVISION 15'!$A$4:$H$4,0),""),IFNA(MATCH($B38,'DIVISION 15'!$A$5:$H$5,0),""),IFNA(MATCH($B38,'DIVISION 15'!$A$6:$H$6,0),""),IFNA(MATCH($B38,'DIVISION 15'!$A$7:$H$7,0),""),IFNA(MATCH($B38,'DIVISION 15'!$A$8:$H$8,0),""),IFNA(MATCH($B38,'DIVISION 15'!$A$9:$H$9,0),""),IFNA(MATCH($B38,'DIVISION 15'!$A$10:$H$10,0),""),IFNA(MATCH($B38,'DIVISION 15'!$A$11:$H$11,0),""),IFNA(MATCH($B38,'DIVISION 15'!$A$12:$H$12,0),""),IFNA(MATCH($B38,'DIVISION 15'!$A$13:$H$13,0),""),IFNA(MATCH($B38,'DIVISION 15'!$A$14:$H$14,0),""),IFNA(MATCH($B38,'DIVISION 15'!$A$15:$H$15,0),""),IFNA(MATCH($B38,'DIVISION 15'!$A$16:$H$16,0),""),IFNA(MATCH($B38,'DIVISION 15'!$A$17:$H$17,0),""),IFNA(MATCH($B38,'DIVISION 15'!$A$18:$H$18,0),""))=5,'DIVISION 15'!$E$1,SUM(IFNA(MATCH($B38,'DIVISION 15'!$A$2:$H$2,0),""),IFNA(MATCH($B38,'DIVISION 15'!$A$3:$H$3,0),""),IFNA(MATCH($B38,'DIVISION 15'!$A$4:$H$4,0),""),IFNA(MATCH($B38,'DIVISION 15'!$A$5:$H$5,0),""),IFNA(MATCH($B38,'DIVISION 15'!$A$6:$H$6,0),""),IFNA(MATCH($B38,'DIVISION 15'!$A$7:$H$7,0),""),IFNA(MATCH($B38,'DIVISION 15'!$A$8:$H$8,0),""),IFNA(MATCH($B38,'DIVISION 15'!$A$9:$H$9,0),""),IFNA(MATCH($B38,'DIVISION 15'!$A$10:$H$10,0),""),IFNA(MATCH($B38,'DIVISION 15'!$A$11:$H$11,0),""),IFNA(MATCH($B38,'DIVISION 15'!$A$12:$H$12,0),""),IFNA(MATCH($B38,'DIVISION 15'!$A$13:$H$13,0),""),IFNA(MATCH($B38,'DIVISION 15'!$A$14:$H$14,0),""),IFNA(MATCH($B38,'DIVISION 15'!$A$15:$H$15,0),""),IFNA(MATCH($B38,'DIVISION 15'!$A$16:$H$16,0),""),IFNA(MATCH($B38,'DIVISION 15'!$A$17:$H$17,0),""),IFNA(MATCH($B38,'DIVISION 15'!$A$18:$H$18,0),""))=6,'DIVISION 15'!$F$1,SUM(IFNA(MATCH($B38,'DIVISION 15'!$A$2:$H$2,0),""),IFNA(MATCH($B38,'DIVISION 15'!$A$3:$H$3,0),""),IFNA(MATCH($B38,'DIVISION 15'!$A$4:$H$4,0),""),IFNA(MATCH($B38,'DIVISION 15'!$A$5:$H$5,0),""),IFNA(MATCH($B38,'DIVISION 15'!$A$6:$H$6,0),""),IFNA(MATCH($B38,'DIVISION 15'!$A$7:$H$7,0),""),IFNA(MATCH($B38,'DIVISION 15'!$A$8:$H$8,0),""),IFNA(MATCH($B38,'DIVISION 15'!$A$9:$H$9,0),""),IFNA(MATCH($B38,'DIVISION 15'!$A$10:$H$10,0),""),IFNA(MATCH($B38,'DIVISION 15'!$A$11:$H$11,0),""),IFNA(MATCH($B38,'DIVISION 15'!$A$12:$H$12,0),""),IFNA(MATCH($B38,'DIVISION 15'!$A$13:$H$13,0),""),IFNA(MATCH($B38,'DIVISION 15'!$A$14:$H$14,0),""),IFNA(MATCH($B38,'DIVISION 15'!$A$15:$H$15,0),""),IFNA(MATCH($B38,'DIVISION 15'!$A$16:$H$16,0),""),IFNA(MATCH($B38,'DIVISION 15'!$A$17:$H$17,0),""),IFNA(MATCH($B38,'DIVISION 15'!$A$18:$H$18,0),""))=7,'DIVISION 15'!$G$1,SUM(IFNA(MATCH($B38,'DIVISION 15'!$A$2:$H$2,0),""),IFNA(MATCH($B38,'DIVISION 15'!$A$3:$H$3,0),""),IFNA(MATCH($B38,'DIVISION 15'!$A$4:$H$4,0),""),IFNA(MATCH($B38,'DIVISION 15'!$A$5:$H$5,0),""),IFNA(MATCH($B38,'DIVISION 15'!$A$6:$H$6,0),""),IFNA(MATCH($B38,'DIVISION 15'!$A$7:$H$7,0),""),IFNA(MATCH($B38,'DIVISION 15'!$A$8:$H$8,0),""),IFNA(MATCH($B38,'DIVISION 15'!$A$9:$H$9,0),""),IFNA(MATCH($B38,'DIVISION 15'!$A$10:$H$10,0),""),IFNA(MATCH($B38,'DIVISION 15'!$A$11:$H$11,0),""),IFNA(MATCH($B38,'DIVISION 15'!$A$12:$H$12,0),""),IFNA(MATCH($B38,'DIVISION 15'!$A$13:$H$13,0),""),IFNA(MATCH($B38,'DIVISION 15'!$A$14:$H$14,0),""),IFNA(MATCH($B38,'DIVISION 15'!$A$15:$H$15,0),""),IFNA(MATCH($B38,'DIVISION 15'!$A$16:$H$16,0),""),IFNA(MATCH($B38,'DIVISION 15'!$A$17:$H$17,0),""),IFNA(MATCH($B38,'DIVISION 15'!$A$18:$H$18,0),""))=8,'DIVISION 15'!$H$1)</f>
        <v>SOFI</v>
      </c>
      <c r="U38" s="8"/>
      <c r="V38" s="9">
        <f>SUMIF(AsistenciaViewJetAdmin!$A$3:$A$101,A38,AsistenciaViewJetAdmin!$C$3:$C$101)/(COUNTIF(AsistenciaViewJetAdmin!$D$102:V$102,"&gt;0")+COUNTIF(ActividadesEspeciales!$D$102:V$102,"&gt;0"))*100</f>
        <v>49.46808511</v>
      </c>
    </row>
    <row r="39" ht="28.5" customHeight="1">
      <c r="A39" s="3">
        <v>152.0</v>
      </c>
      <c r="B39" s="4" t="s">
        <v>344</v>
      </c>
      <c r="C39" s="5">
        <v>1103702.0</v>
      </c>
      <c r="D39" s="7" t="s">
        <v>345</v>
      </c>
      <c r="E39" s="5">
        <v>5.0103904E7</v>
      </c>
      <c r="F39" s="5" t="s">
        <v>346</v>
      </c>
      <c r="G39" s="7">
        <v>1.131409877E9</v>
      </c>
      <c r="H39" s="5" t="s">
        <v>347</v>
      </c>
      <c r="I39" s="5" t="s">
        <v>348</v>
      </c>
      <c r="J39" s="7">
        <v>1.151411193E9</v>
      </c>
      <c r="K39" s="5" t="s">
        <v>349</v>
      </c>
      <c r="L39" s="5" t="s">
        <v>350</v>
      </c>
      <c r="M39" s="7">
        <v>1.135795641E9</v>
      </c>
      <c r="N39" s="5" t="s">
        <v>351</v>
      </c>
      <c r="O39" s="5" t="s">
        <v>352</v>
      </c>
      <c r="P39" s="5" t="s">
        <v>120</v>
      </c>
      <c r="Q39" s="5" t="s">
        <v>30</v>
      </c>
      <c r="R39" s="5" t="s">
        <v>31</v>
      </c>
      <c r="S39" s="5" t="s">
        <v>32</v>
      </c>
      <c r="T39" s="8" t="str">
        <f>IFS(SUM(IFNA(MATCH($B39,'DIVISION 15'!$A$2:$H$2,0),""),IFNA(MATCH($B39,'DIVISION 15'!$A$3:$H$3,0),""),IFNA(MATCH($B39,'DIVISION 15'!$A$4:$H$4,0),""),IFNA(MATCH($B39,'DIVISION 15'!$A$5:$H$5,0),""),IFNA(MATCH($B39,'DIVISION 15'!$A$6:$H$6,0),""),IFNA(MATCH($B39,'DIVISION 15'!$A$7:$H$7,0),""),IFNA(MATCH($B39,'DIVISION 15'!$A$8:$H$8,0),""),IFNA(MATCH($B39,'DIVISION 15'!$A$9:$H$9,0),""),IFNA(MATCH($B39,'DIVISION 15'!$A$10:$H$10,0),""),IFNA(MATCH($B39,'DIVISION 15'!$A$11:$H$11,0),""),IFNA(MATCH($B39,'DIVISION 15'!$A$12:$H$12,0),""),IFNA(MATCH($B39,'DIVISION 15'!$A$13:$H$13,0),""),IFNA(MATCH($B39,'DIVISION 15'!$A$14:$H$14,0),""),IFNA(MATCH($B39,'DIVISION 15'!$A$15:$H$15,0),""),IFNA(MATCH($B39,'DIVISION 15'!$A$16:$H$16,0),""),IFNA(MATCH($B39,'DIVISION 15'!$A$17:$H$17,0),""),IFNA(MATCH($B39,'DIVISION 15'!$A$18:$H$18,0),""))=1,'DIVISION 15'!$A$1,SUM(IFNA(MATCH($B39,'DIVISION 15'!$A$2:$H$2,0),""),IFNA(MATCH($B39,'DIVISION 15'!$A$3:$H$3,0),""),IFNA(MATCH($B39,'DIVISION 15'!$A$4:$H$4,0),""),IFNA(MATCH($B39,'DIVISION 15'!$A$5:$H$5,0),""),IFNA(MATCH($B39,'DIVISION 15'!$A$6:$H$6,0),""),IFNA(MATCH($B39,'DIVISION 15'!$A$7:$H$7,0),""),IFNA(MATCH($B39,'DIVISION 15'!$A$8:$H$8,0),""),IFNA(MATCH($B39,'DIVISION 15'!$A$9:$H$9,0),""),IFNA(MATCH($B39,'DIVISION 15'!$A$10:$H$10,0),""),IFNA(MATCH($B39,'DIVISION 15'!$A$11:$H$11,0),""),IFNA(MATCH($B39,'DIVISION 15'!$A$12:$H$12,0),""),IFNA(MATCH($B39,'DIVISION 15'!$A$13:$H$13,0),""),IFNA(MATCH($B39,'DIVISION 15'!$A$14:$H$14,0),""),IFNA(MATCH($B39,'DIVISION 15'!$A$15:$H$15,0),""),IFNA(MATCH($B39,'DIVISION 15'!$A$16:$H$16,0),""),IFNA(MATCH($B39,'DIVISION 15'!$A$17:$H$17,0),""),IFNA(MATCH($B39,'DIVISION 15'!$A$18:$H$18,0),""))=2,'DIVISION 15'!$B$1,SUM(IFNA(MATCH($B39,'DIVISION 15'!$A$2:$H$2,0),""),IFNA(MATCH($B39,'DIVISION 15'!$A$3:$H$3,0),""),IFNA(MATCH($B39,'DIVISION 15'!$A$4:$H$4,0),""),IFNA(MATCH($B39,'DIVISION 15'!$A$5:$H$5,0),""),IFNA(MATCH($B39,'DIVISION 15'!$A$6:$H$6,0),""),IFNA(MATCH($B39,'DIVISION 15'!$A$7:$H$7,0),""),IFNA(MATCH($B39,'DIVISION 15'!$A$8:$H$8,0),""),IFNA(MATCH($B39,'DIVISION 15'!$A$9:$H$9,0),""),IFNA(MATCH($B39,'DIVISION 15'!$A$10:$H$10,0),""),IFNA(MATCH($B39,'DIVISION 15'!$A$11:$H$11,0),""),IFNA(MATCH($B39,'DIVISION 15'!$A$12:$H$12,0),""),IFNA(MATCH($B39,'DIVISION 15'!$A$13:$H$13,0),""),IFNA(MATCH($B39,'DIVISION 15'!$A$14:$H$14,0),""),IFNA(MATCH($B39,'DIVISION 15'!$A$15:$H$15,0),""),IFNA(MATCH($B39,'DIVISION 15'!$A$16:$H$16,0),""),IFNA(MATCH($B39,'DIVISION 15'!$A$17:$H$17,0),""),IFNA(MATCH($B39,'DIVISION 15'!$A$18:$H$18,0),""))=3,'DIVISION 15'!$C$1,SUM(IFNA(MATCH($B39,'DIVISION 15'!$A$2:$H$2,0),""),IFNA(MATCH($B39,'DIVISION 15'!$A$3:$H$3,0),""),IFNA(MATCH($B39,'DIVISION 15'!$A$4:$H$4,0),""),IFNA(MATCH($B39,'DIVISION 15'!$A$5:$H$5,0),""),IFNA(MATCH($B39,'DIVISION 15'!$A$6:$H$6,0),""),IFNA(MATCH($B39,'DIVISION 15'!$A$7:$H$7,0),""),IFNA(MATCH($B39,'DIVISION 15'!$A$8:$H$8,0),""),IFNA(MATCH($B39,'DIVISION 15'!$A$9:$H$9,0),""),IFNA(MATCH($B39,'DIVISION 15'!$A$10:$H$10,0),""),IFNA(MATCH($B39,'DIVISION 15'!$A$11:$H$11,0),""),IFNA(MATCH($B39,'DIVISION 15'!$A$12:$H$12,0),""),IFNA(MATCH($B39,'DIVISION 15'!$A$13:$H$13,0),""),IFNA(MATCH($B39,'DIVISION 15'!$A$14:$H$14,0),""),IFNA(MATCH($B39,'DIVISION 15'!$A$15:$H$15,0),""),IFNA(MATCH($B39,'DIVISION 15'!$A$16:$H$16,0),""),IFNA(MATCH($B39,'DIVISION 15'!$A$17:$H$17,0),""),IFNA(MATCH($B39,'DIVISION 15'!$A$18:$H$18,0),""))=4,'DIVISION 15'!$D$1,SUM(IFNA(MATCH($B39,'DIVISION 15'!$A$2:$H$2,0),""),IFNA(MATCH($B39,'DIVISION 15'!$A$3:$H$3,0),""),IFNA(MATCH($B39,'DIVISION 15'!$A$4:$H$4,0),""),IFNA(MATCH($B39,'DIVISION 15'!$A$5:$H$5,0),""),IFNA(MATCH($B39,'DIVISION 15'!$A$6:$H$6,0),""),IFNA(MATCH($B39,'DIVISION 15'!$A$7:$H$7,0),""),IFNA(MATCH($B39,'DIVISION 15'!$A$8:$H$8,0),""),IFNA(MATCH($B39,'DIVISION 15'!$A$9:$H$9,0),""),IFNA(MATCH($B39,'DIVISION 15'!$A$10:$H$10,0),""),IFNA(MATCH($B39,'DIVISION 15'!$A$11:$H$11,0),""),IFNA(MATCH($B39,'DIVISION 15'!$A$12:$H$12,0),""),IFNA(MATCH($B39,'DIVISION 15'!$A$13:$H$13,0),""),IFNA(MATCH($B39,'DIVISION 15'!$A$14:$H$14,0),""),IFNA(MATCH($B39,'DIVISION 15'!$A$15:$H$15,0),""),IFNA(MATCH($B39,'DIVISION 15'!$A$16:$H$16,0),""),IFNA(MATCH($B39,'DIVISION 15'!$A$17:$H$17,0),""),IFNA(MATCH($B39,'DIVISION 15'!$A$18:$H$18,0),""))=5,'DIVISION 15'!$E$1,SUM(IFNA(MATCH($B39,'DIVISION 15'!$A$2:$H$2,0),""),IFNA(MATCH($B39,'DIVISION 15'!$A$3:$H$3,0),""),IFNA(MATCH($B39,'DIVISION 15'!$A$4:$H$4,0),""),IFNA(MATCH($B39,'DIVISION 15'!$A$5:$H$5,0),""),IFNA(MATCH($B39,'DIVISION 15'!$A$6:$H$6,0),""),IFNA(MATCH($B39,'DIVISION 15'!$A$7:$H$7,0),""),IFNA(MATCH($B39,'DIVISION 15'!$A$8:$H$8,0),""),IFNA(MATCH($B39,'DIVISION 15'!$A$9:$H$9,0),""),IFNA(MATCH($B39,'DIVISION 15'!$A$10:$H$10,0),""),IFNA(MATCH($B39,'DIVISION 15'!$A$11:$H$11,0),""),IFNA(MATCH($B39,'DIVISION 15'!$A$12:$H$12,0),""),IFNA(MATCH($B39,'DIVISION 15'!$A$13:$H$13,0),""),IFNA(MATCH($B39,'DIVISION 15'!$A$14:$H$14,0),""),IFNA(MATCH($B39,'DIVISION 15'!$A$15:$H$15,0),""),IFNA(MATCH($B39,'DIVISION 15'!$A$16:$H$16,0),""),IFNA(MATCH($B39,'DIVISION 15'!$A$17:$H$17,0),""),IFNA(MATCH($B39,'DIVISION 15'!$A$18:$H$18,0),""))=6,'DIVISION 15'!$F$1,SUM(IFNA(MATCH($B39,'DIVISION 15'!$A$2:$H$2,0),""),IFNA(MATCH($B39,'DIVISION 15'!$A$3:$H$3,0),""),IFNA(MATCH($B39,'DIVISION 15'!$A$4:$H$4,0),""),IFNA(MATCH($B39,'DIVISION 15'!$A$5:$H$5,0),""),IFNA(MATCH($B39,'DIVISION 15'!$A$6:$H$6,0),""),IFNA(MATCH($B39,'DIVISION 15'!$A$7:$H$7,0),""),IFNA(MATCH($B39,'DIVISION 15'!$A$8:$H$8,0),""),IFNA(MATCH($B39,'DIVISION 15'!$A$9:$H$9,0),""),IFNA(MATCH($B39,'DIVISION 15'!$A$10:$H$10,0),""),IFNA(MATCH($B39,'DIVISION 15'!$A$11:$H$11,0),""),IFNA(MATCH($B39,'DIVISION 15'!$A$12:$H$12,0),""),IFNA(MATCH($B39,'DIVISION 15'!$A$13:$H$13,0),""),IFNA(MATCH($B39,'DIVISION 15'!$A$14:$H$14,0),""),IFNA(MATCH($B39,'DIVISION 15'!$A$15:$H$15,0),""),IFNA(MATCH($B39,'DIVISION 15'!$A$16:$H$16,0),""),IFNA(MATCH($B39,'DIVISION 15'!$A$17:$H$17,0),""),IFNA(MATCH($B39,'DIVISION 15'!$A$18:$H$18,0),""))=7,'DIVISION 15'!$G$1,SUM(IFNA(MATCH($B39,'DIVISION 15'!$A$2:$H$2,0),""),IFNA(MATCH($B39,'DIVISION 15'!$A$3:$H$3,0),""),IFNA(MATCH($B39,'DIVISION 15'!$A$4:$H$4,0),""),IFNA(MATCH($B39,'DIVISION 15'!$A$5:$H$5,0),""),IFNA(MATCH($B39,'DIVISION 15'!$A$6:$H$6,0),""),IFNA(MATCH($B39,'DIVISION 15'!$A$7:$H$7,0),""),IFNA(MATCH($B39,'DIVISION 15'!$A$8:$H$8,0),""),IFNA(MATCH($B39,'DIVISION 15'!$A$9:$H$9,0),""),IFNA(MATCH($B39,'DIVISION 15'!$A$10:$H$10,0),""),IFNA(MATCH($B39,'DIVISION 15'!$A$11:$H$11,0),""),IFNA(MATCH($B39,'DIVISION 15'!$A$12:$H$12,0),""),IFNA(MATCH($B39,'DIVISION 15'!$A$13:$H$13,0),""),IFNA(MATCH($B39,'DIVISION 15'!$A$14:$H$14,0),""),IFNA(MATCH($B39,'DIVISION 15'!$A$15:$H$15,0),""),IFNA(MATCH($B39,'DIVISION 15'!$A$16:$H$16,0),""),IFNA(MATCH($B39,'DIVISION 15'!$A$17:$H$17,0),""),IFNA(MATCH($B39,'DIVISION 15'!$A$18:$H$18,0),""))=8,'DIVISION 15'!$H$1)</f>
        <v>MARTO</v>
      </c>
      <c r="U39" s="8" t="str">
        <f t="shared" ref="U39:U71" si="2">T39&amp;COUNTIF($T$1:T39,T39)</f>
        <v>MARTO6</v>
      </c>
      <c r="V39" s="9">
        <f>SUMIF(AsistenciaViewJetAdmin!$A$3:$A$101,A39,AsistenciaViewJetAdmin!$C$3:$C$101)/(COUNTIF(AsistenciaViewJetAdmin!$D$102:V$102,"&gt;0")+COUNTIF(ActividadesEspeciales!$D$102:V$102,"&gt;0"))*100</f>
        <v>67.0212766</v>
      </c>
    </row>
    <row r="40" ht="28.5" customHeight="1">
      <c r="A40" s="3">
        <v>189.0</v>
      </c>
      <c r="B40" s="4" t="s">
        <v>353</v>
      </c>
      <c r="C40" s="5">
        <v>1004103.0</v>
      </c>
      <c r="D40" s="7" t="s">
        <v>354</v>
      </c>
      <c r="E40" s="5">
        <v>4.9960659E7</v>
      </c>
      <c r="F40" s="5" t="s">
        <v>355</v>
      </c>
      <c r="G40" s="7">
        <v>1.16965721E9</v>
      </c>
      <c r="H40" s="5" t="s">
        <v>356</v>
      </c>
      <c r="I40" s="5" t="s">
        <v>357</v>
      </c>
      <c r="J40" s="7">
        <v>1.144721717E9</v>
      </c>
      <c r="K40" s="5" t="s">
        <v>358</v>
      </c>
      <c r="L40" s="5" t="s">
        <v>359</v>
      </c>
      <c r="M40" s="7">
        <v>1.153074328E9</v>
      </c>
      <c r="N40" s="5" t="s">
        <v>61</v>
      </c>
      <c r="O40" s="5" t="s">
        <v>352</v>
      </c>
      <c r="P40" s="5" t="s">
        <v>53</v>
      </c>
      <c r="Q40" s="5" t="s">
        <v>30</v>
      </c>
      <c r="R40" s="5" t="s">
        <v>87</v>
      </c>
      <c r="S40" s="5" t="s">
        <v>32</v>
      </c>
      <c r="T40" s="8" t="str">
        <f>IFS(SUM(IFNA(MATCH($B40,'DIVISION 15'!$A$2:$H$2,0),""),IFNA(MATCH($B40,'DIVISION 15'!$A$3:$H$3,0),""),IFNA(MATCH($B40,'DIVISION 15'!$A$4:$H$4,0),""),IFNA(MATCH($B40,'DIVISION 15'!$A$5:$H$5,0),""),IFNA(MATCH($B40,'DIVISION 15'!$A$6:$H$6,0),""),IFNA(MATCH($B40,'DIVISION 15'!$A$7:$H$7,0),""),IFNA(MATCH($B40,'DIVISION 15'!$A$8:$H$8,0),""),IFNA(MATCH($B40,'DIVISION 15'!$A$9:$H$9,0),""),IFNA(MATCH($B40,'DIVISION 15'!$A$10:$H$10,0),""),IFNA(MATCH($B40,'DIVISION 15'!$A$11:$H$11,0),""),IFNA(MATCH($B40,'DIVISION 15'!$A$12:$H$12,0),""),IFNA(MATCH($B40,'DIVISION 15'!$A$13:$H$13,0),""),IFNA(MATCH($B40,'DIVISION 15'!$A$14:$H$14,0),""),IFNA(MATCH($B40,'DIVISION 15'!$A$15:$H$15,0),""),IFNA(MATCH($B40,'DIVISION 15'!$A$16:$H$16,0),""),IFNA(MATCH($B40,'DIVISION 15'!$A$17:$H$17,0),""),IFNA(MATCH($B40,'DIVISION 15'!$A$18:$H$18,0),""))=1,'DIVISION 15'!$A$1,SUM(IFNA(MATCH($B40,'DIVISION 15'!$A$2:$H$2,0),""),IFNA(MATCH($B40,'DIVISION 15'!$A$3:$H$3,0),""),IFNA(MATCH($B40,'DIVISION 15'!$A$4:$H$4,0),""),IFNA(MATCH($B40,'DIVISION 15'!$A$5:$H$5,0),""),IFNA(MATCH($B40,'DIVISION 15'!$A$6:$H$6,0),""),IFNA(MATCH($B40,'DIVISION 15'!$A$7:$H$7,0),""),IFNA(MATCH($B40,'DIVISION 15'!$A$8:$H$8,0),""),IFNA(MATCH($B40,'DIVISION 15'!$A$9:$H$9,0),""),IFNA(MATCH($B40,'DIVISION 15'!$A$10:$H$10,0),""),IFNA(MATCH($B40,'DIVISION 15'!$A$11:$H$11,0),""),IFNA(MATCH($B40,'DIVISION 15'!$A$12:$H$12,0),""),IFNA(MATCH($B40,'DIVISION 15'!$A$13:$H$13,0),""),IFNA(MATCH($B40,'DIVISION 15'!$A$14:$H$14,0),""),IFNA(MATCH($B40,'DIVISION 15'!$A$15:$H$15,0),""),IFNA(MATCH($B40,'DIVISION 15'!$A$16:$H$16,0),""),IFNA(MATCH($B40,'DIVISION 15'!$A$17:$H$17,0),""),IFNA(MATCH($B40,'DIVISION 15'!$A$18:$H$18,0),""))=2,'DIVISION 15'!$B$1,SUM(IFNA(MATCH($B40,'DIVISION 15'!$A$2:$H$2,0),""),IFNA(MATCH($B40,'DIVISION 15'!$A$3:$H$3,0),""),IFNA(MATCH($B40,'DIVISION 15'!$A$4:$H$4,0),""),IFNA(MATCH($B40,'DIVISION 15'!$A$5:$H$5,0),""),IFNA(MATCH($B40,'DIVISION 15'!$A$6:$H$6,0),""),IFNA(MATCH($B40,'DIVISION 15'!$A$7:$H$7,0),""),IFNA(MATCH($B40,'DIVISION 15'!$A$8:$H$8,0),""),IFNA(MATCH($B40,'DIVISION 15'!$A$9:$H$9,0),""),IFNA(MATCH($B40,'DIVISION 15'!$A$10:$H$10,0),""),IFNA(MATCH($B40,'DIVISION 15'!$A$11:$H$11,0),""),IFNA(MATCH($B40,'DIVISION 15'!$A$12:$H$12,0),""),IFNA(MATCH($B40,'DIVISION 15'!$A$13:$H$13,0),""),IFNA(MATCH($B40,'DIVISION 15'!$A$14:$H$14,0),""),IFNA(MATCH($B40,'DIVISION 15'!$A$15:$H$15,0),""),IFNA(MATCH($B40,'DIVISION 15'!$A$16:$H$16,0),""),IFNA(MATCH($B40,'DIVISION 15'!$A$17:$H$17,0),""),IFNA(MATCH($B40,'DIVISION 15'!$A$18:$H$18,0),""))=3,'DIVISION 15'!$C$1,SUM(IFNA(MATCH($B40,'DIVISION 15'!$A$2:$H$2,0),""),IFNA(MATCH($B40,'DIVISION 15'!$A$3:$H$3,0),""),IFNA(MATCH($B40,'DIVISION 15'!$A$4:$H$4,0),""),IFNA(MATCH($B40,'DIVISION 15'!$A$5:$H$5,0),""),IFNA(MATCH($B40,'DIVISION 15'!$A$6:$H$6,0),""),IFNA(MATCH($B40,'DIVISION 15'!$A$7:$H$7,0),""),IFNA(MATCH($B40,'DIVISION 15'!$A$8:$H$8,0),""),IFNA(MATCH($B40,'DIVISION 15'!$A$9:$H$9,0),""),IFNA(MATCH($B40,'DIVISION 15'!$A$10:$H$10,0),""),IFNA(MATCH($B40,'DIVISION 15'!$A$11:$H$11,0),""),IFNA(MATCH($B40,'DIVISION 15'!$A$12:$H$12,0),""),IFNA(MATCH($B40,'DIVISION 15'!$A$13:$H$13,0),""),IFNA(MATCH($B40,'DIVISION 15'!$A$14:$H$14,0),""),IFNA(MATCH($B40,'DIVISION 15'!$A$15:$H$15,0),""),IFNA(MATCH($B40,'DIVISION 15'!$A$16:$H$16,0),""),IFNA(MATCH($B40,'DIVISION 15'!$A$17:$H$17,0),""),IFNA(MATCH($B40,'DIVISION 15'!$A$18:$H$18,0),""))=4,'DIVISION 15'!$D$1,SUM(IFNA(MATCH($B40,'DIVISION 15'!$A$2:$H$2,0),""),IFNA(MATCH($B40,'DIVISION 15'!$A$3:$H$3,0),""),IFNA(MATCH($B40,'DIVISION 15'!$A$4:$H$4,0),""),IFNA(MATCH($B40,'DIVISION 15'!$A$5:$H$5,0),""),IFNA(MATCH($B40,'DIVISION 15'!$A$6:$H$6,0),""),IFNA(MATCH($B40,'DIVISION 15'!$A$7:$H$7,0),""),IFNA(MATCH($B40,'DIVISION 15'!$A$8:$H$8,0),""),IFNA(MATCH($B40,'DIVISION 15'!$A$9:$H$9,0),""),IFNA(MATCH($B40,'DIVISION 15'!$A$10:$H$10,0),""),IFNA(MATCH($B40,'DIVISION 15'!$A$11:$H$11,0),""),IFNA(MATCH($B40,'DIVISION 15'!$A$12:$H$12,0),""),IFNA(MATCH($B40,'DIVISION 15'!$A$13:$H$13,0),""),IFNA(MATCH($B40,'DIVISION 15'!$A$14:$H$14,0),""),IFNA(MATCH($B40,'DIVISION 15'!$A$15:$H$15,0),""),IFNA(MATCH($B40,'DIVISION 15'!$A$16:$H$16,0),""),IFNA(MATCH($B40,'DIVISION 15'!$A$17:$H$17,0),""),IFNA(MATCH($B40,'DIVISION 15'!$A$18:$H$18,0),""))=5,'DIVISION 15'!$E$1,SUM(IFNA(MATCH($B40,'DIVISION 15'!$A$2:$H$2,0),""),IFNA(MATCH($B40,'DIVISION 15'!$A$3:$H$3,0),""),IFNA(MATCH($B40,'DIVISION 15'!$A$4:$H$4,0),""),IFNA(MATCH($B40,'DIVISION 15'!$A$5:$H$5,0),""),IFNA(MATCH($B40,'DIVISION 15'!$A$6:$H$6,0),""),IFNA(MATCH($B40,'DIVISION 15'!$A$7:$H$7,0),""),IFNA(MATCH($B40,'DIVISION 15'!$A$8:$H$8,0),""),IFNA(MATCH($B40,'DIVISION 15'!$A$9:$H$9,0),""),IFNA(MATCH($B40,'DIVISION 15'!$A$10:$H$10,0),""),IFNA(MATCH($B40,'DIVISION 15'!$A$11:$H$11,0),""),IFNA(MATCH($B40,'DIVISION 15'!$A$12:$H$12,0),""),IFNA(MATCH($B40,'DIVISION 15'!$A$13:$H$13,0),""),IFNA(MATCH($B40,'DIVISION 15'!$A$14:$H$14,0),""),IFNA(MATCH($B40,'DIVISION 15'!$A$15:$H$15,0),""),IFNA(MATCH($B40,'DIVISION 15'!$A$16:$H$16,0),""),IFNA(MATCH($B40,'DIVISION 15'!$A$17:$H$17,0),""),IFNA(MATCH($B40,'DIVISION 15'!$A$18:$H$18,0),""))=6,'DIVISION 15'!$F$1,SUM(IFNA(MATCH($B40,'DIVISION 15'!$A$2:$H$2,0),""),IFNA(MATCH($B40,'DIVISION 15'!$A$3:$H$3,0),""),IFNA(MATCH($B40,'DIVISION 15'!$A$4:$H$4,0),""),IFNA(MATCH($B40,'DIVISION 15'!$A$5:$H$5,0),""),IFNA(MATCH($B40,'DIVISION 15'!$A$6:$H$6,0),""),IFNA(MATCH($B40,'DIVISION 15'!$A$7:$H$7,0),""),IFNA(MATCH($B40,'DIVISION 15'!$A$8:$H$8,0),""),IFNA(MATCH($B40,'DIVISION 15'!$A$9:$H$9,0),""),IFNA(MATCH($B40,'DIVISION 15'!$A$10:$H$10,0),""),IFNA(MATCH($B40,'DIVISION 15'!$A$11:$H$11,0),""),IFNA(MATCH($B40,'DIVISION 15'!$A$12:$H$12,0),""),IFNA(MATCH($B40,'DIVISION 15'!$A$13:$H$13,0),""),IFNA(MATCH($B40,'DIVISION 15'!$A$14:$H$14,0),""),IFNA(MATCH($B40,'DIVISION 15'!$A$15:$H$15,0),""),IFNA(MATCH($B40,'DIVISION 15'!$A$16:$H$16,0),""),IFNA(MATCH($B40,'DIVISION 15'!$A$17:$H$17,0),""),IFNA(MATCH($B40,'DIVISION 15'!$A$18:$H$18,0),""))=7,'DIVISION 15'!$G$1,SUM(IFNA(MATCH($B40,'DIVISION 15'!$A$2:$H$2,0),""),IFNA(MATCH($B40,'DIVISION 15'!$A$3:$H$3,0),""),IFNA(MATCH($B40,'DIVISION 15'!$A$4:$H$4,0),""),IFNA(MATCH($B40,'DIVISION 15'!$A$5:$H$5,0),""),IFNA(MATCH($B40,'DIVISION 15'!$A$6:$H$6,0),""),IFNA(MATCH($B40,'DIVISION 15'!$A$7:$H$7,0),""),IFNA(MATCH($B40,'DIVISION 15'!$A$8:$H$8,0),""),IFNA(MATCH($B40,'DIVISION 15'!$A$9:$H$9,0),""),IFNA(MATCH($B40,'DIVISION 15'!$A$10:$H$10,0),""),IFNA(MATCH($B40,'DIVISION 15'!$A$11:$H$11,0),""),IFNA(MATCH($B40,'DIVISION 15'!$A$12:$H$12,0),""),IFNA(MATCH($B40,'DIVISION 15'!$A$13:$H$13,0),""),IFNA(MATCH($B40,'DIVISION 15'!$A$14:$H$14,0),""),IFNA(MATCH($B40,'DIVISION 15'!$A$15:$H$15,0),""),IFNA(MATCH($B40,'DIVISION 15'!$A$16:$H$16,0),""),IFNA(MATCH($B40,'DIVISION 15'!$A$17:$H$17,0),""),IFNA(MATCH($B40,'DIVISION 15'!$A$18:$H$18,0),""))=8,'DIVISION 15'!$H$1)</f>
        <v>MELU</v>
      </c>
      <c r="U40" s="8" t="str">
        <f t="shared" si="2"/>
        <v>MELU6</v>
      </c>
      <c r="V40" s="9">
        <f>SUMIF(AsistenciaViewJetAdmin!$A$3:$A$101,A40,AsistenciaViewJetAdmin!$C$3:$C$101)/(COUNTIF(AsistenciaViewJetAdmin!$D$102:V$102,"&gt;0")+COUNTIF(ActividadesEspeciales!$D$102:V$102,"&gt;0"))*100</f>
        <v>76.06382979</v>
      </c>
    </row>
    <row r="41" ht="28.5" customHeight="1">
      <c r="A41" s="3">
        <v>196.0</v>
      </c>
      <c r="B41" s="4" t="s">
        <v>360</v>
      </c>
      <c r="C41" s="5">
        <v>1084003.0</v>
      </c>
      <c r="D41" s="7" t="s">
        <v>361</v>
      </c>
      <c r="E41" s="5">
        <v>5.0233807E7</v>
      </c>
      <c r="F41" s="5" t="s">
        <v>362</v>
      </c>
      <c r="G41" s="7">
        <v>1.127886202E9</v>
      </c>
      <c r="H41" s="5" t="s">
        <v>363</v>
      </c>
      <c r="I41" s="5" t="s">
        <v>364</v>
      </c>
      <c r="J41" s="7">
        <v>1.160173786E9</v>
      </c>
      <c r="K41" s="5" t="s">
        <v>365</v>
      </c>
      <c r="L41" s="5" t="s">
        <v>366</v>
      </c>
      <c r="M41" s="7">
        <v>1.158870229E9</v>
      </c>
      <c r="N41" s="5" t="s">
        <v>61</v>
      </c>
      <c r="O41" s="5" t="s">
        <v>367</v>
      </c>
      <c r="P41" s="5" t="s">
        <v>53</v>
      </c>
      <c r="Q41" s="5" t="s">
        <v>74</v>
      </c>
      <c r="R41" s="5" t="s">
        <v>31</v>
      </c>
      <c r="S41" s="5" t="s">
        <v>43</v>
      </c>
      <c r="T41" s="8" t="str">
        <f>IFS(SUM(IFNA(MATCH($B41,'DIVISION 15'!$A$2:$H$2,0),""),IFNA(MATCH($B41,'DIVISION 15'!$A$3:$H$3,0),""),IFNA(MATCH($B41,'DIVISION 15'!$A$4:$H$4,0),""),IFNA(MATCH($B41,'DIVISION 15'!$A$5:$H$5,0),""),IFNA(MATCH($B41,'DIVISION 15'!$A$6:$H$6,0),""),IFNA(MATCH($B41,'DIVISION 15'!$A$7:$H$7,0),""),IFNA(MATCH($B41,'DIVISION 15'!$A$8:$H$8,0),""),IFNA(MATCH($B41,'DIVISION 15'!$A$9:$H$9,0),""),IFNA(MATCH($B41,'DIVISION 15'!$A$10:$H$10,0),""),IFNA(MATCH($B41,'DIVISION 15'!$A$11:$H$11,0),""),IFNA(MATCH($B41,'DIVISION 15'!$A$12:$H$12,0),""),IFNA(MATCH($B41,'DIVISION 15'!$A$13:$H$13,0),""),IFNA(MATCH($B41,'DIVISION 15'!$A$14:$H$14,0),""),IFNA(MATCH($B41,'DIVISION 15'!$A$15:$H$15,0),""),IFNA(MATCH($B41,'DIVISION 15'!$A$16:$H$16,0),""),IFNA(MATCH($B41,'DIVISION 15'!$A$17:$H$17,0),""),IFNA(MATCH($B41,'DIVISION 15'!$A$18:$H$18,0),""))=1,'DIVISION 15'!$A$1,SUM(IFNA(MATCH($B41,'DIVISION 15'!$A$2:$H$2,0),""),IFNA(MATCH($B41,'DIVISION 15'!$A$3:$H$3,0),""),IFNA(MATCH($B41,'DIVISION 15'!$A$4:$H$4,0),""),IFNA(MATCH($B41,'DIVISION 15'!$A$5:$H$5,0),""),IFNA(MATCH($B41,'DIVISION 15'!$A$6:$H$6,0),""),IFNA(MATCH($B41,'DIVISION 15'!$A$7:$H$7,0),""),IFNA(MATCH($B41,'DIVISION 15'!$A$8:$H$8,0),""),IFNA(MATCH($B41,'DIVISION 15'!$A$9:$H$9,0),""),IFNA(MATCH($B41,'DIVISION 15'!$A$10:$H$10,0),""),IFNA(MATCH($B41,'DIVISION 15'!$A$11:$H$11,0),""),IFNA(MATCH($B41,'DIVISION 15'!$A$12:$H$12,0),""),IFNA(MATCH($B41,'DIVISION 15'!$A$13:$H$13,0),""),IFNA(MATCH($B41,'DIVISION 15'!$A$14:$H$14,0),""),IFNA(MATCH($B41,'DIVISION 15'!$A$15:$H$15,0),""),IFNA(MATCH($B41,'DIVISION 15'!$A$16:$H$16,0),""),IFNA(MATCH($B41,'DIVISION 15'!$A$17:$H$17,0),""),IFNA(MATCH($B41,'DIVISION 15'!$A$18:$H$18,0),""))=2,'DIVISION 15'!$B$1,SUM(IFNA(MATCH($B41,'DIVISION 15'!$A$2:$H$2,0),""),IFNA(MATCH($B41,'DIVISION 15'!$A$3:$H$3,0),""),IFNA(MATCH($B41,'DIVISION 15'!$A$4:$H$4,0),""),IFNA(MATCH($B41,'DIVISION 15'!$A$5:$H$5,0),""),IFNA(MATCH($B41,'DIVISION 15'!$A$6:$H$6,0),""),IFNA(MATCH($B41,'DIVISION 15'!$A$7:$H$7,0),""),IFNA(MATCH($B41,'DIVISION 15'!$A$8:$H$8,0),""),IFNA(MATCH($B41,'DIVISION 15'!$A$9:$H$9,0),""),IFNA(MATCH($B41,'DIVISION 15'!$A$10:$H$10,0),""),IFNA(MATCH($B41,'DIVISION 15'!$A$11:$H$11,0),""),IFNA(MATCH($B41,'DIVISION 15'!$A$12:$H$12,0),""),IFNA(MATCH($B41,'DIVISION 15'!$A$13:$H$13,0),""),IFNA(MATCH($B41,'DIVISION 15'!$A$14:$H$14,0),""),IFNA(MATCH($B41,'DIVISION 15'!$A$15:$H$15,0),""),IFNA(MATCH($B41,'DIVISION 15'!$A$16:$H$16,0),""),IFNA(MATCH($B41,'DIVISION 15'!$A$17:$H$17,0),""),IFNA(MATCH($B41,'DIVISION 15'!$A$18:$H$18,0),""))=3,'DIVISION 15'!$C$1,SUM(IFNA(MATCH($B41,'DIVISION 15'!$A$2:$H$2,0),""),IFNA(MATCH($B41,'DIVISION 15'!$A$3:$H$3,0),""),IFNA(MATCH($B41,'DIVISION 15'!$A$4:$H$4,0),""),IFNA(MATCH($B41,'DIVISION 15'!$A$5:$H$5,0),""),IFNA(MATCH($B41,'DIVISION 15'!$A$6:$H$6,0),""),IFNA(MATCH($B41,'DIVISION 15'!$A$7:$H$7,0),""),IFNA(MATCH($B41,'DIVISION 15'!$A$8:$H$8,0),""),IFNA(MATCH($B41,'DIVISION 15'!$A$9:$H$9,0),""),IFNA(MATCH($B41,'DIVISION 15'!$A$10:$H$10,0),""),IFNA(MATCH($B41,'DIVISION 15'!$A$11:$H$11,0),""),IFNA(MATCH($B41,'DIVISION 15'!$A$12:$H$12,0),""),IFNA(MATCH($B41,'DIVISION 15'!$A$13:$H$13,0),""),IFNA(MATCH($B41,'DIVISION 15'!$A$14:$H$14,0),""),IFNA(MATCH($B41,'DIVISION 15'!$A$15:$H$15,0),""),IFNA(MATCH($B41,'DIVISION 15'!$A$16:$H$16,0),""),IFNA(MATCH($B41,'DIVISION 15'!$A$17:$H$17,0),""),IFNA(MATCH($B41,'DIVISION 15'!$A$18:$H$18,0),""))=4,'DIVISION 15'!$D$1,SUM(IFNA(MATCH($B41,'DIVISION 15'!$A$2:$H$2,0),""),IFNA(MATCH($B41,'DIVISION 15'!$A$3:$H$3,0),""),IFNA(MATCH($B41,'DIVISION 15'!$A$4:$H$4,0),""),IFNA(MATCH($B41,'DIVISION 15'!$A$5:$H$5,0),""),IFNA(MATCH($B41,'DIVISION 15'!$A$6:$H$6,0),""),IFNA(MATCH($B41,'DIVISION 15'!$A$7:$H$7,0),""),IFNA(MATCH($B41,'DIVISION 15'!$A$8:$H$8,0),""),IFNA(MATCH($B41,'DIVISION 15'!$A$9:$H$9,0),""),IFNA(MATCH($B41,'DIVISION 15'!$A$10:$H$10,0),""),IFNA(MATCH($B41,'DIVISION 15'!$A$11:$H$11,0),""),IFNA(MATCH($B41,'DIVISION 15'!$A$12:$H$12,0),""),IFNA(MATCH($B41,'DIVISION 15'!$A$13:$H$13,0),""),IFNA(MATCH($B41,'DIVISION 15'!$A$14:$H$14,0),""),IFNA(MATCH($B41,'DIVISION 15'!$A$15:$H$15,0),""),IFNA(MATCH($B41,'DIVISION 15'!$A$16:$H$16,0),""),IFNA(MATCH($B41,'DIVISION 15'!$A$17:$H$17,0),""),IFNA(MATCH($B41,'DIVISION 15'!$A$18:$H$18,0),""))=5,'DIVISION 15'!$E$1,SUM(IFNA(MATCH($B41,'DIVISION 15'!$A$2:$H$2,0),""),IFNA(MATCH($B41,'DIVISION 15'!$A$3:$H$3,0),""),IFNA(MATCH($B41,'DIVISION 15'!$A$4:$H$4,0),""),IFNA(MATCH($B41,'DIVISION 15'!$A$5:$H$5,0),""),IFNA(MATCH($B41,'DIVISION 15'!$A$6:$H$6,0),""),IFNA(MATCH($B41,'DIVISION 15'!$A$7:$H$7,0),""),IFNA(MATCH($B41,'DIVISION 15'!$A$8:$H$8,0),""),IFNA(MATCH($B41,'DIVISION 15'!$A$9:$H$9,0),""),IFNA(MATCH($B41,'DIVISION 15'!$A$10:$H$10,0),""),IFNA(MATCH($B41,'DIVISION 15'!$A$11:$H$11,0),""),IFNA(MATCH($B41,'DIVISION 15'!$A$12:$H$12,0),""),IFNA(MATCH($B41,'DIVISION 15'!$A$13:$H$13,0),""),IFNA(MATCH($B41,'DIVISION 15'!$A$14:$H$14,0),""),IFNA(MATCH($B41,'DIVISION 15'!$A$15:$H$15,0),""),IFNA(MATCH($B41,'DIVISION 15'!$A$16:$H$16,0),""),IFNA(MATCH($B41,'DIVISION 15'!$A$17:$H$17,0),""),IFNA(MATCH($B41,'DIVISION 15'!$A$18:$H$18,0),""))=6,'DIVISION 15'!$F$1,SUM(IFNA(MATCH($B41,'DIVISION 15'!$A$2:$H$2,0),""),IFNA(MATCH($B41,'DIVISION 15'!$A$3:$H$3,0),""),IFNA(MATCH($B41,'DIVISION 15'!$A$4:$H$4,0),""),IFNA(MATCH($B41,'DIVISION 15'!$A$5:$H$5,0),""),IFNA(MATCH($B41,'DIVISION 15'!$A$6:$H$6,0),""),IFNA(MATCH($B41,'DIVISION 15'!$A$7:$H$7,0),""),IFNA(MATCH($B41,'DIVISION 15'!$A$8:$H$8,0),""),IFNA(MATCH($B41,'DIVISION 15'!$A$9:$H$9,0),""),IFNA(MATCH($B41,'DIVISION 15'!$A$10:$H$10,0),""),IFNA(MATCH($B41,'DIVISION 15'!$A$11:$H$11,0),""),IFNA(MATCH($B41,'DIVISION 15'!$A$12:$H$12,0),""),IFNA(MATCH($B41,'DIVISION 15'!$A$13:$H$13,0),""),IFNA(MATCH($B41,'DIVISION 15'!$A$14:$H$14,0),""),IFNA(MATCH($B41,'DIVISION 15'!$A$15:$H$15,0),""),IFNA(MATCH($B41,'DIVISION 15'!$A$16:$H$16,0),""),IFNA(MATCH($B41,'DIVISION 15'!$A$17:$H$17,0),""),IFNA(MATCH($B41,'DIVISION 15'!$A$18:$H$18,0),""))=7,'DIVISION 15'!$G$1,SUM(IFNA(MATCH($B41,'DIVISION 15'!$A$2:$H$2,0),""),IFNA(MATCH($B41,'DIVISION 15'!$A$3:$H$3,0),""),IFNA(MATCH($B41,'DIVISION 15'!$A$4:$H$4,0),""),IFNA(MATCH($B41,'DIVISION 15'!$A$5:$H$5,0),""),IFNA(MATCH($B41,'DIVISION 15'!$A$6:$H$6,0),""),IFNA(MATCH($B41,'DIVISION 15'!$A$7:$H$7,0),""),IFNA(MATCH($B41,'DIVISION 15'!$A$8:$H$8,0),""),IFNA(MATCH($B41,'DIVISION 15'!$A$9:$H$9,0),""),IFNA(MATCH($B41,'DIVISION 15'!$A$10:$H$10,0),""),IFNA(MATCH($B41,'DIVISION 15'!$A$11:$H$11,0),""),IFNA(MATCH($B41,'DIVISION 15'!$A$12:$H$12,0),""),IFNA(MATCH($B41,'DIVISION 15'!$A$13:$H$13,0),""),IFNA(MATCH($B41,'DIVISION 15'!$A$14:$H$14,0),""),IFNA(MATCH($B41,'DIVISION 15'!$A$15:$H$15,0),""),IFNA(MATCH($B41,'DIVISION 15'!$A$16:$H$16,0),""),IFNA(MATCH($B41,'DIVISION 15'!$A$17:$H$17,0),""),IFNA(MATCH($B41,'DIVISION 15'!$A$18:$H$18,0),""))=8,'DIVISION 15'!$H$1)</f>
        <v>EITU</v>
      </c>
      <c r="U41" s="8" t="str">
        <f t="shared" si="2"/>
        <v>EITU6</v>
      </c>
      <c r="V41" s="9">
        <f>SUMIF(AsistenciaViewJetAdmin!$A$3:$A$101,A41,AsistenciaViewJetAdmin!$C$3:$C$101)/(COUNTIF(AsistenciaViewJetAdmin!$D$102:V$102,"&gt;0")+COUNTIF(ActividadesEspeciales!$D$102:V$102,"&gt;0"))*100</f>
        <v>59.04255319</v>
      </c>
    </row>
    <row r="42" ht="28.5" customHeight="1">
      <c r="A42" s="3">
        <v>171.0</v>
      </c>
      <c r="B42" s="4" t="s">
        <v>368</v>
      </c>
      <c r="C42" s="5">
        <v>1022202.0</v>
      </c>
      <c r="D42" s="7" t="s">
        <v>155</v>
      </c>
      <c r="E42" s="5">
        <v>5.0237085E7</v>
      </c>
      <c r="F42" s="5" t="s">
        <v>369</v>
      </c>
      <c r="G42" s="7">
        <f>+5491166102010</f>
        <v>5491166102010</v>
      </c>
      <c r="H42" s="5" t="s">
        <v>370</v>
      </c>
      <c r="I42" s="5" t="s">
        <v>371</v>
      </c>
      <c r="J42" s="7" t="s">
        <v>372</v>
      </c>
      <c r="K42" s="5" t="s">
        <v>373</v>
      </c>
      <c r="L42" s="5" t="s">
        <v>374</v>
      </c>
      <c r="M42" s="7">
        <f>+5491156303103</f>
        <v>5491156303103</v>
      </c>
      <c r="N42" s="5" t="s">
        <v>220</v>
      </c>
      <c r="O42" s="5" t="s">
        <v>375</v>
      </c>
      <c r="P42" s="5" t="s">
        <v>136</v>
      </c>
      <c r="Q42" s="5" t="s">
        <v>30</v>
      </c>
      <c r="R42" s="5" t="s">
        <v>31</v>
      </c>
      <c r="S42" s="5" t="s">
        <v>43</v>
      </c>
      <c r="T42" s="8" t="str">
        <f>IFS(SUM(IFNA(MATCH($B42,'DIVISION 15'!$A$2:$H$2,0),""),IFNA(MATCH($B42,'DIVISION 15'!$A$3:$H$3,0),""),IFNA(MATCH($B42,'DIVISION 15'!$A$4:$H$4,0),""),IFNA(MATCH($B42,'DIVISION 15'!$A$5:$H$5,0),""),IFNA(MATCH($B42,'DIVISION 15'!$A$6:$H$6,0),""),IFNA(MATCH($B42,'DIVISION 15'!$A$7:$H$7,0),""),IFNA(MATCH($B42,'DIVISION 15'!$A$8:$H$8,0),""),IFNA(MATCH($B42,'DIVISION 15'!$A$9:$H$9,0),""),IFNA(MATCH($B42,'DIVISION 15'!$A$10:$H$10,0),""),IFNA(MATCH($B42,'DIVISION 15'!$A$11:$H$11,0),""),IFNA(MATCH($B42,'DIVISION 15'!$A$12:$H$12,0),""),IFNA(MATCH($B42,'DIVISION 15'!$A$13:$H$13,0),""),IFNA(MATCH($B42,'DIVISION 15'!$A$14:$H$14,0),""),IFNA(MATCH($B42,'DIVISION 15'!$A$15:$H$15,0),""),IFNA(MATCH($B42,'DIVISION 15'!$A$16:$H$16,0),""),IFNA(MATCH($B42,'DIVISION 15'!$A$17:$H$17,0),""),IFNA(MATCH($B42,'DIVISION 15'!$A$18:$H$18,0),""))=1,'DIVISION 15'!$A$1,SUM(IFNA(MATCH($B42,'DIVISION 15'!$A$2:$H$2,0),""),IFNA(MATCH($B42,'DIVISION 15'!$A$3:$H$3,0),""),IFNA(MATCH($B42,'DIVISION 15'!$A$4:$H$4,0),""),IFNA(MATCH($B42,'DIVISION 15'!$A$5:$H$5,0),""),IFNA(MATCH($B42,'DIVISION 15'!$A$6:$H$6,0),""),IFNA(MATCH($B42,'DIVISION 15'!$A$7:$H$7,0),""),IFNA(MATCH($B42,'DIVISION 15'!$A$8:$H$8,0),""),IFNA(MATCH($B42,'DIVISION 15'!$A$9:$H$9,0),""),IFNA(MATCH($B42,'DIVISION 15'!$A$10:$H$10,0),""),IFNA(MATCH($B42,'DIVISION 15'!$A$11:$H$11,0),""),IFNA(MATCH($B42,'DIVISION 15'!$A$12:$H$12,0),""),IFNA(MATCH($B42,'DIVISION 15'!$A$13:$H$13,0),""),IFNA(MATCH($B42,'DIVISION 15'!$A$14:$H$14,0),""),IFNA(MATCH($B42,'DIVISION 15'!$A$15:$H$15,0),""),IFNA(MATCH($B42,'DIVISION 15'!$A$16:$H$16,0),""),IFNA(MATCH($B42,'DIVISION 15'!$A$17:$H$17,0),""),IFNA(MATCH($B42,'DIVISION 15'!$A$18:$H$18,0),""))=2,'DIVISION 15'!$B$1,SUM(IFNA(MATCH($B42,'DIVISION 15'!$A$2:$H$2,0),""),IFNA(MATCH($B42,'DIVISION 15'!$A$3:$H$3,0),""),IFNA(MATCH($B42,'DIVISION 15'!$A$4:$H$4,0),""),IFNA(MATCH($B42,'DIVISION 15'!$A$5:$H$5,0),""),IFNA(MATCH($B42,'DIVISION 15'!$A$6:$H$6,0),""),IFNA(MATCH($B42,'DIVISION 15'!$A$7:$H$7,0),""),IFNA(MATCH($B42,'DIVISION 15'!$A$8:$H$8,0),""),IFNA(MATCH($B42,'DIVISION 15'!$A$9:$H$9,0),""),IFNA(MATCH($B42,'DIVISION 15'!$A$10:$H$10,0),""),IFNA(MATCH($B42,'DIVISION 15'!$A$11:$H$11,0),""),IFNA(MATCH($B42,'DIVISION 15'!$A$12:$H$12,0),""),IFNA(MATCH($B42,'DIVISION 15'!$A$13:$H$13,0),""),IFNA(MATCH($B42,'DIVISION 15'!$A$14:$H$14,0),""),IFNA(MATCH($B42,'DIVISION 15'!$A$15:$H$15,0),""),IFNA(MATCH($B42,'DIVISION 15'!$A$16:$H$16,0),""),IFNA(MATCH($B42,'DIVISION 15'!$A$17:$H$17,0),""),IFNA(MATCH($B42,'DIVISION 15'!$A$18:$H$18,0),""))=3,'DIVISION 15'!$C$1,SUM(IFNA(MATCH($B42,'DIVISION 15'!$A$2:$H$2,0),""),IFNA(MATCH($B42,'DIVISION 15'!$A$3:$H$3,0),""),IFNA(MATCH($B42,'DIVISION 15'!$A$4:$H$4,0),""),IFNA(MATCH($B42,'DIVISION 15'!$A$5:$H$5,0),""),IFNA(MATCH($B42,'DIVISION 15'!$A$6:$H$6,0),""),IFNA(MATCH($B42,'DIVISION 15'!$A$7:$H$7,0),""),IFNA(MATCH($B42,'DIVISION 15'!$A$8:$H$8,0),""),IFNA(MATCH($B42,'DIVISION 15'!$A$9:$H$9,0),""),IFNA(MATCH($B42,'DIVISION 15'!$A$10:$H$10,0),""),IFNA(MATCH($B42,'DIVISION 15'!$A$11:$H$11,0),""),IFNA(MATCH($B42,'DIVISION 15'!$A$12:$H$12,0),""),IFNA(MATCH($B42,'DIVISION 15'!$A$13:$H$13,0),""),IFNA(MATCH($B42,'DIVISION 15'!$A$14:$H$14,0),""),IFNA(MATCH($B42,'DIVISION 15'!$A$15:$H$15,0),""),IFNA(MATCH($B42,'DIVISION 15'!$A$16:$H$16,0),""),IFNA(MATCH($B42,'DIVISION 15'!$A$17:$H$17,0),""),IFNA(MATCH($B42,'DIVISION 15'!$A$18:$H$18,0),""))=4,'DIVISION 15'!$D$1,SUM(IFNA(MATCH($B42,'DIVISION 15'!$A$2:$H$2,0),""),IFNA(MATCH($B42,'DIVISION 15'!$A$3:$H$3,0),""),IFNA(MATCH($B42,'DIVISION 15'!$A$4:$H$4,0),""),IFNA(MATCH($B42,'DIVISION 15'!$A$5:$H$5,0),""),IFNA(MATCH($B42,'DIVISION 15'!$A$6:$H$6,0),""),IFNA(MATCH($B42,'DIVISION 15'!$A$7:$H$7,0),""),IFNA(MATCH($B42,'DIVISION 15'!$A$8:$H$8,0),""),IFNA(MATCH($B42,'DIVISION 15'!$A$9:$H$9,0),""),IFNA(MATCH($B42,'DIVISION 15'!$A$10:$H$10,0),""),IFNA(MATCH($B42,'DIVISION 15'!$A$11:$H$11,0),""),IFNA(MATCH($B42,'DIVISION 15'!$A$12:$H$12,0),""),IFNA(MATCH($B42,'DIVISION 15'!$A$13:$H$13,0),""),IFNA(MATCH($B42,'DIVISION 15'!$A$14:$H$14,0),""),IFNA(MATCH($B42,'DIVISION 15'!$A$15:$H$15,0),""),IFNA(MATCH($B42,'DIVISION 15'!$A$16:$H$16,0),""),IFNA(MATCH($B42,'DIVISION 15'!$A$17:$H$17,0),""),IFNA(MATCH($B42,'DIVISION 15'!$A$18:$H$18,0),""))=5,'DIVISION 15'!$E$1,SUM(IFNA(MATCH($B42,'DIVISION 15'!$A$2:$H$2,0),""),IFNA(MATCH($B42,'DIVISION 15'!$A$3:$H$3,0),""),IFNA(MATCH($B42,'DIVISION 15'!$A$4:$H$4,0),""),IFNA(MATCH($B42,'DIVISION 15'!$A$5:$H$5,0),""),IFNA(MATCH($B42,'DIVISION 15'!$A$6:$H$6,0),""),IFNA(MATCH($B42,'DIVISION 15'!$A$7:$H$7,0),""),IFNA(MATCH($B42,'DIVISION 15'!$A$8:$H$8,0),""),IFNA(MATCH($B42,'DIVISION 15'!$A$9:$H$9,0),""),IFNA(MATCH($B42,'DIVISION 15'!$A$10:$H$10,0),""),IFNA(MATCH($B42,'DIVISION 15'!$A$11:$H$11,0),""),IFNA(MATCH($B42,'DIVISION 15'!$A$12:$H$12,0),""),IFNA(MATCH($B42,'DIVISION 15'!$A$13:$H$13,0),""),IFNA(MATCH($B42,'DIVISION 15'!$A$14:$H$14,0),""),IFNA(MATCH($B42,'DIVISION 15'!$A$15:$H$15,0),""),IFNA(MATCH($B42,'DIVISION 15'!$A$16:$H$16,0),""),IFNA(MATCH($B42,'DIVISION 15'!$A$17:$H$17,0),""),IFNA(MATCH($B42,'DIVISION 15'!$A$18:$H$18,0),""))=6,'DIVISION 15'!$F$1,SUM(IFNA(MATCH($B42,'DIVISION 15'!$A$2:$H$2,0),""),IFNA(MATCH($B42,'DIVISION 15'!$A$3:$H$3,0),""),IFNA(MATCH($B42,'DIVISION 15'!$A$4:$H$4,0),""),IFNA(MATCH($B42,'DIVISION 15'!$A$5:$H$5,0),""),IFNA(MATCH($B42,'DIVISION 15'!$A$6:$H$6,0),""),IFNA(MATCH($B42,'DIVISION 15'!$A$7:$H$7,0),""),IFNA(MATCH($B42,'DIVISION 15'!$A$8:$H$8,0),""),IFNA(MATCH($B42,'DIVISION 15'!$A$9:$H$9,0),""),IFNA(MATCH($B42,'DIVISION 15'!$A$10:$H$10,0),""),IFNA(MATCH($B42,'DIVISION 15'!$A$11:$H$11,0),""),IFNA(MATCH($B42,'DIVISION 15'!$A$12:$H$12,0),""),IFNA(MATCH($B42,'DIVISION 15'!$A$13:$H$13,0),""),IFNA(MATCH($B42,'DIVISION 15'!$A$14:$H$14,0),""),IFNA(MATCH($B42,'DIVISION 15'!$A$15:$H$15,0),""),IFNA(MATCH($B42,'DIVISION 15'!$A$16:$H$16,0),""),IFNA(MATCH($B42,'DIVISION 15'!$A$17:$H$17,0),""),IFNA(MATCH($B42,'DIVISION 15'!$A$18:$H$18,0),""))=7,'DIVISION 15'!$G$1,SUM(IFNA(MATCH($B42,'DIVISION 15'!$A$2:$H$2,0),""),IFNA(MATCH($B42,'DIVISION 15'!$A$3:$H$3,0),""),IFNA(MATCH($B42,'DIVISION 15'!$A$4:$H$4,0),""),IFNA(MATCH($B42,'DIVISION 15'!$A$5:$H$5,0),""),IFNA(MATCH($B42,'DIVISION 15'!$A$6:$H$6,0),""),IFNA(MATCH($B42,'DIVISION 15'!$A$7:$H$7,0),""),IFNA(MATCH($B42,'DIVISION 15'!$A$8:$H$8,0),""),IFNA(MATCH($B42,'DIVISION 15'!$A$9:$H$9,0),""),IFNA(MATCH($B42,'DIVISION 15'!$A$10:$H$10,0),""),IFNA(MATCH($B42,'DIVISION 15'!$A$11:$H$11,0),""),IFNA(MATCH($B42,'DIVISION 15'!$A$12:$H$12,0),""),IFNA(MATCH($B42,'DIVISION 15'!$A$13:$H$13,0),""),IFNA(MATCH($B42,'DIVISION 15'!$A$14:$H$14,0),""),IFNA(MATCH($B42,'DIVISION 15'!$A$15:$H$15,0),""),IFNA(MATCH($B42,'DIVISION 15'!$A$16:$H$16,0),""),IFNA(MATCH($B42,'DIVISION 15'!$A$17:$H$17,0),""),IFNA(MATCH($B42,'DIVISION 15'!$A$18:$H$18,0),""))=8,'DIVISION 15'!$H$1)</f>
        <v>DAIU</v>
      </c>
      <c r="U42" s="8" t="str">
        <f t="shared" si="2"/>
        <v>DAIU6</v>
      </c>
      <c r="V42" s="9">
        <f>SUMIF(AsistenciaViewJetAdmin!$A$3:$A$101,A42,AsistenciaViewJetAdmin!$C$3:$C$101)/(COUNTIF(AsistenciaViewJetAdmin!$D$102:V$102,"&gt;0")+COUNTIF(ActividadesEspeciales!$D$102:V$102,"&gt;0"))*100</f>
        <v>70.74468085</v>
      </c>
    </row>
    <row r="43" ht="28.5" customHeight="1">
      <c r="A43" s="3">
        <v>210.0</v>
      </c>
      <c r="B43" s="4" t="s">
        <v>376</v>
      </c>
      <c r="C43" s="5">
        <v>997503.0</v>
      </c>
      <c r="D43" s="7" t="s">
        <v>377</v>
      </c>
      <c r="E43" s="5">
        <v>5.032411E7</v>
      </c>
      <c r="F43" s="5" t="s">
        <v>378</v>
      </c>
      <c r="G43" s="7">
        <v>1.12482363E9</v>
      </c>
      <c r="H43" s="5" t="s">
        <v>379</v>
      </c>
      <c r="I43" s="5" t="s">
        <v>380</v>
      </c>
      <c r="J43" s="7">
        <v>1.125524041E9</v>
      </c>
      <c r="K43" s="5" t="s">
        <v>381</v>
      </c>
      <c r="L43" s="5" t="s">
        <v>382</v>
      </c>
      <c r="M43" s="7">
        <v>1.12552404E9</v>
      </c>
      <c r="N43" s="5" t="s">
        <v>61</v>
      </c>
      <c r="O43" s="5" t="s">
        <v>120</v>
      </c>
      <c r="P43" s="5" t="s">
        <v>53</v>
      </c>
      <c r="Q43" s="5" t="s">
        <v>74</v>
      </c>
      <c r="R43" s="5" t="s">
        <v>31</v>
      </c>
      <c r="S43" s="5" t="s">
        <v>32</v>
      </c>
      <c r="T43" s="8" t="str">
        <f>IFS(SUM(IFNA(MATCH($B43,'DIVISION 15'!$A$2:$H$2,0),""),IFNA(MATCH($B43,'DIVISION 15'!$A$3:$H$3,0),""),IFNA(MATCH($B43,'DIVISION 15'!$A$4:$H$4,0),""),IFNA(MATCH($B43,'DIVISION 15'!$A$5:$H$5,0),""),IFNA(MATCH($B43,'DIVISION 15'!$A$6:$H$6,0),""),IFNA(MATCH($B43,'DIVISION 15'!$A$7:$H$7,0),""),IFNA(MATCH($B43,'DIVISION 15'!$A$8:$H$8,0),""),IFNA(MATCH($B43,'DIVISION 15'!$A$9:$H$9,0),""),IFNA(MATCH($B43,'DIVISION 15'!$A$10:$H$10,0),""),IFNA(MATCH($B43,'DIVISION 15'!$A$11:$H$11,0),""),IFNA(MATCH($B43,'DIVISION 15'!$A$12:$H$12,0),""),IFNA(MATCH($B43,'DIVISION 15'!$A$13:$H$13,0),""),IFNA(MATCH($B43,'DIVISION 15'!$A$14:$H$14,0),""),IFNA(MATCH($B43,'DIVISION 15'!$A$15:$H$15,0),""),IFNA(MATCH($B43,'DIVISION 15'!$A$16:$H$16,0),""),IFNA(MATCH($B43,'DIVISION 15'!$A$17:$H$17,0),""),IFNA(MATCH($B43,'DIVISION 15'!$A$18:$H$18,0),""))=1,'DIVISION 15'!$A$1,SUM(IFNA(MATCH($B43,'DIVISION 15'!$A$2:$H$2,0),""),IFNA(MATCH($B43,'DIVISION 15'!$A$3:$H$3,0),""),IFNA(MATCH($B43,'DIVISION 15'!$A$4:$H$4,0),""),IFNA(MATCH($B43,'DIVISION 15'!$A$5:$H$5,0),""),IFNA(MATCH($B43,'DIVISION 15'!$A$6:$H$6,0),""),IFNA(MATCH($B43,'DIVISION 15'!$A$7:$H$7,0),""),IFNA(MATCH($B43,'DIVISION 15'!$A$8:$H$8,0),""),IFNA(MATCH($B43,'DIVISION 15'!$A$9:$H$9,0),""),IFNA(MATCH($B43,'DIVISION 15'!$A$10:$H$10,0),""),IFNA(MATCH($B43,'DIVISION 15'!$A$11:$H$11,0),""),IFNA(MATCH($B43,'DIVISION 15'!$A$12:$H$12,0),""),IFNA(MATCH($B43,'DIVISION 15'!$A$13:$H$13,0),""),IFNA(MATCH($B43,'DIVISION 15'!$A$14:$H$14,0),""),IFNA(MATCH($B43,'DIVISION 15'!$A$15:$H$15,0),""),IFNA(MATCH($B43,'DIVISION 15'!$A$16:$H$16,0),""),IFNA(MATCH($B43,'DIVISION 15'!$A$17:$H$17,0),""),IFNA(MATCH($B43,'DIVISION 15'!$A$18:$H$18,0),""))=2,'DIVISION 15'!$B$1,SUM(IFNA(MATCH($B43,'DIVISION 15'!$A$2:$H$2,0),""),IFNA(MATCH($B43,'DIVISION 15'!$A$3:$H$3,0),""),IFNA(MATCH($B43,'DIVISION 15'!$A$4:$H$4,0),""),IFNA(MATCH($B43,'DIVISION 15'!$A$5:$H$5,0),""),IFNA(MATCH($B43,'DIVISION 15'!$A$6:$H$6,0),""),IFNA(MATCH($B43,'DIVISION 15'!$A$7:$H$7,0),""),IFNA(MATCH($B43,'DIVISION 15'!$A$8:$H$8,0),""),IFNA(MATCH($B43,'DIVISION 15'!$A$9:$H$9,0),""),IFNA(MATCH($B43,'DIVISION 15'!$A$10:$H$10,0),""),IFNA(MATCH($B43,'DIVISION 15'!$A$11:$H$11,0),""),IFNA(MATCH($B43,'DIVISION 15'!$A$12:$H$12,0),""),IFNA(MATCH($B43,'DIVISION 15'!$A$13:$H$13,0),""),IFNA(MATCH($B43,'DIVISION 15'!$A$14:$H$14,0),""),IFNA(MATCH($B43,'DIVISION 15'!$A$15:$H$15,0),""),IFNA(MATCH($B43,'DIVISION 15'!$A$16:$H$16,0),""),IFNA(MATCH($B43,'DIVISION 15'!$A$17:$H$17,0),""),IFNA(MATCH($B43,'DIVISION 15'!$A$18:$H$18,0),""))=3,'DIVISION 15'!$C$1,SUM(IFNA(MATCH($B43,'DIVISION 15'!$A$2:$H$2,0),""),IFNA(MATCH($B43,'DIVISION 15'!$A$3:$H$3,0),""),IFNA(MATCH($B43,'DIVISION 15'!$A$4:$H$4,0),""),IFNA(MATCH($B43,'DIVISION 15'!$A$5:$H$5,0),""),IFNA(MATCH($B43,'DIVISION 15'!$A$6:$H$6,0),""),IFNA(MATCH($B43,'DIVISION 15'!$A$7:$H$7,0),""),IFNA(MATCH($B43,'DIVISION 15'!$A$8:$H$8,0),""),IFNA(MATCH($B43,'DIVISION 15'!$A$9:$H$9,0),""),IFNA(MATCH($B43,'DIVISION 15'!$A$10:$H$10,0),""),IFNA(MATCH($B43,'DIVISION 15'!$A$11:$H$11,0),""),IFNA(MATCH($B43,'DIVISION 15'!$A$12:$H$12,0),""),IFNA(MATCH($B43,'DIVISION 15'!$A$13:$H$13,0),""),IFNA(MATCH($B43,'DIVISION 15'!$A$14:$H$14,0),""),IFNA(MATCH($B43,'DIVISION 15'!$A$15:$H$15,0),""),IFNA(MATCH($B43,'DIVISION 15'!$A$16:$H$16,0),""),IFNA(MATCH($B43,'DIVISION 15'!$A$17:$H$17,0),""),IFNA(MATCH($B43,'DIVISION 15'!$A$18:$H$18,0),""))=4,'DIVISION 15'!$D$1,SUM(IFNA(MATCH($B43,'DIVISION 15'!$A$2:$H$2,0),""),IFNA(MATCH($B43,'DIVISION 15'!$A$3:$H$3,0),""),IFNA(MATCH($B43,'DIVISION 15'!$A$4:$H$4,0),""),IFNA(MATCH($B43,'DIVISION 15'!$A$5:$H$5,0),""),IFNA(MATCH($B43,'DIVISION 15'!$A$6:$H$6,0),""),IFNA(MATCH($B43,'DIVISION 15'!$A$7:$H$7,0),""),IFNA(MATCH($B43,'DIVISION 15'!$A$8:$H$8,0),""),IFNA(MATCH($B43,'DIVISION 15'!$A$9:$H$9,0),""),IFNA(MATCH($B43,'DIVISION 15'!$A$10:$H$10,0),""),IFNA(MATCH($B43,'DIVISION 15'!$A$11:$H$11,0),""),IFNA(MATCH($B43,'DIVISION 15'!$A$12:$H$12,0),""),IFNA(MATCH($B43,'DIVISION 15'!$A$13:$H$13,0),""),IFNA(MATCH($B43,'DIVISION 15'!$A$14:$H$14,0),""),IFNA(MATCH($B43,'DIVISION 15'!$A$15:$H$15,0),""),IFNA(MATCH($B43,'DIVISION 15'!$A$16:$H$16,0),""),IFNA(MATCH($B43,'DIVISION 15'!$A$17:$H$17,0),""),IFNA(MATCH($B43,'DIVISION 15'!$A$18:$H$18,0),""))=5,'DIVISION 15'!$E$1,SUM(IFNA(MATCH($B43,'DIVISION 15'!$A$2:$H$2,0),""),IFNA(MATCH($B43,'DIVISION 15'!$A$3:$H$3,0),""),IFNA(MATCH($B43,'DIVISION 15'!$A$4:$H$4,0),""),IFNA(MATCH($B43,'DIVISION 15'!$A$5:$H$5,0),""),IFNA(MATCH($B43,'DIVISION 15'!$A$6:$H$6,0),""),IFNA(MATCH($B43,'DIVISION 15'!$A$7:$H$7,0),""),IFNA(MATCH($B43,'DIVISION 15'!$A$8:$H$8,0),""),IFNA(MATCH($B43,'DIVISION 15'!$A$9:$H$9,0),""),IFNA(MATCH($B43,'DIVISION 15'!$A$10:$H$10,0),""),IFNA(MATCH($B43,'DIVISION 15'!$A$11:$H$11,0),""),IFNA(MATCH($B43,'DIVISION 15'!$A$12:$H$12,0),""),IFNA(MATCH($B43,'DIVISION 15'!$A$13:$H$13,0),""),IFNA(MATCH($B43,'DIVISION 15'!$A$14:$H$14,0),""),IFNA(MATCH($B43,'DIVISION 15'!$A$15:$H$15,0),""),IFNA(MATCH($B43,'DIVISION 15'!$A$16:$H$16,0),""),IFNA(MATCH($B43,'DIVISION 15'!$A$17:$H$17,0),""),IFNA(MATCH($B43,'DIVISION 15'!$A$18:$H$18,0),""))=6,'DIVISION 15'!$F$1,SUM(IFNA(MATCH($B43,'DIVISION 15'!$A$2:$H$2,0),""),IFNA(MATCH($B43,'DIVISION 15'!$A$3:$H$3,0),""),IFNA(MATCH($B43,'DIVISION 15'!$A$4:$H$4,0),""),IFNA(MATCH($B43,'DIVISION 15'!$A$5:$H$5,0),""),IFNA(MATCH($B43,'DIVISION 15'!$A$6:$H$6,0),""),IFNA(MATCH($B43,'DIVISION 15'!$A$7:$H$7,0),""),IFNA(MATCH($B43,'DIVISION 15'!$A$8:$H$8,0),""),IFNA(MATCH($B43,'DIVISION 15'!$A$9:$H$9,0),""),IFNA(MATCH($B43,'DIVISION 15'!$A$10:$H$10,0),""),IFNA(MATCH($B43,'DIVISION 15'!$A$11:$H$11,0),""),IFNA(MATCH($B43,'DIVISION 15'!$A$12:$H$12,0),""),IFNA(MATCH($B43,'DIVISION 15'!$A$13:$H$13,0),""),IFNA(MATCH($B43,'DIVISION 15'!$A$14:$H$14,0),""),IFNA(MATCH($B43,'DIVISION 15'!$A$15:$H$15,0),""),IFNA(MATCH($B43,'DIVISION 15'!$A$16:$H$16,0),""),IFNA(MATCH($B43,'DIVISION 15'!$A$17:$H$17,0),""),IFNA(MATCH($B43,'DIVISION 15'!$A$18:$H$18,0),""))=7,'DIVISION 15'!$G$1,SUM(IFNA(MATCH($B43,'DIVISION 15'!$A$2:$H$2,0),""),IFNA(MATCH($B43,'DIVISION 15'!$A$3:$H$3,0),""),IFNA(MATCH($B43,'DIVISION 15'!$A$4:$H$4,0),""),IFNA(MATCH($B43,'DIVISION 15'!$A$5:$H$5,0),""),IFNA(MATCH($B43,'DIVISION 15'!$A$6:$H$6,0),""),IFNA(MATCH($B43,'DIVISION 15'!$A$7:$H$7,0),""),IFNA(MATCH($B43,'DIVISION 15'!$A$8:$H$8,0),""),IFNA(MATCH($B43,'DIVISION 15'!$A$9:$H$9,0),""),IFNA(MATCH($B43,'DIVISION 15'!$A$10:$H$10,0),""),IFNA(MATCH($B43,'DIVISION 15'!$A$11:$H$11,0),""),IFNA(MATCH($B43,'DIVISION 15'!$A$12:$H$12,0),""),IFNA(MATCH($B43,'DIVISION 15'!$A$13:$H$13,0),""),IFNA(MATCH($B43,'DIVISION 15'!$A$14:$H$14,0),""),IFNA(MATCH($B43,'DIVISION 15'!$A$15:$H$15,0),""),IFNA(MATCH($B43,'DIVISION 15'!$A$16:$H$16,0),""),IFNA(MATCH($B43,'DIVISION 15'!$A$17:$H$17,0),""),IFNA(MATCH($B43,'DIVISION 15'!$A$18:$H$18,0),""))=8,'DIVISION 15'!$H$1)</f>
        <v>GASTI</v>
      </c>
      <c r="U43" s="8" t="str">
        <f t="shared" si="2"/>
        <v>GASTI6</v>
      </c>
      <c r="V43" s="9">
        <f>SUMIF(AsistenciaViewJetAdmin!$A$3:$A$101,A43,AsistenciaViewJetAdmin!$C$3:$C$101)/(COUNTIF(AsistenciaViewJetAdmin!$D$102:V$102,"&gt;0")+COUNTIF(ActividadesEspeciales!$D$102:V$102,"&gt;0"))*100</f>
        <v>65.95744681</v>
      </c>
    </row>
    <row r="44" ht="28.5" customHeight="1">
      <c r="A44" s="3">
        <v>122.0</v>
      </c>
      <c r="B44" s="4" t="s">
        <v>383</v>
      </c>
      <c r="C44" s="5">
        <v>1086503.0</v>
      </c>
      <c r="D44" s="7" t="s">
        <v>384</v>
      </c>
      <c r="E44" s="5">
        <v>4.9764338E7</v>
      </c>
      <c r="F44" s="5" t="s">
        <v>385</v>
      </c>
      <c r="G44" s="7">
        <v>1.163099894E9</v>
      </c>
      <c r="H44" s="5" t="s">
        <v>386</v>
      </c>
      <c r="I44" s="5" t="s">
        <v>387</v>
      </c>
      <c r="J44" s="7">
        <v>1.122651763E9</v>
      </c>
      <c r="K44" s="5" t="s">
        <v>388</v>
      </c>
      <c r="L44" s="5" t="s">
        <v>389</v>
      </c>
      <c r="M44" s="7">
        <v>1.16733555E9</v>
      </c>
      <c r="N44" s="5" t="s">
        <v>40</v>
      </c>
      <c r="O44" s="5" t="s">
        <v>352</v>
      </c>
      <c r="P44" s="5" t="s">
        <v>53</v>
      </c>
      <c r="Q44" s="5" t="s">
        <v>129</v>
      </c>
      <c r="R44" s="5" t="s">
        <v>31</v>
      </c>
      <c r="S44" s="5" t="s">
        <v>32</v>
      </c>
      <c r="T44" s="8" t="str">
        <f>IFS(SUM(IFNA(MATCH($B44,'DIVISION 15'!$A$2:$H$2,0),""),IFNA(MATCH($B44,'DIVISION 15'!$A$3:$H$3,0),""),IFNA(MATCH($B44,'DIVISION 15'!$A$4:$H$4,0),""),IFNA(MATCH($B44,'DIVISION 15'!$A$5:$H$5,0),""),IFNA(MATCH($B44,'DIVISION 15'!$A$6:$H$6,0),""),IFNA(MATCH($B44,'DIVISION 15'!$A$7:$H$7,0),""),IFNA(MATCH($B44,'DIVISION 15'!$A$8:$H$8,0),""),IFNA(MATCH($B44,'DIVISION 15'!$A$9:$H$9,0),""),IFNA(MATCH($B44,'DIVISION 15'!$A$10:$H$10,0),""),IFNA(MATCH($B44,'DIVISION 15'!$A$11:$H$11,0),""),IFNA(MATCH($B44,'DIVISION 15'!$A$12:$H$12,0),""),IFNA(MATCH($B44,'DIVISION 15'!$A$13:$H$13,0),""),IFNA(MATCH($B44,'DIVISION 15'!$A$14:$H$14,0),""),IFNA(MATCH($B44,'DIVISION 15'!$A$15:$H$15,0),""),IFNA(MATCH($B44,'DIVISION 15'!$A$16:$H$16,0),""),IFNA(MATCH($B44,'DIVISION 15'!$A$17:$H$17,0),""),IFNA(MATCH($B44,'DIVISION 15'!$A$18:$H$18,0),""))=1,'DIVISION 15'!$A$1,SUM(IFNA(MATCH($B44,'DIVISION 15'!$A$2:$H$2,0),""),IFNA(MATCH($B44,'DIVISION 15'!$A$3:$H$3,0),""),IFNA(MATCH($B44,'DIVISION 15'!$A$4:$H$4,0),""),IFNA(MATCH($B44,'DIVISION 15'!$A$5:$H$5,0),""),IFNA(MATCH($B44,'DIVISION 15'!$A$6:$H$6,0),""),IFNA(MATCH($B44,'DIVISION 15'!$A$7:$H$7,0),""),IFNA(MATCH($B44,'DIVISION 15'!$A$8:$H$8,0),""),IFNA(MATCH($B44,'DIVISION 15'!$A$9:$H$9,0),""),IFNA(MATCH($B44,'DIVISION 15'!$A$10:$H$10,0),""),IFNA(MATCH($B44,'DIVISION 15'!$A$11:$H$11,0),""),IFNA(MATCH($B44,'DIVISION 15'!$A$12:$H$12,0),""),IFNA(MATCH($B44,'DIVISION 15'!$A$13:$H$13,0),""),IFNA(MATCH($B44,'DIVISION 15'!$A$14:$H$14,0),""),IFNA(MATCH($B44,'DIVISION 15'!$A$15:$H$15,0),""),IFNA(MATCH($B44,'DIVISION 15'!$A$16:$H$16,0),""),IFNA(MATCH($B44,'DIVISION 15'!$A$17:$H$17,0),""),IFNA(MATCH($B44,'DIVISION 15'!$A$18:$H$18,0),""))=2,'DIVISION 15'!$B$1,SUM(IFNA(MATCH($B44,'DIVISION 15'!$A$2:$H$2,0),""),IFNA(MATCH($B44,'DIVISION 15'!$A$3:$H$3,0),""),IFNA(MATCH($B44,'DIVISION 15'!$A$4:$H$4,0),""),IFNA(MATCH($B44,'DIVISION 15'!$A$5:$H$5,0),""),IFNA(MATCH($B44,'DIVISION 15'!$A$6:$H$6,0),""),IFNA(MATCH($B44,'DIVISION 15'!$A$7:$H$7,0),""),IFNA(MATCH($B44,'DIVISION 15'!$A$8:$H$8,0),""),IFNA(MATCH($B44,'DIVISION 15'!$A$9:$H$9,0),""),IFNA(MATCH($B44,'DIVISION 15'!$A$10:$H$10,0),""),IFNA(MATCH($B44,'DIVISION 15'!$A$11:$H$11,0),""),IFNA(MATCH($B44,'DIVISION 15'!$A$12:$H$12,0),""),IFNA(MATCH($B44,'DIVISION 15'!$A$13:$H$13,0),""),IFNA(MATCH($B44,'DIVISION 15'!$A$14:$H$14,0),""),IFNA(MATCH($B44,'DIVISION 15'!$A$15:$H$15,0),""),IFNA(MATCH($B44,'DIVISION 15'!$A$16:$H$16,0),""),IFNA(MATCH($B44,'DIVISION 15'!$A$17:$H$17,0),""),IFNA(MATCH($B44,'DIVISION 15'!$A$18:$H$18,0),""))=3,'DIVISION 15'!$C$1,SUM(IFNA(MATCH($B44,'DIVISION 15'!$A$2:$H$2,0),""),IFNA(MATCH($B44,'DIVISION 15'!$A$3:$H$3,0),""),IFNA(MATCH($B44,'DIVISION 15'!$A$4:$H$4,0),""),IFNA(MATCH($B44,'DIVISION 15'!$A$5:$H$5,0),""),IFNA(MATCH($B44,'DIVISION 15'!$A$6:$H$6,0),""),IFNA(MATCH($B44,'DIVISION 15'!$A$7:$H$7,0),""),IFNA(MATCH($B44,'DIVISION 15'!$A$8:$H$8,0),""),IFNA(MATCH($B44,'DIVISION 15'!$A$9:$H$9,0),""),IFNA(MATCH($B44,'DIVISION 15'!$A$10:$H$10,0),""),IFNA(MATCH($B44,'DIVISION 15'!$A$11:$H$11,0),""),IFNA(MATCH($B44,'DIVISION 15'!$A$12:$H$12,0),""),IFNA(MATCH($B44,'DIVISION 15'!$A$13:$H$13,0),""),IFNA(MATCH($B44,'DIVISION 15'!$A$14:$H$14,0),""),IFNA(MATCH($B44,'DIVISION 15'!$A$15:$H$15,0),""),IFNA(MATCH($B44,'DIVISION 15'!$A$16:$H$16,0),""),IFNA(MATCH($B44,'DIVISION 15'!$A$17:$H$17,0),""),IFNA(MATCH($B44,'DIVISION 15'!$A$18:$H$18,0),""))=4,'DIVISION 15'!$D$1,SUM(IFNA(MATCH($B44,'DIVISION 15'!$A$2:$H$2,0),""),IFNA(MATCH($B44,'DIVISION 15'!$A$3:$H$3,0),""),IFNA(MATCH($B44,'DIVISION 15'!$A$4:$H$4,0),""),IFNA(MATCH($B44,'DIVISION 15'!$A$5:$H$5,0),""),IFNA(MATCH($B44,'DIVISION 15'!$A$6:$H$6,0),""),IFNA(MATCH($B44,'DIVISION 15'!$A$7:$H$7,0),""),IFNA(MATCH($B44,'DIVISION 15'!$A$8:$H$8,0),""),IFNA(MATCH($B44,'DIVISION 15'!$A$9:$H$9,0),""),IFNA(MATCH($B44,'DIVISION 15'!$A$10:$H$10,0),""),IFNA(MATCH($B44,'DIVISION 15'!$A$11:$H$11,0),""),IFNA(MATCH($B44,'DIVISION 15'!$A$12:$H$12,0),""),IFNA(MATCH($B44,'DIVISION 15'!$A$13:$H$13,0),""),IFNA(MATCH($B44,'DIVISION 15'!$A$14:$H$14,0),""),IFNA(MATCH($B44,'DIVISION 15'!$A$15:$H$15,0),""),IFNA(MATCH($B44,'DIVISION 15'!$A$16:$H$16,0),""),IFNA(MATCH($B44,'DIVISION 15'!$A$17:$H$17,0),""),IFNA(MATCH($B44,'DIVISION 15'!$A$18:$H$18,0),""))=5,'DIVISION 15'!$E$1,SUM(IFNA(MATCH($B44,'DIVISION 15'!$A$2:$H$2,0),""),IFNA(MATCH($B44,'DIVISION 15'!$A$3:$H$3,0),""),IFNA(MATCH($B44,'DIVISION 15'!$A$4:$H$4,0),""),IFNA(MATCH($B44,'DIVISION 15'!$A$5:$H$5,0),""),IFNA(MATCH($B44,'DIVISION 15'!$A$6:$H$6,0),""),IFNA(MATCH($B44,'DIVISION 15'!$A$7:$H$7,0),""),IFNA(MATCH($B44,'DIVISION 15'!$A$8:$H$8,0),""),IFNA(MATCH($B44,'DIVISION 15'!$A$9:$H$9,0),""),IFNA(MATCH($B44,'DIVISION 15'!$A$10:$H$10,0),""),IFNA(MATCH($B44,'DIVISION 15'!$A$11:$H$11,0),""),IFNA(MATCH($B44,'DIVISION 15'!$A$12:$H$12,0),""),IFNA(MATCH($B44,'DIVISION 15'!$A$13:$H$13,0),""),IFNA(MATCH($B44,'DIVISION 15'!$A$14:$H$14,0),""),IFNA(MATCH($B44,'DIVISION 15'!$A$15:$H$15,0),""),IFNA(MATCH($B44,'DIVISION 15'!$A$16:$H$16,0),""),IFNA(MATCH($B44,'DIVISION 15'!$A$17:$H$17,0),""),IFNA(MATCH($B44,'DIVISION 15'!$A$18:$H$18,0),""))=6,'DIVISION 15'!$F$1,SUM(IFNA(MATCH($B44,'DIVISION 15'!$A$2:$H$2,0),""),IFNA(MATCH($B44,'DIVISION 15'!$A$3:$H$3,0),""),IFNA(MATCH($B44,'DIVISION 15'!$A$4:$H$4,0),""),IFNA(MATCH($B44,'DIVISION 15'!$A$5:$H$5,0),""),IFNA(MATCH($B44,'DIVISION 15'!$A$6:$H$6,0),""),IFNA(MATCH($B44,'DIVISION 15'!$A$7:$H$7,0),""),IFNA(MATCH($B44,'DIVISION 15'!$A$8:$H$8,0),""),IFNA(MATCH($B44,'DIVISION 15'!$A$9:$H$9,0),""),IFNA(MATCH($B44,'DIVISION 15'!$A$10:$H$10,0),""),IFNA(MATCH($B44,'DIVISION 15'!$A$11:$H$11,0),""),IFNA(MATCH($B44,'DIVISION 15'!$A$12:$H$12,0),""),IFNA(MATCH($B44,'DIVISION 15'!$A$13:$H$13,0),""),IFNA(MATCH($B44,'DIVISION 15'!$A$14:$H$14,0),""),IFNA(MATCH($B44,'DIVISION 15'!$A$15:$H$15,0),""),IFNA(MATCH($B44,'DIVISION 15'!$A$16:$H$16,0),""),IFNA(MATCH($B44,'DIVISION 15'!$A$17:$H$17,0),""),IFNA(MATCH($B44,'DIVISION 15'!$A$18:$H$18,0),""))=7,'DIVISION 15'!$G$1,SUM(IFNA(MATCH($B44,'DIVISION 15'!$A$2:$H$2,0),""),IFNA(MATCH($B44,'DIVISION 15'!$A$3:$H$3,0),""),IFNA(MATCH($B44,'DIVISION 15'!$A$4:$H$4,0),""),IFNA(MATCH($B44,'DIVISION 15'!$A$5:$H$5,0),""),IFNA(MATCH($B44,'DIVISION 15'!$A$6:$H$6,0),""),IFNA(MATCH($B44,'DIVISION 15'!$A$7:$H$7,0),""),IFNA(MATCH($B44,'DIVISION 15'!$A$8:$H$8,0),""),IFNA(MATCH($B44,'DIVISION 15'!$A$9:$H$9,0),""),IFNA(MATCH($B44,'DIVISION 15'!$A$10:$H$10,0),""),IFNA(MATCH($B44,'DIVISION 15'!$A$11:$H$11,0),""),IFNA(MATCH($B44,'DIVISION 15'!$A$12:$H$12,0),""),IFNA(MATCH($B44,'DIVISION 15'!$A$13:$H$13,0),""),IFNA(MATCH($B44,'DIVISION 15'!$A$14:$H$14,0),""),IFNA(MATCH($B44,'DIVISION 15'!$A$15:$H$15,0),""),IFNA(MATCH($B44,'DIVISION 15'!$A$16:$H$16,0),""),IFNA(MATCH($B44,'DIVISION 15'!$A$17:$H$17,0),""),IFNA(MATCH($B44,'DIVISION 15'!$A$18:$H$18,0),""))=8,'DIVISION 15'!$H$1)</f>
        <v>GASTI</v>
      </c>
      <c r="U44" s="8" t="str">
        <f t="shared" si="2"/>
        <v>GASTI7</v>
      </c>
      <c r="V44" s="9">
        <f>SUMIF(AsistenciaViewJetAdmin!$A$3:$A$101,A44,AsistenciaViewJetAdmin!$C$3:$C$101)/(COUNTIF(AsistenciaViewJetAdmin!$D$102:V$102,"&gt;0")+COUNTIF(ActividadesEspeciales!$D$102:V$102,"&gt;0"))*100</f>
        <v>65.95744681</v>
      </c>
    </row>
    <row r="45" ht="28.5" customHeight="1">
      <c r="A45" s="3">
        <v>186.0</v>
      </c>
      <c r="B45" s="4" t="s">
        <v>390</v>
      </c>
      <c r="C45" s="5">
        <v>11515.0</v>
      </c>
      <c r="D45" s="7" t="s">
        <v>391</v>
      </c>
      <c r="E45" s="5">
        <v>5.0416809E7</v>
      </c>
      <c r="F45" s="5" t="s">
        <v>392</v>
      </c>
      <c r="G45" s="7">
        <v>1.1363017E9</v>
      </c>
      <c r="H45" s="5" t="s">
        <v>393</v>
      </c>
      <c r="I45" s="5" t="s">
        <v>394</v>
      </c>
      <c r="J45" s="7">
        <v>1.153321134E9</v>
      </c>
      <c r="K45" s="5" t="s">
        <v>395</v>
      </c>
      <c r="L45" s="5" t="s">
        <v>396</v>
      </c>
      <c r="M45" s="7">
        <v>1.14046694E9</v>
      </c>
      <c r="N45" s="5" t="s">
        <v>397</v>
      </c>
      <c r="O45" s="5" t="s">
        <v>398</v>
      </c>
      <c r="P45" s="5" t="s">
        <v>399</v>
      </c>
      <c r="Q45" s="5" t="s">
        <v>74</v>
      </c>
      <c r="R45" s="5" t="s">
        <v>31</v>
      </c>
      <c r="S45" s="5" t="s">
        <v>32</v>
      </c>
      <c r="T45" s="8" t="str">
        <f>IFS(SUM(IFNA(MATCH($B45,'DIVISION 15'!$A$2:$H$2,0),""),IFNA(MATCH($B45,'DIVISION 15'!$A$3:$H$3,0),""),IFNA(MATCH($B45,'DIVISION 15'!$A$4:$H$4,0),""),IFNA(MATCH($B45,'DIVISION 15'!$A$5:$H$5,0),""),IFNA(MATCH($B45,'DIVISION 15'!$A$6:$H$6,0),""),IFNA(MATCH($B45,'DIVISION 15'!$A$7:$H$7,0),""),IFNA(MATCH($B45,'DIVISION 15'!$A$8:$H$8,0),""),IFNA(MATCH($B45,'DIVISION 15'!$A$9:$H$9,0),""),IFNA(MATCH($B45,'DIVISION 15'!$A$10:$H$10,0),""),IFNA(MATCH($B45,'DIVISION 15'!$A$11:$H$11,0),""),IFNA(MATCH($B45,'DIVISION 15'!$A$12:$H$12,0),""),IFNA(MATCH($B45,'DIVISION 15'!$A$13:$H$13,0),""),IFNA(MATCH($B45,'DIVISION 15'!$A$14:$H$14,0),""),IFNA(MATCH($B45,'DIVISION 15'!$A$15:$H$15,0),""),IFNA(MATCH($B45,'DIVISION 15'!$A$16:$H$16,0),""),IFNA(MATCH($B45,'DIVISION 15'!$A$17:$H$17,0),""),IFNA(MATCH($B45,'DIVISION 15'!$A$18:$H$18,0),""))=1,'DIVISION 15'!$A$1,SUM(IFNA(MATCH($B45,'DIVISION 15'!$A$2:$H$2,0),""),IFNA(MATCH($B45,'DIVISION 15'!$A$3:$H$3,0),""),IFNA(MATCH($B45,'DIVISION 15'!$A$4:$H$4,0),""),IFNA(MATCH($B45,'DIVISION 15'!$A$5:$H$5,0),""),IFNA(MATCH($B45,'DIVISION 15'!$A$6:$H$6,0),""),IFNA(MATCH($B45,'DIVISION 15'!$A$7:$H$7,0),""),IFNA(MATCH($B45,'DIVISION 15'!$A$8:$H$8,0),""),IFNA(MATCH($B45,'DIVISION 15'!$A$9:$H$9,0),""),IFNA(MATCH($B45,'DIVISION 15'!$A$10:$H$10,0),""),IFNA(MATCH($B45,'DIVISION 15'!$A$11:$H$11,0),""),IFNA(MATCH($B45,'DIVISION 15'!$A$12:$H$12,0),""),IFNA(MATCH($B45,'DIVISION 15'!$A$13:$H$13,0),""),IFNA(MATCH($B45,'DIVISION 15'!$A$14:$H$14,0),""),IFNA(MATCH($B45,'DIVISION 15'!$A$15:$H$15,0),""),IFNA(MATCH($B45,'DIVISION 15'!$A$16:$H$16,0),""),IFNA(MATCH($B45,'DIVISION 15'!$A$17:$H$17,0),""),IFNA(MATCH($B45,'DIVISION 15'!$A$18:$H$18,0),""))=2,'DIVISION 15'!$B$1,SUM(IFNA(MATCH($B45,'DIVISION 15'!$A$2:$H$2,0),""),IFNA(MATCH($B45,'DIVISION 15'!$A$3:$H$3,0),""),IFNA(MATCH($B45,'DIVISION 15'!$A$4:$H$4,0),""),IFNA(MATCH($B45,'DIVISION 15'!$A$5:$H$5,0),""),IFNA(MATCH($B45,'DIVISION 15'!$A$6:$H$6,0),""),IFNA(MATCH($B45,'DIVISION 15'!$A$7:$H$7,0),""),IFNA(MATCH($B45,'DIVISION 15'!$A$8:$H$8,0),""),IFNA(MATCH($B45,'DIVISION 15'!$A$9:$H$9,0),""),IFNA(MATCH($B45,'DIVISION 15'!$A$10:$H$10,0),""),IFNA(MATCH($B45,'DIVISION 15'!$A$11:$H$11,0),""),IFNA(MATCH($B45,'DIVISION 15'!$A$12:$H$12,0),""),IFNA(MATCH($B45,'DIVISION 15'!$A$13:$H$13,0),""),IFNA(MATCH($B45,'DIVISION 15'!$A$14:$H$14,0),""),IFNA(MATCH($B45,'DIVISION 15'!$A$15:$H$15,0),""),IFNA(MATCH($B45,'DIVISION 15'!$A$16:$H$16,0),""),IFNA(MATCH($B45,'DIVISION 15'!$A$17:$H$17,0),""),IFNA(MATCH($B45,'DIVISION 15'!$A$18:$H$18,0),""))=3,'DIVISION 15'!$C$1,SUM(IFNA(MATCH($B45,'DIVISION 15'!$A$2:$H$2,0),""),IFNA(MATCH($B45,'DIVISION 15'!$A$3:$H$3,0),""),IFNA(MATCH($B45,'DIVISION 15'!$A$4:$H$4,0),""),IFNA(MATCH($B45,'DIVISION 15'!$A$5:$H$5,0),""),IFNA(MATCH($B45,'DIVISION 15'!$A$6:$H$6,0),""),IFNA(MATCH($B45,'DIVISION 15'!$A$7:$H$7,0),""),IFNA(MATCH($B45,'DIVISION 15'!$A$8:$H$8,0),""),IFNA(MATCH($B45,'DIVISION 15'!$A$9:$H$9,0),""),IFNA(MATCH($B45,'DIVISION 15'!$A$10:$H$10,0),""),IFNA(MATCH($B45,'DIVISION 15'!$A$11:$H$11,0),""),IFNA(MATCH($B45,'DIVISION 15'!$A$12:$H$12,0),""),IFNA(MATCH($B45,'DIVISION 15'!$A$13:$H$13,0),""),IFNA(MATCH($B45,'DIVISION 15'!$A$14:$H$14,0),""),IFNA(MATCH($B45,'DIVISION 15'!$A$15:$H$15,0),""),IFNA(MATCH($B45,'DIVISION 15'!$A$16:$H$16,0),""),IFNA(MATCH($B45,'DIVISION 15'!$A$17:$H$17,0),""),IFNA(MATCH($B45,'DIVISION 15'!$A$18:$H$18,0),""))=4,'DIVISION 15'!$D$1,SUM(IFNA(MATCH($B45,'DIVISION 15'!$A$2:$H$2,0),""),IFNA(MATCH($B45,'DIVISION 15'!$A$3:$H$3,0),""),IFNA(MATCH($B45,'DIVISION 15'!$A$4:$H$4,0),""),IFNA(MATCH($B45,'DIVISION 15'!$A$5:$H$5,0),""),IFNA(MATCH($B45,'DIVISION 15'!$A$6:$H$6,0),""),IFNA(MATCH($B45,'DIVISION 15'!$A$7:$H$7,0),""),IFNA(MATCH($B45,'DIVISION 15'!$A$8:$H$8,0),""),IFNA(MATCH($B45,'DIVISION 15'!$A$9:$H$9,0),""),IFNA(MATCH($B45,'DIVISION 15'!$A$10:$H$10,0),""),IFNA(MATCH($B45,'DIVISION 15'!$A$11:$H$11,0),""),IFNA(MATCH($B45,'DIVISION 15'!$A$12:$H$12,0),""),IFNA(MATCH($B45,'DIVISION 15'!$A$13:$H$13,0),""),IFNA(MATCH($B45,'DIVISION 15'!$A$14:$H$14,0),""),IFNA(MATCH($B45,'DIVISION 15'!$A$15:$H$15,0),""),IFNA(MATCH($B45,'DIVISION 15'!$A$16:$H$16,0),""),IFNA(MATCH($B45,'DIVISION 15'!$A$17:$H$17,0),""),IFNA(MATCH($B45,'DIVISION 15'!$A$18:$H$18,0),""))=5,'DIVISION 15'!$E$1,SUM(IFNA(MATCH($B45,'DIVISION 15'!$A$2:$H$2,0),""),IFNA(MATCH($B45,'DIVISION 15'!$A$3:$H$3,0),""),IFNA(MATCH($B45,'DIVISION 15'!$A$4:$H$4,0),""),IFNA(MATCH($B45,'DIVISION 15'!$A$5:$H$5,0),""),IFNA(MATCH($B45,'DIVISION 15'!$A$6:$H$6,0),""),IFNA(MATCH($B45,'DIVISION 15'!$A$7:$H$7,0),""),IFNA(MATCH($B45,'DIVISION 15'!$A$8:$H$8,0),""),IFNA(MATCH($B45,'DIVISION 15'!$A$9:$H$9,0),""),IFNA(MATCH($B45,'DIVISION 15'!$A$10:$H$10,0),""),IFNA(MATCH($B45,'DIVISION 15'!$A$11:$H$11,0),""),IFNA(MATCH($B45,'DIVISION 15'!$A$12:$H$12,0),""),IFNA(MATCH($B45,'DIVISION 15'!$A$13:$H$13,0),""),IFNA(MATCH($B45,'DIVISION 15'!$A$14:$H$14,0),""),IFNA(MATCH($B45,'DIVISION 15'!$A$15:$H$15,0),""),IFNA(MATCH($B45,'DIVISION 15'!$A$16:$H$16,0),""),IFNA(MATCH($B45,'DIVISION 15'!$A$17:$H$17,0),""),IFNA(MATCH($B45,'DIVISION 15'!$A$18:$H$18,0),""))=6,'DIVISION 15'!$F$1,SUM(IFNA(MATCH($B45,'DIVISION 15'!$A$2:$H$2,0),""),IFNA(MATCH($B45,'DIVISION 15'!$A$3:$H$3,0),""),IFNA(MATCH($B45,'DIVISION 15'!$A$4:$H$4,0),""),IFNA(MATCH($B45,'DIVISION 15'!$A$5:$H$5,0),""),IFNA(MATCH($B45,'DIVISION 15'!$A$6:$H$6,0),""),IFNA(MATCH($B45,'DIVISION 15'!$A$7:$H$7,0),""),IFNA(MATCH($B45,'DIVISION 15'!$A$8:$H$8,0),""),IFNA(MATCH($B45,'DIVISION 15'!$A$9:$H$9,0),""),IFNA(MATCH($B45,'DIVISION 15'!$A$10:$H$10,0),""),IFNA(MATCH($B45,'DIVISION 15'!$A$11:$H$11,0),""),IFNA(MATCH($B45,'DIVISION 15'!$A$12:$H$12,0),""),IFNA(MATCH($B45,'DIVISION 15'!$A$13:$H$13,0),""),IFNA(MATCH($B45,'DIVISION 15'!$A$14:$H$14,0),""),IFNA(MATCH($B45,'DIVISION 15'!$A$15:$H$15,0),""),IFNA(MATCH($B45,'DIVISION 15'!$A$16:$H$16,0),""),IFNA(MATCH($B45,'DIVISION 15'!$A$17:$H$17,0),""),IFNA(MATCH($B45,'DIVISION 15'!$A$18:$H$18,0),""))=7,'DIVISION 15'!$G$1,SUM(IFNA(MATCH($B45,'DIVISION 15'!$A$2:$H$2,0),""),IFNA(MATCH($B45,'DIVISION 15'!$A$3:$H$3,0),""),IFNA(MATCH($B45,'DIVISION 15'!$A$4:$H$4,0),""),IFNA(MATCH($B45,'DIVISION 15'!$A$5:$H$5,0),""),IFNA(MATCH($B45,'DIVISION 15'!$A$6:$H$6,0),""),IFNA(MATCH($B45,'DIVISION 15'!$A$7:$H$7,0),""),IFNA(MATCH($B45,'DIVISION 15'!$A$8:$H$8,0),""),IFNA(MATCH($B45,'DIVISION 15'!$A$9:$H$9,0),""),IFNA(MATCH($B45,'DIVISION 15'!$A$10:$H$10,0),""),IFNA(MATCH($B45,'DIVISION 15'!$A$11:$H$11,0),""),IFNA(MATCH($B45,'DIVISION 15'!$A$12:$H$12,0),""),IFNA(MATCH($B45,'DIVISION 15'!$A$13:$H$13,0),""),IFNA(MATCH($B45,'DIVISION 15'!$A$14:$H$14,0),""),IFNA(MATCH($B45,'DIVISION 15'!$A$15:$H$15,0),""),IFNA(MATCH($B45,'DIVISION 15'!$A$16:$H$16,0),""),IFNA(MATCH($B45,'DIVISION 15'!$A$17:$H$17,0),""),IFNA(MATCH($B45,'DIVISION 15'!$A$18:$H$18,0),""))=8,'DIVISION 15'!$H$1)</f>
        <v>MARTO</v>
      </c>
      <c r="U45" s="8" t="str">
        <f t="shared" si="2"/>
        <v>MARTO7</v>
      </c>
      <c r="V45" s="9">
        <f>SUMIF(AsistenciaViewJetAdmin!$A$3:$A$101,A45,AsistenciaViewJetAdmin!$C$3:$C$101)/(COUNTIF(AsistenciaViewJetAdmin!$D$102:V$102,"&gt;0")+COUNTIF(ActividadesEspeciales!$D$102:V$102,"&gt;0"))*100</f>
        <v>70.21276596</v>
      </c>
    </row>
    <row r="46" ht="28.5" customHeight="1">
      <c r="A46" s="3">
        <v>201.0</v>
      </c>
      <c r="B46" s="4" t="s">
        <v>400</v>
      </c>
      <c r="C46" s="5">
        <v>1041703.0</v>
      </c>
      <c r="D46" s="6">
        <v>40334.0</v>
      </c>
      <c r="E46" s="5">
        <v>5.0235406E7</v>
      </c>
      <c r="F46" s="5" t="s">
        <v>401</v>
      </c>
      <c r="G46" s="7">
        <v>1.124860605E9</v>
      </c>
      <c r="H46" s="5" t="s">
        <v>402</v>
      </c>
      <c r="I46" s="5" t="s">
        <v>403</v>
      </c>
      <c r="J46" s="7" t="s">
        <v>404</v>
      </c>
      <c r="K46" s="5" t="s">
        <v>405</v>
      </c>
      <c r="L46" s="5" t="s">
        <v>406</v>
      </c>
      <c r="M46" s="7" t="s">
        <v>407</v>
      </c>
      <c r="N46" s="5" t="s">
        <v>397</v>
      </c>
      <c r="O46" s="5" t="s">
        <v>408</v>
      </c>
      <c r="P46" s="5" t="s">
        <v>53</v>
      </c>
      <c r="Q46" s="5" t="s">
        <v>74</v>
      </c>
      <c r="R46" s="5" t="s">
        <v>31</v>
      </c>
      <c r="S46" s="5" t="s">
        <v>32</v>
      </c>
      <c r="T46" s="8" t="str">
        <f>IFS(SUM(IFNA(MATCH($B46,'DIVISION 15'!$A$2:$H$2,0),""),IFNA(MATCH($B46,'DIVISION 15'!$A$3:$H$3,0),""),IFNA(MATCH($B46,'DIVISION 15'!$A$4:$H$4,0),""),IFNA(MATCH($B46,'DIVISION 15'!$A$5:$H$5,0),""),IFNA(MATCH($B46,'DIVISION 15'!$A$6:$H$6,0),""),IFNA(MATCH($B46,'DIVISION 15'!$A$7:$H$7,0),""),IFNA(MATCH($B46,'DIVISION 15'!$A$8:$H$8,0),""),IFNA(MATCH($B46,'DIVISION 15'!$A$9:$H$9,0),""),IFNA(MATCH($B46,'DIVISION 15'!$A$10:$H$10,0),""),IFNA(MATCH($B46,'DIVISION 15'!$A$11:$H$11,0),""),IFNA(MATCH($B46,'DIVISION 15'!$A$12:$H$12,0),""),IFNA(MATCH($B46,'DIVISION 15'!$A$13:$H$13,0),""),IFNA(MATCH($B46,'DIVISION 15'!$A$14:$H$14,0),""),IFNA(MATCH($B46,'DIVISION 15'!$A$15:$H$15,0),""),IFNA(MATCH($B46,'DIVISION 15'!$A$16:$H$16,0),""),IFNA(MATCH($B46,'DIVISION 15'!$A$17:$H$17,0),""),IFNA(MATCH($B46,'DIVISION 15'!$A$18:$H$18,0),""))=1,'DIVISION 15'!$A$1,SUM(IFNA(MATCH($B46,'DIVISION 15'!$A$2:$H$2,0),""),IFNA(MATCH($B46,'DIVISION 15'!$A$3:$H$3,0),""),IFNA(MATCH($B46,'DIVISION 15'!$A$4:$H$4,0),""),IFNA(MATCH($B46,'DIVISION 15'!$A$5:$H$5,0),""),IFNA(MATCH($B46,'DIVISION 15'!$A$6:$H$6,0),""),IFNA(MATCH($B46,'DIVISION 15'!$A$7:$H$7,0),""),IFNA(MATCH($B46,'DIVISION 15'!$A$8:$H$8,0),""),IFNA(MATCH($B46,'DIVISION 15'!$A$9:$H$9,0),""),IFNA(MATCH($B46,'DIVISION 15'!$A$10:$H$10,0),""),IFNA(MATCH($B46,'DIVISION 15'!$A$11:$H$11,0),""),IFNA(MATCH($B46,'DIVISION 15'!$A$12:$H$12,0),""),IFNA(MATCH($B46,'DIVISION 15'!$A$13:$H$13,0),""),IFNA(MATCH($B46,'DIVISION 15'!$A$14:$H$14,0),""),IFNA(MATCH($B46,'DIVISION 15'!$A$15:$H$15,0),""),IFNA(MATCH($B46,'DIVISION 15'!$A$16:$H$16,0),""),IFNA(MATCH($B46,'DIVISION 15'!$A$17:$H$17,0),""),IFNA(MATCH($B46,'DIVISION 15'!$A$18:$H$18,0),""))=2,'DIVISION 15'!$B$1,SUM(IFNA(MATCH($B46,'DIVISION 15'!$A$2:$H$2,0),""),IFNA(MATCH($B46,'DIVISION 15'!$A$3:$H$3,0),""),IFNA(MATCH($B46,'DIVISION 15'!$A$4:$H$4,0),""),IFNA(MATCH($B46,'DIVISION 15'!$A$5:$H$5,0),""),IFNA(MATCH($B46,'DIVISION 15'!$A$6:$H$6,0),""),IFNA(MATCH($B46,'DIVISION 15'!$A$7:$H$7,0),""),IFNA(MATCH($B46,'DIVISION 15'!$A$8:$H$8,0),""),IFNA(MATCH($B46,'DIVISION 15'!$A$9:$H$9,0),""),IFNA(MATCH($B46,'DIVISION 15'!$A$10:$H$10,0),""),IFNA(MATCH($B46,'DIVISION 15'!$A$11:$H$11,0),""),IFNA(MATCH($B46,'DIVISION 15'!$A$12:$H$12,0),""),IFNA(MATCH($B46,'DIVISION 15'!$A$13:$H$13,0),""),IFNA(MATCH($B46,'DIVISION 15'!$A$14:$H$14,0),""),IFNA(MATCH($B46,'DIVISION 15'!$A$15:$H$15,0),""),IFNA(MATCH($B46,'DIVISION 15'!$A$16:$H$16,0),""),IFNA(MATCH($B46,'DIVISION 15'!$A$17:$H$17,0),""),IFNA(MATCH($B46,'DIVISION 15'!$A$18:$H$18,0),""))=3,'DIVISION 15'!$C$1,SUM(IFNA(MATCH($B46,'DIVISION 15'!$A$2:$H$2,0),""),IFNA(MATCH($B46,'DIVISION 15'!$A$3:$H$3,0),""),IFNA(MATCH($B46,'DIVISION 15'!$A$4:$H$4,0),""),IFNA(MATCH($B46,'DIVISION 15'!$A$5:$H$5,0),""),IFNA(MATCH($B46,'DIVISION 15'!$A$6:$H$6,0),""),IFNA(MATCH($B46,'DIVISION 15'!$A$7:$H$7,0),""),IFNA(MATCH($B46,'DIVISION 15'!$A$8:$H$8,0),""),IFNA(MATCH($B46,'DIVISION 15'!$A$9:$H$9,0),""),IFNA(MATCH($B46,'DIVISION 15'!$A$10:$H$10,0),""),IFNA(MATCH($B46,'DIVISION 15'!$A$11:$H$11,0),""),IFNA(MATCH($B46,'DIVISION 15'!$A$12:$H$12,0),""),IFNA(MATCH($B46,'DIVISION 15'!$A$13:$H$13,0),""),IFNA(MATCH($B46,'DIVISION 15'!$A$14:$H$14,0),""),IFNA(MATCH($B46,'DIVISION 15'!$A$15:$H$15,0),""),IFNA(MATCH($B46,'DIVISION 15'!$A$16:$H$16,0),""),IFNA(MATCH($B46,'DIVISION 15'!$A$17:$H$17,0),""),IFNA(MATCH($B46,'DIVISION 15'!$A$18:$H$18,0),""))=4,'DIVISION 15'!$D$1,SUM(IFNA(MATCH($B46,'DIVISION 15'!$A$2:$H$2,0),""),IFNA(MATCH($B46,'DIVISION 15'!$A$3:$H$3,0),""),IFNA(MATCH($B46,'DIVISION 15'!$A$4:$H$4,0),""),IFNA(MATCH($B46,'DIVISION 15'!$A$5:$H$5,0),""),IFNA(MATCH($B46,'DIVISION 15'!$A$6:$H$6,0),""),IFNA(MATCH($B46,'DIVISION 15'!$A$7:$H$7,0),""),IFNA(MATCH($B46,'DIVISION 15'!$A$8:$H$8,0),""),IFNA(MATCH($B46,'DIVISION 15'!$A$9:$H$9,0),""),IFNA(MATCH($B46,'DIVISION 15'!$A$10:$H$10,0),""),IFNA(MATCH($B46,'DIVISION 15'!$A$11:$H$11,0),""),IFNA(MATCH($B46,'DIVISION 15'!$A$12:$H$12,0),""),IFNA(MATCH($B46,'DIVISION 15'!$A$13:$H$13,0),""),IFNA(MATCH($B46,'DIVISION 15'!$A$14:$H$14,0),""),IFNA(MATCH($B46,'DIVISION 15'!$A$15:$H$15,0),""),IFNA(MATCH($B46,'DIVISION 15'!$A$16:$H$16,0),""),IFNA(MATCH($B46,'DIVISION 15'!$A$17:$H$17,0),""),IFNA(MATCH($B46,'DIVISION 15'!$A$18:$H$18,0),""))=5,'DIVISION 15'!$E$1,SUM(IFNA(MATCH($B46,'DIVISION 15'!$A$2:$H$2,0),""),IFNA(MATCH($B46,'DIVISION 15'!$A$3:$H$3,0),""),IFNA(MATCH($B46,'DIVISION 15'!$A$4:$H$4,0),""),IFNA(MATCH($B46,'DIVISION 15'!$A$5:$H$5,0),""),IFNA(MATCH($B46,'DIVISION 15'!$A$6:$H$6,0),""),IFNA(MATCH($B46,'DIVISION 15'!$A$7:$H$7,0),""),IFNA(MATCH($B46,'DIVISION 15'!$A$8:$H$8,0),""),IFNA(MATCH($B46,'DIVISION 15'!$A$9:$H$9,0),""),IFNA(MATCH($B46,'DIVISION 15'!$A$10:$H$10,0),""),IFNA(MATCH($B46,'DIVISION 15'!$A$11:$H$11,0),""),IFNA(MATCH($B46,'DIVISION 15'!$A$12:$H$12,0),""),IFNA(MATCH($B46,'DIVISION 15'!$A$13:$H$13,0),""),IFNA(MATCH($B46,'DIVISION 15'!$A$14:$H$14,0),""),IFNA(MATCH($B46,'DIVISION 15'!$A$15:$H$15,0),""),IFNA(MATCH($B46,'DIVISION 15'!$A$16:$H$16,0),""),IFNA(MATCH($B46,'DIVISION 15'!$A$17:$H$17,0),""),IFNA(MATCH($B46,'DIVISION 15'!$A$18:$H$18,0),""))=6,'DIVISION 15'!$F$1,SUM(IFNA(MATCH($B46,'DIVISION 15'!$A$2:$H$2,0),""),IFNA(MATCH($B46,'DIVISION 15'!$A$3:$H$3,0),""),IFNA(MATCH($B46,'DIVISION 15'!$A$4:$H$4,0),""),IFNA(MATCH($B46,'DIVISION 15'!$A$5:$H$5,0),""),IFNA(MATCH($B46,'DIVISION 15'!$A$6:$H$6,0),""),IFNA(MATCH($B46,'DIVISION 15'!$A$7:$H$7,0),""),IFNA(MATCH($B46,'DIVISION 15'!$A$8:$H$8,0),""),IFNA(MATCH($B46,'DIVISION 15'!$A$9:$H$9,0),""),IFNA(MATCH($B46,'DIVISION 15'!$A$10:$H$10,0),""),IFNA(MATCH($B46,'DIVISION 15'!$A$11:$H$11,0),""),IFNA(MATCH($B46,'DIVISION 15'!$A$12:$H$12,0),""),IFNA(MATCH($B46,'DIVISION 15'!$A$13:$H$13,0),""),IFNA(MATCH($B46,'DIVISION 15'!$A$14:$H$14,0),""),IFNA(MATCH($B46,'DIVISION 15'!$A$15:$H$15,0),""),IFNA(MATCH($B46,'DIVISION 15'!$A$16:$H$16,0),""),IFNA(MATCH($B46,'DIVISION 15'!$A$17:$H$17,0),""),IFNA(MATCH($B46,'DIVISION 15'!$A$18:$H$18,0),""))=7,'DIVISION 15'!$G$1,SUM(IFNA(MATCH($B46,'DIVISION 15'!$A$2:$H$2,0),""),IFNA(MATCH($B46,'DIVISION 15'!$A$3:$H$3,0),""),IFNA(MATCH($B46,'DIVISION 15'!$A$4:$H$4,0),""),IFNA(MATCH($B46,'DIVISION 15'!$A$5:$H$5,0),""),IFNA(MATCH($B46,'DIVISION 15'!$A$6:$H$6,0),""),IFNA(MATCH($B46,'DIVISION 15'!$A$7:$H$7,0),""),IFNA(MATCH($B46,'DIVISION 15'!$A$8:$H$8,0),""),IFNA(MATCH($B46,'DIVISION 15'!$A$9:$H$9,0),""),IFNA(MATCH($B46,'DIVISION 15'!$A$10:$H$10,0),""),IFNA(MATCH($B46,'DIVISION 15'!$A$11:$H$11,0),""),IFNA(MATCH($B46,'DIVISION 15'!$A$12:$H$12,0),""),IFNA(MATCH($B46,'DIVISION 15'!$A$13:$H$13,0),""),IFNA(MATCH($B46,'DIVISION 15'!$A$14:$H$14,0),""),IFNA(MATCH($B46,'DIVISION 15'!$A$15:$H$15,0),""),IFNA(MATCH($B46,'DIVISION 15'!$A$16:$H$16,0),""),IFNA(MATCH($B46,'DIVISION 15'!$A$17:$H$17,0),""),IFNA(MATCH($B46,'DIVISION 15'!$A$18:$H$18,0),""))=8,'DIVISION 15'!$H$1)</f>
        <v>LULI</v>
      </c>
      <c r="U46" s="8" t="str">
        <f t="shared" si="2"/>
        <v>LULI4</v>
      </c>
      <c r="V46" s="9">
        <f>SUMIF(AsistenciaViewJetAdmin!$A$3:$A$101,A46,AsistenciaViewJetAdmin!$C$3:$C$101)/(COUNTIF(AsistenciaViewJetAdmin!$D$102:V$102,"&gt;0")+COUNTIF(ActividadesEspeciales!$D$102:V$102,"&gt;0"))*100</f>
        <v>77.65957447</v>
      </c>
    </row>
    <row r="47" ht="28.5" customHeight="1">
      <c r="A47" s="3">
        <v>153.0</v>
      </c>
      <c r="B47" s="4" t="s">
        <v>409</v>
      </c>
      <c r="C47" s="5">
        <v>1034502.0</v>
      </c>
      <c r="D47" s="7" t="s">
        <v>410</v>
      </c>
      <c r="E47" s="5">
        <v>5.004888E7</v>
      </c>
      <c r="F47" s="5" t="s">
        <v>411</v>
      </c>
      <c r="G47" s="7">
        <v>1.126276611E9</v>
      </c>
      <c r="H47" s="5" t="s">
        <v>412</v>
      </c>
      <c r="I47" s="5" t="s">
        <v>413</v>
      </c>
      <c r="J47" s="7">
        <v>1.154005798E9</v>
      </c>
      <c r="K47" s="5" t="s">
        <v>414</v>
      </c>
      <c r="L47" s="5" t="s">
        <v>415</v>
      </c>
      <c r="M47" s="7">
        <v>1.162256611E9</v>
      </c>
      <c r="N47" s="5" t="s">
        <v>238</v>
      </c>
      <c r="O47" s="5" t="s">
        <v>416</v>
      </c>
      <c r="P47" s="5" t="s">
        <v>136</v>
      </c>
      <c r="Q47" s="5" t="s">
        <v>30</v>
      </c>
      <c r="R47" s="5" t="s">
        <v>31</v>
      </c>
      <c r="S47" s="5" t="s">
        <v>32</v>
      </c>
      <c r="T47" s="8" t="str">
        <f>IFS(SUM(IFNA(MATCH($B47,'DIVISION 15'!$A$2:$H$2,0),""),IFNA(MATCH($B47,'DIVISION 15'!$A$3:$H$3,0),""),IFNA(MATCH($B47,'DIVISION 15'!$A$4:$H$4,0),""),IFNA(MATCH($B47,'DIVISION 15'!$A$5:$H$5,0),""),IFNA(MATCH($B47,'DIVISION 15'!$A$6:$H$6,0),""),IFNA(MATCH($B47,'DIVISION 15'!$A$7:$H$7,0),""),IFNA(MATCH($B47,'DIVISION 15'!$A$8:$H$8,0),""),IFNA(MATCH($B47,'DIVISION 15'!$A$9:$H$9,0),""),IFNA(MATCH($B47,'DIVISION 15'!$A$10:$H$10,0),""),IFNA(MATCH($B47,'DIVISION 15'!$A$11:$H$11,0),""),IFNA(MATCH($B47,'DIVISION 15'!$A$12:$H$12,0),""),IFNA(MATCH($B47,'DIVISION 15'!$A$13:$H$13,0),""),IFNA(MATCH($B47,'DIVISION 15'!$A$14:$H$14,0),""),IFNA(MATCH($B47,'DIVISION 15'!$A$15:$H$15,0),""),IFNA(MATCH($B47,'DIVISION 15'!$A$16:$H$16,0),""),IFNA(MATCH($B47,'DIVISION 15'!$A$17:$H$17,0),""),IFNA(MATCH($B47,'DIVISION 15'!$A$18:$H$18,0),""))=1,'DIVISION 15'!$A$1,SUM(IFNA(MATCH($B47,'DIVISION 15'!$A$2:$H$2,0),""),IFNA(MATCH($B47,'DIVISION 15'!$A$3:$H$3,0),""),IFNA(MATCH($B47,'DIVISION 15'!$A$4:$H$4,0),""),IFNA(MATCH($B47,'DIVISION 15'!$A$5:$H$5,0),""),IFNA(MATCH($B47,'DIVISION 15'!$A$6:$H$6,0),""),IFNA(MATCH($B47,'DIVISION 15'!$A$7:$H$7,0),""),IFNA(MATCH($B47,'DIVISION 15'!$A$8:$H$8,0),""),IFNA(MATCH($B47,'DIVISION 15'!$A$9:$H$9,0),""),IFNA(MATCH($B47,'DIVISION 15'!$A$10:$H$10,0),""),IFNA(MATCH($B47,'DIVISION 15'!$A$11:$H$11,0),""),IFNA(MATCH($B47,'DIVISION 15'!$A$12:$H$12,0),""),IFNA(MATCH($B47,'DIVISION 15'!$A$13:$H$13,0),""),IFNA(MATCH($B47,'DIVISION 15'!$A$14:$H$14,0),""),IFNA(MATCH($B47,'DIVISION 15'!$A$15:$H$15,0),""),IFNA(MATCH($B47,'DIVISION 15'!$A$16:$H$16,0),""),IFNA(MATCH($B47,'DIVISION 15'!$A$17:$H$17,0),""),IFNA(MATCH($B47,'DIVISION 15'!$A$18:$H$18,0),""))=2,'DIVISION 15'!$B$1,SUM(IFNA(MATCH($B47,'DIVISION 15'!$A$2:$H$2,0),""),IFNA(MATCH($B47,'DIVISION 15'!$A$3:$H$3,0),""),IFNA(MATCH($B47,'DIVISION 15'!$A$4:$H$4,0),""),IFNA(MATCH($B47,'DIVISION 15'!$A$5:$H$5,0),""),IFNA(MATCH($B47,'DIVISION 15'!$A$6:$H$6,0),""),IFNA(MATCH($B47,'DIVISION 15'!$A$7:$H$7,0),""),IFNA(MATCH($B47,'DIVISION 15'!$A$8:$H$8,0),""),IFNA(MATCH($B47,'DIVISION 15'!$A$9:$H$9,0),""),IFNA(MATCH($B47,'DIVISION 15'!$A$10:$H$10,0),""),IFNA(MATCH($B47,'DIVISION 15'!$A$11:$H$11,0),""),IFNA(MATCH($B47,'DIVISION 15'!$A$12:$H$12,0),""),IFNA(MATCH($B47,'DIVISION 15'!$A$13:$H$13,0),""),IFNA(MATCH($B47,'DIVISION 15'!$A$14:$H$14,0),""),IFNA(MATCH($B47,'DIVISION 15'!$A$15:$H$15,0),""),IFNA(MATCH($B47,'DIVISION 15'!$A$16:$H$16,0),""),IFNA(MATCH($B47,'DIVISION 15'!$A$17:$H$17,0),""),IFNA(MATCH($B47,'DIVISION 15'!$A$18:$H$18,0),""))=3,'DIVISION 15'!$C$1,SUM(IFNA(MATCH($B47,'DIVISION 15'!$A$2:$H$2,0),""),IFNA(MATCH($B47,'DIVISION 15'!$A$3:$H$3,0),""),IFNA(MATCH($B47,'DIVISION 15'!$A$4:$H$4,0),""),IFNA(MATCH($B47,'DIVISION 15'!$A$5:$H$5,0),""),IFNA(MATCH($B47,'DIVISION 15'!$A$6:$H$6,0),""),IFNA(MATCH($B47,'DIVISION 15'!$A$7:$H$7,0),""),IFNA(MATCH($B47,'DIVISION 15'!$A$8:$H$8,0),""),IFNA(MATCH($B47,'DIVISION 15'!$A$9:$H$9,0),""),IFNA(MATCH($B47,'DIVISION 15'!$A$10:$H$10,0),""),IFNA(MATCH($B47,'DIVISION 15'!$A$11:$H$11,0),""),IFNA(MATCH($B47,'DIVISION 15'!$A$12:$H$12,0),""),IFNA(MATCH($B47,'DIVISION 15'!$A$13:$H$13,0),""),IFNA(MATCH($B47,'DIVISION 15'!$A$14:$H$14,0),""),IFNA(MATCH($B47,'DIVISION 15'!$A$15:$H$15,0),""),IFNA(MATCH($B47,'DIVISION 15'!$A$16:$H$16,0),""),IFNA(MATCH($B47,'DIVISION 15'!$A$17:$H$17,0),""),IFNA(MATCH($B47,'DIVISION 15'!$A$18:$H$18,0),""))=4,'DIVISION 15'!$D$1,SUM(IFNA(MATCH($B47,'DIVISION 15'!$A$2:$H$2,0),""),IFNA(MATCH($B47,'DIVISION 15'!$A$3:$H$3,0),""),IFNA(MATCH($B47,'DIVISION 15'!$A$4:$H$4,0),""),IFNA(MATCH($B47,'DIVISION 15'!$A$5:$H$5,0),""),IFNA(MATCH($B47,'DIVISION 15'!$A$6:$H$6,0),""),IFNA(MATCH($B47,'DIVISION 15'!$A$7:$H$7,0),""),IFNA(MATCH($B47,'DIVISION 15'!$A$8:$H$8,0),""),IFNA(MATCH($B47,'DIVISION 15'!$A$9:$H$9,0),""),IFNA(MATCH($B47,'DIVISION 15'!$A$10:$H$10,0),""),IFNA(MATCH($B47,'DIVISION 15'!$A$11:$H$11,0),""),IFNA(MATCH($B47,'DIVISION 15'!$A$12:$H$12,0),""),IFNA(MATCH($B47,'DIVISION 15'!$A$13:$H$13,0),""),IFNA(MATCH($B47,'DIVISION 15'!$A$14:$H$14,0),""),IFNA(MATCH($B47,'DIVISION 15'!$A$15:$H$15,0),""),IFNA(MATCH($B47,'DIVISION 15'!$A$16:$H$16,0),""),IFNA(MATCH($B47,'DIVISION 15'!$A$17:$H$17,0),""),IFNA(MATCH($B47,'DIVISION 15'!$A$18:$H$18,0),""))=5,'DIVISION 15'!$E$1,SUM(IFNA(MATCH($B47,'DIVISION 15'!$A$2:$H$2,0),""),IFNA(MATCH($B47,'DIVISION 15'!$A$3:$H$3,0),""),IFNA(MATCH($B47,'DIVISION 15'!$A$4:$H$4,0),""),IFNA(MATCH($B47,'DIVISION 15'!$A$5:$H$5,0),""),IFNA(MATCH($B47,'DIVISION 15'!$A$6:$H$6,0),""),IFNA(MATCH($B47,'DIVISION 15'!$A$7:$H$7,0),""),IFNA(MATCH($B47,'DIVISION 15'!$A$8:$H$8,0),""),IFNA(MATCH($B47,'DIVISION 15'!$A$9:$H$9,0),""),IFNA(MATCH($B47,'DIVISION 15'!$A$10:$H$10,0),""),IFNA(MATCH($B47,'DIVISION 15'!$A$11:$H$11,0),""),IFNA(MATCH($B47,'DIVISION 15'!$A$12:$H$12,0),""),IFNA(MATCH($B47,'DIVISION 15'!$A$13:$H$13,0),""),IFNA(MATCH($B47,'DIVISION 15'!$A$14:$H$14,0),""),IFNA(MATCH($B47,'DIVISION 15'!$A$15:$H$15,0),""),IFNA(MATCH($B47,'DIVISION 15'!$A$16:$H$16,0),""),IFNA(MATCH($B47,'DIVISION 15'!$A$17:$H$17,0),""),IFNA(MATCH($B47,'DIVISION 15'!$A$18:$H$18,0),""))=6,'DIVISION 15'!$F$1,SUM(IFNA(MATCH($B47,'DIVISION 15'!$A$2:$H$2,0),""),IFNA(MATCH($B47,'DIVISION 15'!$A$3:$H$3,0),""),IFNA(MATCH($B47,'DIVISION 15'!$A$4:$H$4,0),""),IFNA(MATCH($B47,'DIVISION 15'!$A$5:$H$5,0),""),IFNA(MATCH($B47,'DIVISION 15'!$A$6:$H$6,0),""),IFNA(MATCH($B47,'DIVISION 15'!$A$7:$H$7,0),""),IFNA(MATCH($B47,'DIVISION 15'!$A$8:$H$8,0),""),IFNA(MATCH($B47,'DIVISION 15'!$A$9:$H$9,0),""),IFNA(MATCH($B47,'DIVISION 15'!$A$10:$H$10,0),""),IFNA(MATCH($B47,'DIVISION 15'!$A$11:$H$11,0),""),IFNA(MATCH($B47,'DIVISION 15'!$A$12:$H$12,0),""),IFNA(MATCH($B47,'DIVISION 15'!$A$13:$H$13,0),""),IFNA(MATCH($B47,'DIVISION 15'!$A$14:$H$14,0),""),IFNA(MATCH($B47,'DIVISION 15'!$A$15:$H$15,0),""),IFNA(MATCH($B47,'DIVISION 15'!$A$16:$H$16,0),""),IFNA(MATCH($B47,'DIVISION 15'!$A$17:$H$17,0),""),IFNA(MATCH($B47,'DIVISION 15'!$A$18:$H$18,0),""))=7,'DIVISION 15'!$G$1,SUM(IFNA(MATCH($B47,'DIVISION 15'!$A$2:$H$2,0),""),IFNA(MATCH($B47,'DIVISION 15'!$A$3:$H$3,0),""),IFNA(MATCH($B47,'DIVISION 15'!$A$4:$H$4,0),""),IFNA(MATCH($B47,'DIVISION 15'!$A$5:$H$5,0),""),IFNA(MATCH($B47,'DIVISION 15'!$A$6:$H$6,0),""),IFNA(MATCH($B47,'DIVISION 15'!$A$7:$H$7,0),""),IFNA(MATCH($B47,'DIVISION 15'!$A$8:$H$8,0),""),IFNA(MATCH($B47,'DIVISION 15'!$A$9:$H$9,0),""),IFNA(MATCH($B47,'DIVISION 15'!$A$10:$H$10,0),""),IFNA(MATCH($B47,'DIVISION 15'!$A$11:$H$11,0),""),IFNA(MATCH($B47,'DIVISION 15'!$A$12:$H$12,0),""),IFNA(MATCH($B47,'DIVISION 15'!$A$13:$H$13,0),""),IFNA(MATCH($B47,'DIVISION 15'!$A$14:$H$14,0),""),IFNA(MATCH($B47,'DIVISION 15'!$A$15:$H$15,0),""),IFNA(MATCH($B47,'DIVISION 15'!$A$16:$H$16,0),""),IFNA(MATCH($B47,'DIVISION 15'!$A$17:$H$17,0),""),IFNA(MATCH($B47,'DIVISION 15'!$A$18:$H$18,0),""))=8,'DIVISION 15'!$H$1)</f>
        <v>MELU</v>
      </c>
      <c r="U47" s="8" t="str">
        <f t="shared" si="2"/>
        <v>MELU7</v>
      </c>
      <c r="V47" s="9">
        <f>SUMIF(AsistenciaViewJetAdmin!$A$3:$A$101,A47,AsistenciaViewJetAdmin!$C$3:$C$101)/(COUNTIF(AsistenciaViewJetAdmin!$D$102:V$102,"&gt;0")+COUNTIF(ActividadesEspeciales!$D$102:V$102,"&gt;0"))*100</f>
        <v>55.31914894</v>
      </c>
    </row>
    <row r="48" ht="28.5" customHeight="1">
      <c r="A48" s="3">
        <v>177.0</v>
      </c>
      <c r="B48" s="4" t="s">
        <v>417</v>
      </c>
      <c r="C48" s="5">
        <v>1009603.0</v>
      </c>
      <c r="D48" s="7" t="s">
        <v>418</v>
      </c>
      <c r="E48" s="5">
        <v>4.9903752E7</v>
      </c>
      <c r="F48" s="5" t="s">
        <v>419</v>
      </c>
      <c r="G48" s="7">
        <v>1.163776713E9</v>
      </c>
      <c r="H48" s="5" t="s">
        <v>420</v>
      </c>
      <c r="I48" s="5" t="s">
        <v>421</v>
      </c>
      <c r="J48" s="7">
        <v>1.141734096E9</v>
      </c>
      <c r="K48" s="5" t="s">
        <v>422</v>
      </c>
      <c r="L48" s="5" t="s">
        <v>423</v>
      </c>
      <c r="M48" s="7">
        <v>1.158531334E9</v>
      </c>
      <c r="N48" s="5" t="s">
        <v>61</v>
      </c>
      <c r="O48" s="5" t="s">
        <v>424</v>
      </c>
      <c r="P48" s="5" t="s">
        <v>425</v>
      </c>
      <c r="Q48" s="5" t="s">
        <v>74</v>
      </c>
      <c r="R48" s="5" t="s">
        <v>31</v>
      </c>
      <c r="S48" s="5" t="s">
        <v>43</v>
      </c>
      <c r="T48" s="8" t="str">
        <f>IFS(SUM(IFNA(MATCH($B48,'DIVISION 15'!$A$2:$H$2,0),""),IFNA(MATCH($B48,'DIVISION 15'!$A$3:$H$3,0),""),IFNA(MATCH($B48,'DIVISION 15'!$A$4:$H$4,0),""),IFNA(MATCH($B48,'DIVISION 15'!$A$5:$H$5,0),""),IFNA(MATCH($B48,'DIVISION 15'!$A$6:$H$6,0),""),IFNA(MATCH($B48,'DIVISION 15'!$A$7:$H$7,0),""),IFNA(MATCH($B48,'DIVISION 15'!$A$8:$H$8,0),""),IFNA(MATCH($B48,'DIVISION 15'!$A$9:$H$9,0),""),IFNA(MATCH($B48,'DIVISION 15'!$A$10:$H$10,0),""),IFNA(MATCH($B48,'DIVISION 15'!$A$11:$H$11,0),""),IFNA(MATCH($B48,'DIVISION 15'!$A$12:$H$12,0),""),IFNA(MATCH($B48,'DIVISION 15'!$A$13:$H$13,0),""),IFNA(MATCH($B48,'DIVISION 15'!$A$14:$H$14,0),""),IFNA(MATCH($B48,'DIVISION 15'!$A$15:$H$15,0),""),IFNA(MATCH($B48,'DIVISION 15'!$A$16:$H$16,0),""),IFNA(MATCH($B48,'DIVISION 15'!$A$17:$H$17,0),""),IFNA(MATCH($B48,'DIVISION 15'!$A$18:$H$18,0),""))=1,'DIVISION 15'!$A$1,SUM(IFNA(MATCH($B48,'DIVISION 15'!$A$2:$H$2,0),""),IFNA(MATCH($B48,'DIVISION 15'!$A$3:$H$3,0),""),IFNA(MATCH($B48,'DIVISION 15'!$A$4:$H$4,0),""),IFNA(MATCH($B48,'DIVISION 15'!$A$5:$H$5,0),""),IFNA(MATCH($B48,'DIVISION 15'!$A$6:$H$6,0),""),IFNA(MATCH($B48,'DIVISION 15'!$A$7:$H$7,0),""),IFNA(MATCH($B48,'DIVISION 15'!$A$8:$H$8,0),""),IFNA(MATCH($B48,'DIVISION 15'!$A$9:$H$9,0),""),IFNA(MATCH($B48,'DIVISION 15'!$A$10:$H$10,0),""),IFNA(MATCH($B48,'DIVISION 15'!$A$11:$H$11,0),""),IFNA(MATCH($B48,'DIVISION 15'!$A$12:$H$12,0),""),IFNA(MATCH($B48,'DIVISION 15'!$A$13:$H$13,0),""),IFNA(MATCH($B48,'DIVISION 15'!$A$14:$H$14,0),""),IFNA(MATCH($B48,'DIVISION 15'!$A$15:$H$15,0),""),IFNA(MATCH($B48,'DIVISION 15'!$A$16:$H$16,0),""),IFNA(MATCH($B48,'DIVISION 15'!$A$17:$H$17,0),""),IFNA(MATCH($B48,'DIVISION 15'!$A$18:$H$18,0),""))=2,'DIVISION 15'!$B$1,SUM(IFNA(MATCH($B48,'DIVISION 15'!$A$2:$H$2,0),""),IFNA(MATCH($B48,'DIVISION 15'!$A$3:$H$3,0),""),IFNA(MATCH($B48,'DIVISION 15'!$A$4:$H$4,0),""),IFNA(MATCH($B48,'DIVISION 15'!$A$5:$H$5,0),""),IFNA(MATCH($B48,'DIVISION 15'!$A$6:$H$6,0),""),IFNA(MATCH($B48,'DIVISION 15'!$A$7:$H$7,0),""),IFNA(MATCH($B48,'DIVISION 15'!$A$8:$H$8,0),""),IFNA(MATCH($B48,'DIVISION 15'!$A$9:$H$9,0),""),IFNA(MATCH($B48,'DIVISION 15'!$A$10:$H$10,0),""),IFNA(MATCH($B48,'DIVISION 15'!$A$11:$H$11,0),""),IFNA(MATCH($B48,'DIVISION 15'!$A$12:$H$12,0),""),IFNA(MATCH($B48,'DIVISION 15'!$A$13:$H$13,0),""),IFNA(MATCH($B48,'DIVISION 15'!$A$14:$H$14,0),""),IFNA(MATCH($B48,'DIVISION 15'!$A$15:$H$15,0),""),IFNA(MATCH($B48,'DIVISION 15'!$A$16:$H$16,0),""),IFNA(MATCH($B48,'DIVISION 15'!$A$17:$H$17,0),""),IFNA(MATCH($B48,'DIVISION 15'!$A$18:$H$18,0),""))=3,'DIVISION 15'!$C$1,SUM(IFNA(MATCH($B48,'DIVISION 15'!$A$2:$H$2,0),""),IFNA(MATCH($B48,'DIVISION 15'!$A$3:$H$3,0),""),IFNA(MATCH($B48,'DIVISION 15'!$A$4:$H$4,0),""),IFNA(MATCH($B48,'DIVISION 15'!$A$5:$H$5,0),""),IFNA(MATCH($B48,'DIVISION 15'!$A$6:$H$6,0),""),IFNA(MATCH($B48,'DIVISION 15'!$A$7:$H$7,0),""),IFNA(MATCH($B48,'DIVISION 15'!$A$8:$H$8,0),""),IFNA(MATCH($B48,'DIVISION 15'!$A$9:$H$9,0),""),IFNA(MATCH($B48,'DIVISION 15'!$A$10:$H$10,0),""),IFNA(MATCH($B48,'DIVISION 15'!$A$11:$H$11,0),""),IFNA(MATCH($B48,'DIVISION 15'!$A$12:$H$12,0),""),IFNA(MATCH($B48,'DIVISION 15'!$A$13:$H$13,0),""),IFNA(MATCH($B48,'DIVISION 15'!$A$14:$H$14,0),""),IFNA(MATCH($B48,'DIVISION 15'!$A$15:$H$15,0),""),IFNA(MATCH($B48,'DIVISION 15'!$A$16:$H$16,0),""),IFNA(MATCH($B48,'DIVISION 15'!$A$17:$H$17,0),""),IFNA(MATCH($B48,'DIVISION 15'!$A$18:$H$18,0),""))=4,'DIVISION 15'!$D$1,SUM(IFNA(MATCH($B48,'DIVISION 15'!$A$2:$H$2,0),""),IFNA(MATCH($B48,'DIVISION 15'!$A$3:$H$3,0),""),IFNA(MATCH($B48,'DIVISION 15'!$A$4:$H$4,0),""),IFNA(MATCH($B48,'DIVISION 15'!$A$5:$H$5,0),""),IFNA(MATCH($B48,'DIVISION 15'!$A$6:$H$6,0),""),IFNA(MATCH($B48,'DIVISION 15'!$A$7:$H$7,0),""),IFNA(MATCH($B48,'DIVISION 15'!$A$8:$H$8,0),""),IFNA(MATCH($B48,'DIVISION 15'!$A$9:$H$9,0),""),IFNA(MATCH($B48,'DIVISION 15'!$A$10:$H$10,0),""),IFNA(MATCH($B48,'DIVISION 15'!$A$11:$H$11,0),""),IFNA(MATCH($B48,'DIVISION 15'!$A$12:$H$12,0),""),IFNA(MATCH($B48,'DIVISION 15'!$A$13:$H$13,0),""),IFNA(MATCH($B48,'DIVISION 15'!$A$14:$H$14,0),""),IFNA(MATCH($B48,'DIVISION 15'!$A$15:$H$15,0),""),IFNA(MATCH($B48,'DIVISION 15'!$A$16:$H$16,0),""),IFNA(MATCH($B48,'DIVISION 15'!$A$17:$H$17,0),""),IFNA(MATCH($B48,'DIVISION 15'!$A$18:$H$18,0),""))=5,'DIVISION 15'!$E$1,SUM(IFNA(MATCH($B48,'DIVISION 15'!$A$2:$H$2,0),""),IFNA(MATCH($B48,'DIVISION 15'!$A$3:$H$3,0),""),IFNA(MATCH($B48,'DIVISION 15'!$A$4:$H$4,0),""),IFNA(MATCH($B48,'DIVISION 15'!$A$5:$H$5,0),""),IFNA(MATCH($B48,'DIVISION 15'!$A$6:$H$6,0),""),IFNA(MATCH($B48,'DIVISION 15'!$A$7:$H$7,0),""),IFNA(MATCH($B48,'DIVISION 15'!$A$8:$H$8,0),""),IFNA(MATCH($B48,'DIVISION 15'!$A$9:$H$9,0),""),IFNA(MATCH($B48,'DIVISION 15'!$A$10:$H$10,0),""),IFNA(MATCH($B48,'DIVISION 15'!$A$11:$H$11,0),""),IFNA(MATCH($B48,'DIVISION 15'!$A$12:$H$12,0),""),IFNA(MATCH($B48,'DIVISION 15'!$A$13:$H$13,0),""),IFNA(MATCH($B48,'DIVISION 15'!$A$14:$H$14,0),""),IFNA(MATCH($B48,'DIVISION 15'!$A$15:$H$15,0),""),IFNA(MATCH($B48,'DIVISION 15'!$A$16:$H$16,0),""),IFNA(MATCH($B48,'DIVISION 15'!$A$17:$H$17,0),""),IFNA(MATCH($B48,'DIVISION 15'!$A$18:$H$18,0),""))=6,'DIVISION 15'!$F$1,SUM(IFNA(MATCH($B48,'DIVISION 15'!$A$2:$H$2,0),""),IFNA(MATCH($B48,'DIVISION 15'!$A$3:$H$3,0),""),IFNA(MATCH($B48,'DIVISION 15'!$A$4:$H$4,0),""),IFNA(MATCH($B48,'DIVISION 15'!$A$5:$H$5,0),""),IFNA(MATCH($B48,'DIVISION 15'!$A$6:$H$6,0),""),IFNA(MATCH($B48,'DIVISION 15'!$A$7:$H$7,0),""),IFNA(MATCH($B48,'DIVISION 15'!$A$8:$H$8,0),""),IFNA(MATCH($B48,'DIVISION 15'!$A$9:$H$9,0),""),IFNA(MATCH($B48,'DIVISION 15'!$A$10:$H$10,0),""),IFNA(MATCH($B48,'DIVISION 15'!$A$11:$H$11,0),""),IFNA(MATCH($B48,'DIVISION 15'!$A$12:$H$12,0),""),IFNA(MATCH($B48,'DIVISION 15'!$A$13:$H$13,0),""),IFNA(MATCH($B48,'DIVISION 15'!$A$14:$H$14,0),""),IFNA(MATCH($B48,'DIVISION 15'!$A$15:$H$15,0),""),IFNA(MATCH($B48,'DIVISION 15'!$A$16:$H$16,0),""),IFNA(MATCH($B48,'DIVISION 15'!$A$17:$H$17,0),""),IFNA(MATCH($B48,'DIVISION 15'!$A$18:$H$18,0),""))=7,'DIVISION 15'!$G$1,SUM(IFNA(MATCH($B48,'DIVISION 15'!$A$2:$H$2,0),""),IFNA(MATCH($B48,'DIVISION 15'!$A$3:$H$3,0),""),IFNA(MATCH($B48,'DIVISION 15'!$A$4:$H$4,0),""),IFNA(MATCH($B48,'DIVISION 15'!$A$5:$H$5,0),""),IFNA(MATCH($B48,'DIVISION 15'!$A$6:$H$6,0),""),IFNA(MATCH($B48,'DIVISION 15'!$A$7:$H$7,0),""),IFNA(MATCH($B48,'DIVISION 15'!$A$8:$H$8,0),""),IFNA(MATCH($B48,'DIVISION 15'!$A$9:$H$9,0),""),IFNA(MATCH($B48,'DIVISION 15'!$A$10:$H$10,0),""),IFNA(MATCH($B48,'DIVISION 15'!$A$11:$H$11,0),""),IFNA(MATCH($B48,'DIVISION 15'!$A$12:$H$12,0),""),IFNA(MATCH($B48,'DIVISION 15'!$A$13:$H$13,0),""),IFNA(MATCH($B48,'DIVISION 15'!$A$14:$H$14,0),""),IFNA(MATCH($B48,'DIVISION 15'!$A$15:$H$15,0),""),IFNA(MATCH($B48,'DIVISION 15'!$A$16:$H$16,0),""),IFNA(MATCH($B48,'DIVISION 15'!$A$17:$H$17,0),""),IFNA(MATCH($B48,'DIVISION 15'!$A$18:$H$18,0),""))=8,'DIVISION 15'!$H$1)</f>
        <v>EITU</v>
      </c>
      <c r="U48" s="8" t="str">
        <f t="shared" si="2"/>
        <v>EITU7</v>
      </c>
      <c r="V48" s="9">
        <f>SUMIF(AsistenciaViewJetAdmin!$A$3:$A$101,A48,AsistenciaViewJetAdmin!$C$3:$C$101)/(COUNTIF(AsistenciaViewJetAdmin!$D$102:V$102,"&gt;0")+COUNTIF(ActividadesEspeciales!$D$102:V$102,"&gt;0"))*100</f>
        <v>65.95744681</v>
      </c>
    </row>
    <row r="49" ht="28.5" customHeight="1">
      <c r="A49" s="3">
        <v>136.0</v>
      </c>
      <c r="B49" s="4" t="s">
        <v>426</v>
      </c>
      <c r="C49" s="5">
        <v>1043902.0</v>
      </c>
      <c r="D49" s="7" t="s">
        <v>427</v>
      </c>
      <c r="E49" s="5">
        <v>5.0159045E7</v>
      </c>
      <c r="F49" s="5" t="s">
        <v>428</v>
      </c>
      <c r="G49" s="7">
        <v>1.156564509E9</v>
      </c>
      <c r="H49" s="5" t="s">
        <v>429</v>
      </c>
      <c r="I49" s="5" t="s">
        <v>430</v>
      </c>
      <c r="J49" s="7">
        <v>1.157200997E9</v>
      </c>
      <c r="K49" s="5" t="s">
        <v>431</v>
      </c>
      <c r="L49" s="5" t="s">
        <v>432</v>
      </c>
      <c r="M49" s="7">
        <v>1.167493426E9</v>
      </c>
      <c r="N49" s="5" t="s">
        <v>61</v>
      </c>
      <c r="O49" s="5" t="s">
        <v>433</v>
      </c>
      <c r="P49" s="5" t="s">
        <v>434</v>
      </c>
      <c r="Q49" s="5" t="s">
        <v>30</v>
      </c>
      <c r="R49" s="5" t="s">
        <v>31</v>
      </c>
      <c r="S49" s="5" t="s">
        <v>43</v>
      </c>
      <c r="T49" s="8" t="str">
        <f>IFS(SUM(IFNA(MATCH($B49,'DIVISION 15'!$A$2:$H$2,0),""),IFNA(MATCH($B49,'DIVISION 15'!$A$3:$H$3,0),""),IFNA(MATCH($B49,'DIVISION 15'!$A$4:$H$4,0),""),IFNA(MATCH($B49,'DIVISION 15'!$A$5:$H$5,0),""),IFNA(MATCH($B49,'DIVISION 15'!$A$6:$H$6,0),""),IFNA(MATCH($B49,'DIVISION 15'!$A$7:$H$7,0),""),IFNA(MATCH($B49,'DIVISION 15'!$A$8:$H$8,0),""),IFNA(MATCH($B49,'DIVISION 15'!$A$9:$H$9,0),""),IFNA(MATCH($B49,'DIVISION 15'!$A$10:$H$10,0),""),IFNA(MATCH($B49,'DIVISION 15'!$A$11:$H$11,0),""),IFNA(MATCH($B49,'DIVISION 15'!$A$12:$H$12,0),""),IFNA(MATCH($B49,'DIVISION 15'!$A$13:$H$13,0),""),IFNA(MATCH($B49,'DIVISION 15'!$A$14:$H$14,0),""),IFNA(MATCH($B49,'DIVISION 15'!$A$15:$H$15,0),""),IFNA(MATCH($B49,'DIVISION 15'!$A$16:$H$16,0),""),IFNA(MATCH($B49,'DIVISION 15'!$A$17:$H$17,0),""),IFNA(MATCH($B49,'DIVISION 15'!$A$18:$H$18,0),""))=1,'DIVISION 15'!$A$1,SUM(IFNA(MATCH($B49,'DIVISION 15'!$A$2:$H$2,0),""),IFNA(MATCH($B49,'DIVISION 15'!$A$3:$H$3,0),""),IFNA(MATCH($B49,'DIVISION 15'!$A$4:$H$4,0),""),IFNA(MATCH($B49,'DIVISION 15'!$A$5:$H$5,0),""),IFNA(MATCH($B49,'DIVISION 15'!$A$6:$H$6,0),""),IFNA(MATCH($B49,'DIVISION 15'!$A$7:$H$7,0),""),IFNA(MATCH($B49,'DIVISION 15'!$A$8:$H$8,0),""),IFNA(MATCH($B49,'DIVISION 15'!$A$9:$H$9,0),""),IFNA(MATCH($B49,'DIVISION 15'!$A$10:$H$10,0),""),IFNA(MATCH($B49,'DIVISION 15'!$A$11:$H$11,0),""),IFNA(MATCH($B49,'DIVISION 15'!$A$12:$H$12,0),""),IFNA(MATCH($B49,'DIVISION 15'!$A$13:$H$13,0),""),IFNA(MATCH($B49,'DIVISION 15'!$A$14:$H$14,0),""),IFNA(MATCH($B49,'DIVISION 15'!$A$15:$H$15,0),""),IFNA(MATCH($B49,'DIVISION 15'!$A$16:$H$16,0),""),IFNA(MATCH($B49,'DIVISION 15'!$A$17:$H$17,0),""),IFNA(MATCH($B49,'DIVISION 15'!$A$18:$H$18,0),""))=2,'DIVISION 15'!$B$1,SUM(IFNA(MATCH($B49,'DIVISION 15'!$A$2:$H$2,0),""),IFNA(MATCH($B49,'DIVISION 15'!$A$3:$H$3,0),""),IFNA(MATCH($B49,'DIVISION 15'!$A$4:$H$4,0),""),IFNA(MATCH($B49,'DIVISION 15'!$A$5:$H$5,0),""),IFNA(MATCH($B49,'DIVISION 15'!$A$6:$H$6,0),""),IFNA(MATCH($B49,'DIVISION 15'!$A$7:$H$7,0),""),IFNA(MATCH($B49,'DIVISION 15'!$A$8:$H$8,0),""),IFNA(MATCH($B49,'DIVISION 15'!$A$9:$H$9,0),""),IFNA(MATCH($B49,'DIVISION 15'!$A$10:$H$10,0),""),IFNA(MATCH($B49,'DIVISION 15'!$A$11:$H$11,0),""),IFNA(MATCH($B49,'DIVISION 15'!$A$12:$H$12,0),""),IFNA(MATCH($B49,'DIVISION 15'!$A$13:$H$13,0),""),IFNA(MATCH($B49,'DIVISION 15'!$A$14:$H$14,0),""),IFNA(MATCH($B49,'DIVISION 15'!$A$15:$H$15,0),""),IFNA(MATCH($B49,'DIVISION 15'!$A$16:$H$16,0),""),IFNA(MATCH($B49,'DIVISION 15'!$A$17:$H$17,0),""),IFNA(MATCH($B49,'DIVISION 15'!$A$18:$H$18,0),""))=3,'DIVISION 15'!$C$1,SUM(IFNA(MATCH($B49,'DIVISION 15'!$A$2:$H$2,0),""),IFNA(MATCH($B49,'DIVISION 15'!$A$3:$H$3,0),""),IFNA(MATCH($B49,'DIVISION 15'!$A$4:$H$4,0),""),IFNA(MATCH($B49,'DIVISION 15'!$A$5:$H$5,0),""),IFNA(MATCH($B49,'DIVISION 15'!$A$6:$H$6,0),""),IFNA(MATCH($B49,'DIVISION 15'!$A$7:$H$7,0),""),IFNA(MATCH($B49,'DIVISION 15'!$A$8:$H$8,0),""),IFNA(MATCH($B49,'DIVISION 15'!$A$9:$H$9,0),""),IFNA(MATCH($B49,'DIVISION 15'!$A$10:$H$10,0),""),IFNA(MATCH($B49,'DIVISION 15'!$A$11:$H$11,0),""),IFNA(MATCH($B49,'DIVISION 15'!$A$12:$H$12,0),""),IFNA(MATCH($B49,'DIVISION 15'!$A$13:$H$13,0),""),IFNA(MATCH($B49,'DIVISION 15'!$A$14:$H$14,0),""),IFNA(MATCH($B49,'DIVISION 15'!$A$15:$H$15,0),""),IFNA(MATCH($B49,'DIVISION 15'!$A$16:$H$16,0),""),IFNA(MATCH($B49,'DIVISION 15'!$A$17:$H$17,0),""),IFNA(MATCH($B49,'DIVISION 15'!$A$18:$H$18,0),""))=4,'DIVISION 15'!$D$1,SUM(IFNA(MATCH($B49,'DIVISION 15'!$A$2:$H$2,0),""),IFNA(MATCH($B49,'DIVISION 15'!$A$3:$H$3,0),""),IFNA(MATCH($B49,'DIVISION 15'!$A$4:$H$4,0),""),IFNA(MATCH($B49,'DIVISION 15'!$A$5:$H$5,0),""),IFNA(MATCH($B49,'DIVISION 15'!$A$6:$H$6,0),""),IFNA(MATCH($B49,'DIVISION 15'!$A$7:$H$7,0),""),IFNA(MATCH($B49,'DIVISION 15'!$A$8:$H$8,0),""),IFNA(MATCH($B49,'DIVISION 15'!$A$9:$H$9,0),""),IFNA(MATCH($B49,'DIVISION 15'!$A$10:$H$10,0),""),IFNA(MATCH($B49,'DIVISION 15'!$A$11:$H$11,0),""),IFNA(MATCH($B49,'DIVISION 15'!$A$12:$H$12,0),""),IFNA(MATCH($B49,'DIVISION 15'!$A$13:$H$13,0),""),IFNA(MATCH($B49,'DIVISION 15'!$A$14:$H$14,0),""),IFNA(MATCH($B49,'DIVISION 15'!$A$15:$H$15,0),""),IFNA(MATCH($B49,'DIVISION 15'!$A$16:$H$16,0),""),IFNA(MATCH($B49,'DIVISION 15'!$A$17:$H$17,0),""),IFNA(MATCH($B49,'DIVISION 15'!$A$18:$H$18,0),""))=5,'DIVISION 15'!$E$1,SUM(IFNA(MATCH($B49,'DIVISION 15'!$A$2:$H$2,0),""),IFNA(MATCH($B49,'DIVISION 15'!$A$3:$H$3,0),""),IFNA(MATCH($B49,'DIVISION 15'!$A$4:$H$4,0),""),IFNA(MATCH($B49,'DIVISION 15'!$A$5:$H$5,0),""),IFNA(MATCH($B49,'DIVISION 15'!$A$6:$H$6,0),""),IFNA(MATCH($B49,'DIVISION 15'!$A$7:$H$7,0),""),IFNA(MATCH($B49,'DIVISION 15'!$A$8:$H$8,0),""),IFNA(MATCH($B49,'DIVISION 15'!$A$9:$H$9,0),""),IFNA(MATCH($B49,'DIVISION 15'!$A$10:$H$10,0),""),IFNA(MATCH($B49,'DIVISION 15'!$A$11:$H$11,0),""),IFNA(MATCH($B49,'DIVISION 15'!$A$12:$H$12,0),""),IFNA(MATCH($B49,'DIVISION 15'!$A$13:$H$13,0),""),IFNA(MATCH($B49,'DIVISION 15'!$A$14:$H$14,0),""),IFNA(MATCH($B49,'DIVISION 15'!$A$15:$H$15,0),""),IFNA(MATCH($B49,'DIVISION 15'!$A$16:$H$16,0),""),IFNA(MATCH($B49,'DIVISION 15'!$A$17:$H$17,0),""),IFNA(MATCH($B49,'DIVISION 15'!$A$18:$H$18,0),""))=6,'DIVISION 15'!$F$1,SUM(IFNA(MATCH($B49,'DIVISION 15'!$A$2:$H$2,0),""),IFNA(MATCH($B49,'DIVISION 15'!$A$3:$H$3,0),""),IFNA(MATCH($B49,'DIVISION 15'!$A$4:$H$4,0),""),IFNA(MATCH($B49,'DIVISION 15'!$A$5:$H$5,0),""),IFNA(MATCH($B49,'DIVISION 15'!$A$6:$H$6,0),""),IFNA(MATCH($B49,'DIVISION 15'!$A$7:$H$7,0),""),IFNA(MATCH($B49,'DIVISION 15'!$A$8:$H$8,0),""),IFNA(MATCH($B49,'DIVISION 15'!$A$9:$H$9,0),""),IFNA(MATCH($B49,'DIVISION 15'!$A$10:$H$10,0),""),IFNA(MATCH($B49,'DIVISION 15'!$A$11:$H$11,0),""),IFNA(MATCH($B49,'DIVISION 15'!$A$12:$H$12,0),""),IFNA(MATCH($B49,'DIVISION 15'!$A$13:$H$13,0),""),IFNA(MATCH($B49,'DIVISION 15'!$A$14:$H$14,0),""),IFNA(MATCH($B49,'DIVISION 15'!$A$15:$H$15,0),""),IFNA(MATCH($B49,'DIVISION 15'!$A$16:$H$16,0),""),IFNA(MATCH($B49,'DIVISION 15'!$A$17:$H$17,0),""),IFNA(MATCH($B49,'DIVISION 15'!$A$18:$H$18,0),""))=7,'DIVISION 15'!$G$1,SUM(IFNA(MATCH($B49,'DIVISION 15'!$A$2:$H$2,0),""),IFNA(MATCH($B49,'DIVISION 15'!$A$3:$H$3,0),""),IFNA(MATCH($B49,'DIVISION 15'!$A$4:$H$4,0),""),IFNA(MATCH($B49,'DIVISION 15'!$A$5:$H$5,0),""),IFNA(MATCH($B49,'DIVISION 15'!$A$6:$H$6,0),""),IFNA(MATCH($B49,'DIVISION 15'!$A$7:$H$7,0),""),IFNA(MATCH($B49,'DIVISION 15'!$A$8:$H$8,0),""),IFNA(MATCH($B49,'DIVISION 15'!$A$9:$H$9,0),""),IFNA(MATCH($B49,'DIVISION 15'!$A$10:$H$10,0),""),IFNA(MATCH($B49,'DIVISION 15'!$A$11:$H$11,0),""),IFNA(MATCH($B49,'DIVISION 15'!$A$12:$H$12,0),""),IFNA(MATCH($B49,'DIVISION 15'!$A$13:$H$13,0),""),IFNA(MATCH($B49,'DIVISION 15'!$A$14:$H$14,0),""),IFNA(MATCH($B49,'DIVISION 15'!$A$15:$H$15,0),""),IFNA(MATCH($B49,'DIVISION 15'!$A$16:$H$16,0),""),IFNA(MATCH($B49,'DIVISION 15'!$A$17:$H$17,0),""),IFNA(MATCH($B49,'DIVISION 15'!$A$18:$H$18,0),""))=8,'DIVISION 15'!$H$1)</f>
        <v>GONZI</v>
      </c>
      <c r="U49" s="8" t="str">
        <f t="shared" si="2"/>
        <v>GONZI4</v>
      </c>
      <c r="V49" s="9">
        <f>SUMIF(AsistenciaViewJetAdmin!$A$3:$A$101,A49,AsistenciaViewJetAdmin!$C$3:$C$101)/(COUNTIF(AsistenciaViewJetAdmin!$D$102:V$102,"&gt;0")+COUNTIF(ActividadesEspeciales!$D$102:V$102,"&gt;0"))*100</f>
        <v>71.80851064</v>
      </c>
    </row>
    <row r="50" ht="28.5" customHeight="1">
      <c r="A50" s="3">
        <v>160.0</v>
      </c>
      <c r="B50" s="4" t="s">
        <v>435</v>
      </c>
      <c r="C50" s="5">
        <v>845402.0</v>
      </c>
      <c r="D50" s="6">
        <v>40127.0</v>
      </c>
      <c r="E50" s="5">
        <v>4.9836328E7</v>
      </c>
      <c r="F50" s="5" t="s">
        <v>436</v>
      </c>
      <c r="G50" s="7">
        <v>3.2013508E7</v>
      </c>
      <c r="H50" s="5" t="s">
        <v>437</v>
      </c>
      <c r="I50" s="5" t="s">
        <v>438</v>
      </c>
      <c r="J50" s="7">
        <v>1.136377277E9</v>
      </c>
      <c r="K50" s="5" t="s">
        <v>439</v>
      </c>
      <c r="L50" s="5" t="s">
        <v>440</v>
      </c>
      <c r="M50" s="7">
        <v>5.0429357E7</v>
      </c>
      <c r="N50" s="5" t="s">
        <v>220</v>
      </c>
      <c r="O50" s="5" t="s">
        <v>441</v>
      </c>
      <c r="P50" s="5" t="s">
        <v>120</v>
      </c>
      <c r="Q50" s="5" t="s">
        <v>129</v>
      </c>
      <c r="R50" s="5" t="s">
        <v>31</v>
      </c>
      <c r="S50" s="5" t="s">
        <v>32</v>
      </c>
      <c r="T50" s="8" t="str">
        <f>IFS(SUM(IFNA(MATCH($B50,'DIVISION 15'!$A$2:$H$2,0),""),IFNA(MATCH($B50,'DIVISION 15'!$A$3:$H$3,0),""),IFNA(MATCH($B50,'DIVISION 15'!$A$4:$H$4,0),""),IFNA(MATCH($B50,'DIVISION 15'!$A$5:$H$5,0),""),IFNA(MATCH($B50,'DIVISION 15'!$A$6:$H$6,0),""),IFNA(MATCH($B50,'DIVISION 15'!$A$7:$H$7,0),""),IFNA(MATCH($B50,'DIVISION 15'!$A$8:$H$8,0),""),IFNA(MATCH($B50,'DIVISION 15'!$A$9:$H$9,0),""),IFNA(MATCH($B50,'DIVISION 15'!$A$10:$H$10,0),""),IFNA(MATCH($B50,'DIVISION 15'!$A$11:$H$11,0),""),IFNA(MATCH($B50,'DIVISION 15'!$A$12:$H$12,0),""),IFNA(MATCH($B50,'DIVISION 15'!$A$13:$H$13,0),""),IFNA(MATCH($B50,'DIVISION 15'!$A$14:$H$14,0),""),IFNA(MATCH($B50,'DIVISION 15'!$A$15:$H$15,0),""),IFNA(MATCH($B50,'DIVISION 15'!$A$16:$H$16,0),""),IFNA(MATCH($B50,'DIVISION 15'!$A$17:$H$17,0),""),IFNA(MATCH($B50,'DIVISION 15'!$A$18:$H$18,0),""))=1,'DIVISION 15'!$A$1,SUM(IFNA(MATCH($B50,'DIVISION 15'!$A$2:$H$2,0),""),IFNA(MATCH($B50,'DIVISION 15'!$A$3:$H$3,0),""),IFNA(MATCH($B50,'DIVISION 15'!$A$4:$H$4,0),""),IFNA(MATCH($B50,'DIVISION 15'!$A$5:$H$5,0),""),IFNA(MATCH($B50,'DIVISION 15'!$A$6:$H$6,0),""),IFNA(MATCH($B50,'DIVISION 15'!$A$7:$H$7,0),""),IFNA(MATCH($B50,'DIVISION 15'!$A$8:$H$8,0),""),IFNA(MATCH($B50,'DIVISION 15'!$A$9:$H$9,0),""),IFNA(MATCH($B50,'DIVISION 15'!$A$10:$H$10,0),""),IFNA(MATCH($B50,'DIVISION 15'!$A$11:$H$11,0),""),IFNA(MATCH($B50,'DIVISION 15'!$A$12:$H$12,0),""),IFNA(MATCH($B50,'DIVISION 15'!$A$13:$H$13,0),""),IFNA(MATCH($B50,'DIVISION 15'!$A$14:$H$14,0),""),IFNA(MATCH($B50,'DIVISION 15'!$A$15:$H$15,0),""),IFNA(MATCH($B50,'DIVISION 15'!$A$16:$H$16,0),""),IFNA(MATCH($B50,'DIVISION 15'!$A$17:$H$17,0),""),IFNA(MATCH($B50,'DIVISION 15'!$A$18:$H$18,0),""))=2,'DIVISION 15'!$B$1,SUM(IFNA(MATCH($B50,'DIVISION 15'!$A$2:$H$2,0),""),IFNA(MATCH($B50,'DIVISION 15'!$A$3:$H$3,0),""),IFNA(MATCH($B50,'DIVISION 15'!$A$4:$H$4,0),""),IFNA(MATCH($B50,'DIVISION 15'!$A$5:$H$5,0),""),IFNA(MATCH($B50,'DIVISION 15'!$A$6:$H$6,0),""),IFNA(MATCH($B50,'DIVISION 15'!$A$7:$H$7,0),""),IFNA(MATCH($B50,'DIVISION 15'!$A$8:$H$8,0),""),IFNA(MATCH($B50,'DIVISION 15'!$A$9:$H$9,0),""),IFNA(MATCH($B50,'DIVISION 15'!$A$10:$H$10,0),""),IFNA(MATCH($B50,'DIVISION 15'!$A$11:$H$11,0),""),IFNA(MATCH($B50,'DIVISION 15'!$A$12:$H$12,0),""),IFNA(MATCH($B50,'DIVISION 15'!$A$13:$H$13,0),""),IFNA(MATCH($B50,'DIVISION 15'!$A$14:$H$14,0),""),IFNA(MATCH($B50,'DIVISION 15'!$A$15:$H$15,0),""),IFNA(MATCH($B50,'DIVISION 15'!$A$16:$H$16,0),""),IFNA(MATCH($B50,'DIVISION 15'!$A$17:$H$17,0),""),IFNA(MATCH($B50,'DIVISION 15'!$A$18:$H$18,0),""))=3,'DIVISION 15'!$C$1,SUM(IFNA(MATCH($B50,'DIVISION 15'!$A$2:$H$2,0),""),IFNA(MATCH($B50,'DIVISION 15'!$A$3:$H$3,0),""),IFNA(MATCH($B50,'DIVISION 15'!$A$4:$H$4,0),""),IFNA(MATCH($B50,'DIVISION 15'!$A$5:$H$5,0),""),IFNA(MATCH($B50,'DIVISION 15'!$A$6:$H$6,0),""),IFNA(MATCH($B50,'DIVISION 15'!$A$7:$H$7,0),""),IFNA(MATCH($B50,'DIVISION 15'!$A$8:$H$8,0),""),IFNA(MATCH($B50,'DIVISION 15'!$A$9:$H$9,0),""),IFNA(MATCH($B50,'DIVISION 15'!$A$10:$H$10,0),""),IFNA(MATCH($B50,'DIVISION 15'!$A$11:$H$11,0),""),IFNA(MATCH($B50,'DIVISION 15'!$A$12:$H$12,0),""),IFNA(MATCH($B50,'DIVISION 15'!$A$13:$H$13,0),""),IFNA(MATCH($B50,'DIVISION 15'!$A$14:$H$14,0),""),IFNA(MATCH($B50,'DIVISION 15'!$A$15:$H$15,0),""),IFNA(MATCH($B50,'DIVISION 15'!$A$16:$H$16,0),""),IFNA(MATCH($B50,'DIVISION 15'!$A$17:$H$17,0),""),IFNA(MATCH($B50,'DIVISION 15'!$A$18:$H$18,0),""))=4,'DIVISION 15'!$D$1,SUM(IFNA(MATCH($B50,'DIVISION 15'!$A$2:$H$2,0),""),IFNA(MATCH($B50,'DIVISION 15'!$A$3:$H$3,0),""),IFNA(MATCH($B50,'DIVISION 15'!$A$4:$H$4,0),""),IFNA(MATCH($B50,'DIVISION 15'!$A$5:$H$5,0),""),IFNA(MATCH($B50,'DIVISION 15'!$A$6:$H$6,0),""),IFNA(MATCH($B50,'DIVISION 15'!$A$7:$H$7,0),""),IFNA(MATCH($B50,'DIVISION 15'!$A$8:$H$8,0),""),IFNA(MATCH($B50,'DIVISION 15'!$A$9:$H$9,0),""),IFNA(MATCH($B50,'DIVISION 15'!$A$10:$H$10,0),""),IFNA(MATCH($B50,'DIVISION 15'!$A$11:$H$11,0),""),IFNA(MATCH($B50,'DIVISION 15'!$A$12:$H$12,0),""),IFNA(MATCH($B50,'DIVISION 15'!$A$13:$H$13,0),""),IFNA(MATCH($B50,'DIVISION 15'!$A$14:$H$14,0),""),IFNA(MATCH($B50,'DIVISION 15'!$A$15:$H$15,0),""),IFNA(MATCH($B50,'DIVISION 15'!$A$16:$H$16,0),""),IFNA(MATCH($B50,'DIVISION 15'!$A$17:$H$17,0),""),IFNA(MATCH($B50,'DIVISION 15'!$A$18:$H$18,0),""))=5,'DIVISION 15'!$E$1,SUM(IFNA(MATCH($B50,'DIVISION 15'!$A$2:$H$2,0),""),IFNA(MATCH($B50,'DIVISION 15'!$A$3:$H$3,0),""),IFNA(MATCH($B50,'DIVISION 15'!$A$4:$H$4,0),""),IFNA(MATCH($B50,'DIVISION 15'!$A$5:$H$5,0),""),IFNA(MATCH($B50,'DIVISION 15'!$A$6:$H$6,0),""),IFNA(MATCH($B50,'DIVISION 15'!$A$7:$H$7,0),""),IFNA(MATCH($B50,'DIVISION 15'!$A$8:$H$8,0),""),IFNA(MATCH($B50,'DIVISION 15'!$A$9:$H$9,0),""),IFNA(MATCH($B50,'DIVISION 15'!$A$10:$H$10,0),""),IFNA(MATCH($B50,'DIVISION 15'!$A$11:$H$11,0),""),IFNA(MATCH($B50,'DIVISION 15'!$A$12:$H$12,0),""),IFNA(MATCH($B50,'DIVISION 15'!$A$13:$H$13,0),""),IFNA(MATCH($B50,'DIVISION 15'!$A$14:$H$14,0),""),IFNA(MATCH($B50,'DIVISION 15'!$A$15:$H$15,0),""),IFNA(MATCH($B50,'DIVISION 15'!$A$16:$H$16,0),""),IFNA(MATCH($B50,'DIVISION 15'!$A$17:$H$17,0),""),IFNA(MATCH($B50,'DIVISION 15'!$A$18:$H$18,0),""))=6,'DIVISION 15'!$F$1,SUM(IFNA(MATCH($B50,'DIVISION 15'!$A$2:$H$2,0),""),IFNA(MATCH($B50,'DIVISION 15'!$A$3:$H$3,0),""),IFNA(MATCH($B50,'DIVISION 15'!$A$4:$H$4,0),""),IFNA(MATCH($B50,'DIVISION 15'!$A$5:$H$5,0),""),IFNA(MATCH($B50,'DIVISION 15'!$A$6:$H$6,0),""),IFNA(MATCH($B50,'DIVISION 15'!$A$7:$H$7,0),""),IFNA(MATCH($B50,'DIVISION 15'!$A$8:$H$8,0),""),IFNA(MATCH($B50,'DIVISION 15'!$A$9:$H$9,0),""),IFNA(MATCH($B50,'DIVISION 15'!$A$10:$H$10,0),""),IFNA(MATCH($B50,'DIVISION 15'!$A$11:$H$11,0),""),IFNA(MATCH($B50,'DIVISION 15'!$A$12:$H$12,0),""),IFNA(MATCH($B50,'DIVISION 15'!$A$13:$H$13,0),""),IFNA(MATCH($B50,'DIVISION 15'!$A$14:$H$14,0),""),IFNA(MATCH($B50,'DIVISION 15'!$A$15:$H$15,0),""),IFNA(MATCH($B50,'DIVISION 15'!$A$16:$H$16,0),""),IFNA(MATCH($B50,'DIVISION 15'!$A$17:$H$17,0),""),IFNA(MATCH($B50,'DIVISION 15'!$A$18:$H$18,0),""))=7,'DIVISION 15'!$G$1,SUM(IFNA(MATCH($B50,'DIVISION 15'!$A$2:$H$2,0),""),IFNA(MATCH($B50,'DIVISION 15'!$A$3:$H$3,0),""),IFNA(MATCH($B50,'DIVISION 15'!$A$4:$H$4,0),""),IFNA(MATCH($B50,'DIVISION 15'!$A$5:$H$5,0),""),IFNA(MATCH($B50,'DIVISION 15'!$A$6:$H$6,0),""),IFNA(MATCH($B50,'DIVISION 15'!$A$7:$H$7,0),""),IFNA(MATCH($B50,'DIVISION 15'!$A$8:$H$8,0),""),IFNA(MATCH($B50,'DIVISION 15'!$A$9:$H$9,0),""),IFNA(MATCH($B50,'DIVISION 15'!$A$10:$H$10,0),""),IFNA(MATCH($B50,'DIVISION 15'!$A$11:$H$11,0),""),IFNA(MATCH($B50,'DIVISION 15'!$A$12:$H$12,0),""),IFNA(MATCH($B50,'DIVISION 15'!$A$13:$H$13,0),""),IFNA(MATCH($B50,'DIVISION 15'!$A$14:$H$14,0),""),IFNA(MATCH($B50,'DIVISION 15'!$A$15:$H$15,0),""),IFNA(MATCH($B50,'DIVISION 15'!$A$16:$H$16,0),""),IFNA(MATCH($B50,'DIVISION 15'!$A$17:$H$17,0),""),IFNA(MATCH($B50,'DIVISION 15'!$A$18:$H$18,0),""))=8,'DIVISION 15'!$H$1)</f>
        <v>MARTO</v>
      </c>
      <c r="U50" s="8" t="str">
        <f t="shared" si="2"/>
        <v>MARTO8</v>
      </c>
      <c r="V50" s="9">
        <f>SUMIF(AsistenciaViewJetAdmin!$A$3:$A$101,A50,AsistenciaViewJetAdmin!$C$3:$C$101)/(COUNTIF(AsistenciaViewJetAdmin!$D$102:V$102,"&gt;0")+COUNTIF(ActividadesEspeciales!$D$102:V$102,"&gt;0"))*100</f>
        <v>86.70212766</v>
      </c>
    </row>
    <row r="51" ht="28.5" customHeight="1">
      <c r="A51" s="3">
        <v>167.0</v>
      </c>
      <c r="B51" s="4" t="s">
        <v>442</v>
      </c>
      <c r="C51" s="5">
        <v>984203.0</v>
      </c>
      <c r="D51" s="7" t="s">
        <v>297</v>
      </c>
      <c r="E51" s="5">
        <v>4.9553387E7</v>
      </c>
      <c r="F51" s="5" t="s">
        <v>443</v>
      </c>
      <c r="G51" s="7">
        <v>1.126804272E9</v>
      </c>
      <c r="H51" s="5" t="s">
        <v>444</v>
      </c>
      <c r="I51" s="5" t="s">
        <v>445</v>
      </c>
      <c r="J51" s="7">
        <v>1.133061096E9</v>
      </c>
      <c r="K51" s="5" t="s">
        <v>446</v>
      </c>
      <c r="L51" s="5" t="s">
        <v>447</v>
      </c>
      <c r="M51" s="7">
        <v>1.137321103E9</v>
      </c>
      <c r="N51" s="5" t="s">
        <v>61</v>
      </c>
      <c r="O51" s="5" t="s">
        <v>120</v>
      </c>
      <c r="P51" s="5" t="s">
        <v>120</v>
      </c>
      <c r="Q51" s="5" t="s">
        <v>74</v>
      </c>
      <c r="R51" s="5" t="s">
        <v>31</v>
      </c>
      <c r="S51" s="5" t="s">
        <v>32</v>
      </c>
      <c r="T51" s="8" t="str">
        <f>IFS(SUM(IFNA(MATCH($B51,'DIVISION 15'!$A$2:$H$2,0),""),IFNA(MATCH($B51,'DIVISION 15'!$A$3:$H$3,0),""),IFNA(MATCH($B51,'DIVISION 15'!$A$4:$H$4,0),""),IFNA(MATCH($B51,'DIVISION 15'!$A$5:$H$5,0),""),IFNA(MATCH($B51,'DIVISION 15'!$A$6:$H$6,0),""),IFNA(MATCH($B51,'DIVISION 15'!$A$7:$H$7,0),""),IFNA(MATCH($B51,'DIVISION 15'!$A$8:$H$8,0),""),IFNA(MATCH($B51,'DIVISION 15'!$A$9:$H$9,0),""),IFNA(MATCH($B51,'DIVISION 15'!$A$10:$H$10,0),""),IFNA(MATCH($B51,'DIVISION 15'!$A$11:$H$11,0),""),IFNA(MATCH($B51,'DIVISION 15'!$A$12:$H$12,0),""),IFNA(MATCH($B51,'DIVISION 15'!$A$13:$H$13,0),""),IFNA(MATCH($B51,'DIVISION 15'!$A$14:$H$14,0),""),IFNA(MATCH($B51,'DIVISION 15'!$A$15:$H$15,0),""),IFNA(MATCH($B51,'DIVISION 15'!$A$16:$H$16,0),""),IFNA(MATCH($B51,'DIVISION 15'!$A$17:$H$17,0),""),IFNA(MATCH($B51,'DIVISION 15'!$A$18:$H$18,0),""))=1,'DIVISION 15'!$A$1,SUM(IFNA(MATCH($B51,'DIVISION 15'!$A$2:$H$2,0),""),IFNA(MATCH($B51,'DIVISION 15'!$A$3:$H$3,0),""),IFNA(MATCH($B51,'DIVISION 15'!$A$4:$H$4,0),""),IFNA(MATCH($B51,'DIVISION 15'!$A$5:$H$5,0),""),IFNA(MATCH($B51,'DIVISION 15'!$A$6:$H$6,0),""),IFNA(MATCH($B51,'DIVISION 15'!$A$7:$H$7,0),""),IFNA(MATCH($B51,'DIVISION 15'!$A$8:$H$8,0),""),IFNA(MATCH($B51,'DIVISION 15'!$A$9:$H$9,0),""),IFNA(MATCH($B51,'DIVISION 15'!$A$10:$H$10,0),""),IFNA(MATCH($B51,'DIVISION 15'!$A$11:$H$11,0),""),IFNA(MATCH($B51,'DIVISION 15'!$A$12:$H$12,0),""),IFNA(MATCH($B51,'DIVISION 15'!$A$13:$H$13,0),""),IFNA(MATCH($B51,'DIVISION 15'!$A$14:$H$14,0),""),IFNA(MATCH($B51,'DIVISION 15'!$A$15:$H$15,0),""),IFNA(MATCH($B51,'DIVISION 15'!$A$16:$H$16,0),""),IFNA(MATCH($B51,'DIVISION 15'!$A$17:$H$17,0),""),IFNA(MATCH($B51,'DIVISION 15'!$A$18:$H$18,0),""))=2,'DIVISION 15'!$B$1,SUM(IFNA(MATCH($B51,'DIVISION 15'!$A$2:$H$2,0),""),IFNA(MATCH($B51,'DIVISION 15'!$A$3:$H$3,0),""),IFNA(MATCH($B51,'DIVISION 15'!$A$4:$H$4,0),""),IFNA(MATCH($B51,'DIVISION 15'!$A$5:$H$5,0),""),IFNA(MATCH($B51,'DIVISION 15'!$A$6:$H$6,0),""),IFNA(MATCH($B51,'DIVISION 15'!$A$7:$H$7,0),""),IFNA(MATCH($B51,'DIVISION 15'!$A$8:$H$8,0),""),IFNA(MATCH($B51,'DIVISION 15'!$A$9:$H$9,0),""),IFNA(MATCH($B51,'DIVISION 15'!$A$10:$H$10,0),""),IFNA(MATCH($B51,'DIVISION 15'!$A$11:$H$11,0),""),IFNA(MATCH($B51,'DIVISION 15'!$A$12:$H$12,0),""),IFNA(MATCH($B51,'DIVISION 15'!$A$13:$H$13,0),""),IFNA(MATCH($B51,'DIVISION 15'!$A$14:$H$14,0),""),IFNA(MATCH($B51,'DIVISION 15'!$A$15:$H$15,0),""),IFNA(MATCH($B51,'DIVISION 15'!$A$16:$H$16,0),""),IFNA(MATCH($B51,'DIVISION 15'!$A$17:$H$17,0),""),IFNA(MATCH($B51,'DIVISION 15'!$A$18:$H$18,0),""))=3,'DIVISION 15'!$C$1,SUM(IFNA(MATCH($B51,'DIVISION 15'!$A$2:$H$2,0),""),IFNA(MATCH($B51,'DIVISION 15'!$A$3:$H$3,0),""),IFNA(MATCH($B51,'DIVISION 15'!$A$4:$H$4,0),""),IFNA(MATCH($B51,'DIVISION 15'!$A$5:$H$5,0),""),IFNA(MATCH($B51,'DIVISION 15'!$A$6:$H$6,0),""),IFNA(MATCH($B51,'DIVISION 15'!$A$7:$H$7,0),""),IFNA(MATCH($B51,'DIVISION 15'!$A$8:$H$8,0),""),IFNA(MATCH($B51,'DIVISION 15'!$A$9:$H$9,0),""),IFNA(MATCH($B51,'DIVISION 15'!$A$10:$H$10,0),""),IFNA(MATCH($B51,'DIVISION 15'!$A$11:$H$11,0),""),IFNA(MATCH($B51,'DIVISION 15'!$A$12:$H$12,0),""),IFNA(MATCH($B51,'DIVISION 15'!$A$13:$H$13,0),""),IFNA(MATCH($B51,'DIVISION 15'!$A$14:$H$14,0),""),IFNA(MATCH($B51,'DIVISION 15'!$A$15:$H$15,0),""),IFNA(MATCH($B51,'DIVISION 15'!$A$16:$H$16,0),""),IFNA(MATCH($B51,'DIVISION 15'!$A$17:$H$17,0),""),IFNA(MATCH($B51,'DIVISION 15'!$A$18:$H$18,0),""))=4,'DIVISION 15'!$D$1,SUM(IFNA(MATCH($B51,'DIVISION 15'!$A$2:$H$2,0),""),IFNA(MATCH($B51,'DIVISION 15'!$A$3:$H$3,0),""),IFNA(MATCH($B51,'DIVISION 15'!$A$4:$H$4,0),""),IFNA(MATCH($B51,'DIVISION 15'!$A$5:$H$5,0),""),IFNA(MATCH($B51,'DIVISION 15'!$A$6:$H$6,0),""),IFNA(MATCH($B51,'DIVISION 15'!$A$7:$H$7,0),""),IFNA(MATCH($B51,'DIVISION 15'!$A$8:$H$8,0),""),IFNA(MATCH($B51,'DIVISION 15'!$A$9:$H$9,0),""),IFNA(MATCH($B51,'DIVISION 15'!$A$10:$H$10,0),""),IFNA(MATCH($B51,'DIVISION 15'!$A$11:$H$11,0),""),IFNA(MATCH($B51,'DIVISION 15'!$A$12:$H$12,0),""),IFNA(MATCH($B51,'DIVISION 15'!$A$13:$H$13,0),""),IFNA(MATCH($B51,'DIVISION 15'!$A$14:$H$14,0),""),IFNA(MATCH($B51,'DIVISION 15'!$A$15:$H$15,0),""),IFNA(MATCH($B51,'DIVISION 15'!$A$16:$H$16,0),""),IFNA(MATCH($B51,'DIVISION 15'!$A$17:$H$17,0),""),IFNA(MATCH($B51,'DIVISION 15'!$A$18:$H$18,0),""))=5,'DIVISION 15'!$E$1,SUM(IFNA(MATCH($B51,'DIVISION 15'!$A$2:$H$2,0),""),IFNA(MATCH($B51,'DIVISION 15'!$A$3:$H$3,0),""),IFNA(MATCH($B51,'DIVISION 15'!$A$4:$H$4,0),""),IFNA(MATCH($B51,'DIVISION 15'!$A$5:$H$5,0),""),IFNA(MATCH($B51,'DIVISION 15'!$A$6:$H$6,0),""),IFNA(MATCH($B51,'DIVISION 15'!$A$7:$H$7,0),""),IFNA(MATCH($B51,'DIVISION 15'!$A$8:$H$8,0),""),IFNA(MATCH($B51,'DIVISION 15'!$A$9:$H$9,0),""),IFNA(MATCH($B51,'DIVISION 15'!$A$10:$H$10,0),""),IFNA(MATCH($B51,'DIVISION 15'!$A$11:$H$11,0),""),IFNA(MATCH($B51,'DIVISION 15'!$A$12:$H$12,0),""),IFNA(MATCH($B51,'DIVISION 15'!$A$13:$H$13,0),""),IFNA(MATCH($B51,'DIVISION 15'!$A$14:$H$14,0),""),IFNA(MATCH($B51,'DIVISION 15'!$A$15:$H$15,0),""),IFNA(MATCH($B51,'DIVISION 15'!$A$16:$H$16,0),""),IFNA(MATCH($B51,'DIVISION 15'!$A$17:$H$17,0),""),IFNA(MATCH($B51,'DIVISION 15'!$A$18:$H$18,0),""))=6,'DIVISION 15'!$F$1,SUM(IFNA(MATCH($B51,'DIVISION 15'!$A$2:$H$2,0),""),IFNA(MATCH($B51,'DIVISION 15'!$A$3:$H$3,0),""),IFNA(MATCH($B51,'DIVISION 15'!$A$4:$H$4,0),""),IFNA(MATCH($B51,'DIVISION 15'!$A$5:$H$5,0),""),IFNA(MATCH($B51,'DIVISION 15'!$A$6:$H$6,0),""),IFNA(MATCH($B51,'DIVISION 15'!$A$7:$H$7,0),""),IFNA(MATCH($B51,'DIVISION 15'!$A$8:$H$8,0),""),IFNA(MATCH($B51,'DIVISION 15'!$A$9:$H$9,0),""),IFNA(MATCH($B51,'DIVISION 15'!$A$10:$H$10,0),""),IFNA(MATCH($B51,'DIVISION 15'!$A$11:$H$11,0),""),IFNA(MATCH($B51,'DIVISION 15'!$A$12:$H$12,0),""),IFNA(MATCH($B51,'DIVISION 15'!$A$13:$H$13,0),""),IFNA(MATCH($B51,'DIVISION 15'!$A$14:$H$14,0),""),IFNA(MATCH($B51,'DIVISION 15'!$A$15:$H$15,0),""),IFNA(MATCH($B51,'DIVISION 15'!$A$16:$H$16,0),""),IFNA(MATCH($B51,'DIVISION 15'!$A$17:$H$17,0),""),IFNA(MATCH($B51,'DIVISION 15'!$A$18:$H$18,0),""))=7,'DIVISION 15'!$G$1,SUM(IFNA(MATCH($B51,'DIVISION 15'!$A$2:$H$2,0),""),IFNA(MATCH($B51,'DIVISION 15'!$A$3:$H$3,0),""),IFNA(MATCH($B51,'DIVISION 15'!$A$4:$H$4,0),""),IFNA(MATCH($B51,'DIVISION 15'!$A$5:$H$5,0),""),IFNA(MATCH($B51,'DIVISION 15'!$A$6:$H$6,0),""),IFNA(MATCH($B51,'DIVISION 15'!$A$7:$H$7,0),""),IFNA(MATCH($B51,'DIVISION 15'!$A$8:$H$8,0),""),IFNA(MATCH($B51,'DIVISION 15'!$A$9:$H$9,0),""),IFNA(MATCH($B51,'DIVISION 15'!$A$10:$H$10,0),""),IFNA(MATCH($B51,'DIVISION 15'!$A$11:$H$11,0),""),IFNA(MATCH($B51,'DIVISION 15'!$A$12:$H$12,0),""),IFNA(MATCH($B51,'DIVISION 15'!$A$13:$H$13,0),""),IFNA(MATCH($B51,'DIVISION 15'!$A$14:$H$14,0),""),IFNA(MATCH($B51,'DIVISION 15'!$A$15:$H$15,0),""),IFNA(MATCH($B51,'DIVISION 15'!$A$16:$H$16,0),""),IFNA(MATCH($B51,'DIVISION 15'!$A$17:$H$17,0),""),IFNA(MATCH($B51,'DIVISION 15'!$A$18:$H$18,0),""))=8,'DIVISION 15'!$H$1)</f>
        <v>MELU</v>
      </c>
      <c r="U51" s="8" t="str">
        <f t="shared" si="2"/>
        <v>MELU8</v>
      </c>
      <c r="V51" s="9">
        <f>SUMIF(AsistenciaViewJetAdmin!$A$3:$A$101,A51,AsistenciaViewJetAdmin!$C$3:$C$101)/(COUNTIF(AsistenciaViewJetAdmin!$D$102:V$102,"&gt;0")+COUNTIF(ActividadesEspeciales!$D$102:V$102,"&gt;0"))*100</f>
        <v>89.89361702</v>
      </c>
    </row>
    <row r="52" ht="28.5" customHeight="1">
      <c r="A52" s="3">
        <v>144.0</v>
      </c>
      <c r="B52" s="4" t="s">
        <v>448</v>
      </c>
      <c r="C52" s="5">
        <v>1053202.0</v>
      </c>
      <c r="D52" s="7" t="s">
        <v>449</v>
      </c>
      <c r="E52" s="5">
        <v>4.9926655E7</v>
      </c>
      <c r="F52" s="5" t="s">
        <v>450</v>
      </c>
      <c r="G52" s="7">
        <v>6.5793295E7</v>
      </c>
      <c r="H52" s="5" t="s">
        <v>451</v>
      </c>
      <c r="I52" s="5" t="s">
        <v>452</v>
      </c>
      <c r="J52" s="7">
        <v>1.545393608E9</v>
      </c>
      <c r="K52" s="5" t="s">
        <v>453</v>
      </c>
      <c r="L52" s="5" t="s">
        <v>454</v>
      </c>
      <c r="M52" s="7">
        <v>1.545326757E9</v>
      </c>
      <c r="N52" s="5" t="s">
        <v>145</v>
      </c>
      <c r="O52" s="5" t="s">
        <v>455</v>
      </c>
      <c r="P52" s="5" t="s">
        <v>42</v>
      </c>
      <c r="Q52" s="5" t="s">
        <v>30</v>
      </c>
      <c r="R52" s="5" t="s">
        <v>31</v>
      </c>
      <c r="S52" s="5" t="s">
        <v>32</v>
      </c>
      <c r="T52" s="8" t="str">
        <f>IFS(SUM(IFNA(MATCH($B52,'DIVISION 15'!$A$2:$H$2,0),""),IFNA(MATCH($B52,'DIVISION 15'!$A$3:$H$3,0),""),IFNA(MATCH($B52,'DIVISION 15'!$A$4:$H$4,0),""),IFNA(MATCH($B52,'DIVISION 15'!$A$5:$H$5,0),""),IFNA(MATCH($B52,'DIVISION 15'!$A$6:$H$6,0),""),IFNA(MATCH($B52,'DIVISION 15'!$A$7:$H$7,0),""),IFNA(MATCH($B52,'DIVISION 15'!$A$8:$H$8,0),""),IFNA(MATCH($B52,'DIVISION 15'!$A$9:$H$9,0),""),IFNA(MATCH($B52,'DIVISION 15'!$A$10:$H$10,0),""),IFNA(MATCH($B52,'DIVISION 15'!$A$11:$H$11,0),""),IFNA(MATCH($B52,'DIVISION 15'!$A$12:$H$12,0),""),IFNA(MATCH($B52,'DIVISION 15'!$A$13:$H$13,0),""),IFNA(MATCH($B52,'DIVISION 15'!$A$14:$H$14,0),""),IFNA(MATCH($B52,'DIVISION 15'!$A$15:$H$15,0),""),IFNA(MATCH($B52,'DIVISION 15'!$A$16:$H$16,0),""),IFNA(MATCH($B52,'DIVISION 15'!$A$17:$H$17,0),""),IFNA(MATCH($B52,'DIVISION 15'!$A$18:$H$18,0),""))=1,'DIVISION 15'!$A$1,SUM(IFNA(MATCH($B52,'DIVISION 15'!$A$2:$H$2,0),""),IFNA(MATCH($B52,'DIVISION 15'!$A$3:$H$3,0),""),IFNA(MATCH($B52,'DIVISION 15'!$A$4:$H$4,0),""),IFNA(MATCH($B52,'DIVISION 15'!$A$5:$H$5,0),""),IFNA(MATCH($B52,'DIVISION 15'!$A$6:$H$6,0),""),IFNA(MATCH($B52,'DIVISION 15'!$A$7:$H$7,0),""),IFNA(MATCH($B52,'DIVISION 15'!$A$8:$H$8,0),""),IFNA(MATCH($B52,'DIVISION 15'!$A$9:$H$9,0),""),IFNA(MATCH($B52,'DIVISION 15'!$A$10:$H$10,0),""),IFNA(MATCH($B52,'DIVISION 15'!$A$11:$H$11,0),""),IFNA(MATCH($B52,'DIVISION 15'!$A$12:$H$12,0),""),IFNA(MATCH($B52,'DIVISION 15'!$A$13:$H$13,0),""),IFNA(MATCH($B52,'DIVISION 15'!$A$14:$H$14,0),""),IFNA(MATCH($B52,'DIVISION 15'!$A$15:$H$15,0),""),IFNA(MATCH($B52,'DIVISION 15'!$A$16:$H$16,0),""),IFNA(MATCH($B52,'DIVISION 15'!$A$17:$H$17,0),""),IFNA(MATCH($B52,'DIVISION 15'!$A$18:$H$18,0),""))=2,'DIVISION 15'!$B$1,SUM(IFNA(MATCH($B52,'DIVISION 15'!$A$2:$H$2,0),""),IFNA(MATCH($B52,'DIVISION 15'!$A$3:$H$3,0),""),IFNA(MATCH($B52,'DIVISION 15'!$A$4:$H$4,0),""),IFNA(MATCH($B52,'DIVISION 15'!$A$5:$H$5,0),""),IFNA(MATCH($B52,'DIVISION 15'!$A$6:$H$6,0),""),IFNA(MATCH($B52,'DIVISION 15'!$A$7:$H$7,0),""),IFNA(MATCH($B52,'DIVISION 15'!$A$8:$H$8,0),""),IFNA(MATCH($B52,'DIVISION 15'!$A$9:$H$9,0),""),IFNA(MATCH($B52,'DIVISION 15'!$A$10:$H$10,0),""),IFNA(MATCH($B52,'DIVISION 15'!$A$11:$H$11,0),""),IFNA(MATCH($B52,'DIVISION 15'!$A$12:$H$12,0),""),IFNA(MATCH($B52,'DIVISION 15'!$A$13:$H$13,0),""),IFNA(MATCH($B52,'DIVISION 15'!$A$14:$H$14,0),""),IFNA(MATCH($B52,'DIVISION 15'!$A$15:$H$15,0),""),IFNA(MATCH($B52,'DIVISION 15'!$A$16:$H$16,0),""),IFNA(MATCH($B52,'DIVISION 15'!$A$17:$H$17,0),""),IFNA(MATCH($B52,'DIVISION 15'!$A$18:$H$18,0),""))=3,'DIVISION 15'!$C$1,SUM(IFNA(MATCH($B52,'DIVISION 15'!$A$2:$H$2,0),""),IFNA(MATCH($B52,'DIVISION 15'!$A$3:$H$3,0),""),IFNA(MATCH($B52,'DIVISION 15'!$A$4:$H$4,0),""),IFNA(MATCH($B52,'DIVISION 15'!$A$5:$H$5,0),""),IFNA(MATCH($B52,'DIVISION 15'!$A$6:$H$6,0),""),IFNA(MATCH($B52,'DIVISION 15'!$A$7:$H$7,0),""),IFNA(MATCH($B52,'DIVISION 15'!$A$8:$H$8,0),""),IFNA(MATCH($B52,'DIVISION 15'!$A$9:$H$9,0),""),IFNA(MATCH($B52,'DIVISION 15'!$A$10:$H$10,0),""),IFNA(MATCH($B52,'DIVISION 15'!$A$11:$H$11,0),""),IFNA(MATCH($B52,'DIVISION 15'!$A$12:$H$12,0),""),IFNA(MATCH($B52,'DIVISION 15'!$A$13:$H$13,0),""),IFNA(MATCH($B52,'DIVISION 15'!$A$14:$H$14,0),""),IFNA(MATCH($B52,'DIVISION 15'!$A$15:$H$15,0),""),IFNA(MATCH($B52,'DIVISION 15'!$A$16:$H$16,0),""),IFNA(MATCH($B52,'DIVISION 15'!$A$17:$H$17,0),""),IFNA(MATCH($B52,'DIVISION 15'!$A$18:$H$18,0),""))=4,'DIVISION 15'!$D$1,SUM(IFNA(MATCH($B52,'DIVISION 15'!$A$2:$H$2,0),""),IFNA(MATCH($B52,'DIVISION 15'!$A$3:$H$3,0),""),IFNA(MATCH($B52,'DIVISION 15'!$A$4:$H$4,0),""),IFNA(MATCH($B52,'DIVISION 15'!$A$5:$H$5,0),""),IFNA(MATCH($B52,'DIVISION 15'!$A$6:$H$6,0),""),IFNA(MATCH($B52,'DIVISION 15'!$A$7:$H$7,0),""),IFNA(MATCH($B52,'DIVISION 15'!$A$8:$H$8,0),""),IFNA(MATCH($B52,'DIVISION 15'!$A$9:$H$9,0),""),IFNA(MATCH($B52,'DIVISION 15'!$A$10:$H$10,0),""),IFNA(MATCH($B52,'DIVISION 15'!$A$11:$H$11,0),""),IFNA(MATCH($B52,'DIVISION 15'!$A$12:$H$12,0),""),IFNA(MATCH($B52,'DIVISION 15'!$A$13:$H$13,0),""),IFNA(MATCH($B52,'DIVISION 15'!$A$14:$H$14,0),""),IFNA(MATCH($B52,'DIVISION 15'!$A$15:$H$15,0),""),IFNA(MATCH($B52,'DIVISION 15'!$A$16:$H$16,0),""),IFNA(MATCH($B52,'DIVISION 15'!$A$17:$H$17,0),""),IFNA(MATCH($B52,'DIVISION 15'!$A$18:$H$18,0),""))=5,'DIVISION 15'!$E$1,SUM(IFNA(MATCH($B52,'DIVISION 15'!$A$2:$H$2,0),""),IFNA(MATCH($B52,'DIVISION 15'!$A$3:$H$3,0),""),IFNA(MATCH($B52,'DIVISION 15'!$A$4:$H$4,0),""),IFNA(MATCH($B52,'DIVISION 15'!$A$5:$H$5,0),""),IFNA(MATCH($B52,'DIVISION 15'!$A$6:$H$6,0),""),IFNA(MATCH($B52,'DIVISION 15'!$A$7:$H$7,0),""),IFNA(MATCH($B52,'DIVISION 15'!$A$8:$H$8,0),""),IFNA(MATCH($B52,'DIVISION 15'!$A$9:$H$9,0),""),IFNA(MATCH($B52,'DIVISION 15'!$A$10:$H$10,0),""),IFNA(MATCH($B52,'DIVISION 15'!$A$11:$H$11,0),""),IFNA(MATCH($B52,'DIVISION 15'!$A$12:$H$12,0),""),IFNA(MATCH($B52,'DIVISION 15'!$A$13:$H$13,0),""),IFNA(MATCH($B52,'DIVISION 15'!$A$14:$H$14,0),""),IFNA(MATCH($B52,'DIVISION 15'!$A$15:$H$15,0),""),IFNA(MATCH($B52,'DIVISION 15'!$A$16:$H$16,0),""),IFNA(MATCH($B52,'DIVISION 15'!$A$17:$H$17,0),""),IFNA(MATCH($B52,'DIVISION 15'!$A$18:$H$18,0),""))=6,'DIVISION 15'!$F$1,SUM(IFNA(MATCH($B52,'DIVISION 15'!$A$2:$H$2,0),""),IFNA(MATCH($B52,'DIVISION 15'!$A$3:$H$3,0),""),IFNA(MATCH($B52,'DIVISION 15'!$A$4:$H$4,0),""),IFNA(MATCH($B52,'DIVISION 15'!$A$5:$H$5,0),""),IFNA(MATCH($B52,'DIVISION 15'!$A$6:$H$6,0),""),IFNA(MATCH($B52,'DIVISION 15'!$A$7:$H$7,0),""),IFNA(MATCH($B52,'DIVISION 15'!$A$8:$H$8,0),""),IFNA(MATCH($B52,'DIVISION 15'!$A$9:$H$9,0),""),IFNA(MATCH($B52,'DIVISION 15'!$A$10:$H$10,0),""),IFNA(MATCH($B52,'DIVISION 15'!$A$11:$H$11,0),""),IFNA(MATCH($B52,'DIVISION 15'!$A$12:$H$12,0),""),IFNA(MATCH($B52,'DIVISION 15'!$A$13:$H$13,0),""),IFNA(MATCH($B52,'DIVISION 15'!$A$14:$H$14,0),""),IFNA(MATCH($B52,'DIVISION 15'!$A$15:$H$15,0),""),IFNA(MATCH($B52,'DIVISION 15'!$A$16:$H$16,0),""),IFNA(MATCH($B52,'DIVISION 15'!$A$17:$H$17,0),""),IFNA(MATCH($B52,'DIVISION 15'!$A$18:$H$18,0),""))=7,'DIVISION 15'!$G$1,SUM(IFNA(MATCH($B52,'DIVISION 15'!$A$2:$H$2,0),""),IFNA(MATCH($B52,'DIVISION 15'!$A$3:$H$3,0),""),IFNA(MATCH($B52,'DIVISION 15'!$A$4:$H$4,0),""),IFNA(MATCH($B52,'DIVISION 15'!$A$5:$H$5,0),""),IFNA(MATCH($B52,'DIVISION 15'!$A$6:$H$6,0),""),IFNA(MATCH($B52,'DIVISION 15'!$A$7:$H$7,0),""),IFNA(MATCH($B52,'DIVISION 15'!$A$8:$H$8,0),""),IFNA(MATCH($B52,'DIVISION 15'!$A$9:$H$9,0),""),IFNA(MATCH($B52,'DIVISION 15'!$A$10:$H$10,0),""),IFNA(MATCH($B52,'DIVISION 15'!$A$11:$H$11,0),""),IFNA(MATCH($B52,'DIVISION 15'!$A$12:$H$12,0),""),IFNA(MATCH($B52,'DIVISION 15'!$A$13:$H$13,0),""),IFNA(MATCH($B52,'DIVISION 15'!$A$14:$H$14,0),""),IFNA(MATCH($B52,'DIVISION 15'!$A$15:$H$15,0),""),IFNA(MATCH($B52,'DIVISION 15'!$A$16:$H$16,0),""),IFNA(MATCH($B52,'DIVISION 15'!$A$17:$H$17,0),""),IFNA(MATCH($B52,'DIVISION 15'!$A$18:$H$18,0),""))=8,'DIVISION 15'!$H$1)</f>
        <v>MARTO</v>
      </c>
      <c r="U52" s="8" t="str">
        <f t="shared" si="2"/>
        <v>MARTO9</v>
      </c>
      <c r="V52" s="9">
        <f>SUMIF(AsistenciaViewJetAdmin!$A$3:$A$101,A52,AsistenciaViewJetAdmin!$C$3:$C$101)/(COUNTIF(AsistenciaViewJetAdmin!$D$102:V$102,"&gt;0")+COUNTIF(ActividadesEspeciales!$D$102:V$102,"&gt;0"))*100</f>
        <v>69.68085106</v>
      </c>
    </row>
    <row r="53" ht="28.5" customHeight="1">
      <c r="A53" s="3">
        <v>158.0</v>
      </c>
      <c r="B53" s="4" t="s">
        <v>456</v>
      </c>
      <c r="C53" s="5">
        <v>956503.0</v>
      </c>
      <c r="D53" s="7" t="s">
        <v>457</v>
      </c>
      <c r="E53" s="5">
        <v>4.987594E7</v>
      </c>
      <c r="F53" s="5" t="s">
        <v>458</v>
      </c>
      <c r="G53" s="7">
        <v>5.9963649E7</v>
      </c>
      <c r="H53" s="5" t="s">
        <v>459</v>
      </c>
      <c r="I53" s="5" t="s">
        <v>460</v>
      </c>
      <c r="J53" s="7">
        <v>3.6926442E7</v>
      </c>
      <c r="K53" s="5" t="s">
        <v>461</v>
      </c>
      <c r="L53" s="5" t="s">
        <v>462</v>
      </c>
      <c r="M53" s="7">
        <v>3.6926441E7</v>
      </c>
      <c r="N53" s="5" t="s">
        <v>264</v>
      </c>
      <c r="O53" s="5" t="s">
        <v>120</v>
      </c>
      <c r="P53" s="5" t="s">
        <v>42</v>
      </c>
      <c r="Q53" s="5" t="s">
        <v>74</v>
      </c>
      <c r="R53" s="5" t="s">
        <v>31</v>
      </c>
      <c r="S53" s="5" t="s">
        <v>32</v>
      </c>
      <c r="T53" s="8" t="str">
        <f>IFS(SUM(IFNA(MATCH($B53,'DIVISION 15'!$A$2:$H$2,0),""),IFNA(MATCH($B53,'DIVISION 15'!$A$3:$H$3,0),""),IFNA(MATCH($B53,'DIVISION 15'!$A$4:$H$4,0),""),IFNA(MATCH($B53,'DIVISION 15'!$A$5:$H$5,0),""),IFNA(MATCH($B53,'DIVISION 15'!$A$6:$H$6,0),""),IFNA(MATCH($B53,'DIVISION 15'!$A$7:$H$7,0),""),IFNA(MATCH($B53,'DIVISION 15'!$A$8:$H$8,0),""),IFNA(MATCH($B53,'DIVISION 15'!$A$9:$H$9,0),""),IFNA(MATCH($B53,'DIVISION 15'!$A$10:$H$10,0),""),IFNA(MATCH($B53,'DIVISION 15'!$A$11:$H$11,0),""),IFNA(MATCH($B53,'DIVISION 15'!$A$12:$H$12,0),""),IFNA(MATCH($B53,'DIVISION 15'!$A$13:$H$13,0),""),IFNA(MATCH($B53,'DIVISION 15'!$A$14:$H$14,0),""),IFNA(MATCH($B53,'DIVISION 15'!$A$15:$H$15,0),""),IFNA(MATCH($B53,'DIVISION 15'!$A$16:$H$16,0),""),IFNA(MATCH($B53,'DIVISION 15'!$A$17:$H$17,0),""),IFNA(MATCH($B53,'DIVISION 15'!$A$18:$H$18,0),""))=1,'DIVISION 15'!$A$1,SUM(IFNA(MATCH($B53,'DIVISION 15'!$A$2:$H$2,0),""),IFNA(MATCH($B53,'DIVISION 15'!$A$3:$H$3,0),""),IFNA(MATCH($B53,'DIVISION 15'!$A$4:$H$4,0),""),IFNA(MATCH($B53,'DIVISION 15'!$A$5:$H$5,0),""),IFNA(MATCH($B53,'DIVISION 15'!$A$6:$H$6,0),""),IFNA(MATCH($B53,'DIVISION 15'!$A$7:$H$7,0),""),IFNA(MATCH($B53,'DIVISION 15'!$A$8:$H$8,0),""),IFNA(MATCH($B53,'DIVISION 15'!$A$9:$H$9,0),""),IFNA(MATCH($B53,'DIVISION 15'!$A$10:$H$10,0),""),IFNA(MATCH($B53,'DIVISION 15'!$A$11:$H$11,0),""),IFNA(MATCH($B53,'DIVISION 15'!$A$12:$H$12,0),""),IFNA(MATCH($B53,'DIVISION 15'!$A$13:$H$13,0),""),IFNA(MATCH($B53,'DIVISION 15'!$A$14:$H$14,0),""),IFNA(MATCH($B53,'DIVISION 15'!$A$15:$H$15,0),""),IFNA(MATCH($B53,'DIVISION 15'!$A$16:$H$16,0),""),IFNA(MATCH($B53,'DIVISION 15'!$A$17:$H$17,0),""),IFNA(MATCH($B53,'DIVISION 15'!$A$18:$H$18,0),""))=2,'DIVISION 15'!$B$1,SUM(IFNA(MATCH($B53,'DIVISION 15'!$A$2:$H$2,0),""),IFNA(MATCH($B53,'DIVISION 15'!$A$3:$H$3,0),""),IFNA(MATCH($B53,'DIVISION 15'!$A$4:$H$4,0),""),IFNA(MATCH($B53,'DIVISION 15'!$A$5:$H$5,0),""),IFNA(MATCH($B53,'DIVISION 15'!$A$6:$H$6,0),""),IFNA(MATCH($B53,'DIVISION 15'!$A$7:$H$7,0),""),IFNA(MATCH($B53,'DIVISION 15'!$A$8:$H$8,0),""),IFNA(MATCH($B53,'DIVISION 15'!$A$9:$H$9,0),""),IFNA(MATCH($B53,'DIVISION 15'!$A$10:$H$10,0),""),IFNA(MATCH($B53,'DIVISION 15'!$A$11:$H$11,0),""),IFNA(MATCH($B53,'DIVISION 15'!$A$12:$H$12,0),""),IFNA(MATCH($B53,'DIVISION 15'!$A$13:$H$13,0),""),IFNA(MATCH($B53,'DIVISION 15'!$A$14:$H$14,0),""),IFNA(MATCH($B53,'DIVISION 15'!$A$15:$H$15,0),""),IFNA(MATCH($B53,'DIVISION 15'!$A$16:$H$16,0),""),IFNA(MATCH($B53,'DIVISION 15'!$A$17:$H$17,0),""),IFNA(MATCH($B53,'DIVISION 15'!$A$18:$H$18,0),""))=3,'DIVISION 15'!$C$1,SUM(IFNA(MATCH($B53,'DIVISION 15'!$A$2:$H$2,0),""),IFNA(MATCH($B53,'DIVISION 15'!$A$3:$H$3,0),""),IFNA(MATCH($B53,'DIVISION 15'!$A$4:$H$4,0),""),IFNA(MATCH($B53,'DIVISION 15'!$A$5:$H$5,0),""),IFNA(MATCH($B53,'DIVISION 15'!$A$6:$H$6,0),""),IFNA(MATCH($B53,'DIVISION 15'!$A$7:$H$7,0),""),IFNA(MATCH($B53,'DIVISION 15'!$A$8:$H$8,0),""),IFNA(MATCH($B53,'DIVISION 15'!$A$9:$H$9,0),""),IFNA(MATCH($B53,'DIVISION 15'!$A$10:$H$10,0),""),IFNA(MATCH($B53,'DIVISION 15'!$A$11:$H$11,0),""),IFNA(MATCH($B53,'DIVISION 15'!$A$12:$H$12,0),""),IFNA(MATCH($B53,'DIVISION 15'!$A$13:$H$13,0),""),IFNA(MATCH($B53,'DIVISION 15'!$A$14:$H$14,0),""),IFNA(MATCH($B53,'DIVISION 15'!$A$15:$H$15,0),""),IFNA(MATCH($B53,'DIVISION 15'!$A$16:$H$16,0),""),IFNA(MATCH($B53,'DIVISION 15'!$A$17:$H$17,0),""),IFNA(MATCH($B53,'DIVISION 15'!$A$18:$H$18,0),""))=4,'DIVISION 15'!$D$1,SUM(IFNA(MATCH($B53,'DIVISION 15'!$A$2:$H$2,0),""),IFNA(MATCH($B53,'DIVISION 15'!$A$3:$H$3,0),""),IFNA(MATCH($B53,'DIVISION 15'!$A$4:$H$4,0),""),IFNA(MATCH($B53,'DIVISION 15'!$A$5:$H$5,0),""),IFNA(MATCH($B53,'DIVISION 15'!$A$6:$H$6,0),""),IFNA(MATCH($B53,'DIVISION 15'!$A$7:$H$7,0),""),IFNA(MATCH($B53,'DIVISION 15'!$A$8:$H$8,0),""),IFNA(MATCH($B53,'DIVISION 15'!$A$9:$H$9,0),""),IFNA(MATCH($B53,'DIVISION 15'!$A$10:$H$10,0),""),IFNA(MATCH($B53,'DIVISION 15'!$A$11:$H$11,0),""),IFNA(MATCH($B53,'DIVISION 15'!$A$12:$H$12,0),""),IFNA(MATCH($B53,'DIVISION 15'!$A$13:$H$13,0),""),IFNA(MATCH($B53,'DIVISION 15'!$A$14:$H$14,0),""),IFNA(MATCH($B53,'DIVISION 15'!$A$15:$H$15,0),""),IFNA(MATCH($B53,'DIVISION 15'!$A$16:$H$16,0),""),IFNA(MATCH($B53,'DIVISION 15'!$A$17:$H$17,0),""),IFNA(MATCH($B53,'DIVISION 15'!$A$18:$H$18,0),""))=5,'DIVISION 15'!$E$1,SUM(IFNA(MATCH($B53,'DIVISION 15'!$A$2:$H$2,0),""),IFNA(MATCH($B53,'DIVISION 15'!$A$3:$H$3,0),""),IFNA(MATCH($B53,'DIVISION 15'!$A$4:$H$4,0),""),IFNA(MATCH($B53,'DIVISION 15'!$A$5:$H$5,0),""),IFNA(MATCH($B53,'DIVISION 15'!$A$6:$H$6,0),""),IFNA(MATCH($B53,'DIVISION 15'!$A$7:$H$7,0),""),IFNA(MATCH($B53,'DIVISION 15'!$A$8:$H$8,0),""),IFNA(MATCH($B53,'DIVISION 15'!$A$9:$H$9,0),""),IFNA(MATCH($B53,'DIVISION 15'!$A$10:$H$10,0),""),IFNA(MATCH($B53,'DIVISION 15'!$A$11:$H$11,0),""),IFNA(MATCH($B53,'DIVISION 15'!$A$12:$H$12,0),""),IFNA(MATCH($B53,'DIVISION 15'!$A$13:$H$13,0),""),IFNA(MATCH($B53,'DIVISION 15'!$A$14:$H$14,0),""),IFNA(MATCH($B53,'DIVISION 15'!$A$15:$H$15,0),""),IFNA(MATCH($B53,'DIVISION 15'!$A$16:$H$16,0),""),IFNA(MATCH($B53,'DIVISION 15'!$A$17:$H$17,0),""),IFNA(MATCH($B53,'DIVISION 15'!$A$18:$H$18,0),""))=6,'DIVISION 15'!$F$1,SUM(IFNA(MATCH($B53,'DIVISION 15'!$A$2:$H$2,0),""),IFNA(MATCH($B53,'DIVISION 15'!$A$3:$H$3,0),""),IFNA(MATCH($B53,'DIVISION 15'!$A$4:$H$4,0),""),IFNA(MATCH($B53,'DIVISION 15'!$A$5:$H$5,0),""),IFNA(MATCH($B53,'DIVISION 15'!$A$6:$H$6,0),""),IFNA(MATCH($B53,'DIVISION 15'!$A$7:$H$7,0),""),IFNA(MATCH($B53,'DIVISION 15'!$A$8:$H$8,0),""),IFNA(MATCH($B53,'DIVISION 15'!$A$9:$H$9,0),""),IFNA(MATCH($B53,'DIVISION 15'!$A$10:$H$10,0),""),IFNA(MATCH($B53,'DIVISION 15'!$A$11:$H$11,0),""),IFNA(MATCH($B53,'DIVISION 15'!$A$12:$H$12,0),""),IFNA(MATCH($B53,'DIVISION 15'!$A$13:$H$13,0),""),IFNA(MATCH($B53,'DIVISION 15'!$A$14:$H$14,0),""),IFNA(MATCH($B53,'DIVISION 15'!$A$15:$H$15,0),""),IFNA(MATCH($B53,'DIVISION 15'!$A$16:$H$16,0),""),IFNA(MATCH($B53,'DIVISION 15'!$A$17:$H$17,0),""),IFNA(MATCH($B53,'DIVISION 15'!$A$18:$H$18,0),""))=7,'DIVISION 15'!$G$1,SUM(IFNA(MATCH($B53,'DIVISION 15'!$A$2:$H$2,0),""),IFNA(MATCH($B53,'DIVISION 15'!$A$3:$H$3,0),""),IFNA(MATCH($B53,'DIVISION 15'!$A$4:$H$4,0),""),IFNA(MATCH($B53,'DIVISION 15'!$A$5:$H$5,0),""),IFNA(MATCH($B53,'DIVISION 15'!$A$6:$H$6,0),""),IFNA(MATCH($B53,'DIVISION 15'!$A$7:$H$7,0),""),IFNA(MATCH($B53,'DIVISION 15'!$A$8:$H$8,0),""),IFNA(MATCH($B53,'DIVISION 15'!$A$9:$H$9,0),""),IFNA(MATCH($B53,'DIVISION 15'!$A$10:$H$10,0),""),IFNA(MATCH($B53,'DIVISION 15'!$A$11:$H$11,0),""),IFNA(MATCH($B53,'DIVISION 15'!$A$12:$H$12,0),""),IFNA(MATCH($B53,'DIVISION 15'!$A$13:$H$13,0),""),IFNA(MATCH($B53,'DIVISION 15'!$A$14:$H$14,0),""),IFNA(MATCH($B53,'DIVISION 15'!$A$15:$H$15,0),""),IFNA(MATCH($B53,'DIVISION 15'!$A$16:$H$16,0),""),IFNA(MATCH($B53,'DIVISION 15'!$A$17:$H$17,0),""),IFNA(MATCH($B53,'DIVISION 15'!$A$18:$H$18,0),""))=8,'DIVISION 15'!$H$1)</f>
        <v>MELU</v>
      </c>
      <c r="U53" s="8" t="str">
        <f t="shared" si="2"/>
        <v>MELU9</v>
      </c>
      <c r="V53" s="9">
        <f>SUMIF(AsistenciaViewJetAdmin!$A$3:$A$101,A53,AsistenciaViewJetAdmin!$C$3:$C$101)/(COUNTIF(AsistenciaViewJetAdmin!$D$102:V$102,"&gt;0")+COUNTIF(ActividadesEspeciales!$D$102:V$102,"&gt;0"))*100</f>
        <v>77.65957447</v>
      </c>
    </row>
    <row r="54" ht="28.5" customHeight="1">
      <c r="A54" s="3">
        <v>124.0</v>
      </c>
      <c r="B54" s="4" t="s">
        <v>463</v>
      </c>
      <c r="C54" s="5">
        <v>1175902.0</v>
      </c>
      <c r="D54" s="7" t="s">
        <v>464</v>
      </c>
      <c r="E54" s="5">
        <v>4.9926821E7</v>
      </c>
      <c r="F54" s="5" t="s">
        <v>465</v>
      </c>
      <c r="G54" s="7">
        <v>1.136444208E9</v>
      </c>
      <c r="H54" s="5" t="s">
        <v>466</v>
      </c>
      <c r="I54" s="5" t="s">
        <v>467</v>
      </c>
      <c r="J54" s="7">
        <v>1.136756397E9</v>
      </c>
      <c r="K54" s="5" t="s">
        <v>468</v>
      </c>
      <c r="L54" s="5" t="s">
        <v>469</v>
      </c>
      <c r="M54" s="7">
        <v>1.156021859E9</v>
      </c>
      <c r="N54" s="5" t="s">
        <v>470</v>
      </c>
      <c r="O54" s="5" t="s">
        <v>161</v>
      </c>
      <c r="P54" s="5" t="s">
        <v>53</v>
      </c>
      <c r="Q54" s="5" t="s">
        <v>74</v>
      </c>
      <c r="R54" s="5" t="s">
        <v>31</v>
      </c>
      <c r="S54" s="5" t="s">
        <v>43</v>
      </c>
      <c r="T54" s="8" t="str">
        <f>IFS(SUM(IFNA(MATCH($B54,'DIVISION 15'!$A$2:$H$2,0),""),IFNA(MATCH($B54,'DIVISION 15'!$A$3:$H$3,0),""),IFNA(MATCH($B54,'DIVISION 15'!$A$4:$H$4,0),""),IFNA(MATCH($B54,'DIVISION 15'!$A$5:$H$5,0),""),IFNA(MATCH($B54,'DIVISION 15'!$A$6:$H$6,0),""),IFNA(MATCH($B54,'DIVISION 15'!$A$7:$H$7,0),""),IFNA(MATCH($B54,'DIVISION 15'!$A$8:$H$8,0),""),IFNA(MATCH($B54,'DIVISION 15'!$A$9:$H$9,0),""),IFNA(MATCH($B54,'DIVISION 15'!$A$10:$H$10,0),""),IFNA(MATCH($B54,'DIVISION 15'!$A$11:$H$11,0),""),IFNA(MATCH($B54,'DIVISION 15'!$A$12:$H$12,0),""),IFNA(MATCH($B54,'DIVISION 15'!$A$13:$H$13,0),""),IFNA(MATCH($B54,'DIVISION 15'!$A$14:$H$14,0),""),IFNA(MATCH($B54,'DIVISION 15'!$A$15:$H$15,0),""),IFNA(MATCH($B54,'DIVISION 15'!$A$16:$H$16,0),""),IFNA(MATCH($B54,'DIVISION 15'!$A$17:$H$17,0),""),IFNA(MATCH($B54,'DIVISION 15'!$A$18:$H$18,0),""))=1,'DIVISION 15'!$A$1,SUM(IFNA(MATCH($B54,'DIVISION 15'!$A$2:$H$2,0),""),IFNA(MATCH($B54,'DIVISION 15'!$A$3:$H$3,0),""),IFNA(MATCH($B54,'DIVISION 15'!$A$4:$H$4,0),""),IFNA(MATCH($B54,'DIVISION 15'!$A$5:$H$5,0),""),IFNA(MATCH($B54,'DIVISION 15'!$A$6:$H$6,0),""),IFNA(MATCH($B54,'DIVISION 15'!$A$7:$H$7,0),""),IFNA(MATCH($B54,'DIVISION 15'!$A$8:$H$8,0),""),IFNA(MATCH($B54,'DIVISION 15'!$A$9:$H$9,0),""),IFNA(MATCH($B54,'DIVISION 15'!$A$10:$H$10,0),""),IFNA(MATCH($B54,'DIVISION 15'!$A$11:$H$11,0),""),IFNA(MATCH($B54,'DIVISION 15'!$A$12:$H$12,0),""),IFNA(MATCH($B54,'DIVISION 15'!$A$13:$H$13,0),""),IFNA(MATCH($B54,'DIVISION 15'!$A$14:$H$14,0),""),IFNA(MATCH($B54,'DIVISION 15'!$A$15:$H$15,0),""),IFNA(MATCH($B54,'DIVISION 15'!$A$16:$H$16,0),""),IFNA(MATCH($B54,'DIVISION 15'!$A$17:$H$17,0),""),IFNA(MATCH($B54,'DIVISION 15'!$A$18:$H$18,0),""))=2,'DIVISION 15'!$B$1,SUM(IFNA(MATCH($B54,'DIVISION 15'!$A$2:$H$2,0),""),IFNA(MATCH($B54,'DIVISION 15'!$A$3:$H$3,0),""),IFNA(MATCH($B54,'DIVISION 15'!$A$4:$H$4,0),""),IFNA(MATCH($B54,'DIVISION 15'!$A$5:$H$5,0),""),IFNA(MATCH($B54,'DIVISION 15'!$A$6:$H$6,0),""),IFNA(MATCH($B54,'DIVISION 15'!$A$7:$H$7,0),""),IFNA(MATCH($B54,'DIVISION 15'!$A$8:$H$8,0),""),IFNA(MATCH($B54,'DIVISION 15'!$A$9:$H$9,0),""),IFNA(MATCH($B54,'DIVISION 15'!$A$10:$H$10,0),""),IFNA(MATCH($B54,'DIVISION 15'!$A$11:$H$11,0),""),IFNA(MATCH($B54,'DIVISION 15'!$A$12:$H$12,0),""),IFNA(MATCH($B54,'DIVISION 15'!$A$13:$H$13,0),""),IFNA(MATCH($B54,'DIVISION 15'!$A$14:$H$14,0),""),IFNA(MATCH($B54,'DIVISION 15'!$A$15:$H$15,0),""),IFNA(MATCH($B54,'DIVISION 15'!$A$16:$H$16,0),""),IFNA(MATCH($B54,'DIVISION 15'!$A$17:$H$17,0),""),IFNA(MATCH($B54,'DIVISION 15'!$A$18:$H$18,0),""))=3,'DIVISION 15'!$C$1,SUM(IFNA(MATCH($B54,'DIVISION 15'!$A$2:$H$2,0),""),IFNA(MATCH($B54,'DIVISION 15'!$A$3:$H$3,0),""),IFNA(MATCH($B54,'DIVISION 15'!$A$4:$H$4,0),""),IFNA(MATCH($B54,'DIVISION 15'!$A$5:$H$5,0),""),IFNA(MATCH($B54,'DIVISION 15'!$A$6:$H$6,0),""),IFNA(MATCH($B54,'DIVISION 15'!$A$7:$H$7,0),""),IFNA(MATCH($B54,'DIVISION 15'!$A$8:$H$8,0),""),IFNA(MATCH($B54,'DIVISION 15'!$A$9:$H$9,0),""),IFNA(MATCH($B54,'DIVISION 15'!$A$10:$H$10,0),""),IFNA(MATCH($B54,'DIVISION 15'!$A$11:$H$11,0),""),IFNA(MATCH($B54,'DIVISION 15'!$A$12:$H$12,0),""),IFNA(MATCH($B54,'DIVISION 15'!$A$13:$H$13,0),""),IFNA(MATCH($B54,'DIVISION 15'!$A$14:$H$14,0),""),IFNA(MATCH($B54,'DIVISION 15'!$A$15:$H$15,0),""),IFNA(MATCH($B54,'DIVISION 15'!$A$16:$H$16,0),""),IFNA(MATCH($B54,'DIVISION 15'!$A$17:$H$17,0),""),IFNA(MATCH($B54,'DIVISION 15'!$A$18:$H$18,0),""))=4,'DIVISION 15'!$D$1,SUM(IFNA(MATCH($B54,'DIVISION 15'!$A$2:$H$2,0),""),IFNA(MATCH($B54,'DIVISION 15'!$A$3:$H$3,0),""),IFNA(MATCH($B54,'DIVISION 15'!$A$4:$H$4,0),""),IFNA(MATCH($B54,'DIVISION 15'!$A$5:$H$5,0),""),IFNA(MATCH($B54,'DIVISION 15'!$A$6:$H$6,0),""),IFNA(MATCH($B54,'DIVISION 15'!$A$7:$H$7,0),""),IFNA(MATCH($B54,'DIVISION 15'!$A$8:$H$8,0),""),IFNA(MATCH($B54,'DIVISION 15'!$A$9:$H$9,0),""),IFNA(MATCH($B54,'DIVISION 15'!$A$10:$H$10,0),""),IFNA(MATCH($B54,'DIVISION 15'!$A$11:$H$11,0),""),IFNA(MATCH($B54,'DIVISION 15'!$A$12:$H$12,0),""),IFNA(MATCH($B54,'DIVISION 15'!$A$13:$H$13,0),""),IFNA(MATCH($B54,'DIVISION 15'!$A$14:$H$14,0),""),IFNA(MATCH($B54,'DIVISION 15'!$A$15:$H$15,0),""),IFNA(MATCH($B54,'DIVISION 15'!$A$16:$H$16,0),""),IFNA(MATCH($B54,'DIVISION 15'!$A$17:$H$17,0),""),IFNA(MATCH($B54,'DIVISION 15'!$A$18:$H$18,0),""))=5,'DIVISION 15'!$E$1,SUM(IFNA(MATCH($B54,'DIVISION 15'!$A$2:$H$2,0),""),IFNA(MATCH($B54,'DIVISION 15'!$A$3:$H$3,0),""),IFNA(MATCH($B54,'DIVISION 15'!$A$4:$H$4,0),""),IFNA(MATCH($B54,'DIVISION 15'!$A$5:$H$5,0),""),IFNA(MATCH($B54,'DIVISION 15'!$A$6:$H$6,0),""),IFNA(MATCH($B54,'DIVISION 15'!$A$7:$H$7,0),""),IFNA(MATCH($B54,'DIVISION 15'!$A$8:$H$8,0),""),IFNA(MATCH($B54,'DIVISION 15'!$A$9:$H$9,0),""),IFNA(MATCH($B54,'DIVISION 15'!$A$10:$H$10,0),""),IFNA(MATCH($B54,'DIVISION 15'!$A$11:$H$11,0),""),IFNA(MATCH($B54,'DIVISION 15'!$A$12:$H$12,0),""),IFNA(MATCH($B54,'DIVISION 15'!$A$13:$H$13,0),""),IFNA(MATCH($B54,'DIVISION 15'!$A$14:$H$14,0),""),IFNA(MATCH($B54,'DIVISION 15'!$A$15:$H$15,0),""),IFNA(MATCH($B54,'DIVISION 15'!$A$16:$H$16,0),""),IFNA(MATCH($B54,'DIVISION 15'!$A$17:$H$17,0),""),IFNA(MATCH($B54,'DIVISION 15'!$A$18:$H$18,0),""))=6,'DIVISION 15'!$F$1,SUM(IFNA(MATCH($B54,'DIVISION 15'!$A$2:$H$2,0),""),IFNA(MATCH($B54,'DIVISION 15'!$A$3:$H$3,0),""),IFNA(MATCH($B54,'DIVISION 15'!$A$4:$H$4,0),""),IFNA(MATCH($B54,'DIVISION 15'!$A$5:$H$5,0),""),IFNA(MATCH($B54,'DIVISION 15'!$A$6:$H$6,0),""),IFNA(MATCH($B54,'DIVISION 15'!$A$7:$H$7,0),""),IFNA(MATCH($B54,'DIVISION 15'!$A$8:$H$8,0),""),IFNA(MATCH($B54,'DIVISION 15'!$A$9:$H$9,0),""),IFNA(MATCH($B54,'DIVISION 15'!$A$10:$H$10,0),""),IFNA(MATCH($B54,'DIVISION 15'!$A$11:$H$11,0),""),IFNA(MATCH($B54,'DIVISION 15'!$A$12:$H$12,0),""),IFNA(MATCH($B54,'DIVISION 15'!$A$13:$H$13,0),""),IFNA(MATCH($B54,'DIVISION 15'!$A$14:$H$14,0),""),IFNA(MATCH($B54,'DIVISION 15'!$A$15:$H$15,0),""),IFNA(MATCH($B54,'DIVISION 15'!$A$16:$H$16,0),""),IFNA(MATCH($B54,'DIVISION 15'!$A$17:$H$17,0),""),IFNA(MATCH($B54,'DIVISION 15'!$A$18:$H$18,0),""))=7,'DIVISION 15'!$G$1,SUM(IFNA(MATCH($B54,'DIVISION 15'!$A$2:$H$2,0),""),IFNA(MATCH($B54,'DIVISION 15'!$A$3:$H$3,0),""),IFNA(MATCH($B54,'DIVISION 15'!$A$4:$H$4,0),""),IFNA(MATCH($B54,'DIVISION 15'!$A$5:$H$5,0),""),IFNA(MATCH($B54,'DIVISION 15'!$A$6:$H$6,0),""),IFNA(MATCH($B54,'DIVISION 15'!$A$7:$H$7,0),""),IFNA(MATCH($B54,'DIVISION 15'!$A$8:$H$8,0),""),IFNA(MATCH($B54,'DIVISION 15'!$A$9:$H$9,0),""),IFNA(MATCH($B54,'DIVISION 15'!$A$10:$H$10,0),""),IFNA(MATCH($B54,'DIVISION 15'!$A$11:$H$11,0),""),IFNA(MATCH($B54,'DIVISION 15'!$A$12:$H$12,0),""),IFNA(MATCH($B54,'DIVISION 15'!$A$13:$H$13,0),""),IFNA(MATCH($B54,'DIVISION 15'!$A$14:$H$14,0),""),IFNA(MATCH($B54,'DIVISION 15'!$A$15:$H$15,0),""),IFNA(MATCH($B54,'DIVISION 15'!$A$16:$H$16,0),""),IFNA(MATCH($B54,'DIVISION 15'!$A$17:$H$17,0),""),IFNA(MATCH($B54,'DIVISION 15'!$A$18:$H$18,0),""))=8,'DIVISION 15'!$H$1)</f>
        <v>SOFI</v>
      </c>
      <c r="U54" s="8" t="str">
        <f t="shared" si="2"/>
        <v>SOFI7</v>
      </c>
      <c r="V54" s="9">
        <f>SUMIF(AsistenciaViewJetAdmin!$A$3:$A$101,A54,AsistenciaViewJetAdmin!$C$3:$C$101)/(COUNTIF(AsistenciaViewJetAdmin!$D$102:V$102,"&gt;0")+COUNTIF(ActividadesEspeciales!$D$102:V$102,"&gt;0"))*100</f>
        <v>57.9787234</v>
      </c>
    </row>
    <row r="55" ht="28.5" customHeight="1">
      <c r="A55" s="3">
        <v>113.0</v>
      </c>
      <c r="B55" s="4" t="s">
        <v>471</v>
      </c>
      <c r="C55" s="5">
        <v>1086802.0</v>
      </c>
      <c r="D55" s="7" t="s">
        <v>76</v>
      </c>
      <c r="E55" s="5">
        <v>5.0102005E7</v>
      </c>
      <c r="F55" s="5" t="s">
        <v>472</v>
      </c>
      <c r="G55" s="7">
        <v>1.136199988E9</v>
      </c>
      <c r="H55" s="5" t="s">
        <v>473</v>
      </c>
      <c r="I55" s="5" t="s">
        <v>474</v>
      </c>
      <c r="J55" s="7">
        <v>1.153699333E9</v>
      </c>
      <c r="K55" s="5" t="s">
        <v>475</v>
      </c>
      <c r="L55" s="5" t="s">
        <v>476</v>
      </c>
      <c r="M55" s="7">
        <v>1.144949883E9</v>
      </c>
      <c r="N55" s="5" t="s">
        <v>477</v>
      </c>
      <c r="O55" s="5" t="s">
        <v>478</v>
      </c>
      <c r="P55" s="5" t="s">
        <v>479</v>
      </c>
      <c r="Q55" s="5" t="s">
        <v>74</v>
      </c>
      <c r="R55" s="5" t="s">
        <v>31</v>
      </c>
      <c r="S55" s="5" t="s">
        <v>32</v>
      </c>
      <c r="T55" s="8" t="str">
        <f>IFS(SUM(IFNA(MATCH($B55,'DIVISION 15'!$A$2:$H$2,0),""),IFNA(MATCH($B55,'DIVISION 15'!$A$3:$H$3,0),""),IFNA(MATCH($B55,'DIVISION 15'!$A$4:$H$4,0),""),IFNA(MATCH($B55,'DIVISION 15'!$A$5:$H$5,0),""),IFNA(MATCH($B55,'DIVISION 15'!$A$6:$H$6,0),""),IFNA(MATCH($B55,'DIVISION 15'!$A$7:$H$7,0),""),IFNA(MATCH($B55,'DIVISION 15'!$A$8:$H$8,0),""),IFNA(MATCH($B55,'DIVISION 15'!$A$9:$H$9,0),""),IFNA(MATCH($B55,'DIVISION 15'!$A$10:$H$10,0),""),IFNA(MATCH($B55,'DIVISION 15'!$A$11:$H$11,0),""),IFNA(MATCH($B55,'DIVISION 15'!$A$12:$H$12,0),""),IFNA(MATCH($B55,'DIVISION 15'!$A$13:$H$13,0),""),IFNA(MATCH($B55,'DIVISION 15'!$A$14:$H$14,0),""),IFNA(MATCH($B55,'DIVISION 15'!$A$15:$H$15,0),""),IFNA(MATCH($B55,'DIVISION 15'!$A$16:$H$16,0),""),IFNA(MATCH($B55,'DIVISION 15'!$A$17:$H$17,0),""),IFNA(MATCH($B55,'DIVISION 15'!$A$18:$H$18,0),""))=1,'DIVISION 15'!$A$1,SUM(IFNA(MATCH($B55,'DIVISION 15'!$A$2:$H$2,0),""),IFNA(MATCH($B55,'DIVISION 15'!$A$3:$H$3,0),""),IFNA(MATCH($B55,'DIVISION 15'!$A$4:$H$4,0),""),IFNA(MATCH($B55,'DIVISION 15'!$A$5:$H$5,0),""),IFNA(MATCH($B55,'DIVISION 15'!$A$6:$H$6,0),""),IFNA(MATCH($B55,'DIVISION 15'!$A$7:$H$7,0),""),IFNA(MATCH($B55,'DIVISION 15'!$A$8:$H$8,0),""),IFNA(MATCH($B55,'DIVISION 15'!$A$9:$H$9,0),""),IFNA(MATCH($B55,'DIVISION 15'!$A$10:$H$10,0),""),IFNA(MATCH($B55,'DIVISION 15'!$A$11:$H$11,0),""),IFNA(MATCH($B55,'DIVISION 15'!$A$12:$H$12,0),""),IFNA(MATCH($B55,'DIVISION 15'!$A$13:$H$13,0),""),IFNA(MATCH($B55,'DIVISION 15'!$A$14:$H$14,0),""),IFNA(MATCH($B55,'DIVISION 15'!$A$15:$H$15,0),""),IFNA(MATCH($B55,'DIVISION 15'!$A$16:$H$16,0),""),IFNA(MATCH($B55,'DIVISION 15'!$A$17:$H$17,0),""),IFNA(MATCH($B55,'DIVISION 15'!$A$18:$H$18,0),""))=2,'DIVISION 15'!$B$1,SUM(IFNA(MATCH($B55,'DIVISION 15'!$A$2:$H$2,0),""),IFNA(MATCH($B55,'DIVISION 15'!$A$3:$H$3,0),""),IFNA(MATCH($B55,'DIVISION 15'!$A$4:$H$4,0),""),IFNA(MATCH($B55,'DIVISION 15'!$A$5:$H$5,0),""),IFNA(MATCH($B55,'DIVISION 15'!$A$6:$H$6,0),""),IFNA(MATCH($B55,'DIVISION 15'!$A$7:$H$7,0),""),IFNA(MATCH($B55,'DIVISION 15'!$A$8:$H$8,0),""),IFNA(MATCH($B55,'DIVISION 15'!$A$9:$H$9,0),""),IFNA(MATCH($B55,'DIVISION 15'!$A$10:$H$10,0),""),IFNA(MATCH($B55,'DIVISION 15'!$A$11:$H$11,0),""),IFNA(MATCH($B55,'DIVISION 15'!$A$12:$H$12,0),""),IFNA(MATCH($B55,'DIVISION 15'!$A$13:$H$13,0),""),IFNA(MATCH($B55,'DIVISION 15'!$A$14:$H$14,0),""),IFNA(MATCH($B55,'DIVISION 15'!$A$15:$H$15,0),""),IFNA(MATCH($B55,'DIVISION 15'!$A$16:$H$16,0),""),IFNA(MATCH($B55,'DIVISION 15'!$A$17:$H$17,0),""),IFNA(MATCH($B55,'DIVISION 15'!$A$18:$H$18,0),""))=3,'DIVISION 15'!$C$1,SUM(IFNA(MATCH($B55,'DIVISION 15'!$A$2:$H$2,0),""),IFNA(MATCH($B55,'DIVISION 15'!$A$3:$H$3,0),""),IFNA(MATCH($B55,'DIVISION 15'!$A$4:$H$4,0),""),IFNA(MATCH($B55,'DIVISION 15'!$A$5:$H$5,0),""),IFNA(MATCH($B55,'DIVISION 15'!$A$6:$H$6,0),""),IFNA(MATCH($B55,'DIVISION 15'!$A$7:$H$7,0),""),IFNA(MATCH($B55,'DIVISION 15'!$A$8:$H$8,0),""),IFNA(MATCH($B55,'DIVISION 15'!$A$9:$H$9,0),""),IFNA(MATCH($B55,'DIVISION 15'!$A$10:$H$10,0),""),IFNA(MATCH($B55,'DIVISION 15'!$A$11:$H$11,0),""),IFNA(MATCH($B55,'DIVISION 15'!$A$12:$H$12,0),""),IFNA(MATCH($B55,'DIVISION 15'!$A$13:$H$13,0),""),IFNA(MATCH($B55,'DIVISION 15'!$A$14:$H$14,0),""),IFNA(MATCH($B55,'DIVISION 15'!$A$15:$H$15,0),""),IFNA(MATCH($B55,'DIVISION 15'!$A$16:$H$16,0),""),IFNA(MATCH($B55,'DIVISION 15'!$A$17:$H$17,0),""),IFNA(MATCH($B55,'DIVISION 15'!$A$18:$H$18,0),""))=4,'DIVISION 15'!$D$1,SUM(IFNA(MATCH($B55,'DIVISION 15'!$A$2:$H$2,0),""),IFNA(MATCH($B55,'DIVISION 15'!$A$3:$H$3,0),""),IFNA(MATCH($B55,'DIVISION 15'!$A$4:$H$4,0),""),IFNA(MATCH($B55,'DIVISION 15'!$A$5:$H$5,0),""),IFNA(MATCH($B55,'DIVISION 15'!$A$6:$H$6,0),""),IFNA(MATCH($B55,'DIVISION 15'!$A$7:$H$7,0),""),IFNA(MATCH($B55,'DIVISION 15'!$A$8:$H$8,0),""),IFNA(MATCH($B55,'DIVISION 15'!$A$9:$H$9,0),""),IFNA(MATCH($B55,'DIVISION 15'!$A$10:$H$10,0),""),IFNA(MATCH($B55,'DIVISION 15'!$A$11:$H$11,0),""),IFNA(MATCH($B55,'DIVISION 15'!$A$12:$H$12,0),""),IFNA(MATCH($B55,'DIVISION 15'!$A$13:$H$13,0),""),IFNA(MATCH($B55,'DIVISION 15'!$A$14:$H$14,0),""),IFNA(MATCH($B55,'DIVISION 15'!$A$15:$H$15,0),""),IFNA(MATCH($B55,'DIVISION 15'!$A$16:$H$16,0),""),IFNA(MATCH($B55,'DIVISION 15'!$A$17:$H$17,0),""),IFNA(MATCH($B55,'DIVISION 15'!$A$18:$H$18,0),""))=5,'DIVISION 15'!$E$1,SUM(IFNA(MATCH($B55,'DIVISION 15'!$A$2:$H$2,0),""),IFNA(MATCH($B55,'DIVISION 15'!$A$3:$H$3,0),""),IFNA(MATCH($B55,'DIVISION 15'!$A$4:$H$4,0),""),IFNA(MATCH($B55,'DIVISION 15'!$A$5:$H$5,0),""),IFNA(MATCH($B55,'DIVISION 15'!$A$6:$H$6,0),""),IFNA(MATCH($B55,'DIVISION 15'!$A$7:$H$7,0),""),IFNA(MATCH($B55,'DIVISION 15'!$A$8:$H$8,0),""),IFNA(MATCH($B55,'DIVISION 15'!$A$9:$H$9,0),""),IFNA(MATCH($B55,'DIVISION 15'!$A$10:$H$10,0),""),IFNA(MATCH($B55,'DIVISION 15'!$A$11:$H$11,0),""),IFNA(MATCH($B55,'DIVISION 15'!$A$12:$H$12,0),""),IFNA(MATCH($B55,'DIVISION 15'!$A$13:$H$13,0),""),IFNA(MATCH($B55,'DIVISION 15'!$A$14:$H$14,0),""),IFNA(MATCH($B55,'DIVISION 15'!$A$15:$H$15,0),""),IFNA(MATCH($B55,'DIVISION 15'!$A$16:$H$16,0),""),IFNA(MATCH($B55,'DIVISION 15'!$A$17:$H$17,0),""),IFNA(MATCH($B55,'DIVISION 15'!$A$18:$H$18,0),""))=6,'DIVISION 15'!$F$1,SUM(IFNA(MATCH($B55,'DIVISION 15'!$A$2:$H$2,0),""),IFNA(MATCH($B55,'DIVISION 15'!$A$3:$H$3,0),""),IFNA(MATCH($B55,'DIVISION 15'!$A$4:$H$4,0),""),IFNA(MATCH($B55,'DIVISION 15'!$A$5:$H$5,0),""),IFNA(MATCH($B55,'DIVISION 15'!$A$6:$H$6,0),""),IFNA(MATCH($B55,'DIVISION 15'!$A$7:$H$7,0),""),IFNA(MATCH($B55,'DIVISION 15'!$A$8:$H$8,0),""),IFNA(MATCH($B55,'DIVISION 15'!$A$9:$H$9,0),""),IFNA(MATCH($B55,'DIVISION 15'!$A$10:$H$10,0),""),IFNA(MATCH($B55,'DIVISION 15'!$A$11:$H$11,0),""),IFNA(MATCH($B55,'DIVISION 15'!$A$12:$H$12,0),""),IFNA(MATCH($B55,'DIVISION 15'!$A$13:$H$13,0),""),IFNA(MATCH($B55,'DIVISION 15'!$A$14:$H$14,0),""),IFNA(MATCH($B55,'DIVISION 15'!$A$15:$H$15,0),""),IFNA(MATCH($B55,'DIVISION 15'!$A$16:$H$16,0),""),IFNA(MATCH($B55,'DIVISION 15'!$A$17:$H$17,0),""),IFNA(MATCH($B55,'DIVISION 15'!$A$18:$H$18,0),""))=7,'DIVISION 15'!$G$1,SUM(IFNA(MATCH($B55,'DIVISION 15'!$A$2:$H$2,0),""),IFNA(MATCH($B55,'DIVISION 15'!$A$3:$H$3,0),""),IFNA(MATCH($B55,'DIVISION 15'!$A$4:$H$4,0),""),IFNA(MATCH($B55,'DIVISION 15'!$A$5:$H$5,0),""),IFNA(MATCH($B55,'DIVISION 15'!$A$6:$H$6,0),""),IFNA(MATCH($B55,'DIVISION 15'!$A$7:$H$7,0),""),IFNA(MATCH($B55,'DIVISION 15'!$A$8:$H$8,0),""),IFNA(MATCH($B55,'DIVISION 15'!$A$9:$H$9,0),""),IFNA(MATCH($B55,'DIVISION 15'!$A$10:$H$10,0),""),IFNA(MATCH($B55,'DIVISION 15'!$A$11:$H$11,0),""),IFNA(MATCH($B55,'DIVISION 15'!$A$12:$H$12,0),""),IFNA(MATCH($B55,'DIVISION 15'!$A$13:$H$13,0),""),IFNA(MATCH($B55,'DIVISION 15'!$A$14:$H$14,0),""),IFNA(MATCH($B55,'DIVISION 15'!$A$15:$H$15,0),""),IFNA(MATCH($B55,'DIVISION 15'!$A$16:$H$16,0),""),IFNA(MATCH($B55,'DIVISION 15'!$A$17:$H$17,0),""),IFNA(MATCH($B55,'DIVISION 15'!$A$18:$H$18,0),""))=8,'DIVISION 15'!$H$1)</f>
        <v>MELU</v>
      </c>
      <c r="U55" s="8" t="str">
        <f t="shared" si="2"/>
        <v>MELU10</v>
      </c>
      <c r="V55" s="9">
        <f>SUMIF(AsistenciaViewJetAdmin!$A$3:$A$101,A55,AsistenciaViewJetAdmin!$C$3:$C$101)/(COUNTIF(AsistenciaViewJetAdmin!$D$102:V$102,"&gt;0")+COUNTIF(ActividadesEspeciales!$D$102:V$102,"&gt;0"))*100</f>
        <v>72.34042553</v>
      </c>
    </row>
    <row r="56" ht="28.5" customHeight="1">
      <c r="A56" s="3">
        <v>132.0</v>
      </c>
      <c r="B56" s="4" t="s">
        <v>480</v>
      </c>
      <c r="C56" s="5">
        <v>1052902.0</v>
      </c>
      <c r="D56" s="6">
        <v>40096.0</v>
      </c>
      <c r="E56" s="5">
        <v>4.9836191E7</v>
      </c>
      <c r="F56" s="5" t="s">
        <v>481</v>
      </c>
      <c r="G56" s="7">
        <v>1.155876896E9</v>
      </c>
      <c r="H56" s="5" t="s">
        <v>482</v>
      </c>
      <c r="I56" s="5" t="s">
        <v>483</v>
      </c>
      <c r="J56" s="7" t="s">
        <v>484</v>
      </c>
      <c r="K56" s="5" t="s">
        <v>485</v>
      </c>
      <c r="L56" s="5" t="s">
        <v>486</v>
      </c>
      <c r="M56" s="7">
        <v>1.136341106E9</v>
      </c>
      <c r="N56" s="5" t="s">
        <v>264</v>
      </c>
      <c r="O56" s="5" t="s">
        <v>487</v>
      </c>
      <c r="P56" s="5" t="s">
        <v>120</v>
      </c>
      <c r="Q56" s="5" t="s">
        <v>30</v>
      </c>
      <c r="R56" s="5" t="s">
        <v>31</v>
      </c>
      <c r="S56" s="5" t="s">
        <v>43</v>
      </c>
      <c r="T56" s="8" t="str">
        <f>IFS(SUM(IFNA(MATCH($B56,'DIVISION 15'!$A$2:$H$2,0),""),IFNA(MATCH($B56,'DIVISION 15'!$A$3:$H$3,0),""),IFNA(MATCH($B56,'DIVISION 15'!$A$4:$H$4,0),""),IFNA(MATCH($B56,'DIVISION 15'!$A$5:$H$5,0),""),IFNA(MATCH($B56,'DIVISION 15'!$A$6:$H$6,0),""),IFNA(MATCH($B56,'DIVISION 15'!$A$7:$H$7,0),""),IFNA(MATCH($B56,'DIVISION 15'!$A$8:$H$8,0),""),IFNA(MATCH($B56,'DIVISION 15'!$A$9:$H$9,0),""),IFNA(MATCH($B56,'DIVISION 15'!$A$10:$H$10,0),""),IFNA(MATCH($B56,'DIVISION 15'!$A$11:$H$11,0),""),IFNA(MATCH($B56,'DIVISION 15'!$A$12:$H$12,0),""),IFNA(MATCH($B56,'DIVISION 15'!$A$13:$H$13,0),""),IFNA(MATCH($B56,'DIVISION 15'!$A$14:$H$14,0),""),IFNA(MATCH($B56,'DIVISION 15'!$A$15:$H$15,0),""),IFNA(MATCH($B56,'DIVISION 15'!$A$16:$H$16,0),""),IFNA(MATCH($B56,'DIVISION 15'!$A$17:$H$17,0),""),IFNA(MATCH($B56,'DIVISION 15'!$A$18:$H$18,0),""))=1,'DIVISION 15'!$A$1,SUM(IFNA(MATCH($B56,'DIVISION 15'!$A$2:$H$2,0),""),IFNA(MATCH($B56,'DIVISION 15'!$A$3:$H$3,0),""),IFNA(MATCH($B56,'DIVISION 15'!$A$4:$H$4,0),""),IFNA(MATCH($B56,'DIVISION 15'!$A$5:$H$5,0),""),IFNA(MATCH($B56,'DIVISION 15'!$A$6:$H$6,0),""),IFNA(MATCH($B56,'DIVISION 15'!$A$7:$H$7,0),""),IFNA(MATCH($B56,'DIVISION 15'!$A$8:$H$8,0),""),IFNA(MATCH($B56,'DIVISION 15'!$A$9:$H$9,0),""),IFNA(MATCH($B56,'DIVISION 15'!$A$10:$H$10,0),""),IFNA(MATCH($B56,'DIVISION 15'!$A$11:$H$11,0),""),IFNA(MATCH($B56,'DIVISION 15'!$A$12:$H$12,0),""),IFNA(MATCH($B56,'DIVISION 15'!$A$13:$H$13,0),""),IFNA(MATCH($B56,'DIVISION 15'!$A$14:$H$14,0),""),IFNA(MATCH($B56,'DIVISION 15'!$A$15:$H$15,0),""),IFNA(MATCH($B56,'DIVISION 15'!$A$16:$H$16,0),""),IFNA(MATCH($B56,'DIVISION 15'!$A$17:$H$17,0),""),IFNA(MATCH($B56,'DIVISION 15'!$A$18:$H$18,0),""))=2,'DIVISION 15'!$B$1,SUM(IFNA(MATCH($B56,'DIVISION 15'!$A$2:$H$2,0),""),IFNA(MATCH($B56,'DIVISION 15'!$A$3:$H$3,0),""),IFNA(MATCH($B56,'DIVISION 15'!$A$4:$H$4,0),""),IFNA(MATCH($B56,'DIVISION 15'!$A$5:$H$5,0),""),IFNA(MATCH($B56,'DIVISION 15'!$A$6:$H$6,0),""),IFNA(MATCH($B56,'DIVISION 15'!$A$7:$H$7,0),""),IFNA(MATCH($B56,'DIVISION 15'!$A$8:$H$8,0),""),IFNA(MATCH($B56,'DIVISION 15'!$A$9:$H$9,0),""),IFNA(MATCH($B56,'DIVISION 15'!$A$10:$H$10,0),""),IFNA(MATCH($B56,'DIVISION 15'!$A$11:$H$11,0),""),IFNA(MATCH($B56,'DIVISION 15'!$A$12:$H$12,0),""),IFNA(MATCH($B56,'DIVISION 15'!$A$13:$H$13,0),""),IFNA(MATCH($B56,'DIVISION 15'!$A$14:$H$14,0),""),IFNA(MATCH($B56,'DIVISION 15'!$A$15:$H$15,0),""),IFNA(MATCH($B56,'DIVISION 15'!$A$16:$H$16,0),""),IFNA(MATCH($B56,'DIVISION 15'!$A$17:$H$17,0),""),IFNA(MATCH($B56,'DIVISION 15'!$A$18:$H$18,0),""))=3,'DIVISION 15'!$C$1,SUM(IFNA(MATCH($B56,'DIVISION 15'!$A$2:$H$2,0),""),IFNA(MATCH($B56,'DIVISION 15'!$A$3:$H$3,0),""),IFNA(MATCH($B56,'DIVISION 15'!$A$4:$H$4,0),""),IFNA(MATCH($B56,'DIVISION 15'!$A$5:$H$5,0),""),IFNA(MATCH($B56,'DIVISION 15'!$A$6:$H$6,0),""),IFNA(MATCH($B56,'DIVISION 15'!$A$7:$H$7,0),""),IFNA(MATCH($B56,'DIVISION 15'!$A$8:$H$8,0),""),IFNA(MATCH($B56,'DIVISION 15'!$A$9:$H$9,0),""),IFNA(MATCH($B56,'DIVISION 15'!$A$10:$H$10,0),""),IFNA(MATCH($B56,'DIVISION 15'!$A$11:$H$11,0),""),IFNA(MATCH($B56,'DIVISION 15'!$A$12:$H$12,0),""),IFNA(MATCH($B56,'DIVISION 15'!$A$13:$H$13,0),""),IFNA(MATCH($B56,'DIVISION 15'!$A$14:$H$14,0),""),IFNA(MATCH($B56,'DIVISION 15'!$A$15:$H$15,0),""),IFNA(MATCH($B56,'DIVISION 15'!$A$16:$H$16,0),""),IFNA(MATCH($B56,'DIVISION 15'!$A$17:$H$17,0),""),IFNA(MATCH($B56,'DIVISION 15'!$A$18:$H$18,0),""))=4,'DIVISION 15'!$D$1,SUM(IFNA(MATCH($B56,'DIVISION 15'!$A$2:$H$2,0),""),IFNA(MATCH($B56,'DIVISION 15'!$A$3:$H$3,0),""),IFNA(MATCH($B56,'DIVISION 15'!$A$4:$H$4,0),""),IFNA(MATCH($B56,'DIVISION 15'!$A$5:$H$5,0),""),IFNA(MATCH($B56,'DIVISION 15'!$A$6:$H$6,0),""),IFNA(MATCH($B56,'DIVISION 15'!$A$7:$H$7,0),""),IFNA(MATCH($B56,'DIVISION 15'!$A$8:$H$8,0),""),IFNA(MATCH($B56,'DIVISION 15'!$A$9:$H$9,0),""),IFNA(MATCH($B56,'DIVISION 15'!$A$10:$H$10,0),""),IFNA(MATCH($B56,'DIVISION 15'!$A$11:$H$11,0),""),IFNA(MATCH($B56,'DIVISION 15'!$A$12:$H$12,0),""),IFNA(MATCH($B56,'DIVISION 15'!$A$13:$H$13,0),""),IFNA(MATCH($B56,'DIVISION 15'!$A$14:$H$14,0),""),IFNA(MATCH($B56,'DIVISION 15'!$A$15:$H$15,0),""),IFNA(MATCH($B56,'DIVISION 15'!$A$16:$H$16,0),""),IFNA(MATCH($B56,'DIVISION 15'!$A$17:$H$17,0),""),IFNA(MATCH($B56,'DIVISION 15'!$A$18:$H$18,0),""))=5,'DIVISION 15'!$E$1,SUM(IFNA(MATCH($B56,'DIVISION 15'!$A$2:$H$2,0),""),IFNA(MATCH($B56,'DIVISION 15'!$A$3:$H$3,0),""),IFNA(MATCH($B56,'DIVISION 15'!$A$4:$H$4,0),""),IFNA(MATCH($B56,'DIVISION 15'!$A$5:$H$5,0),""),IFNA(MATCH($B56,'DIVISION 15'!$A$6:$H$6,0),""),IFNA(MATCH($B56,'DIVISION 15'!$A$7:$H$7,0),""),IFNA(MATCH($B56,'DIVISION 15'!$A$8:$H$8,0),""),IFNA(MATCH($B56,'DIVISION 15'!$A$9:$H$9,0),""),IFNA(MATCH($B56,'DIVISION 15'!$A$10:$H$10,0),""),IFNA(MATCH($B56,'DIVISION 15'!$A$11:$H$11,0),""),IFNA(MATCH($B56,'DIVISION 15'!$A$12:$H$12,0),""),IFNA(MATCH($B56,'DIVISION 15'!$A$13:$H$13,0),""),IFNA(MATCH($B56,'DIVISION 15'!$A$14:$H$14,0),""),IFNA(MATCH($B56,'DIVISION 15'!$A$15:$H$15,0),""),IFNA(MATCH($B56,'DIVISION 15'!$A$16:$H$16,0),""),IFNA(MATCH($B56,'DIVISION 15'!$A$17:$H$17,0),""),IFNA(MATCH($B56,'DIVISION 15'!$A$18:$H$18,0),""))=6,'DIVISION 15'!$F$1,SUM(IFNA(MATCH($B56,'DIVISION 15'!$A$2:$H$2,0),""),IFNA(MATCH($B56,'DIVISION 15'!$A$3:$H$3,0),""),IFNA(MATCH($B56,'DIVISION 15'!$A$4:$H$4,0),""),IFNA(MATCH($B56,'DIVISION 15'!$A$5:$H$5,0),""),IFNA(MATCH($B56,'DIVISION 15'!$A$6:$H$6,0),""),IFNA(MATCH($B56,'DIVISION 15'!$A$7:$H$7,0),""),IFNA(MATCH($B56,'DIVISION 15'!$A$8:$H$8,0),""),IFNA(MATCH($B56,'DIVISION 15'!$A$9:$H$9,0),""),IFNA(MATCH($B56,'DIVISION 15'!$A$10:$H$10,0),""),IFNA(MATCH($B56,'DIVISION 15'!$A$11:$H$11,0),""),IFNA(MATCH($B56,'DIVISION 15'!$A$12:$H$12,0),""),IFNA(MATCH($B56,'DIVISION 15'!$A$13:$H$13,0),""),IFNA(MATCH($B56,'DIVISION 15'!$A$14:$H$14,0),""),IFNA(MATCH($B56,'DIVISION 15'!$A$15:$H$15,0),""),IFNA(MATCH($B56,'DIVISION 15'!$A$16:$H$16,0),""),IFNA(MATCH($B56,'DIVISION 15'!$A$17:$H$17,0),""),IFNA(MATCH($B56,'DIVISION 15'!$A$18:$H$18,0),""))=7,'DIVISION 15'!$G$1,SUM(IFNA(MATCH($B56,'DIVISION 15'!$A$2:$H$2,0),""),IFNA(MATCH($B56,'DIVISION 15'!$A$3:$H$3,0),""),IFNA(MATCH($B56,'DIVISION 15'!$A$4:$H$4,0),""),IFNA(MATCH($B56,'DIVISION 15'!$A$5:$H$5,0),""),IFNA(MATCH($B56,'DIVISION 15'!$A$6:$H$6,0),""),IFNA(MATCH($B56,'DIVISION 15'!$A$7:$H$7,0),""),IFNA(MATCH($B56,'DIVISION 15'!$A$8:$H$8,0),""),IFNA(MATCH($B56,'DIVISION 15'!$A$9:$H$9,0),""),IFNA(MATCH($B56,'DIVISION 15'!$A$10:$H$10,0),""),IFNA(MATCH($B56,'DIVISION 15'!$A$11:$H$11,0),""),IFNA(MATCH($B56,'DIVISION 15'!$A$12:$H$12,0),""),IFNA(MATCH($B56,'DIVISION 15'!$A$13:$H$13,0),""),IFNA(MATCH($B56,'DIVISION 15'!$A$14:$H$14,0),""),IFNA(MATCH($B56,'DIVISION 15'!$A$15:$H$15,0),""),IFNA(MATCH($B56,'DIVISION 15'!$A$16:$H$16,0),""),IFNA(MATCH($B56,'DIVISION 15'!$A$17:$H$17,0),""),IFNA(MATCH($B56,'DIVISION 15'!$A$18:$H$18,0),""))=8,'DIVISION 15'!$H$1)</f>
        <v>SOFI</v>
      </c>
      <c r="U56" s="8" t="str">
        <f t="shared" si="2"/>
        <v>SOFI8</v>
      </c>
      <c r="V56" s="9">
        <f>SUMIF(AsistenciaViewJetAdmin!$A$3:$A$101,A56,AsistenciaViewJetAdmin!$C$3:$C$101)/(COUNTIF(AsistenciaViewJetAdmin!$D$102:V$102,"&gt;0")+COUNTIF(ActividadesEspeciales!$D$102:V$102,"&gt;0"))*100</f>
        <v>73.40425532</v>
      </c>
    </row>
    <row r="57" ht="28.5" customHeight="1">
      <c r="A57" s="3">
        <v>102.0</v>
      </c>
      <c r="B57" s="4" t="s">
        <v>488</v>
      </c>
      <c r="C57" s="5">
        <v>1053500.0</v>
      </c>
      <c r="D57" s="6">
        <v>40159.0</v>
      </c>
      <c r="E57" s="5">
        <v>4.9951587E7</v>
      </c>
      <c r="F57" s="5" t="s">
        <v>489</v>
      </c>
      <c r="G57" s="7">
        <v>1.137008617E9</v>
      </c>
      <c r="H57" s="5" t="s">
        <v>490</v>
      </c>
      <c r="I57" s="5" t="s">
        <v>491</v>
      </c>
      <c r="J57" s="7">
        <v>1.1614085E9</v>
      </c>
      <c r="K57" s="5" t="s">
        <v>492</v>
      </c>
      <c r="L57" s="5" t="s">
        <v>493</v>
      </c>
      <c r="M57" s="7">
        <v>1.14163844E9</v>
      </c>
      <c r="N57" s="5" t="s">
        <v>494</v>
      </c>
      <c r="O57" s="5" t="s">
        <v>495</v>
      </c>
      <c r="P57" s="5" t="s">
        <v>408</v>
      </c>
      <c r="Q57" s="5" t="s">
        <v>30</v>
      </c>
      <c r="R57" s="5" t="s">
        <v>31</v>
      </c>
      <c r="S57" s="5" t="s">
        <v>43</v>
      </c>
      <c r="T57" s="8" t="str">
        <f>IFS(SUM(IFNA(MATCH($B57,'DIVISION 15'!$A$2:$H$2,0),""),IFNA(MATCH($B57,'DIVISION 15'!$A$3:$H$3,0),""),IFNA(MATCH($B57,'DIVISION 15'!$A$4:$H$4,0),""),IFNA(MATCH($B57,'DIVISION 15'!$A$5:$H$5,0),""),IFNA(MATCH($B57,'DIVISION 15'!$A$6:$H$6,0),""),IFNA(MATCH($B57,'DIVISION 15'!$A$7:$H$7,0),""),IFNA(MATCH($B57,'DIVISION 15'!$A$8:$H$8,0),""),IFNA(MATCH($B57,'DIVISION 15'!$A$9:$H$9,0),""),IFNA(MATCH($B57,'DIVISION 15'!$A$10:$H$10,0),""),IFNA(MATCH($B57,'DIVISION 15'!$A$11:$H$11,0),""),IFNA(MATCH($B57,'DIVISION 15'!$A$12:$H$12,0),""),IFNA(MATCH($B57,'DIVISION 15'!$A$13:$H$13,0),""),IFNA(MATCH($B57,'DIVISION 15'!$A$14:$H$14,0),""),IFNA(MATCH($B57,'DIVISION 15'!$A$15:$H$15,0),""),IFNA(MATCH($B57,'DIVISION 15'!$A$16:$H$16,0),""),IFNA(MATCH($B57,'DIVISION 15'!$A$17:$H$17,0),""),IFNA(MATCH($B57,'DIVISION 15'!$A$18:$H$18,0),""))=1,'DIVISION 15'!$A$1,SUM(IFNA(MATCH($B57,'DIVISION 15'!$A$2:$H$2,0),""),IFNA(MATCH($B57,'DIVISION 15'!$A$3:$H$3,0),""),IFNA(MATCH($B57,'DIVISION 15'!$A$4:$H$4,0),""),IFNA(MATCH($B57,'DIVISION 15'!$A$5:$H$5,0),""),IFNA(MATCH($B57,'DIVISION 15'!$A$6:$H$6,0),""),IFNA(MATCH($B57,'DIVISION 15'!$A$7:$H$7,0),""),IFNA(MATCH($B57,'DIVISION 15'!$A$8:$H$8,0),""),IFNA(MATCH($B57,'DIVISION 15'!$A$9:$H$9,0),""),IFNA(MATCH($B57,'DIVISION 15'!$A$10:$H$10,0),""),IFNA(MATCH($B57,'DIVISION 15'!$A$11:$H$11,0),""),IFNA(MATCH($B57,'DIVISION 15'!$A$12:$H$12,0),""),IFNA(MATCH($B57,'DIVISION 15'!$A$13:$H$13,0),""),IFNA(MATCH($B57,'DIVISION 15'!$A$14:$H$14,0),""),IFNA(MATCH($B57,'DIVISION 15'!$A$15:$H$15,0),""),IFNA(MATCH($B57,'DIVISION 15'!$A$16:$H$16,0),""),IFNA(MATCH($B57,'DIVISION 15'!$A$17:$H$17,0),""),IFNA(MATCH($B57,'DIVISION 15'!$A$18:$H$18,0),""))=2,'DIVISION 15'!$B$1,SUM(IFNA(MATCH($B57,'DIVISION 15'!$A$2:$H$2,0),""),IFNA(MATCH($B57,'DIVISION 15'!$A$3:$H$3,0),""),IFNA(MATCH($B57,'DIVISION 15'!$A$4:$H$4,0),""),IFNA(MATCH($B57,'DIVISION 15'!$A$5:$H$5,0),""),IFNA(MATCH($B57,'DIVISION 15'!$A$6:$H$6,0),""),IFNA(MATCH($B57,'DIVISION 15'!$A$7:$H$7,0),""),IFNA(MATCH($B57,'DIVISION 15'!$A$8:$H$8,0),""),IFNA(MATCH($B57,'DIVISION 15'!$A$9:$H$9,0),""),IFNA(MATCH($B57,'DIVISION 15'!$A$10:$H$10,0),""),IFNA(MATCH($B57,'DIVISION 15'!$A$11:$H$11,0),""),IFNA(MATCH($B57,'DIVISION 15'!$A$12:$H$12,0),""),IFNA(MATCH($B57,'DIVISION 15'!$A$13:$H$13,0),""),IFNA(MATCH($B57,'DIVISION 15'!$A$14:$H$14,0),""),IFNA(MATCH($B57,'DIVISION 15'!$A$15:$H$15,0),""),IFNA(MATCH($B57,'DIVISION 15'!$A$16:$H$16,0),""),IFNA(MATCH($B57,'DIVISION 15'!$A$17:$H$17,0),""),IFNA(MATCH($B57,'DIVISION 15'!$A$18:$H$18,0),""))=3,'DIVISION 15'!$C$1,SUM(IFNA(MATCH($B57,'DIVISION 15'!$A$2:$H$2,0),""),IFNA(MATCH($B57,'DIVISION 15'!$A$3:$H$3,0),""),IFNA(MATCH($B57,'DIVISION 15'!$A$4:$H$4,0),""),IFNA(MATCH($B57,'DIVISION 15'!$A$5:$H$5,0),""),IFNA(MATCH($B57,'DIVISION 15'!$A$6:$H$6,0),""),IFNA(MATCH($B57,'DIVISION 15'!$A$7:$H$7,0),""),IFNA(MATCH($B57,'DIVISION 15'!$A$8:$H$8,0),""),IFNA(MATCH($B57,'DIVISION 15'!$A$9:$H$9,0),""),IFNA(MATCH($B57,'DIVISION 15'!$A$10:$H$10,0),""),IFNA(MATCH($B57,'DIVISION 15'!$A$11:$H$11,0),""),IFNA(MATCH($B57,'DIVISION 15'!$A$12:$H$12,0),""),IFNA(MATCH($B57,'DIVISION 15'!$A$13:$H$13,0),""),IFNA(MATCH($B57,'DIVISION 15'!$A$14:$H$14,0),""),IFNA(MATCH($B57,'DIVISION 15'!$A$15:$H$15,0),""),IFNA(MATCH($B57,'DIVISION 15'!$A$16:$H$16,0),""),IFNA(MATCH($B57,'DIVISION 15'!$A$17:$H$17,0),""),IFNA(MATCH($B57,'DIVISION 15'!$A$18:$H$18,0),""))=4,'DIVISION 15'!$D$1,SUM(IFNA(MATCH($B57,'DIVISION 15'!$A$2:$H$2,0),""),IFNA(MATCH($B57,'DIVISION 15'!$A$3:$H$3,0),""),IFNA(MATCH($B57,'DIVISION 15'!$A$4:$H$4,0),""),IFNA(MATCH($B57,'DIVISION 15'!$A$5:$H$5,0),""),IFNA(MATCH($B57,'DIVISION 15'!$A$6:$H$6,0),""),IFNA(MATCH($B57,'DIVISION 15'!$A$7:$H$7,0),""),IFNA(MATCH($B57,'DIVISION 15'!$A$8:$H$8,0),""),IFNA(MATCH($B57,'DIVISION 15'!$A$9:$H$9,0),""),IFNA(MATCH($B57,'DIVISION 15'!$A$10:$H$10,0),""),IFNA(MATCH($B57,'DIVISION 15'!$A$11:$H$11,0),""),IFNA(MATCH($B57,'DIVISION 15'!$A$12:$H$12,0),""),IFNA(MATCH($B57,'DIVISION 15'!$A$13:$H$13,0),""),IFNA(MATCH($B57,'DIVISION 15'!$A$14:$H$14,0),""),IFNA(MATCH($B57,'DIVISION 15'!$A$15:$H$15,0),""),IFNA(MATCH($B57,'DIVISION 15'!$A$16:$H$16,0),""),IFNA(MATCH($B57,'DIVISION 15'!$A$17:$H$17,0),""),IFNA(MATCH($B57,'DIVISION 15'!$A$18:$H$18,0),""))=5,'DIVISION 15'!$E$1,SUM(IFNA(MATCH($B57,'DIVISION 15'!$A$2:$H$2,0),""),IFNA(MATCH($B57,'DIVISION 15'!$A$3:$H$3,0),""),IFNA(MATCH($B57,'DIVISION 15'!$A$4:$H$4,0),""),IFNA(MATCH($B57,'DIVISION 15'!$A$5:$H$5,0),""),IFNA(MATCH($B57,'DIVISION 15'!$A$6:$H$6,0),""),IFNA(MATCH($B57,'DIVISION 15'!$A$7:$H$7,0),""),IFNA(MATCH($B57,'DIVISION 15'!$A$8:$H$8,0),""),IFNA(MATCH($B57,'DIVISION 15'!$A$9:$H$9,0),""),IFNA(MATCH($B57,'DIVISION 15'!$A$10:$H$10,0),""),IFNA(MATCH($B57,'DIVISION 15'!$A$11:$H$11,0),""),IFNA(MATCH($B57,'DIVISION 15'!$A$12:$H$12,0),""),IFNA(MATCH($B57,'DIVISION 15'!$A$13:$H$13,0),""),IFNA(MATCH($B57,'DIVISION 15'!$A$14:$H$14,0),""),IFNA(MATCH($B57,'DIVISION 15'!$A$15:$H$15,0),""),IFNA(MATCH($B57,'DIVISION 15'!$A$16:$H$16,0),""),IFNA(MATCH($B57,'DIVISION 15'!$A$17:$H$17,0),""),IFNA(MATCH($B57,'DIVISION 15'!$A$18:$H$18,0),""))=6,'DIVISION 15'!$F$1,SUM(IFNA(MATCH($B57,'DIVISION 15'!$A$2:$H$2,0),""),IFNA(MATCH($B57,'DIVISION 15'!$A$3:$H$3,0),""),IFNA(MATCH($B57,'DIVISION 15'!$A$4:$H$4,0),""),IFNA(MATCH($B57,'DIVISION 15'!$A$5:$H$5,0),""),IFNA(MATCH($B57,'DIVISION 15'!$A$6:$H$6,0),""),IFNA(MATCH($B57,'DIVISION 15'!$A$7:$H$7,0),""),IFNA(MATCH($B57,'DIVISION 15'!$A$8:$H$8,0),""),IFNA(MATCH($B57,'DIVISION 15'!$A$9:$H$9,0),""),IFNA(MATCH($B57,'DIVISION 15'!$A$10:$H$10,0),""),IFNA(MATCH($B57,'DIVISION 15'!$A$11:$H$11,0),""),IFNA(MATCH($B57,'DIVISION 15'!$A$12:$H$12,0),""),IFNA(MATCH($B57,'DIVISION 15'!$A$13:$H$13,0),""),IFNA(MATCH($B57,'DIVISION 15'!$A$14:$H$14,0),""),IFNA(MATCH($B57,'DIVISION 15'!$A$15:$H$15,0),""),IFNA(MATCH($B57,'DIVISION 15'!$A$16:$H$16,0),""),IFNA(MATCH($B57,'DIVISION 15'!$A$17:$H$17,0),""),IFNA(MATCH($B57,'DIVISION 15'!$A$18:$H$18,0),""))=7,'DIVISION 15'!$G$1,SUM(IFNA(MATCH($B57,'DIVISION 15'!$A$2:$H$2,0),""),IFNA(MATCH($B57,'DIVISION 15'!$A$3:$H$3,0),""),IFNA(MATCH($B57,'DIVISION 15'!$A$4:$H$4,0),""),IFNA(MATCH($B57,'DIVISION 15'!$A$5:$H$5,0),""),IFNA(MATCH($B57,'DIVISION 15'!$A$6:$H$6,0),""),IFNA(MATCH($B57,'DIVISION 15'!$A$7:$H$7,0),""),IFNA(MATCH($B57,'DIVISION 15'!$A$8:$H$8,0),""),IFNA(MATCH($B57,'DIVISION 15'!$A$9:$H$9,0),""),IFNA(MATCH($B57,'DIVISION 15'!$A$10:$H$10,0),""),IFNA(MATCH($B57,'DIVISION 15'!$A$11:$H$11,0),""),IFNA(MATCH($B57,'DIVISION 15'!$A$12:$H$12,0),""),IFNA(MATCH($B57,'DIVISION 15'!$A$13:$H$13,0),""),IFNA(MATCH($B57,'DIVISION 15'!$A$14:$H$14,0),""),IFNA(MATCH($B57,'DIVISION 15'!$A$15:$H$15,0),""),IFNA(MATCH($B57,'DIVISION 15'!$A$16:$H$16,0),""),IFNA(MATCH($B57,'DIVISION 15'!$A$17:$H$17,0),""),IFNA(MATCH($B57,'DIVISION 15'!$A$18:$H$18,0),""))=8,'DIVISION 15'!$H$1)</f>
        <v>GONZI</v>
      </c>
      <c r="U57" s="8" t="str">
        <f t="shared" si="2"/>
        <v>GONZI5</v>
      </c>
      <c r="V57" s="9">
        <f>SUMIF(AsistenciaViewJetAdmin!$A$3:$A$101,A57,AsistenciaViewJetAdmin!$C$3:$C$101)/(COUNTIF(AsistenciaViewJetAdmin!$D$102:V$102,"&gt;0")+COUNTIF(ActividadesEspeciales!$D$102:V$102,"&gt;0"))*100</f>
        <v>70.74468085</v>
      </c>
    </row>
    <row r="58" ht="28.5" customHeight="1">
      <c r="A58" s="3">
        <v>121.0</v>
      </c>
      <c r="B58" s="4" t="s">
        <v>496</v>
      </c>
      <c r="C58" s="5">
        <v>1060902.0</v>
      </c>
      <c r="D58" s="7" t="s">
        <v>497</v>
      </c>
      <c r="E58" s="5">
        <v>5.0031655E7</v>
      </c>
      <c r="F58" s="5" t="s">
        <v>498</v>
      </c>
      <c r="G58" s="7">
        <v>1.162240257E9</v>
      </c>
      <c r="H58" s="5" t="s">
        <v>499</v>
      </c>
      <c r="I58" s="5" t="s">
        <v>500</v>
      </c>
      <c r="J58" s="7">
        <v>1.151801944E9</v>
      </c>
      <c r="K58" s="5" t="s">
        <v>501</v>
      </c>
      <c r="L58" s="5" t="s">
        <v>502</v>
      </c>
      <c r="M58" s="7">
        <v>1.153450173E9</v>
      </c>
      <c r="N58" s="5" t="s">
        <v>51</v>
      </c>
      <c r="O58" s="5" t="s">
        <v>416</v>
      </c>
      <c r="P58" s="5" t="s">
        <v>53</v>
      </c>
      <c r="Q58" s="5" t="s">
        <v>30</v>
      </c>
      <c r="R58" s="5" t="s">
        <v>31</v>
      </c>
      <c r="S58" s="5" t="s">
        <v>32</v>
      </c>
      <c r="T58" s="8" t="str">
        <f>IFS(SUM(IFNA(MATCH($B58,'DIVISION 15'!$A$2:$H$2,0),""),IFNA(MATCH($B58,'DIVISION 15'!$A$3:$H$3,0),""),IFNA(MATCH($B58,'DIVISION 15'!$A$4:$H$4,0),""),IFNA(MATCH($B58,'DIVISION 15'!$A$5:$H$5,0),""),IFNA(MATCH($B58,'DIVISION 15'!$A$6:$H$6,0),""),IFNA(MATCH($B58,'DIVISION 15'!$A$7:$H$7,0),""),IFNA(MATCH($B58,'DIVISION 15'!$A$8:$H$8,0),""),IFNA(MATCH($B58,'DIVISION 15'!$A$9:$H$9,0),""),IFNA(MATCH($B58,'DIVISION 15'!$A$10:$H$10,0),""),IFNA(MATCH($B58,'DIVISION 15'!$A$11:$H$11,0),""),IFNA(MATCH($B58,'DIVISION 15'!$A$12:$H$12,0),""),IFNA(MATCH($B58,'DIVISION 15'!$A$13:$H$13,0),""),IFNA(MATCH($B58,'DIVISION 15'!$A$14:$H$14,0),""),IFNA(MATCH($B58,'DIVISION 15'!$A$15:$H$15,0),""),IFNA(MATCH($B58,'DIVISION 15'!$A$16:$H$16,0),""),IFNA(MATCH($B58,'DIVISION 15'!$A$17:$H$17,0),""),IFNA(MATCH($B58,'DIVISION 15'!$A$18:$H$18,0),""))=1,'DIVISION 15'!$A$1,SUM(IFNA(MATCH($B58,'DIVISION 15'!$A$2:$H$2,0),""),IFNA(MATCH($B58,'DIVISION 15'!$A$3:$H$3,0),""),IFNA(MATCH($B58,'DIVISION 15'!$A$4:$H$4,0),""),IFNA(MATCH($B58,'DIVISION 15'!$A$5:$H$5,0),""),IFNA(MATCH($B58,'DIVISION 15'!$A$6:$H$6,0),""),IFNA(MATCH($B58,'DIVISION 15'!$A$7:$H$7,0),""),IFNA(MATCH($B58,'DIVISION 15'!$A$8:$H$8,0),""),IFNA(MATCH($B58,'DIVISION 15'!$A$9:$H$9,0),""),IFNA(MATCH($B58,'DIVISION 15'!$A$10:$H$10,0),""),IFNA(MATCH($B58,'DIVISION 15'!$A$11:$H$11,0),""),IFNA(MATCH($B58,'DIVISION 15'!$A$12:$H$12,0),""),IFNA(MATCH($B58,'DIVISION 15'!$A$13:$H$13,0),""),IFNA(MATCH($B58,'DIVISION 15'!$A$14:$H$14,0),""),IFNA(MATCH($B58,'DIVISION 15'!$A$15:$H$15,0),""),IFNA(MATCH($B58,'DIVISION 15'!$A$16:$H$16,0),""),IFNA(MATCH($B58,'DIVISION 15'!$A$17:$H$17,0),""),IFNA(MATCH($B58,'DIVISION 15'!$A$18:$H$18,0),""))=2,'DIVISION 15'!$B$1,SUM(IFNA(MATCH($B58,'DIVISION 15'!$A$2:$H$2,0),""),IFNA(MATCH($B58,'DIVISION 15'!$A$3:$H$3,0),""),IFNA(MATCH($B58,'DIVISION 15'!$A$4:$H$4,0),""),IFNA(MATCH($B58,'DIVISION 15'!$A$5:$H$5,0),""),IFNA(MATCH($B58,'DIVISION 15'!$A$6:$H$6,0),""),IFNA(MATCH($B58,'DIVISION 15'!$A$7:$H$7,0),""),IFNA(MATCH($B58,'DIVISION 15'!$A$8:$H$8,0),""),IFNA(MATCH($B58,'DIVISION 15'!$A$9:$H$9,0),""),IFNA(MATCH($B58,'DIVISION 15'!$A$10:$H$10,0),""),IFNA(MATCH($B58,'DIVISION 15'!$A$11:$H$11,0),""),IFNA(MATCH($B58,'DIVISION 15'!$A$12:$H$12,0),""),IFNA(MATCH($B58,'DIVISION 15'!$A$13:$H$13,0),""),IFNA(MATCH($B58,'DIVISION 15'!$A$14:$H$14,0),""),IFNA(MATCH($B58,'DIVISION 15'!$A$15:$H$15,0),""),IFNA(MATCH($B58,'DIVISION 15'!$A$16:$H$16,0),""),IFNA(MATCH($B58,'DIVISION 15'!$A$17:$H$17,0),""),IFNA(MATCH($B58,'DIVISION 15'!$A$18:$H$18,0),""))=3,'DIVISION 15'!$C$1,SUM(IFNA(MATCH($B58,'DIVISION 15'!$A$2:$H$2,0),""),IFNA(MATCH($B58,'DIVISION 15'!$A$3:$H$3,0),""),IFNA(MATCH($B58,'DIVISION 15'!$A$4:$H$4,0),""),IFNA(MATCH($B58,'DIVISION 15'!$A$5:$H$5,0),""),IFNA(MATCH($B58,'DIVISION 15'!$A$6:$H$6,0),""),IFNA(MATCH($B58,'DIVISION 15'!$A$7:$H$7,0),""),IFNA(MATCH($B58,'DIVISION 15'!$A$8:$H$8,0),""),IFNA(MATCH($B58,'DIVISION 15'!$A$9:$H$9,0),""),IFNA(MATCH($B58,'DIVISION 15'!$A$10:$H$10,0),""),IFNA(MATCH($B58,'DIVISION 15'!$A$11:$H$11,0),""),IFNA(MATCH($B58,'DIVISION 15'!$A$12:$H$12,0),""),IFNA(MATCH($B58,'DIVISION 15'!$A$13:$H$13,0),""),IFNA(MATCH($B58,'DIVISION 15'!$A$14:$H$14,0),""),IFNA(MATCH($B58,'DIVISION 15'!$A$15:$H$15,0),""),IFNA(MATCH($B58,'DIVISION 15'!$A$16:$H$16,0),""),IFNA(MATCH($B58,'DIVISION 15'!$A$17:$H$17,0),""),IFNA(MATCH($B58,'DIVISION 15'!$A$18:$H$18,0),""))=4,'DIVISION 15'!$D$1,SUM(IFNA(MATCH($B58,'DIVISION 15'!$A$2:$H$2,0),""),IFNA(MATCH($B58,'DIVISION 15'!$A$3:$H$3,0),""),IFNA(MATCH($B58,'DIVISION 15'!$A$4:$H$4,0),""),IFNA(MATCH($B58,'DIVISION 15'!$A$5:$H$5,0),""),IFNA(MATCH($B58,'DIVISION 15'!$A$6:$H$6,0),""),IFNA(MATCH($B58,'DIVISION 15'!$A$7:$H$7,0),""),IFNA(MATCH($B58,'DIVISION 15'!$A$8:$H$8,0),""),IFNA(MATCH($B58,'DIVISION 15'!$A$9:$H$9,0),""),IFNA(MATCH($B58,'DIVISION 15'!$A$10:$H$10,0),""),IFNA(MATCH($B58,'DIVISION 15'!$A$11:$H$11,0),""),IFNA(MATCH($B58,'DIVISION 15'!$A$12:$H$12,0),""),IFNA(MATCH($B58,'DIVISION 15'!$A$13:$H$13,0),""),IFNA(MATCH($B58,'DIVISION 15'!$A$14:$H$14,0),""),IFNA(MATCH($B58,'DIVISION 15'!$A$15:$H$15,0),""),IFNA(MATCH($B58,'DIVISION 15'!$A$16:$H$16,0),""),IFNA(MATCH($B58,'DIVISION 15'!$A$17:$H$17,0),""),IFNA(MATCH($B58,'DIVISION 15'!$A$18:$H$18,0),""))=5,'DIVISION 15'!$E$1,SUM(IFNA(MATCH($B58,'DIVISION 15'!$A$2:$H$2,0),""),IFNA(MATCH($B58,'DIVISION 15'!$A$3:$H$3,0),""),IFNA(MATCH($B58,'DIVISION 15'!$A$4:$H$4,0),""),IFNA(MATCH($B58,'DIVISION 15'!$A$5:$H$5,0),""),IFNA(MATCH($B58,'DIVISION 15'!$A$6:$H$6,0),""),IFNA(MATCH($B58,'DIVISION 15'!$A$7:$H$7,0),""),IFNA(MATCH($B58,'DIVISION 15'!$A$8:$H$8,0),""),IFNA(MATCH($B58,'DIVISION 15'!$A$9:$H$9,0),""),IFNA(MATCH($B58,'DIVISION 15'!$A$10:$H$10,0),""),IFNA(MATCH($B58,'DIVISION 15'!$A$11:$H$11,0),""),IFNA(MATCH($B58,'DIVISION 15'!$A$12:$H$12,0),""),IFNA(MATCH($B58,'DIVISION 15'!$A$13:$H$13,0),""),IFNA(MATCH($B58,'DIVISION 15'!$A$14:$H$14,0),""),IFNA(MATCH($B58,'DIVISION 15'!$A$15:$H$15,0),""),IFNA(MATCH($B58,'DIVISION 15'!$A$16:$H$16,0),""),IFNA(MATCH($B58,'DIVISION 15'!$A$17:$H$17,0),""),IFNA(MATCH($B58,'DIVISION 15'!$A$18:$H$18,0),""))=6,'DIVISION 15'!$F$1,SUM(IFNA(MATCH($B58,'DIVISION 15'!$A$2:$H$2,0),""),IFNA(MATCH($B58,'DIVISION 15'!$A$3:$H$3,0),""),IFNA(MATCH($B58,'DIVISION 15'!$A$4:$H$4,0),""),IFNA(MATCH($B58,'DIVISION 15'!$A$5:$H$5,0),""),IFNA(MATCH($B58,'DIVISION 15'!$A$6:$H$6,0),""),IFNA(MATCH($B58,'DIVISION 15'!$A$7:$H$7,0),""),IFNA(MATCH($B58,'DIVISION 15'!$A$8:$H$8,0),""),IFNA(MATCH($B58,'DIVISION 15'!$A$9:$H$9,0),""),IFNA(MATCH($B58,'DIVISION 15'!$A$10:$H$10,0),""),IFNA(MATCH($B58,'DIVISION 15'!$A$11:$H$11,0),""),IFNA(MATCH($B58,'DIVISION 15'!$A$12:$H$12,0),""),IFNA(MATCH($B58,'DIVISION 15'!$A$13:$H$13,0),""),IFNA(MATCH($B58,'DIVISION 15'!$A$14:$H$14,0),""),IFNA(MATCH($B58,'DIVISION 15'!$A$15:$H$15,0),""),IFNA(MATCH($B58,'DIVISION 15'!$A$16:$H$16,0),""),IFNA(MATCH($B58,'DIVISION 15'!$A$17:$H$17,0),""),IFNA(MATCH($B58,'DIVISION 15'!$A$18:$H$18,0),""))=7,'DIVISION 15'!$G$1,SUM(IFNA(MATCH($B58,'DIVISION 15'!$A$2:$H$2,0),""),IFNA(MATCH($B58,'DIVISION 15'!$A$3:$H$3,0),""),IFNA(MATCH($B58,'DIVISION 15'!$A$4:$H$4,0),""),IFNA(MATCH($B58,'DIVISION 15'!$A$5:$H$5,0),""),IFNA(MATCH($B58,'DIVISION 15'!$A$6:$H$6,0),""),IFNA(MATCH($B58,'DIVISION 15'!$A$7:$H$7,0),""),IFNA(MATCH($B58,'DIVISION 15'!$A$8:$H$8,0),""),IFNA(MATCH($B58,'DIVISION 15'!$A$9:$H$9,0),""),IFNA(MATCH($B58,'DIVISION 15'!$A$10:$H$10,0),""),IFNA(MATCH($B58,'DIVISION 15'!$A$11:$H$11,0),""),IFNA(MATCH($B58,'DIVISION 15'!$A$12:$H$12,0),""),IFNA(MATCH($B58,'DIVISION 15'!$A$13:$H$13,0),""),IFNA(MATCH($B58,'DIVISION 15'!$A$14:$H$14,0),""),IFNA(MATCH($B58,'DIVISION 15'!$A$15:$H$15,0),""),IFNA(MATCH($B58,'DIVISION 15'!$A$16:$H$16,0),""),IFNA(MATCH($B58,'DIVISION 15'!$A$17:$H$17,0),""),IFNA(MATCH($B58,'DIVISION 15'!$A$18:$H$18,0),""))=8,'DIVISION 15'!$H$1)</f>
        <v>MELU</v>
      </c>
      <c r="U58" s="8" t="str">
        <f t="shared" si="2"/>
        <v>MELU11</v>
      </c>
      <c r="V58" s="9">
        <f>SUMIF(AsistenciaViewJetAdmin!$A$3:$A$101,A58,AsistenciaViewJetAdmin!$C$3:$C$101)/(COUNTIF(AsistenciaViewJetAdmin!$D$102:V$102,"&gt;0")+COUNTIF(ActividadesEspeciales!$D$102:V$102,"&gt;0"))*100</f>
        <v>54.25531915</v>
      </c>
    </row>
    <row r="59" ht="28.5" customHeight="1">
      <c r="A59" s="3">
        <v>103.0</v>
      </c>
      <c r="B59" s="4" t="s">
        <v>503</v>
      </c>
      <c r="C59" s="5">
        <v>1028203.0</v>
      </c>
      <c r="D59" s="6">
        <v>40427.0</v>
      </c>
      <c r="E59" s="5">
        <v>5.0324284E7</v>
      </c>
      <c r="F59" s="5" t="s">
        <v>504</v>
      </c>
      <c r="G59" s="7">
        <v>1.1649078E9</v>
      </c>
      <c r="H59" s="5" t="s">
        <v>505</v>
      </c>
      <c r="I59" s="5" t="s">
        <v>506</v>
      </c>
      <c r="J59" s="11">
        <v>115.0</v>
      </c>
      <c r="K59" s="5" t="s">
        <v>507</v>
      </c>
      <c r="L59" s="5" t="s">
        <v>508</v>
      </c>
      <c r="M59" s="7">
        <v>1.14406534E9</v>
      </c>
      <c r="N59" s="5" t="s">
        <v>220</v>
      </c>
      <c r="O59" s="5" t="s">
        <v>509</v>
      </c>
      <c r="P59" s="5" t="s">
        <v>120</v>
      </c>
      <c r="Q59" s="5" t="s">
        <v>30</v>
      </c>
      <c r="R59" s="5" t="s">
        <v>31</v>
      </c>
      <c r="S59" s="5" t="s">
        <v>32</v>
      </c>
      <c r="T59" s="8" t="str">
        <f>IFS(SUM(IFNA(MATCH($B59,'DIVISION 15'!$A$2:$H$2,0),""),IFNA(MATCH($B59,'DIVISION 15'!$A$3:$H$3,0),""),IFNA(MATCH($B59,'DIVISION 15'!$A$4:$H$4,0),""),IFNA(MATCH($B59,'DIVISION 15'!$A$5:$H$5,0),""),IFNA(MATCH($B59,'DIVISION 15'!$A$6:$H$6,0),""),IFNA(MATCH($B59,'DIVISION 15'!$A$7:$H$7,0),""),IFNA(MATCH($B59,'DIVISION 15'!$A$8:$H$8,0),""),IFNA(MATCH($B59,'DIVISION 15'!$A$9:$H$9,0),""),IFNA(MATCH($B59,'DIVISION 15'!$A$10:$H$10,0),""),IFNA(MATCH($B59,'DIVISION 15'!$A$11:$H$11,0),""),IFNA(MATCH($B59,'DIVISION 15'!$A$12:$H$12,0),""),IFNA(MATCH($B59,'DIVISION 15'!$A$13:$H$13,0),""),IFNA(MATCH($B59,'DIVISION 15'!$A$14:$H$14,0),""),IFNA(MATCH($B59,'DIVISION 15'!$A$15:$H$15,0),""),IFNA(MATCH($B59,'DIVISION 15'!$A$16:$H$16,0),""),IFNA(MATCH($B59,'DIVISION 15'!$A$17:$H$17,0),""),IFNA(MATCH($B59,'DIVISION 15'!$A$18:$H$18,0),""))=1,'DIVISION 15'!$A$1,SUM(IFNA(MATCH($B59,'DIVISION 15'!$A$2:$H$2,0),""),IFNA(MATCH($B59,'DIVISION 15'!$A$3:$H$3,0),""),IFNA(MATCH($B59,'DIVISION 15'!$A$4:$H$4,0),""),IFNA(MATCH($B59,'DIVISION 15'!$A$5:$H$5,0),""),IFNA(MATCH($B59,'DIVISION 15'!$A$6:$H$6,0),""),IFNA(MATCH($B59,'DIVISION 15'!$A$7:$H$7,0),""),IFNA(MATCH($B59,'DIVISION 15'!$A$8:$H$8,0),""),IFNA(MATCH($B59,'DIVISION 15'!$A$9:$H$9,0),""),IFNA(MATCH($B59,'DIVISION 15'!$A$10:$H$10,0),""),IFNA(MATCH($B59,'DIVISION 15'!$A$11:$H$11,0),""),IFNA(MATCH($B59,'DIVISION 15'!$A$12:$H$12,0),""),IFNA(MATCH($B59,'DIVISION 15'!$A$13:$H$13,0),""),IFNA(MATCH($B59,'DIVISION 15'!$A$14:$H$14,0),""),IFNA(MATCH($B59,'DIVISION 15'!$A$15:$H$15,0),""),IFNA(MATCH($B59,'DIVISION 15'!$A$16:$H$16,0),""),IFNA(MATCH($B59,'DIVISION 15'!$A$17:$H$17,0),""),IFNA(MATCH($B59,'DIVISION 15'!$A$18:$H$18,0),""))=2,'DIVISION 15'!$B$1,SUM(IFNA(MATCH($B59,'DIVISION 15'!$A$2:$H$2,0),""),IFNA(MATCH($B59,'DIVISION 15'!$A$3:$H$3,0),""),IFNA(MATCH($B59,'DIVISION 15'!$A$4:$H$4,0),""),IFNA(MATCH($B59,'DIVISION 15'!$A$5:$H$5,0),""),IFNA(MATCH($B59,'DIVISION 15'!$A$6:$H$6,0),""),IFNA(MATCH($B59,'DIVISION 15'!$A$7:$H$7,0),""),IFNA(MATCH($B59,'DIVISION 15'!$A$8:$H$8,0),""),IFNA(MATCH($B59,'DIVISION 15'!$A$9:$H$9,0),""),IFNA(MATCH($B59,'DIVISION 15'!$A$10:$H$10,0),""),IFNA(MATCH($B59,'DIVISION 15'!$A$11:$H$11,0),""),IFNA(MATCH($B59,'DIVISION 15'!$A$12:$H$12,0),""),IFNA(MATCH($B59,'DIVISION 15'!$A$13:$H$13,0),""),IFNA(MATCH($B59,'DIVISION 15'!$A$14:$H$14,0),""),IFNA(MATCH($B59,'DIVISION 15'!$A$15:$H$15,0),""),IFNA(MATCH($B59,'DIVISION 15'!$A$16:$H$16,0),""),IFNA(MATCH($B59,'DIVISION 15'!$A$17:$H$17,0),""),IFNA(MATCH($B59,'DIVISION 15'!$A$18:$H$18,0),""))=3,'DIVISION 15'!$C$1,SUM(IFNA(MATCH($B59,'DIVISION 15'!$A$2:$H$2,0),""),IFNA(MATCH($B59,'DIVISION 15'!$A$3:$H$3,0),""),IFNA(MATCH($B59,'DIVISION 15'!$A$4:$H$4,0),""),IFNA(MATCH($B59,'DIVISION 15'!$A$5:$H$5,0),""),IFNA(MATCH($B59,'DIVISION 15'!$A$6:$H$6,0),""),IFNA(MATCH($B59,'DIVISION 15'!$A$7:$H$7,0),""),IFNA(MATCH($B59,'DIVISION 15'!$A$8:$H$8,0),""),IFNA(MATCH($B59,'DIVISION 15'!$A$9:$H$9,0),""),IFNA(MATCH($B59,'DIVISION 15'!$A$10:$H$10,0),""),IFNA(MATCH($B59,'DIVISION 15'!$A$11:$H$11,0),""),IFNA(MATCH($B59,'DIVISION 15'!$A$12:$H$12,0),""),IFNA(MATCH($B59,'DIVISION 15'!$A$13:$H$13,0),""),IFNA(MATCH($B59,'DIVISION 15'!$A$14:$H$14,0),""),IFNA(MATCH($B59,'DIVISION 15'!$A$15:$H$15,0),""),IFNA(MATCH($B59,'DIVISION 15'!$A$16:$H$16,0),""),IFNA(MATCH($B59,'DIVISION 15'!$A$17:$H$17,0),""),IFNA(MATCH($B59,'DIVISION 15'!$A$18:$H$18,0),""))=4,'DIVISION 15'!$D$1,SUM(IFNA(MATCH($B59,'DIVISION 15'!$A$2:$H$2,0),""),IFNA(MATCH($B59,'DIVISION 15'!$A$3:$H$3,0),""),IFNA(MATCH($B59,'DIVISION 15'!$A$4:$H$4,0),""),IFNA(MATCH($B59,'DIVISION 15'!$A$5:$H$5,0),""),IFNA(MATCH($B59,'DIVISION 15'!$A$6:$H$6,0),""),IFNA(MATCH($B59,'DIVISION 15'!$A$7:$H$7,0),""),IFNA(MATCH($B59,'DIVISION 15'!$A$8:$H$8,0),""),IFNA(MATCH($B59,'DIVISION 15'!$A$9:$H$9,0),""),IFNA(MATCH($B59,'DIVISION 15'!$A$10:$H$10,0),""),IFNA(MATCH($B59,'DIVISION 15'!$A$11:$H$11,0),""),IFNA(MATCH($B59,'DIVISION 15'!$A$12:$H$12,0),""),IFNA(MATCH($B59,'DIVISION 15'!$A$13:$H$13,0),""),IFNA(MATCH($B59,'DIVISION 15'!$A$14:$H$14,0),""),IFNA(MATCH($B59,'DIVISION 15'!$A$15:$H$15,0),""),IFNA(MATCH($B59,'DIVISION 15'!$A$16:$H$16,0),""),IFNA(MATCH($B59,'DIVISION 15'!$A$17:$H$17,0),""),IFNA(MATCH($B59,'DIVISION 15'!$A$18:$H$18,0),""))=5,'DIVISION 15'!$E$1,SUM(IFNA(MATCH($B59,'DIVISION 15'!$A$2:$H$2,0),""),IFNA(MATCH($B59,'DIVISION 15'!$A$3:$H$3,0),""),IFNA(MATCH($B59,'DIVISION 15'!$A$4:$H$4,0),""),IFNA(MATCH($B59,'DIVISION 15'!$A$5:$H$5,0),""),IFNA(MATCH($B59,'DIVISION 15'!$A$6:$H$6,0),""),IFNA(MATCH($B59,'DIVISION 15'!$A$7:$H$7,0),""),IFNA(MATCH($B59,'DIVISION 15'!$A$8:$H$8,0),""),IFNA(MATCH($B59,'DIVISION 15'!$A$9:$H$9,0),""),IFNA(MATCH($B59,'DIVISION 15'!$A$10:$H$10,0),""),IFNA(MATCH($B59,'DIVISION 15'!$A$11:$H$11,0),""),IFNA(MATCH($B59,'DIVISION 15'!$A$12:$H$12,0),""),IFNA(MATCH($B59,'DIVISION 15'!$A$13:$H$13,0),""),IFNA(MATCH($B59,'DIVISION 15'!$A$14:$H$14,0),""),IFNA(MATCH($B59,'DIVISION 15'!$A$15:$H$15,0),""),IFNA(MATCH($B59,'DIVISION 15'!$A$16:$H$16,0),""),IFNA(MATCH($B59,'DIVISION 15'!$A$17:$H$17,0),""),IFNA(MATCH($B59,'DIVISION 15'!$A$18:$H$18,0),""))=6,'DIVISION 15'!$F$1,SUM(IFNA(MATCH($B59,'DIVISION 15'!$A$2:$H$2,0),""),IFNA(MATCH($B59,'DIVISION 15'!$A$3:$H$3,0),""),IFNA(MATCH($B59,'DIVISION 15'!$A$4:$H$4,0),""),IFNA(MATCH($B59,'DIVISION 15'!$A$5:$H$5,0),""),IFNA(MATCH($B59,'DIVISION 15'!$A$6:$H$6,0),""),IFNA(MATCH($B59,'DIVISION 15'!$A$7:$H$7,0),""),IFNA(MATCH($B59,'DIVISION 15'!$A$8:$H$8,0),""),IFNA(MATCH($B59,'DIVISION 15'!$A$9:$H$9,0),""),IFNA(MATCH($B59,'DIVISION 15'!$A$10:$H$10,0),""),IFNA(MATCH($B59,'DIVISION 15'!$A$11:$H$11,0),""),IFNA(MATCH($B59,'DIVISION 15'!$A$12:$H$12,0),""),IFNA(MATCH($B59,'DIVISION 15'!$A$13:$H$13,0),""),IFNA(MATCH($B59,'DIVISION 15'!$A$14:$H$14,0),""),IFNA(MATCH($B59,'DIVISION 15'!$A$15:$H$15,0),""),IFNA(MATCH($B59,'DIVISION 15'!$A$16:$H$16,0),""),IFNA(MATCH($B59,'DIVISION 15'!$A$17:$H$17,0),""),IFNA(MATCH($B59,'DIVISION 15'!$A$18:$H$18,0),""))=7,'DIVISION 15'!$G$1,SUM(IFNA(MATCH($B59,'DIVISION 15'!$A$2:$H$2,0),""),IFNA(MATCH($B59,'DIVISION 15'!$A$3:$H$3,0),""),IFNA(MATCH($B59,'DIVISION 15'!$A$4:$H$4,0),""),IFNA(MATCH($B59,'DIVISION 15'!$A$5:$H$5,0),""),IFNA(MATCH($B59,'DIVISION 15'!$A$6:$H$6,0),""),IFNA(MATCH($B59,'DIVISION 15'!$A$7:$H$7,0),""),IFNA(MATCH($B59,'DIVISION 15'!$A$8:$H$8,0),""),IFNA(MATCH($B59,'DIVISION 15'!$A$9:$H$9,0),""),IFNA(MATCH($B59,'DIVISION 15'!$A$10:$H$10,0),""),IFNA(MATCH($B59,'DIVISION 15'!$A$11:$H$11,0),""),IFNA(MATCH($B59,'DIVISION 15'!$A$12:$H$12,0),""),IFNA(MATCH($B59,'DIVISION 15'!$A$13:$H$13,0),""),IFNA(MATCH($B59,'DIVISION 15'!$A$14:$H$14,0),""),IFNA(MATCH($B59,'DIVISION 15'!$A$15:$H$15,0),""),IFNA(MATCH($B59,'DIVISION 15'!$A$16:$H$16,0),""),IFNA(MATCH($B59,'DIVISION 15'!$A$17:$H$17,0),""),IFNA(MATCH($B59,'DIVISION 15'!$A$18:$H$18,0),""))=8,'DIVISION 15'!$H$1)</f>
        <v>MARTO</v>
      </c>
      <c r="U59" s="8" t="str">
        <f t="shared" si="2"/>
        <v>MARTO10</v>
      </c>
      <c r="V59" s="9">
        <f>SUMIF(AsistenciaViewJetAdmin!$A$3:$A$101,A59,AsistenciaViewJetAdmin!$C$3:$C$101)/(COUNTIF(AsistenciaViewJetAdmin!$D$102:V$102,"&gt;0")+COUNTIF(ActividadesEspeciales!$D$102:V$102,"&gt;0"))*100</f>
        <v>63.82978723</v>
      </c>
    </row>
    <row r="60" ht="28.5" customHeight="1">
      <c r="A60" s="3">
        <v>181.0</v>
      </c>
      <c r="B60" s="4" t="s">
        <v>510</v>
      </c>
      <c r="C60" s="5">
        <v>1063902.0</v>
      </c>
      <c r="D60" s="6">
        <v>39942.0</v>
      </c>
      <c r="E60" s="5">
        <v>4.9703409E7</v>
      </c>
      <c r="F60" s="5" t="s">
        <v>511</v>
      </c>
      <c r="G60" s="7">
        <v>1.169404856E9</v>
      </c>
      <c r="H60" s="5" t="s">
        <v>512</v>
      </c>
      <c r="I60" s="5" t="s">
        <v>513</v>
      </c>
      <c r="J60" s="7">
        <v>1.151852811E9</v>
      </c>
      <c r="K60" s="5" t="s">
        <v>514</v>
      </c>
      <c r="L60" s="5" t="s">
        <v>515</v>
      </c>
      <c r="M60" s="7">
        <v>1.132140115E9</v>
      </c>
      <c r="N60" s="5" t="s">
        <v>40</v>
      </c>
      <c r="O60" s="5" t="s">
        <v>352</v>
      </c>
      <c r="P60" s="5" t="s">
        <v>120</v>
      </c>
      <c r="Q60" s="5" t="s">
        <v>74</v>
      </c>
      <c r="R60" s="5"/>
      <c r="S60" s="5" t="s">
        <v>43</v>
      </c>
      <c r="T60" s="8" t="str">
        <f>IFS(SUM(IFNA(MATCH($B60,'DIVISION 15'!$A$2:$H$2,0),""),IFNA(MATCH($B60,'DIVISION 15'!$A$3:$H$3,0),""),IFNA(MATCH($B60,'DIVISION 15'!$A$4:$H$4,0),""),IFNA(MATCH($B60,'DIVISION 15'!$A$5:$H$5,0),""),IFNA(MATCH($B60,'DIVISION 15'!$A$6:$H$6,0),""),IFNA(MATCH($B60,'DIVISION 15'!$A$7:$H$7,0),""),IFNA(MATCH($B60,'DIVISION 15'!$A$8:$H$8,0),""),IFNA(MATCH($B60,'DIVISION 15'!$A$9:$H$9,0),""),IFNA(MATCH($B60,'DIVISION 15'!$A$10:$H$10,0),""),IFNA(MATCH($B60,'DIVISION 15'!$A$11:$H$11,0),""),IFNA(MATCH($B60,'DIVISION 15'!$A$12:$H$12,0),""),IFNA(MATCH($B60,'DIVISION 15'!$A$13:$H$13,0),""),IFNA(MATCH($B60,'DIVISION 15'!$A$14:$H$14,0),""),IFNA(MATCH($B60,'DIVISION 15'!$A$15:$H$15,0),""),IFNA(MATCH($B60,'DIVISION 15'!$A$16:$H$16,0),""),IFNA(MATCH($B60,'DIVISION 15'!$A$17:$H$17,0),""),IFNA(MATCH($B60,'DIVISION 15'!$A$18:$H$18,0),""))=1,'DIVISION 15'!$A$1,SUM(IFNA(MATCH($B60,'DIVISION 15'!$A$2:$H$2,0),""),IFNA(MATCH($B60,'DIVISION 15'!$A$3:$H$3,0),""),IFNA(MATCH($B60,'DIVISION 15'!$A$4:$H$4,0),""),IFNA(MATCH($B60,'DIVISION 15'!$A$5:$H$5,0),""),IFNA(MATCH($B60,'DIVISION 15'!$A$6:$H$6,0),""),IFNA(MATCH($B60,'DIVISION 15'!$A$7:$H$7,0),""),IFNA(MATCH($B60,'DIVISION 15'!$A$8:$H$8,0),""),IFNA(MATCH($B60,'DIVISION 15'!$A$9:$H$9,0),""),IFNA(MATCH($B60,'DIVISION 15'!$A$10:$H$10,0),""),IFNA(MATCH($B60,'DIVISION 15'!$A$11:$H$11,0),""),IFNA(MATCH($B60,'DIVISION 15'!$A$12:$H$12,0),""),IFNA(MATCH($B60,'DIVISION 15'!$A$13:$H$13,0),""),IFNA(MATCH($B60,'DIVISION 15'!$A$14:$H$14,0),""),IFNA(MATCH($B60,'DIVISION 15'!$A$15:$H$15,0),""),IFNA(MATCH($B60,'DIVISION 15'!$A$16:$H$16,0),""),IFNA(MATCH($B60,'DIVISION 15'!$A$17:$H$17,0),""),IFNA(MATCH($B60,'DIVISION 15'!$A$18:$H$18,0),""))=2,'DIVISION 15'!$B$1,SUM(IFNA(MATCH($B60,'DIVISION 15'!$A$2:$H$2,0),""),IFNA(MATCH($B60,'DIVISION 15'!$A$3:$H$3,0),""),IFNA(MATCH($B60,'DIVISION 15'!$A$4:$H$4,0),""),IFNA(MATCH($B60,'DIVISION 15'!$A$5:$H$5,0),""),IFNA(MATCH($B60,'DIVISION 15'!$A$6:$H$6,0),""),IFNA(MATCH($B60,'DIVISION 15'!$A$7:$H$7,0),""),IFNA(MATCH($B60,'DIVISION 15'!$A$8:$H$8,0),""),IFNA(MATCH($B60,'DIVISION 15'!$A$9:$H$9,0),""),IFNA(MATCH($B60,'DIVISION 15'!$A$10:$H$10,0),""),IFNA(MATCH($B60,'DIVISION 15'!$A$11:$H$11,0),""),IFNA(MATCH($B60,'DIVISION 15'!$A$12:$H$12,0),""),IFNA(MATCH($B60,'DIVISION 15'!$A$13:$H$13,0),""),IFNA(MATCH($B60,'DIVISION 15'!$A$14:$H$14,0),""),IFNA(MATCH($B60,'DIVISION 15'!$A$15:$H$15,0),""),IFNA(MATCH($B60,'DIVISION 15'!$A$16:$H$16,0),""),IFNA(MATCH($B60,'DIVISION 15'!$A$17:$H$17,0),""),IFNA(MATCH($B60,'DIVISION 15'!$A$18:$H$18,0),""))=3,'DIVISION 15'!$C$1,SUM(IFNA(MATCH($B60,'DIVISION 15'!$A$2:$H$2,0),""),IFNA(MATCH($B60,'DIVISION 15'!$A$3:$H$3,0),""),IFNA(MATCH($B60,'DIVISION 15'!$A$4:$H$4,0),""),IFNA(MATCH($B60,'DIVISION 15'!$A$5:$H$5,0),""),IFNA(MATCH($B60,'DIVISION 15'!$A$6:$H$6,0),""),IFNA(MATCH($B60,'DIVISION 15'!$A$7:$H$7,0),""),IFNA(MATCH($B60,'DIVISION 15'!$A$8:$H$8,0),""),IFNA(MATCH($B60,'DIVISION 15'!$A$9:$H$9,0),""),IFNA(MATCH($B60,'DIVISION 15'!$A$10:$H$10,0),""),IFNA(MATCH($B60,'DIVISION 15'!$A$11:$H$11,0),""),IFNA(MATCH($B60,'DIVISION 15'!$A$12:$H$12,0),""),IFNA(MATCH($B60,'DIVISION 15'!$A$13:$H$13,0),""),IFNA(MATCH($B60,'DIVISION 15'!$A$14:$H$14,0),""),IFNA(MATCH($B60,'DIVISION 15'!$A$15:$H$15,0),""),IFNA(MATCH($B60,'DIVISION 15'!$A$16:$H$16,0),""),IFNA(MATCH($B60,'DIVISION 15'!$A$17:$H$17,0),""),IFNA(MATCH($B60,'DIVISION 15'!$A$18:$H$18,0),""))=4,'DIVISION 15'!$D$1,SUM(IFNA(MATCH($B60,'DIVISION 15'!$A$2:$H$2,0),""),IFNA(MATCH($B60,'DIVISION 15'!$A$3:$H$3,0),""),IFNA(MATCH($B60,'DIVISION 15'!$A$4:$H$4,0),""),IFNA(MATCH($B60,'DIVISION 15'!$A$5:$H$5,0),""),IFNA(MATCH($B60,'DIVISION 15'!$A$6:$H$6,0),""),IFNA(MATCH($B60,'DIVISION 15'!$A$7:$H$7,0),""),IFNA(MATCH($B60,'DIVISION 15'!$A$8:$H$8,0),""),IFNA(MATCH($B60,'DIVISION 15'!$A$9:$H$9,0),""),IFNA(MATCH($B60,'DIVISION 15'!$A$10:$H$10,0),""),IFNA(MATCH($B60,'DIVISION 15'!$A$11:$H$11,0),""),IFNA(MATCH($B60,'DIVISION 15'!$A$12:$H$12,0),""),IFNA(MATCH($B60,'DIVISION 15'!$A$13:$H$13,0),""),IFNA(MATCH($B60,'DIVISION 15'!$A$14:$H$14,0),""),IFNA(MATCH($B60,'DIVISION 15'!$A$15:$H$15,0),""),IFNA(MATCH($B60,'DIVISION 15'!$A$16:$H$16,0),""),IFNA(MATCH($B60,'DIVISION 15'!$A$17:$H$17,0),""),IFNA(MATCH($B60,'DIVISION 15'!$A$18:$H$18,0),""))=5,'DIVISION 15'!$E$1,SUM(IFNA(MATCH($B60,'DIVISION 15'!$A$2:$H$2,0),""),IFNA(MATCH($B60,'DIVISION 15'!$A$3:$H$3,0),""),IFNA(MATCH($B60,'DIVISION 15'!$A$4:$H$4,0),""),IFNA(MATCH($B60,'DIVISION 15'!$A$5:$H$5,0),""),IFNA(MATCH($B60,'DIVISION 15'!$A$6:$H$6,0),""),IFNA(MATCH($B60,'DIVISION 15'!$A$7:$H$7,0),""),IFNA(MATCH($B60,'DIVISION 15'!$A$8:$H$8,0),""),IFNA(MATCH($B60,'DIVISION 15'!$A$9:$H$9,0),""),IFNA(MATCH($B60,'DIVISION 15'!$A$10:$H$10,0),""),IFNA(MATCH($B60,'DIVISION 15'!$A$11:$H$11,0),""),IFNA(MATCH($B60,'DIVISION 15'!$A$12:$H$12,0),""),IFNA(MATCH($B60,'DIVISION 15'!$A$13:$H$13,0),""),IFNA(MATCH($B60,'DIVISION 15'!$A$14:$H$14,0),""),IFNA(MATCH($B60,'DIVISION 15'!$A$15:$H$15,0),""),IFNA(MATCH($B60,'DIVISION 15'!$A$16:$H$16,0),""),IFNA(MATCH($B60,'DIVISION 15'!$A$17:$H$17,0),""),IFNA(MATCH($B60,'DIVISION 15'!$A$18:$H$18,0),""))=6,'DIVISION 15'!$F$1,SUM(IFNA(MATCH($B60,'DIVISION 15'!$A$2:$H$2,0),""),IFNA(MATCH($B60,'DIVISION 15'!$A$3:$H$3,0),""),IFNA(MATCH($B60,'DIVISION 15'!$A$4:$H$4,0),""),IFNA(MATCH($B60,'DIVISION 15'!$A$5:$H$5,0),""),IFNA(MATCH($B60,'DIVISION 15'!$A$6:$H$6,0),""),IFNA(MATCH($B60,'DIVISION 15'!$A$7:$H$7,0),""),IFNA(MATCH($B60,'DIVISION 15'!$A$8:$H$8,0),""),IFNA(MATCH($B60,'DIVISION 15'!$A$9:$H$9,0),""),IFNA(MATCH($B60,'DIVISION 15'!$A$10:$H$10,0),""),IFNA(MATCH($B60,'DIVISION 15'!$A$11:$H$11,0),""),IFNA(MATCH($B60,'DIVISION 15'!$A$12:$H$12,0),""),IFNA(MATCH($B60,'DIVISION 15'!$A$13:$H$13,0),""),IFNA(MATCH($B60,'DIVISION 15'!$A$14:$H$14,0),""),IFNA(MATCH($B60,'DIVISION 15'!$A$15:$H$15,0),""),IFNA(MATCH($B60,'DIVISION 15'!$A$16:$H$16,0),""),IFNA(MATCH($B60,'DIVISION 15'!$A$17:$H$17,0),""),IFNA(MATCH($B60,'DIVISION 15'!$A$18:$H$18,0),""))=7,'DIVISION 15'!$G$1,SUM(IFNA(MATCH($B60,'DIVISION 15'!$A$2:$H$2,0),""),IFNA(MATCH($B60,'DIVISION 15'!$A$3:$H$3,0),""),IFNA(MATCH($B60,'DIVISION 15'!$A$4:$H$4,0),""),IFNA(MATCH($B60,'DIVISION 15'!$A$5:$H$5,0),""),IFNA(MATCH($B60,'DIVISION 15'!$A$6:$H$6,0),""),IFNA(MATCH($B60,'DIVISION 15'!$A$7:$H$7,0),""),IFNA(MATCH($B60,'DIVISION 15'!$A$8:$H$8,0),""),IFNA(MATCH($B60,'DIVISION 15'!$A$9:$H$9,0),""),IFNA(MATCH($B60,'DIVISION 15'!$A$10:$H$10,0),""),IFNA(MATCH($B60,'DIVISION 15'!$A$11:$H$11,0),""),IFNA(MATCH($B60,'DIVISION 15'!$A$12:$H$12,0),""),IFNA(MATCH($B60,'DIVISION 15'!$A$13:$H$13,0),""),IFNA(MATCH($B60,'DIVISION 15'!$A$14:$H$14,0),""),IFNA(MATCH($B60,'DIVISION 15'!$A$15:$H$15,0),""),IFNA(MATCH($B60,'DIVISION 15'!$A$16:$H$16,0),""),IFNA(MATCH($B60,'DIVISION 15'!$A$17:$H$17,0),""),IFNA(MATCH($B60,'DIVISION 15'!$A$18:$H$18,0),""))=8,'DIVISION 15'!$H$1)</f>
        <v>EITU</v>
      </c>
      <c r="U60" s="8" t="str">
        <f t="shared" si="2"/>
        <v>EITU8</v>
      </c>
      <c r="V60" s="9">
        <f>SUMIF(AsistenciaViewJetAdmin!$A$3:$A$101,A60,AsistenciaViewJetAdmin!$C$3:$C$101)/(COUNTIF(AsistenciaViewJetAdmin!$D$102:V$102,"&gt;0")+COUNTIF(ActividadesEspeciales!$D$102:V$102,"&gt;0"))*100</f>
        <v>51.06382979</v>
      </c>
    </row>
    <row r="61" ht="28.5" customHeight="1">
      <c r="A61" s="3">
        <v>128.0</v>
      </c>
      <c r="B61" s="4" t="s">
        <v>516</v>
      </c>
      <c r="C61" s="5">
        <v>1052603.0</v>
      </c>
      <c r="D61" s="6">
        <v>40362.0</v>
      </c>
      <c r="E61" s="5">
        <v>5.008898E7</v>
      </c>
      <c r="F61" s="5" t="s">
        <v>517</v>
      </c>
      <c r="G61" s="7">
        <v>1.168730703E9</v>
      </c>
      <c r="H61" s="5" t="s">
        <v>518</v>
      </c>
      <c r="I61" s="5" t="s">
        <v>519</v>
      </c>
      <c r="J61" s="7">
        <v>1.150204807E9</v>
      </c>
      <c r="K61" s="5" t="s">
        <v>520</v>
      </c>
      <c r="L61" s="5" t="s">
        <v>521</v>
      </c>
      <c r="M61" s="7">
        <v>1.144072889E9</v>
      </c>
      <c r="N61" s="5" t="s">
        <v>522</v>
      </c>
      <c r="O61" s="5" t="s">
        <v>161</v>
      </c>
      <c r="P61" s="5" t="s">
        <v>120</v>
      </c>
      <c r="Q61" s="5" t="s">
        <v>30</v>
      </c>
      <c r="R61" s="5" t="s">
        <v>31</v>
      </c>
      <c r="S61" s="5" t="s">
        <v>43</v>
      </c>
      <c r="T61" s="8" t="str">
        <f>IFS(SUM(IFNA(MATCH($B61,'DIVISION 15'!$A$2:$H$2,0),""),IFNA(MATCH($B61,'DIVISION 15'!$A$3:$H$3,0),""),IFNA(MATCH($B61,'DIVISION 15'!$A$4:$H$4,0),""),IFNA(MATCH($B61,'DIVISION 15'!$A$5:$H$5,0),""),IFNA(MATCH($B61,'DIVISION 15'!$A$6:$H$6,0),""),IFNA(MATCH($B61,'DIVISION 15'!$A$7:$H$7,0),""),IFNA(MATCH($B61,'DIVISION 15'!$A$8:$H$8,0),""),IFNA(MATCH($B61,'DIVISION 15'!$A$9:$H$9,0),""),IFNA(MATCH($B61,'DIVISION 15'!$A$10:$H$10,0),""),IFNA(MATCH($B61,'DIVISION 15'!$A$11:$H$11,0),""),IFNA(MATCH($B61,'DIVISION 15'!$A$12:$H$12,0),""),IFNA(MATCH($B61,'DIVISION 15'!$A$13:$H$13,0),""),IFNA(MATCH($B61,'DIVISION 15'!$A$14:$H$14,0),""),IFNA(MATCH($B61,'DIVISION 15'!$A$15:$H$15,0),""),IFNA(MATCH($B61,'DIVISION 15'!$A$16:$H$16,0),""),IFNA(MATCH($B61,'DIVISION 15'!$A$17:$H$17,0),""),IFNA(MATCH($B61,'DIVISION 15'!$A$18:$H$18,0),""))=1,'DIVISION 15'!$A$1,SUM(IFNA(MATCH($B61,'DIVISION 15'!$A$2:$H$2,0),""),IFNA(MATCH($B61,'DIVISION 15'!$A$3:$H$3,0),""),IFNA(MATCH($B61,'DIVISION 15'!$A$4:$H$4,0),""),IFNA(MATCH($B61,'DIVISION 15'!$A$5:$H$5,0),""),IFNA(MATCH($B61,'DIVISION 15'!$A$6:$H$6,0),""),IFNA(MATCH($B61,'DIVISION 15'!$A$7:$H$7,0),""),IFNA(MATCH($B61,'DIVISION 15'!$A$8:$H$8,0),""),IFNA(MATCH($B61,'DIVISION 15'!$A$9:$H$9,0),""),IFNA(MATCH($B61,'DIVISION 15'!$A$10:$H$10,0),""),IFNA(MATCH($B61,'DIVISION 15'!$A$11:$H$11,0),""),IFNA(MATCH($B61,'DIVISION 15'!$A$12:$H$12,0),""),IFNA(MATCH($B61,'DIVISION 15'!$A$13:$H$13,0),""),IFNA(MATCH($B61,'DIVISION 15'!$A$14:$H$14,0),""),IFNA(MATCH($B61,'DIVISION 15'!$A$15:$H$15,0),""),IFNA(MATCH($B61,'DIVISION 15'!$A$16:$H$16,0),""),IFNA(MATCH($B61,'DIVISION 15'!$A$17:$H$17,0),""),IFNA(MATCH($B61,'DIVISION 15'!$A$18:$H$18,0),""))=2,'DIVISION 15'!$B$1,SUM(IFNA(MATCH($B61,'DIVISION 15'!$A$2:$H$2,0),""),IFNA(MATCH($B61,'DIVISION 15'!$A$3:$H$3,0),""),IFNA(MATCH($B61,'DIVISION 15'!$A$4:$H$4,0),""),IFNA(MATCH($B61,'DIVISION 15'!$A$5:$H$5,0),""),IFNA(MATCH($B61,'DIVISION 15'!$A$6:$H$6,0),""),IFNA(MATCH($B61,'DIVISION 15'!$A$7:$H$7,0),""),IFNA(MATCH($B61,'DIVISION 15'!$A$8:$H$8,0),""),IFNA(MATCH($B61,'DIVISION 15'!$A$9:$H$9,0),""),IFNA(MATCH($B61,'DIVISION 15'!$A$10:$H$10,0),""),IFNA(MATCH($B61,'DIVISION 15'!$A$11:$H$11,0),""),IFNA(MATCH($B61,'DIVISION 15'!$A$12:$H$12,0),""),IFNA(MATCH($B61,'DIVISION 15'!$A$13:$H$13,0),""),IFNA(MATCH($B61,'DIVISION 15'!$A$14:$H$14,0),""),IFNA(MATCH($B61,'DIVISION 15'!$A$15:$H$15,0),""),IFNA(MATCH($B61,'DIVISION 15'!$A$16:$H$16,0),""),IFNA(MATCH($B61,'DIVISION 15'!$A$17:$H$17,0),""),IFNA(MATCH($B61,'DIVISION 15'!$A$18:$H$18,0),""))=3,'DIVISION 15'!$C$1,SUM(IFNA(MATCH($B61,'DIVISION 15'!$A$2:$H$2,0),""),IFNA(MATCH($B61,'DIVISION 15'!$A$3:$H$3,0),""),IFNA(MATCH($B61,'DIVISION 15'!$A$4:$H$4,0),""),IFNA(MATCH($B61,'DIVISION 15'!$A$5:$H$5,0),""),IFNA(MATCH($B61,'DIVISION 15'!$A$6:$H$6,0),""),IFNA(MATCH($B61,'DIVISION 15'!$A$7:$H$7,0),""),IFNA(MATCH($B61,'DIVISION 15'!$A$8:$H$8,0),""),IFNA(MATCH($B61,'DIVISION 15'!$A$9:$H$9,0),""),IFNA(MATCH($B61,'DIVISION 15'!$A$10:$H$10,0),""),IFNA(MATCH($B61,'DIVISION 15'!$A$11:$H$11,0),""),IFNA(MATCH($B61,'DIVISION 15'!$A$12:$H$12,0),""),IFNA(MATCH($B61,'DIVISION 15'!$A$13:$H$13,0),""),IFNA(MATCH($B61,'DIVISION 15'!$A$14:$H$14,0),""),IFNA(MATCH($B61,'DIVISION 15'!$A$15:$H$15,0),""),IFNA(MATCH($B61,'DIVISION 15'!$A$16:$H$16,0),""),IFNA(MATCH($B61,'DIVISION 15'!$A$17:$H$17,0),""),IFNA(MATCH($B61,'DIVISION 15'!$A$18:$H$18,0),""))=4,'DIVISION 15'!$D$1,SUM(IFNA(MATCH($B61,'DIVISION 15'!$A$2:$H$2,0),""),IFNA(MATCH($B61,'DIVISION 15'!$A$3:$H$3,0),""),IFNA(MATCH($B61,'DIVISION 15'!$A$4:$H$4,0),""),IFNA(MATCH($B61,'DIVISION 15'!$A$5:$H$5,0),""),IFNA(MATCH($B61,'DIVISION 15'!$A$6:$H$6,0),""),IFNA(MATCH($B61,'DIVISION 15'!$A$7:$H$7,0),""),IFNA(MATCH($B61,'DIVISION 15'!$A$8:$H$8,0),""),IFNA(MATCH($B61,'DIVISION 15'!$A$9:$H$9,0),""),IFNA(MATCH($B61,'DIVISION 15'!$A$10:$H$10,0),""),IFNA(MATCH($B61,'DIVISION 15'!$A$11:$H$11,0),""),IFNA(MATCH($B61,'DIVISION 15'!$A$12:$H$12,0),""),IFNA(MATCH($B61,'DIVISION 15'!$A$13:$H$13,0),""),IFNA(MATCH($B61,'DIVISION 15'!$A$14:$H$14,0),""),IFNA(MATCH($B61,'DIVISION 15'!$A$15:$H$15,0),""),IFNA(MATCH($B61,'DIVISION 15'!$A$16:$H$16,0),""),IFNA(MATCH($B61,'DIVISION 15'!$A$17:$H$17,0),""),IFNA(MATCH($B61,'DIVISION 15'!$A$18:$H$18,0),""))=5,'DIVISION 15'!$E$1,SUM(IFNA(MATCH($B61,'DIVISION 15'!$A$2:$H$2,0),""),IFNA(MATCH($B61,'DIVISION 15'!$A$3:$H$3,0),""),IFNA(MATCH($B61,'DIVISION 15'!$A$4:$H$4,0),""),IFNA(MATCH($B61,'DIVISION 15'!$A$5:$H$5,0),""),IFNA(MATCH($B61,'DIVISION 15'!$A$6:$H$6,0),""),IFNA(MATCH($B61,'DIVISION 15'!$A$7:$H$7,0),""),IFNA(MATCH($B61,'DIVISION 15'!$A$8:$H$8,0),""),IFNA(MATCH($B61,'DIVISION 15'!$A$9:$H$9,0),""),IFNA(MATCH($B61,'DIVISION 15'!$A$10:$H$10,0),""),IFNA(MATCH($B61,'DIVISION 15'!$A$11:$H$11,0),""),IFNA(MATCH($B61,'DIVISION 15'!$A$12:$H$12,0),""),IFNA(MATCH($B61,'DIVISION 15'!$A$13:$H$13,0),""),IFNA(MATCH($B61,'DIVISION 15'!$A$14:$H$14,0),""),IFNA(MATCH($B61,'DIVISION 15'!$A$15:$H$15,0),""),IFNA(MATCH($B61,'DIVISION 15'!$A$16:$H$16,0),""),IFNA(MATCH($B61,'DIVISION 15'!$A$17:$H$17,0),""),IFNA(MATCH($B61,'DIVISION 15'!$A$18:$H$18,0),""))=6,'DIVISION 15'!$F$1,SUM(IFNA(MATCH($B61,'DIVISION 15'!$A$2:$H$2,0),""),IFNA(MATCH($B61,'DIVISION 15'!$A$3:$H$3,0),""),IFNA(MATCH($B61,'DIVISION 15'!$A$4:$H$4,0),""),IFNA(MATCH($B61,'DIVISION 15'!$A$5:$H$5,0),""),IFNA(MATCH($B61,'DIVISION 15'!$A$6:$H$6,0),""),IFNA(MATCH($B61,'DIVISION 15'!$A$7:$H$7,0),""),IFNA(MATCH($B61,'DIVISION 15'!$A$8:$H$8,0),""),IFNA(MATCH($B61,'DIVISION 15'!$A$9:$H$9,0),""),IFNA(MATCH($B61,'DIVISION 15'!$A$10:$H$10,0),""),IFNA(MATCH($B61,'DIVISION 15'!$A$11:$H$11,0),""),IFNA(MATCH($B61,'DIVISION 15'!$A$12:$H$12,0),""),IFNA(MATCH($B61,'DIVISION 15'!$A$13:$H$13,0),""),IFNA(MATCH($B61,'DIVISION 15'!$A$14:$H$14,0),""),IFNA(MATCH($B61,'DIVISION 15'!$A$15:$H$15,0),""),IFNA(MATCH($B61,'DIVISION 15'!$A$16:$H$16,0),""),IFNA(MATCH($B61,'DIVISION 15'!$A$17:$H$17,0),""),IFNA(MATCH($B61,'DIVISION 15'!$A$18:$H$18,0),""))=7,'DIVISION 15'!$G$1,SUM(IFNA(MATCH($B61,'DIVISION 15'!$A$2:$H$2,0),""),IFNA(MATCH($B61,'DIVISION 15'!$A$3:$H$3,0),""),IFNA(MATCH($B61,'DIVISION 15'!$A$4:$H$4,0),""),IFNA(MATCH($B61,'DIVISION 15'!$A$5:$H$5,0),""),IFNA(MATCH($B61,'DIVISION 15'!$A$6:$H$6,0),""),IFNA(MATCH($B61,'DIVISION 15'!$A$7:$H$7,0),""),IFNA(MATCH($B61,'DIVISION 15'!$A$8:$H$8,0),""),IFNA(MATCH($B61,'DIVISION 15'!$A$9:$H$9,0),""),IFNA(MATCH($B61,'DIVISION 15'!$A$10:$H$10,0),""),IFNA(MATCH($B61,'DIVISION 15'!$A$11:$H$11,0),""),IFNA(MATCH($B61,'DIVISION 15'!$A$12:$H$12,0),""),IFNA(MATCH($B61,'DIVISION 15'!$A$13:$H$13,0),""),IFNA(MATCH($B61,'DIVISION 15'!$A$14:$H$14,0),""),IFNA(MATCH($B61,'DIVISION 15'!$A$15:$H$15,0),""),IFNA(MATCH($B61,'DIVISION 15'!$A$16:$H$16,0),""),IFNA(MATCH($B61,'DIVISION 15'!$A$17:$H$17,0),""),IFNA(MATCH($B61,'DIVISION 15'!$A$18:$H$18,0),""))=8,'DIVISION 15'!$H$1)</f>
        <v>SOFI</v>
      </c>
      <c r="U61" s="8" t="str">
        <f t="shared" si="2"/>
        <v>SOFI9</v>
      </c>
      <c r="V61" s="9">
        <f>SUMIF(AsistenciaViewJetAdmin!$A$3:$A$101,A61,AsistenciaViewJetAdmin!$C$3:$C$101)/(COUNTIF(AsistenciaViewJetAdmin!$D$102:V$102,"&gt;0")+COUNTIF(ActividadesEspeciales!$D$102:V$102,"&gt;0"))*100</f>
        <v>81.38297872</v>
      </c>
    </row>
    <row r="62" ht="28.5" customHeight="1">
      <c r="A62" s="3">
        <v>198.0</v>
      </c>
      <c r="B62" s="4" t="s">
        <v>523</v>
      </c>
      <c r="C62" s="5">
        <v>1009502.0</v>
      </c>
      <c r="D62" s="7" t="s">
        <v>524</v>
      </c>
      <c r="E62" s="5">
        <v>5.015899E7</v>
      </c>
      <c r="F62" s="5" t="s">
        <v>525</v>
      </c>
      <c r="G62" s="7">
        <v>1.169288555E9</v>
      </c>
      <c r="H62" s="5" t="s">
        <v>526</v>
      </c>
      <c r="I62" s="5" t="s">
        <v>527</v>
      </c>
      <c r="J62" s="7">
        <v>1.165165492E9</v>
      </c>
      <c r="K62" s="5" t="s">
        <v>528</v>
      </c>
      <c r="L62" s="5" t="s">
        <v>529</v>
      </c>
      <c r="M62" s="7">
        <v>1.153382527E9</v>
      </c>
      <c r="N62" s="5" t="s">
        <v>40</v>
      </c>
      <c r="O62" s="5" t="s">
        <v>530</v>
      </c>
      <c r="P62" s="5" t="s">
        <v>136</v>
      </c>
      <c r="Q62" s="5" t="s">
        <v>30</v>
      </c>
      <c r="R62" s="5" t="s">
        <v>31</v>
      </c>
      <c r="S62" s="5" t="s">
        <v>32</v>
      </c>
      <c r="T62" s="8" t="str">
        <f>IFS(SUM(IFNA(MATCH($B62,'DIVISION 15'!$A$2:$H$2,0),""),IFNA(MATCH($B62,'DIVISION 15'!$A$3:$H$3,0),""),IFNA(MATCH($B62,'DIVISION 15'!$A$4:$H$4,0),""),IFNA(MATCH($B62,'DIVISION 15'!$A$5:$H$5,0),""),IFNA(MATCH($B62,'DIVISION 15'!$A$6:$H$6,0),""),IFNA(MATCH($B62,'DIVISION 15'!$A$7:$H$7,0),""),IFNA(MATCH($B62,'DIVISION 15'!$A$8:$H$8,0),""),IFNA(MATCH($B62,'DIVISION 15'!$A$9:$H$9,0),""),IFNA(MATCH($B62,'DIVISION 15'!$A$10:$H$10,0),""),IFNA(MATCH($B62,'DIVISION 15'!$A$11:$H$11,0),""),IFNA(MATCH($B62,'DIVISION 15'!$A$12:$H$12,0),""),IFNA(MATCH($B62,'DIVISION 15'!$A$13:$H$13,0),""),IFNA(MATCH($B62,'DIVISION 15'!$A$14:$H$14,0),""),IFNA(MATCH($B62,'DIVISION 15'!$A$15:$H$15,0),""),IFNA(MATCH($B62,'DIVISION 15'!$A$16:$H$16,0),""),IFNA(MATCH($B62,'DIVISION 15'!$A$17:$H$17,0),""),IFNA(MATCH($B62,'DIVISION 15'!$A$18:$H$18,0),""))=1,'DIVISION 15'!$A$1,SUM(IFNA(MATCH($B62,'DIVISION 15'!$A$2:$H$2,0),""),IFNA(MATCH($B62,'DIVISION 15'!$A$3:$H$3,0),""),IFNA(MATCH($B62,'DIVISION 15'!$A$4:$H$4,0),""),IFNA(MATCH($B62,'DIVISION 15'!$A$5:$H$5,0),""),IFNA(MATCH($B62,'DIVISION 15'!$A$6:$H$6,0),""),IFNA(MATCH($B62,'DIVISION 15'!$A$7:$H$7,0),""),IFNA(MATCH($B62,'DIVISION 15'!$A$8:$H$8,0),""),IFNA(MATCH($B62,'DIVISION 15'!$A$9:$H$9,0),""),IFNA(MATCH($B62,'DIVISION 15'!$A$10:$H$10,0),""),IFNA(MATCH($B62,'DIVISION 15'!$A$11:$H$11,0),""),IFNA(MATCH($B62,'DIVISION 15'!$A$12:$H$12,0),""),IFNA(MATCH($B62,'DIVISION 15'!$A$13:$H$13,0),""),IFNA(MATCH($B62,'DIVISION 15'!$A$14:$H$14,0),""),IFNA(MATCH($B62,'DIVISION 15'!$A$15:$H$15,0),""),IFNA(MATCH($B62,'DIVISION 15'!$A$16:$H$16,0),""),IFNA(MATCH($B62,'DIVISION 15'!$A$17:$H$17,0),""),IFNA(MATCH($B62,'DIVISION 15'!$A$18:$H$18,0),""))=2,'DIVISION 15'!$B$1,SUM(IFNA(MATCH($B62,'DIVISION 15'!$A$2:$H$2,0),""),IFNA(MATCH($B62,'DIVISION 15'!$A$3:$H$3,0),""),IFNA(MATCH($B62,'DIVISION 15'!$A$4:$H$4,0),""),IFNA(MATCH($B62,'DIVISION 15'!$A$5:$H$5,0),""),IFNA(MATCH($B62,'DIVISION 15'!$A$6:$H$6,0),""),IFNA(MATCH($B62,'DIVISION 15'!$A$7:$H$7,0),""),IFNA(MATCH($B62,'DIVISION 15'!$A$8:$H$8,0),""),IFNA(MATCH($B62,'DIVISION 15'!$A$9:$H$9,0),""),IFNA(MATCH($B62,'DIVISION 15'!$A$10:$H$10,0),""),IFNA(MATCH($B62,'DIVISION 15'!$A$11:$H$11,0),""),IFNA(MATCH($B62,'DIVISION 15'!$A$12:$H$12,0),""),IFNA(MATCH($B62,'DIVISION 15'!$A$13:$H$13,0),""),IFNA(MATCH($B62,'DIVISION 15'!$A$14:$H$14,0),""),IFNA(MATCH($B62,'DIVISION 15'!$A$15:$H$15,0),""),IFNA(MATCH($B62,'DIVISION 15'!$A$16:$H$16,0),""),IFNA(MATCH($B62,'DIVISION 15'!$A$17:$H$17,0),""),IFNA(MATCH($B62,'DIVISION 15'!$A$18:$H$18,0),""))=3,'DIVISION 15'!$C$1,SUM(IFNA(MATCH($B62,'DIVISION 15'!$A$2:$H$2,0),""),IFNA(MATCH($B62,'DIVISION 15'!$A$3:$H$3,0),""),IFNA(MATCH($B62,'DIVISION 15'!$A$4:$H$4,0),""),IFNA(MATCH($B62,'DIVISION 15'!$A$5:$H$5,0),""),IFNA(MATCH($B62,'DIVISION 15'!$A$6:$H$6,0),""),IFNA(MATCH($B62,'DIVISION 15'!$A$7:$H$7,0),""),IFNA(MATCH($B62,'DIVISION 15'!$A$8:$H$8,0),""),IFNA(MATCH($B62,'DIVISION 15'!$A$9:$H$9,0),""),IFNA(MATCH($B62,'DIVISION 15'!$A$10:$H$10,0),""),IFNA(MATCH($B62,'DIVISION 15'!$A$11:$H$11,0),""),IFNA(MATCH($B62,'DIVISION 15'!$A$12:$H$12,0),""),IFNA(MATCH($B62,'DIVISION 15'!$A$13:$H$13,0),""),IFNA(MATCH($B62,'DIVISION 15'!$A$14:$H$14,0),""),IFNA(MATCH($B62,'DIVISION 15'!$A$15:$H$15,0),""),IFNA(MATCH($B62,'DIVISION 15'!$A$16:$H$16,0),""),IFNA(MATCH($B62,'DIVISION 15'!$A$17:$H$17,0),""),IFNA(MATCH($B62,'DIVISION 15'!$A$18:$H$18,0),""))=4,'DIVISION 15'!$D$1,SUM(IFNA(MATCH($B62,'DIVISION 15'!$A$2:$H$2,0),""),IFNA(MATCH($B62,'DIVISION 15'!$A$3:$H$3,0),""),IFNA(MATCH($B62,'DIVISION 15'!$A$4:$H$4,0),""),IFNA(MATCH($B62,'DIVISION 15'!$A$5:$H$5,0),""),IFNA(MATCH($B62,'DIVISION 15'!$A$6:$H$6,0),""),IFNA(MATCH($B62,'DIVISION 15'!$A$7:$H$7,0),""),IFNA(MATCH($B62,'DIVISION 15'!$A$8:$H$8,0),""),IFNA(MATCH($B62,'DIVISION 15'!$A$9:$H$9,0),""),IFNA(MATCH($B62,'DIVISION 15'!$A$10:$H$10,0),""),IFNA(MATCH($B62,'DIVISION 15'!$A$11:$H$11,0),""),IFNA(MATCH($B62,'DIVISION 15'!$A$12:$H$12,0),""),IFNA(MATCH($B62,'DIVISION 15'!$A$13:$H$13,0),""),IFNA(MATCH($B62,'DIVISION 15'!$A$14:$H$14,0),""),IFNA(MATCH($B62,'DIVISION 15'!$A$15:$H$15,0),""),IFNA(MATCH($B62,'DIVISION 15'!$A$16:$H$16,0),""),IFNA(MATCH($B62,'DIVISION 15'!$A$17:$H$17,0),""),IFNA(MATCH($B62,'DIVISION 15'!$A$18:$H$18,0),""))=5,'DIVISION 15'!$E$1,SUM(IFNA(MATCH($B62,'DIVISION 15'!$A$2:$H$2,0),""),IFNA(MATCH($B62,'DIVISION 15'!$A$3:$H$3,0),""),IFNA(MATCH($B62,'DIVISION 15'!$A$4:$H$4,0),""),IFNA(MATCH($B62,'DIVISION 15'!$A$5:$H$5,0),""),IFNA(MATCH($B62,'DIVISION 15'!$A$6:$H$6,0),""),IFNA(MATCH($B62,'DIVISION 15'!$A$7:$H$7,0),""),IFNA(MATCH($B62,'DIVISION 15'!$A$8:$H$8,0),""),IFNA(MATCH($B62,'DIVISION 15'!$A$9:$H$9,0),""),IFNA(MATCH($B62,'DIVISION 15'!$A$10:$H$10,0),""),IFNA(MATCH($B62,'DIVISION 15'!$A$11:$H$11,0),""),IFNA(MATCH($B62,'DIVISION 15'!$A$12:$H$12,0),""),IFNA(MATCH($B62,'DIVISION 15'!$A$13:$H$13,0),""),IFNA(MATCH($B62,'DIVISION 15'!$A$14:$H$14,0),""),IFNA(MATCH($B62,'DIVISION 15'!$A$15:$H$15,0),""),IFNA(MATCH($B62,'DIVISION 15'!$A$16:$H$16,0),""),IFNA(MATCH($B62,'DIVISION 15'!$A$17:$H$17,0),""),IFNA(MATCH($B62,'DIVISION 15'!$A$18:$H$18,0),""))=6,'DIVISION 15'!$F$1,SUM(IFNA(MATCH($B62,'DIVISION 15'!$A$2:$H$2,0),""),IFNA(MATCH($B62,'DIVISION 15'!$A$3:$H$3,0),""),IFNA(MATCH($B62,'DIVISION 15'!$A$4:$H$4,0),""),IFNA(MATCH($B62,'DIVISION 15'!$A$5:$H$5,0),""),IFNA(MATCH($B62,'DIVISION 15'!$A$6:$H$6,0),""),IFNA(MATCH($B62,'DIVISION 15'!$A$7:$H$7,0),""),IFNA(MATCH($B62,'DIVISION 15'!$A$8:$H$8,0),""),IFNA(MATCH($B62,'DIVISION 15'!$A$9:$H$9,0),""),IFNA(MATCH($B62,'DIVISION 15'!$A$10:$H$10,0),""),IFNA(MATCH($B62,'DIVISION 15'!$A$11:$H$11,0),""),IFNA(MATCH($B62,'DIVISION 15'!$A$12:$H$12,0),""),IFNA(MATCH($B62,'DIVISION 15'!$A$13:$H$13,0),""),IFNA(MATCH($B62,'DIVISION 15'!$A$14:$H$14,0),""),IFNA(MATCH($B62,'DIVISION 15'!$A$15:$H$15,0),""),IFNA(MATCH($B62,'DIVISION 15'!$A$16:$H$16,0),""),IFNA(MATCH($B62,'DIVISION 15'!$A$17:$H$17,0),""),IFNA(MATCH($B62,'DIVISION 15'!$A$18:$H$18,0),""))=7,'DIVISION 15'!$G$1,SUM(IFNA(MATCH($B62,'DIVISION 15'!$A$2:$H$2,0),""),IFNA(MATCH($B62,'DIVISION 15'!$A$3:$H$3,0),""),IFNA(MATCH($B62,'DIVISION 15'!$A$4:$H$4,0),""),IFNA(MATCH($B62,'DIVISION 15'!$A$5:$H$5,0),""),IFNA(MATCH($B62,'DIVISION 15'!$A$6:$H$6,0),""),IFNA(MATCH($B62,'DIVISION 15'!$A$7:$H$7,0),""),IFNA(MATCH($B62,'DIVISION 15'!$A$8:$H$8,0),""),IFNA(MATCH($B62,'DIVISION 15'!$A$9:$H$9,0),""),IFNA(MATCH($B62,'DIVISION 15'!$A$10:$H$10,0),""),IFNA(MATCH($B62,'DIVISION 15'!$A$11:$H$11,0),""),IFNA(MATCH($B62,'DIVISION 15'!$A$12:$H$12,0),""),IFNA(MATCH($B62,'DIVISION 15'!$A$13:$H$13,0),""),IFNA(MATCH($B62,'DIVISION 15'!$A$14:$H$14,0),""),IFNA(MATCH($B62,'DIVISION 15'!$A$15:$H$15,0),""),IFNA(MATCH($B62,'DIVISION 15'!$A$16:$H$16,0),""),IFNA(MATCH($B62,'DIVISION 15'!$A$17:$H$17,0),""),IFNA(MATCH($B62,'DIVISION 15'!$A$18:$H$18,0),""))=8,'DIVISION 15'!$H$1)</f>
        <v>LULI</v>
      </c>
      <c r="U62" s="8" t="str">
        <f t="shared" si="2"/>
        <v>LULI5</v>
      </c>
      <c r="V62" s="9">
        <f>SUMIF(AsistenciaViewJetAdmin!$A$3:$A$101,A62,AsistenciaViewJetAdmin!$C$3:$C$101)/(COUNTIF(AsistenciaViewJetAdmin!$D$102:V$102,"&gt;0")+COUNTIF(ActividadesEspeciales!$D$102:V$102,"&gt;0"))*100</f>
        <v>80.85106383</v>
      </c>
    </row>
    <row r="63" ht="28.5" customHeight="1">
      <c r="A63" s="3">
        <v>129.0</v>
      </c>
      <c r="B63" s="4" t="s">
        <v>531</v>
      </c>
      <c r="C63" s="5">
        <v>1131502.0</v>
      </c>
      <c r="D63" s="7" t="s">
        <v>532</v>
      </c>
      <c r="E63" s="5">
        <v>4.9703405E7</v>
      </c>
      <c r="F63" s="5" t="s">
        <v>533</v>
      </c>
      <c r="G63" s="7">
        <v>1.124643329E9</v>
      </c>
      <c r="H63" s="5" t="s">
        <v>534</v>
      </c>
      <c r="I63" s="5" t="s">
        <v>535</v>
      </c>
      <c r="J63" s="7">
        <v>1.145301611E9</v>
      </c>
      <c r="K63" s="5" t="s">
        <v>536</v>
      </c>
      <c r="L63" s="5" t="s">
        <v>537</v>
      </c>
      <c r="M63" s="7">
        <v>1.165886128E9</v>
      </c>
      <c r="N63" s="5" t="s">
        <v>128</v>
      </c>
      <c r="O63" s="5" t="s">
        <v>538</v>
      </c>
      <c r="P63" s="5" t="s">
        <v>120</v>
      </c>
      <c r="Q63" s="5" t="s">
        <v>74</v>
      </c>
      <c r="R63" s="5" t="s">
        <v>31</v>
      </c>
      <c r="S63" s="5" t="s">
        <v>43</v>
      </c>
      <c r="T63" s="8" t="str">
        <f>IFS(SUM(IFNA(MATCH($B63,'DIVISION 15'!$A$2:$H$2,0),""),IFNA(MATCH($B63,'DIVISION 15'!$A$3:$H$3,0),""),IFNA(MATCH($B63,'DIVISION 15'!$A$4:$H$4,0),""),IFNA(MATCH($B63,'DIVISION 15'!$A$5:$H$5,0),""),IFNA(MATCH($B63,'DIVISION 15'!$A$6:$H$6,0),""),IFNA(MATCH($B63,'DIVISION 15'!$A$7:$H$7,0),""),IFNA(MATCH($B63,'DIVISION 15'!$A$8:$H$8,0),""),IFNA(MATCH($B63,'DIVISION 15'!$A$9:$H$9,0),""),IFNA(MATCH($B63,'DIVISION 15'!$A$10:$H$10,0),""),IFNA(MATCH($B63,'DIVISION 15'!$A$11:$H$11,0),""),IFNA(MATCH($B63,'DIVISION 15'!$A$12:$H$12,0),""),IFNA(MATCH($B63,'DIVISION 15'!$A$13:$H$13,0),""),IFNA(MATCH($B63,'DIVISION 15'!$A$14:$H$14,0),""),IFNA(MATCH($B63,'DIVISION 15'!$A$15:$H$15,0),""),IFNA(MATCH($B63,'DIVISION 15'!$A$16:$H$16,0),""),IFNA(MATCH($B63,'DIVISION 15'!$A$17:$H$17,0),""),IFNA(MATCH($B63,'DIVISION 15'!$A$18:$H$18,0),""))=1,'DIVISION 15'!$A$1,SUM(IFNA(MATCH($B63,'DIVISION 15'!$A$2:$H$2,0),""),IFNA(MATCH($B63,'DIVISION 15'!$A$3:$H$3,0),""),IFNA(MATCH($B63,'DIVISION 15'!$A$4:$H$4,0),""),IFNA(MATCH($B63,'DIVISION 15'!$A$5:$H$5,0),""),IFNA(MATCH($B63,'DIVISION 15'!$A$6:$H$6,0),""),IFNA(MATCH($B63,'DIVISION 15'!$A$7:$H$7,0),""),IFNA(MATCH($B63,'DIVISION 15'!$A$8:$H$8,0),""),IFNA(MATCH($B63,'DIVISION 15'!$A$9:$H$9,0),""),IFNA(MATCH($B63,'DIVISION 15'!$A$10:$H$10,0),""),IFNA(MATCH($B63,'DIVISION 15'!$A$11:$H$11,0),""),IFNA(MATCH($B63,'DIVISION 15'!$A$12:$H$12,0),""),IFNA(MATCH($B63,'DIVISION 15'!$A$13:$H$13,0),""),IFNA(MATCH($B63,'DIVISION 15'!$A$14:$H$14,0),""),IFNA(MATCH($B63,'DIVISION 15'!$A$15:$H$15,0),""),IFNA(MATCH($B63,'DIVISION 15'!$A$16:$H$16,0),""),IFNA(MATCH($B63,'DIVISION 15'!$A$17:$H$17,0),""),IFNA(MATCH($B63,'DIVISION 15'!$A$18:$H$18,0),""))=2,'DIVISION 15'!$B$1,SUM(IFNA(MATCH($B63,'DIVISION 15'!$A$2:$H$2,0),""),IFNA(MATCH($B63,'DIVISION 15'!$A$3:$H$3,0),""),IFNA(MATCH($B63,'DIVISION 15'!$A$4:$H$4,0),""),IFNA(MATCH($B63,'DIVISION 15'!$A$5:$H$5,0),""),IFNA(MATCH($B63,'DIVISION 15'!$A$6:$H$6,0),""),IFNA(MATCH($B63,'DIVISION 15'!$A$7:$H$7,0),""),IFNA(MATCH($B63,'DIVISION 15'!$A$8:$H$8,0),""),IFNA(MATCH($B63,'DIVISION 15'!$A$9:$H$9,0),""),IFNA(MATCH($B63,'DIVISION 15'!$A$10:$H$10,0),""),IFNA(MATCH($B63,'DIVISION 15'!$A$11:$H$11,0),""),IFNA(MATCH($B63,'DIVISION 15'!$A$12:$H$12,0),""),IFNA(MATCH($B63,'DIVISION 15'!$A$13:$H$13,0),""),IFNA(MATCH($B63,'DIVISION 15'!$A$14:$H$14,0),""),IFNA(MATCH($B63,'DIVISION 15'!$A$15:$H$15,0),""),IFNA(MATCH($B63,'DIVISION 15'!$A$16:$H$16,0),""),IFNA(MATCH($B63,'DIVISION 15'!$A$17:$H$17,0),""),IFNA(MATCH($B63,'DIVISION 15'!$A$18:$H$18,0),""))=3,'DIVISION 15'!$C$1,SUM(IFNA(MATCH($B63,'DIVISION 15'!$A$2:$H$2,0),""),IFNA(MATCH($B63,'DIVISION 15'!$A$3:$H$3,0),""),IFNA(MATCH($B63,'DIVISION 15'!$A$4:$H$4,0),""),IFNA(MATCH($B63,'DIVISION 15'!$A$5:$H$5,0),""),IFNA(MATCH($B63,'DIVISION 15'!$A$6:$H$6,0),""),IFNA(MATCH($B63,'DIVISION 15'!$A$7:$H$7,0),""),IFNA(MATCH($B63,'DIVISION 15'!$A$8:$H$8,0),""),IFNA(MATCH($B63,'DIVISION 15'!$A$9:$H$9,0),""),IFNA(MATCH($B63,'DIVISION 15'!$A$10:$H$10,0),""),IFNA(MATCH($B63,'DIVISION 15'!$A$11:$H$11,0),""),IFNA(MATCH($B63,'DIVISION 15'!$A$12:$H$12,0),""),IFNA(MATCH($B63,'DIVISION 15'!$A$13:$H$13,0),""),IFNA(MATCH($B63,'DIVISION 15'!$A$14:$H$14,0),""),IFNA(MATCH($B63,'DIVISION 15'!$A$15:$H$15,0),""),IFNA(MATCH($B63,'DIVISION 15'!$A$16:$H$16,0),""),IFNA(MATCH($B63,'DIVISION 15'!$A$17:$H$17,0),""),IFNA(MATCH($B63,'DIVISION 15'!$A$18:$H$18,0),""))=4,'DIVISION 15'!$D$1,SUM(IFNA(MATCH($B63,'DIVISION 15'!$A$2:$H$2,0),""),IFNA(MATCH($B63,'DIVISION 15'!$A$3:$H$3,0),""),IFNA(MATCH($B63,'DIVISION 15'!$A$4:$H$4,0),""),IFNA(MATCH($B63,'DIVISION 15'!$A$5:$H$5,0),""),IFNA(MATCH($B63,'DIVISION 15'!$A$6:$H$6,0),""),IFNA(MATCH($B63,'DIVISION 15'!$A$7:$H$7,0),""),IFNA(MATCH($B63,'DIVISION 15'!$A$8:$H$8,0),""),IFNA(MATCH($B63,'DIVISION 15'!$A$9:$H$9,0),""),IFNA(MATCH($B63,'DIVISION 15'!$A$10:$H$10,0),""),IFNA(MATCH($B63,'DIVISION 15'!$A$11:$H$11,0),""),IFNA(MATCH($B63,'DIVISION 15'!$A$12:$H$12,0),""),IFNA(MATCH($B63,'DIVISION 15'!$A$13:$H$13,0),""),IFNA(MATCH($B63,'DIVISION 15'!$A$14:$H$14,0),""),IFNA(MATCH($B63,'DIVISION 15'!$A$15:$H$15,0),""),IFNA(MATCH($B63,'DIVISION 15'!$A$16:$H$16,0),""),IFNA(MATCH($B63,'DIVISION 15'!$A$17:$H$17,0),""),IFNA(MATCH($B63,'DIVISION 15'!$A$18:$H$18,0),""))=5,'DIVISION 15'!$E$1,SUM(IFNA(MATCH($B63,'DIVISION 15'!$A$2:$H$2,0),""),IFNA(MATCH($B63,'DIVISION 15'!$A$3:$H$3,0),""),IFNA(MATCH($B63,'DIVISION 15'!$A$4:$H$4,0),""),IFNA(MATCH($B63,'DIVISION 15'!$A$5:$H$5,0),""),IFNA(MATCH($B63,'DIVISION 15'!$A$6:$H$6,0),""),IFNA(MATCH($B63,'DIVISION 15'!$A$7:$H$7,0),""),IFNA(MATCH($B63,'DIVISION 15'!$A$8:$H$8,0),""),IFNA(MATCH($B63,'DIVISION 15'!$A$9:$H$9,0),""),IFNA(MATCH($B63,'DIVISION 15'!$A$10:$H$10,0),""),IFNA(MATCH($B63,'DIVISION 15'!$A$11:$H$11,0),""),IFNA(MATCH($B63,'DIVISION 15'!$A$12:$H$12,0),""),IFNA(MATCH($B63,'DIVISION 15'!$A$13:$H$13,0),""),IFNA(MATCH($B63,'DIVISION 15'!$A$14:$H$14,0),""),IFNA(MATCH($B63,'DIVISION 15'!$A$15:$H$15,0),""),IFNA(MATCH($B63,'DIVISION 15'!$A$16:$H$16,0),""),IFNA(MATCH($B63,'DIVISION 15'!$A$17:$H$17,0),""),IFNA(MATCH($B63,'DIVISION 15'!$A$18:$H$18,0),""))=6,'DIVISION 15'!$F$1,SUM(IFNA(MATCH($B63,'DIVISION 15'!$A$2:$H$2,0),""),IFNA(MATCH($B63,'DIVISION 15'!$A$3:$H$3,0),""),IFNA(MATCH($B63,'DIVISION 15'!$A$4:$H$4,0),""),IFNA(MATCH($B63,'DIVISION 15'!$A$5:$H$5,0),""),IFNA(MATCH($B63,'DIVISION 15'!$A$6:$H$6,0),""),IFNA(MATCH($B63,'DIVISION 15'!$A$7:$H$7,0),""),IFNA(MATCH($B63,'DIVISION 15'!$A$8:$H$8,0),""),IFNA(MATCH($B63,'DIVISION 15'!$A$9:$H$9,0),""),IFNA(MATCH($B63,'DIVISION 15'!$A$10:$H$10,0),""),IFNA(MATCH($B63,'DIVISION 15'!$A$11:$H$11,0),""),IFNA(MATCH($B63,'DIVISION 15'!$A$12:$H$12,0),""),IFNA(MATCH($B63,'DIVISION 15'!$A$13:$H$13,0),""),IFNA(MATCH($B63,'DIVISION 15'!$A$14:$H$14,0),""),IFNA(MATCH($B63,'DIVISION 15'!$A$15:$H$15,0),""),IFNA(MATCH($B63,'DIVISION 15'!$A$16:$H$16,0),""),IFNA(MATCH($B63,'DIVISION 15'!$A$17:$H$17,0),""),IFNA(MATCH($B63,'DIVISION 15'!$A$18:$H$18,0),""))=7,'DIVISION 15'!$G$1,SUM(IFNA(MATCH($B63,'DIVISION 15'!$A$2:$H$2,0),""),IFNA(MATCH($B63,'DIVISION 15'!$A$3:$H$3,0),""),IFNA(MATCH($B63,'DIVISION 15'!$A$4:$H$4,0),""),IFNA(MATCH($B63,'DIVISION 15'!$A$5:$H$5,0),""),IFNA(MATCH($B63,'DIVISION 15'!$A$6:$H$6,0),""),IFNA(MATCH($B63,'DIVISION 15'!$A$7:$H$7,0),""),IFNA(MATCH($B63,'DIVISION 15'!$A$8:$H$8,0),""),IFNA(MATCH($B63,'DIVISION 15'!$A$9:$H$9,0),""),IFNA(MATCH($B63,'DIVISION 15'!$A$10:$H$10,0),""),IFNA(MATCH($B63,'DIVISION 15'!$A$11:$H$11,0),""),IFNA(MATCH($B63,'DIVISION 15'!$A$12:$H$12,0),""),IFNA(MATCH($B63,'DIVISION 15'!$A$13:$H$13,0),""),IFNA(MATCH($B63,'DIVISION 15'!$A$14:$H$14,0),""),IFNA(MATCH($B63,'DIVISION 15'!$A$15:$H$15,0),""),IFNA(MATCH($B63,'DIVISION 15'!$A$16:$H$16,0),""),IFNA(MATCH($B63,'DIVISION 15'!$A$17:$H$17,0),""),IFNA(MATCH($B63,'DIVISION 15'!$A$18:$H$18,0),""))=8,'DIVISION 15'!$H$1)</f>
        <v>GONZI</v>
      </c>
      <c r="U63" s="8" t="str">
        <f t="shared" si="2"/>
        <v>GONZI6</v>
      </c>
      <c r="V63" s="9">
        <f>SUMIF(AsistenciaViewJetAdmin!$A$3:$A$101,A63,AsistenciaViewJetAdmin!$C$3:$C$101)/(COUNTIF(AsistenciaViewJetAdmin!$D$102:V$102,"&gt;0")+COUNTIF(ActividadesEspeciales!$D$102:V$102,"&gt;0"))*100</f>
        <v>76.59574468</v>
      </c>
    </row>
    <row r="64" ht="28.5" customHeight="1">
      <c r="A64" s="3">
        <v>178.0</v>
      </c>
      <c r="B64" s="4" t="s">
        <v>539</v>
      </c>
      <c r="C64" s="5">
        <v>1065102.0</v>
      </c>
      <c r="D64" s="6">
        <v>39974.0</v>
      </c>
      <c r="E64" s="5">
        <v>4.9875059E7</v>
      </c>
      <c r="F64" s="5" t="s">
        <v>540</v>
      </c>
      <c r="G64" s="7">
        <v>1.12498435E9</v>
      </c>
      <c r="H64" s="5" t="s">
        <v>541</v>
      </c>
      <c r="I64" s="5" t="s">
        <v>542</v>
      </c>
      <c r="J64" s="7">
        <v>1.140611636E9</v>
      </c>
      <c r="K64" s="5" t="s">
        <v>543</v>
      </c>
      <c r="L64" s="5" t="s">
        <v>544</v>
      </c>
      <c r="M64" s="7">
        <v>1.155882209E9</v>
      </c>
      <c r="N64" s="5" t="s">
        <v>51</v>
      </c>
      <c r="O64" s="5" t="s">
        <v>352</v>
      </c>
      <c r="P64" s="5" t="s">
        <v>42</v>
      </c>
      <c r="Q64" s="5" t="s">
        <v>30</v>
      </c>
      <c r="R64" s="5" t="s">
        <v>31</v>
      </c>
      <c r="S64" s="5" t="s">
        <v>43</v>
      </c>
      <c r="T64" s="8" t="str">
        <f>IFS(SUM(IFNA(MATCH($B64,'DIVISION 15'!$A$2:$H$2,0),""),IFNA(MATCH($B64,'DIVISION 15'!$A$3:$H$3,0),""),IFNA(MATCH($B64,'DIVISION 15'!$A$4:$H$4,0),""),IFNA(MATCH($B64,'DIVISION 15'!$A$5:$H$5,0),""),IFNA(MATCH($B64,'DIVISION 15'!$A$6:$H$6,0),""),IFNA(MATCH($B64,'DIVISION 15'!$A$7:$H$7,0),""),IFNA(MATCH($B64,'DIVISION 15'!$A$8:$H$8,0),""),IFNA(MATCH($B64,'DIVISION 15'!$A$9:$H$9,0),""),IFNA(MATCH($B64,'DIVISION 15'!$A$10:$H$10,0),""),IFNA(MATCH($B64,'DIVISION 15'!$A$11:$H$11,0),""),IFNA(MATCH($B64,'DIVISION 15'!$A$12:$H$12,0),""),IFNA(MATCH($B64,'DIVISION 15'!$A$13:$H$13,0),""),IFNA(MATCH($B64,'DIVISION 15'!$A$14:$H$14,0),""),IFNA(MATCH($B64,'DIVISION 15'!$A$15:$H$15,0),""),IFNA(MATCH($B64,'DIVISION 15'!$A$16:$H$16,0),""),IFNA(MATCH($B64,'DIVISION 15'!$A$17:$H$17,0),""),IFNA(MATCH($B64,'DIVISION 15'!$A$18:$H$18,0),""))=1,'DIVISION 15'!$A$1,SUM(IFNA(MATCH($B64,'DIVISION 15'!$A$2:$H$2,0),""),IFNA(MATCH($B64,'DIVISION 15'!$A$3:$H$3,0),""),IFNA(MATCH($B64,'DIVISION 15'!$A$4:$H$4,0),""),IFNA(MATCH($B64,'DIVISION 15'!$A$5:$H$5,0),""),IFNA(MATCH($B64,'DIVISION 15'!$A$6:$H$6,0),""),IFNA(MATCH($B64,'DIVISION 15'!$A$7:$H$7,0),""),IFNA(MATCH($B64,'DIVISION 15'!$A$8:$H$8,0),""),IFNA(MATCH($B64,'DIVISION 15'!$A$9:$H$9,0),""),IFNA(MATCH($B64,'DIVISION 15'!$A$10:$H$10,0),""),IFNA(MATCH($B64,'DIVISION 15'!$A$11:$H$11,0),""),IFNA(MATCH($B64,'DIVISION 15'!$A$12:$H$12,0),""),IFNA(MATCH($B64,'DIVISION 15'!$A$13:$H$13,0),""),IFNA(MATCH($B64,'DIVISION 15'!$A$14:$H$14,0),""),IFNA(MATCH($B64,'DIVISION 15'!$A$15:$H$15,0),""),IFNA(MATCH($B64,'DIVISION 15'!$A$16:$H$16,0),""),IFNA(MATCH($B64,'DIVISION 15'!$A$17:$H$17,0),""),IFNA(MATCH($B64,'DIVISION 15'!$A$18:$H$18,0),""))=2,'DIVISION 15'!$B$1,SUM(IFNA(MATCH($B64,'DIVISION 15'!$A$2:$H$2,0),""),IFNA(MATCH($B64,'DIVISION 15'!$A$3:$H$3,0),""),IFNA(MATCH($B64,'DIVISION 15'!$A$4:$H$4,0),""),IFNA(MATCH($B64,'DIVISION 15'!$A$5:$H$5,0),""),IFNA(MATCH($B64,'DIVISION 15'!$A$6:$H$6,0),""),IFNA(MATCH($B64,'DIVISION 15'!$A$7:$H$7,0),""),IFNA(MATCH($B64,'DIVISION 15'!$A$8:$H$8,0),""),IFNA(MATCH($B64,'DIVISION 15'!$A$9:$H$9,0),""),IFNA(MATCH($B64,'DIVISION 15'!$A$10:$H$10,0),""),IFNA(MATCH($B64,'DIVISION 15'!$A$11:$H$11,0),""),IFNA(MATCH($B64,'DIVISION 15'!$A$12:$H$12,0),""),IFNA(MATCH($B64,'DIVISION 15'!$A$13:$H$13,0),""),IFNA(MATCH($B64,'DIVISION 15'!$A$14:$H$14,0),""),IFNA(MATCH($B64,'DIVISION 15'!$A$15:$H$15,0),""),IFNA(MATCH($B64,'DIVISION 15'!$A$16:$H$16,0),""),IFNA(MATCH($B64,'DIVISION 15'!$A$17:$H$17,0),""),IFNA(MATCH($B64,'DIVISION 15'!$A$18:$H$18,0),""))=3,'DIVISION 15'!$C$1,SUM(IFNA(MATCH($B64,'DIVISION 15'!$A$2:$H$2,0),""),IFNA(MATCH($B64,'DIVISION 15'!$A$3:$H$3,0),""),IFNA(MATCH($B64,'DIVISION 15'!$A$4:$H$4,0),""),IFNA(MATCH($B64,'DIVISION 15'!$A$5:$H$5,0),""),IFNA(MATCH($B64,'DIVISION 15'!$A$6:$H$6,0),""),IFNA(MATCH($B64,'DIVISION 15'!$A$7:$H$7,0),""),IFNA(MATCH($B64,'DIVISION 15'!$A$8:$H$8,0),""),IFNA(MATCH($B64,'DIVISION 15'!$A$9:$H$9,0),""),IFNA(MATCH($B64,'DIVISION 15'!$A$10:$H$10,0),""),IFNA(MATCH($B64,'DIVISION 15'!$A$11:$H$11,0),""),IFNA(MATCH($B64,'DIVISION 15'!$A$12:$H$12,0),""),IFNA(MATCH($B64,'DIVISION 15'!$A$13:$H$13,0),""),IFNA(MATCH($B64,'DIVISION 15'!$A$14:$H$14,0),""),IFNA(MATCH($B64,'DIVISION 15'!$A$15:$H$15,0),""),IFNA(MATCH($B64,'DIVISION 15'!$A$16:$H$16,0),""),IFNA(MATCH($B64,'DIVISION 15'!$A$17:$H$17,0),""),IFNA(MATCH($B64,'DIVISION 15'!$A$18:$H$18,0),""))=4,'DIVISION 15'!$D$1,SUM(IFNA(MATCH($B64,'DIVISION 15'!$A$2:$H$2,0),""),IFNA(MATCH($B64,'DIVISION 15'!$A$3:$H$3,0),""),IFNA(MATCH($B64,'DIVISION 15'!$A$4:$H$4,0),""),IFNA(MATCH($B64,'DIVISION 15'!$A$5:$H$5,0),""),IFNA(MATCH($B64,'DIVISION 15'!$A$6:$H$6,0),""),IFNA(MATCH($B64,'DIVISION 15'!$A$7:$H$7,0),""),IFNA(MATCH($B64,'DIVISION 15'!$A$8:$H$8,0),""),IFNA(MATCH($B64,'DIVISION 15'!$A$9:$H$9,0),""),IFNA(MATCH($B64,'DIVISION 15'!$A$10:$H$10,0),""),IFNA(MATCH($B64,'DIVISION 15'!$A$11:$H$11,0),""),IFNA(MATCH($B64,'DIVISION 15'!$A$12:$H$12,0),""),IFNA(MATCH($B64,'DIVISION 15'!$A$13:$H$13,0),""),IFNA(MATCH($B64,'DIVISION 15'!$A$14:$H$14,0),""),IFNA(MATCH($B64,'DIVISION 15'!$A$15:$H$15,0),""),IFNA(MATCH($B64,'DIVISION 15'!$A$16:$H$16,0),""),IFNA(MATCH($B64,'DIVISION 15'!$A$17:$H$17,0),""),IFNA(MATCH($B64,'DIVISION 15'!$A$18:$H$18,0),""))=5,'DIVISION 15'!$E$1,SUM(IFNA(MATCH($B64,'DIVISION 15'!$A$2:$H$2,0),""),IFNA(MATCH($B64,'DIVISION 15'!$A$3:$H$3,0),""),IFNA(MATCH($B64,'DIVISION 15'!$A$4:$H$4,0),""),IFNA(MATCH($B64,'DIVISION 15'!$A$5:$H$5,0),""),IFNA(MATCH($B64,'DIVISION 15'!$A$6:$H$6,0),""),IFNA(MATCH($B64,'DIVISION 15'!$A$7:$H$7,0),""),IFNA(MATCH($B64,'DIVISION 15'!$A$8:$H$8,0),""),IFNA(MATCH($B64,'DIVISION 15'!$A$9:$H$9,0),""),IFNA(MATCH($B64,'DIVISION 15'!$A$10:$H$10,0),""),IFNA(MATCH($B64,'DIVISION 15'!$A$11:$H$11,0),""),IFNA(MATCH($B64,'DIVISION 15'!$A$12:$H$12,0),""),IFNA(MATCH($B64,'DIVISION 15'!$A$13:$H$13,0),""),IFNA(MATCH($B64,'DIVISION 15'!$A$14:$H$14,0),""),IFNA(MATCH($B64,'DIVISION 15'!$A$15:$H$15,0),""),IFNA(MATCH($B64,'DIVISION 15'!$A$16:$H$16,0),""),IFNA(MATCH($B64,'DIVISION 15'!$A$17:$H$17,0),""),IFNA(MATCH($B64,'DIVISION 15'!$A$18:$H$18,0),""))=6,'DIVISION 15'!$F$1,SUM(IFNA(MATCH($B64,'DIVISION 15'!$A$2:$H$2,0),""),IFNA(MATCH($B64,'DIVISION 15'!$A$3:$H$3,0),""),IFNA(MATCH($B64,'DIVISION 15'!$A$4:$H$4,0),""),IFNA(MATCH($B64,'DIVISION 15'!$A$5:$H$5,0),""),IFNA(MATCH($B64,'DIVISION 15'!$A$6:$H$6,0),""),IFNA(MATCH($B64,'DIVISION 15'!$A$7:$H$7,0),""),IFNA(MATCH($B64,'DIVISION 15'!$A$8:$H$8,0),""),IFNA(MATCH($B64,'DIVISION 15'!$A$9:$H$9,0),""),IFNA(MATCH($B64,'DIVISION 15'!$A$10:$H$10,0),""),IFNA(MATCH($B64,'DIVISION 15'!$A$11:$H$11,0),""),IFNA(MATCH($B64,'DIVISION 15'!$A$12:$H$12,0),""),IFNA(MATCH($B64,'DIVISION 15'!$A$13:$H$13,0),""),IFNA(MATCH($B64,'DIVISION 15'!$A$14:$H$14,0),""),IFNA(MATCH($B64,'DIVISION 15'!$A$15:$H$15,0),""),IFNA(MATCH($B64,'DIVISION 15'!$A$16:$H$16,0),""),IFNA(MATCH($B64,'DIVISION 15'!$A$17:$H$17,0),""),IFNA(MATCH($B64,'DIVISION 15'!$A$18:$H$18,0),""))=7,'DIVISION 15'!$G$1,SUM(IFNA(MATCH($B64,'DIVISION 15'!$A$2:$H$2,0),""),IFNA(MATCH($B64,'DIVISION 15'!$A$3:$H$3,0),""),IFNA(MATCH($B64,'DIVISION 15'!$A$4:$H$4,0),""),IFNA(MATCH($B64,'DIVISION 15'!$A$5:$H$5,0),""),IFNA(MATCH($B64,'DIVISION 15'!$A$6:$H$6,0),""),IFNA(MATCH($B64,'DIVISION 15'!$A$7:$H$7,0),""),IFNA(MATCH($B64,'DIVISION 15'!$A$8:$H$8,0),""),IFNA(MATCH($B64,'DIVISION 15'!$A$9:$H$9,0),""),IFNA(MATCH($B64,'DIVISION 15'!$A$10:$H$10,0),""),IFNA(MATCH($B64,'DIVISION 15'!$A$11:$H$11,0),""),IFNA(MATCH($B64,'DIVISION 15'!$A$12:$H$12,0),""),IFNA(MATCH($B64,'DIVISION 15'!$A$13:$H$13,0),""),IFNA(MATCH($B64,'DIVISION 15'!$A$14:$H$14,0),""),IFNA(MATCH($B64,'DIVISION 15'!$A$15:$H$15,0),""),IFNA(MATCH($B64,'DIVISION 15'!$A$16:$H$16,0),""),IFNA(MATCH($B64,'DIVISION 15'!$A$17:$H$17,0),""),IFNA(MATCH($B64,'DIVISION 15'!$A$18:$H$18,0),""))=8,'DIVISION 15'!$H$1)</f>
        <v>GONZI</v>
      </c>
      <c r="U64" s="8" t="str">
        <f t="shared" si="2"/>
        <v>GONZI7</v>
      </c>
      <c r="V64" s="9">
        <f>SUMIF(AsistenciaViewJetAdmin!$A$3:$A$101,A64,AsistenciaViewJetAdmin!$C$3:$C$101)/(COUNTIF(AsistenciaViewJetAdmin!$D$102:V$102,"&gt;0")+COUNTIF(ActividadesEspeciales!$D$102:V$102,"&gt;0"))*100</f>
        <v>94.68085106</v>
      </c>
    </row>
    <row r="65" ht="28.5" customHeight="1">
      <c r="A65" s="3">
        <v>168.0</v>
      </c>
      <c r="B65" s="4" t="s">
        <v>545</v>
      </c>
      <c r="C65" s="5">
        <v>1055603.0</v>
      </c>
      <c r="D65" s="7" t="s">
        <v>546</v>
      </c>
      <c r="E65" s="5">
        <v>5.0155585E7</v>
      </c>
      <c r="F65" s="5" t="s">
        <v>547</v>
      </c>
      <c r="G65" s="7">
        <v>1.132942193E9</v>
      </c>
      <c r="H65" s="5" t="s">
        <v>548</v>
      </c>
      <c r="I65" s="5" t="s">
        <v>549</v>
      </c>
      <c r="J65" s="7">
        <v>1.164704465E9</v>
      </c>
      <c r="K65" s="5" t="s">
        <v>550</v>
      </c>
      <c r="L65" s="5" t="s">
        <v>551</v>
      </c>
      <c r="M65" s="7">
        <v>1.164704305E9</v>
      </c>
      <c r="N65" s="5" t="s">
        <v>61</v>
      </c>
      <c r="O65" s="5" t="s">
        <v>352</v>
      </c>
      <c r="P65" s="5" t="s">
        <v>42</v>
      </c>
      <c r="Q65" s="5" t="s">
        <v>30</v>
      </c>
      <c r="R65" s="5" t="s">
        <v>31</v>
      </c>
      <c r="S65" s="5" t="s">
        <v>32</v>
      </c>
      <c r="T65" s="8" t="str">
        <f>IFS(SUM(IFNA(MATCH($B65,'DIVISION 15'!$A$2:$H$2,0),""),IFNA(MATCH($B65,'DIVISION 15'!$A$3:$H$3,0),""),IFNA(MATCH($B65,'DIVISION 15'!$A$4:$H$4,0),""),IFNA(MATCH($B65,'DIVISION 15'!$A$5:$H$5,0),""),IFNA(MATCH($B65,'DIVISION 15'!$A$6:$H$6,0),""),IFNA(MATCH($B65,'DIVISION 15'!$A$7:$H$7,0),""),IFNA(MATCH($B65,'DIVISION 15'!$A$8:$H$8,0),""),IFNA(MATCH($B65,'DIVISION 15'!$A$9:$H$9,0),""),IFNA(MATCH($B65,'DIVISION 15'!$A$10:$H$10,0),""),IFNA(MATCH($B65,'DIVISION 15'!$A$11:$H$11,0),""),IFNA(MATCH($B65,'DIVISION 15'!$A$12:$H$12,0),""),IFNA(MATCH($B65,'DIVISION 15'!$A$13:$H$13,0),""),IFNA(MATCH($B65,'DIVISION 15'!$A$14:$H$14,0),""),IFNA(MATCH($B65,'DIVISION 15'!$A$15:$H$15,0),""),IFNA(MATCH($B65,'DIVISION 15'!$A$16:$H$16,0),""),IFNA(MATCH($B65,'DIVISION 15'!$A$17:$H$17,0),""),IFNA(MATCH($B65,'DIVISION 15'!$A$18:$H$18,0),""))=1,'DIVISION 15'!$A$1,SUM(IFNA(MATCH($B65,'DIVISION 15'!$A$2:$H$2,0),""),IFNA(MATCH($B65,'DIVISION 15'!$A$3:$H$3,0),""),IFNA(MATCH($B65,'DIVISION 15'!$A$4:$H$4,0),""),IFNA(MATCH($B65,'DIVISION 15'!$A$5:$H$5,0),""),IFNA(MATCH($B65,'DIVISION 15'!$A$6:$H$6,0),""),IFNA(MATCH($B65,'DIVISION 15'!$A$7:$H$7,0),""),IFNA(MATCH($B65,'DIVISION 15'!$A$8:$H$8,0),""),IFNA(MATCH($B65,'DIVISION 15'!$A$9:$H$9,0),""),IFNA(MATCH($B65,'DIVISION 15'!$A$10:$H$10,0),""),IFNA(MATCH($B65,'DIVISION 15'!$A$11:$H$11,0),""),IFNA(MATCH($B65,'DIVISION 15'!$A$12:$H$12,0),""),IFNA(MATCH($B65,'DIVISION 15'!$A$13:$H$13,0),""),IFNA(MATCH($B65,'DIVISION 15'!$A$14:$H$14,0),""),IFNA(MATCH($B65,'DIVISION 15'!$A$15:$H$15,0),""),IFNA(MATCH($B65,'DIVISION 15'!$A$16:$H$16,0),""),IFNA(MATCH($B65,'DIVISION 15'!$A$17:$H$17,0),""),IFNA(MATCH($B65,'DIVISION 15'!$A$18:$H$18,0),""))=2,'DIVISION 15'!$B$1,SUM(IFNA(MATCH($B65,'DIVISION 15'!$A$2:$H$2,0),""),IFNA(MATCH($B65,'DIVISION 15'!$A$3:$H$3,0),""),IFNA(MATCH($B65,'DIVISION 15'!$A$4:$H$4,0),""),IFNA(MATCH($B65,'DIVISION 15'!$A$5:$H$5,0),""),IFNA(MATCH($B65,'DIVISION 15'!$A$6:$H$6,0),""),IFNA(MATCH($B65,'DIVISION 15'!$A$7:$H$7,0),""),IFNA(MATCH($B65,'DIVISION 15'!$A$8:$H$8,0),""),IFNA(MATCH($B65,'DIVISION 15'!$A$9:$H$9,0),""),IFNA(MATCH($B65,'DIVISION 15'!$A$10:$H$10,0),""),IFNA(MATCH($B65,'DIVISION 15'!$A$11:$H$11,0),""),IFNA(MATCH($B65,'DIVISION 15'!$A$12:$H$12,0),""),IFNA(MATCH($B65,'DIVISION 15'!$A$13:$H$13,0),""),IFNA(MATCH($B65,'DIVISION 15'!$A$14:$H$14,0),""),IFNA(MATCH($B65,'DIVISION 15'!$A$15:$H$15,0),""),IFNA(MATCH($B65,'DIVISION 15'!$A$16:$H$16,0),""),IFNA(MATCH($B65,'DIVISION 15'!$A$17:$H$17,0),""),IFNA(MATCH($B65,'DIVISION 15'!$A$18:$H$18,0),""))=3,'DIVISION 15'!$C$1,SUM(IFNA(MATCH($B65,'DIVISION 15'!$A$2:$H$2,0),""),IFNA(MATCH($B65,'DIVISION 15'!$A$3:$H$3,0),""),IFNA(MATCH($B65,'DIVISION 15'!$A$4:$H$4,0),""),IFNA(MATCH($B65,'DIVISION 15'!$A$5:$H$5,0),""),IFNA(MATCH($B65,'DIVISION 15'!$A$6:$H$6,0),""),IFNA(MATCH($B65,'DIVISION 15'!$A$7:$H$7,0),""),IFNA(MATCH($B65,'DIVISION 15'!$A$8:$H$8,0),""),IFNA(MATCH($B65,'DIVISION 15'!$A$9:$H$9,0),""),IFNA(MATCH($B65,'DIVISION 15'!$A$10:$H$10,0),""),IFNA(MATCH($B65,'DIVISION 15'!$A$11:$H$11,0),""),IFNA(MATCH($B65,'DIVISION 15'!$A$12:$H$12,0),""),IFNA(MATCH($B65,'DIVISION 15'!$A$13:$H$13,0),""),IFNA(MATCH($B65,'DIVISION 15'!$A$14:$H$14,0),""),IFNA(MATCH($B65,'DIVISION 15'!$A$15:$H$15,0),""),IFNA(MATCH($B65,'DIVISION 15'!$A$16:$H$16,0),""),IFNA(MATCH($B65,'DIVISION 15'!$A$17:$H$17,0),""),IFNA(MATCH($B65,'DIVISION 15'!$A$18:$H$18,0),""))=4,'DIVISION 15'!$D$1,SUM(IFNA(MATCH($B65,'DIVISION 15'!$A$2:$H$2,0),""),IFNA(MATCH($B65,'DIVISION 15'!$A$3:$H$3,0),""),IFNA(MATCH($B65,'DIVISION 15'!$A$4:$H$4,0),""),IFNA(MATCH($B65,'DIVISION 15'!$A$5:$H$5,0),""),IFNA(MATCH($B65,'DIVISION 15'!$A$6:$H$6,0),""),IFNA(MATCH($B65,'DIVISION 15'!$A$7:$H$7,0),""),IFNA(MATCH($B65,'DIVISION 15'!$A$8:$H$8,0),""),IFNA(MATCH($B65,'DIVISION 15'!$A$9:$H$9,0),""),IFNA(MATCH($B65,'DIVISION 15'!$A$10:$H$10,0),""),IFNA(MATCH($B65,'DIVISION 15'!$A$11:$H$11,0),""),IFNA(MATCH($B65,'DIVISION 15'!$A$12:$H$12,0),""),IFNA(MATCH($B65,'DIVISION 15'!$A$13:$H$13,0),""),IFNA(MATCH($B65,'DIVISION 15'!$A$14:$H$14,0),""),IFNA(MATCH($B65,'DIVISION 15'!$A$15:$H$15,0),""),IFNA(MATCH($B65,'DIVISION 15'!$A$16:$H$16,0),""),IFNA(MATCH($B65,'DIVISION 15'!$A$17:$H$17,0),""),IFNA(MATCH($B65,'DIVISION 15'!$A$18:$H$18,0),""))=5,'DIVISION 15'!$E$1,SUM(IFNA(MATCH($B65,'DIVISION 15'!$A$2:$H$2,0),""),IFNA(MATCH($B65,'DIVISION 15'!$A$3:$H$3,0),""),IFNA(MATCH($B65,'DIVISION 15'!$A$4:$H$4,0),""),IFNA(MATCH($B65,'DIVISION 15'!$A$5:$H$5,0),""),IFNA(MATCH($B65,'DIVISION 15'!$A$6:$H$6,0),""),IFNA(MATCH($B65,'DIVISION 15'!$A$7:$H$7,0),""),IFNA(MATCH($B65,'DIVISION 15'!$A$8:$H$8,0),""),IFNA(MATCH($B65,'DIVISION 15'!$A$9:$H$9,0),""),IFNA(MATCH($B65,'DIVISION 15'!$A$10:$H$10,0),""),IFNA(MATCH($B65,'DIVISION 15'!$A$11:$H$11,0),""),IFNA(MATCH($B65,'DIVISION 15'!$A$12:$H$12,0),""),IFNA(MATCH($B65,'DIVISION 15'!$A$13:$H$13,0),""),IFNA(MATCH($B65,'DIVISION 15'!$A$14:$H$14,0),""),IFNA(MATCH($B65,'DIVISION 15'!$A$15:$H$15,0),""),IFNA(MATCH($B65,'DIVISION 15'!$A$16:$H$16,0),""),IFNA(MATCH($B65,'DIVISION 15'!$A$17:$H$17,0),""),IFNA(MATCH($B65,'DIVISION 15'!$A$18:$H$18,0),""))=6,'DIVISION 15'!$F$1,SUM(IFNA(MATCH($B65,'DIVISION 15'!$A$2:$H$2,0),""),IFNA(MATCH($B65,'DIVISION 15'!$A$3:$H$3,0),""),IFNA(MATCH($B65,'DIVISION 15'!$A$4:$H$4,0),""),IFNA(MATCH($B65,'DIVISION 15'!$A$5:$H$5,0),""),IFNA(MATCH($B65,'DIVISION 15'!$A$6:$H$6,0),""),IFNA(MATCH($B65,'DIVISION 15'!$A$7:$H$7,0),""),IFNA(MATCH($B65,'DIVISION 15'!$A$8:$H$8,0),""),IFNA(MATCH($B65,'DIVISION 15'!$A$9:$H$9,0),""),IFNA(MATCH($B65,'DIVISION 15'!$A$10:$H$10,0),""),IFNA(MATCH($B65,'DIVISION 15'!$A$11:$H$11,0),""),IFNA(MATCH($B65,'DIVISION 15'!$A$12:$H$12,0),""),IFNA(MATCH($B65,'DIVISION 15'!$A$13:$H$13,0),""),IFNA(MATCH($B65,'DIVISION 15'!$A$14:$H$14,0),""),IFNA(MATCH($B65,'DIVISION 15'!$A$15:$H$15,0),""),IFNA(MATCH($B65,'DIVISION 15'!$A$16:$H$16,0),""),IFNA(MATCH($B65,'DIVISION 15'!$A$17:$H$17,0),""),IFNA(MATCH($B65,'DIVISION 15'!$A$18:$H$18,0),""))=7,'DIVISION 15'!$G$1,SUM(IFNA(MATCH($B65,'DIVISION 15'!$A$2:$H$2,0),""),IFNA(MATCH($B65,'DIVISION 15'!$A$3:$H$3,0),""),IFNA(MATCH($B65,'DIVISION 15'!$A$4:$H$4,0),""),IFNA(MATCH($B65,'DIVISION 15'!$A$5:$H$5,0),""),IFNA(MATCH($B65,'DIVISION 15'!$A$6:$H$6,0),""),IFNA(MATCH($B65,'DIVISION 15'!$A$7:$H$7,0),""),IFNA(MATCH($B65,'DIVISION 15'!$A$8:$H$8,0),""),IFNA(MATCH($B65,'DIVISION 15'!$A$9:$H$9,0),""),IFNA(MATCH($B65,'DIVISION 15'!$A$10:$H$10,0),""),IFNA(MATCH($B65,'DIVISION 15'!$A$11:$H$11,0),""),IFNA(MATCH($B65,'DIVISION 15'!$A$12:$H$12,0),""),IFNA(MATCH($B65,'DIVISION 15'!$A$13:$H$13,0),""),IFNA(MATCH($B65,'DIVISION 15'!$A$14:$H$14,0),""),IFNA(MATCH($B65,'DIVISION 15'!$A$15:$H$15,0),""),IFNA(MATCH($B65,'DIVISION 15'!$A$16:$H$16,0),""),IFNA(MATCH($B65,'DIVISION 15'!$A$17:$H$17,0),""),IFNA(MATCH($B65,'DIVISION 15'!$A$18:$H$18,0),""))=8,'DIVISION 15'!$H$1)</f>
        <v>GASTI</v>
      </c>
      <c r="U65" s="8" t="str">
        <f t="shared" si="2"/>
        <v>GASTI8</v>
      </c>
      <c r="V65" s="9">
        <f>SUMIF(AsistenciaViewJetAdmin!$A$3:$A$101,A65,AsistenciaViewJetAdmin!$C$3:$C$101)/(COUNTIF(AsistenciaViewJetAdmin!$D$102:V$102,"&gt;0")+COUNTIF(ActividadesEspeciales!$D$102:V$102,"&gt;0"))*100</f>
        <v>82.9787234</v>
      </c>
    </row>
    <row r="66" ht="28.5" customHeight="1">
      <c r="A66" s="3">
        <v>146.0</v>
      </c>
      <c r="B66" s="4" t="s">
        <v>552</v>
      </c>
      <c r="C66" s="5">
        <v>1040705.0</v>
      </c>
      <c r="D66" s="7" t="s">
        <v>553</v>
      </c>
      <c r="E66" s="5">
        <v>5.0320233E7</v>
      </c>
      <c r="F66" s="5" t="s">
        <v>554</v>
      </c>
      <c r="G66" s="7">
        <v>1.170132059E9</v>
      </c>
      <c r="H66" s="5" t="s">
        <v>555</v>
      </c>
      <c r="I66" s="5" t="s">
        <v>556</v>
      </c>
      <c r="J66" s="7">
        <v>1.156180191E9</v>
      </c>
      <c r="K66" s="5" t="s">
        <v>557</v>
      </c>
      <c r="L66" s="5" t="s">
        <v>558</v>
      </c>
      <c r="M66" s="7">
        <v>1.159297736E9</v>
      </c>
      <c r="N66" s="5" t="s">
        <v>220</v>
      </c>
      <c r="O66" s="5" t="s">
        <v>559</v>
      </c>
      <c r="P66" s="5" t="s">
        <v>560</v>
      </c>
      <c r="Q66" s="5" t="s">
        <v>30</v>
      </c>
      <c r="R66" s="5" t="s">
        <v>256</v>
      </c>
      <c r="S66" s="5" t="s">
        <v>32</v>
      </c>
      <c r="T66" s="8" t="str">
        <f>IFS(SUM(IFNA(MATCH($B66,'DIVISION 15'!$A$2:$H$2,0),""),IFNA(MATCH($B66,'DIVISION 15'!$A$3:$H$3,0),""),IFNA(MATCH($B66,'DIVISION 15'!$A$4:$H$4,0),""),IFNA(MATCH($B66,'DIVISION 15'!$A$5:$H$5,0),""),IFNA(MATCH($B66,'DIVISION 15'!$A$6:$H$6,0),""),IFNA(MATCH($B66,'DIVISION 15'!$A$7:$H$7,0),""),IFNA(MATCH($B66,'DIVISION 15'!$A$8:$H$8,0),""),IFNA(MATCH($B66,'DIVISION 15'!$A$9:$H$9,0),""),IFNA(MATCH($B66,'DIVISION 15'!$A$10:$H$10,0),""),IFNA(MATCH($B66,'DIVISION 15'!$A$11:$H$11,0),""),IFNA(MATCH($B66,'DIVISION 15'!$A$12:$H$12,0),""),IFNA(MATCH($B66,'DIVISION 15'!$A$13:$H$13,0),""),IFNA(MATCH($B66,'DIVISION 15'!$A$14:$H$14,0),""),IFNA(MATCH($B66,'DIVISION 15'!$A$15:$H$15,0),""),IFNA(MATCH($B66,'DIVISION 15'!$A$16:$H$16,0),""),IFNA(MATCH($B66,'DIVISION 15'!$A$17:$H$17,0),""),IFNA(MATCH($B66,'DIVISION 15'!$A$18:$H$18,0),""))=1,'DIVISION 15'!$A$1,SUM(IFNA(MATCH($B66,'DIVISION 15'!$A$2:$H$2,0),""),IFNA(MATCH($B66,'DIVISION 15'!$A$3:$H$3,0),""),IFNA(MATCH($B66,'DIVISION 15'!$A$4:$H$4,0),""),IFNA(MATCH($B66,'DIVISION 15'!$A$5:$H$5,0),""),IFNA(MATCH($B66,'DIVISION 15'!$A$6:$H$6,0),""),IFNA(MATCH($B66,'DIVISION 15'!$A$7:$H$7,0),""),IFNA(MATCH($B66,'DIVISION 15'!$A$8:$H$8,0),""),IFNA(MATCH($B66,'DIVISION 15'!$A$9:$H$9,0),""),IFNA(MATCH($B66,'DIVISION 15'!$A$10:$H$10,0),""),IFNA(MATCH($B66,'DIVISION 15'!$A$11:$H$11,0),""),IFNA(MATCH($B66,'DIVISION 15'!$A$12:$H$12,0),""),IFNA(MATCH($B66,'DIVISION 15'!$A$13:$H$13,0),""),IFNA(MATCH($B66,'DIVISION 15'!$A$14:$H$14,0),""),IFNA(MATCH($B66,'DIVISION 15'!$A$15:$H$15,0),""),IFNA(MATCH($B66,'DIVISION 15'!$A$16:$H$16,0),""),IFNA(MATCH($B66,'DIVISION 15'!$A$17:$H$17,0),""),IFNA(MATCH($B66,'DIVISION 15'!$A$18:$H$18,0),""))=2,'DIVISION 15'!$B$1,SUM(IFNA(MATCH($B66,'DIVISION 15'!$A$2:$H$2,0),""),IFNA(MATCH($B66,'DIVISION 15'!$A$3:$H$3,0),""),IFNA(MATCH($B66,'DIVISION 15'!$A$4:$H$4,0),""),IFNA(MATCH($B66,'DIVISION 15'!$A$5:$H$5,0),""),IFNA(MATCH($B66,'DIVISION 15'!$A$6:$H$6,0),""),IFNA(MATCH($B66,'DIVISION 15'!$A$7:$H$7,0),""),IFNA(MATCH($B66,'DIVISION 15'!$A$8:$H$8,0),""),IFNA(MATCH($B66,'DIVISION 15'!$A$9:$H$9,0),""),IFNA(MATCH($B66,'DIVISION 15'!$A$10:$H$10,0),""),IFNA(MATCH($B66,'DIVISION 15'!$A$11:$H$11,0),""),IFNA(MATCH($B66,'DIVISION 15'!$A$12:$H$12,0),""),IFNA(MATCH($B66,'DIVISION 15'!$A$13:$H$13,0),""),IFNA(MATCH($B66,'DIVISION 15'!$A$14:$H$14,0),""),IFNA(MATCH($B66,'DIVISION 15'!$A$15:$H$15,0),""),IFNA(MATCH($B66,'DIVISION 15'!$A$16:$H$16,0),""),IFNA(MATCH($B66,'DIVISION 15'!$A$17:$H$17,0),""),IFNA(MATCH($B66,'DIVISION 15'!$A$18:$H$18,0),""))=3,'DIVISION 15'!$C$1,SUM(IFNA(MATCH($B66,'DIVISION 15'!$A$2:$H$2,0),""),IFNA(MATCH($B66,'DIVISION 15'!$A$3:$H$3,0),""),IFNA(MATCH($B66,'DIVISION 15'!$A$4:$H$4,0),""),IFNA(MATCH($B66,'DIVISION 15'!$A$5:$H$5,0),""),IFNA(MATCH($B66,'DIVISION 15'!$A$6:$H$6,0),""),IFNA(MATCH($B66,'DIVISION 15'!$A$7:$H$7,0),""),IFNA(MATCH($B66,'DIVISION 15'!$A$8:$H$8,0),""),IFNA(MATCH($B66,'DIVISION 15'!$A$9:$H$9,0),""),IFNA(MATCH($B66,'DIVISION 15'!$A$10:$H$10,0),""),IFNA(MATCH($B66,'DIVISION 15'!$A$11:$H$11,0),""),IFNA(MATCH($B66,'DIVISION 15'!$A$12:$H$12,0),""),IFNA(MATCH($B66,'DIVISION 15'!$A$13:$H$13,0),""),IFNA(MATCH($B66,'DIVISION 15'!$A$14:$H$14,0),""),IFNA(MATCH($B66,'DIVISION 15'!$A$15:$H$15,0),""),IFNA(MATCH($B66,'DIVISION 15'!$A$16:$H$16,0),""),IFNA(MATCH($B66,'DIVISION 15'!$A$17:$H$17,0),""),IFNA(MATCH($B66,'DIVISION 15'!$A$18:$H$18,0),""))=4,'DIVISION 15'!$D$1,SUM(IFNA(MATCH($B66,'DIVISION 15'!$A$2:$H$2,0),""),IFNA(MATCH($B66,'DIVISION 15'!$A$3:$H$3,0),""),IFNA(MATCH($B66,'DIVISION 15'!$A$4:$H$4,0),""),IFNA(MATCH($B66,'DIVISION 15'!$A$5:$H$5,0),""),IFNA(MATCH($B66,'DIVISION 15'!$A$6:$H$6,0),""),IFNA(MATCH($B66,'DIVISION 15'!$A$7:$H$7,0),""),IFNA(MATCH($B66,'DIVISION 15'!$A$8:$H$8,0),""),IFNA(MATCH($B66,'DIVISION 15'!$A$9:$H$9,0),""),IFNA(MATCH($B66,'DIVISION 15'!$A$10:$H$10,0),""),IFNA(MATCH($B66,'DIVISION 15'!$A$11:$H$11,0),""),IFNA(MATCH($B66,'DIVISION 15'!$A$12:$H$12,0),""),IFNA(MATCH($B66,'DIVISION 15'!$A$13:$H$13,0),""),IFNA(MATCH($B66,'DIVISION 15'!$A$14:$H$14,0),""),IFNA(MATCH($B66,'DIVISION 15'!$A$15:$H$15,0),""),IFNA(MATCH($B66,'DIVISION 15'!$A$16:$H$16,0),""),IFNA(MATCH($B66,'DIVISION 15'!$A$17:$H$17,0),""),IFNA(MATCH($B66,'DIVISION 15'!$A$18:$H$18,0),""))=5,'DIVISION 15'!$E$1,SUM(IFNA(MATCH($B66,'DIVISION 15'!$A$2:$H$2,0),""),IFNA(MATCH($B66,'DIVISION 15'!$A$3:$H$3,0),""),IFNA(MATCH($B66,'DIVISION 15'!$A$4:$H$4,0),""),IFNA(MATCH($B66,'DIVISION 15'!$A$5:$H$5,0),""),IFNA(MATCH($B66,'DIVISION 15'!$A$6:$H$6,0),""),IFNA(MATCH($B66,'DIVISION 15'!$A$7:$H$7,0),""),IFNA(MATCH($B66,'DIVISION 15'!$A$8:$H$8,0),""),IFNA(MATCH($B66,'DIVISION 15'!$A$9:$H$9,0),""),IFNA(MATCH($B66,'DIVISION 15'!$A$10:$H$10,0),""),IFNA(MATCH($B66,'DIVISION 15'!$A$11:$H$11,0),""),IFNA(MATCH($B66,'DIVISION 15'!$A$12:$H$12,0),""),IFNA(MATCH($B66,'DIVISION 15'!$A$13:$H$13,0),""),IFNA(MATCH($B66,'DIVISION 15'!$A$14:$H$14,0),""),IFNA(MATCH($B66,'DIVISION 15'!$A$15:$H$15,0),""),IFNA(MATCH($B66,'DIVISION 15'!$A$16:$H$16,0),""),IFNA(MATCH($B66,'DIVISION 15'!$A$17:$H$17,0),""),IFNA(MATCH($B66,'DIVISION 15'!$A$18:$H$18,0),""))=6,'DIVISION 15'!$F$1,SUM(IFNA(MATCH($B66,'DIVISION 15'!$A$2:$H$2,0),""),IFNA(MATCH($B66,'DIVISION 15'!$A$3:$H$3,0),""),IFNA(MATCH($B66,'DIVISION 15'!$A$4:$H$4,0),""),IFNA(MATCH($B66,'DIVISION 15'!$A$5:$H$5,0),""),IFNA(MATCH($B66,'DIVISION 15'!$A$6:$H$6,0),""),IFNA(MATCH($B66,'DIVISION 15'!$A$7:$H$7,0),""),IFNA(MATCH($B66,'DIVISION 15'!$A$8:$H$8,0),""),IFNA(MATCH($B66,'DIVISION 15'!$A$9:$H$9,0),""),IFNA(MATCH($B66,'DIVISION 15'!$A$10:$H$10,0),""),IFNA(MATCH($B66,'DIVISION 15'!$A$11:$H$11,0),""),IFNA(MATCH($B66,'DIVISION 15'!$A$12:$H$12,0),""),IFNA(MATCH($B66,'DIVISION 15'!$A$13:$H$13,0),""),IFNA(MATCH($B66,'DIVISION 15'!$A$14:$H$14,0),""),IFNA(MATCH($B66,'DIVISION 15'!$A$15:$H$15,0),""),IFNA(MATCH($B66,'DIVISION 15'!$A$16:$H$16,0),""),IFNA(MATCH($B66,'DIVISION 15'!$A$17:$H$17,0),""),IFNA(MATCH($B66,'DIVISION 15'!$A$18:$H$18,0),""))=7,'DIVISION 15'!$G$1,SUM(IFNA(MATCH($B66,'DIVISION 15'!$A$2:$H$2,0),""),IFNA(MATCH($B66,'DIVISION 15'!$A$3:$H$3,0),""),IFNA(MATCH($B66,'DIVISION 15'!$A$4:$H$4,0),""),IFNA(MATCH($B66,'DIVISION 15'!$A$5:$H$5,0),""),IFNA(MATCH($B66,'DIVISION 15'!$A$6:$H$6,0),""),IFNA(MATCH($B66,'DIVISION 15'!$A$7:$H$7,0),""),IFNA(MATCH($B66,'DIVISION 15'!$A$8:$H$8,0),""),IFNA(MATCH($B66,'DIVISION 15'!$A$9:$H$9,0),""),IFNA(MATCH($B66,'DIVISION 15'!$A$10:$H$10,0),""),IFNA(MATCH($B66,'DIVISION 15'!$A$11:$H$11,0),""),IFNA(MATCH($B66,'DIVISION 15'!$A$12:$H$12,0),""),IFNA(MATCH($B66,'DIVISION 15'!$A$13:$H$13,0),""),IFNA(MATCH($B66,'DIVISION 15'!$A$14:$H$14,0),""),IFNA(MATCH($B66,'DIVISION 15'!$A$15:$H$15,0),""),IFNA(MATCH($B66,'DIVISION 15'!$A$16:$H$16,0),""),IFNA(MATCH($B66,'DIVISION 15'!$A$17:$H$17,0),""),IFNA(MATCH($B66,'DIVISION 15'!$A$18:$H$18,0),""))=8,'DIVISION 15'!$H$1)</f>
        <v>LULI</v>
      </c>
      <c r="U66" s="8" t="str">
        <f t="shared" si="2"/>
        <v>LULI6</v>
      </c>
      <c r="V66" s="9">
        <f>SUMIF(AsistenciaViewJetAdmin!$A$3:$A$101,A66,AsistenciaViewJetAdmin!$C$3:$C$101)/(COUNTIF(AsistenciaViewJetAdmin!$D$102:V$102,"&gt;0")+COUNTIF(ActividadesEspeciales!$D$102:V$102,"&gt;0"))*100</f>
        <v>78.19148936</v>
      </c>
    </row>
    <row r="67" ht="28.5" customHeight="1">
      <c r="A67" s="3">
        <v>151.0</v>
      </c>
      <c r="B67" s="4" t="s">
        <v>561</v>
      </c>
      <c r="C67" s="5">
        <v>974204.0</v>
      </c>
      <c r="D67" s="7" t="s">
        <v>562</v>
      </c>
      <c r="E67" s="5">
        <v>4.998038E7</v>
      </c>
      <c r="F67" s="5" t="s">
        <v>563</v>
      </c>
      <c r="G67" s="7">
        <v>1.1351030629E10</v>
      </c>
      <c r="H67" s="5" t="s">
        <v>564</v>
      </c>
      <c r="I67" s="5" t="s">
        <v>565</v>
      </c>
      <c r="J67" s="7">
        <v>5.491132432401E12</v>
      </c>
      <c r="K67" s="5" t="s">
        <v>566</v>
      </c>
      <c r="L67" s="5" t="s">
        <v>567</v>
      </c>
      <c r="M67" s="7">
        <v>1.159438527E9</v>
      </c>
      <c r="N67" s="5" t="s">
        <v>568</v>
      </c>
      <c r="O67" s="5" t="s">
        <v>120</v>
      </c>
      <c r="P67" s="5" t="s">
        <v>120</v>
      </c>
      <c r="Q67" s="5" t="s">
        <v>30</v>
      </c>
      <c r="R67" s="5" t="s">
        <v>31</v>
      </c>
      <c r="S67" s="5" t="s">
        <v>32</v>
      </c>
      <c r="T67" s="8" t="str">
        <f>IFS(SUM(IFNA(MATCH($B67,'DIVISION 15'!$A$2:$H$2,0),""),IFNA(MATCH($B67,'DIVISION 15'!$A$3:$H$3,0),""),IFNA(MATCH($B67,'DIVISION 15'!$A$4:$H$4,0),""),IFNA(MATCH($B67,'DIVISION 15'!$A$5:$H$5,0),""),IFNA(MATCH($B67,'DIVISION 15'!$A$6:$H$6,0),""),IFNA(MATCH($B67,'DIVISION 15'!$A$7:$H$7,0),""),IFNA(MATCH($B67,'DIVISION 15'!$A$8:$H$8,0),""),IFNA(MATCH($B67,'DIVISION 15'!$A$9:$H$9,0),""),IFNA(MATCH($B67,'DIVISION 15'!$A$10:$H$10,0),""),IFNA(MATCH($B67,'DIVISION 15'!$A$11:$H$11,0),""),IFNA(MATCH($B67,'DIVISION 15'!$A$12:$H$12,0),""),IFNA(MATCH($B67,'DIVISION 15'!$A$13:$H$13,0),""),IFNA(MATCH($B67,'DIVISION 15'!$A$14:$H$14,0),""),IFNA(MATCH($B67,'DIVISION 15'!$A$15:$H$15,0),""),IFNA(MATCH($B67,'DIVISION 15'!$A$16:$H$16,0),""),IFNA(MATCH($B67,'DIVISION 15'!$A$17:$H$17,0),""),IFNA(MATCH($B67,'DIVISION 15'!$A$18:$H$18,0),""))=1,'DIVISION 15'!$A$1,SUM(IFNA(MATCH($B67,'DIVISION 15'!$A$2:$H$2,0),""),IFNA(MATCH($B67,'DIVISION 15'!$A$3:$H$3,0),""),IFNA(MATCH($B67,'DIVISION 15'!$A$4:$H$4,0),""),IFNA(MATCH($B67,'DIVISION 15'!$A$5:$H$5,0),""),IFNA(MATCH($B67,'DIVISION 15'!$A$6:$H$6,0),""),IFNA(MATCH($B67,'DIVISION 15'!$A$7:$H$7,0),""),IFNA(MATCH($B67,'DIVISION 15'!$A$8:$H$8,0),""),IFNA(MATCH($B67,'DIVISION 15'!$A$9:$H$9,0),""),IFNA(MATCH($B67,'DIVISION 15'!$A$10:$H$10,0),""),IFNA(MATCH($B67,'DIVISION 15'!$A$11:$H$11,0),""),IFNA(MATCH($B67,'DIVISION 15'!$A$12:$H$12,0),""),IFNA(MATCH($B67,'DIVISION 15'!$A$13:$H$13,0),""),IFNA(MATCH($B67,'DIVISION 15'!$A$14:$H$14,0),""),IFNA(MATCH($B67,'DIVISION 15'!$A$15:$H$15,0),""),IFNA(MATCH($B67,'DIVISION 15'!$A$16:$H$16,0),""),IFNA(MATCH($B67,'DIVISION 15'!$A$17:$H$17,0),""),IFNA(MATCH($B67,'DIVISION 15'!$A$18:$H$18,0),""))=2,'DIVISION 15'!$B$1,SUM(IFNA(MATCH($B67,'DIVISION 15'!$A$2:$H$2,0),""),IFNA(MATCH($B67,'DIVISION 15'!$A$3:$H$3,0),""),IFNA(MATCH($B67,'DIVISION 15'!$A$4:$H$4,0),""),IFNA(MATCH($B67,'DIVISION 15'!$A$5:$H$5,0),""),IFNA(MATCH($B67,'DIVISION 15'!$A$6:$H$6,0),""),IFNA(MATCH($B67,'DIVISION 15'!$A$7:$H$7,0),""),IFNA(MATCH($B67,'DIVISION 15'!$A$8:$H$8,0),""),IFNA(MATCH($B67,'DIVISION 15'!$A$9:$H$9,0),""),IFNA(MATCH($B67,'DIVISION 15'!$A$10:$H$10,0),""),IFNA(MATCH($B67,'DIVISION 15'!$A$11:$H$11,0),""),IFNA(MATCH($B67,'DIVISION 15'!$A$12:$H$12,0),""),IFNA(MATCH($B67,'DIVISION 15'!$A$13:$H$13,0),""),IFNA(MATCH($B67,'DIVISION 15'!$A$14:$H$14,0),""),IFNA(MATCH($B67,'DIVISION 15'!$A$15:$H$15,0),""),IFNA(MATCH($B67,'DIVISION 15'!$A$16:$H$16,0),""),IFNA(MATCH($B67,'DIVISION 15'!$A$17:$H$17,0),""),IFNA(MATCH($B67,'DIVISION 15'!$A$18:$H$18,0),""))=3,'DIVISION 15'!$C$1,SUM(IFNA(MATCH($B67,'DIVISION 15'!$A$2:$H$2,0),""),IFNA(MATCH($B67,'DIVISION 15'!$A$3:$H$3,0),""),IFNA(MATCH($B67,'DIVISION 15'!$A$4:$H$4,0),""),IFNA(MATCH($B67,'DIVISION 15'!$A$5:$H$5,0),""),IFNA(MATCH($B67,'DIVISION 15'!$A$6:$H$6,0),""),IFNA(MATCH($B67,'DIVISION 15'!$A$7:$H$7,0),""),IFNA(MATCH($B67,'DIVISION 15'!$A$8:$H$8,0),""),IFNA(MATCH($B67,'DIVISION 15'!$A$9:$H$9,0),""),IFNA(MATCH($B67,'DIVISION 15'!$A$10:$H$10,0),""),IFNA(MATCH($B67,'DIVISION 15'!$A$11:$H$11,0),""),IFNA(MATCH($B67,'DIVISION 15'!$A$12:$H$12,0),""),IFNA(MATCH($B67,'DIVISION 15'!$A$13:$H$13,0),""),IFNA(MATCH($B67,'DIVISION 15'!$A$14:$H$14,0),""),IFNA(MATCH($B67,'DIVISION 15'!$A$15:$H$15,0),""),IFNA(MATCH($B67,'DIVISION 15'!$A$16:$H$16,0),""),IFNA(MATCH($B67,'DIVISION 15'!$A$17:$H$17,0),""),IFNA(MATCH($B67,'DIVISION 15'!$A$18:$H$18,0),""))=4,'DIVISION 15'!$D$1,SUM(IFNA(MATCH($B67,'DIVISION 15'!$A$2:$H$2,0),""),IFNA(MATCH($B67,'DIVISION 15'!$A$3:$H$3,0),""),IFNA(MATCH($B67,'DIVISION 15'!$A$4:$H$4,0),""),IFNA(MATCH($B67,'DIVISION 15'!$A$5:$H$5,0),""),IFNA(MATCH($B67,'DIVISION 15'!$A$6:$H$6,0),""),IFNA(MATCH($B67,'DIVISION 15'!$A$7:$H$7,0),""),IFNA(MATCH($B67,'DIVISION 15'!$A$8:$H$8,0),""),IFNA(MATCH($B67,'DIVISION 15'!$A$9:$H$9,0),""),IFNA(MATCH($B67,'DIVISION 15'!$A$10:$H$10,0),""),IFNA(MATCH($B67,'DIVISION 15'!$A$11:$H$11,0),""),IFNA(MATCH($B67,'DIVISION 15'!$A$12:$H$12,0),""),IFNA(MATCH($B67,'DIVISION 15'!$A$13:$H$13,0),""),IFNA(MATCH($B67,'DIVISION 15'!$A$14:$H$14,0),""),IFNA(MATCH($B67,'DIVISION 15'!$A$15:$H$15,0),""),IFNA(MATCH($B67,'DIVISION 15'!$A$16:$H$16,0),""),IFNA(MATCH($B67,'DIVISION 15'!$A$17:$H$17,0),""),IFNA(MATCH($B67,'DIVISION 15'!$A$18:$H$18,0),""))=5,'DIVISION 15'!$E$1,SUM(IFNA(MATCH($B67,'DIVISION 15'!$A$2:$H$2,0),""),IFNA(MATCH($B67,'DIVISION 15'!$A$3:$H$3,0),""),IFNA(MATCH($B67,'DIVISION 15'!$A$4:$H$4,0),""),IFNA(MATCH($B67,'DIVISION 15'!$A$5:$H$5,0),""),IFNA(MATCH($B67,'DIVISION 15'!$A$6:$H$6,0),""),IFNA(MATCH($B67,'DIVISION 15'!$A$7:$H$7,0),""),IFNA(MATCH($B67,'DIVISION 15'!$A$8:$H$8,0),""),IFNA(MATCH($B67,'DIVISION 15'!$A$9:$H$9,0),""),IFNA(MATCH($B67,'DIVISION 15'!$A$10:$H$10,0),""),IFNA(MATCH($B67,'DIVISION 15'!$A$11:$H$11,0),""),IFNA(MATCH($B67,'DIVISION 15'!$A$12:$H$12,0),""),IFNA(MATCH($B67,'DIVISION 15'!$A$13:$H$13,0),""),IFNA(MATCH($B67,'DIVISION 15'!$A$14:$H$14,0),""),IFNA(MATCH($B67,'DIVISION 15'!$A$15:$H$15,0),""),IFNA(MATCH($B67,'DIVISION 15'!$A$16:$H$16,0),""),IFNA(MATCH($B67,'DIVISION 15'!$A$17:$H$17,0),""),IFNA(MATCH($B67,'DIVISION 15'!$A$18:$H$18,0),""))=6,'DIVISION 15'!$F$1,SUM(IFNA(MATCH($B67,'DIVISION 15'!$A$2:$H$2,0),""),IFNA(MATCH($B67,'DIVISION 15'!$A$3:$H$3,0),""),IFNA(MATCH($B67,'DIVISION 15'!$A$4:$H$4,0),""),IFNA(MATCH($B67,'DIVISION 15'!$A$5:$H$5,0),""),IFNA(MATCH($B67,'DIVISION 15'!$A$6:$H$6,0),""),IFNA(MATCH($B67,'DIVISION 15'!$A$7:$H$7,0),""),IFNA(MATCH($B67,'DIVISION 15'!$A$8:$H$8,0),""),IFNA(MATCH($B67,'DIVISION 15'!$A$9:$H$9,0),""),IFNA(MATCH($B67,'DIVISION 15'!$A$10:$H$10,0),""),IFNA(MATCH($B67,'DIVISION 15'!$A$11:$H$11,0),""),IFNA(MATCH($B67,'DIVISION 15'!$A$12:$H$12,0),""),IFNA(MATCH($B67,'DIVISION 15'!$A$13:$H$13,0),""),IFNA(MATCH($B67,'DIVISION 15'!$A$14:$H$14,0),""),IFNA(MATCH($B67,'DIVISION 15'!$A$15:$H$15,0),""),IFNA(MATCH($B67,'DIVISION 15'!$A$16:$H$16,0),""),IFNA(MATCH($B67,'DIVISION 15'!$A$17:$H$17,0),""),IFNA(MATCH($B67,'DIVISION 15'!$A$18:$H$18,0),""))=7,'DIVISION 15'!$G$1,SUM(IFNA(MATCH($B67,'DIVISION 15'!$A$2:$H$2,0),""),IFNA(MATCH($B67,'DIVISION 15'!$A$3:$H$3,0),""),IFNA(MATCH($B67,'DIVISION 15'!$A$4:$H$4,0),""),IFNA(MATCH($B67,'DIVISION 15'!$A$5:$H$5,0),""),IFNA(MATCH($B67,'DIVISION 15'!$A$6:$H$6,0),""),IFNA(MATCH($B67,'DIVISION 15'!$A$7:$H$7,0),""),IFNA(MATCH($B67,'DIVISION 15'!$A$8:$H$8,0),""),IFNA(MATCH($B67,'DIVISION 15'!$A$9:$H$9,0),""),IFNA(MATCH($B67,'DIVISION 15'!$A$10:$H$10,0),""),IFNA(MATCH($B67,'DIVISION 15'!$A$11:$H$11,0),""),IFNA(MATCH($B67,'DIVISION 15'!$A$12:$H$12,0),""),IFNA(MATCH($B67,'DIVISION 15'!$A$13:$H$13,0),""),IFNA(MATCH($B67,'DIVISION 15'!$A$14:$H$14,0),""),IFNA(MATCH($B67,'DIVISION 15'!$A$15:$H$15,0),""),IFNA(MATCH($B67,'DIVISION 15'!$A$16:$H$16,0),""),IFNA(MATCH($B67,'DIVISION 15'!$A$17:$H$17,0),""),IFNA(MATCH($B67,'DIVISION 15'!$A$18:$H$18,0),""))=8,'DIVISION 15'!$H$1)</f>
        <v>MELU</v>
      </c>
      <c r="U67" s="8" t="str">
        <f t="shared" si="2"/>
        <v>MELU12</v>
      </c>
      <c r="V67" s="9">
        <f>SUMIF(AsistenciaViewJetAdmin!$A$3:$A$101,A67,AsistenciaViewJetAdmin!$C$3:$C$101)/(COUNTIF(AsistenciaViewJetAdmin!$D$102:V$102,"&gt;0")+COUNTIF(ActividadesEspeciales!$D$102:V$102,"&gt;0"))*100</f>
        <v>73.40425532</v>
      </c>
    </row>
    <row r="68" ht="28.5" customHeight="1">
      <c r="A68" s="3">
        <v>111.0</v>
      </c>
      <c r="B68" s="4" t="s">
        <v>569</v>
      </c>
      <c r="C68" s="5">
        <v>9057.0</v>
      </c>
      <c r="D68" s="7" t="s">
        <v>570</v>
      </c>
      <c r="E68" s="5">
        <v>4.9625079E7</v>
      </c>
      <c r="F68" s="5" t="s">
        <v>571</v>
      </c>
      <c r="G68" s="7">
        <v>1.140232162E9</v>
      </c>
      <c r="H68" s="5" t="s">
        <v>572</v>
      </c>
      <c r="I68" s="5" t="s">
        <v>573</v>
      </c>
      <c r="J68" s="7">
        <v>1.135743816E9</v>
      </c>
      <c r="K68" s="5" t="s">
        <v>574</v>
      </c>
      <c r="L68" s="5" t="s">
        <v>575</v>
      </c>
      <c r="M68" s="7">
        <v>1.135743832E9</v>
      </c>
      <c r="N68" s="5" t="s">
        <v>27</v>
      </c>
      <c r="O68" s="5" t="s">
        <v>96</v>
      </c>
      <c r="P68" s="5" t="s">
        <v>96</v>
      </c>
      <c r="Q68" s="5" t="s">
        <v>30</v>
      </c>
      <c r="R68" s="5" t="s">
        <v>31</v>
      </c>
      <c r="S68" s="5" t="s">
        <v>43</v>
      </c>
      <c r="T68" s="8" t="str">
        <f>IFS(SUM(IFNA(MATCH($B68,'DIVISION 15'!$A$2:$H$2,0),""),IFNA(MATCH($B68,'DIVISION 15'!$A$3:$H$3,0),""),IFNA(MATCH($B68,'DIVISION 15'!$A$4:$H$4,0),""),IFNA(MATCH($B68,'DIVISION 15'!$A$5:$H$5,0),""),IFNA(MATCH($B68,'DIVISION 15'!$A$6:$H$6,0),""),IFNA(MATCH($B68,'DIVISION 15'!$A$7:$H$7,0),""),IFNA(MATCH($B68,'DIVISION 15'!$A$8:$H$8,0),""),IFNA(MATCH($B68,'DIVISION 15'!$A$9:$H$9,0),""),IFNA(MATCH($B68,'DIVISION 15'!$A$10:$H$10,0),""),IFNA(MATCH($B68,'DIVISION 15'!$A$11:$H$11,0),""),IFNA(MATCH($B68,'DIVISION 15'!$A$12:$H$12,0),""),IFNA(MATCH($B68,'DIVISION 15'!$A$13:$H$13,0),""),IFNA(MATCH($B68,'DIVISION 15'!$A$14:$H$14,0),""),IFNA(MATCH($B68,'DIVISION 15'!$A$15:$H$15,0),""),IFNA(MATCH($B68,'DIVISION 15'!$A$16:$H$16,0),""),IFNA(MATCH($B68,'DIVISION 15'!$A$17:$H$17,0),""),IFNA(MATCH($B68,'DIVISION 15'!$A$18:$H$18,0),""))=1,'DIVISION 15'!$A$1,SUM(IFNA(MATCH($B68,'DIVISION 15'!$A$2:$H$2,0),""),IFNA(MATCH($B68,'DIVISION 15'!$A$3:$H$3,0),""),IFNA(MATCH($B68,'DIVISION 15'!$A$4:$H$4,0),""),IFNA(MATCH($B68,'DIVISION 15'!$A$5:$H$5,0),""),IFNA(MATCH($B68,'DIVISION 15'!$A$6:$H$6,0),""),IFNA(MATCH($B68,'DIVISION 15'!$A$7:$H$7,0),""),IFNA(MATCH($B68,'DIVISION 15'!$A$8:$H$8,0),""),IFNA(MATCH($B68,'DIVISION 15'!$A$9:$H$9,0),""),IFNA(MATCH($B68,'DIVISION 15'!$A$10:$H$10,0),""),IFNA(MATCH($B68,'DIVISION 15'!$A$11:$H$11,0),""),IFNA(MATCH($B68,'DIVISION 15'!$A$12:$H$12,0),""),IFNA(MATCH($B68,'DIVISION 15'!$A$13:$H$13,0),""),IFNA(MATCH($B68,'DIVISION 15'!$A$14:$H$14,0),""),IFNA(MATCH($B68,'DIVISION 15'!$A$15:$H$15,0),""),IFNA(MATCH($B68,'DIVISION 15'!$A$16:$H$16,0),""),IFNA(MATCH($B68,'DIVISION 15'!$A$17:$H$17,0),""),IFNA(MATCH($B68,'DIVISION 15'!$A$18:$H$18,0),""))=2,'DIVISION 15'!$B$1,SUM(IFNA(MATCH($B68,'DIVISION 15'!$A$2:$H$2,0),""),IFNA(MATCH($B68,'DIVISION 15'!$A$3:$H$3,0),""),IFNA(MATCH($B68,'DIVISION 15'!$A$4:$H$4,0),""),IFNA(MATCH($B68,'DIVISION 15'!$A$5:$H$5,0),""),IFNA(MATCH($B68,'DIVISION 15'!$A$6:$H$6,0),""),IFNA(MATCH($B68,'DIVISION 15'!$A$7:$H$7,0),""),IFNA(MATCH($B68,'DIVISION 15'!$A$8:$H$8,0),""),IFNA(MATCH($B68,'DIVISION 15'!$A$9:$H$9,0),""),IFNA(MATCH($B68,'DIVISION 15'!$A$10:$H$10,0),""),IFNA(MATCH($B68,'DIVISION 15'!$A$11:$H$11,0),""),IFNA(MATCH($B68,'DIVISION 15'!$A$12:$H$12,0),""),IFNA(MATCH($B68,'DIVISION 15'!$A$13:$H$13,0),""),IFNA(MATCH($B68,'DIVISION 15'!$A$14:$H$14,0),""),IFNA(MATCH($B68,'DIVISION 15'!$A$15:$H$15,0),""),IFNA(MATCH($B68,'DIVISION 15'!$A$16:$H$16,0),""),IFNA(MATCH($B68,'DIVISION 15'!$A$17:$H$17,0),""),IFNA(MATCH($B68,'DIVISION 15'!$A$18:$H$18,0),""))=3,'DIVISION 15'!$C$1,SUM(IFNA(MATCH($B68,'DIVISION 15'!$A$2:$H$2,0),""),IFNA(MATCH($B68,'DIVISION 15'!$A$3:$H$3,0),""),IFNA(MATCH($B68,'DIVISION 15'!$A$4:$H$4,0),""),IFNA(MATCH($B68,'DIVISION 15'!$A$5:$H$5,0),""),IFNA(MATCH($B68,'DIVISION 15'!$A$6:$H$6,0),""),IFNA(MATCH($B68,'DIVISION 15'!$A$7:$H$7,0),""),IFNA(MATCH($B68,'DIVISION 15'!$A$8:$H$8,0),""),IFNA(MATCH($B68,'DIVISION 15'!$A$9:$H$9,0),""),IFNA(MATCH($B68,'DIVISION 15'!$A$10:$H$10,0),""),IFNA(MATCH($B68,'DIVISION 15'!$A$11:$H$11,0),""),IFNA(MATCH($B68,'DIVISION 15'!$A$12:$H$12,0),""),IFNA(MATCH($B68,'DIVISION 15'!$A$13:$H$13,0),""),IFNA(MATCH($B68,'DIVISION 15'!$A$14:$H$14,0),""),IFNA(MATCH($B68,'DIVISION 15'!$A$15:$H$15,0),""),IFNA(MATCH($B68,'DIVISION 15'!$A$16:$H$16,0),""),IFNA(MATCH($B68,'DIVISION 15'!$A$17:$H$17,0),""),IFNA(MATCH($B68,'DIVISION 15'!$A$18:$H$18,0),""))=4,'DIVISION 15'!$D$1,SUM(IFNA(MATCH($B68,'DIVISION 15'!$A$2:$H$2,0),""),IFNA(MATCH($B68,'DIVISION 15'!$A$3:$H$3,0),""),IFNA(MATCH($B68,'DIVISION 15'!$A$4:$H$4,0),""),IFNA(MATCH($B68,'DIVISION 15'!$A$5:$H$5,0),""),IFNA(MATCH($B68,'DIVISION 15'!$A$6:$H$6,0),""),IFNA(MATCH($B68,'DIVISION 15'!$A$7:$H$7,0),""),IFNA(MATCH($B68,'DIVISION 15'!$A$8:$H$8,0),""),IFNA(MATCH($B68,'DIVISION 15'!$A$9:$H$9,0),""),IFNA(MATCH($B68,'DIVISION 15'!$A$10:$H$10,0),""),IFNA(MATCH($B68,'DIVISION 15'!$A$11:$H$11,0),""),IFNA(MATCH($B68,'DIVISION 15'!$A$12:$H$12,0),""),IFNA(MATCH($B68,'DIVISION 15'!$A$13:$H$13,0),""),IFNA(MATCH($B68,'DIVISION 15'!$A$14:$H$14,0),""),IFNA(MATCH($B68,'DIVISION 15'!$A$15:$H$15,0),""),IFNA(MATCH($B68,'DIVISION 15'!$A$16:$H$16,0),""),IFNA(MATCH($B68,'DIVISION 15'!$A$17:$H$17,0),""),IFNA(MATCH($B68,'DIVISION 15'!$A$18:$H$18,0),""))=5,'DIVISION 15'!$E$1,SUM(IFNA(MATCH($B68,'DIVISION 15'!$A$2:$H$2,0),""),IFNA(MATCH($B68,'DIVISION 15'!$A$3:$H$3,0),""),IFNA(MATCH($B68,'DIVISION 15'!$A$4:$H$4,0),""),IFNA(MATCH($B68,'DIVISION 15'!$A$5:$H$5,0),""),IFNA(MATCH($B68,'DIVISION 15'!$A$6:$H$6,0),""),IFNA(MATCH($B68,'DIVISION 15'!$A$7:$H$7,0),""),IFNA(MATCH($B68,'DIVISION 15'!$A$8:$H$8,0),""),IFNA(MATCH($B68,'DIVISION 15'!$A$9:$H$9,0),""),IFNA(MATCH($B68,'DIVISION 15'!$A$10:$H$10,0),""),IFNA(MATCH($B68,'DIVISION 15'!$A$11:$H$11,0),""),IFNA(MATCH($B68,'DIVISION 15'!$A$12:$H$12,0),""),IFNA(MATCH($B68,'DIVISION 15'!$A$13:$H$13,0),""),IFNA(MATCH($B68,'DIVISION 15'!$A$14:$H$14,0),""),IFNA(MATCH($B68,'DIVISION 15'!$A$15:$H$15,0),""),IFNA(MATCH($B68,'DIVISION 15'!$A$16:$H$16,0),""),IFNA(MATCH($B68,'DIVISION 15'!$A$17:$H$17,0),""),IFNA(MATCH($B68,'DIVISION 15'!$A$18:$H$18,0),""))=6,'DIVISION 15'!$F$1,SUM(IFNA(MATCH($B68,'DIVISION 15'!$A$2:$H$2,0),""),IFNA(MATCH($B68,'DIVISION 15'!$A$3:$H$3,0),""),IFNA(MATCH($B68,'DIVISION 15'!$A$4:$H$4,0),""),IFNA(MATCH($B68,'DIVISION 15'!$A$5:$H$5,0),""),IFNA(MATCH($B68,'DIVISION 15'!$A$6:$H$6,0),""),IFNA(MATCH($B68,'DIVISION 15'!$A$7:$H$7,0),""),IFNA(MATCH($B68,'DIVISION 15'!$A$8:$H$8,0),""),IFNA(MATCH($B68,'DIVISION 15'!$A$9:$H$9,0),""),IFNA(MATCH($B68,'DIVISION 15'!$A$10:$H$10,0),""),IFNA(MATCH($B68,'DIVISION 15'!$A$11:$H$11,0),""),IFNA(MATCH($B68,'DIVISION 15'!$A$12:$H$12,0),""),IFNA(MATCH($B68,'DIVISION 15'!$A$13:$H$13,0),""),IFNA(MATCH($B68,'DIVISION 15'!$A$14:$H$14,0),""),IFNA(MATCH($B68,'DIVISION 15'!$A$15:$H$15,0),""),IFNA(MATCH($B68,'DIVISION 15'!$A$16:$H$16,0),""),IFNA(MATCH($B68,'DIVISION 15'!$A$17:$H$17,0),""),IFNA(MATCH($B68,'DIVISION 15'!$A$18:$H$18,0),""))=7,'DIVISION 15'!$G$1,SUM(IFNA(MATCH($B68,'DIVISION 15'!$A$2:$H$2,0),""),IFNA(MATCH($B68,'DIVISION 15'!$A$3:$H$3,0),""),IFNA(MATCH($B68,'DIVISION 15'!$A$4:$H$4,0),""),IFNA(MATCH($B68,'DIVISION 15'!$A$5:$H$5,0),""),IFNA(MATCH($B68,'DIVISION 15'!$A$6:$H$6,0),""),IFNA(MATCH($B68,'DIVISION 15'!$A$7:$H$7,0),""),IFNA(MATCH($B68,'DIVISION 15'!$A$8:$H$8,0),""),IFNA(MATCH($B68,'DIVISION 15'!$A$9:$H$9,0),""),IFNA(MATCH($B68,'DIVISION 15'!$A$10:$H$10,0),""),IFNA(MATCH($B68,'DIVISION 15'!$A$11:$H$11,0),""),IFNA(MATCH($B68,'DIVISION 15'!$A$12:$H$12,0),""),IFNA(MATCH($B68,'DIVISION 15'!$A$13:$H$13,0),""),IFNA(MATCH($B68,'DIVISION 15'!$A$14:$H$14,0),""),IFNA(MATCH($B68,'DIVISION 15'!$A$15:$H$15,0),""),IFNA(MATCH($B68,'DIVISION 15'!$A$16:$H$16,0),""),IFNA(MATCH($B68,'DIVISION 15'!$A$17:$H$17,0),""),IFNA(MATCH($B68,'DIVISION 15'!$A$18:$H$18,0),""))=8,'DIVISION 15'!$H$1)</f>
        <v>SOFI</v>
      </c>
      <c r="U68" s="8" t="str">
        <f t="shared" si="2"/>
        <v>SOFI10</v>
      </c>
      <c r="V68" s="9">
        <f>SUMIF(AsistenciaViewJetAdmin!$A$3:$A$101,A68,AsistenciaViewJetAdmin!$C$3:$C$101)/(COUNTIF(AsistenciaViewJetAdmin!$D$102:V$102,"&gt;0")+COUNTIF(ActividadesEspeciales!$D$102:V$102,"&gt;0"))*100</f>
        <v>43.08510638</v>
      </c>
    </row>
    <row r="69" ht="28.5" customHeight="1">
      <c r="A69" s="3">
        <v>107.0</v>
      </c>
      <c r="B69" s="4" t="s">
        <v>576</v>
      </c>
      <c r="C69" s="5">
        <v>9384.0</v>
      </c>
      <c r="D69" s="7" t="s">
        <v>577</v>
      </c>
      <c r="E69" s="5">
        <v>4.9703217E7</v>
      </c>
      <c r="F69" s="5" t="s">
        <v>578</v>
      </c>
      <c r="G69" s="7">
        <v>3.8924875E7</v>
      </c>
      <c r="H69" s="5" t="s">
        <v>579</v>
      </c>
      <c r="I69" s="5" t="s">
        <v>580</v>
      </c>
      <c r="J69" s="7">
        <v>1.135879326E9</v>
      </c>
      <c r="K69" s="5" t="s">
        <v>581</v>
      </c>
      <c r="L69" s="5" t="s">
        <v>582</v>
      </c>
      <c r="M69" s="7">
        <v>1.135879328E9</v>
      </c>
      <c r="N69" s="5" t="s">
        <v>583</v>
      </c>
      <c r="O69" s="5" t="s">
        <v>120</v>
      </c>
      <c r="P69" s="5" t="s">
        <v>120</v>
      </c>
      <c r="Q69" s="5" t="s">
        <v>30</v>
      </c>
      <c r="R69" s="5" t="s">
        <v>87</v>
      </c>
      <c r="S69" s="5" t="s">
        <v>43</v>
      </c>
      <c r="T69" s="8" t="str">
        <f>IFS(SUM(IFNA(MATCH($B69,'DIVISION 15'!$A$2:$H$2,0),""),IFNA(MATCH($B69,'DIVISION 15'!$A$3:$H$3,0),""),IFNA(MATCH($B69,'DIVISION 15'!$A$4:$H$4,0),""),IFNA(MATCH($B69,'DIVISION 15'!$A$5:$H$5,0),""),IFNA(MATCH($B69,'DIVISION 15'!$A$6:$H$6,0),""),IFNA(MATCH($B69,'DIVISION 15'!$A$7:$H$7,0),""),IFNA(MATCH($B69,'DIVISION 15'!$A$8:$H$8,0),""),IFNA(MATCH($B69,'DIVISION 15'!$A$9:$H$9,0),""),IFNA(MATCH($B69,'DIVISION 15'!$A$10:$H$10,0),""),IFNA(MATCH($B69,'DIVISION 15'!$A$11:$H$11,0),""),IFNA(MATCH($B69,'DIVISION 15'!$A$12:$H$12,0),""),IFNA(MATCH($B69,'DIVISION 15'!$A$13:$H$13,0),""),IFNA(MATCH($B69,'DIVISION 15'!$A$14:$H$14,0),""),IFNA(MATCH($B69,'DIVISION 15'!$A$15:$H$15,0),""),IFNA(MATCH($B69,'DIVISION 15'!$A$16:$H$16,0),""),IFNA(MATCH($B69,'DIVISION 15'!$A$17:$H$17,0),""),IFNA(MATCH($B69,'DIVISION 15'!$A$18:$H$18,0),""))=1,'DIVISION 15'!$A$1,SUM(IFNA(MATCH($B69,'DIVISION 15'!$A$2:$H$2,0),""),IFNA(MATCH($B69,'DIVISION 15'!$A$3:$H$3,0),""),IFNA(MATCH($B69,'DIVISION 15'!$A$4:$H$4,0),""),IFNA(MATCH($B69,'DIVISION 15'!$A$5:$H$5,0),""),IFNA(MATCH($B69,'DIVISION 15'!$A$6:$H$6,0),""),IFNA(MATCH($B69,'DIVISION 15'!$A$7:$H$7,0),""),IFNA(MATCH($B69,'DIVISION 15'!$A$8:$H$8,0),""),IFNA(MATCH($B69,'DIVISION 15'!$A$9:$H$9,0),""),IFNA(MATCH($B69,'DIVISION 15'!$A$10:$H$10,0),""),IFNA(MATCH($B69,'DIVISION 15'!$A$11:$H$11,0),""),IFNA(MATCH($B69,'DIVISION 15'!$A$12:$H$12,0),""),IFNA(MATCH($B69,'DIVISION 15'!$A$13:$H$13,0),""),IFNA(MATCH($B69,'DIVISION 15'!$A$14:$H$14,0),""),IFNA(MATCH($B69,'DIVISION 15'!$A$15:$H$15,0),""),IFNA(MATCH($B69,'DIVISION 15'!$A$16:$H$16,0),""),IFNA(MATCH($B69,'DIVISION 15'!$A$17:$H$17,0),""),IFNA(MATCH($B69,'DIVISION 15'!$A$18:$H$18,0),""))=2,'DIVISION 15'!$B$1,SUM(IFNA(MATCH($B69,'DIVISION 15'!$A$2:$H$2,0),""),IFNA(MATCH($B69,'DIVISION 15'!$A$3:$H$3,0),""),IFNA(MATCH($B69,'DIVISION 15'!$A$4:$H$4,0),""),IFNA(MATCH($B69,'DIVISION 15'!$A$5:$H$5,0),""),IFNA(MATCH($B69,'DIVISION 15'!$A$6:$H$6,0),""),IFNA(MATCH($B69,'DIVISION 15'!$A$7:$H$7,0),""),IFNA(MATCH($B69,'DIVISION 15'!$A$8:$H$8,0),""),IFNA(MATCH($B69,'DIVISION 15'!$A$9:$H$9,0),""),IFNA(MATCH($B69,'DIVISION 15'!$A$10:$H$10,0),""),IFNA(MATCH($B69,'DIVISION 15'!$A$11:$H$11,0),""),IFNA(MATCH($B69,'DIVISION 15'!$A$12:$H$12,0),""),IFNA(MATCH($B69,'DIVISION 15'!$A$13:$H$13,0),""),IFNA(MATCH($B69,'DIVISION 15'!$A$14:$H$14,0),""),IFNA(MATCH($B69,'DIVISION 15'!$A$15:$H$15,0),""),IFNA(MATCH($B69,'DIVISION 15'!$A$16:$H$16,0),""),IFNA(MATCH($B69,'DIVISION 15'!$A$17:$H$17,0),""),IFNA(MATCH($B69,'DIVISION 15'!$A$18:$H$18,0),""))=3,'DIVISION 15'!$C$1,SUM(IFNA(MATCH($B69,'DIVISION 15'!$A$2:$H$2,0),""),IFNA(MATCH($B69,'DIVISION 15'!$A$3:$H$3,0),""),IFNA(MATCH($B69,'DIVISION 15'!$A$4:$H$4,0),""),IFNA(MATCH($B69,'DIVISION 15'!$A$5:$H$5,0),""),IFNA(MATCH($B69,'DIVISION 15'!$A$6:$H$6,0),""),IFNA(MATCH($B69,'DIVISION 15'!$A$7:$H$7,0),""),IFNA(MATCH($B69,'DIVISION 15'!$A$8:$H$8,0),""),IFNA(MATCH($B69,'DIVISION 15'!$A$9:$H$9,0),""),IFNA(MATCH($B69,'DIVISION 15'!$A$10:$H$10,0),""),IFNA(MATCH($B69,'DIVISION 15'!$A$11:$H$11,0),""),IFNA(MATCH($B69,'DIVISION 15'!$A$12:$H$12,0),""),IFNA(MATCH($B69,'DIVISION 15'!$A$13:$H$13,0),""),IFNA(MATCH($B69,'DIVISION 15'!$A$14:$H$14,0),""),IFNA(MATCH($B69,'DIVISION 15'!$A$15:$H$15,0),""),IFNA(MATCH($B69,'DIVISION 15'!$A$16:$H$16,0),""),IFNA(MATCH($B69,'DIVISION 15'!$A$17:$H$17,0),""),IFNA(MATCH($B69,'DIVISION 15'!$A$18:$H$18,0),""))=4,'DIVISION 15'!$D$1,SUM(IFNA(MATCH($B69,'DIVISION 15'!$A$2:$H$2,0),""),IFNA(MATCH($B69,'DIVISION 15'!$A$3:$H$3,0),""),IFNA(MATCH($B69,'DIVISION 15'!$A$4:$H$4,0),""),IFNA(MATCH($B69,'DIVISION 15'!$A$5:$H$5,0),""),IFNA(MATCH($B69,'DIVISION 15'!$A$6:$H$6,0),""),IFNA(MATCH($B69,'DIVISION 15'!$A$7:$H$7,0),""),IFNA(MATCH($B69,'DIVISION 15'!$A$8:$H$8,0),""),IFNA(MATCH($B69,'DIVISION 15'!$A$9:$H$9,0),""),IFNA(MATCH($B69,'DIVISION 15'!$A$10:$H$10,0),""),IFNA(MATCH($B69,'DIVISION 15'!$A$11:$H$11,0),""),IFNA(MATCH($B69,'DIVISION 15'!$A$12:$H$12,0),""),IFNA(MATCH($B69,'DIVISION 15'!$A$13:$H$13,0),""),IFNA(MATCH($B69,'DIVISION 15'!$A$14:$H$14,0),""),IFNA(MATCH($B69,'DIVISION 15'!$A$15:$H$15,0),""),IFNA(MATCH($B69,'DIVISION 15'!$A$16:$H$16,0),""),IFNA(MATCH($B69,'DIVISION 15'!$A$17:$H$17,0),""),IFNA(MATCH($B69,'DIVISION 15'!$A$18:$H$18,0),""))=5,'DIVISION 15'!$E$1,SUM(IFNA(MATCH($B69,'DIVISION 15'!$A$2:$H$2,0),""),IFNA(MATCH($B69,'DIVISION 15'!$A$3:$H$3,0),""),IFNA(MATCH($B69,'DIVISION 15'!$A$4:$H$4,0),""),IFNA(MATCH($B69,'DIVISION 15'!$A$5:$H$5,0),""),IFNA(MATCH($B69,'DIVISION 15'!$A$6:$H$6,0),""),IFNA(MATCH($B69,'DIVISION 15'!$A$7:$H$7,0),""),IFNA(MATCH($B69,'DIVISION 15'!$A$8:$H$8,0),""),IFNA(MATCH($B69,'DIVISION 15'!$A$9:$H$9,0),""),IFNA(MATCH($B69,'DIVISION 15'!$A$10:$H$10,0),""),IFNA(MATCH($B69,'DIVISION 15'!$A$11:$H$11,0),""),IFNA(MATCH($B69,'DIVISION 15'!$A$12:$H$12,0),""),IFNA(MATCH($B69,'DIVISION 15'!$A$13:$H$13,0),""),IFNA(MATCH($B69,'DIVISION 15'!$A$14:$H$14,0),""),IFNA(MATCH($B69,'DIVISION 15'!$A$15:$H$15,0),""),IFNA(MATCH($B69,'DIVISION 15'!$A$16:$H$16,0),""),IFNA(MATCH($B69,'DIVISION 15'!$A$17:$H$17,0),""),IFNA(MATCH($B69,'DIVISION 15'!$A$18:$H$18,0),""))=6,'DIVISION 15'!$F$1,SUM(IFNA(MATCH($B69,'DIVISION 15'!$A$2:$H$2,0),""),IFNA(MATCH($B69,'DIVISION 15'!$A$3:$H$3,0),""),IFNA(MATCH($B69,'DIVISION 15'!$A$4:$H$4,0),""),IFNA(MATCH($B69,'DIVISION 15'!$A$5:$H$5,0),""),IFNA(MATCH($B69,'DIVISION 15'!$A$6:$H$6,0),""),IFNA(MATCH($B69,'DIVISION 15'!$A$7:$H$7,0),""),IFNA(MATCH($B69,'DIVISION 15'!$A$8:$H$8,0),""),IFNA(MATCH($B69,'DIVISION 15'!$A$9:$H$9,0),""),IFNA(MATCH($B69,'DIVISION 15'!$A$10:$H$10,0),""),IFNA(MATCH($B69,'DIVISION 15'!$A$11:$H$11,0),""),IFNA(MATCH($B69,'DIVISION 15'!$A$12:$H$12,0),""),IFNA(MATCH($B69,'DIVISION 15'!$A$13:$H$13,0),""),IFNA(MATCH($B69,'DIVISION 15'!$A$14:$H$14,0),""),IFNA(MATCH($B69,'DIVISION 15'!$A$15:$H$15,0),""),IFNA(MATCH($B69,'DIVISION 15'!$A$16:$H$16,0),""),IFNA(MATCH($B69,'DIVISION 15'!$A$17:$H$17,0),""),IFNA(MATCH($B69,'DIVISION 15'!$A$18:$H$18,0),""))=7,'DIVISION 15'!$G$1,SUM(IFNA(MATCH($B69,'DIVISION 15'!$A$2:$H$2,0),""),IFNA(MATCH($B69,'DIVISION 15'!$A$3:$H$3,0),""),IFNA(MATCH($B69,'DIVISION 15'!$A$4:$H$4,0),""),IFNA(MATCH($B69,'DIVISION 15'!$A$5:$H$5,0),""),IFNA(MATCH($B69,'DIVISION 15'!$A$6:$H$6,0),""),IFNA(MATCH($B69,'DIVISION 15'!$A$7:$H$7,0),""),IFNA(MATCH($B69,'DIVISION 15'!$A$8:$H$8,0),""),IFNA(MATCH($B69,'DIVISION 15'!$A$9:$H$9,0),""),IFNA(MATCH($B69,'DIVISION 15'!$A$10:$H$10,0),""),IFNA(MATCH($B69,'DIVISION 15'!$A$11:$H$11,0),""),IFNA(MATCH($B69,'DIVISION 15'!$A$12:$H$12,0),""),IFNA(MATCH($B69,'DIVISION 15'!$A$13:$H$13,0),""),IFNA(MATCH($B69,'DIVISION 15'!$A$14:$H$14,0),""),IFNA(MATCH($B69,'DIVISION 15'!$A$15:$H$15,0),""),IFNA(MATCH($B69,'DIVISION 15'!$A$16:$H$16,0),""),IFNA(MATCH($B69,'DIVISION 15'!$A$17:$H$17,0),""),IFNA(MATCH($B69,'DIVISION 15'!$A$18:$H$18,0),""))=8,'DIVISION 15'!$H$1)</f>
        <v>SOFI</v>
      </c>
      <c r="U69" s="8" t="str">
        <f t="shared" si="2"/>
        <v>SOFI11</v>
      </c>
      <c r="V69" s="9">
        <f>SUMIF(AsistenciaViewJetAdmin!$A$3:$A$101,A69,AsistenciaViewJetAdmin!$C$3:$C$101)/(COUNTIF(AsistenciaViewJetAdmin!$D$102:V$102,"&gt;0")+COUNTIF(ActividadesEspeciales!$D$102:V$102,"&gt;0"))*100</f>
        <v>77.65957447</v>
      </c>
    </row>
    <row r="70" ht="28.5" customHeight="1">
      <c r="A70" s="3">
        <v>219.0</v>
      </c>
      <c r="B70" s="4" t="s">
        <v>584</v>
      </c>
      <c r="C70" s="5">
        <v>1131202.0</v>
      </c>
      <c r="D70" s="7" t="s">
        <v>585</v>
      </c>
      <c r="E70" s="5">
        <v>5.0291788E7</v>
      </c>
      <c r="F70" s="5" t="s">
        <v>586</v>
      </c>
      <c r="G70" s="7">
        <v>1.130332804E9</v>
      </c>
      <c r="H70" s="5" t="s">
        <v>587</v>
      </c>
      <c r="I70" s="5" t="s">
        <v>588</v>
      </c>
      <c r="J70" s="7">
        <v>1.134150323E9</v>
      </c>
      <c r="K70" s="5" t="s">
        <v>589</v>
      </c>
      <c r="L70" s="5" t="s">
        <v>590</v>
      </c>
      <c r="M70" s="7">
        <v>1.134150315E9</v>
      </c>
      <c r="N70" s="5" t="s">
        <v>238</v>
      </c>
      <c r="O70" s="5" t="s">
        <v>591</v>
      </c>
      <c r="P70" s="5" t="s">
        <v>53</v>
      </c>
      <c r="Q70" s="5" t="s">
        <v>30</v>
      </c>
      <c r="R70" s="5" t="s">
        <v>592</v>
      </c>
      <c r="S70" s="5" t="s">
        <v>43</v>
      </c>
      <c r="T70" s="8" t="str">
        <f>IFS(SUM(IFNA(MATCH($B70,'DIVISION 15'!$A$2:$H$2,0),""),IFNA(MATCH($B70,'DIVISION 15'!$A$3:$H$3,0),""),IFNA(MATCH($B70,'DIVISION 15'!$A$4:$H$4,0),""),IFNA(MATCH($B70,'DIVISION 15'!$A$5:$H$5,0),""),IFNA(MATCH($B70,'DIVISION 15'!$A$6:$H$6,0),""),IFNA(MATCH($B70,'DIVISION 15'!$A$7:$H$7,0),""),IFNA(MATCH($B70,'DIVISION 15'!$A$8:$H$8,0),""),IFNA(MATCH($B70,'DIVISION 15'!$A$9:$H$9,0),""),IFNA(MATCH($B70,'DIVISION 15'!$A$10:$H$10,0),""),IFNA(MATCH($B70,'DIVISION 15'!$A$11:$H$11,0),""),IFNA(MATCH($B70,'DIVISION 15'!$A$12:$H$12,0),""),IFNA(MATCH($B70,'DIVISION 15'!$A$13:$H$13,0),""),IFNA(MATCH($B70,'DIVISION 15'!$A$14:$H$14,0),""),IFNA(MATCH($B70,'DIVISION 15'!$A$15:$H$15,0),""),IFNA(MATCH($B70,'DIVISION 15'!$A$16:$H$16,0),""),IFNA(MATCH($B70,'DIVISION 15'!$A$17:$H$17,0),""),IFNA(MATCH($B70,'DIVISION 15'!$A$18:$H$18,0),""))=1,'DIVISION 15'!$A$1,SUM(IFNA(MATCH($B70,'DIVISION 15'!$A$2:$H$2,0),""),IFNA(MATCH($B70,'DIVISION 15'!$A$3:$H$3,0),""),IFNA(MATCH($B70,'DIVISION 15'!$A$4:$H$4,0),""),IFNA(MATCH($B70,'DIVISION 15'!$A$5:$H$5,0),""),IFNA(MATCH($B70,'DIVISION 15'!$A$6:$H$6,0),""),IFNA(MATCH($B70,'DIVISION 15'!$A$7:$H$7,0),""),IFNA(MATCH($B70,'DIVISION 15'!$A$8:$H$8,0),""),IFNA(MATCH($B70,'DIVISION 15'!$A$9:$H$9,0),""),IFNA(MATCH($B70,'DIVISION 15'!$A$10:$H$10,0),""),IFNA(MATCH($B70,'DIVISION 15'!$A$11:$H$11,0),""),IFNA(MATCH($B70,'DIVISION 15'!$A$12:$H$12,0),""),IFNA(MATCH($B70,'DIVISION 15'!$A$13:$H$13,0),""),IFNA(MATCH($B70,'DIVISION 15'!$A$14:$H$14,0),""),IFNA(MATCH($B70,'DIVISION 15'!$A$15:$H$15,0),""),IFNA(MATCH($B70,'DIVISION 15'!$A$16:$H$16,0),""),IFNA(MATCH($B70,'DIVISION 15'!$A$17:$H$17,0),""),IFNA(MATCH($B70,'DIVISION 15'!$A$18:$H$18,0),""))=2,'DIVISION 15'!$B$1,SUM(IFNA(MATCH($B70,'DIVISION 15'!$A$2:$H$2,0),""),IFNA(MATCH($B70,'DIVISION 15'!$A$3:$H$3,0),""),IFNA(MATCH($B70,'DIVISION 15'!$A$4:$H$4,0),""),IFNA(MATCH($B70,'DIVISION 15'!$A$5:$H$5,0),""),IFNA(MATCH($B70,'DIVISION 15'!$A$6:$H$6,0),""),IFNA(MATCH($B70,'DIVISION 15'!$A$7:$H$7,0),""),IFNA(MATCH($B70,'DIVISION 15'!$A$8:$H$8,0),""),IFNA(MATCH($B70,'DIVISION 15'!$A$9:$H$9,0),""),IFNA(MATCH($B70,'DIVISION 15'!$A$10:$H$10,0),""),IFNA(MATCH($B70,'DIVISION 15'!$A$11:$H$11,0),""),IFNA(MATCH($B70,'DIVISION 15'!$A$12:$H$12,0),""),IFNA(MATCH($B70,'DIVISION 15'!$A$13:$H$13,0),""),IFNA(MATCH($B70,'DIVISION 15'!$A$14:$H$14,0),""),IFNA(MATCH($B70,'DIVISION 15'!$A$15:$H$15,0),""),IFNA(MATCH($B70,'DIVISION 15'!$A$16:$H$16,0),""),IFNA(MATCH($B70,'DIVISION 15'!$A$17:$H$17,0),""),IFNA(MATCH($B70,'DIVISION 15'!$A$18:$H$18,0),""))=3,'DIVISION 15'!$C$1,SUM(IFNA(MATCH($B70,'DIVISION 15'!$A$2:$H$2,0),""),IFNA(MATCH($B70,'DIVISION 15'!$A$3:$H$3,0),""),IFNA(MATCH($B70,'DIVISION 15'!$A$4:$H$4,0),""),IFNA(MATCH($B70,'DIVISION 15'!$A$5:$H$5,0),""),IFNA(MATCH($B70,'DIVISION 15'!$A$6:$H$6,0),""),IFNA(MATCH($B70,'DIVISION 15'!$A$7:$H$7,0),""),IFNA(MATCH($B70,'DIVISION 15'!$A$8:$H$8,0),""),IFNA(MATCH($B70,'DIVISION 15'!$A$9:$H$9,0),""),IFNA(MATCH($B70,'DIVISION 15'!$A$10:$H$10,0),""),IFNA(MATCH($B70,'DIVISION 15'!$A$11:$H$11,0),""),IFNA(MATCH($B70,'DIVISION 15'!$A$12:$H$12,0),""),IFNA(MATCH($B70,'DIVISION 15'!$A$13:$H$13,0),""),IFNA(MATCH($B70,'DIVISION 15'!$A$14:$H$14,0),""),IFNA(MATCH($B70,'DIVISION 15'!$A$15:$H$15,0),""),IFNA(MATCH($B70,'DIVISION 15'!$A$16:$H$16,0),""),IFNA(MATCH($B70,'DIVISION 15'!$A$17:$H$17,0),""),IFNA(MATCH($B70,'DIVISION 15'!$A$18:$H$18,0),""))=4,'DIVISION 15'!$D$1,SUM(IFNA(MATCH($B70,'DIVISION 15'!$A$2:$H$2,0),""),IFNA(MATCH($B70,'DIVISION 15'!$A$3:$H$3,0),""),IFNA(MATCH($B70,'DIVISION 15'!$A$4:$H$4,0),""),IFNA(MATCH($B70,'DIVISION 15'!$A$5:$H$5,0),""),IFNA(MATCH($B70,'DIVISION 15'!$A$6:$H$6,0),""),IFNA(MATCH($B70,'DIVISION 15'!$A$7:$H$7,0),""),IFNA(MATCH($B70,'DIVISION 15'!$A$8:$H$8,0),""),IFNA(MATCH($B70,'DIVISION 15'!$A$9:$H$9,0),""),IFNA(MATCH($B70,'DIVISION 15'!$A$10:$H$10,0),""),IFNA(MATCH($B70,'DIVISION 15'!$A$11:$H$11,0),""),IFNA(MATCH($B70,'DIVISION 15'!$A$12:$H$12,0),""),IFNA(MATCH($B70,'DIVISION 15'!$A$13:$H$13,0),""),IFNA(MATCH($B70,'DIVISION 15'!$A$14:$H$14,0),""),IFNA(MATCH($B70,'DIVISION 15'!$A$15:$H$15,0),""),IFNA(MATCH($B70,'DIVISION 15'!$A$16:$H$16,0),""),IFNA(MATCH($B70,'DIVISION 15'!$A$17:$H$17,0),""),IFNA(MATCH($B70,'DIVISION 15'!$A$18:$H$18,0),""))=5,'DIVISION 15'!$E$1,SUM(IFNA(MATCH($B70,'DIVISION 15'!$A$2:$H$2,0),""),IFNA(MATCH($B70,'DIVISION 15'!$A$3:$H$3,0),""),IFNA(MATCH($B70,'DIVISION 15'!$A$4:$H$4,0),""),IFNA(MATCH($B70,'DIVISION 15'!$A$5:$H$5,0),""),IFNA(MATCH($B70,'DIVISION 15'!$A$6:$H$6,0),""),IFNA(MATCH($B70,'DIVISION 15'!$A$7:$H$7,0),""),IFNA(MATCH($B70,'DIVISION 15'!$A$8:$H$8,0),""),IFNA(MATCH($B70,'DIVISION 15'!$A$9:$H$9,0),""),IFNA(MATCH($B70,'DIVISION 15'!$A$10:$H$10,0),""),IFNA(MATCH($B70,'DIVISION 15'!$A$11:$H$11,0),""),IFNA(MATCH($B70,'DIVISION 15'!$A$12:$H$12,0),""),IFNA(MATCH($B70,'DIVISION 15'!$A$13:$H$13,0),""),IFNA(MATCH($B70,'DIVISION 15'!$A$14:$H$14,0),""),IFNA(MATCH($B70,'DIVISION 15'!$A$15:$H$15,0),""),IFNA(MATCH($B70,'DIVISION 15'!$A$16:$H$16,0),""),IFNA(MATCH($B70,'DIVISION 15'!$A$17:$H$17,0),""),IFNA(MATCH($B70,'DIVISION 15'!$A$18:$H$18,0),""))=6,'DIVISION 15'!$F$1,SUM(IFNA(MATCH($B70,'DIVISION 15'!$A$2:$H$2,0),""),IFNA(MATCH($B70,'DIVISION 15'!$A$3:$H$3,0),""),IFNA(MATCH($B70,'DIVISION 15'!$A$4:$H$4,0),""),IFNA(MATCH($B70,'DIVISION 15'!$A$5:$H$5,0),""),IFNA(MATCH($B70,'DIVISION 15'!$A$6:$H$6,0),""),IFNA(MATCH($B70,'DIVISION 15'!$A$7:$H$7,0),""),IFNA(MATCH($B70,'DIVISION 15'!$A$8:$H$8,0),""),IFNA(MATCH($B70,'DIVISION 15'!$A$9:$H$9,0),""),IFNA(MATCH($B70,'DIVISION 15'!$A$10:$H$10,0),""),IFNA(MATCH($B70,'DIVISION 15'!$A$11:$H$11,0),""),IFNA(MATCH($B70,'DIVISION 15'!$A$12:$H$12,0),""),IFNA(MATCH($B70,'DIVISION 15'!$A$13:$H$13,0),""),IFNA(MATCH($B70,'DIVISION 15'!$A$14:$H$14,0),""),IFNA(MATCH($B70,'DIVISION 15'!$A$15:$H$15,0),""),IFNA(MATCH($B70,'DIVISION 15'!$A$16:$H$16,0),""),IFNA(MATCH($B70,'DIVISION 15'!$A$17:$H$17,0),""),IFNA(MATCH($B70,'DIVISION 15'!$A$18:$H$18,0),""))=7,'DIVISION 15'!$G$1,SUM(IFNA(MATCH($B70,'DIVISION 15'!$A$2:$H$2,0),""),IFNA(MATCH($B70,'DIVISION 15'!$A$3:$H$3,0),""),IFNA(MATCH($B70,'DIVISION 15'!$A$4:$H$4,0),""),IFNA(MATCH($B70,'DIVISION 15'!$A$5:$H$5,0),""),IFNA(MATCH($B70,'DIVISION 15'!$A$6:$H$6,0),""),IFNA(MATCH($B70,'DIVISION 15'!$A$7:$H$7,0),""),IFNA(MATCH($B70,'DIVISION 15'!$A$8:$H$8,0),""),IFNA(MATCH($B70,'DIVISION 15'!$A$9:$H$9,0),""),IFNA(MATCH($B70,'DIVISION 15'!$A$10:$H$10,0),""),IFNA(MATCH($B70,'DIVISION 15'!$A$11:$H$11,0),""),IFNA(MATCH($B70,'DIVISION 15'!$A$12:$H$12,0),""),IFNA(MATCH($B70,'DIVISION 15'!$A$13:$H$13,0),""),IFNA(MATCH($B70,'DIVISION 15'!$A$14:$H$14,0),""),IFNA(MATCH($B70,'DIVISION 15'!$A$15:$H$15,0),""),IFNA(MATCH($B70,'DIVISION 15'!$A$16:$H$16,0),""),IFNA(MATCH($B70,'DIVISION 15'!$A$17:$H$17,0),""),IFNA(MATCH($B70,'DIVISION 15'!$A$18:$H$18,0),""))=8,'DIVISION 15'!$H$1)</f>
        <v>DAIU</v>
      </c>
      <c r="U70" s="8" t="str">
        <f t="shared" si="2"/>
        <v>DAIU7</v>
      </c>
      <c r="V70" s="9">
        <f>SUMIF(AsistenciaViewJetAdmin!$A$3:$A$101,A70,AsistenciaViewJetAdmin!$C$3:$C$101)/(COUNTIF(AsistenciaViewJetAdmin!$D$102:V$102,"&gt;0")+COUNTIF(ActividadesEspeciales!$D$102:V$102,"&gt;0"))*100</f>
        <v>79.25531915</v>
      </c>
    </row>
    <row r="71" ht="28.5" customHeight="1">
      <c r="A71" s="3">
        <v>221.0</v>
      </c>
      <c r="B71" s="4" t="s">
        <v>593</v>
      </c>
      <c r="C71" s="5">
        <v>1030803.0</v>
      </c>
      <c r="D71" s="7" t="s">
        <v>594</v>
      </c>
      <c r="E71" s="5">
        <v>4.9836427E7</v>
      </c>
      <c r="F71" s="5" t="s">
        <v>595</v>
      </c>
      <c r="G71" s="7">
        <v>1.262546256E9</v>
      </c>
      <c r="H71" s="5" t="s">
        <v>596</v>
      </c>
      <c r="I71" s="5" t="s">
        <v>597</v>
      </c>
      <c r="J71" s="7">
        <v>1.152206006E9</v>
      </c>
      <c r="K71" s="5" t="s">
        <v>598</v>
      </c>
      <c r="L71" s="5" t="s">
        <v>599</v>
      </c>
      <c r="M71" s="7">
        <v>2.145407782E9</v>
      </c>
      <c r="N71" s="5" t="s">
        <v>61</v>
      </c>
      <c r="O71" s="5" t="s">
        <v>120</v>
      </c>
      <c r="P71" s="5" t="s">
        <v>120</v>
      </c>
      <c r="Q71" s="5" t="s">
        <v>30</v>
      </c>
      <c r="R71" s="5" t="s">
        <v>31</v>
      </c>
      <c r="S71" s="5" t="s">
        <v>32</v>
      </c>
      <c r="T71" s="8" t="str">
        <f>IFS(SUM(IFNA(MATCH($B71,'DIVISION 15'!$A$2:$H$2,0),""),IFNA(MATCH($B71,'DIVISION 15'!$A$3:$H$3,0),""),IFNA(MATCH($B71,'DIVISION 15'!$A$4:$H$4,0),""),IFNA(MATCH($B71,'DIVISION 15'!$A$5:$H$5,0),""),IFNA(MATCH($B71,'DIVISION 15'!$A$6:$H$6,0),""),IFNA(MATCH($B71,'DIVISION 15'!$A$7:$H$7,0),""),IFNA(MATCH($B71,'DIVISION 15'!$A$8:$H$8,0),""),IFNA(MATCH($B71,'DIVISION 15'!$A$9:$H$9,0),""),IFNA(MATCH($B71,'DIVISION 15'!$A$10:$H$10,0),""),IFNA(MATCH($B71,'DIVISION 15'!$A$11:$H$11,0),""),IFNA(MATCH($B71,'DIVISION 15'!$A$12:$H$12,0),""),IFNA(MATCH($B71,'DIVISION 15'!$A$13:$H$13,0),""),IFNA(MATCH($B71,'DIVISION 15'!$A$14:$H$14,0),""),IFNA(MATCH($B71,'DIVISION 15'!$A$15:$H$15,0),""),IFNA(MATCH($B71,'DIVISION 15'!$A$16:$H$16,0),""),IFNA(MATCH($B71,'DIVISION 15'!$A$17:$H$17,0),""),IFNA(MATCH($B71,'DIVISION 15'!$A$18:$H$18,0),""))=1,'DIVISION 15'!$A$1,SUM(IFNA(MATCH($B71,'DIVISION 15'!$A$2:$H$2,0),""),IFNA(MATCH($B71,'DIVISION 15'!$A$3:$H$3,0),""),IFNA(MATCH($B71,'DIVISION 15'!$A$4:$H$4,0),""),IFNA(MATCH($B71,'DIVISION 15'!$A$5:$H$5,0),""),IFNA(MATCH($B71,'DIVISION 15'!$A$6:$H$6,0),""),IFNA(MATCH($B71,'DIVISION 15'!$A$7:$H$7,0),""),IFNA(MATCH($B71,'DIVISION 15'!$A$8:$H$8,0),""),IFNA(MATCH($B71,'DIVISION 15'!$A$9:$H$9,0),""),IFNA(MATCH($B71,'DIVISION 15'!$A$10:$H$10,0),""),IFNA(MATCH($B71,'DIVISION 15'!$A$11:$H$11,0),""),IFNA(MATCH($B71,'DIVISION 15'!$A$12:$H$12,0),""),IFNA(MATCH($B71,'DIVISION 15'!$A$13:$H$13,0),""),IFNA(MATCH($B71,'DIVISION 15'!$A$14:$H$14,0),""),IFNA(MATCH($B71,'DIVISION 15'!$A$15:$H$15,0),""),IFNA(MATCH($B71,'DIVISION 15'!$A$16:$H$16,0),""),IFNA(MATCH($B71,'DIVISION 15'!$A$17:$H$17,0),""),IFNA(MATCH($B71,'DIVISION 15'!$A$18:$H$18,0),""))=2,'DIVISION 15'!$B$1,SUM(IFNA(MATCH($B71,'DIVISION 15'!$A$2:$H$2,0),""),IFNA(MATCH($B71,'DIVISION 15'!$A$3:$H$3,0),""),IFNA(MATCH($B71,'DIVISION 15'!$A$4:$H$4,0),""),IFNA(MATCH($B71,'DIVISION 15'!$A$5:$H$5,0),""),IFNA(MATCH($B71,'DIVISION 15'!$A$6:$H$6,0),""),IFNA(MATCH($B71,'DIVISION 15'!$A$7:$H$7,0),""),IFNA(MATCH($B71,'DIVISION 15'!$A$8:$H$8,0),""),IFNA(MATCH($B71,'DIVISION 15'!$A$9:$H$9,0),""),IFNA(MATCH($B71,'DIVISION 15'!$A$10:$H$10,0),""),IFNA(MATCH($B71,'DIVISION 15'!$A$11:$H$11,0),""),IFNA(MATCH($B71,'DIVISION 15'!$A$12:$H$12,0),""),IFNA(MATCH($B71,'DIVISION 15'!$A$13:$H$13,0),""),IFNA(MATCH($B71,'DIVISION 15'!$A$14:$H$14,0),""),IFNA(MATCH($B71,'DIVISION 15'!$A$15:$H$15,0),""),IFNA(MATCH($B71,'DIVISION 15'!$A$16:$H$16,0),""),IFNA(MATCH($B71,'DIVISION 15'!$A$17:$H$17,0),""),IFNA(MATCH($B71,'DIVISION 15'!$A$18:$H$18,0),""))=3,'DIVISION 15'!$C$1,SUM(IFNA(MATCH($B71,'DIVISION 15'!$A$2:$H$2,0),""),IFNA(MATCH($B71,'DIVISION 15'!$A$3:$H$3,0),""),IFNA(MATCH($B71,'DIVISION 15'!$A$4:$H$4,0),""),IFNA(MATCH($B71,'DIVISION 15'!$A$5:$H$5,0),""),IFNA(MATCH($B71,'DIVISION 15'!$A$6:$H$6,0),""),IFNA(MATCH($B71,'DIVISION 15'!$A$7:$H$7,0),""),IFNA(MATCH($B71,'DIVISION 15'!$A$8:$H$8,0),""),IFNA(MATCH($B71,'DIVISION 15'!$A$9:$H$9,0),""),IFNA(MATCH($B71,'DIVISION 15'!$A$10:$H$10,0),""),IFNA(MATCH($B71,'DIVISION 15'!$A$11:$H$11,0),""),IFNA(MATCH($B71,'DIVISION 15'!$A$12:$H$12,0),""),IFNA(MATCH($B71,'DIVISION 15'!$A$13:$H$13,0),""),IFNA(MATCH($B71,'DIVISION 15'!$A$14:$H$14,0),""),IFNA(MATCH($B71,'DIVISION 15'!$A$15:$H$15,0),""),IFNA(MATCH($B71,'DIVISION 15'!$A$16:$H$16,0),""),IFNA(MATCH($B71,'DIVISION 15'!$A$17:$H$17,0),""),IFNA(MATCH($B71,'DIVISION 15'!$A$18:$H$18,0),""))=4,'DIVISION 15'!$D$1,SUM(IFNA(MATCH($B71,'DIVISION 15'!$A$2:$H$2,0),""),IFNA(MATCH($B71,'DIVISION 15'!$A$3:$H$3,0),""),IFNA(MATCH($B71,'DIVISION 15'!$A$4:$H$4,0),""),IFNA(MATCH($B71,'DIVISION 15'!$A$5:$H$5,0),""),IFNA(MATCH($B71,'DIVISION 15'!$A$6:$H$6,0),""),IFNA(MATCH($B71,'DIVISION 15'!$A$7:$H$7,0),""),IFNA(MATCH($B71,'DIVISION 15'!$A$8:$H$8,0),""),IFNA(MATCH($B71,'DIVISION 15'!$A$9:$H$9,0),""),IFNA(MATCH($B71,'DIVISION 15'!$A$10:$H$10,0),""),IFNA(MATCH($B71,'DIVISION 15'!$A$11:$H$11,0),""),IFNA(MATCH($B71,'DIVISION 15'!$A$12:$H$12,0),""),IFNA(MATCH($B71,'DIVISION 15'!$A$13:$H$13,0),""),IFNA(MATCH($B71,'DIVISION 15'!$A$14:$H$14,0),""),IFNA(MATCH($B71,'DIVISION 15'!$A$15:$H$15,0),""),IFNA(MATCH($B71,'DIVISION 15'!$A$16:$H$16,0),""),IFNA(MATCH($B71,'DIVISION 15'!$A$17:$H$17,0),""),IFNA(MATCH($B71,'DIVISION 15'!$A$18:$H$18,0),""))=5,'DIVISION 15'!$E$1,SUM(IFNA(MATCH($B71,'DIVISION 15'!$A$2:$H$2,0),""),IFNA(MATCH($B71,'DIVISION 15'!$A$3:$H$3,0),""),IFNA(MATCH($B71,'DIVISION 15'!$A$4:$H$4,0),""),IFNA(MATCH($B71,'DIVISION 15'!$A$5:$H$5,0),""),IFNA(MATCH($B71,'DIVISION 15'!$A$6:$H$6,0),""),IFNA(MATCH($B71,'DIVISION 15'!$A$7:$H$7,0),""),IFNA(MATCH($B71,'DIVISION 15'!$A$8:$H$8,0),""),IFNA(MATCH($B71,'DIVISION 15'!$A$9:$H$9,0),""),IFNA(MATCH($B71,'DIVISION 15'!$A$10:$H$10,0),""),IFNA(MATCH($B71,'DIVISION 15'!$A$11:$H$11,0),""),IFNA(MATCH($B71,'DIVISION 15'!$A$12:$H$12,0),""),IFNA(MATCH($B71,'DIVISION 15'!$A$13:$H$13,0),""),IFNA(MATCH($B71,'DIVISION 15'!$A$14:$H$14,0),""),IFNA(MATCH($B71,'DIVISION 15'!$A$15:$H$15,0),""),IFNA(MATCH($B71,'DIVISION 15'!$A$16:$H$16,0),""),IFNA(MATCH($B71,'DIVISION 15'!$A$17:$H$17,0),""),IFNA(MATCH($B71,'DIVISION 15'!$A$18:$H$18,0),""))=6,'DIVISION 15'!$F$1,SUM(IFNA(MATCH($B71,'DIVISION 15'!$A$2:$H$2,0),""),IFNA(MATCH($B71,'DIVISION 15'!$A$3:$H$3,0),""),IFNA(MATCH($B71,'DIVISION 15'!$A$4:$H$4,0),""),IFNA(MATCH($B71,'DIVISION 15'!$A$5:$H$5,0),""),IFNA(MATCH($B71,'DIVISION 15'!$A$6:$H$6,0),""),IFNA(MATCH($B71,'DIVISION 15'!$A$7:$H$7,0),""),IFNA(MATCH($B71,'DIVISION 15'!$A$8:$H$8,0),""),IFNA(MATCH($B71,'DIVISION 15'!$A$9:$H$9,0),""),IFNA(MATCH($B71,'DIVISION 15'!$A$10:$H$10,0),""),IFNA(MATCH($B71,'DIVISION 15'!$A$11:$H$11,0),""),IFNA(MATCH($B71,'DIVISION 15'!$A$12:$H$12,0),""),IFNA(MATCH($B71,'DIVISION 15'!$A$13:$H$13,0),""),IFNA(MATCH($B71,'DIVISION 15'!$A$14:$H$14,0),""),IFNA(MATCH($B71,'DIVISION 15'!$A$15:$H$15,0),""),IFNA(MATCH($B71,'DIVISION 15'!$A$16:$H$16,0),""),IFNA(MATCH($B71,'DIVISION 15'!$A$17:$H$17,0),""),IFNA(MATCH($B71,'DIVISION 15'!$A$18:$H$18,0),""))=7,'DIVISION 15'!$G$1,SUM(IFNA(MATCH($B71,'DIVISION 15'!$A$2:$H$2,0),""),IFNA(MATCH($B71,'DIVISION 15'!$A$3:$H$3,0),""),IFNA(MATCH($B71,'DIVISION 15'!$A$4:$H$4,0),""),IFNA(MATCH($B71,'DIVISION 15'!$A$5:$H$5,0),""),IFNA(MATCH($B71,'DIVISION 15'!$A$6:$H$6,0),""),IFNA(MATCH($B71,'DIVISION 15'!$A$7:$H$7,0),""),IFNA(MATCH($B71,'DIVISION 15'!$A$8:$H$8,0),""),IFNA(MATCH($B71,'DIVISION 15'!$A$9:$H$9,0),""),IFNA(MATCH($B71,'DIVISION 15'!$A$10:$H$10,0),""),IFNA(MATCH($B71,'DIVISION 15'!$A$11:$H$11,0),""),IFNA(MATCH($B71,'DIVISION 15'!$A$12:$H$12,0),""),IFNA(MATCH($B71,'DIVISION 15'!$A$13:$H$13,0),""),IFNA(MATCH($B71,'DIVISION 15'!$A$14:$H$14,0),""),IFNA(MATCH($B71,'DIVISION 15'!$A$15:$H$15,0),""),IFNA(MATCH($B71,'DIVISION 15'!$A$16:$H$16,0),""),IFNA(MATCH($B71,'DIVISION 15'!$A$17:$H$17,0),""),IFNA(MATCH($B71,'DIVISION 15'!$A$18:$H$18,0),""))=8,'DIVISION 15'!$H$1)</f>
        <v>LULI</v>
      </c>
      <c r="U71" s="8" t="str">
        <f t="shared" si="2"/>
        <v>LULI7</v>
      </c>
      <c r="V71" s="9">
        <f>SUMIF(AsistenciaViewJetAdmin!$A$3:$A$101,A71,AsistenciaViewJetAdmin!$C$3:$C$101)/(COUNTIF(AsistenciaViewJetAdmin!$D$102:V$102,"&gt;0")+COUNTIF(ActividadesEspeciales!$D$102:V$102,"&gt;0"))*100</f>
        <v>64.89361702</v>
      </c>
    </row>
    <row r="72" ht="28.5" customHeight="1">
      <c r="A72" s="3">
        <v>109.0</v>
      </c>
      <c r="B72" s="4" t="s">
        <v>600</v>
      </c>
      <c r="C72" s="5">
        <v>1119902.0</v>
      </c>
      <c r="D72" s="6">
        <v>40215.0</v>
      </c>
      <c r="E72" s="5">
        <v>5.0324209E7</v>
      </c>
      <c r="F72" s="5" t="s">
        <v>601</v>
      </c>
      <c r="G72" s="7">
        <v>1.169556314E9</v>
      </c>
      <c r="H72" s="5" t="s">
        <v>602</v>
      </c>
      <c r="I72" s="5" t="s">
        <v>603</v>
      </c>
      <c r="J72" s="7">
        <v>1.121594359E9</v>
      </c>
      <c r="K72" s="5" t="s">
        <v>604</v>
      </c>
      <c r="L72" s="5" t="s">
        <v>605</v>
      </c>
      <c r="M72" s="7">
        <v>1.168185618E9</v>
      </c>
      <c r="N72" s="5" t="s">
        <v>397</v>
      </c>
      <c r="O72" s="5" t="s">
        <v>95</v>
      </c>
      <c r="P72" s="5" t="s">
        <v>136</v>
      </c>
      <c r="Q72" s="5" t="s">
        <v>74</v>
      </c>
      <c r="R72" s="5" t="s">
        <v>31</v>
      </c>
      <c r="S72" s="5" t="s">
        <v>43</v>
      </c>
      <c r="T72" s="8" t="str">
        <f>IFS(SUM(IFNA(MATCH($B72,'DIVISION 15'!$A$2:$H$2,0),""),IFNA(MATCH($B72,'DIVISION 15'!$A$3:$H$3,0),""),IFNA(MATCH($B72,'DIVISION 15'!$A$4:$H$4,0),""),IFNA(MATCH($B72,'DIVISION 15'!$A$5:$H$5,0),""),IFNA(MATCH($B72,'DIVISION 15'!$A$6:$H$6,0),""),IFNA(MATCH($B72,'DIVISION 15'!$A$7:$H$7,0),""),IFNA(MATCH($B72,'DIVISION 15'!$A$8:$H$8,0),""),IFNA(MATCH($B72,'DIVISION 15'!$A$9:$H$9,0),""),IFNA(MATCH($B72,'DIVISION 15'!$A$10:$H$10,0),""),IFNA(MATCH($B72,'DIVISION 15'!$A$11:$H$11,0),""),IFNA(MATCH($B72,'DIVISION 15'!$A$12:$H$12,0),""),IFNA(MATCH($B72,'DIVISION 15'!$A$13:$H$13,0),""),IFNA(MATCH($B72,'DIVISION 15'!$A$14:$H$14,0),""),IFNA(MATCH($B72,'DIVISION 15'!$A$15:$H$15,0),""),IFNA(MATCH($B72,'DIVISION 15'!$A$16:$H$16,0),""),IFNA(MATCH($B72,'DIVISION 15'!$A$17:$H$17,0),""),IFNA(MATCH($B72,'DIVISION 15'!$A$18:$H$18,0),""))=1,'DIVISION 15'!$A$1,SUM(IFNA(MATCH($B72,'DIVISION 15'!$A$2:$H$2,0),""),IFNA(MATCH($B72,'DIVISION 15'!$A$3:$H$3,0),""),IFNA(MATCH($B72,'DIVISION 15'!$A$4:$H$4,0),""),IFNA(MATCH($B72,'DIVISION 15'!$A$5:$H$5,0),""),IFNA(MATCH($B72,'DIVISION 15'!$A$6:$H$6,0),""),IFNA(MATCH($B72,'DIVISION 15'!$A$7:$H$7,0),""),IFNA(MATCH($B72,'DIVISION 15'!$A$8:$H$8,0),""),IFNA(MATCH($B72,'DIVISION 15'!$A$9:$H$9,0),""),IFNA(MATCH($B72,'DIVISION 15'!$A$10:$H$10,0),""),IFNA(MATCH($B72,'DIVISION 15'!$A$11:$H$11,0),""),IFNA(MATCH($B72,'DIVISION 15'!$A$12:$H$12,0),""),IFNA(MATCH($B72,'DIVISION 15'!$A$13:$H$13,0),""),IFNA(MATCH($B72,'DIVISION 15'!$A$14:$H$14,0),""),IFNA(MATCH($B72,'DIVISION 15'!$A$15:$H$15,0),""),IFNA(MATCH($B72,'DIVISION 15'!$A$16:$H$16,0),""),IFNA(MATCH($B72,'DIVISION 15'!$A$17:$H$17,0),""),IFNA(MATCH($B72,'DIVISION 15'!$A$18:$H$18,0),""))=2,'DIVISION 15'!$B$1,SUM(IFNA(MATCH($B72,'DIVISION 15'!$A$2:$H$2,0),""),IFNA(MATCH($B72,'DIVISION 15'!$A$3:$H$3,0),""),IFNA(MATCH($B72,'DIVISION 15'!$A$4:$H$4,0),""),IFNA(MATCH($B72,'DIVISION 15'!$A$5:$H$5,0),""),IFNA(MATCH($B72,'DIVISION 15'!$A$6:$H$6,0),""),IFNA(MATCH($B72,'DIVISION 15'!$A$7:$H$7,0),""),IFNA(MATCH($B72,'DIVISION 15'!$A$8:$H$8,0),""),IFNA(MATCH($B72,'DIVISION 15'!$A$9:$H$9,0),""),IFNA(MATCH($B72,'DIVISION 15'!$A$10:$H$10,0),""),IFNA(MATCH($B72,'DIVISION 15'!$A$11:$H$11,0),""),IFNA(MATCH($B72,'DIVISION 15'!$A$12:$H$12,0),""),IFNA(MATCH($B72,'DIVISION 15'!$A$13:$H$13,0),""),IFNA(MATCH($B72,'DIVISION 15'!$A$14:$H$14,0),""),IFNA(MATCH($B72,'DIVISION 15'!$A$15:$H$15,0),""),IFNA(MATCH($B72,'DIVISION 15'!$A$16:$H$16,0),""),IFNA(MATCH($B72,'DIVISION 15'!$A$17:$H$17,0),""),IFNA(MATCH($B72,'DIVISION 15'!$A$18:$H$18,0),""))=3,'DIVISION 15'!$C$1,SUM(IFNA(MATCH($B72,'DIVISION 15'!$A$2:$H$2,0),""),IFNA(MATCH($B72,'DIVISION 15'!$A$3:$H$3,0),""),IFNA(MATCH($B72,'DIVISION 15'!$A$4:$H$4,0),""),IFNA(MATCH($B72,'DIVISION 15'!$A$5:$H$5,0),""),IFNA(MATCH($B72,'DIVISION 15'!$A$6:$H$6,0),""),IFNA(MATCH($B72,'DIVISION 15'!$A$7:$H$7,0),""),IFNA(MATCH($B72,'DIVISION 15'!$A$8:$H$8,0),""),IFNA(MATCH($B72,'DIVISION 15'!$A$9:$H$9,0),""),IFNA(MATCH($B72,'DIVISION 15'!$A$10:$H$10,0),""),IFNA(MATCH($B72,'DIVISION 15'!$A$11:$H$11,0),""),IFNA(MATCH($B72,'DIVISION 15'!$A$12:$H$12,0),""),IFNA(MATCH($B72,'DIVISION 15'!$A$13:$H$13,0),""),IFNA(MATCH($B72,'DIVISION 15'!$A$14:$H$14,0),""),IFNA(MATCH($B72,'DIVISION 15'!$A$15:$H$15,0),""),IFNA(MATCH($B72,'DIVISION 15'!$A$16:$H$16,0),""),IFNA(MATCH($B72,'DIVISION 15'!$A$17:$H$17,0),""),IFNA(MATCH($B72,'DIVISION 15'!$A$18:$H$18,0),""))=4,'DIVISION 15'!$D$1,SUM(IFNA(MATCH($B72,'DIVISION 15'!$A$2:$H$2,0),""),IFNA(MATCH($B72,'DIVISION 15'!$A$3:$H$3,0),""),IFNA(MATCH($B72,'DIVISION 15'!$A$4:$H$4,0),""),IFNA(MATCH($B72,'DIVISION 15'!$A$5:$H$5,0),""),IFNA(MATCH($B72,'DIVISION 15'!$A$6:$H$6,0),""),IFNA(MATCH($B72,'DIVISION 15'!$A$7:$H$7,0),""),IFNA(MATCH($B72,'DIVISION 15'!$A$8:$H$8,0),""),IFNA(MATCH($B72,'DIVISION 15'!$A$9:$H$9,0),""),IFNA(MATCH($B72,'DIVISION 15'!$A$10:$H$10,0),""),IFNA(MATCH($B72,'DIVISION 15'!$A$11:$H$11,0),""),IFNA(MATCH($B72,'DIVISION 15'!$A$12:$H$12,0),""),IFNA(MATCH($B72,'DIVISION 15'!$A$13:$H$13,0),""),IFNA(MATCH($B72,'DIVISION 15'!$A$14:$H$14,0),""),IFNA(MATCH($B72,'DIVISION 15'!$A$15:$H$15,0),""),IFNA(MATCH($B72,'DIVISION 15'!$A$16:$H$16,0),""),IFNA(MATCH($B72,'DIVISION 15'!$A$17:$H$17,0),""),IFNA(MATCH($B72,'DIVISION 15'!$A$18:$H$18,0),""))=5,'DIVISION 15'!$E$1,SUM(IFNA(MATCH($B72,'DIVISION 15'!$A$2:$H$2,0),""),IFNA(MATCH($B72,'DIVISION 15'!$A$3:$H$3,0),""),IFNA(MATCH($B72,'DIVISION 15'!$A$4:$H$4,0),""),IFNA(MATCH($B72,'DIVISION 15'!$A$5:$H$5,0),""),IFNA(MATCH($B72,'DIVISION 15'!$A$6:$H$6,0),""),IFNA(MATCH($B72,'DIVISION 15'!$A$7:$H$7,0),""),IFNA(MATCH($B72,'DIVISION 15'!$A$8:$H$8,0),""),IFNA(MATCH($B72,'DIVISION 15'!$A$9:$H$9,0),""),IFNA(MATCH($B72,'DIVISION 15'!$A$10:$H$10,0),""),IFNA(MATCH($B72,'DIVISION 15'!$A$11:$H$11,0),""),IFNA(MATCH($B72,'DIVISION 15'!$A$12:$H$12,0),""),IFNA(MATCH($B72,'DIVISION 15'!$A$13:$H$13,0),""),IFNA(MATCH($B72,'DIVISION 15'!$A$14:$H$14,0),""),IFNA(MATCH($B72,'DIVISION 15'!$A$15:$H$15,0),""),IFNA(MATCH($B72,'DIVISION 15'!$A$16:$H$16,0),""),IFNA(MATCH($B72,'DIVISION 15'!$A$17:$H$17,0),""),IFNA(MATCH($B72,'DIVISION 15'!$A$18:$H$18,0),""))=6,'DIVISION 15'!$F$1,SUM(IFNA(MATCH($B72,'DIVISION 15'!$A$2:$H$2,0),""),IFNA(MATCH($B72,'DIVISION 15'!$A$3:$H$3,0),""),IFNA(MATCH($B72,'DIVISION 15'!$A$4:$H$4,0),""),IFNA(MATCH($B72,'DIVISION 15'!$A$5:$H$5,0),""),IFNA(MATCH($B72,'DIVISION 15'!$A$6:$H$6,0),""),IFNA(MATCH($B72,'DIVISION 15'!$A$7:$H$7,0),""),IFNA(MATCH($B72,'DIVISION 15'!$A$8:$H$8,0),""),IFNA(MATCH($B72,'DIVISION 15'!$A$9:$H$9,0),""),IFNA(MATCH($B72,'DIVISION 15'!$A$10:$H$10,0),""),IFNA(MATCH($B72,'DIVISION 15'!$A$11:$H$11,0),""),IFNA(MATCH($B72,'DIVISION 15'!$A$12:$H$12,0),""),IFNA(MATCH($B72,'DIVISION 15'!$A$13:$H$13,0),""),IFNA(MATCH($B72,'DIVISION 15'!$A$14:$H$14,0),""),IFNA(MATCH($B72,'DIVISION 15'!$A$15:$H$15,0),""),IFNA(MATCH($B72,'DIVISION 15'!$A$16:$H$16,0),""),IFNA(MATCH($B72,'DIVISION 15'!$A$17:$H$17,0),""),IFNA(MATCH($B72,'DIVISION 15'!$A$18:$H$18,0),""))=7,'DIVISION 15'!$G$1,SUM(IFNA(MATCH($B72,'DIVISION 15'!$A$2:$H$2,0),""),IFNA(MATCH($B72,'DIVISION 15'!$A$3:$H$3,0),""),IFNA(MATCH($B72,'DIVISION 15'!$A$4:$H$4,0),""),IFNA(MATCH($B72,'DIVISION 15'!$A$5:$H$5,0),""),IFNA(MATCH($B72,'DIVISION 15'!$A$6:$H$6,0),""),IFNA(MATCH($B72,'DIVISION 15'!$A$7:$H$7,0),""),IFNA(MATCH($B72,'DIVISION 15'!$A$8:$H$8,0),""),IFNA(MATCH($B72,'DIVISION 15'!$A$9:$H$9,0),""),IFNA(MATCH($B72,'DIVISION 15'!$A$10:$H$10,0),""),IFNA(MATCH($B72,'DIVISION 15'!$A$11:$H$11,0),""),IFNA(MATCH($B72,'DIVISION 15'!$A$12:$H$12,0),""),IFNA(MATCH($B72,'DIVISION 15'!$A$13:$H$13,0),""),IFNA(MATCH($B72,'DIVISION 15'!$A$14:$H$14,0),""),IFNA(MATCH($B72,'DIVISION 15'!$A$15:$H$15,0),""),IFNA(MATCH($B72,'DIVISION 15'!$A$16:$H$16,0),""),IFNA(MATCH($B72,'DIVISION 15'!$A$17:$H$17,0),""),IFNA(MATCH($B72,'DIVISION 15'!$A$18:$H$18,0),""))=8,'DIVISION 15'!$H$1)</f>
        <v>EITU</v>
      </c>
      <c r="U72" s="8"/>
      <c r="V72" s="9">
        <f>SUMIF(AsistenciaViewJetAdmin!$A$3:$A$101,A72,AsistenciaViewJetAdmin!$C$3:$C$101)/(COUNTIF(AsistenciaViewJetAdmin!$D$102:V$102,"&gt;0")+COUNTIF(ActividadesEspeciales!$D$102:V$102,"&gt;0"))*100</f>
        <v>39.89361702</v>
      </c>
    </row>
    <row r="73" ht="28.5" customHeight="1">
      <c r="A73" s="3">
        <v>217.0</v>
      </c>
      <c r="B73" s="4" t="s">
        <v>606</v>
      </c>
      <c r="C73" s="5">
        <v>1020301.0</v>
      </c>
      <c r="D73" s="6">
        <v>39823.0</v>
      </c>
      <c r="E73" s="5">
        <v>4.9837953E7</v>
      </c>
      <c r="F73" s="5" t="s">
        <v>607</v>
      </c>
      <c r="G73" s="7">
        <v>5.492215771378E12</v>
      </c>
      <c r="H73" s="5" t="s">
        <v>608</v>
      </c>
      <c r="I73" s="5" t="s">
        <v>609</v>
      </c>
      <c r="J73" s="7">
        <v>5.491141476202E12</v>
      </c>
      <c r="K73" s="5" t="s">
        <v>610</v>
      </c>
      <c r="L73" s="5" t="s">
        <v>611</v>
      </c>
      <c r="M73" s="7">
        <v>5.492215771379E12</v>
      </c>
      <c r="N73" s="5" t="s">
        <v>612</v>
      </c>
      <c r="O73" s="5" t="s">
        <v>613</v>
      </c>
      <c r="P73" s="5" t="s">
        <v>614</v>
      </c>
      <c r="Q73" s="5" t="s">
        <v>74</v>
      </c>
      <c r="R73" s="5" t="s">
        <v>31</v>
      </c>
      <c r="S73" s="5" t="s">
        <v>43</v>
      </c>
      <c r="T73" s="8" t="str">
        <f>IFS(SUM(IFNA(MATCH($B73,'DIVISION 15'!$A$2:$H$2,0),""),IFNA(MATCH($B73,'DIVISION 15'!$A$3:$H$3,0),""),IFNA(MATCH($B73,'DIVISION 15'!$A$4:$H$4,0),""),IFNA(MATCH($B73,'DIVISION 15'!$A$5:$H$5,0),""),IFNA(MATCH($B73,'DIVISION 15'!$A$6:$H$6,0),""),IFNA(MATCH($B73,'DIVISION 15'!$A$7:$H$7,0),""),IFNA(MATCH($B73,'DIVISION 15'!$A$8:$H$8,0),""),IFNA(MATCH($B73,'DIVISION 15'!$A$9:$H$9,0),""),IFNA(MATCH($B73,'DIVISION 15'!$A$10:$H$10,0),""),IFNA(MATCH($B73,'DIVISION 15'!$A$11:$H$11,0),""),IFNA(MATCH($B73,'DIVISION 15'!$A$12:$H$12,0),""),IFNA(MATCH($B73,'DIVISION 15'!$A$13:$H$13,0),""),IFNA(MATCH($B73,'DIVISION 15'!$A$14:$H$14,0),""),IFNA(MATCH($B73,'DIVISION 15'!$A$15:$H$15,0),""),IFNA(MATCH($B73,'DIVISION 15'!$A$16:$H$16,0),""),IFNA(MATCH($B73,'DIVISION 15'!$A$17:$H$17,0),""),IFNA(MATCH($B73,'DIVISION 15'!$A$18:$H$18,0),""))=1,'DIVISION 15'!$A$1,SUM(IFNA(MATCH($B73,'DIVISION 15'!$A$2:$H$2,0),""),IFNA(MATCH($B73,'DIVISION 15'!$A$3:$H$3,0),""),IFNA(MATCH($B73,'DIVISION 15'!$A$4:$H$4,0),""),IFNA(MATCH($B73,'DIVISION 15'!$A$5:$H$5,0),""),IFNA(MATCH($B73,'DIVISION 15'!$A$6:$H$6,0),""),IFNA(MATCH($B73,'DIVISION 15'!$A$7:$H$7,0),""),IFNA(MATCH($B73,'DIVISION 15'!$A$8:$H$8,0),""),IFNA(MATCH($B73,'DIVISION 15'!$A$9:$H$9,0),""),IFNA(MATCH($B73,'DIVISION 15'!$A$10:$H$10,0),""),IFNA(MATCH($B73,'DIVISION 15'!$A$11:$H$11,0),""),IFNA(MATCH($B73,'DIVISION 15'!$A$12:$H$12,0),""),IFNA(MATCH($B73,'DIVISION 15'!$A$13:$H$13,0),""),IFNA(MATCH($B73,'DIVISION 15'!$A$14:$H$14,0),""),IFNA(MATCH($B73,'DIVISION 15'!$A$15:$H$15,0),""),IFNA(MATCH($B73,'DIVISION 15'!$A$16:$H$16,0),""),IFNA(MATCH($B73,'DIVISION 15'!$A$17:$H$17,0),""),IFNA(MATCH($B73,'DIVISION 15'!$A$18:$H$18,0),""))=2,'DIVISION 15'!$B$1,SUM(IFNA(MATCH($B73,'DIVISION 15'!$A$2:$H$2,0),""),IFNA(MATCH($B73,'DIVISION 15'!$A$3:$H$3,0),""),IFNA(MATCH($B73,'DIVISION 15'!$A$4:$H$4,0),""),IFNA(MATCH($B73,'DIVISION 15'!$A$5:$H$5,0),""),IFNA(MATCH($B73,'DIVISION 15'!$A$6:$H$6,0),""),IFNA(MATCH($B73,'DIVISION 15'!$A$7:$H$7,0),""),IFNA(MATCH($B73,'DIVISION 15'!$A$8:$H$8,0),""),IFNA(MATCH($B73,'DIVISION 15'!$A$9:$H$9,0),""),IFNA(MATCH($B73,'DIVISION 15'!$A$10:$H$10,0),""),IFNA(MATCH($B73,'DIVISION 15'!$A$11:$H$11,0),""),IFNA(MATCH($B73,'DIVISION 15'!$A$12:$H$12,0),""),IFNA(MATCH($B73,'DIVISION 15'!$A$13:$H$13,0),""),IFNA(MATCH($B73,'DIVISION 15'!$A$14:$H$14,0),""),IFNA(MATCH($B73,'DIVISION 15'!$A$15:$H$15,0),""),IFNA(MATCH($B73,'DIVISION 15'!$A$16:$H$16,0),""),IFNA(MATCH($B73,'DIVISION 15'!$A$17:$H$17,0),""),IFNA(MATCH($B73,'DIVISION 15'!$A$18:$H$18,0),""))=3,'DIVISION 15'!$C$1,SUM(IFNA(MATCH($B73,'DIVISION 15'!$A$2:$H$2,0),""),IFNA(MATCH($B73,'DIVISION 15'!$A$3:$H$3,0),""),IFNA(MATCH($B73,'DIVISION 15'!$A$4:$H$4,0),""),IFNA(MATCH($B73,'DIVISION 15'!$A$5:$H$5,0),""),IFNA(MATCH($B73,'DIVISION 15'!$A$6:$H$6,0),""),IFNA(MATCH($B73,'DIVISION 15'!$A$7:$H$7,0),""),IFNA(MATCH($B73,'DIVISION 15'!$A$8:$H$8,0),""),IFNA(MATCH($B73,'DIVISION 15'!$A$9:$H$9,0),""),IFNA(MATCH($B73,'DIVISION 15'!$A$10:$H$10,0),""),IFNA(MATCH($B73,'DIVISION 15'!$A$11:$H$11,0),""),IFNA(MATCH($B73,'DIVISION 15'!$A$12:$H$12,0),""),IFNA(MATCH($B73,'DIVISION 15'!$A$13:$H$13,0),""),IFNA(MATCH($B73,'DIVISION 15'!$A$14:$H$14,0),""),IFNA(MATCH($B73,'DIVISION 15'!$A$15:$H$15,0),""),IFNA(MATCH($B73,'DIVISION 15'!$A$16:$H$16,0),""),IFNA(MATCH($B73,'DIVISION 15'!$A$17:$H$17,0),""),IFNA(MATCH($B73,'DIVISION 15'!$A$18:$H$18,0),""))=4,'DIVISION 15'!$D$1,SUM(IFNA(MATCH($B73,'DIVISION 15'!$A$2:$H$2,0),""),IFNA(MATCH($B73,'DIVISION 15'!$A$3:$H$3,0),""),IFNA(MATCH($B73,'DIVISION 15'!$A$4:$H$4,0),""),IFNA(MATCH($B73,'DIVISION 15'!$A$5:$H$5,0),""),IFNA(MATCH($B73,'DIVISION 15'!$A$6:$H$6,0),""),IFNA(MATCH($B73,'DIVISION 15'!$A$7:$H$7,0),""),IFNA(MATCH($B73,'DIVISION 15'!$A$8:$H$8,0),""),IFNA(MATCH($B73,'DIVISION 15'!$A$9:$H$9,0),""),IFNA(MATCH($B73,'DIVISION 15'!$A$10:$H$10,0),""),IFNA(MATCH($B73,'DIVISION 15'!$A$11:$H$11,0),""),IFNA(MATCH($B73,'DIVISION 15'!$A$12:$H$12,0),""),IFNA(MATCH($B73,'DIVISION 15'!$A$13:$H$13,0),""),IFNA(MATCH($B73,'DIVISION 15'!$A$14:$H$14,0),""),IFNA(MATCH($B73,'DIVISION 15'!$A$15:$H$15,0),""),IFNA(MATCH($B73,'DIVISION 15'!$A$16:$H$16,0),""),IFNA(MATCH($B73,'DIVISION 15'!$A$17:$H$17,0),""),IFNA(MATCH($B73,'DIVISION 15'!$A$18:$H$18,0),""))=5,'DIVISION 15'!$E$1,SUM(IFNA(MATCH($B73,'DIVISION 15'!$A$2:$H$2,0),""),IFNA(MATCH($B73,'DIVISION 15'!$A$3:$H$3,0),""),IFNA(MATCH($B73,'DIVISION 15'!$A$4:$H$4,0),""),IFNA(MATCH($B73,'DIVISION 15'!$A$5:$H$5,0),""),IFNA(MATCH($B73,'DIVISION 15'!$A$6:$H$6,0),""),IFNA(MATCH($B73,'DIVISION 15'!$A$7:$H$7,0),""),IFNA(MATCH($B73,'DIVISION 15'!$A$8:$H$8,0),""),IFNA(MATCH($B73,'DIVISION 15'!$A$9:$H$9,0),""),IFNA(MATCH($B73,'DIVISION 15'!$A$10:$H$10,0),""),IFNA(MATCH($B73,'DIVISION 15'!$A$11:$H$11,0),""),IFNA(MATCH($B73,'DIVISION 15'!$A$12:$H$12,0),""),IFNA(MATCH($B73,'DIVISION 15'!$A$13:$H$13,0),""),IFNA(MATCH($B73,'DIVISION 15'!$A$14:$H$14,0),""),IFNA(MATCH($B73,'DIVISION 15'!$A$15:$H$15,0),""),IFNA(MATCH($B73,'DIVISION 15'!$A$16:$H$16,0),""),IFNA(MATCH($B73,'DIVISION 15'!$A$17:$H$17,0),""),IFNA(MATCH($B73,'DIVISION 15'!$A$18:$H$18,0),""))=6,'DIVISION 15'!$F$1,SUM(IFNA(MATCH($B73,'DIVISION 15'!$A$2:$H$2,0),""),IFNA(MATCH($B73,'DIVISION 15'!$A$3:$H$3,0),""),IFNA(MATCH($B73,'DIVISION 15'!$A$4:$H$4,0),""),IFNA(MATCH($B73,'DIVISION 15'!$A$5:$H$5,0),""),IFNA(MATCH($B73,'DIVISION 15'!$A$6:$H$6,0),""),IFNA(MATCH($B73,'DIVISION 15'!$A$7:$H$7,0),""),IFNA(MATCH($B73,'DIVISION 15'!$A$8:$H$8,0),""),IFNA(MATCH($B73,'DIVISION 15'!$A$9:$H$9,0),""),IFNA(MATCH($B73,'DIVISION 15'!$A$10:$H$10,0),""),IFNA(MATCH($B73,'DIVISION 15'!$A$11:$H$11,0),""),IFNA(MATCH($B73,'DIVISION 15'!$A$12:$H$12,0),""),IFNA(MATCH($B73,'DIVISION 15'!$A$13:$H$13,0),""),IFNA(MATCH($B73,'DIVISION 15'!$A$14:$H$14,0),""),IFNA(MATCH($B73,'DIVISION 15'!$A$15:$H$15,0),""),IFNA(MATCH($B73,'DIVISION 15'!$A$16:$H$16,0),""),IFNA(MATCH($B73,'DIVISION 15'!$A$17:$H$17,0),""),IFNA(MATCH($B73,'DIVISION 15'!$A$18:$H$18,0),""))=7,'DIVISION 15'!$G$1,SUM(IFNA(MATCH($B73,'DIVISION 15'!$A$2:$H$2,0),""),IFNA(MATCH($B73,'DIVISION 15'!$A$3:$H$3,0),""),IFNA(MATCH($B73,'DIVISION 15'!$A$4:$H$4,0),""),IFNA(MATCH($B73,'DIVISION 15'!$A$5:$H$5,0),""),IFNA(MATCH($B73,'DIVISION 15'!$A$6:$H$6,0),""),IFNA(MATCH($B73,'DIVISION 15'!$A$7:$H$7,0),""),IFNA(MATCH($B73,'DIVISION 15'!$A$8:$H$8,0),""),IFNA(MATCH($B73,'DIVISION 15'!$A$9:$H$9,0),""),IFNA(MATCH($B73,'DIVISION 15'!$A$10:$H$10,0),""),IFNA(MATCH($B73,'DIVISION 15'!$A$11:$H$11,0),""),IFNA(MATCH($B73,'DIVISION 15'!$A$12:$H$12,0),""),IFNA(MATCH($B73,'DIVISION 15'!$A$13:$H$13,0),""),IFNA(MATCH($B73,'DIVISION 15'!$A$14:$H$14,0),""),IFNA(MATCH($B73,'DIVISION 15'!$A$15:$H$15,0),""),IFNA(MATCH($B73,'DIVISION 15'!$A$16:$H$16,0),""),IFNA(MATCH($B73,'DIVISION 15'!$A$17:$H$17,0),""),IFNA(MATCH($B73,'DIVISION 15'!$A$18:$H$18,0),""))=8,'DIVISION 15'!$H$1)</f>
        <v>SOFI</v>
      </c>
      <c r="U73" s="8" t="str">
        <f t="shared" ref="U73:U85" si="3">T73&amp;COUNTIF($T$1:T73,T73)</f>
        <v>SOFI12</v>
      </c>
      <c r="V73" s="9">
        <f>SUMIF(AsistenciaViewJetAdmin!$A$3:$A$101,A73,AsistenciaViewJetAdmin!$C$3:$C$101)/(COUNTIF(AsistenciaViewJetAdmin!$D$102:V$102,"&gt;0")+COUNTIF(ActividadesEspeciales!$D$102:V$102,"&gt;0"))*100</f>
        <v>51.06382979</v>
      </c>
    </row>
    <row r="74" ht="28.5" customHeight="1">
      <c r="A74" s="3">
        <v>211.0</v>
      </c>
      <c r="B74" s="4" t="s">
        <v>615</v>
      </c>
      <c r="C74" s="5">
        <v>1111602.0</v>
      </c>
      <c r="D74" s="7">
        <v>8052010.0</v>
      </c>
      <c r="E74" s="5">
        <v>5.0289096E7</v>
      </c>
      <c r="F74" s="5" t="s">
        <v>616</v>
      </c>
      <c r="G74" s="7">
        <v>1.12757421E9</v>
      </c>
      <c r="H74" s="5" t="s">
        <v>617</v>
      </c>
      <c r="I74" s="5" t="s">
        <v>618</v>
      </c>
      <c r="J74" s="7">
        <v>1.551782046E9</v>
      </c>
      <c r="K74" s="5" t="s">
        <v>619</v>
      </c>
      <c r="L74" s="5" t="s">
        <v>620</v>
      </c>
      <c r="M74" s="7">
        <v>1.11537015895E11</v>
      </c>
      <c r="N74" s="5" t="s">
        <v>621</v>
      </c>
      <c r="O74" s="5" t="s">
        <v>622</v>
      </c>
      <c r="P74" s="5" t="s">
        <v>42</v>
      </c>
      <c r="Q74" s="5" t="s">
        <v>74</v>
      </c>
      <c r="R74" s="5" t="s">
        <v>31</v>
      </c>
      <c r="S74" s="5" t="s">
        <v>43</v>
      </c>
      <c r="T74" s="8" t="str">
        <f>IFS(SUM(IFNA(MATCH($B74,'DIVISION 15'!$A$2:$H$2,0),""),IFNA(MATCH($B74,'DIVISION 15'!$A$3:$H$3,0),""),IFNA(MATCH($B74,'DIVISION 15'!$A$4:$H$4,0),""),IFNA(MATCH($B74,'DIVISION 15'!$A$5:$H$5,0),""),IFNA(MATCH($B74,'DIVISION 15'!$A$6:$H$6,0),""),IFNA(MATCH($B74,'DIVISION 15'!$A$7:$H$7,0),""),IFNA(MATCH($B74,'DIVISION 15'!$A$8:$H$8,0),""),IFNA(MATCH($B74,'DIVISION 15'!$A$9:$H$9,0),""),IFNA(MATCH($B74,'DIVISION 15'!$A$10:$H$10,0),""),IFNA(MATCH($B74,'DIVISION 15'!$A$11:$H$11,0),""),IFNA(MATCH($B74,'DIVISION 15'!$A$12:$H$12,0),""),IFNA(MATCH($B74,'DIVISION 15'!$A$13:$H$13,0),""),IFNA(MATCH($B74,'DIVISION 15'!$A$14:$H$14,0),""),IFNA(MATCH($B74,'DIVISION 15'!$A$15:$H$15,0),""),IFNA(MATCH($B74,'DIVISION 15'!$A$16:$H$16,0),""),IFNA(MATCH($B74,'DIVISION 15'!$A$17:$H$17,0),""),IFNA(MATCH($B74,'DIVISION 15'!$A$18:$H$18,0),""))=1,'DIVISION 15'!$A$1,SUM(IFNA(MATCH($B74,'DIVISION 15'!$A$2:$H$2,0),""),IFNA(MATCH($B74,'DIVISION 15'!$A$3:$H$3,0),""),IFNA(MATCH($B74,'DIVISION 15'!$A$4:$H$4,0),""),IFNA(MATCH($B74,'DIVISION 15'!$A$5:$H$5,0),""),IFNA(MATCH($B74,'DIVISION 15'!$A$6:$H$6,0),""),IFNA(MATCH($B74,'DIVISION 15'!$A$7:$H$7,0),""),IFNA(MATCH($B74,'DIVISION 15'!$A$8:$H$8,0),""),IFNA(MATCH($B74,'DIVISION 15'!$A$9:$H$9,0),""),IFNA(MATCH($B74,'DIVISION 15'!$A$10:$H$10,0),""),IFNA(MATCH($B74,'DIVISION 15'!$A$11:$H$11,0),""),IFNA(MATCH($B74,'DIVISION 15'!$A$12:$H$12,0),""),IFNA(MATCH($B74,'DIVISION 15'!$A$13:$H$13,0),""),IFNA(MATCH($B74,'DIVISION 15'!$A$14:$H$14,0),""),IFNA(MATCH($B74,'DIVISION 15'!$A$15:$H$15,0),""),IFNA(MATCH($B74,'DIVISION 15'!$A$16:$H$16,0),""),IFNA(MATCH($B74,'DIVISION 15'!$A$17:$H$17,0),""),IFNA(MATCH($B74,'DIVISION 15'!$A$18:$H$18,0),""))=2,'DIVISION 15'!$B$1,SUM(IFNA(MATCH($B74,'DIVISION 15'!$A$2:$H$2,0),""),IFNA(MATCH($B74,'DIVISION 15'!$A$3:$H$3,0),""),IFNA(MATCH($B74,'DIVISION 15'!$A$4:$H$4,0),""),IFNA(MATCH($B74,'DIVISION 15'!$A$5:$H$5,0),""),IFNA(MATCH($B74,'DIVISION 15'!$A$6:$H$6,0),""),IFNA(MATCH($B74,'DIVISION 15'!$A$7:$H$7,0),""),IFNA(MATCH($B74,'DIVISION 15'!$A$8:$H$8,0),""),IFNA(MATCH($B74,'DIVISION 15'!$A$9:$H$9,0),""),IFNA(MATCH($B74,'DIVISION 15'!$A$10:$H$10,0),""),IFNA(MATCH($B74,'DIVISION 15'!$A$11:$H$11,0),""),IFNA(MATCH($B74,'DIVISION 15'!$A$12:$H$12,0),""),IFNA(MATCH($B74,'DIVISION 15'!$A$13:$H$13,0),""),IFNA(MATCH($B74,'DIVISION 15'!$A$14:$H$14,0),""),IFNA(MATCH($B74,'DIVISION 15'!$A$15:$H$15,0),""),IFNA(MATCH($B74,'DIVISION 15'!$A$16:$H$16,0),""),IFNA(MATCH($B74,'DIVISION 15'!$A$17:$H$17,0),""),IFNA(MATCH($B74,'DIVISION 15'!$A$18:$H$18,0),""))=3,'DIVISION 15'!$C$1,SUM(IFNA(MATCH($B74,'DIVISION 15'!$A$2:$H$2,0),""),IFNA(MATCH($B74,'DIVISION 15'!$A$3:$H$3,0),""),IFNA(MATCH($B74,'DIVISION 15'!$A$4:$H$4,0),""),IFNA(MATCH($B74,'DIVISION 15'!$A$5:$H$5,0),""),IFNA(MATCH($B74,'DIVISION 15'!$A$6:$H$6,0),""),IFNA(MATCH($B74,'DIVISION 15'!$A$7:$H$7,0),""),IFNA(MATCH($B74,'DIVISION 15'!$A$8:$H$8,0),""),IFNA(MATCH($B74,'DIVISION 15'!$A$9:$H$9,0),""),IFNA(MATCH($B74,'DIVISION 15'!$A$10:$H$10,0),""),IFNA(MATCH($B74,'DIVISION 15'!$A$11:$H$11,0),""),IFNA(MATCH($B74,'DIVISION 15'!$A$12:$H$12,0),""),IFNA(MATCH($B74,'DIVISION 15'!$A$13:$H$13,0),""),IFNA(MATCH($B74,'DIVISION 15'!$A$14:$H$14,0),""),IFNA(MATCH($B74,'DIVISION 15'!$A$15:$H$15,0),""),IFNA(MATCH($B74,'DIVISION 15'!$A$16:$H$16,0),""),IFNA(MATCH($B74,'DIVISION 15'!$A$17:$H$17,0),""),IFNA(MATCH($B74,'DIVISION 15'!$A$18:$H$18,0),""))=4,'DIVISION 15'!$D$1,SUM(IFNA(MATCH($B74,'DIVISION 15'!$A$2:$H$2,0),""),IFNA(MATCH($B74,'DIVISION 15'!$A$3:$H$3,0),""),IFNA(MATCH($B74,'DIVISION 15'!$A$4:$H$4,0),""),IFNA(MATCH($B74,'DIVISION 15'!$A$5:$H$5,0),""),IFNA(MATCH($B74,'DIVISION 15'!$A$6:$H$6,0),""),IFNA(MATCH($B74,'DIVISION 15'!$A$7:$H$7,0),""),IFNA(MATCH($B74,'DIVISION 15'!$A$8:$H$8,0),""),IFNA(MATCH($B74,'DIVISION 15'!$A$9:$H$9,0),""),IFNA(MATCH($B74,'DIVISION 15'!$A$10:$H$10,0),""),IFNA(MATCH($B74,'DIVISION 15'!$A$11:$H$11,0),""),IFNA(MATCH($B74,'DIVISION 15'!$A$12:$H$12,0),""),IFNA(MATCH($B74,'DIVISION 15'!$A$13:$H$13,0),""),IFNA(MATCH($B74,'DIVISION 15'!$A$14:$H$14,0),""),IFNA(MATCH($B74,'DIVISION 15'!$A$15:$H$15,0),""),IFNA(MATCH($B74,'DIVISION 15'!$A$16:$H$16,0),""),IFNA(MATCH($B74,'DIVISION 15'!$A$17:$H$17,0),""),IFNA(MATCH($B74,'DIVISION 15'!$A$18:$H$18,0),""))=5,'DIVISION 15'!$E$1,SUM(IFNA(MATCH($B74,'DIVISION 15'!$A$2:$H$2,0),""),IFNA(MATCH($B74,'DIVISION 15'!$A$3:$H$3,0),""),IFNA(MATCH($B74,'DIVISION 15'!$A$4:$H$4,0),""),IFNA(MATCH($B74,'DIVISION 15'!$A$5:$H$5,0),""),IFNA(MATCH($B74,'DIVISION 15'!$A$6:$H$6,0),""),IFNA(MATCH($B74,'DIVISION 15'!$A$7:$H$7,0),""),IFNA(MATCH($B74,'DIVISION 15'!$A$8:$H$8,0),""),IFNA(MATCH($B74,'DIVISION 15'!$A$9:$H$9,0),""),IFNA(MATCH($B74,'DIVISION 15'!$A$10:$H$10,0),""),IFNA(MATCH($B74,'DIVISION 15'!$A$11:$H$11,0),""),IFNA(MATCH($B74,'DIVISION 15'!$A$12:$H$12,0),""),IFNA(MATCH($B74,'DIVISION 15'!$A$13:$H$13,0),""),IFNA(MATCH($B74,'DIVISION 15'!$A$14:$H$14,0),""),IFNA(MATCH($B74,'DIVISION 15'!$A$15:$H$15,0),""),IFNA(MATCH($B74,'DIVISION 15'!$A$16:$H$16,0),""),IFNA(MATCH($B74,'DIVISION 15'!$A$17:$H$17,0),""),IFNA(MATCH($B74,'DIVISION 15'!$A$18:$H$18,0),""))=6,'DIVISION 15'!$F$1,SUM(IFNA(MATCH($B74,'DIVISION 15'!$A$2:$H$2,0),""),IFNA(MATCH($B74,'DIVISION 15'!$A$3:$H$3,0),""),IFNA(MATCH($B74,'DIVISION 15'!$A$4:$H$4,0),""),IFNA(MATCH($B74,'DIVISION 15'!$A$5:$H$5,0),""),IFNA(MATCH($B74,'DIVISION 15'!$A$6:$H$6,0),""),IFNA(MATCH($B74,'DIVISION 15'!$A$7:$H$7,0),""),IFNA(MATCH($B74,'DIVISION 15'!$A$8:$H$8,0),""),IFNA(MATCH($B74,'DIVISION 15'!$A$9:$H$9,0),""),IFNA(MATCH($B74,'DIVISION 15'!$A$10:$H$10,0),""),IFNA(MATCH($B74,'DIVISION 15'!$A$11:$H$11,0),""),IFNA(MATCH($B74,'DIVISION 15'!$A$12:$H$12,0),""),IFNA(MATCH($B74,'DIVISION 15'!$A$13:$H$13,0),""),IFNA(MATCH($B74,'DIVISION 15'!$A$14:$H$14,0),""),IFNA(MATCH($B74,'DIVISION 15'!$A$15:$H$15,0),""),IFNA(MATCH($B74,'DIVISION 15'!$A$16:$H$16,0),""),IFNA(MATCH($B74,'DIVISION 15'!$A$17:$H$17,0),""),IFNA(MATCH($B74,'DIVISION 15'!$A$18:$H$18,0),""))=7,'DIVISION 15'!$G$1,SUM(IFNA(MATCH($B74,'DIVISION 15'!$A$2:$H$2,0),""),IFNA(MATCH($B74,'DIVISION 15'!$A$3:$H$3,0),""),IFNA(MATCH($B74,'DIVISION 15'!$A$4:$H$4,0),""),IFNA(MATCH($B74,'DIVISION 15'!$A$5:$H$5,0),""),IFNA(MATCH($B74,'DIVISION 15'!$A$6:$H$6,0),""),IFNA(MATCH($B74,'DIVISION 15'!$A$7:$H$7,0),""),IFNA(MATCH($B74,'DIVISION 15'!$A$8:$H$8,0),""),IFNA(MATCH($B74,'DIVISION 15'!$A$9:$H$9,0),""),IFNA(MATCH($B74,'DIVISION 15'!$A$10:$H$10,0),""),IFNA(MATCH($B74,'DIVISION 15'!$A$11:$H$11,0),""),IFNA(MATCH($B74,'DIVISION 15'!$A$12:$H$12,0),""),IFNA(MATCH($B74,'DIVISION 15'!$A$13:$H$13,0),""),IFNA(MATCH($B74,'DIVISION 15'!$A$14:$H$14,0),""),IFNA(MATCH($B74,'DIVISION 15'!$A$15:$H$15,0),""),IFNA(MATCH($B74,'DIVISION 15'!$A$16:$H$16,0),""),IFNA(MATCH($B74,'DIVISION 15'!$A$17:$H$17,0),""),IFNA(MATCH($B74,'DIVISION 15'!$A$18:$H$18,0),""))=8,'DIVISION 15'!$H$1)</f>
        <v>EITU</v>
      </c>
      <c r="U74" s="8" t="str">
        <f t="shared" si="3"/>
        <v>EITU10</v>
      </c>
      <c r="V74" s="9">
        <f>SUMIF(AsistenciaViewJetAdmin!$A$3:$A$101,A74,AsistenciaViewJetAdmin!$C$3:$C$101)/(COUNTIF(AsistenciaViewJetAdmin!$D$102:V$102,"&gt;0")+COUNTIF(ActividadesEspeciales!$D$102:V$102,"&gt;0"))*100</f>
        <v>77.65957447</v>
      </c>
    </row>
    <row r="75" ht="28.5" customHeight="1">
      <c r="A75" s="3">
        <v>204.0</v>
      </c>
      <c r="B75" s="4" t="s">
        <v>623</v>
      </c>
      <c r="C75" s="5">
        <v>931604.0</v>
      </c>
      <c r="D75" s="6">
        <v>40035.0</v>
      </c>
      <c r="E75" s="5">
        <v>4.9836246E7</v>
      </c>
      <c r="F75" s="5" t="s">
        <v>624</v>
      </c>
      <c r="G75" s="7">
        <v>1.139336669E9</v>
      </c>
      <c r="H75" s="5" t="s">
        <v>625</v>
      </c>
      <c r="I75" s="5" t="s">
        <v>626</v>
      </c>
      <c r="J75" s="7">
        <v>1.135879359E9</v>
      </c>
      <c r="K75" s="5" t="s">
        <v>627</v>
      </c>
      <c r="L75" s="5" t="s">
        <v>628</v>
      </c>
      <c r="M75" s="7">
        <v>1.135879355E9</v>
      </c>
      <c r="N75" s="5" t="s">
        <v>629</v>
      </c>
      <c r="O75" s="5" t="s">
        <v>120</v>
      </c>
      <c r="P75" s="5" t="s">
        <v>136</v>
      </c>
      <c r="Q75" s="5" t="s">
        <v>30</v>
      </c>
      <c r="R75" s="5" t="s">
        <v>31</v>
      </c>
      <c r="S75" s="5" t="s">
        <v>32</v>
      </c>
      <c r="T75" s="8" t="str">
        <f>IFS(SUM(IFNA(MATCH($B75,'DIVISION 15'!$A$2:$H$2,0),""),IFNA(MATCH($B75,'DIVISION 15'!$A$3:$H$3,0),""),IFNA(MATCH($B75,'DIVISION 15'!$A$4:$H$4,0),""),IFNA(MATCH($B75,'DIVISION 15'!$A$5:$H$5,0),""),IFNA(MATCH($B75,'DIVISION 15'!$A$6:$H$6,0),""),IFNA(MATCH($B75,'DIVISION 15'!$A$7:$H$7,0),""),IFNA(MATCH($B75,'DIVISION 15'!$A$8:$H$8,0),""),IFNA(MATCH($B75,'DIVISION 15'!$A$9:$H$9,0),""),IFNA(MATCH($B75,'DIVISION 15'!$A$10:$H$10,0),""),IFNA(MATCH($B75,'DIVISION 15'!$A$11:$H$11,0),""),IFNA(MATCH($B75,'DIVISION 15'!$A$12:$H$12,0),""),IFNA(MATCH($B75,'DIVISION 15'!$A$13:$H$13,0),""),IFNA(MATCH($B75,'DIVISION 15'!$A$14:$H$14,0),""),IFNA(MATCH($B75,'DIVISION 15'!$A$15:$H$15,0),""),IFNA(MATCH($B75,'DIVISION 15'!$A$16:$H$16,0),""),IFNA(MATCH($B75,'DIVISION 15'!$A$17:$H$17,0),""),IFNA(MATCH($B75,'DIVISION 15'!$A$18:$H$18,0),""))=1,'DIVISION 15'!$A$1,SUM(IFNA(MATCH($B75,'DIVISION 15'!$A$2:$H$2,0),""),IFNA(MATCH($B75,'DIVISION 15'!$A$3:$H$3,0),""),IFNA(MATCH($B75,'DIVISION 15'!$A$4:$H$4,0),""),IFNA(MATCH($B75,'DIVISION 15'!$A$5:$H$5,0),""),IFNA(MATCH($B75,'DIVISION 15'!$A$6:$H$6,0),""),IFNA(MATCH($B75,'DIVISION 15'!$A$7:$H$7,0),""),IFNA(MATCH($B75,'DIVISION 15'!$A$8:$H$8,0),""),IFNA(MATCH($B75,'DIVISION 15'!$A$9:$H$9,0),""),IFNA(MATCH($B75,'DIVISION 15'!$A$10:$H$10,0),""),IFNA(MATCH($B75,'DIVISION 15'!$A$11:$H$11,0),""),IFNA(MATCH($B75,'DIVISION 15'!$A$12:$H$12,0),""),IFNA(MATCH($B75,'DIVISION 15'!$A$13:$H$13,0),""),IFNA(MATCH($B75,'DIVISION 15'!$A$14:$H$14,0),""),IFNA(MATCH($B75,'DIVISION 15'!$A$15:$H$15,0),""),IFNA(MATCH($B75,'DIVISION 15'!$A$16:$H$16,0),""),IFNA(MATCH($B75,'DIVISION 15'!$A$17:$H$17,0),""),IFNA(MATCH($B75,'DIVISION 15'!$A$18:$H$18,0),""))=2,'DIVISION 15'!$B$1,SUM(IFNA(MATCH($B75,'DIVISION 15'!$A$2:$H$2,0),""),IFNA(MATCH($B75,'DIVISION 15'!$A$3:$H$3,0),""),IFNA(MATCH($B75,'DIVISION 15'!$A$4:$H$4,0),""),IFNA(MATCH($B75,'DIVISION 15'!$A$5:$H$5,0),""),IFNA(MATCH($B75,'DIVISION 15'!$A$6:$H$6,0),""),IFNA(MATCH($B75,'DIVISION 15'!$A$7:$H$7,0),""),IFNA(MATCH($B75,'DIVISION 15'!$A$8:$H$8,0),""),IFNA(MATCH($B75,'DIVISION 15'!$A$9:$H$9,0),""),IFNA(MATCH($B75,'DIVISION 15'!$A$10:$H$10,0),""),IFNA(MATCH($B75,'DIVISION 15'!$A$11:$H$11,0),""),IFNA(MATCH($B75,'DIVISION 15'!$A$12:$H$12,0),""),IFNA(MATCH($B75,'DIVISION 15'!$A$13:$H$13,0),""),IFNA(MATCH($B75,'DIVISION 15'!$A$14:$H$14,0),""),IFNA(MATCH($B75,'DIVISION 15'!$A$15:$H$15,0),""),IFNA(MATCH($B75,'DIVISION 15'!$A$16:$H$16,0),""),IFNA(MATCH($B75,'DIVISION 15'!$A$17:$H$17,0),""),IFNA(MATCH($B75,'DIVISION 15'!$A$18:$H$18,0),""))=3,'DIVISION 15'!$C$1,SUM(IFNA(MATCH($B75,'DIVISION 15'!$A$2:$H$2,0),""),IFNA(MATCH($B75,'DIVISION 15'!$A$3:$H$3,0),""),IFNA(MATCH($B75,'DIVISION 15'!$A$4:$H$4,0),""),IFNA(MATCH($B75,'DIVISION 15'!$A$5:$H$5,0),""),IFNA(MATCH($B75,'DIVISION 15'!$A$6:$H$6,0),""),IFNA(MATCH($B75,'DIVISION 15'!$A$7:$H$7,0),""),IFNA(MATCH($B75,'DIVISION 15'!$A$8:$H$8,0),""),IFNA(MATCH($B75,'DIVISION 15'!$A$9:$H$9,0),""),IFNA(MATCH($B75,'DIVISION 15'!$A$10:$H$10,0),""),IFNA(MATCH($B75,'DIVISION 15'!$A$11:$H$11,0),""),IFNA(MATCH($B75,'DIVISION 15'!$A$12:$H$12,0),""),IFNA(MATCH($B75,'DIVISION 15'!$A$13:$H$13,0),""),IFNA(MATCH($B75,'DIVISION 15'!$A$14:$H$14,0),""),IFNA(MATCH($B75,'DIVISION 15'!$A$15:$H$15,0),""),IFNA(MATCH($B75,'DIVISION 15'!$A$16:$H$16,0),""),IFNA(MATCH($B75,'DIVISION 15'!$A$17:$H$17,0),""),IFNA(MATCH($B75,'DIVISION 15'!$A$18:$H$18,0),""))=4,'DIVISION 15'!$D$1,SUM(IFNA(MATCH($B75,'DIVISION 15'!$A$2:$H$2,0),""),IFNA(MATCH($B75,'DIVISION 15'!$A$3:$H$3,0),""),IFNA(MATCH($B75,'DIVISION 15'!$A$4:$H$4,0),""),IFNA(MATCH($B75,'DIVISION 15'!$A$5:$H$5,0),""),IFNA(MATCH($B75,'DIVISION 15'!$A$6:$H$6,0),""),IFNA(MATCH($B75,'DIVISION 15'!$A$7:$H$7,0),""),IFNA(MATCH($B75,'DIVISION 15'!$A$8:$H$8,0),""),IFNA(MATCH($B75,'DIVISION 15'!$A$9:$H$9,0),""),IFNA(MATCH($B75,'DIVISION 15'!$A$10:$H$10,0),""),IFNA(MATCH($B75,'DIVISION 15'!$A$11:$H$11,0),""),IFNA(MATCH($B75,'DIVISION 15'!$A$12:$H$12,0),""),IFNA(MATCH($B75,'DIVISION 15'!$A$13:$H$13,0),""),IFNA(MATCH($B75,'DIVISION 15'!$A$14:$H$14,0),""),IFNA(MATCH($B75,'DIVISION 15'!$A$15:$H$15,0),""),IFNA(MATCH($B75,'DIVISION 15'!$A$16:$H$16,0),""),IFNA(MATCH($B75,'DIVISION 15'!$A$17:$H$17,0),""),IFNA(MATCH($B75,'DIVISION 15'!$A$18:$H$18,0),""))=5,'DIVISION 15'!$E$1,SUM(IFNA(MATCH($B75,'DIVISION 15'!$A$2:$H$2,0),""),IFNA(MATCH($B75,'DIVISION 15'!$A$3:$H$3,0),""),IFNA(MATCH($B75,'DIVISION 15'!$A$4:$H$4,0),""),IFNA(MATCH($B75,'DIVISION 15'!$A$5:$H$5,0),""),IFNA(MATCH($B75,'DIVISION 15'!$A$6:$H$6,0),""),IFNA(MATCH($B75,'DIVISION 15'!$A$7:$H$7,0),""),IFNA(MATCH($B75,'DIVISION 15'!$A$8:$H$8,0),""),IFNA(MATCH($B75,'DIVISION 15'!$A$9:$H$9,0),""),IFNA(MATCH($B75,'DIVISION 15'!$A$10:$H$10,0),""),IFNA(MATCH($B75,'DIVISION 15'!$A$11:$H$11,0),""),IFNA(MATCH($B75,'DIVISION 15'!$A$12:$H$12,0),""),IFNA(MATCH($B75,'DIVISION 15'!$A$13:$H$13,0),""),IFNA(MATCH($B75,'DIVISION 15'!$A$14:$H$14,0),""),IFNA(MATCH($B75,'DIVISION 15'!$A$15:$H$15,0),""),IFNA(MATCH($B75,'DIVISION 15'!$A$16:$H$16,0),""),IFNA(MATCH($B75,'DIVISION 15'!$A$17:$H$17,0),""),IFNA(MATCH($B75,'DIVISION 15'!$A$18:$H$18,0),""))=6,'DIVISION 15'!$F$1,SUM(IFNA(MATCH($B75,'DIVISION 15'!$A$2:$H$2,0),""),IFNA(MATCH($B75,'DIVISION 15'!$A$3:$H$3,0),""),IFNA(MATCH($B75,'DIVISION 15'!$A$4:$H$4,0),""),IFNA(MATCH($B75,'DIVISION 15'!$A$5:$H$5,0),""),IFNA(MATCH($B75,'DIVISION 15'!$A$6:$H$6,0),""),IFNA(MATCH($B75,'DIVISION 15'!$A$7:$H$7,0),""),IFNA(MATCH($B75,'DIVISION 15'!$A$8:$H$8,0),""),IFNA(MATCH($B75,'DIVISION 15'!$A$9:$H$9,0),""),IFNA(MATCH($B75,'DIVISION 15'!$A$10:$H$10,0),""),IFNA(MATCH($B75,'DIVISION 15'!$A$11:$H$11,0),""),IFNA(MATCH($B75,'DIVISION 15'!$A$12:$H$12,0),""),IFNA(MATCH($B75,'DIVISION 15'!$A$13:$H$13,0),""),IFNA(MATCH($B75,'DIVISION 15'!$A$14:$H$14,0),""),IFNA(MATCH($B75,'DIVISION 15'!$A$15:$H$15,0),""),IFNA(MATCH($B75,'DIVISION 15'!$A$16:$H$16,0),""),IFNA(MATCH($B75,'DIVISION 15'!$A$17:$H$17,0),""),IFNA(MATCH($B75,'DIVISION 15'!$A$18:$H$18,0),""))=7,'DIVISION 15'!$G$1,SUM(IFNA(MATCH($B75,'DIVISION 15'!$A$2:$H$2,0),""),IFNA(MATCH($B75,'DIVISION 15'!$A$3:$H$3,0),""),IFNA(MATCH($B75,'DIVISION 15'!$A$4:$H$4,0),""),IFNA(MATCH($B75,'DIVISION 15'!$A$5:$H$5,0),""),IFNA(MATCH($B75,'DIVISION 15'!$A$6:$H$6,0),""),IFNA(MATCH($B75,'DIVISION 15'!$A$7:$H$7,0),""),IFNA(MATCH($B75,'DIVISION 15'!$A$8:$H$8,0),""),IFNA(MATCH($B75,'DIVISION 15'!$A$9:$H$9,0),""),IFNA(MATCH($B75,'DIVISION 15'!$A$10:$H$10,0),""),IFNA(MATCH($B75,'DIVISION 15'!$A$11:$H$11,0),""),IFNA(MATCH($B75,'DIVISION 15'!$A$12:$H$12,0),""),IFNA(MATCH($B75,'DIVISION 15'!$A$13:$H$13,0),""),IFNA(MATCH($B75,'DIVISION 15'!$A$14:$H$14,0),""),IFNA(MATCH($B75,'DIVISION 15'!$A$15:$H$15,0),""),IFNA(MATCH($B75,'DIVISION 15'!$A$16:$H$16,0),""),IFNA(MATCH($B75,'DIVISION 15'!$A$17:$H$17,0),""),IFNA(MATCH($B75,'DIVISION 15'!$A$18:$H$18,0),""))=8,'DIVISION 15'!$H$1)</f>
        <v>MARTO</v>
      </c>
      <c r="U75" s="8" t="str">
        <f t="shared" si="3"/>
        <v>MARTO11</v>
      </c>
      <c r="V75" s="9">
        <f>SUMIF(AsistenciaViewJetAdmin!$A$3:$A$101,A75,AsistenciaViewJetAdmin!$C$3:$C$101)/(COUNTIF(AsistenciaViewJetAdmin!$D$102:V$102,"&gt;0")+COUNTIF(ActividadesEspeciales!$D$102:V$102,"&gt;0"))*100</f>
        <v>57.44680851</v>
      </c>
    </row>
    <row r="76" ht="28.5" customHeight="1">
      <c r="A76" s="3">
        <v>195.0</v>
      </c>
      <c r="B76" s="4" t="s">
        <v>630</v>
      </c>
      <c r="C76" s="5">
        <v>943003.0</v>
      </c>
      <c r="D76" s="7" t="s">
        <v>391</v>
      </c>
      <c r="E76" s="5">
        <v>5.0416825E7</v>
      </c>
      <c r="F76" s="5" t="s">
        <v>631</v>
      </c>
      <c r="G76" s="7">
        <v>1.164479057E9</v>
      </c>
      <c r="H76" s="5" t="s">
        <v>632</v>
      </c>
      <c r="I76" s="5" t="s">
        <v>633</v>
      </c>
      <c r="J76" s="7">
        <v>1.153329397E9</v>
      </c>
      <c r="K76" s="5" t="s">
        <v>634</v>
      </c>
      <c r="L76" s="5" t="s">
        <v>635</v>
      </c>
      <c r="M76" s="7">
        <v>1.152575222E9</v>
      </c>
      <c r="N76" s="5" t="s">
        <v>40</v>
      </c>
      <c r="O76" s="5" t="s">
        <v>120</v>
      </c>
      <c r="P76" s="5" t="s">
        <v>636</v>
      </c>
      <c r="Q76" s="5" t="s">
        <v>74</v>
      </c>
      <c r="R76" s="5" t="s">
        <v>31</v>
      </c>
      <c r="S76" s="5" t="s">
        <v>32</v>
      </c>
      <c r="T76" s="8" t="str">
        <f>IFS(SUM(IFNA(MATCH($B76,'DIVISION 15'!$A$2:$H$2,0),""),IFNA(MATCH($B76,'DIVISION 15'!$A$3:$H$3,0),""),IFNA(MATCH($B76,'DIVISION 15'!$A$4:$H$4,0),""),IFNA(MATCH($B76,'DIVISION 15'!$A$5:$H$5,0),""),IFNA(MATCH($B76,'DIVISION 15'!$A$6:$H$6,0),""),IFNA(MATCH($B76,'DIVISION 15'!$A$7:$H$7,0),""),IFNA(MATCH($B76,'DIVISION 15'!$A$8:$H$8,0),""),IFNA(MATCH($B76,'DIVISION 15'!$A$9:$H$9,0),""),IFNA(MATCH($B76,'DIVISION 15'!$A$10:$H$10,0),""),IFNA(MATCH($B76,'DIVISION 15'!$A$11:$H$11,0),""),IFNA(MATCH($B76,'DIVISION 15'!$A$12:$H$12,0),""),IFNA(MATCH($B76,'DIVISION 15'!$A$13:$H$13,0),""),IFNA(MATCH($B76,'DIVISION 15'!$A$14:$H$14,0),""),IFNA(MATCH($B76,'DIVISION 15'!$A$15:$H$15,0),""),IFNA(MATCH($B76,'DIVISION 15'!$A$16:$H$16,0),""),IFNA(MATCH($B76,'DIVISION 15'!$A$17:$H$17,0),""),IFNA(MATCH($B76,'DIVISION 15'!$A$18:$H$18,0),""))=1,'DIVISION 15'!$A$1,SUM(IFNA(MATCH($B76,'DIVISION 15'!$A$2:$H$2,0),""),IFNA(MATCH($B76,'DIVISION 15'!$A$3:$H$3,0),""),IFNA(MATCH($B76,'DIVISION 15'!$A$4:$H$4,0),""),IFNA(MATCH($B76,'DIVISION 15'!$A$5:$H$5,0),""),IFNA(MATCH($B76,'DIVISION 15'!$A$6:$H$6,0),""),IFNA(MATCH($B76,'DIVISION 15'!$A$7:$H$7,0),""),IFNA(MATCH($B76,'DIVISION 15'!$A$8:$H$8,0),""),IFNA(MATCH($B76,'DIVISION 15'!$A$9:$H$9,0),""),IFNA(MATCH($B76,'DIVISION 15'!$A$10:$H$10,0),""),IFNA(MATCH($B76,'DIVISION 15'!$A$11:$H$11,0),""),IFNA(MATCH($B76,'DIVISION 15'!$A$12:$H$12,0),""),IFNA(MATCH($B76,'DIVISION 15'!$A$13:$H$13,0),""),IFNA(MATCH($B76,'DIVISION 15'!$A$14:$H$14,0),""),IFNA(MATCH($B76,'DIVISION 15'!$A$15:$H$15,0),""),IFNA(MATCH($B76,'DIVISION 15'!$A$16:$H$16,0),""),IFNA(MATCH($B76,'DIVISION 15'!$A$17:$H$17,0),""),IFNA(MATCH($B76,'DIVISION 15'!$A$18:$H$18,0),""))=2,'DIVISION 15'!$B$1,SUM(IFNA(MATCH($B76,'DIVISION 15'!$A$2:$H$2,0),""),IFNA(MATCH($B76,'DIVISION 15'!$A$3:$H$3,0),""),IFNA(MATCH($B76,'DIVISION 15'!$A$4:$H$4,0),""),IFNA(MATCH($B76,'DIVISION 15'!$A$5:$H$5,0),""),IFNA(MATCH($B76,'DIVISION 15'!$A$6:$H$6,0),""),IFNA(MATCH($B76,'DIVISION 15'!$A$7:$H$7,0),""),IFNA(MATCH($B76,'DIVISION 15'!$A$8:$H$8,0),""),IFNA(MATCH($B76,'DIVISION 15'!$A$9:$H$9,0),""),IFNA(MATCH($B76,'DIVISION 15'!$A$10:$H$10,0),""),IFNA(MATCH($B76,'DIVISION 15'!$A$11:$H$11,0),""),IFNA(MATCH($B76,'DIVISION 15'!$A$12:$H$12,0),""),IFNA(MATCH($B76,'DIVISION 15'!$A$13:$H$13,0),""),IFNA(MATCH($B76,'DIVISION 15'!$A$14:$H$14,0),""),IFNA(MATCH($B76,'DIVISION 15'!$A$15:$H$15,0),""),IFNA(MATCH($B76,'DIVISION 15'!$A$16:$H$16,0),""),IFNA(MATCH($B76,'DIVISION 15'!$A$17:$H$17,0),""),IFNA(MATCH($B76,'DIVISION 15'!$A$18:$H$18,0),""))=3,'DIVISION 15'!$C$1,SUM(IFNA(MATCH($B76,'DIVISION 15'!$A$2:$H$2,0),""),IFNA(MATCH($B76,'DIVISION 15'!$A$3:$H$3,0),""),IFNA(MATCH($B76,'DIVISION 15'!$A$4:$H$4,0),""),IFNA(MATCH($B76,'DIVISION 15'!$A$5:$H$5,0),""),IFNA(MATCH($B76,'DIVISION 15'!$A$6:$H$6,0),""),IFNA(MATCH($B76,'DIVISION 15'!$A$7:$H$7,0),""),IFNA(MATCH($B76,'DIVISION 15'!$A$8:$H$8,0),""),IFNA(MATCH($B76,'DIVISION 15'!$A$9:$H$9,0),""),IFNA(MATCH($B76,'DIVISION 15'!$A$10:$H$10,0),""),IFNA(MATCH($B76,'DIVISION 15'!$A$11:$H$11,0),""),IFNA(MATCH($B76,'DIVISION 15'!$A$12:$H$12,0),""),IFNA(MATCH($B76,'DIVISION 15'!$A$13:$H$13,0),""),IFNA(MATCH($B76,'DIVISION 15'!$A$14:$H$14,0),""),IFNA(MATCH($B76,'DIVISION 15'!$A$15:$H$15,0),""),IFNA(MATCH($B76,'DIVISION 15'!$A$16:$H$16,0),""),IFNA(MATCH($B76,'DIVISION 15'!$A$17:$H$17,0),""),IFNA(MATCH($B76,'DIVISION 15'!$A$18:$H$18,0),""))=4,'DIVISION 15'!$D$1,SUM(IFNA(MATCH($B76,'DIVISION 15'!$A$2:$H$2,0),""),IFNA(MATCH($B76,'DIVISION 15'!$A$3:$H$3,0),""),IFNA(MATCH($B76,'DIVISION 15'!$A$4:$H$4,0),""),IFNA(MATCH($B76,'DIVISION 15'!$A$5:$H$5,0),""),IFNA(MATCH($B76,'DIVISION 15'!$A$6:$H$6,0),""),IFNA(MATCH($B76,'DIVISION 15'!$A$7:$H$7,0),""),IFNA(MATCH($B76,'DIVISION 15'!$A$8:$H$8,0),""),IFNA(MATCH($B76,'DIVISION 15'!$A$9:$H$9,0),""),IFNA(MATCH($B76,'DIVISION 15'!$A$10:$H$10,0),""),IFNA(MATCH($B76,'DIVISION 15'!$A$11:$H$11,0),""),IFNA(MATCH($B76,'DIVISION 15'!$A$12:$H$12,0),""),IFNA(MATCH($B76,'DIVISION 15'!$A$13:$H$13,0),""),IFNA(MATCH($B76,'DIVISION 15'!$A$14:$H$14,0),""),IFNA(MATCH($B76,'DIVISION 15'!$A$15:$H$15,0),""),IFNA(MATCH($B76,'DIVISION 15'!$A$16:$H$16,0),""),IFNA(MATCH($B76,'DIVISION 15'!$A$17:$H$17,0),""),IFNA(MATCH($B76,'DIVISION 15'!$A$18:$H$18,0),""))=5,'DIVISION 15'!$E$1,SUM(IFNA(MATCH($B76,'DIVISION 15'!$A$2:$H$2,0),""),IFNA(MATCH($B76,'DIVISION 15'!$A$3:$H$3,0),""),IFNA(MATCH($B76,'DIVISION 15'!$A$4:$H$4,0),""),IFNA(MATCH($B76,'DIVISION 15'!$A$5:$H$5,0),""),IFNA(MATCH($B76,'DIVISION 15'!$A$6:$H$6,0),""),IFNA(MATCH($B76,'DIVISION 15'!$A$7:$H$7,0),""),IFNA(MATCH($B76,'DIVISION 15'!$A$8:$H$8,0),""),IFNA(MATCH($B76,'DIVISION 15'!$A$9:$H$9,0),""),IFNA(MATCH($B76,'DIVISION 15'!$A$10:$H$10,0),""),IFNA(MATCH($B76,'DIVISION 15'!$A$11:$H$11,0),""),IFNA(MATCH($B76,'DIVISION 15'!$A$12:$H$12,0),""),IFNA(MATCH($B76,'DIVISION 15'!$A$13:$H$13,0),""),IFNA(MATCH($B76,'DIVISION 15'!$A$14:$H$14,0),""),IFNA(MATCH($B76,'DIVISION 15'!$A$15:$H$15,0),""),IFNA(MATCH($B76,'DIVISION 15'!$A$16:$H$16,0),""),IFNA(MATCH($B76,'DIVISION 15'!$A$17:$H$17,0),""),IFNA(MATCH($B76,'DIVISION 15'!$A$18:$H$18,0),""))=6,'DIVISION 15'!$F$1,SUM(IFNA(MATCH($B76,'DIVISION 15'!$A$2:$H$2,0),""),IFNA(MATCH($B76,'DIVISION 15'!$A$3:$H$3,0),""),IFNA(MATCH($B76,'DIVISION 15'!$A$4:$H$4,0),""),IFNA(MATCH($B76,'DIVISION 15'!$A$5:$H$5,0),""),IFNA(MATCH($B76,'DIVISION 15'!$A$6:$H$6,0),""),IFNA(MATCH($B76,'DIVISION 15'!$A$7:$H$7,0),""),IFNA(MATCH($B76,'DIVISION 15'!$A$8:$H$8,0),""),IFNA(MATCH($B76,'DIVISION 15'!$A$9:$H$9,0),""),IFNA(MATCH($B76,'DIVISION 15'!$A$10:$H$10,0),""),IFNA(MATCH($B76,'DIVISION 15'!$A$11:$H$11,0),""),IFNA(MATCH($B76,'DIVISION 15'!$A$12:$H$12,0),""),IFNA(MATCH($B76,'DIVISION 15'!$A$13:$H$13,0),""),IFNA(MATCH($B76,'DIVISION 15'!$A$14:$H$14,0),""),IFNA(MATCH($B76,'DIVISION 15'!$A$15:$H$15,0),""),IFNA(MATCH($B76,'DIVISION 15'!$A$16:$H$16,0),""),IFNA(MATCH($B76,'DIVISION 15'!$A$17:$H$17,0),""),IFNA(MATCH($B76,'DIVISION 15'!$A$18:$H$18,0),""))=7,'DIVISION 15'!$G$1,SUM(IFNA(MATCH($B76,'DIVISION 15'!$A$2:$H$2,0),""),IFNA(MATCH($B76,'DIVISION 15'!$A$3:$H$3,0),""),IFNA(MATCH($B76,'DIVISION 15'!$A$4:$H$4,0),""),IFNA(MATCH($B76,'DIVISION 15'!$A$5:$H$5,0),""),IFNA(MATCH($B76,'DIVISION 15'!$A$6:$H$6,0),""),IFNA(MATCH($B76,'DIVISION 15'!$A$7:$H$7,0),""),IFNA(MATCH($B76,'DIVISION 15'!$A$8:$H$8,0),""),IFNA(MATCH($B76,'DIVISION 15'!$A$9:$H$9,0),""),IFNA(MATCH($B76,'DIVISION 15'!$A$10:$H$10,0),""),IFNA(MATCH($B76,'DIVISION 15'!$A$11:$H$11,0),""),IFNA(MATCH($B76,'DIVISION 15'!$A$12:$H$12,0),""),IFNA(MATCH($B76,'DIVISION 15'!$A$13:$H$13,0),""),IFNA(MATCH($B76,'DIVISION 15'!$A$14:$H$14,0),""),IFNA(MATCH($B76,'DIVISION 15'!$A$15:$H$15,0),""),IFNA(MATCH($B76,'DIVISION 15'!$A$16:$H$16,0),""),IFNA(MATCH($B76,'DIVISION 15'!$A$17:$H$17,0),""),IFNA(MATCH($B76,'DIVISION 15'!$A$18:$H$18,0),""))=8,'DIVISION 15'!$H$1)</f>
        <v>GASTI</v>
      </c>
      <c r="U76" s="8" t="str">
        <f t="shared" si="3"/>
        <v>GASTI9</v>
      </c>
      <c r="V76" s="9">
        <f>SUMIF(AsistenciaViewJetAdmin!$A$3:$A$101,A76,AsistenciaViewJetAdmin!$C$3:$C$101)/(COUNTIF(AsistenciaViewJetAdmin!$D$102:V$102,"&gt;0")+COUNTIF(ActividadesEspeciales!$D$102:V$102,"&gt;0"))*100</f>
        <v>75</v>
      </c>
    </row>
    <row r="77" ht="28.5" customHeight="1">
      <c r="A77" s="3">
        <v>120.0</v>
      </c>
      <c r="B77" s="4" t="s">
        <v>637</v>
      </c>
      <c r="C77" s="5">
        <v>1093303.0</v>
      </c>
      <c r="D77" s="6">
        <v>40331.0</v>
      </c>
      <c r="E77" s="5">
        <v>5.00305E7</v>
      </c>
      <c r="F77" s="5" t="s">
        <v>638</v>
      </c>
      <c r="G77" s="7">
        <v>1.165919404E9</v>
      </c>
      <c r="H77" s="5" t="s">
        <v>639</v>
      </c>
      <c r="I77" s="5" t="s">
        <v>640</v>
      </c>
      <c r="J77" s="7">
        <v>1.153776032E9</v>
      </c>
      <c r="K77" s="5" t="s">
        <v>641</v>
      </c>
      <c r="L77" s="5" t="s">
        <v>642</v>
      </c>
      <c r="M77" s="7">
        <v>1.564700039E9</v>
      </c>
      <c r="N77" s="5" t="s">
        <v>61</v>
      </c>
      <c r="O77" s="5" t="s">
        <v>161</v>
      </c>
      <c r="P77" s="5" t="s">
        <v>120</v>
      </c>
      <c r="Q77" s="5" t="s">
        <v>30</v>
      </c>
      <c r="R77" s="5" t="s">
        <v>31</v>
      </c>
      <c r="S77" s="5" t="s">
        <v>43</v>
      </c>
      <c r="T77" s="8" t="str">
        <f>IFS(SUM(IFNA(MATCH($B77,'DIVISION 15'!$A$2:$H$2,0),""),IFNA(MATCH($B77,'DIVISION 15'!$A$3:$H$3,0),""),IFNA(MATCH($B77,'DIVISION 15'!$A$4:$H$4,0),""),IFNA(MATCH($B77,'DIVISION 15'!$A$5:$H$5,0),""),IFNA(MATCH($B77,'DIVISION 15'!$A$6:$H$6,0),""),IFNA(MATCH($B77,'DIVISION 15'!$A$7:$H$7,0),""),IFNA(MATCH($B77,'DIVISION 15'!$A$8:$H$8,0),""),IFNA(MATCH($B77,'DIVISION 15'!$A$9:$H$9,0),""),IFNA(MATCH($B77,'DIVISION 15'!$A$10:$H$10,0),""),IFNA(MATCH($B77,'DIVISION 15'!$A$11:$H$11,0),""),IFNA(MATCH($B77,'DIVISION 15'!$A$12:$H$12,0),""),IFNA(MATCH($B77,'DIVISION 15'!$A$13:$H$13,0),""),IFNA(MATCH($B77,'DIVISION 15'!$A$14:$H$14,0),""),IFNA(MATCH($B77,'DIVISION 15'!$A$15:$H$15,0),""),IFNA(MATCH($B77,'DIVISION 15'!$A$16:$H$16,0),""),IFNA(MATCH($B77,'DIVISION 15'!$A$17:$H$17,0),""),IFNA(MATCH($B77,'DIVISION 15'!$A$18:$H$18,0),""))=1,'DIVISION 15'!$A$1,SUM(IFNA(MATCH($B77,'DIVISION 15'!$A$2:$H$2,0),""),IFNA(MATCH($B77,'DIVISION 15'!$A$3:$H$3,0),""),IFNA(MATCH($B77,'DIVISION 15'!$A$4:$H$4,0),""),IFNA(MATCH($B77,'DIVISION 15'!$A$5:$H$5,0),""),IFNA(MATCH($B77,'DIVISION 15'!$A$6:$H$6,0),""),IFNA(MATCH($B77,'DIVISION 15'!$A$7:$H$7,0),""),IFNA(MATCH($B77,'DIVISION 15'!$A$8:$H$8,0),""),IFNA(MATCH($B77,'DIVISION 15'!$A$9:$H$9,0),""),IFNA(MATCH($B77,'DIVISION 15'!$A$10:$H$10,0),""),IFNA(MATCH($B77,'DIVISION 15'!$A$11:$H$11,0),""),IFNA(MATCH($B77,'DIVISION 15'!$A$12:$H$12,0),""),IFNA(MATCH($B77,'DIVISION 15'!$A$13:$H$13,0),""),IFNA(MATCH($B77,'DIVISION 15'!$A$14:$H$14,0),""),IFNA(MATCH($B77,'DIVISION 15'!$A$15:$H$15,0),""),IFNA(MATCH($B77,'DIVISION 15'!$A$16:$H$16,0),""),IFNA(MATCH($B77,'DIVISION 15'!$A$17:$H$17,0),""),IFNA(MATCH($B77,'DIVISION 15'!$A$18:$H$18,0),""))=2,'DIVISION 15'!$B$1,SUM(IFNA(MATCH($B77,'DIVISION 15'!$A$2:$H$2,0),""),IFNA(MATCH($B77,'DIVISION 15'!$A$3:$H$3,0),""),IFNA(MATCH($B77,'DIVISION 15'!$A$4:$H$4,0),""),IFNA(MATCH($B77,'DIVISION 15'!$A$5:$H$5,0),""),IFNA(MATCH($B77,'DIVISION 15'!$A$6:$H$6,0),""),IFNA(MATCH($B77,'DIVISION 15'!$A$7:$H$7,0),""),IFNA(MATCH($B77,'DIVISION 15'!$A$8:$H$8,0),""),IFNA(MATCH($B77,'DIVISION 15'!$A$9:$H$9,0),""),IFNA(MATCH($B77,'DIVISION 15'!$A$10:$H$10,0),""),IFNA(MATCH($B77,'DIVISION 15'!$A$11:$H$11,0),""),IFNA(MATCH($B77,'DIVISION 15'!$A$12:$H$12,0),""),IFNA(MATCH($B77,'DIVISION 15'!$A$13:$H$13,0),""),IFNA(MATCH($B77,'DIVISION 15'!$A$14:$H$14,0),""),IFNA(MATCH($B77,'DIVISION 15'!$A$15:$H$15,0),""),IFNA(MATCH($B77,'DIVISION 15'!$A$16:$H$16,0),""),IFNA(MATCH($B77,'DIVISION 15'!$A$17:$H$17,0),""),IFNA(MATCH($B77,'DIVISION 15'!$A$18:$H$18,0),""))=3,'DIVISION 15'!$C$1,SUM(IFNA(MATCH($B77,'DIVISION 15'!$A$2:$H$2,0),""),IFNA(MATCH($B77,'DIVISION 15'!$A$3:$H$3,0),""),IFNA(MATCH($B77,'DIVISION 15'!$A$4:$H$4,0),""),IFNA(MATCH($B77,'DIVISION 15'!$A$5:$H$5,0),""),IFNA(MATCH($B77,'DIVISION 15'!$A$6:$H$6,0),""),IFNA(MATCH($B77,'DIVISION 15'!$A$7:$H$7,0),""),IFNA(MATCH($B77,'DIVISION 15'!$A$8:$H$8,0),""),IFNA(MATCH($B77,'DIVISION 15'!$A$9:$H$9,0),""),IFNA(MATCH($B77,'DIVISION 15'!$A$10:$H$10,0),""),IFNA(MATCH($B77,'DIVISION 15'!$A$11:$H$11,0),""),IFNA(MATCH($B77,'DIVISION 15'!$A$12:$H$12,0),""),IFNA(MATCH($B77,'DIVISION 15'!$A$13:$H$13,0),""),IFNA(MATCH($B77,'DIVISION 15'!$A$14:$H$14,0),""),IFNA(MATCH($B77,'DIVISION 15'!$A$15:$H$15,0),""),IFNA(MATCH($B77,'DIVISION 15'!$A$16:$H$16,0),""),IFNA(MATCH($B77,'DIVISION 15'!$A$17:$H$17,0),""),IFNA(MATCH($B77,'DIVISION 15'!$A$18:$H$18,0),""))=4,'DIVISION 15'!$D$1,SUM(IFNA(MATCH($B77,'DIVISION 15'!$A$2:$H$2,0),""),IFNA(MATCH($B77,'DIVISION 15'!$A$3:$H$3,0),""),IFNA(MATCH($B77,'DIVISION 15'!$A$4:$H$4,0),""),IFNA(MATCH($B77,'DIVISION 15'!$A$5:$H$5,0),""),IFNA(MATCH($B77,'DIVISION 15'!$A$6:$H$6,0),""),IFNA(MATCH($B77,'DIVISION 15'!$A$7:$H$7,0),""),IFNA(MATCH($B77,'DIVISION 15'!$A$8:$H$8,0),""),IFNA(MATCH($B77,'DIVISION 15'!$A$9:$H$9,0),""),IFNA(MATCH($B77,'DIVISION 15'!$A$10:$H$10,0),""),IFNA(MATCH($B77,'DIVISION 15'!$A$11:$H$11,0),""),IFNA(MATCH($B77,'DIVISION 15'!$A$12:$H$12,0),""),IFNA(MATCH($B77,'DIVISION 15'!$A$13:$H$13,0),""),IFNA(MATCH($B77,'DIVISION 15'!$A$14:$H$14,0),""),IFNA(MATCH($B77,'DIVISION 15'!$A$15:$H$15,0),""),IFNA(MATCH($B77,'DIVISION 15'!$A$16:$H$16,0),""),IFNA(MATCH($B77,'DIVISION 15'!$A$17:$H$17,0),""),IFNA(MATCH($B77,'DIVISION 15'!$A$18:$H$18,0),""))=5,'DIVISION 15'!$E$1,SUM(IFNA(MATCH($B77,'DIVISION 15'!$A$2:$H$2,0),""),IFNA(MATCH($B77,'DIVISION 15'!$A$3:$H$3,0),""),IFNA(MATCH($B77,'DIVISION 15'!$A$4:$H$4,0),""),IFNA(MATCH($B77,'DIVISION 15'!$A$5:$H$5,0),""),IFNA(MATCH($B77,'DIVISION 15'!$A$6:$H$6,0),""),IFNA(MATCH($B77,'DIVISION 15'!$A$7:$H$7,0),""),IFNA(MATCH($B77,'DIVISION 15'!$A$8:$H$8,0),""),IFNA(MATCH($B77,'DIVISION 15'!$A$9:$H$9,0),""),IFNA(MATCH($B77,'DIVISION 15'!$A$10:$H$10,0),""),IFNA(MATCH($B77,'DIVISION 15'!$A$11:$H$11,0),""),IFNA(MATCH($B77,'DIVISION 15'!$A$12:$H$12,0),""),IFNA(MATCH($B77,'DIVISION 15'!$A$13:$H$13,0),""),IFNA(MATCH($B77,'DIVISION 15'!$A$14:$H$14,0),""),IFNA(MATCH($B77,'DIVISION 15'!$A$15:$H$15,0),""),IFNA(MATCH($B77,'DIVISION 15'!$A$16:$H$16,0),""),IFNA(MATCH($B77,'DIVISION 15'!$A$17:$H$17,0),""),IFNA(MATCH($B77,'DIVISION 15'!$A$18:$H$18,0),""))=6,'DIVISION 15'!$F$1,SUM(IFNA(MATCH($B77,'DIVISION 15'!$A$2:$H$2,0),""),IFNA(MATCH($B77,'DIVISION 15'!$A$3:$H$3,0),""),IFNA(MATCH($B77,'DIVISION 15'!$A$4:$H$4,0),""),IFNA(MATCH($B77,'DIVISION 15'!$A$5:$H$5,0),""),IFNA(MATCH($B77,'DIVISION 15'!$A$6:$H$6,0),""),IFNA(MATCH($B77,'DIVISION 15'!$A$7:$H$7,0),""),IFNA(MATCH($B77,'DIVISION 15'!$A$8:$H$8,0),""),IFNA(MATCH($B77,'DIVISION 15'!$A$9:$H$9,0),""),IFNA(MATCH($B77,'DIVISION 15'!$A$10:$H$10,0),""),IFNA(MATCH($B77,'DIVISION 15'!$A$11:$H$11,0),""),IFNA(MATCH($B77,'DIVISION 15'!$A$12:$H$12,0),""),IFNA(MATCH($B77,'DIVISION 15'!$A$13:$H$13,0),""),IFNA(MATCH($B77,'DIVISION 15'!$A$14:$H$14,0),""),IFNA(MATCH($B77,'DIVISION 15'!$A$15:$H$15,0),""),IFNA(MATCH($B77,'DIVISION 15'!$A$16:$H$16,0),""),IFNA(MATCH($B77,'DIVISION 15'!$A$17:$H$17,0),""),IFNA(MATCH($B77,'DIVISION 15'!$A$18:$H$18,0),""))=7,'DIVISION 15'!$G$1,SUM(IFNA(MATCH($B77,'DIVISION 15'!$A$2:$H$2,0),""),IFNA(MATCH($B77,'DIVISION 15'!$A$3:$H$3,0),""),IFNA(MATCH($B77,'DIVISION 15'!$A$4:$H$4,0),""),IFNA(MATCH($B77,'DIVISION 15'!$A$5:$H$5,0),""),IFNA(MATCH($B77,'DIVISION 15'!$A$6:$H$6,0),""),IFNA(MATCH($B77,'DIVISION 15'!$A$7:$H$7,0),""),IFNA(MATCH($B77,'DIVISION 15'!$A$8:$H$8,0),""),IFNA(MATCH($B77,'DIVISION 15'!$A$9:$H$9,0),""),IFNA(MATCH($B77,'DIVISION 15'!$A$10:$H$10,0),""),IFNA(MATCH($B77,'DIVISION 15'!$A$11:$H$11,0),""),IFNA(MATCH($B77,'DIVISION 15'!$A$12:$H$12,0),""),IFNA(MATCH($B77,'DIVISION 15'!$A$13:$H$13,0),""),IFNA(MATCH($B77,'DIVISION 15'!$A$14:$H$14,0),""),IFNA(MATCH($B77,'DIVISION 15'!$A$15:$H$15,0),""),IFNA(MATCH($B77,'DIVISION 15'!$A$16:$H$16,0),""),IFNA(MATCH($B77,'DIVISION 15'!$A$17:$H$17,0),""),IFNA(MATCH($B77,'DIVISION 15'!$A$18:$H$18,0),""))=8,'DIVISION 15'!$H$1)</f>
        <v>GONZI</v>
      </c>
      <c r="U77" s="8" t="str">
        <f t="shared" si="3"/>
        <v>GONZI8</v>
      </c>
      <c r="V77" s="9">
        <f>SUMIF(AsistenciaViewJetAdmin!$A$3:$A$101,A77,AsistenciaViewJetAdmin!$C$3:$C$101)/(COUNTIF(AsistenciaViewJetAdmin!$D$102:V$102,"&gt;0")+COUNTIF(ActividadesEspeciales!$D$102:V$102,"&gt;0"))*100</f>
        <v>42.0212766</v>
      </c>
    </row>
    <row r="78" ht="28.5" customHeight="1">
      <c r="A78" s="12">
        <v>135.0</v>
      </c>
      <c r="B78" s="13" t="s">
        <v>643</v>
      </c>
      <c r="C78" s="14">
        <v>1054503.0</v>
      </c>
      <c r="D78" s="10" t="s">
        <v>644</v>
      </c>
      <c r="E78" s="14">
        <v>5.0049545E7</v>
      </c>
      <c r="F78" s="14" t="s">
        <v>645</v>
      </c>
      <c r="G78" s="10">
        <v>1.159928201E9</v>
      </c>
      <c r="H78" s="14" t="s">
        <v>646</v>
      </c>
      <c r="I78" s="14" t="s">
        <v>647</v>
      </c>
      <c r="J78" s="10">
        <v>1.149278486E9</v>
      </c>
      <c r="K78" s="14" t="s">
        <v>648</v>
      </c>
      <c r="L78" s="14" t="s">
        <v>649</v>
      </c>
      <c r="M78" s="10">
        <v>1.149278492E9</v>
      </c>
      <c r="N78" s="14" t="s">
        <v>264</v>
      </c>
      <c r="O78" s="14" t="s">
        <v>650</v>
      </c>
      <c r="P78" s="14" t="s">
        <v>651</v>
      </c>
      <c r="Q78" s="14" t="s">
        <v>74</v>
      </c>
      <c r="R78" s="14" t="s">
        <v>31</v>
      </c>
      <c r="S78" s="14" t="s">
        <v>32</v>
      </c>
      <c r="T78" s="8" t="str">
        <f>IFS(SUM(IFNA(MATCH($B78,'DIVISION 15'!$A$2:$H$2,0),""),IFNA(MATCH($B78,'DIVISION 15'!$A$3:$H$3,0),""),IFNA(MATCH($B78,'DIVISION 15'!$A$4:$H$4,0),""),IFNA(MATCH($B78,'DIVISION 15'!$A$5:$H$5,0),""),IFNA(MATCH($B78,'DIVISION 15'!$A$6:$H$6,0),""),IFNA(MATCH($B78,'DIVISION 15'!$A$7:$H$7,0),""),IFNA(MATCH($B78,'DIVISION 15'!$A$8:$H$8,0),""),IFNA(MATCH($B78,'DIVISION 15'!$A$9:$H$9,0),""),IFNA(MATCH($B78,'DIVISION 15'!$A$10:$H$10,0),""),IFNA(MATCH($B78,'DIVISION 15'!$A$11:$H$11,0),""),IFNA(MATCH($B78,'DIVISION 15'!$A$12:$H$12,0),""),IFNA(MATCH($B78,'DIVISION 15'!$A$13:$H$13,0),""),IFNA(MATCH($B78,'DIVISION 15'!$A$14:$H$14,0),""),IFNA(MATCH($B78,'DIVISION 15'!$A$15:$H$15,0),""),IFNA(MATCH($B78,'DIVISION 15'!$A$16:$H$16,0),""),IFNA(MATCH($B78,'DIVISION 15'!$A$17:$H$17,0),""),IFNA(MATCH($B78,'DIVISION 15'!$A$18:$H$18,0),""))=1,'DIVISION 15'!$A$1,SUM(IFNA(MATCH($B78,'DIVISION 15'!$A$2:$H$2,0),""),IFNA(MATCH($B78,'DIVISION 15'!$A$3:$H$3,0),""),IFNA(MATCH($B78,'DIVISION 15'!$A$4:$H$4,0),""),IFNA(MATCH($B78,'DIVISION 15'!$A$5:$H$5,0),""),IFNA(MATCH($B78,'DIVISION 15'!$A$6:$H$6,0),""),IFNA(MATCH($B78,'DIVISION 15'!$A$7:$H$7,0),""),IFNA(MATCH($B78,'DIVISION 15'!$A$8:$H$8,0),""),IFNA(MATCH($B78,'DIVISION 15'!$A$9:$H$9,0),""),IFNA(MATCH($B78,'DIVISION 15'!$A$10:$H$10,0),""),IFNA(MATCH($B78,'DIVISION 15'!$A$11:$H$11,0),""),IFNA(MATCH($B78,'DIVISION 15'!$A$12:$H$12,0),""),IFNA(MATCH($B78,'DIVISION 15'!$A$13:$H$13,0),""),IFNA(MATCH($B78,'DIVISION 15'!$A$14:$H$14,0),""),IFNA(MATCH($B78,'DIVISION 15'!$A$15:$H$15,0),""),IFNA(MATCH($B78,'DIVISION 15'!$A$16:$H$16,0),""),IFNA(MATCH($B78,'DIVISION 15'!$A$17:$H$17,0),""),IFNA(MATCH($B78,'DIVISION 15'!$A$18:$H$18,0),""))=2,'DIVISION 15'!$B$1,SUM(IFNA(MATCH($B78,'DIVISION 15'!$A$2:$H$2,0),""),IFNA(MATCH($B78,'DIVISION 15'!$A$3:$H$3,0),""),IFNA(MATCH($B78,'DIVISION 15'!$A$4:$H$4,0),""),IFNA(MATCH($B78,'DIVISION 15'!$A$5:$H$5,0),""),IFNA(MATCH($B78,'DIVISION 15'!$A$6:$H$6,0),""),IFNA(MATCH($B78,'DIVISION 15'!$A$7:$H$7,0),""),IFNA(MATCH($B78,'DIVISION 15'!$A$8:$H$8,0),""),IFNA(MATCH($B78,'DIVISION 15'!$A$9:$H$9,0),""),IFNA(MATCH($B78,'DIVISION 15'!$A$10:$H$10,0),""),IFNA(MATCH($B78,'DIVISION 15'!$A$11:$H$11,0),""),IFNA(MATCH($B78,'DIVISION 15'!$A$12:$H$12,0),""),IFNA(MATCH($B78,'DIVISION 15'!$A$13:$H$13,0),""),IFNA(MATCH($B78,'DIVISION 15'!$A$14:$H$14,0),""),IFNA(MATCH($B78,'DIVISION 15'!$A$15:$H$15,0),""),IFNA(MATCH($B78,'DIVISION 15'!$A$16:$H$16,0),""),IFNA(MATCH($B78,'DIVISION 15'!$A$17:$H$17,0),""),IFNA(MATCH($B78,'DIVISION 15'!$A$18:$H$18,0),""))=3,'DIVISION 15'!$C$1,SUM(IFNA(MATCH($B78,'DIVISION 15'!$A$2:$H$2,0),""),IFNA(MATCH($B78,'DIVISION 15'!$A$3:$H$3,0),""),IFNA(MATCH($B78,'DIVISION 15'!$A$4:$H$4,0),""),IFNA(MATCH($B78,'DIVISION 15'!$A$5:$H$5,0),""),IFNA(MATCH($B78,'DIVISION 15'!$A$6:$H$6,0),""),IFNA(MATCH($B78,'DIVISION 15'!$A$7:$H$7,0),""),IFNA(MATCH($B78,'DIVISION 15'!$A$8:$H$8,0),""),IFNA(MATCH($B78,'DIVISION 15'!$A$9:$H$9,0),""),IFNA(MATCH($B78,'DIVISION 15'!$A$10:$H$10,0),""),IFNA(MATCH($B78,'DIVISION 15'!$A$11:$H$11,0),""),IFNA(MATCH($B78,'DIVISION 15'!$A$12:$H$12,0),""),IFNA(MATCH($B78,'DIVISION 15'!$A$13:$H$13,0),""),IFNA(MATCH($B78,'DIVISION 15'!$A$14:$H$14,0),""),IFNA(MATCH($B78,'DIVISION 15'!$A$15:$H$15,0),""),IFNA(MATCH($B78,'DIVISION 15'!$A$16:$H$16,0),""),IFNA(MATCH($B78,'DIVISION 15'!$A$17:$H$17,0),""),IFNA(MATCH($B78,'DIVISION 15'!$A$18:$H$18,0),""))=4,'DIVISION 15'!$D$1,SUM(IFNA(MATCH($B78,'DIVISION 15'!$A$2:$H$2,0),""),IFNA(MATCH($B78,'DIVISION 15'!$A$3:$H$3,0),""),IFNA(MATCH($B78,'DIVISION 15'!$A$4:$H$4,0),""),IFNA(MATCH($B78,'DIVISION 15'!$A$5:$H$5,0),""),IFNA(MATCH($B78,'DIVISION 15'!$A$6:$H$6,0),""),IFNA(MATCH($B78,'DIVISION 15'!$A$7:$H$7,0),""),IFNA(MATCH($B78,'DIVISION 15'!$A$8:$H$8,0),""),IFNA(MATCH($B78,'DIVISION 15'!$A$9:$H$9,0),""),IFNA(MATCH($B78,'DIVISION 15'!$A$10:$H$10,0),""),IFNA(MATCH($B78,'DIVISION 15'!$A$11:$H$11,0),""),IFNA(MATCH($B78,'DIVISION 15'!$A$12:$H$12,0),""),IFNA(MATCH($B78,'DIVISION 15'!$A$13:$H$13,0),""),IFNA(MATCH($B78,'DIVISION 15'!$A$14:$H$14,0),""),IFNA(MATCH($B78,'DIVISION 15'!$A$15:$H$15,0),""),IFNA(MATCH($B78,'DIVISION 15'!$A$16:$H$16,0),""),IFNA(MATCH($B78,'DIVISION 15'!$A$17:$H$17,0),""),IFNA(MATCH($B78,'DIVISION 15'!$A$18:$H$18,0),""))=5,'DIVISION 15'!$E$1,SUM(IFNA(MATCH($B78,'DIVISION 15'!$A$2:$H$2,0),""),IFNA(MATCH($B78,'DIVISION 15'!$A$3:$H$3,0),""),IFNA(MATCH($B78,'DIVISION 15'!$A$4:$H$4,0),""),IFNA(MATCH($B78,'DIVISION 15'!$A$5:$H$5,0),""),IFNA(MATCH($B78,'DIVISION 15'!$A$6:$H$6,0),""),IFNA(MATCH($B78,'DIVISION 15'!$A$7:$H$7,0),""),IFNA(MATCH($B78,'DIVISION 15'!$A$8:$H$8,0),""),IFNA(MATCH($B78,'DIVISION 15'!$A$9:$H$9,0),""),IFNA(MATCH($B78,'DIVISION 15'!$A$10:$H$10,0),""),IFNA(MATCH($B78,'DIVISION 15'!$A$11:$H$11,0),""),IFNA(MATCH($B78,'DIVISION 15'!$A$12:$H$12,0),""),IFNA(MATCH($B78,'DIVISION 15'!$A$13:$H$13,0),""),IFNA(MATCH($B78,'DIVISION 15'!$A$14:$H$14,0),""),IFNA(MATCH($B78,'DIVISION 15'!$A$15:$H$15,0),""),IFNA(MATCH($B78,'DIVISION 15'!$A$16:$H$16,0),""),IFNA(MATCH($B78,'DIVISION 15'!$A$17:$H$17,0),""),IFNA(MATCH($B78,'DIVISION 15'!$A$18:$H$18,0),""))=6,'DIVISION 15'!$F$1,SUM(IFNA(MATCH($B78,'DIVISION 15'!$A$2:$H$2,0),""),IFNA(MATCH($B78,'DIVISION 15'!$A$3:$H$3,0),""),IFNA(MATCH($B78,'DIVISION 15'!$A$4:$H$4,0),""),IFNA(MATCH($B78,'DIVISION 15'!$A$5:$H$5,0),""),IFNA(MATCH($B78,'DIVISION 15'!$A$6:$H$6,0),""),IFNA(MATCH($B78,'DIVISION 15'!$A$7:$H$7,0),""),IFNA(MATCH($B78,'DIVISION 15'!$A$8:$H$8,0),""),IFNA(MATCH($B78,'DIVISION 15'!$A$9:$H$9,0),""),IFNA(MATCH($B78,'DIVISION 15'!$A$10:$H$10,0),""),IFNA(MATCH($B78,'DIVISION 15'!$A$11:$H$11,0),""),IFNA(MATCH($B78,'DIVISION 15'!$A$12:$H$12,0),""),IFNA(MATCH($B78,'DIVISION 15'!$A$13:$H$13,0),""),IFNA(MATCH($B78,'DIVISION 15'!$A$14:$H$14,0),""),IFNA(MATCH($B78,'DIVISION 15'!$A$15:$H$15,0),""),IFNA(MATCH($B78,'DIVISION 15'!$A$16:$H$16,0),""),IFNA(MATCH($B78,'DIVISION 15'!$A$17:$H$17,0),""),IFNA(MATCH($B78,'DIVISION 15'!$A$18:$H$18,0),""))=7,'DIVISION 15'!$G$1,SUM(IFNA(MATCH($B78,'DIVISION 15'!$A$2:$H$2,0),""),IFNA(MATCH($B78,'DIVISION 15'!$A$3:$H$3,0),""),IFNA(MATCH($B78,'DIVISION 15'!$A$4:$H$4,0),""),IFNA(MATCH($B78,'DIVISION 15'!$A$5:$H$5,0),""),IFNA(MATCH($B78,'DIVISION 15'!$A$6:$H$6,0),""),IFNA(MATCH($B78,'DIVISION 15'!$A$7:$H$7,0),""),IFNA(MATCH($B78,'DIVISION 15'!$A$8:$H$8,0),""),IFNA(MATCH($B78,'DIVISION 15'!$A$9:$H$9,0),""),IFNA(MATCH($B78,'DIVISION 15'!$A$10:$H$10,0),""),IFNA(MATCH($B78,'DIVISION 15'!$A$11:$H$11,0),""),IFNA(MATCH($B78,'DIVISION 15'!$A$12:$H$12,0),""),IFNA(MATCH($B78,'DIVISION 15'!$A$13:$H$13,0),""),IFNA(MATCH($B78,'DIVISION 15'!$A$14:$H$14,0),""),IFNA(MATCH($B78,'DIVISION 15'!$A$15:$H$15,0),""),IFNA(MATCH($B78,'DIVISION 15'!$A$16:$H$16,0),""),IFNA(MATCH($B78,'DIVISION 15'!$A$17:$H$17,0),""),IFNA(MATCH($B78,'DIVISION 15'!$A$18:$H$18,0),""))=8,'DIVISION 15'!$H$1)</f>
        <v>MELU</v>
      </c>
      <c r="U78" s="15" t="str">
        <f t="shared" si="3"/>
        <v>MELU13</v>
      </c>
      <c r="V78" s="9">
        <f>SUMIF(AsistenciaViewJetAdmin!$A$3:$A$101,A78,AsistenciaViewJetAdmin!$C$3:$C$101)/(COUNTIF(AsistenciaViewJetAdmin!$D$102:V$102,"&gt;0")+COUNTIF(ActividadesEspeciales!$D$102:V$102,"&gt;0"))*100</f>
        <v>61.70212766</v>
      </c>
    </row>
    <row r="79" ht="28.5" customHeight="1">
      <c r="A79" s="3">
        <v>184.0</v>
      </c>
      <c r="B79" s="4" t="s">
        <v>652</v>
      </c>
      <c r="C79" s="5">
        <v>1080904.0</v>
      </c>
      <c r="D79" s="7" t="s">
        <v>653</v>
      </c>
      <c r="E79" s="5">
        <v>5.0291974E7</v>
      </c>
      <c r="F79" s="5" t="s">
        <v>654</v>
      </c>
      <c r="G79" s="7">
        <v>1.167273381E9</v>
      </c>
      <c r="H79" s="5" t="s">
        <v>655</v>
      </c>
      <c r="I79" s="5" t="s">
        <v>656</v>
      </c>
      <c r="J79" s="7">
        <v>1.136929444E9</v>
      </c>
      <c r="K79" s="5" t="s">
        <v>657</v>
      </c>
      <c r="L79" s="5" t="s">
        <v>658</v>
      </c>
      <c r="M79" s="7">
        <v>1.136929445E9</v>
      </c>
      <c r="N79" s="5" t="s">
        <v>61</v>
      </c>
      <c r="O79" s="5" t="s">
        <v>120</v>
      </c>
      <c r="P79" s="5" t="s">
        <v>42</v>
      </c>
      <c r="Q79" s="5" t="s">
        <v>30</v>
      </c>
      <c r="R79" s="5" t="s">
        <v>31</v>
      </c>
      <c r="S79" s="5" t="s">
        <v>43</v>
      </c>
      <c r="T79" s="8" t="str">
        <f>IFS(SUM(IFNA(MATCH($B79,'DIVISION 15'!$A$2:$H$2,0),""),IFNA(MATCH($B79,'DIVISION 15'!$A$3:$H$3,0),""),IFNA(MATCH($B79,'DIVISION 15'!$A$4:$H$4,0),""),IFNA(MATCH($B79,'DIVISION 15'!$A$5:$H$5,0),""),IFNA(MATCH($B79,'DIVISION 15'!$A$6:$H$6,0),""),IFNA(MATCH($B79,'DIVISION 15'!$A$7:$H$7,0),""),IFNA(MATCH($B79,'DIVISION 15'!$A$8:$H$8,0),""),IFNA(MATCH($B79,'DIVISION 15'!$A$9:$H$9,0),""),IFNA(MATCH($B79,'DIVISION 15'!$A$10:$H$10,0),""),IFNA(MATCH($B79,'DIVISION 15'!$A$11:$H$11,0),""),IFNA(MATCH($B79,'DIVISION 15'!$A$12:$H$12,0),""),IFNA(MATCH($B79,'DIVISION 15'!$A$13:$H$13,0),""),IFNA(MATCH($B79,'DIVISION 15'!$A$14:$H$14,0),""),IFNA(MATCH($B79,'DIVISION 15'!$A$15:$H$15,0),""),IFNA(MATCH($B79,'DIVISION 15'!$A$16:$H$16,0),""),IFNA(MATCH($B79,'DIVISION 15'!$A$17:$H$17,0),""),IFNA(MATCH($B79,'DIVISION 15'!$A$18:$H$18,0),""))=1,'DIVISION 15'!$A$1,SUM(IFNA(MATCH($B79,'DIVISION 15'!$A$2:$H$2,0),""),IFNA(MATCH($B79,'DIVISION 15'!$A$3:$H$3,0),""),IFNA(MATCH($B79,'DIVISION 15'!$A$4:$H$4,0),""),IFNA(MATCH($B79,'DIVISION 15'!$A$5:$H$5,0),""),IFNA(MATCH($B79,'DIVISION 15'!$A$6:$H$6,0),""),IFNA(MATCH($B79,'DIVISION 15'!$A$7:$H$7,0),""),IFNA(MATCH($B79,'DIVISION 15'!$A$8:$H$8,0),""),IFNA(MATCH($B79,'DIVISION 15'!$A$9:$H$9,0),""),IFNA(MATCH($B79,'DIVISION 15'!$A$10:$H$10,0),""),IFNA(MATCH($B79,'DIVISION 15'!$A$11:$H$11,0),""),IFNA(MATCH($B79,'DIVISION 15'!$A$12:$H$12,0),""),IFNA(MATCH($B79,'DIVISION 15'!$A$13:$H$13,0),""),IFNA(MATCH($B79,'DIVISION 15'!$A$14:$H$14,0),""),IFNA(MATCH($B79,'DIVISION 15'!$A$15:$H$15,0),""),IFNA(MATCH($B79,'DIVISION 15'!$A$16:$H$16,0),""),IFNA(MATCH($B79,'DIVISION 15'!$A$17:$H$17,0),""),IFNA(MATCH($B79,'DIVISION 15'!$A$18:$H$18,0),""))=2,'DIVISION 15'!$B$1,SUM(IFNA(MATCH($B79,'DIVISION 15'!$A$2:$H$2,0),""),IFNA(MATCH($B79,'DIVISION 15'!$A$3:$H$3,0),""),IFNA(MATCH($B79,'DIVISION 15'!$A$4:$H$4,0),""),IFNA(MATCH($B79,'DIVISION 15'!$A$5:$H$5,0),""),IFNA(MATCH($B79,'DIVISION 15'!$A$6:$H$6,0),""),IFNA(MATCH($B79,'DIVISION 15'!$A$7:$H$7,0),""),IFNA(MATCH($B79,'DIVISION 15'!$A$8:$H$8,0),""),IFNA(MATCH($B79,'DIVISION 15'!$A$9:$H$9,0),""),IFNA(MATCH($B79,'DIVISION 15'!$A$10:$H$10,0),""),IFNA(MATCH($B79,'DIVISION 15'!$A$11:$H$11,0),""),IFNA(MATCH($B79,'DIVISION 15'!$A$12:$H$12,0),""),IFNA(MATCH($B79,'DIVISION 15'!$A$13:$H$13,0),""),IFNA(MATCH($B79,'DIVISION 15'!$A$14:$H$14,0),""),IFNA(MATCH($B79,'DIVISION 15'!$A$15:$H$15,0),""),IFNA(MATCH($B79,'DIVISION 15'!$A$16:$H$16,0),""),IFNA(MATCH($B79,'DIVISION 15'!$A$17:$H$17,0),""),IFNA(MATCH($B79,'DIVISION 15'!$A$18:$H$18,0),""))=3,'DIVISION 15'!$C$1,SUM(IFNA(MATCH($B79,'DIVISION 15'!$A$2:$H$2,0),""),IFNA(MATCH($B79,'DIVISION 15'!$A$3:$H$3,0),""),IFNA(MATCH($B79,'DIVISION 15'!$A$4:$H$4,0),""),IFNA(MATCH($B79,'DIVISION 15'!$A$5:$H$5,0),""),IFNA(MATCH($B79,'DIVISION 15'!$A$6:$H$6,0),""),IFNA(MATCH($B79,'DIVISION 15'!$A$7:$H$7,0),""),IFNA(MATCH($B79,'DIVISION 15'!$A$8:$H$8,0),""),IFNA(MATCH($B79,'DIVISION 15'!$A$9:$H$9,0),""),IFNA(MATCH($B79,'DIVISION 15'!$A$10:$H$10,0),""),IFNA(MATCH($B79,'DIVISION 15'!$A$11:$H$11,0),""),IFNA(MATCH($B79,'DIVISION 15'!$A$12:$H$12,0),""),IFNA(MATCH($B79,'DIVISION 15'!$A$13:$H$13,0),""),IFNA(MATCH($B79,'DIVISION 15'!$A$14:$H$14,0),""),IFNA(MATCH($B79,'DIVISION 15'!$A$15:$H$15,0),""),IFNA(MATCH($B79,'DIVISION 15'!$A$16:$H$16,0),""),IFNA(MATCH($B79,'DIVISION 15'!$A$17:$H$17,0),""),IFNA(MATCH($B79,'DIVISION 15'!$A$18:$H$18,0),""))=4,'DIVISION 15'!$D$1,SUM(IFNA(MATCH($B79,'DIVISION 15'!$A$2:$H$2,0),""),IFNA(MATCH($B79,'DIVISION 15'!$A$3:$H$3,0),""),IFNA(MATCH($B79,'DIVISION 15'!$A$4:$H$4,0),""),IFNA(MATCH($B79,'DIVISION 15'!$A$5:$H$5,0),""),IFNA(MATCH($B79,'DIVISION 15'!$A$6:$H$6,0),""),IFNA(MATCH($B79,'DIVISION 15'!$A$7:$H$7,0),""),IFNA(MATCH($B79,'DIVISION 15'!$A$8:$H$8,0),""),IFNA(MATCH($B79,'DIVISION 15'!$A$9:$H$9,0),""),IFNA(MATCH($B79,'DIVISION 15'!$A$10:$H$10,0),""),IFNA(MATCH($B79,'DIVISION 15'!$A$11:$H$11,0),""),IFNA(MATCH($B79,'DIVISION 15'!$A$12:$H$12,0),""),IFNA(MATCH($B79,'DIVISION 15'!$A$13:$H$13,0),""),IFNA(MATCH($B79,'DIVISION 15'!$A$14:$H$14,0),""),IFNA(MATCH($B79,'DIVISION 15'!$A$15:$H$15,0),""),IFNA(MATCH($B79,'DIVISION 15'!$A$16:$H$16,0),""),IFNA(MATCH($B79,'DIVISION 15'!$A$17:$H$17,0),""),IFNA(MATCH($B79,'DIVISION 15'!$A$18:$H$18,0),""))=5,'DIVISION 15'!$E$1,SUM(IFNA(MATCH($B79,'DIVISION 15'!$A$2:$H$2,0),""),IFNA(MATCH($B79,'DIVISION 15'!$A$3:$H$3,0),""),IFNA(MATCH($B79,'DIVISION 15'!$A$4:$H$4,0),""),IFNA(MATCH($B79,'DIVISION 15'!$A$5:$H$5,0),""),IFNA(MATCH($B79,'DIVISION 15'!$A$6:$H$6,0),""),IFNA(MATCH($B79,'DIVISION 15'!$A$7:$H$7,0),""),IFNA(MATCH($B79,'DIVISION 15'!$A$8:$H$8,0),""),IFNA(MATCH($B79,'DIVISION 15'!$A$9:$H$9,0),""),IFNA(MATCH($B79,'DIVISION 15'!$A$10:$H$10,0),""),IFNA(MATCH($B79,'DIVISION 15'!$A$11:$H$11,0),""),IFNA(MATCH($B79,'DIVISION 15'!$A$12:$H$12,0),""),IFNA(MATCH($B79,'DIVISION 15'!$A$13:$H$13,0),""),IFNA(MATCH($B79,'DIVISION 15'!$A$14:$H$14,0),""),IFNA(MATCH($B79,'DIVISION 15'!$A$15:$H$15,0),""),IFNA(MATCH($B79,'DIVISION 15'!$A$16:$H$16,0),""),IFNA(MATCH($B79,'DIVISION 15'!$A$17:$H$17,0),""),IFNA(MATCH($B79,'DIVISION 15'!$A$18:$H$18,0),""))=6,'DIVISION 15'!$F$1,SUM(IFNA(MATCH($B79,'DIVISION 15'!$A$2:$H$2,0),""),IFNA(MATCH($B79,'DIVISION 15'!$A$3:$H$3,0),""),IFNA(MATCH($B79,'DIVISION 15'!$A$4:$H$4,0),""),IFNA(MATCH($B79,'DIVISION 15'!$A$5:$H$5,0),""),IFNA(MATCH($B79,'DIVISION 15'!$A$6:$H$6,0),""),IFNA(MATCH($B79,'DIVISION 15'!$A$7:$H$7,0),""),IFNA(MATCH($B79,'DIVISION 15'!$A$8:$H$8,0),""),IFNA(MATCH($B79,'DIVISION 15'!$A$9:$H$9,0),""),IFNA(MATCH($B79,'DIVISION 15'!$A$10:$H$10,0),""),IFNA(MATCH($B79,'DIVISION 15'!$A$11:$H$11,0),""),IFNA(MATCH($B79,'DIVISION 15'!$A$12:$H$12,0),""),IFNA(MATCH($B79,'DIVISION 15'!$A$13:$H$13,0),""),IFNA(MATCH($B79,'DIVISION 15'!$A$14:$H$14,0),""),IFNA(MATCH($B79,'DIVISION 15'!$A$15:$H$15,0),""),IFNA(MATCH($B79,'DIVISION 15'!$A$16:$H$16,0),""),IFNA(MATCH($B79,'DIVISION 15'!$A$17:$H$17,0),""),IFNA(MATCH($B79,'DIVISION 15'!$A$18:$H$18,0),""))=7,'DIVISION 15'!$G$1,SUM(IFNA(MATCH($B79,'DIVISION 15'!$A$2:$H$2,0),""),IFNA(MATCH($B79,'DIVISION 15'!$A$3:$H$3,0),""),IFNA(MATCH($B79,'DIVISION 15'!$A$4:$H$4,0),""),IFNA(MATCH($B79,'DIVISION 15'!$A$5:$H$5,0),""),IFNA(MATCH($B79,'DIVISION 15'!$A$6:$H$6,0),""),IFNA(MATCH($B79,'DIVISION 15'!$A$7:$H$7,0),""),IFNA(MATCH($B79,'DIVISION 15'!$A$8:$H$8,0),""),IFNA(MATCH($B79,'DIVISION 15'!$A$9:$H$9,0),""),IFNA(MATCH($B79,'DIVISION 15'!$A$10:$H$10,0),""),IFNA(MATCH($B79,'DIVISION 15'!$A$11:$H$11,0),""),IFNA(MATCH($B79,'DIVISION 15'!$A$12:$H$12,0),""),IFNA(MATCH($B79,'DIVISION 15'!$A$13:$H$13,0),""),IFNA(MATCH($B79,'DIVISION 15'!$A$14:$H$14,0),""),IFNA(MATCH($B79,'DIVISION 15'!$A$15:$H$15,0),""),IFNA(MATCH($B79,'DIVISION 15'!$A$16:$H$16,0),""),IFNA(MATCH($B79,'DIVISION 15'!$A$17:$H$17,0),""),IFNA(MATCH($B79,'DIVISION 15'!$A$18:$H$18,0),""))=8,'DIVISION 15'!$H$1)</f>
        <v>EITU</v>
      </c>
      <c r="U79" s="8" t="str">
        <f t="shared" si="3"/>
        <v>EITU11</v>
      </c>
      <c r="V79" s="9">
        <f>SUMIF(AsistenciaViewJetAdmin!$A$3:$A$101,A79,AsistenciaViewJetAdmin!$C$3:$C$101)/(COUNTIF(AsistenciaViewJetAdmin!$D$102:V$102,"&gt;0")+COUNTIF(ActividadesEspeciales!$D$102:V$102,"&gt;0"))*100</f>
        <v>75.53191489</v>
      </c>
    </row>
    <row r="80" ht="28.5" customHeight="1">
      <c r="A80" s="12">
        <v>155.0</v>
      </c>
      <c r="B80" s="13" t="s">
        <v>659</v>
      </c>
      <c r="C80" s="14">
        <v>1167502.0</v>
      </c>
      <c r="D80" s="10" t="s">
        <v>660</v>
      </c>
      <c r="E80" s="14">
        <v>5.0154532E7</v>
      </c>
      <c r="F80" s="14" t="s">
        <v>661</v>
      </c>
      <c r="G80" s="10">
        <v>1.12459532E9</v>
      </c>
      <c r="H80" s="14" t="s">
        <v>662</v>
      </c>
      <c r="I80" s="14" t="s">
        <v>663</v>
      </c>
      <c r="J80" s="10">
        <v>1.153292211E9</v>
      </c>
      <c r="K80" s="14" t="s">
        <v>664</v>
      </c>
      <c r="L80" s="14" t="s">
        <v>665</v>
      </c>
      <c r="M80" s="10">
        <v>1.140538226E9</v>
      </c>
      <c r="N80" s="14" t="s">
        <v>40</v>
      </c>
      <c r="O80" s="14" t="s">
        <v>666</v>
      </c>
      <c r="P80" s="14" t="s">
        <v>667</v>
      </c>
      <c r="Q80" s="14" t="s">
        <v>74</v>
      </c>
      <c r="R80" s="14" t="s">
        <v>178</v>
      </c>
      <c r="S80" s="14" t="s">
        <v>43</v>
      </c>
      <c r="T80" s="8" t="str">
        <f>IFS(SUM(IFNA(MATCH($B80,'DIVISION 15'!$A$2:$H$2,0),""),IFNA(MATCH($B80,'DIVISION 15'!$A$3:$H$3,0),""),IFNA(MATCH($B80,'DIVISION 15'!$A$4:$H$4,0),""),IFNA(MATCH($B80,'DIVISION 15'!$A$5:$H$5,0),""),IFNA(MATCH($B80,'DIVISION 15'!$A$6:$H$6,0),""),IFNA(MATCH($B80,'DIVISION 15'!$A$7:$H$7,0),""),IFNA(MATCH($B80,'DIVISION 15'!$A$8:$H$8,0),""),IFNA(MATCH($B80,'DIVISION 15'!$A$9:$H$9,0),""),IFNA(MATCH($B80,'DIVISION 15'!$A$10:$H$10,0),""),IFNA(MATCH($B80,'DIVISION 15'!$A$11:$H$11,0),""),IFNA(MATCH($B80,'DIVISION 15'!$A$12:$H$12,0),""),IFNA(MATCH($B80,'DIVISION 15'!$A$13:$H$13,0),""),IFNA(MATCH($B80,'DIVISION 15'!$A$14:$H$14,0),""),IFNA(MATCH($B80,'DIVISION 15'!$A$15:$H$15,0),""),IFNA(MATCH($B80,'DIVISION 15'!$A$16:$H$16,0),""),IFNA(MATCH($B80,'DIVISION 15'!$A$17:$H$17,0),""),IFNA(MATCH($B80,'DIVISION 15'!$A$18:$H$18,0),""))=1,'DIVISION 15'!$A$1,SUM(IFNA(MATCH($B80,'DIVISION 15'!$A$2:$H$2,0),""),IFNA(MATCH($B80,'DIVISION 15'!$A$3:$H$3,0),""),IFNA(MATCH($B80,'DIVISION 15'!$A$4:$H$4,0),""),IFNA(MATCH($B80,'DIVISION 15'!$A$5:$H$5,0),""),IFNA(MATCH($B80,'DIVISION 15'!$A$6:$H$6,0),""),IFNA(MATCH($B80,'DIVISION 15'!$A$7:$H$7,0),""),IFNA(MATCH($B80,'DIVISION 15'!$A$8:$H$8,0),""),IFNA(MATCH($B80,'DIVISION 15'!$A$9:$H$9,0),""),IFNA(MATCH($B80,'DIVISION 15'!$A$10:$H$10,0),""),IFNA(MATCH($B80,'DIVISION 15'!$A$11:$H$11,0),""),IFNA(MATCH($B80,'DIVISION 15'!$A$12:$H$12,0),""),IFNA(MATCH($B80,'DIVISION 15'!$A$13:$H$13,0),""),IFNA(MATCH($B80,'DIVISION 15'!$A$14:$H$14,0),""),IFNA(MATCH($B80,'DIVISION 15'!$A$15:$H$15,0),""),IFNA(MATCH($B80,'DIVISION 15'!$A$16:$H$16,0),""),IFNA(MATCH($B80,'DIVISION 15'!$A$17:$H$17,0),""),IFNA(MATCH($B80,'DIVISION 15'!$A$18:$H$18,0),""))=2,'DIVISION 15'!$B$1,SUM(IFNA(MATCH($B80,'DIVISION 15'!$A$2:$H$2,0),""),IFNA(MATCH($B80,'DIVISION 15'!$A$3:$H$3,0),""),IFNA(MATCH($B80,'DIVISION 15'!$A$4:$H$4,0),""),IFNA(MATCH($B80,'DIVISION 15'!$A$5:$H$5,0),""),IFNA(MATCH($B80,'DIVISION 15'!$A$6:$H$6,0),""),IFNA(MATCH($B80,'DIVISION 15'!$A$7:$H$7,0),""),IFNA(MATCH($B80,'DIVISION 15'!$A$8:$H$8,0),""),IFNA(MATCH($B80,'DIVISION 15'!$A$9:$H$9,0),""),IFNA(MATCH($B80,'DIVISION 15'!$A$10:$H$10,0),""),IFNA(MATCH($B80,'DIVISION 15'!$A$11:$H$11,0),""),IFNA(MATCH($B80,'DIVISION 15'!$A$12:$H$12,0),""),IFNA(MATCH($B80,'DIVISION 15'!$A$13:$H$13,0),""),IFNA(MATCH($B80,'DIVISION 15'!$A$14:$H$14,0),""),IFNA(MATCH($B80,'DIVISION 15'!$A$15:$H$15,0),""),IFNA(MATCH($B80,'DIVISION 15'!$A$16:$H$16,0),""),IFNA(MATCH($B80,'DIVISION 15'!$A$17:$H$17,0),""),IFNA(MATCH($B80,'DIVISION 15'!$A$18:$H$18,0),""))=3,'DIVISION 15'!$C$1,SUM(IFNA(MATCH($B80,'DIVISION 15'!$A$2:$H$2,0),""),IFNA(MATCH($B80,'DIVISION 15'!$A$3:$H$3,0),""),IFNA(MATCH($B80,'DIVISION 15'!$A$4:$H$4,0),""),IFNA(MATCH($B80,'DIVISION 15'!$A$5:$H$5,0),""),IFNA(MATCH($B80,'DIVISION 15'!$A$6:$H$6,0),""),IFNA(MATCH($B80,'DIVISION 15'!$A$7:$H$7,0),""),IFNA(MATCH($B80,'DIVISION 15'!$A$8:$H$8,0),""),IFNA(MATCH($B80,'DIVISION 15'!$A$9:$H$9,0),""),IFNA(MATCH($B80,'DIVISION 15'!$A$10:$H$10,0),""),IFNA(MATCH($B80,'DIVISION 15'!$A$11:$H$11,0),""),IFNA(MATCH($B80,'DIVISION 15'!$A$12:$H$12,0),""),IFNA(MATCH($B80,'DIVISION 15'!$A$13:$H$13,0),""),IFNA(MATCH($B80,'DIVISION 15'!$A$14:$H$14,0),""),IFNA(MATCH($B80,'DIVISION 15'!$A$15:$H$15,0),""),IFNA(MATCH($B80,'DIVISION 15'!$A$16:$H$16,0),""),IFNA(MATCH($B80,'DIVISION 15'!$A$17:$H$17,0),""),IFNA(MATCH($B80,'DIVISION 15'!$A$18:$H$18,0),""))=4,'DIVISION 15'!$D$1,SUM(IFNA(MATCH($B80,'DIVISION 15'!$A$2:$H$2,0),""),IFNA(MATCH($B80,'DIVISION 15'!$A$3:$H$3,0),""),IFNA(MATCH($B80,'DIVISION 15'!$A$4:$H$4,0),""),IFNA(MATCH($B80,'DIVISION 15'!$A$5:$H$5,0),""),IFNA(MATCH($B80,'DIVISION 15'!$A$6:$H$6,0),""),IFNA(MATCH($B80,'DIVISION 15'!$A$7:$H$7,0),""),IFNA(MATCH($B80,'DIVISION 15'!$A$8:$H$8,0),""),IFNA(MATCH($B80,'DIVISION 15'!$A$9:$H$9,0),""),IFNA(MATCH($B80,'DIVISION 15'!$A$10:$H$10,0),""),IFNA(MATCH($B80,'DIVISION 15'!$A$11:$H$11,0),""),IFNA(MATCH($B80,'DIVISION 15'!$A$12:$H$12,0),""),IFNA(MATCH($B80,'DIVISION 15'!$A$13:$H$13,0),""),IFNA(MATCH($B80,'DIVISION 15'!$A$14:$H$14,0),""),IFNA(MATCH($B80,'DIVISION 15'!$A$15:$H$15,0),""),IFNA(MATCH($B80,'DIVISION 15'!$A$16:$H$16,0),""),IFNA(MATCH($B80,'DIVISION 15'!$A$17:$H$17,0),""),IFNA(MATCH($B80,'DIVISION 15'!$A$18:$H$18,0),""))=5,'DIVISION 15'!$E$1,SUM(IFNA(MATCH($B80,'DIVISION 15'!$A$2:$H$2,0),""),IFNA(MATCH($B80,'DIVISION 15'!$A$3:$H$3,0),""),IFNA(MATCH($B80,'DIVISION 15'!$A$4:$H$4,0),""),IFNA(MATCH($B80,'DIVISION 15'!$A$5:$H$5,0),""),IFNA(MATCH($B80,'DIVISION 15'!$A$6:$H$6,0),""),IFNA(MATCH($B80,'DIVISION 15'!$A$7:$H$7,0),""),IFNA(MATCH($B80,'DIVISION 15'!$A$8:$H$8,0),""),IFNA(MATCH($B80,'DIVISION 15'!$A$9:$H$9,0),""),IFNA(MATCH($B80,'DIVISION 15'!$A$10:$H$10,0),""),IFNA(MATCH($B80,'DIVISION 15'!$A$11:$H$11,0),""),IFNA(MATCH($B80,'DIVISION 15'!$A$12:$H$12,0),""),IFNA(MATCH($B80,'DIVISION 15'!$A$13:$H$13,0),""),IFNA(MATCH($B80,'DIVISION 15'!$A$14:$H$14,0),""),IFNA(MATCH($B80,'DIVISION 15'!$A$15:$H$15,0),""),IFNA(MATCH($B80,'DIVISION 15'!$A$16:$H$16,0),""),IFNA(MATCH($B80,'DIVISION 15'!$A$17:$H$17,0),""),IFNA(MATCH($B80,'DIVISION 15'!$A$18:$H$18,0),""))=6,'DIVISION 15'!$F$1,SUM(IFNA(MATCH($B80,'DIVISION 15'!$A$2:$H$2,0),""),IFNA(MATCH($B80,'DIVISION 15'!$A$3:$H$3,0),""),IFNA(MATCH($B80,'DIVISION 15'!$A$4:$H$4,0),""),IFNA(MATCH($B80,'DIVISION 15'!$A$5:$H$5,0),""),IFNA(MATCH($B80,'DIVISION 15'!$A$6:$H$6,0),""),IFNA(MATCH($B80,'DIVISION 15'!$A$7:$H$7,0),""),IFNA(MATCH($B80,'DIVISION 15'!$A$8:$H$8,0),""),IFNA(MATCH($B80,'DIVISION 15'!$A$9:$H$9,0),""),IFNA(MATCH($B80,'DIVISION 15'!$A$10:$H$10,0),""),IFNA(MATCH($B80,'DIVISION 15'!$A$11:$H$11,0),""),IFNA(MATCH($B80,'DIVISION 15'!$A$12:$H$12,0),""),IFNA(MATCH($B80,'DIVISION 15'!$A$13:$H$13,0),""),IFNA(MATCH($B80,'DIVISION 15'!$A$14:$H$14,0),""),IFNA(MATCH($B80,'DIVISION 15'!$A$15:$H$15,0),""),IFNA(MATCH($B80,'DIVISION 15'!$A$16:$H$16,0),""),IFNA(MATCH($B80,'DIVISION 15'!$A$17:$H$17,0),""),IFNA(MATCH($B80,'DIVISION 15'!$A$18:$H$18,0),""))=7,'DIVISION 15'!$G$1,SUM(IFNA(MATCH($B80,'DIVISION 15'!$A$2:$H$2,0),""),IFNA(MATCH($B80,'DIVISION 15'!$A$3:$H$3,0),""),IFNA(MATCH($B80,'DIVISION 15'!$A$4:$H$4,0),""),IFNA(MATCH($B80,'DIVISION 15'!$A$5:$H$5,0),""),IFNA(MATCH($B80,'DIVISION 15'!$A$6:$H$6,0),""),IFNA(MATCH($B80,'DIVISION 15'!$A$7:$H$7,0),""),IFNA(MATCH($B80,'DIVISION 15'!$A$8:$H$8,0),""),IFNA(MATCH($B80,'DIVISION 15'!$A$9:$H$9,0),""),IFNA(MATCH($B80,'DIVISION 15'!$A$10:$H$10,0),""),IFNA(MATCH($B80,'DIVISION 15'!$A$11:$H$11,0),""),IFNA(MATCH($B80,'DIVISION 15'!$A$12:$H$12,0),""),IFNA(MATCH($B80,'DIVISION 15'!$A$13:$H$13,0),""),IFNA(MATCH($B80,'DIVISION 15'!$A$14:$H$14,0),""),IFNA(MATCH($B80,'DIVISION 15'!$A$15:$H$15,0),""),IFNA(MATCH($B80,'DIVISION 15'!$A$16:$H$16,0),""),IFNA(MATCH($B80,'DIVISION 15'!$A$17:$H$17,0),""),IFNA(MATCH($B80,'DIVISION 15'!$A$18:$H$18,0),""))=8,'DIVISION 15'!$H$1)</f>
        <v>GONZI</v>
      </c>
      <c r="U80" s="15" t="str">
        <f t="shared" si="3"/>
        <v>GONZI9</v>
      </c>
      <c r="V80" s="9">
        <f>SUMIF(AsistenciaViewJetAdmin!$A$3:$A$101,A80,AsistenciaViewJetAdmin!$C$3:$C$101)/(COUNTIF(AsistenciaViewJetAdmin!$D$102:V$102,"&gt;0")+COUNTIF(ActividadesEspeciales!$D$102:V$102,"&gt;0"))*100</f>
        <v>77.12765957</v>
      </c>
    </row>
    <row r="81" ht="28.5" customHeight="1">
      <c r="A81" s="3">
        <v>169.0</v>
      </c>
      <c r="B81" s="4" t="s">
        <v>668</v>
      </c>
      <c r="C81" s="5">
        <v>1081004.0</v>
      </c>
      <c r="D81" s="7" t="s">
        <v>669</v>
      </c>
      <c r="E81" s="5">
        <v>4.9836443E7</v>
      </c>
      <c r="F81" s="5" t="s">
        <v>670</v>
      </c>
      <c r="G81" s="7">
        <v>1.162108461E9</v>
      </c>
      <c r="H81" s="5" t="s">
        <v>671</v>
      </c>
      <c r="I81" s="5" t="s">
        <v>672</v>
      </c>
      <c r="J81" s="7">
        <v>1.157730375E9</v>
      </c>
      <c r="K81" s="5" t="s">
        <v>673</v>
      </c>
      <c r="L81" s="5" t="s">
        <v>674</v>
      </c>
      <c r="M81" s="7">
        <v>1.161286597E9</v>
      </c>
      <c r="N81" s="5" t="s">
        <v>169</v>
      </c>
      <c r="O81" s="5" t="s">
        <v>675</v>
      </c>
      <c r="P81" s="5" t="s">
        <v>136</v>
      </c>
      <c r="Q81" s="5" t="s">
        <v>30</v>
      </c>
      <c r="R81" s="5" t="s">
        <v>87</v>
      </c>
      <c r="S81" s="5" t="s">
        <v>32</v>
      </c>
      <c r="T81" s="8" t="str">
        <f>IFS(SUM(IFNA(MATCH($B81,'DIVISION 15'!$A$2:$H$2,0),""),IFNA(MATCH($B81,'DIVISION 15'!$A$3:$H$3,0),""),IFNA(MATCH($B81,'DIVISION 15'!$A$4:$H$4,0),""),IFNA(MATCH($B81,'DIVISION 15'!$A$5:$H$5,0),""),IFNA(MATCH($B81,'DIVISION 15'!$A$6:$H$6,0),""),IFNA(MATCH($B81,'DIVISION 15'!$A$7:$H$7,0),""),IFNA(MATCH($B81,'DIVISION 15'!$A$8:$H$8,0),""),IFNA(MATCH($B81,'DIVISION 15'!$A$9:$H$9,0),""),IFNA(MATCH($B81,'DIVISION 15'!$A$10:$H$10,0),""),IFNA(MATCH($B81,'DIVISION 15'!$A$11:$H$11,0),""),IFNA(MATCH($B81,'DIVISION 15'!$A$12:$H$12,0),""),IFNA(MATCH($B81,'DIVISION 15'!$A$13:$H$13,0),""),IFNA(MATCH($B81,'DIVISION 15'!$A$14:$H$14,0),""),IFNA(MATCH($B81,'DIVISION 15'!$A$15:$H$15,0),""),IFNA(MATCH($B81,'DIVISION 15'!$A$16:$H$16,0),""),IFNA(MATCH($B81,'DIVISION 15'!$A$17:$H$17,0),""),IFNA(MATCH($B81,'DIVISION 15'!$A$18:$H$18,0),""))=1,'DIVISION 15'!$A$1,SUM(IFNA(MATCH($B81,'DIVISION 15'!$A$2:$H$2,0),""),IFNA(MATCH($B81,'DIVISION 15'!$A$3:$H$3,0),""),IFNA(MATCH($B81,'DIVISION 15'!$A$4:$H$4,0),""),IFNA(MATCH($B81,'DIVISION 15'!$A$5:$H$5,0),""),IFNA(MATCH($B81,'DIVISION 15'!$A$6:$H$6,0),""),IFNA(MATCH($B81,'DIVISION 15'!$A$7:$H$7,0),""),IFNA(MATCH($B81,'DIVISION 15'!$A$8:$H$8,0),""),IFNA(MATCH($B81,'DIVISION 15'!$A$9:$H$9,0),""),IFNA(MATCH($B81,'DIVISION 15'!$A$10:$H$10,0),""),IFNA(MATCH($B81,'DIVISION 15'!$A$11:$H$11,0),""),IFNA(MATCH($B81,'DIVISION 15'!$A$12:$H$12,0),""),IFNA(MATCH($B81,'DIVISION 15'!$A$13:$H$13,0),""),IFNA(MATCH($B81,'DIVISION 15'!$A$14:$H$14,0),""),IFNA(MATCH($B81,'DIVISION 15'!$A$15:$H$15,0),""),IFNA(MATCH($B81,'DIVISION 15'!$A$16:$H$16,0),""),IFNA(MATCH($B81,'DIVISION 15'!$A$17:$H$17,0),""),IFNA(MATCH($B81,'DIVISION 15'!$A$18:$H$18,0),""))=2,'DIVISION 15'!$B$1,SUM(IFNA(MATCH($B81,'DIVISION 15'!$A$2:$H$2,0),""),IFNA(MATCH($B81,'DIVISION 15'!$A$3:$H$3,0),""),IFNA(MATCH($B81,'DIVISION 15'!$A$4:$H$4,0),""),IFNA(MATCH($B81,'DIVISION 15'!$A$5:$H$5,0),""),IFNA(MATCH($B81,'DIVISION 15'!$A$6:$H$6,0),""),IFNA(MATCH($B81,'DIVISION 15'!$A$7:$H$7,0),""),IFNA(MATCH($B81,'DIVISION 15'!$A$8:$H$8,0),""),IFNA(MATCH($B81,'DIVISION 15'!$A$9:$H$9,0),""),IFNA(MATCH($B81,'DIVISION 15'!$A$10:$H$10,0),""),IFNA(MATCH($B81,'DIVISION 15'!$A$11:$H$11,0),""),IFNA(MATCH($B81,'DIVISION 15'!$A$12:$H$12,0),""),IFNA(MATCH($B81,'DIVISION 15'!$A$13:$H$13,0),""),IFNA(MATCH($B81,'DIVISION 15'!$A$14:$H$14,0),""),IFNA(MATCH($B81,'DIVISION 15'!$A$15:$H$15,0),""),IFNA(MATCH($B81,'DIVISION 15'!$A$16:$H$16,0),""),IFNA(MATCH($B81,'DIVISION 15'!$A$17:$H$17,0),""),IFNA(MATCH($B81,'DIVISION 15'!$A$18:$H$18,0),""))=3,'DIVISION 15'!$C$1,SUM(IFNA(MATCH($B81,'DIVISION 15'!$A$2:$H$2,0),""),IFNA(MATCH($B81,'DIVISION 15'!$A$3:$H$3,0),""),IFNA(MATCH($B81,'DIVISION 15'!$A$4:$H$4,0),""),IFNA(MATCH($B81,'DIVISION 15'!$A$5:$H$5,0),""),IFNA(MATCH($B81,'DIVISION 15'!$A$6:$H$6,0),""),IFNA(MATCH($B81,'DIVISION 15'!$A$7:$H$7,0),""),IFNA(MATCH($B81,'DIVISION 15'!$A$8:$H$8,0),""),IFNA(MATCH($B81,'DIVISION 15'!$A$9:$H$9,0),""),IFNA(MATCH($B81,'DIVISION 15'!$A$10:$H$10,0),""),IFNA(MATCH($B81,'DIVISION 15'!$A$11:$H$11,0),""),IFNA(MATCH($B81,'DIVISION 15'!$A$12:$H$12,0),""),IFNA(MATCH($B81,'DIVISION 15'!$A$13:$H$13,0),""),IFNA(MATCH($B81,'DIVISION 15'!$A$14:$H$14,0),""),IFNA(MATCH($B81,'DIVISION 15'!$A$15:$H$15,0),""),IFNA(MATCH($B81,'DIVISION 15'!$A$16:$H$16,0),""),IFNA(MATCH($B81,'DIVISION 15'!$A$17:$H$17,0),""),IFNA(MATCH($B81,'DIVISION 15'!$A$18:$H$18,0),""))=4,'DIVISION 15'!$D$1,SUM(IFNA(MATCH($B81,'DIVISION 15'!$A$2:$H$2,0),""),IFNA(MATCH($B81,'DIVISION 15'!$A$3:$H$3,0),""),IFNA(MATCH($B81,'DIVISION 15'!$A$4:$H$4,0),""),IFNA(MATCH($B81,'DIVISION 15'!$A$5:$H$5,0),""),IFNA(MATCH($B81,'DIVISION 15'!$A$6:$H$6,0),""),IFNA(MATCH($B81,'DIVISION 15'!$A$7:$H$7,0),""),IFNA(MATCH($B81,'DIVISION 15'!$A$8:$H$8,0),""),IFNA(MATCH($B81,'DIVISION 15'!$A$9:$H$9,0),""),IFNA(MATCH($B81,'DIVISION 15'!$A$10:$H$10,0),""),IFNA(MATCH($B81,'DIVISION 15'!$A$11:$H$11,0),""),IFNA(MATCH($B81,'DIVISION 15'!$A$12:$H$12,0),""),IFNA(MATCH($B81,'DIVISION 15'!$A$13:$H$13,0),""),IFNA(MATCH($B81,'DIVISION 15'!$A$14:$H$14,0),""),IFNA(MATCH($B81,'DIVISION 15'!$A$15:$H$15,0),""),IFNA(MATCH($B81,'DIVISION 15'!$A$16:$H$16,0),""),IFNA(MATCH($B81,'DIVISION 15'!$A$17:$H$17,0),""),IFNA(MATCH($B81,'DIVISION 15'!$A$18:$H$18,0),""))=5,'DIVISION 15'!$E$1,SUM(IFNA(MATCH($B81,'DIVISION 15'!$A$2:$H$2,0),""),IFNA(MATCH($B81,'DIVISION 15'!$A$3:$H$3,0),""),IFNA(MATCH($B81,'DIVISION 15'!$A$4:$H$4,0),""),IFNA(MATCH($B81,'DIVISION 15'!$A$5:$H$5,0),""),IFNA(MATCH($B81,'DIVISION 15'!$A$6:$H$6,0),""),IFNA(MATCH($B81,'DIVISION 15'!$A$7:$H$7,0),""),IFNA(MATCH($B81,'DIVISION 15'!$A$8:$H$8,0),""),IFNA(MATCH($B81,'DIVISION 15'!$A$9:$H$9,0),""),IFNA(MATCH($B81,'DIVISION 15'!$A$10:$H$10,0),""),IFNA(MATCH($B81,'DIVISION 15'!$A$11:$H$11,0),""),IFNA(MATCH($B81,'DIVISION 15'!$A$12:$H$12,0),""),IFNA(MATCH($B81,'DIVISION 15'!$A$13:$H$13,0),""),IFNA(MATCH($B81,'DIVISION 15'!$A$14:$H$14,0),""),IFNA(MATCH($B81,'DIVISION 15'!$A$15:$H$15,0),""),IFNA(MATCH($B81,'DIVISION 15'!$A$16:$H$16,0),""),IFNA(MATCH($B81,'DIVISION 15'!$A$17:$H$17,0),""),IFNA(MATCH($B81,'DIVISION 15'!$A$18:$H$18,0),""))=6,'DIVISION 15'!$F$1,SUM(IFNA(MATCH($B81,'DIVISION 15'!$A$2:$H$2,0),""),IFNA(MATCH($B81,'DIVISION 15'!$A$3:$H$3,0),""),IFNA(MATCH($B81,'DIVISION 15'!$A$4:$H$4,0),""),IFNA(MATCH($B81,'DIVISION 15'!$A$5:$H$5,0),""),IFNA(MATCH($B81,'DIVISION 15'!$A$6:$H$6,0),""),IFNA(MATCH($B81,'DIVISION 15'!$A$7:$H$7,0),""),IFNA(MATCH($B81,'DIVISION 15'!$A$8:$H$8,0),""),IFNA(MATCH($B81,'DIVISION 15'!$A$9:$H$9,0),""),IFNA(MATCH($B81,'DIVISION 15'!$A$10:$H$10,0),""),IFNA(MATCH($B81,'DIVISION 15'!$A$11:$H$11,0),""),IFNA(MATCH($B81,'DIVISION 15'!$A$12:$H$12,0),""),IFNA(MATCH($B81,'DIVISION 15'!$A$13:$H$13,0),""),IFNA(MATCH($B81,'DIVISION 15'!$A$14:$H$14,0),""),IFNA(MATCH($B81,'DIVISION 15'!$A$15:$H$15,0),""),IFNA(MATCH($B81,'DIVISION 15'!$A$16:$H$16,0),""),IFNA(MATCH($B81,'DIVISION 15'!$A$17:$H$17,0),""),IFNA(MATCH($B81,'DIVISION 15'!$A$18:$H$18,0),""))=7,'DIVISION 15'!$G$1,SUM(IFNA(MATCH($B81,'DIVISION 15'!$A$2:$H$2,0),""),IFNA(MATCH($B81,'DIVISION 15'!$A$3:$H$3,0),""),IFNA(MATCH($B81,'DIVISION 15'!$A$4:$H$4,0),""),IFNA(MATCH($B81,'DIVISION 15'!$A$5:$H$5,0),""),IFNA(MATCH($B81,'DIVISION 15'!$A$6:$H$6,0),""),IFNA(MATCH($B81,'DIVISION 15'!$A$7:$H$7,0),""),IFNA(MATCH($B81,'DIVISION 15'!$A$8:$H$8,0),""),IFNA(MATCH($B81,'DIVISION 15'!$A$9:$H$9,0),""),IFNA(MATCH($B81,'DIVISION 15'!$A$10:$H$10,0),""),IFNA(MATCH($B81,'DIVISION 15'!$A$11:$H$11,0),""),IFNA(MATCH($B81,'DIVISION 15'!$A$12:$H$12,0),""),IFNA(MATCH($B81,'DIVISION 15'!$A$13:$H$13,0),""),IFNA(MATCH($B81,'DIVISION 15'!$A$14:$H$14,0),""),IFNA(MATCH($B81,'DIVISION 15'!$A$15:$H$15,0),""),IFNA(MATCH($B81,'DIVISION 15'!$A$16:$H$16,0),""),IFNA(MATCH($B81,'DIVISION 15'!$A$17:$H$17,0),""),IFNA(MATCH($B81,'DIVISION 15'!$A$18:$H$18,0),""))=8,'DIVISION 15'!$H$1)</f>
        <v>MELU</v>
      </c>
      <c r="U81" s="8" t="str">
        <f t="shared" si="3"/>
        <v>MELU14</v>
      </c>
      <c r="V81" s="9">
        <f>SUMIF(AsistenciaViewJetAdmin!$A$3:$A$101,A81,AsistenciaViewJetAdmin!$C$3:$C$101)/(COUNTIF(AsistenciaViewJetAdmin!$D$102:V$102,"&gt;0")+COUNTIF(ActividadesEspeciales!$D$102:V$102,"&gt;0"))*100</f>
        <v>60.63829787</v>
      </c>
    </row>
    <row r="82" ht="28.5" customHeight="1">
      <c r="A82" s="3">
        <v>101.0</v>
      </c>
      <c r="B82" s="4" t="s">
        <v>676</v>
      </c>
      <c r="C82" s="5">
        <v>1029403.0</v>
      </c>
      <c r="D82" s="6">
        <v>40211.0</v>
      </c>
      <c r="E82" s="5">
        <v>5.0030477E7</v>
      </c>
      <c r="F82" s="5" t="s">
        <v>677</v>
      </c>
      <c r="G82" s="7">
        <v>1.155665494E9</v>
      </c>
      <c r="H82" s="5" t="s">
        <v>678</v>
      </c>
      <c r="I82" s="5" t="s">
        <v>679</v>
      </c>
      <c r="J82" s="7">
        <v>1.151225494E9</v>
      </c>
      <c r="K82" s="5" t="s">
        <v>680</v>
      </c>
      <c r="L82" s="5" t="s">
        <v>681</v>
      </c>
      <c r="M82" s="7">
        <v>1.155247907E9</v>
      </c>
      <c r="N82" s="5" t="s">
        <v>145</v>
      </c>
      <c r="O82" s="5" t="s">
        <v>682</v>
      </c>
      <c r="P82" s="5" t="s">
        <v>136</v>
      </c>
      <c r="Q82" s="5" t="s">
        <v>30</v>
      </c>
      <c r="R82" s="5" t="s">
        <v>31</v>
      </c>
      <c r="S82" s="5" t="s">
        <v>43</v>
      </c>
      <c r="T82" s="8" t="str">
        <f>IFS(SUM(IFNA(MATCH($B82,'DIVISION 15'!$A$2:$H$2,0),""),IFNA(MATCH($B82,'DIVISION 15'!$A$3:$H$3,0),""),IFNA(MATCH($B82,'DIVISION 15'!$A$4:$H$4,0),""),IFNA(MATCH($B82,'DIVISION 15'!$A$5:$H$5,0),""),IFNA(MATCH($B82,'DIVISION 15'!$A$6:$H$6,0),""),IFNA(MATCH($B82,'DIVISION 15'!$A$7:$H$7,0),""),IFNA(MATCH($B82,'DIVISION 15'!$A$8:$H$8,0),""),IFNA(MATCH($B82,'DIVISION 15'!$A$9:$H$9,0),""),IFNA(MATCH($B82,'DIVISION 15'!$A$10:$H$10,0),""),IFNA(MATCH($B82,'DIVISION 15'!$A$11:$H$11,0),""),IFNA(MATCH($B82,'DIVISION 15'!$A$12:$H$12,0),""),IFNA(MATCH($B82,'DIVISION 15'!$A$13:$H$13,0),""),IFNA(MATCH($B82,'DIVISION 15'!$A$14:$H$14,0),""),IFNA(MATCH($B82,'DIVISION 15'!$A$15:$H$15,0),""),IFNA(MATCH($B82,'DIVISION 15'!$A$16:$H$16,0),""),IFNA(MATCH($B82,'DIVISION 15'!$A$17:$H$17,0),""),IFNA(MATCH($B82,'DIVISION 15'!$A$18:$H$18,0),""))=1,'DIVISION 15'!$A$1,SUM(IFNA(MATCH($B82,'DIVISION 15'!$A$2:$H$2,0),""),IFNA(MATCH($B82,'DIVISION 15'!$A$3:$H$3,0),""),IFNA(MATCH($B82,'DIVISION 15'!$A$4:$H$4,0),""),IFNA(MATCH($B82,'DIVISION 15'!$A$5:$H$5,0),""),IFNA(MATCH($B82,'DIVISION 15'!$A$6:$H$6,0),""),IFNA(MATCH($B82,'DIVISION 15'!$A$7:$H$7,0),""),IFNA(MATCH($B82,'DIVISION 15'!$A$8:$H$8,0),""),IFNA(MATCH($B82,'DIVISION 15'!$A$9:$H$9,0),""),IFNA(MATCH($B82,'DIVISION 15'!$A$10:$H$10,0),""),IFNA(MATCH($B82,'DIVISION 15'!$A$11:$H$11,0),""),IFNA(MATCH($B82,'DIVISION 15'!$A$12:$H$12,0),""),IFNA(MATCH($B82,'DIVISION 15'!$A$13:$H$13,0),""),IFNA(MATCH($B82,'DIVISION 15'!$A$14:$H$14,0),""),IFNA(MATCH($B82,'DIVISION 15'!$A$15:$H$15,0),""),IFNA(MATCH($B82,'DIVISION 15'!$A$16:$H$16,0),""),IFNA(MATCH($B82,'DIVISION 15'!$A$17:$H$17,0),""),IFNA(MATCH($B82,'DIVISION 15'!$A$18:$H$18,0),""))=2,'DIVISION 15'!$B$1,SUM(IFNA(MATCH($B82,'DIVISION 15'!$A$2:$H$2,0),""),IFNA(MATCH($B82,'DIVISION 15'!$A$3:$H$3,0),""),IFNA(MATCH($B82,'DIVISION 15'!$A$4:$H$4,0),""),IFNA(MATCH($B82,'DIVISION 15'!$A$5:$H$5,0),""),IFNA(MATCH($B82,'DIVISION 15'!$A$6:$H$6,0),""),IFNA(MATCH($B82,'DIVISION 15'!$A$7:$H$7,0),""),IFNA(MATCH($B82,'DIVISION 15'!$A$8:$H$8,0),""),IFNA(MATCH($B82,'DIVISION 15'!$A$9:$H$9,0),""),IFNA(MATCH($B82,'DIVISION 15'!$A$10:$H$10,0),""),IFNA(MATCH($B82,'DIVISION 15'!$A$11:$H$11,0),""),IFNA(MATCH($B82,'DIVISION 15'!$A$12:$H$12,0),""),IFNA(MATCH($B82,'DIVISION 15'!$A$13:$H$13,0),""),IFNA(MATCH($B82,'DIVISION 15'!$A$14:$H$14,0),""),IFNA(MATCH($B82,'DIVISION 15'!$A$15:$H$15,0),""),IFNA(MATCH($B82,'DIVISION 15'!$A$16:$H$16,0),""),IFNA(MATCH($B82,'DIVISION 15'!$A$17:$H$17,0),""),IFNA(MATCH($B82,'DIVISION 15'!$A$18:$H$18,0),""))=3,'DIVISION 15'!$C$1,SUM(IFNA(MATCH($B82,'DIVISION 15'!$A$2:$H$2,0),""),IFNA(MATCH($B82,'DIVISION 15'!$A$3:$H$3,0),""),IFNA(MATCH($B82,'DIVISION 15'!$A$4:$H$4,0),""),IFNA(MATCH($B82,'DIVISION 15'!$A$5:$H$5,0),""),IFNA(MATCH($B82,'DIVISION 15'!$A$6:$H$6,0),""),IFNA(MATCH($B82,'DIVISION 15'!$A$7:$H$7,0),""),IFNA(MATCH($B82,'DIVISION 15'!$A$8:$H$8,0),""),IFNA(MATCH($B82,'DIVISION 15'!$A$9:$H$9,0),""),IFNA(MATCH($B82,'DIVISION 15'!$A$10:$H$10,0),""),IFNA(MATCH($B82,'DIVISION 15'!$A$11:$H$11,0),""),IFNA(MATCH($B82,'DIVISION 15'!$A$12:$H$12,0),""),IFNA(MATCH($B82,'DIVISION 15'!$A$13:$H$13,0),""),IFNA(MATCH($B82,'DIVISION 15'!$A$14:$H$14,0),""),IFNA(MATCH($B82,'DIVISION 15'!$A$15:$H$15,0),""),IFNA(MATCH($B82,'DIVISION 15'!$A$16:$H$16,0),""),IFNA(MATCH($B82,'DIVISION 15'!$A$17:$H$17,0),""),IFNA(MATCH($B82,'DIVISION 15'!$A$18:$H$18,0),""))=4,'DIVISION 15'!$D$1,SUM(IFNA(MATCH($B82,'DIVISION 15'!$A$2:$H$2,0),""),IFNA(MATCH($B82,'DIVISION 15'!$A$3:$H$3,0),""),IFNA(MATCH($B82,'DIVISION 15'!$A$4:$H$4,0),""),IFNA(MATCH($B82,'DIVISION 15'!$A$5:$H$5,0),""),IFNA(MATCH($B82,'DIVISION 15'!$A$6:$H$6,0),""),IFNA(MATCH($B82,'DIVISION 15'!$A$7:$H$7,0),""),IFNA(MATCH($B82,'DIVISION 15'!$A$8:$H$8,0),""),IFNA(MATCH($B82,'DIVISION 15'!$A$9:$H$9,0),""),IFNA(MATCH($B82,'DIVISION 15'!$A$10:$H$10,0),""),IFNA(MATCH($B82,'DIVISION 15'!$A$11:$H$11,0),""),IFNA(MATCH($B82,'DIVISION 15'!$A$12:$H$12,0),""),IFNA(MATCH($B82,'DIVISION 15'!$A$13:$H$13,0),""),IFNA(MATCH($B82,'DIVISION 15'!$A$14:$H$14,0),""),IFNA(MATCH($B82,'DIVISION 15'!$A$15:$H$15,0),""),IFNA(MATCH($B82,'DIVISION 15'!$A$16:$H$16,0),""),IFNA(MATCH($B82,'DIVISION 15'!$A$17:$H$17,0),""),IFNA(MATCH($B82,'DIVISION 15'!$A$18:$H$18,0),""))=5,'DIVISION 15'!$E$1,SUM(IFNA(MATCH($B82,'DIVISION 15'!$A$2:$H$2,0),""),IFNA(MATCH($B82,'DIVISION 15'!$A$3:$H$3,0),""),IFNA(MATCH($B82,'DIVISION 15'!$A$4:$H$4,0),""),IFNA(MATCH($B82,'DIVISION 15'!$A$5:$H$5,0),""),IFNA(MATCH($B82,'DIVISION 15'!$A$6:$H$6,0),""),IFNA(MATCH($B82,'DIVISION 15'!$A$7:$H$7,0),""),IFNA(MATCH($B82,'DIVISION 15'!$A$8:$H$8,0),""),IFNA(MATCH($B82,'DIVISION 15'!$A$9:$H$9,0),""),IFNA(MATCH($B82,'DIVISION 15'!$A$10:$H$10,0),""),IFNA(MATCH($B82,'DIVISION 15'!$A$11:$H$11,0),""),IFNA(MATCH($B82,'DIVISION 15'!$A$12:$H$12,0),""),IFNA(MATCH($B82,'DIVISION 15'!$A$13:$H$13,0),""),IFNA(MATCH($B82,'DIVISION 15'!$A$14:$H$14,0),""),IFNA(MATCH($B82,'DIVISION 15'!$A$15:$H$15,0),""),IFNA(MATCH($B82,'DIVISION 15'!$A$16:$H$16,0),""),IFNA(MATCH($B82,'DIVISION 15'!$A$17:$H$17,0),""),IFNA(MATCH($B82,'DIVISION 15'!$A$18:$H$18,0),""))=6,'DIVISION 15'!$F$1,SUM(IFNA(MATCH($B82,'DIVISION 15'!$A$2:$H$2,0),""),IFNA(MATCH($B82,'DIVISION 15'!$A$3:$H$3,0),""),IFNA(MATCH($B82,'DIVISION 15'!$A$4:$H$4,0),""),IFNA(MATCH($B82,'DIVISION 15'!$A$5:$H$5,0),""),IFNA(MATCH($B82,'DIVISION 15'!$A$6:$H$6,0),""),IFNA(MATCH($B82,'DIVISION 15'!$A$7:$H$7,0),""),IFNA(MATCH($B82,'DIVISION 15'!$A$8:$H$8,0),""),IFNA(MATCH($B82,'DIVISION 15'!$A$9:$H$9,0),""),IFNA(MATCH($B82,'DIVISION 15'!$A$10:$H$10,0),""),IFNA(MATCH($B82,'DIVISION 15'!$A$11:$H$11,0),""),IFNA(MATCH($B82,'DIVISION 15'!$A$12:$H$12,0),""),IFNA(MATCH($B82,'DIVISION 15'!$A$13:$H$13,0),""),IFNA(MATCH($B82,'DIVISION 15'!$A$14:$H$14,0),""),IFNA(MATCH($B82,'DIVISION 15'!$A$15:$H$15,0),""),IFNA(MATCH($B82,'DIVISION 15'!$A$16:$H$16,0),""),IFNA(MATCH($B82,'DIVISION 15'!$A$17:$H$17,0),""),IFNA(MATCH($B82,'DIVISION 15'!$A$18:$H$18,0),""))=7,'DIVISION 15'!$G$1,SUM(IFNA(MATCH($B82,'DIVISION 15'!$A$2:$H$2,0),""),IFNA(MATCH($B82,'DIVISION 15'!$A$3:$H$3,0),""),IFNA(MATCH($B82,'DIVISION 15'!$A$4:$H$4,0),""),IFNA(MATCH($B82,'DIVISION 15'!$A$5:$H$5,0),""),IFNA(MATCH($B82,'DIVISION 15'!$A$6:$H$6,0),""),IFNA(MATCH($B82,'DIVISION 15'!$A$7:$H$7,0),""),IFNA(MATCH($B82,'DIVISION 15'!$A$8:$H$8,0),""),IFNA(MATCH($B82,'DIVISION 15'!$A$9:$H$9,0),""),IFNA(MATCH($B82,'DIVISION 15'!$A$10:$H$10,0),""),IFNA(MATCH($B82,'DIVISION 15'!$A$11:$H$11,0),""),IFNA(MATCH($B82,'DIVISION 15'!$A$12:$H$12,0),""),IFNA(MATCH($B82,'DIVISION 15'!$A$13:$H$13,0),""),IFNA(MATCH($B82,'DIVISION 15'!$A$14:$H$14,0),""),IFNA(MATCH($B82,'DIVISION 15'!$A$15:$H$15,0),""),IFNA(MATCH($B82,'DIVISION 15'!$A$16:$H$16,0),""),IFNA(MATCH($B82,'DIVISION 15'!$A$17:$H$17,0),""),IFNA(MATCH($B82,'DIVISION 15'!$A$18:$H$18,0),""))=8,'DIVISION 15'!$H$1)</f>
        <v>GONZI</v>
      </c>
      <c r="U82" s="8" t="str">
        <f t="shared" si="3"/>
        <v>GONZI10</v>
      </c>
      <c r="V82" s="9">
        <f>SUMIF(AsistenciaViewJetAdmin!$A$3:$A$101,A82,AsistenciaViewJetAdmin!$C$3:$C$101)/(COUNTIF(AsistenciaViewJetAdmin!$D$102:V$102,"&gt;0")+COUNTIF(ActividadesEspeciales!$D$102:V$102,"&gt;0"))*100</f>
        <v>62.23404255</v>
      </c>
    </row>
    <row r="83" ht="28.5" customHeight="1">
      <c r="A83" s="12">
        <v>140.0</v>
      </c>
      <c r="B83" s="13" t="s">
        <v>683</v>
      </c>
      <c r="C83" s="14">
        <v>1016012.0</v>
      </c>
      <c r="D83" s="10" t="s">
        <v>684</v>
      </c>
      <c r="E83" s="14">
        <v>5.0029944E7</v>
      </c>
      <c r="F83" s="14" t="s">
        <v>685</v>
      </c>
      <c r="G83" s="10">
        <v>1.155711725E9</v>
      </c>
      <c r="H83" s="14" t="s">
        <v>686</v>
      </c>
      <c r="I83" s="14" t="s">
        <v>687</v>
      </c>
      <c r="J83" s="10">
        <v>1.16517803E9</v>
      </c>
      <c r="K83" s="14" t="s">
        <v>688</v>
      </c>
      <c r="L83" s="14" t="s">
        <v>689</v>
      </c>
      <c r="M83" s="10">
        <v>1.165183333E9</v>
      </c>
      <c r="N83" s="14" t="s">
        <v>61</v>
      </c>
      <c r="O83" s="14" t="s">
        <v>120</v>
      </c>
      <c r="P83" s="14" t="s">
        <v>53</v>
      </c>
      <c r="Q83" s="14" t="s">
        <v>74</v>
      </c>
      <c r="R83" s="14" t="s">
        <v>31</v>
      </c>
      <c r="S83" s="14" t="s">
        <v>32</v>
      </c>
      <c r="T83" s="8" t="str">
        <f>IFS(SUM(IFNA(MATCH($B83,'DIVISION 15'!$A$2:$H$2,0),""),IFNA(MATCH($B83,'DIVISION 15'!$A$3:$H$3,0),""),IFNA(MATCH($B83,'DIVISION 15'!$A$4:$H$4,0),""),IFNA(MATCH($B83,'DIVISION 15'!$A$5:$H$5,0),""),IFNA(MATCH($B83,'DIVISION 15'!$A$6:$H$6,0),""),IFNA(MATCH($B83,'DIVISION 15'!$A$7:$H$7,0),""),IFNA(MATCH($B83,'DIVISION 15'!$A$8:$H$8,0),""),IFNA(MATCH($B83,'DIVISION 15'!$A$9:$H$9,0),""),IFNA(MATCH($B83,'DIVISION 15'!$A$10:$H$10,0),""),IFNA(MATCH($B83,'DIVISION 15'!$A$11:$H$11,0),""),IFNA(MATCH($B83,'DIVISION 15'!$A$12:$H$12,0),""),IFNA(MATCH($B83,'DIVISION 15'!$A$13:$H$13,0),""),IFNA(MATCH($B83,'DIVISION 15'!$A$14:$H$14,0),""),IFNA(MATCH($B83,'DIVISION 15'!$A$15:$H$15,0),""),IFNA(MATCH($B83,'DIVISION 15'!$A$16:$H$16,0),""),IFNA(MATCH($B83,'DIVISION 15'!$A$17:$H$17,0),""),IFNA(MATCH($B83,'DIVISION 15'!$A$18:$H$18,0),""))=1,'DIVISION 15'!$A$1,SUM(IFNA(MATCH($B83,'DIVISION 15'!$A$2:$H$2,0),""),IFNA(MATCH($B83,'DIVISION 15'!$A$3:$H$3,0),""),IFNA(MATCH($B83,'DIVISION 15'!$A$4:$H$4,0),""),IFNA(MATCH($B83,'DIVISION 15'!$A$5:$H$5,0),""),IFNA(MATCH($B83,'DIVISION 15'!$A$6:$H$6,0),""),IFNA(MATCH($B83,'DIVISION 15'!$A$7:$H$7,0),""),IFNA(MATCH($B83,'DIVISION 15'!$A$8:$H$8,0),""),IFNA(MATCH($B83,'DIVISION 15'!$A$9:$H$9,0),""),IFNA(MATCH($B83,'DIVISION 15'!$A$10:$H$10,0),""),IFNA(MATCH($B83,'DIVISION 15'!$A$11:$H$11,0),""),IFNA(MATCH($B83,'DIVISION 15'!$A$12:$H$12,0),""),IFNA(MATCH($B83,'DIVISION 15'!$A$13:$H$13,0),""),IFNA(MATCH($B83,'DIVISION 15'!$A$14:$H$14,0),""),IFNA(MATCH($B83,'DIVISION 15'!$A$15:$H$15,0),""),IFNA(MATCH($B83,'DIVISION 15'!$A$16:$H$16,0),""),IFNA(MATCH($B83,'DIVISION 15'!$A$17:$H$17,0),""),IFNA(MATCH($B83,'DIVISION 15'!$A$18:$H$18,0),""))=2,'DIVISION 15'!$B$1,SUM(IFNA(MATCH($B83,'DIVISION 15'!$A$2:$H$2,0),""),IFNA(MATCH($B83,'DIVISION 15'!$A$3:$H$3,0),""),IFNA(MATCH($B83,'DIVISION 15'!$A$4:$H$4,0),""),IFNA(MATCH($B83,'DIVISION 15'!$A$5:$H$5,0),""),IFNA(MATCH($B83,'DIVISION 15'!$A$6:$H$6,0),""),IFNA(MATCH($B83,'DIVISION 15'!$A$7:$H$7,0),""),IFNA(MATCH($B83,'DIVISION 15'!$A$8:$H$8,0),""),IFNA(MATCH($B83,'DIVISION 15'!$A$9:$H$9,0),""),IFNA(MATCH($B83,'DIVISION 15'!$A$10:$H$10,0),""),IFNA(MATCH($B83,'DIVISION 15'!$A$11:$H$11,0),""),IFNA(MATCH($B83,'DIVISION 15'!$A$12:$H$12,0),""),IFNA(MATCH($B83,'DIVISION 15'!$A$13:$H$13,0),""),IFNA(MATCH($B83,'DIVISION 15'!$A$14:$H$14,0),""),IFNA(MATCH($B83,'DIVISION 15'!$A$15:$H$15,0),""),IFNA(MATCH($B83,'DIVISION 15'!$A$16:$H$16,0),""),IFNA(MATCH($B83,'DIVISION 15'!$A$17:$H$17,0),""),IFNA(MATCH($B83,'DIVISION 15'!$A$18:$H$18,0),""))=3,'DIVISION 15'!$C$1,SUM(IFNA(MATCH($B83,'DIVISION 15'!$A$2:$H$2,0),""),IFNA(MATCH($B83,'DIVISION 15'!$A$3:$H$3,0),""),IFNA(MATCH($B83,'DIVISION 15'!$A$4:$H$4,0),""),IFNA(MATCH($B83,'DIVISION 15'!$A$5:$H$5,0),""),IFNA(MATCH($B83,'DIVISION 15'!$A$6:$H$6,0),""),IFNA(MATCH($B83,'DIVISION 15'!$A$7:$H$7,0),""),IFNA(MATCH($B83,'DIVISION 15'!$A$8:$H$8,0),""),IFNA(MATCH($B83,'DIVISION 15'!$A$9:$H$9,0),""),IFNA(MATCH($B83,'DIVISION 15'!$A$10:$H$10,0),""),IFNA(MATCH($B83,'DIVISION 15'!$A$11:$H$11,0),""),IFNA(MATCH($B83,'DIVISION 15'!$A$12:$H$12,0),""),IFNA(MATCH($B83,'DIVISION 15'!$A$13:$H$13,0),""),IFNA(MATCH($B83,'DIVISION 15'!$A$14:$H$14,0),""),IFNA(MATCH($B83,'DIVISION 15'!$A$15:$H$15,0),""),IFNA(MATCH($B83,'DIVISION 15'!$A$16:$H$16,0),""),IFNA(MATCH($B83,'DIVISION 15'!$A$17:$H$17,0),""),IFNA(MATCH($B83,'DIVISION 15'!$A$18:$H$18,0),""))=4,'DIVISION 15'!$D$1,SUM(IFNA(MATCH($B83,'DIVISION 15'!$A$2:$H$2,0),""),IFNA(MATCH($B83,'DIVISION 15'!$A$3:$H$3,0),""),IFNA(MATCH($B83,'DIVISION 15'!$A$4:$H$4,0),""),IFNA(MATCH($B83,'DIVISION 15'!$A$5:$H$5,0),""),IFNA(MATCH($B83,'DIVISION 15'!$A$6:$H$6,0),""),IFNA(MATCH($B83,'DIVISION 15'!$A$7:$H$7,0),""),IFNA(MATCH($B83,'DIVISION 15'!$A$8:$H$8,0),""),IFNA(MATCH($B83,'DIVISION 15'!$A$9:$H$9,0),""),IFNA(MATCH($B83,'DIVISION 15'!$A$10:$H$10,0),""),IFNA(MATCH($B83,'DIVISION 15'!$A$11:$H$11,0),""),IFNA(MATCH($B83,'DIVISION 15'!$A$12:$H$12,0),""),IFNA(MATCH($B83,'DIVISION 15'!$A$13:$H$13,0),""),IFNA(MATCH($B83,'DIVISION 15'!$A$14:$H$14,0),""),IFNA(MATCH($B83,'DIVISION 15'!$A$15:$H$15,0),""),IFNA(MATCH($B83,'DIVISION 15'!$A$16:$H$16,0),""),IFNA(MATCH($B83,'DIVISION 15'!$A$17:$H$17,0),""),IFNA(MATCH($B83,'DIVISION 15'!$A$18:$H$18,0),""))=5,'DIVISION 15'!$E$1,SUM(IFNA(MATCH($B83,'DIVISION 15'!$A$2:$H$2,0),""),IFNA(MATCH($B83,'DIVISION 15'!$A$3:$H$3,0),""),IFNA(MATCH($B83,'DIVISION 15'!$A$4:$H$4,0),""),IFNA(MATCH($B83,'DIVISION 15'!$A$5:$H$5,0),""),IFNA(MATCH($B83,'DIVISION 15'!$A$6:$H$6,0),""),IFNA(MATCH($B83,'DIVISION 15'!$A$7:$H$7,0),""),IFNA(MATCH($B83,'DIVISION 15'!$A$8:$H$8,0),""),IFNA(MATCH($B83,'DIVISION 15'!$A$9:$H$9,0),""),IFNA(MATCH($B83,'DIVISION 15'!$A$10:$H$10,0),""),IFNA(MATCH($B83,'DIVISION 15'!$A$11:$H$11,0),""),IFNA(MATCH($B83,'DIVISION 15'!$A$12:$H$12,0),""),IFNA(MATCH($B83,'DIVISION 15'!$A$13:$H$13,0),""),IFNA(MATCH($B83,'DIVISION 15'!$A$14:$H$14,0),""),IFNA(MATCH($B83,'DIVISION 15'!$A$15:$H$15,0),""),IFNA(MATCH($B83,'DIVISION 15'!$A$16:$H$16,0),""),IFNA(MATCH($B83,'DIVISION 15'!$A$17:$H$17,0),""),IFNA(MATCH($B83,'DIVISION 15'!$A$18:$H$18,0),""))=6,'DIVISION 15'!$F$1,SUM(IFNA(MATCH($B83,'DIVISION 15'!$A$2:$H$2,0),""),IFNA(MATCH($B83,'DIVISION 15'!$A$3:$H$3,0),""),IFNA(MATCH($B83,'DIVISION 15'!$A$4:$H$4,0),""),IFNA(MATCH($B83,'DIVISION 15'!$A$5:$H$5,0),""),IFNA(MATCH($B83,'DIVISION 15'!$A$6:$H$6,0),""),IFNA(MATCH($B83,'DIVISION 15'!$A$7:$H$7,0),""),IFNA(MATCH($B83,'DIVISION 15'!$A$8:$H$8,0),""),IFNA(MATCH($B83,'DIVISION 15'!$A$9:$H$9,0),""),IFNA(MATCH($B83,'DIVISION 15'!$A$10:$H$10,0),""),IFNA(MATCH($B83,'DIVISION 15'!$A$11:$H$11,0),""),IFNA(MATCH($B83,'DIVISION 15'!$A$12:$H$12,0),""),IFNA(MATCH($B83,'DIVISION 15'!$A$13:$H$13,0),""),IFNA(MATCH($B83,'DIVISION 15'!$A$14:$H$14,0),""),IFNA(MATCH($B83,'DIVISION 15'!$A$15:$H$15,0),""),IFNA(MATCH($B83,'DIVISION 15'!$A$16:$H$16,0),""),IFNA(MATCH($B83,'DIVISION 15'!$A$17:$H$17,0),""),IFNA(MATCH($B83,'DIVISION 15'!$A$18:$H$18,0),""))=7,'DIVISION 15'!$G$1,SUM(IFNA(MATCH($B83,'DIVISION 15'!$A$2:$H$2,0),""),IFNA(MATCH($B83,'DIVISION 15'!$A$3:$H$3,0),""),IFNA(MATCH($B83,'DIVISION 15'!$A$4:$H$4,0),""),IFNA(MATCH($B83,'DIVISION 15'!$A$5:$H$5,0),""),IFNA(MATCH($B83,'DIVISION 15'!$A$6:$H$6,0),""),IFNA(MATCH($B83,'DIVISION 15'!$A$7:$H$7,0),""),IFNA(MATCH($B83,'DIVISION 15'!$A$8:$H$8,0),""),IFNA(MATCH($B83,'DIVISION 15'!$A$9:$H$9,0),""),IFNA(MATCH($B83,'DIVISION 15'!$A$10:$H$10,0),""),IFNA(MATCH($B83,'DIVISION 15'!$A$11:$H$11,0),""),IFNA(MATCH($B83,'DIVISION 15'!$A$12:$H$12,0),""),IFNA(MATCH($B83,'DIVISION 15'!$A$13:$H$13,0),""),IFNA(MATCH($B83,'DIVISION 15'!$A$14:$H$14,0),""),IFNA(MATCH($B83,'DIVISION 15'!$A$15:$H$15,0),""),IFNA(MATCH($B83,'DIVISION 15'!$A$16:$H$16,0),""),IFNA(MATCH($B83,'DIVISION 15'!$A$17:$H$17,0),""),IFNA(MATCH($B83,'DIVISION 15'!$A$18:$H$18,0),""))=8,'DIVISION 15'!$H$1)</f>
        <v>LULI</v>
      </c>
      <c r="U83" s="15" t="str">
        <f t="shared" si="3"/>
        <v>LULI8</v>
      </c>
      <c r="V83" s="9">
        <f>SUMIF(AsistenciaViewJetAdmin!$A$3:$A$101,A83,AsistenciaViewJetAdmin!$C$3:$C$101)/(COUNTIF(AsistenciaViewJetAdmin!$D$102:V$102,"&gt;0")+COUNTIF(ActividadesEspeciales!$D$102:V$102,"&gt;0"))*100</f>
        <v>73.40425532</v>
      </c>
    </row>
    <row r="84" ht="28.5" customHeight="1">
      <c r="A84" s="3">
        <v>188.0</v>
      </c>
      <c r="B84" s="4" t="s">
        <v>690</v>
      </c>
      <c r="C84" s="5">
        <v>1084002.0</v>
      </c>
      <c r="D84" s="7" t="s">
        <v>361</v>
      </c>
      <c r="E84" s="5">
        <v>5.0233806E7</v>
      </c>
      <c r="F84" s="5" t="s">
        <v>691</v>
      </c>
      <c r="G84" s="7">
        <v>1.127886201E9</v>
      </c>
      <c r="H84" s="5" t="s">
        <v>363</v>
      </c>
      <c r="I84" s="5" t="s">
        <v>364</v>
      </c>
      <c r="J84" s="7">
        <v>1.160173786E9</v>
      </c>
      <c r="K84" s="5" t="s">
        <v>365</v>
      </c>
      <c r="L84" s="5" t="s">
        <v>366</v>
      </c>
      <c r="M84" s="7">
        <v>1.158870229E9</v>
      </c>
      <c r="N84" s="5" t="s">
        <v>61</v>
      </c>
      <c r="O84" s="5" t="s">
        <v>367</v>
      </c>
      <c r="P84" s="5" t="s">
        <v>53</v>
      </c>
      <c r="Q84" s="5" t="s">
        <v>74</v>
      </c>
      <c r="R84" s="5" t="s">
        <v>31</v>
      </c>
      <c r="S84" s="5" t="s">
        <v>32</v>
      </c>
      <c r="T84" s="8" t="str">
        <f>IFS(SUM(IFNA(MATCH($B84,'DIVISION 15'!$A$2:$H$2,0),""),IFNA(MATCH($B84,'DIVISION 15'!$A$3:$H$3,0),""),IFNA(MATCH($B84,'DIVISION 15'!$A$4:$H$4,0),""),IFNA(MATCH($B84,'DIVISION 15'!$A$5:$H$5,0),""),IFNA(MATCH($B84,'DIVISION 15'!$A$6:$H$6,0),""),IFNA(MATCH($B84,'DIVISION 15'!$A$7:$H$7,0),""),IFNA(MATCH($B84,'DIVISION 15'!$A$8:$H$8,0),""),IFNA(MATCH($B84,'DIVISION 15'!$A$9:$H$9,0),""),IFNA(MATCH($B84,'DIVISION 15'!$A$10:$H$10,0),""),IFNA(MATCH($B84,'DIVISION 15'!$A$11:$H$11,0),""),IFNA(MATCH($B84,'DIVISION 15'!$A$12:$H$12,0),""),IFNA(MATCH($B84,'DIVISION 15'!$A$13:$H$13,0),""),IFNA(MATCH($B84,'DIVISION 15'!$A$14:$H$14,0),""),IFNA(MATCH($B84,'DIVISION 15'!$A$15:$H$15,0),""),IFNA(MATCH($B84,'DIVISION 15'!$A$16:$H$16,0),""),IFNA(MATCH($B84,'DIVISION 15'!$A$17:$H$17,0),""),IFNA(MATCH($B84,'DIVISION 15'!$A$18:$H$18,0),""))=1,'DIVISION 15'!$A$1,SUM(IFNA(MATCH($B84,'DIVISION 15'!$A$2:$H$2,0),""),IFNA(MATCH($B84,'DIVISION 15'!$A$3:$H$3,0),""),IFNA(MATCH($B84,'DIVISION 15'!$A$4:$H$4,0),""),IFNA(MATCH($B84,'DIVISION 15'!$A$5:$H$5,0),""),IFNA(MATCH($B84,'DIVISION 15'!$A$6:$H$6,0),""),IFNA(MATCH($B84,'DIVISION 15'!$A$7:$H$7,0),""),IFNA(MATCH($B84,'DIVISION 15'!$A$8:$H$8,0),""),IFNA(MATCH($B84,'DIVISION 15'!$A$9:$H$9,0),""),IFNA(MATCH($B84,'DIVISION 15'!$A$10:$H$10,0),""),IFNA(MATCH($B84,'DIVISION 15'!$A$11:$H$11,0),""),IFNA(MATCH($B84,'DIVISION 15'!$A$12:$H$12,0),""),IFNA(MATCH($B84,'DIVISION 15'!$A$13:$H$13,0),""),IFNA(MATCH($B84,'DIVISION 15'!$A$14:$H$14,0),""),IFNA(MATCH($B84,'DIVISION 15'!$A$15:$H$15,0),""),IFNA(MATCH($B84,'DIVISION 15'!$A$16:$H$16,0),""),IFNA(MATCH($B84,'DIVISION 15'!$A$17:$H$17,0),""),IFNA(MATCH($B84,'DIVISION 15'!$A$18:$H$18,0),""))=2,'DIVISION 15'!$B$1,SUM(IFNA(MATCH($B84,'DIVISION 15'!$A$2:$H$2,0),""),IFNA(MATCH($B84,'DIVISION 15'!$A$3:$H$3,0),""),IFNA(MATCH($B84,'DIVISION 15'!$A$4:$H$4,0),""),IFNA(MATCH($B84,'DIVISION 15'!$A$5:$H$5,0),""),IFNA(MATCH($B84,'DIVISION 15'!$A$6:$H$6,0),""),IFNA(MATCH($B84,'DIVISION 15'!$A$7:$H$7,0),""),IFNA(MATCH($B84,'DIVISION 15'!$A$8:$H$8,0),""),IFNA(MATCH($B84,'DIVISION 15'!$A$9:$H$9,0),""),IFNA(MATCH($B84,'DIVISION 15'!$A$10:$H$10,0),""),IFNA(MATCH($B84,'DIVISION 15'!$A$11:$H$11,0),""),IFNA(MATCH($B84,'DIVISION 15'!$A$12:$H$12,0),""),IFNA(MATCH($B84,'DIVISION 15'!$A$13:$H$13,0),""),IFNA(MATCH($B84,'DIVISION 15'!$A$14:$H$14,0),""),IFNA(MATCH($B84,'DIVISION 15'!$A$15:$H$15,0),""),IFNA(MATCH($B84,'DIVISION 15'!$A$16:$H$16,0),""),IFNA(MATCH($B84,'DIVISION 15'!$A$17:$H$17,0),""),IFNA(MATCH($B84,'DIVISION 15'!$A$18:$H$18,0),""))=3,'DIVISION 15'!$C$1,SUM(IFNA(MATCH($B84,'DIVISION 15'!$A$2:$H$2,0),""),IFNA(MATCH($B84,'DIVISION 15'!$A$3:$H$3,0),""),IFNA(MATCH($B84,'DIVISION 15'!$A$4:$H$4,0),""),IFNA(MATCH($B84,'DIVISION 15'!$A$5:$H$5,0),""),IFNA(MATCH($B84,'DIVISION 15'!$A$6:$H$6,0),""),IFNA(MATCH($B84,'DIVISION 15'!$A$7:$H$7,0),""),IFNA(MATCH($B84,'DIVISION 15'!$A$8:$H$8,0),""),IFNA(MATCH($B84,'DIVISION 15'!$A$9:$H$9,0),""),IFNA(MATCH($B84,'DIVISION 15'!$A$10:$H$10,0),""),IFNA(MATCH($B84,'DIVISION 15'!$A$11:$H$11,0),""),IFNA(MATCH($B84,'DIVISION 15'!$A$12:$H$12,0),""),IFNA(MATCH($B84,'DIVISION 15'!$A$13:$H$13,0),""),IFNA(MATCH($B84,'DIVISION 15'!$A$14:$H$14,0),""),IFNA(MATCH($B84,'DIVISION 15'!$A$15:$H$15,0),""),IFNA(MATCH($B84,'DIVISION 15'!$A$16:$H$16,0),""),IFNA(MATCH($B84,'DIVISION 15'!$A$17:$H$17,0),""),IFNA(MATCH($B84,'DIVISION 15'!$A$18:$H$18,0),""))=4,'DIVISION 15'!$D$1,SUM(IFNA(MATCH($B84,'DIVISION 15'!$A$2:$H$2,0),""),IFNA(MATCH($B84,'DIVISION 15'!$A$3:$H$3,0),""),IFNA(MATCH($B84,'DIVISION 15'!$A$4:$H$4,0),""),IFNA(MATCH($B84,'DIVISION 15'!$A$5:$H$5,0),""),IFNA(MATCH($B84,'DIVISION 15'!$A$6:$H$6,0),""),IFNA(MATCH($B84,'DIVISION 15'!$A$7:$H$7,0),""),IFNA(MATCH($B84,'DIVISION 15'!$A$8:$H$8,0),""),IFNA(MATCH($B84,'DIVISION 15'!$A$9:$H$9,0),""),IFNA(MATCH($B84,'DIVISION 15'!$A$10:$H$10,0),""),IFNA(MATCH($B84,'DIVISION 15'!$A$11:$H$11,0),""),IFNA(MATCH($B84,'DIVISION 15'!$A$12:$H$12,0),""),IFNA(MATCH($B84,'DIVISION 15'!$A$13:$H$13,0),""),IFNA(MATCH($B84,'DIVISION 15'!$A$14:$H$14,0),""),IFNA(MATCH($B84,'DIVISION 15'!$A$15:$H$15,0),""),IFNA(MATCH($B84,'DIVISION 15'!$A$16:$H$16,0),""),IFNA(MATCH($B84,'DIVISION 15'!$A$17:$H$17,0),""),IFNA(MATCH($B84,'DIVISION 15'!$A$18:$H$18,0),""))=5,'DIVISION 15'!$E$1,SUM(IFNA(MATCH($B84,'DIVISION 15'!$A$2:$H$2,0),""),IFNA(MATCH($B84,'DIVISION 15'!$A$3:$H$3,0),""),IFNA(MATCH($B84,'DIVISION 15'!$A$4:$H$4,0),""),IFNA(MATCH($B84,'DIVISION 15'!$A$5:$H$5,0),""),IFNA(MATCH($B84,'DIVISION 15'!$A$6:$H$6,0),""),IFNA(MATCH($B84,'DIVISION 15'!$A$7:$H$7,0),""),IFNA(MATCH($B84,'DIVISION 15'!$A$8:$H$8,0),""),IFNA(MATCH($B84,'DIVISION 15'!$A$9:$H$9,0),""),IFNA(MATCH($B84,'DIVISION 15'!$A$10:$H$10,0),""),IFNA(MATCH($B84,'DIVISION 15'!$A$11:$H$11,0),""),IFNA(MATCH($B84,'DIVISION 15'!$A$12:$H$12,0),""),IFNA(MATCH($B84,'DIVISION 15'!$A$13:$H$13,0),""),IFNA(MATCH($B84,'DIVISION 15'!$A$14:$H$14,0),""),IFNA(MATCH($B84,'DIVISION 15'!$A$15:$H$15,0),""),IFNA(MATCH($B84,'DIVISION 15'!$A$16:$H$16,0),""),IFNA(MATCH($B84,'DIVISION 15'!$A$17:$H$17,0),""),IFNA(MATCH($B84,'DIVISION 15'!$A$18:$H$18,0),""))=6,'DIVISION 15'!$F$1,SUM(IFNA(MATCH($B84,'DIVISION 15'!$A$2:$H$2,0),""),IFNA(MATCH($B84,'DIVISION 15'!$A$3:$H$3,0),""),IFNA(MATCH($B84,'DIVISION 15'!$A$4:$H$4,0),""),IFNA(MATCH($B84,'DIVISION 15'!$A$5:$H$5,0),""),IFNA(MATCH($B84,'DIVISION 15'!$A$6:$H$6,0),""),IFNA(MATCH($B84,'DIVISION 15'!$A$7:$H$7,0),""),IFNA(MATCH($B84,'DIVISION 15'!$A$8:$H$8,0),""),IFNA(MATCH($B84,'DIVISION 15'!$A$9:$H$9,0),""),IFNA(MATCH($B84,'DIVISION 15'!$A$10:$H$10,0),""),IFNA(MATCH($B84,'DIVISION 15'!$A$11:$H$11,0),""),IFNA(MATCH($B84,'DIVISION 15'!$A$12:$H$12,0),""),IFNA(MATCH($B84,'DIVISION 15'!$A$13:$H$13,0),""),IFNA(MATCH($B84,'DIVISION 15'!$A$14:$H$14,0),""),IFNA(MATCH($B84,'DIVISION 15'!$A$15:$H$15,0),""),IFNA(MATCH($B84,'DIVISION 15'!$A$16:$H$16,0),""),IFNA(MATCH($B84,'DIVISION 15'!$A$17:$H$17,0),""),IFNA(MATCH($B84,'DIVISION 15'!$A$18:$H$18,0),""))=7,'DIVISION 15'!$G$1,SUM(IFNA(MATCH($B84,'DIVISION 15'!$A$2:$H$2,0),""),IFNA(MATCH($B84,'DIVISION 15'!$A$3:$H$3,0),""),IFNA(MATCH($B84,'DIVISION 15'!$A$4:$H$4,0),""),IFNA(MATCH($B84,'DIVISION 15'!$A$5:$H$5,0),""),IFNA(MATCH($B84,'DIVISION 15'!$A$6:$H$6,0),""),IFNA(MATCH($B84,'DIVISION 15'!$A$7:$H$7,0),""),IFNA(MATCH($B84,'DIVISION 15'!$A$8:$H$8,0),""),IFNA(MATCH($B84,'DIVISION 15'!$A$9:$H$9,0),""),IFNA(MATCH($B84,'DIVISION 15'!$A$10:$H$10,0),""),IFNA(MATCH($B84,'DIVISION 15'!$A$11:$H$11,0),""),IFNA(MATCH($B84,'DIVISION 15'!$A$12:$H$12,0),""),IFNA(MATCH($B84,'DIVISION 15'!$A$13:$H$13,0),""),IFNA(MATCH($B84,'DIVISION 15'!$A$14:$H$14,0),""),IFNA(MATCH($B84,'DIVISION 15'!$A$15:$H$15,0),""),IFNA(MATCH($B84,'DIVISION 15'!$A$16:$H$16,0),""),IFNA(MATCH($B84,'DIVISION 15'!$A$17:$H$17,0),""),IFNA(MATCH($B84,'DIVISION 15'!$A$18:$H$18,0),""))=8,'DIVISION 15'!$H$1)</f>
        <v>LULI</v>
      </c>
      <c r="U84" s="8" t="str">
        <f t="shared" si="3"/>
        <v>LULI9</v>
      </c>
      <c r="V84" s="9">
        <f>SUMIF(AsistenciaViewJetAdmin!$A$3:$A$101,A84,AsistenciaViewJetAdmin!$C$3:$C$101)/(COUNTIF(AsistenciaViewJetAdmin!$D$102:V$102,"&gt;0")+COUNTIF(ActividadesEspeciales!$D$102:V$102,"&gt;0"))*100</f>
        <v>60.63829787</v>
      </c>
    </row>
    <row r="85" ht="28.5" customHeight="1">
      <c r="A85" s="12">
        <v>216.0</v>
      </c>
      <c r="B85" s="13" t="s">
        <v>692</v>
      </c>
      <c r="C85" s="14">
        <v>846103.0</v>
      </c>
      <c r="D85" s="10" t="s">
        <v>693</v>
      </c>
      <c r="E85" s="14">
        <v>5.0325325E7</v>
      </c>
      <c r="F85" s="14" t="s">
        <v>694</v>
      </c>
      <c r="G85" s="10">
        <v>1.1687584E9</v>
      </c>
      <c r="H85" s="14" t="s">
        <v>695</v>
      </c>
      <c r="I85" s="14" t="s">
        <v>696</v>
      </c>
      <c r="J85" s="10">
        <v>1.134391972E9</v>
      </c>
      <c r="K85" s="14" t="s">
        <v>697</v>
      </c>
      <c r="L85" s="14" t="s">
        <v>698</v>
      </c>
      <c r="M85" s="10">
        <v>1.130001333E9</v>
      </c>
      <c r="N85" s="14" t="s">
        <v>61</v>
      </c>
      <c r="O85" s="14" t="s">
        <v>120</v>
      </c>
      <c r="P85" s="14" t="s">
        <v>136</v>
      </c>
      <c r="Q85" s="14" t="s">
        <v>74</v>
      </c>
      <c r="R85" s="14" t="s">
        <v>31</v>
      </c>
      <c r="S85" s="14" t="s">
        <v>32</v>
      </c>
      <c r="T85" s="8" t="str">
        <f>IFS(SUM(IFNA(MATCH($B85,'DIVISION 15'!$A$2:$H$2,0),""),IFNA(MATCH($B85,'DIVISION 15'!$A$3:$H$3,0),""),IFNA(MATCH($B85,'DIVISION 15'!$A$4:$H$4,0),""),IFNA(MATCH($B85,'DIVISION 15'!$A$5:$H$5,0),""),IFNA(MATCH($B85,'DIVISION 15'!$A$6:$H$6,0),""),IFNA(MATCH($B85,'DIVISION 15'!$A$7:$H$7,0),""),IFNA(MATCH($B85,'DIVISION 15'!$A$8:$H$8,0),""),IFNA(MATCH($B85,'DIVISION 15'!$A$9:$H$9,0),""),IFNA(MATCH($B85,'DIVISION 15'!$A$10:$H$10,0),""),IFNA(MATCH($B85,'DIVISION 15'!$A$11:$H$11,0),""),IFNA(MATCH($B85,'DIVISION 15'!$A$12:$H$12,0),""),IFNA(MATCH($B85,'DIVISION 15'!$A$13:$H$13,0),""),IFNA(MATCH($B85,'DIVISION 15'!$A$14:$H$14,0),""),IFNA(MATCH($B85,'DIVISION 15'!$A$15:$H$15,0),""),IFNA(MATCH($B85,'DIVISION 15'!$A$16:$H$16,0),""),IFNA(MATCH($B85,'DIVISION 15'!$A$17:$H$17,0),""),IFNA(MATCH($B85,'DIVISION 15'!$A$18:$H$18,0),""))=1,'DIVISION 15'!$A$1,SUM(IFNA(MATCH($B85,'DIVISION 15'!$A$2:$H$2,0),""),IFNA(MATCH($B85,'DIVISION 15'!$A$3:$H$3,0),""),IFNA(MATCH($B85,'DIVISION 15'!$A$4:$H$4,0),""),IFNA(MATCH($B85,'DIVISION 15'!$A$5:$H$5,0),""),IFNA(MATCH($B85,'DIVISION 15'!$A$6:$H$6,0),""),IFNA(MATCH($B85,'DIVISION 15'!$A$7:$H$7,0),""),IFNA(MATCH($B85,'DIVISION 15'!$A$8:$H$8,0),""),IFNA(MATCH($B85,'DIVISION 15'!$A$9:$H$9,0),""),IFNA(MATCH($B85,'DIVISION 15'!$A$10:$H$10,0),""),IFNA(MATCH($B85,'DIVISION 15'!$A$11:$H$11,0),""),IFNA(MATCH($B85,'DIVISION 15'!$A$12:$H$12,0),""),IFNA(MATCH($B85,'DIVISION 15'!$A$13:$H$13,0),""),IFNA(MATCH($B85,'DIVISION 15'!$A$14:$H$14,0),""),IFNA(MATCH($B85,'DIVISION 15'!$A$15:$H$15,0),""),IFNA(MATCH($B85,'DIVISION 15'!$A$16:$H$16,0),""),IFNA(MATCH($B85,'DIVISION 15'!$A$17:$H$17,0),""),IFNA(MATCH($B85,'DIVISION 15'!$A$18:$H$18,0),""))=2,'DIVISION 15'!$B$1,SUM(IFNA(MATCH($B85,'DIVISION 15'!$A$2:$H$2,0),""),IFNA(MATCH($B85,'DIVISION 15'!$A$3:$H$3,0),""),IFNA(MATCH($B85,'DIVISION 15'!$A$4:$H$4,0),""),IFNA(MATCH($B85,'DIVISION 15'!$A$5:$H$5,0),""),IFNA(MATCH($B85,'DIVISION 15'!$A$6:$H$6,0),""),IFNA(MATCH($B85,'DIVISION 15'!$A$7:$H$7,0),""),IFNA(MATCH($B85,'DIVISION 15'!$A$8:$H$8,0),""),IFNA(MATCH($B85,'DIVISION 15'!$A$9:$H$9,0),""),IFNA(MATCH($B85,'DIVISION 15'!$A$10:$H$10,0),""),IFNA(MATCH($B85,'DIVISION 15'!$A$11:$H$11,0),""),IFNA(MATCH($B85,'DIVISION 15'!$A$12:$H$12,0),""),IFNA(MATCH($B85,'DIVISION 15'!$A$13:$H$13,0),""),IFNA(MATCH($B85,'DIVISION 15'!$A$14:$H$14,0),""),IFNA(MATCH($B85,'DIVISION 15'!$A$15:$H$15,0),""),IFNA(MATCH($B85,'DIVISION 15'!$A$16:$H$16,0),""),IFNA(MATCH($B85,'DIVISION 15'!$A$17:$H$17,0),""),IFNA(MATCH($B85,'DIVISION 15'!$A$18:$H$18,0),""))=3,'DIVISION 15'!$C$1,SUM(IFNA(MATCH($B85,'DIVISION 15'!$A$2:$H$2,0),""),IFNA(MATCH($B85,'DIVISION 15'!$A$3:$H$3,0),""),IFNA(MATCH($B85,'DIVISION 15'!$A$4:$H$4,0),""),IFNA(MATCH($B85,'DIVISION 15'!$A$5:$H$5,0),""),IFNA(MATCH($B85,'DIVISION 15'!$A$6:$H$6,0),""),IFNA(MATCH($B85,'DIVISION 15'!$A$7:$H$7,0),""),IFNA(MATCH($B85,'DIVISION 15'!$A$8:$H$8,0),""),IFNA(MATCH($B85,'DIVISION 15'!$A$9:$H$9,0),""),IFNA(MATCH($B85,'DIVISION 15'!$A$10:$H$10,0),""),IFNA(MATCH($B85,'DIVISION 15'!$A$11:$H$11,0),""),IFNA(MATCH($B85,'DIVISION 15'!$A$12:$H$12,0),""),IFNA(MATCH($B85,'DIVISION 15'!$A$13:$H$13,0),""),IFNA(MATCH($B85,'DIVISION 15'!$A$14:$H$14,0),""),IFNA(MATCH($B85,'DIVISION 15'!$A$15:$H$15,0),""),IFNA(MATCH($B85,'DIVISION 15'!$A$16:$H$16,0),""),IFNA(MATCH($B85,'DIVISION 15'!$A$17:$H$17,0),""),IFNA(MATCH($B85,'DIVISION 15'!$A$18:$H$18,0),""))=4,'DIVISION 15'!$D$1,SUM(IFNA(MATCH($B85,'DIVISION 15'!$A$2:$H$2,0),""),IFNA(MATCH($B85,'DIVISION 15'!$A$3:$H$3,0),""),IFNA(MATCH($B85,'DIVISION 15'!$A$4:$H$4,0),""),IFNA(MATCH($B85,'DIVISION 15'!$A$5:$H$5,0),""),IFNA(MATCH($B85,'DIVISION 15'!$A$6:$H$6,0),""),IFNA(MATCH($B85,'DIVISION 15'!$A$7:$H$7,0),""),IFNA(MATCH($B85,'DIVISION 15'!$A$8:$H$8,0),""),IFNA(MATCH($B85,'DIVISION 15'!$A$9:$H$9,0),""),IFNA(MATCH($B85,'DIVISION 15'!$A$10:$H$10,0),""),IFNA(MATCH($B85,'DIVISION 15'!$A$11:$H$11,0),""),IFNA(MATCH($B85,'DIVISION 15'!$A$12:$H$12,0),""),IFNA(MATCH($B85,'DIVISION 15'!$A$13:$H$13,0),""),IFNA(MATCH($B85,'DIVISION 15'!$A$14:$H$14,0),""),IFNA(MATCH($B85,'DIVISION 15'!$A$15:$H$15,0),""),IFNA(MATCH($B85,'DIVISION 15'!$A$16:$H$16,0),""),IFNA(MATCH($B85,'DIVISION 15'!$A$17:$H$17,0),""),IFNA(MATCH($B85,'DIVISION 15'!$A$18:$H$18,0),""))=5,'DIVISION 15'!$E$1,SUM(IFNA(MATCH($B85,'DIVISION 15'!$A$2:$H$2,0),""),IFNA(MATCH($B85,'DIVISION 15'!$A$3:$H$3,0),""),IFNA(MATCH($B85,'DIVISION 15'!$A$4:$H$4,0),""),IFNA(MATCH($B85,'DIVISION 15'!$A$5:$H$5,0),""),IFNA(MATCH($B85,'DIVISION 15'!$A$6:$H$6,0),""),IFNA(MATCH($B85,'DIVISION 15'!$A$7:$H$7,0),""),IFNA(MATCH($B85,'DIVISION 15'!$A$8:$H$8,0),""),IFNA(MATCH($B85,'DIVISION 15'!$A$9:$H$9,0),""),IFNA(MATCH($B85,'DIVISION 15'!$A$10:$H$10,0),""),IFNA(MATCH($B85,'DIVISION 15'!$A$11:$H$11,0),""),IFNA(MATCH($B85,'DIVISION 15'!$A$12:$H$12,0),""),IFNA(MATCH($B85,'DIVISION 15'!$A$13:$H$13,0),""),IFNA(MATCH($B85,'DIVISION 15'!$A$14:$H$14,0),""),IFNA(MATCH($B85,'DIVISION 15'!$A$15:$H$15,0),""),IFNA(MATCH($B85,'DIVISION 15'!$A$16:$H$16,0),""),IFNA(MATCH($B85,'DIVISION 15'!$A$17:$H$17,0),""),IFNA(MATCH($B85,'DIVISION 15'!$A$18:$H$18,0),""))=6,'DIVISION 15'!$F$1,SUM(IFNA(MATCH($B85,'DIVISION 15'!$A$2:$H$2,0),""),IFNA(MATCH($B85,'DIVISION 15'!$A$3:$H$3,0),""),IFNA(MATCH($B85,'DIVISION 15'!$A$4:$H$4,0),""),IFNA(MATCH($B85,'DIVISION 15'!$A$5:$H$5,0),""),IFNA(MATCH($B85,'DIVISION 15'!$A$6:$H$6,0),""),IFNA(MATCH($B85,'DIVISION 15'!$A$7:$H$7,0),""),IFNA(MATCH($B85,'DIVISION 15'!$A$8:$H$8,0),""),IFNA(MATCH($B85,'DIVISION 15'!$A$9:$H$9,0),""),IFNA(MATCH($B85,'DIVISION 15'!$A$10:$H$10,0),""),IFNA(MATCH($B85,'DIVISION 15'!$A$11:$H$11,0),""),IFNA(MATCH($B85,'DIVISION 15'!$A$12:$H$12,0),""),IFNA(MATCH($B85,'DIVISION 15'!$A$13:$H$13,0),""),IFNA(MATCH($B85,'DIVISION 15'!$A$14:$H$14,0),""),IFNA(MATCH($B85,'DIVISION 15'!$A$15:$H$15,0),""),IFNA(MATCH($B85,'DIVISION 15'!$A$16:$H$16,0),""),IFNA(MATCH($B85,'DIVISION 15'!$A$17:$H$17,0),""),IFNA(MATCH($B85,'DIVISION 15'!$A$18:$H$18,0),""))=7,'DIVISION 15'!$G$1,SUM(IFNA(MATCH($B85,'DIVISION 15'!$A$2:$H$2,0),""),IFNA(MATCH($B85,'DIVISION 15'!$A$3:$H$3,0),""),IFNA(MATCH($B85,'DIVISION 15'!$A$4:$H$4,0),""),IFNA(MATCH($B85,'DIVISION 15'!$A$5:$H$5,0),""),IFNA(MATCH($B85,'DIVISION 15'!$A$6:$H$6,0),""),IFNA(MATCH($B85,'DIVISION 15'!$A$7:$H$7,0),""),IFNA(MATCH($B85,'DIVISION 15'!$A$8:$H$8,0),""),IFNA(MATCH($B85,'DIVISION 15'!$A$9:$H$9,0),""),IFNA(MATCH($B85,'DIVISION 15'!$A$10:$H$10,0),""),IFNA(MATCH($B85,'DIVISION 15'!$A$11:$H$11,0),""),IFNA(MATCH($B85,'DIVISION 15'!$A$12:$H$12,0),""),IFNA(MATCH($B85,'DIVISION 15'!$A$13:$H$13,0),""),IFNA(MATCH($B85,'DIVISION 15'!$A$14:$H$14,0),""),IFNA(MATCH($B85,'DIVISION 15'!$A$15:$H$15,0),""),IFNA(MATCH($B85,'DIVISION 15'!$A$16:$H$16,0),""),IFNA(MATCH($B85,'DIVISION 15'!$A$17:$H$17,0),""),IFNA(MATCH($B85,'DIVISION 15'!$A$18:$H$18,0),""))=8,'DIVISION 15'!$H$1)</f>
        <v>LULI</v>
      </c>
      <c r="U85" s="15" t="str">
        <f t="shared" si="3"/>
        <v>LULI10</v>
      </c>
      <c r="V85" s="9">
        <f>SUMIF(AsistenciaViewJetAdmin!$A$3:$A$101,A85,AsistenciaViewJetAdmin!$C$3:$C$101)/(COUNTIF(AsistenciaViewJetAdmin!$D$102:V$102,"&gt;0")+COUNTIF(ActividadesEspeciales!$D$102:V$102,"&gt;0"))*100</f>
        <v>68.61702128</v>
      </c>
    </row>
    <row r="86" ht="28.5" customHeight="1">
      <c r="A86" s="3">
        <v>104.0</v>
      </c>
      <c r="B86" s="4" t="s">
        <v>699</v>
      </c>
      <c r="C86" s="5">
        <v>11796.0</v>
      </c>
      <c r="D86" s="6">
        <v>39669.0</v>
      </c>
      <c r="E86" s="5">
        <v>4.8802962E7</v>
      </c>
      <c r="F86" s="5" t="s">
        <v>700</v>
      </c>
      <c r="G86" s="7">
        <v>1.126441818E9</v>
      </c>
      <c r="H86" s="5" t="s">
        <v>701</v>
      </c>
      <c r="I86" s="5" t="s">
        <v>702</v>
      </c>
      <c r="J86" s="7">
        <v>1.164802066E9</v>
      </c>
      <c r="K86" s="5" t="s">
        <v>703</v>
      </c>
      <c r="L86" s="5" t="s">
        <v>704</v>
      </c>
      <c r="M86" s="7">
        <v>1.149170535E9</v>
      </c>
      <c r="N86" s="5" t="s">
        <v>705</v>
      </c>
      <c r="O86" s="5" t="s">
        <v>706</v>
      </c>
      <c r="P86" s="5" t="s">
        <v>120</v>
      </c>
      <c r="Q86" s="5" t="s">
        <v>129</v>
      </c>
      <c r="R86" s="5" t="s">
        <v>31</v>
      </c>
      <c r="S86" s="5" t="s">
        <v>32</v>
      </c>
      <c r="T86" s="8" t="str">
        <f>IFS(SUM(IFNA(MATCH($B86,'DIVISION 15'!$A$2:$H$2,0),""),IFNA(MATCH($B86,'DIVISION 15'!$A$3:$H$3,0),""),IFNA(MATCH($B86,'DIVISION 15'!$A$4:$H$4,0),""),IFNA(MATCH($B86,'DIVISION 15'!$A$5:$H$5,0),""),IFNA(MATCH($B86,'DIVISION 15'!$A$6:$H$6,0),""),IFNA(MATCH($B86,'DIVISION 15'!$A$7:$H$7,0),""),IFNA(MATCH($B86,'DIVISION 15'!$A$8:$H$8,0),""),IFNA(MATCH($B86,'DIVISION 15'!$A$9:$H$9,0),""),IFNA(MATCH($B86,'DIVISION 15'!$A$10:$H$10,0),""),IFNA(MATCH($B86,'DIVISION 15'!$A$11:$H$11,0),""),IFNA(MATCH($B86,'DIVISION 15'!$A$12:$H$12,0),""),IFNA(MATCH($B86,'DIVISION 15'!$A$13:$H$13,0),""),IFNA(MATCH($B86,'DIVISION 15'!$A$14:$H$14,0),""),IFNA(MATCH($B86,'DIVISION 15'!$A$15:$H$15,0),""),IFNA(MATCH($B86,'DIVISION 15'!$A$16:$H$16,0),""),IFNA(MATCH($B86,'DIVISION 15'!$A$17:$H$17,0),""),IFNA(MATCH($B86,'DIVISION 15'!$A$18:$H$18,0),""))=1,'DIVISION 15'!$A$1,SUM(IFNA(MATCH($B86,'DIVISION 15'!$A$2:$H$2,0),""),IFNA(MATCH($B86,'DIVISION 15'!$A$3:$H$3,0),""),IFNA(MATCH($B86,'DIVISION 15'!$A$4:$H$4,0),""),IFNA(MATCH($B86,'DIVISION 15'!$A$5:$H$5,0),""),IFNA(MATCH($B86,'DIVISION 15'!$A$6:$H$6,0),""),IFNA(MATCH($B86,'DIVISION 15'!$A$7:$H$7,0),""),IFNA(MATCH($B86,'DIVISION 15'!$A$8:$H$8,0),""),IFNA(MATCH($B86,'DIVISION 15'!$A$9:$H$9,0),""),IFNA(MATCH($B86,'DIVISION 15'!$A$10:$H$10,0),""),IFNA(MATCH($B86,'DIVISION 15'!$A$11:$H$11,0),""),IFNA(MATCH($B86,'DIVISION 15'!$A$12:$H$12,0),""),IFNA(MATCH($B86,'DIVISION 15'!$A$13:$H$13,0),""),IFNA(MATCH($B86,'DIVISION 15'!$A$14:$H$14,0),""),IFNA(MATCH($B86,'DIVISION 15'!$A$15:$H$15,0),""),IFNA(MATCH($B86,'DIVISION 15'!$A$16:$H$16,0),""),IFNA(MATCH($B86,'DIVISION 15'!$A$17:$H$17,0),""),IFNA(MATCH($B86,'DIVISION 15'!$A$18:$H$18,0),""))=2,'DIVISION 15'!$B$1,SUM(IFNA(MATCH($B86,'DIVISION 15'!$A$2:$H$2,0),""),IFNA(MATCH($B86,'DIVISION 15'!$A$3:$H$3,0),""),IFNA(MATCH($B86,'DIVISION 15'!$A$4:$H$4,0),""),IFNA(MATCH($B86,'DIVISION 15'!$A$5:$H$5,0),""),IFNA(MATCH($B86,'DIVISION 15'!$A$6:$H$6,0),""),IFNA(MATCH($B86,'DIVISION 15'!$A$7:$H$7,0),""),IFNA(MATCH($B86,'DIVISION 15'!$A$8:$H$8,0),""),IFNA(MATCH($B86,'DIVISION 15'!$A$9:$H$9,0),""),IFNA(MATCH($B86,'DIVISION 15'!$A$10:$H$10,0),""),IFNA(MATCH($B86,'DIVISION 15'!$A$11:$H$11,0),""),IFNA(MATCH($B86,'DIVISION 15'!$A$12:$H$12,0),""),IFNA(MATCH($B86,'DIVISION 15'!$A$13:$H$13,0),""),IFNA(MATCH($B86,'DIVISION 15'!$A$14:$H$14,0),""),IFNA(MATCH($B86,'DIVISION 15'!$A$15:$H$15,0),""),IFNA(MATCH($B86,'DIVISION 15'!$A$16:$H$16,0),""),IFNA(MATCH($B86,'DIVISION 15'!$A$17:$H$17,0),""),IFNA(MATCH($B86,'DIVISION 15'!$A$18:$H$18,0),""))=3,'DIVISION 15'!$C$1,SUM(IFNA(MATCH($B86,'DIVISION 15'!$A$2:$H$2,0),""),IFNA(MATCH($B86,'DIVISION 15'!$A$3:$H$3,0),""),IFNA(MATCH($B86,'DIVISION 15'!$A$4:$H$4,0),""),IFNA(MATCH($B86,'DIVISION 15'!$A$5:$H$5,0),""),IFNA(MATCH($B86,'DIVISION 15'!$A$6:$H$6,0),""),IFNA(MATCH($B86,'DIVISION 15'!$A$7:$H$7,0),""),IFNA(MATCH($B86,'DIVISION 15'!$A$8:$H$8,0),""),IFNA(MATCH($B86,'DIVISION 15'!$A$9:$H$9,0),""),IFNA(MATCH($B86,'DIVISION 15'!$A$10:$H$10,0),""),IFNA(MATCH($B86,'DIVISION 15'!$A$11:$H$11,0),""),IFNA(MATCH($B86,'DIVISION 15'!$A$12:$H$12,0),""),IFNA(MATCH($B86,'DIVISION 15'!$A$13:$H$13,0),""),IFNA(MATCH($B86,'DIVISION 15'!$A$14:$H$14,0),""),IFNA(MATCH($B86,'DIVISION 15'!$A$15:$H$15,0),""),IFNA(MATCH($B86,'DIVISION 15'!$A$16:$H$16,0),""),IFNA(MATCH($B86,'DIVISION 15'!$A$17:$H$17,0),""),IFNA(MATCH($B86,'DIVISION 15'!$A$18:$H$18,0),""))=4,'DIVISION 15'!$D$1,SUM(IFNA(MATCH($B86,'DIVISION 15'!$A$2:$H$2,0),""),IFNA(MATCH($B86,'DIVISION 15'!$A$3:$H$3,0),""),IFNA(MATCH($B86,'DIVISION 15'!$A$4:$H$4,0),""),IFNA(MATCH($B86,'DIVISION 15'!$A$5:$H$5,0),""),IFNA(MATCH($B86,'DIVISION 15'!$A$6:$H$6,0),""),IFNA(MATCH($B86,'DIVISION 15'!$A$7:$H$7,0),""),IFNA(MATCH($B86,'DIVISION 15'!$A$8:$H$8,0),""),IFNA(MATCH($B86,'DIVISION 15'!$A$9:$H$9,0),""),IFNA(MATCH($B86,'DIVISION 15'!$A$10:$H$10,0),""),IFNA(MATCH($B86,'DIVISION 15'!$A$11:$H$11,0),""),IFNA(MATCH($B86,'DIVISION 15'!$A$12:$H$12,0),""),IFNA(MATCH($B86,'DIVISION 15'!$A$13:$H$13,0),""),IFNA(MATCH($B86,'DIVISION 15'!$A$14:$H$14,0),""),IFNA(MATCH($B86,'DIVISION 15'!$A$15:$H$15,0),""),IFNA(MATCH($B86,'DIVISION 15'!$A$16:$H$16,0),""),IFNA(MATCH($B86,'DIVISION 15'!$A$17:$H$17,0),""),IFNA(MATCH($B86,'DIVISION 15'!$A$18:$H$18,0),""))=5,'DIVISION 15'!$E$1,SUM(IFNA(MATCH($B86,'DIVISION 15'!$A$2:$H$2,0),""),IFNA(MATCH($B86,'DIVISION 15'!$A$3:$H$3,0),""),IFNA(MATCH($B86,'DIVISION 15'!$A$4:$H$4,0),""),IFNA(MATCH($B86,'DIVISION 15'!$A$5:$H$5,0),""),IFNA(MATCH($B86,'DIVISION 15'!$A$6:$H$6,0),""),IFNA(MATCH($B86,'DIVISION 15'!$A$7:$H$7,0),""),IFNA(MATCH($B86,'DIVISION 15'!$A$8:$H$8,0),""),IFNA(MATCH($B86,'DIVISION 15'!$A$9:$H$9,0),""),IFNA(MATCH($B86,'DIVISION 15'!$A$10:$H$10,0),""),IFNA(MATCH($B86,'DIVISION 15'!$A$11:$H$11,0),""),IFNA(MATCH($B86,'DIVISION 15'!$A$12:$H$12,0),""),IFNA(MATCH($B86,'DIVISION 15'!$A$13:$H$13,0),""),IFNA(MATCH($B86,'DIVISION 15'!$A$14:$H$14,0),""),IFNA(MATCH($B86,'DIVISION 15'!$A$15:$H$15,0),""),IFNA(MATCH($B86,'DIVISION 15'!$A$16:$H$16,0),""),IFNA(MATCH($B86,'DIVISION 15'!$A$17:$H$17,0),""),IFNA(MATCH($B86,'DIVISION 15'!$A$18:$H$18,0),""))=6,'DIVISION 15'!$F$1,SUM(IFNA(MATCH($B86,'DIVISION 15'!$A$2:$H$2,0),""),IFNA(MATCH($B86,'DIVISION 15'!$A$3:$H$3,0),""),IFNA(MATCH($B86,'DIVISION 15'!$A$4:$H$4,0),""),IFNA(MATCH($B86,'DIVISION 15'!$A$5:$H$5,0),""),IFNA(MATCH($B86,'DIVISION 15'!$A$6:$H$6,0),""),IFNA(MATCH($B86,'DIVISION 15'!$A$7:$H$7,0),""),IFNA(MATCH($B86,'DIVISION 15'!$A$8:$H$8,0),""),IFNA(MATCH($B86,'DIVISION 15'!$A$9:$H$9,0),""),IFNA(MATCH($B86,'DIVISION 15'!$A$10:$H$10,0),""),IFNA(MATCH($B86,'DIVISION 15'!$A$11:$H$11,0),""),IFNA(MATCH($B86,'DIVISION 15'!$A$12:$H$12,0),""),IFNA(MATCH($B86,'DIVISION 15'!$A$13:$H$13,0),""),IFNA(MATCH($B86,'DIVISION 15'!$A$14:$H$14,0),""),IFNA(MATCH($B86,'DIVISION 15'!$A$15:$H$15,0),""),IFNA(MATCH($B86,'DIVISION 15'!$A$16:$H$16,0),""),IFNA(MATCH($B86,'DIVISION 15'!$A$17:$H$17,0),""),IFNA(MATCH($B86,'DIVISION 15'!$A$18:$H$18,0),""))=7,'DIVISION 15'!$G$1,SUM(IFNA(MATCH($B86,'DIVISION 15'!$A$2:$H$2,0),""),IFNA(MATCH($B86,'DIVISION 15'!$A$3:$H$3,0),""),IFNA(MATCH($B86,'DIVISION 15'!$A$4:$H$4,0),""),IFNA(MATCH($B86,'DIVISION 15'!$A$5:$H$5,0),""),IFNA(MATCH($B86,'DIVISION 15'!$A$6:$H$6,0),""),IFNA(MATCH($B86,'DIVISION 15'!$A$7:$H$7,0),""),IFNA(MATCH($B86,'DIVISION 15'!$A$8:$H$8,0),""),IFNA(MATCH($B86,'DIVISION 15'!$A$9:$H$9,0),""),IFNA(MATCH($B86,'DIVISION 15'!$A$10:$H$10,0),""),IFNA(MATCH($B86,'DIVISION 15'!$A$11:$H$11,0),""),IFNA(MATCH($B86,'DIVISION 15'!$A$12:$H$12,0),""),IFNA(MATCH($B86,'DIVISION 15'!$A$13:$H$13,0),""),IFNA(MATCH($B86,'DIVISION 15'!$A$14:$H$14,0),""),IFNA(MATCH($B86,'DIVISION 15'!$A$15:$H$15,0),""),IFNA(MATCH($B86,'DIVISION 15'!$A$16:$H$16,0),""),IFNA(MATCH($B86,'DIVISION 15'!$A$17:$H$17,0),""),IFNA(MATCH($B86,'DIVISION 15'!$A$18:$H$18,0),""))=8,'DIVISION 15'!$H$1)</f>
        <v>MARTO</v>
      </c>
      <c r="U86" s="8"/>
      <c r="V86" s="9">
        <f>SUMIF(AsistenciaViewJetAdmin!$A$3:$A$101,A86,AsistenciaViewJetAdmin!$C$3:$C$101)/(COUNTIF(AsistenciaViewJetAdmin!$D$102:V$102,"&gt;0")+COUNTIF(ActividadesEspeciales!$D$102:V$102,"&gt;0"))*100</f>
        <v>58.5106383</v>
      </c>
    </row>
    <row r="87" ht="28.5" customHeight="1">
      <c r="A87" s="3">
        <v>174.0</v>
      </c>
      <c r="B87" s="4" t="s">
        <v>707</v>
      </c>
      <c r="C87" s="5">
        <v>924904.0</v>
      </c>
      <c r="D87" s="6">
        <v>39853.0</v>
      </c>
      <c r="E87" s="5">
        <v>4.969676E7</v>
      </c>
      <c r="F87" s="5" t="s">
        <v>708</v>
      </c>
      <c r="G87" s="7">
        <v>1.169366582E9</v>
      </c>
      <c r="H87" s="5" t="s">
        <v>709</v>
      </c>
      <c r="I87" s="5" t="s">
        <v>710</v>
      </c>
      <c r="J87" s="7">
        <v>1.144344217E9</v>
      </c>
      <c r="K87" s="5" t="s">
        <v>711</v>
      </c>
      <c r="L87" s="5" t="s">
        <v>712</v>
      </c>
      <c r="M87" s="7">
        <v>1.140262223E9</v>
      </c>
      <c r="N87" s="5" t="s">
        <v>27</v>
      </c>
      <c r="O87" s="5" t="s">
        <v>96</v>
      </c>
      <c r="P87" s="5" t="s">
        <v>96</v>
      </c>
      <c r="Q87" s="5" t="s">
        <v>30</v>
      </c>
      <c r="R87" s="5" t="s">
        <v>31</v>
      </c>
      <c r="S87" s="5" t="s">
        <v>43</v>
      </c>
      <c r="T87" s="8" t="str">
        <f>IFS(SUM(IFNA(MATCH($B87,'DIVISION 15'!$A$2:$H$2,0),""),IFNA(MATCH($B87,'DIVISION 15'!$A$3:$H$3,0),""),IFNA(MATCH($B87,'DIVISION 15'!$A$4:$H$4,0),""),IFNA(MATCH($B87,'DIVISION 15'!$A$5:$H$5,0),""),IFNA(MATCH($B87,'DIVISION 15'!$A$6:$H$6,0),""),IFNA(MATCH($B87,'DIVISION 15'!$A$7:$H$7,0),""),IFNA(MATCH($B87,'DIVISION 15'!$A$8:$H$8,0),""),IFNA(MATCH($B87,'DIVISION 15'!$A$9:$H$9,0),""),IFNA(MATCH($B87,'DIVISION 15'!$A$10:$H$10,0),""),IFNA(MATCH($B87,'DIVISION 15'!$A$11:$H$11,0),""),IFNA(MATCH($B87,'DIVISION 15'!$A$12:$H$12,0),""),IFNA(MATCH($B87,'DIVISION 15'!$A$13:$H$13,0),""),IFNA(MATCH($B87,'DIVISION 15'!$A$14:$H$14,0),""),IFNA(MATCH($B87,'DIVISION 15'!$A$15:$H$15,0),""),IFNA(MATCH($B87,'DIVISION 15'!$A$16:$H$16,0),""),IFNA(MATCH($B87,'DIVISION 15'!$A$17:$H$17,0),""),IFNA(MATCH($B87,'DIVISION 15'!$A$18:$H$18,0),""))=1,'DIVISION 15'!$A$1,SUM(IFNA(MATCH($B87,'DIVISION 15'!$A$2:$H$2,0),""),IFNA(MATCH($B87,'DIVISION 15'!$A$3:$H$3,0),""),IFNA(MATCH($B87,'DIVISION 15'!$A$4:$H$4,0),""),IFNA(MATCH($B87,'DIVISION 15'!$A$5:$H$5,0),""),IFNA(MATCH($B87,'DIVISION 15'!$A$6:$H$6,0),""),IFNA(MATCH($B87,'DIVISION 15'!$A$7:$H$7,0),""),IFNA(MATCH($B87,'DIVISION 15'!$A$8:$H$8,0),""),IFNA(MATCH($B87,'DIVISION 15'!$A$9:$H$9,0),""),IFNA(MATCH($B87,'DIVISION 15'!$A$10:$H$10,0),""),IFNA(MATCH($B87,'DIVISION 15'!$A$11:$H$11,0),""),IFNA(MATCH($B87,'DIVISION 15'!$A$12:$H$12,0),""),IFNA(MATCH($B87,'DIVISION 15'!$A$13:$H$13,0),""),IFNA(MATCH($B87,'DIVISION 15'!$A$14:$H$14,0),""),IFNA(MATCH($B87,'DIVISION 15'!$A$15:$H$15,0),""),IFNA(MATCH($B87,'DIVISION 15'!$A$16:$H$16,0),""),IFNA(MATCH($B87,'DIVISION 15'!$A$17:$H$17,0),""),IFNA(MATCH($B87,'DIVISION 15'!$A$18:$H$18,0),""))=2,'DIVISION 15'!$B$1,SUM(IFNA(MATCH($B87,'DIVISION 15'!$A$2:$H$2,0),""),IFNA(MATCH($B87,'DIVISION 15'!$A$3:$H$3,0),""),IFNA(MATCH($B87,'DIVISION 15'!$A$4:$H$4,0),""),IFNA(MATCH($B87,'DIVISION 15'!$A$5:$H$5,0),""),IFNA(MATCH($B87,'DIVISION 15'!$A$6:$H$6,0),""),IFNA(MATCH($B87,'DIVISION 15'!$A$7:$H$7,0),""),IFNA(MATCH($B87,'DIVISION 15'!$A$8:$H$8,0),""),IFNA(MATCH($B87,'DIVISION 15'!$A$9:$H$9,0),""),IFNA(MATCH($B87,'DIVISION 15'!$A$10:$H$10,0),""),IFNA(MATCH($B87,'DIVISION 15'!$A$11:$H$11,0),""),IFNA(MATCH($B87,'DIVISION 15'!$A$12:$H$12,0),""),IFNA(MATCH($B87,'DIVISION 15'!$A$13:$H$13,0),""),IFNA(MATCH($B87,'DIVISION 15'!$A$14:$H$14,0),""),IFNA(MATCH($B87,'DIVISION 15'!$A$15:$H$15,0),""),IFNA(MATCH($B87,'DIVISION 15'!$A$16:$H$16,0),""),IFNA(MATCH($B87,'DIVISION 15'!$A$17:$H$17,0),""),IFNA(MATCH($B87,'DIVISION 15'!$A$18:$H$18,0),""))=3,'DIVISION 15'!$C$1,SUM(IFNA(MATCH($B87,'DIVISION 15'!$A$2:$H$2,0),""),IFNA(MATCH($B87,'DIVISION 15'!$A$3:$H$3,0),""),IFNA(MATCH($B87,'DIVISION 15'!$A$4:$H$4,0),""),IFNA(MATCH($B87,'DIVISION 15'!$A$5:$H$5,0),""),IFNA(MATCH($B87,'DIVISION 15'!$A$6:$H$6,0),""),IFNA(MATCH($B87,'DIVISION 15'!$A$7:$H$7,0),""),IFNA(MATCH($B87,'DIVISION 15'!$A$8:$H$8,0),""),IFNA(MATCH($B87,'DIVISION 15'!$A$9:$H$9,0),""),IFNA(MATCH($B87,'DIVISION 15'!$A$10:$H$10,0),""),IFNA(MATCH($B87,'DIVISION 15'!$A$11:$H$11,0),""),IFNA(MATCH($B87,'DIVISION 15'!$A$12:$H$12,0),""),IFNA(MATCH($B87,'DIVISION 15'!$A$13:$H$13,0),""),IFNA(MATCH($B87,'DIVISION 15'!$A$14:$H$14,0),""),IFNA(MATCH($B87,'DIVISION 15'!$A$15:$H$15,0),""),IFNA(MATCH($B87,'DIVISION 15'!$A$16:$H$16,0),""),IFNA(MATCH($B87,'DIVISION 15'!$A$17:$H$17,0),""),IFNA(MATCH($B87,'DIVISION 15'!$A$18:$H$18,0),""))=4,'DIVISION 15'!$D$1,SUM(IFNA(MATCH($B87,'DIVISION 15'!$A$2:$H$2,0),""),IFNA(MATCH($B87,'DIVISION 15'!$A$3:$H$3,0),""),IFNA(MATCH($B87,'DIVISION 15'!$A$4:$H$4,0),""),IFNA(MATCH($B87,'DIVISION 15'!$A$5:$H$5,0),""),IFNA(MATCH($B87,'DIVISION 15'!$A$6:$H$6,0),""),IFNA(MATCH($B87,'DIVISION 15'!$A$7:$H$7,0),""),IFNA(MATCH($B87,'DIVISION 15'!$A$8:$H$8,0),""),IFNA(MATCH($B87,'DIVISION 15'!$A$9:$H$9,0),""),IFNA(MATCH($B87,'DIVISION 15'!$A$10:$H$10,0),""),IFNA(MATCH($B87,'DIVISION 15'!$A$11:$H$11,0),""),IFNA(MATCH($B87,'DIVISION 15'!$A$12:$H$12,0),""),IFNA(MATCH($B87,'DIVISION 15'!$A$13:$H$13,0),""),IFNA(MATCH($B87,'DIVISION 15'!$A$14:$H$14,0),""),IFNA(MATCH($B87,'DIVISION 15'!$A$15:$H$15,0),""),IFNA(MATCH($B87,'DIVISION 15'!$A$16:$H$16,0),""),IFNA(MATCH($B87,'DIVISION 15'!$A$17:$H$17,0),""),IFNA(MATCH($B87,'DIVISION 15'!$A$18:$H$18,0),""))=5,'DIVISION 15'!$E$1,SUM(IFNA(MATCH($B87,'DIVISION 15'!$A$2:$H$2,0),""),IFNA(MATCH($B87,'DIVISION 15'!$A$3:$H$3,0),""),IFNA(MATCH($B87,'DIVISION 15'!$A$4:$H$4,0),""),IFNA(MATCH($B87,'DIVISION 15'!$A$5:$H$5,0),""),IFNA(MATCH($B87,'DIVISION 15'!$A$6:$H$6,0),""),IFNA(MATCH($B87,'DIVISION 15'!$A$7:$H$7,0),""),IFNA(MATCH($B87,'DIVISION 15'!$A$8:$H$8,0),""),IFNA(MATCH($B87,'DIVISION 15'!$A$9:$H$9,0),""),IFNA(MATCH($B87,'DIVISION 15'!$A$10:$H$10,0),""),IFNA(MATCH($B87,'DIVISION 15'!$A$11:$H$11,0),""),IFNA(MATCH($B87,'DIVISION 15'!$A$12:$H$12,0),""),IFNA(MATCH($B87,'DIVISION 15'!$A$13:$H$13,0),""),IFNA(MATCH($B87,'DIVISION 15'!$A$14:$H$14,0),""),IFNA(MATCH($B87,'DIVISION 15'!$A$15:$H$15,0),""),IFNA(MATCH($B87,'DIVISION 15'!$A$16:$H$16,0),""),IFNA(MATCH($B87,'DIVISION 15'!$A$17:$H$17,0),""),IFNA(MATCH($B87,'DIVISION 15'!$A$18:$H$18,0),""))=6,'DIVISION 15'!$F$1,SUM(IFNA(MATCH($B87,'DIVISION 15'!$A$2:$H$2,0),""),IFNA(MATCH($B87,'DIVISION 15'!$A$3:$H$3,0),""),IFNA(MATCH($B87,'DIVISION 15'!$A$4:$H$4,0),""),IFNA(MATCH($B87,'DIVISION 15'!$A$5:$H$5,0),""),IFNA(MATCH($B87,'DIVISION 15'!$A$6:$H$6,0),""),IFNA(MATCH($B87,'DIVISION 15'!$A$7:$H$7,0),""),IFNA(MATCH($B87,'DIVISION 15'!$A$8:$H$8,0),""),IFNA(MATCH($B87,'DIVISION 15'!$A$9:$H$9,0),""),IFNA(MATCH($B87,'DIVISION 15'!$A$10:$H$10,0),""),IFNA(MATCH($B87,'DIVISION 15'!$A$11:$H$11,0),""),IFNA(MATCH($B87,'DIVISION 15'!$A$12:$H$12,0),""),IFNA(MATCH($B87,'DIVISION 15'!$A$13:$H$13,0),""),IFNA(MATCH($B87,'DIVISION 15'!$A$14:$H$14,0),""),IFNA(MATCH($B87,'DIVISION 15'!$A$15:$H$15,0),""),IFNA(MATCH($B87,'DIVISION 15'!$A$16:$H$16,0),""),IFNA(MATCH($B87,'DIVISION 15'!$A$17:$H$17,0),""),IFNA(MATCH($B87,'DIVISION 15'!$A$18:$H$18,0),""))=7,'DIVISION 15'!$G$1,SUM(IFNA(MATCH($B87,'DIVISION 15'!$A$2:$H$2,0),""),IFNA(MATCH($B87,'DIVISION 15'!$A$3:$H$3,0),""),IFNA(MATCH($B87,'DIVISION 15'!$A$4:$H$4,0),""),IFNA(MATCH($B87,'DIVISION 15'!$A$5:$H$5,0),""),IFNA(MATCH($B87,'DIVISION 15'!$A$6:$H$6,0),""),IFNA(MATCH($B87,'DIVISION 15'!$A$7:$H$7,0),""),IFNA(MATCH($B87,'DIVISION 15'!$A$8:$H$8,0),""),IFNA(MATCH($B87,'DIVISION 15'!$A$9:$H$9,0),""),IFNA(MATCH($B87,'DIVISION 15'!$A$10:$H$10,0),""),IFNA(MATCH($B87,'DIVISION 15'!$A$11:$H$11,0),""),IFNA(MATCH($B87,'DIVISION 15'!$A$12:$H$12,0),""),IFNA(MATCH($B87,'DIVISION 15'!$A$13:$H$13,0),""),IFNA(MATCH($B87,'DIVISION 15'!$A$14:$H$14,0),""),IFNA(MATCH($B87,'DIVISION 15'!$A$15:$H$15,0),""),IFNA(MATCH($B87,'DIVISION 15'!$A$16:$H$16,0),""),IFNA(MATCH($B87,'DIVISION 15'!$A$17:$H$17,0),""),IFNA(MATCH($B87,'DIVISION 15'!$A$18:$H$18,0),""))=8,'DIVISION 15'!$H$1)</f>
        <v>GONZI</v>
      </c>
      <c r="U87" s="8" t="str">
        <f t="shared" ref="U87:U100" si="4">T87&amp;COUNTIF($T$1:T87,T87)</f>
        <v>GONZI11</v>
      </c>
      <c r="V87" s="9">
        <f>SUMIF(AsistenciaViewJetAdmin!$A$3:$A$101,A87,AsistenciaViewJetAdmin!$C$3:$C$101)/(COUNTIF(AsistenciaViewJetAdmin!$D$102:V$102,"&gt;0")+COUNTIF(ActividadesEspeciales!$D$102:V$102,"&gt;0"))*100</f>
        <v>81.91489362</v>
      </c>
    </row>
    <row r="88" ht="28.5" customHeight="1">
      <c r="A88" s="12">
        <v>166.0</v>
      </c>
      <c r="B88" s="13" t="s">
        <v>713</v>
      </c>
      <c r="C88" s="14">
        <v>1076204.0</v>
      </c>
      <c r="D88" s="16">
        <v>40032.0</v>
      </c>
      <c r="E88" s="14">
        <v>4.9555268E7</v>
      </c>
      <c r="F88" s="14" t="s">
        <v>714</v>
      </c>
      <c r="G88" s="10">
        <v>1.133123123E9</v>
      </c>
      <c r="H88" s="14" t="s">
        <v>715</v>
      </c>
      <c r="I88" s="14" t="s">
        <v>716</v>
      </c>
      <c r="J88" s="10">
        <v>1.11558645128E11</v>
      </c>
      <c r="K88" s="14" t="s">
        <v>717</v>
      </c>
      <c r="L88" s="14" t="s">
        <v>718</v>
      </c>
      <c r="M88" s="10">
        <v>1.158783627E9</v>
      </c>
      <c r="N88" s="14" t="s">
        <v>719</v>
      </c>
      <c r="O88" s="14" t="s">
        <v>120</v>
      </c>
      <c r="P88" s="14" t="s">
        <v>53</v>
      </c>
      <c r="Q88" s="14" t="s">
        <v>74</v>
      </c>
      <c r="R88" s="14" t="s">
        <v>31</v>
      </c>
      <c r="S88" s="14" t="s">
        <v>43</v>
      </c>
      <c r="T88" s="8" t="str">
        <f>IFS(SUM(IFNA(MATCH($B88,'DIVISION 15'!$A$2:$H$2,0),""),IFNA(MATCH($B88,'DIVISION 15'!$A$3:$H$3,0),""),IFNA(MATCH($B88,'DIVISION 15'!$A$4:$H$4,0),""),IFNA(MATCH($B88,'DIVISION 15'!$A$5:$H$5,0),""),IFNA(MATCH($B88,'DIVISION 15'!$A$6:$H$6,0),""),IFNA(MATCH($B88,'DIVISION 15'!$A$7:$H$7,0),""),IFNA(MATCH($B88,'DIVISION 15'!$A$8:$H$8,0),""),IFNA(MATCH($B88,'DIVISION 15'!$A$9:$H$9,0),""),IFNA(MATCH($B88,'DIVISION 15'!$A$10:$H$10,0),""),IFNA(MATCH($B88,'DIVISION 15'!$A$11:$H$11,0),""),IFNA(MATCH($B88,'DIVISION 15'!$A$12:$H$12,0),""),IFNA(MATCH($B88,'DIVISION 15'!$A$13:$H$13,0),""),IFNA(MATCH($B88,'DIVISION 15'!$A$14:$H$14,0),""),IFNA(MATCH($B88,'DIVISION 15'!$A$15:$H$15,0),""),IFNA(MATCH($B88,'DIVISION 15'!$A$16:$H$16,0),""),IFNA(MATCH($B88,'DIVISION 15'!$A$17:$H$17,0),""),IFNA(MATCH($B88,'DIVISION 15'!$A$18:$H$18,0),""))=1,'DIVISION 15'!$A$1,SUM(IFNA(MATCH($B88,'DIVISION 15'!$A$2:$H$2,0),""),IFNA(MATCH($B88,'DIVISION 15'!$A$3:$H$3,0),""),IFNA(MATCH($B88,'DIVISION 15'!$A$4:$H$4,0),""),IFNA(MATCH($B88,'DIVISION 15'!$A$5:$H$5,0),""),IFNA(MATCH($B88,'DIVISION 15'!$A$6:$H$6,0),""),IFNA(MATCH($B88,'DIVISION 15'!$A$7:$H$7,0),""),IFNA(MATCH($B88,'DIVISION 15'!$A$8:$H$8,0),""),IFNA(MATCH($B88,'DIVISION 15'!$A$9:$H$9,0),""),IFNA(MATCH($B88,'DIVISION 15'!$A$10:$H$10,0),""),IFNA(MATCH($B88,'DIVISION 15'!$A$11:$H$11,0),""),IFNA(MATCH($B88,'DIVISION 15'!$A$12:$H$12,0),""),IFNA(MATCH($B88,'DIVISION 15'!$A$13:$H$13,0),""),IFNA(MATCH($B88,'DIVISION 15'!$A$14:$H$14,0),""),IFNA(MATCH($B88,'DIVISION 15'!$A$15:$H$15,0),""),IFNA(MATCH($B88,'DIVISION 15'!$A$16:$H$16,0),""),IFNA(MATCH($B88,'DIVISION 15'!$A$17:$H$17,0),""),IFNA(MATCH($B88,'DIVISION 15'!$A$18:$H$18,0),""))=2,'DIVISION 15'!$B$1,SUM(IFNA(MATCH($B88,'DIVISION 15'!$A$2:$H$2,0),""),IFNA(MATCH($B88,'DIVISION 15'!$A$3:$H$3,0),""),IFNA(MATCH($B88,'DIVISION 15'!$A$4:$H$4,0),""),IFNA(MATCH($B88,'DIVISION 15'!$A$5:$H$5,0),""),IFNA(MATCH($B88,'DIVISION 15'!$A$6:$H$6,0),""),IFNA(MATCH($B88,'DIVISION 15'!$A$7:$H$7,0),""),IFNA(MATCH($B88,'DIVISION 15'!$A$8:$H$8,0),""),IFNA(MATCH($B88,'DIVISION 15'!$A$9:$H$9,0),""),IFNA(MATCH($B88,'DIVISION 15'!$A$10:$H$10,0),""),IFNA(MATCH($B88,'DIVISION 15'!$A$11:$H$11,0),""),IFNA(MATCH($B88,'DIVISION 15'!$A$12:$H$12,0),""),IFNA(MATCH($B88,'DIVISION 15'!$A$13:$H$13,0),""),IFNA(MATCH($B88,'DIVISION 15'!$A$14:$H$14,0),""),IFNA(MATCH($B88,'DIVISION 15'!$A$15:$H$15,0),""),IFNA(MATCH($B88,'DIVISION 15'!$A$16:$H$16,0),""),IFNA(MATCH($B88,'DIVISION 15'!$A$17:$H$17,0),""),IFNA(MATCH($B88,'DIVISION 15'!$A$18:$H$18,0),""))=3,'DIVISION 15'!$C$1,SUM(IFNA(MATCH($B88,'DIVISION 15'!$A$2:$H$2,0),""),IFNA(MATCH($B88,'DIVISION 15'!$A$3:$H$3,0),""),IFNA(MATCH($B88,'DIVISION 15'!$A$4:$H$4,0),""),IFNA(MATCH($B88,'DIVISION 15'!$A$5:$H$5,0),""),IFNA(MATCH($B88,'DIVISION 15'!$A$6:$H$6,0),""),IFNA(MATCH($B88,'DIVISION 15'!$A$7:$H$7,0),""),IFNA(MATCH($B88,'DIVISION 15'!$A$8:$H$8,0),""),IFNA(MATCH($B88,'DIVISION 15'!$A$9:$H$9,0),""),IFNA(MATCH($B88,'DIVISION 15'!$A$10:$H$10,0),""),IFNA(MATCH($B88,'DIVISION 15'!$A$11:$H$11,0),""),IFNA(MATCH($B88,'DIVISION 15'!$A$12:$H$12,0),""),IFNA(MATCH($B88,'DIVISION 15'!$A$13:$H$13,0),""),IFNA(MATCH($B88,'DIVISION 15'!$A$14:$H$14,0),""),IFNA(MATCH($B88,'DIVISION 15'!$A$15:$H$15,0),""),IFNA(MATCH($B88,'DIVISION 15'!$A$16:$H$16,0),""),IFNA(MATCH($B88,'DIVISION 15'!$A$17:$H$17,0),""),IFNA(MATCH($B88,'DIVISION 15'!$A$18:$H$18,0),""))=4,'DIVISION 15'!$D$1,SUM(IFNA(MATCH($B88,'DIVISION 15'!$A$2:$H$2,0),""),IFNA(MATCH($B88,'DIVISION 15'!$A$3:$H$3,0),""),IFNA(MATCH($B88,'DIVISION 15'!$A$4:$H$4,0),""),IFNA(MATCH($B88,'DIVISION 15'!$A$5:$H$5,0),""),IFNA(MATCH($B88,'DIVISION 15'!$A$6:$H$6,0),""),IFNA(MATCH($B88,'DIVISION 15'!$A$7:$H$7,0),""),IFNA(MATCH($B88,'DIVISION 15'!$A$8:$H$8,0),""),IFNA(MATCH($B88,'DIVISION 15'!$A$9:$H$9,0),""),IFNA(MATCH($B88,'DIVISION 15'!$A$10:$H$10,0),""),IFNA(MATCH($B88,'DIVISION 15'!$A$11:$H$11,0),""),IFNA(MATCH($B88,'DIVISION 15'!$A$12:$H$12,0),""),IFNA(MATCH($B88,'DIVISION 15'!$A$13:$H$13,0),""),IFNA(MATCH($B88,'DIVISION 15'!$A$14:$H$14,0),""),IFNA(MATCH($B88,'DIVISION 15'!$A$15:$H$15,0),""),IFNA(MATCH($B88,'DIVISION 15'!$A$16:$H$16,0),""),IFNA(MATCH($B88,'DIVISION 15'!$A$17:$H$17,0),""),IFNA(MATCH($B88,'DIVISION 15'!$A$18:$H$18,0),""))=5,'DIVISION 15'!$E$1,SUM(IFNA(MATCH($B88,'DIVISION 15'!$A$2:$H$2,0),""),IFNA(MATCH($B88,'DIVISION 15'!$A$3:$H$3,0),""),IFNA(MATCH($B88,'DIVISION 15'!$A$4:$H$4,0),""),IFNA(MATCH($B88,'DIVISION 15'!$A$5:$H$5,0),""),IFNA(MATCH($B88,'DIVISION 15'!$A$6:$H$6,0),""),IFNA(MATCH($B88,'DIVISION 15'!$A$7:$H$7,0),""),IFNA(MATCH($B88,'DIVISION 15'!$A$8:$H$8,0),""),IFNA(MATCH($B88,'DIVISION 15'!$A$9:$H$9,0),""),IFNA(MATCH($B88,'DIVISION 15'!$A$10:$H$10,0),""),IFNA(MATCH($B88,'DIVISION 15'!$A$11:$H$11,0),""),IFNA(MATCH($B88,'DIVISION 15'!$A$12:$H$12,0),""),IFNA(MATCH($B88,'DIVISION 15'!$A$13:$H$13,0),""),IFNA(MATCH($B88,'DIVISION 15'!$A$14:$H$14,0),""),IFNA(MATCH($B88,'DIVISION 15'!$A$15:$H$15,0),""),IFNA(MATCH($B88,'DIVISION 15'!$A$16:$H$16,0),""),IFNA(MATCH($B88,'DIVISION 15'!$A$17:$H$17,0),""),IFNA(MATCH($B88,'DIVISION 15'!$A$18:$H$18,0),""))=6,'DIVISION 15'!$F$1,SUM(IFNA(MATCH($B88,'DIVISION 15'!$A$2:$H$2,0),""),IFNA(MATCH($B88,'DIVISION 15'!$A$3:$H$3,0),""),IFNA(MATCH($B88,'DIVISION 15'!$A$4:$H$4,0),""),IFNA(MATCH($B88,'DIVISION 15'!$A$5:$H$5,0),""),IFNA(MATCH($B88,'DIVISION 15'!$A$6:$H$6,0),""),IFNA(MATCH($B88,'DIVISION 15'!$A$7:$H$7,0),""),IFNA(MATCH($B88,'DIVISION 15'!$A$8:$H$8,0),""),IFNA(MATCH($B88,'DIVISION 15'!$A$9:$H$9,0),""),IFNA(MATCH($B88,'DIVISION 15'!$A$10:$H$10,0),""),IFNA(MATCH($B88,'DIVISION 15'!$A$11:$H$11,0),""),IFNA(MATCH($B88,'DIVISION 15'!$A$12:$H$12,0),""),IFNA(MATCH($B88,'DIVISION 15'!$A$13:$H$13,0),""),IFNA(MATCH($B88,'DIVISION 15'!$A$14:$H$14,0),""),IFNA(MATCH($B88,'DIVISION 15'!$A$15:$H$15,0),""),IFNA(MATCH($B88,'DIVISION 15'!$A$16:$H$16,0),""),IFNA(MATCH($B88,'DIVISION 15'!$A$17:$H$17,0),""),IFNA(MATCH($B88,'DIVISION 15'!$A$18:$H$18,0),""))=7,'DIVISION 15'!$G$1,SUM(IFNA(MATCH($B88,'DIVISION 15'!$A$2:$H$2,0),""),IFNA(MATCH($B88,'DIVISION 15'!$A$3:$H$3,0),""),IFNA(MATCH($B88,'DIVISION 15'!$A$4:$H$4,0),""),IFNA(MATCH($B88,'DIVISION 15'!$A$5:$H$5,0),""),IFNA(MATCH($B88,'DIVISION 15'!$A$6:$H$6,0),""),IFNA(MATCH($B88,'DIVISION 15'!$A$7:$H$7,0),""),IFNA(MATCH($B88,'DIVISION 15'!$A$8:$H$8,0),""),IFNA(MATCH($B88,'DIVISION 15'!$A$9:$H$9,0),""),IFNA(MATCH($B88,'DIVISION 15'!$A$10:$H$10,0),""),IFNA(MATCH($B88,'DIVISION 15'!$A$11:$H$11,0),""),IFNA(MATCH($B88,'DIVISION 15'!$A$12:$H$12,0),""),IFNA(MATCH($B88,'DIVISION 15'!$A$13:$H$13,0),""),IFNA(MATCH($B88,'DIVISION 15'!$A$14:$H$14,0),""),IFNA(MATCH($B88,'DIVISION 15'!$A$15:$H$15,0),""),IFNA(MATCH($B88,'DIVISION 15'!$A$16:$H$16,0),""),IFNA(MATCH($B88,'DIVISION 15'!$A$17:$H$17,0),""),IFNA(MATCH($B88,'DIVISION 15'!$A$18:$H$18,0),""))=8,'DIVISION 15'!$H$1)</f>
        <v>EITU</v>
      </c>
      <c r="U88" s="15" t="str">
        <f t="shared" si="4"/>
        <v>EITU12</v>
      </c>
      <c r="V88" s="9">
        <f>SUMIF(AsistenciaViewJetAdmin!$A$3:$A$101,A88,AsistenciaViewJetAdmin!$C$3:$C$101)/(COUNTIF(AsistenciaViewJetAdmin!$D$102:V$102,"&gt;0")+COUNTIF(ActividadesEspeciales!$D$102:V$102,"&gt;0"))*100</f>
        <v>52.65957447</v>
      </c>
    </row>
    <row r="89" ht="28.5" customHeight="1">
      <c r="A89" s="3">
        <v>145.0</v>
      </c>
      <c r="B89" s="4" t="s">
        <v>720</v>
      </c>
      <c r="C89" s="5">
        <v>1039202.0</v>
      </c>
      <c r="D89" s="6">
        <v>40094.0</v>
      </c>
      <c r="E89" s="5">
        <v>4.9551956E7</v>
      </c>
      <c r="F89" s="5" t="s">
        <v>721</v>
      </c>
      <c r="G89" s="7">
        <f>+5491124682249</f>
        <v>5491124682249</v>
      </c>
      <c r="H89" s="5" t="s">
        <v>722</v>
      </c>
      <c r="I89" s="5" t="s">
        <v>723</v>
      </c>
      <c r="J89" s="7">
        <v>1.124689006E9</v>
      </c>
      <c r="K89" s="5"/>
      <c r="L89" s="5"/>
      <c r="M89" s="7"/>
      <c r="N89" s="5" t="s">
        <v>61</v>
      </c>
      <c r="O89" s="5" t="s">
        <v>724</v>
      </c>
      <c r="P89" s="5" t="s">
        <v>120</v>
      </c>
      <c r="Q89" s="5" t="s">
        <v>30</v>
      </c>
      <c r="R89" s="5" t="s">
        <v>31</v>
      </c>
      <c r="S89" s="5" t="s">
        <v>32</v>
      </c>
      <c r="T89" s="8" t="str">
        <f>IFS(SUM(IFNA(MATCH($B89,'DIVISION 15'!$A$2:$H$2,0),""),IFNA(MATCH($B89,'DIVISION 15'!$A$3:$H$3,0),""),IFNA(MATCH($B89,'DIVISION 15'!$A$4:$H$4,0),""),IFNA(MATCH($B89,'DIVISION 15'!$A$5:$H$5,0),""),IFNA(MATCH($B89,'DIVISION 15'!$A$6:$H$6,0),""),IFNA(MATCH($B89,'DIVISION 15'!$A$7:$H$7,0),""),IFNA(MATCH($B89,'DIVISION 15'!$A$8:$H$8,0),""),IFNA(MATCH($B89,'DIVISION 15'!$A$9:$H$9,0),""),IFNA(MATCH($B89,'DIVISION 15'!$A$10:$H$10,0),""),IFNA(MATCH($B89,'DIVISION 15'!$A$11:$H$11,0),""),IFNA(MATCH($B89,'DIVISION 15'!$A$12:$H$12,0),""),IFNA(MATCH($B89,'DIVISION 15'!$A$13:$H$13,0),""),IFNA(MATCH($B89,'DIVISION 15'!$A$14:$H$14,0),""),IFNA(MATCH($B89,'DIVISION 15'!$A$15:$H$15,0),""),IFNA(MATCH($B89,'DIVISION 15'!$A$16:$H$16,0),""),IFNA(MATCH($B89,'DIVISION 15'!$A$17:$H$17,0),""),IFNA(MATCH($B89,'DIVISION 15'!$A$18:$H$18,0),""))=1,'DIVISION 15'!$A$1,SUM(IFNA(MATCH($B89,'DIVISION 15'!$A$2:$H$2,0),""),IFNA(MATCH($B89,'DIVISION 15'!$A$3:$H$3,0),""),IFNA(MATCH($B89,'DIVISION 15'!$A$4:$H$4,0),""),IFNA(MATCH($B89,'DIVISION 15'!$A$5:$H$5,0),""),IFNA(MATCH($B89,'DIVISION 15'!$A$6:$H$6,0),""),IFNA(MATCH($B89,'DIVISION 15'!$A$7:$H$7,0),""),IFNA(MATCH($B89,'DIVISION 15'!$A$8:$H$8,0),""),IFNA(MATCH($B89,'DIVISION 15'!$A$9:$H$9,0),""),IFNA(MATCH($B89,'DIVISION 15'!$A$10:$H$10,0),""),IFNA(MATCH($B89,'DIVISION 15'!$A$11:$H$11,0),""),IFNA(MATCH($B89,'DIVISION 15'!$A$12:$H$12,0),""),IFNA(MATCH($B89,'DIVISION 15'!$A$13:$H$13,0),""),IFNA(MATCH($B89,'DIVISION 15'!$A$14:$H$14,0),""),IFNA(MATCH($B89,'DIVISION 15'!$A$15:$H$15,0),""),IFNA(MATCH($B89,'DIVISION 15'!$A$16:$H$16,0),""),IFNA(MATCH($B89,'DIVISION 15'!$A$17:$H$17,0),""),IFNA(MATCH($B89,'DIVISION 15'!$A$18:$H$18,0),""))=2,'DIVISION 15'!$B$1,SUM(IFNA(MATCH($B89,'DIVISION 15'!$A$2:$H$2,0),""),IFNA(MATCH($B89,'DIVISION 15'!$A$3:$H$3,0),""),IFNA(MATCH($B89,'DIVISION 15'!$A$4:$H$4,0),""),IFNA(MATCH($B89,'DIVISION 15'!$A$5:$H$5,0),""),IFNA(MATCH($B89,'DIVISION 15'!$A$6:$H$6,0),""),IFNA(MATCH($B89,'DIVISION 15'!$A$7:$H$7,0),""),IFNA(MATCH($B89,'DIVISION 15'!$A$8:$H$8,0),""),IFNA(MATCH($B89,'DIVISION 15'!$A$9:$H$9,0),""),IFNA(MATCH($B89,'DIVISION 15'!$A$10:$H$10,0),""),IFNA(MATCH($B89,'DIVISION 15'!$A$11:$H$11,0),""),IFNA(MATCH($B89,'DIVISION 15'!$A$12:$H$12,0),""),IFNA(MATCH($B89,'DIVISION 15'!$A$13:$H$13,0),""),IFNA(MATCH($B89,'DIVISION 15'!$A$14:$H$14,0),""),IFNA(MATCH($B89,'DIVISION 15'!$A$15:$H$15,0),""),IFNA(MATCH($B89,'DIVISION 15'!$A$16:$H$16,0),""),IFNA(MATCH($B89,'DIVISION 15'!$A$17:$H$17,0),""),IFNA(MATCH($B89,'DIVISION 15'!$A$18:$H$18,0),""))=3,'DIVISION 15'!$C$1,SUM(IFNA(MATCH($B89,'DIVISION 15'!$A$2:$H$2,0),""),IFNA(MATCH($B89,'DIVISION 15'!$A$3:$H$3,0),""),IFNA(MATCH($B89,'DIVISION 15'!$A$4:$H$4,0),""),IFNA(MATCH($B89,'DIVISION 15'!$A$5:$H$5,0),""),IFNA(MATCH($B89,'DIVISION 15'!$A$6:$H$6,0),""),IFNA(MATCH($B89,'DIVISION 15'!$A$7:$H$7,0),""),IFNA(MATCH($B89,'DIVISION 15'!$A$8:$H$8,0),""),IFNA(MATCH($B89,'DIVISION 15'!$A$9:$H$9,0),""),IFNA(MATCH($B89,'DIVISION 15'!$A$10:$H$10,0),""),IFNA(MATCH($B89,'DIVISION 15'!$A$11:$H$11,0),""),IFNA(MATCH($B89,'DIVISION 15'!$A$12:$H$12,0),""),IFNA(MATCH($B89,'DIVISION 15'!$A$13:$H$13,0),""),IFNA(MATCH($B89,'DIVISION 15'!$A$14:$H$14,0),""),IFNA(MATCH($B89,'DIVISION 15'!$A$15:$H$15,0),""),IFNA(MATCH($B89,'DIVISION 15'!$A$16:$H$16,0),""),IFNA(MATCH($B89,'DIVISION 15'!$A$17:$H$17,0),""),IFNA(MATCH($B89,'DIVISION 15'!$A$18:$H$18,0),""))=4,'DIVISION 15'!$D$1,SUM(IFNA(MATCH($B89,'DIVISION 15'!$A$2:$H$2,0),""),IFNA(MATCH($B89,'DIVISION 15'!$A$3:$H$3,0),""),IFNA(MATCH($B89,'DIVISION 15'!$A$4:$H$4,0),""),IFNA(MATCH($B89,'DIVISION 15'!$A$5:$H$5,0),""),IFNA(MATCH($B89,'DIVISION 15'!$A$6:$H$6,0),""),IFNA(MATCH($B89,'DIVISION 15'!$A$7:$H$7,0),""),IFNA(MATCH($B89,'DIVISION 15'!$A$8:$H$8,0),""),IFNA(MATCH($B89,'DIVISION 15'!$A$9:$H$9,0),""),IFNA(MATCH($B89,'DIVISION 15'!$A$10:$H$10,0),""),IFNA(MATCH($B89,'DIVISION 15'!$A$11:$H$11,0),""),IFNA(MATCH($B89,'DIVISION 15'!$A$12:$H$12,0),""),IFNA(MATCH($B89,'DIVISION 15'!$A$13:$H$13,0),""),IFNA(MATCH($B89,'DIVISION 15'!$A$14:$H$14,0),""),IFNA(MATCH($B89,'DIVISION 15'!$A$15:$H$15,0),""),IFNA(MATCH($B89,'DIVISION 15'!$A$16:$H$16,0),""),IFNA(MATCH($B89,'DIVISION 15'!$A$17:$H$17,0),""),IFNA(MATCH($B89,'DIVISION 15'!$A$18:$H$18,0),""))=5,'DIVISION 15'!$E$1,SUM(IFNA(MATCH($B89,'DIVISION 15'!$A$2:$H$2,0),""),IFNA(MATCH($B89,'DIVISION 15'!$A$3:$H$3,0),""),IFNA(MATCH($B89,'DIVISION 15'!$A$4:$H$4,0),""),IFNA(MATCH($B89,'DIVISION 15'!$A$5:$H$5,0),""),IFNA(MATCH($B89,'DIVISION 15'!$A$6:$H$6,0),""),IFNA(MATCH($B89,'DIVISION 15'!$A$7:$H$7,0),""),IFNA(MATCH($B89,'DIVISION 15'!$A$8:$H$8,0),""),IFNA(MATCH($B89,'DIVISION 15'!$A$9:$H$9,0),""),IFNA(MATCH($B89,'DIVISION 15'!$A$10:$H$10,0),""),IFNA(MATCH($B89,'DIVISION 15'!$A$11:$H$11,0),""),IFNA(MATCH($B89,'DIVISION 15'!$A$12:$H$12,0),""),IFNA(MATCH($B89,'DIVISION 15'!$A$13:$H$13,0),""),IFNA(MATCH($B89,'DIVISION 15'!$A$14:$H$14,0),""),IFNA(MATCH($B89,'DIVISION 15'!$A$15:$H$15,0),""),IFNA(MATCH($B89,'DIVISION 15'!$A$16:$H$16,0),""),IFNA(MATCH($B89,'DIVISION 15'!$A$17:$H$17,0),""),IFNA(MATCH($B89,'DIVISION 15'!$A$18:$H$18,0),""))=6,'DIVISION 15'!$F$1,SUM(IFNA(MATCH($B89,'DIVISION 15'!$A$2:$H$2,0),""),IFNA(MATCH($B89,'DIVISION 15'!$A$3:$H$3,0),""),IFNA(MATCH($B89,'DIVISION 15'!$A$4:$H$4,0),""),IFNA(MATCH($B89,'DIVISION 15'!$A$5:$H$5,0),""),IFNA(MATCH($B89,'DIVISION 15'!$A$6:$H$6,0),""),IFNA(MATCH($B89,'DIVISION 15'!$A$7:$H$7,0),""),IFNA(MATCH($B89,'DIVISION 15'!$A$8:$H$8,0),""),IFNA(MATCH($B89,'DIVISION 15'!$A$9:$H$9,0),""),IFNA(MATCH($B89,'DIVISION 15'!$A$10:$H$10,0),""),IFNA(MATCH($B89,'DIVISION 15'!$A$11:$H$11,0),""),IFNA(MATCH($B89,'DIVISION 15'!$A$12:$H$12,0),""),IFNA(MATCH($B89,'DIVISION 15'!$A$13:$H$13,0),""),IFNA(MATCH($B89,'DIVISION 15'!$A$14:$H$14,0),""),IFNA(MATCH($B89,'DIVISION 15'!$A$15:$H$15,0),""),IFNA(MATCH($B89,'DIVISION 15'!$A$16:$H$16,0),""),IFNA(MATCH($B89,'DIVISION 15'!$A$17:$H$17,0),""),IFNA(MATCH($B89,'DIVISION 15'!$A$18:$H$18,0),""))=7,'DIVISION 15'!$G$1,SUM(IFNA(MATCH($B89,'DIVISION 15'!$A$2:$H$2,0),""),IFNA(MATCH($B89,'DIVISION 15'!$A$3:$H$3,0),""),IFNA(MATCH($B89,'DIVISION 15'!$A$4:$H$4,0),""),IFNA(MATCH($B89,'DIVISION 15'!$A$5:$H$5,0),""),IFNA(MATCH($B89,'DIVISION 15'!$A$6:$H$6,0),""),IFNA(MATCH($B89,'DIVISION 15'!$A$7:$H$7,0),""),IFNA(MATCH($B89,'DIVISION 15'!$A$8:$H$8,0),""),IFNA(MATCH($B89,'DIVISION 15'!$A$9:$H$9,0),""),IFNA(MATCH($B89,'DIVISION 15'!$A$10:$H$10,0),""),IFNA(MATCH($B89,'DIVISION 15'!$A$11:$H$11,0),""),IFNA(MATCH($B89,'DIVISION 15'!$A$12:$H$12,0),""),IFNA(MATCH($B89,'DIVISION 15'!$A$13:$H$13,0),""),IFNA(MATCH($B89,'DIVISION 15'!$A$14:$H$14,0),""),IFNA(MATCH($B89,'DIVISION 15'!$A$15:$H$15,0),""),IFNA(MATCH($B89,'DIVISION 15'!$A$16:$H$16,0),""),IFNA(MATCH($B89,'DIVISION 15'!$A$17:$H$17,0),""),IFNA(MATCH($B89,'DIVISION 15'!$A$18:$H$18,0),""))=8,'DIVISION 15'!$H$1)</f>
        <v>MARTO</v>
      </c>
      <c r="U89" s="8" t="str">
        <f t="shared" si="4"/>
        <v>MARTO13</v>
      </c>
      <c r="V89" s="9">
        <f>SUMIF(AsistenciaViewJetAdmin!$A$3:$A$101,A89,AsistenciaViewJetAdmin!$C$3:$C$101)/(COUNTIF(AsistenciaViewJetAdmin!$D$102:V$102,"&gt;0")+COUNTIF(ActividadesEspeciales!$D$102:V$102,"&gt;0"))*100</f>
        <v>72.87234043</v>
      </c>
    </row>
    <row r="90" ht="28.5" customHeight="1">
      <c r="A90" s="3">
        <v>116.0</v>
      </c>
      <c r="B90" s="4" t="s">
        <v>725</v>
      </c>
      <c r="C90" s="5">
        <v>1022903.0</v>
      </c>
      <c r="D90" s="6">
        <v>40394.0</v>
      </c>
      <c r="E90" s="5">
        <v>5.0047021E7</v>
      </c>
      <c r="F90" s="5" t="s">
        <v>726</v>
      </c>
      <c r="G90" s="7">
        <v>1.12271436E9</v>
      </c>
      <c r="H90" s="5" t="s">
        <v>727</v>
      </c>
      <c r="I90" s="5" t="s">
        <v>728</v>
      </c>
      <c r="J90" s="7">
        <v>1.149867677E9</v>
      </c>
      <c r="K90" s="5" t="s">
        <v>729</v>
      </c>
      <c r="L90" s="5" t="s">
        <v>730</v>
      </c>
      <c r="M90" s="7">
        <v>1.126547283E9</v>
      </c>
      <c r="N90" s="5" t="s">
        <v>51</v>
      </c>
      <c r="O90" s="5" t="s">
        <v>120</v>
      </c>
      <c r="P90" s="5" t="s">
        <v>120</v>
      </c>
      <c r="Q90" s="5" t="s">
        <v>74</v>
      </c>
      <c r="R90" s="5" t="s">
        <v>31</v>
      </c>
      <c r="S90" s="5" t="s">
        <v>32</v>
      </c>
      <c r="T90" s="8" t="str">
        <f>IFS(SUM(IFNA(MATCH($B90,'DIVISION 15'!$A$2:$H$2,0),""),IFNA(MATCH($B90,'DIVISION 15'!$A$3:$H$3,0),""),IFNA(MATCH($B90,'DIVISION 15'!$A$4:$H$4,0),""),IFNA(MATCH($B90,'DIVISION 15'!$A$5:$H$5,0),""),IFNA(MATCH($B90,'DIVISION 15'!$A$6:$H$6,0),""),IFNA(MATCH($B90,'DIVISION 15'!$A$7:$H$7,0),""),IFNA(MATCH($B90,'DIVISION 15'!$A$8:$H$8,0),""),IFNA(MATCH($B90,'DIVISION 15'!$A$9:$H$9,0),""),IFNA(MATCH($B90,'DIVISION 15'!$A$10:$H$10,0),""),IFNA(MATCH($B90,'DIVISION 15'!$A$11:$H$11,0),""),IFNA(MATCH($B90,'DIVISION 15'!$A$12:$H$12,0),""),IFNA(MATCH($B90,'DIVISION 15'!$A$13:$H$13,0),""),IFNA(MATCH($B90,'DIVISION 15'!$A$14:$H$14,0),""),IFNA(MATCH($B90,'DIVISION 15'!$A$15:$H$15,0),""),IFNA(MATCH($B90,'DIVISION 15'!$A$16:$H$16,0),""),IFNA(MATCH($B90,'DIVISION 15'!$A$17:$H$17,0),""),IFNA(MATCH($B90,'DIVISION 15'!$A$18:$H$18,0),""))=1,'DIVISION 15'!$A$1,SUM(IFNA(MATCH($B90,'DIVISION 15'!$A$2:$H$2,0),""),IFNA(MATCH($B90,'DIVISION 15'!$A$3:$H$3,0),""),IFNA(MATCH($B90,'DIVISION 15'!$A$4:$H$4,0),""),IFNA(MATCH($B90,'DIVISION 15'!$A$5:$H$5,0),""),IFNA(MATCH($B90,'DIVISION 15'!$A$6:$H$6,0),""),IFNA(MATCH($B90,'DIVISION 15'!$A$7:$H$7,0),""),IFNA(MATCH($B90,'DIVISION 15'!$A$8:$H$8,0),""),IFNA(MATCH($B90,'DIVISION 15'!$A$9:$H$9,0),""),IFNA(MATCH($B90,'DIVISION 15'!$A$10:$H$10,0),""),IFNA(MATCH($B90,'DIVISION 15'!$A$11:$H$11,0),""),IFNA(MATCH($B90,'DIVISION 15'!$A$12:$H$12,0),""),IFNA(MATCH($B90,'DIVISION 15'!$A$13:$H$13,0),""),IFNA(MATCH($B90,'DIVISION 15'!$A$14:$H$14,0),""),IFNA(MATCH($B90,'DIVISION 15'!$A$15:$H$15,0),""),IFNA(MATCH($B90,'DIVISION 15'!$A$16:$H$16,0),""),IFNA(MATCH($B90,'DIVISION 15'!$A$17:$H$17,0),""),IFNA(MATCH($B90,'DIVISION 15'!$A$18:$H$18,0),""))=2,'DIVISION 15'!$B$1,SUM(IFNA(MATCH($B90,'DIVISION 15'!$A$2:$H$2,0),""),IFNA(MATCH($B90,'DIVISION 15'!$A$3:$H$3,0),""),IFNA(MATCH($B90,'DIVISION 15'!$A$4:$H$4,0),""),IFNA(MATCH($B90,'DIVISION 15'!$A$5:$H$5,0),""),IFNA(MATCH($B90,'DIVISION 15'!$A$6:$H$6,0),""),IFNA(MATCH($B90,'DIVISION 15'!$A$7:$H$7,0),""),IFNA(MATCH($B90,'DIVISION 15'!$A$8:$H$8,0),""),IFNA(MATCH($B90,'DIVISION 15'!$A$9:$H$9,0),""),IFNA(MATCH($B90,'DIVISION 15'!$A$10:$H$10,0),""),IFNA(MATCH($B90,'DIVISION 15'!$A$11:$H$11,0),""),IFNA(MATCH($B90,'DIVISION 15'!$A$12:$H$12,0),""),IFNA(MATCH($B90,'DIVISION 15'!$A$13:$H$13,0),""),IFNA(MATCH($B90,'DIVISION 15'!$A$14:$H$14,0),""),IFNA(MATCH($B90,'DIVISION 15'!$A$15:$H$15,0),""),IFNA(MATCH($B90,'DIVISION 15'!$A$16:$H$16,0),""),IFNA(MATCH($B90,'DIVISION 15'!$A$17:$H$17,0),""),IFNA(MATCH($B90,'DIVISION 15'!$A$18:$H$18,0),""))=3,'DIVISION 15'!$C$1,SUM(IFNA(MATCH($B90,'DIVISION 15'!$A$2:$H$2,0),""),IFNA(MATCH($B90,'DIVISION 15'!$A$3:$H$3,0),""),IFNA(MATCH($B90,'DIVISION 15'!$A$4:$H$4,0),""),IFNA(MATCH($B90,'DIVISION 15'!$A$5:$H$5,0),""),IFNA(MATCH($B90,'DIVISION 15'!$A$6:$H$6,0),""),IFNA(MATCH($B90,'DIVISION 15'!$A$7:$H$7,0),""),IFNA(MATCH($B90,'DIVISION 15'!$A$8:$H$8,0),""),IFNA(MATCH($B90,'DIVISION 15'!$A$9:$H$9,0),""),IFNA(MATCH($B90,'DIVISION 15'!$A$10:$H$10,0),""),IFNA(MATCH($B90,'DIVISION 15'!$A$11:$H$11,0),""),IFNA(MATCH($B90,'DIVISION 15'!$A$12:$H$12,0),""),IFNA(MATCH($B90,'DIVISION 15'!$A$13:$H$13,0),""),IFNA(MATCH($B90,'DIVISION 15'!$A$14:$H$14,0),""),IFNA(MATCH($B90,'DIVISION 15'!$A$15:$H$15,0),""),IFNA(MATCH($B90,'DIVISION 15'!$A$16:$H$16,0),""),IFNA(MATCH($B90,'DIVISION 15'!$A$17:$H$17,0),""),IFNA(MATCH($B90,'DIVISION 15'!$A$18:$H$18,0),""))=4,'DIVISION 15'!$D$1,SUM(IFNA(MATCH($B90,'DIVISION 15'!$A$2:$H$2,0),""),IFNA(MATCH($B90,'DIVISION 15'!$A$3:$H$3,0),""),IFNA(MATCH($B90,'DIVISION 15'!$A$4:$H$4,0),""),IFNA(MATCH($B90,'DIVISION 15'!$A$5:$H$5,0),""),IFNA(MATCH($B90,'DIVISION 15'!$A$6:$H$6,0),""),IFNA(MATCH($B90,'DIVISION 15'!$A$7:$H$7,0),""),IFNA(MATCH($B90,'DIVISION 15'!$A$8:$H$8,0),""),IFNA(MATCH($B90,'DIVISION 15'!$A$9:$H$9,0),""),IFNA(MATCH($B90,'DIVISION 15'!$A$10:$H$10,0),""),IFNA(MATCH($B90,'DIVISION 15'!$A$11:$H$11,0),""),IFNA(MATCH($B90,'DIVISION 15'!$A$12:$H$12,0),""),IFNA(MATCH($B90,'DIVISION 15'!$A$13:$H$13,0),""),IFNA(MATCH($B90,'DIVISION 15'!$A$14:$H$14,0),""),IFNA(MATCH($B90,'DIVISION 15'!$A$15:$H$15,0),""),IFNA(MATCH($B90,'DIVISION 15'!$A$16:$H$16,0),""),IFNA(MATCH($B90,'DIVISION 15'!$A$17:$H$17,0),""),IFNA(MATCH($B90,'DIVISION 15'!$A$18:$H$18,0),""))=5,'DIVISION 15'!$E$1,SUM(IFNA(MATCH($B90,'DIVISION 15'!$A$2:$H$2,0),""),IFNA(MATCH($B90,'DIVISION 15'!$A$3:$H$3,0),""),IFNA(MATCH($B90,'DIVISION 15'!$A$4:$H$4,0),""),IFNA(MATCH($B90,'DIVISION 15'!$A$5:$H$5,0),""),IFNA(MATCH($B90,'DIVISION 15'!$A$6:$H$6,0),""),IFNA(MATCH($B90,'DIVISION 15'!$A$7:$H$7,0),""),IFNA(MATCH($B90,'DIVISION 15'!$A$8:$H$8,0),""),IFNA(MATCH($B90,'DIVISION 15'!$A$9:$H$9,0),""),IFNA(MATCH($B90,'DIVISION 15'!$A$10:$H$10,0),""),IFNA(MATCH($B90,'DIVISION 15'!$A$11:$H$11,0),""),IFNA(MATCH($B90,'DIVISION 15'!$A$12:$H$12,0),""),IFNA(MATCH($B90,'DIVISION 15'!$A$13:$H$13,0),""),IFNA(MATCH($B90,'DIVISION 15'!$A$14:$H$14,0),""),IFNA(MATCH($B90,'DIVISION 15'!$A$15:$H$15,0),""),IFNA(MATCH($B90,'DIVISION 15'!$A$16:$H$16,0),""),IFNA(MATCH($B90,'DIVISION 15'!$A$17:$H$17,0),""),IFNA(MATCH($B90,'DIVISION 15'!$A$18:$H$18,0),""))=6,'DIVISION 15'!$F$1,SUM(IFNA(MATCH($B90,'DIVISION 15'!$A$2:$H$2,0),""),IFNA(MATCH($B90,'DIVISION 15'!$A$3:$H$3,0),""),IFNA(MATCH($B90,'DIVISION 15'!$A$4:$H$4,0),""),IFNA(MATCH($B90,'DIVISION 15'!$A$5:$H$5,0),""),IFNA(MATCH($B90,'DIVISION 15'!$A$6:$H$6,0),""),IFNA(MATCH($B90,'DIVISION 15'!$A$7:$H$7,0),""),IFNA(MATCH($B90,'DIVISION 15'!$A$8:$H$8,0),""),IFNA(MATCH($B90,'DIVISION 15'!$A$9:$H$9,0),""),IFNA(MATCH($B90,'DIVISION 15'!$A$10:$H$10,0),""),IFNA(MATCH($B90,'DIVISION 15'!$A$11:$H$11,0),""),IFNA(MATCH($B90,'DIVISION 15'!$A$12:$H$12,0),""),IFNA(MATCH($B90,'DIVISION 15'!$A$13:$H$13,0),""),IFNA(MATCH($B90,'DIVISION 15'!$A$14:$H$14,0),""),IFNA(MATCH($B90,'DIVISION 15'!$A$15:$H$15,0),""),IFNA(MATCH($B90,'DIVISION 15'!$A$16:$H$16,0),""),IFNA(MATCH($B90,'DIVISION 15'!$A$17:$H$17,0),""),IFNA(MATCH($B90,'DIVISION 15'!$A$18:$H$18,0),""))=7,'DIVISION 15'!$G$1,SUM(IFNA(MATCH($B90,'DIVISION 15'!$A$2:$H$2,0),""),IFNA(MATCH($B90,'DIVISION 15'!$A$3:$H$3,0),""),IFNA(MATCH($B90,'DIVISION 15'!$A$4:$H$4,0),""),IFNA(MATCH($B90,'DIVISION 15'!$A$5:$H$5,0),""),IFNA(MATCH($B90,'DIVISION 15'!$A$6:$H$6,0),""),IFNA(MATCH($B90,'DIVISION 15'!$A$7:$H$7,0),""),IFNA(MATCH($B90,'DIVISION 15'!$A$8:$H$8,0),""),IFNA(MATCH($B90,'DIVISION 15'!$A$9:$H$9,0),""),IFNA(MATCH($B90,'DIVISION 15'!$A$10:$H$10,0),""),IFNA(MATCH($B90,'DIVISION 15'!$A$11:$H$11,0),""),IFNA(MATCH($B90,'DIVISION 15'!$A$12:$H$12,0),""),IFNA(MATCH($B90,'DIVISION 15'!$A$13:$H$13,0),""),IFNA(MATCH($B90,'DIVISION 15'!$A$14:$H$14,0),""),IFNA(MATCH($B90,'DIVISION 15'!$A$15:$H$15,0),""),IFNA(MATCH($B90,'DIVISION 15'!$A$16:$H$16,0),""),IFNA(MATCH($B90,'DIVISION 15'!$A$17:$H$17,0),""),IFNA(MATCH($B90,'DIVISION 15'!$A$18:$H$18,0),""))=8,'DIVISION 15'!$H$1)</f>
        <v>GASTI</v>
      </c>
      <c r="U90" s="8" t="str">
        <f t="shared" si="4"/>
        <v>GASTI10</v>
      </c>
      <c r="V90" s="9">
        <f>SUMIF(AsistenciaViewJetAdmin!$A$3:$A$101,A90,AsistenciaViewJetAdmin!$C$3:$C$101)/(COUNTIF(AsistenciaViewJetAdmin!$D$102:V$102,"&gt;0")+COUNTIF(ActividadesEspeciales!$D$102:V$102,"&gt;0"))*100</f>
        <v>82.9787234</v>
      </c>
    </row>
    <row r="91" ht="28.5" customHeight="1">
      <c r="A91" s="3">
        <v>123.0</v>
      </c>
      <c r="B91" s="4" t="s">
        <v>731</v>
      </c>
      <c r="C91" s="5">
        <v>1082902.0</v>
      </c>
      <c r="D91" s="7" t="s">
        <v>732</v>
      </c>
      <c r="E91" s="5">
        <v>4.9627891E7</v>
      </c>
      <c r="F91" s="5" t="s">
        <v>733</v>
      </c>
      <c r="G91" s="7">
        <v>1.160036667E9</v>
      </c>
      <c r="H91" s="5" t="s">
        <v>734</v>
      </c>
      <c r="I91" s="5" t="s">
        <v>735</v>
      </c>
      <c r="J91" s="7">
        <v>1.151646272E9</v>
      </c>
      <c r="K91" s="5" t="s">
        <v>736</v>
      </c>
      <c r="L91" s="5" t="s">
        <v>737</v>
      </c>
      <c r="M91" s="7">
        <v>1.144073427E9</v>
      </c>
      <c r="N91" s="5" t="s">
        <v>169</v>
      </c>
      <c r="O91" s="5" t="s">
        <v>738</v>
      </c>
      <c r="P91" s="5" t="s">
        <v>120</v>
      </c>
      <c r="Q91" s="5" t="s">
        <v>30</v>
      </c>
      <c r="R91" s="5" t="s">
        <v>31</v>
      </c>
      <c r="S91" s="5" t="s">
        <v>32</v>
      </c>
      <c r="T91" s="8" t="str">
        <f>IFS(SUM(IFNA(MATCH($B91,'DIVISION 15'!$A$2:$H$2,0),""),IFNA(MATCH($B91,'DIVISION 15'!$A$3:$H$3,0),""),IFNA(MATCH($B91,'DIVISION 15'!$A$4:$H$4,0),""),IFNA(MATCH($B91,'DIVISION 15'!$A$5:$H$5,0),""),IFNA(MATCH($B91,'DIVISION 15'!$A$6:$H$6,0),""),IFNA(MATCH($B91,'DIVISION 15'!$A$7:$H$7,0),""),IFNA(MATCH($B91,'DIVISION 15'!$A$8:$H$8,0),""),IFNA(MATCH($B91,'DIVISION 15'!$A$9:$H$9,0),""),IFNA(MATCH($B91,'DIVISION 15'!$A$10:$H$10,0),""),IFNA(MATCH($B91,'DIVISION 15'!$A$11:$H$11,0),""),IFNA(MATCH($B91,'DIVISION 15'!$A$12:$H$12,0),""),IFNA(MATCH($B91,'DIVISION 15'!$A$13:$H$13,0),""),IFNA(MATCH($B91,'DIVISION 15'!$A$14:$H$14,0),""),IFNA(MATCH($B91,'DIVISION 15'!$A$15:$H$15,0),""),IFNA(MATCH($B91,'DIVISION 15'!$A$16:$H$16,0),""),IFNA(MATCH($B91,'DIVISION 15'!$A$17:$H$17,0),""),IFNA(MATCH($B91,'DIVISION 15'!$A$18:$H$18,0),""))=1,'DIVISION 15'!$A$1,SUM(IFNA(MATCH($B91,'DIVISION 15'!$A$2:$H$2,0),""),IFNA(MATCH($B91,'DIVISION 15'!$A$3:$H$3,0),""),IFNA(MATCH($B91,'DIVISION 15'!$A$4:$H$4,0),""),IFNA(MATCH($B91,'DIVISION 15'!$A$5:$H$5,0),""),IFNA(MATCH($B91,'DIVISION 15'!$A$6:$H$6,0),""),IFNA(MATCH($B91,'DIVISION 15'!$A$7:$H$7,0),""),IFNA(MATCH($B91,'DIVISION 15'!$A$8:$H$8,0),""),IFNA(MATCH($B91,'DIVISION 15'!$A$9:$H$9,0),""),IFNA(MATCH($B91,'DIVISION 15'!$A$10:$H$10,0),""),IFNA(MATCH($B91,'DIVISION 15'!$A$11:$H$11,0),""),IFNA(MATCH($B91,'DIVISION 15'!$A$12:$H$12,0),""),IFNA(MATCH($B91,'DIVISION 15'!$A$13:$H$13,0),""),IFNA(MATCH($B91,'DIVISION 15'!$A$14:$H$14,0),""),IFNA(MATCH($B91,'DIVISION 15'!$A$15:$H$15,0),""),IFNA(MATCH($B91,'DIVISION 15'!$A$16:$H$16,0),""),IFNA(MATCH($B91,'DIVISION 15'!$A$17:$H$17,0),""),IFNA(MATCH($B91,'DIVISION 15'!$A$18:$H$18,0),""))=2,'DIVISION 15'!$B$1,SUM(IFNA(MATCH($B91,'DIVISION 15'!$A$2:$H$2,0),""),IFNA(MATCH($B91,'DIVISION 15'!$A$3:$H$3,0),""),IFNA(MATCH($B91,'DIVISION 15'!$A$4:$H$4,0),""),IFNA(MATCH($B91,'DIVISION 15'!$A$5:$H$5,0),""),IFNA(MATCH($B91,'DIVISION 15'!$A$6:$H$6,0),""),IFNA(MATCH($B91,'DIVISION 15'!$A$7:$H$7,0),""),IFNA(MATCH($B91,'DIVISION 15'!$A$8:$H$8,0),""),IFNA(MATCH($B91,'DIVISION 15'!$A$9:$H$9,0),""),IFNA(MATCH($B91,'DIVISION 15'!$A$10:$H$10,0),""),IFNA(MATCH($B91,'DIVISION 15'!$A$11:$H$11,0),""),IFNA(MATCH($B91,'DIVISION 15'!$A$12:$H$12,0),""),IFNA(MATCH($B91,'DIVISION 15'!$A$13:$H$13,0),""),IFNA(MATCH($B91,'DIVISION 15'!$A$14:$H$14,0),""),IFNA(MATCH($B91,'DIVISION 15'!$A$15:$H$15,0),""),IFNA(MATCH($B91,'DIVISION 15'!$A$16:$H$16,0),""),IFNA(MATCH($B91,'DIVISION 15'!$A$17:$H$17,0),""),IFNA(MATCH($B91,'DIVISION 15'!$A$18:$H$18,0),""))=3,'DIVISION 15'!$C$1,SUM(IFNA(MATCH($B91,'DIVISION 15'!$A$2:$H$2,0),""),IFNA(MATCH($B91,'DIVISION 15'!$A$3:$H$3,0),""),IFNA(MATCH($B91,'DIVISION 15'!$A$4:$H$4,0),""),IFNA(MATCH($B91,'DIVISION 15'!$A$5:$H$5,0),""),IFNA(MATCH($B91,'DIVISION 15'!$A$6:$H$6,0),""),IFNA(MATCH($B91,'DIVISION 15'!$A$7:$H$7,0),""),IFNA(MATCH($B91,'DIVISION 15'!$A$8:$H$8,0),""),IFNA(MATCH($B91,'DIVISION 15'!$A$9:$H$9,0),""),IFNA(MATCH($B91,'DIVISION 15'!$A$10:$H$10,0),""),IFNA(MATCH($B91,'DIVISION 15'!$A$11:$H$11,0),""),IFNA(MATCH($B91,'DIVISION 15'!$A$12:$H$12,0),""),IFNA(MATCH($B91,'DIVISION 15'!$A$13:$H$13,0),""),IFNA(MATCH($B91,'DIVISION 15'!$A$14:$H$14,0),""),IFNA(MATCH($B91,'DIVISION 15'!$A$15:$H$15,0),""),IFNA(MATCH($B91,'DIVISION 15'!$A$16:$H$16,0),""),IFNA(MATCH($B91,'DIVISION 15'!$A$17:$H$17,0),""),IFNA(MATCH($B91,'DIVISION 15'!$A$18:$H$18,0),""))=4,'DIVISION 15'!$D$1,SUM(IFNA(MATCH($B91,'DIVISION 15'!$A$2:$H$2,0),""),IFNA(MATCH($B91,'DIVISION 15'!$A$3:$H$3,0),""),IFNA(MATCH($B91,'DIVISION 15'!$A$4:$H$4,0),""),IFNA(MATCH($B91,'DIVISION 15'!$A$5:$H$5,0),""),IFNA(MATCH($B91,'DIVISION 15'!$A$6:$H$6,0),""),IFNA(MATCH($B91,'DIVISION 15'!$A$7:$H$7,0),""),IFNA(MATCH($B91,'DIVISION 15'!$A$8:$H$8,0),""),IFNA(MATCH($B91,'DIVISION 15'!$A$9:$H$9,0),""),IFNA(MATCH($B91,'DIVISION 15'!$A$10:$H$10,0),""),IFNA(MATCH($B91,'DIVISION 15'!$A$11:$H$11,0),""),IFNA(MATCH($B91,'DIVISION 15'!$A$12:$H$12,0),""),IFNA(MATCH($B91,'DIVISION 15'!$A$13:$H$13,0),""),IFNA(MATCH($B91,'DIVISION 15'!$A$14:$H$14,0),""),IFNA(MATCH($B91,'DIVISION 15'!$A$15:$H$15,0),""),IFNA(MATCH($B91,'DIVISION 15'!$A$16:$H$16,0),""),IFNA(MATCH($B91,'DIVISION 15'!$A$17:$H$17,0),""),IFNA(MATCH($B91,'DIVISION 15'!$A$18:$H$18,0),""))=5,'DIVISION 15'!$E$1,SUM(IFNA(MATCH($B91,'DIVISION 15'!$A$2:$H$2,0),""),IFNA(MATCH($B91,'DIVISION 15'!$A$3:$H$3,0),""),IFNA(MATCH($B91,'DIVISION 15'!$A$4:$H$4,0),""),IFNA(MATCH($B91,'DIVISION 15'!$A$5:$H$5,0),""),IFNA(MATCH($B91,'DIVISION 15'!$A$6:$H$6,0),""),IFNA(MATCH($B91,'DIVISION 15'!$A$7:$H$7,0),""),IFNA(MATCH($B91,'DIVISION 15'!$A$8:$H$8,0),""),IFNA(MATCH($B91,'DIVISION 15'!$A$9:$H$9,0),""),IFNA(MATCH($B91,'DIVISION 15'!$A$10:$H$10,0),""),IFNA(MATCH($B91,'DIVISION 15'!$A$11:$H$11,0),""),IFNA(MATCH($B91,'DIVISION 15'!$A$12:$H$12,0),""),IFNA(MATCH($B91,'DIVISION 15'!$A$13:$H$13,0),""),IFNA(MATCH($B91,'DIVISION 15'!$A$14:$H$14,0),""),IFNA(MATCH($B91,'DIVISION 15'!$A$15:$H$15,0),""),IFNA(MATCH($B91,'DIVISION 15'!$A$16:$H$16,0),""),IFNA(MATCH($B91,'DIVISION 15'!$A$17:$H$17,0),""),IFNA(MATCH($B91,'DIVISION 15'!$A$18:$H$18,0),""))=6,'DIVISION 15'!$F$1,SUM(IFNA(MATCH($B91,'DIVISION 15'!$A$2:$H$2,0),""),IFNA(MATCH($B91,'DIVISION 15'!$A$3:$H$3,0),""),IFNA(MATCH($B91,'DIVISION 15'!$A$4:$H$4,0),""),IFNA(MATCH($B91,'DIVISION 15'!$A$5:$H$5,0),""),IFNA(MATCH($B91,'DIVISION 15'!$A$6:$H$6,0),""),IFNA(MATCH($B91,'DIVISION 15'!$A$7:$H$7,0),""),IFNA(MATCH($B91,'DIVISION 15'!$A$8:$H$8,0),""),IFNA(MATCH($B91,'DIVISION 15'!$A$9:$H$9,0),""),IFNA(MATCH($B91,'DIVISION 15'!$A$10:$H$10,0),""),IFNA(MATCH($B91,'DIVISION 15'!$A$11:$H$11,0),""),IFNA(MATCH($B91,'DIVISION 15'!$A$12:$H$12,0),""),IFNA(MATCH($B91,'DIVISION 15'!$A$13:$H$13,0),""),IFNA(MATCH($B91,'DIVISION 15'!$A$14:$H$14,0),""),IFNA(MATCH($B91,'DIVISION 15'!$A$15:$H$15,0),""),IFNA(MATCH($B91,'DIVISION 15'!$A$16:$H$16,0),""),IFNA(MATCH($B91,'DIVISION 15'!$A$17:$H$17,0),""),IFNA(MATCH($B91,'DIVISION 15'!$A$18:$H$18,0),""))=7,'DIVISION 15'!$G$1,SUM(IFNA(MATCH($B91,'DIVISION 15'!$A$2:$H$2,0),""),IFNA(MATCH($B91,'DIVISION 15'!$A$3:$H$3,0),""),IFNA(MATCH($B91,'DIVISION 15'!$A$4:$H$4,0),""),IFNA(MATCH($B91,'DIVISION 15'!$A$5:$H$5,0),""),IFNA(MATCH($B91,'DIVISION 15'!$A$6:$H$6,0),""),IFNA(MATCH($B91,'DIVISION 15'!$A$7:$H$7,0),""),IFNA(MATCH($B91,'DIVISION 15'!$A$8:$H$8,0),""),IFNA(MATCH($B91,'DIVISION 15'!$A$9:$H$9,0),""),IFNA(MATCH($B91,'DIVISION 15'!$A$10:$H$10,0),""),IFNA(MATCH($B91,'DIVISION 15'!$A$11:$H$11,0),""),IFNA(MATCH($B91,'DIVISION 15'!$A$12:$H$12,0),""),IFNA(MATCH($B91,'DIVISION 15'!$A$13:$H$13,0),""),IFNA(MATCH($B91,'DIVISION 15'!$A$14:$H$14,0),""),IFNA(MATCH($B91,'DIVISION 15'!$A$15:$H$15,0),""),IFNA(MATCH($B91,'DIVISION 15'!$A$16:$H$16,0),""),IFNA(MATCH($B91,'DIVISION 15'!$A$17:$H$17,0),""),IFNA(MATCH($B91,'DIVISION 15'!$A$18:$H$18,0),""))=8,'DIVISION 15'!$H$1)</f>
        <v>GASTI</v>
      </c>
      <c r="U91" s="8" t="str">
        <f t="shared" si="4"/>
        <v>GASTI11</v>
      </c>
      <c r="V91" s="9">
        <f>SUMIF(AsistenciaViewJetAdmin!$A$3:$A$101,A91,AsistenciaViewJetAdmin!$C$3:$C$101)/(COUNTIF(AsistenciaViewJetAdmin!$D$102:V$102,"&gt;0")+COUNTIF(ActividadesEspeciales!$D$102:V$102,"&gt;0"))*100</f>
        <v>71.80851064</v>
      </c>
    </row>
    <row r="92" ht="28.5" customHeight="1">
      <c r="A92" s="3">
        <v>179.0</v>
      </c>
      <c r="B92" s="4" t="s">
        <v>739</v>
      </c>
      <c r="C92" s="5">
        <v>1.0287002E7</v>
      </c>
      <c r="D92" s="17">
        <v>40036.0</v>
      </c>
      <c r="E92" s="5">
        <v>4.9903742E7</v>
      </c>
      <c r="F92" s="5" t="s">
        <v>740</v>
      </c>
      <c r="G92" s="7">
        <v>1.128982406E9</v>
      </c>
      <c r="H92" s="5" t="s">
        <v>741</v>
      </c>
      <c r="I92" s="5" t="s">
        <v>742</v>
      </c>
      <c r="J92" s="7">
        <v>1.136232952E9</v>
      </c>
      <c r="K92" s="5" t="s">
        <v>743</v>
      </c>
      <c r="L92" s="5" t="s">
        <v>744</v>
      </c>
      <c r="M92" s="7">
        <v>1.163594893E9</v>
      </c>
      <c r="N92" s="5" t="s">
        <v>51</v>
      </c>
      <c r="O92" s="5" t="s">
        <v>161</v>
      </c>
      <c r="P92" s="5" t="s">
        <v>120</v>
      </c>
      <c r="Q92" s="5" t="s">
        <v>30</v>
      </c>
      <c r="R92" s="5" t="s">
        <v>31</v>
      </c>
      <c r="S92" s="5" t="s">
        <v>43</v>
      </c>
      <c r="T92" s="8" t="str">
        <f>IFS(SUM(IFNA(MATCH($B92,'DIVISION 15'!$A$2:$H$2,0),""),IFNA(MATCH($B92,'DIVISION 15'!$A$3:$H$3,0),""),IFNA(MATCH($B92,'DIVISION 15'!$A$4:$H$4,0),""),IFNA(MATCH($B92,'DIVISION 15'!$A$5:$H$5,0),""),IFNA(MATCH($B92,'DIVISION 15'!$A$6:$H$6,0),""),IFNA(MATCH($B92,'DIVISION 15'!$A$7:$H$7,0),""),IFNA(MATCH($B92,'DIVISION 15'!$A$8:$H$8,0),""),IFNA(MATCH($B92,'DIVISION 15'!$A$9:$H$9,0),""),IFNA(MATCH($B92,'DIVISION 15'!$A$10:$H$10,0),""),IFNA(MATCH($B92,'DIVISION 15'!$A$11:$H$11,0),""),IFNA(MATCH($B92,'DIVISION 15'!$A$12:$H$12,0),""),IFNA(MATCH($B92,'DIVISION 15'!$A$13:$H$13,0),""),IFNA(MATCH($B92,'DIVISION 15'!$A$14:$H$14,0),""),IFNA(MATCH($B92,'DIVISION 15'!$A$15:$H$15,0),""),IFNA(MATCH($B92,'DIVISION 15'!$A$16:$H$16,0),""),IFNA(MATCH($B92,'DIVISION 15'!$A$17:$H$17,0),""),IFNA(MATCH($B92,'DIVISION 15'!$A$18:$H$18,0),""))=1,'DIVISION 15'!$A$1,SUM(IFNA(MATCH($B92,'DIVISION 15'!$A$2:$H$2,0),""),IFNA(MATCH($B92,'DIVISION 15'!$A$3:$H$3,0),""),IFNA(MATCH($B92,'DIVISION 15'!$A$4:$H$4,0),""),IFNA(MATCH($B92,'DIVISION 15'!$A$5:$H$5,0),""),IFNA(MATCH($B92,'DIVISION 15'!$A$6:$H$6,0),""),IFNA(MATCH($B92,'DIVISION 15'!$A$7:$H$7,0),""),IFNA(MATCH($B92,'DIVISION 15'!$A$8:$H$8,0),""),IFNA(MATCH($B92,'DIVISION 15'!$A$9:$H$9,0),""),IFNA(MATCH($B92,'DIVISION 15'!$A$10:$H$10,0),""),IFNA(MATCH($B92,'DIVISION 15'!$A$11:$H$11,0),""),IFNA(MATCH($B92,'DIVISION 15'!$A$12:$H$12,0),""),IFNA(MATCH($B92,'DIVISION 15'!$A$13:$H$13,0),""),IFNA(MATCH($B92,'DIVISION 15'!$A$14:$H$14,0),""),IFNA(MATCH($B92,'DIVISION 15'!$A$15:$H$15,0),""),IFNA(MATCH($B92,'DIVISION 15'!$A$16:$H$16,0),""),IFNA(MATCH($B92,'DIVISION 15'!$A$17:$H$17,0),""),IFNA(MATCH($B92,'DIVISION 15'!$A$18:$H$18,0),""))=2,'DIVISION 15'!$B$1,SUM(IFNA(MATCH($B92,'DIVISION 15'!$A$2:$H$2,0),""),IFNA(MATCH($B92,'DIVISION 15'!$A$3:$H$3,0),""),IFNA(MATCH($B92,'DIVISION 15'!$A$4:$H$4,0),""),IFNA(MATCH($B92,'DIVISION 15'!$A$5:$H$5,0),""),IFNA(MATCH($B92,'DIVISION 15'!$A$6:$H$6,0),""),IFNA(MATCH($B92,'DIVISION 15'!$A$7:$H$7,0),""),IFNA(MATCH($B92,'DIVISION 15'!$A$8:$H$8,0),""),IFNA(MATCH($B92,'DIVISION 15'!$A$9:$H$9,0),""),IFNA(MATCH($B92,'DIVISION 15'!$A$10:$H$10,0),""),IFNA(MATCH($B92,'DIVISION 15'!$A$11:$H$11,0),""),IFNA(MATCH($B92,'DIVISION 15'!$A$12:$H$12,0),""),IFNA(MATCH($B92,'DIVISION 15'!$A$13:$H$13,0),""),IFNA(MATCH($B92,'DIVISION 15'!$A$14:$H$14,0),""),IFNA(MATCH($B92,'DIVISION 15'!$A$15:$H$15,0),""),IFNA(MATCH($B92,'DIVISION 15'!$A$16:$H$16,0),""),IFNA(MATCH($B92,'DIVISION 15'!$A$17:$H$17,0),""),IFNA(MATCH($B92,'DIVISION 15'!$A$18:$H$18,0),""))=3,'DIVISION 15'!$C$1,SUM(IFNA(MATCH($B92,'DIVISION 15'!$A$2:$H$2,0),""),IFNA(MATCH($B92,'DIVISION 15'!$A$3:$H$3,0),""),IFNA(MATCH($B92,'DIVISION 15'!$A$4:$H$4,0),""),IFNA(MATCH($B92,'DIVISION 15'!$A$5:$H$5,0),""),IFNA(MATCH($B92,'DIVISION 15'!$A$6:$H$6,0),""),IFNA(MATCH($B92,'DIVISION 15'!$A$7:$H$7,0),""),IFNA(MATCH($B92,'DIVISION 15'!$A$8:$H$8,0),""),IFNA(MATCH($B92,'DIVISION 15'!$A$9:$H$9,0),""),IFNA(MATCH($B92,'DIVISION 15'!$A$10:$H$10,0),""),IFNA(MATCH($B92,'DIVISION 15'!$A$11:$H$11,0),""),IFNA(MATCH($B92,'DIVISION 15'!$A$12:$H$12,0),""),IFNA(MATCH($B92,'DIVISION 15'!$A$13:$H$13,0),""),IFNA(MATCH($B92,'DIVISION 15'!$A$14:$H$14,0),""),IFNA(MATCH($B92,'DIVISION 15'!$A$15:$H$15,0),""),IFNA(MATCH($B92,'DIVISION 15'!$A$16:$H$16,0),""),IFNA(MATCH($B92,'DIVISION 15'!$A$17:$H$17,0),""),IFNA(MATCH($B92,'DIVISION 15'!$A$18:$H$18,0),""))=4,'DIVISION 15'!$D$1,SUM(IFNA(MATCH($B92,'DIVISION 15'!$A$2:$H$2,0),""),IFNA(MATCH($B92,'DIVISION 15'!$A$3:$H$3,0),""),IFNA(MATCH($B92,'DIVISION 15'!$A$4:$H$4,0),""),IFNA(MATCH($B92,'DIVISION 15'!$A$5:$H$5,0),""),IFNA(MATCH($B92,'DIVISION 15'!$A$6:$H$6,0),""),IFNA(MATCH($B92,'DIVISION 15'!$A$7:$H$7,0),""),IFNA(MATCH($B92,'DIVISION 15'!$A$8:$H$8,0),""),IFNA(MATCH($B92,'DIVISION 15'!$A$9:$H$9,0),""),IFNA(MATCH($B92,'DIVISION 15'!$A$10:$H$10,0),""),IFNA(MATCH($B92,'DIVISION 15'!$A$11:$H$11,0),""),IFNA(MATCH($B92,'DIVISION 15'!$A$12:$H$12,0),""),IFNA(MATCH($B92,'DIVISION 15'!$A$13:$H$13,0),""),IFNA(MATCH($B92,'DIVISION 15'!$A$14:$H$14,0),""),IFNA(MATCH($B92,'DIVISION 15'!$A$15:$H$15,0),""),IFNA(MATCH($B92,'DIVISION 15'!$A$16:$H$16,0),""),IFNA(MATCH($B92,'DIVISION 15'!$A$17:$H$17,0),""),IFNA(MATCH($B92,'DIVISION 15'!$A$18:$H$18,0),""))=5,'DIVISION 15'!$E$1,SUM(IFNA(MATCH($B92,'DIVISION 15'!$A$2:$H$2,0),""),IFNA(MATCH($B92,'DIVISION 15'!$A$3:$H$3,0),""),IFNA(MATCH($B92,'DIVISION 15'!$A$4:$H$4,0),""),IFNA(MATCH($B92,'DIVISION 15'!$A$5:$H$5,0),""),IFNA(MATCH($B92,'DIVISION 15'!$A$6:$H$6,0),""),IFNA(MATCH($B92,'DIVISION 15'!$A$7:$H$7,0),""),IFNA(MATCH($B92,'DIVISION 15'!$A$8:$H$8,0),""),IFNA(MATCH($B92,'DIVISION 15'!$A$9:$H$9,0),""),IFNA(MATCH($B92,'DIVISION 15'!$A$10:$H$10,0),""),IFNA(MATCH($B92,'DIVISION 15'!$A$11:$H$11,0),""),IFNA(MATCH($B92,'DIVISION 15'!$A$12:$H$12,0),""),IFNA(MATCH($B92,'DIVISION 15'!$A$13:$H$13,0),""),IFNA(MATCH($B92,'DIVISION 15'!$A$14:$H$14,0),""),IFNA(MATCH($B92,'DIVISION 15'!$A$15:$H$15,0),""),IFNA(MATCH($B92,'DIVISION 15'!$A$16:$H$16,0),""),IFNA(MATCH($B92,'DIVISION 15'!$A$17:$H$17,0),""),IFNA(MATCH($B92,'DIVISION 15'!$A$18:$H$18,0),""))=6,'DIVISION 15'!$F$1,SUM(IFNA(MATCH($B92,'DIVISION 15'!$A$2:$H$2,0),""),IFNA(MATCH($B92,'DIVISION 15'!$A$3:$H$3,0),""),IFNA(MATCH($B92,'DIVISION 15'!$A$4:$H$4,0),""),IFNA(MATCH($B92,'DIVISION 15'!$A$5:$H$5,0),""),IFNA(MATCH($B92,'DIVISION 15'!$A$6:$H$6,0),""),IFNA(MATCH($B92,'DIVISION 15'!$A$7:$H$7,0),""),IFNA(MATCH($B92,'DIVISION 15'!$A$8:$H$8,0),""),IFNA(MATCH($B92,'DIVISION 15'!$A$9:$H$9,0),""),IFNA(MATCH($B92,'DIVISION 15'!$A$10:$H$10,0),""),IFNA(MATCH($B92,'DIVISION 15'!$A$11:$H$11,0),""),IFNA(MATCH($B92,'DIVISION 15'!$A$12:$H$12,0),""),IFNA(MATCH($B92,'DIVISION 15'!$A$13:$H$13,0),""),IFNA(MATCH($B92,'DIVISION 15'!$A$14:$H$14,0),""),IFNA(MATCH($B92,'DIVISION 15'!$A$15:$H$15,0),""),IFNA(MATCH($B92,'DIVISION 15'!$A$16:$H$16,0),""),IFNA(MATCH($B92,'DIVISION 15'!$A$17:$H$17,0),""),IFNA(MATCH($B92,'DIVISION 15'!$A$18:$H$18,0),""))=7,'DIVISION 15'!$G$1,SUM(IFNA(MATCH($B92,'DIVISION 15'!$A$2:$H$2,0),""),IFNA(MATCH($B92,'DIVISION 15'!$A$3:$H$3,0),""),IFNA(MATCH($B92,'DIVISION 15'!$A$4:$H$4,0),""),IFNA(MATCH($B92,'DIVISION 15'!$A$5:$H$5,0),""),IFNA(MATCH($B92,'DIVISION 15'!$A$6:$H$6,0),""),IFNA(MATCH($B92,'DIVISION 15'!$A$7:$H$7,0),""),IFNA(MATCH($B92,'DIVISION 15'!$A$8:$H$8,0),""),IFNA(MATCH($B92,'DIVISION 15'!$A$9:$H$9,0),""),IFNA(MATCH($B92,'DIVISION 15'!$A$10:$H$10,0),""),IFNA(MATCH($B92,'DIVISION 15'!$A$11:$H$11,0),""),IFNA(MATCH($B92,'DIVISION 15'!$A$12:$H$12,0),""),IFNA(MATCH($B92,'DIVISION 15'!$A$13:$H$13,0),""),IFNA(MATCH($B92,'DIVISION 15'!$A$14:$H$14,0),""),IFNA(MATCH($B92,'DIVISION 15'!$A$15:$H$15,0),""),IFNA(MATCH($B92,'DIVISION 15'!$A$16:$H$16,0),""),IFNA(MATCH($B92,'DIVISION 15'!$A$17:$H$17,0),""),IFNA(MATCH($B92,'DIVISION 15'!$A$18:$H$18,0),""))=8,'DIVISION 15'!$H$1)</f>
        <v>SOFI</v>
      </c>
      <c r="U92" s="8" t="str">
        <f t="shared" si="4"/>
        <v>SOFI13</v>
      </c>
      <c r="V92" s="9">
        <f>SUMIF(AsistenciaViewJetAdmin!$A$3:$A$101,A92,AsistenciaViewJetAdmin!$C$3:$C$101)/(COUNTIF(AsistenciaViewJetAdmin!$D$102:V$102,"&gt;0")+COUNTIF(ActividadesEspeciales!$D$102:V$102,"&gt;0"))*100</f>
        <v>84.57446809</v>
      </c>
    </row>
    <row r="93" ht="28.5" customHeight="1">
      <c r="A93" s="3">
        <v>175.0</v>
      </c>
      <c r="B93" s="4" t="s">
        <v>745</v>
      </c>
      <c r="C93" s="5">
        <v>1035103.0</v>
      </c>
      <c r="D93" s="6">
        <v>40364.0</v>
      </c>
      <c r="E93" s="5">
        <v>5.0289137E7</v>
      </c>
      <c r="F93" s="5" t="s">
        <v>746</v>
      </c>
      <c r="G93" s="7">
        <v>1.158270969E9</v>
      </c>
      <c r="H93" s="5" t="s">
        <v>747</v>
      </c>
      <c r="I93" s="5" t="s">
        <v>748</v>
      </c>
      <c r="J93" s="7">
        <v>1.145575457E9</v>
      </c>
      <c r="K93" s="5" t="s">
        <v>749</v>
      </c>
      <c r="L93" s="5" t="s">
        <v>750</v>
      </c>
      <c r="M93" s="7">
        <v>1.132044999E9</v>
      </c>
      <c r="N93" s="5" t="s">
        <v>61</v>
      </c>
      <c r="O93" s="5" t="s">
        <v>120</v>
      </c>
      <c r="P93" s="5" t="s">
        <v>53</v>
      </c>
      <c r="Q93" s="5" t="s">
        <v>30</v>
      </c>
      <c r="R93" s="5" t="s">
        <v>31</v>
      </c>
      <c r="S93" s="5" t="s">
        <v>43</v>
      </c>
      <c r="T93" s="8" t="str">
        <f>IFS(SUM(IFNA(MATCH($B93,'DIVISION 15'!$A$2:$H$2,0),""),IFNA(MATCH($B93,'DIVISION 15'!$A$3:$H$3,0),""),IFNA(MATCH($B93,'DIVISION 15'!$A$4:$H$4,0),""),IFNA(MATCH($B93,'DIVISION 15'!$A$5:$H$5,0),""),IFNA(MATCH($B93,'DIVISION 15'!$A$6:$H$6,0),""),IFNA(MATCH($B93,'DIVISION 15'!$A$7:$H$7,0),""),IFNA(MATCH($B93,'DIVISION 15'!$A$8:$H$8,0),""),IFNA(MATCH($B93,'DIVISION 15'!$A$9:$H$9,0),""),IFNA(MATCH($B93,'DIVISION 15'!$A$10:$H$10,0),""),IFNA(MATCH($B93,'DIVISION 15'!$A$11:$H$11,0),""),IFNA(MATCH($B93,'DIVISION 15'!$A$12:$H$12,0),""),IFNA(MATCH($B93,'DIVISION 15'!$A$13:$H$13,0),""),IFNA(MATCH($B93,'DIVISION 15'!$A$14:$H$14,0),""),IFNA(MATCH($B93,'DIVISION 15'!$A$15:$H$15,0),""),IFNA(MATCH($B93,'DIVISION 15'!$A$16:$H$16,0),""),IFNA(MATCH($B93,'DIVISION 15'!$A$17:$H$17,0),""),IFNA(MATCH($B93,'DIVISION 15'!$A$18:$H$18,0),""))=1,'DIVISION 15'!$A$1,SUM(IFNA(MATCH($B93,'DIVISION 15'!$A$2:$H$2,0),""),IFNA(MATCH($B93,'DIVISION 15'!$A$3:$H$3,0),""),IFNA(MATCH($B93,'DIVISION 15'!$A$4:$H$4,0),""),IFNA(MATCH($B93,'DIVISION 15'!$A$5:$H$5,0),""),IFNA(MATCH($B93,'DIVISION 15'!$A$6:$H$6,0),""),IFNA(MATCH($B93,'DIVISION 15'!$A$7:$H$7,0),""),IFNA(MATCH($B93,'DIVISION 15'!$A$8:$H$8,0),""),IFNA(MATCH($B93,'DIVISION 15'!$A$9:$H$9,0),""),IFNA(MATCH($B93,'DIVISION 15'!$A$10:$H$10,0),""),IFNA(MATCH($B93,'DIVISION 15'!$A$11:$H$11,0),""),IFNA(MATCH($B93,'DIVISION 15'!$A$12:$H$12,0),""),IFNA(MATCH($B93,'DIVISION 15'!$A$13:$H$13,0),""),IFNA(MATCH($B93,'DIVISION 15'!$A$14:$H$14,0),""),IFNA(MATCH($B93,'DIVISION 15'!$A$15:$H$15,0),""),IFNA(MATCH($B93,'DIVISION 15'!$A$16:$H$16,0),""),IFNA(MATCH($B93,'DIVISION 15'!$A$17:$H$17,0),""),IFNA(MATCH($B93,'DIVISION 15'!$A$18:$H$18,0),""))=2,'DIVISION 15'!$B$1,SUM(IFNA(MATCH($B93,'DIVISION 15'!$A$2:$H$2,0),""),IFNA(MATCH($B93,'DIVISION 15'!$A$3:$H$3,0),""),IFNA(MATCH($B93,'DIVISION 15'!$A$4:$H$4,0),""),IFNA(MATCH($B93,'DIVISION 15'!$A$5:$H$5,0),""),IFNA(MATCH($B93,'DIVISION 15'!$A$6:$H$6,0),""),IFNA(MATCH($B93,'DIVISION 15'!$A$7:$H$7,0),""),IFNA(MATCH($B93,'DIVISION 15'!$A$8:$H$8,0),""),IFNA(MATCH($B93,'DIVISION 15'!$A$9:$H$9,0),""),IFNA(MATCH($B93,'DIVISION 15'!$A$10:$H$10,0),""),IFNA(MATCH($B93,'DIVISION 15'!$A$11:$H$11,0),""),IFNA(MATCH($B93,'DIVISION 15'!$A$12:$H$12,0),""),IFNA(MATCH($B93,'DIVISION 15'!$A$13:$H$13,0),""),IFNA(MATCH($B93,'DIVISION 15'!$A$14:$H$14,0),""),IFNA(MATCH($B93,'DIVISION 15'!$A$15:$H$15,0),""),IFNA(MATCH($B93,'DIVISION 15'!$A$16:$H$16,0),""),IFNA(MATCH($B93,'DIVISION 15'!$A$17:$H$17,0),""),IFNA(MATCH($B93,'DIVISION 15'!$A$18:$H$18,0),""))=3,'DIVISION 15'!$C$1,SUM(IFNA(MATCH($B93,'DIVISION 15'!$A$2:$H$2,0),""),IFNA(MATCH($B93,'DIVISION 15'!$A$3:$H$3,0),""),IFNA(MATCH($B93,'DIVISION 15'!$A$4:$H$4,0),""),IFNA(MATCH($B93,'DIVISION 15'!$A$5:$H$5,0),""),IFNA(MATCH($B93,'DIVISION 15'!$A$6:$H$6,0),""),IFNA(MATCH($B93,'DIVISION 15'!$A$7:$H$7,0),""),IFNA(MATCH($B93,'DIVISION 15'!$A$8:$H$8,0),""),IFNA(MATCH($B93,'DIVISION 15'!$A$9:$H$9,0),""),IFNA(MATCH($B93,'DIVISION 15'!$A$10:$H$10,0),""),IFNA(MATCH($B93,'DIVISION 15'!$A$11:$H$11,0),""),IFNA(MATCH($B93,'DIVISION 15'!$A$12:$H$12,0),""),IFNA(MATCH($B93,'DIVISION 15'!$A$13:$H$13,0),""),IFNA(MATCH($B93,'DIVISION 15'!$A$14:$H$14,0),""),IFNA(MATCH($B93,'DIVISION 15'!$A$15:$H$15,0),""),IFNA(MATCH($B93,'DIVISION 15'!$A$16:$H$16,0),""),IFNA(MATCH($B93,'DIVISION 15'!$A$17:$H$17,0),""),IFNA(MATCH($B93,'DIVISION 15'!$A$18:$H$18,0),""))=4,'DIVISION 15'!$D$1,SUM(IFNA(MATCH($B93,'DIVISION 15'!$A$2:$H$2,0),""),IFNA(MATCH($B93,'DIVISION 15'!$A$3:$H$3,0),""),IFNA(MATCH($B93,'DIVISION 15'!$A$4:$H$4,0),""),IFNA(MATCH($B93,'DIVISION 15'!$A$5:$H$5,0),""),IFNA(MATCH($B93,'DIVISION 15'!$A$6:$H$6,0),""),IFNA(MATCH($B93,'DIVISION 15'!$A$7:$H$7,0),""),IFNA(MATCH($B93,'DIVISION 15'!$A$8:$H$8,0),""),IFNA(MATCH($B93,'DIVISION 15'!$A$9:$H$9,0),""),IFNA(MATCH($B93,'DIVISION 15'!$A$10:$H$10,0),""),IFNA(MATCH($B93,'DIVISION 15'!$A$11:$H$11,0),""),IFNA(MATCH($B93,'DIVISION 15'!$A$12:$H$12,0),""),IFNA(MATCH($B93,'DIVISION 15'!$A$13:$H$13,0),""),IFNA(MATCH($B93,'DIVISION 15'!$A$14:$H$14,0),""),IFNA(MATCH($B93,'DIVISION 15'!$A$15:$H$15,0),""),IFNA(MATCH($B93,'DIVISION 15'!$A$16:$H$16,0),""),IFNA(MATCH($B93,'DIVISION 15'!$A$17:$H$17,0),""),IFNA(MATCH($B93,'DIVISION 15'!$A$18:$H$18,0),""))=5,'DIVISION 15'!$E$1,SUM(IFNA(MATCH($B93,'DIVISION 15'!$A$2:$H$2,0),""),IFNA(MATCH($B93,'DIVISION 15'!$A$3:$H$3,0),""),IFNA(MATCH($B93,'DIVISION 15'!$A$4:$H$4,0),""),IFNA(MATCH($B93,'DIVISION 15'!$A$5:$H$5,0),""),IFNA(MATCH($B93,'DIVISION 15'!$A$6:$H$6,0),""),IFNA(MATCH($B93,'DIVISION 15'!$A$7:$H$7,0),""),IFNA(MATCH($B93,'DIVISION 15'!$A$8:$H$8,0),""),IFNA(MATCH($B93,'DIVISION 15'!$A$9:$H$9,0),""),IFNA(MATCH($B93,'DIVISION 15'!$A$10:$H$10,0),""),IFNA(MATCH($B93,'DIVISION 15'!$A$11:$H$11,0),""),IFNA(MATCH($B93,'DIVISION 15'!$A$12:$H$12,0),""),IFNA(MATCH($B93,'DIVISION 15'!$A$13:$H$13,0),""),IFNA(MATCH($B93,'DIVISION 15'!$A$14:$H$14,0),""),IFNA(MATCH($B93,'DIVISION 15'!$A$15:$H$15,0),""),IFNA(MATCH($B93,'DIVISION 15'!$A$16:$H$16,0),""),IFNA(MATCH($B93,'DIVISION 15'!$A$17:$H$17,0),""),IFNA(MATCH($B93,'DIVISION 15'!$A$18:$H$18,0),""))=6,'DIVISION 15'!$F$1,SUM(IFNA(MATCH($B93,'DIVISION 15'!$A$2:$H$2,0),""),IFNA(MATCH($B93,'DIVISION 15'!$A$3:$H$3,0),""),IFNA(MATCH($B93,'DIVISION 15'!$A$4:$H$4,0),""),IFNA(MATCH($B93,'DIVISION 15'!$A$5:$H$5,0),""),IFNA(MATCH($B93,'DIVISION 15'!$A$6:$H$6,0),""),IFNA(MATCH($B93,'DIVISION 15'!$A$7:$H$7,0),""),IFNA(MATCH($B93,'DIVISION 15'!$A$8:$H$8,0),""),IFNA(MATCH($B93,'DIVISION 15'!$A$9:$H$9,0),""),IFNA(MATCH($B93,'DIVISION 15'!$A$10:$H$10,0),""),IFNA(MATCH($B93,'DIVISION 15'!$A$11:$H$11,0),""),IFNA(MATCH($B93,'DIVISION 15'!$A$12:$H$12,0),""),IFNA(MATCH($B93,'DIVISION 15'!$A$13:$H$13,0),""),IFNA(MATCH($B93,'DIVISION 15'!$A$14:$H$14,0),""),IFNA(MATCH($B93,'DIVISION 15'!$A$15:$H$15,0),""),IFNA(MATCH($B93,'DIVISION 15'!$A$16:$H$16,0),""),IFNA(MATCH($B93,'DIVISION 15'!$A$17:$H$17,0),""),IFNA(MATCH($B93,'DIVISION 15'!$A$18:$H$18,0),""))=7,'DIVISION 15'!$G$1,SUM(IFNA(MATCH($B93,'DIVISION 15'!$A$2:$H$2,0),""),IFNA(MATCH($B93,'DIVISION 15'!$A$3:$H$3,0),""),IFNA(MATCH($B93,'DIVISION 15'!$A$4:$H$4,0),""),IFNA(MATCH($B93,'DIVISION 15'!$A$5:$H$5,0),""),IFNA(MATCH($B93,'DIVISION 15'!$A$6:$H$6,0),""),IFNA(MATCH($B93,'DIVISION 15'!$A$7:$H$7,0),""),IFNA(MATCH($B93,'DIVISION 15'!$A$8:$H$8,0),""),IFNA(MATCH($B93,'DIVISION 15'!$A$9:$H$9,0),""),IFNA(MATCH($B93,'DIVISION 15'!$A$10:$H$10,0),""),IFNA(MATCH($B93,'DIVISION 15'!$A$11:$H$11,0),""),IFNA(MATCH($B93,'DIVISION 15'!$A$12:$H$12,0),""),IFNA(MATCH($B93,'DIVISION 15'!$A$13:$H$13,0),""),IFNA(MATCH($B93,'DIVISION 15'!$A$14:$H$14,0),""),IFNA(MATCH($B93,'DIVISION 15'!$A$15:$H$15,0),""),IFNA(MATCH($B93,'DIVISION 15'!$A$16:$H$16,0),""),IFNA(MATCH($B93,'DIVISION 15'!$A$17:$H$17,0),""),IFNA(MATCH($B93,'DIVISION 15'!$A$18:$H$18,0),""))=8,'DIVISION 15'!$H$1)</f>
        <v>DAIU</v>
      </c>
      <c r="U93" s="8" t="str">
        <f t="shared" si="4"/>
        <v>DAIU8</v>
      </c>
      <c r="V93" s="9">
        <f>SUMIF(AsistenciaViewJetAdmin!$A$3:$A$101,A93,AsistenciaViewJetAdmin!$C$3:$C$101)/(COUNTIF(AsistenciaViewJetAdmin!$D$102:V$102,"&gt;0")+COUNTIF(ActividadesEspeciales!$D$102:V$102,"&gt;0"))*100</f>
        <v>66.4893617</v>
      </c>
    </row>
    <row r="94" ht="28.5" customHeight="1">
      <c r="A94" s="3">
        <v>180.0</v>
      </c>
      <c r="B94" s="4" t="s">
        <v>751</v>
      </c>
      <c r="C94" s="5">
        <v>1044702.0</v>
      </c>
      <c r="D94" s="7" t="s">
        <v>752</v>
      </c>
      <c r="E94" s="5">
        <v>5.0031294E7</v>
      </c>
      <c r="F94" s="5" t="s">
        <v>753</v>
      </c>
      <c r="G94" s="7">
        <v>1.139091515E9</v>
      </c>
      <c r="H94" s="5" t="s">
        <v>754</v>
      </c>
      <c r="I94" s="5" t="s">
        <v>755</v>
      </c>
      <c r="J94" s="7">
        <v>1.153122797E9</v>
      </c>
      <c r="K94" s="5" t="s">
        <v>756</v>
      </c>
      <c r="L94" s="5" t="s">
        <v>757</v>
      </c>
      <c r="M94" s="7">
        <v>1.159601129E9</v>
      </c>
      <c r="N94" s="5" t="s">
        <v>61</v>
      </c>
      <c r="O94" s="5" t="s">
        <v>416</v>
      </c>
      <c r="P94" s="5" t="s">
        <v>479</v>
      </c>
      <c r="Q94" s="5" t="s">
        <v>74</v>
      </c>
      <c r="R94" s="5" t="s">
        <v>31</v>
      </c>
      <c r="S94" s="5" t="s">
        <v>32</v>
      </c>
      <c r="T94" s="8" t="str">
        <f>IFS(SUM(IFNA(MATCH($B94,'DIVISION 15'!$A$2:$H$2,0),""),IFNA(MATCH($B94,'DIVISION 15'!$A$3:$H$3,0),""),IFNA(MATCH($B94,'DIVISION 15'!$A$4:$H$4,0),""),IFNA(MATCH($B94,'DIVISION 15'!$A$5:$H$5,0),""),IFNA(MATCH($B94,'DIVISION 15'!$A$6:$H$6,0),""),IFNA(MATCH($B94,'DIVISION 15'!$A$7:$H$7,0),""),IFNA(MATCH($B94,'DIVISION 15'!$A$8:$H$8,0),""),IFNA(MATCH($B94,'DIVISION 15'!$A$9:$H$9,0),""),IFNA(MATCH($B94,'DIVISION 15'!$A$10:$H$10,0),""),IFNA(MATCH($B94,'DIVISION 15'!$A$11:$H$11,0),""),IFNA(MATCH($B94,'DIVISION 15'!$A$12:$H$12,0),""),IFNA(MATCH($B94,'DIVISION 15'!$A$13:$H$13,0),""),IFNA(MATCH($B94,'DIVISION 15'!$A$14:$H$14,0),""),IFNA(MATCH($B94,'DIVISION 15'!$A$15:$H$15,0),""),IFNA(MATCH($B94,'DIVISION 15'!$A$16:$H$16,0),""),IFNA(MATCH($B94,'DIVISION 15'!$A$17:$H$17,0),""),IFNA(MATCH($B94,'DIVISION 15'!$A$18:$H$18,0),""))=1,'DIVISION 15'!$A$1,SUM(IFNA(MATCH($B94,'DIVISION 15'!$A$2:$H$2,0),""),IFNA(MATCH($B94,'DIVISION 15'!$A$3:$H$3,0),""),IFNA(MATCH($B94,'DIVISION 15'!$A$4:$H$4,0),""),IFNA(MATCH($B94,'DIVISION 15'!$A$5:$H$5,0),""),IFNA(MATCH($B94,'DIVISION 15'!$A$6:$H$6,0),""),IFNA(MATCH($B94,'DIVISION 15'!$A$7:$H$7,0),""),IFNA(MATCH($B94,'DIVISION 15'!$A$8:$H$8,0),""),IFNA(MATCH($B94,'DIVISION 15'!$A$9:$H$9,0),""),IFNA(MATCH($B94,'DIVISION 15'!$A$10:$H$10,0),""),IFNA(MATCH($B94,'DIVISION 15'!$A$11:$H$11,0),""),IFNA(MATCH($B94,'DIVISION 15'!$A$12:$H$12,0),""),IFNA(MATCH($B94,'DIVISION 15'!$A$13:$H$13,0),""),IFNA(MATCH($B94,'DIVISION 15'!$A$14:$H$14,0),""),IFNA(MATCH($B94,'DIVISION 15'!$A$15:$H$15,0),""),IFNA(MATCH($B94,'DIVISION 15'!$A$16:$H$16,0),""),IFNA(MATCH($B94,'DIVISION 15'!$A$17:$H$17,0),""),IFNA(MATCH($B94,'DIVISION 15'!$A$18:$H$18,0),""))=2,'DIVISION 15'!$B$1,SUM(IFNA(MATCH($B94,'DIVISION 15'!$A$2:$H$2,0),""),IFNA(MATCH($B94,'DIVISION 15'!$A$3:$H$3,0),""),IFNA(MATCH($B94,'DIVISION 15'!$A$4:$H$4,0),""),IFNA(MATCH($B94,'DIVISION 15'!$A$5:$H$5,0),""),IFNA(MATCH($B94,'DIVISION 15'!$A$6:$H$6,0),""),IFNA(MATCH($B94,'DIVISION 15'!$A$7:$H$7,0),""),IFNA(MATCH($B94,'DIVISION 15'!$A$8:$H$8,0),""),IFNA(MATCH($B94,'DIVISION 15'!$A$9:$H$9,0),""),IFNA(MATCH($B94,'DIVISION 15'!$A$10:$H$10,0),""),IFNA(MATCH($B94,'DIVISION 15'!$A$11:$H$11,0),""),IFNA(MATCH($B94,'DIVISION 15'!$A$12:$H$12,0),""),IFNA(MATCH($B94,'DIVISION 15'!$A$13:$H$13,0),""),IFNA(MATCH($B94,'DIVISION 15'!$A$14:$H$14,0),""),IFNA(MATCH($B94,'DIVISION 15'!$A$15:$H$15,0),""),IFNA(MATCH($B94,'DIVISION 15'!$A$16:$H$16,0),""),IFNA(MATCH($B94,'DIVISION 15'!$A$17:$H$17,0),""),IFNA(MATCH($B94,'DIVISION 15'!$A$18:$H$18,0),""))=3,'DIVISION 15'!$C$1,SUM(IFNA(MATCH($B94,'DIVISION 15'!$A$2:$H$2,0),""),IFNA(MATCH($B94,'DIVISION 15'!$A$3:$H$3,0),""),IFNA(MATCH($B94,'DIVISION 15'!$A$4:$H$4,0),""),IFNA(MATCH($B94,'DIVISION 15'!$A$5:$H$5,0),""),IFNA(MATCH($B94,'DIVISION 15'!$A$6:$H$6,0),""),IFNA(MATCH($B94,'DIVISION 15'!$A$7:$H$7,0),""),IFNA(MATCH($B94,'DIVISION 15'!$A$8:$H$8,0),""),IFNA(MATCH($B94,'DIVISION 15'!$A$9:$H$9,0),""),IFNA(MATCH($B94,'DIVISION 15'!$A$10:$H$10,0),""),IFNA(MATCH($B94,'DIVISION 15'!$A$11:$H$11,0),""),IFNA(MATCH($B94,'DIVISION 15'!$A$12:$H$12,0),""),IFNA(MATCH($B94,'DIVISION 15'!$A$13:$H$13,0),""),IFNA(MATCH($B94,'DIVISION 15'!$A$14:$H$14,0),""),IFNA(MATCH($B94,'DIVISION 15'!$A$15:$H$15,0),""),IFNA(MATCH($B94,'DIVISION 15'!$A$16:$H$16,0),""),IFNA(MATCH($B94,'DIVISION 15'!$A$17:$H$17,0),""),IFNA(MATCH($B94,'DIVISION 15'!$A$18:$H$18,0),""))=4,'DIVISION 15'!$D$1,SUM(IFNA(MATCH($B94,'DIVISION 15'!$A$2:$H$2,0),""),IFNA(MATCH($B94,'DIVISION 15'!$A$3:$H$3,0),""),IFNA(MATCH($B94,'DIVISION 15'!$A$4:$H$4,0),""),IFNA(MATCH($B94,'DIVISION 15'!$A$5:$H$5,0),""),IFNA(MATCH($B94,'DIVISION 15'!$A$6:$H$6,0),""),IFNA(MATCH($B94,'DIVISION 15'!$A$7:$H$7,0),""),IFNA(MATCH($B94,'DIVISION 15'!$A$8:$H$8,0),""),IFNA(MATCH($B94,'DIVISION 15'!$A$9:$H$9,0),""),IFNA(MATCH($B94,'DIVISION 15'!$A$10:$H$10,0),""),IFNA(MATCH($B94,'DIVISION 15'!$A$11:$H$11,0),""),IFNA(MATCH($B94,'DIVISION 15'!$A$12:$H$12,0),""),IFNA(MATCH($B94,'DIVISION 15'!$A$13:$H$13,0),""),IFNA(MATCH($B94,'DIVISION 15'!$A$14:$H$14,0),""),IFNA(MATCH($B94,'DIVISION 15'!$A$15:$H$15,0),""),IFNA(MATCH($B94,'DIVISION 15'!$A$16:$H$16,0),""),IFNA(MATCH($B94,'DIVISION 15'!$A$17:$H$17,0),""),IFNA(MATCH($B94,'DIVISION 15'!$A$18:$H$18,0),""))=5,'DIVISION 15'!$E$1,SUM(IFNA(MATCH($B94,'DIVISION 15'!$A$2:$H$2,0),""),IFNA(MATCH($B94,'DIVISION 15'!$A$3:$H$3,0),""),IFNA(MATCH($B94,'DIVISION 15'!$A$4:$H$4,0),""),IFNA(MATCH($B94,'DIVISION 15'!$A$5:$H$5,0),""),IFNA(MATCH($B94,'DIVISION 15'!$A$6:$H$6,0),""),IFNA(MATCH($B94,'DIVISION 15'!$A$7:$H$7,0),""),IFNA(MATCH($B94,'DIVISION 15'!$A$8:$H$8,0),""),IFNA(MATCH($B94,'DIVISION 15'!$A$9:$H$9,0),""),IFNA(MATCH($B94,'DIVISION 15'!$A$10:$H$10,0),""),IFNA(MATCH($B94,'DIVISION 15'!$A$11:$H$11,0),""),IFNA(MATCH($B94,'DIVISION 15'!$A$12:$H$12,0),""),IFNA(MATCH($B94,'DIVISION 15'!$A$13:$H$13,0),""),IFNA(MATCH($B94,'DIVISION 15'!$A$14:$H$14,0),""),IFNA(MATCH($B94,'DIVISION 15'!$A$15:$H$15,0),""),IFNA(MATCH($B94,'DIVISION 15'!$A$16:$H$16,0),""),IFNA(MATCH($B94,'DIVISION 15'!$A$17:$H$17,0),""),IFNA(MATCH($B94,'DIVISION 15'!$A$18:$H$18,0),""))=6,'DIVISION 15'!$F$1,SUM(IFNA(MATCH($B94,'DIVISION 15'!$A$2:$H$2,0),""),IFNA(MATCH($B94,'DIVISION 15'!$A$3:$H$3,0),""),IFNA(MATCH($B94,'DIVISION 15'!$A$4:$H$4,0),""),IFNA(MATCH($B94,'DIVISION 15'!$A$5:$H$5,0),""),IFNA(MATCH($B94,'DIVISION 15'!$A$6:$H$6,0),""),IFNA(MATCH($B94,'DIVISION 15'!$A$7:$H$7,0),""),IFNA(MATCH($B94,'DIVISION 15'!$A$8:$H$8,0),""),IFNA(MATCH($B94,'DIVISION 15'!$A$9:$H$9,0),""),IFNA(MATCH($B94,'DIVISION 15'!$A$10:$H$10,0),""),IFNA(MATCH($B94,'DIVISION 15'!$A$11:$H$11,0),""),IFNA(MATCH($B94,'DIVISION 15'!$A$12:$H$12,0),""),IFNA(MATCH($B94,'DIVISION 15'!$A$13:$H$13,0),""),IFNA(MATCH($B94,'DIVISION 15'!$A$14:$H$14,0),""),IFNA(MATCH($B94,'DIVISION 15'!$A$15:$H$15,0),""),IFNA(MATCH($B94,'DIVISION 15'!$A$16:$H$16,0),""),IFNA(MATCH($B94,'DIVISION 15'!$A$17:$H$17,0),""),IFNA(MATCH($B94,'DIVISION 15'!$A$18:$H$18,0),""))=7,'DIVISION 15'!$G$1,SUM(IFNA(MATCH($B94,'DIVISION 15'!$A$2:$H$2,0),""),IFNA(MATCH($B94,'DIVISION 15'!$A$3:$H$3,0),""),IFNA(MATCH($B94,'DIVISION 15'!$A$4:$H$4,0),""),IFNA(MATCH($B94,'DIVISION 15'!$A$5:$H$5,0),""),IFNA(MATCH($B94,'DIVISION 15'!$A$6:$H$6,0),""),IFNA(MATCH($B94,'DIVISION 15'!$A$7:$H$7,0),""),IFNA(MATCH($B94,'DIVISION 15'!$A$8:$H$8,0),""),IFNA(MATCH($B94,'DIVISION 15'!$A$9:$H$9,0),""),IFNA(MATCH($B94,'DIVISION 15'!$A$10:$H$10,0),""),IFNA(MATCH($B94,'DIVISION 15'!$A$11:$H$11,0),""),IFNA(MATCH($B94,'DIVISION 15'!$A$12:$H$12,0),""),IFNA(MATCH($B94,'DIVISION 15'!$A$13:$H$13,0),""),IFNA(MATCH($B94,'DIVISION 15'!$A$14:$H$14,0),""),IFNA(MATCH($B94,'DIVISION 15'!$A$15:$H$15,0),""),IFNA(MATCH($B94,'DIVISION 15'!$A$16:$H$16,0),""),IFNA(MATCH($B94,'DIVISION 15'!$A$17:$H$17,0),""),IFNA(MATCH($B94,'DIVISION 15'!$A$18:$H$18,0),""))=8,'DIVISION 15'!$H$1)</f>
        <v>GASTI</v>
      </c>
      <c r="U94" s="8" t="str">
        <f t="shared" si="4"/>
        <v>GASTI12</v>
      </c>
      <c r="V94" s="9">
        <f>SUMIF(AsistenciaViewJetAdmin!$A$3:$A$101,A94,AsistenciaViewJetAdmin!$C$3:$C$101)/(COUNTIF(AsistenciaViewJetAdmin!$D$102:V$102,"&gt;0")+COUNTIF(ActividadesEspeciales!$D$102:V$102,"&gt;0"))*100</f>
        <v>79.25531915</v>
      </c>
    </row>
    <row r="95" ht="28.5" customHeight="1">
      <c r="A95" s="3">
        <v>141.0</v>
      </c>
      <c r="B95" s="4" t="s">
        <v>758</v>
      </c>
      <c r="C95" s="5">
        <v>10495.0</v>
      </c>
      <c r="D95" s="7" t="s">
        <v>759</v>
      </c>
      <c r="E95" s="5">
        <v>5.0155769E7</v>
      </c>
      <c r="F95" s="5" t="s">
        <v>760</v>
      </c>
      <c r="G95" s="7">
        <v>1.168918E9</v>
      </c>
      <c r="H95" s="5" t="s">
        <v>761</v>
      </c>
      <c r="I95" s="5" t="s">
        <v>762</v>
      </c>
      <c r="J95" s="18">
        <v>1.156391642E9</v>
      </c>
      <c r="K95" s="5" t="s">
        <v>763</v>
      </c>
      <c r="L95" s="5" t="s">
        <v>764</v>
      </c>
      <c r="M95" s="18">
        <v>1.151204804E9</v>
      </c>
      <c r="N95" s="5" t="s">
        <v>238</v>
      </c>
      <c r="O95" s="5" t="s">
        <v>120</v>
      </c>
      <c r="P95" s="5" t="s">
        <v>136</v>
      </c>
      <c r="Q95" s="5" t="s">
        <v>74</v>
      </c>
      <c r="R95" s="5" t="s">
        <v>256</v>
      </c>
      <c r="S95" s="5" t="s">
        <v>43</v>
      </c>
      <c r="T95" s="8" t="str">
        <f>IFS(SUM(IFNA(MATCH($B95,'DIVISION 15'!$A$2:$H$2,0),""),IFNA(MATCH($B95,'DIVISION 15'!$A$3:$H$3,0),""),IFNA(MATCH($B95,'DIVISION 15'!$A$4:$H$4,0),""),IFNA(MATCH($B95,'DIVISION 15'!$A$5:$H$5,0),""),IFNA(MATCH($B95,'DIVISION 15'!$A$6:$H$6,0),""),IFNA(MATCH($B95,'DIVISION 15'!$A$7:$H$7,0),""),IFNA(MATCH($B95,'DIVISION 15'!$A$8:$H$8,0),""),IFNA(MATCH($B95,'DIVISION 15'!$A$9:$H$9,0),""),IFNA(MATCH($B95,'DIVISION 15'!$A$10:$H$10,0),""),IFNA(MATCH($B95,'DIVISION 15'!$A$11:$H$11,0),""),IFNA(MATCH($B95,'DIVISION 15'!$A$12:$H$12,0),""),IFNA(MATCH($B95,'DIVISION 15'!$A$13:$H$13,0),""),IFNA(MATCH($B95,'DIVISION 15'!$A$14:$H$14,0),""),IFNA(MATCH($B95,'DIVISION 15'!$A$15:$H$15,0),""),IFNA(MATCH($B95,'DIVISION 15'!$A$16:$H$16,0),""),IFNA(MATCH($B95,'DIVISION 15'!$A$17:$H$17,0),""),IFNA(MATCH($B95,'DIVISION 15'!$A$18:$H$18,0),""))=1,'DIVISION 15'!$A$1,SUM(IFNA(MATCH($B95,'DIVISION 15'!$A$2:$H$2,0),""),IFNA(MATCH($B95,'DIVISION 15'!$A$3:$H$3,0),""),IFNA(MATCH($B95,'DIVISION 15'!$A$4:$H$4,0),""),IFNA(MATCH($B95,'DIVISION 15'!$A$5:$H$5,0),""),IFNA(MATCH($B95,'DIVISION 15'!$A$6:$H$6,0),""),IFNA(MATCH($B95,'DIVISION 15'!$A$7:$H$7,0),""),IFNA(MATCH($B95,'DIVISION 15'!$A$8:$H$8,0),""),IFNA(MATCH($B95,'DIVISION 15'!$A$9:$H$9,0),""),IFNA(MATCH($B95,'DIVISION 15'!$A$10:$H$10,0),""),IFNA(MATCH($B95,'DIVISION 15'!$A$11:$H$11,0),""),IFNA(MATCH($B95,'DIVISION 15'!$A$12:$H$12,0),""),IFNA(MATCH($B95,'DIVISION 15'!$A$13:$H$13,0),""),IFNA(MATCH($B95,'DIVISION 15'!$A$14:$H$14,0),""),IFNA(MATCH($B95,'DIVISION 15'!$A$15:$H$15,0),""),IFNA(MATCH($B95,'DIVISION 15'!$A$16:$H$16,0),""),IFNA(MATCH($B95,'DIVISION 15'!$A$17:$H$17,0),""),IFNA(MATCH($B95,'DIVISION 15'!$A$18:$H$18,0),""))=2,'DIVISION 15'!$B$1,SUM(IFNA(MATCH($B95,'DIVISION 15'!$A$2:$H$2,0),""),IFNA(MATCH($B95,'DIVISION 15'!$A$3:$H$3,0),""),IFNA(MATCH($B95,'DIVISION 15'!$A$4:$H$4,0),""),IFNA(MATCH($B95,'DIVISION 15'!$A$5:$H$5,0),""),IFNA(MATCH($B95,'DIVISION 15'!$A$6:$H$6,0),""),IFNA(MATCH($B95,'DIVISION 15'!$A$7:$H$7,0),""),IFNA(MATCH($B95,'DIVISION 15'!$A$8:$H$8,0),""),IFNA(MATCH($B95,'DIVISION 15'!$A$9:$H$9,0),""),IFNA(MATCH($B95,'DIVISION 15'!$A$10:$H$10,0),""),IFNA(MATCH($B95,'DIVISION 15'!$A$11:$H$11,0),""),IFNA(MATCH($B95,'DIVISION 15'!$A$12:$H$12,0),""),IFNA(MATCH($B95,'DIVISION 15'!$A$13:$H$13,0),""),IFNA(MATCH($B95,'DIVISION 15'!$A$14:$H$14,0),""),IFNA(MATCH($B95,'DIVISION 15'!$A$15:$H$15,0),""),IFNA(MATCH($B95,'DIVISION 15'!$A$16:$H$16,0),""),IFNA(MATCH($B95,'DIVISION 15'!$A$17:$H$17,0),""),IFNA(MATCH($B95,'DIVISION 15'!$A$18:$H$18,0),""))=3,'DIVISION 15'!$C$1,SUM(IFNA(MATCH($B95,'DIVISION 15'!$A$2:$H$2,0),""),IFNA(MATCH($B95,'DIVISION 15'!$A$3:$H$3,0),""),IFNA(MATCH($B95,'DIVISION 15'!$A$4:$H$4,0),""),IFNA(MATCH($B95,'DIVISION 15'!$A$5:$H$5,0),""),IFNA(MATCH($B95,'DIVISION 15'!$A$6:$H$6,0),""),IFNA(MATCH($B95,'DIVISION 15'!$A$7:$H$7,0),""),IFNA(MATCH($B95,'DIVISION 15'!$A$8:$H$8,0),""),IFNA(MATCH($B95,'DIVISION 15'!$A$9:$H$9,0),""),IFNA(MATCH($B95,'DIVISION 15'!$A$10:$H$10,0),""),IFNA(MATCH($B95,'DIVISION 15'!$A$11:$H$11,0),""),IFNA(MATCH($B95,'DIVISION 15'!$A$12:$H$12,0),""),IFNA(MATCH($B95,'DIVISION 15'!$A$13:$H$13,0),""),IFNA(MATCH($B95,'DIVISION 15'!$A$14:$H$14,0),""),IFNA(MATCH($B95,'DIVISION 15'!$A$15:$H$15,0),""),IFNA(MATCH($B95,'DIVISION 15'!$A$16:$H$16,0),""),IFNA(MATCH($B95,'DIVISION 15'!$A$17:$H$17,0),""),IFNA(MATCH($B95,'DIVISION 15'!$A$18:$H$18,0),""))=4,'DIVISION 15'!$D$1,SUM(IFNA(MATCH($B95,'DIVISION 15'!$A$2:$H$2,0),""),IFNA(MATCH($B95,'DIVISION 15'!$A$3:$H$3,0),""),IFNA(MATCH($B95,'DIVISION 15'!$A$4:$H$4,0),""),IFNA(MATCH($B95,'DIVISION 15'!$A$5:$H$5,0),""),IFNA(MATCH($B95,'DIVISION 15'!$A$6:$H$6,0),""),IFNA(MATCH($B95,'DIVISION 15'!$A$7:$H$7,0),""),IFNA(MATCH($B95,'DIVISION 15'!$A$8:$H$8,0),""),IFNA(MATCH($B95,'DIVISION 15'!$A$9:$H$9,0),""),IFNA(MATCH($B95,'DIVISION 15'!$A$10:$H$10,0),""),IFNA(MATCH($B95,'DIVISION 15'!$A$11:$H$11,0),""),IFNA(MATCH($B95,'DIVISION 15'!$A$12:$H$12,0),""),IFNA(MATCH($B95,'DIVISION 15'!$A$13:$H$13,0),""),IFNA(MATCH($B95,'DIVISION 15'!$A$14:$H$14,0),""),IFNA(MATCH($B95,'DIVISION 15'!$A$15:$H$15,0),""),IFNA(MATCH($B95,'DIVISION 15'!$A$16:$H$16,0),""),IFNA(MATCH($B95,'DIVISION 15'!$A$17:$H$17,0),""),IFNA(MATCH($B95,'DIVISION 15'!$A$18:$H$18,0),""))=5,'DIVISION 15'!$E$1,SUM(IFNA(MATCH($B95,'DIVISION 15'!$A$2:$H$2,0),""),IFNA(MATCH($B95,'DIVISION 15'!$A$3:$H$3,0),""),IFNA(MATCH($B95,'DIVISION 15'!$A$4:$H$4,0),""),IFNA(MATCH($B95,'DIVISION 15'!$A$5:$H$5,0),""),IFNA(MATCH($B95,'DIVISION 15'!$A$6:$H$6,0),""),IFNA(MATCH($B95,'DIVISION 15'!$A$7:$H$7,0),""),IFNA(MATCH($B95,'DIVISION 15'!$A$8:$H$8,0),""),IFNA(MATCH($B95,'DIVISION 15'!$A$9:$H$9,0),""),IFNA(MATCH($B95,'DIVISION 15'!$A$10:$H$10,0),""),IFNA(MATCH($B95,'DIVISION 15'!$A$11:$H$11,0),""),IFNA(MATCH($B95,'DIVISION 15'!$A$12:$H$12,0),""),IFNA(MATCH($B95,'DIVISION 15'!$A$13:$H$13,0),""),IFNA(MATCH($B95,'DIVISION 15'!$A$14:$H$14,0),""),IFNA(MATCH($B95,'DIVISION 15'!$A$15:$H$15,0),""),IFNA(MATCH($B95,'DIVISION 15'!$A$16:$H$16,0),""),IFNA(MATCH($B95,'DIVISION 15'!$A$17:$H$17,0),""),IFNA(MATCH($B95,'DIVISION 15'!$A$18:$H$18,0),""))=6,'DIVISION 15'!$F$1,SUM(IFNA(MATCH($B95,'DIVISION 15'!$A$2:$H$2,0),""),IFNA(MATCH($B95,'DIVISION 15'!$A$3:$H$3,0),""),IFNA(MATCH($B95,'DIVISION 15'!$A$4:$H$4,0),""),IFNA(MATCH($B95,'DIVISION 15'!$A$5:$H$5,0),""),IFNA(MATCH($B95,'DIVISION 15'!$A$6:$H$6,0),""),IFNA(MATCH($B95,'DIVISION 15'!$A$7:$H$7,0),""),IFNA(MATCH($B95,'DIVISION 15'!$A$8:$H$8,0),""),IFNA(MATCH($B95,'DIVISION 15'!$A$9:$H$9,0),""),IFNA(MATCH($B95,'DIVISION 15'!$A$10:$H$10,0),""),IFNA(MATCH($B95,'DIVISION 15'!$A$11:$H$11,0),""),IFNA(MATCH($B95,'DIVISION 15'!$A$12:$H$12,0),""),IFNA(MATCH($B95,'DIVISION 15'!$A$13:$H$13,0),""),IFNA(MATCH($B95,'DIVISION 15'!$A$14:$H$14,0),""),IFNA(MATCH($B95,'DIVISION 15'!$A$15:$H$15,0),""),IFNA(MATCH($B95,'DIVISION 15'!$A$16:$H$16,0),""),IFNA(MATCH($B95,'DIVISION 15'!$A$17:$H$17,0),""),IFNA(MATCH($B95,'DIVISION 15'!$A$18:$H$18,0),""))=7,'DIVISION 15'!$G$1,SUM(IFNA(MATCH($B95,'DIVISION 15'!$A$2:$H$2,0),""),IFNA(MATCH($B95,'DIVISION 15'!$A$3:$H$3,0),""),IFNA(MATCH($B95,'DIVISION 15'!$A$4:$H$4,0),""),IFNA(MATCH($B95,'DIVISION 15'!$A$5:$H$5,0),""),IFNA(MATCH($B95,'DIVISION 15'!$A$6:$H$6,0),""),IFNA(MATCH($B95,'DIVISION 15'!$A$7:$H$7,0),""),IFNA(MATCH($B95,'DIVISION 15'!$A$8:$H$8,0),""),IFNA(MATCH($B95,'DIVISION 15'!$A$9:$H$9,0),""),IFNA(MATCH($B95,'DIVISION 15'!$A$10:$H$10,0),""),IFNA(MATCH($B95,'DIVISION 15'!$A$11:$H$11,0),""),IFNA(MATCH($B95,'DIVISION 15'!$A$12:$H$12,0),""),IFNA(MATCH($B95,'DIVISION 15'!$A$13:$H$13,0),""),IFNA(MATCH($B95,'DIVISION 15'!$A$14:$H$14,0),""),IFNA(MATCH($B95,'DIVISION 15'!$A$15:$H$15,0),""),IFNA(MATCH($B95,'DIVISION 15'!$A$16:$H$16,0),""),IFNA(MATCH($B95,'DIVISION 15'!$A$17:$H$17,0),""),IFNA(MATCH($B95,'DIVISION 15'!$A$18:$H$18,0),""))=8,'DIVISION 15'!$H$1)</f>
        <v>DAIU</v>
      </c>
      <c r="U95" s="8" t="str">
        <f t="shared" si="4"/>
        <v>DAIU9</v>
      </c>
      <c r="V95" s="9">
        <f>SUMIF(AsistenciaViewJetAdmin!$A$3:$A$101,A95,AsistenciaViewJetAdmin!$C$3:$C$101)/(COUNTIF(AsistenciaViewJetAdmin!$D$102:V$102,"&gt;0")+COUNTIF(ActividadesEspeciales!$D$102:V$102,"&gt;0"))*100</f>
        <v>55.31914894</v>
      </c>
    </row>
    <row r="96" ht="28.5" customHeight="1">
      <c r="A96" s="3">
        <v>173.0</v>
      </c>
      <c r="B96" s="4" t="s">
        <v>765</v>
      </c>
      <c r="C96" s="5">
        <v>9952.0</v>
      </c>
      <c r="D96" s="7" t="s">
        <v>766</v>
      </c>
      <c r="E96" s="5">
        <v>2.0256408E7</v>
      </c>
      <c r="F96" s="5" t="s">
        <v>767</v>
      </c>
      <c r="G96" s="7">
        <v>1.155931486E9</v>
      </c>
      <c r="H96" s="5" t="s">
        <v>768</v>
      </c>
      <c r="I96" s="5" t="s">
        <v>769</v>
      </c>
      <c r="J96" s="7" t="s">
        <v>770</v>
      </c>
      <c r="K96" s="5" t="s">
        <v>771</v>
      </c>
      <c r="L96" s="5" t="s">
        <v>772</v>
      </c>
      <c r="M96" s="7">
        <v>1.148121759E9</v>
      </c>
      <c r="N96" s="5" t="s">
        <v>51</v>
      </c>
      <c r="O96" s="5" t="s">
        <v>352</v>
      </c>
      <c r="P96" s="5" t="s">
        <v>53</v>
      </c>
      <c r="Q96" s="5" t="s">
        <v>30</v>
      </c>
      <c r="R96" s="5" t="s">
        <v>31</v>
      </c>
      <c r="S96" s="5" t="s">
        <v>43</v>
      </c>
      <c r="T96" s="8" t="str">
        <f>IFS(SUM(IFNA(MATCH($B96,'DIVISION 15'!$A$2:$H$2,0),""),IFNA(MATCH($B96,'DIVISION 15'!$A$3:$H$3,0),""),IFNA(MATCH($B96,'DIVISION 15'!$A$4:$H$4,0),""),IFNA(MATCH($B96,'DIVISION 15'!$A$5:$H$5,0),""),IFNA(MATCH($B96,'DIVISION 15'!$A$6:$H$6,0),""),IFNA(MATCH($B96,'DIVISION 15'!$A$7:$H$7,0),""),IFNA(MATCH($B96,'DIVISION 15'!$A$8:$H$8,0),""),IFNA(MATCH($B96,'DIVISION 15'!$A$9:$H$9,0),""),IFNA(MATCH($B96,'DIVISION 15'!$A$10:$H$10,0),""),IFNA(MATCH($B96,'DIVISION 15'!$A$11:$H$11,0),""),IFNA(MATCH($B96,'DIVISION 15'!$A$12:$H$12,0),""),IFNA(MATCH($B96,'DIVISION 15'!$A$13:$H$13,0),""),IFNA(MATCH($B96,'DIVISION 15'!$A$14:$H$14,0),""),IFNA(MATCH($B96,'DIVISION 15'!$A$15:$H$15,0),""),IFNA(MATCH($B96,'DIVISION 15'!$A$16:$H$16,0),""),IFNA(MATCH($B96,'DIVISION 15'!$A$17:$H$17,0),""),IFNA(MATCH($B96,'DIVISION 15'!$A$18:$H$18,0),""))=1,'DIVISION 15'!$A$1,SUM(IFNA(MATCH($B96,'DIVISION 15'!$A$2:$H$2,0),""),IFNA(MATCH($B96,'DIVISION 15'!$A$3:$H$3,0),""),IFNA(MATCH($B96,'DIVISION 15'!$A$4:$H$4,0),""),IFNA(MATCH($B96,'DIVISION 15'!$A$5:$H$5,0),""),IFNA(MATCH($B96,'DIVISION 15'!$A$6:$H$6,0),""),IFNA(MATCH($B96,'DIVISION 15'!$A$7:$H$7,0),""),IFNA(MATCH($B96,'DIVISION 15'!$A$8:$H$8,0),""),IFNA(MATCH($B96,'DIVISION 15'!$A$9:$H$9,0),""),IFNA(MATCH($B96,'DIVISION 15'!$A$10:$H$10,0),""),IFNA(MATCH($B96,'DIVISION 15'!$A$11:$H$11,0),""),IFNA(MATCH($B96,'DIVISION 15'!$A$12:$H$12,0),""),IFNA(MATCH($B96,'DIVISION 15'!$A$13:$H$13,0),""),IFNA(MATCH($B96,'DIVISION 15'!$A$14:$H$14,0),""),IFNA(MATCH($B96,'DIVISION 15'!$A$15:$H$15,0),""),IFNA(MATCH($B96,'DIVISION 15'!$A$16:$H$16,0),""),IFNA(MATCH($B96,'DIVISION 15'!$A$17:$H$17,0),""),IFNA(MATCH($B96,'DIVISION 15'!$A$18:$H$18,0),""))=2,'DIVISION 15'!$B$1,SUM(IFNA(MATCH($B96,'DIVISION 15'!$A$2:$H$2,0),""),IFNA(MATCH($B96,'DIVISION 15'!$A$3:$H$3,0),""),IFNA(MATCH($B96,'DIVISION 15'!$A$4:$H$4,0),""),IFNA(MATCH($B96,'DIVISION 15'!$A$5:$H$5,0),""),IFNA(MATCH($B96,'DIVISION 15'!$A$6:$H$6,0),""),IFNA(MATCH($B96,'DIVISION 15'!$A$7:$H$7,0),""),IFNA(MATCH($B96,'DIVISION 15'!$A$8:$H$8,0),""),IFNA(MATCH($B96,'DIVISION 15'!$A$9:$H$9,0),""),IFNA(MATCH($B96,'DIVISION 15'!$A$10:$H$10,0),""),IFNA(MATCH($B96,'DIVISION 15'!$A$11:$H$11,0),""),IFNA(MATCH($B96,'DIVISION 15'!$A$12:$H$12,0),""),IFNA(MATCH($B96,'DIVISION 15'!$A$13:$H$13,0),""),IFNA(MATCH($B96,'DIVISION 15'!$A$14:$H$14,0),""),IFNA(MATCH($B96,'DIVISION 15'!$A$15:$H$15,0),""),IFNA(MATCH($B96,'DIVISION 15'!$A$16:$H$16,0),""),IFNA(MATCH($B96,'DIVISION 15'!$A$17:$H$17,0),""),IFNA(MATCH($B96,'DIVISION 15'!$A$18:$H$18,0),""))=3,'DIVISION 15'!$C$1,SUM(IFNA(MATCH($B96,'DIVISION 15'!$A$2:$H$2,0),""),IFNA(MATCH($B96,'DIVISION 15'!$A$3:$H$3,0),""),IFNA(MATCH($B96,'DIVISION 15'!$A$4:$H$4,0),""),IFNA(MATCH($B96,'DIVISION 15'!$A$5:$H$5,0),""),IFNA(MATCH($B96,'DIVISION 15'!$A$6:$H$6,0),""),IFNA(MATCH($B96,'DIVISION 15'!$A$7:$H$7,0),""),IFNA(MATCH($B96,'DIVISION 15'!$A$8:$H$8,0),""),IFNA(MATCH($B96,'DIVISION 15'!$A$9:$H$9,0),""),IFNA(MATCH($B96,'DIVISION 15'!$A$10:$H$10,0),""),IFNA(MATCH($B96,'DIVISION 15'!$A$11:$H$11,0),""),IFNA(MATCH($B96,'DIVISION 15'!$A$12:$H$12,0),""),IFNA(MATCH($B96,'DIVISION 15'!$A$13:$H$13,0),""),IFNA(MATCH($B96,'DIVISION 15'!$A$14:$H$14,0),""),IFNA(MATCH($B96,'DIVISION 15'!$A$15:$H$15,0),""),IFNA(MATCH($B96,'DIVISION 15'!$A$16:$H$16,0),""),IFNA(MATCH($B96,'DIVISION 15'!$A$17:$H$17,0),""),IFNA(MATCH($B96,'DIVISION 15'!$A$18:$H$18,0),""))=4,'DIVISION 15'!$D$1,SUM(IFNA(MATCH($B96,'DIVISION 15'!$A$2:$H$2,0),""),IFNA(MATCH($B96,'DIVISION 15'!$A$3:$H$3,0),""),IFNA(MATCH($B96,'DIVISION 15'!$A$4:$H$4,0),""),IFNA(MATCH($B96,'DIVISION 15'!$A$5:$H$5,0),""),IFNA(MATCH($B96,'DIVISION 15'!$A$6:$H$6,0),""),IFNA(MATCH($B96,'DIVISION 15'!$A$7:$H$7,0),""),IFNA(MATCH($B96,'DIVISION 15'!$A$8:$H$8,0),""),IFNA(MATCH($B96,'DIVISION 15'!$A$9:$H$9,0),""),IFNA(MATCH($B96,'DIVISION 15'!$A$10:$H$10,0),""),IFNA(MATCH($B96,'DIVISION 15'!$A$11:$H$11,0),""),IFNA(MATCH($B96,'DIVISION 15'!$A$12:$H$12,0),""),IFNA(MATCH($B96,'DIVISION 15'!$A$13:$H$13,0),""),IFNA(MATCH($B96,'DIVISION 15'!$A$14:$H$14,0),""),IFNA(MATCH($B96,'DIVISION 15'!$A$15:$H$15,0),""),IFNA(MATCH($B96,'DIVISION 15'!$A$16:$H$16,0),""),IFNA(MATCH($B96,'DIVISION 15'!$A$17:$H$17,0),""),IFNA(MATCH($B96,'DIVISION 15'!$A$18:$H$18,0),""))=5,'DIVISION 15'!$E$1,SUM(IFNA(MATCH($B96,'DIVISION 15'!$A$2:$H$2,0),""),IFNA(MATCH($B96,'DIVISION 15'!$A$3:$H$3,0),""),IFNA(MATCH($B96,'DIVISION 15'!$A$4:$H$4,0),""),IFNA(MATCH($B96,'DIVISION 15'!$A$5:$H$5,0),""),IFNA(MATCH($B96,'DIVISION 15'!$A$6:$H$6,0),""),IFNA(MATCH($B96,'DIVISION 15'!$A$7:$H$7,0),""),IFNA(MATCH($B96,'DIVISION 15'!$A$8:$H$8,0),""),IFNA(MATCH($B96,'DIVISION 15'!$A$9:$H$9,0),""),IFNA(MATCH($B96,'DIVISION 15'!$A$10:$H$10,0),""),IFNA(MATCH($B96,'DIVISION 15'!$A$11:$H$11,0),""),IFNA(MATCH($B96,'DIVISION 15'!$A$12:$H$12,0),""),IFNA(MATCH($B96,'DIVISION 15'!$A$13:$H$13,0),""),IFNA(MATCH($B96,'DIVISION 15'!$A$14:$H$14,0),""),IFNA(MATCH($B96,'DIVISION 15'!$A$15:$H$15,0),""),IFNA(MATCH($B96,'DIVISION 15'!$A$16:$H$16,0),""),IFNA(MATCH($B96,'DIVISION 15'!$A$17:$H$17,0),""),IFNA(MATCH($B96,'DIVISION 15'!$A$18:$H$18,0),""))=6,'DIVISION 15'!$F$1,SUM(IFNA(MATCH($B96,'DIVISION 15'!$A$2:$H$2,0),""),IFNA(MATCH($B96,'DIVISION 15'!$A$3:$H$3,0),""),IFNA(MATCH($B96,'DIVISION 15'!$A$4:$H$4,0),""),IFNA(MATCH($B96,'DIVISION 15'!$A$5:$H$5,0),""),IFNA(MATCH($B96,'DIVISION 15'!$A$6:$H$6,0),""),IFNA(MATCH($B96,'DIVISION 15'!$A$7:$H$7,0),""),IFNA(MATCH($B96,'DIVISION 15'!$A$8:$H$8,0),""),IFNA(MATCH($B96,'DIVISION 15'!$A$9:$H$9,0),""),IFNA(MATCH($B96,'DIVISION 15'!$A$10:$H$10,0),""),IFNA(MATCH($B96,'DIVISION 15'!$A$11:$H$11,0),""),IFNA(MATCH($B96,'DIVISION 15'!$A$12:$H$12,0),""),IFNA(MATCH($B96,'DIVISION 15'!$A$13:$H$13,0),""),IFNA(MATCH($B96,'DIVISION 15'!$A$14:$H$14,0),""),IFNA(MATCH($B96,'DIVISION 15'!$A$15:$H$15,0),""),IFNA(MATCH($B96,'DIVISION 15'!$A$16:$H$16,0),""),IFNA(MATCH($B96,'DIVISION 15'!$A$17:$H$17,0),""),IFNA(MATCH($B96,'DIVISION 15'!$A$18:$H$18,0),""))=7,'DIVISION 15'!$G$1,SUM(IFNA(MATCH($B96,'DIVISION 15'!$A$2:$H$2,0),""),IFNA(MATCH($B96,'DIVISION 15'!$A$3:$H$3,0),""),IFNA(MATCH($B96,'DIVISION 15'!$A$4:$H$4,0),""),IFNA(MATCH($B96,'DIVISION 15'!$A$5:$H$5,0),""),IFNA(MATCH($B96,'DIVISION 15'!$A$6:$H$6,0),""),IFNA(MATCH($B96,'DIVISION 15'!$A$7:$H$7,0),""),IFNA(MATCH($B96,'DIVISION 15'!$A$8:$H$8,0),""),IFNA(MATCH($B96,'DIVISION 15'!$A$9:$H$9,0),""),IFNA(MATCH($B96,'DIVISION 15'!$A$10:$H$10,0),""),IFNA(MATCH($B96,'DIVISION 15'!$A$11:$H$11,0),""),IFNA(MATCH($B96,'DIVISION 15'!$A$12:$H$12,0),""),IFNA(MATCH($B96,'DIVISION 15'!$A$13:$H$13,0),""),IFNA(MATCH($B96,'DIVISION 15'!$A$14:$H$14,0),""),IFNA(MATCH($B96,'DIVISION 15'!$A$15:$H$15,0),""),IFNA(MATCH($B96,'DIVISION 15'!$A$16:$H$16,0),""),IFNA(MATCH($B96,'DIVISION 15'!$A$17:$H$17,0),""),IFNA(MATCH($B96,'DIVISION 15'!$A$18:$H$18,0),""))=8,'DIVISION 15'!$H$1)</f>
        <v>GONZI</v>
      </c>
      <c r="U96" s="8" t="str">
        <f t="shared" si="4"/>
        <v>GONZI12</v>
      </c>
      <c r="V96" s="9">
        <f>SUMIF(AsistenciaViewJetAdmin!$A$3:$A$101,A96,AsistenciaViewJetAdmin!$C$3:$C$101)/(COUNTIF(AsistenciaViewJetAdmin!$D$102:V$102,"&gt;0")+COUNTIF(ActividadesEspeciales!$D$102:V$102,"&gt;0"))*100</f>
        <v>36.17021277</v>
      </c>
    </row>
    <row r="97" ht="28.5" customHeight="1">
      <c r="A97" s="3">
        <v>138.0</v>
      </c>
      <c r="B97" s="4" t="s">
        <v>773</v>
      </c>
      <c r="C97" s="5">
        <v>10225.0</v>
      </c>
      <c r="D97" s="7" t="s">
        <v>774</v>
      </c>
      <c r="E97" s="5">
        <v>4.9700741E7</v>
      </c>
      <c r="F97" s="5" t="s">
        <v>775</v>
      </c>
      <c r="G97" s="7">
        <v>1.137655011E9</v>
      </c>
      <c r="H97" s="5" t="s">
        <v>776</v>
      </c>
      <c r="I97" s="5" t="s">
        <v>777</v>
      </c>
      <c r="J97" s="7" t="s">
        <v>778</v>
      </c>
      <c r="K97" s="5" t="s">
        <v>779</v>
      </c>
      <c r="L97" s="5" t="s">
        <v>780</v>
      </c>
      <c r="M97" s="7">
        <v>1.15461674E9</v>
      </c>
      <c r="N97" s="5" t="s">
        <v>51</v>
      </c>
      <c r="O97" s="5" t="s">
        <v>161</v>
      </c>
      <c r="P97" s="5" t="s">
        <v>136</v>
      </c>
      <c r="Q97" s="5" t="s">
        <v>74</v>
      </c>
      <c r="R97" s="5" t="s">
        <v>31</v>
      </c>
      <c r="S97" s="5" t="s">
        <v>32</v>
      </c>
      <c r="T97" s="8" t="str">
        <f>IFS(SUM(IFNA(MATCH($B97,'DIVISION 15'!$A$2:$H$2,0),""),IFNA(MATCH($B97,'DIVISION 15'!$A$3:$H$3,0),""),IFNA(MATCH($B97,'DIVISION 15'!$A$4:$H$4,0),""),IFNA(MATCH($B97,'DIVISION 15'!$A$5:$H$5,0),""),IFNA(MATCH($B97,'DIVISION 15'!$A$6:$H$6,0),""),IFNA(MATCH($B97,'DIVISION 15'!$A$7:$H$7,0),""),IFNA(MATCH($B97,'DIVISION 15'!$A$8:$H$8,0),""),IFNA(MATCH($B97,'DIVISION 15'!$A$9:$H$9,0),""),IFNA(MATCH($B97,'DIVISION 15'!$A$10:$H$10,0),""),IFNA(MATCH($B97,'DIVISION 15'!$A$11:$H$11,0),""),IFNA(MATCH($B97,'DIVISION 15'!$A$12:$H$12,0),""),IFNA(MATCH($B97,'DIVISION 15'!$A$13:$H$13,0),""),IFNA(MATCH($B97,'DIVISION 15'!$A$14:$H$14,0),""),IFNA(MATCH($B97,'DIVISION 15'!$A$15:$H$15,0),""),IFNA(MATCH($B97,'DIVISION 15'!$A$16:$H$16,0),""),IFNA(MATCH($B97,'DIVISION 15'!$A$17:$H$17,0),""),IFNA(MATCH($B97,'DIVISION 15'!$A$18:$H$18,0),""))=1,'DIVISION 15'!$A$1,SUM(IFNA(MATCH($B97,'DIVISION 15'!$A$2:$H$2,0),""),IFNA(MATCH($B97,'DIVISION 15'!$A$3:$H$3,0),""),IFNA(MATCH($B97,'DIVISION 15'!$A$4:$H$4,0),""),IFNA(MATCH($B97,'DIVISION 15'!$A$5:$H$5,0),""),IFNA(MATCH($B97,'DIVISION 15'!$A$6:$H$6,0),""),IFNA(MATCH($B97,'DIVISION 15'!$A$7:$H$7,0),""),IFNA(MATCH($B97,'DIVISION 15'!$A$8:$H$8,0),""),IFNA(MATCH($B97,'DIVISION 15'!$A$9:$H$9,0),""),IFNA(MATCH($B97,'DIVISION 15'!$A$10:$H$10,0),""),IFNA(MATCH($B97,'DIVISION 15'!$A$11:$H$11,0),""),IFNA(MATCH($B97,'DIVISION 15'!$A$12:$H$12,0),""),IFNA(MATCH($B97,'DIVISION 15'!$A$13:$H$13,0),""),IFNA(MATCH($B97,'DIVISION 15'!$A$14:$H$14,0),""),IFNA(MATCH($B97,'DIVISION 15'!$A$15:$H$15,0),""),IFNA(MATCH($B97,'DIVISION 15'!$A$16:$H$16,0),""),IFNA(MATCH($B97,'DIVISION 15'!$A$17:$H$17,0),""),IFNA(MATCH($B97,'DIVISION 15'!$A$18:$H$18,0),""))=2,'DIVISION 15'!$B$1,SUM(IFNA(MATCH($B97,'DIVISION 15'!$A$2:$H$2,0),""),IFNA(MATCH($B97,'DIVISION 15'!$A$3:$H$3,0),""),IFNA(MATCH($B97,'DIVISION 15'!$A$4:$H$4,0),""),IFNA(MATCH($B97,'DIVISION 15'!$A$5:$H$5,0),""),IFNA(MATCH($B97,'DIVISION 15'!$A$6:$H$6,0),""),IFNA(MATCH($B97,'DIVISION 15'!$A$7:$H$7,0),""),IFNA(MATCH($B97,'DIVISION 15'!$A$8:$H$8,0),""),IFNA(MATCH($B97,'DIVISION 15'!$A$9:$H$9,0),""),IFNA(MATCH($B97,'DIVISION 15'!$A$10:$H$10,0),""),IFNA(MATCH($B97,'DIVISION 15'!$A$11:$H$11,0),""),IFNA(MATCH($B97,'DIVISION 15'!$A$12:$H$12,0),""),IFNA(MATCH($B97,'DIVISION 15'!$A$13:$H$13,0),""),IFNA(MATCH($B97,'DIVISION 15'!$A$14:$H$14,0),""),IFNA(MATCH($B97,'DIVISION 15'!$A$15:$H$15,0),""),IFNA(MATCH($B97,'DIVISION 15'!$A$16:$H$16,0),""),IFNA(MATCH($B97,'DIVISION 15'!$A$17:$H$17,0),""),IFNA(MATCH($B97,'DIVISION 15'!$A$18:$H$18,0),""))=3,'DIVISION 15'!$C$1,SUM(IFNA(MATCH($B97,'DIVISION 15'!$A$2:$H$2,0),""),IFNA(MATCH($B97,'DIVISION 15'!$A$3:$H$3,0),""),IFNA(MATCH($B97,'DIVISION 15'!$A$4:$H$4,0),""),IFNA(MATCH($B97,'DIVISION 15'!$A$5:$H$5,0),""),IFNA(MATCH($B97,'DIVISION 15'!$A$6:$H$6,0),""),IFNA(MATCH($B97,'DIVISION 15'!$A$7:$H$7,0),""),IFNA(MATCH($B97,'DIVISION 15'!$A$8:$H$8,0),""),IFNA(MATCH($B97,'DIVISION 15'!$A$9:$H$9,0),""),IFNA(MATCH($B97,'DIVISION 15'!$A$10:$H$10,0),""),IFNA(MATCH($B97,'DIVISION 15'!$A$11:$H$11,0),""),IFNA(MATCH($B97,'DIVISION 15'!$A$12:$H$12,0),""),IFNA(MATCH($B97,'DIVISION 15'!$A$13:$H$13,0),""),IFNA(MATCH($B97,'DIVISION 15'!$A$14:$H$14,0),""),IFNA(MATCH($B97,'DIVISION 15'!$A$15:$H$15,0),""),IFNA(MATCH($B97,'DIVISION 15'!$A$16:$H$16,0),""),IFNA(MATCH($B97,'DIVISION 15'!$A$17:$H$17,0),""),IFNA(MATCH($B97,'DIVISION 15'!$A$18:$H$18,0),""))=4,'DIVISION 15'!$D$1,SUM(IFNA(MATCH($B97,'DIVISION 15'!$A$2:$H$2,0),""),IFNA(MATCH($B97,'DIVISION 15'!$A$3:$H$3,0),""),IFNA(MATCH($B97,'DIVISION 15'!$A$4:$H$4,0),""),IFNA(MATCH($B97,'DIVISION 15'!$A$5:$H$5,0),""),IFNA(MATCH($B97,'DIVISION 15'!$A$6:$H$6,0),""),IFNA(MATCH($B97,'DIVISION 15'!$A$7:$H$7,0),""),IFNA(MATCH($B97,'DIVISION 15'!$A$8:$H$8,0),""),IFNA(MATCH($B97,'DIVISION 15'!$A$9:$H$9,0),""),IFNA(MATCH($B97,'DIVISION 15'!$A$10:$H$10,0),""),IFNA(MATCH($B97,'DIVISION 15'!$A$11:$H$11,0),""),IFNA(MATCH($B97,'DIVISION 15'!$A$12:$H$12,0),""),IFNA(MATCH($B97,'DIVISION 15'!$A$13:$H$13,0),""),IFNA(MATCH($B97,'DIVISION 15'!$A$14:$H$14,0),""),IFNA(MATCH($B97,'DIVISION 15'!$A$15:$H$15,0),""),IFNA(MATCH($B97,'DIVISION 15'!$A$16:$H$16,0),""),IFNA(MATCH($B97,'DIVISION 15'!$A$17:$H$17,0),""),IFNA(MATCH($B97,'DIVISION 15'!$A$18:$H$18,0),""))=5,'DIVISION 15'!$E$1,SUM(IFNA(MATCH($B97,'DIVISION 15'!$A$2:$H$2,0),""),IFNA(MATCH($B97,'DIVISION 15'!$A$3:$H$3,0),""),IFNA(MATCH($B97,'DIVISION 15'!$A$4:$H$4,0),""),IFNA(MATCH($B97,'DIVISION 15'!$A$5:$H$5,0),""),IFNA(MATCH($B97,'DIVISION 15'!$A$6:$H$6,0),""),IFNA(MATCH($B97,'DIVISION 15'!$A$7:$H$7,0),""),IFNA(MATCH($B97,'DIVISION 15'!$A$8:$H$8,0),""),IFNA(MATCH($B97,'DIVISION 15'!$A$9:$H$9,0),""),IFNA(MATCH($B97,'DIVISION 15'!$A$10:$H$10,0),""),IFNA(MATCH($B97,'DIVISION 15'!$A$11:$H$11,0),""),IFNA(MATCH($B97,'DIVISION 15'!$A$12:$H$12,0),""),IFNA(MATCH($B97,'DIVISION 15'!$A$13:$H$13,0),""),IFNA(MATCH($B97,'DIVISION 15'!$A$14:$H$14,0),""),IFNA(MATCH($B97,'DIVISION 15'!$A$15:$H$15,0),""),IFNA(MATCH($B97,'DIVISION 15'!$A$16:$H$16,0),""),IFNA(MATCH($B97,'DIVISION 15'!$A$17:$H$17,0),""),IFNA(MATCH($B97,'DIVISION 15'!$A$18:$H$18,0),""))=6,'DIVISION 15'!$F$1,SUM(IFNA(MATCH($B97,'DIVISION 15'!$A$2:$H$2,0),""),IFNA(MATCH($B97,'DIVISION 15'!$A$3:$H$3,0),""),IFNA(MATCH($B97,'DIVISION 15'!$A$4:$H$4,0),""),IFNA(MATCH($B97,'DIVISION 15'!$A$5:$H$5,0),""),IFNA(MATCH($B97,'DIVISION 15'!$A$6:$H$6,0),""),IFNA(MATCH($B97,'DIVISION 15'!$A$7:$H$7,0),""),IFNA(MATCH($B97,'DIVISION 15'!$A$8:$H$8,0),""),IFNA(MATCH($B97,'DIVISION 15'!$A$9:$H$9,0),""),IFNA(MATCH($B97,'DIVISION 15'!$A$10:$H$10,0),""),IFNA(MATCH($B97,'DIVISION 15'!$A$11:$H$11,0),""),IFNA(MATCH($B97,'DIVISION 15'!$A$12:$H$12,0),""),IFNA(MATCH($B97,'DIVISION 15'!$A$13:$H$13,0),""),IFNA(MATCH($B97,'DIVISION 15'!$A$14:$H$14,0),""),IFNA(MATCH($B97,'DIVISION 15'!$A$15:$H$15,0),""),IFNA(MATCH($B97,'DIVISION 15'!$A$16:$H$16,0),""),IFNA(MATCH($B97,'DIVISION 15'!$A$17:$H$17,0),""),IFNA(MATCH($B97,'DIVISION 15'!$A$18:$H$18,0),""))=7,'DIVISION 15'!$G$1,SUM(IFNA(MATCH($B97,'DIVISION 15'!$A$2:$H$2,0),""),IFNA(MATCH($B97,'DIVISION 15'!$A$3:$H$3,0),""),IFNA(MATCH($B97,'DIVISION 15'!$A$4:$H$4,0),""),IFNA(MATCH($B97,'DIVISION 15'!$A$5:$H$5,0),""),IFNA(MATCH($B97,'DIVISION 15'!$A$6:$H$6,0),""),IFNA(MATCH($B97,'DIVISION 15'!$A$7:$H$7,0),""),IFNA(MATCH($B97,'DIVISION 15'!$A$8:$H$8,0),""),IFNA(MATCH($B97,'DIVISION 15'!$A$9:$H$9,0),""),IFNA(MATCH($B97,'DIVISION 15'!$A$10:$H$10,0),""),IFNA(MATCH($B97,'DIVISION 15'!$A$11:$H$11,0),""),IFNA(MATCH($B97,'DIVISION 15'!$A$12:$H$12,0),""),IFNA(MATCH($B97,'DIVISION 15'!$A$13:$H$13,0),""),IFNA(MATCH($B97,'DIVISION 15'!$A$14:$H$14,0),""),IFNA(MATCH($B97,'DIVISION 15'!$A$15:$H$15,0),""),IFNA(MATCH($B97,'DIVISION 15'!$A$16:$H$16,0),""),IFNA(MATCH($B97,'DIVISION 15'!$A$17:$H$17,0),""),IFNA(MATCH($B97,'DIVISION 15'!$A$18:$H$18,0),""))=8,'DIVISION 15'!$H$1)</f>
        <v>LULI</v>
      </c>
      <c r="U97" s="8" t="str">
        <f t="shared" si="4"/>
        <v>LULI11</v>
      </c>
      <c r="V97" s="9">
        <f>SUMIF(AsistenciaViewJetAdmin!$A$3:$A$101,A97,AsistenciaViewJetAdmin!$C$3:$C$101)/(COUNTIF(AsistenciaViewJetAdmin!$D$102:V$102,"&gt;0")+COUNTIF(ActividadesEspeciales!$D$102:V$102,"&gt;0"))*100</f>
        <v>62.76595745</v>
      </c>
    </row>
    <row r="98" ht="28.5" customHeight="1">
      <c r="A98" s="3">
        <v>163.0</v>
      </c>
      <c r="B98" s="4" t="s">
        <v>781</v>
      </c>
      <c r="C98" s="5">
        <v>1171302.0</v>
      </c>
      <c r="D98" s="6">
        <v>40211.0</v>
      </c>
      <c r="E98" s="5">
        <v>5.0030703E7</v>
      </c>
      <c r="F98" s="5" t="s">
        <v>782</v>
      </c>
      <c r="G98" s="7">
        <v>1.166511243E9</v>
      </c>
      <c r="H98" s="5" t="s">
        <v>783</v>
      </c>
      <c r="I98" s="5" t="s">
        <v>784</v>
      </c>
      <c r="J98" s="7">
        <v>1.166511248E9</v>
      </c>
      <c r="K98" s="5" t="s">
        <v>785</v>
      </c>
      <c r="L98" s="5" t="s">
        <v>786</v>
      </c>
      <c r="M98" s="7">
        <v>1.166511249E9</v>
      </c>
      <c r="N98" s="5" t="s">
        <v>220</v>
      </c>
      <c r="O98" s="5" t="s">
        <v>120</v>
      </c>
      <c r="P98" s="5" t="s">
        <v>53</v>
      </c>
      <c r="Q98" s="5" t="s">
        <v>30</v>
      </c>
      <c r="R98" s="5" t="s">
        <v>31</v>
      </c>
      <c r="S98" s="5" t="s">
        <v>32</v>
      </c>
      <c r="T98" s="8" t="str">
        <f>IFS(SUM(IFNA(MATCH($B98,'DIVISION 15'!$A$2:$H$2,0),""),IFNA(MATCH($B98,'DIVISION 15'!$A$3:$H$3,0),""),IFNA(MATCH($B98,'DIVISION 15'!$A$4:$H$4,0),""),IFNA(MATCH($B98,'DIVISION 15'!$A$5:$H$5,0),""),IFNA(MATCH($B98,'DIVISION 15'!$A$6:$H$6,0),""),IFNA(MATCH($B98,'DIVISION 15'!$A$7:$H$7,0),""),IFNA(MATCH($B98,'DIVISION 15'!$A$8:$H$8,0),""),IFNA(MATCH($B98,'DIVISION 15'!$A$9:$H$9,0),""),IFNA(MATCH($B98,'DIVISION 15'!$A$10:$H$10,0),""),IFNA(MATCH($B98,'DIVISION 15'!$A$11:$H$11,0),""),IFNA(MATCH($B98,'DIVISION 15'!$A$12:$H$12,0),""),IFNA(MATCH($B98,'DIVISION 15'!$A$13:$H$13,0),""),IFNA(MATCH($B98,'DIVISION 15'!$A$14:$H$14,0),""),IFNA(MATCH($B98,'DIVISION 15'!$A$15:$H$15,0),""),IFNA(MATCH($B98,'DIVISION 15'!$A$16:$H$16,0),""),IFNA(MATCH($B98,'DIVISION 15'!$A$17:$H$17,0),""),IFNA(MATCH($B98,'DIVISION 15'!$A$18:$H$18,0),""))=1,'DIVISION 15'!$A$1,SUM(IFNA(MATCH($B98,'DIVISION 15'!$A$2:$H$2,0),""),IFNA(MATCH($B98,'DIVISION 15'!$A$3:$H$3,0),""),IFNA(MATCH($B98,'DIVISION 15'!$A$4:$H$4,0),""),IFNA(MATCH($B98,'DIVISION 15'!$A$5:$H$5,0),""),IFNA(MATCH($B98,'DIVISION 15'!$A$6:$H$6,0),""),IFNA(MATCH($B98,'DIVISION 15'!$A$7:$H$7,0),""),IFNA(MATCH($B98,'DIVISION 15'!$A$8:$H$8,0),""),IFNA(MATCH($B98,'DIVISION 15'!$A$9:$H$9,0),""),IFNA(MATCH($B98,'DIVISION 15'!$A$10:$H$10,0),""),IFNA(MATCH($B98,'DIVISION 15'!$A$11:$H$11,0),""),IFNA(MATCH($B98,'DIVISION 15'!$A$12:$H$12,0),""),IFNA(MATCH($B98,'DIVISION 15'!$A$13:$H$13,0),""),IFNA(MATCH($B98,'DIVISION 15'!$A$14:$H$14,0),""),IFNA(MATCH($B98,'DIVISION 15'!$A$15:$H$15,0),""),IFNA(MATCH($B98,'DIVISION 15'!$A$16:$H$16,0),""),IFNA(MATCH($B98,'DIVISION 15'!$A$17:$H$17,0),""),IFNA(MATCH($B98,'DIVISION 15'!$A$18:$H$18,0),""))=2,'DIVISION 15'!$B$1,SUM(IFNA(MATCH($B98,'DIVISION 15'!$A$2:$H$2,0),""),IFNA(MATCH($B98,'DIVISION 15'!$A$3:$H$3,0),""),IFNA(MATCH($B98,'DIVISION 15'!$A$4:$H$4,0),""),IFNA(MATCH($B98,'DIVISION 15'!$A$5:$H$5,0),""),IFNA(MATCH($B98,'DIVISION 15'!$A$6:$H$6,0),""),IFNA(MATCH($B98,'DIVISION 15'!$A$7:$H$7,0),""),IFNA(MATCH($B98,'DIVISION 15'!$A$8:$H$8,0),""),IFNA(MATCH($B98,'DIVISION 15'!$A$9:$H$9,0),""),IFNA(MATCH($B98,'DIVISION 15'!$A$10:$H$10,0),""),IFNA(MATCH($B98,'DIVISION 15'!$A$11:$H$11,0),""),IFNA(MATCH($B98,'DIVISION 15'!$A$12:$H$12,0),""),IFNA(MATCH($B98,'DIVISION 15'!$A$13:$H$13,0),""),IFNA(MATCH($B98,'DIVISION 15'!$A$14:$H$14,0),""),IFNA(MATCH($B98,'DIVISION 15'!$A$15:$H$15,0),""),IFNA(MATCH($B98,'DIVISION 15'!$A$16:$H$16,0),""),IFNA(MATCH($B98,'DIVISION 15'!$A$17:$H$17,0),""),IFNA(MATCH($B98,'DIVISION 15'!$A$18:$H$18,0),""))=3,'DIVISION 15'!$C$1,SUM(IFNA(MATCH($B98,'DIVISION 15'!$A$2:$H$2,0),""),IFNA(MATCH($B98,'DIVISION 15'!$A$3:$H$3,0),""),IFNA(MATCH($B98,'DIVISION 15'!$A$4:$H$4,0),""),IFNA(MATCH($B98,'DIVISION 15'!$A$5:$H$5,0),""),IFNA(MATCH($B98,'DIVISION 15'!$A$6:$H$6,0),""),IFNA(MATCH($B98,'DIVISION 15'!$A$7:$H$7,0),""),IFNA(MATCH($B98,'DIVISION 15'!$A$8:$H$8,0),""),IFNA(MATCH($B98,'DIVISION 15'!$A$9:$H$9,0),""),IFNA(MATCH($B98,'DIVISION 15'!$A$10:$H$10,0),""),IFNA(MATCH($B98,'DIVISION 15'!$A$11:$H$11,0),""),IFNA(MATCH($B98,'DIVISION 15'!$A$12:$H$12,0),""),IFNA(MATCH($B98,'DIVISION 15'!$A$13:$H$13,0),""),IFNA(MATCH($B98,'DIVISION 15'!$A$14:$H$14,0),""),IFNA(MATCH($B98,'DIVISION 15'!$A$15:$H$15,0),""),IFNA(MATCH($B98,'DIVISION 15'!$A$16:$H$16,0),""),IFNA(MATCH($B98,'DIVISION 15'!$A$17:$H$17,0),""),IFNA(MATCH($B98,'DIVISION 15'!$A$18:$H$18,0),""))=4,'DIVISION 15'!$D$1,SUM(IFNA(MATCH($B98,'DIVISION 15'!$A$2:$H$2,0),""),IFNA(MATCH($B98,'DIVISION 15'!$A$3:$H$3,0),""),IFNA(MATCH($B98,'DIVISION 15'!$A$4:$H$4,0),""),IFNA(MATCH($B98,'DIVISION 15'!$A$5:$H$5,0),""),IFNA(MATCH($B98,'DIVISION 15'!$A$6:$H$6,0),""),IFNA(MATCH($B98,'DIVISION 15'!$A$7:$H$7,0),""),IFNA(MATCH($B98,'DIVISION 15'!$A$8:$H$8,0),""),IFNA(MATCH($B98,'DIVISION 15'!$A$9:$H$9,0),""),IFNA(MATCH($B98,'DIVISION 15'!$A$10:$H$10,0),""),IFNA(MATCH($B98,'DIVISION 15'!$A$11:$H$11,0),""),IFNA(MATCH($B98,'DIVISION 15'!$A$12:$H$12,0),""),IFNA(MATCH($B98,'DIVISION 15'!$A$13:$H$13,0),""),IFNA(MATCH($B98,'DIVISION 15'!$A$14:$H$14,0),""),IFNA(MATCH($B98,'DIVISION 15'!$A$15:$H$15,0),""),IFNA(MATCH($B98,'DIVISION 15'!$A$16:$H$16,0),""),IFNA(MATCH($B98,'DIVISION 15'!$A$17:$H$17,0),""),IFNA(MATCH($B98,'DIVISION 15'!$A$18:$H$18,0),""))=5,'DIVISION 15'!$E$1,SUM(IFNA(MATCH($B98,'DIVISION 15'!$A$2:$H$2,0),""),IFNA(MATCH($B98,'DIVISION 15'!$A$3:$H$3,0),""),IFNA(MATCH($B98,'DIVISION 15'!$A$4:$H$4,0),""),IFNA(MATCH($B98,'DIVISION 15'!$A$5:$H$5,0),""),IFNA(MATCH($B98,'DIVISION 15'!$A$6:$H$6,0),""),IFNA(MATCH($B98,'DIVISION 15'!$A$7:$H$7,0),""),IFNA(MATCH($B98,'DIVISION 15'!$A$8:$H$8,0),""),IFNA(MATCH($B98,'DIVISION 15'!$A$9:$H$9,0),""),IFNA(MATCH($B98,'DIVISION 15'!$A$10:$H$10,0),""),IFNA(MATCH($B98,'DIVISION 15'!$A$11:$H$11,0),""),IFNA(MATCH($B98,'DIVISION 15'!$A$12:$H$12,0),""),IFNA(MATCH($B98,'DIVISION 15'!$A$13:$H$13,0),""),IFNA(MATCH($B98,'DIVISION 15'!$A$14:$H$14,0),""),IFNA(MATCH($B98,'DIVISION 15'!$A$15:$H$15,0),""),IFNA(MATCH($B98,'DIVISION 15'!$A$16:$H$16,0),""),IFNA(MATCH($B98,'DIVISION 15'!$A$17:$H$17,0),""),IFNA(MATCH($B98,'DIVISION 15'!$A$18:$H$18,0),""))=6,'DIVISION 15'!$F$1,SUM(IFNA(MATCH($B98,'DIVISION 15'!$A$2:$H$2,0),""),IFNA(MATCH($B98,'DIVISION 15'!$A$3:$H$3,0),""),IFNA(MATCH($B98,'DIVISION 15'!$A$4:$H$4,0),""),IFNA(MATCH($B98,'DIVISION 15'!$A$5:$H$5,0),""),IFNA(MATCH($B98,'DIVISION 15'!$A$6:$H$6,0),""),IFNA(MATCH($B98,'DIVISION 15'!$A$7:$H$7,0),""),IFNA(MATCH($B98,'DIVISION 15'!$A$8:$H$8,0),""),IFNA(MATCH($B98,'DIVISION 15'!$A$9:$H$9,0),""),IFNA(MATCH($B98,'DIVISION 15'!$A$10:$H$10,0),""),IFNA(MATCH($B98,'DIVISION 15'!$A$11:$H$11,0),""),IFNA(MATCH($B98,'DIVISION 15'!$A$12:$H$12,0),""),IFNA(MATCH($B98,'DIVISION 15'!$A$13:$H$13,0),""),IFNA(MATCH($B98,'DIVISION 15'!$A$14:$H$14,0),""),IFNA(MATCH($B98,'DIVISION 15'!$A$15:$H$15,0),""),IFNA(MATCH($B98,'DIVISION 15'!$A$16:$H$16,0),""),IFNA(MATCH($B98,'DIVISION 15'!$A$17:$H$17,0),""),IFNA(MATCH($B98,'DIVISION 15'!$A$18:$H$18,0),""))=7,'DIVISION 15'!$G$1,SUM(IFNA(MATCH($B98,'DIVISION 15'!$A$2:$H$2,0),""),IFNA(MATCH($B98,'DIVISION 15'!$A$3:$H$3,0),""),IFNA(MATCH($B98,'DIVISION 15'!$A$4:$H$4,0),""),IFNA(MATCH($B98,'DIVISION 15'!$A$5:$H$5,0),""),IFNA(MATCH($B98,'DIVISION 15'!$A$6:$H$6,0),""),IFNA(MATCH($B98,'DIVISION 15'!$A$7:$H$7,0),""),IFNA(MATCH($B98,'DIVISION 15'!$A$8:$H$8,0),""),IFNA(MATCH($B98,'DIVISION 15'!$A$9:$H$9,0),""),IFNA(MATCH($B98,'DIVISION 15'!$A$10:$H$10,0),""),IFNA(MATCH($B98,'DIVISION 15'!$A$11:$H$11,0),""),IFNA(MATCH($B98,'DIVISION 15'!$A$12:$H$12,0),""),IFNA(MATCH($B98,'DIVISION 15'!$A$13:$H$13,0),""),IFNA(MATCH($B98,'DIVISION 15'!$A$14:$H$14,0),""),IFNA(MATCH($B98,'DIVISION 15'!$A$15:$H$15,0),""),IFNA(MATCH($B98,'DIVISION 15'!$A$16:$H$16,0),""),IFNA(MATCH($B98,'DIVISION 15'!$A$17:$H$17,0),""),IFNA(MATCH($B98,'DIVISION 15'!$A$18:$H$18,0),""))=8,'DIVISION 15'!$H$1)</f>
        <v>LULI</v>
      </c>
      <c r="U98" s="8" t="str">
        <f t="shared" si="4"/>
        <v>LULI12</v>
      </c>
      <c r="V98" s="9">
        <f>SUMIF(AsistenciaViewJetAdmin!$A$3:$A$101,A98,AsistenciaViewJetAdmin!$C$3:$C$101)/(COUNTIF(AsistenciaViewJetAdmin!$D$102:V$102,"&gt;0")+COUNTIF(ActividadesEspeciales!$D$102:V$102,"&gt;0"))*100</f>
        <v>58.5106383</v>
      </c>
    </row>
    <row r="99" ht="28.5" customHeight="1">
      <c r="A99" s="3">
        <v>118.0</v>
      </c>
      <c r="B99" s="4" t="s">
        <v>787</v>
      </c>
      <c r="C99" s="5">
        <v>1000503.0</v>
      </c>
      <c r="D99" s="6">
        <v>40427.0</v>
      </c>
      <c r="E99" s="5">
        <v>5.028949E7</v>
      </c>
      <c r="F99" s="5" t="s">
        <v>788</v>
      </c>
      <c r="G99" s="7">
        <v>1.122498294E9</v>
      </c>
      <c r="H99" s="5" t="s">
        <v>789</v>
      </c>
      <c r="I99" s="5" t="s">
        <v>790</v>
      </c>
      <c r="J99" s="7">
        <v>1.131427901E9</v>
      </c>
      <c r="K99" s="5" t="s">
        <v>791</v>
      </c>
      <c r="L99" s="5" t="s">
        <v>792</v>
      </c>
      <c r="M99" s="7">
        <v>1.124272005E9</v>
      </c>
      <c r="N99" s="5" t="s">
        <v>61</v>
      </c>
      <c r="O99" s="5" t="s">
        <v>161</v>
      </c>
      <c r="P99" s="5" t="s">
        <v>53</v>
      </c>
      <c r="Q99" s="5" t="s">
        <v>74</v>
      </c>
      <c r="R99" s="5" t="s">
        <v>31</v>
      </c>
      <c r="S99" s="5" t="s">
        <v>43</v>
      </c>
      <c r="T99" s="8" t="str">
        <f>IFS(SUM(IFNA(MATCH($B99,'DIVISION 15'!$A$2:$H$2,0),""),IFNA(MATCH($B99,'DIVISION 15'!$A$3:$H$3,0),""),IFNA(MATCH($B99,'DIVISION 15'!$A$4:$H$4,0),""),IFNA(MATCH($B99,'DIVISION 15'!$A$5:$H$5,0),""),IFNA(MATCH($B99,'DIVISION 15'!$A$6:$H$6,0),""),IFNA(MATCH($B99,'DIVISION 15'!$A$7:$H$7,0),""),IFNA(MATCH($B99,'DIVISION 15'!$A$8:$H$8,0),""),IFNA(MATCH($B99,'DIVISION 15'!$A$9:$H$9,0),""),IFNA(MATCH($B99,'DIVISION 15'!$A$10:$H$10,0),""),IFNA(MATCH($B99,'DIVISION 15'!$A$11:$H$11,0),""),IFNA(MATCH($B99,'DIVISION 15'!$A$12:$H$12,0),""),IFNA(MATCH($B99,'DIVISION 15'!$A$13:$H$13,0),""),IFNA(MATCH($B99,'DIVISION 15'!$A$14:$H$14,0),""),IFNA(MATCH($B99,'DIVISION 15'!$A$15:$H$15,0),""),IFNA(MATCH($B99,'DIVISION 15'!$A$16:$H$16,0),""),IFNA(MATCH($B99,'DIVISION 15'!$A$17:$H$17,0),""),IFNA(MATCH($B99,'DIVISION 15'!$A$18:$H$18,0),""))=1,'DIVISION 15'!$A$1,SUM(IFNA(MATCH($B99,'DIVISION 15'!$A$2:$H$2,0),""),IFNA(MATCH($B99,'DIVISION 15'!$A$3:$H$3,0),""),IFNA(MATCH($B99,'DIVISION 15'!$A$4:$H$4,0),""),IFNA(MATCH($B99,'DIVISION 15'!$A$5:$H$5,0),""),IFNA(MATCH($B99,'DIVISION 15'!$A$6:$H$6,0),""),IFNA(MATCH($B99,'DIVISION 15'!$A$7:$H$7,0),""),IFNA(MATCH($B99,'DIVISION 15'!$A$8:$H$8,0),""),IFNA(MATCH($B99,'DIVISION 15'!$A$9:$H$9,0),""),IFNA(MATCH($B99,'DIVISION 15'!$A$10:$H$10,0),""),IFNA(MATCH($B99,'DIVISION 15'!$A$11:$H$11,0),""),IFNA(MATCH($B99,'DIVISION 15'!$A$12:$H$12,0),""),IFNA(MATCH($B99,'DIVISION 15'!$A$13:$H$13,0),""),IFNA(MATCH($B99,'DIVISION 15'!$A$14:$H$14,0),""),IFNA(MATCH($B99,'DIVISION 15'!$A$15:$H$15,0),""),IFNA(MATCH($B99,'DIVISION 15'!$A$16:$H$16,0),""),IFNA(MATCH($B99,'DIVISION 15'!$A$17:$H$17,0),""),IFNA(MATCH($B99,'DIVISION 15'!$A$18:$H$18,0),""))=2,'DIVISION 15'!$B$1,SUM(IFNA(MATCH($B99,'DIVISION 15'!$A$2:$H$2,0),""),IFNA(MATCH($B99,'DIVISION 15'!$A$3:$H$3,0),""),IFNA(MATCH($B99,'DIVISION 15'!$A$4:$H$4,0),""),IFNA(MATCH($B99,'DIVISION 15'!$A$5:$H$5,0),""),IFNA(MATCH($B99,'DIVISION 15'!$A$6:$H$6,0),""),IFNA(MATCH($B99,'DIVISION 15'!$A$7:$H$7,0),""),IFNA(MATCH($B99,'DIVISION 15'!$A$8:$H$8,0),""),IFNA(MATCH($B99,'DIVISION 15'!$A$9:$H$9,0),""),IFNA(MATCH($B99,'DIVISION 15'!$A$10:$H$10,0),""),IFNA(MATCH($B99,'DIVISION 15'!$A$11:$H$11,0),""),IFNA(MATCH($B99,'DIVISION 15'!$A$12:$H$12,0),""),IFNA(MATCH($B99,'DIVISION 15'!$A$13:$H$13,0),""),IFNA(MATCH($B99,'DIVISION 15'!$A$14:$H$14,0),""),IFNA(MATCH($B99,'DIVISION 15'!$A$15:$H$15,0),""),IFNA(MATCH($B99,'DIVISION 15'!$A$16:$H$16,0),""),IFNA(MATCH($B99,'DIVISION 15'!$A$17:$H$17,0),""),IFNA(MATCH($B99,'DIVISION 15'!$A$18:$H$18,0),""))=3,'DIVISION 15'!$C$1,SUM(IFNA(MATCH($B99,'DIVISION 15'!$A$2:$H$2,0),""),IFNA(MATCH($B99,'DIVISION 15'!$A$3:$H$3,0),""),IFNA(MATCH($B99,'DIVISION 15'!$A$4:$H$4,0),""),IFNA(MATCH($B99,'DIVISION 15'!$A$5:$H$5,0),""),IFNA(MATCH($B99,'DIVISION 15'!$A$6:$H$6,0),""),IFNA(MATCH($B99,'DIVISION 15'!$A$7:$H$7,0),""),IFNA(MATCH($B99,'DIVISION 15'!$A$8:$H$8,0),""),IFNA(MATCH($B99,'DIVISION 15'!$A$9:$H$9,0),""),IFNA(MATCH($B99,'DIVISION 15'!$A$10:$H$10,0),""),IFNA(MATCH($B99,'DIVISION 15'!$A$11:$H$11,0),""),IFNA(MATCH($B99,'DIVISION 15'!$A$12:$H$12,0),""),IFNA(MATCH($B99,'DIVISION 15'!$A$13:$H$13,0),""),IFNA(MATCH($B99,'DIVISION 15'!$A$14:$H$14,0),""),IFNA(MATCH($B99,'DIVISION 15'!$A$15:$H$15,0),""),IFNA(MATCH($B99,'DIVISION 15'!$A$16:$H$16,0),""),IFNA(MATCH($B99,'DIVISION 15'!$A$17:$H$17,0),""),IFNA(MATCH($B99,'DIVISION 15'!$A$18:$H$18,0),""))=4,'DIVISION 15'!$D$1,SUM(IFNA(MATCH($B99,'DIVISION 15'!$A$2:$H$2,0),""),IFNA(MATCH($B99,'DIVISION 15'!$A$3:$H$3,0),""),IFNA(MATCH($B99,'DIVISION 15'!$A$4:$H$4,0),""),IFNA(MATCH($B99,'DIVISION 15'!$A$5:$H$5,0),""),IFNA(MATCH($B99,'DIVISION 15'!$A$6:$H$6,0),""),IFNA(MATCH($B99,'DIVISION 15'!$A$7:$H$7,0),""),IFNA(MATCH($B99,'DIVISION 15'!$A$8:$H$8,0),""),IFNA(MATCH($B99,'DIVISION 15'!$A$9:$H$9,0),""),IFNA(MATCH($B99,'DIVISION 15'!$A$10:$H$10,0),""),IFNA(MATCH($B99,'DIVISION 15'!$A$11:$H$11,0),""),IFNA(MATCH($B99,'DIVISION 15'!$A$12:$H$12,0),""),IFNA(MATCH($B99,'DIVISION 15'!$A$13:$H$13,0),""),IFNA(MATCH($B99,'DIVISION 15'!$A$14:$H$14,0),""),IFNA(MATCH($B99,'DIVISION 15'!$A$15:$H$15,0),""),IFNA(MATCH($B99,'DIVISION 15'!$A$16:$H$16,0),""),IFNA(MATCH($B99,'DIVISION 15'!$A$17:$H$17,0),""),IFNA(MATCH($B99,'DIVISION 15'!$A$18:$H$18,0),""))=5,'DIVISION 15'!$E$1,SUM(IFNA(MATCH($B99,'DIVISION 15'!$A$2:$H$2,0),""),IFNA(MATCH($B99,'DIVISION 15'!$A$3:$H$3,0),""),IFNA(MATCH($B99,'DIVISION 15'!$A$4:$H$4,0),""),IFNA(MATCH($B99,'DIVISION 15'!$A$5:$H$5,0),""),IFNA(MATCH($B99,'DIVISION 15'!$A$6:$H$6,0),""),IFNA(MATCH($B99,'DIVISION 15'!$A$7:$H$7,0),""),IFNA(MATCH($B99,'DIVISION 15'!$A$8:$H$8,0),""),IFNA(MATCH($B99,'DIVISION 15'!$A$9:$H$9,0),""),IFNA(MATCH($B99,'DIVISION 15'!$A$10:$H$10,0),""),IFNA(MATCH($B99,'DIVISION 15'!$A$11:$H$11,0),""),IFNA(MATCH($B99,'DIVISION 15'!$A$12:$H$12,0),""),IFNA(MATCH($B99,'DIVISION 15'!$A$13:$H$13,0),""),IFNA(MATCH($B99,'DIVISION 15'!$A$14:$H$14,0),""),IFNA(MATCH($B99,'DIVISION 15'!$A$15:$H$15,0),""),IFNA(MATCH($B99,'DIVISION 15'!$A$16:$H$16,0),""),IFNA(MATCH($B99,'DIVISION 15'!$A$17:$H$17,0),""),IFNA(MATCH($B99,'DIVISION 15'!$A$18:$H$18,0),""))=6,'DIVISION 15'!$F$1,SUM(IFNA(MATCH($B99,'DIVISION 15'!$A$2:$H$2,0),""),IFNA(MATCH($B99,'DIVISION 15'!$A$3:$H$3,0),""),IFNA(MATCH($B99,'DIVISION 15'!$A$4:$H$4,0),""),IFNA(MATCH($B99,'DIVISION 15'!$A$5:$H$5,0),""),IFNA(MATCH($B99,'DIVISION 15'!$A$6:$H$6,0),""),IFNA(MATCH($B99,'DIVISION 15'!$A$7:$H$7,0),""),IFNA(MATCH($B99,'DIVISION 15'!$A$8:$H$8,0),""),IFNA(MATCH($B99,'DIVISION 15'!$A$9:$H$9,0),""),IFNA(MATCH($B99,'DIVISION 15'!$A$10:$H$10,0),""),IFNA(MATCH($B99,'DIVISION 15'!$A$11:$H$11,0),""),IFNA(MATCH($B99,'DIVISION 15'!$A$12:$H$12,0),""),IFNA(MATCH($B99,'DIVISION 15'!$A$13:$H$13,0),""),IFNA(MATCH($B99,'DIVISION 15'!$A$14:$H$14,0),""),IFNA(MATCH($B99,'DIVISION 15'!$A$15:$H$15,0),""),IFNA(MATCH($B99,'DIVISION 15'!$A$16:$H$16,0),""),IFNA(MATCH($B99,'DIVISION 15'!$A$17:$H$17,0),""),IFNA(MATCH($B99,'DIVISION 15'!$A$18:$H$18,0),""))=7,'DIVISION 15'!$G$1,SUM(IFNA(MATCH($B99,'DIVISION 15'!$A$2:$H$2,0),""),IFNA(MATCH($B99,'DIVISION 15'!$A$3:$H$3,0),""),IFNA(MATCH($B99,'DIVISION 15'!$A$4:$H$4,0),""),IFNA(MATCH($B99,'DIVISION 15'!$A$5:$H$5,0),""),IFNA(MATCH($B99,'DIVISION 15'!$A$6:$H$6,0),""),IFNA(MATCH($B99,'DIVISION 15'!$A$7:$H$7,0),""),IFNA(MATCH($B99,'DIVISION 15'!$A$8:$H$8,0),""),IFNA(MATCH($B99,'DIVISION 15'!$A$9:$H$9,0),""),IFNA(MATCH($B99,'DIVISION 15'!$A$10:$H$10,0),""),IFNA(MATCH($B99,'DIVISION 15'!$A$11:$H$11,0),""),IFNA(MATCH($B99,'DIVISION 15'!$A$12:$H$12,0),""),IFNA(MATCH($B99,'DIVISION 15'!$A$13:$H$13,0),""),IFNA(MATCH($B99,'DIVISION 15'!$A$14:$H$14,0),""),IFNA(MATCH($B99,'DIVISION 15'!$A$15:$H$15,0),""),IFNA(MATCH($B99,'DIVISION 15'!$A$16:$H$16,0),""),IFNA(MATCH($B99,'DIVISION 15'!$A$17:$H$17,0),""),IFNA(MATCH($B99,'DIVISION 15'!$A$18:$H$18,0),""))=8,'DIVISION 15'!$H$1)</f>
        <v>DAIU</v>
      </c>
      <c r="U99" s="8" t="str">
        <f t="shared" si="4"/>
        <v>DAIU10</v>
      </c>
      <c r="V99" s="9">
        <f>SUMIF(AsistenciaViewJetAdmin!$A$3:$A$101,A99,AsistenciaViewJetAdmin!$C$3:$C$101)/(COUNTIF(AsistenciaViewJetAdmin!$D$102:V$102,"&gt;0")+COUNTIF(ActividadesEspeciales!$D$102:V$102,"&gt;0"))*100</f>
        <v>70.21276596</v>
      </c>
    </row>
    <row r="100" ht="28.5" customHeight="1">
      <c r="A100" s="3">
        <v>114.0</v>
      </c>
      <c r="B100" s="4" t="s">
        <v>793</v>
      </c>
      <c r="C100" s="5">
        <v>1085102.0</v>
      </c>
      <c r="D100" s="6">
        <v>39940.0</v>
      </c>
      <c r="E100" s="5">
        <v>4.9627593E7</v>
      </c>
      <c r="F100" s="5" t="s">
        <v>794</v>
      </c>
      <c r="G100" s="7">
        <v>1.124878744E9</v>
      </c>
      <c r="H100" s="5" t="s">
        <v>795</v>
      </c>
      <c r="I100" s="5" t="s">
        <v>796</v>
      </c>
      <c r="J100" s="7">
        <v>1.130617405E9</v>
      </c>
      <c r="K100" s="5" t="s">
        <v>797</v>
      </c>
      <c r="L100" s="5" t="s">
        <v>798</v>
      </c>
      <c r="M100" s="7">
        <v>1.140349134E9</v>
      </c>
      <c r="N100" s="5" t="s">
        <v>61</v>
      </c>
      <c r="O100" s="5" t="s">
        <v>799</v>
      </c>
      <c r="P100" s="5" t="s">
        <v>120</v>
      </c>
      <c r="Q100" s="5" t="s">
        <v>30</v>
      </c>
      <c r="R100" s="5" t="s">
        <v>31</v>
      </c>
      <c r="S100" s="5" t="s">
        <v>32</v>
      </c>
      <c r="T100" s="8" t="str">
        <f>IFS(SUM(IFNA(MATCH($B100,'DIVISION 15'!$A$2:$H$2,0),""),IFNA(MATCH($B100,'DIVISION 15'!$A$3:$H$3,0),""),IFNA(MATCH($B100,'DIVISION 15'!$A$4:$H$4,0),""),IFNA(MATCH($B100,'DIVISION 15'!$A$5:$H$5,0),""),IFNA(MATCH($B100,'DIVISION 15'!$A$6:$H$6,0),""),IFNA(MATCH($B100,'DIVISION 15'!$A$7:$H$7,0),""),IFNA(MATCH($B100,'DIVISION 15'!$A$8:$H$8,0),""),IFNA(MATCH($B100,'DIVISION 15'!$A$9:$H$9,0),""),IFNA(MATCH($B100,'DIVISION 15'!$A$10:$H$10,0),""),IFNA(MATCH($B100,'DIVISION 15'!$A$11:$H$11,0),""),IFNA(MATCH($B100,'DIVISION 15'!$A$12:$H$12,0),""),IFNA(MATCH($B100,'DIVISION 15'!$A$13:$H$13,0),""),IFNA(MATCH($B100,'DIVISION 15'!$A$14:$H$14,0),""),IFNA(MATCH($B100,'DIVISION 15'!$A$15:$H$15,0),""),IFNA(MATCH($B100,'DIVISION 15'!$A$16:$H$16,0),""),IFNA(MATCH($B100,'DIVISION 15'!$A$17:$H$17,0),""),IFNA(MATCH($B100,'DIVISION 15'!$A$18:$H$18,0),""))=1,'DIVISION 15'!$A$1,SUM(IFNA(MATCH($B100,'DIVISION 15'!$A$2:$H$2,0),""),IFNA(MATCH($B100,'DIVISION 15'!$A$3:$H$3,0),""),IFNA(MATCH($B100,'DIVISION 15'!$A$4:$H$4,0),""),IFNA(MATCH($B100,'DIVISION 15'!$A$5:$H$5,0),""),IFNA(MATCH($B100,'DIVISION 15'!$A$6:$H$6,0),""),IFNA(MATCH($B100,'DIVISION 15'!$A$7:$H$7,0),""),IFNA(MATCH($B100,'DIVISION 15'!$A$8:$H$8,0),""),IFNA(MATCH($B100,'DIVISION 15'!$A$9:$H$9,0),""),IFNA(MATCH($B100,'DIVISION 15'!$A$10:$H$10,0),""),IFNA(MATCH($B100,'DIVISION 15'!$A$11:$H$11,0),""),IFNA(MATCH($B100,'DIVISION 15'!$A$12:$H$12,0),""),IFNA(MATCH($B100,'DIVISION 15'!$A$13:$H$13,0),""),IFNA(MATCH($B100,'DIVISION 15'!$A$14:$H$14,0),""),IFNA(MATCH($B100,'DIVISION 15'!$A$15:$H$15,0),""),IFNA(MATCH($B100,'DIVISION 15'!$A$16:$H$16,0),""),IFNA(MATCH($B100,'DIVISION 15'!$A$17:$H$17,0),""),IFNA(MATCH($B100,'DIVISION 15'!$A$18:$H$18,0),""))=2,'DIVISION 15'!$B$1,SUM(IFNA(MATCH($B100,'DIVISION 15'!$A$2:$H$2,0),""),IFNA(MATCH($B100,'DIVISION 15'!$A$3:$H$3,0),""),IFNA(MATCH($B100,'DIVISION 15'!$A$4:$H$4,0),""),IFNA(MATCH($B100,'DIVISION 15'!$A$5:$H$5,0),""),IFNA(MATCH($B100,'DIVISION 15'!$A$6:$H$6,0),""),IFNA(MATCH($B100,'DIVISION 15'!$A$7:$H$7,0),""),IFNA(MATCH($B100,'DIVISION 15'!$A$8:$H$8,0),""),IFNA(MATCH($B100,'DIVISION 15'!$A$9:$H$9,0),""),IFNA(MATCH($B100,'DIVISION 15'!$A$10:$H$10,0),""),IFNA(MATCH($B100,'DIVISION 15'!$A$11:$H$11,0),""),IFNA(MATCH($B100,'DIVISION 15'!$A$12:$H$12,0),""),IFNA(MATCH($B100,'DIVISION 15'!$A$13:$H$13,0),""),IFNA(MATCH($B100,'DIVISION 15'!$A$14:$H$14,0),""),IFNA(MATCH($B100,'DIVISION 15'!$A$15:$H$15,0),""),IFNA(MATCH($B100,'DIVISION 15'!$A$16:$H$16,0),""),IFNA(MATCH($B100,'DIVISION 15'!$A$17:$H$17,0),""),IFNA(MATCH($B100,'DIVISION 15'!$A$18:$H$18,0),""))=3,'DIVISION 15'!$C$1,SUM(IFNA(MATCH($B100,'DIVISION 15'!$A$2:$H$2,0),""),IFNA(MATCH($B100,'DIVISION 15'!$A$3:$H$3,0),""),IFNA(MATCH($B100,'DIVISION 15'!$A$4:$H$4,0),""),IFNA(MATCH($B100,'DIVISION 15'!$A$5:$H$5,0),""),IFNA(MATCH($B100,'DIVISION 15'!$A$6:$H$6,0),""),IFNA(MATCH($B100,'DIVISION 15'!$A$7:$H$7,0),""),IFNA(MATCH($B100,'DIVISION 15'!$A$8:$H$8,0),""),IFNA(MATCH($B100,'DIVISION 15'!$A$9:$H$9,0),""),IFNA(MATCH($B100,'DIVISION 15'!$A$10:$H$10,0),""),IFNA(MATCH($B100,'DIVISION 15'!$A$11:$H$11,0),""),IFNA(MATCH($B100,'DIVISION 15'!$A$12:$H$12,0),""),IFNA(MATCH($B100,'DIVISION 15'!$A$13:$H$13,0),""),IFNA(MATCH($B100,'DIVISION 15'!$A$14:$H$14,0),""),IFNA(MATCH($B100,'DIVISION 15'!$A$15:$H$15,0),""),IFNA(MATCH($B100,'DIVISION 15'!$A$16:$H$16,0),""),IFNA(MATCH($B100,'DIVISION 15'!$A$17:$H$17,0),""),IFNA(MATCH($B100,'DIVISION 15'!$A$18:$H$18,0),""))=4,'DIVISION 15'!$D$1,SUM(IFNA(MATCH($B100,'DIVISION 15'!$A$2:$H$2,0),""),IFNA(MATCH($B100,'DIVISION 15'!$A$3:$H$3,0),""),IFNA(MATCH($B100,'DIVISION 15'!$A$4:$H$4,0),""),IFNA(MATCH($B100,'DIVISION 15'!$A$5:$H$5,0),""),IFNA(MATCH($B100,'DIVISION 15'!$A$6:$H$6,0),""),IFNA(MATCH($B100,'DIVISION 15'!$A$7:$H$7,0),""),IFNA(MATCH($B100,'DIVISION 15'!$A$8:$H$8,0),""),IFNA(MATCH($B100,'DIVISION 15'!$A$9:$H$9,0),""),IFNA(MATCH($B100,'DIVISION 15'!$A$10:$H$10,0),""),IFNA(MATCH($B100,'DIVISION 15'!$A$11:$H$11,0),""),IFNA(MATCH($B100,'DIVISION 15'!$A$12:$H$12,0),""),IFNA(MATCH($B100,'DIVISION 15'!$A$13:$H$13,0),""),IFNA(MATCH($B100,'DIVISION 15'!$A$14:$H$14,0),""),IFNA(MATCH($B100,'DIVISION 15'!$A$15:$H$15,0),""),IFNA(MATCH($B100,'DIVISION 15'!$A$16:$H$16,0),""),IFNA(MATCH($B100,'DIVISION 15'!$A$17:$H$17,0),""),IFNA(MATCH($B100,'DIVISION 15'!$A$18:$H$18,0),""))=5,'DIVISION 15'!$E$1,SUM(IFNA(MATCH($B100,'DIVISION 15'!$A$2:$H$2,0),""),IFNA(MATCH($B100,'DIVISION 15'!$A$3:$H$3,0),""),IFNA(MATCH($B100,'DIVISION 15'!$A$4:$H$4,0),""),IFNA(MATCH($B100,'DIVISION 15'!$A$5:$H$5,0),""),IFNA(MATCH($B100,'DIVISION 15'!$A$6:$H$6,0),""),IFNA(MATCH($B100,'DIVISION 15'!$A$7:$H$7,0),""),IFNA(MATCH($B100,'DIVISION 15'!$A$8:$H$8,0),""),IFNA(MATCH($B100,'DIVISION 15'!$A$9:$H$9,0),""),IFNA(MATCH($B100,'DIVISION 15'!$A$10:$H$10,0),""),IFNA(MATCH($B100,'DIVISION 15'!$A$11:$H$11,0),""),IFNA(MATCH($B100,'DIVISION 15'!$A$12:$H$12,0),""),IFNA(MATCH($B100,'DIVISION 15'!$A$13:$H$13,0),""),IFNA(MATCH($B100,'DIVISION 15'!$A$14:$H$14,0),""),IFNA(MATCH($B100,'DIVISION 15'!$A$15:$H$15,0),""),IFNA(MATCH($B100,'DIVISION 15'!$A$16:$H$16,0),""),IFNA(MATCH($B100,'DIVISION 15'!$A$17:$H$17,0),""),IFNA(MATCH($B100,'DIVISION 15'!$A$18:$H$18,0),""))=6,'DIVISION 15'!$F$1,SUM(IFNA(MATCH($B100,'DIVISION 15'!$A$2:$H$2,0),""),IFNA(MATCH($B100,'DIVISION 15'!$A$3:$H$3,0),""),IFNA(MATCH($B100,'DIVISION 15'!$A$4:$H$4,0),""),IFNA(MATCH($B100,'DIVISION 15'!$A$5:$H$5,0),""),IFNA(MATCH($B100,'DIVISION 15'!$A$6:$H$6,0),""),IFNA(MATCH($B100,'DIVISION 15'!$A$7:$H$7,0),""),IFNA(MATCH($B100,'DIVISION 15'!$A$8:$H$8,0),""),IFNA(MATCH($B100,'DIVISION 15'!$A$9:$H$9,0),""),IFNA(MATCH($B100,'DIVISION 15'!$A$10:$H$10,0),""),IFNA(MATCH($B100,'DIVISION 15'!$A$11:$H$11,0),""),IFNA(MATCH($B100,'DIVISION 15'!$A$12:$H$12,0),""),IFNA(MATCH($B100,'DIVISION 15'!$A$13:$H$13,0),""),IFNA(MATCH($B100,'DIVISION 15'!$A$14:$H$14,0),""),IFNA(MATCH($B100,'DIVISION 15'!$A$15:$H$15,0),""),IFNA(MATCH($B100,'DIVISION 15'!$A$16:$H$16,0),""),IFNA(MATCH($B100,'DIVISION 15'!$A$17:$H$17,0),""),IFNA(MATCH($B100,'DIVISION 15'!$A$18:$H$18,0),""))=7,'DIVISION 15'!$G$1,SUM(IFNA(MATCH($B100,'DIVISION 15'!$A$2:$H$2,0),""),IFNA(MATCH($B100,'DIVISION 15'!$A$3:$H$3,0),""),IFNA(MATCH($B100,'DIVISION 15'!$A$4:$H$4,0),""),IFNA(MATCH($B100,'DIVISION 15'!$A$5:$H$5,0),""),IFNA(MATCH($B100,'DIVISION 15'!$A$6:$H$6,0),""),IFNA(MATCH($B100,'DIVISION 15'!$A$7:$H$7,0),""),IFNA(MATCH($B100,'DIVISION 15'!$A$8:$H$8,0),""),IFNA(MATCH($B100,'DIVISION 15'!$A$9:$H$9,0),""),IFNA(MATCH($B100,'DIVISION 15'!$A$10:$H$10,0),""),IFNA(MATCH($B100,'DIVISION 15'!$A$11:$H$11,0),""),IFNA(MATCH($B100,'DIVISION 15'!$A$12:$H$12,0),""),IFNA(MATCH($B100,'DIVISION 15'!$A$13:$H$13,0),""),IFNA(MATCH($B100,'DIVISION 15'!$A$14:$H$14,0),""),IFNA(MATCH($B100,'DIVISION 15'!$A$15:$H$15,0),""),IFNA(MATCH($B100,'DIVISION 15'!$A$16:$H$16,0),""),IFNA(MATCH($B100,'DIVISION 15'!$A$17:$H$17,0),""),IFNA(MATCH($B100,'DIVISION 15'!$A$18:$H$18,0),""))=8,'DIVISION 15'!$H$1)</f>
        <v>MARTO</v>
      </c>
      <c r="U100" s="8" t="str">
        <f t="shared" si="4"/>
        <v>MARTO14</v>
      </c>
      <c r="V100" s="9">
        <f>SUMIF(AsistenciaViewJetAdmin!$A$3:$A$101,A100,AsistenciaViewJetAdmin!$C$3:$C$101)/(COUNTIF(AsistenciaViewJetAdmin!$D$102:V$102,"&gt;0")+COUNTIF(ActividadesEspeciales!$D$102:V$102,"&gt;0"))*100</f>
        <v>61.70212766</v>
      </c>
    </row>
  </sheetData>
  <autoFilter ref="$A$1:$V$100">
    <sortState ref="A1:V100">
      <sortCondition descending="1" ref="B1:B100"/>
      <sortCondition descending="1" ref="V1:V100"/>
    </sortState>
  </autoFilter>
  <conditionalFormatting sqref="V2:V100">
    <cfRule type="colorScale" priority="1">
      <colorScale>
        <cfvo type="min"/>
        <cfvo type="formula" val="50"/>
        <cfvo type="formula" val="100"/>
        <color rgb="FFE67C73"/>
        <color rgb="FFFFD666"/>
        <color rgb="FF57BB8A"/>
      </colorScale>
    </cfRule>
  </conditionalFormatting>
  <conditionalFormatting sqref="S2:S100">
    <cfRule type="cellIs" dxfId="0" priority="2" operator="equal">
      <formula>"Azul"</formula>
    </cfRule>
  </conditionalFormatting>
  <conditionalFormatting sqref="S2:S100">
    <cfRule type="cellIs" dxfId="1" priority="3" operator="equal">
      <formula>"Naranja"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8" width="21.13"/>
  </cols>
  <sheetData>
    <row r="1" ht="19.5" customHeight="1">
      <c r="A1" s="19" t="s">
        <v>800</v>
      </c>
      <c r="B1" s="19" t="s">
        <v>801</v>
      </c>
      <c r="C1" s="19" t="s">
        <v>802</v>
      </c>
      <c r="D1" s="19" t="s">
        <v>803</v>
      </c>
      <c r="E1" s="19" t="s">
        <v>804</v>
      </c>
      <c r="F1" s="19" t="s">
        <v>805</v>
      </c>
      <c r="G1" s="19" t="s">
        <v>806</v>
      </c>
      <c r="H1" s="19" t="s">
        <v>807</v>
      </c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</row>
    <row r="2" ht="23.25" customHeight="1">
      <c r="A2" s="21" t="s">
        <v>765</v>
      </c>
      <c r="B2" s="21" t="s">
        <v>44</v>
      </c>
      <c r="C2" s="22" t="s">
        <v>75</v>
      </c>
      <c r="D2" s="22" t="s">
        <v>266</v>
      </c>
      <c r="E2" s="21" t="s">
        <v>643</v>
      </c>
      <c r="F2" s="21" t="s">
        <v>758</v>
      </c>
      <c r="G2" s="21" t="s">
        <v>692</v>
      </c>
      <c r="H2" s="21" t="s">
        <v>97</v>
      </c>
      <c r="I2" s="23"/>
      <c r="J2" s="23"/>
      <c r="K2" s="23"/>
      <c r="L2" s="24"/>
      <c r="M2" s="24"/>
      <c r="N2" s="24"/>
      <c r="O2" s="24"/>
      <c r="P2" s="23"/>
      <c r="Q2" s="23"/>
      <c r="R2" s="23"/>
      <c r="S2" s="23"/>
      <c r="T2" s="23"/>
      <c r="U2" s="23"/>
      <c r="V2" s="23"/>
      <c r="W2" s="23"/>
      <c r="X2" s="23"/>
      <c r="Y2" s="23"/>
    </row>
    <row r="3" ht="23.25" customHeight="1">
      <c r="A3" s="21" t="s">
        <v>63</v>
      </c>
      <c r="B3" s="21" t="s">
        <v>360</v>
      </c>
      <c r="C3" s="21" t="s">
        <v>623</v>
      </c>
      <c r="D3" s="21" t="s">
        <v>130</v>
      </c>
      <c r="E3" s="21" t="s">
        <v>409</v>
      </c>
      <c r="F3" s="21" t="s">
        <v>114</v>
      </c>
      <c r="G3" s="21" t="s">
        <v>400</v>
      </c>
      <c r="H3" s="21" t="s">
        <v>569</v>
      </c>
      <c r="I3" s="23"/>
      <c r="J3" s="23"/>
      <c r="K3" s="23"/>
      <c r="L3" s="25"/>
      <c r="M3" s="25"/>
      <c r="N3" s="25"/>
      <c r="O3" s="25"/>
      <c r="P3" s="23"/>
      <c r="Q3" s="23"/>
      <c r="R3" s="23"/>
      <c r="S3" s="23"/>
      <c r="T3" s="23"/>
      <c r="U3" s="23"/>
      <c r="V3" s="23"/>
      <c r="W3" s="23"/>
      <c r="X3" s="23"/>
      <c r="Y3" s="23"/>
    </row>
    <row r="4" ht="23.25" customHeight="1">
      <c r="A4" s="21" t="s">
        <v>676</v>
      </c>
      <c r="B4" s="21" t="s">
        <v>713</v>
      </c>
      <c r="C4" s="21" t="s">
        <v>240</v>
      </c>
      <c r="D4" s="21" t="s">
        <v>376</v>
      </c>
      <c r="E4" s="21" t="s">
        <v>496</v>
      </c>
      <c r="F4" s="21" t="s">
        <v>204</v>
      </c>
      <c r="G4" s="21" t="s">
        <v>683</v>
      </c>
      <c r="H4" s="21" t="s">
        <v>463</v>
      </c>
      <c r="I4" s="23"/>
      <c r="J4" s="23"/>
      <c r="K4" s="23"/>
      <c r="L4" s="25"/>
      <c r="M4" s="25"/>
      <c r="N4" s="25"/>
      <c r="O4" s="25"/>
      <c r="P4" s="23"/>
      <c r="Q4" s="23"/>
      <c r="R4" s="23"/>
      <c r="S4" s="23"/>
      <c r="T4" s="23"/>
      <c r="U4" s="23"/>
      <c r="V4" s="23"/>
      <c r="W4" s="23"/>
      <c r="X4" s="23"/>
      <c r="Y4" s="23"/>
    </row>
    <row r="5" ht="23.25" customHeight="1">
      <c r="A5" s="21" t="s">
        <v>426</v>
      </c>
      <c r="B5" s="22" t="s">
        <v>194</v>
      </c>
      <c r="C5" s="21" t="s">
        <v>232</v>
      </c>
      <c r="D5" s="21" t="s">
        <v>274</v>
      </c>
      <c r="E5" s="21" t="s">
        <v>353</v>
      </c>
      <c r="F5" s="21" t="s">
        <v>54</v>
      </c>
      <c r="G5" s="21" t="s">
        <v>781</v>
      </c>
      <c r="H5" s="21" t="s">
        <v>105</v>
      </c>
      <c r="I5" s="23"/>
      <c r="J5" s="23"/>
      <c r="K5" s="23"/>
      <c r="L5" s="25"/>
      <c r="M5" s="25"/>
      <c r="N5" s="25"/>
      <c r="O5" s="25"/>
      <c r="P5" s="23"/>
      <c r="Q5" s="23"/>
      <c r="R5" s="23"/>
      <c r="S5" s="23"/>
      <c r="T5" s="23"/>
      <c r="U5" s="23"/>
      <c r="V5" s="23"/>
      <c r="W5" s="23"/>
      <c r="X5" s="23"/>
      <c r="Y5" s="23"/>
    </row>
    <row r="6" ht="23.25" customHeight="1">
      <c r="A6" s="21" t="s">
        <v>222</v>
      </c>
      <c r="B6" s="21" t="s">
        <v>600</v>
      </c>
      <c r="C6" s="21" t="s">
        <v>88</v>
      </c>
      <c r="D6" s="21" t="s">
        <v>751</v>
      </c>
      <c r="E6" s="21" t="s">
        <v>211</v>
      </c>
      <c r="F6" s="21" t="s">
        <v>745</v>
      </c>
      <c r="G6" s="21" t="s">
        <v>593</v>
      </c>
      <c r="H6" s="21" t="s">
        <v>281</v>
      </c>
      <c r="I6" s="23"/>
      <c r="J6" s="23"/>
      <c r="K6" s="23"/>
      <c r="L6" s="25"/>
      <c r="M6" s="25"/>
      <c r="N6" s="25"/>
      <c r="O6" s="25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ht="23.25" customHeight="1">
      <c r="A7" s="21" t="s">
        <v>488</v>
      </c>
      <c r="B7" s="21" t="s">
        <v>417</v>
      </c>
      <c r="C7" s="21" t="s">
        <v>344</v>
      </c>
      <c r="D7" s="21" t="s">
        <v>630</v>
      </c>
      <c r="E7" s="21" t="s">
        <v>471</v>
      </c>
      <c r="F7" s="21" t="s">
        <v>787</v>
      </c>
      <c r="G7" s="22" t="s">
        <v>773</v>
      </c>
      <c r="H7" s="21" t="s">
        <v>335</v>
      </c>
      <c r="I7" s="23"/>
      <c r="J7" s="23"/>
      <c r="K7" s="23"/>
      <c r="L7" s="25"/>
      <c r="M7" s="25"/>
      <c r="N7" s="25"/>
      <c r="O7" s="25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ht="23.25" customHeight="1">
      <c r="A8" s="21" t="s">
        <v>539</v>
      </c>
      <c r="B8" s="21" t="s">
        <v>652</v>
      </c>
      <c r="C8" s="21" t="s">
        <v>503</v>
      </c>
      <c r="D8" s="21" t="s">
        <v>383</v>
      </c>
      <c r="E8" s="21" t="s">
        <v>288</v>
      </c>
      <c r="F8" s="21" t="s">
        <v>368</v>
      </c>
      <c r="G8" s="21" t="s">
        <v>690</v>
      </c>
      <c r="H8" s="21" t="s">
        <v>516</v>
      </c>
      <c r="I8" s="23"/>
      <c r="J8" s="23"/>
      <c r="K8" s="23"/>
      <c r="L8" s="25"/>
      <c r="M8" s="25"/>
      <c r="N8" s="25"/>
      <c r="O8" s="25"/>
      <c r="P8" s="23"/>
      <c r="Q8" s="23"/>
      <c r="R8" s="23"/>
      <c r="S8" s="23"/>
      <c r="T8" s="23"/>
      <c r="U8" s="23"/>
      <c r="V8" s="23"/>
      <c r="W8" s="23"/>
      <c r="X8" s="23"/>
      <c r="Y8" s="23"/>
    </row>
    <row r="9" ht="23.25" customHeight="1">
      <c r="A9" s="21" t="s">
        <v>707</v>
      </c>
      <c r="B9" s="21" t="s">
        <v>33</v>
      </c>
      <c r="C9" s="21" t="s">
        <v>435</v>
      </c>
      <c r="D9" s="21" t="s">
        <v>731</v>
      </c>
      <c r="E9" s="21" t="s">
        <v>561</v>
      </c>
      <c r="F9" s="21" t="s">
        <v>312</v>
      </c>
      <c r="G9" s="21" t="s">
        <v>21</v>
      </c>
      <c r="H9" s="21" t="s">
        <v>480</v>
      </c>
      <c r="I9" s="23"/>
      <c r="J9" s="23"/>
      <c r="K9" s="23"/>
      <c r="L9" s="25"/>
      <c r="M9" s="25"/>
      <c r="N9" s="25"/>
      <c r="O9" s="25"/>
      <c r="P9" s="23"/>
      <c r="Q9" s="23"/>
      <c r="R9" s="23"/>
      <c r="S9" s="23"/>
      <c r="T9" s="23"/>
      <c r="U9" s="23"/>
      <c r="V9" s="23"/>
      <c r="W9" s="23"/>
      <c r="X9" s="23"/>
      <c r="Y9" s="23"/>
    </row>
    <row r="10" ht="23.25" customHeight="1">
      <c r="A10" s="22" t="s">
        <v>325</v>
      </c>
      <c r="B10" s="21" t="s">
        <v>257</v>
      </c>
      <c r="C10" s="21" t="s">
        <v>448</v>
      </c>
      <c r="D10" s="21" t="s">
        <v>545</v>
      </c>
      <c r="E10" s="21" t="s">
        <v>442</v>
      </c>
      <c r="F10" s="21" t="s">
        <v>584</v>
      </c>
      <c r="G10" s="21" t="s">
        <v>186</v>
      </c>
      <c r="H10" s="21" t="s">
        <v>739</v>
      </c>
      <c r="I10" s="23"/>
      <c r="J10" s="23"/>
      <c r="K10" s="23"/>
      <c r="L10" s="25"/>
      <c r="M10" s="25"/>
      <c r="N10" s="25"/>
      <c r="O10" s="25"/>
      <c r="P10" s="23"/>
      <c r="Q10" s="23"/>
      <c r="R10" s="23"/>
      <c r="S10" s="23"/>
      <c r="T10" s="23"/>
      <c r="U10" s="23"/>
      <c r="V10" s="23"/>
      <c r="W10" s="23"/>
      <c r="X10" s="23"/>
      <c r="Y10" s="23"/>
    </row>
    <row r="11" ht="23.25" customHeight="1">
      <c r="A11" s="21" t="s">
        <v>659</v>
      </c>
      <c r="B11" s="21" t="s">
        <v>162</v>
      </c>
      <c r="C11" s="21" t="s">
        <v>720</v>
      </c>
      <c r="D11" s="21" t="s">
        <v>725</v>
      </c>
      <c r="E11" s="21" t="s">
        <v>456</v>
      </c>
      <c r="F11" s="21" t="s">
        <v>179</v>
      </c>
      <c r="G11" s="21" t="s">
        <v>523</v>
      </c>
      <c r="H11" s="21" t="s">
        <v>121</v>
      </c>
      <c r="I11" s="23"/>
      <c r="J11" s="23"/>
      <c r="K11" s="23"/>
      <c r="L11" s="25"/>
      <c r="M11" s="25"/>
      <c r="N11" s="25"/>
      <c r="O11" s="25"/>
      <c r="P11" s="23"/>
      <c r="Q11" s="23"/>
      <c r="R11" s="23"/>
      <c r="S11" s="23"/>
      <c r="T11" s="23"/>
      <c r="U11" s="23"/>
      <c r="V11" s="23"/>
      <c r="W11" s="23"/>
      <c r="X11" s="23"/>
      <c r="Y11" s="23"/>
    </row>
    <row r="12" ht="23.25" customHeight="1">
      <c r="A12" s="21" t="s">
        <v>531</v>
      </c>
      <c r="B12" s="21" t="s">
        <v>615</v>
      </c>
      <c r="C12" s="21" t="s">
        <v>793</v>
      </c>
      <c r="D12" s="21" t="s">
        <v>137</v>
      </c>
      <c r="E12" s="21" t="s">
        <v>146</v>
      </c>
      <c r="F12" s="26"/>
      <c r="G12" s="21" t="s">
        <v>154</v>
      </c>
      <c r="H12" s="21" t="s">
        <v>296</v>
      </c>
      <c r="I12" s="23"/>
      <c r="J12" s="23"/>
      <c r="K12" s="23"/>
      <c r="L12" s="25"/>
      <c r="M12" s="25"/>
      <c r="N12" s="25"/>
      <c r="O12" s="25"/>
      <c r="P12" s="23"/>
      <c r="Q12" s="23"/>
      <c r="R12" s="23"/>
      <c r="S12" s="23"/>
      <c r="T12" s="23"/>
      <c r="U12" s="23"/>
      <c r="V12" s="23"/>
      <c r="W12" s="23"/>
      <c r="X12" s="23"/>
      <c r="Y12" s="23"/>
    </row>
    <row r="13" ht="23.25" customHeight="1">
      <c r="A13" s="21" t="s">
        <v>637</v>
      </c>
      <c r="B13" s="21" t="s">
        <v>510</v>
      </c>
      <c r="C13" s="21" t="s">
        <v>699</v>
      </c>
      <c r="D13" s="21" t="s">
        <v>170</v>
      </c>
      <c r="E13" s="21" t="s">
        <v>305</v>
      </c>
      <c r="F13" s="26"/>
      <c r="G13" s="21" t="s">
        <v>552</v>
      </c>
      <c r="H13" s="21" t="s">
        <v>576</v>
      </c>
      <c r="I13" s="23"/>
      <c r="J13" s="23"/>
      <c r="K13" s="23"/>
      <c r="L13" s="25"/>
      <c r="M13" s="25"/>
      <c r="N13" s="25"/>
      <c r="O13" s="25"/>
      <c r="P13" s="23"/>
      <c r="Q13" s="23"/>
      <c r="R13" s="23"/>
      <c r="S13" s="23"/>
      <c r="T13" s="23"/>
      <c r="U13" s="23"/>
      <c r="V13" s="23"/>
      <c r="W13" s="23"/>
      <c r="X13" s="23"/>
      <c r="Y13" s="23"/>
    </row>
    <row r="14" ht="23.25" customHeight="1">
      <c r="A14" s="21"/>
      <c r="B14" s="27"/>
      <c r="C14" s="21" t="s">
        <v>390</v>
      </c>
      <c r="D14" s="21"/>
      <c r="E14" s="21" t="s">
        <v>319</v>
      </c>
      <c r="F14" s="28"/>
      <c r="G14" s="27"/>
      <c r="H14" s="21" t="s">
        <v>606</v>
      </c>
      <c r="I14" s="23"/>
      <c r="J14" s="23"/>
      <c r="K14" s="23"/>
      <c r="L14" s="25"/>
      <c r="M14" s="25"/>
      <c r="N14" s="25"/>
      <c r="O14" s="25"/>
      <c r="P14" s="23"/>
      <c r="Q14" s="23"/>
      <c r="R14" s="23"/>
      <c r="S14" s="23"/>
      <c r="T14" s="23"/>
      <c r="U14" s="23"/>
      <c r="V14" s="23"/>
      <c r="W14" s="23"/>
      <c r="X14" s="23"/>
      <c r="Y14" s="23"/>
    </row>
    <row r="15" ht="23.25" customHeight="1">
      <c r="B15" s="28"/>
      <c r="C15" s="21" t="s">
        <v>248</v>
      </c>
      <c r="D15" s="27"/>
      <c r="E15" s="21" t="s">
        <v>668</v>
      </c>
      <c r="F15" s="27"/>
      <c r="G15" s="28"/>
      <c r="H15" s="28"/>
      <c r="I15" s="23"/>
      <c r="J15" s="23"/>
      <c r="K15" s="23"/>
      <c r="L15" s="25"/>
      <c r="M15" s="25"/>
      <c r="N15" s="29"/>
      <c r="O15" s="29"/>
      <c r="P15" s="23"/>
      <c r="Q15" s="23"/>
      <c r="R15" s="23"/>
      <c r="S15" s="23"/>
      <c r="T15" s="23"/>
      <c r="U15" s="23"/>
      <c r="V15" s="23"/>
      <c r="W15" s="23"/>
      <c r="X15" s="23"/>
      <c r="Y15" s="23"/>
    </row>
    <row r="16" ht="23.25" customHeight="1">
      <c r="A16" s="21"/>
      <c r="B16" s="21"/>
      <c r="C16" s="28"/>
      <c r="D16" s="21"/>
      <c r="E16" s="21"/>
      <c r="F16" s="30"/>
      <c r="G16" s="21"/>
      <c r="H16" s="21"/>
      <c r="I16" s="23"/>
      <c r="J16" s="23"/>
      <c r="K16" s="23"/>
      <c r="L16" s="31"/>
      <c r="M16" s="31"/>
      <c r="N16" s="31"/>
      <c r="O16" s="31"/>
      <c r="P16" s="23"/>
      <c r="Q16" s="23"/>
      <c r="R16" s="23"/>
      <c r="S16" s="23"/>
      <c r="T16" s="23"/>
      <c r="U16" s="23"/>
      <c r="V16" s="23"/>
      <c r="W16" s="23"/>
      <c r="X16" s="23"/>
      <c r="Y16" s="23"/>
    </row>
    <row r="17">
      <c r="A17" s="32"/>
      <c r="B17" s="32"/>
      <c r="C17" s="32"/>
      <c r="D17" s="32"/>
      <c r="E17" s="32"/>
      <c r="F17" s="32"/>
      <c r="G17" s="32"/>
      <c r="H17" s="33"/>
      <c r="I17" s="23"/>
      <c r="J17" s="23"/>
      <c r="K17" s="23"/>
      <c r="L17" s="34"/>
      <c r="M17" s="35"/>
      <c r="N17" s="35"/>
      <c r="O17" s="35"/>
      <c r="P17" s="23"/>
      <c r="Q17" s="23"/>
      <c r="R17" s="23"/>
      <c r="S17" s="23"/>
      <c r="T17" s="23"/>
      <c r="U17" s="23"/>
      <c r="V17" s="23"/>
      <c r="W17" s="23"/>
      <c r="X17" s="23"/>
      <c r="Y17" s="23"/>
    </row>
    <row r="18">
      <c r="A18" s="36">
        <f t="shared" ref="A18:H18" si="1">COUNTA(A2:A16)</f>
        <v>12</v>
      </c>
      <c r="B18" s="36">
        <f t="shared" si="1"/>
        <v>12</v>
      </c>
      <c r="C18" s="36">
        <f t="shared" si="1"/>
        <v>14</v>
      </c>
      <c r="D18" s="36">
        <f t="shared" si="1"/>
        <v>12</v>
      </c>
      <c r="E18" s="36">
        <f t="shared" si="1"/>
        <v>14</v>
      </c>
      <c r="F18" s="36">
        <f t="shared" si="1"/>
        <v>10</v>
      </c>
      <c r="G18" s="36">
        <f t="shared" si="1"/>
        <v>12</v>
      </c>
      <c r="H18" s="36">
        <f t="shared" si="1"/>
        <v>13</v>
      </c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</row>
    <row r="19">
      <c r="A19" s="37"/>
      <c r="B19" s="37"/>
      <c r="C19" s="37"/>
      <c r="D19" s="37"/>
      <c r="E19" s="37"/>
      <c r="F19" s="37"/>
      <c r="G19" s="37"/>
      <c r="H19" s="37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</row>
    <row r="20">
      <c r="A20" s="23"/>
      <c r="B20" s="38"/>
      <c r="C20" s="23"/>
      <c r="D20" s="39"/>
      <c r="E20" s="32"/>
      <c r="F20" s="23"/>
      <c r="G20" s="39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</row>
    <row r="21">
      <c r="A21" s="23"/>
      <c r="B21" s="39"/>
      <c r="C21" s="23"/>
      <c r="D21" s="39"/>
      <c r="E21" s="23"/>
      <c r="F21" s="23"/>
      <c r="G21" s="39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</row>
    <row r="22">
      <c r="A22" s="23"/>
      <c r="B22" s="39"/>
      <c r="C22" s="23"/>
      <c r="D22" s="39"/>
      <c r="E22" s="40"/>
      <c r="F22" s="40"/>
      <c r="G22" s="39"/>
      <c r="H22" s="40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</row>
    <row r="23">
      <c r="A23" s="23"/>
      <c r="B23" s="39"/>
      <c r="C23" s="23"/>
      <c r="D23" s="39"/>
      <c r="E23" s="40"/>
      <c r="F23" s="40"/>
      <c r="G23" s="39"/>
      <c r="H23" s="40"/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</row>
    <row r="24">
      <c r="A24" s="23"/>
      <c r="B24" s="39"/>
      <c r="C24" s="23"/>
      <c r="D24" s="39"/>
      <c r="E24" s="40"/>
      <c r="F24" s="40"/>
      <c r="G24" s="39"/>
      <c r="H24" s="40"/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</row>
    <row r="25">
      <c r="A25" s="23"/>
      <c r="B25" s="39"/>
      <c r="C25" s="23"/>
      <c r="D25" s="39"/>
      <c r="E25" s="40"/>
      <c r="F25" s="40"/>
      <c r="G25" s="39"/>
      <c r="H25" s="40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</row>
    <row r="26">
      <c r="A26" s="23"/>
      <c r="B26" s="39"/>
      <c r="C26" s="23"/>
      <c r="D26" s="39"/>
      <c r="E26" s="40"/>
      <c r="F26" s="40"/>
      <c r="G26" s="39"/>
      <c r="H26" s="40"/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</row>
    <row r="27">
      <c r="A27" s="23"/>
      <c r="B27" s="41"/>
      <c r="C27" s="23"/>
      <c r="D27" s="39"/>
      <c r="E27" s="40"/>
      <c r="F27" s="40"/>
      <c r="G27" s="39"/>
      <c r="H27" s="40"/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</row>
    <row r="28">
      <c r="A28" s="23"/>
      <c r="B28" s="41"/>
      <c r="C28" s="40"/>
      <c r="D28" s="39"/>
      <c r="E28" s="40"/>
      <c r="F28" s="40"/>
      <c r="G28" s="39"/>
      <c r="H28" s="40"/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</row>
    <row r="29">
      <c r="A29" s="23"/>
      <c r="B29" s="39"/>
      <c r="C29" s="40"/>
      <c r="D29" s="39"/>
      <c r="E29" s="40"/>
      <c r="F29" s="40"/>
      <c r="G29" s="39"/>
      <c r="H29" s="40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</row>
    <row r="30">
      <c r="A30" s="23"/>
      <c r="B30" s="39"/>
      <c r="C30" s="23"/>
      <c r="D30" s="39"/>
      <c r="E30" s="40"/>
      <c r="F30" s="40"/>
      <c r="G30" s="39"/>
      <c r="H30" s="40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</row>
    <row r="31">
      <c r="A31" s="23"/>
      <c r="B31" s="39"/>
      <c r="C31" s="23"/>
      <c r="D31" s="39"/>
      <c r="E31" s="40"/>
      <c r="F31" s="40"/>
      <c r="G31" s="39"/>
      <c r="H31" s="40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</row>
    <row r="32">
      <c r="A32" s="23"/>
      <c r="B32" s="39"/>
      <c r="C32" s="23"/>
      <c r="D32" s="39"/>
      <c r="E32" s="40"/>
      <c r="F32" s="40"/>
      <c r="G32" s="39"/>
      <c r="H32" s="40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</row>
    <row r="33">
      <c r="A33" s="23"/>
      <c r="B33" s="23"/>
      <c r="C33" s="23"/>
      <c r="D33" s="39"/>
      <c r="E33" s="40"/>
      <c r="F33" s="40"/>
      <c r="G33" s="39"/>
      <c r="H33" s="40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</row>
    <row r="34">
      <c r="A34" s="23"/>
      <c r="B34" s="23"/>
      <c r="C34" s="23"/>
      <c r="D34" s="23"/>
      <c r="E34" s="40"/>
      <c r="F34" s="40"/>
      <c r="G34" s="40"/>
      <c r="H34" s="40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</row>
    <row r="35">
      <c r="A35" s="23"/>
      <c r="B35" s="23"/>
      <c r="C35" s="23"/>
      <c r="D35" s="23"/>
      <c r="E35" s="40"/>
      <c r="F35" s="40"/>
      <c r="G35" s="40"/>
      <c r="H35" s="40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</row>
    <row r="36">
      <c r="A36" s="23"/>
      <c r="B36" s="23"/>
      <c r="C36" s="23"/>
      <c r="D36" s="23"/>
      <c r="E36" s="40"/>
      <c r="F36" s="40"/>
      <c r="G36" s="40"/>
      <c r="H36" s="40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</row>
    <row r="37">
      <c r="A37" s="23"/>
      <c r="B37" s="23"/>
      <c r="C37" s="23"/>
      <c r="D37" s="23"/>
      <c r="E37" s="40"/>
      <c r="F37" s="40"/>
      <c r="G37" s="40"/>
      <c r="H37" s="40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</row>
    <row r="38">
      <c r="A38" s="23"/>
      <c r="B38" s="23"/>
      <c r="C38" s="23"/>
      <c r="D38" s="23"/>
      <c r="E38" s="40"/>
      <c r="F38" s="40"/>
      <c r="G38" s="40"/>
      <c r="H38" s="40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</row>
    <row r="39">
      <c r="A39" s="23"/>
      <c r="B39" s="23"/>
      <c r="C39" s="23"/>
      <c r="D39" s="23"/>
      <c r="E39" s="40"/>
      <c r="F39" s="40"/>
      <c r="G39" s="40"/>
      <c r="H39" s="40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</row>
    <row r="40">
      <c r="A40" s="23"/>
      <c r="B40" s="23"/>
      <c r="C40" s="23"/>
      <c r="D40" s="23"/>
      <c r="E40" s="40"/>
      <c r="F40" s="40"/>
      <c r="G40" s="40"/>
      <c r="H40" s="40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</row>
    <row r="41">
      <c r="A41" s="23"/>
      <c r="B41" s="23"/>
      <c r="C41" s="23"/>
      <c r="D41" s="23"/>
      <c r="E41" s="40"/>
      <c r="F41" s="40"/>
      <c r="G41" s="40"/>
      <c r="H41" s="40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</row>
    <row r="42">
      <c r="A42" s="23"/>
      <c r="B42" s="23"/>
      <c r="C42" s="23"/>
      <c r="D42" s="23"/>
      <c r="E42" s="40"/>
      <c r="F42" s="40"/>
      <c r="G42" s="40"/>
      <c r="H42" s="40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</row>
    <row r="43">
      <c r="A43" s="23"/>
      <c r="B43" s="23"/>
      <c r="C43" s="23"/>
      <c r="D43" s="23"/>
      <c r="E43" s="40"/>
      <c r="F43" s="40"/>
      <c r="G43" s="40"/>
      <c r="H43" s="40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</row>
    <row r="44">
      <c r="A44" s="23"/>
      <c r="B44" s="23"/>
      <c r="C44" s="23"/>
      <c r="D44" s="23"/>
      <c r="E44" s="40"/>
      <c r="F44" s="40"/>
      <c r="G44" s="40"/>
      <c r="H44" s="40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</row>
    <row r="45">
      <c r="A45" s="23"/>
      <c r="B45" s="23"/>
      <c r="C45" s="23"/>
      <c r="D45" s="23"/>
      <c r="E45" s="40"/>
      <c r="F45" s="40"/>
      <c r="G45" s="40"/>
      <c r="H45" s="40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</row>
    <row r="46">
      <c r="A46" s="23"/>
      <c r="B46" s="23"/>
      <c r="C46" s="23"/>
      <c r="D46" s="23"/>
      <c r="E46" s="40"/>
      <c r="F46" s="40"/>
      <c r="G46" s="40"/>
      <c r="H46" s="40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</row>
    <row r="47">
      <c r="A47" s="23"/>
      <c r="B47" s="23"/>
      <c r="C47" s="23"/>
      <c r="D47" s="23"/>
      <c r="E47" s="40"/>
      <c r="F47" s="40"/>
      <c r="G47" s="40"/>
      <c r="H47" s="40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</row>
    <row r="48">
      <c r="A48" s="23"/>
      <c r="B48" s="23"/>
      <c r="C48" s="23"/>
      <c r="D48" s="23"/>
      <c r="E48" s="40"/>
      <c r="F48" s="40"/>
      <c r="G48" s="40"/>
      <c r="H48" s="40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</row>
    <row r="49">
      <c r="A49" s="23"/>
      <c r="B49" s="23"/>
      <c r="C49" s="23"/>
      <c r="D49" s="23"/>
      <c r="E49" s="40"/>
      <c r="F49" s="40"/>
      <c r="G49" s="40"/>
      <c r="H49" s="40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</row>
    <row r="50">
      <c r="A50" s="23"/>
      <c r="B50" s="23"/>
      <c r="C50" s="23"/>
      <c r="D50" s="23"/>
      <c r="E50" s="40"/>
      <c r="F50" s="40"/>
      <c r="G50" s="40"/>
      <c r="H50" s="40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</row>
    <row r="51">
      <c r="A51" s="23"/>
      <c r="B51" s="23"/>
      <c r="C51" s="23"/>
      <c r="D51" s="23"/>
      <c r="E51" s="40"/>
      <c r="F51" s="40"/>
      <c r="G51" s="40"/>
      <c r="H51" s="40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</row>
    <row r="52">
      <c r="A52" s="23"/>
      <c r="B52" s="23"/>
      <c r="C52" s="23"/>
      <c r="D52" s="23"/>
      <c r="E52" s="40"/>
      <c r="F52" s="40"/>
      <c r="G52" s="40"/>
      <c r="H52" s="40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</row>
    <row r="53">
      <c r="A53" s="23"/>
      <c r="B53" s="23"/>
      <c r="C53" s="23"/>
      <c r="D53" s="23"/>
      <c r="E53" s="40"/>
      <c r="F53" s="40"/>
      <c r="G53" s="40"/>
      <c r="H53" s="40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</row>
    <row r="54">
      <c r="A54" s="23"/>
      <c r="B54" s="23"/>
      <c r="C54" s="23"/>
      <c r="D54" s="23"/>
      <c r="E54" s="40"/>
      <c r="F54" s="40"/>
      <c r="G54" s="40"/>
      <c r="H54" s="40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</row>
    <row r="55">
      <c r="A55" s="23"/>
      <c r="B55" s="23"/>
      <c r="C55" s="23"/>
      <c r="D55" s="23"/>
      <c r="E55" s="40"/>
      <c r="F55" s="40"/>
      <c r="G55" s="40"/>
      <c r="H55" s="40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</row>
    <row r="56">
      <c r="A56" s="23"/>
      <c r="B56" s="23"/>
      <c r="C56" s="23"/>
      <c r="D56" s="23"/>
      <c r="E56" s="40"/>
      <c r="F56" s="40"/>
      <c r="G56" s="40"/>
      <c r="H56" s="40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</row>
    <row r="57">
      <c r="A57" s="23"/>
      <c r="B57" s="23"/>
      <c r="C57" s="23"/>
      <c r="D57" s="23"/>
      <c r="E57" s="40"/>
      <c r="F57" s="40"/>
      <c r="G57" s="40"/>
      <c r="H57" s="40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</row>
    <row r="58">
      <c r="A58" s="23"/>
      <c r="B58" s="23"/>
      <c r="C58" s="23"/>
      <c r="D58" s="23"/>
      <c r="E58" s="40"/>
      <c r="F58" s="40"/>
      <c r="G58" s="40"/>
      <c r="H58" s="40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</row>
  </sheetData>
  <mergeCells count="8">
    <mergeCell ref="A18:A19"/>
    <mergeCell ref="B18:B19"/>
    <mergeCell ref="C18:C19"/>
    <mergeCell ref="D18:D19"/>
    <mergeCell ref="E18:E19"/>
    <mergeCell ref="F18:F19"/>
    <mergeCell ref="G18:G19"/>
    <mergeCell ref="H18:H1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8.25"/>
    <col customWidth="1" min="2" max="2" width="30.13"/>
  </cols>
  <sheetData>
    <row r="1">
      <c r="A1" s="42" t="s">
        <v>808</v>
      </c>
      <c r="B1" s="42" t="s">
        <v>1</v>
      </c>
      <c r="C1" s="42" t="s">
        <v>809</v>
      </c>
      <c r="D1" s="43" t="s">
        <v>810</v>
      </c>
      <c r="E1" s="43" t="s">
        <v>811</v>
      </c>
      <c r="F1" s="43" t="s">
        <v>810</v>
      </c>
      <c r="G1" s="43" t="s">
        <v>811</v>
      </c>
      <c r="H1" s="43" t="s">
        <v>810</v>
      </c>
      <c r="I1" s="43" t="s">
        <v>810</v>
      </c>
      <c r="J1" s="43" t="s">
        <v>812</v>
      </c>
      <c r="K1" s="43" t="s">
        <v>811</v>
      </c>
      <c r="L1" s="43" t="s">
        <v>811</v>
      </c>
      <c r="M1" s="43" t="s">
        <v>810</v>
      </c>
      <c r="N1" s="43" t="s">
        <v>812</v>
      </c>
      <c r="O1" s="43" t="s">
        <v>811</v>
      </c>
      <c r="P1" s="43" t="s">
        <v>810</v>
      </c>
      <c r="Q1" s="43" t="s">
        <v>812</v>
      </c>
      <c r="R1" s="43" t="s">
        <v>811</v>
      </c>
      <c r="S1" s="43" t="s">
        <v>810</v>
      </c>
      <c r="T1" s="43" t="s">
        <v>812</v>
      </c>
      <c r="U1" s="43" t="s">
        <v>811</v>
      </c>
      <c r="V1" s="43" t="s">
        <v>810</v>
      </c>
      <c r="W1" s="43" t="s">
        <v>811</v>
      </c>
      <c r="X1" s="43" t="s">
        <v>811</v>
      </c>
      <c r="Y1" s="43" t="s">
        <v>810</v>
      </c>
      <c r="Z1" s="43" t="s">
        <v>811</v>
      </c>
      <c r="AA1" s="43" t="s">
        <v>810</v>
      </c>
      <c r="AB1" s="43" t="s">
        <v>812</v>
      </c>
      <c r="AC1" s="43" t="s">
        <v>811</v>
      </c>
      <c r="AD1" s="43" t="s">
        <v>810</v>
      </c>
      <c r="AE1" s="43" t="s">
        <v>812</v>
      </c>
      <c r="AF1" s="43" t="s">
        <v>811</v>
      </c>
      <c r="AG1" s="43" t="s">
        <v>810</v>
      </c>
      <c r="AH1" s="43" t="s">
        <v>812</v>
      </c>
      <c r="AI1" s="43" t="s">
        <v>811</v>
      </c>
      <c r="AJ1" s="43" t="s">
        <v>810</v>
      </c>
      <c r="AK1" s="43" t="s">
        <v>811</v>
      </c>
      <c r="AL1" s="43" t="s">
        <v>810</v>
      </c>
      <c r="AM1" s="43" t="s">
        <v>812</v>
      </c>
      <c r="AN1" s="43" t="s">
        <v>811</v>
      </c>
      <c r="AO1" s="43" t="s">
        <v>810</v>
      </c>
      <c r="AP1" s="43" t="s">
        <v>812</v>
      </c>
      <c r="AQ1" s="43" t="s">
        <v>811</v>
      </c>
      <c r="AR1" s="43" t="s">
        <v>810</v>
      </c>
      <c r="AS1" s="43" t="s">
        <v>812</v>
      </c>
      <c r="AT1" s="43" t="s">
        <v>811</v>
      </c>
      <c r="AU1" s="43" t="s">
        <v>810</v>
      </c>
      <c r="AV1" s="43" t="s">
        <v>811</v>
      </c>
      <c r="AW1" s="43" t="s">
        <v>810</v>
      </c>
      <c r="AX1" s="43" t="s">
        <v>812</v>
      </c>
      <c r="AY1" s="43" t="s">
        <v>811</v>
      </c>
      <c r="AZ1" s="43" t="s">
        <v>810</v>
      </c>
      <c r="BA1" s="43" t="s">
        <v>812</v>
      </c>
      <c r="BB1" s="43" t="s">
        <v>811</v>
      </c>
      <c r="BC1" s="43" t="s">
        <v>810</v>
      </c>
      <c r="BD1" s="43" t="s">
        <v>812</v>
      </c>
      <c r="BE1" s="43" t="s">
        <v>811</v>
      </c>
      <c r="BF1" s="43" t="s">
        <v>810</v>
      </c>
      <c r="BG1" s="43" t="s">
        <v>812</v>
      </c>
      <c r="BH1" s="43" t="s">
        <v>811</v>
      </c>
      <c r="BI1" s="43" t="s">
        <v>812</v>
      </c>
      <c r="BJ1" s="43" t="s">
        <v>811</v>
      </c>
      <c r="BK1" s="43" t="s">
        <v>810</v>
      </c>
      <c r="BL1" s="43" t="s">
        <v>812</v>
      </c>
      <c r="BM1" s="43" t="s">
        <v>811</v>
      </c>
      <c r="BN1" s="43" t="s">
        <v>810</v>
      </c>
      <c r="BO1" s="43" t="s">
        <v>810</v>
      </c>
      <c r="BP1" s="43" t="s">
        <v>812</v>
      </c>
      <c r="BQ1" s="43" t="s">
        <v>811</v>
      </c>
      <c r="BR1" s="43" t="s">
        <v>810</v>
      </c>
      <c r="BS1" s="43" t="s">
        <v>810</v>
      </c>
      <c r="BT1" s="43" t="s">
        <v>812</v>
      </c>
      <c r="BU1" s="43" t="s">
        <v>811</v>
      </c>
      <c r="BV1" s="43" t="s">
        <v>810</v>
      </c>
      <c r="BW1" s="43" t="s">
        <v>811</v>
      </c>
      <c r="BX1" s="43" t="s">
        <v>810</v>
      </c>
      <c r="BY1" s="43" t="s">
        <v>811</v>
      </c>
      <c r="BZ1" s="43" t="s">
        <v>810</v>
      </c>
      <c r="CA1" s="43" t="s">
        <v>812</v>
      </c>
      <c r="CB1" s="43" t="s">
        <v>811</v>
      </c>
      <c r="CC1" s="43" t="s">
        <v>811</v>
      </c>
      <c r="CD1" s="43" t="s">
        <v>810</v>
      </c>
      <c r="CE1" s="43" t="s">
        <v>812</v>
      </c>
      <c r="CF1" s="43" t="s">
        <v>811</v>
      </c>
      <c r="CG1" s="43" t="s">
        <v>810</v>
      </c>
      <c r="CH1" s="43" t="s">
        <v>812</v>
      </c>
      <c r="CI1" s="43" t="s">
        <v>810</v>
      </c>
      <c r="CJ1" s="43" t="s">
        <v>812</v>
      </c>
      <c r="CK1" s="43" t="s">
        <v>811</v>
      </c>
      <c r="CL1" s="44" t="s">
        <v>810</v>
      </c>
      <c r="CM1" s="44" t="s">
        <v>811</v>
      </c>
      <c r="CN1" s="44" t="s">
        <v>810</v>
      </c>
      <c r="CO1" s="44" t="s">
        <v>811</v>
      </c>
      <c r="CP1" s="44" t="s">
        <v>810</v>
      </c>
      <c r="CQ1" s="44" t="s">
        <v>810</v>
      </c>
      <c r="CR1" s="44" t="s">
        <v>812</v>
      </c>
      <c r="CS1" s="44" t="s">
        <v>811</v>
      </c>
      <c r="CT1" s="44" t="s">
        <v>810</v>
      </c>
      <c r="CU1" s="44" t="s">
        <v>812</v>
      </c>
      <c r="CV1" s="44" t="s">
        <v>811</v>
      </c>
      <c r="CW1" s="44" t="s">
        <v>810</v>
      </c>
      <c r="CX1" s="44" t="s">
        <v>812</v>
      </c>
      <c r="CY1" s="44" t="s">
        <v>811</v>
      </c>
      <c r="CZ1" s="44" t="s">
        <v>810</v>
      </c>
      <c r="DA1" s="44" t="s">
        <v>812</v>
      </c>
      <c r="DB1" s="44" t="s">
        <v>811</v>
      </c>
      <c r="DC1" s="44" t="s">
        <v>810</v>
      </c>
      <c r="DD1" s="44" t="s">
        <v>812</v>
      </c>
      <c r="DE1" s="44" t="s">
        <v>811</v>
      </c>
      <c r="DF1" s="44" t="s">
        <v>810</v>
      </c>
      <c r="DG1" s="44" t="s">
        <v>812</v>
      </c>
      <c r="DH1" s="44" t="s">
        <v>811</v>
      </c>
      <c r="DI1" s="44" t="s">
        <v>810</v>
      </c>
      <c r="DJ1" s="44" t="s">
        <v>812</v>
      </c>
      <c r="DK1" s="44" t="s">
        <v>811</v>
      </c>
      <c r="DL1" s="44" t="s">
        <v>810</v>
      </c>
      <c r="DM1" s="44" t="s">
        <v>812</v>
      </c>
      <c r="DN1" s="44" t="s">
        <v>811</v>
      </c>
      <c r="DO1" s="44" t="s">
        <v>810</v>
      </c>
      <c r="DP1" s="44" t="s">
        <v>812</v>
      </c>
      <c r="DQ1" s="44" t="s">
        <v>811</v>
      </c>
      <c r="DR1" s="44" t="s">
        <v>810</v>
      </c>
      <c r="DS1" s="44" t="s">
        <v>812</v>
      </c>
      <c r="DT1" s="44" t="s">
        <v>811</v>
      </c>
      <c r="DU1" s="44" t="s">
        <v>810</v>
      </c>
      <c r="DV1" s="44" t="s">
        <v>812</v>
      </c>
      <c r="DW1" s="44" t="s">
        <v>811</v>
      </c>
      <c r="DX1" s="44" t="s">
        <v>810</v>
      </c>
      <c r="DY1" s="44" t="s">
        <v>812</v>
      </c>
      <c r="DZ1" s="44" t="s">
        <v>811</v>
      </c>
      <c r="EA1" s="44" t="s">
        <v>810</v>
      </c>
      <c r="EB1" s="44" t="s">
        <v>812</v>
      </c>
      <c r="EC1" s="44" t="s">
        <v>811</v>
      </c>
      <c r="ED1" s="44" t="s">
        <v>810</v>
      </c>
      <c r="EE1" s="44" t="s">
        <v>812</v>
      </c>
      <c r="EF1" s="44" t="s">
        <v>811</v>
      </c>
      <c r="EG1" s="44" t="s">
        <v>810</v>
      </c>
      <c r="EH1" s="44" t="s">
        <v>812</v>
      </c>
      <c r="EI1" s="44" t="s">
        <v>811</v>
      </c>
      <c r="EJ1" s="44" t="s">
        <v>810</v>
      </c>
      <c r="EK1" s="44" t="s">
        <v>812</v>
      </c>
      <c r="EL1" s="44" t="s">
        <v>811</v>
      </c>
      <c r="EM1" s="44" t="s">
        <v>810</v>
      </c>
      <c r="EN1" s="44" t="s">
        <v>812</v>
      </c>
      <c r="EO1" s="44" t="s">
        <v>811</v>
      </c>
      <c r="EP1" s="44" t="s">
        <v>810</v>
      </c>
      <c r="EQ1" s="44" t="s">
        <v>812</v>
      </c>
      <c r="ER1" s="44" t="s">
        <v>811</v>
      </c>
      <c r="ES1" s="44" t="s">
        <v>810</v>
      </c>
      <c r="ET1" s="44" t="s">
        <v>812</v>
      </c>
      <c r="EU1" s="44" t="s">
        <v>811</v>
      </c>
      <c r="EV1" s="44" t="s">
        <v>810</v>
      </c>
      <c r="EW1" s="44" t="s">
        <v>812</v>
      </c>
      <c r="EX1" s="44" t="s">
        <v>811</v>
      </c>
      <c r="EY1" s="44" t="s">
        <v>810</v>
      </c>
      <c r="EZ1" s="44" t="s">
        <v>812</v>
      </c>
      <c r="FA1" s="44" t="s">
        <v>811</v>
      </c>
      <c r="FB1" s="44" t="s">
        <v>810</v>
      </c>
      <c r="FC1" s="44" t="s">
        <v>812</v>
      </c>
      <c r="FD1" s="44" t="s">
        <v>811</v>
      </c>
      <c r="FE1" s="44" t="s">
        <v>810</v>
      </c>
      <c r="FF1" s="44" t="s">
        <v>812</v>
      </c>
      <c r="FG1" s="44" t="s">
        <v>811</v>
      </c>
      <c r="FH1" s="44" t="s">
        <v>810</v>
      </c>
      <c r="FI1" s="44" t="s">
        <v>812</v>
      </c>
      <c r="FJ1" s="44" t="s">
        <v>811</v>
      </c>
      <c r="FK1" s="44" t="s">
        <v>810</v>
      </c>
      <c r="FL1" s="44" t="s">
        <v>812</v>
      </c>
      <c r="FM1" s="44" t="s">
        <v>811</v>
      </c>
      <c r="FN1" s="44" t="s">
        <v>810</v>
      </c>
      <c r="FO1" s="44" t="s">
        <v>812</v>
      </c>
      <c r="FP1" s="44" t="s">
        <v>811</v>
      </c>
      <c r="FQ1" s="44" t="s">
        <v>810</v>
      </c>
      <c r="FR1" s="44" t="s">
        <v>812</v>
      </c>
      <c r="FS1" s="44" t="s">
        <v>811</v>
      </c>
      <c r="FT1" s="44" t="s">
        <v>810</v>
      </c>
      <c r="FU1" s="44" t="s">
        <v>812</v>
      </c>
      <c r="FV1" s="44" t="s">
        <v>811</v>
      </c>
      <c r="FW1" s="44" t="s">
        <v>810</v>
      </c>
      <c r="FX1" s="44" t="s">
        <v>812</v>
      </c>
      <c r="FY1" s="44" t="s">
        <v>811</v>
      </c>
      <c r="FZ1" s="44" t="s">
        <v>810</v>
      </c>
      <c r="GA1" s="44" t="s">
        <v>812</v>
      </c>
      <c r="GB1" s="44" t="s">
        <v>811</v>
      </c>
      <c r="GC1" s="44" t="s">
        <v>810</v>
      </c>
      <c r="GD1" s="44" t="s">
        <v>812</v>
      </c>
      <c r="GE1" s="44" t="s">
        <v>811</v>
      </c>
      <c r="GF1" s="44" t="s">
        <v>810</v>
      </c>
      <c r="GG1" s="44" t="s">
        <v>812</v>
      </c>
      <c r="GH1" s="44" t="s">
        <v>811</v>
      </c>
      <c r="GI1" s="44" t="s">
        <v>810</v>
      </c>
      <c r="GJ1" s="44" t="s">
        <v>812</v>
      </c>
      <c r="GK1" s="44" t="s">
        <v>811</v>
      </c>
      <c r="GL1" s="44" t="s">
        <v>810</v>
      </c>
      <c r="GM1" s="44" t="s">
        <v>812</v>
      </c>
      <c r="GN1" s="44" t="s">
        <v>811</v>
      </c>
      <c r="GO1" s="44" t="s">
        <v>810</v>
      </c>
      <c r="GP1" s="44" t="s">
        <v>812</v>
      </c>
      <c r="GQ1" s="44" t="s">
        <v>811</v>
      </c>
      <c r="GR1" s="44" t="s">
        <v>810</v>
      </c>
      <c r="GS1" s="44" t="s">
        <v>812</v>
      </c>
      <c r="GT1" s="44" t="s">
        <v>811</v>
      </c>
      <c r="GU1" s="44" t="s">
        <v>810</v>
      </c>
      <c r="GV1" s="44" t="s">
        <v>812</v>
      </c>
      <c r="GW1" s="44" t="s">
        <v>811</v>
      </c>
      <c r="GX1" s="44" t="s">
        <v>810</v>
      </c>
      <c r="GY1" s="44" t="s">
        <v>812</v>
      </c>
      <c r="GZ1" s="44" t="s">
        <v>811</v>
      </c>
      <c r="HA1" s="44" t="s">
        <v>810</v>
      </c>
      <c r="HB1" s="44" t="s">
        <v>812</v>
      </c>
      <c r="HC1" s="44" t="s">
        <v>811</v>
      </c>
    </row>
    <row r="2">
      <c r="A2" s="37"/>
      <c r="B2" s="37"/>
      <c r="C2" s="37"/>
      <c r="D2" s="45">
        <v>45731.0</v>
      </c>
      <c r="E2" s="45">
        <v>45735.0</v>
      </c>
      <c r="F2" s="45">
        <v>45738.0</v>
      </c>
      <c r="G2" s="45">
        <v>45742.0</v>
      </c>
      <c r="H2" s="45">
        <v>45745.0</v>
      </c>
      <c r="I2" s="45">
        <v>45752.0</v>
      </c>
      <c r="J2" s="45">
        <v>45752.0</v>
      </c>
      <c r="K2" s="45">
        <v>45756.0</v>
      </c>
      <c r="L2" s="45">
        <v>45763.0</v>
      </c>
      <c r="M2" s="45">
        <v>45766.0</v>
      </c>
      <c r="N2" s="45">
        <v>45766.0</v>
      </c>
      <c r="O2" s="45">
        <v>45770.0</v>
      </c>
      <c r="P2" s="45">
        <v>45773.0</v>
      </c>
      <c r="Q2" s="45">
        <v>45773.0</v>
      </c>
      <c r="R2" s="45">
        <v>45777.0</v>
      </c>
      <c r="S2" s="45">
        <v>45780.0</v>
      </c>
      <c r="T2" s="45">
        <v>45780.0</v>
      </c>
      <c r="U2" s="45">
        <v>45784.0</v>
      </c>
      <c r="V2" s="45">
        <v>45787.0</v>
      </c>
      <c r="W2" s="45">
        <v>45791.0</v>
      </c>
      <c r="X2" s="45">
        <v>45798.0</v>
      </c>
      <c r="Y2" s="45">
        <v>45801.0</v>
      </c>
      <c r="Z2" s="45">
        <v>45805.0</v>
      </c>
      <c r="AA2" s="45">
        <v>45808.0</v>
      </c>
      <c r="AB2" s="45">
        <v>45808.0</v>
      </c>
      <c r="AC2" s="45">
        <v>45812.0</v>
      </c>
      <c r="AD2" s="45">
        <v>45815.0</v>
      </c>
      <c r="AE2" s="45">
        <v>45815.0</v>
      </c>
      <c r="AF2" s="45">
        <v>45819.0</v>
      </c>
      <c r="AG2" s="45">
        <v>45822.0</v>
      </c>
      <c r="AH2" s="45">
        <v>45822.0</v>
      </c>
      <c r="AI2" s="45">
        <v>45826.0</v>
      </c>
      <c r="AJ2" s="45">
        <v>45829.0</v>
      </c>
      <c r="AK2" s="45">
        <v>45833.0</v>
      </c>
      <c r="AL2" s="45">
        <v>45836.0</v>
      </c>
      <c r="AM2" s="45">
        <v>45836.0</v>
      </c>
      <c r="AN2" s="45">
        <v>45840.0</v>
      </c>
      <c r="AO2" s="45">
        <v>45843.0</v>
      </c>
      <c r="AP2" s="45">
        <v>45843.0</v>
      </c>
      <c r="AQ2" s="45">
        <v>45847.0</v>
      </c>
      <c r="AR2" s="45">
        <v>45850.0</v>
      </c>
      <c r="AS2" s="45">
        <v>45850.0</v>
      </c>
      <c r="AT2" s="45">
        <v>45854.0</v>
      </c>
      <c r="AU2" s="45">
        <v>45857.0</v>
      </c>
      <c r="AV2" s="45">
        <v>45875.0</v>
      </c>
      <c r="AW2" s="45">
        <v>45878.0</v>
      </c>
      <c r="AX2" s="45">
        <v>45878.0</v>
      </c>
      <c r="AY2" s="45">
        <v>45882.0</v>
      </c>
      <c r="AZ2" s="45">
        <v>45885.0</v>
      </c>
      <c r="BA2" s="45">
        <v>45885.0</v>
      </c>
      <c r="BB2" s="45">
        <v>45889.0</v>
      </c>
      <c r="BC2" s="45">
        <v>45892.0</v>
      </c>
      <c r="BD2" s="45">
        <v>45892.0</v>
      </c>
      <c r="BE2" s="45">
        <v>45896.0</v>
      </c>
      <c r="BF2" s="45">
        <v>45899.0</v>
      </c>
      <c r="BG2" s="45">
        <v>45899.0</v>
      </c>
      <c r="BH2" s="45">
        <v>45903.0</v>
      </c>
      <c r="BI2" s="45">
        <v>45906.0</v>
      </c>
      <c r="BJ2" s="45">
        <v>45910.0</v>
      </c>
      <c r="BK2" s="45">
        <v>45913.0</v>
      </c>
      <c r="BL2" s="45">
        <v>45913.0</v>
      </c>
      <c r="BM2" s="45">
        <v>45917.0</v>
      </c>
      <c r="BN2" s="45">
        <v>45920.0</v>
      </c>
      <c r="BO2" s="45">
        <v>45927.0</v>
      </c>
      <c r="BP2" s="45">
        <v>45927.0</v>
      </c>
      <c r="BQ2" s="45">
        <v>45938.0</v>
      </c>
      <c r="BR2" s="45">
        <v>45941.0</v>
      </c>
      <c r="BS2" s="45">
        <v>45948.0</v>
      </c>
      <c r="BT2" s="45">
        <v>45948.0</v>
      </c>
      <c r="BU2" s="45">
        <v>45952.0</v>
      </c>
      <c r="BV2" s="45">
        <v>45955.0</v>
      </c>
      <c r="BW2" s="45">
        <v>45959.0</v>
      </c>
      <c r="BX2" s="45">
        <v>45962.0</v>
      </c>
      <c r="BY2" s="45">
        <v>45966.0</v>
      </c>
      <c r="BZ2" s="45">
        <v>45969.0</v>
      </c>
      <c r="CA2" s="45">
        <v>45969.0</v>
      </c>
      <c r="CB2" s="45">
        <v>45973.0</v>
      </c>
      <c r="CC2" s="45">
        <v>45980.0</v>
      </c>
      <c r="CD2" s="45">
        <v>45983.0</v>
      </c>
      <c r="CE2" s="45">
        <v>45983.0</v>
      </c>
      <c r="CF2" s="45">
        <v>45987.0</v>
      </c>
      <c r="CG2" s="45">
        <v>45990.0</v>
      </c>
      <c r="CH2" s="45">
        <v>45990.0</v>
      </c>
      <c r="CI2" s="45">
        <v>45997.0</v>
      </c>
      <c r="CJ2" s="45">
        <v>45997.0</v>
      </c>
      <c r="CK2" s="45">
        <v>46001.0</v>
      </c>
      <c r="CL2" s="46">
        <v>46095.0</v>
      </c>
      <c r="CM2" s="46">
        <v>46099.0</v>
      </c>
      <c r="CN2" s="46">
        <v>46102.0</v>
      </c>
      <c r="CO2" s="46">
        <v>46106.0</v>
      </c>
      <c r="CP2" s="46">
        <v>46109.0</v>
      </c>
      <c r="CQ2" s="46">
        <v>46116.0</v>
      </c>
      <c r="CR2" s="46">
        <f>CQ2</f>
        <v>46116</v>
      </c>
      <c r="CS2" s="46">
        <f>CR2+4</f>
        <v>46120</v>
      </c>
      <c r="CT2" s="46">
        <f>CS2+3</f>
        <v>46123</v>
      </c>
      <c r="CU2" s="46">
        <f>CT2</f>
        <v>46123</v>
      </c>
      <c r="CV2" s="46">
        <f>CU2+4</f>
        <v>46127</v>
      </c>
      <c r="CW2" s="46">
        <f>CV2+3</f>
        <v>46130</v>
      </c>
      <c r="CX2" s="46">
        <f>CW2</f>
        <v>46130</v>
      </c>
      <c r="CY2" s="46">
        <f>CX2+4</f>
        <v>46134</v>
      </c>
      <c r="CZ2" s="46">
        <f>CY2+3</f>
        <v>46137</v>
      </c>
      <c r="DA2" s="46">
        <f>CZ2</f>
        <v>46137</v>
      </c>
      <c r="DB2" s="46">
        <f>DA2+4</f>
        <v>46141</v>
      </c>
      <c r="DC2" s="46">
        <f>DB2+3</f>
        <v>46144</v>
      </c>
      <c r="DD2" s="46">
        <f>DC2</f>
        <v>46144</v>
      </c>
      <c r="DE2" s="46">
        <f>DD2+4</f>
        <v>46148</v>
      </c>
      <c r="DF2" s="46">
        <f>DE2+3</f>
        <v>46151</v>
      </c>
      <c r="DG2" s="46">
        <f>DF2</f>
        <v>46151</v>
      </c>
      <c r="DH2" s="46">
        <f>DG2+4</f>
        <v>46155</v>
      </c>
      <c r="DI2" s="46">
        <f>DH2+3</f>
        <v>46158</v>
      </c>
      <c r="DJ2" s="46">
        <f>DI2</f>
        <v>46158</v>
      </c>
      <c r="DK2" s="46">
        <f>DJ2+4</f>
        <v>46162</v>
      </c>
      <c r="DL2" s="46">
        <f>DK2+3</f>
        <v>46165</v>
      </c>
      <c r="DM2" s="46">
        <f>DL2</f>
        <v>46165</v>
      </c>
      <c r="DN2" s="46">
        <f>DM2+4</f>
        <v>46169</v>
      </c>
      <c r="DO2" s="46">
        <f>DN2+3</f>
        <v>46172</v>
      </c>
      <c r="DP2" s="46">
        <f>DO2</f>
        <v>46172</v>
      </c>
      <c r="DQ2" s="46">
        <f>DP2+4</f>
        <v>46176</v>
      </c>
      <c r="DR2" s="46">
        <f>DQ2+3</f>
        <v>46179</v>
      </c>
      <c r="DS2" s="46">
        <f>DR2</f>
        <v>46179</v>
      </c>
      <c r="DT2" s="46">
        <f>DS2+4</f>
        <v>46183</v>
      </c>
      <c r="DU2" s="46">
        <f>DT2+3</f>
        <v>46186</v>
      </c>
      <c r="DV2" s="46">
        <f>DU2</f>
        <v>46186</v>
      </c>
      <c r="DW2" s="46">
        <f>DV2+4</f>
        <v>46190</v>
      </c>
      <c r="DX2" s="46">
        <f>DW2+3</f>
        <v>46193</v>
      </c>
      <c r="DY2" s="46">
        <f>DX2</f>
        <v>46193</v>
      </c>
      <c r="DZ2" s="46">
        <f>DY2+4</f>
        <v>46197</v>
      </c>
      <c r="EA2" s="46">
        <f>DZ2+3</f>
        <v>46200</v>
      </c>
      <c r="EB2" s="46">
        <f>EA2</f>
        <v>46200</v>
      </c>
      <c r="EC2" s="46">
        <f>EB2+4</f>
        <v>46204</v>
      </c>
      <c r="ED2" s="46">
        <f>EC2+3</f>
        <v>46207</v>
      </c>
      <c r="EE2" s="46">
        <f>ED2</f>
        <v>46207</v>
      </c>
      <c r="EF2" s="46">
        <f>EE2+4</f>
        <v>46211</v>
      </c>
      <c r="EG2" s="46">
        <f>EF2+3</f>
        <v>46214</v>
      </c>
      <c r="EH2" s="46">
        <f>EG2</f>
        <v>46214</v>
      </c>
      <c r="EI2" s="46">
        <f>EH2+4</f>
        <v>46218</v>
      </c>
      <c r="EJ2" s="46">
        <f>EI2+3</f>
        <v>46221</v>
      </c>
      <c r="EK2" s="46">
        <f>EJ2</f>
        <v>46221</v>
      </c>
      <c r="EL2" s="46">
        <f>EK2+4</f>
        <v>46225</v>
      </c>
      <c r="EM2" s="46">
        <f>EL2+3</f>
        <v>46228</v>
      </c>
      <c r="EN2" s="46">
        <f>EM2</f>
        <v>46228</v>
      </c>
      <c r="EO2" s="46">
        <f>EN2+4</f>
        <v>46232</v>
      </c>
      <c r="EP2" s="46">
        <f>EO2+3</f>
        <v>46235</v>
      </c>
      <c r="EQ2" s="46">
        <f>EP2</f>
        <v>46235</v>
      </c>
      <c r="ER2" s="46">
        <f>EQ2+4</f>
        <v>46239</v>
      </c>
      <c r="ES2" s="46">
        <f>ER2+3</f>
        <v>46242</v>
      </c>
      <c r="ET2" s="46">
        <f>ES2</f>
        <v>46242</v>
      </c>
      <c r="EU2" s="46">
        <f>ET2+4</f>
        <v>46246</v>
      </c>
      <c r="EV2" s="46">
        <f>EU2+3</f>
        <v>46249</v>
      </c>
      <c r="EW2" s="46">
        <f>EV2</f>
        <v>46249</v>
      </c>
      <c r="EX2" s="46">
        <f>EW2+4</f>
        <v>46253</v>
      </c>
      <c r="EY2" s="46">
        <f>EX2+3</f>
        <v>46256</v>
      </c>
      <c r="EZ2" s="46">
        <f>EY2</f>
        <v>46256</v>
      </c>
      <c r="FA2" s="46">
        <f>EZ2+4</f>
        <v>46260</v>
      </c>
      <c r="FB2" s="46">
        <f>FA2+3</f>
        <v>46263</v>
      </c>
      <c r="FC2" s="46">
        <f>FB2</f>
        <v>46263</v>
      </c>
      <c r="FD2" s="46">
        <f>FC2+4</f>
        <v>46267</v>
      </c>
      <c r="FE2" s="46">
        <f>FD2+3</f>
        <v>46270</v>
      </c>
      <c r="FF2" s="46">
        <f>FE2</f>
        <v>46270</v>
      </c>
      <c r="FG2" s="46">
        <f>FF2+4</f>
        <v>46274</v>
      </c>
      <c r="FH2" s="46">
        <f>FG2+3</f>
        <v>46277</v>
      </c>
      <c r="FI2" s="46">
        <f>FH2</f>
        <v>46277</v>
      </c>
      <c r="FJ2" s="46">
        <f>FI2+4</f>
        <v>46281</v>
      </c>
      <c r="FK2" s="46">
        <f>FJ2+3</f>
        <v>46284</v>
      </c>
      <c r="FL2" s="46">
        <f>FK2</f>
        <v>46284</v>
      </c>
      <c r="FM2" s="46">
        <f>FL2+4</f>
        <v>46288</v>
      </c>
      <c r="FN2" s="46">
        <f>FM2+3</f>
        <v>46291</v>
      </c>
      <c r="FO2" s="46">
        <f>FN2</f>
        <v>46291</v>
      </c>
      <c r="FP2" s="46">
        <f>FO2+4</f>
        <v>46295</v>
      </c>
      <c r="FQ2" s="46">
        <f>FP2+3</f>
        <v>46298</v>
      </c>
      <c r="FR2" s="46">
        <f>FQ2</f>
        <v>46298</v>
      </c>
      <c r="FS2" s="46">
        <f>FR2+4</f>
        <v>46302</v>
      </c>
      <c r="FT2" s="46">
        <f>FS2+3</f>
        <v>46305</v>
      </c>
      <c r="FU2" s="46">
        <f>FT2</f>
        <v>46305</v>
      </c>
      <c r="FV2" s="46">
        <f>FU2+4</f>
        <v>46309</v>
      </c>
      <c r="FW2" s="46">
        <f>FV2+3</f>
        <v>46312</v>
      </c>
      <c r="FX2" s="46">
        <f>FW2</f>
        <v>46312</v>
      </c>
      <c r="FY2" s="46">
        <f>FX2+4</f>
        <v>46316</v>
      </c>
      <c r="FZ2" s="46">
        <f>FY2+3</f>
        <v>46319</v>
      </c>
      <c r="GA2" s="46">
        <f>FZ2</f>
        <v>46319</v>
      </c>
      <c r="GB2" s="46">
        <f>GA2+4</f>
        <v>46323</v>
      </c>
      <c r="GC2" s="46">
        <f>GB2+3</f>
        <v>46326</v>
      </c>
      <c r="GD2" s="46">
        <f>GC2</f>
        <v>46326</v>
      </c>
      <c r="GE2" s="46">
        <f>GD2+4</f>
        <v>46330</v>
      </c>
      <c r="GF2" s="46">
        <f>GE2+3</f>
        <v>46333</v>
      </c>
      <c r="GG2" s="46">
        <f>GF2</f>
        <v>46333</v>
      </c>
      <c r="GH2" s="46">
        <f>GG2+4</f>
        <v>46337</v>
      </c>
      <c r="GI2" s="46">
        <f>GH2+3</f>
        <v>46340</v>
      </c>
      <c r="GJ2" s="46">
        <f>GI2</f>
        <v>46340</v>
      </c>
      <c r="GK2" s="46">
        <f>GJ2+4</f>
        <v>46344</v>
      </c>
      <c r="GL2" s="46">
        <f>GK2+3</f>
        <v>46347</v>
      </c>
      <c r="GM2" s="46">
        <f>GL2</f>
        <v>46347</v>
      </c>
      <c r="GN2" s="46">
        <f>GM2+4</f>
        <v>46351</v>
      </c>
      <c r="GO2" s="46">
        <f>GN2+3</f>
        <v>46354</v>
      </c>
      <c r="GP2" s="46">
        <f>GO2</f>
        <v>46354</v>
      </c>
      <c r="GQ2" s="46">
        <f>GP2+4</f>
        <v>46358</v>
      </c>
      <c r="GR2" s="46">
        <f>GQ2+3</f>
        <v>46361</v>
      </c>
      <c r="GS2" s="46">
        <f>GR2</f>
        <v>46361</v>
      </c>
      <c r="GT2" s="46">
        <f>GS2+4</f>
        <v>46365</v>
      </c>
      <c r="GU2" s="46">
        <f>GT2+3</f>
        <v>46368</v>
      </c>
      <c r="GV2" s="46">
        <f>GU2</f>
        <v>46368</v>
      </c>
      <c r="GW2" s="46">
        <f>GV2+4</f>
        <v>46372</v>
      </c>
      <c r="GX2" s="46">
        <f>GW2+3</f>
        <v>46375</v>
      </c>
      <c r="GY2" s="46">
        <f>GX2</f>
        <v>46375</v>
      </c>
      <c r="GZ2" s="46">
        <f>GY2+4</f>
        <v>46379</v>
      </c>
      <c r="HA2" s="46">
        <f>GZ2+3</f>
        <v>46382</v>
      </c>
      <c r="HB2" s="46">
        <f>HA2</f>
        <v>46382</v>
      </c>
      <c r="HC2" s="46">
        <f>HB2+4</f>
        <v>46386</v>
      </c>
    </row>
    <row r="3" ht="29.25" customHeight="1">
      <c r="A3" s="3">
        <v>118.0</v>
      </c>
      <c r="B3" s="4" t="s">
        <v>787</v>
      </c>
      <c r="C3" s="47">
        <f>SUM(D3:HC3) + ActividadesEspeciales!C3</f>
        <v>66</v>
      </c>
      <c r="D3" s="47">
        <f t="array" ref="D3">IF(AND(ISNUMBER(MATCH(D$2, AsistenciaJetAdminConcatenada!$A:$A, 0)), ISNUMBER(MATCH(D$1, AsistenciaJetAdminConcatenada!$B:$B, 0)), ISNUMBER(SEARCH($A3,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ISNUMBER(SEARCH($A3, INDEX(AsistenciaJetAdminConcatenada!$D:$D, MATCH(1, (AsistenciaJetAdminConcatenada!$A:$A=D$2)*(AsistenciaJetAdminConcatenada!$B:$B=D$1), 0)), 1))),  0.5, 0))</f>
        <v>1</v>
      </c>
      <c r="E3" s="47">
        <f t="array" ref="E3">IF(AND(ISNUMBER(MATCH(E$2, AsistenciaJetAdminConcatenada!$A:$A, 0)), ISNUMBER(MATCH(E$1, AsistenciaJetAdminConcatenada!$B:$B, 0)), ISNUMBER(SEARCH($A3,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ISNUMBER(SEARCH($A3, INDEX(AsistenciaJetAdminConcatenada!$D:$D, MATCH(1, (AsistenciaJetAdminConcatenada!$A:$A=E$2)*(AsistenciaJetAdminConcatenada!$B:$B=E$1), 0)), 1))),  0.5, 0))</f>
        <v>1</v>
      </c>
      <c r="F3" s="47">
        <f t="array" ref="F3">IF(AND(ISNUMBER(MATCH(F$2, AsistenciaJetAdminConcatenada!$A:$A, 0)), ISNUMBER(MATCH(F$1, AsistenciaJetAdminConcatenada!$B:$B, 0)), ISNUMBER(SEARCH($A3,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ISNUMBER(SEARCH($A3, INDEX(AsistenciaJetAdminConcatenada!$D:$D, MATCH(1, (AsistenciaJetAdminConcatenada!$A:$A=F$2)*(AsistenciaJetAdminConcatenada!$B:$B=F$1), 0)), 1))),  0.5, 0))</f>
        <v>1</v>
      </c>
      <c r="G3" s="47">
        <f t="array" ref="G3">IF(AND(ISNUMBER(MATCH(G$2, AsistenciaJetAdminConcatenada!$A:$A, 0)), ISNUMBER(MATCH(G$1, AsistenciaJetAdminConcatenada!$B:$B, 0)), ISNUMBER(SEARCH($A3,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ISNUMBER(SEARCH($A3, INDEX(AsistenciaJetAdminConcatenada!$D:$D, MATCH(1, (AsistenciaJetAdminConcatenada!$A:$A=G$2)*(AsistenciaJetAdminConcatenada!$B:$B=G$1), 0)), 1))),  0.5, 0))</f>
        <v>1</v>
      </c>
      <c r="H3" s="47">
        <f t="array" ref="H3">IF(AND(ISNUMBER(MATCH(H$2, AsistenciaJetAdminConcatenada!$A:$A, 0)), ISNUMBER(MATCH(H$1, AsistenciaJetAdminConcatenada!$B:$B, 0)), ISNUMBER(SEARCH($A3,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ISNUMBER(SEARCH($A3, INDEX(AsistenciaJetAdminConcatenada!$D:$D, MATCH(1, (AsistenciaJetAdminConcatenada!$A:$A=H$2)*(AsistenciaJetAdminConcatenada!$B:$B=H$1), 0)), 1))),  0.5, 0))</f>
        <v>0</v>
      </c>
      <c r="I3" s="47">
        <f t="array" ref="I3">IF(AND(ISNUMBER(MATCH(I$2, AsistenciaJetAdminConcatenada!$A:$A, 0)), ISNUMBER(MATCH(I$1, AsistenciaJetAdminConcatenada!$B:$B, 0)), ISNUMBER(SEARCH($A3,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ISNUMBER(SEARCH($A3, INDEX(AsistenciaJetAdminConcatenada!$D:$D, MATCH(1, (AsistenciaJetAdminConcatenada!$A:$A=I$2)*(AsistenciaJetAdminConcatenada!$B:$B=I$1), 0)), 1))),  0.5, 0))</f>
        <v>1</v>
      </c>
      <c r="J3" s="47">
        <f t="array" ref="J3">IF(AND(ISNUMBER(MATCH(J$2, AsistenciaJetAdminConcatenada!$A:$A, 0)), ISNUMBER(MATCH(J$1, AsistenciaJetAdminConcatenada!$B:$B, 0)), ISNUMBER(SEARCH($A3,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ISNUMBER(SEARCH($A3, INDEX(AsistenciaJetAdminConcatenada!$D:$D, MATCH(1, (AsistenciaJetAdminConcatenada!$A:$A=J$2)*(AsistenciaJetAdminConcatenada!$B:$B=J$1), 0)), 1))),  0.5, 0))</f>
        <v>0</v>
      </c>
      <c r="K3" s="47">
        <f t="array" ref="K3">IF(AND(ISNUMBER(MATCH(K$2, AsistenciaJetAdminConcatenada!$A:$A, 0)), ISNUMBER(MATCH(K$1, AsistenciaJetAdminConcatenada!$B:$B, 0)), ISNUMBER(SEARCH($A3,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ISNUMBER(SEARCH($A3, INDEX(AsistenciaJetAdminConcatenada!$D:$D, MATCH(1, (AsistenciaJetAdminConcatenada!$A:$A=K$2)*(AsistenciaJetAdminConcatenada!$B:$B=K$1), 0)), 1))),  0.5, 0))</f>
        <v>1</v>
      </c>
      <c r="L3" s="47">
        <f t="array" ref="L3">IF(AND(ISNUMBER(MATCH(L$2, AsistenciaJetAdminConcatenada!$A:$A, 0)), ISNUMBER(MATCH(L$1, AsistenciaJetAdminConcatenada!$B:$B, 0)), ISNUMBER(SEARCH($A3,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ISNUMBER(SEARCH($A3, INDEX(AsistenciaJetAdminConcatenada!$D:$D, MATCH(1, (AsistenciaJetAdminConcatenada!$A:$A=L$2)*(AsistenciaJetAdminConcatenada!$B:$B=L$1), 0)), 1))),  0.5, 0))</f>
        <v>1</v>
      </c>
      <c r="M3" s="47">
        <f t="array" ref="M3">IF(AND(ISNUMBER(MATCH(M$2, AsistenciaJetAdminConcatenada!$A:$A, 0)), ISNUMBER(MATCH(M$1, AsistenciaJetAdminConcatenada!$B:$B, 0)), ISNUMBER(SEARCH($A3,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ISNUMBER(SEARCH($A3, INDEX(AsistenciaJetAdminConcatenada!$D:$D, MATCH(1, (AsistenciaJetAdminConcatenada!$A:$A=M$2)*(AsistenciaJetAdminConcatenada!$B:$B=M$1), 0)), 1))),  0.5, 0))</f>
        <v>1</v>
      </c>
      <c r="N3" s="47">
        <f t="array" ref="N3">IF(AND(ISNUMBER(MATCH(N$2, AsistenciaJetAdminConcatenada!$A:$A, 0)), ISNUMBER(MATCH(N$1, AsistenciaJetAdminConcatenada!$B:$B, 0)), ISNUMBER(SEARCH($A3,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ISNUMBER(SEARCH($A3, INDEX(AsistenciaJetAdminConcatenada!$D:$D, MATCH(1, (AsistenciaJetAdminConcatenada!$A:$A=N$2)*(AsistenciaJetAdminConcatenada!$B:$B=N$1), 0)), 1))),  0.5, 0))</f>
        <v>1</v>
      </c>
      <c r="O3" s="47">
        <f t="array" ref="O3">IF(AND(ISNUMBER(MATCH(O$2, AsistenciaJetAdminConcatenada!$A:$A, 0)), ISNUMBER(MATCH(O$1, AsistenciaJetAdminConcatenada!$B:$B, 0)), ISNUMBER(SEARCH($A3,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ISNUMBER(SEARCH($A3, INDEX(AsistenciaJetAdminConcatenada!$D:$D, MATCH(1, (AsistenciaJetAdminConcatenada!$A:$A=O$2)*(AsistenciaJetAdminConcatenada!$B:$B=O$1), 0)), 1))),  0.5, 0))</f>
        <v>1</v>
      </c>
      <c r="P3" s="47">
        <f t="array" ref="P3">IF(AND(ISNUMBER(MATCH(P$2, AsistenciaJetAdminConcatenada!$A:$A, 0)), ISNUMBER(MATCH(P$1, AsistenciaJetAdminConcatenada!$B:$B, 0)), ISNUMBER(SEARCH($A3, INDEX(AsistenciaJetAdminConcatenada!$C:$C, MATCH(1, (AsistenciaJetAdminConcatenada!$A:$A=P$2)*(AsistenciaJetAdminConcatenada!$B:$B=P$1), 0)), 1))), 1, IF(AND(ISNUMBER(MATCH(P$2, AsistenciaJetAdminConcatenada!$A:$A, 0)), ISNUMBER(MATCH(P$1, AsistenciaJetAdminConcatenada!$B:$B, 0)), ISNUMBER(SEARCH($A3, INDEX(AsistenciaJetAdminConcatenada!$D:$D, MATCH(1, (AsistenciaJetAdminConcatenada!$A:$A=P$2)*(AsistenciaJetAdminConcatenada!$B:$B=P$1), 0)), 1))),  0.5, 0))</f>
        <v>0</v>
      </c>
      <c r="Q3" s="47">
        <f t="array" ref="Q3">IF(AND(ISNUMBER(MATCH(Q$2, AsistenciaJetAdminConcatenada!$A:$A, 0)), ISNUMBER(MATCH(Q$1, AsistenciaJetAdminConcatenada!$B:$B, 0)), ISNUMBER(SEARCH($A3, INDEX(AsistenciaJetAdminConcatenada!$C:$C, MATCH(1, (AsistenciaJetAdminConcatenada!$A:$A=Q$2)*(AsistenciaJetAdminConcatenada!$B:$B=Q$1), 0)), 1))), 1, IF(AND(ISNUMBER(MATCH(Q$2, AsistenciaJetAdminConcatenada!$A:$A, 0)), ISNUMBER(MATCH(Q$1, AsistenciaJetAdminConcatenada!$B:$B, 0)), ISNUMBER(SEARCH($A3, INDEX(AsistenciaJetAdminConcatenada!$D:$D, MATCH(1, (AsistenciaJetAdminConcatenada!$A:$A=Q$2)*(AsistenciaJetAdminConcatenada!$B:$B=Q$1), 0)), 1))),  0.5, 0))</f>
        <v>1</v>
      </c>
      <c r="R3" s="47">
        <f t="array" ref="R3">IF(AND(ISNUMBER(MATCH(R$2, AsistenciaJetAdminConcatenada!$A:$A, 0)), ISNUMBER(MATCH(R$1, AsistenciaJetAdminConcatenada!$B:$B, 0)), ISNUMBER(SEARCH($A3,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ISNUMBER(SEARCH($A3, INDEX(AsistenciaJetAdminConcatenada!$D:$D, MATCH(1, (AsistenciaJetAdminConcatenada!$A:$A=R$2)*(AsistenciaJetAdminConcatenada!$B:$B=R$1), 0)), 1))),  0.5, 0))</f>
        <v>1</v>
      </c>
      <c r="S3" s="47">
        <f t="array" ref="S3">IF(AND(ISNUMBER(MATCH(S$2, AsistenciaJetAdminConcatenada!$A:$A, 0)), ISNUMBER(MATCH(S$1, AsistenciaJetAdminConcatenada!$B:$B, 0)), ISNUMBER(SEARCH($A3,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ISNUMBER(SEARCH($A3, INDEX(AsistenciaJetAdminConcatenada!$D:$D, MATCH(1, (AsistenciaJetAdminConcatenada!$A:$A=S$2)*(AsistenciaJetAdminConcatenada!$B:$B=S$1), 0)), 1))),  0.5, 0))</f>
        <v>1</v>
      </c>
      <c r="T3" s="47">
        <f t="array" ref="T3">IF(AND(ISNUMBER(MATCH(T$2, AsistenciaJetAdminConcatenada!$A:$A, 0)), ISNUMBER(MATCH(T$1, AsistenciaJetAdminConcatenada!$B:$B, 0)), ISNUMBER(SEARCH($A3,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ISNUMBER(SEARCH($A3, INDEX(AsistenciaJetAdminConcatenada!$D:$D, MATCH(1, (AsistenciaJetAdminConcatenada!$A:$A=T$2)*(AsistenciaJetAdminConcatenada!$B:$B=T$1), 0)), 1))),  0.5, 0))</f>
        <v>0.5</v>
      </c>
      <c r="U3" s="47">
        <f t="array" ref="U3">IF(AND(ISNUMBER(MATCH(U$2, AsistenciaJetAdminConcatenada!$A:$A, 0)), ISNUMBER(MATCH(U$1, AsistenciaJetAdminConcatenada!$B:$B, 0)), ISNUMBER(SEARCH($A3,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ISNUMBER(SEARCH($A3, INDEX(AsistenciaJetAdminConcatenada!$D:$D, MATCH(1, (AsistenciaJetAdminConcatenada!$A:$A=U$2)*(AsistenciaJetAdminConcatenada!$B:$B=U$1), 0)), 1))),  0.5, 0))</f>
        <v>0</v>
      </c>
      <c r="V3" s="47">
        <f t="array" ref="V3">IF(AND(ISNUMBER(MATCH(V$2, AsistenciaJetAdminConcatenada!$A:$A, 0)), ISNUMBER(MATCH(V$1, AsistenciaJetAdminConcatenada!$B:$B, 0)), ISNUMBER(SEARCH($A3,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ISNUMBER(SEARCH($A3, INDEX(AsistenciaJetAdminConcatenada!$D:$D, MATCH(1, (AsistenciaJetAdminConcatenada!$A:$A=V$2)*(AsistenciaJetAdminConcatenada!$B:$B=V$1), 0)), 1))),  0.5, 0))</f>
        <v>1</v>
      </c>
      <c r="W3" s="47">
        <f t="array" ref="W3">IF(AND(ISNUMBER(MATCH(W$2, AsistenciaJetAdminConcatenada!$A:$A, 0)), ISNUMBER(MATCH(W$1, AsistenciaJetAdminConcatenada!$B:$B, 0)), ISNUMBER(SEARCH($A3,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ISNUMBER(SEARCH($A3, INDEX(AsistenciaJetAdminConcatenada!$D:$D, MATCH(1, (AsistenciaJetAdminConcatenada!$A:$A=W$2)*(AsistenciaJetAdminConcatenada!$B:$B=W$1), 0)), 1))),  0.5, 0))</f>
        <v>1</v>
      </c>
      <c r="X3" s="47">
        <f t="array" ref="X3">IF(AND(ISNUMBER(MATCH(X$2, AsistenciaJetAdminConcatenada!$A:$A, 0)), ISNUMBER(MATCH(X$1, AsistenciaJetAdminConcatenada!$B:$B, 0)), ISNUMBER(SEARCH($A3,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ISNUMBER(SEARCH($A3, INDEX(AsistenciaJetAdminConcatenada!$D:$D, MATCH(1, (AsistenciaJetAdminConcatenada!$A:$A=X$2)*(AsistenciaJetAdminConcatenada!$B:$B=X$1), 0)), 1))),  0.5, 0))</f>
        <v>1</v>
      </c>
      <c r="Y3" s="47">
        <f t="array" ref="Y3">IF(AND(ISNUMBER(MATCH(Y$2, AsistenciaJetAdminConcatenada!$A:$A, 0)), ISNUMBER(MATCH(Y$1, AsistenciaJetAdminConcatenada!$B:$B, 0)), ISNUMBER(SEARCH($A3,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ISNUMBER(SEARCH($A3, INDEX(AsistenciaJetAdminConcatenada!$D:$D, MATCH(1, (AsistenciaJetAdminConcatenada!$A:$A=Y$2)*(AsistenciaJetAdminConcatenada!$B:$B=Y$1), 0)), 1))),  0.5, 0))</f>
        <v>1</v>
      </c>
      <c r="Z3" s="47">
        <f t="array" ref="Z3">IF(AND(ISNUMBER(MATCH(Z$2, AsistenciaJetAdminConcatenada!$A:$A, 0)), ISNUMBER(MATCH(Z$1, AsistenciaJetAdminConcatenada!$B:$B, 0)), ISNUMBER(SEARCH($A3,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ISNUMBER(SEARCH($A3, INDEX(AsistenciaJetAdminConcatenada!$D:$D, MATCH(1, (AsistenciaJetAdminConcatenada!$A:$A=Z$2)*(AsistenciaJetAdminConcatenada!$B:$B=Z$1), 0)), 1))),  0.5, 0))</f>
        <v>1</v>
      </c>
      <c r="AA3" s="47">
        <f t="array" ref="AA3">IF(AND(ISNUMBER(MATCH(AA$2, AsistenciaJetAdminConcatenada!$A:$A, 0)), ISNUMBER(MATCH(AA$1, AsistenciaJetAdminConcatenada!$B:$B, 0)), ISNUMBER(SEARCH($A3,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ISNUMBER(SEARCH($A3, INDEX(AsistenciaJetAdminConcatenada!$D:$D, MATCH(1, (AsistenciaJetAdminConcatenada!$A:$A=AA$2)*(AsistenciaJetAdminConcatenada!$B:$B=AA$1), 0)), 1))),  0.5, 0))</f>
        <v>1</v>
      </c>
      <c r="AB3" s="47">
        <f t="array" ref="AB3">IF(AND(ISNUMBER(MATCH(AB$2, AsistenciaJetAdminConcatenada!$A:$A, 0)), ISNUMBER(MATCH(AB$1, AsistenciaJetAdminConcatenada!$B:$B, 0)), ISNUMBER(SEARCH($A3,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ISNUMBER(SEARCH($A3, INDEX(AsistenciaJetAdminConcatenada!$D:$D, MATCH(1, (AsistenciaJetAdminConcatenada!$A:$A=AB$2)*(AsistenciaJetAdminConcatenada!$B:$B=AB$1), 0)), 1))),  0.5, 0))</f>
        <v>0.5</v>
      </c>
      <c r="AC3" s="47">
        <f t="array" ref="AC3">IF(AND(ISNUMBER(MATCH(AC$2, AsistenciaJetAdminConcatenada!$A:$A, 0)), ISNUMBER(MATCH(AC$1, AsistenciaJetAdminConcatenada!$B:$B, 0)), ISNUMBER(SEARCH($A3,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ISNUMBER(SEARCH($A3, INDEX(AsistenciaJetAdminConcatenada!$D:$D, MATCH(1, (AsistenciaJetAdminConcatenada!$A:$A=AC$2)*(AsistenciaJetAdminConcatenada!$B:$B=AC$1), 0)), 1))),  0.5, 0))</f>
        <v>0</v>
      </c>
      <c r="AD3" s="47">
        <f t="array" ref="AD3">IF(AND(ISNUMBER(MATCH(AD$2, AsistenciaJetAdminConcatenada!$A:$A, 0)), ISNUMBER(MATCH(AD$1, AsistenciaJetAdminConcatenada!$B:$B, 0)), ISNUMBER(SEARCH($A3,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ISNUMBER(SEARCH($A3, INDEX(AsistenciaJetAdminConcatenada!$D:$D, MATCH(1, (AsistenciaJetAdminConcatenada!$A:$A=AD$2)*(AsistenciaJetAdminConcatenada!$B:$B=AD$1), 0)), 1))),  0.5, 0))</f>
        <v>1</v>
      </c>
      <c r="AE3" s="47">
        <f t="array" ref="AE3">IF(AND(ISNUMBER(MATCH(AE$2, AsistenciaJetAdminConcatenada!$A:$A, 0)), ISNUMBER(MATCH(AE$1, AsistenciaJetAdminConcatenada!$B:$B, 0)), ISNUMBER(SEARCH($A3,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ISNUMBER(SEARCH($A3, INDEX(AsistenciaJetAdminConcatenada!$D:$D, MATCH(1, (AsistenciaJetAdminConcatenada!$A:$A=AE$2)*(AsistenciaJetAdminConcatenada!$B:$B=AE$1), 0)), 1))),  0.5, 0))</f>
        <v>0</v>
      </c>
      <c r="AF3" s="47">
        <f t="array" ref="AF3">IF(AND(ISNUMBER(MATCH(AF$2, AsistenciaJetAdminConcatenada!$A:$A, 0)), ISNUMBER(MATCH(AF$1, AsistenciaJetAdminConcatenada!$B:$B, 0)), ISNUMBER(SEARCH($A3,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ISNUMBER(SEARCH($A3, INDEX(AsistenciaJetAdminConcatenada!$D:$D, MATCH(1, (AsistenciaJetAdminConcatenada!$A:$A=AF$2)*(AsistenciaJetAdminConcatenada!$B:$B=AF$1), 0)), 1))),  0.5, 0))</f>
        <v>0</v>
      </c>
      <c r="AG3" s="47">
        <f t="array" ref="AG3">IF(AND(ISNUMBER(MATCH(AG$2, AsistenciaJetAdminConcatenada!$A:$A, 0)), ISNUMBER(MATCH(AG$1, AsistenciaJetAdminConcatenada!$B:$B, 0)), ISNUMBER(SEARCH($A3,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ISNUMBER(SEARCH($A3, INDEX(AsistenciaJetAdminConcatenada!$D:$D, MATCH(1, (AsistenciaJetAdminConcatenada!$A:$A=AG$2)*(AsistenciaJetAdminConcatenada!$B:$B=AG$1), 0)), 1))),  0.5, 0))</f>
        <v>1</v>
      </c>
      <c r="AH3" s="47">
        <f t="array" ref="AH3">IF(AND(ISNUMBER(MATCH(AH$2, AsistenciaJetAdminConcatenada!$A:$A, 0)), ISNUMBER(MATCH(AH$1, AsistenciaJetAdminConcatenada!$B:$B, 0)), ISNUMBER(SEARCH($A3,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ISNUMBER(SEARCH($A3, INDEX(AsistenciaJetAdminConcatenada!$D:$D, MATCH(1, (AsistenciaJetAdminConcatenada!$A:$A=AH$2)*(AsistenciaJetAdminConcatenada!$B:$B=AH$1), 0)), 1))),  0.5, 0))</f>
        <v>0</v>
      </c>
      <c r="AI3" s="47">
        <f t="array" ref="AI3">IF(AND(ISNUMBER(MATCH(AI$2, AsistenciaJetAdminConcatenada!$A:$A, 0)), ISNUMBER(MATCH(AI$1, AsistenciaJetAdminConcatenada!$B:$B, 0)), ISNUMBER(SEARCH($A3,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ISNUMBER(SEARCH($A3, INDEX(AsistenciaJetAdminConcatenada!$D:$D, MATCH(1, (AsistenciaJetAdminConcatenada!$A:$A=AI$2)*(AsistenciaJetAdminConcatenada!$B:$B=AI$1), 0)), 1))),  0.5, 0))</f>
        <v>1</v>
      </c>
      <c r="AJ3" s="47">
        <f t="array" ref="AJ3">IF(AND(ISNUMBER(MATCH(AJ$2, AsistenciaJetAdminConcatenada!$A:$A, 0)), ISNUMBER(MATCH(AJ$1, AsistenciaJetAdminConcatenada!$B:$B, 0)), ISNUMBER(SEARCH($A3,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ISNUMBER(SEARCH($A3, INDEX(AsistenciaJetAdminConcatenada!$D:$D, MATCH(1, (AsistenciaJetAdminConcatenada!$A:$A=AJ$2)*(AsistenciaJetAdminConcatenada!$B:$B=AJ$1), 0)), 1))),  0.5, 0))</f>
        <v>1</v>
      </c>
      <c r="AK3" s="47">
        <f t="array" ref="AK3">IF(AND(ISNUMBER(MATCH(AK$2, AsistenciaJetAdminConcatenada!$A:$A, 0)), ISNUMBER(MATCH(AK$1, AsistenciaJetAdminConcatenada!$B:$B, 0)), ISNUMBER(SEARCH($A3,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ISNUMBER(SEARCH($A3, INDEX(AsistenciaJetAdminConcatenada!$D:$D, MATCH(1, (AsistenciaJetAdminConcatenada!$A:$A=AK$2)*(AsistenciaJetAdminConcatenada!$B:$B=AK$1), 0)), 1))),  0.5, 0))</f>
        <v>1</v>
      </c>
      <c r="AL3" s="47">
        <f t="array" ref="AL3">IF(AND(ISNUMBER(MATCH(AL$2, AsistenciaJetAdminConcatenada!$A:$A, 0)), ISNUMBER(MATCH(AL$1, AsistenciaJetAdminConcatenada!$B:$B, 0)), ISNUMBER(SEARCH($A3,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ISNUMBER(SEARCH($A3, INDEX(AsistenciaJetAdminConcatenada!$D:$D, MATCH(1, (AsistenciaJetAdminConcatenada!$A:$A=AL$2)*(AsistenciaJetAdminConcatenada!$B:$B=AL$1), 0)), 1))),  0.5, 0))</f>
        <v>1</v>
      </c>
      <c r="AM3" s="47">
        <f t="array" ref="AM3">IF(AND(ISNUMBER(MATCH(AM$2, AsistenciaJetAdminConcatenada!$A:$A, 0)), ISNUMBER(MATCH(AM$1, AsistenciaJetAdminConcatenada!$B:$B, 0)), ISNUMBER(SEARCH($A3,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ISNUMBER(SEARCH($A3, INDEX(AsistenciaJetAdminConcatenada!$D:$D, MATCH(1, (AsistenciaJetAdminConcatenada!$A:$A=AM$2)*(AsistenciaJetAdminConcatenada!$B:$B=AM$1), 0)), 1))),  0.5, 0))</f>
        <v>0</v>
      </c>
      <c r="AN3" s="47">
        <f t="array" ref="AN3">IF(AND(ISNUMBER(MATCH(AN$2, AsistenciaJetAdminConcatenada!$A:$A, 0)), ISNUMBER(MATCH(AN$1, AsistenciaJetAdminConcatenada!$B:$B, 0)), ISNUMBER(SEARCH($A3,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ISNUMBER(SEARCH($A3, INDEX(AsistenciaJetAdminConcatenada!$D:$D, MATCH(1, (AsistenciaJetAdminConcatenada!$A:$A=AN$2)*(AsistenciaJetAdminConcatenada!$B:$B=AN$1), 0)), 1))),  0.5, 0))</f>
        <v>1</v>
      </c>
      <c r="AO3" s="47">
        <f t="array" ref="AO3">IF(AND(ISNUMBER(MATCH(AO$2, AsistenciaJetAdminConcatenada!$A:$A, 0)), ISNUMBER(MATCH(AO$1, AsistenciaJetAdminConcatenada!$B:$B, 0)), ISNUMBER(SEARCH($A3,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ISNUMBER(SEARCH($A3, INDEX(AsistenciaJetAdminConcatenada!$D:$D, MATCH(1, (AsistenciaJetAdminConcatenada!$A:$A=AO$2)*(AsistenciaJetAdminConcatenada!$B:$B=AO$1), 0)), 1))),  0.5, 0))</f>
        <v>1</v>
      </c>
      <c r="AP3" s="47">
        <f t="array" ref="AP3">IF(AND(ISNUMBER(MATCH(AP$2, AsistenciaJetAdminConcatenada!$A:$A, 0)), ISNUMBER(MATCH(AP$1, AsistenciaJetAdminConcatenada!$B:$B, 0)), ISNUMBER(SEARCH($A3,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ISNUMBER(SEARCH($A3, INDEX(AsistenciaJetAdminConcatenada!$D:$D, MATCH(1, (AsistenciaJetAdminConcatenada!$A:$A=AP$2)*(AsistenciaJetAdminConcatenada!$B:$B=AP$1), 0)), 1))),  0.5, 0))</f>
        <v>1</v>
      </c>
      <c r="AQ3" s="47">
        <f t="array" ref="AQ3">IF(AND(ISNUMBER(MATCH(AQ$2, AsistenciaJetAdminConcatenada!$A:$A, 0)), ISNUMBER(MATCH(AQ$1, AsistenciaJetAdminConcatenada!$B:$B, 0)), ISNUMBER(SEARCH($A3,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ISNUMBER(SEARCH($A3, INDEX(AsistenciaJetAdminConcatenada!$D:$D, MATCH(1, (AsistenciaJetAdminConcatenada!$A:$A=AQ$2)*(AsistenciaJetAdminConcatenada!$B:$B=AQ$1), 0)), 1))),  0.5, 0))</f>
        <v>0</v>
      </c>
      <c r="AR3" s="47">
        <f t="array" ref="AR3">IF(AND(ISNUMBER(MATCH(AR$2, AsistenciaJetAdminConcatenada!$A:$A, 0)), ISNUMBER(MATCH(AR$1, AsistenciaJetAdminConcatenada!$B:$B, 0)), ISNUMBER(SEARCH($A3,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ISNUMBER(SEARCH($A3, INDEX(AsistenciaJetAdminConcatenada!$D:$D, MATCH(1, (AsistenciaJetAdminConcatenada!$A:$A=AR$2)*(AsistenciaJetAdminConcatenada!$B:$B=AR$1), 0)), 1))),  0.5, 0))</f>
        <v>1</v>
      </c>
      <c r="AS3" s="47">
        <f t="array" ref="AS3">IF(AND(ISNUMBER(MATCH(AS$2, AsistenciaJetAdminConcatenada!$A:$A, 0)), ISNUMBER(MATCH(AS$1, AsistenciaJetAdminConcatenada!$B:$B, 0)), ISNUMBER(SEARCH($A3,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ISNUMBER(SEARCH($A3, INDEX(AsistenciaJetAdminConcatenada!$D:$D, MATCH(1, (AsistenciaJetAdminConcatenada!$A:$A=AS$2)*(AsistenciaJetAdminConcatenada!$B:$B=AS$1), 0)), 1))),  0.5, 0))</f>
        <v>1</v>
      </c>
      <c r="AT3" s="47">
        <f t="array" ref="AT3">IF(AND(ISNUMBER(MATCH(AT$2, AsistenciaJetAdminConcatenada!$A:$A, 0)), ISNUMBER(MATCH(AT$1, AsistenciaJetAdminConcatenada!$B:$B, 0)), ISNUMBER(SEARCH($A3,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ISNUMBER(SEARCH($A3, INDEX(AsistenciaJetAdminConcatenada!$D:$D, MATCH(1, (AsistenciaJetAdminConcatenada!$A:$A=AT$2)*(AsistenciaJetAdminConcatenada!$B:$B=AT$1), 0)), 1))),  0.5, 0))</f>
        <v>0</v>
      </c>
      <c r="AU3" s="47">
        <f t="array" ref="AU3">IF(AND(ISNUMBER(MATCH(AU$2, AsistenciaJetAdminConcatenada!$A:$A, 0)), ISNUMBER(MATCH(AU$1, AsistenciaJetAdminConcatenada!$B:$B, 0)), ISNUMBER(SEARCH($A3,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ISNUMBER(SEARCH($A3, INDEX(AsistenciaJetAdminConcatenada!$D:$D, MATCH(1, (AsistenciaJetAdminConcatenada!$A:$A=AU$2)*(AsistenciaJetAdminConcatenada!$B:$B=AU$1), 0)), 1))),  0.5, 0))</f>
        <v>0</v>
      </c>
      <c r="AV3" s="47">
        <f t="array" ref="AV3">IF(AND(ISNUMBER(MATCH(AV$2, AsistenciaJetAdminConcatenada!$A:$A, 0)), ISNUMBER(MATCH(AV$1, AsistenciaJetAdminConcatenada!$B:$B, 0)), ISNUMBER(SEARCH($A3,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ISNUMBER(SEARCH($A3, INDEX(AsistenciaJetAdminConcatenada!$D:$D, MATCH(1, (AsistenciaJetAdminConcatenada!$A:$A=AV$2)*(AsistenciaJetAdminConcatenada!$B:$B=AV$1), 0)), 1))),  0.5, 0))</f>
        <v>1</v>
      </c>
      <c r="AW3" s="47">
        <f t="array" ref="AW3">IF(AND(ISNUMBER(MATCH(AW$2, AsistenciaJetAdminConcatenada!$A:$A, 0)), ISNUMBER(MATCH(AW$1, AsistenciaJetAdminConcatenada!$B:$B, 0)), ISNUMBER(SEARCH($A3,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ISNUMBER(SEARCH($A3, INDEX(AsistenciaJetAdminConcatenada!$D:$D, MATCH(1, (AsistenciaJetAdminConcatenada!$A:$A=AW$2)*(AsistenciaJetAdminConcatenada!$B:$B=AW$1), 0)), 1))),  0.5, 0))</f>
        <v>0</v>
      </c>
      <c r="AX3" s="47">
        <f t="array" ref="AX3">IF(AND(ISNUMBER(MATCH(AX$2, AsistenciaJetAdminConcatenada!$A:$A, 0)), ISNUMBER(MATCH(AX$1, AsistenciaJetAdminConcatenada!$B:$B, 0)), ISNUMBER(SEARCH($A3,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ISNUMBER(SEARCH($A3, INDEX(AsistenciaJetAdminConcatenada!$D:$D, MATCH(1, (AsistenciaJetAdminConcatenada!$A:$A=AX$2)*(AsistenciaJetAdminConcatenada!$B:$B=AX$1), 0)), 1))),  0.5, 0))</f>
        <v>0</v>
      </c>
      <c r="AY3" s="47">
        <f t="array" ref="AY3">IF(AND(ISNUMBER(MATCH(AY$2, AsistenciaJetAdminConcatenada!$A:$A, 0)), ISNUMBER(MATCH(AY$1, AsistenciaJetAdminConcatenada!$B:$B, 0)), ISNUMBER(SEARCH($A3,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ISNUMBER(SEARCH($A3, INDEX(AsistenciaJetAdminConcatenada!$D:$D, MATCH(1, (AsistenciaJetAdminConcatenada!$A:$A=AY$2)*(AsistenciaJetAdminConcatenada!$B:$B=AY$1), 0)), 1))),  0.5, 0))</f>
        <v>1</v>
      </c>
      <c r="AZ3" s="47">
        <f t="array" ref="AZ3">IF(AND(ISNUMBER(MATCH(AZ$2, AsistenciaJetAdminConcatenada!$A:$A, 0)), ISNUMBER(MATCH(AZ$1, AsistenciaJetAdminConcatenada!$B:$B, 0)), ISNUMBER(SEARCH($A3,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ISNUMBER(SEARCH($A3, INDEX(AsistenciaJetAdminConcatenada!$D:$D, MATCH(1, (AsistenciaJetAdminConcatenada!$A:$A=AZ$2)*(AsistenciaJetAdminConcatenada!$B:$B=AZ$1), 0)), 1))),  0.5, 0))</f>
        <v>0</v>
      </c>
      <c r="BA3" s="47">
        <f t="array" ref="BA3">IF(AND(ISNUMBER(MATCH(BA$2, AsistenciaJetAdminConcatenada!$A:$A, 0)), ISNUMBER(MATCH(BA$1, AsistenciaJetAdminConcatenada!$B:$B, 0)), ISNUMBER(SEARCH($A3,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ISNUMBER(SEARCH($A3, INDEX(AsistenciaJetAdminConcatenada!$D:$D, MATCH(1, (AsistenciaJetAdminConcatenada!$A:$A=BA$2)*(AsistenciaJetAdminConcatenada!$B:$B=BA$1), 0)), 1))),  0.5, 0))</f>
        <v>0</v>
      </c>
      <c r="BB3" s="47">
        <f t="array" ref="BB3">IF(AND(ISNUMBER(MATCH(BB$2, AsistenciaJetAdminConcatenada!$A:$A, 0)), ISNUMBER(MATCH(BB$1, AsistenciaJetAdminConcatenada!$B:$B, 0)), ISNUMBER(SEARCH($A3,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ISNUMBER(SEARCH($A3, INDEX(AsistenciaJetAdminConcatenada!$D:$D, MATCH(1, (AsistenciaJetAdminConcatenada!$A:$A=BB$2)*(AsistenciaJetAdminConcatenada!$B:$B=BB$1), 0)), 1))),  0.5, 0))</f>
        <v>1</v>
      </c>
      <c r="BC3" s="47">
        <f t="array" ref="BC3">IF(AND(ISNUMBER(MATCH(BC$2, AsistenciaJetAdminConcatenada!$A:$A, 0)), ISNUMBER(MATCH(BC$1, AsistenciaJetAdminConcatenada!$B:$B, 0)), ISNUMBER(SEARCH($A3,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ISNUMBER(SEARCH($A3, INDEX(AsistenciaJetAdminConcatenada!$D:$D, MATCH(1, (AsistenciaJetAdminConcatenada!$A:$A=BC$2)*(AsistenciaJetAdminConcatenada!$B:$B=BC$1), 0)), 1))),  0.5, 0))</f>
        <v>1</v>
      </c>
      <c r="BD3" s="47">
        <f t="array" ref="BD3">IF(AND(ISNUMBER(MATCH(BD$2, AsistenciaJetAdminConcatenada!$A:$A, 0)), ISNUMBER(MATCH(BD$1, AsistenciaJetAdminConcatenada!$B:$B, 0)), ISNUMBER(SEARCH($A3,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ISNUMBER(SEARCH($A3, INDEX(AsistenciaJetAdminConcatenada!$D:$D, MATCH(1, (AsistenciaJetAdminConcatenada!$A:$A=BD$2)*(AsistenciaJetAdminConcatenada!$B:$B=BD$1), 0)), 1))),  0.5, 0))</f>
        <v>1</v>
      </c>
      <c r="BE3" s="47">
        <f t="array" ref="BE3">IF(AND(ISNUMBER(MATCH(BE$2, AsistenciaJetAdminConcatenada!$A:$A, 0)), ISNUMBER(MATCH(BE$1, AsistenciaJetAdminConcatenada!$B:$B, 0)), ISNUMBER(SEARCH($A3,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ISNUMBER(SEARCH($A3, INDEX(AsistenciaJetAdminConcatenada!$D:$D, MATCH(1, (AsistenciaJetAdminConcatenada!$A:$A=BE$2)*(AsistenciaJetAdminConcatenada!$B:$B=BE$1), 0)), 1))),  0.5, 0))</f>
        <v>1</v>
      </c>
      <c r="BF3" s="47">
        <f t="array" ref="BF3">IF(AND(ISNUMBER(MATCH(BF$2, AsistenciaJetAdminConcatenada!$A:$A, 0)), ISNUMBER(MATCH(BF$1, AsistenciaJetAdminConcatenada!$B:$B, 0)), ISNUMBER(SEARCH($A3,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ISNUMBER(SEARCH($A3, INDEX(AsistenciaJetAdminConcatenada!$D:$D, MATCH(1, (AsistenciaJetAdminConcatenada!$A:$A=BF$2)*(AsistenciaJetAdminConcatenada!$B:$B=BF$1), 0)), 1))),  0.5, 0))</f>
        <v>0</v>
      </c>
      <c r="BG3" s="47">
        <f t="array" ref="BG3">IF(AND(ISNUMBER(MATCH(BG$2, AsistenciaJetAdminConcatenada!$A:$A, 0)), ISNUMBER(MATCH(BG$1, AsistenciaJetAdminConcatenada!$B:$B, 0)), ISNUMBER(SEARCH($A3,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ISNUMBER(SEARCH($A3, INDEX(AsistenciaJetAdminConcatenada!$D:$D, MATCH(1, (AsistenciaJetAdminConcatenada!$A:$A=BG$2)*(AsistenciaJetAdminConcatenada!$B:$B=BG$1), 0)), 1))),  0.5, 0))</f>
        <v>1</v>
      </c>
      <c r="BH3" s="47">
        <f t="array" ref="BH3">IF(AND(ISNUMBER(MATCH(BH$2, AsistenciaJetAdminConcatenada!$A:$A, 0)), ISNUMBER(MATCH(BH$1, AsistenciaJetAdminConcatenada!$B:$B, 0)), ISNUMBER(SEARCH($A3,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ISNUMBER(SEARCH($A3, INDEX(AsistenciaJetAdminConcatenada!$D:$D, MATCH(1, (AsistenciaJetAdminConcatenada!$A:$A=BH$2)*(AsistenciaJetAdminConcatenada!$B:$B=BH$1), 0)), 1))),  0.5, 0))</f>
        <v>1</v>
      </c>
      <c r="BI3" s="47">
        <f t="array" ref="BI3">IF(AND(ISNUMBER(MATCH(BI$2, AsistenciaJetAdminConcatenada!$A:$A, 0)), ISNUMBER(MATCH(BI$1, AsistenciaJetAdminConcatenada!$B:$B, 0)), ISNUMBER(SEARCH($A3,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ISNUMBER(SEARCH($A3, INDEX(AsistenciaJetAdminConcatenada!$D:$D, MATCH(1, (AsistenciaJetAdminConcatenada!$A:$A=BI$2)*(AsistenciaJetAdminConcatenada!$B:$B=BI$1), 0)), 1))),  0.5, 0))</f>
        <v>0.5</v>
      </c>
      <c r="BJ3" s="47">
        <f t="array" ref="BJ3">IF(AND(ISNUMBER(MATCH(BJ$2, AsistenciaJetAdminConcatenada!$A:$A, 0)), ISNUMBER(MATCH(BJ$1, AsistenciaJetAdminConcatenada!$B:$B, 0)), ISNUMBER(SEARCH($A3,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ISNUMBER(SEARCH($A3, INDEX(AsistenciaJetAdminConcatenada!$D:$D, MATCH(1, (AsistenciaJetAdminConcatenada!$A:$A=BJ$2)*(AsistenciaJetAdminConcatenada!$B:$B=BJ$1), 0)), 1))),  0.5, 0))</f>
        <v>1</v>
      </c>
      <c r="BK3" s="47">
        <f t="array" ref="BK3">IF(AND(ISNUMBER(MATCH(BK$2, AsistenciaJetAdminConcatenada!$A:$A, 0)), ISNUMBER(MATCH(BK$1, AsistenciaJetAdminConcatenada!$B:$B, 0)), ISNUMBER(SEARCH($A3,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ISNUMBER(SEARCH($A3, INDEX(AsistenciaJetAdminConcatenada!$D:$D, MATCH(1, (AsistenciaJetAdminConcatenada!$A:$A=BK$2)*(AsistenciaJetAdminConcatenada!$B:$B=BK$1), 0)), 1))),  0.5, 0))</f>
        <v>1</v>
      </c>
      <c r="BL3" s="47">
        <f t="array" ref="BL3">IF(AND(ISNUMBER(MATCH(BL$2, AsistenciaJetAdminConcatenada!$A:$A, 0)), ISNUMBER(MATCH(BL$1, AsistenciaJetAdminConcatenada!$B:$B, 0)), ISNUMBER(SEARCH($A3,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ISNUMBER(SEARCH($A3, INDEX(AsistenciaJetAdminConcatenada!$D:$D, MATCH(1, (AsistenciaJetAdminConcatenada!$A:$A=BL$2)*(AsistenciaJetAdminConcatenada!$B:$B=BL$1), 0)), 1))),  0.5, 0))</f>
        <v>1</v>
      </c>
      <c r="BM3" s="47">
        <f t="array" ref="BM3">IF(AND(ISNUMBER(MATCH(BM$2, AsistenciaJetAdminConcatenada!$A:$A, 0)), ISNUMBER(MATCH(BM$1, AsistenciaJetAdminConcatenada!$B:$B, 0)), ISNUMBER(SEARCH($A3,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ISNUMBER(SEARCH($A3, INDEX(AsistenciaJetAdminConcatenada!$D:$D, MATCH(1, (AsistenciaJetAdminConcatenada!$A:$A=BM$2)*(AsistenciaJetAdminConcatenada!$B:$B=BM$1), 0)), 1))),  0.5, 0))</f>
        <v>1</v>
      </c>
      <c r="BN3" s="47">
        <f t="array" ref="BN3">IF(AND(ISNUMBER(MATCH(BN$2, AsistenciaJetAdminConcatenada!$A:$A, 0)), ISNUMBER(MATCH(BN$1, AsistenciaJetAdminConcatenada!$B:$B, 0)), ISNUMBER(SEARCH($A3,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ISNUMBER(SEARCH($A3, INDEX(AsistenciaJetAdminConcatenada!$D:$D, MATCH(1, (AsistenciaJetAdminConcatenada!$A:$A=BN$2)*(AsistenciaJetAdminConcatenada!$B:$B=BN$1), 0)), 1))),  0.5, 0))</f>
        <v>1</v>
      </c>
      <c r="BO3" s="47">
        <f t="array" ref="BO3">IF(AND(ISNUMBER(MATCH(BO$2, AsistenciaJetAdminConcatenada!$A:$A, 0)), ISNUMBER(MATCH(BO$1, AsistenciaJetAdminConcatenada!$B:$B, 0)), ISNUMBER(SEARCH($A3,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ISNUMBER(SEARCH($A3, INDEX(AsistenciaJetAdminConcatenada!$D:$D, MATCH(1, (AsistenciaJetAdminConcatenada!$A:$A=BO$2)*(AsistenciaJetAdminConcatenada!$B:$B=BO$1), 0)), 1))),  0.5, 0))</f>
        <v>1</v>
      </c>
      <c r="BP3" s="47">
        <f t="array" ref="BP3">IF(AND(ISNUMBER(MATCH(BP$2, AsistenciaJetAdminConcatenada!$A:$A, 0)), ISNUMBER(MATCH(BP$1, AsistenciaJetAdminConcatenada!$B:$B, 0)), ISNUMBER(SEARCH($A3,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ISNUMBER(SEARCH($A3, INDEX(AsistenciaJetAdminConcatenada!$D:$D, MATCH(1, (AsistenciaJetAdminConcatenada!$A:$A=BP$2)*(AsistenciaJetAdminConcatenada!$B:$B=BP$1), 0)), 1))),  0.5, 0))</f>
        <v>0</v>
      </c>
      <c r="BQ3" s="47">
        <f t="array" ref="BQ3">IF(AND(ISNUMBER(MATCH(BQ$2, AsistenciaJetAdminConcatenada!$A:$A, 0)), ISNUMBER(MATCH(BQ$1, AsistenciaJetAdminConcatenada!$B:$B, 0)), ISNUMBER(SEARCH($A3,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ISNUMBER(SEARCH($A3, INDEX(AsistenciaJetAdminConcatenada!$D:$D, MATCH(1, (AsistenciaJetAdminConcatenada!$A:$A=BQ$2)*(AsistenciaJetAdminConcatenada!$B:$B=BQ$1), 0)), 1))),  0.5, 0))</f>
        <v>1</v>
      </c>
      <c r="BR3" s="47">
        <f t="array" ref="BR3">IF(AND(ISNUMBER(MATCH(BR$2, AsistenciaJetAdminConcatenada!$A:$A, 0)), ISNUMBER(MATCH(BR$1, AsistenciaJetAdminConcatenada!$B:$B, 0)), ISNUMBER(SEARCH($A3,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ISNUMBER(SEARCH($A3, INDEX(AsistenciaJetAdminConcatenada!$D:$D, MATCH(1, (AsistenciaJetAdminConcatenada!$A:$A=BR$2)*(AsistenciaJetAdminConcatenada!$B:$B=BR$1), 0)), 1))),  0.5, 0))</f>
        <v>1</v>
      </c>
      <c r="BS3" s="47">
        <f t="array" ref="BS3">IF(AND(ISNUMBER(MATCH(BS$2, AsistenciaJetAdminConcatenada!$A:$A, 0)), ISNUMBER(MATCH(BS$1, AsistenciaJetAdminConcatenada!$B:$B, 0)), ISNUMBER(SEARCH($A3,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ISNUMBER(SEARCH($A3, INDEX(AsistenciaJetAdminConcatenada!$D:$D, MATCH(1, (AsistenciaJetAdminConcatenada!$A:$A=BS$2)*(AsistenciaJetAdminConcatenada!$B:$B=BS$1), 0)), 1))),  0.5, 0))</f>
        <v>1</v>
      </c>
      <c r="BT3" s="47">
        <f t="array" ref="BT3">IF(AND(ISNUMBER(MATCH(BT$2, AsistenciaJetAdminConcatenada!$A:$A, 0)), ISNUMBER(MATCH(BT$1, AsistenciaJetAdminConcatenada!$B:$B, 0)), ISNUMBER(SEARCH($A3,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ISNUMBER(SEARCH($A3, INDEX(AsistenciaJetAdminConcatenada!$D:$D, MATCH(1, (AsistenciaJetAdminConcatenada!$A:$A=BT$2)*(AsistenciaJetAdminConcatenada!$B:$B=BT$1), 0)), 1))),  0.5, 0))</f>
        <v>1</v>
      </c>
      <c r="BU3" s="47">
        <f t="array" ref="BU3">IF(AND(ISNUMBER(MATCH(BU$2, AsistenciaJetAdminConcatenada!$A:$A, 0)), ISNUMBER(MATCH(BU$1, AsistenciaJetAdminConcatenada!$B:$B, 0)), ISNUMBER(SEARCH($A3,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ISNUMBER(SEARCH($A3, INDEX(AsistenciaJetAdminConcatenada!$D:$D, MATCH(1, (AsistenciaJetAdminConcatenada!$A:$A=BU$2)*(AsistenciaJetAdminConcatenada!$B:$B=BU$1), 0)), 1))),  0.5, 0))</f>
        <v>1</v>
      </c>
      <c r="BV3" s="8">
        <v>1.0</v>
      </c>
      <c r="BW3" s="47">
        <f t="array" ref="BW3">IF(AND(ISNUMBER(MATCH(BW$2, AsistenciaJetAdminConcatenada!$A:$A, 0)), ISNUMBER(MATCH(BW$1, AsistenciaJetAdminConcatenada!$B:$B, 0)), ISNUMBER(SEARCH($A3,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ISNUMBER(SEARCH($A3, INDEX(AsistenciaJetAdminConcatenada!$D:$D, MATCH(1, (AsistenciaJetAdminConcatenada!$A:$A=BW$2)*(AsistenciaJetAdminConcatenada!$B:$B=BW$1), 0)), 1))),  0.5, 0))</f>
        <v>1</v>
      </c>
      <c r="BX3" s="47">
        <f t="array" ref="BX3">IF(AND(ISNUMBER(MATCH(BX$2, AsistenciaJetAdminConcatenada!$A:$A, 0)), ISNUMBER(MATCH(BX$1, AsistenciaJetAdminConcatenada!$B:$B, 0)), ISNUMBER(SEARCH($A3,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ISNUMBER(SEARCH($A3, INDEX(AsistenciaJetAdminConcatenada!$D:$D, MATCH(1, (AsistenciaJetAdminConcatenada!$A:$A=BX$2)*(AsistenciaJetAdminConcatenada!$B:$B=BX$1), 0)), 1))),  0.5, 0))</f>
        <v>1</v>
      </c>
      <c r="BY3" s="47">
        <f t="array" ref="BY3">IF(AND(ISNUMBER(MATCH(BY$2, AsistenciaJetAdminConcatenada!$A:$A, 0)), ISNUMBER(MATCH(BY$1, AsistenciaJetAdminConcatenada!$B:$B, 0)), ISNUMBER(SEARCH($A3,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ISNUMBER(SEARCH($A3, INDEX(AsistenciaJetAdminConcatenada!$D:$D, MATCH(1, (AsistenciaJetAdminConcatenada!$A:$A=BY$2)*(AsistenciaJetAdminConcatenada!$B:$B=BY$1), 0)), 1))),  0.5, 0))</f>
        <v>0</v>
      </c>
      <c r="BZ3" s="47">
        <f t="array" ref="BZ3">IF(AND(ISNUMBER(MATCH(BZ$2, AsistenciaJetAdminConcatenada!$A:$A, 0)), ISNUMBER(MATCH(BZ$1, AsistenciaJetAdminConcatenada!$B:$B, 0)), ISNUMBER(SEARCH($A3,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ISNUMBER(SEARCH($A3, INDEX(AsistenciaJetAdminConcatenada!$D:$D, MATCH(1, (AsistenciaJetAdminConcatenada!$A:$A=BZ$2)*(AsistenciaJetAdminConcatenada!$B:$B=BZ$1), 0)), 1))),  0.5, 0))</f>
        <v>1</v>
      </c>
      <c r="CA3" s="47">
        <f t="array" ref="CA3">IF(AND(ISNUMBER(MATCH(CA$2, AsistenciaJetAdminConcatenada!$A:$A, 0)), ISNUMBER(MATCH(CA$1, AsistenciaJetAdminConcatenada!$B:$B, 0)), ISNUMBER(SEARCH($A3,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ISNUMBER(SEARCH($A3, INDEX(AsistenciaJetAdminConcatenada!$D:$D, MATCH(1, (AsistenciaJetAdminConcatenada!$A:$A=CA$2)*(AsistenciaJetAdminConcatenada!$B:$B=CA$1), 0)), 1))),  0.5, 0))</f>
        <v>1</v>
      </c>
      <c r="CB3" s="47">
        <f t="array" ref="CB3">IF(AND(ISNUMBER(MATCH(CB$2, AsistenciaJetAdminConcatenada!$A:$A, 0)), ISNUMBER(MATCH(CB$1, AsistenciaJetAdminConcatenada!$B:$B, 0)), ISNUMBER(SEARCH($A3,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ISNUMBER(SEARCH($A3, INDEX(AsistenciaJetAdminConcatenada!$D:$D, MATCH(1, (AsistenciaJetAdminConcatenada!$A:$A=CB$2)*(AsistenciaJetAdminConcatenada!$B:$B=CB$1), 0)), 1))),  0.5, 0))</f>
        <v>0</v>
      </c>
      <c r="CC3" s="47">
        <f t="array" ref="CC3">IF(AND(ISNUMBER(MATCH(CC$2, AsistenciaJetAdminConcatenada!$A:$A, 0)), ISNUMBER(MATCH(CC$1, AsistenciaJetAdminConcatenada!$B:$B, 0)), ISNUMBER(SEARCH($A3,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ISNUMBER(SEARCH($A3, INDEX(AsistenciaJetAdminConcatenada!$D:$D, MATCH(1, (AsistenciaJetAdminConcatenada!$A:$A=CC$2)*(AsistenciaJetAdminConcatenada!$B:$B=CC$1), 0)), 1))),  0.5, 0))</f>
        <v>0</v>
      </c>
      <c r="CD3" s="47">
        <f t="array" ref="CD3">IF(AND(ISNUMBER(MATCH(CD$2, AsistenciaJetAdminConcatenada!$A:$A, 0)), ISNUMBER(MATCH(CD$1, AsistenciaJetAdminConcatenada!$B:$B, 0)), ISNUMBER(SEARCH($A3,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ISNUMBER(SEARCH($A3, INDEX(AsistenciaJetAdminConcatenada!$D:$D, MATCH(1, (AsistenciaJetAdminConcatenada!$A:$A=CD$2)*(AsistenciaJetAdminConcatenada!$B:$B=CD$1), 0)), 1))),  0.5, 0))</f>
        <v>1</v>
      </c>
      <c r="CE3" s="47">
        <f t="array" ref="CE3">IF(AND(ISNUMBER(MATCH(CE$2, AsistenciaJetAdminConcatenada!$A:$A, 0)), ISNUMBER(MATCH(CE$1, AsistenciaJetAdminConcatenada!$B:$B, 0)), ISNUMBER(SEARCH($A3,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ISNUMBER(SEARCH($A3, INDEX(AsistenciaJetAdminConcatenada!$D:$D, MATCH(1, (AsistenciaJetAdminConcatenada!$A:$A=CE$2)*(AsistenciaJetAdminConcatenada!$B:$B=CE$1), 0)), 1))),  0.5, 0))</f>
        <v>0</v>
      </c>
      <c r="CF3" s="47">
        <f t="array" ref="CF3">IF(AND(ISNUMBER(MATCH(CF$2, AsistenciaJetAdminConcatenada!$A:$A, 0)), ISNUMBER(MATCH(CF$1, AsistenciaJetAdminConcatenada!$B:$B, 0)), ISNUMBER(SEARCH($A3,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ISNUMBER(SEARCH($A3, INDEX(AsistenciaJetAdminConcatenada!$D:$D, MATCH(1, (AsistenciaJetAdminConcatenada!$A:$A=CF$2)*(AsistenciaJetAdminConcatenada!$B:$B=CF$1), 0)), 1))),  0.5, 0))</f>
        <v>1</v>
      </c>
      <c r="CG3" s="47">
        <f t="array" ref="CG3">IF(AND(ISNUMBER(MATCH(CG$2, AsistenciaJetAdminConcatenada!$A:$A, 0)), ISNUMBER(MATCH(CG$1, AsistenciaJetAdminConcatenada!$B:$B, 0)), ISNUMBER(SEARCH($A3,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ISNUMBER(SEARCH($A3, INDEX(AsistenciaJetAdminConcatenada!$D:$D, MATCH(1, (AsistenciaJetAdminConcatenada!$A:$A=CG$2)*(AsistenciaJetAdminConcatenada!$B:$B=CG$1), 0)), 1))),  0.5, 0))</f>
        <v>0</v>
      </c>
      <c r="CH3" s="47">
        <f t="array" ref="CH3">IF(AND(ISNUMBER(MATCH(CH$2, AsistenciaJetAdminConcatenada!$A:$A, 0)), ISNUMBER(MATCH(CH$1, AsistenciaJetAdminConcatenada!$B:$B, 0)), ISNUMBER(SEARCH($A3,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ISNUMBER(SEARCH($A3, INDEX(AsistenciaJetAdminConcatenada!$D:$D, MATCH(1, (AsistenciaJetAdminConcatenada!$A:$A=CH$2)*(AsistenciaJetAdminConcatenada!$B:$B=CH$1), 0)), 1))),  0.5, 0))</f>
        <v>0</v>
      </c>
      <c r="CI3" s="47">
        <f t="array" ref="CI3">IF(AND(ISNUMBER(MATCH(CI$2, AsistenciaJetAdminConcatenada!$A:$A, 0)), ISNUMBER(MATCH(CI$1, AsistenciaJetAdminConcatenada!$B:$B, 0)), ISNUMBER(SEARCH($A3,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ISNUMBER(SEARCH($A3, INDEX(AsistenciaJetAdminConcatenada!$D:$D, MATCH(1, (AsistenciaJetAdminConcatenada!$A:$A=CI$2)*(AsistenciaJetAdminConcatenada!$B:$B=CI$1), 0)), 1))),  0.5, 0))</f>
        <v>0</v>
      </c>
      <c r="CJ3" s="47">
        <f t="array" ref="CJ3">IF(AND(ISNUMBER(MATCH(CJ$2, AsistenciaJetAdminConcatenada!$A:$A, 0)), ISNUMBER(MATCH(CJ$1, AsistenciaJetAdminConcatenada!$B:$B, 0)), ISNUMBER(SEARCH($A3,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ISNUMBER(SEARCH($A3, INDEX(AsistenciaJetAdminConcatenada!$D:$D, MATCH(1, (AsistenciaJetAdminConcatenada!$A:$A=CJ$2)*(AsistenciaJetAdminConcatenada!$B:$B=CJ$1), 0)), 1))),  0.5, 0))</f>
        <v>1</v>
      </c>
      <c r="CK3" s="47">
        <f t="array" ref="CK3">IF(AND(ISNUMBER(MATCH(CK$2, AsistenciaJetAdminConcatenada!$A:$A, 0)), ISNUMBER(MATCH(CK$1, AsistenciaJetAdminConcatenada!$B:$B, 0)), ISNUMBER(SEARCH($A3,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ISNUMBER(SEARCH($A3, INDEX(AsistenciaJetAdminConcatenada!$D:$D, MATCH(1, (AsistenciaJetAdminConcatenada!$A:$A=CK$2)*(AsistenciaJetAdminConcatenada!$B:$B=CK$1), 0)), 1))),  0.5, 0))</f>
        <v>0</v>
      </c>
      <c r="CL3" s="47">
        <f t="array" ref="CL3">IF(AND(ISNUMBER(MATCH(CL$2, AsistenciaJetAdminConcatenada!$A:$A, 0)), ISNUMBER(MATCH(CL$1, AsistenciaJetAdminConcatenada!$B:$B, 0)), ISNUMBER(SEARCH($A3,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ISNUMBER(SEARCH($A3, INDEX(AsistenciaJetAdminConcatenada!$D:$D, MATCH(1, (AsistenciaJetAdminConcatenada!$A:$A=CL$2)*(AsistenciaJetAdminConcatenada!$B:$B=CL$1), 0)), 1))),  0.5, 0))</f>
        <v>1</v>
      </c>
      <c r="CM3" s="47">
        <f t="array" ref="CM3">IF(AND(ISNUMBER(MATCH(CM$2, AsistenciaJetAdminConcatenada!$A:$A, 0)), ISNUMBER(MATCH(CM$1, AsistenciaJetAdminConcatenada!$B:$B, 0)), ISNUMBER(SEARCH($A3,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ISNUMBER(SEARCH($A3, INDEX(AsistenciaJetAdminConcatenada!$D:$D, MATCH(1, (AsistenciaJetAdminConcatenada!$A:$A=CM$2)*(AsistenciaJetAdminConcatenada!$B:$B=CM$1), 0)), 1))),  0.5, 0))</f>
        <v>0</v>
      </c>
      <c r="CN3" s="47">
        <f t="array" ref="CN3">IF(AND(ISNUMBER(MATCH(CN$2, AsistenciaJetAdminConcatenada!$A:$A, 0)), ISNUMBER(MATCH(CN$1, AsistenciaJetAdminConcatenada!$B:$B, 0)), ISNUMBER(SEARCH($A3,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ISNUMBER(SEARCH($A3, INDEX(AsistenciaJetAdminConcatenada!$D:$D, MATCH(1, (AsistenciaJetAdminConcatenada!$A:$A=CN$2)*(AsistenciaJetAdminConcatenada!$B:$B=CN$1), 0)), 1))),  0.5, 0))</f>
        <v>1</v>
      </c>
      <c r="CO3" s="47">
        <f t="array" ref="CO3">IF(AND(ISNUMBER(MATCH(CO$2, AsistenciaJetAdminConcatenada!$A:$A, 0)), ISNUMBER(MATCH(CO$1, AsistenciaJetAdminConcatenada!$B:$B, 0)), ISNUMBER(SEARCH($A3,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ISNUMBER(SEARCH($A3, INDEX(AsistenciaJetAdminConcatenada!$D:$D, MATCH(1, (AsistenciaJetAdminConcatenada!$A:$A=CO$2)*(AsistenciaJetAdminConcatenada!$B:$B=CO$1), 0)), 1))),  0.5, 0))</f>
        <v>1</v>
      </c>
      <c r="CP3" s="47">
        <f t="array" ref="CP3">IF(AND(ISNUMBER(MATCH(CP$2, AsistenciaJetAdminConcatenada!$A:$A, 0)), ISNUMBER(MATCH(CP$1, AsistenciaJetAdminConcatenada!$B:$B, 0)), ISNUMBER(SEARCH($A3,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ISNUMBER(SEARCH($A3, INDEX(AsistenciaJetAdminConcatenada!$D:$D, MATCH(1, (AsistenciaJetAdminConcatenada!$A:$A=CP$2)*(AsistenciaJetAdminConcatenada!$B:$B=CP$1), 0)), 1))),  0.5, 0))</f>
        <v>1</v>
      </c>
      <c r="CQ3" s="47">
        <f t="array" ref="CQ3">IF(AND(ISNUMBER(MATCH(CQ$2, AsistenciaJetAdminConcatenada!$A:$A, 0)), ISNUMBER(MATCH(CQ$1, AsistenciaJetAdminConcatenada!$B:$B, 0)), ISNUMBER(SEARCH($A3,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ISNUMBER(SEARCH($A3, INDEX(AsistenciaJetAdminConcatenada!$D:$D, MATCH(1, (AsistenciaJetAdminConcatenada!$A:$A=CQ$2)*(AsistenciaJetAdminConcatenada!$B:$B=CQ$1), 0)), 1))),  0.5, 0))</f>
        <v>0.5</v>
      </c>
      <c r="CR3" s="47">
        <f t="array" ref="CR3">IF(AND(ISNUMBER(MATCH(CR$2, AsistenciaJetAdminConcatenada!$A:$A, 0)), ISNUMBER(MATCH(CR$1, AsistenciaJetAdminConcatenada!$B:$B, 0)), ISNUMBER(SEARCH($A3,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ISNUMBER(SEARCH($A3, INDEX(AsistenciaJetAdminConcatenada!$D:$D, MATCH(1, (AsistenciaJetAdminConcatenada!$A:$A=CR$2)*(AsistenciaJetAdminConcatenada!$B:$B=CR$1), 0)), 1))),  0.5, 0))</f>
        <v>1</v>
      </c>
      <c r="CS3" s="47">
        <f t="array" ref="CS3">IF(AND(ISNUMBER(MATCH(CS$2, AsistenciaJetAdminConcatenada!$A:$A, 0)), ISNUMBER(MATCH(CS$1, AsistenciaJetAdminConcatenada!$B:$B, 0)), ISNUMBER(SEARCH($A3,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ISNUMBER(SEARCH($A3, INDEX(AsistenciaJetAdminConcatenada!$D:$D, MATCH(1, (AsistenciaJetAdminConcatenada!$A:$A=CS$2)*(AsistenciaJetAdminConcatenada!$B:$B=CS$1), 0)), 1))),  0.5, 0))</f>
        <v>0</v>
      </c>
      <c r="CT3" s="47">
        <f t="array" ref="CT3">IF(AND(ISNUMBER(MATCH(CT$2, AsistenciaJetAdminConcatenada!$A:$A, 0)), ISNUMBER(MATCH(CT$1, AsistenciaJetAdminConcatenada!$B:$B, 0)), ISNUMBER(SEARCH($A3,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ISNUMBER(SEARCH($A3, INDEX(AsistenciaJetAdminConcatenada!$D:$D, MATCH(1, (AsistenciaJetAdminConcatenada!$A:$A=CT$2)*(AsistenciaJetAdminConcatenada!$B:$B=CT$1), 0)), 1))),  0.5, 0))</f>
        <v>0</v>
      </c>
      <c r="CU3" s="47">
        <f t="array" ref="CU3">IF(AND(ISNUMBER(MATCH(CU$2, AsistenciaJetAdminConcatenada!$A:$A, 0)), ISNUMBER(MATCH(CU$1, AsistenciaJetAdminConcatenada!$B:$B, 0)), ISNUMBER(SEARCH($A3,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ISNUMBER(SEARCH($A3, INDEX(AsistenciaJetAdminConcatenada!$D:$D, MATCH(1, (AsistenciaJetAdminConcatenada!$A:$A=CU$2)*(AsistenciaJetAdminConcatenada!$B:$B=CU$1), 0)), 1))),  0.5, 0))</f>
        <v>0</v>
      </c>
      <c r="CV3" s="47">
        <f t="array" ref="CV3">IF(AND(ISNUMBER(MATCH(CV$2, AsistenciaJetAdminConcatenada!$A:$A, 0)), ISNUMBER(MATCH(CV$1, AsistenciaJetAdminConcatenada!$B:$B, 0)), ISNUMBER(SEARCH($A3,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ISNUMBER(SEARCH($A3, INDEX(AsistenciaJetAdminConcatenada!$D:$D, MATCH(1, (AsistenciaJetAdminConcatenada!$A:$A=CV$2)*(AsistenciaJetAdminConcatenada!$B:$B=CV$1), 0)), 1))),  0.5, 0))</f>
        <v>0</v>
      </c>
      <c r="CW3" s="47">
        <f t="array" ref="CW3">IF(AND(ISNUMBER(MATCH(CW$2, AsistenciaJetAdminConcatenada!$A:$A, 0)), ISNUMBER(MATCH(CW$1, AsistenciaJetAdminConcatenada!$B:$B, 0)), ISNUMBER(SEARCH($A3,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ISNUMBER(SEARCH($A3, INDEX(AsistenciaJetAdminConcatenada!$D:$D, MATCH(1, (AsistenciaJetAdminConcatenada!$A:$A=CW$2)*(AsistenciaJetAdminConcatenada!$B:$B=CW$1), 0)), 1))),  0.5, 0))</f>
        <v>0</v>
      </c>
      <c r="CX3" s="47">
        <f t="array" ref="CX3">IF(AND(ISNUMBER(MATCH(CX$2, AsistenciaJetAdminConcatenada!$A:$A, 0)), ISNUMBER(MATCH(CX$1, AsistenciaJetAdminConcatenada!$B:$B, 0)), ISNUMBER(SEARCH($A3,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ISNUMBER(SEARCH($A3, INDEX(AsistenciaJetAdminConcatenada!$D:$D, MATCH(1, (AsistenciaJetAdminConcatenada!$A:$A=CX$2)*(AsistenciaJetAdminConcatenada!$B:$B=CX$1), 0)), 1))),  0.5, 0))</f>
        <v>0</v>
      </c>
      <c r="CY3" s="47">
        <f t="array" ref="CY3">IF(AND(ISNUMBER(MATCH(CY$2, AsistenciaJetAdminConcatenada!$A:$A, 0)), ISNUMBER(MATCH(CY$1, AsistenciaJetAdminConcatenada!$B:$B, 0)), ISNUMBER(SEARCH($A3,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ISNUMBER(SEARCH($A3, INDEX(AsistenciaJetAdminConcatenada!$D:$D, MATCH(1, (AsistenciaJetAdminConcatenada!$A:$A=CY$2)*(AsistenciaJetAdminConcatenada!$B:$B=CY$1), 0)), 1))),  0.5, 0))</f>
        <v>0</v>
      </c>
      <c r="CZ3" s="47">
        <f t="array" ref="CZ3">IF(AND(ISNUMBER(MATCH(CZ$2, AsistenciaJetAdminConcatenada!$A:$A, 0)), ISNUMBER(MATCH(CZ$1, AsistenciaJetAdminConcatenada!$B:$B, 0)), ISNUMBER(SEARCH($A3,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ISNUMBER(SEARCH($A3, INDEX(AsistenciaJetAdminConcatenada!$D:$D, MATCH(1, (AsistenciaJetAdminConcatenada!$A:$A=CZ$2)*(AsistenciaJetAdminConcatenada!$B:$B=CZ$1), 0)), 1))),  0.5, 0))</f>
        <v>0</v>
      </c>
      <c r="DA3" s="47">
        <f t="array" ref="DA3">IF(AND(ISNUMBER(MATCH(DA$2, AsistenciaJetAdminConcatenada!$A:$A, 0)), ISNUMBER(MATCH(DA$1, AsistenciaJetAdminConcatenada!$B:$B, 0)), ISNUMBER(SEARCH($A3,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ISNUMBER(SEARCH($A3, INDEX(AsistenciaJetAdminConcatenada!$D:$D, MATCH(1, (AsistenciaJetAdminConcatenada!$A:$A=DA$2)*(AsistenciaJetAdminConcatenada!$B:$B=DA$1), 0)), 1))),  0.5, 0))</f>
        <v>0</v>
      </c>
      <c r="DB3" s="47">
        <f t="array" ref="DB3">IF(AND(ISNUMBER(MATCH(DB$2, AsistenciaJetAdminConcatenada!$A:$A, 0)), ISNUMBER(MATCH(DB$1, AsistenciaJetAdminConcatenada!$B:$B, 0)), ISNUMBER(SEARCH($A3,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ISNUMBER(SEARCH($A3, INDEX(AsistenciaJetAdminConcatenada!$D:$D, MATCH(1, (AsistenciaJetAdminConcatenada!$A:$A=DB$2)*(AsistenciaJetAdminConcatenada!$B:$B=DB$1), 0)), 1))),  0.5, 0))</f>
        <v>0</v>
      </c>
      <c r="DC3" s="47">
        <f t="array" ref="DC3">IF(AND(ISNUMBER(MATCH(DC$2, AsistenciaJetAdminConcatenada!$A:$A, 0)), ISNUMBER(MATCH(DC$1, AsistenciaJetAdminConcatenada!$B:$B, 0)), ISNUMBER(SEARCH($A3,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ISNUMBER(SEARCH($A3, INDEX(AsistenciaJetAdminConcatenada!$D:$D, MATCH(1, (AsistenciaJetAdminConcatenada!$A:$A=DC$2)*(AsistenciaJetAdminConcatenada!$B:$B=DC$1), 0)), 1))),  0.5, 0))</f>
        <v>0</v>
      </c>
      <c r="DD3" s="47">
        <f t="array" ref="DD3">IF(AND(ISNUMBER(MATCH(DD$2, AsistenciaJetAdminConcatenada!$A:$A, 0)), ISNUMBER(MATCH(DD$1, AsistenciaJetAdminConcatenada!$B:$B, 0)), ISNUMBER(SEARCH($A3,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ISNUMBER(SEARCH($A3, INDEX(AsistenciaJetAdminConcatenada!$D:$D, MATCH(1, (AsistenciaJetAdminConcatenada!$A:$A=DD$2)*(AsistenciaJetAdminConcatenada!$B:$B=DD$1), 0)), 1))),  0.5, 0))</f>
        <v>0</v>
      </c>
      <c r="DE3" s="47">
        <f t="array" ref="DE3">IF(AND(ISNUMBER(MATCH(DE$2, AsistenciaJetAdminConcatenada!$A:$A, 0)), ISNUMBER(MATCH(DE$1, AsistenciaJetAdminConcatenada!$B:$B, 0)), ISNUMBER(SEARCH($A3,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ISNUMBER(SEARCH($A3, INDEX(AsistenciaJetAdminConcatenada!$D:$D, MATCH(1, (AsistenciaJetAdminConcatenada!$A:$A=DE$2)*(AsistenciaJetAdminConcatenada!$B:$B=DE$1), 0)), 1))),  0.5, 0))</f>
        <v>0</v>
      </c>
      <c r="DF3" s="47">
        <f t="array" ref="DF3">IF(AND(ISNUMBER(MATCH(DF$2, AsistenciaJetAdminConcatenada!$A:$A, 0)), ISNUMBER(MATCH(DF$1, AsistenciaJetAdminConcatenada!$B:$B, 0)), ISNUMBER(SEARCH($A3,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ISNUMBER(SEARCH($A3, INDEX(AsistenciaJetAdminConcatenada!$D:$D, MATCH(1, (AsistenciaJetAdminConcatenada!$A:$A=DF$2)*(AsistenciaJetAdminConcatenada!$B:$B=DF$1), 0)), 1))),  0.5, 0))</f>
        <v>0</v>
      </c>
      <c r="DG3" s="47">
        <f t="array" ref="DG3">IF(AND(ISNUMBER(MATCH(DG$2, AsistenciaJetAdminConcatenada!$A:$A, 0)), ISNUMBER(MATCH(DG$1, AsistenciaJetAdminConcatenada!$B:$B, 0)), ISNUMBER(SEARCH($A3,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ISNUMBER(SEARCH($A3, INDEX(AsistenciaJetAdminConcatenada!$D:$D, MATCH(1, (AsistenciaJetAdminConcatenada!$A:$A=DG$2)*(AsistenciaJetAdminConcatenada!$B:$B=DG$1), 0)), 1))),  0.5, 0))</f>
        <v>0</v>
      </c>
      <c r="DH3" s="47">
        <f t="array" ref="DH3">IF(AND(ISNUMBER(MATCH(DH$2, AsistenciaJetAdminConcatenada!$A:$A, 0)), ISNUMBER(MATCH(DH$1, AsistenciaJetAdminConcatenada!$B:$B, 0)), ISNUMBER(SEARCH($A3,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ISNUMBER(SEARCH($A3, INDEX(AsistenciaJetAdminConcatenada!$D:$D, MATCH(1, (AsistenciaJetAdminConcatenada!$A:$A=DH$2)*(AsistenciaJetAdminConcatenada!$B:$B=DH$1), 0)), 1))),  0.5, 0))</f>
        <v>0</v>
      </c>
      <c r="DI3" s="47">
        <f t="array" ref="DI3">IF(AND(ISNUMBER(MATCH(DI$2, AsistenciaJetAdminConcatenada!$A:$A, 0)), ISNUMBER(MATCH(DI$1, AsistenciaJetAdminConcatenada!$B:$B, 0)), ISNUMBER(SEARCH($A3,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ISNUMBER(SEARCH($A3, INDEX(AsistenciaJetAdminConcatenada!$D:$D, MATCH(1, (AsistenciaJetAdminConcatenada!$A:$A=DI$2)*(AsistenciaJetAdminConcatenada!$B:$B=DI$1), 0)), 1))),  0.5, 0))</f>
        <v>0</v>
      </c>
      <c r="DJ3" s="47">
        <f t="array" ref="DJ3">IF(AND(ISNUMBER(MATCH(DJ$2, AsistenciaJetAdminConcatenada!$A:$A, 0)), ISNUMBER(MATCH(DJ$1, AsistenciaJetAdminConcatenada!$B:$B, 0)), ISNUMBER(SEARCH($A3,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ISNUMBER(SEARCH($A3, INDEX(AsistenciaJetAdminConcatenada!$D:$D, MATCH(1, (AsistenciaJetAdminConcatenada!$A:$A=DJ$2)*(AsistenciaJetAdminConcatenada!$B:$B=DJ$1), 0)), 1))),  0.5, 0))</f>
        <v>0</v>
      </c>
      <c r="DK3" s="47">
        <f t="array" ref="DK3">IF(AND(ISNUMBER(MATCH(DK$2, AsistenciaJetAdminConcatenada!$A:$A, 0)), ISNUMBER(MATCH(DK$1, AsistenciaJetAdminConcatenada!$B:$B, 0)), ISNUMBER(SEARCH($A3,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ISNUMBER(SEARCH($A3, INDEX(AsistenciaJetAdminConcatenada!$D:$D, MATCH(1, (AsistenciaJetAdminConcatenada!$A:$A=DK$2)*(AsistenciaJetAdminConcatenada!$B:$B=DK$1), 0)), 1))),  0.5, 0))</f>
        <v>0</v>
      </c>
      <c r="DL3" s="47">
        <f t="array" ref="DL3">IF(AND(ISNUMBER(MATCH(DL$2, AsistenciaJetAdminConcatenada!$A:$A, 0)), ISNUMBER(MATCH(DL$1, AsistenciaJetAdminConcatenada!$B:$B, 0)), ISNUMBER(SEARCH($A3,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ISNUMBER(SEARCH($A3, INDEX(AsistenciaJetAdminConcatenada!$D:$D, MATCH(1, (AsistenciaJetAdminConcatenada!$A:$A=DL$2)*(AsistenciaJetAdminConcatenada!$B:$B=DL$1), 0)), 1))),  0.5, 0))</f>
        <v>0</v>
      </c>
      <c r="DM3" s="47">
        <f t="array" ref="DM3">IF(AND(ISNUMBER(MATCH(DM$2, AsistenciaJetAdminConcatenada!$A:$A, 0)), ISNUMBER(MATCH(DM$1, AsistenciaJetAdminConcatenada!$B:$B, 0)), ISNUMBER(SEARCH($A3,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ISNUMBER(SEARCH($A3, INDEX(AsistenciaJetAdminConcatenada!$D:$D, MATCH(1, (AsistenciaJetAdminConcatenada!$A:$A=DM$2)*(AsistenciaJetAdminConcatenada!$B:$B=DM$1), 0)), 1))),  0.5, 0))</f>
        <v>0</v>
      </c>
      <c r="DN3" s="47">
        <f t="array" ref="DN3">IF(AND(ISNUMBER(MATCH(DN$2, AsistenciaJetAdminConcatenada!$A:$A, 0)), ISNUMBER(MATCH(DN$1, AsistenciaJetAdminConcatenada!$B:$B, 0)), ISNUMBER(SEARCH($A3,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ISNUMBER(SEARCH($A3, INDEX(AsistenciaJetAdminConcatenada!$D:$D, MATCH(1, (AsistenciaJetAdminConcatenada!$A:$A=DN$2)*(AsistenciaJetAdminConcatenada!$B:$B=DN$1), 0)), 1))),  0.5, 0))</f>
        <v>0</v>
      </c>
      <c r="DO3" s="47">
        <f t="array" ref="DO3">IF(AND(ISNUMBER(MATCH(DO$2, AsistenciaJetAdminConcatenada!$A:$A, 0)), ISNUMBER(MATCH(DO$1, AsistenciaJetAdminConcatenada!$B:$B, 0)), ISNUMBER(SEARCH($A3,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ISNUMBER(SEARCH($A3, INDEX(AsistenciaJetAdminConcatenada!$D:$D, MATCH(1, (AsistenciaJetAdminConcatenada!$A:$A=DO$2)*(AsistenciaJetAdminConcatenada!$B:$B=DO$1), 0)), 1))),  0.5, 0))</f>
        <v>0</v>
      </c>
      <c r="DP3" s="47">
        <f t="array" ref="DP3">IF(AND(ISNUMBER(MATCH(DP$2, AsistenciaJetAdminConcatenada!$A:$A, 0)), ISNUMBER(MATCH(DP$1, AsistenciaJetAdminConcatenada!$B:$B, 0)), ISNUMBER(SEARCH($A3,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ISNUMBER(SEARCH($A3, INDEX(AsistenciaJetAdminConcatenada!$D:$D, MATCH(1, (AsistenciaJetAdminConcatenada!$A:$A=DP$2)*(AsistenciaJetAdminConcatenada!$B:$B=DP$1), 0)), 1))),  0.5, 0))</f>
        <v>0</v>
      </c>
      <c r="DQ3" s="47">
        <f t="array" ref="DQ3">IF(AND(ISNUMBER(MATCH(DQ$2, AsistenciaJetAdminConcatenada!$A:$A, 0)), ISNUMBER(MATCH(DQ$1, AsistenciaJetAdminConcatenada!$B:$B, 0)), ISNUMBER(SEARCH($A3,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ISNUMBER(SEARCH($A3, INDEX(AsistenciaJetAdminConcatenada!$D:$D, MATCH(1, (AsistenciaJetAdminConcatenada!$A:$A=DQ$2)*(AsistenciaJetAdminConcatenada!$B:$B=DQ$1), 0)), 1))),  0.5, 0))</f>
        <v>0</v>
      </c>
      <c r="DR3" s="47">
        <f t="array" ref="DR3">IF(AND(ISNUMBER(MATCH(DR$2, AsistenciaJetAdminConcatenada!$A:$A, 0)), ISNUMBER(MATCH(DR$1, AsistenciaJetAdminConcatenada!$B:$B, 0)), ISNUMBER(SEARCH($A3,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ISNUMBER(SEARCH($A3, INDEX(AsistenciaJetAdminConcatenada!$D:$D, MATCH(1, (AsistenciaJetAdminConcatenada!$A:$A=DR$2)*(AsistenciaJetAdminConcatenada!$B:$B=DR$1), 0)), 1))),  0.5, 0))</f>
        <v>0</v>
      </c>
      <c r="DS3" s="47">
        <f t="array" ref="DS3">IF(AND(ISNUMBER(MATCH(DS$2, AsistenciaJetAdminConcatenada!$A:$A, 0)), ISNUMBER(MATCH(DS$1, AsistenciaJetAdminConcatenada!$B:$B, 0)), ISNUMBER(SEARCH($A3,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ISNUMBER(SEARCH($A3, INDEX(AsistenciaJetAdminConcatenada!$D:$D, MATCH(1, (AsistenciaJetAdminConcatenada!$A:$A=DS$2)*(AsistenciaJetAdminConcatenada!$B:$B=DS$1), 0)), 1))),  0.5, 0))</f>
        <v>0</v>
      </c>
      <c r="DT3" s="47">
        <f t="array" ref="DT3">IF(AND(ISNUMBER(MATCH(DT$2, AsistenciaJetAdminConcatenada!$A:$A, 0)), ISNUMBER(MATCH(DT$1, AsistenciaJetAdminConcatenada!$B:$B, 0)), ISNUMBER(SEARCH($A3,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ISNUMBER(SEARCH($A3, INDEX(AsistenciaJetAdminConcatenada!$D:$D, MATCH(1, (AsistenciaJetAdminConcatenada!$A:$A=DT$2)*(AsistenciaJetAdminConcatenada!$B:$B=DT$1), 0)), 1))),  0.5, 0))</f>
        <v>0</v>
      </c>
      <c r="DU3" s="47">
        <f t="array" ref="DU3">IF(AND(ISNUMBER(MATCH(DU$2, AsistenciaJetAdminConcatenada!$A:$A, 0)), ISNUMBER(MATCH(DU$1, AsistenciaJetAdminConcatenada!$B:$B, 0)), ISNUMBER(SEARCH($A3,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ISNUMBER(SEARCH($A3, INDEX(AsistenciaJetAdminConcatenada!$D:$D, MATCH(1, (AsistenciaJetAdminConcatenada!$A:$A=DU$2)*(AsistenciaJetAdminConcatenada!$B:$B=DU$1), 0)), 1))),  0.5, 0))</f>
        <v>0</v>
      </c>
      <c r="DV3" s="47">
        <f t="array" ref="DV3">IF(AND(ISNUMBER(MATCH(DV$2, AsistenciaJetAdminConcatenada!$A:$A, 0)), ISNUMBER(MATCH(DV$1, AsistenciaJetAdminConcatenada!$B:$B, 0)), ISNUMBER(SEARCH($A3,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ISNUMBER(SEARCH($A3, INDEX(AsistenciaJetAdminConcatenada!$D:$D, MATCH(1, (AsistenciaJetAdminConcatenada!$A:$A=DV$2)*(AsistenciaJetAdminConcatenada!$B:$B=DV$1), 0)), 1))),  0.5, 0))</f>
        <v>0</v>
      </c>
      <c r="DW3" s="47">
        <f t="array" ref="DW3">IF(AND(ISNUMBER(MATCH(DW$2, AsistenciaJetAdminConcatenada!$A:$A, 0)), ISNUMBER(MATCH(DW$1, AsistenciaJetAdminConcatenada!$B:$B, 0)), ISNUMBER(SEARCH($A3,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ISNUMBER(SEARCH($A3, INDEX(AsistenciaJetAdminConcatenada!$D:$D, MATCH(1, (AsistenciaJetAdminConcatenada!$A:$A=DW$2)*(AsistenciaJetAdminConcatenada!$B:$B=DW$1), 0)), 1))),  0.5, 0))</f>
        <v>0</v>
      </c>
      <c r="DX3" s="47">
        <f t="array" ref="DX3">IF(AND(ISNUMBER(MATCH(DX$2, AsistenciaJetAdminConcatenada!$A:$A, 0)), ISNUMBER(MATCH(DX$1, AsistenciaJetAdminConcatenada!$B:$B, 0)), ISNUMBER(SEARCH($A3,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ISNUMBER(SEARCH($A3, INDEX(AsistenciaJetAdminConcatenada!$D:$D, MATCH(1, (AsistenciaJetAdminConcatenada!$A:$A=DX$2)*(AsistenciaJetAdminConcatenada!$B:$B=DX$1), 0)), 1))),  0.5, 0))</f>
        <v>0</v>
      </c>
      <c r="DY3" s="47">
        <f t="array" ref="DY3">IF(AND(ISNUMBER(MATCH(DY$2, AsistenciaJetAdminConcatenada!$A:$A, 0)), ISNUMBER(MATCH(DY$1, AsistenciaJetAdminConcatenada!$B:$B, 0)), ISNUMBER(SEARCH($A3,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ISNUMBER(SEARCH($A3, INDEX(AsistenciaJetAdminConcatenada!$D:$D, MATCH(1, (AsistenciaJetAdminConcatenada!$A:$A=DY$2)*(AsistenciaJetAdminConcatenada!$B:$B=DY$1), 0)), 1))),  0.5, 0))</f>
        <v>0</v>
      </c>
      <c r="DZ3" s="47">
        <f t="array" ref="DZ3">IF(AND(ISNUMBER(MATCH(DZ$2, AsistenciaJetAdminConcatenada!$A:$A, 0)), ISNUMBER(MATCH(DZ$1, AsistenciaJetAdminConcatenada!$B:$B, 0)), ISNUMBER(SEARCH($A3,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ISNUMBER(SEARCH($A3, INDEX(AsistenciaJetAdminConcatenada!$D:$D, MATCH(1, (AsistenciaJetAdminConcatenada!$A:$A=DZ$2)*(AsistenciaJetAdminConcatenada!$B:$B=DZ$1), 0)), 1))),  0.5, 0))</f>
        <v>0</v>
      </c>
      <c r="EA3" s="47">
        <f t="array" ref="EA3">IF(AND(ISNUMBER(MATCH(EA$2, AsistenciaJetAdminConcatenada!$A:$A, 0)), ISNUMBER(MATCH(EA$1, AsistenciaJetAdminConcatenada!$B:$B, 0)), ISNUMBER(SEARCH($A3,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ISNUMBER(SEARCH($A3, INDEX(AsistenciaJetAdminConcatenada!$D:$D, MATCH(1, (AsistenciaJetAdminConcatenada!$A:$A=EA$2)*(AsistenciaJetAdminConcatenada!$B:$B=EA$1), 0)), 1))),  0.5, 0))</f>
        <v>0</v>
      </c>
      <c r="EB3" s="47">
        <f t="array" ref="EB3">IF(AND(ISNUMBER(MATCH(EB$2, AsistenciaJetAdminConcatenada!$A:$A, 0)), ISNUMBER(MATCH(EB$1, AsistenciaJetAdminConcatenada!$B:$B, 0)), ISNUMBER(SEARCH($A3,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ISNUMBER(SEARCH($A3, INDEX(AsistenciaJetAdminConcatenada!$D:$D, MATCH(1, (AsistenciaJetAdminConcatenada!$A:$A=EB$2)*(AsistenciaJetAdminConcatenada!$B:$B=EB$1), 0)), 1))),  0.5, 0))</f>
        <v>0</v>
      </c>
      <c r="EC3" s="47">
        <f t="array" ref="EC3">IF(AND(ISNUMBER(MATCH(EC$2, AsistenciaJetAdminConcatenada!$A:$A, 0)), ISNUMBER(MATCH(EC$1, AsistenciaJetAdminConcatenada!$B:$B, 0)), ISNUMBER(SEARCH($A3,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ISNUMBER(SEARCH($A3, INDEX(AsistenciaJetAdminConcatenada!$D:$D, MATCH(1, (AsistenciaJetAdminConcatenada!$A:$A=EC$2)*(AsistenciaJetAdminConcatenada!$B:$B=EC$1), 0)), 1))),  0.5, 0))</f>
        <v>0</v>
      </c>
      <c r="ED3" s="47">
        <f t="array" ref="ED3">IF(AND(ISNUMBER(MATCH(ED$2, AsistenciaJetAdminConcatenada!$A:$A, 0)), ISNUMBER(MATCH(ED$1, AsistenciaJetAdminConcatenada!$B:$B, 0)), ISNUMBER(SEARCH($A3,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ISNUMBER(SEARCH($A3, INDEX(AsistenciaJetAdminConcatenada!$D:$D, MATCH(1, (AsistenciaJetAdminConcatenada!$A:$A=ED$2)*(AsistenciaJetAdminConcatenada!$B:$B=ED$1), 0)), 1))),  0.5, 0))</f>
        <v>0</v>
      </c>
      <c r="EE3" s="47">
        <f t="array" ref="EE3">IF(AND(ISNUMBER(MATCH(EE$2, AsistenciaJetAdminConcatenada!$A:$A, 0)), ISNUMBER(MATCH(EE$1, AsistenciaJetAdminConcatenada!$B:$B, 0)), ISNUMBER(SEARCH($A3,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ISNUMBER(SEARCH($A3, INDEX(AsistenciaJetAdminConcatenada!$D:$D, MATCH(1, (AsistenciaJetAdminConcatenada!$A:$A=EE$2)*(AsistenciaJetAdminConcatenada!$B:$B=EE$1), 0)), 1))),  0.5, 0))</f>
        <v>0</v>
      </c>
      <c r="EF3" s="47">
        <f t="array" ref="EF3">IF(AND(ISNUMBER(MATCH(EF$2, AsistenciaJetAdminConcatenada!$A:$A, 0)), ISNUMBER(MATCH(EF$1, AsistenciaJetAdminConcatenada!$B:$B, 0)), ISNUMBER(SEARCH($A3,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ISNUMBER(SEARCH($A3, INDEX(AsistenciaJetAdminConcatenada!$D:$D, MATCH(1, (AsistenciaJetAdminConcatenada!$A:$A=EF$2)*(AsistenciaJetAdminConcatenada!$B:$B=EF$1), 0)), 1))),  0.5, 0))</f>
        <v>0</v>
      </c>
      <c r="EG3" s="47">
        <f t="array" ref="EG3">IF(AND(ISNUMBER(MATCH(EG$2, AsistenciaJetAdminConcatenada!$A:$A, 0)), ISNUMBER(MATCH(EG$1, AsistenciaJetAdminConcatenada!$B:$B, 0)), ISNUMBER(SEARCH($A3,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ISNUMBER(SEARCH($A3, INDEX(AsistenciaJetAdminConcatenada!$D:$D, MATCH(1, (AsistenciaJetAdminConcatenada!$A:$A=EG$2)*(AsistenciaJetAdminConcatenada!$B:$B=EG$1), 0)), 1))),  0.5, 0))</f>
        <v>0</v>
      </c>
      <c r="EH3" s="47">
        <f t="array" ref="EH3">IF(AND(ISNUMBER(MATCH(EH$2, AsistenciaJetAdminConcatenada!$A:$A, 0)), ISNUMBER(MATCH(EH$1, AsistenciaJetAdminConcatenada!$B:$B, 0)), ISNUMBER(SEARCH($A3,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ISNUMBER(SEARCH($A3, INDEX(AsistenciaJetAdminConcatenada!$D:$D, MATCH(1, (AsistenciaJetAdminConcatenada!$A:$A=EH$2)*(AsistenciaJetAdminConcatenada!$B:$B=EH$1), 0)), 1))),  0.5, 0))</f>
        <v>0</v>
      </c>
      <c r="EI3" s="47">
        <f t="array" ref="EI3">IF(AND(ISNUMBER(MATCH(EI$2, AsistenciaJetAdminConcatenada!$A:$A, 0)), ISNUMBER(MATCH(EI$1, AsistenciaJetAdminConcatenada!$B:$B, 0)), ISNUMBER(SEARCH($A3,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ISNUMBER(SEARCH($A3, INDEX(AsistenciaJetAdminConcatenada!$D:$D, MATCH(1, (AsistenciaJetAdminConcatenada!$A:$A=EI$2)*(AsistenciaJetAdminConcatenada!$B:$B=EI$1), 0)), 1))),  0.5, 0))</f>
        <v>0</v>
      </c>
      <c r="EJ3" s="47">
        <f t="array" ref="EJ3">IF(AND(ISNUMBER(MATCH(EJ$2, AsistenciaJetAdminConcatenada!$A:$A, 0)), ISNUMBER(MATCH(EJ$1, AsistenciaJetAdminConcatenada!$B:$B, 0)), ISNUMBER(SEARCH($A3,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ISNUMBER(SEARCH($A3, INDEX(AsistenciaJetAdminConcatenada!$D:$D, MATCH(1, (AsistenciaJetAdminConcatenada!$A:$A=EJ$2)*(AsistenciaJetAdminConcatenada!$B:$B=EJ$1), 0)), 1))),  0.5, 0))</f>
        <v>0</v>
      </c>
      <c r="EK3" s="47">
        <f t="array" ref="EK3">IF(AND(ISNUMBER(MATCH(EK$2, AsistenciaJetAdminConcatenada!$A:$A, 0)), ISNUMBER(MATCH(EK$1, AsistenciaJetAdminConcatenada!$B:$B, 0)), ISNUMBER(SEARCH($A3,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ISNUMBER(SEARCH($A3, INDEX(AsistenciaJetAdminConcatenada!$D:$D, MATCH(1, (AsistenciaJetAdminConcatenada!$A:$A=EK$2)*(AsistenciaJetAdminConcatenada!$B:$B=EK$1), 0)), 1))),  0.5, 0))</f>
        <v>0</v>
      </c>
      <c r="EL3" s="47">
        <f t="array" ref="EL3">IF(AND(ISNUMBER(MATCH(EL$2, AsistenciaJetAdminConcatenada!$A:$A, 0)), ISNUMBER(MATCH(EL$1, AsistenciaJetAdminConcatenada!$B:$B, 0)), ISNUMBER(SEARCH($A3,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ISNUMBER(SEARCH($A3, INDEX(AsistenciaJetAdminConcatenada!$D:$D, MATCH(1, (AsistenciaJetAdminConcatenada!$A:$A=EL$2)*(AsistenciaJetAdminConcatenada!$B:$B=EL$1), 0)), 1))),  0.5, 0))</f>
        <v>0</v>
      </c>
      <c r="EM3" s="47">
        <f t="array" ref="EM3">IF(AND(ISNUMBER(MATCH(EM$2, AsistenciaJetAdminConcatenada!$A:$A, 0)), ISNUMBER(MATCH(EM$1, AsistenciaJetAdminConcatenada!$B:$B, 0)), ISNUMBER(SEARCH($A3,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ISNUMBER(SEARCH($A3, INDEX(AsistenciaJetAdminConcatenada!$D:$D, MATCH(1, (AsistenciaJetAdminConcatenada!$A:$A=EM$2)*(AsistenciaJetAdminConcatenada!$B:$B=EM$1), 0)), 1))),  0.5, 0))</f>
        <v>0</v>
      </c>
      <c r="EN3" s="47">
        <f t="array" ref="EN3">IF(AND(ISNUMBER(MATCH(EN$2, AsistenciaJetAdminConcatenada!$A:$A, 0)), ISNUMBER(MATCH(EN$1, AsistenciaJetAdminConcatenada!$B:$B, 0)), ISNUMBER(SEARCH($A3,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ISNUMBER(SEARCH($A3, INDEX(AsistenciaJetAdminConcatenada!$D:$D, MATCH(1, (AsistenciaJetAdminConcatenada!$A:$A=EN$2)*(AsistenciaJetAdminConcatenada!$B:$B=EN$1), 0)), 1))),  0.5, 0))</f>
        <v>0</v>
      </c>
      <c r="EO3" s="47">
        <f t="array" ref="EO3">IF(AND(ISNUMBER(MATCH(EO$2, AsistenciaJetAdminConcatenada!$A:$A, 0)), ISNUMBER(MATCH(EO$1, AsistenciaJetAdminConcatenada!$B:$B, 0)), ISNUMBER(SEARCH($A3,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ISNUMBER(SEARCH($A3, INDEX(AsistenciaJetAdminConcatenada!$D:$D, MATCH(1, (AsistenciaJetAdminConcatenada!$A:$A=EO$2)*(AsistenciaJetAdminConcatenada!$B:$B=EO$1), 0)), 1))),  0.5, 0))</f>
        <v>0</v>
      </c>
      <c r="EP3" s="47">
        <f t="array" ref="EP3">IF(AND(ISNUMBER(MATCH(EP$2, AsistenciaJetAdminConcatenada!$A:$A, 0)), ISNUMBER(MATCH(EP$1, AsistenciaJetAdminConcatenada!$B:$B, 0)), ISNUMBER(SEARCH($A3,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ISNUMBER(SEARCH($A3, INDEX(AsistenciaJetAdminConcatenada!$D:$D, MATCH(1, (AsistenciaJetAdminConcatenada!$A:$A=EP$2)*(AsistenciaJetAdminConcatenada!$B:$B=EP$1), 0)), 1))),  0.5, 0))</f>
        <v>0</v>
      </c>
      <c r="EQ3" s="47">
        <f t="array" ref="EQ3">IF(AND(ISNUMBER(MATCH(EQ$2, AsistenciaJetAdminConcatenada!$A:$A, 0)), ISNUMBER(MATCH(EQ$1, AsistenciaJetAdminConcatenada!$B:$B, 0)), ISNUMBER(SEARCH($A3,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ISNUMBER(SEARCH($A3, INDEX(AsistenciaJetAdminConcatenada!$D:$D, MATCH(1, (AsistenciaJetAdminConcatenada!$A:$A=EQ$2)*(AsistenciaJetAdminConcatenada!$B:$B=EQ$1), 0)), 1))),  0.5, 0))</f>
        <v>0</v>
      </c>
      <c r="ER3" s="47">
        <f t="array" ref="ER3">IF(AND(ISNUMBER(MATCH(ER$2, AsistenciaJetAdminConcatenada!$A:$A, 0)), ISNUMBER(MATCH(ER$1, AsistenciaJetAdminConcatenada!$B:$B, 0)), ISNUMBER(SEARCH($A3,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ISNUMBER(SEARCH($A3, INDEX(AsistenciaJetAdminConcatenada!$D:$D, MATCH(1, (AsistenciaJetAdminConcatenada!$A:$A=ER$2)*(AsistenciaJetAdminConcatenada!$B:$B=ER$1), 0)), 1))),  0.5, 0))</f>
        <v>0</v>
      </c>
      <c r="ES3" s="47">
        <f t="array" ref="ES3">IF(AND(ISNUMBER(MATCH(ES$2, AsistenciaJetAdminConcatenada!$A:$A, 0)), ISNUMBER(MATCH(ES$1, AsistenciaJetAdminConcatenada!$B:$B, 0)), ISNUMBER(SEARCH($A3,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ISNUMBER(SEARCH($A3, INDEX(AsistenciaJetAdminConcatenada!$D:$D, MATCH(1, (AsistenciaJetAdminConcatenada!$A:$A=ES$2)*(AsistenciaJetAdminConcatenada!$B:$B=ES$1), 0)), 1))),  0.5, 0))</f>
        <v>0</v>
      </c>
      <c r="ET3" s="47">
        <f t="array" ref="ET3">IF(AND(ISNUMBER(MATCH(ET$2, AsistenciaJetAdminConcatenada!$A:$A, 0)), ISNUMBER(MATCH(ET$1, AsistenciaJetAdminConcatenada!$B:$B, 0)), ISNUMBER(SEARCH($A3,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ISNUMBER(SEARCH($A3, INDEX(AsistenciaJetAdminConcatenada!$D:$D, MATCH(1, (AsistenciaJetAdminConcatenada!$A:$A=ET$2)*(AsistenciaJetAdminConcatenada!$B:$B=ET$1), 0)), 1))),  0.5, 0))</f>
        <v>0</v>
      </c>
      <c r="EU3" s="47">
        <f t="array" ref="EU3">IF(AND(ISNUMBER(MATCH(EU$2, AsistenciaJetAdminConcatenada!$A:$A, 0)), ISNUMBER(MATCH(EU$1, AsistenciaJetAdminConcatenada!$B:$B, 0)), ISNUMBER(SEARCH($A3,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ISNUMBER(SEARCH($A3, INDEX(AsistenciaJetAdminConcatenada!$D:$D, MATCH(1, (AsistenciaJetAdminConcatenada!$A:$A=EU$2)*(AsistenciaJetAdminConcatenada!$B:$B=EU$1), 0)), 1))),  0.5, 0))</f>
        <v>0</v>
      </c>
      <c r="EV3" s="47">
        <f t="array" ref="EV3">IF(AND(ISNUMBER(MATCH(EV$2, AsistenciaJetAdminConcatenada!$A:$A, 0)), ISNUMBER(MATCH(EV$1, AsistenciaJetAdminConcatenada!$B:$B, 0)), ISNUMBER(SEARCH($A3,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ISNUMBER(SEARCH($A3, INDEX(AsistenciaJetAdminConcatenada!$D:$D, MATCH(1, (AsistenciaJetAdminConcatenada!$A:$A=EV$2)*(AsistenciaJetAdminConcatenada!$B:$B=EV$1), 0)), 1))),  0.5, 0))</f>
        <v>0</v>
      </c>
      <c r="EW3" s="47">
        <f t="array" ref="EW3">IF(AND(ISNUMBER(MATCH(EW$2, AsistenciaJetAdminConcatenada!$A:$A, 0)), ISNUMBER(MATCH(EW$1, AsistenciaJetAdminConcatenada!$B:$B, 0)), ISNUMBER(SEARCH($A3,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ISNUMBER(SEARCH($A3, INDEX(AsistenciaJetAdminConcatenada!$D:$D, MATCH(1, (AsistenciaJetAdminConcatenada!$A:$A=EW$2)*(AsistenciaJetAdminConcatenada!$B:$B=EW$1), 0)), 1))),  0.5, 0))</f>
        <v>0</v>
      </c>
      <c r="EX3" s="47">
        <f t="array" ref="EX3">IF(AND(ISNUMBER(MATCH(EX$2, AsistenciaJetAdminConcatenada!$A:$A, 0)), ISNUMBER(MATCH(EX$1, AsistenciaJetAdminConcatenada!$B:$B, 0)), ISNUMBER(SEARCH($A3,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ISNUMBER(SEARCH($A3, INDEX(AsistenciaJetAdminConcatenada!$D:$D, MATCH(1, (AsistenciaJetAdminConcatenada!$A:$A=EX$2)*(AsistenciaJetAdminConcatenada!$B:$B=EX$1), 0)), 1))),  0.5, 0))</f>
        <v>0</v>
      </c>
      <c r="EY3" s="47">
        <f t="array" ref="EY3">IF(AND(ISNUMBER(MATCH(EY$2, AsistenciaJetAdminConcatenada!$A:$A, 0)), ISNUMBER(MATCH(EY$1, AsistenciaJetAdminConcatenada!$B:$B, 0)), ISNUMBER(SEARCH($A3,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ISNUMBER(SEARCH($A3, INDEX(AsistenciaJetAdminConcatenada!$D:$D, MATCH(1, (AsistenciaJetAdminConcatenada!$A:$A=EY$2)*(AsistenciaJetAdminConcatenada!$B:$B=EY$1), 0)), 1))),  0.5, 0))</f>
        <v>0</v>
      </c>
      <c r="EZ3" s="47">
        <f t="array" ref="EZ3">IF(AND(ISNUMBER(MATCH(EZ$2, AsistenciaJetAdminConcatenada!$A:$A, 0)), ISNUMBER(MATCH(EZ$1, AsistenciaJetAdminConcatenada!$B:$B, 0)), ISNUMBER(SEARCH($A3,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ISNUMBER(SEARCH($A3, INDEX(AsistenciaJetAdminConcatenada!$D:$D, MATCH(1, (AsistenciaJetAdminConcatenada!$A:$A=EZ$2)*(AsistenciaJetAdminConcatenada!$B:$B=EZ$1), 0)), 1))),  0.5, 0))</f>
        <v>0</v>
      </c>
      <c r="FA3" s="47">
        <f t="array" ref="FA3">IF(AND(ISNUMBER(MATCH(FA$2, AsistenciaJetAdminConcatenada!$A:$A, 0)), ISNUMBER(MATCH(FA$1, AsistenciaJetAdminConcatenada!$B:$B, 0)), ISNUMBER(SEARCH($A3,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ISNUMBER(SEARCH($A3, INDEX(AsistenciaJetAdminConcatenada!$D:$D, MATCH(1, (AsistenciaJetAdminConcatenada!$A:$A=FA$2)*(AsistenciaJetAdminConcatenada!$B:$B=FA$1), 0)), 1))),  0.5, 0))</f>
        <v>0</v>
      </c>
      <c r="FB3" s="47">
        <f t="array" ref="FB3">IF(AND(ISNUMBER(MATCH(FB$2, AsistenciaJetAdminConcatenada!$A:$A, 0)), ISNUMBER(MATCH(FB$1, AsistenciaJetAdminConcatenada!$B:$B, 0)), ISNUMBER(SEARCH($A3,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ISNUMBER(SEARCH($A3, INDEX(AsistenciaJetAdminConcatenada!$D:$D, MATCH(1, (AsistenciaJetAdminConcatenada!$A:$A=FB$2)*(AsistenciaJetAdminConcatenada!$B:$B=FB$1), 0)), 1))),  0.5, 0))</f>
        <v>0</v>
      </c>
      <c r="FC3" s="47">
        <f t="array" ref="FC3">IF(AND(ISNUMBER(MATCH(FC$2, AsistenciaJetAdminConcatenada!$A:$A, 0)), ISNUMBER(MATCH(FC$1, AsistenciaJetAdminConcatenada!$B:$B, 0)), ISNUMBER(SEARCH($A3,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ISNUMBER(SEARCH($A3, INDEX(AsistenciaJetAdminConcatenada!$D:$D, MATCH(1, (AsistenciaJetAdminConcatenada!$A:$A=FC$2)*(AsistenciaJetAdminConcatenada!$B:$B=FC$1), 0)), 1))),  0.5, 0))</f>
        <v>0</v>
      </c>
      <c r="FD3" s="47">
        <f t="array" ref="FD3">IF(AND(ISNUMBER(MATCH(FD$2, AsistenciaJetAdminConcatenada!$A:$A, 0)), ISNUMBER(MATCH(FD$1, AsistenciaJetAdminConcatenada!$B:$B, 0)), ISNUMBER(SEARCH($A3,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ISNUMBER(SEARCH($A3, INDEX(AsistenciaJetAdminConcatenada!$D:$D, MATCH(1, (AsistenciaJetAdminConcatenada!$A:$A=FD$2)*(AsistenciaJetAdminConcatenada!$B:$B=FD$1), 0)), 1))),  0.5, 0))</f>
        <v>0</v>
      </c>
      <c r="FE3" s="47">
        <f t="array" ref="FE3">IF(AND(ISNUMBER(MATCH(FE$2, AsistenciaJetAdminConcatenada!$A:$A, 0)), ISNUMBER(MATCH(FE$1, AsistenciaJetAdminConcatenada!$B:$B, 0)), ISNUMBER(SEARCH($A3,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ISNUMBER(SEARCH($A3, INDEX(AsistenciaJetAdminConcatenada!$D:$D, MATCH(1, (AsistenciaJetAdminConcatenada!$A:$A=FE$2)*(AsistenciaJetAdminConcatenada!$B:$B=FE$1), 0)), 1))),  0.5, 0))</f>
        <v>0</v>
      </c>
      <c r="FF3" s="47">
        <f t="array" ref="FF3">IF(AND(ISNUMBER(MATCH(FF$2, AsistenciaJetAdminConcatenada!$A:$A, 0)), ISNUMBER(MATCH(FF$1, AsistenciaJetAdminConcatenada!$B:$B, 0)), ISNUMBER(SEARCH($A3,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ISNUMBER(SEARCH($A3, INDEX(AsistenciaJetAdminConcatenada!$D:$D, MATCH(1, (AsistenciaJetAdminConcatenada!$A:$A=FF$2)*(AsistenciaJetAdminConcatenada!$B:$B=FF$1), 0)), 1))),  0.5, 0))</f>
        <v>0</v>
      </c>
      <c r="FG3" s="47">
        <f t="array" ref="FG3">IF(AND(ISNUMBER(MATCH(FG$2, AsistenciaJetAdminConcatenada!$A:$A, 0)), ISNUMBER(MATCH(FG$1, AsistenciaJetAdminConcatenada!$B:$B, 0)), ISNUMBER(SEARCH($A3,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ISNUMBER(SEARCH($A3, INDEX(AsistenciaJetAdminConcatenada!$D:$D, MATCH(1, (AsistenciaJetAdminConcatenada!$A:$A=FG$2)*(AsistenciaJetAdminConcatenada!$B:$B=FG$1), 0)), 1))),  0.5, 0))</f>
        <v>0</v>
      </c>
      <c r="FH3" s="47">
        <f t="array" ref="FH3">IF(AND(ISNUMBER(MATCH(FH$2, AsistenciaJetAdminConcatenada!$A:$A, 0)), ISNUMBER(MATCH(FH$1, AsistenciaJetAdminConcatenada!$B:$B, 0)), ISNUMBER(SEARCH($A3,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ISNUMBER(SEARCH($A3, INDEX(AsistenciaJetAdminConcatenada!$D:$D, MATCH(1, (AsistenciaJetAdminConcatenada!$A:$A=FH$2)*(AsistenciaJetAdminConcatenada!$B:$B=FH$1), 0)), 1))),  0.5, 0))</f>
        <v>0</v>
      </c>
      <c r="FI3" s="47">
        <f t="array" ref="FI3">IF(AND(ISNUMBER(MATCH(FI$2, AsistenciaJetAdminConcatenada!$A:$A, 0)), ISNUMBER(MATCH(FI$1, AsistenciaJetAdminConcatenada!$B:$B, 0)), ISNUMBER(SEARCH($A3,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ISNUMBER(SEARCH($A3, INDEX(AsistenciaJetAdminConcatenada!$D:$D, MATCH(1, (AsistenciaJetAdminConcatenada!$A:$A=FI$2)*(AsistenciaJetAdminConcatenada!$B:$B=FI$1), 0)), 1))),  0.5, 0))</f>
        <v>0</v>
      </c>
      <c r="FJ3" s="47">
        <f t="array" ref="FJ3">IF(AND(ISNUMBER(MATCH(FJ$2, AsistenciaJetAdminConcatenada!$A:$A, 0)), ISNUMBER(MATCH(FJ$1, AsistenciaJetAdminConcatenada!$B:$B, 0)), ISNUMBER(SEARCH($A3,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ISNUMBER(SEARCH($A3, INDEX(AsistenciaJetAdminConcatenada!$D:$D, MATCH(1, (AsistenciaJetAdminConcatenada!$A:$A=FJ$2)*(AsistenciaJetAdminConcatenada!$B:$B=FJ$1), 0)), 1))),  0.5, 0))</f>
        <v>0</v>
      </c>
      <c r="FK3" s="47">
        <f t="array" ref="FK3">IF(AND(ISNUMBER(MATCH(FK$2, AsistenciaJetAdminConcatenada!$A:$A, 0)), ISNUMBER(MATCH(FK$1, AsistenciaJetAdminConcatenada!$B:$B, 0)), ISNUMBER(SEARCH($A3,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ISNUMBER(SEARCH($A3, INDEX(AsistenciaJetAdminConcatenada!$D:$D, MATCH(1, (AsistenciaJetAdminConcatenada!$A:$A=FK$2)*(AsistenciaJetAdminConcatenada!$B:$B=FK$1), 0)), 1))),  0.5, 0))</f>
        <v>0</v>
      </c>
      <c r="FL3" s="47">
        <f t="array" ref="FL3">IF(AND(ISNUMBER(MATCH(FL$2, AsistenciaJetAdminConcatenada!$A:$A, 0)), ISNUMBER(MATCH(FL$1, AsistenciaJetAdminConcatenada!$B:$B, 0)), ISNUMBER(SEARCH($A3,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ISNUMBER(SEARCH($A3, INDEX(AsistenciaJetAdminConcatenada!$D:$D, MATCH(1, (AsistenciaJetAdminConcatenada!$A:$A=FL$2)*(AsistenciaJetAdminConcatenada!$B:$B=FL$1), 0)), 1))),  0.5, 0))</f>
        <v>0</v>
      </c>
      <c r="FM3" s="47">
        <f t="array" ref="FM3">IF(AND(ISNUMBER(MATCH(FM$2, AsistenciaJetAdminConcatenada!$A:$A, 0)), ISNUMBER(MATCH(FM$1, AsistenciaJetAdminConcatenada!$B:$B, 0)), ISNUMBER(SEARCH($A3,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ISNUMBER(SEARCH($A3, INDEX(AsistenciaJetAdminConcatenada!$D:$D, MATCH(1, (AsistenciaJetAdminConcatenada!$A:$A=FM$2)*(AsistenciaJetAdminConcatenada!$B:$B=FM$1), 0)), 1))),  0.5, 0))</f>
        <v>0</v>
      </c>
      <c r="FN3" s="47">
        <f t="array" ref="FN3">IF(AND(ISNUMBER(MATCH(FN$2, AsistenciaJetAdminConcatenada!$A:$A, 0)), ISNUMBER(MATCH(FN$1, AsistenciaJetAdminConcatenada!$B:$B, 0)), ISNUMBER(SEARCH($A3,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ISNUMBER(SEARCH($A3, INDEX(AsistenciaJetAdminConcatenada!$D:$D, MATCH(1, (AsistenciaJetAdminConcatenada!$A:$A=FN$2)*(AsistenciaJetAdminConcatenada!$B:$B=FN$1), 0)), 1))),  0.5, 0))</f>
        <v>0</v>
      </c>
      <c r="FO3" s="47">
        <f t="array" ref="FO3">IF(AND(ISNUMBER(MATCH(FO$2, AsistenciaJetAdminConcatenada!$A:$A, 0)), ISNUMBER(MATCH(FO$1, AsistenciaJetAdminConcatenada!$B:$B, 0)), ISNUMBER(SEARCH($A3,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ISNUMBER(SEARCH($A3, INDEX(AsistenciaJetAdminConcatenada!$D:$D, MATCH(1, (AsistenciaJetAdminConcatenada!$A:$A=FO$2)*(AsistenciaJetAdminConcatenada!$B:$B=FO$1), 0)), 1))),  0.5, 0))</f>
        <v>0</v>
      </c>
      <c r="FP3" s="47">
        <f t="array" ref="FP3">IF(AND(ISNUMBER(MATCH(FP$2, AsistenciaJetAdminConcatenada!$A:$A, 0)), ISNUMBER(MATCH(FP$1, AsistenciaJetAdminConcatenada!$B:$B, 0)), ISNUMBER(SEARCH($A3,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ISNUMBER(SEARCH($A3, INDEX(AsistenciaJetAdminConcatenada!$D:$D, MATCH(1, (AsistenciaJetAdminConcatenada!$A:$A=FP$2)*(AsistenciaJetAdminConcatenada!$B:$B=FP$1), 0)), 1))),  0.5, 0))</f>
        <v>0</v>
      </c>
      <c r="FQ3" s="47">
        <f t="array" ref="FQ3">IF(AND(ISNUMBER(MATCH(FQ$2, AsistenciaJetAdminConcatenada!$A:$A, 0)), ISNUMBER(MATCH(FQ$1, AsistenciaJetAdminConcatenada!$B:$B, 0)), ISNUMBER(SEARCH($A3,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ISNUMBER(SEARCH($A3, INDEX(AsistenciaJetAdminConcatenada!$D:$D, MATCH(1, (AsistenciaJetAdminConcatenada!$A:$A=FQ$2)*(AsistenciaJetAdminConcatenada!$B:$B=FQ$1), 0)), 1))),  0.5, 0))</f>
        <v>0</v>
      </c>
      <c r="FR3" s="47">
        <f t="array" ref="FR3">IF(AND(ISNUMBER(MATCH(FR$2, AsistenciaJetAdminConcatenada!$A:$A, 0)), ISNUMBER(MATCH(FR$1, AsistenciaJetAdminConcatenada!$B:$B, 0)), ISNUMBER(SEARCH($A3,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ISNUMBER(SEARCH($A3, INDEX(AsistenciaJetAdminConcatenada!$D:$D, MATCH(1, (AsistenciaJetAdminConcatenada!$A:$A=FR$2)*(AsistenciaJetAdminConcatenada!$B:$B=FR$1), 0)), 1))),  0.5, 0))</f>
        <v>0</v>
      </c>
      <c r="FS3" s="47">
        <f t="array" ref="FS3">IF(AND(ISNUMBER(MATCH(FS$2, AsistenciaJetAdminConcatenada!$A:$A, 0)), ISNUMBER(MATCH(FS$1, AsistenciaJetAdminConcatenada!$B:$B, 0)), ISNUMBER(SEARCH($A3,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ISNUMBER(SEARCH($A3, INDEX(AsistenciaJetAdminConcatenada!$D:$D, MATCH(1, (AsistenciaJetAdminConcatenada!$A:$A=FS$2)*(AsistenciaJetAdminConcatenada!$B:$B=FS$1), 0)), 1))),  0.5, 0))</f>
        <v>0</v>
      </c>
      <c r="FT3" s="47">
        <f t="array" ref="FT3">IF(AND(ISNUMBER(MATCH(FT$2, AsistenciaJetAdminConcatenada!$A:$A, 0)), ISNUMBER(MATCH(FT$1, AsistenciaJetAdminConcatenada!$B:$B, 0)), ISNUMBER(SEARCH($A3,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ISNUMBER(SEARCH($A3, INDEX(AsistenciaJetAdminConcatenada!$D:$D, MATCH(1, (AsistenciaJetAdminConcatenada!$A:$A=FT$2)*(AsistenciaJetAdminConcatenada!$B:$B=FT$1), 0)), 1))),  0.5, 0))</f>
        <v>0</v>
      </c>
      <c r="FU3" s="47">
        <f t="array" ref="FU3">IF(AND(ISNUMBER(MATCH(FU$2, AsistenciaJetAdminConcatenada!$A:$A, 0)), ISNUMBER(MATCH(FU$1, AsistenciaJetAdminConcatenada!$B:$B, 0)), ISNUMBER(SEARCH($A3,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ISNUMBER(SEARCH($A3, INDEX(AsistenciaJetAdminConcatenada!$D:$D, MATCH(1, (AsistenciaJetAdminConcatenada!$A:$A=FU$2)*(AsistenciaJetAdminConcatenada!$B:$B=FU$1), 0)), 1))),  0.5, 0))</f>
        <v>0</v>
      </c>
      <c r="FV3" s="47">
        <f t="array" ref="FV3">IF(AND(ISNUMBER(MATCH(FV$2, AsistenciaJetAdminConcatenada!$A:$A, 0)), ISNUMBER(MATCH(FV$1, AsistenciaJetAdminConcatenada!$B:$B, 0)), ISNUMBER(SEARCH($A3,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ISNUMBER(SEARCH($A3, INDEX(AsistenciaJetAdminConcatenada!$D:$D, MATCH(1, (AsistenciaJetAdminConcatenada!$A:$A=FV$2)*(AsistenciaJetAdminConcatenada!$B:$B=FV$1), 0)), 1))),  0.5, 0))</f>
        <v>0</v>
      </c>
      <c r="FW3" s="47">
        <f t="array" ref="FW3">IF(AND(ISNUMBER(MATCH(FW$2, AsistenciaJetAdminConcatenada!$A:$A, 0)), ISNUMBER(MATCH(FW$1, AsistenciaJetAdminConcatenada!$B:$B, 0)), ISNUMBER(SEARCH($A3,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ISNUMBER(SEARCH($A3, INDEX(AsistenciaJetAdminConcatenada!$D:$D, MATCH(1, (AsistenciaJetAdminConcatenada!$A:$A=FW$2)*(AsistenciaJetAdminConcatenada!$B:$B=FW$1), 0)), 1))),  0.5, 0))</f>
        <v>0</v>
      </c>
      <c r="FX3" s="47">
        <f t="array" ref="FX3">IF(AND(ISNUMBER(MATCH(FX$2, AsistenciaJetAdminConcatenada!$A:$A, 0)), ISNUMBER(MATCH(FX$1, AsistenciaJetAdminConcatenada!$B:$B, 0)), ISNUMBER(SEARCH($A3,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ISNUMBER(SEARCH($A3, INDEX(AsistenciaJetAdminConcatenada!$D:$D, MATCH(1, (AsistenciaJetAdminConcatenada!$A:$A=FX$2)*(AsistenciaJetAdminConcatenada!$B:$B=FX$1), 0)), 1))),  0.5, 0))</f>
        <v>0</v>
      </c>
      <c r="FY3" s="47">
        <f t="array" ref="FY3">IF(AND(ISNUMBER(MATCH(FY$2, AsistenciaJetAdminConcatenada!$A:$A, 0)), ISNUMBER(MATCH(FY$1, AsistenciaJetAdminConcatenada!$B:$B, 0)), ISNUMBER(SEARCH($A3,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ISNUMBER(SEARCH($A3, INDEX(AsistenciaJetAdminConcatenada!$D:$D, MATCH(1, (AsistenciaJetAdminConcatenada!$A:$A=FY$2)*(AsistenciaJetAdminConcatenada!$B:$B=FY$1), 0)), 1))),  0.5, 0))</f>
        <v>0</v>
      </c>
      <c r="FZ3" s="47">
        <f t="array" ref="FZ3">IF(AND(ISNUMBER(MATCH(FZ$2, AsistenciaJetAdminConcatenada!$A:$A, 0)), ISNUMBER(MATCH(FZ$1, AsistenciaJetAdminConcatenada!$B:$B, 0)), ISNUMBER(SEARCH($A3,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ISNUMBER(SEARCH($A3, INDEX(AsistenciaJetAdminConcatenada!$D:$D, MATCH(1, (AsistenciaJetAdminConcatenada!$A:$A=FZ$2)*(AsistenciaJetAdminConcatenada!$B:$B=FZ$1), 0)), 1))),  0.5, 0))</f>
        <v>0</v>
      </c>
      <c r="GA3" s="47">
        <f t="array" ref="GA3">IF(AND(ISNUMBER(MATCH(GA$2, AsistenciaJetAdminConcatenada!$A:$A, 0)), ISNUMBER(MATCH(GA$1, AsistenciaJetAdminConcatenada!$B:$B, 0)), ISNUMBER(SEARCH($A3,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ISNUMBER(SEARCH($A3, INDEX(AsistenciaJetAdminConcatenada!$D:$D, MATCH(1, (AsistenciaJetAdminConcatenada!$A:$A=GA$2)*(AsistenciaJetAdminConcatenada!$B:$B=GA$1), 0)), 1))),  0.5, 0))</f>
        <v>0</v>
      </c>
      <c r="GB3" s="47">
        <f t="array" ref="GB3">IF(AND(ISNUMBER(MATCH(GB$2, AsistenciaJetAdminConcatenada!$A:$A, 0)), ISNUMBER(MATCH(GB$1, AsistenciaJetAdminConcatenada!$B:$B, 0)), ISNUMBER(SEARCH($A3,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ISNUMBER(SEARCH($A3, INDEX(AsistenciaJetAdminConcatenada!$D:$D, MATCH(1, (AsistenciaJetAdminConcatenada!$A:$A=GB$2)*(AsistenciaJetAdminConcatenada!$B:$B=GB$1), 0)), 1))),  0.5, 0))</f>
        <v>0</v>
      </c>
      <c r="GC3" s="47">
        <f t="array" ref="GC3">IF(AND(ISNUMBER(MATCH(GC$2, AsistenciaJetAdminConcatenada!$A:$A, 0)), ISNUMBER(MATCH(GC$1, AsistenciaJetAdminConcatenada!$B:$B, 0)), ISNUMBER(SEARCH($A3,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ISNUMBER(SEARCH($A3, INDEX(AsistenciaJetAdminConcatenada!$D:$D, MATCH(1, (AsistenciaJetAdminConcatenada!$A:$A=GC$2)*(AsistenciaJetAdminConcatenada!$B:$B=GC$1), 0)), 1))),  0.5, 0))</f>
        <v>0</v>
      </c>
      <c r="GD3" s="47">
        <f t="array" ref="GD3">IF(AND(ISNUMBER(MATCH(GD$2, AsistenciaJetAdminConcatenada!$A:$A, 0)), ISNUMBER(MATCH(GD$1, AsistenciaJetAdminConcatenada!$B:$B, 0)), ISNUMBER(SEARCH($A3,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ISNUMBER(SEARCH($A3, INDEX(AsistenciaJetAdminConcatenada!$D:$D, MATCH(1, (AsistenciaJetAdminConcatenada!$A:$A=GD$2)*(AsistenciaJetAdminConcatenada!$B:$B=GD$1), 0)), 1))),  0.5, 0))</f>
        <v>0</v>
      </c>
      <c r="GE3" s="47">
        <f t="array" ref="GE3">IF(AND(ISNUMBER(MATCH(GE$2, AsistenciaJetAdminConcatenada!$A:$A, 0)), ISNUMBER(MATCH(GE$1, AsistenciaJetAdminConcatenada!$B:$B, 0)), ISNUMBER(SEARCH($A3,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ISNUMBER(SEARCH($A3, INDEX(AsistenciaJetAdminConcatenada!$D:$D, MATCH(1, (AsistenciaJetAdminConcatenada!$A:$A=GE$2)*(AsistenciaJetAdminConcatenada!$B:$B=GE$1), 0)), 1))),  0.5, 0))</f>
        <v>0</v>
      </c>
      <c r="GF3" s="47">
        <f t="array" ref="GF3">IF(AND(ISNUMBER(MATCH(GF$2, AsistenciaJetAdminConcatenada!$A:$A, 0)), ISNUMBER(MATCH(GF$1, AsistenciaJetAdminConcatenada!$B:$B, 0)), ISNUMBER(SEARCH($A3,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ISNUMBER(SEARCH($A3, INDEX(AsistenciaJetAdminConcatenada!$D:$D, MATCH(1, (AsistenciaJetAdminConcatenada!$A:$A=GF$2)*(AsistenciaJetAdminConcatenada!$B:$B=GF$1), 0)), 1))),  0.5, 0))</f>
        <v>0</v>
      </c>
      <c r="GG3" s="47">
        <f t="array" ref="GG3">IF(AND(ISNUMBER(MATCH(GG$2, AsistenciaJetAdminConcatenada!$A:$A, 0)), ISNUMBER(MATCH(GG$1, AsistenciaJetAdminConcatenada!$B:$B, 0)), ISNUMBER(SEARCH($A3,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ISNUMBER(SEARCH($A3, INDEX(AsistenciaJetAdminConcatenada!$D:$D, MATCH(1, (AsistenciaJetAdminConcatenada!$A:$A=GG$2)*(AsistenciaJetAdminConcatenada!$B:$B=GG$1), 0)), 1))),  0.5, 0))</f>
        <v>0</v>
      </c>
      <c r="GH3" s="47">
        <f t="array" ref="GH3">IF(AND(ISNUMBER(MATCH(GH$2, AsistenciaJetAdminConcatenada!$A:$A, 0)), ISNUMBER(MATCH(GH$1, AsistenciaJetAdminConcatenada!$B:$B, 0)), ISNUMBER(SEARCH($A3,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ISNUMBER(SEARCH($A3, INDEX(AsistenciaJetAdminConcatenada!$D:$D, MATCH(1, (AsistenciaJetAdminConcatenada!$A:$A=GH$2)*(AsistenciaJetAdminConcatenada!$B:$B=GH$1), 0)), 1))),  0.5, 0))</f>
        <v>0</v>
      </c>
      <c r="GI3" s="47">
        <f t="array" ref="GI3">IF(AND(ISNUMBER(MATCH(GI$2, AsistenciaJetAdminConcatenada!$A:$A, 0)), ISNUMBER(MATCH(GI$1, AsistenciaJetAdminConcatenada!$B:$B, 0)), ISNUMBER(SEARCH($A3,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ISNUMBER(SEARCH($A3, INDEX(AsistenciaJetAdminConcatenada!$D:$D, MATCH(1, (AsistenciaJetAdminConcatenada!$A:$A=GI$2)*(AsistenciaJetAdminConcatenada!$B:$B=GI$1), 0)), 1))),  0.5, 0))</f>
        <v>0</v>
      </c>
      <c r="GJ3" s="47">
        <f t="array" ref="GJ3">IF(AND(ISNUMBER(MATCH(GJ$2, AsistenciaJetAdminConcatenada!$A:$A, 0)), ISNUMBER(MATCH(GJ$1, AsistenciaJetAdminConcatenada!$B:$B, 0)), ISNUMBER(SEARCH($A3,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ISNUMBER(SEARCH($A3, INDEX(AsistenciaJetAdminConcatenada!$D:$D, MATCH(1, (AsistenciaJetAdminConcatenada!$A:$A=GJ$2)*(AsistenciaJetAdminConcatenada!$B:$B=GJ$1), 0)), 1))),  0.5, 0))</f>
        <v>0</v>
      </c>
      <c r="GK3" s="47">
        <f t="array" ref="GK3">IF(AND(ISNUMBER(MATCH(GK$2, AsistenciaJetAdminConcatenada!$A:$A, 0)), ISNUMBER(MATCH(GK$1, AsistenciaJetAdminConcatenada!$B:$B, 0)), ISNUMBER(SEARCH($A3,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ISNUMBER(SEARCH($A3, INDEX(AsistenciaJetAdminConcatenada!$D:$D, MATCH(1, (AsistenciaJetAdminConcatenada!$A:$A=GK$2)*(AsistenciaJetAdminConcatenada!$B:$B=GK$1), 0)), 1))),  0.5, 0))</f>
        <v>0</v>
      </c>
      <c r="GL3" s="47">
        <f t="array" ref="GL3">IF(AND(ISNUMBER(MATCH(GL$2, AsistenciaJetAdminConcatenada!$A:$A, 0)), ISNUMBER(MATCH(GL$1, AsistenciaJetAdminConcatenada!$B:$B, 0)), ISNUMBER(SEARCH($A3,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ISNUMBER(SEARCH($A3, INDEX(AsistenciaJetAdminConcatenada!$D:$D, MATCH(1, (AsistenciaJetAdminConcatenada!$A:$A=GL$2)*(AsistenciaJetAdminConcatenada!$B:$B=GL$1), 0)), 1))),  0.5, 0))</f>
        <v>0</v>
      </c>
      <c r="GM3" s="47">
        <f t="array" ref="GM3">IF(AND(ISNUMBER(MATCH(GM$2, AsistenciaJetAdminConcatenada!$A:$A, 0)), ISNUMBER(MATCH(GM$1, AsistenciaJetAdminConcatenada!$B:$B, 0)), ISNUMBER(SEARCH($A3,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ISNUMBER(SEARCH($A3, INDEX(AsistenciaJetAdminConcatenada!$D:$D, MATCH(1, (AsistenciaJetAdminConcatenada!$A:$A=GM$2)*(AsistenciaJetAdminConcatenada!$B:$B=GM$1), 0)), 1))),  0.5, 0))</f>
        <v>0</v>
      </c>
      <c r="GN3" s="47">
        <f t="array" ref="GN3">IF(AND(ISNUMBER(MATCH(GN$2, AsistenciaJetAdminConcatenada!$A:$A, 0)), ISNUMBER(MATCH(GN$1, AsistenciaJetAdminConcatenada!$B:$B, 0)), ISNUMBER(SEARCH($A3,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ISNUMBER(SEARCH($A3, INDEX(AsistenciaJetAdminConcatenada!$D:$D, MATCH(1, (AsistenciaJetAdminConcatenada!$A:$A=GN$2)*(AsistenciaJetAdminConcatenada!$B:$B=GN$1), 0)), 1))),  0.5, 0))</f>
        <v>0</v>
      </c>
      <c r="GO3" s="47">
        <f t="array" ref="GO3">IF(AND(ISNUMBER(MATCH(GO$2, AsistenciaJetAdminConcatenada!$A:$A, 0)), ISNUMBER(MATCH(GO$1, AsistenciaJetAdminConcatenada!$B:$B, 0)), ISNUMBER(SEARCH($A3,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ISNUMBER(SEARCH($A3, INDEX(AsistenciaJetAdminConcatenada!$D:$D, MATCH(1, (AsistenciaJetAdminConcatenada!$A:$A=GO$2)*(AsistenciaJetAdminConcatenada!$B:$B=GO$1), 0)), 1))),  0.5, 0))</f>
        <v>0</v>
      </c>
      <c r="GP3" s="47">
        <f t="array" ref="GP3">IF(AND(ISNUMBER(MATCH(GP$2, AsistenciaJetAdminConcatenada!$A:$A, 0)), ISNUMBER(MATCH(GP$1, AsistenciaJetAdminConcatenada!$B:$B, 0)), ISNUMBER(SEARCH($A3,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ISNUMBER(SEARCH($A3, INDEX(AsistenciaJetAdminConcatenada!$D:$D, MATCH(1, (AsistenciaJetAdminConcatenada!$A:$A=GP$2)*(AsistenciaJetAdminConcatenada!$B:$B=GP$1), 0)), 1))),  0.5, 0))</f>
        <v>0</v>
      </c>
      <c r="GQ3" s="47">
        <f t="array" ref="GQ3">IF(AND(ISNUMBER(MATCH(GQ$2, AsistenciaJetAdminConcatenada!$A:$A, 0)), ISNUMBER(MATCH(GQ$1, AsistenciaJetAdminConcatenada!$B:$B, 0)), ISNUMBER(SEARCH($A3,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ISNUMBER(SEARCH($A3, INDEX(AsistenciaJetAdminConcatenada!$D:$D, MATCH(1, (AsistenciaJetAdminConcatenada!$A:$A=GQ$2)*(AsistenciaJetAdminConcatenada!$B:$B=GQ$1), 0)), 1))),  0.5, 0))</f>
        <v>0</v>
      </c>
      <c r="GR3" s="47">
        <f t="array" ref="GR3">IF(AND(ISNUMBER(MATCH(GR$2, AsistenciaJetAdminConcatenada!$A:$A, 0)), ISNUMBER(MATCH(GR$1, AsistenciaJetAdminConcatenada!$B:$B, 0)), ISNUMBER(SEARCH($A3,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ISNUMBER(SEARCH($A3, INDEX(AsistenciaJetAdminConcatenada!$D:$D, MATCH(1, (AsistenciaJetAdminConcatenada!$A:$A=GR$2)*(AsistenciaJetAdminConcatenada!$B:$B=GR$1), 0)), 1))),  0.5, 0))</f>
        <v>0</v>
      </c>
      <c r="GS3" s="47">
        <f t="array" ref="GS3">IF(AND(ISNUMBER(MATCH(GS$2, AsistenciaJetAdminConcatenada!$A:$A, 0)), ISNUMBER(MATCH(GS$1, AsistenciaJetAdminConcatenada!$B:$B, 0)), ISNUMBER(SEARCH($A3,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ISNUMBER(SEARCH($A3, INDEX(AsistenciaJetAdminConcatenada!$D:$D, MATCH(1, (AsistenciaJetAdminConcatenada!$A:$A=GS$2)*(AsistenciaJetAdminConcatenada!$B:$B=GS$1), 0)), 1))),  0.5, 0))</f>
        <v>0</v>
      </c>
      <c r="GT3" s="47">
        <f t="array" ref="GT3">IF(AND(ISNUMBER(MATCH(GT$2, AsistenciaJetAdminConcatenada!$A:$A, 0)), ISNUMBER(MATCH(GT$1, AsistenciaJetAdminConcatenada!$B:$B, 0)), ISNUMBER(SEARCH($A3,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ISNUMBER(SEARCH($A3, INDEX(AsistenciaJetAdminConcatenada!$D:$D, MATCH(1, (AsistenciaJetAdminConcatenada!$A:$A=GT$2)*(AsistenciaJetAdminConcatenada!$B:$B=GT$1), 0)), 1))),  0.5, 0))</f>
        <v>0</v>
      </c>
      <c r="GU3" s="47">
        <f t="array" ref="GU3">IF(AND(ISNUMBER(MATCH(GU$2, AsistenciaJetAdminConcatenada!$A:$A, 0)), ISNUMBER(MATCH(GU$1, AsistenciaJetAdminConcatenada!$B:$B, 0)), ISNUMBER(SEARCH($A3,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ISNUMBER(SEARCH($A3, INDEX(AsistenciaJetAdminConcatenada!$D:$D, MATCH(1, (AsistenciaJetAdminConcatenada!$A:$A=GU$2)*(AsistenciaJetAdminConcatenada!$B:$B=GU$1), 0)), 1))),  0.5, 0))</f>
        <v>0</v>
      </c>
      <c r="GV3" s="47">
        <f t="array" ref="GV3">IF(AND(ISNUMBER(MATCH(GV$2, AsistenciaJetAdminConcatenada!$A:$A, 0)), ISNUMBER(MATCH(GV$1, AsistenciaJetAdminConcatenada!$B:$B, 0)), ISNUMBER(SEARCH($A3,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ISNUMBER(SEARCH($A3, INDEX(AsistenciaJetAdminConcatenada!$D:$D, MATCH(1, (AsistenciaJetAdminConcatenada!$A:$A=GV$2)*(AsistenciaJetAdminConcatenada!$B:$B=GV$1), 0)), 1))),  0.5, 0))</f>
        <v>0</v>
      </c>
      <c r="GW3" s="47">
        <f t="array" ref="GW3">IF(AND(ISNUMBER(MATCH(GW$2, AsistenciaJetAdminConcatenada!$A:$A, 0)), ISNUMBER(MATCH(GW$1, AsistenciaJetAdminConcatenada!$B:$B, 0)), ISNUMBER(SEARCH($A3,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ISNUMBER(SEARCH($A3, INDEX(AsistenciaJetAdminConcatenada!$D:$D, MATCH(1, (AsistenciaJetAdminConcatenada!$A:$A=GW$2)*(AsistenciaJetAdminConcatenada!$B:$B=GW$1), 0)), 1))),  0.5, 0))</f>
        <v>0</v>
      </c>
      <c r="GX3" s="47">
        <f t="array" ref="GX3">IF(AND(ISNUMBER(MATCH(GX$2, AsistenciaJetAdminConcatenada!$A:$A, 0)), ISNUMBER(MATCH(GX$1, AsistenciaJetAdminConcatenada!$B:$B, 0)), ISNUMBER(SEARCH($A3,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ISNUMBER(SEARCH($A3, INDEX(AsistenciaJetAdminConcatenada!$D:$D, MATCH(1, (AsistenciaJetAdminConcatenada!$A:$A=GX$2)*(AsistenciaJetAdminConcatenada!$B:$B=GX$1), 0)), 1))),  0.5, 0))</f>
        <v>0</v>
      </c>
      <c r="GY3" s="47">
        <f t="array" ref="GY3">IF(AND(ISNUMBER(MATCH(GY$2, AsistenciaJetAdminConcatenada!$A:$A, 0)), ISNUMBER(MATCH(GY$1, AsistenciaJetAdminConcatenada!$B:$B, 0)), ISNUMBER(SEARCH($A3,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ISNUMBER(SEARCH($A3, INDEX(AsistenciaJetAdminConcatenada!$D:$D, MATCH(1, (AsistenciaJetAdminConcatenada!$A:$A=GY$2)*(AsistenciaJetAdminConcatenada!$B:$B=GY$1), 0)), 1))),  0.5, 0))</f>
        <v>0</v>
      </c>
      <c r="GZ3" s="47">
        <f t="array" ref="GZ3">IF(AND(ISNUMBER(MATCH(GZ$2, AsistenciaJetAdminConcatenada!$A:$A, 0)), ISNUMBER(MATCH(GZ$1, AsistenciaJetAdminConcatenada!$B:$B, 0)), ISNUMBER(SEARCH($A3,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ISNUMBER(SEARCH($A3, INDEX(AsistenciaJetAdminConcatenada!$D:$D, MATCH(1, (AsistenciaJetAdminConcatenada!$A:$A=GZ$2)*(AsistenciaJetAdminConcatenada!$B:$B=GZ$1), 0)), 1))),  0.5, 0))</f>
        <v>0</v>
      </c>
      <c r="HA3" s="47">
        <f t="array" ref="HA3">IF(AND(ISNUMBER(MATCH(HA$2, AsistenciaJetAdminConcatenada!$A:$A, 0)), ISNUMBER(MATCH(HA$1, AsistenciaJetAdminConcatenada!$B:$B, 0)), ISNUMBER(SEARCH($A3,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ISNUMBER(SEARCH($A3, INDEX(AsistenciaJetAdminConcatenada!$D:$D, MATCH(1, (AsistenciaJetAdminConcatenada!$A:$A=HA$2)*(AsistenciaJetAdminConcatenada!$B:$B=HA$1), 0)), 1))),  0.5, 0))</f>
        <v>0</v>
      </c>
      <c r="HB3" s="47">
        <f t="array" ref="HB3">IF(AND(ISNUMBER(MATCH(HB$2, AsistenciaJetAdminConcatenada!$A:$A, 0)), ISNUMBER(MATCH(HB$1, AsistenciaJetAdminConcatenada!$B:$B, 0)), ISNUMBER(SEARCH($A3,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ISNUMBER(SEARCH($A3, INDEX(AsistenciaJetAdminConcatenada!$D:$D, MATCH(1, (AsistenciaJetAdminConcatenada!$A:$A=HB$2)*(AsistenciaJetAdminConcatenada!$B:$B=HB$1), 0)), 1))),  0.5, 0))</f>
        <v>0</v>
      </c>
      <c r="HC3" s="47">
        <f t="array" ref="HC3">IF(AND(ISNUMBER(MATCH(HC$2, AsistenciaJetAdminConcatenada!$A:$A, 0)), ISNUMBER(MATCH(HC$1, AsistenciaJetAdminConcatenada!$B:$B, 0)), ISNUMBER(SEARCH($A3,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ISNUMBER(SEARCH($A3, INDEX(AsistenciaJetAdminConcatenada!$D:$D, MATCH(1, (AsistenciaJetAdminConcatenada!$A:$A=HC$2)*(AsistenciaJetAdminConcatenada!$B:$B=HC$1), 0)), 1))),  0.5, 0))</f>
        <v>0</v>
      </c>
    </row>
    <row r="4" ht="29.25" customHeight="1">
      <c r="A4" s="3">
        <v>141.0</v>
      </c>
      <c r="B4" s="4" t="s">
        <v>758</v>
      </c>
      <c r="C4" s="47">
        <f>SUM(D4:HC4) + ActividadesEspeciales!C4</f>
        <v>52</v>
      </c>
      <c r="D4" s="47">
        <f t="array" ref="D4">IF(AND(ISNUMBER(MATCH(D$2, AsistenciaJetAdminConcatenada!$A:$A, 0)), ISNUMBER(MATCH(D$1, AsistenciaJetAdminConcatenada!$B:$B, 0)), ISNUMBER(SEARCH($A4,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ISNUMBER(SEARCH($A4, INDEX(AsistenciaJetAdminConcatenada!$D:$D, MATCH(1, (AsistenciaJetAdminConcatenada!$A:$A=D$2)*(AsistenciaJetAdminConcatenada!$B:$B=D$1), 0)), 1))),  0.5, 0))</f>
        <v>1</v>
      </c>
      <c r="E4" s="47">
        <f t="array" ref="E4">IF(AND(ISNUMBER(MATCH(E$2, AsistenciaJetAdminConcatenada!$A:$A, 0)), ISNUMBER(MATCH(E$1, AsistenciaJetAdminConcatenada!$B:$B, 0)), ISNUMBER(SEARCH($A4,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ISNUMBER(SEARCH($A4, INDEX(AsistenciaJetAdminConcatenada!$D:$D, MATCH(1, (AsistenciaJetAdminConcatenada!$A:$A=E$2)*(AsistenciaJetAdminConcatenada!$B:$B=E$1), 0)), 1))),  0.5, 0))</f>
        <v>1</v>
      </c>
      <c r="F4" s="47">
        <f t="array" ref="F4">IF(AND(ISNUMBER(MATCH(F$2, AsistenciaJetAdminConcatenada!$A:$A, 0)), ISNUMBER(MATCH(F$1, AsistenciaJetAdminConcatenada!$B:$B, 0)), ISNUMBER(SEARCH($A4,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ISNUMBER(SEARCH($A4, INDEX(AsistenciaJetAdminConcatenada!$D:$D, MATCH(1, (AsistenciaJetAdminConcatenada!$A:$A=F$2)*(AsistenciaJetAdminConcatenada!$B:$B=F$1), 0)), 1))),  0.5, 0))</f>
        <v>1</v>
      </c>
      <c r="G4" s="47">
        <f t="array" ref="G4">IF(AND(ISNUMBER(MATCH(G$2, AsistenciaJetAdminConcatenada!$A:$A, 0)), ISNUMBER(MATCH(G$1, AsistenciaJetAdminConcatenada!$B:$B, 0)), ISNUMBER(SEARCH($A4,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ISNUMBER(SEARCH($A4, INDEX(AsistenciaJetAdminConcatenada!$D:$D, MATCH(1, (AsistenciaJetAdminConcatenada!$A:$A=G$2)*(AsistenciaJetAdminConcatenada!$B:$B=G$1), 0)), 1))),  0.5, 0))</f>
        <v>1</v>
      </c>
      <c r="H4" s="47">
        <f t="array" ref="H4">IF(AND(ISNUMBER(MATCH(H$2, AsistenciaJetAdminConcatenada!$A:$A, 0)), ISNUMBER(MATCH(H$1, AsistenciaJetAdminConcatenada!$B:$B, 0)), ISNUMBER(SEARCH($A4,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ISNUMBER(SEARCH($A4, INDEX(AsistenciaJetAdminConcatenada!$D:$D, MATCH(1, (AsistenciaJetAdminConcatenada!$A:$A=H$2)*(AsistenciaJetAdminConcatenada!$B:$B=H$1), 0)), 1))),  0.5, 0))</f>
        <v>1</v>
      </c>
      <c r="I4" s="47">
        <f t="array" ref="I4">IF(AND(ISNUMBER(MATCH(I$2, AsistenciaJetAdminConcatenada!$A:$A, 0)), ISNUMBER(MATCH(I$1, AsistenciaJetAdminConcatenada!$B:$B, 0)), ISNUMBER(SEARCH($A4,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ISNUMBER(SEARCH($A4, INDEX(AsistenciaJetAdminConcatenada!$D:$D, MATCH(1, (AsistenciaJetAdminConcatenada!$A:$A=I$2)*(AsistenciaJetAdminConcatenada!$B:$B=I$1), 0)), 1))),  0.5, 0))</f>
        <v>1</v>
      </c>
      <c r="J4" s="47">
        <f t="array" ref="J4">IF(AND(ISNUMBER(MATCH(J$2, AsistenciaJetAdminConcatenada!$A:$A, 0)), ISNUMBER(MATCH(J$1, AsistenciaJetAdminConcatenada!$B:$B, 0)), ISNUMBER(SEARCH($A4,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ISNUMBER(SEARCH($A4, INDEX(AsistenciaJetAdminConcatenada!$D:$D, MATCH(1, (AsistenciaJetAdminConcatenada!$A:$A=J$2)*(AsistenciaJetAdminConcatenada!$B:$B=J$1), 0)), 1))),  0.5, 0))</f>
        <v>0</v>
      </c>
      <c r="K4" s="47">
        <f t="array" ref="K4">IF(AND(ISNUMBER(MATCH(K$2, AsistenciaJetAdminConcatenada!$A:$A, 0)), ISNUMBER(MATCH(K$1, AsistenciaJetAdminConcatenada!$B:$B, 0)), ISNUMBER(SEARCH($A4,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ISNUMBER(SEARCH($A4, INDEX(AsistenciaJetAdminConcatenada!$D:$D, MATCH(1, (AsistenciaJetAdminConcatenada!$A:$A=K$2)*(AsistenciaJetAdminConcatenada!$B:$B=K$1), 0)), 1))),  0.5, 0))</f>
        <v>0</v>
      </c>
      <c r="L4" s="47">
        <f t="array" ref="L4">IF(AND(ISNUMBER(MATCH(L$2, AsistenciaJetAdminConcatenada!$A:$A, 0)), ISNUMBER(MATCH(L$1, AsistenciaJetAdminConcatenada!$B:$B, 0)), ISNUMBER(SEARCH($A4,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ISNUMBER(SEARCH($A4, INDEX(AsistenciaJetAdminConcatenada!$D:$D, MATCH(1, (AsistenciaJetAdminConcatenada!$A:$A=L$2)*(AsistenciaJetAdminConcatenada!$B:$B=L$1), 0)), 1))),  0.5, 0))</f>
        <v>1</v>
      </c>
      <c r="M4" s="47">
        <f t="array" ref="M4">IF(AND(ISNUMBER(MATCH(M$2, AsistenciaJetAdminConcatenada!$A:$A, 0)), ISNUMBER(MATCH(M$1, AsistenciaJetAdminConcatenada!$B:$B, 0)), ISNUMBER(SEARCH($A4,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ISNUMBER(SEARCH($A4, INDEX(AsistenciaJetAdminConcatenada!$D:$D, MATCH(1, (AsistenciaJetAdminConcatenada!$A:$A=M$2)*(AsistenciaJetAdminConcatenada!$B:$B=M$1), 0)), 1))),  0.5, 0))</f>
        <v>1</v>
      </c>
      <c r="N4" s="47">
        <f t="array" ref="N4">IF(AND(ISNUMBER(MATCH(N$2, AsistenciaJetAdminConcatenada!$A:$A, 0)), ISNUMBER(MATCH(N$1, AsistenciaJetAdminConcatenada!$B:$B, 0)), ISNUMBER(SEARCH($A4,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ISNUMBER(SEARCH($A4, INDEX(AsistenciaJetAdminConcatenada!$D:$D, MATCH(1, (AsistenciaJetAdminConcatenada!$A:$A=N$2)*(AsistenciaJetAdminConcatenada!$B:$B=N$1), 0)), 1))),  0.5, 0))</f>
        <v>1</v>
      </c>
      <c r="O4" s="47">
        <f t="array" ref="O4">IF(AND(ISNUMBER(MATCH(O$2, AsistenciaJetAdminConcatenada!$A:$A, 0)), ISNUMBER(MATCH(O$1, AsistenciaJetAdminConcatenada!$B:$B, 0)), ISNUMBER(SEARCH($A4,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ISNUMBER(SEARCH($A4, INDEX(AsistenciaJetAdminConcatenada!$D:$D, MATCH(1, (AsistenciaJetAdminConcatenada!$A:$A=O$2)*(AsistenciaJetAdminConcatenada!$B:$B=O$1), 0)), 1))),  0.5, 0))</f>
        <v>0</v>
      </c>
      <c r="P4" s="47">
        <f t="array" ref="P4">IF(AND(ISNUMBER(MATCH(P$2, AsistenciaJetAdminConcatenada!$A:$A, 0)), ISNUMBER(MATCH(P$1, AsistenciaJetAdminConcatenada!$B:$B, 0)), ISNUMBER(SEARCH($A4, INDEX(AsistenciaJetAdminConcatenada!$C:$C, MATCH(1, (AsistenciaJetAdminConcatenada!$A:$A=P$2)*(AsistenciaJetAdminConcatenada!$B:$B=P$1), 0)), 1))), 1, IF(AND(ISNUMBER(MATCH(P$2, AsistenciaJetAdminConcatenada!$A:$A, 0)), ISNUMBER(MATCH(P$1, AsistenciaJetAdminConcatenada!$B:$B, 0)), ISNUMBER(SEARCH($A4, INDEX(AsistenciaJetAdminConcatenada!$D:$D, MATCH(1, (AsistenciaJetAdminConcatenada!$A:$A=P$2)*(AsistenciaJetAdminConcatenada!$B:$B=P$1), 0)), 1))),  0.5, 0))</f>
        <v>0</v>
      </c>
      <c r="Q4" s="47">
        <f t="array" ref="Q4">IF(AND(ISNUMBER(MATCH(Q$2, AsistenciaJetAdminConcatenada!$A:$A, 0)), ISNUMBER(MATCH(Q$1, AsistenciaJetAdminConcatenada!$B:$B, 0)), ISNUMBER(SEARCH($A4, INDEX(AsistenciaJetAdminConcatenada!$C:$C, MATCH(1, (AsistenciaJetAdminConcatenada!$A:$A=Q$2)*(AsistenciaJetAdminConcatenada!$B:$B=Q$1), 0)), 1))), 1, IF(AND(ISNUMBER(MATCH(Q$2, AsistenciaJetAdminConcatenada!$A:$A, 0)), ISNUMBER(MATCH(Q$1, AsistenciaJetAdminConcatenada!$B:$B, 0)), ISNUMBER(SEARCH($A4, INDEX(AsistenciaJetAdminConcatenada!$D:$D, MATCH(1, (AsistenciaJetAdminConcatenada!$A:$A=Q$2)*(AsistenciaJetAdminConcatenada!$B:$B=Q$1), 0)), 1))),  0.5, 0))</f>
        <v>1</v>
      </c>
      <c r="R4" s="47">
        <f t="array" ref="R4">IF(AND(ISNUMBER(MATCH(R$2, AsistenciaJetAdminConcatenada!$A:$A, 0)), ISNUMBER(MATCH(R$1, AsistenciaJetAdminConcatenada!$B:$B, 0)), ISNUMBER(SEARCH($A4,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ISNUMBER(SEARCH($A4, INDEX(AsistenciaJetAdminConcatenada!$D:$D, MATCH(1, (AsistenciaJetAdminConcatenada!$A:$A=R$2)*(AsistenciaJetAdminConcatenada!$B:$B=R$1), 0)), 1))),  0.5, 0))</f>
        <v>0.5</v>
      </c>
      <c r="S4" s="47">
        <f t="array" ref="S4">IF(AND(ISNUMBER(MATCH(S$2, AsistenciaJetAdminConcatenada!$A:$A, 0)), ISNUMBER(MATCH(S$1, AsistenciaJetAdminConcatenada!$B:$B, 0)), ISNUMBER(SEARCH($A4,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ISNUMBER(SEARCH($A4, INDEX(AsistenciaJetAdminConcatenada!$D:$D, MATCH(1, (AsistenciaJetAdminConcatenada!$A:$A=S$2)*(AsistenciaJetAdminConcatenada!$B:$B=S$1), 0)), 1))),  0.5, 0))</f>
        <v>0</v>
      </c>
      <c r="T4" s="47">
        <f t="array" ref="T4">IF(AND(ISNUMBER(MATCH(T$2, AsistenciaJetAdminConcatenada!$A:$A, 0)), ISNUMBER(MATCH(T$1, AsistenciaJetAdminConcatenada!$B:$B, 0)), ISNUMBER(SEARCH($A4,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ISNUMBER(SEARCH($A4, INDEX(AsistenciaJetAdminConcatenada!$D:$D, MATCH(1, (AsistenciaJetAdminConcatenada!$A:$A=T$2)*(AsistenciaJetAdminConcatenada!$B:$B=T$1), 0)), 1))),  0.5, 0))</f>
        <v>0</v>
      </c>
      <c r="U4" s="47">
        <f t="array" ref="U4">IF(AND(ISNUMBER(MATCH(U$2, AsistenciaJetAdminConcatenada!$A:$A, 0)), ISNUMBER(MATCH(U$1, AsistenciaJetAdminConcatenada!$B:$B, 0)), ISNUMBER(SEARCH($A4,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ISNUMBER(SEARCH($A4, INDEX(AsistenciaJetAdminConcatenada!$D:$D, MATCH(1, (AsistenciaJetAdminConcatenada!$A:$A=U$2)*(AsistenciaJetAdminConcatenada!$B:$B=U$1), 0)), 1))),  0.5, 0))</f>
        <v>1</v>
      </c>
      <c r="V4" s="47">
        <f t="array" ref="V4">IF(AND(ISNUMBER(MATCH(V$2, AsistenciaJetAdminConcatenada!$A:$A, 0)), ISNUMBER(MATCH(V$1, AsistenciaJetAdminConcatenada!$B:$B, 0)), ISNUMBER(SEARCH($A4,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ISNUMBER(SEARCH($A4, INDEX(AsistenciaJetAdminConcatenada!$D:$D, MATCH(1, (AsistenciaJetAdminConcatenada!$A:$A=V$2)*(AsistenciaJetAdminConcatenada!$B:$B=V$1), 0)), 1))),  0.5, 0))</f>
        <v>1</v>
      </c>
      <c r="W4" s="47">
        <f t="array" ref="W4">IF(AND(ISNUMBER(MATCH(W$2, AsistenciaJetAdminConcatenada!$A:$A, 0)), ISNUMBER(MATCH(W$1, AsistenciaJetAdminConcatenada!$B:$B, 0)), ISNUMBER(SEARCH($A4,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ISNUMBER(SEARCH($A4, INDEX(AsistenciaJetAdminConcatenada!$D:$D, MATCH(1, (AsistenciaJetAdminConcatenada!$A:$A=W$2)*(AsistenciaJetAdminConcatenada!$B:$B=W$1), 0)), 1))),  0.5, 0))</f>
        <v>0</v>
      </c>
      <c r="X4" s="47">
        <f t="array" ref="X4">IF(AND(ISNUMBER(MATCH(X$2, AsistenciaJetAdminConcatenada!$A:$A, 0)), ISNUMBER(MATCH(X$1, AsistenciaJetAdminConcatenada!$B:$B, 0)), ISNUMBER(SEARCH($A4,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ISNUMBER(SEARCH($A4, INDEX(AsistenciaJetAdminConcatenada!$D:$D, MATCH(1, (AsistenciaJetAdminConcatenada!$A:$A=X$2)*(AsistenciaJetAdminConcatenada!$B:$B=X$1), 0)), 1))),  0.5, 0))</f>
        <v>1</v>
      </c>
      <c r="Y4" s="47">
        <f t="array" ref="Y4">IF(AND(ISNUMBER(MATCH(Y$2, AsistenciaJetAdminConcatenada!$A:$A, 0)), ISNUMBER(MATCH(Y$1, AsistenciaJetAdminConcatenada!$B:$B, 0)), ISNUMBER(SEARCH($A4,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ISNUMBER(SEARCH($A4, INDEX(AsistenciaJetAdminConcatenada!$D:$D, MATCH(1, (AsistenciaJetAdminConcatenada!$A:$A=Y$2)*(AsistenciaJetAdminConcatenada!$B:$B=Y$1), 0)), 1))),  0.5, 0))</f>
        <v>1</v>
      </c>
      <c r="Z4" s="47">
        <f t="array" ref="Z4">IF(AND(ISNUMBER(MATCH(Z$2, AsistenciaJetAdminConcatenada!$A:$A, 0)), ISNUMBER(MATCH(Z$1, AsistenciaJetAdminConcatenada!$B:$B, 0)), ISNUMBER(SEARCH($A4,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ISNUMBER(SEARCH($A4, INDEX(AsistenciaJetAdminConcatenada!$D:$D, MATCH(1, (AsistenciaJetAdminConcatenada!$A:$A=Z$2)*(AsistenciaJetAdminConcatenada!$B:$B=Z$1), 0)), 1))),  0.5, 0))</f>
        <v>0</v>
      </c>
      <c r="AA4" s="47">
        <f t="array" ref="AA4">IF(AND(ISNUMBER(MATCH(AA$2, AsistenciaJetAdminConcatenada!$A:$A, 0)), ISNUMBER(MATCH(AA$1, AsistenciaJetAdminConcatenada!$B:$B, 0)), ISNUMBER(SEARCH($A4,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ISNUMBER(SEARCH($A4, INDEX(AsistenciaJetAdminConcatenada!$D:$D, MATCH(1, (AsistenciaJetAdminConcatenada!$A:$A=AA$2)*(AsistenciaJetAdminConcatenada!$B:$B=AA$1), 0)), 1))),  0.5, 0))</f>
        <v>1</v>
      </c>
      <c r="AB4" s="47">
        <f t="array" ref="AB4">IF(AND(ISNUMBER(MATCH(AB$2, AsistenciaJetAdminConcatenada!$A:$A, 0)), ISNUMBER(MATCH(AB$1, AsistenciaJetAdminConcatenada!$B:$B, 0)), ISNUMBER(SEARCH($A4,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ISNUMBER(SEARCH($A4, INDEX(AsistenciaJetAdminConcatenada!$D:$D, MATCH(1, (AsistenciaJetAdminConcatenada!$A:$A=AB$2)*(AsistenciaJetAdminConcatenada!$B:$B=AB$1), 0)), 1))),  0.5, 0))</f>
        <v>0.5</v>
      </c>
      <c r="AC4" s="47">
        <f t="array" ref="AC4">IF(AND(ISNUMBER(MATCH(AC$2, AsistenciaJetAdminConcatenada!$A:$A, 0)), ISNUMBER(MATCH(AC$1, AsistenciaJetAdminConcatenada!$B:$B, 0)), ISNUMBER(SEARCH($A4,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ISNUMBER(SEARCH($A4, INDEX(AsistenciaJetAdminConcatenada!$D:$D, MATCH(1, (AsistenciaJetAdminConcatenada!$A:$A=AC$2)*(AsistenciaJetAdminConcatenada!$B:$B=AC$1), 0)), 1))),  0.5, 0))</f>
        <v>1</v>
      </c>
      <c r="AD4" s="47">
        <f t="array" ref="AD4">IF(AND(ISNUMBER(MATCH(AD$2, AsistenciaJetAdminConcatenada!$A:$A, 0)), ISNUMBER(MATCH(AD$1, AsistenciaJetAdminConcatenada!$B:$B, 0)), ISNUMBER(SEARCH($A4,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ISNUMBER(SEARCH($A4, INDEX(AsistenciaJetAdminConcatenada!$D:$D, MATCH(1, (AsistenciaJetAdminConcatenada!$A:$A=AD$2)*(AsistenciaJetAdminConcatenada!$B:$B=AD$1), 0)), 1))),  0.5, 0))</f>
        <v>1</v>
      </c>
      <c r="AE4" s="47">
        <f t="array" ref="AE4">IF(AND(ISNUMBER(MATCH(AE$2, AsistenciaJetAdminConcatenada!$A:$A, 0)), ISNUMBER(MATCH(AE$1, AsistenciaJetAdminConcatenada!$B:$B, 0)), ISNUMBER(SEARCH($A4,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ISNUMBER(SEARCH($A4, INDEX(AsistenciaJetAdminConcatenada!$D:$D, MATCH(1, (AsistenciaJetAdminConcatenada!$A:$A=AE$2)*(AsistenciaJetAdminConcatenada!$B:$B=AE$1), 0)), 1))),  0.5, 0))</f>
        <v>0</v>
      </c>
      <c r="AF4" s="47">
        <f t="array" ref="AF4">IF(AND(ISNUMBER(MATCH(AF$2, AsistenciaJetAdminConcatenada!$A:$A, 0)), ISNUMBER(MATCH(AF$1, AsistenciaJetAdminConcatenada!$B:$B, 0)), ISNUMBER(SEARCH($A4,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ISNUMBER(SEARCH($A4, INDEX(AsistenciaJetAdminConcatenada!$D:$D, MATCH(1, (AsistenciaJetAdminConcatenada!$A:$A=AF$2)*(AsistenciaJetAdminConcatenada!$B:$B=AF$1), 0)), 1))),  0.5, 0))</f>
        <v>0</v>
      </c>
      <c r="AG4" s="47">
        <f t="array" ref="AG4">IF(AND(ISNUMBER(MATCH(AG$2, AsistenciaJetAdminConcatenada!$A:$A, 0)), ISNUMBER(MATCH(AG$1, AsistenciaJetAdminConcatenada!$B:$B, 0)), ISNUMBER(SEARCH($A4,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ISNUMBER(SEARCH($A4, INDEX(AsistenciaJetAdminConcatenada!$D:$D, MATCH(1, (AsistenciaJetAdminConcatenada!$A:$A=AG$2)*(AsistenciaJetAdminConcatenada!$B:$B=AG$1), 0)), 1))),  0.5, 0))</f>
        <v>0</v>
      </c>
      <c r="AH4" s="47">
        <f t="array" ref="AH4">IF(AND(ISNUMBER(MATCH(AH$2, AsistenciaJetAdminConcatenada!$A:$A, 0)), ISNUMBER(MATCH(AH$1, AsistenciaJetAdminConcatenada!$B:$B, 0)), ISNUMBER(SEARCH($A4,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ISNUMBER(SEARCH($A4, INDEX(AsistenciaJetAdminConcatenada!$D:$D, MATCH(1, (AsistenciaJetAdminConcatenada!$A:$A=AH$2)*(AsistenciaJetAdminConcatenada!$B:$B=AH$1), 0)), 1))),  0.5, 0))</f>
        <v>0</v>
      </c>
      <c r="AI4" s="47">
        <f t="array" ref="AI4">IF(AND(ISNUMBER(MATCH(AI$2, AsistenciaJetAdminConcatenada!$A:$A, 0)), ISNUMBER(MATCH(AI$1, AsistenciaJetAdminConcatenada!$B:$B, 0)), ISNUMBER(SEARCH($A4,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ISNUMBER(SEARCH($A4, INDEX(AsistenciaJetAdminConcatenada!$D:$D, MATCH(1, (AsistenciaJetAdminConcatenada!$A:$A=AI$2)*(AsistenciaJetAdminConcatenada!$B:$B=AI$1), 0)), 1))),  0.5, 0))</f>
        <v>1</v>
      </c>
      <c r="AJ4" s="47">
        <f t="array" ref="AJ4">IF(AND(ISNUMBER(MATCH(AJ$2, AsistenciaJetAdminConcatenada!$A:$A, 0)), ISNUMBER(MATCH(AJ$1, AsistenciaJetAdminConcatenada!$B:$B, 0)), ISNUMBER(SEARCH($A4,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ISNUMBER(SEARCH($A4, INDEX(AsistenciaJetAdminConcatenada!$D:$D, MATCH(1, (AsistenciaJetAdminConcatenada!$A:$A=AJ$2)*(AsistenciaJetAdminConcatenada!$B:$B=AJ$1), 0)), 1))),  0.5, 0))</f>
        <v>0</v>
      </c>
      <c r="AK4" s="47">
        <f t="array" ref="AK4">IF(AND(ISNUMBER(MATCH(AK$2, AsistenciaJetAdminConcatenada!$A:$A, 0)), ISNUMBER(MATCH(AK$1, AsistenciaJetAdminConcatenada!$B:$B, 0)), ISNUMBER(SEARCH($A4,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ISNUMBER(SEARCH($A4, INDEX(AsistenciaJetAdminConcatenada!$D:$D, MATCH(1, (AsistenciaJetAdminConcatenada!$A:$A=AK$2)*(AsistenciaJetAdminConcatenada!$B:$B=AK$1), 0)), 1))),  0.5, 0))</f>
        <v>0</v>
      </c>
      <c r="AL4" s="47">
        <f t="array" ref="AL4">IF(AND(ISNUMBER(MATCH(AL$2, AsistenciaJetAdminConcatenada!$A:$A, 0)), ISNUMBER(MATCH(AL$1, AsistenciaJetAdminConcatenada!$B:$B, 0)), ISNUMBER(SEARCH($A4,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ISNUMBER(SEARCH($A4, INDEX(AsistenciaJetAdminConcatenada!$D:$D, MATCH(1, (AsistenciaJetAdminConcatenada!$A:$A=AL$2)*(AsistenciaJetAdminConcatenada!$B:$B=AL$1), 0)), 1))),  0.5, 0))</f>
        <v>1</v>
      </c>
      <c r="AM4" s="47">
        <f t="array" ref="AM4">IF(AND(ISNUMBER(MATCH(AM$2, AsistenciaJetAdminConcatenada!$A:$A, 0)), ISNUMBER(MATCH(AM$1, AsistenciaJetAdminConcatenada!$B:$B, 0)), ISNUMBER(SEARCH($A4,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ISNUMBER(SEARCH($A4, INDEX(AsistenciaJetAdminConcatenada!$D:$D, MATCH(1, (AsistenciaJetAdminConcatenada!$A:$A=AM$2)*(AsistenciaJetAdminConcatenada!$B:$B=AM$1), 0)), 1))),  0.5, 0))</f>
        <v>0</v>
      </c>
      <c r="AN4" s="47">
        <f t="array" ref="AN4">IF(AND(ISNUMBER(MATCH(AN$2, AsistenciaJetAdminConcatenada!$A:$A, 0)), ISNUMBER(MATCH(AN$1, AsistenciaJetAdminConcatenada!$B:$B, 0)), ISNUMBER(SEARCH($A4,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ISNUMBER(SEARCH($A4, INDEX(AsistenciaJetAdminConcatenada!$D:$D, MATCH(1, (AsistenciaJetAdminConcatenada!$A:$A=AN$2)*(AsistenciaJetAdminConcatenada!$B:$B=AN$1), 0)), 1))),  0.5, 0))</f>
        <v>0</v>
      </c>
      <c r="AO4" s="47">
        <f t="array" ref="AO4">IF(AND(ISNUMBER(MATCH(AO$2, AsistenciaJetAdminConcatenada!$A:$A, 0)), ISNUMBER(MATCH(AO$1, AsistenciaJetAdminConcatenada!$B:$B, 0)), ISNUMBER(SEARCH($A4,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ISNUMBER(SEARCH($A4, INDEX(AsistenciaJetAdminConcatenada!$D:$D, MATCH(1, (AsistenciaJetAdminConcatenada!$A:$A=AO$2)*(AsistenciaJetAdminConcatenada!$B:$B=AO$1), 0)), 1))),  0.5, 0))</f>
        <v>1</v>
      </c>
      <c r="AP4" s="47">
        <f t="array" ref="AP4">IF(AND(ISNUMBER(MATCH(AP$2, AsistenciaJetAdminConcatenada!$A:$A, 0)), ISNUMBER(MATCH(AP$1, AsistenciaJetAdminConcatenada!$B:$B, 0)), ISNUMBER(SEARCH($A4,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ISNUMBER(SEARCH($A4, INDEX(AsistenciaJetAdminConcatenada!$D:$D, MATCH(1, (AsistenciaJetAdminConcatenada!$A:$A=AP$2)*(AsistenciaJetAdminConcatenada!$B:$B=AP$1), 0)), 1))),  0.5, 0))</f>
        <v>1</v>
      </c>
      <c r="AQ4" s="47">
        <f t="array" ref="AQ4">IF(AND(ISNUMBER(MATCH(AQ$2, AsistenciaJetAdminConcatenada!$A:$A, 0)), ISNUMBER(MATCH(AQ$1, AsistenciaJetAdminConcatenada!$B:$B, 0)), ISNUMBER(SEARCH($A4,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ISNUMBER(SEARCH($A4, INDEX(AsistenciaJetAdminConcatenada!$D:$D, MATCH(1, (AsistenciaJetAdminConcatenada!$A:$A=AQ$2)*(AsistenciaJetAdminConcatenada!$B:$B=AQ$1), 0)), 1))),  0.5, 0))</f>
        <v>0</v>
      </c>
      <c r="AR4" s="47">
        <f t="array" ref="AR4">IF(AND(ISNUMBER(MATCH(AR$2, AsistenciaJetAdminConcatenada!$A:$A, 0)), ISNUMBER(MATCH(AR$1, AsistenciaJetAdminConcatenada!$B:$B, 0)), ISNUMBER(SEARCH($A4,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ISNUMBER(SEARCH($A4, INDEX(AsistenciaJetAdminConcatenada!$D:$D, MATCH(1, (AsistenciaJetAdminConcatenada!$A:$A=AR$2)*(AsistenciaJetAdminConcatenada!$B:$B=AR$1), 0)), 1))),  0.5, 0))</f>
        <v>1</v>
      </c>
      <c r="AS4" s="47">
        <f t="array" ref="AS4">IF(AND(ISNUMBER(MATCH(AS$2, AsistenciaJetAdminConcatenada!$A:$A, 0)), ISNUMBER(MATCH(AS$1, AsistenciaJetAdminConcatenada!$B:$B, 0)), ISNUMBER(SEARCH($A4,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ISNUMBER(SEARCH($A4, INDEX(AsistenciaJetAdminConcatenada!$D:$D, MATCH(1, (AsistenciaJetAdminConcatenada!$A:$A=AS$2)*(AsistenciaJetAdminConcatenada!$B:$B=AS$1), 0)), 1))),  0.5, 0))</f>
        <v>0.5</v>
      </c>
      <c r="AT4" s="47">
        <f t="array" ref="AT4">IF(AND(ISNUMBER(MATCH(AT$2, AsistenciaJetAdminConcatenada!$A:$A, 0)), ISNUMBER(MATCH(AT$1, AsistenciaJetAdminConcatenada!$B:$B, 0)), ISNUMBER(SEARCH($A4,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ISNUMBER(SEARCH($A4, INDEX(AsistenciaJetAdminConcatenada!$D:$D, MATCH(1, (AsistenciaJetAdminConcatenada!$A:$A=AT$2)*(AsistenciaJetAdminConcatenada!$B:$B=AT$1), 0)), 1))),  0.5, 0))</f>
        <v>1</v>
      </c>
      <c r="AU4" s="47">
        <f t="array" ref="AU4">IF(AND(ISNUMBER(MATCH(AU$2, AsistenciaJetAdminConcatenada!$A:$A, 0)), ISNUMBER(MATCH(AU$1, AsistenciaJetAdminConcatenada!$B:$B, 0)), ISNUMBER(SEARCH($A4,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ISNUMBER(SEARCH($A4, INDEX(AsistenciaJetAdminConcatenada!$D:$D, MATCH(1, (AsistenciaJetAdminConcatenada!$A:$A=AU$2)*(AsistenciaJetAdminConcatenada!$B:$B=AU$1), 0)), 1))),  0.5, 0))</f>
        <v>0</v>
      </c>
      <c r="AV4" s="47">
        <f t="array" ref="AV4">IF(AND(ISNUMBER(MATCH(AV$2, AsistenciaJetAdminConcatenada!$A:$A, 0)), ISNUMBER(MATCH(AV$1, AsistenciaJetAdminConcatenada!$B:$B, 0)), ISNUMBER(SEARCH($A4,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ISNUMBER(SEARCH($A4, INDEX(AsistenciaJetAdminConcatenada!$D:$D, MATCH(1, (AsistenciaJetAdminConcatenada!$A:$A=AV$2)*(AsistenciaJetAdminConcatenada!$B:$B=AV$1), 0)), 1))),  0.5, 0))</f>
        <v>1</v>
      </c>
      <c r="AW4" s="47">
        <f t="array" ref="AW4">IF(AND(ISNUMBER(MATCH(AW$2, AsistenciaJetAdminConcatenada!$A:$A, 0)), ISNUMBER(MATCH(AW$1, AsistenciaJetAdminConcatenada!$B:$B, 0)), ISNUMBER(SEARCH($A4,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ISNUMBER(SEARCH($A4, INDEX(AsistenciaJetAdminConcatenada!$D:$D, MATCH(1, (AsistenciaJetAdminConcatenada!$A:$A=AW$2)*(AsistenciaJetAdminConcatenada!$B:$B=AW$1), 0)), 1))),  0.5, 0))</f>
        <v>0</v>
      </c>
      <c r="AX4" s="47">
        <f t="array" ref="AX4">IF(AND(ISNUMBER(MATCH(AX$2, AsistenciaJetAdminConcatenada!$A:$A, 0)), ISNUMBER(MATCH(AX$1, AsistenciaJetAdminConcatenada!$B:$B, 0)), ISNUMBER(SEARCH($A4,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ISNUMBER(SEARCH($A4, INDEX(AsistenciaJetAdminConcatenada!$D:$D, MATCH(1, (AsistenciaJetAdminConcatenada!$A:$A=AX$2)*(AsistenciaJetAdminConcatenada!$B:$B=AX$1), 0)), 1))),  0.5, 0))</f>
        <v>0</v>
      </c>
      <c r="AY4" s="47">
        <f t="array" ref="AY4">IF(AND(ISNUMBER(MATCH(AY$2, AsistenciaJetAdminConcatenada!$A:$A, 0)), ISNUMBER(MATCH(AY$1, AsistenciaJetAdminConcatenada!$B:$B, 0)), ISNUMBER(SEARCH($A4,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ISNUMBER(SEARCH($A4, INDEX(AsistenciaJetAdminConcatenada!$D:$D, MATCH(1, (AsistenciaJetAdminConcatenada!$A:$A=AY$2)*(AsistenciaJetAdminConcatenada!$B:$B=AY$1), 0)), 1))),  0.5, 0))</f>
        <v>1</v>
      </c>
      <c r="AZ4" s="47">
        <f t="array" ref="AZ4">IF(AND(ISNUMBER(MATCH(AZ$2, AsistenciaJetAdminConcatenada!$A:$A, 0)), ISNUMBER(MATCH(AZ$1, AsistenciaJetAdminConcatenada!$B:$B, 0)), ISNUMBER(SEARCH($A4,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ISNUMBER(SEARCH($A4, INDEX(AsistenciaJetAdminConcatenada!$D:$D, MATCH(1, (AsistenciaJetAdminConcatenada!$A:$A=AZ$2)*(AsistenciaJetAdminConcatenada!$B:$B=AZ$1), 0)), 1))),  0.5, 0))</f>
        <v>0</v>
      </c>
      <c r="BA4" s="47">
        <f t="array" ref="BA4">IF(AND(ISNUMBER(MATCH(BA$2, AsistenciaJetAdminConcatenada!$A:$A, 0)), ISNUMBER(MATCH(BA$1, AsistenciaJetAdminConcatenada!$B:$B, 0)), ISNUMBER(SEARCH($A4,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ISNUMBER(SEARCH($A4, INDEX(AsistenciaJetAdminConcatenada!$D:$D, MATCH(1, (AsistenciaJetAdminConcatenada!$A:$A=BA$2)*(AsistenciaJetAdminConcatenada!$B:$B=BA$1), 0)), 1))),  0.5, 0))</f>
        <v>0</v>
      </c>
      <c r="BB4" s="47">
        <f t="array" ref="BB4">IF(AND(ISNUMBER(MATCH(BB$2, AsistenciaJetAdminConcatenada!$A:$A, 0)), ISNUMBER(MATCH(BB$1, AsistenciaJetAdminConcatenada!$B:$B, 0)), ISNUMBER(SEARCH($A4,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ISNUMBER(SEARCH($A4, INDEX(AsistenciaJetAdminConcatenada!$D:$D, MATCH(1, (AsistenciaJetAdminConcatenada!$A:$A=BB$2)*(AsistenciaJetAdminConcatenada!$B:$B=BB$1), 0)), 1))),  0.5, 0))</f>
        <v>0</v>
      </c>
      <c r="BC4" s="47">
        <f t="array" ref="BC4">IF(AND(ISNUMBER(MATCH(BC$2, AsistenciaJetAdminConcatenada!$A:$A, 0)), ISNUMBER(MATCH(BC$1, AsistenciaJetAdminConcatenada!$B:$B, 0)), ISNUMBER(SEARCH($A4,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ISNUMBER(SEARCH($A4, INDEX(AsistenciaJetAdminConcatenada!$D:$D, MATCH(1, (AsistenciaJetAdminConcatenada!$A:$A=BC$2)*(AsistenciaJetAdminConcatenada!$B:$B=BC$1), 0)), 1))),  0.5, 0))</f>
        <v>1</v>
      </c>
      <c r="BD4" s="47">
        <f t="array" ref="BD4">IF(AND(ISNUMBER(MATCH(BD$2, AsistenciaJetAdminConcatenada!$A:$A, 0)), ISNUMBER(MATCH(BD$1, AsistenciaJetAdminConcatenada!$B:$B, 0)), ISNUMBER(SEARCH($A4,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ISNUMBER(SEARCH($A4, INDEX(AsistenciaJetAdminConcatenada!$D:$D, MATCH(1, (AsistenciaJetAdminConcatenada!$A:$A=BD$2)*(AsistenciaJetAdminConcatenada!$B:$B=BD$1), 0)), 1))),  0.5, 0))</f>
        <v>1</v>
      </c>
      <c r="BE4" s="47">
        <f t="array" ref="BE4">IF(AND(ISNUMBER(MATCH(BE$2, AsistenciaJetAdminConcatenada!$A:$A, 0)), ISNUMBER(MATCH(BE$1, AsistenciaJetAdminConcatenada!$B:$B, 0)), ISNUMBER(SEARCH($A4,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ISNUMBER(SEARCH($A4, INDEX(AsistenciaJetAdminConcatenada!$D:$D, MATCH(1, (AsistenciaJetAdminConcatenada!$A:$A=BE$2)*(AsistenciaJetAdminConcatenada!$B:$B=BE$1), 0)), 1))),  0.5, 0))</f>
        <v>1</v>
      </c>
      <c r="BF4" s="47">
        <f t="array" ref="BF4">IF(AND(ISNUMBER(MATCH(BF$2, AsistenciaJetAdminConcatenada!$A:$A, 0)), ISNUMBER(MATCH(BF$1, AsistenciaJetAdminConcatenada!$B:$B, 0)), ISNUMBER(SEARCH($A4,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ISNUMBER(SEARCH($A4, INDEX(AsistenciaJetAdminConcatenada!$D:$D, MATCH(1, (AsistenciaJetAdminConcatenada!$A:$A=BF$2)*(AsistenciaJetAdminConcatenada!$B:$B=BF$1), 0)), 1))),  0.5, 0))</f>
        <v>0</v>
      </c>
      <c r="BG4" s="47">
        <f t="array" ref="BG4">IF(AND(ISNUMBER(MATCH(BG$2, AsistenciaJetAdminConcatenada!$A:$A, 0)), ISNUMBER(MATCH(BG$1, AsistenciaJetAdminConcatenada!$B:$B, 0)), ISNUMBER(SEARCH($A4,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ISNUMBER(SEARCH($A4, INDEX(AsistenciaJetAdminConcatenada!$D:$D, MATCH(1, (AsistenciaJetAdminConcatenada!$A:$A=BG$2)*(AsistenciaJetAdminConcatenada!$B:$B=BG$1), 0)), 1))),  0.5, 0))</f>
        <v>0.5</v>
      </c>
      <c r="BH4" s="47">
        <f t="array" ref="BH4">IF(AND(ISNUMBER(MATCH(BH$2, AsistenciaJetAdminConcatenada!$A:$A, 0)), ISNUMBER(MATCH(BH$1, AsistenciaJetAdminConcatenada!$B:$B, 0)), ISNUMBER(SEARCH($A4,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ISNUMBER(SEARCH($A4, INDEX(AsistenciaJetAdminConcatenada!$D:$D, MATCH(1, (AsistenciaJetAdminConcatenada!$A:$A=BH$2)*(AsistenciaJetAdminConcatenada!$B:$B=BH$1), 0)), 1))),  0.5, 0))</f>
        <v>1</v>
      </c>
      <c r="BI4" s="47">
        <f t="array" ref="BI4">IF(AND(ISNUMBER(MATCH(BI$2, AsistenciaJetAdminConcatenada!$A:$A, 0)), ISNUMBER(MATCH(BI$1, AsistenciaJetAdminConcatenada!$B:$B, 0)), ISNUMBER(SEARCH($A4,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ISNUMBER(SEARCH($A4, INDEX(AsistenciaJetAdminConcatenada!$D:$D, MATCH(1, (AsistenciaJetAdminConcatenada!$A:$A=BI$2)*(AsistenciaJetAdminConcatenada!$B:$B=BI$1), 0)), 1))),  0.5, 0))</f>
        <v>1</v>
      </c>
      <c r="BJ4" s="47">
        <f t="array" ref="BJ4">IF(AND(ISNUMBER(MATCH(BJ$2, AsistenciaJetAdminConcatenada!$A:$A, 0)), ISNUMBER(MATCH(BJ$1, AsistenciaJetAdminConcatenada!$B:$B, 0)), ISNUMBER(SEARCH($A4,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ISNUMBER(SEARCH($A4, INDEX(AsistenciaJetAdminConcatenada!$D:$D, MATCH(1, (AsistenciaJetAdminConcatenada!$A:$A=BJ$2)*(AsistenciaJetAdminConcatenada!$B:$B=BJ$1), 0)), 1))),  0.5, 0))</f>
        <v>0</v>
      </c>
      <c r="BK4" s="47">
        <f t="array" ref="BK4">IF(AND(ISNUMBER(MATCH(BK$2, AsistenciaJetAdminConcatenada!$A:$A, 0)), ISNUMBER(MATCH(BK$1, AsistenciaJetAdminConcatenada!$B:$B, 0)), ISNUMBER(SEARCH($A4,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ISNUMBER(SEARCH($A4, INDEX(AsistenciaJetAdminConcatenada!$D:$D, MATCH(1, (AsistenciaJetAdminConcatenada!$A:$A=BK$2)*(AsistenciaJetAdminConcatenada!$B:$B=BK$1), 0)), 1))),  0.5, 0))</f>
        <v>1</v>
      </c>
      <c r="BL4" s="47">
        <f t="array" ref="BL4">IF(AND(ISNUMBER(MATCH(BL$2, AsistenciaJetAdminConcatenada!$A:$A, 0)), ISNUMBER(MATCH(BL$1, AsistenciaJetAdminConcatenada!$B:$B, 0)), ISNUMBER(SEARCH($A4,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ISNUMBER(SEARCH($A4, INDEX(AsistenciaJetAdminConcatenada!$D:$D, MATCH(1, (AsistenciaJetAdminConcatenada!$A:$A=BL$2)*(AsistenciaJetAdminConcatenada!$B:$B=BL$1), 0)), 1))),  0.5, 0))</f>
        <v>0</v>
      </c>
      <c r="BM4" s="47">
        <f t="array" ref="BM4">IF(AND(ISNUMBER(MATCH(BM$2, AsistenciaJetAdminConcatenada!$A:$A, 0)), ISNUMBER(MATCH(BM$1, AsistenciaJetAdminConcatenada!$B:$B, 0)), ISNUMBER(SEARCH($A4,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ISNUMBER(SEARCH($A4, INDEX(AsistenciaJetAdminConcatenada!$D:$D, MATCH(1, (AsistenciaJetAdminConcatenada!$A:$A=BM$2)*(AsistenciaJetAdminConcatenada!$B:$B=BM$1), 0)), 1))),  0.5, 0))</f>
        <v>0</v>
      </c>
      <c r="BN4" s="47">
        <f t="array" ref="BN4">IF(AND(ISNUMBER(MATCH(BN$2, AsistenciaJetAdminConcatenada!$A:$A, 0)), ISNUMBER(MATCH(BN$1, AsistenciaJetAdminConcatenada!$B:$B, 0)), ISNUMBER(SEARCH($A4,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ISNUMBER(SEARCH($A4, INDEX(AsistenciaJetAdminConcatenada!$D:$D, MATCH(1, (AsistenciaJetAdminConcatenada!$A:$A=BN$2)*(AsistenciaJetAdminConcatenada!$B:$B=BN$1), 0)), 1))),  0.5, 0))</f>
        <v>0</v>
      </c>
      <c r="BO4" s="47">
        <f t="array" ref="BO4">IF(AND(ISNUMBER(MATCH(BO$2, AsistenciaJetAdminConcatenada!$A:$A, 0)), ISNUMBER(MATCH(BO$1, AsistenciaJetAdminConcatenada!$B:$B, 0)), ISNUMBER(SEARCH($A4,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ISNUMBER(SEARCH($A4, INDEX(AsistenciaJetAdminConcatenada!$D:$D, MATCH(1, (AsistenciaJetAdminConcatenada!$A:$A=BO$2)*(AsistenciaJetAdminConcatenada!$B:$B=BO$1), 0)), 1))),  0.5, 0))</f>
        <v>1</v>
      </c>
      <c r="BP4" s="47">
        <f t="array" ref="BP4">IF(AND(ISNUMBER(MATCH(BP$2, AsistenciaJetAdminConcatenada!$A:$A, 0)), ISNUMBER(MATCH(BP$1, AsistenciaJetAdminConcatenada!$B:$B, 0)), ISNUMBER(SEARCH($A4,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ISNUMBER(SEARCH($A4, INDEX(AsistenciaJetAdminConcatenada!$D:$D, MATCH(1, (AsistenciaJetAdminConcatenada!$A:$A=BP$2)*(AsistenciaJetAdminConcatenada!$B:$B=BP$1), 0)), 1))),  0.5, 0))</f>
        <v>0</v>
      </c>
      <c r="BQ4" s="47">
        <f t="array" ref="BQ4">IF(AND(ISNUMBER(MATCH(BQ$2, AsistenciaJetAdminConcatenada!$A:$A, 0)), ISNUMBER(MATCH(BQ$1, AsistenciaJetAdminConcatenada!$B:$B, 0)), ISNUMBER(SEARCH($A4,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ISNUMBER(SEARCH($A4, INDEX(AsistenciaJetAdminConcatenada!$D:$D, MATCH(1, (AsistenciaJetAdminConcatenada!$A:$A=BQ$2)*(AsistenciaJetAdminConcatenada!$B:$B=BQ$1), 0)), 1))),  0.5, 0))</f>
        <v>1</v>
      </c>
      <c r="BR4" s="47">
        <f t="array" ref="BR4">IF(AND(ISNUMBER(MATCH(BR$2, AsistenciaJetAdminConcatenada!$A:$A, 0)), ISNUMBER(MATCH(BR$1, AsistenciaJetAdminConcatenada!$B:$B, 0)), ISNUMBER(SEARCH($A4,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ISNUMBER(SEARCH($A4, INDEX(AsistenciaJetAdminConcatenada!$D:$D, MATCH(1, (AsistenciaJetAdminConcatenada!$A:$A=BR$2)*(AsistenciaJetAdminConcatenada!$B:$B=BR$1), 0)), 1))),  0.5, 0))</f>
        <v>1</v>
      </c>
      <c r="BS4" s="47">
        <f t="array" ref="BS4">IF(AND(ISNUMBER(MATCH(BS$2, AsistenciaJetAdminConcatenada!$A:$A, 0)), ISNUMBER(MATCH(BS$1, AsistenciaJetAdminConcatenada!$B:$B, 0)), ISNUMBER(SEARCH($A4,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ISNUMBER(SEARCH($A4, INDEX(AsistenciaJetAdminConcatenada!$D:$D, MATCH(1, (AsistenciaJetAdminConcatenada!$A:$A=BS$2)*(AsistenciaJetAdminConcatenada!$B:$B=BS$1), 0)), 1))),  0.5, 0))</f>
        <v>1</v>
      </c>
      <c r="BT4" s="47">
        <f t="array" ref="BT4">IF(AND(ISNUMBER(MATCH(BT$2, AsistenciaJetAdminConcatenada!$A:$A, 0)), ISNUMBER(MATCH(BT$1, AsistenciaJetAdminConcatenada!$B:$B, 0)), ISNUMBER(SEARCH($A4,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ISNUMBER(SEARCH($A4, INDEX(AsistenciaJetAdminConcatenada!$D:$D, MATCH(1, (AsistenciaJetAdminConcatenada!$A:$A=BT$2)*(AsistenciaJetAdminConcatenada!$B:$B=BT$1), 0)), 1))),  0.5, 0))</f>
        <v>0</v>
      </c>
      <c r="BU4" s="47">
        <f t="array" ref="BU4">IF(AND(ISNUMBER(MATCH(BU$2, AsistenciaJetAdminConcatenada!$A:$A, 0)), ISNUMBER(MATCH(BU$1, AsistenciaJetAdminConcatenada!$B:$B, 0)), ISNUMBER(SEARCH($A4,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ISNUMBER(SEARCH($A4, INDEX(AsistenciaJetAdminConcatenada!$D:$D, MATCH(1, (AsistenciaJetAdminConcatenada!$A:$A=BU$2)*(AsistenciaJetAdminConcatenada!$B:$B=BU$1), 0)), 1))),  0.5, 0))</f>
        <v>1</v>
      </c>
      <c r="BV4" s="47">
        <f t="array" ref="BV4">IF(AND(ISNUMBER(MATCH(BV$2, AsistenciaJetAdminConcatenada!$A:$A, 0)), ISNUMBER(MATCH(BV$1, AsistenciaJetAdminConcatenada!$B:$B, 0)), ISNUMBER(SEARCH($A4,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ISNUMBER(SEARCH($A4, INDEX(AsistenciaJetAdminConcatenada!$D:$D, MATCH(1, (AsistenciaJetAdminConcatenada!$A:$A=BV$2)*(AsistenciaJetAdminConcatenada!$B:$B=BV$1), 0)), 1))),  0.5, 0))</f>
        <v>1</v>
      </c>
      <c r="BW4" s="47">
        <f t="array" ref="BW4">IF(AND(ISNUMBER(MATCH(BW$2, AsistenciaJetAdminConcatenada!$A:$A, 0)), ISNUMBER(MATCH(BW$1, AsistenciaJetAdminConcatenada!$B:$B, 0)), ISNUMBER(SEARCH($A4,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ISNUMBER(SEARCH($A4, INDEX(AsistenciaJetAdminConcatenada!$D:$D, MATCH(1, (AsistenciaJetAdminConcatenada!$A:$A=BW$2)*(AsistenciaJetAdminConcatenada!$B:$B=BW$1), 0)), 1))),  0.5, 0))</f>
        <v>0.5</v>
      </c>
      <c r="BX4" s="47">
        <f t="array" ref="BX4">IF(AND(ISNUMBER(MATCH(BX$2, AsistenciaJetAdminConcatenada!$A:$A, 0)), ISNUMBER(MATCH(BX$1, AsistenciaJetAdminConcatenada!$B:$B, 0)), ISNUMBER(SEARCH($A4,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ISNUMBER(SEARCH($A4, INDEX(AsistenciaJetAdminConcatenada!$D:$D, MATCH(1, (AsistenciaJetAdminConcatenada!$A:$A=BX$2)*(AsistenciaJetAdminConcatenada!$B:$B=BX$1), 0)), 1))),  0.5, 0))</f>
        <v>1</v>
      </c>
      <c r="BY4" s="47">
        <f t="array" ref="BY4">IF(AND(ISNUMBER(MATCH(BY$2, AsistenciaJetAdminConcatenada!$A:$A, 0)), ISNUMBER(MATCH(BY$1, AsistenciaJetAdminConcatenada!$B:$B, 0)), ISNUMBER(SEARCH($A4,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ISNUMBER(SEARCH($A4, INDEX(AsistenciaJetAdminConcatenada!$D:$D, MATCH(1, (AsistenciaJetAdminConcatenada!$A:$A=BY$2)*(AsistenciaJetAdminConcatenada!$B:$B=BY$1), 0)), 1))),  0.5, 0))</f>
        <v>0</v>
      </c>
      <c r="BZ4" s="47">
        <f t="array" ref="BZ4">IF(AND(ISNUMBER(MATCH(BZ$2, AsistenciaJetAdminConcatenada!$A:$A, 0)), ISNUMBER(MATCH(BZ$1, AsistenciaJetAdminConcatenada!$B:$B, 0)), ISNUMBER(SEARCH($A4,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ISNUMBER(SEARCH($A4, INDEX(AsistenciaJetAdminConcatenada!$D:$D, MATCH(1, (AsistenciaJetAdminConcatenada!$A:$A=BZ$2)*(AsistenciaJetAdminConcatenada!$B:$B=BZ$1), 0)), 1))),  0.5, 0))</f>
        <v>0</v>
      </c>
      <c r="CA4" s="47">
        <f t="array" ref="CA4">IF(AND(ISNUMBER(MATCH(CA$2, AsistenciaJetAdminConcatenada!$A:$A, 0)), ISNUMBER(MATCH(CA$1, AsistenciaJetAdminConcatenada!$B:$B, 0)), ISNUMBER(SEARCH($A4,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ISNUMBER(SEARCH($A4, INDEX(AsistenciaJetAdminConcatenada!$D:$D, MATCH(1, (AsistenciaJetAdminConcatenada!$A:$A=CA$2)*(AsistenciaJetAdminConcatenada!$B:$B=CA$1), 0)), 1))),  0.5, 0))</f>
        <v>1</v>
      </c>
      <c r="CB4" s="47">
        <f t="array" ref="CB4">IF(AND(ISNUMBER(MATCH(CB$2, AsistenciaJetAdminConcatenada!$A:$A, 0)), ISNUMBER(MATCH(CB$1, AsistenciaJetAdminConcatenada!$B:$B, 0)), ISNUMBER(SEARCH($A4,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ISNUMBER(SEARCH($A4, INDEX(AsistenciaJetAdminConcatenada!$D:$D, MATCH(1, (AsistenciaJetAdminConcatenada!$A:$A=CB$2)*(AsistenciaJetAdminConcatenada!$B:$B=CB$1), 0)), 1))),  0.5, 0))</f>
        <v>0</v>
      </c>
      <c r="CC4" s="47">
        <f t="array" ref="CC4">IF(AND(ISNUMBER(MATCH(CC$2, AsistenciaJetAdminConcatenada!$A:$A, 0)), ISNUMBER(MATCH(CC$1, AsistenciaJetAdminConcatenada!$B:$B, 0)), ISNUMBER(SEARCH($A4,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ISNUMBER(SEARCH($A4, INDEX(AsistenciaJetAdminConcatenada!$D:$D, MATCH(1, (AsistenciaJetAdminConcatenada!$A:$A=CC$2)*(AsistenciaJetAdminConcatenada!$B:$B=CC$1), 0)), 1))),  0.5, 0))</f>
        <v>0</v>
      </c>
      <c r="CD4" s="47">
        <f t="array" ref="CD4">IF(AND(ISNUMBER(MATCH(CD$2, AsistenciaJetAdminConcatenada!$A:$A, 0)), ISNUMBER(MATCH(CD$1, AsistenciaJetAdminConcatenada!$B:$B, 0)), ISNUMBER(SEARCH($A4,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ISNUMBER(SEARCH($A4, INDEX(AsistenciaJetAdminConcatenada!$D:$D, MATCH(1, (AsistenciaJetAdminConcatenada!$A:$A=CD$2)*(AsistenciaJetAdminConcatenada!$B:$B=CD$1), 0)), 1))),  0.5, 0))</f>
        <v>1</v>
      </c>
      <c r="CE4" s="47">
        <f t="array" ref="CE4">IF(AND(ISNUMBER(MATCH(CE$2, AsistenciaJetAdminConcatenada!$A:$A, 0)), ISNUMBER(MATCH(CE$1, AsistenciaJetAdminConcatenada!$B:$B, 0)), ISNUMBER(SEARCH($A4,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ISNUMBER(SEARCH($A4, INDEX(AsistenciaJetAdminConcatenada!$D:$D, MATCH(1, (AsistenciaJetAdminConcatenada!$A:$A=CE$2)*(AsistenciaJetAdminConcatenada!$B:$B=CE$1), 0)), 1))),  0.5, 0))</f>
        <v>0</v>
      </c>
      <c r="CF4" s="47">
        <f t="array" ref="CF4">IF(AND(ISNUMBER(MATCH(CF$2, AsistenciaJetAdminConcatenada!$A:$A, 0)), ISNUMBER(MATCH(CF$1, AsistenciaJetAdminConcatenada!$B:$B, 0)), ISNUMBER(SEARCH($A4,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ISNUMBER(SEARCH($A4, INDEX(AsistenciaJetAdminConcatenada!$D:$D, MATCH(1, (AsistenciaJetAdminConcatenada!$A:$A=CF$2)*(AsistenciaJetAdminConcatenada!$B:$B=CF$1), 0)), 1))),  0.5, 0))</f>
        <v>0</v>
      </c>
      <c r="CG4" s="47">
        <f t="array" ref="CG4">IF(AND(ISNUMBER(MATCH(CG$2, AsistenciaJetAdminConcatenada!$A:$A, 0)), ISNUMBER(MATCH(CG$1, AsistenciaJetAdminConcatenada!$B:$B, 0)), ISNUMBER(SEARCH($A4,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ISNUMBER(SEARCH($A4, INDEX(AsistenciaJetAdminConcatenada!$D:$D, MATCH(1, (AsistenciaJetAdminConcatenada!$A:$A=CG$2)*(AsistenciaJetAdminConcatenada!$B:$B=CG$1), 0)), 1))),  0.5, 0))</f>
        <v>0</v>
      </c>
      <c r="CH4" s="47">
        <f t="array" ref="CH4">IF(AND(ISNUMBER(MATCH(CH$2, AsistenciaJetAdminConcatenada!$A:$A, 0)), ISNUMBER(MATCH(CH$1, AsistenciaJetAdminConcatenada!$B:$B, 0)), ISNUMBER(SEARCH($A4,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ISNUMBER(SEARCH($A4, INDEX(AsistenciaJetAdminConcatenada!$D:$D, MATCH(1, (AsistenciaJetAdminConcatenada!$A:$A=CH$2)*(AsistenciaJetAdminConcatenada!$B:$B=CH$1), 0)), 1))),  0.5, 0))</f>
        <v>0</v>
      </c>
      <c r="CI4" s="47">
        <f t="array" ref="CI4">IF(AND(ISNUMBER(MATCH(CI$2, AsistenciaJetAdminConcatenada!$A:$A, 0)), ISNUMBER(MATCH(CI$1, AsistenciaJetAdminConcatenada!$B:$B, 0)), ISNUMBER(SEARCH($A4,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ISNUMBER(SEARCH($A4, INDEX(AsistenciaJetAdminConcatenada!$D:$D, MATCH(1, (AsistenciaJetAdminConcatenada!$A:$A=CI$2)*(AsistenciaJetAdminConcatenada!$B:$B=CI$1), 0)), 1))),  0.5, 0))</f>
        <v>0</v>
      </c>
      <c r="CJ4" s="47">
        <f t="array" ref="CJ4">IF(AND(ISNUMBER(MATCH(CJ$2, AsistenciaJetAdminConcatenada!$A:$A, 0)), ISNUMBER(MATCH(CJ$1, AsistenciaJetAdminConcatenada!$B:$B, 0)), ISNUMBER(SEARCH($A4,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ISNUMBER(SEARCH($A4, INDEX(AsistenciaJetAdminConcatenada!$D:$D, MATCH(1, (AsistenciaJetAdminConcatenada!$A:$A=CJ$2)*(AsistenciaJetAdminConcatenada!$B:$B=CJ$1), 0)), 1))),  0.5, 0))</f>
        <v>1</v>
      </c>
      <c r="CK4" s="47">
        <f t="array" ref="CK4">IF(AND(ISNUMBER(MATCH(CK$2, AsistenciaJetAdminConcatenada!$A:$A, 0)), ISNUMBER(MATCH(CK$1, AsistenciaJetAdminConcatenada!$B:$B, 0)), ISNUMBER(SEARCH($A4,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ISNUMBER(SEARCH($A4, INDEX(AsistenciaJetAdminConcatenada!$D:$D, MATCH(1, (AsistenciaJetAdminConcatenada!$A:$A=CK$2)*(AsistenciaJetAdminConcatenada!$B:$B=CK$1), 0)), 1))),  0.5, 0))</f>
        <v>1</v>
      </c>
      <c r="CL4" s="47">
        <f t="array" ref="CL4">IF(AND(ISNUMBER(MATCH(CL$2, AsistenciaJetAdminConcatenada!$A:$A, 0)), ISNUMBER(MATCH(CL$1, AsistenciaJetAdminConcatenada!$B:$B, 0)), ISNUMBER(SEARCH($A4,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ISNUMBER(SEARCH($A4, INDEX(AsistenciaJetAdminConcatenada!$D:$D, MATCH(1, (AsistenciaJetAdminConcatenada!$A:$A=CL$2)*(AsistenciaJetAdminConcatenada!$B:$B=CL$1), 0)), 1))),  0.5, 0))</f>
        <v>1</v>
      </c>
      <c r="CM4" s="47">
        <f t="array" ref="CM4">IF(AND(ISNUMBER(MATCH(CM$2, AsistenciaJetAdminConcatenada!$A:$A, 0)), ISNUMBER(MATCH(CM$1, AsistenciaJetAdminConcatenada!$B:$B, 0)), ISNUMBER(SEARCH($A4,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ISNUMBER(SEARCH($A4, INDEX(AsistenciaJetAdminConcatenada!$D:$D, MATCH(1, (AsistenciaJetAdminConcatenada!$A:$A=CM$2)*(AsistenciaJetAdminConcatenada!$B:$B=CM$1), 0)), 1))),  0.5, 0))</f>
        <v>0.5</v>
      </c>
      <c r="CN4" s="47">
        <f t="array" ref="CN4">IF(AND(ISNUMBER(MATCH(CN$2, AsistenciaJetAdminConcatenada!$A:$A, 0)), ISNUMBER(MATCH(CN$1, AsistenciaJetAdminConcatenada!$B:$B, 0)), ISNUMBER(SEARCH($A4,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ISNUMBER(SEARCH($A4, INDEX(AsistenciaJetAdminConcatenada!$D:$D, MATCH(1, (AsistenciaJetAdminConcatenada!$A:$A=CN$2)*(AsistenciaJetAdminConcatenada!$B:$B=CN$1), 0)), 1))),  0.5, 0))</f>
        <v>0</v>
      </c>
      <c r="CO4" s="47">
        <f t="array" ref="CO4">IF(AND(ISNUMBER(MATCH(CO$2, AsistenciaJetAdminConcatenada!$A:$A, 0)), ISNUMBER(MATCH(CO$1, AsistenciaJetAdminConcatenada!$B:$B, 0)), ISNUMBER(SEARCH($A4,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ISNUMBER(SEARCH($A4, INDEX(AsistenciaJetAdminConcatenada!$D:$D, MATCH(1, (AsistenciaJetAdminConcatenada!$A:$A=CO$2)*(AsistenciaJetAdminConcatenada!$B:$B=CO$1), 0)), 1))),  0.5, 0))</f>
        <v>1</v>
      </c>
      <c r="CP4" s="47">
        <f t="array" ref="CP4">IF(AND(ISNUMBER(MATCH(CP$2, AsistenciaJetAdminConcatenada!$A:$A, 0)), ISNUMBER(MATCH(CP$1, AsistenciaJetAdminConcatenada!$B:$B, 0)), ISNUMBER(SEARCH($A4,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ISNUMBER(SEARCH($A4, INDEX(AsistenciaJetAdminConcatenada!$D:$D, MATCH(1, (AsistenciaJetAdminConcatenada!$A:$A=CP$2)*(AsistenciaJetAdminConcatenada!$B:$B=CP$1), 0)), 1))),  0.5, 0))</f>
        <v>1</v>
      </c>
      <c r="CQ4" s="47">
        <f t="array" ref="CQ4">IF(AND(ISNUMBER(MATCH(CQ$2, AsistenciaJetAdminConcatenada!$A:$A, 0)), ISNUMBER(MATCH(CQ$1, AsistenciaJetAdminConcatenada!$B:$B, 0)), ISNUMBER(SEARCH($A4,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ISNUMBER(SEARCH($A4, INDEX(AsistenciaJetAdminConcatenada!$D:$D, MATCH(1, (AsistenciaJetAdminConcatenada!$A:$A=CQ$2)*(AsistenciaJetAdminConcatenada!$B:$B=CQ$1), 0)), 1))),  0.5, 0))</f>
        <v>0</v>
      </c>
      <c r="CR4" s="47">
        <f t="array" ref="CR4">IF(AND(ISNUMBER(MATCH(CR$2, AsistenciaJetAdminConcatenada!$A:$A, 0)), ISNUMBER(MATCH(CR$1, AsistenciaJetAdminConcatenada!$B:$B, 0)), ISNUMBER(SEARCH($A4,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ISNUMBER(SEARCH($A4, INDEX(AsistenciaJetAdminConcatenada!$D:$D, MATCH(1, (AsistenciaJetAdminConcatenada!$A:$A=CR$2)*(AsistenciaJetAdminConcatenada!$B:$B=CR$1), 0)), 1))),  0.5, 0))</f>
        <v>1</v>
      </c>
      <c r="CS4" s="47">
        <f t="array" ref="CS4">IF(AND(ISNUMBER(MATCH(CS$2, AsistenciaJetAdminConcatenada!$A:$A, 0)), ISNUMBER(MATCH(CS$1, AsistenciaJetAdminConcatenada!$B:$B, 0)), ISNUMBER(SEARCH($A4,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ISNUMBER(SEARCH($A4, INDEX(AsistenciaJetAdminConcatenada!$D:$D, MATCH(1, (AsistenciaJetAdminConcatenada!$A:$A=CS$2)*(AsistenciaJetAdminConcatenada!$B:$B=CS$1), 0)), 1))),  0.5, 0))</f>
        <v>0</v>
      </c>
      <c r="CT4" s="47">
        <f t="array" ref="CT4">IF(AND(ISNUMBER(MATCH(CT$2, AsistenciaJetAdminConcatenada!$A:$A, 0)), ISNUMBER(MATCH(CT$1, AsistenciaJetAdminConcatenada!$B:$B, 0)), ISNUMBER(SEARCH($A4,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ISNUMBER(SEARCH($A4, INDEX(AsistenciaJetAdminConcatenada!$D:$D, MATCH(1, (AsistenciaJetAdminConcatenada!$A:$A=CT$2)*(AsistenciaJetAdminConcatenada!$B:$B=CT$1), 0)), 1))),  0.5, 0))</f>
        <v>0</v>
      </c>
      <c r="CU4" s="47">
        <f t="array" ref="CU4">IF(AND(ISNUMBER(MATCH(CU$2, AsistenciaJetAdminConcatenada!$A:$A, 0)), ISNUMBER(MATCH(CU$1, AsistenciaJetAdminConcatenada!$B:$B, 0)), ISNUMBER(SEARCH($A4,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ISNUMBER(SEARCH($A4, INDEX(AsistenciaJetAdminConcatenada!$D:$D, MATCH(1, (AsistenciaJetAdminConcatenada!$A:$A=CU$2)*(AsistenciaJetAdminConcatenada!$B:$B=CU$1), 0)), 1))),  0.5, 0))</f>
        <v>0</v>
      </c>
      <c r="CV4" s="47">
        <f t="array" ref="CV4">IF(AND(ISNUMBER(MATCH(CV$2, AsistenciaJetAdminConcatenada!$A:$A, 0)), ISNUMBER(MATCH(CV$1, AsistenciaJetAdminConcatenada!$B:$B, 0)), ISNUMBER(SEARCH($A4,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ISNUMBER(SEARCH($A4, INDEX(AsistenciaJetAdminConcatenada!$D:$D, MATCH(1, (AsistenciaJetAdminConcatenada!$A:$A=CV$2)*(AsistenciaJetAdminConcatenada!$B:$B=CV$1), 0)), 1))),  0.5, 0))</f>
        <v>0</v>
      </c>
      <c r="CW4" s="47">
        <f t="array" ref="CW4">IF(AND(ISNUMBER(MATCH(CW$2, AsistenciaJetAdminConcatenada!$A:$A, 0)), ISNUMBER(MATCH(CW$1, AsistenciaJetAdminConcatenada!$B:$B, 0)), ISNUMBER(SEARCH($A4,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ISNUMBER(SEARCH($A4, INDEX(AsistenciaJetAdminConcatenada!$D:$D, MATCH(1, (AsistenciaJetAdminConcatenada!$A:$A=CW$2)*(AsistenciaJetAdminConcatenada!$B:$B=CW$1), 0)), 1))),  0.5, 0))</f>
        <v>0</v>
      </c>
      <c r="CX4" s="47">
        <f t="array" ref="CX4">IF(AND(ISNUMBER(MATCH(CX$2, AsistenciaJetAdminConcatenada!$A:$A, 0)), ISNUMBER(MATCH(CX$1, AsistenciaJetAdminConcatenada!$B:$B, 0)), ISNUMBER(SEARCH($A4,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ISNUMBER(SEARCH($A4, INDEX(AsistenciaJetAdminConcatenada!$D:$D, MATCH(1, (AsistenciaJetAdminConcatenada!$A:$A=CX$2)*(AsistenciaJetAdminConcatenada!$B:$B=CX$1), 0)), 1))),  0.5, 0))</f>
        <v>0</v>
      </c>
      <c r="CY4" s="47">
        <f t="array" ref="CY4">IF(AND(ISNUMBER(MATCH(CY$2, AsistenciaJetAdminConcatenada!$A:$A, 0)), ISNUMBER(MATCH(CY$1, AsistenciaJetAdminConcatenada!$B:$B, 0)), ISNUMBER(SEARCH($A4,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ISNUMBER(SEARCH($A4, INDEX(AsistenciaJetAdminConcatenada!$D:$D, MATCH(1, (AsistenciaJetAdminConcatenada!$A:$A=CY$2)*(AsistenciaJetAdminConcatenada!$B:$B=CY$1), 0)), 1))),  0.5, 0))</f>
        <v>0</v>
      </c>
      <c r="CZ4" s="47">
        <f t="array" ref="CZ4">IF(AND(ISNUMBER(MATCH(CZ$2, AsistenciaJetAdminConcatenada!$A:$A, 0)), ISNUMBER(MATCH(CZ$1, AsistenciaJetAdminConcatenada!$B:$B, 0)), ISNUMBER(SEARCH($A4,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ISNUMBER(SEARCH($A4, INDEX(AsistenciaJetAdminConcatenada!$D:$D, MATCH(1, (AsistenciaJetAdminConcatenada!$A:$A=CZ$2)*(AsistenciaJetAdminConcatenada!$B:$B=CZ$1), 0)), 1))),  0.5, 0))</f>
        <v>0</v>
      </c>
      <c r="DA4" s="47">
        <f t="array" ref="DA4">IF(AND(ISNUMBER(MATCH(DA$2, AsistenciaJetAdminConcatenada!$A:$A, 0)), ISNUMBER(MATCH(DA$1, AsistenciaJetAdminConcatenada!$B:$B, 0)), ISNUMBER(SEARCH($A4,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ISNUMBER(SEARCH($A4, INDEX(AsistenciaJetAdminConcatenada!$D:$D, MATCH(1, (AsistenciaJetAdminConcatenada!$A:$A=DA$2)*(AsistenciaJetAdminConcatenada!$B:$B=DA$1), 0)), 1))),  0.5, 0))</f>
        <v>0</v>
      </c>
      <c r="DB4" s="47">
        <f t="array" ref="DB4">IF(AND(ISNUMBER(MATCH(DB$2, AsistenciaJetAdminConcatenada!$A:$A, 0)), ISNUMBER(MATCH(DB$1, AsistenciaJetAdminConcatenada!$B:$B, 0)), ISNUMBER(SEARCH($A4,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ISNUMBER(SEARCH($A4, INDEX(AsistenciaJetAdminConcatenada!$D:$D, MATCH(1, (AsistenciaJetAdminConcatenada!$A:$A=DB$2)*(AsistenciaJetAdminConcatenada!$B:$B=DB$1), 0)), 1))),  0.5, 0))</f>
        <v>0</v>
      </c>
      <c r="DC4" s="47">
        <f t="array" ref="DC4">IF(AND(ISNUMBER(MATCH(DC$2, AsistenciaJetAdminConcatenada!$A:$A, 0)), ISNUMBER(MATCH(DC$1, AsistenciaJetAdminConcatenada!$B:$B, 0)), ISNUMBER(SEARCH($A4,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ISNUMBER(SEARCH($A4, INDEX(AsistenciaJetAdminConcatenada!$D:$D, MATCH(1, (AsistenciaJetAdminConcatenada!$A:$A=DC$2)*(AsistenciaJetAdminConcatenada!$B:$B=DC$1), 0)), 1))),  0.5, 0))</f>
        <v>0</v>
      </c>
      <c r="DD4" s="47">
        <f t="array" ref="DD4">IF(AND(ISNUMBER(MATCH(DD$2, AsistenciaJetAdminConcatenada!$A:$A, 0)), ISNUMBER(MATCH(DD$1, AsistenciaJetAdminConcatenada!$B:$B, 0)), ISNUMBER(SEARCH($A4,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ISNUMBER(SEARCH($A4, INDEX(AsistenciaJetAdminConcatenada!$D:$D, MATCH(1, (AsistenciaJetAdminConcatenada!$A:$A=DD$2)*(AsistenciaJetAdminConcatenada!$B:$B=DD$1), 0)), 1))),  0.5, 0))</f>
        <v>0</v>
      </c>
      <c r="DE4" s="47">
        <f t="array" ref="DE4">IF(AND(ISNUMBER(MATCH(DE$2, AsistenciaJetAdminConcatenada!$A:$A, 0)), ISNUMBER(MATCH(DE$1, AsistenciaJetAdminConcatenada!$B:$B, 0)), ISNUMBER(SEARCH($A4,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ISNUMBER(SEARCH($A4, INDEX(AsistenciaJetAdminConcatenada!$D:$D, MATCH(1, (AsistenciaJetAdminConcatenada!$A:$A=DE$2)*(AsistenciaJetAdminConcatenada!$B:$B=DE$1), 0)), 1))),  0.5, 0))</f>
        <v>0</v>
      </c>
      <c r="DF4" s="47">
        <f t="array" ref="DF4">IF(AND(ISNUMBER(MATCH(DF$2, AsistenciaJetAdminConcatenada!$A:$A, 0)), ISNUMBER(MATCH(DF$1, AsistenciaJetAdminConcatenada!$B:$B, 0)), ISNUMBER(SEARCH($A4,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ISNUMBER(SEARCH($A4, INDEX(AsistenciaJetAdminConcatenada!$D:$D, MATCH(1, (AsistenciaJetAdminConcatenada!$A:$A=DF$2)*(AsistenciaJetAdminConcatenada!$B:$B=DF$1), 0)), 1))),  0.5, 0))</f>
        <v>0</v>
      </c>
      <c r="DG4" s="47">
        <f t="array" ref="DG4">IF(AND(ISNUMBER(MATCH(DG$2, AsistenciaJetAdminConcatenada!$A:$A, 0)), ISNUMBER(MATCH(DG$1, AsistenciaJetAdminConcatenada!$B:$B, 0)), ISNUMBER(SEARCH($A4,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ISNUMBER(SEARCH($A4, INDEX(AsistenciaJetAdminConcatenada!$D:$D, MATCH(1, (AsistenciaJetAdminConcatenada!$A:$A=DG$2)*(AsistenciaJetAdminConcatenada!$B:$B=DG$1), 0)), 1))),  0.5, 0))</f>
        <v>0</v>
      </c>
      <c r="DH4" s="47">
        <f t="array" ref="DH4">IF(AND(ISNUMBER(MATCH(DH$2, AsistenciaJetAdminConcatenada!$A:$A, 0)), ISNUMBER(MATCH(DH$1, AsistenciaJetAdminConcatenada!$B:$B, 0)), ISNUMBER(SEARCH($A4,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ISNUMBER(SEARCH($A4, INDEX(AsistenciaJetAdminConcatenada!$D:$D, MATCH(1, (AsistenciaJetAdminConcatenada!$A:$A=DH$2)*(AsistenciaJetAdminConcatenada!$B:$B=DH$1), 0)), 1))),  0.5, 0))</f>
        <v>0</v>
      </c>
      <c r="DI4" s="47">
        <f t="array" ref="DI4">IF(AND(ISNUMBER(MATCH(DI$2, AsistenciaJetAdminConcatenada!$A:$A, 0)), ISNUMBER(MATCH(DI$1, AsistenciaJetAdminConcatenada!$B:$B, 0)), ISNUMBER(SEARCH($A4,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ISNUMBER(SEARCH($A4, INDEX(AsistenciaJetAdminConcatenada!$D:$D, MATCH(1, (AsistenciaJetAdminConcatenada!$A:$A=DI$2)*(AsistenciaJetAdminConcatenada!$B:$B=DI$1), 0)), 1))),  0.5, 0))</f>
        <v>0</v>
      </c>
      <c r="DJ4" s="47">
        <f t="array" ref="DJ4">IF(AND(ISNUMBER(MATCH(DJ$2, AsistenciaJetAdminConcatenada!$A:$A, 0)), ISNUMBER(MATCH(DJ$1, AsistenciaJetAdminConcatenada!$B:$B, 0)), ISNUMBER(SEARCH($A4,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ISNUMBER(SEARCH($A4, INDEX(AsistenciaJetAdminConcatenada!$D:$D, MATCH(1, (AsistenciaJetAdminConcatenada!$A:$A=DJ$2)*(AsistenciaJetAdminConcatenada!$B:$B=DJ$1), 0)), 1))),  0.5, 0))</f>
        <v>0</v>
      </c>
      <c r="DK4" s="47">
        <f t="array" ref="DK4">IF(AND(ISNUMBER(MATCH(DK$2, AsistenciaJetAdminConcatenada!$A:$A, 0)), ISNUMBER(MATCH(DK$1, AsistenciaJetAdminConcatenada!$B:$B, 0)), ISNUMBER(SEARCH($A4,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ISNUMBER(SEARCH($A4, INDEX(AsistenciaJetAdminConcatenada!$D:$D, MATCH(1, (AsistenciaJetAdminConcatenada!$A:$A=DK$2)*(AsistenciaJetAdminConcatenada!$B:$B=DK$1), 0)), 1))),  0.5, 0))</f>
        <v>0</v>
      </c>
      <c r="DL4" s="47">
        <f t="array" ref="DL4">IF(AND(ISNUMBER(MATCH(DL$2, AsistenciaJetAdminConcatenada!$A:$A, 0)), ISNUMBER(MATCH(DL$1, AsistenciaJetAdminConcatenada!$B:$B, 0)), ISNUMBER(SEARCH($A4,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ISNUMBER(SEARCH($A4, INDEX(AsistenciaJetAdminConcatenada!$D:$D, MATCH(1, (AsistenciaJetAdminConcatenada!$A:$A=DL$2)*(AsistenciaJetAdminConcatenada!$B:$B=DL$1), 0)), 1))),  0.5, 0))</f>
        <v>0</v>
      </c>
      <c r="DM4" s="47">
        <f t="array" ref="DM4">IF(AND(ISNUMBER(MATCH(DM$2, AsistenciaJetAdminConcatenada!$A:$A, 0)), ISNUMBER(MATCH(DM$1, AsistenciaJetAdminConcatenada!$B:$B, 0)), ISNUMBER(SEARCH($A4,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ISNUMBER(SEARCH($A4, INDEX(AsistenciaJetAdminConcatenada!$D:$D, MATCH(1, (AsistenciaJetAdminConcatenada!$A:$A=DM$2)*(AsistenciaJetAdminConcatenada!$B:$B=DM$1), 0)), 1))),  0.5, 0))</f>
        <v>0</v>
      </c>
      <c r="DN4" s="47">
        <f t="array" ref="DN4">IF(AND(ISNUMBER(MATCH(DN$2, AsistenciaJetAdminConcatenada!$A:$A, 0)), ISNUMBER(MATCH(DN$1, AsistenciaJetAdminConcatenada!$B:$B, 0)), ISNUMBER(SEARCH($A4,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ISNUMBER(SEARCH($A4, INDEX(AsistenciaJetAdminConcatenada!$D:$D, MATCH(1, (AsistenciaJetAdminConcatenada!$A:$A=DN$2)*(AsistenciaJetAdminConcatenada!$B:$B=DN$1), 0)), 1))),  0.5, 0))</f>
        <v>0</v>
      </c>
      <c r="DO4" s="47">
        <f t="array" ref="DO4">IF(AND(ISNUMBER(MATCH(DO$2, AsistenciaJetAdminConcatenada!$A:$A, 0)), ISNUMBER(MATCH(DO$1, AsistenciaJetAdminConcatenada!$B:$B, 0)), ISNUMBER(SEARCH($A4,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ISNUMBER(SEARCH($A4, INDEX(AsistenciaJetAdminConcatenada!$D:$D, MATCH(1, (AsistenciaJetAdminConcatenada!$A:$A=DO$2)*(AsistenciaJetAdminConcatenada!$B:$B=DO$1), 0)), 1))),  0.5, 0))</f>
        <v>0</v>
      </c>
      <c r="DP4" s="47">
        <f t="array" ref="DP4">IF(AND(ISNUMBER(MATCH(DP$2, AsistenciaJetAdminConcatenada!$A:$A, 0)), ISNUMBER(MATCH(DP$1, AsistenciaJetAdminConcatenada!$B:$B, 0)), ISNUMBER(SEARCH($A4,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ISNUMBER(SEARCH($A4, INDEX(AsistenciaJetAdminConcatenada!$D:$D, MATCH(1, (AsistenciaJetAdminConcatenada!$A:$A=DP$2)*(AsistenciaJetAdminConcatenada!$B:$B=DP$1), 0)), 1))),  0.5, 0))</f>
        <v>0</v>
      </c>
      <c r="DQ4" s="47">
        <f t="array" ref="DQ4">IF(AND(ISNUMBER(MATCH(DQ$2, AsistenciaJetAdminConcatenada!$A:$A, 0)), ISNUMBER(MATCH(DQ$1, AsistenciaJetAdminConcatenada!$B:$B, 0)), ISNUMBER(SEARCH($A4,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ISNUMBER(SEARCH($A4, INDEX(AsistenciaJetAdminConcatenada!$D:$D, MATCH(1, (AsistenciaJetAdminConcatenada!$A:$A=DQ$2)*(AsistenciaJetAdminConcatenada!$B:$B=DQ$1), 0)), 1))),  0.5, 0))</f>
        <v>0</v>
      </c>
      <c r="DR4" s="47">
        <f t="array" ref="DR4">IF(AND(ISNUMBER(MATCH(DR$2, AsistenciaJetAdminConcatenada!$A:$A, 0)), ISNUMBER(MATCH(DR$1, AsistenciaJetAdminConcatenada!$B:$B, 0)), ISNUMBER(SEARCH($A4,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ISNUMBER(SEARCH($A4, INDEX(AsistenciaJetAdminConcatenada!$D:$D, MATCH(1, (AsistenciaJetAdminConcatenada!$A:$A=DR$2)*(AsistenciaJetAdminConcatenada!$B:$B=DR$1), 0)), 1))),  0.5, 0))</f>
        <v>0</v>
      </c>
      <c r="DS4" s="47">
        <f t="array" ref="DS4">IF(AND(ISNUMBER(MATCH(DS$2, AsistenciaJetAdminConcatenada!$A:$A, 0)), ISNUMBER(MATCH(DS$1, AsistenciaJetAdminConcatenada!$B:$B, 0)), ISNUMBER(SEARCH($A4,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ISNUMBER(SEARCH($A4, INDEX(AsistenciaJetAdminConcatenada!$D:$D, MATCH(1, (AsistenciaJetAdminConcatenada!$A:$A=DS$2)*(AsistenciaJetAdminConcatenada!$B:$B=DS$1), 0)), 1))),  0.5, 0))</f>
        <v>0</v>
      </c>
      <c r="DT4" s="47">
        <f t="array" ref="DT4">IF(AND(ISNUMBER(MATCH(DT$2, AsistenciaJetAdminConcatenada!$A:$A, 0)), ISNUMBER(MATCH(DT$1, AsistenciaJetAdminConcatenada!$B:$B, 0)), ISNUMBER(SEARCH($A4,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ISNUMBER(SEARCH($A4, INDEX(AsistenciaJetAdminConcatenada!$D:$D, MATCH(1, (AsistenciaJetAdminConcatenada!$A:$A=DT$2)*(AsistenciaJetAdminConcatenada!$B:$B=DT$1), 0)), 1))),  0.5, 0))</f>
        <v>0</v>
      </c>
      <c r="DU4" s="47">
        <f t="array" ref="DU4">IF(AND(ISNUMBER(MATCH(DU$2, AsistenciaJetAdminConcatenada!$A:$A, 0)), ISNUMBER(MATCH(DU$1, AsistenciaJetAdminConcatenada!$B:$B, 0)), ISNUMBER(SEARCH($A4,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ISNUMBER(SEARCH($A4, INDEX(AsistenciaJetAdminConcatenada!$D:$D, MATCH(1, (AsistenciaJetAdminConcatenada!$A:$A=DU$2)*(AsistenciaJetAdminConcatenada!$B:$B=DU$1), 0)), 1))),  0.5, 0))</f>
        <v>0</v>
      </c>
      <c r="DV4" s="47">
        <f t="array" ref="DV4">IF(AND(ISNUMBER(MATCH(DV$2, AsistenciaJetAdminConcatenada!$A:$A, 0)), ISNUMBER(MATCH(DV$1, AsistenciaJetAdminConcatenada!$B:$B, 0)), ISNUMBER(SEARCH($A4,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ISNUMBER(SEARCH($A4, INDEX(AsistenciaJetAdminConcatenada!$D:$D, MATCH(1, (AsistenciaJetAdminConcatenada!$A:$A=DV$2)*(AsistenciaJetAdminConcatenada!$B:$B=DV$1), 0)), 1))),  0.5, 0))</f>
        <v>0</v>
      </c>
      <c r="DW4" s="47">
        <f t="array" ref="DW4">IF(AND(ISNUMBER(MATCH(DW$2, AsistenciaJetAdminConcatenada!$A:$A, 0)), ISNUMBER(MATCH(DW$1, AsistenciaJetAdminConcatenada!$B:$B, 0)), ISNUMBER(SEARCH($A4,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ISNUMBER(SEARCH($A4, INDEX(AsistenciaJetAdminConcatenada!$D:$D, MATCH(1, (AsistenciaJetAdminConcatenada!$A:$A=DW$2)*(AsistenciaJetAdminConcatenada!$B:$B=DW$1), 0)), 1))),  0.5, 0))</f>
        <v>0</v>
      </c>
      <c r="DX4" s="47">
        <f t="array" ref="DX4">IF(AND(ISNUMBER(MATCH(DX$2, AsistenciaJetAdminConcatenada!$A:$A, 0)), ISNUMBER(MATCH(DX$1, AsistenciaJetAdminConcatenada!$B:$B, 0)), ISNUMBER(SEARCH($A4,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ISNUMBER(SEARCH($A4, INDEX(AsistenciaJetAdminConcatenada!$D:$D, MATCH(1, (AsistenciaJetAdminConcatenada!$A:$A=DX$2)*(AsistenciaJetAdminConcatenada!$B:$B=DX$1), 0)), 1))),  0.5, 0))</f>
        <v>0</v>
      </c>
      <c r="DY4" s="47">
        <f t="array" ref="DY4">IF(AND(ISNUMBER(MATCH(DY$2, AsistenciaJetAdminConcatenada!$A:$A, 0)), ISNUMBER(MATCH(DY$1, AsistenciaJetAdminConcatenada!$B:$B, 0)), ISNUMBER(SEARCH($A4,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ISNUMBER(SEARCH($A4, INDEX(AsistenciaJetAdminConcatenada!$D:$D, MATCH(1, (AsistenciaJetAdminConcatenada!$A:$A=DY$2)*(AsistenciaJetAdminConcatenada!$B:$B=DY$1), 0)), 1))),  0.5, 0))</f>
        <v>0</v>
      </c>
      <c r="DZ4" s="47">
        <f t="array" ref="DZ4">IF(AND(ISNUMBER(MATCH(DZ$2, AsistenciaJetAdminConcatenada!$A:$A, 0)), ISNUMBER(MATCH(DZ$1, AsistenciaJetAdminConcatenada!$B:$B, 0)), ISNUMBER(SEARCH($A4,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ISNUMBER(SEARCH($A4, INDEX(AsistenciaJetAdminConcatenada!$D:$D, MATCH(1, (AsistenciaJetAdminConcatenada!$A:$A=DZ$2)*(AsistenciaJetAdminConcatenada!$B:$B=DZ$1), 0)), 1))),  0.5, 0))</f>
        <v>0</v>
      </c>
      <c r="EA4" s="47">
        <f t="array" ref="EA4">IF(AND(ISNUMBER(MATCH(EA$2, AsistenciaJetAdminConcatenada!$A:$A, 0)), ISNUMBER(MATCH(EA$1, AsistenciaJetAdminConcatenada!$B:$B, 0)), ISNUMBER(SEARCH($A4,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ISNUMBER(SEARCH($A4, INDEX(AsistenciaJetAdminConcatenada!$D:$D, MATCH(1, (AsistenciaJetAdminConcatenada!$A:$A=EA$2)*(AsistenciaJetAdminConcatenada!$B:$B=EA$1), 0)), 1))),  0.5, 0))</f>
        <v>0</v>
      </c>
      <c r="EB4" s="47">
        <f t="array" ref="EB4">IF(AND(ISNUMBER(MATCH(EB$2, AsistenciaJetAdminConcatenada!$A:$A, 0)), ISNUMBER(MATCH(EB$1, AsistenciaJetAdminConcatenada!$B:$B, 0)), ISNUMBER(SEARCH($A4,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ISNUMBER(SEARCH($A4, INDEX(AsistenciaJetAdminConcatenada!$D:$D, MATCH(1, (AsistenciaJetAdminConcatenada!$A:$A=EB$2)*(AsistenciaJetAdminConcatenada!$B:$B=EB$1), 0)), 1))),  0.5, 0))</f>
        <v>0</v>
      </c>
      <c r="EC4" s="47">
        <f t="array" ref="EC4">IF(AND(ISNUMBER(MATCH(EC$2, AsistenciaJetAdminConcatenada!$A:$A, 0)), ISNUMBER(MATCH(EC$1, AsistenciaJetAdminConcatenada!$B:$B, 0)), ISNUMBER(SEARCH($A4,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ISNUMBER(SEARCH($A4, INDEX(AsistenciaJetAdminConcatenada!$D:$D, MATCH(1, (AsistenciaJetAdminConcatenada!$A:$A=EC$2)*(AsistenciaJetAdminConcatenada!$B:$B=EC$1), 0)), 1))),  0.5, 0))</f>
        <v>0</v>
      </c>
      <c r="ED4" s="47">
        <f t="array" ref="ED4">IF(AND(ISNUMBER(MATCH(ED$2, AsistenciaJetAdminConcatenada!$A:$A, 0)), ISNUMBER(MATCH(ED$1, AsistenciaJetAdminConcatenada!$B:$B, 0)), ISNUMBER(SEARCH($A4,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ISNUMBER(SEARCH($A4, INDEX(AsistenciaJetAdminConcatenada!$D:$D, MATCH(1, (AsistenciaJetAdminConcatenada!$A:$A=ED$2)*(AsistenciaJetAdminConcatenada!$B:$B=ED$1), 0)), 1))),  0.5, 0))</f>
        <v>0</v>
      </c>
      <c r="EE4" s="47">
        <f t="array" ref="EE4">IF(AND(ISNUMBER(MATCH(EE$2, AsistenciaJetAdminConcatenada!$A:$A, 0)), ISNUMBER(MATCH(EE$1, AsistenciaJetAdminConcatenada!$B:$B, 0)), ISNUMBER(SEARCH($A4,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ISNUMBER(SEARCH($A4, INDEX(AsistenciaJetAdminConcatenada!$D:$D, MATCH(1, (AsistenciaJetAdminConcatenada!$A:$A=EE$2)*(AsistenciaJetAdminConcatenada!$B:$B=EE$1), 0)), 1))),  0.5, 0))</f>
        <v>0</v>
      </c>
      <c r="EF4" s="47">
        <f t="array" ref="EF4">IF(AND(ISNUMBER(MATCH(EF$2, AsistenciaJetAdminConcatenada!$A:$A, 0)), ISNUMBER(MATCH(EF$1, AsistenciaJetAdminConcatenada!$B:$B, 0)), ISNUMBER(SEARCH($A4,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ISNUMBER(SEARCH($A4, INDEX(AsistenciaJetAdminConcatenada!$D:$D, MATCH(1, (AsistenciaJetAdminConcatenada!$A:$A=EF$2)*(AsistenciaJetAdminConcatenada!$B:$B=EF$1), 0)), 1))),  0.5, 0))</f>
        <v>0</v>
      </c>
      <c r="EG4" s="47">
        <f t="array" ref="EG4">IF(AND(ISNUMBER(MATCH(EG$2, AsistenciaJetAdminConcatenada!$A:$A, 0)), ISNUMBER(MATCH(EG$1, AsistenciaJetAdminConcatenada!$B:$B, 0)), ISNUMBER(SEARCH($A4,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ISNUMBER(SEARCH($A4, INDEX(AsistenciaJetAdminConcatenada!$D:$D, MATCH(1, (AsistenciaJetAdminConcatenada!$A:$A=EG$2)*(AsistenciaJetAdminConcatenada!$B:$B=EG$1), 0)), 1))),  0.5, 0))</f>
        <v>0</v>
      </c>
      <c r="EH4" s="47">
        <f t="array" ref="EH4">IF(AND(ISNUMBER(MATCH(EH$2, AsistenciaJetAdminConcatenada!$A:$A, 0)), ISNUMBER(MATCH(EH$1, AsistenciaJetAdminConcatenada!$B:$B, 0)), ISNUMBER(SEARCH($A4,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ISNUMBER(SEARCH($A4, INDEX(AsistenciaJetAdminConcatenada!$D:$D, MATCH(1, (AsistenciaJetAdminConcatenada!$A:$A=EH$2)*(AsistenciaJetAdminConcatenada!$B:$B=EH$1), 0)), 1))),  0.5, 0))</f>
        <v>0</v>
      </c>
      <c r="EI4" s="47">
        <f t="array" ref="EI4">IF(AND(ISNUMBER(MATCH(EI$2, AsistenciaJetAdminConcatenada!$A:$A, 0)), ISNUMBER(MATCH(EI$1, AsistenciaJetAdminConcatenada!$B:$B, 0)), ISNUMBER(SEARCH($A4,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ISNUMBER(SEARCH($A4, INDEX(AsistenciaJetAdminConcatenada!$D:$D, MATCH(1, (AsistenciaJetAdminConcatenada!$A:$A=EI$2)*(AsistenciaJetAdminConcatenada!$B:$B=EI$1), 0)), 1))),  0.5, 0))</f>
        <v>0</v>
      </c>
      <c r="EJ4" s="47">
        <f t="array" ref="EJ4">IF(AND(ISNUMBER(MATCH(EJ$2, AsistenciaJetAdminConcatenada!$A:$A, 0)), ISNUMBER(MATCH(EJ$1, AsistenciaJetAdminConcatenada!$B:$B, 0)), ISNUMBER(SEARCH($A4,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ISNUMBER(SEARCH($A4, INDEX(AsistenciaJetAdminConcatenada!$D:$D, MATCH(1, (AsistenciaJetAdminConcatenada!$A:$A=EJ$2)*(AsistenciaJetAdminConcatenada!$B:$B=EJ$1), 0)), 1))),  0.5, 0))</f>
        <v>0</v>
      </c>
      <c r="EK4" s="47">
        <f t="array" ref="EK4">IF(AND(ISNUMBER(MATCH(EK$2, AsistenciaJetAdminConcatenada!$A:$A, 0)), ISNUMBER(MATCH(EK$1, AsistenciaJetAdminConcatenada!$B:$B, 0)), ISNUMBER(SEARCH($A4,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ISNUMBER(SEARCH($A4, INDEX(AsistenciaJetAdminConcatenada!$D:$D, MATCH(1, (AsistenciaJetAdminConcatenada!$A:$A=EK$2)*(AsistenciaJetAdminConcatenada!$B:$B=EK$1), 0)), 1))),  0.5, 0))</f>
        <v>0</v>
      </c>
      <c r="EL4" s="47">
        <f t="array" ref="EL4">IF(AND(ISNUMBER(MATCH(EL$2, AsistenciaJetAdminConcatenada!$A:$A, 0)), ISNUMBER(MATCH(EL$1, AsistenciaJetAdminConcatenada!$B:$B, 0)), ISNUMBER(SEARCH($A4,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ISNUMBER(SEARCH($A4, INDEX(AsistenciaJetAdminConcatenada!$D:$D, MATCH(1, (AsistenciaJetAdminConcatenada!$A:$A=EL$2)*(AsistenciaJetAdminConcatenada!$B:$B=EL$1), 0)), 1))),  0.5, 0))</f>
        <v>0</v>
      </c>
      <c r="EM4" s="47">
        <f t="array" ref="EM4">IF(AND(ISNUMBER(MATCH(EM$2, AsistenciaJetAdminConcatenada!$A:$A, 0)), ISNUMBER(MATCH(EM$1, AsistenciaJetAdminConcatenada!$B:$B, 0)), ISNUMBER(SEARCH($A4,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ISNUMBER(SEARCH($A4, INDEX(AsistenciaJetAdminConcatenada!$D:$D, MATCH(1, (AsistenciaJetAdminConcatenada!$A:$A=EM$2)*(AsistenciaJetAdminConcatenada!$B:$B=EM$1), 0)), 1))),  0.5, 0))</f>
        <v>0</v>
      </c>
      <c r="EN4" s="47">
        <f t="array" ref="EN4">IF(AND(ISNUMBER(MATCH(EN$2, AsistenciaJetAdminConcatenada!$A:$A, 0)), ISNUMBER(MATCH(EN$1, AsistenciaJetAdminConcatenada!$B:$B, 0)), ISNUMBER(SEARCH($A4,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ISNUMBER(SEARCH($A4, INDEX(AsistenciaJetAdminConcatenada!$D:$D, MATCH(1, (AsistenciaJetAdminConcatenada!$A:$A=EN$2)*(AsistenciaJetAdminConcatenada!$B:$B=EN$1), 0)), 1))),  0.5, 0))</f>
        <v>0</v>
      </c>
      <c r="EO4" s="47">
        <f t="array" ref="EO4">IF(AND(ISNUMBER(MATCH(EO$2, AsistenciaJetAdminConcatenada!$A:$A, 0)), ISNUMBER(MATCH(EO$1, AsistenciaJetAdminConcatenada!$B:$B, 0)), ISNUMBER(SEARCH($A4,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ISNUMBER(SEARCH($A4, INDEX(AsistenciaJetAdminConcatenada!$D:$D, MATCH(1, (AsistenciaJetAdminConcatenada!$A:$A=EO$2)*(AsistenciaJetAdminConcatenada!$B:$B=EO$1), 0)), 1))),  0.5, 0))</f>
        <v>0</v>
      </c>
      <c r="EP4" s="47">
        <f t="array" ref="EP4">IF(AND(ISNUMBER(MATCH(EP$2, AsistenciaJetAdminConcatenada!$A:$A, 0)), ISNUMBER(MATCH(EP$1, AsistenciaJetAdminConcatenada!$B:$B, 0)), ISNUMBER(SEARCH($A4,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ISNUMBER(SEARCH($A4, INDEX(AsistenciaJetAdminConcatenada!$D:$D, MATCH(1, (AsistenciaJetAdminConcatenada!$A:$A=EP$2)*(AsistenciaJetAdminConcatenada!$B:$B=EP$1), 0)), 1))),  0.5, 0))</f>
        <v>0</v>
      </c>
      <c r="EQ4" s="47">
        <f t="array" ref="EQ4">IF(AND(ISNUMBER(MATCH(EQ$2, AsistenciaJetAdminConcatenada!$A:$A, 0)), ISNUMBER(MATCH(EQ$1, AsistenciaJetAdminConcatenada!$B:$B, 0)), ISNUMBER(SEARCH($A4,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ISNUMBER(SEARCH($A4, INDEX(AsistenciaJetAdminConcatenada!$D:$D, MATCH(1, (AsistenciaJetAdminConcatenada!$A:$A=EQ$2)*(AsistenciaJetAdminConcatenada!$B:$B=EQ$1), 0)), 1))),  0.5, 0))</f>
        <v>0</v>
      </c>
      <c r="ER4" s="47">
        <f t="array" ref="ER4">IF(AND(ISNUMBER(MATCH(ER$2, AsistenciaJetAdminConcatenada!$A:$A, 0)), ISNUMBER(MATCH(ER$1, AsistenciaJetAdminConcatenada!$B:$B, 0)), ISNUMBER(SEARCH($A4,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ISNUMBER(SEARCH($A4, INDEX(AsistenciaJetAdminConcatenada!$D:$D, MATCH(1, (AsistenciaJetAdminConcatenada!$A:$A=ER$2)*(AsistenciaJetAdminConcatenada!$B:$B=ER$1), 0)), 1))),  0.5, 0))</f>
        <v>0</v>
      </c>
      <c r="ES4" s="47">
        <f t="array" ref="ES4">IF(AND(ISNUMBER(MATCH(ES$2, AsistenciaJetAdminConcatenada!$A:$A, 0)), ISNUMBER(MATCH(ES$1, AsistenciaJetAdminConcatenada!$B:$B, 0)), ISNUMBER(SEARCH($A4,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ISNUMBER(SEARCH($A4, INDEX(AsistenciaJetAdminConcatenada!$D:$D, MATCH(1, (AsistenciaJetAdminConcatenada!$A:$A=ES$2)*(AsistenciaJetAdminConcatenada!$B:$B=ES$1), 0)), 1))),  0.5, 0))</f>
        <v>0</v>
      </c>
      <c r="ET4" s="47">
        <f t="array" ref="ET4">IF(AND(ISNUMBER(MATCH(ET$2, AsistenciaJetAdminConcatenada!$A:$A, 0)), ISNUMBER(MATCH(ET$1, AsistenciaJetAdminConcatenada!$B:$B, 0)), ISNUMBER(SEARCH($A4,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ISNUMBER(SEARCH($A4, INDEX(AsistenciaJetAdminConcatenada!$D:$D, MATCH(1, (AsistenciaJetAdminConcatenada!$A:$A=ET$2)*(AsistenciaJetAdminConcatenada!$B:$B=ET$1), 0)), 1))),  0.5, 0))</f>
        <v>0</v>
      </c>
      <c r="EU4" s="47">
        <f t="array" ref="EU4">IF(AND(ISNUMBER(MATCH(EU$2, AsistenciaJetAdminConcatenada!$A:$A, 0)), ISNUMBER(MATCH(EU$1, AsistenciaJetAdminConcatenada!$B:$B, 0)), ISNUMBER(SEARCH($A4,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ISNUMBER(SEARCH($A4, INDEX(AsistenciaJetAdminConcatenada!$D:$D, MATCH(1, (AsistenciaJetAdminConcatenada!$A:$A=EU$2)*(AsistenciaJetAdminConcatenada!$B:$B=EU$1), 0)), 1))),  0.5, 0))</f>
        <v>0</v>
      </c>
      <c r="EV4" s="47">
        <f t="array" ref="EV4">IF(AND(ISNUMBER(MATCH(EV$2, AsistenciaJetAdminConcatenada!$A:$A, 0)), ISNUMBER(MATCH(EV$1, AsistenciaJetAdminConcatenada!$B:$B, 0)), ISNUMBER(SEARCH($A4,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ISNUMBER(SEARCH($A4, INDEX(AsistenciaJetAdminConcatenada!$D:$D, MATCH(1, (AsistenciaJetAdminConcatenada!$A:$A=EV$2)*(AsistenciaJetAdminConcatenada!$B:$B=EV$1), 0)), 1))),  0.5, 0))</f>
        <v>0</v>
      </c>
      <c r="EW4" s="47">
        <f t="array" ref="EW4">IF(AND(ISNUMBER(MATCH(EW$2, AsistenciaJetAdminConcatenada!$A:$A, 0)), ISNUMBER(MATCH(EW$1, AsistenciaJetAdminConcatenada!$B:$B, 0)), ISNUMBER(SEARCH($A4,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ISNUMBER(SEARCH($A4, INDEX(AsistenciaJetAdminConcatenada!$D:$D, MATCH(1, (AsistenciaJetAdminConcatenada!$A:$A=EW$2)*(AsistenciaJetAdminConcatenada!$B:$B=EW$1), 0)), 1))),  0.5, 0))</f>
        <v>0</v>
      </c>
      <c r="EX4" s="47">
        <f t="array" ref="EX4">IF(AND(ISNUMBER(MATCH(EX$2, AsistenciaJetAdminConcatenada!$A:$A, 0)), ISNUMBER(MATCH(EX$1, AsistenciaJetAdminConcatenada!$B:$B, 0)), ISNUMBER(SEARCH($A4,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ISNUMBER(SEARCH($A4, INDEX(AsistenciaJetAdminConcatenada!$D:$D, MATCH(1, (AsistenciaJetAdminConcatenada!$A:$A=EX$2)*(AsistenciaJetAdminConcatenada!$B:$B=EX$1), 0)), 1))),  0.5, 0))</f>
        <v>0</v>
      </c>
      <c r="EY4" s="47">
        <f t="array" ref="EY4">IF(AND(ISNUMBER(MATCH(EY$2, AsistenciaJetAdminConcatenada!$A:$A, 0)), ISNUMBER(MATCH(EY$1, AsistenciaJetAdminConcatenada!$B:$B, 0)), ISNUMBER(SEARCH($A4,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ISNUMBER(SEARCH($A4, INDEX(AsistenciaJetAdminConcatenada!$D:$D, MATCH(1, (AsistenciaJetAdminConcatenada!$A:$A=EY$2)*(AsistenciaJetAdminConcatenada!$B:$B=EY$1), 0)), 1))),  0.5, 0))</f>
        <v>0</v>
      </c>
      <c r="EZ4" s="47">
        <f t="array" ref="EZ4">IF(AND(ISNUMBER(MATCH(EZ$2, AsistenciaJetAdminConcatenada!$A:$A, 0)), ISNUMBER(MATCH(EZ$1, AsistenciaJetAdminConcatenada!$B:$B, 0)), ISNUMBER(SEARCH($A4,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ISNUMBER(SEARCH($A4, INDEX(AsistenciaJetAdminConcatenada!$D:$D, MATCH(1, (AsistenciaJetAdminConcatenada!$A:$A=EZ$2)*(AsistenciaJetAdminConcatenada!$B:$B=EZ$1), 0)), 1))),  0.5, 0))</f>
        <v>0</v>
      </c>
      <c r="FA4" s="47">
        <f t="array" ref="FA4">IF(AND(ISNUMBER(MATCH(FA$2, AsistenciaJetAdminConcatenada!$A:$A, 0)), ISNUMBER(MATCH(FA$1, AsistenciaJetAdminConcatenada!$B:$B, 0)), ISNUMBER(SEARCH($A4,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ISNUMBER(SEARCH($A4, INDEX(AsistenciaJetAdminConcatenada!$D:$D, MATCH(1, (AsistenciaJetAdminConcatenada!$A:$A=FA$2)*(AsistenciaJetAdminConcatenada!$B:$B=FA$1), 0)), 1))),  0.5, 0))</f>
        <v>0</v>
      </c>
      <c r="FB4" s="47">
        <f t="array" ref="FB4">IF(AND(ISNUMBER(MATCH(FB$2, AsistenciaJetAdminConcatenada!$A:$A, 0)), ISNUMBER(MATCH(FB$1, AsistenciaJetAdminConcatenada!$B:$B, 0)), ISNUMBER(SEARCH($A4,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ISNUMBER(SEARCH($A4, INDEX(AsistenciaJetAdminConcatenada!$D:$D, MATCH(1, (AsistenciaJetAdminConcatenada!$A:$A=FB$2)*(AsistenciaJetAdminConcatenada!$B:$B=FB$1), 0)), 1))),  0.5, 0))</f>
        <v>0</v>
      </c>
      <c r="FC4" s="47">
        <f t="array" ref="FC4">IF(AND(ISNUMBER(MATCH(FC$2, AsistenciaJetAdminConcatenada!$A:$A, 0)), ISNUMBER(MATCH(FC$1, AsistenciaJetAdminConcatenada!$B:$B, 0)), ISNUMBER(SEARCH($A4,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ISNUMBER(SEARCH($A4, INDEX(AsistenciaJetAdminConcatenada!$D:$D, MATCH(1, (AsistenciaJetAdminConcatenada!$A:$A=FC$2)*(AsistenciaJetAdminConcatenada!$B:$B=FC$1), 0)), 1))),  0.5, 0))</f>
        <v>0</v>
      </c>
      <c r="FD4" s="47">
        <f t="array" ref="FD4">IF(AND(ISNUMBER(MATCH(FD$2, AsistenciaJetAdminConcatenada!$A:$A, 0)), ISNUMBER(MATCH(FD$1, AsistenciaJetAdminConcatenada!$B:$B, 0)), ISNUMBER(SEARCH($A4,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ISNUMBER(SEARCH($A4, INDEX(AsistenciaJetAdminConcatenada!$D:$D, MATCH(1, (AsistenciaJetAdminConcatenada!$A:$A=FD$2)*(AsistenciaJetAdminConcatenada!$B:$B=FD$1), 0)), 1))),  0.5, 0))</f>
        <v>0</v>
      </c>
      <c r="FE4" s="47">
        <f t="array" ref="FE4">IF(AND(ISNUMBER(MATCH(FE$2, AsistenciaJetAdminConcatenada!$A:$A, 0)), ISNUMBER(MATCH(FE$1, AsistenciaJetAdminConcatenada!$B:$B, 0)), ISNUMBER(SEARCH($A4,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ISNUMBER(SEARCH($A4, INDEX(AsistenciaJetAdminConcatenada!$D:$D, MATCH(1, (AsistenciaJetAdminConcatenada!$A:$A=FE$2)*(AsistenciaJetAdminConcatenada!$B:$B=FE$1), 0)), 1))),  0.5, 0))</f>
        <v>0</v>
      </c>
      <c r="FF4" s="47">
        <f t="array" ref="FF4">IF(AND(ISNUMBER(MATCH(FF$2, AsistenciaJetAdminConcatenada!$A:$A, 0)), ISNUMBER(MATCH(FF$1, AsistenciaJetAdminConcatenada!$B:$B, 0)), ISNUMBER(SEARCH($A4,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ISNUMBER(SEARCH($A4, INDEX(AsistenciaJetAdminConcatenada!$D:$D, MATCH(1, (AsistenciaJetAdminConcatenada!$A:$A=FF$2)*(AsistenciaJetAdminConcatenada!$B:$B=FF$1), 0)), 1))),  0.5, 0))</f>
        <v>0</v>
      </c>
      <c r="FG4" s="47">
        <f t="array" ref="FG4">IF(AND(ISNUMBER(MATCH(FG$2, AsistenciaJetAdminConcatenada!$A:$A, 0)), ISNUMBER(MATCH(FG$1, AsistenciaJetAdminConcatenada!$B:$B, 0)), ISNUMBER(SEARCH($A4,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ISNUMBER(SEARCH($A4, INDEX(AsistenciaJetAdminConcatenada!$D:$D, MATCH(1, (AsistenciaJetAdminConcatenada!$A:$A=FG$2)*(AsistenciaJetAdminConcatenada!$B:$B=FG$1), 0)), 1))),  0.5, 0))</f>
        <v>0</v>
      </c>
      <c r="FH4" s="47">
        <f t="array" ref="FH4">IF(AND(ISNUMBER(MATCH(FH$2, AsistenciaJetAdminConcatenada!$A:$A, 0)), ISNUMBER(MATCH(FH$1, AsistenciaJetAdminConcatenada!$B:$B, 0)), ISNUMBER(SEARCH($A4,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ISNUMBER(SEARCH($A4, INDEX(AsistenciaJetAdminConcatenada!$D:$D, MATCH(1, (AsistenciaJetAdminConcatenada!$A:$A=FH$2)*(AsistenciaJetAdminConcatenada!$B:$B=FH$1), 0)), 1))),  0.5, 0))</f>
        <v>0</v>
      </c>
      <c r="FI4" s="47">
        <f t="array" ref="FI4">IF(AND(ISNUMBER(MATCH(FI$2, AsistenciaJetAdminConcatenada!$A:$A, 0)), ISNUMBER(MATCH(FI$1, AsistenciaJetAdminConcatenada!$B:$B, 0)), ISNUMBER(SEARCH($A4,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ISNUMBER(SEARCH($A4, INDEX(AsistenciaJetAdminConcatenada!$D:$D, MATCH(1, (AsistenciaJetAdminConcatenada!$A:$A=FI$2)*(AsistenciaJetAdminConcatenada!$B:$B=FI$1), 0)), 1))),  0.5, 0))</f>
        <v>0</v>
      </c>
      <c r="FJ4" s="47">
        <f t="array" ref="FJ4">IF(AND(ISNUMBER(MATCH(FJ$2, AsistenciaJetAdminConcatenada!$A:$A, 0)), ISNUMBER(MATCH(FJ$1, AsistenciaJetAdminConcatenada!$B:$B, 0)), ISNUMBER(SEARCH($A4,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ISNUMBER(SEARCH($A4, INDEX(AsistenciaJetAdminConcatenada!$D:$D, MATCH(1, (AsistenciaJetAdminConcatenada!$A:$A=FJ$2)*(AsistenciaJetAdminConcatenada!$B:$B=FJ$1), 0)), 1))),  0.5, 0))</f>
        <v>0</v>
      </c>
      <c r="FK4" s="47">
        <f t="array" ref="FK4">IF(AND(ISNUMBER(MATCH(FK$2, AsistenciaJetAdminConcatenada!$A:$A, 0)), ISNUMBER(MATCH(FK$1, AsistenciaJetAdminConcatenada!$B:$B, 0)), ISNUMBER(SEARCH($A4,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ISNUMBER(SEARCH($A4, INDEX(AsistenciaJetAdminConcatenada!$D:$D, MATCH(1, (AsistenciaJetAdminConcatenada!$A:$A=FK$2)*(AsistenciaJetAdminConcatenada!$B:$B=FK$1), 0)), 1))),  0.5, 0))</f>
        <v>0</v>
      </c>
      <c r="FL4" s="47">
        <f t="array" ref="FL4">IF(AND(ISNUMBER(MATCH(FL$2, AsistenciaJetAdminConcatenada!$A:$A, 0)), ISNUMBER(MATCH(FL$1, AsistenciaJetAdminConcatenada!$B:$B, 0)), ISNUMBER(SEARCH($A4,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ISNUMBER(SEARCH($A4, INDEX(AsistenciaJetAdminConcatenada!$D:$D, MATCH(1, (AsistenciaJetAdminConcatenada!$A:$A=FL$2)*(AsistenciaJetAdminConcatenada!$B:$B=FL$1), 0)), 1))),  0.5, 0))</f>
        <v>0</v>
      </c>
      <c r="FM4" s="47">
        <f t="array" ref="FM4">IF(AND(ISNUMBER(MATCH(FM$2, AsistenciaJetAdminConcatenada!$A:$A, 0)), ISNUMBER(MATCH(FM$1, AsistenciaJetAdminConcatenada!$B:$B, 0)), ISNUMBER(SEARCH($A4,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ISNUMBER(SEARCH($A4, INDEX(AsistenciaJetAdminConcatenada!$D:$D, MATCH(1, (AsistenciaJetAdminConcatenada!$A:$A=FM$2)*(AsistenciaJetAdminConcatenada!$B:$B=FM$1), 0)), 1))),  0.5, 0))</f>
        <v>0</v>
      </c>
      <c r="FN4" s="47">
        <f t="array" ref="FN4">IF(AND(ISNUMBER(MATCH(FN$2, AsistenciaJetAdminConcatenada!$A:$A, 0)), ISNUMBER(MATCH(FN$1, AsistenciaJetAdminConcatenada!$B:$B, 0)), ISNUMBER(SEARCH($A4,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ISNUMBER(SEARCH($A4, INDEX(AsistenciaJetAdminConcatenada!$D:$D, MATCH(1, (AsistenciaJetAdminConcatenada!$A:$A=FN$2)*(AsistenciaJetAdminConcatenada!$B:$B=FN$1), 0)), 1))),  0.5, 0))</f>
        <v>0</v>
      </c>
      <c r="FO4" s="47">
        <f t="array" ref="FO4">IF(AND(ISNUMBER(MATCH(FO$2, AsistenciaJetAdminConcatenada!$A:$A, 0)), ISNUMBER(MATCH(FO$1, AsistenciaJetAdminConcatenada!$B:$B, 0)), ISNUMBER(SEARCH($A4,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ISNUMBER(SEARCH($A4, INDEX(AsistenciaJetAdminConcatenada!$D:$D, MATCH(1, (AsistenciaJetAdminConcatenada!$A:$A=FO$2)*(AsistenciaJetAdminConcatenada!$B:$B=FO$1), 0)), 1))),  0.5, 0))</f>
        <v>0</v>
      </c>
      <c r="FP4" s="47">
        <f t="array" ref="FP4">IF(AND(ISNUMBER(MATCH(FP$2, AsistenciaJetAdminConcatenada!$A:$A, 0)), ISNUMBER(MATCH(FP$1, AsistenciaJetAdminConcatenada!$B:$B, 0)), ISNUMBER(SEARCH($A4,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ISNUMBER(SEARCH($A4, INDEX(AsistenciaJetAdminConcatenada!$D:$D, MATCH(1, (AsistenciaJetAdminConcatenada!$A:$A=FP$2)*(AsistenciaJetAdminConcatenada!$B:$B=FP$1), 0)), 1))),  0.5, 0))</f>
        <v>0</v>
      </c>
      <c r="FQ4" s="47">
        <f t="array" ref="FQ4">IF(AND(ISNUMBER(MATCH(FQ$2, AsistenciaJetAdminConcatenada!$A:$A, 0)), ISNUMBER(MATCH(FQ$1, AsistenciaJetAdminConcatenada!$B:$B, 0)), ISNUMBER(SEARCH($A4,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ISNUMBER(SEARCH($A4, INDEX(AsistenciaJetAdminConcatenada!$D:$D, MATCH(1, (AsistenciaJetAdminConcatenada!$A:$A=FQ$2)*(AsistenciaJetAdminConcatenada!$B:$B=FQ$1), 0)), 1))),  0.5, 0))</f>
        <v>0</v>
      </c>
      <c r="FR4" s="47">
        <f t="array" ref="FR4">IF(AND(ISNUMBER(MATCH(FR$2, AsistenciaJetAdminConcatenada!$A:$A, 0)), ISNUMBER(MATCH(FR$1, AsistenciaJetAdminConcatenada!$B:$B, 0)), ISNUMBER(SEARCH($A4,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ISNUMBER(SEARCH($A4, INDEX(AsistenciaJetAdminConcatenada!$D:$D, MATCH(1, (AsistenciaJetAdminConcatenada!$A:$A=FR$2)*(AsistenciaJetAdminConcatenada!$B:$B=FR$1), 0)), 1))),  0.5, 0))</f>
        <v>0</v>
      </c>
      <c r="FS4" s="47">
        <f t="array" ref="FS4">IF(AND(ISNUMBER(MATCH(FS$2, AsistenciaJetAdminConcatenada!$A:$A, 0)), ISNUMBER(MATCH(FS$1, AsistenciaJetAdminConcatenada!$B:$B, 0)), ISNUMBER(SEARCH($A4,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ISNUMBER(SEARCH($A4, INDEX(AsistenciaJetAdminConcatenada!$D:$D, MATCH(1, (AsistenciaJetAdminConcatenada!$A:$A=FS$2)*(AsistenciaJetAdminConcatenada!$B:$B=FS$1), 0)), 1))),  0.5, 0))</f>
        <v>0</v>
      </c>
      <c r="FT4" s="47">
        <f t="array" ref="FT4">IF(AND(ISNUMBER(MATCH(FT$2, AsistenciaJetAdminConcatenada!$A:$A, 0)), ISNUMBER(MATCH(FT$1, AsistenciaJetAdminConcatenada!$B:$B, 0)), ISNUMBER(SEARCH($A4,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ISNUMBER(SEARCH($A4, INDEX(AsistenciaJetAdminConcatenada!$D:$D, MATCH(1, (AsistenciaJetAdminConcatenada!$A:$A=FT$2)*(AsistenciaJetAdminConcatenada!$B:$B=FT$1), 0)), 1))),  0.5, 0))</f>
        <v>0</v>
      </c>
      <c r="FU4" s="47">
        <f t="array" ref="FU4">IF(AND(ISNUMBER(MATCH(FU$2, AsistenciaJetAdminConcatenada!$A:$A, 0)), ISNUMBER(MATCH(FU$1, AsistenciaJetAdminConcatenada!$B:$B, 0)), ISNUMBER(SEARCH($A4,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ISNUMBER(SEARCH($A4, INDEX(AsistenciaJetAdminConcatenada!$D:$D, MATCH(1, (AsistenciaJetAdminConcatenada!$A:$A=FU$2)*(AsistenciaJetAdminConcatenada!$B:$B=FU$1), 0)), 1))),  0.5, 0))</f>
        <v>0</v>
      </c>
      <c r="FV4" s="47">
        <f t="array" ref="FV4">IF(AND(ISNUMBER(MATCH(FV$2, AsistenciaJetAdminConcatenada!$A:$A, 0)), ISNUMBER(MATCH(FV$1, AsistenciaJetAdminConcatenada!$B:$B, 0)), ISNUMBER(SEARCH($A4,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ISNUMBER(SEARCH($A4, INDEX(AsistenciaJetAdminConcatenada!$D:$D, MATCH(1, (AsistenciaJetAdminConcatenada!$A:$A=FV$2)*(AsistenciaJetAdminConcatenada!$B:$B=FV$1), 0)), 1))),  0.5, 0))</f>
        <v>0</v>
      </c>
      <c r="FW4" s="47">
        <f t="array" ref="FW4">IF(AND(ISNUMBER(MATCH(FW$2, AsistenciaJetAdminConcatenada!$A:$A, 0)), ISNUMBER(MATCH(FW$1, AsistenciaJetAdminConcatenada!$B:$B, 0)), ISNUMBER(SEARCH($A4,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ISNUMBER(SEARCH($A4, INDEX(AsistenciaJetAdminConcatenada!$D:$D, MATCH(1, (AsistenciaJetAdminConcatenada!$A:$A=FW$2)*(AsistenciaJetAdminConcatenada!$B:$B=FW$1), 0)), 1))),  0.5, 0))</f>
        <v>0</v>
      </c>
      <c r="FX4" s="47">
        <f t="array" ref="FX4">IF(AND(ISNUMBER(MATCH(FX$2, AsistenciaJetAdminConcatenada!$A:$A, 0)), ISNUMBER(MATCH(FX$1, AsistenciaJetAdminConcatenada!$B:$B, 0)), ISNUMBER(SEARCH($A4,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ISNUMBER(SEARCH($A4, INDEX(AsistenciaJetAdminConcatenada!$D:$D, MATCH(1, (AsistenciaJetAdminConcatenada!$A:$A=FX$2)*(AsistenciaJetAdminConcatenada!$B:$B=FX$1), 0)), 1))),  0.5, 0))</f>
        <v>0</v>
      </c>
      <c r="FY4" s="47">
        <f t="array" ref="FY4">IF(AND(ISNUMBER(MATCH(FY$2, AsistenciaJetAdminConcatenada!$A:$A, 0)), ISNUMBER(MATCH(FY$1, AsistenciaJetAdminConcatenada!$B:$B, 0)), ISNUMBER(SEARCH($A4,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ISNUMBER(SEARCH($A4, INDEX(AsistenciaJetAdminConcatenada!$D:$D, MATCH(1, (AsistenciaJetAdminConcatenada!$A:$A=FY$2)*(AsistenciaJetAdminConcatenada!$B:$B=FY$1), 0)), 1))),  0.5, 0))</f>
        <v>0</v>
      </c>
      <c r="FZ4" s="47">
        <f t="array" ref="FZ4">IF(AND(ISNUMBER(MATCH(FZ$2, AsistenciaJetAdminConcatenada!$A:$A, 0)), ISNUMBER(MATCH(FZ$1, AsistenciaJetAdminConcatenada!$B:$B, 0)), ISNUMBER(SEARCH($A4,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ISNUMBER(SEARCH($A4, INDEX(AsistenciaJetAdminConcatenada!$D:$D, MATCH(1, (AsistenciaJetAdminConcatenada!$A:$A=FZ$2)*(AsistenciaJetAdminConcatenada!$B:$B=FZ$1), 0)), 1))),  0.5, 0))</f>
        <v>0</v>
      </c>
      <c r="GA4" s="47">
        <f t="array" ref="GA4">IF(AND(ISNUMBER(MATCH(GA$2, AsistenciaJetAdminConcatenada!$A:$A, 0)), ISNUMBER(MATCH(GA$1, AsistenciaJetAdminConcatenada!$B:$B, 0)), ISNUMBER(SEARCH($A4,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ISNUMBER(SEARCH($A4, INDEX(AsistenciaJetAdminConcatenada!$D:$D, MATCH(1, (AsistenciaJetAdminConcatenada!$A:$A=GA$2)*(AsistenciaJetAdminConcatenada!$B:$B=GA$1), 0)), 1))),  0.5, 0))</f>
        <v>0</v>
      </c>
      <c r="GB4" s="47">
        <f t="array" ref="GB4">IF(AND(ISNUMBER(MATCH(GB$2, AsistenciaJetAdminConcatenada!$A:$A, 0)), ISNUMBER(MATCH(GB$1, AsistenciaJetAdminConcatenada!$B:$B, 0)), ISNUMBER(SEARCH($A4,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ISNUMBER(SEARCH($A4, INDEX(AsistenciaJetAdminConcatenada!$D:$D, MATCH(1, (AsistenciaJetAdminConcatenada!$A:$A=GB$2)*(AsistenciaJetAdminConcatenada!$B:$B=GB$1), 0)), 1))),  0.5, 0))</f>
        <v>0</v>
      </c>
      <c r="GC4" s="47">
        <f t="array" ref="GC4">IF(AND(ISNUMBER(MATCH(GC$2, AsistenciaJetAdminConcatenada!$A:$A, 0)), ISNUMBER(MATCH(GC$1, AsistenciaJetAdminConcatenada!$B:$B, 0)), ISNUMBER(SEARCH($A4,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ISNUMBER(SEARCH($A4, INDEX(AsistenciaJetAdminConcatenada!$D:$D, MATCH(1, (AsistenciaJetAdminConcatenada!$A:$A=GC$2)*(AsistenciaJetAdminConcatenada!$B:$B=GC$1), 0)), 1))),  0.5, 0))</f>
        <v>0</v>
      </c>
      <c r="GD4" s="47">
        <f t="array" ref="GD4">IF(AND(ISNUMBER(MATCH(GD$2, AsistenciaJetAdminConcatenada!$A:$A, 0)), ISNUMBER(MATCH(GD$1, AsistenciaJetAdminConcatenada!$B:$B, 0)), ISNUMBER(SEARCH($A4,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ISNUMBER(SEARCH($A4, INDEX(AsistenciaJetAdminConcatenada!$D:$D, MATCH(1, (AsistenciaJetAdminConcatenada!$A:$A=GD$2)*(AsistenciaJetAdminConcatenada!$B:$B=GD$1), 0)), 1))),  0.5, 0))</f>
        <v>0</v>
      </c>
      <c r="GE4" s="47">
        <f t="array" ref="GE4">IF(AND(ISNUMBER(MATCH(GE$2, AsistenciaJetAdminConcatenada!$A:$A, 0)), ISNUMBER(MATCH(GE$1, AsistenciaJetAdminConcatenada!$B:$B, 0)), ISNUMBER(SEARCH($A4,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ISNUMBER(SEARCH($A4, INDEX(AsistenciaJetAdminConcatenada!$D:$D, MATCH(1, (AsistenciaJetAdminConcatenada!$A:$A=GE$2)*(AsistenciaJetAdminConcatenada!$B:$B=GE$1), 0)), 1))),  0.5, 0))</f>
        <v>0</v>
      </c>
      <c r="GF4" s="47">
        <f t="array" ref="GF4">IF(AND(ISNUMBER(MATCH(GF$2, AsistenciaJetAdminConcatenada!$A:$A, 0)), ISNUMBER(MATCH(GF$1, AsistenciaJetAdminConcatenada!$B:$B, 0)), ISNUMBER(SEARCH($A4,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ISNUMBER(SEARCH($A4, INDEX(AsistenciaJetAdminConcatenada!$D:$D, MATCH(1, (AsistenciaJetAdminConcatenada!$A:$A=GF$2)*(AsistenciaJetAdminConcatenada!$B:$B=GF$1), 0)), 1))),  0.5, 0))</f>
        <v>0</v>
      </c>
      <c r="GG4" s="47">
        <f t="array" ref="GG4">IF(AND(ISNUMBER(MATCH(GG$2, AsistenciaJetAdminConcatenada!$A:$A, 0)), ISNUMBER(MATCH(GG$1, AsistenciaJetAdminConcatenada!$B:$B, 0)), ISNUMBER(SEARCH($A4,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ISNUMBER(SEARCH($A4, INDEX(AsistenciaJetAdminConcatenada!$D:$D, MATCH(1, (AsistenciaJetAdminConcatenada!$A:$A=GG$2)*(AsistenciaJetAdminConcatenada!$B:$B=GG$1), 0)), 1))),  0.5, 0))</f>
        <v>0</v>
      </c>
      <c r="GH4" s="47">
        <f t="array" ref="GH4">IF(AND(ISNUMBER(MATCH(GH$2, AsistenciaJetAdminConcatenada!$A:$A, 0)), ISNUMBER(MATCH(GH$1, AsistenciaJetAdminConcatenada!$B:$B, 0)), ISNUMBER(SEARCH($A4,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ISNUMBER(SEARCH($A4, INDEX(AsistenciaJetAdminConcatenada!$D:$D, MATCH(1, (AsistenciaJetAdminConcatenada!$A:$A=GH$2)*(AsistenciaJetAdminConcatenada!$B:$B=GH$1), 0)), 1))),  0.5, 0))</f>
        <v>0</v>
      </c>
      <c r="GI4" s="47">
        <f t="array" ref="GI4">IF(AND(ISNUMBER(MATCH(GI$2, AsistenciaJetAdminConcatenada!$A:$A, 0)), ISNUMBER(MATCH(GI$1, AsistenciaJetAdminConcatenada!$B:$B, 0)), ISNUMBER(SEARCH($A4,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ISNUMBER(SEARCH($A4, INDEX(AsistenciaJetAdminConcatenada!$D:$D, MATCH(1, (AsistenciaJetAdminConcatenada!$A:$A=GI$2)*(AsistenciaJetAdminConcatenada!$B:$B=GI$1), 0)), 1))),  0.5, 0))</f>
        <v>0</v>
      </c>
      <c r="GJ4" s="47">
        <f t="array" ref="GJ4">IF(AND(ISNUMBER(MATCH(GJ$2, AsistenciaJetAdminConcatenada!$A:$A, 0)), ISNUMBER(MATCH(GJ$1, AsistenciaJetAdminConcatenada!$B:$B, 0)), ISNUMBER(SEARCH($A4,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ISNUMBER(SEARCH($A4, INDEX(AsistenciaJetAdminConcatenada!$D:$D, MATCH(1, (AsistenciaJetAdminConcatenada!$A:$A=GJ$2)*(AsistenciaJetAdminConcatenada!$B:$B=GJ$1), 0)), 1))),  0.5, 0))</f>
        <v>0</v>
      </c>
      <c r="GK4" s="47">
        <f t="array" ref="GK4">IF(AND(ISNUMBER(MATCH(GK$2, AsistenciaJetAdminConcatenada!$A:$A, 0)), ISNUMBER(MATCH(GK$1, AsistenciaJetAdminConcatenada!$B:$B, 0)), ISNUMBER(SEARCH($A4,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ISNUMBER(SEARCH($A4, INDEX(AsistenciaJetAdminConcatenada!$D:$D, MATCH(1, (AsistenciaJetAdminConcatenada!$A:$A=GK$2)*(AsistenciaJetAdminConcatenada!$B:$B=GK$1), 0)), 1))),  0.5, 0))</f>
        <v>0</v>
      </c>
      <c r="GL4" s="47">
        <f t="array" ref="GL4">IF(AND(ISNUMBER(MATCH(GL$2, AsistenciaJetAdminConcatenada!$A:$A, 0)), ISNUMBER(MATCH(GL$1, AsistenciaJetAdminConcatenada!$B:$B, 0)), ISNUMBER(SEARCH($A4,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ISNUMBER(SEARCH($A4, INDEX(AsistenciaJetAdminConcatenada!$D:$D, MATCH(1, (AsistenciaJetAdminConcatenada!$A:$A=GL$2)*(AsistenciaJetAdminConcatenada!$B:$B=GL$1), 0)), 1))),  0.5, 0))</f>
        <v>0</v>
      </c>
      <c r="GM4" s="47">
        <f t="array" ref="GM4">IF(AND(ISNUMBER(MATCH(GM$2, AsistenciaJetAdminConcatenada!$A:$A, 0)), ISNUMBER(MATCH(GM$1, AsistenciaJetAdminConcatenada!$B:$B, 0)), ISNUMBER(SEARCH($A4,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ISNUMBER(SEARCH($A4, INDEX(AsistenciaJetAdminConcatenada!$D:$D, MATCH(1, (AsistenciaJetAdminConcatenada!$A:$A=GM$2)*(AsistenciaJetAdminConcatenada!$B:$B=GM$1), 0)), 1))),  0.5, 0))</f>
        <v>0</v>
      </c>
      <c r="GN4" s="47">
        <f t="array" ref="GN4">IF(AND(ISNUMBER(MATCH(GN$2, AsistenciaJetAdminConcatenada!$A:$A, 0)), ISNUMBER(MATCH(GN$1, AsistenciaJetAdminConcatenada!$B:$B, 0)), ISNUMBER(SEARCH($A4,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ISNUMBER(SEARCH($A4, INDEX(AsistenciaJetAdminConcatenada!$D:$D, MATCH(1, (AsistenciaJetAdminConcatenada!$A:$A=GN$2)*(AsistenciaJetAdminConcatenada!$B:$B=GN$1), 0)), 1))),  0.5, 0))</f>
        <v>0</v>
      </c>
      <c r="GO4" s="47">
        <f t="array" ref="GO4">IF(AND(ISNUMBER(MATCH(GO$2, AsistenciaJetAdminConcatenada!$A:$A, 0)), ISNUMBER(MATCH(GO$1, AsistenciaJetAdminConcatenada!$B:$B, 0)), ISNUMBER(SEARCH($A4,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ISNUMBER(SEARCH($A4, INDEX(AsistenciaJetAdminConcatenada!$D:$D, MATCH(1, (AsistenciaJetAdminConcatenada!$A:$A=GO$2)*(AsistenciaJetAdminConcatenada!$B:$B=GO$1), 0)), 1))),  0.5, 0))</f>
        <v>0</v>
      </c>
      <c r="GP4" s="47">
        <f t="array" ref="GP4">IF(AND(ISNUMBER(MATCH(GP$2, AsistenciaJetAdminConcatenada!$A:$A, 0)), ISNUMBER(MATCH(GP$1, AsistenciaJetAdminConcatenada!$B:$B, 0)), ISNUMBER(SEARCH($A4,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ISNUMBER(SEARCH($A4, INDEX(AsistenciaJetAdminConcatenada!$D:$D, MATCH(1, (AsistenciaJetAdminConcatenada!$A:$A=GP$2)*(AsistenciaJetAdminConcatenada!$B:$B=GP$1), 0)), 1))),  0.5, 0))</f>
        <v>0</v>
      </c>
      <c r="GQ4" s="47">
        <f t="array" ref="GQ4">IF(AND(ISNUMBER(MATCH(GQ$2, AsistenciaJetAdminConcatenada!$A:$A, 0)), ISNUMBER(MATCH(GQ$1, AsistenciaJetAdminConcatenada!$B:$B, 0)), ISNUMBER(SEARCH($A4,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ISNUMBER(SEARCH($A4, INDEX(AsistenciaJetAdminConcatenada!$D:$D, MATCH(1, (AsistenciaJetAdminConcatenada!$A:$A=GQ$2)*(AsistenciaJetAdminConcatenada!$B:$B=GQ$1), 0)), 1))),  0.5, 0))</f>
        <v>0</v>
      </c>
      <c r="GR4" s="47">
        <f t="array" ref="GR4">IF(AND(ISNUMBER(MATCH(GR$2, AsistenciaJetAdminConcatenada!$A:$A, 0)), ISNUMBER(MATCH(GR$1, AsistenciaJetAdminConcatenada!$B:$B, 0)), ISNUMBER(SEARCH($A4,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ISNUMBER(SEARCH($A4, INDEX(AsistenciaJetAdminConcatenada!$D:$D, MATCH(1, (AsistenciaJetAdminConcatenada!$A:$A=GR$2)*(AsistenciaJetAdminConcatenada!$B:$B=GR$1), 0)), 1))),  0.5, 0))</f>
        <v>0</v>
      </c>
      <c r="GS4" s="47">
        <f t="array" ref="GS4">IF(AND(ISNUMBER(MATCH(GS$2, AsistenciaJetAdminConcatenada!$A:$A, 0)), ISNUMBER(MATCH(GS$1, AsistenciaJetAdminConcatenada!$B:$B, 0)), ISNUMBER(SEARCH($A4,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ISNUMBER(SEARCH($A4, INDEX(AsistenciaJetAdminConcatenada!$D:$D, MATCH(1, (AsistenciaJetAdminConcatenada!$A:$A=GS$2)*(AsistenciaJetAdminConcatenada!$B:$B=GS$1), 0)), 1))),  0.5, 0))</f>
        <v>0</v>
      </c>
      <c r="GT4" s="47">
        <f t="array" ref="GT4">IF(AND(ISNUMBER(MATCH(GT$2, AsistenciaJetAdminConcatenada!$A:$A, 0)), ISNUMBER(MATCH(GT$1, AsistenciaJetAdminConcatenada!$B:$B, 0)), ISNUMBER(SEARCH($A4,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ISNUMBER(SEARCH($A4, INDEX(AsistenciaJetAdminConcatenada!$D:$D, MATCH(1, (AsistenciaJetAdminConcatenada!$A:$A=GT$2)*(AsistenciaJetAdminConcatenada!$B:$B=GT$1), 0)), 1))),  0.5, 0))</f>
        <v>0</v>
      </c>
      <c r="GU4" s="47">
        <f t="array" ref="GU4">IF(AND(ISNUMBER(MATCH(GU$2, AsistenciaJetAdminConcatenada!$A:$A, 0)), ISNUMBER(MATCH(GU$1, AsistenciaJetAdminConcatenada!$B:$B, 0)), ISNUMBER(SEARCH($A4,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ISNUMBER(SEARCH($A4, INDEX(AsistenciaJetAdminConcatenada!$D:$D, MATCH(1, (AsistenciaJetAdminConcatenada!$A:$A=GU$2)*(AsistenciaJetAdminConcatenada!$B:$B=GU$1), 0)), 1))),  0.5, 0))</f>
        <v>0</v>
      </c>
      <c r="GV4" s="47">
        <f t="array" ref="GV4">IF(AND(ISNUMBER(MATCH(GV$2, AsistenciaJetAdminConcatenada!$A:$A, 0)), ISNUMBER(MATCH(GV$1, AsistenciaJetAdminConcatenada!$B:$B, 0)), ISNUMBER(SEARCH($A4,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ISNUMBER(SEARCH($A4, INDEX(AsistenciaJetAdminConcatenada!$D:$D, MATCH(1, (AsistenciaJetAdminConcatenada!$A:$A=GV$2)*(AsistenciaJetAdminConcatenada!$B:$B=GV$1), 0)), 1))),  0.5, 0))</f>
        <v>0</v>
      </c>
      <c r="GW4" s="47">
        <f t="array" ref="GW4">IF(AND(ISNUMBER(MATCH(GW$2, AsistenciaJetAdminConcatenada!$A:$A, 0)), ISNUMBER(MATCH(GW$1, AsistenciaJetAdminConcatenada!$B:$B, 0)), ISNUMBER(SEARCH($A4,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ISNUMBER(SEARCH($A4, INDEX(AsistenciaJetAdminConcatenada!$D:$D, MATCH(1, (AsistenciaJetAdminConcatenada!$A:$A=GW$2)*(AsistenciaJetAdminConcatenada!$B:$B=GW$1), 0)), 1))),  0.5, 0))</f>
        <v>0</v>
      </c>
      <c r="GX4" s="47">
        <f t="array" ref="GX4">IF(AND(ISNUMBER(MATCH(GX$2, AsistenciaJetAdminConcatenada!$A:$A, 0)), ISNUMBER(MATCH(GX$1, AsistenciaJetAdminConcatenada!$B:$B, 0)), ISNUMBER(SEARCH($A4,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ISNUMBER(SEARCH($A4, INDEX(AsistenciaJetAdminConcatenada!$D:$D, MATCH(1, (AsistenciaJetAdminConcatenada!$A:$A=GX$2)*(AsistenciaJetAdminConcatenada!$B:$B=GX$1), 0)), 1))),  0.5, 0))</f>
        <v>0</v>
      </c>
      <c r="GY4" s="47">
        <f t="array" ref="GY4">IF(AND(ISNUMBER(MATCH(GY$2, AsistenciaJetAdminConcatenada!$A:$A, 0)), ISNUMBER(MATCH(GY$1, AsistenciaJetAdminConcatenada!$B:$B, 0)), ISNUMBER(SEARCH($A4,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ISNUMBER(SEARCH($A4, INDEX(AsistenciaJetAdminConcatenada!$D:$D, MATCH(1, (AsistenciaJetAdminConcatenada!$A:$A=GY$2)*(AsistenciaJetAdminConcatenada!$B:$B=GY$1), 0)), 1))),  0.5, 0))</f>
        <v>0</v>
      </c>
      <c r="GZ4" s="47">
        <f t="array" ref="GZ4">IF(AND(ISNUMBER(MATCH(GZ$2, AsistenciaJetAdminConcatenada!$A:$A, 0)), ISNUMBER(MATCH(GZ$1, AsistenciaJetAdminConcatenada!$B:$B, 0)), ISNUMBER(SEARCH($A4,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ISNUMBER(SEARCH($A4, INDEX(AsistenciaJetAdminConcatenada!$D:$D, MATCH(1, (AsistenciaJetAdminConcatenada!$A:$A=GZ$2)*(AsistenciaJetAdminConcatenada!$B:$B=GZ$1), 0)), 1))),  0.5, 0))</f>
        <v>0</v>
      </c>
      <c r="HA4" s="47">
        <f t="array" ref="HA4">IF(AND(ISNUMBER(MATCH(HA$2, AsistenciaJetAdminConcatenada!$A:$A, 0)), ISNUMBER(MATCH(HA$1, AsistenciaJetAdminConcatenada!$B:$B, 0)), ISNUMBER(SEARCH($A4,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ISNUMBER(SEARCH($A4, INDEX(AsistenciaJetAdminConcatenada!$D:$D, MATCH(1, (AsistenciaJetAdminConcatenada!$A:$A=HA$2)*(AsistenciaJetAdminConcatenada!$B:$B=HA$1), 0)), 1))),  0.5, 0))</f>
        <v>0</v>
      </c>
      <c r="HB4" s="47">
        <f t="array" ref="HB4">IF(AND(ISNUMBER(MATCH(HB$2, AsistenciaJetAdminConcatenada!$A:$A, 0)), ISNUMBER(MATCH(HB$1, AsistenciaJetAdminConcatenada!$B:$B, 0)), ISNUMBER(SEARCH($A4,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ISNUMBER(SEARCH($A4, INDEX(AsistenciaJetAdminConcatenada!$D:$D, MATCH(1, (AsistenciaJetAdminConcatenada!$A:$A=HB$2)*(AsistenciaJetAdminConcatenada!$B:$B=HB$1), 0)), 1))),  0.5, 0))</f>
        <v>0</v>
      </c>
      <c r="HC4" s="47">
        <f t="array" ref="HC4">IF(AND(ISNUMBER(MATCH(HC$2, AsistenciaJetAdminConcatenada!$A:$A, 0)), ISNUMBER(MATCH(HC$1, AsistenciaJetAdminConcatenada!$B:$B, 0)), ISNUMBER(SEARCH($A4,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ISNUMBER(SEARCH($A4, INDEX(AsistenciaJetAdminConcatenada!$D:$D, MATCH(1, (AsistenciaJetAdminConcatenada!$A:$A=HC$2)*(AsistenciaJetAdminConcatenada!$B:$B=HC$1), 0)), 1))),  0.5, 0))</f>
        <v>0</v>
      </c>
    </row>
    <row r="5" ht="29.25" customHeight="1">
      <c r="A5" s="3">
        <v>180.0</v>
      </c>
      <c r="B5" s="4" t="s">
        <v>751</v>
      </c>
      <c r="C5" s="47">
        <f>SUM(D5:HC5) + ActividadesEspeciales!C5</f>
        <v>74.5</v>
      </c>
      <c r="D5" s="47">
        <f t="array" ref="D5">IF(AND(ISNUMBER(MATCH(D$2, AsistenciaJetAdminConcatenada!$A:$A, 0)), ISNUMBER(MATCH(D$1, AsistenciaJetAdminConcatenada!$B:$B, 0)), ISNUMBER(SEARCH($A5,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ISNUMBER(SEARCH($A5, INDEX(AsistenciaJetAdminConcatenada!$D:$D, MATCH(1, (AsistenciaJetAdminConcatenada!$A:$A=D$2)*(AsistenciaJetAdminConcatenada!$B:$B=D$1), 0)), 1))),  0.5, 0))</f>
        <v>1</v>
      </c>
      <c r="E5" s="47">
        <f t="array" ref="E5">IF(AND(ISNUMBER(MATCH(E$2, AsistenciaJetAdminConcatenada!$A:$A, 0)), ISNUMBER(MATCH(E$1, AsistenciaJetAdminConcatenada!$B:$B, 0)), ISNUMBER(SEARCH($A5,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ISNUMBER(SEARCH($A5, INDEX(AsistenciaJetAdminConcatenada!$D:$D, MATCH(1, (AsistenciaJetAdminConcatenada!$A:$A=E$2)*(AsistenciaJetAdminConcatenada!$B:$B=E$1), 0)), 1))),  0.5, 0))</f>
        <v>1</v>
      </c>
      <c r="F5" s="47">
        <f t="array" ref="F5">IF(AND(ISNUMBER(MATCH(F$2, AsistenciaJetAdminConcatenada!$A:$A, 0)), ISNUMBER(MATCH(F$1, AsistenciaJetAdminConcatenada!$B:$B, 0)), ISNUMBER(SEARCH($A5,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ISNUMBER(SEARCH($A5, INDEX(AsistenciaJetAdminConcatenada!$D:$D, MATCH(1, (AsistenciaJetAdminConcatenada!$A:$A=F$2)*(AsistenciaJetAdminConcatenada!$B:$B=F$1), 0)), 1))),  0.5, 0))</f>
        <v>1</v>
      </c>
      <c r="G5" s="47">
        <f t="array" ref="G5">IF(AND(ISNUMBER(MATCH(G$2, AsistenciaJetAdminConcatenada!$A:$A, 0)), ISNUMBER(MATCH(G$1, AsistenciaJetAdminConcatenada!$B:$B, 0)), ISNUMBER(SEARCH($A5,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ISNUMBER(SEARCH($A5, INDEX(AsistenciaJetAdminConcatenada!$D:$D, MATCH(1, (AsistenciaJetAdminConcatenada!$A:$A=G$2)*(AsistenciaJetAdminConcatenada!$B:$B=G$1), 0)), 1))),  0.5, 0))</f>
        <v>1</v>
      </c>
      <c r="H5" s="47">
        <f t="array" ref="H5">IF(AND(ISNUMBER(MATCH(H$2, AsistenciaJetAdminConcatenada!$A:$A, 0)), ISNUMBER(MATCH(H$1, AsistenciaJetAdminConcatenada!$B:$B, 0)), ISNUMBER(SEARCH($A5,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ISNUMBER(SEARCH($A5, INDEX(AsistenciaJetAdminConcatenada!$D:$D, MATCH(1, (AsistenciaJetAdminConcatenada!$A:$A=H$2)*(AsistenciaJetAdminConcatenada!$B:$B=H$1), 0)), 1))),  0.5, 0))</f>
        <v>1</v>
      </c>
      <c r="I5" s="47">
        <f t="array" ref="I5">IF(AND(ISNUMBER(MATCH(I$2, AsistenciaJetAdminConcatenada!$A:$A, 0)), ISNUMBER(MATCH(I$1, AsistenciaJetAdminConcatenada!$B:$B, 0)), ISNUMBER(SEARCH($A5,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ISNUMBER(SEARCH($A5, INDEX(AsistenciaJetAdminConcatenada!$D:$D, MATCH(1, (AsistenciaJetAdminConcatenada!$A:$A=I$2)*(AsistenciaJetAdminConcatenada!$B:$B=I$1), 0)), 1))),  0.5, 0))</f>
        <v>1</v>
      </c>
      <c r="J5" s="47">
        <f t="array" ref="J5">IF(AND(ISNUMBER(MATCH(J$2, AsistenciaJetAdminConcatenada!$A:$A, 0)), ISNUMBER(MATCH(J$1, AsistenciaJetAdminConcatenada!$B:$B, 0)), ISNUMBER(SEARCH($A5,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ISNUMBER(SEARCH($A5, INDEX(AsistenciaJetAdminConcatenada!$D:$D, MATCH(1, (AsistenciaJetAdminConcatenada!$A:$A=J$2)*(AsistenciaJetAdminConcatenada!$B:$B=J$1), 0)), 1))),  0.5, 0))</f>
        <v>0</v>
      </c>
      <c r="K5" s="47">
        <f t="array" ref="K5">IF(AND(ISNUMBER(MATCH(K$2, AsistenciaJetAdminConcatenada!$A:$A, 0)), ISNUMBER(MATCH(K$1, AsistenciaJetAdminConcatenada!$B:$B, 0)), ISNUMBER(SEARCH($A5,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ISNUMBER(SEARCH($A5, INDEX(AsistenciaJetAdminConcatenada!$D:$D, MATCH(1, (AsistenciaJetAdminConcatenada!$A:$A=K$2)*(AsistenciaJetAdminConcatenada!$B:$B=K$1), 0)), 1))),  0.5, 0))</f>
        <v>1</v>
      </c>
      <c r="L5" s="47">
        <f t="array" ref="L5">IF(AND(ISNUMBER(MATCH(L$2, AsistenciaJetAdminConcatenada!$A:$A, 0)), ISNUMBER(MATCH(L$1, AsistenciaJetAdminConcatenada!$B:$B, 0)), ISNUMBER(SEARCH($A5,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ISNUMBER(SEARCH($A5, INDEX(AsistenciaJetAdminConcatenada!$D:$D, MATCH(1, (AsistenciaJetAdminConcatenada!$A:$A=L$2)*(AsistenciaJetAdminConcatenada!$B:$B=L$1), 0)), 1))),  0.5, 0))</f>
        <v>1</v>
      </c>
      <c r="M5" s="47">
        <f t="array" ref="M5">IF(AND(ISNUMBER(MATCH(M$2, AsistenciaJetAdminConcatenada!$A:$A, 0)), ISNUMBER(MATCH(M$1, AsistenciaJetAdminConcatenada!$B:$B, 0)), ISNUMBER(SEARCH($A5,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ISNUMBER(SEARCH($A5, INDEX(AsistenciaJetAdminConcatenada!$D:$D, MATCH(1, (AsistenciaJetAdminConcatenada!$A:$A=M$2)*(AsistenciaJetAdminConcatenada!$B:$B=M$1), 0)), 1))),  0.5, 0))</f>
        <v>1</v>
      </c>
      <c r="N5" s="47">
        <f t="array" ref="N5">IF(AND(ISNUMBER(MATCH(N$2, AsistenciaJetAdminConcatenada!$A:$A, 0)), ISNUMBER(MATCH(N$1, AsistenciaJetAdminConcatenada!$B:$B, 0)), ISNUMBER(SEARCH($A5,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ISNUMBER(SEARCH($A5, INDEX(AsistenciaJetAdminConcatenada!$D:$D, MATCH(1, (AsistenciaJetAdminConcatenada!$A:$A=N$2)*(AsistenciaJetAdminConcatenada!$B:$B=N$1), 0)), 1))),  0.5, 0))</f>
        <v>1</v>
      </c>
      <c r="O5" s="47">
        <f t="array" ref="O5">IF(AND(ISNUMBER(MATCH(O$2, AsistenciaJetAdminConcatenada!$A:$A, 0)), ISNUMBER(MATCH(O$1, AsistenciaJetAdminConcatenada!$B:$B, 0)), ISNUMBER(SEARCH($A5,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ISNUMBER(SEARCH($A5, INDEX(AsistenciaJetAdminConcatenada!$D:$D, MATCH(1, (AsistenciaJetAdminConcatenada!$A:$A=O$2)*(AsistenciaJetAdminConcatenada!$B:$B=O$1), 0)), 1))),  0.5, 0))</f>
        <v>1</v>
      </c>
      <c r="P5" s="47">
        <f t="array" ref="P5">IF(AND(ISNUMBER(MATCH(P$2, AsistenciaJetAdminConcatenada!$A:$A, 0)), ISNUMBER(MATCH(P$1, AsistenciaJetAdminConcatenada!$B:$B, 0)), ISNUMBER(SEARCH($A5, INDEX(AsistenciaJetAdminConcatenada!$C:$C, MATCH(1, (AsistenciaJetAdminConcatenada!$A:$A=P$2)*(AsistenciaJetAdminConcatenada!$B:$B=P$1), 0)), 1))), 1, IF(AND(ISNUMBER(MATCH(P$2, AsistenciaJetAdminConcatenada!$A:$A, 0)), ISNUMBER(MATCH(P$1, AsistenciaJetAdminConcatenada!$B:$B, 0)), ISNUMBER(SEARCH($A5, INDEX(AsistenciaJetAdminConcatenada!$D:$D, MATCH(1, (AsistenciaJetAdminConcatenada!$A:$A=P$2)*(AsistenciaJetAdminConcatenada!$B:$B=P$1), 0)), 1))),  0.5, 0))</f>
        <v>1</v>
      </c>
      <c r="Q5" s="47">
        <f t="array" ref="Q5">IF(AND(ISNUMBER(MATCH(Q$2, AsistenciaJetAdminConcatenada!$A:$A, 0)), ISNUMBER(MATCH(Q$1, AsistenciaJetAdminConcatenada!$B:$B, 0)), ISNUMBER(SEARCH($A5, INDEX(AsistenciaJetAdminConcatenada!$C:$C, MATCH(1, (AsistenciaJetAdminConcatenada!$A:$A=Q$2)*(AsistenciaJetAdminConcatenada!$B:$B=Q$1), 0)), 1))), 1, IF(AND(ISNUMBER(MATCH(Q$2, AsistenciaJetAdminConcatenada!$A:$A, 0)), ISNUMBER(MATCH(Q$1, AsistenciaJetAdminConcatenada!$B:$B, 0)), ISNUMBER(SEARCH($A5, INDEX(AsistenciaJetAdminConcatenada!$D:$D, MATCH(1, (AsistenciaJetAdminConcatenada!$A:$A=Q$2)*(AsistenciaJetAdminConcatenada!$B:$B=Q$1), 0)), 1))),  0.5, 0))</f>
        <v>0</v>
      </c>
      <c r="R5" s="47">
        <f t="array" ref="R5">IF(AND(ISNUMBER(MATCH(R$2, AsistenciaJetAdminConcatenada!$A:$A, 0)), ISNUMBER(MATCH(R$1, AsistenciaJetAdminConcatenada!$B:$B, 0)), ISNUMBER(SEARCH($A5,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ISNUMBER(SEARCH($A5, INDEX(AsistenciaJetAdminConcatenada!$D:$D, MATCH(1, (AsistenciaJetAdminConcatenada!$A:$A=R$2)*(AsistenciaJetAdminConcatenada!$B:$B=R$1), 0)), 1))),  0.5, 0))</f>
        <v>1</v>
      </c>
      <c r="S5" s="47">
        <f t="array" ref="S5">IF(AND(ISNUMBER(MATCH(S$2, AsistenciaJetAdminConcatenada!$A:$A, 0)), ISNUMBER(MATCH(S$1, AsistenciaJetAdminConcatenada!$B:$B, 0)), ISNUMBER(SEARCH($A5,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ISNUMBER(SEARCH($A5, INDEX(AsistenciaJetAdminConcatenada!$D:$D, MATCH(1, (AsistenciaJetAdminConcatenada!$A:$A=S$2)*(AsistenciaJetAdminConcatenada!$B:$B=S$1), 0)), 1))),  0.5, 0))</f>
        <v>1</v>
      </c>
      <c r="T5" s="47">
        <f t="array" ref="T5">IF(AND(ISNUMBER(MATCH(T$2, AsistenciaJetAdminConcatenada!$A:$A, 0)), ISNUMBER(MATCH(T$1, AsistenciaJetAdminConcatenada!$B:$B, 0)), ISNUMBER(SEARCH($A5,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ISNUMBER(SEARCH($A5, INDEX(AsistenciaJetAdminConcatenada!$D:$D, MATCH(1, (AsistenciaJetAdminConcatenada!$A:$A=T$2)*(AsistenciaJetAdminConcatenada!$B:$B=T$1), 0)), 1))),  0.5, 0))</f>
        <v>0</v>
      </c>
      <c r="U5" s="47">
        <f t="array" ref="U5">IF(AND(ISNUMBER(MATCH(U$2, AsistenciaJetAdminConcatenada!$A:$A, 0)), ISNUMBER(MATCH(U$1, AsistenciaJetAdminConcatenada!$B:$B, 0)), ISNUMBER(SEARCH($A5,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ISNUMBER(SEARCH($A5, INDEX(AsistenciaJetAdminConcatenada!$D:$D, MATCH(1, (AsistenciaJetAdminConcatenada!$A:$A=U$2)*(AsistenciaJetAdminConcatenada!$B:$B=U$1), 0)), 1))),  0.5, 0))</f>
        <v>1</v>
      </c>
      <c r="V5" s="47">
        <f t="array" ref="V5">IF(AND(ISNUMBER(MATCH(V$2, AsistenciaJetAdminConcatenada!$A:$A, 0)), ISNUMBER(MATCH(V$1, AsistenciaJetAdminConcatenada!$B:$B, 0)), ISNUMBER(SEARCH($A5,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ISNUMBER(SEARCH($A5, INDEX(AsistenciaJetAdminConcatenada!$D:$D, MATCH(1, (AsistenciaJetAdminConcatenada!$A:$A=V$2)*(AsistenciaJetAdminConcatenada!$B:$B=V$1), 0)), 1))),  0.5, 0))</f>
        <v>1</v>
      </c>
      <c r="W5" s="47">
        <f t="array" ref="W5">IF(AND(ISNUMBER(MATCH(W$2, AsistenciaJetAdminConcatenada!$A:$A, 0)), ISNUMBER(MATCH(W$1, AsistenciaJetAdminConcatenada!$B:$B, 0)), ISNUMBER(SEARCH($A5,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ISNUMBER(SEARCH($A5, INDEX(AsistenciaJetAdminConcatenada!$D:$D, MATCH(1, (AsistenciaJetAdminConcatenada!$A:$A=W$2)*(AsistenciaJetAdminConcatenada!$B:$B=W$1), 0)), 1))),  0.5, 0))</f>
        <v>1</v>
      </c>
      <c r="X5" s="47">
        <f t="array" ref="X5">IF(AND(ISNUMBER(MATCH(X$2, AsistenciaJetAdminConcatenada!$A:$A, 0)), ISNUMBER(MATCH(X$1, AsistenciaJetAdminConcatenada!$B:$B, 0)), ISNUMBER(SEARCH($A5,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ISNUMBER(SEARCH($A5, INDEX(AsistenciaJetAdminConcatenada!$D:$D, MATCH(1, (AsistenciaJetAdminConcatenada!$A:$A=X$2)*(AsistenciaJetAdminConcatenada!$B:$B=X$1), 0)), 1))),  0.5, 0))</f>
        <v>1</v>
      </c>
      <c r="Y5" s="47">
        <f t="array" ref="Y5">IF(AND(ISNUMBER(MATCH(Y$2, AsistenciaJetAdminConcatenada!$A:$A, 0)), ISNUMBER(MATCH(Y$1, AsistenciaJetAdminConcatenada!$B:$B, 0)), ISNUMBER(SEARCH($A5,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ISNUMBER(SEARCH($A5, INDEX(AsistenciaJetAdminConcatenada!$D:$D, MATCH(1, (AsistenciaJetAdminConcatenada!$A:$A=Y$2)*(AsistenciaJetAdminConcatenada!$B:$B=Y$1), 0)), 1))),  0.5, 0))</f>
        <v>1</v>
      </c>
      <c r="Z5" s="47">
        <f t="array" ref="Z5">IF(AND(ISNUMBER(MATCH(Z$2, AsistenciaJetAdminConcatenada!$A:$A, 0)), ISNUMBER(MATCH(Z$1, AsistenciaJetAdminConcatenada!$B:$B, 0)), ISNUMBER(SEARCH($A5,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ISNUMBER(SEARCH($A5, INDEX(AsistenciaJetAdminConcatenada!$D:$D, MATCH(1, (AsistenciaJetAdminConcatenada!$A:$A=Z$2)*(AsistenciaJetAdminConcatenada!$B:$B=Z$1), 0)), 1))),  0.5, 0))</f>
        <v>1</v>
      </c>
      <c r="AA5" s="47">
        <f t="array" ref="AA5">IF(AND(ISNUMBER(MATCH(AA$2, AsistenciaJetAdminConcatenada!$A:$A, 0)), ISNUMBER(MATCH(AA$1, AsistenciaJetAdminConcatenada!$B:$B, 0)), ISNUMBER(SEARCH($A5,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ISNUMBER(SEARCH($A5, INDEX(AsistenciaJetAdminConcatenada!$D:$D, MATCH(1, (AsistenciaJetAdminConcatenada!$A:$A=AA$2)*(AsistenciaJetAdminConcatenada!$B:$B=AA$1), 0)), 1))),  0.5, 0))</f>
        <v>0</v>
      </c>
      <c r="AB5" s="47">
        <f t="array" ref="AB5">IF(AND(ISNUMBER(MATCH(AB$2, AsistenciaJetAdminConcatenada!$A:$A, 0)), ISNUMBER(MATCH(AB$1, AsistenciaJetAdminConcatenada!$B:$B, 0)), ISNUMBER(SEARCH($A5,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ISNUMBER(SEARCH($A5, INDEX(AsistenciaJetAdminConcatenada!$D:$D, MATCH(1, (AsistenciaJetAdminConcatenada!$A:$A=AB$2)*(AsistenciaJetAdminConcatenada!$B:$B=AB$1), 0)), 1))),  0.5, 0))</f>
        <v>1</v>
      </c>
      <c r="AC5" s="47">
        <f t="array" ref="AC5">IF(AND(ISNUMBER(MATCH(AC$2, AsistenciaJetAdminConcatenada!$A:$A, 0)), ISNUMBER(MATCH(AC$1, AsistenciaJetAdminConcatenada!$B:$B, 0)), ISNUMBER(SEARCH($A5,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ISNUMBER(SEARCH($A5, INDEX(AsistenciaJetAdminConcatenada!$D:$D, MATCH(1, (AsistenciaJetAdminConcatenada!$A:$A=AC$2)*(AsistenciaJetAdminConcatenada!$B:$B=AC$1), 0)), 1))),  0.5, 0))</f>
        <v>1</v>
      </c>
      <c r="AD5" s="47">
        <f t="array" ref="AD5">IF(AND(ISNUMBER(MATCH(AD$2, AsistenciaJetAdminConcatenada!$A:$A, 0)), ISNUMBER(MATCH(AD$1, AsistenciaJetAdminConcatenada!$B:$B, 0)), ISNUMBER(SEARCH($A5,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ISNUMBER(SEARCH($A5, INDEX(AsistenciaJetAdminConcatenada!$D:$D, MATCH(1, (AsistenciaJetAdminConcatenada!$A:$A=AD$2)*(AsistenciaJetAdminConcatenada!$B:$B=AD$1), 0)), 1))),  0.5, 0))</f>
        <v>1</v>
      </c>
      <c r="AE5" s="47">
        <f t="array" ref="AE5">IF(AND(ISNUMBER(MATCH(AE$2, AsistenciaJetAdminConcatenada!$A:$A, 0)), ISNUMBER(MATCH(AE$1, AsistenciaJetAdminConcatenada!$B:$B, 0)), ISNUMBER(SEARCH($A5,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ISNUMBER(SEARCH($A5, INDEX(AsistenciaJetAdminConcatenada!$D:$D, MATCH(1, (AsistenciaJetAdminConcatenada!$A:$A=AE$2)*(AsistenciaJetAdminConcatenada!$B:$B=AE$1), 0)), 1))),  0.5, 0))</f>
        <v>0</v>
      </c>
      <c r="AF5" s="47">
        <f t="array" ref="AF5">IF(AND(ISNUMBER(MATCH(AF$2, AsistenciaJetAdminConcatenada!$A:$A, 0)), ISNUMBER(MATCH(AF$1, AsistenciaJetAdminConcatenada!$B:$B, 0)), ISNUMBER(SEARCH($A5,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ISNUMBER(SEARCH($A5, INDEX(AsistenciaJetAdminConcatenada!$D:$D, MATCH(1, (AsistenciaJetAdminConcatenada!$A:$A=AF$2)*(AsistenciaJetAdminConcatenada!$B:$B=AF$1), 0)), 1))),  0.5, 0))</f>
        <v>1</v>
      </c>
      <c r="AG5" s="47">
        <f t="array" ref="AG5">IF(AND(ISNUMBER(MATCH(AG$2, AsistenciaJetAdminConcatenada!$A:$A, 0)), ISNUMBER(MATCH(AG$1, AsistenciaJetAdminConcatenada!$B:$B, 0)), ISNUMBER(SEARCH($A5,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ISNUMBER(SEARCH($A5, INDEX(AsistenciaJetAdminConcatenada!$D:$D, MATCH(1, (AsistenciaJetAdminConcatenada!$A:$A=AG$2)*(AsistenciaJetAdminConcatenada!$B:$B=AG$1), 0)), 1))),  0.5, 0))</f>
        <v>0</v>
      </c>
      <c r="AH5" s="47">
        <f t="array" ref="AH5">IF(AND(ISNUMBER(MATCH(AH$2, AsistenciaJetAdminConcatenada!$A:$A, 0)), ISNUMBER(MATCH(AH$1, AsistenciaJetAdminConcatenada!$B:$B, 0)), ISNUMBER(SEARCH($A5,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ISNUMBER(SEARCH($A5, INDEX(AsistenciaJetAdminConcatenada!$D:$D, MATCH(1, (AsistenciaJetAdminConcatenada!$A:$A=AH$2)*(AsistenciaJetAdminConcatenada!$B:$B=AH$1), 0)), 1))),  0.5, 0))</f>
        <v>0</v>
      </c>
      <c r="AI5" s="47">
        <f t="array" ref="AI5">IF(AND(ISNUMBER(MATCH(AI$2, AsistenciaJetAdminConcatenada!$A:$A, 0)), ISNUMBER(MATCH(AI$1, AsistenciaJetAdminConcatenada!$B:$B, 0)), ISNUMBER(SEARCH($A5,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ISNUMBER(SEARCH($A5, INDEX(AsistenciaJetAdminConcatenada!$D:$D, MATCH(1, (AsistenciaJetAdminConcatenada!$A:$A=AI$2)*(AsistenciaJetAdminConcatenada!$B:$B=AI$1), 0)), 1))),  0.5, 0))</f>
        <v>1</v>
      </c>
      <c r="AJ5" s="47">
        <f t="array" ref="AJ5">IF(AND(ISNUMBER(MATCH(AJ$2, AsistenciaJetAdminConcatenada!$A:$A, 0)), ISNUMBER(MATCH(AJ$1, AsistenciaJetAdminConcatenada!$B:$B, 0)), ISNUMBER(SEARCH($A5,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ISNUMBER(SEARCH($A5, INDEX(AsistenciaJetAdminConcatenada!$D:$D, MATCH(1, (AsistenciaJetAdminConcatenada!$A:$A=AJ$2)*(AsistenciaJetAdminConcatenada!$B:$B=AJ$1), 0)), 1))),  0.5, 0))</f>
        <v>1</v>
      </c>
      <c r="AK5" s="47">
        <f t="array" ref="AK5">IF(AND(ISNUMBER(MATCH(AK$2, AsistenciaJetAdminConcatenada!$A:$A, 0)), ISNUMBER(MATCH(AK$1, AsistenciaJetAdminConcatenada!$B:$B, 0)), ISNUMBER(SEARCH($A5,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ISNUMBER(SEARCH($A5, INDEX(AsistenciaJetAdminConcatenada!$D:$D, MATCH(1, (AsistenciaJetAdminConcatenada!$A:$A=AK$2)*(AsistenciaJetAdminConcatenada!$B:$B=AK$1), 0)), 1))),  0.5, 0))</f>
        <v>1</v>
      </c>
      <c r="AL5" s="47">
        <f t="array" ref="AL5">IF(AND(ISNUMBER(MATCH(AL$2, AsistenciaJetAdminConcatenada!$A:$A, 0)), ISNUMBER(MATCH(AL$1, AsistenciaJetAdminConcatenada!$B:$B, 0)), ISNUMBER(SEARCH($A5,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ISNUMBER(SEARCH($A5, INDEX(AsistenciaJetAdminConcatenada!$D:$D, MATCH(1, (AsistenciaJetAdminConcatenada!$A:$A=AL$2)*(AsistenciaJetAdminConcatenada!$B:$B=AL$1), 0)), 1))),  0.5, 0))</f>
        <v>1</v>
      </c>
      <c r="AM5" s="47">
        <f t="array" ref="AM5">IF(AND(ISNUMBER(MATCH(AM$2, AsistenciaJetAdminConcatenada!$A:$A, 0)), ISNUMBER(MATCH(AM$1, AsistenciaJetAdminConcatenada!$B:$B, 0)), ISNUMBER(SEARCH($A5,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ISNUMBER(SEARCH($A5, INDEX(AsistenciaJetAdminConcatenada!$D:$D, MATCH(1, (AsistenciaJetAdminConcatenada!$A:$A=AM$2)*(AsistenciaJetAdminConcatenada!$B:$B=AM$1), 0)), 1))),  0.5, 0))</f>
        <v>1</v>
      </c>
      <c r="AN5" s="47">
        <f t="array" ref="AN5">IF(AND(ISNUMBER(MATCH(AN$2, AsistenciaJetAdminConcatenada!$A:$A, 0)), ISNUMBER(MATCH(AN$1, AsistenciaJetAdminConcatenada!$B:$B, 0)), ISNUMBER(SEARCH($A5,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ISNUMBER(SEARCH($A5, INDEX(AsistenciaJetAdminConcatenada!$D:$D, MATCH(1, (AsistenciaJetAdminConcatenada!$A:$A=AN$2)*(AsistenciaJetAdminConcatenada!$B:$B=AN$1), 0)), 1))),  0.5, 0))</f>
        <v>1</v>
      </c>
      <c r="AO5" s="47">
        <f t="array" ref="AO5">IF(AND(ISNUMBER(MATCH(AO$2, AsistenciaJetAdminConcatenada!$A:$A, 0)), ISNUMBER(MATCH(AO$1, AsistenciaJetAdminConcatenada!$B:$B, 0)), ISNUMBER(SEARCH($A5,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ISNUMBER(SEARCH($A5, INDEX(AsistenciaJetAdminConcatenada!$D:$D, MATCH(1, (AsistenciaJetAdminConcatenada!$A:$A=AO$2)*(AsistenciaJetAdminConcatenada!$B:$B=AO$1), 0)), 1))),  0.5, 0))</f>
        <v>0.5</v>
      </c>
      <c r="AP5" s="47">
        <f t="array" ref="AP5">IF(AND(ISNUMBER(MATCH(AP$2, AsistenciaJetAdminConcatenada!$A:$A, 0)), ISNUMBER(MATCH(AP$1, AsistenciaJetAdminConcatenada!$B:$B, 0)), ISNUMBER(SEARCH($A5,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ISNUMBER(SEARCH($A5, INDEX(AsistenciaJetAdminConcatenada!$D:$D, MATCH(1, (AsistenciaJetAdminConcatenada!$A:$A=AP$2)*(AsistenciaJetAdminConcatenada!$B:$B=AP$1), 0)), 1))),  0.5, 0))</f>
        <v>1</v>
      </c>
      <c r="AQ5" s="47">
        <f t="array" ref="AQ5">IF(AND(ISNUMBER(MATCH(AQ$2, AsistenciaJetAdminConcatenada!$A:$A, 0)), ISNUMBER(MATCH(AQ$1, AsistenciaJetAdminConcatenada!$B:$B, 0)), ISNUMBER(SEARCH($A5,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ISNUMBER(SEARCH($A5, INDEX(AsistenciaJetAdminConcatenada!$D:$D, MATCH(1, (AsistenciaJetAdminConcatenada!$A:$A=AQ$2)*(AsistenciaJetAdminConcatenada!$B:$B=AQ$1), 0)), 1))),  0.5, 0))</f>
        <v>0</v>
      </c>
      <c r="AR5" s="47">
        <f t="array" ref="AR5">IF(AND(ISNUMBER(MATCH(AR$2, AsistenciaJetAdminConcatenada!$A:$A, 0)), ISNUMBER(MATCH(AR$1, AsistenciaJetAdminConcatenada!$B:$B, 0)), ISNUMBER(SEARCH($A5,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ISNUMBER(SEARCH($A5, INDEX(AsistenciaJetAdminConcatenada!$D:$D, MATCH(1, (AsistenciaJetAdminConcatenada!$A:$A=AR$2)*(AsistenciaJetAdminConcatenada!$B:$B=AR$1), 0)), 1))),  0.5, 0))</f>
        <v>1</v>
      </c>
      <c r="AS5" s="47">
        <f t="array" ref="AS5">IF(AND(ISNUMBER(MATCH(AS$2, AsistenciaJetAdminConcatenada!$A:$A, 0)), ISNUMBER(MATCH(AS$1, AsistenciaJetAdminConcatenada!$B:$B, 0)), ISNUMBER(SEARCH($A5,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ISNUMBER(SEARCH($A5, INDEX(AsistenciaJetAdminConcatenada!$D:$D, MATCH(1, (AsistenciaJetAdminConcatenada!$A:$A=AS$2)*(AsistenciaJetAdminConcatenada!$B:$B=AS$1), 0)), 1))),  0.5, 0))</f>
        <v>1</v>
      </c>
      <c r="AT5" s="47">
        <f t="array" ref="AT5">IF(AND(ISNUMBER(MATCH(AT$2, AsistenciaJetAdminConcatenada!$A:$A, 0)), ISNUMBER(MATCH(AT$1, AsistenciaJetAdminConcatenada!$B:$B, 0)), ISNUMBER(SEARCH($A5,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ISNUMBER(SEARCH($A5, INDEX(AsistenciaJetAdminConcatenada!$D:$D, MATCH(1, (AsistenciaJetAdminConcatenada!$A:$A=AT$2)*(AsistenciaJetAdminConcatenada!$B:$B=AT$1), 0)), 1))),  0.5, 0))</f>
        <v>0</v>
      </c>
      <c r="AU5" s="47">
        <f t="array" ref="AU5">IF(AND(ISNUMBER(MATCH(AU$2, AsistenciaJetAdminConcatenada!$A:$A, 0)), ISNUMBER(MATCH(AU$1, AsistenciaJetAdminConcatenada!$B:$B, 0)), ISNUMBER(SEARCH($A5,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ISNUMBER(SEARCH($A5, INDEX(AsistenciaJetAdminConcatenada!$D:$D, MATCH(1, (AsistenciaJetAdminConcatenada!$A:$A=AU$2)*(AsistenciaJetAdminConcatenada!$B:$B=AU$1), 0)), 1))),  0.5, 0))</f>
        <v>1</v>
      </c>
      <c r="AV5" s="47">
        <f t="array" ref="AV5">IF(AND(ISNUMBER(MATCH(AV$2, AsistenciaJetAdminConcatenada!$A:$A, 0)), ISNUMBER(MATCH(AV$1, AsistenciaJetAdminConcatenada!$B:$B, 0)), ISNUMBER(SEARCH($A5,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ISNUMBER(SEARCH($A5, INDEX(AsistenciaJetAdminConcatenada!$D:$D, MATCH(1, (AsistenciaJetAdminConcatenada!$A:$A=AV$2)*(AsistenciaJetAdminConcatenada!$B:$B=AV$1), 0)), 1))),  0.5, 0))</f>
        <v>1</v>
      </c>
      <c r="AW5" s="47">
        <f t="array" ref="AW5">IF(AND(ISNUMBER(MATCH(AW$2, AsistenciaJetAdminConcatenada!$A:$A, 0)), ISNUMBER(MATCH(AW$1, AsistenciaJetAdminConcatenada!$B:$B, 0)), ISNUMBER(SEARCH($A5,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ISNUMBER(SEARCH($A5, INDEX(AsistenciaJetAdminConcatenada!$D:$D, MATCH(1, (AsistenciaJetAdminConcatenada!$A:$A=AW$2)*(AsistenciaJetAdminConcatenada!$B:$B=AW$1), 0)), 1))),  0.5, 0))</f>
        <v>0</v>
      </c>
      <c r="AX5" s="47">
        <f t="array" ref="AX5">IF(AND(ISNUMBER(MATCH(AX$2, AsistenciaJetAdminConcatenada!$A:$A, 0)), ISNUMBER(MATCH(AX$1, AsistenciaJetAdminConcatenada!$B:$B, 0)), ISNUMBER(SEARCH($A5,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ISNUMBER(SEARCH($A5, INDEX(AsistenciaJetAdminConcatenada!$D:$D, MATCH(1, (AsistenciaJetAdminConcatenada!$A:$A=AX$2)*(AsistenciaJetAdminConcatenada!$B:$B=AX$1), 0)), 1))),  0.5, 0))</f>
        <v>1</v>
      </c>
      <c r="AY5" s="47">
        <f t="array" ref="AY5">IF(AND(ISNUMBER(MATCH(AY$2, AsistenciaJetAdminConcatenada!$A:$A, 0)), ISNUMBER(MATCH(AY$1, AsistenciaJetAdminConcatenada!$B:$B, 0)), ISNUMBER(SEARCH($A5,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ISNUMBER(SEARCH($A5, INDEX(AsistenciaJetAdminConcatenada!$D:$D, MATCH(1, (AsistenciaJetAdminConcatenada!$A:$A=AY$2)*(AsistenciaJetAdminConcatenada!$B:$B=AY$1), 0)), 1))),  0.5, 0))</f>
        <v>1</v>
      </c>
      <c r="AZ5" s="47">
        <f t="array" ref="AZ5">IF(AND(ISNUMBER(MATCH(AZ$2, AsistenciaJetAdminConcatenada!$A:$A, 0)), ISNUMBER(MATCH(AZ$1, AsistenciaJetAdminConcatenada!$B:$B, 0)), ISNUMBER(SEARCH($A5,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ISNUMBER(SEARCH($A5, INDEX(AsistenciaJetAdminConcatenada!$D:$D, MATCH(1, (AsistenciaJetAdminConcatenada!$A:$A=AZ$2)*(AsistenciaJetAdminConcatenada!$B:$B=AZ$1), 0)), 1))),  0.5, 0))</f>
        <v>0</v>
      </c>
      <c r="BA5" s="47">
        <f t="array" ref="BA5">IF(AND(ISNUMBER(MATCH(BA$2, AsistenciaJetAdminConcatenada!$A:$A, 0)), ISNUMBER(MATCH(BA$1, AsistenciaJetAdminConcatenada!$B:$B, 0)), ISNUMBER(SEARCH($A5,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ISNUMBER(SEARCH($A5, INDEX(AsistenciaJetAdminConcatenada!$D:$D, MATCH(1, (AsistenciaJetAdminConcatenada!$A:$A=BA$2)*(AsistenciaJetAdminConcatenada!$B:$B=BA$1), 0)), 1))),  0.5, 0))</f>
        <v>1</v>
      </c>
      <c r="BB5" s="47">
        <f t="array" ref="BB5">IF(AND(ISNUMBER(MATCH(BB$2, AsistenciaJetAdminConcatenada!$A:$A, 0)), ISNUMBER(MATCH(BB$1, AsistenciaJetAdminConcatenada!$B:$B, 0)), ISNUMBER(SEARCH($A5,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ISNUMBER(SEARCH($A5, INDEX(AsistenciaJetAdminConcatenada!$D:$D, MATCH(1, (AsistenciaJetAdminConcatenada!$A:$A=BB$2)*(AsistenciaJetAdminConcatenada!$B:$B=BB$1), 0)), 1))),  0.5, 0))</f>
        <v>1</v>
      </c>
      <c r="BC5" s="47">
        <f t="array" ref="BC5">IF(AND(ISNUMBER(MATCH(BC$2, AsistenciaJetAdminConcatenada!$A:$A, 0)), ISNUMBER(MATCH(BC$1, AsistenciaJetAdminConcatenada!$B:$B, 0)), ISNUMBER(SEARCH($A5,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ISNUMBER(SEARCH($A5, INDEX(AsistenciaJetAdminConcatenada!$D:$D, MATCH(1, (AsistenciaJetAdminConcatenada!$A:$A=BC$2)*(AsistenciaJetAdminConcatenada!$B:$B=BC$1), 0)), 1))),  0.5, 0))</f>
        <v>1</v>
      </c>
      <c r="BD5" s="47">
        <f t="array" ref="BD5">IF(AND(ISNUMBER(MATCH(BD$2, AsistenciaJetAdminConcatenada!$A:$A, 0)), ISNUMBER(MATCH(BD$1, AsistenciaJetAdminConcatenada!$B:$B, 0)), ISNUMBER(SEARCH($A5,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ISNUMBER(SEARCH($A5, INDEX(AsistenciaJetAdminConcatenada!$D:$D, MATCH(1, (AsistenciaJetAdminConcatenada!$A:$A=BD$2)*(AsistenciaJetAdminConcatenada!$B:$B=BD$1), 0)), 1))),  0.5, 0))</f>
        <v>0</v>
      </c>
      <c r="BE5" s="47">
        <f t="array" ref="BE5">IF(AND(ISNUMBER(MATCH(BE$2, AsistenciaJetAdminConcatenada!$A:$A, 0)), ISNUMBER(MATCH(BE$1, AsistenciaJetAdminConcatenada!$B:$B, 0)), ISNUMBER(SEARCH($A5,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ISNUMBER(SEARCH($A5, INDEX(AsistenciaJetAdminConcatenada!$D:$D, MATCH(1, (AsistenciaJetAdminConcatenada!$A:$A=BE$2)*(AsistenciaJetAdminConcatenada!$B:$B=BE$1), 0)), 1))),  0.5, 0))</f>
        <v>1</v>
      </c>
      <c r="BF5" s="47">
        <f t="array" ref="BF5">IF(AND(ISNUMBER(MATCH(BF$2, AsistenciaJetAdminConcatenada!$A:$A, 0)), ISNUMBER(MATCH(BF$1, AsistenciaJetAdminConcatenada!$B:$B, 0)), ISNUMBER(SEARCH($A5,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ISNUMBER(SEARCH($A5, INDEX(AsistenciaJetAdminConcatenada!$D:$D, MATCH(1, (AsistenciaJetAdminConcatenada!$A:$A=BF$2)*(AsistenciaJetAdminConcatenada!$B:$B=BF$1), 0)), 1))),  0.5, 0))</f>
        <v>1</v>
      </c>
      <c r="BG5" s="47">
        <f t="array" ref="BG5">IF(AND(ISNUMBER(MATCH(BG$2, AsistenciaJetAdminConcatenada!$A:$A, 0)), ISNUMBER(MATCH(BG$1, AsistenciaJetAdminConcatenada!$B:$B, 0)), ISNUMBER(SEARCH($A5,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ISNUMBER(SEARCH($A5, INDEX(AsistenciaJetAdminConcatenada!$D:$D, MATCH(1, (AsistenciaJetAdminConcatenada!$A:$A=BG$2)*(AsistenciaJetAdminConcatenada!$B:$B=BG$1), 0)), 1))),  0.5, 0))</f>
        <v>1</v>
      </c>
      <c r="BH5" s="47">
        <f t="array" ref="BH5">IF(AND(ISNUMBER(MATCH(BH$2, AsistenciaJetAdminConcatenada!$A:$A, 0)), ISNUMBER(MATCH(BH$1, AsistenciaJetAdminConcatenada!$B:$B, 0)), ISNUMBER(SEARCH($A5,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ISNUMBER(SEARCH($A5, INDEX(AsistenciaJetAdminConcatenada!$D:$D, MATCH(1, (AsistenciaJetAdminConcatenada!$A:$A=BH$2)*(AsistenciaJetAdminConcatenada!$B:$B=BH$1), 0)), 1))),  0.5, 0))</f>
        <v>1</v>
      </c>
      <c r="BI5" s="47">
        <f t="array" ref="BI5">IF(AND(ISNUMBER(MATCH(BI$2, AsistenciaJetAdminConcatenada!$A:$A, 0)), ISNUMBER(MATCH(BI$1, AsistenciaJetAdminConcatenada!$B:$B, 0)), ISNUMBER(SEARCH($A5,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ISNUMBER(SEARCH($A5, INDEX(AsistenciaJetAdminConcatenada!$D:$D, MATCH(1, (AsistenciaJetAdminConcatenada!$A:$A=BI$2)*(AsistenciaJetAdminConcatenada!$B:$B=BI$1), 0)), 1))),  0.5, 0))</f>
        <v>1</v>
      </c>
      <c r="BJ5" s="47">
        <f t="array" ref="BJ5">IF(AND(ISNUMBER(MATCH(BJ$2, AsistenciaJetAdminConcatenada!$A:$A, 0)), ISNUMBER(MATCH(BJ$1, AsistenciaJetAdminConcatenada!$B:$B, 0)), ISNUMBER(SEARCH($A5,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ISNUMBER(SEARCH($A5, INDEX(AsistenciaJetAdminConcatenada!$D:$D, MATCH(1, (AsistenciaJetAdminConcatenada!$A:$A=BJ$2)*(AsistenciaJetAdminConcatenada!$B:$B=BJ$1), 0)), 1))),  0.5, 0))</f>
        <v>1</v>
      </c>
      <c r="BK5" s="47">
        <f t="array" ref="BK5">IF(AND(ISNUMBER(MATCH(BK$2, AsistenciaJetAdminConcatenada!$A:$A, 0)), ISNUMBER(MATCH(BK$1, AsistenciaJetAdminConcatenada!$B:$B, 0)), ISNUMBER(SEARCH($A5,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ISNUMBER(SEARCH($A5, INDEX(AsistenciaJetAdminConcatenada!$D:$D, MATCH(1, (AsistenciaJetAdminConcatenada!$A:$A=BK$2)*(AsistenciaJetAdminConcatenada!$B:$B=BK$1), 0)), 1))),  0.5, 0))</f>
        <v>1</v>
      </c>
      <c r="BL5" s="47">
        <f t="array" ref="BL5">IF(AND(ISNUMBER(MATCH(BL$2, AsistenciaJetAdminConcatenada!$A:$A, 0)), ISNUMBER(MATCH(BL$1, AsistenciaJetAdminConcatenada!$B:$B, 0)), ISNUMBER(SEARCH($A5,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ISNUMBER(SEARCH($A5, INDEX(AsistenciaJetAdminConcatenada!$D:$D, MATCH(1, (AsistenciaJetAdminConcatenada!$A:$A=BL$2)*(AsistenciaJetAdminConcatenada!$B:$B=BL$1), 0)), 1))),  0.5, 0))</f>
        <v>1</v>
      </c>
      <c r="BM5" s="47">
        <f t="array" ref="BM5">IF(AND(ISNUMBER(MATCH(BM$2, AsistenciaJetAdminConcatenada!$A:$A, 0)), ISNUMBER(MATCH(BM$1, AsistenciaJetAdminConcatenada!$B:$B, 0)), ISNUMBER(SEARCH($A5,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ISNUMBER(SEARCH($A5, INDEX(AsistenciaJetAdminConcatenada!$D:$D, MATCH(1, (AsistenciaJetAdminConcatenada!$A:$A=BM$2)*(AsistenciaJetAdminConcatenada!$B:$B=BM$1), 0)), 1))),  0.5, 0))</f>
        <v>1</v>
      </c>
      <c r="BN5" s="47">
        <f t="array" ref="BN5">IF(AND(ISNUMBER(MATCH(BN$2, AsistenciaJetAdminConcatenada!$A:$A, 0)), ISNUMBER(MATCH(BN$1, AsistenciaJetAdminConcatenada!$B:$B, 0)), ISNUMBER(SEARCH($A5,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ISNUMBER(SEARCH($A5, INDEX(AsistenciaJetAdminConcatenada!$D:$D, MATCH(1, (AsistenciaJetAdminConcatenada!$A:$A=BN$2)*(AsistenciaJetAdminConcatenada!$B:$B=BN$1), 0)), 1))),  0.5, 0))</f>
        <v>1</v>
      </c>
      <c r="BO5" s="47">
        <f t="array" ref="BO5">IF(AND(ISNUMBER(MATCH(BO$2, AsistenciaJetAdminConcatenada!$A:$A, 0)), ISNUMBER(MATCH(BO$1, AsistenciaJetAdminConcatenada!$B:$B, 0)), ISNUMBER(SEARCH($A5,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ISNUMBER(SEARCH($A5, INDEX(AsistenciaJetAdminConcatenada!$D:$D, MATCH(1, (AsistenciaJetAdminConcatenada!$A:$A=BO$2)*(AsistenciaJetAdminConcatenada!$B:$B=BO$1), 0)), 1))),  0.5, 0))</f>
        <v>0</v>
      </c>
      <c r="BP5" s="47">
        <f t="array" ref="BP5">IF(AND(ISNUMBER(MATCH(BP$2, AsistenciaJetAdminConcatenada!$A:$A, 0)), ISNUMBER(MATCH(BP$1, AsistenciaJetAdminConcatenada!$B:$B, 0)), ISNUMBER(SEARCH($A5,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ISNUMBER(SEARCH($A5, INDEX(AsistenciaJetAdminConcatenada!$D:$D, MATCH(1, (AsistenciaJetAdminConcatenada!$A:$A=BP$2)*(AsistenciaJetAdminConcatenada!$B:$B=BP$1), 0)), 1))),  0.5, 0))</f>
        <v>1</v>
      </c>
      <c r="BQ5" s="47">
        <f t="array" ref="BQ5">IF(AND(ISNUMBER(MATCH(BQ$2, AsistenciaJetAdminConcatenada!$A:$A, 0)), ISNUMBER(MATCH(BQ$1, AsistenciaJetAdminConcatenada!$B:$B, 0)), ISNUMBER(SEARCH($A5,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ISNUMBER(SEARCH($A5, INDEX(AsistenciaJetAdminConcatenada!$D:$D, MATCH(1, (AsistenciaJetAdminConcatenada!$A:$A=BQ$2)*(AsistenciaJetAdminConcatenada!$B:$B=BQ$1), 0)), 1))),  0.5, 0))</f>
        <v>1</v>
      </c>
      <c r="BR5" s="47">
        <f t="array" ref="BR5">IF(AND(ISNUMBER(MATCH(BR$2, AsistenciaJetAdminConcatenada!$A:$A, 0)), ISNUMBER(MATCH(BR$1, AsistenciaJetAdminConcatenada!$B:$B, 0)), ISNUMBER(SEARCH($A5,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ISNUMBER(SEARCH($A5, INDEX(AsistenciaJetAdminConcatenada!$D:$D, MATCH(1, (AsistenciaJetAdminConcatenada!$A:$A=BR$2)*(AsistenciaJetAdminConcatenada!$B:$B=BR$1), 0)), 1))),  0.5, 0))</f>
        <v>0</v>
      </c>
      <c r="BS5" s="47">
        <f t="array" ref="BS5">IF(AND(ISNUMBER(MATCH(BS$2, AsistenciaJetAdminConcatenada!$A:$A, 0)), ISNUMBER(MATCH(BS$1, AsistenciaJetAdminConcatenada!$B:$B, 0)), ISNUMBER(SEARCH($A5,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ISNUMBER(SEARCH($A5, INDEX(AsistenciaJetAdminConcatenada!$D:$D, MATCH(1, (AsistenciaJetAdminConcatenada!$A:$A=BS$2)*(AsistenciaJetAdminConcatenada!$B:$B=BS$1), 0)), 1))),  0.5, 0))</f>
        <v>1</v>
      </c>
      <c r="BT5" s="47">
        <f t="array" ref="BT5">IF(AND(ISNUMBER(MATCH(BT$2, AsistenciaJetAdminConcatenada!$A:$A, 0)), ISNUMBER(MATCH(BT$1, AsistenciaJetAdminConcatenada!$B:$B, 0)), ISNUMBER(SEARCH($A5,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ISNUMBER(SEARCH($A5, INDEX(AsistenciaJetAdminConcatenada!$D:$D, MATCH(1, (AsistenciaJetAdminConcatenada!$A:$A=BT$2)*(AsistenciaJetAdminConcatenada!$B:$B=BT$1), 0)), 1))),  0.5, 0))</f>
        <v>1</v>
      </c>
      <c r="BU5" s="47">
        <f t="array" ref="BU5">IF(AND(ISNUMBER(MATCH(BU$2, AsistenciaJetAdminConcatenada!$A:$A, 0)), ISNUMBER(MATCH(BU$1, AsistenciaJetAdminConcatenada!$B:$B, 0)), ISNUMBER(SEARCH($A5,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ISNUMBER(SEARCH($A5, INDEX(AsistenciaJetAdminConcatenada!$D:$D, MATCH(1, (AsistenciaJetAdminConcatenada!$A:$A=BU$2)*(AsistenciaJetAdminConcatenada!$B:$B=BU$1), 0)), 1))),  0.5, 0))</f>
        <v>1</v>
      </c>
      <c r="BV5" s="47">
        <f t="array" ref="BV5">IF(AND(ISNUMBER(MATCH(BV$2, AsistenciaJetAdminConcatenada!$A:$A, 0)), ISNUMBER(MATCH(BV$1, AsistenciaJetAdminConcatenada!$B:$B, 0)), ISNUMBER(SEARCH($A5,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ISNUMBER(SEARCH($A5, INDEX(AsistenciaJetAdminConcatenada!$D:$D, MATCH(1, (AsistenciaJetAdminConcatenada!$A:$A=BV$2)*(AsistenciaJetAdminConcatenada!$B:$B=BV$1), 0)), 1))),  0.5, 0))</f>
        <v>0</v>
      </c>
      <c r="BW5" s="47">
        <f t="array" ref="BW5">IF(AND(ISNUMBER(MATCH(BW$2, AsistenciaJetAdminConcatenada!$A:$A, 0)), ISNUMBER(MATCH(BW$1, AsistenciaJetAdminConcatenada!$B:$B, 0)), ISNUMBER(SEARCH($A5,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ISNUMBER(SEARCH($A5, INDEX(AsistenciaJetAdminConcatenada!$D:$D, MATCH(1, (AsistenciaJetAdminConcatenada!$A:$A=BW$2)*(AsistenciaJetAdminConcatenada!$B:$B=BW$1), 0)), 1))),  0.5, 0))</f>
        <v>0.5</v>
      </c>
      <c r="BX5" s="47">
        <f t="array" ref="BX5">IF(AND(ISNUMBER(MATCH(BX$2, AsistenciaJetAdminConcatenada!$A:$A, 0)), ISNUMBER(MATCH(BX$1, AsistenciaJetAdminConcatenada!$B:$B, 0)), ISNUMBER(SEARCH($A5,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ISNUMBER(SEARCH($A5, INDEX(AsistenciaJetAdminConcatenada!$D:$D, MATCH(1, (AsistenciaJetAdminConcatenada!$A:$A=BX$2)*(AsistenciaJetAdminConcatenada!$B:$B=BX$1), 0)), 1))),  0.5, 0))</f>
        <v>1</v>
      </c>
      <c r="BY5" s="47">
        <f t="array" ref="BY5">IF(AND(ISNUMBER(MATCH(BY$2, AsistenciaJetAdminConcatenada!$A:$A, 0)), ISNUMBER(MATCH(BY$1, AsistenciaJetAdminConcatenada!$B:$B, 0)), ISNUMBER(SEARCH($A5,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ISNUMBER(SEARCH($A5, INDEX(AsistenciaJetAdminConcatenada!$D:$D, MATCH(1, (AsistenciaJetAdminConcatenada!$A:$A=BY$2)*(AsistenciaJetAdminConcatenada!$B:$B=BY$1), 0)), 1))),  0.5, 0))</f>
        <v>0</v>
      </c>
      <c r="BZ5" s="47">
        <f t="array" ref="BZ5">IF(AND(ISNUMBER(MATCH(BZ$2, AsistenciaJetAdminConcatenada!$A:$A, 0)), ISNUMBER(MATCH(BZ$1, AsistenciaJetAdminConcatenada!$B:$B, 0)), ISNUMBER(SEARCH($A5,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ISNUMBER(SEARCH($A5, INDEX(AsistenciaJetAdminConcatenada!$D:$D, MATCH(1, (AsistenciaJetAdminConcatenada!$A:$A=BZ$2)*(AsistenciaJetAdminConcatenada!$B:$B=BZ$1), 0)), 1))),  0.5, 0))</f>
        <v>0</v>
      </c>
      <c r="CA5" s="47">
        <f t="array" ref="CA5">IF(AND(ISNUMBER(MATCH(CA$2, AsistenciaJetAdminConcatenada!$A:$A, 0)), ISNUMBER(MATCH(CA$1, AsistenciaJetAdminConcatenada!$B:$B, 0)), ISNUMBER(SEARCH($A5,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ISNUMBER(SEARCH($A5, INDEX(AsistenciaJetAdminConcatenada!$D:$D, MATCH(1, (AsistenciaJetAdminConcatenada!$A:$A=CA$2)*(AsistenciaJetAdminConcatenada!$B:$B=CA$1), 0)), 1))),  0.5, 0))</f>
        <v>1</v>
      </c>
      <c r="CB5" s="47">
        <f t="array" ref="CB5">IF(AND(ISNUMBER(MATCH(CB$2, AsistenciaJetAdminConcatenada!$A:$A, 0)), ISNUMBER(MATCH(CB$1, AsistenciaJetAdminConcatenada!$B:$B, 0)), ISNUMBER(SEARCH($A5,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ISNUMBER(SEARCH($A5, INDEX(AsistenciaJetAdminConcatenada!$D:$D, MATCH(1, (AsistenciaJetAdminConcatenada!$A:$A=CB$2)*(AsistenciaJetAdminConcatenada!$B:$B=CB$1), 0)), 1))),  0.5, 0))</f>
        <v>1</v>
      </c>
      <c r="CC5" s="47">
        <f t="array" ref="CC5">IF(AND(ISNUMBER(MATCH(CC$2, AsistenciaJetAdminConcatenada!$A:$A, 0)), ISNUMBER(MATCH(CC$1, AsistenciaJetAdminConcatenada!$B:$B, 0)), ISNUMBER(SEARCH($A5,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ISNUMBER(SEARCH($A5, INDEX(AsistenciaJetAdminConcatenada!$D:$D, MATCH(1, (AsistenciaJetAdminConcatenada!$A:$A=CC$2)*(AsistenciaJetAdminConcatenada!$B:$B=CC$1), 0)), 1))),  0.5, 0))</f>
        <v>1</v>
      </c>
      <c r="CD5" s="47">
        <f t="array" ref="CD5">IF(AND(ISNUMBER(MATCH(CD$2, AsistenciaJetAdminConcatenada!$A:$A, 0)), ISNUMBER(MATCH(CD$1, AsistenciaJetAdminConcatenada!$B:$B, 0)), ISNUMBER(SEARCH($A5,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ISNUMBER(SEARCH($A5, INDEX(AsistenciaJetAdminConcatenada!$D:$D, MATCH(1, (AsistenciaJetAdminConcatenada!$A:$A=CD$2)*(AsistenciaJetAdminConcatenada!$B:$B=CD$1), 0)), 1))),  0.5, 0))</f>
        <v>1</v>
      </c>
      <c r="CE5" s="47">
        <f t="array" ref="CE5">IF(AND(ISNUMBER(MATCH(CE$2, AsistenciaJetAdminConcatenada!$A:$A, 0)), ISNUMBER(MATCH(CE$1, AsistenciaJetAdminConcatenada!$B:$B, 0)), ISNUMBER(SEARCH($A5,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ISNUMBER(SEARCH($A5, INDEX(AsistenciaJetAdminConcatenada!$D:$D, MATCH(1, (AsistenciaJetAdminConcatenada!$A:$A=CE$2)*(AsistenciaJetAdminConcatenada!$B:$B=CE$1), 0)), 1))),  0.5, 0))</f>
        <v>1</v>
      </c>
      <c r="CF5" s="47">
        <f t="array" ref="CF5">IF(AND(ISNUMBER(MATCH(CF$2, AsistenciaJetAdminConcatenada!$A:$A, 0)), ISNUMBER(MATCH(CF$1, AsistenciaJetAdminConcatenada!$B:$B, 0)), ISNUMBER(SEARCH($A5,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ISNUMBER(SEARCH($A5, INDEX(AsistenciaJetAdminConcatenada!$D:$D, MATCH(1, (AsistenciaJetAdminConcatenada!$A:$A=CF$2)*(AsistenciaJetAdminConcatenada!$B:$B=CF$1), 0)), 1))),  0.5, 0))</f>
        <v>0.5</v>
      </c>
      <c r="CG5" s="47">
        <f t="array" ref="CG5">IF(AND(ISNUMBER(MATCH(CG$2, AsistenciaJetAdminConcatenada!$A:$A, 0)), ISNUMBER(MATCH(CG$1, AsistenciaJetAdminConcatenada!$B:$B, 0)), ISNUMBER(SEARCH($A5,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ISNUMBER(SEARCH($A5, INDEX(AsistenciaJetAdminConcatenada!$D:$D, MATCH(1, (AsistenciaJetAdminConcatenada!$A:$A=CG$2)*(AsistenciaJetAdminConcatenada!$B:$B=CG$1), 0)), 1))),  0.5, 0))</f>
        <v>0</v>
      </c>
      <c r="CH5" s="47">
        <f t="array" ref="CH5">IF(AND(ISNUMBER(MATCH(CH$2, AsistenciaJetAdminConcatenada!$A:$A, 0)), ISNUMBER(MATCH(CH$1, AsistenciaJetAdminConcatenada!$B:$B, 0)), ISNUMBER(SEARCH($A5,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ISNUMBER(SEARCH($A5, INDEX(AsistenciaJetAdminConcatenada!$D:$D, MATCH(1, (AsistenciaJetAdminConcatenada!$A:$A=CH$2)*(AsistenciaJetAdminConcatenada!$B:$B=CH$1), 0)), 1))),  0.5, 0))</f>
        <v>1</v>
      </c>
      <c r="CI5" s="47">
        <f t="array" ref="CI5">IF(AND(ISNUMBER(MATCH(CI$2, AsistenciaJetAdminConcatenada!$A:$A, 0)), ISNUMBER(MATCH(CI$1, AsistenciaJetAdminConcatenada!$B:$B, 0)), ISNUMBER(SEARCH($A5,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ISNUMBER(SEARCH($A5, INDEX(AsistenciaJetAdminConcatenada!$D:$D, MATCH(1, (AsistenciaJetAdminConcatenada!$A:$A=CI$2)*(AsistenciaJetAdminConcatenada!$B:$B=CI$1), 0)), 1))),  0.5, 0))</f>
        <v>1</v>
      </c>
      <c r="CJ5" s="47">
        <f t="array" ref="CJ5">IF(AND(ISNUMBER(MATCH(CJ$2, AsistenciaJetAdminConcatenada!$A:$A, 0)), ISNUMBER(MATCH(CJ$1, AsistenciaJetAdminConcatenada!$B:$B, 0)), ISNUMBER(SEARCH($A5,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ISNUMBER(SEARCH($A5, INDEX(AsistenciaJetAdminConcatenada!$D:$D, MATCH(1, (AsistenciaJetAdminConcatenada!$A:$A=CJ$2)*(AsistenciaJetAdminConcatenada!$B:$B=CJ$1), 0)), 1))),  0.5, 0))</f>
        <v>1</v>
      </c>
      <c r="CK5" s="47">
        <f t="array" ref="CK5">IF(AND(ISNUMBER(MATCH(CK$2, AsistenciaJetAdminConcatenada!$A:$A, 0)), ISNUMBER(MATCH(CK$1, AsistenciaJetAdminConcatenada!$B:$B, 0)), ISNUMBER(SEARCH($A5,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ISNUMBER(SEARCH($A5, INDEX(AsistenciaJetAdminConcatenada!$D:$D, MATCH(1, (AsistenciaJetAdminConcatenada!$A:$A=CK$2)*(AsistenciaJetAdminConcatenada!$B:$B=CK$1), 0)), 1))),  0.5, 0))</f>
        <v>1</v>
      </c>
      <c r="CL5" s="47">
        <f t="array" ref="CL5">IF(AND(ISNUMBER(MATCH(CL$2, AsistenciaJetAdminConcatenada!$A:$A, 0)), ISNUMBER(MATCH(CL$1, AsistenciaJetAdminConcatenada!$B:$B, 0)), ISNUMBER(SEARCH($A5,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ISNUMBER(SEARCH($A5, INDEX(AsistenciaJetAdminConcatenada!$D:$D, MATCH(1, (AsistenciaJetAdminConcatenada!$A:$A=CL$2)*(AsistenciaJetAdminConcatenada!$B:$B=CL$1), 0)), 1))),  0.5, 0))</f>
        <v>1</v>
      </c>
      <c r="CM5" s="47">
        <f t="array" ref="CM5">IF(AND(ISNUMBER(MATCH(CM$2, AsistenciaJetAdminConcatenada!$A:$A, 0)), ISNUMBER(MATCH(CM$1, AsistenciaJetAdminConcatenada!$B:$B, 0)), ISNUMBER(SEARCH($A5,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ISNUMBER(SEARCH($A5, INDEX(AsistenciaJetAdminConcatenada!$D:$D, MATCH(1, (AsistenciaJetAdminConcatenada!$A:$A=CM$2)*(AsistenciaJetAdminConcatenada!$B:$B=CM$1), 0)), 1))),  0.5, 0))</f>
        <v>1</v>
      </c>
      <c r="CN5" s="47">
        <f t="array" ref="CN5">IF(AND(ISNUMBER(MATCH(CN$2, AsistenciaJetAdminConcatenada!$A:$A, 0)), ISNUMBER(MATCH(CN$1, AsistenciaJetAdminConcatenada!$B:$B, 0)), ISNUMBER(SEARCH($A5,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ISNUMBER(SEARCH($A5, INDEX(AsistenciaJetAdminConcatenada!$D:$D, MATCH(1, (AsistenciaJetAdminConcatenada!$A:$A=CN$2)*(AsistenciaJetAdminConcatenada!$B:$B=CN$1), 0)), 1))),  0.5, 0))</f>
        <v>0</v>
      </c>
      <c r="CO5" s="47">
        <f t="array" ref="CO5">IF(AND(ISNUMBER(MATCH(CO$2, AsistenciaJetAdminConcatenada!$A:$A, 0)), ISNUMBER(MATCH(CO$1, AsistenciaJetAdminConcatenada!$B:$B, 0)), ISNUMBER(SEARCH($A5,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ISNUMBER(SEARCH($A5, INDEX(AsistenciaJetAdminConcatenada!$D:$D, MATCH(1, (AsistenciaJetAdminConcatenada!$A:$A=CO$2)*(AsistenciaJetAdminConcatenada!$B:$B=CO$1), 0)), 1))),  0.5, 0))</f>
        <v>0</v>
      </c>
      <c r="CP5" s="47">
        <f t="array" ref="CP5">IF(AND(ISNUMBER(MATCH(CP$2, AsistenciaJetAdminConcatenada!$A:$A, 0)), ISNUMBER(MATCH(CP$1, AsistenciaJetAdminConcatenada!$B:$B, 0)), ISNUMBER(SEARCH($A5,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ISNUMBER(SEARCH($A5, INDEX(AsistenciaJetAdminConcatenada!$D:$D, MATCH(1, (AsistenciaJetAdminConcatenada!$A:$A=CP$2)*(AsistenciaJetAdminConcatenada!$B:$B=CP$1), 0)), 1))),  0.5, 0))</f>
        <v>1</v>
      </c>
      <c r="CQ5" s="47">
        <f t="array" ref="CQ5">IF(AND(ISNUMBER(MATCH(CQ$2, AsistenciaJetAdminConcatenada!$A:$A, 0)), ISNUMBER(MATCH(CQ$1, AsistenciaJetAdminConcatenada!$B:$B, 0)), ISNUMBER(SEARCH($A5,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ISNUMBER(SEARCH($A5, INDEX(AsistenciaJetAdminConcatenada!$D:$D, MATCH(1, (AsistenciaJetAdminConcatenada!$A:$A=CQ$2)*(AsistenciaJetAdminConcatenada!$B:$B=CQ$1), 0)), 1))),  0.5, 0))</f>
        <v>1</v>
      </c>
      <c r="CR5" s="47">
        <f t="array" ref="CR5">IF(AND(ISNUMBER(MATCH(CR$2, AsistenciaJetAdminConcatenada!$A:$A, 0)), ISNUMBER(MATCH(CR$1, AsistenciaJetAdminConcatenada!$B:$B, 0)), ISNUMBER(SEARCH($A5,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ISNUMBER(SEARCH($A5, INDEX(AsistenciaJetAdminConcatenada!$D:$D, MATCH(1, (AsistenciaJetAdminConcatenada!$A:$A=CR$2)*(AsistenciaJetAdminConcatenada!$B:$B=CR$1), 0)), 1))),  0.5, 0))</f>
        <v>1</v>
      </c>
      <c r="CS5" s="47">
        <f t="array" ref="CS5">IF(AND(ISNUMBER(MATCH(CS$2, AsistenciaJetAdminConcatenada!$A:$A, 0)), ISNUMBER(MATCH(CS$1, AsistenciaJetAdminConcatenada!$B:$B, 0)), ISNUMBER(SEARCH($A5,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ISNUMBER(SEARCH($A5, INDEX(AsistenciaJetAdminConcatenada!$D:$D, MATCH(1, (AsistenciaJetAdminConcatenada!$A:$A=CS$2)*(AsistenciaJetAdminConcatenada!$B:$B=CS$1), 0)), 1))),  0.5, 0))</f>
        <v>0</v>
      </c>
      <c r="CT5" s="47">
        <f t="array" ref="CT5">IF(AND(ISNUMBER(MATCH(CT$2, AsistenciaJetAdminConcatenada!$A:$A, 0)), ISNUMBER(MATCH(CT$1, AsistenciaJetAdminConcatenada!$B:$B, 0)), ISNUMBER(SEARCH($A5,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ISNUMBER(SEARCH($A5, INDEX(AsistenciaJetAdminConcatenada!$D:$D, MATCH(1, (AsistenciaJetAdminConcatenada!$A:$A=CT$2)*(AsistenciaJetAdminConcatenada!$B:$B=CT$1), 0)), 1))),  0.5, 0))</f>
        <v>0</v>
      </c>
      <c r="CU5" s="47">
        <f t="array" ref="CU5">IF(AND(ISNUMBER(MATCH(CU$2, AsistenciaJetAdminConcatenada!$A:$A, 0)), ISNUMBER(MATCH(CU$1, AsistenciaJetAdminConcatenada!$B:$B, 0)), ISNUMBER(SEARCH($A5,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ISNUMBER(SEARCH($A5, INDEX(AsistenciaJetAdminConcatenada!$D:$D, MATCH(1, (AsistenciaJetAdminConcatenada!$A:$A=CU$2)*(AsistenciaJetAdminConcatenada!$B:$B=CU$1), 0)), 1))),  0.5, 0))</f>
        <v>0</v>
      </c>
      <c r="CV5" s="47">
        <f t="array" ref="CV5">IF(AND(ISNUMBER(MATCH(CV$2, AsistenciaJetAdminConcatenada!$A:$A, 0)), ISNUMBER(MATCH(CV$1, AsistenciaJetAdminConcatenada!$B:$B, 0)), ISNUMBER(SEARCH($A5,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ISNUMBER(SEARCH($A5, INDEX(AsistenciaJetAdminConcatenada!$D:$D, MATCH(1, (AsistenciaJetAdminConcatenada!$A:$A=CV$2)*(AsistenciaJetAdminConcatenada!$B:$B=CV$1), 0)), 1))),  0.5, 0))</f>
        <v>0</v>
      </c>
      <c r="CW5" s="47">
        <f t="array" ref="CW5">IF(AND(ISNUMBER(MATCH(CW$2, AsistenciaJetAdminConcatenada!$A:$A, 0)), ISNUMBER(MATCH(CW$1, AsistenciaJetAdminConcatenada!$B:$B, 0)), ISNUMBER(SEARCH($A5,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ISNUMBER(SEARCH($A5, INDEX(AsistenciaJetAdminConcatenada!$D:$D, MATCH(1, (AsistenciaJetAdminConcatenada!$A:$A=CW$2)*(AsistenciaJetAdminConcatenada!$B:$B=CW$1), 0)), 1))),  0.5, 0))</f>
        <v>0</v>
      </c>
      <c r="CX5" s="47">
        <f t="array" ref="CX5">IF(AND(ISNUMBER(MATCH(CX$2, AsistenciaJetAdminConcatenada!$A:$A, 0)), ISNUMBER(MATCH(CX$1, AsistenciaJetAdminConcatenada!$B:$B, 0)), ISNUMBER(SEARCH($A5,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ISNUMBER(SEARCH($A5, INDEX(AsistenciaJetAdminConcatenada!$D:$D, MATCH(1, (AsistenciaJetAdminConcatenada!$A:$A=CX$2)*(AsistenciaJetAdminConcatenada!$B:$B=CX$1), 0)), 1))),  0.5, 0))</f>
        <v>0</v>
      </c>
      <c r="CY5" s="47">
        <f t="array" ref="CY5">IF(AND(ISNUMBER(MATCH(CY$2, AsistenciaJetAdminConcatenada!$A:$A, 0)), ISNUMBER(MATCH(CY$1, AsistenciaJetAdminConcatenada!$B:$B, 0)), ISNUMBER(SEARCH($A5,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ISNUMBER(SEARCH($A5, INDEX(AsistenciaJetAdminConcatenada!$D:$D, MATCH(1, (AsistenciaJetAdminConcatenada!$A:$A=CY$2)*(AsistenciaJetAdminConcatenada!$B:$B=CY$1), 0)), 1))),  0.5, 0))</f>
        <v>0</v>
      </c>
      <c r="CZ5" s="47">
        <f t="array" ref="CZ5">IF(AND(ISNUMBER(MATCH(CZ$2, AsistenciaJetAdminConcatenada!$A:$A, 0)), ISNUMBER(MATCH(CZ$1, AsistenciaJetAdminConcatenada!$B:$B, 0)), ISNUMBER(SEARCH($A5,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ISNUMBER(SEARCH($A5, INDEX(AsistenciaJetAdminConcatenada!$D:$D, MATCH(1, (AsistenciaJetAdminConcatenada!$A:$A=CZ$2)*(AsistenciaJetAdminConcatenada!$B:$B=CZ$1), 0)), 1))),  0.5, 0))</f>
        <v>0</v>
      </c>
      <c r="DA5" s="47">
        <f t="array" ref="DA5">IF(AND(ISNUMBER(MATCH(DA$2, AsistenciaJetAdminConcatenada!$A:$A, 0)), ISNUMBER(MATCH(DA$1, AsistenciaJetAdminConcatenada!$B:$B, 0)), ISNUMBER(SEARCH($A5,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ISNUMBER(SEARCH($A5, INDEX(AsistenciaJetAdminConcatenada!$D:$D, MATCH(1, (AsistenciaJetAdminConcatenada!$A:$A=DA$2)*(AsistenciaJetAdminConcatenada!$B:$B=DA$1), 0)), 1))),  0.5, 0))</f>
        <v>0</v>
      </c>
      <c r="DB5" s="47">
        <f t="array" ref="DB5">IF(AND(ISNUMBER(MATCH(DB$2, AsistenciaJetAdminConcatenada!$A:$A, 0)), ISNUMBER(MATCH(DB$1, AsistenciaJetAdminConcatenada!$B:$B, 0)), ISNUMBER(SEARCH($A5,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ISNUMBER(SEARCH($A5, INDEX(AsistenciaJetAdminConcatenada!$D:$D, MATCH(1, (AsistenciaJetAdminConcatenada!$A:$A=DB$2)*(AsistenciaJetAdminConcatenada!$B:$B=DB$1), 0)), 1))),  0.5, 0))</f>
        <v>0</v>
      </c>
      <c r="DC5" s="47">
        <f t="array" ref="DC5">IF(AND(ISNUMBER(MATCH(DC$2, AsistenciaJetAdminConcatenada!$A:$A, 0)), ISNUMBER(MATCH(DC$1, AsistenciaJetAdminConcatenada!$B:$B, 0)), ISNUMBER(SEARCH($A5,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ISNUMBER(SEARCH($A5, INDEX(AsistenciaJetAdminConcatenada!$D:$D, MATCH(1, (AsistenciaJetAdminConcatenada!$A:$A=DC$2)*(AsistenciaJetAdminConcatenada!$B:$B=DC$1), 0)), 1))),  0.5, 0))</f>
        <v>0</v>
      </c>
      <c r="DD5" s="47">
        <f t="array" ref="DD5">IF(AND(ISNUMBER(MATCH(DD$2, AsistenciaJetAdminConcatenada!$A:$A, 0)), ISNUMBER(MATCH(DD$1, AsistenciaJetAdminConcatenada!$B:$B, 0)), ISNUMBER(SEARCH($A5,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ISNUMBER(SEARCH($A5, INDEX(AsistenciaJetAdminConcatenada!$D:$D, MATCH(1, (AsistenciaJetAdminConcatenada!$A:$A=DD$2)*(AsistenciaJetAdminConcatenada!$B:$B=DD$1), 0)), 1))),  0.5, 0))</f>
        <v>0</v>
      </c>
      <c r="DE5" s="47">
        <f t="array" ref="DE5">IF(AND(ISNUMBER(MATCH(DE$2, AsistenciaJetAdminConcatenada!$A:$A, 0)), ISNUMBER(MATCH(DE$1, AsistenciaJetAdminConcatenada!$B:$B, 0)), ISNUMBER(SEARCH($A5,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ISNUMBER(SEARCH($A5, INDEX(AsistenciaJetAdminConcatenada!$D:$D, MATCH(1, (AsistenciaJetAdminConcatenada!$A:$A=DE$2)*(AsistenciaJetAdminConcatenada!$B:$B=DE$1), 0)), 1))),  0.5, 0))</f>
        <v>0</v>
      </c>
      <c r="DF5" s="47">
        <f t="array" ref="DF5">IF(AND(ISNUMBER(MATCH(DF$2, AsistenciaJetAdminConcatenada!$A:$A, 0)), ISNUMBER(MATCH(DF$1, AsistenciaJetAdminConcatenada!$B:$B, 0)), ISNUMBER(SEARCH($A5,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ISNUMBER(SEARCH($A5, INDEX(AsistenciaJetAdminConcatenada!$D:$D, MATCH(1, (AsistenciaJetAdminConcatenada!$A:$A=DF$2)*(AsistenciaJetAdminConcatenada!$B:$B=DF$1), 0)), 1))),  0.5, 0))</f>
        <v>0</v>
      </c>
      <c r="DG5" s="47">
        <f t="array" ref="DG5">IF(AND(ISNUMBER(MATCH(DG$2, AsistenciaJetAdminConcatenada!$A:$A, 0)), ISNUMBER(MATCH(DG$1, AsistenciaJetAdminConcatenada!$B:$B, 0)), ISNUMBER(SEARCH($A5,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ISNUMBER(SEARCH($A5, INDEX(AsistenciaJetAdminConcatenada!$D:$D, MATCH(1, (AsistenciaJetAdminConcatenada!$A:$A=DG$2)*(AsistenciaJetAdminConcatenada!$B:$B=DG$1), 0)), 1))),  0.5, 0))</f>
        <v>0</v>
      </c>
      <c r="DH5" s="47">
        <f t="array" ref="DH5">IF(AND(ISNUMBER(MATCH(DH$2, AsistenciaJetAdminConcatenada!$A:$A, 0)), ISNUMBER(MATCH(DH$1, AsistenciaJetAdminConcatenada!$B:$B, 0)), ISNUMBER(SEARCH($A5,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ISNUMBER(SEARCH($A5, INDEX(AsistenciaJetAdminConcatenada!$D:$D, MATCH(1, (AsistenciaJetAdminConcatenada!$A:$A=DH$2)*(AsistenciaJetAdminConcatenada!$B:$B=DH$1), 0)), 1))),  0.5, 0))</f>
        <v>0</v>
      </c>
      <c r="DI5" s="47">
        <f t="array" ref="DI5">IF(AND(ISNUMBER(MATCH(DI$2, AsistenciaJetAdminConcatenada!$A:$A, 0)), ISNUMBER(MATCH(DI$1, AsistenciaJetAdminConcatenada!$B:$B, 0)), ISNUMBER(SEARCH($A5,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ISNUMBER(SEARCH($A5, INDEX(AsistenciaJetAdminConcatenada!$D:$D, MATCH(1, (AsistenciaJetAdminConcatenada!$A:$A=DI$2)*(AsistenciaJetAdminConcatenada!$B:$B=DI$1), 0)), 1))),  0.5, 0))</f>
        <v>0</v>
      </c>
      <c r="DJ5" s="47">
        <f t="array" ref="DJ5">IF(AND(ISNUMBER(MATCH(DJ$2, AsistenciaJetAdminConcatenada!$A:$A, 0)), ISNUMBER(MATCH(DJ$1, AsistenciaJetAdminConcatenada!$B:$B, 0)), ISNUMBER(SEARCH($A5,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ISNUMBER(SEARCH($A5, INDEX(AsistenciaJetAdminConcatenada!$D:$D, MATCH(1, (AsistenciaJetAdminConcatenada!$A:$A=DJ$2)*(AsistenciaJetAdminConcatenada!$B:$B=DJ$1), 0)), 1))),  0.5, 0))</f>
        <v>0</v>
      </c>
      <c r="DK5" s="47">
        <f t="array" ref="DK5">IF(AND(ISNUMBER(MATCH(DK$2, AsistenciaJetAdminConcatenada!$A:$A, 0)), ISNUMBER(MATCH(DK$1, AsistenciaJetAdminConcatenada!$B:$B, 0)), ISNUMBER(SEARCH($A5,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ISNUMBER(SEARCH($A5, INDEX(AsistenciaJetAdminConcatenada!$D:$D, MATCH(1, (AsistenciaJetAdminConcatenada!$A:$A=DK$2)*(AsistenciaJetAdminConcatenada!$B:$B=DK$1), 0)), 1))),  0.5, 0))</f>
        <v>0</v>
      </c>
      <c r="DL5" s="47">
        <f t="array" ref="DL5">IF(AND(ISNUMBER(MATCH(DL$2, AsistenciaJetAdminConcatenada!$A:$A, 0)), ISNUMBER(MATCH(DL$1, AsistenciaJetAdminConcatenada!$B:$B, 0)), ISNUMBER(SEARCH($A5,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ISNUMBER(SEARCH($A5, INDEX(AsistenciaJetAdminConcatenada!$D:$D, MATCH(1, (AsistenciaJetAdminConcatenada!$A:$A=DL$2)*(AsistenciaJetAdminConcatenada!$B:$B=DL$1), 0)), 1))),  0.5, 0))</f>
        <v>0</v>
      </c>
      <c r="DM5" s="47">
        <f t="array" ref="DM5">IF(AND(ISNUMBER(MATCH(DM$2, AsistenciaJetAdminConcatenada!$A:$A, 0)), ISNUMBER(MATCH(DM$1, AsistenciaJetAdminConcatenada!$B:$B, 0)), ISNUMBER(SEARCH($A5,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ISNUMBER(SEARCH($A5, INDEX(AsistenciaJetAdminConcatenada!$D:$D, MATCH(1, (AsistenciaJetAdminConcatenada!$A:$A=DM$2)*(AsistenciaJetAdminConcatenada!$B:$B=DM$1), 0)), 1))),  0.5, 0))</f>
        <v>0</v>
      </c>
      <c r="DN5" s="47">
        <f t="array" ref="DN5">IF(AND(ISNUMBER(MATCH(DN$2, AsistenciaJetAdminConcatenada!$A:$A, 0)), ISNUMBER(MATCH(DN$1, AsistenciaJetAdminConcatenada!$B:$B, 0)), ISNUMBER(SEARCH($A5,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ISNUMBER(SEARCH($A5, INDEX(AsistenciaJetAdminConcatenada!$D:$D, MATCH(1, (AsistenciaJetAdminConcatenada!$A:$A=DN$2)*(AsistenciaJetAdminConcatenada!$B:$B=DN$1), 0)), 1))),  0.5, 0))</f>
        <v>0</v>
      </c>
      <c r="DO5" s="47">
        <f t="array" ref="DO5">IF(AND(ISNUMBER(MATCH(DO$2, AsistenciaJetAdminConcatenada!$A:$A, 0)), ISNUMBER(MATCH(DO$1, AsistenciaJetAdminConcatenada!$B:$B, 0)), ISNUMBER(SEARCH($A5,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ISNUMBER(SEARCH($A5, INDEX(AsistenciaJetAdminConcatenada!$D:$D, MATCH(1, (AsistenciaJetAdminConcatenada!$A:$A=DO$2)*(AsistenciaJetAdminConcatenada!$B:$B=DO$1), 0)), 1))),  0.5, 0))</f>
        <v>0</v>
      </c>
      <c r="DP5" s="47">
        <f t="array" ref="DP5">IF(AND(ISNUMBER(MATCH(DP$2, AsistenciaJetAdminConcatenada!$A:$A, 0)), ISNUMBER(MATCH(DP$1, AsistenciaJetAdminConcatenada!$B:$B, 0)), ISNUMBER(SEARCH($A5,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ISNUMBER(SEARCH($A5, INDEX(AsistenciaJetAdminConcatenada!$D:$D, MATCH(1, (AsistenciaJetAdminConcatenada!$A:$A=DP$2)*(AsistenciaJetAdminConcatenada!$B:$B=DP$1), 0)), 1))),  0.5, 0))</f>
        <v>0</v>
      </c>
      <c r="DQ5" s="47">
        <f t="array" ref="DQ5">IF(AND(ISNUMBER(MATCH(DQ$2, AsistenciaJetAdminConcatenada!$A:$A, 0)), ISNUMBER(MATCH(DQ$1, AsistenciaJetAdminConcatenada!$B:$B, 0)), ISNUMBER(SEARCH($A5,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ISNUMBER(SEARCH($A5, INDEX(AsistenciaJetAdminConcatenada!$D:$D, MATCH(1, (AsistenciaJetAdminConcatenada!$A:$A=DQ$2)*(AsistenciaJetAdminConcatenada!$B:$B=DQ$1), 0)), 1))),  0.5, 0))</f>
        <v>0</v>
      </c>
      <c r="DR5" s="47">
        <f t="array" ref="DR5">IF(AND(ISNUMBER(MATCH(DR$2, AsistenciaJetAdminConcatenada!$A:$A, 0)), ISNUMBER(MATCH(DR$1, AsistenciaJetAdminConcatenada!$B:$B, 0)), ISNUMBER(SEARCH($A5,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ISNUMBER(SEARCH($A5, INDEX(AsistenciaJetAdminConcatenada!$D:$D, MATCH(1, (AsistenciaJetAdminConcatenada!$A:$A=DR$2)*(AsistenciaJetAdminConcatenada!$B:$B=DR$1), 0)), 1))),  0.5, 0))</f>
        <v>0</v>
      </c>
      <c r="DS5" s="47">
        <f t="array" ref="DS5">IF(AND(ISNUMBER(MATCH(DS$2, AsistenciaJetAdminConcatenada!$A:$A, 0)), ISNUMBER(MATCH(DS$1, AsistenciaJetAdminConcatenada!$B:$B, 0)), ISNUMBER(SEARCH($A5,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ISNUMBER(SEARCH($A5, INDEX(AsistenciaJetAdminConcatenada!$D:$D, MATCH(1, (AsistenciaJetAdminConcatenada!$A:$A=DS$2)*(AsistenciaJetAdminConcatenada!$B:$B=DS$1), 0)), 1))),  0.5, 0))</f>
        <v>0</v>
      </c>
      <c r="DT5" s="47">
        <f t="array" ref="DT5">IF(AND(ISNUMBER(MATCH(DT$2, AsistenciaJetAdminConcatenada!$A:$A, 0)), ISNUMBER(MATCH(DT$1, AsistenciaJetAdminConcatenada!$B:$B, 0)), ISNUMBER(SEARCH($A5,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ISNUMBER(SEARCH($A5, INDEX(AsistenciaJetAdminConcatenada!$D:$D, MATCH(1, (AsistenciaJetAdminConcatenada!$A:$A=DT$2)*(AsistenciaJetAdminConcatenada!$B:$B=DT$1), 0)), 1))),  0.5, 0))</f>
        <v>0</v>
      </c>
      <c r="DU5" s="47">
        <f t="array" ref="DU5">IF(AND(ISNUMBER(MATCH(DU$2, AsistenciaJetAdminConcatenada!$A:$A, 0)), ISNUMBER(MATCH(DU$1, AsistenciaJetAdminConcatenada!$B:$B, 0)), ISNUMBER(SEARCH($A5,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ISNUMBER(SEARCH($A5, INDEX(AsistenciaJetAdminConcatenada!$D:$D, MATCH(1, (AsistenciaJetAdminConcatenada!$A:$A=DU$2)*(AsistenciaJetAdminConcatenada!$B:$B=DU$1), 0)), 1))),  0.5, 0))</f>
        <v>0</v>
      </c>
      <c r="DV5" s="47">
        <f t="array" ref="DV5">IF(AND(ISNUMBER(MATCH(DV$2, AsistenciaJetAdminConcatenada!$A:$A, 0)), ISNUMBER(MATCH(DV$1, AsistenciaJetAdminConcatenada!$B:$B, 0)), ISNUMBER(SEARCH($A5,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ISNUMBER(SEARCH($A5, INDEX(AsistenciaJetAdminConcatenada!$D:$D, MATCH(1, (AsistenciaJetAdminConcatenada!$A:$A=DV$2)*(AsistenciaJetAdminConcatenada!$B:$B=DV$1), 0)), 1))),  0.5, 0))</f>
        <v>0</v>
      </c>
      <c r="DW5" s="47">
        <f t="array" ref="DW5">IF(AND(ISNUMBER(MATCH(DW$2, AsistenciaJetAdminConcatenada!$A:$A, 0)), ISNUMBER(MATCH(DW$1, AsistenciaJetAdminConcatenada!$B:$B, 0)), ISNUMBER(SEARCH($A5,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ISNUMBER(SEARCH($A5, INDEX(AsistenciaJetAdminConcatenada!$D:$D, MATCH(1, (AsistenciaJetAdminConcatenada!$A:$A=DW$2)*(AsistenciaJetAdminConcatenada!$B:$B=DW$1), 0)), 1))),  0.5, 0))</f>
        <v>0</v>
      </c>
      <c r="DX5" s="47">
        <f t="array" ref="DX5">IF(AND(ISNUMBER(MATCH(DX$2, AsistenciaJetAdminConcatenada!$A:$A, 0)), ISNUMBER(MATCH(DX$1, AsistenciaJetAdminConcatenada!$B:$B, 0)), ISNUMBER(SEARCH($A5,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ISNUMBER(SEARCH($A5, INDEX(AsistenciaJetAdminConcatenada!$D:$D, MATCH(1, (AsistenciaJetAdminConcatenada!$A:$A=DX$2)*(AsistenciaJetAdminConcatenada!$B:$B=DX$1), 0)), 1))),  0.5, 0))</f>
        <v>0</v>
      </c>
      <c r="DY5" s="47">
        <f t="array" ref="DY5">IF(AND(ISNUMBER(MATCH(DY$2, AsistenciaJetAdminConcatenada!$A:$A, 0)), ISNUMBER(MATCH(DY$1, AsistenciaJetAdminConcatenada!$B:$B, 0)), ISNUMBER(SEARCH($A5,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ISNUMBER(SEARCH($A5, INDEX(AsistenciaJetAdminConcatenada!$D:$D, MATCH(1, (AsistenciaJetAdminConcatenada!$A:$A=DY$2)*(AsistenciaJetAdminConcatenada!$B:$B=DY$1), 0)), 1))),  0.5, 0))</f>
        <v>0</v>
      </c>
      <c r="DZ5" s="47">
        <f t="array" ref="DZ5">IF(AND(ISNUMBER(MATCH(DZ$2, AsistenciaJetAdminConcatenada!$A:$A, 0)), ISNUMBER(MATCH(DZ$1, AsistenciaJetAdminConcatenada!$B:$B, 0)), ISNUMBER(SEARCH($A5,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ISNUMBER(SEARCH($A5, INDEX(AsistenciaJetAdminConcatenada!$D:$D, MATCH(1, (AsistenciaJetAdminConcatenada!$A:$A=DZ$2)*(AsistenciaJetAdminConcatenada!$B:$B=DZ$1), 0)), 1))),  0.5, 0))</f>
        <v>0</v>
      </c>
      <c r="EA5" s="47">
        <f t="array" ref="EA5">IF(AND(ISNUMBER(MATCH(EA$2, AsistenciaJetAdminConcatenada!$A:$A, 0)), ISNUMBER(MATCH(EA$1, AsistenciaJetAdminConcatenada!$B:$B, 0)), ISNUMBER(SEARCH($A5,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ISNUMBER(SEARCH($A5, INDEX(AsistenciaJetAdminConcatenada!$D:$D, MATCH(1, (AsistenciaJetAdminConcatenada!$A:$A=EA$2)*(AsistenciaJetAdminConcatenada!$B:$B=EA$1), 0)), 1))),  0.5, 0))</f>
        <v>0</v>
      </c>
      <c r="EB5" s="47">
        <f t="array" ref="EB5">IF(AND(ISNUMBER(MATCH(EB$2, AsistenciaJetAdminConcatenada!$A:$A, 0)), ISNUMBER(MATCH(EB$1, AsistenciaJetAdminConcatenada!$B:$B, 0)), ISNUMBER(SEARCH($A5,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ISNUMBER(SEARCH($A5, INDEX(AsistenciaJetAdminConcatenada!$D:$D, MATCH(1, (AsistenciaJetAdminConcatenada!$A:$A=EB$2)*(AsistenciaJetAdminConcatenada!$B:$B=EB$1), 0)), 1))),  0.5, 0))</f>
        <v>0</v>
      </c>
      <c r="EC5" s="47">
        <f t="array" ref="EC5">IF(AND(ISNUMBER(MATCH(EC$2, AsistenciaJetAdminConcatenada!$A:$A, 0)), ISNUMBER(MATCH(EC$1, AsistenciaJetAdminConcatenada!$B:$B, 0)), ISNUMBER(SEARCH($A5,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ISNUMBER(SEARCH($A5, INDEX(AsistenciaJetAdminConcatenada!$D:$D, MATCH(1, (AsistenciaJetAdminConcatenada!$A:$A=EC$2)*(AsistenciaJetAdminConcatenada!$B:$B=EC$1), 0)), 1))),  0.5, 0))</f>
        <v>0</v>
      </c>
      <c r="ED5" s="47">
        <f t="array" ref="ED5">IF(AND(ISNUMBER(MATCH(ED$2, AsistenciaJetAdminConcatenada!$A:$A, 0)), ISNUMBER(MATCH(ED$1, AsistenciaJetAdminConcatenada!$B:$B, 0)), ISNUMBER(SEARCH($A5,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ISNUMBER(SEARCH($A5, INDEX(AsistenciaJetAdminConcatenada!$D:$D, MATCH(1, (AsistenciaJetAdminConcatenada!$A:$A=ED$2)*(AsistenciaJetAdminConcatenada!$B:$B=ED$1), 0)), 1))),  0.5, 0))</f>
        <v>0</v>
      </c>
      <c r="EE5" s="47">
        <f t="array" ref="EE5">IF(AND(ISNUMBER(MATCH(EE$2, AsistenciaJetAdminConcatenada!$A:$A, 0)), ISNUMBER(MATCH(EE$1, AsistenciaJetAdminConcatenada!$B:$B, 0)), ISNUMBER(SEARCH($A5,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ISNUMBER(SEARCH($A5, INDEX(AsistenciaJetAdminConcatenada!$D:$D, MATCH(1, (AsistenciaJetAdminConcatenada!$A:$A=EE$2)*(AsistenciaJetAdminConcatenada!$B:$B=EE$1), 0)), 1))),  0.5, 0))</f>
        <v>0</v>
      </c>
      <c r="EF5" s="47">
        <f t="array" ref="EF5">IF(AND(ISNUMBER(MATCH(EF$2, AsistenciaJetAdminConcatenada!$A:$A, 0)), ISNUMBER(MATCH(EF$1, AsistenciaJetAdminConcatenada!$B:$B, 0)), ISNUMBER(SEARCH($A5,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ISNUMBER(SEARCH($A5, INDEX(AsistenciaJetAdminConcatenada!$D:$D, MATCH(1, (AsistenciaJetAdminConcatenada!$A:$A=EF$2)*(AsistenciaJetAdminConcatenada!$B:$B=EF$1), 0)), 1))),  0.5, 0))</f>
        <v>0</v>
      </c>
      <c r="EG5" s="47">
        <f t="array" ref="EG5">IF(AND(ISNUMBER(MATCH(EG$2, AsistenciaJetAdminConcatenada!$A:$A, 0)), ISNUMBER(MATCH(EG$1, AsistenciaJetAdminConcatenada!$B:$B, 0)), ISNUMBER(SEARCH($A5,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ISNUMBER(SEARCH($A5, INDEX(AsistenciaJetAdminConcatenada!$D:$D, MATCH(1, (AsistenciaJetAdminConcatenada!$A:$A=EG$2)*(AsistenciaJetAdminConcatenada!$B:$B=EG$1), 0)), 1))),  0.5, 0))</f>
        <v>0</v>
      </c>
      <c r="EH5" s="47">
        <f t="array" ref="EH5">IF(AND(ISNUMBER(MATCH(EH$2, AsistenciaJetAdminConcatenada!$A:$A, 0)), ISNUMBER(MATCH(EH$1, AsistenciaJetAdminConcatenada!$B:$B, 0)), ISNUMBER(SEARCH($A5,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ISNUMBER(SEARCH($A5, INDEX(AsistenciaJetAdminConcatenada!$D:$D, MATCH(1, (AsistenciaJetAdminConcatenada!$A:$A=EH$2)*(AsistenciaJetAdminConcatenada!$B:$B=EH$1), 0)), 1))),  0.5, 0))</f>
        <v>0</v>
      </c>
      <c r="EI5" s="47">
        <f t="array" ref="EI5">IF(AND(ISNUMBER(MATCH(EI$2, AsistenciaJetAdminConcatenada!$A:$A, 0)), ISNUMBER(MATCH(EI$1, AsistenciaJetAdminConcatenada!$B:$B, 0)), ISNUMBER(SEARCH($A5,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ISNUMBER(SEARCH($A5, INDEX(AsistenciaJetAdminConcatenada!$D:$D, MATCH(1, (AsistenciaJetAdminConcatenada!$A:$A=EI$2)*(AsistenciaJetAdminConcatenada!$B:$B=EI$1), 0)), 1))),  0.5, 0))</f>
        <v>0</v>
      </c>
      <c r="EJ5" s="47">
        <f t="array" ref="EJ5">IF(AND(ISNUMBER(MATCH(EJ$2, AsistenciaJetAdminConcatenada!$A:$A, 0)), ISNUMBER(MATCH(EJ$1, AsistenciaJetAdminConcatenada!$B:$B, 0)), ISNUMBER(SEARCH($A5,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ISNUMBER(SEARCH($A5, INDEX(AsistenciaJetAdminConcatenada!$D:$D, MATCH(1, (AsistenciaJetAdminConcatenada!$A:$A=EJ$2)*(AsistenciaJetAdminConcatenada!$B:$B=EJ$1), 0)), 1))),  0.5, 0))</f>
        <v>0</v>
      </c>
      <c r="EK5" s="47">
        <f t="array" ref="EK5">IF(AND(ISNUMBER(MATCH(EK$2, AsistenciaJetAdminConcatenada!$A:$A, 0)), ISNUMBER(MATCH(EK$1, AsistenciaJetAdminConcatenada!$B:$B, 0)), ISNUMBER(SEARCH($A5,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ISNUMBER(SEARCH($A5, INDEX(AsistenciaJetAdminConcatenada!$D:$D, MATCH(1, (AsistenciaJetAdminConcatenada!$A:$A=EK$2)*(AsistenciaJetAdminConcatenada!$B:$B=EK$1), 0)), 1))),  0.5, 0))</f>
        <v>0</v>
      </c>
      <c r="EL5" s="47">
        <f t="array" ref="EL5">IF(AND(ISNUMBER(MATCH(EL$2, AsistenciaJetAdminConcatenada!$A:$A, 0)), ISNUMBER(MATCH(EL$1, AsistenciaJetAdminConcatenada!$B:$B, 0)), ISNUMBER(SEARCH($A5,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ISNUMBER(SEARCH($A5, INDEX(AsistenciaJetAdminConcatenada!$D:$D, MATCH(1, (AsistenciaJetAdminConcatenada!$A:$A=EL$2)*(AsistenciaJetAdminConcatenada!$B:$B=EL$1), 0)), 1))),  0.5, 0))</f>
        <v>0</v>
      </c>
      <c r="EM5" s="47">
        <f t="array" ref="EM5">IF(AND(ISNUMBER(MATCH(EM$2, AsistenciaJetAdminConcatenada!$A:$A, 0)), ISNUMBER(MATCH(EM$1, AsistenciaJetAdminConcatenada!$B:$B, 0)), ISNUMBER(SEARCH($A5,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ISNUMBER(SEARCH($A5, INDEX(AsistenciaJetAdminConcatenada!$D:$D, MATCH(1, (AsistenciaJetAdminConcatenada!$A:$A=EM$2)*(AsistenciaJetAdminConcatenada!$B:$B=EM$1), 0)), 1))),  0.5, 0))</f>
        <v>0</v>
      </c>
      <c r="EN5" s="47">
        <f t="array" ref="EN5">IF(AND(ISNUMBER(MATCH(EN$2, AsistenciaJetAdminConcatenada!$A:$A, 0)), ISNUMBER(MATCH(EN$1, AsistenciaJetAdminConcatenada!$B:$B, 0)), ISNUMBER(SEARCH($A5,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ISNUMBER(SEARCH($A5, INDEX(AsistenciaJetAdminConcatenada!$D:$D, MATCH(1, (AsistenciaJetAdminConcatenada!$A:$A=EN$2)*(AsistenciaJetAdminConcatenada!$B:$B=EN$1), 0)), 1))),  0.5, 0))</f>
        <v>0</v>
      </c>
      <c r="EO5" s="47">
        <f t="array" ref="EO5">IF(AND(ISNUMBER(MATCH(EO$2, AsistenciaJetAdminConcatenada!$A:$A, 0)), ISNUMBER(MATCH(EO$1, AsistenciaJetAdminConcatenada!$B:$B, 0)), ISNUMBER(SEARCH($A5,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ISNUMBER(SEARCH($A5, INDEX(AsistenciaJetAdminConcatenada!$D:$D, MATCH(1, (AsistenciaJetAdminConcatenada!$A:$A=EO$2)*(AsistenciaJetAdminConcatenada!$B:$B=EO$1), 0)), 1))),  0.5, 0))</f>
        <v>0</v>
      </c>
      <c r="EP5" s="47">
        <f t="array" ref="EP5">IF(AND(ISNUMBER(MATCH(EP$2, AsistenciaJetAdminConcatenada!$A:$A, 0)), ISNUMBER(MATCH(EP$1, AsistenciaJetAdminConcatenada!$B:$B, 0)), ISNUMBER(SEARCH($A5,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ISNUMBER(SEARCH($A5, INDEX(AsistenciaJetAdminConcatenada!$D:$D, MATCH(1, (AsistenciaJetAdminConcatenada!$A:$A=EP$2)*(AsistenciaJetAdminConcatenada!$B:$B=EP$1), 0)), 1))),  0.5, 0))</f>
        <v>0</v>
      </c>
      <c r="EQ5" s="47">
        <f t="array" ref="EQ5">IF(AND(ISNUMBER(MATCH(EQ$2, AsistenciaJetAdminConcatenada!$A:$A, 0)), ISNUMBER(MATCH(EQ$1, AsistenciaJetAdminConcatenada!$B:$B, 0)), ISNUMBER(SEARCH($A5,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ISNUMBER(SEARCH($A5, INDEX(AsistenciaJetAdminConcatenada!$D:$D, MATCH(1, (AsistenciaJetAdminConcatenada!$A:$A=EQ$2)*(AsistenciaJetAdminConcatenada!$B:$B=EQ$1), 0)), 1))),  0.5, 0))</f>
        <v>0</v>
      </c>
      <c r="ER5" s="47">
        <f t="array" ref="ER5">IF(AND(ISNUMBER(MATCH(ER$2, AsistenciaJetAdminConcatenada!$A:$A, 0)), ISNUMBER(MATCH(ER$1, AsistenciaJetAdminConcatenada!$B:$B, 0)), ISNUMBER(SEARCH($A5,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ISNUMBER(SEARCH($A5, INDEX(AsistenciaJetAdminConcatenada!$D:$D, MATCH(1, (AsistenciaJetAdminConcatenada!$A:$A=ER$2)*(AsistenciaJetAdminConcatenada!$B:$B=ER$1), 0)), 1))),  0.5, 0))</f>
        <v>0</v>
      </c>
      <c r="ES5" s="47">
        <f t="array" ref="ES5">IF(AND(ISNUMBER(MATCH(ES$2, AsistenciaJetAdminConcatenada!$A:$A, 0)), ISNUMBER(MATCH(ES$1, AsistenciaJetAdminConcatenada!$B:$B, 0)), ISNUMBER(SEARCH($A5,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ISNUMBER(SEARCH($A5, INDEX(AsistenciaJetAdminConcatenada!$D:$D, MATCH(1, (AsistenciaJetAdminConcatenada!$A:$A=ES$2)*(AsistenciaJetAdminConcatenada!$B:$B=ES$1), 0)), 1))),  0.5, 0))</f>
        <v>0</v>
      </c>
      <c r="ET5" s="47">
        <f t="array" ref="ET5">IF(AND(ISNUMBER(MATCH(ET$2, AsistenciaJetAdminConcatenada!$A:$A, 0)), ISNUMBER(MATCH(ET$1, AsistenciaJetAdminConcatenada!$B:$B, 0)), ISNUMBER(SEARCH($A5,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ISNUMBER(SEARCH($A5, INDEX(AsistenciaJetAdminConcatenada!$D:$D, MATCH(1, (AsistenciaJetAdminConcatenada!$A:$A=ET$2)*(AsistenciaJetAdminConcatenada!$B:$B=ET$1), 0)), 1))),  0.5, 0))</f>
        <v>0</v>
      </c>
      <c r="EU5" s="47">
        <f t="array" ref="EU5">IF(AND(ISNUMBER(MATCH(EU$2, AsistenciaJetAdminConcatenada!$A:$A, 0)), ISNUMBER(MATCH(EU$1, AsistenciaJetAdminConcatenada!$B:$B, 0)), ISNUMBER(SEARCH($A5,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ISNUMBER(SEARCH($A5, INDEX(AsistenciaJetAdminConcatenada!$D:$D, MATCH(1, (AsistenciaJetAdminConcatenada!$A:$A=EU$2)*(AsistenciaJetAdminConcatenada!$B:$B=EU$1), 0)), 1))),  0.5, 0))</f>
        <v>0</v>
      </c>
      <c r="EV5" s="47">
        <f t="array" ref="EV5">IF(AND(ISNUMBER(MATCH(EV$2, AsistenciaJetAdminConcatenada!$A:$A, 0)), ISNUMBER(MATCH(EV$1, AsistenciaJetAdminConcatenada!$B:$B, 0)), ISNUMBER(SEARCH($A5,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ISNUMBER(SEARCH($A5, INDEX(AsistenciaJetAdminConcatenada!$D:$D, MATCH(1, (AsistenciaJetAdminConcatenada!$A:$A=EV$2)*(AsistenciaJetAdminConcatenada!$B:$B=EV$1), 0)), 1))),  0.5, 0))</f>
        <v>0</v>
      </c>
      <c r="EW5" s="47">
        <f t="array" ref="EW5">IF(AND(ISNUMBER(MATCH(EW$2, AsistenciaJetAdminConcatenada!$A:$A, 0)), ISNUMBER(MATCH(EW$1, AsistenciaJetAdminConcatenada!$B:$B, 0)), ISNUMBER(SEARCH($A5,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ISNUMBER(SEARCH($A5, INDEX(AsistenciaJetAdminConcatenada!$D:$D, MATCH(1, (AsistenciaJetAdminConcatenada!$A:$A=EW$2)*(AsistenciaJetAdminConcatenada!$B:$B=EW$1), 0)), 1))),  0.5, 0))</f>
        <v>0</v>
      </c>
      <c r="EX5" s="47">
        <f t="array" ref="EX5">IF(AND(ISNUMBER(MATCH(EX$2, AsistenciaJetAdminConcatenada!$A:$A, 0)), ISNUMBER(MATCH(EX$1, AsistenciaJetAdminConcatenada!$B:$B, 0)), ISNUMBER(SEARCH($A5,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ISNUMBER(SEARCH($A5, INDEX(AsistenciaJetAdminConcatenada!$D:$D, MATCH(1, (AsistenciaJetAdminConcatenada!$A:$A=EX$2)*(AsistenciaJetAdminConcatenada!$B:$B=EX$1), 0)), 1))),  0.5, 0))</f>
        <v>0</v>
      </c>
      <c r="EY5" s="47">
        <f t="array" ref="EY5">IF(AND(ISNUMBER(MATCH(EY$2, AsistenciaJetAdminConcatenada!$A:$A, 0)), ISNUMBER(MATCH(EY$1, AsistenciaJetAdminConcatenada!$B:$B, 0)), ISNUMBER(SEARCH($A5,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ISNUMBER(SEARCH($A5, INDEX(AsistenciaJetAdminConcatenada!$D:$D, MATCH(1, (AsistenciaJetAdminConcatenada!$A:$A=EY$2)*(AsistenciaJetAdminConcatenada!$B:$B=EY$1), 0)), 1))),  0.5, 0))</f>
        <v>0</v>
      </c>
      <c r="EZ5" s="47">
        <f t="array" ref="EZ5">IF(AND(ISNUMBER(MATCH(EZ$2, AsistenciaJetAdminConcatenada!$A:$A, 0)), ISNUMBER(MATCH(EZ$1, AsistenciaJetAdminConcatenada!$B:$B, 0)), ISNUMBER(SEARCH($A5,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ISNUMBER(SEARCH($A5, INDEX(AsistenciaJetAdminConcatenada!$D:$D, MATCH(1, (AsistenciaJetAdminConcatenada!$A:$A=EZ$2)*(AsistenciaJetAdminConcatenada!$B:$B=EZ$1), 0)), 1))),  0.5, 0))</f>
        <v>0</v>
      </c>
      <c r="FA5" s="47">
        <f t="array" ref="FA5">IF(AND(ISNUMBER(MATCH(FA$2, AsistenciaJetAdminConcatenada!$A:$A, 0)), ISNUMBER(MATCH(FA$1, AsistenciaJetAdminConcatenada!$B:$B, 0)), ISNUMBER(SEARCH($A5,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ISNUMBER(SEARCH($A5, INDEX(AsistenciaJetAdminConcatenada!$D:$D, MATCH(1, (AsistenciaJetAdminConcatenada!$A:$A=FA$2)*(AsistenciaJetAdminConcatenada!$B:$B=FA$1), 0)), 1))),  0.5, 0))</f>
        <v>0</v>
      </c>
      <c r="FB5" s="47">
        <f t="array" ref="FB5">IF(AND(ISNUMBER(MATCH(FB$2, AsistenciaJetAdminConcatenada!$A:$A, 0)), ISNUMBER(MATCH(FB$1, AsistenciaJetAdminConcatenada!$B:$B, 0)), ISNUMBER(SEARCH($A5,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ISNUMBER(SEARCH($A5, INDEX(AsistenciaJetAdminConcatenada!$D:$D, MATCH(1, (AsistenciaJetAdminConcatenada!$A:$A=FB$2)*(AsistenciaJetAdminConcatenada!$B:$B=FB$1), 0)), 1))),  0.5, 0))</f>
        <v>0</v>
      </c>
      <c r="FC5" s="47">
        <f t="array" ref="FC5">IF(AND(ISNUMBER(MATCH(FC$2, AsistenciaJetAdminConcatenada!$A:$A, 0)), ISNUMBER(MATCH(FC$1, AsistenciaJetAdminConcatenada!$B:$B, 0)), ISNUMBER(SEARCH($A5,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ISNUMBER(SEARCH($A5, INDEX(AsistenciaJetAdminConcatenada!$D:$D, MATCH(1, (AsistenciaJetAdminConcatenada!$A:$A=FC$2)*(AsistenciaJetAdminConcatenada!$B:$B=FC$1), 0)), 1))),  0.5, 0))</f>
        <v>0</v>
      </c>
      <c r="FD5" s="47">
        <f t="array" ref="FD5">IF(AND(ISNUMBER(MATCH(FD$2, AsistenciaJetAdminConcatenada!$A:$A, 0)), ISNUMBER(MATCH(FD$1, AsistenciaJetAdminConcatenada!$B:$B, 0)), ISNUMBER(SEARCH($A5,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ISNUMBER(SEARCH($A5, INDEX(AsistenciaJetAdminConcatenada!$D:$D, MATCH(1, (AsistenciaJetAdminConcatenada!$A:$A=FD$2)*(AsistenciaJetAdminConcatenada!$B:$B=FD$1), 0)), 1))),  0.5, 0))</f>
        <v>0</v>
      </c>
      <c r="FE5" s="47">
        <f t="array" ref="FE5">IF(AND(ISNUMBER(MATCH(FE$2, AsistenciaJetAdminConcatenada!$A:$A, 0)), ISNUMBER(MATCH(FE$1, AsistenciaJetAdminConcatenada!$B:$B, 0)), ISNUMBER(SEARCH($A5,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ISNUMBER(SEARCH($A5, INDEX(AsistenciaJetAdminConcatenada!$D:$D, MATCH(1, (AsistenciaJetAdminConcatenada!$A:$A=FE$2)*(AsistenciaJetAdminConcatenada!$B:$B=FE$1), 0)), 1))),  0.5, 0))</f>
        <v>0</v>
      </c>
      <c r="FF5" s="47">
        <f t="array" ref="FF5">IF(AND(ISNUMBER(MATCH(FF$2, AsistenciaJetAdminConcatenada!$A:$A, 0)), ISNUMBER(MATCH(FF$1, AsistenciaJetAdminConcatenada!$B:$B, 0)), ISNUMBER(SEARCH($A5,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ISNUMBER(SEARCH($A5, INDEX(AsistenciaJetAdminConcatenada!$D:$D, MATCH(1, (AsistenciaJetAdminConcatenada!$A:$A=FF$2)*(AsistenciaJetAdminConcatenada!$B:$B=FF$1), 0)), 1))),  0.5, 0))</f>
        <v>0</v>
      </c>
      <c r="FG5" s="47">
        <f t="array" ref="FG5">IF(AND(ISNUMBER(MATCH(FG$2, AsistenciaJetAdminConcatenada!$A:$A, 0)), ISNUMBER(MATCH(FG$1, AsistenciaJetAdminConcatenada!$B:$B, 0)), ISNUMBER(SEARCH($A5,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ISNUMBER(SEARCH($A5, INDEX(AsistenciaJetAdminConcatenada!$D:$D, MATCH(1, (AsistenciaJetAdminConcatenada!$A:$A=FG$2)*(AsistenciaJetAdminConcatenada!$B:$B=FG$1), 0)), 1))),  0.5, 0))</f>
        <v>0</v>
      </c>
      <c r="FH5" s="47">
        <f t="array" ref="FH5">IF(AND(ISNUMBER(MATCH(FH$2, AsistenciaJetAdminConcatenada!$A:$A, 0)), ISNUMBER(MATCH(FH$1, AsistenciaJetAdminConcatenada!$B:$B, 0)), ISNUMBER(SEARCH($A5,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ISNUMBER(SEARCH($A5, INDEX(AsistenciaJetAdminConcatenada!$D:$D, MATCH(1, (AsistenciaJetAdminConcatenada!$A:$A=FH$2)*(AsistenciaJetAdminConcatenada!$B:$B=FH$1), 0)), 1))),  0.5, 0))</f>
        <v>0</v>
      </c>
      <c r="FI5" s="47">
        <f t="array" ref="FI5">IF(AND(ISNUMBER(MATCH(FI$2, AsistenciaJetAdminConcatenada!$A:$A, 0)), ISNUMBER(MATCH(FI$1, AsistenciaJetAdminConcatenada!$B:$B, 0)), ISNUMBER(SEARCH($A5,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ISNUMBER(SEARCH($A5, INDEX(AsistenciaJetAdminConcatenada!$D:$D, MATCH(1, (AsistenciaJetAdminConcatenada!$A:$A=FI$2)*(AsistenciaJetAdminConcatenada!$B:$B=FI$1), 0)), 1))),  0.5, 0))</f>
        <v>0</v>
      </c>
      <c r="FJ5" s="47">
        <f t="array" ref="FJ5">IF(AND(ISNUMBER(MATCH(FJ$2, AsistenciaJetAdminConcatenada!$A:$A, 0)), ISNUMBER(MATCH(FJ$1, AsistenciaJetAdminConcatenada!$B:$B, 0)), ISNUMBER(SEARCH($A5,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ISNUMBER(SEARCH($A5, INDEX(AsistenciaJetAdminConcatenada!$D:$D, MATCH(1, (AsistenciaJetAdminConcatenada!$A:$A=FJ$2)*(AsistenciaJetAdminConcatenada!$B:$B=FJ$1), 0)), 1))),  0.5, 0))</f>
        <v>0</v>
      </c>
      <c r="FK5" s="47">
        <f t="array" ref="FK5">IF(AND(ISNUMBER(MATCH(FK$2, AsistenciaJetAdminConcatenada!$A:$A, 0)), ISNUMBER(MATCH(FK$1, AsistenciaJetAdminConcatenada!$B:$B, 0)), ISNUMBER(SEARCH($A5,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ISNUMBER(SEARCH($A5, INDEX(AsistenciaJetAdminConcatenada!$D:$D, MATCH(1, (AsistenciaJetAdminConcatenada!$A:$A=FK$2)*(AsistenciaJetAdminConcatenada!$B:$B=FK$1), 0)), 1))),  0.5, 0))</f>
        <v>0</v>
      </c>
      <c r="FL5" s="47">
        <f t="array" ref="FL5">IF(AND(ISNUMBER(MATCH(FL$2, AsistenciaJetAdminConcatenada!$A:$A, 0)), ISNUMBER(MATCH(FL$1, AsistenciaJetAdminConcatenada!$B:$B, 0)), ISNUMBER(SEARCH($A5,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ISNUMBER(SEARCH($A5, INDEX(AsistenciaJetAdminConcatenada!$D:$D, MATCH(1, (AsistenciaJetAdminConcatenada!$A:$A=FL$2)*(AsistenciaJetAdminConcatenada!$B:$B=FL$1), 0)), 1))),  0.5, 0))</f>
        <v>0</v>
      </c>
      <c r="FM5" s="47">
        <f t="array" ref="FM5">IF(AND(ISNUMBER(MATCH(FM$2, AsistenciaJetAdminConcatenada!$A:$A, 0)), ISNUMBER(MATCH(FM$1, AsistenciaJetAdminConcatenada!$B:$B, 0)), ISNUMBER(SEARCH($A5,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ISNUMBER(SEARCH($A5, INDEX(AsistenciaJetAdminConcatenada!$D:$D, MATCH(1, (AsistenciaJetAdminConcatenada!$A:$A=FM$2)*(AsistenciaJetAdminConcatenada!$B:$B=FM$1), 0)), 1))),  0.5, 0))</f>
        <v>0</v>
      </c>
      <c r="FN5" s="47">
        <f t="array" ref="FN5">IF(AND(ISNUMBER(MATCH(FN$2, AsistenciaJetAdminConcatenada!$A:$A, 0)), ISNUMBER(MATCH(FN$1, AsistenciaJetAdminConcatenada!$B:$B, 0)), ISNUMBER(SEARCH($A5,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ISNUMBER(SEARCH($A5, INDEX(AsistenciaJetAdminConcatenada!$D:$D, MATCH(1, (AsistenciaJetAdminConcatenada!$A:$A=FN$2)*(AsistenciaJetAdminConcatenada!$B:$B=FN$1), 0)), 1))),  0.5, 0))</f>
        <v>0</v>
      </c>
      <c r="FO5" s="47">
        <f t="array" ref="FO5">IF(AND(ISNUMBER(MATCH(FO$2, AsistenciaJetAdminConcatenada!$A:$A, 0)), ISNUMBER(MATCH(FO$1, AsistenciaJetAdminConcatenada!$B:$B, 0)), ISNUMBER(SEARCH($A5,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ISNUMBER(SEARCH($A5, INDEX(AsistenciaJetAdminConcatenada!$D:$D, MATCH(1, (AsistenciaJetAdminConcatenada!$A:$A=FO$2)*(AsistenciaJetAdminConcatenada!$B:$B=FO$1), 0)), 1))),  0.5, 0))</f>
        <v>0</v>
      </c>
      <c r="FP5" s="47">
        <f t="array" ref="FP5">IF(AND(ISNUMBER(MATCH(FP$2, AsistenciaJetAdminConcatenada!$A:$A, 0)), ISNUMBER(MATCH(FP$1, AsistenciaJetAdminConcatenada!$B:$B, 0)), ISNUMBER(SEARCH($A5,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ISNUMBER(SEARCH($A5, INDEX(AsistenciaJetAdminConcatenada!$D:$D, MATCH(1, (AsistenciaJetAdminConcatenada!$A:$A=FP$2)*(AsistenciaJetAdminConcatenada!$B:$B=FP$1), 0)), 1))),  0.5, 0))</f>
        <v>0</v>
      </c>
      <c r="FQ5" s="47">
        <f t="array" ref="FQ5">IF(AND(ISNUMBER(MATCH(FQ$2, AsistenciaJetAdminConcatenada!$A:$A, 0)), ISNUMBER(MATCH(FQ$1, AsistenciaJetAdminConcatenada!$B:$B, 0)), ISNUMBER(SEARCH($A5,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ISNUMBER(SEARCH($A5, INDEX(AsistenciaJetAdminConcatenada!$D:$D, MATCH(1, (AsistenciaJetAdminConcatenada!$A:$A=FQ$2)*(AsistenciaJetAdminConcatenada!$B:$B=FQ$1), 0)), 1))),  0.5, 0))</f>
        <v>0</v>
      </c>
      <c r="FR5" s="47">
        <f t="array" ref="FR5">IF(AND(ISNUMBER(MATCH(FR$2, AsistenciaJetAdminConcatenada!$A:$A, 0)), ISNUMBER(MATCH(FR$1, AsistenciaJetAdminConcatenada!$B:$B, 0)), ISNUMBER(SEARCH($A5,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ISNUMBER(SEARCH($A5, INDEX(AsistenciaJetAdminConcatenada!$D:$D, MATCH(1, (AsistenciaJetAdminConcatenada!$A:$A=FR$2)*(AsistenciaJetAdminConcatenada!$B:$B=FR$1), 0)), 1))),  0.5, 0))</f>
        <v>0</v>
      </c>
      <c r="FS5" s="47">
        <f t="array" ref="FS5">IF(AND(ISNUMBER(MATCH(FS$2, AsistenciaJetAdminConcatenada!$A:$A, 0)), ISNUMBER(MATCH(FS$1, AsistenciaJetAdminConcatenada!$B:$B, 0)), ISNUMBER(SEARCH($A5,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ISNUMBER(SEARCH($A5, INDEX(AsistenciaJetAdminConcatenada!$D:$D, MATCH(1, (AsistenciaJetAdminConcatenada!$A:$A=FS$2)*(AsistenciaJetAdminConcatenada!$B:$B=FS$1), 0)), 1))),  0.5, 0))</f>
        <v>0</v>
      </c>
      <c r="FT5" s="47">
        <f t="array" ref="FT5">IF(AND(ISNUMBER(MATCH(FT$2, AsistenciaJetAdminConcatenada!$A:$A, 0)), ISNUMBER(MATCH(FT$1, AsistenciaJetAdminConcatenada!$B:$B, 0)), ISNUMBER(SEARCH($A5,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ISNUMBER(SEARCH($A5, INDEX(AsistenciaJetAdminConcatenada!$D:$D, MATCH(1, (AsistenciaJetAdminConcatenada!$A:$A=FT$2)*(AsistenciaJetAdminConcatenada!$B:$B=FT$1), 0)), 1))),  0.5, 0))</f>
        <v>0</v>
      </c>
      <c r="FU5" s="47">
        <f t="array" ref="FU5">IF(AND(ISNUMBER(MATCH(FU$2, AsistenciaJetAdminConcatenada!$A:$A, 0)), ISNUMBER(MATCH(FU$1, AsistenciaJetAdminConcatenada!$B:$B, 0)), ISNUMBER(SEARCH($A5,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ISNUMBER(SEARCH($A5, INDEX(AsistenciaJetAdminConcatenada!$D:$D, MATCH(1, (AsistenciaJetAdminConcatenada!$A:$A=FU$2)*(AsistenciaJetAdminConcatenada!$B:$B=FU$1), 0)), 1))),  0.5, 0))</f>
        <v>0</v>
      </c>
      <c r="FV5" s="47">
        <f t="array" ref="FV5">IF(AND(ISNUMBER(MATCH(FV$2, AsistenciaJetAdminConcatenada!$A:$A, 0)), ISNUMBER(MATCH(FV$1, AsistenciaJetAdminConcatenada!$B:$B, 0)), ISNUMBER(SEARCH($A5,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ISNUMBER(SEARCH($A5, INDEX(AsistenciaJetAdminConcatenada!$D:$D, MATCH(1, (AsistenciaJetAdminConcatenada!$A:$A=FV$2)*(AsistenciaJetAdminConcatenada!$B:$B=FV$1), 0)), 1))),  0.5, 0))</f>
        <v>0</v>
      </c>
      <c r="FW5" s="47">
        <f t="array" ref="FW5">IF(AND(ISNUMBER(MATCH(FW$2, AsistenciaJetAdminConcatenada!$A:$A, 0)), ISNUMBER(MATCH(FW$1, AsistenciaJetAdminConcatenada!$B:$B, 0)), ISNUMBER(SEARCH($A5,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ISNUMBER(SEARCH($A5, INDEX(AsistenciaJetAdminConcatenada!$D:$D, MATCH(1, (AsistenciaJetAdminConcatenada!$A:$A=FW$2)*(AsistenciaJetAdminConcatenada!$B:$B=FW$1), 0)), 1))),  0.5, 0))</f>
        <v>0</v>
      </c>
      <c r="FX5" s="47">
        <f t="array" ref="FX5">IF(AND(ISNUMBER(MATCH(FX$2, AsistenciaJetAdminConcatenada!$A:$A, 0)), ISNUMBER(MATCH(FX$1, AsistenciaJetAdminConcatenada!$B:$B, 0)), ISNUMBER(SEARCH($A5,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ISNUMBER(SEARCH($A5, INDEX(AsistenciaJetAdminConcatenada!$D:$D, MATCH(1, (AsistenciaJetAdminConcatenada!$A:$A=FX$2)*(AsistenciaJetAdminConcatenada!$B:$B=FX$1), 0)), 1))),  0.5, 0))</f>
        <v>0</v>
      </c>
      <c r="FY5" s="47">
        <f t="array" ref="FY5">IF(AND(ISNUMBER(MATCH(FY$2, AsistenciaJetAdminConcatenada!$A:$A, 0)), ISNUMBER(MATCH(FY$1, AsistenciaJetAdminConcatenada!$B:$B, 0)), ISNUMBER(SEARCH($A5,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ISNUMBER(SEARCH($A5, INDEX(AsistenciaJetAdminConcatenada!$D:$D, MATCH(1, (AsistenciaJetAdminConcatenada!$A:$A=FY$2)*(AsistenciaJetAdminConcatenada!$B:$B=FY$1), 0)), 1))),  0.5, 0))</f>
        <v>0</v>
      </c>
      <c r="FZ5" s="47">
        <f t="array" ref="FZ5">IF(AND(ISNUMBER(MATCH(FZ$2, AsistenciaJetAdminConcatenada!$A:$A, 0)), ISNUMBER(MATCH(FZ$1, AsistenciaJetAdminConcatenada!$B:$B, 0)), ISNUMBER(SEARCH($A5,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ISNUMBER(SEARCH($A5, INDEX(AsistenciaJetAdminConcatenada!$D:$D, MATCH(1, (AsistenciaJetAdminConcatenada!$A:$A=FZ$2)*(AsistenciaJetAdminConcatenada!$B:$B=FZ$1), 0)), 1))),  0.5, 0))</f>
        <v>0</v>
      </c>
      <c r="GA5" s="47">
        <f t="array" ref="GA5">IF(AND(ISNUMBER(MATCH(GA$2, AsistenciaJetAdminConcatenada!$A:$A, 0)), ISNUMBER(MATCH(GA$1, AsistenciaJetAdminConcatenada!$B:$B, 0)), ISNUMBER(SEARCH($A5,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ISNUMBER(SEARCH($A5, INDEX(AsistenciaJetAdminConcatenada!$D:$D, MATCH(1, (AsistenciaJetAdminConcatenada!$A:$A=GA$2)*(AsistenciaJetAdminConcatenada!$B:$B=GA$1), 0)), 1))),  0.5, 0))</f>
        <v>0</v>
      </c>
      <c r="GB5" s="47">
        <f t="array" ref="GB5">IF(AND(ISNUMBER(MATCH(GB$2, AsistenciaJetAdminConcatenada!$A:$A, 0)), ISNUMBER(MATCH(GB$1, AsistenciaJetAdminConcatenada!$B:$B, 0)), ISNUMBER(SEARCH($A5,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ISNUMBER(SEARCH($A5, INDEX(AsistenciaJetAdminConcatenada!$D:$D, MATCH(1, (AsistenciaJetAdminConcatenada!$A:$A=GB$2)*(AsistenciaJetAdminConcatenada!$B:$B=GB$1), 0)), 1))),  0.5, 0))</f>
        <v>0</v>
      </c>
      <c r="GC5" s="47">
        <f t="array" ref="GC5">IF(AND(ISNUMBER(MATCH(GC$2, AsistenciaJetAdminConcatenada!$A:$A, 0)), ISNUMBER(MATCH(GC$1, AsistenciaJetAdminConcatenada!$B:$B, 0)), ISNUMBER(SEARCH($A5,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ISNUMBER(SEARCH($A5, INDEX(AsistenciaJetAdminConcatenada!$D:$D, MATCH(1, (AsistenciaJetAdminConcatenada!$A:$A=GC$2)*(AsistenciaJetAdminConcatenada!$B:$B=GC$1), 0)), 1))),  0.5, 0))</f>
        <v>0</v>
      </c>
      <c r="GD5" s="47">
        <f t="array" ref="GD5">IF(AND(ISNUMBER(MATCH(GD$2, AsistenciaJetAdminConcatenada!$A:$A, 0)), ISNUMBER(MATCH(GD$1, AsistenciaJetAdminConcatenada!$B:$B, 0)), ISNUMBER(SEARCH($A5,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ISNUMBER(SEARCH($A5, INDEX(AsistenciaJetAdminConcatenada!$D:$D, MATCH(1, (AsistenciaJetAdminConcatenada!$A:$A=GD$2)*(AsistenciaJetAdminConcatenada!$B:$B=GD$1), 0)), 1))),  0.5, 0))</f>
        <v>0</v>
      </c>
      <c r="GE5" s="47">
        <f t="array" ref="GE5">IF(AND(ISNUMBER(MATCH(GE$2, AsistenciaJetAdminConcatenada!$A:$A, 0)), ISNUMBER(MATCH(GE$1, AsistenciaJetAdminConcatenada!$B:$B, 0)), ISNUMBER(SEARCH($A5,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ISNUMBER(SEARCH($A5, INDEX(AsistenciaJetAdminConcatenada!$D:$D, MATCH(1, (AsistenciaJetAdminConcatenada!$A:$A=GE$2)*(AsistenciaJetAdminConcatenada!$B:$B=GE$1), 0)), 1))),  0.5, 0))</f>
        <v>0</v>
      </c>
      <c r="GF5" s="47">
        <f t="array" ref="GF5">IF(AND(ISNUMBER(MATCH(GF$2, AsistenciaJetAdminConcatenada!$A:$A, 0)), ISNUMBER(MATCH(GF$1, AsistenciaJetAdminConcatenada!$B:$B, 0)), ISNUMBER(SEARCH($A5,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ISNUMBER(SEARCH($A5, INDEX(AsistenciaJetAdminConcatenada!$D:$D, MATCH(1, (AsistenciaJetAdminConcatenada!$A:$A=GF$2)*(AsistenciaJetAdminConcatenada!$B:$B=GF$1), 0)), 1))),  0.5, 0))</f>
        <v>0</v>
      </c>
      <c r="GG5" s="47">
        <f t="array" ref="GG5">IF(AND(ISNUMBER(MATCH(GG$2, AsistenciaJetAdminConcatenada!$A:$A, 0)), ISNUMBER(MATCH(GG$1, AsistenciaJetAdminConcatenada!$B:$B, 0)), ISNUMBER(SEARCH($A5,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ISNUMBER(SEARCH($A5, INDEX(AsistenciaJetAdminConcatenada!$D:$D, MATCH(1, (AsistenciaJetAdminConcatenada!$A:$A=GG$2)*(AsistenciaJetAdminConcatenada!$B:$B=GG$1), 0)), 1))),  0.5, 0))</f>
        <v>0</v>
      </c>
      <c r="GH5" s="47">
        <f t="array" ref="GH5">IF(AND(ISNUMBER(MATCH(GH$2, AsistenciaJetAdminConcatenada!$A:$A, 0)), ISNUMBER(MATCH(GH$1, AsistenciaJetAdminConcatenada!$B:$B, 0)), ISNUMBER(SEARCH($A5,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ISNUMBER(SEARCH($A5, INDEX(AsistenciaJetAdminConcatenada!$D:$D, MATCH(1, (AsistenciaJetAdminConcatenada!$A:$A=GH$2)*(AsistenciaJetAdminConcatenada!$B:$B=GH$1), 0)), 1))),  0.5, 0))</f>
        <v>0</v>
      </c>
      <c r="GI5" s="47">
        <f t="array" ref="GI5">IF(AND(ISNUMBER(MATCH(GI$2, AsistenciaJetAdminConcatenada!$A:$A, 0)), ISNUMBER(MATCH(GI$1, AsistenciaJetAdminConcatenada!$B:$B, 0)), ISNUMBER(SEARCH($A5,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ISNUMBER(SEARCH($A5, INDEX(AsistenciaJetAdminConcatenada!$D:$D, MATCH(1, (AsistenciaJetAdminConcatenada!$A:$A=GI$2)*(AsistenciaJetAdminConcatenada!$B:$B=GI$1), 0)), 1))),  0.5, 0))</f>
        <v>0</v>
      </c>
      <c r="GJ5" s="47">
        <f t="array" ref="GJ5">IF(AND(ISNUMBER(MATCH(GJ$2, AsistenciaJetAdminConcatenada!$A:$A, 0)), ISNUMBER(MATCH(GJ$1, AsistenciaJetAdminConcatenada!$B:$B, 0)), ISNUMBER(SEARCH($A5,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ISNUMBER(SEARCH($A5, INDEX(AsistenciaJetAdminConcatenada!$D:$D, MATCH(1, (AsistenciaJetAdminConcatenada!$A:$A=GJ$2)*(AsistenciaJetAdminConcatenada!$B:$B=GJ$1), 0)), 1))),  0.5, 0))</f>
        <v>0</v>
      </c>
      <c r="GK5" s="47">
        <f t="array" ref="GK5">IF(AND(ISNUMBER(MATCH(GK$2, AsistenciaJetAdminConcatenada!$A:$A, 0)), ISNUMBER(MATCH(GK$1, AsistenciaJetAdminConcatenada!$B:$B, 0)), ISNUMBER(SEARCH($A5,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ISNUMBER(SEARCH($A5, INDEX(AsistenciaJetAdminConcatenada!$D:$D, MATCH(1, (AsistenciaJetAdminConcatenada!$A:$A=GK$2)*(AsistenciaJetAdminConcatenada!$B:$B=GK$1), 0)), 1))),  0.5, 0))</f>
        <v>0</v>
      </c>
      <c r="GL5" s="47">
        <f t="array" ref="GL5">IF(AND(ISNUMBER(MATCH(GL$2, AsistenciaJetAdminConcatenada!$A:$A, 0)), ISNUMBER(MATCH(GL$1, AsistenciaJetAdminConcatenada!$B:$B, 0)), ISNUMBER(SEARCH($A5,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ISNUMBER(SEARCH($A5, INDEX(AsistenciaJetAdminConcatenada!$D:$D, MATCH(1, (AsistenciaJetAdminConcatenada!$A:$A=GL$2)*(AsistenciaJetAdminConcatenada!$B:$B=GL$1), 0)), 1))),  0.5, 0))</f>
        <v>0</v>
      </c>
      <c r="GM5" s="47">
        <f t="array" ref="GM5">IF(AND(ISNUMBER(MATCH(GM$2, AsistenciaJetAdminConcatenada!$A:$A, 0)), ISNUMBER(MATCH(GM$1, AsistenciaJetAdminConcatenada!$B:$B, 0)), ISNUMBER(SEARCH($A5,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ISNUMBER(SEARCH($A5, INDEX(AsistenciaJetAdminConcatenada!$D:$D, MATCH(1, (AsistenciaJetAdminConcatenada!$A:$A=GM$2)*(AsistenciaJetAdminConcatenada!$B:$B=GM$1), 0)), 1))),  0.5, 0))</f>
        <v>0</v>
      </c>
      <c r="GN5" s="47">
        <f t="array" ref="GN5">IF(AND(ISNUMBER(MATCH(GN$2, AsistenciaJetAdminConcatenada!$A:$A, 0)), ISNUMBER(MATCH(GN$1, AsistenciaJetAdminConcatenada!$B:$B, 0)), ISNUMBER(SEARCH($A5,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ISNUMBER(SEARCH($A5, INDEX(AsistenciaJetAdminConcatenada!$D:$D, MATCH(1, (AsistenciaJetAdminConcatenada!$A:$A=GN$2)*(AsistenciaJetAdminConcatenada!$B:$B=GN$1), 0)), 1))),  0.5, 0))</f>
        <v>0</v>
      </c>
      <c r="GO5" s="47">
        <f t="array" ref="GO5">IF(AND(ISNUMBER(MATCH(GO$2, AsistenciaJetAdminConcatenada!$A:$A, 0)), ISNUMBER(MATCH(GO$1, AsistenciaJetAdminConcatenada!$B:$B, 0)), ISNUMBER(SEARCH($A5,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ISNUMBER(SEARCH($A5, INDEX(AsistenciaJetAdminConcatenada!$D:$D, MATCH(1, (AsistenciaJetAdminConcatenada!$A:$A=GO$2)*(AsistenciaJetAdminConcatenada!$B:$B=GO$1), 0)), 1))),  0.5, 0))</f>
        <v>0</v>
      </c>
      <c r="GP5" s="47">
        <f t="array" ref="GP5">IF(AND(ISNUMBER(MATCH(GP$2, AsistenciaJetAdminConcatenada!$A:$A, 0)), ISNUMBER(MATCH(GP$1, AsistenciaJetAdminConcatenada!$B:$B, 0)), ISNUMBER(SEARCH($A5,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ISNUMBER(SEARCH($A5, INDEX(AsistenciaJetAdminConcatenada!$D:$D, MATCH(1, (AsistenciaJetAdminConcatenada!$A:$A=GP$2)*(AsistenciaJetAdminConcatenada!$B:$B=GP$1), 0)), 1))),  0.5, 0))</f>
        <v>0</v>
      </c>
      <c r="GQ5" s="47">
        <f t="array" ref="GQ5">IF(AND(ISNUMBER(MATCH(GQ$2, AsistenciaJetAdminConcatenada!$A:$A, 0)), ISNUMBER(MATCH(GQ$1, AsistenciaJetAdminConcatenada!$B:$B, 0)), ISNUMBER(SEARCH($A5,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ISNUMBER(SEARCH($A5, INDEX(AsistenciaJetAdminConcatenada!$D:$D, MATCH(1, (AsistenciaJetAdminConcatenada!$A:$A=GQ$2)*(AsistenciaJetAdminConcatenada!$B:$B=GQ$1), 0)), 1))),  0.5, 0))</f>
        <v>0</v>
      </c>
      <c r="GR5" s="47">
        <f t="array" ref="GR5">IF(AND(ISNUMBER(MATCH(GR$2, AsistenciaJetAdminConcatenada!$A:$A, 0)), ISNUMBER(MATCH(GR$1, AsistenciaJetAdminConcatenada!$B:$B, 0)), ISNUMBER(SEARCH($A5,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ISNUMBER(SEARCH($A5, INDEX(AsistenciaJetAdminConcatenada!$D:$D, MATCH(1, (AsistenciaJetAdminConcatenada!$A:$A=GR$2)*(AsistenciaJetAdminConcatenada!$B:$B=GR$1), 0)), 1))),  0.5, 0))</f>
        <v>0</v>
      </c>
      <c r="GS5" s="47">
        <f t="array" ref="GS5">IF(AND(ISNUMBER(MATCH(GS$2, AsistenciaJetAdminConcatenada!$A:$A, 0)), ISNUMBER(MATCH(GS$1, AsistenciaJetAdminConcatenada!$B:$B, 0)), ISNUMBER(SEARCH($A5,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ISNUMBER(SEARCH($A5, INDEX(AsistenciaJetAdminConcatenada!$D:$D, MATCH(1, (AsistenciaJetAdminConcatenada!$A:$A=GS$2)*(AsistenciaJetAdminConcatenada!$B:$B=GS$1), 0)), 1))),  0.5, 0))</f>
        <v>0</v>
      </c>
      <c r="GT5" s="47">
        <f t="array" ref="GT5">IF(AND(ISNUMBER(MATCH(GT$2, AsistenciaJetAdminConcatenada!$A:$A, 0)), ISNUMBER(MATCH(GT$1, AsistenciaJetAdminConcatenada!$B:$B, 0)), ISNUMBER(SEARCH($A5,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ISNUMBER(SEARCH($A5, INDEX(AsistenciaJetAdminConcatenada!$D:$D, MATCH(1, (AsistenciaJetAdminConcatenada!$A:$A=GT$2)*(AsistenciaJetAdminConcatenada!$B:$B=GT$1), 0)), 1))),  0.5, 0))</f>
        <v>0</v>
      </c>
      <c r="GU5" s="47">
        <f t="array" ref="GU5">IF(AND(ISNUMBER(MATCH(GU$2, AsistenciaJetAdminConcatenada!$A:$A, 0)), ISNUMBER(MATCH(GU$1, AsistenciaJetAdminConcatenada!$B:$B, 0)), ISNUMBER(SEARCH($A5,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ISNUMBER(SEARCH($A5, INDEX(AsistenciaJetAdminConcatenada!$D:$D, MATCH(1, (AsistenciaJetAdminConcatenada!$A:$A=GU$2)*(AsistenciaJetAdminConcatenada!$B:$B=GU$1), 0)), 1))),  0.5, 0))</f>
        <v>0</v>
      </c>
      <c r="GV5" s="47">
        <f t="array" ref="GV5">IF(AND(ISNUMBER(MATCH(GV$2, AsistenciaJetAdminConcatenada!$A:$A, 0)), ISNUMBER(MATCH(GV$1, AsistenciaJetAdminConcatenada!$B:$B, 0)), ISNUMBER(SEARCH($A5,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ISNUMBER(SEARCH($A5, INDEX(AsistenciaJetAdminConcatenada!$D:$D, MATCH(1, (AsistenciaJetAdminConcatenada!$A:$A=GV$2)*(AsistenciaJetAdminConcatenada!$B:$B=GV$1), 0)), 1))),  0.5, 0))</f>
        <v>0</v>
      </c>
      <c r="GW5" s="47">
        <f t="array" ref="GW5">IF(AND(ISNUMBER(MATCH(GW$2, AsistenciaJetAdminConcatenada!$A:$A, 0)), ISNUMBER(MATCH(GW$1, AsistenciaJetAdminConcatenada!$B:$B, 0)), ISNUMBER(SEARCH($A5,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ISNUMBER(SEARCH($A5, INDEX(AsistenciaJetAdminConcatenada!$D:$D, MATCH(1, (AsistenciaJetAdminConcatenada!$A:$A=GW$2)*(AsistenciaJetAdminConcatenada!$B:$B=GW$1), 0)), 1))),  0.5, 0))</f>
        <v>0</v>
      </c>
      <c r="GX5" s="47">
        <f t="array" ref="GX5">IF(AND(ISNUMBER(MATCH(GX$2, AsistenciaJetAdminConcatenada!$A:$A, 0)), ISNUMBER(MATCH(GX$1, AsistenciaJetAdminConcatenada!$B:$B, 0)), ISNUMBER(SEARCH($A5,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ISNUMBER(SEARCH($A5, INDEX(AsistenciaJetAdminConcatenada!$D:$D, MATCH(1, (AsistenciaJetAdminConcatenada!$A:$A=GX$2)*(AsistenciaJetAdminConcatenada!$B:$B=GX$1), 0)), 1))),  0.5, 0))</f>
        <v>0</v>
      </c>
      <c r="GY5" s="47">
        <f t="array" ref="GY5">IF(AND(ISNUMBER(MATCH(GY$2, AsistenciaJetAdminConcatenada!$A:$A, 0)), ISNUMBER(MATCH(GY$1, AsistenciaJetAdminConcatenada!$B:$B, 0)), ISNUMBER(SEARCH($A5,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ISNUMBER(SEARCH($A5, INDEX(AsistenciaJetAdminConcatenada!$D:$D, MATCH(1, (AsistenciaJetAdminConcatenada!$A:$A=GY$2)*(AsistenciaJetAdminConcatenada!$B:$B=GY$1), 0)), 1))),  0.5, 0))</f>
        <v>0</v>
      </c>
      <c r="GZ5" s="47">
        <f t="array" ref="GZ5">IF(AND(ISNUMBER(MATCH(GZ$2, AsistenciaJetAdminConcatenada!$A:$A, 0)), ISNUMBER(MATCH(GZ$1, AsistenciaJetAdminConcatenada!$B:$B, 0)), ISNUMBER(SEARCH($A5,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ISNUMBER(SEARCH($A5, INDEX(AsistenciaJetAdminConcatenada!$D:$D, MATCH(1, (AsistenciaJetAdminConcatenada!$A:$A=GZ$2)*(AsistenciaJetAdminConcatenada!$B:$B=GZ$1), 0)), 1))),  0.5, 0))</f>
        <v>0</v>
      </c>
      <c r="HA5" s="47">
        <f t="array" ref="HA5">IF(AND(ISNUMBER(MATCH(HA$2, AsistenciaJetAdminConcatenada!$A:$A, 0)), ISNUMBER(MATCH(HA$1, AsistenciaJetAdminConcatenada!$B:$B, 0)), ISNUMBER(SEARCH($A5,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ISNUMBER(SEARCH($A5, INDEX(AsistenciaJetAdminConcatenada!$D:$D, MATCH(1, (AsistenciaJetAdminConcatenada!$A:$A=HA$2)*(AsistenciaJetAdminConcatenada!$B:$B=HA$1), 0)), 1))),  0.5, 0))</f>
        <v>0</v>
      </c>
      <c r="HB5" s="47">
        <f t="array" ref="HB5">IF(AND(ISNUMBER(MATCH(HB$2, AsistenciaJetAdminConcatenada!$A:$A, 0)), ISNUMBER(MATCH(HB$1, AsistenciaJetAdminConcatenada!$B:$B, 0)), ISNUMBER(SEARCH($A5,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ISNUMBER(SEARCH($A5, INDEX(AsistenciaJetAdminConcatenada!$D:$D, MATCH(1, (AsistenciaJetAdminConcatenada!$A:$A=HB$2)*(AsistenciaJetAdminConcatenada!$B:$B=HB$1), 0)), 1))),  0.5, 0))</f>
        <v>0</v>
      </c>
      <c r="HC5" s="47">
        <f t="array" ref="HC5">IF(AND(ISNUMBER(MATCH(HC$2, AsistenciaJetAdminConcatenada!$A:$A, 0)), ISNUMBER(MATCH(HC$1, AsistenciaJetAdminConcatenada!$B:$B, 0)), ISNUMBER(SEARCH($A5,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ISNUMBER(SEARCH($A5, INDEX(AsistenciaJetAdminConcatenada!$D:$D, MATCH(1, (AsistenciaJetAdminConcatenada!$A:$A=HC$2)*(AsistenciaJetAdminConcatenada!$B:$B=HC$1), 0)), 1))),  0.5, 0))</f>
        <v>0</v>
      </c>
    </row>
    <row r="6" ht="29.25" customHeight="1">
      <c r="A6" s="3">
        <v>116.0</v>
      </c>
      <c r="B6" s="4" t="s">
        <v>725</v>
      </c>
      <c r="C6" s="47">
        <f>SUM(D6:HC6) + ActividadesEspeciales!C6</f>
        <v>78</v>
      </c>
      <c r="D6" s="47">
        <f t="array" ref="D6">IF(AND(ISNUMBER(MATCH(D$2, AsistenciaJetAdminConcatenada!$A:$A, 0)), ISNUMBER(MATCH(D$1, AsistenciaJetAdminConcatenada!$B:$B, 0)), ISNUMBER(SEARCH($A6,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ISNUMBER(SEARCH($A6, INDEX(AsistenciaJetAdminConcatenada!$D:$D, MATCH(1, (AsistenciaJetAdminConcatenada!$A:$A=D$2)*(AsistenciaJetAdminConcatenada!$B:$B=D$1), 0)), 1))),  0.5, 0))</f>
        <v>1</v>
      </c>
      <c r="E6" s="47">
        <f t="array" ref="E6">IF(AND(ISNUMBER(MATCH(E$2, AsistenciaJetAdminConcatenada!$A:$A, 0)), ISNUMBER(MATCH(E$1, AsistenciaJetAdminConcatenada!$B:$B, 0)), ISNUMBER(SEARCH($A6,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ISNUMBER(SEARCH($A6, INDEX(AsistenciaJetAdminConcatenada!$D:$D, MATCH(1, (AsistenciaJetAdminConcatenada!$A:$A=E$2)*(AsistenciaJetAdminConcatenada!$B:$B=E$1), 0)), 1))),  0.5, 0))</f>
        <v>1</v>
      </c>
      <c r="F6" s="47">
        <f t="array" ref="F6">IF(AND(ISNUMBER(MATCH(F$2, AsistenciaJetAdminConcatenada!$A:$A, 0)), ISNUMBER(MATCH(F$1, AsistenciaJetAdminConcatenada!$B:$B, 0)), ISNUMBER(SEARCH($A6,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ISNUMBER(SEARCH($A6, INDEX(AsistenciaJetAdminConcatenada!$D:$D, MATCH(1, (AsistenciaJetAdminConcatenada!$A:$A=F$2)*(AsistenciaJetAdminConcatenada!$B:$B=F$1), 0)), 1))),  0.5, 0))</f>
        <v>1</v>
      </c>
      <c r="G6" s="47">
        <f t="array" ref="G6">IF(AND(ISNUMBER(MATCH(G$2, AsistenciaJetAdminConcatenada!$A:$A, 0)), ISNUMBER(MATCH(G$1, AsistenciaJetAdminConcatenada!$B:$B, 0)), ISNUMBER(SEARCH($A6,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ISNUMBER(SEARCH($A6, INDEX(AsistenciaJetAdminConcatenada!$D:$D, MATCH(1, (AsistenciaJetAdminConcatenada!$A:$A=G$2)*(AsistenciaJetAdminConcatenada!$B:$B=G$1), 0)), 1))),  0.5, 0))</f>
        <v>1</v>
      </c>
      <c r="H6" s="47">
        <f t="array" ref="H6">IF(AND(ISNUMBER(MATCH(H$2, AsistenciaJetAdminConcatenada!$A:$A, 0)), ISNUMBER(MATCH(H$1, AsistenciaJetAdminConcatenada!$B:$B, 0)), ISNUMBER(SEARCH($A6,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ISNUMBER(SEARCH($A6, INDEX(AsistenciaJetAdminConcatenada!$D:$D, MATCH(1, (AsistenciaJetAdminConcatenada!$A:$A=H$2)*(AsistenciaJetAdminConcatenada!$B:$B=H$1), 0)), 1))),  0.5, 0))</f>
        <v>1</v>
      </c>
      <c r="I6" s="47">
        <f t="array" ref="I6">IF(AND(ISNUMBER(MATCH(I$2, AsistenciaJetAdminConcatenada!$A:$A, 0)), ISNUMBER(MATCH(I$1, AsistenciaJetAdminConcatenada!$B:$B, 0)), ISNUMBER(SEARCH($A6,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ISNUMBER(SEARCH($A6, INDEX(AsistenciaJetAdminConcatenada!$D:$D, MATCH(1, (AsistenciaJetAdminConcatenada!$A:$A=I$2)*(AsistenciaJetAdminConcatenada!$B:$B=I$1), 0)), 1))),  0.5, 0))</f>
        <v>1</v>
      </c>
      <c r="J6" s="47">
        <f t="array" ref="J6">IF(AND(ISNUMBER(MATCH(J$2, AsistenciaJetAdminConcatenada!$A:$A, 0)), ISNUMBER(MATCH(J$1, AsistenciaJetAdminConcatenada!$B:$B, 0)), ISNUMBER(SEARCH($A6,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ISNUMBER(SEARCH($A6, INDEX(AsistenciaJetAdminConcatenada!$D:$D, MATCH(1, (AsistenciaJetAdminConcatenada!$A:$A=J$2)*(AsistenciaJetAdminConcatenada!$B:$B=J$1), 0)), 1))),  0.5, 0))</f>
        <v>1</v>
      </c>
      <c r="K6" s="47">
        <f t="array" ref="K6">IF(AND(ISNUMBER(MATCH(K$2, AsistenciaJetAdminConcatenada!$A:$A, 0)), ISNUMBER(MATCH(K$1, AsistenciaJetAdminConcatenada!$B:$B, 0)), ISNUMBER(SEARCH($A6,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ISNUMBER(SEARCH($A6, INDEX(AsistenciaJetAdminConcatenada!$D:$D, MATCH(1, (AsistenciaJetAdminConcatenada!$A:$A=K$2)*(AsistenciaJetAdminConcatenada!$B:$B=K$1), 0)), 1))),  0.5, 0))</f>
        <v>1</v>
      </c>
      <c r="L6" s="47">
        <f t="array" ref="L6">IF(AND(ISNUMBER(MATCH(L$2, AsistenciaJetAdminConcatenada!$A:$A, 0)), ISNUMBER(MATCH(L$1, AsistenciaJetAdminConcatenada!$B:$B, 0)), ISNUMBER(SEARCH($A6,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ISNUMBER(SEARCH($A6, INDEX(AsistenciaJetAdminConcatenada!$D:$D, MATCH(1, (AsistenciaJetAdminConcatenada!$A:$A=L$2)*(AsistenciaJetAdminConcatenada!$B:$B=L$1), 0)), 1))),  0.5, 0))</f>
        <v>0</v>
      </c>
      <c r="M6" s="47">
        <f t="array" ref="M6">IF(AND(ISNUMBER(MATCH(M$2, AsistenciaJetAdminConcatenada!$A:$A, 0)), ISNUMBER(MATCH(M$1, AsistenciaJetAdminConcatenada!$B:$B, 0)), ISNUMBER(SEARCH($A6,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ISNUMBER(SEARCH($A6, INDEX(AsistenciaJetAdminConcatenada!$D:$D, MATCH(1, (AsistenciaJetAdminConcatenada!$A:$A=M$2)*(AsistenciaJetAdminConcatenada!$B:$B=M$1), 0)), 1))),  0.5, 0))</f>
        <v>1</v>
      </c>
      <c r="N6" s="47">
        <f t="array" ref="N6">IF(AND(ISNUMBER(MATCH(N$2, AsistenciaJetAdminConcatenada!$A:$A, 0)), ISNUMBER(MATCH(N$1, AsistenciaJetAdminConcatenada!$B:$B, 0)), ISNUMBER(SEARCH($A6,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ISNUMBER(SEARCH($A6, INDEX(AsistenciaJetAdminConcatenada!$D:$D, MATCH(1, (AsistenciaJetAdminConcatenada!$A:$A=N$2)*(AsistenciaJetAdminConcatenada!$B:$B=N$1), 0)), 1))),  0.5, 0))</f>
        <v>1</v>
      </c>
      <c r="O6" s="47">
        <f t="array" ref="O6">IF(AND(ISNUMBER(MATCH(O$2, AsistenciaJetAdminConcatenada!$A:$A, 0)), ISNUMBER(MATCH(O$1, AsistenciaJetAdminConcatenada!$B:$B, 0)), ISNUMBER(SEARCH($A6,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ISNUMBER(SEARCH($A6, INDEX(AsistenciaJetAdminConcatenada!$D:$D, MATCH(1, (AsistenciaJetAdminConcatenada!$A:$A=O$2)*(AsistenciaJetAdminConcatenada!$B:$B=O$1), 0)), 1))),  0.5, 0))</f>
        <v>0</v>
      </c>
      <c r="P6" s="47">
        <f t="array" ref="P6">IF(AND(ISNUMBER(MATCH(P$2, AsistenciaJetAdminConcatenada!$A:$A, 0)), ISNUMBER(MATCH(P$1, AsistenciaJetAdminConcatenada!$B:$B, 0)), ISNUMBER(SEARCH($A6, INDEX(AsistenciaJetAdminConcatenada!$C:$C, MATCH(1, (AsistenciaJetAdminConcatenada!$A:$A=P$2)*(AsistenciaJetAdminConcatenada!$B:$B=P$1), 0)), 1))), 1, IF(AND(ISNUMBER(MATCH(P$2, AsistenciaJetAdminConcatenada!$A:$A, 0)), ISNUMBER(MATCH(P$1, AsistenciaJetAdminConcatenada!$B:$B, 0)), ISNUMBER(SEARCH($A6, INDEX(AsistenciaJetAdminConcatenada!$D:$D, MATCH(1, (AsistenciaJetAdminConcatenada!$A:$A=P$2)*(AsistenciaJetAdminConcatenada!$B:$B=P$1), 0)), 1))),  0.5, 0))</f>
        <v>1</v>
      </c>
      <c r="Q6" s="47">
        <f t="array" ref="Q6">IF(AND(ISNUMBER(MATCH(Q$2, AsistenciaJetAdminConcatenada!$A:$A, 0)), ISNUMBER(MATCH(Q$1, AsistenciaJetAdminConcatenada!$B:$B, 0)), ISNUMBER(SEARCH($A6, INDEX(AsistenciaJetAdminConcatenada!$C:$C, MATCH(1, (AsistenciaJetAdminConcatenada!$A:$A=Q$2)*(AsistenciaJetAdminConcatenada!$B:$B=Q$1), 0)), 1))), 1, IF(AND(ISNUMBER(MATCH(Q$2, AsistenciaJetAdminConcatenada!$A:$A, 0)), ISNUMBER(MATCH(Q$1, AsistenciaJetAdminConcatenada!$B:$B, 0)), ISNUMBER(SEARCH($A6, INDEX(AsistenciaJetAdminConcatenada!$D:$D, MATCH(1, (AsistenciaJetAdminConcatenada!$A:$A=Q$2)*(AsistenciaJetAdminConcatenada!$B:$B=Q$1), 0)), 1))),  0.5, 0))</f>
        <v>1</v>
      </c>
      <c r="R6" s="47">
        <f t="array" ref="R6">IF(AND(ISNUMBER(MATCH(R$2, AsistenciaJetAdminConcatenada!$A:$A, 0)), ISNUMBER(MATCH(R$1, AsistenciaJetAdminConcatenada!$B:$B, 0)), ISNUMBER(SEARCH($A6,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ISNUMBER(SEARCH($A6, INDEX(AsistenciaJetAdminConcatenada!$D:$D, MATCH(1, (AsistenciaJetAdminConcatenada!$A:$A=R$2)*(AsistenciaJetAdminConcatenada!$B:$B=R$1), 0)), 1))),  0.5, 0))</f>
        <v>1</v>
      </c>
      <c r="S6" s="47">
        <f t="array" ref="S6">IF(AND(ISNUMBER(MATCH(S$2, AsistenciaJetAdminConcatenada!$A:$A, 0)), ISNUMBER(MATCH(S$1, AsistenciaJetAdminConcatenada!$B:$B, 0)), ISNUMBER(SEARCH($A6,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ISNUMBER(SEARCH($A6, INDEX(AsistenciaJetAdminConcatenada!$D:$D, MATCH(1, (AsistenciaJetAdminConcatenada!$A:$A=S$2)*(AsistenciaJetAdminConcatenada!$B:$B=S$1), 0)), 1))),  0.5, 0))</f>
        <v>1</v>
      </c>
      <c r="T6" s="47">
        <f t="array" ref="T6">IF(AND(ISNUMBER(MATCH(T$2, AsistenciaJetAdminConcatenada!$A:$A, 0)), ISNUMBER(MATCH(T$1, AsistenciaJetAdminConcatenada!$B:$B, 0)), ISNUMBER(SEARCH($A6,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ISNUMBER(SEARCH($A6, INDEX(AsistenciaJetAdminConcatenada!$D:$D, MATCH(1, (AsistenciaJetAdminConcatenada!$A:$A=T$2)*(AsistenciaJetAdminConcatenada!$B:$B=T$1), 0)), 1))),  0.5, 0))</f>
        <v>1</v>
      </c>
      <c r="U6" s="47">
        <f t="array" ref="U6">IF(AND(ISNUMBER(MATCH(U$2, AsistenciaJetAdminConcatenada!$A:$A, 0)), ISNUMBER(MATCH(U$1, AsistenciaJetAdminConcatenada!$B:$B, 0)), ISNUMBER(SEARCH($A6,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ISNUMBER(SEARCH($A6, INDEX(AsistenciaJetAdminConcatenada!$D:$D, MATCH(1, (AsistenciaJetAdminConcatenada!$A:$A=U$2)*(AsistenciaJetAdminConcatenada!$B:$B=U$1), 0)), 1))),  0.5, 0))</f>
        <v>1</v>
      </c>
      <c r="V6" s="47">
        <f t="array" ref="V6">IF(AND(ISNUMBER(MATCH(V$2, AsistenciaJetAdminConcatenada!$A:$A, 0)), ISNUMBER(MATCH(V$1, AsistenciaJetAdminConcatenada!$B:$B, 0)), ISNUMBER(SEARCH($A6,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ISNUMBER(SEARCH($A6, INDEX(AsistenciaJetAdminConcatenada!$D:$D, MATCH(1, (AsistenciaJetAdminConcatenada!$A:$A=V$2)*(AsistenciaJetAdminConcatenada!$B:$B=V$1), 0)), 1))),  0.5, 0))</f>
        <v>1</v>
      </c>
      <c r="W6" s="47">
        <f t="array" ref="W6">IF(AND(ISNUMBER(MATCH(W$2, AsistenciaJetAdminConcatenada!$A:$A, 0)), ISNUMBER(MATCH(W$1, AsistenciaJetAdminConcatenada!$B:$B, 0)), ISNUMBER(SEARCH($A6,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ISNUMBER(SEARCH($A6, INDEX(AsistenciaJetAdminConcatenada!$D:$D, MATCH(1, (AsistenciaJetAdminConcatenada!$A:$A=W$2)*(AsistenciaJetAdminConcatenada!$B:$B=W$1), 0)), 1))),  0.5, 0))</f>
        <v>1</v>
      </c>
      <c r="X6" s="47">
        <f t="array" ref="X6">IF(AND(ISNUMBER(MATCH(X$2, AsistenciaJetAdminConcatenada!$A:$A, 0)), ISNUMBER(MATCH(X$1, AsistenciaJetAdminConcatenada!$B:$B, 0)), ISNUMBER(SEARCH($A6,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ISNUMBER(SEARCH($A6, INDEX(AsistenciaJetAdminConcatenada!$D:$D, MATCH(1, (AsistenciaJetAdminConcatenada!$A:$A=X$2)*(AsistenciaJetAdminConcatenada!$B:$B=X$1), 0)), 1))),  0.5, 0))</f>
        <v>1</v>
      </c>
      <c r="Y6" s="47">
        <f t="array" ref="Y6">IF(AND(ISNUMBER(MATCH(Y$2, AsistenciaJetAdminConcatenada!$A:$A, 0)), ISNUMBER(MATCH(Y$1, AsistenciaJetAdminConcatenada!$B:$B, 0)), ISNUMBER(SEARCH($A6,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ISNUMBER(SEARCH($A6, INDEX(AsistenciaJetAdminConcatenada!$D:$D, MATCH(1, (AsistenciaJetAdminConcatenada!$A:$A=Y$2)*(AsistenciaJetAdminConcatenada!$B:$B=Y$1), 0)), 1))),  0.5, 0))</f>
        <v>0</v>
      </c>
      <c r="Z6" s="47">
        <f t="array" ref="Z6">IF(AND(ISNUMBER(MATCH(Z$2, AsistenciaJetAdminConcatenada!$A:$A, 0)), ISNUMBER(MATCH(Z$1, AsistenciaJetAdminConcatenada!$B:$B, 0)), ISNUMBER(SEARCH($A6,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ISNUMBER(SEARCH($A6, INDEX(AsistenciaJetAdminConcatenada!$D:$D, MATCH(1, (AsistenciaJetAdminConcatenada!$A:$A=Z$2)*(AsistenciaJetAdminConcatenada!$B:$B=Z$1), 0)), 1))),  0.5, 0))</f>
        <v>1</v>
      </c>
      <c r="AA6" s="47">
        <f t="array" ref="AA6">IF(AND(ISNUMBER(MATCH(AA$2, AsistenciaJetAdminConcatenada!$A:$A, 0)), ISNUMBER(MATCH(AA$1, AsistenciaJetAdminConcatenada!$B:$B, 0)), ISNUMBER(SEARCH($A6,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ISNUMBER(SEARCH($A6, INDEX(AsistenciaJetAdminConcatenada!$D:$D, MATCH(1, (AsistenciaJetAdminConcatenada!$A:$A=AA$2)*(AsistenciaJetAdminConcatenada!$B:$B=AA$1), 0)), 1))),  0.5, 0))</f>
        <v>1</v>
      </c>
      <c r="AB6" s="47">
        <f t="array" ref="AB6">IF(AND(ISNUMBER(MATCH(AB$2, AsistenciaJetAdminConcatenada!$A:$A, 0)), ISNUMBER(MATCH(AB$1, AsistenciaJetAdminConcatenada!$B:$B, 0)), ISNUMBER(SEARCH($A6,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ISNUMBER(SEARCH($A6, INDEX(AsistenciaJetAdminConcatenada!$D:$D, MATCH(1, (AsistenciaJetAdminConcatenada!$A:$A=AB$2)*(AsistenciaJetAdminConcatenada!$B:$B=AB$1), 0)), 1))),  0.5, 0))</f>
        <v>0</v>
      </c>
      <c r="AC6" s="47">
        <f t="array" ref="AC6">IF(AND(ISNUMBER(MATCH(AC$2, AsistenciaJetAdminConcatenada!$A:$A, 0)), ISNUMBER(MATCH(AC$1, AsistenciaJetAdminConcatenada!$B:$B, 0)), ISNUMBER(SEARCH($A6,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ISNUMBER(SEARCH($A6, INDEX(AsistenciaJetAdminConcatenada!$D:$D, MATCH(1, (AsistenciaJetAdminConcatenada!$A:$A=AC$2)*(AsistenciaJetAdminConcatenada!$B:$B=AC$1), 0)), 1))),  0.5, 0))</f>
        <v>1</v>
      </c>
      <c r="AD6" s="47">
        <f t="array" ref="AD6">IF(AND(ISNUMBER(MATCH(AD$2, AsistenciaJetAdminConcatenada!$A:$A, 0)), ISNUMBER(MATCH(AD$1, AsistenciaJetAdminConcatenada!$B:$B, 0)), ISNUMBER(SEARCH($A6,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ISNUMBER(SEARCH($A6, INDEX(AsistenciaJetAdminConcatenada!$D:$D, MATCH(1, (AsistenciaJetAdminConcatenada!$A:$A=AD$2)*(AsistenciaJetAdminConcatenada!$B:$B=AD$1), 0)), 1))),  0.5, 0))</f>
        <v>1</v>
      </c>
      <c r="AE6" s="47">
        <f t="array" ref="AE6">IF(AND(ISNUMBER(MATCH(AE$2, AsistenciaJetAdminConcatenada!$A:$A, 0)), ISNUMBER(MATCH(AE$1, AsistenciaJetAdminConcatenada!$B:$B, 0)), ISNUMBER(SEARCH($A6,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ISNUMBER(SEARCH($A6, INDEX(AsistenciaJetAdminConcatenada!$D:$D, MATCH(1, (AsistenciaJetAdminConcatenada!$A:$A=AE$2)*(AsistenciaJetAdminConcatenada!$B:$B=AE$1), 0)), 1))),  0.5, 0))</f>
        <v>1</v>
      </c>
      <c r="AF6" s="47">
        <f t="array" ref="AF6">IF(AND(ISNUMBER(MATCH(AF$2, AsistenciaJetAdminConcatenada!$A:$A, 0)), ISNUMBER(MATCH(AF$1, AsistenciaJetAdminConcatenada!$B:$B, 0)), ISNUMBER(SEARCH($A6,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ISNUMBER(SEARCH($A6, INDEX(AsistenciaJetAdminConcatenada!$D:$D, MATCH(1, (AsistenciaJetAdminConcatenada!$A:$A=AF$2)*(AsistenciaJetAdminConcatenada!$B:$B=AF$1), 0)), 1))),  0.5, 0))</f>
        <v>0</v>
      </c>
      <c r="AG6" s="47">
        <f t="array" ref="AG6">IF(AND(ISNUMBER(MATCH(AG$2, AsistenciaJetAdminConcatenada!$A:$A, 0)), ISNUMBER(MATCH(AG$1, AsistenciaJetAdminConcatenada!$B:$B, 0)), ISNUMBER(SEARCH($A6,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ISNUMBER(SEARCH($A6, INDEX(AsistenciaJetAdminConcatenada!$D:$D, MATCH(1, (AsistenciaJetAdminConcatenada!$A:$A=AG$2)*(AsistenciaJetAdminConcatenada!$B:$B=AG$1), 0)), 1))),  0.5, 0))</f>
        <v>1</v>
      </c>
      <c r="AH6" s="47">
        <f t="array" ref="AH6">IF(AND(ISNUMBER(MATCH(AH$2, AsistenciaJetAdminConcatenada!$A:$A, 0)), ISNUMBER(MATCH(AH$1, AsistenciaJetAdminConcatenada!$B:$B, 0)), ISNUMBER(SEARCH($A6,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ISNUMBER(SEARCH($A6, INDEX(AsistenciaJetAdminConcatenada!$D:$D, MATCH(1, (AsistenciaJetAdminConcatenada!$A:$A=AH$2)*(AsistenciaJetAdminConcatenada!$B:$B=AH$1), 0)), 1))),  0.5, 0))</f>
        <v>0</v>
      </c>
      <c r="AI6" s="47">
        <f t="array" ref="AI6">IF(AND(ISNUMBER(MATCH(AI$2, AsistenciaJetAdminConcatenada!$A:$A, 0)), ISNUMBER(MATCH(AI$1, AsistenciaJetAdminConcatenada!$B:$B, 0)), ISNUMBER(SEARCH($A6,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ISNUMBER(SEARCH($A6, INDEX(AsistenciaJetAdminConcatenada!$D:$D, MATCH(1, (AsistenciaJetAdminConcatenada!$A:$A=AI$2)*(AsistenciaJetAdminConcatenada!$B:$B=AI$1), 0)), 1))),  0.5, 0))</f>
        <v>1</v>
      </c>
      <c r="AJ6" s="47">
        <f t="array" ref="AJ6">IF(AND(ISNUMBER(MATCH(AJ$2, AsistenciaJetAdminConcatenada!$A:$A, 0)), ISNUMBER(MATCH(AJ$1, AsistenciaJetAdminConcatenada!$B:$B, 0)), ISNUMBER(SEARCH($A6,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ISNUMBER(SEARCH($A6, INDEX(AsistenciaJetAdminConcatenada!$D:$D, MATCH(1, (AsistenciaJetAdminConcatenada!$A:$A=AJ$2)*(AsistenciaJetAdminConcatenada!$B:$B=AJ$1), 0)), 1))),  0.5, 0))</f>
        <v>1</v>
      </c>
      <c r="AK6" s="47">
        <f t="array" ref="AK6">IF(AND(ISNUMBER(MATCH(AK$2, AsistenciaJetAdminConcatenada!$A:$A, 0)), ISNUMBER(MATCH(AK$1, AsistenciaJetAdminConcatenada!$B:$B, 0)), ISNUMBER(SEARCH($A6,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ISNUMBER(SEARCH($A6, INDEX(AsistenciaJetAdminConcatenada!$D:$D, MATCH(1, (AsistenciaJetAdminConcatenada!$A:$A=AK$2)*(AsistenciaJetAdminConcatenada!$B:$B=AK$1), 0)), 1))),  0.5, 0))</f>
        <v>0</v>
      </c>
      <c r="AL6" s="47">
        <f t="array" ref="AL6">IF(AND(ISNUMBER(MATCH(AL$2, AsistenciaJetAdminConcatenada!$A:$A, 0)), ISNUMBER(MATCH(AL$1, AsistenciaJetAdminConcatenada!$B:$B, 0)), ISNUMBER(SEARCH($A6,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ISNUMBER(SEARCH($A6, INDEX(AsistenciaJetAdminConcatenada!$D:$D, MATCH(1, (AsistenciaJetAdminConcatenada!$A:$A=AL$2)*(AsistenciaJetAdminConcatenada!$B:$B=AL$1), 0)), 1))),  0.5, 0))</f>
        <v>1</v>
      </c>
      <c r="AM6" s="47">
        <f t="array" ref="AM6">IF(AND(ISNUMBER(MATCH(AM$2, AsistenciaJetAdminConcatenada!$A:$A, 0)), ISNUMBER(MATCH(AM$1, AsistenciaJetAdminConcatenada!$B:$B, 0)), ISNUMBER(SEARCH($A6,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ISNUMBER(SEARCH($A6, INDEX(AsistenciaJetAdminConcatenada!$D:$D, MATCH(1, (AsistenciaJetAdminConcatenada!$A:$A=AM$2)*(AsistenciaJetAdminConcatenada!$B:$B=AM$1), 0)), 1))),  0.5, 0))</f>
        <v>1</v>
      </c>
      <c r="AN6" s="47">
        <f t="array" ref="AN6">IF(AND(ISNUMBER(MATCH(AN$2, AsistenciaJetAdminConcatenada!$A:$A, 0)), ISNUMBER(MATCH(AN$1, AsistenciaJetAdminConcatenada!$B:$B, 0)), ISNUMBER(SEARCH($A6,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ISNUMBER(SEARCH($A6, INDEX(AsistenciaJetAdminConcatenada!$D:$D, MATCH(1, (AsistenciaJetAdminConcatenada!$A:$A=AN$2)*(AsistenciaJetAdminConcatenada!$B:$B=AN$1), 0)), 1))),  0.5, 0))</f>
        <v>1</v>
      </c>
      <c r="AO6" s="47">
        <f t="array" ref="AO6">IF(AND(ISNUMBER(MATCH(AO$2, AsistenciaJetAdminConcatenada!$A:$A, 0)), ISNUMBER(MATCH(AO$1, AsistenciaJetAdminConcatenada!$B:$B, 0)), ISNUMBER(SEARCH($A6,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ISNUMBER(SEARCH($A6, INDEX(AsistenciaJetAdminConcatenada!$D:$D, MATCH(1, (AsistenciaJetAdminConcatenada!$A:$A=AO$2)*(AsistenciaJetAdminConcatenada!$B:$B=AO$1), 0)), 1))),  0.5, 0))</f>
        <v>1</v>
      </c>
      <c r="AP6" s="47">
        <f t="array" ref="AP6">IF(AND(ISNUMBER(MATCH(AP$2, AsistenciaJetAdminConcatenada!$A:$A, 0)), ISNUMBER(MATCH(AP$1, AsistenciaJetAdminConcatenada!$B:$B, 0)), ISNUMBER(SEARCH($A6,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ISNUMBER(SEARCH($A6, INDEX(AsistenciaJetAdminConcatenada!$D:$D, MATCH(1, (AsistenciaJetAdminConcatenada!$A:$A=AP$2)*(AsistenciaJetAdminConcatenada!$B:$B=AP$1), 0)), 1))),  0.5, 0))</f>
        <v>1</v>
      </c>
      <c r="AQ6" s="47">
        <f t="array" ref="AQ6">IF(AND(ISNUMBER(MATCH(AQ$2, AsistenciaJetAdminConcatenada!$A:$A, 0)), ISNUMBER(MATCH(AQ$1, AsistenciaJetAdminConcatenada!$B:$B, 0)), ISNUMBER(SEARCH($A6,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ISNUMBER(SEARCH($A6, INDEX(AsistenciaJetAdminConcatenada!$D:$D, MATCH(1, (AsistenciaJetAdminConcatenada!$A:$A=AQ$2)*(AsistenciaJetAdminConcatenada!$B:$B=AQ$1), 0)), 1))),  0.5, 0))</f>
        <v>0</v>
      </c>
      <c r="AR6" s="47">
        <f t="array" ref="AR6">IF(AND(ISNUMBER(MATCH(AR$2, AsistenciaJetAdminConcatenada!$A:$A, 0)), ISNUMBER(MATCH(AR$1, AsistenciaJetAdminConcatenada!$B:$B, 0)), ISNUMBER(SEARCH($A6,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ISNUMBER(SEARCH($A6, INDEX(AsistenciaJetAdminConcatenada!$D:$D, MATCH(1, (AsistenciaJetAdminConcatenada!$A:$A=AR$2)*(AsistenciaJetAdminConcatenada!$B:$B=AR$1), 0)), 1))),  0.5, 0))</f>
        <v>1</v>
      </c>
      <c r="AS6" s="47">
        <f t="array" ref="AS6">IF(AND(ISNUMBER(MATCH(AS$2, AsistenciaJetAdminConcatenada!$A:$A, 0)), ISNUMBER(MATCH(AS$1, AsistenciaJetAdminConcatenada!$B:$B, 0)), ISNUMBER(SEARCH($A6,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ISNUMBER(SEARCH($A6, INDEX(AsistenciaJetAdminConcatenada!$D:$D, MATCH(1, (AsistenciaJetAdminConcatenada!$A:$A=AS$2)*(AsistenciaJetAdminConcatenada!$B:$B=AS$1), 0)), 1))),  0.5, 0))</f>
        <v>1</v>
      </c>
      <c r="AT6" s="47">
        <f t="array" ref="AT6">IF(AND(ISNUMBER(MATCH(AT$2, AsistenciaJetAdminConcatenada!$A:$A, 0)), ISNUMBER(MATCH(AT$1, AsistenciaJetAdminConcatenada!$B:$B, 0)), ISNUMBER(SEARCH($A6,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ISNUMBER(SEARCH($A6, INDEX(AsistenciaJetAdminConcatenada!$D:$D, MATCH(1, (AsistenciaJetAdminConcatenada!$A:$A=AT$2)*(AsistenciaJetAdminConcatenada!$B:$B=AT$1), 0)), 1))),  0.5, 0))</f>
        <v>0</v>
      </c>
      <c r="AU6" s="47">
        <f t="array" ref="AU6">IF(AND(ISNUMBER(MATCH(AU$2, AsistenciaJetAdminConcatenada!$A:$A, 0)), ISNUMBER(MATCH(AU$1, AsistenciaJetAdminConcatenada!$B:$B, 0)), ISNUMBER(SEARCH($A6,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ISNUMBER(SEARCH($A6, INDEX(AsistenciaJetAdminConcatenada!$D:$D, MATCH(1, (AsistenciaJetAdminConcatenada!$A:$A=AU$2)*(AsistenciaJetAdminConcatenada!$B:$B=AU$1), 0)), 1))),  0.5, 0))</f>
        <v>1</v>
      </c>
      <c r="AV6" s="47">
        <f t="array" ref="AV6">IF(AND(ISNUMBER(MATCH(AV$2, AsistenciaJetAdminConcatenada!$A:$A, 0)), ISNUMBER(MATCH(AV$1, AsistenciaJetAdminConcatenada!$B:$B, 0)), ISNUMBER(SEARCH($A6,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ISNUMBER(SEARCH($A6, INDEX(AsistenciaJetAdminConcatenada!$D:$D, MATCH(1, (AsistenciaJetAdminConcatenada!$A:$A=AV$2)*(AsistenciaJetAdminConcatenada!$B:$B=AV$1), 0)), 1))),  0.5, 0))</f>
        <v>1</v>
      </c>
      <c r="AW6" s="47">
        <f t="array" ref="AW6">IF(AND(ISNUMBER(MATCH(AW$2, AsistenciaJetAdminConcatenada!$A:$A, 0)), ISNUMBER(MATCH(AW$1, AsistenciaJetAdminConcatenada!$B:$B, 0)), ISNUMBER(SEARCH($A6,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ISNUMBER(SEARCH($A6, INDEX(AsistenciaJetAdminConcatenada!$D:$D, MATCH(1, (AsistenciaJetAdminConcatenada!$A:$A=AW$2)*(AsistenciaJetAdminConcatenada!$B:$B=AW$1), 0)), 1))),  0.5, 0))</f>
        <v>0</v>
      </c>
      <c r="AX6" s="47">
        <f t="array" ref="AX6">IF(AND(ISNUMBER(MATCH(AX$2, AsistenciaJetAdminConcatenada!$A:$A, 0)), ISNUMBER(MATCH(AX$1, AsistenciaJetAdminConcatenada!$B:$B, 0)), ISNUMBER(SEARCH($A6,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ISNUMBER(SEARCH($A6, INDEX(AsistenciaJetAdminConcatenada!$D:$D, MATCH(1, (AsistenciaJetAdminConcatenada!$A:$A=AX$2)*(AsistenciaJetAdminConcatenada!$B:$B=AX$1), 0)), 1))),  0.5, 0))</f>
        <v>0</v>
      </c>
      <c r="AY6" s="47">
        <f t="array" ref="AY6">IF(AND(ISNUMBER(MATCH(AY$2, AsistenciaJetAdminConcatenada!$A:$A, 0)), ISNUMBER(MATCH(AY$1, AsistenciaJetAdminConcatenada!$B:$B, 0)), ISNUMBER(SEARCH($A6,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ISNUMBER(SEARCH($A6, INDEX(AsistenciaJetAdminConcatenada!$D:$D, MATCH(1, (AsistenciaJetAdminConcatenada!$A:$A=AY$2)*(AsistenciaJetAdminConcatenada!$B:$B=AY$1), 0)), 1))),  0.5, 0))</f>
        <v>1</v>
      </c>
      <c r="AZ6" s="47">
        <f t="array" ref="AZ6">IF(AND(ISNUMBER(MATCH(AZ$2, AsistenciaJetAdminConcatenada!$A:$A, 0)), ISNUMBER(MATCH(AZ$1, AsistenciaJetAdminConcatenada!$B:$B, 0)), ISNUMBER(SEARCH($A6,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ISNUMBER(SEARCH($A6, INDEX(AsistenciaJetAdminConcatenada!$D:$D, MATCH(1, (AsistenciaJetAdminConcatenada!$A:$A=AZ$2)*(AsistenciaJetAdminConcatenada!$B:$B=AZ$1), 0)), 1))),  0.5, 0))</f>
        <v>1</v>
      </c>
      <c r="BA6" s="47">
        <f t="array" ref="BA6">IF(AND(ISNUMBER(MATCH(BA$2, AsistenciaJetAdminConcatenada!$A:$A, 0)), ISNUMBER(MATCH(BA$1, AsistenciaJetAdminConcatenada!$B:$B, 0)), ISNUMBER(SEARCH($A6,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ISNUMBER(SEARCH($A6, INDEX(AsistenciaJetAdminConcatenada!$D:$D, MATCH(1, (AsistenciaJetAdminConcatenada!$A:$A=BA$2)*(AsistenciaJetAdminConcatenada!$B:$B=BA$1), 0)), 1))),  0.5, 0))</f>
        <v>1</v>
      </c>
      <c r="BB6" s="47">
        <f t="array" ref="BB6">IF(AND(ISNUMBER(MATCH(BB$2, AsistenciaJetAdminConcatenada!$A:$A, 0)), ISNUMBER(MATCH(BB$1, AsistenciaJetAdminConcatenada!$B:$B, 0)), ISNUMBER(SEARCH($A6,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ISNUMBER(SEARCH($A6, INDEX(AsistenciaJetAdminConcatenada!$D:$D, MATCH(1, (AsistenciaJetAdminConcatenada!$A:$A=BB$2)*(AsistenciaJetAdminConcatenada!$B:$B=BB$1), 0)), 1))),  0.5, 0))</f>
        <v>1</v>
      </c>
      <c r="BC6" s="47">
        <f t="array" ref="BC6">IF(AND(ISNUMBER(MATCH(BC$2, AsistenciaJetAdminConcatenada!$A:$A, 0)), ISNUMBER(MATCH(BC$1, AsistenciaJetAdminConcatenada!$B:$B, 0)), ISNUMBER(SEARCH($A6,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ISNUMBER(SEARCH($A6, INDEX(AsistenciaJetAdminConcatenada!$D:$D, MATCH(1, (AsistenciaJetAdminConcatenada!$A:$A=BC$2)*(AsistenciaJetAdminConcatenada!$B:$B=BC$1), 0)), 1))),  0.5, 0))</f>
        <v>1</v>
      </c>
      <c r="BD6" s="47">
        <f t="array" ref="BD6">IF(AND(ISNUMBER(MATCH(BD$2, AsistenciaJetAdminConcatenada!$A:$A, 0)), ISNUMBER(MATCH(BD$1, AsistenciaJetAdminConcatenada!$B:$B, 0)), ISNUMBER(SEARCH($A6,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ISNUMBER(SEARCH($A6, INDEX(AsistenciaJetAdminConcatenada!$D:$D, MATCH(1, (AsistenciaJetAdminConcatenada!$A:$A=BD$2)*(AsistenciaJetAdminConcatenada!$B:$B=BD$1), 0)), 1))),  0.5, 0))</f>
        <v>0</v>
      </c>
      <c r="BE6" s="47">
        <f t="array" ref="BE6">IF(AND(ISNUMBER(MATCH(BE$2, AsistenciaJetAdminConcatenada!$A:$A, 0)), ISNUMBER(MATCH(BE$1, AsistenciaJetAdminConcatenada!$B:$B, 0)), ISNUMBER(SEARCH($A6,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ISNUMBER(SEARCH($A6, INDEX(AsistenciaJetAdminConcatenada!$D:$D, MATCH(1, (AsistenciaJetAdminConcatenada!$A:$A=BE$2)*(AsistenciaJetAdminConcatenada!$B:$B=BE$1), 0)), 1))),  0.5, 0))</f>
        <v>1</v>
      </c>
      <c r="BF6" s="47">
        <f t="array" ref="BF6">IF(AND(ISNUMBER(MATCH(BF$2, AsistenciaJetAdminConcatenada!$A:$A, 0)), ISNUMBER(MATCH(BF$1, AsistenciaJetAdminConcatenada!$B:$B, 0)), ISNUMBER(SEARCH($A6,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ISNUMBER(SEARCH($A6, INDEX(AsistenciaJetAdminConcatenada!$D:$D, MATCH(1, (AsistenciaJetAdminConcatenada!$A:$A=BF$2)*(AsistenciaJetAdminConcatenada!$B:$B=BF$1), 0)), 1))),  0.5, 0))</f>
        <v>1</v>
      </c>
      <c r="BG6" s="47">
        <f t="array" ref="BG6">IF(AND(ISNUMBER(MATCH(BG$2, AsistenciaJetAdminConcatenada!$A:$A, 0)), ISNUMBER(MATCH(BG$1, AsistenciaJetAdminConcatenada!$B:$B, 0)), ISNUMBER(SEARCH($A6,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ISNUMBER(SEARCH($A6, INDEX(AsistenciaJetAdminConcatenada!$D:$D, MATCH(1, (AsistenciaJetAdminConcatenada!$A:$A=BG$2)*(AsistenciaJetAdminConcatenada!$B:$B=BG$1), 0)), 1))),  0.5, 0))</f>
        <v>1</v>
      </c>
      <c r="BH6" s="47">
        <f t="array" ref="BH6">IF(AND(ISNUMBER(MATCH(BH$2, AsistenciaJetAdminConcatenada!$A:$A, 0)), ISNUMBER(MATCH(BH$1, AsistenciaJetAdminConcatenada!$B:$B, 0)), ISNUMBER(SEARCH($A6,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ISNUMBER(SEARCH($A6, INDEX(AsistenciaJetAdminConcatenada!$D:$D, MATCH(1, (AsistenciaJetAdminConcatenada!$A:$A=BH$2)*(AsistenciaJetAdminConcatenada!$B:$B=BH$1), 0)), 1))),  0.5, 0))</f>
        <v>1</v>
      </c>
      <c r="BI6" s="47">
        <f t="array" ref="BI6">IF(AND(ISNUMBER(MATCH(BI$2, AsistenciaJetAdminConcatenada!$A:$A, 0)), ISNUMBER(MATCH(BI$1, AsistenciaJetAdminConcatenada!$B:$B, 0)), ISNUMBER(SEARCH($A6,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ISNUMBER(SEARCH($A6, INDEX(AsistenciaJetAdminConcatenada!$D:$D, MATCH(1, (AsistenciaJetAdminConcatenada!$A:$A=BI$2)*(AsistenciaJetAdminConcatenada!$B:$B=BI$1), 0)), 1))),  0.5, 0))</f>
        <v>1</v>
      </c>
      <c r="BJ6" s="47">
        <f t="array" ref="BJ6">IF(AND(ISNUMBER(MATCH(BJ$2, AsistenciaJetAdminConcatenada!$A:$A, 0)), ISNUMBER(MATCH(BJ$1, AsistenciaJetAdminConcatenada!$B:$B, 0)), ISNUMBER(SEARCH($A6,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ISNUMBER(SEARCH($A6, INDEX(AsistenciaJetAdminConcatenada!$D:$D, MATCH(1, (AsistenciaJetAdminConcatenada!$A:$A=BJ$2)*(AsistenciaJetAdminConcatenada!$B:$B=BJ$1), 0)), 1))),  0.5, 0))</f>
        <v>0</v>
      </c>
      <c r="BK6" s="47">
        <f t="array" ref="BK6">IF(AND(ISNUMBER(MATCH(BK$2, AsistenciaJetAdminConcatenada!$A:$A, 0)), ISNUMBER(MATCH(BK$1, AsistenciaJetAdminConcatenada!$B:$B, 0)), ISNUMBER(SEARCH($A6,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ISNUMBER(SEARCH($A6, INDEX(AsistenciaJetAdminConcatenada!$D:$D, MATCH(1, (AsistenciaJetAdminConcatenada!$A:$A=BK$2)*(AsistenciaJetAdminConcatenada!$B:$B=BK$1), 0)), 1))),  0.5, 0))</f>
        <v>1</v>
      </c>
      <c r="BL6" s="47">
        <f t="array" ref="BL6">IF(AND(ISNUMBER(MATCH(BL$2, AsistenciaJetAdminConcatenada!$A:$A, 0)), ISNUMBER(MATCH(BL$1, AsistenciaJetAdminConcatenada!$B:$B, 0)), ISNUMBER(SEARCH($A6,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ISNUMBER(SEARCH($A6, INDEX(AsistenciaJetAdminConcatenada!$D:$D, MATCH(1, (AsistenciaJetAdminConcatenada!$A:$A=BL$2)*(AsistenciaJetAdminConcatenada!$B:$B=BL$1), 0)), 1))),  0.5, 0))</f>
        <v>1</v>
      </c>
      <c r="BM6" s="47">
        <f t="array" ref="BM6">IF(AND(ISNUMBER(MATCH(BM$2, AsistenciaJetAdminConcatenada!$A:$A, 0)), ISNUMBER(MATCH(BM$1, AsistenciaJetAdminConcatenada!$B:$B, 0)), ISNUMBER(SEARCH($A6,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ISNUMBER(SEARCH($A6, INDEX(AsistenciaJetAdminConcatenada!$D:$D, MATCH(1, (AsistenciaJetAdminConcatenada!$A:$A=BM$2)*(AsistenciaJetAdminConcatenada!$B:$B=BM$1), 0)), 1))),  0.5, 0))</f>
        <v>1</v>
      </c>
      <c r="BN6" s="47">
        <f t="array" ref="BN6">IF(AND(ISNUMBER(MATCH(BN$2, AsistenciaJetAdminConcatenada!$A:$A, 0)), ISNUMBER(MATCH(BN$1, AsistenciaJetAdminConcatenada!$B:$B, 0)), ISNUMBER(SEARCH($A6,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ISNUMBER(SEARCH($A6, INDEX(AsistenciaJetAdminConcatenada!$D:$D, MATCH(1, (AsistenciaJetAdminConcatenada!$A:$A=BN$2)*(AsistenciaJetAdminConcatenada!$B:$B=BN$1), 0)), 1))),  0.5, 0))</f>
        <v>1</v>
      </c>
      <c r="BO6" s="47">
        <f t="array" ref="BO6">IF(AND(ISNUMBER(MATCH(BO$2, AsistenciaJetAdminConcatenada!$A:$A, 0)), ISNUMBER(MATCH(BO$1, AsistenciaJetAdminConcatenada!$B:$B, 0)), ISNUMBER(SEARCH($A6,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ISNUMBER(SEARCH($A6, INDEX(AsistenciaJetAdminConcatenada!$D:$D, MATCH(1, (AsistenciaJetAdminConcatenada!$A:$A=BO$2)*(AsistenciaJetAdminConcatenada!$B:$B=BO$1), 0)), 1))),  0.5, 0))</f>
        <v>1</v>
      </c>
      <c r="BP6" s="47">
        <f t="array" ref="BP6">IF(AND(ISNUMBER(MATCH(BP$2, AsistenciaJetAdminConcatenada!$A:$A, 0)), ISNUMBER(MATCH(BP$1, AsistenciaJetAdminConcatenada!$B:$B, 0)), ISNUMBER(SEARCH($A6,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ISNUMBER(SEARCH($A6, INDEX(AsistenciaJetAdminConcatenada!$D:$D, MATCH(1, (AsistenciaJetAdminConcatenada!$A:$A=BP$2)*(AsistenciaJetAdminConcatenada!$B:$B=BP$1), 0)), 1))),  0.5, 0))</f>
        <v>0</v>
      </c>
      <c r="BQ6" s="47">
        <f t="array" ref="BQ6">IF(AND(ISNUMBER(MATCH(BQ$2, AsistenciaJetAdminConcatenada!$A:$A, 0)), ISNUMBER(MATCH(BQ$1, AsistenciaJetAdminConcatenada!$B:$B, 0)), ISNUMBER(SEARCH($A6,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ISNUMBER(SEARCH($A6, INDEX(AsistenciaJetAdminConcatenada!$D:$D, MATCH(1, (AsistenciaJetAdminConcatenada!$A:$A=BQ$2)*(AsistenciaJetAdminConcatenada!$B:$B=BQ$1), 0)), 1))),  0.5, 0))</f>
        <v>1</v>
      </c>
      <c r="BR6" s="47">
        <f t="array" ref="BR6">IF(AND(ISNUMBER(MATCH(BR$2, AsistenciaJetAdminConcatenada!$A:$A, 0)), ISNUMBER(MATCH(BR$1, AsistenciaJetAdminConcatenada!$B:$B, 0)), ISNUMBER(SEARCH($A6,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ISNUMBER(SEARCH($A6, INDEX(AsistenciaJetAdminConcatenada!$D:$D, MATCH(1, (AsistenciaJetAdminConcatenada!$A:$A=BR$2)*(AsistenciaJetAdminConcatenada!$B:$B=BR$1), 0)), 1))),  0.5, 0))</f>
        <v>1</v>
      </c>
      <c r="BS6" s="47">
        <f t="array" ref="BS6">IF(AND(ISNUMBER(MATCH(BS$2, AsistenciaJetAdminConcatenada!$A:$A, 0)), ISNUMBER(MATCH(BS$1, AsistenciaJetAdminConcatenada!$B:$B, 0)), ISNUMBER(SEARCH($A6,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ISNUMBER(SEARCH($A6, INDEX(AsistenciaJetAdminConcatenada!$D:$D, MATCH(1, (AsistenciaJetAdminConcatenada!$A:$A=BS$2)*(AsistenciaJetAdminConcatenada!$B:$B=BS$1), 0)), 1))),  0.5, 0))</f>
        <v>1</v>
      </c>
      <c r="BT6" s="47">
        <f t="array" ref="BT6">IF(AND(ISNUMBER(MATCH(BT$2, AsistenciaJetAdminConcatenada!$A:$A, 0)), ISNUMBER(MATCH(BT$1, AsistenciaJetAdminConcatenada!$B:$B, 0)), ISNUMBER(SEARCH($A6,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ISNUMBER(SEARCH($A6, INDEX(AsistenciaJetAdminConcatenada!$D:$D, MATCH(1, (AsistenciaJetAdminConcatenada!$A:$A=BT$2)*(AsistenciaJetAdminConcatenada!$B:$B=BT$1), 0)), 1))),  0.5, 0))</f>
        <v>1</v>
      </c>
      <c r="BU6" s="47">
        <f t="array" ref="BU6">IF(AND(ISNUMBER(MATCH(BU$2, AsistenciaJetAdminConcatenada!$A:$A, 0)), ISNUMBER(MATCH(BU$1, AsistenciaJetAdminConcatenada!$B:$B, 0)), ISNUMBER(SEARCH($A6,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ISNUMBER(SEARCH($A6, INDEX(AsistenciaJetAdminConcatenada!$D:$D, MATCH(1, (AsistenciaJetAdminConcatenada!$A:$A=BU$2)*(AsistenciaJetAdminConcatenada!$B:$B=BU$1), 0)), 1))),  0.5, 0))</f>
        <v>1</v>
      </c>
      <c r="BV6" s="47">
        <f t="array" ref="BV6">IF(AND(ISNUMBER(MATCH(BV$2, AsistenciaJetAdminConcatenada!$A:$A, 0)), ISNUMBER(MATCH(BV$1, AsistenciaJetAdminConcatenada!$B:$B, 0)), ISNUMBER(SEARCH($A6,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ISNUMBER(SEARCH($A6, INDEX(AsistenciaJetAdminConcatenada!$D:$D, MATCH(1, (AsistenciaJetAdminConcatenada!$A:$A=BV$2)*(AsistenciaJetAdminConcatenada!$B:$B=BV$1), 0)), 1))),  0.5, 0))</f>
        <v>0</v>
      </c>
      <c r="BW6" s="47">
        <f t="array" ref="BW6">IF(AND(ISNUMBER(MATCH(BW$2, AsistenciaJetAdminConcatenada!$A:$A, 0)), ISNUMBER(MATCH(BW$1, AsistenciaJetAdminConcatenada!$B:$B, 0)), ISNUMBER(SEARCH($A6,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ISNUMBER(SEARCH($A6, INDEX(AsistenciaJetAdminConcatenada!$D:$D, MATCH(1, (AsistenciaJetAdminConcatenada!$A:$A=BW$2)*(AsistenciaJetAdminConcatenada!$B:$B=BW$1), 0)), 1))),  0.5, 0))</f>
        <v>1</v>
      </c>
      <c r="BX6" s="47">
        <f t="array" ref="BX6">IF(AND(ISNUMBER(MATCH(BX$2, AsistenciaJetAdminConcatenada!$A:$A, 0)), ISNUMBER(MATCH(BX$1, AsistenciaJetAdminConcatenada!$B:$B, 0)), ISNUMBER(SEARCH($A6,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ISNUMBER(SEARCH($A6, INDEX(AsistenciaJetAdminConcatenada!$D:$D, MATCH(1, (AsistenciaJetAdminConcatenada!$A:$A=BX$2)*(AsistenciaJetAdminConcatenada!$B:$B=BX$1), 0)), 1))),  0.5, 0))</f>
        <v>1</v>
      </c>
      <c r="BY6" s="47">
        <f t="array" ref="BY6">IF(AND(ISNUMBER(MATCH(BY$2, AsistenciaJetAdminConcatenada!$A:$A, 0)), ISNUMBER(MATCH(BY$1, AsistenciaJetAdminConcatenada!$B:$B, 0)), ISNUMBER(SEARCH($A6,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ISNUMBER(SEARCH($A6, INDEX(AsistenciaJetAdminConcatenada!$D:$D, MATCH(1, (AsistenciaJetAdminConcatenada!$A:$A=BY$2)*(AsistenciaJetAdminConcatenada!$B:$B=BY$1), 0)), 1))),  0.5, 0))</f>
        <v>1</v>
      </c>
      <c r="BZ6" s="47">
        <f t="array" ref="BZ6">IF(AND(ISNUMBER(MATCH(BZ$2, AsistenciaJetAdminConcatenada!$A:$A, 0)), ISNUMBER(MATCH(BZ$1, AsistenciaJetAdminConcatenada!$B:$B, 0)), ISNUMBER(SEARCH($A6,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ISNUMBER(SEARCH($A6, INDEX(AsistenciaJetAdminConcatenada!$D:$D, MATCH(1, (AsistenciaJetAdminConcatenada!$A:$A=BZ$2)*(AsistenciaJetAdminConcatenada!$B:$B=BZ$1), 0)), 1))),  0.5, 0))</f>
        <v>1</v>
      </c>
      <c r="CA6" s="47">
        <f t="array" ref="CA6">IF(AND(ISNUMBER(MATCH(CA$2, AsistenciaJetAdminConcatenada!$A:$A, 0)), ISNUMBER(MATCH(CA$1, AsistenciaJetAdminConcatenada!$B:$B, 0)), ISNUMBER(SEARCH($A6,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ISNUMBER(SEARCH($A6, INDEX(AsistenciaJetAdminConcatenada!$D:$D, MATCH(1, (AsistenciaJetAdminConcatenada!$A:$A=CA$2)*(AsistenciaJetAdminConcatenada!$B:$B=CA$1), 0)), 1))),  0.5, 0))</f>
        <v>1</v>
      </c>
      <c r="CB6" s="47">
        <f t="array" ref="CB6">IF(AND(ISNUMBER(MATCH(CB$2, AsistenciaJetAdminConcatenada!$A:$A, 0)), ISNUMBER(MATCH(CB$1, AsistenciaJetAdminConcatenada!$B:$B, 0)), ISNUMBER(SEARCH($A6,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ISNUMBER(SEARCH($A6, INDEX(AsistenciaJetAdminConcatenada!$D:$D, MATCH(1, (AsistenciaJetAdminConcatenada!$A:$A=CB$2)*(AsistenciaJetAdminConcatenada!$B:$B=CB$1), 0)), 1))),  0.5, 0))</f>
        <v>0</v>
      </c>
      <c r="CC6" s="47">
        <f t="array" ref="CC6">IF(AND(ISNUMBER(MATCH(CC$2, AsistenciaJetAdminConcatenada!$A:$A, 0)), ISNUMBER(MATCH(CC$1, AsistenciaJetAdminConcatenada!$B:$B, 0)), ISNUMBER(SEARCH($A6,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ISNUMBER(SEARCH($A6, INDEX(AsistenciaJetAdminConcatenada!$D:$D, MATCH(1, (AsistenciaJetAdminConcatenada!$A:$A=CC$2)*(AsistenciaJetAdminConcatenada!$B:$B=CC$1), 0)), 1))),  0.5, 0))</f>
        <v>1</v>
      </c>
      <c r="CD6" s="47">
        <f t="array" ref="CD6">IF(AND(ISNUMBER(MATCH(CD$2, AsistenciaJetAdminConcatenada!$A:$A, 0)), ISNUMBER(MATCH(CD$1, AsistenciaJetAdminConcatenada!$B:$B, 0)), ISNUMBER(SEARCH($A6,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ISNUMBER(SEARCH($A6, INDEX(AsistenciaJetAdminConcatenada!$D:$D, MATCH(1, (AsistenciaJetAdminConcatenada!$A:$A=CD$2)*(AsistenciaJetAdminConcatenada!$B:$B=CD$1), 0)), 1))),  0.5, 0))</f>
        <v>1</v>
      </c>
      <c r="CE6" s="47">
        <f t="array" ref="CE6">IF(AND(ISNUMBER(MATCH(CE$2, AsistenciaJetAdminConcatenada!$A:$A, 0)), ISNUMBER(MATCH(CE$1, AsistenciaJetAdminConcatenada!$B:$B, 0)), ISNUMBER(SEARCH($A6,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ISNUMBER(SEARCH($A6, INDEX(AsistenciaJetAdminConcatenada!$D:$D, MATCH(1, (AsistenciaJetAdminConcatenada!$A:$A=CE$2)*(AsistenciaJetAdminConcatenada!$B:$B=CE$1), 0)), 1))),  0.5, 0))</f>
        <v>1</v>
      </c>
      <c r="CF6" s="47">
        <f t="array" ref="CF6">IF(AND(ISNUMBER(MATCH(CF$2, AsistenciaJetAdminConcatenada!$A:$A, 0)), ISNUMBER(MATCH(CF$1, AsistenciaJetAdminConcatenada!$B:$B, 0)), ISNUMBER(SEARCH($A6,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ISNUMBER(SEARCH($A6, INDEX(AsistenciaJetAdminConcatenada!$D:$D, MATCH(1, (AsistenciaJetAdminConcatenada!$A:$A=CF$2)*(AsistenciaJetAdminConcatenada!$B:$B=CF$1), 0)), 1))),  0.5, 0))</f>
        <v>0</v>
      </c>
      <c r="CG6" s="47">
        <f t="array" ref="CG6">IF(AND(ISNUMBER(MATCH(CG$2, AsistenciaJetAdminConcatenada!$A:$A, 0)), ISNUMBER(MATCH(CG$1, AsistenciaJetAdminConcatenada!$B:$B, 0)), ISNUMBER(SEARCH($A6,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ISNUMBER(SEARCH($A6, INDEX(AsistenciaJetAdminConcatenada!$D:$D, MATCH(1, (AsistenciaJetAdminConcatenada!$A:$A=CG$2)*(AsistenciaJetAdminConcatenada!$B:$B=CG$1), 0)), 1))),  0.5, 0))</f>
        <v>1</v>
      </c>
      <c r="CH6" s="47">
        <f t="array" ref="CH6">IF(AND(ISNUMBER(MATCH(CH$2, AsistenciaJetAdminConcatenada!$A:$A, 0)), ISNUMBER(MATCH(CH$1, AsistenciaJetAdminConcatenada!$B:$B, 0)), ISNUMBER(SEARCH($A6,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ISNUMBER(SEARCH($A6, INDEX(AsistenciaJetAdminConcatenada!$D:$D, MATCH(1, (AsistenciaJetAdminConcatenada!$A:$A=CH$2)*(AsistenciaJetAdminConcatenada!$B:$B=CH$1), 0)), 1))),  0.5, 0))</f>
        <v>0</v>
      </c>
      <c r="CI6" s="47">
        <f t="array" ref="CI6">IF(AND(ISNUMBER(MATCH(CI$2, AsistenciaJetAdminConcatenada!$A:$A, 0)), ISNUMBER(MATCH(CI$1, AsistenciaJetAdminConcatenada!$B:$B, 0)), ISNUMBER(SEARCH($A6,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ISNUMBER(SEARCH($A6, INDEX(AsistenciaJetAdminConcatenada!$D:$D, MATCH(1, (AsistenciaJetAdminConcatenada!$A:$A=CI$2)*(AsistenciaJetAdminConcatenada!$B:$B=CI$1), 0)), 1))),  0.5, 0))</f>
        <v>1</v>
      </c>
      <c r="CJ6" s="47">
        <f t="array" ref="CJ6">IF(AND(ISNUMBER(MATCH(CJ$2, AsistenciaJetAdminConcatenada!$A:$A, 0)), ISNUMBER(MATCH(CJ$1, AsistenciaJetAdminConcatenada!$B:$B, 0)), ISNUMBER(SEARCH($A6,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ISNUMBER(SEARCH($A6, INDEX(AsistenciaJetAdminConcatenada!$D:$D, MATCH(1, (AsistenciaJetAdminConcatenada!$A:$A=CJ$2)*(AsistenciaJetAdminConcatenada!$B:$B=CJ$1), 0)), 1))),  0.5, 0))</f>
        <v>1</v>
      </c>
      <c r="CK6" s="47">
        <f t="array" ref="CK6">IF(AND(ISNUMBER(MATCH(CK$2, AsistenciaJetAdminConcatenada!$A:$A, 0)), ISNUMBER(MATCH(CK$1, AsistenciaJetAdminConcatenada!$B:$B, 0)), ISNUMBER(SEARCH($A6,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ISNUMBER(SEARCH($A6, INDEX(AsistenciaJetAdminConcatenada!$D:$D, MATCH(1, (AsistenciaJetAdminConcatenada!$A:$A=CK$2)*(AsistenciaJetAdminConcatenada!$B:$B=CK$1), 0)), 1))),  0.5, 0))</f>
        <v>1</v>
      </c>
      <c r="CL6" s="47">
        <f t="array" ref="CL6">IF(AND(ISNUMBER(MATCH(CL$2, AsistenciaJetAdminConcatenada!$A:$A, 0)), ISNUMBER(MATCH(CL$1, AsistenciaJetAdminConcatenada!$B:$B, 0)), ISNUMBER(SEARCH($A6,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ISNUMBER(SEARCH($A6, INDEX(AsistenciaJetAdminConcatenada!$D:$D, MATCH(1, (AsistenciaJetAdminConcatenada!$A:$A=CL$2)*(AsistenciaJetAdminConcatenada!$B:$B=CL$1), 0)), 1))),  0.5, 0))</f>
        <v>1</v>
      </c>
      <c r="CM6" s="47">
        <f t="array" ref="CM6">IF(AND(ISNUMBER(MATCH(CM$2, AsistenciaJetAdminConcatenada!$A:$A, 0)), ISNUMBER(MATCH(CM$1, AsistenciaJetAdminConcatenada!$B:$B, 0)), ISNUMBER(SEARCH($A6,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ISNUMBER(SEARCH($A6, INDEX(AsistenciaJetAdminConcatenada!$D:$D, MATCH(1, (AsistenciaJetAdminConcatenada!$A:$A=CM$2)*(AsistenciaJetAdminConcatenada!$B:$B=CM$1), 0)), 1))),  0.5, 0))</f>
        <v>1</v>
      </c>
      <c r="CN6" s="47">
        <f t="array" ref="CN6">IF(AND(ISNUMBER(MATCH(CN$2, AsistenciaJetAdminConcatenada!$A:$A, 0)), ISNUMBER(MATCH(CN$1, AsistenciaJetAdminConcatenada!$B:$B, 0)), ISNUMBER(SEARCH($A6,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ISNUMBER(SEARCH($A6, INDEX(AsistenciaJetAdminConcatenada!$D:$D, MATCH(1, (AsistenciaJetAdminConcatenada!$A:$A=CN$2)*(AsistenciaJetAdminConcatenada!$B:$B=CN$1), 0)), 1))),  0.5, 0))</f>
        <v>1</v>
      </c>
      <c r="CO6" s="47">
        <f t="array" ref="CO6">IF(AND(ISNUMBER(MATCH(CO$2, AsistenciaJetAdminConcatenada!$A:$A, 0)), ISNUMBER(MATCH(CO$1, AsistenciaJetAdminConcatenada!$B:$B, 0)), ISNUMBER(SEARCH($A6,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ISNUMBER(SEARCH($A6, INDEX(AsistenciaJetAdminConcatenada!$D:$D, MATCH(1, (AsistenciaJetAdminConcatenada!$A:$A=CO$2)*(AsistenciaJetAdminConcatenada!$B:$B=CO$1), 0)), 1))),  0.5, 0))</f>
        <v>1</v>
      </c>
      <c r="CP6" s="47">
        <f t="array" ref="CP6">IF(AND(ISNUMBER(MATCH(CP$2, AsistenciaJetAdminConcatenada!$A:$A, 0)), ISNUMBER(MATCH(CP$1, AsistenciaJetAdminConcatenada!$B:$B, 0)), ISNUMBER(SEARCH($A6,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ISNUMBER(SEARCH($A6, INDEX(AsistenciaJetAdminConcatenada!$D:$D, MATCH(1, (AsistenciaJetAdminConcatenada!$A:$A=CP$2)*(AsistenciaJetAdminConcatenada!$B:$B=CP$1), 0)), 1))),  0.5, 0))</f>
        <v>1</v>
      </c>
      <c r="CQ6" s="47">
        <f t="array" ref="CQ6">IF(AND(ISNUMBER(MATCH(CQ$2, AsistenciaJetAdminConcatenada!$A:$A, 0)), ISNUMBER(MATCH(CQ$1, AsistenciaJetAdminConcatenada!$B:$B, 0)), ISNUMBER(SEARCH($A6,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ISNUMBER(SEARCH($A6, INDEX(AsistenciaJetAdminConcatenada!$D:$D, MATCH(1, (AsistenciaJetAdminConcatenada!$A:$A=CQ$2)*(AsistenciaJetAdminConcatenada!$B:$B=CQ$1), 0)), 1))),  0.5, 0))</f>
        <v>1</v>
      </c>
      <c r="CR6" s="47">
        <f t="array" ref="CR6">IF(AND(ISNUMBER(MATCH(CR$2, AsistenciaJetAdminConcatenada!$A:$A, 0)), ISNUMBER(MATCH(CR$1, AsistenciaJetAdminConcatenada!$B:$B, 0)), ISNUMBER(SEARCH($A6,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ISNUMBER(SEARCH($A6, INDEX(AsistenciaJetAdminConcatenada!$D:$D, MATCH(1, (AsistenciaJetAdminConcatenada!$A:$A=CR$2)*(AsistenciaJetAdminConcatenada!$B:$B=CR$1), 0)), 1))),  0.5, 0))</f>
        <v>1</v>
      </c>
      <c r="CS6" s="47">
        <f t="array" ref="CS6">IF(AND(ISNUMBER(MATCH(CS$2, AsistenciaJetAdminConcatenada!$A:$A, 0)), ISNUMBER(MATCH(CS$1, AsistenciaJetAdminConcatenada!$B:$B, 0)), ISNUMBER(SEARCH($A6,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ISNUMBER(SEARCH($A6, INDEX(AsistenciaJetAdminConcatenada!$D:$D, MATCH(1, (AsistenciaJetAdminConcatenada!$A:$A=CS$2)*(AsistenciaJetAdminConcatenada!$B:$B=CS$1), 0)), 1))),  0.5, 0))</f>
        <v>0</v>
      </c>
      <c r="CT6" s="47">
        <f t="array" ref="CT6">IF(AND(ISNUMBER(MATCH(CT$2, AsistenciaJetAdminConcatenada!$A:$A, 0)), ISNUMBER(MATCH(CT$1, AsistenciaJetAdminConcatenada!$B:$B, 0)), ISNUMBER(SEARCH($A6,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ISNUMBER(SEARCH($A6, INDEX(AsistenciaJetAdminConcatenada!$D:$D, MATCH(1, (AsistenciaJetAdminConcatenada!$A:$A=CT$2)*(AsistenciaJetAdminConcatenada!$B:$B=CT$1), 0)), 1))),  0.5, 0))</f>
        <v>0</v>
      </c>
      <c r="CU6" s="47">
        <f t="array" ref="CU6">IF(AND(ISNUMBER(MATCH(CU$2, AsistenciaJetAdminConcatenada!$A:$A, 0)), ISNUMBER(MATCH(CU$1, AsistenciaJetAdminConcatenada!$B:$B, 0)), ISNUMBER(SEARCH($A6,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ISNUMBER(SEARCH($A6, INDEX(AsistenciaJetAdminConcatenada!$D:$D, MATCH(1, (AsistenciaJetAdminConcatenada!$A:$A=CU$2)*(AsistenciaJetAdminConcatenada!$B:$B=CU$1), 0)), 1))),  0.5, 0))</f>
        <v>0</v>
      </c>
      <c r="CV6" s="47">
        <f t="array" ref="CV6">IF(AND(ISNUMBER(MATCH(CV$2, AsistenciaJetAdminConcatenada!$A:$A, 0)), ISNUMBER(MATCH(CV$1, AsistenciaJetAdminConcatenada!$B:$B, 0)), ISNUMBER(SEARCH($A6,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ISNUMBER(SEARCH($A6, INDEX(AsistenciaJetAdminConcatenada!$D:$D, MATCH(1, (AsistenciaJetAdminConcatenada!$A:$A=CV$2)*(AsistenciaJetAdminConcatenada!$B:$B=CV$1), 0)), 1))),  0.5, 0))</f>
        <v>0</v>
      </c>
      <c r="CW6" s="47">
        <f t="array" ref="CW6">IF(AND(ISNUMBER(MATCH(CW$2, AsistenciaJetAdminConcatenada!$A:$A, 0)), ISNUMBER(MATCH(CW$1, AsistenciaJetAdminConcatenada!$B:$B, 0)), ISNUMBER(SEARCH($A6,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ISNUMBER(SEARCH($A6, INDEX(AsistenciaJetAdminConcatenada!$D:$D, MATCH(1, (AsistenciaJetAdminConcatenada!$A:$A=CW$2)*(AsistenciaJetAdminConcatenada!$B:$B=CW$1), 0)), 1))),  0.5, 0))</f>
        <v>0</v>
      </c>
      <c r="CX6" s="47">
        <f t="array" ref="CX6">IF(AND(ISNUMBER(MATCH(CX$2, AsistenciaJetAdminConcatenada!$A:$A, 0)), ISNUMBER(MATCH(CX$1, AsistenciaJetAdminConcatenada!$B:$B, 0)), ISNUMBER(SEARCH($A6,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ISNUMBER(SEARCH($A6, INDEX(AsistenciaJetAdminConcatenada!$D:$D, MATCH(1, (AsistenciaJetAdminConcatenada!$A:$A=CX$2)*(AsistenciaJetAdminConcatenada!$B:$B=CX$1), 0)), 1))),  0.5, 0))</f>
        <v>0</v>
      </c>
      <c r="CY6" s="47">
        <f t="array" ref="CY6">IF(AND(ISNUMBER(MATCH(CY$2, AsistenciaJetAdminConcatenada!$A:$A, 0)), ISNUMBER(MATCH(CY$1, AsistenciaJetAdminConcatenada!$B:$B, 0)), ISNUMBER(SEARCH($A6,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ISNUMBER(SEARCH($A6, INDEX(AsistenciaJetAdminConcatenada!$D:$D, MATCH(1, (AsistenciaJetAdminConcatenada!$A:$A=CY$2)*(AsistenciaJetAdminConcatenada!$B:$B=CY$1), 0)), 1))),  0.5, 0))</f>
        <v>0</v>
      </c>
      <c r="CZ6" s="47">
        <f t="array" ref="CZ6">IF(AND(ISNUMBER(MATCH(CZ$2, AsistenciaJetAdminConcatenada!$A:$A, 0)), ISNUMBER(MATCH(CZ$1, AsistenciaJetAdminConcatenada!$B:$B, 0)), ISNUMBER(SEARCH($A6,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ISNUMBER(SEARCH($A6, INDEX(AsistenciaJetAdminConcatenada!$D:$D, MATCH(1, (AsistenciaJetAdminConcatenada!$A:$A=CZ$2)*(AsistenciaJetAdminConcatenada!$B:$B=CZ$1), 0)), 1))),  0.5, 0))</f>
        <v>0</v>
      </c>
      <c r="DA6" s="47">
        <f t="array" ref="DA6">IF(AND(ISNUMBER(MATCH(DA$2, AsistenciaJetAdminConcatenada!$A:$A, 0)), ISNUMBER(MATCH(DA$1, AsistenciaJetAdminConcatenada!$B:$B, 0)), ISNUMBER(SEARCH($A6,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ISNUMBER(SEARCH($A6, INDEX(AsistenciaJetAdminConcatenada!$D:$D, MATCH(1, (AsistenciaJetAdminConcatenada!$A:$A=DA$2)*(AsistenciaJetAdminConcatenada!$B:$B=DA$1), 0)), 1))),  0.5, 0))</f>
        <v>0</v>
      </c>
      <c r="DB6" s="47">
        <f t="array" ref="DB6">IF(AND(ISNUMBER(MATCH(DB$2, AsistenciaJetAdminConcatenada!$A:$A, 0)), ISNUMBER(MATCH(DB$1, AsistenciaJetAdminConcatenada!$B:$B, 0)), ISNUMBER(SEARCH($A6,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ISNUMBER(SEARCH($A6, INDEX(AsistenciaJetAdminConcatenada!$D:$D, MATCH(1, (AsistenciaJetAdminConcatenada!$A:$A=DB$2)*(AsistenciaJetAdminConcatenada!$B:$B=DB$1), 0)), 1))),  0.5, 0))</f>
        <v>0</v>
      </c>
      <c r="DC6" s="47">
        <f t="array" ref="DC6">IF(AND(ISNUMBER(MATCH(DC$2, AsistenciaJetAdminConcatenada!$A:$A, 0)), ISNUMBER(MATCH(DC$1, AsistenciaJetAdminConcatenada!$B:$B, 0)), ISNUMBER(SEARCH($A6,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ISNUMBER(SEARCH($A6, INDEX(AsistenciaJetAdminConcatenada!$D:$D, MATCH(1, (AsistenciaJetAdminConcatenada!$A:$A=DC$2)*(AsistenciaJetAdminConcatenada!$B:$B=DC$1), 0)), 1))),  0.5, 0))</f>
        <v>0</v>
      </c>
      <c r="DD6" s="47">
        <f t="array" ref="DD6">IF(AND(ISNUMBER(MATCH(DD$2, AsistenciaJetAdminConcatenada!$A:$A, 0)), ISNUMBER(MATCH(DD$1, AsistenciaJetAdminConcatenada!$B:$B, 0)), ISNUMBER(SEARCH($A6,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ISNUMBER(SEARCH($A6, INDEX(AsistenciaJetAdminConcatenada!$D:$D, MATCH(1, (AsistenciaJetAdminConcatenada!$A:$A=DD$2)*(AsistenciaJetAdminConcatenada!$B:$B=DD$1), 0)), 1))),  0.5, 0))</f>
        <v>0</v>
      </c>
      <c r="DE6" s="47">
        <f t="array" ref="DE6">IF(AND(ISNUMBER(MATCH(DE$2, AsistenciaJetAdminConcatenada!$A:$A, 0)), ISNUMBER(MATCH(DE$1, AsistenciaJetAdminConcatenada!$B:$B, 0)), ISNUMBER(SEARCH($A6,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ISNUMBER(SEARCH($A6, INDEX(AsistenciaJetAdminConcatenada!$D:$D, MATCH(1, (AsistenciaJetAdminConcatenada!$A:$A=DE$2)*(AsistenciaJetAdminConcatenada!$B:$B=DE$1), 0)), 1))),  0.5, 0))</f>
        <v>0</v>
      </c>
      <c r="DF6" s="47">
        <f t="array" ref="DF6">IF(AND(ISNUMBER(MATCH(DF$2, AsistenciaJetAdminConcatenada!$A:$A, 0)), ISNUMBER(MATCH(DF$1, AsistenciaJetAdminConcatenada!$B:$B, 0)), ISNUMBER(SEARCH($A6,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ISNUMBER(SEARCH($A6, INDEX(AsistenciaJetAdminConcatenada!$D:$D, MATCH(1, (AsistenciaJetAdminConcatenada!$A:$A=DF$2)*(AsistenciaJetAdminConcatenada!$B:$B=DF$1), 0)), 1))),  0.5, 0))</f>
        <v>0</v>
      </c>
      <c r="DG6" s="47">
        <f t="array" ref="DG6">IF(AND(ISNUMBER(MATCH(DG$2, AsistenciaJetAdminConcatenada!$A:$A, 0)), ISNUMBER(MATCH(DG$1, AsistenciaJetAdminConcatenada!$B:$B, 0)), ISNUMBER(SEARCH($A6,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ISNUMBER(SEARCH($A6, INDEX(AsistenciaJetAdminConcatenada!$D:$D, MATCH(1, (AsistenciaJetAdminConcatenada!$A:$A=DG$2)*(AsistenciaJetAdminConcatenada!$B:$B=DG$1), 0)), 1))),  0.5, 0))</f>
        <v>0</v>
      </c>
      <c r="DH6" s="47">
        <f t="array" ref="DH6">IF(AND(ISNUMBER(MATCH(DH$2, AsistenciaJetAdminConcatenada!$A:$A, 0)), ISNUMBER(MATCH(DH$1, AsistenciaJetAdminConcatenada!$B:$B, 0)), ISNUMBER(SEARCH($A6,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ISNUMBER(SEARCH($A6, INDEX(AsistenciaJetAdminConcatenada!$D:$D, MATCH(1, (AsistenciaJetAdminConcatenada!$A:$A=DH$2)*(AsistenciaJetAdminConcatenada!$B:$B=DH$1), 0)), 1))),  0.5, 0))</f>
        <v>0</v>
      </c>
      <c r="DI6" s="47">
        <f t="array" ref="DI6">IF(AND(ISNUMBER(MATCH(DI$2, AsistenciaJetAdminConcatenada!$A:$A, 0)), ISNUMBER(MATCH(DI$1, AsistenciaJetAdminConcatenada!$B:$B, 0)), ISNUMBER(SEARCH($A6,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ISNUMBER(SEARCH($A6, INDEX(AsistenciaJetAdminConcatenada!$D:$D, MATCH(1, (AsistenciaJetAdminConcatenada!$A:$A=DI$2)*(AsistenciaJetAdminConcatenada!$B:$B=DI$1), 0)), 1))),  0.5, 0))</f>
        <v>0</v>
      </c>
      <c r="DJ6" s="47">
        <f t="array" ref="DJ6">IF(AND(ISNUMBER(MATCH(DJ$2, AsistenciaJetAdminConcatenada!$A:$A, 0)), ISNUMBER(MATCH(DJ$1, AsistenciaJetAdminConcatenada!$B:$B, 0)), ISNUMBER(SEARCH($A6,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ISNUMBER(SEARCH($A6, INDEX(AsistenciaJetAdminConcatenada!$D:$D, MATCH(1, (AsistenciaJetAdminConcatenada!$A:$A=DJ$2)*(AsistenciaJetAdminConcatenada!$B:$B=DJ$1), 0)), 1))),  0.5, 0))</f>
        <v>0</v>
      </c>
      <c r="DK6" s="47">
        <f t="array" ref="DK6">IF(AND(ISNUMBER(MATCH(DK$2, AsistenciaJetAdminConcatenada!$A:$A, 0)), ISNUMBER(MATCH(DK$1, AsistenciaJetAdminConcatenada!$B:$B, 0)), ISNUMBER(SEARCH($A6,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ISNUMBER(SEARCH($A6, INDEX(AsistenciaJetAdminConcatenada!$D:$D, MATCH(1, (AsistenciaJetAdminConcatenada!$A:$A=DK$2)*(AsistenciaJetAdminConcatenada!$B:$B=DK$1), 0)), 1))),  0.5, 0))</f>
        <v>0</v>
      </c>
      <c r="DL6" s="47">
        <f t="array" ref="DL6">IF(AND(ISNUMBER(MATCH(DL$2, AsistenciaJetAdminConcatenada!$A:$A, 0)), ISNUMBER(MATCH(DL$1, AsistenciaJetAdminConcatenada!$B:$B, 0)), ISNUMBER(SEARCH($A6,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ISNUMBER(SEARCH($A6, INDEX(AsistenciaJetAdminConcatenada!$D:$D, MATCH(1, (AsistenciaJetAdminConcatenada!$A:$A=DL$2)*(AsistenciaJetAdminConcatenada!$B:$B=DL$1), 0)), 1))),  0.5, 0))</f>
        <v>0</v>
      </c>
      <c r="DM6" s="47">
        <f t="array" ref="DM6">IF(AND(ISNUMBER(MATCH(DM$2, AsistenciaJetAdminConcatenada!$A:$A, 0)), ISNUMBER(MATCH(DM$1, AsistenciaJetAdminConcatenada!$B:$B, 0)), ISNUMBER(SEARCH($A6,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ISNUMBER(SEARCH($A6, INDEX(AsistenciaJetAdminConcatenada!$D:$D, MATCH(1, (AsistenciaJetAdminConcatenada!$A:$A=DM$2)*(AsistenciaJetAdminConcatenada!$B:$B=DM$1), 0)), 1))),  0.5, 0))</f>
        <v>0</v>
      </c>
      <c r="DN6" s="47">
        <f t="array" ref="DN6">IF(AND(ISNUMBER(MATCH(DN$2, AsistenciaJetAdminConcatenada!$A:$A, 0)), ISNUMBER(MATCH(DN$1, AsistenciaJetAdminConcatenada!$B:$B, 0)), ISNUMBER(SEARCH($A6,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ISNUMBER(SEARCH($A6, INDEX(AsistenciaJetAdminConcatenada!$D:$D, MATCH(1, (AsistenciaJetAdminConcatenada!$A:$A=DN$2)*(AsistenciaJetAdminConcatenada!$B:$B=DN$1), 0)), 1))),  0.5, 0))</f>
        <v>0</v>
      </c>
      <c r="DO6" s="47">
        <f t="array" ref="DO6">IF(AND(ISNUMBER(MATCH(DO$2, AsistenciaJetAdminConcatenada!$A:$A, 0)), ISNUMBER(MATCH(DO$1, AsistenciaJetAdminConcatenada!$B:$B, 0)), ISNUMBER(SEARCH($A6,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ISNUMBER(SEARCH($A6, INDEX(AsistenciaJetAdminConcatenada!$D:$D, MATCH(1, (AsistenciaJetAdminConcatenada!$A:$A=DO$2)*(AsistenciaJetAdminConcatenada!$B:$B=DO$1), 0)), 1))),  0.5, 0))</f>
        <v>0</v>
      </c>
      <c r="DP6" s="47">
        <f t="array" ref="DP6">IF(AND(ISNUMBER(MATCH(DP$2, AsistenciaJetAdminConcatenada!$A:$A, 0)), ISNUMBER(MATCH(DP$1, AsistenciaJetAdminConcatenada!$B:$B, 0)), ISNUMBER(SEARCH($A6,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ISNUMBER(SEARCH($A6, INDEX(AsistenciaJetAdminConcatenada!$D:$D, MATCH(1, (AsistenciaJetAdminConcatenada!$A:$A=DP$2)*(AsistenciaJetAdminConcatenada!$B:$B=DP$1), 0)), 1))),  0.5, 0))</f>
        <v>0</v>
      </c>
      <c r="DQ6" s="47">
        <f t="array" ref="DQ6">IF(AND(ISNUMBER(MATCH(DQ$2, AsistenciaJetAdminConcatenada!$A:$A, 0)), ISNUMBER(MATCH(DQ$1, AsistenciaJetAdminConcatenada!$B:$B, 0)), ISNUMBER(SEARCH($A6,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ISNUMBER(SEARCH($A6, INDEX(AsistenciaJetAdminConcatenada!$D:$D, MATCH(1, (AsistenciaJetAdminConcatenada!$A:$A=DQ$2)*(AsistenciaJetAdminConcatenada!$B:$B=DQ$1), 0)), 1))),  0.5, 0))</f>
        <v>0</v>
      </c>
      <c r="DR6" s="47">
        <f t="array" ref="DR6">IF(AND(ISNUMBER(MATCH(DR$2, AsistenciaJetAdminConcatenada!$A:$A, 0)), ISNUMBER(MATCH(DR$1, AsistenciaJetAdminConcatenada!$B:$B, 0)), ISNUMBER(SEARCH($A6,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ISNUMBER(SEARCH($A6, INDEX(AsistenciaJetAdminConcatenada!$D:$D, MATCH(1, (AsistenciaJetAdminConcatenada!$A:$A=DR$2)*(AsistenciaJetAdminConcatenada!$B:$B=DR$1), 0)), 1))),  0.5, 0))</f>
        <v>0</v>
      </c>
      <c r="DS6" s="47">
        <f t="array" ref="DS6">IF(AND(ISNUMBER(MATCH(DS$2, AsistenciaJetAdminConcatenada!$A:$A, 0)), ISNUMBER(MATCH(DS$1, AsistenciaJetAdminConcatenada!$B:$B, 0)), ISNUMBER(SEARCH($A6,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ISNUMBER(SEARCH($A6, INDEX(AsistenciaJetAdminConcatenada!$D:$D, MATCH(1, (AsistenciaJetAdminConcatenada!$A:$A=DS$2)*(AsistenciaJetAdminConcatenada!$B:$B=DS$1), 0)), 1))),  0.5, 0))</f>
        <v>0</v>
      </c>
      <c r="DT6" s="47">
        <f t="array" ref="DT6">IF(AND(ISNUMBER(MATCH(DT$2, AsistenciaJetAdminConcatenada!$A:$A, 0)), ISNUMBER(MATCH(DT$1, AsistenciaJetAdminConcatenada!$B:$B, 0)), ISNUMBER(SEARCH($A6,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ISNUMBER(SEARCH($A6, INDEX(AsistenciaJetAdminConcatenada!$D:$D, MATCH(1, (AsistenciaJetAdminConcatenada!$A:$A=DT$2)*(AsistenciaJetAdminConcatenada!$B:$B=DT$1), 0)), 1))),  0.5, 0))</f>
        <v>0</v>
      </c>
      <c r="DU6" s="47">
        <f t="array" ref="DU6">IF(AND(ISNUMBER(MATCH(DU$2, AsistenciaJetAdminConcatenada!$A:$A, 0)), ISNUMBER(MATCH(DU$1, AsistenciaJetAdminConcatenada!$B:$B, 0)), ISNUMBER(SEARCH($A6,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ISNUMBER(SEARCH($A6, INDEX(AsistenciaJetAdminConcatenada!$D:$D, MATCH(1, (AsistenciaJetAdminConcatenada!$A:$A=DU$2)*(AsistenciaJetAdminConcatenada!$B:$B=DU$1), 0)), 1))),  0.5, 0))</f>
        <v>0</v>
      </c>
      <c r="DV6" s="47">
        <f t="array" ref="DV6">IF(AND(ISNUMBER(MATCH(DV$2, AsistenciaJetAdminConcatenada!$A:$A, 0)), ISNUMBER(MATCH(DV$1, AsistenciaJetAdminConcatenada!$B:$B, 0)), ISNUMBER(SEARCH($A6,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ISNUMBER(SEARCH($A6, INDEX(AsistenciaJetAdminConcatenada!$D:$D, MATCH(1, (AsistenciaJetAdminConcatenada!$A:$A=DV$2)*(AsistenciaJetAdminConcatenada!$B:$B=DV$1), 0)), 1))),  0.5, 0))</f>
        <v>0</v>
      </c>
      <c r="DW6" s="47">
        <f t="array" ref="DW6">IF(AND(ISNUMBER(MATCH(DW$2, AsistenciaJetAdminConcatenada!$A:$A, 0)), ISNUMBER(MATCH(DW$1, AsistenciaJetAdminConcatenada!$B:$B, 0)), ISNUMBER(SEARCH($A6,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ISNUMBER(SEARCH($A6, INDEX(AsistenciaJetAdminConcatenada!$D:$D, MATCH(1, (AsistenciaJetAdminConcatenada!$A:$A=DW$2)*(AsistenciaJetAdminConcatenada!$B:$B=DW$1), 0)), 1))),  0.5, 0))</f>
        <v>0</v>
      </c>
      <c r="DX6" s="47">
        <f t="array" ref="DX6">IF(AND(ISNUMBER(MATCH(DX$2, AsistenciaJetAdminConcatenada!$A:$A, 0)), ISNUMBER(MATCH(DX$1, AsistenciaJetAdminConcatenada!$B:$B, 0)), ISNUMBER(SEARCH($A6,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ISNUMBER(SEARCH($A6, INDEX(AsistenciaJetAdminConcatenada!$D:$D, MATCH(1, (AsistenciaJetAdminConcatenada!$A:$A=DX$2)*(AsistenciaJetAdminConcatenada!$B:$B=DX$1), 0)), 1))),  0.5, 0))</f>
        <v>0</v>
      </c>
      <c r="DY6" s="47">
        <f t="array" ref="DY6">IF(AND(ISNUMBER(MATCH(DY$2, AsistenciaJetAdminConcatenada!$A:$A, 0)), ISNUMBER(MATCH(DY$1, AsistenciaJetAdminConcatenada!$B:$B, 0)), ISNUMBER(SEARCH($A6,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ISNUMBER(SEARCH($A6, INDEX(AsistenciaJetAdminConcatenada!$D:$D, MATCH(1, (AsistenciaJetAdminConcatenada!$A:$A=DY$2)*(AsistenciaJetAdminConcatenada!$B:$B=DY$1), 0)), 1))),  0.5, 0))</f>
        <v>0</v>
      </c>
      <c r="DZ6" s="47">
        <f t="array" ref="DZ6">IF(AND(ISNUMBER(MATCH(DZ$2, AsistenciaJetAdminConcatenada!$A:$A, 0)), ISNUMBER(MATCH(DZ$1, AsistenciaJetAdminConcatenada!$B:$B, 0)), ISNUMBER(SEARCH($A6,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ISNUMBER(SEARCH($A6, INDEX(AsistenciaJetAdminConcatenada!$D:$D, MATCH(1, (AsistenciaJetAdminConcatenada!$A:$A=DZ$2)*(AsistenciaJetAdminConcatenada!$B:$B=DZ$1), 0)), 1))),  0.5, 0))</f>
        <v>0</v>
      </c>
      <c r="EA6" s="47">
        <f t="array" ref="EA6">IF(AND(ISNUMBER(MATCH(EA$2, AsistenciaJetAdminConcatenada!$A:$A, 0)), ISNUMBER(MATCH(EA$1, AsistenciaJetAdminConcatenada!$B:$B, 0)), ISNUMBER(SEARCH($A6,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ISNUMBER(SEARCH($A6, INDEX(AsistenciaJetAdminConcatenada!$D:$D, MATCH(1, (AsistenciaJetAdminConcatenada!$A:$A=EA$2)*(AsistenciaJetAdminConcatenada!$B:$B=EA$1), 0)), 1))),  0.5, 0))</f>
        <v>0</v>
      </c>
      <c r="EB6" s="47">
        <f t="array" ref="EB6">IF(AND(ISNUMBER(MATCH(EB$2, AsistenciaJetAdminConcatenada!$A:$A, 0)), ISNUMBER(MATCH(EB$1, AsistenciaJetAdminConcatenada!$B:$B, 0)), ISNUMBER(SEARCH($A6,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ISNUMBER(SEARCH($A6, INDEX(AsistenciaJetAdminConcatenada!$D:$D, MATCH(1, (AsistenciaJetAdminConcatenada!$A:$A=EB$2)*(AsistenciaJetAdminConcatenada!$B:$B=EB$1), 0)), 1))),  0.5, 0))</f>
        <v>0</v>
      </c>
      <c r="EC6" s="47">
        <f t="array" ref="EC6">IF(AND(ISNUMBER(MATCH(EC$2, AsistenciaJetAdminConcatenada!$A:$A, 0)), ISNUMBER(MATCH(EC$1, AsistenciaJetAdminConcatenada!$B:$B, 0)), ISNUMBER(SEARCH($A6,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ISNUMBER(SEARCH($A6, INDEX(AsistenciaJetAdminConcatenada!$D:$D, MATCH(1, (AsistenciaJetAdminConcatenada!$A:$A=EC$2)*(AsistenciaJetAdminConcatenada!$B:$B=EC$1), 0)), 1))),  0.5, 0))</f>
        <v>0</v>
      </c>
      <c r="ED6" s="47">
        <f t="array" ref="ED6">IF(AND(ISNUMBER(MATCH(ED$2, AsistenciaJetAdminConcatenada!$A:$A, 0)), ISNUMBER(MATCH(ED$1, AsistenciaJetAdminConcatenada!$B:$B, 0)), ISNUMBER(SEARCH($A6,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ISNUMBER(SEARCH($A6, INDEX(AsistenciaJetAdminConcatenada!$D:$D, MATCH(1, (AsistenciaJetAdminConcatenada!$A:$A=ED$2)*(AsistenciaJetAdminConcatenada!$B:$B=ED$1), 0)), 1))),  0.5, 0))</f>
        <v>0</v>
      </c>
      <c r="EE6" s="47">
        <f t="array" ref="EE6">IF(AND(ISNUMBER(MATCH(EE$2, AsistenciaJetAdminConcatenada!$A:$A, 0)), ISNUMBER(MATCH(EE$1, AsistenciaJetAdminConcatenada!$B:$B, 0)), ISNUMBER(SEARCH($A6,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ISNUMBER(SEARCH($A6, INDEX(AsistenciaJetAdminConcatenada!$D:$D, MATCH(1, (AsistenciaJetAdminConcatenada!$A:$A=EE$2)*(AsistenciaJetAdminConcatenada!$B:$B=EE$1), 0)), 1))),  0.5, 0))</f>
        <v>0</v>
      </c>
      <c r="EF6" s="47">
        <f t="array" ref="EF6">IF(AND(ISNUMBER(MATCH(EF$2, AsistenciaJetAdminConcatenada!$A:$A, 0)), ISNUMBER(MATCH(EF$1, AsistenciaJetAdminConcatenada!$B:$B, 0)), ISNUMBER(SEARCH($A6,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ISNUMBER(SEARCH($A6, INDEX(AsistenciaJetAdminConcatenada!$D:$D, MATCH(1, (AsistenciaJetAdminConcatenada!$A:$A=EF$2)*(AsistenciaJetAdminConcatenada!$B:$B=EF$1), 0)), 1))),  0.5, 0))</f>
        <v>0</v>
      </c>
      <c r="EG6" s="47">
        <f t="array" ref="EG6">IF(AND(ISNUMBER(MATCH(EG$2, AsistenciaJetAdminConcatenada!$A:$A, 0)), ISNUMBER(MATCH(EG$1, AsistenciaJetAdminConcatenada!$B:$B, 0)), ISNUMBER(SEARCH($A6,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ISNUMBER(SEARCH($A6, INDEX(AsistenciaJetAdminConcatenada!$D:$D, MATCH(1, (AsistenciaJetAdminConcatenada!$A:$A=EG$2)*(AsistenciaJetAdminConcatenada!$B:$B=EG$1), 0)), 1))),  0.5, 0))</f>
        <v>0</v>
      </c>
      <c r="EH6" s="47">
        <f t="array" ref="EH6">IF(AND(ISNUMBER(MATCH(EH$2, AsistenciaJetAdminConcatenada!$A:$A, 0)), ISNUMBER(MATCH(EH$1, AsistenciaJetAdminConcatenada!$B:$B, 0)), ISNUMBER(SEARCH($A6,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ISNUMBER(SEARCH($A6, INDEX(AsistenciaJetAdminConcatenada!$D:$D, MATCH(1, (AsistenciaJetAdminConcatenada!$A:$A=EH$2)*(AsistenciaJetAdminConcatenada!$B:$B=EH$1), 0)), 1))),  0.5, 0))</f>
        <v>0</v>
      </c>
      <c r="EI6" s="47">
        <f t="array" ref="EI6">IF(AND(ISNUMBER(MATCH(EI$2, AsistenciaJetAdminConcatenada!$A:$A, 0)), ISNUMBER(MATCH(EI$1, AsistenciaJetAdminConcatenada!$B:$B, 0)), ISNUMBER(SEARCH($A6,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ISNUMBER(SEARCH($A6, INDEX(AsistenciaJetAdminConcatenada!$D:$D, MATCH(1, (AsistenciaJetAdminConcatenada!$A:$A=EI$2)*(AsistenciaJetAdminConcatenada!$B:$B=EI$1), 0)), 1))),  0.5, 0))</f>
        <v>0</v>
      </c>
      <c r="EJ6" s="47">
        <f t="array" ref="EJ6">IF(AND(ISNUMBER(MATCH(EJ$2, AsistenciaJetAdminConcatenada!$A:$A, 0)), ISNUMBER(MATCH(EJ$1, AsistenciaJetAdminConcatenada!$B:$B, 0)), ISNUMBER(SEARCH($A6,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ISNUMBER(SEARCH($A6, INDEX(AsistenciaJetAdminConcatenada!$D:$D, MATCH(1, (AsistenciaJetAdminConcatenada!$A:$A=EJ$2)*(AsistenciaJetAdminConcatenada!$B:$B=EJ$1), 0)), 1))),  0.5, 0))</f>
        <v>0</v>
      </c>
      <c r="EK6" s="47">
        <f t="array" ref="EK6">IF(AND(ISNUMBER(MATCH(EK$2, AsistenciaJetAdminConcatenada!$A:$A, 0)), ISNUMBER(MATCH(EK$1, AsistenciaJetAdminConcatenada!$B:$B, 0)), ISNUMBER(SEARCH($A6,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ISNUMBER(SEARCH($A6, INDEX(AsistenciaJetAdminConcatenada!$D:$D, MATCH(1, (AsistenciaJetAdminConcatenada!$A:$A=EK$2)*(AsistenciaJetAdminConcatenada!$B:$B=EK$1), 0)), 1))),  0.5, 0))</f>
        <v>0</v>
      </c>
      <c r="EL6" s="47">
        <f t="array" ref="EL6">IF(AND(ISNUMBER(MATCH(EL$2, AsistenciaJetAdminConcatenada!$A:$A, 0)), ISNUMBER(MATCH(EL$1, AsistenciaJetAdminConcatenada!$B:$B, 0)), ISNUMBER(SEARCH($A6,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ISNUMBER(SEARCH($A6, INDEX(AsistenciaJetAdminConcatenada!$D:$D, MATCH(1, (AsistenciaJetAdminConcatenada!$A:$A=EL$2)*(AsistenciaJetAdminConcatenada!$B:$B=EL$1), 0)), 1))),  0.5, 0))</f>
        <v>0</v>
      </c>
      <c r="EM6" s="47">
        <f t="array" ref="EM6">IF(AND(ISNUMBER(MATCH(EM$2, AsistenciaJetAdminConcatenada!$A:$A, 0)), ISNUMBER(MATCH(EM$1, AsistenciaJetAdminConcatenada!$B:$B, 0)), ISNUMBER(SEARCH($A6,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ISNUMBER(SEARCH($A6, INDEX(AsistenciaJetAdminConcatenada!$D:$D, MATCH(1, (AsistenciaJetAdminConcatenada!$A:$A=EM$2)*(AsistenciaJetAdminConcatenada!$B:$B=EM$1), 0)), 1))),  0.5, 0))</f>
        <v>0</v>
      </c>
      <c r="EN6" s="47">
        <f t="array" ref="EN6">IF(AND(ISNUMBER(MATCH(EN$2, AsistenciaJetAdminConcatenada!$A:$A, 0)), ISNUMBER(MATCH(EN$1, AsistenciaJetAdminConcatenada!$B:$B, 0)), ISNUMBER(SEARCH($A6,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ISNUMBER(SEARCH($A6, INDEX(AsistenciaJetAdminConcatenada!$D:$D, MATCH(1, (AsistenciaJetAdminConcatenada!$A:$A=EN$2)*(AsistenciaJetAdminConcatenada!$B:$B=EN$1), 0)), 1))),  0.5, 0))</f>
        <v>0</v>
      </c>
      <c r="EO6" s="47">
        <f t="array" ref="EO6">IF(AND(ISNUMBER(MATCH(EO$2, AsistenciaJetAdminConcatenada!$A:$A, 0)), ISNUMBER(MATCH(EO$1, AsistenciaJetAdminConcatenada!$B:$B, 0)), ISNUMBER(SEARCH($A6,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ISNUMBER(SEARCH($A6, INDEX(AsistenciaJetAdminConcatenada!$D:$D, MATCH(1, (AsistenciaJetAdminConcatenada!$A:$A=EO$2)*(AsistenciaJetAdminConcatenada!$B:$B=EO$1), 0)), 1))),  0.5, 0))</f>
        <v>0</v>
      </c>
      <c r="EP6" s="47">
        <f t="array" ref="EP6">IF(AND(ISNUMBER(MATCH(EP$2, AsistenciaJetAdminConcatenada!$A:$A, 0)), ISNUMBER(MATCH(EP$1, AsistenciaJetAdminConcatenada!$B:$B, 0)), ISNUMBER(SEARCH($A6,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ISNUMBER(SEARCH($A6, INDEX(AsistenciaJetAdminConcatenada!$D:$D, MATCH(1, (AsistenciaJetAdminConcatenada!$A:$A=EP$2)*(AsistenciaJetAdminConcatenada!$B:$B=EP$1), 0)), 1))),  0.5, 0))</f>
        <v>0</v>
      </c>
      <c r="EQ6" s="47">
        <f t="array" ref="EQ6">IF(AND(ISNUMBER(MATCH(EQ$2, AsistenciaJetAdminConcatenada!$A:$A, 0)), ISNUMBER(MATCH(EQ$1, AsistenciaJetAdminConcatenada!$B:$B, 0)), ISNUMBER(SEARCH($A6,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ISNUMBER(SEARCH($A6, INDEX(AsistenciaJetAdminConcatenada!$D:$D, MATCH(1, (AsistenciaJetAdminConcatenada!$A:$A=EQ$2)*(AsistenciaJetAdminConcatenada!$B:$B=EQ$1), 0)), 1))),  0.5, 0))</f>
        <v>0</v>
      </c>
      <c r="ER6" s="47">
        <f t="array" ref="ER6">IF(AND(ISNUMBER(MATCH(ER$2, AsistenciaJetAdminConcatenada!$A:$A, 0)), ISNUMBER(MATCH(ER$1, AsistenciaJetAdminConcatenada!$B:$B, 0)), ISNUMBER(SEARCH($A6,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ISNUMBER(SEARCH($A6, INDEX(AsistenciaJetAdminConcatenada!$D:$D, MATCH(1, (AsistenciaJetAdminConcatenada!$A:$A=ER$2)*(AsistenciaJetAdminConcatenada!$B:$B=ER$1), 0)), 1))),  0.5, 0))</f>
        <v>0</v>
      </c>
      <c r="ES6" s="47">
        <f t="array" ref="ES6">IF(AND(ISNUMBER(MATCH(ES$2, AsistenciaJetAdminConcatenada!$A:$A, 0)), ISNUMBER(MATCH(ES$1, AsistenciaJetAdminConcatenada!$B:$B, 0)), ISNUMBER(SEARCH($A6,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ISNUMBER(SEARCH($A6, INDEX(AsistenciaJetAdminConcatenada!$D:$D, MATCH(1, (AsistenciaJetAdminConcatenada!$A:$A=ES$2)*(AsistenciaJetAdminConcatenada!$B:$B=ES$1), 0)), 1))),  0.5, 0))</f>
        <v>0</v>
      </c>
      <c r="ET6" s="47">
        <f t="array" ref="ET6">IF(AND(ISNUMBER(MATCH(ET$2, AsistenciaJetAdminConcatenada!$A:$A, 0)), ISNUMBER(MATCH(ET$1, AsistenciaJetAdminConcatenada!$B:$B, 0)), ISNUMBER(SEARCH($A6,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ISNUMBER(SEARCH($A6, INDEX(AsistenciaJetAdminConcatenada!$D:$D, MATCH(1, (AsistenciaJetAdminConcatenada!$A:$A=ET$2)*(AsistenciaJetAdminConcatenada!$B:$B=ET$1), 0)), 1))),  0.5, 0))</f>
        <v>0</v>
      </c>
      <c r="EU6" s="47">
        <f t="array" ref="EU6">IF(AND(ISNUMBER(MATCH(EU$2, AsistenciaJetAdminConcatenada!$A:$A, 0)), ISNUMBER(MATCH(EU$1, AsistenciaJetAdminConcatenada!$B:$B, 0)), ISNUMBER(SEARCH($A6,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ISNUMBER(SEARCH($A6, INDEX(AsistenciaJetAdminConcatenada!$D:$D, MATCH(1, (AsistenciaJetAdminConcatenada!$A:$A=EU$2)*(AsistenciaJetAdminConcatenada!$B:$B=EU$1), 0)), 1))),  0.5, 0))</f>
        <v>0</v>
      </c>
      <c r="EV6" s="47">
        <f t="array" ref="EV6">IF(AND(ISNUMBER(MATCH(EV$2, AsistenciaJetAdminConcatenada!$A:$A, 0)), ISNUMBER(MATCH(EV$1, AsistenciaJetAdminConcatenada!$B:$B, 0)), ISNUMBER(SEARCH($A6,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ISNUMBER(SEARCH($A6, INDEX(AsistenciaJetAdminConcatenada!$D:$D, MATCH(1, (AsistenciaJetAdminConcatenada!$A:$A=EV$2)*(AsistenciaJetAdminConcatenada!$B:$B=EV$1), 0)), 1))),  0.5, 0))</f>
        <v>0</v>
      </c>
      <c r="EW6" s="47">
        <f t="array" ref="EW6">IF(AND(ISNUMBER(MATCH(EW$2, AsistenciaJetAdminConcatenada!$A:$A, 0)), ISNUMBER(MATCH(EW$1, AsistenciaJetAdminConcatenada!$B:$B, 0)), ISNUMBER(SEARCH($A6,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ISNUMBER(SEARCH($A6, INDEX(AsistenciaJetAdminConcatenada!$D:$D, MATCH(1, (AsistenciaJetAdminConcatenada!$A:$A=EW$2)*(AsistenciaJetAdminConcatenada!$B:$B=EW$1), 0)), 1))),  0.5, 0))</f>
        <v>0</v>
      </c>
      <c r="EX6" s="47">
        <f t="array" ref="EX6">IF(AND(ISNUMBER(MATCH(EX$2, AsistenciaJetAdminConcatenada!$A:$A, 0)), ISNUMBER(MATCH(EX$1, AsistenciaJetAdminConcatenada!$B:$B, 0)), ISNUMBER(SEARCH($A6,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ISNUMBER(SEARCH($A6, INDEX(AsistenciaJetAdminConcatenada!$D:$D, MATCH(1, (AsistenciaJetAdminConcatenada!$A:$A=EX$2)*(AsistenciaJetAdminConcatenada!$B:$B=EX$1), 0)), 1))),  0.5, 0))</f>
        <v>0</v>
      </c>
      <c r="EY6" s="47">
        <f t="array" ref="EY6">IF(AND(ISNUMBER(MATCH(EY$2, AsistenciaJetAdminConcatenada!$A:$A, 0)), ISNUMBER(MATCH(EY$1, AsistenciaJetAdminConcatenada!$B:$B, 0)), ISNUMBER(SEARCH($A6,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ISNUMBER(SEARCH($A6, INDEX(AsistenciaJetAdminConcatenada!$D:$D, MATCH(1, (AsistenciaJetAdminConcatenada!$A:$A=EY$2)*(AsistenciaJetAdminConcatenada!$B:$B=EY$1), 0)), 1))),  0.5, 0))</f>
        <v>0</v>
      </c>
      <c r="EZ6" s="47">
        <f t="array" ref="EZ6">IF(AND(ISNUMBER(MATCH(EZ$2, AsistenciaJetAdminConcatenada!$A:$A, 0)), ISNUMBER(MATCH(EZ$1, AsistenciaJetAdminConcatenada!$B:$B, 0)), ISNUMBER(SEARCH($A6,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ISNUMBER(SEARCH($A6, INDEX(AsistenciaJetAdminConcatenada!$D:$D, MATCH(1, (AsistenciaJetAdminConcatenada!$A:$A=EZ$2)*(AsistenciaJetAdminConcatenada!$B:$B=EZ$1), 0)), 1))),  0.5, 0))</f>
        <v>0</v>
      </c>
      <c r="FA6" s="47">
        <f t="array" ref="FA6">IF(AND(ISNUMBER(MATCH(FA$2, AsistenciaJetAdminConcatenada!$A:$A, 0)), ISNUMBER(MATCH(FA$1, AsistenciaJetAdminConcatenada!$B:$B, 0)), ISNUMBER(SEARCH($A6,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ISNUMBER(SEARCH($A6, INDEX(AsistenciaJetAdminConcatenada!$D:$D, MATCH(1, (AsistenciaJetAdminConcatenada!$A:$A=FA$2)*(AsistenciaJetAdminConcatenada!$B:$B=FA$1), 0)), 1))),  0.5, 0))</f>
        <v>0</v>
      </c>
      <c r="FB6" s="47">
        <f t="array" ref="FB6">IF(AND(ISNUMBER(MATCH(FB$2, AsistenciaJetAdminConcatenada!$A:$A, 0)), ISNUMBER(MATCH(FB$1, AsistenciaJetAdminConcatenada!$B:$B, 0)), ISNUMBER(SEARCH($A6,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ISNUMBER(SEARCH($A6, INDEX(AsistenciaJetAdminConcatenada!$D:$D, MATCH(1, (AsistenciaJetAdminConcatenada!$A:$A=FB$2)*(AsistenciaJetAdminConcatenada!$B:$B=FB$1), 0)), 1))),  0.5, 0))</f>
        <v>0</v>
      </c>
      <c r="FC6" s="47">
        <f t="array" ref="FC6">IF(AND(ISNUMBER(MATCH(FC$2, AsistenciaJetAdminConcatenada!$A:$A, 0)), ISNUMBER(MATCH(FC$1, AsistenciaJetAdminConcatenada!$B:$B, 0)), ISNUMBER(SEARCH($A6,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ISNUMBER(SEARCH($A6, INDEX(AsistenciaJetAdminConcatenada!$D:$D, MATCH(1, (AsistenciaJetAdminConcatenada!$A:$A=FC$2)*(AsistenciaJetAdminConcatenada!$B:$B=FC$1), 0)), 1))),  0.5, 0))</f>
        <v>0</v>
      </c>
      <c r="FD6" s="47">
        <f t="array" ref="FD6">IF(AND(ISNUMBER(MATCH(FD$2, AsistenciaJetAdminConcatenada!$A:$A, 0)), ISNUMBER(MATCH(FD$1, AsistenciaJetAdminConcatenada!$B:$B, 0)), ISNUMBER(SEARCH($A6,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ISNUMBER(SEARCH($A6, INDEX(AsistenciaJetAdminConcatenada!$D:$D, MATCH(1, (AsistenciaJetAdminConcatenada!$A:$A=FD$2)*(AsistenciaJetAdminConcatenada!$B:$B=FD$1), 0)), 1))),  0.5, 0))</f>
        <v>0</v>
      </c>
      <c r="FE6" s="47">
        <f t="array" ref="FE6">IF(AND(ISNUMBER(MATCH(FE$2, AsistenciaJetAdminConcatenada!$A:$A, 0)), ISNUMBER(MATCH(FE$1, AsistenciaJetAdminConcatenada!$B:$B, 0)), ISNUMBER(SEARCH($A6,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ISNUMBER(SEARCH($A6, INDEX(AsistenciaJetAdminConcatenada!$D:$D, MATCH(1, (AsistenciaJetAdminConcatenada!$A:$A=FE$2)*(AsistenciaJetAdminConcatenada!$B:$B=FE$1), 0)), 1))),  0.5, 0))</f>
        <v>0</v>
      </c>
      <c r="FF6" s="47">
        <f t="array" ref="FF6">IF(AND(ISNUMBER(MATCH(FF$2, AsistenciaJetAdminConcatenada!$A:$A, 0)), ISNUMBER(MATCH(FF$1, AsistenciaJetAdminConcatenada!$B:$B, 0)), ISNUMBER(SEARCH($A6,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ISNUMBER(SEARCH($A6, INDEX(AsistenciaJetAdminConcatenada!$D:$D, MATCH(1, (AsistenciaJetAdminConcatenada!$A:$A=FF$2)*(AsistenciaJetAdminConcatenada!$B:$B=FF$1), 0)), 1))),  0.5, 0))</f>
        <v>0</v>
      </c>
      <c r="FG6" s="47">
        <f t="array" ref="FG6">IF(AND(ISNUMBER(MATCH(FG$2, AsistenciaJetAdminConcatenada!$A:$A, 0)), ISNUMBER(MATCH(FG$1, AsistenciaJetAdminConcatenada!$B:$B, 0)), ISNUMBER(SEARCH($A6,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ISNUMBER(SEARCH($A6, INDEX(AsistenciaJetAdminConcatenada!$D:$D, MATCH(1, (AsistenciaJetAdminConcatenada!$A:$A=FG$2)*(AsistenciaJetAdminConcatenada!$B:$B=FG$1), 0)), 1))),  0.5, 0))</f>
        <v>0</v>
      </c>
      <c r="FH6" s="47">
        <f t="array" ref="FH6">IF(AND(ISNUMBER(MATCH(FH$2, AsistenciaJetAdminConcatenada!$A:$A, 0)), ISNUMBER(MATCH(FH$1, AsistenciaJetAdminConcatenada!$B:$B, 0)), ISNUMBER(SEARCH($A6,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ISNUMBER(SEARCH($A6, INDEX(AsistenciaJetAdminConcatenada!$D:$D, MATCH(1, (AsistenciaJetAdminConcatenada!$A:$A=FH$2)*(AsistenciaJetAdminConcatenada!$B:$B=FH$1), 0)), 1))),  0.5, 0))</f>
        <v>0</v>
      </c>
      <c r="FI6" s="47">
        <f t="array" ref="FI6">IF(AND(ISNUMBER(MATCH(FI$2, AsistenciaJetAdminConcatenada!$A:$A, 0)), ISNUMBER(MATCH(FI$1, AsistenciaJetAdminConcatenada!$B:$B, 0)), ISNUMBER(SEARCH($A6,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ISNUMBER(SEARCH($A6, INDEX(AsistenciaJetAdminConcatenada!$D:$D, MATCH(1, (AsistenciaJetAdminConcatenada!$A:$A=FI$2)*(AsistenciaJetAdminConcatenada!$B:$B=FI$1), 0)), 1))),  0.5, 0))</f>
        <v>0</v>
      </c>
      <c r="FJ6" s="47">
        <f t="array" ref="FJ6">IF(AND(ISNUMBER(MATCH(FJ$2, AsistenciaJetAdminConcatenada!$A:$A, 0)), ISNUMBER(MATCH(FJ$1, AsistenciaJetAdminConcatenada!$B:$B, 0)), ISNUMBER(SEARCH($A6,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ISNUMBER(SEARCH($A6, INDEX(AsistenciaJetAdminConcatenada!$D:$D, MATCH(1, (AsistenciaJetAdminConcatenada!$A:$A=FJ$2)*(AsistenciaJetAdminConcatenada!$B:$B=FJ$1), 0)), 1))),  0.5, 0))</f>
        <v>0</v>
      </c>
      <c r="FK6" s="47">
        <f t="array" ref="FK6">IF(AND(ISNUMBER(MATCH(FK$2, AsistenciaJetAdminConcatenada!$A:$A, 0)), ISNUMBER(MATCH(FK$1, AsistenciaJetAdminConcatenada!$B:$B, 0)), ISNUMBER(SEARCH($A6,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ISNUMBER(SEARCH($A6, INDEX(AsistenciaJetAdminConcatenada!$D:$D, MATCH(1, (AsistenciaJetAdminConcatenada!$A:$A=FK$2)*(AsistenciaJetAdminConcatenada!$B:$B=FK$1), 0)), 1))),  0.5, 0))</f>
        <v>0</v>
      </c>
      <c r="FL6" s="47">
        <f t="array" ref="FL6">IF(AND(ISNUMBER(MATCH(FL$2, AsistenciaJetAdminConcatenada!$A:$A, 0)), ISNUMBER(MATCH(FL$1, AsistenciaJetAdminConcatenada!$B:$B, 0)), ISNUMBER(SEARCH($A6,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ISNUMBER(SEARCH($A6, INDEX(AsistenciaJetAdminConcatenada!$D:$D, MATCH(1, (AsistenciaJetAdminConcatenada!$A:$A=FL$2)*(AsistenciaJetAdminConcatenada!$B:$B=FL$1), 0)), 1))),  0.5, 0))</f>
        <v>0</v>
      </c>
      <c r="FM6" s="47">
        <f t="array" ref="FM6">IF(AND(ISNUMBER(MATCH(FM$2, AsistenciaJetAdminConcatenada!$A:$A, 0)), ISNUMBER(MATCH(FM$1, AsistenciaJetAdminConcatenada!$B:$B, 0)), ISNUMBER(SEARCH($A6,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ISNUMBER(SEARCH($A6, INDEX(AsistenciaJetAdminConcatenada!$D:$D, MATCH(1, (AsistenciaJetAdminConcatenada!$A:$A=FM$2)*(AsistenciaJetAdminConcatenada!$B:$B=FM$1), 0)), 1))),  0.5, 0))</f>
        <v>0</v>
      </c>
      <c r="FN6" s="47">
        <f t="array" ref="FN6">IF(AND(ISNUMBER(MATCH(FN$2, AsistenciaJetAdminConcatenada!$A:$A, 0)), ISNUMBER(MATCH(FN$1, AsistenciaJetAdminConcatenada!$B:$B, 0)), ISNUMBER(SEARCH($A6,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ISNUMBER(SEARCH($A6, INDEX(AsistenciaJetAdminConcatenada!$D:$D, MATCH(1, (AsistenciaJetAdminConcatenada!$A:$A=FN$2)*(AsistenciaJetAdminConcatenada!$B:$B=FN$1), 0)), 1))),  0.5, 0))</f>
        <v>0</v>
      </c>
      <c r="FO6" s="47">
        <f t="array" ref="FO6">IF(AND(ISNUMBER(MATCH(FO$2, AsistenciaJetAdminConcatenada!$A:$A, 0)), ISNUMBER(MATCH(FO$1, AsistenciaJetAdminConcatenada!$B:$B, 0)), ISNUMBER(SEARCH($A6,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ISNUMBER(SEARCH($A6, INDEX(AsistenciaJetAdminConcatenada!$D:$D, MATCH(1, (AsistenciaJetAdminConcatenada!$A:$A=FO$2)*(AsistenciaJetAdminConcatenada!$B:$B=FO$1), 0)), 1))),  0.5, 0))</f>
        <v>0</v>
      </c>
      <c r="FP6" s="47">
        <f t="array" ref="FP6">IF(AND(ISNUMBER(MATCH(FP$2, AsistenciaJetAdminConcatenada!$A:$A, 0)), ISNUMBER(MATCH(FP$1, AsistenciaJetAdminConcatenada!$B:$B, 0)), ISNUMBER(SEARCH($A6,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ISNUMBER(SEARCH($A6, INDEX(AsistenciaJetAdminConcatenada!$D:$D, MATCH(1, (AsistenciaJetAdminConcatenada!$A:$A=FP$2)*(AsistenciaJetAdminConcatenada!$B:$B=FP$1), 0)), 1))),  0.5, 0))</f>
        <v>0</v>
      </c>
      <c r="FQ6" s="47">
        <f t="array" ref="FQ6">IF(AND(ISNUMBER(MATCH(FQ$2, AsistenciaJetAdminConcatenada!$A:$A, 0)), ISNUMBER(MATCH(FQ$1, AsistenciaJetAdminConcatenada!$B:$B, 0)), ISNUMBER(SEARCH($A6,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ISNUMBER(SEARCH($A6, INDEX(AsistenciaJetAdminConcatenada!$D:$D, MATCH(1, (AsistenciaJetAdminConcatenada!$A:$A=FQ$2)*(AsistenciaJetAdminConcatenada!$B:$B=FQ$1), 0)), 1))),  0.5, 0))</f>
        <v>0</v>
      </c>
      <c r="FR6" s="47">
        <f t="array" ref="FR6">IF(AND(ISNUMBER(MATCH(FR$2, AsistenciaJetAdminConcatenada!$A:$A, 0)), ISNUMBER(MATCH(FR$1, AsistenciaJetAdminConcatenada!$B:$B, 0)), ISNUMBER(SEARCH($A6,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ISNUMBER(SEARCH($A6, INDEX(AsistenciaJetAdminConcatenada!$D:$D, MATCH(1, (AsistenciaJetAdminConcatenada!$A:$A=FR$2)*(AsistenciaJetAdminConcatenada!$B:$B=FR$1), 0)), 1))),  0.5, 0))</f>
        <v>0</v>
      </c>
      <c r="FS6" s="47">
        <f t="array" ref="FS6">IF(AND(ISNUMBER(MATCH(FS$2, AsistenciaJetAdminConcatenada!$A:$A, 0)), ISNUMBER(MATCH(FS$1, AsistenciaJetAdminConcatenada!$B:$B, 0)), ISNUMBER(SEARCH($A6,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ISNUMBER(SEARCH($A6, INDEX(AsistenciaJetAdminConcatenada!$D:$D, MATCH(1, (AsistenciaJetAdminConcatenada!$A:$A=FS$2)*(AsistenciaJetAdminConcatenada!$B:$B=FS$1), 0)), 1))),  0.5, 0))</f>
        <v>0</v>
      </c>
      <c r="FT6" s="47">
        <f t="array" ref="FT6">IF(AND(ISNUMBER(MATCH(FT$2, AsistenciaJetAdminConcatenada!$A:$A, 0)), ISNUMBER(MATCH(FT$1, AsistenciaJetAdminConcatenada!$B:$B, 0)), ISNUMBER(SEARCH($A6,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ISNUMBER(SEARCH($A6, INDEX(AsistenciaJetAdminConcatenada!$D:$D, MATCH(1, (AsistenciaJetAdminConcatenada!$A:$A=FT$2)*(AsistenciaJetAdminConcatenada!$B:$B=FT$1), 0)), 1))),  0.5, 0))</f>
        <v>0</v>
      </c>
      <c r="FU6" s="47">
        <f t="array" ref="FU6">IF(AND(ISNUMBER(MATCH(FU$2, AsistenciaJetAdminConcatenada!$A:$A, 0)), ISNUMBER(MATCH(FU$1, AsistenciaJetAdminConcatenada!$B:$B, 0)), ISNUMBER(SEARCH($A6,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ISNUMBER(SEARCH($A6, INDEX(AsistenciaJetAdminConcatenada!$D:$D, MATCH(1, (AsistenciaJetAdminConcatenada!$A:$A=FU$2)*(AsistenciaJetAdminConcatenada!$B:$B=FU$1), 0)), 1))),  0.5, 0))</f>
        <v>0</v>
      </c>
      <c r="FV6" s="47">
        <f t="array" ref="FV6">IF(AND(ISNUMBER(MATCH(FV$2, AsistenciaJetAdminConcatenada!$A:$A, 0)), ISNUMBER(MATCH(FV$1, AsistenciaJetAdminConcatenada!$B:$B, 0)), ISNUMBER(SEARCH($A6,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ISNUMBER(SEARCH($A6, INDEX(AsistenciaJetAdminConcatenada!$D:$D, MATCH(1, (AsistenciaJetAdminConcatenada!$A:$A=FV$2)*(AsistenciaJetAdminConcatenada!$B:$B=FV$1), 0)), 1))),  0.5, 0))</f>
        <v>0</v>
      </c>
      <c r="FW6" s="47">
        <f t="array" ref="FW6">IF(AND(ISNUMBER(MATCH(FW$2, AsistenciaJetAdminConcatenada!$A:$A, 0)), ISNUMBER(MATCH(FW$1, AsistenciaJetAdminConcatenada!$B:$B, 0)), ISNUMBER(SEARCH($A6,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ISNUMBER(SEARCH($A6, INDEX(AsistenciaJetAdminConcatenada!$D:$D, MATCH(1, (AsistenciaJetAdminConcatenada!$A:$A=FW$2)*(AsistenciaJetAdminConcatenada!$B:$B=FW$1), 0)), 1))),  0.5, 0))</f>
        <v>0</v>
      </c>
      <c r="FX6" s="47">
        <f t="array" ref="FX6">IF(AND(ISNUMBER(MATCH(FX$2, AsistenciaJetAdminConcatenada!$A:$A, 0)), ISNUMBER(MATCH(FX$1, AsistenciaJetAdminConcatenada!$B:$B, 0)), ISNUMBER(SEARCH($A6,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ISNUMBER(SEARCH($A6, INDEX(AsistenciaJetAdminConcatenada!$D:$D, MATCH(1, (AsistenciaJetAdminConcatenada!$A:$A=FX$2)*(AsistenciaJetAdminConcatenada!$B:$B=FX$1), 0)), 1))),  0.5, 0))</f>
        <v>0</v>
      </c>
      <c r="FY6" s="47">
        <f t="array" ref="FY6">IF(AND(ISNUMBER(MATCH(FY$2, AsistenciaJetAdminConcatenada!$A:$A, 0)), ISNUMBER(MATCH(FY$1, AsistenciaJetAdminConcatenada!$B:$B, 0)), ISNUMBER(SEARCH($A6,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ISNUMBER(SEARCH($A6, INDEX(AsistenciaJetAdminConcatenada!$D:$D, MATCH(1, (AsistenciaJetAdminConcatenada!$A:$A=FY$2)*(AsistenciaJetAdminConcatenada!$B:$B=FY$1), 0)), 1))),  0.5, 0))</f>
        <v>0</v>
      </c>
      <c r="FZ6" s="47">
        <f t="array" ref="FZ6">IF(AND(ISNUMBER(MATCH(FZ$2, AsistenciaJetAdminConcatenada!$A:$A, 0)), ISNUMBER(MATCH(FZ$1, AsistenciaJetAdminConcatenada!$B:$B, 0)), ISNUMBER(SEARCH($A6,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ISNUMBER(SEARCH($A6, INDEX(AsistenciaJetAdminConcatenada!$D:$D, MATCH(1, (AsistenciaJetAdminConcatenada!$A:$A=FZ$2)*(AsistenciaJetAdminConcatenada!$B:$B=FZ$1), 0)), 1))),  0.5, 0))</f>
        <v>0</v>
      </c>
      <c r="GA6" s="47">
        <f t="array" ref="GA6">IF(AND(ISNUMBER(MATCH(GA$2, AsistenciaJetAdminConcatenada!$A:$A, 0)), ISNUMBER(MATCH(GA$1, AsistenciaJetAdminConcatenada!$B:$B, 0)), ISNUMBER(SEARCH($A6,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ISNUMBER(SEARCH($A6, INDEX(AsistenciaJetAdminConcatenada!$D:$D, MATCH(1, (AsistenciaJetAdminConcatenada!$A:$A=GA$2)*(AsistenciaJetAdminConcatenada!$B:$B=GA$1), 0)), 1))),  0.5, 0))</f>
        <v>0</v>
      </c>
      <c r="GB6" s="47">
        <f t="array" ref="GB6">IF(AND(ISNUMBER(MATCH(GB$2, AsistenciaJetAdminConcatenada!$A:$A, 0)), ISNUMBER(MATCH(GB$1, AsistenciaJetAdminConcatenada!$B:$B, 0)), ISNUMBER(SEARCH($A6,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ISNUMBER(SEARCH($A6, INDEX(AsistenciaJetAdminConcatenada!$D:$D, MATCH(1, (AsistenciaJetAdminConcatenada!$A:$A=GB$2)*(AsistenciaJetAdminConcatenada!$B:$B=GB$1), 0)), 1))),  0.5, 0))</f>
        <v>0</v>
      </c>
      <c r="GC6" s="47">
        <f t="array" ref="GC6">IF(AND(ISNUMBER(MATCH(GC$2, AsistenciaJetAdminConcatenada!$A:$A, 0)), ISNUMBER(MATCH(GC$1, AsistenciaJetAdminConcatenada!$B:$B, 0)), ISNUMBER(SEARCH($A6,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ISNUMBER(SEARCH($A6, INDEX(AsistenciaJetAdminConcatenada!$D:$D, MATCH(1, (AsistenciaJetAdminConcatenada!$A:$A=GC$2)*(AsistenciaJetAdminConcatenada!$B:$B=GC$1), 0)), 1))),  0.5, 0))</f>
        <v>0</v>
      </c>
      <c r="GD6" s="47">
        <f t="array" ref="GD6">IF(AND(ISNUMBER(MATCH(GD$2, AsistenciaJetAdminConcatenada!$A:$A, 0)), ISNUMBER(MATCH(GD$1, AsistenciaJetAdminConcatenada!$B:$B, 0)), ISNUMBER(SEARCH($A6,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ISNUMBER(SEARCH($A6, INDEX(AsistenciaJetAdminConcatenada!$D:$D, MATCH(1, (AsistenciaJetAdminConcatenada!$A:$A=GD$2)*(AsistenciaJetAdminConcatenada!$B:$B=GD$1), 0)), 1))),  0.5, 0))</f>
        <v>0</v>
      </c>
      <c r="GE6" s="47">
        <f t="array" ref="GE6">IF(AND(ISNUMBER(MATCH(GE$2, AsistenciaJetAdminConcatenada!$A:$A, 0)), ISNUMBER(MATCH(GE$1, AsistenciaJetAdminConcatenada!$B:$B, 0)), ISNUMBER(SEARCH($A6,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ISNUMBER(SEARCH($A6, INDEX(AsistenciaJetAdminConcatenada!$D:$D, MATCH(1, (AsistenciaJetAdminConcatenada!$A:$A=GE$2)*(AsistenciaJetAdminConcatenada!$B:$B=GE$1), 0)), 1))),  0.5, 0))</f>
        <v>0</v>
      </c>
      <c r="GF6" s="47">
        <f t="array" ref="GF6">IF(AND(ISNUMBER(MATCH(GF$2, AsistenciaJetAdminConcatenada!$A:$A, 0)), ISNUMBER(MATCH(GF$1, AsistenciaJetAdminConcatenada!$B:$B, 0)), ISNUMBER(SEARCH($A6,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ISNUMBER(SEARCH($A6, INDEX(AsistenciaJetAdminConcatenada!$D:$D, MATCH(1, (AsistenciaJetAdminConcatenada!$A:$A=GF$2)*(AsistenciaJetAdminConcatenada!$B:$B=GF$1), 0)), 1))),  0.5, 0))</f>
        <v>0</v>
      </c>
      <c r="GG6" s="47">
        <f t="array" ref="GG6">IF(AND(ISNUMBER(MATCH(GG$2, AsistenciaJetAdminConcatenada!$A:$A, 0)), ISNUMBER(MATCH(GG$1, AsistenciaJetAdminConcatenada!$B:$B, 0)), ISNUMBER(SEARCH($A6,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ISNUMBER(SEARCH($A6, INDEX(AsistenciaJetAdminConcatenada!$D:$D, MATCH(1, (AsistenciaJetAdminConcatenada!$A:$A=GG$2)*(AsistenciaJetAdminConcatenada!$B:$B=GG$1), 0)), 1))),  0.5, 0))</f>
        <v>0</v>
      </c>
      <c r="GH6" s="47">
        <f t="array" ref="GH6">IF(AND(ISNUMBER(MATCH(GH$2, AsistenciaJetAdminConcatenada!$A:$A, 0)), ISNUMBER(MATCH(GH$1, AsistenciaJetAdminConcatenada!$B:$B, 0)), ISNUMBER(SEARCH($A6,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ISNUMBER(SEARCH($A6, INDEX(AsistenciaJetAdminConcatenada!$D:$D, MATCH(1, (AsistenciaJetAdminConcatenada!$A:$A=GH$2)*(AsistenciaJetAdminConcatenada!$B:$B=GH$1), 0)), 1))),  0.5, 0))</f>
        <v>0</v>
      </c>
      <c r="GI6" s="47">
        <f t="array" ref="GI6">IF(AND(ISNUMBER(MATCH(GI$2, AsistenciaJetAdminConcatenada!$A:$A, 0)), ISNUMBER(MATCH(GI$1, AsistenciaJetAdminConcatenada!$B:$B, 0)), ISNUMBER(SEARCH($A6,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ISNUMBER(SEARCH($A6, INDEX(AsistenciaJetAdminConcatenada!$D:$D, MATCH(1, (AsistenciaJetAdminConcatenada!$A:$A=GI$2)*(AsistenciaJetAdminConcatenada!$B:$B=GI$1), 0)), 1))),  0.5, 0))</f>
        <v>0</v>
      </c>
      <c r="GJ6" s="47">
        <f t="array" ref="GJ6">IF(AND(ISNUMBER(MATCH(GJ$2, AsistenciaJetAdminConcatenada!$A:$A, 0)), ISNUMBER(MATCH(GJ$1, AsistenciaJetAdminConcatenada!$B:$B, 0)), ISNUMBER(SEARCH($A6,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ISNUMBER(SEARCH($A6, INDEX(AsistenciaJetAdminConcatenada!$D:$D, MATCH(1, (AsistenciaJetAdminConcatenada!$A:$A=GJ$2)*(AsistenciaJetAdminConcatenada!$B:$B=GJ$1), 0)), 1))),  0.5, 0))</f>
        <v>0</v>
      </c>
      <c r="GK6" s="47">
        <f t="array" ref="GK6">IF(AND(ISNUMBER(MATCH(GK$2, AsistenciaJetAdminConcatenada!$A:$A, 0)), ISNUMBER(MATCH(GK$1, AsistenciaJetAdminConcatenada!$B:$B, 0)), ISNUMBER(SEARCH($A6,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ISNUMBER(SEARCH($A6, INDEX(AsistenciaJetAdminConcatenada!$D:$D, MATCH(1, (AsistenciaJetAdminConcatenada!$A:$A=GK$2)*(AsistenciaJetAdminConcatenada!$B:$B=GK$1), 0)), 1))),  0.5, 0))</f>
        <v>0</v>
      </c>
      <c r="GL6" s="47">
        <f t="array" ref="GL6">IF(AND(ISNUMBER(MATCH(GL$2, AsistenciaJetAdminConcatenada!$A:$A, 0)), ISNUMBER(MATCH(GL$1, AsistenciaJetAdminConcatenada!$B:$B, 0)), ISNUMBER(SEARCH($A6,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ISNUMBER(SEARCH($A6, INDEX(AsistenciaJetAdminConcatenada!$D:$D, MATCH(1, (AsistenciaJetAdminConcatenada!$A:$A=GL$2)*(AsistenciaJetAdminConcatenada!$B:$B=GL$1), 0)), 1))),  0.5, 0))</f>
        <v>0</v>
      </c>
      <c r="GM6" s="47">
        <f t="array" ref="GM6">IF(AND(ISNUMBER(MATCH(GM$2, AsistenciaJetAdminConcatenada!$A:$A, 0)), ISNUMBER(MATCH(GM$1, AsistenciaJetAdminConcatenada!$B:$B, 0)), ISNUMBER(SEARCH($A6,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ISNUMBER(SEARCH($A6, INDEX(AsistenciaJetAdminConcatenada!$D:$D, MATCH(1, (AsistenciaJetAdminConcatenada!$A:$A=GM$2)*(AsistenciaJetAdminConcatenada!$B:$B=GM$1), 0)), 1))),  0.5, 0))</f>
        <v>0</v>
      </c>
      <c r="GN6" s="47">
        <f t="array" ref="GN6">IF(AND(ISNUMBER(MATCH(GN$2, AsistenciaJetAdminConcatenada!$A:$A, 0)), ISNUMBER(MATCH(GN$1, AsistenciaJetAdminConcatenada!$B:$B, 0)), ISNUMBER(SEARCH($A6,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ISNUMBER(SEARCH($A6, INDEX(AsistenciaJetAdminConcatenada!$D:$D, MATCH(1, (AsistenciaJetAdminConcatenada!$A:$A=GN$2)*(AsistenciaJetAdminConcatenada!$B:$B=GN$1), 0)), 1))),  0.5, 0))</f>
        <v>0</v>
      </c>
      <c r="GO6" s="47">
        <f t="array" ref="GO6">IF(AND(ISNUMBER(MATCH(GO$2, AsistenciaJetAdminConcatenada!$A:$A, 0)), ISNUMBER(MATCH(GO$1, AsistenciaJetAdminConcatenada!$B:$B, 0)), ISNUMBER(SEARCH($A6,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ISNUMBER(SEARCH($A6, INDEX(AsistenciaJetAdminConcatenada!$D:$D, MATCH(1, (AsistenciaJetAdminConcatenada!$A:$A=GO$2)*(AsistenciaJetAdminConcatenada!$B:$B=GO$1), 0)), 1))),  0.5, 0))</f>
        <v>0</v>
      </c>
      <c r="GP6" s="47">
        <f t="array" ref="GP6">IF(AND(ISNUMBER(MATCH(GP$2, AsistenciaJetAdminConcatenada!$A:$A, 0)), ISNUMBER(MATCH(GP$1, AsistenciaJetAdminConcatenada!$B:$B, 0)), ISNUMBER(SEARCH($A6,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ISNUMBER(SEARCH($A6, INDEX(AsistenciaJetAdminConcatenada!$D:$D, MATCH(1, (AsistenciaJetAdminConcatenada!$A:$A=GP$2)*(AsistenciaJetAdminConcatenada!$B:$B=GP$1), 0)), 1))),  0.5, 0))</f>
        <v>0</v>
      </c>
      <c r="GQ6" s="47">
        <f t="array" ref="GQ6">IF(AND(ISNUMBER(MATCH(GQ$2, AsistenciaJetAdminConcatenada!$A:$A, 0)), ISNUMBER(MATCH(GQ$1, AsistenciaJetAdminConcatenada!$B:$B, 0)), ISNUMBER(SEARCH($A6,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ISNUMBER(SEARCH($A6, INDEX(AsistenciaJetAdminConcatenada!$D:$D, MATCH(1, (AsistenciaJetAdminConcatenada!$A:$A=GQ$2)*(AsistenciaJetAdminConcatenada!$B:$B=GQ$1), 0)), 1))),  0.5, 0))</f>
        <v>0</v>
      </c>
      <c r="GR6" s="47">
        <f t="array" ref="GR6">IF(AND(ISNUMBER(MATCH(GR$2, AsistenciaJetAdminConcatenada!$A:$A, 0)), ISNUMBER(MATCH(GR$1, AsistenciaJetAdminConcatenada!$B:$B, 0)), ISNUMBER(SEARCH($A6,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ISNUMBER(SEARCH($A6, INDEX(AsistenciaJetAdminConcatenada!$D:$D, MATCH(1, (AsistenciaJetAdminConcatenada!$A:$A=GR$2)*(AsistenciaJetAdminConcatenada!$B:$B=GR$1), 0)), 1))),  0.5, 0))</f>
        <v>0</v>
      </c>
      <c r="GS6" s="47">
        <f t="array" ref="GS6">IF(AND(ISNUMBER(MATCH(GS$2, AsistenciaJetAdminConcatenada!$A:$A, 0)), ISNUMBER(MATCH(GS$1, AsistenciaJetAdminConcatenada!$B:$B, 0)), ISNUMBER(SEARCH($A6,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ISNUMBER(SEARCH($A6, INDEX(AsistenciaJetAdminConcatenada!$D:$D, MATCH(1, (AsistenciaJetAdminConcatenada!$A:$A=GS$2)*(AsistenciaJetAdminConcatenada!$B:$B=GS$1), 0)), 1))),  0.5, 0))</f>
        <v>0</v>
      </c>
      <c r="GT6" s="47">
        <f t="array" ref="GT6">IF(AND(ISNUMBER(MATCH(GT$2, AsistenciaJetAdminConcatenada!$A:$A, 0)), ISNUMBER(MATCH(GT$1, AsistenciaJetAdminConcatenada!$B:$B, 0)), ISNUMBER(SEARCH($A6,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ISNUMBER(SEARCH($A6, INDEX(AsistenciaJetAdminConcatenada!$D:$D, MATCH(1, (AsistenciaJetAdminConcatenada!$A:$A=GT$2)*(AsistenciaJetAdminConcatenada!$B:$B=GT$1), 0)), 1))),  0.5, 0))</f>
        <v>0</v>
      </c>
      <c r="GU6" s="47">
        <f t="array" ref="GU6">IF(AND(ISNUMBER(MATCH(GU$2, AsistenciaJetAdminConcatenada!$A:$A, 0)), ISNUMBER(MATCH(GU$1, AsistenciaJetAdminConcatenada!$B:$B, 0)), ISNUMBER(SEARCH($A6,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ISNUMBER(SEARCH($A6, INDEX(AsistenciaJetAdminConcatenada!$D:$D, MATCH(1, (AsistenciaJetAdminConcatenada!$A:$A=GU$2)*(AsistenciaJetAdminConcatenada!$B:$B=GU$1), 0)), 1))),  0.5, 0))</f>
        <v>0</v>
      </c>
      <c r="GV6" s="47">
        <f t="array" ref="GV6">IF(AND(ISNUMBER(MATCH(GV$2, AsistenciaJetAdminConcatenada!$A:$A, 0)), ISNUMBER(MATCH(GV$1, AsistenciaJetAdminConcatenada!$B:$B, 0)), ISNUMBER(SEARCH($A6,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ISNUMBER(SEARCH($A6, INDEX(AsistenciaJetAdminConcatenada!$D:$D, MATCH(1, (AsistenciaJetAdminConcatenada!$A:$A=GV$2)*(AsistenciaJetAdminConcatenada!$B:$B=GV$1), 0)), 1))),  0.5, 0))</f>
        <v>0</v>
      </c>
      <c r="GW6" s="47">
        <f t="array" ref="GW6">IF(AND(ISNUMBER(MATCH(GW$2, AsistenciaJetAdminConcatenada!$A:$A, 0)), ISNUMBER(MATCH(GW$1, AsistenciaJetAdminConcatenada!$B:$B, 0)), ISNUMBER(SEARCH($A6,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ISNUMBER(SEARCH($A6, INDEX(AsistenciaJetAdminConcatenada!$D:$D, MATCH(1, (AsistenciaJetAdminConcatenada!$A:$A=GW$2)*(AsistenciaJetAdminConcatenada!$B:$B=GW$1), 0)), 1))),  0.5, 0))</f>
        <v>0</v>
      </c>
      <c r="GX6" s="47">
        <f t="array" ref="GX6">IF(AND(ISNUMBER(MATCH(GX$2, AsistenciaJetAdminConcatenada!$A:$A, 0)), ISNUMBER(MATCH(GX$1, AsistenciaJetAdminConcatenada!$B:$B, 0)), ISNUMBER(SEARCH($A6,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ISNUMBER(SEARCH($A6, INDEX(AsistenciaJetAdminConcatenada!$D:$D, MATCH(1, (AsistenciaJetAdminConcatenada!$A:$A=GX$2)*(AsistenciaJetAdminConcatenada!$B:$B=GX$1), 0)), 1))),  0.5, 0))</f>
        <v>0</v>
      </c>
      <c r="GY6" s="47">
        <f t="array" ref="GY6">IF(AND(ISNUMBER(MATCH(GY$2, AsistenciaJetAdminConcatenada!$A:$A, 0)), ISNUMBER(MATCH(GY$1, AsistenciaJetAdminConcatenada!$B:$B, 0)), ISNUMBER(SEARCH($A6,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ISNUMBER(SEARCH($A6, INDEX(AsistenciaJetAdminConcatenada!$D:$D, MATCH(1, (AsistenciaJetAdminConcatenada!$A:$A=GY$2)*(AsistenciaJetAdminConcatenada!$B:$B=GY$1), 0)), 1))),  0.5, 0))</f>
        <v>0</v>
      </c>
      <c r="GZ6" s="47">
        <f t="array" ref="GZ6">IF(AND(ISNUMBER(MATCH(GZ$2, AsistenciaJetAdminConcatenada!$A:$A, 0)), ISNUMBER(MATCH(GZ$1, AsistenciaJetAdminConcatenada!$B:$B, 0)), ISNUMBER(SEARCH($A6,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ISNUMBER(SEARCH($A6, INDEX(AsistenciaJetAdminConcatenada!$D:$D, MATCH(1, (AsistenciaJetAdminConcatenada!$A:$A=GZ$2)*(AsistenciaJetAdminConcatenada!$B:$B=GZ$1), 0)), 1))),  0.5, 0))</f>
        <v>0</v>
      </c>
      <c r="HA6" s="47">
        <f t="array" ref="HA6">IF(AND(ISNUMBER(MATCH(HA$2, AsistenciaJetAdminConcatenada!$A:$A, 0)), ISNUMBER(MATCH(HA$1, AsistenciaJetAdminConcatenada!$B:$B, 0)), ISNUMBER(SEARCH($A6,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ISNUMBER(SEARCH($A6, INDEX(AsistenciaJetAdminConcatenada!$D:$D, MATCH(1, (AsistenciaJetAdminConcatenada!$A:$A=HA$2)*(AsistenciaJetAdminConcatenada!$B:$B=HA$1), 0)), 1))),  0.5, 0))</f>
        <v>0</v>
      </c>
      <c r="HB6" s="47">
        <f t="array" ref="HB6">IF(AND(ISNUMBER(MATCH(HB$2, AsistenciaJetAdminConcatenada!$A:$A, 0)), ISNUMBER(MATCH(HB$1, AsistenciaJetAdminConcatenada!$B:$B, 0)), ISNUMBER(SEARCH($A6,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ISNUMBER(SEARCH($A6, INDEX(AsistenciaJetAdminConcatenada!$D:$D, MATCH(1, (AsistenciaJetAdminConcatenada!$A:$A=HB$2)*(AsistenciaJetAdminConcatenada!$B:$B=HB$1), 0)), 1))),  0.5, 0))</f>
        <v>0</v>
      </c>
      <c r="HC6" s="47">
        <f t="array" ref="HC6">IF(AND(ISNUMBER(MATCH(HC$2, AsistenciaJetAdminConcatenada!$A:$A, 0)), ISNUMBER(MATCH(HC$1, AsistenciaJetAdminConcatenada!$B:$B, 0)), ISNUMBER(SEARCH($A6,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ISNUMBER(SEARCH($A6, INDEX(AsistenciaJetAdminConcatenada!$D:$D, MATCH(1, (AsistenciaJetAdminConcatenada!$A:$A=HC$2)*(AsistenciaJetAdminConcatenada!$B:$B=HC$1), 0)), 1))),  0.5, 0))</f>
        <v>0</v>
      </c>
    </row>
    <row r="7" ht="29.25" customHeight="1">
      <c r="A7" s="12">
        <v>166.0</v>
      </c>
      <c r="B7" s="13" t="s">
        <v>713</v>
      </c>
      <c r="C7" s="47">
        <f>SUM(D7:HC7) + ActividadesEspeciales!C7</f>
        <v>49.5</v>
      </c>
      <c r="D7" s="47">
        <f t="array" ref="D7">IF(AND(ISNUMBER(MATCH(D$2, AsistenciaJetAdminConcatenada!$A:$A, 0)), ISNUMBER(MATCH(D$1, AsistenciaJetAdminConcatenada!$B:$B, 0)), ISNUMBER(SEARCH($A7,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ISNUMBER(SEARCH($A7, INDEX(AsistenciaJetAdminConcatenada!$D:$D, MATCH(1, (AsistenciaJetAdminConcatenada!$A:$A=D$2)*(AsistenciaJetAdminConcatenada!$B:$B=D$1), 0)), 1))),  0.5, 0))</f>
        <v>1</v>
      </c>
      <c r="E7" s="47">
        <f t="array" ref="E7">IF(AND(ISNUMBER(MATCH(E$2, AsistenciaJetAdminConcatenada!$A:$A, 0)), ISNUMBER(MATCH(E$1, AsistenciaJetAdminConcatenada!$B:$B, 0)), ISNUMBER(SEARCH($A7,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ISNUMBER(SEARCH($A7, INDEX(AsistenciaJetAdminConcatenada!$D:$D, MATCH(1, (AsistenciaJetAdminConcatenada!$A:$A=E$2)*(AsistenciaJetAdminConcatenada!$B:$B=E$1), 0)), 1))),  0.5, 0))</f>
        <v>1</v>
      </c>
      <c r="F7" s="47">
        <f t="array" ref="F7">IF(AND(ISNUMBER(MATCH(F$2, AsistenciaJetAdminConcatenada!$A:$A, 0)), ISNUMBER(MATCH(F$1, AsistenciaJetAdminConcatenada!$B:$B, 0)), ISNUMBER(SEARCH($A7,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ISNUMBER(SEARCH($A7, INDEX(AsistenciaJetAdminConcatenada!$D:$D, MATCH(1, (AsistenciaJetAdminConcatenada!$A:$A=F$2)*(AsistenciaJetAdminConcatenada!$B:$B=F$1), 0)), 1))),  0.5, 0))</f>
        <v>0.5</v>
      </c>
      <c r="G7" s="47">
        <f t="array" ref="G7">IF(AND(ISNUMBER(MATCH(G$2, AsistenciaJetAdminConcatenada!$A:$A, 0)), ISNUMBER(MATCH(G$1, AsistenciaJetAdminConcatenada!$B:$B, 0)), ISNUMBER(SEARCH($A7,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ISNUMBER(SEARCH($A7, INDEX(AsistenciaJetAdminConcatenada!$D:$D, MATCH(1, (AsistenciaJetAdminConcatenada!$A:$A=G$2)*(AsistenciaJetAdminConcatenada!$B:$B=G$1), 0)), 1))),  0.5, 0))</f>
        <v>1</v>
      </c>
      <c r="H7" s="47">
        <f t="array" ref="H7">IF(AND(ISNUMBER(MATCH(H$2, AsistenciaJetAdminConcatenada!$A:$A, 0)), ISNUMBER(MATCH(H$1, AsistenciaJetAdminConcatenada!$B:$B, 0)), ISNUMBER(SEARCH($A7,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ISNUMBER(SEARCH($A7, INDEX(AsistenciaJetAdminConcatenada!$D:$D, MATCH(1, (AsistenciaJetAdminConcatenada!$A:$A=H$2)*(AsistenciaJetAdminConcatenada!$B:$B=H$1), 0)), 1))),  0.5, 0))</f>
        <v>0.5</v>
      </c>
      <c r="I7" s="47">
        <f t="array" ref="I7">IF(AND(ISNUMBER(MATCH(I$2, AsistenciaJetAdminConcatenada!$A:$A, 0)), ISNUMBER(MATCH(I$1, AsistenciaJetAdminConcatenada!$B:$B, 0)), ISNUMBER(SEARCH($A7,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ISNUMBER(SEARCH($A7, INDEX(AsistenciaJetAdminConcatenada!$D:$D, MATCH(1, (AsistenciaJetAdminConcatenada!$A:$A=I$2)*(AsistenciaJetAdminConcatenada!$B:$B=I$1), 0)), 1))),  0.5, 0))</f>
        <v>0.5</v>
      </c>
      <c r="J7" s="47">
        <f t="array" ref="J7">IF(AND(ISNUMBER(MATCH(J$2, AsistenciaJetAdminConcatenada!$A:$A, 0)), ISNUMBER(MATCH(J$1, AsistenciaJetAdminConcatenada!$B:$B, 0)), ISNUMBER(SEARCH($A7,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ISNUMBER(SEARCH($A7, INDEX(AsistenciaJetAdminConcatenada!$D:$D, MATCH(1, (AsistenciaJetAdminConcatenada!$A:$A=J$2)*(AsistenciaJetAdminConcatenada!$B:$B=J$1), 0)), 1))),  0.5, 0))</f>
        <v>1</v>
      </c>
      <c r="K7" s="47">
        <f t="array" ref="K7">IF(AND(ISNUMBER(MATCH(K$2, AsistenciaJetAdminConcatenada!$A:$A, 0)), ISNUMBER(MATCH(K$1, AsistenciaJetAdminConcatenada!$B:$B, 0)), ISNUMBER(SEARCH($A7,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ISNUMBER(SEARCH($A7, INDEX(AsistenciaJetAdminConcatenada!$D:$D, MATCH(1, (AsistenciaJetAdminConcatenada!$A:$A=K$2)*(AsistenciaJetAdminConcatenada!$B:$B=K$1), 0)), 1))),  0.5, 0))</f>
        <v>1</v>
      </c>
      <c r="L7" s="47">
        <f t="array" ref="L7">IF(AND(ISNUMBER(MATCH(L$2, AsistenciaJetAdminConcatenada!$A:$A, 0)), ISNUMBER(MATCH(L$1, AsistenciaJetAdminConcatenada!$B:$B, 0)), ISNUMBER(SEARCH($A7,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ISNUMBER(SEARCH($A7, INDEX(AsistenciaJetAdminConcatenada!$D:$D, MATCH(1, (AsistenciaJetAdminConcatenada!$A:$A=L$2)*(AsistenciaJetAdminConcatenada!$B:$B=L$1), 0)), 1))),  0.5, 0))</f>
        <v>0</v>
      </c>
      <c r="M7" s="47">
        <f t="array" ref="M7">IF(AND(ISNUMBER(MATCH(M$2, AsistenciaJetAdminConcatenada!$A:$A, 0)), ISNUMBER(MATCH(M$1, AsistenciaJetAdminConcatenada!$B:$B, 0)), ISNUMBER(SEARCH($A7,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ISNUMBER(SEARCH($A7, INDEX(AsistenciaJetAdminConcatenada!$D:$D, MATCH(1, (AsistenciaJetAdminConcatenada!$A:$A=M$2)*(AsistenciaJetAdminConcatenada!$B:$B=M$1), 0)), 1))),  0.5, 0))</f>
        <v>1</v>
      </c>
      <c r="N7" s="47">
        <f t="array" ref="N7">IF(AND(ISNUMBER(MATCH(N$2, AsistenciaJetAdminConcatenada!$A:$A, 0)), ISNUMBER(MATCH(N$1, AsistenciaJetAdminConcatenada!$B:$B, 0)), ISNUMBER(SEARCH($A7,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ISNUMBER(SEARCH($A7, INDEX(AsistenciaJetAdminConcatenada!$D:$D, MATCH(1, (AsistenciaJetAdminConcatenada!$A:$A=N$2)*(AsistenciaJetAdminConcatenada!$B:$B=N$1), 0)), 1))),  0.5, 0))</f>
        <v>1</v>
      </c>
      <c r="O7" s="47">
        <f t="array" ref="O7">IF(AND(ISNUMBER(MATCH(O$2, AsistenciaJetAdminConcatenada!$A:$A, 0)), ISNUMBER(MATCH(O$1, AsistenciaJetAdminConcatenada!$B:$B, 0)), ISNUMBER(SEARCH($A7,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ISNUMBER(SEARCH($A7, INDEX(AsistenciaJetAdminConcatenada!$D:$D, MATCH(1, (AsistenciaJetAdminConcatenada!$A:$A=O$2)*(AsistenciaJetAdminConcatenada!$B:$B=O$1), 0)), 1))),  0.5, 0))</f>
        <v>1</v>
      </c>
      <c r="P7" s="8">
        <v>1.0</v>
      </c>
      <c r="Q7" s="47">
        <f t="array" ref="Q7">IF(AND(ISNUMBER(MATCH(Q$2, AsistenciaJetAdminConcatenada!$A:$A, 0)), ISNUMBER(MATCH(Q$1, AsistenciaJetAdminConcatenada!$B:$B, 0)), ISNUMBER(SEARCH($A7, INDEX(AsistenciaJetAdminConcatenada!$C:$C, MATCH(1, (AsistenciaJetAdminConcatenada!$A:$A=Q$2)*(AsistenciaJetAdminConcatenada!$B:$B=Q$1), 0)), 1))), 1, IF(AND(ISNUMBER(MATCH(Q$2, AsistenciaJetAdminConcatenada!$A:$A, 0)), ISNUMBER(MATCH(Q$1, AsistenciaJetAdminConcatenada!$B:$B, 0)), ISNUMBER(SEARCH($A7, INDEX(AsistenciaJetAdminConcatenada!$D:$D, MATCH(1, (AsistenciaJetAdminConcatenada!$A:$A=Q$2)*(AsistenciaJetAdminConcatenada!$B:$B=Q$1), 0)), 1))),  0.5, 0))</f>
        <v>0</v>
      </c>
      <c r="R7" s="47">
        <f t="array" ref="R7">IF(AND(ISNUMBER(MATCH(R$2, AsistenciaJetAdminConcatenada!$A:$A, 0)), ISNUMBER(MATCH(R$1, AsistenciaJetAdminConcatenada!$B:$B, 0)), ISNUMBER(SEARCH($A7,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ISNUMBER(SEARCH($A7, INDEX(AsistenciaJetAdminConcatenada!$D:$D, MATCH(1, (AsistenciaJetAdminConcatenada!$A:$A=R$2)*(AsistenciaJetAdminConcatenada!$B:$B=R$1), 0)), 1))),  0.5, 0))</f>
        <v>1</v>
      </c>
      <c r="S7" s="47">
        <f t="array" ref="S7">IF(AND(ISNUMBER(MATCH(S$2, AsistenciaJetAdminConcatenada!$A:$A, 0)), ISNUMBER(MATCH(S$1, AsistenciaJetAdminConcatenada!$B:$B, 0)), ISNUMBER(SEARCH($A7,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ISNUMBER(SEARCH($A7, INDEX(AsistenciaJetAdminConcatenada!$D:$D, MATCH(1, (AsistenciaJetAdminConcatenada!$A:$A=S$2)*(AsistenciaJetAdminConcatenada!$B:$B=S$1), 0)), 1))),  0.5, 0))</f>
        <v>1</v>
      </c>
      <c r="T7" s="47">
        <f t="array" ref="T7">IF(AND(ISNUMBER(MATCH(T$2, AsistenciaJetAdminConcatenada!$A:$A, 0)), ISNUMBER(MATCH(T$1, AsistenciaJetAdminConcatenada!$B:$B, 0)), ISNUMBER(SEARCH($A7,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ISNUMBER(SEARCH($A7, INDEX(AsistenciaJetAdminConcatenada!$D:$D, MATCH(1, (AsistenciaJetAdminConcatenada!$A:$A=T$2)*(AsistenciaJetAdminConcatenada!$B:$B=T$1), 0)), 1))),  0.5, 0))</f>
        <v>0</v>
      </c>
      <c r="U7" s="47">
        <f t="array" ref="U7">IF(AND(ISNUMBER(MATCH(U$2, AsistenciaJetAdminConcatenada!$A:$A, 0)), ISNUMBER(MATCH(U$1, AsistenciaJetAdminConcatenada!$B:$B, 0)), ISNUMBER(SEARCH($A7,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ISNUMBER(SEARCH($A7, INDEX(AsistenciaJetAdminConcatenada!$D:$D, MATCH(1, (AsistenciaJetAdminConcatenada!$A:$A=U$2)*(AsistenciaJetAdminConcatenada!$B:$B=U$1), 0)), 1))),  0.5, 0))</f>
        <v>1</v>
      </c>
      <c r="V7" s="47">
        <f t="array" ref="V7">IF(AND(ISNUMBER(MATCH(V$2, AsistenciaJetAdminConcatenada!$A:$A, 0)), ISNUMBER(MATCH(V$1, AsistenciaJetAdminConcatenada!$B:$B, 0)), ISNUMBER(SEARCH($A7,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ISNUMBER(SEARCH($A7, INDEX(AsistenciaJetAdminConcatenada!$D:$D, MATCH(1, (AsistenciaJetAdminConcatenada!$A:$A=V$2)*(AsistenciaJetAdminConcatenada!$B:$B=V$1), 0)), 1))),  0.5, 0))</f>
        <v>0</v>
      </c>
      <c r="W7" s="47">
        <f t="array" ref="W7">IF(AND(ISNUMBER(MATCH(W$2, AsistenciaJetAdminConcatenada!$A:$A, 0)), ISNUMBER(MATCH(W$1, AsistenciaJetAdminConcatenada!$B:$B, 0)), ISNUMBER(SEARCH($A7,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ISNUMBER(SEARCH($A7, INDEX(AsistenciaJetAdminConcatenada!$D:$D, MATCH(1, (AsistenciaJetAdminConcatenada!$A:$A=W$2)*(AsistenciaJetAdminConcatenada!$B:$B=W$1), 0)), 1))),  0.5, 0))</f>
        <v>0</v>
      </c>
      <c r="X7" s="47">
        <f t="array" ref="X7">IF(AND(ISNUMBER(MATCH(X$2, AsistenciaJetAdminConcatenada!$A:$A, 0)), ISNUMBER(MATCH(X$1, AsistenciaJetAdminConcatenada!$B:$B, 0)), ISNUMBER(SEARCH($A7,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ISNUMBER(SEARCH($A7, INDEX(AsistenciaJetAdminConcatenada!$D:$D, MATCH(1, (AsistenciaJetAdminConcatenada!$A:$A=X$2)*(AsistenciaJetAdminConcatenada!$B:$B=X$1), 0)), 1))),  0.5, 0))</f>
        <v>1</v>
      </c>
      <c r="Y7" s="47">
        <f t="array" ref="Y7">IF(AND(ISNUMBER(MATCH(Y$2, AsistenciaJetAdminConcatenada!$A:$A, 0)), ISNUMBER(MATCH(Y$1, AsistenciaJetAdminConcatenada!$B:$B, 0)), ISNUMBER(SEARCH($A7,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ISNUMBER(SEARCH($A7, INDEX(AsistenciaJetAdminConcatenada!$D:$D, MATCH(1, (AsistenciaJetAdminConcatenada!$A:$A=Y$2)*(AsistenciaJetAdminConcatenada!$B:$B=Y$1), 0)), 1))),  0.5, 0))</f>
        <v>0</v>
      </c>
      <c r="Z7" s="47">
        <f t="array" ref="Z7">IF(AND(ISNUMBER(MATCH(Z$2, AsistenciaJetAdminConcatenada!$A:$A, 0)), ISNUMBER(MATCH(Z$1, AsistenciaJetAdminConcatenada!$B:$B, 0)), ISNUMBER(SEARCH($A7,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ISNUMBER(SEARCH($A7, INDEX(AsistenciaJetAdminConcatenada!$D:$D, MATCH(1, (AsistenciaJetAdminConcatenada!$A:$A=Z$2)*(AsistenciaJetAdminConcatenada!$B:$B=Z$1), 0)), 1))),  0.5, 0))</f>
        <v>0</v>
      </c>
      <c r="AA7" s="47">
        <f t="array" ref="AA7">IF(AND(ISNUMBER(MATCH(AA$2, AsistenciaJetAdminConcatenada!$A:$A, 0)), ISNUMBER(MATCH(AA$1, AsistenciaJetAdminConcatenada!$B:$B, 0)), ISNUMBER(SEARCH($A7,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ISNUMBER(SEARCH($A7, INDEX(AsistenciaJetAdminConcatenada!$D:$D, MATCH(1, (AsistenciaJetAdminConcatenada!$A:$A=AA$2)*(AsistenciaJetAdminConcatenada!$B:$B=AA$1), 0)), 1))),  0.5, 0))</f>
        <v>0</v>
      </c>
      <c r="AB7" s="47">
        <f t="array" ref="AB7">IF(AND(ISNUMBER(MATCH(AB$2, AsistenciaJetAdminConcatenada!$A:$A, 0)), ISNUMBER(MATCH(AB$1, AsistenciaJetAdminConcatenada!$B:$B, 0)), ISNUMBER(SEARCH($A7,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ISNUMBER(SEARCH($A7, INDEX(AsistenciaJetAdminConcatenada!$D:$D, MATCH(1, (AsistenciaJetAdminConcatenada!$A:$A=AB$2)*(AsistenciaJetAdminConcatenada!$B:$B=AB$1), 0)), 1))),  0.5, 0))</f>
        <v>0</v>
      </c>
      <c r="AC7" s="47">
        <f t="array" ref="AC7">IF(AND(ISNUMBER(MATCH(AC$2, AsistenciaJetAdminConcatenada!$A:$A, 0)), ISNUMBER(MATCH(AC$1, AsistenciaJetAdminConcatenada!$B:$B, 0)), ISNUMBER(SEARCH($A7,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ISNUMBER(SEARCH($A7, INDEX(AsistenciaJetAdminConcatenada!$D:$D, MATCH(1, (AsistenciaJetAdminConcatenada!$A:$A=AC$2)*(AsistenciaJetAdminConcatenada!$B:$B=AC$1), 0)), 1))),  0.5, 0))</f>
        <v>0</v>
      </c>
      <c r="AD7" s="47">
        <f t="array" ref="AD7">IF(AND(ISNUMBER(MATCH(AD$2, AsistenciaJetAdminConcatenada!$A:$A, 0)), ISNUMBER(MATCH(AD$1, AsistenciaJetAdminConcatenada!$B:$B, 0)), ISNUMBER(SEARCH($A7,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ISNUMBER(SEARCH($A7, INDEX(AsistenciaJetAdminConcatenada!$D:$D, MATCH(1, (AsistenciaJetAdminConcatenada!$A:$A=AD$2)*(AsistenciaJetAdminConcatenada!$B:$B=AD$1), 0)), 1))),  0.5, 0))</f>
        <v>0</v>
      </c>
      <c r="AE7" s="47">
        <f t="array" ref="AE7">IF(AND(ISNUMBER(MATCH(AE$2, AsistenciaJetAdminConcatenada!$A:$A, 0)), ISNUMBER(MATCH(AE$1, AsistenciaJetAdminConcatenada!$B:$B, 0)), ISNUMBER(SEARCH($A7,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ISNUMBER(SEARCH($A7, INDEX(AsistenciaJetAdminConcatenada!$D:$D, MATCH(1, (AsistenciaJetAdminConcatenada!$A:$A=AE$2)*(AsistenciaJetAdminConcatenada!$B:$B=AE$1), 0)), 1))),  0.5, 0))</f>
        <v>0</v>
      </c>
      <c r="AF7" s="47">
        <f t="array" ref="AF7">IF(AND(ISNUMBER(MATCH(AF$2, AsistenciaJetAdminConcatenada!$A:$A, 0)), ISNUMBER(MATCH(AF$1, AsistenciaJetAdminConcatenada!$B:$B, 0)), ISNUMBER(SEARCH($A7,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ISNUMBER(SEARCH($A7, INDEX(AsistenciaJetAdminConcatenada!$D:$D, MATCH(1, (AsistenciaJetAdminConcatenada!$A:$A=AF$2)*(AsistenciaJetAdminConcatenada!$B:$B=AF$1), 0)), 1))),  0.5, 0))</f>
        <v>0</v>
      </c>
      <c r="AG7" s="47">
        <f t="array" ref="AG7">IF(AND(ISNUMBER(MATCH(AG$2, AsistenciaJetAdminConcatenada!$A:$A, 0)), ISNUMBER(MATCH(AG$1, AsistenciaJetAdminConcatenada!$B:$B, 0)), ISNUMBER(SEARCH($A7,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ISNUMBER(SEARCH($A7, INDEX(AsistenciaJetAdminConcatenada!$D:$D, MATCH(1, (AsistenciaJetAdminConcatenada!$A:$A=AG$2)*(AsistenciaJetAdminConcatenada!$B:$B=AG$1), 0)), 1))),  0.5, 0))</f>
        <v>0</v>
      </c>
      <c r="AH7" s="47">
        <f t="array" ref="AH7">IF(AND(ISNUMBER(MATCH(AH$2, AsistenciaJetAdminConcatenada!$A:$A, 0)), ISNUMBER(MATCH(AH$1, AsistenciaJetAdminConcatenada!$B:$B, 0)), ISNUMBER(SEARCH($A7,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ISNUMBER(SEARCH($A7, INDEX(AsistenciaJetAdminConcatenada!$D:$D, MATCH(1, (AsistenciaJetAdminConcatenada!$A:$A=AH$2)*(AsistenciaJetAdminConcatenada!$B:$B=AH$1), 0)), 1))),  0.5, 0))</f>
        <v>0</v>
      </c>
      <c r="AI7" s="47">
        <f t="array" ref="AI7">IF(AND(ISNUMBER(MATCH(AI$2, AsistenciaJetAdminConcatenada!$A:$A, 0)), ISNUMBER(MATCH(AI$1, AsistenciaJetAdminConcatenada!$B:$B, 0)), ISNUMBER(SEARCH($A7,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ISNUMBER(SEARCH($A7, INDEX(AsistenciaJetAdminConcatenada!$D:$D, MATCH(1, (AsistenciaJetAdminConcatenada!$A:$A=AI$2)*(AsistenciaJetAdminConcatenada!$B:$B=AI$1), 0)), 1))),  0.5, 0))</f>
        <v>1</v>
      </c>
      <c r="AJ7" s="47">
        <f t="array" ref="AJ7">IF(AND(ISNUMBER(MATCH(AJ$2, AsistenciaJetAdminConcatenada!$A:$A, 0)), ISNUMBER(MATCH(AJ$1, AsistenciaJetAdminConcatenada!$B:$B, 0)), ISNUMBER(SEARCH($A7,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ISNUMBER(SEARCH($A7, INDEX(AsistenciaJetAdminConcatenada!$D:$D, MATCH(1, (AsistenciaJetAdminConcatenada!$A:$A=AJ$2)*(AsistenciaJetAdminConcatenada!$B:$B=AJ$1), 0)), 1))),  0.5, 0))</f>
        <v>1</v>
      </c>
      <c r="AK7" s="47">
        <f t="array" ref="AK7">IF(AND(ISNUMBER(MATCH(AK$2, AsistenciaJetAdminConcatenada!$A:$A, 0)), ISNUMBER(MATCH(AK$1, AsistenciaJetAdminConcatenada!$B:$B, 0)), ISNUMBER(SEARCH($A7,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ISNUMBER(SEARCH($A7, INDEX(AsistenciaJetAdminConcatenada!$D:$D, MATCH(1, (AsistenciaJetAdminConcatenada!$A:$A=AK$2)*(AsistenciaJetAdminConcatenada!$B:$B=AK$1), 0)), 1))),  0.5, 0))</f>
        <v>0</v>
      </c>
      <c r="AL7" s="47">
        <f t="array" ref="AL7">IF(AND(ISNUMBER(MATCH(AL$2, AsistenciaJetAdminConcatenada!$A:$A, 0)), ISNUMBER(MATCH(AL$1, AsistenciaJetAdminConcatenada!$B:$B, 0)), ISNUMBER(SEARCH($A7,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ISNUMBER(SEARCH($A7, INDEX(AsistenciaJetAdminConcatenada!$D:$D, MATCH(1, (AsistenciaJetAdminConcatenada!$A:$A=AL$2)*(AsistenciaJetAdminConcatenada!$B:$B=AL$1), 0)), 1))),  0.5, 0))</f>
        <v>0</v>
      </c>
      <c r="AM7" s="47">
        <f t="array" ref="AM7">IF(AND(ISNUMBER(MATCH(AM$2, AsistenciaJetAdminConcatenada!$A:$A, 0)), ISNUMBER(MATCH(AM$1, AsistenciaJetAdminConcatenada!$B:$B, 0)), ISNUMBER(SEARCH($A7,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ISNUMBER(SEARCH($A7, INDEX(AsistenciaJetAdminConcatenada!$D:$D, MATCH(1, (AsistenciaJetAdminConcatenada!$A:$A=AM$2)*(AsistenciaJetAdminConcatenada!$B:$B=AM$1), 0)), 1))),  0.5, 0))</f>
        <v>0</v>
      </c>
      <c r="AN7" s="47">
        <f t="array" ref="AN7">IF(AND(ISNUMBER(MATCH(AN$2, AsistenciaJetAdminConcatenada!$A:$A, 0)), ISNUMBER(MATCH(AN$1, AsistenciaJetAdminConcatenada!$B:$B, 0)), ISNUMBER(SEARCH($A7,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ISNUMBER(SEARCH($A7, INDEX(AsistenciaJetAdminConcatenada!$D:$D, MATCH(1, (AsistenciaJetAdminConcatenada!$A:$A=AN$2)*(AsistenciaJetAdminConcatenada!$B:$B=AN$1), 0)), 1))),  0.5, 0))</f>
        <v>0</v>
      </c>
      <c r="AO7" s="47">
        <f t="array" ref="AO7">IF(AND(ISNUMBER(MATCH(AO$2, AsistenciaJetAdminConcatenada!$A:$A, 0)), ISNUMBER(MATCH(AO$1, AsistenciaJetAdminConcatenada!$B:$B, 0)), ISNUMBER(SEARCH($A7,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ISNUMBER(SEARCH($A7, INDEX(AsistenciaJetAdminConcatenada!$D:$D, MATCH(1, (AsistenciaJetAdminConcatenada!$A:$A=AO$2)*(AsistenciaJetAdminConcatenada!$B:$B=AO$1), 0)), 1))),  0.5, 0))</f>
        <v>0</v>
      </c>
      <c r="AP7" s="47">
        <f t="array" ref="AP7">IF(AND(ISNUMBER(MATCH(AP$2, AsistenciaJetAdminConcatenada!$A:$A, 0)), ISNUMBER(MATCH(AP$1, AsistenciaJetAdminConcatenada!$B:$B, 0)), ISNUMBER(SEARCH($A7,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ISNUMBER(SEARCH($A7, INDEX(AsistenciaJetAdminConcatenada!$D:$D, MATCH(1, (AsistenciaJetAdminConcatenada!$A:$A=AP$2)*(AsistenciaJetAdminConcatenada!$B:$B=AP$1), 0)), 1))),  0.5, 0))</f>
        <v>0</v>
      </c>
      <c r="AQ7" s="47">
        <f t="array" ref="AQ7">IF(AND(ISNUMBER(MATCH(AQ$2, AsistenciaJetAdminConcatenada!$A:$A, 0)), ISNUMBER(MATCH(AQ$1, AsistenciaJetAdminConcatenada!$B:$B, 0)), ISNUMBER(SEARCH($A7,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ISNUMBER(SEARCH($A7, INDEX(AsistenciaJetAdminConcatenada!$D:$D, MATCH(1, (AsistenciaJetAdminConcatenada!$A:$A=AQ$2)*(AsistenciaJetAdminConcatenada!$B:$B=AQ$1), 0)), 1))),  0.5, 0))</f>
        <v>0</v>
      </c>
      <c r="AR7" s="47">
        <f t="array" ref="AR7">IF(AND(ISNUMBER(MATCH(AR$2, AsistenciaJetAdminConcatenada!$A:$A, 0)), ISNUMBER(MATCH(AR$1, AsistenciaJetAdminConcatenada!$B:$B, 0)), ISNUMBER(SEARCH($A7,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ISNUMBER(SEARCH($A7, INDEX(AsistenciaJetAdminConcatenada!$D:$D, MATCH(1, (AsistenciaJetAdminConcatenada!$A:$A=AR$2)*(AsistenciaJetAdminConcatenada!$B:$B=AR$1), 0)), 1))),  0.5, 0))</f>
        <v>0</v>
      </c>
      <c r="AS7" s="47">
        <f t="array" ref="AS7">IF(AND(ISNUMBER(MATCH(AS$2, AsistenciaJetAdminConcatenada!$A:$A, 0)), ISNUMBER(MATCH(AS$1, AsistenciaJetAdminConcatenada!$B:$B, 0)), ISNUMBER(SEARCH($A7,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ISNUMBER(SEARCH($A7, INDEX(AsistenciaJetAdminConcatenada!$D:$D, MATCH(1, (AsistenciaJetAdminConcatenada!$A:$A=AS$2)*(AsistenciaJetAdminConcatenada!$B:$B=AS$1), 0)), 1))),  0.5, 0))</f>
        <v>1</v>
      </c>
      <c r="AT7" s="47">
        <f t="array" ref="AT7">IF(AND(ISNUMBER(MATCH(AT$2, AsistenciaJetAdminConcatenada!$A:$A, 0)), ISNUMBER(MATCH(AT$1, AsistenciaJetAdminConcatenada!$B:$B, 0)), ISNUMBER(SEARCH($A7,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ISNUMBER(SEARCH($A7, INDEX(AsistenciaJetAdminConcatenada!$D:$D, MATCH(1, (AsistenciaJetAdminConcatenada!$A:$A=AT$2)*(AsistenciaJetAdminConcatenada!$B:$B=AT$1), 0)), 1))),  0.5, 0))</f>
        <v>0</v>
      </c>
      <c r="AU7" s="47">
        <f t="array" ref="AU7">IF(AND(ISNUMBER(MATCH(AU$2, AsistenciaJetAdminConcatenada!$A:$A, 0)), ISNUMBER(MATCH(AU$1, AsistenciaJetAdminConcatenada!$B:$B, 0)), ISNUMBER(SEARCH($A7,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ISNUMBER(SEARCH($A7, INDEX(AsistenciaJetAdminConcatenada!$D:$D, MATCH(1, (AsistenciaJetAdminConcatenada!$A:$A=AU$2)*(AsistenciaJetAdminConcatenada!$B:$B=AU$1), 0)), 1))),  0.5, 0))</f>
        <v>1</v>
      </c>
      <c r="AV7" s="47">
        <f t="array" ref="AV7">IF(AND(ISNUMBER(MATCH(AV$2, AsistenciaJetAdminConcatenada!$A:$A, 0)), ISNUMBER(MATCH(AV$1, AsistenciaJetAdminConcatenada!$B:$B, 0)), ISNUMBER(SEARCH($A7,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ISNUMBER(SEARCH($A7, INDEX(AsistenciaJetAdminConcatenada!$D:$D, MATCH(1, (AsistenciaJetAdminConcatenada!$A:$A=AV$2)*(AsistenciaJetAdminConcatenada!$B:$B=AV$1), 0)), 1))),  0.5, 0))</f>
        <v>1</v>
      </c>
      <c r="AW7" s="47">
        <f t="array" ref="AW7">IF(AND(ISNUMBER(MATCH(AW$2, AsistenciaJetAdminConcatenada!$A:$A, 0)), ISNUMBER(MATCH(AW$1, AsistenciaJetAdminConcatenada!$B:$B, 0)), ISNUMBER(SEARCH($A7,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ISNUMBER(SEARCH($A7, INDEX(AsistenciaJetAdminConcatenada!$D:$D, MATCH(1, (AsistenciaJetAdminConcatenada!$A:$A=AW$2)*(AsistenciaJetAdminConcatenada!$B:$B=AW$1), 0)), 1))),  0.5, 0))</f>
        <v>0</v>
      </c>
      <c r="AX7" s="47">
        <f t="array" ref="AX7">IF(AND(ISNUMBER(MATCH(AX$2, AsistenciaJetAdminConcatenada!$A:$A, 0)), ISNUMBER(MATCH(AX$1, AsistenciaJetAdminConcatenada!$B:$B, 0)), ISNUMBER(SEARCH($A7,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ISNUMBER(SEARCH($A7, INDEX(AsistenciaJetAdminConcatenada!$D:$D, MATCH(1, (AsistenciaJetAdminConcatenada!$A:$A=AX$2)*(AsistenciaJetAdminConcatenada!$B:$B=AX$1), 0)), 1))),  0.5, 0))</f>
        <v>0</v>
      </c>
      <c r="AY7" s="47">
        <f t="array" ref="AY7">IF(AND(ISNUMBER(MATCH(AY$2, AsistenciaJetAdminConcatenada!$A:$A, 0)), ISNUMBER(MATCH(AY$1, AsistenciaJetAdminConcatenada!$B:$B, 0)), ISNUMBER(SEARCH($A7,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ISNUMBER(SEARCH($A7, INDEX(AsistenciaJetAdminConcatenada!$D:$D, MATCH(1, (AsistenciaJetAdminConcatenada!$A:$A=AY$2)*(AsistenciaJetAdminConcatenada!$B:$B=AY$1), 0)), 1))),  0.5, 0))</f>
        <v>1</v>
      </c>
      <c r="AZ7" s="47">
        <f t="array" ref="AZ7">IF(AND(ISNUMBER(MATCH(AZ$2, AsistenciaJetAdminConcatenada!$A:$A, 0)), ISNUMBER(MATCH(AZ$1, AsistenciaJetAdminConcatenada!$B:$B, 0)), ISNUMBER(SEARCH($A7,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ISNUMBER(SEARCH($A7, INDEX(AsistenciaJetAdminConcatenada!$D:$D, MATCH(1, (AsistenciaJetAdminConcatenada!$A:$A=AZ$2)*(AsistenciaJetAdminConcatenada!$B:$B=AZ$1), 0)), 1))),  0.5, 0))</f>
        <v>0</v>
      </c>
      <c r="BA7" s="47">
        <f t="array" ref="BA7">IF(AND(ISNUMBER(MATCH(BA$2, AsistenciaJetAdminConcatenada!$A:$A, 0)), ISNUMBER(MATCH(BA$1, AsistenciaJetAdminConcatenada!$B:$B, 0)), ISNUMBER(SEARCH($A7,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ISNUMBER(SEARCH($A7, INDEX(AsistenciaJetAdminConcatenada!$D:$D, MATCH(1, (AsistenciaJetAdminConcatenada!$A:$A=BA$2)*(AsistenciaJetAdminConcatenada!$B:$B=BA$1), 0)), 1))),  0.5, 0))</f>
        <v>1</v>
      </c>
      <c r="BB7" s="47">
        <f t="array" ref="BB7">IF(AND(ISNUMBER(MATCH(BB$2, AsistenciaJetAdminConcatenada!$A:$A, 0)), ISNUMBER(MATCH(BB$1, AsistenciaJetAdminConcatenada!$B:$B, 0)), ISNUMBER(SEARCH($A7,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ISNUMBER(SEARCH($A7, INDEX(AsistenciaJetAdminConcatenada!$D:$D, MATCH(1, (AsistenciaJetAdminConcatenada!$A:$A=BB$2)*(AsistenciaJetAdminConcatenada!$B:$B=BB$1), 0)), 1))),  0.5, 0))</f>
        <v>1</v>
      </c>
      <c r="BC7" s="47">
        <f t="array" ref="BC7">IF(AND(ISNUMBER(MATCH(BC$2, AsistenciaJetAdminConcatenada!$A:$A, 0)), ISNUMBER(MATCH(BC$1, AsistenciaJetAdminConcatenada!$B:$B, 0)), ISNUMBER(SEARCH($A7,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ISNUMBER(SEARCH($A7, INDEX(AsistenciaJetAdminConcatenada!$D:$D, MATCH(1, (AsistenciaJetAdminConcatenada!$A:$A=BC$2)*(AsistenciaJetAdminConcatenada!$B:$B=BC$1), 0)), 1))),  0.5, 0))</f>
        <v>0</v>
      </c>
      <c r="BD7" s="47">
        <f t="array" ref="BD7">IF(AND(ISNUMBER(MATCH(BD$2, AsistenciaJetAdminConcatenada!$A:$A, 0)), ISNUMBER(MATCH(BD$1, AsistenciaJetAdminConcatenada!$B:$B, 0)), ISNUMBER(SEARCH($A7,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ISNUMBER(SEARCH($A7, INDEX(AsistenciaJetAdminConcatenada!$D:$D, MATCH(1, (AsistenciaJetAdminConcatenada!$A:$A=BD$2)*(AsistenciaJetAdminConcatenada!$B:$B=BD$1), 0)), 1))),  0.5, 0))</f>
        <v>0</v>
      </c>
      <c r="BE7" s="47">
        <f t="array" ref="BE7">IF(AND(ISNUMBER(MATCH(BE$2, AsistenciaJetAdminConcatenada!$A:$A, 0)), ISNUMBER(MATCH(BE$1, AsistenciaJetAdminConcatenada!$B:$B, 0)), ISNUMBER(SEARCH($A7,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ISNUMBER(SEARCH($A7, INDEX(AsistenciaJetAdminConcatenada!$D:$D, MATCH(1, (AsistenciaJetAdminConcatenada!$A:$A=BE$2)*(AsistenciaJetAdminConcatenada!$B:$B=BE$1), 0)), 1))),  0.5, 0))</f>
        <v>1</v>
      </c>
      <c r="BF7" s="47">
        <f t="array" ref="BF7">IF(AND(ISNUMBER(MATCH(BF$2, AsistenciaJetAdminConcatenada!$A:$A, 0)), ISNUMBER(MATCH(BF$1, AsistenciaJetAdminConcatenada!$B:$B, 0)), ISNUMBER(SEARCH($A7,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ISNUMBER(SEARCH($A7, INDEX(AsistenciaJetAdminConcatenada!$D:$D, MATCH(1, (AsistenciaJetAdminConcatenada!$A:$A=BF$2)*(AsistenciaJetAdminConcatenada!$B:$B=BF$1), 0)), 1))),  0.5, 0))</f>
        <v>0.5</v>
      </c>
      <c r="BG7" s="47">
        <f t="array" ref="BG7">IF(AND(ISNUMBER(MATCH(BG$2, AsistenciaJetAdminConcatenada!$A:$A, 0)), ISNUMBER(MATCH(BG$1, AsistenciaJetAdminConcatenada!$B:$B, 0)), ISNUMBER(SEARCH($A7,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ISNUMBER(SEARCH($A7, INDEX(AsistenciaJetAdminConcatenada!$D:$D, MATCH(1, (AsistenciaJetAdminConcatenada!$A:$A=BG$2)*(AsistenciaJetAdminConcatenada!$B:$B=BG$1), 0)), 1))),  0.5, 0))</f>
        <v>0</v>
      </c>
      <c r="BH7" s="47">
        <f t="array" ref="BH7">IF(AND(ISNUMBER(MATCH(BH$2, AsistenciaJetAdminConcatenada!$A:$A, 0)), ISNUMBER(MATCH(BH$1, AsistenciaJetAdminConcatenada!$B:$B, 0)), ISNUMBER(SEARCH($A7,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ISNUMBER(SEARCH($A7, INDEX(AsistenciaJetAdminConcatenada!$D:$D, MATCH(1, (AsistenciaJetAdminConcatenada!$A:$A=BH$2)*(AsistenciaJetAdminConcatenada!$B:$B=BH$1), 0)), 1))),  0.5, 0))</f>
        <v>1</v>
      </c>
      <c r="BI7" s="47">
        <f t="array" ref="BI7">IF(AND(ISNUMBER(MATCH(BI$2, AsistenciaJetAdminConcatenada!$A:$A, 0)), ISNUMBER(MATCH(BI$1, AsistenciaJetAdminConcatenada!$B:$B, 0)), ISNUMBER(SEARCH($A7,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ISNUMBER(SEARCH($A7, INDEX(AsistenciaJetAdminConcatenada!$D:$D, MATCH(1, (AsistenciaJetAdminConcatenada!$A:$A=BI$2)*(AsistenciaJetAdminConcatenada!$B:$B=BI$1), 0)), 1))),  0.5, 0))</f>
        <v>0</v>
      </c>
      <c r="BJ7" s="47">
        <f t="array" ref="BJ7">IF(AND(ISNUMBER(MATCH(BJ$2, AsistenciaJetAdminConcatenada!$A:$A, 0)), ISNUMBER(MATCH(BJ$1, AsistenciaJetAdminConcatenada!$B:$B, 0)), ISNUMBER(SEARCH($A7,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ISNUMBER(SEARCH($A7, INDEX(AsistenciaJetAdminConcatenada!$D:$D, MATCH(1, (AsistenciaJetAdminConcatenada!$A:$A=BJ$2)*(AsistenciaJetAdminConcatenada!$B:$B=BJ$1), 0)), 1))),  0.5, 0))</f>
        <v>0</v>
      </c>
      <c r="BK7" s="47">
        <f t="array" ref="BK7">IF(AND(ISNUMBER(MATCH(BK$2, AsistenciaJetAdminConcatenada!$A:$A, 0)), ISNUMBER(MATCH(BK$1, AsistenciaJetAdminConcatenada!$B:$B, 0)), ISNUMBER(SEARCH($A7,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ISNUMBER(SEARCH($A7, INDEX(AsistenciaJetAdminConcatenada!$D:$D, MATCH(1, (AsistenciaJetAdminConcatenada!$A:$A=BK$2)*(AsistenciaJetAdminConcatenada!$B:$B=BK$1), 0)), 1))),  0.5, 0))</f>
        <v>1</v>
      </c>
      <c r="BL7" s="47">
        <f t="array" ref="BL7">IF(AND(ISNUMBER(MATCH(BL$2, AsistenciaJetAdminConcatenada!$A:$A, 0)), ISNUMBER(MATCH(BL$1, AsistenciaJetAdminConcatenada!$B:$B, 0)), ISNUMBER(SEARCH($A7,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ISNUMBER(SEARCH($A7, INDEX(AsistenciaJetAdminConcatenada!$D:$D, MATCH(1, (AsistenciaJetAdminConcatenada!$A:$A=BL$2)*(AsistenciaJetAdminConcatenada!$B:$B=BL$1), 0)), 1))),  0.5, 0))</f>
        <v>1</v>
      </c>
      <c r="BM7" s="47">
        <f t="array" ref="BM7">IF(AND(ISNUMBER(MATCH(BM$2, AsistenciaJetAdminConcatenada!$A:$A, 0)), ISNUMBER(MATCH(BM$1, AsistenciaJetAdminConcatenada!$B:$B, 0)), ISNUMBER(SEARCH($A7,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ISNUMBER(SEARCH($A7, INDEX(AsistenciaJetAdminConcatenada!$D:$D, MATCH(1, (AsistenciaJetAdminConcatenada!$A:$A=BM$2)*(AsistenciaJetAdminConcatenada!$B:$B=BM$1), 0)), 1))),  0.5, 0))</f>
        <v>1</v>
      </c>
      <c r="BN7" s="47">
        <f t="array" ref="BN7">IF(AND(ISNUMBER(MATCH(BN$2, AsistenciaJetAdminConcatenada!$A:$A, 0)), ISNUMBER(MATCH(BN$1, AsistenciaJetAdminConcatenada!$B:$B, 0)), ISNUMBER(SEARCH($A7,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ISNUMBER(SEARCH($A7, INDEX(AsistenciaJetAdminConcatenada!$D:$D, MATCH(1, (AsistenciaJetAdminConcatenada!$A:$A=BN$2)*(AsistenciaJetAdminConcatenada!$B:$B=BN$1), 0)), 1))),  0.5, 0))</f>
        <v>1</v>
      </c>
      <c r="BO7" s="47">
        <f t="array" ref="BO7">IF(AND(ISNUMBER(MATCH(BO$2, AsistenciaJetAdminConcatenada!$A:$A, 0)), ISNUMBER(MATCH(BO$1, AsistenciaJetAdminConcatenada!$B:$B, 0)), ISNUMBER(SEARCH($A7,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ISNUMBER(SEARCH($A7, INDEX(AsistenciaJetAdminConcatenada!$D:$D, MATCH(1, (AsistenciaJetAdminConcatenada!$A:$A=BO$2)*(AsistenciaJetAdminConcatenada!$B:$B=BO$1), 0)), 1))),  0.5, 0))</f>
        <v>0</v>
      </c>
      <c r="BP7" s="47">
        <f t="array" ref="BP7">IF(AND(ISNUMBER(MATCH(BP$2, AsistenciaJetAdminConcatenada!$A:$A, 0)), ISNUMBER(MATCH(BP$1, AsistenciaJetAdminConcatenada!$B:$B, 0)), ISNUMBER(SEARCH($A7,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ISNUMBER(SEARCH($A7, INDEX(AsistenciaJetAdminConcatenada!$D:$D, MATCH(1, (AsistenciaJetAdminConcatenada!$A:$A=BP$2)*(AsistenciaJetAdminConcatenada!$B:$B=BP$1), 0)), 1))),  0.5, 0))</f>
        <v>1</v>
      </c>
      <c r="BQ7" s="47">
        <f t="array" ref="BQ7">IF(AND(ISNUMBER(MATCH(BQ$2, AsistenciaJetAdminConcatenada!$A:$A, 0)), ISNUMBER(MATCH(BQ$1, AsistenciaJetAdminConcatenada!$B:$B, 0)), ISNUMBER(SEARCH($A7,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ISNUMBER(SEARCH($A7, INDEX(AsistenciaJetAdminConcatenada!$D:$D, MATCH(1, (AsistenciaJetAdminConcatenada!$A:$A=BQ$2)*(AsistenciaJetAdminConcatenada!$B:$B=BQ$1), 0)), 1))),  0.5, 0))</f>
        <v>1</v>
      </c>
      <c r="BR7" s="47">
        <f t="array" ref="BR7">IF(AND(ISNUMBER(MATCH(BR$2, AsistenciaJetAdminConcatenada!$A:$A, 0)), ISNUMBER(MATCH(BR$1, AsistenciaJetAdminConcatenada!$B:$B, 0)), ISNUMBER(SEARCH($A7,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ISNUMBER(SEARCH($A7, INDEX(AsistenciaJetAdminConcatenada!$D:$D, MATCH(1, (AsistenciaJetAdminConcatenada!$A:$A=BR$2)*(AsistenciaJetAdminConcatenada!$B:$B=BR$1), 0)), 1))),  0.5, 0))</f>
        <v>0</v>
      </c>
      <c r="BS7" s="47">
        <f t="array" ref="BS7">IF(AND(ISNUMBER(MATCH(BS$2, AsistenciaJetAdminConcatenada!$A:$A, 0)), ISNUMBER(MATCH(BS$1, AsistenciaJetAdminConcatenada!$B:$B, 0)), ISNUMBER(SEARCH($A7,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ISNUMBER(SEARCH($A7, INDEX(AsistenciaJetAdminConcatenada!$D:$D, MATCH(1, (AsistenciaJetAdminConcatenada!$A:$A=BS$2)*(AsistenciaJetAdminConcatenada!$B:$B=BS$1), 0)), 1))),  0.5, 0))</f>
        <v>1</v>
      </c>
      <c r="BT7" s="47">
        <f t="array" ref="BT7">IF(AND(ISNUMBER(MATCH(BT$2, AsistenciaJetAdminConcatenada!$A:$A, 0)), ISNUMBER(MATCH(BT$1, AsistenciaJetAdminConcatenada!$B:$B, 0)), ISNUMBER(SEARCH($A7,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ISNUMBER(SEARCH($A7, INDEX(AsistenciaJetAdminConcatenada!$D:$D, MATCH(1, (AsistenciaJetAdminConcatenada!$A:$A=BT$2)*(AsistenciaJetAdminConcatenada!$B:$B=BT$1), 0)), 1))),  0.5, 0))</f>
        <v>1</v>
      </c>
      <c r="BU7" s="47">
        <f t="array" ref="BU7">IF(AND(ISNUMBER(MATCH(BU$2, AsistenciaJetAdminConcatenada!$A:$A, 0)), ISNUMBER(MATCH(BU$1, AsistenciaJetAdminConcatenada!$B:$B, 0)), ISNUMBER(SEARCH($A7,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ISNUMBER(SEARCH($A7, INDEX(AsistenciaJetAdminConcatenada!$D:$D, MATCH(1, (AsistenciaJetAdminConcatenada!$A:$A=BU$2)*(AsistenciaJetAdminConcatenada!$B:$B=BU$1), 0)), 1))),  0.5, 0))</f>
        <v>1</v>
      </c>
      <c r="BV7" s="47">
        <f t="array" ref="BV7">IF(AND(ISNUMBER(MATCH(BV$2, AsistenciaJetAdminConcatenada!$A:$A, 0)), ISNUMBER(MATCH(BV$1, AsistenciaJetAdminConcatenada!$B:$B, 0)), ISNUMBER(SEARCH($A7,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ISNUMBER(SEARCH($A7, INDEX(AsistenciaJetAdminConcatenada!$D:$D, MATCH(1, (AsistenciaJetAdminConcatenada!$A:$A=BV$2)*(AsistenciaJetAdminConcatenada!$B:$B=BV$1), 0)), 1))),  0.5, 0))</f>
        <v>0</v>
      </c>
      <c r="BW7" s="47">
        <f t="array" ref="BW7">IF(AND(ISNUMBER(MATCH(BW$2, AsistenciaJetAdminConcatenada!$A:$A, 0)), ISNUMBER(MATCH(BW$1, AsistenciaJetAdminConcatenada!$B:$B, 0)), ISNUMBER(SEARCH($A7,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ISNUMBER(SEARCH($A7, INDEX(AsistenciaJetAdminConcatenada!$D:$D, MATCH(1, (AsistenciaJetAdminConcatenada!$A:$A=BW$2)*(AsistenciaJetAdminConcatenada!$B:$B=BW$1), 0)), 1))),  0.5, 0))</f>
        <v>0</v>
      </c>
      <c r="BX7" s="47">
        <f t="array" ref="BX7">IF(AND(ISNUMBER(MATCH(BX$2, AsistenciaJetAdminConcatenada!$A:$A, 0)), ISNUMBER(MATCH(BX$1, AsistenciaJetAdminConcatenada!$B:$B, 0)), ISNUMBER(SEARCH($A7,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ISNUMBER(SEARCH($A7, INDEX(AsistenciaJetAdminConcatenada!$D:$D, MATCH(1, (AsistenciaJetAdminConcatenada!$A:$A=BX$2)*(AsistenciaJetAdminConcatenada!$B:$B=BX$1), 0)), 1))),  0.5, 0))</f>
        <v>1</v>
      </c>
      <c r="BY7" s="47">
        <f t="array" ref="BY7">IF(AND(ISNUMBER(MATCH(BY$2, AsistenciaJetAdminConcatenada!$A:$A, 0)), ISNUMBER(MATCH(BY$1, AsistenciaJetAdminConcatenada!$B:$B, 0)), ISNUMBER(SEARCH($A7,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ISNUMBER(SEARCH($A7, INDEX(AsistenciaJetAdminConcatenada!$D:$D, MATCH(1, (AsistenciaJetAdminConcatenada!$A:$A=BY$2)*(AsistenciaJetAdminConcatenada!$B:$B=BY$1), 0)), 1))),  0.5, 0))</f>
        <v>0</v>
      </c>
      <c r="BZ7" s="47">
        <f t="array" ref="BZ7">IF(AND(ISNUMBER(MATCH(BZ$2, AsistenciaJetAdminConcatenada!$A:$A, 0)), ISNUMBER(MATCH(BZ$1, AsistenciaJetAdminConcatenada!$B:$B, 0)), ISNUMBER(SEARCH($A7,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ISNUMBER(SEARCH($A7, INDEX(AsistenciaJetAdminConcatenada!$D:$D, MATCH(1, (AsistenciaJetAdminConcatenada!$A:$A=BZ$2)*(AsistenciaJetAdminConcatenada!$B:$B=BZ$1), 0)), 1))),  0.5, 0))</f>
        <v>0</v>
      </c>
      <c r="CA7" s="47">
        <f t="array" ref="CA7">IF(AND(ISNUMBER(MATCH(CA$2, AsistenciaJetAdminConcatenada!$A:$A, 0)), ISNUMBER(MATCH(CA$1, AsistenciaJetAdminConcatenada!$B:$B, 0)), ISNUMBER(SEARCH($A7,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ISNUMBER(SEARCH($A7, INDEX(AsistenciaJetAdminConcatenada!$D:$D, MATCH(1, (AsistenciaJetAdminConcatenada!$A:$A=CA$2)*(AsistenciaJetAdminConcatenada!$B:$B=CA$1), 0)), 1))),  0.5, 0))</f>
        <v>1</v>
      </c>
      <c r="CB7" s="47">
        <f t="array" ref="CB7">IF(AND(ISNUMBER(MATCH(CB$2, AsistenciaJetAdminConcatenada!$A:$A, 0)), ISNUMBER(MATCH(CB$1, AsistenciaJetAdminConcatenada!$B:$B, 0)), ISNUMBER(SEARCH($A7,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ISNUMBER(SEARCH($A7, INDEX(AsistenciaJetAdminConcatenada!$D:$D, MATCH(1, (AsistenciaJetAdminConcatenada!$A:$A=CB$2)*(AsistenciaJetAdminConcatenada!$B:$B=CB$1), 0)), 1))),  0.5, 0))</f>
        <v>0</v>
      </c>
      <c r="CC7" s="47">
        <f t="array" ref="CC7">IF(AND(ISNUMBER(MATCH(CC$2, AsistenciaJetAdminConcatenada!$A:$A, 0)), ISNUMBER(MATCH(CC$1, AsistenciaJetAdminConcatenada!$B:$B, 0)), ISNUMBER(SEARCH($A7,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ISNUMBER(SEARCH($A7, INDEX(AsistenciaJetAdminConcatenada!$D:$D, MATCH(1, (AsistenciaJetAdminConcatenada!$A:$A=CC$2)*(AsistenciaJetAdminConcatenada!$B:$B=CC$1), 0)), 1))),  0.5, 0))</f>
        <v>0</v>
      </c>
      <c r="CD7" s="47">
        <f t="array" ref="CD7">IF(AND(ISNUMBER(MATCH(CD$2, AsistenciaJetAdminConcatenada!$A:$A, 0)), ISNUMBER(MATCH(CD$1, AsistenciaJetAdminConcatenada!$B:$B, 0)), ISNUMBER(SEARCH($A7,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ISNUMBER(SEARCH($A7, INDEX(AsistenciaJetAdminConcatenada!$D:$D, MATCH(1, (AsistenciaJetAdminConcatenada!$A:$A=CD$2)*(AsistenciaJetAdminConcatenada!$B:$B=CD$1), 0)), 1))),  0.5, 0))</f>
        <v>1</v>
      </c>
      <c r="CE7" s="47">
        <f t="array" ref="CE7">IF(AND(ISNUMBER(MATCH(CE$2, AsistenciaJetAdminConcatenada!$A:$A, 0)), ISNUMBER(MATCH(CE$1, AsistenciaJetAdminConcatenada!$B:$B, 0)), ISNUMBER(SEARCH($A7,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ISNUMBER(SEARCH($A7, INDEX(AsistenciaJetAdminConcatenada!$D:$D, MATCH(1, (AsistenciaJetAdminConcatenada!$A:$A=CE$2)*(AsistenciaJetAdminConcatenada!$B:$B=CE$1), 0)), 1))),  0.5, 0))</f>
        <v>1</v>
      </c>
      <c r="CF7" s="47">
        <f t="array" ref="CF7">IF(AND(ISNUMBER(MATCH(CF$2, AsistenciaJetAdminConcatenada!$A:$A, 0)), ISNUMBER(MATCH(CF$1, AsistenciaJetAdminConcatenada!$B:$B, 0)), ISNUMBER(SEARCH($A7,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ISNUMBER(SEARCH($A7, INDEX(AsistenciaJetAdminConcatenada!$D:$D, MATCH(1, (AsistenciaJetAdminConcatenada!$A:$A=CF$2)*(AsistenciaJetAdminConcatenada!$B:$B=CF$1), 0)), 1))),  0.5, 0))</f>
        <v>1</v>
      </c>
      <c r="CG7" s="47">
        <f t="array" ref="CG7">IF(AND(ISNUMBER(MATCH(CG$2, AsistenciaJetAdminConcatenada!$A:$A, 0)), ISNUMBER(MATCH(CG$1, AsistenciaJetAdminConcatenada!$B:$B, 0)), ISNUMBER(SEARCH($A7,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ISNUMBER(SEARCH($A7, INDEX(AsistenciaJetAdminConcatenada!$D:$D, MATCH(1, (AsistenciaJetAdminConcatenada!$A:$A=CG$2)*(AsistenciaJetAdminConcatenada!$B:$B=CG$1), 0)), 1))),  0.5, 0))</f>
        <v>0</v>
      </c>
      <c r="CH7" s="47">
        <f t="array" ref="CH7">IF(AND(ISNUMBER(MATCH(CH$2, AsistenciaJetAdminConcatenada!$A:$A, 0)), ISNUMBER(MATCH(CH$1, AsistenciaJetAdminConcatenada!$B:$B, 0)), ISNUMBER(SEARCH($A7,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ISNUMBER(SEARCH($A7, INDEX(AsistenciaJetAdminConcatenada!$D:$D, MATCH(1, (AsistenciaJetAdminConcatenada!$A:$A=CH$2)*(AsistenciaJetAdminConcatenada!$B:$B=CH$1), 0)), 1))),  0.5, 0))</f>
        <v>0.5</v>
      </c>
      <c r="CI7" s="47">
        <f t="array" ref="CI7">IF(AND(ISNUMBER(MATCH(CI$2, AsistenciaJetAdminConcatenada!$A:$A, 0)), ISNUMBER(MATCH(CI$1, AsistenciaJetAdminConcatenada!$B:$B, 0)), ISNUMBER(SEARCH($A7,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ISNUMBER(SEARCH($A7, INDEX(AsistenciaJetAdminConcatenada!$D:$D, MATCH(1, (AsistenciaJetAdminConcatenada!$A:$A=CI$2)*(AsistenciaJetAdminConcatenada!$B:$B=CI$1), 0)), 1))),  0.5, 0))</f>
        <v>1</v>
      </c>
      <c r="CJ7" s="47">
        <f t="array" ref="CJ7">IF(AND(ISNUMBER(MATCH(CJ$2, AsistenciaJetAdminConcatenada!$A:$A, 0)), ISNUMBER(MATCH(CJ$1, AsistenciaJetAdminConcatenada!$B:$B, 0)), ISNUMBER(SEARCH($A7,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ISNUMBER(SEARCH($A7, INDEX(AsistenciaJetAdminConcatenada!$D:$D, MATCH(1, (AsistenciaJetAdminConcatenada!$A:$A=CJ$2)*(AsistenciaJetAdminConcatenada!$B:$B=CJ$1), 0)), 1))),  0.5, 0))</f>
        <v>0</v>
      </c>
      <c r="CK7" s="47">
        <f t="array" ref="CK7">IF(AND(ISNUMBER(MATCH(CK$2, AsistenciaJetAdminConcatenada!$A:$A, 0)), ISNUMBER(MATCH(CK$1, AsistenciaJetAdminConcatenada!$B:$B, 0)), ISNUMBER(SEARCH($A7,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ISNUMBER(SEARCH($A7, INDEX(AsistenciaJetAdminConcatenada!$D:$D, MATCH(1, (AsistenciaJetAdminConcatenada!$A:$A=CK$2)*(AsistenciaJetAdminConcatenada!$B:$B=CK$1), 0)), 1))),  0.5, 0))</f>
        <v>1</v>
      </c>
      <c r="CL7" s="47">
        <f t="array" ref="CL7">IF(AND(ISNUMBER(MATCH(CL$2, AsistenciaJetAdminConcatenada!$A:$A, 0)), ISNUMBER(MATCH(CL$1, AsistenciaJetAdminConcatenada!$B:$B, 0)), ISNUMBER(SEARCH($A7,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ISNUMBER(SEARCH($A7, INDEX(AsistenciaJetAdminConcatenada!$D:$D, MATCH(1, (AsistenciaJetAdminConcatenada!$A:$A=CL$2)*(AsistenciaJetAdminConcatenada!$B:$B=CL$1), 0)), 1))),  0.5, 0))</f>
        <v>1</v>
      </c>
      <c r="CM7" s="47">
        <f t="array" ref="CM7">IF(AND(ISNUMBER(MATCH(CM$2, AsistenciaJetAdminConcatenada!$A:$A, 0)), ISNUMBER(MATCH(CM$1, AsistenciaJetAdminConcatenada!$B:$B, 0)), ISNUMBER(SEARCH($A7,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ISNUMBER(SEARCH($A7, INDEX(AsistenciaJetAdminConcatenada!$D:$D, MATCH(1, (AsistenciaJetAdminConcatenada!$A:$A=CM$2)*(AsistenciaJetAdminConcatenada!$B:$B=CM$1), 0)), 1))),  0.5, 0))</f>
        <v>0</v>
      </c>
      <c r="CN7" s="47">
        <f t="array" ref="CN7">IF(AND(ISNUMBER(MATCH(CN$2, AsistenciaJetAdminConcatenada!$A:$A, 0)), ISNUMBER(MATCH(CN$1, AsistenciaJetAdminConcatenada!$B:$B, 0)), ISNUMBER(SEARCH($A7,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ISNUMBER(SEARCH($A7, INDEX(AsistenciaJetAdminConcatenada!$D:$D, MATCH(1, (AsistenciaJetAdminConcatenada!$A:$A=CN$2)*(AsistenciaJetAdminConcatenada!$B:$B=CN$1), 0)), 1))),  0.5, 0))</f>
        <v>0</v>
      </c>
      <c r="CO7" s="47">
        <f t="array" ref="CO7">IF(AND(ISNUMBER(MATCH(CO$2, AsistenciaJetAdminConcatenada!$A:$A, 0)), ISNUMBER(MATCH(CO$1, AsistenciaJetAdminConcatenada!$B:$B, 0)), ISNUMBER(SEARCH($A7,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ISNUMBER(SEARCH($A7, INDEX(AsistenciaJetAdminConcatenada!$D:$D, MATCH(1, (AsistenciaJetAdminConcatenada!$A:$A=CO$2)*(AsistenciaJetAdminConcatenada!$B:$B=CO$1), 0)), 1))),  0.5, 0))</f>
        <v>1</v>
      </c>
      <c r="CP7" s="47">
        <f t="array" ref="CP7">IF(AND(ISNUMBER(MATCH(CP$2, AsistenciaJetAdminConcatenada!$A:$A, 0)), ISNUMBER(MATCH(CP$1, AsistenciaJetAdminConcatenada!$B:$B, 0)), ISNUMBER(SEARCH($A7,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ISNUMBER(SEARCH($A7, INDEX(AsistenciaJetAdminConcatenada!$D:$D, MATCH(1, (AsistenciaJetAdminConcatenada!$A:$A=CP$2)*(AsistenciaJetAdminConcatenada!$B:$B=CP$1), 0)), 1))),  0.5, 0))</f>
        <v>1</v>
      </c>
      <c r="CQ7" s="47">
        <f t="array" ref="CQ7">IF(AND(ISNUMBER(MATCH(CQ$2, AsistenciaJetAdminConcatenada!$A:$A, 0)), ISNUMBER(MATCH(CQ$1, AsistenciaJetAdminConcatenada!$B:$B, 0)), ISNUMBER(SEARCH($A7,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ISNUMBER(SEARCH($A7, INDEX(AsistenciaJetAdminConcatenada!$D:$D, MATCH(1, (AsistenciaJetAdminConcatenada!$A:$A=CQ$2)*(AsistenciaJetAdminConcatenada!$B:$B=CQ$1), 0)), 1))),  0.5, 0))</f>
        <v>1</v>
      </c>
      <c r="CR7" s="47">
        <f t="array" ref="CR7">IF(AND(ISNUMBER(MATCH(CR$2, AsistenciaJetAdminConcatenada!$A:$A, 0)), ISNUMBER(MATCH(CR$1, AsistenciaJetAdminConcatenada!$B:$B, 0)), ISNUMBER(SEARCH($A7,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ISNUMBER(SEARCH($A7, INDEX(AsistenciaJetAdminConcatenada!$D:$D, MATCH(1, (AsistenciaJetAdminConcatenada!$A:$A=CR$2)*(AsistenciaJetAdminConcatenada!$B:$B=CR$1), 0)), 1))),  0.5, 0))</f>
        <v>1</v>
      </c>
      <c r="CS7" s="47">
        <f t="array" ref="CS7">IF(AND(ISNUMBER(MATCH(CS$2, AsistenciaJetAdminConcatenada!$A:$A, 0)), ISNUMBER(MATCH(CS$1, AsistenciaJetAdminConcatenada!$B:$B, 0)), ISNUMBER(SEARCH($A7,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ISNUMBER(SEARCH($A7, INDEX(AsistenciaJetAdminConcatenada!$D:$D, MATCH(1, (AsistenciaJetAdminConcatenada!$A:$A=CS$2)*(AsistenciaJetAdminConcatenada!$B:$B=CS$1), 0)), 1))),  0.5, 0))</f>
        <v>0</v>
      </c>
      <c r="CT7" s="47">
        <f t="array" ref="CT7">IF(AND(ISNUMBER(MATCH(CT$2, AsistenciaJetAdminConcatenada!$A:$A, 0)), ISNUMBER(MATCH(CT$1, AsistenciaJetAdminConcatenada!$B:$B, 0)), ISNUMBER(SEARCH($A7,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ISNUMBER(SEARCH($A7, INDEX(AsistenciaJetAdminConcatenada!$D:$D, MATCH(1, (AsistenciaJetAdminConcatenada!$A:$A=CT$2)*(AsistenciaJetAdminConcatenada!$B:$B=CT$1), 0)), 1))),  0.5, 0))</f>
        <v>0</v>
      </c>
      <c r="CU7" s="47">
        <f t="array" ref="CU7">IF(AND(ISNUMBER(MATCH(CU$2, AsistenciaJetAdminConcatenada!$A:$A, 0)), ISNUMBER(MATCH(CU$1, AsistenciaJetAdminConcatenada!$B:$B, 0)), ISNUMBER(SEARCH($A7,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ISNUMBER(SEARCH($A7, INDEX(AsistenciaJetAdminConcatenada!$D:$D, MATCH(1, (AsistenciaJetAdminConcatenada!$A:$A=CU$2)*(AsistenciaJetAdminConcatenada!$B:$B=CU$1), 0)), 1))),  0.5, 0))</f>
        <v>0</v>
      </c>
      <c r="CV7" s="47">
        <f t="array" ref="CV7">IF(AND(ISNUMBER(MATCH(CV$2, AsistenciaJetAdminConcatenada!$A:$A, 0)), ISNUMBER(MATCH(CV$1, AsistenciaJetAdminConcatenada!$B:$B, 0)), ISNUMBER(SEARCH($A7,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ISNUMBER(SEARCH($A7, INDEX(AsistenciaJetAdminConcatenada!$D:$D, MATCH(1, (AsistenciaJetAdminConcatenada!$A:$A=CV$2)*(AsistenciaJetAdminConcatenada!$B:$B=CV$1), 0)), 1))),  0.5, 0))</f>
        <v>0</v>
      </c>
      <c r="CW7" s="47">
        <f t="array" ref="CW7">IF(AND(ISNUMBER(MATCH(CW$2, AsistenciaJetAdminConcatenada!$A:$A, 0)), ISNUMBER(MATCH(CW$1, AsistenciaJetAdminConcatenada!$B:$B, 0)), ISNUMBER(SEARCH($A7,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ISNUMBER(SEARCH($A7, INDEX(AsistenciaJetAdminConcatenada!$D:$D, MATCH(1, (AsistenciaJetAdminConcatenada!$A:$A=CW$2)*(AsistenciaJetAdminConcatenada!$B:$B=CW$1), 0)), 1))),  0.5, 0))</f>
        <v>0</v>
      </c>
      <c r="CX7" s="47">
        <f t="array" ref="CX7">IF(AND(ISNUMBER(MATCH(CX$2, AsistenciaJetAdminConcatenada!$A:$A, 0)), ISNUMBER(MATCH(CX$1, AsistenciaJetAdminConcatenada!$B:$B, 0)), ISNUMBER(SEARCH($A7,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ISNUMBER(SEARCH($A7, INDEX(AsistenciaJetAdminConcatenada!$D:$D, MATCH(1, (AsistenciaJetAdminConcatenada!$A:$A=CX$2)*(AsistenciaJetAdminConcatenada!$B:$B=CX$1), 0)), 1))),  0.5, 0))</f>
        <v>0</v>
      </c>
      <c r="CY7" s="47">
        <f t="array" ref="CY7">IF(AND(ISNUMBER(MATCH(CY$2, AsistenciaJetAdminConcatenada!$A:$A, 0)), ISNUMBER(MATCH(CY$1, AsistenciaJetAdminConcatenada!$B:$B, 0)), ISNUMBER(SEARCH($A7,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ISNUMBER(SEARCH($A7, INDEX(AsistenciaJetAdminConcatenada!$D:$D, MATCH(1, (AsistenciaJetAdminConcatenada!$A:$A=CY$2)*(AsistenciaJetAdminConcatenada!$B:$B=CY$1), 0)), 1))),  0.5, 0))</f>
        <v>0</v>
      </c>
      <c r="CZ7" s="47">
        <f t="array" ref="CZ7">IF(AND(ISNUMBER(MATCH(CZ$2, AsistenciaJetAdminConcatenada!$A:$A, 0)), ISNUMBER(MATCH(CZ$1, AsistenciaJetAdminConcatenada!$B:$B, 0)), ISNUMBER(SEARCH($A7,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ISNUMBER(SEARCH($A7, INDEX(AsistenciaJetAdminConcatenada!$D:$D, MATCH(1, (AsistenciaJetAdminConcatenada!$A:$A=CZ$2)*(AsistenciaJetAdminConcatenada!$B:$B=CZ$1), 0)), 1))),  0.5, 0))</f>
        <v>0</v>
      </c>
      <c r="DA7" s="47">
        <f t="array" ref="DA7">IF(AND(ISNUMBER(MATCH(DA$2, AsistenciaJetAdminConcatenada!$A:$A, 0)), ISNUMBER(MATCH(DA$1, AsistenciaJetAdminConcatenada!$B:$B, 0)), ISNUMBER(SEARCH($A7,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ISNUMBER(SEARCH($A7, INDEX(AsistenciaJetAdminConcatenada!$D:$D, MATCH(1, (AsistenciaJetAdminConcatenada!$A:$A=DA$2)*(AsistenciaJetAdminConcatenada!$B:$B=DA$1), 0)), 1))),  0.5, 0))</f>
        <v>0</v>
      </c>
      <c r="DB7" s="47">
        <f t="array" ref="DB7">IF(AND(ISNUMBER(MATCH(DB$2, AsistenciaJetAdminConcatenada!$A:$A, 0)), ISNUMBER(MATCH(DB$1, AsistenciaJetAdminConcatenada!$B:$B, 0)), ISNUMBER(SEARCH($A7,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ISNUMBER(SEARCH($A7, INDEX(AsistenciaJetAdminConcatenada!$D:$D, MATCH(1, (AsistenciaJetAdminConcatenada!$A:$A=DB$2)*(AsistenciaJetAdminConcatenada!$B:$B=DB$1), 0)), 1))),  0.5, 0))</f>
        <v>0</v>
      </c>
      <c r="DC7" s="47">
        <f t="array" ref="DC7">IF(AND(ISNUMBER(MATCH(DC$2, AsistenciaJetAdminConcatenada!$A:$A, 0)), ISNUMBER(MATCH(DC$1, AsistenciaJetAdminConcatenada!$B:$B, 0)), ISNUMBER(SEARCH($A7,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ISNUMBER(SEARCH($A7, INDEX(AsistenciaJetAdminConcatenada!$D:$D, MATCH(1, (AsistenciaJetAdminConcatenada!$A:$A=DC$2)*(AsistenciaJetAdminConcatenada!$B:$B=DC$1), 0)), 1))),  0.5, 0))</f>
        <v>0</v>
      </c>
      <c r="DD7" s="47">
        <f t="array" ref="DD7">IF(AND(ISNUMBER(MATCH(DD$2, AsistenciaJetAdminConcatenada!$A:$A, 0)), ISNUMBER(MATCH(DD$1, AsistenciaJetAdminConcatenada!$B:$B, 0)), ISNUMBER(SEARCH($A7,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ISNUMBER(SEARCH($A7, INDEX(AsistenciaJetAdminConcatenada!$D:$D, MATCH(1, (AsistenciaJetAdminConcatenada!$A:$A=DD$2)*(AsistenciaJetAdminConcatenada!$B:$B=DD$1), 0)), 1))),  0.5, 0))</f>
        <v>0</v>
      </c>
      <c r="DE7" s="47">
        <f t="array" ref="DE7">IF(AND(ISNUMBER(MATCH(DE$2, AsistenciaJetAdminConcatenada!$A:$A, 0)), ISNUMBER(MATCH(DE$1, AsistenciaJetAdminConcatenada!$B:$B, 0)), ISNUMBER(SEARCH($A7,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ISNUMBER(SEARCH($A7, INDEX(AsistenciaJetAdminConcatenada!$D:$D, MATCH(1, (AsistenciaJetAdminConcatenada!$A:$A=DE$2)*(AsistenciaJetAdminConcatenada!$B:$B=DE$1), 0)), 1))),  0.5, 0))</f>
        <v>0</v>
      </c>
      <c r="DF7" s="47">
        <f t="array" ref="DF7">IF(AND(ISNUMBER(MATCH(DF$2, AsistenciaJetAdminConcatenada!$A:$A, 0)), ISNUMBER(MATCH(DF$1, AsistenciaJetAdminConcatenada!$B:$B, 0)), ISNUMBER(SEARCH($A7,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ISNUMBER(SEARCH($A7, INDEX(AsistenciaJetAdminConcatenada!$D:$D, MATCH(1, (AsistenciaJetAdminConcatenada!$A:$A=DF$2)*(AsistenciaJetAdminConcatenada!$B:$B=DF$1), 0)), 1))),  0.5, 0))</f>
        <v>0</v>
      </c>
      <c r="DG7" s="47">
        <f t="array" ref="DG7">IF(AND(ISNUMBER(MATCH(DG$2, AsistenciaJetAdminConcatenada!$A:$A, 0)), ISNUMBER(MATCH(DG$1, AsistenciaJetAdminConcatenada!$B:$B, 0)), ISNUMBER(SEARCH($A7,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ISNUMBER(SEARCH($A7, INDEX(AsistenciaJetAdminConcatenada!$D:$D, MATCH(1, (AsistenciaJetAdminConcatenada!$A:$A=DG$2)*(AsistenciaJetAdminConcatenada!$B:$B=DG$1), 0)), 1))),  0.5, 0))</f>
        <v>0</v>
      </c>
      <c r="DH7" s="47">
        <f t="array" ref="DH7">IF(AND(ISNUMBER(MATCH(DH$2, AsistenciaJetAdminConcatenada!$A:$A, 0)), ISNUMBER(MATCH(DH$1, AsistenciaJetAdminConcatenada!$B:$B, 0)), ISNUMBER(SEARCH($A7,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ISNUMBER(SEARCH($A7, INDEX(AsistenciaJetAdminConcatenada!$D:$D, MATCH(1, (AsistenciaJetAdminConcatenada!$A:$A=DH$2)*(AsistenciaJetAdminConcatenada!$B:$B=DH$1), 0)), 1))),  0.5, 0))</f>
        <v>0</v>
      </c>
      <c r="DI7" s="47">
        <f t="array" ref="DI7">IF(AND(ISNUMBER(MATCH(DI$2, AsistenciaJetAdminConcatenada!$A:$A, 0)), ISNUMBER(MATCH(DI$1, AsistenciaJetAdminConcatenada!$B:$B, 0)), ISNUMBER(SEARCH($A7,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ISNUMBER(SEARCH($A7, INDEX(AsistenciaJetAdminConcatenada!$D:$D, MATCH(1, (AsistenciaJetAdminConcatenada!$A:$A=DI$2)*(AsistenciaJetAdminConcatenada!$B:$B=DI$1), 0)), 1))),  0.5, 0))</f>
        <v>0</v>
      </c>
      <c r="DJ7" s="47">
        <f t="array" ref="DJ7">IF(AND(ISNUMBER(MATCH(DJ$2, AsistenciaJetAdminConcatenada!$A:$A, 0)), ISNUMBER(MATCH(DJ$1, AsistenciaJetAdminConcatenada!$B:$B, 0)), ISNUMBER(SEARCH($A7,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ISNUMBER(SEARCH($A7, INDEX(AsistenciaJetAdminConcatenada!$D:$D, MATCH(1, (AsistenciaJetAdminConcatenada!$A:$A=DJ$2)*(AsistenciaJetAdminConcatenada!$B:$B=DJ$1), 0)), 1))),  0.5, 0))</f>
        <v>0</v>
      </c>
      <c r="DK7" s="47">
        <f t="array" ref="DK7">IF(AND(ISNUMBER(MATCH(DK$2, AsistenciaJetAdminConcatenada!$A:$A, 0)), ISNUMBER(MATCH(DK$1, AsistenciaJetAdminConcatenada!$B:$B, 0)), ISNUMBER(SEARCH($A7,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ISNUMBER(SEARCH($A7, INDEX(AsistenciaJetAdminConcatenada!$D:$D, MATCH(1, (AsistenciaJetAdminConcatenada!$A:$A=DK$2)*(AsistenciaJetAdminConcatenada!$B:$B=DK$1), 0)), 1))),  0.5, 0))</f>
        <v>0</v>
      </c>
      <c r="DL7" s="47">
        <f t="array" ref="DL7">IF(AND(ISNUMBER(MATCH(DL$2, AsistenciaJetAdminConcatenada!$A:$A, 0)), ISNUMBER(MATCH(DL$1, AsistenciaJetAdminConcatenada!$B:$B, 0)), ISNUMBER(SEARCH($A7,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ISNUMBER(SEARCH($A7, INDEX(AsistenciaJetAdminConcatenada!$D:$D, MATCH(1, (AsistenciaJetAdminConcatenada!$A:$A=DL$2)*(AsistenciaJetAdminConcatenada!$B:$B=DL$1), 0)), 1))),  0.5, 0))</f>
        <v>0</v>
      </c>
      <c r="DM7" s="47">
        <f t="array" ref="DM7">IF(AND(ISNUMBER(MATCH(DM$2, AsistenciaJetAdminConcatenada!$A:$A, 0)), ISNUMBER(MATCH(DM$1, AsistenciaJetAdminConcatenada!$B:$B, 0)), ISNUMBER(SEARCH($A7,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ISNUMBER(SEARCH($A7, INDEX(AsistenciaJetAdminConcatenada!$D:$D, MATCH(1, (AsistenciaJetAdminConcatenada!$A:$A=DM$2)*(AsistenciaJetAdminConcatenada!$B:$B=DM$1), 0)), 1))),  0.5, 0))</f>
        <v>0</v>
      </c>
      <c r="DN7" s="47">
        <f t="array" ref="DN7">IF(AND(ISNUMBER(MATCH(DN$2, AsistenciaJetAdminConcatenada!$A:$A, 0)), ISNUMBER(MATCH(DN$1, AsistenciaJetAdminConcatenada!$B:$B, 0)), ISNUMBER(SEARCH($A7,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ISNUMBER(SEARCH($A7, INDEX(AsistenciaJetAdminConcatenada!$D:$D, MATCH(1, (AsistenciaJetAdminConcatenada!$A:$A=DN$2)*(AsistenciaJetAdminConcatenada!$B:$B=DN$1), 0)), 1))),  0.5, 0))</f>
        <v>0</v>
      </c>
      <c r="DO7" s="47">
        <f t="array" ref="DO7">IF(AND(ISNUMBER(MATCH(DO$2, AsistenciaJetAdminConcatenada!$A:$A, 0)), ISNUMBER(MATCH(DO$1, AsistenciaJetAdminConcatenada!$B:$B, 0)), ISNUMBER(SEARCH($A7,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ISNUMBER(SEARCH($A7, INDEX(AsistenciaJetAdminConcatenada!$D:$D, MATCH(1, (AsistenciaJetAdminConcatenada!$A:$A=DO$2)*(AsistenciaJetAdminConcatenada!$B:$B=DO$1), 0)), 1))),  0.5, 0))</f>
        <v>0</v>
      </c>
      <c r="DP7" s="47">
        <f t="array" ref="DP7">IF(AND(ISNUMBER(MATCH(DP$2, AsistenciaJetAdminConcatenada!$A:$A, 0)), ISNUMBER(MATCH(DP$1, AsistenciaJetAdminConcatenada!$B:$B, 0)), ISNUMBER(SEARCH($A7,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ISNUMBER(SEARCH($A7, INDEX(AsistenciaJetAdminConcatenada!$D:$D, MATCH(1, (AsistenciaJetAdminConcatenada!$A:$A=DP$2)*(AsistenciaJetAdminConcatenada!$B:$B=DP$1), 0)), 1))),  0.5, 0))</f>
        <v>0</v>
      </c>
      <c r="DQ7" s="47">
        <f t="array" ref="DQ7">IF(AND(ISNUMBER(MATCH(DQ$2, AsistenciaJetAdminConcatenada!$A:$A, 0)), ISNUMBER(MATCH(DQ$1, AsistenciaJetAdminConcatenada!$B:$B, 0)), ISNUMBER(SEARCH($A7,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ISNUMBER(SEARCH($A7, INDEX(AsistenciaJetAdminConcatenada!$D:$D, MATCH(1, (AsistenciaJetAdminConcatenada!$A:$A=DQ$2)*(AsistenciaJetAdminConcatenada!$B:$B=DQ$1), 0)), 1))),  0.5, 0))</f>
        <v>0</v>
      </c>
      <c r="DR7" s="47">
        <f t="array" ref="DR7">IF(AND(ISNUMBER(MATCH(DR$2, AsistenciaJetAdminConcatenada!$A:$A, 0)), ISNUMBER(MATCH(DR$1, AsistenciaJetAdminConcatenada!$B:$B, 0)), ISNUMBER(SEARCH($A7,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ISNUMBER(SEARCH($A7, INDEX(AsistenciaJetAdminConcatenada!$D:$D, MATCH(1, (AsistenciaJetAdminConcatenada!$A:$A=DR$2)*(AsistenciaJetAdminConcatenada!$B:$B=DR$1), 0)), 1))),  0.5, 0))</f>
        <v>0</v>
      </c>
      <c r="DS7" s="47">
        <f t="array" ref="DS7">IF(AND(ISNUMBER(MATCH(DS$2, AsistenciaJetAdminConcatenada!$A:$A, 0)), ISNUMBER(MATCH(DS$1, AsistenciaJetAdminConcatenada!$B:$B, 0)), ISNUMBER(SEARCH($A7,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ISNUMBER(SEARCH($A7, INDEX(AsistenciaJetAdminConcatenada!$D:$D, MATCH(1, (AsistenciaJetAdminConcatenada!$A:$A=DS$2)*(AsistenciaJetAdminConcatenada!$B:$B=DS$1), 0)), 1))),  0.5, 0))</f>
        <v>0</v>
      </c>
      <c r="DT7" s="47">
        <f t="array" ref="DT7">IF(AND(ISNUMBER(MATCH(DT$2, AsistenciaJetAdminConcatenada!$A:$A, 0)), ISNUMBER(MATCH(DT$1, AsistenciaJetAdminConcatenada!$B:$B, 0)), ISNUMBER(SEARCH($A7,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ISNUMBER(SEARCH($A7, INDEX(AsistenciaJetAdminConcatenada!$D:$D, MATCH(1, (AsistenciaJetAdminConcatenada!$A:$A=DT$2)*(AsistenciaJetAdminConcatenada!$B:$B=DT$1), 0)), 1))),  0.5, 0))</f>
        <v>0</v>
      </c>
      <c r="DU7" s="47">
        <f t="array" ref="DU7">IF(AND(ISNUMBER(MATCH(DU$2, AsistenciaJetAdminConcatenada!$A:$A, 0)), ISNUMBER(MATCH(DU$1, AsistenciaJetAdminConcatenada!$B:$B, 0)), ISNUMBER(SEARCH($A7,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ISNUMBER(SEARCH($A7, INDEX(AsistenciaJetAdminConcatenada!$D:$D, MATCH(1, (AsistenciaJetAdminConcatenada!$A:$A=DU$2)*(AsistenciaJetAdminConcatenada!$B:$B=DU$1), 0)), 1))),  0.5, 0))</f>
        <v>0</v>
      </c>
      <c r="DV7" s="47">
        <f t="array" ref="DV7">IF(AND(ISNUMBER(MATCH(DV$2, AsistenciaJetAdminConcatenada!$A:$A, 0)), ISNUMBER(MATCH(DV$1, AsistenciaJetAdminConcatenada!$B:$B, 0)), ISNUMBER(SEARCH($A7,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ISNUMBER(SEARCH($A7, INDEX(AsistenciaJetAdminConcatenada!$D:$D, MATCH(1, (AsistenciaJetAdminConcatenada!$A:$A=DV$2)*(AsistenciaJetAdminConcatenada!$B:$B=DV$1), 0)), 1))),  0.5, 0))</f>
        <v>0</v>
      </c>
      <c r="DW7" s="47">
        <f t="array" ref="DW7">IF(AND(ISNUMBER(MATCH(DW$2, AsistenciaJetAdminConcatenada!$A:$A, 0)), ISNUMBER(MATCH(DW$1, AsistenciaJetAdminConcatenada!$B:$B, 0)), ISNUMBER(SEARCH($A7,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ISNUMBER(SEARCH($A7, INDEX(AsistenciaJetAdminConcatenada!$D:$D, MATCH(1, (AsistenciaJetAdminConcatenada!$A:$A=DW$2)*(AsistenciaJetAdminConcatenada!$B:$B=DW$1), 0)), 1))),  0.5, 0))</f>
        <v>0</v>
      </c>
      <c r="DX7" s="47">
        <f t="array" ref="DX7">IF(AND(ISNUMBER(MATCH(DX$2, AsistenciaJetAdminConcatenada!$A:$A, 0)), ISNUMBER(MATCH(DX$1, AsistenciaJetAdminConcatenada!$B:$B, 0)), ISNUMBER(SEARCH($A7,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ISNUMBER(SEARCH($A7, INDEX(AsistenciaJetAdminConcatenada!$D:$D, MATCH(1, (AsistenciaJetAdminConcatenada!$A:$A=DX$2)*(AsistenciaJetAdminConcatenada!$B:$B=DX$1), 0)), 1))),  0.5, 0))</f>
        <v>0</v>
      </c>
      <c r="DY7" s="47">
        <f t="array" ref="DY7">IF(AND(ISNUMBER(MATCH(DY$2, AsistenciaJetAdminConcatenada!$A:$A, 0)), ISNUMBER(MATCH(DY$1, AsistenciaJetAdminConcatenada!$B:$B, 0)), ISNUMBER(SEARCH($A7,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ISNUMBER(SEARCH($A7, INDEX(AsistenciaJetAdminConcatenada!$D:$D, MATCH(1, (AsistenciaJetAdminConcatenada!$A:$A=DY$2)*(AsistenciaJetAdminConcatenada!$B:$B=DY$1), 0)), 1))),  0.5, 0))</f>
        <v>0</v>
      </c>
      <c r="DZ7" s="47">
        <f t="array" ref="DZ7">IF(AND(ISNUMBER(MATCH(DZ$2, AsistenciaJetAdminConcatenada!$A:$A, 0)), ISNUMBER(MATCH(DZ$1, AsistenciaJetAdminConcatenada!$B:$B, 0)), ISNUMBER(SEARCH($A7,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ISNUMBER(SEARCH($A7, INDEX(AsistenciaJetAdminConcatenada!$D:$D, MATCH(1, (AsistenciaJetAdminConcatenada!$A:$A=DZ$2)*(AsistenciaJetAdminConcatenada!$B:$B=DZ$1), 0)), 1))),  0.5, 0))</f>
        <v>0</v>
      </c>
      <c r="EA7" s="47">
        <f t="array" ref="EA7">IF(AND(ISNUMBER(MATCH(EA$2, AsistenciaJetAdminConcatenada!$A:$A, 0)), ISNUMBER(MATCH(EA$1, AsistenciaJetAdminConcatenada!$B:$B, 0)), ISNUMBER(SEARCH($A7,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ISNUMBER(SEARCH($A7, INDEX(AsistenciaJetAdminConcatenada!$D:$D, MATCH(1, (AsistenciaJetAdminConcatenada!$A:$A=EA$2)*(AsistenciaJetAdminConcatenada!$B:$B=EA$1), 0)), 1))),  0.5, 0))</f>
        <v>0</v>
      </c>
      <c r="EB7" s="47">
        <f t="array" ref="EB7">IF(AND(ISNUMBER(MATCH(EB$2, AsistenciaJetAdminConcatenada!$A:$A, 0)), ISNUMBER(MATCH(EB$1, AsistenciaJetAdminConcatenada!$B:$B, 0)), ISNUMBER(SEARCH($A7,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ISNUMBER(SEARCH($A7, INDEX(AsistenciaJetAdminConcatenada!$D:$D, MATCH(1, (AsistenciaJetAdminConcatenada!$A:$A=EB$2)*(AsistenciaJetAdminConcatenada!$B:$B=EB$1), 0)), 1))),  0.5, 0))</f>
        <v>0</v>
      </c>
      <c r="EC7" s="47">
        <f t="array" ref="EC7">IF(AND(ISNUMBER(MATCH(EC$2, AsistenciaJetAdminConcatenada!$A:$A, 0)), ISNUMBER(MATCH(EC$1, AsistenciaJetAdminConcatenada!$B:$B, 0)), ISNUMBER(SEARCH($A7,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ISNUMBER(SEARCH($A7, INDEX(AsistenciaJetAdminConcatenada!$D:$D, MATCH(1, (AsistenciaJetAdminConcatenada!$A:$A=EC$2)*(AsistenciaJetAdminConcatenada!$B:$B=EC$1), 0)), 1))),  0.5, 0))</f>
        <v>0</v>
      </c>
      <c r="ED7" s="47">
        <f t="array" ref="ED7">IF(AND(ISNUMBER(MATCH(ED$2, AsistenciaJetAdminConcatenada!$A:$A, 0)), ISNUMBER(MATCH(ED$1, AsistenciaJetAdminConcatenada!$B:$B, 0)), ISNUMBER(SEARCH($A7,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ISNUMBER(SEARCH($A7, INDEX(AsistenciaJetAdminConcatenada!$D:$D, MATCH(1, (AsistenciaJetAdminConcatenada!$A:$A=ED$2)*(AsistenciaJetAdminConcatenada!$B:$B=ED$1), 0)), 1))),  0.5, 0))</f>
        <v>0</v>
      </c>
      <c r="EE7" s="47">
        <f t="array" ref="EE7">IF(AND(ISNUMBER(MATCH(EE$2, AsistenciaJetAdminConcatenada!$A:$A, 0)), ISNUMBER(MATCH(EE$1, AsistenciaJetAdminConcatenada!$B:$B, 0)), ISNUMBER(SEARCH($A7,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ISNUMBER(SEARCH($A7, INDEX(AsistenciaJetAdminConcatenada!$D:$D, MATCH(1, (AsistenciaJetAdminConcatenada!$A:$A=EE$2)*(AsistenciaJetAdminConcatenada!$B:$B=EE$1), 0)), 1))),  0.5, 0))</f>
        <v>0</v>
      </c>
      <c r="EF7" s="47">
        <f t="array" ref="EF7">IF(AND(ISNUMBER(MATCH(EF$2, AsistenciaJetAdminConcatenada!$A:$A, 0)), ISNUMBER(MATCH(EF$1, AsistenciaJetAdminConcatenada!$B:$B, 0)), ISNUMBER(SEARCH($A7,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ISNUMBER(SEARCH($A7, INDEX(AsistenciaJetAdminConcatenada!$D:$D, MATCH(1, (AsistenciaJetAdminConcatenada!$A:$A=EF$2)*(AsistenciaJetAdminConcatenada!$B:$B=EF$1), 0)), 1))),  0.5, 0))</f>
        <v>0</v>
      </c>
      <c r="EG7" s="47">
        <f t="array" ref="EG7">IF(AND(ISNUMBER(MATCH(EG$2, AsistenciaJetAdminConcatenada!$A:$A, 0)), ISNUMBER(MATCH(EG$1, AsistenciaJetAdminConcatenada!$B:$B, 0)), ISNUMBER(SEARCH($A7,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ISNUMBER(SEARCH($A7, INDEX(AsistenciaJetAdminConcatenada!$D:$D, MATCH(1, (AsistenciaJetAdminConcatenada!$A:$A=EG$2)*(AsistenciaJetAdminConcatenada!$B:$B=EG$1), 0)), 1))),  0.5, 0))</f>
        <v>0</v>
      </c>
      <c r="EH7" s="47">
        <f t="array" ref="EH7">IF(AND(ISNUMBER(MATCH(EH$2, AsistenciaJetAdminConcatenada!$A:$A, 0)), ISNUMBER(MATCH(EH$1, AsistenciaJetAdminConcatenada!$B:$B, 0)), ISNUMBER(SEARCH($A7,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ISNUMBER(SEARCH($A7, INDEX(AsistenciaJetAdminConcatenada!$D:$D, MATCH(1, (AsistenciaJetAdminConcatenada!$A:$A=EH$2)*(AsistenciaJetAdminConcatenada!$B:$B=EH$1), 0)), 1))),  0.5, 0))</f>
        <v>0</v>
      </c>
      <c r="EI7" s="47">
        <f t="array" ref="EI7">IF(AND(ISNUMBER(MATCH(EI$2, AsistenciaJetAdminConcatenada!$A:$A, 0)), ISNUMBER(MATCH(EI$1, AsistenciaJetAdminConcatenada!$B:$B, 0)), ISNUMBER(SEARCH($A7,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ISNUMBER(SEARCH($A7, INDEX(AsistenciaJetAdminConcatenada!$D:$D, MATCH(1, (AsistenciaJetAdminConcatenada!$A:$A=EI$2)*(AsistenciaJetAdminConcatenada!$B:$B=EI$1), 0)), 1))),  0.5, 0))</f>
        <v>0</v>
      </c>
      <c r="EJ7" s="47">
        <f t="array" ref="EJ7">IF(AND(ISNUMBER(MATCH(EJ$2, AsistenciaJetAdminConcatenada!$A:$A, 0)), ISNUMBER(MATCH(EJ$1, AsistenciaJetAdminConcatenada!$B:$B, 0)), ISNUMBER(SEARCH($A7,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ISNUMBER(SEARCH($A7, INDEX(AsistenciaJetAdminConcatenada!$D:$D, MATCH(1, (AsistenciaJetAdminConcatenada!$A:$A=EJ$2)*(AsistenciaJetAdminConcatenada!$B:$B=EJ$1), 0)), 1))),  0.5, 0))</f>
        <v>0</v>
      </c>
      <c r="EK7" s="47">
        <f t="array" ref="EK7">IF(AND(ISNUMBER(MATCH(EK$2, AsistenciaJetAdminConcatenada!$A:$A, 0)), ISNUMBER(MATCH(EK$1, AsistenciaJetAdminConcatenada!$B:$B, 0)), ISNUMBER(SEARCH($A7,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ISNUMBER(SEARCH($A7, INDEX(AsistenciaJetAdminConcatenada!$D:$D, MATCH(1, (AsistenciaJetAdminConcatenada!$A:$A=EK$2)*(AsistenciaJetAdminConcatenada!$B:$B=EK$1), 0)), 1))),  0.5, 0))</f>
        <v>0</v>
      </c>
      <c r="EL7" s="47">
        <f t="array" ref="EL7">IF(AND(ISNUMBER(MATCH(EL$2, AsistenciaJetAdminConcatenada!$A:$A, 0)), ISNUMBER(MATCH(EL$1, AsistenciaJetAdminConcatenada!$B:$B, 0)), ISNUMBER(SEARCH($A7,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ISNUMBER(SEARCH($A7, INDEX(AsistenciaJetAdminConcatenada!$D:$D, MATCH(1, (AsistenciaJetAdminConcatenada!$A:$A=EL$2)*(AsistenciaJetAdminConcatenada!$B:$B=EL$1), 0)), 1))),  0.5, 0))</f>
        <v>0</v>
      </c>
      <c r="EM7" s="47">
        <f t="array" ref="EM7">IF(AND(ISNUMBER(MATCH(EM$2, AsistenciaJetAdminConcatenada!$A:$A, 0)), ISNUMBER(MATCH(EM$1, AsistenciaJetAdminConcatenada!$B:$B, 0)), ISNUMBER(SEARCH($A7,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ISNUMBER(SEARCH($A7, INDEX(AsistenciaJetAdminConcatenada!$D:$D, MATCH(1, (AsistenciaJetAdminConcatenada!$A:$A=EM$2)*(AsistenciaJetAdminConcatenada!$B:$B=EM$1), 0)), 1))),  0.5, 0))</f>
        <v>0</v>
      </c>
      <c r="EN7" s="47">
        <f t="array" ref="EN7">IF(AND(ISNUMBER(MATCH(EN$2, AsistenciaJetAdminConcatenada!$A:$A, 0)), ISNUMBER(MATCH(EN$1, AsistenciaJetAdminConcatenada!$B:$B, 0)), ISNUMBER(SEARCH($A7,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ISNUMBER(SEARCH($A7, INDEX(AsistenciaJetAdminConcatenada!$D:$D, MATCH(1, (AsistenciaJetAdminConcatenada!$A:$A=EN$2)*(AsistenciaJetAdminConcatenada!$B:$B=EN$1), 0)), 1))),  0.5, 0))</f>
        <v>0</v>
      </c>
      <c r="EO7" s="47">
        <f t="array" ref="EO7">IF(AND(ISNUMBER(MATCH(EO$2, AsistenciaJetAdminConcatenada!$A:$A, 0)), ISNUMBER(MATCH(EO$1, AsistenciaJetAdminConcatenada!$B:$B, 0)), ISNUMBER(SEARCH($A7,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ISNUMBER(SEARCH($A7, INDEX(AsistenciaJetAdminConcatenada!$D:$D, MATCH(1, (AsistenciaJetAdminConcatenada!$A:$A=EO$2)*(AsistenciaJetAdminConcatenada!$B:$B=EO$1), 0)), 1))),  0.5, 0))</f>
        <v>0</v>
      </c>
      <c r="EP7" s="47">
        <f t="array" ref="EP7">IF(AND(ISNUMBER(MATCH(EP$2, AsistenciaJetAdminConcatenada!$A:$A, 0)), ISNUMBER(MATCH(EP$1, AsistenciaJetAdminConcatenada!$B:$B, 0)), ISNUMBER(SEARCH($A7,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ISNUMBER(SEARCH($A7, INDEX(AsistenciaJetAdminConcatenada!$D:$D, MATCH(1, (AsistenciaJetAdminConcatenada!$A:$A=EP$2)*(AsistenciaJetAdminConcatenada!$B:$B=EP$1), 0)), 1))),  0.5, 0))</f>
        <v>0</v>
      </c>
      <c r="EQ7" s="47">
        <f t="array" ref="EQ7">IF(AND(ISNUMBER(MATCH(EQ$2, AsistenciaJetAdminConcatenada!$A:$A, 0)), ISNUMBER(MATCH(EQ$1, AsistenciaJetAdminConcatenada!$B:$B, 0)), ISNUMBER(SEARCH($A7,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ISNUMBER(SEARCH($A7, INDEX(AsistenciaJetAdminConcatenada!$D:$D, MATCH(1, (AsistenciaJetAdminConcatenada!$A:$A=EQ$2)*(AsistenciaJetAdminConcatenada!$B:$B=EQ$1), 0)), 1))),  0.5, 0))</f>
        <v>0</v>
      </c>
      <c r="ER7" s="47">
        <f t="array" ref="ER7">IF(AND(ISNUMBER(MATCH(ER$2, AsistenciaJetAdminConcatenada!$A:$A, 0)), ISNUMBER(MATCH(ER$1, AsistenciaJetAdminConcatenada!$B:$B, 0)), ISNUMBER(SEARCH($A7,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ISNUMBER(SEARCH($A7, INDEX(AsistenciaJetAdminConcatenada!$D:$D, MATCH(1, (AsistenciaJetAdminConcatenada!$A:$A=ER$2)*(AsistenciaJetAdminConcatenada!$B:$B=ER$1), 0)), 1))),  0.5, 0))</f>
        <v>0</v>
      </c>
      <c r="ES7" s="47">
        <f t="array" ref="ES7">IF(AND(ISNUMBER(MATCH(ES$2, AsistenciaJetAdminConcatenada!$A:$A, 0)), ISNUMBER(MATCH(ES$1, AsistenciaJetAdminConcatenada!$B:$B, 0)), ISNUMBER(SEARCH($A7,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ISNUMBER(SEARCH($A7, INDEX(AsistenciaJetAdminConcatenada!$D:$D, MATCH(1, (AsistenciaJetAdminConcatenada!$A:$A=ES$2)*(AsistenciaJetAdminConcatenada!$B:$B=ES$1), 0)), 1))),  0.5, 0))</f>
        <v>0</v>
      </c>
      <c r="ET7" s="47">
        <f t="array" ref="ET7">IF(AND(ISNUMBER(MATCH(ET$2, AsistenciaJetAdminConcatenada!$A:$A, 0)), ISNUMBER(MATCH(ET$1, AsistenciaJetAdminConcatenada!$B:$B, 0)), ISNUMBER(SEARCH($A7,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ISNUMBER(SEARCH($A7, INDEX(AsistenciaJetAdminConcatenada!$D:$D, MATCH(1, (AsistenciaJetAdminConcatenada!$A:$A=ET$2)*(AsistenciaJetAdminConcatenada!$B:$B=ET$1), 0)), 1))),  0.5, 0))</f>
        <v>0</v>
      </c>
      <c r="EU7" s="47">
        <f t="array" ref="EU7">IF(AND(ISNUMBER(MATCH(EU$2, AsistenciaJetAdminConcatenada!$A:$A, 0)), ISNUMBER(MATCH(EU$1, AsistenciaJetAdminConcatenada!$B:$B, 0)), ISNUMBER(SEARCH($A7,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ISNUMBER(SEARCH($A7, INDEX(AsistenciaJetAdminConcatenada!$D:$D, MATCH(1, (AsistenciaJetAdminConcatenada!$A:$A=EU$2)*(AsistenciaJetAdminConcatenada!$B:$B=EU$1), 0)), 1))),  0.5, 0))</f>
        <v>0</v>
      </c>
      <c r="EV7" s="47">
        <f t="array" ref="EV7">IF(AND(ISNUMBER(MATCH(EV$2, AsistenciaJetAdminConcatenada!$A:$A, 0)), ISNUMBER(MATCH(EV$1, AsistenciaJetAdminConcatenada!$B:$B, 0)), ISNUMBER(SEARCH($A7,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ISNUMBER(SEARCH($A7, INDEX(AsistenciaJetAdminConcatenada!$D:$D, MATCH(1, (AsistenciaJetAdminConcatenada!$A:$A=EV$2)*(AsistenciaJetAdminConcatenada!$B:$B=EV$1), 0)), 1))),  0.5, 0))</f>
        <v>0</v>
      </c>
      <c r="EW7" s="47">
        <f t="array" ref="EW7">IF(AND(ISNUMBER(MATCH(EW$2, AsistenciaJetAdminConcatenada!$A:$A, 0)), ISNUMBER(MATCH(EW$1, AsistenciaJetAdminConcatenada!$B:$B, 0)), ISNUMBER(SEARCH($A7,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ISNUMBER(SEARCH($A7, INDEX(AsistenciaJetAdminConcatenada!$D:$D, MATCH(1, (AsistenciaJetAdminConcatenada!$A:$A=EW$2)*(AsistenciaJetAdminConcatenada!$B:$B=EW$1), 0)), 1))),  0.5, 0))</f>
        <v>0</v>
      </c>
      <c r="EX7" s="47">
        <f t="array" ref="EX7">IF(AND(ISNUMBER(MATCH(EX$2, AsistenciaJetAdminConcatenada!$A:$A, 0)), ISNUMBER(MATCH(EX$1, AsistenciaJetAdminConcatenada!$B:$B, 0)), ISNUMBER(SEARCH($A7,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ISNUMBER(SEARCH($A7, INDEX(AsistenciaJetAdminConcatenada!$D:$D, MATCH(1, (AsistenciaJetAdminConcatenada!$A:$A=EX$2)*(AsistenciaJetAdminConcatenada!$B:$B=EX$1), 0)), 1))),  0.5, 0))</f>
        <v>0</v>
      </c>
      <c r="EY7" s="47">
        <f t="array" ref="EY7">IF(AND(ISNUMBER(MATCH(EY$2, AsistenciaJetAdminConcatenada!$A:$A, 0)), ISNUMBER(MATCH(EY$1, AsistenciaJetAdminConcatenada!$B:$B, 0)), ISNUMBER(SEARCH($A7,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ISNUMBER(SEARCH($A7, INDEX(AsistenciaJetAdminConcatenada!$D:$D, MATCH(1, (AsistenciaJetAdminConcatenada!$A:$A=EY$2)*(AsistenciaJetAdminConcatenada!$B:$B=EY$1), 0)), 1))),  0.5, 0))</f>
        <v>0</v>
      </c>
      <c r="EZ7" s="47">
        <f t="array" ref="EZ7">IF(AND(ISNUMBER(MATCH(EZ$2, AsistenciaJetAdminConcatenada!$A:$A, 0)), ISNUMBER(MATCH(EZ$1, AsistenciaJetAdminConcatenada!$B:$B, 0)), ISNUMBER(SEARCH($A7,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ISNUMBER(SEARCH($A7, INDEX(AsistenciaJetAdminConcatenada!$D:$D, MATCH(1, (AsistenciaJetAdminConcatenada!$A:$A=EZ$2)*(AsistenciaJetAdminConcatenada!$B:$B=EZ$1), 0)), 1))),  0.5, 0))</f>
        <v>0</v>
      </c>
      <c r="FA7" s="47">
        <f t="array" ref="FA7">IF(AND(ISNUMBER(MATCH(FA$2, AsistenciaJetAdminConcatenada!$A:$A, 0)), ISNUMBER(MATCH(FA$1, AsistenciaJetAdminConcatenada!$B:$B, 0)), ISNUMBER(SEARCH($A7,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ISNUMBER(SEARCH($A7, INDEX(AsistenciaJetAdminConcatenada!$D:$D, MATCH(1, (AsistenciaJetAdminConcatenada!$A:$A=FA$2)*(AsistenciaJetAdminConcatenada!$B:$B=FA$1), 0)), 1))),  0.5, 0))</f>
        <v>0</v>
      </c>
      <c r="FB7" s="47">
        <f t="array" ref="FB7">IF(AND(ISNUMBER(MATCH(FB$2, AsistenciaJetAdminConcatenada!$A:$A, 0)), ISNUMBER(MATCH(FB$1, AsistenciaJetAdminConcatenada!$B:$B, 0)), ISNUMBER(SEARCH($A7,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ISNUMBER(SEARCH($A7, INDEX(AsistenciaJetAdminConcatenada!$D:$D, MATCH(1, (AsistenciaJetAdminConcatenada!$A:$A=FB$2)*(AsistenciaJetAdminConcatenada!$B:$B=FB$1), 0)), 1))),  0.5, 0))</f>
        <v>0</v>
      </c>
      <c r="FC7" s="47">
        <f t="array" ref="FC7">IF(AND(ISNUMBER(MATCH(FC$2, AsistenciaJetAdminConcatenada!$A:$A, 0)), ISNUMBER(MATCH(FC$1, AsistenciaJetAdminConcatenada!$B:$B, 0)), ISNUMBER(SEARCH($A7,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ISNUMBER(SEARCH($A7, INDEX(AsistenciaJetAdminConcatenada!$D:$D, MATCH(1, (AsistenciaJetAdminConcatenada!$A:$A=FC$2)*(AsistenciaJetAdminConcatenada!$B:$B=FC$1), 0)), 1))),  0.5, 0))</f>
        <v>0</v>
      </c>
      <c r="FD7" s="47">
        <f t="array" ref="FD7">IF(AND(ISNUMBER(MATCH(FD$2, AsistenciaJetAdminConcatenada!$A:$A, 0)), ISNUMBER(MATCH(FD$1, AsistenciaJetAdminConcatenada!$B:$B, 0)), ISNUMBER(SEARCH($A7,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ISNUMBER(SEARCH($A7, INDEX(AsistenciaJetAdminConcatenada!$D:$D, MATCH(1, (AsistenciaJetAdminConcatenada!$A:$A=FD$2)*(AsistenciaJetAdminConcatenada!$B:$B=FD$1), 0)), 1))),  0.5, 0))</f>
        <v>0</v>
      </c>
      <c r="FE7" s="47">
        <f t="array" ref="FE7">IF(AND(ISNUMBER(MATCH(FE$2, AsistenciaJetAdminConcatenada!$A:$A, 0)), ISNUMBER(MATCH(FE$1, AsistenciaJetAdminConcatenada!$B:$B, 0)), ISNUMBER(SEARCH($A7,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ISNUMBER(SEARCH($A7, INDEX(AsistenciaJetAdminConcatenada!$D:$D, MATCH(1, (AsistenciaJetAdminConcatenada!$A:$A=FE$2)*(AsistenciaJetAdminConcatenada!$B:$B=FE$1), 0)), 1))),  0.5, 0))</f>
        <v>0</v>
      </c>
      <c r="FF7" s="47">
        <f t="array" ref="FF7">IF(AND(ISNUMBER(MATCH(FF$2, AsistenciaJetAdminConcatenada!$A:$A, 0)), ISNUMBER(MATCH(FF$1, AsistenciaJetAdminConcatenada!$B:$B, 0)), ISNUMBER(SEARCH($A7,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ISNUMBER(SEARCH($A7, INDEX(AsistenciaJetAdminConcatenada!$D:$D, MATCH(1, (AsistenciaJetAdminConcatenada!$A:$A=FF$2)*(AsistenciaJetAdminConcatenada!$B:$B=FF$1), 0)), 1))),  0.5, 0))</f>
        <v>0</v>
      </c>
      <c r="FG7" s="47">
        <f t="array" ref="FG7">IF(AND(ISNUMBER(MATCH(FG$2, AsistenciaJetAdminConcatenada!$A:$A, 0)), ISNUMBER(MATCH(FG$1, AsistenciaJetAdminConcatenada!$B:$B, 0)), ISNUMBER(SEARCH($A7,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ISNUMBER(SEARCH($A7, INDEX(AsistenciaJetAdminConcatenada!$D:$D, MATCH(1, (AsistenciaJetAdminConcatenada!$A:$A=FG$2)*(AsistenciaJetAdminConcatenada!$B:$B=FG$1), 0)), 1))),  0.5, 0))</f>
        <v>0</v>
      </c>
      <c r="FH7" s="47">
        <f t="array" ref="FH7">IF(AND(ISNUMBER(MATCH(FH$2, AsistenciaJetAdminConcatenada!$A:$A, 0)), ISNUMBER(MATCH(FH$1, AsistenciaJetAdminConcatenada!$B:$B, 0)), ISNUMBER(SEARCH($A7,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ISNUMBER(SEARCH($A7, INDEX(AsistenciaJetAdminConcatenada!$D:$D, MATCH(1, (AsistenciaJetAdminConcatenada!$A:$A=FH$2)*(AsistenciaJetAdminConcatenada!$B:$B=FH$1), 0)), 1))),  0.5, 0))</f>
        <v>0</v>
      </c>
      <c r="FI7" s="47">
        <f t="array" ref="FI7">IF(AND(ISNUMBER(MATCH(FI$2, AsistenciaJetAdminConcatenada!$A:$A, 0)), ISNUMBER(MATCH(FI$1, AsistenciaJetAdminConcatenada!$B:$B, 0)), ISNUMBER(SEARCH($A7,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ISNUMBER(SEARCH($A7, INDEX(AsistenciaJetAdminConcatenada!$D:$D, MATCH(1, (AsistenciaJetAdminConcatenada!$A:$A=FI$2)*(AsistenciaJetAdminConcatenada!$B:$B=FI$1), 0)), 1))),  0.5, 0))</f>
        <v>0</v>
      </c>
      <c r="FJ7" s="47">
        <f t="array" ref="FJ7">IF(AND(ISNUMBER(MATCH(FJ$2, AsistenciaJetAdminConcatenada!$A:$A, 0)), ISNUMBER(MATCH(FJ$1, AsistenciaJetAdminConcatenada!$B:$B, 0)), ISNUMBER(SEARCH($A7,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ISNUMBER(SEARCH($A7, INDEX(AsistenciaJetAdminConcatenada!$D:$D, MATCH(1, (AsistenciaJetAdminConcatenada!$A:$A=FJ$2)*(AsistenciaJetAdminConcatenada!$B:$B=FJ$1), 0)), 1))),  0.5, 0))</f>
        <v>0</v>
      </c>
      <c r="FK7" s="47">
        <f t="array" ref="FK7">IF(AND(ISNUMBER(MATCH(FK$2, AsistenciaJetAdminConcatenada!$A:$A, 0)), ISNUMBER(MATCH(FK$1, AsistenciaJetAdminConcatenada!$B:$B, 0)), ISNUMBER(SEARCH($A7,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ISNUMBER(SEARCH($A7, INDEX(AsistenciaJetAdminConcatenada!$D:$D, MATCH(1, (AsistenciaJetAdminConcatenada!$A:$A=FK$2)*(AsistenciaJetAdminConcatenada!$B:$B=FK$1), 0)), 1))),  0.5, 0))</f>
        <v>0</v>
      </c>
      <c r="FL7" s="47">
        <f t="array" ref="FL7">IF(AND(ISNUMBER(MATCH(FL$2, AsistenciaJetAdminConcatenada!$A:$A, 0)), ISNUMBER(MATCH(FL$1, AsistenciaJetAdminConcatenada!$B:$B, 0)), ISNUMBER(SEARCH($A7,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ISNUMBER(SEARCH($A7, INDEX(AsistenciaJetAdminConcatenada!$D:$D, MATCH(1, (AsistenciaJetAdminConcatenada!$A:$A=FL$2)*(AsistenciaJetAdminConcatenada!$B:$B=FL$1), 0)), 1))),  0.5, 0))</f>
        <v>0</v>
      </c>
      <c r="FM7" s="47">
        <f t="array" ref="FM7">IF(AND(ISNUMBER(MATCH(FM$2, AsistenciaJetAdminConcatenada!$A:$A, 0)), ISNUMBER(MATCH(FM$1, AsistenciaJetAdminConcatenada!$B:$B, 0)), ISNUMBER(SEARCH($A7,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ISNUMBER(SEARCH($A7, INDEX(AsistenciaJetAdminConcatenada!$D:$D, MATCH(1, (AsistenciaJetAdminConcatenada!$A:$A=FM$2)*(AsistenciaJetAdminConcatenada!$B:$B=FM$1), 0)), 1))),  0.5, 0))</f>
        <v>0</v>
      </c>
      <c r="FN7" s="47">
        <f t="array" ref="FN7">IF(AND(ISNUMBER(MATCH(FN$2, AsistenciaJetAdminConcatenada!$A:$A, 0)), ISNUMBER(MATCH(FN$1, AsistenciaJetAdminConcatenada!$B:$B, 0)), ISNUMBER(SEARCH($A7,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ISNUMBER(SEARCH($A7, INDEX(AsistenciaJetAdminConcatenada!$D:$D, MATCH(1, (AsistenciaJetAdminConcatenada!$A:$A=FN$2)*(AsistenciaJetAdminConcatenada!$B:$B=FN$1), 0)), 1))),  0.5, 0))</f>
        <v>0</v>
      </c>
      <c r="FO7" s="47">
        <f t="array" ref="FO7">IF(AND(ISNUMBER(MATCH(FO$2, AsistenciaJetAdminConcatenada!$A:$A, 0)), ISNUMBER(MATCH(FO$1, AsistenciaJetAdminConcatenada!$B:$B, 0)), ISNUMBER(SEARCH($A7,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ISNUMBER(SEARCH($A7, INDEX(AsistenciaJetAdminConcatenada!$D:$D, MATCH(1, (AsistenciaJetAdminConcatenada!$A:$A=FO$2)*(AsistenciaJetAdminConcatenada!$B:$B=FO$1), 0)), 1))),  0.5, 0))</f>
        <v>0</v>
      </c>
      <c r="FP7" s="47">
        <f t="array" ref="FP7">IF(AND(ISNUMBER(MATCH(FP$2, AsistenciaJetAdminConcatenada!$A:$A, 0)), ISNUMBER(MATCH(FP$1, AsistenciaJetAdminConcatenada!$B:$B, 0)), ISNUMBER(SEARCH($A7,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ISNUMBER(SEARCH($A7, INDEX(AsistenciaJetAdminConcatenada!$D:$D, MATCH(1, (AsistenciaJetAdminConcatenada!$A:$A=FP$2)*(AsistenciaJetAdminConcatenada!$B:$B=FP$1), 0)), 1))),  0.5, 0))</f>
        <v>0</v>
      </c>
      <c r="FQ7" s="47">
        <f t="array" ref="FQ7">IF(AND(ISNUMBER(MATCH(FQ$2, AsistenciaJetAdminConcatenada!$A:$A, 0)), ISNUMBER(MATCH(FQ$1, AsistenciaJetAdminConcatenada!$B:$B, 0)), ISNUMBER(SEARCH($A7,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ISNUMBER(SEARCH($A7, INDEX(AsistenciaJetAdminConcatenada!$D:$D, MATCH(1, (AsistenciaJetAdminConcatenada!$A:$A=FQ$2)*(AsistenciaJetAdminConcatenada!$B:$B=FQ$1), 0)), 1))),  0.5, 0))</f>
        <v>0</v>
      </c>
      <c r="FR7" s="47">
        <f t="array" ref="FR7">IF(AND(ISNUMBER(MATCH(FR$2, AsistenciaJetAdminConcatenada!$A:$A, 0)), ISNUMBER(MATCH(FR$1, AsistenciaJetAdminConcatenada!$B:$B, 0)), ISNUMBER(SEARCH($A7,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ISNUMBER(SEARCH($A7, INDEX(AsistenciaJetAdminConcatenada!$D:$D, MATCH(1, (AsistenciaJetAdminConcatenada!$A:$A=FR$2)*(AsistenciaJetAdminConcatenada!$B:$B=FR$1), 0)), 1))),  0.5, 0))</f>
        <v>0</v>
      </c>
      <c r="FS7" s="47">
        <f t="array" ref="FS7">IF(AND(ISNUMBER(MATCH(FS$2, AsistenciaJetAdminConcatenada!$A:$A, 0)), ISNUMBER(MATCH(FS$1, AsistenciaJetAdminConcatenada!$B:$B, 0)), ISNUMBER(SEARCH($A7,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ISNUMBER(SEARCH($A7, INDEX(AsistenciaJetAdminConcatenada!$D:$D, MATCH(1, (AsistenciaJetAdminConcatenada!$A:$A=FS$2)*(AsistenciaJetAdminConcatenada!$B:$B=FS$1), 0)), 1))),  0.5, 0))</f>
        <v>0</v>
      </c>
      <c r="FT7" s="47">
        <f t="array" ref="FT7">IF(AND(ISNUMBER(MATCH(FT$2, AsistenciaJetAdminConcatenada!$A:$A, 0)), ISNUMBER(MATCH(FT$1, AsistenciaJetAdminConcatenada!$B:$B, 0)), ISNUMBER(SEARCH($A7,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ISNUMBER(SEARCH($A7, INDEX(AsistenciaJetAdminConcatenada!$D:$D, MATCH(1, (AsistenciaJetAdminConcatenada!$A:$A=FT$2)*(AsistenciaJetAdminConcatenada!$B:$B=FT$1), 0)), 1))),  0.5, 0))</f>
        <v>0</v>
      </c>
      <c r="FU7" s="47">
        <f t="array" ref="FU7">IF(AND(ISNUMBER(MATCH(FU$2, AsistenciaJetAdminConcatenada!$A:$A, 0)), ISNUMBER(MATCH(FU$1, AsistenciaJetAdminConcatenada!$B:$B, 0)), ISNUMBER(SEARCH($A7,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ISNUMBER(SEARCH($A7, INDEX(AsistenciaJetAdminConcatenada!$D:$D, MATCH(1, (AsistenciaJetAdminConcatenada!$A:$A=FU$2)*(AsistenciaJetAdminConcatenada!$B:$B=FU$1), 0)), 1))),  0.5, 0))</f>
        <v>0</v>
      </c>
      <c r="FV7" s="47">
        <f t="array" ref="FV7">IF(AND(ISNUMBER(MATCH(FV$2, AsistenciaJetAdminConcatenada!$A:$A, 0)), ISNUMBER(MATCH(FV$1, AsistenciaJetAdminConcatenada!$B:$B, 0)), ISNUMBER(SEARCH($A7,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ISNUMBER(SEARCH($A7, INDEX(AsistenciaJetAdminConcatenada!$D:$D, MATCH(1, (AsistenciaJetAdminConcatenada!$A:$A=FV$2)*(AsistenciaJetAdminConcatenada!$B:$B=FV$1), 0)), 1))),  0.5, 0))</f>
        <v>0</v>
      </c>
      <c r="FW7" s="47">
        <f t="array" ref="FW7">IF(AND(ISNUMBER(MATCH(FW$2, AsistenciaJetAdminConcatenada!$A:$A, 0)), ISNUMBER(MATCH(FW$1, AsistenciaJetAdminConcatenada!$B:$B, 0)), ISNUMBER(SEARCH($A7,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ISNUMBER(SEARCH($A7, INDEX(AsistenciaJetAdminConcatenada!$D:$D, MATCH(1, (AsistenciaJetAdminConcatenada!$A:$A=FW$2)*(AsistenciaJetAdminConcatenada!$B:$B=FW$1), 0)), 1))),  0.5, 0))</f>
        <v>0</v>
      </c>
      <c r="FX7" s="47">
        <f t="array" ref="FX7">IF(AND(ISNUMBER(MATCH(FX$2, AsistenciaJetAdminConcatenada!$A:$A, 0)), ISNUMBER(MATCH(FX$1, AsistenciaJetAdminConcatenada!$B:$B, 0)), ISNUMBER(SEARCH($A7,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ISNUMBER(SEARCH($A7, INDEX(AsistenciaJetAdminConcatenada!$D:$D, MATCH(1, (AsistenciaJetAdminConcatenada!$A:$A=FX$2)*(AsistenciaJetAdminConcatenada!$B:$B=FX$1), 0)), 1))),  0.5, 0))</f>
        <v>0</v>
      </c>
      <c r="FY7" s="47">
        <f t="array" ref="FY7">IF(AND(ISNUMBER(MATCH(FY$2, AsistenciaJetAdminConcatenada!$A:$A, 0)), ISNUMBER(MATCH(FY$1, AsistenciaJetAdminConcatenada!$B:$B, 0)), ISNUMBER(SEARCH($A7,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ISNUMBER(SEARCH($A7, INDEX(AsistenciaJetAdminConcatenada!$D:$D, MATCH(1, (AsistenciaJetAdminConcatenada!$A:$A=FY$2)*(AsistenciaJetAdminConcatenada!$B:$B=FY$1), 0)), 1))),  0.5, 0))</f>
        <v>0</v>
      </c>
      <c r="FZ7" s="47">
        <f t="array" ref="FZ7">IF(AND(ISNUMBER(MATCH(FZ$2, AsistenciaJetAdminConcatenada!$A:$A, 0)), ISNUMBER(MATCH(FZ$1, AsistenciaJetAdminConcatenada!$B:$B, 0)), ISNUMBER(SEARCH($A7,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ISNUMBER(SEARCH($A7, INDEX(AsistenciaJetAdminConcatenada!$D:$D, MATCH(1, (AsistenciaJetAdminConcatenada!$A:$A=FZ$2)*(AsistenciaJetAdminConcatenada!$B:$B=FZ$1), 0)), 1))),  0.5, 0))</f>
        <v>0</v>
      </c>
      <c r="GA7" s="47">
        <f t="array" ref="GA7">IF(AND(ISNUMBER(MATCH(GA$2, AsistenciaJetAdminConcatenada!$A:$A, 0)), ISNUMBER(MATCH(GA$1, AsistenciaJetAdminConcatenada!$B:$B, 0)), ISNUMBER(SEARCH($A7,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ISNUMBER(SEARCH($A7, INDEX(AsistenciaJetAdminConcatenada!$D:$D, MATCH(1, (AsistenciaJetAdminConcatenada!$A:$A=GA$2)*(AsistenciaJetAdminConcatenada!$B:$B=GA$1), 0)), 1))),  0.5, 0))</f>
        <v>0</v>
      </c>
      <c r="GB7" s="47">
        <f t="array" ref="GB7">IF(AND(ISNUMBER(MATCH(GB$2, AsistenciaJetAdminConcatenada!$A:$A, 0)), ISNUMBER(MATCH(GB$1, AsistenciaJetAdminConcatenada!$B:$B, 0)), ISNUMBER(SEARCH($A7,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ISNUMBER(SEARCH($A7, INDEX(AsistenciaJetAdminConcatenada!$D:$D, MATCH(1, (AsistenciaJetAdminConcatenada!$A:$A=GB$2)*(AsistenciaJetAdminConcatenada!$B:$B=GB$1), 0)), 1))),  0.5, 0))</f>
        <v>0</v>
      </c>
      <c r="GC7" s="47">
        <f t="array" ref="GC7">IF(AND(ISNUMBER(MATCH(GC$2, AsistenciaJetAdminConcatenada!$A:$A, 0)), ISNUMBER(MATCH(GC$1, AsistenciaJetAdminConcatenada!$B:$B, 0)), ISNUMBER(SEARCH($A7,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ISNUMBER(SEARCH($A7, INDEX(AsistenciaJetAdminConcatenada!$D:$D, MATCH(1, (AsistenciaJetAdminConcatenada!$A:$A=GC$2)*(AsistenciaJetAdminConcatenada!$B:$B=GC$1), 0)), 1))),  0.5, 0))</f>
        <v>0</v>
      </c>
      <c r="GD7" s="47">
        <f t="array" ref="GD7">IF(AND(ISNUMBER(MATCH(GD$2, AsistenciaJetAdminConcatenada!$A:$A, 0)), ISNUMBER(MATCH(GD$1, AsistenciaJetAdminConcatenada!$B:$B, 0)), ISNUMBER(SEARCH($A7,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ISNUMBER(SEARCH($A7, INDEX(AsistenciaJetAdminConcatenada!$D:$D, MATCH(1, (AsistenciaJetAdminConcatenada!$A:$A=GD$2)*(AsistenciaJetAdminConcatenada!$B:$B=GD$1), 0)), 1))),  0.5, 0))</f>
        <v>0</v>
      </c>
      <c r="GE7" s="47">
        <f t="array" ref="GE7">IF(AND(ISNUMBER(MATCH(GE$2, AsistenciaJetAdminConcatenada!$A:$A, 0)), ISNUMBER(MATCH(GE$1, AsistenciaJetAdminConcatenada!$B:$B, 0)), ISNUMBER(SEARCH($A7,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ISNUMBER(SEARCH($A7, INDEX(AsistenciaJetAdminConcatenada!$D:$D, MATCH(1, (AsistenciaJetAdminConcatenada!$A:$A=GE$2)*(AsistenciaJetAdminConcatenada!$B:$B=GE$1), 0)), 1))),  0.5, 0))</f>
        <v>0</v>
      </c>
      <c r="GF7" s="47">
        <f t="array" ref="GF7">IF(AND(ISNUMBER(MATCH(GF$2, AsistenciaJetAdminConcatenada!$A:$A, 0)), ISNUMBER(MATCH(GF$1, AsistenciaJetAdminConcatenada!$B:$B, 0)), ISNUMBER(SEARCH($A7,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ISNUMBER(SEARCH($A7, INDEX(AsistenciaJetAdminConcatenada!$D:$D, MATCH(1, (AsistenciaJetAdminConcatenada!$A:$A=GF$2)*(AsistenciaJetAdminConcatenada!$B:$B=GF$1), 0)), 1))),  0.5, 0))</f>
        <v>0</v>
      </c>
      <c r="GG7" s="47">
        <f t="array" ref="GG7">IF(AND(ISNUMBER(MATCH(GG$2, AsistenciaJetAdminConcatenada!$A:$A, 0)), ISNUMBER(MATCH(GG$1, AsistenciaJetAdminConcatenada!$B:$B, 0)), ISNUMBER(SEARCH($A7,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ISNUMBER(SEARCH($A7, INDEX(AsistenciaJetAdminConcatenada!$D:$D, MATCH(1, (AsistenciaJetAdminConcatenada!$A:$A=GG$2)*(AsistenciaJetAdminConcatenada!$B:$B=GG$1), 0)), 1))),  0.5, 0))</f>
        <v>0</v>
      </c>
      <c r="GH7" s="47">
        <f t="array" ref="GH7">IF(AND(ISNUMBER(MATCH(GH$2, AsistenciaJetAdminConcatenada!$A:$A, 0)), ISNUMBER(MATCH(GH$1, AsistenciaJetAdminConcatenada!$B:$B, 0)), ISNUMBER(SEARCH($A7,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ISNUMBER(SEARCH($A7, INDEX(AsistenciaJetAdminConcatenada!$D:$D, MATCH(1, (AsistenciaJetAdminConcatenada!$A:$A=GH$2)*(AsistenciaJetAdminConcatenada!$B:$B=GH$1), 0)), 1))),  0.5, 0))</f>
        <v>0</v>
      </c>
      <c r="GI7" s="47">
        <f t="array" ref="GI7">IF(AND(ISNUMBER(MATCH(GI$2, AsistenciaJetAdminConcatenada!$A:$A, 0)), ISNUMBER(MATCH(GI$1, AsistenciaJetAdminConcatenada!$B:$B, 0)), ISNUMBER(SEARCH($A7,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ISNUMBER(SEARCH($A7, INDEX(AsistenciaJetAdminConcatenada!$D:$D, MATCH(1, (AsistenciaJetAdminConcatenada!$A:$A=GI$2)*(AsistenciaJetAdminConcatenada!$B:$B=GI$1), 0)), 1))),  0.5, 0))</f>
        <v>0</v>
      </c>
      <c r="GJ7" s="47">
        <f t="array" ref="GJ7">IF(AND(ISNUMBER(MATCH(GJ$2, AsistenciaJetAdminConcatenada!$A:$A, 0)), ISNUMBER(MATCH(GJ$1, AsistenciaJetAdminConcatenada!$B:$B, 0)), ISNUMBER(SEARCH($A7,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ISNUMBER(SEARCH($A7, INDEX(AsistenciaJetAdminConcatenada!$D:$D, MATCH(1, (AsistenciaJetAdminConcatenada!$A:$A=GJ$2)*(AsistenciaJetAdminConcatenada!$B:$B=GJ$1), 0)), 1))),  0.5, 0))</f>
        <v>0</v>
      </c>
      <c r="GK7" s="47">
        <f t="array" ref="GK7">IF(AND(ISNUMBER(MATCH(GK$2, AsistenciaJetAdminConcatenada!$A:$A, 0)), ISNUMBER(MATCH(GK$1, AsistenciaJetAdminConcatenada!$B:$B, 0)), ISNUMBER(SEARCH($A7,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ISNUMBER(SEARCH($A7, INDEX(AsistenciaJetAdminConcatenada!$D:$D, MATCH(1, (AsistenciaJetAdminConcatenada!$A:$A=GK$2)*(AsistenciaJetAdminConcatenada!$B:$B=GK$1), 0)), 1))),  0.5, 0))</f>
        <v>0</v>
      </c>
      <c r="GL7" s="47">
        <f t="array" ref="GL7">IF(AND(ISNUMBER(MATCH(GL$2, AsistenciaJetAdminConcatenada!$A:$A, 0)), ISNUMBER(MATCH(GL$1, AsistenciaJetAdminConcatenada!$B:$B, 0)), ISNUMBER(SEARCH($A7,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ISNUMBER(SEARCH($A7, INDEX(AsistenciaJetAdminConcatenada!$D:$D, MATCH(1, (AsistenciaJetAdminConcatenada!$A:$A=GL$2)*(AsistenciaJetAdminConcatenada!$B:$B=GL$1), 0)), 1))),  0.5, 0))</f>
        <v>0</v>
      </c>
      <c r="GM7" s="47">
        <f t="array" ref="GM7">IF(AND(ISNUMBER(MATCH(GM$2, AsistenciaJetAdminConcatenada!$A:$A, 0)), ISNUMBER(MATCH(GM$1, AsistenciaJetAdminConcatenada!$B:$B, 0)), ISNUMBER(SEARCH($A7,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ISNUMBER(SEARCH($A7, INDEX(AsistenciaJetAdminConcatenada!$D:$D, MATCH(1, (AsistenciaJetAdminConcatenada!$A:$A=GM$2)*(AsistenciaJetAdminConcatenada!$B:$B=GM$1), 0)), 1))),  0.5, 0))</f>
        <v>0</v>
      </c>
      <c r="GN7" s="47">
        <f t="array" ref="GN7">IF(AND(ISNUMBER(MATCH(GN$2, AsistenciaJetAdminConcatenada!$A:$A, 0)), ISNUMBER(MATCH(GN$1, AsistenciaJetAdminConcatenada!$B:$B, 0)), ISNUMBER(SEARCH($A7,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ISNUMBER(SEARCH($A7, INDEX(AsistenciaJetAdminConcatenada!$D:$D, MATCH(1, (AsistenciaJetAdminConcatenada!$A:$A=GN$2)*(AsistenciaJetAdminConcatenada!$B:$B=GN$1), 0)), 1))),  0.5, 0))</f>
        <v>0</v>
      </c>
      <c r="GO7" s="47">
        <f t="array" ref="GO7">IF(AND(ISNUMBER(MATCH(GO$2, AsistenciaJetAdminConcatenada!$A:$A, 0)), ISNUMBER(MATCH(GO$1, AsistenciaJetAdminConcatenada!$B:$B, 0)), ISNUMBER(SEARCH($A7,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ISNUMBER(SEARCH($A7, INDEX(AsistenciaJetAdminConcatenada!$D:$D, MATCH(1, (AsistenciaJetAdminConcatenada!$A:$A=GO$2)*(AsistenciaJetAdminConcatenada!$B:$B=GO$1), 0)), 1))),  0.5, 0))</f>
        <v>0</v>
      </c>
      <c r="GP7" s="47">
        <f t="array" ref="GP7">IF(AND(ISNUMBER(MATCH(GP$2, AsistenciaJetAdminConcatenada!$A:$A, 0)), ISNUMBER(MATCH(GP$1, AsistenciaJetAdminConcatenada!$B:$B, 0)), ISNUMBER(SEARCH($A7,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ISNUMBER(SEARCH($A7, INDEX(AsistenciaJetAdminConcatenada!$D:$D, MATCH(1, (AsistenciaJetAdminConcatenada!$A:$A=GP$2)*(AsistenciaJetAdminConcatenada!$B:$B=GP$1), 0)), 1))),  0.5, 0))</f>
        <v>0</v>
      </c>
      <c r="GQ7" s="47">
        <f t="array" ref="GQ7">IF(AND(ISNUMBER(MATCH(GQ$2, AsistenciaJetAdminConcatenada!$A:$A, 0)), ISNUMBER(MATCH(GQ$1, AsistenciaJetAdminConcatenada!$B:$B, 0)), ISNUMBER(SEARCH($A7,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ISNUMBER(SEARCH($A7, INDEX(AsistenciaJetAdminConcatenada!$D:$D, MATCH(1, (AsistenciaJetAdminConcatenada!$A:$A=GQ$2)*(AsistenciaJetAdminConcatenada!$B:$B=GQ$1), 0)), 1))),  0.5, 0))</f>
        <v>0</v>
      </c>
      <c r="GR7" s="47">
        <f t="array" ref="GR7">IF(AND(ISNUMBER(MATCH(GR$2, AsistenciaJetAdminConcatenada!$A:$A, 0)), ISNUMBER(MATCH(GR$1, AsistenciaJetAdminConcatenada!$B:$B, 0)), ISNUMBER(SEARCH($A7,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ISNUMBER(SEARCH($A7, INDEX(AsistenciaJetAdminConcatenada!$D:$D, MATCH(1, (AsistenciaJetAdminConcatenada!$A:$A=GR$2)*(AsistenciaJetAdminConcatenada!$B:$B=GR$1), 0)), 1))),  0.5, 0))</f>
        <v>0</v>
      </c>
      <c r="GS7" s="47">
        <f t="array" ref="GS7">IF(AND(ISNUMBER(MATCH(GS$2, AsistenciaJetAdminConcatenada!$A:$A, 0)), ISNUMBER(MATCH(GS$1, AsistenciaJetAdminConcatenada!$B:$B, 0)), ISNUMBER(SEARCH($A7,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ISNUMBER(SEARCH($A7, INDEX(AsistenciaJetAdminConcatenada!$D:$D, MATCH(1, (AsistenciaJetAdminConcatenada!$A:$A=GS$2)*(AsistenciaJetAdminConcatenada!$B:$B=GS$1), 0)), 1))),  0.5, 0))</f>
        <v>0</v>
      </c>
      <c r="GT7" s="47">
        <f t="array" ref="GT7">IF(AND(ISNUMBER(MATCH(GT$2, AsistenciaJetAdminConcatenada!$A:$A, 0)), ISNUMBER(MATCH(GT$1, AsistenciaJetAdminConcatenada!$B:$B, 0)), ISNUMBER(SEARCH($A7,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ISNUMBER(SEARCH($A7, INDEX(AsistenciaJetAdminConcatenada!$D:$D, MATCH(1, (AsistenciaJetAdminConcatenada!$A:$A=GT$2)*(AsistenciaJetAdminConcatenada!$B:$B=GT$1), 0)), 1))),  0.5, 0))</f>
        <v>0</v>
      </c>
      <c r="GU7" s="47">
        <f t="array" ref="GU7">IF(AND(ISNUMBER(MATCH(GU$2, AsistenciaJetAdminConcatenada!$A:$A, 0)), ISNUMBER(MATCH(GU$1, AsistenciaJetAdminConcatenada!$B:$B, 0)), ISNUMBER(SEARCH($A7,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ISNUMBER(SEARCH($A7, INDEX(AsistenciaJetAdminConcatenada!$D:$D, MATCH(1, (AsistenciaJetAdminConcatenada!$A:$A=GU$2)*(AsistenciaJetAdminConcatenada!$B:$B=GU$1), 0)), 1))),  0.5, 0))</f>
        <v>0</v>
      </c>
      <c r="GV7" s="47">
        <f t="array" ref="GV7">IF(AND(ISNUMBER(MATCH(GV$2, AsistenciaJetAdminConcatenada!$A:$A, 0)), ISNUMBER(MATCH(GV$1, AsistenciaJetAdminConcatenada!$B:$B, 0)), ISNUMBER(SEARCH($A7,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ISNUMBER(SEARCH($A7, INDEX(AsistenciaJetAdminConcatenada!$D:$D, MATCH(1, (AsistenciaJetAdminConcatenada!$A:$A=GV$2)*(AsistenciaJetAdminConcatenada!$B:$B=GV$1), 0)), 1))),  0.5, 0))</f>
        <v>0</v>
      </c>
      <c r="GW7" s="47">
        <f t="array" ref="GW7">IF(AND(ISNUMBER(MATCH(GW$2, AsistenciaJetAdminConcatenada!$A:$A, 0)), ISNUMBER(MATCH(GW$1, AsistenciaJetAdminConcatenada!$B:$B, 0)), ISNUMBER(SEARCH($A7,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ISNUMBER(SEARCH($A7, INDEX(AsistenciaJetAdminConcatenada!$D:$D, MATCH(1, (AsistenciaJetAdminConcatenada!$A:$A=GW$2)*(AsistenciaJetAdminConcatenada!$B:$B=GW$1), 0)), 1))),  0.5, 0))</f>
        <v>0</v>
      </c>
      <c r="GX7" s="47">
        <f t="array" ref="GX7">IF(AND(ISNUMBER(MATCH(GX$2, AsistenciaJetAdminConcatenada!$A:$A, 0)), ISNUMBER(MATCH(GX$1, AsistenciaJetAdminConcatenada!$B:$B, 0)), ISNUMBER(SEARCH($A7,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ISNUMBER(SEARCH($A7, INDEX(AsistenciaJetAdminConcatenada!$D:$D, MATCH(1, (AsistenciaJetAdminConcatenada!$A:$A=GX$2)*(AsistenciaJetAdminConcatenada!$B:$B=GX$1), 0)), 1))),  0.5, 0))</f>
        <v>0</v>
      </c>
      <c r="GY7" s="47">
        <f t="array" ref="GY7">IF(AND(ISNUMBER(MATCH(GY$2, AsistenciaJetAdminConcatenada!$A:$A, 0)), ISNUMBER(MATCH(GY$1, AsistenciaJetAdminConcatenada!$B:$B, 0)), ISNUMBER(SEARCH($A7,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ISNUMBER(SEARCH($A7, INDEX(AsistenciaJetAdminConcatenada!$D:$D, MATCH(1, (AsistenciaJetAdminConcatenada!$A:$A=GY$2)*(AsistenciaJetAdminConcatenada!$B:$B=GY$1), 0)), 1))),  0.5, 0))</f>
        <v>0</v>
      </c>
      <c r="GZ7" s="47">
        <f t="array" ref="GZ7">IF(AND(ISNUMBER(MATCH(GZ$2, AsistenciaJetAdminConcatenada!$A:$A, 0)), ISNUMBER(MATCH(GZ$1, AsistenciaJetAdminConcatenada!$B:$B, 0)), ISNUMBER(SEARCH($A7,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ISNUMBER(SEARCH($A7, INDEX(AsistenciaJetAdminConcatenada!$D:$D, MATCH(1, (AsistenciaJetAdminConcatenada!$A:$A=GZ$2)*(AsistenciaJetAdminConcatenada!$B:$B=GZ$1), 0)), 1))),  0.5, 0))</f>
        <v>0</v>
      </c>
      <c r="HA7" s="47">
        <f t="array" ref="HA7">IF(AND(ISNUMBER(MATCH(HA$2, AsistenciaJetAdminConcatenada!$A:$A, 0)), ISNUMBER(MATCH(HA$1, AsistenciaJetAdminConcatenada!$B:$B, 0)), ISNUMBER(SEARCH($A7,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ISNUMBER(SEARCH($A7, INDEX(AsistenciaJetAdminConcatenada!$D:$D, MATCH(1, (AsistenciaJetAdminConcatenada!$A:$A=HA$2)*(AsistenciaJetAdminConcatenada!$B:$B=HA$1), 0)), 1))),  0.5, 0))</f>
        <v>0</v>
      </c>
      <c r="HB7" s="47">
        <f t="array" ref="HB7">IF(AND(ISNUMBER(MATCH(HB$2, AsistenciaJetAdminConcatenada!$A:$A, 0)), ISNUMBER(MATCH(HB$1, AsistenciaJetAdminConcatenada!$B:$B, 0)), ISNUMBER(SEARCH($A7,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ISNUMBER(SEARCH($A7, INDEX(AsistenciaJetAdminConcatenada!$D:$D, MATCH(1, (AsistenciaJetAdminConcatenada!$A:$A=HB$2)*(AsistenciaJetAdminConcatenada!$B:$B=HB$1), 0)), 1))),  0.5, 0))</f>
        <v>0</v>
      </c>
      <c r="HC7" s="47">
        <f t="array" ref="HC7">IF(AND(ISNUMBER(MATCH(HC$2, AsistenciaJetAdminConcatenada!$A:$A, 0)), ISNUMBER(MATCH(HC$1, AsistenciaJetAdminConcatenada!$B:$B, 0)), ISNUMBER(SEARCH($A7,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ISNUMBER(SEARCH($A7, INDEX(AsistenciaJetAdminConcatenada!$D:$D, MATCH(1, (AsistenciaJetAdminConcatenada!$A:$A=HC$2)*(AsistenciaJetAdminConcatenada!$B:$B=HC$1), 0)), 1))),  0.5, 0))</f>
        <v>0</v>
      </c>
    </row>
    <row r="8" ht="29.25" customHeight="1">
      <c r="A8" s="12">
        <v>216.0</v>
      </c>
      <c r="B8" s="13" t="s">
        <v>692</v>
      </c>
      <c r="C8" s="47">
        <f>SUM(D8:HC8) + ActividadesEspeciales!C8</f>
        <v>64.5</v>
      </c>
      <c r="D8" s="47">
        <f t="array" ref="D8">IF(AND(ISNUMBER(MATCH(D$2, AsistenciaJetAdminConcatenada!$A:$A, 0)), ISNUMBER(MATCH(D$1, AsistenciaJetAdminConcatenada!$B:$B, 0)), ISNUMBER(SEARCH($A8,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ISNUMBER(SEARCH($A8, INDEX(AsistenciaJetAdminConcatenada!$D:$D, MATCH(1, (AsistenciaJetAdminConcatenada!$A:$A=D$2)*(AsistenciaJetAdminConcatenada!$B:$B=D$1), 0)), 1))),  0.5, 0))</f>
        <v>1</v>
      </c>
      <c r="E8" s="47">
        <f t="array" ref="E8">IF(AND(ISNUMBER(MATCH(E$2, AsistenciaJetAdminConcatenada!$A:$A, 0)), ISNUMBER(MATCH(E$1, AsistenciaJetAdminConcatenada!$B:$B, 0)), ISNUMBER(SEARCH($A8,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ISNUMBER(SEARCH($A8, INDEX(AsistenciaJetAdminConcatenada!$D:$D, MATCH(1, (AsistenciaJetAdminConcatenada!$A:$A=E$2)*(AsistenciaJetAdminConcatenada!$B:$B=E$1), 0)), 1))),  0.5, 0))</f>
        <v>1</v>
      </c>
      <c r="F8" s="47">
        <f t="array" ref="F8">IF(AND(ISNUMBER(MATCH(F$2, AsistenciaJetAdminConcatenada!$A:$A, 0)), ISNUMBER(MATCH(F$1, AsistenciaJetAdminConcatenada!$B:$B, 0)), ISNUMBER(SEARCH($A8,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ISNUMBER(SEARCH($A8, INDEX(AsistenciaJetAdminConcatenada!$D:$D, MATCH(1, (AsistenciaJetAdminConcatenada!$A:$A=F$2)*(AsistenciaJetAdminConcatenada!$B:$B=F$1), 0)), 1))),  0.5, 0))</f>
        <v>1</v>
      </c>
      <c r="G8" s="47">
        <f t="array" ref="G8">IF(AND(ISNUMBER(MATCH(G$2, AsistenciaJetAdminConcatenada!$A:$A, 0)), ISNUMBER(MATCH(G$1, AsistenciaJetAdminConcatenada!$B:$B, 0)), ISNUMBER(SEARCH($A8,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ISNUMBER(SEARCH($A8, INDEX(AsistenciaJetAdminConcatenada!$D:$D, MATCH(1, (AsistenciaJetAdminConcatenada!$A:$A=G$2)*(AsistenciaJetAdminConcatenada!$B:$B=G$1), 0)), 1))),  0.5, 0))</f>
        <v>1</v>
      </c>
      <c r="H8" s="47">
        <f t="array" ref="H8">IF(AND(ISNUMBER(MATCH(H$2, AsistenciaJetAdminConcatenada!$A:$A, 0)), ISNUMBER(MATCH(H$1, AsistenciaJetAdminConcatenada!$B:$B, 0)), ISNUMBER(SEARCH($A8,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ISNUMBER(SEARCH($A8, INDEX(AsistenciaJetAdminConcatenada!$D:$D, MATCH(1, (AsistenciaJetAdminConcatenada!$A:$A=H$2)*(AsistenciaJetAdminConcatenada!$B:$B=H$1), 0)), 1))),  0.5, 0))</f>
        <v>1</v>
      </c>
      <c r="I8" s="47">
        <f t="array" ref="I8">IF(AND(ISNUMBER(MATCH(I$2, AsistenciaJetAdminConcatenada!$A:$A, 0)), ISNUMBER(MATCH(I$1, AsistenciaJetAdminConcatenada!$B:$B, 0)), ISNUMBER(SEARCH($A8,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ISNUMBER(SEARCH($A8, INDEX(AsistenciaJetAdminConcatenada!$D:$D, MATCH(1, (AsistenciaJetAdminConcatenada!$A:$A=I$2)*(AsistenciaJetAdminConcatenada!$B:$B=I$1), 0)), 1))),  0.5, 0))</f>
        <v>1</v>
      </c>
      <c r="J8" s="47">
        <f t="array" ref="J8">IF(AND(ISNUMBER(MATCH(J$2, AsistenciaJetAdminConcatenada!$A:$A, 0)), ISNUMBER(MATCH(J$1, AsistenciaJetAdminConcatenada!$B:$B, 0)), ISNUMBER(SEARCH($A8,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ISNUMBER(SEARCH($A8, INDEX(AsistenciaJetAdminConcatenada!$D:$D, MATCH(1, (AsistenciaJetAdminConcatenada!$A:$A=J$2)*(AsistenciaJetAdminConcatenada!$B:$B=J$1), 0)), 1))),  0.5, 0))</f>
        <v>0</v>
      </c>
      <c r="K8" s="47">
        <f t="array" ref="K8">IF(AND(ISNUMBER(MATCH(K$2, AsistenciaJetAdminConcatenada!$A:$A, 0)), ISNUMBER(MATCH(K$1, AsistenciaJetAdminConcatenada!$B:$B, 0)), ISNUMBER(SEARCH($A8,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ISNUMBER(SEARCH($A8, INDEX(AsistenciaJetAdminConcatenada!$D:$D, MATCH(1, (AsistenciaJetAdminConcatenada!$A:$A=K$2)*(AsistenciaJetAdminConcatenada!$B:$B=K$1), 0)), 1))),  0.5, 0))</f>
        <v>1</v>
      </c>
      <c r="L8" s="47">
        <f t="array" ref="L8">IF(AND(ISNUMBER(MATCH(L$2, AsistenciaJetAdminConcatenada!$A:$A, 0)), ISNUMBER(MATCH(L$1, AsistenciaJetAdminConcatenada!$B:$B, 0)), ISNUMBER(SEARCH($A8,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ISNUMBER(SEARCH($A8, INDEX(AsistenciaJetAdminConcatenada!$D:$D, MATCH(1, (AsistenciaJetAdminConcatenada!$A:$A=L$2)*(AsistenciaJetAdminConcatenada!$B:$B=L$1), 0)), 1))),  0.5, 0))</f>
        <v>1</v>
      </c>
      <c r="M8" s="47">
        <f t="array" ref="M8">IF(AND(ISNUMBER(MATCH(M$2, AsistenciaJetAdminConcatenada!$A:$A, 0)), ISNUMBER(MATCH(M$1, AsistenciaJetAdminConcatenada!$B:$B, 0)), ISNUMBER(SEARCH($A8,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ISNUMBER(SEARCH($A8, INDEX(AsistenciaJetAdminConcatenada!$D:$D, MATCH(1, (AsistenciaJetAdminConcatenada!$A:$A=M$2)*(AsistenciaJetAdminConcatenada!$B:$B=M$1), 0)), 1))),  0.5, 0))</f>
        <v>1</v>
      </c>
      <c r="N8" s="47">
        <f t="array" ref="N8">IF(AND(ISNUMBER(MATCH(N$2, AsistenciaJetAdminConcatenada!$A:$A, 0)), ISNUMBER(MATCH(N$1, AsistenciaJetAdminConcatenada!$B:$B, 0)), ISNUMBER(SEARCH($A8,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ISNUMBER(SEARCH($A8, INDEX(AsistenciaJetAdminConcatenada!$D:$D, MATCH(1, (AsistenciaJetAdminConcatenada!$A:$A=N$2)*(AsistenciaJetAdminConcatenada!$B:$B=N$1), 0)), 1))),  0.5, 0))</f>
        <v>1</v>
      </c>
      <c r="O8" s="47">
        <f t="array" ref="O8">IF(AND(ISNUMBER(MATCH(O$2, AsistenciaJetAdminConcatenada!$A:$A, 0)), ISNUMBER(MATCH(O$1, AsistenciaJetAdminConcatenada!$B:$B, 0)), ISNUMBER(SEARCH($A8,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ISNUMBER(SEARCH($A8, INDEX(AsistenciaJetAdminConcatenada!$D:$D, MATCH(1, (AsistenciaJetAdminConcatenada!$A:$A=O$2)*(AsistenciaJetAdminConcatenada!$B:$B=O$1), 0)), 1))),  0.5, 0))</f>
        <v>1</v>
      </c>
      <c r="P8" s="47">
        <f t="array" ref="P8">IF(AND(ISNUMBER(MATCH(P$2, AsistenciaJetAdminConcatenada!$A:$A, 0)), ISNUMBER(MATCH(P$1, AsistenciaJetAdminConcatenada!$B:$B, 0)), ISNUMBER(SEARCH($A8, INDEX(AsistenciaJetAdminConcatenada!$C:$C, MATCH(1, (AsistenciaJetAdminConcatenada!$A:$A=P$2)*(AsistenciaJetAdminConcatenada!$B:$B=P$1), 0)), 1))), 1, IF(AND(ISNUMBER(MATCH(P$2, AsistenciaJetAdminConcatenada!$A:$A, 0)), ISNUMBER(MATCH(P$1, AsistenciaJetAdminConcatenada!$B:$B, 0)), ISNUMBER(SEARCH($A8, INDEX(AsistenciaJetAdminConcatenada!$D:$D, MATCH(1, (AsistenciaJetAdminConcatenada!$A:$A=P$2)*(AsistenciaJetAdminConcatenada!$B:$B=P$1), 0)), 1))),  0.5, 0))</f>
        <v>0</v>
      </c>
      <c r="Q8" s="47">
        <f t="array" ref="Q8">IF(AND(ISNUMBER(MATCH(Q$2, AsistenciaJetAdminConcatenada!$A:$A, 0)), ISNUMBER(MATCH(Q$1, AsistenciaJetAdminConcatenada!$B:$B, 0)), ISNUMBER(SEARCH($A8, INDEX(AsistenciaJetAdminConcatenada!$C:$C, MATCH(1, (AsistenciaJetAdminConcatenada!$A:$A=Q$2)*(AsistenciaJetAdminConcatenada!$B:$B=Q$1), 0)), 1))), 1, IF(AND(ISNUMBER(MATCH(Q$2, AsistenciaJetAdminConcatenada!$A:$A, 0)), ISNUMBER(MATCH(Q$1, AsistenciaJetAdminConcatenada!$B:$B, 0)), ISNUMBER(SEARCH($A8, INDEX(AsistenciaJetAdminConcatenada!$D:$D, MATCH(1, (AsistenciaJetAdminConcatenada!$A:$A=Q$2)*(AsistenciaJetAdminConcatenada!$B:$B=Q$1), 0)), 1))),  0.5, 0))</f>
        <v>0</v>
      </c>
      <c r="R8" s="47">
        <f t="array" ref="R8">IF(AND(ISNUMBER(MATCH(R$2, AsistenciaJetAdminConcatenada!$A:$A, 0)), ISNUMBER(MATCH(R$1, AsistenciaJetAdminConcatenada!$B:$B, 0)), ISNUMBER(SEARCH($A8,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ISNUMBER(SEARCH($A8, INDEX(AsistenciaJetAdminConcatenada!$D:$D, MATCH(1, (AsistenciaJetAdminConcatenada!$A:$A=R$2)*(AsistenciaJetAdminConcatenada!$B:$B=R$1), 0)), 1))),  0.5, 0))</f>
        <v>1</v>
      </c>
      <c r="S8" s="47">
        <f t="array" ref="S8">IF(AND(ISNUMBER(MATCH(S$2, AsistenciaJetAdminConcatenada!$A:$A, 0)), ISNUMBER(MATCH(S$1, AsistenciaJetAdminConcatenada!$B:$B, 0)), ISNUMBER(SEARCH($A8,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ISNUMBER(SEARCH($A8, INDEX(AsistenciaJetAdminConcatenada!$D:$D, MATCH(1, (AsistenciaJetAdminConcatenada!$A:$A=S$2)*(AsistenciaJetAdminConcatenada!$B:$B=S$1), 0)), 1))),  0.5, 0))</f>
        <v>1</v>
      </c>
      <c r="T8" s="47">
        <f t="array" ref="T8">IF(AND(ISNUMBER(MATCH(T$2, AsistenciaJetAdminConcatenada!$A:$A, 0)), ISNUMBER(MATCH(T$1, AsistenciaJetAdminConcatenada!$B:$B, 0)), ISNUMBER(SEARCH($A8,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ISNUMBER(SEARCH($A8, INDEX(AsistenciaJetAdminConcatenada!$D:$D, MATCH(1, (AsistenciaJetAdminConcatenada!$A:$A=T$2)*(AsistenciaJetAdminConcatenada!$B:$B=T$1), 0)), 1))),  0.5, 0))</f>
        <v>1</v>
      </c>
      <c r="U8" s="47">
        <f t="array" ref="U8">IF(AND(ISNUMBER(MATCH(U$2, AsistenciaJetAdminConcatenada!$A:$A, 0)), ISNUMBER(MATCH(U$1, AsistenciaJetAdminConcatenada!$B:$B, 0)), ISNUMBER(SEARCH($A8,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ISNUMBER(SEARCH($A8, INDEX(AsistenciaJetAdminConcatenada!$D:$D, MATCH(1, (AsistenciaJetAdminConcatenada!$A:$A=U$2)*(AsistenciaJetAdminConcatenada!$B:$B=U$1), 0)), 1))),  0.5, 0))</f>
        <v>1</v>
      </c>
      <c r="V8" s="47">
        <f t="array" ref="V8">IF(AND(ISNUMBER(MATCH(V$2, AsistenciaJetAdminConcatenada!$A:$A, 0)), ISNUMBER(MATCH(V$1, AsistenciaJetAdminConcatenada!$B:$B, 0)), ISNUMBER(SEARCH($A8,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ISNUMBER(SEARCH($A8, INDEX(AsistenciaJetAdminConcatenada!$D:$D, MATCH(1, (AsistenciaJetAdminConcatenada!$A:$A=V$2)*(AsistenciaJetAdminConcatenada!$B:$B=V$1), 0)), 1))),  0.5, 0))</f>
        <v>1</v>
      </c>
      <c r="W8" s="47">
        <f t="array" ref="W8">IF(AND(ISNUMBER(MATCH(W$2, AsistenciaJetAdminConcatenada!$A:$A, 0)), ISNUMBER(MATCH(W$1, AsistenciaJetAdminConcatenada!$B:$B, 0)), ISNUMBER(SEARCH($A8,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ISNUMBER(SEARCH($A8, INDEX(AsistenciaJetAdminConcatenada!$D:$D, MATCH(1, (AsistenciaJetAdminConcatenada!$A:$A=W$2)*(AsistenciaJetAdminConcatenada!$B:$B=W$1), 0)), 1))),  0.5, 0))</f>
        <v>1</v>
      </c>
      <c r="X8" s="47">
        <f t="array" ref="X8">IF(AND(ISNUMBER(MATCH(X$2, AsistenciaJetAdminConcatenada!$A:$A, 0)), ISNUMBER(MATCH(X$1, AsistenciaJetAdminConcatenada!$B:$B, 0)), ISNUMBER(SEARCH($A8,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ISNUMBER(SEARCH($A8, INDEX(AsistenciaJetAdminConcatenada!$D:$D, MATCH(1, (AsistenciaJetAdminConcatenada!$A:$A=X$2)*(AsistenciaJetAdminConcatenada!$B:$B=X$1), 0)), 1))),  0.5, 0))</f>
        <v>0</v>
      </c>
      <c r="Y8" s="47">
        <f t="array" ref="Y8">IF(AND(ISNUMBER(MATCH(Y$2, AsistenciaJetAdminConcatenada!$A:$A, 0)), ISNUMBER(MATCH(Y$1, AsistenciaJetAdminConcatenada!$B:$B, 0)), ISNUMBER(SEARCH($A8,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ISNUMBER(SEARCH($A8, INDEX(AsistenciaJetAdminConcatenada!$D:$D, MATCH(1, (AsistenciaJetAdminConcatenada!$A:$A=Y$2)*(AsistenciaJetAdminConcatenada!$B:$B=Y$1), 0)), 1))),  0.5, 0))</f>
        <v>1</v>
      </c>
      <c r="Z8" s="47">
        <f t="array" ref="Z8">IF(AND(ISNUMBER(MATCH(Z$2, AsistenciaJetAdminConcatenada!$A:$A, 0)), ISNUMBER(MATCH(Z$1, AsistenciaJetAdminConcatenada!$B:$B, 0)), ISNUMBER(SEARCH($A8,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ISNUMBER(SEARCH($A8, INDEX(AsistenciaJetAdminConcatenada!$D:$D, MATCH(1, (AsistenciaJetAdminConcatenada!$A:$A=Z$2)*(AsistenciaJetAdminConcatenada!$B:$B=Z$1), 0)), 1))),  0.5, 0))</f>
        <v>1</v>
      </c>
      <c r="AA8" s="47">
        <f t="array" ref="AA8">IF(AND(ISNUMBER(MATCH(AA$2, AsistenciaJetAdminConcatenada!$A:$A, 0)), ISNUMBER(MATCH(AA$1, AsistenciaJetAdminConcatenada!$B:$B, 0)), ISNUMBER(SEARCH($A8,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ISNUMBER(SEARCH($A8, INDEX(AsistenciaJetAdminConcatenada!$D:$D, MATCH(1, (AsistenciaJetAdminConcatenada!$A:$A=AA$2)*(AsistenciaJetAdminConcatenada!$B:$B=AA$1), 0)), 1))),  0.5, 0))</f>
        <v>0</v>
      </c>
      <c r="AB8" s="47">
        <f t="array" ref="AB8">IF(AND(ISNUMBER(MATCH(AB$2, AsistenciaJetAdminConcatenada!$A:$A, 0)), ISNUMBER(MATCH(AB$1, AsistenciaJetAdminConcatenada!$B:$B, 0)), ISNUMBER(SEARCH($A8,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ISNUMBER(SEARCH($A8, INDEX(AsistenciaJetAdminConcatenada!$D:$D, MATCH(1, (AsistenciaJetAdminConcatenada!$A:$A=AB$2)*(AsistenciaJetAdminConcatenada!$B:$B=AB$1), 0)), 1))),  0.5, 0))</f>
        <v>0</v>
      </c>
      <c r="AC8" s="47">
        <f t="array" ref="AC8">IF(AND(ISNUMBER(MATCH(AC$2, AsistenciaJetAdminConcatenada!$A:$A, 0)), ISNUMBER(MATCH(AC$1, AsistenciaJetAdminConcatenada!$B:$B, 0)), ISNUMBER(SEARCH($A8,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ISNUMBER(SEARCH($A8, INDEX(AsistenciaJetAdminConcatenada!$D:$D, MATCH(1, (AsistenciaJetAdminConcatenada!$A:$A=AC$2)*(AsistenciaJetAdminConcatenada!$B:$B=AC$1), 0)), 1))),  0.5, 0))</f>
        <v>1</v>
      </c>
      <c r="AD8" s="47">
        <f t="array" ref="AD8">IF(AND(ISNUMBER(MATCH(AD$2, AsistenciaJetAdminConcatenada!$A:$A, 0)), ISNUMBER(MATCH(AD$1, AsistenciaJetAdminConcatenada!$B:$B, 0)), ISNUMBER(SEARCH($A8,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ISNUMBER(SEARCH($A8, INDEX(AsistenciaJetAdminConcatenada!$D:$D, MATCH(1, (AsistenciaJetAdminConcatenada!$A:$A=AD$2)*(AsistenciaJetAdminConcatenada!$B:$B=AD$1), 0)), 1))),  0.5, 0))</f>
        <v>1</v>
      </c>
      <c r="AE8" s="47">
        <f t="array" ref="AE8">IF(AND(ISNUMBER(MATCH(AE$2, AsistenciaJetAdminConcatenada!$A:$A, 0)), ISNUMBER(MATCH(AE$1, AsistenciaJetAdminConcatenada!$B:$B, 0)), ISNUMBER(SEARCH($A8,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ISNUMBER(SEARCH($A8, INDEX(AsistenciaJetAdminConcatenada!$D:$D, MATCH(1, (AsistenciaJetAdminConcatenada!$A:$A=AE$2)*(AsistenciaJetAdminConcatenada!$B:$B=AE$1), 0)), 1))),  0.5, 0))</f>
        <v>0</v>
      </c>
      <c r="AF8" s="47">
        <f t="array" ref="AF8">IF(AND(ISNUMBER(MATCH(AF$2, AsistenciaJetAdminConcatenada!$A:$A, 0)), ISNUMBER(MATCH(AF$1, AsistenciaJetAdminConcatenada!$B:$B, 0)), ISNUMBER(SEARCH($A8,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ISNUMBER(SEARCH($A8, INDEX(AsistenciaJetAdminConcatenada!$D:$D, MATCH(1, (AsistenciaJetAdminConcatenada!$A:$A=AF$2)*(AsistenciaJetAdminConcatenada!$B:$B=AF$1), 0)), 1))),  0.5, 0))</f>
        <v>1</v>
      </c>
      <c r="AG8" s="47">
        <f t="array" ref="AG8">IF(AND(ISNUMBER(MATCH(AG$2, AsistenciaJetAdminConcatenada!$A:$A, 0)), ISNUMBER(MATCH(AG$1, AsistenciaJetAdminConcatenada!$B:$B, 0)), ISNUMBER(SEARCH($A8,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ISNUMBER(SEARCH($A8, INDEX(AsistenciaJetAdminConcatenada!$D:$D, MATCH(1, (AsistenciaJetAdminConcatenada!$A:$A=AG$2)*(AsistenciaJetAdminConcatenada!$B:$B=AG$1), 0)), 1))),  0.5, 0))</f>
        <v>0</v>
      </c>
      <c r="AH8" s="47">
        <f t="array" ref="AH8">IF(AND(ISNUMBER(MATCH(AH$2, AsistenciaJetAdminConcatenada!$A:$A, 0)), ISNUMBER(MATCH(AH$1, AsistenciaJetAdminConcatenada!$B:$B, 0)), ISNUMBER(SEARCH($A8,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ISNUMBER(SEARCH($A8, INDEX(AsistenciaJetAdminConcatenada!$D:$D, MATCH(1, (AsistenciaJetAdminConcatenada!$A:$A=AH$2)*(AsistenciaJetAdminConcatenada!$B:$B=AH$1), 0)), 1))),  0.5, 0))</f>
        <v>0</v>
      </c>
      <c r="AI8" s="47">
        <f t="array" ref="AI8">IF(AND(ISNUMBER(MATCH(AI$2, AsistenciaJetAdminConcatenada!$A:$A, 0)), ISNUMBER(MATCH(AI$1, AsistenciaJetAdminConcatenada!$B:$B, 0)), ISNUMBER(SEARCH($A8,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ISNUMBER(SEARCH($A8, INDEX(AsistenciaJetAdminConcatenada!$D:$D, MATCH(1, (AsistenciaJetAdminConcatenada!$A:$A=AI$2)*(AsistenciaJetAdminConcatenada!$B:$B=AI$1), 0)), 1))),  0.5, 0))</f>
        <v>1</v>
      </c>
      <c r="AJ8" s="47">
        <f t="array" ref="AJ8">IF(AND(ISNUMBER(MATCH(AJ$2, AsistenciaJetAdminConcatenada!$A:$A, 0)), ISNUMBER(MATCH(AJ$1, AsistenciaJetAdminConcatenada!$B:$B, 0)), ISNUMBER(SEARCH($A8,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ISNUMBER(SEARCH($A8, INDEX(AsistenciaJetAdminConcatenada!$D:$D, MATCH(1, (AsistenciaJetAdminConcatenada!$A:$A=AJ$2)*(AsistenciaJetAdminConcatenada!$B:$B=AJ$1), 0)), 1))),  0.5, 0))</f>
        <v>0</v>
      </c>
      <c r="AK8" s="47">
        <f t="array" ref="AK8">IF(AND(ISNUMBER(MATCH(AK$2, AsistenciaJetAdminConcatenada!$A:$A, 0)), ISNUMBER(MATCH(AK$1, AsistenciaJetAdminConcatenada!$B:$B, 0)), ISNUMBER(SEARCH($A8,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ISNUMBER(SEARCH($A8, INDEX(AsistenciaJetAdminConcatenada!$D:$D, MATCH(1, (AsistenciaJetAdminConcatenada!$A:$A=AK$2)*(AsistenciaJetAdminConcatenada!$B:$B=AK$1), 0)), 1))),  0.5, 0))</f>
        <v>0</v>
      </c>
      <c r="AL8" s="47">
        <f t="array" ref="AL8">IF(AND(ISNUMBER(MATCH(AL$2, AsistenciaJetAdminConcatenada!$A:$A, 0)), ISNUMBER(MATCH(AL$1, AsistenciaJetAdminConcatenada!$B:$B, 0)), ISNUMBER(SEARCH($A8,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ISNUMBER(SEARCH($A8, INDEX(AsistenciaJetAdminConcatenada!$D:$D, MATCH(1, (AsistenciaJetAdminConcatenada!$A:$A=AL$2)*(AsistenciaJetAdminConcatenada!$B:$B=AL$1), 0)), 1))),  0.5, 0))</f>
        <v>1</v>
      </c>
      <c r="AM8" s="47">
        <f t="array" ref="AM8">IF(AND(ISNUMBER(MATCH(AM$2, AsistenciaJetAdminConcatenada!$A:$A, 0)), ISNUMBER(MATCH(AM$1, AsistenciaJetAdminConcatenada!$B:$B, 0)), ISNUMBER(SEARCH($A8,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ISNUMBER(SEARCH($A8, INDEX(AsistenciaJetAdminConcatenada!$D:$D, MATCH(1, (AsistenciaJetAdminConcatenada!$A:$A=AM$2)*(AsistenciaJetAdminConcatenada!$B:$B=AM$1), 0)), 1))),  0.5, 0))</f>
        <v>0</v>
      </c>
      <c r="AN8" s="47">
        <f t="array" ref="AN8">IF(AND(ISNUMBER(MATCH(AN$2, AsistenciaJetAdminConcatenada!$A:$A, 0)), ISNUMBER(MATCH(AN$1, AsistenciaJetAdminConcatenada!$B:$B, 0)), ISNUMBER(SEARCH($A8,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ISNUMBER(SEARCH($A8, INDEX(AsistenciaJetAdminConcatenada!$D:$D, MATCH(1, (AsistenciaJetAdminConcatenada!$A:$A=AN$2)*(AsistenciaJetAdminConcatenada!$B:$B=AN$1), 0)), 1))),  0.5, 0))</f>
        <v>1</v>
      </c>
      <c r="AO8" s="47">
        <f t="array" ref="AO8">IF(AND(ISNUMBER(MATCH(AO$2, AsistenciaJetAdminConcatenada!$A:$A, 0)), ISNUMBER(MATCH(AO$1, AsistenciaJetAdminConcatenada!$B:$B, 0)), ISNUMBER(SEARCH($A8,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ISNUMBER(SEARCH($A8, INDEX(AsistenciaJetAdminConcatenada!$D:$D, MATCH(1, (AsistenciaJetAdminConcatenada!$A:$A=AO$2)*(AsistenciaJetAdminConcatenada!$B:$B=AO$1), 0)), 1))),  0.5, 0))</f>
        <v>1</v>
      </c>
      <c r="AP8" s="47">
        <f t="array" ref="AP8">IF(AND(ISNUMBER(MATCH(AP$2, AsistenciaJetAdminConcatenada!$A:$A, 0)), ISNUMBER(MATCH(AP$1, AsistenciaJetAdminConcatenada!$B:$B, 0)), ISNUMBER(SEARCH($A8,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ISNUMBER(SEARCH($A8, INDEX(AsistenciaJetAdminConcatenada!$D:$D, MATCH(1, (AsistenciaJetAdminConcatenada!$A:$A=AP$2)*(AsistenciaJetAdminConcatenada!$B:$B=AP$1), 0)), 1))),  0.5, 0))</f>
        <v>1</v>
      </c>
      <c r="AQ8" s="47">
        <f t="array" ref="AQ8">IF(AND(ISNUMBER(MATCH(AQ$2, AsistenciaJetAdminConcatenada!$A:$A, 0)), ISNUMBER(MATCH(AQ$1, AsistenciaJetAdminConcatenada!$B:$B, 0)), ISNUMBER(SEARCH($A8,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ISNUMBER(SEARCH($A8, INDEX(AsistenciaJetAdminConcatenada!$D:$D, MATCH(1, (AsistenciaJetAdminConcatenada!$A:$A=AQ$2)*(AsistenciaJetAdminConcatenada!$B:$B=AQ$1), 0)), 1))),  0.5, 0))</f>
        <v>0</v>
      </c>
      <c r="AR8" s="47">
        <f t="array" ref="AR8">IF(AND(ISNUMBER(MATCH(AR$2, AsistenciaJetAdminConcatenada!$A:$A, 0)), ISNUMBER(MATCH(AR$1, AsistenciaJetAdminConcatenada!$B:$B, 0)), ISNUMBER(SEARCH($A8,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ISNUMBER(SEARCH($A8, INDEX(AsistenciaJetAdminConcatenada!$D:$D, MATCH(1, (AsistenciaJetAdminConcatenada!$A:$A=AR$2)*(AsistenciaJetAdminConcatenada!$B:$B=AR$1), 0)), 1))),  0.5, 0))</f>
        <v>1</v>
      </c>
      <c r="AS8" s="47">
        <f t="array" ref="AS8">IF(AND(ISNUMBER(MATCH(AS$2, AsistenciaJetAdminConcatenada!$A:$A, 0)), ISNUMBER(MATCH(AS$1, AsistenciaJetAdminConcatenada!$B:$B, 0)), ISNUMBER(SEARCH($A8,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ISNUMBER(SEARCH($A8, INDEX(AsistenciaJetAdminConcatenada!$D:$D, MATCH(1, (AsistenciaJetAdminConcatenada!$A:$A=AS$2)*(AsistenciaJetAdminConcatenada!$B:$B=AS$1), 0)), 1))),  0.5, 0))</f>
        <v>0.5</v>
      </c>
      <c r="AT8" s="47">
        <f t="array" ref="AT8">IF(AND(ISNUMBER(MATCH(AT$2, AsistenciaJetAdminConcatenada!$A:$A, 0)), ISNUMBER(MATCH(AT$1, AsistenciaJetAdminConcatenada!$B:$B, 0)), ISNUMBER(SEARCH($A8,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ISNUMBER(SEARCH($A8, INDEX(AsistenciaJetAdminConcatenada!$D:$D, MATCH(1, (AsistenciaJetAdminConcatenada!$A:$A=AT$2)*(AsistenciaJetAdminConcatenada!$B:$B=AT$1), 0)), 1))),  0.5, 0))</f>
        <v>0</v>
      </c>
      <c r="AU8" s="47">
        <f t="array" ref="AU8">IF(AND(ISNUMBER(MATCH(AU$2, AsistenciaJetAdminConcatenada!$A:$A, 0)), ISNUMBER(MATCH(AU$1, AsistenciaJetAdminConcatenada!$B:$B, 0)), ISNUMBER(SEARCH($A8,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ISNUMBER(SEARCH($A8, INDEX(AsistenciaJetAdminConcatenada!$D:$D, MATCH(1, (AsistenciaJetAdminConcatenada!$A:$A=AU$2)*(AsistenciaJetAdminConcatenada!$B:$B=AU$1), 0)), 1))),  0.5, 0))</f>
        <v>0</v>
      </c>
      <c r="AV8" s="47">
        <f t="array" ref="AV8">IF(AND(ISNUMBER(MATCH(AV$2, AsistenciaJetAdminConcatenada!$A:$A, 0)), ISNUMBER(MATCH(AV$1, AsistenciaJetAdminConcatenada!$B:$B, 0)), ISNUMBER(SEARCH($A8,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ISNUMBER(SEARCH($A8, INDEX(AsistenciaJetAdminConcatenada!$D:$D, MATCH(1, (AsistenciaJetAdminConcatenada!$A:$A=AV$2)*(AsistenciaJetAdminConcatenada!$B:$B=AV$1), 0)), 1))),  0.5, 0))</f>
        <v>1</v>
      </c>
      <c r="AW8" s="47">
        <f t="array" ref="AW8">IF(AND(ISNUMBER(MATCH(AW$2, AsistenciaJetAdminConcatenada!$A:$A, 0)), ISNUMBER(MATCH(AW$1, AsistenciaJetAdminConcatenada!$B:$B, 0)), ISNUMBER(SEARCH($A8,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ISNUMBER(SEARCH($A8, INDEX(AsistenciaJetAdminConcatenada!$D:$D, MATCH(1, (AsistenciaJetAdminConcatenada!$A:$A=AW$2)*(AsistenciaJetAdminConcatenada!$B:$B=AW$1), 0)), 1))),  0.5, 0))</f>
        <v>0</v>
      </c>
      <c r="AX8" s="47">
        <f t="array" ref="AX8">IF(AND(ISNUMBER(MATCH(AX$2, AsistenciaJetAdminConcatenada!$A:$A, 0)), ISNUMBER(MATCH(AX$1, AsistenciaJetAdminConcatenada!$B:$B, 0)), ISNUMBER(SEARCH($A8,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ISNUMBER(SEARCH($A8, INDEX(AsistenciaJetAdminConcatenada!$D:$D, MATCH(1, (AsistenciaJetAdminConcatenada!$A:$A=AX$2)*(AsistenciaJetAdminConcatenada!$B:$B=AX$1), 0)), 1))),  0.5, 0))</f>
        <v>1</v>
      </c>
      <c r="AY8" s="47">
        <f t="array" ref="AY8">IF(AND(ISNUMBER(MATCH(AY$2, AsistenciaJetAdminConcatenada!$A:$A, 0)), ISNUMBER(MATCH(AY$1, AsistenciaJetAdminConcatenada!$B:$B, 0)), ISNUMBER(SEARCH($A8,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ISNUMBER(SEARCH($A8, INDEX(AsistenciaJetAdminConcatenada!$D:$D, MATCH(1, (AsistenciaJetAdminConcatenada!$A:$A=AY$2)*(AsistenciaJetAdminConcatenada!$B:$B=AY$1), 0)), 1))),  0.5, 0))</f>
        <v>1</v>
      </c>
      <c r="AZ8" s="47">
        <f t="array" ref="AZ8">IF(AND(ISNUMBER(MATCH(AZ$2, AsistenciaJetAdminConcatenada!$A:$A, 0)), ISNUMBER(MATCH(AZ$1, AsistenciaJetAdminConcatenada!$B:$B, 0)), ISNUMBER(SEARCH($A8,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ISNUMBER(SEARCH($A8, INDEX(AsistenciaJetAdminConcatenada!$D:$D, MATCH(1, (AsistenciaJetAdminConcatenada!$A:$A=AZ$2)*(AsistenciaJetAdminConcatenada!$B:$B=AZ$1), 0)), 1))),  0.5, 0))</f>
        <v>1</v>
      </c>
      <c r="BA8" s="47">
        <f t="array" ref="BA8">IF(AND(ISNUMBER(MATCH(BA$2, AsistenciaJetAdminConcatenada!$A:$A, 0)), ISNUMBER(MATCH(BA$1, AsistenciaJetAdminConcatenada!$B:$B, 0)), ISNUMBER(SEARCH($A8,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ISNUMBER(SEARCH($A8, INDEX(AsistenciaJetAdminConcatenada!$D:$D, MATCH(1, (AsistenciaJetAdminConcatenada!$A:$A=BA$2)*(AsistenciaJetAdminConcatenada!$B:$B=BA$1), 0)), 1))),  0.5, 0))</f>
        <v>0</v>
      </c>
      <c r="BB8" s="47">
        <f t="array" ref="BB8">IF(AND(ISNUMBER(MATCH(BB$2, AsistenciaJetAdminConcatenada!$A:$A, 0)), ISNUMBER(MATCH(BB$1, AsistenciaJetAdminConcatenada!$B:$B, 0)), ISNUMBER(SEARCH($A8,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ISNUMBER(SEARCH($A8, INDEX(AsistenciaJetAdminConcatenada!$D:$D, MATCH(1, (AsistenciaJetAdminConcatenada!$A:$A=BB$2)*(AsistenciaJetAdminConcatenada!$B:$B=BB$1), 0)), 1))),  0.5, 0))</f>
        <v>1</v>
      </c>
      <c r="BC8" s="47">
        <f t="array" ref="BC8">IF(AND(ISNUMBER(MATCH(BC$2, AsistenciaJetAdminConcatenada!$A:$A, 0)), ISNUMBER(MATCH(BC$1, AsistenciaJetAdminConcatenada!$B:$B, 0)), ISNUMBER(SEARCH($A8,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ISNUMBER(SEARCH($A8, INDEX(AsistenciaJetAdminConcatenada!$D:$D, MATCH(1, (AsistenciaJetAdminConcatenada!$A:$A=BC$2)*(AsistenciaJetAdminConcatenada!$B:$B=BC$1), 0)), 1))),  0.5, 0))</f>
        <v>1</v>
      </c>
      <c r="BD8" s="47">
        <f t="array" ref="BD8">IF(AND(ISNUMBER(MATCH(BD$2, AsistenciaJetAdminConcatenada!$A:$A, 0)), ISNUMBER(MATCH(BD$1, AsistenciaJetAdminConcatenada!$B:$B, 0)), ISNUMBER(SEARCH($A8,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ISNUMBER(SEARCH($A8, INDEX(AsistenciaJetAdminConcatenada!$D:$D, MATCH(1, (AsistenciaJetAdminConcatenada!$A:$A=BD$2)*(AsistenciaJetAdminConcatenada!$B:$B=BD$1), 0)), 1))),  0.5, 0))</f>
        <v>1</v>
      </c>
      <c r="BE8" s="47">
        <f t="array" ref="BE8">IF(AND(ISNUMBER(MATCH(BE$2, AsistenciaJetAdminConcatenada!$A:$A, 0)), ISNUMBER(MATCH(BE$1, AsistenciaJetAdminConcatenada!$B:$B, 0)), ISNUMBER(SEARCH($A8,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ISNUMBER(SEARCH($A8, INDEX(AsistenciaJetAdminConcatenada!$D:$D, MATCH(1, (AsistenciaJetAdminConcatenada!$A:$A=BE$2)*(AsistenciaJetAdminConcatenada!$B:$B=BE$1), 0)), 1))),  0.5, 0))</f>
        <v>0</v>
      </c>
      <c r="BF8" s="47">
        <f t="array" ref="BF8">IF(AND(ISNUMBER(MATCH(BF$2, AsistenciaJetAdminConcatenada!$A:$A, 0)), ISNUMBER(MATCH(BF$1, AsistenciaJetAdminConcatenada!$B:$B, 0)), ISNUMBER(SEARCH($A8,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ISNUMBER(SEARCH($A8, INDEX(AsistenciaJetAdminConcatenada!$D:$D, MATCH(1, (AsistenciaJetAdminConcatenada!$A:$A=BF$2)*(AsistenciaJetAdminConcatenada!$B:$B=BF$1), 0)), 1))),  0.5, 0))</f>
        <v>1</v>
      </c>
      <c r="BG8" s="47">
        <f t="array" ref="BG8">IF(AND(ISNUMBER(MATCH(BG$2, AsistenciaJetAdminConcatenada!$A:$A, 0)), ISNUMBER(MATCH(BG$1, AsistenciaJetAdminConcatenada!$B:$B, 0)), ISNUMBER(SEARCH($A8,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ISNUMBER(SEARCH($A8, INDEX(AsistenciaJetAdminConcatenada!$D:$D, MATCH(1, (AsistenciaJetAdminConcatenada!$A:$A=BG$2)*(AsistenciaJetAdminConcatenada!$B:$B=BG$1), 0)), 1))),  0.5, 0))</f>
        <v>1</v>
      </c>
      <c r="BH8" s="47">
        <f t="array" ref="BH8">IF(AND(ISNUMBER(MATCH(BH$2, AsistenciaJetAdminConcatenada!$A:$A, 0)), ISNUMBER(MATCH(BH$1, AsistenciaJetAdminConcatenada!$B:$B, 0)), ISNUMBER(SEARCH($A8,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ISNUMBER(SEARCH($A8, INDEX(AsistenciaJetAdminConcatenada!$D:$D, MATCH(1, (AsistenciaJetAdminConcatenada!$A:$A=BH$2)*(AsistenciaJetAdminConcatenada!$B:$B=BH$1), 0)), 1))),  0.5, 0))</f>
        <v>1</v>
      </c>
      <c r="BI8" s="47">
        <f t="array" ref="BI8">IF(AND(ISNUMBER(MATCH(BI$2, AsistenciaJetAdminConcatenada!$A:$A, 0)), ISNUMBER(MATCH(BI$1, AsistenciaJetAdminConcatenada!$B:$B, 0)), ISNUMBER(SEARCH($A8,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ISNUMBER(SEARCH($A8, INDEX(AsistenciaJetAdminConcatenada!$D:$D, MATCH(1, (AsistenciaJetAdminConcatenada!$A:$A=BI$2)*(AsistenciaJetAdminConcatenada!$B:$B=BI$1), 0)), 1))),  0.5, 0))</f>
        <v>1</v>
      </c>
      <c r="BJ8" s="47">
        <f t="array" ref="BJ8">IF(AND(ISNUMBER(MATCH(BJ$2, AsistenciaJetAdminConcatenada!$A:$A, 0)), ISNUMBER(MATCH(BJ$1, AsistenciaJetAdminConcatenada!$B:$B, 0)), ISNUMBER(SEARCH($A8,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ISNUMBER(SEARCH($A8, INDEX(AsistenciaJetAdminConcatenada!$D:$D, MATCH(1, (AsistenciaJetAdminConcatenada!$A:$A=BJ$2)*(AsistenciaJetAdminConcatenada!$B:$B=BJ$1), 0)), 1))),  0.5, 0))</f>
        <v>1</v>
      </c>
      <c r="BK8" s="47">
        <f t="array" ref="BK8">IF(AND(ISNUMBER(MATCH(BK$2, AsistenciaJetAdminConcatenada!$A:$A, 0)), ISNUMBER(MATCH(BK$1, AsistenciaJetAdminConcatenada!$B:$B, 0)), ISNUMBER(SEARCH($A8,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ISNUMBER(SEARCH($A8, INDEX(AsistenciaJetAdminConcatenada!$D:$D, MATCH(1, (AsistenciaJetAdminConcatenada!$A:$A=BK$2)*(AsistenciaJetAdminConcatenada!$B:$B=BK$1), 0)), 1))),  0.5, 0))</f>
        <v>1</v>
      </c>
      <c r="BL8" s="47">
        <f t="array" ref="BL8">IF(AND(ISNUMBER(MATCH(BL$2, AsistenciaJetAdminConcatenada!$A:$A, 0)), ISNUMBER(MATCH(BL$1, AsistenciaJetAdminConcatenada!$B:$B, 0)), ISNUMBER(SEARCH($A8,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ISNUMBER(SEARCH($A8, INDEX(AsistenciaJetAdminConcatenada!$D:$D, MATCH(1, (AsistenciaJetAdminConcatenada!$A:$A=BL$2)*(AsistenciaJetAdminConcatenada!$B:$B=BL$1), 0)), 1))),  0.5, 0))</f>
        <v>1</v>
      </c>
      <c r="BM8" s="47">
        <f t="array" ref="BM8">IF(AND(ISNUMBER(MATCH(BM$2, AsistenciaJetAdminConcatenada!$A:$A, 0)), ISNUMBER(MATCH(BM$1, AsistenciaJetAdminConcatenada!$B:$B, 0)), ISNUMBER(SEARCH($A8,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ISNUMBER(SEARCH($A8, INDEX(AsistenciaJetAdminConcatenada!$D:$D, MATCH(1, (AsistenciaJetAdminConcatenada!$A:$A=BM$2)*(AsistenciaJetAdminConcatenada!$B:$B=BM$1), 0)), 1))),  0.5, 0))</f>
        <v>1</v>
      </c>
      <c r="BN8" s="47">
        <f t="array" ref="BN8">IF(AND(ISNUMBER(MATCH(BN$2, AsistenciaJetAdminConcatenada!$A:$A, 0)), ISNUMBER(MATCH(BN$1, AsistenciaJetAdminConcatenada!$B:$B, 0)), ISNUMBER(SEARCH($A8,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ISNUMBER(SEARCH($A8, INDEX(AsistenciaJetAdminConcatenada!$D:$D, MATCH(1, (AsistenciaJetAdminConcatenada!$A:$A=BN$2)*(AsistenciaJetAdminConcatenada!$B:$B=BN$1), 0)), 1))),  0.5, 0))</f>
        <v>0</v>
      </c>
      <c r="BO8" s="47">
        <f t="array" ref="BO8">IF(AND(ISNUMBER(MATCH(BO$2, AsistenciaJetAdminConcatenada!$A:$A, 0)), ISNUMBER(MATCH(BO$1, AsistenciaJetAdminConcatenada!$B:$B, 0)), ISNUMBER(SEARCH($A8,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ISNUMBER(SEARCH($A8, INDEX(AsistenciaJetAdminConcatenada!$D:$D, MATCH(1, (AsistenciaJetAdminConcatenada!$A:$A=BO$2)*(AsistenciaJetAdminConcatenada!$B:$B=BO$1), 0)), 1))),  0.5, 0))</f>
        <v>1</v>
      </c>
      <c r="BP8" s="47">
        <f t="array" ref="BP8">IF(AND(ISNUMBER(MATCH(BP$2, AsistenciaJetAdminConcatenada!$A:$A, 0)), ISNUMBER(MATCH(BP$1, AsistenciaJetAdminConcatenada!$B:$B, 0)), ISNUMBER(SEARCH($A8,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ISNUMBER(SEARCH($A8, INDEX(AsistenciaJetAdminConcatenada!$D:$D, MATCH(1, (AsistenciaJetAdminConcatenada!$A:$A=BP$2)*(AsistenciaJetAdminConcatenada!$B:$B=BP$1), 0)), 1))),  0.5, 0))</f>
        <v>0</v>
      </c>
      <c r="BQ8" s="47">
        <f t="array" ref="BQ8">IF(AND(ISNUMBER(MATCH(BQ$2, AsistenciaJetAdminConcatenada!$A:$A, 0)), ISNUMBER(MATCH(BQ$1, AsistenciaJetAdminConcatenada!$B:$B, 0)), ISNUMBER(SEARCH($A8,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ISNUMBER(SEARCH($A8, INDEX(AsistenciaJetAdminConcatenada!$D:$D, MATCH(1, (AsistenciaJetAdminConcatenada!$A:$A=BQ$2)*(AsistenciaJetAdminConcatenada!$B:$B=BQ$1), 0)), 1))),  0.5, 0))</f>
        <v>0</v>
      </c>
      <c r="BR8" s="47">
        <f t="array" ref="BR8">IF(AND(ISNUMBER(MATCH(BR$2, AsistenciaJetAdminConcatenada!$A:$A, 0)), ISNUMBER(MATCH(BR$1, AsistenciaJetAdminConcatenada!$B:$B, 0)), ISNUMBER(SEARCH($A8,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ISNUMBER(SEARCH($A8, INDEX(AsistenciaJetAdminConcatenada!$D:$D, MATCH(1, (AsistenciaJetAdminConcatenada!$A:$A=BR$2)*(AsistenciaJetAdminConcatenada!$B:$B=BR$1), 0)), 1))),  0.5, 0))</f>
        <v>1</v>
      </c>
      <c r="BS8" s="47">
        <f t="array" ref="BS8">IF(AND(ISNUMBER(MATCH(BS$2, AsistenciaJetAdminConcatenada!$A:$A, 0)), ISNUMBER(MATCH(BS$1, AsistenciaJetAdminConcatenada!$B:$B, 0)), ISNUMBER(SEARCH($A8,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ISNUMBER(SEARCH($A8, INDEX(AsistenciaJetAdminConcatenada!$D:$D, MATCH(1, (AsistenciaJetAdminConcatenada!$A:$A=BS$2)*(AsistenciaJetAdminConcatenada!$B:$B=BS$1), 0)), 1))),  0.5, 0))</f>
        <v>1</v>
      </c>
      <c r="BT8" s="47">
        <f t="array" ref="BT8">IF(AND(ISNUMBER(MATCH(BT$2, AsistenciaJetAdminConcatenada!$A:$A, 0)), ISNUMBER(MATCH(BT$1, AsistenciaJetAdminConcatenada!$B:$B, 0)), ISNUMBER(SEARCH($A8,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ISNUMBER(SEARCH($A8, INDEX(AsistenciaJetAdminConcatenada!$D:$D, MATCH(1, (AsistenciaJetAdminConcatenada!$A:$A=BT$2)*(AsistenciaJetAdminConcatenada!$B:$B=BT$1), 0)), 1))),  0.5, 0))</f>
        <v>1</v>
      </c>
      <c r="BU8" s="47">
        <f t="array" ref="BU8">IF(AND(ISNUMBER(MATCH(BU$2, AsistenciaJetAdminConcatenada!$A:$A, 0)), ISNUMBER(MATCH(BU$1, AsistenciaJetAdminConcatenada!$B:$B, 0)), ISNUMBER(SEARCH($A8,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ISNUMBER(SEARCH($A8, INDEX(AsistenciaJetAdminConcatenada!$D:$D, MATCH(1, (AsistenciaJetAdminConcatenada!$A:$A=BU$2)*(AsistenciaJetAdminConcatenada!$B:$B=BU$1), 0)), 1))),  0.5, 0))</f>
        <v>1</v>
      </c>
      <c r="BV8" s="47">
        <f t="array" ref="BV8">IF(AND(ISNUMBER(MATCH(BV$2, AsistenciaJetAdminConcatenada!$A:$A, 0)), ISNUMBER(MATCH(BV$1, AsistenciaJetAdminConcatenada!$B:$B, 0)), ISNUMBER(SEARCH($A8,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ISNUMBER(SEARCH($A8, INDEX(AsistenciaJetAdminConcatenada!$D:$D, MATCH(1, (AsistenciaJetAdminConcatenada!$A:$A=BV$2)*(AsistenciaJetAdminConcatenada!$B:$B=BV$1), 0)), 1))),  0.5, 0))</f>
        <v>0</v>
      </c>
      <c r="BW8" s="47">
        <f t="array" ref="BW8">IF(AND(ISNUMBER(MATCH(BW$2, AsistenciaJetAdminConcatenada!$A:$A, 0)), ISNUMBER(MATCH(BW$1, AsistenciaJetAdminConcatenada!$B:$B, 0)), ISNUMBER(SEARCH($A8,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ISNUMBER(SEARCH($A8, INDEX(AsistenciaJetAdminConcatenada!$D:$D, MATCH(1, (AsistenciaJetAdminConcatenada!$A:$A=BW$2)*(AsistenciaJetAdminConcatenada!$B:$B=BW$1), 0)), 1))),  0.5, 0))</f>
        <v>1</v>
      </c>
      <c r="BX8" s="47">
        <f t="array" ref="BX8">IF(AND(ISNUMBER(MATCH(BX$2, AsistenciaJetAdminConcatenada!$A:$A, 0)), ISNUMBER(MATCH(BX$1, AsistenciaJetAdminConcatenada!$B:$B, 0)), ISNUMBER(SEARCH($A8,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ISNUMBER(SEARCH($A8, INDEX(AsistenciaJetAdminConcatenada!$D:$D, MATCH(1, (AsistenciaJetAdminConcatenada!$A:$A=BX$2)*(AsistenciaJetAdminConcatenada!$B:$B=BX$1), 0)), 1))),  0.5, 0))</f>
        <v>0.5</v>
      </c>
      <c r="BY8" s="47">
        <f t="array" ref="BY8">IF(AND(ISNUMBER(MATCH(BY$2, AsistenciaJetAdminConcatenada!$A:$A, 0)), ISNUMBER(MATCH(BY$1, AsistenciaJetAdminConcatenada!$B:$B, 0)), ISNUMBER(SEARCH($A8,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ISNUMBER(SEARCH($A8, INDEX(AsistenciaJetAdminConcatenada!$D:$D, MATCH(1, (AsistenciaJetAdminConcatenada!$A:$A=BY$2)*(AsistenciaJetAdminConcatenada!$B:$B=BY$1), 0)), 1))),  0.5, 0))</f>
        <v>1</v>
      </c>
      <c r="BZ8" s="47">
        <f t="array" ref="BZ8">IF(AND(ISNUMBER(MATCH(BZ$2, AsistenciaJetAdminConcatenada!$A:$A, 0)), ISNUMBER(MATCH(BZ$1, AsistenciaJetAdminConcatenada!$B:$B, 0)), ISNUMBER(SEARCH($A8,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ISNUMBER(SEARCH($A8, INDEX(AsistenciaJetAdminConcatenada!$D:$D, MATCH(1, (AsistenciaJetAdminConcatenada!$A:$A=BZ$2)*(AsistenciaJetAdminConcatenada!$B:$B=BZ$1), 0)), 1))),  0.5, 0))</f>
        <v>1</v>
      </c>
      <c r="CA8" s="47">
        <f t="array" ref="CA8">IF(AND(ISNUMBER(MATCH(CA$2, AsistenciaJetAdminConcatenada!$A:$A, 0)), ISNUMBER(MATCH(CA$1, AsistenciaJetAdminConcatenada!$B:$B, 0)), ISNUMBER(SEARCH($A8,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ISNUMBER(SEARCH($A8, INDEX(AsistenciaJetAdminConcatenada!$D:$D, MATCH(1, (AsistenciaJetAdminConcatenada!$A:$A=CA$2)*(AsistenciaJetAdminConcatenada!$B:$B=CA$1), 0)), 1))),  0.5, 0))</f>
        <v>1</v>
      </c>
      <c r="CB8" s="47">
        <f t="array" ref="CB8">IF(AND(ISNUMBER(MATCH(CB$2, AsistenciaJetAdminConcatenada!$A:$A, 0)), ISNUMBER(MATCH(CB$1, AsistenciaJetAdminConcatenada!$B:$B, 0)), ISNUMBER(SEARCH($A8,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ISNUMBER(SEARCH($A8, INDEX(AsistenciaJetAdminConcatenada!$D:$D, MATCH(1, (AsistenciaJetAdminConcatenada!$A:$A=CB$2)*(AsistenciaJetAdminConcatenada!$B:$B=CB$1), 0)), 1))),  0.5, 0))</f>
        <v>0</v>
      </c>
      <c r="CC8" s="47">
        <f t="array" ref="CC8">IF(AND(ISNUMBER(MATCH(CC$2, AsistenciaJetAdminConcatenada!$A:$A, 0)), ISNUMBER(MATCH(CC$1, AsistenciaJetAdminConcatenada!$B:$B, 0)), ISNUMBER(SEARCH($A8,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ISNUMBER(SEARCH($A8, INDEX(AsistenciaJetAdminConcatenada!$D:$D, MATCH(1, (AsistenciaJetAdminConcatenada!$A:$A=CC$2)*(AsistenciaJetAdminConcatenada!$B:$B=CC$1), 0)), 1))),  0.5, 0))</f>
        <v>1</v>
      </c>
      <c r="CD8" s="47">
        <f t="array" ref="CD8">IF(AND(ISNUMBER(MATCH(CD$2, AsistenciaJetAdminConcatenada!$A:$A, 0)), ISNUMBER(MATCH(CD$1, AsistenciaJetAdminConcatenada!$B:$B, 0)), ISNUMBER(SEARCH($A8,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ISNUMBER(SEARCH($A8, INDEX(AsistenciaJetAdminConcatenada!$D:$D, MATCH(1, (AsistenciaJetAdminConcatenada!$A:$A=CD$2)*(AsistenciaJetAdminConcatenada!$B:$B=CD$1), 0)), 1))),  0.5, 0))</f>
        <v>1</v>
      </c>
      <c r="CE8" s="47">
        <f t="array" ref="CE8">IF(AND(ISNUMBER(MATCH(CE$2, AsistenciaJetAdminConcatenada!$A:$A, 0)), ISNUMBER(MATCH(CE$1, AsistenciaJetAdminConcatenada!$B:$B, 0)), ISNUMBER(SEARCH($A8,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ISNUMBER(SEARCH($A8, INDEX(AsistenciaJetAdminConcatenada!$D:$D, MATCH(1, (AsistenciaJetAdminConcatenada!$A:$A=CE$2)*(AsistenciaJetAdminConcatenada!$B:$B=CE$1), 0)), 1))),  0.5, 0))</f>
        <v>0</v>
      </c>
      <c r="CF8" s="47">
        <f t="array" ref="CF8">IF(AND(ISNUMBER(MATCH(CF$2, AsistenciaJetAdminConcatenada!$A:$A, 0)), ISNUMBER(MATCH(CF$1, AsistenciaJetAdminConcatenada!$B:$B, 0)), ISNUMBER(SEARCH($A8,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ISNUMBER(SEARCH($A8, INDEX(AsistenciaJetAdminConcatenada!$D:$D, MATCH(1, (AsistenciaJetAdminConcatenada!$A:$A=CF$2)*(AsistenciaJetAdminConcatenada!$B:$B=CF$1), 0)), 1))),  0.5, 0))</f>
        <v>0</v>
      </c>
      <c r="CG8" s="47">
        <f t="array" ref="CG8">IF(AND(ISNUMBER(MATCH(CG$2, AsistenciaJetAdminConcatenada!$A:$A, 0)), ISNUMBER(MATCH(CG$1, AsistenciaJetAdminConcatenada!$B:$B, 0)), ISNUMBER(SEARCH($A8,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ISNUMBER(SEARCH($A8, INDEX(AsistenciaJetAdminConcatenada!$D:$D, MATCH(1, (AsistenciaJetAdminConcatenada!$A:$A=CG$2)*(AsistenciaJetAdminConcatenada!$B:$B=CG$1), 0)), 1))),  0.5, 0))</f>
        <v>0</v>
      </c>
      <c r="CH8" s="47">
        <f t="array" ref="CH8">IF(AND(ISNUMBER(MATCH(CH$2, AsistenciaJetAdminConcatenada!$A:$A, 0)), ISNUMBER(MATCH(CH$1, AsistenciaJetAdminConcatenada!$B:$B, 0)), ISNUMBER(SEARCH($A8,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ISNUMBER(SEARCH($A8, INDEX(AsistenciaJetAdminConcatenada!$D:$D, MATCH(1, (AsistenciaJetAdminConcatenada!$A:$A=CH$2)*(AsistenciaJetAdminConcatenada!$B:$B=CH$1), 0)), 1))),  0.5, 0))</f>
        <v>0</v>
      </c>
      <c r="CI8" s="47">
        <f t="array" ref="CI8">IF(AND(ISNUMBER(MATCH(CI$2, AsistenciaJetAdminConcatenada!$A:$A, 0)), ISNUMBER(MATCH(CI$1, AsistenciaJetAdminConcatenada!$B:$B, 0)), ISNUMBER(SEARCH($A8,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ISNUMBER(SEARCH($A8, INDEX(AsistenciaJetAdminConcatenada!$D:$D, MATCH(1, (AsistenciaJetAdminConcatenada!$A:$A=CI$2)*(AsistenciaJetAdminConcatenada!$B:$B=CI$1), 0)), 1))),  0.5, 0))</f>
        <v>1</v>
      </c>
      <c r="CJ8" s="47">
        <f t="array" ref="CJ8">IF(AND(ISNUMBER(MATCH(CJ$2, AsistenciaJetAdminConcatenada!$A:$A, 0)), ISNUMBER(MATCH(CJ$1, AsistenciaJetAdminConcatenada!$B:$B, 0)), ISNUMBER(SEARCH($A8,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ISNUMBER(SEARCH($A8, INDEX(AsistenciaJetAdminConcatenada!$D:$D, MATCH(1, (AsistenciaJetAdminConcatenada!$A:$A=CJ$2)*(AsistenciaJetAdminConcatenada!$B:$B=CJ$1), 0)), 1))),  0.5, 0))</f>
        <v>1</v>
      </c>
      <c r="CK8" s="47">
        <f t="array" ref="CK8">IF(AND(ISNUMBER(MATCH(CK$2, AsistenciaJetAdminConcatenada!$A:$A, 0)), ISNUMBER(MATCH(CK$1, AsistenciaJetAdminConcatenada!$B:$B, 0)), ISNUMBER(SEARCH($A8,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ISNUMBER(SEARCH($A8, INDEX(AsistenciaJetAdminConcatenada!$D:$D, MATCH(1, (AsistenciaJetAdminConcatenada!$A:$A=CK$2)*(AsistenciaJetAdminConcatenada!$B:$B=CK$1), 0)), 1))),  0.5, 0))</f>
        <v>0</v>
      </c>
      <c r="CL8" s="47">
        <f t="array" ref="CL8">IF(AND(ISNUMBER(MATCH(CL$2, AsistenciaJetAdminConcatenada!$A:$A, 0)), ISNUMBER(MATCH(CL$1, AsistenciaJetAdminConcatenada!$B:$B, 0)), ISNUMBER(SEARCH($A8,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ISNUMBER(SEARCH($A8, INDEX(AsistenciaJetAdminConcatenada!$D:$D, MATCH(1, (AsistenciaJetAdminConcatenada!$A:$A=CL$2)*(AsistenciaJetAdminConcatenada!$B:$B=CL$1), 0)), 1))),  0.5, 0))</f>
        <v>1</v>
      </c>
      <c r="CM8" s="47">
        <f t="array" ref="CM8">IF(AND(ISNUMBER(MATCH(CM$2, AsistenciaJetAdminConcatenada!$A:$A, 0)), ISNUMBER(MATCH(CM$1, AsistenciaJetAdminConcatenada!$B:$B, 0)), ISNUMBER(SEARCH($A8,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ISNUMBER(SEARCH($A8, INDEX(AsistenciaJetAdminConcatenada!$D:$D, MATCH(1, (AsistenciaJetAdminConcatenada!$A:$A=CM$2)*(AsistenciaJetAdminConcatenada!$B:$B=CM$1), 0)), 1))),  0.5, 0))</f>
        <v>0</v>
      </c>
      <c r="CN8" s="47">
        <f t="array" ref="CN8">IF(AND(ISNUMBER(MATCH(CN$2, AsistenciaJetAdminConcatenada!$A:$A, 0)), ISNUMBER(MATCH(CN$1, AsistenciaJetAdminConcatenada!$B:$B, 0)), ISNUMBER(SEARCH($A8,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ISNUMBER(SEARCH($A8, INDEX(AsistenciaJetAdminConcatenada!$D:$D, MATCH(1, (AsistenciaJetAdminConcatenada!$A:$A=CN$2)*(AsistenciaJetAdminConcatenada!$B:$B=CN$1), 0)), 1))),  0.5, 0))</f>
        <v>1</v>
      </c>
      <c r="CO8" s="47">
        <f t="array" ref="CO8">IF(AND(ISNUMBER(MATCH(CO$2, AsistenciaJetAdminConcatenada!$A:$A, 0)), ISNUMBER(MATCH(CO$1, AsistenciaJetAdminConcatenada!$B:$B, 0)), ISNUMBER(SEARCH($A8,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ISNUMBER(SEARCH($A8, INDEX(AsistenciaJetAdminConcatenada!$D:$D, MATCH(1, (AsistenciaJetAdminConcatenada!$A:$A=CO$2)*(AsistenciaJetAdminConcatenada!$B:$B=CO$1), 0)), 1))),  0.5, 0))</f>
        <v>1</v>
      </c>
      <c r="CP8" s="47">
        <f t="array" ref="CP8">IF(AND(ISNUMBER(MATCH(CP$2, AsistenciaJetAdminConcatenada!$A:$A, 0)), ISNUMBER(MATCH(CP$1, AsistenciaJetAdminConcatenada!$B:$B, 0)), ISNUMBER(SEARCH($A8,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ISNUMBER(SEARCH($A8, INDEX(AsistenciaJetAdminConcatenada!$D:$D, MATCH(1, (AsistenciaJetAdminConcatenada!$A:$A=CP$2)*(AsistenciaJetAdminConcatenada!$B:$B=CP$1), 0)), 1))),  0.5, 0))</f>
        <v>0.5</v>
      </c>
      <c r="CQ8" s="47">
        <f t="array" ref="CQ8">IF(AND(ISNUMBER(MATCH(CQ$2, AsistenciaJetAdminConcatenada!$A:$A, 0)), ISNUMBER(MATCH(CQ$1, AsistenciaJetAdminConcatenada!$B:$B, 0)), ISNUMBER(SEARCH($A8,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ISNUMBER(SEARCH($A8, INDEX(AsistenciaJetAdminConcatenada!$D:$D, MATCH(1, (AsistenciaJetAdminConcatenada!$A:$A=CQ$2)*(AsistenciaJetAdminConcatenada!$B:$B=CQ$1), 0)), 1))),  0.5, 0))</f>
        <v>1</v>
      </c>
      <c r="CR8" s="47">
        <f t="array" ref="CR8">IF(AND(ISNUMBER(MATCH(CR$2, AsistenciaJetAdminConcatenada!$A:$A, 0)), ISNUMBER(MATCH(CR$1, AsistenciaJetAdminConcatenada!$B:$B, 0)), ISNUMBER(SEARCH($A8,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ISNUMBER(SEARCH($A8, INDEX(AsistenciaJetAdminConcatenada!$D:$D, MATCH(1, (AsistenciaJetAdminConcatenada!$A:$A=CR$2)*(AsistenciaJetAdminConcatenada!$B:$B=CR$1), 0)), 1))),  0.5, 0))</f>
        <v>1</v>
      </c>
      <c r="CS8" s="47">
        <f t="array" ref="CS8">IF(AND(ISNUMBER(MATCH(CS$2, AsistenciaJetAdminConcatenada!$A:$A, 0)), ISNUMBER(MATCH(CS$1, AsistenciaJetAdminConcatenada!$B:$B, 0)), ISNUMBER(SEARCH($A8,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ISNUMBER(SEARCH($A8, INDEX(AsistenciaJetAdminConcatenada!$D:$D, MATCH(1, (AsistenciaJetAdminConcatenada!$A:$A=CS$2)*(AsistenciaJetAdminConcatenada!$B:$B=CS$1), 0)), 1))),  0.5, 0))</f>
        <v>0</v>
      </c>
      <c r="CT8" s="47">
        <f t="array" ref="CT8">IF(AND(ISNUMBER(MATCH(CT$2, AsistenciaJetAdminConcatenada!$A:$A, 0)), ISNUMBER(MATCH(CT$1, AsistenciaJetAdminConcatenada!$B:$B, 0)), ISNUMBER(SEARCH($A8,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ISNUMBER(SEARCH($A8, INDEX(AsistenciaJetAdminConcatenada!$D:$D, MATCH(1, (AsistenciaJetAdminConcatenada!$A:$A=CT$2)*(AsistenciaJetAdminConcatenada!$B:$B=CT$1), 0)), 1))),  0.5, 0))</f>
        <v>0</v>
      </c>
      <c r="CU8" s="47">
        <f t="array" ref="CU8">IF(AND(ISNUMBER(MATCH(CU$2, AsistenciaJetAdminConcatenada!$A:$A, 0)), ISNUMBER(MATCH(CU$1, AsistenciaJetAdminConcatenada!$B:$B, 0)), ISNUMBER(SEARCH($A8,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ISNUMBER(SEARCH($A8, INDEX(AsistenciaJetAdminConcatenada!$D:$D, MATCH(1, (AsistenciaJetAdminConcatenada!$A:$A=CU$2)*(AsistenciaJetAdminConcatenada!$B:$B=CU$1), 0)), 1))),  0.5, 0))</f>
        <v>0</v>
      </c>
      <c r="CV8" s="47">
        <f t="array" ref="CV8">IF(AND(ISNUMBER(MATCH(CV$2, AsistenciaJetAdminConcatenada!$A:$A, 0)), ISNUMBER(MATCH(CV$1, AsistenciaJetAdminConcatenada!$B:$B, 0)), ISNUMBER(SEARCH($A8,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ISNUMBER(SEARCH($A8, INDEX(AsistenciaJetAdminConcatenada!$D:$D, MATCH(1, (AsistenciaJetAdminConcatenada!$A:$A=CV$2)*(AsistenciaJetAdminConcatenada!$B:$B=CV$1), 0)), 1))),  0.5, 0))</f>
        <v>0</v>
      </c>
      <c r="CW8" s="47">
        <f t="array" ref="CW8">IF(AND(ISNUMBER(MATCH(CW$2, AsistenciaJetAdminConcatenada!$A:$A, 0)), ISNUMBER(MATCH(CW$1, AsistenciaJetAdminConcatenada!$B:$B, 0)), ISNUMBER(SEARCH($A8,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ISNUMBER(SEARCH($A8, INDEX(AsistenciaJetAdminConcatenada!$D:$D, MATCH(1, (AsistenciaJetAdminConcatenada!$A:$A=CW$2)*(AsistenciaJetAdminConcatenada!$B:$B=CW$1), 0)), 1))),  0.5, 0))</f>
        <v>0</v>
      </c>
      <c r="CX8" s="47">
        <f t="array" ref="CX8">IF(AND(ISNUMBER(MATCH(CX$2, AsistenciaJetAdminConcatenada!$A:$A, 0)), ISNUMBER(MATCH(CX$1, AsistenciaJetAdminConcatenada!$B:$B, 0)), ISNUMBER(SEARCH($A8,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ISNUMBER(SEARCH($A8, INDEX(AsistenciaJetAdminConcatenada!$D:$D, MATCH(1, (AsistenciaJetAdminConcatenada!$A:$A=CX$2)*(AsistenciaJetAdminConcatenada!$B:$B=CX$1), 0)), 1))),  0.5, 0))</f>
        <v>0</v>
      </c>
      <c r="CY8" s="47">
        <f t="array" ref="CY8">IF(AND(ISNUMBER(MATCH(CY$2, AsistenciaJetAdminConcatenada!$A:$A, 0)), ISNUMBER(MATCH(CY$1, AsistenciaJetAdminConcatenada!$B:$B, 0)), ISNUMBER(SEARCH($A8,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ISNUMBER(SEARCH($A8, INDEX(AsistenciaJetAdminConcatenada!$D:$D, MATCH(1, (AsistenciaJetAdminConcatenada!$A:$A=CY$2)*(AsistenciaJetAdminConcatenada!$B:$B=CY$1), 0)), 1))),  0.5, 0))</f>
        <v>0</v>
      </c>
      <c r="CZ8" s="47">
        <f t="array" ref="CZ8">IF(AND(ISNUMBER(MATCH(CZ$2, AsistenciaJetAdminConcatenada!$A:$A, 0)), ISNUMBER(MATCH(CZ$1, AsistenciaJetAdminConcatenada!$B:$B, 0)), ISNUMBER(SEARCH($A8,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ISNUMBER(SEARCH($A8, INDEX(AsistenciaJetAdminConcatenada!$D:$D, MATCH(1, (AsistenciaJetAdminConcatenada!$A:$A=CZ$2)*(AsistenciaJetAdminConcatenada!$B:$B=CZ$1), 0)), 1))),  0.5, 0))</f>
        <v>0</v>
      </c>
      <c r="DA8" s="47">
        <f t="array" ref="DA8">IF(AND(ISNUMBER(MATCH(DA$2, AsistenciaJetAdminConcatenada!$A:$A, 0)), ISNUMBER(MATCH(DA$1, AsistenciaJetAdminConcatenada!$B:$B, 0)), ISNUMBER(SEARCH($A8,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ISNUMBER(SEARCH($A8, INDEX(AsistenciaJetAdminConcatenada!$D:$D, MATCH(1, (AsistenciaJetAdminConcatenada!$A:$A=DA$2)*(AsistenciaJetAdminConcatenada!$B:$B=DA$1), 0)), 1))),  0.5, 0))</f>
        <v>0</v>
      </c>
      <c r="DB8" s="47">
        <f t="array" ref="DB8">IF(AND(ISNUMBER(MATCH(DB$2, AsistenciaJetAdminConcatenada!$A:$A, 0)), ISNUMBER(MATCH(DB$1, AsistenciaJetAdminConcatenada!$B:$B, 0)), ISNUMBER(SEARCH($A8,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ISNUMBER(SEARCH($A8, INDEX(AsistenciaJetAdminConcatenada!$D:$D, MATCH(1, (AsistenciaJetAdminConcatenada!$A:$A=DB$2)*(AsistenciaJetAdminConcatenada!$B:$B=DB$1), 0)), 1))),  0.5, 0))</f>
        <v>0</v>
      </c>
      <c r="DC8" s="47">
        <f t="array" ref="DC8">IF(AND(ISNUMBER(MATCH(DC$2, AsistenciaJetAdminConcatenada!$A:$A, 0)), ISNUMBER(MATCH(DC$1, AsistenciaJetAdminConcatenada!$B:$B, 0)), ISNUMBER(SEARCH($A8,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ISNUMBER(SEARCH($A8, INDEX(AsistenciaJetAdminConcatenada!$D:$D, MATCH(1, (AsistenciaJetAdminConcatenada!$A:$A=DC$2)*(AsistenciaJetAdminConcatenada!$B:$B=DC$1), 0)), 1))),  0.5, 0))</f>
        <v>0</v>
      </c>
      <c r="DD8" s="47">
        <f t="array" ref="DD8">IF(AND(ISNUMBER(MATCH(DD$2, AsistenciaJetAdminConcatenada!$A:$A, 0)), ISNUMBER(MATCH(DD$1, AsistenciaJetAdminConcatenada!$B:$B, 0)), ISNUMBER(SEARCH($A8,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ISNUMBER(SEARCH($A8, INDEX(AsistenciaJetAdminConcatenada!$D:$D, MATCH(1, (AsistenciaJetAdminConcatenada!$A:$A=DD$2)*(AsistenciaJetAdminConcatenada!$B:$B=DD$1), 0)), 1))),  0.5, 0))</f>
        <v>0</v>
      </c>
      <c r="DE8" s="47">
        <f t="array" ref="DE8">IF(AND(ISNUMBER(MATCH(DE$2, AsistenciaJetAdminConcatenada!$A:$A, 0)), ISNUMBER(MATCH(DE$1, AsistenciaJetAdminConcatenada!$B:$B, 0)), ISNUMBER(SEARCH($A8,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ISNUMBER(SEARCH($A8, INDEX(AsistenciaJetAdminConcatenada!$D:$D, MATCH(1, (AsistenciaJetAdminConcatenada!$A:$A=DE$2)*(AsistenciaJetAdminConcatenada!$B:$B=DE$1), 0)), 1))),  0.5, 0))</f>
        <v>0</v>
      </c>
      <c r="DF8" s="47">
        <f t="array" ref="DF8">IF(AND(ISNUMBER(MATCH(DF$2, AsistenciaJetAdminConcatenada!$A:$A, 0)), ISNUMBER(MATCH(DF$1, AsistenciaJetAdminConcatenada!$B:$B, 0)), ISNUMBER(SEARCH($A8,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ISNUMBER(SEARCH($A8, INDEX(AsistenciaJetAdminConcatenada!$D:$D, MATCH(1, (AsistenciaJetAdminConcatenada!$A:$A=DF$2)*(AsistenciaJetAdminConcatenada!$B:$B=DF$1), 0)), 1))),  0.5, 0))</f>
        <v>0</v>
      </c>
      <c r="DG8" s="47">
        <f t="array" ref="DG8">IF(AND(ISNUMBER(MATCH(DG$2, AsistenciaJetAdminConcatenada!$A:$A, 0)), ISNUMBER(MATCH(DG$1, AsistenciaJetAdminConcatenada!$B:$B, 0)), ISNUMBER(SEARCH($A8,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ISNUMBER(SEARCH($A8, INDEX(AsistenciaJetAdminConcatenada!$D:$D, MATCH(1, (AsistenciaJetAdminConcatenada!$A:$A=DG$2)*(AsistenciaJetAdminConcatenada!$B:$B=DG$1), 0)), 1))),  0.5, 0))</f>
        <v>0</v>
      </c>
      <c r="DH8" s="47">
        <f t="array" ref="DH8">IF(AND(ISNUMBER(MATCH(DH$2, AsistenciaJetAdminConcatenada!$A:$A, 0)), ISNUMBER(MATCH(DH$1, AsistenciaJetAdminConcatenada!$B:$B, 0)), ISNUMBER(SEARCH($A8,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ISNUMBER(SEARCH($A8, INDEX(AsistenciaJetAdminConcatenada!$D:$D, MATCH(1, (AsistenciaJetAdminConcatenada!$A:$A=DH$2)*(AsistenciaJetAdminConcatenada!$B:$B=DH$1), 0)), 1))),  0.5, 0))</f>
        <v>0</v>
      </c>
      <c r="DI8" s="47">
        <f t="array" ref="DI8">IF(AND(ISNUMBER(MATCH(DI$2, AsistenciaJetAdminConcatenada!$A:$A, 0)), ISNUMBER(MATCH(DI$1, AsistenciaJetAdminConcatenada!$B:$B, 0)), ISNUMBER(SEARCH($A8,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ISNUMBER(SEARCH($A8, INDEX(AsistenciaJetAdminConcatenada!$D:$D, MATCH(1, (AsistenciaJetAdminConcatenada!$A:$A=DI$2)*(AsistenciaJetAdminConcatenada!$B:$B=DI$1), 0)), 1))),  0.5, 0))</f>
        <v>0</v>
      </c>
      <c r="DJ8" s="47">
        <f t="array" ref="DJ8">IF(AND(ISNUMBER(MATCH(DJ$2, AsistenciaJetAdminConcatenada!$A:$A, 0)), ISNUMBER(MATCH(DJ$1, AsistenciaJetAdminConcatenada!$B:$B, 0)), ISNUMBER(SEARCH($A8,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ISNUMBER(SEARCH($A8, INDEX(AsistenciaJetAdminConcatenada!$D:$D, MATCH(1, (AsistenciaJetAdminConcatenada!$A:$A=DJ$2)*(AsistenciaJetAdminConcatenada!$B:$B=DJ$1), 0)), 1))),  0.5, 0))</f>
        <v>0</v>
      </c>
      <c r="DK8" s="47">
        <f t="array" ref="DK8">IF(AND(ISNUMBER(MATCH(DK$2, AsistenciaJetAdminConcatenada!$A:$A, 0)), ISNUMBER(MATCH(DK$1, AsistenciaJetAdminConcatenada!$B:$B, 0)), ISNUMBER(SEARCH($A8,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ISNUMBER(SEARCH($A8, INDEX(AsistenciaJetAdminConcatenada!$D:$D, MATCH(1, (AsistenciaJetAdminConcatenada!$A:$A=DK$2)*(AsistenciaJetAdminConcatenada!$B:$B=DK$1), 0)), 1))),  0.5, 0))</f>
        <v>0</v>
      </c>
      <c r="DL8" s="47">
        <f t="array" ref="DL8">IF(AND(ISNUMBER(MATCH(DL$2, AsistenciaJetAdminConcatenada!$A:$A, 0)), ISNUMBER(MATCH(DL$1, AsistenciaJetAdminConcatenada!$B:$B, 0)), ISNUMBER(SEARCH($A8,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ISNUMBER(SEARCH($A8, INDEX(AsistenciaJetAdminConcatenada!$D:$D, MATCH(1, (AsistenciaJetAdminConcatenada!$A:$A=DL$2)*(AsistenciaJetAdminConcatenada!$B:$B=DL$1), 0)), 1))),  0.5, 0))</f>
        <v>0</v>
      </c>
      <c r="DM8" s="47">
        <f t="array" ref="DM8">IF(AND(ISNUMBER(MATCH(DM$2, AsistenciaJetAdminConcatenada!$A:$A, 0)), ISNUMBER(MATCH(DM$1, AsistenciaJetAdminConcatenada!$B:$B, 0)), ISNUMBER(SEARCH($A8,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ISNUMBER(SEARCH($A8, INDEX(AsistenciaJetAdminConcatenada!$D:$D, MATCH(1, (AsistenciaJetAdminConcatenada!$A:$A=DM$2)*(AsistenciaJetAdminConcatenada!$B:$B=DM$1), 0)), 1))),  0.5, 0))</f>
        <v>0</v>
      </c>
      <c r="DN8" s="47">
        <f t="array" ref="DN8">IF(AND(ISNUMBER(MATCH(DN$2, AsistenciaJetAdminConcatenada!$A:$A, 0)), ISNUMBER(MATCH(DN$1, AsistenciaJetAdminConcatenada!$B:$B, 0)), ISNUMBER(SEARCH($A8,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ISNUMBER(SEARCH($A8, INDEX(AsistenciaJetAdminConcatenada!$D:$D, MATCH(1, (AsistenciaJetAdminConcatenada!$A:$A=DN$2)*(AsistenciaJetAdminConcatenada!$B:$B=DN$1), 0)), 1))),  0.5, 0))</f>
        <v>0</v>
      </c>
      <c r="DO8" s="47">
        <f t="array" ref="DO8">IF(AND(ISNUMBER(MATCH(DO$2, AsistenciaJetAdminConcatenada!$A:$A, 0)), ISNUMBER(MATCH(DO$1, AsistenciaJetAdminConcatenada!$B:$B, 0)), ISNUMBER(SEARCH($A8,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ISNUMBER(SEARCH($A8, INDEX(AsistenciaJetAdminConcatenada!$D:$D, MATCH(1, (AsistenciaJetAdminConcatenada!$A:$A=DO$2)*(AsistenciaJetAdminConcatenada!$B:$B=DO$1), 0)), 1))),  0.5, 0))</f>
        <v>0</v>
      </c>
      <c r="DP8" s="47">
        <f t="array" ref="DP8">IF(AND(ISNUMBER(MATCH(DP$2, AsistenciaJetAdminConcatenada!$A:$A, 0)), ISNUMBER(MATCH(DP$1, AsistenciaJetAdminConcatenada!$B:$B, 0)), ISNUMBER(SEARCH($A8,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ISNUMBER(SEARCH($A8, INDEX(AsistenciaJetAdminConcatenada!$D:$D, MATCH(1, (AsistenciaJetAdminConcatenada!$A:$A=DP$2)*(AsistenciaJetAdminConcatenada!$B:$B=DP$1), 0)), 1))),  0.5, 0))</f>
        <v>0</v>
      </c>
      <c r="DQ8" s="47">
        <f t="array" ref="DQ8">IF(AND(ISNUMBER(MATCH(DQ$2, AsistenciaJetAdminConcatenada!$A:$A, 0)), ISNUMBER(MATCH(DQ$1, AsistenciaJetAdminConcatenada!$B:$B, 0)), ISNUMBER(SEARCH($A8,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ISNUMBER(SEARCH($A8, INDEX(AsistenciaJetAdminConcatenada!$D:$D, MATCH(1, (AsistenciaJetAdminConcatenada!$A:$A=DQ$2)*(AsistenciaJetAdminConcatenada!$B:$B=DQ$1), 0)), 1))),  0.5, 0))</f>
        <v>0</v>
      </c>
      <c r="DR8" s="47">
        <f t="array" ref="DR8">IF(AND(ISNUMBER(MATCH(DR$2, AsistenciaJetAdminConcatenada!$A:$A, 0)), ISNUMBER(MATCH(DR$1, AsistenciaJetAdminConcatenada!$B:$B, 0)), ISNUMBER(SEARCH($A8,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ISNUMBER(SEARCH($A8, INDEX(AsistenciaJetAdminConcatenada!$D:$D, MATCH(1, (AsistenciaJetAdminConcatenada!$A:$A=DR$2)*(AsistenciaJetAdminConcatenada!$B:$B=DR$1), 0)), 1))),  0.5, 0))</f>
        <v>0</v>
      </c>
      <c r="DS8" s="47">
        <f t="array" ref="DS8">IF(AND(ISNUMBER(MATCH(DS$2, AsistenciaJetAdminConcatenada!$A:$A, 0)), ISNUMBER(MATCH(DS$1, AsistenciaJetAdminConcatenada!$B:$B, 0)), ISNUMBER(SEARCH($A8,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ISNUMBER(SEARCH($A8, INDEX(AsistenciaJetAdminConcatenada!$D:$D, MATCH(1, (AsistenciaJetAdminConcatenada!$A:$A=DS$2)*(AsistenciaJetAdminConcatenada!$B:$B=DS$1), 0)), 1))),  0.5, 0))</f>
        <v>0</v>
      </c>
      <c r="DT8" s="47">
        <f t="array" ref="DT8">IF(AND(ISNUMBER(MATCH(DT$2, AsistenciaJetAdminConcatenada!$A:$A, 0)), ISNUMBER(MATCH(DT$1, AsistenciaJetAdminConcatenada!$B:$B, 0)), ISNUMBER(SEARCH($A8,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ISNUMBER(SEARCH($A8, INDEX(AsistenciaJetAdminConcatenada!$D:$D, MATCH(1, (AsistenciaJetAdminConcatenada!$A:$A=DT$2)*(AsistenciaJetAdminConcatenada!$B:$B=DT$1), 0)), 1))),  0.5, 0))</f>
        <v>0</v>
      </c>
      <c r="DU8" s="47">
        <f t="array" ref="DU8">IF(AND(ISNUMBER(MATCH(DU$2, AsistenciaJetAdminConcatenada!$A:$A, 0)), ISNUMBER(MATCH(DU$1, AsistenciaJetAdminConcatenada!$B:$B, 0)), ISNUMBER(SEARCH($A8,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ISNUMBER(SEARCH($A8, INDEX(AsistenciaJetAdminConcatenada!$D:$D, MATCH(1, (AsistenciaJetAdminConcatenada!$A:$A=DU$2)*(AsistenciaJetAdminConcatenada!$B:$B=DU$1), 0)), 1))),  0.5, 0))</f>
        <v>0</v>
      </c>
      <c r="DV8" s="47">
        <f t="array" ref="DV8">IF(AND(ISNUMBER(MATCH(DV$2, AsistenciaJetAdminConcatenada!$A:$A, 0)), ISNUMBER(MATCH(DV$1, AsistenciaJetAdminConcatenada!$B:$B, 0)), ISNUMBER(SEARCH($A8,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ISNUMBER(SEARCH($A8, INDEX(AsistenciaJetAdminConcatenada!$D:$D, MATCH(1, (AsistenciaJetAdminConcatenada!$A:$A=DV$2)*(AsistenciaJetAdminConcatenada!$B:$B=DV$1), 0)), 1))),  0.5, 0))</f>
        <v>0</v>
      </c>
      <c r="DW8" s="47">
        <f t="array" ref="DW8">IF(AND(ISNUMBER(MATCH(DW$2, AsistenciaJetAdminConcatenada!$A:$A, 0)), ISNUMBER(MATCH(DW$1, AsistenciaJetAdminConcatenada!$B:$B, 0)), ISNUMBER(SEARCH($A8,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ISNUMBER(SEARCH($A8, INDEX(AsistenciaJetAdminConcatenada!$D:$D, MATCH(1, (AsistenciaJetAdminConcatenada!$A:$A=DW$2)*(AsistenciaJetAdminConcatenada!$B:$B=DW$1), 0)), 1))),  0.5, 0))</f>
        <v>0</v>
      </c>
      <c r="DX8" s="47">
        <f t="array" ref="DX8">IF(AND(ISNUMBER(MATCH(DX$2, AsistenciaJetAdminConcatenada!$A:$A, 0)), ISNUMBER(MATCH(DX$1, AsistenciaJetAdminConcatenada!$B:$B, 0)), ISNUMBER(SEARCH($A8,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ISNUMBER(SEARCH($A8, INDEX(AsistenciaJetAdminConcatenada!$D:$D, MATCH(1, (AsistenciaJetAdminConcatenada!$A:$A=DX$2)*(AsistenciaJetAdminConcatenada!$B:$B=DX$1), 0)), 1))),  0.5, 0))</f>
        <v>0</v>
      </c>
      <c r="DY8" s="47">
        <f t="array" ref="DY8">IF(AND(ISNUMBER(MATCH(DY$2, AsistenciaJetAdminConcatenada!$A:$A, 0)), ISNUMBER(MATCH(DY$1, AsistenciaJetAdminConcatenada!$B:$B, 0)), ISNUMBER(SEARCH($A8,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ISNUMBER(SEARCH($A8, INDEX(AsistenciaJetAdminConcatenada!$D:$D, MATCH(1, (AsistenciaJetAdminConcatenada!$A:$A=DY$2)*(AsistenciaJetAdminConcatenada!$B:$B=DY$1), 0)), 1))),  0.5, 0))</f>
        <v>0</v>
      </c>
      <c r="DZ8" s="47">
        <f t="array" ref="DZ8">IF(AND(ISNUMBER(MATCH(DZ$2, AsistenciaJetAdminConcatenada!$A:$A, 0)), ISNUMBER(MATCH(DZ$1, AsistenciaJetAdminConcatenada!$B:$B, 0)), ISNUMBER(SEARCH($A8,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ISNUMBER(SEARCH($A8, INDEX(AsistenciaJetAdminConcatenada!$D:$D, MATCH(1, (AsistenciaJetAdminConcatenada!$A:$A=DZ$2)*(AsistenciaJetAdminConcatenada!$B:$B=DZ$1), 0)), 1))),  0.5, 0))</f>
        <v>0</v>
      </c>
      <c r="EA8" s="47">
        <f t="array" ref="EA8">IF(AND(ISNUMBER(MATCH(EA$2, AsistenciaJetAdminConcatenada!$A:$A, 0)), ISNUMBER(MATCH(EA$1, AsistenciaJetAdminConcatenada!$B:$B, 0)), ISNUMBER(SEARCH($A8,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ISNUMBER(SEARCH($A8, INDEX(AsistenciaJetAdminConcatenada!$D:$D, MATCH(1, (AsistenciaJetAdminConcatenada!$A:$A=EA$2)*(AsistenciaJetAdminConcatenada!$B:$B=EA$1), 0)), 1))),  0.5, 0))</f>
        <v>0</v>
      </c>
      <c r="EB8" s="47">
        <f t="array" ref="EB8">IF(AND(ISNUMBER(MATCH(EB$2, AsistenciaJetAdminConcatenada!$A:$A, 0)), ISNUMBER(MATCH(EB$1, AsistenciaJetAdminConcatenada!$B:$B, 0)), ISNUMBER(SEARCH($A8,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ISNUMBER(SEARCH($A8, INDEX(AsistenciaJetAdminConcatenada!$D:$D, MATCH(1, (AsistenciaJetAdminConcatenada!$A:$A=EB$2)*(AsistenciaJetAdminConcatenada!$B:$B=EB$1), 0)), 1))),  0.5, 0))</f>
        <v>0</v>
      </c>
      <c r="EC8" s="47">
        <f t="array" ref="EC8">IF(AND(ISNUMBER(MATCH(EC$2, AsistenciaJetAdminConcatenada!$A:$A, 0)), ISNUMBER(MATCH(EC$1, AsistenciaJetAdminConcatenada!$B:$B, 0)), ISNUMBER(SEARCH($A8,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ISNUMBER(SEARCH($A8, INDEX(AsistenciaJetAdminConcatenada!$D:$D, MATCH(1, (AsistenciaJetAdminConcatenada!$A:$A=EC$2)*(AsistenciaJetAdminConcatenada!$B:$B=EC$1), 0)), 1))),  0.5, 0))</f>
        <v>0</v>
      </c>
      <c r="ED8" s="47">
        <f t="array" ref="ED8">IF(AND(ISNUMBER(MATCH(ED$2, AsistenciaJetAdminConcatenada!$A:$A, 0)), ISNUMBER(MATCH(ED$1, AsistenciaJetAdminConcatenada!$B:$B, 0)), ISNUMBER(SEARCH($A8,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ISNUMBER(SEARCH($A8, INDEX(AsistenciaJetAdminConcatenada!$D:$D, MATCH(1, (AsistenciaJetAdminConcatenada!$A:$A=ED$2)*(AsistenciaJetAdminConcatenada!$B:$B=ED$1), 0)), 1))),  0.5, 0))</f>
        <v>0</v>
      </c>
      <c r="EE8" s="47">
        <f t="array" ref="EE8">IF(AND(ISNUMBER(MATCH(EE$2, AsistenciaJetAdminConcatenada!$A:$A, 0)), ISNUMBER(MATCH(EE$1, AsistenciaJetAdminConcatenada!$B:$B, 0)), ISNUMBER(SEARCH($A8,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ISNUMBER(SEARCH($A8, INDEX(AsistenciaJetAdminConcatenada!$D:$D, MATCH(1, (AsistenciaJetAdminConcatenada!$A:$A=EE$2)*(AsistenciaJetAdminConcatenada!$B:$B=EE$1), 0)), 1))),  0.5, 0))</f>
        <v>0</v>
      </c>
      <c r="EF8" s="47">
        <f t="array" ref="EF8">IF(AND(ISNUMBER(MATCH(EF$2, AsistenciaJetAdminConcatenada!$A:$A, 0)), ISNUMBER(MATCH(EF$1, AsistenciaJetAdminConcatenada!$B:$B, 0)), ISNUMBER(SEARCH($A8,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ISNUMBER(SEARCH($A8, INDEX(AsistenciaJetAdminConcatenada!$D:$D, MATCH(1, (AsistenciaJetAdminConcatenada!$A:$A=EF$2)*(AsistenciaJetAdminConcatenada!$B:$B=EF$1), 0)), 1))),  0.5, 0))</f>
        <v>0</v>
      </c>
      <c r="EG8" s="47">
        <f t="array" ref="EG8">IF(AND(ISNUMBER(MATCH(EG$2, AsistenciaJetAdminConcatenada!$A:$A, 0)), ISNUMBER(MATCH(EG$1, AsistenciaJetAdminConcatenada!$B:$B, 0)), ISNUMBER(SEARCH($A8,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ISNUMBER(SEARCH($A8, INDEX(AsistenciaJetAdminConcatenada!$D:$D, MATCH(1, (AsistenciaJetAdminConcatenada!$A:$A=EG$2)*(AsistenciaJetAdminConcatenada!$B:$B=EG$1), 0)), 1))),  0.5, 0))</f>
        <v>0</v>
      </c>
      <c r="EH8" s="47">
        <f t="array" ref="EH8">IF(AND(ISNUMBER(MATCH(EH$2, AsistenciaJetAdminConcatenada!$A:$A, 0)), ISNUMBER(MATCH(EH$1, AsistenciaJetAdminConcatenada!$B:$B, 0)), ISNUMBER(SEARCH($A8,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ISNUMBER(SEARCH($A8, INDEX(AsistenciaJetAdminConcatenada!$D:$D, MATCH(1, (AsistenciaJetAdminConcatenada!$A:$A=EH$2)*(AsistenciaJetAdminConcatenada!$B:$B=EH$1), 0)), 1))),  0.5, 0))</f>
        <v>0</v>
      </c>
      <c r="EI8" s="47">
        <f t="array" ref="EI8">IF(AND(ISNUMBER(MATCH(EI$2, AsistenciaJetAdminConcatenada!$A:$A, 0)), ISNUMBER(MATCH(EI$1, AsistenciaJetAdminConcatenada!$B:$B, 0)), ISNUMBER(SEARCH($A8,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ISNUMBER(SEARCH($A8, INDEX(AsistenciaJetAdminConcatenada!$D:$D, MATCH(1, (AsistenciaJetAdminConcatenada!$A:$A=EI$2)*(AsistenciaJetAdminConcatenada!$B:$B=EI$1), 0)), 1))),  0.5, 0))</f>
        <v>0</v>
      </c>
      <c r="EJ8" s="47">
        <f t="array" ref="EJ8">IF(AND(ISNUMBER(MATCH(EJ$2, AsistenciaJetAdminConcatenada!$A:$A, 0)), ISNUMBER(MATCH(EJ$1, AsistenciaJetAdminConcatenada!$B:$B, 0)), ISNUMBER(SEARCH($A8,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ISNUMBER(SEARCH($A8, INDEX(AsistenciaJetAdminConcatenada!$D:$D, MATCH(1, (AsistenciaJetAdminConcatenada!$A:$A=EJ$2)*(AsistenciaJetAdminConcatenada!$B:$B=EJ$1), 0)), 1))),  0.5, 0))</f>
        <v>0</v>
      </c>
      <c r="EK8" s="47">
        <f t="array" ref="EK8">IF(AND(ISNUMBER(MATCH(EK$2, AsistenciaJetAdminConcatenada!$A:$A, 0)), ISNUMBER(MATCH(EK$1, AsistenciaJetAdminConcatenada!$B:$B, 0)), ISNUMBER(SEARCH($A8,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ISNUMBER(SEARCH($A8, INDEX(AsistenciaJetAdminConcatenada!$D:$D, MATCH(1, (AsistenciaJetAdminConcatenada!$A:$A=EK$2)*(AsistenciaJetAdminConcatenada!$B:$B=EK$1), 0)), 1))),  0.5, 0))</f>
        <v>0</v>
      </c>
      <c r="EL8" s="47">
        <f t="array" ref="EL8">IF(AND(ISNUMBER(MATCH(EL$2, AsistenciaJetAdminConcatenada!$A:$A, 0)), ISNUMBER(MATCH(EL$1, AsistenciaJetAdminConcatenada!$B:$B, 0)), ISNUMBER(SEARCH($A8,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ISNUMBER(SEARCH($A8, INDEX(AsistenciaJetAdminConcatenada!$D:$D, MATCH(1, (AsistenciaJetAdminConcatenada!$A:$A=EL$2)*(AsistenciaJetAdminConcatenada!$B:$B=EL$1), 0)), 1))),  0.5, 0))</f>
        <v>0</v>
      </c>
      <c r="EM8" s="47">
        <f t="array" ref="EM8">IF(AND(ISNUMBER(MATCH(EM$2, AsistenciaJetAdminConcatenada!$A:$A, 0)), ISNUMBER(MATCH(EM$1, AsistenciaJetAdminConcatenada!$B:$B, 0)), ISNUMBER(SEARCH($A8,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ISNUMBER(SEARCH($A8, INDEX(AsistenciaJetAdminConcatenada!$D:$D, MATCH(1, (AsistenciaJetAdminConcatenada!$A:$A=EM$2)*(AsistenciaJetAdminConcatenada!$B:$B=EM$1), 0)), 1))),  0.5, 0))</f>
        <v>0</v>
      </c>
      <c r="EN8" s="47">
        <f t="array" ref="EN8">IF(AND(ISNUMBER(MATCH(EN$2, AsistenciaJetAdminConcatenada!$A:$A, 0)), ISNUMBER(MATCH(EN$1, AsistenciaJetAdminConcatenada!$B:$B, 0)), ISNUMBER(SEARCH($A8,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ISNUMBER(SEARCH($A8, INDEX(AsistenciaJetAdminConcatenada!$D:$D, MATCH(1, (AsistenciaJetAdminConcatenada!$A:$A=EN$2)*(AsistenciaJetAdminConcatenada!$B:$B=EN$1), 0)), 1))),  0.5, 0))</f>
        <v>0</v>
      </c>
      <c r="EO8" s="47">
        <f t="array" ref="EO8">IF(AND(ISNUMBER(MATCH(EO$2, AsistenciaJetAdminConcatenada!$A:$A, 0)), ISNUMBER(MATCH(EO$1, AsistenciaJetAdminConcatenada!$B:$B, 0)), ISNUMBER(SEARCH($A8,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ISNUMBER(SEARCH($A8, INDEX(AsistenciaJetAdminConcatenada!$D:$D, MATCH(1, (AsistenciaJetAdminConcatenada!$A:$A=EO$2)*(AsistenciaJetAdminConcatenada!$B:$B=EO$1), 0)), 1))),  0.5, 0))</f>
        <v>0</v>
      </c>
      <c r="EP8" s="47">
        <f t="array" ref="EP8">IF(AND(ISNUMBER(MATCH(EP$2, AsistenciaJetAdminConcatenada!$A:$A, 0)), ISNUMBER(MATCH(EP$1, AsistenciaJetAdminConcatenada!$B:$B, 0)), ISNUMBER(SEARCH($A8,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ISNUMBER(SEARCH($A8, INDEX(AsistenciaJetAdminConcatenada!$D:$D, MATCH(1, (AsistenciaJetAdminConcatenada!$A:$A=EP$2)*(AsistenciaJetAdminConcatenada!$B:$B=EP$1), 0)), 1))),  0.5, 0))</f>
        <v>0</v>
      </c>
      <c r="EQ8" s="47">
        <f t="array" ref="EQ8">IF(AND(ISNUMBER(MATCH(EQ$2, AsistenciaJetAdminConcatenada!$A:$A, 0)), ISNUMBER(MATCH(EQ$1, AsistenciaJetAdminConcatenada!$B:$B, 0)), ISNUMBER(SEARCH($A8,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ISNUMBER(SEARCH($A8, INDEX(AsistenciaJetAdminConcatenada!$D:$D, MATCH(1, (AsistenciaJetAdminConcatenada!$A:$A=EQ$2)*(AsistenciaJetAdminConcatenada!$B:$B=EQ$1), 0)), 1))),  0.5, 0))</f>
        <v>0</v>
      </c>
      <c r="ER8" s="47">
        <f t="array" ref="ER8">IF(AND(ISNUMBER(MATCH(ER$2, AsistenciaJetAdminConcatenada!$A:$A, 0)), ISNUMBER(MATCH(ER$1, AsistenciaJetAdminConcatenada!$B:$B, 0)), ISNUMBER(SEARCH($A8,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ISNUMBER(SEARCH($A8, INDEX(AsistenciaJetAdminConcatenada!$D:$D, MATCH(1, (AsistenciaJetAdminConcatenada!$A:$A=ER$2)*(AsistenciaJetAdminConcatenada!$B:$B=ER$1), 0)), 1))),  0.5, 0))</f>
        <v>0</v>
      </c>
      <c r="ES8" s="47">
        <f t="array" ref="ES8">IF(AND(ISNUMBER(MATCH(ES$2, AsistenciaJetAdminConcatenada!$A:$A, 0)), ISNUMBER(MATCH(ES$1, AsistenciaJetAdminConcatenada!$B:$B, 0)), ISNUMBER(SEARCH($A8,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ISNUMBER(SEARCH($A8, INDEX(AsistenciaJetAdminConcatenada!$D:$D, MATCH(1, (AsistenciaJetAdminConcatenada!$A:$A=ES$2)*(AsistenciaJetAdminConcatenada!$B:$B=ES$1), 0)), 1))),  0.5, 0))</f>
        <v>0</v>
      </c>
      <c r="ET8" s="47">
        <f t="array" ref="ET8">IF(AND(ISNUMBER(MATCH(ET$2, AsistenciaJetAdminConcatenada!$A:$A, 0)), ISNUMBER(MATCH(ET$1, AsistenciaJetAdminConcatenada!$B:$B, 0)), ISNUMBER(SEARCH($A8,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ISNUMBER(SEARCH($A8, INDEX(AsistenciaJetAdminConcatenada!$D:$D, MATCH(1, (AsistenciaJetAdminConcatenada!$A:$A=ET$2)*(AsistenciaJetAdminConcatenada!$B:$B=ET$1), 0)), 1))),  0.5, 0))</f>
        <v>0</v>
      </c>
      <c r="EU8" s="47">
        <f t="array" ref="EU8">IF(AND(ISNUMBER(MATCH(EU$2, AsistenciaJetAdminConcatenada!$A:$A, 0)), ISNUMBER(MATCH(EU$1, AsistenciaJetAdminConcatenada!$B:$B, 0)), ISNUMBER(SEARCH($A8,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ISNUMBER(SEARCH($A8, INDEX(AsistenciaJetAdminConcatenada!$D:$D, MATCH(1, (AsistenciaJetAdminConcatenada!$A:$A=EU$2)*(AsistenciaJetAdminConcatenada!$B:$B=EU$1), 0)), 1))),  0.5, 0))</f>
        <v>0</v>
      </c>
      <c r="EV8" s="47">
        <f t="array" ref="EV8">IF(AND(ISNUMBER(MATCH(EV$2, AsistenciaJetAdminConcatenada!$A:$A, 0)), ISNUMBER(MATCH(EV$1, AsistenciaJetAdminConcatenada!$B:$B, 0)), ISNUMBER(SEARCH($A8,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ISNUMBER(SEARCH($A8, INDEX(AsistenciaJetAdminConcatenada!$D:$D, MATCH(1, (AsistenciaJetAdminConcatenada!$A:$A=EV$2)*(AsistenciaJetAdminConcatenada!$B:$B=EV$1), 0)), 1))),  0.5, 0))</f>
        <v>0</v>
      </c>
      <c r="EW8" s="47">
        <f t="array" ref="EW8">IF(AND(ISNUMBER(MATCH(EW$2, AsistenciaJetAdminConcatenada!$A:$A, 0)), ISNUMBER(MATCH(EW$1, AsistenciaJetAdminConcatenada!$B:$B, 0)), ISNUMBER(SEARCH($A8,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ISNUMBER(SEARCH($A8, INDEX(AsistenciaJetAdminConcatenada!$D:$D, MATCH(1, (AsistenciaJetAdminConcatenada!$A:$A=EW$2)*(AsistenciaJetAdminConcatenada!$B:$B=EW$1), 0)), 1))),  0.5, 0))</f>
        <v>0</v>
      </c>
      <c r="EX8" s="47">
        <f t="array" ref="EX8">IF(AND(ISNUMBER(MATCH(EX$2, AsistenciaJetAdminConcatenada!$A:$A, 0)), ISNUMBER(MATCH(EX$1, AsistenciaJetAdminConcatenada!$B:$B, 0)), ISNUMBER(SEARCH($A8,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ISNUMBER(SEARCH($A8, INDEX(AsistenciaJetAdminConcatenada!$D:$D, MATCH(1, (AsistenciaJetAdminConcatenada!$A:$A=EX$2)*(AsistenciaJetAdminConcatenada!$B:$B=EX$1), 0)), 1))),  0.5, 0))</f>
        <v>0</v>
      </c>
      <c r="EY8" s="47">
        <f t="array" ref="EY8">IF(AND(ISNUMBER(MATCH(EY$2, AsistenciaJetAdminConcatenada!$A:$A, 0)), ISNUMBER(MATCH(EY$1, AsistenciaJetAdminConcatenada!$B:$B, 0)), ISNUMBER(SEARCH($A8,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ISNUMBER(SEARCH($A8, INDEX(AsistenciaJetAdminConcatenada!$D:$D, MATCH(1, (AsistenciaJetAdminConcatenada!$A:$A=EY$2)*(AsistenciaJetAdminConcatenada!$B:$B=EY$1), 0)), 1))),  0.5, 0))</f>
        <v>0</v>
      </c>
      <c r="EZ8" s="47">
        <f t="array" ref="EZ8">IF(AND(ISNUMBER(MATCH(EZ$2, AsistenciaJetAdminConcatenada!$A:$A, 0)), ISNUMBER(MATCH(EZ$1, AsistenciaJetAdminConcatenada!$B:$B, 0)), ISNUMBER(SEARCH($A8,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ISNUMBER(SEARCH($A8, INDEX(AsistenciaJetAdminConcatenada!$D:$D, MATCH(1, (AsistenciaJetAdminConcatenada!$A:$A=EZ$2)*(AsistenciaJetAdminConcatenada!$B:$B=EZ$1), 0)), 1))),  0.5, 0))</f>
        <v>0</v>
      </c>
      <c r="FA8" s="47">
        <f t="array" ref="FA8">IF(AND(ISNUMBER(MATCH(FA$2, AsistenciaJetAdminConcatenada!$A:$A, 0)), ISNUMBER(MATCH(FA$1, AsistenciaJetAdminConcatenada!$B:$B, 0)), ISNUMBER(SEARCH($A8,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ISNUMBER(SEARCH($A8, INDEX(AsistenciaJetAdminConcatenada!$D:$D, MATCH(1, (AsistenciaJetAdminConcatenada!$A:$A=FA$2)*(AsistenciaJetAdminConcatenada!$B:$B=FA$1), 0)), 1))),  0.5, 0))</f>
        <v>0</v>
      </c>
      <c r="FB8" s="47">
        <f t="array" ref="FB8">IF(AND(ISNUMBER(MATCH(FB$2, AsistenciaJetAdminConcatenada!$A:$A, 0)), ISNUMBER(MATCH(FB$1, AsistenciaJetAdminConcatenada!$B:$B, 0)), ISNUMBER(SEARCH($A8,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ISNUMBER(SEARCH($A8, INDEX(AsistenciaJetAdminConcatenada!$D:$D, MATCH(1, (AsistenciaJetAdminConcatenada!$A:$A=FB$2)*(AsistenciaJetAdminConcatenada!$B:$B=FB$1), 0)), 1))),  0.5, 0))</f>
        <v>0</v>
      </c>
      <c r="FC8" s="47">
        <f t="array" ref="FC8">IF(AND(ISNUMBER(MATCH(FC$2, AsistenciaJetAdminConcatenada!$A:$A, 0)), ISNUMBER(MATCH(FC$1, AsistenciaJetAdminConcatenada!$B:$B, 0)), ISNUMBER(SEARCH($A8,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ISNUMBER(SEARCH($A8, INDEX(AsistenciaJetAdminConcatenada!$D:$D, MATCH(1, (AsistenciaJetAdminConcatenada!$A:$A=FC$2)*(AsistenciaJetAdminConcatenada!$B:$B=FC$1), 0)), 1))),  0.5, 0))</f>
        <v>0</v>
      </c>
      <c r="FD8" s="47">
        <f t="array" ref="FD8">IF(AND(ISNUMBER(MATCH(FD$2, AsistenciaJetAdminConcatenada!$A:$A, 0)), ISNUMBER(MATCH(FD$1, AsistenciaJetAdminConcatenada!$B:$B, 0)), ISNUMBER(SEARCH($A8,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ISNUMBER(SEARCH($A8, INDEX(AsistenciaJetAdminConcatenada!$D:$D, MATCH(1, (AsistenciaJetAdminConcatenada!$A:$A=FD$2)*(AsistenciaJetAdminConcatenada!$B:$B=FD$1), 0)), 1))),  0.5, 0))</f>
        <v>0</v>
      </c>
      <c r="FE8" s="47">
        <f t="array" ref="FE8">IF(AND(ISNUMBER(MATCH(FE$2, AsistenciaJetAdminConcatenada!$A:$A, 0)), ISNUMBER(MATCH(FE$1, AsistenciaJetAdminConcatenada!$B:$B, 0)), ISNUMBER(SEARCH($A8,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ISNUMBER(SEARCH($A8, INDEX(AsistenciaJetAdminConcatenada!$D:$D, MATCH(1, (AsistenciaJetAdminConcatenada!$A:$A=FE$2)*(AsistenciaJetAdminConcatenada!$B:$B=FE$1), 0)), 1))),  0.5, 0))</f>
        <v>0</v>
      </c>
      <c r="FF8" s="47">
        <f t="array" ref="FF8">IF(AND(ISNUMBER(MATCH(FF$2, AsistenciaJetAdminConcatenada!$A:$A, 0)), ISNUMBER(MATCH(FF$1, AsistenciaJetAdminConcatenada!$B:$B, 0)), ISNUMBER(SEARCH($A8,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ISNUMBER(SEARCH($A8, INDEX(AsistenciaJetAdminConcatenada!$D:$D, MATCH(1, (AsistenciaJetAdminConcatenada!$A:$A=FF$2)*(AsistenciaJetAdminConcatenada!$B:$B=FF$1), 0)), 1))),  0.5, 0))</f>
        <v>0</v>
      </c>
      <c r="FG8" s="47">
        <f t="array" ref="FG8">IF(AND(ISNUMBER(MATCH(FG$2, AsistenciaJetAdminConcatenada!$A:$A, 0)), ISNUMBER(MATCH(FG$1, AsistenciaJetAdminConcatenada!$B:$B, 0)), ISNUMBER(SEARCH($A8,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ISNUMBER(SEARCH($A8, INDEX(AsistenciaJetAdminConcatenada!$D:$D, MATCH(1, (AsistenciaJetAdminConcatenada!$A:$A=FG$2)*(AsistenciaJetAdminConcatenada!$B:$B=FG$1), 0)), 1))),  0.5, 0))</f>
        <v>0</v>
      </c>
      <c r="FH8" s="47">
        <f t="array" ref="FH8">IF(AND(ISNUMBER(MATCH(FH$2, AsistenciaJetAdminConcatenada!$A:$A, 0)), ISNUMBER(MATCH(FH$1, AsistenciaJetAdminConcatenada!$B:$B, 0)), ISNUMBER(SEARCH($A8,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ISNUMBER(SEARCH($A8, INDEX(AsistenciaJetAdminConcatenada!$D:$D, MATCH(1, (AsistenciaJetAdminConcatenada!$A:$A=FH$2)*(AsistenciaJetAdminConcatenada!$B:$B=FH$1), 0)), 1))),  0.5, 0))</f>
        <v>0</v>
      </c>
      <c r="FI8" s="47">
        <f t="array" ref="FI8">IF(AND(ISNUMBER(MATCH(FI$2, AsistenciaJetAdminConcatenada!$A:$A, 0)), ISNUMBER(MATCH(FI$1, AsistenciaJetAdminConcatenada!$B:$B, 0)), ISNUMBER(SEARCH($A8,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ISNUMBER(SEARCH($A8, INDEX(AsistenciaJetAdminConcatenada!$D:$D, MATCH(1, (AsistenciaJetAdminConcatenada!$A:$A=FI$2)*(AsistenciaJetAdminConcatenada!$B:$B=FI$1), 0)), 1))),  0.5, 0))</f>
        <v>0</v>
      </c>
      <c r="FJ8" s="47">
        <f t="array" ref="FJ8">IF(AND(ISNUMBER(MATCH(FJ$2, AsistenciaJetAdminConcatenada!$A:$A, 0)), ISNUMBER(MATCH(FJ$1, AsistenciaJetAdminConcatenada!$B:$B, 0)), ISNUMBER(SEARCH($A8,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ISNUMBER(SEARCH($A8, INDEX(AsistenciaJetAdminConcatenada!$D:$D, MATCH(1, (AsistenciaJetAdminConcatenada!$A:$A=FJ$2)*(AsistenciaJetAdminConcatenada!$B:$B=FJ$1), 0)), 1))),  0.5, 0))</f>
        <v>0</v>
      </c>
      <c r="FK8" s="47">
        <f t="array" ref="FK8">IF(AND(ISNUMBER(MATCH(FK$2, AsistenciaJetAdminConcatenada!$A:$A, 0)), ISNUMBER(MATCH(FK$1, AsistenciaJetAdminConcatenada!$B:$B, 0)), ISNUMBER(SEARCH($A8,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ISNUMBER(SEARCH($A8, INDEX(AsistenciaJetAdminConcatenada!$D:$D, MATCH(1, (AsistenciaJetAdminConcatenada!$A:$A=FK$2)*(AsistenciaJetAdminConcatenada!$B:$B=FK$1), 0)), 1))),  0.5, 0))</f>
        <v>0</v>
      </c>
      <c r="FL8" s="47">
        <f t="array" ref="FL8">IF(AND(ISNUMBER(MATCH(FL$2, AsistenciaJetAdminConcatenada!$A:$A, 0)), ISNUMBER(MATCH(FL$1, AsistenciaJetAdminConcatenada!$B:$B, 0)), ISNUMBER(SEARCH($A8,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ISNUMBER(SEARCH($A8, INDEX(AsistenciaJetAdminConcatenada!$D:$D, MATCH(1, (AsistenciaJetAdminConcatenada!$A:$A=FL$2)*(AsistenciaJetAdminConcatenada!$B:$B=FL$1), 0)), 1))),  0.5, 0))</f>
        <v>0</v>
      </c>
      <c r="FM8" s="47">
        <f t="array" ref="FM8">IF(AND(ISNUMBER(MATCH(FM$2, AsistenciaJetAdminConcatenada!$A:$A, 0)), ISNUMBER(MATCH(FM$1, AsistenciaJetAdminConcatenada!$B:$B, 0)), ISNUMBER(SEARCH($A8,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ISNUMBER(SEARCH($A8, INDEX(AsistenciaJetAdminConcatenada!$D:$D, MATCH(1, (AsistenciaJetAdminConcatenada!$A:$A=FM$2)*(AsistenciaJetAdminConcatenada!$B:$B=FM$1), 0)), 1))),  0.5, 0))</f>
        <v>0</v>
      </c>
      <c r="FN8" s="47">
        <f t="array" ref="FN8">IF(AND(ISNUMBER(MATCH(FN$2, AsistenciaJetAdminConcatenada!$A:$A, 0)), ISNUMBER(MATCH(FN$1, AsistenciaJetAdminConcatenada!$B:$B, 0)), ISNUMBER(SEARCH($A8,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ISNUMBER(SEARCH($A8, INDEX(AsistenciaJetAdminConcatenada!$D:$D, MATCH(1, (AsistenciaJetAdminConcatenada!$A:$A=FN$2)*(AsistenciaJetAdminConcatenada!$B:$B=FN$1), 0)), 1))),  0.5, 0))</f>
        <v>0</v>
      </c>
      <c r="FO8" s="47">
        <f t="array" ref="FO8">IF(AND(ISNUMBER(MATCH(FO$2, AsistenciaJetAdminConcatenada!$A:$A, 0)), ISNUMBER(MATCH(FO$1, AsistenciaJetAdminConcatenada!$B:$B, 0)), ISNUMBER(SEARCH($A8,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ISNUMBER(SEARCH($A8, INDEX(AsistenciaJetAdminConcatenada!$D:$D, MATCH(1, (AsistenciaJetAdminConcatenada!$A:$A=FO$2)*(AsistenciaJetAdminConcatenada!$B:$B=FO$1), 0)), 1))),  0.5, 0))</f>
        <v>0</v>
      </c>
      <c r="FP8" s="47">
        <f t="array" ref="FP8">IF(AND(ISNUMBER(MATCH(FP$2, AsistenciaJetAdminConcatenada!$A:$A, 0)), ISNUMBER(MATCH(FP$1, AsistenciaJetAdminConcatenada!$B:$B, 0)), ISNUMBER(SEARCH($A8,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ISNUMBER(SEARCH($A8, INDEX(AsistenciaJetAdminConcatenada!$D:$D, MATCH(1, (AsistenciaJetAdminConcatenada!$A:$A=FP$2)*(AsistenciaJetAdminConcatenada!$B:$B=FP$1), 0)), 1))),  0.5, 0))</f>
        <v>0</v>
      </c>
      <c r="FQ8" s="47">
        <f t="array" ref="FQ8">IF(AND(ISNUMBER(MATCH(FQ$2, AsistenciaJetAdminConcatenada!$A:$A, 0)), ISNUMBER(MATCH(FQ$1, AsistenciaJetAdminConcatenada!$B:$B, 0)), ISNUMBER(SEARCH($A8,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ISNUMBER(SEARCH($A8, INDEX(AsistenciaJetAdminConcatenada!$D:$D, MATCH(1, (AsistenciaJetAdminConcatenada!$A:$A=FQ$2)*(AsistenciaJetAdminConcatenada!$B:$B=FQ$1), 0)), 1))),  0.5, 0))</f>
        <v>0</v>
      </c>
      <c r="FR8" s="47">
        <f t="array" ref="FR8">IF(AND(ISNUMBER(MATCH(FR$2, AsistenciaJetAdminConcatenada!$A:$A, 0)), ISNUMBER(MATCH(FR$1, AsistenciaJetAdminConcatenada!$B:$B, 0)), ISNUMBER(SEARCH($A8,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ISNUMBER(SEARCH($A8, INDEX(AsistenciaJetAdminConcatenada!$D:$D, MATCH(1, (AsistenciaJetAdminConcatenada!$A:$A=FR$2)*(AsistenciaJetAdminConcatenada!$B:$B=FR$1), 0)), 1))),  0.5, 0))</f>
        <v>0</v>
      </c>
      <c r="FS8" s="47">
        <f t="array" ref="FS8">IF(AND(ISNUMBER(MATCH(FS$2, AsistenciaJetAdminConcatenada!$A:$A, 0)), ISNUMBER(MATCH(FS$1, AsistenciaJetAdminConcatenada!$B:$B, 0)), ISNUMBER(SEARCH($A8,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ISNUMBER(SEARCH($A8, INDEX(AsistenciaJetAdminConcatenada!$D:$D, MATCH(1, (AsistenciaJetAdminConcatenada!$A:$A=FS$2)*(AsistenciaJetAdminConcatenada!$B:$B=FS$1), 0)), 1))),  0.5, 0))</f>
        <v>0</v>
      </c>
      <c r="FT8" s="47">
        <f t="array" ref="FT8">IF(AND(ISNUMBER(MATCH(FT$2, AsistenciaJetAdminConcatenada!$A:$A, 0)), ISNUMBER(MATCH(FT$1, AsistenciaJetAdminConcatenada!$B:$B, 0)), ISNUMBER(SEARCH($A8,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ISNUMBER(SEARCH($A8, INDEX(AsistenciaJetAdminConcatenada!$D:$D, MATCH(1, (AsistenciaJetAdminConcatenada!$A:$A=FT$2)*(AsistenciaJetAdminConcatenada!$B:$B=FT$1), 0)), 1))),  0.5, 0))</f>
        <v>0</v>
      </c>
      <c r="FU8" s="47">
        <f t="array" ref="FU8">IF(AND(ISNUMBER(MATCH(FU$2, AsistenciaJetAdminConcatenada!$A:$A, 0)), ISNUMBER(MATCH(FU$1, AsistenciaJetAdminConcatenada!$B:$B, 0)), ISNUMBER(SEARCH($A8,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ISNUMBER(SEARCH($A8, INDEX(AsistenciaJetAdminConcatenada!$D:$D, MATCH(1, (AsistenciaJetAdminConcatenada!$A:$A=FU$2)*(AsistenciaJetAdminConcatenada!$B:$B=FU$1), 0)), 1))),  0.5, 0))</f>
        <v>0</v>
      </c>
      <c r="FV8" s="47">
        <f t="array" ref="FV8">IF(AND(ISNUMBER(MATCH(FV$2, AsistenciaJetAdminConcatenada!$A:$A, 0)), ISNUMBER(MATCH(FV$1, AsistenciaJetAdminConcatenada!$B:$B, 0)), ISNUMBER(SEARCH($A8,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ISNUMBER(SEARCH($A8, INDEX(AsistenciaJetAdminConcatenada!$D:$D, MATCH(1, (AsistenciaJetAdminConcatenada!$A:$A=FV$2)*(AsistenciaJetAdminConcatenada!$B:$B=FV$1), 0)), 1))),  0.5, 0))</f>
        <v>0</v>
      </c>
      <c r="FW8" s="47">
        <f t="array" ref="FW8">IF(AND(ISNUMBER(MATCH(FW$2, AsistenciaJetAdminConcatenada!$A:$A, 0)), ISNUMBER(MATCH(FW$1, AsistenciaJetAdminConcatenada!$B:$B, 0)), ISNUMBER(SEARCH($A8,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ISNUMBER(SEARCH($A8, INDEX(AsistenciaJetAdminConcatenada!$D:$D, MATCH(1, (AsistenciaJetAdminConcatenada!$A:$A=FW$2)*(AsistenciaJetAdminConcatenada!$B:$B=FW$1), 0)), 1))),  0.5, 0))</f>
        <v>0</v>
      </c>
      <c r="FX8" s="47">
        <f t="array" ref="FX8">IF(AND(ISNUMBER(MATCH(FX$2, AsistenciaJetAdminConcatenada!$A:$A, 0)), ISNUMBER(MATCH(FX$1, AsistenciaJetAdminConcatenada!$B:$B, 0)), ISNUMBER(SEARCH($A8,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ISNUMBER(SEARCH($A8, INDEX(AsistenciaJetAdminConcatenada!$D:$D, MATCH(1, (AsistenciaJetAdminConcatenada!$A:$A=FX$2)*(AsistenciaJetAdminConcatenada!$B:$B=FX$1), 0)), 1))),  0.5, 0))</f>
        <v>0</v>
      </c>
      <c r="FY8" s="47">
        <f t="array" ref="FY8">IF(AND(ISNUMBER(MATCH(FY$2, AsistenciaJetAdminConcatenada!$A:$A, 0)), ISNUMBER(MATCH(FY$1, AsistenciaJetAdminConcatenada!$B:$B, 0)), ISNUMBER(SEARCH($A8,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ISNUMBER(SEARCH($A8, INDEX(AsistenciaJetAdminConcatenada!$D:$D, MATCH(1, (AsistenciaJetAdminConcatenada!$A:$A=FY$2)*(AsistenciaJetAdminConcatenada!$B:$B=FY$1), 0)), 1))),  0.5, 0))</f>
        <v>0</v>
      </c>
      <c r="FZ8" s="47">
        <f t="array" ref="FZ8">IF(AND(ISNUMBER(MATCH(FZ$2, AsistenciaJetAdminConcatenada!$A:$A, 0)), ISNUMBER(MATCH(FZ$1, AsistenciaJetAdminConcatenada!$B:$B, 0)), ISNUMBER(SEARCH($A8,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ISNUMBER(SEARCH($A8, INDEX(AsistenciaJetAdminConcatenada!$D:$D, MATCH(1, (AsistenciaJetAdminConcatenada!$A:$A=FZ$2)*(AsistenciaJetAdminConcatenada!$B:$B=FZ$1), 0)), 1))),  0.5, 0))</f>
        <v>0</v>
      </c>
      <c r="GA8" s="47">
        <f t="array" ref="GA8">IF(AND(ISNUMBER(MATCH(GA$2, AsistenciaJetAdminConcatenada!$A:$A, 0)), ISNUMBER(MATCH(GA$1, AsistenciaJetAdminConcatenada!$B:$B, 0)), ISNUMBER(SEARCH($A8,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ISNUMBER(SEARCH($A8, INDEX(AsistenciaJetAdminConcatenada!$D:$D, MATCH(1, (AsistenciaJetAdminConcatenada!$A:$A=GA$2)*(AsistenciaJetAdminConcatenada!$B:$B=GA$1), 0)), 1))),  0.5, 0))</f>
        <v>0</v>
      </c>
      <c r="GB8" s="47">
        <f t="array" ref="GB8">IF(AND(ISNUMBER(MATCH(GB$2, AsistenciaJetAdminConcatenada!$A:$A, 0)), ISNUMBER(MATCH(GB$1, AsistenciaJetAdminConcatenada!$B:$B, 0)), ISNUMBER(SEARCH($A8,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ISNUMBER(SEARCH($A8, INDEX(AsistenciaJetAdminConcatenada!$D:$D, MATCH(1, (AsistenciaJetAdminConcatenada!$A:$A=GB$2)*(AsistenciaJetAdminConcatenada!$B:$B=GB$1), 0)), 1))),  0.5, 0))</f>
        <v>0</v>
      </c>
      <c r="GC8" s="47">
        <f t="array" ref="GC8">IF(AND(ISNUMBER(MATCH(GC$2, AsistenciaJetAdminConcatenada!$A:$A, 0)), ISNUMBER(MATCH(GC$1, AsistenciaJetAdminConcatenada!$B:$B, 0)), ISNUMBER(SEARCH($A8,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ISNUMBER(SEARCH($A8, INDEX(AsistenciaJetAdminConcatenada!$D:$D, MATCH(1, (AsistenciaJetAdminConcatenada!$A:$A=GC$2)*(AsistenciaJetAdminConcatenada!$B:$B=GC$1), 0)), 1))),  0.5, 0))</f>
        <v>0</v>
      </c>
      <c r="GD8" s="47">
        <f t="array" ref="GD8">IF(AND(ISNUMBER(MATCH(GD$2, AsistenciaJetAdminConcatenada!$A:$A, 0)), ISNUMBER(MATCH(GD$1, AsistenciaJetAdminConcatenada!$B:$B, 0)), ISNUMBER(SEARCH($A8,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ISNUMBER(SEARCH($A8, INDEX(AsistenciaJetAdminConcatenada!$D:$D, MATCH(1, (AsistenciaJetAdminConcatenada!$A:$A=GD$2)*(AsistenciaJetAdminConcatenada!$B:$B=GD$1), 0)), 1))),  0.5, 0))</f>
        <v>0</v>
      </c>
      <c r="GE8" s="47">
        <f t="array" ref="GE8">IF(AND(ISNUMBER(MATCH(GE$2, AsistenciaJetAdminConcatenada!$A:$A, 0)), ISNUMBER(MATCH(GE$1, AsistenciaJetAdminConcatenada!$B:$B, 0)), ISNUMBER(SEARCH($A8,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ISNUMBER(SEARCH($A8, INDEX(AsistenciaJetAdminConcatenada!$D:$D, MATCH(1, (AsistenciaJetAdminConcatenada!$A:$A=GE$2)*(AsistenciaJetAdminConcatenada!$B:$B=GE$1), 0)), 1))),  0.5, 0))</f>
        <v>0</v>
      </c>
      <c r="GF8" s="47">
        <f t="array" ref="GF8">IF(AND(ISNUMBER(MATCH(GF$2, AsistenciaJetAdminConcatenada!$A:$A, 0)), ISNUMBER(MATCH(GF$1, AsistenciaJetAdminConcatenada!$B:$B, 0)), ISNUMBER(SEARCH($A8,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ISNUMBER(SEARCH($A8, INDEX(AsistenciaJetAdminConcatenada!$D:$D, MATCH(1, (AsistenciaJetAdminConcatenada!$A:$A=GF$2)*(AsistenciaJetAdminConcatenada!$B:$B=GF$1), 0)), 1))),  0.5, 0))</f>
        <v>0</v>
      </c>
      <c r="GG8" s="47">
        <f t="array" ref="GG8">IF(AND(ISNUMBER(MATCH(GG$2, AsistenciaJetAdminConcatenada!$A:$A, 0)), ISNUMBER(MATCH(GG$1, AsistenciaJetAdminConcatenada!$B:$B, 0)), ISNUMBER(SEARCH($A8,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ISNUMBER(SEARCH($A8, INDEX(AsistenciaJetAdminConcatenada!$D:$D, MATCH(1, (AsistenciaJetAdminConcatenada!$A:$A=GG$2)*(AsistenciaJetAdminConcatenada!$B:$B=GG$1), 0)), 1))),  0.5, 0))</f>
        <v>0</v>
      </c>
      <c r="GH8" s="47">
        <f t="array" ref="GH8">IF(AND(ISNUMBER(MATCH(GH$2, AsistenciaJetAdminConcatenada!$A:$A, 0)), ISNUMBER(MATCH(GH$1, AsistenciaJetAdminConcatenada!$B:$B, 0)), ISNUMBER(SEARCH($A8,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ISNUMBER(SEARCH($A8, INDEX(AsistenciaJetAdminConcatenada!$D:$D, MATCH(1, (AsistenciaJetAdminConcatenada!$A:$A=GH$2)*(AsistenciaJetAdminConcatenada!$B:$B=GH$1), 0)), 1))),  0.5, 0))</f>
        <v>0</v>
      </c>
      <c r="GI8" s="47">
        <f t="array" ref="GI8">IF(AND(ISNUMBER(MATCH(GI$2, AsistenciaJetAdminConcatenada!$A:$A, 0)), ISNUMBER(MATCH(GI$1, AsistenciaJetAdminConcatenada!$B:$B, 0)), ISNUMBER(SEARCH($A8,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ISNUMBER(SEARCH($A8, INDEX(AsistenciaJetAdminConcatenada!$D:$D, MATCH(1, (AsistenciaJetAdminConcatenada!$A:$A=GI$2)*(AsistenciaJetAdminConcatenada!$B:$B=GI$1), 0)), 1))),  0.5, 0))</f>
        <v>0</v>
      </c>
      <c r="GJ8" s="47">
        <f t="array" ref="GJ8">IF(AND(ISNUMBER(MATCH(GJ$2, AsistenciaJetAdminConcatenada!$A:$A, 0)), ISNUMBER(MATCH(GJ$1, AsistenciaJetAdminConcatenada!$B:$B, 0)), ISNUMBER(SEARCH($A8,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ISNUMBER(SEARCH($A8, INDEX(AsistenciaJetAdminConcatenada!$D:$D, MATCH(1, (AsistenciaJetAdminConcatenada!$A:$A=GJ$2)*(AsistenciaJetAdminConcatenada!$B:$B=GJ$1), 0)), 1))),  0.5, 0))</f>
        <v>0</v>
      </c>
      <c r="GK8" s="47">
        <f t="array" ref="GK8">IF(AND(ISNUMBER(MATCH(GK$2, AsistenciaJetAdminConcatenada!$A:$A, 0)), ISNUMBER(MATCH(GK$1, AsistenciaJetAdminConcatenada!$B:$B, 0)), ISNUMBER(SEARCH($A8,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ISNUMBER(SEARCH($A8, INDEX(AsistenciaJetAdminConcatenada!$D:$D, MATCH(1, (AsistenciaJetAdminConcatenada!$A:$A=GK$2)*(AsistenciaJetAdminConcatenada!$B:$B=GK$1), 0)), 1))),  0.5, 0))</f>
        <v>0</v>
      </c>
      <c r="GL8" s="47">
        <f t="array" ref="GL8">IF(AND(ISNUMBER(MATCH(GL$2, AsistenciaJetAdminConcatenada!$A:$A, 0)), ISNUMBER(MATCH(GL$1, AsistenciaJetAdminConcatenada!$B:$B, 0)), ISNUMBER(SEARCH($A8,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ISNUMBER(SEARCH($A8, INDEX(AsistenciaJetAdminConcatenada!$D:$D, MATCH(1, (AsistenciaJetAdminConcatenada!$A:$A=GL$2)*(AsistenciaJetAdminConcatenada!$B:$B=GL$1), 0)), 1))),  0.5, 0))</f>
        <v>0</v>
      </c>
      <c r="GM8" s="47">
        <f t="array" ref="GM8">IF(AND(ISNUMBER(MATCH(GM$2, AsistenciaJetAdminConcatenada!$A:$A, 0)), ISNUMBER(MATCH(GM$1, AsistenciaJetAdminConcatenada!$B:$B, 0)), ISNUMBER(SEARCH($A8,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ISNUMBER(SEARCH($A8, INDEX(AsistenciaJetAdminConcatenada!$D:$D, MATCH(1, (AsistenciaJetAdminConcatenada!$A:$A=GM$2)*(AsistenciaJetAdminConcatenada!$B:$B=GM$1), 0)), 1))),  0.5, 0))</f>
        <v>0</v>
      </c>
      <c r="GN8" s="47">
        <f t="array" ref="GN8">IF(AND(ISNUMBER(MATCH(GN$2, AsistenciaJetAdminConcatenada!$A:$A, 0)), ISNUMBER(MATCH(GN$1, AsistenciaJetAdminConcatenada!$B:$B, 0)), ISNUMBER(SEARCH($A8,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ISNUMBER(SEARCH($A8, INDEX(AsistenciaJetAdminConcatenada!$D:$D, MATCH(1, (AsistenciaJetAdminConcatenada!$A:$A=GN$2)*(AsistenciaJetAdminConcatenada!$B:$B=GN$1), 0)), 1))),  0.5, 0))</f>
        <v>0</v>
      </c>
      <c r="GO8" s="47">
        <f t="array" ref="GO8">IF(AND(ISNUMBER(MATCH(GO$2, AsistenciaJetAdminConcatenada!$A:$A, 0)), ISNUMBER(MATCH(GO$1, AsistenciaJetAdminConcatenada!$B:$B, 0)), ISNUMBER(SEARCH($A8,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ISNUMBER(SEARCH($A8, INDEX(AsistenciaJetAdminConcatenada!$D:$D, MATCH(1, (AsistenciaJetAdminConcatenada!$A:$A=GO$2)*(AsistenciaJetAdminConcatenada!$B:$B=GO$1), 0)), 1))),  0.5, 0))</f>
        <v>0</v>
      </c>
      <c r="GP8" s="47">
        <f t="array" ref="GP8">IF(AND(ISNUMBER(MATCH(GP$2, AsistenciaJetAdminConcatenada!$A:$A, 0)), ISNUMBER(MATCH(GP$1, AsistenciaJetAdminConcatenada!$B:$B, 0)), ISNUMBER(SEARCH($A8,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ISNUMBER(SEARCH($A8, INDEX(AsistenciaJetAdminConcatenada!$D:$D, MATCH(1, (AsistenciaJetAdminConcatenada!$A:$A=GP$2)*(AsistenciaJetAdminConcatenada!$B:$B=GP$1), 0)), 1))),  0.5, 0))</f>
        <v>0</v>
      </c>
      <c r="GQ8" s="47">
        <f t="array" ref="GQ8">IF(AND(ISNUMBER(MATCH(GQ$2, AsistenciaJetAdminConcatenada!$A:$A, 0)), ISNUMBER(MATCH(GQ$1, AsistenciaJetAdminConcatenada!$B:$B, 0)), ISNUMBER(SEARCH($A8,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ISNUMBER(SEARCH($A8, INDEX(AsistenciaJetAdminConcatenada!$D:$D, MATCH(1, (AsistenciaJetAdminConcatenada!$A:$A=GQ$2)*(AsistenciaJetAdminConcatenada!$B:$B=GQ$1), 0)), 1))),  0.5, 0))</f>
        <v>0</v>
      </c>
      <c r="GR8" s="47">
        <f t="array" ref="GR8">IF(AND(ISNUMBER(MATCH(GR$2, AsistenciaJetAdminConcatenada!$A:$A, 0)), ISNUMBER(MATCH(GR$1, AsistenciaJetAdminConcatenada!$B:$B, 0)), ISNUMBER(SEARCH($A8,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ISNUMBER(SEARCH($A8, INDEX(AsistenciaJetAdminConcatenada!$D:$D, MATCH(1, (AsistenciaJetAdminConcatenada!$A:$A=GR$2)*(AsistenciaJetAdminConcatenada!$B:$B=GR$1), 0)), 1))),  0.5, 0))</f>
        <v>0</v>
      </c>
      <c r="GS8" s="47">
        <f t="array" ref="GS8">IF(AND(ISNUMBER(MATCH(GS$2, AsistenciaJetAdminConcatenada!$A:$A, 0)), ISNUMBER(MATCH(GS$1, AsistenciaJetAdminConcatenada!$B:$B, 0)), ISNUMBER(SEARCH($A8,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ISNUMBER(SEARCH($A8, INDEX(AsistenciaJetAdminConcatenada!$D:$D, MATCH(1, (AsistenciaJetAdminConcatenada!$A:$A=GS$2)*(AsistenciaJetAdminConcatenada!$B:$B=GS$1), 0)), 1))),  0.5, 0))</f>
        <v>0</v>
      </c>
      <c r="GT8" s="47">
        <f t="array" ref="GT8">IF(AND(ISNUMBER(MATCH(GT$2, AsistenciaJetAdminConcatenada!$A:$A, 0)), ISNUMBER(MATCH(GT$1, AsistenciaJetAdminConcatenada!$B:$B, 0)), ISNUMBER(SEARCH($A8,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ISNUMBER(SEARCH($A8, INDEX(AsistenciaJetAdminConcatenada!$D:$D, MATCH(1, (AsistenciaJetAdminConcatenada!$A:$A=GT$2)*(AsistenciaJetAdminConcatenada!$B:$B=GT$1), 0)), 1))),  0.5, 0))</f>
        <v>0</v>
      </c>
      <c r="GU8" s="47">
        <f t="array" ref="GU8">IF(AND(ISNUMBER(MATCH(GU$2, AsistenciaJetAdminConcatenada!$A:$A, 0)), ISNUMBER(MATCH(GU$1, AsistenciaJetAdminConcatenada!$B:$B, 0)), ISNUMBER(SEARCH($A8,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ISNUMBER(SEARCH($A8, INDEX(AsistenciaJetAdminConcatenada!$D:$D, MATCH(1, (AsistenciaJetAdminConcatenada!$A:$A=GU$2)*(AsistenciaJetAdminConcatenada!$B:$B=GU$1), 0)), 1))),  0.5, 0))</f>
        <v>0</v>
      </c>
      <c r="GV8" s="47">
        <f t="array" ref="GV8">IF(AND(ISNUMBER(MATCH(GV$2, AsistenciaJetAdminConcatenada!$A:$A, 0)), ISNUMBER(MATCH(GV$1, AsistenciaJetAdminConcatenada!$B:$B, 0)), ISNUMBER(SEARCH($A8,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ISNUMBER(SEARCH($A8, INDEX(AsistenciaJetAdminConcatenada!$D:$D, MATCH(1, (AsistenciaJetAdminConcatenada!$A:$A=GV$2)*(AsistenciaJetAdminConcatenada!$B:$B=GV$1), 0)), 1))),  0.5, 0))</f>
        <v>0</v>
      </c>
      <c r="GW8" s="47">
        <f t="array" ref="GW8">IF(AND(ISNUMBER(MATCH(GW$2, AsistenciaJetAdminConcatenada!$A:$A, 0)), ISNUMBER(MATCH(GW$1, AsistenciaJetAdminConcatenada!$B:$B, 0)), ISNUMBER(SEARCH($A8,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ISNUMBER(SEARCH($A8, INDEX(AsistenciaJetAdminConcatenada!$D:$D, MATCH(1, (AsistenciaJetAdminConcatenada!$A:$A=GW$2)*(AsistenciaJetAdminConcatenada!$B:$B=GW$1), 0)), 1))),  0.5, 0))</f>
        <v>0</v>
      </c>
      <c r="GX8" s="47">
        <f t="array" ref="GX8">IF(AND(ISNUMBER(MATCH(GX$2, AsistenciaJetAdminConcatenada!$A:$A, 0)), ISNUMBER(MATCH(GX$1, AsistenciaJetAdminConcatenada!$B:$B, 0)), ISNUMBER(SEARCH($A8,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ISNUMBER(SEARCH($A8, INDEX(AsistenciaJetAdminConcatenada!$D:$D, MATCH(1, (AsistenciaJetAdminConcatenada!$A:$A=GX$2)*(AsistenciaJetAdminConcatenada!$B:$B=GX$1), 0)), 1))),  0.5, 0))</f>
        <v>0</v>
      </c>
      <c r="GY8" s="47">
        <f t="array" ref="GY8">IF(AND(ISNUMBER(MATCH(GY$2, AsistenciaJetAdminConcatenada!$A:$A, 0)), ISNUMBER(MATCH(GY$1, AsistenciaJetAdminConcatenada!$B:$B, 0)), ISNUMBER(SEARCH($A8,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ISNUMBER(SEARCH($A8, INDEX(AsistenciaJetAdminConcatenada!$D:$D, MATCH(1, (AsistenciaJetAdminConcatenada!$A:$A=GY$2)*(AsistenciaJetAdminConcatenada!$B:$B=GY$1), 0)), 1))),  0.5, 0))</f>
        <v>0</v>
      </c>
      <c r="GZ8" s="47">
        <f t="array" ref="GZ8">IF(AND(ISNUMBER(MATCH(GZ$2, AsistenciaJetAdminConcatenada!$A:$A, 0)), ISNUMBER(MATCH(GZ$1, AsistenciaJetAdminConcatenada!$B:$B, 0)), ISNUMBER(SEARCH($A8,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ISNUMBER(SEARCH($A8, INDEX(AsistenciaJetAdminConcatenada!$D:$D, MATCH(1, (AsistenciaJetAdminConcatenada!$A:$A=GZ$2)*(AsistenciaJetAdminConcatenada!$B:$B=GZ$1), 0)), 1))),  0.5, 0))</f>
        <v>0</v>
      </c>
      <c r="HA8" s="47">
        <f t="array" ref="HA8">IF(AND(ISNUMBER(MATCH(HA$2, AsistenciaJetAdminConcatenada!$A:$A, 0)), ISNUMBER(MATCH(HA$1, AsistenciaJetAdminConcatenada!$B:$B, 0)), ISNUMBER(SEARCH($A8,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ISNUMBER(SEARCH($A8, INDEX(AsistenciaJetAdminConcatenada!$D:$D, MATCH(1, (AsistenciaJetAdminConcatenada!$A:$A=HA$2)*(AsistenciaJetAdminConcatenada!$B:$B=HA$1), 0)), 1))),  0.5, 0))</f>
        <v>0</v>
      </c>
      <c r="HB8" s="47">
        <f t="array" ref="HB8">IF(AND(ISNUMBER(MATCH(HB$2, AsistenciaJetAdminConcatenada!$A:$A, 0)), ISNUMBER(MATCH(HB$1, AsistenciaJetAdminConcatenada!$B:$B, 0)), ISNUMBER(SEARCH($A8,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ISNUMBER(SEARCH($A8, INDEX(AsistenciaJetAdminConcatenada!$D:$D, MATCH(1, (AsistenciaJetAdminConcatenada!$A:$A=HB$2)*(AsistenciaJetAdminConcatenada!$B:$B=HB$1), 0)), 1))),  0.5, 0))</f>
        <v>0</v>
      </c>
      <c r="HC8" s="47">
        <f t="array" ref="HC8">IF(AND(ISNUMBER(MATCH(HC$2, AsistenciaJetAdminConcatenada!$A:$A, 0)), ISNUMBER(MATCH(HC$1, AsistenciaJetAdminConcatenada!$B:$B, 0)), ISNUMBER(SEARCH($A8,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ISNUMBER(SEARCH($A8, INDEX(AsistenciaJetAdminConcatenada!$D:$D, MATCH(1, (AsistenciaJetAdminConcatenada!$A:$A=HC$2)*(AsistenciaJetAdminConcatenada!$B:$B=HC$1), 0)), 1))),  0.5, 0))</f>
        <v>0</v>
      </c>
    </row>
    <row r="9" ht="29.25" customHeight="1">
      <c r="A9" s="12">
        <v>140.0</v>
      </c>
      <c r="B9" s="13" t="s">
        <v>683</v>
      </c>
      <c r="C9" s="47">
        <f>SUM(D9:HC9) + ActividadesEspeciales!C9</f>
        <v>69</v>
      </c>
      <c r="D9" s="47">
        <f t="array" ref="D9">IF(AND(ISNUMBER(MATCH(D$2, AsistenciaJetAdminConcatenada!$A:$A, 0)), ISNUMBER(MATCH(D$1, AsistenciaJetAdminConcatenada!$B:$B, 0)), ISNUMBER(SEARCH($A9,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ISNUMBER(SEARCH($A9, INDEX(AsistenciaJetAdminConcatenada!$D:$D, MATCH(1, (AsistenciaJetAdminConcatenada!$A:$A=D$2)*(AsistenciaJetAdminConcatenada!$B:$B=D$1), 0)), 1))),  0.5, 0))</f>
        <v>1</v>
      </c>
      <c r="E9" s="47">
        <f t="array" ref="E9">IF(AND(ISNUMBER(MATCH(E$2, AsistenciaJetAdminConcatenada!$A:$A, 0)), ISNUMBER(MATCH(E$1, AsistenciaJetAdminConcatenada!$B:$B, 0)), ISNUMBER(SEARCH($A9,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ISNUMBER(SEARCH($A9, INDEX(AsistenciaJetAdminConcatenada!$D:$D, MATCH(1, (AsistenciaJetAdminConcatenada!$A:$A=E$2)*(AsistenciaJetAdminConcatenada!$B:$B=E$1), 0)), 1))),  0.5, 0))</f>
        <v>1</v>
      </c>
      <c r="F9" s="47">
        <f t="array" ref="F9">IF(AND(ISNUMBER(MATCH(F$2, AsistenciaJetAdminConcatenada!$A:$A, 0)), ISNUMBER(MATCH(F$1, AsistenciaJetAdminConcatenada!$B:$B, 0)), ISNUMBER(SEARCH($A9,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ISNUMBER(SEARCH($A9, INDEX(AsistenciaJetAdminConcatenada!$D:$D, MATCH(1, (AsistenciaJetAdminConcatenada!$A:$A=F$2)*(AsistenciaJetAdminConcatenada!$B:$B=F$1), 0)), 1))),  0.5, 0))</f>
        <v>1</v>
      </c>
      <c r="G9" s="47">
        <f t="array" ref="G9">IF(AND(ISNUMBER(MATCH(G$2, AsistenciaJetAdminConcatenada!$A:$A, 0)), ISNUMBER(MATCH(G$1, AsistenciaJetAdminConcatenada!$B:$B, 0)), ISNUMBER(SEARCH($A9,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ISNUMBER(SEARCH($A9, INDEX(AsistenciaJetAdminConcatenada!$D:$D, MATCH(1, (AsistenciaJetAdminConcatenada!$A:$A=G$2)*(AsistenciaJetAdminConcatenada!$B:$B=G$1), 0)), 1))),  0.5, 0))</f>
        <v>1</v>
      </c>
      <c r="H9" s="47">
        <f t="array" ref="H9">IF(AND(ISNUMBER(MATCH(H$2, AsistenciaJetAdminConcatenada!$A:$A, 0)), ISNUMBER(MATCH(H$1, AsistenciaJetAdminConcatenada!$B:$B, 0)), ISNUMBER(SEARCH($A9,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ISNUMBER(SEARCH($A9, INDEX(AsistenciaJetAdminConcatenada!$D:$D, MATCH(1, (AsistenciaJetAdminConcatenada!$A:$A=H$2)*(AsistenciaJetAdminConcatenada!$B:$B=H$1), 0)), 1))),  0.5, 0))</f>
        <v>1</v>
      </c>
      <c r="I9" s="47">
        <f t="array" ref="I9">IF(AND(ISNUMBER(MATCH(I$2, AsistenciaJetAdminConcatenada!$A:$A, 0)), ISNUMBER(MATCH(I$1, AsistenciaJetAdminConcatenada!$B:$B, 0)), ISNUMBER(SEARCH($A9,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ISNUMBER(SEARCH($A9, INDEX(AsistenciaJetAdminConcatenada!$D:$D, MATCH(1, (AsistenciaJetAdminConcatenada!$A:$A=I$2)*(AsistenciaJetAdminConcatenada!$B:$B=I$1), 0)), 1))),  0.5, 0))</f>
        <v>1</v>
      </c>
      <c r="J9" s="47">
        <f t="array" ref="J9">IF(AND(ISNUMBER(MATCH(J$2, AsistenciaJetAdminConcatenada!$A:$A, 0)), ISNUMBER(MATCH(J$1, AsistenciaJetAdminConcatenada!$B:$B, 0)), ISNUMBER(SEARCH($A9,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ISNUMBER(SEARCH($A9, INDEX(AsistenciaJetAdminConcatenada!$D:$D, MATCH(1, (AsistenciaJetAdminConcatenada!$A:$A=J$2)*(AsistenciaJetAdminConcatenada!$B:$B=J$1), 0)), 1))),  0.5, 0))</f>
        <v>1</v>
      </c>
      <c r="K9" s="47">
        <f t="array" ref="K9">IF(AND(ISNUMBER(MATCH(K$2, AsistenciaJetAdminConcatenada!$A:$A, 0)), ISNUMBER(MATCH(K$1, AsistenciaJetAdminConcatenada!$B:$B, 0)), ISNUMBER(SEARCH($A9,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ISNUMBER(SEARCH($A9, INDEX(AsistenciaJetAdminConcatenada!$D:$D, MATCH(1, (AsistenciaJetAdminConcatenada!$A:$A=K$2)*(AsistenciaJetAdminConcatenada!$B:$B=K$1), 0)), 1))),  0.5, 0))</f>
        <v>1</v>
      </c>
      <c r="L9" s="47">
        <f t="array" ref="L9">IF(AND(ISNUMBER(MATCH(L$2, AsistenciaJetAdminConcatenada!$A:$A, 0)), ISNUMBER(MATCH(L$1, AsistenciaJetAdminConcatenada!$B:$B, 0)), ISNUMBER(SEARCH($A9,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ISNUMBER(SEARCH($A9, INDEX(AsistenciaJetAdminConcatenada!$D:$D, MATCH(1, (AsistenciaJetAdminConcatenada!$A:$A=L$2)*(AsistenciaJetAdminConcatenada!$B:$B=L$1), 0)), 1))),  0.5, 0))</f>
        <v>1</v>
      </c>
      <c r="M9" s="47">
        <f t="array" ref="M9">IF(AND(ISNUMBER(MATCH(M$2, AsistenciaJetAdminConcatenada!$A:$A, 0)), ISNUMBER(MATCH(M$1, AsistenciaJetAdminConcatenada!$B:$B, 0)), ISNUMBER(SEARCH($A9,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ISNUMBER(SEARCH($A9, INDEX(AsistenciaJetAdminConcatenada!$D:$D, MATCH(1, (AsistenciaJetAdminConcatenada!$A:$A=M$2)*(AsistenciaJetAdminConcatenada!$B:$B=M$1), 0)), 1))),  0.5, 0))</f>
        <v>0.5</v>
      </c>
      <c r="N9" s="47">
        <f t="array" ref="N9">IF(AND(ISNUMBER(MATCH(N$2, AsistenciaJetAdminConcatenada!$A:$A, 0)), ISNUMBER(MATCH(N$1, AsistenciaJetAdminConcatenada!$B:$B, 0)), ISNUMBER(SEARCH($A9,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ISNUMBER(SEARCH($A9, INDEX(AsistenciaJetAdminConcatenada!$D:$D, MATCH(1, (AsistenciaJetAdminConcatenada!$A:$A=N$2)*(AsistenciaJetAdminConcatenada!$B:$B=N$1), 0)), 1))),  0.5, 0))</f>
        <v>0</v>
      </c>
      <c r="O9" s="47">
        <f t="array" ref="O9">IF(AND(ISNUMBER(MATCH(O$2, AsistenciaJetAdminConcatenada!$A:$A, 0)), ISNUMBER(MATCH(O$1, AsistenciaJetAdminConcatenada!$B:$B, 0)), ISNUMBER(SEARCH($A9,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ISNUMBER(SEARCH($A9, INDEX(AsistenciaJetAdminConcatenada!$D:$D, MATCH(1, (AsistenciaJetAdminConcatenada!$A:$A=O$2)*(AsistenciaJetAdminConcatenada!$B:$B=O$1), 0)), 1))),  0.5, 0))</f>
        <v>0</v>
      </c>
      <c r="P9" s="47">
        <f t="array" ref="P9">IF(AND(ISNUMBER(MATCH(P$2, AsistenciaJetAdminConcatenada!$A:$A, 0)), ISNUMBER(MATCH(P$1, AsistenciaJetAdminConcatenada!$B:$B, 0)), ISNUMBER(SEARCH($A9, INDEX(AsistenciaJetAdminConcatenada!$C:$C, MATCH(1, (AsistenciaJetAdminConcatenada!$A:$A=P$2)*(AsistenciaJetAdminConcatenada!$B:$B=P$1), 0)), 1))), 1, IF(AND(ISNUMBER(MATCH(P$2, AsistenciaJetAdminConcatenada!$A:$A, 0)), ISNUMBER(MATCH(P$1, AsistenciaJetAdminConcatenada!$B:$B, 0)), ISNUMBER(SEARCH($A9, INDEX(AsistenciaJetAdminConcatenada!$D:$D, MATCH(1, (AsistenciaJetAdminConcatenada!$A:$A=P$2)*(AsistenciaJetAdminConcatenada!$B:$B=P$1), 0)), 1))),  0.5, 0))</f>
        <v>0</v>
      </c>
      <c r="Q9" s="47">
        <f t="array" ref="Q9">IF(AND(ISNUMBER(MATCH(Q$2, AsistenciaJetAdminConcatenada!$A:$A, 0)), ISNUMBER(MATCH(Q$1, AsistenciaJetAdminConcatenada!$B:$B, 0)), ISNUMBER(SEARCH($A9, INDEX(AsistenciaJetAdminConcatenada!$C:$C, MATCH(1, (AsistenciaJetAdminConcatenada!$A:$A=Q$2)*(AsistenciaJetAdminConcatenada!$B:$B=Q$1), 0)), 1))), 1, IF(AND(ISNUMBER(MATCH(Q$2, AsistenciaJetAdminConcatenada!$A:$A, 0)), ISNUMBER(MATCH(Q$1, AsistenciaJetAdminConcatenada!$B:$B, 0)), ISNUMBER(SEARCH($A9, INDEX(AsistenciaJetAdminConcatenada!$D:$D, MATCH(1, (AsistenciaJetAdminConcatenada!$A:$A=Q$2)*(AsistenciaJetAdminConcatenada!$B:$B=Q$1), 0)), 1))),  0.5, 0))</f>
        <v>1</v>
      </c>
      <c r="R9" s="47">
        <f t="array" ref="R9">IF(AND(ISNUMBER(MATCH(R$2, AsistenciaJetAdminConcatenada!$A:$A, 0)), ISNUMBER(MATCH(R$1, AsistenciaJetAdminConcatenada!$B:$B, 0)), ISNUMBER(SEARCH($A9,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ISNUMBER(SEARCH($A9, INDEX(AsistenciaJetAdminConcatenada!$D:$D, MATCH(1, (AsistenciaJetAdminConcatenada!$A:$A=R$2)*(AsistenciaJetAdminConcatenada!$B:$B=R$1), 0)), 1))),  0.5, 0))</f>
        <v>1</v>
      </c>
      <c r="S9" s="47">
        <f t="array" ref="S9">IF(AND(ISNUMBER(MATCH(S$2, AsistenciaJetAdminConcatenada!$A:$A, 0)), ISNUMBER(MATCH(S$1, AsistenciaJetAdminConcatenada!$B:$B, 0)), ISNUMBER(SEARCH($A9,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ISNUMBER(SEARCH($A9, INDEX(AsistenciaJetAdminConcatenada!$D:$D, MATCH(1, (AsistenciaJetAdminConcatenada!$A:$A=S$2)*(AsistenciaJetAdminConcatenada!$B:$B=S$1), 0)), 1))),  0.5, 0))</f>
        <v>1</v>
      </c>
      <c r="T9" s="47">
        <f t="array" ref="T9">IF(AND(ISNUMBER(MATCH(T$2, AsistenciaJetAdminConcatenada!$A:$A, 0)), ISNUMBER(MATCH(T$1, AsistenciaJetAdminConcatenada!$B:$B, 0)), ISNUMBER(SEARCH($A9,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ISNUMBER(SEARCH($A9, INDEX(AsistenciaJetAdminConcatenada!$D:$D, MATCH(1, (AsistenciaJetAdminConcatenada!$A:$A=T$2)*(AsistenciaJetAdminConcatenada!$B:$B=T$1), 0)), 1))),  0.5, 0))</f>
        <v>1</v>
      </c>
      <c r="U9" s="47">
        <f t="array" ref="U9">IF(AND(ISNUMBER(MATCH(U$2, AsistenciaJetAdminConcatenada!$A:$A, 0)), ISNUMBER(MATCH(U$1, AsistenciaJetAdminConcatenada!$B:$B, 0)), ISNUMBER(SEARCH($A9,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ISNUMBER(SEARCH($A9, INDEX(AsistenciaJetAdminConcatenada!$D:$D, MATCH(1, (AsistenciaJetAdminConcatenada!$A:$A=U$2)*(AsistenciaJetAdminConcatenada!$B:$B=U$1), 0)), 1))),  0.5, 0))</f>
        <v>1</v>
      </c>
      <c r="V9" s="47">
        <f t="array" ref="V9">IF(AND(ISNUMBER(MATCH(V$2, AsistenciaJetAdminConcatenada!$A:$A, 0)), ISNUMBER(MATCH(V$1, AsistenciaJetAdminConcatenada!$B:$B, 0)), ISNUMBER(SEARCH($A9,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ISNUMBER(SEARCH($A9, INDEX(AsistenciaJetAdminConcatenada!$D:$D, MATCH(1, (AsistenciaJetAdminConcatenada!$A:$A=V$2)*(AsistenciaJetAdminConcatenada!$B:$B=V$1), 0)), 1))),  0.5, 0))</f>
        <v>0</v>
      </c>
      <c r="W9" s="47">
        <f t="array" ref="W9">IF(AND(ISNUMBER(MATCH(W$2, AsistenciaJetAdminConcatenada!$A:$A, 0)), ISNUMBER(MATCH(W$1, AsistenciaJetAdminConcatenada!$B:$B, 0)), ISNUMBER(SEARCH($A9,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ISNUMBER(SEARCH($A9, INDEX(AsistenciaJetAdminConcatenada!$D:$D, MATCH(1, (AsistenciaJetAdminConcatenada!$A:$A=W$2)*(AsistenciaJetAdminConcatenada!$B:$B=W$1), 0)), 1))),  0.5, 0))</f>
        <v>1</v>
      </c>
      <c r="X9" s="47">
        <f t="array" ref="X9">IF(AND(ISNUMBER(MATCH(X$2, AsistenciaJetAdminConcatenada!$A:$A, 0)), ISNUMBER(MATCH(X$1, AsistenciaJetAdminConcatenada!$B:$B, 0)), ISNUMBER(SEARCH($A9,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ISNUMBER(SEARCH($A9, INDEX(AsistenciaJetAdminConcatenada!$D:$D, MATCH(1, (AsistenciaJetAdminConcatenada!$A:$A=X$2)*(AsistenciaJetAdminConcatenada!$B:$B=X$1), 0)), 1))),  0.5, 0))</f>
        <v>1</v>
      </c>
      <c r="Y9" s="47">
        <f t="array" ref="Y9">IF(AND(ISNUMBER(MATCH(Y$2, AsistenciaJetAdminConcatenada!$A:$A, 0)), ISNUMBER(MATCH(Y$1, AsistenciaJetAdminConcatenada!$B:$B, 0)), ISNUMBER(SEARCH($A9,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ISNUMBER(SEARCH($A9, INDEX(AsistenciaJetAdminConcatenada!$D:$D, MATCH(1, (AsistenciaJetAdminConcatenada!$A:$A=Y$2)*(AsistenciaJetAdminConcatenada!$B:$B=Y$1), 0)), 1))),  0.5, 0))</f>
        <v>0.5</v>
      </c>
      <c r="Z9" s="47">
        <f t="array" ref="Z9">IF(AND(ISNUMBER(MATCH(Z$2, AsistenciaJetAdminConcatenada!$A:$A, 0)), ISNUMBER(MATCH(Z$1, AsistenciaJetAdminConcatenada!$B:$B, 0)), ISNUMBER(SEARCH($A9,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ISNUMBER(SEARCH($A9, INDEX(AsistenciaJetAdminConcatenada!$D:$D, MATCH(1, (AsistenciaJetAdminConcatenada!$A:$A=Z$2)*(AsistenciaJetAdminConcatenada!$B:$B=Z$1), 0)), 1))),  0.5, 0))</f>
        <v>1</v>
      </c>
      <c r="AA9" s="47">
        <f t="array" ref="AA9">IF(AND(ISNUMBER(MATCH(AA$2, AsistenciaJetAdminConcatenada!$A:$A, 0)), ISNUMBER(MATCH(AA$1, AsistenciaJetAdminConcatenada!$B:$B, 0)), ISNUMBER(SEARCH($A9,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ISNUMBER(SEARCH($A9, INDEX(AsistenciaJetAdminConcatenada!$D:$D, MATCH(1, (AsistenciaJetAdminConcatenada!$A:$A=AA$2)*(AsistenciaJetAdminConcatenada!$B:$B=AA$1), 0)), 1))),  0.5, 0))</f>
        <v>0</v>
      </c>
      <c r="AB9" s="47">
        <f t="array" ref="AB9">IF(AND(ISNUMBER(MATCH(AB$2, AsistenciaJetAdminConcatenada!$A:$A, 0)), ISNUMBER(MATCH(AB$1, AsistenciaJetAdminConcatenada!$B:$B, 0)), ISNUMBER(SEARCH($A9,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ISNUMBER(SEARCH($A9, INDEX(AsistenciaJetAdminConcatenada!$D:$D, MATCH(1, (AsistenciaJetAdminConcatenada!$A:$A=AB$2)*(AsistenciaJetAdminConcatenada!$B:$B=AB$1), 0)), 1))),  0.5, 0))</f>
        <v>1</v>
      </c>
      <c r="AC9" s="47">
        <f t="array" ref="AC9">IF(AND(ISNUMBER(MATCH(AC$2, AsistenciaJetAdminConcatenada!$A:$A, 0)), ISNUMBER(MATCH(AC$1, AsistenciaJetAdminConcatenada!$B:$B, 0)), ISNUMBER(SEARCH($A9,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ISNUMBER(SEARCH($A9, INDEX(AsistenciaJetAdminConcatenada!$D:$D, MATCH(1, (AsistenciaJetAdminConcatenada!$A:$A=AC$2)*(AsistenciaJetAdminConcatenada!$B:$B=AC$1), 0)), 1))),  0.5, 0))</f>
        <v>1</v>
      </c>
      <c r="AD9" s="47">
        <f t="array" ref="AD9">IF(AND(ISNUMBER(MATCH(AD$2, AsistenciaJetAdminConcatenada!$A:$A, 0)), ISNUMBER(MATCH(AD$1, AsistenciaJetAdminConcatenada!$B:$B, 0)), ISNUMBER(SEARCH($A9,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ISNUMBER(SEARCH($A9, INDEX(AsistenciaJetAdminConcatenada!$D:$D, MATCH(1, (AsistenciaJetAdminConcatenada!$A:$A=AD$2)*(AsistenciaJetAdminConcatenada!$B:$B=AD$1), 0)), 1))),  0.5, 0))</f>
        <v>0.5</v>
      </c>
      <c r="AE9" s="47">
        <f t="array" ref="AE9">IF(AND(ISNUMBER(MATCH(AE$2, AsistenciaJetAdminConcatenada!$A:$A, 0)), ISNUMBER(MATCH(AE$1, AsistenciaJetAdminConcatenada!$B:$B, 0)), ISNUMBER(SEARCH($A9,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ISNUMBER(SEARCH($A9, INDEX(AsistenciaJetAdminConcatenada!$D:$D, MATCH(1, (AsistenciaJetAdminConcatenada!$A:$A=AE$2)*(AsistenciaJetAdminConcatenada!$B:$B=AE$1), 0)), 1))),  0.5, 0))</f>
        <v>0</v>
      </c>
      <c r="AF9" s="47">
        <f t="array" ref="AF9">IF(AND(ISNUMBER(MATCH(AF$2, AsistenciaJetAdminConcatenada!$A:$A, 0)), ISNUMBER(MATCH(AF$1, AsistenciaJetAdminConcatenada!$B:$B, 0)), ISNUMBER(SEARCH($A9,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ISNUMBER(SEARCH($A9, INDEX(AsistenciaJetAdminConcatenada!$D:$D, MATCH(1, (AsistenciaJetAdminConcatenada!$A:$A=AF$2)*(AsistenciaJetAdminConcatenada!$B:$B=AF$1), 0)), 1))),  0.5, 0))</f>
        <v>1</v>
      </c>
      <c r="AG9" s="47">
        <f t="array" ref="AG9">IF(AND(ISNUMBER(MATCH(AG$2, AsistenciaJetAdminConcatenada!$A:$A, 0)), ISNUMBER(MATCH(AG$1, AsistenciaJetAdminConcatenada!$B:$B, 0)), ISNUMBER(SEARCH($A9,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ISNUMBER(SEARCH($A9, INDEX(AsistenciaJetAdminConcatenada!$D:$D, MATCH(1, (AsistenciaJetAdminConcatenada!$A:$A=AG$2)*(AsistenciaJetAdminConcatenada!$B:$B=AG$1), 0)), 1))),  0.5, 0))</f>
        <v>0</v>
      </c>
      <c r="AH9" s="47">
        <f t="array" ref="AH9">IF(AND(ISNUMBER(MATCH(AH$2, AsistenciaJetAdminConcatenada!$A:$A, 0)), ISNUMBER(MATCH(AH$1, AsistenciaJetAdminConcatenada!$B:$B, 0)), ISNUMBER(SEARCH($A9,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ISNUMBER(SEARCH($A9, INDEX(AsistenciaJetAdminConcatenada!$D:$D, MATCH(1, (AsistenciaJetAdminConcatenada!$A:$A=AH$2)*(AsistenciaJetAdminConcatenada!$B:$B=AH$1), 0)), 1))),  0.5, 0))</f>
        <v>0</v>
      </c>
      <c r="AI9" s="47">
        <f t="array" ref="AI9">IF(AND(ISNUMBER(MATCH(AI$2, AsistenciaJetAdminConcatenada!$A:$A, 0)), ISNUMBER(MATCH(AI$1, AsistenciaJetAdminConcatenada!$B:$B, 0)), ISNUMBER(SEARCH($A9,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ISNUMBER(SEARCH($A9, INDEX(AsistenciaJetAdminConcatenada!$D:$D, MATCH(1, (AsistenciaJetAdminConcatenada!$A:$A=AI$2)*(AsistenciaJetAdminConcatenada!$B:$B=AI$1), 0)), 1))),  0.5, 0))</f>
        <v>0</v>
      </c>
      <c r="AJ9" s="47">
        <f t="array" ref="AJ9">IF(AND(ISNUMBER(MATCH(AJ$2, AsistenciaJetAdminConcatenada!$A:$A, 0)), ISNUMBER(MATCH(AJ$1, AsistenciaJetAdminConcatenada!$B:$B, 0)), ISNUMBER(SEARCH($A9,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ISNUMBER(SEARCH($A9, INDEX(AsistenciaJetAdminConcatenada!$D:$D, MATCH(1, (AsistenciaJetAdminConcatenada!$A:$A=AJ$2)*(AsistenciaJetAdminConcatenada!$B:$B=AJ$1), 0)), 1))),  0.5, 0))</f>
        <v>1</v>
      </c>
      <c r="AK9" s="47">
        <f t="array" ref="AK9">IF(AND(ISNUMBER(MATCH(AK$2, AsistenciaJetAdminConcatenada!$A:$A, 0)), ISNUMBER(MATCH(AK$1, AsistenciaJetAdminConcatenada!$B:$B, 0)), ISNUMBER(SEARCH($A9,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ISNUMBER(SEARCH($A9, INDEX(AsistenciaJetAdminConcatenada!$D:$D, MATCH(1, (AsistenciaJetAdminConcatenada!$A:$A=AK$2)*(AsistenciaJetAdminConcatenada!$B:$B=AK$1), 0)), 1))),  0.5, 0))</f>
        <v>0</v>
      </c>
      <c r="AL9" s="47">
        <f t="array" ref="AL9">IF(AND(ISNUMBER(MATCH(AL$2, AsistenciaJetAdminConcatenada!$A:$A, 0)), ISNUMBER(MATCH(AL$1, AsistenciaJetAdminConcatenada!$B:$B, 0)), ISNUMBER(SEARCH($A9,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ISNUMBER(SEARCH($A9, INDEX(AsistenciaJetAdminConcatenada!$D:$D, MATCH(1, (AsistenciaJetAdminConcatenada!$A:$A=AL$2)*(AsistenciaJetAdminConcatenada!$B:$B=AL$1), 0)), 1))),  0.5, 0))</f>
        <v>1</v>
      </c>
      <c r="AM9" s="47">
        <f t="array" ref="AM9">IF(AND(ISNUMBER(MATCH(AM$2, AsistenciaJetAdminConcatenada!$A:$A, 0)), ISNUMBER(MATCH(AM$1, AsistenciaJetAdminConcatenada!$B:$B, 0)), ISNUMBER(SEARCH($A9,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ISNUMBER(SEARCH($A9, INDEX(AsistenciaJetAdminConcatenada!$D:$D, MATCH(1, (AsistenciaJetAdminConcatenada!$A:$A=AM$2)*(AsistenciaJetAdminConcatenada!$B:$B=AM$1), 0)), 1))),  0.5, 0))</f>
        <v>1</v>
      </c>
      <c r="AN9" s="47">
        <f t="array" ref="AN9">IF(AND(ISNUMBER(MATCH(AN$2, AsistenciaJetAdminConcatenada!$A:$A, 0)), ISNUMBER(MATCH(AN$1, AsistenciaJetAdminConcatenada!$B:$B, 0)), ISNUMBER(SEARCH($A9,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ISNUMBER(SEARCH($A9, INDEX(AsistenciaJetAdminConcatenada!$D:$D, MATCH(1, (AsistenciaJetAdminConcatenada!$A:$A=AN$2)*(AsistenciaJetAdminConcatenada!$B:$B=AN$1), 0)), 1))),  0.5, 0))</f>
        <v>1</v>
      </c>
      <c r="AO9" s="47">
        <f t="array" ref="AO9">IF(AND(ISNUMBER(MATCH(AO$2, AsistenciaJetAdminConcatenada!$A:$A, 0)), ISNUMBER(MATCH(AO$1, AsistenciaJetAdminConcatenada!$B:$B, 0)), ISNUMBER(SEARCH($A9,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ISNUMBER(SEARCH($A9, INDEX(AsistenciaJetAdminConcatenada!$D:$D, MATCH(1, (AsistenciaJetAdminConcatenada!$A:$A=AO$2)*(AsistenciaJetAdminConcatenada!$B:$B=AO$1), 0)), 1))),  0.5, 0))</f>
        <v>1</v>
      </c>
      <c r="AP9" s="47">
        <f t="array" ref="AP9">IF(AND(ISNUMBER(MATCH(AP$2, AsistenciaJetAdminConcatenada!$A:$A, 0)), ISNUMBER(MATCH(AP$1, AsistenciaJetAdminConcatenada!$B:$B, 0)), ISNUMBER(SEARCH($A9,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ISNUMBER(SEARCH($A9, INDEX(AsistenciaJetAdminConcatenada!$D:$D, MATCH(1, (AsistenciaJetAdminConcatenada!$A:$A=AP$2)*(AsistenciaJetAdminConcatenada!$B:$B=AP$1), 0)), 1))),  0.5, 0))</f>
        <v>0.5</v>
      </c>
      <c r="AQ9" s="47">
        <f t="array" ref="AQ9">IF(AND(ISNUMBER(MATCH(AQ$2, AsistenciaJetAdminConcatenada!$A:$A, 0)), ISNUMBER(MATCH(AQ$1, AsistenciaJetAdminConcatenada!$B:$B, 0)), ISNUMBER(SEARCH($A9,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ISNUMBER(SEARCH($A9, INDEX(AsistenciaJetAdminConcatenada!$D:$D, MATCH(1, (AsistenciaJetAdminConcatenada!$A:$A=AQ$2)*(AsistenciaJetAdminConcatenada!$B:$B=AQ$1), 0)), 1))),  0.5, 0))</f>
        <v>0</v>
      </c>
      <c r="AR9" s="47">
        <f t="array" ref="AR9">IF(AND(ISNUMBER(MATCH(AR$2, AsistenciaJetAdminConcatenada!$A:$A, 0)), ISNUMBER(MATCH(AR$1, AsistenciaJetAdminConcatenada!$B:$B, 0)), ISNUMBER(SEARCH($A9,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ISNUMBER(SEARCH($A9, INDEX(AsistenciaJetAdminConcatenada!$D:$D, MATCH(1, (AsistenciaJetAdminConcatenada!$A:$A=AR$2)*(AsistenciaJetAdminConcatenada!$B:$B=AR$1), 0)), 1))),  0.5, 0))</f>
        <v>1</v>
      </c>
      <c r="AS9" s="47">
        <f t="array" ref="AS9">IF(AND(ISNUMBER(MATCH(AS$2, AsistenciaJetAdminConcatenada!$A:$A, 0)), ISNUMBER(MATCH(AS$1, AsistenciaJetAdminConcatenada!$B:$B, 0)), ISNUMBER(SEARCH($A9,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ISNUMBER(SEARCH($A9, INDEX(AsistenciaJetAdminConcatenada!$D:$D, MATCH(1, (AsistenciaJetAdminConcatenada!$A:$A=AS$2)*(AsistenciaJetAdminConcatenada!$B:$B=AS$1), 0)), 1))),  0.5, 0))</f>
        <v>1</v>
      </c>
      <c r="AT9" s="47">
        <f t="array" ref="AT9">IF(AND(ISNUMBER(MATCH(AT$2, AsistenciaJetAdminConcatenada!$A:$A, 0)), ISNUMBER(MATCH(AT$1, AsistenciaJetAdminConcatenada!$B:$B, 0)), ISNUMBER(SEARCH($A9,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ISNUMBER(SEARCH($A9, INDEX(AsistenciaJetAdminConcatenada!$D:$D, MATCH(1, (AsistenciaJetAdminConcatenada!$A:$A=AT$2)*(AsistenciaJetAdminConcatenada!$B:$B=AT$1), 0)), 1))),  0.5, 0))</f>
        <v>0</v>
      </c>
      <c r="AU9" s="47">
        <f t="array" ref="AU9">IF(AND(ISNUMBER(MATCH(AU$2, AsistenciaJetAdminConcatenada!$A:$A, 0)), ISNUMBER(MATCH(AU$1, AsistenciaJetAdminConcatenada!$B:$B, 0)), ISNUMBER(SEARCH($A9,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ISNUMBER(SEARCH($A9, INDEX(AsistenciaJetAdminConcatenada!$D:$D, MATCH(1, (AsistenciaJetAdminConcatenada!$A:$A=AU$2)*(AsistenciaJetAdminConcatenada!$B:$B=AU$1), 0)), 1))),  0.5, 0))</f>
        <v>1</v>
      </c>
      <c r="AV9" s="47">
        <f t="array" ref="AV9">IF(AND(ISNUMBER(MATCH(AV$2, AsistenciaJetAdminConcatenada!$A:$A, 0)), ISNUMBER(MATCH(AV$1, AsistenciaJetAdminConcatenada!$B:$B, 0)), ISNUMBER(SEARCH($A9,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ISNUMBER(SEARCH($A9, INDEX(AsistenciaJetAdminConcatenada!$D:$D, MATCH(1, (AsistenciaJetAdminConcatenada!$A:$A=AV$2)*(AsistenciaJetAdminConcatenada!$B:$B=AV$1), 0)), 1))),  0.5, 0))</f>
        <v>1</v>
      </c>
      <c r="AW9" s="47">
        <f t="array" ref="AW9">IF(AND(ISNUMBER(MATCH(AW$2, AsistenciaJetAdminConcatenada!$A:$A, 0)), ISNUMBER(MATCH(AW$1, AsistenciaJetAdminConcatenada!$B:$B, 0)), ISNUMBER(SEARCH($A9,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ISNUMBER(SEARCH($A9, INDEX(AsistenciaJetAdminConcatenada!$D:$D, MATCH(1, (AsistenciaJetAdminConcatenada!$A:$A=AW$2)*(AsistenciaJetAdminConcatenada!$B:$B=AW$1), 0)), 1))),  0.5, 0))</f>
        <v>0</v>
      </c>
      <c r="AX9" s="47">
        <f t="array" ref="AX9">IF(AND(ISNUMBER(MATCH(AX$2, AsistenciaJetAdminConcatenada!$A:$A, 0)), ISNUMBER(MATCH(AX$1, AsistenciaJetAdminConcatenada!$B:$B, 0)), ISNUMBER(SEARCH($A9,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ISNUMBER(SEARCH($A9, INDEX(AsistenciaJetAdminConcatenada!$D:$D, MATCH(1, (AsistenciaJetAdminConcatenada!$A:$A=AX$2)*(AsistenciaJetAdminConcatenada!$B:$B=AX$1), 0)), 1))),  0.5, 0))</f>
        <v>1</v>
      </c>
      <c r="AY9" s="47">
        <f t="array" ref="AY9">IF(AND(ISNUMBER(MATCH(AY$2, AsistenciaJetAdminConcatenada!$A:$A, 0)), ISNUMBER(MATCH(AY$1, AsistenciaJetAdminConcatenada!$B:$B, 0)), ISNUMBER(SEARCH($A9,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ISNUMBER(SEARCH($A9, INDEX(AsistenciaJetAdminConcatenada!$D:$D, MATCH(1, (AsistenciaJetAdminConcatenada!$A:$A=AY$2)*(AsistenciaJetAdminConcatenada!$B:$B=AY$1), 0)), 1))),  0.5, 0))</f>
        <v>0</v>
      </c>
      <c r="AZ9" s="47">
        <f t="array" ref="AZ9">IF(AND(ISNUMBER(MATCH(AZ$2, AsistenciaJetAdminConcatenada!$A:$A, 0)), ISNUMBER(MATCH(AZ$1, AsistenciaJetAdminConcatenada!$B:$B, 0)), ISNUMBER(SEARCH($A9,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ISNUMBER(SEARCH($A9, INDEX(AsistenciaJetAdminConcatenada!$D:$D, MATCH(1, (AsistenciaJetAdminConcatenada!$A:$A=AZ$2)*(AsistenciaJetAdminConcatenada!$B:$B=AZ$1), 0)), 1))),  0.5, 0))</f>
        <v>0</v>
      </c>
      <c r="BA9" s="47">
        <f t="array" ref="BA9">IF(AND(ISNUMBER(MATCH(BA$2, AsistenciaJetAdminConcatenada!$A:$A, 0)), ISNUMBER(MATCH(BA$1, AsistenciaJetAdminConcatenada!$B:$B, 0)), ISNUMBER(SEARCH($A9,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ISNUMBER(SEARCH($A9, INDEX(AsistenciaJetAdminConcatenada!$D:$D, MATCH(1, (AsistenciaJetAdminConcatenada!$A:$A=BA$2)*(AsistenciaJetAdminConcatenada!$B:$B=BA$1), 0)), 1))),  0.5, 0))</f>
        <v>0</v>
      </c>
      <c r="BB9" s="47">
        <f t="array" ref="BB9">IF(AND(ISNUMBER(MATCH(BB$2, AsistenciaJetAdminConcatenada!$A:$A, 0)), ISNUMBER(MATCH(BB$1, AsistenciaJetAdminConcatenada!$B:$B, 0)), ISNUMBER(SEARCH($A9,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ISNUMBER(SEARCH($A9, INDEX(AsistenciaJetAdminConcatenada!$D:$D, MATCH(1, (AsistenciaJetAdminConcatenada!$A:$A=BB$2)*(AsistenciaJetAdminConcatenada!$B:$B=BB$1), 0)), 1))),  0.5, 0))</f>
        <v>1</v>
      </c>
      <c r="BC9" s="47">
        <f t="array" ref="BC9">IF(AND(ISNUMBER(MATCH(BC$2, AsistenciaJetAdminConcatenada!$A:$A, 0)), ISNUMBER(MATCH(BC$1, AsistenciaJetAdminConcatenada!$B:$B, 0)), ISNUMBER(SEARCH($A9,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ISNUMBER(SEARCH($A9, INDEX(AsistenciaJetAdminConcatenada!$D:$D, MATCH(1, (AsistenciaJetAdminConcatenada!$A:$A=BC$2)*(AsistenciaJetAdminConcatenada!$B:$B=BC$1), 0)), 1))),  0.5, 0))</f>
        <v>1</v>
      </c>
      <c r="BD9" s="47">
        <f t="array" ref="BD9">IF(AND(ISNUMBER(MATCH(BD$2, AsistenciaJetAdminConcatenada!$A:$A, 0)), ISNUMBER(MATCH(BD$1, AsistenciaJetAdminConcatenada!$B:$B, 0)), ISNUMBER(SEARCH($A9,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ISNUMBER(SEARCH($A9, INDEX(AsistenciaJetAdminConcatenada!$D:$D, MATCH(1, (AsistenciaJetAdminConcatenada!$A:$A=BD$2)*(AsistenciaJetAdminConcatenada!$B:$B=BD$1), 0)), 1))),  0.5, 0))</f>
        <v>0</v>
      </c>
      <c r="BE9" s="47">
        <f t="array" ref="BE9">IF(AND(ISNUMBER(MATCH(BE$2, AsistenciaJetAdminConcatenada!$A:$A, 0)), ISNUMBER(MATCH(BE$1, AsistenciaJetAdminConcatenada!$B:$B, 0)), ISNUMBER(SEARCH($A9,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ISNUMBER(SEARCH($A9, INDEX(AsistenciaJetAdminConcatenada!$D:$D, MATCH(1, (AsistenciaJetAdminConcatenada!$A:$A=BE$2)*(AsistenciaJetAdminConcatenada!$B:$B=BE$1), 0)), 1))),  0.5, 0))</f>
        <v>1</v>
      </c>
      <c r="BF9" s="47">
        <f t="array" ref="BF9">IF(AND(ISNUMBER(MATCH(BF$2, AsistenciaJetAdminConcatenada!$A:$A, 0)), ISNUMBER(MATCH(BF$1, AsistenciaJetAdminConcatenada!$B:$B, 0)), ISNUMBER(SEARCH($A9,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ISNUMBER(SEARCH($A9, INDEX(AsistenciaJetAdminConcatenada!$D:$D, MATCH(1, (AsistenciaJetAdminConcatenada!$A:$A=BF$2)*(AsistenciaJetAdminConcatenada!$B:$B=BF$1), 0)), 1))),  0.5, 0))</f>
        <v>1</v>
      </c>
      <c r="BG9" s="47">
        <f t="array" ref="BG9">IF(AND(ISNUMBER(MATCH(BG$2, AsistenciaJetAdminConcatenada!$A:$A, 0)), ISNUMBER(MATCH(BG$1, AsistenciaJetAdminConcatenada!$B:$B, 0)), ISNUMBER(SEARCH($A9,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ISNUMBER(SEARCH($A9, INDEX(AsistenciaJetAdminConcatenada!$D:$D, MATCH(1, (AsistenciaJetAdminConcatenada!$A:$A=BG$2)*(AsistenciaJetAdminConcatenada!$B:$B=BG$1), 0)), 1))),  0.5, 0))</f>
        <v>1</v>
      </c>
      <c r="BH9" s="47">
        <f t="array" ref="BH9">IF(AND(ISNUMBER(MATCH(BH$2, AsistenciaJetAdminConcatenada!$A:$A, 0)), ISNUMBER(MATCH(BH$1, AsistenciaJetAdminConcatenada!$B:$B, 0)), ISNUMBER(SEARCH($A9,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ISNUMBER(SEARCH($A9, INDEX(AsistenciaJetAdminConcatenada!$D:$D, MATCH(1, (AsistenciaJetAdminConcatenada!$A:$A=BH$2)*(AsistenciaJetAdminConcatenada!$B:$B=BH$1), 0)), 1))),  0.5, 0))</f>
        <v>1</v>
      </c>
      <c r="BI9" s="47">
        <f t="array" ref="BI9">IF(AND(ISNUMBER(MATCH(BI$2, AsistenciaJetAdminConcatenada!$A:$A, 0)), ISNUMBER(MATCH(BI$1, AsistenciaJetAdminConcatenada!$B:$B, 0)), ISNUMBER(SEARCH($A9,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ISNUMBER(SEARCH($A9, INDEX(AsistenciaJetAdminConcatenada!$D:$D, MATCH(1, (AsistenciaJetAdminConcatenada!$A:$A=BI$2)*(AsistenciaJetAdminConcatenada!$B:$B=BI$1), 0)), 1))),  0.5, 0))</f>
        <v>1</v>
      </c>
      <c r="BJ9" s="47">
        <f t="array" ref="BJ9">IF(AND(ISNUMBER(MATCH(BJ$2, AsistenciaJetAdminConcatenada!$A:$A, 0)), ISNUMBER(MATCH(BJ$1, AsistenciaJetAdminConcatenada!$B:$B, 0)), ISNUMBER(SEARCH($A9,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ISNUMBER(SEARCH($A9, INDEX(AsistenciaJetAdminConcatenada!$D:$D, MATCH(1, (AsistenciaJetAdminConcatenada!$A:$A=BJ$2)*(AsistenciaJetAdminConcatenada!$B:$B=BJ$1), 0)), 1))),  0.5, 0))</f>
        <v>1</v>
      </c>
      <c r="BK9" s="47">
        <f t="array" ref="BK9">IF(AND(ISNUMBER(MATCH(BK$2, AsistenciaJetAdminConcatenada!$A:$A, 0)), ISNUMBER(MATCH(BK$1, AsistenciaJetAdminConcatenada!$B:$B, 0)), ISNUMBER(SEARCH($A9,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ISNUMBER(SEARCH($A9, INDEX(AsistenciaJetAdminConcatenada!$D:$D, MATCH(1, (AsistenciaJetAdminConcatenada!$A:$A=BK$2)*(AsistenciaJetAdminConcatenada!$B:$B=BK$1), 0)), 1))),  0.5, 0))</f>
        <v>1</v>
      </c>
      <c r="BL9" s="47">
        <f t="array" ref="BL9">IF(AND(ISNUMBER(MATCH(BL$2, AsistenciaJetAdminConcatenada!$A:$A, 0)), ISNUMBER(MATCH(BL$1, AsistenciaJetAdminConcatenada!$B:$B, 0)), ISNUMBER(SEARCH($A9,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ISNUMBER(SEARCH($A9, INDEX(AsistenciaJetAdminConcatenada!$D:$D, MATCH(1, (AsistenciaJetAdminConcatenada!$A:$A=BL$2)*(AsistenciaJetAdminConcatenada!$B:$B=BL$1), 0)), 1))),  0.5, 0))</f>
        <v>1</v>
      </c>
      <c r="BM9" s="47">
        <f t="array" ref="BM9">IF(AND(ISNUMBER(MATCH(BM$2, AsistenciaJetAdminConcatenada!$A:$A, 0)), ISNUMBER(MATCH(BM$1, AsistenciaJetAdminConcatenada!$B:$B, 0)), ISNUMBER(SEARCH($A9,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ISNUMBER(SEARCH($A9, INDEX(AsistenciaJetAdminConcatenada!$D:$D, MATCH(1, (AsistenciaJetAdminConcatenada!$A:$A=BM$2)*(AsistenciaJetAdminConcatenada!$B:$B=BM$1), 0)), 1))),  0.5, 0))</f>
        <v>1</v>
      </c>
      <c r="BN9" s="47">
        <f t="array" ref="BN9">IF(AND(ISNUMBER(MATCH(BN$2, AsistenciaJetAdminConcatenada!$A:$A, 0)), ISNUMBER(MATCH(BN$1, AsistenciaJetAdminConcatenada!$B:$B, 0)), ISNUMBER(SEARCH($A9,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ISNUMBER(SEARCH($A9, INDEX(AsistenciaJetAdminConcatenada!$D:$D, MATCH(1, (AsistenciaJetAdminConcatenada!$A:$A=BN$2)*(AsistenciaJetAdminConcatenada!$B:$B=BN$1), 0)), 1))),  0.5, 0))</f>
        <v>1</v>
      </c>
      <c r="BO9" s="47">
        <f t="array" ref="BO9">IF(AND(ISNUMBER(MATCH(BO$2, AsistenciaJetAdminConcatenada!$A:$A, 0)), ISNUMBER(MATCH(BO$1, AsistenciaJetAdminConcatenada!$B:$B, 0)), ISNUMBER(SEARCH($A9,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ISNUMBER(SEARCH($A9, INDEX(AsistenciaJetAdminConcatenada!$D:$D, MATCH(1, (AsistenciaJetAdminConcatenada!$A:$A=BO$2)*(AsistenciaJetAdminConcatenada!$B:$B=BO$1), 0)), 1))),  0.5, 0))</f>
        <v>0</v>
      </c>
      <c r="BP9" s="47">
        <f t="array" ref="BP9">IF(AND(ISNUMBER(MATCH(BP$2, AsistenciaJetAdminConcatenada!$A:$A, 0)), ISNUMBER(MATCH(BP$1, AsistenciaJetAdminConcatenada!$B:$B, 0)), ISNUMBER(SEARCH($A9,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ISNUMBER(SEARCH($A9, INDEX(AsistenciaJetAdminConcatenada!$D:$D, MATCH(1, (AsistenciaJetAdminConcatenada!$A:$A=BP$2)*(AsistenciaJetAdminConcatenada!$B:$B=BP$1), 0)), 1))),  0.5, 0))</f>
        <v>1</v>
      </c>
      <c r="BQ9" s="47">
        <f t="array" ref="BQ9">IF(AND(ISNUMBER(MATCH(BQ$2, AsistenciaJetAdminConcatenada!$A:$A, 0)), ISNUMBER(MATCH(BQ$1, AsistenciaJetAdminConcatenada!$B:$B, 0)), ISNUMBER(SEARCH($A9,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ISNUMBER(SEARCH($A9, INDEX(AsistenciaJetAdminConcatenada!$D:$D, MATCH(1, (AsistenciaJetAdminConcatenada!$A:$A=BQ$2)*(AsistenciaJetAdminConcatenada!$B:$B=BQ$1), 0)), 1))),  0.5, 0))</f>
        <v>0</v>
      </c>
      <c r="BR9" s="47">
        <f t="array" ref="BR9">IF(AND(ISNUMBER(MATCH(BR$2, AsistenciaJetAdminConcatenada!$A:$A, 0)), ISNUMBER(MATCH(BR$1, AsistenciaJetAdminConcatenada!$B:$B, 0)), ISNUMBER(SEARCH($A9,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ISNUMBER(SEARCH($A9, INDEX(AsistenciaJetAdminConcatenada!$D:$D, MATCH(1, (AsistenciaJetAdminConcatenada!$A:$A=BR$2)*(AsistenciaJetAdminConcatenada!$B:$B=BR$1), 0)), 1))),  0.5, 0))</f>
        <v>1</v>
      </c>
      <c r="BS9" s="47">
        <f t="array" ref="BS9">IF(AND(ISNUMBER(MATCH(BS$2, AsistenciaJetAdminConcatenada!$A:$A, 0)), ISNUMBER(MATCH(BS$1, AsistenciaJetAdminConcatenada!$B:$B, 0)), ISNUMBER(SEARCH($A9,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ISNUMBER(SEARCH($A9, INDEX(AsistenciaJetAdminConcatenada!$D:$D, MATCH(1, (AsistenciaJetAdminConcatenada!$A:$A=BS$2)*(AsistenciaJetAdminConcatenada!$B:$B=BS$1), 0)), 1))),  0.5, 0))</f>
        <v>1</v>
      </c>
      <c r="BT9" s="47">
        <f t="array" ref="BT9">IF(AND(ISNUMBER(MATCH(BT$2, AsistenciaJetAdminConcatenada!$A:$A, 0)), ISNUMBER(MATCH(BT$1, AsistenciaJetAdminConcatenada!$B:$B, 0)), ISNUMBER(SEARCH($A9,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ISNUMBER(SEARCH($A9, INDEX(AsistenciaJetAdminConcatenada!$D:$D, MATCH(1, (AsistenciaJetAdminConcatenada!$A:$A=BT$2)*(AsistenciaJetAdminConcatenada!$B:$B=BT$1), 0)), 1))),  0.5, 0))</f>
        <v>1</v>
      </c>
      <c r="BU9" s="47">
        <f t="array" ref="BU9">IF(AND(ISNUMBER(MATCH(BU$2, AsistenciaJetAdminConcatenada!$A:$A, 0)), ISNUMBER(MATCH(BU$1, AsistenciaJetAdminConcatenada!$B:$B, 0)), ISNUMBER(SEARCH($A9,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ISNUMBER(SEARCH($A9, INDEX(AsistenciaJetAdminConcatenada!$D:$D, MATCH(1, (AsistenciaJetAdminConcatenada!$A:$A=BU$2)*(AsistenciaJetAdminConcatenada!$B:$B=BU$1), 0)), 1))),  0.5, 0))</f>
        <v>1</v>
      </c>
      <c r="BV9" s="47">
        <f t="array" ref="BV9">IF(AND(ISNUMBER(MATCH(BV$2, AsistenciaJetAdminConcatenada!$A:$A, 0)), ISNUMBER(MATCH(BV$1, AsistenciaJetAdminConcatenada!$B:$B, 0)), ISNUMBER(SEARCH($A9,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ISNUMBER(SEARCH($A9, INDEX(AsistenciaJetAdminConcatenada!$D:$D, MATCH(1, (AsistenciaJetAdminConcatenada!$A:$A=BV$2)*(AsistenciaJetAdminConcatenada!$B:$B=BV$1), 0)), 1))),  0.5, 0))</f>
        <v>0</v>
      </c>
      <c r="BW9" s="47">
        <f t="array" ref="BW9">IF(AND(ISNUMBER(MATCH(BW$2, AsistenciaJetAdminConcatenada!$A:$A, 0)), ISNUMBER(MATCH(BW$1, AsistenciaJetAdminConcatenada!$B:$B, 0)), ISNUMBER(SEARCH($A9,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ISNUMBER(SEARCH($A9, INDEX(AsistenciaJetAdminConcatenada!$D:$D, MATCH(1, (AsistenciaJetAdminConcatenada!$A:$A=BW$2)*(AsistenciaJetAdminConcatenada!$B:$B=BW$1), 0)), 1))),  0.5, 0))</f>
        <v>0</v>
      </c>
      <c r="BX9" s="47">
        <f t="array" ref="BX9">IF(AND(ISNUMBER(MATCH(BX$2, AsistenciaJetAdminConcatenada!$A:$A, 0)), ISNUMBER(MATCH(BX$1, AsistenciaJetAdminConcatenada!$B:$B, 0)), ISNUMBER(SEARCH($A9,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ISNUMBER(SEARCH($A9, INDEX(AsistenciaJetAdminConcatenada!$D:$D, MATCH(1, (AsistenciaJetAdminConcatenada!$A:$A=BX$2)*(AsistenciaJetAdminConcatenada!$B:$B=BX$1), 0)), 1))),  0.5, 0))</f>
        <v>0</v>
      </c>
      <c r="BY9" s="47">
        <f t="array" ref="BY9">IF(AND(ISNUMBER(MATCH(BY$2, AsistenciaJetAdminConcatenada!$A:$A, 0)), ISNUMBER(MATCH(BY$1, AsistenciaJetAdminConcatenada!$B:$B, 0)), ISNUMBER(SEARCH($A9,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ISNUMBER(SEARCH($A9, INDEX(AsistenciaJetAdminConcatenada!$D:$D, MATCH(1, (AsistenciaJetAdminConcatenada!$A:$A=BY$2)*(AsistenciaJetAdminConcatenada!$B:$B=BY$1), 0)), 1))),  0.5, 0))</f>
        <v>0</v>
      </c>
      <c r="BZ9" s="47">
        <f t="array" ref="BZ9">IF(AND(ISNUMBER(MATCH(BZ$2, AsistenciaJetAdminConcatenada!$A:$A, 0)), ISNUMBER(MATCH(BZ$1, AsistenciaJetAdminConcatenada!$B:$B, 0)), ISNUMBER(SEARCH($A9,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ISNUMBER(SEARCH($A9, INDEX(AsistenciaJetAdminConcatenada!$D:$D, MATCH(1, (AsistenciaJetAdminConcatenada!$A:$A=BZ$2)*(AsistenciaJetAdminConcatenada!$B:$B=BZ$1), 0)), 1))),  0.5, 0))</f>
        <v>1</v>
      </c>
      <c r="CA9" s="47">
        <f t="array" ref="CA9">IF(AND(ISNUMBER(MATCH(CA$2, AsistenciaJetAdminConcatenada!$A:$A, 0)), ISNUMBER(MATCH(CA$1, AsistenciaJetAdminConcatenada!$B:$B, 0)), ISNUMBER(SEARCH($A9,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ISNUMBER(SEARCH($A9, INDEX(AsistenciaJetAdminConcatenada!$D:$D, MATCH(1, (AsistenciaJetAdminConcatenada!$A:$A=CA$2)*(AsistenciaJetAdminConcatenada!$B:$B=CA$1), 0)), 1))),  0.5, 0))</f>
        <v>1</v>
      </c>
      <c r="CB9" s="47">
        <f t="array" ref="CB9">IF(AND(ISNUMBER(MATCH(CB$2, AsistenciaJetAdminConcatenada!$A:$A, 0)), ISNUMBER(MATCH(CB$1, AsistenciaJetAdminConcatenada!$B:$B, 0)), ISNUMBER(SEARCH($A9,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ISNUMBER(SEARCH($A9, INDEX(AsistenciaJetAdminConcatenada!$D:$D, MATCH(1, (AsistenciaJetAdminConcatenada!$A:$A=CB$2)*(AsistenciaJetAdminConcatenada!$B:$B=CB$1), 0)), 1))),  0.5, 0))</f>
        <v>0</v>
      </c>
      <c r="CC9" s="47">
        <f t="array" ref="CC9">IF(AND(ISNUMBER(MATCH(CC$2, AsistenciaJetAdminConcatenada!$A:$A, 0)), ISNUMBER(MATCH(CC$1, AsistenciaJetAdminConcatenada!$B:$B, 0)), ISNUMBER(SEARCH($A9,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ISNUMBER(SEARCH($A9, INDEX(AsistenciaJetAdminConcatenada!$D:$D, MATCH(1, (AsistenciaJetAdminConcatenada!$A:$A=CC$2)*(AsistenciaJetAdminConcatenada!$B:$B=CC$1), 0)), 1))),  0.5, 0))</f>
        <v>1</v>
      </c>
      <c r="CD9" s="47">
        <f t="array" ref="CD9">IF(AND(ISNUMBER(MATCH(CD$2, AsistenciaJetAdminConcatenada!$A:$A, 0)), ISNUMBER(MATCH(CD$1, AsistenciaJetAdminConcatenada!$B:$B, 0)), ISNUMBER(SEARCH($A9,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ISNUMBER(SEARCH($A9, INDEX(AsistenciaJetAdminConcatenada!$D:$D, MATCH(1, (AsistenciaJetAdminConcatenada!$A:$A=CD$2)*(AsistenciaJetAdminConcatenada!$B:$B=CD$1), 0)), 1))),  0.5, 0))</f>
        <v>1</v>
      </c>
      <c r="CE9" s="47">
        <f t="array" ref="CE9">IF(AND(ISNUMBER(MATCH(CE$2, AsistenciaJetAdminConcatenada!$A:$A, 0)), ISNUMBER(MATCH(CE$1, AsistenciaJetAdminConcatenada!$B:$B, 0)), ISNUMBER(SEARCH($A9,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ISNUMBER(SEARCH($A9, INDEX(AsistenciaJetAdminConcatenada!$D:$D, MATCH(1, (AsistenciaJetAdminConcatenada!$A:$A=CE$2)*(AsistenciaJetAdminConcatenada!$B:$B=CE$1), 0)), 1))),  0.5, 0))</f>
        <v>1</v>
      </c>
      <c r="CF9" s="47">
        <f t="array" ref="CF9">IF(AND(ISNUMBER(MATCH(CF$2, AsistenciaJetAdminConcatenada!$A:$A, 0)), ISNUMBER(MATCH(CF$1, AsistenciaJetAdminConcatenada!$B:$B, 0)), ISNUMBER(SEARCH($A9,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ISNUMBER(SEARCH($A9, INDEX(AsistenciaJetAdminConcatenada!$D:$D, MATCH(1, (AsistenciaJetAdminConcatenada!$A:$A=CF$2)*(AsistenciaJetAdminConcatenada!$B:$B=CF$1), 0)), 1))),  0.5, 0))</f>
        <v>1</v>
      </c>
      <c r="CG9" s="47">
        <f t="array" ref="CG9">IF(AND(ISNUMBER(MATCH(CG$2, AsistenciaJetAdminConcatenada!$A:$A, 0)), ISNUMBER(MATCH(CG$1, AsistenciaJetAdminConcatenada!$B:$B, 0)), ISNUMBER(SEARCH($A9,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ISNUMBER(SEARCH($A9, INDEX(AsistenciaJetAdminConcatenada!$D:$D, MATCH(1, (AsistenciaJetAdminConcatenada!$A:$A=CG$2)*(AsistenciaJetAdminConcatenada!$B:$B=CG$1), 0)), 1))),  0.5, 0))</f>
        <v>1</v>
      </c>
      <c r="CH9" s="47">
        <f t="array" ref="CH9">IF(AND(ISNUMBER(MATCH(CH$2, AsistenciaJetAdminConcatenada!$A:$A, 0)), ISNUMBER(MATCH(CH$1, AsistenciaJetAdminConcatenada!$B:$B, 0)), ISNUMBER(SEARCH($A9,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ISNUMBER(SEARCH($A9, INDEX(AsistenciaJetAdminConcatenada!$D:$D, MATCH(1, (AsistenciaJetAdminConcatenada!$A:$A=CH$2)*(AsistenciaJetAdminConcatenada!$B:$B=CH$1), 0)), 1))),  0.5, 0))</f>
        <v>1</v>
      </c>
      <c r="CI9" s="47">
        <f t="array" ref="CI9">IF(AND(ISNUMBER(MATCH(CI$2, AsistenciaJetAdminConcatenada!$A:$A, 0)), ISNUMBER(MATCH(CI$1, AsistenciaJetAdminConcatenada!$B:$B, 0)), ISNUMBER(SEARCH($A9,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ISNUMBER(SEARCH($A9, INDEX(AsistenciaJetAdminConcatenada!$D:$D, MATCH(1, (AsistenciaJetAdminConcatenada!$A:$A=CI$2)*(AsistenciaJetAdminConcatenada!$B:$B=CI$1), 0)), 1))),  0.5, 0))</f>
        <v>1</v>
      </c>
      <c r="CJ9" s="47">
        <f t="array" ref="CJ9">IF(AND(ISNUMBER(MATCH(CJ$2, AsistenciaJetAdminConcatenada!$A:$A, 0)), ISNUMBER(MATCH(CJ$1, AsistenciaJetAdminConcatenada!$B:$B, 0)), ISNUMBER(SEARCH($A9,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ISNUMBER(SEARCH($A9, INDEX(AsistenciaJetAdminConcatenada!$D:$D, MATCH(1, (AsistenciaJetAdminConcatenada!$A:$A=CJ$2)*(AsistenciaJetAdminConcatenada!$B:$B=CJ$1), 0)), 1))),  0.5, 0))</f>
        <v>1</v>
      </c>
      <c r="CK9" s="47">
        <f t="array" ref="CK9">IF(AND(ISNUMBER(MATCH(CK$2, AsistenciaJetAdminConcatenada!$A:$A, 0)), ISNUMBER(MATCH(CK$1, AsistenciaJetAdminConcatenada!$B:$B, 0)), ISNUMBER(SEARCH($A9,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ISNUMBER(SEARCH($A9, INDEX(AsistenciaJetAdminConcatenada!$D:$D, MATCH(1, (AsistenciaJetAdminConcatenada!$A:$A=CK$2)*(AsistenciaJetAdminConcatenada!$B:$B=CK$1), 0)), 1))),  0.5, 0))</f>
        <v>1</v>
      </c>
      <c r="CL9" s="47">
        <f t="array" ref="CL9">IF(AND(ISNUMBER(MATCH(CL$2, AsistenciaJetAdminConcatenada!$A:$A, 0)), ISNUMBER(MATCH(CL$1, AsistenciaJetAdminConcatenada!$B:$B, 0)), ISNUMBER(SEARCH($A9,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ISNUMBER(SEARCH($A9, INDEX(AsistenciaJetAdminConcatenada!$D:$D, MATCH(1, (AsistenciaJetAdminConcatenada!$A:$A=CL$2)*(AsistenciaJetAdminConcatenada!$B:$B=CL$1), 0)), 1))),  0.5, 0))</f>
        <v>1</v>
      </c>
      <c r="CM9" s="47">
        <f t="array" ref="CM9">IF(AND(ISNUMBER(MATCH(CM$2, AsistenciaJetAdminConcatenada!$A:$A, 0)), ISNUMBER(MATCH(CM$1, AsistenciaJetAdminConcatenada!$B:$B, 0)), ISNUMBER(SEARCH($A9,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ISNUMBER(SEARCH($A9, INDEX(AsistenciaJetAdminConcatenada!$D:$D, MATCH(1, (AsistenciaJetAdminConcatenada!$A:$A=CM$2)*(AsistenciaJetAdminConcatenada!$B:$B=CM$1), 0)), 1))),  0.5, 0))</f>
        <v>1</v>
      </c>
      <c r="CN9" s="47">
        <f t="array" ref="CN9">IF(AND(ISNUMBER(MATCH(CN$2, AsistenciaJetAdminConcatenada!$A:$A, 0)), ISNUMBER(MATCH(CN$1, AsistenciaJetAdminConcatenada!$B:$B, 0)), ISNUMBER(SEARCH($A9,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ISNUMBER(SEARCH($A9, INDEX(AsistenciaJetAdminConcatenada!$D:$D, MATCH(1, (AsistenciaJetAdminConcatenada!$A:$A=CN$2)*(AsistenciaJetAdminConcatenada!$B:$B=CN$1), 0)), 1))),  0.5, 0))</f>
        <v>0</v>
      </c>
      <c r="CO9" s="47">
        <f t="array" ref="CO9">IF(AND(ISNUMBER(MATCH(CO$2, AsistenciaJetAdminConcatenada!$A:$A, 0)), ISNUMBER(MATCH(CO$1, AsistenciaJetAdminConcatenada!$B:$B, 0)), ISNUMBER(SEARCH($A9,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ISNUMBER(SEARCH($A9, INDEX(AsistenciaJetAdminConcatenada!$D:$D, MATCH(1, (AsistenciaJetAdminConcatenada!$A:$A=CO$2)*(AsistenciaJetAdminConcatenada!$B:$B=CO$1), 0)), 1))),  0.5, 0))</f>
        <v>1</v>
      </c>
      <c r="CP9" s="47">
        <f t="array" ref="CP9">IF(AND(ISNUMBER(MATCH(CP$2, AsistenciaJetAdminConcatenada!$A:$A, 0)), ISNUMBER(MATCH(CP$1, AsistenciaJetAdminConcatenada!$B:$B, 0)), ISNUMBER(SEARCH($A9,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ISNUMBER(SEARCH($A9, INDEX(AsistenciaJetAdminConcatenada!$D:$D, MATCH(1, (AsistenciaJetAdminConcatenada!$A:$A=CP$2)*(AsistenciaJetAdminConcatenada!$B:$B=CP$1), 0)), 1))),  0.5, 0))</f>
        <v>1</v>
      </c>
      <c r="CQ9" s="47">
        <f t="array" ref="CQ9">IF(AND(ISNUMBER(MATCH(CQ$2, AsistenciaJetAdminConcatenada!$A:$A, 0)), ISNUMBER(MATCH(CQ$1, AsistenciaJetAdminConcatenada!$B:$B, 0)), ISNUMBER(SEARCH($A9,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ISNUMBER(SEARCH($A9, INDEX(AsistenciaJetAdminConcatenada!$D:$D, MATCH(1, (AsistenciaJetAdminConcatenada!$A:$A=CQ$2)*(AsistenciaJetAdminConcatenada!$B:$B=CQ$1), 0)), 1))),  0.5, 0))</f>
        <v>1</v>
      </c>
      <c r="CR9" s="47">
        <f t="array" ref="CR9">IF(AND(ISNUMBER(MATCH(CR$2, AsistenciaJetAdminConcatenada!$A:$A, 0)), ISNUMBER(MATCH(CR$1, AsistenciaJetAdminConcatenada!$B:$B, 0)), ISNUMBER(SEARCH($A9,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ISNUMBER(SEARCH($A9, INDEX(AsistenciaJetAdminConcatenada!$D:$D, MATCH(1, (AsistenciaJetAdminConcatenada!$A:$A=CR$2)*(AsistenciaJetAdminConcatenada!$B:$B=CR$1), 0)), 1))),  0.5, 0))</f>
        <v>1</v>
      </c>
      <c r="CS9" s="47">
        <f t="array" ref="CS9">IF(AND(ISNUMBER(MATCH(CS$2, AsistenciaJetAdminConcatenada!$A:$A, 0)), ISNUMBER(MATCH(CS$1, AsistenciaJetAdminConcatenada!$B:$B, 0)), ISNUMBER(SEARCH($A9,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ISNUMBER(SEARCH($A9, INDEX(AsistenciaJetAdminConcatenada!$D:$D, MATCH(1, (AsistenciaJetAdminConcatenada!$A:$A=CS$2)*(AsistenciaJetAdminConcatenada!$B:$B=CS$1), 0)), 1))),  0.5, 0))</f>
        <v>0</v>
      </c>
      <c r="CT9" s="47">
        <f t="array" ref="CT9">IF(AND(ISNUMBER(MATCH(CT$2, AsistenciaJetAdminConcatenada!$A:$A, 0)), ISNUMBER(MATCH(CT$1, AsistenciaJetAdminConcatenada!$B:$B, 0)), ISNUMBER(SEARCH($A9,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ISNUMBER(SEARCH($A9, INDEX(AsistenciaJetAdminConcatenada!$D:$D, MATCH(1, (AsistenciaJetAdminConcatenada!$A:$A=CT$2)*(AsistenciaJetAdminConcatenada!$B:$B=CT$1), 0)), 1))),  0.5, 0))</f>
        <v>0</v>
      </c>
      <c r="CU9" s="47">
        <f t="array" ref="CU9">IF(AND(ISNUMBER(MATCH(CU$2, AsistenciaJetAdminConcatenada!$A:$A, 0)), ISNUMBER(MATCH(CU$1, AsistenciaJetAdminConcatenada!$B:$B, 0)), ISNUMBER(SEARCH($A9,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ISNUMBER(SEARCH($A9, INDEX(AsistenciaJetAdminConcatenada!$D:$D, MATCH(1, (AsistenciaJetAdminConcatenada!$A:$A=CU$2)*(AsistenciaJetAdminConcatenada!$B:$B=CU$1), 0)), 1))),  0.5, 0))</f>
        <v>0</v>
      </c>
      <c r="CV9" s="47">
        <f t="array" ref="CV9">IF(AND(ISNUMBER(MATCH(CV$2, AsistenciaJetAdminConcatenada!$A:$A, 0)), ISNUMBER(MATCH(CV$1, AsistenciaJetAdminConcatenada!$B:$B, 0)), ISNUMBER(SEARCH($A9,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ISNUMBER(SEARCH($A9, INDEX(AsistenciaJetAdminConcatenada!$D:$D, MATCH(1, (AsistenciaJetAdminConcatenada!$A:$A=CV$2)*(AsistenciaJetAdminConcatenada!$B:$B=CV$1), 0)), 1))),  0.5, 0))</f>
        <v>0</v>
      </c>
      <c r="CW9" s="47">
        <f t="array" ref="CW9">IF(AND(ISNUMBER(MATCH(CW$2, AsistenciaJetAdminConcatenada!$A:$A, 0)), ISNUMBER(MATCH(CW$1, AsistenciaJetAdminConcatenada!$B:$B, 0)), ISNUMBER(SEARCH($A9,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ISNUMBER(SEARCH($A9, INDEX(AsistenciaJetAdminConcatenada!$D:$D, MATCH(1, (AsistenciaJetAdminConcatenada!$A:$A=CW$2)*(AsistenciaJetAdminConcatenada!$B:$B=CW$1), 0)), 1))),  0.5, 0))</f>
        <v>0</v>
      </c>
      <c r="CX9" s="47">
        <f t="array" ref="CX9">IF(AND(ISNUMBER(MATCH(CX$2, AsistenciaJetAdminConcatenada!$A:$A, 0)), ISNUMBER(MATCH(CX$1, AsistenciaJetAdminConcatenada!$B:$B, 0)), ISNUMBER(SEARCH($A9,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ISNUMBER(SEARCH($A9, INDEX(AsistenciaJetAdminConcatenada!$D:$D, MATCH(1, (AsistenciaJetAdminConcatenada!$A:$A=CX$2)*(AsistenciaJetAdminConcatenada!$B:$B=CX$1), 0)), 1))),  0.5, 0))</f>
        <v>0</v>
      </c>
      <c r="CY9" s="47">
        <f t="array" ref="CY9">IF(AND(ISNUMBER(MATCH(CY$2, AsistenciaJetAdminConcatenada!$A:$A, 0)), ISNUMBER(MATCH(CY$1, AsistenciaJetAdminConcatenada!$B:$B, 0)), ISNUMBER(SEARCH($A9,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ISNUMBER(SEARCH($A9, INDEX(AsistenciaJetAdminConcatenada!$D:$D, MATCH(1, (AsistenciaJetAdminConcatenada!$A:$A=CY$2)*(AsistenciaJetAdminConcatenada!$B:$B=CY$1), 0)), 1))),  0.5, 0))</f>
        <v>0</v>
      </c>
      <c r="CZ9" s="47">
        <f t="array" ref="CZ9">IF(AND(ISNUMBER(MATCH(CZ$2, AsistenciaJetAdminConcatenada!$A:$A, 0)), ISNUMBER(MATCH(CZ$1, AsistenciaJetAdminConcatenada!$B:$B, 0)), ISNUMBER(SEARCH($A9,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ISNUMBER(SEARCH($A9, INDEX(AsistenciaJetAdminConcatenada!$D:$D, MATCH(1, (AsistenciaJetAdminConcatenada!$A:$A=CZ$2)*(AsistenciaJetAdminConcatenada!$B:$B=CZ$1), 0)), 1))),  0.5, 0))</f>
        <v>0</v>
      </c>
      <c r="DA9" s="47">
        <f t="array" ref="DA9">IF(AND(ISNUMBER(MATCH(DA$2, AsistenciaJetAdminConcatenada!$A:$A, 0)), ISNUMBER(MATCH(DA$1, AsistenciaJetAdminConcatenada!$B:$B, 0)), ISNUMBER(SEARCH($A9,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ISNUMBER(SEARCH($A9, INDEX(AsistenciaJetAdminConcatenada!$D:$D, MATCH(1, (AsistenciaJetAdminConcatenada!$A:$A=DA$2)*(AsistenciaJetAdminConcatenada!$B:$B=DA$1), 0)), 1))),  0.5, 0))</f>
        <v>0</v>
      </c>
      <c r="DB9" s="47">
        <f t="array" ref="DB9">IF(AND(ISNUMBER(MATCH(DB$2, AsistenciaJetAdminConcatenada!$A:$A, 0)), ISNUMBER(MATCH(DB$1, AsistenciaJetAdminConcatenada!$B:$B, 0)), ISNUMBER(SEARCH($A9,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ISNUMBER(SEARCH($A9, INDEX(AsistenciaJetAdminConcatenada!$D:$D, MATCH(1, (AsistenciaJetAdminConcatenada!$A:$A=DB$2)*(AsistenciaJetAdminConcatenada!$B:$B=DB$1), 0)), 1))),  0.5, 0))</f>
        <v>0</v>
      </c>
      <c r="DC9" s="47">
        <f t="array" ref="DC9">IF(AND(ISNUMBER(MATCH(DC$2, AsistenciaJetAdminConcatenada!$A:$A, 0)), ISNUMBER(MATCH(DC$1, AsistenciaJetAdminConcatenada!$B:$B, 0)), ISNUMBER(SEARCH($A9,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ISNUMBER(SEARCH($A9, INDEX(AsistenciaJetAdminConcatenada!$D:$D, MATCH(1, (AsistenciaJetAdminConcatenada!$A:$A=DC$2)*(AsistenciaJetAdminConcatenada!$B:$B=DC$1), 0)), 1))),  0.5, 0))</f>
        <v>0</v>
      </c>
      <c r="DD9" s="47">
        <f t="array" ref="DD9">IF(AND(ISNUMBER(MATCH(DD$2, AsistenciaJetAdminConcatenada!$A:$A, 0)), ISNUMBER(MATCH(DD$1, AsistenciaJetAdminConcatenada!$B:$B, 0)), ISNUMBER(SEARCH($A9,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ISNUMBER(SEARCH($A9, INDEX(AsistenciaJetAdminConcatenada!$D:$D, MATCH(1, (AsistenciaJetAdminConcatenada!$A:$A=DD$2)*(AsistenciaJetAdminConcatenada!$B:$B=DD$1), 0)), 1))),  0.5, 0))</f>
        <v>0</v>
      </c>
      <c r="DE9" s="47">
        <f t="array" ref="DE9">IF(AND(ISNUMBER(MATCH(DE$2, AsistenciaJetAdminConcatenada!$A:$A, 0)), ISNUMBER(MATCH(DE$1, AsistenciaJetAdminConcatenada!$B:$B, 0)), ISNUMBER(SEARCH($A9,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ISNUMBER(SEARCH($A9, INDEX(AsistenciaJetAdminConcatenada!$D:$D, MATCH(1, (AsistenciaJetAdminConcatenada!$A:$A=DE$2)*(AsistenciaJetAdminConcatenada!$B:$B=DE$1), 0)), 1))),  0.5, 0))</f>
        <v>0</v>
      </c>
      <c r="DF9" s="47">
        <f t="array" ref="DF9">IF(AND(ISNUMBER(MATCH(DF$2, AsistenciaJetAdminConcatenada!$A:$A, 0)), ISNUMBER(MATCH(DF$1, AsistenciaJetAdminConcatenada!$B:$B, 0)), ISNUMBER(SEARCH($A9,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ISNUMBER(SEARCH($A9, INDEX(AsistenciaJetAdminConcatenada!$D:$D, MATCH(1, (AsistenciaJetAdminConcatenada!$A:$A=DF$2)*(AsistenciaJetAdminConcatenada!$B:$B=DF$1), 0)), 1))),  0.5, 0))</f>
        <v>0</v>
      </c>
      <c r="DG9" s="47">
        <f t="array" ref="DG9">IF(AND(ISNUMBER(MATCH(DG$2, AsistenciaJetAdminConcatenada!$A:$A, 0)), ISNUMBER(MATCH(DG$1, AsistenciaJetAdminConcatenada!$B:$B, 0)), ISNUMBER(SEARCH($A9,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ISNUMBER(SEARCH($A9, INDEX(AsistenciaJetAdminConcatenada!$D:$D, MATCH(1, (AsistenciaJetAdminConcatenada!$A:$A=DG$2)*(AsistenciaJetAdminConcatenada!$B:$B=DG$1), 0)), 1))),  0.5, 0))</f>
        <v>0</v>
      </c>
      <c r="DH9" s="47">
        <f t="array" ref="DH9">IF(AND(ISNUMBER(MATCH(DH$2, AsistenciaJetAdminConcatenada!$A:$A, 0)), ISNUMBER(MATCH(DH$1, AsistenciaJetAdminConcatenada!$B:$B, 0)), ISNUMBER(SEARCH($A9,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ISNUMBER(SEARCH($A9, INDEX(AsistenciaJetAdminConcatenada!$D:$D, MATCH(1, (AsistenciaJetAdminConcatenada!$A:$A=DH$2)*(AsistenciaJetAdminConcatenada!$B:$B=DH$1), 0)), 1))),  0.5, 0))</f>
        <v>0</v>
      </c>
      <c r="DI9" s="47">
        <f t="array" ref="DI9">IF(AND(ISNUMBER(MATCH(DI$2, AsistenciaJetAdminConcatenada!$A:$A, 0)), ISNUMBER(MATCH(DI$1, AsistenciaJetAdminConcatenada!$B:$B, 0)), ISNUMBER(SEARCH($A9,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ISNUMBER(SEARCH($A9, INDEX(AsistenciaJetAdminConcatenada!$D:$D, MATCH(1, (AsistenciaJetAdminConcatenada!$A:$A=DI$2)*(AsistenciaJetAdminConcatenada!$B:$B=DI$1), 0)), 1))),  0.5, 0))</f>
        <v>0</v>
      </c>
      <c r="DJ9" s="47">
        <f t="array" ref="DJ9">IF(AND(ISNUMBER(MATCH(DJ$2, AsistenciaJetAdminConcatenada!$A:$A, 0)), ISNUMBER(MATCH(DJ$1, AsistenciaJetAdminConcatenada!$B:$B, 0)), ISNUMBER(SEARCH($A9,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ISNUMBER(SEARCH($A9, INDEX(AsistenciaJetAdminConcatenada!$D:$D, MATCH(1, (AsistenciaJetAdminConcatenada!$A:$A=DJ$2)*(AsistenciaJetAdminConcatenada!$B:$B=DJ$1), 0)), 1))),  0.5, 0))</f>
        <v>0</v>
      </c>
      <c r="DK9" s="47">
        <f t="array" ref="DK9">IF(AND(ISNUMBER(MATCH(DK$2, AsistenciaJetAdminConcatenada!$A:$A, 0)), ISNUMBER(MATCH(DK$1, AsistenciaJetAdminConcatenada!$B:$B, 0)), ISNUMBER(SEARCH($A9,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ISNUMBER(SEARCH($A9, INDEX(AsistenciaJetAdminConcatenada!$D:$D, MATCH(1, (AsistenciaJetAdminConcatenada!$A:$A=DK$2)*(AsistenciaJetAdminConcatenada!$B:$B=DK$1), 0)), 1))),  0.5, 0))</f>
        <v>0</v>
      </c>
      <c r="DL9" s="47">
        <f t="array" ref="DL9">IF(AND(ISNUMBER(MATCH(DL$2, AsistenciaJetAdminConcatenada!$A:$A, 0)), ISNUMBER(MATCH(DL$1, AsistenciaJetAdminConcatenada!$B:$B, 0)), ISNUMBER(SEARCH($A9,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ISNUMBER(SEARCH($A9, INDEX(AsistenciaJetAdminConcatenada!$D:$D, MATCH(1, (AsistenciaJetAdminConcatenada!$A:$A=DL$2)*(AsistenciaJetAdminConcatenada!$B:$B=DL$1), 0)), 1))),  0.5, 0))</f>
        <v>0</v>
      </c>
      <c r="DM9" s="47">
        <f t="array" ref="DM9">IF(AND(ISNUMBER(MATCH(DM$2, AsistenciaJetAdminConcatenada!$A:$A, 0)), ISNUMBER(MATCH(DM$1, AsistenciaJetAdminConcatenada!$B:$B, 0)), ISNUMBER(SEARCH($A9,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ISNUMBER(SEARCH($A9, INDEX(AsistenciaJetAdminConcatenada!$D:$D, MATCH(1, (AsistenciaJetAdminConcatenada!$A:$A=DM$2)*(AsistenciaJetAdminConcatenada!$B:$B=DM$1), 0)), 1))),  0.5, 0))</f>
        <v>0</v>
      </c>
      <c r="DN9" s="47">
        <f t="array" ref="DN9">IF(AND(ISNUMBER(MATCH(DN$2, AsistenciaJetAdminConcatenada!$A:$A, 0)), ISNUMBER(MATCH(DN$1, AsistenciaJetAdminConcatenada!$B:$B, 0)), ISNUMBER(SEARCH($A9,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ISNUMBER(SEARCH($A9, INDEX(AsistenciaJetAdminConcatenada!$D:$D, MATCH(1, (AsistenciaJetAdminConcatenada!$A:$A=DN$2)*(AsistenciaJetAdminConcatenada!$B:$B=DN$1), 0)), 1))),  0.5, 0))</f>
        <v>0</v>
      </c>
      <c r="DO9" s="47">
        <f t="array" ref="DO9">IF(AND(ISNUMBER(MATCH(DO$2, AsistenciaJetAdminConcatenada!$A:$A, 0)), ISNUMBER(MATCH(DO$1, AsistenciaJetAdminConcatenada!$B:$B, 0)), ISNUMBER(SEARCH($A9,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ISNUMBER(SEARCH($A9, INDEX(AsistenciaJetAdminConcatenada!$D:$D, MATCH(1, (AsistenciaJetAdminConcatenada!$A:$A=DO$2)*(AsistenciaJetAdminConcatenada!$B:$B=DO$1), 0)), 1))),  0.5, 0))</f>
        <v>0</v>
      </c>
      <c r="DP9" s="47">
        <f t="array" ref="DP9">IF(AND(ISNUMBER(MATCH(DP$2, AsistenciaJetAdminConcatenada!$A:$A, 0)), ISNUMBER(MATCH(DP$1, AsistenciaJetAdminConcatenada!$B:$B, 0)), ISNUMBER(SEARCH($A9,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ISNUMBER(SEARCH($A9, INDEX(AsistenciaJetAdminConcatenada!$D:$D, MATCH(1, (AsistenciaJetAdminConcatenada!$A:$A=DP$2)*(AsistenciaJetAdminConcatenada!$B:$B=DP$1), 0)), 1))),  0.5, 0))</f>
        <v>0</v>
      </c>
      <c r="DQ9" s="47">
        <f t="array" ref="DQ9">IF(AND(ISNUMBER(MATCH(DQ$2, AsistenciaJetAdminConcatenada!$A:$A, 0)), ISNUMBER(MATCH(DQ$1, AsistenciaJetAdminConcatenada!$B:$B, 0)), ISNUMBER(SEARCH($A9,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ISNUMBER(SEARCH($A9, INDEX(AsistenciaJetAdminConcatenada!$D:$D, MATCH(1, (AsistenciaJetAdminConcatenada!$A:$A=DQ$2)*(AsistenciaJetAdminConcatenada!$B:$B=DQ$1), 0)), 1))),  0.5, 0))</f>
        <v>0</v>
      </c>
      <c r="DR9" s="47">
        <f t="array" ref="DR9">IF(AND(ISNUMBER(MATCH(DR$2, AsistenciaJetAdminConcatenada!$A:$A, 0)), ISNUMBER(MATCH(DR$1, AsistenciaJetAdminConcatenada!$B:$B, 0)), ISNUMBER(SEARCH($A9,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ISNUMBER(SEARCH($A9, INDEX(AsistenciaJetAdminConcatenada!$D:$D, MATCH(1, (AsistenciaJetAdminConcatenada!$A:$A=DR$2)*(AsistenciaJetAdminConcatenada!$B:$B=DR$1), 0)), 1))),  0.5, 0))</f>
        <v>0</v>
      </c>
      <c r="DS9" s="47">
        <f t="array" ref="DS9">IF(AND(ISNUMBER(MATCH(DS$2, AsistenciaJetAdminConcatenada!$A:$A, 0)), ISNUMBER(MATCH(DS$1, AsistenciaJetAdminConcatenada!$B:$B, 0)), ISNUMBER(SEARCH($A9,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ISNUMBER(SEARCH($A9, INDEX(AsistenciaJetAdminConcatenada!$D:$D, MATCH(1, (AsistenciaJetAdminConcatenada!$A:$A=DS$2)*(AsistenciaJetAdminConcatenada!$B:$B=DS$1), 0)), 1))),  0.5, 0))</f>
        <v>0</v>
      </c>
      <c r="DT9" s="47">
        <f t="array" ref="DT9">IF(AND(ISNUMBER(MATCH(DT$2, AsistenciaJetAdminConcatenada!$A:$A, 0)), ISNUMBER(MATCH(DT$1, AsistenciaJetAdminConcatenada!$B:$B, 0)), ISNUMBER(SEARCH($A9,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ISNUMBER(SEARCH($A9, INDEX(AsistenciaJetAdminConcatenada!$D:$D, MATCH(1, (AsistenciaJetAdminConcatenada!$A:$A=DT$2)*(AsistenciaJetAdminConcatenada!$B:$B=DT$1), 0)), 1))),  0.5, 0))</f>
        <v>0</v>
      </c>
      <c r="DU9" s="47">
        <f t="array" ref="DU9">IF(AND(ISNUMBER(MATCH(DU$2, AsistenciaJetAdminConcatenada!$A:$A, 0)), ISNUMBER(MATCH(DU$1, AsistenciaJetAdminConcatenada!$B:$B, 0)), ISNUMBER(SEARCH($A9,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ISNUMBER(SEARCH($A9, INDEX(AsistenciaJetAdminConcatenada!$D:$D, MATCH(1, (AsistenciaJetAdminConcatenada!$A:$A=DU$2)*(AsistenciaJetAdminConcatenada!$B:$B=DU$1), 0)), 1))),  0.5, 0))</f>
        <v>0</v>
      </c>
      <c r="DV9" s="47">
        <f t="array" ref="DV9">IF(AND(ISNUMBER(MATCH(DV$2, AsistenciaJetAdminConcatenada!$A:$A, 0)), ISNUMBER(MATCH(DV$1, AsistenciaJetAdminConcatenada!$B:$B, 0)), ISNUMBER(SEARCH($A9,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ISNUMBER(SEARCH($A9, INDEX(AsistenciaJetAdminConcatenada!$D:$D, MATCH(1, (AsistenciaJetAdminConcatenada!$A:$A=DV$2)*(AsistenciaJetAdminConcatenada!$B:$B=DV$1), 0)), 1))),  0.5, 0))</f>
        <v>0</v>
      </c>
      <c r="DW9" s="47">
        <f t="array" ref="DW9">IF(AND(ISNUMBER(MATCH(DW$2, AsistenciaJetAdminConcatenada!$A:$A, 0)), ISNUMBER(MATCH(DW$1, AsistenciaJetAdminConcatenada!$B:$B, 0)), ISNUMBER(SEARCH($A9,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ISNUMBER(SEARCH($A9, INDEX(AsistenciaJetAdminConcatenada!$D:$D, MATCH(1, (AsistenciaJetAdminConcatenada!$A:$A=DW$2)*(AsistenciaJetAdminConcatenada!$B:$B=DW$1), 0)), 1))),  0.5, 0))</f>
        <v>0</v>
      </c>
      <c r="DX9" s="47">
        <f t="array" ref="DX9">IF(AND(ISNUMBER(MATCH(DX$2, AsistenciaJetAdminConcatenada!$A:$A, 0)), ISNUMBER(MATCH(DX$1, AsistenciaJetAdminConcatenada!$B:$B, 0)), ISNUMBER(SEARCH($A9,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ISNUMBER(SEARCH($A9, INDEX(AsistenciaJetAdminConcatenada!$D:$D, MATCH(1, (AsistenciaJetAdminConcatenada!$A:$A=DX$2)*(AsistenciaJetAdminConcatenada!$B:$B=DX$1), 0)), 1))),  0.5, 0))</f>
        <v>0</v>
      </c>
      <c r="DY9" s="47">
        <f t="array" ref="DY9">IF(AND(ISNUMBER(MATCH(DY$2, AsistenciaJetAdminConcatenada!$A:$A, 0)), ISNUMBER(MATCH(DY$1, AsistenciaJetAdminConcatenada!$B:$B, 0)), ISNUMBER(SEARCH($A9,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ISNUMBER(SEARCH($A9, INDEX(AsistenciaJetAdminConcatenada!$D:$D, MATCH(1, (AsistenciaJetAdminConcatenada!$A:$A=DY$2)*(AsistenciaJetAdminConcatenada!$B:$B=DY$1), 0)), 1))),  0.5, 0))</f>
        <v>0</v>
      </c>
      <c r="DZ9" s="47">
        <f t="array" ref="DZ9">IF(AND(ISNUMBER(MATCH(DZ$2, AsistenciaJetAdminConcatenada!$A:$A, 0)), ISNUMBER(MATCH(DZ$1, AsistenciaJetAdminConcatenada!$B:$B, 0)), ISNUMBER(SEARCH($A9,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ISNUMBER(SEARCH($A9, INDEX(AsistenciaJetAdminConcatenada!$D:$D, MATCH(1, (AsistenciaJetAdminConcatenada!$A:$A=DZ$2)*(AsistenciaJetAdminConcatenada!$B:$B=DZ$1), 0)), 1))),  0.5, 0))</f>
        <v>0</v>
      </c>
      <c r="EA9" s="47">
        <f t="array" ref="EA9">IF(AND(ISNUMBER(MATCH(EA$2, AsistenciaJetAdminConcatenada!$A:$A, 0)), ISNUMBER(MATCH(EA$1, AsistenciaJetAdminConcatenada!$B:$B, 0)), ISNUMBER(SEARCH($A9,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ISNUMBER(SEARCH($A9, INDEX(AsistenciaJetAdminConcatenada!$D:$D, MATCH(1, (AsistenciaJetAdminConcatenada!$A:$A=EA$2)*(AsistenciaJetAdminConcatenada!$B:$B=EA$1), 0)), 1))),  0.5, 0))</f>
        <v>0</v>
      </c>
      <c r="EB9" s="47">
        <f t="array" ref="EB9">IF(AND(ISNUMBER(MATCH(EB$2, AsistenciaJetAdminConcatenada!$A:$A, 0)), ISNUMBER(MATCH(EB$1, AsistenciaJetAdminConcatenada!$B:$B, 0)), ISNUMBER(SEARCH($A9,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ISNUMBER(SEARCH($A9, INDEX(AsistenciaJetAdminConcatenada!$D:$D, MATCH(1, (AsistenciaJetAdminConcatenada!$A:$A=EB$2)*(AsistenciaJetAdminConcatenada!$B:$B=EB$1), 0)), 1))),  0.5, 0))</f>
        <v>0</v>
      </c>
      <c r="EC9" s="47">
        <f t="array" ref="EC9">IF(AND(ISNUMBER(MATCH(EC$2, AsistenciaJetAdminConcatenada!$A:$A, 0)), ISNUMBER(MATCH(EC$1, AsistenciaJetAdminConcatenada!$B:$B, 0)), ISNUMBER(SEARCH($A9,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ISNUMBER(SEARCH($A9, INDEX(AsistenciaJetAdminConcatenada!$D:$D, MATCH(1, (AsistenciaJetAdminConcatenada!$A:$A=EC$2)*(AsistenciaJetAdminConcatenada!$B:$B=EC$1), 0)), 1))),  0.5, 0))</f>
        <v>0</v>
      </c>
      <c r="ED9" s="47">
        <f t="array" ref="ED9">IF(AND(ISNUMBER(MATCH(ED$2, AsistenciaJetAdminConcatenada!$A:$A, 0)), ISNUMBER(MATCH(ED$1, AsistenciaJetAdminConcatenada!$B:$B, 0)), ISNUMBER(SEARCH($A9,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ISNUMBER(SEARCH($A9, INDEX(AsistenciaJetAdminConcatenada!$D:$D, MATCH(1, (AsistenciaJetAdminConcatenada!$A:$A=ED$2)*(AsistenciaJetAdminConcatenada!$B:$B=ED$1), 0)), 1))),  0.5, 0))</f>
        <v>0</v>
      </c>
      <c r="EE9" s="47">
        <f t="array" ref="EE9">IF(AND(ISNUMBER(MATCH(EE$2, AsistenciaJetAdminConcatenada!$A:$A, 0)), ISNUMBER(MATCH(EE$1, AsistenciaJetAdminConcatenada!$B:$B, 0)), ISNUMBER(SEARCH($A9,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ISNUMBER(SEARCH($A9, INDEX(AsistenciaJetAdminConcatenada!$D:$D, MATCH(1, (AsistenciaJetAdminConcatenada!$A:$A=EE$2)*(AsistenciaJetAdminConcatenada!$B:$B=EE$1), 0)), 1))),  0.5, 0))</f>
        <v>0</v>
      </c>
      <c r="EF9" s="47">
        <f t="array" ref="EF9">IF(AND(ISNUMBER(MATCH(EF$2, AsistenciaJetAdminConcatenada!$A:$A, 0)), ISNUMBER(MATCH(EF$1, AsistenciaJetAdminConcatenada!$B:$B, 0)), ISNUMBER(SEARCH($A9,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ISNUMBER(SEARCH($A9, INDEX(AsistenciaJetAdminConcatenada!$D:$D, MATCH(1, (AsistenciaJetAdminConcatenada!$A:$A=EF$2)*(AsistenciaJetAdminConcatenada!$B:$B=EF$1), 0)), 1))),  0.5, 0))</f>
        <v>0</v>
      </c>
      <c r="EG9" s="47">
        <f t="array" ref="EG9">IF(AND(ISNUMBER(MATCH(EG$2, AsistenciaJetAdminConcatenada!$A:$A, 0)), ISNUMBER(MATCH(EG$1, AsistenciaJetAdminConcatenada!$B:$B, 0)), ISNUMBER(SEARCH($A9,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ISNUMBER(SEARCH($A9, INDEX(AsistenciaJetAdminConcatenada!$D:$D, MATCH(1, (AsistenciaJetAdminConcatenada!$A:$A=EG$2)*(AsistenciaJetAdminConcatenada!$B:$B=EG$1), 0)), 1))),  0.5, 0))</f>
        <v>0</v>
      </c>
      <c r="EH9" s="47">
        <f t="array" ref="EH9">IF(AND(ISNUMBER(MATCH(EH$2, AsistenciaJetAdminConcatenada!$A:$A, 0)), ISNUMBER(MATCH(EH$1, AsistenciaJetAdminConcatenada!$B:$B, 0)), ISNUMBER(SEARCH($A9,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ISNUMBER(SEARCH($A9, INDEX(AsistenciaJetAdminConcatenada!$D:$D, MATCH(1, (AsistenciaJetAdminConcatenada!$A:$A=EH$2)*(AsistenciaJetAdminConcatenada!$B:$B=EH$1), 0)), 1))),  0.5, 0))</f>
        <v>0</v>
      </c>
      <c r="EI9" s="47">
        <f t="array" ref="EI9">IF(AND(ISNUMBER(MATCH(EI$2, AsistenciaJetAdminConcatenada!$A:$A, 0)), ISNUMBER(MATCH(EI$1, AsistenciaJetAdminConcatenada!$B:$B, 0)), ISNUMBER(SEARCH($A9,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ISNUMBER(SEARCH($A9, INDEX(AsistenciaJetAdminConcatenada!$D:$D, MATCH(1, (AsistenciaJetAdminConcatenada!$A:$A=EI$2)*(AsistenciaJetAdminConcatenada!$B:$B=EI$1), 0)), 1))),  0.5, 0))</f>
        <v>0</v>
      </c>
      <c r="EJ9" s="47">
        <f t="array" ref="EJ9">IF(AND(ISNUMBER(MATCH(EJ$2, AsistenciaJetAdminConcatenada!$A:$A, 0)), ISNUMBER(MATCH(EJ$1, AsistenciaJetAdminConcatenada!$B:$B, 0)), ISNUMBER(SEARCH($A9,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ISNUMBER(SEARCH($A9, INDEX(AsistenciaJetAdminConcatenada!$D:$D, MATCH(1, (AsistenciaJetAdminConcatenada!$A:$A=EJ$2)*(AsistenciaJetAdminConcatenada!$B:$B=EJ$1), 0)), 1))),  0.5, 0))</f>
        <v>0</v>
      </c>
      <c r="EK9" s="47">
        <f t="array" ref="EK9">IF(AND(ISNUMBER(MATCH(EK$2, AsistenciaJetAdminConcatenada!$A:$A, 0)), ISNUMBER(MATCH(EK$1, AsistenciaJetAdminConcatenada!$B:$B, 0)), ISNUMBER(SEARCH($A9,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ISNUMBER(SEARCH($A9, INDEX(AsistenciaJetAdminConcatenada!$D:$D, MATCH(1, (AsistenciaJetAdminConcatenada!$A:$A=EK$2)*(AsistenciaJetAdminConcatenada!$B:$B=EK$1), 0)), 1))),  0.5, 0))</f>
        <v>0</v>
      </c>
      <c r="EL9" s="47">
        <f t="array" ref="EL9">IF(AND(ISNUMBER(MATCH(EL$2, AsistenciaJetAdminConcatenada!$A:$A, 0)), ISNUMBER(MATCH(EL$1, AsistenciaJetAdminConcatenada!$B:$B, 0)), ISNUMBER(SEARCH($A9,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ISNUMBER(SEARCH($A9, INDEX(AsistenciaJetAdminConcatenada!$D:$D, MATCH(1, (AsistenciaJetAdminConcatenada!$A:$A=EL$2)*(AsistenciaJetAdminConcatenada!$B:$B=EL$1), 0)), 1))),  0.5, 0))</f>
        <v>0</v>
      </c>
      <c r="EM9" s="47">
        <f t="array" ref="EM9">IF(AND(ISNUMBER(MATCH(EM$2, AsistenciaJetAdminConcatenada!$A:$A, 0)), ISNUMBER(MATCH(EM$1, AsistenciaJetAdminConcatenada!$B:$B, 0)), ISNUMBER(SEARCH($A9,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ISNUMBER(SEARCH($A9, INDEX(AsistenciaJetAdminConcatenada!$D:$D, MATCH(1, (AsistenciaJetAdminConcatenada!$A:$A=EM$2)*(AsistenciaJetAdminConcatenada!$B:$B=EM$1), 0)), 1))),  0.5, 0))</f>
        <v>0</v>
      </c>
      <c r="EN9" s="47">
        <f t="array" ref="EN9">IF(AND(ISNUMBER(MATCH(EN$2, AsistenciaJetAdminConcatenada!$A:$A, 0)), ISNUMBER(MATCH(EN$1, AsistenciaJetAdminConcatenada!$B:$B, 0)), ISNUMBER(SEARCH($A9,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ISNUMBER(SEARCH($A9, INDEX(AsistenciaJetAdminConcatenada!$D:$D, MATCH(1, (AsistenciaJetAdminConcatenada!$A:$A=EN$2)*(AsistenciaJetAdminConcatenada!$B:$B=EN$1), 0)), 1))),  0.5, 0))</f>
        <v>0</v>
      </c>
      <c r="EO9" s="47">
        <f t="array" ref="EO9">IF(AND(ISNUMBER(MATCH(EO$2, AsistenciaJetAdminConcatenada!$A:$A, 0)), ISNUMBER(MATCH(EO$1, AsistenciaJetAdminConcatenada!$B:$B, 0)), ISNUMBER(SEARCH($A9,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ISNUMBER(SEARCH($A9, INDEX(AsistenciaJetAdminConcatenada!$D:$D, MATCH(1, (AsistenciaJetAdminConcatenada!$A:$A=EO$2)*(AsistenciaJetAdminConcatenada!$B:$B=EO$1), 0)), 1))),  0.5, 0))</f>
        <v>0</v>
      </c>
      <c r="EP9" s="47">
        <f t="array" ref="EP9">IF(AND(ISNUMBER(MATCH(EP$2, AsistenciaJetAdminConcatenada!$A:$A, 0)), ISNUMBER(MATCH(EP$1, AsistenciaJetAdminConcatenada!$B:$B, 0)), ISNUMBER(SEARCH($A9,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ISNUMBER(SEARCH($A9, INDEX(AsistenciaJetAdminConcatenada!$D:$D, MATCH(1, (AsistenciaJetAdminConcatenada!$A:$A=EP$2)*(AsistenciaJetAdminConcatenada!$B:$B=EP$1), 0)), 1))),  0.5, 0))</f>
        <v>0</v>
      </c>
      <c r="EQ9" s="47">
        <f t="array" ref="EQ9">IF(AND(ISNUMBER(MATCH(EQ$2, AsistenciaJetAdminConcatenada!$A:$A, 0)), ISNUMBER(MATCH(EQ$1, AsistenciaJetAdminConcatenada!$B:$B, 0)), ISNUMBER(SEARCH($A9,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ISNUMBER(SEARCH($A9, INDEX(AsistenciaJetAdminConcatenada!$D:$D, MATCH(1, (AsistenciaJetAdminConcatenada!$A:$A=EQ$2)*(AsistenciaJetAdminConcatenada!$B:$B=EQ$1), 0)), 1))),  0.5, 0))</f>
        <v>0</v>
      </c>
      <c r="ER9" s="47">
        <f t="array" ref="ER9">IF(AND(ISNUMBER(MATCH(ER$2, AsistenciaJetAdminConcatenada!$A:$A, 0)), ISNUMBER(MATCH(ER$1, AsistenciaJetAdminConcatenada!$B:$B, 0)), ISNUMBER(SEARCH($A9,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ISNUMBER(SEARCH($A9, INDEX(AsistenciaJetAdminConcatenada!$D:$D, MATCH(1, (AsistenciaJetAdminConcatenada!$A:$A=ER$2)*(AsistenciaJetAdminConcatenada!$B:$B=ER$1), 0)), 1))),  0.5, 0))</f>
        <v>0</v>
      </c>
      <c r="ES9" s="47">
        <f t="array" ref="ES9">IF(AND(ISNUMBER(MATCH(ES$2, AsistenciaJetAdminConcatenada!$A:$A, 0)), ISNUMBER(MATCH(ES$1, AsistenciaJetAdminConcatenada!$B:$B, 0)), ISNUMBER(SEARCH($A9,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ISNUMBER(SEARCH($A9, INDEX(AsistenciaJetAdminConcatenada!$D:$D, MATCH(1, (AsistenciaJetAdminConcatenada!$A:$A=ES$2)*(AsistenciaJetAdminConcatenada!$B:$B=ES$1), 0)), 1))),  0.5, 0))</f>
        <v>0</v>
      </c>
      <c r="ET9" s="47">
        <f t="array" ref="ET9">IF(AND(ISNUMBER(MATCH(ET$2, AsistenciaJetAdminConcatenada!$A:$A, 0)), ISNUMBER(MATCH(ET$1, AsistenciaJetAdminConcatenada!$B:$B, 0)), ISNUMBER(SEARCH($A9,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ISNUMBER(SEARCH($A9, INDEX(AsistenciaJetAdminConcatenada!$D:$D, MATCH(1, (AsistenciaJetAdminConcatenada!$A:$A=ET$2)*(AsistenciaJetAdminConcatenada!$B:$B=ET$1), 0)), 1))),  0.5, 0))</f>
        <v>0</v>
      </c>
      <c r="EU9" s="47">
        <f t="array" ref="EU9">IF(AND(ISNUMBER(MATCH(EU$2, AsistenciaJetAdminConcatenada!$A:$A, 0)), ISNUMBER(MATCH(EU$1, AsistenciaJetAdminConcatenada!$B:$B, 0)), ISNUMBER(SEARCH($A9,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ISNUMBER(SEARCH($A9, INDEX(AsistenciaJetAdminConcatenada!$D:$D, MATCH(1, (AsistenciaJetAdminConcatenada!$A:$A=EU$2)*(AsistenciaJetAdminConcatenada!$B:$B=EU$1), 0)), 1))),  0.5, 0))</f>
        <v>0</v>
      </c>
      <c r="EV9" s="47">
        <f t="array" ref="EV9">IF(AND(ISNUMBER(MATCH(EV$2, AsistenciaJetAdminConcatenada!$A:$A, 0)), ISNUMBER(MATCH(EV$1, AsistenciaJetAdminConcatenada!$B:$B, 0)), ISNUMBER(SEARCH($A9,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ISNUMBER(SEARCH($A9, INDEX(AsistenciaJetAdminConcatenada!$D:$D, MATCH(1, (AsistenciaJetAdminConcatenada!$A:$A=EV$2)*(AsistenciaJetAdminConcatenada!$B:$B=EV$1), 0)), 1))),  0.5, 0))</f>
        <v>0</v>
      </c>
      <c r="EW9" s="47">
        <f t="array" ref="EW9">IF(AND(ISNUMBER(MATCH(EW$2, AsistenciaJetAdminConcatenada!$A:$A, 0)), ISNUMBER(MATCH(EW$1, AsistenciaJetAdminConcatenada!$B:$B, 0)), ISNUMBER(SEARCH($A9,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ISNUMBER(SEARCH($A9, INDEX(AsistenciaJetAdminConcatenada!$D:$D, MATCH(1, (AsistenciaJetAdminConcatenada!$A:$A=EW$2)*(AsistenciaJetAdminConcatenada!$B:$B=EW$1), 0)), 1))),  0.5, 0))</f>
        <v>0</v>
      </c>
      <c r="EX9" s="47">
        <f t="array" ref="EX9">IF(AND(ISNUMBER(MATCH(EX$2, AsistenciaJetAdminConcatenada!$A:$A, 0)), ISNUMBER(MATCH(EX$1, AsistenciaJetAdminConcatenada!$B:$B, 0)), ISNUMBER(SEARCH($A9,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ISNUMBER(SEARCH($A9, INDEX(AsistenciaJetAdminConcatenada!$D:$D, MATCH(1, (AsistenciaJetAdminConcatenada!$A:$A=EX$2)*(AsistenciaJetAdminConcatenada!$B:$B=EX$1), 0)), 1))),  0.5, 0))</f>
        <v>0</v>
      </c>
      <c r="EY9" s="47">
        <f t="array" ref="EY9">IF(AND(ISNUMBER(MATCH(EY$2, AsistenciaJetAdminConcatenada!$A:$A, 0)), ISNUMBER(MATCH(EY$1, AsistenciaJetAdminConcatenada!$B:$B, 0)), ISNUMBER(SEARCH($A9,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ISNUMBER(SEARCH($A9, INDEX(AsistenciaJetAdminConcatenada!$D:$D, MATCH(1, (AsistenciaJetAdminConcatenada!$A:$A=EY$2)*(AsistenciaJetAdminConcatenada!$B:$B=EY$1), 0)), 1))),  0.5, 0))</f>
        <v>0</v>
      </c>
      <c r="EZ9" s="47">
        <f t="array" ref="EZ9">IF(AND(ISNUMBER(MATCH(EZ$2, AsistenciaJetAdminConcatenada!$A:$A, 0)), ISNUMBER(MATCH(EZ$1, AsistenciaJetAdminConcatenada!$B:$B, 0)), ISNUMBER(SEARCH($A9,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ISNUMBER(SEARCH($A9, INDEX(AsistenciaJetAdminConcatenada!$D:$D, MATCH(1, (AsistenciaJetAdminConcatenada!$A:$A=EZ$2)*(AsistenciaJetAdminConcatenada!$B:$B=EZ$1), 0)), 1))),  0.5, 0))</f>
        <v>0</v>
      </c>
      <c r="FA9" s="47">
        <f t="array" ref="FA9">IF(AND(ISNUMBER(MATCH(FA$2, AsistenciaJetAdminConcatenada!$A:$A, 0)), ISNUMBER(MATCH(FA$1, AsistenciaJetAdminConcatenada!$B:$B, 0)), ISNUMBER(SEARCH($A9,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ISNUMBER(SEARCH($A9, INDEX(AsistenciaJetAdminConcatenada!$D:$D, MATCH(1, (AsistenciaJetAdminConcatenada!$A:$A=FA$2)*(AsistenciaJetAdminConcatenada!$B:$B=FA$1), 0)), 1))),  0.5, 0))</f>
        <v>0</v>
      </c>
      <c r="FB9" s="47">
        <f t="array" ref="FB9">IF(AND(ISNUMBER(MATCH(FB$2, AsistenciaJetAdminConcatenada!$A:$A, 0)), ISNUMBER(MATCH(FB$1, AsistenciaJetAdminConcatenada!$B:$B, 0)), ISNUMBER(SEARCH($A9,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ISNUMBER(SEARCH($A9, INDEX(AsistenciaJetAdminConcatenada!$D:$D, MATCH(1, (AsistenciaJetAdminConcatenada!$A:$A=FB$2)*(AsistenciaJetAdminConcatenada!$B:$B=FB$1), 0)), 1))),  0.5, 0))</f>
        <v>0</v>
      </c>
      <c r="FC9" s="47">
        <f t="array" ref="FC9">IF(AND(ISNUMBER(MATCH(FC$2, AsistenciaJetAdminConcatenada!$A:$A, 0)), ISNUMBER(MATCH(FC$1, AsistenciaJetAdminConcatenada!$B:$B, 0)), ISNUMBER(SEARCH($A9,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ISNUMBER(SEARCH($A9, INDEX(AsistenciaJetAdminConcatenada!$D:$D, MATCH(1, (AsistenciaJetAdminConcatenada!$A:$A=FC$2)*(AsistenciaJetAdminConcatenada!$B:$B=FC$1), 0)), 1))),  0.5, 0))</f>
        <v>0</v>
      </c>
      <c r="FD9" s="47">
        <f t="array" ref="FD9">IF(AND(ISNUMBER(MATCH(FD$2, AsistenciaJetAdminConcatenada!$A:$A, 0)), ISNUMBER(MATCH(FD$1, AsistenciaJetAdminConcatenada!$B:$B, 0)), ISNUMBER(SEARCH($A9,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ISNUMBER(SEARCH($A9, INDEX(AsistenciaJetAdminConcatenada!$D:$D, MATCH(1, (AsistenciaJetAdminConcatenada!$A:$A=FD$2)*(AsistenciaJetAdminConcatenada!$B:$B=FD$1), 0)), 1))),  0.5, 0))</f>
        <v>0</v>
      </c>
      <c r="FE9" s="47">
        <f t="array" ref="FE9">IF(AND(ISNUMBER(MATCH(FE$2, AsistenciaJetAdminConcatenada!$A:$A, 0)), ISNUMBER(MATCH(FE$1, AsistenciaJetAdminConcatenada!$B:$B, 0)), ISNUMBER(SEARCH($A9,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ISNUMBER(SEARCH($A9, INDEX(AsistenciaJetAdminConcatenada!$D:$D, MATCH(1, (AsistenciaJetAdminConcatenada!$A:$A=FE$2)*(AsistenciaJetAdminConcatenada!$B:$B=FE$1), 0)), 1))),  0.5, 0))</f>
        <v>0</v>
      </c>
      <c r="FF9" s="47">
        <f t="array" ref="FF9">IF(AND(ISNUMBER(MATCH(FF$2, AsistenciaJetAdminConcatenada!$A:$A, 0)), ISNUMBER(MATCH(FF$1, AsistenciaJetAdminConcatenada!$B:$B, 0)), ISNUMBER(SEARCH($A9,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ISNUMBER(SEARCH($A9, INDEX(AsistenciaJetAdminConcatenada!$D:$D, MATCH(1, (AsistenciaJetAdminConcatenada!$A:$A=FF$2)*(AsistenciaJetAdminConcatenada!$B:$B=FF$1), 0)), 1))),  0.5, 0))</f>
        <v>0</v>
      </c>
      <c r="FG9" s="47">
        <f t="array" ref="FG9">IF(AND(ISNUMBER(MATCH(FG$2, AsistenciaJetAdminConcatenada!$A:$A, 0)), ISNUMBER(MATCH(FG$1, AsistenciaJetAdminConcatenada!$B:$B, 0)), ISNUMBER(SEARCH($A9,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ISNUMBER(SEARCH($A9, INDEX(AsistenciaJetAdminConcatenada!$D:$D, MATCH(1, (AsistenciaJetAdminConcatenada!$A:$A=FG$2)*(AsistenciaJetAdminConcatenada!$B:$B=FG$1), 0)), 1))),  0.5, 0))</f>
        <v>0</v>
      </c>
      <c r="FH9" s="47">
        <f t="array" ref="FH9">IF(AND(ISNUMBER(MATCH(FH$2, AsistenciaJetAdminConcatenada!$A:$A, 0)), ISNUMBER(MATCH(FH$1, AsistenciaJetAdminConcatenada!$B:$B, 0)), ISNUMBER(SEARCH($A9,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ISNUMBER(SEARCH($A9, INDEX(AsistenciaJetAdminConcatenada!$D:$D, MATCH(1, (AsistenciaJetAdminConcatenada!$A:$A=FH$2)*(AsistenciaJetAdminConcatenada!$B:$B=FH$1), 0)), 1))),  0.5, 0))</f>
        <v>0</v>
      </c>
      <c r="FI9" s="47">
        <f t="array" ref="FI9">IF(AND(ISNUMBER(MATCH(FI$2, AsistenciaJetAdminConcatenada!$A:$A, 0)), ISNUMBER(MATCH(FI$1, AsistenciaJetAdminConcatenada!$B:$B, 0)), ISNUMBER(SEARCH($A9,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ISNUMBER(SEARCH($A9, INDEX(AsistenciaJetAdminConcatenada!$D:$D, MATCH(1, (AsistenciaJetAdminConcatenada!$A:$A=FI$2)*(AsistenciaJetAdminConcatenada!$B:$B=FI$1), 0)), 1))),  0.5, 0))</f>
        <v>0</v>
      </c>
      <c r="FJ9" s="47">
        <f t="array" ref="FJ9">IF(AND(ISNUMBER(MATCH(FJ$2, AsistenciaJetAdminConcatenada!$A:$A, 0)), ISNUMBER(MATCH(FJ$1, AsistenciaJetAdminConcatenada!$B:$B, 0)), ISNUMBER(SEARCH($A9,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ISNUMBER(SEARCH($A9, INDEX(AsistenciaJetAdminConcatenada!$D:$D, MATCH(1, (AsistenciaJetAdminConcatenada!$A:$A=FJ$2)*(AsistenciaJetAdminConcatenada!$B:$B=FJ$1), 0)), 1))),  0.5, 0))</f>
        <v>0</v>
      </c>
      <c r="FK9" s="47">
        <f t="array" ref="FK9">IF(AND(ISNUMBER(MATCH(FK$2, AsistenciaJetAdminConcatenada!$A:$A, 0)), ISNUMBER(MATCH(FK$1, AsistenciaJetAdminConcatenada!$B:$B, 0)), ISNUMBER(SEARCH($A9,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ISNUMBER(SEARCH($A9, INDEX(AsistenciaJetAdminConcatenada!$D:$D, MATCH(1, (AsistenciaJetAdminConcatenada!$A:$A=FK$2)*(AsistenciaJetAdminConcatenada!$B:$B=FK$1), 0)), 1))),  0.5, 0))</f>
        <v>0</v>
      </c>
      <c r="FL9" s="47">
        <f t="array" ref="FL9">IF(AND(ISNUMBER(MATCH(FL$2, AsistenciaJetAdminConcatenada!$A:$A, 0)), ISNUMBER(MATCH(FL$1, AsistenciaJetAdminConcatenada!$B:$B, 0)), ISNUMBER(SEARCH($A9,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ISNUMBER(SEARCH($A9, INDEX(AsistenciaJetAdminConcatenada!$D:$D, MATCH(1, (AsistenciaJetAdminConcatenada!$A:$A=FL$2)*(AsistenciaJetAdminConcatenada!$B:$B=FL$1), 0)), 1))),  0.5, 0))</f>
        <v>0</v>
      </c>
      <c r="FM9" s="47">
        <f t="array" ref="FM9">IF(AND(ISNUMBER(MATCH(FM$2, AsistenciaJetAdminConcatenada!$A:$A, 0)), ISNUMBER(MATCH(FM$1, AsistenciaJetAdminConcatenada!$B:$B, 0)), ISNUMBER(SEARCH($A9,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ISNUMBER(SEARCH($A9, INDEX(AsistenciaJetAdminConcatenada!$D:$D, MATCH(1, (AsistenciaJetAdminConcatenada!$A:$A=FM$2)*(AsistenciaJetAdminConcatenada!$B:$B=FM$1), 0)), 1))),  0.5, 0))</f>
        <v>0</v>
      </c>
      <c r="FN9" s="47">
        <f t="array" ref="FN9">IF(AND(ISNUMBER(MATCH(FN$2, AsistenciaJetAdminConcatenada!$A:$A, 0)), ISNUMBER(MATCH(FN$1, AsistenciaJetAdminConcatenada!$B:$B, 0)), ISNUMBER(SEARCH($A9,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ISNUMBER(SEARCH($A9, INDEX(AsistenciaJetAdminConcatenada!$D:$D, MATCH(1, (AsistenciaJetAdminConcatenada!$A:$A=FN$2)*(AsistenciaJetAdminConcatenada!$B:$B=FN$1), 0)), 1))),  0.5, 0))</f>
        <v>0</v>
      </c>
      <c r="FO9" s="47">
        <f t="array" ref="FO9">IF(AND(ISNUMBER(MATCH(FO$2, AsistenciaJetAdminConcatenada!$A:$A, 0)), ISNUMBER(MATCH(FO$1, AsistenciaJetAdminConcatenada!$B:$B, 0)), ISNUMBER(SEARCH($A9,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ISNUMBER(SEARCH($A9, INDEX(AsistenciaJetAdminConcatenada!$D:$D, MATCH(1, (AsistenciaJetAdminConcatenada!$A:$A=FO$2)*(AsistenciaJetAdminConcatenada!$B:$B=FO$1), 0)), 1))),  0.5, 0))</f>
        <v>0</v>
      </c>
      <c r="FP9" s="47">
        <f t="array" ref="FP9">IF(AND(ISNUMBER(MATCH(FP$2, AsistenciaJetAdminConcatenada!$A:$A, 0)), ISNUMBER(MATCH(FP$1, AsistenciaJetAdminConcatenada!$B:$B, 0)), ISNUMBER(SEARCH($A9,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ISNUMBER(SEARCH($A9, INDEX(AsistenciaJetAdminConcatenada!$D:$D, MATCH(1, (AsistenciaJetAdminConcatenada!$A:$A=FP$2)*(AsistenciaJetAdminConcatenada!$B:$B=FP$1), 0)), 1))),  0.5, 0))</f>
        <v>0</v>
      </c>
      <c r="FQ9" s="47">
        <f t="array" ref="FQ9">IF(AND(ISNUMBER(MATCH(FQ$2, AsistenciaJetAdminConcatenada!$A:$A, 0)), ISNUMBER(MATCH(FQ$1, AsistenciaJetAdminConcatenada!$B:$B, 0)), ISNUMBER(SEARCH($A9,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ISNUMBER(SEARCH($A9, INDEX(AsistenciaJetAdminConcatenada!$D:$D, MATCH(1, (AsistenciaJetAdminConcatenada!$A:$A=FQ$2)*(AsistenciaJetAdminConcatenada!$B:$B=FQ$1), 0)), 1))),  0.5, 0))</f>
        <v>0</v>
      </c>
      <c r="FR9" s="47">
        <f t="array" ref="FR9">IF(AND(ISNUMBER(MATCH(FR$2, AsistenciaJetAdminConcatenada!$A:$A, 0)), ISNUMBER(MATCH(FR$1, AsistenciaJetAdminConcatenada!$B:$B, 0)), ISNUMBER(SEARCH($A9,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ISNUMBER(SEARCH($A9, INDEX(AsistenciaJetAdminConcatenada!$D:$D, MATCH(1, (AsistenciaJetAdminConcatenada!$A:$A=FR$2)*(AsistenciaJetAdminConcatenada!$B:$B=FR$1), 0)), 1))),  0.5, 0))</f>
        <v>0</v>
      </c>
      <c r="FS9" s="47">
        <f t="array" ref="FS9">IF(AND(ISNUMBER(MATCH(FS$2, AsistenciaJetAdminConcatenada!$A:$A, 0)), ISNUMBER(MATCH(FS$1, AsistenciaJetAdminConcatenada!$B:$B, 0)), ISNUMBER(SEARCH($A9,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ISNUMBER(SEARCH($A9, INDEX(AsistenciaJetAdminConcatenada!$D:$D, MATCH(1, (AsistenciaJetAdminConcatenada!$A:$A=FS$2)*(AsistenciaJetAdminConcatenada!$B:$B=FS$1), 0)), 1))),  0.5, 0))</f>
        <v>0</v>
      </c>
      <c r="FT9" s="47">
        <f t="array" ref="FT9">IF(AND(ISNUMBER(MATCH(FT$2, AsistenciaJetAdminConcatenada!$A:$A, 0)), ISNUMBER(MATCH(FT$1, AsistenciaJetAdminConcatenada!$B:$B, 0)), ISNUMBER(SEARCH($A9,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ISNUMBER(SEARCH($A9, INDEX(AsistenciaJetAdminConcatenada!$D:$D, MATCH(1, (AsistenciaJetAdminConcatenada!$A:$A=FT$2)*(AsistenciaJetAdminConcatenada!$B:$B=FT$1), 0)), 1))),  0.5, 0))</f>
        <v>0</v>
      </c>
      <c r="FU9" s="47">
        <f t="array" ref="FU9">IF(AND(ISNUMBER(MATCH(FU$2, AsistenciaJetAdminConcatenada!$A:$A, 0)), ISNUMBER(MATCH(FU$1, AsistenciaJetAdminConcatenada!$B:$B, 0)), ISNUMBER(SEARCH($A9,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ISNUMBER(SEARCH($A9, INDEX(AsistenciaJetAdminConcatenada!$D:$D, MATCH(1, (AsistenciaJetAdminConcatenada!$A:$A=FU$2)*(AsistenciaJetAdminConcatenada!$B:$B=FU$1), 0)), 1))),  0.5, 0))</f>
        <v>0</v>
      </c>
      <c r="FV9" s="47">
        <f t="array" ref="FV9">IF(AND(ISNUMBER(MATCH(FV$2, AsistenciaJetAdminConcatenada!$A:$A, 0)), ISNUMBER(MATCH(FV$1, AsistenciaJetAdminConcatenada!$B:$B, 0)), ISNUMBER(SEARCH($A9,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ISNUMBER(SEARCH($A9, INDEX(AsistenciaJetAdminConcatenada!$D:$D, MATCH(1, (AsistenciaJetAdminConcatenada!$A:$A=FV$2)*(AsistenciaJetAdminConcatenada!$B:$B=FV$1), 0)), 1))),  0.5, 0))</f>
        <v>0</v>
      </c>
      <c r="FW9" s="47">
        <f t="array" ref="FW9">IF(AND(ISNUMBER(MATCH(FW$2, AsistenciaJetAdminConcatenada!$A:$A, 0)), ISNUMBER(MATCH(FW$1, AsistenciaJetAdminConcatenada!$B:$B, 0)), ISNUMBER(SEARCH($A9,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ISNUMBER(SEARCH($A9, INDEX(AsistenciaJetAdminConcatenada!$D:$D, MATCH(1, (AsistenciaJetAdminConcatenada!$A:$A=FW$2)*(AsistenciaJetAdminConcatenada!$B:$B=FW$1), 0)), 1))),  0.5, 0))</f>
        <v>0</v>
      </c>
      <c r="FX9" s="47">
        <f t="array" ref="FX9">IF(AND(ISNUMBER(MATCH(FX$2, AsistenciaJetAdminConcatenada!$A:$A, 0)), ISNUMBER(MATCH(FX$1, AsistenciaJetAdminConcatenada!$B:$B, 0)), ISNUMBER(SEARCH($A9,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ISNUMBER(SEARCH($A9, INDEX(AsistenciaJetAdminConcatenada!$D:$D, MATCH(1, (AsistenciaJetAdminConcatenada!$A:$A=FX$2)*(AsistenciaJetAdminConcatenada!$B:$B=FX$1), 0)), 1))),  0.5, 0))</f>
        <v>0</v>
      </c>
      <c r="FY9" s="47">
        <f t="array" ref="FY9">IF(AND(ISNUMBER(MATCH(FY$2, AsistenciaJetAdminConcatenada!$A:$A, 0)), ISNUMBER(MATCH(FY$1, AsistenciaJetAdminConcatenada!$B:$B, 0)), ISNUMBER(SEARCH($A9,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ISNUMBER(SEARCH($A9, INDEX(AsistenciaJetAdminConcatenada!$D:$D, MATCH(1, (AsistenciaJetAdminConcatenada!$A:$A=FY$2)*(AsistenciaJetAdminConcatenada!$B:$B=FY$1), 0)), 1))),  0.5, 0))</f>
        <v>0</v>
      </c>
      <c r="FZ9" s="47">
        <f t="array" ref="FZ9">IF(AND(ISNUMBER(MATCH(FZ$2, AsistenciaJetAdminConcatenada!$A:$A, 0)), ISNUMBER(MATCH(FZ$1, AsistenciaJetAdminConcatenada!$B:$B, 0)), ISNUMBER(SEARCH($A9,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ISNUMBER(SEARCH($A9, INDEX(AsistenciaJetAdminConcatenada!$D:$D, MATCH(1, (AsistenciaJetAdminConcatenada!$A:$A=FZ$2)*(AsistenciaJetAdminConcatenada!$B:$B=FZ$1), 0)), 1))),  0.5, 0))</f>
        <v>0</v>
      </c>
      <c r="GA9" s="47">
        <f t="array" ref="GA9">IF(AND(ISNUMBER(MATCH(GA$2, AsistenciaJetAdminConcatenada!$A:$A, 0)), ISNUMBER(MATCH(GA$1, AsistenciaJetAdminConcatenada!$B:$B, 0)), ISNUMBER(SEARCH($A9,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ISNUMBER(SEARCH($A9, INDEX(AsistenciaJetAdminConcatenada!$D:$D, MATCH(1, (AsistenciaJetAdminConcatenada!$A:$A=GA$2)*(AsistenciaJetAdminConcatenada!$B:$B=GA$1), 0)), 1))),  0.5, 0))</f>
        <v>0</v>
      </c>
      <c r="GB9" s="47">
        <f t="array" ref="GB9">IF(AND(ISNUMBER(MATCH(GB$2, AsistenciaJetAdminConcatenada!$A:$A, 0)), ISNUMBER(MATCH(GB$1, AsistenciaJetAdminConcatenada!$B:$B, 0)), ISNUMBER(SEARCH($A9,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ISNUMBER(SEARCH($A9, INDEX(AsistenciaJetAdminConcatenada!$D:$D, MATCH(1, (AsistenciaJetAdminConcatenada!$A:$A=GB$2)*(AsistenciaJetAdminConcatenada!$B:$B=GB$1), 0)), 1))),  0.5, 0))</f>
        <v>0</v>
      </c>
      <c r="GC9" s="47">
        <f t="array" ref="GC9">IF(AND(ISNUMBER(MATCH(GC$2, AsistenciaJetAdminConcatenada!$A:$A, 0)), ISNUMBER(MATCH(GC$1, AsistenciaJetAdminConcatenada!$B:$B, 0)), ISNUMBER(SEARCH($A9,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ISNUMBER(SEARCH($A9, INDEX(AsistenciaJetAdminConcatenada!$D:$D, MATCH(1, (AsistenciaJetAdminConcatenada!$A:$A=GC$2)*(AsistenciaJetAdminConcatenada!$B:$B=GC$1), 0)), 1))),  0.5, 0))</f>
        <v>0</v>
      </c>
      <c r="GD9" s="47">
        <f t="array" ref="GD9">IF(AND(ISNUMBER(MATCH(GD$2, AsistenciaJetAdminConcatenada!$A:$A, 0)), ISNUMBER(MATCH(GD$1, AsistenciaJetAdminConcatenada!$B:$B, 0)), ISNUMBER(SEARCH($A9,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ISNUMBER(SEARCH($A9, INDEX(AsistenciaJetAdminConcatenada!$D:$D, MATCH(1, (AsistenciaJetAdminConcatenada!$A:$A=GD$2)*(AsistenciaJetAdminConcatenada!$B:$B=GD$1), 0)), 1))),  0.5, 0))</f>
        <v>0</v>
      </c>
      <c r="GE9" s="47">
        <f t="array" ref="GE9">IF(AND(ISNUMBER(MATCH(GE$2, AsistenciaJetAdminConcatenada!$A:$A, 0)), ISNUMBER(MATCH(GE$1, AsistenciaJetAdminConcatenada!$B:$B, 0)), ISNUMBER(SEARCH($A9,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ISNUMBER(SEARCH($A9, INDEX(AsistenciaJetAdminConcatenada!$D:$D, MATCH(1, (AsistenciaJetAdminConcatenada!$A:$A=GE$2)*(AsistenciaJetAdminConcatenada!$B:$B=GE$1), 0)), 1))),  0.5, 0))</f>
        <v>0</v>
      </c>
      <c r="GF9" s="47">
        <f t="array" ref="GF9">IF(AND(ISNUMBER(MATCH(GF$2, AsistenciaJetAdminConcatenada!$A:$A, 0)), ISNUMBER(MATCH(GF$1, AsistenciaJetAdminConcatenada!$B:$B, 0)), ISNUMBER(SEARCH($A9,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ISNUMBER(SEARCH($A9, INDEX(AsistenciaJetAdminConcatenada!$D:$D, MATCH(1, (AsistenciaJetAdminConcatenada!$A:$A=GF$2)*(AsistenciaJetAdminConcatenada!$B:$B=GF$1), 0)), 1))),  0.5, 0))</f>
        <v>0</v>
      </c>
      <c r="GG9" s="47">
        <f t="array" ref="GG9">IF(AND(ISNUMBER(MATCH(GG$2, AsistenciaJetAdminConcatenada!$A:$A, 0)), ISNUMBER(MATCH(GG$1, AsistenciaJetAdminConcatenada!$B:$B, 0)), ISNUMBER(SEARCH($A9,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ISNUMBER(SEARCH($A9, INDEX(AsistenciaJetAdminConcatenada!$D:$D, MATCH(1, (AsistenciaJetAdminConcatenada!$A:$A=GG$2)*(AsistenciaJetAdminConcatenada!$B:$B=GG$1), 0)), 1))),  0.5, 0))</f>
        <v>0</v>
      </c>
      <c r="GH9" s="47">
        <f t="array" ref="GH9">IF(AND(ISNUMBER(MATCH(GH$2, AsistenciaJetAdminConcatenada!$A:$A, 0)), ISNUMBER(MATCH(GH$1, AsistenciaJetAdminConcatenada!$B:$B, 0)), ISNUMBER(SEARCH($A9,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ISNUMBER(SEARCH($A9, INDEX(AsistenciaJetAdminConcatenada!$D:$D, MATCH(1, (AsistenciaJetAdminConcatenada!$A:$A=GH$2)*(AsistenciaJetAdminConcatenada!$B:$B=GH$1), 0)), 1))),  0.5, 0))</f>
        <v>0</v>
      </c>
      <c r="GI9" s="47">
        <f t="array" ref="GI9">IF(AND(ISNUMBER(MATCH(GI$2, AsistenciaJetAdminConcatenada!$A:$A, 0)), ISNUMBER(MATCH(GI$1, AsistenciaJetAdminConcatenada!$B:$B, 0)), ISNUMBER(SEARCH($A9,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ISNUMBER(SEARCH($A9, INDEX(AsistenciaJetAdminConcatenada!$D:$D, MATCH(1, (AsistenciaJetAdminConcatenada!$A:$A=GI$2)*(AsistenciaJetAdminConcatenada!$B:$B=GI$1), 0)), 1))),  0.5, 0))</f>
        <v>0</v>
      </c>
      <c r="GJ9" s="47">
        <f t="array" ref="GJ9">IF(AND(ISNUMBER(MATCH(GJ$2, AsistenciaJetAdminConcatenada!$A:$A, 0)), ISNUMBER(MATCH(GJ$1, AsistenciaJetAdminConcatenada!$B:$B, 0)), ISNUMBER(SEARCH($A9,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ISNUMBER(SEARCH($A9, INDEX(AsistenciaJetAdminConcatenada!$D:$D, MATCH(1, (AsistenciaJetAdminConcatenada!$A:$A=GJ$2)*(AsistenciaJetAdminConcatenada!$B:$B=GJ$1), 0)), 1))),  0.5, 0))</f>
        <v>0</v>
      </c>
      <c r="GK9" s="47">
        <f t="array" ref="GK9">IF(AND(ISNUMBER(MATCH(GK$2, AsistenciaJetAdminConcatenada!$A:$A, 0)), ISNUMBER(MATCH(GK$1, AsistenciaJetAdminConcatenada!$B:$B, 0)), ISNUMBER(SEARCH($A9,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ISNUMBER(SEARCH($A9, INDEX(AsistenciaJetAdminConcatenada!$D:$D, MATCH(1, (AsistenciaJetAdminConcatenada!$A:$A=GK$2)*(AsistenciaJetAdminConcatenada!$B:$B=GK$1), 0)), 1))),  0.5, 0))</f>
        <v>0</v>
      </c>
      <c r="GL9" s="47">
        <f t="array" ref="GL9">IF(AND(ISNUMBER(MATCH(GL$2, AsistenciaJetAdminConcatenada!$A:$A, 0)), ISNUMBER(MATCH(GL$1, AsistenciaJetAdminConcatenada!$B:$B, 0)), ISNUMBER(SEARCH($A9,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ISNUMBER(SEARCH($A9, INDEX(AsistenciaJetAdminConcatenada!$D:$D, MATCH(1, (AsistenciaJetAdminConcatenada!$A:$A=GL$2)*(AsistenciaJetAdminConcatenada!$B:$B=GL$1), 0)), 1))),  0.5, 0))</f>
        <v>0</v>
      </c>
      <c r="GM9" s="47">
        <f t="array" ref="GM9">IF(AND(ISNUMBER(MATCH(GM$2, AsistenciaJetAdminConcatenada!$A:$A, 0)), ISNUMBER(MATCH(GM$1, AsistenciaJetAdminConcatenada!$B:$B, 0)), ISNUMBER(SEARCH($A9,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ISNUMBER(SEARCH($A9, INDEX(AsistenciaJetAdminConcatenada!$D:$D, MATCH(1, (AsistenciaJetAdminConcatenada!$A:$A=GM$2)*(AsistenciaJetAdminConcatenada!$B:$B=GM$1), 0)), 1))),  0.5, 0))</f>
        <v>0</v>
      </c>
      <c r="GN9" s="47">
        <f t="array" ref="GN9">IF(AND(ISNUMBER(MATCH(GN$2, AsistenciaJetAdminConcatenada!$A:$A, 0)), ISNUMBER(MATCH(GN$1, AsistenciaJetAdminConcatenada!$B:$B, 0)), ISNUMBER(SEARCH($A9,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ISNUMBER(SEARCH($A9, INDEX(AsistenciaJetAdminConcatenada!$D:$D, MATCH(1, (AsistenciaJetAdminConcatenada!$A:$A=GN$2)*(AsistenciaJetAdminConcatenada!$B:$B=GN$1), 0)), 1))),  0.5, 0))</f>
        <v>0</v>
      </c>
      <c r="GO9" s="47">
        <f t="array" ref="GO9">IF(AND(ISNUMBER(MATCH(GO$2, AsistenciaJetAdminConcatenada!$A:$A, 0)), ISNUMBER(MATCH(GO$1, AsistenciaJetAdminConcatenada!$B:$B, 0)), ISNUMBER(SEARCH($A9,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ISNUMBER(SEARCH($A9, INDEX(AsistenciaJetAdminConcatenada!$D:$D, MATCH(1, (AsistenciaJetAdminConcatenada!$A:$A=GO$2)*(AsistenciaJetAdminConcatenada!$B:$B=GO$1), 0)), 1))),  0.5, 0))</f>
        <v>0</v>
      </c>
      <c r="GP9" s="47">
        <f t="array" ref="GP9">IF(AND(ISNUMBER(MATCH(GP$2, AsistenciaJetAdminConcatenada!$A:$A, 0)), ISNUMBER(MATCH(GP$1, AsistenciaJetAdminConcatenada!$B:$B, 0)), ISNUMBER(SEARCH($A9,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ISNUMBER(SEARCH($A9, INDEX(AsistenciaJetAdminConcatenada!$D:$D, MATCH(1, (AsistenciaJetAdminConcatenada!$A:$A=GP$2)*(AsistenciaJetAdminConcatenada!$B:$B=GP$1), 0)), 1))),  0.5, 0))</f>
        <v>0</v>
      </c>
      <c r="GQ9" s="47">
        <f t="array" ref="GQ9">IF(AND(ISNUMBER(MATCH(GQ$2, AsistenciaJetAdminConcatenada!$A:$A, 0)), ISNUMBER(MATCH(GQ$1, AsistenciaJetAdminConcatenada!$B:$B, 0)), ISNUMBER(SEARCH($A9,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ISNUMBER(SEARCH($A9, INDEX(AsistenciaJetAdminConcatenada!$D:$D, MATCH(1, (AsistenciaJetAdminConcatenada!$A:$A=GQ$2)*(AsistenciaJetAdminConcatenada!$B:$B=GQ$1), 0)), 1))),  0.5, 0))</f>
        <v>0</v>
      </c>
      <c r="GR9" s="47">
        <f t="array" ref="GR9">IF(AND(ISNUMBER(MATCH(GR$2, AsistenciaJetAdminConcatenada!$A:$A, 0)), ISNUMBER(MATCH(GR$1, AsistenciaJetAdminConcatenada!$B:$B, 0)), ISNUMBER(SEARCH($A9,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ISNUMBER(SEARCH($A9, INDEX(AsistenciaJetAdminConcatenada!$D:$D, MATCH(1, (AsistenciaJetAdminConcatenada!$A:$A=GR$2)*(AsistenciaJetAdminConcatenada!$B:$B=GR$1), 0)), 1))),  0.5, 0))</f>
        <v>0</v>
      </c>
      <c r="GS9" s="47">
        <f t="array" ref="GS9">IF(AND(ISNUMBER(MATCH(GS$2, AsistenciaJetAdminConcatenada!$A:$A, 0)), ISNUMBER(MATCH(GS$1, AsistenciaJetAdminConcatenada!$B:$B, 0)), ISNUMBER(SEARCH($A9,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ISNUMBER(SEARCH($A9, INDEX(AsistenciaJetAdminConcatenada!$D:$D, MATCH(1, (AsistenciaJetAdminConcatenada!$A:$A=GS$2)*(AsistenciaJetAdminConcatenada!$B:$B=GS$1), 0)), 1))),  0.5, 0))</f>
        <v>0</v>
      </c>
      <c r="GT9" s="47">
        <f t="array" ref="GT9">IF(AND(ISNUMBER(MATCH(GT$2, AsistenciaJetAdminConcatenada!$A:$A, 0)), ISNUMBER(MATCH(GT$1, AsistenciaJetAdminConcatenada!$B:$B, 0)), ISNUMBER(SEARCH($A9,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ISNUMBER(SEARCH($A9, INDEX(AsistenciaJetAdminConcatenada!$D:$D, MATCH(1, (AsistenciaJetAdminConcatenada!$A:$A=GT$2)*(AsistenciaJetAdminConcatenada!$B:$B=GT$1), 0)), 1))),  0.5, 0))</f>
        <v>0</v>
      </c>
      <c r="GU9" s="47">
        <f t="array" ref="GU9">IF(AND(ISNUMBER(MATCH(GU$2, AsistenciaJetAdminConcatenada!$A:$A, 0)), ISNUMBER(MATCH(GU$1, AsistenciaJetAdminConcatenada!$B:$B, 0)), ISNUMBER(SEARCH($A9,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ISNUMBER(SEARCH($A9, INDEX(AsistenciaJetAdminConcatenada!$D:$D, MATCH(1, (AsistenciaJetAdminConcatenada!$A:$A=GU$2)*(AsistenciaJetAdminConcatenada!$B:$B=GU$1), 0)), 1))),  0.5, 0))</f>
        <v>0</v>
      </c>
      <c r="GV9" s="47">
        <f t="array" ref="GV9">IF(AND(ISNUMBER(MATCH(GV$2, AsistenciaJetAdminConcatenada!$A:$A, 0)), ISNUMBER(MATCH(GV$1, AsistenciaJetAdminConcatenada!$B:$B, 0)), ISNUMBER(SEARCH($A9,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ISNUMBER(SEARCH($A9, INDEX(AsistenciaJetAdminConcatenada!$D:$D, MATCH(1, (AsistenciaJetAdminConcatenada!$A:$A=GV$2)*(AsistenciaJetAdminConcatenada!$B:$B=GV$1), 0)), 1))),  0.5, 0))</f>
        <v>0</v>
      </c>
      <c r="GW9" s="47">
        <f t="array" ref="GW9">IF(AND(ISNUMBER(MATCH(GW$2, AsistenciaJetAdminConcatenada!$A:$A, 0)), ISNUMBER(MATCH(GW$1, AsistenciaJetAdminConcatenada!$B:$B, 0)), ISNUMBER(SEARCH($A9,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ISNUMBER(SEARCH($A9, INDEX(AsistenciaJetAdminConcatenada!$D:$D, MATCH(1, (AsistenciaJetAdminConcatenada!$A:$A=GW$2)*(AsistenciaJetAdminConcatenada!$B:$B=GW$1), 0)), 1))),  0.5, 0))</f>
        <v>0</v>
      </c>
      <c r="GX9" s="47">
        <f t="array" ref="GX9">IF(AND(ISNUMBER(MATCH(GX$2, AsistenciaJetAdminConcatenada!$A:$A, 0)), ISNUMBER(MATCH(GX$1, AsistenciaJetAdminConcatenada!$B:$B, 0)), ISNUMBER(SEARCH($A9,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ISNUMBER(SEARCH($A9, INDEX(AsistenciaJetAdminConcatenada!$D:$D, MATCH(1, (AsistenciaJetAdminConcatenada!$A:$A=GX$2)*(AsistenciaJetAdminConcatenada!$B:$B=GX$1), 0)), 1))),  0.5, 0))</f>
        <v>0</v>
      </c>
      <c r="GY9" s="47">
        <f t="array" ref="GY9">IF(AND(ISNUMBER(MATCH(GY$2, AsistenciaJetAdminConcatenada!$A:$A, 0)), ISNUMBER(MATCH(GY$1, AsistenciaJetAdminConcatenada!$B:$B, 0)), ISNUMBER(SEARCH($A9,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ISNUMBER(SEARCH($A9, INDEX(AsistenciaJetAdminConcatenada!$D:$D, MATCH(1, (AsistenciaJetAdminConcatenada!$A:$A=GY$2)*(AsistenciaJetAdminConcatenada!$B:$B=GY$1), 0)), 1))),  0.5, 0))</f>
        <v>0</v>
      </c>
      <c r="GZ9" s="47">
        <f t="array" ref="GZ9">IF(AND(ISNUMBER(MATCH(GZ$2, AsistenciaJetAdminConcatenada!$A:$A, 0)), ISNUMBER(MATCH(GZ$1, AsistenciaJetAdminConcatenada!$B:$B, 0)), ISNUMBER(SEARCH($A9,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ISNUMBER(SEARCH($A9, INDEX(AsistenciaJetAdminConcatenada!$D:$D, MATCH(1, (AsistenciaJetAdminConcatenada!$A:$A=GZ$2)*(AsistenciaJetAdminConcatenada!$B:$B=GZ$1), 0)), 1))),  0.5, 0))</f>
        <v>0</v>
      </c>
      <c r="HA9" s="47">
        <f t="array" ref="HA9">IF(AND(ISNUMBER(MATCH(HA$2, AsistenciaJetAdminConcatenada!$A:$A, 0)), ISNUMBER(MATCH(HA$1, AsistenciaJetAdminConcatenada!$B:$B, 0)), ISNUMBER(SEARCH($A9,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ISNUMBER(SEARCH($A9, INDEX(AsistenciaJetAdminConcatenada!$D:$D, MATCH(1, (AsistenciaJetAdminConcatenada!$A:$A=HA$2)*(AsistenciaJetAdminConcatenada!$B:$B=HA$1), 0)), 1))),  0.5, 0))</f>
        <v>0</v>
      </c>
      <c r="HB9" s="47">
        <f t="array" ref="HB9">IF(AND(ISNUMBER(MATCH(HB$2, AsistenciaJetAdminConcatenada!$A:$A, 0)), ISNUMBER(MATCH(HB$1, AsistenciaJetAdminConcatenada!$B:$B, 0)), ISNUMBER(SEARCH($A9,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ISNUMBER(SEARCH($A9, INDEX(AsistenciaJetAdminConcatenada!$D:$D, MATCH(1, (AsistenciaJetAdminConcatenada!$A:$A=HB$2)*(AsistenciaJetAdminConcatenada!$B:$B=HB$1), 0)), 1))),  0.5, 0))</f>
        <v>0</v>
      </c>
      <c r="HC9" s="47">
        <f t="array" ref="HC9">IF(AND(ISNUMBER(MATCH(HC$2, AsistenciaJetAdminConcatenada!$A:$A, 0)), ISNUMBER(MATCH(HC$1, AsistenciaJetAdminConcatenada!$B:$B, 0)), ISNUMBER(SEARCH($A9,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ISNUMBER(SEARCH($A9, INDEX(AsistenciaJetAdminConcatenada!$D:$D, MATCH(1, (AsistenciaJetAdminConcatenada!$A:$A=HC$2)*(AsistenciaJetAdminConcatenada!$B:$B=HC$1), 0)), 1))),  0.5, 0))</f>
        <v>0</v>
      </c>
    </row>
    <row r="10" ht="29.25" customHeight="1">
      <c r="A10" s="12">
        <v>155.0</v>
      </c>
      <c r="B10" s="13" t="s">
        <v>659</v>
      </c>
      <c r="C10" s="47">
        <f>SUM(D10:HC10) + ActividadesEspeciales!C10</f>
        <v>72.5</v>
      </c>
      <c r="D10" s="47">
        <f t="array" ref="D10">IF(AND(ISNUMBER(MATCH(D$2, AsistenciaJetAdminConcatenada!$A:$A, 0)), ISNUMBER(MATCH(D$1, AsistenciaJetAdminConcatenada!$B:$B, 0)), ISNUMBER(SEARCH($A10,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ISNUMBER(SEARCH($A10, INDEX(AsistenciaJetAdminConcatenada!$D:$D, MATCH(1, (AsistenciaJetAdminConcatenada!$A:$A=D$2)*(AsistenciaJetAdminConcatenada!$B:$B=D$1), 0)), 1))),  0.5, 0))</f>
        <v>1</v>
      </c>
      <c r="E10" s="47">
        <f t="array" ref="E10">IF(AND(ISNUMBER(MATCH(E$2, AsistenciaJetAdminConcatenada!$A:$A, 0)), ISNUMBER(MATCH(E$1, AsistenciaJetAdminConcatenada!$B:$B, 0)), ISNUMBER(SEARCH($A10,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ISNUMBER(SEARCH($A10, INDEX(AsistenciaJetAdminConcatenada!$D:$D, MATCH(1, (AsistenciaJetAdminConcatenada!$A:$A=E$2)*(AsistenciaJetAdminConcatenada!$B:$B=E$1), 0)), 1))),  0.5, 0))</f>
        <v>1</v>
      </c>
      <c r="F10" s="47">
        <f t="array" ref="F10">IF(AND(ISNUMBER(MATCH(F$2, AsistenciaJetAdminConcatenada!$A:$A, 0)), ISNUMBER(MATCH(F$1, AsistenciaJetAdminConcatenada!$B:$B, 0)), ISNUMBER(SEARCH($A10,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ISNUMBER(SEARCH($A10, INDEX(AsistenciaJetAdminConcatenada!$D:$D, MATCH(1, (AsistenciaJetAdminConcatenada!$A:$A=F$2)*(AsistenciaJetAdminConcatenada!$B:$B=F$1), 0)), 1))),  0.5, 0))</f>
        <v>1</v>
      </c>
      <c r="G10" s="47">
        <f t="array" ref="G10">IF(AND(ISNUMBER(MATCH(G$2, AsistenciaJetAdminConcatenada!$A:$A, 0)), ISNUMBER(MATCH(G$1, AsistenciaJetAdminConcatenada!$B:$B, 0)), ISNUMBER(SEARCH($A10,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ISNUMBER(SEARCH($A10, INDEX(AsistenciaJetAdminConcatenada!$D:$D, MATCH(1, (AsistenciaJetAdminConcatenada!$A:$A=G$2)*(AsistenciaJetAdminConcatenada!$B:$B=G$1), 0)), 1))),  0.5, 0))</f>
        <v>1</v>
      </c>
      <c r="H10" s="47">
        <f t="array" ref="H10">IF(AND(ISNUMBER(MATCH(H$2, AsistenciaJetAdminConcatenada!$A:$A, 0)), ISNUMBER(MATCH(H$1, AsistenciaJetAdminConcatenada!$B:$B, 0)), ISNUMBER(SEARCH($A10,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ISNUMBER(SEARCH($A10, INDEX(AsistenciaJetAdminConcatenada!$D:$D, MATCH(1, (AsistenciaJetAdminConcatenada!$A:$A=H$2)*(AsistenciaJetAdminConcatenada!$B:$B=H$1), 0)), 1))),  0.5, 0))</f>
        <v>1</v>
      </c>
      <c r="I10" s="47">
        <f t="array" ref="I10">IF(AND(ISNUMBER(MATCH(I$2, AsistenciaJetAdminConcatenada!$A:$A, 0)), ISNUMBER(MATCH(I$1, AsistenciaJetAdminConcatenada!$B:$B, 0)), ISNUMBER(SEARCH($A10,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ISNUMBER(SEARCH($A10, INDEX(AsistenciaJetAdminConcatenada!$D:$D, MATCH(1, (AsistenciaJetAdminConcatenada!$A:$A=I$2)*(AsistenciaJetAdminConcatenada!$B:$B=I$1), 0)), 1))),  0.5, 0))</f>
        <v>1</v>
      </c>
      <c r="J10" s="47">
        <f t="array" ref="J10">IF(AND(ISNUMBER(MATCH(J$2, AsistenciaJetAdminConcatenada!$A:$A, 0)), ISNUMBER(MATCH(J$1, AsistenciaJetAdminConcatenada!$B:$B, 0)), ISNUMBER(SEARCH($A10,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ISNUMBER(SEARCH($A10, INDEX(AsistenciaJetAdminConcatenada!$D:$D, MATCH(1, (AsistenciaJetAdminConcatenada!$A:$A=J$2)*(AsistenciaJetAdminConcatenada!$B:$B=J$1), 0)), 1))),  0.5, 0))</f>
        <v>1</v>
      </c>
      <c r="K10" s="47">
        <f t="array" ref="K10">IF(AND(ISNUMBER(MATCH(K$2, AsistenciaJetAdminConcatenada!$A:$A, 0)), ISNUMBER(MATCH(K$1, AsistenciaJetAdminConcatenada!$B:$B, 0)), ISNUMBER(SEARCH($A10,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ISNUMBER(SEARCH($A10, INDEX(AsistenciaJetAdminConcatenada!$D:$D, MATCH(1, (AsistenciaJetAdminConcatenada!$A:$A=K$2)*(AsistenciaJetAdminConcatenada!$B:$B=K$1), 0)), 1))),  0.5, 0))</f>
        <v>1</v>
      </c>
      <c r="L10" s="47">
        <f t="array" ref="L10">IF(AND(ISNUMBER(MATCH(L$2, AsistenciaJetAdminConcatenada!$A:$A, 0)), ISNUMBER(MATCH(L$1, AsistenciaJetAdminConcatenada!$B:$B, 0)), ISNUMBER(SEARCH($A10,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ISNUMBER(SEARCH($A10, INDEX(AsistenciaJetAdminConcatenada!$D:$D, MATCH(1, (AsistenciaJetAdminConcatenada!$A:$A=L$2)*(AsistenciaJetAdminConcatenada!$B:$B=L$1), 0)), 1))),  0.5, 0))</f>
        <v>0.5</v>
      </c>
      <c r="M10" s="47">
        <f t="array" ref="M10">IF(AND(ISNUMBER(MATCH(M$2, AsistenciaJetAdminConcatenada!$A:$A, 0)), ISNUMBER(MATCH(M$1, AsistenciaJetAdminConcatenada!$B:$B, 0)), ISNUMBER(SEARCH($A10,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ISNUMBER(SEARCH($A10, INDEX(AsistenciaJetAdminConcatenada!$D:$D, MATCH(1, (AsistenciaJetAdminConcatenada!$A:$A=M$2)*(AsistenciaJetAdminConcatenada!$B:$B=M$1), 0)), 1))),  0.5, 0))</f>
        <v>1</v>
      </c>
      <c r="N10" s="47">
        <f t="array" ref="N10">IF(AND(ISNUMBER(MATCH(N$2, AsistenciaJetAdminConcatenada!$A:$A, 0)), ISNUMBER(MATCH(N$1, AsistenciaJetAdminConcatenada!$B:$B, 0)), ISNUMBER(SEARCH($A10,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ISNUMBER(SEARCH($A10, INDEX(AsistenciaJetAdminConcatenada!$D:$D, MATCH(1, (AsistenciaJetAdminConcatenada!$A:$A=N$2)*(AsistenciaJetAdminConcatenada!$B:$B=N$1), 0)), 1))),  0.5, 0))</f>
        <v>0</v>
      </c>
      <c r="O10" s="47">
        <f t="array" ref="O10">IF(AND(ISNUMBER(MATCH(O$2, AsistenciaJetAdminConcatenada!$A:$A, 0)), ISNUMBER(MATCH(O$1, AsistenciaJetAdminConcatenada!$B:$B, 0)), ISNUMBER(SEARCH($A10,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ISNUMBER(SEARCH($A10, INDEX(AsistenciaJetAdminConcatenada!$D:$D, MATCH(1, (AsistenciaJetAdminConcatenada!$A:$A=O$2)*(AsistenciaJetAdminConcatenada!$B:$B=O$1), 0)), 1))),  0.5, 0))</f>
        <v>0</v>
      </c>
      <c r="P10" s="47">
        <f t="array" ref="P10">IF(AND(ISNUMBER(MATCH(P$2, AsistenciaJetAdminConcatenada!$A:$A, 0)), ISNUMBER(MATCH(P$1, AsistenciaJetAdminConcatenada!$B:$B, 0)), ISNUMBER(SEARCH($A10, INDEX(AsistenciaJetAdminConcatenada!$C:$C, MATCH(1, (AsistenciaJetAdminConcatenada!$A:$A=P$2)*(AsistenciaJetAdminConcatenada!$B:$B=P$1), 0)), 1))), 1, IF(AND(ISNUMBER(MATCH(P$2, AsistenciaJetAdminConcatenada!$A:$A, 0)), ISNUMBER(MATCH(P$1, AsistenciaJetAdminConcatenada!$B:$B, 0)), ISNUMBER(SEARCH($A10, INDEX(AsistenciaJetAdminConcatenada!$D:$D, MATCH(1, (AsistenciaJetAdminConcatenada!$A:$A=P$2)*(AsistenciaJetAdminConcatenada!$B:$B=P$1), 0)), 1))),  0.5, 0))</f>
        <v>0</v>
      </c>
      <c r="Q10" s="47">
        <f t="array" ref="Q10">IF(AND(ISNUMBER(MATCH(Q$2, AsistenciaJetAdminConcatenada!$A:$A, 0)), ISNUMBER(MATCH(Q$1, AsistenciaJetAdminConcatenada!$B:$B, 0)), ISNUMBER(SEARCH($A10, INDEX(AsistenciaJetAdminConcatenada!$C:$C, MATCH(1, (AsistenciaJetAdminConcatenada!$A:$A=Q$2)*(AsistenciaJetAdminConcatenada!$B:$B=Q$1), 0)), 1))), 1, IF(AND(ISNUMBER(MATCH(Q$2, AsistenciaJetAdminConcatenada!$A:$A, 0)), ISNUMBER(MATCH(Q$1, AsistenciaJetAdminConcatenada!$B:$B, 0)), ISNUMBER(SEARCH($A10, INDEX(AsistenciaJetAdminConcatenada!$D:$D, MATCH(1, (AsistenciaJetAdminConcatenada!$A:$A=Q$2)*(AsistenciaJetAdminConcatenada!$B:$B=Q$1), 0)), 1))),  0.5, 0))</f>
        <v>0</v>
      </c>
      <c r="R10" s="47">
        <f t="array" ref="R10">IF(AND(ISNUMBER(MATCH(R$2, AsistenciaJetAdminConcatenada!$A:$A, 0)), ISNUMBER(MATCH(R$1, AsistenciaJetAdminConcatenada!$B:$B, 0)), ISNUMBER(SEARCH($A10,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ISNUMBER(SEARCH($A10, INDEX(AsistenciaJetAdminConcatenada!$D:$D, MATCH(1, (AsistenciaJetAdminConcatenada!$A:$A=R$2)*(AsistenciaJetAdminConcatenada!$B:$B=R$1), 0)), 1))),  0.5, 0))</f>
        <v>0.5</v>
      </c>
      <c r="S10" s="47">
        <f t="array" ref="S10">IF(AND(ISNUMBER(MATCH(S$2, AsistenciaJetAdminConcatenada!$A:$A, 0)), ISNUMBER(MATCH(S$1, AsistenciaJetAdminConcatenada!$B:$B, 0)), ISNUMBER(SEARCH($A10,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ISNUMBER(SEARCH($A10, INDEX(AsistenciaJetAdminConcatenada!$D:$D, MATCH(1, (AsistenciaJetAdminConcatenada!$A:$A=S$2)*(AsistenciaJetAdminConcatenada!$B:$B=S$1), 0)), 1))),  0.5, 0))</f>
        <v>1</v>
      </c>
      <c r="T10" s="47">
        <f t="array" ref="T10">IF(AND(ISNUMBER(MATCH(T$2, AsistenciaJetAdminConcatenada!$A:$A, 0)), ISNUMBER(MATCH(T$1, AsistenciaJetAdminConcatenada!$B:$B, 0)), ISNUMBER(SEARCH($A10,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ISNUMBER(SEARCH($A10, INDEX(AsistenciaJetAdminConcatenada!$D:$D, MATCH(1, (AsistenciaJetAdminConcatenada!$A:$A=T$2)*(AsistenciaJetAdminConcatenada!$B:$B=T$1), 0)), 1))),  0.5, 0))</f>
        <v>1</v>
      </c>
      <c r="U10" s="47">
        <f t="array" ref="U10">IF(AND(ISNUMBER(MATCH(U$2, AsistenciaJetAdminConcatenada!$A:$A, 0)), ISNUMBER(MATCH(U$1, AsistenciaJetAdminConcatenada!$B:$B, 0)), ISNUMBER(SEARCH($A10,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ISNUMBER(SEARCH($A10, INDEX(AsistenciaJetAdminConcatenada!$D:$D, MATCH(1, (AsistenciaJetAdminConcatenada!$A:$A=U$2)*(AsistenciaJetAdminConcatenada!$B:$B=U$1), 0)), 1))),  0.5, 0))</f>
        <v>0.5</v>
      </c>
      <c r="V10" s="47">
        <f t="array" ref="V10">IF(AND(ISNUMBER(MATCH(V$2, AsistenciaJetAdminConcatenada!$A:$A, 0)), ISNUMBER(MATCH(V$1, AsistenciaJetAdminConcatenada!$B:$B, 0)), ISNUMBER(SEARCH($A10,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ISNUMBER(SEARCH($A10, INDEX(AsistenciaJetAdminConcatenada!$D:$D, MATCH(1, (AsistenciaJetAdminConcatenada!$A:$A=V$2)*(AsistenciaJetAdminConcatenada!$B:$B=V$1), 0)), 1))),  0.5, 0))</f>
        <v>1</v>
      </c>
      <c r="W10" s="47">
        <f t="array" ref="W10">IF(AND(ISNUMBER(MATCH(W$2, AsistenciaJetAdminConcatenada!$A:$A, 0)), ISNUMBER(MATCH(W$1, AsistenciaJetAdminConcatenada!$B:$B, 0)), ISNUMBER(SEARCH($A10,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ISNUMBER(SEARCH($A10, INDEX(AsistenciaJetAdminConcatenada!$D:$D, MATCH(1, (AsistenciaJetAdminConcatenada!$A:$A=W$2)*(AsistenciaJetAdminConcatenada!$B:$B=W$1), 0)), 1))),  0.5, 0))</f>
        <v>1</v>
      </c>
      <c r="X10" s="47">
        <f t="array" ref="X10">IF(AND(ISNUMBER(MATCH(X$2, AsistenciaJetAdminConcatenada!$A:$A, 0)), ISNUMBER(MATCH(X$1, AsistenciaJetAdminConcatenada!$B:$B, 0)), ISNUMBER(SEARCH($A10,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ISNUMBER(SEARCH($A10, INDEX(AsistenciaJetAdminConcatenada!$D:$D, MATCH(1, (AsistenciaJetAdminConcatenada!$A:$A=X$2)*(AsistenciaJetAdminConcatenada!$B:$B=X$1), 0)), 1))),  0.5, 0))</f>
        <v>1</v>
      </c>
      <c r="Y10" s="47">
        <f t="array" ref="Y10">IF(AND(ISNUMBER(MATCH(Y$2, AsistenciaJetAdminConcatenada!$A:$A, 0)), ISNUMBER(MATCH(Y$1, AsistenciaJetAdminConcatenada!$B:$B, 0)), ISNUMBER(SEARCH($A10,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ISNUMBER(SEARCH($A10, INDEX(AsistenciaJetAdminConcatenada!$D:$D, MATCH(1, (AsistenciaJetAdminConcatenada!$A:$A=Y$2)*(AsistenciaJetAdminConcatenada!$B:$B=Y$1), 0)), 1))),  0.5, 0))</f>
        <v>0.5</v>
      </c>
      <c r="Z10" s="47">
        <f t="array" ref="Z10">IF(AND(ISNUMBER(MATCH(Z$2, AsistenciaJetAdminConcatenada!$A:$A, 0)), ISNUMBER(MATCH(Z$1, AsistenciaJetAdminConcatenada!$B:$B, 0)), ISNUMBER(SEARCH($A10,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ISNUMBER(SEARCH($A10, INDEX(AsistenciaJetAdminConcatenada!$D:$D, MATCH(1, (AsistenciaJetAdminConcatenada!$A:$A=Z$2)*(AsistenciaJetAdminConcatenada!$B:$B=Z$1), 0)), 1))),  0.5, 0))</f>
        <v>1</v>
      </c>
      <c r="AA10" s="47">
        <f t="array" ref="AA10">IF(AND(ISNUMBER(MATCH(AA$2, AsistenciaJetAdminConcatenada!$A:$A, 0)), ISNUMBER(MATCH(AA$1, AsistenciaJetAdminConcatenada!$B:$B, 0)), ISNUMBER(SEARCH($A10,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ISNUMBER(SEARCH($A10, INDEX(AsistenciaJetAdminConcatenada!$D:$D, MATCH(1, (AsistenciaJetAdminConcatenada!$A:$A=AA$2)*(AsistenciaJetAdminConcatenada!$B:$B=AA$1), 0)), 1))),  0.5, 0))</f>
        <v>1</v>
      </c>
      <c r="AB10" s="47">
        <f t="array" ref="AB10">IF(AND(ISNUMBER(MATCH(AB$2, AsistenciaJetAdminConcatenada!$A:$A, 0)), ISNUMBER(MATCH(AB$1, AsistenciaJetAdminConcatenada!$B:$B, 0)), ISNUMBER(SEARCH($A10,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ISNUMBER(SEARCH($A10, INDEX(AsistenciaJetAdminConcatenada!$D:$D, MATCH(1, (AsistenciaJetAdminConcatenada!$A:$A=AB$2)*(AsistenciaJetAdminConcatenada!$B:$B=AB$1), 0)), 1))),  0.5, 0))</f>
        <v>1</v>
      </c>
      <c r="AC10" s="47">
        <f t="array" ref="AC10">IF(AND(ISNUMBER(MATCH(AC$2, AsistenciaJetAdminConcatenada!$A:$A, 0)), ISNUMBER(MATCH(AC$1, AsistenciaJetAdminConcatenada!$B:$B, 0)), ISNUMBER(SEARCH($A10,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ISNUMBER(SEARCH($A10, INDEX(AsistenciaJetAdminConcatenada!$D:$D, MATCH(1, (AsistenciaJetAdminConcatenada!$A:$A=AC$2)*(AsistenciaJetAdminConcatenada!$B:$B=AC$1), 0)), 1))),  0.5, 0))</f>
        <v>0</v>
      </c>
      <c r="AD10" s="47">
        <f t="array" ref="AD10">IF(AND(ISNUMBER(MATCH(AD$2, AsistenciaJetAdminConcatenada!$A:$A, 0)), ISNUMBER(MATCH(AD$1, AsistenciaJetAdminConcatenada!$B:$B, 0)), ISNUMBER(SEARCH($A10,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ISNUMBER(SEARCH($A10, INDEX(AsistenciaJetAdminConcatenada!$D:$D, MATCH(1, (AsistenciaJetAdminConcatenada!$A:$A=AD$2)*(AsistenciaJetAdminConcatenada!$B:$B=AD$1), 0)), 1))),  0.5, 0))</f>
        <v>1</v>
      </c>
      <c r="AE10" s="47">
        <f t="array" ref="AE10">IF(AND(ISNUMBER(MATCH(AE$2, AsistenciaJetAdminConcatenada!$A:$A, 0)), ISNUMBER(MATCH(AE$1, AsistenciaJetAdminConcatenada!$B:$B, 0)), ISNUMBER(SEARCH($A10,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ISNUMBER(SEARCH($A10, INDEX(AsistenciaJetAdminConcatenada!$D:$D, MATCH(1, (AsistenciaJetAdminConcatenada!$A:$A=AE$2)*(AsistenciaJetAdminConcatenada!$B:$B=AE$1), 0)), 1))),  0.5, 0))</f>
        <v>0</v>
      </c>
      <c r="AF10" s="47">
        <f t="array" ref="AF10">IF(AND(ISNUMBER(MATCH(AF$2, AsistenciaJetAdminConcatenada!$A:$A, 0)), ISNUMBER(MATCH(AF$1, AsistenciaJetAdminConcatenada!$B:$B, 0)), ISNUMBER(SEARCH($A10,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ISNUMBER(SEARCH($A10, INDEX(AsistenciaJetAdminConcatenada!$D:$D, MATCH(1, (AsistenciaJetAdminConcatenada!$A:$A=AF$2)*(AsistenciaJetAdminConcatenada!$B:$B=AF$1), 0)), 1))),  0.5, 0))</f>
        <v>1</v>
      </c>
      <c r="AG10" s="47">
        <f t="array" ref="AG10">IF(AND(ISNUMBER(MATCH(AG$2, AsistenciaJetAdminConcatenada!$A:$A, 0)), ISNUMBER(MATCH(AG$1, AsistenciaJetAdminConcatenada!$B:$B, 0)), ISNUMBER(SEARCH($A10,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ISNUMBER(SEARCH($A10, INDEX(AsistenciaJetAdminConcatenada!$D:$D, MATCH(1, (AsistenciaJetAdminConcatenada!$A:$A=AG$2)*(AsistenciaJetAdminConcatenada!$B:$B=AG$1), 0)), 1))),  0.5, 0))</f>
        <v>1</v>
      </c>
      <c r="AH10" s="47">
        <f t="array" ref="AH10">IF(AND(ISNUMBER(MATCH(AH$2, AsistenciaJetAdminConcatenada!$A:$A, 0)), ISNUMBER(MATCH(AH$1, AsistenciaJetAdminConcatenada!$B:$B, 0)), ISNUMBER(SEARCH($A10,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ISNUMBER(SEARCH($A10, INDEX(AsistenciaJetAdminConcatenada!$D:$D, MATCH(1, (AsistenciaJetAdminConcatenada!$A:$A=AH$2)*(AsistenciaJetAdminConcatenada!$B:$B=AH$1), 0)), 1))),  0.5, 0))</f>
        <v>0</v>
      </c>
      <c r="AI10" s="47">
        <f t="array" ref="AI10">IF(AND(ISNUMBER(MATCH(AI$2, AsistenciaJetAdminConcatenada!$A:$A, 0)), ISNUMBER(MATCH(AI$1, AsistenciaJetAdminConcatenada!$B:$B, 0)), ISNUMBER(SEARCH($A10,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ISNUMBER(SEARCH($A10, INDEX(AsistenciaJetAdminConcatenada!$D:$D, MATCH(1, (AsistenciaJetAdminConcatenada!$A:$A=AI$2)*(AsistenciaJetAdminConcatenada!$B:$B=AI$1), 0)), 1))),  0.5, 0))</f>
        <v>1</v>
      </c>
      <c r="AJ10" s="47">
        <f t="array" ref="AJ10">IF(AND(ISNUMBER(MATCH(AJ$2, AsistenciaJetAdminConcatenada!$A:$A, 0)), ISNUMBER(MATCH(AJ$1, AsistenciaJetAdminConcatenada!$B:$B, 0)), ISNUMBER(SEARCH($A10,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ISNUMBER(SEARCH($A10, INDEX(AsistenciaJetAdminConcatenada!$D:$D, MATCH(1, (AsistenciaJetAdminConcatenada!$A:$A=AJ$2)*(AsistenciaJetAdminConcatenada!$B:$B=AJ$1), 0)), 1))),  0.5, 0))</f>
        <v>0</v>
      </c>
      <c r="AK10" s="47">
        <f t="array" ref="AK10">IF(AND(ISNUMBER(MATCH(AK$2, AsistenciaJetAdminConcatenada!$A:$A, 0)), ISNUMBER(MATCH(AK$1, AsistenciaJetAdminConcatenada!$B:$B, 0)), ISNUMBER(SEARCH($A10,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ISNUMBER(SEARCH($A10, INDEX(AsistenciaJetAdminConcatenada!$D:$D, MATCH(1, (AsistenciaJetAdminConcatenada!$A:$A=AK$2)*(AsistenciaJetAdminConcatenada!$B:$B=AK$1), 0)), 1))),  0.5, 0))</f>
        <v>1</v>
      </c>
      <c r="AL10" s="47">
        <f t="array" ref="AL10">IF(AND(ISNUMBER(MATCH(AL$2, AsistenciaJetAdminConcatenada!$A:$A, 0)), ISNUMBER(MATCH(AL$1, AsistenciaJetAdminConcatenada!$B:$B, 0)), ISNUMBER(SEARCH($A10,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ISNUMBER(SEARCH($A10, INDEX(AsistenciaJetAdminConcatenada!$D:$D, MATCH(1, (AsistenciaJetAdminConcatenada!$A:$A=AL$2)*(AsistenciaJetAdminConcatenada!$B:$B=AL$1), 0)), 1))),  0.5, 0))</f>
        <v>0</v>
      </c>
      <c r="AM10" s="47">
        <f t="array" ref="AM10">IF(AND(ISNUMBER(MATCH(AM$2, AsistenciaJetAdminConcatenada!$A:$A, 0)), ISNUMBER(MATCH(AM$1, AsistenciaJetAdminConcatenada!$B:$B, 0)), ISNUMBER(SEARCH($A10,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ISNUMBER(SEARCH($A10, INDEX(AsistenciaJetAdminConcatenada!$D:$D, MATCH(1, (AsistenciaJetAdminConcatenada!$A:$A=AM$2)*(AsistenciaJetAdminConcatenada!$B:$B=AM$1), 0)), 1))),  0.5, 0))</f>
        <v>1</v>
      </c>
      <c r="AN10" s="47">
        <f t="array" ref="AN10">IF(AND(ISNUMBER(MATCH(AN$2, AsistenciaJetAdminConcatenada!$A:$A, 0)), ISNUMBER(MATCH(AN$1, AsistenciaJetAdminConcatenada!$B:$B, 0)), ISNUMBER(SEARCH($A10,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ISNUMBER(SEARCH($A10, INDEX(AsistenciaJetAdminConcatenada!$D:$D, MATCH(1, (AsistenciaJetAdminConcatenada!$A:$A=AN$2)*(AsistenciaJetAdminConcatenada!$B:$B=AN$1), 0)), 1))),  0.5, 0))</f>
        <v>0</v>
      </c>
      <c r="AO10" s="47">
        <f t="array" ref="AO10">IF(AND(ISNUMBER(MATCH(AO$2, AsistenciaJetAdminConcatenada!$A:$A, 0)), ISNUMBER(MATCH(AO$1, AsistenciaJetAdminConcatenada!$B:$B, 0)), ISNUMBER(SEARCH($A10,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ISNUMBER(SEARCH($A10, INDEX(AsistenciaJetAdminConcatenada!$D:$D, MATCH(1, (AsistenciaJetAdminConcatenada!$A:$A=AO$2)*(AsistenciaJetAdminConcatenada!$B:$B=AO$1), 0)), 1))),  0.5, 0))</f>
        <v>1</v>
      </c>
      <c r="AP10" s="47">
        <f t="array" ref="AP10">IF(AND(ISNUMBER(MATCH(AP$2, AsistenciaJetAdminConcatenada!$A:$A, 0)), ISNUMBER(MATCH(AP$1, AsistenciaJetAdminConcatenada!$B:$B, 0)), ISNUMBER(SEARCH($A10,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ISNUMBER(SEARCH($A10, INDEX(AsistenciaJetAdminConcatenada!$D:$D, MATCH(1, (AsistenciaJetAdminConcatenada!$A:$A=AP$2)*(AsistenciaJetAdminConcatenada!$B:$B=AP$1), 0)), 1))),  0.5, 0))</f>
        <v>1</v>
      </c>
      <c r="AQ10" s="47">
        <f t="array" ref="AQ10">IF(AND(ISNUMBER(MATCH(AQ$2, AsistenciaJetAdminConcatenada!$A:$A, 0)), ISNUMBER(MATCH(AQ$1, AsistenciaJetAdminConcatenada!$B:$B, 0)), ISNUMBER(SEARCH($A10,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ISNUMBER(SEARCH($A10, INDEX(AsistenciaJetAdminConcatenada!$D:$D, MATCH(1, (AsistenciaJetAdminConcatenada!$A:$A=AQ$2)*(AsistenciaJetAdminConcatenada!$B:$B=AQ$1), 0)), 1))),  0.5, 0))</f>
        <v>0</v>
      </c>
      <c r="AR10" s="47">
        <f t="array" ref="AR10">IF(AND(ISNUMBER(MATCH(AR$2, AsistenciaJetAdminConcatenada!$A:$A, 0)), ISNUMBER(MATCH(AR$1, AsistenciaJetAdminConcatenada!$B:$B, 0)), ISNUMBER(SEARCH($A10,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ISNUMBER(SEARCH($A10, INDEX(AsistenciaJetAdminConcatenada!$D:$D, MATCH(1, (AsistenciaJetAdminConcatenada!$A:$A=AR$2)*(AsistenciaJetAdminConcatenada!$B:$B=AR$1), 0)), 1))),  0.5, 0))</f>
        <v>1</v>
      </c>
      <c r="AS10" s="47">
        <f t="array" ref="AS10">IF(AND(ISNUMBER(MATCH(AS$2, AsistenciaJetAdminConcatenada!$A:$A, 0)), ISNUMBER(MATCH(AS$1, AsistenciaJetAdminConcatenada!$B:$B, 0)), ISNUMBER(SEARCH($A10,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ISNUMBER(SEARCH($A10, INDEX(AsistenciaJetAdminConcatenada!$D:$D, MATCH(1, (AsistenciaJetAdminConcatenada!$A:$A=AS$2)*(AsistenciaJetAdminConcatenada!$B:$B=AS$1), 0)), 1))),  0.5, 0))</f>
        <v>1</v>
      </c>
      <c r="AT10" s="47">
        <f t="array" ref="AT10">IF(AND(ISNUMBER(MATCH(AT$2, AsistenciaJetAdminConcatenada!$A:$A, 0)), ISNUMBER(MATCH(AT$1, AsistenciaJetAdminConcatenada!$B:$B, 0)), ISNUMBER(SEARCH($A10,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ISNUMBER(SEARCH($A10, INDEX(AsistenciaJetAdminConcatenada!$D:$D, MATCH(1, (AsistenciaJetAdminConcatenada!$A:$A=AT$2)*(AsistenciaJetAdminConcatenada!$B:$B=AT$1), 0)), 1))),  0.5, 0))</f>
        <v>0</v>
      </c>
      <c r="AU10" s="47">
        <f t="array" ref="AU10">IF(AND(ISNUMBER(MATCH(AU$2, AsistenciaJetAdminConcatenada!$A:$A, 0)), ISNUMBER(MATCH(AU$1, AsistenciaJetAdminConcatenada!$B:$B, 0)), ISNUMBER(SEARCH($A10,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ISNUMBER(SEARCH($A10, INDEX(AsistenciaJetAdminConcatenada!$D:$D, MATCH(1, (AsistenciaJetAdminConcatenada!$A:$A=AU$2)*(AsistenciaJetAdminConcatenada!$B:$B=AU$1), 0)), 1))),  0.5, 0))</f>
        <v>1</v>
      </c>
      <c r="AV10" s="47">
        <f t="array" ref="AV10">IF(AND(ISNUMBER(MATCH(AV$2, AsistenciaJetAdminConcatenada!$A:$A, 0)), ISNUMBER(MATCH(AV$1, AsistenciaJetAdminConcatenada!$B:$B, 0)), ISNUMBER(SEARCH($A10,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ISNUMBER(SEARCH($A10, INDEX(AsistenciaJetAdminConcatenada!$D:$D, MATCH(1, (AsistenciaJetAdminConcatenada!$A:$A=AV$2)*(AsistenciaJetAdminConcatenada!$B:$B=AV$1), 0)), 1))),  0.5, 0))</f>
        <v>1</v>
      </c>
      <c r="AW10" s="47">
        <f t="array" ref="AW10">IF(AND(ISNUMBER(MATCH(AW$2, AsistenciaJetAdminConcatenada!$A:$A, 0)), ISNUMBER(MATCH(AW$1, AsistenciaJetAdminConcatenada!$B:$B, 0)), ISNUMBER(SEARCH($A10,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ISNUMBER(SEARCH($A10, INDEX(AsistenciaJetAdminConcatenada!$D:$D, MATCH(1, (AsistenciaJetAdminConcatenada!$A:$A=AW$2)*(AsistenciaJetAdminConcatenada!$B:$B=AW$1), 0)), 1))),  0.5, 0))</f>
        <v>1</v>
      </c>
      <c r="AX10" s="47">
        <f t="array" ref="AX10">IF(AND(ISNUMBER(MATCH(AX$2, AsistenciaJetAdminConcatenada!$A:$A, 0)), ISNUMBER(MATCH(AX$1, AsistenciaJetAdminConcatenada!$B:$B, 0)), ISNUMBER(SEARCH($A10,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ISNUMBER(SEARCH($A10, INDEX(AsistenciaJetAdminConcatenada!$D:$D, MATCH(1, (AsistenciaJetAdminConcatenada!$A:$A=AX$2)*(AsistenciaJetAdminConcatenada!$B:$B=AX$1), 0)), 1))),  0.5, 0))</f>
        <v>1</v>
      </c>
      <c r="AY10" s="47">
        <f t="array" ref="AY10">IF(AND(ISNUMBER(MATCH(AY$2, AsistenciaJetAdminConcatenada!$A:$A, 0)), ISNUMBER(MATCH(AY$1, AsistenciaJetAdminConcatenada!$B:$B, 0)), ISNUMBER(SEARCH($A10,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ISNUMBER(SEARCH($A10, INDEX(AsistenciaJetAdminConcatenada!$D:$D, MATCH(1, (AsistenciaJetAdminConcatenada!$A:$A=AY$2)*(AsistenciaJetAdminConcatenada!$B:$B=AY$1), 0)), 1))),  0.5, 0))</f>
        <v>1</v>
      </c>
      <c r="AZ10" s="47">
        <f t="array" ref="AZ10">IF(AND(ISNUMBER(MATCH(AZ$2, AsistenciaJetAdminConcatenada!$A:$A, 0)), ISNUMBER(MATCH(AZ$1, AsistenciaJetAdminConcatenada!$B:$B, 0)), ISNUMBER(SEARCH($A10,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ISNUMBER(SEARCH($A10, INDEX(AsistenciaJetAdminConcatenada!$D:$D, MATCH(1, (AsistenciaJetAdminConcatenada!$A:$A=AZ$2)*(AsistenciaJetAdminConcatenada!$B:$B=AZ$1), 0)), 1))),  0.5, 0))</f>
        <v>1</v>
      </c>
      <c r="BA10" s="47">
        <f t="array" ref="BA10">IF(AND(ISNUMBER(MATCH(BA$2, AsistenciaJetAdminConcatenada!$A:$A, 0)), ISNUMBER(MATCH(BA$1, AsistenciaJetAdminConcatenada!$B:$B, 0)), ISNUMBER(SEARCH($A10,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ISNUMBER(SEARCH($A10, INDEX(AsistenciaJetAdminConcatenada!$D:$D, MATCH(1, (AsistenciaJetAdminConcatenada!$A:$A=BA$2)*(AsistenciaJetAdminConcatenada!$B:$B=BA$1), 0)), 1))),  0.5, 0))</f>
        <v>0</v>
      </c>
      <c r="BB10" s="47">
        <f t="array" ref="BB10">IF(AND(ISNUMBER(MATCH(BB$2, AsistenciaJetAdminConcatenada!$A:$A, 0)), ISNUMBER(MATCH(BB$1, AsistenciaJetAdminConcatenada!$B:$B, 0)), ISNUMBER(SEARCH($A10,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ISNUMBER(SEARCH($A10, INDEX(AsistenciaJetAdminConcatenada!$D:$D, MATCH(1, (AsistenciaJetAdminConcatenada!$A:$A=BB$2)*(AsistenciaJetAdminConcatenada!$B:$B=BB$1), 0)), 1))),  0.5, 0))</f>
        <v>1</v>
      </c>
      <c r="BC10" s="47">
        <f t="array" ref="BC10">IF(AND(ISNUMBER(MATCH(BC$2, AsistenciaJetAdminConcatenada!$A:$A, 0)), ISNUMBER(MATCH(BC$1, AsistenciaJetAdminConcatenada!$B:$B, 0)), ISNUMBER(SEARCH($A10,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ISNUMBER(SEARCH($A10, INDEX(AsistenciaJetAdminConcatenada!$D:$D, MATCH(1, (AsistenciaJetAdminConcatenada!$A:$A=BC$2)*(AsistenciaJetAdminConcatenada!$B:$B=BC$1), 0)), 1))),  0.5, 0))</f>
        <v>1</v>
      </c>
      <c r="BD10" s="47">
        <f t="array" ref="BD10">IF(AND(ISNUMBER(MATCH(BD$2, AsistenciaJetAdminConcatenada!$A:$A, 0)), ISNUMBER(MATCH(BD$1, AsistenciaJetAdminConcatenada!$B:$B, 0)), ISNUMBER(SEARCH($A10,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ISNUMBER(SEARCH($A10, INDEX(AsistenciaJetAdminConcatenada!$D:$D, MATCH(1, (AsistenciaJetAdminConcatenada!$A:$A=BD$2)*(AsistenciaJetAdminConcatenada!$B:$B=BD$1), 0)), 1))),  0.5, 0))</f>
        <v>1</v>
      </c>
      <c r="BE10" s="47">
        <f t="array" ref="BE10">IF(AND(ISNUMBER(MATCH(BE$2, AsistenciaJetAdminConcatenada!$A:$A, 0)), ISNUMBER(MATCH(BE$1, AsistenciaJetAdminConcatenada!$B:$B, 0)), ISNUMBER(SEARCH($A10,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ISNUMBER(SEARCH($A10, INDEX(AsistenciaJetAdminConcatenada!$D:$D, MATCH(1, (AsistenciaJetAdminConcatenada!$A:$A=BE$2)*(AsistenciaJetAdminConcatenada!$B:$B=BE$1), 0)), 1))),  0.5, 0))</f>
        <v>1</v>
      </c>
      <c r="BF10" s="47">
        <f t="array" ref="BF10">IF(AND(ISNUMBER(MATCH(BF$2, AsistenciaJetAdminConcatenada!$A:$A, 0)), ISNUMBER(MATCH(BF$1, AsistenciaJetAdminConcatenada!$B:$B, 0)), ISNUMBER(SEARCH($A10,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ISNUMBER(SEARCH($A10, INDEX(AsistenciaJetAdminConcatenada!$D:$D, MATCH(1, (AsistenciaJetAdminConcatenada!$A:$A=BF$2)*(AsistenciaJetAdminConcatenada!$B:$B=BF$1), 0)), 1))),  0.5, 0))</f>
        <v>1</v>
      </c>
      <c r="BG10" s="47">
        <f t="array" ref="BG10">IF(AND(ISNUMBER(MATCH(BG$2, AsistenciaJetAdminConcatenada!$A:$A, 0)), ISNUMBER(MATCH(BG$1, AsistenciaJetAdminConcatenada!$B:$B, 0)), ISNUMBER(SEARCH($A10,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ISNUMBER(SEARCH($A10, INDEX(AsistenciaJetAdminConcatenada!$D:$D, MATCH(1, (AsistenciaJetAdminConcatenada!$A:$A=BG$2)*(AsistenciaJetAdminConcatenada!$B:$B=BG$1), 0)), 1))),  0.5, 0))</f>
        <v>1</v>
      </c>
      <c r="BH10" s="47">
        <f t="array" ref="BH10">IF(AND(ISNUMBER(MATCH(BH$2, AsistenciaJetAdminConcatenada!$A:$A, 0)), ISNUMBER(MATCH(BH$1, AsistenciaJetAdminConcatenada!$B:$B, 0)), ISNUMBER(SEARCH($A10,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ISNUMBER(SEARCH($A10, INDEX(AsistenciaJetAdminConcatenada!$D:$D, MATCH(1, (AsistenciaJetAdminConcatenada!$A:$A=BH$2)*(AsistenciaJetAdminConcatenada!$B:$B=BH$1), 0)), 1))),  0.5, 0))</f>
        <v>1</v>
      </c>
      <c r="BI10" s="47">
        <f t="array" ref="BI10">IF(AND(ISNUMBER(MATCH(BI$2, AsistenciaJetAdminConcatenada!$A:$A, 0)), ISNUMBER(MATCH(BI$1, AsistenciaJetAdminConcatenada!$B:$B, 0)), ISNUMBER(SEARCH($A10,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ISNUMBER(SEARCH($A10, INDEX(AsistenciaJetAdminConcatenada!$D:$D, MATCH(1, (AsistenciaJetAdminConcatenada!$A:$A=BI$2)*(AsistenciaJetAdminConcatenada!$B:$B=BI$1), 0)), 1))),  0.5, 0))</f>
        <v>1</v>
      </c>
      <c r="BJ10" s="47">
        <f t="array" ref="BJ10">IF(AND(ISNUMBER(MATCH(BJ$2, AsistenciaJetAdminConcatenada!$A:$A, 0)), ISNUMBER(MATCH(BJ$1, AsistenciaJetAdminConcatenada!$B:$B, 0)), ISNUMBER(SEARCH($A10,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ISNUMBER(SEARCH($A10, INDEX(AsistenciaJetAdminConcatenada!$D:$D, MATCH(1, (AsistenciaJetAdminConcatenada!$A:$A=BJ$2)*(AsistenciaJetAdminConcatenada!$B:$B=BJ$1), 0)), 1))),  0.5, 0))</f>
        <v>1</v>
      </c>
      <c r="BK10" s="47">
        <f t="array" ref="BK10">IF(AND(ISNUMBER(MATCH(BK$2, AsistenciaJetAdminConcatenada!$A:$A, 0)), ISNUMBER(MATCH(BK$1, AsistenciaJetAdminConcatenada!$B:$B, 0)), ISNUMBER(SEARCH($A10,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ISNUMBER(SEARCH($A10, INDEX(AsistenciaJetAdminConcatenada!$D:$D, MATCH(1, (AsistenciaJetAdminConcatenada!$A:$A=BK$2)*(AsistenciaJetAdminConcatenada!$B:$B=BK$1), 0)), 1))),  0.5, 0))</f>
        <v>1</v>
      </c>
      <c r="BL10" s="47">
        <f t="array" ref="BL10">IF(AND(ISNUMBER(MATCH(BL$2, AsistenciaJetAdminConcatenada!$A:$A, 0)), ISNUMBER(MATCH(BL$1, AsistenciaJetAdminConcatenada!$B:$B, 0)), ISNUMBER(SEARCH($A10,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ISNUMBER(SEARCH($A10, INDEX(AsistenciaJetAdminConcatenada!$D:$D, MATCH(1, (AsistenciaJetAdminConcatenada!$A:$A=BL$2)*(AsistenciaJetAdminConcatenada!$B:$B=BL$1), 0)), 1))),  0.5, 0))</f>
        <v>1</v>
      </c>
      <c r="BM10" s="47">
        <f t="array" ref="BM10">IF(AND(ISNUMBER(MATCH(BM$2, AsistenciaJetAdminConcatenada!$A:$A, 0)), ISNUMBER(MATCH(BM$1, AsistenciaJetAdminConcatenada!$B:$B, 0)), ISNUMBER(SEARCH($A10,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ISNUMBER(SEARCH($A10, INDEX(AsistenciaJetAdminConcatenada!$D:$D, MATCH(1, (AsistenciaJetAdminConcatenada!$A:$A=BM$2)*(AsistenciaJetAdminConcatenada!$B:$B=BM$1), 0)), 1))),  0.5, 0))</f>
        <v>1</v>
      </c>
      <c r="BN10" s="47">
        <f t="array" ref="BN10">IF(AND(ISNUMBER(MATCH(BN$2, AsistenciaJetAdminConcatenada!$A:$A, 0)), ISNUMBER(MATCH(BN$1, AsistenciaJetAdminConcatenada!$B:$B, 0)), ISNUMBER(SEARCH($A10,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ISNUMBER(SEARCH($A10, INDEX(AsistenciaJetAdminConcatenada!$D:$D, MATCH(1, (AsistenciaJetAdminConcatenada!$A:$A=BN$2)*(AsistenciaJetAdminConcatenada!$B:$B=BN$1), 0)), 1))),  0.5, 0))</f>
        <v>1</v>
      </c>
      <c r="BO10" s="47">
        <f t="array" ref="BO10">IF(AND(ISNUMBER(MATCH(BO$2, AsistenciaJetAdminConcatenada!$A:$A, 0)), ISNUMBER(MATCH(BO$1, AsistenciaJetAdminConcatenada!$B:$B, 0)), ISNUMBER(SEARCH($A10,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ISNUMBER(SEARCH($A10, INDEX(AsistenciaJetAdminConcatenada!$D:$D, MATCH(1, (AsistenciaJetAdminConcatenada!$A:$A=BO$2)*(AsistenciaJetAdminConcatenada!$B:$B=BO$1), 0)), 1))),  0.5, 0))</f>
        <v>1</v>
      </c>
      <c r="BP10" s="47">
        <f t="array" ref="BP10">IF(AND(ISNUMBER(MATCH(BP$2, AsistenciaJetAdminConcatenada!$A:$A, 0)), ISNUMBER(MATCH(BP$1, AsistenciaJetAdminConcatenada!$B:$B, 0)), ISNUMBER(SEARCH($A10,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ISNUMBER(SEARCH($A10, INDEX(AsistenciaJetAdminConcatenada!$D:$D, MATCH(1, (AsistenciaJetAdminConcatenada!$A:$A=BP$2)*(AsistenciaJetAdminConcatenada!$B:$B=BP$1), 0)), 1))),  0.5, 0))</f>
        <v>0</v>
      </c>
      <c r="BQ10" s="47">
        <f t="array" ref="BQ10">IF(AND(ISNUMBER(MATCH(BQ$2, AsistenciaJetAdminConcatenada!$A:$A, 0)), ISNUMBER(MATCH(BQ$1, AsistenciaJetAdminConcatenada!$B:$B, 0)), ISNUMBER(SEARCH($A10,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ISNUMBER(SEARCH($A10, INDEX(AsistenciaJetAdminConcatenada!$D:$D, MATCH(1, (AsistenciaJetAdminConcatenada!$A:$A=BQ$2)*(AsistenciaJetAdminConcatenada!$B:$B=BQ$1), 0)), 1))),  0.5, 0))</f>
        <v>1</v>
      </c>
      <c r="BR10" s="47">
        <f t="array" ref="BR10">IF(AND(ISNUMBER(MATCH(BR$2, AsistenciaJetAdminConcatenada!$A:$A, 0)), ISNUMBER(MATCH(BR$1, AsistenciaJetAdminConcatenada!$B:$B, 0)), ISNUMBER(SEARCH($A10,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ISNUMBER(SEARCH($A10, INDEX(AsistenciaJetAdminConcatenada!$D:$D, MATCH(1, (AsistenciaJetAdminConcatenada!$A:$A=BR$2)*(AsistenciaJetAdminConcatenada!$B:$B=BR$1), 0)), 1))),  0.5, 0))</f>
        <v>1</v>
      </c>
      <c r="BS10" s="47">
        <f t="array" ref="BS10">IF(AND(ISNUMBER(MATCH(BS$2, AsistenciaJetAdminConcatenada!$A:$A, 0)), ISNUMBER(MATCH(BS$1, AsistenciaJetAdminConcatenada!$B:$B, 0)), ISNUMBER(SEARCH($A10,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ISNUMBER(SEARCH($A10, INDEX(AsistenciaJetAdminConcatenada!$D:$D, MATCH(1, (AsistenciaJetAdminConcatenada!$A:$A=BS$2)*(AsistenciaJetAdminConcatenada!$B:$B=BS$1), 0)), 1))),  0.5, 0))</f>
        <v>1</v>
      </c>
      <c r="BT10" s="47">
        <f t="array" ref="BT10">IF(AND(ISNUMBER(MATCH(BT$2, AsistenciaJetAdminConcatenada!$A:$A, 0)), ISNUMBER(MATCH(BT$1, AsistenciaJetAdminConcatenada!$B:$B, 0)), ISNUMBER(SEARCH($A10,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ISNUMBER(SEARCH($A10, INDEX(AsistenciaJetAdminConcatenada!$D:$D, MATCH(1, (AsistenciaJetAdminConcatenada!$A:$A=BT$2)*(AsistenciaJetAdminConcatenada!$B:$B=BT$1), 0)), 1))),  0.5, 0))</f>
        <v>1</v>
      </c>
      <c r="BU10" s="47">
        <f t="array" ref="BU10">IF(AND(ISNUMBER(MATCH(BU$2, AsistenciaJetAdminConcatenada!$A:$A, 0)), ISNUMBER(MATCH(BU$1, AsistenciaJetAdminConcatenada!$B:$B, 0)), ISNUMBER(SEARCH($A10,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ISNUMBER(SEARCH($A10, INDEX(AsistenciaJetAdminConcatenada!$D:$D, MATCH(1, (AsistenciaJetAdminConcatenada!$A:$A=BU$2)*(AsistenciaJetAdminConcatenada!$B:$B=BU$1), 0)), 1))),  0.5, 0))</f>
        <v>1</v>
      </c>
      <c r="BV10" s="47">
        <f t="array" ref="BV10">IF(AND(ISNUMBER(MATCH(BV$2, AsistenciaJetAdminConcatenada!$A:$A, 0)), ISNUMBER(MATCH(BV$1, AsistenciaJetAdminConcatenada!$B:$B, 0)), ISNUMBER(SEARCH($A10,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ISNUMBER(SEARCH($A10, INDEX(AsistenciaJetAdminConcatenada!$D:$D, MATCH(1, (AsistenciaJetAdminConcatenada!$A:$A=BV$2)*(AsistenciaJetAdminConcatenada!$B:$B=BV$1), 0)), 1))),  0.5, 0))</f>
        <v>1</v>
      </c>
      <c r="BW10" s="47">
        <f t="array" ref="BW10">IF(AND(ISNUMBER(MATCH(BW$2, AsistenciaJetAdminConcatenada!$A:$A, 0)), ISNUMBER(MATCH(BW$1, AsistenciaJetAdminConcatenada!$B:$B, 0)), ISNUMBER(SEARCH($A10,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ISNUMBER(SEARCH($A10, INDEX(AsistenciaJetAdminConcatenada!$D:$D, MATCH(1, (AsistenciaJetAdminConcatenada!$A:$A=BW$2)*(AsistenciaJetAdminConcatenada!$B:$B=BW$1), 0)), 1))),  0.5, 0))</f>
        <v>1</v>
      </c>
      <c r="BX10" s="47">
        <f t="array" ref="BX10">IF(AND(ISNUMBER(MATCH(BX$2, AsistenciaJetAdminConcatenada!$A:$A, 0)), ISNUMBER(MATCH(BX$1, AsistenciaJetAdminConcatenada!$B:$B, 0)), ISNUMBER(SEARCH($A10,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ISNUMBER(SEARCH($A10, INDEX(AsistenciaJetAdminConcatenada!$D:$D, MATCH(1, (AsistenciaJetAdminConcatenada!$A:$A=BX$2)*(AsistenciaJetAdminConcatenada!$B:$B=BX$1), 0)), 1))),  0.5, 0))</f>
        <v>0.5</v>
      </c>
      <c r="BY10" s="47">
        <f t="array" ref="BY10">IF(AND(ISNUMBER(MATCH(BY$2, AsistenciaJetAdminConcatenada!$A:$A, 0)), ISNUMBER(MATCH(BY$1, AsistenciaJetAdminConcatenada!$B:$B, 0)), ISNUMBER(SEARCH($A10,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ISNUMBER(SEARCH($A10, INDEX(AsistenciaJetAdminConcatenada!$D:$D, MATCH(1, (AsistenciaJetAdminConcatenada!$A:$A=BY$2)*(AsistenciaJetAdminConcatenada!$B:$B=BY$1), 0)), 1))),  0.5, 0))</f>
        <v>1</v>
      </c>
      <c r="BZ10" s="47">
        <f t="array" ref="BZ10">IF(AND(ISNUMBER(MATCH(BZ$2, AsistenciaJetAdminConcatenada!$A:$A, 0)), ISNUMBER(MATCH(BZ$1, AsistenciaJetAdminConcatenada!$B:$B, 0)), ISNUMBER(SEARCH($A10,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ISNUMBER(SEARCH($A10, INDEX(AsistenciaJetAdminConcatenada!$D:$D, MATCH(1, (AsistenciaJetAdminConcatenada!$A:$A=BZ$2)*(AsistenciaJetAdminConcatenada!$B:$B=BZ$1), 0)), 1))),  0.5, 0))</f>
        <v>1</v>
      </c>
      <c r="CA10" s="47">
        <f t="array" ref="CA10">IF(AND(ISNUMBER(MATCH(CA$2, AsistenciaJetAdminConcatenada!$A:$A, 0)), ISNUMBER(MATCH(CA$1, AsistenciaJetAdminConcatenada!$B:$B, 0)), ISNUMBER(SEARCH($A10,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ISNUMBER(SEARCH($A10, INDEX(AsistenciaJetAdminConcatenada!$D:$D, MATCH(1, (AsistenciaJetAdminConcatenada!$A:$A=CA$2)*(AsistenciaJetAdminConcatenada!$B:$B=CA$1), 0)), 1))),  0.5, 0))</f>
        <v>1</v>
      </c>
      <c r="CB10" s="47">
        <f t="array" ref="CB10">IF(AND(ISNUMBER(MATCH(CB$2, AsistenciaJetAdminConcatenada!$A:$A, 0)), ISNUMBER(MATCH(CB$1, AsistenciaJetAdminConcatenada!$B:$B, 0)), ISNUMBER(SEARCH($A10,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ISNUMBER(SEARCH($A10, INDEX(AsistenciaJetAdminConcatenada!$D:$D, MATCH(1, (AsistenciaJetAdminConcatenada!$A:$A=CB$2)*(AsistenciaJetAdminConcatenada!$B:$B=CB$1), 0)), 1))),  0.5, 0))</f>
        <v>1</v>
      </c>
      <c r="CC10" s="47">
        <f t="array" ref="CC10">IF(AND(ISNUMBER(MATCH(CC$2, AsistenciaJetAdminConcatenada!$A:$A, 0)), ISNUMBER(MATCH(CC$1, AsistenciaJetAdminConcatenada!$B:$B, 0)), ISNUMBER(SEARCH($A10,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ISNUMBER(SEARCH($A10, INDEX(AsistenciaJetAdminConcatenada!$D:$D, MATCH(1, (AsistenciaJetAdminConcatenada!$A:$A=CC$2)*(AsistenciaJetAdminConcatenada!$B:$B=CC$1), 0)), 1))),  0.5, 0))</f>
        <v>0</v>
      </c>
      <c r="CD10" s="47">
        <f t="array" ref="CD10">IF(AND(ISNUMBER(MATCH(CD$2, AsistenciaJetAdminConcatenada!$A:$A, 0)), ISNUMBER(MATCH(CD$1, AsistenciaJetAdminConcatenada!$B:$B, 0)), ISNUMBER(SEARCH($A10,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ISNUMBER(SEARCH($A10, INDEX(AsistenciaJetAdminConcatenada!$D:$D, MATCH(1, (AsistenciaJetAdminConcatenada!$A:$A=CD$2)*(AsistenciaJetAdminConcatenada!$B:$B=CD$1), 0)), 1))),  0.5, 0))</f>
        <v>1</v>
      </c>
      <c r="CE10" s="47">
        <f t="array" ref="CE10">IF(AND(ISNUMBER(MATCH(CE$2, AsistenciaJetAdminConcatenada!$A:$A, 0)), ISNUMBER(MATCH(CE$1, AsistenciaJetAdminConcatenada!$B:$B, 0)), ISNUMBER(SEARCH($A10,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ISNUMBER(SEARCH($A10, INDEX(AsistenciaJetAdminConcatenada!$D:$D, MATCH(1, (AsistenciaJetAdminConcatenada!$A:$A=CE$2)*(AsistenciaJetAdminConcatenada!$B:$B=CE$1), 0)), 1))),  0.5, 0))</f>
        <v>1</v>
      </c>
      <c r="CF10" s="47">
        <f t="array" ref="CF10">IF(AND(ISNUMBER(MATCH(CF$2, AsistenciaJetAdminConcatenada!$A:$A, 0)), ISNUMBER(MATCH(CF$1, AsistenciaJetAdminConcatenada!$B:$B, 0)), ISNUMBER(SEARCH($A10,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ISNUMBER(SEARCH($A10, INDEX(AsistenciaJetAdminConcatenada!$D:$D, MATCH(1, (AsistenciaJetAdminConcatenada!$A:$A=CF$2)*(AsistenciaJetAdminConcatenada!$B:$B=CF$1), 0)), 1))),  0.5, 0))</f>
        <v>0</v>
      </c>
      <c r="CG10" s="47">
        <f t="array" ref="CG10">IF(AND(ISNUMBER(MATCH(CG$2, AsistenciaJetAdminConcatenada!$A:$A, 0)), ISNUMBER(MATCH(CG$1, AsistenciaJetAdminConcatenada!$B:$B, 0)), ISNUMBER(SEARCH($A10,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ISNUMBER(SEARCH($A10, INDEX(AsistenciaJetAdminConcatenada!$D:$D, MATCH(1, (AsistenciaJetAdminConcatenada!$A:$A=CG$2)*(AsistenciaJetAdminConcatenada!$B:$B=CG$1), 0)), 1))),  0.5, 0))</f>
        <v>1</v>
      </c>
      <c r="CH10" s="47">
        <f t="array" ref="CH10">IF(AND(ISNUMBER(MATCH(CH$2, AsistenciaJetAdminConcatenada!$A:$A, 0)), ISNUMBER(MATCH(CH$1, AsistenciaJetAdminConcatenada!$B:$B, 0)), ISNUMBER(SEARCH($A10,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ISNUMBER(SEARCH($A10, INDEX(AsistenciaJetAdminConcatenada!$D:$D, MATCH(1, (AsistenciaJetAdminConcatenada!$A:$A=CH$2)*(AsistenciaJetAdminConcatenada!$B:$B=CH$1), 0)), 1))),  0.5, 0))</f>
        <v>0</v>
      </c>
      <c r="CI10" s="47">
        <f t="array" ref="CI10">IF(AND(ISNUMBER(MATCH(CI$2, AsistenciaJetAdminConcatenada!$A:$A, 0)), ISNUMBER(MATCH(CI$1, AsistenciaJetAdminConcatenada!$B:$B, 0)), ISNUMBER(SEARCH($A10,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ISNUMBER(SEARCH($A10, INDEX(AsistenciaJetAdminConcatenada!$D:$D, MATCH(1, (AsistenciaJetAdminConcatenada!$A:$A=CI$2)*(AsistenciaJetAdminConcatenada!$B:$B=CI$1), 0)), 1))),  0.5, 0))</f>
        <v>1</v>
      </c>
      <c r="CJ10" s="47">
        <f t="array" ref="CJ10">IF(AND(ISNUMBER(MATCH(CJ$2, AsistenciaJetAdminConcatenada!$A:$A, 0)), ISNUMBER(MATCH(CJ$1, AsistenciaJetAdminConcatenada!$B:$B, 0)), ISNUMBER(SEARCH($A10,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ISNUMBER(SEARCH($A10, INDEX(AsistenciaJetAdminConcatenada!$D:$D, MATCH(1, (AsistenciaJetAdminConcatenada!$A:$A=CJ$2)*(AsistenciaJetAdminConcatenada!$B:$B=CJ$1), 0)), 1))),  0.5, 0))</f>
        <v>1</v>
      </c>
      <c r="CK10" s="47">
        <f t="array" ref="CK10">IF(AND(ISNUMBER(MATCH(CK$2, AsistenciaJetAdminConcatenada!$A:$A, 0)), ISNUMBER(MATCH(CK$1, AsistenciaJetAdminConcatenada!$B:$B, 0)), ISNUMBER(SEARCH($A10,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ISNUMBER(SEARCH($A10, INDEX(AsistenciaJetAdminConcatenada!$D:$D, MATCH(1, (AsistenciaJetAdminConcatenada!$A:$A=CK$2)*(AsistenciaJetAdminConcatenada!$B:$B=CK$1), 0)), 1))),  0.5, 0))</f>
        <v>0</v>
      </c>
      <c r="CL10" s="47">
        <f t="array" ref="CL10">IF(AND(ISNUMBER(MATCH(CL$2, AsistenciaJetAdminConcatenada!$A:$A, 0)), ISNUMBER(MATCH(CL$1, AsistenciaJetAdminConcatenada!$B:$B, 0)), ISNUMBER(SEARCH($A10,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ISNUMBER(SEARCH($A10, INDEX(AsistenciaJetAdminConcatenada!$D:$D, MATCH(1, (AsistenciaJetAdminConcatenada!$A:$A=CL$2)*(AsistenciaJetAdminConcatenada!$B:$B=CL$1), 0)), 1))),  0.5, 0))</f>
        <v>1</v>
      </c>
      <c r="CM10" s="47">
        <f t="array" ref="CM10">IF(AND(ISNUMBER(MATCH(CM$2, AsistenciaJetAdminConcatenada!$A:$A, 0)), ISNUMBER(MATCH(CM$1, AsistenciaJetAdminConcatenada!$B:$B, 0)), ISNUMBER(SEARCH($A10,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ISNUMBER(SEARCH($A10, INDEX(AsistenciaJetAdminConcatenada!$D:$D, MATCH(1, (AsistenciaJetAdminConcatenada!$A:$A=CM$2)*(AsistenciaJetAdminConcatenada!$B:$B=CM$1), 0)), 1))),  0.5, 0))</f>
        <v>1</v>
      </c>
      <c r="CN10" s="47">
        <f t="array" ref="CN10">IF(AND(ISNUMBER(MATCH(CN$2, AsistenciaJetAdminConcatenada!$A:$A, 0)), ISNUMBER(MATCH(CN$1, AsistenciaJetAdminConcatenada!$B:$B, 0)), ISNUMBER(SEARCH($A10,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ISNUMBER(SEARCH($A10, INDEX(AsistenciaJetAdminConcatenada!$D:$D, MATCH(1, (AsistenciaJetAdminConcatenada!$A:$A=CN$2)*(AsistenciaJetAdminConcatenada!$B:$B=CN$1), 0)), 1))),  0.5, 0))</f>
        <v>1</v>
      </c>
      <c r="CO10" s="47">
        <f t="array" ref="CO10">IF(AND(ISNUMBER(MATCH(CO$2, AsistenciaJetAdminConcatenada!$A:$A, 0)), ISNUMBER(MATCH(CO$1, AsistenciaJetAdminConcatenada!$B:$B, 0)), ISNUMBER(SEARCH($A10,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ISNUMBER(SEARCH($A10, INDEX(AsistenciaJetAdminConcatenada!$D:$D, MATCH(1, (AsistenciaJetAdminConcatenada!$A:$A=CO$2)*(AsistenciaJetAdminConcatenada!$B:$B=CO$1), 0)), 1))),  0.5, 0))</f>
        <v>1</v>
      </c>
      <c r="CP10" s="47">
        <f t="array" ref="CP10">IF(AND(ISNUMBER(MATCH(CP$2, AsistenciaJetAdminConcatenada!$A:$A, 0)), ISNUMBER(MATCH(CP$1, AsistenciaJetAdminConcatenada!$B:$B, 0)), ISNUMBER(SEARCH($A10,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ISNUMBER(SEARCH($A10, INDEX(AsistenciaJetAdminConcatenada!$D:$D, MATCH(1, (AsistenciaJetAdminConcatenada!$A:$A=CP$2)*(AsistenciaJetAdminConcatenada!$B:$B=CP$1), 0)), 1))),  0.5, 0))</f>
        <v>0</v>
      </c>
      <c r="CQ10" s="47">
        <f t="array" ref="CQ10">IF(AND(ISNUMBER(MATCH(CQ$2, AsistenciaJetAdminConcatenada!$A:$A, 0)), ISNUMBER(MATCH(CQ$1, AsistenciaJetAdminConcatenada!$B:$B, 0)), ISNUMBER(SEARCH($A10,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ISNUMBER(SEARCH($A10, INDEX(AsistenciaJetAdminConcatenada!$D:$D, MATCH(1, (AsistenciaJetAdminConcatenada!$A:$A=CQ$2)*(AsistenciaJetAdminConcatenada!$B:$B=CQ$1), 0)), 1))),  0.5, 0))</f>
        <v>0</v>
      </c>
      <c r="CR10" s="47">
        <f t="array" ref="CR10">IF(AND(ISNUMBER(MATCH(CR$2, AsistenciaJetAdminConcatenada!$A:$A, 0)), ISNUMBER(MATCH(CR$1, AsistenciaJetAdminConcatenada!$B:$B, 0)), ISNUMBER(SEARCH($A10,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ISNUMBER(SEARCH($A10, INDEX(AsistenciaJetAdminConcatenada!$D:$D, MATCH(1, (AsistenciaJetAdminConcatenada!$A:$A=CR$2)*(AsistenciaJetAdminConcatenada!$B:$B=CR$1), 0)), 1))),  0.5, 0))</f>
        <v>0</v>
      </c>
      <c r="CS10" s="47">
        <f t="array" ref="CS10">IF(AND(ISNUMBER(MATCH(CS$2, AsistenciaJetAdminConcatenada!$A:$A, 0)), ISNUMBER(MATCH(CS$1, AsistenciaJetAdminConcatenada!$B:$B, 0)), ISNUMBER(SEARCH($A10,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ISNUMBER(SEARCH($A10, INDEX(AsistenciaJetAdminConcatenada!$D:$D, MATCH(1, (AsistenciaJetAdminConcatenada!$A:$A=CS$2)*(AsistenciaJetAdminConcatenada!$B:$B=CS$1), 0)), 1))),  0.5, 0))</f>
        <v>0</v>
      </c>
      <c r="CT10" s="47">
        <f t="array" ref="CT10">IF(AND(ISNUMBER(MATCH(CT$2, AsistenciaJetAdminConcatenada!$A:$A, 0)), ISNUMBER(MATCH(CT$1, AsistenciaJetAdminConcatenada!$B:$B, 0)), ISNUMBER(SEARCH($A10,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ISNUMBER(SEARCH($A10, INDEX(AsistenciaJetAdminConcatenada!$D:$D, MATCH(1, (AsistenciaJetAdminConcatenada!$A:$A=CT$2)*(AsistenciaJetAdminConcatenada!$B:$B=CT$1), 0)), 1))),  0.5, 0))</f>
        <v>0</v>
      </c>
      <c r="CU10" s="47">
        <f t="array" ref="CU10">IF(AND(ISNUMBER(MATCH(CU$2, AsistenciaJetAdminConcatenada!$A:$A, 0)), ISNUMBER(MATCH(CU$1, AsistenciaJetAdminConcatenada!$B:$B, 0)), ISNUMBER(SEARCH($A10,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ISNUMBER(SEARCH($A10, INDEX(AsistenciaJetAdminConcatenada!$D:$D, MATCH(1, (AsistenciaJetAdminConcatenada!$A:$A=CU$2)*(AsistenciaJetAdminConcatenada!$B:$B=CU$1), 0)), 1))),  0.5, 0))</f>
        <v>0</v>
      </c>
      <c r="CV10" s="47">
        <f t="array" ref="CV10">IF(AND(ISNUMBER(MATCH(CV$2, AsistenciaJetAdminConcatenada!$A:$A, 0)), ISNUMBER(MATCH(CV$1, AsistenciaJetAdminConcatenada!$B:$B, 0)), ISNUMBER(SEARCH($A10,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ISNUMBER(SEARCH($A10, INDEX(AsistenciaJetAdminConcatenada!$D:$D, MATCH(1, (AsistenciaJetAdminConcatenada!$A:$A=CV$2)*(AsistenciaJetAdminConcatenada!$B:$B=CV$1), 0)), 1))),  0.5, 0))</f>
        <v>0</v>
      </c>
      <c r="CW10" s="47">
        <f t="array" ref="CW10">IF(AND(ISNUMBER(MATCH(CW$2, AsistenciaJetAdminConcatenada!$A:$A, 0)), ISNUMBER(MATCH(CW$1, AsistenciaJetAdminConcatenada!$B:$B, 0)), ISNUMBER(SEARCH($A10,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ISNUMBER(SEARCH($A10, INDEX(AsistenciaJetAdminConcatenada!$D:$D, MATCH(1, (AsistenciaJetAdminConcatenada!$A:$A=CW$2)*(AsistenciaJetAdminConcatenada!$B:$B=CW$1), 0)), 1))),  0.5, 0))</f>
        <v>0</v>
      </c>
      <c r="CX10" s="47">
        <f t="array" ref="CX10">IF(AND(ISNUMBER(MATCH(CX$2, AsistenciaJetAdminConcatenada!$A:$A, 0)), ISNUMBER(MATCH(CX$1, AsistenciaJetAdminConcatenada!$B:$B, 0)), ISNUMBER(SEARCH($A10,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ISNUMBER(SEARCH($A10, INDEX(AsistenciaJetAdminConcatenada!$D:$D, MATCH(1, (AsistenciaJetAdminConcatenada!$A:$A=CX$2)*(AsistenciaJetAdminConcatenada!$B:$B=CX$1), 0)), 1))),  0.5, 0))</f>
        <v>0</v>
      </c>
      <c r="CY10" s="47">
        <f t="array" ref="CY10">IF(AND(ISNUMBER(MATCH(CY$2, AsistenciaJetAdminConcatenada!$A:$A, 0)), ISNUMBER(MATCH(CY$1, AsistenciaJetAdminConcatenada!$B:$B, 0)), ISNUMBER(SEARCH($A10,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ISNUMBER(SEARCH($A10, INDEX(AsistenciaJetAdminConcatenada!$D:$D, MATCH(1, (AsistenciaJetAdminConcatenada!$A:$A=CY$2)*(AsistenciaJetAdminConcatenada!$B:$B=CY$1), 0)), 1))),  0.5, 0))</f>
        <v>0</v>
      </c>
      <c r="CZ10" s="47">
        <f t="array" ref="CZ10">IF(AND(ISNUMBER(MATCH(CZ$2, AsistenciaJetAdminConcatenada!$A:$A, 0)), ISNUMBER(MATCH(CZ$1, AsistenciaJetAdminConcatenada!$B:$B, 0)), ISNUMBER(SEARCH($A10,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ISNUMBER(SEARCH($A10, INDEX(AsistenciaJetAdminConcatenada!$D:$D, MATCH(1, (AsistenciaJetAdminConcatenada!$A:$A=CZ$2)*(AsistenciaJetAdminConcatenada!$B:$B=CZ$1), 0)), 1))),  0.5, 0))</f>
        <v>0</v>
      </c>
      <c r="DA10" s="47">
        <f t="array" ref="DA10">IF(AND(ISNUMBER(MATCH(DA$2, AsistenciaJetAdminConcatenada!$A:$A, 0)), ISNUMBER(MATCH(DA$1, AsistenciaJetAdminConcatenada!$B:$B, 0)), ISNUMBER(SEARCH($A10,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ISNUMBER(SEARCH($A10, INDEX(AsistenciaJetAdminConcatenada!$D:$D, MATCH(1, (AsistenciaJetAdminConcatenada!$A:$A=DA$2)*(AsistenciaJetAdminConcatenada!$B:$B=DA$1), 0)), 1))),  0.5, 0))</f>
        <v>0</v>
      </c>
      <c r="DB10" s="47">
        <f t="array" ref="DB10">IF(AND(ISNUMBER(MATCH(DB$2, AsistenciaJetAdminConcatenada!$A:$A, 0)), ISNUMBER(MATCH(DB$1, AsistenciaJetAdminConcatenada!$B:$B, 0)), ISNUMBER(SEARCH($A10,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ISNUMBER(SEARCH($A10, INDEX(AsistenciaJetAdminConcatenada!$D:$D, MATCH(1, (AsistenciaJetAdminConcatenada!$A:$A=DB$2)*(AsistenciaJetAdminConcatenada!$B:$B=DB$1), 0)), 1))),  0.5, 0))</f>
        <v>0</v>
      </c>
      <c r="DC10" s="47">
        <f t="array" ref="DC10">IF(AND(ISNUMBER(MATCH(DC$2, AsistenciaJetAdminConcatenada!$A:$A, 0)), ISNUMBER(MATCH(DC$1, AsistenciaJetAdminConcatenada!$B:$B, 0)), ISNUMBER(SEARCH($A10,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ISNUMBER(SEARCH($A10, INDEX(AsistenciaJetAdminConcatenada!$D:$D, MATCH(1, (AsistenciaJetAdminConcatenada!$A:$A=DC$2)*(AsistenciaJetAdminConcatenada!$B:$B=DC$1), 0)), 1))),  0.5, 0))</f>
        <v>0</v>
      </c>
      <c r="DD10" s="47">
        <f t="array" ref="DD10">IF(AND(ISNUMBER(MATCH(DD$2, AsistenciaJetAdminConcatenada!$A:$A, 0)), ISNUMBER(MATCH(DD$1, AsistenciaJetAdminConcatenada!$B:$B, 0)), ISNUMBER(SEARCH($A10,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ISNUMBER(SEARCH($A10, INDEX(AsistenciaJetAdminConcatenada!$D:$D, MATCH(1, (AsistenciaJetAdminConcatenada!$A:$A=DD$2)*(AsistenciaJetAdminConcatenada!$B:$B=DD$1), 0)), 1))),  0.5, 0))</f>
        <v>0</v>
      </c>
      <c r="DE10" s="47">
        <f t="array" ref="DE10">IF(AND(ISNUMBER(MATCH(DE$2, AsistenciaJetAdminConcatenada!$A:$A, 0)), ISNUMBER(MATCH(DE$1, AsistenciaJetAdminConcatenada!$B:$B, 0)), ISNUMBER(SEARCH($A10,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ISNUMBER(SEARCH($A10, INDEX(AsistenciaJetAdminConcatenada!$D:$D, MATCH(1, (AsistenciaJetAdminConcatenada!$A:$A=DE$2)*(AsistenciaJetAdminConcatenada!$B:$B=DE$1), 0)), 1))),  0.5, 0))</f>
        <v>0</v>
      </c>
      <c r="DF10" s="47">
        <f t="array" ref="DF10">IF(AND(ISNUMBER(MATCH(DF$2, AsistenciaJetAdminConcatenada!$A:$A, 0)), ISNUMBER(MATCH(DF$1, AsistenciaJetAdminConcatenada!$B:$B, 0)), ISNUMBER(SEARCH($A10,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ISNUMBER(SEARCH($A10, INDEX(AsistenciaJetAdminConcatenada!$D:$D, MATCH(1, (AsistenciaJetAdminConcatenada!$A:$A=DF$2)*(AsistenciaJetAdminConcatenada!$B:$B=DF$1), 0)), 1))),  0.5, 0))</f>
        <v>0</v>
      </c>
      <c r="DG10" s="47">
        <f t="array" ref="DG10">IF(AND(ISNUMBER(MATCH(DG$2, AsistenciaJetAdminConcatenada!$A:$A, 0)), ISNUMBER(MATCH(DG$1, AsistenciaJetAdminConcatenada!$B:$B, 0)), ISNUMBER(SEARCH($A10,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ISNUMBER(SEARCH($A10, INDEX(AsistenciaJetAdminConcatenada!$D:$D, MATCH(1, (AsistenciaJetAdminConcatenada!$A:$A=DG$2)*(AsistenciaJetAdminConcatenada!$B:$B=DG$1), 0)), 1))),  0.5, 0))</f>
        <v>0</v>
      </c>
      <c r="DH10" s="47">
        <f t="array" ref="DH10">IF(AND(ISNUMBER(MATCH(DH$2, AsistenciaJetAdminConcatenada!$A:$A, 0)), ISNUMBER(MATCH(DH$1, AsistenciaJetAdminConcatenada!$B:$B, 0)), ISNUMBER(SEARCH($A10,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ISNUMBER(SEARCH($A10, INDEX(AsistenciaJetAdminConcatenada!$D:$D, MATCH(1, (AsistenciaJetAdminConcatenada!$A:$A=DH$2)*(AsistenciaJetAdminConcatenada!$B:$B=DH$1), 0)), 1))),  0.5, 0))</f>
        <v>0</v>
      </c>
      <c r="DI10" s="47">
        <f t="array" ref="DI10">IF(AND(ISNUMBER(MATCH(DI$2, AsistenciaJetAdminConcatenada!$A:$A, 0)), ISNUMBER(MATCH(DI$1, AsistenciaJetAdminConcatenada!$B:$B, 0)), ISNUMBER(SEARCH($A10,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ISNUMBER(SEARCH($A10, INDEX(AsistenciaJetAdminConcatenada!$D:$D, MATCH(1, (AsistenciaJetAdminConcatenada!$A:$A=DI$2)*(AsistenciaJetAdminConcatenada!$B:$B=DI$1), 0)), 1))),  0.5, 0))</f>
        <v>0</v>
      </c>
      <c r="DJ10" s="47">
        <f t="array" ref="DJ10">IF(AND(ISNUMBER(MATCH(DJ$2, AsistenciaJetAdminConcatenada!$A:$A, 0)), ISNUMBER(MATCH(DJ$1, AsistenciaJetAdminConcatenada!$B:$B, 0)), ISNUMBER(SEARCH($A10,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ISNUMBER(SEARCH($A10, INDEX(AsistenciaJetAdminConcatenada!$D:$D, MATCH(1, (AsistenciaJetAdminConcatenada!$A:$A=DJ$2)*(AsistenciaJetAdminConcatenada!$B:$B=DJ$1), 0)), 1))),  0.5, 0))</f>
        <v>0</v>
      </c>
      <c r="DK10" s="47">
        <f t="array" ref="DK10">IF(AND(ISNUMBER(MATCH(DK$2, AsistenciaJetAdminConcatenada!$A:$A, 0)), ISNUMBER(MATCH(DK$1, AsistenciaJetAdminConcatenada!$B:$B, 0)), ISNUMBER(SEARCH($A10,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ISNUMBER(SEARCH($A10, INDEX(AsistenciaJetAdminConcatenada!$D:$D, MATCH(1, (AsistenciaJetAdminConcatenada!$A:$A=DK$2)*(AsistenciaJetAdminConcatenada!$B:$B=DK$1), 0)), 1))),  0.5, 0))</f>
        <v>0</v>
      </c>
      <c r="DL10" s="47">
        <f t="array" ref="DL10">IF(AND(ISNUMBER(MATCH(DL$2, AsistenciaJetAdminConcatenada!$A:$A, 0)), ISNUMBER(MATCH(DL$1, AsistenciaJetAdminConcatenada!$B:$B, 0)), ISNUMBER(SEARCH($A10,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ISNUMBER(SEARCH($A10, INDEX(AsistenciaJetAdminConcatenada!$D:$D, MATCH(1, (AsistenciaJetAdminConcatenada!$A:$A=DL$2)*(AsistenciaJetAdminConcatenada!$B:$B=DL$1), 0)), 1))),  0.5, 0))</f>
        <v>0</v>
      </c>
      <c r="DM10" s="47">
        <f t="array" ref="DM10">IF(AND(ISNUMBER(MATCH(DM$2, AsistenciaJetAdminConcatenada!$A:$A, 0)), ISNUMBER(MATCH(DM$1, AsistenciaJetAdminConcatenada!$B:$B, 0)), ISNUMBER(SEARCH($A10,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ISNUMBER(SEARCH($A10, INDEX(AsistenciaJetAdminConcatenada!$D:$D, MATCH(1, (AsistenciaJetAdminConcatenada!$A:$A=DM$2)*(AsistenciaJetAdminConcatenada!$B:$B=DM$1), 0)), 1))),  0.5, 0))</f>
        <v>0</v>
      </c>
      <c r="DN10" s="47">
        <f t="array" ref="DN10">IF(AND(ISNUMBER(MATCH(DN$2, AsistenciaJetAdminConcatenada!$A:$A, 0)), ISNUMBER(MATCH(DN$1, AsistenciaJetAdminConcatenada!$B:$B, 0)), ISNUMBER(SEARCH($A10,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ISNUMBER(SEARCH($A10, INDEX(AsistenciaJetAdminConcatenada!$D:$D, MATCH(1, (AsistenciaJetAdminConcatenada!$A:$A=DN$2)*(AsistenciaJetAdminConcatenada!$B:$B=DN$1), 0)), 1))),  0.5, 0))</f>
        <v>0</v>
      </c>
      <c r="DO10" s="47">
        <f t="array" ref="DO10">IF(AND(ISNUMBER(MATCH(DO$2, AsistenciaJetAdminConcatenada!$A:$A, 0)), ISNUMBER(MATCH(DO$1, AsistenciaJetAdminConcatenada!$B:$B, 0)), ISNUMBER(SEARCH($A10,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ISNUMBER(SEARCH($A10, INDEX(AsistenciaJetAdminConcatenada!$D:$D, MATCH(1, (AsistenciaJetAdminConcatenada!$A:$A=DO$2)*(AsistenciaJetAdminConcatenada!$B:$B=DO$1), 0)), 1))),  0.5, 0))</f>
        <v>0</v>
      </c>
      <c r="DP10" s="47">
        <f t="array" ref="DP10">IF(AND(ISNUMBER(MATCH(DP$2, AsistenciaJetAdminConcatenada!$A:$A, 0)), ISNUMBER(MATCH(DP$1, AsistenciaJetAdminConcatenada!$B:$B, 0)), ISNUMBER(SEARCH($A10,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ISNUMBER(SEARCH($A10, INDEX(AsistenciaJetAdminConcatenada!$D:$D, MATCH(1, (AsistenciaJetAdminConcatenada!$A:$A=DP$2)*(AsistenciaJetAdminConcatenada!$B:$B=DP$1), 0)), 1))),  0.5, 0))</f>
        <v>0</v>
      </c>
      <c r="DQ10" s="47">
        <f t="array" ref="DQ10">IF(AND(ISNUMBER(MATCH(DQ$2, AsistenciaJetAdminConcatenada!$A:$A, 0)), ISNUMBER(MATCH(DQ$1, AsistenciaJetAdminConcatenada!$B:$B, 0)), ISNUMBER(SEARCH($A10,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ISNUMBER(SEARCH($A10, INDEX(AsistenciaJetAdminConcatenada!$D:$D, MATCH(1, (AsistenciaJetAdminConcatenada!$A:$A=DQ$2)*(AsistenciaJetAdminConcatenada!$B:$B=DQ$1), 0)), 1))),  0.5, 0))</f>
        <v>0</v>
      </c>
      <c r="DR10" s="47">
        <f t="array" ref="DR10">IF(AND(ISNUMBER(MATCH(DR$2, AsistenciaJetAdminConcatenada!$A:$A, 0)), ISNUMBER(MATCH(DR$1, AsistenciaJetAdminConcatenada!$B:$B, 0)), ISNUMBER(SEARCH($A10,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ISNUMBER(SEARCH($A10, INDEX(AsistenciaJetAdminConcatenada!$D:$D, MATCH(1, (AsistenciaJetAdminConcatenada!$A:$A=DR$2)*(AsistenciaJetAdminConcatenada!$B:$B=DR$1), 0)), 1))),  0.5, 0))</f>
        <v>0</v>
      </c>
      <c r="DS10" s="47">
        <f t="array" ref="DS10">IF(AND(ISNUMBER(MATCH(DS$2, AsistenciaJetAdminConcatenada!$A:$A, 0)), ISNUMBER(MATCH(DS$1, AsistenciaJetAdminConcatenada!$B:$B, 0)), ISNUMBER(SEARCH($A10,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ISNUMBER(SEARCH($A10, INDEX(AsistenciaJetAdminConcatenada!$D:$D, MATCH(1, (AsistenciaJetAdminConcatenada!$A:$A=DS$2)*(AsistenciaJetAdminConcatenada!$B:$B=DS$1), 0)), 1))),  0.5, 0))</f>
        <v>0</v>
      </c>
      <c r="DT10" s="47">
        <f t="array" ref="DT10">IF(AND(ISNUMBER(MATCH(DT$2, AsistenciaJetAdminConcatenada!$A:$A, 0)), ISNUMBER(MATCH(DT$1, AsistenciaJetAdminConcatenada!$B:$B, 0)), ISNUMBER(SEARCH($A10,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ISNUMBER(SEARCH($A10, INDEX(AsistenciaJetAdminConcatenada!$D:$D, MATCH(1, (AsistenciaJetAdminConcatenada!$A:$A=DT$2)*(AsistenciaJetAdminConcatenada!$B:$B=DT$1), 0)), 1))),  0.5, 0))</f>
        <v>0</v>
      </c>
      <c r="DU10" s="47">
        <f t="array" ref="DU10">IF(AND(ISNUMBER(MATCH(DU$2, AsistenciaJetAdminConcatenada!$A:$A, 0)), ISNUMBER(MATCH(DU$1, AsistenciaJetAdminConcatenada!$B:$B, 0)), ISNUMBER(SEARCH($A10,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ISNUMBER(SEARCH($A10, INDEX(AsistenciaJetAdminConcatenada!$D:$D, MATCH(1, (AsistenciaJetAdminConcatenada!$A:$A=DU$2)*(AsistenciaJetAdminConcatenada!$B:$B=DU$1), 0)), 1))),  0.5, 0))</f>
        <v>0</v>
      </c>
      <c r="DV10" s="47">
        <f t="array" ref="DV10">IF(AND(ISNUMBER(MATCH(DV$2, AsistenciaJetAdminConcatenada!$A:$A, 0)), ISNUMBER(MATCH(DV$1, AsistenciaJetAdminConcatenada!$B:$B, 0)), ISNUMBER(SEARCH($A10,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ISNUMBER(SEARCH($A10, INDEX(AsistenciaJetAdminConcatenada!$D:$D, MATCH(1, (AsistenciaJetAdminConcatenada!$A:$A=DV$2)*(AsistenciaJetAdminConcatenada!$B:$B=DV$1), 0)), 1))),  0.5, 0))</f>
        <v>0</v>
      </c>
      <c r="DW10" s="47">
        <f t="array" ref="DW10">IF(AND(ISNUMBER(MATCH(DW$2, AsistenciaJetAdminConcatenada!$A:$A, 0)), ISNUMBER(MATCH(DW$1, AsistenciaJetAdminConcatenada!$B:$B, 0)), ISNUMBER(SEARCH($A10,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ISNUMBER(SEARCH($A10, INDEX(AsistenciaJetAdminConcatenada!$D:$D, MATCH(1, (AsistenciaJetAdminConcatenada!$A:$A=DW$2)*(AsistenciaJetAdminConcatenada!$B:$B=DW$1), 0)), 1))),  0.5, 0))</f>
        <v>0</v>
      </c>
      <c r="DX10" s="47">
        <f t="array" ref="DX10">IF(AND(ISNUMBER(MATCH(DX$2, AsistenciaJetAdminConcatenada!$A:$A, 0)), ISNUMBER(MATCH(DX$1, AsistenciaJetAdminConcatenada!$B:$B, 0)), ISNUMBER(SEARCH($A10,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ISNUMBER(SEARCH($A10, INDEX(AsistenciaJetAdminConcatenada!$D:$D, MATCH(1, (AsistenciaJetAdminConcatenada!$A:$A=DX$2)*(AsistenciaJetAdminConcatenada!$B:$B=DX$1), 0)), 1))),  0.5, 0))</f>
        <v>0</v>
      </c>
      <c r="DY10" s="47">
        <f t="array" ref="DY10">IF(AND(ISNUMBER(MATCH(DY$2, AsistenciaJetAdminConcatenada!$A:$A, 0)), ISNUMBER(MATCH(DY$1, AsistenciaJetAdminConcatenada!$B:$B, 0)), ISNUMBER(SEARCH($A10,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ISNUMBER(SEARCH($A10, INDEX(AsistenciaJetAdminConcatenada!$D:$D, MATCH(1, (AsistenciaJetAdminConcatenada!$A:$A=DY$2)*(AsistenciaJetAdminConcatenada!$B:$B=DY$1), 0)), 1))),  0.5, 0))</f>
        <v>0</v>
      </c>
      <c r="DZ10" s="47">
        <f t="array" ref="DZ10">IF(AND(ISNUMBER(MATCH(DZ$2, AsistenciaJetAdminConcatenada!$A:$A, 0)), ISNUMBER(MATCH(DZ$1, AsistenciaJetAdminConcatenada!$B:$B, 0)), ISNUMBER(SEARCH($A10,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ISNUMBER(SEARCH($A10, INDEX(AsistenciaJetAdminConcatenada!$D:$D, MATCH(1, (AsistenciaJetAdminConcatenada!$A:$A=DZ$2)*(AsistenciaJetAdminConcatenada!$B:$B=DZ$1), 0)), 1))),  0.5, 0))</f>
        <v>0</v>
      </c>
      <c r="EA10" s="47">
        <f t="array" ref="EA10">IF(AND(ISNUMBER(MATCH(EA$2, AsistenciaJetAdminConcatenada!$A:$A, 0)), ISNUMBER(MATCH(EA$1, AsistenciaJetAdminConcatenada!$B:$B, 0)), ISNUMBER(SEARCH($A10,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ISNUMBER(SEARCH($A10, INDEX(AsistenciaJetAdminConcatenada!$D:$D, MATCH(1, (AsistenciaJetAdminConcatenada!$A:$A=EA$2)*(AsistenciaJetAdminConcatenada!$B:$B=EA$1), 0)), 1))),  0.5, 0))</f>
        <v>0</v>
      </c>
      <c r="EB10" s="47">
        <f t="array" ref="EB10">IF(AND(ISNUMBER(MATCH(EB$2, AsistenciaJetAdminConcatenada!$A:$A, 0)), ISNUMBER(MATCH(EB$1, AsistenciaJetAdminConcatenada!$B:$B, 0)), ISNUMBER(SEARCH($A10,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ISNUMBER(SEARCH($A10, INDEX(AsistenciaJetAdminConcatenada!$D:$D, MATCH(1, (AsistenciaJetAdminConcatenada!$A:$A=EB$2)*(AsistenciaJetAdminConcatenada!$B:$B=EB$1), 0)), 1))),  0.5, 0))</f>
        <v>0</v>
      </c>
      <c r="EC10" s="47">
        <f t="array" ref="EC10">IF(AND(ISNUMBER(MATCH(EC$2, AsistenciaJetAdminConcatenada!$A:$A, 0)), ISNUMBER(MATCH(EC$1, AsistenciaJetAdminConcatenada!$B:$B, 0)), ISNUMBER(SEARCH($A10,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ISNUMBER(SEARCH($A10, INDEX(AsistenciaJetAdminConcatenada!$D:$D, MATCH(1, (AsistenciaJetAdminConcatenada!$A:$A=EC$2)*(AsistenciaJetAdminConcatenada!$B:$B=EC$1), 0)), 1))),  0.5, 0))</f>
        <v>0</v>
      </c>
      <c r="ED10" s="47">
        <f t="array" ref="ED10">IF(AND(ISNUMBER(MATCH(ED$2, AsistenciaJetAdminConcatenada!$A:$A, 0)), ISNUMBER(MATCH(ED$1, AsistenciaJetAdminConcatenada!$B:$B, 0)), ISNUMBER(SEARCH($A10,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ISNUMBER(SEARCH($A10, INDEX(AsistenciaJetAdminConcatenada!$D:$D, MATCH(1, (AsistenciaJetAdminConcatenada!$A:$A=ED$2)*(AsistenciaJetAdminConcatenada!$B:$B=ED$1), 0)), 1))),  0.5, 0))</f>
        <v>0</v>
      </c>
      <c r="EE10" s="47">
        <f t="array" ref="EE10">IF(AND(ISNUMBER(MATCH(EE$2, AsistenciaJetAdminConcatenada!$A:$A, 0)), ISNUMBER(MATCH(EE$1, AsistenciaJetAdminConcatenada!$B:$B, 0)), ISNUMBER(SEARCH($A10,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ISNUMBER(SEARCH($A10, INDEX(AsistenciaJetAdminConcatenada!$D:$D, MATCH(1, (AsistenciaJetAdminConcatenada!$A:$A=EE$2)*(AsistenciaJetAdminConcatenada!$B:$B=EE$1), 0)), 1))),  0.5, 0))</f>
        <v>0</v>
      </c>
      <c r="EF10" s="47">
        <f t="array" ref="EF10">IF(AND(ISNUMBER(MATCH(EF$2, AsistenciaJetAdminConcatenada!$A:$A, 0)), ISNUMBER(MATCH(EF$1, AsistenciaJetAdminConcatenada!$B:$B, 0)), ISNUMBER(SEARCH($A10,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ISNUMBER(SEARCH($A10, INDEX(AsistenciaJetAdminConcatenada!$D:$D, MATCH(1, (AsistenciaJetAdminConcatenada!$A:$A=EF$2)*(AsistenciaJetAdminConcatenada!$B:$B=EF$1), 0)), 1))),  0.5, 0))</f>
        <v>0</v>
      </c>
      <c r="EG10" s="47">
        <f t="array" ref="EG10">IF(AND(ISNUMBER(MATCH(EG$2, AsistenciaJetAdminConcatenada!$A:$A, 0)), ISNUMBER(MATCH(EG$1, AsistenciaJetAdminConcatenada!$B:$B, 0)), ISNUMBER(SEARCH($A10,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ISNUMBER(SEARCH($A10, INDEX(AsistenciaJetAdminConcatenada!$D:$D, MATCH(1, (AsistenciaJetAdminConcatenada!$A:$A=EG$2)*(AsistenciaJetAdminConcatenada!$B:$B=EG$1), 0)), 1))),  0.5, 0))</f>
        <v>0</v>
      </c>
      <c r="EH10" s="47">
        <f t="array" ref="EH10">IF(AND(ISNUMBER(MATCH(EH$2, AsistenciaJetAdminConcatenada!$A:$A, 0)), ISNUMBER(MATCH(EH$1, AsistenciaJetAdminConcatenada!$B:$B, 0)), ISNUMBER(SEARCH($A10,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ISNUMBER(SEARCH($A10, INDEX(AsistenciaJetAdminConcatenada!$D:$D, MATCH(1, (AsistenciaJetAdminConcatenada!$A:$A=EH$2)*(AsistenciaJetAdminConcatenada!$B:$B=EH$1), 0)), 1))),  0.5, 0))</f>
        <v>0</v>
      </c>
      <c r="EI10" s="47">
        <f t="array" ref="EI10">IF(AND(ISNUMBER(MATCH(EI$2, AsistenciaJetAdminConcatenada!$A:$A, 0)), ISNUMBER(MATCH(EI$1, AsistenciaJetAdminConcatenada!$B:$B, 0)), ISNUMBER(SEARCH($A10,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ISNUMBER(SEARCH($A10, INDEX(AsistenciaJetAdminConcatenada!$D:$D, MATCH(1, (AsistenciaJetAdminConcatenada!$A:$A=EI$2)*(AsistenciaJetAdminConcatenada!$B:$B=EI$1), 0)), 1))),  0.5, 0))</f>
        <v>0</v>
      </c>
      <c r="EJ10" s="47">
        <f t="array" ref="EJ10">IF(AND(ISNUMBER(MATCH(EJ$2, AsistenciaJetAdminConcatenada!$A:$A, 0)), ISNUMBER(MATCH(EJ$1, AsistenciaJetAdminConcatenada!$B:$B, 0)), ISNUMBER(SEARCH($A10,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ISNUMBER(SEARCH($A10, INDEX(AsistenciaJetAdminConcatenada!$D:$D, MATCH(1, (AsistenciaJetAdminConcatenada!$A:$A=EJ$2)*(AsistenciaJetAdminConcatenada!$B:$B=EJ$1), 0)), 1))),  0.5, 0))</f>
        <v>0</v>
      </c>
      <c r="EK10" s="47">
        <f t="array" ref="EK10">IF(AND(ISNUMBER(MATCH(EK$2, AsistenciaJetAdminConcatenada!$A:$A, 0)), ISNUMBER(MATCH(EK$1, AsistenciaJetAdminConcatenada!$B:$B, 0)), ISNUMBER(SEARCH($A10,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ISNUMBER(SEARCH($A10, INDEX(AsistenciaJetAdminConcatenada!$D:$D, MATCH(1, (AsistenciaJetAdminConcatenada!$A:$A=EK$2)*(AsistenciaJetAdminConcatenada!$B:$B=EK$1), 0)), 1))),  0.5, 0))</f>
        <v>0</v>
      </c>
      <c r="EL10" s="47">
        <f t="array" ref="EL10">IF(AND(ISNUMBER(MATCH(EL$2, AsistenciaJetAdminConcatenada!$A:$A, 0)), ISNUMBER(MATCH(EL$1, AsistenciaJetAdminConcatenada!$B:$B, 0)), ISNUMBER(SEARCH($A10,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ISNUMBER(SEARCH($A10, INDEX(AsistenciaJetAdminConcatenada!$D:$D, MATCH(1, (AsistenciaJetAdminConcatenada!$A:$A=EL$2)*(AsistenciaJetAdminConcatenada!$B:$B=EL$1), 0)), 1))),  0.5, 0))</f>
        <v>0</v>
      </c>
      <c r="EM10" s="47">
        <f t="array" ref="EM10">IF(AND(ISNUMBER(MATCH(EM$2, AsistenciaJetAdminConcatenada!$A:$A, 0)), ISNUMBER(MATCH(EM$1, AsistenciaJetAdminConcatenada!$B:$B, 0)), ISNUMBER(SEARCH($A10,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ISNUMBER(SEARCH($A10, INDEX(AsistenciaJetAdminConcatenada!$D:$D, MATCH(1, (AsistenciaJetAdminConcatenada!$A:$A=EM$2)*(AsistenciaJetAdminConcatenada!$B:$B=EM$1), 0)), 1))),  0.5, 0))</f>
        <v>0</v>
      </c>
      <c r="EN10" s="47">
        <f t="array" ref="EN10">IF(AND(ISNUMBER(MATCH(EN$2, AsistenciaJetAdminConcatenada!$A:$A, 0)), ISNUMBER(MATCH(EN$1, AsistenciaJetAdminConcatenada!$B:$B, 0)), ISNUMBER(SEARCH($A10,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ISNUMBER(SEARCH($A10, INDEX(AsistenciaJetAdminConcatenada!$D:$D, MATCH(1, (AsistenciaJetAdminConcatenada!$A:$A=EN$2)*(AsistenciaJetAdminConcatenada!$B:$B=EN$1), 0)), 1))),  0.5, 0))</f>
        <v>0</v>
      </c>
      <c r="EO10" s="47">
        <f t="array" ref="EO10">IF(AND(ISNUMBER(MATCH(EO$2, AsistenciaJetAdminConcatenada!$A:$A, 0)), ISNUMBER(MATCH(EO$1, AsistenciaJetAdminConcatenada!$B:$B, 0)), ISNUMBER(SEARCH($A10,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ISNUMBER(SEARCH($A10, INDEX(AsistenciaJetAdminConcatenada!$D:$D, MATCH(1, (AsistenciaJetAdminConcatenada!$A:$A=EO$2)*(AsistenciaJetAdminConcatenada!$B:$B=EO$1), 0)), 1))),  0.5, 0))</f>
        <v>0</v>
      </c>
      <c r="EP10" s="47">
        <f t="array" ref="EP10">IF(AND(ISNUMBER(MATCH(EP$2, AsistenciaJetAdminConcatenada!$A:$A, 0)), ISNUMBER(MATCH(EP$1, AsistenciaJetAdminConcatenada!$B:$B, 0)), ISNUMBER(SEARCH($A10,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ISNUMBER(SEARCH($A10, INDEX(AsistenciaJetAdminConcatenada!$D:$D, MATCH(1, (AsistenciaJetAdminConcatenada!$A:$A=EP$2)*(AsistenciaJetAdminConcatenada!$B:$B=EP$1), 0)), 1))),  0.5, 0))</f>
        <v>0</v>
      </c>
      <c r="EQ10" s="47">
        <f t="array" ref="EQ10">IF(AND(ISNUMBER(MATCH(EQ$2, AsistenciaJetAdminConcatenada!$A:$A, 0)), ISNUMBER(MATCH(EQ$1, AsistenciaJetAdminConcatenada!$B:$B, 0)), ISNUMBER(SEARCH($A10,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ISNUMBER(SEARCH($A10, INDEX(AsistenciaJetAdminConcatenada!$D:$D, MATCH(1, (AsistenciaJetAdminConcatenada!$A:$A=EQ$2)*(AsistenciaJetAdminConcatenada!$B:$B=EQ$1), 0)), 1))),  0.5, 0))</f>
        <v>0</v>
      </c>
      <c r="ER10" s="47">
        <f t="array" ref="ER10">IF(AND(ISNUMBER(MATCH(ER$2, AsistenciaJetAdminConcatenada!$A:$A, 0)), ISNUMBER(MATCH(ER$1, AsistenciaJetAdminConcatenada!$B:$B, 0)), ISNUMBER(SEARCH($A10,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ISNUMBER(SEARCH($A10, INDEX(AsistenciaJetAdminConcatenada!$D:$D, MATCH(1, (AsistenciaJetAdminConcatenada!$A:$A=ER$2)*(AsistenciaJetAdminConcatenada!$B:$B=ER$1), 0)), 1))),  0.5, 0))</f>
        <v>0</v>
      </c>
      <c r="ES10" s="47">
        <f t="array" ref="ES10">IF(AND(ISNUMBER(MATCH(ES$2, AsistenciaJetAdminConcatenada!$A:$A, 0)), ISNUMBER(MATCH(ES$1, AsistenciaJetAdminConcatenada!$B:$B, 0)), ISNUMBER(SEARCH($A10,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ISNUMBER(SEARCH($A10, INDEX(AsistenciaJetAdminConcatenada!$D:$D, MATCH(1, (AsistenciaJetAdminConcatenada!$A:$A=ES$2)*(AsistenciaJetAdminConcatenada!$B:$B=ES$1), 0)), 1))),  0.5, 0))</f>
        <v>0</v>
      </c>
      <c r="ET10" s="47">
        <f t="array" ref="ET10">IF(AND(ISNUMBER(MATCH(ET$2, AsistenciaJetAdminConcatenada!$A:$A, 0)), ISNUMBER(MATCH(ET$1, AsistenciaJetAdminConcatenada!$B:$B, 0)), ISNUMBER(SEARCH($A10,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ISNUMBER(SEARCH($A10, INDEX(AsistenciaJetAdminConcatenada!$D:$D, MATCH(1, (AsistenciaJetAdminConcatenada!$A:$A=ET$2)*(AsistenciaJetAdminConcatenada!$B:$B=ET$1), 0)), 1))),  0.5, 0))</f>
        <v>0</v>
      </c>
      <c r="EU10" s="47">
        <f t="array" ref="EU10">IF(AND(ISNUMBER(MATCH(EU$2, AsistenciaJetAdminConcatenada!$A:$A, 0)), ISNUMBER(MATCH(EU$1, AsistenciaJetAdminConcatenada!$B:$B, 0)), ISNUMBER(SEARCH($A10,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ISNUMBER(SEARCH($A10, INDEX(AsistenciaJetAdminConcatenada!$D:$D, MATCH(1, (AsistenciaJetAdminConcatenada!$A:$A=EU$2)*(AsistenciaJetAdminConcatenada!$B:$B=EU$1), 0)), 1))),  0.5, 0))</f>
        <v>0</v>
      </c>
      <c r="EV10" s="47">
        <f t="array" ref="EV10">IF(AND(ISNUMBER(MATCH(EV$2, AsistenciaJetAdminConcatenada!$A:$A, 0)), ISNUMBER(MATCH(EV$1, AsistenciaJetAdminConcatenada!$B:$B, 0)), ISNUMBER(SEARCH($A10,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ISNUMBER(SEARCH($A10, INDEX(AsistenciaJetAdminConcatenada!$D:$D, MATCH(1, (AsistenciaJetAdminConcatenada!$A:$A=EV$2)*(AsistenciaJetAdminConcatenada!$B:$B=EV$1), 0)), 1))),  0.5, 0))</f>
        <v>0</v>
      </c>
      <c r="EW10" s="47">
        <f t="array" ref="EW10">IF(AND(ISNUMBER(MATCH(EW$2, AsistenciaJetAdminConcatenada!$A:$A, 0)), ISNUMBER(MATCH(EW$1, AsistenciaJetAdminConcatenada!$B:$B, 0)), ISNUMBER(SEARCH($A10,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ISNUMBER(SEARCH($A10, INDEX(AsistenciaJetAdminConcatenada!$D:$D, MATCH(1, (AsistenciaJetAdminConcatenada!$A:$A=EW$2)*(AsistenciaJetAdminConcatenada!$B:$B=EW$1), 0)), 1))),  0.5, 0))</f>
        <v>0</v>
      </c>
      <c r="EX10" s="47">
        <f t="array" ref="EX10">IF(AND(ISNUMBER(MATCH(EX$2, AsistenciaJetAdminConcatenada!$A:$A, 0)), ISNUMBER(MATCH(EX$1, AsistenciaJetAdminConcatenada!$B:$B, 0)), ISNUMBER(SEARCH($A10,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ISNUMBER(SEARCH($A10, INDEX(AsistenciaJetAdminConcatenada!$D:$D, MATCH(1, (AsistenciaJetAdminConcatenada!$A:$A=EX$2)*(AsistenciaJetAdminConcatenada!$B:$B=EX$1), 0)), 1))),  0.5, 0))</f>
        <v>0</v>
      </c>
      <c r="EY10" s="47">
        <f t="array" ref="EY10">IF(AND(ISNUMBER(MATCH(EY$2, AsistenciaJetAdminConcatenada!$A:$A, 0)), ISNUMBER(MATCH(EY$1, AsistenciaJetAdminConcatenada!$B:$B, 0)), ISNUMBER(SEARCH($A10,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ISNUMBER(SEARCH($A10, INDEX(AsistenciaJetAdminConcatenada!$D:$D, MATCH(1, (AsistenciaJetAdminConcatenada!$A:$A=EY$2)*(AsistenciaJetAdminConcatenada!$B:$B=EY$1), 0)), 1))),  0.5, 0))</f>
        <v>0</v>
      </c>
      <c r="EZ10" s="47">
        <f t="array" ref="EZ10">IF(AND(ISNUMBER(MATCH(EZ$2, AsistenciaJetAdminConcatenada!$A:$A, 0)), ISNUMBER(MATCH(EZ$1, AsistenciaJetAdminConcatenada!$B:$B, 0)), ISNUMBER(SEARCH($A10,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ISNUMBER(SEARCH($A10, INDEX(AsistenciaJetAdminConcatenada!$D:$D, MATCH(1, (AsistenciaJetAdminConcatenada!$A:$A=EZ$2)*(AsistenciaJetAdminConcatenada!$B:$B=EZ$1), 0)), 1))),  0.5, 0))</f>
        <v>0</v>
      </c>
      <c r="FA10" s="47">
        <f t="array" ref="FA10">IF(AND(ISNUMBER(MATCH(FA$2, AsistenciaJetAdminConcatenada!$A:$A, 0)), ISNUMBER(MATCH(FA$1, AsistenciaJetAdminConcatenada!$B:$B, 0)), ISNUMBER(SEARCH($A10,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ISNUMBER(SEARCH($A10, INDEX(AsistenciaJetAdminConcatenada!$D:$D, MATCH(1, (AsistenciaJetAdminConcatenada!$A:$A=FA$2)*(AsistenciaJetAdminConcatenada!$B:$B=FA$1), 0)), 1))),  0.5, 0))</f>
        <v>0</v>
      </c>
      <c r="FB10" s="47">
        <f t="array" ref="FB10">IF(AND(ISNUMBER(MATCH(FB$2, AsistenciaJetAdminConcatenada!$A:$A, 0)), ISNUMBER(MATCH(FB$1, AsistenciaJetAdminConcatenada!$B:$B, 0)), ISNUMBER(SEARCH($A10,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ISNUMBER(SEARCH($A10, INDEX(AsistenciaJetAdminConcatenada!$D:$D, MATCH(1, (AsistenciaJetAdminConcatenada!$A:$A=FB$2)*(AsistenciaJetAdminConcatenada!$B:$B=FB$1), 0)), 1))),  0.5, 0))</f>
        <v>0</v>
      </c>
      <c r="FC10" s="47">
        <f t="array" ref="FC10">IF(AND(ISNUMBER(MATCH(FC$2, AsistenciaJetAdminConcatenada!$A:$A, 0)), ISNUMBER(MATCH(FC$1, AsistenciaJetAdminConcatenada!$B:$B, 0)), ISNUMBER(SEARCH($A10,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ISNUMBER(SEARCH($A10, INDEX(AsistenciaJetAdminConcatenada!$D:$D, MATCH(1, (AsistenciaJetAdminConcatenada!$A:$A=FC$2)*(AsistenciaJetAdminConcatenada!$B:$B=FC$1), 0)), 1))),  0.5, 0))</f>
        <v>0</v>
      </c>
      <c r="FD10" s="47">
        <f t="array" ref="FD10">IF(AND(ISNUMBER(MATCH(FD$2, AsistenciaJetAdminConcatenada!$A:$A, 0)), ISNUMBER(MATCH(FD$1, AsistenciaJetAdminConcatenada!$B:$B, 0)), ISNUMBER(SEARCH($A10,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ISNUMBER(SEARCH($A10, INDEX(AsistenciaJetAdminConcatenada!$D:$D, MATCH(1, (AsistenciaJetAdminConcatenada!$A:$A=FD$2)*(AsistenciaJetAdminConcatenada!$B:$B=FD$1), 0)), 1))),  0.5, 0))</f>
        <v>0</v>
      </c>
      <c r="FE10" s="47">
        <f t="array" ref="FE10">IF(AND(ISNUMBER(MATCH(FE$2, AsistenciaJetAdminConcatenada!$A:$A, 0)), ISNUMBER(MATCH(FE$1, AsistenciaJetAdminConcatenada!$B:$B, 0)), ISNUMBER(SEARCH($A10,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ISNUMBER(SEARCH($A10, INDEX(AsistenciaJetAdminConcatenada!$D:$D, MATCH(1, (AsistenciaJetAdminConcatenada!$A:$A=FE$2)*(AsistenciaJetAdminConcatenada!$B:$B=FE$1), 0)), 1))),  0.5, 0))</f>
        <v>0</v>
      </c>
      <c r="FF10" s="47">
        <f t="array" ref="FF10">IF(AND(ISNUMBER(MATCH(FF$2, AsistenciaJetAdminConcatenada!$A:$A, 0)), ISNUMBER(MATCH(FF$1, AsistenciaJetAdminConcatenada!$B:$B, 0)), ISNUMBER(SEARCH($A10,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ISNUMBER(SEARCH($A10, INDEX(AsistenciaJetAdminConcatenada!$D:$D, MATCH(1, (AsistenciaJetAdminConcatenada!$A:$A=FF$2)*(AsistenciaJetAdminConcatenada!$B:$B=FF$1), 0)), 1))),  0.5, 0))</f>
        <v>0</v>
      </c>
      <c r="FG10" s="47">
        <f t="array" ref="FG10">IF(AND(ISNUMBER(MATCH(FG$2, AsistenciaJetAdminConcatenada!$A:$A, 0)), ISNUMBER(MATCH(FG$1, AsistenciaJetAdminConcatenada!$B:$B, 0)), ISNUMBER(SEARCH($A10,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ISNUMBER(SEARCH($A10, INDEX(AsistenciaJetAdminConcatenada!$D:$D, MATCH(1, (AsistenciaJetAdminConcatenada!$A:$A=FG$2)*(AsistenciaJetAdminConcatenada!$B:$B=FG$1), 0)), 1))),  0.5, 0))</f>
        <v>0</v>
      </c>
      <c r="FH10" s="47">
        <f t="array" ref="FH10">IF(AND(ISNUMBER(MATCH(FH$2, AsistenciaJetAdminConcatenada!$A:$A, 0)), ISNUMBER(MATCH(FH$1, AsistenciaJetAdminConcatenada!$B:$B, 0)), ISNUMBER(SEARCH($A10,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ISNUMBER(SEARCH($A10, INDEX(AsistenciaJetAdminConcatenada!$D:$D, MATCH(1, (AsistenciaJetAdminConcatenada!$A:$A=FH$2)*(AsistenciaJetAdminConcatenada!$B:$B=FH$1), 0)), 1))),  0.5, 0))</f>
        <v>0</v>
      </c>
      <c r="FI10" s="47">
        <f t="array" ref="FI10">IF(AND(ISNUMBER(MATCH(FI$2, AsistenciaJetAdminConcatenada!$A:$A, 0)), ISNUMBER(MATCH(FI$1, AsistenciaJetAdminConcatenada!$B:$B, 0)), ISNUMBER(SEARCH($A10,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ISNUMBER(SEARCH($A10, INDEX(AsistenciaJetAdminConcatenada!$D:$D, MATCH(1, (AsistenciaJetAdminConcatenada!$A:$A=FI$2)*(AsistenciaJetAdminConcatenada!$B:$B=FI$1), 0)), 1))),  0.5, 0))</f>
        <v>0</v>
      </c>
      <c r="FJ10" s="47">
        <f t="array" ref="FJ10">IF(AND(ISNUMBER(MATCH(FJ$2, AsistenciaJetAdminConcatenada!$A:$A, 0)), ISNUMBER(MATCH(FJ$1, AsistenciaJetAdminConcatenada!$B:$B, 0)), ISNUMBER(SEARCH($A10,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ISNUMBER(SEARCH($A10, INDEX(AsistenciaJetAdminConcatenada!$D:$D, MATCH(1, (AsistenciaJetAdminConcatenada!$A:$A=FJ$2)*(AsistenciaJetAdminConcatenada!$B:$B=FJ$1), 0)), 1))),  0.5, 0))</f>
        <v>0</v>
      </c>
      <c r="FK10" s="47">
        <f t="array" ref="FK10">IF(AND(ISNUMBER(MATCH(FK$2, AsistenciaJetAdminConcatenada!$A:$A, 0)), ISNUMBER(MATCH(FK$1, AsistenciaJetAdminConcatenada!$B:$B, 0)), ISNUMBER(SEARCH($A10,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ISNUMBER(SEARCH($A10, INDEX(AsistenciaJetAdminConcatenada!$D:$D, MATCH(1, (AsistenciaJetAdminConcatenada!$A:$A=FK$2)*(AsistenciaJetAdminConcatenada!$B:$B=FK$1), 0)), 1))),  0.5, 0))</f>
        <v>0</v>
      </c>
      <c r="FL10" s="47">
        <f t="array" ref="FL10">IF(AND(ISNUMBER(MATCH(FL$2, AsistenciaJetAdminConcatenada!$A:$A, 0)), ISNUMBER(MATCH(FL$1, AsistenciaJetAdminConcatenada!$B:$B, 0)), ISNUMBER(SEARCH($A10,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ISNUMBER(SEARCH($A10, INDEX(AsistenciaJetAdminConcatenada!$D:$D, MATCH(1, (AsistenciaJetAdminConcatenada!$A:$A=FL$2)*(AsistenciaJetAdminConcatenada!$B:$B=FL$1), 0)), 1))),  0.5, 0))</f>
        <v>0</v>
      </c>
      <c r="FM10" s="47">
        <f t="array" ref="FM10">IF(AND(ISNUMBER(MATCH(FM$2, AsistenciaJetAdminConcatenada!$A:$A, 0)), ISNUMBER(MATCH(FM$1, AsistenciaJetAdminConcatenada!$B:$B, 0)), ISNUMBER(SEARCH($A10,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ISNUMBER(SEARCH($A10, INDEX(AsistenciaJetAdminConcatenada!$D:$D, MATCH(1, (AsistenciaJetAdminConcatenada!$A:$A=FM$2)*(AsistenciaJetAdminConcatenada!$B:$B=FM$1), 0)), 1))),  0.5, 0))</f>
        <v>0</v>
      </c>
      <c r="FN10" s="47">
        <f t="array" ref="FN10">IF(AND(ISNUMBER(MATCH(FN$2, AsistenciaJetAdminConcatenada!$A:$A, 0)), ISNUMBER(MATCH(FN$1, AsistenciaJetAdminConcatenada!$B:$B, 0)), ISNUMBER(SEARCH($A10,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ISNUMBER(SEARCH($A10, INDEX(AsistenciaJetAdminConcatenada!$D:$D, MATCH(1, (AsistenciaJetAdminConcatenada!$A:$A=FN$2)*(AsistenciaJetAdminConcatenada!$B:$B=FN$1), 0)), 1))),  0.5, 0))</f>
        <v>0</v>
      </c>
      <c r="FO10" s="47">
        <f t="array" ref="FO10">IF(AND(ISNUMBER(MATCH(FO$2, AsistenciaJetAdminConcatenada!$A:$A, 0)), ISNUMBER(MATCH(FO$1, AsistenciaJetAdminConcatenada!$B:$B, 0)), ISNUMBER(SEARCH($A10,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ISNUMBER(SEARCH($A10, INDEX(AsistenciaJetAdminConcatenada!$D:$D, MATCH(1, (AsistenciaJetAdminConcatenada!$A:$A=FO$2)*(AsistenciaJetAdminConcatenada!$B:$B=FO$1), 0)), 1))),  0.5, 0))</f>
        <v>0</v>
      </c>
      <c r="FP10" s="47">
        <f t="array" ref="FP10">IF(AND(ISNUMBER(MATCH(FP$2, AsistenciaJetAdminConcatenada!$A:$A, 0)), ISNUMBER(MATCH(FP$1, AsistenciaJetAdminConcatenada!$B:$B, 0)), ISNUMBER(SEARCH($A10,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ISNUMBER(SEARCH($A10, INDEX(AsistenciaJetAdminConcatenada!$D:$D, MATCH(1, (AsistenciaJetAdminConcatenada!$A:$A=FP$2)*(AsistenciaJetAdminConcatenada!$B:$B=FP$1), 0)), 1))),  0.5, 0))</f>
        <v>0</v>
      </c>
      <c r="FQ10" s="47">
        <f t="array" ref="FQ10">IF(AND(ISNUMBER(MATCH(FQ$2, AsistenciaJetAdminConcatenada!$A:$A, 0)), ISNUMBER(MATCH(FQ$1, AsistenciaJetAdminConcatenada!$B:$B, 0)), ISNUMBER(SEARCH($A10,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ISNUMBER(SEARCH($A10, INDEX(AsistenciaJetAdminConcatenada!$D:$D, MATCH(1, (AsistenciaJetAdminConcatenada!$A:$A=FQ$2)*(AsistenciaJetAdminConcatenada!$B:$B=FQ$1), 0)), 1))),  0.5, 0))</f>
        <v>0</v>
      </c>
      <c r="FR10" s="47">
        <f t="array" ref="FR10">IF(AND(ISNUMBER(MATCH(FR$2, AsistenciaJetAdminConcatenada!$A:$A, 0)), ISNUMBER(MATCH(FR$1, AsistenciaJetAdminConcatenada!$B:$B, 0)), ISNUMBER(SEARCH($A10,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ISNUMBER(SEARCH($A10, INDEX(AsistenciaJetAdminConcatenada!$D:$D, MATCH(1, (AsistenciaJetAdminConcatenada!$A:$A=FR$2)*(AsistenciaJetAdminConcatenada!$B:$B=FR$1), 0)), 1))),  0.5, 0))</f>
        <v>0</v>
      </c>
      <c r="FS10" s="47">
        <f t="array" ref="FS10">IF(AND(ISNUMBER(MATCH(FS$2, AsistenciaJetAdminConcatenada!$A:$A, 0)), ISNUMBER(MATCH(FS$1, AsistenciaJetAdminConcatenada!$B:$B, 0)), ISNUMBER(SEARCH($A10,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ISNUMBER(SEARCH($A10, INDEX(AsistenciaJetAdminConcatenada!$D:$D, MATCH(1, (AsistenciaJetAdminConcatenada!$A:$A=FS$2)*(AsistenciaJetAdminConcatenada!$B:$B=FS$1), 0)), 1))),  0.5, 0))</f>
        <v>0</v>
      </c>
      <c r="FT10" s="47">
        <f t="array" ref="FT10">IF(AND(ISNUMBER(MATCH(FT$2, AsistenciaJetAdminConcatenada!$A:$A, 0)), ISNUMBER(MATCH(FT$1, AsistenciaJetAdminConcatenada!$B:$B, 0)), ISNUMBER(SEARCH($A10,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ISNUMBER(SEARCH($A10, INDEX(AsistenciaJetAdminConcatenada!$D:$D, MATCH(1, (AsistenciaJetAdminConcatenada!$A:$A=FT$2)*(AsistenciaJetAdminConcatenada!$B:$B=FT$1), 0)), 1))),  0.5, 0))</f>
        <v>0</v>
      </c>
      <c r="FU10" s="47">
        <f t="array" ref="FU10">IF(AND(ISNUMBER(MATCH(FU$2, AsistenciaJetAdminConcatenada!$A:$A, 0)), ISNUMBER(MATCH(FU$1, AsistenciaJetAdminConcatenada!$B:$B, 0)), ISNUMBER(SEARCH($A10,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ISNUMBER(SEARCH($A10, INDEX(AsistenciaJetAdminConcatenada!$D:$D, MATCH(1, (AsistenciaJetAdminConcatenada!$A:$A=FU$2)*(AsistenciaJetAdminConcatenada!$B:$B=FU$1), 0)), 1))),  0.5, 0))</f>
        <v>0</v>
      </c>
      <c r="FV10" s="47">
        <f t="array" ref="FV10">IF(AND(ISNUMBER(MATCH(FV$2, AsistenciaJetAdminConcatenada!$A:$A, 0)), ISNUMBER(MATCH(FV$1, AsistenciaJetAdminConcatenada!$B:$B, 0)), ISNUMBER(SEARCH($A10,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ISNUMBER(SEARCH($A10, INDEX(AsistenciaJetAdminConcatenada!$D:$D, MATCH(1, (AsistenciaJetAdminConcatenada!$A:$A=FV$2)*(AsistenciaJetAdminConcatenada!$B:$B=FV$1), 0)), 1))),  0.5, 0))</f>
        <v>0</v>
      </c>
      <c r="FW10" s="47">
        <f t="array" ref="FW10">IF(AND(ISNUMBER(MATCH(FW$2, AsistenciaJetAdminConcatenada!$A:$A, 0)), ISNUMBER(MATCH(FW$1, AsistenciaJetAdminConcatenada!$B:$B, 0)), ISNUMBER(SEARCH($A10,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ISNUMBER(SEARCH($A10, INDEX(AsistenciaJetAdminConcatenada!$D:$D, MATCH(1, (AsistenciaJetAdminConcatenada!$A:$A=FW$2)*(AsistenciaJetAdminConcatenada!$B:$B=FW$1), 0)), 1))),  0.5, 0))</f>
        <v>0</v>
      </c>
      <c r="FX10" s="47">
        <f t="array" ref="FX10">IF(AND(ISNUMBER(MATCH(FX$2, AsistenciaJetAdminConcatenada!$A:$A, 0)), ISNUMBER(MATCH(FX$1, AsistenciaJetAdminConcatenada!$B:$B, 0)), ISNUMBER(SEARCH($A10,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ISNUMBER(SEARCH($A10, INDEX(AsistenciaJetAdminConcatenada!$D:$D, MATCH(1, (AsistenciaJetAdminConcatenada!$A:$A=FX$2)*(AsistenciaJetAdminConcatenada!$B:$B=FX$1), 0)), 1))),  0.5, 0))</f>
        <v>0</v>
      </c>
      <c r="FY10" s="47">
        <f t="array" ref="FY10">IF(AND(ISNUMBER(MATCH(FY$2, AsistenciaJetAdminConcatenada!$A:$A, 0)), ISNUMBER(MATCH(FY$1, AsistenciaJetAdminConcatenada!$B:$B, 0)), ISNUMBER(SEARCH($A10,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ISNUMBER(SEARCH($A10, INDEX(AsistenciaJetAdminConcatenada!$D:$D, MATCH(1, (AsistenciaJetAdminConcatenada!$A:$A=FY$2)*(AsistenciaJetAdminConcatenada!$B:$B=FY$1), 0)), 1))),  0.5, 0))</f>
        <v>0</v>
      </c>
      <c r="FZ10" s="47">
        <f t="array" ref="FZ10">IF(AND(ISNUMBER(MATCH(FZ$2, AsistenciaJetAdminConcatenada!$A:$A, 0)), ISNUMBER(MATCH(FZ$1, AsistenciaJetAdminConcatenada!$B:$B, 0)), ISNUMBER(SEARCH($A10,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ISNUMBER(SEARCH($A10, INDEX(AsistenciaJetAdminConcatenada!$D:$D, MATCH(1, (AsistenciaJetAdminConcatenada!$A:$A=FZ$2)*(AsistenciaJetAdminConcatenada!$B:$B=FZ$1), 0)), 1))),  0.5, 0))</f>
        <v>0</v>
      </c>
      <c r="GA10" s="47">
        <f t="array" ref="GA10">IF(AND(ISNUMBER(MATCH(GA$2, AsistenciaJetAdminConcatenada!$A:$A, 0)), ISNUMBER(MATCH(GA$1, AsistenciaJetAdminConcatenada!$B:$B, 0)), ISNUMBER(SEARCH($A10,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ISNUMBER(SEARCH($A10, INDEX(AsistenciaJetAdminConcatenada!$D:$D, MATCH(1, (AsistenciaJetAdminConcatenada!$A:$A=GA$2)*(AsistenciaJetAdminConcatenada!$B:$B=GA$1), 0)), 1))),  0.5, 0))</f>
        <v>0</v>
      </c>
      <c r="GB10" s="47">
        <f t="array" ref="GB10">IF(AND(ISNUMBER(MATCH(GB$2, AsistenciaJetAdminConcatenada!$A:$A, 0)), ISNUMBER(MATCH(GB$1, AsistenciaJetAdminConcatenada!$B:$B, 0)), ISNUMBER(SEARCH($A10,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ISNUMBER(SEARCH($A10, INDEX(AsistenciaJetAdminConcatenada!$D:$D, MATCH(1, (AsistenciaJetAdminConcatenada!$A:$A=GB$2)*(AsistenciaJetAdminConcatenada!$B:$B=GB$1), 0)), 1))),  0.5, 0))</f>
        <v>0</v>
      </c>
      <c r="GC10" s="47">
        <f t="array" ref="GC10">IF(AND(ISNUMBER(MATCH(GC$2, AsistenciaJetAdminConcatenada!$A:$A, 0)), ISNUMBER(MATCH(GC$1, AsistenciaJetAdminConcatenada!$B:$B, 0)), ISNUMBER(SEARCH($A10,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ISNUMBER(SEARCH($A10, INDEX(AsistenciaJetAdminConcatenada!$D:$D, MATCH(1, (AsistenciaJetAdminConcatenada!$A:$A=GC$2)*(AsistenciaJetAdminConcatenada!$B:$B=GC$1), 0)), 1))),  0.5, 0))</f>
        <v>0</v>
      </c>
      <c r="GD10" s="47">
        <f t="array" ref="GD10">IF(AND(ISNUMBER(MATCH(GD$2, AsistenciaJetAdminConcatenada!$A:$A, 0)), ISNUMBER(MATCH(GD$1, AsistenciaJetAdminConcatenada!$B:$B, 0)), ISNUMBER(SEARCH($A10,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ISNUMBER(SEARCH($A10, INDEX(AsistenciaJetAdminConcatenada!$D:$D, MATCH(1, (AsistenciaJetAdminConcatenada!$A:$A=GD$2)*(AsistenciaJetAdminConcatenada!$B:$B=GD$1), 0)), 1))),  0.5, 0))</f>
        <v>0</v>
      </c>
      <c r="GE10" s="47">
        <f t="array" ref="GE10">IF(AND(ISNUMBER(MATCH(GE$2, AsistenciaJetAdminConcatenada!$A:$A, 0)), ISNUMBER(MATCH(GE$1, AsistenciaJetAdminConcatenada!$B:$B, 0)), ISNUMBER(SEARCH($A10,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ISNUMBER(SEARCH($A10, INDEX(AsistenciaJetAdminConcatenada!$D:$D, MATCH(1, (AsistenciaJetAdminConcatenada!$A:$A=GE$2)*(AsistenciaJetAdminConcatenada!$B:$B=GE$1), 0)), 1))),  0.5, 0))</f>
        <v>0</v>
      </c>
      <c r="GF10" s="47">
        <f t="array" ref="GF10">IF(AND(ISNUMBER(MATCH(GF$2, AsistenciaJetAdminConcatenada!$A:$A, 0)), ISNUMBER(MATCH(GF$1, AsistenciaJetAdminConcatenada!$B:$B, 0)), ISNUMBER(SEARCH($A10,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ISNUMBER(SEARCH($A10, INDEX(AsistenciaJetAdminConcatenada!$D:$D, MATCH(1, (AsistenciaJetAdminConcatenada!$A:$A=GF$2)*(AsistenciaJetAdminConcatenada!$B:$B=GF$1), 0)), 1))),  0.5, 0))</f>
        <v>0</v>
      </c>
      <c r="GG10" s="47">
        <f t="array" ref="GG10">IF(AND(ISNUMBER(MATCH(GG$2, AsistenciaJetAdminConcatenada!$A:$A, 0)), ISNUMBER(MATCH(GG$1, AsistenciaJetAdminConcatenada!$B:$B, 0)), ISNUMBER(SEARCH($A10,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ISNUMBER(SEARCH($A10, INDEX(AsistenciaJetAdminConcatenada!$D:$D, MATCH(1, (AsistenciaJetAdminConcatenada!$A:$A=GG$2)*(AsistenciaJetAdminConcatenada!$B:$B=GG$1), 0)), 1))),  0.5, 0))</f>
        <v>0</v>
      </c>
      <c r="GH10" s="47">
        <f t="array" ref="GH10">IF(AND(ISNUMBER(MATCH(GH$2, AsistenciaJetAdminConcatenada!$A:$A, 0)), ISNUMBER(MATCH(GH$1, AsistenciaJetAdminConcatenada!$B:$B, 0)), ISNUMBER(SEARCH($A10,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ISNUMBER(SEARCH($A10, INDEX(AsistenciaJetAdminConcatenada!$D:$D, MATCH(1, (AsistenciaJetAdminConcatenada!$A:$A=GH$2)*(AsistenciaJetAdminConcatenada!$B:$B=GH$1), 0)), 1))),  0.5, 0))</f>
        <v>0</v>
      </c>
      <c r="GI10" s="47">
        <f t="array" ref="GI10">IF(AND(ISNUMBER(MATCH(GI$2, AsistenciaJetAdminConcatenada!$A:$A, 0)), ISNUMBER(MATCH(GI$1, AsistenciaJetAdminConcatenada!$B:$B, 0)), ISNUMBER(SEARCH($A10,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ISNUMBER(SEARCH($A10, INDEX(AsistenciaJetAdminConcatenada!$D:$D, MATCH(1, (AsistenciaJetAdminConcatenada!$A:$A=GI$2)*(AsistenciaJetAdminConcatenada!$B:$B=GI$1), 0)), 1))),  0.5, 0))</f>
        <v>0</v>
      </c>
      <c r="GJ10" s="47">
        <f t="array" ref="GJ10">IF(AND(ISNUMBER(MATCH(GJ$2, AsistenciaJetAdminConcatenada!$A:$A, 0)), ISNUMBER(MATCH(GJ$1, AsistenciaJetAdminConcatenada!$B:$B, 0)), ISNUMBER(SEARCH($A10,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ISNUMBER(SEARCH($A10, INDEX(AsistenciaJetAdminConcatenada!$D:$D, MATCH(1, (AsistenciaJetAdminConcatenada!$A:$A=GJ$2)*(AsistenciaJetAdminConcatenada!$B:$B=GJ$1), 0)), 1))),  0.5, 0))</f>
        <v>0</v>
      </c>
      <c r="GK10" s="47">
        <f t="array" ref="GK10">IF(AND(ISNUMBER(MATCH(GK$2, AsistenciaJetAdminConcatenada!$A:$A, 0)), ISNUMBER(MATCH(GK$1, AsistenciaJetAdminConcatenada!$B:$B, 0)), ISNUMBER(SEARCH($A10,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ISNUMBER(SEARCH($A10, INDEX(AsistenciaJetAdminConcatenada!$D:$D, MATCH(1, (AsistenciaJetAdminConcatenada!$A:$A=GK$2)*(AsistenciaJetAdminConcatenada!$B:$B=GK$1), 0)), 1))),  0.5, 0))</f>
        <v>0</v>
      </c>
      <c r="GL10" s="47">
        <f t="array" ref="GL10">IF(AND(ISNUMBER(MATCH(GL$2, AsistenciaJetAdminConcatenada!$A:$A, 0)), ISNUMBER(MATCH(GL$1, AsistenciaJetAdminConcatenada!$B:$B, 0)), ISNUMBER(SEARCH($A10,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ISNUMBER(SEARCH($A10, INDEX(AsistenciaJetAdminConcatenada!$D:$D, MATCH(1, (AsistenciaJetAdminConcatenada!$A:$A=GL$2)*(AsistenciaJetAdminConcatenada!$B:$B=GL$1), 0)), 1))),  0.5, 0))</f>
        <v>0</v>
      </c>
      <c r="GM10" s="47">
        <f t="array" ref="GM10">IF(AND(ISNUMBER(MATCH(GM$2, AsistenciaJetAdminConcatenada!$A:$A, 0)), ISNUMBER(MATCH(GM$1, AsistenciaJetAdminConcatenada!$B:$B, 0)), ISNUMBER(SEARCH($A10,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ISNUMBER(SEARCH($A10, INDEX(AsistenciaJetAdminConcatenada!$D:$D, MATCH(1, (AsistenciaJetAdminConcatenada!$A:$A=GM$2)*(AsistenciaJetAdminConcatenada!$B:$B=GM$1), 0)), 1))),  0.5, 0))</f>
        <v>0</v>
      </c>
      <c r="GN10" s="47">
        <f t="array" ref="GN10">IF(AND(ISNUMBER(MATCH(GN$2, AsistenciaJetAdminConcatenada!$A:$A, 0)), ISNUMBER(MATCH(GN$1, AsistenciaJetAdminConcatenada!$B:$B, 0)), ISNUMBER(SEARCH($A10,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ISNUMBER(SEARCH($A10, INDEX(AsistenciaJetAdminConcatenada!$D:$D, MATCH(1, (AsistenciaJetAdminConcatenada!$A:$A=GN$2)*(AsistenciaJetAdminConcatenada!$B:$B=GN$1), 0)), 1))),  0.5, 0))</f>
        <v>0</v>
      </c>
      <c r="GO10" s="47">
        <f t="array" ref="GO10">IF(AND(ISNUMBER(MATCH(GO$2, AsistenciaJetAdminConcatenada!$A:$A, 0)), ISNUMBER(MATCH(GO$1, AsistenciaJetAdminConcatenada!$B:$B, 0)), ISNUMBER(SEARCH($A10,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ISNUMBER(SEARCH($A10, INDEX(AsistenciaJetAdminConcatenada!$D:$D, MATCH(1, (AsistenciaJetAdminConcatenada!$A:$A=GO$2)*(AsistenciaJetAdminConcatenada!$B:$B=GO$1), 0)), 1))),  0.5, 0))</f>
        <v>0</v>
      </c>
      <c r="GP10" s="47">
        <f t="array" ref="GP10">IF(AND(ISNUMBER(MATCH(GP$2, AsistenciaJetAdminConcatenada!$A:$A, 0)), ISNUMBER(MATCH(GP$1, AsistenciaJetAdminConcatenada!$B:$B, 0)), ISNUMBER(SEARCH($A10,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ISNUMBER(SEARCH($A10, INDEX(AsistenciaJetAdminConcatenada!$D:$D, MATCH(1, (AsistenciaJetAdminConcatenada!$A:$A=GP$2)*(AsistenciaJetAdminConcatenada!$B:$B=GP$1), 0)), 1))),  0.5, 0))</f>
        <v>0</v>
      </c>
      <c r="GQ10" s="47">
        <f t="array" ref="GQ10">IF(AND(ISNUMBER(MATCH(GQ$2, AsistenciaJetAdminConcatenada!$A:$A, 0)), ISNUMBER(MATCH(GQ$1, AsistenciaJetAdminConcatenada!$B:$B, 0)), ISNUMBER(SEARCH($A10,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ISNUMBER(SEARCH($A10, INDEX(AsistenciaJetAdminConcatenada!$D:$D, MATCH(1, (AsistenciaJetAdminConcatenada!$A:$A=GQ$2)*(AsistenciaJetAdminConcatenada!$B:$B=GQ$1), 0)), 1))),  0.5, 0))</f>
        <v>0</v>
      </c>
      <c r="GR10" s="47">
        <f t="array" ref="GR10">IF(AND(ISNUMBER(MATCH(GR$2, AsistenciaJetAdminConcatenada!$A:$A, 0)), ISNUMBER(MATCH(GR$1, AsistenciaJetAdminConcatenada!$B:$B, 0)), ISNUMBER(SEARCH($A10,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ISNUMBER(SEARCH($A10, INDEX(AsistenciaJetAdminConcatenada!$D:$D, MATCH(1, (AsistenciaJetAdminConcatenada!$A:$A=GR$2)*(AsistenciaJetAdminConcatenada!$B:$B=GR$1), 0)), 1))),  0.5, 0))</f>
        <v>0</v>
      </c>
      <c r="GS10" s="47">
        <f t="array" ref="GS10">IF(AND(ISNUMBER(MATCH(GS$2, AsistenciaJetAdminConcatenada!$A:$A, 0)), ISNUMBER(MATCH(GS$1, AsistenciaJetAdminConcatenada!$B:$B, 0)), ISNUMBER(SEARCH($A10,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ISNUMBER(SEARCH($A10, INDEX(AsistenciaJetAdminConcatenada!$D:$D, MATCH(1, (AsistenciaJetAdminConcatenada!$A:$A=GS$2)*(AsistenciaJetAdminConcatenada!$B:$B=GS$1), 0)), 1))),  0.5, 0))</f>
        <v>0</v>
      </c>
      <c r="GT10" s="47">
        <f t="array" ref="GT10">IF(AND(ISNUMBER(MATCH(GT$2, AsistenciaJetAdminConcatenada!$A:$A, 0)), ISNUMBER(MATCH(GT$1, AsistenciaJetAdminConcatenada!$B:$B, 0)), ISNUMBER(SEARCH($A10,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ISNUMBER(SEARCH($A10, INDEX(AsistenciaJetAdminConcatenada!$D:$D, MATCH(1, (AsistenciaJetAdminConcatenada!$A:$A=GT$2)*(AsistenciaJetAdminConcatenada!$B:$B=GT$1), 0)), 1))),  0.5, 0))</f>
        <v>0</v>
      </c>
      <c r="GU10" s="47">
        <f t="array" ref="GU10">IF(AND(ISNUMBER(MATCH(GU$2, AsistenciaJetAdminConcatenada!$A:$A, 0)), ISNUMBER(MATCH(GU$1, AsistenciaJetAdminConcatenada!$B:$B, 0)), ISNUMBER(SEARCH($A10,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ISNUMBER(SEARCH($A10, INDEX(AsistenciaJetAdminConcatenada!$D:$D, MATCH(1, (AsistenciaJetAdminConcatenada!$A:$A=GU$2)*(AsistenciaJetAdminConcatenada!$B:$B=GU$1), 0)), 1))),  0.5, 0))</f>
        <v>0</v>
      </c>
      <c r="GV10" s="47">
        <f t="array" ref="GV10">IF(AND(ISNUMBER(MATCH(GV$2, AsistenciaJetAdminConcatenada!$A:$A, 0)), ISNUMBER(MATCH(GV$1, AsistenciaJetAdminConcatenada!$B:$B, 0)), ISNUMBER(SEARCH($A10,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ISNUMBER(SEARCH($A10, INDEX(AsistenciaJetAdminConcatenada!$D:$D, MATCH(1, (AsistenciaJetAdminConcatenada!$A:$A=GV$2)*(AsistenciaJetAdminConcatenada!$B:$B=GV$1), 0)), 1))),  0.5, 0))</f>
        <v>0</v>
      </c>
      <c r="GW10" s="47">
        <f t="array" ref="GW10">IF(AND(ISNUMBER(MATCH(GW$2, AsistenciaJetAdminConcatenada!$A:$A, 0)), ISNUMBER(MATCH(GW$1, AsistenciaJetAdminConcatenada!$B:$B, 0)), ISNUMBER(SEARCH($A10,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ISNUMBER(SEARCH($A10, INDEX(AsistenciaJetAdminConcatenada!$D:$D, MATCH(1, (AsistenciaJetAdminConcatenada!$A:$A=GW$2)*(AsistenciaJetAdminConcatenada!$B:$B=GW$1), 0)), 1))),  0.5, 0))</f>
        <v>0</v>
      </c>
      <c r="GX10" s="47">
        <f t="array" ref="GX10">IF(AND(ISNUMBER(MATCH(GX$2, AsistenciaJetAdminConcatenada!$A:$A, 0)), ISNUMBER(MATCH(GX$1, AsistenciaJetAdminConcatenada!$B:$B, 0)), ISNUMBER(SEARCH($A10,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ISNUMBER(SEARCH($A10, INDEX(AsistenciaJetAdminConcatenada!$D:$D, MATCH(1, (AsistenciaJetAdminConcatenada!$A:$A=GX$2)*(AsistenciaJetAdminConcatenada!$B:$B=GX$1), 0)), 1))),  0.5, 0))</f>
        <v>0</v>
      </c>
      <c r="GY10" s="47">
        <f t="array" ref="GY10">IF(AND(ISNUMBER(MATCH(GY$2, AsistenciaJetAdminConcatenada!$A:$A, 0)), ISNUMBER(MATCH(GY$1, AsistenciaJetAdminConcatenada!$B:$B, 0)), ISNUMBER(SEARCH($A10,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ISNUMBER(SEARCH($A10, INDEX(AsistenciaJetAdminConcatenada!$D:$D, MATCH(1, (AsistenciaJetAdminConcatenada!$A:$A=GY$2)*(AsistenciaJetAdminConcatenada!$B:$B=GY$1), 0)), 1))),  0.5, 0))</f>
        <v>0</v>
      </c>
      <c r="GZ10" s="47">
        <f t="array" ref="GZ10">IF(AND(ISNUMBER(MATCH(GZ$2, AsistenciaJetAdminConcatenada!$A:$A, 0)), ISNUMBER(MATCH(GZ$1, AsistenciaJetAdminConcatenada!$B:$B, 0)), ISNUMBER(SEARCH($A10,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ISNUMBER(SEARCH($A10, INDEX(AsistenciaJetAdminConcatenada!$D:$D, MATCH(1, (AsistenciaJetAdminConcatenada!$A:$A=GZ$2)*(AsistenciaJetAdminConcatenada!$B:$B=GZ$1), 0)), 1))),  0.5, 0))</f>
        <v>0</v>
      </c>
      <c r="HA10" s="47">
        <f t="array" ref="HA10">IF(AND(ISNUMBER(MATCH(HA$2, AsistenciaJetAdminConcatenada!$A:$A, 0)), ISNUMBER(MATCH(HA$1, AsistenciaJetAdminConcatenada!$B:$B, 0)), ISNUMBER(SEARCH($A10,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ISNUMBER(SEARCH($A10, INDEX(AsistenciaJetAdminConcatenada!$D:$D, MATCH(1, (AsistenciaJetAdminConcatenada!$A:$A=HA$2)*(AsistenciaJetAdminConcatenada!$B:$B=HA$1), 0)), 1))),  0.5, 0))</f>
        <v>0</v>
      </c>
      <c r="HB10" s="47">
        <f t="array" ref="HB10">IF(AND(ISNUMBER(MATCH(HB$2, AsistenciaJetAdminConcatenada!$A:$A, 0)), ISNUMBER(MATCH(HB$1, AsistenciaJetAdminConcatenada!$B:$B, 0)), ISNUMBER(SEARCH($A10,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ISNUMBER(SEARCH($A10, INDEX(AsistenciaJetAdminConcatenada!$D:$D, MATCH(1, (AsistenciaJetAdminConcatenada!$A:$A=HB$2)*(AsistenciaJetAdminConcatenada!$B:$B=HB$1), 0)), 1))),  0.5, 0))</f>
        <v>0</v>
      </c>
      <c r="HC10" s="47">
        <f t="array" ref="HC10">IF(AND(ISNUMBER(MATCH(HC$2, AsistenciaJetAdminConcatenada!$A:$A, 0)), ISNUMBER(MATCH(HC$1, AsistenciaJetAdminConcatenada!$B:$B, 0)), ISNUMBER(SEARCH($A10,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ISNUMBER(SEARCH($A10, INDEX(AsistenciaJetAdminConcatenada!$D:$D, MATCH(1, (AsistenciaJetAdminConcatenada!$A:$A=HC$2)*(AsistenciaJetAdminConcatenada!$B:$B=HC$1), 0)), 1))),  0.5, 0))</f>
        <v>0</v>
      </c>
    </row>
    <row r="11" ht="29.25" customHeight="1">
      <c r="A11" s="12">
        <v>135.0</v>
      </c>
      <c r="B11" s="13" t="s">
        <v>643</v>
      </c>
      <c r="C11" s="47">
        <f>SUM(D11:HC11) + ActividadesEspeciales!C11</f>
        <v>58</v>
      </c>
      <c r="D11" s="47">
        <f t="array" ref="D11">IF(AND(ISNUMBER(MATCH(D$2, AsistenciaJetAdminConcatenada!$A:$A, 0)), ISNUMBER(MATCH(D$1, AsistenciaJetAdminConcatenada!$B:$B, 0)), ISNUMBER(SEARCH($A11,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ISNUMBER(SEARCH($A11, INDEX(AsistenciaJetAdminConcatenada!$D:$D, MATCH(1, (AsistenciaJetAdminConcatenada!$A:$A=D$2)*(AsistenciaJetAdminConcatenada!$B:$B=D$1), 0)), 1))),  0.5, 0))</f>
        <v>1</v>
      </c>
      <c r="E11" s="47">
        <f t="array" ref="E11">IF(AND(ISNUMBER(MATCH(E$2, AsistenciaJetAdminConcatenada!$A:$A, 0)), ISNUMBER(MATCH(E$1, AsistenciaJetAdminConcatenada!$B:$B, 0)), ISNUMBER(SEARCH($A11,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ISNUMBER(SEARCH($A11, INDEX(AsistenciaJetAdminConcatenada!$D:$D, MATCH(1, (AsistenciaJetAdminConcatenada!$A:$A=E$2)*(AsistenciaJetAdminConcatenada!$B:$B=E$1), 0)), 1))),  0.5, 0))</f>
        <v>1</v>
      </c>
      <c r="F11" s="47">
        <f t="array" ref="F11">IF(AND(ISNUMBER(MATCH(F$2, AsistenciaJetAdminConcatenada!$A:$A, 0)), ISNUMBER(MATCH(F$1, AsistenciaJetAdminConcatenada!$B:$B, 0)), ISNUMBER(SEARCH($A11,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ISNUMBER(SEARCH($A11, INDEX(AsistenciaJetAdminConcatenada!$D:$D, MATCH(1, (AsistenciaJetAdminConcatenada!$A:$A=F$2)*(AsistenciaJetAdminConcatenada!$B:$B=F$1), 0)), 1))),  0.5, 0))</f>
        <v>1</v>
      </c>
      <c r="G11" s="47">
        <f t="array" ref="G11">IF(AND(ISNUMBER(MATCH(G$2, AsistenciaJetAdminConcatenada!$A:$A, 0)), ISNUMBER(MATCH(G$1, AsistenciaJetAdminConcatenada!$B:$B, 0)), ISNUMBER(SEARCH($A11,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ISNUMBER(SEARCH($A11, INDEX(AsistenciaJetAdminConcatenada!$D:$D, MATCH(1, (AsistenciaJetAdminConcatenada!$A:$A=G$2)*(AsistenciaJetAdminConcatenada!$B:$B=G$1), 0)), 1))),  0.5, 0))</f>
        <v>1</v>
      </c>
      <c r="H11" s="47">
        <f t="array" ref="H11">IF(AND(ISNUMBER(MATCH(H$2, AsistenciaJetAdminConcatenada!$A:$A, 0)), ISNUMBER(MATCH(H$1, AsistenciaJetAdminConcatenada!$B:$B, 0)), ISNUMBER(SEARCH($A11,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ISNUMBER(SEARCH($A11, INDEX(AsistenciaJetAdminConcatenada!$D:$D, MATCH(1, (AsistenciaJetAdminConcatenada!$A:$A=H$2)*(AsistenciaJetAdminConcatenada!$B:$B=H$1), 0)), 1))),  0.5, 0))</f>
        <v>1</v>
      </c>
      <c r="I11" s="47">
        <f t="array" ref="I11">IF(AND(ISNUMBER(MATCH(I$2, AsistenciaJetAdminConcatenada!$A:$A, 0)), ISNUMBER(MATCH(I$1, AsistenciaJetAdminConcatenada!$B:$B, 0)), ISNUMBER(SEARCH($A11,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ISNUMBER(SEARCH($A11, INDEX(AsistenciaJetAdminConcatenada!$D:$D, MATCH(1, (AsistenciaJetAdminConcatenada!$A:$A=I$2)*(AsistenciaJetAdminConcatenada!$B:$B=I$1), 0)), 1))),  0.5, 0))</f>
        <v>1</v>
      </c>
      <c r="J11" s="47">
        <f t="array" ref="J11">IF(AND(ISNUMBER(MATCH(J$2, AsistenciaJetAdminConcatenada!$A:$A, 0)), ISNUMBER(MATCH(J$1, AsistenciaJetAdminConcatenada!$B:$B, 0)), ISNUMBER(SEARCH($A11,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ISNUMBER(SEARCH($A11, INDEX(AsistenciaJetAdminConcatenada!$D:$D, MATCH(1, (AsistenciaJetAdminConcatenada!$A:$A=J$2)*(AsistenciaJetAdminConcatenada!$B:$B=J$1), 0)), 1))),  0.5, 0))</f>
        <v>1</v>
      </c>
      <c r="K11" s="47">
        <f t="array" ref="K11">IF(AND(ISNUMBER(MATCH(K$2, AsistenciaJetAdminConcatenada!$A:$A, 0)), ISNUMBER(MATCH(K$1, AsistenciaJetAdminConcatenada!$B:$B, 0)), ISNUMBER(SEARCH($A11,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ISNUMBER(SEARCH($A11, INDEX(AsistenciaJetAdminConcatenada!$D:$D, MATCH(1, (AsistenciaJetAdminConcatenada!$A:$A=K$2)*(AsistenciaJetAdminConcatenada!$B:$B=K$1), 0)), 1))),  0.5, 0))</f>
        <v>1</v>
      </c>
      <c r="L11" s="47">
        <f t="array" ref="L11">IF(AND(ISNUMBER(MATCH(L$2, AsistenciaJetAdminConcatenada!$A:$A, 0)), ISNUMBER(MATCH(L$1, AsistenciaJetAdminConcatenada!$B:$B, 0)), ISNUMBER(SEARCH($A11,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ISNUMBER(SEARCH($A11, INDEX(AsistenciaJetAdminConcatenada!$D:$D, MATCH(1, (AsistenciaJetAdminConcatenada!$A:$A=L$2)*(AsistenciaJetAdminConcatenada!$B:$B=L$1), 0)), 1))),  0.5, 0))</f>
        <v>1</v>
      </c>
      <c r="M11" s="47">
        <f t="array" ref="M11">IF(AND(ISNUMBER(MATCH(M$2, AsistenciaJetAdminConcatenada!$A:$A, 0)), ISNUMBER(MATCH(M$1, AsistenciaJetAdminConcatenada!$B:$B, 0)), ISNUMBER(SEARCH($A11,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ISNUMBER(SEARCH($A11, INDEX(AsistenciaJetAdminConcatenada!$D:$D, MATCH(1, (AsistenciaJetAdminConcatenada!$A:$A=M$2)*(AsistenciaJetAdminConcatenada!$B:$B=M$1), 0)), 1))),  0.5, 0))</f>
        <v>1</v>
      </c>
      <c r="N11" s="47">
        <f t="array" ref="N11">IF(AND(ISNUMBER(MATCH(N$2, AsistenciaJetAdminConcatenada!$A:$A, 0)), ISNUMBER(MATCH(N$1, AsistenciaJetAdminConcatenada!$B:$B, 0)), ISNUMBER(SEARCH($A11,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ISNUMBER(SEARCH($A11, INDEX(AsistenciaJetAdminConcatenada!$D:$D, MATCH(1, (AsistenciaJetAdminConcatenada!$A:$A=N$2)*(AsistenciaJetAdminConcatenada!$B:$B=N$1), 0)), 1))),  0.5, 0))</f>
        <v>0</v>
      </c>
      <c r="O11" s="47">
        <f t="array" ref="O11">IF(AND(ISNUMBER(MATCH(O$2, AsistenciaJetAdminConcatenada!$A:$A, 0)), ISNUMBER(MATCH(O$1, AsistenciaJetAdminConcatenada!$B:$B, 0)), ISNUMBER(SEARCH($A11,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ISNUMBER(SEARCH($A11, INDEX(AsistenciaJetAdminConcatenada!$D:$D, MATCH(1, (AsistenciaJetAdminConcatenada!$A:$A=O$2)*(AsistenciaJetAdminConcatenada!$B:$B=O$1), 0)), 1))),  0.5, 0))</f>
        <v>0</v>
      </c>
      <c r="P11" s="47">
        <f t="array" ref="P11">IF(AND(ISNUMBER(MATCH(P$2, AsistenciaJetAdminConcatenada!$A:$A, 0)), ISNUMBER(MATCH(P$1, AsistenciaJetAdminConcatenada!$B:$B, 0)), ISNUMBER(SEARCH($A11, INDEX(AsistenciaJetAdminConcatenada!$C:$C, MATCH(1, (AsistenciaJetAdminConcatenada!$A:$A=P$2)*(AsistenciaJetAdminConcatenada!$B:$B=P$1), 0)), 1))), 1, IF(AND(ISNUMBER(MATCH(P$2, AsistenciaJetAdminConcatenada!$A:$A, 0)), ISNUMBER(MATCH(P$1, AsistenciaJetAdminConcatenada!$B:$B, 0)), ISNUMBER(SEARCH($A11, INDEX(AsistenciaJetAdminConcatenada!$D:$D, MATCH(1, (AsistenciaJetAdminConcatenada!$A:$A=P$2)*(AsistenciaJetAdminConcatenada!$B:$B=P$1), 0)), 1))),  0.5, 0))</f>
        <v>1</v>
      </c>
      <c r="Q11" s="47">
        <f t="array" ref="Q11">IF(AND(ISNUMBER(MATCH(Q$2, AsistenciaJetAdminConcatenada!$A:$A, 0)), ISNUMBER(MATCH(Q$1, AsistenciaJetAdminConcatenada!$B:$B, 0)), ISNUMBER(SEARCH($A11, INDEX(AsistenciaJetAdminConcatenada!$C:$C, MATCH(1, (AsistenciaJetAdminConcatenada!$A:$A=Q$2)*(AsistenciaJetAdminConcatenada!$B:$B=Q$1), 0)), 1))), 1, IF(AND(ISNUMBER(MATCH(Q$2, AsistenciaJetAdminConcatenada!$A:$A, 0)), ISNUMBER(MATCH(Q$1, AsistenciaJetAdminConcatenada!$B:$B, 0)), ISNUMBER(SEARCH($A11, INDEX(AsistenciaJetAdminConcatenada!$D:$D, MATCH(1, (AsistenciaJetAdminConcatenada!$A:$A=Q$2)*(AsistenciaJetAdminConcatenada!$B:$B=Q$1), 0)), 1))),  0.5, 0))</f>
        <v>1</v>
      </c>
      <c r="R11" s="47">
        <f t="array" ref="R11">IF(AND(ISNUMBER(MATCH(R$2, AsistenciaJetAdminConcatenada!$A:$A, 0)), ISNUMBER(MATCH(R$1, AsistenciaJetAdminConcatenada!$B:$B, 0)), ISNUMBER(SEARCH($A11,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ISNUMBER(SEARCH($A11, INDEX(AsistenciaJetAdminConcatenada!$D:$D, MATCH(1, (AsistenciaJetAdminConcatenada!$A:$A=R$2)*(AsistenciaJetAdminConcatenada!$B:$B=R$1), 0)), 1))),  0.5, 0))</f>
        <v>0.5</v>
      </c>
      <c r="S11" s="47">
        <f t="array" ref="S11">IF(AND(ISNUMBER(MATCH(S$2, AsistenciaJetAdminConcatenada!$A:$A, 0)), ISNUMBER(MATCH(S$1, AsistenciaJetAdminConcatenada!$B:$B, 0)), ISNUMBER(SEARCH($A11,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ISNUMBER(SEARCH($A11, INDEX(AsistenciaJetAdminConcatenada!$D:$D, MATCH(1, (AsistenciaJetAdminConcatenada!$A:$A=S$2)*(AsistenciaJetAdminConcatenada!$B:$B=S$1), 0)), 1))),  0.5, 0))</f>
        <v>1</v>
      </c>
      <c r="T11" s="47">
        <f t="array" ref="T11">IF(AND(ISNUMBER(MATCH(T$2, AsistenciaJetAdminConcatenada!$A:$A, 0)), ISNUMBER(MATCH(T$1, AsistenciaJetAdminConcatenada!$B:$B, 0)), ISNUMBER(SEARCH($A11,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ISNUMBER(SEARCH($A11, INDEX(AsistenciaJetAdminConcatenada!$D:$D, MATCH(1, (AsistenciaJetAdminConcatenada!$A:$A=T$2)*(AsistenciaJetAdminConcatenada!$B:$B=T$1), 0)), 1))),  0.5, 0))</f>
        <v>1</v>
      </c>
      <c r="U11" s="47">
        <f t="array" ref="U11">IF(AND(ISNUMBER(MATCH(U$2, AsistenciaJetAdminConcatenada!$A:$A, 0)), ISNUMBER(MATCH(U$1, AsistenciaJetAdminConcatenada!$B:$B, 0)), ISNUMBER(SEARCH($A11,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ISNUMBER(SEARCH($A11, INDEX(AsistenciaJetAdminConcatenada!$D:$D, MATCH(1, (AsistenciaJetAdminConcatenada!$A:$A=U$2)*(AsistenciaJetAdminConcatenada!$B:$B=U$1), 0)), 1))),  0.5, 0))</f>
        <v>1</v>
      </c>
      <c r="V11" s="47">
        <f t="array" ref="V11">IF(AND(ISNUMBER(MATCH(V$2, AsistenciaJetAdminConcatenada!$A:$A, 0)), ISNUMBER(MATCH(V$1, AsistenciaJetAdminConcatenada!$B:$B, 0)), ISNUMBER(SEARCH($A11,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ISNUMBER(SEARCH($A11, INDEX(AsistenciaJetAdminConcatenada!$D:$D, MATCH(1, (AsistenciaJetAdminConcatenada!$A:$A=V$2)*(AsistenciaJetAdminConcatenada!$B:$B=V$1), 0)), 1))),  0.5, 0))</f>
        <v>1</v>
      </c>
      <c r="W11" s="47">
        <f t="array" ref="W11">IF(AND(ISNUMBER(MATCH(W$2, AsistenciaJetAdminConcatenada!$A:$A, 0)), ISNUMBER(MATCH(W$1, AsistenciaJetAdminConcatenada!$B:$B, 0)), ISNUMBER(SEARCH($A11,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ISNUMBER(SEARCH($A11, INDEX(AsistenciaJetAdminConcatenada!$D:$D, MATCH(1, (AsistenciaJetAdminConcatenada!$A:$A=W$2)*(AsistenciaJetAdminConcatenada!$B:$B=W$1), 0)), 1))),  0.5, 0))</f>
        <v>0.5</v>
      </c>
      <c r="X11" s="47">
        <f t="array" ref="X11">IF(AND(ISNUMBER(MATCH(X$2, AsistenciaJetAdminConcatenada!$A:$A, 0)), ISNUMBER(MATCH(X$1, AsistenciaJetAdminConcatenada!$B:$B, 0)), ISNUMBER(SEARCH($A11,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ISNUMBER(SEARCH($A11, INDEX(AsistenciaJetAdminConcatenada!$D:$D, MATCH(1, (AsistenciaJetAdminConcatenada!$A:$A=X$2)*(AsistenciaJetAdminConcatenada!$B:$B=X$1), 0)), 1))),  0.5, 0))</f>
        <v>1</v>
      </c>
      <c r="Y11" s="47">
        <f t="array" ref="Y11">IF(AND(ISNUMBER(MATCH(Y$2, AsistenciaJetAdminConcatenada!$A:$A, 0)), ISNUMBER(MATCH(Y$1, AsistenciaJetAdminConcatenada!$B:$B, 0)), ISNUMBER(SEARCH($A11,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ISNUMBER(SEARCH($A11, INDEX(AsistenciaJetAdminConcatenada!$D:$D, MATCH(1, (AsistenciaJetAdminConcatenada!$A:$A=Y$2)*(AsistenciaJetAdminConcatenada!$B:$B=Y$1), 0)), 1))),  0.5, 0))</f>
        <v>1</v>
      </c>
      <c r="Z11" s="47">
        <f t="array" ref="Z11">IF(AND(ISNUMBER(MATCH(Z$2, AsistenciaJetAdminConcatenada!$A:$A, 0)), ISNUMBER(MATCH(Z$1, AsistenciaJetAdminConcatenada!$B:$B, 0)), ISNUMBER(SEARCH($A11,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ISNUMBER(SEARCH($A11, INDEX(AsistenciaJetAdminConcatenada!$D:$D, MATCH(1, (AsistenciaJetAdminConcatenada!$A:$A=Z$2)*(AsistenciaJetAdminConcatenada!$B:$B=Z$1), 0)), 1))),  0.5, 0))</f>
        <v>1</v>
      </c>
      <c r="AA11" s="47">
        <f t="array" ref="AA11">IF(AND(ISNUMBER(MATCH(AA$2, AsistenciaJetAdminConcatenada!$A:$A, 0)), ISNUMBER(MATCH(AA$1, AsistenciaJetAdminConcatenada!$B:$B, 0)), ISNUMBER(SEARCH($A11,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ISNUMBER(SEARCH($A11, INDEX(AsistenciaJetAdminConcatenada!$D:$D, MATCH(1, (AsistenciaJetAdminConcatenada!$A:$A=AA$2)*(AsistenciaJetAdminConcatenada!$B:$B=AA$1), 0)), 1))),  0.5, 0))</f>
        <v>0</v>
      </c>
      <c r="AB11" s="47">
        <f t="array" ref="AB11">IF(AND(ISNUMBER(MATCH(AB$2, AsistenciaJetAdminConcatenada!$A:$A, 0)), ISNUMBER(MATCH(AB$1, AsistenciaJetAdminConcatenada!$B:$B, 0)), ISNUMBER(SEARCH($A11,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ISNUMBER(SEARCH($A11, INDEX(AsistenciaJetAdminConcatenada!$D:$D, MATCH(1, (AsistenciaJetAdminConcatenada!$A:$A=AB$2)*(AsistenciaJetAdminConcatenada!$B:$B=AB$1), 0)), 1))),  0.5, 0))</f>
        <v>1</v>
      </c>
      <c r="AC11" s="47">
        <f t="array" ref="AC11">IF(AND(ISNUMBER(MATCH(AC$2, AsistenciaJetAdminConcatenada!$A:$A, 0)), ISNUMBER(MATCH(AC$1, AsistenciaJetAdminConcatenada!$B:$B, 0)), ISNUMBER(SEARCH($A11,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ISNUMBER(SEARCH($A11, INDEX(AsistenciaJetAdminConcatenada!$D:$D, MATCH(1, (AsistenciaJetAdminConcatenada!$A:$A=AC$2)*(AsistenciaJetAdminConcatenada!$B:$B=AC$1), 0)), 1))),  0.5, 0))</f>
        <v>0</v>
      </c>
      <c r="AD11" s="47">
        <f t="array" ref="AD11">IF(AND(ISNUMBER(MATCH(AD$2, AsistenciaJetAdminConcatenada!$A:$A, 0)), ISNUMBER(MATCH(AD$1, AsistenciaJetAdminConcatenada!$B:$B, 0)), ISNUMBER(SEARCH($A11,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ISNUMBER(SEARCH($A11, INDEX(AsistenciaJetAdminConcatenada!$D:$D, MATCH(1, (AsistenciaJetAdminConcatenada!$A:$A=AD$2)*(AsistenciaJetAdminConcatenada!$B:$B=AD$1), 0)), 1))),  0.5, 0))</f>
        <v>1</v>
      </c>
      <c r="AE11" s="47">
        <f t="array" ref="AE11">IF(AND(ISNUMBER(MATCH(AE$2, AsistenciaJetAdminConcatenada!$A:$A, 0)), ISNUMBER(MATCH(AE$1, AsistenciaJetAdminConcatenada!$B:$B, 0)), ISNUMBER(SEARCH($A11,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ISNUMBER(SEARCH($A11, INDEX(AsistenciaJetAdminConcatenada!$D:$D, MATCH(1, (AsistenciaJetAdminConcatenada!$A:$A=AE$2)*(AsistenciaJetAdminConcatenada!$B:$B=AE$1), 0)), 1))),  0.5, 0))</f>
        <v>0</v>
      </c>
      <c r="AF11" s="47">
        <f t="array" ref="AF11">IF(AND(ISNUMBER(MATCH(AF$2, AsistenciaJetAdminConcatenada!$A:$A, 0)), ISNUMBER(MATCH(AF$1, AsistenciaJetAdminConcatenada!$B:$B, 0)), ISNUMBER(SEARCH($A11,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ISNUMBER(SEARCH($A11, INDEX(AsistenciaJetAdminConcatenada!$D:$D, MATCH(1, (AsistenciaJetAdminConcatenada!$A:$A=AF$2)*(AsistenciaJetAdminConcatenada!$B:$B=AF$1), 0)), 1))),  0.5, 0))</f>
        <v>0</v>
      </c>
      <c r="AG11" s="47">
        <f t="array" ref="AG11">IF(AND(ISNUMBER(MATCH(AG$2, AsistenciaJetAdminConcatenada!$A:$A, 0)), ISNUMBER(MATCH(AG$1, AsistenciaJetAdminConcatenada!$B:$B, 0)), ISNUMBER(SEARCH($A11,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ISNUMBER(SEARCH($A11, INDEX(AsistenciaJetAdminConcatenada!$D:$D, MATCH(1, (AsistenciaJetAdminConcatenada!$A:$A=AG$2)*(AsistenciaJetAdminConcatenada!$B:$B=AG$1), 0)), 1))),  0.5, 0))</f>
        <v>0</v>
      </c>
      <c r="AH11" s="47">
        <f t="array" ref="AH11">IF(AND(ISNUMBER(MATCH(AH$2, AsistenciaJetAdminConcatenada!$A:$A, 0)), ISNUMBER(MATCH(AH$1, AsistenciaJetAdminConcatenada!$B:$B, 0)), ISNUMBER(SEARCH($A11,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ISNUMBER(SEARCH($A11, INDEX(AsistenciaJetAdminConcatenada!$D:$D, MATCH(1, (AsistenciaJetAdminConcatenada!$A:$A=AH$2)*(AsistenciaJetAdminConcatenada!$B:$B=AH$1), 0)), 1))),  0.5, 0))</f>
        <v>0</v>
      </c>
      <c r="AI11" s="47">
        <f t="array" ref="AI11">IF(AND(ISNUMBER(MATCH(AI$2, AsistenciaJetAdminConcatenada!$A:$A, 0)), ISNUMBER(MATCH(AI$1, AsistenciaJetAdminConcatenada!$B:$B, 0)), ISNUMBER(SEARCH($A11,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ISNUMBER(SEARCH($A11, INDEX(AsistenciaJetAdminConcatenada!$D:$D, MATCH(1, (AsistenciaJetAdminConcatenada!$A:$A=AI$2)*(AsistenciaJetAdminConcatenada!$B:$B=AI$1), 0)), 1))),  0.5, 0))</f>
        <v>1</v>
      </c>
      <c r="AJ11" s="47">
        <f t="array" ref="AJ11">IF(AND(ISNUMBER(MATCH(AJ$2, AsistenciaJetAdminConcatenada!$A:$A, 0)), ISNUMBER(MATCH(AJ$1, AsistenciaJetAdminConcatenada!$B:$B, 0)), ISNUMBER(SEARCH($A11,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ISNUMBER(SEARCH($A11, INDEX(AsistenciaJetAdminConcatenada!$D:$D, MATCH(1, (AsistenciaJetAdminConcatenada!$A:$A=AJ$2)*(AsistenciaJetAdminConcatenada!$B:$B=AJ$1), 0)), 1))),  0.5, 0))</f>
        <v>1</v>
      </c>
      <c r="AK11" s="47">
        <f t="array" ref="AK11">IF(AND(ISNUMBER(MATCH(AK$2, AsistenciaJetAdminConcatenada!$A:$A, 0)), ISNUMBER(MATCH(AK$1, AsistenciaJetAdminConcatenada!$B:$B, 0)), ISNUMBER(SEARCH($A11,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ISNUMBER(SEARCH($A11, INDEX(AsistenciaJetAdminConcatenada!$D:$D, MATCH(1, (AsistenciaJetAdminConcatenada!$A:$A=AK$2)*(AsistenciaJetAdminConcatenada!$B:$B=AK$1), 0)), 1))),  0.5, 0))</f>
        <v>1</v>
      </c>
      <c r="AL11" s="47">
        <f t="array" ref="AL11">IF(AND(ISNUMBER(MATCH(AL$2, AsistenciaJetAdminConcatenada!$A:$A, 0)), ISNUMBER(MATCH(AL$1, AsistenciaJetAdminConcatenada!$B:$B, 0)), ISNUMBER(SEARCH($A11,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ISNUMBER(SEARCH($A11, INDEX(AsistenciaJetAdminConcatenada!$D:$D, MATCH(1, (AsistenciaJetAdminConcatenada!$A:$A=AL$2)*(AsistenciaJetAdminConcatenada!$B:$B=AL$1), 0)), 1))),  0.5, 0))</f>
        <v>0</v>
      </c>
      <c r="AM11" s="47">
        <f t="array" ref="AM11">IF(AND(ISNUMBER(MATCH(AM$2, AsistenciaJetAdminConcatenada!$A:$A, 0)), ISNUMBER(MATCH(AM$1, AsistenciaJetAdminConcatenada!$B:$B, 0)), ISNUMBER(SEARCH($A11,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ISNUMBER(SEARCH($A11, INDEX(AsistenciaJetAdminConcatenada!$D:$D, MATCH(1, (AsistenciaJetAdminConcatenada!$A:$A=AM$2)*(AsistenciaJetAdminConcatenada!$B:$B=AM$1), 0)), 1))),  0.5, 0))</f>
        <v>1</v>
      </c>
      <c r="AN11" s="47">
        <f t="array" ref="AN11">IF(AND(ISNUMBER(MATCH(AN$2, AsistenciaJetAdminConcatenada!$A:$A, 0)), ISNUMBER(MATCH(AN$1, AsistenciaJetAdminConcatenada!$B:$B, 0)), ISNUMBER(SEARCH($A11,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ISNUMBER(SEARCH($A11, INDEX(AsistenciaJetAdminConcatenada!$D:$D, MATCH(1, (AsistenciaJetAdminConcatenada!$A:$A=AN$2)*(AsistenciaJetAdminConcatenada!$B:$B=AN$1), 0)), 1))),  0.5, 0))</f>
        <v>0</v>
      </c>
      <c r="AO11" s="47">
        <f t="array" ref="AO11">IF(AND(ISNUMBER(MATCH(AO$2, AsistenciaJetAdminConcatenada!$A:$A, 0)), ISNUMBER(MATCH(AO$1, AsistenciaJetAdminConcatenada!$B:$B, 0)), ISNUMBER(SEARCH($A11,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ISNUMBER(SEARCH($A11, INDEX(AsistenciaJetAdminConcatenada!$D:$D, MATCH(1, (AsistenciaJetAdminConcatenada!$A:$A=AO$2)*(AsistenciaJetAdminConcatenada!$B:$B=AO$1), 0)), 1))),  0.5, 0))</f>
        <v>1</v>
      </c>
      <c r="AP11" s="47">
        <f t="array" ref="AP11">IF(AND(ISNUMBER(MATCH(AP$2, AsistenciaJetAdminConcatenada!$A:$A, 0)), ISNUMBER(MATCH(AP$1, AsistenciaJetAdminConcatenada!$B:$B, 0)), ISNUMBER(SEARCH($A11,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ISNUMBER(SEARCH($A11, INDEX(AsistenciaJetAdminConcatenada!$D:$D, MATCH(1, (AsistenciaJetAdminConcatenada!$A:$A=AP$2)*(AsistenciaJetAdminConcatenada!$B:$B=AP$1), 0)), 1))),  0.5, 0))</f>
        <v>0.5</v>
      </c>
      <c r="AQ11" s="47">
        <f t="array" ref="AQ11">IF(AND(ISNUMBER(MATCH(AQ$2, AsistenciaJetAdminConcatenada!$A:$A, 0)), ISNUMBER(MATCH(AQ$1, AsistenciaJetAdminConcatenada!$B:$B, 0)), ISNUMBER(SEARCH($A11,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ISNUMBER(SEARCH($A11, INDEX(AsistenciaJetAdminConcatenada!$D:$D, MATCH(1, (AsistenciaJetAdminConcatenada!$A:$A=AQ$2)*(AsistenciaJetAdminConcatenada!$B:$B=AQ$1), 0)), 1))),  0.5, 0))</f>
        <v>0</v>
      </c>
      <c r="AR11" s="47">
        <f t="array" ref="AR11">IF(AND(ISNUMBER(MATCH(AR$2, AsistenciaJetAdminConcatenada!$A:$A, 0)), ISNUMBER(MATCH(AR$1, AsistenciaJetAdminConcatenada!$B:$B, 0)), ISNUMBER(SEARCH($A11,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ISNUMBER(SEARCH($A11, INDEX(AsistenciaJetAdminConcatenada!$D:$D, MATCH(1, (AsistenciaJetAdminConcatenada!$A:$A=AR$2)*(AsistenciaJetAdminConcatenada!$B:$B=AR$1), 0)), 1))),  0.5, 0))</f>
        <v>1</v>
      </c>
      <c r="AS11" s="47">
        <f t="array" ref="AS11">IF(AND(ISNUMBER(MATCH(AS$2, AsistenciaJetAdminConcatenada!$A:$A, 0)), ISNUMBER(MATCH(AS$1, AsistenciaJetAdminConcatenada!$B:$B, 0)), ISNUMBER(SEARCH($A11,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ISNUMBER(SEARCH($A11, INDEX(AsistenciaJetAdminConcatenada!$D:$D, MATCH(1, (AsistenciaJetAdminConcatenada!$A:$A=AS$2)*(AsistenciaJetAdminConcatenada!$B:$B=AS$1), 0)), 1))),  0.5, 0))</f>
        <v>0.5</v>
      </c>
      <c r="AT11" s="47">
        <f t="array" ref="AT11">IF(AND(ISNUMBER(MATCH(AT$2, AsistenciaJetAdminConcatenada!$A:$A, 0)), ISNUMBER(MATCH(AT$1, AsistenciaJetAdminConcatenada!$B:$B, 0)), ISNUMBER(SEARCH($A11,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ISNUMBER(SEARCH($A11, INDEX(AsistenciaJetAdminConcatenada!$D:$D, MATCH(1, (AsistenciaJetAdminConcatenada!$A:$A=AT$2)*(AsistenciaJetAdminConcatenada!$B:$B=AT$1), 0)), 1))),  0.5, 0))</f>
        <v>0</v>
      </c>
      <c r="AU11" s="47">
        <f t="array" ref="AU11">IF(AND(ISNUMBER(MATCH(AU$2, AsistenciaJetAdminConcatenada!$A:$A, 0)), ISNUMBER(MATCH(AU$1, AsistenciaJetAdminConcatenada!$B:$B, 0)), ISNUMBER(SEARCH($A11,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ISNUMBER(SEARCH($A11, INDEX(AsistenciaJetAdminConcatenada!$D:$D, MATCH(1, (AsistenciaJetAdminConcatenada!$A:$A=AU$2)*(AsistenciaJetAdminConcatenada!$B:$B=AU$1), 0)), 1))),  0.5, 0))</f>
        <v>1</v>
      </c>
      <c r="AV11" s="47">
        <f t="array" ref="AV11">IF(AND(ISNUMBER(MATCH(AV$2, AsistenciaJetAdminConcatenada!$A:$A, 0)), ISNUMBER(MATCH(AV$1, AsistenciaJetAdminConcatenada!$B:$B, 0)), ISNUMBER(SEARCH($A11,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ISNUMBER(SEARCH($A11, INDEX(AsistenciaJetAdminConcatenada!$D:$D, MATCH(1, (AsistenciaJetAdminConcatenada!$A:$A=AV$2)*(AsistenciaJetAdminConcatenada!$B:$B=AV$1), 0)), 1))),  0.5, 0))</f>
        <v>1</v>
      </c>
      <c r="AW11" s="47">
        <f t="array" ref="AW11">IF(AND(ISNUMBER(MATCH(AW$2, AsistenciaJetAdminConcatenada!$A:$A, 0)), ISNUMBER(MATCH(AW$1, AsistenciaJetAdminConcatenada!$B:$B, 0)), ISNUMBER(SEARCH($A11,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ISNUMBER(SEARCH($A11, INDEX(AsistenciaJetAdminConcatenada!$D:$D, MATCH(1, (AsistenciaJetAdminConcatenada!$A:$A=AW$2)*(AsistenciaJetAdminConcatenada!$B:$B=AW$1), 0)), 1))),  0.5, 0))</f>
        <v>0</v>
      </c>
      <c r="AX11" s="47">
        <f t="array" ref="AX11">IF(AND(ISNUMBER(MATCH(AX$2, AsistenciaJetAdminConcatenada!$A:$A, 0)), ISNUMBER(MATCH(AX$1, AsistenciaJetAdminConcatenada!$B:$B, 0)), ISNUMBER(SEARCH($A11,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ISNUMBER(SEARCH($A11, INDEX(AsistenciaJetAdminConcatenada!$D:$D, MATCH(1, (AsistenciaJetAdminConcatenada!$A:$A=AX$2)*(AsistenciaJetAdminConcatenada!$B:$B=AX$1), 0)), 1))),  0.5, 0))</f>
        <v>1</v>
      </c>
      <c r="AY11" s="47">
        <f t="array" ref="AY11">IF(AND(ISNUMBER(MATCH(AY$2, AsistenciaJetAdminConcatenada!$A:$A, 0)), ISNUMBER(MATCH(AY$1, AsistenciaJetAdminConcatenada!$B:$B, 0)), ISNUMBER(SEARCH($A11,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ISNUMBER(SEARCH($A11, INDEX(AsistenciaJetAdminConcatenada!$D:$D, MATCH(1, (AsistenciaJetAdminConcatenada!$A:$A=AY$2)*(AsistenciaJetAdminConcatenada!$B:$B=AY$1), 0)), 1))),  0.5, 0))</f>
        <v>1</v>
      </c>
      <c r="AZ11" s="47">
        <f t="array" ref="AZ11">IF(AND(ISNUMBER(MATCH(AZ$2, AsistenciaJetAdminConcatenada!$A:$A, 0)), ISNUMBER(MATCH(AZ$1, AsistenciaJetAdminConcatenada!$B:$B, 0)), ISNUMBER(SEARCH($A11,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ISNUMBER(SEARCH($A11, INDEX(AsistenciaJetAdminConcatenada!$D:$D, MATCH(1, (AsistenciaJetAdminConcatenada!$A:$A=AZ$2)*(AsistenciaJetAdminConcatenada!$B:$B=AZ$1), 0)), 1))),  0.5, 0))</f>
        <v>0</v>
      </c>
      <c r="BA11" s="47">
        <f t="array" ref="BA11">IF(AND(ISNUMBER(MATCH(BA$2, AsistenciaJetAdminConcatenada!$A:$A, 0)), ISNUMBER(MATCH(BA$1, AsistenciaJetAdminConcatenada!$B:$B, 0)), ISNUMBER(SEARCH($A11,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ISNUMBER(SEARCH($A11, INDEX(AsistenciaJetAdminConcatenada!$D:$D, MATCH(1, (AsistenciaJetAdminConcatenada!$A:$A=BA$2)*(AsistenciaJetAdminConcatenada!$B:$B=BA$1), 0)), 1))),  0.5, 0))</f>
        <v>0</v>
      </c>
      <c r="BB11" s="47">
        <f t="array" ref="BB11">IF(AND(ISNUMBER(MATCH(BB$2, AsistenciaJetAdminConcatenada!$A:$A, 0)), ISNUMBER(MATCH(BB$1, AsistenciaJetAdminConcatenada!$B:$B, 0)), ISNUMBER(SEARCH($A11,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ISNUMBER(SEARCH($A11, INDEX(AsistenciaJetAdminConcatenada!$D:$D, MATCH(1, (AsistenciaJetAdminConcatenada!$A:$A=BB$2)*(AsistenciaJetAdminConcatenada!$B:$B=BB$1), 0)), 1))),  0.5, 0))</f>
        <v>1</v>
      </c>
      <c r="BC11" s="47">
        <f t="array" ref="BC11">IF(AND(ISNUMBER(MATCH(BC$2, AsistenciaJetAdminConcatenada!$A:$A, 0)), ISNUMBER(MATCH(BC$1, AsistenciaJetAdminConcatenada!$B:$B, 0)), ISNUMBER(SEARCH($A11,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ISNUMBER(SEARCH($A11, INDEX(AsistenciaJetAdminConcatenada!$D:$D, MATCH(1, (AsistenciaJetAdminConcatenada!$A:$A=BC$2)*(AsistenciaJetAdminConcatenada!$B:$B=BC$1), 0)), 1))),  0.5, 0))</f>
        <v>1</v>
      </c>
      <c r="BD11" s="47">
        <f t="array" ref="BD11">IF(AND(ISNUMBER(MATCH(BD$2, AsistenciaJetAdminConcatenada!$A:$A, 0)), ISNUMBER(MATCH(BD$1, AsistenciaJetAdminConcatenada!$B:$B, 0)), ISNUMBER(SEARCH($A11,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ISNUMBER(SEARCH($A11, INDEX(AsistenciaJetAdminConcatenada!$D:$D, MATCH(1, (AsistenciaJetAdminConcatenada!$A:$A=BD$2)*(AsistenciaJetAdminConcatenada!$B:$B=BD$1), 0)), 1))),  0.5, 0))</f>
        <v>0</v>
      </c>
      <c r="BE11" s="47">
        <f t="array" ref="BE11">IF(AND(ISNUMBER(MATCH(BE$2, AsistenciaJetAdminConcatenada!$A:$A, 0)), ISNUMBER(MATCH(BE$1, AsistenciaJetAdminConcatenada!$B:$B, 0)), ISNUMBER(SEARCH($A11,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ISNUMBER(SEARCH($A11, INDEX(AsistenciaJetAdminConcatenada!$D:$D, MATCH(1, (AsistenciaJetAdminConcatenada!$A:$A=BE$2)*(AsistenciaJetAdminConcatenada!$B:$B=BE$1), 0)), 1))),  0.5, 0))</f>
        <v>0</v>
      </c>
      <c r="BF11" s="47">
        <f t="array" ref="BF11">IF(AND(ISNUMBER(MATCH(BF$2, AsistenciaJetAdminConcatenada!$A:$A, 0)), ISNUMBER(MATCH(BF$1, AsistenciaJetAdminConcatenada!$B:$B, 0)), ISNUMBER(SEARCH($A11,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ISNUMBER(SEARCH($A11, INDEX(AsistenciaJetAdminConcatenada!$D:$D, MATCH(1, (AsistenciaJetAdminConcatenada!$A:$A=BF$2)*(AsistenciaJetAdminConcatenada!$B:$B=BF$1), 0)), 1))),  0.5, 0))</f>
        <v>1</v>
      </c>
      <c r="BG11" s="47">
        <f t="array" ref="BG11">IF(AND(ISNUMBER(MATCH(BG$2, AsistenciaJetAdminConcatenada!$A:$A, 0)), ISNUMBER(MATCH(BG$1, AsistenciaJetAdminConcatenada!$B:$B, 0)), ISNUMBER(SEARCH($A11,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ISNUMBER(SEARCH($A11, INDEX(AsistenciaJetAdminConcatenada!$D:$D, MATCH(1, (AsistenciaJetAdminConcatenada!$A:$A=BG$2)*(AsistenciaJetAdminConcatenada!$B:$B=BG$1), 0)), 1))),  0.5, 0))</f>
        <v>0.5</v>
      </c>
      <c r="BH11" s="47">
        <f t="array" ref="BH11">IF(AND(ISNUMBER(MATCH(BH$2, AsistenciaJetAdminConcatenada!$A:$A, 0)), ISNUMBER(MATCH(BH$1, AsistenciaJetAdminConcatenada!$B:$B, 0)), ISNUMBER(SEARCH($A11,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ISNUMBER(SEARCH($A11, INDEX(AsistenciaJetAdminConcatenada!$D:$D, MATCH(1, (AsistenciaJetAdminConcatenada!$A:$A=BH$2)*(AsistenciaJetAdminConcatenada!$B:$B=BH$1), 0)), 1))),  0.5, 0))</f>
        <v>1</v>
      </c>
      <c r="BI11" s="47">
        <f t="array" ref="BI11">IF(AND(ISNUMBER(MATCH(BI$2, AsistenciaJetAdminConcatenada!$A:$A, 0)), ISNUMBER(MATCH(BI$1, AsistenciaJetAdminConcatenada!$B:$B, 0)), ISNUMBER(SEARCH($A11,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ISNUMBER(SEARCH($A11, INDEX(AsistenciaJetAdminConcatenada!$D:$D, MATCH(1, (AsistenciaJetAdminConcatenada!$A:$A=BI$2)*(AsistenciaJetAdminConcatenada!$B:$B=BI$1), 0)), 1))),  0.5, 0))</f>
        <v>1</v>
      </c>
      <c r="BJ11" s="47">
        <f t="array" ref="BJ11">IF(AND(ISNUMBER(MATCH(BJ$2, AsistenciaJetAdminConcatenada!$A:$A, 0)), ISNUMBER(MATCH(BJ$1, AsistenciaJetAdminConcatenada!$B:$B, 0)), ISNUMBER(SEARCH($A11,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ISNUMBER(SEARCH($A11, INDEX(AsistenciaJetAdminConcatenada!$D:$D, MATCH(1, (AsistenciaJetAdminConcatenada!$A:$A=BJ$2)*(AsistenciaJetAdminConcatenada!$B:$B=BJ$1), 0)), 1))),  0.5, 0))</f>
        <v>0</v>
      </c>
      <c r="BK11" s="47">
        <f t="array" ref="BK11">IF(AND(ISNUMBER(MATCH(BK$2, AsistenciaJetAdminConcatenada!$A:$A, 0)), ISNUMBER(MATCH(BK$1, AsistenciaJetAdminConcatenada!$B:$B, 0)), ISNUMBER(SEARCH($A11,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ISNUMBER(SEARCH($A11, INDEX(AsistenciaJetAdminConcatenada!$D:$D, MATCH(1, (AsistenciaJetAdminConcatenada!$A:$A=BK$2)*(AsistenciaJetAdminConcatenada!$B:$B=BK$1), 0)), 1))),  0.5, 0))</f>
        <v>1</v>
      </c>
      <c r="BL11" s="47">
        <f t="array" ref="BL11">IF(AND(ISNUMBER(MATCH(BL$2, AsistenciaJetAdminConcatenada!$A:$A, 0)), ISNUMBER(MATCH(BL$1, AsistenciaJetAdminConcatenada!$B:$B, 0)), ISNUMBER(SEARCH($A11,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ISNUMBER(SEARCH($A11, INDEX(AsistenciaJetAdminConcatenada!$D:$D, MATCH(1, (AsistenciaJetAdminConcatenada!$A:$A=BL$2)*(AsistenciaJetAdminConcatenada!$B:$B=BL$1), 0)), 1))),  0.5, 0))</f>
        <v>1</v>
      </c>
      <c r="BM11" s="47">
        <f t="array" ref="BM11">IF(AND(ISNUMBER(MATCH(BM$2, AsistenciaJetAdminConcatenada!$A:$A, 0)), ISNUMBER(MATCH(BM$1, AsistenciaJetAdminConcatenada!$B:$B, 0)), ISNUMBER(SEARCH($A11,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ISNUMBER(SEARCH($A11, INDEX(AsistenciaJetAdminConcatenada!$D:$D, MATCH(1, (AsistenciaJetAdminConcatenada!$A:$A=BM$2)*(AsistenciaJetAdminConcatenada!$B:$B=BM$1), 0)), 1))),  0.5, 0))</f>
        <v>0</v>
      </c>
      <c r="BN11" s="47">
        <f t="array" ref="BN11">IF(AND(ISNUMBER(MATCH(BN$2, AsistenciaJetAdminConcatenada!$A:$A, 0)), ISNUMBER(MATCH(BN$1, AsistenciaJetAdminConcatenada!$B:$B, 0)), ISNUMBER(SEARCH($A11,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ISNUMBER(SEARCH($A11, INDEX(AsistenciaJetAdminConcatenada!$D:$D, MATCH(1, (AsistenciaJetAdminConcatenada!$A:$A=BN$2)*(AsistenciaJetAdminConcatenada!$B:$B=BN$1), 0)), 1))),  0.5, 0))</f>
        <v>0</v>
      </c>
      <c r="BO11" s="47">
        <f t="array" ref="BO11">IF(AND(ISNUMBER(MATCH(BO$2, AsistenciaJetAdminConcatenada!$A:$A, 0)), ISNUMBER(MATCH(BO$1, AsistenciaJetAdminConcatenada!$B:$B, 0)), ISNUMBER(SEARCH($A11,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ISNUMBER(SEARCH($A11, INDEX(AsistenciaJetAdminConcatenada!$D:$D, MATCH(1, (AsistenciaJetAdminConcatenada!$A:$A=BO$2)*(AsistenciaJetAdminConcatenada!$B:$B=BO$1), 0)), 1))),  0.5, 0))</f>
        <v>0</v>
      </c>
      <c r="BP11" s="47">
        <f t="array" ref="BP11">IF(AND(ISNUMBER(MATCH(BP$2, AsistenciaJetAdminConcatenada!$A:$A, 0)), ISNUMBER(MATCH(BP$1, AsistenciaJetAdminConcatenada!$B:$B, 0)), ISNUMBER(SEARCH($A11,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ISNUMBER(SEARCH($A11, INDEX(AsistenciaJetAdminConcatenada!$D:$D, MATCH(1, (AsistenciaJetAdminConcatenada!$A:$A=BP$2)*(AsistenciaJetAdminConcatenada!$B:$B=BP$1), 0)), 1))),  0.5, 0))</f>
        <v>0</v>
      </c>
      <c r="BQ11" s="47">
        <f t="array" ref="BQ11">IF(AND(ISNUMBER(MATCH(BQ$2, AsistenciaJetAdminConcatenada!$A:$A, 0)), ISNUMBER(MATCH(BQ$1, AsistenciaJetAdminConcatenada!$B:$B, 0)), ISNUMBER(SEARCH($A11,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ISNUMBER(SEARCH($A11, INDEX(AsistenciaJetAdminConcatenada!$D:$D, MATCH(1, (AsistenciaJetAdminConcatenada!$A:$A=BQ$2)*(AsistenciaJetAdminConcatenada!$B:$B=BQ$1), 0)), 1))),  0.5, 0))</f>
        <v>0</v>
      </c>
      <c r="BR11" s="47">
        <f t="array" ref="BR11">IF(AND(ISNUMBER(MATCH(BR$2, AsistenciaJetAdminConcatenada!$A:$A, 0)), ISNUMBER(MATCH(BR$1, AsistenciaJetAdminConcatenada!$B:$B, 0)), ISNUMBER(SEARCH($A11,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ISNUMBER(SEARCH($A11, INDEX(AsistenciaJetAdminConcatenada!$D:$D, MATCH(1, (AsistenciaJetAdminConcatenada!$A:$A=BR$2)*(AsistenciaJetAdminConcatenada!$B:$B=BR$1), 0)), 1))),  0.5, 0))</f>
        <v>0</v>
      </c>
      <c r="BS11" s="47">
        <f t="array" ref="BS11">IF(AND(ISNUMBER(MATCH(BS$2, AsistenciaJetAdminConcatenada!$A:$A, 0)), ISNUMBER(MATCH(BS$1, AsistenciaJetAdminConcatenada!$B:$B, 0)), ISNUMBER(SEARCH($A11,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ISNUMBER(SEARCH($A11, INDEX(AsistenciaJetAdminConcatenada!$D:$D, MATCH(1, (AsistenciaJetAdminConcatenada!$A:$A=BS$2)*(AsistenciaJetAdminConcatenada!$B:$B=BS$1), 0)), 1))),  0.5, 0))</f>
        <v>1</v>
      </c>
      <c r="BT11" s="47">
        <f t="array" ref="BT11">IF(AND(ISNUMBER(MATCH(BT$2, AsistenciaJetAdminConcatenada!$A:$A, 0)), ISNUMBER(MATCH(BT$1, AsistenciaJetAdminConcatenada!$B:$B, 0)), ISNUMBER(SEARCH($A11,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ISNUMBER(SEARCH($A11, INDEX(AsistenciaJetAdminConcatenada!$D:$D, MATCH(1, (AsistenciaJetAdminConcatenada!$A:$A=BT$2)*(AsistenciaJetAdminConcatenada!$B:$B=BT$1), 0)), 1))),  0.5, 0))</f>
        <v>1</v>
      </c>
      <c r="BU11" s="47">
        <f t="array" ref="BU11">IF(AND(ISNUMBER(MATCH(BU$2, AsistenciaJetAdminConcatenada!$A:$A, 0)), ISNUMBER(MATCH(BU$1, AsistenciaJetAdminConcatenada!$B:$B, 0)), ISNUMBER(SEARCH($A11,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ISNUMBER(SEARCH($A11, INDEX(AsistenciaJetAdminConcatenada!$D:$D, MATCH(1, (AsistenciaJetAdminConcatenada!$A:$A=BU$2)*(AsistenciaJetAdminConcatenada!$B:$B=BU$1), 0)), 1))),  0.5, 0))</f>
        <v>1</v>
      </c>
      <c r="BV11" s="47">
        <f t="array" ref="BV11">IF(AND(ISNUMBER(MATCH(BV$2, AsistenciaJetAdminConcatenada!$A:$A, 0)), ISNUMBER(MATCH(BV$1, AsistenciaJetAdminConcatenada!$B:$B, 0)), ISNUMBER(SEARCH($A11,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ISNUMBER(SEARCH($A11, INDEX(AsistenciaJetAdminConcatenada!$D:$D, MATCH(1, (AsistenciaJetAdminConcatenada!$A:$A=BV$2)*(AsistenciaJetAdminConcatenada!$B:$B=BV$1), 0)), 1))),  0.5, 0))</f>
        <v>0</v>
      </c>
      <c r="BW11" s="47">
        <f t="array" ref="BW11">IF(AND(ISNUMBER(MATCH(BW$2, AsistenciaJetAdminConcatenada!$A:$A, 0)), ISNUMBER(MATCH(BW$1, AsistenciaJetAdminConcatenada!$B:$B, 0)), ISNUMBER(SEARCH($A11,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ISNUMBER(SEARCH($A11, INDEX(AsistenciaJetAdminConcatenada!$D:$D, MATCH(1, (AsistenciaJetAdminConcatenada!$A:$A=BW$2)*(AsistenciaJetAdminConcatenada!$B:$B=BW$1), 0)), 1))),  0.5, 0))</f>
        <v>1</v>
      </c>
      <c r="BX11" s="47">
        <f t="array" ref="BX11">IF(AND(ISNUMBER(MATCH(BX$2, AsistenciaJetAdminConcatenada!$A:$A, 0)), ISNUMBER(MATCH(BX$1, AsistenciaJetAdminConcatenada!$B:$B, 0)), ISNUMBER(SEARCH($A11,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ISNUMBER(SEARCH($A11, INDEX(AsistenciaJetAdminConcatenada!$D:$D, MATCH(1, (AsistenciaJetAdminConcatenada!$A:$A=BX$2)*(AsistenciaJetAdminConcatenada!$B:$B=BX$1), 0)), 1))),  0.5, 0))</f>
        <v>0</v>
      </c>
      <c r="BY11" s="47">
        <f t="array" ref="BY11">IF(AND(ISNUMBER(MATCH(BY$2, AsistenciaJetAdminConcatenada!$A:$A, 0)), ISNUMBER(MATCH(BY$1, AsistenciaJetAdminConcatenada!$B:$B, 0)), ISNUMBER(SEARCH($A11,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ISNUMBER(SEARCH($A11, INDEX(AsistenciaJetAdminConcatenada!$D:$D, MATCH(1, (AsistenciaJetAdminConcatenada!$A:$A=BY$2)*(AsistenciaJetAdminConcatenada!$B:$B=BY$1), 0)), 1))),  0.5, 0))</f>
        <v>0</v>
      </c>
      <c r="BZ11" s="47">
        <f t="array" ref="BZ11">IF(AND(ISNUMBER(MATCH(BZ$2, AsistenciaJetAdminConcatenada!$A:$A, 0)), ISNUMBER(MATCH(BZ$1, AsistenciaJetAdminConcatenada!$B:$B, 0)), ISNUMBER(SEARCH($A11,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ISNUMBER(SEARCH($A11, INDEX(AsistenciaJetAdminConcatenada!$D:$D, MATCH(1, (AsistenciaJetAdminConcatenada!$A:$A=BZ$2)*(AsistenciaJetAdminConcatenada!$B:$B=BZ$1), 0)), 1))),  0.5, 0))</f>
        <v>0</v>
      </c>
      <c r="CA11" s="47">
        <f t="array" ref="CA11">IF(AND(ISNUMBER(MATCH(CA$2, AsistenciaJetAdminConcatenada!$A:$A, 0)), ISNUMBER(MATCH(CA$1, AsistenciaJetAdminConcatenada!$B:$B, 0)), ISNUMBER(SEARCH($A11,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ISNUMBER(SEARCH($A11, INDEX(AsistenciaJetAdminConcatenada!$D:$D, MATCH(1, (AsistenciaJetAdminConcatenada!$A:$A=CA$2)*(AsistenciaJetAdminConcatenada!$B:$B=CA$1), 0)), 1))),  0.5, 0))</f>
        <v>1</v>
      </c>
      <c r="CB11" s="47">
        <f t="array" ref="CB11">IF(AND(ISNUMBER(MATCH(CB$2, AsistenciaJetAdminConcatenada!$A:$A, 0)), ISNUMBER(MATCH(CB$1, AsistenciaJetAdminConcatenada!$B:$B, 0)), ISNUMBER(SEARCH($A11,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ISNUMBER(SEARCH($A11, INDEX(AsistenciaJetAdminConcatenada!$D:$D, MATCH(1, (AsistenciaJetAdminConcatenada!$A:$A=CB$2)*(AsistenciaJetAdminConcatenada!$B:$B=CB$1), 0)), 1))),  0.5, 0))</f>
        <v>0</v>
      </c>
      <c r="CC11" s="47">
        <f t="array" ref="CC11">IF(AND(ISNUMBER(MATCH(CC$2, AsistenciaJetAdminConcatenada!$A:$A, 0)), ISNUMBER(MATCH(CC$1, AsistenciaJetAdminConcatenada!$B:$B, 0)), ISNUMBER(SEARCH($A11,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ISNUMBER(SEARCH($A11, INDEX(AsistenciaJetAdminConcatenada!$D:$D, MATCH(1, (AsistenciaJetAdminConcatenada!$A:$A=CC$2)*(AsistenciaJetAdminConcatenada!$B:$B=CC$1), 0)), 1))),  0.5, 0))</f>
        <v>0</v>
      </c>
      <c r="CD11" s="47">
        <f t="array" ref="CD11">IF(AND(ISNUMBER(MATCH(CD$2, AsistenciaJetAdminConcatenada!$A:$A, 0)), ISNUMBER(MATCH(CD$1, AsistenciaJetAdminConcatenada!$B:$B, 0)), ISNUMBER(SEARCH($A11,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ISNUMBER(SEARCH($A11, INDEX(AsistenciaJetAdminConcatenada!$D:$D, MATCH(1, (AsistenciaJetAdminConcatenada!$A:$A=CD$2)*(AsistenciaJetAdminConcatenada!$B:$B=CD$1), 0)), 1))),  0.5, 0))</f>
        <v>0</v>
      </c>
      <c r="CE11" s="47">
        <f t="array" ref="CE11">IF(AND(ISNUMBER(MATCH(CE$2, AsistenciaJetAdminConcatenada!$A:$A, 0)), ISNUMBER(MATCH(CE$1, AsistenciaJetAdminConcatenada!$B:$B, 0)), ISNUMBER(SEARCH($A11,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ISNUMBER(SEARCH($A11, INDEX(AsistenciaJetAdminConcatenada!$D:$D, MATCH(1, (AsistenciaJetAdminConcatenada!$A:$A=CE$2)*(AsistenciaJetAdminConcatenada!$B:$B=CE$1), 0)), 1))),  0.5, 0))</f>
        <v>1</v>
      </c>
      <c r="CF11" s="47">
        <f t="array" ref="CF11">IF(AND(ISNUMBER(MATCH(CF$2, AsistenciaJetAdminConcatenada!$A:$A, 0)), ISNUMBER(MATCH(CF$1, AsistenciaJetAdminConcatenada!$B:$B, 0)), ISNUMBER(SEARCH($A11,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ISNUMBER(SEARCH($A11, INDEX(AsistenciaJetAdminConcatenada!$D:$D, MATCH(1, (AsistenciaJetAdminConcatenada!$A:$A=CF$2)*(AsistenciaJetAdminConcatenada!$B:$B=CF$1), 0)), 1))),  0.5, 0))</f>
        <v>0.5</v>
      </c>
      <c r="CG11" s="47">
        <f t="array" ref="CG11">IF(AND(ISNUMBER(MATCH(CG$2, AsistenciaJetAdminConcatenada!$A:$A, 0)), ISNUMBER(MATCH(CG$1, AsistenciaJetAdminConcatenada!$B:$B, 0)), ISNUMBER(SEARCH($A11,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ISNUMBER(SEARCH($A11, INDEX(AsistenciaJetAdminConcatenada!$D:$D, MATCH(1, (AsistenciaJetAdminConcatenada!$A:$A=CG$2)*(AsistenciaJetAdminConcatenada!$B:$B=CG$1), 0)), 1))),  0.5, 0))</f>
        <v>0</v>
      </c>
      <c r="CH11" s="47">
        <f t="array" ref="CH11">IF(AND(ISNUMBER(MATCH(CH$2, AsistenciaJetAdminConcatenada!$A:$A, 0)), ISNUMBER(MATCH(CH$1, AsistenciaJetAdminConcatenada!$B:$B, 0)), ISNUMBER(SEARCH($A11,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ISNUMBER(SEARCH($A11, INDEX(AsistenciaJetAdminConcatenada!$D:$D, MATCH(1, (AsistenciaJetAdminConcatenada!$A:$A=CH$2)*(AsistenciaJetAdminConcatenada!$B:$B=CH$1), 0)), 1))),  0.5, 0))</f>
        <v>1</v>
      </c>
      <c r="CI11" s="47">
        <f t="array" ref="CI11">IF(AND(ISNUMBER(MATCH(CI$2, AsistenciaJetAdminConcatenada!$A:$A, 0)), ISNUMBER(MATCH(CI$1, AsistenciaJetAdminConcatenada!$B:$B, 0)), ISNUMBER(SEARCH($A11,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ISNUMBER(SEARCH($A11, INDEX(AsistenciaJetAdminConcatenada!$D:$D, MATCH(1, (AsistenciaJetAdminConcatenada!$A:$A=CI$2)*(AsistenciaJetAdminConcatenada!$B:$B=CI$1), 0)), 1))),  0.5, 0))</f>
        <v>1</v>
      </c>
      <c r="CJ11" s="47">
        <f t="array" ref="CJ11">IF(AND(ISNUMBER(MATCH(CJ$2, AsistenciaJetAdminConcatenada!$A:$A, 0)), ISNUMBER(MATCH(CJ$1, AsistenciaJetAdminConcatenada!$B:$B, 0)), ISNUMBER(SEARCH($A11,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ISNUMBER(SEARCH($A11, INDEX(AsistenciaJetAdminConcatenada!$D:$D, MATCH(1, (AsistenciaJetAdminConcatenada!$A:$A=CJ$2)*(AsistenciaJetAdminConcatenada!$B:$B=CJ$1), 0)), 1))),  0.5, 0))</f>
        <v>1</v>
      </c>
      <c r="CK11" s="47">
        <f t="array" ref="CK11">IF(AND(ISNUMBER(MATCH(CK$2, AsistenciaJetAdminConcatenada!$A:$A, 0)), ISNUMBER(MATCH(CK$1, AsistenciaJetAdminConcatenada!$B:$B, 0)), ISNUMBER(SEARCH($A11,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ISNUMBER(SEARCH($A11, INDEX(AsistenciaJetAdminConcatenada!$D:$D, MATCH(1, (AsistenciaJetAdminConcatenada!$A:$A=CK$2)*(AsistenciaJetAdminConcatenada!$B:$B=CK$1), 0)), 1))),  0.5, 0))</f>
        <v>0</v>
      </c>
      <c r="CL11" s="47">
        <f t="array" ref="CL11">IF(AND(ISNUMBER(MATCH(CL$2, AsistenciaJetAdminConcatenada!$A:$A, 0)), ISNUMBER(MATCH(CL$1, AsistenciaJetAdminConcatenada!$B:$B, 0)), ISNUMBER(SEARCH($A11,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ISNUMBER(SEARCH($A11, INDEX(AsistenciaJetAdminConcatenada!$D:$D, MATCH(1, (AsistenciaJetAdminConcatenada!$A:$A=CL$2)*(AsistenciaJetAdminConcatenada!$B:$B=CL$1), 0)), 1))),  0.5, 0))</f>
        <v>1</v>
      </c>
      <c r="CM11" s="47">
        <f t="array" ref="CM11">IF(AND(ISNUMBER(MATCH(CM$2, AsistenciaJetAdminConcatenada!$A:$A, 0)), ISNUMBER(MATCH(CM$1, AsistenciaJetAdminConcatenada!$B:$B, 0)), ISNUMBER(SEARCH($A11,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ISNUMBER(SEARCH($A11, INDEX(AsistenciaJetAdminConcatenada!$D:$D, MATCH(1, (AsistenciaJetAdminConcatenada!$A:$A=CM$2)*(AsistenciaJetAdminConcatenada!$B:$B=CM$1), 0)), 1))),  0.5, 0))</f>
        <v>1</v>
      </c>
      <c r="CN11" s="47">
        <f t="array" ref="CN11">IF(AND(ISNUMBER(MATCH(CN$2, AsistenciaJetAdminConcatenada!$A:$A, 0)), ISNUMBER(MATCH(CN$1, AsistenciaJetAdminConcatenada!$B:$B, 0)), ISNUMBER(SEARCH($A11,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ISNUMBER(SEARCH($A11, INDEX(AsistenciaJetAdminConcatenada!$D:$D, MATCH(1, (AsistenciaJetAdminConcatenada!$A:$A=CN$2)*(AsistenciaJetAdminConcatenada!$B:$B=CN$1), 0)), 1))),  0.5, 0))</f>
        <v>0</v>
      </c>
      <c r="CO11" s="47">
        <f t="array" ref="CO11">IF(AND(ISNUMBER(MATCH(CO$2, AsistenciaJetAdminConcatenada!$A:$A, 0)), ISNUMBER(MATCH(CO$1, AsistenciaJetAdminConcatenada!$B:$B, 0)), ISNUMBER(SEARCH($A11,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ISNUMBER(SEARCH($A11, INDEX(AsistenciaJetAdminConcatenada!$D:$D, MATCH(1, (AsistenciaJetAdminConcatenada!$A:$A=CO$2)*(AsistenciaJetAdminConcatenada!$B:$B=CO$1), 0)), 1))),  0.5, 0))</f>
        <v>0</v>
      </c>
      <c r="CP11" s="47">
        <f t="array" ref="CP11">IF(AND(ISNUMBER(MATCH(CP$2, AsistenciaJetAdminConcatenada!$A:$A, 0)), ISNUMBER(MATCH(CP$1, AsistenciaJetAdminConcatenada!$B:$B, 0)), ISNUMBER(SEARCH($A11,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ISNUMBER(SEARCH($A11, INDEX(AsistenciaJetAdminConcatenada!$D:$D, MATCH(1, (AsistenciaJetAdminConcatenada!$A:$A=CP$2)*(AsistenciaJetAdminConcatenada!$B:$B=CP$1), 0)), 1))),  0.5, 0))</f>
        <v>1</v>
      </c>
      <c r="CQ11" s="47">
        <f t="array" ref="CQ11">IF(AND(ISNUMBER(MATCH(CQ$2, AsistenciaJetAdminConcatenada!$A:$A, 0)), ISNUMBER(MATCH(CQ$1, AsistenciaJetAdminConcatenada!$B:$B, 0)), ISNUMBER(SEARCH($A11,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ISNUMBER(SEARCH($A11, INDEX(AsistenciaJetAdminConcatenada!$D:$D, MATCH(1, (AsistenciaJetAdminConcatenada!$A:$A=CQ$2)*(AsistenciaJetAdminConcatenada!$B:$B=CQ$1), 0)), 1))),  0.5, 0))</f>
        <v>1</v>
      </c>
      <c r="CR11" s="47">
        <f t="array" ref="CR11">IF(AND(ISNUMBER(MATCH(CR$2, AsistenciaJetAdminConcatenada!$A:$A, 0)), ISNUMBER(MATCH(CR$1, AsistenciaJetAdminConcatenada!$B:$B, 0)), ISNUMBER(SEARCH($A11,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ISNUMBER(SEARCH($A11, INDEX(AsistenciaJetAdminConcatenada!$D:$D, MATCH(1, (AsistenciaJetAdminConcatenada!$A:$A=CR$2)*(AsistenciaJetAdminConcatenada!$B:$B=CR$1), 0)), 1))),  0.5, 0))</f>
        <v>1</v>
      </c>
      <c r="CS11" s="47">
        <f t="array" ref="CS11">IF(AND(ISNUMBER(MATCH(CS$2, AsistenciaJetAdminConcatenada!$A:$A, 0)), ISNUMBER(MATCH(CS$1, AsistenciaJetAdminConcatenada!$B:$B, 0)), ISNUMBER(SEARCH($A11,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ISNUMBER(SEARCH($A11, INDEX(AsistenciaJetAdminConcatenada!$D:$D, MATCH(1, (AsistenciaJetAdminConcatenada!$A:$A=CS$2)*(AsistenciaJetAdminConcatenada!$B:$B=CS$1), 0)), 1))),  0.5, 0))</f>
        <v>0</v>
      </c>
      <c r="CT11" s="47">
        <f t="array" ref="CT11">IF(AND(ISNUMBER(MATCH(CT$2, AsistenciaJetAdminConcatenada!$A:$A, 0)), ISNUMBER(MATCH(CT$1, AsistenciaJetAdminConcatenada!$B:$B, 0)), ISNUMBER(SEARCH($A11,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ISNUMBER(SEARCH($A11, INDEX(AsistenciaJetAdminConcatenada!$D:$D, MATCH(1, (AsistenciaJetAdminConcatenada!$A:$A=CT$2)*(AsistenciaJetAdminConcatenada!$B:$B=CT$1), 0)), 1))),  0.5, 0))</f>
        <v>0</v>
      </c>
      <c r="CU11" s="47">
        <f t="array" ref="CU11">IF(AND(ISNUMBER(MATCH(CU$2, AsistenciaJetAdminConcatenada!$A:$A, 0)), ISNUMBER(MATCH(CU$1, AsistenciaJetAdminConcatenada!$B:$B, 0)), ISNUMBER(SEARCH($A11,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ISNUMBER(SEARCH($A11, INDEX(AsistenciaJetAdminConcatenada!$D:$D, MATCH(1, (AsistenciaJetAdminConcatenada!$A:$A=CU$2)*(AsistenciaJetAdminConcatenada!$B:$B=CU$1), 0)), 1))),  0.5, 0))</f>
        <v>0</v>
      </c>
      <c r="CV11" s="47">
        <f t="array" ref="CV11">IF(AND(ISNUMBER(MATCH(CV$2, AsistenciaJetAdminConcatenada!$A:$A, 0)), ISNUMBER(MATCH(CV$1, AsistenciaJetAdminConcatenada!$B:$B, 0)), ISNUMBER(SEARCH($A11,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ISNUMBER(SEARCH($A11, INDEX(AsistenciaJetAdminConcatenada!$D:$D, MATCH(1, (AsistenciaJetAdminConcatenada!$A:$A=CV$2)*(AsistenciaJetAdminConcatenada!$B:$B=CV$1), 0)), 1))),  0.5, 0))</f>
        <v>0</v>
      </c>
      <c r="CW11" s="47">
        <f t="array" ref="CW11">IF(AND(ISNUMBER(MATCH(CW$2, AsistenciaJetAdminConcatenada!$A:$A, 0)), ISNUMBER(MATCH(CW$1, AsistenciaJetAdminConcatenada!$B:$B, 0)), ISNUMBER(SEARCH($A11,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ISNUMBER(SEARCH($A11, INDEX(AsistenciaJetAdminConcatenada!$D:$D, MATCH(1, (AsistenciaJetAdminConcatenada!$A:$A=CW$2)*(AsistenciaJetAdminConcatenada!$B:$B=CW$1), 0)), 1))),  0.5, 0))</f>
        <v>0</v>
      </c>
      <c r="CX11" s="47">
        <f t="array" ref="CX11">IF(AND(ISNUMBER(MATCH(CX$2, AsistenciaJetAdminConcatenada!$A:$A, 0)), ISNUMBER(MATCH(CX$1, AsistenciaJetAdminConcatenada!$B:$B, 0)), ISNUMBER(SEARCH($A11,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ISNUMBER(SEARCH($A11, INDEX(AsistenciaJetAdminConcatenada!$D:$D, MATCH(1, (AsistenciaJetAdminConcatenada!$A:$A=CX$2)*(AsistenciaJetAdminConcatenada!$B:$B=CX$1), 0)), 1))),  0.5, 0))</f>
        <v>0</v>
      </c>
      <c r="CY11" s="47">
        <f t="array" ref="CY11">IF(AND(ISNUMBER(MATCH(CY$2, AsistenciaJetAdminConcatenada!$A:$A, 0)), ISNUMBER(MATCH(CY$1, AsistenciaJetAdminConcatenada!$B:$B, 0)), ISNUMBER(SEARCH($A11,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ISNUMBER(SEARCH($A11, INDEX(AsistenciaJetAdminConcatenada!$D:$D, MATCH(1, (AsistenciaJetAdminConcatenada!$A:$A=CY$2)*(AsistenciaJetAdminConcatenada!$B:$B=CY$1), 0)), 1))),  0.5, 0))</f>
        <v>0</v>
      </c>
      <c r="CZ11" s="47">
        <f t="array" ref="CZ11">IF(AND(ISNUMBER(MATCH(CZ$2, AsistenciaJetAdminConcatenada!$A:$A, 0)), ISNUMBER(MATCH(CZ$1, AsistenciaJetAdminConcatenada!$B:$B, 0)), ISNUMBER(SEARCH($A11,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ISNUMBER(SEARCH($A11, INDEX(AsistenciaJetAdminConcatenada!$D:$D, MATCH(1, (AsistenciaJetAdminConcatenada!$A:$A=CZ$2)*(AsistenciaJetAdminConcatenada!$B:$B=CZ$1), 0)), 1))),  0.5, 0))</f>
        <v>0</v>
      </c>
      <c r="DA11" s="47">
        <f t="array" ref="DA11">IF(AND(ISNUMBER(MATCH(DA$2, AsistenciaJetAdminConcatenada!$A:$A, 0)), ISNUMBER(MATCH(DA$1, AsistenciaJetAdminConcatenada!$B:$B, 0)), ISNUMBER(SEARCH($A11,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ISNUMBER(SEARCH($A11, INDEX(AsistenciaJetAdminConcatenada!$D:$D, MATCH(1, (AsistenciaJetAdminConcatenada!$A:$A=DA$2)*(AsistenciaJetAdminConcatenada!$B:$B=DA$1), 0)), 1))),  0.5, 0))</f>
        <v>0</v>
      </c>
      <c r="DB11" s="47">
        <f t="array" ref="DB11">IF(AND(ISNUMBER(MATCH(DB$2, AsistenciaJetAdminConcatenada!$A:$A, 0)), ISNUMBER(MATCH(DB$1, AsistenciaJetAdminConcatenada!$B:$B, 0)), ISNUMBER(SEARCH($A11,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ISNUMBER(SEARCH($A11, INDEX(AsistenciaJetAdminConcatenada!$D:$D, MATCH(1, (AsistenciaJetAdminConcatenada!$A:$A=DB$2)*(AsistenciaJetAdminConcatenada!$B:$B=DB$1), 0)), 1))),  0.5, 0))</f>
        <v>0</v>
      </c>
      <c r="DC11" s="47">
        <f t="array" ref="DC11">IF(AND(ISNUMBER(MATCH(DC$2, AsistenciaJetAdminConcatenada!$A:$A, 0)), ISNUMBER(MATCH(DC$1, AsistenciaJetAdminConcatenada!$B:$B, 0)), ISNUMBER(SEARCH($A11,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ISNUMBER(SEARCH($A11, INDEX(AsistenciaJetAdminConcatenada!$D:$D, MATCH(1, (AsistenciaJetAdminConcatenada!$A:$A=DC$2)*(AsistenciaJetAdminConcatenada!$B:$B=DC$1), 0)), 1))),  0.5, 0))</f>
        <v>0</v>
      </c>
      <c r="DD11" s="47">
        <f t="array" ref="DD11">IF(AND(ISNUMBER(MATCH(DD$2, AsistenciaJetAdminConcatenada!$A:$A, 0)), ISNUMBER(MATCH(DD$1, AsistenciaJetAdminConcatenada!$B:$B, 0)), ISNUMBER(SEARCH($A11,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ISNUMBER(SEARCH($A11, INDEX(AsistenciaJetAdminConcatenada!$D:$D, MATCH(1, (AsistenciaJetAdminConcatenada!$A:$A=DD$2)*(AsistenciaJetAdminConcatenada!$B:$B=DD$1), 0)), 1))),  0.5, 0))</f>
        <v>0</v>
      </c>
      <c r="DE11" s="47">
        <f t="array" ref="DE11">IF(AND(ISNUMBER(MATCH(DE$2, AsistenciaJetAdminConcatenada!$A:$A, 0)), ISNUMBER(MATCH(DE$1, AsistenciaJetAdminConcatenada!$B:$B, 0)), ISNUMBER(SEARCH($A11,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ISNUMBER(SEARCH($A11, INDEX(AsistenciaJetAdminConcatenada!$D:$D, MATCH(1, (AsistenciaJetAdminConcatenada!$A:$A=DE$2)*(AsistenciaJetAdminConcatenada!$B:$B=DE$1), 0)), 1))),  0.5, 0))</f>
        <v>0</v>
      </c>
      <c r="DF11" s="47">
        <f t="array" ref="DF11">IF(AND(ISNUMBER(MATCH(DF$2, AsistenciaJetAdminConcatenada!$A:$A, 0)), ISNUMBER(MATCH(DF$1, AsistenciaJetAdminConcatenada!$B:$B, 0)), ISNUMBER(SEARCH($A11,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ISNUMBER(SEARCH($A11, INDEX(AsistenciaJetAdminConcatenada!$D:$D, MATCH(1, (AsistenciaJetAdminConcatenada!$A:$A=DF$2)*(AsistenciaJetAdminConcatenada!$B:$B=DF$1), 0)), 1))),  0.5, 0))</f>
        <v>0</v>
      </c>
      <c r="DG11" s="47">
        <f t="array" ref="DG11">IF(AND(ISNUMBER(MATCH(DG$2, AsistenciaJetAdminConcatenada!$A:$A, 0)), ISNUMBER(MATCH(DG$1, AsistenciaJetAdminConcatenada!$B:$B, 0)), ISNUMBER(SEARCH($A11,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ISNUMBER(SEARCH($A11, INDEX(AsistenciaJetAdminConcatenada!$D:$D, MATCH(1, (AsistenciaJetAdminConcatenada!$A:$A=DG$2)*(AsistenciaJetAdminConcatenada!$B:$B=DG$1), 0)), 1))),  0.5, 0))</f>
        <v>0</v>
      </c>
      <c r="DH11" s="47">
        <f t="array" ref="DH11">IF(AND(ISNUMBER(MATCH(DH$2, AsistenciaJetAdminConcatenada!$A:$A, 0)), ISNUMBER(MATCH(DH$1, AsistenciaJetAdminConcatenada!$B:$B, 0)), ISNUMBER(SEARCH($A11,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ISNUMBER(SEARCH($A11, INDEX(AsistenciaJetAdminConcatenada!$D:$D, MATCH(1, (AsistenciaJetAdminConcatenada!$A:$A=DH$2)*(AsistenciaJetAdminConcatenada!$B:$B=DH$1), 0)), 1))),  0.5, 0))</f>
        <v>0</v>
      </c>
      <c r="DI11" s="47">
        <f t="array" ref="DI11">IF(AND(ISNUMBER(MATCH(DI$2, AsistenciaJetAdminConcatenada!$A:$A, 0)), ISNUMBER(MATCH(DI$1, AsistenciaJetAdminConcatenada!$B:$B, 0)), ISNUMBER(SEARCH($A11,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ISNUMBER(SEARCH($A11, INDEX(AsistenciaJetAdminConcatenada!$D:$D, MATCH(1, (AsistenciaJetAdminConcatenada!$A:$A=DI$2)*(AsistenciaJetAdminConcatenada!$B:$B=DI$1), 0)), 1))),  0.5, 0))</f>
        <v>0</v>
      </c>
      <c r="DJ11" s="47">
        <f t="array" ref="DJ11">IF(AND(ISNUMBER(MATCH(DJ$2, AsistenciaJetAdminConcatenada!$A:$A, 0)), ISNUMBER(MATCH(DJ$1, AsistenciaJetAdminConcatenada!$B:$B, 0)), ISNUMBER(SEARCH($A11,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ISNUMBER(SEARCH($A11, INDEX(AsistenciaJetAdminConcatenada!$D:$D, MATCH(1, (AsistenciaJetAdminConcatenada!$A:$A=DJ$2)*(AsistenciaJetAdminConcatenada!$B:$B=DJ$1), 0)), 1))),  0.5, 0))</f>
        <v>0</v>
      </c>
      <c r="DK11" s="47">
        <f t="array" ref="DK11">IF(AND(ISNUMBER(MATCH(DK$2, AsistenciaJetAdminConcatenada!$A:$A, 0)), ISNUMBER(MATCH(DK$1, AsistenciaJetAdminConcatenada!$B:$B, 0)), ISNUMBER(SEARCH($A11,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ISNUMBER(SEARCH($A11, INDEX(AsistenciaJetAdminConcatenada!$D:$D, MATCH(1, (AsistenciaJetAdminConcatenada!$A:$A=DK$2)*(AsistenciaJetAdminConcatenada!$B:$B=DK$1), 0)), 1))),  0.5, 0))</f>
        <v>0</v>
      </c>
      <c r="DL11" s="47">
        <f t="array" ref="DL11">IF(AND(ISNUMBER(MATCH(DL$2, AsistenciaJetAdminConcatenada!$A:$A, 0)), ISNUMBER(MATCH(DL$1, AsistenciaJetAdminConcatenada!$B:$B, 0)), ISNUMBER(SEARCH($A11,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ISNUMBER(SEARCH($A11, INDEX(AsistenciaJetAdminConcatenada!$D:$D, MATCH(1, (AsistenciaJetAdminConcatenada!$A:$A=DL$2)*(AsistenciaJetAdminConcatenada!$B:$B=DL$1), 0)), 1))),  0.5, 0))</f>
        <v>0</v>
      </c>
      <c r="DM11" s="47">
        <f t="array" ref="DM11">IF(AND(ISNUMBER(MATCH(DM$2, AsistenciaJetAdminConcatenada!$A:$A, 0)), ISNUMBER(MATCH(DM$1, AsistenciaJetAdminConcatenada!$B:$B, 0)), ISNUMBER(SEARCH($A11,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ISNUMBER(SEARCH($A11, INDEX(AsistenciaJetAdminConcatenada!$D:$D, MATCH(1, (AsistenciaJetAdminConcatenada!$A:$A=DM$2)*(AsistenciaJetAdminConcatenada!$B:$B=DM$1), 0)), 1))),  0.5, 0))</f>
        <v>0</v>
      </c>
      <c r="DN11" s="47">
        <f t="array" ref="DN11">IF(AND(ISNUMBER(MATCH(DN$2, AsistenciaJetAdminConcatenada!$A:$A, 0)), ISNUMBER(MATCH(DN$1, AsistenciaJetAdminConcatenada!$B:$B, 0)), ISNUMBER(SEARCH($A11,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ISNUMBER(SEARCH($A11, INDEX(AsistenciaJetAdminConcatenada!$D:$D, MATCH(1, (AsistenciaJetAdminConcatenada!$A:$A=DN$2)*(AsistenciaJetAdminConcatenada!$B:$B=DN$1), 0)), 1))),  0.5, 0))</f>
        <v>0</v>
      </c>
      <c r="DO11" s="47">
        <f t="array" ref="DO11">IF(AND(ISNUMBER(MATCH(DO$2, AsistenciaJetAdminConcatenada!$A:$A, 0)), ISNUMBER(MATCH(DO$1, AsistenciaJetAdminConcatenada!$B:$B, 0)), ISNUMBER(SEARCH($A11,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ISNUMBER(SEARCH($A11, INDEX(AsistenciaJetAdminConcatenada!$D:$D, MATCH(1, (AsistenciaJetAdminConcatenada!$A:$A=DO$2)*(AsistenciaJetAdminConcatenada!$B:$B=DO$1), 0)), 1))),  0.5, 0))</f>
        <v>0</v>
      </c>
      <c r="DP11" s="47">
        <f t="array" ref="DP11">IF(AND(ISNUMBER(MATCH(DP$2, AsistenciaJetAdminConcatenada!$A:$A, 0)), ISNUMBER(MATCH(DP$1, AsistenciaJetAdminConcatenada!$B:$B, 0)), ISNUMBER(SEARCH($A11,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ISNUMBER(SEARCH($A11, INDEX(AsistenciaJetAdminConcatenada!$D:$D, MATCH(1, (AsistenciaJetAdminConcatenada!$A:$A=DP$2)*(AsistenciaJetAdminConcatenada!$B:$B=DP$1), 0)), 1))),  0.5, 0))</f>
        <v>0</v>
      </c>
      <c r="DQ11" s="47">
        <f t="array" ref="DQ11">IF(AND(ISNUMBER(MATCH(DQ$2, AsistenciaJetAdminConcatenada!$A:$A, 0)), ISNUMBER(MATCH(DQ$1, AsistenciaJetAdminConcatenada!$B:$B, 0)), ISNUMBER(SEARCH($A11,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ISNUMBER(SEARCH($A11, INDEX(AsistenciaJetAdminConcatenada!$D:$D, MATCH(1, (AsistenciaJetAdminConcatenada!$A:$A=DQ$2)*(AsistenciaJetAdminConcatenada!$B:$B=DQ$1), 0)), 1))),  0.5, 0))</f>
        <v>0</v>
      </c>
      <c r="DR11" s="47">
        <f t="array" ref="DR11">IF(AND(ISNUMBER(MATCH(DR$2, AsistenciaJetAdminConcatenada!$A:$A, 0)), ISNUMBER(MATCH(DR$1, AsistenciaJetAdminConcatenada!$B:$B, 0)), ISNUMBER(SEARCH($A11,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ISNUMBER(SEARCH($A11, INDEX(AsistenciaJetAdminConcatenada!$D:$D, MATCH(1, (AsistenciaJetAdminConcatenada!$A:$A=DR$2)*(AsistenciaJetAdminConcatenada!$B:$B=DR$1), 0)), 1))),  0.5, 0))</f>
        <v>0</v>
      </c>
      <c r="DS11" s="47">
        <f t="array" ref="DS11">IF(AND(ISNUMBER(MATCH(DS$2, AsistenciaJetAdminConcatenada!$A:$A, 0)), ISNUMBER(MATCH(DS$1, AsistenciaJetAdminConcatenada!$B:$B, 0)), ISNUMBER(SEARCH($A11,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ISNUMBER(SEARCH($A11, INDEX(AsistenciaJetAdminConcatenada!$D:$D, MATCH(1, (AsistenciaJetAdminConcatenada!$A:$A=DS$2)*(AsistenciaJetAdminConcatenada!$B:$B=DS$1), 0)), 1))),  0.5, 0))</f>
        <v>0</v>
      </c>
      <c r="DT11" s="47">
        <f t="array" ref="DT11">IF(AND(ISNUMBER(MATCH(DT$2, AsistenciaJetAdminConcatenada!$A:$A, 0)), ISNUMBER(MATCH(DT$1, AsistenciaJetAdminConcatenada!$B:$B, 0)), ISNUMBER(SEARCH($A11,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ISNUMBER(SEARCH($A11, INDEX(AsistenciaJetAdminConcatenada!$D:$D, MATCH(1, (AsistenciaJetAdminConcatenada!$A:$A=DT$2)*(AsistenciaJetAdminConcatenada!$B:$B=DT$1), 0)), 1))),  0.5, 0))</f>
        <v>0</v>
      </c>
      <c r="DU11" s="47">
        <f t="array" ref="DU11">IF(AND(ISNUMBER(MATCH(DU$2, AsistenciaJetAdminConcatenada!$A:$A, 0)), ISNUMBER(MATCH(DU$1, AsistenciaJetAdminConcatenada!$B:$B, 0)), ISNUMBER(SEARCH($A11,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ISNUMBER(SEARCH($A11, INDEX(AsistenciaJetAdminConcatenada!$D:$D, MATCH(1, (AsistenciaJetAdminConcatenada!$A:$A=DU$2)*(AsistenciaJetAdminConcatenada!$B:$B=DU$1), 0)), 1))),  0.5, 0))</f>
        <v>0</v>
      </c>
      <c r="DV11" s="47">
        <f t="array" ref="DV11">IF(AND(ISNUMBER(MATCH(DV$2, AsistenciaJetAdminConcatenada!$A:$A, 0)), ISNUMBER(MATCH(DV$1, AsistenciaJetAdminConcatenada!$B:$B, 0)), ISNUMBER(SEARCH($A11,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ISNUMBER(SEARCH($A11, INDEX(AsistenciaJetAdminConcatenada!$D:$D, MATCH(1, (AsistenciaJetAdminConcatenada!$A:$A=DV$2)*(AsistenciaJetAdminConcatenada!$B:$B=DV$1), 0)), 1))),  0.5, 0))</f>
        <v>0</v>
      </c>
      <c r="DW11" s="47">
        <f t="array" ref="DW11">IF(AND(ISNUMBER(MATCH(DW$2, AsistenciaJetAdminConcatenada!$A:$A, 0)), ISNUMBER(MATCH(DW$1, AsistenciaJetAdminConcatenada!$B:$B, 0)), ISNUMBER(SEARCH($A11,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ISNUMBER(SEARCH($A11, INDEX(AsistenciaJetAdminConcatenada!$D:$D, MATCH(1, (AsistenciaJetAdminConcatenada!$A:$A=DW$2)*(AsistenciaJetAdminConcatenada!$B:$B=DW$1), 0)), 1))),  0.5, 0))</f>
        <v>0</v>
      </c>
      <c r="DX11" s="47">
        <f t="array" ref="DX11">IF(AND(ISNUMBER(MATCH(DX$2, AsistenciaJetAdminConcatenada!$A:$A, 0)), ISNUMBER(MATCH(DX$1, AsistenciaJetAdminConcatenada!$B:$B, 0)), ISNUMBER(SEARCH($A11,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ISNUMBER(SEARCH($A11, INDEX(AsistenciaJetAdminConcatenada!$D:$D, MATCH(1, (AsistenciaJetAdminConcatenada!$A:$A=DX$2)*(AsistenciaJetAdminConcatenada!$B:$B=DX$1), 0)), 1))),  0.5, 0))</f>
        <v>0</v>
      </c>
      <c r="DY11" s="47">
        <f t="array" ref="DY11">IF(AND(ISNUMBER(MATCH(DY$2, AsistenciaJetAdminConcatenada!$A:$A, 0)), ISNUMBER(MATCH(DY$1, AsistenciaJetAdminConcatenada!$B:$B, 0)), ISNUMBER(SEARCH($A11,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ISNUMBER(SEARCH($A11, INDEX(AsistenciaJetAdminConcatenada!$D:$D, MATCH(1, (AsistenciaJetAdminConcatenada!$A:$A=DY$2)*(AsistenciaJetAdminConcatenada!$B:$B=DY$1), 0)), 1))),  0.5, 0))</f>
        <v>0</v>
      </c>
      <c r="DZ11" s="47">
        <f t="array" ref="DZ11">IF(AND(ISNUMBER(MATCH(DZ$2, AsistenciaJetAdminConcatenada!$A:$A, 0)), ISNUMBER(MATCH(DZ$1, AsistenciaJetAdminConcatenada!$B:$B, 0)), ISNUMBER(SEARCH($A11,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ISNUMBER(SEARCH($A11, INDEX(AsistenciaJetAdminConcatenada!$D:$D, MATCH(1, (AsistenciaJetAdminConcatenada!$A:$A=DZ$2)*(AsistenciaJetAdminConcatenada!$B:$B=DZ$1), 0)), 1))),  0.5, 0))</f>
        <v>0</v>
      </c>
      <c r="EA11" s="47">
        <f t="array" ref="EA11">IF(AND(ISNUMBER(MATCH(EA$2, AsistenciaJetAdminConcatenada!$A:$A, 0)), ISNUMBER(MATCH(EA$1, AsistenciaJetAdminConcatenada!$B:$B, 0)), ISNUMBER(SEARCH($A11,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ISNUMBER(SEARCH($A11, INDEX(AsistenciaJetAdminConcatenada!$D:$D, MATCH(1, (AsistenciaJetAdminConcatenada!$A:$A=EA$2)*(AsistenciaJetAdminConcatenada!$B:$B=EA$1), 0)), 1))),  0.5, 0))</f>
        <v>0</v>
      </c>
      <c r="EB11" s="47">
        <f t="array" ref="EB11">IF(AND(ISNUMBER(MATCH(EB$2, AsistenciaJetAdminConcatenada!$A:$A, 0)), ISNUMBER(MATCH(EB$1, AsistenciaJetAdminConcatenada!$B:$B, 0)), ISNUMBER(SEARCH($A11,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ISNUMBER(SEARCH($A11, INDEX(AsistenciaJetAdminConcatenada!$D:$D, MATCH(1, (AsistenciaJetAdminConcatenada!$A:$A=EB$2)*(AsistenciaJetAdminConcatenada!$B:$B=EB$1), 0)), 1))),  0.5, 0))</f>
        <v>0</v>
      </c>
      <c r="EC11" s="47">
        <f t="array" ref="EC11">IF(AND(ISNUMBER(MATCH(EC$2, AsistenciaJetAdminConcatenada!$A:$A, 0)), ISNUMBER(MATCH(EC$1, AsistenciaJetAdminConcatenada!$B:$B, 0)), ISNUMBER(SEARCH($A11,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ISNUMBER(SEARCH($A11, INDEX(AsistenciaJetAdminConcatenada!$D:$D, MATCH(1, (AsistenciaJetAdminConcatenada!$A:$A=EC$2)*(AsistenciaJetAdminConcatenada!$B:$B=EC$1), 0)), 1))),  0.5, 0))</f>
        <v>0</v>
      </c>
      <c r="ED11" s="47">
        <f t="array" ref="ED11">IF(AND(ISNUMBER(MATCH(ED$2, AsistenciaJetAdminConcatenada!$A:$A, 0)), ISNUMBER(MATCH(ED$1, AsistenciaJetAdminConcatenada!$B:$B, 0)), ISNUMBER(SEARCH($A11,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ISNUMBER(SEARCH($A11, INDEX(AsistenciaJetAdminConcatenada!$D:$D, MATCH(1, (AsistenciaJetAdminConcatenada!$A:$A=ED$2)*(AsistenciaJetAdminConcatenada!$B:$B=ED$1), 0)), 1))),  0.5, 0))</f>
        <v>0</v>
      </c>
      <c r="EE11" s="47">
        <f t="array" ref="EE11">IF(AND(ISNUMBER(MATCH(EE$2, AsistenciaJetAdminConcatenada!$A:$A, 0)), ISNUMBER(MATCH(EE$1, AsistenciaJetAdminConcatenada!$B:$B, 0)), ISNUMBER(SEARCH($A11,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ISNUMBER(SEARCH($A11, INDEX(AsistenciaJetAdminConcatenada!$D:$D, MATCH(1, (AsistenciaJetAdminConcatenada!$A:$A=EE$2)*(AsistenciaJetAdminConcatenada!$B:$B=EE$1), 0)), 1))),  0.5, 0))</f>
        <v>0</v>
      </c>
      <c r="EF11" s="47">
        <f t="array" ref="EF11">IF(AND(ISNUMBER(MATCH(EF$2, AsistenciaJetAdminConcatenada!$A:$A, 0)), ISNUMBER(MATCH(EF$1, AsistenciaJetAdminConcatenada!$B:$B, 0)), ISNUMBER(SEARCH($A11,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ISNUMBER(SEARCH($A11, INDEX(AsistenciaJetAdminConcatenada!$D:$D, MATCH(1, (AsistenciaJetAdminConcatenada!$A:$A=EF$2)*(AsistenciaJetAdminConcatenada!$B:$B=EF$1), 0)), 1))),  0.5, 0))</f>
        <v>0</v>
      </c>
      <c r="EG11" s="47">
        <f t="array" ref="EG11">IF(AND(ISNUMBER(MATCH(EG$2, AsistenciaJetAdminConcatenada!$A:$A, 0)), ISNUMBER(MATCH(EG$1, AsistenciaJetAdminConcatenada!$B:$B, 0)), ISNUMBER(SEARCH($A11,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ISNUMBER(SEARCH($A11, INDEX(AsistenciaJetAdminConcatenada!$D:$D, MATCH(1, (AsistenciaJetAdminConcatenada!$A:$A=EG$2)*(AsistenciaJetAdminConcatenada!$B:$B=EG$1), 0)), 1))),  0.5, 0))</f>
        <v>0</v>
      </c>
      <c r="EH11" s="47">
        <f t="array" ref="EH11">IF(AND(ISNUMBER(MATCH(EH$2, AsistenciaJetAdminConcatenada!$A:$A, 0)), ISNUMBER(MATCH(EH$1, AsistenciaJetAdminConcatenada!$B:$B, 0)), ISNUMBER(SEARCH($A11,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ISNUMBER(SEARCH($A11, INDEX(AsistenciaJetAdminConcatenada!$D:$D, MATCH(1, (AsistenciaJetAdminConcatenada!$A:$A=EH$2)*(AsistenciaJetAdminConcatenada!$B:$B=EH$1), 0)), 1))),  0.5, 0))</f>
        <v>0</v>
      </c>
      <c r="EI11" s="47">
        <f t="array" ref="EI11">IF(AND(ISNUMBER(MATCH(EI$2, AsistenciaJetAdminConcatenada!$A:$A, 0)), ISNUMBER(MATCH(EI$1, AsistenciaJetAdminConcatenada!$B:$B, 0)), ISNUMBER(SEARCH($A11,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ISNUMBER(SEARCH($A11, INDEX(AsistenciaJetAdminConcatenada!$D:$D, MATCH(1, (AsistenciaJetAdminConcatenada!$A:$A=EI$2)*(AsistenciaJetAdminConcatenada!$B:$B=EI$1), 0)), 1))),  0.5, 0))</f>
        <v>0</v>
      </c>
      <c r="EJ11" s="47">
        <f t="array" ref="EJ11">IF(AND(ISNUMBER(MATCH(EJ$2, AsistenciaJetAdminConcatenada!$A:$A, 0)), ISNUMBER(MATCH(EJ$1, AsistenciaJetAdminConcatenada!$B:$B, 0)), ISNUMBER(SEARCH($A11,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ISNUMBER(SEARCH($A11, INDEX(AsistenciaJetAdminConcatenada!$D:$D, MATCH(1, (AsistenciaJetAdminConcatenada!$A:$A=EJ$2)*(AsistenciaJetAdminConcatenada!$B:$B=EJ$1), 0)), 1))),  0.5, 0))</f>
        <v>0</v>
      </c>
      <c r="EK11" s="47">
        <f t="array" ref="EK11">IF(AND(ISNUMBER(MATCH(EK$2, AsistenciaJetAdminConcatenada!$A:$A, 0)), ISNUMBER(MATCH(EK$1, AsistenciaJetAdminConcatenada!$B:$B, 0)), ISNUMBER(SEARCH($A11,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ISNUMBER(SEARCH($A11, INDEX(AsistenciaJetAdminConcatenada!$D:$D, MATCH(1, (AsistenciaJetAdminConcatenada!$A:$A=EK$2)*(AsistenciaJetAdminConcatenada!$B:$B=EK$1), 0)), 1))),  0.5, 0))</f>
        <v>0</v>
      </c>
      <c r="EL11" s="47">
        <f t="array" ref="EL11">IF(AND(ISNUMBER(MATCH(EL$2, AsistenciaJetAdminConcatenada!$A:$A, 0)), ISNUMBER(MATCH(EL$1, AsistenciaJetAdminConcatenada!$B:$B, 0)), ISNUMBER(SEARCH($A11,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ISNUMBER(SEARCH($A11, INDEX(AsistenciaJetAdminConcatenada!$D:$D, MATCH(1, (AsistenciaJetAdminConcatenada!$A:$A=EL$2)*(AsistenciaJetAdminConcatenada!$B:$B=EL$1), 0)), 1))),  0.5, 0))</f>
        <v>0</v>
      </c>
      <c r="EM11" s="47">
        <f t="array" ref="EM11">IF(AND(ISNUMBER(MATCH(EM$2, AsistenciaJetAdminConcatenada!$A:$A, 0)), ISNUMBER(MATCH(EM$1, AsistenciaJetAdminConcatenada!$B:$B, 0)), ISNUMBER(SEARCH($A11,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ISNUMBER(SEARCH($A11, INDEX(AsistenciaJetAdminConcatenada!$D:$D, MATCH(1, (AsistenciaJetAdminConcatenada!$A:$A=EM$2)*(AsistenciaJetAdminConcatenada!$B:$B=EM$1), 0)), 1))),  0.5, 0))</f>
        <v>0</v>
      </c>
      <c r="EN11" s="47">
        <f t="array" ref="EN11">IF(AND(ISNUMBER(MATCH(EN$2, AsistenciaJetAdminConcatenada!$A:$A, 0)), ISNUMBER(MATCH(EN$1, AsistenciaJetAdminConcatenada!$B:$B, 0)), ISNUMBER(SEARCH($A11,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ISNUMBER(SEARCH($A11, INDEX(AsistenciaJetAdminConcatenada!$D:$D, MATCH(1, (AsistenciaJetAdminConcatenada!$A:$A=EN$2)*(AsistenciaJetAdminConcatenada!$B:$B=EN$1), 0)), 1))),  0.5, 0))</f>
        <v>0</v>
      </c>
      <c r="EO11" s="47">
        <f t="array" ref="EO11">IF(AND(ISNUMBER(MATCH(EO$2, AsistenciaJetAdminConcatenada!$A:$A, 0)), ISNUMBER(MATCH(EO$1, AsistenciaJetAdminConcatenada!$B:$B, 0)), ISNUMBER(SEARCH($A11,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ISNUMBER(SEARCH($A11, INDEX(AsistenciaJetAdminConcatenada!$D:$D, MATCH(1, (AsistenciaJetAdminConcatenada!$A:$A=EO$2)*(AsistenciaJetAdminConcatenada!$B:$B=EO$1), 0)), 1))),  0.5, 0))</f>
        <v>0</v>
      </c>
      <c r="EP11" s="47">
        <f t="array" ref="EP11">IF(AND(ISNUMBER(MATCH(EP$2, AsistenciaJetAdminConcatenada!$A:$A, 0)), ISNUMBER(MATCH(EP$1, AsistenciaJetAdminConcatenada!$B:$B, 0)), ISNUMBER(SEARCH($A11,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ISNUMBER(SEARCH($A11, INDEX(AsistenciaJetAdminConcatenada!$D:$D, MATCH(1, (AsistenciaJetAdminConcatenada!$A:$A=EP$2)*(AsistenciaJetAdminConcatenada!$B:$B=EP$1), 0)), 1))),  0.5, 0))</f>
        <v>0</v>
      </c>
      <c r="EQ11" s="47">
        <f t="array" ref="EQ11">IF(AND(ISNUMBER(MATCH(EQ$2, AsistenciaJetAdminConcatenada!$A:$A, 0)), ISNUMBER(MATCH(EQ$1, AsistenciaJetAdminConcatenada!$B:$B, 0)), ISNUMBER(SEARCH($A11,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ISNUMBER(SEARCH($A11, INDEX(AsistenciaJetAdminConcatenada!$D:$D, MATCH(1, (AsistenciaJetAdminConcatenada!$A:$A=EQ$2)*(AsistenciaJetAdminConcatenada!$B:$B=EQ$1), 0)), 1))),  0.5, 0))</f>
        <v>0</v>
      </c>
      <c r="ER11" s="47">
        <f t="array" ref="ER11">IF(AND(ISNUMBER(MATCH(ER$2, AsistenciaJetAdminConcatenada!$A:$A, 0)), ISNUMBER(MATCH(ER$1, AsistenciaJetAdminConcatenada!$B:$B, 0)), ISNUMBER(SEARCH($A11,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ISNUMBER(SEARCH($A11, INDEX(AsistenciaJetAdminConcatenada!$D:$D, MATCH(1, (AsistenciaJetAdminConcatenada!$A:$A=ER$2)*(AsistenciaJetAdminConcatenada!$B:$B=ER$1), 0)), 1))),  0.5, 0))</f>
        <v>0</v>
      </c>
      <c r="ES11" s="47">
        <f t="array" ref="ES11">IF(AND(ISNUMBER(MATCH(ES$2, AsistenciaJetAdminConcatenada!$A:$A, 0)), ISNUMBER(MATCH(ES$1, AsistenciaJetAdminConcatenada!$B:$B, 0)), ISNUMBER(SEARCH($A11,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ISNUMBER(SEARCH($A11, INDEX(AsistenciaJetAdminConcatenada!$D:$D, MATCH(1, (AsistenciaJetAdminConcatenada!$A:$A=ES$2)*(AsistenciaJetAdminConcatenada!$B:$B=ES$1), 0)), 1))),  0.5, 0))</f>
        <v>0</v>
      </c>
      <c r="ET11" s="47">
        <f t="array" ref="ET11">IF(AND(ISNUMBER(MATCH(ET$2, AsistenciaJetAdminConcatenada!$A:$A, 0)), ISNUMBER(MATCH(ET$1, AsistenciaJetAdminConcatenada!$B:$B, 0)), ISNUMBER(SEARCH($A11,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ISNUMBER(SEARCH($A11, INDEX(AsistenciaJetAdminConcatenada!$D:$D, MATCH(1, (AsistenciaJetAdminConcatenada!$A:$A=ET$2)*(AsistenciaJetAdminConcatenada!$B:$B=ET$1), 0)), 1))),  0.5, 0))</f>
        <v>0</v>
      </c>
      <c r="EU11" s="47">
        <f t="array" ref="EU11">IF(AND(ISNUMBER(MATCH(EU$2, AsistenciaJetAdminConcatenada!$A:$A, 0)), ISNUMBER(MATCH(EU$1, AsistenciaJetAdminConcatenada!$B:$B, 0)), ISNUMBER(SEARCH($A11,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ISNUMBER(SEARCH($A11, INDEX(AsistenciaJetAdminConcatenada!$D:$D, MATCH(1, (AsistenciaJetAdminConcatenada!$A:$A=EU$2)*(AsistenciaJetAdminConcatenada!$B:$B=EU$1), 0)), 1))),  0.5, 0))</f>
        <v>0</v>
      </c>
      <c r="EV11" s="47">
        <f t="array" ref="EV11">IF(AND(ISNUMBER(MATCH(EV$2, AsistenciaJetAdminConcatenada!$A:$A, 0)), ISNUMBER(MATCH(EV$1, AsistenciaJetAdminConcatenada!$B:$B, 0)), ISNUMBER(SEARCH($A11,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ISNUMBER(SEARCH($A11, INDEX(AsistenciaJetAdminConcatenada!$D:$D, MATCH(1, (AsistenciaJetAdminConcatenada!$A:$A=EV$2)*(AsistenciaJetAdminConcatenada!$B:$B=EV$1), 0)), 1))),  0.5, 0))</f>
        <v>0</v>
      </c>
      <c r="EW11" s="47">
        <f t="array" ref="EW11">IF(AND(ISNUMBER(MATCH(EW$2, AsistenciaJetAdminConcatenada!$A:$A, 0)), ISNUMBER(MATCH(EW$1, AsistenciaJetAdminConcatenada!$B:$B, 0)), ISNUMBER(SEARCH($A11,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ISNUMBER(SEARCH($A11, INDEX(AsistenciaJetAdminConcatenada!$D:$D, MATCH(1, (AsistenciaJetAdminConcatenada!$A:$A=EW$2)*(AsistenciaJetAdminConcatenada!$B:$B=EW$1), 0)), 1))),  0.5, 0))</f>
        <v>0</v>
      </c>
      <c r="EX11" s="47">
        <f t="array" ref="EX11">IF(AND(ISNUMBER(MATCH(EX$2, AsistenciaJetAdminConcatenada!$A:$A, 0)), ISNUMBER(MATCH(EX$1, AsistenciaJetAdminConcatenada!$B:$B, 0)), ISNUMBER(SEARCH($A11,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ISNUMBER(SEARCH($A11, INDEX(AsistenciaJetAdminConcatenada!$D:$D, MATCH(1, (AsistenciaJetAdminConcatenada!$A:$A=EX$2)*(AsistenciaJetAdminConcatenada!$B:$B=EX$1), 0)), 1))),  0.5, 0))</f>
        <v>0</v>
      </c>
      <c r="EY11" s="47">
        <f t="array" ref="EY11">IF(AND(ISNUMBER(MATCH(EY$2, AsistenciaJetAdminConcatenada!$A:$A, 0)), ISNUMBER(MATCH(EY$1, AsistenciaJetAdminConcatenada!$B:$B, 0)), ISNUMBER(SEARCH($A11,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ISNUMBER(SEARCH($A11, INDEX(AsistenciaJetAdminConcatenada!$D:$D, MATCH(1, (AsistenciaJetAdminConcatenada!$A:$A=EY$2)*(AsistenciaJetAdminConcatenada!$B:$B=EY$1), 0)), 1))),  0.5, 0))</f>
        <v>0</v>
      </c>
      <c r="EZ11" s="47">
        <f t="array" ref="EZ11">IF(AND(ISNUMBER(MATCH(EZ$2, AsistenciaJetAdminConcatenada!$A:$A, 0)), ISNUMBER(MATCH(EZ$1, AsistenciaJetAdminConcatenada!$B:$B, 0)), ISNUMBER(SEARCH($A11,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ISNUMBER(SEARCH($A11, INDEX(AsistenciaJetAdminConcatenada!$D:$D, MATCH(1, (AsistenciaJetAdminConcatenada!$A:$A=EZ$2)*(AsistenciaJetAdminConcatenada!$B:$B=EZ$1), 0)), 1))),  0.5, 0))</f>
        <v>0</v>
      </c>
      <c r="FA11" s="47">
        <f t="array" ref="FA11">IF(AND(ISNUMBER(MATCH(FA$2, AsistenciaJetAdminConcatenada!$A:$A, 0)), ISNUMBER(MATCH(FA$1, AsistenciaJetAdminConcatenada!$B:$B, 0)), ISNUMBER(SEARCH($A11,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ISNUMBER(SEARCH($A11, INDEX(AsistenciaJetAdminConcatenada!$D:$D, MATCH(1, (AsistenciaJetAdminConcatenada!$A:$A=FA$2)*(AsistenciaJetAdminConcatenada!$B:$B=FA$1), 0)), 1))),  0.5, 0))</f>
        <v>0</v>
      </c>
      <c r="FB11" s="47">
        <f t="array" ref="FB11">IF(AND(ISNUMBER(MATCH(FB$2, AsistenciaJetAdminConcatenada!$A:$A, 0)), ISNUMBER(MATCH(FB$1, AsistenciaJetAdminConcatenada!$B:$B, 0)), ISNUMBER(SEARCH($A11,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ISNUMBER(SEARCH($A11, INDEX(AsistenciaJetAdminConcatenada!$D:$D, MATCH(1, (AsistenciaJetAdminConcatenada!$A:$A=FB$2)*(AsistenciaJetAdminConcatenada!$B:$B=FB$1), 0)), 1))),  0.5, 0))</f>
        <v>0</v>
      </c>
      <c r="FC11" s="47">
        <f t="array" ref="FC11">IF(AND(ISNUMBER(MATCH(FC$2, AsistenciaJetAdminConcatenada!$A:$A, 0)), ISNUMBER(MATCH(FC$1, AsistenciaJetAdminConcatenada!$B:$B, 0)), ISNUMBER(SEARCH($A11,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ISNUMBER(SEARCH($A11, INDEX(AsistenciaJetAdminConcatenada!$D:$D, MATCH(1, (AsistenciaJetAdminConcatenada!$A:$A=FC$2)*(AsistenciaJetAdminConcatenada!$B:$B=FC$1), 0)), 1))),  0.5, 0))</f>
        <v>0</v>
      </c>
      <c r="FD11" s="47">
        <f t="array" ref="FD11">IF(AND(ISNUMBER(MATCH(FD$2, AsistenciaJetAdminConcatenada!$A:$A, 0)), ISNUMBER(MATCH(FD$1, AsistenciaJetAdminConcatenada!$B:$B, 0)), ISNUMBER(SEARCH($A11,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ISNUMBER(SEARCH($A11, INDEX(AsistenciaJetAdminConcatenada!$D:$D, MATCH(1, (AsistenciaJetAdminConcatenada!$A:$A=FD$2)*(AsistenciaJetAdminConcatenada!$B:$B=FD$1), 0)), 1))),  0.5, 0))</f>
        <v>0</v>
      </c>
      <c r="FE11" s="47">
        <f t="array" ref="FE11">IF(AND(ISNUMBER(MATCH(FE$2, AsistenciaJetAdminConcatenada!$A:$A, 0)), ISNUMBER(MATCH(FE$1, AsistenciaJetAdminConcatenada!$B:$B, 0)), ISNUMBER(SEARCH($A11,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ISNUMBER(SEARCH($A11, INDEX(AsistenciaJetAdminConcatenada!$D:$D, MATCH(1, (AsistenciaJetAdminConcatenada!$A:$A=FE$2)*(AsistenciaJetAdminConcatenada!$B:$B=FE$1), 0)), 1))),  0.5, 0))</f>
        <v>0</v>
      </c>
      <c r="FF11" s="47">
        <f t="array" ref="FF11">IF(AND(ISNUMBER(MATCH(FF$2, AsistenciaJetAdminConcatenada!$A:$A, 0)), ISNUMBER(MATCH(FF$1, AsistenciaJetAdminConcatenada!$B:$B, 0)), ISNUMBER(SEARCH($A11,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ISNUMBER(SEARCH($A11, INDEX(AsistenciaJetAdminConcatenada!$D:$D, MATCH(1, (AsistenciaJetAdminConcatenada!$A:$A=FF$2)*(AsistenciaJetAdminConcatenada!$B:$B=FF$1), 0)), 1))),  0.5, 0))</f>
        <v>0</v>
      </c>
      <c r="FG11" s="47">
        <f t="array" ref="FG11">IF(AND(ISNUMBER(MATCH(FG$2, AsistenciaJetAdminConcatenada!$A:$A, 0)), ISNUMBER(MATCH(FG$1, AsistenciaJetAdminConcatenada!$B:$B, 0)), ISNUMBER(SEARCH($A11,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ISNUMBER(SEARCH($A11, INDEX(AsistenciaJetAdminConcatenada!$D:$D, MATCH(1, (AsistenciaJetAdminConcatenada!$A:$A=FG$2)*(AsistenciaJetAdminConcatenada!$B:$B=FG$1), 0)), 1))),  0.5, 0))</f>
        <v>0</v>
      </c>
      <c r="FH11" s="47">
        <f t="array" ref="FH11">IF(AND(ISNUMBER(MATCH(FH$2, AsistenciaJetAdminConcatenada!$A:$A, 0)), ISNUMBER(MATCH(FH$1, AsistenciaJetAdminConcatenada!$B:$B, 0)), ISNUMBER(SEARCH($A11,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ISNUMBER(SEARCH($A11, INDEX(AsistenciaJetAdminConcatenada!$D:$D, MATCH(1, (AsistenciaJetAdminConcatenada!$A:$A=FH$2)*(AsistenciaJetAdminConcatenada!$B:$B=FH$1), 0)), 1))),  0.5, 0))</f>
        <v>0</v>
      </c>
      <c r="FI11" s="47">
        <f t="array" ref="FI11">IF(AND(ISNUMBER(MATCH(FI$2, AsistenciaJetAdminConcatenada!$A:$A, 0)), ISNUMBER(MATCH(FI$1, AsistenciaJetAdminConcatenada!$B:$B, 0)), ISNUMBER(SEARCH($A11,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ISNUMBER(SEARCH($A11, INDEX(AsistenciaJetAdminConcatenada!$D:$D, MATCH(1, (AsistenciaJetAdminConcatenada!$A:$A=FI$2)*(AsistenciaJetAdminConcatenada!$B:$B=FI$1), 0)), 1))),  0.5, 0))</f>
        <v>0</v>
      </c>
      <c r="FJ11" s="47">
        <f t="array" ref="FJ11">IF(AND(ISNUMBER(MATCH(FJ$2, AsistenciaJetAdminConcatenada!$A:$A, 0)), ISNUMBER(MATCH(FJ$1, AsistenciaJetAdminConcatenada!$B:$B, 0)), ISNUMBER(SEARCH($A11,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ISNUMBER(SEARCH($A11, INDEX(AsistenciaJetAdminConcatenada!$D:$D, MATCH(1, (AsistenciaJetAdminConcatenada!$A:$A=FJ$2)*(AsistenciaJetAdminConcatenada!$B:$B=FJ$1), 0)), 1))),  0.5, 0))</f>
        <v>0</v>
      </c>
      <c r="FK11" s="47">
        <f t="array" ref="FK11">IF(AND(ISNUMBER(MATCH(FK$2, AsistenciaJetAdminConcatenada!$A:$A, 0)), ISNUMBER(MATCH(FK$1, AsistenciaJetAdminConcatenada!$B:$B, 0)), ISNUMBER(SEARCH($A11,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ISNUMBER(SEARCH($A11, INDEX(AsistenciaJetAdminConcatenada!$D:$D, MATCH(1, (AsistenciaJetAdminConcatenada!$A:$A=FK$2)*(AsistenciaJetAdminConcatenada!$B:$B=FK$1), 0)), 1))),  0.5, 0))</f>
        <v>0</v>
      </c>
      <c r="FL11" s="47">
        <f t="array" ref="FL11">IF(AND(ISNUMBER(MATCH(FL$2, AsistenciaJetAdminConcatenada!$A:$A, 0)), ISNUMBER(MATCH(FL$1, AsistenciaJetAdminConcatenada!$B:$B, 0)), ISNUMBER(SEARCH($A11,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ISNUMBER(SEARCH($A11, INDEX(AsistenciaJetAdminConcatenada!$D:$D, MATCH(1, (AsistenciaJetAdminConcatenada!$A:$A=FL$2)*(AsistenciaJetAdminConcatenada!$B:$B=FL$1), 0)), 1))),  0.5, 0))</f>
        <v>0</v>
      </c>
      <c r="FM11" s="47">
        <f t="array" ref="FM11">IF(AND(ISNUMBER(MATCH(FM$2, AsistenciaJetAdminConcatenada!$A:$A, 0)), ISNUMBER(MATCH(FM$1, AsistenciaJetAdminConcatenada!$B:$B, 0)), ISNUMBER(SEARCH($A11,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ISNUMBER(SEARCH($A11, INDEX(AsistenciaJetAdminConcatenada!$D:$D, MATCH(1, (AsistenciaJetAdminConcatenada!$A:$A=FM$2)*(AsistenciaJetAdminConcatenada!$B:$B=FM$1), 0)), 1))),  0.5, 0))</f>
        <v>0</v>
      </c>
      <c r="FN11" s="47">
        <f t="array" ref="FN11">IF(AND(ISNUMBER(MATCH(FN$2, AsistenciaJetAdminConcatenada!$A:$A, 0)), ISNUMBER(MATCH(FN$1, AsistenciaJetAdminConcatenada!$B:$B, 0)), ISNUMBER(SEARCH($A11,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ISNUMBER(SEARCH($A11, INDEX(AsistenciaJetAdminConcatenada!$D:$D, MATCH(1, (AsistenciaJetAdminConcatenada!$A:$A=FN$2)*(AsistenciaJetAdminConcatenada!$B:$B=FN$1), 0)), 1))),  0.5, 0))</f>
        <v>0</v>
      </c>
      <c r="FO11" s="47">
        <f t="array" ref="FO11">IF(AND(ISNUMBER(MATCH(FO$2, AsistenciaJetAdminConcatenada!$A:$A, 0)), ISNUMBER(MATCH(FO$1, AsistenciaJetAdminConcatenada!$B:$B, 0)), ISNUMBER(SEARCH($A11,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ISNUMBER(SEARCH($A11, INDEX(AsistenciaJetAdminConcatenada!$D:$D, MATCH(1, (AsistenciaJetAdminConcatenada!$A:$A=FO$2)*(AsistenciaJetAdminConcatenada!$B:$B=FO$1), 0)), 1))),  0.5, 0))</f>
        <v>0</v>
      </c>
      <c r="FP11" s="47">
        <f t="array" ref="FP11">IF(AND(ISNUMBER(MATCH(FP$2, AsistenciaJetAdminConcatenada!$A:$A, 0)), ISNUMBER(MATCH(FP$1, AsistenciaJetAdminConcatenada!$B:$B, 0)), ISNUMBER(SEARCH($A11,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ISNUMBER(SEARCH($A11, INDEX(AsistenciaJetAdminConcatenada!$D:$D, MATCH(1, (AsistenciaJetAdminConcatenada!$A:$A=FP$2)*(AsistenciaJetAdminConcatenada!$B:$B=FP$1), 0)), 1))),  0.5, 0))</f>
        <v>0</v>
      </c>
      <c r="FQ11" s="47">
        <f t="array" ref="FQ11">IF(AND(ISNUMBER(MATCH(FQ$2, AsistenciaJetAdminConcatenada!$A:$A, 0)), ISNUMBER(MATCH(FQ$1, AsistenciaJetAdminConcatenada!$B:$B, 0)), ISNUMBER(SEARCH($A11,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ISNUMBER(SEARCH($A11, INDEX(AsistenciaJetAdminConcatenada!$D:$D, MATCH(1, (AsistenciaJetAdminConcatenada!$A:$A=FQ$2)*(AsistenciaJetAdminConcatenada!$B:$B=FQ$1), 0)), 1))),  0.5, 0))</f>
        <v>0</v>
      </c>
      <c r="FR11" s="47">
        <f t="array" ref="FR11">IF(AND(ISNUMBER(MATCH(FR$2, AsistenciaJetAdminConcatenada!$A:$A, 0)), ISNUMBER(MATCH(FR$1, AsistenciaJetAdminConcatenada!$B:$B, 0)), ISNUMBER(SEARCH($A11,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ISNUMBER(SEARCH($A11, INDEX(AsistenciaJetAdminConcatenada!$D:$D, MATCH(1, (AsistenciaJetAdminConcatenada!$A:$A=FR$2)*(AsistenciaJetAdminConcatenada!$B:$B=FR$1), 0)), 1))),  0.5, 0))</f>
        <v>0</v>
      </c>
      <c r="FS11" s="47">
        <f t="array" ref="FS11">IF(AND(ISNUMBER(MATCH(FS$2, AsistenciaJetAdminConcatenada!$A:$A, 0)), ISNUMBER(MATCH(FS$1, AsistenciaJetAdminConcatenada!$B:$B, 0)), ISNUMBER(SEARCH($A11,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ISNUMBER(SEARCH($A11, INDEX(AsistenciaJetAdminConcatenada!$D:$D, MATCH(1, (AsistenciaJetAdminConcatenada!$A:$A=FS$2)*(AsistenciaJetAdminConcatenada!$B:$B=FS$1), 0)), 1))),  0.5, 0))</f>
        <v>0</v>
      </c>
      <c r="FT11" s="47">
        <f t="array" ref="FT11">IF(AND(ISNUMBER(MATCH(FT$2, AsistenciaJetAdminConcatenada!$A:$A, 0)), ISNUMBER(MATCH(FT$1, AsistenciaJetAdminConcatenada!$B:$B, 0)), ISNUMBER(SEARCH($A11,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ISNUMBER(SEARCH($A11, INDEX(AsistenciaJetAdminConcatenada!$D:$D, MATCH(1, (AsistenciaJetAdminConcatenada!$A:$A=FT$2)*(AsistenciaJetAdminConcatenada!$B:$B=FT$1), 0)), 1))),  0.5, 0))</f>
        <v>0</v>
      </c>
      <c r="FU11" s="47">
        <f t="array" ref="FU11">IF(AND(ISNUMBER(MATCH(FU$2, AsistenciaJetAdminConcatenada!$A:$A, 0)), ISNUMBER(MATCH(FU$1, AsistenciaJetAdminConcatenada!$B:$B, 0)), ISNUMBER(SEARCH($A11,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ISNUMBER(SEARCH($A11, INDEX(AsistenciaJetAdminConcatenada!$D:$D, MATCH(1, (AsistenciaJetAdminConcatenada!$A:$A=FU$2)*(AsistenciaJetAdminConcatenada!$B:$B=FU$1), 0)), 1))),  0.5, 0))</f>
        <v>0</v>
      </c>
      <c r="FV11" s="47">
        <f t="array" ref="FV11">IF(AND(ISNUMBER(MATCH(FV$2, AsistenciaJetAdminConcatenada!$A:$A, 0)), ISNUMBER(MATCH(FV$1, AsistenciaJetAdminConcatenada!$B:$B, 0)), ISNUMBER(SEARCH($A11,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ISNUMBER(SEARCH($A11, INDEX(AsistenciaJetAdminConcatenada!$D:$D, MATCH(1, (AsistenciaJetAdminConcatenada!$A:$A=FV$2)*(AsistenciaJetAdminConcatenada!$B:$B=FV$1), 0)), 1))),  0.5, 0))</f>
        <v>0</v>
      </c>
      <c r="FW11" s="47">
        <f t="array" ref="FW11">IF(AND(ISNUMBER(MATCH(FW$2, AsistenciaJetAdminConcatenada!$A:$A, 0)), ISNUMBER(MATCH(FW$1, AsistenciaJetAdminConcatenada!$B:$B, 0)), ISNUMBER(SEARCH($A11,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ISNUMBER(SEARCH($A11, INDEX(AsistenciaJetAdminConcatenada!$D:$D, MATCH(1, (AsistenciaJetAdminConcatenada!$A:$A=FW$2)*(AsistenciaJetAdminConcatenada!$B:$B=FW$1), 0)), 1))),  0.5, 0))</f>
        <v>0</v>
      </c>
      <c r="FX11" s="47">
        <f t="array" ref="FX11">IF(AND(ISNUMBER(MATCH(FX$2, AsistenciaJetAdminConcatenada!$A:$A, 0)), ISNUMBER(MATCH(FX$1, AsistenciaJetAdminConcatenada!$B:$B, 0)), ISNUMBER(SEARCH($A11,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ISNUMBER(SEARCH($A11, INDEX(AsistenciaJetAdminConcatenada!$D:$D, MATCH(1, (AsistenciaJetAdminConcatenada!$A:$A=FX$2)*(AsistenciaJetAdminConcatenada!$B:$B=FX$1), 0)), 1))),  0.5, 0))</f>
        <v>0</v>
      </c>
      <c r="FY11" s="47">
        <f t="array" ref="FY11">IF(AND(ISNUMBER(MATCH(FY$2, AsistenciaJetAdminConcatenada!$A:$A, 0)), ISNUMBER(MATCH(FY$1, AsistenciaJetAdminConcatenada!$B:$B, 0)), ISNUMBER(SEARCH($A11,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ISNUMBER(SEARCH($A11, INDEX(AsistenciaJetAdminConcatenada!$D:$D, MATCH(1, (AsistenciaJetAdminConcatenada!$A:$A=FY$2)*(AsistenciaJetAdminConcatenada!$B:$B=FY$1), 0)), 1))),  0.5, 0))</f>
        <v>0</v>
      </c>
      <c r="FZ11" s="47">
        <f t="array" ref="FZ11">IF(AND(ISNUMBER(MATCH(FZ$2, AsistenciaJetAdminConcatenada!$A:$A, 0)), ISNUMBER(MATCH(FZ$1, AsistenciaJetAdminConcatenada!$B:$B, 0)), ISNUMBER(SEARCH($A11,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ISNUMBER(SEARCH($A11, INDEX(AsistenciaJetAdminConcatenada!$D:$D, MATCH(1, (AsistenciaJetAdminConcatenada!$A:$A=FZ$2)*(AsistenciaJetAdminConcatenada!$B:$B=FZ$1), 0)), 1))),  0.5, 0))</f>
        <v>0</v>
      </c>
      <c r="GA11" s="47">
        <f t="array" ref="GA11">IF(AND(ISNUMBER(MATCH(GA$2, AsistenciaJetAdminConcatenada!$A:$A, 0)), ISNUMBER(MATCH(GA$1, AsistenciaJetAdminConcatenada!$B:$B, 0)), ISNUMBER(SEARCH($A11,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ISNUMBER(SEARCH($A11, INDEX(AsistenciaJetAdminConcatenada!$D:$D, MATCH(1, (AsistenciaJetAdminConcatenada!$A:$A=GA$2)*(AsistenciaJetAdminConcatenada!$B:$B=GA$1), 0)), 1))),  0.5, 0))</f>
        <v>0</v>
      </c>
      <c r="GB11" s="47">
        <f t="array" ref="GB11">IF(AND(ISNUMBER(MATCH(GB$2, AsistenciaJetAdminConcatenada!$A:$A, 0)), ISNUMBER(MATCH(GB$1, AsistenciaJetAdminConcatenada!$B:$B, 0)), ISNUMBER(SEARCH($A11,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ISNUMBER(SEARCH($A11, INDEX(AsistenciaJetAdminConcatenada!$D:$D, MATCH(1, (AsistenciaJetAdminConcatenada!$A:$A=GB$2)*(AsistenciaJetAdminConcatenada!$B:$B=GB$1), 0)), 1))),  0.5, 0))</f>
        <v>0</v>
      </c>
      <c r="GC11" s="47">
        <f t="array" ref="GC11">IF(AND(ISNUMBER(MATCH(GC$2, AsistenciaJetAdminConcatenada!$A:$A, 0)), ISNUMBER(MATCH(GC$1, AsistenciaJetAdminConcatenada!$B:$B, 0)), ISNUMBER(SEARCH($A11,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ISNUMBER(SEARCH($A11, INDEX(AsistenciaJetAdminConcatenada!$D:$D, MATCH(1, (AsistenciaJetAdminConcatenada!$A:$A=GC$2)*(AsistenciaJetAdminConcatenada!$B:$B=GC$1), 0)), 1))),  0.5, 0))</f>
        <v>0</v>
      </c>
      <c r="GD11" s="47">
        <f t="array" ref="GD11">IF(AND(ISNUMBER(MATCH(GD$2, AsistenciaJetAdminConcatenada!$A:$A, 0)), ISNUMBER(MATCH(GD$1, AsistenciaJetAdminConcatenada!$B:$B, 0)), ISNUMBER(SEARCH($A11,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ISNUMBER(SEARCH($A11, INDEX(AsistenciaJetAdminConcatenada!$D:$D, MATCH(1, (AsistenciaJetAdminConcatenada!$A:$A=GD$2)*(AsistenciaJetAdminConcatenada!$B:$B=GD$1), 0)), 1))),  0.5, 0))</f>
        <v>0</v>
      </c>
      <c r="GE11" s="47">
        <f t="array" ref="GE11">IF(AND(ISNUMBER(MATCH(GE$2, AsistenciaJetAdminConcatenada!$A:$A, 0)), ISNUMBER(MATCH(GE$1, AsistenciaJetAdminConcatenada!$B:$B, 0)), ISNUMBER(SEARCH($A11,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ISNUMBER(SEARCH($A11, INDEX(AsistenciaJetAdminConcatenada!$D:$D, MATCH(1, (AsistenciaJetAdminConcatenada!$A:$A=GE$2)*(AsistenciaJetAdminConcatenada!$B:$B=GE$1), 0)), 1))),  0.5, 0))</f>
        <v>0</v>
      </c>
      <c r="GF11" s="47">
        <f t="array" ref="GF11">IF(AND(ISNUMBER(MATCH(GF$2, AsistenciaJetAdminConcatenada!$A:$A, 0)), ISNUMBER(MATCH(GF$1, AsistenciaJetAdminConcatenada!$B:$B, 0)), ISNUMBER(SEARCH($A11,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ISNUMBER(SEARCH($A11, INDEX(AsistenciaJetAdminConcatenada!$D:$D, MATCH(1, (AsistenciaJetAdminConcatenada!$A:$A=GF$2)*(AsistenciaJetAdminConcatenada!$B:$B=GF$1), 0)), 1))),  0.5, 0))</f>
        <v>0</v>
      </c>
      <c r="GG11" s="47">
        <f t="array" ref="GG11">IF(AND(ISNUMBER(MATCH(GG$2, AsistenciaJetAdminConcatenada!$A:$A, 0)), ISNUMBER(MATCH(GG$1, AsistenciaJetAdminConcatenada!$B:$B, 0)), ISNUMBER(SEARCH($A11,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ISNUMBER(SEARCH($A11, INDEX(AsistenciaJetAdminConcatenada!$D:$D, MATCH(1, (AsistenciaJetAdminConcatenada!$A:$A=GG$2)*(AsistenciaJetAdminConcatenada!$B:$B=GG$1), 0)), 1))),  0.5, 0))</f>
        <v>0</v>
      </c>
      <c r="GH11" s="47">
        <f t="array" ref="GH11">IF(AND(ISNUMBER(MATCH(GH$2, AsistenciaJetAdminConcatenada!$A:$A, 0)), ISNUMBER(MATCH(GH$1, AsistenciaJetAdminConcatenada!$B:$B, 0)), ISNUMBER(SEARCH($A11,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ISNUMBER(SEARCH($A11, INDEX(AsistenciaJetAdminConcatenada!$D:$D, MATCH(1, (AsistenciaJetAdminConcatenada!$A:$A=GH$2)*(AsistenciaJetAdminConcatenada!$B:$B=GH$1), 0)), 1))),  0.5, 0))</f>
        <v>0</v>
      </c>
      <c r="GI11" s="47">
        <f t="array" ref="GI11">IF(AND(ISNUMBER(MATCH(GI$2, AsistenciaJetAdminConcatenada!$A:$A, 0)), ISNUMBER(MATCH(GI$1, AsistenciaJetAdminConcatenada!$B:$B, 0)), ISNUMBER(SEARCH($A11,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ISNUMBER(SEARCH($A11, INDEX(AsistenciaJetAdminConcatenada!$D:$D, MATCH(1, (AsistenciaJetAdminConcatenada!$A:$A=GI$2)*(AsistenciaJetAdminConcatenada!$B:$B=GI$1), 0)), 1))),  0.5, 0))</f>
        <v>0</v>
      </c>
      <c r="GJ11" s="47">
        <f t="array" ref="GJ11">IF(AND(ISNUMBER(MATCH(GJ$2, AsistenciaJetAdminConcatenada!$A:$A, 0)), ISNUMBER(MATCH(GJ$1, AsistenciaJetAdminConcatenada!$B:$B, 0)), ISNUMBER(SEARCH($A11,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ISNUMBER(SEARCH($A11, INDEX(AsistenciaJetAdminConcatenada!$D:$D, MATCH(1, (AsistenciaJetAdminConcatenada!$A:$A=GJ$2)*(AsistenciaJetAdminConcatenada!$B:$B=GJ$1), 0)), 1))),  0.5, 0))</f>
        <v>0</v>
      </c>
      <c r="GK11" s="47">
        <f t="array" ref="GK11">IF(AND(ISNUMBER(MATCH(GK$2, AsistenciaJetAdminConcatenada!$A:$A, 0)), ISNUMBER(MATCH(GK$1, AsistenciaJetAdminConcatenada!$B:$B, 0)), ISNUMBER(SEARCH($A11,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ISNUMBER(SEARCH($A11, INDEX(AsistenciaJetAdminConcatenada!$D:$D, MATCH(1, (AsistenciaJetAdminConcatenada!$A:$A=GK$2)*(AsistenciaJetAdminConcatenada!$B:$B=GK$1), 0)), 1))),  0.5, 0))</f>
        <v>0</v>
      </c>
      <c r="GL11" s="47">
        <f t="array" ref="GL11">IF(AND(ISNUMBER(MATCH(GL$2, AsistenciaJetAdminConcatenada!$A:$A, 0)), ISNUMBER(MATCH(GL$1, AsistenciaJetAdminConcatenada!$B:$B, 0)), ISNUMBER(SEARCH($A11,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ISNUMBER(SEARCH($A11, INDEX(AsistenciaJetAdminConcatenada!$D:$D, MATCH(1, (AsistenciaJetAdminConcatenada!$A:$A=GL$2)*(AsistenciaJetAdminConcatenada!$B:$B=GL$1), 0)), 1))),  0.5, 0))</f>
        <v>0</v>
      </c>
      <c r="GM11" s="47">
        <f t="array" ref="GM11">IF(AND(ISNUMBER(MATCH(GM$2, AsistenciaJetAdminConcatenada!$A:$A, 0)), ISNUMBER(MATCH(GM$1, AsistenciaJetAdminConcatenada!$B:$B, 0)), ISNUMBER(SEARCH($A11,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ISNUMBER(SEARCH($A11, INDEX(AsistenciaJetAdminConcatenada!$D:$D, MATCH(1, (AsistenciaJetAdminConcatenada!$A:$A=GM$2)*(AsistenciaJetAdminConcatenada!$B:$B=GM$1), 0)), 1))),  0.5, 0))</f>
        <v>0</v>
      </c>
      <c r="GN11" s="47">
        <f t="array" ref="GN11">IF(AND(ISNUMBER(MATCH(GN$2, AsistenciaJetAdminConcatenada!$A:$A, 0)), ISNUMBER(MATCH(GN$1, AsistenciaJetAdminConcatenada!$B:$B, 0)), ISNUMBER(SEARCH($A11,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ISNUMBER(SEARCH($A11, INDEX(AsistenciaJetAdminConcatenada!$D:$D, MATCH(1, (AsistenciaJetAdminConcatenada!$A:$A=GN$2)*(AsistenciaJetAdminConcatenada!$B:$B=GN$1), 0)), 1))),  0.5, 0))</f>
        <v>0</v>
      </c>
      <c r="GO11" s="47">
        <f t="array" ref="GO11">IF(AND(ISNUMBER(MATCH(GO$2, AsistenciaJetAdminConcatenada!$A:$A, 0)), ISNUMBER(MATCH(GO$1, AsistenciaJetAdminConcatenada!$B:$B, 0)), ISNUMBER(SEARCH($A11,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ISNUMBER(SEARCH($A11, INDEX(AsistenciaJetAdminConcatenada!$D:$D, MATCH(1, (AsistenciaJetAdminConcatenada!$A:$A=GO$2)*(AsistenciaJetAdminConcatenada!$B:$B=GO$1), 0)), 1))),  0.5, 0))</f>
        <v>0</v>
      </c>
      <c r="GP11" s="47">
        <f t="array" ref="GP11">IF(AND(ISNUMBER(MATCH(GP$2, AsistenciaJetAdminConcatenada!$A:$A, 0)), ISNUMBER(MATCH(GP$1, AsistenciaJetAdminConcatenada!$B:$B, 0)), ISNUMBER(SEARCH($A11,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ISNUMBER(SEARCH($A11, INDEX(AsistenciaJetAdminConcatenada!$D:$D, MATCH(1, (AsistenciaJetAdminConcatenada!$A:$A=GP$2)*(AsistenciaJetAdminConcatenada!$B:$B=GP$1), 0)), 1))),  0.5, 0))</f>
        <v>0</v>
      </c>
      <c r="GQ11" s="47">
        <f t="array" ref="GQ11">IF(AND(ISNUMBER(MATCH(GQ$2, AsistenciaJetAdminConcatenada!$A:$A, 0)), ISNUMBER(MATCH(GQ$1, AsistenciaJetAdminConcatenada!$B:$B, 0)), ISNUMBER(SEARCH($A11,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ISNUMBER(SEARCH($A11, INDEX(AsistenciaJetAdminConcatenada!$D:$D, MATCH(1, (AsistenciaJetAdminConcatenada!$A:$A=GQ$2)*(AsistenciaJetAdminConcatenada!$B:$B=GQ$1), 0)), 1))),  0.5, 0))</f>
        <v>0</v>
      </c>
      <c r="GR11" s="47">
        <f t="array" ref="GR11">IF(AND(ISNUMBER(MATCH(GR$2, AsistenciaJetAdminConcatenada!$A:$A, 0)), ISNUMBER(MATCH(GR$1, AsistenciaJetAdminConcatenada!$B:$B, 0)), ISNUMBER(SEARCH($A11,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ISNUMBER(SEARCH($A11, INDEX(AsistenciaJetAdminConcatenada!$D:$D, MATCH(1, (AsistenciaJetAdminConcatenada!$A:$A=GR$2)*(AsistenciaJetAdminConcatenada!$B:$B=GR$1), 0)), 1))),  0.5, 0))</f>
        <v>0</v>
      </c>
      <c r="GS11" s="47">
        <f t="array" ref="GS11">IF(AND(ISNUMBER(MATCH(GS$2, AsistenciaJetAdminConcatenada!$A:$A, 0)), ISNUMBER(MATCH(GS$1, AsistenciaJetAdminConcatenada!$B:$B, 0)), ISNUMBER(SEARCH($A11,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ISNUMBER(SEARCH($A11, INDEX(AsistenciaJetAdminConcatenada!$D:$D, MATCH(1, (AsistenciaJetAdminConcatenada!$A:$A=GS$2)*(AsistenciaJetAdminConcatenada!$B:$B=GS$1), 0)), 1))),  0.5, 0))</f>
        <v>0</v>
      </c>
      <c r="GT11" s="47">
        <f t="array" ref="GT11">IF(AND(ISNUMBER(MATCH(GT$2, AsistenciaJetAdminConcatenada!$A:$A, 0)), ISNUMBER(MATCH(GT$1, AsistenciaJetAdminConcatenada!$B:$B, 0)), ISNUMBER(SEARCH($A11,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ISNUMBER(SEARCH($A11, INDEX(AsistenciaJetAdminConcatenada!$D:$D, MATCH(1, (AsistenciaJetAdminConcatenada!$A:$A=GT$2)*(AsistenciaJetAdminConcatenada!$B:$B=GT$1), 0)), 1))),  0.5, 0))</f>
        <v>0</v>
      </c>
      <c r="GU11" s="47">
        <f t="array" ref="GU11">IF(AND(ISNUMBER(MATCH(GU$2, AsistenciaJetAdminConcatenada!$A:$A, 0)), ISNUMBER(MATCH(GU$1, AsistenciaJetAdminConcatenada!$B:$B, 0)), ISNUMBER(SEARCH($A11,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ISNUMBER(SEARCH($A11, INDEX(AsistenciaJetAdminConcatenada!$D:$D, MATCH(1, (AsistenciaJetAdminConcatenada!$A:$A=GU$2)*(AsistenciaJetAdminConcatenada!$B:$B=GU$1), 0)), 1))),  0.5, 0))</f>
        <v>0</v>
      </c>
      <c r="GV11" s="47">
        <f t="array" ref="GV11">IF(AND(ISNUMBER(MATCH(GV$2, AsistenciaJetAdminConcatenada!$A:$A, 0)), ISNUMBER(MATCH(GV$1, AsistenciaJetAdminConcatenada!$B:$B, 0)), ISNUMBER(SEARCH($A11,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ISNUMBER(SEARCH($A11, INDEX(AsistenciaJetAdminConcatenada!$D:$D, MATCH(1, (AsistenciaJetAdminConcatenada!$A:$A=GV$2)*(AsistenciaJetAdminConcatenada!$B:$B=GV$1), 0)), 1))),  0.5, 0))</f>
        <v>0</v>
      </c>
      <c r="GW11" s="47">
        <f t="array" ref="GW11">IF(AND(ISNUMBER(MATCH(GW$2, AsistenciaJetAdminConcatenada!$A:$A, 0)), ISNUMBER(MATCH(GW$1, AsistenciaJetAdminConcatenada!$B:$B, 0)), ISNUMBER(SEARCH($A11,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ISNUMBER(SEARCH($A11, INDEX(AsistenciaJetAdminConcatenada!$D:$D, MATCH(1, (AsistenciaJetAdminConcatenada!$A:$A=GW$2)*(AsistenciaJetAdminConcatenada!$B:$B=GW$1), 0)), 1))),  0.5, 0))</f>
        <v>0</v>
      </c>
      <c r="GX11" s="47">
        <f t="array" ref="GX11">IF(AND(ISNUMBER(MATCH(GX$2, AsistenciaJetAdminConcatenada!$A:$A, 0)), ISNUMBER(MATCH(GX$1, AsistenciaJetAdminConcatenada!$B:$B, 0)), ISNUMBER(SEARCH($A11,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ISNUMBER(SEARCH($A11, INDEX(AsistenciaJetAdminConcatenada!$D:$D, MATCH(1, (AsistenciaJetAdminConcatenada!$A:$A=GX$2)*(AsistenciaJetAdminConcatenada!$B:$B=GX$1), 0)), 1))),  0.5, 0))</f>
        <v>0</v>
      </c>
      <c r="GY11" s="47">
        <f t="array" ref="GY11">IF(AND(ISNUMBER(MATCH(GY$2, AsistenciaJetAdminConcatenada!$A:$A, 0)), ISNUMBER(MATCH(GY$1, AsistenciaJetAdminConcatenada!$B:$B, 0)), ISNUMBER(SEARCH($A11,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ISNUMBER(SEARCH($A11, INDEX(AsistenciaJetAdminConcatenada!$D:$D, MATCH(1, (AsistenciaJetAdminConcatenada!$A:$A=GY$2)*(AsistenciaJetAdminConcatenada!$B:$B=GY$1), 0)), 1))),  0.5, 0))</f>
        <v>0</v>
      </c>
      <c r="GZ11" s="47">
        <f t="array" ref="GZ11">IF(AND(ISNUMBER(MATCH(GZ$2, AsistenciaJetAdminConcatenada!$A:$A, 0)), ISNUMBER(MATCH(GZ$1, AsistenciaJetAdminConcatenada!$B:$B, 0)), ISNUMBER(SEARCH($A11,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ISNUMBER(SEARCH($A11, INDEX(AsistenciaJetAdminConcatenada!$D:$D, MATCH(1, (AsistenciaJetAdminConcatenada!$A:$A=GZ$2)*(AsistenciaJetAdminConcatenada!$B:$B=GZ$1), 0)), 1))),  0.5, 0))</f>
        <v>0</v>
      </c>
      <c r="HA11" s="47">
        <f t="array" ref="HA11">IF(AND(ISNUMBER(MATCH(HA$2, AsistenciaJetAdminConcatenada!$A:$A, 0)), ISNUMBER(MATCH(HA$1, AsistenciaJetAdminConcatenada!$B:$B, 0)), ISNUMBER(SEARCH($A11,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ISNUMBER(SEARCH($A11, INDEX(AsistenciaJetAdminConcatenada!$D:$D, MATCH(1, (AsistenciaJetAdminConcatenada!$A:$A=HA$2)*(AsistenciaJetAdminConcatenada!$B:$B=HA$1), 0)), 1))),  0.5, 0))</f>
        <v>0</v>
      </c>
      <c r="HB11" s="47">
        <f t="array" ref="HB11">IF(AND(ISNUMBER(MATCH(HB$2, AsistenciaJetAdminConcatenada!$A:$A, 0)), ISNUMBER(MATCH(HB$1, AsistenciaJetAdminConcatenada!$B:$B, 0)), ISNUMBER(SEARCH($A11,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ISNUMBER(SEARCH($A11, INDEX(AsistenciaJetAdminConcatenada!$D:$D, MATCH(1, (AsistenciaJetAdminConcatenada!$A:$A=HB$2)*(AsistenciaJetAdminConcatenada!$B:$B=HB$1), 0)), 1))),  0.5, 0))</f>
        <v>0</v>
      </c>
      <c r="HC11" s="47">
        <f t="array" ref="HC11">IF(AND(ISNUMBER(MATCH(HC$2, AsistenciaJetAdminConcatenada!$A:$A, 0)), ISNUMBER(MATCH(HC$1, AsistenciaJetAdminConcatenada!$B:$B, 0)), ISNUMBER(SEARCH($A11,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ISNUMBER(SEARCH($A11, INDEX(AsistenciaJetAdminConcatenada!$D:$D, MATCH(1, (AsistenciaJetAdminConcatenada!$A:$A=HC$2)*(AsistenciaJetAdminConcatenada!$B:$B=HC$1), 0)), 1))),  0.5, 0))</f>
        <v>0</v>
      </c>
    </row>
    <row r="12" ht="29.25" customHeight="1">
      <c r="A12" s="3">
        <v>195.0</v>
      </c>
      <c r="B12" s="4" t="s">
        <v>630</v>
      </c>
      <c r="C12" s="47">
        <f>SUM(D12:HC12) + ActividadesEspeciales!C12</f>
        <v>70.5</v>
      </c>
      <c r="D12" s="47">
        <f t="array" ref="D12">IF(AND(ISNUMBER(MATCH(D$2, AsistenciaJetAdminConcatenada!$A:$A, 0)), ISNUMBER(MATCH(D$1, AsistenciaJetAdminConcatenada!$B:$B, 0)), ISNUMBER(SEARCH($A12,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ISNUMBER(SEARCH($A12, INDEX(AsistenciaJetAdminConcatenada!$D:$D, MATCH(1, (AsistenciaJetAdminConcatenada!$A:$A=D$2)*(AsistenciaJetAdminConcatenada!$B:$B=D$1), 0)), 1))),  0.5, 0))</f>
        <v>1</v>
      </c>
      <c r="E12" s="47">
        <f t="array" ref="E12">IF(AND(ISNUMBER(MATCH(E$2, AsistenciaJetAdminConcatenada!$A:$A, 0)), ISNUMBER(MATCH(E$1, AsistenciaJetAdminConcatenada!$B:$B, 0)), ISNUMBER(SEARCH($A12,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ISNUMBER(SEARCH($A12, INDEX(AsistenciaJetAdminConcatenada!$D:$D, MATCH(1, (AsistenciaJetAdminConcatenada!$A:$A=E$2)*(AsistenciaJetAdminConcatenada!$B:$B=E$1), 0)), 1))),  0.5, 0))</f>
        <v>1</v>
      </c>
      <c r="F12" s="47">
        <f t="array" ref="F12">IF(AND(ISNUMBER(MATCH(F$2, AsistenciaJetAdminConcatenada!$A:$A, 0)), ISNUMBER(MATCH(F$1, AsistenciaJetAdminConcatenada!$B:$B, 0)), ISNUMBER(SEARCH($A12,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ISNUMBER(SEARCH($A12, INDEX(AsistenciaJetAdminConcatenada!$D:$D, MATCH(1, (AsistenciaJetAdminConcatenada!$A:$A=F$2)*(AsistenciaJetAdminConcatenada!$B:$B=F$1), 0)), 1))),  0.5, 0))</f>
        <v>1</v>
      </c>
      <c r="G12" s="47">
        <f t="array" ref="G12">IF(AND(ISNUMBER(MATCH(G$2, AsistenciaJetAdminConcatenada!$A:$A, 0)), ISNUMBER(MATCH(G$1, AsistenciaJetAdminConcatenada!$B:$B, 0)), ISNUMBER(SEARCH($A12,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ISNUMBER(SEARCH($A12, INDEX(AsistenciaJetAdminConcatenada!$D:$D, MATCH(1, (AsistenciaJetAdminConcatenada!$A:$A=G$2)*(AsistenciaJetAdminConcatenada!$B:$B=G$1), 0)), 1))),  0.5, 0))</f>
        <v>1</v>
      </c>
      <c r="H12" s="47">
        <f t="array" ref="H12">IF(AND(ISNUMBER(MATCH(H$2, AsistenciaJetAdminConcatenada!$A:$A, 0)), ISNUMBER(MATCH(H$1, AsistenciaJetAdminConcatenada!$B:$B, 0)), ISNUMBER(SEARCH($A12,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ISNUMBER(SEARCH($A12, INDEX(AsistenciaJetAdminConcatenada!$D:$D, MATCH(1, (AsistenciaJetAdminConcatenada!$A:$A=H$2)*(AsistenciaJetAdminConcatenada!$B:$B=H$1), 0)), 1))),  0.5, 0))</f>
        <v>1</v>
      </c>
      <c r="I12" s="47">
        <f t="array" ref="I12">IF(AND(ISNUMBER(MATCH(I$2, AsistenciaJetAdminConcatenada!$A:$A, 0)), ISNUMBER(MATCH(I$1, AsistenciaJetAdminConcatenada!$B:$B, 0)), ISNUMBER(SEARCH($A12,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ISNUMBER(SEARCH($A12, INDEX(AsistenciaJetAdminConcatenada!$D:$D, MATCH(1, (AsistenciaJetAdminConcatenada!$A:$A=I$2)*(AsistenciaJetAdminConcatenada!$B:$B=I$1), 0)), 1))),  0.5, 0))</f>
        <v>1</v>
      </c>
      <c r="J12" s="47">
        <f t="array" ref="J12">IF(AND(ISNUMBER(MATCH(J$2, AsistenciaJetAdminConcatenada!$A:$A, 0)), ISNUMBER(MATCH(J$1, AsistenciaJetAdminConcatenada!$B:$B, 0)), ISNUMBER(SEARCH($A12,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ISNUMBER(SEARCH($A12, INDEX(AsistenciaJetAdminConcatenada!$D:$D, MATCH(1, (AsistenciaJetAdminConcatenada!$A:$A=J$2)*(AsistenciaJetAdminConcatenada!$B:$B=J$1), 0)), 1))),  0.5, 0))</f>
        <v>1</v>
      </c>
      <c r="K12" s="47">
        <f t="array" ref="K12">IF(AND(ISNUMBER(MATCH(K$2, AsistenciaJetAdminConcatenada!$A:$A, 0)), ISNUMBER(MATCH(K$1, AsistenciaJetAdminConcatenada!$B:$B, 0)), ISNUMBER(SEARCH($A12,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ISNUMBER(SEARCH($A12, INDEX(AsistenciaJetAdminConcatenada!$D:$D, MATCH(1, (AsistenciaJetAdminConcatenada!$A:$A=K$2)*(AsistenciaJetAdminConcatenada!$B:$B=K$1), 0)), 1))),  0.5, 0))</f>
        <v>1</v>
      </c>
      <c r="L12" s="47">
        <f t="array" ref="L12">IF(AND(ISNUMBER(MATCH(L$2, AsistenciaJetAdminConcatenada!$A:$A, 0)), ISNUMBER(MATCH(L$1, AsistenciaJetAdminConcatenada!$B:$B, 0)), ISNUMBER(SEARCH($A12,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ISNUMBER(SEARCH($A12, INDEX(AsistenciaJetAdminConcatenada!$D:$D, MATCH(1, (AsistenciaJetAdminConcatenada!$A:$A=L$2)*(AsistenciaJetAdminConcatenada!$B:$B=L$1), 0)), 1))),  0.5, 0))</f>
        <v>1</v>
      </c>
      <c r="M12" s="47">
        <f t="array" ref="M12">IF(AND(ISNUMBER(MATCH(M$2, AsistenciaJetAdminConcatenada!$A:$A, 0)), ISNUMBER(MATCH(M$1, AsistenciaJetAdminConcatenada!$B:$B, 0)), ISNUMBER(SEARCH($A12,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ISNUMBER(SEARCH($A12, INDEX(AsistenciaJetAdminConcatenada!$D:$D, MATCH(1, (AsistenciaJetAdminConcatenada!$A:$A=M$2)*(AsistenciaJetAdminConcatenada!$B:$B=M$1), 0)), 1))),  0.5, 0))</f>
        <v>1</v>
      </c>
      <c r="N12" s="47">
        <f t="array" ref="N12">IF(AND(ISNUMBER(MATCH(N$2, AsistenciaJetAdminConcatenada!$A:$A, 0)), ISNUMBER(MATCH(N$1, AsistenciaJetAdminConcatenada!$B:$B, 0)), ISNUMBER(SEARCH($A12,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ISNUMBER(SEARCH($A12, INDEX(AsistenciaJetAdminConcatenada!$D:$D, MATCH(1, (AsistenciaJetAdminConcatenada!$A:$A=N$2)*(AsistenciaJetAdminConcatenada!$B:$B=N$1), 0)), 1))),  0.5, 0))</f>
        <v>0</v>
      </c>
      <c r="O12" s="47">
        <f t="array" ref="O12">IF(AND(ISNUMBER(MATCH(O$2, AsistenciaJetAdminConcatenada!$A:$A, 0)), ISNUMBER(MATCH(O$1, AsistenciaJetAdminConcatenada!$B:$B, 0)), ISNUMBER(SEARCH($A12,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ISNUMBER(SEARCH($A12, INDEX(AsistenciaJetAdminConcatenada!$D:$D, MATCH(1, (AsistenciaJetAdminConcatenada!$A:$A=O$2)*(AsistenciaJetAdminConcatenada!$B:$B=O$1), 0)), 1))),  0.5, 0))</f>
        <v>1</v>
      </c>
      <c r="P12" s="47">
        <f t="array" ref="P12">IF(AND(ISNUMBER(MATCH(P$2, AsistenciaJetAdminConcatenada!$A:$A, 0)), ISNUMBER(MATCH(P$1, AsistenciaJetAdminConcatenada!$B:$B, 0)), ISNUMBER(SEARCH($A12, INDEX(AsistenciaJetAdminConcatenada!$C:$C, MATCH(1, (AsistenciaJetAdminConcatenada!$A:$A=P$2)*(AsistenciaJetAdminConcatenada!$B:$B=P$1), 0)), 1))), 1, IF(AND(ISNUMBER(MATCH(P$2, AsistenciaJetAdminConcatenada!$A:$A, 0)), ISNUMBER(MATCH(P$1, AsistenciaJetAdminConcatenada!$B:$B, 0)), ISNUMBER(SEARCH($A12, INDEX(AsistenciaJetAdminConcatenada!$D:$D, MATCH(1, (AsistenciaJetAdminConcatenada!$A:$A=P$2)*(AsistenciaJetAdminConcatenada!$B:$B=P$1), 0)), 1))),  0.5, 0))</f>
        <v>0</v>
      </c>
      <c r="Q12" s="47">
        <f t="array" ref="Q12">IF(AND(ISNUMBER(MATCH(Q$2, AsistenciaJetAdminConcatenada!$A:$A, 0)), ISNUMBER(MATCH(Q$1, AsistenciaJetAdminConcatenada!$B:$B, 0)), ISNUMBER(SEARCH($A12, INDEX(AsistenciaJetAdminConcatenada!$C:$C, MATCH(1, (AsistenciaJetAdminConcatenada!$A:$A=Q$2)*(AsistenciaJetAdminConcatenada!$B:$B=Q$1), 0)), 1))), 1, IF(AND(ISNUMBER(MATCH(Q$2, AsistenciaJetAdminConcatenada!$A:$A, 0)), ISNUMBER(MATCH(Q$1, AsistenciaJetAdminConcatenada!$B:$B, 0)), ISNUMBER(SEARCH($A12, INDEX(AsistenciaJetAdminConcatenada!$D:$D, MATCH(1, (AsistenciaJetAdminConcatenada!$A:$A=Q$2)*(AsistenciaJetAdminConcatenada!$B:$B=Q$1), 0)), 1))),  0.5, 0))</f>
        <v>1</v>
      </c>
      <c r="R12" s="47">
        <f t="array" ref="R12">IF(AND(ISNUMBER(MATCH(R$2, AsistenciaJetAdminConcatenada!$A:$A, 0)), ISNUMBER(MATCH(R$1, AsistenciaJetAdminConcatenada!$B:$B, 0)), ISNUMBER(SEARCH($A12,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ISNUMBER(SEARCH($A12, INDEX(AsistenciaJetAdminConcatenada!$D:$D, MATCH(1, (AsistenciaJetAdminConcatenada!$A:$A=R$2)*(AsistenciaJetAdminConcatenada!$B:$B=R$1), 0)), 1))),  0.5, 0))</f>
        <v>1</v>
      </c>
      <c r="S12" s="47">
        <f t="array" ref="S12">IF(AND(ISNUMBER(MATCH(S$2, AsistenciaJetAdminConcatenada!$A:$A, 0)), ISNUMBER(MATCH(S$1, AsistenciaJetAdminConcatenada!$B:$B, 0)), ISNUMBER(SEARCH($A12,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ISNUMBER(SEARCH($A12, INDEX(AsistenciaJetAdminConcatenada!$D:$D, MATCH(1, (AsistenciaJetAdminConcatenada!$A:$A=S$2)*(AsistenciaJetAdminConcatenada!$B:$B=S$1), 0)), 1))),  0.5, 0))</f>
        <v>1</v>
      </c>
      <c r="T12" s="47">
        <f t="array" ref="T12">IF(AND(ISNUMBER(MATCH(T$2, AsistenciaJetAdminConcatenada!$A:$A, 0)), ISNUMBER(MATCH(T$1, AsistenciaJetAdminConcatenada!$B:$B, 0)), ISNUMBER(SEARCH($A12,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ISNUMBER(SEARCH($A12, INDEX(AsistenciaJetAdminConcatenada!$D:$D, MATCH(1, (AsistenciaJetAdminConcatenada!$A:$A=T$2)*(AsistenciaJetAdminConcatenada!$B:$B=T$1), 0)), 1))),  0.5, 0))</f>
        <v>1</v>
      </c>
      <c r="U12" s="47">
        <f t="array" ref="U12">IF(AND(ISNUMBER(MATCH(U$2, AsistenciaJetAdminConcatenada!$A:$A, 0)), ISNUMBER(MATCH(U$1, AsistenciaJetAdminConcatenada!$B:$B, 0)), ISNUMBER(SEARCH($A12,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ISNUMBER(SEARCH($A12, INDEX(AsistenciaJetAdminConcatenada!$D:$D, MATCH(1, (AsistenciaJetAdminConcatenada!$A:$A=U$2)*(AsistenciaJetAdminConcatenada!$B:$B=U$1), 0)), 1))),  0.5, 0))</f>
        <v>1</v>
      </c>
      <c r="V12" s="47">
        <f t="array" ref="V12">IF(AND(ISNUMBER(MATCH(V$2, AsistenciaJetAdminConcatenada!$A:$A, 0)), ISNUMBER(MATCH(V$1, AsistenciaJetAdminConcatenada!$B:$B, 0)), ISNUMBER(SEARCH($A12,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ISNUMBER(SEARCH($A12, INDEX(AsistenciaJetAdminConcatenada!$D:$D, MATCH(1, (AsistenciaJetAdminConcatenada!$A:$A=V$2)*(AsistenciaJetAdminConcatenada!$B:$B=V$1), 0)), 1))),  0.5, 0))</f>
        <v>0</v>
      </c>
      <c r="W12" s="47">
        <f t="array" ref="W12">IF(AND(ISNUMBER(MATCH(W$2, AsistenciaJetAdminConcatenada!$A:$A, 0)), ISNUMBER(MATCH(W$1, AsistenciaJetAdminConcatenada!$B:$B, 0)), ISNUMBER(SEARCH($A12,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ISNUMBER(SEARCH($A12, INDEX(AsistenciaJetAdminConcatenada!$D:$D, MATCH(1, (AsistenciaJetAdminConcatenada!$A:$A=W$2)*(AsistenciaJetAdminConcatenada!$B:$B=W$1), 0)), 1))),  0.5, 0))</f>
        <v>1</v>
      </c>
      <c r="X12" s="47">
        <f t="array" ref="X12">IF(AND(ISNUMBER(MATCH(X$2, AsistenciaJetAdminConcatenada!$A:$A, 0)), ISNUMBER(MATCH(X$1, AsistenciaJetAdminConcatenada!$B:$B, 0)), ISNUMBER(SEARCH($A12,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ISNUMBER(SEARCH($A12, INDEX(AsistenciaJetAdminConcatenada!$D:$D, MATCH(1, (AsistenciaJetAdminConcatenada!$A:$A=X$2)*(AsistenciaJetAdminConcatenada!$B:$B=X$1), 0)), 1))),  0.5, 0))</f>
        <v>1</v>
      </c>
      <c r="Y12" s="47">
        <f t="array" ref="Y12">IF(AND(ISNUMBER(MATCH(Y$2, AsistenciaJetAdminConcatenada!$A:$A, 0)), ISNUMBER(MATCH(Y$1, AsistenciaJetAdminConcatenada!$B:$B, 0)), ISNUMBER(SEARCH($A12,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ISNUMBER(SEARCH($A12, INDEX(AsistenciaJetAdminConcatenada!$D:$D, MATCH(1, (AsistenciaJetAdminConcatenada!$A:$A=Y$2)*(AsistenciaJetAdminConcatenada!$B:$B=Y$1), 0)), 1))),  0.5, 0))</f>
        <v>1</v>
      </c>
      <c r="Z12" s="47">
        <f t="array" ref="Z12">IF(AND(ISNUMBER(MATCH(Z$2, AsistenciaJetAdminConcatenada!$A:$A, 0)), ISNUMBER(MATCH(Z$1, AsistenciaJetAdminConcatenada!$B:$B, 0)), ISNUMBER(SEARCH($A12,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ISNUMBER(SEARCH($A12, INDEX(AsistenciaJetAdminConcatenada!$D:$D, MATCH(1, (AsistenciaJetAdminConcatenada!$A:$A=Z$2)*(AsistenciaJetAdminConcatenada!$B:$B=Z$1), 0)), 1))),  0.5, 0))</f>
        <v>1</v>
      </c>
      <c r="AA12" s="47">
        <f t="array" ref="AA12">IF(AND(ISNUMBER(MATCH(AA$2, AsistenciaJetAdminConcatenada!$A:$A, 0)), ISNUMBER(MATCH(AA$1, AsistenciaJetAdminConcatenada!$B:$B, 0)), ISNUMBER(SEARCH($A12,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ISNUMBER(SEARCH($A12, INDEX(AsistenciaJetAdminConcatenada!$D:$D, MATCH(1, (AsistenciaJetAdminConcatenada!$A:$A=AA$2)*(AsistenciaJetAdminConcatenada!$B:$B=AA$1), 0)), 1))),  0.5, 0))</f>
        <v>0</v>
      </c>
      <c r="AB12" s="47">
        <f t="array" ref="AB12">IF(AND(ISNUMBER(MATCH(AB$2, AsistenciaJetAdminConcatenada!$A:$A, 0)), ISNUMBER(MATCH(AB$1, AsistenciaJetAdminConcatenada!$B:$B, 0)), ISNUMBER(SEARCH($A12,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ISNUMBER(SEARCH($A12, INDEX(AsistenciaJetAdminConcatenada!$D:$D, MATCH(1, (AsistenciaJetAdminConcatenada!$A:$A=AB$2)*(AsistenciaJetAdminConcatenada!$B:$B=AB$1), 0)), 1))),  0.5, 0))</f>
        <v>1</v>
      </c>
      <c r="AC12" s="47">
        <f t="array" ref="AC12">IF(AND(ISNUMBER(MATCH(AC$2, AsistenciaJetAdminConcatenada!$A:$A, 0)), ISNUMBER(MATCH(AC$1, AsistenciaJetAdminConcatenada!$B:$B, 0)), ISNUMBER(SEARCH($A12,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ISNUMBER(SEARCH($A12, INDEX(AsistenciaJetAdminConcatenada!$D:$D, MATCH(1, (AsistenciaJetAdminConcatenada!$A:$A=AC$2)*(AsistenciaJetAdminConcatenada!$B:$B=AC$1), 0)), 1))),  0.5, 0))</f>
        <v>1</v>
      </c>
      <c r="AD12" s="47">
        <f t="array" ref="AD12">IF(AND(ISNUMBER(MATCH(AD$2, AsistenciaJetAdminConcatenada!$A:$A, 0)), ISNUMBER(MATCH(AD$1, AsistenciaJetAdminConcatenada!$B:$B, 0)), ISNUMBER(SEARCH($A12,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ISNUMBER(SEARCH($A12, INDEX(AsistenciaJetAdminConcatenada!$D:$D, MATCH(1, (AsistenciaJetAdminConcatenada!$A:$A=AD$2)*(AsistenciaJetAdminConcatenada!$B:$B=AD$1), 0)), 1))),  0.5, 0))</f>
        <v>1</v>
      </c>
      <c r="AE12" s="47">
        <f t="array" ref="AE12">IF(AND(ISNUMBER(MATCH(AE$2, AsistenciaJetAdminConcatenada!$A:$A, 0)), ISNUMBER(MATCH(AE$1, AsistenciaJetAdminConcatenada!$B:$B, 0)), ISNUMBER(SEARCH($A12,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ISNUMBER(SEARCH($A12, INDEX(AsistenciaJetAdminConcatenada!$D:$D, MATCH(1, (AsistenciaJetAdminConcatenada!$A:$A=AE$2)*(AsistenciaJetAdminConcatenada!$B:$B=AE$1), 0)), 1))),  0.5, 0))</f>
        <v>0</v>
      </c>
      <c r="AF12" s="47">
        <f t="array" ref="AF12">IF(AND(ISNUMBER(MATCH(AF$2, AsistenciaJetAdminConcatenada!$A:$A, 0)), ISNUMBER(MATCH(AF$1, AsistenciaJetAdminConcatenada!$B:$B, 0)), ISNUMBER(SEARCH($A12,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ISNUMBER(SEARCH($A12, INDEX(AsistenciaJetAdminConcatenada!$D:$D, MATCH(1, (AsistenciaJetAdminConcatenada!$A:$A=AF$2)*(AsistenciaJetAdminConcatenada!$B:$B=AF$1), 0)), 1))),  0.5, 0))</f>
        <v>0</v>
      </c>
      <c r="AG12" s="47">
        <f t="array" ref="AG12">IF(AND(ISNUMBER(MATCH(AG$2, AsistenciaJetAdminConcatenada!$A:$A, 0)), ISNUMBER(MATCH(AG$1, AsistenciaJetAdminConcatenada!$B:$B, 0)), ISNUMBER(SEARCH($A12,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ISNUMBER(SEARCH($A12, INDEX(AsistenciaJetAdminConcatenada!$D:$D, MATCH(1, (AsistenciaJetAdminConcatenada!$A:$A=AG$2)*(AsistenciaJetAdminConcatenada!$B:$B=AG$1), 0)), 1))),  0.5, 0))</f>
        <v>0</v>
      </c>
      <c r="AH12" s="47">
        <f t="array" ref="AH12">IF(AND(ISNUMBER(MATCH(AH$2, AsistenciaJetAdminConcatenada!$A:$A, 0)), ISNUMBER(MATCH(AH$1, AsistenciaJetAdminConcatenada!$B:$B, 0)), ISNUMBER(SEARCH($A12,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ISNUMBER(SEARCH($A12, INDEX(AsistenciaJetAdminConcatenada!$D:$D, MATCH(1, (AsistenciaJetAdminConcatenada!$A:$A=AH$2)*(AsistenciaJetAdminConcatenada!$B:$B=AH$1), 0)), 1))),  0.5, 0))</f>
        <v>0</v>
      </c>
      <c r="AI12" s="47">
        <f t="array" ref="AI12">IF(AND(ISNUMBER(MATCH(AI$2, AsistenciaJetAdminConcatenada!$A:$A, 0)), ISNUMBER(MATCH(AI$1, AsistenciaJetAdminConcatenada!$B:$B, 0)), ISNUMBER(SEARCH($A12,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ISNUMBER(SEARCH($A12, INDEX(AsistenciaJetAdminConcatenada!$D:$D, MATCH(1, (AsistenciaJetAdminConcatenada!$A:$A=AI$2)*(AsistenciaJetAdminConcatenada!$B:$B=AI$1), 0)), 1))),  0.5, 0))</f>
        <v>1</v>
      </c>
      <c r="AJ12" s="47">
        <f t="array" ref="AJ12">IF(AND(ISNUMBER(MATCH(AJ$2, AsistenciaJetAdminConcatenada!$A:$A, 0)), ISNUMBER(MATCH(AJ$1, AsistenciaJetAdminConcatenada!$B:$B, 0)), ISNUMBER(SEARCH($A12,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ISNUMBER(SEARCH($A12, INDEX(AsistenciaJetAdminConcatenada!$D:$D, MATCH(1, (AsistenciaJetAdminConcatenada!$A:$A=AJ$2)*(AsistenciaJetAdminConcatenada!$B:$B=AJ$1), 0)), 1))),  0.5, 0))</f>
        <v>1</v>
      </c>
      <c r="AK12" s="47">
        <f t="array" ref="AK12">IF(AND(ISNUMBER(MATCH(AK$2, AsistenciaJetAdminConcatenada!$A:$A, 0)), ISNUMBER(MATCH(AK$1, AsistenciaJetAdminConcatenada!$B:$B, 0)), ISNUMBER(SEARCH($A12,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ISNUMBER(SEARCH($A12, INDEX(AsistenciaJetAdminConcatenada!$D:$D, MATCH(1, (AsistenciaJetAdminConcatenada!$A:$A=AK$2)*(AsistenciaJetAdminConcatenada!$B:$B=AK$1), 0)), 1))),  0.5, 0))</f>
        <v>1</v>
      </c>
      <c r="AL12" s="47">
        <f t="array" ref="AL12">IF(AND(ISNUMBER(MATCH(AL$2, AsistenciaJetAdminConcatenada!$A:$A, 0)), ISNUMBER(MATCH(AL$1, AsistenciaJetAdminConcatenada!$B:$B, 0)), ISNUMBER(SEARCH($A12,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ISNUMBER(SEARCH($A12, INDEX(AsistenciaJetAdminConcatenada!$D:$D, MATCH(1, (AsistenciaJetAdminConcatenada!$A:$A=AL$2)*(AsistenciaJetAdminConcatenada!$B:$B=AL$1), 0)), 1))),  0.5, 0))</f>
        <v>1</v>
      </c>
      <c r="AM12" s="47">
        <f t="array" ref="AM12">IF(AND(ISNUMBER(MATCH(AM$2, AsistenciaJetAdminConcatenada!$A:$A, 0)), ISNUMBER(MATCH(AM$1, AsistenciaJetAdminConcatenada!$B:$B, 0)), ISNUMBER(SEARCH($A12,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ISNUMBER(SEARCH($A12, INDEX(AsistenciaJetAdminConcatenada!$D:$D, MATCH(1, (AsistenciaJetAdminConcatenada!$A:$A=AM$2)*(AsistenciaJetAdminConcatenada!$B:$B=AM$1), 0)), 1))),  0.5, 0))</f>
        <v>1</v>
      </c>
      <c r="AN12" s="47">
        <f t="array" ref="AN12">IF(AND(ISNUMBER(MATCH(AN$2, AsistenciaJetAdminConcatenada!$A:$A, 0)), ISNUMBER(MATCH(AN$1, AsistenciaJetAdminConcatenada!$B:$B, 0)), ISNUMBER(SEARCH($A12,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ISNUMBER(SEARCH($A12, INDEX(AsistenciaJetAdminConcatenada!$D:$D, MATCH(1, (AsistenciaJetAdminConcatenada!$A:$A=AN$2)*(AsistenciaJetAdminConcatenada!$B:$B=AN$1), 0)), 1))),  0.5, 0))</f>
        <v>1</v>
      </c>
      <c r="AO12" s="47">
        <f t="array" ref="AO12">IF(AND(ISNUMBER(MATCH(AO$2, AsistenciaJetAdminConcatenada!$A:$A, 0)), ISNUMBER(MATCH(AO$1, AsistenciaJetAdminConcatenada!$B:$B, 0)), ISNUMBER(SEARCH($A12,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ISNUMBER(SEARCH($A12, INDEX(AsistenciaJetAdminConcatenada!$D:$D, MATCH(1, (AsistenciaJetAdminConcatenada!$A:$A=AO$2)*(AsistenciaJetAdminConcatenada!$B:$B=AO$1), 0)), 1))),  0.5, 0))</f>
        <v>1</v>
      </c>
      <c r="AP12" s="47">
        <f t="array" ref="AP12">IF(AND(ISNUMBER(MATCH(AP$2, AsistenciaJetAdminConcatenada!$A:$A, 0)), ISNUMBER(MATCH(AP$1, AsistenciaJetAdminConcatenada!$B:$B, 0)), ISNUMBER(SEARCH($A12,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ISNUMBER(SEARCH($A12, INDEX(AsistenciaJetAdminConcatenada!$D:$D, MATCH(1, (AsistenciaJetAdminConcatenada!$A:$A=AP$2)*(AsistenciaJetAdminConcatenada!$B:$B=AP$1), 0)), 1))),  0.5, 0))</f>
        <v>0.5</v>
      </c>
      <c r="AQ12" s="47">
        <f t="array" ref="AQ12">IF(AND(ISNUMBER(MATCH(AQ$2, AsistenciaJetAdminConcatenada!$A:$A, 0)), ISNUMBER(MATCH(AQ$1, AsistenciaJetAdminConcatenada!$B:$B, 0)), ISNUMBER(SEARCH($A12,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ISNUMBER(SEARCH($A12, INDEX(AsistenciaJetAdminConcatenada!$D:$D, MATCH(1, (AsistenciaJetAdminConcatenada!$A:$A=AQ$2)*(AsistenciaJetAdminConcatenada!$B:$B=AQ$1), 0)), 1))),  0.5, 0))</f>
        <v>0</v>
      </c>
      <c r="AR12" s="47">
        <f t="array" ref="AR12">IF(AND(ISNUMBER(MATCH(AR$2, AsistenciaJetAdminConcatenada!$A:$A, 0)), ISNUMBER(MATCH(AR$1, AsistenciaJetAdminConcatenada!$B:$B, 0)), ISNUMBER(SEARCH($A12,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ISNUMBER(SEARCH($A12, INDEX(AsistenciaJetAdminConcatenada!$D:$D, MATCH(1, (AsistenciaJetAdminConcatenada!$A:$A=AR$2)*(AsistenciaJetAdminConcatenada!$B:$B=AR$1), 0)), 1))),  0.5, 0))</f>
        <v>1</v>
      </c>
      <c r="AS12" s="47">
        <f t="array" ref="AS12">IF(AND(ISNUMBER(MATCH(AS$2, AsistenciaJetAdminConcatenada!$A:$A, 0)), ISNUMBER(MATCH(AS$1, AsistenciaJetAdminConcatenada!$B:$B, 0)), ISNUMBER(SEARCH($A12,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ISNUMBER(SEARCH($A12, INDEX(AsistenciaJetAdminConcatenada!$D:$D, MATCH(1, (AsistenciaJetAdminConcatenada!$A:$A=AS$2)*(AsistenciaJetAdminConcatenada!$B:$B=AS$1), 0)), 1))),  0.5, 0))</f>
        <v>1</v>
      </c>
      <c r="AT12" s="47">
        <f t="array" ref="AT12">IF(AND(ISNUMBER(MATCH(AT$2, AsistenciaJetAdminConcatenada!$A:$A, 0)), ISNUMBER(MATCH(AT$1, AsistenciaJetAdminConcatenada!$B:$B, 0)), ISNUMBER(SEARCH($A12,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ISNUMBER(SEARCH($A12, INDEX(AsistenciaJetAdminConcatenada!$D:$D, MATCH(1, (AsistenciaJetAdminConcatenada!$A:$A=AT$2)*(AsistenciaJetAdminConcatenada!$B:$B=AT$1), 0)), 1))),  0.5, 0))</f>
        <v>0</v>
      </c>
      <c r="AU12" s="47">
        <f t="array" ref="AU12">IF(AND(ISNUMBER(MATCH(AU$2, AsistenciaJetAdminConcatenada!$A:$A, 0)), ISNUMBER(MATCH(AU$1, AsistenciaJetAdminConcatenada!$B:$B, 0)), ISNUMBER(SEARCH($A12,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ISNUMBER(SEARCH($A12, INDEX(AsistenciaJetAdminConcatenada!$D:$D, MATCH(1, (AsistenciaJetAdminConcatenada!$A:$A=AU$2)*(AsistenciaJetAdminConcatenada!$B:$B=AU$1), 0)), 1))),  0.5, 0))</f>
        <v>1</v>
      </c>
      <c r="AV12" s="47">
        <f t="array" ref="AV12">IF(AND(ISNUMBER(MATCH(AV$2, AsistenciaJetAdminConcatenada!$A:$A, 0)), ISNUMBER(MATCH(AV$1, AsistenciaJetAdminConcatenada!$B:$B, 0)), ISNUMBER(SEARCH($A12,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ISNUMBER(SEARCH($A12, INDEX(AsistenciaJetAdminConcatenada!$D:$D, MATCH(1, (AsistenciaJetAdminConcatenada!$A:$A=AV$2)*(AsistenciaJetAdminConcatenada!$B:$B=AV$1), 0)), 1))),  0.5, 0))</f>
        <v>1</v>
      </c>
      <c r="AW12" s="47">
        <f t="array" ref="AW12">IF(AND(ISNUMBER(MATCH(AW$2, AsistenciaJetAdminConcatenada!$A:$A, 0)), ISNUMBER(MATCH(AW$1, AsistenciaJetAdminConcatenada!$B:$B, 0)), ISNUMBER(SEARCH($A12,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ISNUMBER(SEARCH($A12, INDEX(AsistenciaJetAdminConcatenada!$D:$D, MATCH(1, (AsistenciaJetAdminConcatenada!$A:$A=AW$2)*(AsistenciaJetAdminConcatenada!$B:$B=AW$1), 0)), 1))),  0.5, 0))</f>
        <v>0</v>
      </c>
      <c r="AX12" s="47">
        <f t="array" ref="AX12">IF(AND(ISNUMBER(MATCH(AX$2, AsistenciaJetAdminConcatenada!$A:$A, 0)), ISNUMBER(MATCH(AX$1, AsistenciaJetAdminConcatenada!$B:$B, 0)), ISNUMBER(SEARCH($A12,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ISNUMBER(SEARCH($A12, INDEX(AsistenciaJetAdminConcatenada!$D:$D, MATCH(1, (AsistenciaJetAdminConcatenada!$A:$A=AX$2)*(AsistenciaJetAdminConcatenada!$B:$B=AX$1), 0)), 1))),  0.5, 0))</f>
        <v>1</v>
      </c>
      <c r="AY12" s="47">
        <f t="array" ref="AY12">IF(AND(ISNUMBER(MATCH(AY$2, AsistenciaJetAdminConcatenada!$A:$A, 0)), ISNUMBER(MATCH(AY$1, AsistenciaJetAdminConcatenada!$B:$B, 0)), ISNUMBER(SEARCH($A12,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ISNUMBER(SEARCH($A12, INDEX(AsistenciaJetAdminConcatenada!$D:$D, MATCH(1, (AsistenciaJetAdminConcatenada!$A:$A=AY$2)*(AsistenciaJetAdminConcatenada!$B:$B=AY$1), 0)), 1))),  0.5, 0))</f>
        <v>1</v>
      </c>
      <c r="AZ12" s="47">
        <f t="array" ref="AZ12">IF(AND(ISNUMBER(MATCH(AZ$2, AsistenciaJetAdminConcatenada!$A:$A, 0)), ISNUMBER(MATCH(AZ$1, AsistenciaJetAdminConcatenada!$B:$B, 0)), ISNUMBER(SEARCH($A12,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ISNUMBER(SEARCH($A12, INDEX(AsistenciaJetAdminConcatenada!$D:$D, MATCH(1, (AsistenciaJetAdminConcatenada!$A:$A=AZ$2)*(AsistenciaJetAdminConcatenada!$B:$B=AZ$1), 0)), 1))),  0.5, 0))</f>
        <v>0</v>
      </c>
      <c r="BA12" s="47">
        <f t="array" ref="BA12">IF(AND(ISNUMBER(MATCH(BA$2, AsistenciaJetAdminConcatenada!$A:$A, 0)), ISNUMBER(MATCH(BA$1, AsistenciaJetAdminConcatenada!$B:$B, 0)), ISNUMBER(SEARCH($A12,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ISNUMBER(SEARCH($A12, INDEX(AsistenciaJetAdminConcatenada!$D:$D, MATCH(1, (AsistenciaJetAdminConcatenada!$A:$A=BA$2)*(AsistenciaJetAdminConcatenada!$B:$B=BA$1), 0)), 1))),  0.5, 0))</f>
        <v>0</v>
      </c>
      <c r="BB12" s="47">
        <f t="array" ref="BB12">IF(AND(ISNUMBER(MATCH(BB$2, AsistenciaJetAdminConcatenada!$A:$A, 0)), ISNUMBER(MATCH(BB$1, AsistenciaJetAdminConcatenada!$B:$B, 0)), ISNUMBER(SEARCH($A12,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ISNUMBER(SEARCH($A12, INDEX(AsistenciaJetAdminConcatenada!$D:$D, MATCH(1, (AsistenciaJetAdminConcatenada!$A:$A=BB$2)*(AsistenciaJetAdminConcatenada!$B:$B=BB$1), 0)), 1))),  0.5, 0))</f>
        <v>1</v>
      </c>
      <c r="BC12" s="47">
        <f t="array" ref="BC12">IF(AND(ISNUMBER(MATCH(BC$2, AsistenciaJetAdminConcatenada!$A:$A, 0)), ISNUMBER(MATCH(BC$1, AsistenciaJetAdminConcatenada!$B:$B, 0)), ISNUMBER(SEARCH($A12,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ISNUMBER(SEARCH($A12, INDEX(AsistenciaJetAdminConcatenada!$D:$D, MATCH(1, (AsistenciaJetAdminConcatenada!$A:$A=BC$2)*(AsistenciaJetAdminConcatenada!$B:$B=BC$1), 0)), 1))),  0.5, 0))</f>
        <v>1</v>
      </c>
      <c r="BD12" s="47">
        <f t="array" ref="BD12">IF(AND(ISNUMBER(MATCH(BD$2, AsistenciaJetAdminConcatenada!$A:$A, 0)), ISNUMBER(MATCH(BD$1, AsistenciaJetAdminConcatenada!$B:$B, 0)), ISNUMBER(SEARCH($A12,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ISNUMBER(SEARCH($A12, INDEX(AsistenciaJetAdminConcatenada!$D:$D, MATCH(1, (AsistenciaJetAdminConcatenada!$A:$A=BD$2)*(AsistenciaJetAdminConcatenada!$B:$B=BD$1), 0)), 1))),  0.5, 0))</f>
        <v>0</v>
      </c>
      <c r="BE12" s="47">
        <f t="array" ref="BE12">IF(AND(ISNUMBER(MATCH(BE$2, AsistenciaJetAdminConcatenada!$A:$A, 0)), ISNUMBER(MATCH(BE$1, AsistenciaJetAdminConcatenada!$B:$B, 0)), ISNUMBER(SEARCH($A12,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ISNUMBER(SEARCH($A12, INDEX(AsistenciaJetAdminConcatenada!$D:$D, MATCH(1, (AsistenciaJetAdminConcatenada!$A:$A=BE$2)*(AsistenciaJetAdminConcatenada!$B:$B=BE$1), 0)), 1))),  0.5, 0))</f>
        <v>1</v>
      </c>
      <c r="BF12" s="47">
        <f t="array" ref="BF12">IF(AND(ISNUMBER(MATCH(BF$2, AsistenciaJetAdminConcatenada!$A:$A, 0)), ISNUMBER(MATCH(BF$1, AsistenciaJetAdminConcatenada!$B:$B, 0)), ISNUMBER(SEARCH($A12,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ISNUMBER(SEARCH($A12, INDEX(AsistenciaJetAdminConcatenada!$D:$D, MATCH(1, (AsistenciaJetAdminConcatenada!$A:$A=BF$2)*(AsistenciaJetAdminConcatenada!$B:$B=BF$1), 0)), 1))),  0.5, 0))</f>
        <v>1</v>
      </c>
      <c r="BG12" s="47">
        <f t="array" ref="BG12">IF(AND(ISNUMBER(MATCH(BG$2, AsistenciaJetAdminConcatenada!$A:$A, 0)), ISNUMBER(MATCH(BG$1, AsistenciaJetAdminConcatenada!$B:$B, 0)), ISNUMBER(SEARCH($A12,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ISNUMBER(SEARCH($A12, INDEX(AsistenciaJetAdminConcatenada!$D:$D, MATCH(1, (AsistenciaJetAdminConcatenada!$A:$A=BG$2)*(AsistenciaJetAdminConcatenada!$B:$B=BG$1), 0)), 1))),  0.5, 0))</f>
        <v>1</v>
      </c>
      <c r="BH12" s="47">
        <f t="array" ref="BH12">IF(AND(ISNUMBER(MATCH(BH$2, AsistenciaJetAdminConcatenada!$A:$A, 0)), ISNUMBER(MATCH(BH$1, AsistenciaJetAdminConcatenada!$B:$B, 0)), ISNUMBER(SEARCH($A12,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ISNUMBER(SEARCH($A12, INDEX(AsistenciaJetAdminConcatenada!$D:$D, MATCH(1, (AsistenciaJetAdminConcatenada!$A:$A=BH$2)*(AsistenciaJetAdminConcatenada!$B:$B=BH$1), 0)), 1))),  0.5, 0))</f>
        <v>1</v>
      </c>
      <c r="BI12" s="47">
        <f t="array" ref="BI12">IF(AND(ISNUMBER(MATCH(BI$2, AsistenciaJetAdminConcatenada!$A:$A, 0)), ISNUMBER(MATCH(BI$1, AsistenciaJetAdminConcatenada!$B:$B, 0)), ISNUMBER(SEARCH($A12,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ISNUMBER(SEARCH($A12, INDEX(AsistenciaJetAdminConcatenada!$D:$D, MATCH(1, (AsistenciaJetAdminConcatenada!$A:$A=BI$2)*(AsistenciaJetAdminConcatenada!$B:$B=BI$1), 0)), 1))),  0.5, 0))</f>
        <v>1</v>
      </c>
      <c r="BJ12" s="47">
        <f t="array" ref="BJ12">IF(AND(ISNUMBER(MATCH(BJ$2, AsistenciaJetAdminConcatenada!$A:$A, 0)), ISNUMBER(MATCH(BJ$1, AsistenciaJetAdminConcatenada!$B:$B, 0)), ISNUMBER(SEARCH($A12,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ISNUMBER(SEARCH($A12, INDEX(AsistenciaJetAdminConcatenada!$D:$D, MATCH(1, (AsistenciaJetAdminConcatenada!$A:$A=BJ$2)*(AsistenciaJetAdminConcatenada!$B:$B=BJ$1), 0)), 1))),  0.5, 0))</f>
        <v>1</v>
      </c>
      <c r="BK12" s="47">
        <f t="array" ref="BK12">IF(AND(ISNUMBER(MATCH(BK$2, AsistenciaJetAdminConcatenada!$A:$A, 0)), ISNUMBER(MATCH(BK$1, AsistenciaJetAdminConcatenada!$B:$B, 0)), ISNUMBER(SEARCH($A12,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ISNUMBER(SEARCH($A12, INDEX(AsistenciaJetAdminConcatenada!$D:$D, MATCH(1, (AsistenciaJetAdminConcatenada!$A:$A=BK$2)*(AsistenciaJetAdminConcatenada!$B:$B=BK$1), 0)), 1))),  0.5, 0))</f>
        <v>1</v>
      </c>
      <c r="BL12" s="47">
        <f t="array" ref="BL12">IF(AND(ISNUMBER(MATCH(BL$2, AsistenciaJetAdminConcatenada!$A:$A, 0)), ISNUMBER(MATCH(BL$1, AsistenciaJetAdminConcatenada!$B:$B, 0)), ISNUMBER(SEARCH($A12,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ISNUMBER(SEARCH($A12, INDEX(AsistenciaJetAdminConcatenada!$D:$D, MATCH(1, (AsistenciaJetAdminConcatenada!$A:$A=BL$2)*(AsistenciaJetAdminConcatenada!$B:$B=BL$1), 0)), 1))),  0.5, 0))</f>
        <v>1</v>
      </c>
      <c r="BM12" s="47">
        <f t="array" ref="BM12">IF(AND(ISNUMBER(MATCH(BM$2, AsistenciaJetAdminConcatenada!$A:$A, 0)), ISNUMBER(MATCH(BM$1, AsistenciaJetAdminConcatenada!$B:$B, 0)), ISNUMBER(SEARCH($A12,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ISNUMBER(SEARCH($A12, INDEX(AsistenciaJetAdminConcatenada!$D:$D, MATCH(1, (AsistenciaJetAdminConcatenada!$A:$A=BM$2)*(AsistenciaJetAdminConcatenada!$B:$B=BM$1), 0)), 1))),  0.5, 0))</f>
        <v>1</v>
      </c>
      <c r="BN12" s="47">
        <f t="array" ref="BN12">IF(AND(ISNUMBER(MATCH(BN$2, AsistenciaJetAdminConcatenada!$A:$A, 0)), ISNUMBER(MATCH(BN$1, AsistenciaJetAdminConcatenada!$B:$B, 0)), ISNUMBER(SEARCH($A12,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ISNUMBER(SEARCH($A12, INDEX(AsistenciaJetAdminConcatenada!$D:$D, MATCH(1, (AsistenciaJetAdminConcatenada!$A:$A=BN$2)*(AsistenciaJetAdminConcatenada!$B:$B=BN$1), 0)), 1))),  0.5, 0))</f>
        <v>1</v>
      </c>
      <c r="BO12" s="47">
        <f t="array" ref="BO12">IF(AND(ISNUMBER(MATCH(BO$2, AsistenciaJetAdminConcatenada!$A:$A, 0)), ISNUMBER(MATCH(BO$1, AsistenciaJetAdminConcatenada!$B:$B, 0)), ISNUMBER(SEARCH($A12,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ISNUMBER(SEARCH($A12, INDEX(AsistenciaJetAdminConcatenada!$D:$D, MATCH(1, (AsistenciaJetAdminConcatenada!$A:$A=BO$2)*(AsistenciaJetAdminConcatenada!$B:$B=BO$1), 0)), 1))),  0.5, 0))</f>
        <v>0</v>
      </c>
      <c r="BP12" s="47">
        <f t="array" ref="BP12">IF(AND(ISNUMBER(MATCH(BP$2, AsistenciaJetAdminConcatenada!$A:$A, 0)), ISNUMBER(MATCH(BP$1, AsistenciaJetAdminConcatenada!$B:$B, 0)), ISNUMBER(SEARCH($A12,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ISNUMBER(SEARCH($A12, INDEX(AsistenciaJetAdminConcatenada!$D:$D, MATCH(1, (AsistenciaJetAdminConcatenada!$A:$A=BP$2)*(AsistenciaJetAdminConcatenada!$B:$B=BP$1), 0)), 1))),  0.5, 0))</f>
        <v>1</v>
      </c>
      <c r="BQ12" s="47">
        <f t="array" ref="BQ12">IF(AND(ISNUMBER(MATCH(BQ$2, AsistenciaJetAdminConcatenada!$A:$A, 0)), ISNUMBER(MATCH(BQ$1, AsistenciaJetAdminConcatenada!$B:$B, 0)), ISNUMBER(SEARCH($A12,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ISNUMBER(SEARCH($A12, INDEX(AsistenciaJetAdminConcatenada!$D:$D, MATCH(1, (AsistenciaJetAdminConcatenada!$A:$A=BQ$2)*(AsistenciaJetAdminConcatenada!$B:$B=BQ$1), 0)), 1))),  0.5, 0))</f>
        <v>1</v>
      </c>
      <c r="BR12" s="47">
        <f t="array" ref="BR12">IF(AND(ISNUMBER(MATCH(BR$2, AsistenciaJetAdminConcatenada!$A:$A, 0)), ISNUMBER(MATCH(BR$1, AsistenciaJetAdminConcatenada!$B:$B, 0)), ISNUMBER(SEARCH($A12,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ISNUMBER(SEARCH($A12, INDEX(AsistenciaJetAdminConcatenada!$D:$D, MATCH(1, (AsistenciaJetAdminConcatenada!$A:$A=BR$2)*(AsistenciaJetAdminConcatenada!$B:$B=BR$1), 0)), 1))),  0.5, 0))</f>
        <v>1</v>
      </c>
      <c r="BS12" s="47">
        <f t="array" ref="BS12">IF(AND(ISNUMBER(MATCH(BS$2, AsistenciaJetAdminConcatenada!$A:$A, 0)), ISNUMBER(MATCH(BS$1, AsistenciaJetAdminConcatenada!$B:$B, 0)), ISNUMBER(SEARCH($A12,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ISNUMBER(SEARCH($A12, INDEX(AsistenciaJetAdminConcatenada!$D:$D, MATCH(1, (AsistenciaJetAdminConcatenada!$A:$A=BS$2)*(AsistenciaJetAdminConcatenada!$B:$B=BS$1), 0)), 1))),  0.5, 0))</f>
        <v>1</v>
      </c>
      <c r="BT12" s="47">
        <f t="array" ref="BT12">IF(AND(ISNUMBER(MATCH(BT$2, AsistenciaJetAdminConcatenada!$A:$A, 0)), ISNUMBER(MATCH(BT$1, AsistenciaJetAdminConcatenada!$B:$B, 0)), ISNUMBER(SEARCH($A12,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ISNUMBER(SEARCH($A12, INDEX(AsistenciaJetAdminConcatenada!$D:$D, MATCH(1, (AsistenciaJetAdminConcatenada!$A:$A=BT$2)*(AsistenciaJetAdminConcatenada!$B:$B=BT$1), 0)), 1))),  0.5, 0))</f>
        <v>1</v>
      </c>
      <c r="BU12" s="47">
        <f t="array" ref="BU12">IF(AND(ISNUMBER(MATCH(BU$2, AsistenciaJetAdminConcatenada!$A:$A, 0)), ISNUMBER(MATCH(BU$1, AsistenciaJetAdminConcatenada!$B:$B, 0)), ISNUMBER(SEARCH($A12,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ISNUMBER(SEARCH($A12, INDEX(AsistenciaJetAdminConcatenada!$D:$D, MATCH(1, (AsistenciaJetAdminConcatenada!$A:$A=BU$2)*(AsistenciaJetAdminConcatenada!$B:$B=BU$1), 0)), 1))),  0.5, 0))</f>
        <v>1</v>
      </c>
      <c r="BV12" s="47">
        <f t="array" ref="BV12">IF(AND(ISNUMBER(MATCH(BV$2, AsistenciaJetAdminConcatenada!$A:$A, 0)), ISNUMBER(MATCH(BV$1, AsistenciaJetAdminConcatenada!$B:$B, 0)), ISNUMBER(SEARCH($A12,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ISNUMBER(SEARCH($A12, INDEX(AsistenciaJetAdminConcatenada!$D:$D, MATCH(1, (AsistenciaJetAdminConcatenada!$A:$A=BV$2)*(AsistenciaJetAdminConcatenada!$B:$B=BV$1), 0)), 1))),  0.5, 0))</f>
        <v>0</v>
      </c>
      <c r="BW12" s="47">
        <f t="array" ref="BW12">IF(AND(ISNUMBER(MATCH(BW$2, AsistenciaJetAdminConcatenada!$A:$A, 0)), ISNUMBER(MATCH(BW$1, AsistenciaJetAdminConcatenada!$B:$B, 0)), ISNUMBER(SEARCH($A12,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ISNUMBER(SEARCH($A12, INDEX(AsistenciaJetAdminConcatenada!$D:$D, MATCH(1, (AsistenciaJetAdminConcatenada!$A:$A=BW$2)*(AsistenciaJetAdminConcatenada!$B:$B=BW$1), 0)), 1))),  0.5, 0))</f>
        <v>0</v>
      </c>
      <c r="BX12" s="47">
        <f t="array" ref="BX12">IF(AND(ISNUMBER(MATCH(BX$2, AsistenciaJetAdminConcatenada!$A:$A, 0)), ISNUMBER(MATCH(BX$1, AsistenciaJetAdminConcatenada!$B:$B, 0)), ISNUMBER(SEARCH($A12,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ISNUMBER(SEARCH($A12, INDEX(AsistenciaJetAdminConcatenada!$D:$D, MATCH(1, (AsistenciaJetAdminConcatenada!$A:$A=BX$2)*(AsistenciaJetAdminConcatenada!$B:$B=BX$1), 0)), 1))),  0.5, 0))</f>
        <v>0</v>
      </c>
      <c r="BY12" s="47">
        <f t="array" ref="BY12">IF(AND(ISNUMBER(MATCH(BY$2, AsistenciaJetAdminConcatenada!$A:$A, 0)), ISNUMBER(MATCH(BY$1, AsistenciaJetAdminConcatenada!$B:$B, 0)), ISNUMBER(SEARCH($A12,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ISNUMBER(SEARCH($A12, INDEX(AsistenciaJetAdminConcatenada!$D:$D, MATCH(1, (AsistenciaJetAdminConcatenada!$A:$A=BY$2)*(AsistenciaJetAdminConcatenada!$B:$B=BY$1), 0)), 1))),  0.5, 0))</f>
        <v>0</v>
      </c>
      <c r="BZ12" s="47">
        <f t="array" ref="BZ12">IF(AND(ISNUMBER(MATCH(BZ$2, AsistenciaJetAdminConcatenada!$A:$A, 0)), ISNUMBER(MATCH(BZ$1, AsistenciaJetAdminConcatenada!$B:$B, 0)), ISNUMBER(SEARCH($A12,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ISNUMBER(SEARCH($A12, INDEX(AsistenciaJetAdminConcatenada!$D:$D, MATCH(1, (AsistenciaJetAdminConcatenada!$A:$A=BZ$2)*(AsistenciaJetAdminConcatenada!$B:$B=BZ$1), 0)), 1))),  0.5, 0))</f>
        <v>0</v>
      </c>
      <c r="CA12" s="47">
        <f t="array" ref="CA12">IF(AND(ISNUMBER(MATCH(CA$2, AsistenciaJetAdminConcatenada!$A:$A, 0)), ISNUMBER(MATCH(CA$1, AsistenciaJetAdminConcatenada!$B:$B, 0)), ISNUMBER(SEARCH($A12,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ISNUMBER(SEARCH($A12, INDEX(AsistenciaJetAdminConcatenada!$D:$D, MATCH(1, (AsistenciaJetAdminConcatenada!$A:$A=CA$2)*(AsistenciaJetAdminConcatenada!$B:$B=CA$1), 0)), 1))),  0.5, 0))</f>
        <v>1</v>
      </c>
      <c r="CB12" s="47">
        <f t="array" ref="CB12">IF(AND(ISNUMBER(MATCH(CB$2, AsistenciaJetAdminConcatenada!$A:$A, 0)), ISNUMBER(MATCH(CB$1, AsistenciaJetAdminConcatenada!$B:$B, 0)), ISNUMBER(SEARCH($A12,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ISNUMBER(SEARCH($A12, INDEX(AsistenciaJetAdminConcatenada!$D:$D, MATCH(1, (AsistenciaJetAdminConcatenada!$A:$A=CB$2)*(AsistenciaJetAdminConcatenada!$B:$B=CB$1), 0)), 1))),  0.5, 0))</f>
        <v>1</v>
      </c>
      <c r="CC12" s="47">
        <f t="array" ref="CC12">IF(AND(ISNUMBER(MATCH(CC$2, AsistenciaJetAdminConcatenada!$A:$A, 0)), ISNUMBER(MATCH(CC$1, AsistenciaJetAdminConcatenada!$B:$B, 0)), ISNUMBER(SEARCH($A12,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ISNUMBER(SEARCH($A12, INDEX(AsistenciaJetAdminConcatenada!$D:$D, MATCH(1, (AsistenciaJetAdminConcatenada!$A:$A=CC$2)*(AsistenciaJetAdminConcatenada!$B:$B=CC$1), 0)), 1))),  0.5, 0))</f>
        <v>0</v>
      </c>
      <c r="CD12" s="47">
        <f t="array" ref="CD12">IF(AND(ISNUMBER(MATCH(CD$2, AsistenciaJetAdminConcatenada!$A:$A, 0)), ISNUMBER(MATCH(CD$1, AsistenciaJetAdminConcatenada!$B:$B, 0)), ISNUMBER(SEARCH($A12,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ISNUMBER(SEARCH($A12, INDEX(AsistenciaJetAdminConcatenada!$D:$D, MATCH(1, (AsistenciaJetAdminConcatenada!$A:$A=CD$2)*(AsistenciaJetAdminConcatenada!$B:$B=CD$1), 0)), 1))),  0.5, 0))</f>
        <v>1</v>
      </c>
      <c r="CE12" s="47">
        <f t="array" ref="CE12">IF(AND(ISNUMBER(MATCH(CE$2, AsistenciaJetAdminConcatenada!$A:$A, 0)), ISNUMBER(MATCH(CE$1, AsistenciaJetAdminConcatenada!$B:$B, 0)), ISNUMBER(SEARCH($A12,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ISNUMBER(SEARCH($A12, INDEX(AsistenciaJetAdminConcatenada!$D:$D, MATCH(1, (AsistenciaJetAdminConcatenada!$A:$A=CE$2)*(AsistenciaJetAdminConcatenada!$B:$B=CE$1), 0)), 1))),  0.5, 0))</f>
        <v>0</v>
      </c>
      <c r="CF12" s="47">
        <f t="array" ref="CF12">IF(AND(ISNUMBER(MATCH(CF$2, AsistenciaJetAdminConcatenada!$A:$A, 0)), ISNUMBER(MATCH(CF$1, AsistenciaJetAdminConcatenada!$B:$B, 0)), ISNUMBER(SEARCH($A12,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ISNUMBER(SEARCH($A12, INDEX(AsistenciaJetAdminConcatenada!$D:$D, MATCH(1, (AsistenciaJetAdminConcatenada!$A:$A=CF$2)*(AsistenciaJetAdminConcatenada!$B:$B=CF$1), 0)), 1))),  0.5, 0))</f>
        <v>1</v>
      </c>
      <c r="CG12" s="47">
        <f t="array" ref="CG12">IF(AND(ISNUMBER(MATCH(CG$2, AsistenciaJetAdminConcatenada!$A:$A, 0)), ISNUMBER(MATCH(CG$1, AsistenciaJetAdminConcatenada!$B:$B, 0)), ISNUMBER(SEARCH($A12,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ISNUMBER(SEARCH($A12, INDEX(AsistenciaJetAdminConcatenada!$D:$D, MATCH(1, (AsistenciaJetAdminConcatenada!$A:$A=CG$2)*(AsistenciaJetAdminConcatenada!$B:$B=CG$1), 0)), 1))),  0.5, 0))</f>
        <v>0</v>
      </c>
      <c r="CH12" s="47">
        <f t="array" ref="CH12">IF(AND(ISNUMBER(MATCH(CH$2, AsistenciaJetAdminConcatenada!$A:$A, 0)), ISNUMBER(MATCH(CH$1, AsistenciaJetAdminConcatenada!$B:$B, 0)), ISNUMBER(SEARCH($A12,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ISNUMBER(SEARCH($A12, INDEX(AsistenciaJetAdminConcatenada!$D:$D, MATCH(1, (AsistenciaJetAdminConcatenada!$A:$A=CH$2)*(AsistenciaJetAdminConcatenada!$B:$B=CH$1), 0)), 1))),  0.5, 0))</f>
        <v>1</v>
      </c>
      <c r="CI12" s="47">
        <f t="array" ref="CI12">IF(AND(ISNUMBER(MATCH(CI$2, AsistenciaJetAdminConcatenada!$A:$A, 0)), ISNUMBER(MATCH(CI$1, AsistenciaJetAdminConcatenada!$B:$B, 0)), ISNUMBER(SEARCH($A12,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ISNUMBER(SEARCH($A12, INDEX(AsistenciaJetAdminConcatenada!$D:$D, MATCH(1, (AsistenciaJetAdminConcatenada!$A:$A=CI$2)*(AsistenciaJetAdminConcatenada!$B:$B=CI$1), 0)), 1))),  0.5, 0))</f>
        <v>1</v>
      </c>
      <c r="CJ12" s="47">
        <f t="array" ref="CJ12">IF(AND(ISNUMBER(MATCH(CJ$2, AsistenciaJetAdminConcatenada!$A:$A, 0)), ISNUMBER(MATCH(CJ$1, AsistenciaJetAdminConcatenada!$B:$B, 0)), ISNUMBER(SEARCH($A12,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ISNUMBER(SEARCH($A12, INDEX(AsistenciaJetAdminConcatenada!$D:$D, MATCH(1, (AsistenciaJetAdminConcatenada!$A:$A=CJ$2)*(AsistenciaJetAdminConcatenada!$B:$B=CJ$1), 0)), 1))),  0.5, 0))</f>
        <v>1</v>
      </c>
      <c r="CK12" s="47">
        <f t="array" ref="CK12">IF(AND(ISNUMBER(MATCH(CK$2, AsistenciaJetAdminConcatenada!$A:$A, 0)), ISNUMBER(MATCH(CK$1, AsistenciaJetAdminConcatenada!$B:$B, 0)), ISNUMBER(SEARCH($A12,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ISNUMBER(SEARCH($A12, INDEX(AsistenciaJetAdminConcatenada!$D:$D, MATCH(1, (AsistenciaJetAdminConcatenada!$A:$A=CK$2)*(AsistenciaJetAdminConcatenada!$B:$B=CK$1), 0)), 1))),  0.5, 0))</f>
        <v>1</v>
      </c>
      <c r="CL12" s="47">
        <f t="array" ref="CL12">IF(AND(ISNUMBER(MATCH(CL$2, AsistenciaJetAdminConcatenada!$A:$A, 0)), ISNUMBER(MATCH(CL$1, AsistenciaJetAdminConcatenada!$B:$B, 0)), ISNUMBER(SEARCH($A12,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ISNUMBER(SEARCH($A12, INDEX(AsistenciaJetAdminConcatenada!$D:$D, MATCH(1, (AsistenciaJetAdminConcatenada!$A:$A=CL$2)*(AsistenciaJetAdminConcatenada!$B:$B=CL$1), 0)), 1))),  0.5, 0))</f>
        <v>1</v>
      </c>
      <c r="CM12" s="47">
        <f t="array" ref="CM12">IF(AND(ISNUMBER(MATCH(CM$2, AsistenciaJetAdminConcatenada!$A:$A, 0)), ISNUMBER(MATCH(CM$1, AsistenciaJetAdminConcatenada!$B:$B, 0)), ISNUMBER(SEARCH($A12,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ISNUMBER(SEARCH($A12, INDEX(AsistenciaJetAdminConcatenada!$D:$D, MATCH(1, (AsistenciaJetAdminConcatenada!$A:$A=CM$2)*(AsistenciaJetAdminConcatenada!$B:$B=CM$1), 0)), 1))),  0.5, 0))</f>
        <v>1</v>
      </c>
      <c r="CN12" s="47">
        <f t="array" ref="CN12">IF(AND(ISNUMBER(MATCH(CN$2, AsistenciaJetAdminConcatenada!$A:$A, 0)), ISNUMBER(MATCH(CN$1, AsistenciaJetAdminConcatenada!$B:$B, 0)), ISNUMBER(SEARCH($A12,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ISNUMBER(SEARCH($A12, INDEX(AsistenciaJetAdminConcatenada!$D:$D, MATCH(1, (AsistenciaJetAdminConcatenada!$A:$A=CN$2)*(AsistenciaJetAdminConcatenada!$B:$B=CN$1), 0)), 1))),  0.5, 0))</f>
        <v>0</v>
      </c>
      <c r="CO12" s="47">
        <f t="array" ref="CO12">IF(AND(ISNUMBER(MATCH(CO$2, AsistenciaJetAdminConcatenada!$A:$A, 0)), ISNUMBER(MATCH(CO$1, AsistenciaJetAdminConcatenada!$B:$B, 0)), ISNUMBER(SEARCH($A12,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ISNUMBER(SEARCH($A12, INDEX(AsistenciaJetAdminConcatenada!$D:$D, MATCH(1, (AsistenciaJetAdminConcatenada!$A:$A=CO$2)*(AsistenciaJetAdminConcatenada!$B:$B=CO$1), 0)), 1))),  0.5, 0))</f>
        <v>1</v>
      </c>
      <c r="CP12" s="47">
        <f t="array" ref="CP12">IF(AND(ISNUMBER(MATCH(CP$2, AsistenciaJetAdminConcatenada!$A:$A, 0)), ISNUMBER(MATCH(CP$1, AsistenciaJetAdminConcatenada!$B:$B, 0)), ISNUMBER(SEARCH($A12,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ISNUMBER(SEARCH($A12, INDEX(AsistenciaJetAdminConcatenada!$D:$D, MATCH(1, (AsistenciaJetAdminConcatenada!$A:$A=CP$2)*(AsistenciaJetAdminConcatenada!$B:$B=CP$1), 0)), 1))),  0.5, 0))</f>
        <v>1</v>
      </c>
      <c r="CQ12" s="47">
        <f t="array" ref="CQ12">IF(AND(ISNUMBER(MATCH(CQ$2, AsistenciaJetAdminConcatenada!$A:$A, 0)), ISNUMBER(MATCH(CQ$1, AsistenciaJetAdminConcatenada!$B:$B, 0)), ISNUMBER(SEARCH($A12,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ISNUMBER(SEARCH($A12, INDEX(AsistenciaJetAdminConcatenada!$D:$D, MATCH(1, (AsistenciaJetAdminConcatenada!$A:$A=CQ$2)*(AsistenciaJetAdminConcatenada!$B:$B=CQ$1), 0)), 1))),  0.5, 0))</f>
        <v>1</v>
      </c>
      <c r="CR12" s="47">
        <f t="array" ref="CR12">IF(AND(ISNUMBER(MATCH(CR$2, AsistenciaJetAdminConcatenada!$A:$A, 0)), ISNUMBER(MATCH(CR$1, AsistenciaJetAdminConcatenada!$B:$B, 0)), ISNUMBER(SEARCH($A12,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ISNUMBER(SEARCH($A12, INDEX(AsistenciaJetAdminConcatenada!$D:$D, MATCH(1, (AsistenciaJetAdminConcatenada!$A:$A=CR$2)*(AsistenciaJetAdminConcatenada!$B:$B=CR$1), 0)), 1))),  0.5, 0))</f>
        <v>1</v>
      </c>
      <c r="CS12" s="47">
        <f t="array" ref="CS12">IF(AND(ISNUMBER(MATCH(CS$2, AsistenciaJetAdminConcatenada!$A:$A, 0)), ISNUMBER(MATCH(CS$1, AsistenciaJetAdminConcatenada!$B:$B, 0)), ISNUMBER(SEARCH($A12,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ISNUMBER(SEARCH($A12, INDEX(AsistenciaJetAdminConcatenada!$D:$D, MATCH(1, (AsistenciaJetAdminConcatenada!$A:$A=CS$2)*(AsistenciaJetAdminConcatenada!$B:$B=CS$1), 0)), 1))),  0.5, 0))</f>
        <v>0</v>
      </c>
      <c r="CT12" s="47">
        <f t="array" ref="CT12">IF(AND(ISNUMBER(MATCH(CT$2, AsistenciaJetAdminConcatenada!$A:$A, 0)), ISNUMBER(MATCH(CT$1, AsistenciaJetAdminConcatenada!$B:$B, 0)), ISNUMBER(SEARCH($A12,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ISNUMBER(SEARCH($A12, INDEX(AsistenciaJetAdminConcatenada!$D:$D, MATCH(1, (AsistenciaJetAdminConcatenada!$A:$A=CT$2)*(AsistenciaJetAdminConcatenada!$B:$B=CT$1), 0)), 1))),  0.5, 0))</f>
        <v>0</v>
      </c>
      <c r="CU12" s="47">
        <f t="array" ref="CU12">IF(AND(ISNUMBER(MATCH(CU$2, AsistenciaJetAdminConcatenada!$A:$A, 0)), ISNUMBER(MATCH(CU$1, AsistenciaJetAdminConcatenada!$B:$B, 0)), ISNUMBER(SEARCH($A12,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ISNUMBER(SEARCH($A12, INDEX(AsistenciaJetAdminConcatenada!$D:$D, MATCH(1, (AsistenciaJetAdminConcatenada!$A:$A=CU$2)*(AsistenciaJetAdminConcatenada!$B:$B=CU$1), 0)), 1))),  0.5, 0))</f>
        <v>0</v>
      </c>
      <c r="CV12" s="47">
        <f t="array" ref="CV12">IF(AND(ISNUMBER(MATCH(CV$2, AsistenciaJetAdminConcatenada!$A:$A, 0)), ISNUMBER(MATCH(CV$1, AsistenciaJetAdminConcatenada!$B:$B, 0)), ISNUMBER(SEARCH($A12,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ISNUMBER(SEARCH($A12, INDEX(AsistenciaJetAdminConcatenada!$D:$D, MATCH(1, (AsistenciaJetAdminConcatenada!$A:$A=CV$2)*(AsistenciaJetAdminConcatenada!$B:$B=CV$1), 0)), 1))),  0.5, 0))</f>
        <v>0</v>
      </c>
      <c r="CW12" s="47">
        <f t="array" ref="CW12">IF(AND(ISNUMBER(MATCH(CW$2, AsistenciaJetAdminConcatenada!$A:$A, 0)), ISNUMBER(MATCH(CW$1, AsistenciaJetAdminConcatenada!$B:$B, 0)), ISNUMBER(SEARCH($A12,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ISNUMBER(SEARCH($A12, INDEX(AsistenciaJetAdminConcatenada!$D:$D, MATCH(1, (AsistenciaJetAdminConcatenada!$A:$A=CW$2)*(AsistenciaJetAdminConcatenada!$B:$B=CW$1), 0)), 1))),  0.5, 0))</f>
        <v>0</v>
      </c>
      <c r="CX12" s="47">
        <f t="array" ref="CX12">IF(AND(ISNUMBER(MATCH(CX$2, AsistenciaJetAdminConcatenada!$A:$A, 0)), ISNUMBER(MATCH(CX$1, AsistenciaJetAdminConcatenada!$B:$B, 0)), ISNUMBER(SEARCH($A12,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ISNUMBER(SEARCH($A12, INDEX(AsistenciaJetAdminConcatenada!$D:$D, MATCH(1, (AsistenciaJetAdminConcatenada!$A:$A=CX$2)*(AsistenciaJetAdminConcatenada!$B:$B=CX$1), 0)), 1))),  0.5, 0))</f>
        <v>0</v>
      </c>
      <c r="CY12" s="47">
        <f t="array" ref="CY12">IF(AND(ISNUMBER(MATCH(CY$2, AsistenciaJetAdminConcatenada!$A:$A, 0)), ISNUMBER(MATCH(CY$1, AsistenciaJetAdminConcatenada!$B:$B, 0)), ISNUMBER(SEARCH($A12,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ISNUMBER(SEARCH($A12, INDEX(AsistenciaJetAdminConcatenada!$D:$D, MATCH(1, (AsistenciaJetAdminConcatenada!$A:$A=CY$2)*(AsistenciaJetAdminConcatenada!$B:$B=CY$1), 0)), 1))),  0.5, 0))</f>
        <v>0</v>
      </c>
      <c r="CZ12" s="47">
        <f t="array" ref="CZ12">IF(AND(ISNUMBER(MATCH(CZ$2, AsistenciaJetAdminConcatenada!$A:$A, 0)), ISNUMBER(MATCH(CZ$1, AsistenciaJetAdminConcatenada!$B:$B, 0)), ISNUMBER(SEARCH($A12,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ISNUMBER(SEARCH($A12, INDEX(AsistenciaJetAdminConcatenada!$D:$D, MATCH(1, (AsistenciaJetAdminConcatenada!$A:$A=CZ$2)*(AsistenciaJetAdminConcatenada!$B:$B=CZ$1), 0)), 1))),  0.5, 0))</f>
        <v>0</v>
      </c>
      <c r="DA12" s="47">
        <f t="array" ref="DA12">IF(AND(ISNUMBER(MATCH(DA$2, AsistenciaJetAdminConcatenada!$A:$A, 0)), ISNUMBER(MATCH(DA$1, AsistenciaJetAdminConcatenada!$B:$B, 0)), ISNUMBER(SEARCH($A12,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ISNUMBER(SEARCH($A12, INDEX(AsistenciaJetAdminConcatenada!$D:$D, MATCH(1, (AsistenciaJetAdminConcatenada!$A:$A=DA$2)*(AsistenciaJetAdminConcatenada!$B:$B=DA$1), 0)), 1))),  0.5, 0))</f>
        <v>0</v>
      </c>
      <c r="DB12" s="47">
        <f t="array" ref="DB12">IF(AND(ISNUMBER(MATCH(DB$2, AsistenciaJetAdminConcatenada!$A:$A, 0)), ISNUMBER(MATCH(DB$1, AsistenciaJetAdminConcatenada!$B:$B, 0)), ISNUMBER(SEARCH($A12,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ISNUMBER(SEARCH($A12, INDEX(AsistenciaJetAdminConcatenada!$D:$D, MATCH(1, (AsistenciaJetAdminConcatenada!$A:$A=DB$2)*(AsistenciaJetAdminConcatenada!$B:$B=DB$1), 0)), 1))),  0.5, 0))</f>
        <v>0</v>
      </c>
      <c r="DC12" s="47">
        <f t="array" ref="DC12">IF(AND(ISNUMBER(MATCH(DC$2, AsistenciaJetAdminConcatenada!$A:$A, 0)), ISNUMBER(MATCH(DC$1, AsistenciaJetAdminConcatenada!$B:$B, 0)), ISNUMBER(SEARCH($A12,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ISNUMBER(SEARCH($A12, INDEX(AsistenciaJetAdminConcatenada!$D:$D, MATCH(1, (AsistenciaJetAdminConcatenada!$A:$A=DC$2)*(AsistenciaJetAdminConcatenada!$B:$B=DC$1), 0)), 1))),  0.5, 0))</f>
        <v>0</v>
      </c>
      <c r="DD12" s="47">
        <f t="array" ref="DD12">IF(AND(ISNUMBER(MATCH(DD$2, AsistenciaJetAdminConcatenada!$A:$A, 0)), ISNUMBER(MATCH(DD$1, AsistenciaJetAdminConcatenada!$B:$B, 0)), ISNUMBER(SEARCH($A12,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ISNUMBER(SEARCH($A12, INDEX(AsistenciaJetAdminConcatenada!$D:$D, MATCH(1, (AsistenciaJetAdminConcatenada!$A:$A=DD$2)*(AsistenciaJetAdminConcatenada!$B:$B=DD$1), 0)), 1))),  0.5, 0))</f>
        <v>0</v>
      </c>
      <c r="DE12" s="47">
        <f t="array" ref="DE12">IF(AND(ISNUMBER(MATCH(DE$2, AsistenciaJetAdminConcatenada!$A:$A, 0)), ISNUMBER(MATCH(DE$1, AsistenciaJetAdminConcatenada!$B:$B, 0)), ISNUMBER(SEARCH($A12,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ISNUMBER(SEARCH($A12, INDEX(AsistenciaJetAdminConcatenada!$D:$D, MATCH(1, (AsistenciaJetAdminConcatenada!$A:$A=DE$2)*(AsistenciaJetAdminConcatenada!$B:$B=DE$1), 0)), 1))),  0.5, 0))</f>
        <v>0</v>
      </c>
      <c r="DF12" s="47">
        <f t="array" ref="DF12">IF(AND(ISNUMBER(MATCH(DF$2, AsistenciaJetAdminConcatenada!$A:$A, 0)), ISNUMBER(MATCH(DF$1, AsistenciaJetAdminConcatenada!$B:$B, 0)), ISNUMBER(SEARCH($A12,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ISNUMBER(SEARCH($A12, INDEX(AsistenciaJetAdminConcatenada!$D:$D, MATCH(1, (AsistenciaJetAdminConcatenada!$A:$A=DF$2)*(AsistenciaJetAdminConcatenada!$B:$B=DF$1), 0)), 1))),  0.5, 0))</f>
        <v>0</v>
      </c>
      <c r="DG12" s="47">
        <f t="array" ref="DG12">IF(AND(ISNUMBER(MATCH(DG$2, AsistenciaJetAdminConcatenada!$A:$A, 0)), ISNUMBER(MATCH(DG$1, AsistenciaJetAdminConcatenada!$B:$B, 0)), ISNUMBER(SEARCH($A12,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ISNUMBER(SEARCH($A12, INDEX(AsistenciaJetAdminConcatenada!$D:$D, MATCH(1, (AsistenciaJetAdminConcatenada!$A:$A=DG$2)*(AsistenciaJetAdminConcatenada!$B:$B=DG$1), 0)), 1))),  0.5, 0))</f>
        <v>0</v>
      </c>
      <c r="DH12" s="47">
        <f t="array" ref="DH12">IF(AND(ISNUMBER(MATCH(DH$2, AsistenciaJetAdminConcatenada!$A:$A, 0)), ISNUMBER(MATCH(DH$1, AsistenciaJetAdminConcatenada!$B:$B, 0)), ISNUMBER(SEARCH($A12,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ISNUMBER(SEARCH($A12, INDEX(AsistenciaJetAdminConcatenada!$D:$D, MATCH(1, (AsistenciaJetAdminConcatenada!$A:$A=DH$2)*(AsistenciaJetAdminConcatenada!$B:$B=DH$1), 0)), 1))),  0.5, 0))</f>
        <v>0</v>
      </c>
      <c r="DI12" s="47">
        <f t="array" ref="DI12">IF(AND(ISNUMBER(MATCH(DI$2, AsistenciaJetAdminConcatenada!$A:$A, 0)), ISNUMBER(MATCH(DI$1, AsistenciaJetAdminConcatenada!$B:$B, 0)), ISNUMBER(SEARCH($A12,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ISNUMBER(SEARCH($A12, INDEX(AsistenciaJetAdminConcatenada!$D:$D, MATCH(1, (AsistenciaJetAdminConcatenada!$A:$A=DI$2)*(AsistenciaJetAdminConcatenada!$B:$B=DI$1), 0)), 1))),  0.5, 0))</f>
        <v>0</v>
      </c>
      <c r="DJ12" s="47">
        <f t="array" ref="DJ12">IF(AND(ISNUMBER(MATCH(DJ$2, AsistenciaJetAdminConcatenada!$A:$A, 0)), ISNUMBER(MATCH(DJ$1, AsistenciaJetAdminConcatenada!$B:$B, 0)), ISNUMBER(SEARCH($A12,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ISNUMBER(SEARCH($A12, INDEX(AsistenciaJetAdminConcatenada!$D:$D, MATCH(1, (AsistenciaJetAdminConcatenada!$A:$A=DJ$2)*(AsistenciaJetAdminConcatenada!$B:$B=DJ$1), 0)), 1))),  0.5, 0))</f>
        <v>0</v>
      </c>
      <c r="DK12" s="47">
        <f t="array" ref="DK12">IF(AND(ISNUMBER(MATCH(DK$2, AsistenciaJetAdminConcatenada!$A:$A, 0)), ISNUMBER(MATCH(DK$1, AsistenciaJetAdminConcatenada!$B:$B, 0)), ISNUMBER(SEARCH($A12,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ISNUMBER(SEARCH($A12, INDEX(AsistenciaJetAdminConcatenada!$D:$D, MATCH(1, (AsistenciaJetAdminConcatenada!$A:$A=DK$2)*(AsistenciaJetAdminConcatenada!$B:$B=DK$1), 0)), 1))),  0.5, 0))</f>
        <v>0</v>
      </c>
      <c r="DL12" s="47">
        <f t="array" ref="DL12">IF(AND(ISNUMBER(MATCH(DL$2, AsistenciaJetAdminConcatenada!$A:$A, 0)), ISNUMBER(MATCH(DL$1, AsistenciaJetAdminConcatenada!$B:$B, 0)), ISNUMBER(SEARCH($A12,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ISNUMBER(SEARCH($A12, INDEX(AsistenciaJetAdminConcatenada!$D:$D, MATCH(1, (AsistenciaJetAdminConcatenada!$A:$A=DL$2)*(AsistenciaJetAdminConcatenada!$B:$B=DL$1), 0)), 1))),  0.5, 0))</f>
        <v>0</v>
      </c>
      <c r="DM12" s="47">
        <f t="array" ref="DM12">IF(AND(ISNUMBER(MATCH(DM$2, AsistenciaJetAdminConcatenada!$A:$A, 0)), ISNUMBER(MATCH(DM$1, AsistenciaJetAdminConcatenada!$B:$B, 0)), ISNUMBER(SEARCH($A12,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ISNUMBER(SEARCH($A12, INDEX(AsistenciaJetAdminConcatenada!$D:$D, MATCH(1, (AsistenciaJetAdminConcatenada!$A:$A=DM$2)*(AsistenciaJetAdminConcatenada!$B:$B=DM$1), 0)), 1))),  0.5, 0))</f>
        <v>0</v>
      </c>
      <c r="DN12" s="47">
        <f t="array" ref="DN12">IF(AND(ISNUMBER(MATCH(DN$2, AsistenciaJetAdminConcatenada!$A:$A, 0)), ISNUMBER(MATCH(DN$1, AsistenciaJetAdminConcatenada!$B:$B, 0)), ISNUMBER(SEARCH($A12,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ISNUMBER(SEARCH($A12, INDEX(AsistenciaJetAdminConcatenada!$D:$D, MATCH(1, (AsistenciaJetAdminConcatenada!$A:$A=DN$2)*(AsistenciaJetAdminConcatenada!$B:$B=DN$1), 0)), 1))),  0.5, 0))</f>
        <v>0</v>
      </c>
      <c r="DO12" s="47">
        <f t="array" ref="DO12">IF(AND(ISNUMBER(MATCH(DO$2, AsistenciaJetAdminConcatenada!$A:$A, 0)), ISNUMBER(MATCH(DO$1, AsistenciaJetAdminConcatenada!$B:$B, 0)), ISNUMBER(SEARCH($A12,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ISNUMBER(SEARCH($A12, INDEX(AsistenciaJetAdminConcatenada!$D:$D, MATCH(1, (AsistenciaJetAdminConcatenada!$A:$A=DO$2)*(AsistenciaJetAdminConcatenada!$B:$B=DO$1), 0)), 1))),  0.5, 0))</f>
        <v>0</v>
      </c>
      <c r="DP12" s="47">
        <f t="array" ref="DP12">IF(AND(ISNUMBER(MATCH(DP$2, AsistenciaJetAdminConcatenada!$A:$A, 0)), ISNUMBER(MATCH(DP$1, AsistenciaJetAdminConcatenada!$B:$B, 0)), ISNUMBER(SEARCH($A12,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ISNUMBER(SEARCH($A12, INDEX(AsistenciaJetAdminConcatenada!$D:$D, MATCH(1, (AsistenciaJetAdminConcatenada!$A:$A=DP$2)*(AsistenciaJetAdminConcatenada!$B:$B=DP$1), 0)), 1))),  0.5, 0))</f>
        <v>0</v>
      </c>
      <c r="DQ12" s="47">
        <f t="array" ref="DQ12">IF(AND(ISNUMBER(MATCH(DQ$2, AsistenciaJetAdminConcatenada!$A:$A, 0)), ISNUMBER(MATCH(DQ$1, AsistenciaJetAdminConcatenada!$B:$B, 0)), ISNUMBER(SEARCH($A12,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ISNUMBER(SEARCH($A12, INDEX(AsistenciaJetAdminConcatenada!$D:$D, MATCH(1, (AsistenciaJetAdminConcatenada!$A:$A=DQ$2)*(AsistenciaJetAdminConcatenada!$B:$B=DQ$1), 0)), 1))),  0.5, 0))</f>
        <v>0</v>
      </c>
      <c r="DR12" s="47">
        <f t="array" ref="DR12">IF(AND(ISNUMBER(MATCH(DR$2, AsistenciaJetAdminConcatenada!$A:$A, 0)), ISNUMBER(MATCH(DR$1, AsistenciaJetAdminConcatenada!$B:$B, 0)), ISNUMBER(SEARCH($A12,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ISNUMBER(SEARCH($A12, INDEX(AsistenciaJetAdminConcatenada!$D:$D, MATCH(1, (AsistenciaJetAdminConcatenada!$A:$A=DR$2)*(AsistenciaJetAdminConcatenada!$B:$B=DR$1), 0)), 1))),  0.5, 0))</f>
        <v>0</v>
      </c>
      <c r="DS12" s="47">
        <f t="array" ref="DS12">IF(AND(ISNUMBER(MATCH(DS$2, AsistenciaJetAdminConcatenada!$A:$A, 0)), ISNUMBER(MATCH(DS$1, AsistenciaJetAdminConcatenada!$B:$B, 0)), ISNUMBER(SEARCH($A12,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ISNUMBER(SEARCH($A12, INDEX(AsistenciaJetAdminConcatenada!$D:$D, MATCH(1, (AsistenciaJetAdminConcatenada!$A:$A=DS$2)*(AsistenciaJetAdminConcatenada!$B:$B=DS$1), 0)), 1))),  0.5, 0))</f>
        <v>0</v>
      </c>
      <c r="DT12" s="47">
        <f t="array" ref="DT12">IF(AND(ISNUMBER(MATCH(DT$2, AsistenciaJetAdminConcatenada!$A:$A, 0)), ISNUMBER(MATCH(DT$1, AsistenciaJetAdminConcatenada!$B:$B, 0)), ISNUMBER(SEARCH($A12,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ISNUMBER(SEARCH($A12, INDEX(AsistenciaJetAdminConcatenada!$D:$D, MATCH(1, (AsistenciaJetAdminConcatenada!$A:$A=DT$2)*(AsistenciaJetAdminConcatenada!$B:$B=DT$1), 0)), 1))),  0.5, 0))</f>
        <v>0</v>
      </c>
      <c r="DU12" s="47">
        <f t="array" ref="DU12">IF(AND(ISNUMBER(MATCH(DU$2, AsistenciaJetAdminConcatenada!$A:$A, 0)), ISNUMBER(MATCH(DU$1, AsistenciaJetAdminConcatenada!$B:$B, 0)), ISNUMBER(SEARCH($A12,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ISNUMBER(SEARCH($A12, INDEX(AsistenciaJetAdminConcatenada!$D:$D, MATCH(1, (AsistenciaJetAdminConcatenada!$A:$A=DU$2)*(AsistenciaJetAdminConcatenada!$B:$B=DU$1), 0)), 1))),  0.5, 0))</f>
        <v>0</v>
      </c>
      <c r="DV12" s="47">
        <f t="array" ref="DV12">IF(AND(ISNUMBER(MATCH(DV$2, AsistenciaJetAdminConcatenada!$A:$A, 0)), ISNUMBER(MATCH(DV$1, AsistenciaJetAdminConcatenada!$B:$B, 0)), ISNUMBER(SEARCH($A12,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ISNUMBER(SEARCH($A12, INDEX(AsistenciaJetAdminConcatenada!$D:$D, MATCH(1, (AsistenciaJetAdminConcatenada!$A:$A=DV$2)*(AsistenciaJetAdminConcatenada!$B:$B=DV$1), 0)), 1))),  0.5, 0))</f>
        <v>0</v>
      </c>
      <c r="DW12" s="47">
        <f t="array" ref="DW12">IF(AND(ISNUMBER(MATCH(DW$2, AsistenciaJetAdminConcatenada!$A:$A, 0)), ISNUMBER(MATCH(DW$1, AsistenciaJetAdminConcatenada!$B:$B, 0)), ISNUMBER(SEARCH($A12,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ISNUMBER(SEARCH($A12, INDEX(AsistenciaJetAdminConcatenada!$D:$D, MATCH(1, (AsistenciaJetAdminConcatenada!$A:$A=DW$2)*(AsistenciaJetAdminConcatenada!$B:$B=DW$1), 0)), 1))),  0.5, 0))</f>
        <v>0</v>
      </c>
      <c r="DX12" s="47">
        <f t="array" ref="DX12">IF(AND(ISNUMBER(MATCH(DX$2, AsistenciaJetAdminConcatenada!$A:$A, 0)), ISNUMBER(MATCH(DX$1, AsistenciaJetAdminConcatenada!$B:$B, 0)), ISNUMBER(SEARCH($A12,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ISNUMBER(SEARCH($A12, INDEX(AsistenciaJetAdminConcatenada!$D:$D, MATCH(1, (AsistenciaJetAdminConcatenada!$A:$A=DX$2)*(AsistenciaJetAdminConcatenada!$B:$B=DX$1), 0)), 1))),  0.5, 0))</f>
        <v>0</v>
      </c>
      <c r="DY12" s="47">
        <f t="array" ref="DY12">IF(AND(ISNUMBER(MATCH(DY$2, AsistenciaJetAdminConcatenada!$A:$A, 0)), ISNUMBER(MATCH(DY$1, AsistenciaJetAdminConcatenada!$B:$B, 0)), ISNUMBER(SEARCH($A12,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ISNUMBER(SEARCH($A12, INDEX(AsistenciaJetAdminConcatenada!$D:$D, MATCH(1, (AsistenciaJetAdminConcatenada!$A:$A=DY$2)*(AsistenciaJetAdminConcatenada!$B:$B=DY$1), 0)), 1))),  0.5, 0))</f>
        <v>0</v>
      </c>
      <c r="DZ12" s="47">
        <f t="array" ref="DZ12">IF(AND(ISNUMBER(MATCH(DZ$2, AsistenciaJetAdminConcatenada!$A:$A, 0)), ISNUMBER(MATCH(DZ$1, AsistenciaJetAdminConcatenada!$B:$B, 0)), ISNUMBER(SEARCH($A12,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ISNUMBER(SEARCH($A12, INDEX(AsistenciaJetAdminConcatenada!$D:$D, MATCH(1, (AsistenciaJetAdminConcatenada!$A:$A=DZ$2)*(AsistenciaJetAdminConcatenada!$B:$B=DZ$1), 0)), 1))),  0.5, 0))</f>
        <v>0</v>
      </c>
      <c r="EA12" s="47">
        <f t="array" ref="EA12">IF(AND(ISNUMBER(MATCH(EA$2, AsistenciaJetAdminConcatenada!$A:$A, 0)), ISNUMBER(MATCH(EA$1, AsistenciaJetAdminConcatenada!$B:$B, 0)), ISNUMBER(SEARCH($A12,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ISNUMBER(SEARCH($A12, INDEX(AsistenciaJetAdminConcatenada!$D:$D, MATCH(1, (AsistenciaJetAdminConcatenada!$A:$A=EA$2)*(AsistenciaJetAdminConcatenada!$B:$B=EA$1), 0)), 1))),  0.5, 0))</f>
        <v>0</v>
      </c>
      <c r="EB12" s="47">
        <f t="array" ref="EB12">IF(AND(ISNUMBER(MATCH(EB$2, AsistenciaJetAdminConcatenada!$A:$A, 0)), ISNUMBER(MATCH(EB$1, AsistenciaJetAdminConcatenada!$B:$B, 0)), ISNUMBER(SEARCH($A12,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ISNUMBER(SEARCH($A12, INDEX(AsistenciaJetAdminConcatenada!$D:$D, MATCH(1, (AsistenciaJetAdminConcatenada!$A:$A=EB$2)*(AsistenciaJetAdminConcatenada!$B:$B=EB$1), 0)), 1))),  0.5, 0))</f>
        <v>0</v>
      </c>
      <c r="EC12" s="47">
        <f t="array" ref="EC12">IF(AND(ISNUMBER(MATCH(EC$2, AsistenciaJetAdminConcatenada!$A:$A, 0)), ISNUMBER(MATCH(EC$1, AsistenciaJetAdminConcatenada!$B:$B, 0)), ISNUMBER(SEARCH($A12,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ISNUMBER(SEARCH($A12, INDEX(AsistenciaJetAdminConcatenada!$D:$D, MATCH(1, (AsistenciaJetAdminConcatenada!$A:$A=EC$2)*(AsistenciaJetAdminConcatenada!$B:$B=EC$1), 0)), 1))),  0.5, 0))</f>
        <v>0</v>
      </c>
      <c r="ED12" s="47">
        <f t="array" ref="ED12">IF(AND(ISNUMBER(MATCH(ED$2, AsistenciaJetAdminConcatenada!$A:$A, 0)), ISNUMBER(MATCH(ED$1, AsistenciaJetAdminConcatenada!$B:$B, 0)), ISNUMBER(SEARCH($A12,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ISNUMBER(SEARCH($A12, INDEX(AsistenciaJetAdminConcatenada!$D:$D, MATCH(1, (AsistenciaJetAdminConcatenada!$A:$A=ED$2)*(AsistenciaJetAdminConcatenada!$B:$B=ED$1), 0)), 1))),  0.5, 0))</f>
        <v>0</v>
      </c>
      <c r="EE12" s="47">
        <f t="array" ref="EE12">IF(AND(ISNUMBER(MATCH(EE$2, AsistenciaJetAdminConcatenada!$A:$A, 0)), ISNUMBER(MATCH(EE$1, AsistenciaJetAdminConcatenada!$B:$B, 0)), ISNUMBER(SEARCH($A12,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ISNUMBER(SEARCH($A12, INDEX(AsistenciaJetAdminConcatenada!$D:$D, MATCH(1, (AsistenciaJetAdminConcatenada!$A:$A=EE$2)*(AsistenciaJetAdminConcatenada!$B:$B=EE$1), 0)), 1))),  0.5, 0))</f>
        <v>0</v>
      </c>
      <c r="EF12" s="47">
        <f t="array" ref="EF12">IF(AND(ISNUMBER(MATCH(EF$2, AsistenciaJetAdminConcatenada!$A:$A, 0)), ISNUMBER(MATCH(EF$1, AsistenciaJetAdminConcatenada!$B:$B, 0)), ISNUMBER(SEARCH($A12,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ISNUMBER(SEARCH($A12, INDEX(AsistenciaJetAdminConcatenada!$D:$D, MATCH(1, (AsistenciaJetAdminConcatenada!$A:$A=EF$2)*(AsistenciaJetAdminConcatenada!$B:$B=EF$1), 0)), 1))),  0.5, 0))</f>
        <v>0</v>
      </c>
      <c r="EG12" s="47">
        <f t="array" ref="EG12">IF(AND(ISNUMBER(MATCH(EG$2, AsistenciaJetAdminConcatenada!$A:$A, 0)), ISNUMBER(MATCH(EG$1, AsistenciaJetAdminConcatenada!$B:$B, 0)), ISNUMBER(SEARCH($A12,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ISNUMBER(SEARCH($A12, INDEX(AsistenciaJetAdminConcatenada!$D:$D, MATCH(1, (AsistenciaJetAdminConcatenada!$A:$A=EG$2)*(AsistenciaJetAdminConcatenada!$B:$B=EG$1), 0)), 1))),  0.5, 0))</f>
        <v>0</v>
      </c>
      <c r="EH12" s="47">
        <f t="array" ref="EH12">IF(AND(ISNUMBER(MATCH(EH$2, AsistenciaJetAdminConcatenada!$A:$A, 0)), ISNUMBER(MATCH(EH$1, AsistenciaJetAdminConcatenada!$B:$B, 0)), ISNUMBER(SEARCH($A12,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ISNUMBER(SEARCH($A12, INDEX(AsistenciaJetAdminConcatenada!$D:$D, MATCH(1, (AsistenciaJetAdminConcatenada!$A:$A=EH$2)*(AsistenciaJetAdminConcatenada!$B:$B=EH$1), 0)), 1))),  0.5, 0))</f>
        <v>0</v>
      </c>
      <c r="EI12" s="47">
        <f t="array" ref="EI12">IF(AND(ISNUMBER(MATCH(EI$2, AsistenciaJetAdminConcatenada!$A:$A, 0)), ISNUMBER(MATCH(EI$1, AsistenciaJetAdminConcatenada!$B:$B, 0)), ISNUMBER(SEARCH($A12,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ISNUMBER(SEARCH($A12, INDEX(AsistenciaJetAdminConcatenada!$D:$D, MATCH(1, (AsistenciaJetAdminConcatenada!$A:$A=EI$2)*(AsistenciaJetAdminConcatenada!$B:$B=EI$1), 0)), 1))),  0.5, 0))</f>
        <v>0</v>
      </c>
      <c r="EJ12" s="47">
        <f t="array" ref="EJ12">IF(AND(ISNUMBER(MATCH(EJ$2, AsistenciaJetAdminConcatenada!$A:$A, 0)), ISNUMBER(MATCH(EJ$1, AsistenciaJetAdminConcatenada!$B:$B, 0)), ISNUMBER(SEARCH($A12,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ISNUMBER(SEARCH($A12, INDEX(AsistenciaJetAdminConcatenada!$D:$D, MATCH(1, (AsistenciaJetAdminConcatenada!$A:$A=EJ$2)*(AsistenciaJetAdminConcatenada!$B:$B=EJ$1), 0)), 1))),  0.5, 0))</f>
        <v>0</v>
      </c>
      <c r="EK12" s="47">
        <f t="array" ref="EK12">IF(AND(ISNUMBER(MATCH(EK$2, AsistenciaJetAdminConcatenada!$A:$A, 0)), ISNUMBER(MATCH(EK$1, AsistenciaJetAdminConcatenada!$B:$B, 0)), ISNUMBER(SEARCH($A12,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ISNUMBER(SEARCH($A12, INDEX(AsistenciaJetAdminConcatenada!$D:$D, MATCH(1, (AsistenciaJetAdminConcatenada!$A:$A=EK$2)*(AsistenciaJetAdminConcatenada!$B:$B=EK$1), 0)), 1))),  0.5, 0))</f>
        <v>0</v>
      </c>
      <c r="EL12" s="47">
        <f t="array" ref="EL12">IF(AND(ISNUMBER(MATCH(EL$2, AsistenciaJetAdminConcatenada!$A:$A, 0)), ISNUMBER(MATCH(EL$1, AsistenciaJetAdminConcatenada!$B:$B, 0)), ISNUMBER(SEARCH($A12,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ISNUMBER(SEARCH($A12, INDEX(AsistenciaJetAdminConcatenada!$D:$D, MATCH(1, (AsistenciaJetAdminConcatenada!$A:$A=EL$2)*(AsistenciaJetAdminConcatenada!$B:$B=EL$1), 0)), 1))),  0.5, 0))</f>
        <v>0</v>
      </c>
      <c r="EM12" s="47">
        <f t="array" ref="EM12">IF(AND(ISNUMBER(MATCH(EM$2, AsistenciaJetAdminConcatenada!$A:$A, 0)), ISNUMBER(MATCH(EM$1, AsistenciaJetAdminConcatenada!$B:$B, 0)), ISNUMBER(SEARCH($A12,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ISNUMBER(SEARCH($A12, INDEX(AsistenciaJetAdminConcatenada!$D:$D, MATCH(1, (AsistenciaJetAdminConcatenada!$A:$A=EM$2)*(AsistenciaJetAdminConcatenada!$B:$B=EM$1), 0)), 1))),  0.5, 0))</f>
        <v>0</v>
      </c>
      <c r="EN12" s="47">
        <f t="array" ref="EN12">IF(AND(ISNUMBER(MATCH(EN$2, AsistenciaJetAdminConcatenada!$A:$A, 0)), ISNUMBER(MATCH(EN$1, AsistenciaJetAdminConcatenada!$B:$B, 0)), ISNUMBER(SEARCH($A12,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ISNUMBER(SEARCH($A12, INDEX(AsistenciaJetAdminConcatenada!$D:$D, MATCH(1, (AsistenciaJetAdminConcatenada!$A:$A=EN$2)*(AsistenciaJetAdminConcatenada!$B:$B=EN$1), 0)), 1))),  0.5, 0))</f>
        <v>0</v>
      </c>
      <c r="EO12" s="47">
        <f t="array" ref="EO12">IF(AND(ISNUMBER(MATCH(EO$2, AsistenciaJetAdminConcatenada!$A:$A, 0)), ISNUMBER(MATCH(EO$1, AsistenciaJetAdminConcatenada!$B:$B, 0)), ISNUMBER(SEARCH($A12,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ISNUMBER(SEARCH($A12, INDEX(AsistenciaJetAdminConcatenada!$D:$D, MATCH(1, (AsistenciaJetAdminConcatenada!$A:$A=EO$2)*(AsistenciaJetAdminConcatenada!$B:$B=EO$1), 0)), 1))),  0.5, 0))</f>
        <v>0</v>
      </c>
      <c r="EP12" s="47">
        <f t="array" ref="EP12">IF(AND(ISNUMBER(MATCH(EP$2, AsistenciaJetAdminConcatenada!$A:$A, 0)), ISNUMBER(MATCH(EP$1, AsistenciaJetAdminConcatenada!$B:$B, 0)), ISNUMBER(SEARCH($A12,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ISNUMBER(SEARCH($A12, INDEX(AsistenciaJetAdminConcatenada!$D:$D, MATCH(1, (AsistenciaJetAdminConcatenada!$A:$A=EP$2)*(AsistenciaJetAdminConcatenada!$B:$B=EP$1), 0)), 1))),  0.5, 0))</f>
        <v>0</v>
      </c>
      <c r="EQ12" s="47">
        <f t="array" ref="EQ12">IF(AND(ISNUMBER(MATCH(EQ$2, AsistenciaJetAdminConcatenada!$A:$A, 0)), ISNUMBER(MATCH(EQ$1, AsistenciaJetAdminConcatenada!$B:$B, 0)), ISNUMBER(SEARCH($A12,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ISNUMBER(SEARCH($A12, INDEX(AsistenciaJetAdminConcatenada!$D:$D, MATCH(1, (AsistenciaJetAdminConcatenada!$A:$A=EQ$2)*(AsistenciaJetAdminConcatenada!$B:$B=EQ$1), 0)), 1))),  0.5, 0))</f>
        <v>0</v>
      </c>
      <c r="ER12" s="47">
        <f t="array" ref="ER12">IF(AND(ISNUMBER(MATCH(ER$2, AsistenciaJetAdminConcatenada!$A:$A, 0)), ISNUMBER(MATCH(ER$1, AsistenciaJetAdminConcatenada!$B:$B, 0)), ISNUMBER(SEARCH($A12,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ISNUMBER(SEARCH($A12, INDEX(AsistenciaJetAdminConcatenada!$D:$D, MATCH(1, (AsistenciaJetAdminConcatenada!$A:$A=ER$2)*(AsistenciaJetAdminConcatenada!$B:$B=ER$1), 0)), 1))),  0.5, 0))</f>
        <v>0</v>
      </c>
      <c r="ES12" s="47">
        <f t="array" ref="ES12">IF(AND(ISNUMBER(MATCH(ES$2, AsistenciaJetAdminConcatenada!$A:$A, 0)), ISNUMBER(MATCH(ES$1, AsistenciaJetAdminConcatenada!$B:$B, 0)), ISNUMBER(SEARCH($A12,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ISNUMBER(SEARCH($A12, INDEX(AsistenciaJetAdminConcatenada!$D:$D, MATCH(1, (AsistenciaJetAdminConcatenada!$A:$A=ES$2)*(AsistenciaJetAdminConcatenada!$B:$B=ES$1), 0)), 1))),  0.5, 0))</f>
        <v>0</v>
      </c>
      <c r="ET12" s="47">
        <f t="array" ref="ET12">IF(AND(ISNUMBER(MATCH(ET$2, AsistenciaJetAdminConcatenada!$A:$A, 0)), ISNUMBER(MATCH(ET$1, AsistenciaJetAdminConcatenada!$B:$B, 0)), ISNUMBER(SEARCH($A12,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ISNUMBER(SEARCH($A12, INDEX(AsistenciaJetAdminConcatenada!$D:$D, MATCH(1, (AsistenciaJetAdminConcatenada!$A:$A=ET$2)*(AsistenciaJetAdminConcatenada!$B:$B=ET$1), 0)), 1))),  0.5, 0))</f>
        <v>0</v>
      </c>
      <c r="EU12" s="47">
        <f t="array" ref="EU12">IF(AND(ISNUMBER(MATCH(EU$2, AsistenciaJetAdminConcatenada!$A:$A, 0)), ISNUMBER(MATCH(EU$1, AsistenciaJetAdminConcatenada!$B:$B, 0)), ISNUMBER(SEARCH($A12,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ISNUMBER(SEARCH($A12, INDEX(AsistenciaJetAdminConcatenada!$D:$D, MATCH(1, (AsistenciaJetAdminConcatenada!$A:$A=EU$2)*(AsistenciaJetAdminConcatenada!$B:$B=EU$1), 0)), 1))),  0.5, 0))</f>
        <v>0</v>
      </c>
      <c r="EV12" s="47">
        <f t="array" ref="EV12">IF(AND(ISNUMBER(MATCH(EV$2, AsistenciaJetAdminConcatenada!$A:$A, 0)), ISNUMBER(MATCH(EV$1, AsistenciaJetAdminConcatenada!$B:$B, 0)), ISNUMBER(SEARCH($A12,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ISNUMBER(SEARCH($A12, INDEX(AsistenciaJetAdminConcatenada!$D:$D, MATCH(1, (AsistenciaJetAdminConcatenada!$A:$A=EV$2)*(AsistenciaJetAdminConcatenada!$B:$B=EV$1), 0)), 1))),  0.5, 0))</f>
        <v>0</v>
      </c>
      <c r="EW12" s="47">
        <f t="array" ref="EW12">IF(AND(ISNUMBER(MATCH(EW$2, AsistenciaJetAdminConcatenada!$A:$A, 0)), ISNUMBER(MATCH(EW$1, AsistenciaJetAdminConcatenada!$B:$B, 0)), ISNUMBER(SEARCH($A12,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ISNUMBER(SEARCH($A12, INDEX(AsistenciaJetAdminConcatenada!$D:$D, MATCH(1, (AsistenciaJetAdminConcatenada!$A:$A=EW$2)*(AsistenciaJetAdminConcatenada!$B:$B=EW$1), 0)), 1))),  0.5, 0))</f>
        <v>0</v>
      </c>
      <c r="EX12" s="47">
        <f t="array" ref="EX12">IF(AND(ISNUMBER(MATCH(EX$2, AsistenciaJetAdminConcatenada!$A:$A, 0)), ISNUMBER(MATCH(EX$1, AsistenciaJetAdminConcatenada!$B:$B, 0)), ISNUMBER(SEARCH($A12,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ISNUMBER(SEARCH($A12, INDEX(AsistenciaJetAdminConcatenada!$D:$D, MATCH(1, (AsistenciaJetAdminConcatenada!$A:$A=EX$2)*(AsistenciaJetAdminConcatenada!$B:$B=EX$1), 0)), 1))),  0.5, 0))</f>
        <v>0</v>
      </c>
      <c r="EY12" s="47">
        <f t="array" ref="EY12">IF(AND(ISNUMBER(MATCH(EY$2, AsistenciaJetAdminConcatenada!$A:$A, 0)), ISNUMBER(MATCH(EY$1, AsistenciaJetAdminConcatenada!$B:$B, 0)), ISNUMBER(SEARCH($A12,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ISNUMBER(SEARCH($A12, INDEX(AsistenciaJetAdminConcatenada!$D:$D, MATCH(1, (AsistenciaJetAdminConcatenada!$A:$A=EY$2)*(AsistenciaJetAdminConcatenada!$B:$B=EY$1), 0)), 1))),  0.5, 0))</f>
        <v>0</v>
      </c>
      <c r="EZ12" s="47">
        <f t="array" ref="EZ12">IF(AND(ISNUMBER(MATCH(EZ$2, AsistenciaJetAdminConcatenada!$A:$A, 0)), ISNUMBER(MATCH(EZ$1, AsistenciaJetAdminConcatenada!$B:$B, 0)), ISNUMBER(SEARCH($A12,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ISNUMBER(SEARCH($A12, INDEX(AsistenciaJetAdminConcatenada!$D:$D, MATCH(1, (AsistenciaJetAdminConcatenada!$A:$A=EZ$2)*(AsistenciaJetAdminConcatenada!$B:$B=EZ$1), 0)), 1))),  0.5, 0))</f>
        <v>0</v>
      </c>
      <c r="FA12" s="47">
        <f t="array" ref="FA12">IF(AND(ISNUMBER(MATCH(FA$2, AsistenciaJetAdminConcatenada!$A:$A, 0)), ISNUMBER(MATCH(FA$1, AsistenciaJetAdminConcatenada!$B:$B, 0)), ISNUMBER(SEARCH($A12,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ISNUMBER(SEARCH($A12, INDEX(AsistenciaJetAdminConcatenada!$D:$D, MATCH(1, (AsistenciaJetAdminConcatenada!$A:$A=FA$2)*(AsistenciaJetAdminConcatenada!$B:$B=FA$1), 0)), 1))),  0.5, 0))</f>
        <v>0</v>
      </c>
      <c r="FB12" s="47">
        <f t="array" ref="FB12">IF(AND(ISNUMBER(MATCH(FB$2, AsistenciaJetAdminConcatenada!$A:$A, 0)), ISNUMBER(MATCH(FB$1, AsistenciaJetAdminConcatenada!$B:$B, 0)), ISNUMBER(SEARCH($A12,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ISNUMBER(SEARCH($A12, INDEX(AsistenciaJetAdminConcatenada!$D:$D, MATCH(1, (AsistenciaJetAdminConcatenada!$A:$A=FB$2)*(AsistenciaJetAdminConcatenada!$B:$B=FB$1), 0)), 1))),  0.5, 0))</f>
        <v>0</v>
      </c>
      <c r="FC12" s="47">
        <f t="array" ref="FC12">IF(AND(ISNUMBER(MATCH(FC$2, AsistenciaJetAdminConcatenada!$A:$A, 0)), ISNUMBER(MATCH(FC$1, AsistenciaJetAdminConcatenada!$B:$B, 0)), ISNUMBER(SEARCH($A12,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ISNUMBER(SEARCH($A12, INDEX(AsistenciaJetAdminConcatenada!$D:$D, MATCH(1, (AsistenciaJetAdminConcatenada!$A:$A=FC$2)*(AsistenciaJetAdminConcatenada!$B:$B=FC$1), 0)), 1))),  0.5, 0))</f>
        <v>0</v>
      </c>
      <c r="FD12" s="47">
        <f t="array" ref="FD12">IF(AND(ISNUMBER(MATCH(FD$2, AsistenciaJetAdminConcatenada!$A:$A, 0)), ISNUMBER(MATCH(FD$1, AsistenciaJetAdminConcatenada!$B:$B, 0)), ISNUMBER(SEARCH($A12,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ISNUMBER(SEARCH($A12, INDEX(AsistenciaJetAdminConcatenada!$D:$D, MATCH(1, (AsistenciaJetAdminConcatenada!$A:$A=FD$2)*(AsistenciaJetAdminConcatenada!$B:$B=FD$1), 0)), 1))),  0.5, 0))</f>
        <v>0</v>
      </c>
      <c r="FE12" s="47">
        <f t="array" ref="FE12">IF(AND(ISNUMBER(MATCH(FE$2, AsistenciaJetAdminConcatenada!$A:$A, 0)), ISNUMBER(MATCH(FE$1, AsistenciaJetAdminConcatenada!$B:$B, 0)), ISNUMBER(SEARCH($A12,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ISNUMBER(SEARCH($A12, INDEX(AsistenciaJetAdminConcatenada!$D:$D, MATCH(1, (AsistenciaJetAdminConcatenada!$A:$A=FE$2)*(AsistenciaJetAdminConcatenada!$B:$B=FE$1), 0)), 1))),  0.5, 0))</f>
        <v>0</v>
      </c>
      <c r="FF12" s="47">
        <f t="array" ref="FF12">IF(AND(ISNUMBER(MATCH(FF$2, AsistenciaJetAdminConcatenada!$A:$A, 0)), ISNUMBER(MATCH(FF$1, AsistenciaJetAdminConcatenada!$B:$B, 0)), ISNUMBER(SEARCH($A12,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ISNUMBER(SEARCH($A12, INDEX(AsistenciaJetAdminConcatenada!$D:$D, MATCH(1, (AsistenciaJetAdminConcatenada!$A:$A=FF$2)*(AsistenciaJetAdminConcatenada!$B:$B=FF$1), 0)), 1))),  0.5, 0))</f>
        <v>0</v>
      </c>
      <c r="FG12" s="47">
        <f t="array" ref="FG12">IF(AND(ISNUMBER(MATCH(FG$2, AsistenciaJetAdminConcatenada!$A:$A, 0)), ISNUMBER(MATCH(FG$1, AsistenciaJetAdminConcatenada!$B:$B, 0)), ISNUMBER(SEARCH($A12,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ISNUMBER(SEARCH($A12, INDEX(AsistenciaJetAdminConcatenada!$D:$D, MATCH(1, (AsistenciaJetAdminConcatenada!$A:$A=FG$2)*(AsistenciaJetAdminConcatenada!$B:$B=FG$1), 0)), 1))),  0.5, 0))</f>
        <v>0</v>
      </c>
      <c r="FH12" s="47">
        <f t="array" ref="FH12">IF(AND(ISNUMBER(MATCH(FH$2, AsistenciaJetAdminConcatenada!$A:$A, 0)), ISNUMBER(MATCH(FH$1, AsistenciaJetAdminConcatenada!$B:$B, 0)), ISNUMBER(SEARCH($A12,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ISNUMBER(SEARCH($A12, INDEX(AsistenciaJetAdminConcatenada!$D:$D, MATCH(1, (AsistenciaJetAdminConcatenada!$A:$A=FH$2)*(AsistenciaJetAdminConcatenada!$B:$B=FH$1), 0)), 1))),  0.5, 0))</f>
        <v>0</v>
      </c>
      <c r="FI12" s="47">
        <f t="array" ref="FI12">IF(AND(ISNUMBER(MATCH(FI$2, AsistenciaJetAdminConcatenada!$A:$A, 0)), ISNUMBER(MATCH(FI$1, AsistenciaJetAdminConcatenada!$B:$B, 0)), ISNUMBER(SEARCH($A12,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ISNUMBER(SEARCH($A12, INDEX(AsistenciaJetAdminConcatenada!$D:$D, MATCH(1, (AsistenciaJetAdminConcatenada!$A:$A=FI$2)*(AsistenciaJetAdminConcatenada!$B:$B=FI$1), 0)), 1))),  0.5, 0))</f>
        <v>0</v>
      </c>
      <c r="FJ12" s="47">
        <f t="array" ref="FJ12">IF(AND(ISNUMBER(MATCH(FJ$2, AsistenciaJetAdminConcatenada!$A:$A, 0)), ISNUMBER(MATCH(FJ$1, AsistenciaJetAdminConcatenada!$B:$B, 0)), ISNUMBER(SEARCH($A12,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ISNUMBER(SEARCH($A12, INDEX(AsistenciaJetAdminConcatenada!$D:$D, MATCH(1, (AsistenciaJetAdminConcatenada!$A:$A=FJ$2)*(AsistenciaJetAdminConcatenada!$B:$B=FJ$1), 0)), 1))),  0.5, 0))</f>
        <v>0</v>
      </c>
      <c r="FK12" s="47">
        <f t="array" ref="FK12">IF(AND(ISNUMBER(MATCH(FK$2, AsistenciaJetAdminConcatenada!$A:$A, 0)), ISNUMBER(MATCH(FK$1, AsistenciaJetAdminConcatenada!$B:$B, 0)), ISNUMBER(SEARCH($A12,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ISNUMBER(SEARCH($A12, INDEX(AsistenciaJetAdminConcatenada!$D:$D, MATCH(1, (AsistenciaJetAdminConcatenada!$A:$A=FK$2)*(AsistenciaJetAdminConcatenada!$B:$B=FK$1), 0)), 1))),  0.5, 0))</f>
        <v>0</v>
      </c>
      <c r="FL12" s="47">
        <f t="array" ref="FL12">IF(AND(ISNUMBER(MATCH(FL$2, AsistenciaJetAdminConcatenada!$A:$A, 0)), ISNUMBER(MATCH(FL$1, AsistenciaJetAdminConcatenada!$B:$B, 0)), ISNUMBER(SEARCH($A12,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ISNUMBER(SEARCH($A12, INDEX(AsistenciaJetAdminConcatenada!$D:$D, MATCH(1, (AsistenciaJetAdminConcatenada!$A:$A=FL$2)*(AsistenciaJetAdminConcatenada!$B:$B=FL$1), 0)), 1))),  0.5, 0))</f>
        <v>0</v>
      </c>
      <c r="FM12" s="47">
        <f t="array" ref="FM12">IF(AND(ISNUMBER(MATCH(FM$2, AsistenciaJetAdminConcatenada!$A:$A, 0)), ISNUMBER(MATCH(FM$1, AsistenciaJetAdminConcatenada!$B:$B, 0)), ISNUMBER(SEARCH($A12,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ISNUMBER(SEARCH($A12, INDEX(AsistenciaJetAdminConcatenada!$D:$D, MATCH(1, (AsistenciaJetAdminConcatenada!$A:$A=FM$2)*(AsistenciaJetAdminConcatenada!$B:$B=FM$1), 0)), 1))),  0.5, 0))</f>
        <v>0</v>
      </c>
      <c r="FN12" s="47">
        <f t="array" ref="FN12">IF(AND(ISNUMBER(MATCH(FN$2, AsistenciaJetAdminConcatenada!$A:$A, 0)), ISNUMBER(MATCH(FN$1, AsistenciaJetAdminConcatenada!$B:$B, 0)), ISNUMBER(SEARCH($A12,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ISNUMBER(SEARCH($A12, INDEX(AsistenciaJetAdminConcatenada!$D:$D, MATCH(1, (AsistenciaJetAdminConcatenada!$A:$A=FN$2)*(AsistenciaJetAdminConcatenada!$B:$B=FN$1), 0)), 1))),  0.5, 0))</f>
        <v>0</v>
      </c>
      <c r="FO12" s="47">
        <f t="array" ref="FO12">IF(AND(ISNUMBER(MATCH(FO$2, AsistenciaJetAdminConcatenada!$A:$A, 0)), ISNUMBER(MATCH(FO$1, AsistenciaJetAdminConcatenada!$B:$B, 0)), ISNUMBER(SEARCH($A12,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ISNUMBER(SEARCH($A12, INDEX(AsistenciaJetAdminConcatenada!$D:$D, MATCH(1, (AsistenciaJetAdminConcatenada!$A:$A=FO$2)*(AsistenciaJetAdminConcatenada!$B:$B=FO$1), 0)), 1))),  0.5, 0))</f>
        <v>0</v>
      </c>
      <c r="FP12" s="47">
        <f t="array" ref="FP12">IF(AND(ISNUMBER(MATCH(FP$2, AsistenciaJetAdminConcatenada!$A:$A, 0)), ISNUMBER(MATCH(FP$1, AsistenciaJetAdminConcatenada!$B:$B, 0)), ISNUMBER(SEARCH($A12,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ISNUMBER(SEARCH($A12, INDEX(AsistenciaJetAdminConcatenada!$D:$D, MATCH(1, (AsistenciaJetAdminConcatenada!$A:$A=FP$2)*(AsistenciaJetAdminConcatenada!$B:$B=FP$1), 0)), 1))),  0.5, 0))</f>
        <v>0</v>
      </c>
      <c r="FQ12" s="47">
        <f t="array" ref="FQ12">IF(AND(ISNUMBER(MATCH(FQ$2, AsistenciaJetAdminConcatenada!$A:$A, 0)), ISNUMBER(MATCH(FQ$1, AsistenciaJetAdminConcatenada!$B:$B, 0)), ISNUMBER(SEARCH($A12,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ISNUMBER(SEARCH($A12, INDEX(AsistenciaJetAdminConcatenada!$D:$D, MATCH(1, (AsistenciaJetAdminConcatenada!$A:$A=FQ$2)*(AsistenciaJetAdminConcatenada!$B:$B=FQ$1), 0)), 1))),  0.5, 0))</f>
        <v>0</v>
      </c>
      <c r="FR12" s="47">
        <f t="array" ref="FR12">IF(AND(ISNUMBER(MATCH(FR$2, AsistenciaJetAdminConcatenada!$A:$A, 0)), ISNUMBER(MATCH(FR$1, AsistenciaJetAdminConcatenada!$B:$B, 0)), ISNUMBER(SEARCH($A12,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ISNUMBER(SEARCH($A12, INDEX(AsistenciaJetAdminConcatenada!$D:$D, MATCH(1, (AsistenciaJetAdminConcatenada!$A:$A=FR$2)*(AsistenciaJetAdminConcatenada!$B:$B=FR$1), 0)), 1))),  0.5, 0))</f>
        <v>0</v>
      </c>
      <c r="FS12" s="47">
        <f t="array" ref="FS12">IF(AND(ISNUMBER(MATCH(FS$2, AsistenciaJetAdminConcatenada!$A:$A, 0)), ISNUMBER(MATCH(FS$1, AsistenciaJetAdminConcatenada!$B:$B, 0)), ISNUMBER(SEARCH($A12,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ISNUMBER(SEARCH($A12, INDEX(AsistenciaJetAdminConcatenada!$D:$D, MATCH(1, (AsistenciaJetAdminConcatenada!$A:$A=FS$2)*(AsistenciaJetAdminConcatenada!$B:$B=FS$1), 0)), 1))),  0.5, 0))</f>
        <v>0</v>
      </c>
      <c r="FT12" s="47">
        <f t="array" ref="FT12">IF(AND(ISNUMBER(MATCH(FT$2, AsistenciaJetAdminConcatenada!$A:$A, 0)), ISNUMBER(MATCH(FT$1, AsistenciaJetAdminConcatenada!$B:$B, 0)), ISNUMBER(SEARCH($A12,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ISNUMBER(SEARCH($A12, INDEX(AsistenciaJetAdminConcatenada!$D:$D, MATCH(1, (AsistenciaJetAdminConcatenada!$A:$A=FT$2)*(AsistenciaJetAdminConcatenada!$B:$B=FT$1), 0)), 1))),  0.5, 0))</f>
        <v>0</v>
      </c>
      <c r="FU12" s="47">
        <f t="array" ref="FU12">IF(AND(ISNUMBER(MATCH(FU$2, AsistenciaJetAdminConcatenada!$A:$A, 0)), ISNUMBER(MATCH(FU$1, AsistenciaJetAdminConcatenada!$B:$B, 0)), ISNUMBER(SEARCH($A12,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ISNUMBER(SEARCH($A12, INDEX(AsistenciaJetAdminConcatenada!$D:$D, MATCH(1, (AsistenciaJetAdminConcatenada!$A:$A=FU$2)*(AsistenciaJetAdminConcatenada!$B:$B=FU$1), 0)), 1))),  0.5, 0))</f>
        <v>0</v>
      </c>
      <c r="FV12" s="47">
        <f t="array" ref="FV12">IF(AND(ISNUMBER(MATCH(FV$2, AsistenciaJetAdminConcatenada!$A:$A, 0)), ISNUMBER(MATCH(FV$1, AsistenciaJetAdminConcatenada!$B:$B, 0)), ISNUMBER(SEARCH($A12,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ISNUMBER(SEARCH($A12, INDEX(AsistenciaJetAdminConcatenada!$D:$D, MATCH(1, (AsistenciaJetAdminConcatenada!$A:$A=FV$2)*(AsistenciaJetAdminConcatenada!$B:$B=FV$1), 0)), 1))),  0.5, 0))</f>
        <v>0</v>
      </c>
      <c r="FW12" s="47">
        <f t="array" ref="FW12">IF(AND(ISNUMBER(MATCH(FW$2, AsistenciaJetAdminConcatenada!$A:$A, 0)), ISNUMBER(MATCH(FW$1, AsistenciaJetAdminConcatenada!$B:$B, 0)), ISNUMBER(SEARCH($A12,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ISNUMBER(SEARCH($A12, INDEX(AsistenciaJetAdminConcatenada!$D:$D, MATCH(1, (AsistenciaJetAdminConcatenada!$A:$A=FW$2)*(AsistenciaJetAdminConcatenada!$B:$B=FW$1), 0)), 1))),  0.5, 0))</f>
        <v>0</v>
      </c>
      <c r="FX12" s="47">
        <f t="array" ref="FX12">IF(AND(ISNUMBER(MATCH(FX$2, AsistenciaJetAdminConcatenada!$A:$A, 0)), ISNUMBER(MATCH(FX$1, AsistenciaJetAdminConcatenada!$B:$B, 0)), ISNUMBER(SEARCH($A12,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ISNUMBER(SEARCH($A12, INDEX(AsistenciaJetAdminConcatenada!$D:$D, MATCH(1, (AsistenciaJetAdminConcatenada!$A:$A=FX$2)*(AsistenciaJetAdminConcatenada!$B:$B=FX$1), 0)), 1))),  0.5, 0))</f>
        <v>0</v>
      </c>
      <c r="FY12" s="47">
        <f t="array" ref="FY12">IF(AND(ISNUMBER(MATCH(FY$2, AsistenciaJetAdminConcatenada!$A:$A, 0)), ISNUMBER(MATCH(FY$1, AsistenciaJetAdminConcatenada!$B:$B, 0)), ISNUMBER(SEARCH($A12,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ISNUMBER(SEARCH($A12, INDEX(AsistenciaJetAdminConcatenada!$D:$D, MATCH(1, (AsistenciaJetAdminConcatenada!$A:$A=FY$2)*(AsistenciaJetAdminConcatenada!$B:$B=FY$1), 0)), 1))),  0.5, 0))</f>
        <v>0</v>
      </c>
      <c r="FZ12" s="47">
        <f t="array" ref="FZ12">IF(AND(ISNUMBER(MATCH(FZ$2, AsistenciaJetAdminConcatenada!$A:$A, 0)), ISNUMBER(MATCH(FZ$1, AsistenciaJetAdminConcatenada!$B:$B, 0)), ISNUMBER(SEARCH($A12,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ISNUMBER(SEARCH($A12, INDEX(AsistenciaJetAdminConcatenada!$D:$D, MATCH(1, (AsistenciaJetAdminConcatenada!$A:$A=FZ$2)*(AsistenciaJetAdminConcatenada!$B:$B=FZ$1), 0)), 1))),  0.5, 0))</f>
        <v>0</v>
      </c>
      <c r="GA12" s="47">
        <f t="array" ref="GA12">IF(AND(ISNUMBER(MATCH(GA$2, AsistenciaJetAdminConcatenada!$A:$A, 0)), ISNUMBER(MATCH(GA$1, AsistenciaJetAdminConcatenada!$B:$B, 0)), ISNUMBER(SEARCH($A12,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ISNUMBER(SEARCH($A12, INDEX(AsistenciaJetAdminConcatenada!$D:$D, MATCH(1, (AsistenciaJetAdminConcatenada!$A:$A=GA$2)*(AsistenciaJetAdminConcatenada!$B:$B=GA$1), 0)), 1))),  0.5, 0))</f>
        <v>0</v>
      </c>
      <c r="GB12" s="47">
        <f t="array" ref="GB12">IF(AND(ISNUMBER(MATCH(GB$2, AsistenciaJetAdminConcatenada!$A:$A, 0)), ISNUMBER(MATCH(GB$1, AsistenciaJetAdminConcatenada!$B:$B, 0)), ISNUMBER(SEARCH($A12,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ISNUMBER(SEARCH($A12, INDEX(AsistenciaJetAdminConcatenada!$D:$D, MATCH(1, (AsistenciaJetAdminConcatenada!$A:$A=GB$2)*(AsistenciaJetAdminConcatenada!$B:$B=GB$1), 0)), 1))),  0.5, 0))</f>
        <v>0</v>
      </c>
      <c r="GC12" s="47">
        <f t="array" ref="GC12">IF(AND(ISNUMBER(MATCH(GC$2, AsistenciaJetAdminConcatenada!$A:$A, 0)), ISNUMBER(MATCH(GC$1, AsistenciaJetAdminConcatenada!$B:$B, 0)), ISNUMBER(SEARCH($A12,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ISNUMBER(SEARCH($A12, INDEX(AsistenciaJetAdminConcatenada!$D:$D, MATCH(1, (AsistenciaJetAdminConcatenada!$A:$A=GC$2)*(AsistenciaJetAdminConcatenada!$B:$B=GC$1), 0)), 1))),  0.5, 0))</f>
        <v>0</v>
      </c>
      <c r="GD12" s="47">
        <f t="array" ref="GD12">IF(AND(ISNUMBER(MATCH(GD$2, AsistenciaJetAdminConcatenada!$A:$A, 0)), ISNUMBER(MATCH(GD$1, AsistenciaJetAdminConcatenada!$B:$B, 0)), ISNUMBER(SEARCH($A12,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ISNUMBER(SEARCH($A12, INDEX(AsistenciaJetAdminConcatenada!$D:$D, MATCH(1, (AsistenciaJetAdminConcatenada!$A:$A=GD$2)*(AsistenciaJetAdminConcatenada!$B:$B=GD$1), 0)), 1))),  0.5, 0))</f>
        <v>0</v>
      </c>
      <c r="GE12" s="47">
        <f t="array" ref="GE12">IF(AND(ISNUMBER(MATCH(GE$2, AsistenciaJetAdminConcatenada!$A:$A, 0)), ISNUMBER(MATCH(GE$1, AsistenciaJetAdminConcatenada!$B:$B, 0)), ISNUMBER(SEARCH($A12,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ISNUMBER(SEARCH($A12, INDEX(AsistenciaJetAdminConcatenada!$D:$D, MATCH(1, (AsistenciaJetAdminConcatenada!$A:$A=GE$2)*(AsistenciaJetAdminConcatenada!$B:$B=GE$1), 0)), 1))),  0.5, 0))</f>
        <v>0</v>
      </c>
      <c r="GF12" s="47">
        <f t="array" ref="GF12">IF(AND(ISNUMBER(MATCH(GF$2, AsistenciaJetAdminConcatenada!$A:$A, 0)), ISNUMBER(MATCH(GF$1, AsistenciaJetAdminConcatenada!$B:$B, 0)), ISNUMBER(SEARCH($A12,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ISNUMBER(SEARCH($A12, INDEX(AsistenciaJetAdminConcatenada!$D:$D, MATCH(1, (AsistenciaJetAdminConcatenada!$A:$A=GF$2)*(AsistenciaJetAdminConcatenada!$B:$B=GF$1), 0)), 1))),  0.5, 0))</f>
        <v>0</v>
      </c>
      <c r="GG12" s="47">
        <f t="array" ref="GG12">IF(AND(ISNUMBER(MATCH(GG$2, AsistenciaJetAdminConcatenada!$A:$A, 0)), ISNUMBER(MATCH(GG$1, AsistenciaJetAdminConcatenada!$B:$B, 0)), ISNUMBER(SEARCH($A12,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ISNUMBER(SEARCH($A12, INDEX(AsistenciaJetAdminConcatenada!$D:$D, MATCH(1, (AsistenciaJetAdminConcatenada!$A:$A=GG$2)*(AsistenciaJetAdminConcatenada!$B:$B=GG$1), 0)), 1))),  0.5, 0))</f>
        <v>0</v>
      </c>
      <c r="GH12" s="47">
        <f t="array" ref="GH12">IF(AND(ISNUMBER(MATCH(GH$2, AsistenciaJetAdminConcatenada!$A:$A, 0)), ISNUMBER(MATCH(GH$1, AsistenciaJetAdminConcatenada!$B:$B, 0)), ISNUMBER(SEARCH($A12,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ISNUMBER(SEARCH($A12, INDEX(AsistenciaJetAdminConcatenada!$D:$D, MATCH(1, (AsistenciaJetAdminConcatenada!$A:$A=GH$2)*(AsistenciaJetAdminConcatenada!$B:$B=GH$1), 0)), 1))),  0.5, 0))</f>
        <v>0</v>
      </c>
      <c r="GI12" s="47">
        <f t="array" ref="GI12">IF(AND(ISNUMBER(MATCH(GI$2, AsistenciaJetAdminConcatenada!$A:$A, 0)), ISNUMBER(MATCH(GI$1, AsistenciaJetAdminConcatenada!$B:$B, 0)), ISNUMBER(SEARCH($A12,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ISNUMBER(SEARCH($A12, INDEX(AsistenciaJetAdminConcatenada!$D:$D, MATCH(1, (AsistenciaJetAdminConcatenada!$A:$A=GI$2)*(AsistenciaJetAdminConcatenada!$B:$B=GI$1), 0)), 1))),  0.5, 0))</f>
        <v>0</v>
      </c>
      <c r="GJ12" s="47">
        <f t="array" ref="GJ12">IF(AND(ISNUMBER(MATCH(GJ$2, AsistenciaJetAdminConcatenada!$A:$A, 0)), ISNUMBER(MATCH(GJ$1, AsistenciaJetAdminConcatenada!$B:$B, 0)), ISNUMBER(SEARCH($A12,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ISNUMBER(SEARCH($A12, INDEX(AsistenciaJetAdminConcatenada!$D:$D, MATCH(1, (AsistenciaJetAdminConcatenada!$A:$A=GJ$2)*(AsistenciaJetAdminConcatenada!$B:$B=GJ$1), 0)), 1))),  0.5, 0))</f>
        <v>0</v>
      </c>
      <c r="GK12" s="47">
        <f t="array" ref="GK12">IF(AND(ISNUMBER(MATCH(GK$2, AsistenciaJetAdminConcatenada!$A:$A, 0)), ISNUMBER(MATCH(GK$1, AsistenciaJetAdminConcatenada!$B:$B, 0)), ISNUMBER(SEARCH($A12,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ISNUMBER(SEARCH($A12, INDEX(AsistenciaJetAdminConcatenada!$D:$D, MATCH(1, (AsistenciaJetAdminConcatenada!$A:$A=GK$2)*(AsistenciaJetAdminConcatenada!$B:$B=GK$1), 0)), 1))),  0.5, 0))</f>
        <v>0</v>
      </c>
      <c r="GL12" s="47">
        <f t="array" ref="GL12">IF(AND(ISNUMBER(MATCH(GL$2, AsistenciaJetAdminConcatenada!$A:$A, 0)), ISNUMBER(MATCH(GL$1, AsistenciaJetAdminConcatenada!$B:$B, 0)), ISNUMBER(SEARCH($A12,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ISNUMBER(SEARCH($A12, INDEX(AsistenciaJetAdminConcatenada!$D:$D, MATCH(1, (AsistenciaJetAdminConcatenada!$A:$A=GL$2)*(AsistenciaJetAdminConcatenada!$B:$B=GL$1), 0)), 1))),  0.5, 0))</f>
        <v>0</v>
      </c>
      <c r="GM12" s="47">
        <f t="array" ref="GM12">IF(AND(ISNUMBER(MATCH(GM$2, AsistenciaJetAdminConcatenada!$A:$A, 0)), ISNUMBER(MATCH(GM$1, AsistenciaJetAdminConcatenada!$B:$B, 0)), ISNUMBER(SEARCH($A12,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ISNUMBER(SEARCH($A12, INDEX(AsistenciaJetAdminConcatenada!$D:$D, MATCH(1, (AsistenciaJetAdminConcatenada!$A:$A=GM$2)*(AsistenciaJetAdminConcatenada!$B:$B=GM$1), 0)), 1))),  0.5, 0))</f>
        <v>0</v>
      </c>
      <c r="GN12" s="47">
        <f t="array" ref="GN12">IF(AND(ISNUMBER(MATCH(GN$2, AsistenciaJetAdminConcatenada!$A:$A, 0)), ISNUMBER(MATCH(GN$1, AsistenciaJetAdminConcatenada!$B:$B, 0)), ISNUMBER(SEARCH($A12,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ISNUMBER(SEARCH($A12, INDEX(AsistenciaJetAdminConcatenada!$D:$D, MATCH(1, (AsistenciaJetAdminConcatenada!$A:$A=GN$2)*(AsistenciaJetAdminConcatenada!$B:$B=GN$1), 0)), 1))),  0.5, 0))</f>
        <v>0</v>
      </c>
      <c r="GO12" s="47">
        <f t="array" ref="GO12">IF(AND(ISNUMBER(MATCH(GO$2, AsistenciaJetAdminConcatenada!$A:$A, 0)), ISNUMBER(MATCH(GO$1, AsistenciaJetAdminConcatenada!$B:$B, 0)), ISNUMBER(SEARCH($A12,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ISNUMBER(SEARCH($A12, INDEX(AsistenciaJetAdminConcatenada!$D:$D, MATCH(1, (AsistenciaJetAdminConcatenada!$A:$A=GO$2)*(AsistenciaJetAdminConcatenada!$B:$B=GO$1), 0)), 1))),  0.5, 0))</f>
        <v>0</v>
      </c>
      <c r="GP12" s="47">
        <f t="array" ref="GP12">IF(AND(ISNUMBER(MATCH(GP$2, AsistenciaJetAdminConcatenada!$A:$A, 0)), ISNUMBER(MATCH(GP$1, AsistenciaJetAdminConcatenada!$B:$B, 0)), ISNUMBER(SEARCH($A12,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ISNUMBER(SEARCH($A12, INDEX(AsistenciaJetAdminConcatenada!$D:$D, MATCH(1, (AsistenciaJetAdminConcatenada!$A:$A=GP$2)*(AsistenciaJetAdminConcatenada!$B:$B=GP$1), 0)), 1))),  0.5, 0))</f>
        <v>0</v>
      </c>
      <c r="GQ12" s="47">
        <f t="array" ref="GQ12">IF(AND(ISNUMBER(MATCH(GQ$2, AsistenciaJetAdminConcatenada!$A:$A, 0)), ISNUMBER(MATCH(GQ$1, AsistenciaJetAdminConcatenada!$B:$B, 0)), ISNUMBER(SEARCH($A12,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ISNUMBER(SEARCH($A12, INDEX(AsistenciaJetAdminConcatenada!$D:$D, MATCH(1, (AsistenciaJetAdminConcatenada!$A:$A=GQ$2)*(AsistenciaJetAdminConcatenada!$B:$B=GQ$1), 0)), 1))),  0.5, 0))</f>
        <v>0</v>
      </c>
      <c r="GR12" s="47">
        <f t="array" ref="GR12">IF(AND(ISNUMBER(MATCH(GR$2, AsistenciaJetAdminConcatenada!$A:$A, 0)), ISNUMBER(MATCH(GR$1, AsistenciaJetAdminConcatenada!$B:$B, 0)), ISNUMBER(SEARCH($A12,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ISNUMBER(SEARCH($A12, INDEX(AsistenciaJetAdminConcatenada!$D:$D, MATCH(1, (AsistenciaJetAdminConcatenada!$A:$A=GR$2)*(AsistenciaJetAdminConcatenada!$B:$B=GR$1), 0)), 1))),  0.5, 0))</f>
        <v>0</v>
      </c>
      <c r="GS12" s="47">
        <f t="array" ref="GS12">IF(AND(ISNUMBER(MATCH(GS$2, AsistenciaJetAdminConcatenada!$A:$A, 0)), ISNUMBER(MATCH(GS$1, AsistenciaJetAdminConcatenada!$B:$B, 0)), ISNUMBER(SEARCH($A12,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ISNUMBER(SEARCH($A12, INDEX(AsistenciaJetAdminConcatenada!$D:$D, MATCH(1, (AsistenciaJetAdminConcatenada!$A:$A=GS$2)*(AsistenciaJetAdminConcatenada!$B:$B=GS$1), 0)), 1))),  0.5, 0))</f>
        <v>0</v>
      </c>
      <c r="GT12" s="47">
        <f t="array" ref="GT12">IF(AND(ISNUMBER(MATCH(GT$2, AsistenciaJetAdminConcatenada!$A:$A, 0)), ISNUMBER(MATCH(GT$1, AsistenciaJetAdminConcatenada!$B:$B, 0)), ISNUMBER(SEARCH($A12,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ISNUMBER(SEARCH($A12, INDEX(AsistenciaJetAdminConcatenada!$D:$D, MATCH(1, (AsistenciaJetAdminConcatenada!$A:$A=GT$2)*(AsistenciaJetAdminConcatenada!$B:$B=GT$1), 0)), 1))),  0.5, 0))</f>
        <v>0</v>
      </c>
      <c r="GU12" s="47">
        <f t="array" ref="GU12">IF(AND(ISNUMBER(MATCH(GU$2, AsistenciaJetAdminConcatenada!$A:$A, 0)), ISNUMBER(MATCH(GU$1, AsistenciaJetAdminConcatenada!$B:$B, 0)), ISNUMBER(SEARCH($A12,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ISNUMBER(SEARCH($A12, INDEX(AsistenciaJetAdminConcatenada!$D:$D, MATCH(1, (AsistenciaJetAdminConcatenada!$A:$A=GU$2)*(AsistenciaJetAdminConcatenada!$B:$B=GU$1), 0)), 1))),  0.5, 0))</f>
        <v>0</v>
      </c>
      <c r="GV12" s="47">
        <f t="array" ref="GV12">IF(AND(ISNUMBER(MATCH(GV$2, AsistenciaJetAdminConcatenada!$A:$A, 0)), ISNUMBER(MATCH(GV$1, AsistenciaJetAdminConcatenada!$B:$B, 0)), ISNUMBER(SEARCH($A12,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ISNUMBER(SEARCH($A12, INDEX(AsistenciaJetAdminConcatenada!$D:$D, MATCH(1, (AsistenciaJetAdminConcatenada!$A:$A=GV$2)*(AsistenciaJetAdminConcatenada!$B:$B=GV$1), 0)), 1))),  0.5, 0))</f>
        <v>0</v>
      </c>
      <c r="GW12" s="47">
        <f t="array" ref="GW12">IF(AND(ISNUMBER(MATCH(GW$2, AsistenciaJetAdminConcatenada!$A:$A, 0)), ISNUMBER(MATCH(GW$1, AsistenciaJetAdminConcatenada!$B:$B, 0)), ISNUMBER(SEARCH($A12,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ISNUMBER(SEARCH($A12, INDEX(AsistenciaJetAdminConcatenada!$D:$D, MATCH(1, (AsistenciaJetAdminConcatenada!$A:$A=GW$2)*(AsistenciaJetAdminConcatenada!$B:$B=GW$1), 0)), 1))),  0.5, 0))</f>
        <v>0</v>
      </c>
      <c r="GX12" s="47">
        <f t="array" ref="GX12">IF(AND(ISNUMBER(MATCH(GX$2, AsistenciaJetAdminConcatenada!$A:$A, 0)), ISNUMBER(MATCH(GX$1, AsistenciaJetAdminConcatenada!$B:$B, 0)), ISNUMBER(SEARCH($A12,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ISNUMBER(SEARCH($A12, INDEX(AsistenciaJetAdminConcatenada!$D:$D, MATCH(1, (AsistenciaJetAdminConcatenada!$A:$A=GX$2)*(AsistenciaJetAdminConcatenada!$B:$B=GX$1), 0)), 1))),  0.5, 0))</f>
        <v>0</v>
      </c>
      <c r="GY12" s="47">
        <f t="array" ref="GY12">IF(AND(ISNUMBER(MATCH(GY$2, AsistenciaJetAdminConcatenada!$A:$A, 0)), ISNUMBER(MATCH(GY$1, AsistenciaJetAdminConcatenada!$B:$B, 0)), ISNUMBER(SEARCH($A12,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ISNUMBER(SEARCH($A12, INDEX(AsistenciaJetAdminConcatenada!$D:$D, MATCH(1, (AsistenciaJetAdminConcatenada!$A:$A=GY$2)*(AsistenciaJetAdminConcatenada!$B:$B=GY$1), 0)), 1))),  0.5, 0))</f>
        <v>0</v>
      </c>
      <c r="GZ12" s="47">
        <f t="array" ref="GZ12">IF(AND(ISNUMBER(MATCH(GZ$2, AsistenciaJetAdminConcatenada!$A:$A, 0)), ISNUMBER(MATCH(GZ$1, AsistenciaJetAdminConcatenada!$B:$B, 0)), ISNUMBER(SEARCH($A12,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ISNUMBER(SEARCH($A12, INDEX(AsistenciaJetAdminConcatenada!$D:$D, MATCH(1, (AsistenciaJetAdminConcatenada!$A:$A=GZ$2)*(AsistenciaJetAdminConcatenada!$B:$B=GZ$1), 0)), 1))),  0.5, 0))</f>
        <v>0</v>
      </c>
      <c r="HA12" s="47">
        <f t="array" ref="HA12">IF(AND(ISNUMBER(MATCH(HA$2, AsistenciaJetAdminConcatenada!$A:$A, 0)), ISNUMBER(MATCH(HA$1, AsistenciaJetAdminConcatenada!$B:$B, 0)), ISNUMBER(SEARCH($A12,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ISNUMBER(SEARCH($A12, INDEX(AsistenciaJetAdminConcatenada!$D:$D, MATCH(1, (AsistenciaJetAdminConcatenada!$A:$A=HA$2)*(AsistenciaJetAdminConcatenada!$B:$B=HA$1), 0)), 1))),  0.5, 0))</f>
        <v>0</v>
      </c>
      <c r="HB12" s="47">
        <f t="array" ref="HB12">IF(AND(ISNUMBER(MATCH(HB$2, AsistenciaJetAdminConcatenada!$A:$A, 0)), ISNUMBER(MATCH(HB$1, AsistenciaJetAdminConcatenada!$B:$B, 0)), ISNUMBER(SEARCH($A12,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ISNUMBER(SEARCH($A12, INDEX(AsistenciaJetAdminConcatenada!$D:$D, MATCH(1, (AsistenciaJetAdminConcatenada!$A:$A=HB$2)*(AsistenciaJetAdminConcatenada!$B:$B=HB$1), 0)), 1))),  0.5, 0))</f>
        <v>0</v>
      </c>
      <c r="HC12" s="47">
        <f t="array" ref="HC12">IF(AND(ISNUMBER(MATCH(HC$2, AsistenciaJetAdminConcatenada!$A:$A, 0)), ISNUMBER(MATCH(HC$1, AsistenciaJetAdminConcatenada!$B:$B, 0)), ISNUMBER(SEARCH($A12,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ISNUMBER(SEARCH($A12, INDEX(AsistenciaJetAdminConcatenada!$D:$D, MATCH(1, (AsistenciaJetAdminConcatenada!$A:$A=HC$2)*(AsistenciaJetAdminConcatenada!$B:$B=HC$1), 0)), 1))),  0.5, 0))</f>
        <v>0</v>
      </c>
    </row>
    <row r="13" ht="29.25" customHeight="1">
      <c r="A13" s="3">
        <v>211.0</v>
      </c>
      <c r="B13" s="4" t="s">
        <v>615</v>
      </c>
      <c r="C13" s="47">
        <f>SUM(D13:HC13) + ActividadesEspeciales!C13</f>
        <v>73</v>
      </c>
      <c r="D13" s="47">
        <f t="array" ref="D13">IF(AND(ISNUMBER(MATCH(D$2, AsistenciaJetAdminConcatenada!$A:$A, 0)), ISNUMBER(MATCH(D$1, AsistenciaJetAdminConcatenada!$B:$B, 0)), ISNUMBER(SEARCH($A13,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ISNUMBER(SEARCH($A13, INDEX(AsistenciaJetAdminConcatenada!$D:$D, MATCH(1, (AsistenciaJetAdminConcatenada!$A:$A=D$2)*(AsistenciaJetAdminConcatenada!$B:$B=D$1), 0)), 1))),  0.5, 0))</f>
        <v>1</v>
      </c>
      <c r="E13" s="47">
        <f t="array" ref="E13">IF(AND(ISNUMBER(MATCH(E$2, AsistenciaJetAdminConcatenada!$A:$A, 0)), ISNUMBER(MATCH(E$1, AsistenciaJetAdminConcatenada!$B:$B, 0)), ISNUMBER(SEARCH($A13,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ISNUMBER(SEARCH($A13, INDEX(AsistenciaJetAdminConcatenada!$D:$D, MATCH(1, (AsistenciaJetAdminConcatenada!$A:$A=E$2)*(AsistenciaJetAdminConcatenada!$B:$B=E$1), 0)), 1))),  0.5, 0))</f>
        <v>1</v>
      </c>
      <c r="F13" s="47">
        <f t="array" ref="F13">IF(AND(ISNUMBER(MATCH(F$2, AsistenciaJetAdminConcatenada!$A:$A, 0)), ISNUMBER(MATCH(F$1, AsistenciaJetAdminConcatenada!$B:$B, 0)), ISNUMBER(SEARCH($A13,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ISNUMBER(SEARCH($A13, INDEX(AsistenciaJetAdminConcatenada!$D:$D, MATCH(1, (AsistenciaJetAdminConcatenada!$A:$A=F$2)*(AsistenciaJetAdminConcatenada!$B:$B=F$1), 0)), 1))),  0.5, 0))</f>
        <v>1</v>
      </c>
      <c r="G13" s="47">
        <f t="array" ref="G13">IF(AND(ISNUMBER(MATCH(G$2, AsistenciaJetAdminConcatenada!$A:$A, 0)), ISNUMBER(MATCH(G$1, AsistenciaJetAdminConcatenada!$B:$B, 0)), ISNUMBER(SEARCH($A13,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ISNUMBER(SEARCH($A13, INDEX(AsistenciaJetAdminConcatenada!$D:$D, MATCH(1, (AsistenciaJetAdminConcatenada!$A:$A=G$2)*(AsistenciaJetAdminConcatenada!$B:$B=G$1), 0)), 1))),  0.5, 0))</f>
        <v>1</v>
      </c>
      <c r="H13" s="47">
        <f t="array" ref="H13">IF(AND(ISNUMBER(MATCH(H$2, AsistenciaJetAdminConcatenada!$A:$A, 0)), ISNUMBER(MATCH(H$1, AsistenciaJetAdminConcatenada!$B:$B, 0)), ISNUMBER(SEARCH($A13,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ISNUMBER(SEARCH($A13, INDEX(AsistenciaJetAdminConcatenada!$D:$D, MATCH(1, (AsistenciaJetAdminConcatenada!$A:$A=H$2)*(AsistenciaJetAdminConcatenada!$B:$B=H$1), 0)), 1))),  0.5, 0))</f>
        <v>1</v>
      </c>
      <c r="I13" s="47">
        <f t="array" ref="I13">IF(AND(ISNUMBER(MATCH(I$2, AsistenciaJetAdminConcatenada!$A:$A, 0)), ISNUMBER(MATCH(I$1, AsistenciaJetAdminConcatenada!$B:$B, 0)), ISNUMBER(SEARCH($A13,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ISNUMBER(SEARCH($A13, INDEX(AsistenciaJetAdminConcatenada!$D:$D, MATCH(1, (AsistenciaJetAdminConcatenada!$A:$A=I$2)*(AsistenciaJetAdminConcatenada!$B:$B=I$1), 0)), 1))),  0.5, 0))</f>
        <v>1</v>
      </c>
      <c r="J13" s="47">
        <f t="array" ref="J13">IF(AND(ISNUMBER(MATCH(J$2, AsistenciaJetAdminConcatenada!$A:$A, 0)), ISNUMBER(MATCH(J$1, AsistenciaJetAdminConcatenada!$B:$B, 0)), ISNUMBER(SEARCH($A13,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ISNUMBER(SEARCH($A13, INDEX(AsistenciaJetAdminConcatenada!$D:$D, MATCH(1, (AsistenciaJetAdminConcatenada!$A:$A=J$2)*(AsistenciaJetAdminConcatenada!$B:$B=J$1), 0)), 1))),  0.5, 0))</f>
        <v>1</v>
      </c>
      <c r="K13" s="8">
        <v>0.0</v>
      </c>
      <c r="L13" s="47">
        <f t="array" ref="L13">IF(AND(ISNUMBER(MATCH(L$2, AsistenciaJetAdminConcatenada!$A:$A, 0)), ISNUMBER(MATCH(L$1, AsistenciaJetAdminConcatenada!$B:$B, 0)), ISNUMBER(SEARCH($A13,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ISNUMBER(SEARCH($A13, INDEX(AsistenciaJetAdminConcatenada!$D:$D, MATCH(1, (AsistenciaJetAdminConcatenada!$A:$A=L$2)*(AsistenciaJetAdminConcatenada!$B:$B=L$1), 0)), 1))),  0.5, 0))</f>
        <v>0</v>
      </c>
      <c r="M13" s="47">
        <f t="array" ref="M13">IF(AND(ISNUMBER(MATCH(M$2, AsistenciaJetAdminConcatenada!$A:$A, 0)), ISNUMBER(MATCH(M$1, AsistenciaJetAdminConcatenada!$B:$B, 0)), ISNUMBER(SEARCH($A13,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ISNUMBER(SEARCH($A13, INDEX(AsistenciaJetAdminConcatenada!$D:$D, MATCH(1, (AsistenciaJetAdminConcatenada!$A:$A=M$2)*(AsistenciaJetAdminConcatenada!$B:$B=M$1), 0)), 1))),  0.5, 0))</f>
        <v>0</v>
      </c>
      <c r="N13" s="47">
        <f t="array" ref="N13">IF(AND(ISNUMBER(MATCH(N$2, AsistenciaJetAdminConcatenada!$A:$A, 0)), ISNUMBER(MATCH(N$1, AsistenciaJetAdminConcatenada!$B:$B, 0)), ISNUMBER(SEARCH($A13,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ISNUMBER(SEARCH($A13, INDEX(AsistenciaJetAdminConcatenada!$D:$D, MATCH(1, (AsistenciaJetAdminConcatenada!$A:$A=N$2)*(AsistenciaJetAdminConcatenada!$B:$B=N$1), 0)), 1))),  0.5, 0))</f>
        <v>0</v>
      </c>
      <c r="O13" s="47">
        <f t="array" ref="O13">IF(AND(ISNUMBER(MATCH(O$2, AsistenciaJetAdminConcatenada!$A:$A, 0)), ISNUMBER(MATCH(O$1, AsistenciaJetAdminConcatenada!$B:$B, 0)), ISNUMBER(SEARCH($A13,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ISNUMBER(SEARCH($A13, INDEX(AsistenciaJetAdminConcatenada!$D:$D, MATCH(1, (AsistenciaJetAdminConcatenada!$A:$A=O$2)*(AsistenciaJetAdminConcatenada!$B:$B=O$1), 0)), 1))),  0.5, 0))</f>
        <v>0</v>
      </c>
      <c r="P13" s="47">
        <f t="array" ref="P13">IF(AND(ISNUMBER(MATCH(P$2, AsistenciaJetAdminConcatenada!$A:$A, 0)), ISNUMBER(MATCH(P$1, AsistenciaJetAdminConcatenada!$B:$B, 0)), ISNUMBER(SEARCH($A13, INDEX(AsistenciaJetAdminConcatenada!$C:$C, MATCH(1, (AsistenciaJetAdminConcatenada!$A:$A=P$2)*(AsistenciaJetAdminConcatenada!$B:$B=P$1), 0)), 1))), 1, IF(AND(ISNUMBER(MATCH(P$2, AsistenciaJetAdminConcatenada!$A:$A, 0)), ISNUMBER(MATCH(P$1, AsistenciaJetAdminConcatenada!$B:$B, 0)), ISNUMBER(SEARCH($A13, INDEX(AsistenciaJetAdminConcatenada!$D:$D, MATCH(1, (AsistenciaJetAdminConcatenada!$A:$A=P$2)*(AsistenciaJetAdminConcatenada!$B:$B=P$1), 0)), 1))),  0.5, 0))</f>
        <v>1</v>
      </c>
      <c r="Q13" s="47">
        <f t="array" ref="Q13">IF(AND(ISNUMBER(MATCH(Q$2, AsistenciaJetAdminConcatenada!$A:$A, 0)), ISNUMBER(MATCH(Q$1, AsistenciaJetAdminConcatenada!$B:$B, 0)), ISNUMBER(SEARCH($A13, INDEX(AsistenciaJetAdminConcatenada!$C:$C, MATCH(1, (AsistenciaJetAdminConcatenada!$A:$A=Q$2)*(AsistenciaJetAdminConcatenada!$B:$B=Q$1), 0)), 1))), 1, IF(AND(ISNUMBER(MATCH(Q$2, AsistenciaJetAdminConcatenada!$A:$A, 0)), ISNUMBER(MATCH(Q$1, AsistenciaJetAdminConcatenada!$B:$B, 0)), ISNUMBER(SEARCH($A13, INDEX(AsistenciaJetAdminConcatenada!$D:$D, MATCH(1, (AsistenciaJetAdminConcatenada!$A:$A=Q$2)*(AsistenciaJetAdminConcatenada!$B:$B=Q$1), 0)), 1))),  0.5, 0))</f>
        <v>1</v>
      </c>
      <c r="R13" s="47">
        <f t="array" ref="R13">IF(AND(ISNUMBER(MATCH(R$2, AsistenciaJetAdminConcatenada!$A:$A, 0)), ISNUMBER(MATCH(R$1, AsistenciaJetAdminConcatenada!$B:$B, 0)), ISNUMBER(SEARCH($A13,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ISNUMBER(SEARCH($A13, INDEX(AsistenciaJetAdminConcatenada!$D:$D, MATCH(1, (AsistenciaJetAdminConcatenada!$A:$A=R$2)*(AsistenciaJetAdminConcatenada!$B:$B=R$1), 0)), 1))),  0.5, 0))</f>
        <v>1</v>
      </c>
      <c r="S13" s="47">
        <f t="array" ref="S13">IF(AND(ISNUMBER(MATCH(S$2, AsistenciaJetAdminConcatenada!$A:$A, 0)), ISNUMBER(MATCH(S$1, AsistenciaJetAdminConcatenada!$B:$B, 0)), ISNUMBER(SEARCH($A13,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ISNUMBER(SEARCH($A13, INDEX(AsistenciaJetAdminConcatenada!$D:$D, MATCH(1, (AsistenciaJetAdminConcatenada!$A:$A=S$2)*(AsistenciaJetAdminConcatenada!$B:$B=S$1), 0)), 1))),  0.5, 0))</f>
        <v>1</v>
      </c>
      <c r="T13" s="47">
        <f t="array" ref="T13">IF(AND(ISNUMBER(MATCH(T$2, AsistenciaJetAdminConcatenada!$A:$A, 0)), ISNUMBER(MATCH(T$1, AsistenciaJetAdminConcatenada!$B:$B, 0)), ISNUMBER(SEARCH($A13,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ISNUMBER(SEARCH($A13, INDEX(AsistenciaJetAdminConcatenada!$D:$D, MATCH(1, (AsistenciaJetAdminConcatenada!$A:$A=T$2)*(AsistenciaJetAdminConcatenada!$B:$B=T$1), 0)), 1))),  0.5, 0))</f>
        <v>1</v>
      </c>
      <c r="U13" s="47">
        <f t="array" ref="U13">IF(AND(ISNUMBER(MATCH(U$2, AsistenciaJetAdminConcatenada!$A:$A, 0)), ISNUMBER(MATCH(U$1, AsistenciaJetAdminConcatenada!$B:$B, 0)), ISNUMBER(SEARCH($A13,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ISNUMBER(SEARCH($A13, INDEX(AsistenciaJetAdminConcatenada!$D:$D, MATCH(1, (AsistenciaJetAdminConcatenada!$A:$A=U$2)*(AsistenciaJetAdminConcatenada!$B:$B=U$1), 0)), 1))),  0.5, 0))</f>
        <v>0.5</v>
      </c>
      <c r="V13" s="47">
        <f t="array" ref="V13">IF(AND(ISNUMBER(MATCH(V$2, AsistenciaJetAdminConcatenada!$A:$A, 0)), ISNUMBER(MATCH(V$1, AsistenciaJetAdminConcatenada!$B:$B, 0)), ISNUMBER(SEARCH($A13,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ISNUMBER(SEARCH($A13, INDEX(AsistenciaJetAdminConcatenada!$D:$D, MATCH(1, (AsistenciaJetAdminConcatenada!$A:$A=V$2)*(AsistenciaJetAdminConcatenada!$B:$B=V$1), 0)), 1))),  0.5, 0))</f>
        <v>1</v>
      </c>
      <c r="W13" s="47">
        <f t="array" ref="W13">IF(AND(ISNUMBER(MATCH(W$2, AsistenciaJetAdminConcatenada!$A:$A, 0)), ISNUMBER(MATCH(W$1, AsistenciaJetAdminConcatenada!$B:$B, 0)), ISNUMBER(SEARCH($A13,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ISNUMBER(SEARCH($A13, INDEX(AsistenciaJetAdminConcatenada!$D:$D, MATCH(1, (AsistenciaJetAdminConcatenada!$A:$A=W$2)*(AsistenciaJetAdminConcatenada!$B:$B=W$1), 0)), 1))),  0.5, 0))</f>
        <v>1</v>
      </c>
      <c r="X13" s="47">
        <f t="array" ref="X13">IF(AND(ISNUMBER(MATCH(X$2, AsistenciaJetAdminConcatenada!$A:$A, 0)), ISNUMBER(MATCH(X$1, AsistenciaJetAdminConcatenada!$B:$B, 0)), ISNUMBER(SEARCH($A13,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ISNUMBER(SEARCH($A13, INDEX(AsistenciaJetAdminConcatenada!$D:$D, MATCH(1, (AsistenciaJetAdminConcatenada!$A:$A=X$2)*(AsistenciaJetAdminConcatenada!$B:$B=X$1), 0)), 1))),  0.5, 0))</f>
        <v>1</v>
      </c>
      <c r="Y13" s="47">
        <f t="array" ref="Y13">IF(AND(ISNUMBER(MATCH(Y$2, AsistenciaJetAdminConcatenada!$A:$A, 0)), ISNUMBER(MATCH(Y$1, AsistenciaJetAdminConcatenada!$B:$B, 0)), ISNUMBER(SEARCH($A13,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ISNUMBER(SEARCH($A13, INDEX(AsistenciaJetAdminConcatenada!$D:$D, MATCH(1, (AsistenciaJetAdminConcatenada!$A:$A=Y$2)*(AsistenciaJetAdminConcatenada!$B:$B=Y$1), 0)), 1))),  0.5, 0))</f>
        <v>0.5</v>
      </c>
      <c r="Z13" s="47">
        <f t="array" ref="Z13">IF(AND(ISNUMBER(MATCH(Z$2, AsistenciaJetAdminConcatenada!$A:$A, 0)), ISNUMBER(MATCH(Z$1, AsistenciaJetAdminConcatenada!$B:$B, 0)), ISNUMBER(SEARCH($A13,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ISNUMBER(SEARCH($A13, INDEX(AsistenciaJetAdminConcatenada!$D:$D, MATCH(1, (AsistenciaJetAdminConcatenada!$A:$A=Z$2)*(AsistenciaJetAdminConcatenada!$B:$B=Z$1), 0)), 1))),  0.5, 0))</f>
        <v>1</v>
      </c>
      <c r="AA13" s="47">
        <f t="array" ref="AA13">IF(AND(ISNUMBER(MATCH(AA$2, AsistenciaJetAdminConcatenada!$A:$A, 0)), ISNUMBER(MATCH(AA$1, AsistenciaJetAdminConcatenada!$B:$B, 0)), ISNUMBER(SEARCH($A13,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ISNUMBER(SEARCH($A13, INDEX(AsistenciaJetAdminConcatenada!$D:$D, MATCH(1, (AsistenciaJetAdminConcatenada!$A:$A=AA$2)*(AsistenciaJetAdminConcatenada!$B:$B=AA$1), 0)), 1))),  0.5, 0))</f>
        <v>1</v>
      </c>
      <c r="AB13" s="47">
        <f t="array" ref="AB13">IF(AND(ISNUMBER(MATCH(AB$2, AsistenciaJetAdminConcatenada!$A:$A, 0)), ISNUMBER(MATCH(AB$1, AsistenciaJetAdminConcatenada!$B:$B, 0)), ISNUMBER(SEARCH($A13,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ISNUMBER(SEARCH($A13, INDEX(AsistenciaJetAdminConcatenada!$D:$D, MATCH(1, (AsistenciaJetAdminConcatenada!$A:$A=AB$2)*(AsistenciaJetAdminConcatenada!$B:$B=AB$1), 0)), 1))),  0.5, 0))</f>
        <v>1</v>
      </c>
      <c r="AC13" s="47">
        <f t="array" ref="AC13">IF(AND(ISNUMBER(MATCH(AC$2, AsistenciaJetAdminConcatenada!$A:$A, 0)), ISNUMBER(MATCH(AC$1, AsistenciaJetAdminConcatenada!$B:$B, 0)), ISNUMBER(SEARCH($A13,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ISNUMBER(SEARCH($A13, INDEX(AsistenciaJetAdminConcatenada!$D:$D, MATCH(1, (AsistenciaJetAdminConcatenada!$A:$A=AC$2)*(AsistenciaJetAdminConcatenada!$B:$B=AC$1), 0)), 1))),  0.5, 0))</f>
        <v>1</v>
      </c>
      <c r="AD13" s="47">
        <f t="array" ref="AD13">IF(AND(ISNUMBER(MATCH(AD$2, AsistenciaJetAdminConcatenada!$A:$A, 0)), ISNUMBER(MATCH(AD$1, AsistenciaJetAdminConcatenada!$B:$B, 0)), ISNUMBER(SEARCH($A13,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ISNUMBER(SEARCH($A13, INDEX(AsistenciaJetAdminConcatenada!$D:$D, MATCH(1, (AsistenciaJetAdminConcatenada!$A:$A=AD$2)*(AsistenciaJetAdminConcatenada!$B:$B=AD$1), 0)), 1))),  0.5, 0))</f>
        <v>1</v>
      </c>
      <c r="AE13" s="47">
        <f t="array" ref="AE13">IF(AND(ISNUMBER(MATCH(AE$2, AsistenciaJetAdminConcatenada!$A:$A, 0)), ISNUMBER(MATCH(AE$1, AsistenciaJetAdminConcatenada!$B:$B, 0)), ISNUMBER(SEARCH($A13,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ISNUMBER(SEARCH($A13, INDEX(AsistenciaJetAdminConcatenada!$D:$D, MATCH(1, (AsistenciaJetAdminConcatenada!$A:$A=AE$2)*(AsistenciaJetAdminConcatenada!$B:$B=AE$1), 0)), 1))),  0.5, 0))</f>
        <v>1</v>
      </c>
      <c r="AF13" s="47">
        <f t="array" ref="AF13">IF(AND(ISNUMBER(MATCH(AF$2, AsistenciaJetAdminConcatenada!$A:$A, 0)), ISNUMBER(MATCH(AF$1, AsistenciaJetAdminConcatenada!$B:$B, 0)), ISNUMBER(SEARCH($A13,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ISNUMBER(SEARCH($A13, INDEX(AsistenciaJetAdminConcatenada!$D:$D, MATCH(1, (AsistenciaJetAdminConcatenada!$A:$A=AF$2)*(AsistenciaJetAdminConcatenada!$B:$B=AF$1), 0)), 1))),  0.5, 0))</f>
        <v>1</v>
      </c>
      <c r="AG13" s="47">
        <f t="array" ref="AG13">IF(AND(ISNUMBER(MATCH(AG$2, AsistenciaJetAdminConcatenada!$A:$A, 0)), ISNUMBER(MATCH(AG$1, AsistenciaJetAdminConcatenada!$B:$B, 0)), ISNUMBER(SEARCH($A13,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ISNUMBER(SEARCH($A13, INDEX(AsistenciaJetAdminConcatenada!$D:$D, MATCH(1, (AsistenciaJetAdminConcatenada!$A:$A=AG$2)*(AsistenciaJetAdminConcatenada!$B:$B=AG$1), 0)), 1))),  0.5, 0))</f>
        <v>1</v>
      </c>
      <c r="AH13" s="47">
        <f t="array" ref="AH13">IF(AND(ISNUMBER(MATCH(AH$2, AsistenciaJetAdminConcatenada!$A:$A, 0)), ISNUMBER(MATCH(AH$1, AsistenciaJetAdminConcatenada!$B:$B, 0)), ISNUMBER(SEARCH($A13,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ISNUMBER(SEARCH($A13, INDEX(AsistenciaJetAdminConcatenada!$D:$D, MATCH(1, (AsistenciaJetAdminConcatenada!$A:$A=AH$2)*(AsistenciaJetAdminConcatenada!$B:$B=AH$1), 0)), 1))),  0.5, 0))</f>
        <v>0</v>
      </c>
      <c r="AI13" s="47">
        <f t="array" ref="AI13">IF(AND(ISNUMBER(MATCH(AI$2, AsistenciaJetAdminConcatenada!$A:$A, 0)), ISNUMBER(MATCH(AI$1, AsistenciaJetAdminConcatenada!$B:$B, 0)), ISNUMBER(SEARCH($A13,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ISNUMBER(SEARCH($A13, INDEX(AsistenciaJetAdminConcatenada!$D:$D, MATCH(1, (AsistenciaJetAdminConcatenada!$A:$A=AI$2)*(AsistenciaJetAdminConcatenada!$B:$B=AI$1), 0)), 1))),  0.5, 0))</f>
        <v>1</v>
      </c>
      <c r="AJ13" s="47">
        <f t="array" ref="AJ13">IF(AND(ISNUMBER(MATCH(AJ$2, AsistenciaJetAdminConcatenada!$A:$A, 0)), ISNUMBER(MATCH(AJ$1, AsistenciaJetAdminConcatenada!$B:$B, 0)), ISNUMBER(SEARCH($A13,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ISNUMBER(SEARCH($A13, INDEX(AsistenciaJetAdminConcatenada!$D:$D, MATCH(1, (AsistenciaJetAdminConcatenada!$A:$A=AJ$2)*(AsistenciaJetAdminConcatenada!$B:$B=AJ$1), 0)), 1))),  0.5, 0))</f>
        <v>1</v>
      </c>
      <c r="AK13" s="47">
        <f t="array" ref="AK13">IF(AND(ISNUMBER(MATCH(AK$2, AsistenciaJetAdminConcatenada!$A:$A, 0)), ISNUMBER(MATCH(AK$1, AsistenciaJetAdminConcatenada!$B:$B, 0)), ISNUMBER(SEARCH($A13,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ISNUMBER(SEARCH($A13, INDEX(AsistenciaJetAdminConcatenada!$D:$D, MATCH(1, (AsistenciaJetAdminConcatenada!$A:$A=AK$2)*(AsistenciaJetAdminConcatenada!$B:$B=AK$1), 0)), 1))),  0.5, 0))</f>
        <v>1</v>
      </c>
      <c r="AL13" s="47">
        <f t="array" ref="AL13">IF(AND(ISNUMBER(MATCH(AL$2, AsistenciaJetAdminConcatenada!$A:$A, 0)), ISNUMBER(MATCH(AL$1, AsistenciaJetAdminConcatenada!$B:$B, 0)), ISNUMBER(SEARCH($A13,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ISNUMBER(SEARCH($A13, INDEX(AsistenciaJetAdminConcatenada!$D:$D, MATCH(1, (AsistenciaJetAdminConcatenada!$A:$A=AL$2)*(AsistenciaJetAdminConcatenada!$B:$B=AL$1), 0)), 1))),  0.5, 0))</f>
        <v>0.5</v>
      </c>
      <c r="AM13" s="47">
        <f t="array" ref="AM13">IF(AND(ISNUMBER(MATCH(AM$2, AsistenciaJetAdminConcatenada!$A:$A, 0)), ISNUMBER(MATCH(AM$1, AsistenciaJetAdminConcatenada!$B:$B, 0)), ISNUMBER(SEARCH($A13,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ISNUMBER(SEARCH($A13, INDEX(AsistenciaJetAdminConcatenada!$D:$D, MATCH(1, (AsistenciaJetAdminConcatenada!$A:$A=AM$2)*(AsistenciaJetAdminConcatenada!$B:$B=AM$1), 0)), 1))),  0.5, 0))</f>
        <v>1</v>
      </c>
      <c r="AN13" s="47">
        <f t="array" ref="AN13">IF(AND(ISNUMBER(MATCH(AN$2, AsistenciaJetAdminConcatenada!$A:$A, 0)), ISNUMBER(MATCH(AN$1, AsistenciaJetAdminConcatenada!$B:$B, 0)), ISNUMBER(SEARCH($A13,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ISNUMBER(SEARCH($A13, INDEX(AsistenciaJetAdminConcatenada!$D:$D, MATCH(1, (AsistenciaJetAdminConcatenada!$A:$A=AN$2)*(AsistenciaJetAdminConcatenada!$B:$B=AN$1), 0)), 1))),  0.5, 0))</f>
        <v>1</v>
      </c>
      <c r="AO13" s="47">
        <f t="array" ref="AO13">IF(AND(ISNUMBER(MATCH(AO$2, AsistenciaJetAdminConcatenada!$A:$A, 0)), ISNUMBER(MATCH(AO$1, AsistenciaJetAdminConcatenada!$B:$B, 0)), ISNUMBER(SEARCH($A13,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ISNUMBER(SEARCH($A13, INDEX(AsistenciaJetAdminConcatenada!$D:$D, MATCH(1, (AsistenciaJetAdminConcatenada!$A:$A=AO$2)*(AsistenciaJetAdminConcatenada!$B:$B=AO$1), 0)), 1))),  0.5, 0))</f>
        <v>1</v>
      </c>
      <c r="AP13" s="47">
        <f t="array" ref="AP13">IF(AND(ISNUMBER(MATCH(AP$2, AsistenciaJetAdminConcatenada!$A:$A, 0)), ISNUMBER(MATCH(AP$1, AsistenciaJetAdminConcatenada!$B:$B, 0)), ISNUMBER(SEARCH($A13,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ISNUMBER(SEARCH($A13, INDEX(AsistenciaJetAdminConcatenada!$D:$D, MATCH(1, (AsistenciaJetAdminConcatenada!$A:$A=AP$2)*(AsistenciaJetAdminConcatenada!$B:$B=AP$1), 0)), 1))),  0.5, 0))</f>
        <v>1</v>
      </c>
      <c r="AQ13" s="47">
        <f t="array" ref="AQ13">IF(AND(ISNUMBER(MATCH(AQ$2, AsistenciaJetAdminConcatenada!$A:$A, 0)), ISNUMBER(MATCH(AQ$1, AsistenciaJetAdminConcatenada!$B:$B, 0)), ISNUMBER(SEARCH($A13,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ISNUMBER(SEARCH($A13, INDEX(AsistenciaJetAdminConcatenada!$D:$D, MATCH(1, (AsistenciaJetAdminConcatenada!$A:$A=AQ$2)*(AsistenciaJetAdminConcatenada!$B:$B=AQ$1), 0)), 1))),  0.5, 0))</f>
        <v>0</v>
      </c>
      <c r="AR13" s="47">
        <f t="array" ref="AR13">IF(AND(ISNUMBER(MATCH(AR$2, AsistenciaJetAdminConcatenada!$A:$A, 0)), ISNUMBER(MATCH(AR$1, AsistenciaJetAdminConcatenada!$B:$B, 0)), ISNUMBER(SEARCH($A13,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ISNUMBER(SEARCH($A13, INDEX(AsistenciaJetAdminConcatenada!$D:$D, MATCH(1, (AsistenciaJetAdminConcatenada!$A:$A=AR$2)*(AsistenciaJetAdminConcatenada!$B:$B=AR$1), 0)), 1))),  0.5, 0))</f>
        <v>1</v>
      </c>
      <c r="AS13" s="47">
        <f t="array" ref="AS13">IF(AND(ISNUMBER(MATCH(AS$2, AsistenciaJetAdminConcatenada!$A:$A, 0)), ISNUMBER(MATCH(AS$1, AsistenciaJetAdminConcatenada!$B:$B, 0)), ISNUMBER(SEARCH($A13,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ISNUMBER(SEARCH($A13, INDEX(AsistenciaJetAdminConcatenada!$D:$D, MATCH(1, (AsistenciaJetAdminConcatenada!$A:$A=AS$2)*(AsistenciaJetAdminConcatenada!$B:$B=AS$1), 0)), 1))),  0.5, 0))</f>
        <v>1</v>
      </c>
      <c r="AT13" s="47">
        <f t="array" ref="AT13">IF(AND(ISNUMBER(MATCH(AT$2, AsistenciaJetAdminConcatenada!$A:$A, 0)), ISNUMBER(MATCH(AT$1, AsistenciaJetAdminConcatenada!$B:$B, 0)), ISNUMBER(SEARCH($A13,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ISNUMBER(SEARCH($A13, INDEX(AsistenciaJetAdminConcatenada!$D:$D, MATCH(1, (AsistenciaJetAdminConcatenada!$A:$A=AT$2)*(AsistenciaJetAdminConcatenada!$B:$B=AT$1), 0)), 1))),  0.5, 0))</f>
        <v>0</v>
      </c>
      <c r="AU13" s="47">
        <f t="array" ref="AU13">IF(AND(ISNUMBER(MATCH(AU$2, AsistenciaJetAdminConcatenada!$A:$A, 0)), ISNUMBER(MATCH(AU$1, AsistenciaJetAdminConcatenada!$B:$B, 0)), ISNUMBER(SEARCH($A13,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ISNUMBER(SEARCH($A13, INDEX(AsistenciaJetAdminConcatenada!$D:$D, MATCH(1, (AsistenciaJetAdminConcatenada!$A:$A=AU$2)*(AsistenciaJetAdminConcatenada!$B:$B=AU$1), 0)), 1))),  0.5, 0))</f>
        <v>1</v>
      </c>
      <c r="AV13" s="47">
        <f t="array" ref="AV13">IF(AND(ISNUMBER(MATCH(AV$2, AsistenciaJetAdminConcatenada!$A:$A, 0)), ISNUMBER(MATCH(AV$1, AsistenciaJetAdminConcatenada!$B:$B, 0)), ISNUMBER(SEARCH($A13,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ISNUMBER(SEARCH($A13, INDEX(AsistenciaJetAdminConcatenada!$D:$D, MATCH(1, (AsistenciaJetAdminConcatenada!$A:$A=AV$2)*(AsistenciaJetAdminConcatenada!$B:$B=AV$1), 0)), 1))),  0.5, 0))</f>
        <v>1</v>
      </c>
      <c r="AW13" s="47">
        <f t="array" ref="AW13">IF(AND(ISNUMBER(MATCH(AW$2, AsistenciaJetAdminConcatenada!$A:$A, 0)), ISNUMBER(MATCH(AW$1, AsistenciaJetAdminConcatenada!$B:$B, 0)), ISNUMBER(SEARCH($A13,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ISNUMBER(SEARCH($A13, INDEX(AsistenciaJetAdminConcatenada!$D:$D, MATCH(1, (AsistenciaJetAdminConcatenada!$A:$A=AW$2)*(AsistenciaJetAdminConcatenada!$B:$B=AW$1), 0)), 1))),  0.5, 0))</f>
        <v>1</v>
      </c>
      <c r="AX13" s="47">
        <f t="array" ref="AX13">IF(AND(ISNUMBER(MATCH(AX$2, AsistenciaJetAdminConcatenada!$A:$A, 0)), ISNUMBER(MATCH(AX$1, AsistenciaJetAdminConcatenada!$B:$B, 0)), ISNUMBER(SEARCH($A13,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ISNUMBER(SEARCH($A13, INDEX(AsistenciaJetAdminConcatenada!$D:$D, MATCH(1, (AsistenciaJetAdminConcatenada!$A:$A=AX$2)*(AsistenciaJetAdminConcatenada!$B:$B=AX$1), 0)), 1))),  0.5, 0))</f>
        <v>1</v>
      </c>
      <c r="AY13" s="47">
        <f t="array" ref="AY13">IF(AND(ISNUMBER(MATCH(AY$2, AsistenciaJetAdminConcatenada!$A:$A, 0)), ISNUMBER(MATCH(AY$1, AsistenciaJetAdminConcatenada!$B:$B, 0)), ISNUMBER(SEARCH($A13,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ISNUMBER(SEARCH($A13, INDEX(AsistenciaJetAdminConcatenada!$D:$D, MATCH(1, (AsistenciaJetAdminConcatenada!$A:$A=AY$2)*(AsistenciaJetAdminConcatenada!$B:$B=AY$1), 0)), 1))),  0.5, 0))</f>
        <v>1</v>
      </c>
      <c r="AZ13" s="47">
        <f t="array" ref="AZ13">IF(AND(ISNUMBER(MATCH(AZ$2, AsistenciaJetAdminConcatenada!$A:$A, 0)), ISNUMBER(MATCH(AZ$1, AsistenciaJetAdminConcatenada!$B:$B, 0)), ISNUMBER(SEARCH($A13,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ISNUMBER(SEARCH($A13, INDEX(AsistenciaJetAdminConcatenada!$D:$D, MATCH(1, (AsistenciaJetAdminConcatenada!$A:$A=AZ$2)*(AsistenciaJetAdminConcatenada!$B:$B=AZ$1), 0)), 1))),  0.5, 0))</f>
        <v>0.5</v>
      </c>
      <c r="BA13" s="47">
        <f t="array" ref="BA13">IF(AND(ISNUMBER(MATCH(BA$2, AsistenciaJetAdminConcatenada!$A:$A, 0)), ISNUMBER(MATCH(BA$1, AsistenciaJetAdminConcatenada!$B:$B, 0)), ISNUMBER(SEARCH($A13,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ISNUMBER(SEARCH($A13, INDEX(AsistenciaJetAdminConcatenada!$D:$D, MATCH(1, (AsistenciaJetAdminConcatenada!$A:$A=BA$2)*(AsistenciaJetAdminConcatenada!$B:$B=BA$1), 0)), 1))),  0.5, 0))</f>
        <v>1</v>
      </c>
      <c r="BB13" s="47">
        <f t="array" ref="BB13">IF(AND(ISNUMBER(MATCH(BB$2, AsistenciaJetAdminConcatenada!$A:$A, 0)), ISNUMBER(MATCH(BB$1, AsistenciaJetAdminConcatenada!$B:$B, 0)), ISNUMBER(SEARCH($A13,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ISNUMBER(SEARCH($A13, INDEX(AsistenciaJetAdminConcatenada!$D:$D, MATCH(1, (AsistenciaJetAdminConcatenada!$A:$A=BB$2)*(AsistenciaJetAdminConcatenada!$B:$B=BB$1), 0)), 1))),  0.5, 0))</f>
        <v>1</v>
      </c>
      <c r="BC13" s="47">
        <f t="array" ref="BC13">IF(AND(ISNUMBER(MATCH(BC$2, AsistenciaJetAdminConcatenada!$A:$A, 0)), ISNUMBER(MATCH(BC$1, AsistenciaJetAdminConcatenada!$B:$B, 0)), ISNUMBER(SEARCH($A13,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ISNUMBER(SEARCH($A13, INDEX(AsistenciaJetAdminConcatenada!$D:$D, MATCH(1, (AsistenciaJetAdminConcatenada!$A:$A=BC$2)*(AsistenciaJetAdminConcatenada!$B:$B=BC$1), 0)), 1))),  0.5, 0))</f>
        <v>1</v>
      </c>
      <c r="BD13" s="47">
        <f t="array" ref="BD13">IF(AND(ISNUMBER(MATCH(BD$2, AsistenciaJetAdminConcatenada!$A:$A, 0)), ISNUMBER(MATCH(BD$1, AsistenciaJetAdminConcatenada!$B:$B, 0)), ISNUMBER(SEARCH($A13,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ISNUMBER(SEARCH($A13, INDEX(AsistenciaJetAdminConcatenada!$D:$D, MATCH(1, (AsistenciaJetAdminConcatenada!$A:$A=BD$2)*(AsistenciaJetAdminConcatenada!$B:$B=BD$1), 0)), 1))),  0.5, 0))</f>
        <v>1</v>
      </c>
      <c r="BE13" s="47">
        <f t="array" ref="BE13">IF(AND(ISNUMBER(MATCH(BE$2, AsistenciaJetAdminConcatenada!$A:$A, 0)), ISNUMBER(MATCH(BE$1, AsistenciaJetAdminConcatenada!$B:$B, 0)), ISNUMBER(SEARCH($A13,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ISNUMBER(SEARCH($A13, INDEX(AsistenciaJetAdminConcatenada!$D:$D, MATCH(1, (AsistenciaJetAdminConcatenada!$A:$A=BE$2)*(AsistenciaJetAdminConcatenada!$B:$B=BE$1), 0)), 1))),  0.5, 0))</f>
        <v>1</v>
      </c>
      <c r="BF13" s="47">
        <f t="array" ref="BF13">IF(AND(ISNUMBER(MATCH(BF$2, AsistenciaJetAdminConcatenada!$A:$A, 0)), ISNUMBER(MATCH(BF$1, AsistenciaJetAdminConcatenada!$B:$B, 0)), ISNUMBER(SEARCH($A13,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ISNUMBER(SEARCH($A13, INDEX(AsistenciaJetAdminConcatenada!$D:$D, MATCH(1, (AsistenciaJetAdminConcatenada!$A:$A=BF$2)*(AsistenciaJetAdminConcatenada!$B:$B=BF$1), 0)), 1))),  0.5, 0))</f>
        <v>0.5</v>
      </c>
      <c r="BG13" s="47">
        <f t="array" ref="BG13">IF(AND(ISNUMBER(MATCH(BG$2, AsistenciaJetAdminConcatenada!$A:$A, 0)), ISNUMBER(MATCH(BG$1, AsistenciaJetAdminConcatenada!$B:$B, 0)), ISNUMBER(SEARCH($A13,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ISNUMBER(SEARCH($A13, INDEX(AsistenciaJetAdminConcatenada!$D:$D, MATCH(1, (AsistenciaJetAdminConcatenada!$A:$A=BG$2)*(AsistenciaJetAdminConcatenada!$B:$B=BG$1), 0)), 1))),  0.5, 0))</f>
        <v>1</v>
      </c>
      <c r="BH13" s="47">
        <f t="array" ref="BH13">IF(AND(ISNUMBER(MATCH(BH$2, AsistenciaJetAdminConcatenada!$A:$A, 0)), ISNUMBER(MATCH(BH$1, AsistenciaJetAdminConcatenada!$B:$B, 0)), ISNUMBER(SEARCH($A13,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ISNUMBER(SEARCH($A13, INDEX(AsistenciaJetAdminConcatenada!$D:$D, MATCH(1, (AsistenciaJetAdminConcatenada!$A:$A=BH$2)*(AsistenciaJetAdminConcatenada!$B:$B=BH$1), 0)), 1))),  0.5, 0))</f>
        <v>1</v>
      </c>
      <c r="BI13" s="47">
        <f t="array" ref="BI13">IF(AND(ISNUMBER(MATCH(BI$2, AsistenciaJetAdminConcatenada!$A:$A, 0)), ISNUMBER(MATCH(BI$1, AsistenciaJetAdminConcatenada!$B:$B, 0)), ISNUMBER(SEARCH($A13,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ISNUMBER(SEARCH($A13, INDEX(AsistenciaJetAdminConcatenada!$D:$D, MATCH(1, (AsistenciaJetAdminConcatenada!$A:$A=BI$2)*(AsistenciaJetAdminConcatenada!$B:$B=BI$1), 0)), 1))),  0.5, 0))</f>
        <v>0</v>
      </c>
      <c r="BJ13" s="47">
        <f t="array" ref="BJ13">IF(AND(ISNUMBER(MATCH(BJ$2, AsistenciaJetAdminConcatenada!$A:$A, 0)), ISNUMBER(MATCH(BJ$1, AsistenciaJetAdminConcatenada!$B:$B, 0)), ISNUMBER(SEARCH($A13,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ISNUMBER(SEARCH($A13, INDEX(AsistenciaJetAdminConcatenada!$D:$D, MATCH(1, (AsistenciaJetAdminConcatenada!$A:$A=BJ$2)*(AsistenciaJetAdminConcatenada!$B:$B=BJ$1), 0)), 1))),  0.5, 0))</f>
        <v>1</v>
      </c>
      <c r="BK13" s="47">
        <f t="array" ref="BK13">IF(AND(ISNUMBER(MATCH(BK$2, AsistenciaJetAdminConcatenada!$A:$A, 0)), ISNUMBER(MATCH(BK$1, AsistenciaJetAdminConcatenada!$B:$B, 0)), ISNUMBER(SEARCH($A13,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ISNUMBER(SEARCH($A13, INDEX(AsistenciaJetAdminConcatenada!$D:$D, MATCH(1, (AsistenciaJetAdminConcatenada!$A:$A=BK$2)*(AsistenciaJetAdminConcatenada!$B:$B=BK$1), 0)), 1))),  0.5, 0))</f>
        <v>0</v>
      </c>
      <c r="BL13" s="47">
        <f t="array" ref="BL13">IF(AND(ISNUMBER(MATCH(BL$2, AsistenciaJetAdminConcatenada!$A:$A, 0)), ISNUMBER(MATCH(BL$1, AsistenciaJetAdminConcatenada!$B:$B, 0)), ISNUMBER(SEARCH($A13,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ISNUMBER(SEARCH($A13, INDEX(AsistenciaJetAdminConcatenada!$D:$D, MATCH(1, (AsistenciaJetAdminConcatenada!$A:$A=BL$2)*(AsistenciaJetAdminConcatenada!$B:$B=BL$1), 0)), 1))),  0.5, 0))</f>
        <v>1</v>
      </c>
      <c r="BM13" s="47">
        <f t="array" ref="BM13">IF(AND(ISNUMBER(MATCH(BM$2, AsistenciaJetAdminConcatenada!$A:$A, 0)), ISNUMBER(MATCH(BM$1, AsistenciaJetAdminConcatenada!$B:$B, 0)), ISNUMBER(SEARCH($A13,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ISNUMBER(SEARCH($A13, INDEX(AsistenciaJetAdminConcatenada!$D:$D, MATCH(1, (AsistenciaJetAdminConcatenada!$A:$A=BM$2)*(AsistenciaJetAdminConcatenada!$B:$B=BM$1), 0)), 1))),  0.5, 0))</f>
        <v>0</v>
      </c>
      <c r="BN13" s="47">
        <f t="array" ref="BN13">IF(AND(ISNUMBER(MATCH(BN$2, AsistenciaJetAdminConcatenada!$A:$A, 0)), ISNUMBER(MATCH(BN$1, AsistenciaJetAdminConcatenada!$B:$B, 0)), ISNUMBER(SEARCH($A13,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ISNUMBER(SEARCH($A13, INDEX(AsistenciaJetAdminConcatenada!$D:$D, MATCH(1, (AsistenciaJetAdminConcatenada!$A:$A=BN$2)*(AsistenciaJetAdminConcatenada!$B:$B=BN$1), 0)), 1))),  0.5, 0))</f>
        <v>1</v>
      </c>
      <c r="BO13" s="47">
        <f t="array" ref="BO13">IF(AND(ISNUMBER(MATCH(BO$2, AsistenciaJetAdminConcatenada!$A:$A, 0)), ISNUMBER(MATCH(BO$1, AsistenciaJetAdminConcatenada!$B:$B, 0)), ISNUMBER(SEARCH($A13,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ISNUMBER(SEARCH($A13, INDEX(AsistenciaJetAdminConcatenada!$D:$D, MATCH(1, (AsistenciaJetAdminConcatenada!$A:$A=BO$2)*(AsistenciaJetAdminConcatenada!$B:$B=BO$1), 0)), 1))),  0.5, 0))</f>
        <v>1</v>
      </c>
      <c r="BP13" s="47">
        <f t="array" ref="BP13">IF(AND(ISNUMBER(MATCH(BP$2, AsistenciaJetAdminConcatenada!$A:$A, 0)), ISNUMBER(MATCH(BP$1, AsistenciaJetAdminConcatenada!$B:$B, 0)), ISNUMBER(SEARCH($A13,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ISNUMBER(SEARCH($A13, INDEX(AsistenciaJetAdminConcatenada!$D:$D, MATCH(1, (AsistenciaJetAdminConcatenada!$A:$A=BP$2)*(AsistenciaJetAdminConcatenada!$B:$B=BP$1), 0)), 1))),  0.5, 0))</f>
        <v>1</v>
      </c>
      <c r="BQ13" s="47">
        <f t="array" ref="BQ13">IF(AND(ISNUMBER(MATCH(BQ$2, AsistenciaJetAdminConcatenada!$A:$A, 0)), ISNUMBER(MATCH(BQ$1, AsistenciaJetAdminConcatenada!$B:$B, 0)), ISNUMBER(SEARCH($A13,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ISNUMBER(SEARCH($A13, INDEX(AsistenciaJetAdminConcatenada!$D:$D, MATCH(1, (AsistenciaJetAdminConcatenada!$A:$A=BQ$2)*(AsistenciaJetAdminConcatenada!$B:$B=BQ$1), 0)), 1))),  0.5, 0))</f>
        <v>0</v>
      </c>
      <c r="BR13" s="47">
        <f t="array" ref="BR13">IF(AND(ISNUMBER(MATCH(BR$2, AsistenciaJetAdminConcatenada!$A:$A, 0)), ISNUMBER(MATCH(BR$1, AsistenciaJetAdminConcatenada!$B:$B, 0)), ISNUMBER(SEARCH($A13,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ISNUMBER(SEARCH($A13, INDEX(AsistenciaJetAdminConcatenada!$D:$D, MATCH(1, (AsistenciaJetAdminConcatenada!$A:$A=BR$2)*(AsistenciaJetAdminConcatenada!$B:$B=BR$1), 0)), 1))),  0.5, 0))</f>
        <v>0</v>
      </c>
      <c r="BS13" s="47">
        <f t="array" ref="BS13">IF(AND(ISNUMBER(MATCH(BS$2, AsistenciaJetAdminConcatenada!$A:$A, 0)), ISNUMBER(MATCH(BS$1, AsistenciaJetAdminConcatenada!$B:$B, 0)), ISNUMBER(SEARCH($A13,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ISNUMBER(SEARCH($A13, INDEX(AsistenciaJetAdminConcatenada!$D:$D, MATCH(1, (AsistenciaJetAdminConcatenada!$A:$A=BS$2)*(AsistenciaJetAdminConcatenada!$B:$B=BS$1), 0)), 1))),  0.5, 0))</f>
        <v>0</v>
      </c>
      <c r="BT13" s="47">
        <f t="array" ref="BT13">IF(AND(ISNUMBER(MATCH(BT$2, AsistenciaJetAdminConcatenada!$A:$A, 0)), ISNUMBER(MATCH(BT$1, AsistenciaJetAdminConcatenada!$B:$B, 0)), ISNUMBER(SEARCH($A13,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ISNUMBER(SEARCH($A13, INDEX(AsistenciaJetAdminConcatenada!$D:$D, MATCH(1, (AsistenciaJetAdminConcatenada!$A:$A=BT$2)*(AsistenciaJetAdminConcatenada!$B:$B=BT$1), 0)), 1))),  0.5, 0))</f>
        <v>1</v>
      </c>
      <c r="BU13" s="47">
        <f t="array" ref="BU13">IF(AND(ISNUMBER(MATCH(BU$2, AsistenciaJetAdminConcatenada!$A:$A, 0)), ISNUMBER(MATCH(BU$1, AsistenciaJetAdminConcatenada!$B:$B, 0)), ISNUMBER(SEARCH($A13,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ISNUMBER(SEARCH($A13, INDEX(AsistenciaJetAdminConcatenada!$D:$D, MATCH(1, (AsistenciaJetAdminConcatenada!$A:$A=BU$2)*(AsistenciaJetAdminConcatenada!$B:$B=BU$1), 0)), 1))),  0.5, 0))</f>
        <v>1</v>
      </c>
      <c r="BV13" s="47">
        <f t="array" ref="BV13">IF(AND(ISNUMBER(MATCH(BV$2, AsistenciaJetAdminConcatenada!$A:$A, 0)), ISNUMBER(MATCH(BV$1, AsistenciaJetAdminConcatenada!$B:$B, 0)), ISNUMBER(SEARCH($A13,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ISNUMBER(SEARCH($A13, INDEX(AsistenciaJetAdminConcatenada!$D:$D, MATCH(1, (AsistenciaJetAdminConcatenada!$A:$A=BV$2)*(AsistenciaJetAdminConcatenada!$B:$B=BV$1), 0)), 1))),  0.5, 0))</f>
        <v>1</v>
      </c>
      <c r="BW13" s="47">
        <f t="array" ref="BW13">IF(AND(ISNUMBER(MATCH(BW$2, AsistenciaJetAdminConcatenada!$A:$A, 0)), ISNUMBER(MATCH(BW$1, AsistenciaJetAdminConcatenada!$B:$B, 0)), ISNUMBER(SEARCH($A13,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ISNUMBER(SEARCH($A13, INDEX(AsistenciaJetAdminConcatenada!$D:$D, MATCH(1, (AsistenciaJetAdminConcatenada!$A:$A=BW$2)*(AsistenciaJetAdminConcatenada!$B:$B=BW$1), 0)), 1))),  0.5, 0))</f>
        <v>1</v>
      </c>
      <c r="BX13" s="47">
        <f t="array" ref="BX13">IF(AND(ISNUMBER(MATCH(BX$2, AsistenciaJetAdminConcatenada!$A:$A, 0)), ISNUMBER(MATCH(BX$1, AsistenciaJetAdminConcatenada!$B:$B, 0)), ISNUMBER(SEARCH($A13,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ISNUMBER(SEARCH($A13, INDEX(AsistenciaJetAdminConcatenada!$D:$D, MATCH(1, (AsistenciaJetAdminConcatenada!$A:$A=BX$2)*(AsistenciaJetAdminConcatenada!$B:$B=BX$1), 0)), 1))),  0.5, 0))</f>
        <v>0</v>
      </c>
      <c r="BY13" s="47">
        <f t="array" ref="BY13">IF(AND(ISNUMBER(MATCH(BY$2, AsistenciaJetAdminConcatenada!$A:$A, 0)), ISNUMBER(MATCH(BY$1, AsistenciaJetAdminConcatenada!$B:$B, 0)), ISNUMBER(SEARCH($A13,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ISNUMBER(SEARCH($A13, INDEX(AsistenciaJetAdminConcatenada!$D:$D, MATCH(1, (AsistenciaJetAdminConcatenada!$A:$A=BY$2)*(AsistenciaJetAdminConcatenada!$B:$B=BY$1), 0)), 1))),  0.5, 0))</f>
        <v>1</v>
      </c>
      <c r="BZ13" s="47">
        <f t="array" ref="BZ13">IF(AND(ISNUMBER(MATCH(BZ$2, AsistenciaJetAdminConcatenada!$A:$A, 0)), ISNUMBER(MATCH(BZ$1, AsistenciaJetAdminConcatenada!$B:$B, 0)), ISNUMBER(SEARCH($A13,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ISNUMBER(SEARCH($A13, INDEX(AsistenciaJetAdminConcatenada!$D:$D, MATCH(1, (AsistenciaJetAdminConcatenada!$A:$A=BZ$2)*(AsistenciaJetAdminConcatenada!$B:$B=BZ$1), 0)), 1))),  0.5, 0))</f>
        <v>0.5</v>
      </c>
      <c r="CA13" s="47">
        <f t="array" ref="CA13">IF(AND(ISNUMBER(MATCH(CA$2, AsistenciaJetAdminConcatenada!$A:$A, 0)), ISNUMBER(MATCH(CA$1, AsistenciaJetAdminConcatenada!$B:$B, 0)), ISNUMBER(SEARCH($A13,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ISNUMBER(SEARCH($A13, INDEX(AsistenciaJetAdminConcatenada!$D:$D, MATCH(1, (AsistenciaJetAdminConcatenada!$A:$A=CA$2)*(AsistenciaJetAdminConcatenada!$B:$B=CA$1), 0)), 1))),  0.5, 0))</f>
        <v>1</v>
      </c>
      <c r="CB13" s="47">
        <f t="array" ref="CB13">IF(AND(ISNUMBER(MATCH(CB$2, AsistenciaJetAdminConcatenada!$A:$A, 0)), ISNUMBER(MATCH(CB$1, AsistenciaJetAdminConcatenada!$B:$B, 0)), ISNUMBER(SEARCH($A13,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ISNUMBER(SEARCH($A13, INDEX(AsistenciaJetAdminConcatenada!$D:$D, MATCH(1, (AsistenciaJetAdminConcatenada!$A:$A=CB$2)*(AsistenciaJetAdminConcatenada!$B:$B=CB$1), 0)), 1))),  0.5, 0))</f>
        <v>0</v>
      </c>
      <c r="CC13" s="47">
        <f t="array" ref="CC13">IF(AND(ISNUMBER(MATCH(CC$2, AsistenciaJetAdminConcatenada!$A:$A, 0)), ISNUMBER(MATCH(CC$1, AsistenciaJetAdminConcatenada!$B:$B, 0)), ISNUMBER(SEARCH($A13,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ISNUMBER(SEARCH($A13, INDEX(AsistenciaJetAdminConcatenada!$D:$D, MATCH(1, (AsistenciaJetAdminConcatenada!$A:$A=CC$2)*(AsistenciaJetAdminConcatenada!$B:$B=CC$1), 0)), 1))),  0.5, 0))</f>
        <v>1</v>
      </c>
      <c r="CD13" s="47">
        <f t="array" ref="CD13">IF(AND(ISNUMBER(MATCH(CD$2, AsistenciaJetAdminConcatenada!$A:$A, 0)), ISNUMBER(MATCH(CD$1, AsistenciaJetAdminConcatenada!$B:$B, 0)), ISNUMBER(SEARCH($A13,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ISNUMBER(SEARCH($A13, INDEX(AsistenciaJetAdminConcatenada!$D:$D, MATCH(1, (AsistenciaJetAdminConcatenada!$A:$A=CD$2)*(AsistenciaJetAdminConcatenada!$B:$B=CD$1), 0)), 1))),  0.5, 0))</f>
        <v>1</v>
      </c>
      <c r="CE13" s="47">
        <f t="array" ref="CE13">IF(AND(ISNUMBER(MATCH(CE$2, AsistenciaJetAdminConcatenada!$A:$A, 0)), ISNUMBER(MATCH(CE$1, AsistenciaJetAdminConcatenada!$B:$B, 0)), ISNUMBER(SEARCH($A13,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ISNUMBER(SEARCH($A13, INDEX(AsistenciaJetAdminConcatenada!$D:$D, MATCH(1, (AsistenciaJetAdminConcatenada!$A:$A=CE$2)*(AsistenciaJetAdminConcatenada!$B:$B=CE$1), 0)), 1))),  0.5, 0))</f>
        <v>1</v>
      </c>
      <c r="CF13" s="47">
        <f t="array" ref="CF13">IF(AND(ISNUMBER(MATCH(CF$2, AsistenciaJetAdminConcatenada!$A:$A, 0)), ISNUMBER(MATCH(CF$1, AsistenciaJetAdminConcatenada!$B:$B, 0)), ISNUMBER(SEARCH($A13,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ISNUMBER(SEARCH($A13, INDEX(AsistenciaJetAdminConcatenada!$D:$D, MATCH(1, (AsistenciaJetAdminConcatenada!$A:$A=CF$2)*(AsistenciaJetAdminConcatenada!$B:$B=CF$1), 0)), 1))),  0.5, 0))</f>
        <v>0</v>
      </c>
      <c r="CG13" s="8">
        <v>0.0</v>
      </c>
      <c r="CH13" s="47">
        <f t="array" ref="CH13">IF(AND(ISNUMBER(MATCH(CH$2, AsistenciaJetAdminConcatenada!$A:$A, 0)), ISNUMBER(MATCH(CH$1, AsistenciaJetAdminConcatenada!$B:$B, 0)), ISNUMBER(SEARCH($A13,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ISNUMBER(SEARCH($A13, INDEX(AsistenciaJetAdminConcatenada!$D:$D, MATCH(1, (AsistenciaJetAdminConcatenada!$A:$A=CH$2)*(AsistenciaJetAdminConcatenada!$B:$B=CH$1), 0)), 1))),  0.5, 0))</f>
        <v>1</v>
      </c>
      <c r="CI13" s="47">
        <f t="array" ref="CI13">IF(AND(ISNUMBER(MATCH(CI$2, AsistenciaJetAdminConcatenada!$A:$A, 0)), ISNUMBER(MATCH(CI$1, AsistenciaJetAdminConcatenada!$B:$B, 0)), ISNUMBER(SEARCH($A13,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ISNUMBER(SEARCH($A13, INDEX(AsistenciaJetAdminConcatenada!$D:$D, MATCH(1, (AsistenciaJetAdminConcatenada!$A:$A=CI$2)*(AsistenciaJetAdminConcatenada!$B:$B=CI$1), 0)), 1))),  0.5, 0))</f>
        <v>1</v>
      </c>
      <c r="CJ13" s="47">
        <f t="array" ref="CJ13">IF(AND(ISNUMBER(MATCH(CJ$2, AsistenciaJetAdminConcatenada!$A:$A, 0)), ISNUMBER(MATCH(CJ$1, AsistenciaJetAdminConcatenada!$B:$B, 0)), ISNUMBER(SEARCH($A13,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ISNUMBER(SEARCH($A13, INDEX(AsistenciaJetAdminConcatenada!$D:$D, MATCH(1, (AsistenciaJetAdminConcatenada!$A:$A=CJ$2)*(AsistenciaJetAdminConcatenada!$B:$B=CJ$1), 0)), 1))),  0.5, 0))</f>
        <v>1</v>
      </c>
      <c r="CK13" s="47">
        <f t="array" ref="CK13">IF(AND(ISNUMBER(MATCH(CK$2, AsistenciaJetAdminConcatenada!$A:$A, 0)), ISNUMBER(MATCH(CK$1, AsistenciaJetAdminConcatenada!$B:$B, 0)), ISNUMBER(SEARCH($A13,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ISNUMBER(SEARCH($A13, INDEX(AsistenciaJetAdminConcatenada!$D:$D, MATCH(1, (AsistenciaJetAdminConcatenada!$A:$A=CK$2)*(AsistenciaJetAdminConcatenada!$B:$B=CK$1), 0)), 1))),  0.5, 0))</f>
        <v>0</v>
      </c>
      <c r="CL13" s="47">
        <f t="array" ref="CL13">IF(AND(ISNUMBER(MATCH(CL$2, AsistenciaJetAdminConcatenada!$A:$A, 0)), ISNUMBER(MATCH(CL$1, AsistenciaJetAdminConcatenada!$B:$B, 0)), ISNUMBER(SEARCH($A13,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ISNUMBER(SEARCH($A13, INDEX(AsistenciaJetAdminConcatenada!$D:$D, MATCH(1, (AsistenciaJetAdminConcatenada!$A:$A=CL$2)*(AsistenciaJetAdminConcatenada!$B:$B=CL$1), 0)), 1))),  0.5, 0))</f>
        <v>1</v>
      </c>
      <c r="CM13" s="47">
        <f t="array" ref="CM13">IF(AND(ISNUMBER(MATCH(CM$2, AsistenciaJetAdminConcatenada!$A:$A, 0)), ISNUMBER(MATCH(CM$1, AsistenciaJetAdminConcatenada!$B:$B, 0)), ISNUMBER(SEARCH($A13,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ISNUMBER(SEARCH($A13, INDEX(AsistenciaJetAdminConcatenada!$D:$D, MATCH(1, (AsistenciaJetAdminConcatenada!$A:$A=CM$2)*(AsistenciaJetAdminConcatenada!$B:$B=CM$1), 0)), 1))),  0.5, 0))</f>
        <v>1</v>
      </c>
      <c r="CN13" s="47">
        <f t="array" ref="CN13">IF(AND(ISNUMBER(MATCH(CN$2, AsistenciaJetAdminConcatenada!$A:$A, 0)), ISNUMBER(MATCH(CN$1, AsistenciaJetAdminConcatenada!$B:$B, 0)), ISNUMBER(SEARCH($A13,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ISNUMBER(SEARCH($A13, INDEX(AsistenciaJetAdminConcatenada!$D:$D, MATCH(1, (AsistenciaJetAdminConcatenada!$A:$A=CN$2)*(AsistenciaJetAdminConcatenada!$B:$B=CN$1), 0)), 1))),  0.5, 0))</f>
        <v>1</v>
      </c>
      <c r="CO13" s="47">
        <f t="array" ref="CO13">IF(AND(ISNUMBER(MATCH(CO$2, AsistenciaJetAdminConcatenada!$A:$A, 0)), ISNUMBER(MATCH(CO$1, AsistenciaJetAdminConcatenada!$B:$B, 0)), ISNUMBER(SEARCH($A13,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ISNUMBER(SEARCH($A13, INDEX(AsistenciaJetAdminConcatenada!$D:$D, MATCH(1, (AsistenciaJetAdminConcatenada!$A:$A=CO$2)*(AsistenciaJetAdminConcatenada!$B:$B=CO$1), 0)), 1))),  0.5, 0))</f>
        <v>1</v>
      </c>
      <c r="CP13" s="47">
        <f t="array" ref="CP13">IF(AND(ISNUMBER(MATCH(CP$2, AsistenciaJetAdminConcatenada!$A:$A, 0)), ISNUMBER(MATCH(CP$1, AsistenciaJetAdminConcatenada!$B:$B, 0)), ISNUMBER(SEARCH($A13,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ISNUMBER(SEARCH($A13, INDEX(AsistenciaJetAdminConcatenada!$D:$D, MATCH(1, (AsistenciaJetAdminConcatenada!$A:$A=CP$2)*(AsistenciaJetAdminConcatenada!$B:$B=CP$1), 0)), 1))),  0.5, 0))</f>
        <v>1</v>
      </c>
      <c r="CQ13" s="47">
        <f t="array" ref="CQ13">IF(AND(ISNUMBER(MATCH(CQ$2, AsistenciaJetAdminConcatenada!$A:$A, 0)), ISNUMBER(MATCH(CQ$1, AsistenciaJetAdminConcatenada!$B:$B, 0)), ISNUMBER(SEARCH($A13,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ISNUMBER(SEARCH($A13, INDEX(AsistenciaJetAdminConcatenada!$D:$D, MATCH(1, (AsistenciaJetAdminConcatenada!$A:$A=CQ$2)*(AsistenciaJetAdminConcatenada!$B:$B=CQ$1), 0)), 1))),  0.5, 0))</f>
        <v>1</v>
      </c>
      <c r="CR13" s="47">
        <f t="array" ref="CR13">IF(AND(ISNUMBER(MATCH(CR$2, AsistenciaJetAdminConcatenada!$A:$A, 0)), ISNUMBER(MATCH(CR$1, AsistenciaJetAdminConcatenada!$B:$B, 0)), ISNUMBER(SEARCH($A13,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ISNUMBER(SEARCH($A13, INDEX(AsistenciaJetAdminConcatenada!$D:$D, MATCH(1, (AsistenciaJetAdminConcatenada!$A:$A=CR$2)*(AsistenciaJetAdminConcatenada!$B:$B=CR$1), 0)), 1))),  0.5, 0))</f>
        <v>1</v>
      </c>
      <c r="CS13" s="47">
        <f t="array" ref="CS13">IF(AND(ISNUMBER(MATCH(CS$2, AsistenciaJetAdminConcatenada!$A:$A, 0)), ISNUMBER(MATCH(CS$1, AsistenciaJetAdminConcatenada!$B:$B, 0)), ISNUMBER(SEARCH($A13,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ISNUMBER(SEARCH($A13, INDEX(AsistenciaJetAdminConcatenada!$D:$D, MATCH(1, (AsistenciaJetAdminConcatenada!$A:$A=CS$2)*(AsistenciaJetAdminConcatenada!$B:$B=CS$1), 0)), 1))),  0.5, 0))</f>
        <v>0</v>
      </c>
      <c r="CT13" s="47">
        <f t="array" ref="CT13">IF(AND(ISNUMBER(MATCH(CT$2, AsistenciaJetAdminConcatenada!$A:$A, 0)), ISNUMBER(MATCH(CT$1, AsistenciaJetAdminConcatenada!$B:$B, 0)), ISNUMBER(SEARCH($A13,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ISNUMBER(SEARCH($A13, INDEX(AsistenciaJetAdminConcatenada!$D:$D, MATCH(1, (AsistenciaJetAdminConcatenada!$A:$A=CT$2)*(AsistenciaJetAdminConcatenada!$B:$B=CT$1), 0)), 1))),  0.5, 0))</f>
        <v>0</v>
      </c>
      <c r="CU13" s="47">
        <f t="array" ref="CU13">IF(AND(ISNUMBER(MATCH(CU$2, AsistenciaJetAdminConcatenada!$A:$A, 0)), ISNUMBER(MATCH(CU$1, AsistenciaJetAdminConcatenada!$B:$B, 0)), ISNUMBER(SEARCH($A13,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ISNUMBER(SEARCH($A13, INDEX(AsistenciaJetAdminConcatenada!$D:$D, MATCH(1, (AsistenciaJetAdminConcatenada!$A:$A=CU$2)*(AsistenciaJetAdminConcatenada!$B:$B=CU$1), 0)), 1))),  0.5, 0))</f>
        <v>0</v>
      </c>
      <c r="CV13" s="47">
        <f t="array" ref="CV13">IF(AND(ISNUMBER(MATCH(CV$2, AsistenciaJetAdminConcatenada!$A:$A, 0)), ISNUMBER(MATCH(CV$1, AsistenciaJetAdminConcatenada!$B:$B, 0)), ISNUMBER(SEARCH($A13,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ISNUMBER(SEARCH($A13, INDEX(AsistenciaJetAdminConcatenada!$D:$D, MATCH(1, (AsistenciaJetAdminConcatenada!$A:$A=CV$2)*(AsistenciaJetAdminConcatenada!$B:$B=CV$1), 0)), 1))),  0.5, 0))</f>
        <v>0</v>
      </c>
      <c r="CW13" s="47">
        <f t="array" ref="CW13">IF(AND(ISNUMBER(MATCH(CW$2, AsistenciaJetAdminConcatenada!$A:$A, 0)), ISNUMBER(MATCH(CW$1, AsistenciaJetAdminConcatenada!$B:$B, 0)), ISNUMBER(SEARCH($A13,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ISNUMBER(SEARCH($A13, INDEX(AsistenciaJetAdminConcatenada!$D:$D, MATCH(1, (AsistenciaJetAdminConcatenada!$A:$A=CW$2)*(AsistenciaJetAdminConcatenada!$B:$B=CW$1), 0)), 1))),  0.5, 0))</f>
        <v>0</v>
      </c>
      <c r="CX13" s="47">
        <f t="array" ref="CX13">IF(AND(ISNUMBER(MATCH(CX$2, AsistenciaJetAdminConcatenada!$A:$A, 0)), ISNUMBER(MATCH(CX$1, AsistenciaJetAdminConcatenada!$B:$B, 0)), ISNUMBER(SEARCH($A13,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ISNUMBER(SEARCH($A13, INDEX(AsistenciaJetAdminConcatenada!$D:$D, MATCH(1, (AsistenciaJetAdminConcatenada!$A:$A=CX$2)*(AsistenciaJetAdminConcatenada!$B:$B=CX$1), 0)), 1))),  0.5, 0))</f>
        <v>0</v>
      </c>
      <c r="CY13" s="47">
        <f t="array" ref="CY13">IF(AND(ISNUMBER(MATCH(CY$2, AsistenciaJetAdminConcatenada!$A:$A, 0)), ISNUMBER(MATCH(CY$1, AsistenciaJetAdminConcatenada!$B:$B, 0)), ISNUMBER(SEARCH($A13,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ISNUMBER(SEARCH($A13, INDEX(AsistenciaJetAdminConcatenada!$D:$D, MATCH(1, (AsistenciaJetAdminConcatenada!$A:$A=CY$2)*(AsistenciaJetAdminConcatenada!$B:$B=CY$1), 0)), 1))),  0.5, 0))</f>
        <v>0</v>
      </c>
      <c r="CZ13" s="47">
        <f t="array" ref="CZ13">IF(AND(ISNUMBER(MATCH(CZ$2, AsistenciaJetAdminConcatenada!$A:$A, 0)), ISNUMBER(MATCH(CZ$1, AsistenciaJetAdminConcatenada!$B:$B, 0)), ISNUMBER(SEARCH($A13,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ISNUMBER(SEARCH($A13, INDEX(AsistenciaJetAdminConcatenada!$D:$D, MATCH(1, (AsistenciaJetAdminConcatenada!$A:$A=CZ$2)*(AsistenciaJetAdminConcatenada!$B:$B=CZ$1), 0)), 1))),  0.5, 0))</f>
        <v>0</v>
      </c>
      <c r="DA13" s="47">
        <f t="array" ref="DA13">IF(AND(ISNUMBER(MATCH(DA$2, AsistenciaJetAdminConcatenada!$A:$A, 0)), ISNUMBER(MATCH(DA$1, AsistenciaJetAdminConcatenada!$B:$B, 0)), ISNUMBER(SEARCH($A13,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ISNUMBER(SEARCH($A13, INDEX(AsistenciaJetAdminConcatenada!$D:$D, MATCH(1, (AsistenciaJetAdminConcatenada!$A:$A=DA$2)*(AsistenciaJetAdminConcatenada!$B:$B=DA$1), 0)), 1))),  0.5, 0))</f>
        <v>0</v>
      </c>
      <c r="DB13" s="47">
        <f t="array" ref="DB13">IF(AND(ISNUMBER(MATCH(DB$2, AsistenciaJetAdminConcatenada!$A:$A, 0)), ISNUMBER(MATCH(DB$1, AsistenciaJetAdminConcatenada!$B:$B, 0)), ISNUMBER(SEARCH($A13,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ISNUMBER(SEARCH($A13, INDEX(AsistenciaJetAdminConcatenada!$D:$D, MATCH(1, (AsistenciaJetAdminConcatenada!$A:$A=DB$2)*(AsistenciaJetAdminConcatenada!$B:$B=DB$1), 0)), 1))),  0.5, 0))</f>
        <v>0</v>
      </c>
      <c r="DC13" s="47">
        <f t="array" ref="DC13">IF(AND(ISNUMBER(MATCH(DC$2, AsistenciaJetAdminConcatenada!$A:$A, 0)), ISNUMBER(MATCH(DC$1, AsistenciaJetAdminConcatenada!$B:$B, 0)), ISNUMBER(SEARCH($A13,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ISNUMBER(SEARCH($A13, INDEX(AsistenciaJetAdminConcatenada!$D:$D, MATCH(1, (AsistenciaJetAdminConcatenada!$A:$A=DC$2)*(AsistenciaJetAdminConcatenada!$B:$B=DC$1), 0)), 1))),  0.5, 0))</f>
        <v>0</v>
      </c>
      <c r="DD13" s="47">
        <f t="array" ref="DD13">IF(AND(ISNUMBER(MATCH(DD$2, AsistenciaJetAdminConcatenada!$A:$A, 0)), ISNUMBER(MATCH(DD$1, AsistenciaJetAdminConcatenada!$B:$B, 0)), ISNUMBER(SEARCH($A13,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ISNUMBER(SEARCH($A13, INDEX(AsistenciaJetAdminConcatenada!$D:$D, MATCH(1, (AsistenciaJetAdminConcatenada!$A:$A=DD$2)*(AsistenciaJetAdminConcatenada!$B:$B=DD$1), 0)), 1))),  0.5, 0))</f>
        <v>0</v>
      </c>
      <c r="DE13" s="47">
        <f t="array" ref="DE13">IF(AND(ISNUMBER(MATCH(DE$2, AsistenciaJetAdminConcatenada!$A:$A, 0)), ISNUMBER(MATCH(DE$1, AsistenciaJetAdminConcatenada!$B:$B, 0)), ISNUMBER(SEARCH($A13,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ISNUMBER(SEARCH($A13, INDEX(AsistenciaJetAdminConcatenada!$D:$D, MATCH(1, (AsistenciaJetAdminConcatenada!$A:$A=DE$2)*(AsistenciaJetAdminConcatenada!$B:$B=DE$1), 0)), 1))),  0.5, 0))</f>
        <v>0</v>
      </c>
      <c r="DF13" s="47">
        <f t="array" ref="DF13">IF(AND(ISNUMBER(MATCH(DF$2, AsistenciaJetAdminConcatenada!$A:$A, 0)), ISNUMBER(MATCH(DF$1, AsistenciaJetAdminConcatenada!$B:$B, 0)), ISNUMBER(SEARCH($A13,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ISNUMBER(SEARCH($A13, INDEX(AsistenciaJetAdminConcatenada!$D:$D, MATCH(1, (AsistenciaJetAdminConcatenada!$A:$A=DF$2)*(AsistenciaJetAdminConcatenada!$B:$B=DF$1), 0)), 1))),  0.5, 0))</f>
        <v>0</v>
      </c>
      <c r="DG13" s="47">
        <f t="array" ref="DG13">IF(AND(ISNUMBER(MATCH(DG$2, AsistenciaJetAdminConcatenada!$A:$A, 0)), ISNUMBER(MATCH(DG$1, AsistenciaJetAdminConcatenada!$B:$B, 0)), ISNUMBER(SEARCH($A13,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ISNUMBER(SEARCH($A13, INDEX(AsistenciaJetAdminConcatenada!$D:$D, MATCH(1, (AsistenciaJetAdminConcatenada!$A:$A=DG$2)*(AsistenciaJetAdminConcatenada!$B:$B=DG$1), 0)), 1))),  0.5, 0))</f>
        <v>0</v>
      </c>
      <c r="DH13" s="47">
        <f t="array" ref="DH13">IF(AND(ISNUMBER(MATCH(DH$2, AsistenciaJetAdminConcatenada!$A:$A, 0)), ISNUMBER(MATCH(DH$1, AsistenciaJetAdminConcatenada!$B:$B, 0)), ISNUMBER(SEARCH($A13,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ISNUMBER(SEARCH($A13, INDEX(AsistenciaJetAdminConcatenada!$D:$D, MATCH(1, (AsistenciaJetAdminConcatenada!$A:$A=DH$2)*(AsistenciaJetAdminConcatenada!$B:$B=DH$1), 0)), 1))),  0.5, 0))</f>
        <v>0</v>
      </c>
      <c r="DI13" s="47">
        <f t="array" ref="DI13">IF(AND(ISNUMBER(MATCH(DI$2, AsistenciaJetAdminConcatenada!$A:$A, 0)), ISNUMBER(MATCH(DI$1, AsistenciaJetAdminConcatenada!$B:$B, 0)), ISNUMBER(SEARCH($A13,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ISNUMBER(SEARCH($A13, INDEX(AsistenciaJetAdminConcatenada!$D:$D, MATCH(1, (AsistenciaJetAdminConcatenada!$A:$A=DI$2)*(AsistenciaJetAdminConcatenada!$B:$B=DI$1), 0)), 1))),  0.5, 0))</f>
        <v>0</v>
      </c>
      <c r="DJ13" s="47">
        <f t="array" ref="DJ13">IF(AND(ISNUMBER(MATCH(DJ$2, AsistenciaJetAdminConcatenada!$A:$A, 0)), ISNUMBER(MATCH(DJ$1, AsistenciaJetAdminConcatenada!$B:$B, 0)), ISNUMBER(SEARCH($A13,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ISNUMBER(SEARCH($A13, INDEX(AsistenciaJetAdminConcatenada!$D:$D, MATCH(1, (AsistenciaJetAdminConcatenada!$A:$A=DJ$2)*(AsistenciaJetAdminConcatenada!$B:$B=DJ$1), 0)), 1))),  0.5, 0))</f>
        <v>0</v>
      </c>
      <c r="DK13" s="47">
        <f t="array" ref="DK13">IF(AND(ISNUMBER(MATCH(DK$2, AsistenciaJetAdminConcatenada!$A:$A, 0)), ISNUMBER(MATCH(DK$1, AsistenciaJetAdminConcatenada!$B:$B, 0)), ISNUMBER(SEARCH($A13,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ISNUMBER(SEARCH($A13, INDEX(AsistenciaJetAdminConcatenada!$D:$D, MATCH(1, (AsistenciaJetAdminConcatenada!$A:$A=DK$2)*(AsistenciaJetAdminConcatenada!$B:$B=DK$1), 0)), 1))),  0.5, 0))</f>
        <v>0</v>
      </c>
      <c r="DL13" s="47">
        <f t="array" ref="DL13">IF(AND(ISNUMBER(MATCH(DL$2, AsistenciaJetAdminConcatenada!$A:$A, 0)), ISNUMBER(MATCH(DL$1, AsistenciaJetAdminConcatenada!$B:$B, 0)), ISNUMBER(SEARCH($A13,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ISNUMBER(SEARCH($A13, INDEX(AsistenciaJetAdminConcatenada!$D:$D, MATCH(1, (AsistenciaJetAdminConcatenada!$A:$A=DL$2)*(AsistenciaJetAdminConcatenada!$B:$B=DL$1), 0)), 1))),  0.5, 0))</f>
        <v>0</v>
      </c>
      <c r="DM13" s="47">
        <f t="array" ref="DM13">IF(AND(ISNUMBER(MATCH(DM$2, AsistenciaJetAdminConcatenada!$A:$A, 0)), ISNUMBER(MATCH(DM$1, AsistenciaJetAdminConcatenada!$B:$B, 0)), ISNUMBER(SEARCH($A13,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ISNUMBER(SEARCH($A13, INDEX(AsistenciaJetAdminConcatenada!$D:$D, MATCH(1, (AsistenciaJetAdminConcatenada!$A:$A=DM$2)*(AsistenciaJetAdminConcatenada!$B:$B=DM$1), 0)), 1))),  0.5, 0))</f>
        <v>0</v>
      </c>
      <c r="DN13" s="47">
        <f t="array" ref="DN13">IF(AND(ISNUMBER(MATCH(DN$2, AsistenciaJetAdminConcatenada!$A:$A, 0)), ISNUMBER(MATCH(DN$1, AsistenciaJetAdminConcatenada!$B:$B, 0)), ISNUMBER(SEARCH($A13,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ISNUMBER(SEARCH($A13, INDEX(AsistenciaJetAdminConcatenada!$D:$D, MATCH(1, (AsistenciaJetAdminConcatenada!$A:$A=DN$2)*(AsistenciaJetAdminConcatenada!$B:$B=DN$1), 0)), 1))),  0.5, 0))</f>
        <v>0</v>
      </c>
      <c r="DO13" s="47">
        <f t="array" ref="DO13">IF(AND(ISNUMBER(MATCH(DO$2, AsistenciaJetAdminConcatenada!$A:$A, 0)), ISNUMBER(MATCH(DO$1, AsistenciaJetAdminConcatenada!$B:$B, 0)), ISNUMBER(SEARCH($A13,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ISNUMBER(SEARCH($A13, INDEX(AsistenciaJetAdminConcatenada!$D:$D, MATCH(1, (AsistenciaJetAdminConcatenada!$A:$A=DO$2)*(AsistenciaJetAdminConcatenada!$B:$B=DO$1), 0)), 1))),  0.5, 0))</f>
        <v>0</v>
      </c>
      <c r="DP13" s="47">
        <f t="array" ref="DP13">IF(AND(ISNUMBER(MATCH(DP$2, AsistenciaJetAdminConcatenada!$A:$A, 0)), ISNUMBER(MATCH(DP$1, AsistenciaJetAdminConcatenada!$B:$B, 0)), ISNUMBER(SEARCH($A13,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ISNUMBER(SEARCH($A13, INDEX(AsistenciaJetAdminConcatenada!$D:$D, MATCH(1, (AsistenciaJetAdminConcatenada!$A:$A=DP$2)*(AsistenciaJetAdminConcatenada!$B:$B=DP$1), 0)), 1))),  0.5, 0))</f>
        <v>0</v>
      </c>
      <c r="DQ13" s="47">
        <f t="array" ref="DQ13">IF(AND(ISNUMBER(MATCH(DQ$2, AsistenciaJetAdminConcatenada!$A:$A, 0)), ISNUMBER(MATCH(DQ$1, AsistenciaJetAdminConcatenada!$B:$B, 0)), ISNUMBER(SEARCH($A13,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ISNUMBER(SEARCH($A13, INDEX(AsistenciaJetAdminConcatenada!$D:$D, MATCH(1, (AsistenciaJetAdminConcatenada!$A:$A=DQ$2)*(AsistenciaJetAdminConcatenada!$B:$B=DQ$1), 0)), 1))),  0.5, 0))</f>
        <v>0</v>
      </c>
      <c r="DR13" s="47">
        <f t="array" ref="DR13">IF(AND(ISNUMBER(MATCH(DR$2, AsistenciaJetAdminConcatenada!$A:$A, 0)), ISNUMBER(MATCH(DR$1, AsistenciaJetAdminConcatenada!$B:$B, 0)), ISNUMBER(SEARCH($A13,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ISNUMBER(SEARCH($A13, INDEX(AsistenciaJetAdminConcatenada!$D:$D, MATCH(1, (AsistenciaJetAdminConcatenada!$A:$A=DR$2)*(AsistenciaJetAdminConcatenada!$B:$B=DR$1), 0)), 1))),  0.5, 0))</f>
        <v>0</v>
      </c>
      <c r="DS13" s="47">
        <f t="array" ref="DS13">IF(AND(ISNUMBER(MATCH(DS$2, AsistenciaJetAdminConcatenada!$A:$A, 0)), ISNUMBER(MATCH(DS$1, AsistenciaJetAdminConcatenada!$B:$B, 0)), ISNUMBER(SEARCH($A13,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ISNUMBER(SEARCH($A13, INDEX(AsistenciaJetAdminConcatenada!$D:$D, MATCH(1, (AsistenciaJetAdminConcatenada!$A:$A=DS$2)*(AsistenciaJetAdminConcatenada!$B:$B=DS$1), 0)), 1))),  0.5, 0))</f>
        <v>0</v>
      </c>
      <c r="DT13" s="47">
        <f t="array" ref="DT13">IF(AND(ISNUMBER(MATCH(DT$2, AsistenciaJetAdminConcatenada!$A:$A, 0)), ISNUMBER(MATCH(DT$1, AsistenciaJetAdminConcatenada!$B:$B, 0)), ISNUMBER(SEARCH($A13,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ISNUMBER(SEARCH($A13, INDEX(AsistenciaJetAdminConcatenada!$D:$D, MATCH(1, (AsistenciaJetAdminConcatenada!$A:$A=DT$2)*(AsistenciaJetAdminConcatenada!$B:$B=DT$1), 0)), 1))),  0.5, 0))</f>
        <v>0</v>
      </c>
      <c r="DU13" s="47">
        <f t="array" ref="DU13">IF(AND(ISNUMBER(MATCH(DU$2, AsistenciaJetAdminConcatenada!$A:$A, 0)), ISNUMBER(MATCH(DU$1, AsistenciaJetAdminConcatenada!$B:$B, 0)), ISNUMBER(SEARCH($A13,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ISNUMBER(SEARCH($A13, INDEX(AsistenciaJetAdminConcatenada!$D:$D, MATCH(1, (AsistenciaJetAdminConcatenada!$A:$A=DU$2)*(AsistenciaJetAdminConcatenada!$B:$B=DU$1), 0)), 1))),  0.5, 0))</f>
        <v>0</v>
      </c>
      <c r="DV13" s="47">
        <f t="array" ref="DV13">IF(AND(ISNUMBER(MATCH(DV$2, AsistenciaJetAdminConcatenada!$A:$A, 0)), ISNUMBER(MATCH(DV$1, AsistenciaJetAdminConcatenada!$B:$B, 0)), ISNUMBER(SEARCH($A13,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ISNUMBER(SEARCH($A13, INDEX(AsistenciaJetAdminConcatenada!$D:$D, MATCH(1, (AsistenciaJetAdminConcatenada!$A:$A=DV$2)*(AsistenciaJetAdminConcatenada!$B:$B=DV$1), 0)), 1))),  0.5, 0))</f>
        <v>0</v>
      </c>
      <c r="DW13" s="47">
        <f t="array" ref="DW13">IF(AND(ISNUMBER(MATCH(DW$2, AsistenciaJetAdminConcatenada!$A:$A, 0)), ISNUMBER(MATCH(DW$1, AsistenciaJetAdminConcatenada!$B:$B, 0)), ISNUMBER(SEARCH($A13,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ISNUMBER(SEARCH($A13, INDEX(AsistenciaJetAdminConcatenada!$D:$D, MATCH(1, (AsistenciaJetAdminConcatenada!$A:$A=DW$2)*(AsistenciaJetAdminConcatenada!$B:$B=DW$1), 0)), 1))),  0.5, 0))</f>
        <v>0</v>
      </c>
      <c r="DX13" s="47">
        <f t="array" ref="DX13">IF(AND(ISNUMBER(MATCH(DX$2, AsistenciaJetAdminConcatenada!$A:$A, 0)), ISNUMBER(MATCH(DX$1, AsistenciaJetAdminConcatenada!$B:$B, 0)), ISNUMBER(SEARCH($A13,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ISNUMBER(SEARCH($A13, INDEX(AsistenciaJetAdminConcatenada!$D:$D, MATCH(1, (AsistenciaJetAdminConcatenada!$A:$A=DX$2)*(AsistenciaJetAdminConcatenada!$B:$B=DX$1), 0)), 1))),  0.5, 0))</f>
        <v>0</v>
      </c>
      <c r="DY13" s="47">
        <f t="array" ref="DY13">IF(AND(ISNUMBER(MATCH(DY$2, AsistenciaJetAdminConcatenada!$A:$A, 0)), ISNUMBER(MATCH(DY$1, AsistenciaJetAdminConcatenada!$B:$B, 0)), ISNUMBER(SEARCH($A13,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ISNUMBER(SEARCH($A13, INDEX(AsistenciaJetAdminConcatenada!$D:$D, MATCH(1, (AsistenciaJetAdminConcatenada!$A:$A=DY$2)*(AsistenciaJetAdminConcatenada!$B:$B=DY$1), 0)), 1))),  0.5, 0))</f>
        <v>0</v>
      </c>
      <c r="DZ13" s="47">
        <f t="array" ref="DZ13">IF(AND(ISNUMBER(MATCH(DZ$2, AsistenciaJetAdminConcatenada!$A:$A, 0)), ISNUMBER(MATCH(DZ$1, AsistenciaJetAdminConcatenada!$B:$B, 0)), ISNUMBER(SEARCH($A13,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ISNUMBER(SEARCH($A13, INDEX(AsistenciaJetAdminConcatenada!$D:$D, MATCH(1, (AsistenciaJetAdminConcatenada!$A:$A=DZ$2)*(AsistenciaJetAdminConcatenada!$B:$B=DZ$1), 0)), 1))),  0.5, 0))</f>
        <v>0</v>
      </c>
      <c r="EA13" s="47">
        <f t="array" ref="EA13">IF(AND(ISNUMBER(MATCH(EA$2, AsistenciaJetAdminConcatenada!$A:$A, 0)), ISNUMBER(MATCH(EA$1, AsistenciaJetAdminConcatenada!$B:$B, 0)), ISNUMBER(SEARCH($A13,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ISNUMBER(SEARCH($A13, INDEX(AsistenciaJetAdminConcatenada!$D:$D, MATCH(1, (AsistenciaJetAdminConcatenada!$A:$A=EA$2)*(AsistenciaJetAdminConcatenada!$B:$B=EA$1), 0)), 1))),  0.5, 0))</f>
        <v>0</v>
      </c>
      <c r="EB13" s="47">
        <f t="array" ref="EB13">IF(AND(ISNUMBER(MATCH(EB$2, AsistenciaJetAdminConcatenada!$A:$A, 0)), ISNUMBER(MATCH(EB$1, AsistenciaJetAdminConcatenada!$B:$B, 0)), ISNUMBER(SEARCH($A13,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ISNUMBER(SEARCH($A13, INDEX(AsistenciaJetAdminConcatenada!$D:$D, MATCH(1, (AsistenciaJetAdminConcatenada!$A:$A=EB$2)*(AsistenciaJetAdminConcatenada!$B:$B=EB$1), 0)), 1))),  0.5, 0))</f>
        <v>0</v>
      </c>
      <c r="EC13" s="47">
        <f t="array" ref="EC13">IF(AND(ISNUMBER(MATCH(EC$2, AsistenciaJetAdminConcatenada!$A:$A, 0)), ISNUMBER(MATCH(EC$1, AsistenciaJetAdminConcatenada!$B:$B, 0)), ISNUMBER(SEARCH($A13,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ISNUMBER(SEARCH($A13, INDEX(AsistenciaJetAdminConcatenada!$D:$D, MATCH(1, (AsistenciaJetAdminConcatenada!$A:$A=EC$2)*(AsistenciaJetAdminConcatenada!$B:$B=EC$1), 0)), 1))),  0.5, 0))</f>
        <v>0</v>
      </c>
      <c r="ED13" s="47">
        <f t="array" ref="ED13">IF(AND(ISNUMBER(MATCH(ED$2, AsistenciaJetAdminConcatenada!$A:$A, 0)), ISNUMBER(MATCH(ED$1, AsistenciaJetAdminConcatenada!$B:$B, 0)), ISNUMBER(SEARCH($A13,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ISNUMBER(SEARCH($A13, INDEX(AsistenciaJetAdminConcatenada!$D:$D, MATCH(1, (AsistenciaJetAdminConcatenada!$A:$A=ED$2)*(AsistenciaJetAdminConcatenada!$B:$B=ED$1), 0)), 1))),  0.5, 0))</f>
        <v>0</v>
      </c>
      <c r="EE13" s="47">
        <f t="array" ref="EE13">IF(AND(ISNUMBER(MATCH(EE$2, AsistenciaJetAdminConcatenada!$A:$A, 0)), ISNUMBER(MATCH(EE$1, AsistenciaJetAdminConcatenada!$B:$B, 0)), ISNUMBER(SEARCH($A13,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ISNUMBER(SEARCH($A13, INDEX(AsistenciaJetAdminConcatenada!$D:$D, MATCH(1, (AsistenciaJetAdminConcatenada!$A:$A=EE$2)*(AsistenciaJetAdminConcatenada!$B:$B=EE$1), 0)), 1))),  0.5, 0))</f>
        <v>0</v>
      </c>
      <c r="EF13" s="47">
        <f t="array" ref="EF13">IF(AND(ISNUMBER(MATCH(EF$2, AsistenciaJetAdminConcatenada!$A:$A, 0)), ISNUMBER(MATCH(EF$1, AsistenciaJetAdminConcatenada!$B:$B, 0)), ISNUMBER(SEARCH($A13,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ISNUMBER(SEARCH($A13, INDEX(AsistenciaJetAdminConcatenada!$D:$D, MATCH(1, (AsistenciaJetAdminConcatenada!$A:$A=EF$2)*(AsistenciaJetAdminConcatenada!$B:$B=EF$1), 0)), 1))),  0.5, 0))</f>
        <v>0</v>
      </c>
      <c r="EG13" s="47">
        <f t="array" ref="EG13">IF(AND(ISNUMBER(MATCH(EG$2, AsistenciaJetAdminConcatenada!$A:$A, 0)), ISNUMBER(MATCH(EG$1, AsistenciaJetAdminConcatenada!$B:$B, 0)), ISNUMBER(SEARCH($A13,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ISNUMBER(SEARCH($A13, INDEX(AsistenciaJetAdminConcatenada!$D:$D, MATCH(1, (AsistenciaJetAdminConcatenada!$A:$A=EG$2)*(AsistenciaJetAdminConcatenada!$B:$B=EG$1), 0)), 1))),  0.5, 0))</f>
        <v>0</v>
      </c>
      <c r="EH13" s="47">
        <f t="array" ref="EH13">IF(AND(ISNUMBER(MATCH(EH$2, AsistenciaJetAdminConcatenada!$A:$A, 0)), ISNUMBER(MATCH(EH$1, AsistenciaJetAdminConcatenada!$B:$B, 0)), ISNUMBER(SEARCH($A13,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ISNUMBER(SEARCH($A13, INDEX(AsistenciaJetAdminConcatenada!$D:$D, MATCH(1, (AsistenciaJetAdminConcatenada!$A:$A=EH$2)*(AsistenciaJetAdminConcatenada!$B:$B=EH$1), 0)), 1))),  0.5, 0))</f>
        <v>0</v>
      </c>
      <c r="EI13" s="47">
        <f t="array" ref="EI13">IF(AND(ISNUMBER(MATCH(EI$2, AsistenciaJetAdminConcatenada!$A:$A, 0)), ISNUMBER(MATCH(EI$1, AsistenciaJetAdminConcatenada!$B:$B, 0)), ISNUMBER(SEARCH($A13,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ISNUMBER(SEARCH($A13, INDEX(AsistenciaJetAdminConcatenada!$D:$D, MATCH(1, (AsistenciaJetAdminConcatenada!$A:$A=EI$2)*(AsistenciaJetAdminConcatenada!$B:$B=EI$1), 0)), 1))),  0.5, 0))</f>
        <v>0</v>
      </c>
      <c r="EJ13" s="47">
        <f t="array" ref="EJ13">IF(AND(ISNUMBER(MATCH(EJ$2, AsistenciaJetAdminConcatenada!$A:$A, 0)), ISNUMBER(MATCH(EJ$1, AsistenciaJetAdminConcatenada!$B:$B, 0)), ISNUMBER(SEARCH($A13,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ISNUMBER(SEARCH($A13, INDEX(AsistenciaJetAdminConcatenada!$D:$D, MATCH(1, (AsistenciaJetAdminConcatenada!$A:$A=EJ$2)*(AsistenciaJetAdminConcatenada!$B:$B=EJ$1), 0)), 1))),  0.5, 0))</f>
        <v>0</v>
      </c>
      <c r="EK13" s="47">
        <f t="array" ref="EK13">IF(AND(ISNUMBER(MATCH(EK$2, AsistenciaJetAdminConcatenada!$A:$A, 0)), ISNUMBER(MATCH(EK$1, AsistenciaJetAdminConcatenada!$B:$B, 0)), ISNUMBER(SEARCH($A13,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ISNUMBER(SEARCH($A13, INDEX(AsistenciaJetAdminConcatenada!$D:$D, MATCH(1, (AsistenciaJetAdminConcatenada!$A:$A=EK$2)*(AsistenciaJetAdminConcatenada!$B:$B=EK$1), 0)), 1))),  0.5, 0))</f>
        <v>0</v>
      </c>
      <c r="EL13" s="47">
        <f t="array" ref="EL13">IF(AND(ISNUMBER(MATCH(EL$2, AsistenciaJetAdminConcatenada!$A:$A, 0)), ISNUMBER(MATCH(EL$1, AsistenciaJetAdminConcatenada!$B:$B, 0)), ISNUMBER(SEARCH($A13,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ISNUMBER(SEARCH($A13, INDEX(AsistenciaJetAdminConcatenada!$D:$D, MATCH(1, (AsistenciaJetAdminConcatenada!$A:$A=EL$2)*(AsistenciaJetAdminConcatenada!$B:$B=EL$1), 0)), 1))),  0.5, 0))</f>
        <v>0</v>
      </c>
      <c r="EM13" s="47">
        <f t="array" ref="EM13">IF(AND(ISNUMBER(MATCH(EM$2, AsistenciaJetAdminConcatenada!$A:$A, 0)), ISNUMBER(MATCH(EM$1, AsistenciaJetAdminConcatenada!$B:$B, 0)), ISNUMBER(SEARCH($A13,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ISNUMBER(SEARCH($A13, INDEX(AsistenciaJetAdminConcatenada!$D:$D, MATCH(1, (AsistenciaJetAdminConcatenada!$A:$A=EM$2)*(AsistenciaJetAdminConcatenada!$B:$B=EM$1), 0)), 1))),  0.5, 0))</f>
        <v>0</v>
      </c>
      <c r="EN13" s="47">
        <f t="array" ref="EN13">IF(AND(ISNUMBER(MATCH(EN$2, AsistenciaJetAdminConcatenada!$A:$A, 0)), ISNUMBER(MATCH(EN$1, AsistenciaJetAdminConcatenada!$B:$B, 0)), ISNUMBER(SEARCH($A13,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ISNUMBER(SEARCH($A13, INDEX(AsistenciaJetAdminConcatenada!$D:$D, MATCH(1, (AsistenciaJetAdminConcatenada!$A:$A=EN$2)*(AsistenciaJetAdminConcatenada!$B:$B=EN$1), 0)), 1))),  0.5, 0))</f>
        <v>0</v>
      </c>
      <c r="EO13" s="47">
        <f t="array" ref="EO13">IF(AND(ISNUMBER(MATCH(EO$2, AsistenciaJetAdminConcatenada!$A:$A, 0)), ISNUMBER(MATCH(EO$1, AsistenciaJetAdminConcatenada!$B:$B, 0)), ISNUMBER(SEARCH($A13,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ISNUMBER(SEARCH($A13, INDEX(AsistenciaJetAdminConcatenada!$D:$D, MATCH(1, (AsistenciaJetAdminConcatenada!$A:$A=EO$2)*(AsistenciaJetAdminConcatenada!$B:$B=EO$1), 0)), 1))),  0.5, 0))</f>
        <v>0</v>
      </c>
      <c r="EP13" s="47">
        <f t="array" ref="EP13">IF(AND(ISNUMBER(MATCH(EP$2, AsistenciaJetAdminConcatenada!$A:$A, 0)), ISNUMBER(MATCH(EP$1, AsistenciaJetAdminConcatenada!$B:$B, 0)), ISNUMBER(SEARCH($A13,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ISNUMBER(SEARCH($A13, INDEX(AsistenciaJetAdminConcatenada!$D:$D, MATCH(1, (AsistenciaJetAdminConcatenada!$A:$A=EP$2)*(AsistenciaJetAdminConcatenada!$B:$B=EP$1), 0)), 1))),  0.5, 0))</f>
        <v>0</v>
      </c>
      <c r="EQ13" s="47">
        <f t="array" ref="EQ13">IF(AND(ISNUMBER(MATCH(EQ$2, AsistenciaJetAdminConcatenada!$A:$A, 0)), ISNUMBER(MATCH(EQ$1, AsistenciaJetAdminConcatenada!$B:$B, 0)), ISNUMBER(SEARCH($A13,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ISNUMBER(SEARCH($A13, INDEX(AsistenciaJetAdminConcatenada!$D:$D, MATCH(1, (AsistenciaJetAdminConcatenada!$A:$A=EQ$2)*(AsistenciaJetAdminConcatenada!$B:$B=EQ$1), 0)), 1))),  0.5, 0))</f>
        <v>0</v>
      </c>
      <c r="ER13" s="47">
        <f t="array" ref="ER13">IF(AND(ISNUMBER(MATCH(ER$2, AsistenciaJetAdminConcatenada!$A:$A, 0)), ISNUMBER(MATCH(ER$1, AsistenciaJetAdminConcatenada!$B:$B, 0)), ISNUMBER(SEARCH($A13,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ISNUMBER(SEARCH($A13, INDEX(AsistenciaJetAdminConcatenada!$D:$D, MATCH(1, (AsistenciaJetAdminConcatenada!$A:$A=ER$2)*(AsistenciaJetAdminConcatenada!$B:$B=ER$1), 0)), 1))),  0.5, 0))</f>
        <v>0</v>
      </c>
      <c r="ES13" s="47">
        <f t="array" ref="ES13">IF(AND(ISNUMBER(MATCH(ES$2, AsistenciaJetAdminConcatenada!$A:$A, 0)), ISNUMBER(MATCH(ES$1, AsistenciaJetAdminConcatenada!$B:$B, 0)), ISNUMBER(SEARCH($A13,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ISNUMBER(SEARCH($A13, INDEX(AsistenciaJetAdminConcatenada!$D:$D, MATCH(1, (AsistenciaJetAdminConcatenada!$A:$A=ES$2)*(AsistenciaJetAdminConcatenada!$B:$B=ES$1), 0)), 1))),  0.5, 0))</f>
        <v>0</v>
      </c>
      <c r="ET13" s="47">
        <f t="array" ref="ET13">IF(AND(ISNUMBER(MATCH(ET$2, AsistenciaJetAdminConcatenada!$A:$A, 0)), ISNUMBER(MATCH(ET$1, AsistenciaJetAdminConcatenada!$B:$B, 0)), ISNUMBER(SEARCH($A13,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ISNUMBER(SEARCH($A13, INDEX(AsistenciaJetAdminConcatenada!$D:$D, MATCH(1, (AsistenciaJetAdminConcatenada!$A:$A=ET$2)*(AsistenciaJetAdminConcatenada!$B:$B=ET$1), 0)), 1))),  0.5, 0))</f>
        <v>0</v>
      </c>
      <c r="EU13" s="47">
        <f t="array" ref="EU13">IF(AND(ISNUMBER(MATCH(EU$2, AsistenciaJetAdminConcatenada!$A:$A, 0)), ISNUMBER(MATCH(EU$1, AsistenciaJetAdminConcatenada!$B:$B, 0)), ISNUMBER(SEARCH($A13,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ISNUMBER(SEARCH($A13, INDEX(AsistenciaJetAdminConcatenada!$D:$D, MATCH(1, (AsistenciaJetAdminConcatenada!$A:$A=EU$2)*(AsistenciaJetAdminConcatenada!$B:$B=EU$1), 0)), 1))),  0.5, 0))</f>
        <v>0</v>
      </c>
      <c r="EV13" s="47">
        <f t="array" ref="EV13">IF(AND(ISNUMBER(MATCH(EV$2, AsistenciaJetAdminConcatenada!$A:$A, 0)), ISNUMBER(MATCH(EV$1, AsistenciaJetAdminConcatenada!$B:$B, 0)), ISNUMBER(SEARCH($A13,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ISNUMBER(SEARCH($A13, INDEX(AsistenciaJetAdminConcatenada!$D:$D, MATCH(1, (AsistenciaJetAdminConcatenada!$A:$A=EV$2)*(AsistenciaJetAdminConcatenada!$B:$B=EV$1), 0)), 1))),  0.5, 0))</f>
        <v>0</v>
      </c>
      <c r="EW13" s="47">
        <f t="array" ref="EW13">IF(AND(ISNUMBER(MATCH(EW$2, AsistenciaJetAdminConcatenada!$A:$A, 0)), ISNUMBER(MATCH(EW$1, AsistenciaJetAdminConcatenada!$B:$B, 0)), ISNUMBER(SEARCH($A13,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ISNUMBER(SEARCH($A13, INDEX(AsistenciaJetAdminConcatenada!$D:$D, MATCH(1, (AsistenciaJetAdminConcatenada!$A:$A=EW$2)*(AsistenciaJetAdminConcatenada!$B:$B=EW$1), 0)), 1))),  0.5, 0))</f>
        <v>0</v>
      </c>
      <c r="EX13" s="47">
        <f t="array" ref="EX13">IF(AND(ISNUMBER(MATCH(EX$2, AsistenciaJetAdminConcatenada!$A:$A, 0)), ISNUMBER(MATCH(EX$1, AsistenciaJetAdminConcatenada!$B:$B, 0)), ISNUMBER(SEARCH($A13,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ISNUMBER(SEARCH($A13, INDEX(AsistenciaJetAdminConcatenada!$D:$D, MATCH(1, (AsistenciaJetAdminConcatenada!$A:$A=EX$2)*(AsistenciaJetAdminConcatenada!$B:$B=EX$1), 0)), 1))),  0.5, 0))</f>
        <v>0</v>
      </c>
      <c r="EY13" s="47">
        <f t="array" ref="EY13">IF(AND(ISNUMBER(MATCH(EY$2, AsistenciaJetAdminConcatenada!$A:$A, 0)), ISNUMBER(MATCH(EY$1, AsistenciaJetAdminConcatenada!$B:$B, 0)), ISNUMBER(SEARCH($A13,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ISNUMBER(SEARCH($A13, INDEX(AsistenciaJetAdminConcatenada!$D:$D, MATCH(1, (AsistenciaJetAdminConcatenada!$A:$A=EY$2)*(AsistenciaJetAdminConcatenada!$B:$B=EY$1), 0)), 1))),  0.5, 0))</f>
        <v>0</v>
      </c>
      <c r="EZ13" s="47">
        <f t="array" ref="EZ13">IF(AND(ISNUMBER(MATCH(EZ$2, AsistenciaJetAdminConcatenada!$A:$A, 0)), ISNUMBER(MATCH(EZ$1, AsistenciaJetAdminConcatenada!$B:$B, 0)), ISNUMBER(SEARCH($A13,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ISNUMBER(SEARCH($A13, INDEX(AsistenciaJetAdminConcatenada!$D:$D, MATCH(1, (AsistenciaJetAdminConcatenada!$A:$A=EZ$2)*(AsistenciaJetAdminConcatenada!$B:$B=EZ$1), 0)), 1))),  0.5, 0))</f>
        <v>0</v>
      </c>
      <c r="FA13" s="47">
        <f t="array" ref="FA13">IF(AND(ISNUMBER(MATCH(FA$2, AsistenciaJetAdminConcatenada!$A:$A, 0)), ISNUMBER(MATCH(FA$1, AsistenciaJetAdminConcatenada!$B:$B, 0)), ISNUMBER(SEARCH($A13,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ISNUMBER(SEARCH($A13, INDEX(AsistenciaJetAdminConcatenada!$D:$D, MATCH(1, (AsistenciaJetAdminConcatenada!$A:$A=FA$2)*(AsistenciaJetAdminConcatenada!$B:$B=FA$1), 0)), 1))),  0.5, 0))</f>
        <v>0</v>
      </c>
      <c r="FB13" s="47">
        <f t="array" ref="FB13">IF(AND(ISNUMBER(MATCH(FB$2, AsistenciaJetAdminConcatenada!$A:$A, 0)), ISNUMBER(MATCH(FB$1, AsistenciaJetAdminConcatenada!$B:$B, 0)), ISNUMBER(SEARCH($A13,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ISNUMBER(SEARCH($A13, INDEX(AsistenciaJetAdminConcatenada!$D:$D, MATCH(1, (AsistenciaJetAdminConcatenada!$A:$A=FB$2)*(AsistenciaJetAdminConcatenada!$B:$B=FB$1), 0)), 1))),  0.5, 0))</f>
        <v>0</v>
      </c>
      <c r="FC13" s="47">
        <f t="array" ref="FC13">IF(AND(ISNUMBER(MATCH(FC$2, AsistenciaJetAdminConcatenada!$A:$A, 0)), ISNUMBER(MATCH(FC$1, AsistenciaJetAdminConcatenada!$B:$B, 0)), ISNUMBER(SEARCH($A13,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ISNUMBER(SEARCH($A13, INDEX(AsistenciaJetAdminConcatenada!$D:$D, MATCH(1, (AsistenciaJetAdminConcatenada!$A:$A=FC$2)*(AsistenciaJetAdminConcatenada!$B:$B=FC$1), 0)), 1))),  0.5, 0))</f>
        <v>0</v>
      </c>
      <c r="FD13" s="47">
        <f t="array" ref="FD13">IF(AND(ISNUMBER(MATCH(FD$2, AsistenciaJetAdminConcatenada!$A:$A, 0)), ISNUMBER(MATCH(FD$1, AsistenciaJetAdminConcatenada!$B:$B, 0)), ISNUMBER(SEARCH($A13,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ISNUMBER(SEARCH($A13, INDEX(AsistenciaJetAdminConcatenada!$D:$D, MATCH(1, (AsistenciaJetAdminConcatenada!$A:$A=FD$2)*(AsistenciaJetAdminConcatenada!$B:$B=FD$1), 0)), 1))),  0.5, 0))</f>
        <v>0</v>
      </c>
      <c r="FE13" s="47">
        <f t="array" ref="FE13">IF(AND(ISNUMBER(MATCH(FE$2, AsistenciaJetAdminConcatenada!$A:$A, 0)), ISNUMBER(MATCH(FE$1, AsistenciaJetAdminConcatenada!$B:$B, 0)), ISNUMBER(SEARCH($A13,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ISNUMBER(SEARCH($A13, INDEX(AsistenciaJetAdminConcatenada!$D:$D, MATCH(1, (AsistenciaJetAdminConcatenada!$A:$A=FE$2)*(AsistenciaJetAdminConcatenada!$B:$B=FE$1), 0)), 1))),  0.5, 0))</f>
        <v>0</v>
      </c>
      <c r="FF13" s="47">
        <f t="array" ref="FF13">IF(AND(ISNUMBER(MATCH(FF$2, AsistenciaJetAdminConcatenada!$A:$A, 0)), ISNUMBER(MATCH(FF$1, AsistenciaJetAdminConcatenada!$B:$B, 0)), ISNUMBER(SEARCH($A13,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ISNUMBER(SEARCH($A13, INDEX(AsistenciaJetAdminConcatenada!$D:$D, MATCH(1, (AsistenciaJetAdminConcatenada!$A:$A=FF$2)*(AsistenciaJetAdminConcatenada!$B:$B=FF$1), 0)), 1))),  0.5, 0))</f>
        <v>0</v>
      </c>
      <c r="FG13" s="47">
        <f t="array" ref="FG13">IF(AND(ISNUMBER(MATCH(FG$2, AsistenciaJetAdminConcatenada!$A:$A, 0)), ISNUMBER(MATCH(FG$1, AsistenciaJetAdminConcatenada!$B:$B, 0)), ISNUMBER(SEARCH($A13,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ISNUMBER(SEARCH($A13, INDEX(AsistenciaJetAdminConcatenada!$D:$D, MATCH(1, (AsistenciaJetAdminConcatenada!$A:$A=FG$2)*(AsistenciaJetAdminConcatenada!$B:$B=FG$1), 0)), 1))),  0.5, 0))</f>
        <v>0</v>
      </c>
      <c r="FH13" s="47">
        <f t="array" ref="FH13">IF(AND(ISNUMBER(MATCH(FH$2, AsistenciaJetAdminConcatenada!$A:$A, 0)), ISNUMBER(MATCH(FH$1, AsistenciaJetAdminConcatenada!$B:$B, 0)), ISNUMBER(SEARCH($A13,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ISNUMBER(SEARCH($A13, INDEX(AsistenciaJetAdminConcatenada!$D:$D, MATCH(1, (AsistenciaJetAdminConcatenada!$A:$A=FH$2)*(AsistenciaJetAdminConcatenada!$B:$B=FH$1), 0)), 1))),  0.5, 0))</f>
        <v>0</v>
      </c>
      <c r="FI13" s="47">
        <f t="array" ref="FI13">IF(AND(ISNUMBER(MATCH(FI$2, AsistenciaJetAdminConcatenada!$A:$A, 0)), ISNUMBER(MATCH(FI$1, AsistenciaJetAdminConcatenada!$B:$B, 0)), ISNUMBER(SEARCH($A13,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ISNUMBER(SEARCH($A13, INDEX(AsistenciaJetAdminConcatenada!$D:$D, MATCH(1, (AsistenciaJetAdminConcatenada!$A:$A=FI$2)*(AsistenciaJetAdminConcatenada!$B:$B=FI$1), 0)), 1))),  0.5, 0))</f>
        <v>0</v>
      </c>
      <c r="FJ13" s="47">
        <f t="array" ref="FJ13">IF(AND(ISNUMBER(MATCH(FJ$2, AsistenciaJetAdminConcatenada!$A:$A, 0)), ISNUMBER(MATCH(FJ$1, AsistenciaJetAdminConcatenada!$B:$B, 0)), ISNUMBER(SEARCH($A13,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ISNUMBER(SEARCH($A13, INDEX(AsistenciaJetAdminConcatenada!$D:$D, MATCH(1, (AsistenciaJetAdminConcatenada!$A:$A=FJ$2)*(AsistenciaJetAdminConcatenada!$B:$B=FJ$1), 0)), 1))),  0.5, 0))</f>
        <v>0</v>
      </c>
      <c r="FK13" s="47">
        <f t="array" ref="FK13">IF(AND(ISNUMBER(MATCH(FK$2, AsistenciaJetAdminConcatenada!$A:$A, 0)), ISNUMBER(MATCH(FK$1, AsistenciaJetAdminConcatenada!$B:$B, 0)), ISNUMBER(SEARCH($A13,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ISNUMBER(SEARCH($A13, INDEX(AsistenciaJetAdminConcatenada!$D:$D, MATCH(1, (AsistenciaJetAdminConcatenada!$A:$A=FK$2)*(AsistenciaJetAdminConcatenada!$B:$B=FK$1), 0)), 1))),  0.5, 0))</f>
        <v>0</v>
      </c>
      <c r="FL13" s="47">
        <f t="array" ref="FL13">IF(AND(ISNUMBER(MATCH(FL$2, AsistenciaJetAdminConcatenada!$A:$A, 0)), ISNUMBER(MATCH(FL$1, AsistenciaJetAdminConcatenada!$B:$B, 0)), ISNUMBER(SEARCH($A13,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ISNUMBER(SEARCH($A13, INDEX(AsistenciaJetAdminConcatenada!$D:$D, MATCH(1, (AsistenciaJetAdminConcatenada!$A:$A=FL$2)*(AsistenciaJetAdminConcatenada!$B:$B=FL$1), 0)), 1))),  0.5, 0))</f>
        <v>0</v>
      </c>
      <c r="FM13" s="47">
        <f t="array" ref="FM13">IF(AND(ISNUMBER(MATCH(FM$2, AsistenciaJetAdminConcatenada!$A:$A, 0)), ISNUMBER(MATCH(FM$1, AsistenciaJetAdminConcatenada!$B:$B, 0)), ISNUMBER(SEARCH($A13,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ISNUMBER(SEARCH($A13, INDEX(AsistenciaJetAdminConcatenada!$D:$D, MATCH(1, (AsistenciaJetAdminConcatenada!$A:$A=FM$2)*(AsistenciaJetAdminConcatenada!$B:$B=FM$1), 0)), 1))),  0.5, 0))</f>
        <v>0</v>
      </c>
      <c r="FN13" s="47">
        <f t="array" ref="FN13">IF(AND(ISNUMBER(MATCH(FN$2, AsistenciaJetAdminConcatenada!$A:$A, 0)), ISNUMBER(MATCH(FN$1, AsistenciaJetAdminConcatenada!$B:$B, 0)), ISNUMBER(SEARCH($A13,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ISNUMBER(SEARCH($A13, INDEX(AsistenciaJetAdminConcatenada!$D:$D, MATCH(1, (AsistenciaJetAdminConcatenada!$A:$A=FN$2)*(AsistenciaJetAdminConcatenada!$B:$B=FN$1), 0)), 1))),  0.5, 0))</f>
        <v>0</v>
      </c>
      <c r="FO13" s="47">
        <f t="array" ref="FO13">IF(AND(ISNUMBER(MATCH(FO$2, AsistenciaJetAdminConcatenada!$A:$A, 0)), ISNUMBER(MATCH(FO$1, AsistenciaJetAdminConcatenada!$B:$B, 0)), ISNUMBER(SEARCH($A13,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ISNUMBER(SEARCH($A13, INDEX(AsistenciaJetAdminConcatenada!$D:$D, MATCH(1, (AsistenciaJetAdminConcatenada!$A:$A=FO$2)*(AsistenciaJetAdminConcatenada!$B:$B=FO$1), 0)), 1))),  0.5, 0))</f>
        <v>0</v>
      </c>
      <c r="FP13" s="47">
        <f t="array" ref="FP13">IF(AND(ISNUMBER(MATCH(FP$2, AsistenciaJetAdminConcatenada!$A:$A, 0)), ISNUMBER(MATCH(FP$1, AsistenciaJetAdminConcatenada!$B:$B, 0)), ISNUMBER(SEARCH($A13,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ISNUMBER(SEARCH($A13, INDEX(AsistenciaJetAdminConcatenada!$D:$D, MATCH(1, (AsistenciaJetAdminConcatenada!$A:$A=FP$2)*(AsistenciaJetAdminConcatenada!$B:$B=FP$1), 0)), 1))),  0.5, 0))</f>
        <v>0</v>
      </c>
      <c r="FQ13" s="47">
        <f t="array" ref="FQ13">IF(AND(ISNUMBER(MATCH(FQ$2, AsistenciaJetAdminConcatenada!$A:$A, 0)), ISNUMBER(MATCH(FQ$1, AsistenciaJetAdminConcatenada!$B:$B, 0)), ISNUMBER(SEARCH($A13,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ISNUMBER(SEARCH($A13, INDEX(AsistenciaJetAdminConcatenada!$D:$D, MATCH(1, (AsistenciaJetAdminConcatenada!$A:$A=FQ$2)*(AsistenciaJetAdminConcatenada!$B:$B=FQ$1), 0)), 1))),  0.5, 0))</f>
        <v>0</v>
      </c>
      <c r="FR13" s="47">
        <f t="array" ref="FR13">IF(AND(ISNUMBER(MATCH(FR$2, AsistenciaJetAdminConcatenada!$A:$A, 0)), ISNUMBER(MATCH(FR$1, AsistenciaJetAdminConcatenada!$B:$B, 0)), ISNUMBER(SEARCH($A13,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ISNUMBER(SEARCH($A13, INDEX(AsistenciaJetAdminConcatenada!$D:$D, MATCH(1, (AsistenciaJetAdminConcatenada!$A:$A=FR$2)*(AsistenciaJetAdminConcatenada!$B:$B=FR$1), 0)), 1))),  0.5, 0))</f>
        <v>0</v>
      </c>
      <c r="FS13" s="47">
        <f t="array" ref="FS13">IF(AND(ISNUMBER(MATCH(FS$2, AsistenciaJetAdminConcatenada!$A:$A, 0)), ISNUMBER(MATCH(FS$1, AsistenciaJetAdminConcatenada!$B:$B, 0)), ISNUMBER(SEARCH($A13,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ISNUMBER(SEARCH($A13, INDEX(AsistenciaJetAdminConcatenada!$D:$D, MATCH(1, (AsistenciaJetAdminConcatenada!$A:$A=FS$2)*(AsistenciaJetAdminConcatenada!$B:$B=FS$1), 0)), 1))),  0.5, 0))</f>
        <v>0</v>
      </c>
      <c r="FT13" s="47">
        <f t="array" ref="FT13">IF(AND(ISNUMBER(MATCH(FT$2, AsistenciaJetAdminConcatenada!$A:$A, 0)), ISNUMBER(MATCH(FT$1, AsistenciaJetAdminConcatenada!$B:$B, 0)), ISNUMBER(SEARCH($A13,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ISNUMBER(SEARCH($A13, INDEX(AsistenciaJetAdminConcatenada!$D:$D, MATCH(1, (AsistenciaJetAdminConcatenada!$A:$A=FT$2)*(AsistenciaJetAdminConcatenada!$B:$B=FT$1), 0)), 1))),  0.5, 0))</f>
        <v>0</v>
      </c>
      <c r="FU13" s="47">
        <f t="array" ref="FU13">IF(AND(ISNUMBER(MATCH(FU$2, AsistenciaJetAdminConcatenada!$A:$A, 0)), ISNUMBER(MATCH(FU$1, AsistenciaJetAdminConcatenada!$B:$B, 0)), ISNUMBER(SEARCH($A13,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ISNUMBER(SEARCH($A13, INDEX(AsistenciaJetAdminConcatenada!$D:$D, MATCH(1, (AsistenciaJetAdminConcatenada!$A:$A=FU$2)*(AsistenciaJetAdminConcatenada!$B:$B=FU$1), 0)), 1))),  0.5, 0))</f>
        <v>0</v>
      </c>
      <c r="FV13" s="47">
        <f t="array" ref="FV13">IF(AND(ISNUMBER(MATCH(FV$2, AsistenciaJetAdminConcatenada!$A:$A, 0)), ISNUMBER(MATCH(FV$1, AsistenciaJetAdminConcatenada!$B:$B, 0)), ISNUMBER(SEARCH($A13,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ISNUMBER(SEARCH($A13, INDEX(AsistenciaJetAdminConcatenada!$D:$D, MATCH(1, (AsistenciaJetAdminConcatenada!$A:$A=FV$2)*(AsistenciaJetAdminConcatenada!$B:$B=FV$1), 0)), 1))),  0.5, 0))</f>
        <v>0</v>
      </c>
      <c r="FW13" s="47">
        <f t="array" ref="FW13">IF(AND(ISNUMBER(MATCH(FW$2, AsistenciaJetAdminConcatenada!$A:$A, 0)), ISNUMBER(MATCH(FW$1, AsistenciaJetAdminConcatenada!$B:$B, 0)), ISNUMBER(SEARCH($A13,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ISNUMBER(SEARCH($A13, INDEX(AsistenciaJetAdminConcatenada!$D:$D, MATCH(1, (AsistenciaJetAdminConcatenada!$A:$A=FW$2)*(AsistenciaJetAdminConcatenada!$B:$B=FW$1), 0)), 1))),  0.5, 0))</f>
        <v>0</v>
      </c>
      <c r="FX13" s="47">
        <f t="array" ref="FX13">IF(AND(ISNUMBER(MATCH(FX$2, AsistenciaJetAdminConcatenada!$A:$A, 0)), ISNUMBER(MATCH(FX$1, AsistenciaJetAdminConcatenada!$B:$B, 0)), ISNUMBER(SEARCH($A13,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ISNUMBER(SEARCH($A13, INDEX(AsistenciaJetAdminConcatenada!$D:$D, MATCH(1, (AsistenciaJetAdminConcatenada!$A:$A=FX$2)*(AsistenciaJetAdminConcatenada!$B:$B=FX$1), 0)), 1))),  0.5, 0))</f>
        <v>0</v>
      </c>
      <c r="FY13" s="47">
        <f t="array" ref="FY13">IF(AND(ISNUMBER(MATCH(FY$2, AsistenciaJetAdminConcatenada!$A:$A, 0)), ISNUMBER(MATCH(FY$1, AsistenciaJetAdminConcatenada!$B:$B, 0)), ISNUMBER(SEARCH($A13,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ISNUMBER(SEARCH($A13, INDEX(AsistenciaJetAdminConcatenada!$D:$D, MATCH(1, (AsistenciaJetAdminConcatenada!$A:$A=FY$2)*(AsistenciaJetAdminConcatenada!$B:$B=FY$1), 0)), 1))),  0.5, 0))</f>
        <v>0</v>
      </c>
      <c r="FZ13" s="47">
        <f t="array" ref="FZ13">IF(AND(ISNUMBER(MATCH(FZ$2, AsistenciaJetAdminConcatenada!$A:$A, 0)), ISNUMBER(MATCH(FZ$1, AsistenciaJetAdminConcatenada!$B:$B, 0)), ISNUMBER(SEARCH($A13,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ISNUMBER(SEARCH($A13, INDEX(AsistenciaJetAdminConcatenada!$D:$D, MATCH(1, (AsistenciaJetAdminConcatenada!$A:$A=FZ$2)*(AsistenciaJetAdminConcatenada!$B:$B=FZ$1), 0)), 1))),  0.5, 0))</f>
        <v>0</v>
      </c>
      <c r="GA13" s="47">
        <f t="array" ref="GA13">IF(AND(ISNUMBER(MATCH(GA$2, AsistenciaJetAdminConcatenada!$A:$A, 0)), ISNUMBER(MATCH(GA$1, AsistenciaJetAdminConcatenada!$B:$B, 0)), ISNUMBER(SEARCH($A13,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ISNUMBER(SEARCH($A13, INDEX(AsistenciaJetAdminConcatenada!$D:$D, MATCH(1, (AsistenciaJetAdminConcatenada!$A:$A=GA$2)*(AsistenciaJetAdminConcatenada!$B:$B=GA$1), 0)), 1))),  0.5, 0))</f>
        <v>0</v>
      </c>
      <c r="GB13" s="47">
        <f t="array" ref="GB13">IF(AND(ISNUMBER(MATCH(GB$2, AsistenciaJetAdminConcatenada!$A:$A, 0)), ISNUMBER(MATCH(GB$1, AsistenciaJetAdminConcatenada!$B:$B, 0)), ISNUMBER(SEARCH($A13,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ISNUMBER(SEARCH($A13, INDEX(AsistenciaJetAdminConcatenada!$D:$D, MATCH(1, (AsistenciaJetAdminConcatenada!$A:$A=GB$2)*(AsistenciaJetAdminConcatenada!$B:$B=GB$1), 0)), 1))),  0.5, 0))</f>
        <v>0</v>
      </c>
      <c r="GC13" s="47">
        <f t="array" ref="GC13">IF(AND(ISNUMBER(MATCH(GC$2, AsistenciaJetAdminConcatenada!$A:$A, 0)), ISNUMBER(MATCH(GC$1, AsistenciaJetAdminConcatenada!$B:$B, 0)), ISNUMBER(SEARCH($A13,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ISNUMBER(SEARCH($A13, INDEX(AsistenciaJetAdminConcatenada!$D:$D, MATCH(1, (AsistenciaJetAdminConcatenada!$A:$A=GC$2)*(AsistenciaJetAdminConcatenada!$B:$B=GC$1), 0)), 1))),  0.5, 0))</f>
        <v>0</v>
      </c>
      <c r="GD13" s="47">
        <f t="array" ref="GD13">IF(AND(ISNUMBER(MATCH(GD$2, AsistenciaJetAdminConcatenada!$A:$A, 0)), ISNUMBER(MATCH(GD$1, AsistenciaJetAdminConcatenada!$B:$B, 0)), ISNUMBER(SEARCH($A13,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ISNUMBER(SEARCH($A13, INDEX(AsistenciaJetAdminConcatenada!$D:$D, MATCH(1, (AsistenciaJetAdminConcatenada!$A:$A=GD$2)*(AsistenciaJetAdminConcatenada!$B:$B=GD$1), 0)), 1))),  0.5, 0))</f>
        <v>0</v>
      </c>
      <c r="GE13" s="47">
        <f t="array" ref="GE13">IF(AND(ISNUMBER(MATCH(GE$2, AsistenciaJetAdminConcatenada!$A:$A, 0)), ISNUMBER(MATCH(GE$1, AsistenciaJetAdminConcatenada!$B:$B, 0)), ISNUMBER(SEARCH($A13,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ISNUMBER(SEARCH($A13, INDEX(AsistenciaJetAdminConcatenada!$D:$D, MATCH(1, (AsistenciaJetAdminConcatenada!$A:$A=GE$2)*(AsistenciaJetAdminConcatenada!$B:$B=GE$1), 0)), 1))),  0.5, 0))</f>
        <v>0</v>
      </c>
      <c r="GF13" s="47">
        <f t="array" ref="GF13">IF(AND(ISNUMBER(MATCH(GF$2, AsistenciaJetAdminConcatenada!$A:$A, 0)), ISNUMBER(MATCH(GF$1, AsistenciaJetAdminConcatenada!$B:$B, 0)), ISNUMBER(SEARCH($A13,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ISNUMBER(SEARCH($A13, INDEX(AsistenciaJetAdminConcatenada!$D:$D, MATCH(1, (AsistenciaJetAdminConcatenada!$A:$A=GF$2)*(AsistenciaJetAdminConcatenada!$B:$B=GF$1), 0)), 1))),  0.5, 0))</f>
        <v>0</v>
      </c>
      <c r="GG13" s="47">
        <f t="array" ref="GG13">IF(AND(ISNUMBER(MATCH(GG$2, AsistenciaJetAdminConcatenada!$A:$A, 0)), ISNUMBER(MATCH(GG$1, AsistenciaJetAdminConcatenada!$B:$B, 0)), ISNUMBER(SEARCH($A13,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ISNUMBER(SEARCH($A13, INDEX(AsistenciaJetAdminConcatenada!$D:$D, MATCH(1, (AsistenciaJetAdminConcatenada!$A:$A=GG$2)*(AsistenciaJetAdminConcatenada!$B:$B=GG$1), 0)), 1))),  0.5, 0))</f>
        <v>0</v>
      </c>
      <c r="GH13" s="47">
        <f t="array" ref="GH13">IF(AND(ISNUMBER(MATCH(GH$2, AsistenciaJetAdminConcatenada!$A:$A, 0)), ISNUMBER(MATCH(GH$1, AsistenciaJetAdminConcatenada!$B:$B, 0)), ISNUMBER(SEARCH($A13,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ISNUMBER(SEARCH($A13, INDEX(AsistenciaJetAdminConcatenada!$D:$D, MATCH(1, (AsistenciaJetAdminConcatenada!$A:$A=GH$2)*(AsistenciaJetAdminConcatenada!$B:$B=GH$1), 0)), 1))),  0.5, 0))</f>
        <v>0</v>
      </c>
      <c r="GI13" s="47">
        <f t="array" ref="GI13">IF(AND(ISNUMBER(MATCH(GI$2, AsistenciaJetAdminConcatenada!$A:$A, 0)), ISNUMBER(MATCH(GI$1, AsistenciaJetAdminConcatenada!$B:$B, 0)), ISNUMBER(SEARCH($A13,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ISNUMBER(SEARCH($A13, INDEX(AsistenciaJetAdminConcatenada!$D:$D, MATCH(1, (AsistenciaJetAdminConcatenada!$A:$A=GI$2)*(AsistenciaJetAdminConcatenada!$B:$B=GI$1), 0)), 1))),  0.5, 0))</f>
        <v>0</v>
      </c>
      <c r="GJ13" s="47">
        <f t="array" ref="GJ13">IF(AND(ISNUMBER(MATCH(GJ$2, AsistenciaJetAdminConcatenada!$A:$A, 0)), ISNUMBER(MATCH(GJ$1, AsistenciaJetAdminConcatenada!$B:$B, 0)), ISNUMBER(SEARCH($A13,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ISNUMBER(SEARCH($A13, INDEX(AsistenciaJetAdminConcatenada!$D:$D, MATCH(1, (AsistenciaJetAdminConcatenada!$A:$A=GJ$2)*(AsistenciaJetAdminConcatenada!$B:$B=GJ$1), 0)), 1))),  0.5, 0))</f>
        <v>0</v>
      </c>
      <c r="GK13" s="47">
        <f t="array" ref="GK13">IF(AND(ISNUMBER(MATCH(GK$2, AsistenciaJetAdminConcatenada!$A:$A, 0)), ISNUMBER(MATCH(GK$1, AsistenciaJetAdminConcatenada!$B:$B, 0)), ISNUMBER(SEARCH($A13,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ISNUMBER(SEARCH($A13, INDEX(AsistenciaJetAdminConcatenada!$D:$D, MATCH(1, (AsistenciaJetAdminConcatenada!$A:$A=GK$2)*(AsistenciaJetAdminConcatenada!$B:$B=GK$1), 0)), 1))),  0.5, 0))</f>
        <v>0</v>
      </c>
      <c r="GL13" s="47">
        <f t="array" ref="GL13">IF(AND(ISNUMBER(MATCH(GL$2, AsistenciaJetAdminConcatenada!$A:$A, 0)), ISNUMBER(MATCH(GL$1, AsistenciaJetAdminConcatenada!$B:$B, 0)), ISNUMBER(SEARCH($A13,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ISNUMBER(SEARCH($A13, INDEX(AsistenciaJetAdminConcatenada!$D:$D, MATCH(1, (AsistenciaJetAdminConcatenada!$A:$A=GL$2)*(AsistenciaJetAdminConcatenada!$B:$B=GL$1), 0)), 1))),  0.5, 0))</f>
        <v>0</v>
      </c>
      <c r="GM13" s="47">
        <f t="array" ref="GM13">IF(AND(ISNUMBER(MATCH(GM$2, AsistenciaJetAdminConcatenada!$A:$A, 0)), ISNUMBER(MATCH(GM$1, AsistenciaJetAdminConcatenada!$B:$B, 0)), ISNUMBER(SEARCH($A13,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ISNUMBER(SEARCH($A13, INDEX(AsistenciaJetAdminConcatenada!$D:$D, MATCH(1, (AsistenciaJetAdminConcatenada!$A:$A=GM$2)*(AsistenciaJetAdminConcatenada!$B:$B=GM$1), 0)), 1))),  0.5, 0))</f>
        <v>0</v>
      </c>
      <c r="GN13" s="47">
        <f t="array" ref="GN13">IF(AND(ISNUMBER(MATCH(GN$2, AsistenciaJetAdminConcatenada!$A:$A, 0)), ISNUMBER(MATCH(GN$1, AsistenciaJetAdminConcatenada!$B:$B, 0)), ISNUMBER(SEARCH($A13,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ISNUMBER(SEARCH($A13, INDEX(AsistenciaJetAdminConcatenada!$D:$D, MATCH(1, (AsistenciaJetAdminConcatenada!$A:$A=GN$2)*(AsistenciaJetAdminConcatenada!$B:$B=GN$1), 0)), 1))),  0.5, 0))</f>
        <v>0</v>
      </c>
      <c r="GO13" s="47">
        <f t="array" ref="GO13">IF(AND(ISNUMBER(MATCH(GO$2, AsistenciaJetAdminConcatenada!$A:$A, 0)), ISNUMBER(MATCH(GO$1, AsistenciaJetAdminConcatenada!$B:$B, 0)), ISNUMBER(SEARCH($A13,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ISNUMBER(SEARCH($A13, INDEX(AsistenciaJetAdminConcatenada!$D:$D, MATCH(1, (AsistenciaJetAdminConcatenada!$A:$A=GO$2)*(AsistenciaJetAdminConcatenada!$B:$B=GO$1), 0)), 1))),  0.5, 0))</f>
        <v>0</v>
      </c>
      <c r="GP13" s="47">
        <f t="array" ref="GP13">IF(AND(ISNUMBER(MATCH(GP$2, AsistenciaJetAdminConcatenada!$A:$A, 0)), ISNUMBER(MATCH(GP$1, AsistenciaJetAdminConcatenada!$B:$B, 0)), ISNUMBER(SEARCH($A13,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ISNUMBER(SEARCH($A13, INDEX(AsistenciaJetAdminConcatenada!$D:$D, MATCH(1, (AsistenciaJetAdminConcatenada!$A:$A=GP$2)*(AsistenciaJetAdminConcatenada!$B:$B=GP$1), 0)), 1))),  0.5, 0))</f>
        <v>0</v>
      </c>
      <c r="GQ13" s="47">
        <f t="array" ref="GQ13">IF(AND(ISNUMBER(MATCH(GQ$2, AsistenciaJetAdminConcatenada!$A:$A, 0)), ISNUMBER(MATCH(GQ$1, AsistenciaJetAdminConcatenada!$B:$B, 0)), ISNUMBER(SEARCH($A13,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ISNUMBER(SEARCH($A13, INDEX(AsistenciaJetAdminConcatenada!$D:$D, MATCH(1, (AsistenciaJetAdminConcatenada!$A:$A=GQ$2)*(AsistenciaJetAdminConcatenada!$B:$B=GQ$1), 0)), 1))),  0.5, 0))</f>
        <v>0</v>
      </c>
      <c r="GR13" s="47">
        <f t="array" ref="GR13">IF(AND(ISNUMBER(MATCH(GR$2, AsistenciaJetAdminConcatenada!$A:$A, 0)), ISNUMBER(MATCH(GR$1, AsistenciaJetAdminConcatenada!$B:$B, 0)), ISNUMBER(SEARCH($A13,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ISNUMBER(SEARCH($A13, INDEX(AsistenciaJetAdminConcatenada!$D:$D, MATCH(1, (AsistenciaJetAdminConcatenada!$A:$A=GR$2)*(AsistenciaJetAdminConcatenada!$B:$B=GR$1), 0)), 1))),  0.5, 0))</f>
        <v>0</v>
      </c>
      <c r="GS13" s="47">
        <f t="array" ref="GS13">IF(AND(ISNUMBER(MATCH(GS$2, AsistenciaJetAdminConcatenada!$A:$A, 0)), ISNUMBER(MATCH(GS$1, AsistenciaJetAdminConcatenada!$B:$B, 0)), ISNUMBER(SEARCH($A13,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ISNUMBER(SEARCH($A13, INDEX(AsistenciaJetAdminConcatenada!$D:$D, MATCH(1, (AsistenciaJetAdminConcatenada!$A:$A=GS$2)*(AsistenciaJetAdminConcatenada!$B:$B=GS$1), 0)), 1))),  0.5, 0))</f>
        <v>0</v>
      </c>
      <c r="GT13" s="47">
        <f t="array" ref="GT13">IF(AND(ISNUMBER(MATCH(GT$2, AsistenciaJetAdminConcatenada!$A:$A, 0)), ISNUMBER(MATCH(GT$1, AsistenciaJetAdminConcatenada!$B:$B, 0)), ISNUMBER(SEARCH($A13,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ISNUMBER(SEARCH($A13, INDEX(AsistenciaJetAdminConcatenada!$D:$D, MATCH(1, (AsistenciaJetAdminConcatenada!$A:$A=GT$2)*(AsistenciaJetAdminConcatenada!$B:$B=GT$1), 0)), 1))),  0.5, 0))</f>
        <v>0</v>
      </c>
      <c r="GU13" s="47">
        <f t="array" ref="GU13">IF(AND(ISNUMBER(MATCH(GU$2, AsistenciaJetAdminConcatenada!$A:$A, 0)), ISNUMBER(MATCH(GU$1, AsistenciaJetAdminConcatenada!$B:$B, 0)), ISNUMBER(SEARCH($A13,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ISNUMBER(SEARCH($A13, INDEX(AsistenciaJetAdminConcatenada!$D:$D, MATCH(1, (AsistenciaJetAdminConcatenada!$A:$A=GU$2)*(AsistenciaJetAdminConcatenada!$B:$B=GU$1), 0)), 1))),  0.5, 0))</f>
        <v>0</v>
      </c>
      <c r="GV13" s="47">
        <f t="array" ref="GV13">IF(AND(ISNUMBER(MATCH(GV$2, AsistenciaJetAdminConcatenada!$A:$A, 0)), ISNUMBER(MATCH(GV$1, AsistenciaJetAdminConcatenada!$B:$B, 0)), ISNUMBER(SEARCH($A13,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ISNUMBER(SEARCH($A13, INDEX(AsistenciaJetAdminConcatenada!$D:$D, MATCH(1, (AsistenciaJetAdminConcatenada!$A:$A=GV$2)*(AsistenciaJetAdminConcatenada!$B:$B=GV$1), 0)), 1))),  0.5, 0))</f>
        <v>0</v>
      </c>
      <c r="GW13" s="47">
        <f t="array" ref="GW13">IF(AND(ISNUMBER(MATCH(GW$2, AsistenciaJetAdminConcatenada!$A:$A, 0)), ISNUMBER(MATCH(GW$1, AsistenciaJetAdminConcatenada!$B:$B, 0)), ISNUMBER(SEARCH($A13,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ISNUMBER(SEARCH($A13, INDEX(AsistenciaJetAdminConcatenada!$D:$D, MATCH(1, (AsistenciaJetAdminConcatenada!$A:$A=GW$2)*(AsistenciaJetAdminConcatenada!$B:$B=GW$1), 0)), 1))),  0.5, 0))</f>
        <v>0</v>
      </c>
      <c r="GX13" s="47">
        <f t="array" ref="GX13">IF(AND(ISNUMBER(MATCH(GX$2, AsistenciaJetAdminConcatenada!$A:$A, 0)), ISNUMBER(MATCH(GX$1, AsistenciaJetAdminConcatenada!$B:$B, 0)), ISNUMBER(SEARCH($A13,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ISNUMBER(SEARCH($A13, INDEX(AsistenciaJetAdminConcatenada!$D:$D, MATCH(1, (AsistenciaJetAdminConcatenada!$A:$A=GX$2)*(AsistenciaJetAdminConcatenada!$B:$B=GX$1), 0)), 1))),  0.5, 0))</f>
        <v>0</v>
      </c>
      <c r="GY13" s="47">
        <f t="array" ref="GY13">IF(AND(ISNUMBER(MATCH(GY$2, AsistenciaJetAdminConcatenada!$A:$A, 0)), ISNUMBER(MATCH(GY$1, AsistenciaJetAdminConcatenada!$B:$B, 0)), ISNUMBER(SEARCH($A13,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ISNUMBER(SEARCH($A13, INDEX(AsistenciaJetAdminConcatenada!$D:$D, MATCH(1, (AsistenciaJetAdminConcatenada!$A:$A=GY$2)*(AsistenciaJetAdminConcatenada!$B:$B=GY$1), 0)), 1))),  0.5, 0))</f>
        <v>0</v>
      </c>
      <c r="GZ13" s="47">
        <f t="array" ref="GZ13">IF(AND(ISNUMBER(MATCH(GZ$2, AsistenciaJetAdminConcatenada!$A:$A, 0)), ISNUMBER(MATCH(GZ$1, AsistenciaJetAdminConcatenada!$B:$B, 0)), ISNUMBER(SEARCH($A13,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ISNUMBER(SEARCH($A13, INDEX(AsistenciaJetAdminConcatenada!$D:$D, MATCH(1, (AsistenciaJetAdminConcatenada!$A:$A=GZ$2)*(AsistenciaJetAdminConcatenada!$B:$B=GZ$1), 0)), 1))),  0.5, 0))</f>
        <v>0</v>
      </c>
      <c r="HA13" s="47">
        <f t="array" ref="HA13">IF(AND(ISNUMBER(MATCH(HA$2, AsistenciaJetAdminConcatenada!$A:$A, 0)), ISNUMBER(MATCH(HA$1, AsistenciaJetAdminConcatenada!$B:$B, 0)), ISNUMBER(SEARCH($A13,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ISNUMBER(SEARCH($A13, INDEX(AsistenciaJetAdminConcatenada!$D:$D, MATCH(1, (AsistenciaJetAdminConcatenada!$A:$A=HA$2)*(AsistenciaJetAdminConcatenada!$B:$B=HA$1), 0)), 1))),  0.5, 0))</f>
        <v>0</v>
      </c>
      <c r="HB13" s="47">
        <f t="array" ref="HB13">IF(AND(ISNUMBER(MATCH(HB$2, AsistenciaJetAdminConcatenada!$A:$A, 0)), ISNUMBER(MATCH(HB$1, AsistenciaJetAdminConcatenada!$B:$B, 0)), ISNUMBER(SEARCH($A13,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ISNUMBER(SEARCH($A13, INDEX(AsistenciaJetAdminConcatenada!$D:$D, MATCH(1, (AsistenciaJetAdminConcatenada!$A:$A=HB$2)*(AsistenciaJetAdminConcatenada!$B:$B=HB$1), 0)), 1))),  0.5, 0))</f>
        <v>0</v>
      </c>
      <c r="HC13" s="47">
        <f t="array" ref="HC13">IF(AND(ISNUMBER(MATCH(HC$2, AsistenciaJetAdminConcatenada!$A:$A, 0)), ISNUMBER(MATCH(HC$1, AsistenciaJetAdminConcatenada!$B:$B, 0)), ISNUMBER(SEARCH($A13,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ISNUMBER(SEARCH($A13, INDEX(AsistenciaJetAdminConcatenada!$D:$D, MATCH(1, (AsistenciaJetAdminConcatenada!$A:$A=HC$2)*(AsistenciaJetAdminConcatenada!$B:$B=HC$1), 0)), 1))),  0.5, 0))</f>
        <v>0</v>
      </c>
    </row>
    <row r="14" ht="29.25" customHeight="1">
      <c r="A14" s="3">
        <v>217.0</v>
      </c>
      <c r="B14" s="4" t="s">
        <v>606</v>
      </c>
      <c r="C14" s="47">
        <f>SUM(D14:HC14) + ActividadesEspeciales!C14</f>
        <v>48</v>
      </c>
      <c r="D14" s="47">
        <f t="array" ref="D14">IF(AND(ISNUMBER(MATCH(D$2, AsistenciaJetAdminConcatenada!$A:$A, 0)), ISNUMBER(MATCH(D$1, AsistenciaJetAdminConcatenada!$B:$B, 0)), ISNUMBER(SEARCH($A14,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ISNUMBER(SEARCH($A14, INDEX(AsistenciaJetAdminConcatenada!$D:$D, MATCH(1, (AsistenciaJetAdminConcatenada!$A:$A=D$2)*(AsistenciaJetAdminConcatenada!$B:$B=D$1), 0)), 1))),  0.5, 0))</f>
        <v>1</v>
      </c>
      <c r="E14" s="47">
        <f t="array" ref="E14">IF(AND(ISNUMBER(MATCH(E$2, AsistenciaJetAdminConcatenada!$A:$A, 0)), ISNUMBER(MATCH(E$1, AsistenciaJetAdminConcatenada!$B:$B, 0)), ISNUMBER(SEARCH($A14,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ISNUMBER(SEARCH($A14, INDEX(AsistenciaJetAdminConcatenada!$D:$D, MATCH(1, (AsistenciaJetAdminConcatenada!$A:$A=E$2)*(AsistenciaJetAdminConcatenada!$B:$B=E$1), 0)), 1))),  0.5, 0))</f>
        <v>0</v>
      </c>
      <c r="F14" s="47">
        <f t="array" ref="F14">IF(AND(ISNUMBER(MATCH(F$2, AsistenciaJetAdminConcatenada!$A:$A, 0)), ISNUMBER(MATCH(F$1, AsistenciaJetAdminConcatenada!$B:$B, 0)), ISNUMBER(SEARCH($A14,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ISNUMBER(SEARCH($A14, INDEX(AsistenciaJetAdminConcatenada!$D:$D, MATCH(1, (AsistenciaJetAdminConcatenada!$A:$A=F$2)*(AsistenciaJetAdminConcatenada!$B:$B=F$1), 0)), 1))),  0.5, 0))</f>
        <v>0</v>
      </c>
      <c r="G14" s="8">
        <v>0.5</v>
      </c>
      <c r="H14" s="47">
        <f t="array" ref="H14">IF(AND(ISNUMBER(MATCH(H$2, AsistenciaJetAdminConcatenada!$A:$A, 0)), ISNUMBER(MATCH(H$1, AsistenciaJetAdminConcatenada!$B:$B, 0)), ISNUMBER(SEARCH($A14,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ISNUMBER(SEARCH($A14, INDEX(AsistenciaJetAdminConcatenada!$D:$D, MATCH(1, (AsistenciaJetAdminConcatenada!$A:$A=H$2)*(AsistenciaJetAdminConcatenada!$B:$B=H$1), 0)), 1))),  0.5, 0))</f>
        <v>1</v>
      </c>
      <c r="I14" s="47">
        <f t="array" ref="I14">IF(AND(ISNUMBER(MATCH(I$2, AsistenciaJetAdminConcatenada!$A:$A, 0)), ISNUMBER(MATCH(I$1, AsistenciaJetAdminConcatenada!$B:$B, 0)), ISNUMBER(SEARCH($A14,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ISNUMBER(SEARCH($A14, INDEX(AsistenciaJetAdminConcatenada!$D:$D, MATCH(1, (AsistenciaJetAdminConcatenada!$A:$A=I$2)*(AsistenciaJetAdminConcatenada!$B:$B=I$1), 0)), 1))),  0.5, 0))</f>
        <v>0</v>
      </c>
      <c r="J14" s="47">
        <f t="array" ref="J14">IF(AND(ISNUMBER(MATCH(J$2, AsistenciaJetAdminConcatenada!$A:$A, 0)), ISNUMBER(MATCH(J$1, AsistenciaJetAdminConcatenada!$B:$B, 0)), ISNUMBER(SEARCH($A14,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ISNUMBER(SEARCH($A14, INDEX(AsistenciaJetAdminConcatenada!$D:$D, MATCH(1, (AsistenciaJetAdminConcatenada!$A:$A=J$2)*(AsistenciaJetAdminConcatenada!$B:$B=J$1), 0)), 1))),  0.5, 0))</f>
        <v>0</v>
      </c>
      <c r="K14" s="47">
        <f t="array" ref="K14">IF(AND(ISNUMBER(MATCH(K$2, AsistenciaJetAdminConcatenada!$A:$A, 0)), ISNUMBER(MATCH(K$1, AsistenciaJetAdminConcatenada!$B:$B, 0)), ISNUMBER(SEARCH($A14,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ISNUMBER(SEARCH($A14, INDEX(AsistenciaJetAdminConcatenada!$D:$D, MATCH(1, (AsistenciaJetAdminConcatenada!$A:$A=K$2)*(AsistenciaJetAdminConcatenada!$B:$B=K$1), 0)), 1))),  0.5, 0))</f>
        <v>0</v>
      </c>
      <c r="L14" s="47">
        <f t="array" ref="L14">IF(AND(ISNUMBER(MATCH(L$2, AsistenciaJetAdminConcatenada!$A:$A, 0)), ISNUMBER(MATCH(L$1, AsistenciaJetAdminConcatenada!$B:$B, 0)), ISNUMBER(SEARCH($A14,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ISNUMBER(SEARCH($A14, INDEX(AsistenciaJetAdminConcatenada!$D:$D, MATCH(1, (AsistenciaJetAdminConcatenada!$A:$A=L$2)*(AsistenciaJetAdminConcatenada!$B:$B=L$1), 0)), 1))),  0.5, 0))</f>
        <v>1</v>
      </c>
      <c r="M14" s="47">
        <f t="array" ref="M14">IF(AND(ISNUMBER(MATCH(M$2, AsistenciaJetAdminConcatenada!$A:$A, 0)), ISNUMBER(MATCH(M$1, AsistenciaJetAdminConcatenada!$B:$B, 0)), ISNUMBER(SEARCH($A14,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ISNUMBER(SEARCH($A14, INDEX(AsistenciaJetAdminConcatenada!$D:$D, MATCH(1, (AsistenciaJetAdminConcatenada!$A:$A=M$2)*(AsistenciaJetAdminConcatenada!$B:$B=M$1), 0)), 1))),  0.5, 0))</f>
        <v>1</v>
      </c>
      <c r="N14" s="47">
        <f t="array" ref="N14">IF(AND(ISNUMBER(MATCH(N$2, AsistenciaJetAdminConcatenada!$A:$A, 0)), ISNUMBER(MATCH(N$1, AsistenciaJetAdminConcatenada!$B:$B, 0)), ISNUMBER(SEARCH($A14,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ISNUMBER(SEARCH($A14, INDEX(AsistenciaJetAdminConcatenada!$D:$D, MATCH(1, (AsistenciaJetAdminConcatenada!$A:$A=N$2)*(AsistenciaJetAdminConcatenada!$B:$B=N$1), 0)), 1))),  0.5, 0))</f>
        <v>1</v>
      </c>
      <c r="O14" s="47">
        <f t="array" ref="O14">IF(AND(ISNUMBER(MATCH(O$2, AsistenciaJetAdminConcatenada!$A:$A, 0)), ISNUMBER(MATCH(O$1, AsistenciaJetAdminConcatenada!$B:$B, 0)), ISNUMBER(SEARCH($A14,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ISNUMBER(SEARCH($A14, INDEX(AsistenciaJetAdminConcatenada!$D:$D, MATCH(1, (AsistenciaJetAdminConcatenada!$A:$A=O$2)*(AsistenciaJetAdminConcatenada!$B:$B=O$1), 0)), 1))),  0.5, 0))</f>
        <v>1</v>
      </c>
      <c r="P14" s="47">
        <f t="array" ref="P14">IF(AND(ISNUMBER(MATCH(P$2, AsistenciaJetAdminConcatenada!$A:$A, 0)), ISNUMBER(MATCH(P$1, AsistenciaJetAdminConcatenada!$B:$B, 0)), ISNUMBER(SEARCH($A14, INDEX(AsistenciaJetAdminConcatenada!$C:$C, MATCH(1, (AsistenciaJetAdminConcatenada!$A:$A=P$2)*(AsistenciaJetAdminConcatenada!$B:$B=P$1), 0)), 1))), 1, IF(AND(ISNUMBER(MATCH(P$2, AsistenciaJetAdminConcatenada!$A:$A, 0)), ISNUMBER(MATCH(P$1, AsistenciaJetAdminConcatenada!$B:$B, 0)), ISNUMBER(SEARCH($A14, INDEX(AsistenciaJetAdminConcatenada!$D:$D, MATCH(1, (AsistenciaJetAdminConcatenada!$A:$A=P$2)*(AsistenciaJetAdminConcatenada!$B:$B=P$1), 0)), 1))),  0.5, 0))</f>
        <v>1</v>
      </c>
      <c r="Q14" s="8">
        <v>1.0</v>
      </c>
      <c r="R14" s="47">
        <f t="array" ref="R14">IF(AND(ISNUMBER(MATCH(R$2, AsistenciaJetAdminConcatenada!$A:$A, 0)), ISNUMBER(MATCH(R$1, AsistenciaJetAdminConcatenada!$B:$B, 0)), ISNUMBER(SEARCH($A14,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ISNUMBER(SEARCH($A14, INDEX(AsistenciaJetAdminConcatenada!$D:$D, MATCH(1, (AsistenciaJetAdminConcatenada!$A:$A=R$2)*(AsistenciaJetAdminConcatenada!$B:$B=R$1), 0)), 1))),  0.5, 0))</f>
        <v>0.5</v>
      </c>
      <c r="S14" s="47">
        <f t="array" ref="S14">IF(AND(ISNUMBER(MATCH(S$2, AsistenciaJetAdminConcatenada!$A:$A, 0)), ISNUMBER(MATCH(S$1, AsistenciaJetAdminConcatenada!$B:$B, 0)), ISNUMBER(SEARCH($A14,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ISNUMBER(SEARCH($A14, INDEX(AsistenciaJetAdminConcatenada!$D:$D, MATCH(1, (AsistenciaJetAdminConcatenada!$A:$A=S$2)*(AsistenciaJetAdminConcatenada!$B:$B=S$1), 0)), 1))),  0.5, 0))</f>
        <v>1</v>
      </c>
      <c r="T14" s="47">
        <f t="array" ref="T14">IF(AND(ISNUMBER(MATCH(T$2, AsistenciaJetAdminConcatenada!$A:$A, 0)), ISNUMBER(MATCH(T$1, AsistenciaJetAdminConcatenada!$B:$B, 0)), ISNUMBER(SEARCH($A14,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ISNUMBER(SEARCH($A14, INDEX(AsistenciaJetAdminConcatenada!$D:$D, MATCH(1, (AsistenciaJetAdminConcatenada!$A:$A=T$2)*(AsistenciaJetAdminConcatenada!$B:$B=T$1), 0)), 1))),  0.5, 0))</f>
        <v>1</v>
      </c>
      <c r="U14" s="47">
        <f t="array" ref="U14">IF(AND(ISNUMBER(MATCH(U$2, AsistenciaJetAdminConcatenada!$A:$A, 0)), ISNUMBER(MATCH(U$1, AsistenciaJetAdminConcatenada!$B:$B, 0)), ISNUMBER(SEARCH($A14,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ISNUMBER(SEARCH($A14, INDEX(AsistenciaJetAdminConcatenada!$D:$D, MATCH(1, (AsistenciaJetAdminConcatenada!$A:$A=U$2)*(AsistenciaJetAdminConcatenada!$B:$B=U$1), 0)), 1))),  0.5, 0))</f>
        <v>0</v>
      </c>
      <c r="V14" s="47">
        <f t="array" ref="V14">IF(AND(ISNUMBER(MATCH(V$2, AsistenciaJetAdminConcatenada!$A:$A, 0)), ISNUMBER(MATCH(V$1, AsistenciaJetAdminConcatenada!$B:$B, 0)), ISNUMBER(SEARCH($A14,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ISNUMBER(SEARCH($A14, INDEX(AsistenciaJetAdminConcatenada!$D:$D, MATCH(1, (AsistenciaJetAdminConcatenada!$A:$A=V$2)*(AsistenciaJetAdminConcatenada!$B:$B=V$1), 0)), 1))),  0.5, 0))</f>
        <v>0</v>
      </c>
      <c r="W14" s="47">
        <f t="array" ref="W14">IF(AND(ISNUMBER(MATCH(W$2, AsistenciaJetAdminConcatenada!$A:$A, 0)), ISNUMBER(MATCH(W$1, AsistenciaJetAdminConcatenada!$B:$B, 0)), ISNUMBER(SEARCH($A14,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ISNUMBER(SEARCH($A14, INDEX(AsistenciaJetAdminConcatenada!$D:$D, MATCH(1, (AsistenciaJetAdminConcatenada!$A:$A=W$2)*(AsistenciaJetAdminConcatenada!$B:$B=W$1), 0)), 1))),  0.5, 0))</f>
        <v>1</v>
      </c>
      <c r="X14" s="47">
        <f t="array" ref="X14">IF(AND(ISNUMBER(MATCH(X$2, AsistenciaJetAdminConcatenada!$A:$A, 0)), ISNUMBER(MATCH(X$1, AsistenciaJetAdminConcatenada!$B:$B, 0)), ISNUMBER(SEARCH($A14,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ISNUMBER(SEARCH($A14, INDEX(AsistenciaJetAdminConcatenada!$D:$D, MATCH(1, (AsistenciaJetAdminConcatenada!$A:$A=X$2)*(AsistenciaJetAdminConcatenada!$B:$B=X$1), 0)), 1))),  0.5, 0))</f>
        <v>1</v>
      </c>
      <c r="Y14" s="47">
        <f t="array" ref="Y14">IF(AND(ISNUMBER(MATCH(Y$2, AsistenciaJetAdminConcatenada!$A:$A, 0)), ISNUMBER(MATCH(Y$1, AsistenciaJetAdminConcatenada!$B:$B, 0)), ISNUMBER(SEARCH($A14,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ISNUMBER(SEARCH($A14, INDEX(AsistenciaJetAdminConcatenada!$D:$D, MATCH(1, (AsistenciaJetAdminConcatenada!$A:$A=Y$2)*(AsistenciaJetAdminConcatenada!$B:$B=Y$1), 0)), 1))),  0.5, 0))</f>
        <v>0</v>
      </c>
      <c r="Z14" s="47">
        <f t="array" ref="Z14">IF(AND(ISNUMBER(MATCH(Z$2, AsistenciaJetAdminConcatenada!$A:$A, 0)), ISNUMBER(MATCH(Z$1, AsistenciaJetAdminConcatenada!$B:$B, 0)), ISNUMBER(SEARCH($A14,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ISNUMBER(SEARCH($A14, INDEX(AsistenciaJetAdminConcatenada!$D:$D, MATCH(1, (AsistenciaJetAdminConcatenada!$A:$A=Z$2)*(AsistenciaJetAdminConcatenada!$B:$B=Z$1), 0)), 1))),  0.5, 0))</f>
        <v>1</v>
      </c>
      <c r="AA14" s="47">
        <f t="array" ref="AA14">IF(AND(ISNUMBER(MATCH(AA$2, AsistenciaJetAdminConcatenada!$A:$A, 0)), ISNUMBER(MATCH(AA$1, AsistenciaJetAdminConcatenada!$B:$B, 0)), ISNUMBER(SEARCH($A14,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ISNUMBER(SEARCH($A14, INDEX(AsistenciaJetAdminConcatenada!$D:$D, MATCH(1, (AsistenciaJetAdminConcatenada!$A:$A=AA$2)*(AsistenciaJetAdminConcatenada!$B:$B=AA$1), 0)), 1))),  0.5, 0))</f>
        <v>0</v>
      </c>
      <c r="AB14" s="47">
        <f t="array" ref="AB14">IF(AND(ISNUMBER(MATCH(AB$2, AsistenciaJetAdminConcatenada!$A:$A, 0)), ISNUMBER(MATCH(AB$1, AsistenciaJetAdminConcatenada!$B:$B, 0)), ISNUMBER(SEARCH($A14,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ISNUMBER(SEARCH($A14, INDEX(AsistenciaJetAdminConcatenada!$D:$D, MATCH(1, (AsistenciaJetAdminConcatenada!$A:$A=AB$2)*(AsistenciaJetAdminConcatenada!$B:$B=AB$1), 0)), 1))),  0.5, 0))</f>
        <v>0</v>
      </c>
      <c r="AC14" s="47">
        <f t="array" ref="AC14">IF(AND(ISNUMBER(MATCH(AC$2, AsistenciaJetAdminConcatenada!$A:$A, 0)), ISNUMBER(MATCH(AC$1, AsistenciaJetAdminConcatenada!$B:$B, 0)), ISNUMBER(SEARCH($A14,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ISNUMBER(SEARCH($A14, INDEX(AsistenciaJetAdminConcatenada!$D:$D, MATCH(1, (AsistenciaJetAdminConcatenada!$A:$A=AC$2)*(AsistenciaJetAdminConcatenada!$B:$B=AC$1), 0)), 1))),  0.5, 0))</f>
        <v>1</v>
      </c>
      <c r="AD14" s="47">
        <f t="array" ref="AD14">IF(AND(ISNUMBER(MATCH(AD$2, AsistenciaJetAdminConcatenada!$A:$A, 0)), ISNUMBER(MATCH(AD$1, AsistenciaJetAdminConcatenada!$B:$B, 0)), ISNUMBER(SEARCH($A14,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ISNUMBER(SEARCH($A14, INDEX(AsistenciaJetAdminConcatenada!$D:$D, MATCH(1, (AsistenciaJetAdminConcatenada!$A:$A=AD$2)*(AsistenciaJetAdminConcatenada!$B:$B=AD$1), 0)), 1))),  0.5, 0))</f>
        <v>0</v>
      </c>
      <c r="AE14" s="47">
        <f t="array" ref="AE14">IF(AND(ISNUMBER(MATCH(AE$2, AsistenciaJetAdminConcatenada!$A:$A, 0)), ISNUMBER(MATCH(AE$1, AsistenciaJetAdminConcatenada!$B:$B, 0)), ISNUMBER(SEARCH($A14,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ISNUMBER(SEARCH($A14, INDEX(AsistenciaJetAdminConcatenada!$D:$D, MATCH(1, (AsistenciaJetAdminConcatenada!$A:$A=AE$2)*(AsistenciaJetAdminConcatenada!$B:$B=AE$1), 0)), 1))),  0.5, 0))</f>
        <v>0</v>
      </c>
      <c r="AF14" s="47">
        <f t="array" ref="AF14">IF(AND(ISNUMBER(MATCH(AF$2, AsistenciaJetAdminConcatenada!$A:$A, 0)), ISNUMBER(MATCH(AF$1, AsistenciaJetAdminConcatenada!$B:$B, 0)), ISNUMBER(SEARCH($A14,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ISNUMBER(SEARCH($A14, INDEX(AsistenciaJetAdminConcatenada!$D:$D, MATCH(1, (AsistenciaJetAdminConcatenada!$A:$A=AF$2)*(AsistenciaJetAdminConcatenada!$B:$B=AF$1), 0)), 1))),  0.5, 0))</f>
        <v>0</v>
      </c>
      <c r="AG14" s="47">
        <f t="array" ref="AG14">IF(AND(ISNUMBER(MATCH(AG$2, AsistenciaJetAdminConcatenada!$A:$A, 0)), ISNUMBER(MATCH(AG$1, AsistenciaJetAdminConcatenada!$B:$B, 0)), ISNUMBER(SEARCH($A14,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ISNUMBER(SEARCH($A14, INDEX(AsistenciaJetAdminConcatenada!$D:$D, MATCH(1, (AsistenciaJetAdminConcatenada!$A:$A=AG$2)*(AsistenciaJetAdminConcatenada!$B:$B=AG$1), 0)), 1))),  0.5, 0))</f>
        <v>0</v>
      </c>
      <c r="AH14" s="47">
        <f t="array" ref="AH14">IF(AND(ISNUMBER(MATCH(AH$2, AsistenciaJetAdminConcatenada!$A:$A, 0)), ISNUMBER(MATCH(AH$1, AsistenciaJetAdminConcatenada!$B:$B, 0)), ISNUMBER(SEARCH($A14,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ISNUMBER(SEARCH($A14, INDEX(AsistenciaJetAdminConcatenada!$D:$D, MATCH(1, (AsistenciaJetAdminConcatenada!$A:$A=AH$2)*(AsistenciaJetAdminConcatenada!$B:$B=AH$1), 0)), 1))),  0.5, 0))</f>
        <v>0</v>
      </c>
      <c r="AI14" s="47">
        <f t="array" ref="AI14">IF(AND(ISNUMBER(MATCH(AI$2, AsistenciaJetAdminConcatenada!$A:$A, 0)), ISNUMBER(MATCH(AI$1, AsistenciaJetAdminConcatenada!$B:$B, 0)), ISNUMBER(SEARCH($A14,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ISNUMBER(SEARCH($A14, INDEX(AsistenciaJetAdminConcatenada!$D:$D, MATCH(1, (AsistenciaJetAdminConcatenada!$A:$A=AI$2)*(AsistenciaJetAdminConcatenada!$B:$B=AI$1), 0)), 1))),  0.5, 0))</f>
        <v>0</v>
      </c>
      <c r="AJ14" s="47">
        <f t="array" ref="AJ14">IF(AND(ISNUMBER(MATCH(AJ$2, AsistenciaJetAdminConcatenada!$A:$A, 0)), ISNUMBER(MATCH(AJ$1, AsistenciaJetAdminConcatenada!$B:$B, 0)), ISNUMBER(SEARCH($A14,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ISNUMBER(SEARCH($A14, INDEX(AsistenciaJetAdminConcatenada!$D:$D, MATCH(1, (AsistenciaJetAdminConcatenada!$A:$A=AJ$2)*(AsistenciaJetAdminConcatenada!$B:$B=AJ$1), 0)), 1))),  0.5, 0))</f>
        <v>1</v>
      </c>
      <c r="AK14" s="47">
        <f t="array" ref="AK14">IF(AND(ISNUMBER(MATCH(AK$2, AsistenciaJetAdminConcatenada!$A:$A, 0)), ISNUMBER(MATCH(AK$1, AsistenciaJetAdminConcatenada!$B:$B, 0)), ISNUMBER(SEARCH($A14,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ISNUMBER(SEARCH($A14, INDEX(AsistenciaJetAdminConcatenada!$D:$D, MATCH(1, (AsistenciaJetAdminConcatenada!$A:$A=AK$2)*(AsistenciaJetAdminConcatenada!$B:$B=AK$1), 0)), 1))),  0.5, 0))</f>
        <v>1</v>
      </c>
      <c r="AL14" s="47">
        <f t="array" ref="AL14">IF(AND(ISNUMBER(MATCH(AL$2, AsistenciaJetAdminConcatenada!$A:$A, 0)), ISNUMBER(MATCH(AL$1, AsistenciaJetAdminConcatenada!$B:$B, 0)), ISNUMBER(SEARCH($A14,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ISNUMBER(SEARCH($A14, INDEX(AsistenciaJetAdminConcatenada!$D:$D, MATCH(1, (AsistenciaJetAdminConcatenada!$A:$A=AL$2)*(AsistenciaJetAdminConcatenada!$B:$B=AL$1), 0)), 1))),  0.5, 0))</f>
        <v>0</v>
      </c>
      <c r="AM14" s="47">
        <f t="array" ref="AM14">IF(AND(ISNUMBER(MATCH(AM$2, AsistenciaJetAdminConcatenada!$A:$A, 0)), ISNUMBER(MATCH(AM$1, AsistenciaJetAdminConcatenada!$B:$B, 0)), ISNUMBER(SEARCH($A14,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ISNUMBER(SEARCH($A14, INDEX(AsistenciaJetAdminConcatenada!$D:$D, MATCH(1, (AsistenciaJetAdminConcatenada!$A:$A=AM$2)*(AsistenciaJetAdminConcatenada!$B:$B=AM$1), 0)), 1))),  0.5, 0))</f>
        <v>0</v>
      </c>
      <c r="AN14" s="47">
        <f t="array" ref="AN14">IF(AND(ISNUMBER(MATCH(AN$2, AsistenciaJetAdminConcatenada!$A:$A, 0)), ISNUMBER(MATCH(AN$1, AsistenciaJetAdminConcatenada!$B:$B, 0)), ISNUMBER(SEARCH($A14,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ISNUMBER(SEARCH($A14, INDEX(AsistenciaJetAdminConcatenada!$D:$D, MATCH(1, (AsistenciaJetAdminConcatenada!$A:$A=AN$2)*(AsistenciaJetAdminConcatenada!$B:$B=AN$1), 0)), 1))),  0.5, 0))</f>
        <v>0</v>
      </c>
      <c r="AO14" s="47">
        <f t="array" ref="AO14">IF(AND(ISNUMBER(MATCH(AO$2, AsistenciaJetAdminConcatenada!$A:$A, 0)), ISNUMBER(MATCH(AO$1, AsistenciaJetAdminConcatenada!$B:$B, 0)), ISNUMBER(SEARCH($A14,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ISNUMBER(SEARCH($A14, INDEX(AsistenciaJetAdminConcatenada!$D:$D, MATCH(1, (AsistenciaJetAdminConcatenada!$A:$A=AO$2)*(AsistenciaJetAdminConcatenada!$B:$B=AO$1), 0)), 1))),  0.5, 0))</f>
        <v>0</v>
      </c>
      <c r="AP14" s="47">
        <f t="array" ref="AP14">IF(AND(ISNUMBER(MATCH(AP$2, AsistenciaJetAdminConcatenada!$A:$A, 0)), ISNUMBER(MATCH(AP$1, AsistenciaJetAdminConcatenada!$B:$B, 0)), ISNUMBER(SEARCH($A14,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ISNUMBER(SEARCH($A14, INDEX(AsistenciaJetAdminConcatenada!$D:$D, MATCH(1, (AsistenciaJetAdminConcatenada!$A:$A=AP$2)*(AsistenciaJetAdminConcatenada!$B:$B=AP$1), 0)), 1))),  0.5, 0))</f>
        <v>0</v>
      </c>
      <c r="AQ14" s="47">
        <f t="array" ref="AQ14">IF(AND(ISNUMBER(MATCH(AQ$2, AsistenciaJetAdminConcatenada!$A:$A, 0)), ISNUMBER(MATCH(AQ$1, AsistenciaJetAdminConcatenada!$B:$B, 0)), ISNUMBER(SEARCH($A14,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ISNUMBER(SEARCH($A14, INDEX(AsistenciaJetAdminConcatenada!$D:$D, MATCH(1, (AsistenciaJetAdminConcatenada!$A:$A=AQ$2)*(AsistenciaJetAdminConcatenada!$B:$B=AQ$1), 0)), 1))),  0.5, 0))</f>
        <v>0</v>
      </c>
      <c r="AR14" s="47">
        <f t="array" ref="AR14">IF(AND(ISNUMBER(MATCH(AR$2, AsistenciaJetAdminConcatenada!$A:$A, 0)), ISNUMBER(MATCH(AR$1, AsistenciaJetAdminConcatenada!$B:$B, 0)), ISNUMBER(SEARCH($A14,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ISNUMBER(SEARCH($A14, INDEX(AsistenciaJetAdminConcatenada!$D:$D, MATCH(1, (AsistenciaJetAdminConcatenada!$A:$A=AR$2)*(AsistenciaJetAdminConcatenada!$B:$B=AR$1), 0)), 1))),  0.5, 0))</f>
        <v>0</v>
      </c>
      <c r="AS14" s="47">
        <f t="array" ref="AS14">IF(AND(ISNUMBER(MATCH(AS$2, AsistenciaJetAdminConcatenada!$A:$A, 0)), ISNUMBER(MATCH(AS$1, AsistenciaJetAdminConcatenada!$B:$B, 0)), ISNUMBER(SEARCH($A14,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ISNUMBER(SEARCH($A14, INDEX(AsistenciaJetAdminConcatenada!$D:$D, MATCH(1, (AsistenciaJetAdminConcatenada!$A:$A=AS$2)*(AsistenciaJetAdminConcatenada!$B:$B=AS$1), 0)), 1))),  0.5, 0))</f>
        <v>0</v>
      </c>
      <c r="AT14" s="47">
        <f t="array" ref="AT14">IF(AND(ISNUMBER(MATCH(AT$2, AsistenciaJetAdminConcatenada!$A:$A, 0)), ISNUMBER(MATCH(AT$1, AsistenciaJetAdminConcatenada!$B:$B, 0)), ISNUMBER(SEARCH($A14,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ISNUMBER(SEARCH($A14, INDEX(AsistenciaJetAdminConcatenada!$D:$D, MATCH(1, (AsistenciaJetAdminConcatenada!$A:$A=AT$2)*(AsistenciaJetAdminConcatenada!$B:$B=AT$1), 0)), 1))),  0.5, 0))</f>
        <v>1</v>
      </c>
      <c r="AU14" s="47">
        <f t="array" ref="AU14">IF(AND(ISNUMBER(MATCH(AU$2, AsistenciaJetAdminConcatenada!$A:$A, 0)), ISNUMBER(MATCH(AU$1, AsistenciaJetAdminConcatenada!$B:$B, 0)), ISNUMBER(SEARCH($A14,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ISNUMBER(SEARCH($A14, INDEX(AsistenciaJetAdminConcatenada!$D:$D, MATCH(1, (AsistenciaJetAdminConcatenada!$A:$A=AU$2)*(AsistenciaJetAdminConcatenada!$B:$B=AU$1), 0)), 1))),  0.5, 0))</f>
        <v>0.5</v>
      </c>
      <c r="AV14" s="47">
        <f t="array" ref="AV14">IF(AND(ISNUMBER(MATCH(AV$2, AsistenciaJetAdminConcatenada!$A:$A, 0)), ISNUMBER(MATCH(AV$1, AsistenciaJetAdminConcatenada!$B:$B, 0)), ISNUMBER(SEARCH($A14,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ISNUMBER(SEARCH($A14, INDEX(AsistenciaJetAdminConcatenada!$D:$D, MATCH(1, (AsistenciaJetAdminConcatenada!$A:$A=AV$2)*(AsistenciaJetAdminConcatenada!$B:$B=AV$1), 0)), 1))),  0.5, 0))</f>
        <v>0.5</v>
      </c>
      <c r="AW14" s="47">
        <f t="array" ref="AW14">IF(AND(ISNUMBER(MATCH(AW$2, AsistenciaJetAdminConcatenada!$A:$A, 0)), ISNUMBER(MATCH(AW$1, AsistenciaJetAdminConcatenada!$B:$B, 0)), ISNUMBER(SEARCH($A14,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ISNUMBER(SEARCH($A14, INDEX(AsistenciaJetAdminConcatenada!$D:$D, MATCH(1, (AsistenciaJetAdminConcatenada!$A:$A=AW$2)*(AsistenciaJetAdminConcatenada!$B:$B=AW$1), 0)), 1))),  0.5, 0))</f>
        <v>1</v>
      </c>
      <c r="AX14" s="47">
        <f t="array" ref="AX14">IF(AND(ISNUMBER(MATCH(AX$2, AsistenciaJetAdminConcatenada!$A:$A, 0)), ISNUMBER(MATCH(AX$1, AsistenciaJetAdminConcatenada!$B:$B, 0)), ISNUMBER(SEARCH($A14,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ISNUMBER(SEARCH($A14, INDEX(AsistenciaJetAdminConcatenada!$D:$D, MATCH(1, (AsistenciaJetAdminConcatenada!$A:$A=AX$2)*(AsistenciaJetAdminConcatenada!$B:$B=AX$1), 0)), 1))),  0.5, 0))</f>
        <v>0</v>
      </c>
      <c r="AY14" s="47">
        <f t="array" ref="AY14">IF(AND(ISNUMBER(MATCH(AY$2, AsistenciaJetAdminConcatenada!$A:$A, 0)), ISNUMBER(MATCH(AY$1, AsistenciaJetAdminConcatenada!$B:$B, 0)), ISNUMBER(SEARCH($A14,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ISNUMBER(SEARCH($A14, INDEX(AsistenciaJetAdminConcatenada!$D:$D, MATCH(1, (AsistenciaJetAdminConcatenada!$A:$A=AY$2)*(AsistenciaJetAdminConcatenada!$B:$B=AY$1), 0)), 1))),  0.5, 0))</f>
        <v>0</v>
      </c>
      <c r="AZ14" s="47">
        <f t="array" ref="AZ14">IF(AND(ISNUMBER(MATCH(AZ$2, AsistenciaJetAdminConcatenada!$A:$A, 0)), ISNUMBER(MATCH(AZ$1, AsistenciaJetAdminConcatenada!$B:$B, 0)), ISNUMBER(SEARCH($A14,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ISNUMBER(SEARCH($A14, INDEX(AsistenciaJetAdminConcatenada!$D:$D, MATCH(1, (AsistenciaJetAdminConcatenada!$A:$A=AZ$2)*(AsistenciaJetAdminConcatenada!$B:$B=AZ$1), 0)), 1))),  0.5, 0))</f>
        <v>1</v>
      </c>
      <c r="BA14" s="47">
        <f t="array" ref="BA14">IF(AND(ISNUMBER(MATCH(BA$2, AsistenciaJetAdminConcatenada!$A:$A, 0)), ISNUMBER(MATCH(BA$1, AsistenciaJetAdminConcatenada!$B:$B, 0)), ISNUMBER(SEARCH($A14,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ISNUMBER(SEARCH($A14, INDEX(AsistenciaJetAdminConcatenada!$D:$D, MATCH(1, (AsistenciaJetAdminConcatenada!$A:$A=BA$2)*(AsistenciaJetAdminConcatenada!$B:$B=BA$1), 0)), 1))),  0.5, 0))</f>
        <v>1</v>
      </c>
      <c r="BB14" s="47">
        <f t="array" ref="BB14">IF(AND(ISNUMBER(MATCH(BB$2, AsistenciaJetAdminConcatenada!$A:$A, 0)), ISNUMBER(MATCH(BB$1, AsistenciaJetAdminConcatenada!$B:$B, 0)), ISNUMBER(SEARCH($A14,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ISNUMBER(SEARCH($A14, INDEX(AsistenciaJetAdminConcatenada!$D:$D, MATCH(1, (AsistenciaJetAdminConcatenada!$A:$A=BB$2)*(AsistenciaJetAdminConcatenada!$B:$B=BB$1), 0)), 1))),  0.5, 0))</f>
        <v>0</v>
      </c>
      <c r="BC14" s="47">
        <f t="array" ref="BC14">IF(AND(ISNUMBER(MATCH(BC$2, AsistenciaJetAdminConcatenada!$A:$A, 0)), ISNUMBER(MATCH(BC$1, AsistenciaJetAdminConcatenada!$B:$B, 0)), ISNUMBER(SEARCH($A14,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ISNUMBER(SEARCH($A14, INDEX(AsistenciaJetAdminConcatenada!$D:$D, MATCH(1, (AsistenciaJetAdminConcatenada!$A:$A=BC$2)*(AsistenciaJetAdminConcatenada!$B:$B=BC$1), 0)), 1))),  0.5, 0))</f>
        <v>0</v>
      </c>
      <c r="BD14" s="47">
        <f t="array" ref="BD14">IF(AND(ISNUMBER(MATCH(BD$2, AsistenciaJetAdminConcatenada!$A:$A, 0)), ISNUMBER(MATCH(BD$1, AsistenciaJetAdminConcatenada!$B:$B, 0)), ISNUMBER(SEARCH($A14,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ISNUMBER(SEARCH($A14, INDEX(AsistenciaJetAdminConcatenada!$D:$D, MATCH(1, (AsistenciaJetAdminConcatenada!$A:$A=BD$2)*(AsistenciaJetAdminConcatenada!$B:$B=BD$1), 0)), 1))),  0.5, 0))</f>
        <v>0</v>
      </c>
      <c r="BE14" s="47">
        <f t="array" ref="BE14">IF(AND(ISNUMBER(MATCH(BE$2, AsistenciaJetAdminConcatenada!$A:$A, 0)), ISNUMBER(MATCH(BE$1, AsistenciaJetAdminConcatenada!$B:$B, 0)), ISNUMBER(SEARCH($A14,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ISNUMBER(SEARCH($A14, INDEX(AsistenciaJetAdminConcatenada!$D:$D, MATCH(1, (AsistenciaJetAdminConcatenada!$A:$A=BE$2)*(AsistenciaJetAdminConcatenada!$B:$B=BE$1), 0)), 1))),  0.5, 0))</f>
        <v>1</v>
      </c>
      <c r="BF14" s="47">
        <f t="array" ref="BF14">IF(AND(ISNUMBER(MATCH(BF$2, AsistenciaJetAdminConcatenada!$A:$A, 0)), ISNUMBER(MATCH(BF$1, AsistenciaJetAdminConcatenada!$B:$B, 0)), ISNUMBER(SEARCH($A14,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ISNUMBER(SEARCH($A14, INDEX(AsistenciaJetAdminConcatenada!$D:$D, MATCH(1, (AsistenciaJetAdminConcatenada!$A:$A=BF$2)*(AsistenciaJetAdminConcatenada!$B:$B=BF$1), 0)), 1))),  0.5, 0))</f>
        <v>0</v>
      </c>
      <c r="BG14" s="47">
        <f t="array" ref="BG14">IF(AND(ISNUMBER(MATCH(BG$2, AsistenciaJetAdminConcatenada!$A:$A, 0)), ISNUMBER(MATCH(BG$1, AsistenciaJetAdminConcatenada!$B:$B, 0)), ISNUMBER(SEARCH($A14,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ISNUMBER(SEARCH($A14, INDEX(AsistenciaJetAdminConcatenada!$D:$D, MATCH(1, (AsistenciaJetAdminConcatenada!$A:$A=BG$2)*(AsistenciaJetAdminConcatenada!$B:$B=BG$1), 0)), 1))),  0.5, 0))</f>
        <v>1</v>
      </c>
      <c r="BH14" s="47">
        <f t="array" ref="BH14">IF(AND(ISNUMBER(MATCH(BH$2, AsistenciaJetAdminConcatenada!$A:$A, 0)), ISNUMBER(MATCH(BH$1, AsistenciaJetAdminConcatenada!$B:$B, 0)), ISNUMBER(SEARCH($A14,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ISNUMBER(SEARCH($A14, INDEX(AsistenciaJetAdminConcatenada!$D:$D, MATCH(1, (AsistenciaJetAdminConcatenada!$A:$A=BH$2)*(AsistenciaJetAdminConcatenada!$B:$B=BH$1), 0)), 1))),  0.5, 0))</f>
        <v>1</v>
      </c>
      <c r="BI14" s="47">
        <f t="array" ref="BI14">IF(AND(ISNUMBER(MATCH(BI$2, AsistenciaJetAdminConcatenada!$A:$A, 0)), ISNUMBER(MATCH(BI$1, AsistenciaJetAdminConcatenada!$B:$B, 0)), ISNUMBER(SEARCH($A14,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ISNUMBER(SEARCH($A14, INDEX(AsistenciaJetAdminConcatenada!$D:$D, MATCH(1, (AsistenciaJetAdminConcatenada!$A:$A=BI$2)*(AsistenciaJetAdminConcatenada!$B:$B=BI$1), 0)), 1))),  0.5, 0))</f>
        <v>1</v>
      </c>
      <c r="BJ14" s="47">
        <f t="array" ref="BJ14">IF(AND(ISNUMBER(MATCH(BJ$2, AsistenciaJetAdminConcatenada!$A:$A, 0)), ISNUMBER(MATCH(BJ$1, AsistenciaJetAdminConcatenada!$B:$B, 0)), ISNUMBER(SEARCH($A14,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ISNUMBER(SEARCH($A14, INDEX(AsistenciaJetAdminConcatenada!$D:$D, MATCH(1, (AsistenciaJetAdminConcatenada!$A:$A=BJ$2)*(AsistenciaJetAdminConcatenada!$B:$B=BJ$1), 0)), 1))),  0.5, 0))</f>
        <v>1</v>
      </c>
      <c r="BK14" s="47">
        <f t="array" ref="BK14">IF(AND(ISNUMBER(MATCH(BK$2, AsistenciaJetAdminConcatenada!$A:$A, 0)), ISNUMBER(MATCH(BK$1, AsistenciaJetAdminConcatenada!$B:$B, 0)), ISNUMBER(SEARCH($A14,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ISNUMBER(SEARCH($A14, INDEX(AsistenciaJetAdminConcatenada!$D:$D, MATCH(1, (AsistenciaJetAdminConcatenada!$A:$A=BK$2)*(AsistenciaJetAdminConcatenada!$B:$B=BK$1), 0)), 1))),  0.5, 0))</f>
        <v>1</v>
      </c>
      <c r="BL14" s="47">
        <f t="array" ref="BL14">IF(AND(ISNUMBER(MATCH(BL$2, AsistenciaJetAdminConcatenada!$A:$A, 0)), ISNUMBER(MATCH(BL$1, AsistenciaJetAdminConcatenada!$B:$B, 0)), ISNUMBER(SEARCH($A14,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ISNUMBER(SEARCH($A14, INDEX(AsistenciaJetAdminConcatenada!$D:$D, MATCH(1, (AsistenciaJetAdminConcatenada!$A:$A=BL$2)*(AsistenciaJetAdminConcatenada!$B:$B=BL$1), 0)), 1))),  0.5, 0))</f>
        <v>1</v>
      </c>
      <c r="BM14" s="47">
        <f t="array" ref="BM14">IF(AND(ISNUMBER(MATCH(BM$2, AsistenciaJetAdminConcatenada!$A:$A, 0)), ISNUMBER(MATCH(BM$1, AsistenciaJetAdminConcatenada!$B:$B, 0)), ISNUMBER(SEARCH($A14,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ISNUMBER(SEARCH($A14, INDEX(AsistenciaJetAdminConcatenada!$D:$D, MATCH(1, (AsistenciaJetAdminConcatenada!$A:$A=BM$2)*(AsistenciaJetAdminConcatenada!$B:$B=BM$1), 0)), 1))),  0.5, 0))</f>
        <v>0</v>
      </c>
      <c r="BN14" s="47">
        <f t="array" ref="BN14">IF(AND(ISNUMBER(MATCH(BN$2, AsistenciaJetAdminConcatenada!$A:$A, 0)), ISNUMBER(MATCH(BN$1, AsistenciaJetAdminConcatenada!$B:$B, 0)), ISNUMBER(SEARCH($A14,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ISNUMBER(SEARCH($A14, INDEX(AsistenciaJetAdminConcatenada!$D:$D, MATCH(1, (AsistenciaJetAdminConcatenada!$A:$A=BN$2)*(AsistenciaJetAdminConcatenada!$B:$B=BN$1), 0)), 1))),  0.5, 0))</f>
        <v>0</v>
      </c>
      <c r="BO14" s="47">
        <f t="array" ref="BO14">IF(AND(ISNUMBER(MATCH(BO$2, AsistenciaJetAdminConcatenada!$A:$A, 0)), ISNUMBER(MATCH(BO$1, AsistenciaJetAdminConcatenada!$B:$B, 0)), ISNUMBER(SEARCH($A14,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ISNUMBER(SEARCH($A14, INDEX(AsistenciaJetAdminConcatenada!$D:$D, MATCH(1, (AsistenciaJetAdminConcatenada!$A:$A=BO$2)*(AsistenciaJetAdminConcatenada!$B:$B=BO$1), 0)), 1))),  0.5, 0))</f>
        <v>1</v>
      </c>
      <c r="BP14" s="47">
        <f t="array" ref="BP14">IF(AND(ISNUMBER(MATCH(BP$2, AsistenciaJetAdminConcatenada!$A:$A, 0)), ISNUMBER(MATCH(BP$1, AsistenciaJetAdminConcatenada!$B:$B, 0)), ISNUMBER(SEARCH($A14,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ISNUMBER(SEARCH($A14, INDEX(AsistenciaJetAdminConcatenada!$D:$D, MATCH(1, (AsistenciaJetAdminConcatenada!$A:$A=BP$2)*(AsistenciaJetAdminConcatenada!$B:$B=BP$1), 0)), 1))),  0.5, 0))</f>
        <v>1</v>
      </c>
      <c r="BQ14" s="47">
        <f t="array" ref="BQ14">IF(AND(ISNUMBER(MATCH(BQ$2, AsistenciaJetAdminConcatenada!$A:$A, 0)), ISNUMBER(MATCH(BQ$1, AsistenciaJetAdminConcatenada!$B:$B, 0)), ISNUMBER(SEARCH($A14,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ISNUMBER(SEARCH($A14, INDEX(AsistenciaJetAdminConcatenada!$D:$D, MATCH(1, (AsistenciaJetAdminConcatenada!$A:$A=BQ$2)*(AsistenciaJetAdminConcatenada!$B:$B=BQ$1), 0)), 1))),  0.5, 0))</f>
        <v>0</v>
      </c>
      <c r="BR14" s="47">
        <f t="array" ref="BR14">IF(AND(ISNUMBER(MATCH(BR$2, AsistenciaJetAdminConcatenada!$A:$A, 0)), ISNUMBER(MATCH(BR$1, AsistenciaJetAdminConcatenada!$B:$B, 0)), ISNUMBER(SEARCH($A14,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ISNUMBER(SEARCH($A14, INDEX(AsistenciaJetAdminConcatenada!$D:$D, MATCH(1, (AsistenciaJetAdminConcatenada!$A:$A=BR$2)*(AsistenciaJetAdminConcatenada!$B:$B=BR$1), 0)), 1))),  0.5, 0))</f>
        <v>0</v>
      </c>
      <c r="BS14" s="47">
        <f t="array" ref="BS14">IF(AND(ISNUMBER(MATCH(BS$2, AsistenciaJetAdminConcatenada!$A:$A, 0)), ISNUMBER(MATCH(BS$1, AsistenciaJetAdminConcatenada!$B:$B, 0)), ISNUMBER(SEARCH($A14,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ISNUMBER(SEARCH($A14, INDEX(AsistenciaJetAdminConcatenada!$D:$D, MATCH(1, (AsistenciaJetAdminConcatenada!$A:$A=BS$2)*(AsistenciaJetAdminConcatenada!$B:$B=BS$1), 0)), 1))),  0.5, 0))</f>
        <v>1</v>
      </c>
      <c r="BT14" s="47">
        <f t="array" ref="BT14">IF(AND(ISNUMBER(MATCH(BT$2, AsistenciaJetAdminConcatenada!$A:$A, 0)), ISNUMBER(MATCH(BT$1, AsistenciaJetAdminConcatenada!$B:$B, 0)), ISNUMBER(SEARCH($A14,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ISNUMBER(SEARCH($A14, INDEX(AsistenciaJetAdminConcatenada!$D:$D, MATCH(1, (AsistenciaJetAdminConcatenada!$A:$A=BT$2)*(AsistenciaJetAdminConcatenada!$B:$B=BT$1), 0)), 1))),  0.5, 0))</f>
        <v>1</v>
      </c>
      <c r="BU14" s="47">
        <f t="array" ref="BU14">IF(AND(ISNUMBER(MATCH(BU$2, AsistenciaJetAdminConcatenada!$A:$A, 0)), ISNUMBER(MATCH(BU$1, AsistenciaJetAdminConcatenada!$B:$B, 0)), ISNUMBER(SEARCH($A14,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ISNUMBER(SEARCH($A14, INDEX(AsistenciaJetAdminConcatenada!$D:$D, MATCH(1, (AsistenciaJetAdminConcatenada!$A:$A=BU$2)*(AsistenciaJetAdminConcatenada!$B:$B=BU$1), 0)), 1))),  0.5, 0))</f>
        <v>0</v>
      </c>
      <c r="BV14" s="47">
        <f t="array" ref="BV14">IF(AND(ISNUMBER(MATCH(BV$2, AsistenciaJetAdminConcatenada!$A:$A, 0)), ISNUMBER(MATCH(BV$1, AsistenciaJetAdminConcatenada!$B:$B, 0)), ISNUMBER(SEARCH($A14,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ISNUMBER(SEARCH($A14, INDEX(AsistenciaJetAdminConcatenada!$D:$D, MATCH(1, (AsistenciaJetAdminConcatenada!$A:$A=BV$2)*(AsistenciaJetAdminConcatenada!$B:$B=BV$1), 0)), 1))),  0.5, 0))</f>
        <v>0</v>
      </c>
      <c r="BW14" s="47">
        <f t="array" ref="BW14">IF(AND(ISNUMBER(MATCH(BW$2, AsistenciaJetAdminConcatenada!$A:$A, 0)), ISNUMBER(MATCH(BW$1, AsistenciaJetAdminConcatenada!$B:$B, 0)), ISNUMBER(SEARCH($A14,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ISNUMBER(SEARCH($A14, INDEX(AsistenciaJetAdminConcatenada!$D:$D, MATCH(1, (AsistenciaJetAdminConcatenada!$A:$A=BW$2)*(AsistenciaJetAdminConcatenada!$B:$B=BW$1), 0)), 1))),  0.5, 0))</f>
        <v>0</v>
      </c>
      <c r="BX14" s="47">
        <f t="array" ref="BX14">IF(AND(ISNUMBER(MATCH(BX$2, AsistenciaJetAdminConcatenada!$A:$A, 0)), ISNUMBER(MATCH(BX$1, AsistenciaJetAdminConcatenada!$B:$B, 0)), ISNUMBER(SEARCH($A14,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ISNUMBER(SEARCH($A14, INDEX(AsistenciaJetAdminConcatenada!$D:$D, MATCH(1, (AsistenciaJetAdminConcatenada!$A:$A=BX$2)*(AsistenciaJetAdminConcatenada!$B:$B=BX$1), 0)), 1))),  0.5, 0))</f>
        <v>0</v>
      </c>
      <c r="BY14" s="47">
        <f t="array" ref="BY14">IF(AND(ISNUMBER(MATCH(BY$2, AsistenciaJetAdminConcatenada!$A:$A, 0)), ISNUMBER(MATCH(BY$1, AsistenciaJetAdminConcatenada!$B:$B, 0)), ISNUMBER(SEARCH($A14,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ISNUMBER(SEARCH($A14, INDEX(AsistenciaJetAdminConcatenada!$D:$D, MATCH(1, (AsistenciaJetAdminConcatenada!$A:$A=BY$2)*(AsistenciaJetAdminConcatenada!$B:$B=BY$1), 0)), 1))),  0.5, 0))</f>
        <v>1</v>
      </c>
      <c r="BZ14" s="47">
        <f t="array" ref="BZ14">IF(AND(ISNUMBER(MATCH(BZ$2, AsistenciaJetAdminConcatenada!$A:$A, 0)), ISNUMBER(MATCH(BZ$1, AsistenciaJetAdminConcatenada!$B:$B, 0)), ISNUMBER(SEARCH($A14,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ISNUMBER(SEARCH($A14, INDEX(AsistenciaJetAdminConcatenada!$D:$D, MATCH(1, (AsistenciaJetAdminConcatenada!$A:$A=BZ$2)*(AsistenciaJetAdminConcatenada!$B:$B=BZ$1), 0)), 1))),  0.5, 0))</f>
        <v>1</v>
      </c>
      <c r="CA14" s="47">
        <f t="array" ref="CA14">IF(AND(ISNUMBER(MATCH(CA$2, AsistenciaJetAdminConcatenada!$A:$A, 0)), ISNUMBER(MATCH(CA$1, AsistenciaJetAdminConcatenada!$B:$B, 0)), ISNUMBER(SEARCH($A14,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ISNUMBER(SEARCH($A14, INDEX(AsistenciaJetAdminConcatenada!$D:$D, MATCH(1, (AsistenciaJetAdminConcatenada!$A:$A=CA$2)*(AsistenciaJetAdminConcatenada!$B:$B=CA$1), 0)), 1))),  0.5, 0))</f>
        <v>1</v>
      </c>
      <c r="CB14" s="47">
        <f t="array" ref="CB14">IF(AND(ISNUMBER(MATCH(CB$2, AsistenciaJetAdminConcatenada!$A:$A, 0)), ISNUMBER(MATCH(CB$1, AsistenciaJetAdminConcatenada!$B:$B, 0)), ISNUMBER(SEARCH($A14,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ISNUMBER(SEARCH($A14, INDEX(AsistenciaJetAdminConcatenada!$D:$D, MATCH(1, (AsistenciaJetAdminConcatenada!$A:$A=CB$2)*(AsistenciaJetAdminConcatenada!$B:$B=CB$1), 0)), 1))),  0.5, 0))</f>
        <v>0</v>
      </c>
      <c r="CC14" s="47">
        <f t="array" ref="CC14">IF(AND(ISNUMBER(MATCH(CC$2, AsistenciaJetAdminConcatenada!$A:$A, 0)), ISNUMBER(MATCH(CC$1, AsistenciaJetAdminConcatenada!$B:$B, 0)), ISNUMBER(SEARCH($A14,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ISNUMBER(SEARCH($A14, INDEX(AsistenciaJetAdminConcatenada!$D:$D, MATCH(1, (AsistenciaJetAdminConcatenada!$A:$A=CC$2)*(AsistenciaJetAdminConcatenada!$B:$B=CC$1), 0)), 1))),  0.5, 0))</f>
        <v>1</v>
      </c>
      <c r="CD14" s="47">
        <f t="array" ref="CD14">IF(AND(ISNUMBER(MATCH(CD$2, AsistenciaJetAdminConcatenada!$A:$A, 0)), ISNUMBER(MATCH(CD$1, AsistenciaJetAdminConcatenada!$B:$B, 0)), ISNUMBER(SEARCH($A14,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ISNUMBER(SEARCH($A14, INDEX(AsistenciaJetAdminConcatenada!$D:$D, MATCH(1, (AsistenciaJetAdminConcatenada!$A:$A=CD$2)*(AsistenciaJetAdminConcatenada!$B:$B=CD$1), 0)), 1))),  0.5, 0))</f>
        <v>1</v>
      </c>
      <c r="CE14" s="47">
        <f t="array" ref="CE14">IF(AND(ISNUMBER(MATCH(CE$2, AsistenciaJetAdminConcatenada!$A:$A, 0)), ISNUMBER(MATCH(CE$1, AsistenciaJetAdminConcatenada!$B:$B, 0)), ISNUMBER(SEARCH($A14,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ISNUMBER(SEARCH($A14, INDEX(AsistenciaJetAdminConcatenada!$D:$D, MATCH(1, (AsistenciaJetAdminConcatenada!$A:$A=CE$2)*(AsistenciaJetAdminConcatenada!$B:$B=CE$1), 0)), 1))),  0.5, 0))</f>
        <v>1</v>
      </c>
      <c r="CF14" s="47">
        <f t="array" ref="CF14">IF(AND(ISNUMBER(MATCH(CF$2, AsistenciaJetAdminConcatenada!$A:$A, 0)), ISNUMBER(MATCH(CF$1, AsistenciaJetAdminConcatenada!$B:$B, 0)), ISNUMBER(SEARCH($A14,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ISNUMBER(SEARCH($A14, INDEX(AsistenciaJetAdminConcatenada!$D:$D, MATCH(1, (AsistenciaJetAdminConcatenada!$A:$A=CF$2)*(AsistenciaJetAdminConcatenada!$B:$B=CF$1), 0)), 1))),  0.5, 0))</f>
        <v>0</v>
      </c>
      <c r="CG14" s="47">
        <f t="array" ref="CG14">IF(AND(ISNUMBER(MATCH(CG$2, AsistenciaJetAdminConcatenada!$A:$A, 0)), ISNUMBER(MATCH(CG$1, AsistenciaJetAdminConcatenada!$B:$B, 0)), ISNUMBER(SEARCH($A14,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ISNUMBER(SEARCH($A14, INDEX(AsistenciaJetAdminConcatenada!$D:$D, MATCH(1, (AsistenciaJetAdminConcatenada!$A:$A=CG$2)*(AsistenciaJetAdminConcatenada!$B:$B=CG$1), 0)), 1))),  0.5, 0))</f>
        <v>0</v>
      </c>
      <c r="CH14" s="47">
        <f t="array" ref="CH14">IF(AND(ISNUMBER(MATCH(CH$2, AsistenciaJetAdminConcatenada!$A:$A, 0)), ISNUMBER(MATCH(CH$1, AsistenciaJetAdminConcatenada!$B:$B, 0)), ISNUMBER(SEARCH($A14,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ISNUMBER(SEARCH($A14, INDEX(AsistenciaJetAdminConcatenada!$D:$D, MATCH(1, (AsistenciaJetAdminConcatenada!$A:$A=CH$2)*(AsistenciaJetAdminConcatenada!$B:$B=CH$1), 0)), 1))),  0.5, 0))</f>
        <v>0</v>
      </c>
      <c r="CI14" s="47">
        <f t="array" ref="CI14">IF(AND(ISNUMBER(MATCH(CI$2, AsistenciaJetAdminConcatenada!$A:$A, 0)), ISNUMBER(MATCH(CI$1, AsistenciaJetAdminConcatenada!$B:$B, 0)), ISNUMBER(SEARCH($A14,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ISNUMBER(SEARCH($A14, INDEX(AsistenciaJetAdminConcatenada!$D:$D, MATCH(1, (AsistenciaJetAdminConcatenada!$A:$A=CI$2)*(AsistenciaJetAdminConcatenada!$B:$B=CI$1), 0)), 1))),  0.5, 0))</f>
        <v>0</v>
      </c>
      <c r="CJ14" s="47">
        <f t="array" ref="CJ14">IF(AND(ISNUMBER(MATCH(CJ$2, AsistenciaJetAdminConcatenada!$A:$A, 0)), ISNUMBER(MATCH(CJ$1, AsistenciaJetAdminConcatenada!$B:$B, 0)), ISNUMBER(SEARCH($A14,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ISNUMBER(SEARCH($A14, INDEX(AsistenciaJetAdminConcatenada!$D:$D, MATCH(1, (AsistenciaJetAdminConcatenada!$A:$A=CJ$2)*(AsistenciaJetAdminConcatenada!$B:$B=CJ$1), 0)), 1))),  0.5, 0))</f>
        <v>0</v>
      </c>
      <c r="CK14" s="47">
        <f t="array" ref="CK14">IF(AND(ISNUMBER(MATCH(CK$2, AsistenciaJetAdminConcatenada!$A:$A, 0)), ISNUMBER(MATCH(CK$1, AsistenciaJetAdminConcatenada!$B:$B, 0)), ISNUMBER(SEARCH($A14,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ISNUMBER(SEARCH($A14, INDEX(AsistenciaJetAdminConcatenada!$D:$D, MATCH(1, (AsistenciaJetAdminConcatenada!$A:$A=CK$2)*(AsistenciaJetAdminConcatenada!$B:$B=CK$1), 0)), 1))),  0.5, 0))</f>
        <v>0</v>
      </c>
      <c r="CL14" s="47">
        <f t="array" ref="CL14">IF(AND(ISNUMBER(MATCH(CL$2, AsistenciaJetAdminConcatenada!$A:$A, 0)), ISNUMBER(MATCH(CL$1, AsistenciaJetAdminConcatenada!$B:$B, 0)), ISNUMBER(SEARCH($A14,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ISNUMBER(SEARCH($A14, INDEX(AsistenciaJetAdminConcatenada!$D:$D, MATCH(1, (AsistenciaJetAdminConcatenada!$A:$A=CL$2)*(AsistenciaJetAdminConcatenada!$B:$B=CL$1), 0)), 1))),  0.5, 0))</f>
        <v>1</v>
      </c>
      <c r="CM14" s="47">
        <f t="array" ref="CM14">IF(AND(ISNUMBER(MATCH(CM$2, AsistenciaJetAdminConcatenada!$A:$A, 0)), ISNUMBER(MATCH(CM$1, AsistenciaJetAdminConcatenada!$B:$B, 0)), ISNUMBER(SEARCH($A14,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ISNUMBER(SEARCH($A14, INDEX(AsistenciaJetAdminConcatenada!$D:$D, MATCH(1, (AsistenciaJetAdminConcatenada!$A:$A=CM$2)*(AsistenciaJetAdminConcatenada!$B:$B=CM$1), 0)), 1))),  0.5, 0))</f>
        <v>1</v>
      </c>
      <c r="CN14" s="47">
        <f t="array" ref="CN14">IF(AND(ISNUMBER(MATCH(CN$2, AsistenciaJetAdminConcatenada!$A:$A, 0)), ISNUMBER(MATCH(CN$1, AsistenciaJetAdminConcatenada!$B:$B, 0)), ISNUMBER(SEARCH($A14,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ISNUMBER(SEARCH($A14, INDEX(AsistenciaJetAdminConcatenada!$D:$D, MATCH(1, (AsistenciaJetAdminConcatenada!$A:$A=CN$2)*(AsistenciaJetAdminConcatenada!$B:$B=CN$1), 0)), 1))),  0.5, 0))</f>
        <v>1</v>
      </c>
      <c r="CO14" s="47">
        <f t="array" ref="CO14">IF(AND(ISNUMBER(MATCH(CO$2, AsistenciaJetAdminConcatenada!$A:$A, 0)), ISNUMBER(MATCH(CO$1, AsistenciaJetAdminConcatenada!$B:$B, 0)), ISNUMBER(SEARCH($A14,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ISNUMBER(SEARCH($A14, INDEX(AsistenciaJetAdminConcatenada!$D:$D, MATCH(1, (AsistenciaJetAdminConcatenada!$A:$A=CO$2)*(AsistenciaJetAdminConcatenada!$B:$B=CO$1), 0)), 1))),  0.5, 0))</f>
        <v>1</v>
      </c>
      <c r="CP14" s="47">
        <f t="array" ref="CP14">IF(AND(ISNUMBER(MATCH(CP$2, AsistenciaJetAdminConcatenada!$A:$A, 0)), ISNUMBER(MATCH(CP$1, AsistenciaJetAdminConcatenada!$B:$B, 0)), ISNUMBER(SEARCH($A14,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ISNUMBER(SEARCH($A14, INDEX(AsistenciaJetAdminConcatenada!$D:$D, MATCH(1, (AsistenciaJetAdminConcatenada!$A:$A=CP$2)*(AsistenciaJetAdminConcatenada!$B:$B=CP$1), 0)), 1))),  0.5, 0))</f>
        <v>1</v>
      </c>
      <c r="CQ14" s="47">
        <f t="array" ref="CQ14">IF(AND(ISNUMBER(MATCH(CQ$2, AsistenciaJetAdminConcatenada!$A:$A, 0)), ISNUMBER(MATCH(CQ$1, AsistenciaJetAdminConcatenada!$B:$B, 0)), ISNUMBER(SEARCH($A14,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ISNUMBER(SEARCH($A14, INDEX(AsistenciaJetAdminConcatenada!$D:$D, MATCH(1, (AsistenciaJetAdminConcatenada!$A:$A=CQ$2)*(AsistenciaJetAdminConcatenada!$B:$B=CQ$1), 0)), 1))),  0.5, 0))</f>
        <v>0</v>
      </c>
      <c r="CR14" s="47">
        <f t="array" ref="CR14">IF(AND(ISNUMBER(MATCH(CR$2, AsistenciaJetAdminConcatenada!$A:$A, 0)), ISNUMBER(MATCH(CR$1, AsistenciaJetAdminConcatenada!$B:$B, 0)), ISNUMBER(SEARCH($A14,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ISNUMBER(SEARCH($A14, INDEX(AsistenciaJetAdminConcatenada!$D:$D, MATCH(1, (AsistenciaJetAdminConcatenada!$A:$A=CR$2)*(AsistenciaJetAdminConcatenada!$B:$B=CR$1), 0)), 1))),  0.5, 0))</f>
        <v>1</v>
      </c>
      <c r="CS14" s="47">
        <f t="array" ref="CS14">IF(AND(ISNUMBER(MATCH(CS$2, AsistenciaJetAdminConcatenada!$A:$A, 0)), ISNUMBER(MATCH(CS$1, AsistenciaJetAdminConcatenada!$B:$B, 0)), ISNUMBER(SEARCH($A14,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ISNUMBER(SEARCH($A14, INDEX(AsistenciaJetAdminConcatenada!$D:$D, MATCH(1, (AsistenciaJetAdminConcatenada!$A:$A=CS$2)*(AsistenciaJetAdminConcatenada!$B:$B=CS$1), 0)), 1))),  0.5, 0))</f>
        <v>0</v>
      </c>
      <c r="CT14" s="47">
        <f t="array" ref="CT14">IF(AND(ISNUMBER(MATCH(CT$2, AsistenciaJetAdminConcatenada!$A:$A, 0)), ISNUMBER(MATCH(CT$1, AsistenciaJetAdminConcatenada!$B:$B, 0)), ISNUMBER(SEARCH($A14,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ISNUMBER(SEARCH($A14, INDEX(AsistenciaJetAdminConcatenada!$D:$D, MATCH(1, (AsistenciaJetAdminConcatenada!$A:$A=CT$2)*(AsistenciaJetAdminConcatenada!$B:$B=CT$1), 0)), 1))),  0.5, 0))</f>
        <v>0</v>
      </c>
      <c r="CU14" s="47">
        <f t="array" ref="CU14">IF(AND(ISNUMBER(MATCH(CU$2, AsistenciaJetAdminConcatenada!$A:$A, 0)), ISNUMBER(MATCH(CU$1, AsistenciaJetAdminConcatenada!$B:$B, 0)), ISNUMBER(SEARCH($A14,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ISNUMBER(SEARCH($A14, INDEX(AsistenciaJetAdminConcatenada!$D:$D, MATCH(1, (AsistenciaJetAdminConcatenada!$A:$A=CU$2)*(AsistenciaJetAdminConcatenada!$B:$B=CU$1), 0)), 1))),  0.5, 0))</f>
        <v>0</v>
      </c>
      <c r="CV14" s="47">
        <f t="array" ref="CV14">IF(AND(ISNUMBER(MATCH(CV$2, AsistenciaJetAdminConcatenada!$A:$A, 0)), ISNUMBER(MATCH(CV$1, AsistenciaJetAdminConcatenada!$B:$B, 0)), ISNUMBER(SEARCH($A14,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ISNUMBER(SEARCH($A14, INDEX(AsistenciaJetAdminConcatenada!$D:$D, MATCH(1, (AsistenciaJetAdminConcatenada!$A:$A=CV$2)*(AsistenciaJetAdminConcatenada!$B:$B=CV$1), 0)), 1))),  0.5, 0))</f>
        <v>0</v>
      </c>
      <c r="CW14" s="47">
        <f t="array" ref="CW14">IF(AND(ISNUMBER(MATCH(CW$2, AsistenciaJetAdminConcatenada!$A:$A, 0)), ISNUMBER(MATCH(CW$1, AsistenciaJetAdminConcatenada!$B:$B, 0)), ISNUMBER(SEARCH($A14,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ISNUMBER(SEARCH($A14, INDEX(AsistenciaJetAdminConcatenada!$D:$D, MATCH(1, (AsistenciaJetAdminConcatenada!$A:$A=CW$2)*(AsistenciaJetAdminConcatenada!$B:$B=CW$1), 0)), 1))),  0.5, 0))</f>
        <v>0</v>
      </c>
      <c r="CX14" s="47">
        <f t="array" ref="CX14">IF(AND(ISNUMBER(MATCH(CX$2, AsistenciaJetAdminConcatenada!$A:$A, 0)), ISNUMBER(MATCH(CX$1, AsistenciaJetAdminConcatenada!$B:$B, 0)), ISNUMBER(SEARCH($A14,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ISNUMBER(SEARCH($A14, INDEX(AsistenciaJetAdminConcatenada!$D:$D, MATCH(1, (AsistenciaJetAdminConcatenada!$A:$A=CX$2)*(AsistenciaJetAdminConcatenada!$B:$B=CX$1), 0)), 1))),  0.5, 0))</f>
        <v>0</v>
      </c>
      <c r="CY14" s="47">
        <f t="array" ref="CY14">IF(AND(ISNUMBER(MATCH(CY$2, AsistenciaJetAdminConcatenada!$A:$A, 0)), ISNUMBER(MATCH(CY$1, AsistenciaJetAdminConcatenada!$B:$B, 0)), ISNUMBER(SEARCH($A14,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ISNUMBER(SEARCH($A14, INDEX(AsistenciaJetAdminConcatenada!$D:$D, MATCH(1, (AsistenciaJetAdminConcatenada!$A:$A=CY$2)*(AsistenciaJetAdminConcatenada!$B:$B=CY$1), 0)), 1))),  0.5, 0))</f>
        <v>0</v>
      </c>
      <c r="CZ14" s="47">
        <f t="array" ref="CZ14">IF(AND(ISNUMBER(MATCH(CZ$2, AsistenciaJetAdminConcatenada!$A:$A, 0)), ISNUMBER(MATCH(CZ$1, AsistenciaJetAdminConcatenada!$B:$B, 0)), ISNUMBER(SEARCH($A14,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ISNUMBER(SEARCH($A14, INDEX(AsistenciaJetAdminConcatenada!$D:$D, MATCH(1, (AsistenciaJetAdminConcatenada!$A:$A=CZ$2)*(AsistenciaJetAdminConcatenada!$B:$B=CZ$1), 0)), 1))),  0.5, 0))</f>
        <v>0</v>
      </c>
      <c r="DA14" s="47">
        <f t="array" ref="DA14">IF(AND(ISNUMBER(MATCH(DA$2, AsistenciaJetAdminConcatenada!$A:$A, 0)), ISNUMBER(MATCH(DA$1, AsistenciaJetAdminConcatenada!$B:$B, 0)), ISNUMBER(SEARCH($A14,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ISNUMBER(SEARCH($A14, INDEX(AsistenciaJetAdminConcatenada!$D:$D, MATCH(1, (AsistenciaJetAdminConcatenada!$A:$A=DA$2)*(AsistenciaJetAdminConcatenada!$B:$B=DA$1), 0)), 1))),  0.5, 0))</f>
        <v>0</v>
      </c>
      <c r="DB14" s="47">
        <f t="array" ref="DB14">IF(AND(ISNUMBER(MATCH(DB$2, AsistenciaJetAdminConcatenada!$A:$A, 0)), ISNUMBER(MATCH(DB$1, AsistenciaJetAdminConcatenada!$B:$B, 0)), ISNUMBER(SEARCH($A14,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ISNUMBER(SEARCH($A14, INDEX(AsistenciaJetAdminConcatenada!$D:$D, MATCH(1, (AsistenciaJetAdminConcatenada!$A:$A=DB$2)*(AsistenciaJetAdminConcatenada!$B:$B=DB$1), 0)), 1))),  0.5, 0))</f>
        <v>0</v>
      </c>
      <c r="DC14" s="47">
        <f t="array" ref="DC14">IF(AND(ISNUMBER(MATCH(DC$2, AsistenciaJetAdminConcatenada!$A:$A, 0)), ISNUMBER(MATCH(DC$1, AsistenciaJetAdminConcatenada!$B:$B, 0)), ISNUMBER(SEARCH($A14,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ISNUMBER(SEARCH($A14, INDEX(AsistenciaJetAdminConcatenada!$D:$D, MATCH(1, (AsistenciaJetAdminConcatenada!$A:$A=DC$2)*(AsistenciaJetAdminConcatenada!$B:$B=DC$1), 0)), 1))),  0.5, 0))</f>
        <v>0</v>
      </c>
      <c r="DD14" s="47">
        <f t="array" ref="DD14">IF(AND(ISNUMBER(MATCH(DD$2, AsistenciaJetAdminConcatenada!$A:$A, 0)), ISNUMBER(MATCH(DD$1, AsistenciaJetAdminConcatenada!$B:$B, 0)), ISNUMBER(SEARCH($A14,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ISNUMBER(SEARCH($A14, INDEX(AsistenciaJetAdminConcatenada!$D:$D, MATCH(1, (AsistenciaJetAdminConcatenada!$A:$A=DD$2)*(AsistenciaJetAdminConcatenada!$B:$B=DD$1), 0)), 1))),  0.5, 0))</f>
        <v>0</v>
      </c>
      <c r="DE14" s="47">
        <f t="array" ref="DE14">IF(AND(ISNUMBER(MATCH(DE$2, AsistenciaJetAdminConcatenada!$A:$A, 0)), ISNUMBER(MATCH(DE$1, AsistenciaJetAdminConcatenada!$B:$B, 0)), ISNUMBER(SEARCH($A14,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ISNUMBER(SEARCH($A14, INDEX(AsistenciaJetAdminConcatenada!$D:$D, MATCH(1, (AsistenciaJetAdminConcatenada!$A:$A=DE$2)*(AsistenciaJetAdminConcatenada!$B:$B=DE$1), 0)), 1))),  0.5, 0))</f>
        <v>0</v>
      </c>
      <c r="DF14" s="47">
        <f t="array" ref="DF14">IF(AND(ISNUMBER(MATCH(DF$2, AsistenciaJetAdminConcatenada!$A:$A, 0)), ISNUMBER(MATCH(DF$1, AsistenciaJetAdminConcatenada!$B:$B, 0)), ISNUMBER(SEARCH($A14,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ISNUMBER(SEARCH($A14, INDEX(AsistenciaJetAdminConcatenada!$D:$D, MATCH(1, (AsistenciaJetAdminConcatenada!$A:$A=DF$2)*(AsistenciaJetAdminConcatenada!$B:$B=DF$1), 0)), 1))),  0.5, 0))</f>
        <v>0</v>
      </c>
      <c r="DG14" s="47">
        <f t="array" ref="DG14">IF(AND(ISNUMBER(MATCH(DG$2, AsistenciaJetAdminConcatenada!$A:$A, 0)), ISNUMBER(MATCH(DG$1, AsistenciaJetAdminConcatenada!$B:$B, 0)), ISNUMBER(SEARCH($A14,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ISNUMBER(SEARCH($A14, INDEX(AsistenciaJetAdminConcatenada!$D:$D, MATCH(1, (AsistenciaJetAdminConcatenada!$A:$A=DG$2)*(AsistenciaJetAdminConcatenada!$B:$B=DG$1), 0)), 1))),  0.5, 0))</f>
        <v>0</v>
      </c>
      <c r="DH14" s="47">
        <f t="array" ref="DH14">IF(AND(ISNUMBER(MATCH(DH$2, AsistenciaJetAdminConcatenada!$A:$A, 0)), ISNUMBER(MATCH(DH$1, AsistenciaJetAdminConcatenada!$B:$B, 0)), ISNUMBER(SEARCH($A14,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ISNUMBER(SEARCH($A14, INDEX(AsistenciaJetAdminConcatenada!$D:$D, MATCH(1, (AsistenciaJetAdminConcatenada!$A:$A=DH$2)*(AsistenciaJetAdminConcatenada!$B:$B=DH$1), 0)), 1))),  0.5, 0))</f>
        <v>0</v>
      </c>
      <c r="DI14" s="47">
        <f t="array" ref="DI14">IF(AND(ISNUMBER(MATCH(DI$2, AsistenciaJetAdminConcatenada!$A:$A, 0)), ISNUMBER(MATCH(DI$1, AsistenciaJetAdminConcatenada!$B:$B, 0)), ISNUMBER(SEARCH($A14,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ISNUMBER(SEARCH($A14, INDEX(AsistenciaJetAdminConcatenada!$D:$D, MATCH(1, (AsistenciaJetAdminConcatenada!$A:$A=DI$2)*(AsistenciaJetAdminConcatenada!$B:$B=DI$1), 0)), 1))),  0.5, 0))</f>
        <v>0</v>
      </c>
      <c r="DJ14" s="47">
        <f t="array" ref="DJ14">IF(AND(ISNUMBER(MATCH(DJ$2, AsistenciaJetAdminConcatenada!$A:$A, 0)), ISNUMBER(MATCH(DJ$1, AsistenciaJetAdminConcatenada!$B:$B, 0)), ISNUMBER(SEARCH($A14,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ISNUMBER(SEARCH($A14, INDEX(AsistenciaJetAdminConcatenada!$D:$D, MATCH(1, (AsistenciaJetAdminConcatenada!$A:$A=DJ$2)*(AsistenciaJetAdminConcatenada!$B:$B=DJ$1), 0)), 1))),  0.5, 0))</f>
        <v>0</v>
      </c>
      <c r="DK14" s="47">
        <f t="array" ref="DK14">IF(AND(ISNUMBER(MATCH(DK$2, AsistenciaJetAdminConcatenada!$A:$A, 0)), ISNUMBER(MATCH(DK$1, AsistenciaJetAdminConcatenada!$B:$B, 0)), ISNUMBER(SEARCH($A14,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ISNUMBER(SEARCH($A14, INDEX(AsistenciaJetAdminConcatenada!$D:$D, MATCH(1, (AsistenciaJetAdminConcatenada!$A:$A=DK$2)*(AsistenciaJetAdminConcatenada!$B:$B=DK$1), 0)), 1))),  0.5, 0))</f>
        <v>0</v>
      </c>
      <c r="DL14" s="47">
        <f t="array" ref="DL14">IF(AND(ISNUMBER(MATCH(DL$2, AsistenciaJetAdminConcatenada!$A:$A, 0)), ISNUMBER(MATCH(DL$1, AsistenciaJetAdminConcatenada!$B:$B, 0)), ISNUMBER(SEARCH($A14,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ISNUMBER(SEARCH($A14, INDEX(AsistenciaJetAdminConcatenada!$D:$D, MATCH(1, (AsistenciaJetAdminConcatenada!$A:$A=DL$2)*(AsistenciaJetAdminConcatenada!$B:$B=DL$1), 0)), 1))),  0.5, 0))</f>
        <v>0</v>
      </c>
      <c r="DM14" s="47">
        <f t="array" ref="DM14">IF(AND(ISNUMBER(MATCH(DM$2, AsistenciaJetAdminConcatenada!$A:$A, 0)), ISNUMBER(MATCH(DM$1, AsistenciaJetAdminConcatenada!$B:$B, 0)), ISNUMBER(SEARCH($A14,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ISNUMBER(SEARCH($A14, INDEX(AsistenciaJetAdminConcatenada!$D:$D, MATCH(1, (AsistenciaJetAdminConcatenada!$A:$A=DM$2)*(AsistenciaJetAdminConcatenada!$B:$B=DM$1), 0)), 1))),  0.5, 0))</f>
        <v>0</v>
      </c>
      <c r="DN14" s="47">
        <f t="array" ref="DN14">IF(AND(ISNUMBER(MATCH(DN$2, AsistenciaJetAdminConcatenada!$A:$A, 0)), ISNUMBER(MATCH(DN$1, AsistenciaJetAdminConcatenada!$B:$B, 0)), ISNUMBER(SEARCH($A14,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ISNUMBER(SEARCH($A14, INDEX(AsistenciaJetAdminConcatenada!$D:$D, MATCH(1, (AsistenciaJetAdminConcatenada!$A:$A=DN$2)*(AsistenciaJetAdminConcatenada!$B:$B=DN$1), 0)), 1))),  0.5, 0))</f>
        <v>0</v>
      </c>
      <c r="DO14" s="47">
        <f t="array" ref="DO14">IF(AND(ISNUMBER(MATCH(DO$2, AsistenciaJetAdminConcatenada!$A:$A, 0)), ISNUMBER(MATCH(DO$1, AsistenciaJetAdminConcatenada!$B:$B, 0)), ISNUMBER(SEARCH($A14,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ISNUMBER(SEARCH($A14, INDEX(AsistenciaJetAdminConcatenada!$D:$D, MATCH(1, (AsistenciaJetAdminConcatenada!$A:$A=DO$2)*(AsistenciaJetAdminConcatenada!$B:$B=DO$1), 0)), 1))),  0.5, 0))</f>
        <v>0</v>
      </c>
      <c r="DP14" s="47">
        <f t="array" ref="DP14">IF(AND(ISNUMBER(MATCH(DP$2, AsistenciaJetAdminConcatenada!$A:$A, 0)), ISNUMBER(MATCH(DP$1, AsistenciaJetAdminConcatenada!$B:$B, 0)), ISNUMBER(SEARCH($A14,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ISNUMBER(SEARCH($A14, INDEX(AsistenciaJetAdminConcatenada!$D:$D, MATCH(1, (AsistenciaJetAdminConcatenada!$A:$A=DP$2)*(AsistenciaJetAdminConcatenada!$B:$B=DP$1), 0)), 1))),  0.5, 0))</f>
        <v>0</v>
      </c>
      <c r="DQ14" s="47">
        <f t="array" ref="DQ14">IF(AND(ISNUMBER(MATCH(DQ$2, AsistenciaJetAdminConcatenada!$A:$A, 0)), ISNUMBER(MATCH(DQ$1, AsistenciaJetAdminConcatenada!$B:$B, 0)), ISNUMBER(SEARCH($A14,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ISNUMBER(SEARCH($A14, INDEX(AsistenciaJetAdminConcatenada!$D:$D, MATCH(1, (AsistenciaJetAdminConcatenada!$A:$A=DQ$2)*(AsistenciaJetAdminConcatenada!$B:$B=DQ$1), 0)), 1))),  0.5, 0))</f>
        <v>0</v>
      </c>
      <c r="DR14" s="47">
        <f t="array" ref="DR14">IF(AND(ISNUMBER(MATCH(DR$2, AsistenciaJetAdminConcatenada!$A:$A, 0)), ISNUMBER(MATCH(DR$1, AsistenciaJetAdminConcatenada!$B:$B, 0)), ISNUMBER(SEARCH($A14,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ISNUMBER(SEARCH($A14, INDEX(AsistenciaJetAdminConcatenada!$D:$D, MATCH(1, (AsistenciaJetAdminConcatenada!$A:$A=DR$2)*(AsistenciaJetAdminConcatenada!$B:$B=DR$1), 0)), 1))),  0.5, 0))</f>
        <v>0</v>
      </c>
      <c r="DS14" s="47">
        <f t="array" ref="DS14">IF(AND(ISNUMBER(MATCH(DS$2, AsistenciaJetAdminConcatenada!$A:$A, 0)), ISNUMBER(MATCH(DS$1, AsistenciaJetAdminConcatenada!$B:$B, 0)), ISNUMBER(SEARCH($A14,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ISNUMBER(SEARCH($A14, INDEX(AsistenciaJetAdminConcatenada!$D:$D, MATCH(1, (AsistenciaJetAdminConcatenada!$A:$A=DS$2)*(AsistenciaJetAdminConcatenada!$B:$B=DS$1), 0)), 1))),  0.5, 0))</f>
        <v>0</v>
      </c>
      <c r="DT14" s="47">
        <f t="array" ref="DT14">IF(AND(ISNUMBER(MATCH(DT$2, AsistenciaJetAdminConcatenada!$A:$A, 0)), ISNUMBER(MATCH(DT$1, AsistenciaJetAdminConcatenada!$B:$B, 0)), ISNUMBER(SEARCH($A14,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ISNUMBER(SEARCH($A14, INDEX(AsistenciaJetAdminConcatenada!$D:$D, MATCH(1, (AsistenciaJetAdminConcatenada!$A:$A=DT$2)*(AsistenciaJetAdminConcatenada!$B:$B=DT$1), 0)), 1))),  0.5, 0))</f>
        <v>0</v>
      </c>
      <c r="DU14" s="47">
        <f t="array" ref="DU14">IF(AND(ISNUMBER(MATCH(DU$2, AsistenciaJetAdminConcatenada!$A:$A, 0)), ISNUMBER(MATCH(DU$1, AsistenciaJetAdminConcatenada!$B:$B, 0)), ISNUMBER(SEARCH($A14,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ISNUMBER(SEARCH($A14, INDEX(AsistenciaJetAdminConcatenada!$D:$D, MATCH(1, (AsistenciaJetAdminConcatenada!$A:$A=DU$2)*(AsistenciaJetAdminConcatenada!$B:$B=DU$1), 0)), 1))),  0.5, 0))</f>
        <v>0</v>
      </c>
      <c r="DV14" s="47">
        <f t="array" ref="DV14">IF(AND(ISNUMBER(MATCH(DV$2, AsistenciaJetAdminConcatenada!$A:$A, 0)), ISNUMBER(MATCH(DV$1, AsistenciaJetAdminConcatenada!$B:$B, 0)), ISNUMBER(SEARCH($A14,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ISNUMBER(SEARCH($A14, INDEX(AsistenciaJetAdminConcatenada!$D:$D, MATCH(1, (AsistenciaJetAdminConcatenada!$A:$A=DV$2)*(AsistenciaJetAdminConcatenada!$B:$B=DV$1), 0)), 1))),  0.5, 0))</f>
        <v>0</v>
      </c>
      <c r="DW14" s="47">
        <f t="array" ref="DW14">IF(AND(ISNUMBER(MATCH(DW$2, AsistenciaJetAdminConcatenada!$A:$A, 0)), ISNUMBER(MATCH(DW$1, AsistenciaJetAdminConcatenada!$B:$B, 0)), ISNUMBER(SEARCH($A14,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ISNUMBER(SEARCH($A14, INDEX(AsistenciaJetAdminConcatenada!$D:$D, MATCH(1, (AsistenciaJetAdminConcatenada!$A:$A=DW$2)*(AsistenciaJetAdminConcatenada!$B:$B=DW$1), 0)), 1))),  0.5, 0))</f>
        <v>0</v>
      </c>
      <c r="DX14" s="47">
        <f t="array" ref="DX14">IF(AND(ISNUMBER(MATCH(DX$2, AsistenciaJetAdminConcatenada!$A:$A, 0)), ISNUMBER(MATCH(DX$1, AsistenciaJetAdminConcatenada!$B:$B, 0)), ISNUMBER(SEARCH($A14,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ISNUMBER(SEARCH($A14, INDEX(AsistenciaJetAdminConcatenada!$D:$D, MATCH(1, (AsistenciaJetAdminConcatenada!$A:$A=DX$2)*(AsistenciaJetAdminConcatenada!$B:$B=DX$1), 0)), 1))),  0.5, 0))</f>
        <v>0</v>
      </c>
      <c r="DY14" s="47">
        <f t="array" ref="DY14">IF(AND(ISNUMBER(MATCH(DY$2, AsistenciaJetAdminConcatenada!$A:$A, 0)), ISNUMBER(MATCH(DY$1, AsistenciaJetAdminConcatenada!$B:$B, 0)), ISNUMBER(SEARCH($A14,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ISNUMBER(SEARCH($A14, INDEX(AsistenciaJetAdminConcatenada!$D:$D, MATCH(1, (AsistenciaJetAdminConcatenada!$A:$A=DY$2)*(AsistenciaJetAdminConcatenada!$B:$B=DY$1), 0)), 1))),  0.5, 0))</f>
        <v>0</v>
      </c>
      <c r="DZ14" s="47">
        <f t="array" ref="DZ14">IF(AND(ISNUMBER(MATCH(DZ$2, AsistenciaJetAdminConcatenada!$A:$A, 0)), ISNUMBER(MATCH(DZ$1, AsistenciaJetAdminConcatenada!$B:$B, 0)), ISNUMBER(SEARCH($A14,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ISNUMBER(SEARCH($A14, INDEX(AsistenciaJetAdminConcatenada!$D:$D, MATCH(1, (AsistenciaJetAdminConcatenada!$A:$A=DZ$2)*(AsistenciaJetAdminConcatenada!$B:$B=DZ$1), 0)), 1))),  0.5, 0))</f>
        <v>0</v>
      </c>
      <c r="EA14" s="47">
        <f t="array" ref="EA14">IF(AND(ISNUMBER(MATCH(EA$2, AsistenciaJetAdminConcatenada!$A:$A, 0)), ISNUMBER(MATCH(EA$1, AsistenciaJetAdminConcatenada!$B:$B, 0)), ISNUMBER(SEARCH($A14,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ISNUMBER(SEARCH($A14, INDEX(AsistenciaJetAdminConcatenada!$D:$D, MATCH(1, (AsistenciaJetAdminConcatenada!$A:$A=EA$2)*(AsistenciaJetAdminConcatenada!$B:$B=EA$1), 0)), 1))),  0.5, 0))</f>
        <v>0</v>
      </c>
      <c r="EB14" s="47">
        <f t="array" ref="EB14">IF(AND(ISNUMBER(MATCH(EB$2, AsistenciaJetAdminConcatenada!$A:$A, 0)), ISNUMBER(MATCH(EB$1, AsistenciaJetAdminConcatenada!$B:$B, 0)), ISNUMBER(SEARCH($A14,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ISNUMBER(SEARCH($A14, INDEX(AsistenciaJetAdminConcatenada!$D:$D, MATCH(1, (AsistenciaJetAdminConcatenada!$A:$A=EB$2)*(AsistenciaJetAdminConcatenada!$B:$B=EB$1), 0)), 1))),  0.5, 0))</f>
        <v>0</v>
      </c>
      <c r="EC14" s="47">
        <f t="array" ref="EC14">IF(AND(ISNUMBER(MATCH(EC$2, AsistenciaJetAdminConcatenada!$A:$A, 0)), ISNUMBER(MATCH(EC$1, AsistenciaJetAdminConcatenada!$B:$B, 0)), ISNUMBER(SEARCH($A14,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ISNUMBER(SEARCH($A14, INDEX(AsistenciaJetAdminConcatenada!$D:$D, MATCH(1, (AsistenciaJetAdminConcatenada!$A:$A=EC$2)*(AsistenciaJetAdminConcatenada!$B:$B=EC$1), 0)), 1))),  0.5, 0))</f>
        <v>0</v>
      </c>
      <c r="ED14" s="47">
        <f t="array" ref="ED14">IF(AND(ISNUMBER(MATCH(ED$2, AsistenciaJetAdminConcatenada!$A:$A, 0)), ISNUMBER(MATCH(ED$1, AsistenciaJetAdminConcatenada!$B:$B, 0)), ISNUMBER(SEARCH($A14,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ISNUMBER(SEARCH($A14, INDEX(AsistenciaJetAdminConcatenada!$D:$D, MATCH(1, (AsistenciaJetAdminConcatenada!$A:$A=ED$2)*(AsistenciaJetAdminConcatenada!$B:$B=ED$1), 0)), 1))),  0.5, 0))</f>
        <v>0</v>
      </c>
      <c r="EE14" s="47">
        <f t="array" ref="EE14">IF(AND(ISNUMBER(MATCH(EE$2, AsistenciaJetAdminConcatenada!$A:$A, 0)), ISNUMBER(MATCH(EE$1, AsistenciaJetAdminConcatenada!$B:$B, 0)), ISNUMBER(SEARCH($A14,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ISNUMBER(SEARCH($A14, INDEX(AsistenciaJetAdminConcatenada!$D:$D, MATCH(1, (AsistenciaJetAdminConcatenada!$A:$A=EE$2)*(AsistenciaJetAdminConcatenada!$B:$B=EE$1), 0)), 1))),  0.5, 0))</f>
        <v>0</v>
      </c>
      <c r="EF14" s="47">
        <f t="array" ref="EF14">IF(AND(ISNUMBER(MATCH(EF$2, AsistenciaJetAdminConcatenada!$A:$A, 0)), ISNUMBER(MATCH(EF$1, AsistenciaJetAdminConcatenada!$B:$B, 0)), ISNUMBER(SEARCH($A14,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ISNUMBER(SEARCH($A14, INDEX(AsistenciaJetAdminConcatenada!$D:$D, MATCH(1, (AsistenciaJetAdminConcatenada!$A:$A=EF$2)*(AsistenciaJetAdminConcatenada!$B:$B=EF$1), 0)), 1))),  0.5, 0))</f>
        <v>0</v>
      </c>
      <c r="EG14" s="47">
        <f t="array" ref="EG14">IF(AND(ISNUMBER(MATCH(EG$2, AsistenciaJetAdminConcatenada!$A:$A, 0)), ISNUMBER(MATCH(EG$1, AsistenciaJetAdminConcatenada!$B:$B, 0)), ISNUMBER(SEARCH($A14,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ISNUMBER(SEARCH($A14, INDEX(AsistenciaJetAdminConcatenada!$D:$D, MATCH(1, (AsistenciaJetAdminConcatenada!$A:$A=EG$2)*(AsistenciaJetAdminConcatenada!$B:$B=EG$1), 0)), 1))),  0.5, 0))</f>
        <v>0</v>
      </c>
      <c r="EH14" s="47">
        <f t="array" ref="EH14">IF(AND(ISNUMBER(MATCH(EH$2, AsistenciaJetAdminConcatenada!$A:$A, 0)), ISNUMBER(MATCH(EH$1, AsistenciaJetAdminConcatenada!$B:$B, 0)), ISNUMBER(SEARCH($A14,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ISNUMBER(SEARCH($A14, INDEX(AsistenciaJetAdminConcatenada!$D:$D, MATCH(1, (AsistenciaJetAdminConcatenada!$A:$A=EH$2)*(AsistenciaJetAdminConcatenada!$B:$B=EH$1), 0)), 1))),  0.5, 0))</f>
        <v>0</v>
      </c>
      <c r="EI14" s="47">
        <f t="array" ref="EI14">IF(AND(ISNUMBER(MATCH(EI$2, AsistenciaJetAdminConcatenada!$A:$A, 0)), ISNUMBER(MATCH(EI$1, AsistenciaJetAdminConcatenada!$B:$B, 0)), ISNUMBER(SEARCH($A14,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ISNUMBER(SEARCH($A14, INDEX(AsistenciaJetAdminConcatenada!$D:$D, MATCH(1, (AsistenciaJetAdminConcatenada!$A:$A=EI$2)*(AsistenciaJetAdminConcatenada!$B:$B=EI$1), 0)), 1))),  0.5, 0))</f>
        <v>0</v>
      </c>
      <c r="EJ14" s="47">
        <f t="array" ref="EJ14">IF(AND(ISNUMBER(MATCH(EJ$2, AsistenciaJetAdminConcatenada!$A:$A, 0)), ISNUMBER(MATCH(EJ$1, AsistenciaJetAdminConcatenada!$B:$B, 0)), ISNUMBER(SEARCH($A14,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ISNUMBER(SEARCH($A14, INDEX(AsistenciaJetAdminConcatenada!$D:$D, MATCH(1, (AsistenciaJetAdminConcatenada!$A:$A=EJ$2)*(AsistenciaJetAdminConcatenada!$B:$B=EJ$1), 0)), 1))),  0.5, 0))</f>
        <v>0</v>
      </c>
      <c r="EK14" s="47">
        <f t="array" ref="EK14">IF(AND(ISNUMBER(MATCH(EK$2, AsistenciaJetAdminConcatenada!$A:$A, 0)), ISNUMBER(MATCH(EK$1, AsistenciaJetAdminConcatenada!$B:$B, 0)), ISNUMBER(SEARCH($A14,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ISNUMBER(SEARCH($A14, INDEX(AsistenciaJetAdminConcatenada!$D:$D, MATCH(1, (AsistenciaJetAdminConcatenada!$A:$A=EK$2)*(AsistenciaJetAdminConcatenada!$B:$B=EK$1), 0)), 1))),  0.5, 0))</f>
        <v>0</v>
      </c>
      <c r="EL14" s="47">
        <f t="array" ref="EL14">IF(AND(ISNUMBER(MATCH(EL$2, AsistenciaJetAdminConcatenada!$A:$A, 0)), ISNUMBER(MATCH(EL$1, AsistenciaJetAdminConcatenada!$B:$B, 0)), ISNUMBER(SEARCH($A14,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ISNUMBER(SEARCH($A14, INDEX(AsistenciaJetAdminConcatenada!$D:$D, MATCH(1, (AsistenciaJetAdminConcatenada!$A:$A=EL$2)*(AsistenciaJetAdminConcatenada!$B:$B=EL$1), 0)), 1))),  0.5, 0))</f>
        <v>0</v>
      </c>
      <c r="EM14" s="47">
        <f t="array" ref="EM14">IF(AND(ISNUMBER(MATCH(EM$2, AsistenciaJetAdminConcatenada!$A:$A, 0)), ISNUMBER(MATCH(EM$1, AsistenciaJetAdminConcatenada!$B:$B, 0)), ISNUMBER(SEARCH($A14,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ISNUMBER(SEARCH($A14, INDEX(AsistenciaJetAdminConcatenada!$D:$D, MATCH(1, (AsistenciaJetAdminConcatenada!$A:$A=EM$2)*(AsistenciaJetAdminConcatenada!$B:$B=EM$1), 0)), 1))),  0.5, 0))</f>
        <v>0</v>
      </c>
      <c r="EN14" s="47">
        <f t="array" ref="EN14">IF(AND(ISNUMBER(MATCH(EN$2, AsistenciaJetAdminConcatenada!$A:$A, 0)), ISNUMBER(MATCH(EN$1, AsistenciaJetAdminConcatenada!$B:$B, 0)), ISNUMBER(SEARCH($A14,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ISNUMBER(SEARCH($A14, INDEX(AsistenciaJetAdminConcatenada!$D:$D, MATCH(1, (AsistenciaJetAdminConcatenada!$A:$A=EN$2)*(AsistenciaJetAdminConcatenada!$B:$B=EN$1), 0)), 1))),  0.5, 0))</f>
        <v>0</v>
      </c>
      <c r="EO14" s="47">
        <f t="array" ref="EO14">IF(AND(ISNUMBER(MATCH(EO$2, AsistenciaJetAdminConcatenada!$A:$A, 0)), ISNUMBER(MATCH(EO$1, AsistenciaJetAdminConcatenada!$B:$B, 0)), ISNUMBER(SEARCH($A14,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ISNUMBER(SEARCH($A14, INDEX(AsistenciaJetAdminConcatenada!$D:$D, MATCH(1, (AsistenciaJetAdminConcatenada!$A:$A=EO$2)*(AsistenciaJetAdminConcatenada!$B:$B=EO$1), 0)), 1))),  0.5, 0))</f>
        <v>0</v>
      </c>
      <c r="EP14" s="47">
        <f t="array" ref="EP14">IF(AND(ISNUMBER(MATCH(EP$2, AsistenciaJetAdminConcatenada!$A:$A, 0)), ISNUMBER(MATCH(EP$1, AsistenciaJetAdminConcatenada!$B:$B, 0)), ISNUMBER(SEARCH($A14,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ISNUMBER(SEARCH($A14, INDEX(AsistenciaJetAdminConcatenada!$D:$D, MATCH(1, (AsistenciaJetAdminConcatenada!$A:$A=EP$2)*(AsistenciaJetAdminConcatenada!$B:$B=EP$1), 0)), 1))),  0.5, 0))</f>
        <v>0</v>
      </c>
      <c r="EQ14" s="47">
        <f t="array" ref="EQ14">IF(AND(ISNUMBER(MATCH(EQ$2, AsistenciaJetAdminConcatenada!$A:$A, 0)), ISNUMBER(MATCH(EQ$1, AsistenciaJetAdminConcatenada!$B:$B, 0)), ISNUMBER(SEARCH($A14,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ISNUMBER(SEARCH($A14, INDEX(AsistenciaJetAdminConcatenada!$D:$D, MATCH(1, (AsistenciaJetAdminConcatenada!$A:$A=EQ$2)*(AsistenciaJetAdminConcatenada!$B:$B=EQ$1), 0)), 1))),  0.5, 0))</f>
        <v>0</v>
      </c>
      <c r="ER14" s="47">
        <f t="array" ref="ER14">IF(AND(ISNUMBER(MATCH(ER$2, AsistenciaJetAdminConcatenada!$A:$A, 0)), ISNUMBER(MATCH(ER$1, AsistenciaJetAdminConcatenada!$B:$B, 0)), ISNUMBER(SEARCH($A14,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ISNUMBER(SEARCH($A14, INDEX(AsistenciaJetAdminConcatenada!$D:$D, MATCH(1, (AsistenciaJetAdminConcatenada!$A:$A=ER$2)*(AsistenciaJetAdminConcatenada!$B:$B=ER$1), 0)), 1))),  0.5, 0))</f>
        <v>0</v>
      </c>
      <c r="ES14" s="47">
        <f t="array" ref="ES14">IF(AND(ISNUMBER(MATCH(ES$2, AsistenciaJetAdminConcatenada!$A:$A, 0)), ISNUMBER(MATCH(ES$1, AsistenciaJetAdminConcatenada!$B:$B, 0)), ISNUMBER(SEARCH($A14,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ISNUMBER(SEARCH($A14, INDEX(AsistenciaJetAdminConcatenada!$D:$D, MATCH(1, (AsistenciaJetAdminConcatenada!$A:$A=ES$2)*(AsistenciaJetAdminConcatenada!$B:$B=ES$1), 0)), 1))),  0.5, 0))</f>
        <v>0</v>
      </c>
      <c r="ET14" s="47">
        <f t="array" ref="ET14">IF(AND(ISNUMBER(MATCH(ET$2, AsistenciaJetAdminConcatenada!$A:$A, 0)), ISNUMBER(MATCH(ET$1, AsistenciaJetAdminConcatenada!$B:$B, 0)), ISNUMBER(SEARCH($A14,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ISNUMBER(SEARCH($A14, INDEX(AsistenciaJetAdminConcatenada!$D:$D, MATCH(1, (AsistenciaJetAdminConcatenada!$A:$A=ET$2)*(AsistenciaJetAdminConcatenada!$B:$B=ET$1), 0)), 1))),  0.5, 0))</f>
        <v>0</v>
      </c>
      <c r="EU14" s="47">
        <f t="array" ref="EU14">IF(AND(ISNUMBER(MATCH(EU$2, AsistenciaJetAdminConcatenada!$A:$A, 0)), ISNUMBER(MATCH(EU$1, AsistenciaJetAdminConcatenada!$B:$B, 0)), ISNUMBER(SEARCH($A14,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ISNUMBER(SEARCH($A14, INDEX(AsistenciaJetAdminConcatenada!$D:$D, MATCH(1, (AsistenciaJetAdminConcatenada!$A:$A=EU$2)*(AsistenciaJetAdminConcatenada!$B:$B=EU$1), 0)), 1))),  0.5, 0))</f>
        <v>0</v>
      </c>
      <c r="EV14" s="47">
        <f t="array" ref="EV14">IF(AND(ISNUMBER(MATCH(EV$2, AsistenciaJetAdminConcatenada!$A:$A, 0)), ISNUMBER(MATCH(EV$1, AsistenciaJetAdminConcatenada!$B:$B, 0)), ISNUMBER(SEARCH($A14,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ISNUMBER(SEARCH($A14, INDEX(AsistenciaJetAdminConcatenada!$D:$D, MATCH(1, (AsistenciaJetAdminConcatenada!$A:$A=EV$2)*(AsistenciaJetAdminConcatenada!$B:$B=EV$1), 0)), 1))),  0.5, 0))</f>
        <v>0</v>
      </c>
      <c r="EW14" s="47">
        <f t="array" ref="EW14">IF(AND(ISNUMBER(MATCH(EW$2, AsistenciaJetAdminConcatenada!$A:$A, 0)), ISNUMBER(MATCH(EW$1, AsistenciaJetAdminConcatenada!$B:$B, 0)), ISNUMBER(SEARCH($A14,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ISNUMBER(SEARCH($A14, INDEX(AsistenciaJetAdminConcatenada!$D:$D, MATCH(1, (AsistenciaJetAdminConcatenada!$A:$A=EW$2)*(AsistenciaJetAdminConcatenada!$B:$B=EW$1), 0)), 1))),  0.5, 0))</f>
        <v>0</v>
      </c>
      <c r="EX14" s="47">
        <f t="array" ref="EX14">IF(AND(ISNUMBER(MATCH(EX$2, AsistenciaJetAdminConcatenada!$A:$A, 0)), ISNUMBER(MATCH(EX$1, AsistenciaJetAdminConcatenada!$B:$B, 0)), ISNUMBER(SEARCH($A14,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ISNUMBER(SEARCH($A14, INDEX(AsistenciaJetAdminConcatenada!$D:$D, MATCH(1, (AsistenciaJetAdminConcatenada!$A:$A=EX$2)*(AsistenciaJetAdminConcatenada!$B:$B=EX$1), 0)), 1))),  0.5, 0))</f>
        <v>0</v>
      </c>
      <c r="EY14" s="47">
        <f t="array" ref="EY14">IF(AND(ISNUMBER(MATCH(EY$2, AsistenciaJetAdminConcatenada!$A:$A, 0)), ISNUMBER(MATCH(EY$1, AsistenciaJetAdminConcatenada!$B:$B, 0)), ISNUMBER(SEARCH($A14,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ISNUMBER(SEARCH($A14, INDEX(AsistenciaJetAdminConcatenada!$D:$D, MATCH(1, (AsistenciaJetAdminConcatenada!$A:$A=EY$2)*(AsistenciaJetAdminConcatenada!$B:$B=EY$1), 0)), 1))),  0.5, 0))</f>
        <v>0</v>
      </c>
      <c r="EZ14" s="47">
        <f t="array" ref="EZ14">IF(AND(ISNUMBER(MATCH(EZ$2, AsistenciaJetAdminConcatenada!$A:$A, 0)), ISNUMBER(MATCH(EZ$1, AsistenciaJetAdminConcatenada!$B:$B, 0)), ISNUMBER(SEARCH($A14,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ISNUMBER(SEARCH($A14, INDEX(AsistenciaJetAdminConcatenada!$D:$D, MATCH(1, (AsistenciaJetAdminConcatenada!$A:$A=EZ$2)*(AsistenciaJetAdminConcatenada!$B:$B=EZ$1), 0)), 1))),  0.5, 0))</f>
        <v>0</v>
      </c>
      <c r="FA14" s="47">
        <f t="array" ref="FA14">IF(AND(ISNUMBER(MATCH(FA$2, AsistenciaJetAdminConcatenada!$A:$A, 0)), ISNUMBER(MATCH(FA$1, AsistenciaJetAdminConcatenada!$B:$B, 0)), ISNUMBER(SEARCH($A14,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ISNUMBER(SEARCH($A14, INDEX(AsistenciaJetAdminConcatenada!$D:$D, MATCH(1, (AsistenciaJetAdminConcatenada!$A:$A=FA$2)*(AsistenciaJetAdminConcatenada!$B:$B=FA$1), 0)), 1))),  0.5, 0))</f>
        <v>0</v>
      </c>
      <c r="FB14" s="47">
        <f t="array" ref="FB14">IF(AND(ISNUMBER(MATCH(FB$2, AsistenciaJetAdminConcatenada!$A:$A, 0)), ISNUMBER(MATCH(FB$1, AsistenciaJetAdminConcatenada!$B:$B, 0)), ISNUMBER(SEARCH($A14,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ISNUMBER(SEARCH($A14, INDEX(AsistenciaJetAdminConcatenada!$D:$D, MATCH(1, (AsistenciaJetAdminConcatenada!$A:$A=FB$2)*(AsistenciaJetAdminConcatenada!$B:$B=FB$1), 0)), 1))),  0.5, 0))</f>
        <v>0</v>
      </c>
      <c r="FC14" s="47">
        <f t="array" ref="FC14">IF(AND(ISNUMBER(MATCH(FC$2, AsistenciaJetAdminConcatenada!$A:$A, 0)), ISNUMBER(MATCH(FC$1, AsistenciaJetAdminConcatenada!$B:$B, 0)), ISNUMBER(SEARCH($A14,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ISNUMBER(SEARCH($A14, INDEX(AsistenciaJetAdminConcatenada!$D:$D, MATCH(1, (AsistenciaJetAdminConcatenada!$A:$A=FC$2)*(AsistenciaJetAdminConcatenada!$B:$B=FC$1), 0)), 1))),  0.5, 0))</f>
        <v>0</v>
      </c>
      <c r="FD14" s="47">
        <f t="array" ref="FD14">IF(AND(ISNUMBER(MATCH(FD$2, AsistenciaJetAdminConcatenada!$A:$A, 0)), ISNUMBER(MATCH(FD$1, AsistenciaJetAdminConcatenada!$B:$B, 0)), ISNUMBER(SEARCH($A14,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ISNUMBER(SEARCH($A14, INDEX(AsistenciaJetAdminConcatenada!$D:$D, MATCH(1, (AsistenciaJetAdminConcatenada!$A:$A=FD$2)*(AsistenciaJetAdminConcatenada!$B:$B=FD$1), 0)), 1))),  0.5, 0))</f>
        <v>0</v>
      </c>
      <c r="FE14" s="47">
        <f t="array" ref="FE14">IF(AND(ISNUMBER(MATCH(FE$2, AsistenciaJetAdminConcatenada!$A:$A, 0)), ISNUMBER(MATCH(FE$1, AsistenciaJetAdminConcatenada!$B:$B, 0)), ISNUMBER(SEARCH($A14,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ISNUMBER(SEARCH($A14, INDEX(AsistenciaJetAdminConcatenada!$D:$D, MATCH(1, (AsistenciaJetAdminConcatenada!$A:$A=FE$2)*(AsistenciaJetAdminConcatenada!$B:$B=FE$1), 0)), 1))),  0.5, 0))</f>
        <v>0</v>
      </c>
      <c r="FF14" s="47">
        <f t="array" ref="FF14">IF(AND(ISNUMBER(MATCH(FF$2, AsistenciaJetAdminConcatenada!$A:$A, 0)), ISNUMBER(MATCH(FF$1, AsistenciaJetAdminConcatenada!$B:$B, 0)), ISNUMBER(SEARCH($A14,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ISNUMBER(SEARCH($A14, INDEX(AsistenciaJetAdminConcatenada!$D:$D, MATCH(1, (AsistenciaJetAdminConcatenada!$A:$A=FF$2)*(AsistenciaJetAdminConcatenada!$B:$B=FF$1), 0)), 1))),  0.5, 0))</f>
        <v>0</v>
      </c>
      <c r="FG14" s="47">
        <f t="array" ref="FG14">IF(AND(ISNUMBER(MATCH(FG$2, AsistenciaJetAdminConcatenada!$A:$A, 0)), ISNUMBER(MATCH(FG$1, AsistenciaJetAdminConcatenada!$B:$B, 0)), ISNUMBER(SEARCH($A14,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ISNUMBER(SEARCH($A14, INDEX(AsistenciaJetAdminConcatenada!$D:$D, MATCH(1, (AsistenciaJetAdminConcatenada!$A:$A=FG$2)*(AsistenciaJetAdminConcatenada!$B:$B=FG$1), 0)), 1))),  0.5, 0))</f>
        <v>0</v>
      </c>
      <c r="FH14" s="47">
        <f t="array" ref="FH14">IF(AND(ISNUMBER(MATCH(FH$2, AsistenciaJetAdminConcatenada!$A:$A, 0)), ISNUMBER(MATCH(FH$1, AsistenciaJetAdminConcatenada!$B:$B, 0)), ISNUMBER(SEARCH($A14,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ISNUMBER(SEARCH($A14, INDEX(AsistenciaJetAdminConcatenada!$D:$D, MATCH(1, (AsistenciaJetAdminConcatenada!$A:$A=FH$2)*(AsistenciaJetAdminConcatenada!$B:$B=FH$1), 0)), 1))),  0.5, 0))</f>
        <v>0</v>
      </c>
      <c r="FI14" s="47">
        <f t="array" ref="FI14">IF(AND(ISNUMBER(MATCH(FI$2, AsistenciaJetAdminConcatenada!$A:$A, 0)), ISNUMBER(MATCH(FI$1, AsistenciaJetAdminConcatenada!$B:$B, 0)), ISNUMBER(SEARCH($A14,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ISNUMBER(SEARCH($A14, INDEX(AsistenciaJetAdminConcatenada!$D:$D, MATCH(1, (AsistenciaJetAdminConcatenada!$A:$A=FI$2)*(AsistenciaJetAdminConcatenada!$B:$B=FI$1), 0)), 1))),  0.5, 0))</f>
        <v>0</v>
      </c>
      <c r="FJ14" s="47">
        <f t="array" ref="FJ14">IF(AND(ISNUMBER(MATCH(FJ$2, AsistenciaJetAdminConcatenada!$A:$A, 0)), ISNUMBER(MATCH(FJ$1, AsistenciaJetAdminConcatenada!$B:$B, 0)), ISNUMBER(SEARCH($A14,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ISNUMBER(SEARCH($A14, INDEX(AsistenciaJetAdminConcatenada!$D:$D, MATCH(1, (AsistenciaJetAdminConcatenada!$A:$A=FJ$2)*(AsistenciaJetAdminConcatenada!$B:$B=FJ$1), 0)), 1))),  0.5, 0))</f>
        <v>0</v>
      </c>
      <c r="FK14" s="47">
        <f t="array" ref="FK14">IF(AND(ISNUMBER(MATCH(FK$2, AsistenciaJetAdminConcatenada!$A:$A, 0)), ISNUMBER(MATCH(FK$1, AsistenciaJetAdminConcatenada!$B:$B, 0)), ISNUMBER(SEARCH($A14,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ISNUMBER(SEARCH($A14, INDEX(AsistenciaJetAdminConcatenada!$D:$D, MATCH(1, (AsistenciaJetAdminConcatenada!$A:$A=FK$2)*(AsistenciaJetAdminConcatenada!$B:$B=FK$1), 0)), 1))),  0.5, 0))</f>
        <v>0</v>
      </c>
      <c r="FL14" s="47">
        <f t="array" ref="FL14">IF(AND(ISNUMBER(MATCH(FL$2, AsistenciaJetAdminConcatenada!$A:$A, 0)), ISNUMBER(MATCH(FL$1, AsistenciaJetAdminConcatenada!$B:$B, 0)), ISNUMBER(SEARCH($A14,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ISNUMBER(SEARCH($A14, INDEX(AsistenciaJetAdminConcatenada!$D:$D, MATCH(1, (AsistenciaJetAdminConcatenada!$A:$A=FL$2)*(AsistenciaJetAdminConcatenada!$B:$B=FL$1), 0)), 1))),  0.5, 0))</f>
        <v>0</v>
      </c>
      <c r="FM14" s="47">
        <f t="array" ref="FM14">IF(AND(ISNUMBER(MATCH(FM$2, AsistenciaJetAdminConcatenada!$A:$A, 0)), ISNUMBER(MATCH(FM$1, AsistenciaJetAdminConcatenada!$B:$B, 0)), ISNUMBER(SEARCH($A14,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ISNUMBER(SEARCH($A14, INDEX(AsistenciaJetAdminConcatenada!$D:$D, MATCH(1, (AsistenciaJetAdminConcatenada!$A:$A=FM$2)*(AsistenciaJetAdminConcatenada!$B:$B=FM$1), 0)), 1))),  0.5, 0))</f>
        <v>0</v>
      </c>
      <c r="FN14" s="47">
        <f t="array" ref="FN14">IF(AND(ISNUMBER(MATCH(FN$2, AsistenciaJetAdminConcatenada!$A:$A, 0)), ISNUMBER(MATCH(FN$1, AsistenciaJetAdminConcatenada!$B:$B, 0)), ISNUMBER(SEARCH($A14,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ISNUMBER(SEARCH($A14, INDEX(AsistenciaJetAdminConcatenada!$D:$D, MATCH(1, (AsistenciaJetAdminConcatenada!$A:$A=FN$2)*(AsistenciaJetAdminConcatenada!$B:$B=FN$1), 0)), 1))),  0.5, 0))</f>
        <v>0</v>
      </c>
      <c r="FO14" s="47">
        <f t="array" ref="FO14">IF(AND(ISNUMBER(MATCH(FO$2, AsistenciaJetAdminConcatenada!$A:$A, 0)), ISNUMBER(MATCH(FO$1, AsistenciaJetAdminConcatenada!$B:$B, 0)), ISNUMBER(SEARCH($A14,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ISNUMBER(SEARCH($A14, INDEX(AsistenciaJetAdminConcatenada!$D:$D, MATCH(1, (AsistenciaJetAdminConcatenada!$A:$A=FO$2)*(AsistenciaJetAdminConcatenada!$B:$B=FO$1), 0)), 1))),  0.5, 0))</f>
        <v>0</v>
      </c>
      <c r="FP14" s="47">
        <f t="array" ref="FP14">IF(AND(ISNUMBER(MATCH(FP$2, AsistenciaJetAdminConcatenada!$A:$A, 0)), ISNUMBER(MATCH(FP$1, AsistenciaJetAdminConcatenada!$B:$B, 0)), ISNUMBER(SEARCH($A14,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ISNUMBER(SEARCH($A14, INDEX(AsistenciaJetAdminConcatenada!$D:$D, MATCH(1, (AsistenciaJetAdminConcatenada!$A:$A=FP$2)*(AsistenciaJetAdminConcatenada!$B:$B=FP$1), 0)), 1))),  0.5, 0))</f>
        <v>0</v>
      </c>
      <c r="FQ14" s="47">
        <f t="array" ref="FQ14">IF(AND(ISNUMBER(MATCH(FQ$2, AsistenciaJetAdminConcatenada!$A:$A, 0)), ISNUMBER(MATCH(FQ$1, AsistenciaJetAdminConcatenada!$B:$B, 0)), ISNUMBER(SEARCH($A14,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ISNUMBER(SEARCH($A14, INDEX(AsistenciaJetAdminConcatenada!$D:$D, MATCH(1, (AsistenciaJetAdminConcatenada!$A:$A=FQ$2)*(AsistenciaJetAdminConcatenada!$B:$B=FQ$1), 0)), 1))),  0.5, 0))</f>
        <v>0</v>
      </c>
      <c r="FR14" s="47">
        <f t="array" ref="FR14">IF(AND(ISNUMBER(MATCH(FR$2, AsistenciaJetAdminConcatenada!$A:$A, 0)), ISNUMBER(MATCH(FR$1, AsistenciaJetAdminConcatenada!$B:$B, 0)), ISNUMBER(SEARCH($A14,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ISNUMBER(SEARCH($A14, INDEX(AsistenciaJetAdminConcatenada!$D:$D, MATCH(1, (AsistenciaJetAdminConcatenada!$A:$A=FR$2)*(AsistenciaJetAdminConcatenada!$B:$B=FR$1), 0)), 1))),  0.5, 0))</f>
        <v>0</v>
      </c>
      <c r="FS14" s="47">
        <f t="array" ref="FS14">IF(AND(ISNUMBER(MATCH(FS$2, AsistenciaJetAdminConcatenada!$A:$A, 0)), ISNUMBER(MATCH(FS$1, AsistenciaJetAdminConcatenada!$B:$B, 0)), ISNUMBER(SEARCH($A14,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ISNUMBER(SEARCH($A14, INDEX(AsistenciaJetAdminConcatenada!$D:$D, MATCH(1, (AsistenciaJetAdminConcatenada!$A:$A=FS$2)*(AsistenciaJetAdminConcatenada!$B:$B=FS$1), 0)), 1))),  0.5, 0))</f>
        <v>0</v>
      </c>
      <c r="FT14" s="47">
        <f t="array" ref="FT14">IF(AND(ISNUMBER(MATCH(FT$2, AsistenciaJetAdminConcatenada!$A:$A, 0)), ISNUMBER(MATCH(FT$1, AsistenciaJetAdminConcatenada!$B:$B, 0)), ISNUMBER(SEARCH($A14,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ISNUMBER(SEARCH($A14, INDEX(AsistenciaJetAdminConcatenada!$D:$D, MATCH(1, (AsistenciaJetAdminConcatenada!$A:$A=FT$2)*(AsistenciaJetAdminConcatenada!$B:$B=FT$1), 0)), 1))),  0.5, 0))</f>
        <v>0</v>
      </c>
      <c r="FU14" s="47">
        <f t="array" ref="FU14">IF(AND(ISNUMBER(MATCH(FU$2, AsistenciaJetAdminConcatenada!$A:$A, 0)), ISNUMBER(MATCH(FU$1, AsistenciaJetAdminConcatenada!$B:$B, 0)), ISNUMBER(SEARCH($A14,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ISNUMBER(SEARCH($A14, INDEX(AsistenciaJetAdminConcatenada!$D:$D, MATCH(1, (AsistenciaJetAdminConcatenada!$A:$A=FU$2)*(AsistenciaJetAdminConcatenada!$B:$B=FU$1), 0)), 1))),  0.5, 0))</f>
        <v>0</v>
      </c>
      <c r="FV14" s="47">
        <f t="array" ref="FV14">IF(AND(ISNUMBER(MATCH(FV$2, AsistenciaJetAdminConcatenada!$A:$A, 0)), ISNUMBER(MATCH(FV$1, AsistenciaJetAdminConcatenada!$B:$B, 0)), ISNUMBER(SEARCH($A14,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ISNUMBER(SEARCH($A14, INDEX(AsistenciaJetAdminConcatenada!$D:$D, MATCH(1, (AsistenciaJetAdminConcatenada!$A:$A=FV$2)*(AsistenciaJetAdminConcatenada!$B:$B=FV$1), 0)), 1))),  0.5, 0))</f>
        <v>0</v>
      </c>
      <c r="FW14" s="47">
        <f t="array" ref="FW14">IF(AND(ISNUMBER(MATCH(FW$2, AsistenciaJetAdminConcatenada!$A:$A, 0)), ISNUMBER(MATCH(FW$1, AsistenciaJetAdminConcatenada!$B:$B, 0)), ISNUMBER(SEARCH($A14,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ISNUMBER(SEARCH($A14, INDEX(AsistenciaJetAdminConcatenada!$D:$D, MATCH(1, (AsistenciaJetAdminConcatenada!$A:$A=FW$2)*(AsistenciaJetAdminConcatenada!$B:$B=FW$1), 0)), 1))),  0.5, 0))</f>
        <v>0</v>
      </c>
      <c r="FX14" s="47">
        <f t="array" ref="FX14">IF(AND(ISNUMBER(MATCH(FX$2, AsistenciaJetAdminConcatenada!$A:$A, 0)), ISNUMBER(MATCH(FX$1, AsistenciaJetAdminConcatenada!$B:$B, 0)), ISNUMBER(SEARCH($A14,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ISNUMBER(SEARCH($A14, INDEX(AsistenciaJetAdminConcatenada!$D:$D, MATCH(1, (AsistenciaJetAdminConcatenada!$A:$A=FX$2)*(AsistenciaJetAdminConcatenada!$B:$B=FX$1), 0)), 1))),  0.5, 0))</f>
        <v>0</v>
      </c>
      <c r="FY14" s="47">
        <f t="array" ref="FY14">IF(AND(ISNUMBER(MATCH(FY$2, AsistenciaJetAdminConcatenada!$A:$A, 0)), ISNUMBER(MATCH(FY$1, AsistenciaJetAdminConcatenada!$B:$B, 0)), ISNUMBER(SEARCH($A14,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ISNUMBER(SEARCH($A14, INDEX(AsistenciaJetAdminConcatenada!$D:$D, MATCH(1, (AsistenciaJetAdminConcatenada!$A:$A=FY$2)*(AsistenciaJetAdminConcatenada!$B:$B=FY$1), 0)), 1))),  0.5, 0))</f>
        <v>0</v>
      </c>
      <c r="FZ14" s="47">
        <f t="array" ref="FZ14">IF(AND(ISNUMBER(MATCH(FZ$2, AsistenciaJetAdminConcatenada!$A:$A, 0)), ISNUMBER(MATCH(FZ$1, AsistenciaJetAdminConcatenada!$B:$B, 0)), ISNUMBER(SEARCH($A14,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ISNUMBER(SEARCH($A14, INDEX(AsistenciaJetAdminConcatenada!$D:$D, MATCH(1, (AsistenciaJetAdminConcatenada!$A:$A=FZ$2)*(AsistenciaJetAdminConcatenada!$B:$B=FZ$1), 0)), 1))),  0.5, 0))</f>
        <v>0</v>
      </c>
      <c r="GA14" s="47">
        <f t="array" ref="GA14">IF(AND(ISNUMBER(MATCH(GA$2, AsistenciaJetAdminConcatenada!$A:$A, 0)), ISNUMBER(MATCH(GA$1, AsistenciaJetAdminConcatenada!$B:$B, 0)), ISNUMBER(SEARCH($A14,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ISNUMBER(SEARCH($A14, INDEX(AsistenciaJetAdminConcatenada!$D:$D, MATCH(1, (AsistenciaJetAdminConcatenada!$A:$A=GA$2)*(AsistenciaJetAdminConcatenada!$B:$B=GA$1), 0)), 1))),  0.5, 0))</f>
        <v>0</v>
      </c>
      <c r="GB14" s="47">
        <f t="array" ref="GB14">IF(AND(ISNUMBER(MATCH(GB$2, AsistenciaJetAdminConcatenada!$A:$A, 0)), ISNUMBER(MATCH(GB$1, AsistenciaJetAdminConcatenada!$B:$B, 0)), ISNUMBER(SEARCH($A14,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ISNUMBER(SEARCH($A14, INDEX(AsistenciaJetAdminConcatenada!$D:$D, MATCH(1, (AsistenciaJetAdminConcatenada!$A:$A=GB$2)*(AsistenciaJetAdminConcatenada!$B:$B=GB$1), 0)), 1))),  0.5, 0))</f>
        <v>0</v>
      </c>
      <c r="GC14" s="47">
        <f t="array" ref="GC14">IF(AND(ISNUMBER(MATCH(GC$2, AsistenciaJetAdminConcatenada!$A:$A, 0)), ISNUMBER(MATCH(GC$1, AsistenciaJetAdminConcatenada!$B:$B, 0)), ISNUMBER(SEARCH($A14,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ISNUMBER(SEARCH($A14, INDEX(AsistenciaJetAdminConcatenada!$D:$D, MATCH(1, (AsistenciaJetAdminConcatenada!$A:$A=GC$2)*(AsistenciaJetAdminConcatenada!$B:$B=GC$1), 0)), 1))),  0.5, 0))</f>
        <v>0</v>
      </c>
      <c r="GD14" s="47">
        <f t="array" ref="GD14">IF(AND(ISNUMBER(MATCH(GD$2, AsistenciaJetAdminConcatenada!$A:$A, 0)), ISNUMBER(MATCH(GD$1, AsistenciaJetAdminConcatenada!$B:$B, 0)), ISNUMBER(SEARCH($A14,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ISNUMBER(SEARCH($A14, INDEX(AsistenciaJetAdminConcatenada!$D:$D, MATCH(1, (AsistenciaJetAdminConcatenada!$A:$A=GD$2)*(AsistenciaJetAdminConcatenada!$B:$B=GD$1), 0)), 1))),  0.5, 0))</f>
        <v>0</v>
      </c>
      <c r="GE14" s="47">
        <f t="array" ref="GE14">IF(AND(ISNUMBER(MATCH(GE$2, AsistenciaJetAdminConcatenada!$A:$A, 0)), ISNUMBER(MATCH(GE$1, AsistenciaJetAdminConcatenada!$B:$B, 0)), ISNUMBER(SEARCH($A14,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ISNUMBER(SEARCH($A14, INDEX(AsistenciaJetAdminConcatenada!$D:$D, MATCH(1, (AsistenciaJetAdminConcatenada!$A:$A=GE$2)*(AsistenciaJetAdminConcatenada!$B:$B=GE$1), 0)), 1))),  0.5, 0))</f>
        <v>0</v>
      </c>
      <c r="GF14" s="47">
        <f t="array" ref="GF14">IF(AND(ISNUMBER(MATCH(GF$2, AsistenciaJetAdminConcatenada!$A:$A, 0)), ISNUMBER(MATCH(GF$1, AsistenciaJetAdminConcatenada!$B:$B, 0)), ISNUMBER(SEARCH($A14,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ISNUMBER(SEARCH($A14, INDEX(AsistenciaJetAdminConcatenada!$D:$D, MATCH(1, (AsistenciaJetAdminConcatenada!$A:$A=GF$2)*(AsistenciaJetAdminConcatenada!$B:$B=GF$1), 0)), 1))),  0.5, 0))</f>
        <v>0</v>
      </c>
      <c r="GG14" s="47">
        <f t="array" ref="GG14">IF(AND(ISNUMBER(MATCH(GG$2, AsistenciaJetAdminConcatenada!$A:$A, 0)), ISNUMBER(MATCH(GG$1, AsistenciaJetAdminConcatenada!$B:$B, 0)), ISNUMBER(SEARCH($A14,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ISNUMBER(SEARCH($A14, INDEX(AsistenciaJetAdminConcatenada!$D:$D, MATCH(1, (AsistenciaJetAdminConcatenada!$A:$A=GG$2)*(AsistenciaJetAdminConcatenada!$B:$B=GG$1), 0)), 1))),  0.5, 0))</f>
        <v>0</v>
      </c>
      <c r="GH14" s="47">
        <f t="array" ref="GH14">IF(AND(ISNUMBER(MATCH(GH$2, AsistenciaJetAdminConcatenada!$A:$A, 0)), ISNUMBER(MATCH(GH$1, AsistenciaJetAdminConcatenada!$B:$B, 0)), ISNUMBER(SEARCH($A14,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ISNUMBER(SEARCH($A14, INDEX(AsistenciaJetAdminConcatenada!$D:$D, MATCH(1, (AsistenciaJetAdminConcatenada!$A:$A=GH$2)*(AsistenciaJetAdminConcatenada!$B:$B=GH$1), 0)), 1))),  0.5, 0))</f>
        <v>0</v>
      </c>
      <c r="GI14" s="47">
        <f t="array" ref="GI14">IF(AND(ISNUMBER(MATCH(GI$2, AsistenciaJetAdminConcatenada!$A:$A, 0)), ISNUMBER(MATCH(GI$1, AsistenciaJetAdminConcatenada!$B:$B, 0)), ISNUMBER(SEARCH($A14,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ISNUMBER(SEARCH($A14, INDEX(AsistenciaJetAdminConcatenada!$D:$D, MATCH(1, (AsistenciaJetAdminConcatenada!$A:$A=GI$2)*(AsistenciaJetAdminConcatenada!$B:$B=GI$1), 0)), 1))),  0.5, 0))</f>
        <v>0</v>
      </c>
      <c r="GJ14" s="47">
        <f t="array" ref="GJ14">IF(AND(ISNUMBER(MATCH(GJ$2, AsistenciaJetAdminConcatenada!$A:$A, 0)), ISNUMBER(MATCH(GJ$1, AsistenciaJetAdminConcatenada!$B:$B, 0)), ISNUMBER(SEARCH($A14,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ISNUMBER(SEARCH($A14, INDEX(AsistenciaJetAdminConcatenada!$D:$D, MATCH(1, (AsistenciaJetAdminConcatenada!$A:$A=GJ$2)*(AsistenciaJetAdminConcatenada!$B:$B=GJ$1), 0)), 1))),  0.5, 0))</f>
        <v>0</v>
      </c>
      <c r="GK14" s="47">
        <f t="array" ref="GK14">IF(AND(ISNUMBER(MATCH(GK$2, AsistenciaJetAdminConcatenada!$A:$A, 0)), ISNUMBER(MATCH(GK$1, AsistenciaJetAdminConcatenada!$B:$B, 0)), ISNUMBER(SEARCH($A14,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ISNUMBER(SEARCH($A14, INDEX(AsistenciaJetAdminConcatenada!$D:$D, MATCH(1, (AsistenciaJetAdminConcatenada!$A:$A=GK$2)*(AsistenciaJetAdminConcatenada!$B:$B=GK$1), 0)), 1))),  0.5, 0))</f>
        <v>0</v>
      </c>
      <c r="GL14" s="47">
        <f t="array" ref="GL14">IF(AND(ISNUMBER(MATCH(GL$2, AsistenciaJetAdminConcatenada!$A:$A, 0)), ISNUMBER(MATCH(GL$1, AsistenciaJetAdminConcatenada!$B:$B, 0)), ISNUMBER(SEARCH($A14,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ISNUMBER(SEARCH($A14, INDEX(AsistenciaJetAdminConcatenada!$D:$D, MATCH(1, (AsistenciaJetAdminConcatenada!$A:$A=GL$2)*(AsistenciaJetAdminConcatenada!$B:$B=GL$1), 0)), 1))),  0.5, 0))</f>
        <v>0</v>
      </c>
      <c r="GM14" s="47">
        <f t="array" ref="GM14">IF(AND(ISNUMBER(MATCH(GM$2, AsistenciaJetAdminConcatenada!$A:$A, 0)), ISNUMBER(MATCH(GM$1, AsistenciaJetAdminConcatenada!$B:$B, 0)), ISNUMBER(SEARCH($A14,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ISNUMBER(SEARCH($A14, INDEX(AsistenciaJetAdminConcatenada!$D:$D, MATCH(1, (AsistenciaJetAdminConcatenada!$A:$A=GM$2)*(AsistenciaJetAdminConcatenada!$B:$B=GM$1), 0)), 1))),  0.5, 0))</f>
        <v>0</v>
      </c>
      <c r="GN14" s="47">
        <f t="array" ref="GN14">IF(AND(ISNUMBER(MATCH(GN$2, AsistenciaJetAdminConcatenada!$A:$A, 0)), ISNUMBER(MATCH(GN$1, AsistenciaJetAdminConcatenada!$B:$B, 0)), ISNUMBER(SEARCH($A14,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ISNUMBER(SEARCH($A14, INDEX(AsistenciaJetAdminConcatenada!$D:$D, MATCH(1, (AsistenciaJetAdminConcatenada!$A:$A=GN$2)*(AsistenciaJetAdminConcatenada!$B:$B=GN$1), 0)), 1))),  0.5, 0))</f>
        <v>0</v>
      </c>
      <c r="GO14" s="47">
        <f t="array" ref="GO14">IF(AND(ISNUMBER(MATCH(GO$2, AsistenciaJetAdminConcatenada!$A:$A, 0)), ISNUMBER(MATCH(GO$1, AsistenciaJetAdminConcatenada!$B:$B, 0)), ISNUMBER(SEARCH($A14,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ISNUMBER(SEARCH($A14, INDEX(AsistenciaJetAdminConcatenada!$D:$D, MATCH(1, (AsistenciaJetAdminConcatenada!$A:$A=GO$2)*(AsistenciaJetAdminConcatenada!$B:$B=GO$1), 0)), 1))),  0.5, 0))</f>
        <v>0</v>
      </c>
      <c r="GP14" s="47">
        <f t="array" ref="GP14">IF(AND(ISNUMBER(MATCH(GP$2, AsistenciaJetAdminConcatenada!$A:$A, 0)), ISNUMBER(MATCH(GP$1, AsistenciaJetAdminConcatenada!$B:$B, 0)), ISNUMBER(SEARCH($A14,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ISNUMBER(SEARCH($A14, INDEX(AsistenciaJetAdminConcatenada!$D:$D, MATCH(1, (AsistenciaJetAdminConcatenada!$A:$A=GP$2)*(AsistenciaJetAdminConcatenada!$B:$B=GP$1), 0)), 1))),  0.5, 0))</f>
        <v>0</v>
      </c>
      <c r="GQ14" s="47">
        <f t="array" ref="GQ14">IF(AND(ISNUMBER(MATCH(GQ$2, AsistenciaJetAdminConcatenada!$A:$A, 0)), ISNUMBER(MATCH(GQ$1, AsistenciaJetAdminConcatenada!$B:$B, 0)), ISNUMBER(SEARCH($A14,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ISNUMBER(SEARCH($A14, INDEX(AsistenciaJetAdminConcatenada!$D:$D, MATCH(1, (AsistenciaJetAdminConcatenada!$A:$A=GQ$2)*(AsistenciaJetAdminConcatenada!$B:$B=GQ$1), 0)), 1))),  0.5, 0))</f>
        <v>0</v>
      </c>
      <c r="GR14" s="47">
        <f t="array" ref="GR14">IF(AND(ISNUMBER(MATCH(GR$2, AsistenciaJetAdminConcatenada!$A:$A, 0)), ISNUMBER(MATCH(GR$1, AsistenciaJetAdminConcatenada!$B:$B, 0)), ISNUMBER(SEARCH($A14,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ISNUMBER(SEARCH($A14, INDEX(AsistenciaJetAdminConcatenada!$D:$D, MATCH(1, (AsistenciaJetAdminConcatenada!$A:$A=GR$2)*(AsistenciaJetAdminConcatenada!$B:$B=GR$1), 0)), 1))),  0.5, 0))</f>
        <v>0</v>
      </c>
      <c r="GS14" s="47">
        <f t="array" ref="GS14">IF(AND(ISNUMBER(MATCH(GS$2, AsistenciaJetAdminConcatenada!$A:$A, 0)), ISNUMBER(MATCH(GS$1, AsistenciaJetAdminConcatenada!$B:$B, 0)), ISNUMBER(SEARCH($A14,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ISNUMBER(SEARCH($A14, INDEX(AsistenciaJetAdminConcatenada!$D:$D, MATCH(1, (AsistenciaJetAdminConcatenada!$A:$A=GS$2)*(AsistenciaJetAdminConcatenada!$B:$B=GS$1), 0)), 1))),  0.5, 0))</f>
        <v>0</v>
      </c>
      <c r="GT14" s="47">
        <f t="array" ref="GT14">IF(AND(ISNUMBER(MATCH(GT$2, AsistenciaJetAdminConcatenada!$A:$A, 0)), ISNUMBER(MATCH(GT$1, AsistenciaJetAdminConcatenada!$B:$B, 0)), ISNUMBER(SEARCH($A14,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ISNUMBER(SEARCH($A14, INDEX(AsistenciaJetAdminConcatenada!$D:$D, MATCH(1, (AsistenciaJetAdminConcatenada!$A:$A=GT$2)*(AsistenciaJetAdminConcatenada!$B:$B=GT$1), 0)), 1))),  0.5, 0))</f>
        <v>0</v>
      </c>
      <c r="GU14" s="47">
        <f t="array" ref="GU14">IF(AND(ISNUMBER(MATCH(GU$2, AsistenciaJetAdminConcatenada!$A:$A, 0)), ISNUMBER(MATCH(GU$1, AsistenciaJetAdminConcatenada!$B:$B, 0)), ISNUMBER(SEARCH($A14,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ISNUMBER(SEARCH($A14, INDEX(AsistenciaJetAdminConcatenada!$D:$D, MATCH(1, (AsistenciaJetAdminConcatenada!$A:$A=GU$2)*(AsistenciaJetAdminConcatenada!$B:$B=GU$1), 0)), 1))),  0.5, 0))</f>
        <v>0</v>
      </c>
      <c r="GV14" s="47">
        <f t="array" ref="GV14">IF(AND(ISNUMBER(MATCH(GV$2, AsistenciaJetAdminConcatenada!$A:$A, 0)), ISNUMBER(MATCH(GV$1, AsistenciaJetAdminConcatenada!$B:$B, 0)), ISNUMBER(SEARCH($A14,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ISNUMBER(SEARCH($A14, INDEX(AsistenciaJetAdminConcatenada!$D:$D, MATCH(1, (AsistenciaJetAdminConcatenada!$A:$A=GV$2)*(AsistenciaJetAdminConcatenada!$B:$B=GV$1), 0)), 1))),  0.5, 0))</f>
        <v>0</v>
      </c>
      <c r="GW14" s="47">
        <f t="array" ref="GW14">IF(AND(ISNUMBER(MATCH(GW$2, AsistenciaJetAdminConcatenada!$A:$A, 0)), ISNUMBER(MATCH(GW$1, AsistenciaJetAdminConcatenada!$B:$B, 0)), ISNUMBER(SEARCH($A14,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ISNUMBER(SEARCH($A14, INDEX(AsistenciaJetAdminConcatenada!$D:$D, MATCH(1, (AsistenciaJetAdminConcatenada!$A:$A=GW$2)*(AsistenciaJetAdminConcatenada!$B:$B=GW$1), 0)), 1))),  0.5, 0))</f>
        <v>0</v>
      </c>
      <c r="GX14" s="47">
        <f t="array" ref="GX14">IF(AND(ISNUMBER(MATCH(GX$2, AsistenciaJetAdminConcatenada!$A:$A, 0)), ISNUMBER(MATCH(GX$1, AsistenciaJetAdminConcatenada!$B:$B, 0)), ISNUMBER(SEARCH($A14,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ISNUMBER(SEARCH($A14, INDEX(AsistenciaJetAdminConcatenada!$D:$D, MATCH(1, (AsistenciaJetAdminConcatenada!$A:$A=GX$2)*(AsistenciaJetAdminConcatenada!$B:$B=GX$1), 0)), 1))),  0.5, 0))</f>
        <v>0</v>
      </c>
      <c r="GY14" s="47">
        <f t="array" ref="GY14">IF(AND(ISNUMBER(MATCH(GY$2, AsistenciaJetAdminConcatenada!$A:$A, 0)), ISNUMBER(MATCH(GY$1, AsistenciaJetAdminConcatenada!$B:$B, 0)), ISNUMBER(SEARCH($A14,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ISNUMBER(SEARCH($A14, INDEX(AsistenciaJetAdminConcatenada!$D:$D, MATCH(1, (AsistenciaJetAdminConcatenada!$A:$A=GY$2)*(AsistenciaJetAdminConcatenada!$B:$B=GY$1), 0)), 1))),  0.5, 0))</f>
        <v>0</v>
      </c>
      <c r="GZ14" s="47">
        <f t="array" ref="GZ14">IF(AND(ISNUMBER(MATCH(GZ$2, AsistenciaJetAdminConcatenada!$A:$A, 0)), ISNUMBER(MATCH(GZ$1, AsistenciaJetAdminConcatenada!$B:$B, 0)), ISNUMBER(SEARCH($A14,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ISNUMBER(SEARCH($A14, INDEX(AsistenciaJetAdminConcatenada!$D:$D, MATCH(1, (AsistenciaJetAdminConcatenada!$A:$A=GZ$2)*(AsistenciaJetAdminConcatenada!$B:$B=GZ$1), 0)), 1))),  0.5, 0))</f>
        <v>0</v>
      </c>
      <c r="HA14" s="47">
        <f t="array" ref="HA14">IF(AND(ISNUMBER(MATCH(HA$2, AsistenciaJetAdminConcatenada!$A:$A, 0)), ISNUMBER(MATCH(HA$1, AsistenciaJetAdminConcatenada!$B:$B, 0)), ISNUMBER(SEARCH($A14,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ISNUMBER(SEARCH($A14, INDEX(AsistenciaJetAdminConcatenada!$D:$D, MATCH(1, (AsistenciaJetAdminConcatenada!$A:$A=HA$2)*(AsistenciaJetAdminConcatenada!$B:$B=HA$1), 0)), 1))),  0.5, 0))</f>
        <v>0</v>
      </c>
      <c r="HB14" s="47">
        <f t="array" ref="HB14">IF(AND(ISNUMBER(MATCH(HB$2, AsistenciaJetAdminConcatenada!$A:$A, 0)), ISNUMBER(MATCH(HB$1, AsistenciaJetAdminConcatenada!$B:$B, 0)), ISNUMBER(SEARCH($A14,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ISNUMBER(SEARCH($A14, INDEX(AsistenciaJetAdminConcatenada!$D:$D, MATCH(1, (AsistenciaJetAdminConcatenada!$A:$A=HB$2)*(AsistenciaJetAdminConcatenada!$B:$B=HB$1), 0)), 1))),  0.5, 0))</f>
        <v>0</v>
      </c>
      <c r="HC14" s="47">
        <f t="array" ref="HC14">IF(AND(ISNUMBER(MATCH(HC$2, AsistenciaJetAdminConcatenada!$A:$A, 0)), ISNUMBER(MATCH(HC$1, AsistenciaJetAdminConcatenada!$B:$B, 0)), ISNUMBER(SEARCH($A14,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ISNUMBER(SEARCH($A14, INDEX(AsistenciaJetAdminConcatenada!$D:$D, MATCH(1, (AsistenciaJetAdminConcatenada!$A:$A=HC$2)*(AsistenciaJetAdminConcatenada!$B:$B=HC$1), 0)), 1))),  0.5, 0))</f>
        <v>0</v>
      </c>
    </row>
    <row r="15" ht="29.25" customHeight="1">
      <c r="A15" s="3">
        <v>129.0</v>
      </c>
      <c r="B15" s="4" t="s">
        <v>531</v>
      </c>
      <c r="C15" s="47">
        <f>SUM(D15:HC15) + ActividadesEspeciales!C15</f>
        <v>72</v>
      </c>
      <c r="D15" s="47">
        <f t="array" ref="D15">IF(AND(ISNUMBER(MATCH(D$2, AsistenciaJetAdminConcatenada!$A:$A, 0)), ISNUMBER(MATCH(D$1, AsistenciaJetAdminConcatenada!$B:$B, 0)), ISNUMBER(SEARCH($A15,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ISNUMBER(SEARCH($A15, INDEX(AsistenciaJetAdminConcatenada!$D:$D, MATCH(1, (AsistenciaJetAdminConcatenada!$A:$A=D$2)*(AsistenciaJetAdminConcatenada!$B:$B=D$1), 0)), 1))),  0.5, 0))</f>
        <v>1</v>
      </c>
      <c r="E15" s="47">
        <f t="array" ref="E15">IF(AND(ISNUMBER(MATCH(E$2, AsistenciaJetAdminConcatenada!$A:$A, 0)), ISNUMBER(MATCH(E$1, AsistenciaJetAdminConcatenada!$B:$B, 0)), ISNUMBER(SEARCH($A15,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ISNUMBER(SEARCH($A15, INDEX(AsistenciaJetAdminConcatenada!$D:$D, MATCH(1, (AsistenciaJetAdminConcatenada!$A:$A=E$2)*(AsistenciaJetAdminConcatenada!$B:$B=E$1), 0)), 1))),  0.5, 0))</f>
        <v>1</v>
      </c>
      <c r="F15" s="47">
        <f t="array" ref="F15">IF(AND(ISNUMBER(MATCH(F$2, AsistenciaJetAdminConcatenada!$A:$A, 0)), ISNUMBER(MATCH(F$1, AsistenciaJetAdminConcatenada!$B:$B, 0)), ISNUMBER(SEARCH($A15,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ISNUMBER(SEARCH($A15, INDEX(AsistenciaJetAdminConcatenada!$D:$D, MATCH(1, (AsistenciaJetAdminConcatenada!$A:$A=F$2)*(AsistenciaJetAdminConcatenada!$B:$B=F$1), 0)), 1))),  0.5, 0))</f>
        <v>0</v>
      </c>
      <c r="G15" s="47">
        <f t="array" ref="G15">IF(AND(ISNUMBER(MATCH(G$2, AsistenciaJetAdminConcatenada!$A:$A, 0)), ISNUMBER(MATCH(G$1, AsistenciaJetAdminConcatenada!$B:$B, 0)), ISNUMBER(SEARCH($A15,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ISNUMBER(SEARCH($A15, INDEX(AsistenciaJetAdminConcatenada!$D:$D, MATCH(1, (AsistenciaJetAdminConcatenada!$A:$A=G$2)*(AsistenciaJetAdminConcatenada!$B:$B=G$1), 0)), 1))),  0.5, 0))</f>
        <v>1</v>
      </c>
      <c r="H15" s="47">
        <f t="array" ref="H15">IF(AND(ISNUMBER(MATCH(H$2, AsistenciaJetAdminConcatenada!$A:$A, 0)), ISNUMBER(MATCH(H$1, AsistenciaJetAdminConcatenada!$B:$B, 0)), ISNUMBER(SEARCH($A15,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ISNUMBER(SEARCH($A15, INDEX(AsistenciaJetAdminConcatenada!$D:$D, MATCH(1, (AsistenciaJetAdminConcatenada!$A:$A=H$2)*(AsistenciaJetAdminConcatenada!$B:$B=H$1), 0)), 1))),  0.5, 0))</f>
        <v>1</v>
      </c>
      <c r="I15" s="47">
        <f t="array" ref="I15">IF(AND(ISNUMBER(MATCH(I$2, AsistenciaJetAdminConcatenada!$A:$A, 0)), ISNUMBER(MATCH(I$1, AsistenciaJetAdminConcatenada!$B:$B, 0)), ISNUMBER(SEARCH($A15,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ISNUMBER(SEARCH($A15, INDEX(AsistenciaJetAdminConcatenada!$D:$D, MATCH(1, (AsistenciaJetAdminConcatenada!$A:$A=I$2)*(AsistenciaJetAdminConcatenada!$B:$B=I$1), 0)), 1))),  0.5, 0))</f>
        <v>1</v>
      </c>
      <c r="J15" s="47">
        <f t="array" ref="J15">IF(AND(ISNUMBER(MATCH(J$2, AsistenciaJetAdminConcatenada!$A:$A, 0)), ISNUMBER(MATCH(J$1, AsistenciaJetAdminConcatenada!$B:$B, 0)), ISNUMBER(SEARCH($A15,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ISNUMBER(SEARCH($A15, INDEX(AsistenciaJetAdminConcatenada!$D:$D, MATCH(1, (AsistenciaJetAdminConcatenada!$A:$A=J$2)*(AsistenciaJetAdminConcatenada!$B:$B=J$1), 0)), 1))),  0.5, 0))</f>
        <v>1</v>
      </c>
      <c r="K15" s="47">
        <f t="array" ref="K15">IF(AND(ISNUMBER(MATCH(K$2, AsistenciaJetAdminConcatenada!$A:$A, 0)), ISNUMBER(MATCH(K$1, AsistenciaJetAdminConcatenada!$B:$B, 0)), ISNUMBER(SEARCH($A15,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ISNUMBER(SEARCH($A15, INDEX(AsistenciaJetAdminConcatenada!$D:$D, MATCH(1, (AsistenciaJetAdminConcatenada!$A:$A=K$2)*(AsistenciaJetAdminConcatenada!$B:$B=K$1), 0)), 1))),  0.5, 0))</f>
        <v>1</v>
      </c>
      <c r="L15" s="47">
        <f t="array" ref="L15">IF(AND(ISNUMBER(MATCH(L$2, AsistenciaJetAdminConcatenada!$A:$A, 0)), ISNUMBER(MATCH(L$1, AsistenciaJetAdminConcatenada!$B:$B, 0)), ISNUMBER(SEARCH($A15,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ISNUMBER(SEARCH($A15, INDEX(AsistenciaJetAdminConcatenada!$D:$D, MATCH(1, (AsistenciaJetAdminConcatenada!$A:$A=L$2)*(AsistenciaJetAdminConcatenada!$B:$B=L$1), 0)), 1))),  0.5, 0))</f>
        <v>1</v>
      </c>
      <c r="M15" s="47">
        <f t="array" ref="M15">IF(AND(ISNUMBER(MATCH(M$2, AsistenciaJetAdminConcatenada!$A:$A, 0)), ISNUMBER(MATCH(M$1, AsistenciaJetAdminConcatenada!$B:$B, 0)), ISNUMBER(SEARCH($A15,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ISNUMBER(SEARCH($A15, INDEX(AsistenciaJetAdminConcatenada!$D:$D, MATCH(1, (AsistenciaJetAdminConcatenada!$A:$A=M$2)*(AsistenciaJetAdminConcatenada!$B:$B=M$1), 0)), 1))),  0.5, 0))</f>
        <v>1</v>
      </c>
      <c r="N15" s="47">
        <f t="array" ref="N15">IF(AND(ISNUMBER(MATCH(N$2, AsistenciaJetAdminConcatenada!$A:$A, 0)), ISNUMBER(MATCH(N$1, AsistenciaJetAdminConcatenada!$B:$B, 0)), ISNUMBER(SEARCH($A15,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ISNUMBER(SEARCH($A15, INDEX(AsistenciaJetAdminConcatenada!$D:$D, MATCH(1, (AsistenciaJetAdminConcatenada!$A:$A=N$2)*(AsistenciaJetAdminConcatenada!$B:$B=N$1), 0)), 1))),  0.5, 0))</f>
        <v>1</v>
      </c>
      <c r="O15" s="47">
        <f t="array" ref="O15">IF(AND(ISNUMBER(MATCH(O$2, AsistenciaJetAdminConcatenada!$A:$A, 0)), ISNUMBER(MATCH(O$1, AsistenciaJetAdminConcatenada!$B:$B, 0)), ISNUMBER(SEARCH($A15,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ISNUMBER(SEARCH($A15, INDEX(AsistenciaJetAdminConcatenada!$D:$D, MATCH(1, (AsistenciaJetAdminConcatenada!$A:$A=O$2)*(AsistenciaJetAdminConcatenada!$B:$B=O$1), 0)), 1))),  0.5, 0))</f>
        <v>1</v>
      </c>
      <c r="P15" s="47">
        <f t="array" ref="P15">IF(AND(ISNUMBER(MATCH(P$2, AsistenciaJetAdminConcatenada!$A:$A, 0)), ISNUMBER(MATCH(P$1, AsistenciaJetAdminConcatenada!$B:$B, 0)), ISNUMBER(SEARCH($A15, INDEX(AsistenciaJetAdminConcatenada!$C:$C, MATCH(1, (AsistenciaJetAdminConcatenada!$A:$A=P$2)*(AsistenciaJetAdminConcatenada!$B:$B=P$1), 0)), 1))), 1, IF(AND(ISNUMBER(MATCH(P$2, AsistenciaJetAdminConcatenada!$A:$A, 0)), ISNUMBER(MATCH(P$1, AsistenciaJetAdminConcatenada!$B:$B, 0)), ISNUMBER(SEARCH($A15, INDEX(AsistenciaJetAdminConcatenada!$D:$D, MATCH(1, (AsistenciaJetAdminConcatenada!$A:$A=P$2)*(AsistenciaJetAdminConcatenada!$B:$B=P$1), 0)), 1))),  0.5, 0))</f>
        <v>1</v>
      </c>
      <c r="Q15" s="47">
        <f t="array" ref="Q15">IF(AND(ISNUMBER(MATCH(Q$2, AsistenciaJetAdminConcatenada!$A:$A, 0)), ISNUMBER(MATCH(Q$1, AsistenciaJetAdminConcatenada!$B:$B, 0)), ISNUMBER(SEARCH($A15, INDEX(AsistenciaJetAdminConcatenada!$C:$C, MATCH(1, (AsistenciaJetAdminConcatenada!$A:$A=Q$2)*(AsistenciaJetAdminConcatenada!$B:$B=Q$1), 0)), 1))), 1, IF(AND(ISNUMBER(MATCH(Q$2, AsistenciaJetAdminConcatenada!$A:$A, 0)), ISNUMBER(MATCH(Q$1, AsistenciaJetAdminConcatenada!$B:$B, 0)), ISNUMBER(SEARCH($A15, INDEX(AsistenciaJetAdminConcatenada!$D:$D, MATCH(1, (AsistenciaJetAdminConcatenada!$A:$A=Q$2)*(AsistenciaJetAdminConcatenada!$B:$B=Q$1), 0)), 1))),  0.5, 0))</f>
        <v>1</v>
      </c>
      <c r="R15" s="47">
        <f t="array" ref="R15">IF(AND(ISNUMBER(MATCH(R$2, AsistenciaJetAdminConcatenada!$A:$A, 0)), ISNUMBER(MATCH(R$1, AsistenciaJetAdminConcatenada!$B:$B, 0)), ISNUMBER(SEARCH($A15,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ISNUMBER(SEARCH($A15, INDEX(AsistenciaJetAdminConcatenada!$D:$D, MATCH(1, (AsistenciaJetAdminConcatenada!$A:$A=R$2)*(AsistenciaJetAdminConcatenada!$B:$B=R$1), 0)), 1))),  0.5, 0))</f>
        <v>1</v>
      </c>
      <c r="S15" s="47">
        <f t="array" ref="S15">IF(AND(ISNUMBER(MATCH(S$2, AsistenciaJetAdminConcatenada!$A:$A, 0)), ISNUMBER(MATCH(S$1, AsistenciaJetAdminConcatenada!$B:$B, 0)), ISNUMBER(SEARCH($A15,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ISNUMBER(SEARCH($A15, INDEX(AsistenciaJetAdminConcatenada!$D:$D, MATCH(1, (AsistenciaJetAdminConcatenada!$A:$A=S$2)*(AsistenciaJetAdminConcatenada!$B:$B=S$1), 0)), 1))),  0.5, 0))</f>
        <v>0</v>
      </c>
      <c r="T15" s="47">
        <f t="array" ref="T15">IF(AND(ISNUMBER(MATCH(T$2, AsistenciaJetAdminConcatenada!$A:$A, 0)), ISNUMBER(MATCH(T$1, AsistenciaJetAdminConcatenada!$B:$B, 0)), ISNUMBER(SEARCH($A15,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ISNUMBER(SEARCH($A15, INDEX(AsistenciaJetAdminConcatenada!$D:$D, MATCH(1, (AsistenciaJetAdminConcatenada!$A:$A=T$2)*(AsistenciaJetAdminConcatenada!$B:$B=T$1), 0)), 1))),  0.5, 0))</f>
        <v>0</v>
      </c>
      <c r="U15" s="47">
        <f t="array" ref="U15">IF(AND(ISNUMBER(MATCH(U$2, AsistenciaJetAdminConcatenada!$A:$A, 0)), ISNUMBER(MATCH(U$1, AsistenciaJetAdminConcatenada!$B:$B, 0)), ISNUMBER(SEARCH($A15,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ISNUMBER(SEARCH($A15, INDEX(AsistenciaJetAdminConcatenada!$D:$D, MATCH(1, (AsistenciaJetAdminConcatenada!$A:$A=U$2)*(AsistenciaJetAdminConcatenada!$B:$B=U$1), 0)), 1))),  0.5, 0))</f>
        <v>1</v>
      </c>
      <c r="V15" s="47">
        <f t="array" ref="V15">IF(AND(ISNUMBER(MATCH(V$2, AsistenciaJetAdminConcatenada!$A:$A, 0)), ISNUMBER(MATCH(V$1, AsistenciaJetAdminConcatenada!$B:$B, 0)), ISNUMBER(SEARCH($A15,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ISNUMBER(SEARCH($A15, INDEX(AsistenciaJetAdminConcatenada!$D:$D, MATCH(1, (AsistenciaJetAdminConcatenada!$A:$A=V$2)*(AsistenciaJetAdminConcatenada!$B:$B=V$1), 0)), 1))),  0.5, 0))</f>
        <v>1</v>
      </c>
      <c r="W15" s="47">
        <f t="array" ref="W15">IF(AND(ISNUMBER(MATCH(W$2, AsistenciaJetAdminConcatenada!$A:$A, 0)), ISNUMBER(MATCH(W$1, AsistenciaJetAdminConcatenada!$B:$B, 0)), ISNUMBER(SEARCH($A15,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ISNUMBER(SEARCH($A15, INDEX(AsistenciaJetAdminConcatenada!$D:$D, MATCH(1, (AsistenciaJetAdminConcatenada!$A:$A=W$2)*(AsistenciaJetAdminConcatenada!$B:$B=W$1), 0)), 1))),  0.5, 0))</f>
        <v>1</v>
      </c>
      <c r="X15" s="47">
        <f t="array" ref="X15">IF(AND(ISNUMBER(MATCH(X$2, AsistenciaJetAdminConcatenada!$A:$A, 0)), ISNUMBER(MATCH(X$1, AsistenciaJetAdminConcatenada!$B:$B, 0)), ISNUMBER(SEARCH($A15,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ISNUMBER(SEARCH($A15, INDEX(AsistenciaJetAdminConcatenada!$D:$D, MATCH(1, (AsistenciaJetAdminConcatenada!$A:$A=X$2)*(AsistenciaJetAdminConcatenada!$B:$B=X$1), 0)), 1))),  0.5, 0))</f>
        <v>1</v>
      </c>
      <c r="Y15" s="47">
        <f t="array" ref="Y15">IF(AND(ISNUMBER(MATCH(Y$2, AsistenciaJetAdminConcatenada!$A:$A, 0)), ISNUMBER(MATCH(Y$1, AsistenciaJetAdminConcatenada!$B:$B, 0)), ISNUMBER(SEARCH($A15,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ISNUMBER(SEARCH($A15, INDEX(AsistenciaJetAdminConcatenada!$D:$D, MATCH(1, (AsistenciaJetAdminConcatenada!$A:$A=Y$2)*(AsistenciaJetAdminConcatenada!$B:$B=Y$1), 0)), 1))),  0.5, 0))</f>
        <v>0</v>
      </c>
      <c r="Z15" s="47">
        <f t="array" ref="Z15">IF(AND(ISNUMBER(MATCH(Z$2, AsistenciaJetAdminConcatenada!$A:$A, 0)), ISNUMBER(MATCH(Z$1, AsistenciaJetAdminConcatenada!$B:$B, 0)), ISNUMBER(SEARCH($A15,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ISNUMBER(SEARCH($A15, INDEX(AsistenciaJetAdminConcatenada!$D:$D, MATCH(1, (AsistenciaJetAdminConcatenada!$A:$A=Z$2)*(AsistenciaJetAdminConcatenada!$B:$B=Z$1), 0)), 1))),  0.5, 0))</f>
        <v>1</v>
      </c>
      <c r="AA15" s="47">
        <f t="array" ref="AA15">IF(AND(ISNUMBER(MATCH(AA$2, AsistenciaJetAdminConcatenada!$A:$A, 0)), ISNUMBER(MATCH(AA$1, AsistenciaJetAdminConcatenada!$B:$B, 0)), ISNUMBER(SEARCH($A15,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ISNUMBER(SEARCH($A15, INDEX(AsistenciaJetAdminConcatenada!$D:$D, MATCH(1, (AsistenciaJetAdminConcatenada!$A:$A=AA$2)*(AsistenciaJetAdminConcatenada!$B:$B=AA$1), 0)), 1))),  0.5, 0))</f>
        <v>1</v>
      </c>
      <c r="AB15" s="47">
        <f t="array" ref="AB15">IF(AND(ISNUMBER(MATCH(AB$2, AsistenciaJetAdminConcatenada!$A:$A, 0)), ISNUMBER(MATCH(AB$1, AsistenciaJetAdminConcatenada!$B:$B, 0)), ISNUMBER(SEARCH($A15,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ISNUMBER(SEARCH($A15, INDEX(AsistenciaJetAdminConcatenada!$D:$D, MATCH(1, (AsistenciaJetAdminConcatenada!$A:$A=AB$2)*(AsistenciaJetAdminConcatenada!$B:$B=AB$1), 0)), 1))),  0.5, 0))</f>
        <v>1</v>
      </c>
      <c r="AC15" s="47">
        <f t="array" ref="AC15">IF(AND(ISNUMBER(MATCH(AC$2, AsistenciaJetAdminConcatenada!$A:$A, 0)), ISNUMBER(MATCH(AC$1, AsistenciaJetAdminConcatenada!$B:$B, 0)), ISNUMBER(SEARCH($A15,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ISNUMBER(SEARCH($A15, INDEX(AsistenciaJetAdminConcatenada!$D:$D, MATCH(1, (AsistenciaJetAdminConcatenada!$A:$A=AC$2)*(AsistenciaJetAdminConcatenada!$B:$B=AC$1), 0)), 1))),  0.5, 0))</f>
        <v>0</v>
      </c>
      <c r="AD15" s="47">
        <f t="array" ref="AD15">IF(AND(ISNUMBER(MATCH(AD$2, AsistenciaJetAdminConcatenada!$A:$A, 0)), ISNUMBER(MATCH(AD$1, AsistenciaJetAdminConcatenada!$B:$B, 0)), ISNUMBER(SEARCH($A15,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ISNUMBER(SEARCH($A15, INDEX(AsistenciaJetAdminConcatenada!$D:$D, MATCH(1, (AsistenciaJetAdminConcatenada!$A:$A=AD$2)*(AsistenciaJetAdminConcatenada!$B:$B=AD$1), 0)), 1))),  0.5, 0))</f>
        <v>0</v>
      </c>
      <c r="AE15" s="47">
        <f t="array" ref="AE15">IF(AND(ISNUMBER(MATCH(AE$2, AsistenciaJetAdminConcatenada!$A:$A, 0)), ISNUMBER(MATCH(AE$1, AsistenciaJetAdminConcatenada!$B:$B, 0)), ISNUMBER(SEARCH($A15,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ISNUMBER(SEARCH($A15, INDEX(AsistenciaJetAdminConcatenada!$D:$D, MATCH(1, (AsistenciaJetAdminConcatenada!$A:$A=AE$2)*(AsistenciaJetAdminConcatenada!$B:$B=AE$1), 0)), 1))),  0.5, 0))</f>
        <v>0</v>
      </c>
      <c r="AF15" s="47">
        <f t="array" ref="AF15">IF(AND(ISNUMBER(MATCH(AF$2, AsistenciaJetAdminConcatenada!$A:$A, 0)), ISNUMBER(MATCH(AF$1, AsistenciaJetAdminConcatenada!$B:$B, 0)), ISNUMBER(SEARCH($A15,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ISNUMBER(SEARCH($A15, INDEX(AsistenciaJetAdminConcatenada!$D:$D, MATCH(1, (AsistenciaJetAdminConcatenada!$A:$A=AF$2)*(AsistenciaJetAdminConcatenada!$B:$B=AF$1), 0)), 1))),  0.5, 0))</f>
        <v>1</v>
      </c>
      <c r="AG15" s="47">
        <f t="array" ref="AG15">IF(AND(ISNUMBER(MATCH(AG$2, AsistenciaJetAdminConcatenada!$A:$A, 0)), ISNUMBER(MATCH(AG$1, AsistenciaJetAdminConcatenada!$B:$B, 0)), ISNUMBER(SEARCH($A15,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ISNUMBER(SEARCH($A15, INDEX(AsistenciaJetAdminConcatenada!$D:$D, MATCH(1, (AsistenciaJetAdminConcatenada!$A:$A=AG$2)*(AsistenciaJetAdminConcatenada!$B:$B=AG$1), 0)), 1))),  0.5, 0))</f>
        <v>1</v>
      </c>
      <c r="AH15" s="47">
        <f t="array" ref="AH15">IF(AND(ISNUMBER(MATCH(AH$2, AsistenciaJetAdminConcatenada!$A:$A, 0)), ISNUMBER(MATCH(AH$1, AsistenciaJetAdminConcatenada!$B:$B, 0)), ISNUMBER(SEARCH($A15,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ISNUMBER(SEARCH($A15, INDEX(AsistenciaJetAdminConcatenada!$D:$D, MATCH(1, (AsistenciaJetAdminConcatenada!$A:$A=AH$2)*(AsistenciaJetAdminConcatenada!$B:$B=AH$1), 0)), 1))),  0.5, 0))</f>
        <v>0</v>
      </c>
      <c r="AI15" s="47">
        <f t="array" ref="AI15">IF(AND(ISNUMBER(MATCH(AI$2, AsistenciaJetAdminConcatenada!$A:$A, 0)), ISNUMBER(MATCH(AI$1, AsistenciaJetAdminConcatenada!$B:$B, 0)), ISNUMBER(SEARCH($A15,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ISNUMBER(SEARCH($A15, INDEX(AsistenciaJetAdminConcatenada!$D:$D, MATCH(1, (AsistenciaJetAdminConcatenada!$A:$A=AI$2)*(AsistenciaJetAdminConcatenada!$B:$B=AI$1), 0)), 1))),  0.5, 0))</f>
        <v>1</v>
      </c>
      <c r="AJ15" s="47">
        <f t="array" ref="AJ15">IF(AND(ISNUMBER(MATCH(AJ$2, AsistenciaJetAdminConcatenada!$A:$A, 0)), ISNUMBER(MATCH(AJ$1, AsistenciaJetAdminConcatenada!$B:$B, 0)), ISNUMBER(SEARCH($A15,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ISNUMBER(SEARCH($A15, INDEX(AsistenciaJetAdminConcatenada!$D:$D, MATCH(1, (AsistenciaJetAdminConcatenada!$A:$A=AJ$2)*(AsistenciaJetAdminConcatenada!$B:$B=AJ$1), 0)), 1))),  0.5, 0))</f>
        <v>0</v>
      </c>
      <c r="AK15" s="47">
        <f t="array" ref="AK15">IF(AND(ISNUMBER(MATCH(AK$2, AsistenciaJetAdminConcatenada!$A:$A, 0)), ISNUMBER(MATCH(AK$1, AsistenciaJetAdminConcatenada!$B:$B, 0)), ISNUMBER(SEARCH($A15,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ISNUMBER(SEARCH($A15, INDEX(AsistenciaJetAdminConcatenada!$D:$D, MATCH(1, (AsistenciaJetAdminConcatenada!$A:$A=AK$2)*(AsistenciaJetAdminConcatenada!$B:$B=AK$1), 0)), 1))),  0.5, 0))</f>
        <v>1</v>
      </c>
      <c r="AL15" s="47">
        <f t="array" ref="AL15">IF(AND(ISNUMBER(MATCH(AL$2, AsistenciaJetAdminConcatenada!$A:$A, 0)), ISNUMBER(MATCH(AL$1, AsistenciaJetAdminConcatenada!$B:$B, 0)), ISNUMBER(SEARCH($A15,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ISNUMBER(SEARCH($A15, INDEX(AsistenciaJetAdminConcatenada!$D:$D, MATCH(1, (AsistenciaJetAdminConcatenada!$A:$A=AL$2)*(AsistenciaJetAdminConcatenada!$B:$B=AL$1), 0)), 1))),  0.5, 0))</f>
        <v>1</v>
      </c>
      <c r="AM15" s="47">
        <f t="array" ref="AM15">IF(AND(ISNUMBER(MATCH(AM$2, AsistenciaJetAdminConcatenada!$A:$A, 0)), ISNUMBER(MATCH(AM$1, AsistenciaJetAdminConcatenada!$B:$B, 0)), ISNUMBER(SEARCH($A15,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ISNUMBER(SEARCH($A15, INDEX(AsistenciaJetAdminConcatenada!$D:$D, MATCH(1, (AsistenciaJetAdminConcatenada!$A:$A=AM$2)*(AsistenciaJetAdminConcatenada!$B:$B=AM$1), 0)), 1))),  0.5, 0))</f>
        <v>1</v>
      </c>
      <c r="AN15" s="47">
        <f t="array" ref="AN15">IF(AND(ISNUMBER(MATCH(AN$2, AsistenciaJetAdminConcatenada!$A:$A, 0)), ISNUMBER(MATCH(AN$1, AsistenciaJetAdminConcatenada!$B:$B, 0)), ISNUMBER(SEARCH($A15,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ISNUMBER(SEARCH($A15, INDEX(AsistenciaJetAdminConcatenada!$D:$D, MATCH(1, (AsistenciaJetAdminConcatenada!$A:$A=AN$2)*(AsistenciaJetAdminConcatenada!$B:$B=AN$1), 0)), 1))),  0.5, 0))</f>
        <v>1</v>
      </c>
      <c r="AO15" s="47">
        <f t="array" ref="AO15">IF(AND(ISNUMBER(MATCH(AO$2, AsistenciaJetAdminConcatenada!$A:$A, 0)), ISNUMBER(MATCH(AO$1, AsistenciaJetAdminConcatenada!$B:$B, 0)), ISNUMBER(SEARCH($A15,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ISNUMBER(SEARCH($A15, INDEX(AsistenciaJetAdminConcatenada!$D:$D, MATCH(1, (AsistenciaJetAdminConcatenada!$A:$A=AO$2)*(AsistenciaJetAdminConcatenada!$B:$B=AO$1), 0)), 1))),  0.5, 0))</f>
        <v>1</v>
      </c>
      <c r="AP15" s="47">
        <f t="array" ref="AP15">IF(AND(ISNUMBER(MATCH(AP$2, AsistenciaJetAdminConcatenada!$A:$A, 0)), ISNUMBER(MATCH(AP$1, AsistenciaJetAdminConcatenada!$B:$B, 0)), ISNUMBER(SEARCH($A15,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ISNUMBER(SEARCH($A15, INDEX(AsistenciaJetAdminConcatenada!$D:$D, MATCH(1, (AsistenciaJetAdminConcatenada!$A:$A=AP$2)*(AsistenciaJetAdminConcatenada!$B:$B=AP$1), 0)), 1))),  0.5, 0))</f>
        <v>1</v>
      </c>
      <c r="AQ15" s="47">
        <f t="array" ref="AQ15">IF(AND(ISNUMBER(MATCH(AQ$2, AsistenciaJetAdminConcatenada!$A:$A, 0)), ISNUMBER(MATCH(AQ$1, AsistenciaJetAdminConcatenada!$B:$B, 0)), ISNUMBER(SEARCH($A15,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ISNUMBER(SEARCH($A15, INDEX(AsistenciaJetAdminConcatenada!$D:$D, MATCH(1, (AsistenciaJetAdminConcatenada!$A:$A=AQ$2)*(AsistenciaJetAdminConcatenada!$B:$B=AQ$1), 0)), 1))),  0.5, 0))</f>
        <v>0</v>
      </c>
      <c r="AR15" s="47">
        <f t="array" ref="AR15">IF(AND(ISNUMBER(MATCH(AR$2, AsistenciaJetAdminConcatenada!$A:$A, 0)), ISNUMBER(MATCH(AR$1, AsistenciaJetAdminConcatenada!$B:$B, 0)), ISNUMBER(SEARCH($A15,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ISNUMBER(SEARCH($A15, INDEX(AsistenciaJetAdminConcatenada!$D:$D, MATCH(1, (AsistenciaJetAdminConcatenada!$A:$A=AR$2)*(AsistenciaJetAdminConcatenada!$B:$B=AR$1), 0)), 1))),  0.5, 0))</f>
        <v>1</v>
      </c>
      <c r="AS15" s="47">
        <f t="array" ref="AS15">IF(AND(ISNUMBER(MATCH(AS$2, AsistenciaJetAdminConcatenada!$A:$A, 0)), ISNUMBER(MATCH(AS$1, AsistenciaJetAdminConcatenada!$B:$B, 0)), ISNUMBER(SEARCH($A15,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ISNUMBER(SEARCH($A15, INDEX(AsistenciaJetAdminConcatenada!$D:$D, MATCH(1, (AsistenciaJetAdminConcatenada!$A:$A=AS$2)*(AsistenciaJetAdminConcatenada!$B:$B=AS$1), 0)), 1))),  0.5, 0))</f>
        <v>1</v>
      </c>
      <c r="AT15" s="47">
        <f t="array" ref="AT15">IF(AND(ISNUMBER(MATCH(AT$2, AsistenciaJetAdminConcatenada!$A:$A, 0)), ISNUMBER(MATCH(AT$1, AsistenciaJetAdminConcatenada!$B:$B, 0)), ISNUMBER(SEARCH($A15,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ISNUMBER(SEARCH($A15, INDEX(AsistenciaJetAdminConcatenada!$D:$D, MATCH(1, (AsistenciaJetAdminConcatenada!$A:$A=AT$2)*(AsistenciaJetAdminConcatenada!$B:$B=AT$1), 0)), 1))),  0.5, 0))</f>
        <v>0</v>
      </c>
      <c r="AU15" s="47">
        <f t="array" ref="AU15">IF(AND(ISNUMBER(MATCH(AU$2, AsistenciaJetAdminConcatenada!$A:$A, 0)), ISNUMBER(MATCH(AU$1, AsistenciaJetAdminConcatenada!$B:$B, 0)), ISNUMBER(SEARCH($A15,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ISNUMBER(SEARCH($A15, INDEX(AsistenciaJetAdminConcatenada!$D:$D, MATCH(1, (AsistenciaJetAdminConcatenada!$A:$A=AU$2)*(AsistenciaJetAdminConcatenada!$B:$B=AU$1), 0)), 1))),  0.5, 0))</f>
        <v>1</v>
      </c>
      <c r="AV15" s="47">
        <f t="array" ref="AV15">IF(AND(ISNUMBER(MATCH(AV$2, AsistenciaJetAdminConcatenada!$A:$A, 0)), ISNUMBER(MATCH(AV$1, AsistenciaJetAdminConcatenada!$B:$B, 0)), ISNUMBER(SEARCH($A15,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ISNUMBER(SEARCH($A15, INDEX(AsistenciaJetAdminConcatenada!$D:$D, MATCH(1, (AsistenciaJetAdminConcatenada!$A:$A=AV$2)*(AsistenciaJetAdminConcatenada!$B:$B=AV$1), 0)), 1))),  0.5, 0))</f>
        <v>1</v>
      </c>
      <c r="AW15" s="47">
        <f t="array" ref="AW15">IF(AND(ISNUMBER(MATCH(AW$2, AsistenciaJetAdminConcatenada!$A:$A, 0)), ISNUMBER(MATCH(AW$1, AsistenciaJetAdminConcatenada!$B:$B, 0)), ISNUMBER(SEARCH($A15,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ISNUMBER(SEARCH($A15, INDEX(AsistenciaJetAdminConcatenada!$D:$D, MATCH(1, (AsistenciaJetAdminConcatenada!$A:$A=AW$2)*(AsistenciaJetAdminConcatenada!$B:$B=AW$1), 0)), 1))),  0.5, 0))</f>
        <v>0</v>
      </c>
      <c r="AX15" s="47">
        <f t="array" ref="AX15">IF(AND(ISNUMBER(MATCH(AX$2, AsistenciaJetAdminConcatenada!$A:$A, 0)), ISNUMBER(MATCH(AX$1, AsistenciaJetAdminConcatenada!$B:$B, 0)), ISNUMBER(SEARCH($A15,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ISNUMBER(SEARCH($A15, INDEX(AsistenciaJetAdminConcatenada!$D:$D, MATCH(1, (AsistenciaJetAdminConcatenada!$A:$A=AX$2)*(AsistenciaJetAdminConcatenada!$B:$B=AX$1), 0)), 1))),  0.5, 0))</f>
        <v>0</v>
      </c>
      <c r="AY15" s="47">
        <f t="array" ref="AY15">IF(AND(ISNUMBER(MATCH(AY$2, AsistenciaJetAdminConcatenada!$A:$A, 0)), ISNUMBER(MATCH(AY$1, AsistenciaJetAdminConcatenada!$B:$B, 0)), ISNUMBER(SEARCH($A15,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ISNUMBER(SEARCH($A15, INDEX(AsistenciaJetAdminConcatenada!$D:$D, MATCH(1, (AsistenciaJetAdminConcatenada!$A:$A=AY$2)*(AsistenciaJetAdminConcatenada!$B:$B=AY$1), 0)), 1))),  0.5, 0))</f>
        <v>1</v>
      </c>
      <c r="AZ15" s="47">
        <f t="array" ref="AZ15">IF(AND(ISNUMBER(MATCH(AZ$2, AsistenciaJetAdminConcatenada!$A:$A, 0)), ISNUMBER(MATCH(AZ$1, AsistenciaJetAdminConcatenada!$B:$B, 0)), ISNUMBER(SEARCH($A15,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ISNUMBER(SEARCH($A15, INDEX(AsistenciaJetAdminConcatenada!$D:$D, MATCH(1, (AsistenciaJetAdminConcatenada!$A:$A=AZ$2)*(AsistenciaJetAdminConcatenada!$B:$B=AZ$1), 0)), 1))),  0.5, 0))</f>
        <v>0.5</v>
      </c>
      <c r="BA15" s="47">
        <f t="array" ref="BA15">IF(AND(ISNUMBER(MATCH(BA$2, AsistenciaJetAdminConcatenada!$A:$A, 0)), ISNUMBER(MATCH(BA$1, AsistenciaJetAdminConcatenada!$B:$B, 0)), ISNUMBER(SEARCH($A15,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ISNUMBER(SEARCH($A15, INDEX(AsistenciaJetAdminConcatenada!$D:$D, MATCH(1, (AsistenciaJetAdminConcatenada!$A:$A=BA$2)*(AsistenciaJetAdminConcatenada!$B:$B=BA$1), 0)), 1))),  0.5, 0))</f>
        <v>1</v>
      </c>
      <c r="BB15" s="47">
        <f t="array" ref="BB15">IF(AND(ISNUMBER(MATCH(BB$2, AsistenciaJetAdminConcatenada!$A:$A, 0)), ISNUMBER(MATCH(BB$1, AsistenciaJetAdminConcatenada!$B:$B, 0)), ISNUMBER(SEARCH($A15,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ISNUMBER(SEARCH($A15, INDEX(AsistenciaJetAdminConcatenada!$D:$D, MATCH(1, (AsistenciaJetAdminConcatenada!$A:$A=BB$2)*(AsistenciaJetAdminConcatenada!$B:$B=BB$1), 0)), 1))),  0.5, 0))</f>
        <v>0.5</v>
      </c>
      <c r="BC15" s="47">
        <f t="array" ref="BC15">IF(AND(ISNUMBER(MATCH(BC$2, AsistenciaJetAdminConcatenada!$A:$A, 0)), ISNUMBER(MATCH(BC$1, AsistenciaJetAdminConcatenada!$B:$B, 0)), ISNUMBER(SEARCH($A15,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ISNUMBER(SEARCH($A15, INDEX(AsistenciaJetAdminConcatenada!$D:$D, MATCH(1, (AsistenciaJetAdminConcatenada!$A:$A=BC$2)*(AsistenciaJetAdminConcatenada!$B:$B=BC$1), 0)), 1))),  0.5, 0))</f>
        <v>0</v>
      </c>
      <c r="BD15" s="47">
        <f t="array" ref="BD15">IF(AND(ISNUMBER(MATCH(BD$2, AsistenciaJetAdminConcatenada!$A:$A, 0)), ISNUMBER(MATCH(BD$1, AsistenciaJetAdminConcatenada!$B:$B, 0)), ISNUMBER(SEARCH($A15,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ISNUMBER(SEARCH($A15, INDEX(AsistenciaJetAdminConcatenada!$D:$D, MATCH(1, (AsistenciaJetAdminConcatenada!$A:$A=BD$2)*(AsistenciaJetAdminConcatenada!$B:$B=BD$1), 0)), 1))),  0.5, 0))</f>
        <v>1</v>
      </c>
      <c r="BE15" s="47">
        <f t="array" ref="BE15">IF(AND(ISNUMBER(MATCH(BE$2, AsistenciaJetAdminConcatenada!$A:$A, 0)), ISNUMBER(MATCH(BE$1, AsistenciaJetAdminConcatenada!$B:$B, 0)), ISNUMBER(SEARCH($A15,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ISNUMBER(SEARCH($A15, INDEX(AsistenciaJetAdminConcatenada!$D:$D, MATCH(1, (AsistenciaJetAdminConcatenada!$A:$A=BE$2)*(AsistenciaJetAdminConcatenada!$B:$B=BE$1), 0)), 1))),  0.5, 0))</f>
        <v>1</v>
      </c>
      <c r="BF15" s="47">
        <f t="array" ref="BF15">IF(AND(ISNUMBER(MATCH(BF$2, AsistenciaJetAdminConcatenada!$A:$A, 0)), ISNUMBER(MATCH(BF$1, AsistenciaJetAdminConcatenada!$B:$B, 0)), ISNUMBER(SEARCH($A15,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ISNUMBER(SEARCH($A15, INDEX(AsistenciaJetAdminConcatenada!$D:$D, MATCH(1, (AsistenciaJetAdminConcatenada!$A:$A=BF$2)*(AsistenciaJetAdminConcatenada!$B:$B=BF$1), 0)), 1))),  0.5, 0))</f>
        <v>1</v>
      </c>
      <c r="BG15" s="47">
        <f t="array" ref="BG15">IF(AND(ISNUMBER(MATCH(BG$2, AsistenciaJetAdminConcatenada!$A:$A, 0)), ISNUMBER(MATCH(BG$1, AsistenciaJetAdminConcatenada!$B:$B, 0)), ISNUMBER(SEARCH($A15,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ISNUMBER(SEARCH($A15, INDEX(AsistenciaJetAdminConcatenada!$D:$D, MATCH(1, (AsistenciaJetAdminConcatenada!$A:$A=BG$2)*(AsistenciaJetAdminConcatenada!$B:$B=BG$1), 0)), 1))),  0.5, 0))</f>
        <v>1</v>
      </c>
      <c r="BH15" s="47">
        <f t="array" ref="BH15">IF(AND(ISNUMBER(MATCH(BH$2, AsistenciaJetAdminConcatenada!$A:$A, 0)), ISNUMBER(MATCH(BH$1, AsistenciaJetAdminConcatenada!$B:$B, 0)), ISNUMBER(SEARCH($A15,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ISNUMBER(SEARCH($A15, INDEX(AsistenciaJetAdminConcatenada!$D:$D, MATCH(1, (AsistenciaJetAdminConcatenada!$A:$A=BH$2)*(AsistenciaJetAdminConcatenada!$B:$B=BH$1), 0)), 1))),  0.5, 0))</f>
        <v>1</v>
      </c>
      <c r="BI15" s="47">
        <f t="array" ref="BI15">IF(AND(ISNUMBER(MATCH(BI$2, AsistenciaJetAdminConcatenada!$A:$A, 0)), ISNUMBER(MATCH(BI$1, AsistenciaJetAdminConcatenada!$B:$B, 0)), ISNUMBER(SEARCH($A15,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ISNUMBER(SEARCH($A15, INDEX(AsistenciaJetAdminConcatenada!$D:$D, MATCH(1, (AsistenciaJetAdminConcatenada!$A:$A=BI$2)*(AsistenciaJetAdminConcatenada!$B:$B=BI$1), 0)), 1))),  0.5, 0))</f>
        <v>1</v>
      </c>
      <c r="BJ15" s="47">
        <f t="array" ref="BJ15">IF(AND(ISNUMBER(MATCH(BJ$2, AsistenciaJetAdminConcatenada!$A:$A, 0)), ISNUMBER(MATCH(BJ$1, AsistenciaJetAdminConcatenada!$B:$B, 0)), ISNUMBER(SEARCH($A15,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ISNUMBER(SEARCH($A15, INDEX(AsistenciaJetAdminConcatenada!$D:$D, MATCH(1, (AsistenciaJetAdminConcatenada!$A:$A=BJ$2)*(AsistenciaJetAdminConcatenada!$B:$B=BJ$1), 0)), 1))),  0.5, 0))</f>
        <v>0</v>
      </c>
      <c r="BK15" s="47">
        <f t="array" ref="BK15">IF(AND(ISNUMBER(MATCH(BK$2, AsistenciaJetAdminConcatenada!$A:$A, 0)), ISNUMBER(MATCH(BK$1, AsistenciaJetAdminConcatenada!$B:$B, 0)), ISNUMBER(SEARCH($A15,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ISNUMBER(SEARCH($A15, INDEX(AsistenciaJetAdminConcatenada!$D:$D, MATCH(1, (AsistenciaJetAdminConcatenada!$A:$A=BK$2)*(AsistenciaJetAdminConcatenada!$B:$B=BK$1), 0)), 1))),  0.5, 0))</f>
        <v>1</v>
      </c>
      <c r="BL15" s="47">
        <f t="array" ref="BL15">IF(AND(ISNUMBER(MATCH(BL$2, AsistenciaJetAdminConcatenada!$A:$A, 0)), ISNUMBER(MATCH(BL$1, AsistenciaJetAdminConcatenada!$B:$B, 0)), ISNUMBER(SEARCH($A15,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ISNUMBER(SEARCH($A15, INDEX(AsistenciaJetAdminConcatenada!$D:$D, MATCH(1, (AsistenciaJetAdminConcatenada!$A:$A=BL$2)*(AsistenciaJetAdminConcatenada!$B:$B=BL$1), 0)), 1))),  0.5, 0))</f>
        <v>1</v>
      </c>
      <c r="BM15" s="47">
        <f t="array" ref="BM15">IF(AND(ISNUMBER(MATCH(BM$2, AsistenciaJetAdminConcatenada!$A:$A, 0)), ISNUMBER(MATCH(BM$1, AsistenciaJetAdminConcatenada!$B:$B, 0)), ISNUMBER(SEARCH($A15,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ISNUMBER(SEARCH($A15, INDEX(AsistenciaJetAdminConcatenada!$D:$D, MATCH(1, (AsistenciaJetAdminConcatenada!$A:$A=BM$2)*(AsistenciaJetAdminConcatenada!$B:$B=BM$1), 0)), 1))),  0.5, 0))</f>
        <v>1</v>
      </c>
      <c r="BN15" s="47">
        <f t="array" ref="BN15">IF(AND(ISNUMBER(MATCH(BN$2, AsistenciaJetAdminConcatenada!$A:$A, 0)), ISNUMBER(MATCH(BN$1, AsistenciaJetAdminConcatenada!$B:$B, 0)), ISNUMBER(SEARCH($A15,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ISNUMBER(SEARCH($A15, INDEX(AsistenciaJetAdminConcatenada!$D:$D, MATCH(1, (AsistenciaJetAdminConcatenada!$A:$A=BN$2)*(AsistenciaJetAdminConcatenada!$B:$B=BN$1), 0)), 1))),  0.5, 0))</f>
        <v>0</v>
      </c>
      <c r="BO15" s="47">
        <f t="array" ref="BO15">IF(AND(ISNUMBER(MATCH(BO$2, AsistenciaJetAdminConcatenada!$A:$A, 0)), ISNUMBER(MATCH(BO$1, AsistenciaJetAdminConcatenada!$B:$B, 0)), ISNUMBER(SEARCH($A15,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ISNUMBER(SEARCH($A15, INDEX(AsistenciaJetAdminConcatenada!$D:$D, MATCH(1, (AsistenciaJetAdminConcatenada!$A:$A=BO$2)*(AsistenciaJetAdminConcatenada!$B:$B=BO$1), 0)), 1))),  0.5, 0))</f>
        <v>1</v>
      </c>
      <c r="BP15" s="47">
        <f t="array" ref="BP15">IF(AND(ISNUMBER(MATCH(BP$2, AsistenciaJetAdminConcatenada!$A:$A, 0)), ISNUMBER(MATCH(BP$1, AsistenciaJetAdminConcatenada!$B:$B, 0)), ISNUMBER(SEARCH($A15,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ISNUMBER(SEARCH($A15, INDEX(AsistenciaJetAdminConcatenada!$D:$D, MATCH(1, (AsistenciaJetAdminConcatenada!$A:$A=BP$2)*(AsistenciaJetAdminConcatenada!$B:$B=BP$1), 0)), 1))),  0.5, 0))</f>
        <v>1</v>
      </c>
      <c r="BQ15" s="47">
        <f t="array" ref="BQ15">IF(AND(ISNUMBER(MATCH(BQ$2, AsistenciaJetAdminConcatenada!$A:$A, 0)), ISNUMBER(MATCH(BQ$1, AsistenciaJetAdminConcatenada!$B:$B, 0)), ISNUMBER(SEARCH($A15,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ISNUMBER(SEARCH($A15, INDEX(AsistenciaJetAdminConcatenada!$D:$D, MATCH(1, (AsistenciaJetAdminConcatenada!$A:$A=BQ$2)*(AsistenciaJetAdminConcatenada!$B:$B=BQ$1), 0)), 1))),  0.5, 0))</f>
        <v>1</v>
      </c>
      <c r="BR15" s="47">
        <f t="array" ref="BR15">IF(AND(ISNUMBER(MATCH(BR$2, AsistenciaJetAdminConcatenada!$A:$A, 0)), ISNUMBER(MATCH(BR$1, AsistenciaJetAdminConcatenada!$B:$B, 0)), ISNUMBER(SEARCH($A15,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ISNUMBER(SEARCH($A15, INDEX(AsistenciaJetAdminConcatenada!$D:$D, MATCH(1, (AsistenciaJetAdminConcatenada!$A:$A=BR$2)*(AsistenciaJetAdminConcatenada!$B:$B=BR$1), 0)), 1))),  0.5, 0))</f>
        <v>1</v>
      </c>
      <c r="BS15" s="47">
        <f t="array" ref="BS15">IF(AND(ISNUMBER(MATCH(BS$2, AsistenciaJetAdminConcatenada!$A:$A, 0)), ISNUMBER(MATCH(BS$1, AsistenciaJetAdminConcatenada!$B:$B, 0)), ISNUMBER(SEARCH($A15,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ISNUMBER(SEARCH($A15, INDEX(AsistenciaJetAdminConcatenada!$D:$D, MATCH(1, (AsistenciaJetAdminConcatenada!$A:$A=BS$2)*(AsistenciaJetAdminConcatenada!$B:$B=BS$1), 0)), 1))),  0.5, 0))</f>
        <v>1</v>
      </c>
      <c r="BT15" s="47">
        <f t="array" ref="BT15">IF(AND(ISNUMBER(MATCH(BT$2, AsistenciaJetAdminConcatenada!$A:$A, 0)), ISNUMBER(MATCH(BT$1, AsistenciaJetAdminConcatenada!$B:$B, 0)), ISNUMBER(SEARCH($A15,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ISNUMBER(SEARCH($A15, INDEX(AsistenciaJetAdminConcatenada!$D:$D, MATCH(1, (AsistenciaJetAdminConcatenada!$A:$A=BT$2)*(AsistenciaJetAdminConcatenada!$B:$B=BT$1), 0)), 1))),  0.5, 0))</f>
        <v>0</v>
      </c>
      <c r="BU15" s="47">
        <f t="array" ref="BU15">IF(AND(ISNUMBER(MATCH(BU$2, AsistenciaJetAdminConcatenada!$A:$A, 0)), ISNUMBER(MATCH(BU$1, AsistenciaJetAdminConcatenada!$B:$B, 0)), ISNUMBER(SEARCH($A15,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ISNUMBER(SEARCH($A15, INDEX(AsistenciaJetAdminConcatenada!$D:$D, MATCH(1, (AsistenciaJetAdminConcatenada!$A:$A=BU$2)*(AsistenciaJetAdminConcatenada!$B:$B=BU$1), 0)), 1))),  0.5, 0))</f>
        <v>1</v>
      </c>
      <c r="BV15" s="47">
        <f t="array" ref="BV15">IF(AND(ISNUMBER(MATCH(BV$2, AsistenciaJetAdminConcatenada!$A:$A, 0)), ISNUMBER(MATCH(BV$1, AsistenciaJetAdminConcatenada!$B:$B, 0)), ISNUMBER(SEARCH($A15,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ISNUMBER(SEARCH($A15, INDEX(AsistenciaJetAdminConcatenada!$D:$D, MATCH(1, (AsistenciaJetAdminConcatenada!$A:$A=BV$2)*(AsistenciaJetAdminConcatenada!$B:$B=BV$1), 0)), 1))),  0.5, 0))</f>
        <v>1</v>
      </c>
      <c r="BW15" s="47">
        <f t="array" ref="BW15">IF(AND(ISNUMBER(MATCH(BW$2, AsistenciaJetAdminConcatenada!$A:$A, 0)), ISNUMBER(MATCH(BW$1, AsistenciaJetAdminConcatenada!$B:$B, 0)), ISNUMBER(SEARCH($A15,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ISNUMBER(SEARCH($A15, INDEX(AsistenciaJetAdminConcatenada!$D:$D, MATCH(1, (AsistenciaJetAdminConcatenada!$A:$A=BW$2)*(AsistenciaJetAdminConcatenada!$B:$B=BW$1), 0)), 1))),  0.5, 0))</f>
        <v>1</v>
      </c>
      <c r="BX15" s="47">
        <f t="array" ref="BX15">IF(AND(ISNUMBER(MATCH(BX$2, AsistenciaJetAdminConcatenada!$A:$A, 0)), ISNUMBER(MATCH(BX$1, AsistenciaJetAdminConcatenada!$B:$B, 0)), ISNUMBER(SEARCH($A15,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ISNUMBER(SEARCH($A15, INDEX(AsistenciaJetAdminConcatenada!$D:$D, MATCH(1, (AsistenciaJetAdminConcatenada!$A:$A=BX$2)*(AsistenciaJetAdminConcatenada!$B:$B=BX$1), 0)), 1))),  0.5, 0))</f>
        <v>1</v>
      </c>
      <c r="BY15" s="47">
        <f t="array" ref="BY15">IF(AND(ISNUMBER(MATCH(BY$2, AsistenciaJetAdminConcatenada!$A:$A, 0)), ISNUMBER(MATCH(BY$1, AsistenciaJetAdminConcatenada!$B:$B, 0)), ISNUMBER(SEARCH($A15,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ISNUMBER(SEARCH($A15, INDEX(AsistenciaJetAdminConcatenada!$D:$D, MATCH(1, (AsistenciaJetAdminConcatenada!$A:$A=BY$2)*(AsistenciaJetAdminConcatenada!$B:$B=BY$1), 0)), 1))),  0.5, 0))</f>
        <v>1</v>
      </c>
      <c r="BZ15" s="47">
        <f t="array" ref="BZ15">IF(AND(ISNUMBER(MATCH(BZ$2, AsistenciaJetAdminConcatenada!$A:$A, 0)), ISNUMBER(MATCH(BZ$1, AsistenciaJetAdminConcatenada!$B:$B, 0)), ISNUMBER(SEARCH($A15,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ISNUMBER(SEARCH($A15, INDEX(AsistenciaJetAdminConcatenada!$D:$D, MATCH(1, (AsistenciaJetAdminConcatenada!$A:$A=BZ$2)*(AsistenciaJetAdminConcatenada!$B:$B=BZ$1), 0)), 1))),  0.5, 0))</f>
        <v>1</v>
      </c>
      <c r="CA15" s="47">
        <f t="array" ref="CA15">IF(AND(ISNUMBER(MATCH(CA$2, AsistenciaJetAdminConcatenada!$A:$A, 0)), ISNUMBER(MATCH(CA$1, AsistenciaJetAdminConcatenada!$B:$B, 0)), ISNUMBER(SEARCH($A15,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ISNUMBER(SEARCH($A15, INDEX(AsistenciaJetAdminConcatenada!$D:$D, MATCH(1, (AsistenciaJetAdminConcatenada!$A:$A=CA$2)*(AsistenciaJetAdminConcatenada!$B:$B=CA$1), 0)), 1))),  0.5, 0))</f>
        <v>1</v>
      </c>
      <c r="CB15" s="47">
        <f t="array" ref="CB15">IF(AND(ISNUMBER(MATCH(CB$2, AsistenciaJetAdminConcatenada!$A:$A, 0)), ISNUMBER(MATCH(CB$1, AsistenciaJetAdminConcatenada!$B:$B, 0)), ISNUMBER(SEARCH($A15,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ISNUMBER(SEARCH($A15, INDEX(AsistenciaJetAdminConcatenada!$D:$D, MATCH(1, (AsistenciaJetAdminConcatenada!$A:$A=CB$2)*(AsistenciaJetAdminConcatenada!$B:$B=CB$1), 0)), 1))),  0.5, 0))</f>
        <v>0</v>
      </c>
      <c r="CC15" s="47">
        <f t="array" ref="CC15">IF(AND(ISNUMBER(MATCH(CC$2, AsistenciaJetAdminConcatenada!$A:$A, 0)), ISNUMBER(MATCH(CC$1, AsistenciaJetAdminConcatenada!$B:$B, 0)), ISNUMBER(SEARCH($A15,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ISNUMBER(SEARCH($A15, INDEX(AsistenciaJetAdminConcatenada!$D:$D, MATCH(1, (AsistenciaJetAdminConcatenada!$A:$A=CC$2)*(AsistenciaJetAdminConcatenada!$B:$B=CC$1), 0)), 1))),  0.5, 0))</f>
        <v>1</v>
      </c>
      <c r="CD15" s="47">
        <f t="array" ref="CD15">IF(AND(ISNUMBER(MATCH(CD$2, AsistenciaJetAdminConcatenada!$A:$A, 0)), ISNUMBER(MATCH(CD$1, AsistenciaJetAdminConcatenada!$B:$B, 0)), ISNUMBER(SEARCH($A15,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ISNUMBER(SEARCH($A15, INDEX(AsistenciaJetAdminConcatenada!$D:$D, MATCH(1, (AsistenciaJetAdminConcatenada!$A:$A=CD$2)*(AsistenciaJetAdminConcatenada!$B:$B=CD$1), 0)), 1))),  0.5, 0))</f>
        <v>0</v>
      </c>
      <c r="CE15" s="47">
        <f t="array" ref="CE15">IF(AND(ISNUMBER(MATCH(CE$2, AsistenciaJetAdminConcatenada!$A:$A, 0)), ISNUMBER(MATCH(CE$1, AsistenciaJetAdminConcatenada!$B:$B, 0)), ISNUMBER(SEARCH($A15,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ISNUMBER(SEARCH($A15, INDEX(AsistenciaJetAdminConcatenada!$D:$D, MATCH(1, (AsistenciaJetAdminConcatenada!$A:$A=CE$2)*(AsistenciaJetAdminConcatenada!$B:$B=CE$1), 0)), 1))),  0.5, 0))</f>
        <v>0</v>
      </c>
      <c r="CF15" s="47">
        <f t="array" ref="CF15">IF(AND(ISNUMBER(MATCH(CF$2, AsistenciaJetAdminConcatenada!$A:$A, 0)), ISNUMBER(MATCH(CF$1, AsistenciaJetAdminConcatenada!$B:$B, 0)), ISNUMBER(SEARCH($A15,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ISNUMBER(SEARCH($A15, INDEX(AsistenciaJetAdminConcatenada!$D:$D, MATCH(1, (AsistenciaJetAdminConcatenada!$A:$A=CF$2)*(AsistenciaJetAdminConcatenada!$B:$B=CF$1), 0)), 1))),  0.5, 0))</f>
        <v>1</v>
      </c>
      <c r="CG15" s="47">
        <f t="array" ref="CG15">IF(AND(ISNUMBER(MATCH(CG$2, AsistenciaJetAdminConcatenada!$A:$A, 0)), ISNUMBER(MATCH(CG$1, AsistenciaJetAdminConcatenada!$B:$B, 0)), ISNUMBER(SEARCH($A15,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ISNUMBER(SEARCH($A15, INDEX(AsistenciaJetAdminConcatenada!$D:$D, MATCH(1, (AsistenciaJetAdminConcatenada!$A:$A=CG$2)*(AsistenciaJetAdminConcatenada!$B:$B=CG$1), 0)), 1))),  0.5, 0))</f>
        <v>1</v>
      </c>
      <c r="CH15" s="47">
        <f t="array" ref="CH15">IF(AND(ISNUMBER(MATCH(CH$2, AsistenciaJetAdminConcatenada!$A:$A, 0)), ISNUMBER(MATCH(CH$1, AsistenciaJetAdminConcatenada!$B:$B, 0)), ISNUMBER(SEARCH($A15,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ISNUMBER(SEARCH($A15, INDEX(AsistenciaJetAdminConcatenada!$D:$D, MATCH(1, (AsistenciaJetAdminConcatenada!$A:$A=CH$2)*(AsistenciaJetAdminConcatenada!$B:$B=CH$1), 0)), 1))),  0.5, 0))</f>
        <v>1</v>
      </c>
      <c r="CI15" s="47">
        <f t="array" ref="CI15">IF(AND(ISNUMBER(MATCH(CI$2, AsistenciaJetAdminConcatenada!$A:$A, 0)), ISNUMBER(MATCH(CI$1, AsistenciaJetAdminConcatenada!$B:$B, 0)), ISNUMBER(SEARCH($A15,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ISNUMBER(SEARCH($A15, INDEX(AsistenciaJetAdminConcatenada!$D:$D, MATCH(1, (AsistenciaJetAdminConcatenada!$A:$A=CI$2)*(AsistenciaJetAdminConcatenada!$B:$B=CI$1), 0)), 1))),  0.5, 0))</f>
        <v>1</v>
      </c>
      <c r="CJ15" s="47">
        <f t="array" ref="CJ15">IF(AND(ISNUMBER(MATCH(CJ$2, AsistenciaJetAdminConcatenada!$A:$A, 0)), ISNUMBER(MATCH(CJ$1, AsistenciaJetAdminConcatenada!$B:$B, 0)), ISNUMBER(SEARCH($A15,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ISNUMBER(SEARCH($A15, INDEX(AsistenciaJetAdminConcatenada!$D:$D, MATCH(1, (AsistenciaJetAdminConcatenada!$A:$A=CJ$2)*(AsistenciaJetAdminConcatenada!$B:$B=CJ$1), 0)), 1))),  0.5, 0))</f>
        <v>1</v>
      </c>
      <c r="CK15" s="47">
        <f t="array" ref="CK15">IF(AND(ISNUMBER(MATCH(CK$2, AsistenciaJetAdminConcatenada!$A:$A, 0)), ISNUMBER(MATCH(CK$1, AsistenciaJetAdminConcatenada!$B:$B, 0)), ISNUMBER(SEARCH($A15,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ISNUMBER(SEARCH($A15, INDEX(AsistenciaJetAdminConcatenada!$D:$D, MATCH(1, (AsistenciaJetAdminConcatenada!$A:$A=CK$2)*(AsistenciaJetAdminConcatenada!$B:$B=CK$1), 0)), 1))),  0.5, 0))</f>
        <v>0</v>
      </c>
      <c r="CL15" s="47">
        <f t="array" ref="CL15">IF(AND(ISNUMBER(MATCH(CL$2, AsistenciaJetAdminConcatenada!$A:$A, 0)), ISNUMBER(MATCH(CL$1, AsistenciaJetAdminConcatenada!$B:$B, 0)), ISNUMBER(SEARCH($A15,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ISNUMBER(SEARCH($A15, INDEX(AsistenciaJetAdminConcatenada!$D:$D, MATCH(1, (AsistenciaJetAdminConcatenada!$A:$A=CL$2)*(AsistenciaJetAdminConcatenada!$B:$B=CL$1), 0)), 1))),  0.5, 0))</f>
        <v>1</v>
      </c>
      <c r="CM15" s="47">
        <f t="array" ref="CM15">IF(AND(ISNUMBER(MATCH(CM$2, AsistenciaJetAdminConcatenada!$A:$A, 0)), ISNUMBER(MATCH(CM$1, AsistenciaJetAdminConcatenada!$B:$B, 0)), ISNUMBER(SEARCH($A15,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ISNUMBER(SEARCH($A15, INDEX(AsistenciaJetAdminConcatenada!$D:$D, MATCH(1, (AsistenciaJetAdminConcatenada!$A:$A=CM$2)*(AsistenciaJetAdminConcatenada!$B:$B=CM$1), 0)), 1))),  0.5, 0))</f>
        <v>1</v>
      </c>
      <c r="CN15" s="47">
        <f t="array" ref="CN15">IF(AND(ISNUMBER(MATCH(CN$2, AsistenciaJetAdminConcatenada!$A:$A, 0)), ISNUMBER(MATCH(CN$1, AsistenciaJetAdminConcatenada!$B:$B, 0)), ISNUMBER(SEARCH($A15,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ISNUMBER(SEARCH($A15, INDEX(AsistenciaJetAdminConcatenada!$D:$D, MATCH(1, (AsistenciaJetAdminConcatenada!$A:$A=CN$2)*(AsistenciaJetAdminConcatenada!$B:$B=CN$1), 0)), 1))),  0.5, 0))</f>
        <v>1</v>
      </c>
      <c r="CO15" s="47">
        <f t="array" ref="CO15">IF(AND(ISNUMBER(MATCH(CO$2, AsistenciaJetAdminConcatenada!$A:$A, 0)), ISNUMBER(MATCH(CO$1, AsistenciaJetAdminConcatenada!$B:$B, 0)), ISNUMBER(SEARCH($A15,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ISNUMBER(SEARCH($A15, INDEX(AsistenciaJetAdminConcatenada!$D:$D, MATCH(1, (AsistenciaJetAdminConcatenada!$A:$A=CO$2)*(AsistenciaJetAdminConcatenada!$B:$B=CO$1), 0)), 1))),  0.5, 0))</f>
        <v>1</v>
      </c>
      <c r="CP15" s="47">
        <f t="array" ref="CP15">IF(AND(ISNUMBER(MATCH(CP$2, AsistenciaJetAdminConcatenada!$A:$A, 0)), ISNUMBER(MATCH(CP$1, AsistenciaJetAdminConcatenada!$B:$B, 0)), ISNUMBER(SEARCH($A15,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ISNUMBER(SEARCH($A15, INDEX(AsistenciaJetAdminConcatenada!$D:$D, MATCH(1, (AsistenciaJetAdminConcatenada!$A:$A=CP$2)*(AsistenciaJetAdminConcatenada!$B:$B=CP$1), 0)), 1))),  0.5, 0))</f>
        <v>1</v>
      </c>
      <c r="CQ15" s="47">
        <f t="array" ref="CQ15">IF(AND(ISNUMBER(MATCH(CQ$2, AsistenciaJetAdminConcatenada!$A:$A, 0)), ISNUMBER(MATCH(CQ$1, AsistenciaJetAdminConcatenada!$B:$B, 0)), ISNUMBER(SEARCH($A15,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ISNUMBER(SEARCH($A15, INDEX(AsistenciaJetAdminConcatenada!$D:$D, MATCH(1, (AsistenciaJetAdminConcatenada!$A:$A=CQ$2)*(AsistenciaJetAdminConcatenada!$B:$B=CQ$1), 0)), 1))),  0.5, 0))</f>
        <v>1</v>
      </c>
      <c r="CR15" s="47">
        <f t="array" ref="CR15">IF(AND(ISNUMBER(MATCH(CR$2, AsistenciaJetAdminConcatenada!$A:$A, 0)), ISNUMBER(MATCH(CR$1, AsistenciaJetAdminConcatenada!$B:$B, 0)), ISNUMBER(SEARCH($A15,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ISNUMBER(SEARCH($A15, INDEX(AsistenciaJetAdminConcatenada!$D:$D, MATCH(1, (AsistenciaJetAdminConcatenada!$A:$A=CR$2)*(AsistenciaJetAdminConcatenada!$B:$B=CR$1), 0)), 1))),  0.5, 0))</f>
        <v>0</v>
      </c>
      <c r="CS15" s="47">
        <f t="array" ref="CS15">IF(AND(ISNUMBER(MATCH(CS$2, AsistenciaJetAdminConcatenada!$A:$A, 0)), ISNUMBER(MATCH(CS$1, AsistenciaJetAdminConcatenada!$B:$B, 0)), ISNUMBER(SEARCH($A15,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ISNUMBER(SEARCH($A15, INDEX(AsistenciaJetAdminConcatenada!$D:$D, MATCH(1, (AsistenciaJetAdminConcatenada!$A:$A=CS$2)*(AsistenciaJetAdminConcatenada!$B:$B=CS$1), 0)), 1))),  0.5, 0))</f>
        <v>0</v>
      </c>
      <c r="CT15" s="47">
        <f t="array" ref="CT15">IF(AND(ISNUMBER(MATCH(CT$2, AsistenciaJetAdminConcatenada!$A:$A, 0)), ISNUMBER(MATCH(CT$1, AsistenciaJetAdminConcatenada!$B:$B, 0)), ISNUMBER(SEARCH($A15,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ISNUMBER(SEARCH($A15, INDEX(AsistenciaJetAdminConcatenada!$D:$D, MATCH(1, (AsistenciaJetAdminConcatenada!$A:$A=CT$2)*(AsistenciaJetAdminConcatenada!$B:$B=CT$1), 0)), 1))),  0.5, 0))</f>
        <v>0</v>
      </c>
      <c r="CU15" s="47">
        <f t="array" ref="CU15">IF(AND(ISNUMBER(MATCH(CU$2, AsistenciaJetAdminConcatenada!$A:$A, 0)), ISNUMBER(MATCH(CU$1, AsistenciaJetAdminConcatenada!$B:$B, 0)), ISNUMBER(SEARCH($A15,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ISNUMBER(SEARCH($A15, INDEX(AsistenciaJetAdminConcatenada!$D:$D, MATCH(1, (AsistenciaJetAdminConcatenada!$A:$A=CU$2)*(AsistenciaJetAdminConcatenada!$B:$B=CU$1), 0)), 1))),  0.5, 0))</f>
        <v>0</v>
      </c>
      <c r="CV15" s="47">
        <f t="array" ref="CV15">IF(AND(ISNUMBER(MATCH(CV$2, AsistenciaJetAdminConcatenada!$A:$A, 0)), ISNUMBER(MATCH(CV$1, AsistenciaJetAdminConcatenada!$B:$B, 0)), ISNUMBER(SEARCH($A15,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ISNUMBER(SEARCH($A15, INDEX(AsistenciaJetAdminConcatenada!$D:$D, MATCH(1, (AsistenciaJetAdminConcatenada!$A:$A=CV$2)*(AsistenciaJetAdminConcatenada!$B:$B=CV$1), 0)), 1))),  0.5, 0))</f>
        <v>0</v>
      </c>
      <c r="CW15" s="47">
        <f t="array" ref="CW15">IF(AND(ISNUMBER(MATCH(CW$2, AsistenciaJetAdminConcatenada!$A:$A, 0)), ISNUMBER(MATCH(CW$1, AsistenciaJetAdminConcatenada!$B:$B, 0)), ISNUMBER(SEARCH($A15,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ISNUMBER(SEARCH($A15, INDEX(AsistenciaJetAdminConcatenada!$D:$D, MATCH(1, (AsistenciaJetAdminConcatenada!$A:$A=CW$2)*(AsistenciaJetAdminConcatenada!$B:$B=CW$1), 0)), 1))),  0.5, 0))</f>
        <v>0</v>
      </c>
      <c r="CX15" s="47">
        <f t="array" ref="CX15">IF(AND(ISNUMBER(MATCH(CX$2, AsistenciaJetAdminConcatenada!$A:$A, 0)), ISNUMBER(MATCH(CX$1, AsistenciaJetAdminConcatenada!$B:$B, 0)), ISNUMBER(SEARCH($A15,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ISNUMBER(SEARCH($A15, INDEX(AsistenciaJetAdminConcatenada!$D:$D, MATCH(1, (AsistenciaJetAdminConcatenada!$A:$A=CX$2)*(AsistenciaJetAdminConcatenada!$B:$B=CX$1), 0)), 1))),  0.5, 0))</f>
        <v>0</v>
      </c>
      <c r="CY15" s="47">
        <f t="array" ref="CY15">IF(AND(ISNUMBER(MATCH(CY$2, AsistenciaJetAdminConcatenada!$A:$A, 0)), ISNUMBER(MATCH(CY$1, AsistenciaJetAdminConcatenada!$B:$B, 0)), ISNUMBER(SEARCH($A15,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ISNUMBER(SEARCH($A15, INDEX(AsistenciaJetAdminConcatenada!$D:$D, MATCH(1, (AsistenciaJetAdminConcatenada!$A:$A=CY$2)*(AsistenciaJetAdminConcatenada!$B:$B=CY$1), 0)), 1))),  0.5, 0))</f>
        <v>0</v>
      </c>
      <c r="CZ15" s="47">
        <f t="array" ref="CZ15">IF(AND(ISNUMBER(MATCH(CZ$2, AsistenciaJetAdminConcatenada!$A:$A, 0)), ISNUMBER(MATCH(CZ$1, AsistenciaJetAdminConcatenada!$B:$B, 0)), ISNUMBER(SEARCH($A15,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ISNUMBER(SEARCH($A15, INDEX(AsistenciaJetAdminConcatenada!$D:$D, MATCH(1, (AsistenciaJetAdminConcatenada!$A:$A=CZ$2)*(AsistenciaJetAdminConcatenada!$B:$B=CZ$1), 0)), 1))),  0.5, 0))</f>
        <v>0</v>
      </c>
      <c r="DA15" s="47">
        <f t="array" ref="DA15">IF(AND(ISNUMBER(MATCH(DA$2, AsistenciaJetAdminConcatenada!$A:$A, 0)), ISNUMBER(MATCH(DA$1, AsistenciaJetAdminConcatenada!$B:$B, 0)), ISNUMBER(SEARCH($A15,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ISNUMBER(SEARCH($A15, INDEX(AsistenciaJetAdminConcatenada!$D:$D, MATCH(1, (AsistenciaJetAdminConcatenada!$A:$A=DA$2)*(AsistenciaJetAdminConcatenada!$B:$B=DA$1), 0)), 1))),  0.5, 0))</f>
        <v>0</v>
      </c>
      <c r="DB15" s="47">
        <f t="array" ref="DB15">IF(AND(ISNUMBER(MATCH(DB$2, AsistenciaJetAdminConcatenada!$A:$A, 0)), ISNUMBER(MATCH(DB$1, AsistenciaJetAdminConcatenada!$B:$B, 0)), ISNUMBER(SEARCH($A15,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ISNUMBER(SEARCH($A15, INDEX(AsistenciaJetAdminConcatenada!$D:$D, MATCH(1, (AsistenciaJetAdminConcatenada!$A:$A=DB$2)*(AsistenciaJetAdminConcatenada!$B:$B=DB$1), 0)), 1))),  0.5, 0))</f>
        <v>0</v>
      </c>
      <c r="DC15" s="47">
        <f t="array" ref="DC15">IF(AND(ISNUMBER(MATCH(DC$2, AsistenciaJetAdminConcatenada!$A:$A, 0)), ISNUMBER(MATCH(DC$1, AsistenciaJetAdminConcatenada!$B:$B, 0)), ISNUMBER(SEARCH($A15,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ISNUMBER(SEARCH($A15, INDEX(AsistenciaJetAdminConcatenada!$D:$D, MATCH(1, (AsistenciaJetAdminConcatenada!$A:$A=DC$2)*(AsistenciaJetAdminConcatenada!$B:$B=DC$1), 0)), 1))),  0.5, 0))</f>
        <v>0</v>
      </c>
      <c r="DD15" s="47">
        <f t="array" ref="DD15">IF(AND(ISNUMBER(MATCH(DD$2, AsistenciaJetAdminConcatenada!$A:$A, 0)), ISNUMBER(MATCH(DD$1, AsistenciaJetAdminConcatenada!$B:$B, 0)), ISNUMBER(SEARCH($A15,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ISNUMBER(SEARCH($A15, INDEX(AsistenciaJetAdminConcatenada!$D:$D, MATCH(1, (AsistenciaJetAdminConcatenada!$A:$A=DD$2)*(AsistenciaJetAdminConcatenada!$B:$B=DD$1), 0)), 1))),  0.5, 0))</f>
        <v>0</v>
      </c>
      <c r="DE15" s="47">
        <f t="array" ref="DE15">IF(AND(ISNUMBER(MATCH(DE$2, AsistenciaJetAdminConcatenada!$A:$A, 0)), ISNUMBER(MATCH(DE$1, AsistenciaJetAdminConcatenada!$B:$B, 0)), ISNUMBER(SEARCH($A15,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ISNUMBER(SEARCH($A15, INDEX(AsistenciaJetAdminConcatenada!$D:$D, MATCH(1, (AsistenciaJetAdminConcatenada!$A:$A=DE$2)*(AsistenciaJetAdminConcatenada!$B:$B=DE$1), 0)), 1))),  0.5, 0))</f>
        <v>0</v>
      </c>
      <c r="DF15" s="47">
        <f t="array" ref="DF15">IF(AND(ISNUMBER(MATCH(DF$2, AsistenciaJetAdminConcatenada!$A:$A, 0)), ISNUMBER(MATCH(DF$1, AsistenciaJetAdminConcatenada!$B:$B, 0)), ISNUMBER(SEARCH($A15,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ISNUMBER(SEARCH($A15, INDEX(AsistenciaJetAdminConcatenada!$D:$D, MATCH(1, (AsistenciaJetAdminConcatenada!$A:$A=DF$2)*(AsistenciaJetAdminConcatenada!$B:$B=DF$1), 0)), 1))),  0.5, 0))</f>
        <v>0</v>
      </c>
      <c r="DG15" s="47">
        <f t="array" ref="DG15">IF(AND(ISNUMBER(MATCH(DG$2, AsistenciaJetAdminConcatenada!$A:$A, 0)), ISNUMBER(MATCH(DG$1, AsistenciaJetAdminConcatenada!$B:$B, 0)), ISNUMBER(SEARCH($A15,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ISNUMBER(SEARCH($A15, INDEX(AsistenciaJetAdminConcatenada!$D:$D, MATCH(1, (AsistenciaJetAdminConcatenada!$A:$A=DG$2)*(AsistenciaJetAdminConcatenada!$B:$B=DG$1), 0)), 1))),  0.5, 0))</f>
        <v>0</v>
      </c>
      <c r="DH15" s="47">
        <f t="array" ref="DH15">IF(AND(ISNUMBER(MATCH(DH$2, AsistenciaJetAdminConcatenada!$A:$A, 0)), ISNUMBER(MATCH(DH$1, AsistenciaJetAdminConcatenada!$B:$B, 0)), ISNUMBER(SEARCH($A15,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ISNUMBER(SEARCH($A15, INDEX(AsistenciaJetAdminConcatenada!$D:$D, MATCH(1, (AsistenciaJetAdminConcatenada!$A:$A=DH$2)*(AsistenciaJetAdminConcatenada!$B:$B=DH$1), 0)), 1))),  0.5, 0))</f>
        <v>0</v>
      </c>
      <c r="DI15" s="47">
        <f t="array" ref="DI15">IF(AND(ISNUMBER(MATCH(DI$2, AsistenciaJetAdminConcatenada!$A:$A, 0)), ISNUMBER(MATCH(DI$1, AsistenciaJetAdminConcatenada!$B:$B, 0)), ISNUMBER(SEARCH($A15,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ISNUMBER(SEARCH($A15, INDEX(AsistenciaJetAdminConcatenada!$D:$D, MATCH(1, (AsistenciaJetAdminConcatenada!$A:$A=DI$2)*(AsistenciaJetAdminConcatenada!$B:$B=DI$1), 0)), 1))),  0.5, 0))</f>
        <v>0</v>
      </c>
      <c r="DJ15" s="47">
        <f t="array" ref="DJ15">IF(AND(ISNUMBER(MATCH(DJ$2, AsistenciaJetAdminConcatenada!$A:$A, 0)), ISNUMBER(MATCH(DJ$1, AsistenciaJetAdminConcatenada!$B:$B, 0)), ISNUMBER(SEARCH($A15,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ISNUMBER(SEARCH($A15, INDEX(AsistenciaJetAdminConcatenada!$D:$D, MATCH(1, (AsistenciaJetAdminConcatenada!$A:$A=DJ$2)*(AsistenciaJetAdminConcatenada!$B:$B=DJ$1), 0)), 1))),  0.5, 0))</f>
        <v>0</v>
      </c>
      <c r="DK15" s="47">
        <f t="array" ref="DK15">IF(AND(ISNUMBER(MATCH(DK$2, AsistenciaJetAdminConcatenada!$A:$A, 0)), ISNUMBER(MATCH(DK$1, AsistenciaJetAdminConcatenada!$B:$B, 0)), ISNUMBER(SEARCH($A15,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ISNUMBER(SEARCH($A15, INDEX(AsistenciaJetAdminConcatenada!$D:$D, MATCH(1, (AsistenciaJetAdminConcatenada!$A:$A=DK$2)*(AsistenciaJetAdminConcatenada!$B:$B=DK$1), 0)), 1))),  0.5, 0))</f>
        <v>0</v>
      </c>
      <c r="DL15" s="47">
        <f t="array" ref="DL15">IF(AND(ISNUMBER(MATCH(DL$2, AsistenciaJetAdminConcatenada!$A:$A, 0)), ISNUMBER(MATCH(DL$1, AsistenciaJetAdminConcatenada!$B:$B, 0)), ISNUMBER(SEARCH($A15,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ISNUMBER(SEARCH($A15, INDEX(AsistenciaJetAdminConcatenada!$D:$D, MATCH(1, (AsistenciaJetAdminConcatenada!$A:$A=DL$2)*(AsistenciaJetAdminConcatenada!$B:$B=DL$1), 0)), 1))),  0.5, 0))</f>
        <v>0</v>
      </c>
      <c r="DM15" s="47">
        <f t="array" ref="DM15">IF(AND(ISNUMBER(MATCH(DM$2, AsistenciaJetAdminConcatenada!$A:$A, 0)), ISNUMBER(MATCH(DM$1, AsistenciaJetAdminConcatenada!$B:$B, 0)), ISNUMBER(SEARCH($A15,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ISNUMBER(SEARCH($A15, INDEX(AsistenciaJetAdminConcatenada!$D:$D, MATCH(1, (AsistenciaJetAdminConcatenada!$A:$A=DM$2)*(AsistenciaJetAdminConcatenada!$B:$B=DM$1), 0)), 1))),  0.5, 0))</f>
        <v>0</v>
      </c>
      <c r="DN15" s="47">
        <f t="array" ref="DN15">IF(AND(ISNUMBER(MATCH(DN$2, AsistenciaJetAdminConcatenada!$A:$A, 0)), ISNUMBER(MATCH(DN$1, AsistenciaJetAdminConcatenada!$B:$B, 0)), ISNUMBER(SEARCH($A15,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ISNUMBER(SEARCH($A15, INDEX(AsistenciaJetAdminConcatenada!$D:$D, MATCH(1, (AsistenciaJetAdminConcatenada!$A:$A=DN$2)*(AsistenciaJetAdminConcatenada!$B:$B=DN$1), 0)), 1))),  0.5, 0))</f>
        <v>0</v>
      </c>
      <c r="DO15" s="47">
        <f t="array" ref="DO15">IF(AND(ISNUMBER(MATCH(DO$2, AsistenciaJetAdminConcatenada!$A:$A, 0)), ISNUMBER(MATCH(DO$1, AsistenciaJetAdminConcatenada!$B:$B, 0)), ISNUMBER(SEARCH($A15,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ISNUMBER(SEARCH($A15, INDEX(AsistenciaJetAdminConcatenada!$D:$D, MATCH(1, (AsistenciaJetAdminConcatenada!$A:$A=DO$2)*(AsistenciaJetAdminConcatenada!$B:$B=DO$1), 0)), 1))),  0.5, 0))</f>
        <v>0</v>
      </c>
      <c r="DP15" s="47">
        <f t="array" ref="DP15">IF(AND(ISNUMBER(MATCH(DP$2, AsistenciaJetAdminConcatenada!$A:$A, 0)), ISNUMBER(MATCH(DP$1, AsistenciaJetAdminConcatenada!$B:$B, 0)), ISNUMBER(SEARCH($A15,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ISNUMBER(SEARCH($A15, INDEX(AsistenciaJetAdminConcatenada!$D:$D, MATCH(1, (AsistenciaJetAdminConcatenada!$A:$A=DP$2)*(AsistenciaJetAdminConcatenada!$B:$B=DP$1), 0)), 1))),  0.5, 0))</f>
        <v>0</v>
      </c>
      <c r="DQ15" s="47">
        <f t="array" ref="DQ15">IF(AND(ISNUMBER(MATCH(DQ$2, AsistenciaJetAdminConcatenada!$A:$A, 0)), ISNUMBER(MATCH(DQ$1, AsistenciaJetAdminConcatenada!$B:$B, 0)), ISNUMBER(SEARCH($A15,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ISNUMBER(SEARCH($A15, INDEX(AsistenciaJetAdminConcatenada!$D:$D, MATCH(1, (AsistenciaJetAdminConcatenada!$A:$A=DQ$2)*(AsistenciaJetAdminConcatenada!$B:$B=DQ$1), 0)), 1))),  0.5, 0))</f>
        <v>0</v>
      </c>
      <c r="DR15" s="47">
        <f t="array" ref="DR15">IF(AND(ISNUMBER(MATCH(DR$2, AsistenciaJetAdminConcatenada!$A:$A, 0)), ISNUMBER(MATCH(DR$1, AsistenciaJetAdminConcatenada!$B:$B, 0)), ISNUMBER(SEARCH($A15,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ISNUMBER(SEARCH($A15, INDEX(AsistenciaJetAdminConcatenada!$D:$D, MATCH(1, (AsistenciaJetAdminConcatenada!$A:$A=DR$2)*(AsistenciaJetAdminConcatenada!$B:$B=DR$1), 0)), 1))),  0.5, 0))</f>
        <v>0</v>
      </c>
      <c r="DS15" s="47">
        <f t="array" ref="DS15">IF(AND(ISNUMBER(MATCH(DS$2, AsistenciaJetAdminConcatenada!$A:$A, 0)), ISNUMBER(MATCH(DS$1, AsistenciaJetAdminConcatenada!$B:$B, 0)), ISNUMBER(SEARCH($A15,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ISNUMBER(SEARCH($A15, INDEX(AsistenciaJetAdminConcatenada!$D:$D, MATCH(1, (AsistenciaJetAdminConcatenada!$A:$A=DS$2)*(AsistenciaJetAdminConcatenada!$B:$B=DS$1), 0)), 1))),  0.5, 0))</f>
        <v>0</v>
      </c>
      <c r="DT15" s="47">
        <f t="array" ref="DT15">IF(AND(ISNUMBER(MATCH(DT$2, AsistenciaJetAdminConcatenada!$A:$A, 0)), ISNUMBER(MATCH(DT$1, AsistenciaJetAdminConcatenada!$B:$B, 0)), ISNUMBER(SEARCH($A15,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ISNUMBER(SEARCH($A15, INDEX(AsistenciaJetAdminConcatenada!$D:$D, MATCH(1, (AsistenciaJetAdminConcatenada!$A:$A=DT$2)*(AsistenciaJetAdminConcatenada!$B:$B=DT$1), 0)), 1))),  0.5, 0))</f>
        <v>0</v>
      </c>
      <c r="DU15" s="47">
        <f t="array" ref="DU15">IF(AND(ISNUMBER(MATCH(DU$2, AsistenciaJetAdminConcatenada!$A:$A, 0)), ISNUMBER(MATCH(DU$1, AsistenciaJetAdminConcatenada!$B:$B, 0)), ISNUMBER(SEARCH($A15,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ISNUMBER(SEARCH($A15, INDEX(AsistenciaJetAdminConcatenada!$D:$D, MATCH(1, (AsistenciaJetAdminConcatenada!$A:$A=DU$2)*(AsistenciaJetAdminConcatenada!$B:$B=DU$1), 0)), 1))),  0.5, 0))</f>
        <v>0</v>
      </c>
      <c r="DV15" s="47">
        <f t="array" ref="DV15">IF(AND(ISNUMBER(MATCH(DV$2, AsistenciaJetAdminConcatenada!$A:$A, 0)), ISNUMBER(MATCH(DV$1, AsistenciaJetAdminConcatenada!$B:$B, 0)), ISNUMBER(SEARCH($A15,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ISNUMBER(SEARCH($A15, INDEX(AsistenciaJetAdminConcatenada!$D:$D, MATCH(1, (AsistenciaJetAdminConcatenada!$A:$A=DV$2)*(AsistenciaJetAdminConcatenada!$B:$B=DV$1), 0)), 1))),  0.5, 0))</f>
        <v>0</v>
      </c>
      <c r="DW15" s="47">
        <f t="array" ref="DW15">IF(AND(ISNUMBER(MATCH(DW$2, AsistenciaJetAdminConcatenada!$A:$A, 0)), ISNUMBER(MATCH(DW$1, AsistenciaJetAdminConcatenada!$B:$B, 0)), ISNUMBER(SEARCH($A15,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ISNUMBER(SEARCH($A15, INDEX(AsistenciaJetAdminConcatenada!$D:$D, MATCH(1, (AsistenciaJetAdminConcatenada!$A:$A=DW$2)*(AsistenciaJetAdminConcatenada!$B:$B=DW$1), 0)), 1))),  0.5, 0))</f>
        <v>0</v>
      </c>
      <c r="DX15" s="47">
        <f t="array" ref="DX15">IF(AND(ISNUMBER(MATCH(DX$2, AsistenciaJetAdminConcatenada!$A:$A, 0)), ISNUMBER(MATCH(DX$1, AsistenciaJetAdminConcatenada!$B:$B, 0)), ISNUMBER(SEARCH($A15,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ISNUMBER(SEARCH($A15, INDEX(AsistenciaJetAdminConcatenada!$D:$D, MATCH(1, (AsistenciaJetAdminConcatenada!$A:$A=DX$2)*(AsistenciaJetAdminConcatenada!$B:$B=DX$1), 0)), 1))),  0.5, 0))</f>
        <v>0</v>
      </c>
      <c r="DY15" s="47">
        <f t="array" ref="DY15">IF(AND(ISNUMBER(MATCH(DY$2, AsistenciaJetAdminConcatenada!$A:$A, 0)), ISNUMBER(MATCH(DY$1, AsistenciaJetAdminConcatenada!$B:$B, 0)), ISNUMBER(SEARCH($A15,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ISNUMBER(SEARCH($A15, INDEX(AsistenciaJetAdminConcatenada!$D:$D, MATCH(1, (AsistenciaJetAdminConcatenada!$A:$A=DY$2)*(AsistenciaJetAdminConcatenada!$B:$B=DY$1), 0)), 1))),  0.5, 0))</f>
        <v>0</v>
      </c>
      <c r="DZ15" s="47">
        <f t="array" ref="DZ15">IF(AND(ISNUMBER(MATCH(DZ$2, AsistenciaJetAdminConcatenada!$A:$A, 0)), ISNUMBER(MATCH(DZ$1, AsistenciaJetAdminConcatenada!$B:$B, 0)), ISNUMBER(SEARCH($A15,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ISNUMBER(SEARCH($A15, INDEX(AsistenciaJetAdminConcatenada!$D:$D, MATCH(1, (AsistenciaJetAdminConcatenada!$A:$A=DZ$2)*(AsistenciaJetAdminConcatenada!$B:$B=DZ$1), 0)), 1))),  0.5, 0))</f>
        <v>0</v>
      </c>
      <c r="EA15" s="47">
        <f t="array" ref="EA15">IF(AND(ISNUMBER(MATCH(EA$2, AsistenciaJetAdminConcatenada!$A:$A, 0)), ISNUMBER(MATCH(EA$1, AsistenciaJetAdminConcatenada!$B:$B, 0)), ISNUMBER(SEARCH($A15,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ISNUMBER(SEARCH($A15, INDEX(AsistenciaJetAdminConcatenada!$D:$D, MATCH(1, (AsistenciaJetAdminConcatenada!$A:$A=EA$2)*(AsistenciaJetAdminConcatenada!$B:$B=EA$1), 0)), 1))),  0.5, 0))</f>
        <v>0</v>
      </c>
      <c r="EB15" s="47">
        <f t="array" ref="EB15">IF(AND(ISNUMBER(MATCH(EB$2, AsistenciaJetAdminConcatenada!$A:$A, 0)), ISNUMBER(MATCH(EB$1, AsistenciaJetAdminConcatenada!$B:$B, 0)), ISNUMBER(SEARCH($A15,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ISNUMBER(SEARCH($A15, INDEX(AsistenciaJetAdminConcatenada!$D:$D, MATCH(1, (AsistenciaJetAdminConcatenada!$A:$A=EB$2)*(AsistenciaJetAdminConcatenada!$B:$B=EB$1), 0)), 1))),  0.5, 0))</f>
        <v>0</v>
      </c>
      <c r="EC15" s="47">
        <f t="array" ref="EC15">IF(AND(ISNUMBER(MATCH(EC$2, AsistenciaJetAdminConcatenada!$A:$A, 0)), ISNUMBER(MATCH(EC$1, AsistenciaJetAdminConcatenada!$B:$B, 0)), ISNUMBER(SEARCH($A15,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ISNUMBER(SEARCH($A15, INDEX(AsistenciaJetAdminConcatenada!$D:$D, MATCH(1, (AsistenciaJetAdminConcatenada!$A:$A=EC$2)*(AsistenciaJetAdminConcatenada!$B:$B=EC$1), 0)), 1))),  0.5, 0))</f>
        <v>0</v>
      </c>
      <c r="ED15" s="47">
        <f t="array" ref="ED15">IF(AND(ISNUMBER(MATCH(ED$2, AsistenciaJetAdminConcatenada!$A:$A, 0)), ISNUMBER(MATCH(ED$1, AsistenciaJetAdminConcatenada!$B:$B, 0)), ISNUMBER(SEARCH($A15,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ISNUMBER(SEARCH($A15, INDEX(AsistenciaJetAdminConcatenada!$D:$D, MATCH(1, (AsistenciaJetAdminConcatenada!$A:$A=ED$2)*(AsistenciaJetAdminConcatenada!$B:$B=ED$1), 0)), 1))),  0.5, 0))</f>
        <v>0</v>
      </c>
      <c r="EE15" s="47">
        <f t="array" ref="EE15">IF(AND(ISNUMBER(MATCH(EE$2, AsistenciaJetAdminConcatenada!$A:$A, 0)), ISNUMBER(MATCH(EE$1, AsistenciaJetAdminConcatenada!$B:$B, 0)), ISNUMBER(SEARCH($A15,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ISNUMBER(SEARCH($A15, INDEX(AsistenciaJetAdminConcatenada!$D:$D, MATCH(1, (AsistenciaJetAdminConcatenada!$A:$A=EE$2)*(AsistenciaJetAdminConcatenada!$B:$B=EE$1), 0)), 1))),  0.5, 0))</f>
        <v>0</v>
      </c>
      <c r="EF15" s="47">
        <f t="array" ref="EF15">IF(AND(ISNUMBER(MATCH(EF$2, AsistenciaJetAdminConcatenada!$A:$A, 0)), ISNUMBER(MATCH(EF$1, AsistenciaJetAdminConcatenada!$B:$B, 0)), ISNUMBER(SEARCH($A15,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ISNUMBER(SEARCH($A15, INDEX(AsistenciaJetAdminConcatenada!$D:$D, MATCH(1, (AsistenciaJetAdminConcatenada!$A:$A=EF$2)*(AsistenciaJetAdminConcatenada!$B:$B=EF$1), 0)), 1))),  0.5, 0))</f>
        <v>0</v>
      </c>
      <c r="EG15" s="47">
        <f t="array" ref="EG15">IF(AND(ISNUMBER(MATCH(EG$2, AsistenciaJetAdminConcatenada!$A:$A, 0)), ISNUMBER(MATCH(EG$1, AsistenciaJetAdminConcatenada!$B:$B, 0)), ISNUMBER(SEARCH($A15,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ISNUMBER(SEARCH($A15, INDEX(AsistenciaJetAdminConcatenada!$D:$D, MATCH(1, (AsistenciaJetAdminConcatenada!$A:$A=EG$2)*(AsistenciaJetAdminConcatenada!$B:$B=EG$1), 0)), 1))),  0.5, 0))</f>
        <v>0</v>
      </c>
      <c r="EH15" s="47">
        <f t="array" ref="EH15">IF(AND(ISNUMBER(MATCH(EH$2, AsistenciaJetAdminConcatenada!$A:$A, 0)), ISNUMBER(MATCH(EH$1, AsistenciaJetAdminConcatenada!$B:$B, 0)), ISNUMBER(SEARCH($A15,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ISNUMBER(SEARCH($A15, INDEX(AsistenciaJetAdminConcatenada!$D:$D, MATCH(1, (AsistenciaJetAdminConcatenada!$A:$A=EH$2)*(AsistenciaJetAdminConcatenada!$B:$B=EH$1), 0)), 1))),  0.5, 0))</f>
        <v>0</v>
      </c>
      <c r="EI15" s="47">
        <f t="array" ref="EI15">IF(AND(ISNUMBER(MATCH(EI$2, AsistenciaJetAdminConcatenada!$A:$A, 0)), ISNUMBER(MATCH(EI$1, AsistenciaJetAdminConcatenada!$B:$B, 0)), ISNUMBER(SEARCH($A15,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ISNUMBER(SEARCH($A15, INDEX(AsistenciaJetAdminConcatenada!$D:$D, MATCH(1, (AsistenciaJetAdminConcatenada!$A:$A=EI$2)*(AsistenciaJetAdminConcatenada!$B:$B=EI$1), 0)), 1))),  0.5, 0))</f>
        <v>0</v>
      </c>
      <c r="EJ15" s="47">
        <f t="array" ref="EJ15">IF(AND(ISNUMBER(MATCH(EJ$2, AsistenciaJetAdminConcatenada!$A:$A, 0)), ISNUMBER(MATCH(EJ$1, AsistenciaJetAdminConcatenada!$B:$B, 0)), ISNUMBER(SEARCH($A15,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ISNUMBER(SEARCH($A15, INDEX(AsistenciaJetAdminConcatenada!$D:$D, MATCH(1, (AsistenciaJetAdminConcatenada!$A:$A=EJ$2)*(AsistenciaJetAdminConcatenada!$B:$B=EJ$1), 0)), 1))),  0.5, 0))</f>
        <v>0</v>
      </c>
      <c r="EK15" s="47">
        <f t="array" ref="EK15">IF(AND(ISNUMBER(MATCH(EK$2, AsistenciaJetAdminConcatenada!$A:$A, 0)), ISNUMBER(MATCH(EK$1, AsistenciaJetAdminConcatenada!$B:$B, 0)), ISNUMBER(SEARCH($A15,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ISNUMBER(SEARCH($A15, INDEX(AsistenciaJetAdminConcatenada!$D:$D, MATCH(1, (AsistenciaJetAdminConcatenada!$A:$A=EK$2)*(AsistenciaJetAdminConcatenada!$B:$B=EK$1), 0)), 1))),  0.5, 0))</f>
        <v>0</v>
      </c>
      <c r="EL15" s="47">
        <f t="array" ref="EL15">IF(AND(ISNUMBER(MATCH(EL$2, AsistenciaJetAdminConcatenada!$A:$A, 0)), ISNUMBER(MATCH(EL$1, AsistenciaJetAdminConcatenada!$B:$B, 0)), ISNUMBER(SEARCH($A15,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ISNUMBER(SEARCH($A15, INDEX(AsistenciaJetAdminConcatenada!$D:$D, MATCH(1, (AsistenciaJetAdminConcatenada!$A:$A=EL$2)*(AsistenciaJetAdminConcatenada!$B:$B=EL$1), 0)), 1))),  0.5, 0))</f>
        <v>0</v>
      </c>
      <c r="EM15" s="47">
        <f t="array" ref="EM15">IF(AND(ISNUMBER(MATCH(EM$2, AsistenciaJetAdminConcatenada!$A:$A, 0)), ISNUMBER(MATCH(EM$1, AsistenciaJetAdminConcatenada!$B:$B, 0)), ISNUMBER(SEARCH($A15,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ISNUMBER(SEARCH($A15, INDEX(AsistenciaJetAdminConcatenada!$D:$D, MATCH(1, (AsistenciaJetAdminConcatenada!$A:$A=EM$2)*(AsistenciaJetAdminConcatenada!$B:$B=EM$1), 0)), 1))),  0.5, 0))</f>
        <v>0</v>
      </c>
      <c r="EN15" s="47">
        <f t="array" ref="EN15">IF(AND(ISNUMBER(MATCH(EN$2, AsistenciaJetAdminConcatenada!$A:$A, 0)), ISNUMBER(MATCH(EN$1, AsistenciaJetAdminConcatenada!$B:$B, 0)), ISNUMBER(SEARCH($A15,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ISNUMBER(SEARCH($A15, INDEX(AsistenciaJetAdminConcatenada!$D:$D, MATCH(1, (AsistenciaJetAdminConcatenada!$A:$A=EN$2)*(AsistenciaJetAdminConcatenada!$B:$B=EN$1), 0)), 1))),  0.5, 0))</f>
        <v>0</v>
      </c>
      <c r="EO15" s="47">
        <f t="array" ref="EO15">IF(AND(ISNUMBER(MATCH(EO$2, AsistenciaJetAdminConcatenada!$A:$A, 0)), ISNUMBER(MATCH(EO$1, AsistenciaJetAdminConcatenada!$B:$B, 0)), ISNUMBER(SEARCH($A15,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ISNUMBER(SEARCH($A15, INDEX(AsistenciaJetAdminConcatenada!$D:$D, MATCH(1, (AsistenciaJetAdminConcatenada!$A:$A=EO$2)*(AsistenciaJetAdminConcatenada!$B:$B=EO$1), 0)), 1))),  0.5, 0))</f>
        <v>0</v>
      </c>
      <c r="EP15" s="47">
        <f t="array" ref="EP15">IF(AND(ISNUMBER(MATCH(EP$2, AsistenciaJetAdminConcatenada!$A:$A, 0)), ISNUMBER(MATCH(EP$1, AsistenciaJetAdminConcatenada!$B:$B, 0)), ISNUMBER(SEARCH($A15,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ISNUMBER(SEARCH($A15, INDEX(AsistenciaJetAdminConcatenada!$D:$D, MATCH(1, (AsistenciaJetAdminConcatenada!$A:$A=EP$2)*(AsistenciaJetAdminConcatenada!$B:$B=EP$1), 0)), 1))),  0.5, 0))</f>
        <v>0</v>
      </c>
      <c r="EQ15" s="47">
        <f t="array" ref="EQ15">IF(AND(ISNUMBER(MATCH(EQ$2, AsistenciaJetAdminConcatenada!$A:$A, 0)), ISNUMBER(MATCH(EQ$1, AsistenciaJetAdminConcatenada!$B:$B, 0)), ISNUMBER(SEARCH($A15,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ISNUMBER(SEARCH($A15, INDEX(AsistenciaJetAdminConcatenada!$D:$D, MATCH(1, (AsistenciaJetAdminConcatenada!$A:$A=EQ$2)*(AsistenciaJetAdminConcatenada!$B:$B=EQ$1), 0)), 1))),  0.5, 0))</f>
        <v>0</v>
      </c>
      <c r="ER15" s="47">
        <f t="array" ref="ER15">IF(AND(ISNUMBER(MATCH(ER$2, AsistenciaJetAdminConcatenada!$A:$A, 0)), ISNUMBER(MATCH(ER$1, AsistenciaJetAdminConcatenada!$B:$B, 0)), ISNUMBER(SEARCH($A15,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ISNUMBER(SEARCH($A15, INDEX(AsistenciaJetAdminConcatenada!$D:$D, MATCH(1, (AsistenciaJetAdminConcatenada!$A:$A=ER$2)*(AsistenciaJetAdminConcatenada!$B:$B=ER$1), 0)), 1))),  0.5, 0))</f>
        <v>0</v>
      </c>
      <c r="ES15" s="47">
        <f t="array" ref="ES15">IF(AND(ISNUMBER(MATCH(ES$2, AsistenciaJetAdminConcatenada!$A:$A, 0)), ISNUMBER(MATCH(ES$1, AsistenciaJetAdminConcatenada!$B:$B, 0)), ISNUMBER(SEARCH($A15,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ISNUMBER(SEARCH($A15, INDEX(AsistenciaJetAdminConcatenada!$D:$D, MATCH(1, (AsistenciaJetAdminConcatenada!$A:$A=ES$2)*(AsistenciaJetAdminConcatenada!$B:$B=ES$1), 0)), 1))),  0.5, 0))</f>
        <v>0</v>
      </c>
      <c r="ET15" s="47">
        <f t="array" ref="ET15">IF(AND(ISNUMBER(MATCH(ET$2, AsistenciaJetAdminConcatenada!$A:$A, 0)), ISNUMBER(MATCH(ET$1, AsistenciaJetAdminConcatenada!$B:$B, 0)), ISNUMBER(SEARCH($A15,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ISNUMBER(SEARCH($A15, INDEX(AsistenciaJetAdminConcatenada!$D:$D, MATCH(1, (AsistenciaJetAdminConcatenada!$A:$A=ET$2)*(AsistenciaJetAdminConcatenada!$B:$B=ET$1), 0)), 1))),  0.5, 0))</f>
        <v>0</v>
      </c>
      <c r="EU15" s="47">
        <f t="array" ref="EU15">IF(AND(ISNUMBER(MATCH(EU$2, AsistenciaJetAdminConcatenada!$A:$A, 0)), ISNUMBER(MATCH(EU$1, AsistenciaJetAdminConcatenada!$B:$B, 0)), ISNUMBER(SEARCH($A15,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ISNUMBER(SEARCH($A15, INDEX(AsistenciaJetAdminConcatenada!$D:$D, MATCH(1, (AsistenciaJetAdminConcatenada!$A:$A=EU$2)*(AsistenciaJetAdminConcatenada!$B:$B=EU$1), 0)), 1))),  0.5, 0))</f>
        <v>0</v>
      </c>
      <c r="EV15" s="47">
        <f t="array" ref="EV15">IF(AND(ISNUMBER(MATCH(EV$2, AsistenciaJetAdminConcatenada!$A:$A, 0)), ISNUMBER(MATCH(EV$1, AsistenciaJetAdminConcatenada!$B:$B, 0)), ISNUMBER(SEARCH($A15,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ISNUMBER(SEARCH($A15, INDEX(AsistenciaJetAdminConcatenada!$D:$D, MATCH(1, (AsistenciaJetAdminConcatenada!$A:$A=EV$2)*(AsistenciaJetAdminConcatenada!$B:$B=EV$1), 0)), 1))),  0.5, 0))</f>
        <v>0</v>
      </c>
      <c r="EW15" s="47">
        <f t="array" ref="EW15">IF(AND(ISNUMBER(MATCH(EW$2, AsistenciaJetAdminConcatenada!$A:$A, 0)), ISNUMBER(MATCH(EW$1, AsistenciaJetAdminConcatenada!$B:$B, 0)), ISNUMBER(SEARCH($A15,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ISNUMBER(SEARCH($A15, INDEX(AsistenciaJetAdminConcatenada!$D:$D, MATCH(1, (AsistenciaJetAdminConcatenada!$A:$A=EW$2)*(AsistenciaJetAdminConcatenada!$B:$B=EW$1), 0)), 1))),  0.5, 0))</f>
        <v>0</v>
      </c>
      <c r="EX15" s="47">
        <f t="array" ref="EX15">IF(AND(ISNUMBER(MATCH(EX$2, AsistenciaJetAdminConcatenada!$A:$A, 0)), ISNUMBER(MATCH(EX$1, AsistenciaJetAdminConcatenada!$B:$B, 0)), ISNUMBER(SEARCH($A15,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ISNUMBER(SEARCH($A15, INDEX(AsistenciaJetAdminConcatenada!$D:$D, MATCH(1, (AsistenciaJetAdminConcatenada!$A:$A=EX$2)*(AsistenciaJetAdminConcatenada!$B:$B=EX$1), 0)), 1))),  0.5, 0))</f>
        <v>0</v>
      </c>
      <c r="EY15" s="47">
        <f t="array" ref="EY15">IF(AND(ISNUMBER(MATCH(EY$2, AsistenciaJetAdminConcatenada!$A:$A, 0)), ISNUMBER(MATCH(EY$1, AsistenciaJetAdminConcatenada!$B:$B, 0)), ISNUMBER(SEARCH($A15,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ISNUMBER(SEARCH($A15, INDEX(AsistenciaJetAdminConcatenada!$D:$D, MATCH(1, (AsistenciaJetAdminConcatenada!$A:$A=EY$2)*(AsistenciaJetAdminConcatenada!$B:$B=EY$1), 0)), 1))),  0.5, 0))</f>
        <v>0</v>
      </c>
      <c r="EZ15" s="47">
        <f t="array" ref="EZ15">IF(AND(ISNUMBER(MATCH(EZ$2, AsistenciaJetAdminConcatenada!$A:$A, 0)), ISNUMBER(MATCH(EZ$1, AsistenciaJetAdminConcatenada!$B:$B, 0)), ISNUMBER(SEARCH($A15,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ISNUMBER(SEARCH($A15, INDEX(AsistenciaJetAdminConcatenada!$D:$D, MATCH(1, (AsistenciaJetAdminConcatenada!$A:$A=EZ$2)*(AsistenciaJetAdminConcatenada!$B:$B=EZ$1), 0)), 1))),  0.5, 0))</f>
        <v>0</v>
      </c>
      <c r="FA15" s="47">
        <f t="array" ref="FA15">IF(AND(ISNUMBER(MATCH(FA$2, AsistenciaJetAdminConcatenada!$A:$A, 0)), ISNUMBER(MATCH(FA$1, AsistenciaJetAdminConcatenada!$B:$B, 0)), ISNUMBER(SEARCH($A15,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ISNUMBER(SEARCH($A15, INDEX(AsistenciaJetAdminConcatenada!$D:$D, MATCH(1, (AsistenciaJetAdminConcatenada!$A:$A=FA$2)*(AsistenciaJetAdminConcatenada!$B:$B=FA$1), 0)), 1))),  0.5, 0))</f>
        <v>0</v>
      </c>
      <c r="FB15" s="47">
        <f t="array" ref="FB15">IF(AND(ISNUMBER(MATCH(FB$2, AsistenciaJetAdminConcatenada!$A:$A, 0)), ISNUMBER(MATCH(FB$1, AsistenciaJetAdminConcatenada!$B:$B, 0)), ISNUMBER(SEARCH($A15,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ISNUMBER(SEARCH($A15, INDEX(AsistenciaJetAdminConcatenada!$D:$D, MATCH(1, (AsistenciaJetAdminConcatenada!$A:$A=FB$2)*(AsistenciaJetAdminConcatenada!$B:$B=FB$1), 0)), 1))),  0.5, 0))</f>
        <v>0</v>
      </c>
      <c r="FC15" s="47">
        <f t="array" ref="FC15">IF(AND(ISNUMBER(MATCH(FC$2, AsistenciaJetAdminConcatenada!$A:$A, 0)), ISNUMBER(MATCH(FC$1, AsistenciaJetAdminConcatenada!$B:$B, 0)), ISNUMBER(SEARCH($A15,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ISNUMBER(SEARCH($A15, INDEX(AsistenciaJetAdminConcatenada!$D:$D, MATCH(1, (AsistenciaJetAdminConcatenada!$A:$A=FC$2)*(AsistenciaJetAdminConcatenada!$B:$B=FC$1), 0)), 1))),  0.5, 0))</f>
        <v>0</v>
      </c>
      <c r="FD15" s="47">
        <f t="array" ref="FD15">IF(AND(ISNUMBER(MATCH(FD$2, AsistenciaJetAdminConcatenada!$A:$A, 0)), ISNUMBER(MATCH(FD$1, AsistenciaJetAdminConcatenada!$B:$B, 0)), ISNUMBER(SEARCH($A15,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ISNUMBER(SEARCH($A15, INDEX(AsistenciaJetAdminConcatenada!$D:$D, MATCH(1, (AsistenciaJetAdminConcatenada!$A:$A=FD$2)*(AsistenciaJetAdminConcatenada!$B:$B=FD$1), 0)), 1))),  0.5, 0))</f>
        <v>0</v>
      </c>
      <c r="FE15" s="47">
        <f t="array" ref="FE15">IF(AND(ISNUMBER(MATCH(FE$2, AsistenciaJetAdminConcatenada!$A:$A, 0)), ISNUMBER(MATCH(FE$1, AsistenciaJetAdminConcatenada!$B:$B, 0)), ISNUMBER(SEARCH($A15,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ISNUMBER(SEARCH($A15, INDEX(AsistenciaJetAdminConcatenada!$D:$D, MATCH(1, (AsistenciaJetAdminConcatenada!$A:$A=FE$2)*(AsistenciaJetAdminConcatenada!$B:$B=FE$1), 0)), 1))),  0.5, 0))</f>
        <v>0</v>
      </c>
      <c r="FF15" s="47">
        <f t="array" ref="FF15">IF(AND(ISNUMBER(MATCH(FF$2, AsistenciaJetAdminConcatenada!$A:$A, 0)), ISNUMBER(MATCH(FF$1, AsistenciaJetAdminConcatenada!$B:$B, 0)), ISNUMBER(SEARCH($A15,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ISNUMBER(SEARCH($A15, INDEX(AsistenciaJetAdminConcatenada!$D:$D, MATCH(1, (AsistenciaJetAdminConcatenada!$A:$A=FF$2)*(AsistenciaJetAdminConcatenada!$B:$B=FF$1), 0)), 1))),  0.5, 0))</f>
        <v>0</v>
      </c>
      <c r="FG15" s="47">
        <f t="array" ref="FG15">IF(AND(ISNUMBER(MATCH(FG$2, AsistenciaJetAdminConcatenada!$A:$A, 0)), ISNUMBER(MATCH(FG$1, AsistenciaJetAdminConcatenada!$B:$B, 0)), ISNUMBER(SEARCH($A15,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ISNUMBER(SEARCH($A15, INDEX(AsistenciaJetAdminConcatenada!$D:$D, MATCH(1, (AsistenciaJetAdminConcatenada!$A:$A=FG$2)*(AsistenciaJetAdminConcatenada!$B:$B=FG$1), 0)), 1))),  0.5, 0))</f>
        <v>0</v>
      </c>
      <c r="FH15" s="47">
        <f t="array" ref="FH15">IF(AND(ISNUMBER(MATCH(FH$2, AsistenciaJetAdminConcatenada!$A:$A, 0)), ISNUMBER(MATCH(FH$1, AsistenciaJetAdminConcatenada!$B:$B, 0)), ISNUMBER(SEARCH($A15,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ISNUMBER(SEARCH($A15, INDEX(AsistenciaJetAdminConcatenada!$D:$D, MATCH(1, (AsistenciaJetAdminConcatenada!$A:$A=FH$2)*(AsistenciaJetAdminConcatenada!$B:$B=FH$1), 0)), 1))),  0.5, 0))</f>
        <v>0</v>
      </c>
      <c r="FI15" s="47">
        <f t="array" ref="FI15">IF(AND(ISNUMBER(MATCH(FI$2, AsistenciaJetAdminConcatenada!$A:$A, 0)), ISNUMBER(MATCH(FI$1, AsistenciaJetAdminConcatenada!$B:$B, 0)), ISNUMBER(SEARCH($A15,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ISNUMBER(SEARCH($A15, INDEX(AsistenciaJetAdminConcatenada!$D:$D, MATCH(1, (AsistenciaJetAdminConcatenada!$A:$A=FI$2)*(AsistenciaJetAdminConcatenada!$B:$B=FI$1), 0)), 1))),  0.5, 0))</f>
        <v>0</v>
      </c>
      <c r="FJ15" s="47">
        <f t="array" ref="FJ15">IF(AND(ISNUMBER(MATCH(FJ$2, AsistenciaJetAdminConcatenada!$A:$A, 0)), ISNUMBER(MATCH(FJ$1, AsistenciaJetAdminConcatenada!$B:$B, 0)), ISNUMBER(SEARCH($A15,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ISNUMBER(SEARCH($A15, INDEX(AsistenciaJetAdminConcatenada!$D:$D, MATCH(1, (AsistenciaJetAdminConcatenada!$A:$A=FJ$2)*(AsistenciaJetAdminConcatenada!$B:$B=FJ$1), 0)), 1))),  0.5, 0))</f>
        <v>0</v>
      </c>
      <c r="FK15" s="47">
        <f t="array" ref="FK15">IF(AND(ISNUMBER(MATCH(FK$2, AsistenciaJetAdminConcatenada!$A:$A, 0)), ISNUMBER(MATCH(FK$1, AsistenciaJetAdminConcatenada!$B:$B, 0)), ISNUMBER(SEARCH($A15,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ISNUMBER(SEARCH($A15, INDEX(AsistenciaJetAdminConcatenada!$D:$D, MATCH(1, (AsistenciaJetAdminConcatenada!$A:$A=FK$2)*(AsistenciaJetAdminConcatenada!$B:$B=FK$1), 0)), 1))),  0.5, 0))</f>
        <v>0</v>
      </c>
      <c r="FL15" s="47">
        <f t="array" ref="FL15">IF(AND(ISNUMBER(MATCH(FL$2, AsistenciaJetAdminConcatenada!$A:$A, 0)), ISNUMBER(MATCH(FL$1, AsistenciaJetAdminConcatenada!$B:$B, 0)), ISNUMBER(SEARCH($A15,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ISNUMBER(SEARCH($A15, INDEX(AsistenciaJetAdminConcatenada!$D:$D, MATCH(1, (AsistenciaJetAdminConcatenada!$A:$A=FL$2)*(AsistenciaJetAdminConcatenada!$B:$B=FL$1), 0)), 1))),  0.5, 0))</f>
        <v>0</v>
      </c>
      <c r="FM15" s="47">
        <f t="array" ref="FM15">IF(AND(ISNUMBER(MATCH(FM$2, AsistenciaJetAdminConcatenada!$A:$A, 0)), ISNUMBER(MATCH(FM$1, AsistenciaJetAdminConcatenada!$B:$B, 0)), ISNUMBER(SEARCH($A15,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ISNUMBER(SEARCH($A15, INDEX(AsistenciaJetAdminConcatenada!$D:$D, MATCH(1, (AsistenciaJetAdminConcatenada!$A:$A=FM$2)*(AsistenciaJetAdminConcatenada!$B:$B=FM$1), 0)), 1))),  0.5, 0))</f>
        <v>0</v>
      </c>
      <c r="FN15" s="47">
        <f t="array" ref="FN15">IF(AND(ISNUMBER(MATCH(FN$2, AsistenciaJetAdminConcatenada!$A:$A, 0)), ISNUMBER(MATCH(FN$1, AsistenciaJetAdminConcatenada!$B:$B, 0)), ISNUMBER(SEARCH($A15,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ISNUMBER(SEARCH($A15, INDEX(AsistenciaJetAdminConcatenada!$D:$D, MATCH(1, (AsistenciaJetAdminConcatenada!$A:$A=FN$2)*(AsistenciaJetAdminConcatenada!$B:$B=FN$1), 0)), 1))),  0.5, 0))</f>
        <v>0</v>
      </c>
      <c r="FO15" s="47">
        <f t="array" ref="FO15">IF(AND(ISNUMBER(MATCH(FO$2, AsistenciaJetAdminConcatenada!$A:$A, 0)), ISNUMBER(MATCH(FO$1, AsistenciaJetAdminConcatenada!$B:$B, 0)), ISNUMBER(SEARCH($A15,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ISNUMBER(SEARCH($A15, INDEX(AsistenciaJetAdminConcatenada!$D:$D, MATCH(1, (AsistenciaJetAdminConcatenada!$A:$A=FO$2)*(AsistenciaJetAdminConcatenada!$B:$B=FO$1), 0)), 1))),  0.5, 0))</f>
        <v>0</v>
      </c>
      <c r="FP15" s="47">
        <f t="array" ref="FP15">IF(AND(ISNUMBER(MATCH(FP$2, AsistenciaJetAdminConcatenada!$A:$A, 0)), ISNUMBER(MATCH(FP$1, AsistenciaJetAdminConcatenada!$B:$B, 0)), ISNUMBER(SEARCH($A15,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ISNUMBER(SEARCH($A15, INDEX(AsistenciaJetAdminConcatenada!$D:$D, MATCH(1, (AsistenciaJetAdminConcatenada!$A:$A=FP$2)*(AsistenciaJetAdminConcatenada!$B:$B=FP$1), 0)), 1))),  0.5, 0))</f>
        <v>0</v>
      </c>
      <c r="FQ15" s="47">
        <f t="array" ref="FQ15">IF(AND(ISNUMBER(MATCH(FQ$2, AsistenciaJetAdminConcatenada!$A:$A, 0)), ISNUMBER(MATCH(FQ$1, AsistenciaJetAdminConcatenada!$B:$B, 0)), ISNUMBER(SEARCH($A15,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ISNUMBER(SEARCH($A15, INDEX(AsistenciaJetAdminConcatenada!$D:$D, MATCH(1, (AsistenciaJetAdminConcatenada!$A:$A=FQ$2)*(AsistenciaJetAdminConcatenada!$B:$B=FQ$1), 0)), 1))),  0.5, 0))</f>
        <v>0</v>
      </c>
      <c r="FR15" s="47">
        <f t="array" ref="FR15">IF(AND(ISNUMBER(MATCH(FR$2, AsistenciaJetAdminConcatenada!$A:$A, 0)), ISNUMBER(MATCH(FR$1, AsistenciaJetAdminConcatenada!$B:$B, 0)), ISNUMBER(SEARCH($A15,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ISNUMBER(SEARCH($A15, INDEX(AsistenciaJetAdminConcatenada!$D:$D, MATCH(1, (AsistenciaJetAdminConcatenada!$A:$A=FR$2)*(AsistenciaJetAdminConcatenada!$B:$B=FR$1), 0)), 1))),  0.5, 0))</f>
        <v>0</v>
      </c>
      <c r="FS15" s="47">
        <f t="array" ref="FS15">IF(AND(ISNUMBER(MATCH(FS$2, AsistenciaJetAdminConcatenada!$A:$A, 0)), ISNUMBER(MATCH(FS$1, AsistenciaJetAdminConcatenada!$B:$B, 0)), ISNUMBER(SEARCH($A15,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ISNUMBER(SEARCH($A15, INDEX(AsistenciaJetAdminConcatenada!$D:$D, MATCH(1, (AsistenciaJetAdminConcatenada!$A:$A=FS$2)*(AsistenciaJetAdminConcatenada!$B:$B=FS$1), 0)), 1))),  0.5, 0))</f>
        <v>0</v>
      </c>
      <c r="FT15" s="47">
        <f t="array" ref="FT15">IF(AND(ISNUMBER(MATCH(FT$2, AsistenciaJetAdminConcatenada!$A:$A, 0)), ISNUMBER(MATCH(FT$1, AsistenciaJetAdminConcatenada!$B:$B, 0)), ISNUMBER(SEARCH($A15,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ISNUMBER(SEARCH($A15, INDEX(AsistenciaJetAdminConcatenada!$D:$D, MATCH(1, (AsistenciaJetAdminConcatenada!$A:$A=FT$2)*(AsistenciaJetAdminConcatenada!$B:$B=FT$1), 0)), 1))),  0.5, 0))</f>
        <v>0</v>
      </c>
      <c r="FU15" s="47">
        <f t="array" ref="FU15">IF(AND(ISNUMBER(MATCH(FU$2, AsistenciaJetAdminConcatenada!$A:$A, 0)), ISNUMBER(MATCH(FU$1, AsistenciaJetAdminConcatenada!$B:$B, 0)), ISNUMBER(SEARCH($A15,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ISNUMBER(SEARCH($A15, INDEX(AsistenciaJetAdminConcatenada!$D:$D, MATCH(1, (AsistenciaJetAdminConcatenada!$A:$A=FU$2)*(AsistenciaJetAdminConcatenada!$B:$B=FU$1), 0)), 1))),  0.5, 0))</f>
        <v>0</v>
      </c>
      <c r="FV15" s="47">
        <f t="array" ref="FV15">IF(AND(ISNUMBER(MATCH(FV$2, AsistenciaJetAdminConcatenada!$A:$A, 0)), ISNUMBER(MATCH(FV$1, AsistenciaJetAdminConcatenada!$B:$B, 0)), ISNUMBER(SEARCH($A15,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ISNUMBER(SEARCH($A15, INDEX(AsistenciaJetAdminConcatenada!$D:$D, MATCH(1, (AsistenciaJetAdminConcatenada!$A:$A=FV$2)*(AsistenciaJetAdminConcatenada!$B:$B=FV$1), 0)), 1))),  0.5, 0))</f>
        <v>0</v>
      </c>
      <c r="FW15" s="47">
        <f t="array" ref="FW15">IF(AND(ISNUMBER(MATCH(FW$2, AsistenciaJetAdminConcatenada!$A:$A, 0)), ISNUMBER(MATCH(FW$1, AsistenciaJetAdminConcatenada!$B:$B, 0)), ISNUMBER(SEARCH($A15,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ISNUMBER(SEARCH($A15, INDEX(AsistenciaJetAdminConcatenada!$D:$D, MATCH(1, (AsistenciaJetAdminConcatenada!$A:$A=FW$2)*(AsistenciaJetAdminConcatenada!$B:$B=FW$1), 0)), 1))),  0.5, 0))</f>
        <v>0</v>
      </c>
      <c r="FX15" s="47">
        <f t="array" ref="FX15">IF(AND(ISNUMBER(MATCH(FX$2, AsistenciaJetAdminConcatenada!$A:$A, 0)), ISNUMBER(MATCH(FX$1, AsistenciaJetAdminConcatenada!$B:$B, 0)), ISNUMBER(SEARCH($A15,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ISNUMBER(SEARCH($A15, INDEX(AsistenciaJetAdminConcatenada!$D:$D, MATCH(1, (AsistenciaJetAdminConcatenada!$A:$A=FX$2)*(AsistenciaJetAdminConcatenada!$B:$B=FX$1), 0)), 1))),  0.5, 0))</f>
        <v>0</v>
      </c>
      <c r="FY15" s="47">
        <f t="array" ref="FY15">IF(AND(ISNUMBER(MATCH(FY$2, AsistenciaJetAdminConcatenada!$A:$A, 0)), ISNUMBER(MATCH(FY$1, AsistenciaJetAdminConcatenada!$B:$B, 0)), ISNUMBER(SEARCH($A15,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ISNUMBER(SEARCH($A15, INDEX(AsistenciaJetAdminConcatenada!$D:$D, MATCH(1, (AsistenciaJetAdminConcatenada!$A:$A=FY$2)*(AsistenciaJetAdminConcatenada!$B:$B=FY$1), 0)), 1))),  0.5, 0))</f>
        <v>0</v>
      </c>
      <c r="FZ15" s="47">
        <f t="array" ref="FZ15">IF(AND(ISNUMBER(MATCH(FZ$2, AsistenciaJetAdminConcatenada!$A:$A, 0)), ISNUMBER(MATCH(FZ$1, AsistenciaJetAdminConcatenada!$B:$B, 0)), ISNUMBER(SEARCH($A15,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ISNUMBER(SEARCH($A15, INDEX(AsistenciaJetAdminConcatenada!$D:$D, MATCH(1, (AsistenciaJetAdminConcatenada!$A:$A=FZ$2)*(AsistenciaJetAdminConcatenada!$B:$B=FZ$1), 0)), 1))),  0.5, 0))</f>
        <v>0</v>
      </c>
      <c r="GA15" s="47">
        <f t="array" ref="GA15">IF(AND(ISNUMBER(MATCH(GA$2, AsistenciaJetAdminConcatenada!$A:$A, 0)), ISNUMBER(MATCH(GA$1, AsistenciaJetAdminConcatenada!$B:$B, 0)), ISNUMBER(SEARCH($A15,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ISNUMBER(SEARCH($A15, INDEX(AsistenciaJetAdminConcatenada!$D:$D, MATCH(1, (AsistenciaJetAdminConcatenada!$A:$A=GA$2)*(AsistenciaJetAdminConcatenada!$B:$B=GA$1), 0)), 1))),  0.5, 0))</f>
        <v>0</v>
      </c>
      <c r="GB15" s="47">
        <f t="array" ref="GB15">IF(AND(ISNUMBER(MATCH(GB$2, AsistenciaJetAdminConcatenada!$A:$A, 0)), ISNUMBER(MATCH(GB$1, AsistenciaJetAdminConcatenada!$B:$B, 0)), ISNUMBER(SEARCH($A15,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ISNUMBER(SEARCH($A15, INDEX(AsistenciaJetAdminConcatenada!$D:$D, MATCH(1, (AsistenciaJetAdminConcatenada!$A:$A=GB$2)*(AsistenciaJetAdminConcatenada!$B:$B=GB$1), 0)), 1))),  0.5, 0))</f>
        <v>0</v>
      </c>
      <c r="GC15" s="47">
        <f t="array" ref="GC15">IF(AND(ISNUMBER(MATCH(GC$2, AsistenciaJetAdminConcatenada!$A:$A, 0)), ISNUMBER(MATCH(GC$1, AsistenciaJetAdminConcatenada!$B:$B, 0)), ISNUMBER(SEARCH($A15,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ISNUMBER(SEARCH($A15, INDEX(AsistenciaJetAdminConcatenada!$D:$D, MATCH(1, (AsistenciaJetAdminConcatenada!$A:$A=GC$2)*(AsistenciaJetAdminConcatenada!$B:$B=GC$1), 0)), 1))),  0.5, 0))</f>
        <v>0</v>
      </c>
      <c r="GD15" s="47">
        <f t="array" ref="GD15">IF(AND(ISNUMBER(MATCH(GD$2, AsistenciaJetAdminConcatenada!$A:$A, 0)), ISNUMBER(MATCH(GD$1, AsistenciaJetAdminConcatenada!$B:$B, 0)), ISNUMBER(SEARCH($A15,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ISNUMBER(SEARCH($A15, INDEX(AsistenciaJetAdminConcatenada!$D:$D, MATCH(1, (AsistenciaJetAdminConcatenada!$A:$A=GD$2)*(AsistenciaJetAdminConcatenada!$B:$B=GD$1), 0)), 1))),  0.5, 0))</f>
        <v>0</v>
      </c>
      <c r="GE15" s="47">
        <f t="array" ref="GE15">IF(AND(ISNUMBER(MATCH(GE$2, AsistenciaJetAdminConcatenada!$A:$A, 0)), ISNUMBER(MATCH(GE$1, AsistenciaJetAdminConcatenada!$B:$B, 0)), ISNUMBER(SEARCH($A15,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ISNUMBER(SEARCH($A15, INDEX(AsistenciaJetAdminConcatenada!$D:$D, MATCH(1, (AsistenciaJetAdminConcatenada!$A:$A=GE$2)*(AsistenciaJetAdminConcatenada!$B:$B=GE$1), 0)), 1))),  0.5, 0))</f>
        <v>0</v>
      </c>
      <c r="GF15" s="47">
        <f t="array" ref="GF15">IF(AND(ISNUMBER(MATCH(GF$2, AsistenciaJetAdminConcatenada!$A:$A, 0)), ISNUMBER(MATCH(GF$1, AsistenciaJetAdminConcatenada!$B:$B, 0)), ISNUMBER(SEARCH($A15,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ISNUMBER(SEARCH($A15, INDEX(AsistenciaJetAdminConcatenada!$D:$D, MATCH(1, (AsistenciaJetAdminConcatenada!$A:$A=GF$2)*(AsistenciaJetAdminConcatenada!$B:$B=GF$1), 0)), 1))),  0.5, 0))</f>
        <v>0</v>
      </c>
      <c r="GG15" s="47">
        <f t="array" ref="GG15">IF(AND(ISNUMBER(MATCH(GG$2, AsistenciaJetAdminConcatenada!$A:$A, 0)), ISNUMBER(MATCH(GG$1, AsistenciaJetAdminConcatenada!$B:$B, 0)), ISNUMBER(SEARCH($A15,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ISNUMBER(SEARCH($A15, INDEX(AsistenciaJetAdminConcatenada!$D:$D, MATCH(1, (AsistenciaJetAdminConcatenada!$A:$A=GG$2)*(AsistenciaJetAdminConcatenada!$B:$B=GG$1), 0)), 1))),  0.5, 0))</f>
        <v>0</v>
      </c>
      <c r="GH15" s="47">
        <f t="array" ref="GH15">IF(AND(ISNUMBER(MATCH(GH$2, AsistenciaJetAdminConcatenada!$A:$A, 0)), ISNUMBER(MATCH(GH$1, AsistenciaJetAdminConcatenada!$B:$B, 0)), ISNUMBER(SEARCH($A15,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ISNUMBER(SEARCH($A15, INDEX(AsistenciaJetAdminConcatenada!$D:$D, MATCH(1, (AsistenciaJetAdminConcatenada!$A:$A=GH$2)*(AsistenciaJetAdminConcatenada!$B:$B=GH$1), 0)), 1))),  0.5, 0))</f>
        <v>0</v>
      </c>
      <c r="GI15" s="47">
        <f t="array" ref="GI15">IF(AND(ISNUMBER(MATCH(GI$2, AsistenciaJetAdminConcatenada!$A:$A, 0)), ISNUMBER(MATCH(GI$1, AsistenciaJetAdminConcatenada!$B:$B, 0)), ISNUMBER(SEARCH($A15,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ISNUMBER(SEARCH($A15, INDEX(AsistenciaJetAdminConcatenada!$D:$D, MATCH(1, (AsistenciaJetAdminConcatenada!$A:$A=GI$2)*(AsistenciaJetAdminConcatenada!$B:$B=GI$1), 0)), 1))),  0.5, 0))</f>
        <v>0</v>
      </c>
      <c r="GJ15" s="47">
        <f t="array" ref="GJ15">IF(AND(ISNUMBER(MATCH(GJ$2, AsistenciaJetAdminConcatenada!$A:$A, 0)), ISNUMBER(MATCH(GJ$1, AsistenciaJetAdminConcatenada!$B:$B, 0)), ISNUMBER(SEARCH($A15,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ISNUMBER(SEARCH($A15, INDEX(AsistenciaJetAdminConcatenada!$D:$D, MATCH(1, (AsistenciaJetAdminConcatenada!$A:$A=GJ$2)*(AsistenciaJetAdminConcatenada!$B:$B=GJ$1), 0)), 1))),  0.5, 0))</f>
        <v>0</v>
      </c>
      <c r="GK15" s="47">
        <f t="array" ref="GK15">IF(AND(ISNUMBER(MATCH(GK$2, AsistenciaJetAdminConcatenada!$A:$A, 0)), ISNUMBER(MATCH(GK$1, AsistenciaJetAdminConcatenada!$B:$B, 0)), ISNUMBER(SEARCH($A15,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ISNUMBER(SEARCH($A15, INDEX(AsistenciaJetAdminConcatenada!$D:$D, MATCH(1, (AsistenciaJetAdminConcatenada!$A:$A=GK$2)*(AsistenciaJetAdminConcatenada!$B:$B=GK$1), 0)), 1))),  0.5, 0))</f>
        <v>0</v>
      </c>
      <c r="GL15" s="47">
        <f t="array" ref="GL15">IF(AND(ISNUMBER(MATCH(GL$2, AsistenciaJetAdminConcatenada!$A:$A, 0)), ISNUMBER(MATCH(GL$1, AsistenciaJetAdminConcatenada!$B:$B, 0)), ISNUMBER(SEARCH($A15,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ISNUMBER(SEARCH($A15, INDEX(AsistenciaJetAdminConcatenada!$D:$D, MATCH(1, (AsistenciaJetAdminConcatenada!$A:$A=GL$2)*(AsistenciaJetAdminConcatenada!$B:$B=GL$1), 0)), 1))),  0.5, 0))</f>
        <v>0</v>
      </c>
      <c r="GM15" s="47">
        <f t="array" ref="GM15">IF(AND(ISNUMBER(MATCH(GM$2, AsistenciaJetAdminConcatenada!$A:$A, 0)), ISNUMBER(MATCH(GM$1, AsistenciaJetAdminConcatenada!$B:$B, 0)), ISNUMBER(SEARCH($A15,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ISNUMBER(SEARCH($A15, INDEX(AsistenciaJetAdminConcatenada!$D:$D, MATCH(1, (AsistenciaJetAdminConcatenada!$A:$A=GM$2)*(AsistenciaJetAdminConcatenada!$B:$B=GM$1), 0)), 1))),  0.5, 0))</f>
        <v>0</v>
      </c>
      <c r="GN15" s="47">
        <f t="array" ref="GN15">IF(AND(ISNUMBER(MATCH(GN$2, AsistenciaJetAdminConcatenada!$A:$A, 0)), ISNUMBER(MATCH(GN$1, AsistenciaJetAdminConcatenada!$B:$B, 0)), ISNUMBER(SEARCH($A15,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ISNUMBER(SEARCH($A15, INDEX(AsistenciaJetAdminConcatenada!$D:$D, MATCH(1, (AsistenciaJetAdminConcatenada!$A:$A=GN$2)*(AsistenciaJetAdminConcatenada!$B:$B=GN$1), 0)), 1))),  0.5, 0))</f>
        <v>0</v>
      </c>
      <c r="GO15" s="47">
        <f t="array" ref="GO15">IF(AND(ISNUMBER(MATCH(GO$2, AsistenciaJetAdminConcatenada!$A:$A, 0)), ISNUMBER(MATCH(GO$1, AsistenciaJetAdminConcatenada!$B:$B, 0)), ISNUMBER(SEARCH($A15,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ISNUMBER(SEARCH($A15, INDEX(AsistenciaJetAdminConcatenada!$D:$D, MATCH(1, (AsistenciaJetAdminConcatenada!$A:$A=GO$2)*(AsistenciaJetAdminConcatenada!$B:$B=GO$1), 0)), 1))),  0.5, 0))</f>
        <v>0</v>
      </c>
      <c r="GP15" s="47">
        <f t="array" ref="GP15">IF(AND(ISNUMBER(MATCH(GP$2, AsistenciaJetAdminConcatenada!$A:$A, 0)), ISNUMBER(MATCH(GP$1, AsistenciaJetAdminConcatenada!$B:$B, 0)), ISNUMBER(SEARCH($A15,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ISNUMBER(SEARCH($A15, INDEX(AsistenciaJetAdminConcatenada!$D:$D, MATCH(1, (AsistenciaJetAdminConcatenada!$A:$A=GP$2)*(AsistenciaJetAdminConcatenada!$B:$B=GP$1), 0)), 1))),  0.5, 0))</f>
        <v>0</v>
      </c>
      <c r="GQ15" s="47">
        <f t="array" ref="GQ15">IF(AND(ISNUMBER(MATCH(GQ$2, AsistenciaJetAdminConcatenada!$A:$A, 0)), ISNUMBER(MATCH(GQ$1, AsistenciaJetAdminConcatenada!$B:$B, 0)), ISNUMBER(SEARCH($A15,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ISNUMBER(SEARCH($A15, INDEX(AsistenciaJetAdminConcatenada!$D:$D, MATCH(1, (AsistenciaJetAdminConcatenada!$A:$A=GQ$2)*(AsistenciaJetAdminConcatenada!$B:$B=GQ$1), 0)), 1))),  0.5, 0))</f>
        <v>0</v>
      </c>
      <c r="GR15" s="47">
        <f t="array" ref="GR15">IF(AND(ISNUMBER(MATCH(GR$2, AsistenciaJetAdminConcatenada!$A:$A, 0)), ISNUMBER(MATCH(GR$1, AsistenciaJetAdminConcatenada!$B:$B, 0)), ISNUMBER(SEARCH($A15,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ISNUMBER(SEARCH($A15, INDEX(AsistenciaJetAdminConcatenada!$D:$D, MATCH(1, (AsistenciaJetAdminConcatenada!$A:$A=GR$2)*(AsistenciaJetAdminConcatenada!$B:$B=GR$1), 0)), 1))),  0.5, 0))</f>
        <v>0</v>
      </c>
      <c r="GS15" s="47">
        <f t="array" ref="GS15">IF(AND(ISNUMBER(MATCH(GS$2, AsistenciaJetAdminConcatenada!$A:$A, 0)), ISNUMBER(MATCH(GS$1, AsistenciaJetAdminConcatenada!$B:$B, 0)), ISNUMBER(SEARCH($A15,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ISNUMBER(SEARCH($A15, INDEX(AsistenciaJetAdminConcatenada!$D:$D, MATCH(1, (AsistenciaJetAdminConcatenada!$A:$A=GS$2)*(AsistenciaJetAdminConcatenada!$B:$B=GS$1), 0)), 1))),  0.5, 0))</f>
        <v>0</v>
      </c>
      <c r="GT15" s="47">
        <f t="array" ref="GT15">IF(AND(ISNUMBER(MATCH(GT$2, AsistenciaJetAdminConcatenada!$A:$A, 0)), ISNUMBER(MATCH(GT$1, AsistenciaJetAdminConcatenada!$B:$B, 0)), ISNUMBER(SEARCH($A15,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ISNUMBER(SEARCH($A15, INDEX(AsistenciaJetAdminConcatenada!$D:$D, MATCH(1, (AsistenciaJetAdminConcatenada!$A:$A=GT$2)*(AsistenciaJetAdminConcatenada!$B:$B=GT$1), 0)), 1))),  0.5, 0))</f>
        <v>0</v>
      </c>
      <c r="GU15" s="47">
        <f t="array" ref="GU15">IF(AND(ISNUMBER(MATCH(GU$2, AsistenciaJetAdminConcatenada!$A:$A, 0)), ISNUMBER(MATCH(GU$1, AsistenciaJetAdminConcatenada!$B:$B, 0)), ISNUMBER(SEARCH($A15,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ISNUMBER(SEARCH($A15, INDEX(AsistenciaJetAdminConcatenada!$D:$D, MATCH(1, (AsistenciaJetAdminConcatenada!$A:$A=GU$2)*(AsistenciaJetAdminConcatenada!$B:$B=GU$1), 0)), 1))),  0.5, 0))</f>
        <v>0</v>
      </c>
      <c r="GV15" s="47">
        <f t="array" ref="GV15">IF(AND(ISNUMBER(MATCH(GV$2, AsistenciaJetAdminConcatenada!$A:$A, 0)), ISNUMBER(MATCH(GV$1, AsistenciaJetAdminConcatenada!$B:$B, 0)), ISNUMBER(SEARCH($A15,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ISNUMBER(SEARCH($A15, INDEX(AsistenciaJetAdminConcatenada!$D:$D, MATCH(1, (AsistenciaJetAdminConcatenada!$A:$A=GV$2)*(AsistenciaJetAdminConcatenada!$B:$B=GV$1), 0)), 1))),  0.5, 0))</f>
        <v>0</v>
      </c>
      <c r="GW15" s="47">
        <f t="array" ref="GW15">IF(AND(ISNUMBER(MATCH(GW$2, AsistenciaJetAdminConcatenada!$A:$A, 0)), ISNUMBER(MATCH(GW$1, AsistenciaJetAdminConcatenada!$B:$B, 0)), ISNUMBER(SEARCH($A15,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ISNUMBER(SEARCH($A15, INDEX(AsistenciaJetAdminConcatenada!$D:$D, MATCH(1, (AsistenciaJetAdminConcatenada!$A:$A=GW$2)*(AsistenciaJetAdminConcatenada!$B:$B=GW$1), 0)), 1))),  0.5, 0))</f>
        <v>0</v>
      </c>
      <c r="GX15" s="47">
        <f t="array" ref="GX15">IF(AND(ISNUMBER(MATCH(GX$2, AsistenciaJetAdminConcatenada!$A:$A, 0)), ISNUMBER(MATCH(GX$1, AsistenciaJetAdminConcatenada!$B:$B, 0)), ISNUMBER(SEARCH($A15,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ISNUMBER(SEARCH($A15, INDEX(AsistenciaJetAdminConcatenada!$D:$D, MATCH(1, (AsistenciaJetAdminConcatenada!$A:$A=GX$2)*(AsistenciaJetAdminConcatenada!$B:$B=GX$1), 0)), 1))),  0.5, 0))</f>
        <v>0</v>
      </c>
      <c r="GY15" s="47">
        <f t="array" ref="GY15">IF(AND(ISNUMBER(MATCH(GY$2, AsistenciaJetAdminConcatenada!$A:$A, 0)), ISNUMBER(MATCH(GY$1, AsistenciaJetAdminConcatenada!$B:$B, 0)), ISNUMBER(SEARCH($A15,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ISNUMBER(SEARCH($A15, INDEX(AsistenciaJetAdminConcatenada!$D:$D, MATCH(1, (AsistenciaJetAdminConcatenada!$A:$A=GY$2)*(AsistenciaJetAdminConcatenada!$B:$B=GY$1), 0)), 1))),  0.5, 0))</f>
        <v>0</v>
      </c>
      <c r="GZ15" s="47">
        <f t="array" ref="GZ15">IF(AND(ISNUMBER(MATCH(GZ$2, AsistenciaJetAdminConcatenada!$A:$A, 0)), ISNUMBER(MATCH(GZ$1, AsistenciaJetAdminConcatenada!$B:$B, 0)), ISNUMBER(SEARCH($A15,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ISNUMBER(SEARCH($A15, INDEX(AsistenciaJetAdminConcatenada!$D:$D, MATCH(1, (AsistenciaJetAdminConcatenada!$A:$A=GZ$2)*(AsistenciaJetAdminConcatenada!$B:$B=GZ$1), 0)), 1))),  0.5, 0))</f>
        <v>0</v>
      </c>
      <c r="HA15" s="47">
        <f t="array" ref="HA15">IF(AND(ISNUMBER(MATCH(HA$2, AsistenciaJetAdminConcatenada!$A:$A, 0)), ISNUMBER(MATCH(HA$1, AsistenciaJetAdminConcatenada!$B:$B, 0)), ISNUMBER(SEARCH($A15,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ISNUMBER(SEARCH($A15, INDEX(AsistenciaJetAdminConcatenada!$D:$D, MATCH(1, (AsistenciaJetAdminConcatenada!$A:$A=HA$2)*(AsistenciaJetAdminConcatenada!$B:$B=HA$1), 0)), 1))),  0.5, 0))</f>
        <v>0</v>
      </c>
      <c r="HB15" s="47">
        <f t="array" ref="HB15">IF(AND(ISNUMBER(MATCH(HB$2, AsistenciaJetAdminConcatenada!$A:$A, 0)), ISNUMBER(MATCH(HB$1, AsistenciaJetAdminConcatenada!$B:$B, 0)), ISNUMBER(SEARCH($A15,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ISNUMBER(SEARCH($A15, INDEX(AsistenciaJetAdminConcatenada!$D:$D, MATCH(1, (AsistenciaJetAdminConcatenada!$A:$A=HB$2)*(AsistenciaJetAdminConcatenada!$B:$B=HB$1), 0)), 1))),  0.5, 0))</f>
        <v>0</v>
      </c>
      <c r="HC15" s="47">
        <f t="array" ref="HC15">IF(AND(ISNUMBER(MATCH(HC$2, AsistenciaJetAdminConcatenada!$A:$A, 0)), ISNUMBER(MATCH(HC$1, AsistenciaJetAdminConcatenada!$B:$B, 0)), ISNUMBER(SEARCH($A15,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ISNUMBER(SEARCH($A15, INDEX(AsistenciaJetAdminConcatenada!$D:$D, MATCH(1, (AsistenciaJetAdminConcatenada!$A:$A=HC$2)*(AsistenciaJetAdminConcatenada!$B:$B=HC$1), 0)), 1))),  0.5, 0))</f>
        <v>0</v>
      </c>
    </row>
    <row r="16" ht="29.25" customHeight="1">
      <c r="A16" s="3">
        <v>181.0</v>
      </c>
      <c r="B16" s="4" t="s">
        <v>510</v>
      </c>
      <c r="C16" s="47">
        <f>SUM(D16:HC16) + ActividadesEspeciales!C16</f>
        <v>48</v>
      </c>
      <c r="D16" s="47">
        <f t="array" ref="D16">IF(AND(ISNUMBER(MATCH(D$2, AsistenciaJetAdminConcatenada!$A:$A, 0)), ISNUMBER(MATCH(D$1, AsistenciaJetAdminConcatenada!$B:$B, 0)), ISNUMBER(SEARCH($A16,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ISNUMBER(SEARCH($A16, INDEX(AsistenciaJetAdminConcatenada!$D:$D, MATCH(1, (AsistenciaJetAdminConcatenada!$A:$A=D$2)*(AsistenciaJetAdminConcatenada!$B:$B=D$1), 0)), 1))),  0.5, 0))</f>
        <v>1</v>
      </c>
      <c r="E16" s="47">
        <f t="array" ref="E16">IF(AND(ISNUMBER(MATCH(E$2, AsistenciaJetAdminConcatenada!$A:$A, 0)), ISNUMBER(MATCH(E$1, AsistenciaJetAdminConcatenada!$B:$B, 0)), ISNUMBER(SEARCH($A16,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ISNUMBER(SEARCH($A16, INDEX(AsistenciaJetAdminConcatenada!$D:$D, MATCH(1, (AsistenciaJetAdminConcatenada!$A:$A=E$2)*(AsistenciaJetAdminConcatenada!$B:$B=E$1), 0)), 1))),  0.5, 0))</f>
        <v>1</v>
      </c>
      <c r="F16" s="47">
        <f t="array" ref="F16">IF(AND(ISNUMBER(MATCH(F$2, AsistenciaJetAdminConcatenada!$A:$A, 0)), ISNUMBER(MATCH(F$1, AsistenciaJetAdminConcatenada!$B:$B, 0)), ISNUMBER(SEARCH($A16,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ISNUMBER(SEARCH($A16, INDEX(AsistenciaJetAdminConcatenada!$D:$D, MATCH(1, (AsistenciaJetAdminConcatenada!$A:$A=F$2)*(AsistenciaJetAdminConcatenada!$B:$B=F$1), 0)), 1))),  0.5, 0))</f>
        <v>1</v>
      </c>
      <c r="G16" s="47">
        <f t="array" ref="G16">IF(AND(ISNUMBER(MATCH(G$2, AsistenciaJetAdminConcatenada!$A:$A, 0)), ISNUMBER(MATCH(G$1, AsistenciaJetAdminConcatenada!$B:$B, 0)), ISNUMBER(SEARCH($A16,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ISNUMBER(SEARCH($A16, INDEX(AsistenciaJetAdminConcatenada!$D:$D, MATCH(1, (AsistenciaJetAdminConcatenada!$A:$A=G$2)*(AsistenciaJetAdminConcatenada!$B:$B=G$1), 0)), 1))),  0.5, 0))</f>
        <v>0</v>
      </c>
      <c r="H16" s="47">
        <f t="array" ref="H16">IF(AND(ISNUMBER(MATCH(H$2, AsistenciaJetAdminConcatenada!$A:$A, 0)), ISNUMBER(MATCH(H$1, AsistenciaJetAdminConcatenada!$B:$B, 0)), ISNUMBER(SEARCH($A16,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ISNUMBER(SEARCH($A16, INDEX(AsistenciaJetAdminConcatenada!$D:$D, MATCH(1, (AsistenciaJetAdminConcatenada!$A:$A=H$2)*(AsistenciaJetAdminConcatenada!$B:$B=H$1), 0)), 1))),  0.5, 0))</f>
        <v>1</v>
      </c>
      <c r="I16" s="47">
        <f t="array" ref="I16">IF(AND(ISNUMBER(MATCH(I$2, AsistenciaJetAdminConcatenada!$A:$A, 0)), ISNUMBER(MATCH(I$1, AsistenciaJetAdminConcatenada!$B:$B, 0)), ISNUMBER(SEARCH($A16,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ISNUMBER(SEARCH($A16, INDEX(AsistenciaJetAdminConcatenada!$D:$D, MATCH(1, (AsistenciaJetAdminConcatenada!$A:$A=I$2)*(AsistenciaJetAdminConcatenada!$B:$B=I$1), 0)), 1))),  0.5, 0))</f>
        <v>0</v>
      </c>
      <c r="J16" s="47">
        <f t="array" ref="J16">IF(AND(ISNUMBER(MATCH(J$2, AsistenciaJetAdminConcatenada!$A:$A, 0)), ISNUMBER(MATCH(J$1, AsistenciaJetAdminConcatenada!$B:$B, 0)), ISNUMBER(SEARCH($A16,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ISNUMBER(SEARCH($A16, INDEX(AsistenciaJetAdminConcatenada!$D:$D, MATCH(1, (AsistenciaJetAdminConcatenada!$A:$A=J$2)*(AsistenciaJetAdminConcatenada!$B:$B=J$1), 0)), 1))),  0.5, 0))</f>
        <v>0</v>
      </c>
      <c r="K16" s="47">
        <f t="array" ref="K16">IF(AND(ISNUMBER(MATCH(K$2, AsistenciaJetAdminConcatenada!$A:$A, 0)), ISNUMBER(MATCH(K$1, AsistenciaJetAdminConcatenada!$B:$B, 0)), ISNUMBER(SEARCH($A16,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ISNUMBER(SEARCH($A16, INDEX(AsistenciaJetAdminConcatenada!$D:$D, MATCH(1, (AsistenciaJetAdminConcatenada!$A:$A=K$2)*(AsistenciaJetAdminConcatenada!$B:$B=K$1), 0)), 1))),  0.5, 0))</f>
        <v>1</v>
      </c>
      <c r="L16" s="47">
        <f t="array" ref="L16">IF(AND(ISNUMBER(MATCH(L$2, AsistenciaJetAdminConcatenada!$A:$A, 0)), ISNUMBER(MATCH(L$1, AsistenciaJetAdminConcatenada!$B:$B, 0)), ISNUMBER(SEARCH($A16,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ISNUMBER(SEARCH($A16, INDEX(AsistenciaJetAdminConcatenada!$D:$D, MATCH(1, (AsistenciaJetAdminConcatenada!$A:$A=L$2)*(AsistenciaJetAdminConcatenada!$B:$B=L$1), 0)), 1))),  0.5, 0))</f>
        <v>1</v>
      </c>
      <c r="M16" s="47">
        <f t="array" ref="M16">IF(AND(ISNUMBER(MATCH(M$2, AsistenciaJetAdminConcatenada!$A:$A, 0)), ISNUMBER(MATCH(M$1, AsistenciaJetAdminConcatenada!$B:$B, 0)), ISNUMBER(SEARCH($A16,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ISNUMBER(SEARCH($A16, INDEX(AsistenciaJetAdminConcatenada!$D:$D, MATCH(1, (AsistenciaJetAdminConcatenada!$A:$A=M$2)*(AsistenciaJetAdminConcatenada!$B:$B=M$1), 0)), 1))),  0.5, 0))</f>
        <v>1</v>
      </c>
      <c r="N16" s="47">
        <f t="array" ref="N16">IF(AND(ISNUMBER(MATCH(N$2, AsistenciaJetAdminConcatenada!$A:$A, 0)), ISNUMBER(MATCH(N$1, AsistenciaJetAdminConcatenada!$B:$B, 0)), ISNUMBER(SEARCH($A16,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ISNUMBER(SEARCH($A16, INDEX(AsistenciaJetAdminConcatenada!$D:$D, MATCH(1, (AsistenciaJetAdminConcatenada!$A:$A=N$2)*(AsistenciaJetAdminConcatenada!$B:$B=N$1), 0)), 1))),  0.5, 0))</f>
        <v>0</v>
      </c>
      <c r="O16" s="47">
        <f t="array" ref="O16">IF(AND(ISNUMBER(MATCH(O$2, AsistenciaJetAdminConcatenada!$A:$A, 0)), ISNUMBER(MATCH(O$1, AsistenciaJetAdminConcatenada!$B:$B, 0)), ISNUMBER(SEARCH($A16,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ISNUMBER(SEARCH($A16, INDEX(AsistenciaJetAdminConcatenada!$D:$D, MATCH(1, (AsistenciaJetAdminConcatenada!$A:$A=O$2)*(AsistenciaJetAdminConcatenada!$B:$B=O$1), 0)), 1))),  0.5, 0))</f>
        <v>0</v>
      </c>
      <c r="P16" s="47">
        <f t="array" ref="P16">IF(AND(ISNUMBER(MATCH(P$2, AsistenciaJetAdminConcatenada!$A:$A, 0)), ISNUMBER(MATCH(P$1, AsistenciaJetAdminConcatenada!$B:$B, 0)), ISNUMBER(SEARCH($A16, INDEX(AsistenciaJetAdminConcatenada!$C:$C, MATCH(1, (AsistenciaJetAdminConcatenada!$A:$A=P$2)*(AsistenciaJetAdminConcatenada!$B:$B=P$1), 0)), 1))), 1, IF(AND(ISNUMBER(MATCH(P$2, AsistenciaJetAdminConcatenada!$A:$A, 0)), ISNUMBER(MATCH(P$1, AsistenciaJetAdminConcatenada!$B:$B, 0)), ISNUMBER(SEARCH($A16, INDEX(AsistenciaJetAdminConcatenada!$D:$D, MATCH(1, (AsistenciaJetAdminConcatenada!$A:$A=P$2)*(AsistenciaJetAdminConcatenada!$B:$B=P$1), 0)), 1))),  0.5, 0))</f>
        <v>1</v>
      </c>
      <c r="Q16" s="8">
        <v>1.0</v>
      </c>
      <c r="R16" s="47">
        <f t="array" ref="R16">IF(AND(ISNUMBER(MATCH(R$2, AsistenciaJetAdminConcatenada!$A:$A, 0)), ISNUMBER(MATCH(R$1, AsistenciaJetAdminConcatenada!$B:$B, 0)), ISNUMBER(SEARCH($A16,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ISNUMBER(SEARCH($A16, INDEX(AsistenciaJetAdminConcatenada!$D:$D, MATCH(1, (AsistenciaJetAdminConcatenada!$A:$A=R$2)*(AsistenciaJetAdminConcatenada!$B:$B=R$1), 0)), 1))),  0.5, 0))</f>
        <v>0</v>
      </c>
      <c r="S16" s="47">
        <f t="array" ref="S16">IF(AND(ISNUMBER(MATCH(S$2, AsistenciaJetAdminConcatenada!$A:$A, 0)), ISNUMBER(MATCH(S$1, AsistenciaJetAdminConcatenada!$B:$B, 0)), ISNUMBER(SEARCH($A16,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ISNUMBER(SEARCH($A16, INDEX(AsistenciaJetAdminConcatenada!$D:$D, MATCH(1, (AsistenciaJetAdminConcatenada!$A:$A=S$2)*(AsistenciaJetAdminConcatenada!$B:$B=S$1), 0)), 1))),  0.5, 0))</f>
        <v>1</v>
      </c>
      <c r="T16" s="47">
        <f t="array" ref="T16">IF(AND(ISNUMBER(MATCH(T$2, AsistenciaJetAdminConcatenada!$A:$A, 0)), ISNUMBER(MATCH(T$1, AsistenciaJetAdminConcatenada!$B:$B, 0)), ISNUMBER(SEARCH($A16,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ISNUMBER(SEARCH($A16, INDEX(AsistenciaJetAdminConcatenada!$D:$D, MATCH(1, (AsistenciaJetAdminConcatenada!$A:$A=T$2)*(AsistenciaJetAdminConcatenada!$B:$B=T$1), 0)), 1))),  0.5, 0))</f>
        <v>0</v>
      </c>
      <c r="U16" s="47">
        <f t="array" ref="U16">IF(AND(ISNUMBER(MATCH(U$2, AsistenciaJetAdminConcatenada!$A:$A, 0)), ISNUMBER(MATCH(U$1, AsistenciaJetAdminConcatenada!$B:$B, 0)), ISNUMBER(SEARCH($A16,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ISNUMBER(SEARCH($A16, INDEX(AsistenciaJetAdminConcatenada!$D:$D, MATCH(1, (AsistenciaJetAdminConcatenada!$A:$A=U$2)*(AsistenciaJetAdminConcatenada!$B:$B=U$1), 0)), 1))),  0.5, 0))</f>
        <v>1</v>
      </c>
      <c r="V16" s="47">
        <f t="array" ref="V16">IF(AND(ISNUMBER(MATCH(V$2, AsistenciaJetAdminConcatenada!$A:$A, 0)), ISNUMBER(MATCH(V$1, AsistenciaJetAdminConcatenada!$B:$B, 0)), ISNUMBER(SEARCH($A16,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ISNUMBER(SEARCH($A16, INDEX(AsistenciaJetAdminConcatenada!$D:$D, MATCH(1, (AsistenciaJetAdminConcatenada!$A:$A=V$2)*(AsistenciaJetAdminConcatenada!$B:$B=V$1), 0)), 1))),  0.5, 0))</f>
        <v>1</v>
      </c>
      <c r="W16" s="47">
        <f t="array" ref="W16">IF(AND(ISNUMBER(MATCH(W$2, AsistenciaJetAdminConcatenada!$A:$A, 0)), ISNUMBER(MATCH(W$1, AsistenciaJetAdminConcatenada!$B:$B, 0)), ISNUMBER(SEARCH($A16,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ISNUMBER(SEARCH($A16, INDEX(AsistenciaJetAdminConcatenada!$D:$D, MATCH(1, (AsistenciaJetAdminConcatenada!$A:$A=W$2)*(AsistenciaJetAdminConcatenada!$B:$B=W$1), 0)), 1))),  0.5, 0))</f>
        <v>0</v>
      </c>
      <c r="X16" s="47">
        <f t="array" ref="X16">IF(AND(ISNUMBER(MATCH(X$2, AsistenciaJetAdminConcatenada!$A:$A, 0)), ISNUMBER(MATCH(X$1, AsistenciaJetAdminConcatenada!$B:$B, 0)), ISNUMBER(SEARCH($A16,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ISNUMBER(SEARCH($A16, INDEX(AsistenciaJetAdminConcatenada!$D:$D, MATCH(1, (AsistenciaJetAdminConcatenada!$A:$A=X$2)*(AsistenciaJetAdminConcatenada!$B:$B=X$1), 0)), 1))),  0.5, 0))</f>
        <v>1</v>
      </c>
      <c r="Y16" s="47">
        <f t="array" ref="Y16">IF(AND(ISNUMBER(MATCH(Y$2, AsistenciaJetAdminConcatenada!$A:$A, 0)), ISNUMBER(MATCH(Y$1, AsistenciaJetAdminConcatenada!$B:$B, 0)), ISNUMBER(SEARCH($A16,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ISNUMBER(SEARCH($A16, INDEX(AsistenciaJetAdminConcatenada!$D:$D, MATCH(1, (AsistenciaJetAdminConcatenada!$A:$A=Y$2)*(AsistenciaJetAdminConcatenada!$B:$B=Y$1), 0)), 1))),  0.5, 0))</f>
        <v>0</v>
      </c>
      <c r="Z16" s="47">
        <f t="array" ref="Z16">IF(AND(ISNUMBER(MATCH(Z$2, AsistenciaJetAdminConcatenada!$A:$A, 0)), ISNUMBER(MATCH(Z$1, AsistenciaJetAdminConcatenada!$B:$B, 0)), ISNUMBER(SEARCH($A16,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ISNUMBER(SEARCH($A16, INDEX(AsistenciaJetAdminConcatenada!$D:$D, MATCH(1, (AsistenciaJetAdminConcatenada!$A:$A=Z$2)*(AsistenciaJetAdminConcatenada!$B:$B=Z$1), 0)), 1))),  0.5, 0))</f>
        <v>1</v>
      </c>
      <c r="AA16" s="47">
        <f t="array" ref="AA16">IF(AND(ISNUMBER(MATCH(AA$2, AsistenciaJetAdminConcatenada!$A:$A, 0)), ISNUMBER(MATCH(AA$1, AsistenciaJetAdminConcatenada!$B:$B, 0)), ISNUMBER(SEARCH($A16,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ISNUMBER(SEARCH($A16, INDEX(AsistenciaJetAdminConcatenada!$D:$D, MATCH(1, (AsistenciaJetAdminConcatenada!$A:$A=AA$2)*(AsistenciaJetAdminConcatenada!$B:$B=AA$1), 0)), 1))),  0.5, 0))</f>
        <v>0</v>
      </c>
      <c r="AB16" s="47">
        <f t="array" ref="AB16">IF(AND(ISNUMBER(MATCH(AB$2, AsistenciaJetAdminConcatenada!$A:$A, 0)), ISNUMBER(MATCH(AB$1, AsistenciaJetAdminConcatenada!$B:$B, 0)), ISNUMBER(SEARCH($A16,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ISNUMBER(SEARCH($A16, INDEX(AsistenciaJetAdminConcatenada!$D:$D, MATCH(1, (AsistenciaJetAdminConcatenada!$A:$A=AB$2)*(AsistenciaJetAdminConcatenada!$B:$B=AB$1), 0)), 1))),  0.5, 0))</f>
        <v>0</v>
      </c>
      <c r="AC16" s="47">
        <f t="array" ref="AC16">IF(AND(ISNUMBER(MATCH(AC$2, AsistenciaJetAdminConcatenada!$A:$A, 0)), ISNUMBER(MATCH(AC$1, AsistenciaJetAdminConcatenada!$B:$B, 0)), ISNUMBER(SEARCH($A16,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ISNUMBER(SEARCH($A16, INDEX(AsistenciaJetAdminConcatenada!$D:$D, MATCH(1, (AsistenciaJetAdminConcatenada!$A:$A=AC$2)*(AsistenciaJetAdminConcatenada!$B:$B=AC$1), 0)), 1))),  0.5, 0))</f>
        <v>1</v>
      </c>
      <c r="AD16" s="47">
        <f t="array" ref="AD16">IF(AND(ISNUMBER(MATCH(AD$2, AsistenciaJetAdminConcatenada!$A:$A, 0)), ISNUMBER(MATCH(AD$1, AsistenciaJetAdminConcatenada!$B:$B, 0)), ISNUMBER(SEARCH($A16,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ISNUMBER(SEARCH($A16, INDEX(AsistenciaJetAdminConcatenada!$D:$D, MATCH(1, (AsistenciaJetAdminConcatenada!$A:$A=AD$2)*(AsistenciaJetAdminConcatenada!$B:$B=AD$1), 0)), 1))),  0.5, 0))</f>
        <v>0</v>
      </c>
      <c r="AE16" s="47">
        <f t="array" ref="AE16">IF(AND(ISNUMBER(MATCH(AE$2, AsistenciaJetAdminConcatenada!$A:$A, 0)), ISNUMBER(MATCH(AE$1, AsistenciaJetAdminConcatenada!$B:$B, 0)), ISNUMBER(SEARCH($A16,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ISNUMBER(SEARCH($A16, INDEX(AsistenciaJetAdminConcatenada!$D:$D, MATCH(1, (AsistenciaJetAdminConcatenada!$A:$A=AE$2)*(AsistenciaJetAdminConcatenada!$B:$B=AE$1), 0)), 1))),  0.5, 0))</f>
        <v>0</v>
      </c>
      <c r="AF16" s="47">
        <f t="array" ref="AF16">IF(AND(ISNUMBER(MATCH(AF$2, AsistenciaJetAdminConcatenada!$A:$A, 0)), ISNUMBER(MATCH(AF$1, AsistenciaJetAdminConcatenada!$B:$B, 0)), ISNUMBER(SEARCH($A16,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ISNUMBER(SEARCH($A16, INDEX(AsistenciaJetAdminConcatenada!$D:$D, MATCH(1, (AsistenciaJetAdminConcatenada!$A:$A=AF$2)*(AsistenciaJetAdminConcatenada!$B:$B=AF$1), 0)), 1))),  0.5, 0))</f>
        <v>0</v>
      </c>
      <c r="AG16" s="47">
        <f t="array" ref="AG16">IF(AND(ISNUMBER(MATCH(AG$2, AsistenciaJetAdminConcatenada!$A:$A, 0)), ISNUMBER(MATCH(AG$1, AsistenciaJetAdminConcatenada!$B:$B, 0)), ISNUMBER(SEARCH($A16,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ISNUMBER(SEARCH($A16, INDEX(AsistenciaJetAdminConcatenada!$D:$D, MATCH(1, (AsistenciaJetAdminConcatenada!$A:$A=AG$2)*(AsistenciaJetAdminConcatenada!$B:$B=AG$1), 0)), 1))),  0.5, 0))</f>
        <v>0</v>
      </c>
      <c r="AH16" s="47">
        <f t="array" ref="AH16">IF(AND(ISNUMBER(MATCH(AH$2, AsistenciaJetAdminConcatenada!$A:$A, 0)), ISNUMBER(MATCH(AH$1, AsistenciaJetAdminConcatenada!$B:$B, 0)), ISNUMBER(SEARCH($A16,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ISNUMBER(SEARCH($A16, INDEX(AsistenciaJetAdminConcatenada!$D:$D, MATCH(1, (AsistenciaJetAdminConcatenada!$A:$A=AH$2)*(AsistenciaJetAdminConcatenada!$B:$B=AH$1), 0)), 1))),  0.5, 0))</f>
        <v>0</v>
      </c>
      <c r="AI16" s="47">
        <f t="array" ref="AI16">IF(AND(ISNUMBER(MATCH(AI$2, AsistenciaJetAdminConcatenada!$A:$A, 0)), ISNUMBER(MATCH(AI$1, AsistenciaJetAdminConcatenada!$B:$B, 0)), ISNUMBER(SEARCH($A16,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ISNUMBER(SEARCH($A16, INDEX(AsistenciaJetAdminConcatenada!$D:$D, MATCH(1, (AsistenciaJetAdminConcatenada!$A:$A=AI$2)*(AsistenciaJetAdminConcatenada!$B:$B=AI$1), 0)), 1))),  0.5, 0))</f>
        <v>0</v>
      </c>
      <c r="AJ16" s="47">
        <f t="array" ref="AJ16">IF(AND(ISNUMBER(MATCH(AJ$2, AsistenciaJetAdminConcatenada!$A:$A, 0)), ISNUMBER(MATCH(AJ$1, AsistenciaJetAdminConcatenada!$B:$B, 0)), ISNUMBER(SEARCH($A16,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ISNUMBER(SEARCH($A16, INDEX(AsistenciaJetAdminConcatenada!$D:$D, MATCH(1, (AsistenciaJetAdminConcatenada!$A:$A=AJ$2)*(AsistenciaJetAdminConcatenada!$B:$B=AJ$1), 0)), 1))),  0.5, 0))</f>
        <v>0</v>
      </c>
      <c r="AK16" s="47">
        <f t="array" ref="AK16">IF(AND(ISNUMBER(MATCH(AK$2, AsistenciaJetAdminConcatenada!$A:$A, 0)), ISNUMBER(MATCH(AK$1, AsistenciaJetAdminConcatenada!$B:$B, 0)), ISNUMBER(SEARCH($A16,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ISNUMBER(SEARCH($A16, INDEX(AsistenciaJetAdminConcatenada!$D:$D, MATCH(1, (AsistenciaJetAdminConcatenada!$A:$A=AK$2)*(AsistenciaJetAdminConcatenada!$B:$B=AK$1), 0)), 1))),  0.5, 0))</f>
        <v>0</v>
      </c>
      <c r="AL16" s="47">
        <f t="array" ref="AL16">IF(AND(ISNUMBER(MATCH(AL$2, AsistenciaJetAdminConcatenada!$A:$A, 0)), ISNUMBER(MATCH(AL$1, AsistenciaJetAdminConcatenada!$B:$B, 0)), ISNUMBER(SEARCH($A16,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ISNUMBER(SEARCH($A16, INDEX(AsistenciaJetAdminConcatenada!$D:$D, MATCH(1, (AsistenciaJetAdminConcatenada!$A:$A=AL$2)*(AsistenciaJetAdminConcatenada!$B:$B=AL$1), 0)), 1))),  0.5, 0))</f>
        <v>0</v>
      </c>
      <c r="AM16" s="47">
        <f t="array" ref="AM16">IF(AND(ISNUMBER(MATCH(AM$2, AsistenciaJetAdminConcatenada!$A:$A, 0)), ISNUMBER(MATCH(AM$1, AsistenciaJetAdminConcatenada!$B:$B, 0)), ISNUMBER(SEARCH($A16,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ISNUMBER(SEARCH($A16, INDEX(AsistenciaJetAdminConcatenada!$D:$D, MATCH(1, (AsistenciaJetAdminConcatenada!$A:$A=AM$2)*(AsistenciaJetAdminConcatenada!$B:$B=AM$1), 0)), 1))),  0.5, 0))</f>
        <v>0</v>
      </c>
      <c r="AN16" s="47">
        <f t="array" ref="AN16">IF(AND(ISNUMBER(MATCH(AN$2, AsistenciaJetAdminConcatenada!$A:$A, 0)), ISNUMBER(MATCH(AN$1, AsistenciaJetAdminConcatenada!$B:$B, 0)), ISNUMBER(SEARCH($A16,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ISNUMBER(SEARCH($A16, INDEX(AsistenciaJetAdminConcatenada!$D:$D, MATCH(1, (AsistenciaJetAdminConcatenada!$A:$A=AN$2)*(AsistenciaJetAdminConcatenada!$B:$B=AN$1), 0)), 1))),  0.5, 0))</f>
        <v>1</v>
      </c>
      <c r="AO16" s="47">
        <f t="array" ref="AO16">IF(AND(ISNUMBER(MATCH(AO$2, AsistenciaJetAdminConcatenada!$A:$A, 0)), ISNUMBER(MATCH(AO$1, AsistenciaJetAdminConcatenada!$B:$B, 0)), ISNUMBER(SEARCH($A16,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ISNUMBER(SEARCH($A16, INDEX(AsistenciaJetAdminConcatenada!$D:$D, MATCH(1, (AsistenciaJetAdminConcatenada!$A:$A=AO$2)*(AsistenciaJetAdminConcatenada!$B:$B=AO$1), 0)), 1))),  0.5, 0))</f>
        <v>1</v>
      </c>
      <c r="AP16" s="47">
        <f t="array" ref="AP16">IF(AND(ISNUMBER(MATCH(AP$2, AsistenciaJetAdminConcatenada!$A:$A, 0)), ISNUMBER(MATCH(AP$1, AsistenciaJetAdminConcatenada!$B:$B, 0)), ISNUMBER(SEARCH($A16,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ISNUMBER(SEARCH($A16, INDEX(AsistenciaJetAdminConcatenada!$D:$D, MATCH(1, (AsistenciaJetAdminConcatenada!$A:$A=AP$2)*(AsistenciaJetAdminConcatenada!$B:$B=AP$1), 0)), 1))),  0.5, 0))</f>
        <v>0</v>
      </c>
      <c r="AQ16" s="47">
        <f t="array" ref="AQ16">IF(AND(ISNUMBER(MATCH(AQ$2, AsistenciaJetAdminConcatenada!$A:$A, 0)), ISNUMBER(MATCH(AQ$1, AsistenciaJetAdminConcatenada!$B:$B, 0)), ISNUMBER(SEARCH($A16,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ISNUMBER(SEARCH($A16, INDEX(AsistenciaJetAdminConcatenada!$D:$D, MATCH(1, (AsistenciaJetAdminConcatenada!$A:$A=AQ$2)*(AsistenciaJetAdminConcatenada!$B:$B=AQ$1), 0)), 1))),  0.5, 0))</f>
        <v>0</v>
      </c>
      <c r="AR16" s="47">
        <f t="array" ref="AR16">IF(AND(ISNUMBER(MATCH(AR$2, AsistenciaJetAdminConcatenada!$A:$A, 0)), ISNUMBER(MATCH(AR$1, AsistenciaJetAdminConcatenada!$B:$B, 0)), ISNUMBER(SEARCH($A16,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ISNUMBER(SEARCH($A16, INDEX(AsistenciaJetAdminConcatenada!$D:$D, MATCH(1, (AsistenciaJetAdminConcatenada!$A:$A=AR$2)*(AsistenciaJetAdminConcatenada!$B:$B=AR$1), 0)), 1))),  0.5, 0))</f>
        <v>0</v>
      </c>
      <c r="AS16" s="47">
        <f t="array" ref="AS16">IF(AND(ISNUMBER(MATCH(AS$2, AsistenciaJetAdminConcatenada!$A:$A, 0)), ISNUMBER(MATCH(AS$1, AsistenciaJetAdminConcatenada!$B:$B, 0)), ISNUMBER(SEARCH($A16,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ISNUMBER(SEARCH($A16, INDEX(AsistenciaJetAdminConcatenada!$D:$D, MATCH(1, (AsistenciaJetAdminConcatenada!$A:$A=AS$2)*(AsistenciaJetAdminConcatenada!$B:$B=AS$1), 0)), 1))),  0.5, 0))</f>
        <v>0</v>
      </c>
      <c r="AT16" s="47">
        <f t="array" ref="AT16">IF(AND(ISNUMBER(MATCH(AT$2, AsistenciaJetAdminConcatenada!$A:$A, 0)), ISNUMBER(MATCH(AT$1, AsistenciaJetAdminConcatenada!$B:$B, 0)), ISNUMBER(SEARCH($A16,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ISNUMBER(SEARCH($A16, INDEX(AsistenciaJetAdminConcatenada!$D:$D, MATCH(1, (AsistenciaJetAdminConcatenada!$A:$A=AT$2)*(AsistenciaJetAdminConcatenada!$B:$B=AT$1), 0)), 1))),  0.5, 0))</f>
        <v>1</v>
      </c>
      <c r="AU16" s="47">
        <f t="array" ref="AU16">IF(AND(ISNUMBER(MATCH(AU$2, AsistenciaJetAdminConcatenada!$A:$A, 0)), ISNUMBER(MATCH(AU$1, AsistenciaJetAdminConcatenada!$B:$B, 0)), ISNUMBER(SEARCH($A16,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ISNUMBER(SEARCH($A16, INDEX(AsistenciaJetAdminConcatenada!$D:$D, MATCH(1, (AsistenciaJetAdminConcatenada!$A:$A=AU$2)*(AsistenciaJetAdminConcatenada!$B:$B=AU$1), 0)), 1))),  0.5, 0))</f>
        <v>0</v>
      </c>
      <c r="AV16" s="47">
        <f t="array" ref="AV16">IF(AND(ISNUMBER(MATCH(AV$2, AsistenciaJetAdminConcatenada!$A:$A, 0)), ISNUMBER(MATCH(AV$1, AsistenciaJetAdminConcatenada!$B:$B, 0)), ISNUMBER(SEARCH($A16,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ISNUMBER(SEARCH($A16, INDEX(AsistenciaJetAdminConcatenada!$D:$D, MATCH(1, (AsistenciaJetAdminConcatenada!$A:$A=AV$2)*(AsistenciaJetAdminConcatenada!$B:$B=AV$1), 0)), 1))),  0.5, 0))</f>
        <v>1</v>
      </c>
      <c r="AW16" s="47">
        <f t="array" ref="AW16">IF(AND(ISNUMBER(MATCH(AW$2, AsistenciaJetAdminConcatenada!$A:$A, 0)), ISNUMBER(MATCH(AW$1, AsistenciaJetAdminConcatenada!$B:$B, 0)), ISNUMBER(SEARCH($A16,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ISNUMBER(SEARCH($A16, INDEX(AsistenciaJetAdminConcatenada!$D:$D, MATCH(1, (AsistenciaJetAdminConcatenada!$A:$A=AW$2)*(AsistenciaJetAdminConcatenada!$B:$B=AW$1), 0)), 1))),  0.5, 0))</f>
        <v>0</v>
      </c>
      <c r="AX16" s="47">
        <f t="array" ref="AX16">IF(AND(ISNUMBER(MATCH(AX$2, AsistenciaJetAdminConcatenada!$A:$A, 0)), ISNUMBER(MATCH(AX$1, AsistenciaJetAdminConcatenada!$B:$B, 0)), ISNUMBER(SEARCH($A16,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ISNUMBER(SEARCH($A16, INDEX(AsistenciaJetAdminConcatenada!$D:$D, MATCH(1, (AsistenciaJetAdminConcatenada!$A:$A=AX$2)*(AsistenciaJetAdminConcatenada!$B:$B=AX$1), 0)), 1))),  0.5, 0))</f>
        <v>0</v>
      </c>
      <c r="AY16" s="47">
        <f t="array" ref="AY16">IF(AND(ISNUMBER(MATCH(AY$2, AsistenciaJetAdminConcatenada!$A:$A, 0)), ISNUMBER(MATCH(AY$1, AsistenciaJetAdminConcatenada!$B:$B, 0)), ISNUMBER(SEARCH($A16,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ISNUMBER(SEARCH($A16, INDEX(AsistenciaJetAdminConcatenada!$D:$D, MATCH(1, (AsistenciaJetAdminConcatenada!$A:$A=AY$2)*(AsistenciaJetAdminConcatenada!$B:$B=AY$1), 0)), 1))),  0.5, 0))</f>
        <v>1</v>
      </c>
      <c r="AZ16" s="47">
        <f t="array" ref="AZ16">IF(AND(ISNUMBER(MATCH(AZ$2, AsistenciaJetAdminConcatenada!$A:$A, 0)), ISNUMBER(MATCH(AZ$1, AsistenciaJetAdminConcatenada!$B:$B, 0)), ISNUMBER(SEARCH($A16,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ISNUMBER(SEARCH($A16, INDEX(AsistenciaJetAdminConcatenada!$D:$D, MATCH(1, (AsistenciaJetAdminConcatenada!$A:$A=AZ$2)*(AsistenciaJetAdminConcatenada!$B:$B=AZ$1), 0)), 1))),  0.5, 0))</f>
        <v>1</v>
      </c>
      <c r="BA16" s="47">
        <f t="array" ref="BA16">IF(AND(ISNUMBER(MATCH(BA$2, AsistenciaJetAdminConcatenada!$A:$A, 0)), ISNUMBER(MATCH(BA$1, AsistenciaJetAdminConcatenada!$B:$B, 0)), ISNUMBER(SEARCH($A16,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ISNUMBER(SEARCH($A16, INDEX(AsistenciaJetAdminConcatenada!$D:$D, MATCH(1, (AsistenciaJetAdminConcatenada!$A:$A=BA$2)*(AsistenciaJetAdminConcatenada!$B:$B=BA$1), 0)), 1))),  0.5, 0))</f>
        <v>1</v>
      </c>
      <c r="BB16" s="47">
        <f t="array" ref="BB16">IF(AND(ISNUMBER(MATCH(BB$2, AsistenciaJetAdminConcatenada!$A:$A, 0)), ISNUMBER(MATCH(BB$1, AsistenciaJetAdminConcatenada!$B:$B, 0)), ISNUMBER(SEARCH($A16,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ISNUMBER(SEARCH($A16, INDEX(AsistenciaJetAdminConcatenada!$D:$D, MATCH(1, (AsistenciaJetAdminConcatenada!$A:$A=BB$2)*(AsistenciaJetAdminConcatenada!$B:$B=BB$1), 0)), 1))),  0.5, 0))</f>
        <v>0</v>
      </c>
      <c r="BC16" s="47">
        <f t="array" ref="BC16">IF(AND(ISNUMBER(MATCH(BC$2, AsistenciaJetAdminConcatenada!$A:$A, 0)), ISNUMBER(MATCH(BC$1, AsistenciaJetAdminConcatenada!$B:$B, 0)), ISNUMBER(SEARCH($A16,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ISNUMBER(SEARCH($A16, INDEX(AsistenciaJetAdminConcatenada!$D:$D, MATCH(1, (AsistenciaJetAdminConcatenada!$A:$A=BC$2)*(AsistenciaJetAdminConcatenada!$B:$B=BC$1), 0)), 1))),  0.5, 0))</f>
        <v>0</v>
      </c>
      <c r="BD16" s="47">
        <f t="array" ref="BD16">IF(AND(ISNUMBER(MATCH(BD$2, AsistenciaJetAdminConcatenada!$A:$A, 0)), ISNUMBER(MATCH(BD$1, AsistenciaJetAdminConcatenada!$B:$B, 0)), ISNUMBER(SEARCH($A16,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ISNUMBER(SEARCH($A16, INDEX(AsistenciaJetAdminConcatenada!$D:$D, MATCH(1, (AsistenciaJetAdminConcatenada!$A:$A=BD$2)*(AsistenciaJetAdminConcatenada!$B:$B=BD$1), 0)), 1))),  0.5, 0))</f>
        <v>0</v>
      </c>
      <c r="BE16" s="47">
        <f t="array" ref="BE16">IF(AND(ISNUMBER(MATCH(BE$2, AsistenciaJetAdminConcatenada!$A:$A, 0)), ISNUMBER(MATCH(BE$1, AsistenciaJetAdminConcatenada!$B:$B, 0)), ISNUMBER(SEARCH($A16,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ISNUMBER(SEARCH($A16, INDEX(AsistenciaJetAdminConcatenada!$D:$D, MATCH(1, (AsistenciaJetAdminConcatenada!$A:$A=BE$2)*(AsistenciaJetAdminConcatenada!$B:$B=BE$1), 0)), 1))),  0.5, 0))</f>
        <v>0</v>
      </c>
      <c r="BF16" s="47">
        <f t="array" ref="BF16">IF(AND(ISNUMBER(MATCH(BF$2, AsistenciaJetAdminConcatenada!$A:$A, 0)), ISNUMBER(MATCH(BF$1, AsistenciaJetAdminConcatenada!$B:$B, 0)), ISNUMBER(SEARCH($A16,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ISNUMBER(SEARCH($A16, INDEX(AsistenciaJetAdminConcatenada!$D:$D, MATCH(1, (AsistenciaJetAdminConcatenada!$A:$A=BF$2)*(AsistenciaJetAdminConcatenada!$B:$B=BF$1), 0)), 1))),  0.5, 0))</f>
        <v>0</v>
      </c>
      <c r="BG16" s="47">
        <f t="array" ref="BG16">IF(AND(ISNUMBER(MATCH(BG$2, AsistenciaJetAdminConcatenada!$A:$A, 0)), ISNUMBER(MATCH(BG$1, AsistenciaJetAdminConcatenada!$B:$B, 0)), ISNUMBER(SEARCH($A16,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ISNUMBER(SEARCH($A16, INDEX(AsistenciaJetAdminConcatenada!$D:$D, MATCH(1, (AsistenciaJetAdminConcatenada!$A:$A=BG$2)*(AsistenciaJetAdminConcatenada!$B:$B=BG$1), 0)), 1))),  0.5, 0))</f>
        <v>0</v>
      </c>
      <c r="BH16" s="47">
        <f t="array" ref="BH16">IF(AND(ISNUMBER(MATCH(BH$2, AsistenciaJetAdminConcatenada!$A:$A, 0)), ISNUMBER(MATCH(BH$1, AsistenciaJetAdminConcatenada!$B:$B, 0)), ISNUMBER(SEARCH($A16,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ISNUMBER(SEARCH($A16, INDEX(AsistenciaJetAdminConcatenada!$D:$D, MATCH(1, (AsistenciaJetAdminConcatenada!$A:$A=BH$2)*(AsistenciaJetAdminConcatenada!$B:$B=BH$1), 0)), 1))),  0.5, 0))</f>
        <v>1</v>
      </c>
      <c r="BI16" s="47">
        <f t="array" ref="BI16">IF(AND(ISNUMBER(MATCH(BI$2, AsistenciaJetAdminConcatenada!$A:$A, 0)), ISNUMBER(MATCH(BI$1, AsistenciaJetAdminConcatenada!$B:$B, 0)), ISNUMBER(SEARCH($A16,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ISNUMBER(SEARCH($A16, INDEX(AsistenciaJetAdminConcatenada!$D:$D, MATCH(1, (AsistenciaJetAdminConcatenada!$A:$A=BI$2)*(AsistenciaJetAdminConcatenada!$B:$B=BI$1), 0)), 1))),  0.5, 0))</f>
        <v>1</v>
      </c>
      <c r="BJ16" s="47">
        <f t="array" ref="BJ16">IF(AND(ISNUMBER(MATCH(BJ$2, AsistenciaJetAdminConcatenada!$A:$A, 0)), ISNUMBER(MATCH(BJ$1, AsistenciaJetAdminConcatenada!$B:$B, 0)), ISNUMBER(SEARCH($A16,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ISNUMBER(SEARCH($A16, INDEX(AsistenciaJetAdminConcatenada!$D:$D, MATCH(1, (AsistenciaJetAdminConcatenada!$A:$A=BJ$2)*(AsistenciaJetAdminConcatenada!$B:$B=BJ$1), 0)), 1))),  0.5, 0))</f>
        <v>1</v>
      </c>
      <c r="BK16" s="47">
        <f t="array" ref="BK16">IF(AND(ISNUMBER(MATCH(BK$2, AsistenciaJetAdminConcatenada!$A:$A, 0)), ISNUMBER(MATCH(BK$1, AsistenciaJetAdminConcatenada!$B:$B, 0)), ISNUMBER(SEARCH($A16,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ISNUMBER(SEARCH($A16, INDEX(AsistenciaJetAdminConcatenada!$D:$D, MATCH(1, (AsistenciaJetAdminConcatenada!$A:$A=BK$2)*(AsistenciaJetAdminConcatenada!$B:$B=BK$1), 0)), 1))),  0.5, 0))</f>
        <v>0</v>
      </c>
      <c r="BL16" s="47">
        <f t="array" ref="BL16">IF(AND(ISNUMBER(MATCH(BL$2, AsistenciaJetAdminConcatenada!$A:$A, 0)), ISNUMBER(MATCH(BL$1, AsistenciaJetAdminConcatenada!$B:$B, 0)), ISNUMBER(SEARCH($A16,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ISNUMBER(SEARCH($A16, INDEX(AsistenciaJetAdminConcatenada!$D:$D, MATCH(1, (AsistenciaJetAdminConcatenada!$A:$A=BL$2)*(AsistenciaJetAdminConcatenada!$B:$B=BL$1), 0)), 1))),  0.5, 0))</f>
        <v>0</v>
      </c>
      <c r="BM16" s="47">
        <f t="array" ref="BM16">IF(AND(ISNUMBER(MATCH(BM$2, AsistenciaJetAdminConcatenada!$A:$A, 0)), ISNUMBER(MATCH(BM$1, AsistenciaJetAdminConcatenada!$B:$B, 0)), ISNUMBER(SEARCH($A16,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ISNUMBER(SEARCH($A16, INDEX(AsistenciaJetAdminConcatenada!$D:$D, MATCH(1, (AsistenciaJetAdminConcatenada!$A:$A=BM$2)*(AsistenciaJetAdminConcatenada!$B:$B=BM$1), 0)), 1))),  0.5, 0))</f>
        <v>0</v>
      </c>
      <c r="BN16" s="47">
        <f t="array" ref="BN16">IF(AND(ISNUMBER(MATCH(BN$2, AsistenciaJetAdminConcatenada!$A:$A, 0)), ISNUMBER(MATCH(BN$1, AsistenciaJetAdminConcatenada!$B:$B, 0)), ISNUMBER(SEARCH($A16,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ISNUMBER(SEARCH($A16, INDEX(AsistenciaJetAdminConcatenada!$D:$D, MATCH(1, (AsistenciaJetAdminConcatenada!$A:$A=BN$2)*(AsistenciaJetAdminConcatenada!$B:$B=BN$1), 0)), 1))),  0.5, 0))</f>
        <v>1</v>
      </c>
      <c r="BO16" s="47">
        <f t="array" ref="BO16">IF(AND(ISNUMBER(MATCH(BO$2, AsistenciaJetAdminConcatenada!$A:$A, 0)), ISNUMBER(MATCH(BO$1, AsistenciaJetAdminConcatenada!$B:$B, 0)), ISNUMBER(SEARCH($A16,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ISNUMBER(SEARCH($A16, INDEX(AsistenciaJetAdminConcatenada!$D:$D, MATCH(1, (AsistenciaJetAdminConcatenada!$A:$A=BO$2)*(AsistenciaJetAdminConcatenada!$B:$B=BO$1), 0)), 1))),  0.5, 0))</f>
        <v>1</v>
      </c>
      <c r="BP16" s="47">
        <f t="array" ref="BP16">IF(AND(ISNUMBER(MATCH(BP$2, AsistenciaJetAdminConcatenada!$A:$A, 0)), ISNUMBER(MATCH(BP$1, AsistenciaJetAdminConcatenada!$B:$B, 0)), ISNUMBER(SEARCH($A16,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ISNUMBER(SEARCH($A16, INDEX(AsistenciaJetAdminConcatenada!$D:$D, MATCH(1, (AsistenciaJetAdminConcatenada!$A:$A=BP$2)*(AsistenciaJetAdminConcatenada!$B:$B=BP$1), 0)), 1))),  0.5, 0))</f>
        <v>1</v>
      </c>
      <c r="BQ16" s="47">
        <f t="array" ref="BQ16">IF(AND(ISNUMBER(MATCH(BQ$2, AsistenciaJetAdminConcatenada!$A:$A, 0)), ISNUMBER(MATCH(BQ$1, AsistenciaJetAdminConcatenada!$B:$B, 0)), ISNUMBER(SEARCH($A16,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ISNUMBER(SEARCH($A16, INDEX(AsistenciaJetAdminConcatenada!$D:$D, MATCH(1, (AsistenciaJetAdminConcatenada!$A:$A=BQ$2)*(AsistenciaJetAdminConcatenada!$B:$B=BQ$1), 0)), 1))),  0.5, 0))</f>
        <v>0</v>
      </c>
      <c r="BR16" s="47">
        <f t="array" ref="BR16">IF(AND(ISNUMBER(MATCH(BR$2, AsistenciaJetAdminConcatenada!$A:$A, 0)), ISNUMBER(MATCH(BR$1, AsistenciaJetAdminConcatenada!$B:$B, 0)), ISNUMBER(SEARCH($A16,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ISNUMBER(SEARCH($A16, INDEX(AsistenciaJetAdminConcatenada!$D:$D, MATCH(1, (AsistenciaJetAdminConcatenada!$A:$A=BR$2)*(AsistenciaJetAdminConcatenada!$B:$B=BR$1), 0)), 1))),  0.5, 0))</f>
        <v>1</v>
      </c>
      <c r="BS16" s="47">
        <f t="array" ref="BS16">IF(AND(ISNUMBER(MATCH(BS$2, AsistenciaJetAdminConcatenada!$A:$A, 0)), ISNUMBER(MATCH(BS$1, AsistenciaJetAdminConcatenada!$B:$B, 0)), ISNUMBER(SEARCH($A16,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ISNUMBER(SEARCH($A16, INDEX(AsistenciaJetAdminConcatenada!$D:$D, MATCH(1, (AsistenciaJetAdminConcatenada!$A:$A=BS$2)*(AsistenciaJetAdminConcatenada!$B:$B=BS$1), 0)), 1))),  0.5, 0))</f>
        <v>1</v>
      </c>
      <c r="BT16" s="47">
        <f t="array" ref="BT16">IF(AND(ISNUMBER(MATCH(BT$2, AsistenciaJetAdminConcatenada!$A:$A, 0)), ISNUMBER(MATCH(BT$1, AsistenciaJetAdminConcatenada!$B:$B, 0)), ISNUMBER(SEARCH($A16,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ISNUMBER(SEARCH($A16, INDEX(AsistenciaJetAdminConcatenada!$D:$D, MATCH(1, (AsistenciaJetAdminConcatenada!$A:$A=BT$2)*(AsistenciaJetAdminConcatenada!$B:$B=BT$1), 0)), 1))),  0.5, 0))</f>
        <v>1</v>
      </c>
      <c r="BU16" s="47">
        <f t="array" ref="BU16">IF(AND(ISNUMBER(MATCH(BU$2, AsistenciaJetAdminConcatenada!$A:$A, 0)), ISNUMBER(MATCH(BU$1, AsistenciaJetAdminConcatenada!$B:$B, 0)), ISNUMBER(SEARCH($A16,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ISNUMBER(SEARCH($A16, INDEX(AsistenciaJetAdminConcatenada!$D:$D, MATCH(1, (AsistenciaJetAdminConcatenada!$A:$A=BU$2)*(AsistenciaJetAdminConcatenada!$B:$B=BU$1), 0)), 1))),  0.5, 0))</f>
        <v>1</v>
      </c>
      <c r="BV16" s="47">
        <f t="array" ref="BV16">IF(AND(ISNUMBER(MATCH(BV$2, AsistenciaJetAdminConcatenada!$A:$A, 0)), ISNUMBER(MATCH(BV$1, AsistenciaJetAdminConcatenada!$B:$B, 0)), ISNUMBER(SEARCH($A16,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ISNUMBER(SEARCH($A16, INDEX(AsistenciaJetAdminConcatenada!$D:$D, MATCH(1, (AsistenciaJetAdminConcatenada!$A:$A=BV$2)*(AsistenciaJetAdminConcatenada!$B:$B=BV$1), 0)), 1))),  0.5, 0))</f>
        <v>0</v>
      </c>
      <c r="BW16" s="47">
        <f t="array" ref="BW16">IF(AND(ISNUMBER(MATCH(BW$2, AsistenciaJetAdminConcatenada!$A:$A, 0)), ISNUMBER(MATCH(BW$1, AsistenciaJetAdminConcatenada!$B:$B, 0)), ISNUMBER(SEARCH($A16,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ISNUMBER(SEARCH($A16, INDEX(AsistenciaJetAdminConcatenada!$D:$D, MATCH(1, (AsistenciaJetAdminConcatenada!$A:$A=BW$2)*(AsistenciaJetAdminConcatenada!$B:$B=BW$1), 0)), 1))),  0.5, 0))</f>
        <v>0</v>
      </c>
      <c r="BX16" s="47">
        <f t="array" ref="BX16">IF(AND(ISNUMBER(MATCH(BX$2, AsistenciaJetAdminConcatenada!$A:$A, 0)), ISNUMBER(MATCH(BX$1, AsistenciaJetAdminConcatenada!$B:$B, 0)), ISNUMBER(SEARCH($A16,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ISNUMBER(SEARCH($A16, INDEX(AsistenciaJetAdminConcatenada!$D:$D, MATCH(1, (AsistenciaJetAdminConcatenada!$A:$A=BX$2)*(AsistenciaJetAdminConcatenada!$B:$B=BX$1), 0)), 1))),  0.5, 0))</f>
        <v>1</v>
      </c>
      <c r="BY16" s="47">
        <f t="array" ref="BY16">IF(AND(ISNUMBER(MATCH(BY$2, AsistenciaJetAdminConcatenada!$A:$A, 0)), ISNUMBER(MATCH(BY$1, AsistenciaJetAdminConcatenada!$B:$B, 0)), ISNUMBER(SEARCH($A16,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ISNUMBER(SEARCH($A16, INDEX(AsistenciaJetAdminConcatenada!$D:$D, MATCH(1, (AsistenciaJetAdminConcatenada!$A:$A=BY$2)*(AsistenciaJetAdminConcatenada!$B:$B=BY$1), 0)), 1))),  0.5, 0))</f>
        <v>0</v>
      </c>
      <c r="BZ16" s="47">
        <f t="array" ref="BZ16">IF(AND(ISNUMBER(MATCH(BZ$2, AsistenciaJetAdminConcatenada!$A:$A, 0)), ISNUMBER(MATCH(BZ$1, AsistenciaJetAdminConcatenada!$B:$B, 0)), ISNUMBER(SEARCH($A16,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ISNUMBER(SEARCH($A16, INDEX(AsistenciaJetAdminConcatenada!$D:$D, MATCH(1, (AsistenciaJetAdminConcatenada!$A:$A=BZ$2)*(AsistenciaJetAdminConcatenada!$B:$B=BZ$1), 0)), 1))),  0.5, 0))</f>
        <v>1</v>
      </c>
      <c r="CA16" s="47">
        <f t="array" ref="CA16">IF(AND(ISNUMBER(MATCH(CA$2, AsistenciaJetAdminConcatenada!$A:$A, 0)), ISNUMBER(MATCH(CA$1, AsistenciaJetAdminConcatenada!$B:$B, 0)), ISNUMBER(SEARCH($A16,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ISNUMBER(SEARCH($A16, INDEX(AsistenciaJetAdminConcatenada!$D:$D, MATCH(1, (AsistenciaJetAdminConcatenada!$A:$A=CA$2)*(AsistenciaJetAdminConcatenada!$B:$B=CA$1), 0)), 1))),  0.5, 0))</f>
        <v>1</v>
      </c>
      <c r="CB16" s="47">
        <f t="array" ref="CB16">IF(AND(ISNUMBER(MATCH(CB$2, AsistenciaJetAdminConcatenada!$A:$A, 0)), ISNUMBER(MATCH(CB$1, AsistenciaJetAdminConcatenada!$B:$B, 0)), ISNUMBER(SEARCH($A16,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ISNUMBER(SEARCH($A16, INDEX(AsistenciaJetAdminConcatenada!$D:$D, MATCH(1, (AsistenciaJetAdminConcatenada!$A:$A=CB$2)*(AsistenciaJetAdminConcatenada!$B:$B=CB$1), 0)), 1))),  0.5, 0))</f>
        <v>0</v>
      </c>
      <c r="CC16" s="47">
        <f t="array" ref="CC16">IF(AND(ISNUMBER(MATCH(CC$2, AsistenciaJetAdminConcatenada!$A:$A, 0)), ISNUMBER(MATCH(CC$1, AsistenciaJetAdminConcatenada!$B:$B, 0)), ISNUMBER(SEARCH($A16,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ISNUMBER(SEARCH($A16, INDEX(AsistenciaJetAdminConcatenada!$D:$D, MATCH(1, (AsistenciaJetAdminConcatenada!$A:$A=CC$2)*(AsistenciaJetAdminConcatenada!$B:$B=CC$1), 0)), 1))),  0.5, 0))</f>
        <v>1</v>
      </c>
      <c r="CD16" s="47">
        <f t="array" ref="CD16">IF(AND(ISNUMBER(MATCH(CD$2, AsistenciaJetAdminConcatenada!$A:$A, 0)), ISNUMBER(MATCH(CD$1, AsistenciaJetAdminConcatenada!$B:$B, 0)), ISNUMBER(SEARCH($A16,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ISNUMBER(SEARCH($A16, INDEX(AsistenciaJetAdminConcatenada!$D:$D, MATCH(1, (AsistenciaJetAdminConcatenada!$A:$A=CD$2)*(AsistenciaJetAdminConcatenada!$B:$B=CD$1), 0)), 1))),  0.5, 0))</f>
        <v>1</v>
      </c>
      <c r="CE16" s="47">
        <f t="array" ref="CE16">IF(AND(ISNUMBER(MATCH(CE$2, AsistenciaJetAdminConcatenada!$A:$A, 0)), ISNUMBER(MATCH(CE$1, AsistenciaJetAdminConcatenada!$B:$B, 0)), ISNUMBER(SEARCH($A16,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ISNUMBER(SEARCH($A16, INDEX(AsistenciaJetAdminConcatenada!$D:$D, MATCH(1, (AsistenciaJetAdminConcatenada!$A:$A=CE$2)*(AsistenciaJetAdminConcatenada!$B:$B=CE$1), 0)), 1))),  0.5, 0))</f>
        <v>1</v>
      </c>
      <c r="CF16" s="47">
        <f t="array" ref="CF16">IF(AND(ISNUMBER(MATCH(CF$2, AsistenciaJetAdminConcatenada!$A:$A, 0)), ISNUMBER(MATCH(CF$1, AsistenciaJetAdminConcatenada!$B:$B, 0)), ISNUMBER(SEARCH($A16,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ISNUMBER(SEARCH($A16, INDEX(AsistenciaJetAdminConcatenada!$D:$D, MATCH(1, (AsistenciaJetAdminConcatenada!$A:$A=CF$2)*(AsistenciaJetAdminConcatenada!$B:$B=CF$1), 0)), 1))),  0.5, 0))</f>
        <v>1</v>
      </c>
      <c r="CG16" s="47">
        <f t="array" ref="CG16">IF(AND(ISNUMBER(MATCH(CG$2, AsistenciaJetAdminConcatenada!$A:$A, 0)), ISNUMBER(MATCH(CG$1, AsistenciaJetAdminConcatenada!$B:$B, 0)), ISNUMBER(SEARCH($A16,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ISNUMBER(SEARCH($A16, INDEX(AsistenciaJetAdminConcatenada!$D:$D, MATCH(1, (AsistenciaJetAdminConcatenada!$A:$A=CG$2)*(AsistenciaJetAdminConcatenada!$B:$B=CG$1), 0)), 1))),  0.5, 0))</f>
        <v>0</v>
      </c>
      <c r="CH16" s="47">
        <f t="array" ref="CH16">IF(AND(ISNUMBER(MATCH(CH$2, AsistenciaJetAdminConcatenada!$A:$A, 0)), ISNUMBER(MATCH(CH$1, AsistenciaJetAdminConcatenada!$B:$B, 0)), ISNUMBER(SEARCH($A16,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ISNUMBER(SEARCH($A16, INDEX(AsistenciaJetAdminConcatenada!$D:$D, MATCH(1, (AsistenciaJetAdminConcatenada!$A:$A=CH$2)*(AsistenciaJetAdminConcatenada!$B:$B=CH$1), 0)), 1))),  0.5, 0))</f>
        <v>0</v>
      </c>
      <c r="CI16" s="47">
        <f t="array" ref="CI16">IF(AND(ISNUMBER(MATCH(CI$2, AsistenciaJetAdminConcatenada!$A:$A, 0)), ISNUMBER(MATCH(CI$1, AsistenciaJetAdminConcatenada!$B:$B, 0)), ISNUMBER(SEARCH($A16,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ISNUMBER(SEARCH($A16, INDEX(AsistenciaJetAdminConcatenada!$D:$D, MATCH(1, (AsistenciaJetAdminConcatenada!$A:$A=CI$2)*(AsistenciaJetAdminConcatenada!$B:$B=CI$1), 0)), 1))),  0.5, 0))</f>
        <v>0</v>
      </c>
      <c r="CJ16" s="47">
        <f t="array" ref="CJ16">IF(AND(ISNUMBER(MATCH(CJ$2, AsistenciaJetAdminConcatenada!$A:$A, 0)), ISNUMBER(MATCH(CJ$1, AsistenciaJetAdminConcatenada!$B:$B, 0)), ISNUMBER(SEARCH($A16,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ISNUMBER(SEARCH($A16, INDEX(AsistenciaJetAdminConcatenada!$D:$D, MATCH(1, (AsistenciaJetAdminConcatenada!$A:$A=CJ$2)*(AsistenciaJetAdminConcatenada!$B:$B=CJ$1), 0)), 1))),  0.5, 0))</f>
        <v>0</v>
      </c>
      <c r="CK16" s="47">
        <f t="array" ref="CK16">IF(AND(ISNUMBER(MATCH(CK$2, AsistenciaJetAdminConcatenada!$A:$A, 0)), ISNUMBER(MATCH(CK$1, AsistenciaJetAdminConcatenada!$B:$B, 0)), ISNUMBER(SEARCH($A16,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ISNUMBER(SEARCH($A16, INDEX(AsistenciaJetAdminConcatenada!$D:$D, MATCH(1, (AsistenciaJetAdminConcatenada!$A:$A=CK$2)*(AsistenciaJetAdminConcatenada!$B:$B=CK$1), 0)), 1))),  0.5, 0))</f>
        <v>0</v>
      </c>
      <c r="CL16" s="47">
        <f t="array" ref="CL16">IF(AND(ISNUMBER(MATCH(CL$2, AsistenciaJetAdminConcatenada!$A:$A, 0)), ISNUMBER(MATCH(CL$1, AsistenciaJetAdminConcatenada!$B:$B, 0)), ISNUMBER(SEARCH($A16,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ISNUMBER(SEARCH($A16, INDEX(AsistenciaJetAdminConcatenada!$D:$D, MATCH(1, (AsistenciaJetAdminConcatenada!$A:$A=CL$2)*(AsistenciaJetAdminConcatenada!$B:$B=CL$1), 0)), 1))),  0.5, 0))</f>
        <v>1</v>
      </c>
      <c r="CM16" s="47">
        <f t="array" ref="CM16">IF(AND(ISNUMBER(MATCH(CM$2, AsistenciaJetAdminConcatenada!$A:$A, 0)), ISNUMBER(MATCH(CM$1, AsistenciaJetAdminConcatenada!$B:$B, 0)), ISNUMBER(SEARCH($A16,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ISNUMBER(SEARCH($A16, INDEX(AsistenciaJetAdminConcatenada!$D:$D, MATCH(1, (AsistenciaJetAdminConcatenada!$A:$A=CM$2)*(AsistenciaJetAdminConcatenada!$B:$B=CM$1), 0)), 1))),  0.5, 0))</f>
        <v>1</v>
      </c>
      <c r="CN16" s="47">
        <f t="array" ref="CN16">IF(AND(ISNUMBER(MATCH(CN$2, AsistenciaJetAdminConcatenada!$A:$A, 0)), ISNUMBER(MATCH(CN$1, AsistenciaJetAdminConcatenada!$B:$B, 0)), ISNUMBER(SEARCH($A16,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ISNUMBER(SEARCH($A16, INDEX(AsistenciaJetAdminConcatenada!$D:$D, MATCH(1, (AsistenciaJetAdminConcatenada!$A:$A=CN$2)*(AsistenciaJetAdminConcatenada!$B:$B=CN$1), 0)), 1))),  0.5, 0))</f>
        <v>1</v>
      </c>
      <c r="CO16" s="47">
        <f t="array" ref="CO16">IF(AND(ISNUMBER(MATCH(CO$2, AsistenciaJetAdminConcatenada!$A:$A, 0)), ISNUMBER(MATCH(CO$1, AsistenciaJetAdminConcatenada!$B:$B, 0)), ISNUMBER(SEARCH($A16,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ISNUMBER(SEARCH($A16, INDEX(AsistenciaJetAdminConcatenada!$D:$D, MATCH(1, (AsistenciaJetAdminConcatenada!$A:$A=CO$2)*(AsistenciaJetAdminConcatenada!$B:$B=CO$1), 0)), 1))),  0.5, 0))</f>
        <v>1</v>
      </c>
      <c r="CP16" s="8">
        <v>1.0</v>
      </c>
      <c r="CQ16" s="47">
        <f t="array" ref="CQ16">IF(AND(ISNUMBER(MATCH(CQ$2, AsistenciaJetAdminConcatenada!$A:$A, 0)), ISNUMBER(MATCH(CQ$1, AsistenciaJetAdminConcatenada!$B:$B, 0)), ISNUMBER(SEARCH($A16,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ISNUMBER(SEARCH($A16, INDEX(AsistenciaJetAdminConcatenada!$D:$D, MATCH(1, (AsistenciaJetAdminConcatenada!$A:$A=CQ$2)*(AsistenciaJetAdminConcatenada!$B:$B=CQ$1), 0)), 1))),  0.5, 0))</f>
        <v>0</v>
      </c>
      <c r="CR16" s="47">
        <f t="array" ref="CR16">IF(AND(ISNUMBER(MATCH(CR$2, AsistenciaJetAdminConcatenada!$A:$A, 0)), ISNUMBER(MATCH(CR$1, AsistenciaJetAdminConcatenada!$B:$B, 0)), ISNUMBER(SEARCH($A16,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ISNUMBER(SEARCH($A16, INDEX(AsistenciaJetAdminConcatenada!$D:$D, MATCH(1, (AsistenciaJetAdminConcatenada!$A:$A=CR$2)*(AsistenciaJetAdminConcatenada!$B:$B=CR$1), 0)), 1))),  0.5, 0))</f>
        <v>1</v>
      </c>
      <c r="CS16" s="47">
        <f t="array" ref="CS16">IF(AND(ISNUMBER(MATCH(CS$2, AsistenciaJetAdminConcatenada!$A:$A, 0)), ISNUMBER(MATCH(CS$1, AsistenciaJetAdminConcatenada!$B:$B, 0)), ISNUMBER(SEARCH($A16,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ISNUMBER(SEARCH($A16, INDEX(AsistenciaJetAdminConcatenada!$D:$D, MATCH(1, (AsistenciaJetAdminConcatenada!$A:$A=CS$2)*(AsistenciaJetAdminConcatenada!$B:$B=CS$1), 0)), 1))),  0.5, 0))</f>
        <v>0</v>
      </c>
      <c r="CT16" s="47">
        <f t="array" ref="CT16">IF(AND(ISNUMBER(MATCH(CT$2, AsistenciaJetAdminConcatenada!$A:$A, 0)), ISNUMBER(MATCH(CT$1, AsistenciaJetAdminConcatenada!$B:$B, 0)), ISNUMBER(SEARCH($A16,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ISNUMBER(SEARCH($A16, INDEX(AsistenciaJetAdminConcatenada!$D:$D, MATCH(1, (AsistenciaJetAdminConcatenada!$A:$A=CT$2)*(AsistenciaJetAdminConcatenada!$B:$B=CT$1), 0)), 1))),  0.5, 0))</f>
        <v>0</v>
      </c>
      <c r="CU16" s="47">
        <f t="array" ref="CU16">IF(AND(ISNUMBER(MATCH(CU$2, AsistenciaJetAdminConcatenada!$A:$A, 0)), ISNUMBER(MATCH(CU$1, AsistenciaJetAdminConcatenada!$B:$B, 0)), ISNUMBER(SEARCH($A16,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ISNUMBER(SEARCH($A16, INDEX(AsistenciaJetAdminConcatenada!$D:$D, MATCH(1, (AsistenciaJetAdminConcatenada!$A:$A=CU$2)*(AsistenciaJetAdminConcatenada!$B:$B=CU$1), 0)), 1))),  0.5, 0))</f>
        <v>0</v>
      </c>
      <c r="CV16" s="47">
        <f t="array" ref="CV16">IF(AND(ISNUMBER(MATCH(CV$2, AsistenciaJetAdminConcatenada!$A:$A, 0)), ISNUMBER(MATCH(CV$1, AsistenciaJetAdminConcatenada!$B:$B, 0)), ISNUMBER(SEARCH($A16,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ISNUMBER(SEARCH($A16, INDEX(AsistenciaJetAdminConcatenada!$D:$D, MATCH(1, (AsistenciaJetAdminConcatenada!$A:$A=CV$2)*(AsistenciaJetAdminConcatenada!$B:$B=CV$1), 0)), 1))),  0.5, 0))</f>
        <v>0</v>
      </c>
      <c r="CW16" s="47">
        <f t="array" ref="CW16">IF(AND(ISNUMBER(MATCH(CW$2, AsistenciaJetAdminConcatenada!$A:$A, 0)), ISNUMBER(MATCH(CW$1, AsistenciaJetAdminConcatenada!$B:$B, 0)), ISNUMBER(SEARCH($A16,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ISNUMBER(SEARCH($A16, INDEX(AsistenciaJetAdminConcatenada!$D:$D, MATCH(1, (AsistenciaJetAdminConcatenada!$A:$A=CW$2)*(AsistenciaJetAdminConcatenada!$B:$B=CW$1), 0)), 1))),  0.5, 0))</f>
        <v>0</v>
      </c>
      <c r="CX16" s="47">
        <f t="array" ref="CX16">IF(AND(ISNUMBER(MATCH(CX$2, AsistenciaJetAdminConcatenada!$A:$A, 0)), ISNUMBER(MATCH(CX$1, AsistenciaJetAdminConcatenada!$B:$B, 0)), ISNUMBER(SEARCH($A16,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ISNUMBER(SEARCH($A16, INDEX(AsistenciaJetAdminConcatenada!$D:$D, MATCH(1, (AsistenciaJetAdminConcatenada!$A:$A=CX$2)*(AsistenciaJetAdminConcatenada!$B:$B=CX$1), 0)), 1))),  0.5, 0))</f>
        <v>0</v>
      </c>
      <c r="CY16" s="47">
        <f t="array" ref="CY16">IF(AND(ISNUMBER(MATCH(CY$2, AsistenciaJetAdminConcatenada!$A:$A, 0)), ISNUMBER(MATCH(CY$1, AsistenciaJetAdminConcatenada!$B:$B, 0)), ISNUMBER(SEARCH($A16,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ISNUMBER(SEARCH($A16, INDEX(AsistenciaJetAdminConcatenada!$D:$D, MATCH(1, (AsistenciaJetAdminConcatenada!$A:$A=CY$2)*(AsistenciaJetAdminConcatenada!$B:$B=CY$1), 0)), 1))),  0.5, 0))</f>
        <v>0</v>
      </c>
      <c r="CZ16" s="47">
        <f t="array" ref="CZ16">IF(AND(ISNUMBER(MATCH(CZ$2, AsistenciaJetAdminConcatenada!$A:$A, 0)), ISNUMBER(MATCH(CZ$1, AsistenciaJetAdminConcatenada!$B:$B, 0)), ISNUMBER(SEARCH($A16,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ISNUMBER(SEARCH($A16, INDEX(AsistenciaJetAdminConcatenada!$D:$D, MATCH(1, (AsistenciaJetAdminConcatenada!$A:$A=CZ$2)*(AsistenciaJetAdminConcatenada!$B:$B=CZ$1), 0)), 1))),  0.5, 0))</f>
        <v>0</v>
      </c>
      <c r="DA16" s="47">
        <f t="array" ref="DA16">IF(AND(ISNUMBER(MATCH(DA$2, AsistenciaJetAdminConcatenada!$A:$A, 0)), ISNUMBER(MATCH(DA$1, AsistenciaJetAdminConcatenada!$B:$B, 0)), ISNUMBER(SEARCH($A16,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ISNUMBER(SEARCH($A16, INDEX(AsistenciaJetAdminConcatenada!$D:$D, MATCH(1, (AsistenciaJetAdminConcatenada!$A:$A=DA$2)*(AsistenciaJetAdminConcatenada!$B:$B=DA$1), 0)), 1))),  0.5, 0))</f>
        <v>0</v>
      </c>
      <c r="DB16" s="47">
        <f t="array" ref="DB16">IF(AND(ISNUMBER(MATCH(DB$2, AsistenciaJetAdminConcatenada!$A:$A, 0)), ISNUMBER(MATCH(DB$1, AsistenciaJetAdminConcatenada!$B:$B, 0)), ISNUMBER(SEARCH($A16,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ISNUMBER(SEARCH($A16, INDEX(AsistenciaJetAdminConcatenada!$D:$D, MATCH(1, (AsistenciaJetAdminConcatenada!$A:$A=DB$2)*(AsistenciaJetAdminConcatenada!$B:$B=DB$1), 0)), 1))),  0.5, 0))</f>
        <v>0</v>
      </c>
      <c r="DC16" s="47">
        <f t="array" ref="DC16">IF(AND(ISNUMBER(MATCH(DC$2, AsistenciaJetAdminConcatenada!$A:$A, 0)), ISNUMBER(MATCH(DC$1, AsistenciaJetAdminConcatenada!$B:$B, 0)), ISNUMBER(SEARCH($A16,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ISNUMBER(SEARCH($A16, INDEX(AsistenciaJetAdminConcatenada!$D:$D, MATCH(1, (AsistenciaJetAdminConcatenada!$A:$A=DC$2)*(AsistenciaJetAdminConcatenada!$B:$B=DC$1), 0)), 1))),  0.5, 0))</f>
        <v>0</v>
      </c>
      <c r="DD16" s="47">
        <f t="array" ref="DD16">IF(AND(ISNUMBER(MATCH(DD$2, AsistenciaJetAdminConcatenada!$A:$A, 0)), ISNUMBER(MATCH(DD$1, AsistenciaJetAdminConcatenada!$B:$B, 0)), ISNUMBER(SEARCH($A16,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ISNUMBER(SEARCH($A16, INDEX(AsistenciaJetAdminConcatenada!$D:$D, MATCH(1, (AsistenciaJetAdminConcatenada!$A:$A=DD$2)*(AsistenciaJetAdminConcatenada!$B:$B=DD$1), 0)), 1))),  0.5, 0))</f>
        <v>0</v>
      </c>
      <c r="DE16" s="47">
        <f t="array" ref="DE16">IF(AND(ISNUMBER(MATCH(DE$2, AsistenciaJetAdminConcatenada!$A:$A, 0)), ISNUMBER(MATCH(DE$1, AsistenciaJetAdminConcatenada!$B:$B, 0)), ISNUMBER(SEARCH($A16,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ISNUMBER(SEARCH($A16, INDEX(AsistenciaJetAdminConcatenada!$D:$D, MATCH(1, (AsistenciaJetAdminConcatenada!$A:$A=DE$2)*(AsistenciaJetAdminConcatenada!$B:$B=DE$1), 0)), 1))),  0.5, 0))</f>
        <v>0</v>
      </c>
      <c r="DF16" s="47">
        <f t="array" ref="DF16">IF(AND(ISNUMBER(MATCH(DF$2, AsistenciaJetAdminConcatenada!$A:$A, 0)), ISNUMBER(MATCH(DF$1, AsistenciaJetAdminConcatenada!$B:$B, 0)), ISNUMBER(SEARCH($A16,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ISNUMBER(SEARCH($A16, INDEX(AsistenciaJetAdminConcatenada!$D:$D, MATCH(1, (AsistenciaJetAdminConcatenada!$A:$A=DF$2)*(AsistenciaJetAdminConcatenada!$B:$B=DF$1), 0)), 1))),  0.5, 0))</f>
        <v>0</v>
      </c>
      <c r="DG16" s="47">
        <f t="array" ref="DG16">IF(AND(ISNUMBER(MATCH(DG$2, AsistenciaJetAdminConcatenada!$A:$A, 0)), ISNUMBER(MATCH(DG$1, AsistenciaJetAdminConcatenada!$B:$B, 0)), ISNUMBER(SEARCH($A16,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ISNUMBER(SEARCH($A16, INDEX(AsistenciaJetAdminConcatenada!$D:$D, MATCH(1, (AsistenciaJetAdminConcatenada!$A:$A=DG$2)*(AsistenciaJetAdminConcatenada!$B:$B=DG$1), 0)), 1))),  0.5, 0))</f>
        <v>0</v>
      </c>
      <c r="DH16" s="47">
        <f t="array" ref="DH16">IF(AND(ISNUMBER(MATCH(DH$2, AsistenciaJetAdminConcatenada!$A:$A, 0)), ISNUMBER(MATCH(DH$1, AsistenciaJetAdminConcatenada!$B:$B, 0)), ISNUMBER(SEARCH($A16,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ISNUMBER(SEARCH($A16, INDEX(AsistenciaJetAdminConcatenada!$D:$D, MATCH(1, (AsistenciaJetAdminConcatenada!$A:$A=DH$2)*(AsistenciaJetAdminConcatenada!$B:$B=DH$1), 0)), 1))),  0.5, 0))</f>
        <v>0</v>
      </c>
      <c r="DI16" s="47">
        <f t="array" ref="DI16">IF(AND(ISNUMBER(MATCH(DI$2, AsistenciaJetAdminConcatenada!$A:$A, 0)), ISNUMBER(MATCH(DI$1, AsistenciaJetAdminConcatenada!$B:$B, 0)), ISNUMBER(SEARCH($A16,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ISNUMBER(SEARCH($A16, INDEX(AsistenciaJetAdminConcatenada!$D:$D, MATCH(1, (AsistenciaJetAdminConcatenada!$A:$A=DI$2)*(AsistenciaJetAdminConcatenada!$B:$B=DI$1), 0)), 1))),  0.5, 0))</f>
        <v>0</v>
      </c>
      <c r="DJ16" s="47">
        <f t="array" ref="DJ16">IF(AND(ISNUMBER(MATCH(DJ$2, AsistenciaJetAdminConcatenada!$A:$A, 0)), ISNUMBER(MATCH(DJ$1, AsistenciaJetAdminConcatenada!$B:$B, 0)), ISNUMBER(SEARCH($A16,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ISNUMBER(SEARCH($A16, INDEX(AsistenciaJetAdminConcatenada!$D:$D, MATCH(1, (AsistenciaJetAdminConcatenada!$A:$A=DJ$2)*(AsistenciaJetAdminConcatenada!$B:$B=DJ$1), 0)), 1))),  0.5, 0))</f>
        <v>0</v>
      </c>
      <c r="DK16" s="47">
        <f t="array" ref="DK16">IF(AND(ISNUMBER(MATCH(DK$2, AsistenciaJetAdminConcatenada!$A:$A, 0)), ISNUMBER(MATCH(DK$1, AsistenciaJetAdminConcatenada!$B:$B, 0)), ISNUMBER(SEARCH($A16,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ISNUMBER(SEARCH($A16, INDEX(AsistenciaJetAdminConcatenada!$D:$D, MATCH(1, (AsistenciaJetAdminConcatenada!$A:$A=DK$2)*(AsistenciaJetAdminConcatenada!$B:$B=DK$1), 0)), 1))),  0.5, 0))</f>
        <v>0</v>
      </c>
      <c r="DL16" s="47">
        <f t="array" ref="DL16">IF(AND(ISNUMBER(MATCH(DL$2, AsistenciaJetAdminConcatenada!$A:$A, 0)), ISNUMBER(MATCH(DL$1, AsistenciaJetAdminConcatenada!$B:$B, 0)), ISNUMBER(SEARCH($A16,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ISNUMBER(SEARCH($A16, INDEX(AsistenciaJetAdminConcatenada!$D:$D, MATCH(1, (AsistenciaJetAdminConcatenada!$A:$A=DL$2)*(AsistenciaJetAdminConcatenada!$B:$B=DL$1), 0)), 1))),  0.5, 0))</f>
        <v>0</v>
      </c>
      <c r="DM16" s="47">
        <f t="array" ref="DM16">IF(AND(ISNUMBER(MATCH(DM$2, AsistenciaJetAdminConcatenada!$A:$A, 0)), ISNUMBER(MATCH(DM$1, AsistenciaJetAdminConcatenada!$B:$B, 0)), ISNUMBER(SEARCH($A16,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ISNUMBER(SEARCH($A16, INDEX(AsistenciaJetAdminConcatenada!$D:$D, MATCH(1, (AsistenciaJetAdminConcatenada!$A:$A=DM$2)*(AsistenciaJetAdminConcatenada!$B:$B=DM$1), 0)), 1))),  0.5, 0))</f>
        <v>0</v>
      </c>
      <c r="DN16" s="47">
        <f t="array" ref="DN16">IF(AND(ISNUMBER(MATCH(DN$2, AsistenciaJetAdminConcatenada!$A:$A, 0)), ISNUMBER(MATCH(DN$1, AsistenciaJetAdminConcatenada!$B:$B, 0)), ISNUMBER(SEARCH($A16,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ISNUMBER(SEARCH($A16, INDEX(AsistenciaJetAdminConcatenada!$D:$D, MATCH(1, (AsistenciaJetAdminConcatenada!$A:$A=DN$2)*(AsistenciaJetAdminConcatenada!$B:$B=DN$1), 0)), 1))),  0.5, 0))</f>
        <v>0</v>
      </c>
      <c r="DO16" s="47">
        <f t="array" ref="DO16">IF(AND(ISNUMBER(MATCH(DO$2, AsistenciaJetAdminConcatenada!$A:$A, 0)), ISNUMBER(MATCH(DO$1, AsistenciaJetAdminConcatenada!$B:$B, 0)), ISNUMBER(SEARCH($A16,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ISNUMBER(SEARCH($A16, INDEX(AsistenciaJetAdminConcatenada!$D:$D, MATCH(1, (AsistenciaJetAdminConcatenada!$A:$A=DO$2)*(AsistenciaJetAdminConcatenada!$B:$B=DO$1), 0)), 1))),  0.5, 0))</f>
        <v>0</v>
      </c>
      <c r="DP16" s="47">
        <f t="array" ref="DP16">IF(AND(ISNUMBER(MATCH(DP$2, AsistenciaJetAdminConcatenada!$A:$A, 0)), ISNUMBER(MATCH(DP$1, AsistenciaJetAdminConcatenada!$B:$B, 0)), ISNUMBER(SEARCH($A16,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ISNUMBER(SEARCH($A16, INDEX(AsistenciaJetAdminConcatenada!$D:$D, MATCH(1, (AsistenciaJetAdminConcatenada!$A:$A=DP$2)*(AsistenciaJetAdminConcatenada!$B:$B=DP$1), 0)), 1))),  0.5, 0))</f>
        <v>0</v>
      </c>
      <c r="DQ16" s="47">
        <f t="array" ref="DQ16">IF(AND(ISNUMBER(MATCH(DQ$2, AsistenciaJetAdminConcatenada!$A:$A, 0)), ISNUMBER(MATCH(DQ$1, AsistenciaJetAdminConcatenada!$B:$B, 0)), ISNUMBER(SEARCH($A16,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ISNUMBER(SEARCH($A16, INDEX(AsistenciaJetAdminConcatenada!$D:$D, MATCH(1, (AsistenciaJetAdminConcatenada!$A:$A=DQ$2)*(AsistenciaJetAdminConcatenada!$B:$B=DQ$1), 0)), 1))),  0.5, 0))</f>
        <v>0</v>
      </c>
      <c r="DR16" s="47">
        <f t="array" ref="DR16">IF(AND(ISNUMBER(MATCH(DR$2, AsistenciaJetAdminConcatenada!$A:$A, 0)), ISNUMBER(MATCH(DR$1, AsistenciaJetAdminConcatenada!$B:$B, 0)), ISNUMBER(SEARCH($A16,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ISNUMBER(SEARCH($A16, INDEX(AsistenciaJetAdminConcatenada!$D:$D, MATCH(1, (AsistenciaJetAdminConcatenada!$A:$A=DR$2)*(AsistenciaJetAdminConcatenada!$B:$B=DR$1), 0)), 1))),  0.5, 0))</f>
        <v>0</v>
      </c>
      <c r="DS16" s="47">
        <f t="array" ref="DS16">IF(AND(ISNUMBER(MATCH(DS$2, AsistenciaJetAdminConcatenada!$A:$A, 0)), ISNUMBER(MATCH(DS$1, AsistenciaJetAdminConcatenada!$B:$B, 0)), ISNUMBER(SEARCH($A16,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ISNUMBER(SEARCH($A16, INDEX(AsistenciaJetAdminConcatenada!$D:$D, MATCH(1, (AsistenciaJetAdminConcatenada!$A:$A=DS$2)*(AsistenciaJetAdminConcatenada!$B:$B=DS$1), 0)), 1))),  0.5, 0))</f>
        <v>0</v>
      </c>
      <c r="DT16" s="47">
        <f t="array" ref="DT16">IF(AND(ISNUMBER(MATCH(DT$2, AsistenciaJetAdminConcatenada!$A:$A, 0)), ISNUMBER(MATCH(DT$1, AsistenciaJetAdminConcatenada!$B:$B, 0)), ISNUMBER(SEARCH($A16,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ISNUMBER(SEARCH($A16, INDEX(AsistenciaJetAdminConcatenada!$D:$D, MATCH(1, (AsistenciaJetAdminConcatenada!$A:$A=DT$2)*(AsistenciaJetAdminConcatenada!$B:$B=DT$1), 0)), 1))),  0.5, 0))</f>
        <v>0</v>
      </c>
      <c r="DU16" s="47">
        <f t="array" ref="DU16">IF(AND(ISNUMBER(MATCH(DU$2, AsistenciaJetAdminConcatenada!$A:$A, 0)), ISNUMBER(MATCH(DU$1, AsistenciaJetAdminConcatenada!$B:$B, 0)), ISNUMBER(SEARCH($A16,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ISNUMBER(SEARCH($A16, INDEX(AsistenciaJetAdminConcatenada!$D:$D, MATCH(1, (AsistenciaJetAdminConcatenada!$A:$A=DU$2)*(AsistenciaJetAdminConcatenada!$B:$B=DU$1), 0)), 1))),  0.5, 0))</f>
        <v>0</v>
      </c>
      <c r="DV16" s="47">
        <f t="array" ref="DV16">IF(AND(ISNUMBER(MATCH(DV$2, AsistenciaJetAdminConcatenada!$A:$A, 0)), ISNUMBER(MATCH(DV$1, AsistenciaJetAdminConcatenada!$B:$B, 0)), ISNUMBER(SEARCH($A16,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ISNUMBER(SEARCH($A16, INDEX(AsistenciaJetAdminConcatenada!$D:$D, MATCH(1, (AsistenciaJetAdminConcatenada!$A:$A=DV$2)*(AsistenciaJetAdminConcatenada!$B:$B=DV$1), 0)), 1))),  0.5, 0))</f>
        <v>0</v>
      </c>
      <c r="DW16" s="47">
        <f t="array" ref="DW16">IF(AND(ISNUMBER(MATCH(DW$2, AsistenciaJetAdminConcatenada!$A:$A, 0)), ISNUMBER(MATCH(DW$1, AsistenciaJetAdminConcatenada!$B:$B, 0)), ISNUMBER(SEARCH($A16,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ISNUMBER(SEARCH($A16, INDEX(AsistenciaJetAdminConcatenada!$D:$D, MATCH(1, (AsistenciaJetAdminConcatenada!$A:$A=DW$2)*(AsistenciaJetAdminConcatenada!$B:$B=DW$1), 0)), 1))),  0.5, 0))</f>
        <v>0</v>
      </c>
      <c r="DX16" s="47">
        <f t="array" ref="DX16">IF(AND(ISNUMBER(MATCH(DX$2, AsistenciaJetAdminConcatenada!$A:$A, 0)), ISNUMBER(MATCH(DX$1, AsistenciaJetAdminConcatenada!$B:$B, 0)), ISNUMBER(SEARCH($A16,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ISNUMBER(SEARCH($A16, INDEX(AsistenciaJetAdminConcatenada!$D:$D, MATCH(1, (AsistenciaJetAdminConcatenada!$A:$A=DX$2)*(AsistenciaJetAdminConcatenada!$B:$B=DX$1), 0)), 1))),  0.5, 0))</f>
        <v>0</v>
      </c>
      <c r="DY16" s="47">
        <f t="array" ref="DY16">IF(AND(ISNUMBER(MATCH(DY$2, AsistenciaJetAdminConcatenada!$A:$A, 0)), ISNUMBER(MATCH(DY$1, AsistenciaJetAdminConcatenada!$B:$B, 0)), ISNUMBER(SEARCH($A16,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ISNUMBER(SEARCH($A16, INDEX(AsistenciaJetAdminConcatenada!$D:$D, MATCH(1, (AsistenciaJetAdminConcatenada!$A:$A=DY$2)*(AsistenciaJetAdminConcatenada!$B:$B=DY$1), 0)), 1))),  0.5, 0))</f>
        <v>0</v>
      </c>
      <c r="DZ16" s="47">
        <f t="array" ref="DZ16">IF(AND(ISNUMBER(MATCH(DZ$2, AsistenciaJetAdminConcatenada!$A:$A, 0)), ISNUMBER(MATCH(DZ$1, AsistenciaJetAdminConcatenada!$B:$B, 0)), ISNUMBER(SEARCH($A16,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ISNUMBER(SEARCH($A16, INDEX(AsistenciaJetAdminConcatenada!$D:$D, MATCH(1, (AsistenciaJetAdminConcatenada!$A:$A=DZ$2)*(AsistenciaJetAdminConcatenada!$B:$B=DZ$1), 0)), 1))),  0.5, 0))</f>
        <v>0</v>
      </c>
      <c r="EA16" s="47">
        <f t="array" ref="EA16">IF(AND(ISNUMBER(MATCH(EA$2, AsistenciaJetAdminConcatenada!$A:$A, 0)), ISNUMBER(MATCH(EA$1, AsistenciaJetAdminConcatenada!$B:$B, 0)), ISNUMBER(SEARCH($A16,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ISNUMBER(SEARCH($A16, INDEX(AsistenciaJetAdminConcatenada!$D:$D, MATCH(1, (AsistenciaJetAdminConcatenada!$A:$A=EA$2)*(AsistenciaJetAdminConcatenada!$B:$B=EA$1), 0)), 1))),  0.5, 0))</f>
        <v>0</v>
      </c>
      <c r="EB16" s="47">
        <f t="array" ref="EB16">IF(AND(ISNUMBER(MATCH(EB$2, AsistenciaJetAdminConcatenada!$A:$A, 0)), ISNUMBER(MATCH(EB$1, AsistenciaJetAdminConcatenada!$B:$B, 0)), ISNUMBER(SEARCH($A16,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ISNUMBER(SEARCH($A16, INDEX(AsistenciaJetAdminConcatenada!$D:$D, MATCH(1, (AsistenciaJetAdminConcatenada!$A:$A=EB$2)*(AsistenciaJetAdminConcatenada!$B:$B=EB$1), 0)), 1))),  0.5, 0))</f>
        <v>0</v>
      </c>
      <c r="EC16" s="47">
        <f t="array" ref="EC16">IF(AND(ISNUMBER(MATCH(EC$2, AsistenciaJetAdminConcatenada!$A:$A, 0)), ISNUMBER(MATCH(EC$1, AsistenciaJetAdminConcatenada!$B:$B, 0)), ISNUMBER(SEARCH($A16,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ISNUMBER(SEARCH($A16, INDEX(AsistenciaJetAdminConcatenada!$D:$D, MATCH(1, (AsistenciaJetAdminConcatenada!$A:$A=EC$2)*(AsistenciaJetAdminConcatenada!$B:$B=EC$1), 0)), 1))),  0.5, 0))</f>
        <v>0</v>
      </c>
      <c r="ED16" s="47">
        <f t="array" ref="ED16">IF(AND(ISNUMBER(MATCH(ED$2, AsistenciaJetAdminConcatenada!$A:$A, 0)), ISNUMBER(MATCH(ED$1, AsistenciaJetAdminConcatenada!$B:$B, 0)), ISNUMBER(SEARCH($A16,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ISNUMBER(SEARCH($A16, INDEX(AsistenciaJetAdminConcatenada!$D:$D, MATCH(1, (AsistenciaJetAdminConcatenada!$A:$A=ED$2)*(AsistenciaJetAdminConcatenada!$B:$B=ED$1), 0)), 1))),  0.5, 0))</f>
        <v>0</v>
      </c>
      <c r="EE16" s="47">
        <f t="array" ref="EE16">IF(AND(ISNUMBER(MATCH(EE$2, AsistenciaJetAdminConcatenada!$A:$A, 0)), ISNUMBER(MATCH(EE$1, AsistenciaJetAdminConcatenada!$B:$B, 0)), ISNUMBER(SEARCH($A16,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ISNUMBER(SEARCH($A16, INDEX(AsistenciaJetAdminConcatenada!$D:$D, MATCH(1, (AsistenciaJetAdminConcatenada!$A:$A=EE$2)*(AsistenciaJetAdminConcatenada!$B:$B=EE$1), 0)), 1))),  0.5, 0))</f>
        <v>0</v>
      </c>
      <c r="EF16" s="47">
        <f t="array" ref="EF16">IF(AND(ISNUMBER(MATCH(EF$2, AsistenciaJetAdminConcatenada!$A:$A, 0)), ISNUMBER(MATCH(EF$1, AsistenciaJetAdminConcatenada!$B:$B, 0)), ISNUMBER(SEARCH($A16,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ISNUMBER(SEARCH($A16, INDEX(AsistenciaJetAdminConcatenada!$D:$D, MATCH(1, (AsistenciaJetAdminConcatenada!$A:$A=EF$2)*(AsistenciaJetAdminConcatenada!$B:$B=EF$1), 0)), 1))),  0.5, 0))</f>
        <v>0</v>
      </c>
      <c r="EG16" s="47">
        <f t="array" ref="EG16">IF(AND(ISNUMBER(MATCH(EG$2, AsistenciaJetAdminConcatenada!$A:$A, 0)), ISNUMBER(MATCH(EG$1, AsistenciaJetAdminConcatenada!$B:$B, 0)), ISNUMBER(SEARCH($A16,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ISNUMBER(SEARCH($A16, INDEX(AsistenciaJetAdminConcatenada!$D:$D, MATCH(1, (AsistenciaJetAdminConcatenada!$A:$A=EG$2)*(AsistenciaJetAdminConcatenada!$B:$B=EG$1), 0)), 1))),  0.5, 0))</f>
        <v>0</v>
      </c>
      <c r="EH16" s="47">
        <f t="array" ref="EH16">IF(AND(ISNUMBER(MATCH(EH$2, AsistenciaJetAdminConcatenada!$A:$A, 0)), ISNUMBER(MATCH(EH$1, AsistenciaJetAdminConcatenada!$B:$B, 0)), ISNUMBER(SEARCH($A16,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ISNUMBER(SEARCH($A16, INDEX(AsistenciaJetAdminConcatenada!$D:$D, MATCH(1, (AsistenciaJetAdminConcatenada!$A:$A=EH$2)*(AsistenciaJetAdminConcatenada!$B:$B=EH$1), 0)), 1))),  0.5, 0))</f>
        <v>0</v>
      </c>
      <c r="EI16" s="47">
        <f t="array" ref="EI16">IF(AND(ISNUMBER(MATCH(EI$2, AsistenciaJetAdminConcatenada!$A:$A, 0)), ISNUMBER(MATCH(EI$1, AsistenciaJetAdminConcatenada!$B:$B, 0)), ISNUMBER(SEARCH($A16,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ISNUMBER(SEARCH($A16, INDEX(AsistenciaJetAdminConcatenada!$D:$D, MATCH(1, (AsistenciaJetAdminConcatenada!$A:$A=EI$2)*(AsistenciaJetAdminConcatenada!$B:$B=EI$1), 0)), 1))),  0.5, 0))</f>
        <v>0</v>
      </c>
      <c r="EJ16" s="47">
        <f t="array" ref="EJ16">IF(AND(ISNUMBER(MATCH(EJ$2, AsistenciaJetAdminConcatenada!$A:$A, 0)), ISNUMBER(MATCH(EJ$1, AsistenciaJetAdminConcatenada!$B:$B, 0)), ISNUMBER(SEARCH($A16,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ISNUMBER(SEARCH($A16, INDEX(AsistenciaJetAdminConcatenada!$D:$D, MATCH(1, (AsistenciaJetAdminConcatenada!$A:$A=EJ$2)*(AsistenciaJetAdminConcatenada!$B:$B=EJ$1), 0)), 1))),  0.5, 0))</f>
        <v>0</v>
      </c>
      <c r="EK16" s="47">
        <f t="array" ref="EK16">IF(AND(ISNUMBER(MATCH(EK$2, AsistenciaJetAdminConcatenada!$A:$A, 0)), ISNUMBER(MATCH(EK$1, AsistenciaJetAdminConcatenada!$B:$B, 0)), ISNUMBER(SEARCH($A16,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ISNUMBER(SEARCH($A16, INDEX(AsistenciaJetAdminConcatenada!$D:$D, MATCH(1, (AsistenciaJetAdminConcatenada!$A:$A=EK$2)*(AsistenciaJetAdminConcatenada!$B:$B=EK$1), 0)), 1))),  0.5, 0))</f>
        <v>0</v>
      </c>
      <c r="EL16" s="47">
        <f t="array" ref="EL16">IF(AND(ISNUMBER(MATCH(EL$2, AsistenciaJetAdminConcatenada!$A:$A, 0)), ISNUMBER(MATCH(EL$1, AsistenciaJetAdminConcatenada!$B:$B, 0)), ISNUMBER(SEARCH($A16,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ISNUMBER(SEARCH($A16, INDEX(AsistenciaJetAdminConcatenada!$D:$D, MATCH(1, (AsistenciaJetAdminConcatenada!$A:$A=EL$2)*(AsistenciaJetAdminConcatenada!$B:$B=EL$1), 0)), 1))),  0.5, 0))</f>
        <v>0</v>
      </c>
      <c r="EM16" s="47">
        <f t="array" ref="EM16">IF(AND(ISNUMBER(MATCH(EM$2, AsistenciaJetAdminConcatenada!$A:$A, 0)), ISNUMBER(MATCH(EM$1, AsistenciaJetAdminConcatenada!$B:$B, 0)), ISNUMBER(SEARCH($A16,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ISNUMBER(SEARCH($A16, INDEX(AsistenciaJetAdminConcatenada!$D:$D, MATCH(1, (AsistenciaJetAdminConcatenada!$A:$A=EM$2)*(AsistenciaJetAdminConcatenada!$B:$B=EM$1), 0)), 1))),  0.5, 0))</f>
        <v>0</v>
      </c>
      <c r="EN16" s="47">
        <f t="array" ref="EN16">IF(AND(ISNUMBER(MATCH(EN$2, AsistenciaJetAdminConcatenada!$A:$A, 0)), ISNUMBER(MATCH(EN$1, AsistenciaJetAdminConcatenada!$B:$B, 0)), ISNUMBER(SEARCH($A16,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ISNUMBER(SEARCH($A16, INDEX(AsistenciaJetAdminConcatenada!$D:$D, MATCH(1, (AsistenciaJetAdminConcatenada!$A:$A=EN$2)*(AsistenciaJetAdminConcatenada!$B:$B=EN$1), 0)), 1))),  0.5, 0))</f>
        <v>0</v>
      </c>
      <c r="EO16" s="47">
        <f t="array" ref="EO16">IF(AND(ISNUMBER(MATCH(EO$2, AsistenciaJetAdminConcatenada!$A:$A, 0)), ISNUMBER(MATCH(EO$1, AsistenciaJetAdminConcatenada!$B:$B, 0)), ISNUMBER(SEARCH($A16,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ISNUMBER(SEARCH($A16, INDEX(AsistenciaJetAdminConcatenada!$D:$D, MATCH(1, (AsistenciaJetAdminConcatenada!$A:$A=EO$2)*(AsistenciaJetAdminConcatenada!$B:$B=EO$1), 0)), 1))),  0.5, 0))</f>
        <v>0</v>
      </c>
      <c r="EP16" s="47">
        <f t="array" ref="EP16">IF(AND(ISNUMBER(MATCH(EP$2, AsistenciaJetAdminConcatenada!$A:$A, 0)), ISNUMBER(MATCH(EP$1, AsistenciaJetAdminConcatenada!$B:$B, 0)), ISNUMBER(SEARCH($A16,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ISNUMBER(SEARCH($A16, INDEX(AsistenciaJetAdminConcatenada!$D:$D, MATCH(1, (AsistenciaJetAdminConcatenada!$A:$A=EP$2)*(AsistenciaJetAdminConcatenada!$B:$B=EP$1), 0)), 1))),  0.5, 0))</f>
        <v>0</v>
      </c>
      <c r="EQ16" s="47">
        <f t="array" ref="EQ16">IF(AND(ISNUMBER(MATCH(EQ$2, AsistenciaJetAdminConcatenada!$A:$A, 0)), ISNUMBER(MATCH(EQ$1, AsistenciaJetAdminConcatenada!$B:$B, 0)), ISNUMBER(SEARCH($A16,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ISNUMBER(SEARCH($A16, INDEX(AsistenciaJetAdminConcatenada!$D:$D, MATCH(1, (AsistenciaJetAdminConcatenada!$A:$A=EQ$2)*(AsistenciaJetAdminConcatenada!$B:$B=EQ$1), 0)), 1))),  0.5, 0))</f>
        <v>0</v>
      </c>
      <c r="ER16" s="47">
        <f t="array" ref="ER16">IF(AND(ISNUMBER(MATCH(ER$2, AsistenciaJetAdminConcatenada!$A:$A, 0)), ISNUMBER(MATCH(ER$1, AsistenciaJetAdminConcatenada!$B:$B, 0)), ISNUMBER(SEARCH($A16,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ISNUMBER(SEARCH($A16, INDEX(AsistenciaJetAdminConcatenada!$D:$D, MATCH(1, (AsistenciaJetAdminConcatenada!$A:$A=ER$2)*(AsistenciaJetAdminConcatenada!$B:$B=ER$1), 0)), 1))),  0.5, 0))</f>
        <v>0</v>
      </c>
      <c r="ES16" s="47">
        <f t="array" ref="ES16">IF(AND(ISNUMBER(MATCH(ES$2, AsistenciaJetAdminConcatenada!$A:$A, 0)), ISNUMBER(MATCH(ES$1, AsistenciaJetAdminConcatenada!$B:$B, 0)), ISNUMBER(SEARCH($A16,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ISNUMBER(SEARCH($A16, INDEX(AsistenciaJetAdminConcatenada!$D:$D, MATCH(1, (AsistenciaJetAdminConcatenada!$A:$A=ES$2)*(AsistenciaJetAdminConcatenada!$B:$B=ES$1), 0)), 1))),  0.5, 0))</f>
        <v>0</v>
      </c>
      <c r="ET16" s="47">
        <f t="array" ref="ET16">IF(AND(ISNUMBER(MATCH(ET$2, AsistenciaJetAdminConcatenada!$A:$A, 0)), ISNUMBER(MATCH(ET$1, AsistenciaJetAdminConcatenada!$B:$B, 0)), ISNUMBER(SEARCH($A16,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ISNUMBER(SEARCH($A16, INDEX(AsistenciaJetAdminConcatenada!$D:$D, MATCH(1, (AsistenciaJetAdminConcatenada!$A:$A=ET$2)*(AsistenciaJetAdminConcatenada!$B:$B=ET$1), 0)), 1))),  0.5, 0))</f>
        <v>0</v>
      </c>
      <c r="EU16" s="47">
        <f t="array" ref="EU16">IF(AND(ISNUMBER(MATCH(EU$2, AsistenciaJetAdminConcatenada!$A:$A, 0)), ISNUMBER(MATCH(EU$1, AsistenciaJetAdminConcatenada!$B:$B, 0)), ISNUMBER(SEARCH($A16,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ISNUMBER(SEARCH($A16, INDEX(AsistenciaJetAdminConcatenada!$D:$D, MATCH(1, (AsistenciaJetAdminConcatenada!$A:$A=EU$2)*(AsistenciaJetAdminConcatenada!$B:$B=EU$1), 0)), 1))),  0.5, 0))</f>
        <v>0</v>
      </c>
      <c r="EV16" s="47">
        <f t="array" ref="EV16">IF(AND(ISNUMBER(MATCH(EV$2, AsistenciaJetAdminConcatenada!$A:$A, 0)), ISNUMBER(MATCH(EV$1, AsistenciaJetAdminConcatenada!$B:$B, 0)), ISNUMBER(SEARCH($A16,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ISNUMBER(SEARCH($A16, INDEX(AsistenciaJetAdminConcatenada!$D:$D, MATCH(1, (AsistenciaJetAdminConcatenada!$A:$A=EV$2)*(AsistenciaJetAdminConcatenada!$B:$B=EV$1), 0)), 1))),  0.5, 0))</f>
        <v>0</v>
      </c>
      <c r="EW16" s="47">
        <f t="array" ref="EW16">IF(AND(ISNUMBER(MATCH(EW$2, AsistenciaJetAdminConcatenada!$A:$A, 0)), ISNUMBER(MATCH(EW$1, AsistenciaJetAdminConcatenada!$B:$B, 0)), ISNUMBER(SEARCH($A16,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ISNUMBER(SEARCH($A16, INDEX(AsistenciaJetAdminConcatenada!$D:$D, MATCH(1, (AsistenciaJetAdminConcatenada!$A:$A=EW$2)*(AsistenciaJetAdminConcatenada!$B:$B=EW$1), 0)), 1))),  0.5, 0))</f>
        <v>0</v>
      </c>
      <c r="EX16" s="47">
        <f t="array" ref="EX16">IF(AND(ISNUMBER(MATCH(EX$2, AsistenciaJetAdminConcatenada!$A:$A, 0)), ISNUMBER(MATCH(EX$1, AsistenciaJetAdminConcatenada!$B:$B, 0)), ISNUMBER(SEARCH($A16,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ISNUMBER(SEARCH($A16, INDEX(AsistenciaJetAdminConcatenada!$D:$D, MATCH(1, (AsistenciaJetAdminConcatenada!$A:$A=EX$2)*(AsistenciaJetAdminConcatenada!$B:$B=EX$1), 0)), 1))),  0.5, 0))</f>
        <v>0</v>
      </c>
      <c r="EY16" s="47">
        <f t="array" ref="EY16">IF(AND(ISNUMBER(MATCH(EY$2, AsistenciaJetAdminConcatenada!$A:$A, 0)), ISNUMBER(MATCH(EY$1, AsistenciaJetAdminConcatenada!$B:$B, 0)), ISNUMBER(SEARCH($A16,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ISNUMBER(SEARCH($A16, INDEX(AsistenciaJetAdminConcatenada!$D:$D, MATCH(1, (AsistenciaJetAdminConcatenada!$A:$A=EY$2)*(AsistenciaJetAdminConcatenada!$B:$B=EY$1), 0)), 1))),  0.5, 0))</f>
        <v>0</v>
      </c>
      <c r="EZ16" s="47">
        <f t="array" ref="EZ16">IF(AND(ISNUMBER(MATCH(EZ$2, AsistenciaJetAdminConcatenada!$A:$A, 0)), ISNUMBER(MATCH(EZ$1, AsistenciaJetAdminConcatenada!$B:$B, 0)), ISNUMBER(SEARCH($A16,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ISNUMBER(SEARCH($A16, INDEX(AsistenciaJetAdminConcatenada!$D:$D, MATCH(1, (AsistenciaJetAdminConcatenada!$A:$A=EZ$2)*(AsistenciaJetAdminConcatenada!$B:$B=EZ$1), 0)), 1))),  0.5, 0))</f>
        <v>0</v>
      </c>
      <c r="FA16" s="47">
        <f t="array" ref="FA16">IF(AND(ISNUMBER(MATCH(FA$2, AsistenciaJetAdminConcatenada!$A:$A, 0)), ISNUMBER(MATCH(FA$1, AsistenciaJetAdminConcatenada!$B:$B, 0)), ISNUMBER(SEARCH($A16,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ISNUMBER(SEARCH($A16, INDEX(AsistenciaJetAdminConcatenada!$D:$D, MATCH(1, (AsistenciaJetAdminConcatenada!$A:$A=FA$2)*(AsistenciaJetAdminConcatenada!$B:$B=FA$1), 0)), 1))),  0.5, 0))</f>
        <v>0</v>
      </c>
      <c r="FB16" s="47">
        <f t="array" ref="FB16">IF(AND(ISNUMBER(MATCH(FB$2, AsistenciaJetAdminConcatenada!$A:$A, 0)), ISNUMBER(MATCH(FB$1, AsistenciaJetAdminConcatenada!$B:$B, 0)), ISNUMBER(SEARCH($A16,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ISNUMBER(SEARCH($A16, INDEX(AsistenciaJetAdminConcatenada!$D:$D, MATCH(1, (AsistenciaJetAdminConcatenada!$A:$A=FB$2)*(AsistenciaJetAdminConcatenada!$B:$B=FB$1), 0)), 1))),  0.5, 0))</f>
        <v>0</v>
      </c>
      <c r="FC16" s="47">
        <f t="array" ref="FC16">IF(AND(ISNUMBER(MATCH(FC$2, AsistenciaJetAdminConcatenada!$A:$A, 0)), ISNUMBER(MATCH(FC$1, AsistenciaJetAdminConcatenada!$B:$B, 0)), ISNUMBER(SEARCH($A16,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ISNUMBER(SEARCH($A16, INDEX(AsistenciaJetAdminConcatenada!$D:$D, MATCH(1, (AsistenciaJetAdminConcatenada!$A:$A=FC$2)*(AsistenciaJetAdminConcatenada!$B:$B=FC$1), 0)), 1))),  0.5, 0))</f>
        <v>0</v>
      </c>
      <c r="FD16" s="47">
        <f t="array" ref="FD16">IF(AND(ISNUMBER(MATCH(FD$2, AsistenciaJetAdminConcatenada!$A:$A, 0)), ISNUMBER(MATCH(FD$1, AsistenciaJetAdminConcatenada!$B:$B, 0)), ISNUMBER(SEARCH($A16,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ISNUMBER(SEARCH($A16, INDEX(AsistenciaJetAdminConcatenada!$D:$D, MATCH(1, (AsistenciaJetAdminConcatenada!$A:$A=FD$2)*(AsistenciaJetAdminConcatenada!$B:$B=FD$1), 0)), 1))),  0.5, 0))</f>
        <v>0</v>
      </c>
      <c r="FE16" s="47">
        <f t="array" ref="FE16">IF(AND(ISNUMBER(MATCH(FE$2, AsistenciaJetAdminConcatenada!$A:$A, 0)), ISNUMBER(MATCH(FE$1, AsistenciaJetAdminConcatenada!$B:$B, 0)), ISNUMBER(SEARCH($A16,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ISNUMBER(SEARCH($A16, INDEX(AsistenciaJetAdminConcatenada!$D:$D, MATCH(1, (AsistenciaJetAdminConcatenada!$A:$A=FE$2)*(AsistenciaJetAdminConcatenada!$B:$B=FE$1), 0)), 1))),  0.5, 0))</f>
        <v>0</v>
      </c>
      <c r="FF16" s="47">
        <f t="array" ref="FF16">IF(AND(ISNUMBER(MATCH(FF$2, AsistenciaJetAdminConcatenada!$A:$A, 0)), ISNUMBER(MATCH(FF$1, AsistenciaJetAdminConcatenada!$B:$B, 0)), ISNUMBER(SEARCH($A16,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ISNUMBER(SEARCH($A16, INDEX(AsistenciaJetAdminConcatenada!$D:$D, MATCH(1, (AsistenciaJetAdminConcatenada!$A:$A=FF$2)*(AsistenciaJetAdminConcatenada!$B:$B=FF$1), 0)), 1))),  0.5, 0))</f>
        <v>0</v>
      </c>
      <c r="FG16" s="47">
        <f t="array" ref="FG16">IF(AND(ISNUMBER(MATCH(FG$2, AsistenciaJetAdminConcatenada!$A:$A, 0)), ISNUMBER(MATCH(FG$1, AsistenciaJetAdminConcatenada!$B:$B, 0)), ISNUMBER(SEARCH($A16,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ISNUMBER(SEARCH($A16, INDEX(AsistenciaJetAdminConcatenada!$D:$D, MATCH(1, (AsistenciaJetAdminConcatenada!$A:$A=FG$2)*(AsistenciaJetAdminConcatenada!$B:$B=FG$1), 0)), 1))),  0.5, 0))</f>
        <v>0</v>
      </c>
      <c r="FH16" s="47">
        <f t="array" ref="FH16">IF(AND(ISNUMBER(MATCH(FH$2, AsistenciaJetAdminConcatenada!$A:$A, 0)), ISNUMBER(MATCH(FH$1, AsistenciaJetAdminConcatenada!$B:$B, 0)), ISNUMBER(SEARCH($A16,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ISNUMBER(SEARCH($A16, INDEX(AsistenciaJetAdminConcatenada!$D:$D, MATCH(1, (AsistenciaJetAdminConcatenada!$A:$A=FH$2)*(AsistenciaJetAdminConcatenada!$B:$B=FH$1), 0)), 1))),  0.5, 0))</f>
        <v>0</v>
      </c>
      <c r="FI16" s="47">
        <f t="array" ref="FI16">IF(AND(ISNUMBER(MATCH(FI$2, AsistenciaJetAdminConcatenada!$A:$A, 0)), ISNUMBER(MATCH(FI$1, AsistenciaJetAdminConcatenada!$B:$B, 0)), ISNUMBER(SEARCH($A16,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ISNUMBER(SEARCH($A16, INDEX(AsistenciaJetAdminConcatenada!$D:$D, MATCH(1, (AsistenciaJetAdminConcatenada!$A:$A=FI$2)*(AsistenciaJetAdminConcatenada!$B:$B=FI$1), 0)), 1))),  0.5, 0))</f>
        <v>0</v>
      </c>
      <c r="FJ16" s="47">
        <f t="array" ref="FJ16">IF(AND(ISNUMBER(MATCH(FJ$2, AsistenciaJetAdminConcatenada!$A:$A, 0)), ISNUMBER(MATCH(FJ$1, AsistenciaJetAdminConcatenada!$B:$B, 0)), ISNUMBER(SEARCH($A16,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ISNUMBER(SEARCH($A16, INDEX(AsistenciaJetAdminConcatenada!$D:$D, MATCH(1, (AsistenciaJetAdminConcatenada!$A:$A=FJ$2)*(AsistenciaJetAdminConcatenada!$B:$B=FJ$1), 0)), 1))),  0.5, 0))</f>
        <v>0</v>
      </c>
      <c r="FK16" s="47">
        <f t="array" ref="FK16">IF(AND(ISNUMBER(MATCH(FK$2, AsistenciaJetAdminConcatenada!$A:$A, 0)), ISNUMBER(MATCH(FK$1, AsistenciaJetAdminConcatenada!$B:$B, 0)), ISNUMBER(SEARCH($A16,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ISNUMBER(SEARCH($A16, INDEX(AsistenciaJetAdminConcatenada!$D:$D, MATCH(1, (AsistenciaJetAdminConcatenada!$A:$A=FK$2)*(AsistenciaJetAdminConcatenada!$B:$B=FK$1), 0)), 1))),  0.5, 0))</f>
        <v>0</v>
      </c>
      <c r="FL16" s="47">
        <f t="array" ref="FL16">IF(AND(ISNUMBER(MATCH(FL$2, AsistenciaJetAdminConcatenada!$A:$A, 0)), ISNUMBER(MATCH(FL$1, AsistenciaJetAdminConcatenada!$B:$B, 0)), ISNUMBER(SEARCH($A16,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ISNUMBER(SEARCH($A16, INDEX(AsistenciaJetAdminConcatenada!$D:$D, MATCH(1, (AsistenciaJetAdminConcatenada!$A:$A=FL$2)*(AsistenciaJetAdminConcatenada!$B:$B=FL$1), 0)), 1))),  0.5, 0))</f>
        <v>0</v>
      </c>
      <c r="FM16" s="47">
        <f t="array" ref="FM16">IF(AND(ISNUMBER(MATCH(FM$2, AsistenciaJetAdminConcatenada!$A:$A, 0)), ISNUMBER(MATCH(FM$1, AsistenciaJetAdminConcatenada!$B:$B, 0)), ISNUMBER(SEARCH($A16,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ISNUMBER(SEARCH($A16, INDEX(AsistenciaJetAdminConcatenada!$D:$D, MATCH(1, (AsistenciaJetAdminConcatenada!$A:$A=FM$2)*(AsistenciaJetAdminConcatenada!$B:$B=FM$1), 0)), 1))),  0.5, 0))</f>
        <v>0</v>
      </c>
      <c r="FN16" s="47">
        <f t="array" ref="FN16">IF(AND(ISNUMBER(MATCH(FN$2, AsistenciaJetAdminConcatenada!$A:$A, 0)), ISNUMBER(MATCH(FN$1, AsistenciaJetAdminConcatenada!$B:$B, 0)), ISNUMBER(SEARCH($A16,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ISNUMBER(SEARCH($A16, INDEX(AsistenciaJetAdminConcatenada!$D:$D, MATCH(1, (AsistenciaJetAdminConcatenada!$A:$A=FN$2)*(AsistenciaJetAdminConcatenada!$B:$B=FN$1), 0)), 1))),  0.5, 0))</f>
        <v>0</v>
      </c>
      <c r="FO16" s="47">
        <f t="array" ref="FO16">IF(AND(ISNUMBER(MATCH(FO$2, AsistenciaJetAdminConcatenada!$A:$A, 0)), ISNUMBER(MATCH(FO$1, AsistenciaJetAdminConcatenada!$B:$B, 0)), ISNUMBER(SEARCH($A16,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ISNUMBER(SEARCH($A16, INDEX(AsistenciaJetAdminConcatenada!$D:$D, MATCH(1, (AsistenciaJetAdminConcatenada!$A:$A=FO$2)*(AsistenciaJetAdminConcatenada!$B:$B=FO$1), 0)), 1))),  0.5, 0))</f>
        <v>0</v>
      </c>
      <c r="FP16" s="47">
        <f t="array" ref="FP16">IF(AND(ISNUMBER(MATCH(FP$2, AsistenciaJetAdminConcatenada!$A:$A, 0)), ISNUMBER(MATCH(FP$1, AsistenciaJetAdminConcatenada!$B:$B, 0)), ISNUMBER(SEARCH($A16,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ISNUMBER(SEARCH($A16, INDEX(AsistenciaJetAdminConcatenada!$D:$D, MATCH(1, (AsistenciaJetAdminConcatenada!$A:$A=FP$2)*(AsistenciaJetAdminConcatenada!$B:$B=FP$1), 0)), 1))),  0.5, 0))</f>
        <v>0</v>
      </c>
      <c r="FQ16" s="47">
        <f t="array" ref="FQ16">IF(AND(ISNUMBER(MATCH(FQ$2, AsistenciaJetAdminConcatenada!$A:$A, 0)), ISNUMBER(MATCH(FQ$1, AsistenciaJetAdminConcatenada!$B:$B, 0)), ISNUMBER(SEARCH($A16,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ISNUMBER(SEARCH($A16, INDEX(AsistenciaJetAdminConcatenada!$D:$D, MATCH(1, (AsistenciaJetAdminConcatenada!$A:$A=FQ$2)*(AsistenciaJetAdminConcatenada!$B:$B=FQ$1), 0)), 1))),  0.5, 0))</f>
        <v>0</v>
      </c>
      <c r="FR16" s="47">
        <f t="array" ref="FR16">IF(AND(ISNUMBER(MATCH(FR$2, AsistenciaJetAdminConcatenada!$A:$A, 0)), ISNUMBER(MATCH(FR$1, AsistenciaJetAdminConcatenada!$B:$B, 0)), ISNUMBER(SEARCH($A16,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ISNUMBER(SEARCH($A16, INDEX(AsistenciaJetAdminConcatenada!$D:$D, MATCH(1, (AsistenciaJetAdminConcatenada!$A:$A=FR$2)*(AsistenciaJetAdminConcatenada!$B:$B=FR$1), 0)), 1))),  0.5, 0))</f>
        <v>0</v>
      </c>
      <c r="FS16" s="47">
        <f t="array" ref="FS16">IF(AND(ISNUMBER(MATCH(FS$2, AsistenciaJetAdminConcatenada!$A:$A, 0)), ISNUMBER(MATCH(FS$1, AsistenciaJetAdminConcatenada!$B:$B, 0)), ISNUMBER(SEARCH($A16,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ISNUMBER(SEARCH($A16, INDEX(AsistenciaJetAdminConcatenada!$D:$D, MATCH(1, (AsistenciaJetAdminConcatenada!$A:$A=FS$2)*(AsistenciaJetAdminConcatenada!$B:$B=FS$1), 0)), 1))),  0.5, 0))</f>
        <v>0</v>
      </c>
      <c r="FT16" s="47">
        <f t="array" ref="FT16">IF(AND(ISNUMBER(MATCH(FT$2, AsistenciaJetAdminConcatenada!$A:$A, 0)), ISNUMBER(MATCH(FT$1, AsistenciaJetAdminConcatenada!$B:$B, 0)), ISNUMBER(SEARCH($A16,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ISNUMBER(SEARCH($A16, INDEX(AsistenciaJetAdminConcatenada!$D:$D, MATCH(1, (AsistenciaJetAdminConcatenada!$A:$A=FT$2)*(AsistenciaJetAdminConcatenada!$B:$B=FT$1), 0)), 1))),  0.5, 0))</f>
        <v>0</v>
      </c>
      <c r="FU16" s="47">
        <f t="array" ref="FU16">IF(AND(ISNUMBER(MATCH(FU$2, AsistenciaJetAdminConcatenada!$A:$A, 0)), ISNUMBER(MATCH(FU$1, AsistenciaJetAdminConcatenada!$B:$B, 0)), ISNUMBER(SEARCH($A16,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ISNUMBER(SEARCH($A16, INDEX(AsistenciaJetAdminConcatenada!$D:$D, MATCH(1, (AsistenciaJetAdminConcatenada!$A:$A=FU$2)*(AsistenciaJetAdminConcatenada!$B:$B=FU$1), 0)), 1))),  0.5, 0))</f>
        <v>0</v>
      </c>
      <c r="FV16" s="47">
        <f t="array" ref="FV16">IF(AND(ISNUMBER(MATCH(FV$2, AsistenciaJetAdminConcatenada!$A:$A, 0)), ISNUMBER(MATCH(FV$1, AsistenciaJetAdminConcatenada!$B:$B, 0)), ISNUMBER(SEARCH($A16,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ISNUMBER(SEARCH($A16, INDEX(AsistenciaJetAdminConcatenada!$D:$D, MATCH(1, (AsistenciaJetAdminConcatenada!$A:$A=FV$2)*(AsistenciaJetAdminConcatenada!$B:$B=FV$1), 0)), 1))),  0.5, 0))</f>
        <v>0</v>
      </c>
      <c r="FW16" s="47">
        <f t="array" ref="FW16">IF(AND(ISNUMBER(MATCH(FW$2, AsistenciaJetAdminConcatenada!$A:$A, 0)), ISNUMBER(MATCH(FW$1, AsistenciaJetAdminConcatenada!$B:$B, 0)), ISNUMBER(SEARCH($A16,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ISNUMBER(SEARCH($A16, INDEX(AsistenciaJetAdminConcatenada!$D:$D, MATCH(1, (AsistenciaJetAdminConcatenada!$A:$A=FW$2)*(AsistenciaJetAdminConcatenada!$B:$B=FW$1), 0)), 1))),  0.5, 0))</f>
        <v>0</v>
      </c>
      <c r="FX16" s="47">
        <f t="array" ref="FX16">IF(AND(ISNUMBER(MATCH(FX$2, AsistenciaJetAdminConcatenada!$A:$A, 0)), ISNUMBER(MATCH(FX$1, AsistenciaJetAdminConcatenada!$B:$B, 0)), ISNUMBER(SEARCH($A16,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ISNUMBER(SEARCH($A16, INDEX(AsistenciaJetAdminConcatenada!$D:$D, MATCH(1, (AsistenciaJetAdminConcatenada!$A:$A=FX$2)*(AsistenciaJetAdminConcatenada!$B:$B=FX$1), 0)), 1))),  0.5, 0))</f>
        <v>0</v>
      </c>
      <c r="FY16" s="47">
        <f t="array" ref="FY16">IF(AND(ISNUMBER(MATCH(FY$2, AsistenciaJetAdminConcatenada!$A:$A, 0)), ISNUMBER(MATCH(FY$1, AsistenciaJetAdminConcatenada!$B:$B, 0)), ISNUMBER(SEARCH($A16,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ISNUMBER(SEARCH($A16, INDEX(AsistenciaJetAdminConcatenada!$D:$D, MATCH(1, (AsistenciaJetAdminConcatenada!$A:$A=FY$2)*(AsistenciaJetAdminConcatenada!$B:$B=FY$1), 0)), 1))),  0.5, 0))</f>
        <v>0</v>
      </c>
      <c r="FZ16" s="47">
        <f t="array" ref="FZ16">IF(AND(ISNUMBER(MATCH(FZ$2, AsistenciaJetAdminConcatenada!$A:$A, 0)), ISNUMBER(MATCH(FZ$1, AsistenciaJetAdminConcatenada!$B:$B, 0)), ISNUMBER(SEARCH($A16,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ISNUMBER(SEARCH($A16, INDEX(AsistenciaJetAdminConcatenada!$D:$D, MATCH(1, (AsistenciaJetAdminConcatenada!$A:$A=FZ$2)*(AsistenciaJetAdminConcatenada!$B:$B=FZ$1), 0)), 1))),  0.5, 0))</f>
        <v>0</v>
      </c>
      <c r="GA16" s="47">
        <f t="array" ref="GA16">IF(AND(ISNUMBER(MATCH(GA$2, AsistenciaJetAdminConcatenada!$A:$A, 0)), ISNUMBER(MATCH(GA$1, AsistenciaJetAdminConcatenada!$B:$B, 0)), ISNUMBER(SEARCH($A16,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ISNUMBER(SEARCH($A16, INDEX(AsistenciaJetAdminConcatenada!$D:$D, MATCH(1, (AsistenciaJetAdminConcatenada!$A:$A=GA$2)*(AsistenciaJetAdminConcatenada!$B:$B=GA$1), 0)), 1))),  0.5, 0))</f>
        <v>0</v>
      </c>
      <c r="GB16" s="47">
        <f t="array" ref="GB16">IF(AND(ISNUMBER(MATCH(GB$2, AsistenciaJetAdminConcatenada!$A:$A, 0)), ISNUMBER(MATCH(GB$1, AsistenciaJetAdminConcatenada!$B:$B, 0)), ISNUMBER(SEARCH($A16,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ISNUMBER(SEARCH($A16, INDEX(AsistenciaJetAdminConcatenada!$D:$D, MATCH(1, (AsistenciaJetAdminConcatenada!$A:$A=GB$2)*(AsistenciaJetAdminConcatenada!$B:$B=GB$1), 0)), 1))),  0.5, 0))</f>
        <v>0</v>
      </c>
      <c r="GC16" s="47">
        <f t="array" ref="GC16">IF(AND(ISNUMBER(MATCH(GC$2, AsistenciaJetAdminConcatenada!$A:$A, 0)), ISNUMBER(MATCH(GC$1, AsistenciaJetAdminConcatenada!$B:$B, 0)), ISNUMBER(SEARCH($A16,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ISNUMBER(SEARCH($A16, INDEX(AsistenciaJetAdminConcatenada!$D:$D, MATCH(1, (AsistenciaJetAdminConcatenada!$A:$A=GC$2)*(AsistenciaJetAdminConcatenada!$B:$B=GC$1), 0)), 1))),  0.5, 0))</f>
        <v>0</v>
      </c>
      <c r="GD16" s="47">
        <f t="array" ref="GD16">IF(AND(ISNUMBER(MATCH(GD$2, AsistenciaJetAdminConcatenada!$A:$A, 0)), ISNUMBER(MATCH(GD$1, AsistenciaJetAdminConcatenada!$B:$B, 0)), ISNUMBER(SEARCH($A16,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ISNUMBER(SEARCH($A16, INDEX(AsistenciaJetAdminConcatenada!$D:$D, MATCH(1, (AsistenciaJetAdminConcatenada!$A:$A=GD$2)*(AsistenciaJetAdminConcatenada!$B:$B=GD$1), 0)), 1))),  0.5, 0))</f>
        <v>0</v>
      </c>
      <c r="GE16" s="47">
        <f t="array" ref="GE16">IF(AND(ISNUMBER(MATCH(GE$2, AsistenciaJetAdminConcatenada!$A:$A, 0)), ISNUMBER(MATCH(GE$1, AsistenciaJetAdminConcatenada!$B:$B, 0)), ISNUMBER(SEARCH($A16,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ISNUMBER(SEARCH($A16, INDEX(AsistenciaJetAdminConcatenada!$D:$D, MATCH(1, (AsistenciaJetAdminConcatenada!$A:$A=GE$2)*(AsistenciaJetAdminConcatenada!$B:$B=GE$1), 0)), 1))),  0.5, 0))</f>
        <v>0</v>
      </c>
      <c r="GF16" s="47">
        <f t="array" ref="GF16">IF(AND(ISNUMBER(MATCH(GF$2, AsistenciaJetAdminConcatenada!$A:$A, 0)), ISNUMBER(MATCH(GF$1, AsistenciaJetAdminConcatenada!$B:$B, 0)), ISNUMBER(SEARCH($A16,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ISNUMBER(SEARCH($A16, INDEX(AsistenciaJetAdminConcatenada!$D:$D, MATCH(1, (AsistenciaJetAdminConcatenada!$A:$A=GF$2)*(AsistenciaJetAdminConcatenada!$B:$B=GF$1), 0)), 1))),  0.5, 0))</f>
        <v>0</v>
      </c>
      <c r="GG16" s="47">
        <f t="array" ref="GG16">IF(AND(ISNUMBER(MATCH(GG$2, AsistenciaJetAdminConcatenada!$A:$A, 0)), ISNUMBER(MATCH(GG$1, AsistenciaJetAdminConcatenada!$B:$B, 0)), ISNUMBER(SEARCH($A16,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ISNUMBER(SEARCH($A16, INDEX(AsistenciaJetAdminConcatenada!$D:$D, MATCH(1, (AsistenciaJetAdminConcatenada!$A:$A=GG$2)*(AsistenciaJetAdminConcatenada!$B:$B=GG$1), 0)), 1))),  0.5, 0))</f>
        <v>0</v>
      </c>
      <c r="GH16" s="47">
        <f t="array" ref="GH16">IF(AND(ISNUMBER(MATCH(GH$2, AsistenciaJetAdminConcatenada!$A:$A, 0)), ISNUMBER(MATCH(GH$1, AsistenciaJetAdminConcatenada!$B:$B, 0)), ISNUMBER(SEARCH($A16,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ISNUMBER(SEARCH($A16, INDEX(AsistenciaJetAdminConcatenada!$D:$D, MATCH(1, (AsistenciaJetAdminConcatenada!$A:$A=GH$2)*(AsistenciaJetAdminConcatenada!$B:$B=GH$1), 0)), 1))),  0.5, 0))</f>
        <v>0</v>
      </c>
      <c r="GI16" s="47">
        <f t="array" ref="GI16">IF(AND(ISNUMBER(MATCH(GI$2, AsistenciaJetAdminConcatenada!$A:$A, 0)), ISNUMBER(MATCH(GI$1, AsistenciaJetAdminConcatenada!$B:$B, 0)), ISNUMBER(SEARCH($A16,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ISNUMBER(SEARCH($A16, INDEX(AsistenciaJetAdminConcatenada!$D:$D, MATCH(1, (AsistenciaJetAdminConcatenada!$A:$A=GI$2)*(AsistenciaJetAdminConcatenada!$B:$B=GI$1), 0)), 1))),  0.5, 0))</f>
        <v>0</v>
      </c>
      <c r="GJ16" s="47">
        <f t="array" ref="GJ16">IF(AND(ISNUMBER(MATCH(GJ$2, AsistenciaJetAdminConcatenada!$A:$A, 0)), ISNUMBER(MATCH(GJ$1, AsistenciaJetAdminConcatenada!$B:$B, 0)), ISNUMBER(SEARCH($A16,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ISNUMBER(SEARCH($A16, INDEX(AsistenciaJetAdminConcatenada!$D:$D, MATCH(1, (AsistenciaJetAdminConcatenada!$A:$A=GJ$2)*(AsistenciaJetAdminConcatenada!$B:$B=GJ$1), 0)), 1))),  0.5, 0))</f>
        <v>0</v>
      </c>
      <c r="GK16" s="47">
        <f t="array" ref="GK16">IF(AND(ISNUMBER(MATCH(GK$2, AsistenciaJetAdminConcatenada!$A:$A, 0)), ISNUMBER(MATCH(GK$1, AsistenciaJetAdminConcatenada!$B:$B, 0)), ISNUMBER(SEARCH($A16,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ISNUMBER(SEARCH($A16, INDEX(AsistenciaJetAdminConcatenada!$D:$D, MATCH(1, (AsistenciaJetAdminConcatenada!$A:$A=GK$2)*(AsistenciaJetAdminConcatenada!$B:$B=GK$1), 0)), 1))),  0.5, 0))</f>
        <v>0</v>
      </c>
      <c r="GL16" s="47">
        <f t="array" ref="GL16">IF(AND(ISNUMBER(MATCH(GL$2, AsistenciaJetAdminConcatenada!$A:$A, 0)), ISNUMBER(MATCH(GL$1, AsistenciaJetAdminConcatenada!$B:$B, 0)), ISNUMBER(SEARCH($A16,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ISNUMBER(SEARCH($A16, INDEX(AsistenciaJetAdminConcatenada!$D:$D, MATCH(1, (AsistenciaJetAdminConcatenada!$A:$A=GL$2)*(AsistenciaJetAdminConcatenada!$B:$B=GL$1), 0)), 1))),  0.5, 0))</f>
        <v>0</v>
      </c>
      <c r="GM16" s="47">
        <f t="array" ref="GM16">IF(AND(ISNUMBER(MATCH(GM$2, AsistenciaJetAdminConcatenada!$A:$A, 0)), ISNUMBER(MATCH(GM$1, AsistenciaJetAdminConcatenada!$B:$B, 0)), ISNUMBER(SEARCH($A16,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ISNUMBER(SEARCH($A16, INDEX(AsistenciaJetAdminConcatenada!$D:$D, MATCH(1, (AsistenciaJetAdminConcatenada!$A:$A=GM$2)*(AsistenciaJetAdminConcatenada!$B:$B=GM$1), 0)), 1))),  0.5, 0))</f>
        <v>0</v>
      </c>
      <c r="GN16" s="47">
        <f t="array" ref="GN16">IF(AND(ISNUMBER(MATCH(GN$2, AsistenciaJetAdminConcatenada!$A:$A, 0)), ISNUMBER(MATCH(GN$1, AsistenciaJetAdminConcatenada!$B:$B, 0)), ISNUMBER(SEARCH($A16,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ISNUMBER(SEARCH($A16, INDEX(AsistenciaJetAdminConcatenada!$D:$D, MATCH(1, (AsistenciaJetAdminConcatenada!$A:$A=GN$2)*(AsistenciaJetAdminConcatenada!$B:$B=GN$1), 0)), 1))),  0.5, 0))</f>
        <v>0</v>
      </c>
      <c r="GO16" s="47">
        <f t="array" ref="GO16">IF(AND(ISNUMBER(MATCH(GO$2, AsistenciaJetAdminConcatenada!$A:$A, 0)), ISNUMBER(MATCH(GO$1, AsistenciaJetAdminConcatenada!$B:$B, 0)), ISNUMBER(SEARCH($A16,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ISNUMBER(SEARCH($A16, INDEX(AsistenciaJetAdminConcatenada!$D:$D, MATCH(1, (AsistenciaJetAdminConcatenada!$A:$A=GO$2)*(AsistenciaJetAdminConcatenada!$B:$B=GO$1), 0)), 1))),  0.5, 0))</f>
        <v>0</v>
      </c>
      <c r="GP16" s="47">
        <f t="array" ref="GP16">IF(AND(ISNUMBER(MATCH(GP$2, AsistenciaJetAdminConcatenada!$A:$A, 0)), ISNUMBER(MATCH(GP$1, AsistenciaJetAdminConcatenada!$B:$B, 0)), ISNUMBER(SEARCH($A16,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ISNUMBER(SEARCH($A16, INDEX(AsistenciaJetAdminConcatenada!$D:$D, MATCH(1, (AsistenciaJetAdminConcatenada!$A:$A=GP$2)*(AsistenciaJetAdminConcatenada!$B:$B=GP$1), 0)), 1))),  0.5, 0))</f>
        <v>0</v>
      </c>
      <c r="GQ16" s="47">
        <f t="array" ref="GQ16">IF(AND(ISNUMBER(MATCH(GQ$2, AsistenciaJetAdminConcatenada!$A:$A, 0)), ISNUMBER(MATCH(GQ$1, AsistenciaJetAdminConcatenada!$B:$B, 0)), ISNUMBER(SEARCH($A16,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ISNUMBER(SEARCH($A16, INDEX(AsistenciaJetAdminConcatenada!$D:$D, MATCH(1, (AsistenciaJetAdminConcatenada!$A:$A=GQ$2)*(AsistenciaJetAdminConcatenada!$B:$B=GQ$1), 0)), 1))),  0.5, 0))</f>
        <v>0</v>
      </c>
      <c r="GR16" s="47">
        <f t="array" ref="GR16">IF(AND(ISNUMBER(MATCH(GR$2, AsistenciaJetAdminConcatenada!$A:$A, 0)), ISNUMBER(MATCH(GR$1, AsistenciaJetAdminConcatenada!$B:$B, 0)), ISNUMBER(SEARCH($A16,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ISNUMBER(SEARCH($A16, INDEX(AsistenciaJetAdminConcatenada!$D:$D, MATCH(1, (AsistenciaJetAdminConcatenada!$A:$A=GR$2)*(AsistenciaJetAdminConcatenada!$B:$B=GR$1), 0)), 1))),  0.5, 0))</f>
        <v>0</v>
      </c>
      <c r="GS16" s="47">
        <f t="array" ref="GS16">IF(AND(ISNUMBER(MATCH(GS$2, AsistenciaJetAdminConcatenada!$A:$A, 0)), ISNUMBER(MATCH(GS$1, AsistenciaJetAdminConcatenada!$B:$B, 0)), ISNUMBER(SEARCH($A16,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ISNUMBER(SEARCH($A16, INDEX(AsistenciaJetAdminConcatenada!$D:$D, MATCH(1, (AsistenciaJetAdminConcatenada!$A:$A=GS$2)*(AsistenciaJetAdminConcatenada!$B:$B=GS$1), 0)), 1))),  0.5, 0))</f>
        <v>0</v>
      </c>
      <c r="GT16" s="47">
        <f t="array" ref="GT16">IF(AND(ISNUMBER(MATCH(GT$2, AsistenciaJetAdminConcatenada!$A:$A, 0)), ISNUMBER(MATCH(GT$1, AsistenciaJetAdminConcatenada!$B:$B, 0)), ISNUMBER(SEARCH($A16,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ISNUMBER(SEARCH($A16, INDEX(AsistenciaJetAdminConcatenada!$D:$D, MATCH(1, (AsistenciaJetAdminConcatenada!$A:$A=GT$2)*(AsistenciaJetAdminConcatenada!$B:$B=GT$1), 0)), 1))),  0.5, 0))</f>
        <v>0</v>
      </c>
      <c r="GU16" s="47">
        <f t="array" ref="GU16">IF(AND(ISNUMBER(MATCH(GU$2, AsistenciaJetAdminConcatenada!$A:$A, 0)), ISNUMBER(MATCH(GU$1, AsistenciaJetAdminConcatenada!$B:$B, 0)), ISNUMBER(SEARCH($A16,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ISNUMBER(SEARCH($A16, INDEX(AsistenciaJetAdminConcatenada!$D:$D, MATCH(1, (AsistenciaJetAdminConcatenada!$A:$A=GU$2)*(AsistenciaJetAdminConcatenada!$B:$B=GU$1), 0)), 1))),  0.5, 0))</f>
        <v>0</v>
      </c>
      <c r="GV16" s="47">
        <f t="array" ref="GV16">IF(AND(ISNUMBER(MATCH(GV$2, AsistenciaJetAdminConcatenada!$A:$A, 0)), ISNUMBER(MATCH(GV$1, AsistenciaJetAdminConcatenada!$B:$B, 0)), ISNUMBER(SEARCH($A16,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ISNUMBER(SEARCH($A16, INDEX(AsistenciaJetAdminConcatenada!$D:$D, MATCH(1, (AsistenciaJetAdminConcatenada!$A:$A=GV$2)*(AsistenciaJetAdminConcatenada!$B:$B=GV$1), 0)), 1))),  0.5, 0))</f>
        <v>0</v>
      </c>
      <c r="GW16" s="47">
        <f t="array" ref="GW16">IF(AND(ISNUMBER(MATCH(GW$2, AsistenciaJetAdminConcatenada!$A:$A, 0)), ISNUMBER(MATCH(GW$1, AsistenciaJetAdminConcatenada!$B:$B, 0)), ISNUMBER(SEARCH($A16,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ISNUMBER(SEARCH($A16, INDEX(AsistenciaJetAdminConcatenada!$D:$D, MATCH(1, (AsistenciaJetAdminConcatenada!$A:$A=GW$2)*(AsistenciaJetAdminConcatenada!$B:$B=GW$1), 0)), 1))),  0.5, 0))</f>
        <v>0</v>
      </c>
      <c r="GX16" s="47">
        <f t="array" ref="GX16">IF(AND(ISNUMBER(MATCH(GX$2, AsistenciaJetAdminConcatenada!$A:$A, 0)), ISNUMBER(MATCH(GX$1, AsistenciaJetAdminConcatenada!$B:$B, 0)), ISNUMBER(SEARCH($A16,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ISNUMBER(SEARCH($A16, INDEX(AsistenciaJetAdminConcatenada!$D:$D, MATCH(1, (AsistenciaJetAdminConcatenada!$A:$A=GX$2)*(AsistenciaJetAdminConcatenada!$B:$B=GX$1), 0)), 1))),  0.5, 0))</f>
        <v>0</v>
      </c>
      <c r="GY16" s="47">
        <f t="array" ref="GY16">IF(AND(ISNUMBER(MATCH(GY$2, AsistenciaJetAdminConcatenada!$A:$A, 0)), ISNUMBER(MATCH(GY$1, AsistenciaJetAdminConcatenada!$B:$B, 0)), ISNUMBER(SEARCH($A16,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ISNUMBER(SEARCH($A16, INDEX(AsistenciaJetAdminConcatenada!$D:$D, MATCH(1, (AsistenciaJetAdminConcatenada!$A:$A=GY$2)*(AsistenciaJetAdminConcatenada!$B:$B=GY$1), 0)), 1))),  0.5, 0))</f>
        <v>0</v>
      </c>
      <c r="GZ16" s="47">
        <f t="array" ref="GZ16">IF(AND(ISNUMBER(MATCH(GZ$2, AsistenciaJetAdminConcatenada!$A:$A, 0)), ISNUMBER(MATCH(GZ$1, AsistenciaJetAdminConcatenada!$B:$B, 0)), ISNUMBER(SEARCH($A16,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ISNUMBER(SEARCH($A16, INDEX(AsistenciaJetAdminConcatenada!$D:$D, MATCH(1, (AsistenciaJetAdminConcatenada!$A:$A=GZ$2)*(AsistenciaJetAdminConcatenada!$B:$B=GZ$1), 0)), 1))),  0.5, 0))</f>
        <v>0</v>
      </c>
      <c r="HA16" s="47">
        <f t="array" ref="HA16">IF(AND(ISNUMBER(MATCH(HA$2, AsistenciaJetAdminConcatenada!$A:$A, 0)), ISNUMBER(MATCH(HA$1, AsistenciaJetAdminConcatenada!$B:$B, 0)), ISNUMBER(SEARCH($A16,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ISNUMBER(SEARCH($A16, INDEX(AsistenciaJetAdminConcatenada!$D:$D, MATCH(1, (AsistenciaJetAdminConcatenada!$A:$A=HA$2)*(AsistenciaJetAdminConcatenada!$B:$B=HA$1), 0)), 1))),  0.5, 0))</f>
        <v>0</v>
      </c>
      <c r="HB16" s="47">
        <f t="array" ref="HB16">IF(AND(ISNUMBER(MATCH(HB$2, AsistenciaJetAdminConcatenada!$A:$A, 0)), ISNUMBER(MATCH(HB$1, AsistenciaJetAdminConcatenada!$B:$B, 0)), ISNUMBER(SEARCH($A16,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ISNUMBER(SEARCH($A16, INDEX(AsistenciaJetAdminConcatenada!$D:$D, MATCH(1, (AsistenciaJetAdminConcatenada!$A:$A=HB$2)*(AsistenciaJetAdminConcatenada!$B:$B=HB$1), 0)), 1))),  0.5, 0))</f>
        <v>0</v>
      </c>
      <c r="HC16" s="47">
        <f t="array" ref="HC16">IF(AND(ISNUMBER(MATCH(HC$2, AsistenciaJetAdminConcatenada!$A:$A, 0)), ISNUMBER(MATCH(HC$1, AsistenciaJetAdminConcatenada!$B:$B, 0)), ISNUMBER(SEARCH($A16,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ISNUMBER(SEARCH($A16, INDEX(AsistenciaJetAdminConcatenada!$D:$D, MATCH(1, (AsistenciaJetAdminConcatenada!$A:$A=HC$2)*(AsistenciaJetAdminConcatenada!$B:$B=HC$1), 0)), 1))),  0.5, 0))</f>
        <v>0</v>
      </c>
    </row>
    <row r="17" ht="29.25" customHeight="1">
      <c r="A17" s="3">
        <v>113.0</v>
      </c>
      <c r="B17" s="4" t="s">
        <v>471</v>
      </c>
      <c r="C17" s="47">
        <f>SUM(D17:HC17) + ActividadesEspeciales!C17</f>
        <v>68</v>
      </c>
      <c r="D17" s="47">
        <f t="array" ref="D17">IF(AND(ISNUMBER(MATCH(D$2, AsistenciaJetAdminConcatenada!$A:$A, 0)), ISNUMBER(MATCH(D$1, AsistenciaJetAdminConcatenada!$B:$B, 0)), ISNUMBER(SEARCH($A17,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ISNUMBER(SEARCH($A17, INDEX(AsistenciaJetAdminConcatenada!$D:$D, MATCH(1, (AsistenciaJetAdminConcatenada!$A:$A=D$2)*(AsistenciaJetAdminConcatenada!$B:$B=D$1), 0)), 1))),  0.5, 0))</f>
        <v>1</v>
      </c>
      <c r="E17" s="47">
        <f t="array" ref="E17">IF(AND(ISNUMBER(MATCH(E$2, AsistenciaJetAdminConcatenada!$A:$A, 0)), ISNUMBER(MATCH(E$1, AsistenciaJetAdminConcatenada!$B:$B, 0)), ISNUMBER(SEARCH($A17,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ISNUMBER(SEARCH($A17, INDEX(AsistenciaJetAdminConcatenada!$D:$D, MATCH(1, (AsistenciaJetAdminConcatenada!$A:$A=E$2)*(AsistenciaJetAdminConcatenada!$B:$B=E$1), 0)), 1))),  0.5, 0))</f>
        <v>1</v>
      </c>
      <c r="F17" s="47">
        <f t="array" ref="F17">IF(AND(ISNUMBER(MATCH(F$2, AsistenciaJetAdminConcatenada!$A:$A, 0)), ISNUMBER(MATCH(F$1, AsistenciaJetAdminConcatenada!$B:$B, 0)), ISNUMBER(SEARCH($A17,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ISNUMBER(SEARCH($A17, INDEX(AsistenciaJetAdminConcatenada!$D:$D, MATCH(1, (AsistenciaJetAdminConcatenada!$A:$A=F$2)*(AsistenciaJetAdminConcatenada!$B:$B=F$1), 0)), 1))),  0.5, 0))</f>
        <v>1</v>
      </c>
      <c r="G17" s="47">
        <f t="array" ref="G17">IF(AND(ISNUMBER(MATCH(G$2, AsistenciaJetAdminConcatenada!$A:$A, 0)), ISNUMBER(MATCH(G$1, AsistenciaJetAdminConcatenada!$B:$B, 0)), ISNUMBER(SEARCH($A17,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ISNUMBER(SEARCH($A17, INDEX(AsistenciaJetAdminConcatenada!$D:$D, MATCH(1, (AsistenciaJetAdminConcatenada!$A:$A=G$2)*(AsistenciaJetAdminConcatenada!$B:$B=G$1), 0)), 1))),  0.5, 0))</f>
        <v>0</v>
      </c>
      <c r="H17" s="47">
        <f t="array" ref="H17">IF(AND(ISNUMBER(MATCH(H$2, AsistenciaJetAdminConcatenada!$A:$A, 0)), ISNUMBER(MATCH(H$1, AsistenciaJetAdminConcatenada!$B:$B, 0)), ISNUMBER(SEARCH($A17,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ISNUMBER(SEARCH($A17, INDEX(AsistenciaJetAdminConcatenada!$D:$D, MATCH(1, (AsistenciaJetAdminConcatenada!$A:$A=H$2)*(AsistenciaJetAdminConcatenada!$B:$B=H$1), 0)), 1))),  0.5, 0))</f>
        <v>1</v>
      </c>
      <c r="I17" s="47">
        <f t="array" ref="I17">IF(AND(ISNUMBER(MATCH(I$2, AsistenciaJetAdminConcatenada!$A:$A, 0)), ISNUMBER(MATCH(I$1, AsistenciaJetAdminConcatenada!$B:$B, 0)), ISNUMBER(SEARCH($A17,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ISNUMBER(SEARCH($A17, INDEX(AsistenciaJetAdminConcatenada!$D:$D, MATCH(1, (AsistenciaJetAdminConcatenada!$A:$A=I$2)*(AsistenciaJetAdminConcatenada!$B:$B=I$1), 0)), 1))),  0.5, 0))</f>
        <v>1</v>
      </c>
      <c r="J17" s="47">
        <f t="array" ref="J17">IF(AND(ISNUMBER(MATCH(J$2, AsistenciaJetAdminConcatenada!$A:$A, 0)), ISNUMBER(MATCH(J$1, AsistenciaJetAdminConcatenada!$B:$B, 0)), ISNUMBER(SEARCH($A17,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ISNUMBER(SEARCH($A17, INDEX(AsistenciaJetAdminConcatenada!$D:$D, MATCH(1, (AsistenciaJetAdminConcatenada!$A:$A=J$2)*(AsistenciaJetAdminConcatenada!$B:$B=J$1), 0)), 1))),  0.5, 0))</f>
        <v>1</v>
      </c>
      <c r="K17" s="47">
        <f t="array" ref="K17">IF(AND(ISNUMBER(MATCH(K$2, AsistenciaJetAdminConcatenada!$A:$A, 0)), ISNUMBER(MATCH(K$1, AsistenciaJetAdminConcatenada!$B:$B, 0)), ISNUMBER(SEARCH($A17,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ISNUMBER(SEARCH($A17, INDEX(AsistenciaJetAdminConcatenada!$D:$D, MATCH(1, (AsistenciaJetAdminConcatenada!$A:$A=K$2)*(AsistenciaJetAdminConcatenada!$B:$B=K$1), 0)), 1))),  0.5, 0))</f>
        <v>1</v>
      </c>
      <c r="L17" s="47">
        <f t="array" ref="L17">IF(AND(ISNUMBER(MATCH(L$2, AsistenciaJetAdminConcatenada!$A:$A, 0)), ISNUMBER(MATCH(L$1, AsistenciaJetAdminConcatenada!$B:$B, 0)), ISNUMBER(SEARCH($A17,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ISNUMBER(SEARCH($A17, INDEX(AsistenciaJetAdminConcatenada!$D:$D, MATCH(1, (AsistenciaJetAdminConcatenada!$A:$A=L$2)*(AsistenciaJetAdminConcatenada!$B:$B=L$1), 0)), 1))),  0.5, 0))</f>
        <v>1</v>
      </c>
      <c r="M17" s="47">
        <f t="array" ref="M17">IF(AND(ISNUMBER(MATCH(M$2, AsistenciaJetAdminConcatenada!$A:$A, 0)), ISNUMBER(MATCH(M$1, AsistenciaJetAdminConcatenada!$B:$B, 0)), ISNUMBER(SEARCH($A17,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ISNUMBER(SEARCH($A17, INDEX(AsistenciaJetAdminConcatenada!$D:$D, MATCH(1, (AsistenciaJetAdminConcatenada!$A:$A=M$2)*(AsistenciaJetAdminConcatenada!$B:$B=M$1), 0)), 1))),  0.5, 0))</f>
        <v>1</v>
      </c>
      <c r="N17" s="47">
        <f t="array" ref="N17">IF(AND(ISNUMBER(MATCH(N$2, AsistenciaJetAdminConcatenada!$A:$A, 0)), ISNUMBER(MATCH(N$1, AsistenciaJetAdminConcatenada!$B:$B, 0)), ISNUMBER(SEARCH($A17,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ISNUMBER(SEARCH($A17, INDEX(AsistenciaJetAdminConcatenada!$D:$D, MATCH(1, (AsistenciaJetAdminConcatenada!$A:$A=N$2)*(AsistenciaJetAdminConcatenada!$B:$B=N$1), 0)), 1))),  0.5, 0))</f>
        <v>0</v>
      </c>
      <c r="O17" s="47">
        <f t="array" ref="O17">IF(AND(ISNUMBER(MATCH(O$2, AsistenciaJetAdminConcatenada!$A:$A, 0)), ISNUMBER(MATCH(O$1, AsistenciaJetAdminConcatenada!$B:$B, 0)), ISNUMBER(SEARCH($A17,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ISNUMBER(SEARCH($A17, INDEX(AsistenciaJetAdminConcatenada!$D:$D, MATCH(1, (AsistenciaJetAdminConcatenada!$A:$A=O$2)*(AsistenciaJetAdminConcatenada!$B:$B=O$1), 0)), 1))),  0.5, 0))</f>
        <v>1</v>
      </c>
      <c r="P17" s="47">
        <f t="array" ref="P17">IF(AND(ISNUMBER(MATCH(P$2, AsistenciaJetAdminConcatenada!$A:$A, 0)), ISNUMBER(MATCH(P$1, AsistenciaJetAdminConcatenada!$B:$B, 0)), ISNUMBER(SEARCH($A17, INDEX(AsistenciaJetAdminConcatenada!$C:$C, MATCH(1, (AsistenciaJetAdminConcatenada!$A:$A=P$2)*(AsistenciaJetAdminConcatenada!$B:$B=P$1), 0)), 1))), 1, IF(AND(ISNUMBER(MATCH(P$2, AsistenciaJetAdminConcatenada!$A:$A, 0)), ISNUMBER(MATCH(P$1, AsistenciaJetAdminConcatenada!$B:$B, 0)), ISNUMBER(SEARCH($A17, INDEX(AsistenciaJetAdminConcatenada!$D:$D, MATCH(1, (AsistenciaJetAdminConcatenada!$A:$A=P$2)*(AsistenciaJetAdminConcatenada!$B:$B=P$1), 0)), 1))),  0.5, 0))</f>
        <v>0</v>
      </c>
      <c r="Q17" s="47">
        <f t="array" ref="Q17">IF(AND(ISNUMBER(MATCH(Q$2, AsistenciaJetAdminConcatenada!$A:$A, 0)), ISNUMBER(MATCH(Q$1, AsistenciaJetAdminConcatenada!$B:$B, 0)), ISNUMBER(SEARCH($A17, INDEX(AsistenciaJetAdminConcatenada!$C:$C, MATCH(1, (AsistenciaJetAdminConcatenada!$A:$A=Q$2)*(AsistenciaJetAdminConcatenada!$B:$B=Q$1), 0)), 1))), 1, IF(AND(ISNUMBER(MATCH(Q$2, AsistenciaJetAdminConcatenada!$A:$A, 0)), ISNUMBER(MATCH(Q$1, AsistenciaJetAdminConcatenada!$B:$B, 0)), ISNUMBER(SEARCH($A17, INDEX(AsistenciaJetAdminConcatenada!$D:$D, MATCH(1, (AsistenciaJetAdminConcatenada!$A:$A=Q$2)*(AsistenciaJetAdminConcatenada!$B:$B=Q$1), 0)), 1))),  0.5, 0))</f>
        <v>1</v>
      </c>
      <c r="R17" s="47">
        <f t="array" ref="R17">IF(AND(ISNUMBER(MATCH(R$2, AsistenciaJetAdminConcatenada!$A:$A, 0)), ISNUMBER(MATCH(R$1, AsistenciaJetAdminConcatenada!$B:$B, 0)), ISNUMBER(SEARCH($A17,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ISNUMBER(SEARCH($A17, INDEX(AsistenciaJetAdminConcatenada!$D:$D, MATCH(1, (AsistenciaJetAdminConcatenada!$A:$A=R$2)*(AsistenciaJetAdminConcatenada!$B:$B=R$1), 0)), 1))),  0.5, 0))</f>
        <v>1</v>
      </c>
      <c r="S17" s="47">
        <f t="array" ref="S17">IF(AND(ISNUMBER(MATCH(S$2, AsistenciaJetAdminConcatenada!$A:$A, 0)), ISNUMBER(MATCH(S$1, AsistenciaJetAdminConcatenada!$B:$B, 0)), ISNUMBER(SEARCH($A17,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ISNUMBER(SEARCH($A17, INDEX(AsistenciaJetAdminConcatenada!$D:$D, MATCH(1, (AsistenciaJetAdminConcatenada!$A:$A=S$2)*(AsistenciaJetAdminConcatenada!$B:$B=S$1), 0)), 1))),  0.5, 0))</f>
        <v>1</v>
      </c>
      <c r="T17" s="47">
        <f t="array" ref="T17">IF(AND(ISNUMBER(MATCH(T$2, AsistenciaJetAdminConcatenada!$A:$A, 0)), ISNUMBER(MATCH(T$1, AsistenciaJetAdminConcatenada!$B:$B, 0)), ISNUMBER(SEARCH($A17,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ISNUMBER(SEARCH($A17, INDEX(AsistenciaJetAdminConcatenada!$D:$D, MATCH(1, (AsistenciaJetAdminConcatenada!$A:$A=T$2)*(AsistenciaJetAdminConcatenada!$B:$B=T$1), 0)), 1))),  0.5, 0))</f>
        <v>1</v>
      </c>
      <c r="U17" s="47">
        <f t="array" ref="U17">IF(AND(ISNUMBER(MATCH(U$2, AsistenciaJetAdminConcatenada!$A:$A, 0)), ISNUMBER(MATCH(U$1, AsistenciaJetAdminConcatenada!$B:$B, 0)), ISNUMBER(SEARCH($A17,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ISNUMBER(SEARCH($A17, INDEX(AsistenciaJetAdminConcatenada!$D:$D, MATCH(1, (AsistenciaJetAdminConcatenada!$A:$A=U$2)*(AsistenciaJetAdminConcatenada!$B:$B=U$1), 0)), 1))),  0.5, 0))</f>
        <v>1</v>
      </c>
      <c r="V17" s="47">
        <f t="array" ref="V17">IF(AND(ISNUMBER(MATCH(V$2, AsistenciaJetAdminConcatenada!$A:$A, 0)), ISNUMBER(MATCH(V$1, AsistenciaJetAdminConcatenada!$B:$B, 0)), ISNUMBER(SEARCH($A17,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ISNUMBER(SEARCH($A17, INDEX(AsistenciaJetAdminConcatenada!$D:$D, MATCH(1, (AsistenciaJetAdminConcatenada!$A:$A=V$2)*(AsistenciaJetAdminConcatenada!$B:$B=V$1), 0)), 1))),  0.5, 0))</f>
        <v>0</v>
      </c>
      <c r="W17" s="47">
        <f t="array" ref="W17">IF(AND(ISNUMBER(MATCH(W$2, AsistenciaJetAdminConcatenada!$A:$A, 0)), ISNUMBER(MATCH(W$1, AsistenciaJetAdminConcatenada!$B:$B, 0)), ISNUMBER(SEARCH($A17,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ISNUMBER(SEARCH($A17, INDEX(AsistenciaJetAdminConcatenada!$D:$D, MATCH(1, (AsistenciaJetAdminConcatenada!$A:$A=W$2)*(AsistenciaJetAdminConcatenada!$B:$B=W$1), 0)), 1))),  0.5, 0))</f>
        <v>1</v>
      </c>
      <c r="X17" s="47">
        <f t="array" ref="X17">IF(AND(ISNUMBER(MATCH(X$2, AsistenciaJetAdminConcatenada!$A:$A, 0)), ISNUMBER(MATCH(X$1, AsistenciaJetAdminConcatenada!$B:$B, 0)), ISNUMBER(SEARCH($A17,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ISNUMBER(SEARCH($A17, INDEX(AsistenciaJetAdminConcatenada!$D:$D, MATCH(1, (AsistenciaJetAdminConcatenada!$A:$A=X$2)*(AsistenciaJetAdminConcatenada!$B:$B=X$1), 0)), 1))),  0.5, 0))</f>
        <v>1</v>
      </c>
      <c r="Y17" s="47">
        <f t="array" ref="Y17">IF(AND(ISNUMBER(MATCH(Y$2, AsistenciaJetAdminConcatenada!$A:$A, 0)), ISNUMBER(MATCH(Y$1, AsistenciaJetAdminConcatenada!$B:$B, 0)), ISNUMBER(SEARCH($A17,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ISNUMBER(SEARCH($A17, INDEX(AsistenciaJetAdminConcatenada!$D:$D, MATCH(1, (AsistenciaJetAdminConcatenada!$A:$A=Y$2)*(AsistenciaJetAdminConcatenada!$B:$B=Y$1), 0)), 1))),  0.5, 0))</f>
        <v>1</v>
      </c>
      <c r="Z17" s="47">
        <f t="array" ref="Z17">IF(AND(ISNUMBER(MATCH(Z$2, AsistenciaJetAdminConcatenada!$A:$A, 0)), ISNUMBER(MATCH(Z$1, AsistenciaJetAdminConcatenada!$B:$B, 0)), ISNUMBER(SEARCH($A17,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ISNUMBER(SEARCH($A17, INDEX(AsistenciaJetAdminConcatenada!$D:$D, MATCH(1, (AsistenciaJetAdminConcatenada!$A:$A=Z$2)*(AsistenciaJetAdminConcatenada!$B:$B=Z$1), 0)), 1))),  0.5, 0))</f>
        <v>1</v>
      </c>
      <c r="AA17" s="47">
        <f t="array" ref="AA17">IF(AND(ISNUMBER(MATCH(AA$2, AsistenciaJetAdminConcatenada!$A:$A, 0)), ISNUMBER(MATCH(AA$1, AsistenciaJetAdminConcatenada!$B:$B, 0)), ISNUMBER(SEARCH($A17,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ISNUMBER(SEARCH($A17, INDEX(AsistenciaJetAdminConcatenada!$D:$D, MATCH(1, (AsistenciaJetAdminConcatenada!$A:$A=AA$2)*(AsistenciaJetAdminConcatenada!$B:$B=AA$1), 0)), 1))),  0.5, 0))</f>
        <v>0</v>
      </c>
      <c r="AB17" s="47">
        <f t="array" ref="AB17">IF(AND(ISNUMBER(MATCH(AB$2, AsistenciaJetAdminConcatenada!$A:$A, 0)), ISNUMBER(MATCH(AB$1, AsistenciaJetAdminConcatenada!$B:$B, 0)), ISNUMBER(SEARCH($A17,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ISNUMBER(SEARCH($A17, INDEX(AsistenciaJetAdminConcatenada!$D:$D, MATCH(1, (AsistenciaJetAdminConcatenada!$A:$A=AB$2)*(AsistenciaJetAdminConcatenada!$B:$B=AB$1), 0)), 1))),  0.5, 0))</f>
        <v>1</v>
      </c>
      <c r="AC17" s="47">
        <f t="array" ref="AC17">IF(AND(ISNUMBER(MATCH(AC$2, AsistenciaJetAdminConcatenada!$A:$A, 0)), ISNUMBER(MATCH(AC$1, AsistenciaJetAdminConcatenada!$B:$B, 0)), ISNUMBER(SEARCH($A17,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ISNUMBER(SEARCH($A17, INDEX(AsistenciaJetAdminConcatenada!$D:$D, MATCH(1, (AsistenciaJetAdminConcatenada!$A:$A=AC$2)*(AsistenciaJetAdminConcatenada!$B:$B=AC$1), 0)), 1))),  0.5, 0))</f>
        <v>1</v>
      </c>
      <c r="AD17" s="47">
        <f t="array" ref="AD17">IF(AND(ISNUMBER(MATCH(AD$2, AsistenciaJetAdminConcatenada!$A:$A, 0)), ISNUMBER(MATCH(AD$1, AsistenciaJetAdminConcatenada!$B:$B, 0)), ISNUMBER(SEARCH($A17,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ISNUMBER(SEARCH($A17, INDEX(AsistenciaJetAdminConcatenada!$D:$D, MATCH(1, (AsistenciaJetAdminConcatenada!$A:$A=AD$2)*(AsistenciaJetAdminConcatenada!$B:$B=AD$1), 0)), 1))),  0.5, 0))</f>
        <v>1</v>
      </c>
      <c r="AE17" s="47">
        <f t="array" ref="AE17">IF(AND(ISNUMBER(MATCH(AE$2, AsistenciaJetAdminConcatenada!$A:$A, 0)), ISNUMBER(MATCH(AE$1, AsistenciaJetAdminConcatenada!$B:$B, 0)), ISNUMBER(SEARCH($A17,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ISNUMBER(SEARCH($A17, INDEX(AsistenciaJetAdminConcatenada!$D:$D, MATCH(1, (AsistenciaJetAdminConcatenada!$A:$A=AE$2)*(AsistenciaJetAdminConcatenada!$B:$B=AE$1), 0)), 1))),  0.5, 0))</f>
        <v>0</v>
      </c>
      <c r="AF17" s="47">
        <f t="array" ref="AF17">IF(AND(ISNUMBER(MATCH(AF$2, AsistenciaJetAdminConcatenada!$A:$A, 0)), ISNUMBER(MATCH(AF$1, AsistenciaJetAdminConcatenada!$B:$B, 0)), ISNUMBER(SEARCH($A17,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ISNUMBER(SEARCH($A17, INDEX(AsistenciaJetAdminConcatenada!$D:$D, MATCH(1, (AsistenciaJetAdminConcatenada!$A:$A=AF$2)*(AsistenciaJetAdminConcatenada!$B:$B=AF$1), 0)), 1))),  0.5, 0))</f>
        <v>1</v>
      </c>
      <c r="AG17" s="47">
        <f t="array" ref="AG17">IF(AND(ISNUMBER(MATCH(AG$2, AsistenciaJetAdminConcatenada!$A:$A, 0)), ISNUMBER(MATCH(AG$1, AsistenciaJetAdminConcatenada!$B:$B, 0)), ISNUMBER(SEARCH($A17,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ISNUMBER(SEARCH($A17, INDEX(AsistenciaJetAdminConcatenada!$D:$D, MATCH(1, (AsistenciaJetAdminConcatenada!$A:$A=AG$2)*(AsistenciaJetAdminConcatenada!$B:$B=AG$1), 0)), 1))),  0.5, 0))</f>
        <v>0</v>
      </c>
      <c r="AH17" s="47">
        <f t="array" ref="AH17">IF(AND(ISNUMBER(MATCH(AH$2, AsistenciaJetAdminConcatenada!$A:$A, 0)), ISNUMBER(MATCH(AH$1, AsistenciaJetAdminConcatenada!$B:$B, 0)), ISNUMBER(SEARCH($A17,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ISNUMBER(SEARCH($A17, INDEX(AsistenciaJetAdminConcatenada!$D:$D, MATCH(1, (AsistenciaJetAdminConcatenada!$A:$A=AH$2)*(AsistenciaJetAdminConcatenada!$B:$B=AH$1), 0)), 1))),  0.5, 0))</f>
        <v>0</v>
      </c>
      <c r="AI17" s="47">
        <f t="array" ref="AI17">IF(AND(ISNUMBER(MATCH(AI$2, AsistenciaJetAdminConcatenada!$A:$A, 0)), ISNUMBER(MATCH(AI$1, AsistenciaJetAdminConcatenada!$B:$B, 0)), ISNUMBER(SEARCH($A17,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ISNUMBER(SEARCH($A17, INDEX(AsistenciaJetAdminConcatenada!$D:$D, MATCH(1, (AsistenciaJetAdminConcatenada!$A:$A=AI$2)*(AsistenciaJetAdminConcatenada!$B:$B=AI$1), 0)), 1))),  0.5, 0))</f>
        <v>1</v>
      </c>
      <c r="AJ17" s="47">
        <f t="array" ref="AJ17">IF(AND(ISNUMBER(MATCH(AJ$2, AsistenciaJetAdminConcatenada!$A:$A, 0)), ISNUMBER(MATCH(AJ$1, AsistenciaJetAdminConcatenada!$B:$B, 0)), ISNUMBER(SEARCH($A17,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ISNUMBER(SEARCH($A17, INDEX(AsistenciaJetAdminConcatenada!$D:$D, MATCH(1, (AsistenciaJetAdminConcatenada!$A:$A=AJ$2)*(AsistenciaJetAdminConcatenada!$B:$B=AJ$1), 0)), 1))),  0.5, 0))</f>
        <v>1</v>
      </c>
      <c r="AK17" s="47">
        <f t="array" ref="AK17">IF(AND(ISNUMBER(MATCH(AK$2, AsistenciaJetAdminConcatenada!$A:$A, 0)), ISNUMBER(MATCH(AK$1, AsistenciaJetAdminConcatenada!$B:$B, 0)), ISNUMBER(SEARCH($A17,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ISNUMBER(SEARCH($A17, INDEX(AsistenciaJetAdminConcatenada!$D:$D, MATCH(1, (AsistenciaJetAdminConcatenada!$A:$A=AK$2)*(AsistenciaJetAdminConcatenada!$B:$B=AK$1), 0)), 1))),  0.5, 0))</f>
        <v>0</v>
      </c>
      <c r="AL17" s="47">
        <f t="array" ref="AL17">IF(AND(ISNUMBER(MATCH(AL$2, AsistenciaJetAdminConcatenada!$A:$A, 0)), ISNUMBER(MATCH(AL$1, AsistenciaJetAdminConcatenada!$B:$B, 0)), ISNUMBER(SEARCH($A17,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ISNUMBER(SEARCH($A17, INDEX(AsistenciaJetAdminConcatenada!$D:$D, MATCH(1, (AsistenciaJetAdminConcatenada!$A:$A=AL$2)*(AsistenciaJetAdminConcatenada!$B:$B=AL$1), 0)), 1))),  0.5, 0))</f>
        <v>1</v>
      </c>
      <c r="AM17" s="47">
        <f t="array" ref="AM17">IF(AND(ISNUMBER(MATCH(AM$2, AsistenciaJetAdminConcatenada!$A:$A, 0)), ISNUMBER(MATCH(AM$1, AsistenciaJetAdminConcatenada!$B:$B, 0)), ISNUMBER(SEARCH($A17,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ISNUMBER(SEARCH($A17, INDEX(AsistenciaJetAdminConcatenada!$D:$D, MATCH(1, (AsistenciaJetAdminConcatenada!$A:$A=AM$2)*(AsistenciaJetAdminConcatenada!$B:$B=AM$1), 0)), 1))),  0.5, 0))</f>
        <v>1</v>
      </c>
      <c r="AN17" s="47">
        <f t="array" ref="AN17">IF(AND(ISNUMBER(MATCH(AN$2, AsistenciaJetAdminConcatenada!$A:$A, 0)), ISNUMBER(MATCH(AN$1, AsistenciaJetAdminConcatenada!$B:$B, 0)), ISNUMBER(SEARCH($A17,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ISNUMBER(SEARCH($A17, INDEX(AsistenciaJetAdminConcatenada!$D:$D, MATCH(1, (AsistenciaJetAdminConcatenada!$A:$A=AN$2)*(AsistenciaJetAdminConcatenada!$B:$B=AN$1), 0)), 1))),  0.5, 0))</f>
        <v>0</v>
      </c>
      <c r="AO17" s="47">
        <f t="array" ref="AO17">IF(AND(ISNUMBER(MATCH(AO$2, AsistenciaJetAdminConcatenada!$A:$A, 0)), ISNUMBER(MATCH(AO$1, AsistenciaJetAdminConcatenada!$B:$B, 0)), ISNUMBER(SEARCH($A17,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ISNUMBER(SEARCH($A17, INDEX(AsistenciaJetAdminConcatenada!$D:$D, MATCH(1, (AsistenciaJetAdminConcatenada!$A:$A=AO$2)*(AsistenciaJetAdminConcatenada!$B:$B=AO$1), 0)), 1))),  0.5, 0))</f>
        <v>0</v>
      </c>
      <c r="AP17" s="47">
        <f t="array" ref="AP17">IF(AND(ISNUMBER(MATCH(AP$2, AsistenciaJetAdminConcatenada!$A:$A, 0)), ISNUMBER(MATCH(AP$1, AsistenciaJetAdminConcatenada!$B:$B, 0)), ISNUMBER(SEARCH($A17,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ISNUMBER(SEARCH($A17, INDEX(AsistenciaJetAdminConcatenada!$D:$D, MATCH(1, (AsistenciaJetAdminConcatenada!$A:$A=AP$2)*(AsistenciaJetAdminConcatenada!$B:$B=AP$1), 0)), 1))),  0.5, 0))</f>
        <v>0</v>
      </c>
      <c r="AQ17" s="47">
        <f t="array" ref="AQ17">IF(AND(ISNUMBER(MATCH(AQ$2, AsistenciaJetAdminConcatenada!$A:$A, 0)), ISNUMBER(MATCH(AQ$1, AsistenciaJetAdminConcatenada!$B:$B, 0)), ISNUMBER(SEARCH($A17,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ISNUMBER(SEARCH($A17, INDEX(AsistenciaJetAdminConcatenada!$D:$D, MATCH(1, (AsistenciaJetAdminConcatenada!$A:$A=AQ$2)*(AsistenciaJetAdminConcatenada!$B:$B=AQ$1), 0)), 1))),  0.5, 0))</f>
        <v>0</v>
      </c>
      <c r="AR17" s="47">
        <f t="array" ref="AR17">IF(AND(ISNUMBER(MATCH(AR$2, AsistenciaJetAdminConcatenada!$A:$A, 0)), ISNUMBER(MATCH(AR$1, AsistenciaJetAdminConcatenada!$B:$B, 0)), ISNUMBER(SEARCH($A17,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ISNUMBER(SEARCH($A17, INDEX(AsistenciaJetAdminConcatenada!$D:$D, MATCH(1, (AsistenciaJetAdminConcatenada!$A:$A=AR$2)*(AsistenciaJetAdminConcatenada!$B:$B=AR$1), 0)), 1))),  0.5, 0))</f>
        <v>1</v>
      </c>
      <c r="AS17" s="47">
        <f t="array" ref="AS17">IF(AND(ISNUMBER(MATCH(AS$2, AsistenciaJetAdminConcatenada!$A:$A, 0)), ISNUMBER(MATCH(AS$1, AsistenciaJetAdminConcatenada!$B:$B, 0)), ISNUMBER(SEARCH($A17,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ISNUMBER(SEARCH($A17, INDEX(AsistenciaJetAdminConcatenada!$D:$D, MATCH(1, (AsistenciaJetAdminConcatenada!$A:$A=AS$2)*(AsistenciaJetAdminConcatenada!$B:$B=AS$1), 0)), 1))),  0.5, 0))</f>
        <v>1</v>
      </c>
      <c r="AT17" s="47">
        <f t="array" ref="AT17">IF(AND(ISNUMBER(MATCH(AT$2, AsistenciaJetAdminConcatenada!$A:$A, 0)), ISNUMBER(MATCH(AT$1, AsistenciaJetAdminConcatenada!$B:$B, 0)), ISNUMBER(SEARCH($A17,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ISNUMBER(SEARCH($A17, INDEX(AsistenciaJetAdminConcatenada!$D:$D, MATCH(1, (AsistenciaJetAdminConcatenada!$A:$A=AT$2)*(AsistenciaJetAdminConcatenada!$B:$B=AT$1), 0)), 1))),  0.5, 0))</f>
        <v>0</v>
      </c>
      <c r="AU17" s="47">
        <f t="array" ref="AU17">IF(AND(ISNUMBER(MATCH(AU$2, AsistenciaJetAdminConcatenada!$A:$A, 0)), ISNUMBER(MATCH(AU$1, AsistenciaJetAdminConcatenada!$B:$B, 0)), ISNUMBER(SEARCH($A17,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ISNUMBER(SEARCH($A17, INDEX(AsistenciaJetAdminConcatenada!$D:$D, MATCH(1, (AsistenciaJetAdminConcatenada!$A:$A=AU$2)*(AsistenciaJetAdminConcatenada!$B:$B=AU$1), 0)), 1))),  0.5, 0))</f>
        <v>1</v>
      </c>
      <c r="AV17" s="47">
        <f t="array" ref="AV17">IF(AND(ISNUMBER(MATCH(AV$2, AsistenciaJetAdminConcatenada!$A:$A, 0)), ISNUMBER(MATCH(AV$1, AsistenciaJetAdminConcatenada!$B:$B, 0)), ISNUMBER(SEARCH($A17,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ISNUMBER(SEARCH($A17, INDEX(AsistenciaJetAdminConcatenada!$D:$D, MATCH(1, (AsistenciaJetAdminConcatenada!$A:$A=AV$2)*(AsistenciaJetAdminConcatenada!$B:$B=AV$1), 0)), 1))),  0.5, 0))</f>
        <v>1</v>
      </c>
      <c r="AW17" s="47">
        <f t="array" ref="AW17">IF(AND(ISNUMBER(MATCH(AW$2, AsistenciaJetAdminConcatenada!$A:$A, 0)), ISNUMBER(MATCH(AW$1, AsistenciaJetAdminConcatenada!$B:$B, 0)), ISNUMBER(SEARCH($A17,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ISNUMBER(SEARCH($A17, INDEX(AsistenciaJetAdminConcatenada!$D:$D, MATCH(1, (AsistenciaJetAdminConcatenada!$A:$A=AW$2)*(AsistenciaJetAdminConcatenada!$B:$B=AW$1), 0)), 1))),  0.5, 0))</f>
        <v>0</v>
      </c>
      <c r="AX17" s="47">
        <f t="array" ref="AX17">IF(AND(ISNUMBER(MATCH(AX$2, AsistenciaJetAdminConcatenada!$A:$A, 0)), ISNUMBER(MATCH(AX$1, AsistenciaJetAdminConcatenada!$B:$B, 0)), ISNUMBER(SEARCH($A17,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ISNUMBER(SEARCH($A17, INDEX(AsistenciaJetAdminConcatenada!$D:$D, MATCH(1, (AsistenciaJetAdminConcatenada!$A:$A=AX$2)*(AsistenciaJetAdminConcatenada!$B:$B=AX$1), 0)), 1))),  0.5, 0))</f>
        <v>1</v>
      </c>
      <c r="AY17" s="47">
        <f t="array" ref="AY17">IF(AND(ISNUMBER(MATCH(AY$2, AsistenciaJetAdminConcatenada!$A:$A, 0)), ISNUMBER(MATCH(AY$1, AsistenciaJetAdminConcatenada!$B:$B, 0)), ISNUMBER(SEARCH($A17,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ISNUMBER(SEARCH($A17, INDEX(AsistenciaJetAdminConcatenada!$D:$D, MATCH(1, (AsistenciaJetAdminConcatenada!$A:$A=AY$2)*(AsistenciaJetAdminConcatenada!$B:$B=AY$1), 0)), 1))),  0.5, 0))</f>
        <v>1</v>
      </c>
      <c r="AZ17" s="47">
        <f t="array" ref="AZ17">IF(AND(ISNUMBER(MATCH(AZ$2, AsistenciaJetAdminConcatenada!$A:$A, 0)), ISNUMBER(MATCH(AZ$1, AsistenciaJetAdminConcatenada!$B:$B, 0)), ISNUMBER(SEARCH($A17,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ISNUMBER(SEARCH($A17, INDEX(AsistenciaJetAdminConcatenada!$D:$D, MATCH(1, (AsistenciaJetAdminConcatenada!$A:$A=AZ$2)*(AsistenciaJetAdminConcatenada!$B:$B=AZ$1), 0)), 1))),  0.5, 0))</f>
        <v>0</v>
      </c>
      <c r="BA17" s="47">
        <f t="array" ref="BA17">IF(AND(ISNUMBER(MATCH(BA$2, AsistenciaJetAdminConcatenada!$A:$A, 0)), ISNUMBER(MATCH(BA$1, AsistenciaJetAdminConcatenada!$B:$B, 0)), ISNUMBER(SEARCH($A17,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ISNUMBER(SEARCH($A17, INDEX(AsistenciaJetAdminConcatenada!$D:$D, MATCH(1, (AsistenciaJetAdminConcatenada!$A:$A=BA$2)*(AsistenciaJetAdminConcatenada!$B:$B=BA$1), 0)), 1))),  0.5, 0))</f>
        <v>0</v>
      </c>
      <c r="BB17" s="47">
        <f t="array" ref="BB17">IF(AND(ISNUMBER(MATCH(BB$2, AsistenciaJetAdminConcatenada!$A:$A, 0)), ISNUMBER(MATCH(BB$1, AsistenciaJetAdminConcatenada!$B:$B, 0)), ISNUMBER(SEARCH($A17,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ISNUMBER(SEARCH($A17, INDEX(AsistenciaJetAdminConcatenada!$D:$D, MATCH(1, (AsistenciaJetAdminConcatenada!$A:$A=BB$2)*(AsistenciaJetAdminConcatenada!$B:$B=BB$1), 0)), 1))),  0.5, 0))</f>
        <v>1</v>
      </c>
      <c r="BC17" s="47">
        <f t="array" ref="BC17">IF(AND(ISNUMBER(MATCH(BC$2, AsistenciaJetAdminConcatenada!$A:$A, 0)), ISNUMBER(MATCH(BC$1, AsistenciaJetAdminConcatenada!$B:$B, 0)), ISNUMBER(SEARCH($A17,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ISNUMBER(SEARCH($A17, INDEX(AsistenciaJetAdminConcatenada!$D:$D, MATCH(1, (AsistenciaJetAdminConcatenada!$A:$A=BC$2)*(AsistenciaJetAdminConcatenada!$B:$B=BC$1), 0)), 1))),  0.5, 0))</f>
        <v>1</v>
      </c>
      <c r="BD17" s="47">
        <f t="array" ref="BD17">IF(AND(ISNUMBER(MATCH(BD$2, AsistenciaJetAdminConcatenada!$A:$A, 0)), ISNUMBER(MATCH(BD$1, AsistenciaJetAdminConcatenada!$B:$B, 0)), ISNUMBER(SEARCH($A17,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ISNUMBER(SEARCH($A17, INDEX(AsistenciaJetAdminConcatenada!$D:$D, MATCH(1, (AsistenciaJetAdminConcatenada!$A:$A=BD$2)*(AsistenciaJetAdminConcatenada!$B:$B=BD$1), 0)), 1))),  0.5, 0))</f>
        <v>0</v>
      </c>
      <c r="BE17" s="47">
        <f t="array" ref="BE17">IF(AND(ISNUMBER(MATCH(BE$2, AsistenciaJetAdminConcatenada!$A:$A, 0)), ISNUMBER(MATCH(BE$1, AsistenciaJetAdminConcatenada!$B:$B, 0)), ISNUMBER(SEARCH($A17,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ISNUMBER(SEARCH($A17, INDEX(AsistenciaJetAdminConcatenada!$D:$D, MATCH(1, (AsistenciaJetAdminConcatenada!$A:$A=BE$2)*(AsistenciaJetAdminConcatenada!$B:$B=BE$1), 0)), 1))),  0.5, 0))</f>
        <v>0</v>
      </c>
      <c r="BF17" s="47">
        <f t="array" ref="BF17">IF(AND(ISNUMBER(MATCH(BF$2, AsistenciaJetAdminConcatenada!$A:$A, 0)), ISNUMBER(MATCH(BF$1, AsistenciaJetAdminConcatenada!$B:$B, 0)), ISNUMBER(SEARCH($A17,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ISNUMBER(SEARCH($A17, INDEX(AsistenciaJetAdminConcatenada!$D:$D, MATCH(1, (AsistenciaJetAdminConcatenada!$A:$A=BF$2)*(AsistenciaJetAdminConcatenada!$B:$B=BF$1), 0)), 1))),  0.5, 0))</f>
        <v>1</v>
      </c>
      <c r="BG17" s="47">
        <f t="array" ref="BG17">IF(AND(ISNUMBER(MATCH(BG$2, AsistenciaJetAdminConcatenada!$A:$A, 0)), ISNUMBER(MATCH(BG$1, AsistenciaJetAdminConcatenada!$B:$B, 0)), ISNUMBER(SEARCH($A17,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ISNUMBER(SEARCH($A17, INDEX(AsistenciaJetAdminConcatenada!$D:$D, MATCH(1, (AsistenciaJetAdminConcatenada!$A:$A=BG$2)*(AsistenciaJetAdminConcatenada!$B:$B=BG$1), 0)), 1))),  0.5, 0))</f>
        <v>1</v>
      </c>
      <c r="BH17" s="47">
        <f t="array" ref="BH17">IF(AND(ISNUMBER(MATCH(BH$2, AsistenciaJetAdminConcatenada!$A:$A, 0)), ISNUMBER(MATCH(BH$1, AsistenciaJetAdminConcatenada!$B:$B, 0)), ISNUMBER(SEARCH($A17,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ISNUMBER(SEARCH($A17, INDEX(AsistenciaJetAdminConcatenada!$D:$D, MATCH(1, (AsistenciaJetAdminConcatenada!$A:$A=BH$2)*(AsistenciaJetAdminConcatenada!$B:$B=BH$1), 0)), 1))),  0.5, 0))</f>
        <v>1</v>
      </c>
      <c r="BI17" s="47">
        <f t="array" ref="BI17">IF(AND(ISNUMBER(MATCH(BI$2, AsistenciaJetAdminConcatenada!$A:$A, 0)), ISNUMBER(MATCH(BI$1, AsistenciaJetAdminConcatenada!$B:$B, 0)), ISNUMBER(SEARCH($A17,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ISNUMBER(SEARCH($A17, INDEX(AsistenciaJetAdminConcatenada!$D:$D, MATCH(1, (AsistenciaJetAdminConcatenada!$A:$A=BI$2)*(AsistenciaJetAdminConcatenada!$B:$B=BI$1), 0)), 1))),  0.5, 0))</f>
        <v>1</v>
      </c>
      <c r="BJ17" s="47">
        <f t="array" ref="BJ17">IF(AND(ISNUMBER(MATCH(BJ$2, AsistenciaJetAdminConcatenada!$A:$A, 0)), ISNUMBER(MATCH(BJ$1, AsistenciaJetAdminConcatenada!$B:$B, 0)), ISNUMBER(SEARCH($A17,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ISNUMBER(SEARCH($A17, INDEX(AsistenciaJetAdminConcatenada!$D:$D, MATCH(1, (AsistenciaJetAdminConcatenada!$A:$A=BJ$2)*(AsistenciaJetAdminConcatenada!$B:$B=BJ$1), 0)), 1))),  0.5, 0))</f>
        <v>1</v>
      </c>
      <c r="BK17" s="47">
        <f t="array" ref="BK17">IF(AND(ISNUMBER(MATCH(BK$2, AsistenciaJetAdminConcatenada!$A:$A, 0)), ISNUMBER(MATCH(BK$1, AsistenciaJetAdminConcatenada!$B:$B, 0)), ISNUMBER(SEARCH($A17,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ISNUMBER(SEARCH($A17, INDEX(AsistenciaJetAdminConcatenada!$D:$D, MATCH(1, (AsistenciaJetAdminConcatenada!$A:$A=BK$2)*(AsistenciaJetAdminConcatenada!$B:$B=BK$1), 0)), 1))),  0.5, 0))</f>
        <v>1</v>
      </c>
      <c r="BL17" s="47">
        <f t="array" ref="BL17">IF(AND(ISNUMBER(MATCH(BL$2, AsistenciaJetAdminConcatenada!$A:$A, 0)), ISNUMBER(MATCH(BL$1, AsistenciaJetAdminConcatenada!$B:$B, 0)), ISNUMBER(SEARCH($A17,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ISNUMBER(SEARCH($A17, INDEX(AsistenciaJetAdminConcatenada!$D:$D, MATCH(1, (AsistenciaJetAdminConcatenada!$A:$A=BL$2)*(AsistenciaJetAdminConcatenada!$B:$B=BL$1), 0)), 1))),  0.5, 0))</f>
        <v>1</v>
      </c>
      <c r="BM17" s="47">
        <f t="array" ref="BM17">IF(AND(ISNUMBER(MATCH(BM$2, AsistenciaJetAdminConcatenada!$A:$A, 0)), ISNUMBER(MATCH(BM$1, AsistenciaJetAdminConcatenada!$B:$B, 0)), ISNUMBER(SEARCH($A17,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ISNUMBER(SEARCH($A17, INDEX(AsistenciaJetAdminConcatenada!$D:$D, MATCH(1, (AsistenciaJetAdminConcatenada!$A:$A=BM$2)*(AsistenciaJetAdminConcatenada!$B:$B=BM$1), 0)), 1))),  0.5, 0))</f>
        <v>1</v>
      </c>
      <c r="BN17" s="47">
        <f t="array" ref="BN17">IF(AND(ISNUMBER(MATCH(BN$2, AsistenciaJetAdminConcatenada!$A:$A, 0)), ISNUMBER(MATCH(BN$1, AsistenciaJetAdminConcatenada!$B:$B, 0)), ISNUMBER(SEARCH($A17,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ISNUMBER(SEARCH($A17, INDEX(AsistenciaJetAdminConcatenada!$D:$D, MATCH(1, (AsistenciaJetAdminConcatenada!$A:$A=BN$2)*(AsistenciaJetAdminConcatenada!$B:$B=BN$1), 0)), 1))),  0.5, 0))</f>
        <v>1</v>
      </c>
      <c r="BO17" s="47">
        <f t="array" ref="BO17">IF(AND(ISNUMBER(MATCH(BO$2, AsistenciaJetAdminConcatenada!$A:$A, 0)), ISNUMBER(MATCH(BO$1, AsistenciaJetAdminConcatenada!$B:$B, 0)), ISNUMBER(SEARCH($A17,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ISNUMBER(SEARCH($A17, INDEX(AsistenciaJetAdminConcatenada!$D:$D, MATCH(1, (AsistenciaJetAdminConcatenada!$A:$A=BO$2)*(AsistenciaJetAdminConcatenada!$B:$B=BO$1), 0)), 1))),  0.5, 0))</f>
        <v>0</v>
      </c>
      <c r="BP17" s="47">
        <f t="array" ref="BP17">IF(AND(ISNUMBER(MATCH(BP$2, AsistenciaJetAdminConcatenada!$A:$A, 0)), ISNUMBER(MATCH(BP$1, AsistenciaJetAdminConcatenada!$B:$B, 0)), ISNUMBER(SEARCH($A17,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ISNUMBER(SEARCH($A17, INDEX(AsistenciaJetAdminConcatenada!$D:$D, MATCH(1, (AsistenciaJetAdminConcatenada!$A:$A=BP$2)*(AsistenciaJetAdminConcatenada!$B:$B=BP$1), 0)), 1))),  0.5, 0))</f>
        <v>1</v>
      </c>
      <c r="BQ17" s="47">
        <f t="array" ref="BQ17">IF(AND(ISNUMBER(MATCH(BQ$2, AsistenciaJetAdminConcatenada!$A:$A, 0)), ISNUMBER(MATCH(BQ$1, AsistenciaJetAdminConcatenada!$B:$B, 0)), ISNUMBER(SEARCH($A17,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ISNUMBER(SEARCH($A17, INDEX(AsistenciaJetAdminConcatenada!$D:$D, MATCH(1, (AsistenciaJetAdminConcatenada!$A:$A=BQ$2)*(AsistenciaJetAdminConcatenada!$B:$B=BQ$1), 0)), 1))),  0.5, 0))</f>
        <v>1</v>
      </c>
      <c r="BR17" s="47">
        <f t="array" ref="BR17">IF(AND(ISNUMBER(MATCH(BR$2, AsistenciaJetAdminConcatenada!$A:$A, 0)), ISNUMBER(MATCH(BR$1, AsistenciaJetAdminConcatenada!$B:$B, 0)), ISNUMBER(SEARCH($A17,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ISNUMBER(SEARCH($A17, INDEX(AsistenciaJetAdminConcatenada!$D:$D, MATCH(1, (AsistenciaJetAdminConcatenada!$A:$A=BR$2)*(AsistenciaJetAdminConcatenada!$B:$B=BR$1), 0)), 1))),  0.5, 0))</f>
        <v>1</v>
      </c>
      <c r="BS17" s="47">
        <f t="array" ref="BS17">IF(AND(ISNUMBER(MATCH(BS$2, AsistenciaJetAdminConcatenada!$A:$A, 0)), ISNUMBER(MATCH(BS$1, AsistenciaJetAdminConcatenada!$B:$B, 0)), ISNUMBER(SEARCH($A17,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ISNUMBER(SEARCH($A17, INDEX(AsistenciaJetAdminConcatenada!$D:$D, MATCH(1, (AsistenciaJetAdminConcatenada!$A:$A=BS$2)*(AsistenciaJetAdminConcatenada!$B:$B=BS$1), 0)), 1))),  0.5, 0))</f>
        <v>1</v>
      </c>
      <c r="BT17" s="47">
        <f t="array" ref="BT17">IF(AND(ISNUMBER(MATCH(BT$2, AsistenciaJetAdminConcatenada!$A:$A, 0)), ISNUMBER(MATCH(BT$1, AsistenciaJetAdminConcatenada!$B:$B, 0)), ISNUMBER(SEARCH($A17,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ISNUMBER(SEARCH($A17, INDEX(AsistenciaJetAdminConcatenada!$D:$D, MATCH(1, (AsistenciaJetAdminConcatenada!$A:$A=BT$2)*(AsistenciaJetAdminConcatenada!$B:$B=BT$1), 0)), 1))),  0.5, 0))</f>
        <v>1</v>
      </c>
      <c r="BU17" s="47">
        <f t="array" ref="BU17">IF(AND(ISNUMBER(MATCH(BU$2, AsistenciaJetAdminConcatenada!$A:$A, 0)), ISNUMBER(MATCH(BU$1, AsistenciaJetAdminConcatenada!$B:$B, 0)), ISNUMBER(SEARCH($A17,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ISNUMBER(SEARCH($A17, INDEX(AsistenciaJetAdminConcatenada!$D:$D, MATCH(1, (AsistenciaJetAdminConcatenada!$A:$A=BU$2)*(AsistenciaJetAdminConcatenada!$B:$B=BU$1), 0)), 1))),  0.5, 0))</f>
        <v>1</v>
      </c>
      <c r="BV17" s="47">
        <f t="array" ref="BV17">IF(AND(ISNUMBER(MATCH(BV$2, AsistenciaJetAdminConcatenada!$A:$A, 0)), ISNUMBER(MATCH(BV$1, AsistenciaJetAdminConcatenada!$B:$B, 0)), ISNUMBER(SEARCH($A17,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ISNUMBER(SEARCH($A17, INDEX(AsistenciaJetAdminConcatenada!$D:$D, MATCH(1, (AsistenciaJetAdminConcatenada!$A:$A=BV$2)*(AsistenciaJetAdminConcatenada!$B:$B=BV$1), 0)), 1))),  0.5, 0))</f>
        <v>0</v>
      </c>
      <c r="BW17" s="47">
        <f t="array" ref="BW17">IF(AND(ISNUMBER(MATCH(BW$2, AsistenciaJetAdminConcatenada!$A:$A, 0)), ISNUMBER(MATCH(BW$1, AsistenciaJetAdminConcatenada!$B:$B, 0)), ISNUMBER(SEARCH($A17,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ISNUMBER(SEARCH($A17, INDEX(AsistenciaJetAdminConcatenada!$D:$D, MATCH(1, (AsistenciaJetAdminConcatenada!$A:$A=BW$2)*(AsistenciaJetAdminConcatenada!$B:$B=BW$1), 0)), 1))),  0.5, 0))</f>
        <v>1</v>
      </c>
      <c r="BX17" s="47">
        <f t="array" ref="BX17">IF(AND(ISNUMBER(MATCH(BX$2, AsistenciaJetAdminConcatenada!$A:$A, 0)), ISNUMBER(MATCH(BX$1, AsistenciaJetAdminConcatenada!$B:$B, 0)), ISNUMBER(SEARCH($A17,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ISNUMBER(SEARCH($A17, INDEX(AsistenciaJetAdminConcatenada!$D:$D, MATCH(1, (AsistenciaJetAdminConcatenada!$A:$A=BX$2)*(AsistenciaJetAdminConcatenada!$B:$B=BX$1), 0)), 1))),  0.5, 0))</f>
        <v>1</v>
      </c>
      <c r="BY17" s="47">
        <f t="array" ref="BY17">IF(AND(ISNUMBER(MATCH(BY$2, AsistenciaJetAdminConcatenada!$A:$A, 0)), ISNUMBER(MATCH(BY$1, AsistenciaJetAdminConcatenada!$B:$B, 0)), ISNUMBER(SEARCH($A17,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ISNUMBER(SEARCH($A17, INDEX(AsistenciaJetAdminConcatenada!$D:$D, MATCH(1, (AsistenciaJetAdminConcatenada!$A:$A=BY$2)*(AsistenciaJetAdminConcatenada!$B:$B=BY$1), 0)), 1))),  0.5, 0))</f>
        <v>0</v>
      </c>
      <c r="BZ17" s="47">
        <f t="array" ref="BZ17">IF(AND(ISNUMBER(MATCH(BZ$2, AsistenciaJetAdminConcatenada!$A:$A, 0)), ISNUMBER(MATCH(BZ$1, AsistenciaJetAdminConcatenada!$B:$B, 0)), ISNUMBER(SEARCH($A17,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ISNUMBER(SEARCH($A17, INDEX(AsistenciaJetAdminConcatenada!$D:$D, MATCH(1, (AsistenciaJetAdminConcatenada!$A:$A=BZ$2)*(AsistenciaJetAdminConcatenada!$B:$B=BZ$1), 0)), 1))),  0.5, 0))</f>
        <v>0</v>
      </c>
      <c r="CA17" s="47">
        <f t="array" ref="CA17">IF(AND(ISNUMBER(MATCH(CA$2, AsistenciaJetAdminConcatenada!$A:$A, 0)), ISNUMBER(MATCH(CA$1, AsistenciaJetAdminConcatenada!$B:$B, 0)), ISNUMBER(SEARCH($A17,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ISNUMBER(SEARCH($A17, INDEX(AsistenciaJetAdminConcatenada!$D:$D, MATCH(1, (AsistenciaJetAdminConcatenada!$A:$A=CA$2)*(AsistenciaJetAdminConcatenada!$B:$B=CA$1), 0)), 1))),  0.5, 0))</f>
        <v>1</v>
      </c>
      <c r="CB17" s="47">
        <f t="array" ref="CB17">IF(AND(ISNUMBER(MATCH(CB$2, AsistenciaJetAdminConcatenada!$A:$A, 0)), ISNUMBER(MATCH(CB$1, AsistenciaJetAdminConcatenada!$B:$B, 0)), ISNUMBER(SEARCH($A17,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ISNUMBER(SEARCH($A17, INDEX(AsistenciaJetAdminConcatenada!$D:$D, MATCH(1, (AsistenciaJetAdminConcatenada!$A:$A=CB$2)*(AsistenciaJetAdminConcatenada!$B:$B=CB$1), 0)), 1))),  0.5, 0))</f>
        <v>0</v>
      </c>
      <c r="CC17" s="47">
        <f t="array" ref="CC17">IF(AND(ISNUMBER(MATCH(CC$2, AsistenciaJetAdminConcatenada!$A:$A, 0)), ISNUMBER(MATCH(CC$1, AsistenciaJetAdminConcatenada!$B:$B, 0)), ISNUMBER(SEARCH($A17,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ISNUMBER(SEARCH($A17, INDEX(AsistenciaJetAdminConcatenada!$D:$D, MATCH(1, (AsistenciaJetAdminConcatenada!$A:$A=CC$2)*(AsistenciaJetAdminConcatenada!$B:$B=CC$1), 0)), 1))),  0.5, 0))</f>
        <v>1</v>
      </c>
      <c r="CD17" s="47">
        <f t="array" ref="CD17">IF(AND(ISNUMBER(MATCH(CD$2, AsistenciaJetAdminConcatenada!$A:$A, 0)), ISNUMBER(MATCH(CD$1, AsistenciaJetAdminConcatenada!$B:$B, 0)), ISNUMBER(SEARCH($A17,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ISNUMBER(SEARCH($A17, INDEX(AsistenciaJetAdminConcatenada!$D:$D, MATCH(1, (AsistenciaJetAdminConcatenada!$A:$A=CD$2)*(AsistenciaJetAdminConcatenada!$B:$B=CD$1), 0)), 1))),  0.5, 0))</f>
        <v>1</v>
      </c>
      <c r="CE17" s="47">
        <f t="array" ref="CE17">IF(AND(ISNUMBER(MATCH(CE$2, AsistenciaJetAdminConcatenada!$A:$A, 0)), ISNUMBER(MATCH(CE$1, AsistenciaJetAdminConcatenada!$B:$B, 0)), ISNUMBER(SEARCH($A17,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ISNUMBER(SEARCH($A17, INDEX(AsistenciaJetAdminConcatenada!$D:$D, MATCH(1, (AsistenciaJetAdminConcatenada!$A:$A=CE$2)*(AsistenciaJetAdminConcatenada!$B:$B=CE$1), 0)), 1))),  0.5, 0))</f>
        <v>1</v>
      </c>
      <c r="CF17" s="47">
        <f t="array" ref="CF17">IF(AND(ISNUMBER(MATCH(CF$2, AsistenciaJetAdminConcatenada!$A:$A, 0)), ISNUMBER(MATCH(CF$1, AsistenciaJetAdminConcatenada!$B:$B, 0)), ISNUMBER(SEARCH($A17,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ISNUMBER(SEARCH($A17, INDEX(AsistenciaJetAdminConcatenada!$D:$D, MATCH(1, (AsistenciaJetAdminConcatenada!$A:$A=CF$2)*(AsistenciaJetAdminConcatenada!$B:$B=CF$1), 0)), 1))),  0.5, 0))</f>
        <v>0</v>
      </c>
      <c r="CG17" s="47">
        <f t="array" ref="CG17">IF(AND(ISNUMBER(MATCH(CG$2, AsistenciaJetAdminConcatenada!$A:$A, 0)), ISNUMBER(MATCH(CG$1, AsistenciaJetAdminConcatenada!$B:$B, 0)), ISNUMBER(SEARCH($A17,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ISNUMBER(SEARCH($A17, INDEX(AsistenciaJetAdminConcatenada!$D:$D, MATCH(1, (AsistenciaJetAdminConcatenada!$A:$A=CG$2)*(AsistenciaJetAdminConcatenada!$B:$B=CG$1), 0)), 1))),  0.5, 0))</f>
        <v>0</v>
      </c>
      <c r="CH17" s="47">
        <f t="array" ref="CH17">IF(AND(ISNUMBER(MATCH(CH$2, AsistenciaJetAdminConcatenada!$A:$A, 0)), ISNUMBER(MATCH(CH$1, AsistenciaJetAdminConcatenada!$B:$B, 0)), ISNUMBER(SEARCH($A17,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ISNUMBER(SEARCH($A17, INDEX(AsistenciaJetAdminConcatenada!$D:$D, MATCH(1, (AsistenciaJetAdminConcatenada!$A:$A=CH$2)*(AsistenciaJetAdminConcatenada!$B:$B=CH$1), 0)), 1))),  0.5, 0))</f>
        <v>1</v>
      </c>
      <c r="CI17" s="47">
        <f t="array" ref="CI17">IF(AND(ISNUMBER(MATCH(CI$2, AsistenciaJetAdminConcatenada!$A:$A, 0)), ISNUMBER(MATCH(CI$1, AsistenciaJetAdminConcatenada!$B:$B, 0)), ISNUMBER(SEARCH($A17,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ISNUMBER(SEARCH($A17, INDEX(AsistenciaJetAdminConcatenada!$D:$D, MATCH(1, (AsistenciaJetAdminConcatenada!$A:$A=CI$2)*(AsistenciaJetAdminConcatenada!$B:$B=CI$1), 0)), 1))),  0.5, 0))</f>
        <v>1</v>
      </c>
      <c r="CJ17" s="47">
        <f t="array" ref="CJ17">IF(AND(ISNUMBER(MATCH(CJ$2, AsistenciaJetAdminConcatenada!$A:$A, 0)), ISNUMBER(MATCH(CJ$1, AsistenciaJetAdminConcatenada!$B:$B, 0)), ISNUMBER(SEARCH($A17,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ISNUMBER(SEARCH($A17, INDEX(AsistenciaJetAdminConcatenada!$D:$D, MATCH(1, (AsistenciaJetAdminConcatenada!$A:$A=CJ$2)*(AsistenciaJetAdminConcatenada!$B:$B=CJ$1), 0)), 1))),  0.5, 0))</f>
        <v>1</v>
      </c>
      <c r="CK17" s="47">
        <f t="array" ref="CK17">IF(AND(ISNUMBER(MATCH(CK$2, AsistenciaJetAdminConcatenada!$A:$A, 0)), ISNUMBER(MATCH(CK$1, AsistenciaJetAdminConcatenada!$B:$B, 0)), ISNUMBER(SEARCH($A17,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ISNUMBER(SEARCH($A17, INDEX(AsistenciaJetAdminConcatenada!$D:$D, MATCH(1, (AsistenciaJetAdminConcatenada!$A:$A=CK$2)*(AsistenciaJetAdminConcatenada!$B:$B=CK$1), 0)), 1))),  0.5, 0))</f>
        <v>0</v>
      </c>
      <c r="CL17" s="47">
        <f t="array" ref="CL17">IF(AND(ISNUMBER(MATCH(CL$2, AsistenciaJetAdminConcatenada!$A:$A, 0)), ISNUMBER(MATCH(CL$1, AsistenciaJetAdminConcatenada!$B:$B, 0)), ISNUMBER(SEARCH($A17,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ISNUMBER(SEARCH($A17, INDEX(AsistenciaJetAdminConcatenada!$D:$D, MATCH(1, (AsistenciaJetAdminConcatenada!$A:$A=CL$2)*(AsistenciaJetAdminConcatenada!$B:$B=CL$1), 0)), 1))),  0.5, 0))</f>
        <v>1</v>
      </c>
      <c r="CM17" s="47">
        <f t="array" ref="CM17">IF(AND(ISNUMBER(MATCH(CM$2, AsistenciaJetAdminConcatenada!$A:$A, 0)), ISNUMBER(MATCH(CM$1, AsistenciaJetAdminConcatenada!$B:$B, 0)), ISNUMBER(SEARCH($A17,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ISNUMBER(SEARCH($A17, INDEX(AsistenciaJetAdminConcatenada!$D:$D, MATCH(1, (AsistenciaJetAdminConcatenada!$A:$A=CM$2)*(AsistenciaJetAdminConcatenada!$B:$B=CM$1), 0)), 1))),  0.5, 0))</f>
        <v>1</v>
      </c>
      <c r="CN17" s="47">
        <f t="array" ref="CN17">IF(AND(ISNUMBER(MATCH(CN$2, AsistenciaJetAdminConcatenada!$A:$A, 0)), ISNUMBER(MATCH(CN$1, AsistenciaJetAdminConcatenada!$B:$B, 0)), ISNUMBER(SEARCH($A17,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ISNUMBER(SEARCH($A17, INDEX(AsistenciaJetAdminConcatenada!$D:$D, MATCH(1, (AsistenciaJetAdminConcatenada!$A:$A=CN$2)*(AsistenciaJetAdminConcatenada!$B:$B=CN$1), 0)), 1))),  0.5, 0))</f>
        <v>0</v>
      </c>
      <c r="CO17" s="47">
        <f t="array" ref="CO17">IF(AND(ISNUMBER(MATCH(CO$2, AsistenciaJetAdminConcatenada!$A:$A, 0)), ISNUMBER(MATCH(CO$1, AsistenciaJetAdminConcatenada!$B:$B, 0)), ISNUMBER(SEARCH($A17,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ISNUMBER(SEARCH($A17, INDEX(AsistenciaJetAdminConcatenada!$D:$D, MATCH(1, (AsistenciaJetAdminConcatenada!$A:$A=CO$2)*(AsistenciaJetAdminConcatenada!$B:$B=CO$1), 0)), 1))),  0.5, 0))</f>
        <v>1</v>
      </c>
      <c r="CP17" s="47">
        <f t="array" ref="CP17">IF(AND(ISNUMBER(MATCH(CP$2, AsistenciaJetAdminConcatenada!$A:$A, 0)), ISNUMBER(MATCH(CP$1, AsistenciaJetAdminConcatenada!$B:$B, 0)), ISNUMBER(SEARCH($A17,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ISNUMBER(SEARCH($A17, INDEX(AsistenciaJetAdminConcatenada!$D:$D, MATCH(1, (AsistenciaJetAdminConcatenada!$A:$A=CP$2)*(AsistenciaJetAdminConcatenada!$B:$B=CP$1), 0)), 1))),  0.5, 0))</f>
        <v>1</v>
      </c>
      <c r="CQ17" s="47">
        <f t="array" ref="CQ17">IF(AND(ISNUMBER(MATCH(CQ$2, AsistenciaJetAdminConcatenada!$A:$A, 0)), ISNUMBER(MATCH(CQ$1, AsistenciaJetAdminConcatenada!$B:$B, 0)), ISNUMBER(SEARCH($A17,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ISNUMBER(SEARCH($A17, INDEX(AsistenciaJetAdminConcatenada!$D:$D, MATCH(1, (AsistenciaJetAdminConcatenada!$A:$A=CQ$2)*(AsistenciaJetAdminConcatenada!$B:$B=CQ$1), 0)), 1))),  0.5, 0))</f>
        <v>1</v>
      </c>
      <c r="CR17" s="47">
        <f t="array" ref="CR17">IF(AND(ISNUMBER(MATCH(CR$2, AsistenciaJetAdminConcatenada!$A:$A, 0)), ISNUMBER(MATCH(CR$1, AsistenciaJetAdminConcatenada!$B:$B, 0)), ISNUMBER(SEARCH($A17,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ISNUMBER(SEARCH($A17, INDEX(AsistenciaJetAdminConcatenada!$D:$D, MATCH(1, (AsistenciaJetAdminConcatenada!$A:$A=CR$2)*(AsistenciaJetAdminConcatenada!$B:$B=CR$1), 0)), 1))),  0.5, 0))</f>
        <v>1</v>
      </c>
      <c r="CS17" s="47">
        <f t="array" ref="CS17">IF(AND(ISNUMBER(MATCH(CS$2, AsistenciaJetAdminConcatenada!$A:$A, 0)), ISNUMBER(MATCH(CS$1, AsistenciaJetAdminConcatenada!$B:$B, 0)), ISNUMBER(SEARCH($A17,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ISNUMBER(SEARCH($A17, INDEX(AsistenciaJetAdminConcatenada!$D:$D, MATCH(1, (AsistenciaJetAdminConcatenada!$A:$A=CS$2)*(AsistenciaJetAdminConcatenada!$B:$B=CS$1), 0)), 1))),  0.5, 0))</f>
        <v>0</v>
      </c>
      <c r="CT17" s="47">
        <f t="array" ref="CT17">IF(AND(ISNUMBER(MATCH(CT$2, AsistenciaJetAdminConcatenada!$A:$A, 0)), ISNUMBER(MATCH(CT$1, AsistenciaJetAdminConcatenada!$B:$B, 0)), ISNUMBER(SEARCH($A17,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ISNUMBER(SEARCH($A17, INDEX(AsistenciaJetAdminConcatenada!$D:$D, MATCH(1, (AsistenciaJetAdminConcatenada!$A:$A=CT$2)*(AsistenciaJetAdminConcatenada!$B:$B=CT$1), 0)), 1))),  0.5, 0))</f>
        <v>0</v>
      </c>
      <c r="CU17" s="47">
        <f t="array" ref="CU17">IF(AND(ISNUMBER(MATCH(CU$2, AsistenciaJetAdminConcatenada!$A:$A, 0)), ISNUMBER(MATCH(CU$1, AsistenciaJetAdminConcatenada!$B:$B, 0)), ISNUMBER(SEARCH($A17,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ISNUMBER(SEARCH($A17, INDEX(AsistenciaJetAdminConcatenada!$D:$D, MATCH(1, (AsistenciaJetAdminConcatenada!$A:$A=CU$2)*(AsistenciaJetAdminConcatenada!$B:$B=CU$1), 0)), 1))),  0.5, 0))</f>
        <v>0</v>
      </c>
      <c r="CV17" s="47">
        <f t="array" ref="CV17">IF(AND(ISNUMBER(MATCH(CV$2, AsistenciaJetAdminConcatenada!$A:$A, 0)), ISNUMBER(MATCH(CV$1, AsistenciaJetAdminConcatenada!$B:$B, 0)), ISNUMBER(SEARCH($A17,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ISNUMBER(SEARCH($A17, INDEX(AsistenciaJetAdminConcatenada!$D:$D, MATCH(1, (AsistenciaJetAdminConcatenada!$A:$A=CV$2)*(AsistenciaJetAdminConcatenada!$B:$B=CV$1), 0)), 1))),  0.5, 0))</f>
        <v>0</v>
      </c>
      <c r="CW17" s="47">
        <f t="array" ref="CW17">IF(AND(ISNUMBER(MATCH(CW$2, AsistenciaJetAdminConcatenada!$A:$A, 0)), ISNUMBER(MATCH(CW$1, AsistenciaJetAdminConcatenada!$B:$B, 0)), ISNUMBER(SEARCH($A17,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ISNUMBER(SEARCH($A17, INDEX(AsistenciaJetAdminConcatenada!$D:$D, MATCH(1, (AsistenciaJetAdminConcatenada!$A:$A=CW$2)*(AsistenciaJetAdminConcatenada!$B:$B=CW$1), 0)), 1))),  0.5, 0))</f>
        <v>0</v>
      </c>
      <c r="CX17" s="47">
        <f t="array" ref="CX17">IF(AND(ISNUMBER(MATCH(CX$2, AsistenciaJetAdminConcatenada!$A:$A, 0)), ISNUMBER(MATCH(CX$1, AsistenciaJetAdminConcatenada!$B:$B, 0)), ISNUMBER(SEARCH($A17,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ISNUMBER(SEARCH($A17, INDEX(AsistenciaJetAdminConcatenada!$D:$D, MATCH(1, (AsistenciaJetAdminConcatenada!$A:$A=CX$2)*(AsistenciaJetAdminConcatenada!$B:$B=CX$1), 0)), 1))),  0.5, 0))</f>
        <v>0</v>
      </c>
      <c r="CY17" s="47">
        <f t="array" ref="CY17">IF(AND(ISNUMBER(MATCH(CY$2, AsistenciaJetAdminConcatenada!$A:$A, 0)), ISNUMBER(MATCH(CY$1, AsistenciaJetAdminConcatenada!$B:$B, 0)), ISNUMBER(SEARCH($A17,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ISNUMBER(SEARCH($A17, INDEX(AsistenciaJetAdminConcatenada!$D:$D, MATCH(1, (AsistenciaJetAdminConcatenada!$A:$A=CY$2)*(AsistenciaJetAdminConcatenada!$B:$B=CY$1), 0)), 1))),  0.5, 0))</f>
        <v>0</v>
      </c>
      <c r="CZ17" s="47">
        <f t="array" ref="CZ17">IF(AND(ISNUMBER(MATCH(CZ$2, AsistenciaJetAdminConcatenada!$A:$A, 0)), ISNUMBER(MATCH(CZ$1, AsistenciaJetAdminConcatenada!$B:$B, 0)), ISNUMBER(SEARCH($A17,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ISNUMBER(SEARCH($A17, INDEX(AsistenciaJetAdminConcatenada!$D:$D, MATCH(1, (AsistenciaJetAdminConcatenada!$A:$A=CZ$2)*(AsistenciaJetAdminConcatenada!$B:$B=CZ$1), 0)), 1))),  0.5, 0))</f>
        <v>0</v>
      </c>
      <c r="DA17" s="47">
        <f t="array" ref="DA17">IF(AND(ISNUMBER(MATCH(DA$2, AsistenciaJetAdminConcatenada!$A:$A, 0)), ISNUMBER(MATCH(DA$1, AsistenciaJetAdminConcatenada!$B:$B, 0)), ISNUMBER(SEARCH($A17,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ISNUMBER(SEARCH($A17, INDEX(AsistenciaJetAdminConcatenada!$D:$D, MATCH(1, (AsistenciaJetAdminConcatenada!$A:$A=DA$2)*(AsistenciaJetAdminConcatenada!$B:$B=DA$1), 0)), 1))),  0.5, 0))</f>
        <v>0</v>
      </c>
      <c r="DB17" s="47">
        <f t="array" ref="DB17">IF(AND(ISNUMBER(MATCH(DB$2, AsistenciaJetAdminConcatenada!$A:$A, 0)), ISNUMBER(MATCH(DB$1, AsistenciaJetAdminConcatenada!$B:$B, 0)), ISNUMBER(SEARCH($A17,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ISNUMBER(SEARCH($A17, INDEX(AsistenciaJetAdminConcatenada!$D:$D, MATCH(1, (AsistenciaJetAdminConcatenada!$A:$A=DB$2)*(AsistenciaJetAdminConcatenada!$B:$B=DB$1), 0)), 1))),  0.5, 0))</f>
        <v>0</v>
      </c>
      <c r="DC17" s="47">
        <f t="array" ref="DC17">IF(AND(ISNUMBER(MATCH(DC$2, AsistenciaJetAdminConcatenada!$A:$A, 0)), ISNUMBER(MATCH(DC$1, AsistenciaJetAdminConcatenada!$B:$B, 0)), ISNUMBER(SEARCH($A17,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ISNUMBER(SEARCH($A17, INDEX(AsistenciaJetAdminConcatenada!$D:$D, MATCH(1, (AsistenciaJetAdminConcatenada!$A:$A=DC$2)*(AsistenciaJetAdminConcatenada!$B:$B=DC$1), 0)), 1))),  0.5, 0))</f>
        <v>0</v>
      </c>
      <c r="DD17" s="47">
        <f t="array" ref="DD17">IF(AND(ISNUMBER(MATCH(DD$2, AsistenciaJetAdminConcatenada!$A:$A, 0)), ISNUMBER(MATCH(DD$1, AsistenciaJetAdminConcatenada!$B:$B, 0)), ISNUMBER(SEARCH($A17,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ISNUMBER(SEARCH($A17, INDEX(AsistenciaJetAdminConcatenada!$D:$D, MATCH(1, (AsistenciaJetAdminConcatenada!$A:$A=DD$2)*(AsistenciaJetAdminConcatenada!$B:$B=DD$1), 0)), 1))),  0.5, 0))</f>
        <v>0</v>
      </c>
      <c r="DE17" s="47">
        <f t="array" ref="DE17">IF(AND(ISNUMBER(MATCH(DE$2, AsistenciaJetAdminConcatenada!$A:$A, 0)), ISNUMBER(MATCH(DE$1, AsistenciaJetAdminConcatenada!$B:$B, 0)), ISNUMBER(SEARCH($A17,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ISNUMBER(SEARCH($A17, INDEX(AsistenciaJetAdminConcatenada!$D:$D, MATCH(1, (AsistenciaJetAdminConcatenada!$A:$A=DE$2)*(AsistenciaJetAdminConcatenada!$B:$B=DE$1), 0)), 1))),  0.5, 0))</f>
        <v>0</v>
      </c>
      <c r="DF17" s="47">
        <f t="array" ref="DF17">IF(AND(ISNUMBER(MATCH(DF$2, AsistenciaJetAdminConcatenada!$A:$A, 0)), ISNUMBER(MATCH(DF$1, AsistenciaJetAdminConcatenada!$B:$B, 0)), ISNUMBER(SEARCH($A17,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ISNUMBER(SEARCH($A17, INDEX(AsistenciaJetAdminConcatenada!$D:$D, MATCH(1, (AsistenciaJetAdminConcatenada!$A:$A=DF$2)*(AsistenciaJetAdminConcatenada!$B:$B=DF$1), 0)), 1))),  0.5, 0))</f>
        <v>0</v>
      </c>
      <c r="DG17" s="47">
        <f t="array" ref="DG17">IF(AND(ISNUMBER(MATCH(DG$2, AsistenciaJetAdminConcatenada!$A:$A, 0)), ISNUMBER(MATCH(DG$1, AsistenciaJetAdminConcatenada!$B:$B, 0)), ISNUMBER(SEARCH($A17,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ISNUMBER(SEARCH($A17, INDEX(AsistenciaJetAdminConcatenada!$D:$D, MATCH(1, (AsistenciaJetAdminConcatenada!$A:$A=DG$2)*(AsistenciaJetAdminConcatenada!$B:$B=DG$1), 0)), 1))),  0.5, 0))</f>
        <v>0</v>
      </c>
      <c r="DH17" s="47">
        <f t="array" ref="DH17">IF(AND(ISNUMBER(MATCH(DH$2, AsistenciaJetAdminConcatenada!$A:$A, 0)), ISNUMBER(MATCH(DH$1, AsistenciaJetAdminConcatenada!$B:$B, 0)), ISNUMBER(SEARCH($A17,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ISNUMBER(SEARCH($A17, INDEX(AsistenciaJetAdminConcatenada!$D:$D, MATCH(1, (AsistenciaJetAdminConcatenada!$A:$A=DH$2)*(AsistenciaJetAdminConcatenada!$B:$B=DH$1), 0)), 1))),  0.5, 0))</f>
        <v>0</v>
      </c>
      <c r="DI17" s="47">
        <f t="array" ref="DI17">IF(AND(ISNUMBER(MATCH(DI$2, AsistenciaJetAdminConcatenada!$A:$A, 0)), ISNUMBER(MATCH(DI$1, AsistenciaJetAdminConcatenada!$B:$B, 0)), ISNUMBER(SEARCH($A17,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ISNUMBER(SEARCH($A17, INDEX(AsistenciaJetAdminConcatenada!$D:$D, MATCH(1, (AsistenciaJetAdminConcatenada!$A:$A=DI$2)*(AsistenciaJetAdminConcatenada!$B:$B=DI$1), 0)), 1))),  0.5, 0))</f>
        <v>0</v>
      </c>
      <c r="DJ17" s="47">
        <f t="array" ref="DJ17">IF(AND(ISNUMBER(MATCH(DJ$2, AsistenciaJetAdminConcatenada!$A:$A, 0)), ISNUMBER(MATCH(DJ$1, AsistenciaJetAdminConcatenada!$B:$B, 0)), ISNUMBER(SEARCH($A17,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ISNUMBER(SEARCH($A17, INDEX(AsistenciaJetAdminConcatenada!$D:$D, MATCH(1, (AsistenciaJetAdminConcatenada!$A:$A=DJ$2)*(AsistenciaJetAdminConcatenada!$B:$B=DJ$1), 0)), 1))),  0.5, 0))</f>
        <v>0</v>
      </c>
      <c r="DK17" s="47">
        <f t="array" ref="DK17">IF(AND(ISNUMBER(MATCH(DK$2, AsistenciaJetAdminConcatenada!$A:$A, 0)), ISNUMBER(MATCH(DK$1, AsistenciaJetAdminConcatenada!$B:$B, 0)), ISNUMBER(SEARCH($A17,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ISNUMBER(SEARCH($A17, INDEX(AsistenciaJetAdminConcatenada!$D:$D, MATCH(1, (AsistenciaJetAdminConcatenada!$A:$A=DK$2)*(AsistenciaJetAdminConcatenada!$B:$B=DK$1), 0)), 1))),  0.5, 0))</f>
        <v>0</v>
      </c>
      <c r="DL17" s="47">
        <f t="array" ref="DL17">IF(AND(ISNUMBER(MATCH(DL$2, AsistenciaJetAdminConcatenada!$A:$A, 0)), ISNUMBER(MATCH(DL$1, AsistenciaJetAdminConcatenada!$B:$B, 0)), ISNUMBER(SEARCH($A17,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ISNUMBER(SEARCH($A17, INDEX(AsistenciaJetAdminConcatenada!$D:$D, MATCH(1, (AsistenciaJetAdminConcatenada!$A:$A=DL$2)*(AsistenciaJetAdminConcatenada!$B:$B=DL$1), 0)), 1))),  0.5, 0))</f>
        <v>0</v>
      </c>
      <c r="DM17" s="47">
        <f t="array" ref="DM17">IF(AND(ISNUMBER(MATCH(DM$2, AsistenciaJetAdminConcatenada!$A:$A, 0)), ISNUMBER(MATCH(DM$1, AsistenciaJetAdminConcatenada!$B:$B, 0)), ISNUMBER(SEARCH($A17,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ISNUMBER(SEARCH($A17, INDEX(AsistenciaJetAdminConcatenada!$D:$D, MATCH(1, (AsistenciaJetAdminConcatenada!$A:$A=DM$2)*(AsistenciaJetAdminConcatenada!$B:$B=DM$1), 0)), 1))),  0.5, 0))</f>
        <v>0</v>
      </c>
      <c r="DN17" s="47">
        <f t="array" ref="DN17">IF(AND(ISNUMBER(MATCH(DN$2, AsistenciaJetAdminConcatenada!$A:$A, 0)), ISNUMBER(MATCH(DN$1, AsistenciaJetAdminConcatenada!$B:$B, 0)), ISNUMBER(SEARCH($A17,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ISNUMBER(SEARCH($A17, INDEX(AsistenciaJetAdminConcatenada!$D:$D, MATCH(1, (AsistenciaJetAdminConcatenada!$A:$A=DN$2)*(AsistenciaJetAdminConcatenada!$B:$B=DN$1), 0)), 1))),  0.5, 0))</f>
        <v>0</v>
      </c>
      <c r="DO17" s="47">
        <f t="array" ref="DO17">IF(AND(ISNUMBER(MATCH(DO$2, AsistenciaJetAdminConcatenada!$A:$A, 0)), ISNUMBER(MATCH(DO$1, AsistenciaJetAdminConcatenada!$B:$B, 0)), ISNUMBER(SEARCH($A17,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ISNUMBER(SEARCH($A17, INDEX(AsistenciaJetAdminConcatenada!$D:$D, MATCH(1, (AsistenciaJetAdminConcatenada!$A:$A=DO$2)*(AsistenciaJetAdminConcatenada!$B:$B=DO$1), 0)), 1))),  0.5, 0))</f>
        <v>0</v>
      </c>
      <c r="DP17" s="47">
        <f t="array" ref="DP17">IF(AND(ISNUMBER(MATCH(DP$2, AsistenciaJetAdminConcatenada!$A:$A, 0)), ISNUMBER(MATCH(DP$1, AsistenciaJetAdminConcatenada!$B:$B, 0)), ISNUMBER(SEARCH($A17,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ISNUMBER(SEARCH($A17, INDEX(AsistenciaJetAdminConcatenada!$D:$D, MATCH(1, (AsistenciaJetAdminConcatenada!$A:$A=DP$2)*(AsistenciaJetAdminConcatenada!$B:$B=DP$1), 0)), 1))),  0.5, 0))</f>
        <v>0</v>
      </c>
      <c r="DQ17" s="47">
        <f t="array" ref="DQ17">IF(AND(ISNUMBER(MATCH(DQ$2, AsistenciaJetAdminConcatenada!$A:$A, 0)), ISNUMBER(MATCH(DQ$1, AsistenciaJetAdminConcatenada!$B:$B, 0)), ISNUMBER(SEARCH($A17,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ISNUMBER(SEARCH($A17, INDEX(AsistenciaJetAdminConcatenada!$D:$D, MATCH(1, (AsistenciaJetAdminConcatenada!$A:$A=DQ$2)*(AsistenciaJetAdminConcatenada!$B:$B=DQ$1), 0)), 1))),  0.5, 0))</f>
        <v>0</v>
      </c>
      <c r="DR17" s="47">
        <f t="array" ref="DR17">IF(AND(ISNUMBER(MATCH(DR$2, AsistenciaJetAdminConcatenada!$A:$A, 0)), ISNUMBER(MATCH(DR$1, AsistenciaJetAdminConcatenada!$B:$B, 0)), ISNUMBER(SEARCH($A17,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ISNUMBER(SEARCH($A17, INDEX(AsistenciaJetAdminConcatenada!$D:$D, MATCH(1, (AsistenciaJetAdminConcatenada!$A:$A=DR$2)*(AsistenciaJetAdminConcatenada!$B:$B=DR$1), 0)), 1))),  0.5, 0))</f>
        <v>0</v>
      </c>
      <c r="DS17" s="47">
        <f t="array" ref="DS17">IF(AND(ISNUMBER(MATCH(DS$2, AsistenciaJetAdminConcatenada!$A:$A, 0)), ISNUMBER(MATCH(DS$1, AsistenciaJetAdminConcatenada!$B:$B, 0)), ISNUMBER(SEARCH($A17,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ISNUMBER(SEARCH($A17, INDEX(AsistenciaJetAdminConcatenada!$D:$D, MATCH(1, (AsistenciaJetAdminConcatenada!$A:$A=DS$2)*(AsistenciaJetAdminConcatenada!$B:$B=DS$1), 0)), 1))),  0.5, 0))</f>
        <v>0</v>
      </c>
      <c r="DT17" s="47">
        <f t="array" ref="DT17">IF(AND(ISNUMBER(MATCH(DT$2, AsistenciaJetAdminConcatenada!$A:$A, 0)), ISNUMBER(MATCH(DT$1, AsistenciaJetAdminConcatenada!$B:$B, 0)), ISNUMBER(SEARCH($A17,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ISNUMBER(SEARCH($A17, INDEX(AsistenciaJetAdminConcatenada!$D:$D, MATCH(1, (AsistenciaJetAdminConcatenada!$A:$A=DT$2)*(AsistenciaJetAdminConcatenada!$B:$B=DT$1), 0)), 1))),  0.5, 0))</f>
        <v>0</v>
      </c>
      <c r="DU17" s="47">
        <f t="array" ref="DU17">IF(AND(ISNUMBER(MATCH(DU$2, AsistenciaJetAdminConcatenada!$A:$A, 0)), ISNUMBER(MATCH(DU$1, AsistenciaJetAdminConcatenada!$B:$B, 0)), ISNUMBER(SEARCH($A17,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ISNUMBER(SEARCH($A17, INDEX(AsistenciaJetAdminConcatenada!$D:$D, MATCH(1, (AsistenciaJetAdminConcatenada!$A:$A=DU$2)*(AsistenciaJetAdminConcatenada!$B:$B=DU$1), 0)), 1))),  0.5, 0))</f>
        <v>0</v>
      </c>
      <c r="DV17" s="47">
        <f t="array" ref="DV17">IF(AND(ISNUMBER(MATCH(DV$2, AsistenciaJetAdminConcatenada!$A:$A, 0)), ISNUMBER(MATCH(DV$1, AsistenciaJetAdminConcatenada!$B:$B, 0)), ISNUMBER(SEARCH($A17,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ISNUMBER(SEARCH($A17, INDEX(AsistenciaJetAdminConcatenada!$D:$D, MATCH(1, (AsistenciaJetAdminConcatenada!$A:$A=DV$2)*(AsistenciaJetAdminConcatenada!$B:$B=DV$1), 0)), 1))),  0.5, 0))</f>
        <v>0</v>
      </c>
      <c r="DW17" s="47">
        <f t="array" ref="DW17">IF(AND(ISNUMBER(MATCH(DW$2, AsistenciaJetAdminConcatenada!$A:$A, 0)), ISNUMBER(MATCH(DW$1, AsistenciaJetAdminConcatenada!$B:$B, 0)), ISNUMBER(SEARCH($A17,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ISNUMBER(SEARCH($A17, INDEX(AsistenciaJetAdminConcatenada!$D:$D, MATCH(1, (AsistenciaJetAdminConcatenada!$A:$A=DW$2)*(AsistenciaJetAdminConcatenada!$B:$B=DW$1), 0)), 1))),  0.5, 0))</f>
        <v>0</v>
      </c>
      <c r="DX17" s="47">
        <f t="array" ref="DX17">IF(AND(ISNUMBER(MATCH(DX$2, AsistenciaJetAdminConcatenada!$A:$A, 0)), ISNUMBER(MATCH(DX$1, AsistenciaJetAdminConcatenada!$B:$B, 0)), ISNUMBER(SEARCH($A17,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ISNUMBER(SEARCH($A17, INDEX(AsistenciaJetAdminConcatenada!$D:$D, MATCH(1, (AsistenciaJetAdminConcatenada!$A:$A=DX$2)*(AsistenciaJetAdminConcatenada!$B:$B=DX$1), 0)), 1))),  0.5, 0))</f>
        <v>0</v>
      </c>
      <c r="DY17" s="47">
        <f t="array" ref="DY17">IF(AND(ISNUMBER(MATCH(DY$2, AsistenciaJetAdminConcatenada!$A:$A, 0)), ISNUMBER(MATCH(DY$1, AsistenciaJetAdminConcatenada!$B:$B, 0)), ISNUMBER(SEARCH($A17,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ISNUMBER(SEARCH($A17, INDEX(AsistenciaJetAdminConcatenada!$D:$D, MATCH(1, (AsistenciaJetAdminConcatenada!$A:$A=DY$2)*(AsistenciaJetAdminConcatenada!$B:$B=DY$1), 0)), 1))),  0.5, 0))</f>
        <v>0</v>
      </c>
      <c r="DZ17" s="47">
        <f t="array" ref="DZ17">IF(AND(ISNUMBER(MATCH(DZ$2, AsistenciaJetAdminConcatenada!$A:$A, 0)), ISNUMBER(MATCH(DZ$1, AsistenciaJetAdminConcatenada!$B:$B, 0)), ISNUMBER(SEARCH($A17,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ISNUMBER(SEARCH($A17, INDEX(AsistenciaJetAdminConcatenada!$D:$D, MATCH(1, (AsistenciaJetAdminConcatenada!$A:$A=DZ$2)*(AsistenciaJetAdminConcatenada!$B:$B=DZ$1), 0)), 1))),  0.5, 0))</f>
        <v>0</v>
      </c>
      <c r="EA17" s="47">
        <f t="array" ref="EA17">IF(AND(ISNUMBER(MATCH(EA$2, AsistenciaJetAdminConcatenada!$A:$A, 0)), ISNUMBER(MATCH(EA$1, AsistenciaJetAdminConcatenada!$B:$B, 0)), ISNUMBER(SEARCH($A17,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ISNUMBER(SEARCH($A17, INDEX(AsistenciaJetAdminConcatenada!$D:$D, MATCH(1, (AsistenciaJetAdminConcatenada!$A:$A=EA$2)*(AsistenciaJetAdminConcatenada!$B:$B=EA$1), 0)), 1))),  0.5, 0))</f>
        <v>0</v>
      </c>
      <c r="EB17" s="47">
        <f t="array" ref="EB17">IF(AND(ISNUMBER(MATCH(EB$2, AsistenciaJetAdminConcatenada!$A:$A, 0)), ISNUMBER(MATCH(EB$1, AsistenciaJetAdminConcatenada!$B:$B, 0)), ISNUMBER(SEARCH($A17,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ISNUMBER(SEARCH($A17, INDEX(AsistenciaJetAdminConcatenada!$D:$D, MATCH(1, (AsistenciaJetAdminConcatenada!$A:$A=EB$2)*(AsistenciaJetAdminConcatenada!$B:$B=EB$1), 0)), 1))),  0.5, 0))</f>
        <v>0</v>
      </c>
      <c r="EC17" s="47">
        <f t="array" ref="EC17">IF(AND(ISNUMBER(MATCH(EC$2, AsistenciaJetAdminConcatenada!$A:$A, 0)), ISNUMBER(MATCH(EC$1, AsistenciaJetAdminConcatenada!$B:$B, 0)), ISNUMBER(SEARCH($A17,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ISNUMBER(SEARCH($A17, INDEX(AsistenciaJetAdminConcatenada!$D:$D, MATCH(1, (AsistenciaJetAdminConcatenada!$A:$A=EC$2)*(AsistenciaJetAdminConcatenada!$B:$B=EC$1), 0)), 1))),  0.5, 0))</f>
        <v>0</v>
      </c>
      <c r="ED17" s="47">
        <f t="array" ref="ED17">IF(AND(ISNUMBER(MATCH(ED$2, AsistenciaJetAdminConcatenada!$A:$A, 0)), ISNUMBER(MATCH(ED$1, AsistenciaJetAdminConcatenada!$B:$B, 0)), ISNUMBER(SEARCH($A17,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ISNUMBER(SEARCH($A17, INDEX(AsistenciaJetAdminConcatenada!$D:$D, MATCH(1, (AsistenciaJetAdminConcatenada!$A:$A=ED$2)*(AsistenciaJetAdminConcatenada!$B:$B=ED$1), 0)), 1))),  0.5, 0))</f>
        <v>0</v>
      </c>
      <c r="EE17" s="47">
        <f t="array" ref="EE17">IF(AND(ISNUMBER(MATCH(EE$2, AsistenciaJetAdminConcatenada!$A:$A, 0)), ISNUMBER(MATCH(EE$1, AsistenciaJetAdminConcatenada!$B:$B, 0)), ISNUMBER(SEARCH($A17,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ISNUMBER(SEARCH($A17, INDEX(AsistenciaJetAdminConcatenada!$D:$D, MATCH(1, (AsistenciaJetAdminConcatenada!$A:$A=EE$2)*(AsistenciaJetAdminConcatenada!$B:$B=EE$1), 0)), 1))),  0.5, 0))</f>
        <v>0</v>
      </c>
      <c r="EF17" s="47">
        <f t="array" ref="EF17">IF(AND(ISNUMBER(MATCH(EF$2, AsistenciaJetAdminConcatenada!$A:$A, 0)), ISNUMBER(MATCH(EF$1, AsistenciaJetAdminConcatenada!$B:$B, 0)), ISNUMBER(SEARCH($A17,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ISNUMBER(SEARCH($A17, INDEX(AsistenciaJetAdminConcatenada!$D:$D, MATCH(1, (AsistenciaJetAdminConcatenada!$A:$A=EF$2)*(AsistenciaJetAdminConcatenada!$B:$B=EF$1), 0)), 1))),  0.5, 0))</f>
        <v>0</v>
      </c>
      <c r="EG17" s="47">
        <f t="array" ref="EG17">IF(AND(ISNUMBER(MATCH(EG$2, AsistenciaJetAdminConcatenada!$A:$A, 0)), ISNUMBER(MATCH(EG$1, AsistenciaJetAdminConcatenada!$B:$B, 0)), ISNUMBER(SEARCH($A17,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ISNUMBER(SEARCH($A17, INDEX(AsistenciaJetAdminConcatenada!$D:$D, MATCH(1, (AsistenciaJetAdminConcatenada!$A:$A=EG$2)*(AsistenciaJetAdminConcatenada!$B:$B=EG$1), 0)), 1))),  0.5, 0))</f>
        <v>0</v>
      </c>
      <c r="EH17" s="47">
        <f t="array" ref="EH17">IF(AND(ISNUMBER(MATCH(EH$2, AsistenciaJetAdminConcatenada!$A:$A, 0)), ISNUMBER(MATCH(EH$1, AsistenciaJetAdminConcatenada!$B:$B, 0)), ISNUMBER(SEARCH($A17,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ISNUMBER(SEARCH($A17, INDEX(AsistenciaJetAdminConcatenada!$D:$D, MATCH(1, (AsistenciaJetAdminConcatenada!$A:$A=EH$2)*(AsistenciaJetAdminConcatenada!$B:$B=EH$1), 0)), 1))),  0.5, 0))</f>
        <v>0</v>
      </c>
      <c r="EI17" s="47">
        <f t="array" ref="EI17">IF(AND(ISNUMBER(MATCH(EI$2, AsistenciaJetAdminConcatenada!$A:$A, 0)), ISNUMBER(MATCH(EI$1, AsistenciaJetAdminConcatenada!$B:$B, 0)), ISNUMBER(SEARCH($A17,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ISNUMBER(SEARCH($A17, INDEX(AsistenciaJetAdminConcatenada!$D:$D, MATCH(1, (AsistenciaJetAdminConcatenada!$A:$A=EI$2)*(AsistenciaJetAdminConcatenada!$B:$B=EI$1), 0)), 1))),  0.5, 0))</f>
        <v>0</v>
      </c>
      <c r="EJ17" s="47">
        <f t="array" ref="EJ17">IF(AND(ISNUMBER(MATCH(EJ$2, AsistenciaJetAdminConcatenada!$A:$A, 0)), ISNUMBER(MATCH(EJ$1, AsistenciaJetAdminConcatenada!$B:$B, 0)), ISNUMBER(SEARCH($A17,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ISNUMBER(SEARCH($A17, INDEX(AsistenciaJetAdminConcatenada!$D:$D, MATCH(1, (AsistenciaJetAdminConcatenada!$A:$A=EJ$2)*(AsistenciaJetAdminConcatenada!$B:$B=EJ$1), 0)), 1))),  0.5, 0))</f>
        <v>0</v>
      </c>
      <c r="EK17" s="47">
        <f t="array" ref="EK17">IF(AND(ISNUMBER(MATCH(EK$2, AsistenciaJetAdminConcatenada!$A:$A, 0)), ISNUMBER(MATCH(EK$1, AsistenciaJetAdminConcatenada!$B:$B, 0)), ISNUMBER(SEARCH($A17,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ISNUMBER(SEARCH($A17, INDEX(AsistenciaJetAdminConcatenada!$D:$D, MATCH(1, (AsistenciaJetAdminConcatenada!$A:$A=EK$2)*(AsistenciaJetAdminConcatenada!$B:$B=EK$1), 0)), 1))),  0.5, 0))</f>
        <v>0</v>
      </c>
      <c r="EL17" s="47">
        <f t="array" ref="EL17">IF(AND(ISNUMBER(MATCH(EL$2, AsistenciaJetAdminConcatenada!$A:$A, 0)), ISNUMBER(MATCH(EL$1, AsistenciaJetAdminConcatenada!$B:$B, 0)), ISNUMBER(SEARCH($A17,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ISNUMBER(SEARCH($A17, INDEX(AsistenciaJetAdminConcatenada!$D:$D, MATCH(1, (AsistenciaJetAdminConcatenada!$A:$A=EL$2)*(AsistenciaJetAdminConcatenada!$B:$B=EL$1), 0)), 1))),  0.5, 0))</f>
        <v>0</v>
      </c>
      <c r="EM17" s="47">
        <f t="array" ref="EM17">IF(AND(ISNUMBER(MATCH(EM$2, AsistenciaJetAdminConcatenada!$A:$A, 0)), ISNUMBER(MATCH(EM$1, AsistenciaJetAdminConcatenada!$B:$B, 0)), ISNUMBER(SEARCH($A17,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ISNUMBER(SEARCH($A17, INDEX(AsistenciaJetAdminConcatenada!$D:$D, MATCH(1, (AsistenciaJetAdminConcatenada!$A:$A=EM$2)*(AsistenciaJetAdminConcatenada!$B:$B=EM$1), 0)), 1))),  0.5, 0))</f>
        <v>0</v>
      </c>
      <c r="EN17" s="47">
        <f t="array" ref="EN17">IF(AND(ISNUMBER(MATCH(EN$2, AsistenciaJetAdminConcatenada!$A:$A, 0)), ISNUMBER(MATCH(EN$1, AsistenciaJetAdminConcatenada!$B:$B, 0)), ISNUMBER(SEARCH($A17,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ISNUMBER(SEARCH($A17, INDEX(AsistenciaJetAdminConcatenada!$D:$D, MATCH(1, (AsistenciaJetAdminConcatenada!$A:$A=EN$2)*(AsistenciaJetAdminConcatenada!$B:$B=EN$1), 0)), 1))),  0.5, 0))</f>
        <v>0</v>
      </c>
      <c r="EO17" s="47">
        <f t="array" ref="EO17">IF(AND(ISNUMBER(MATCH(EO$2, AsistenciaJetAdminConcatenada!$A:$A, 0)), ISNUMBER(MATCH(EO$1, AsistenciaJetAdminConcatenada!$B:$B, 0)), ISNUMBER(SEARCH($A17,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ISNUMBER(SEARCH($A17, INDEX(AsistenciaJetAdminConcatenada!$D:$D, MATCH(1, (AsistenciaJetAdminConcatenada!$A:$A=EO$2)*(AsistenciaJetAdminConcatenada!$B:$B=EO$1), 0)), 1))),  0.5, 0))</f>
        <v>0</v>
      </c>
      <c r="EP17" s="47">
        <f t="array" ref="EP17">IF(AND(ISNUMBER(MATCH(EP$2, AsistenciaJetAdminConcatenada!$A:$A, 0)), ISNUMBER(MATCH(EP$1, AsistenciaJetAdminConcatenada!$B:$B, 0)), ISNUMBER(SEARCH($A17,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ISNUMBER(SEARCH($A17, INDEX(AsistenciaJetAdminConcatenada!$D:$D, MATCH(1, (AsistenciaJetAdminConcatenada!$A:$A=EP$2)*(AsistenciaJetAdminConcatenada!$B:$B=EP$1), 0)), 1))),  0.5, 0))</f>
        <v>0</v>
      </c>
      <c r="EQ17" s="47">
        <f t="array" ref="EQ17">IF(AND(ISNUMBER(MATCH(EQ$2, AsistenciaJetAdminConcatenada!$A:$A, 0)), ISNUMBER(MATCH(EQ$1, AsistenciaJetAdminConcatenada!$B:$B, 0)), ISNUMBER(SEARCH($A17,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ISNUMBER(SEARCH($A17, INDEX(AsistenciaJetAdminConcatenada!$D:$D, MATCH(1, (AsistenciaJetAdminConcatenada!$A:$A=EQ$2)*(AsistenciaJetAdminConcatenada!$B:$B=EQ$1), 0)), 1))),  0.5, 0))</f>
        <v>0</v>
      </c>
      <c r="ER17" s="47">
        <f t="array" ref="ER17">IF(AND(ISNUMBER(MATCH(ER$2, AsistenciaJetAdminConcatenada!$A:$A, 0)), ISNUMBER(MATCH(ER$1, AsistenciaJetAdminConcatenada!$B:$B, 0)), ISNUMBER(SEARCH($A17,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ISNUMBER(SEARCH($A17, INDEX(AsistenciaJetAdminConcatenada!$D:$D, MATCH(1, (AsistenciaJetAdminConcatenada!$A:$A=ER$2)*(AsistenciaJetAdminConcatenada!$B:$B=ER$1), 0)), 1))),  0.5, 0))</f>
        <v>0</v>
      </c>
      <c r="ES17" s="47">
        <f t="array" ref="ES17">IF(AND(ISNUMBER(MATCH(ES$2, AsistenciaJetAdminConcatenada!$A:$A, 0)), ISNUMBER(MATCH(ES$1, AsistenciaJetAdminConcatenada!$B:$B, 0)), ISNUMBER(SEARCH($A17,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ISNUMBER(SEARCH($A17, INDEX(AsistenciaJetAdminConcatenada!$D:$D, MATCH(1, (AsistenciaJetAdminConcatenada!$A:$A=ES$2)*(AsistenciaJetAdminConcatenada!$B:$B=ES$1), 0)), 1))),  0.5, 0))</f>
        <v>0</v>
      </c>
      <c r="ET17" s="47">
        <f t="array" ref="ET17">IF(AND(ISNUMBER(MATCH(ET$2, AsistenciaJetAdminConcatenada!$A:$A, 0)), ISNUMBER(MATCH(ET$1, AsistenciaJetAdminConcatenada!$B:$B, 0)), ISNUMBER(SEARCH($A17,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ISNUMBER(SEARCH($A17, INDEX(AsistenciaJetAdminConcatenada!$D:$D, MATCH(1, (AsistenciaJetAdminConcatenada!$A:$A=ET$2)*(AsistenciaJetAdminConcatenada!$B:$B=ET$1), 0)), 1))),  0.5, 0))</f>
        <v>0</v>
      </c>
      <c r="EU17" s="47">
        <f t="array" ref="EU17">IF(AND(ISNUMBER(MATCH(EU$2, AsistenciaJetAdminConcatenada!$A:$A, 0)), ISNUMBER(MATCH(EU$1, AsistenciaJetAdminConcatenada!$B:$B, 0)), ISNUMBER(SEARCH($A17,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ISNUMBER(SEARCH($A17, INDEX(AsistenciaJetAdminConcatenada!$D:$D, MATCH(1, (AsistenciaJetAdminConcatenada!$A:$A=EU$2)*(AsistenciaJetAdminConcatenada!$B:$B=EU$1), 0)), 1))),  0.5, 0))</f>
        <v>0</v>
      </c>
      <c r="EV17" s="47">
        <f t="array" ref="EV17">IF(AND(ISNUMBER(MATCH(EV$2, AsistenciaJetAdminConcatenada!$A:$A, 0)), ISNUMBER(MATCH(EV$1, AsistenciaJetAdminConcatenada!$B:$B, 0)), ISNUMBER(SEARCH($A17,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ISNUMBER(SEARCH($A17, INDEX(AsistenciaJetAdminConcatenada!$D:$D, MATCH(1, (AsistenciaJetAdminConcatenada!$A:$A=EV$2)*(AsistenciaJetAdminConcatenada!$B:$B=EV$1), 0)), 1))),  0.5, 0))</f>
        <v>0</v>
      </c>
      <c r="EW17" s="47">
        <f t="array" ref="EW17">IF(AND(ISNUMBER(MATCH(EW$2, AsistenciaJetAdminConcatenada!$A:$A, 0)), ISNUMBER(MATCH(EW$1, AsistenciaJetAdminConcatenada!$B:$B, 0)), ISNUMBER(SEARCH($A17,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ISNUMBER(SEARCH($A17, INDEX(AsistenciaJetAdminConcatenada!$D:$D, MATCH(1, (AsistenciaJetAdminConcatenada!$A:$A=EW$2)*(AsistenciaJetAdminConcatenada!$B:$B=EW$1), 0)), 1))),  0.5, 0))</f>
        <v>0</v>
      </c>
      <c r="EX17" s="47">
        <f t="array" ref="EX17">IF(AND(ISNUMBER(MATCH(EX$2, AsistenciaJetAdminConcatenada!$A:$A, 0)), ISNUMBER(MATCH(EX$1, AsistenciaJetAdminConcatenada!$B:$B, 0)), ISNUMBER(SEARCH($A17,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ISNUMBER(SEARCH($A17, INDEX(AsistenciaJetAdminConcatenada!$D:$D, MATCH(1, (AsistenciaJetAdminConcatenada!$A:$A=EX$2)*(AsistenciaJetAdminConcatenada!$B:$B=EX$1), 0)), 1))),  0.5, 0))</f>
        <v>0</v>
      </c>
      <c r="EY17" s="47">
        <f t="array" ref="EY17">IF(AND(ISNUMBER(MATCH(EY$2, AsistenciaJetAdminConcatenada!$A:$A, 0)), ISNUMBER(MATCH(EY$1, AsistenciaJetAdminConcatenada!$B:$B, 0)), ISNUMBER(SEARCH($A17,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ISNUMBER(SEARCH($A17, INDEX(AsistenciaJetAdminConcatenada!$D:$D, MATCH(1, (AsistenciaJetAdminConcatenada!$A:$A=EY$2)*(AsistenciaJetAdminConcatenada!$B:$B=EY$1), 0)), 1))),  0.5, 0))</f>
        <v>0</v>
      </c>
      <c r="EZ17" s="47">
        <f t="array" ref="EZ17">IF(AND(ISNUMBER(MATCH(EZ$2, AsistenciaJetAdminConcatenada!$A:$A, 0)), ISNUMBER(MATCH(EZ$1, AsistenciaJetAdminConcatenada!$B:$B, 0)), ISNUMBER(SEARCH($A17,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ISNUMBER(SEARCH($A17, INDEX(AsistenciaJetAdminConcatenada!$D:$D, MATCH(1, (AsistenciaJetAdminConcatenada!$A:$A=EZ$2)*(AsistenciaJetAdminConcatenada!$B:$B=EZ$1), 0)), 1))),  0.5, 0))</f>
        <v>0</v>
      </c>
      <c r="FA17" s="47">
        <f t="array" ref="FA17">IF(AND(ISNUMBER(MATCH(FA$2, AsistenciaJetAdminConcatenada!$A:$A, 0)), ISNUMBER(MATCH(FA$1, AsistenciaJetAdminConcatenada!$B:$B, 0)), ISNUMBER(SEARCH($A17,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ISNUMBER(SEARCH($A17, INDEX(AsistenciaJetAdminConcatenada!$D:$D, MATCH(1, (AsistenciaJetAdminConcatenada!$A:$A=FA$2)*(AsistenciaJetAdminConcatenada!$B:$B=FA$1), 0)), 1))),  0.5, 0))</f>
        <v>0</v>
      </c>
      <c r="FB17" s="47">
        <f t="array" ref="FB17">IF(AND(ISNUMBER(MATCH(FB$2, AsistenciaJetAdminConcatenada!$A:$A, 0)), ISNUMBER(MATCH(FB$1, AsistenciaJetAdminConcatenada!$B:$B, 0)), ISNUMBER(SEARCH($A17,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ISNUMBER(SEARCH($A17, INDEX(AsistenciaJetAdminConcatenada!$D:$D, MATCH(1, (AsistenciaJetAdminConcatenada!$A:$A=FB$2)*(AsistenciaJetAdminConcatenada!$B:$B=FB$1), 0)), 1))),  0.5, 0))</f>
        <v>0</v>
      </c>
      <c r="FC17" s="47">
        <f t="array" ref="FC17">IF(AND(ISNUMBER(MATCH(FC$2, AsistenciaJetAdminConcatenada!$A:$A, 0)), ISNUMBER(MATCH(FC$1, AsistenciaJetAdminConcatenada!$B:$B, 0)), ISNUMBER(SEARCH($A17,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ISNUMBER(SEARCH($A17, INDEX(AsistenciaJetAdminConcatenada!$D:$D, MATCH(1, (AsistenciaJetAdminConcatenada!$A:$A=FC$2)*(AsistenciaJetAdminConcatenada!$B:$B=FC$1), 0)), 1))),  0.5, 0))</f>
        <v>0</v>
      </c>
      <c r="FD17" s="47">
        <f t="array" ref="FD17">IF(AND(ISNUMBER(MATCH(FD$2, AsistenciaJetAdminConcatenada!$A:$A, 0)), ISNUMBER(MATCH(FD$1, AsistenciaJetAdminConcatenada!$B:$B, 0)), ISNUMBER(SEARCH($A17,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ISNUMBER(SEARCH($A17, INDEX(AsistenciaJetAdminConcatenada!$D:$D, MATCH(1, (AsistenciaJetAdminConcatenada!$A:$A=FD$2)*(AsistenciaJetAdminConcatenada!$B:$B=FD$1), 0)), 1))),  0.5, 0))</f>
        <v>0</v>
      </c>
      <c r="FE17" s="47">
        <f t="array" ref="FE17">IF(AND(ISNUMBER(MATCH(FE$2, AsistenciaJetAdminConcatenada!$A:$A, 0)), ISNUMBER(MATCH(FE$1, AsistenciaJetAdminConcatenada!$B:$B, 0)), ISNUMBER(SEARCH($A17,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ISNUMBER(SEARCH($A17, INDEX(AsistenciaJetAdminConcatenada!$D:$D, MATCH(1, (AsistenciaJetAdminConcatenada!$A:$A=FE$2)*(AsistenciaJetAdminConcatenada!$B:$B=FE$1), 0)), 1))),  0.5, 0))</f>
        <v>0</v>
      </c>
      <c r="FF17" s="47">
        <f t="array" ref="FF17">IF(AND(ISNUMBER(MATCH(FF$2, AsistenciaJetAdminConcatenada!$A:$A, 0)), ISNUMBER(MATCH(FF$1, AsistenciaJetAdminConcatenada!$B:$B, 0)), ISNUMBER(SEARCH($A17,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ISNUMBER(SEARCH($A17, INDEX(AsistenciaJetAdminConcatenada!$D:$D, MATCH(1, (AsistenciaJetAdminConcatenada!$A:$A=FF$2)*(AsistenciaJetAdminConcatenada!$B:$B=FF$1), 0)), 1))),  0.5, 0))</f>
        <v>0</v>
      </c>
      <c r="FG17" s="47">
        <f t="array" ref="FG17">IF(AND(ISNUMBER(MATCH(FG$2, AsistenciaJetAdminConcatenada!$A:$A, 0)), ISNUMBER(MATCH(FG$1, AsistenciaJetAdminConcatenada!$B:$B, 0)), ISNUMBER(SEARCH($A17,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ISNUMBER(SEARCH($A17, INDEX(AsistenciaJetAdminConcatenada!$D:$D, MATCH(1, (AsistenciaJetAdminConcatenada!$A:$A=FG$2)*(AsistenciaJetAdminConcatenada!$B:$B=FG$1), 0)), 1))),  0.5, 0))</f>
        <v>0</v>
      </c>
      <c r="FH17" s="47">
        <f t="array" ref="FH17">IF(AND(ISNUMBER(MATCH(FH$2, AsistenciaJetAdminConcatenada!$A:$A, 0)), ISNUMBER(MATCH(FH$1, AsistenciaJetAdminConcatenada!$B:$B, 0)), ISNUMBER(SEARCH($A17,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ISNUMBER(SEARCH($A17, INDEX(AsistenciaJetAdminConcatenada!$D:$D, MATCH(1, (AsistenciaJetAdminConcatenada!$A:$A=FH$2)*(AsistenciaJetAdminConcatenada!$B:$B=FH$1), 0)), 1))),  0.5, 0))</f>
        <v>0</v>
      </c>
      <c r="FI17" s="47">
        <f t="array" ref="FI17">IF(AND(ISNUMBER(MATCH(FI$2, AsistenciaJetAdminConcatenada!$A:$A, 0)), ISNUMBER(MATCH(FI$1, AsistenciaJetAdminConcatenada!$B:$B, 0)), ISNUMBER(SEARCH($A17,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ISNUMBER(SEARCH($A17, INDEX(AsistenciaJetAdminConcatenada!$D:$D, MATCH(1, (AsistenciaJetAdminConcatenada!$A:$A=FI$2)*(AsistenciaJetAdminConcatenada!$B:$B=FI$1), 0)), 1))),  0.5, 0))</f>
        <v>0</v>
      </c>
      <c r="FJ17" s="47">
        <f t="array" ref="FJ17">IF(AND(ISNUMBER(MATCH(FJ$2, AsistenciaJetAdminConcatenada!$A:$A, 0)), ISNUMBER(MATCH(FJ$1, AsistenciaJetAdminConcatenada!$B:$B, 0)), ISNUMBER(SEARCH($A17,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ISNUMBER(SEARCH($A17, INDEX(AsistenciaJetAdminConcatenada!$D:$D, MATCH(1, (AsistenciaJetAdminConcatenada!$A:$A=FJ$2)*(AsistenciaJetAdminConcatenada!$B:$B=FJ$1), 0)), 1))),  0.5, 0))</f>
        <v>0</v>
      </c>
      <c r="FK17" s="47">
        <f t="array" ref="FK17">IF(AND(ISNUMBER(MATCH(FK$2, AsistenciaJetAdminConcatenada!$A:$A, 0)), ISNUMBER(MATCH(FK$1, AsistenciaJetAdminConcatenada!$B:$B, 0)), ISNUMBER(SEARCH($A17,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ISNUMBER(SEARCH($A17, INDEX(AsistenciaJetAdminConcatenada!$D:$D, MATCH(1, (AsistenciaJetAdminConcatenada!$A:$A=FK$2)*(AsistenciaJetAdminConcatenada!$B:$B=FK$1), 0)), 1))),  0.5, 0))</f>
        <v>0</v>
      </c>
      <c r="FL17" s="47">
        <f t="array" ref="FL17">IF(AND(ISNUMBER(MATCH(FL$2, AsistenciaJetAdminConcatenada!$A:$A, 0)), ISNUMBER(MATCH(FL$1, AsistenciaJetAdminConcatenada!$B:$B, 0)), ISNUMBER(SEARCH($A17,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ISNUMBER(SEARCH($A17, INDEX(AsistenciaJetAdminConcatenada!$D:$D, MATCH(1, (AsistenciaJetAdminConcatenada!$A:$A=FL$2)*(AsistenciaJetAdminConcatenada!$B:$B=FL$1), 0)), 1))),  0.5, 0))</f>
        <v>0</v>
      </c>
      <c r="FM17" s="47">
        <f t="array" ref="FM17">IF(AND(ISNUMBER(MATCH(FM$2, AsistenciaJetAdminConcatenada!$A:$A, 0)), ISNUMBER(MATCH(FM$1, AsistenciaJetAdminConcatenada!$B:$B, 0)), ISNUMBER(SEARCH($A17,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ISNUMBER(SEARCH($A17, INDEX(AsistenciaJetAdminConcatenada!$D:$D, MATCH(1, (AsistenciaJetAdminConcatenada!$A:$A=FM$2)*(AsistenciaJetAdminConcatenada!$B:$B=FM$1), 0)), 1))),  0.5, 0))</f>
        <v>0</v>
      </c>
      <c r="FN17" s="47">
        <f t="array" ref="FN17">IF(AND(ISNUMBER(MATCH(FN$2, AsistenciaJetAdminConcatenada!$A:$A, 0)), ISNUMBER(MATCH(FN$1, AsistenciaJetAdminConcatenada!$B:$B, 0)), ISNUMBER(SEARCH($A17,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ISNUMBER(SEARCH($A17, INDEX(AsistenciaJetAdminConcatenada!$D:$D, MATCH(1, (AsistenciaJetAdminConcatenada!$A:$A=FN$2)*(AsistenciaJetAdminConcatenada!$B:$B=FN$1), 0)), 1))),  0.5, 0))</f>
        <v>0</v>
      </c>
      <c r="FO17" s="47">
        <f t="array" ref="FO17">IF(AND(ISNUMBER(MATCH(FO$2, AsistenciaJetAdminConcatenada!$A:$A, 0)), ISNUMBER(MATCH(FO$1, AsistenciaJetAdminConcatenada!$B:$B, 0)), ISNUMBER(SEARCH($A17,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ISNUMBER(SEARCH($A17, INDEX(AsistenciaJetAdminConcatenada!$D:$D, MATCH(1, (AsistenciaJetAdminConcatenada!$A:$A=FO$2)*(AsistenciaJetAdminConcatenada!$B:$B=FO$1), 0)), 1))),  0.5, 0))</f>
        <v>0</v>
      </c>
      <c r="FP17" s="47">
        <f t="array" ref="FP17">IF(AND(ISNUMBER(MATCH(FP$2, AsistenciaJetAdminConcatenada!$A:$A, 0)), ISNUMBER(MATCH(FP$1, AsistenciaJetAdminConcatenada!$B:$B, 0)), ISNUMBER(SEARCH($A17,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ISNUMBER(SEARCH($A17, INDEX(AsistenciaJetAdminConcatenada!$D:$D, MATCH(1, (AsistenciaJetAdminConcatenada!$A:$A=FP$2)*(AsistenciaJetAdminConcatenada!$B:$B=FP$1), 0)), 1))),  0.5, 0))</f>
        <v>0</v>
      </c>
      <c r="FQ17" s="47">
        <f t="array" ref="FQ17">IF(AND(ISNUMBER(MATCH(FQ$2, AsistenciaJetAdminConcatenada!$A:$A, 0)), ISNUMBER(MATCH(FQ$1, AsistenciaJetAdminConcatenada!$B:$B, 0)), ISNUMBER(SEARCH($A17,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ISNUMBER(SEARCH($A17, INDEX(AsistenciaJetAdminConcatenada!$D:$D, MATCH(1, (AsistenciaJetAdminConcatenada!$A:$A=FQ$2)*(AsistenciaJetAdminConcatenada!$B:$B=FQ$1), 0)), 1))),  0.5, 0))</f>
        <v>0</v>
      </c>
      <c r="FR17" s="47">
        <f t="array" ref="FR17">IF(AND(ISNUMBER(MATCH(FR$2, AsistenciaJetAdminConcatenada!$A:$A, 0)), ISNUMBER(MATCH(FR$1, AsistenciaJetAdminConcatenada!$B:$B, 0)), ISNUMBER(SEARCH($A17,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ISNUMBER(SEARCH($A17, INDEX(AsistenciaJetAdminConcatenada!$D:$D, MATCH(1, (AsistenciaJetAdminConcatenada!$A:$A=FR$2)*(AsistenciaJetAdminConcatenada!$B:$B=FR$1), 0)), 1))),  0.5, 0))</f>
        <v>0</v>
      </c>
      <c r="FS17" s="47">
        <f t="array" ref="FS17">IF(AND(ISNUMBER(MATCH(FS$2, AsistenciaJetAdminConcatenada!$A:$A, 0)), ISNUMBER(MATCH(FS$1, AsistenciaJetAdminConcatenada!$B:$B, 0)), ISNUMBER(SEARCH($A17,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ISNUMBER(SEARCH($A17, INDEX(AsistenciaJetAdminConcatenada!$D:$D, MATCH(1, (AsistenciaJetAdminConcatenada!$A:$A=FS$2)*(AsistenciaJetAdminConcatenada!$B:$B=FS$1), 0)), 1))),  0.5, 0))</f>
        <v>0</v>
      </c>
      <c r="FT17" s="47">
        <f t="array" ref="FT17">IF(AND(ISNUMBER(MATCH(FT$2, AsistenciaJetAdminConcatenada!$A:$A, 0)), ISNUMBER(MATCH(FT$1, AsistenciaJetAdminConcatenada!$B:$B, 0)), ISNUMBER(SEARCH($A17,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ISNUMBER(SEARCH($A17, INDEX(AsistenciaJetAdminConcatenada!$D:$D, MATCH(1, (AsistenciaJetAdminConcatenada!$A:$A=FT$2)*(AsistenciaJetAdminConcatenada!$B:$B=FT$1), 0)), 1))),  0.5, 0))</f>
        <v>0</v>
      </c>
      <c r="FU17" s="47">
        <f t="array" ref="FU17">IF(AND(ISNUMBER(MATCH(FU$2, AsistenciaJetAdminConcatenada!$A:$A, 0)), ISNUMBER(MATCH(FU$1, AsistenciaJetAdminConcatenada!$B:$B, 0)), ISNUMBER(SEARCH($A17,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ISNUMBER(SEARCH($A17, INDEX(AsistenciaJetAdminConcatenada!$D:$D, MATCH(1, (AsistenciaJetAdminConcatenada!$A:$A=FU$2)*(AsistenciaJetAdminConcatenada!$B:$B=FU$1), 0)), 1))),  0.5, 0))</f>
        <v>0</v>
      </c>
      <c r="FV17" s="47">
        <f t="array" ref="FV17">IF(AND(ISNUMBER(MATCH(FV$2, AsistenciaJetAdminConcatenada!$A:$A, 0)), ISNUMBER(MATCH(FV$1, AsistenciaJetAdminConcatenada!$B:$B, 0)), ISNUMBER(SEARCH($A17,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ISNUMBER(SEARCH($A17, INDEX(AsistenciaJetAdminConcatenada!$D:$D, MATCH(1, (AsistenciaJetAdminConcatenada!$A:$A=FV$2)*(AsistenciaJetAdminConcatenada!$B:$B=FV$1), 0)), 1))),  0.5, 0))</f>
        <v>0</v>
      </c>
      <c r="FW17" s="47">
        <f t="array" ref="FW17">IF(AND(ISNUMBER(MATCH(FW$2, AsistenciaJetAdminConcatenada!$A:$A, 0)), ISNUMBER(MATCH(FW$1, AsistenciaJetAdminConcatenada!$B:$B, 0)), ISNUMBER(SEARCH($A17,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ISNUMBER(SEARCH($A17, INDEX(AsistenciaJetAdminConcatenada!$D:$D, MATCH(1, (AsistenciaJetAdminConcatenada!$A:$A=FW$2)*(AsistenciaJetAdminConcatenada!$B:$B=FW$1), 0)), 1))),  0.5, 0))</f>
        <v>0</v>
      </c>
      <c r="FX17" s="47">
        <f t="array" ref="FX17">IF(AND(ISNUMBER(MATCH(FX$2, AsistenciaJetAdminConcatenada!$A:$A, 0)), ISNUMBER(MATCH(FX$1, AsistenciaJetAdminConcatenada!$B:$B, 0)), ISNUMBER(SEARCH($A17,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ISNUMBER(SEARCH($A17, INDEX(AsistenciaJetAdminConcatenada!$D:$D, MATCH(1, (AsistenciaJetAdminConcatenada!$A:$A=FX$2)*(AsistenciaJetAdminConcatenada!$B:$B=FX$1), 0)), 1))),  0.5, 0))</f>
        <v>0</v>
      </c>
      <c r="FY17" s="47">
        <f t="array" ref="FY17">IF(AND(ISNUMBER(MATCH(FY$2, AsistenciaJetAdminConcatenada!$A:$A, 0)), ISNUMBER(MATCH(FY$1, AsistenciaJetAdminConcatenada!$B:$B, 0)), ISNUMBER(SEARCH($A17,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ISNUMBER(SEARCH($A17, INDEX(AsistenciaJetAdminConcatenada!$D:$D, MATCH(1, (AsistenciaJetAdminConcatenada!$A:$A=FY$2)*(AsistenciaJetAdminConcatenada!$B:$B=FY$1), 0)), 1))),  0.5, 0))</f>
        <v>0</v>
      </c>
      <c r="FZ17" s="47">
        <f t="array" ref="FZ17">IF(AND(ISNUMBER(MATCH(FZ$2, AsistenciaJetAdminConcatenada!$A:$A, 0)), ISNUMBER(MATCH(FZ$1, AsistenciaJetAdminConcatenada!$B:$B, 0)), ISNUMBER(SEARCH($A17,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ISNUMBER(SEARCH($A17, INDEX(AsistenciaJetAdminConcatenada!$D:$D, MATCH(1, (AsistenciaJetAdminConcatenada!$A:$A=FZ$2)*(AsistenciaJetAdminConcatenada!$B:$B=FZ$1), 0)), 1))),  0.5, 0))</f>
        <v>0</v>
      </c>
      <c r="GA17" s="47">
        <f t="array" ref="GA17">IF(AND(ISNUMBER(MATCH(GA$2, AsistenciaJetAdminConcatenada!$A:$A, 0)), ISNUMBER(MATCH(GA$1, AsistenciaJetAdminConcatenada!$B:$B, 0)), ISNUMBER(SEARCH($A17,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ISNUMBER(SEARCH($A17, INDEX(AsistenciaJetAdminConcatenada!$D:$D, MATCH(1, (AsistenciaJetAdminConcatenada!$A:$A=GA$2)*(AsistenciaJetAdminConcatenada!$B:$B=GA$1), 0)), 1))),  0.5, 0))</f>
        <v>0</v>
      </c>
      <c r="GB17" s="47">
        <f t="array" ref="GB17">IF(AND(ISNUMBER(MATCH(GB$2, AsistenciaJetAdminConcatenada!$A:$A, 0)), ISNUMBER(MATCH(GB$1, AsistenciaJetAdminConcatenada!$B:$B, 0)), ISNUMBER(SEARCH($A17,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ISNUMBER(SEARCH($A17, INDEX(AsistenciaJetAdminConcatenada!$D:$D, MATCH(1, (AsistenciaJetAdminConcatenada!$A:$A=GB$2)*(AsistenciaJetAdminConcatenada!$B:$B=GB$1), 0)), 1))),  0.5, 0))</f>
        <v>0</v>
      </c>
      <c r="GC17" s="47">
        <f t="array" ref="GC17">IF(AND(ISNUMBER(MATCH(GC$2, AsistenciaJetAdminConcatenada!$A:$A, 0)), ISNUMBER(MATCH(GC$1, AsistenciaJetAdminConcatenada!$B:$B, 0)), ISNUMBER(SEARCH($A17,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ISNUMBER(SEARCH($A17, INDEX(AsistenciaJetAdminConcatenada!$D:$D, MATCH(1, (AsistenciaJetAdminConcatenada!$A:$A=GC$2)*(AsistenciaJetAdminConcatenada!$B:$B=GC$1), 0)), 1))),  0.5, 0))</f>
        <v>0</v>
      </c>
      <c r="GD17" s="47">
        <f t="array" ref="GD17">IF(AND(ISNUMBER(MATCH(GD$2, AsistenciaJetAdminConcatenada!$A:$A, 0)), ISNUMBER(MATCH(GD$1, AsistenciaJetAdminConcatenada!$B:$B, 0)), ISNUMBER(SEARCH($A17,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ISNUMBER(SEARCH($A17, INDEX(AsistenciaJetAdminConcatenada!$D:$D, MATCH(1, (AsistenciaJetAdminConcatenada!$A:$A=GD$2)*(AsistenciaJetAdminConcatenada!$B:$B=GD$1), 0)), 1))),  0.5, 0))</f>
        <v>0</v>
      </c>
      <c r="GE17" s="47">
        <f t="array" ref="GE17">IF(AND(ISNUMBER(MATCH(GE$2, AsistenciaJetAdminConcatenada!$A:$A, 0)), ISNUMBER(MATCH(GE$1, AsistenciaJetAdminConcatenada!$B:$B, 0)), ISNUMBER(SEARCH($A17,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ISNUMBER(SEARCH($A17, INDEX(AsistenciaJetAdminConcatenada!$D:$D, MATCH(1, (AsistenciaJetAdminConcatenada!$A:$A=GE$2)*(AsistenciaJetAdminConcatenada!$B:$B=GE$1), 0)), 1))),  0.5, 0))</f>
        <v>0</v>
      </c>
      <c r="GF17" s="47">
        <f t="array" ref="GF17">IF(AND(ISNUMBER(MATCH(GF$2, AsistenciaJetAdminConcatenada!$A:$A, 0)), ISNUMBER(MATCH(GF$1, AsistenciaJetAdminConcatenada!$B:$B, 0)), ISNUMBER(SEARCH($A17,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ISNUMBER(SEARCH($A17, INDEX(AsistenciaJetAdminConcatenada!$D:$D, MATCH(1, (AsistenciaJetAdminConcatenada!$A:$A=GF$2)*(AsistenciaJetAdminConcatenada!$B:$B=GF$1), 0)), 1))),  0.5, 0))</f>
        <v>0</v>
      </c>
      <c r="GG17" s="47">
        <f t="array" ref="GG17">IF(AND(ISNUMBER(MATCH(GG$2, AsistenciaJetAdminConcatenada!$A:$A, 0)), ISNUMBER(MATCH(GG$1, AsistenciaJetAdminConcatenada!$B:$B, 0)), ISNUMBER(SEARCH($A17,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ISNUMBER(SEARCH($A17, INDEX(AsistenciaJetAdminConcatenada!$D:$D, MATCH(1, (AsistenciaJetAdminConcatenada!$A:$A=GG$2)*(AsistenciaJetAdminConcatenada!$B:$B=GG$1), 0)), 1))),  0.5, 0))</f>
        <v>0</v>
      </c>
      <c r="GH17" s="47">
        <f t="array" ref="GH17">IF(AND(ISNUMBER(MATCH(GH$2, AsistenciaJetAdminConcatenada!$A:$A, 0)), ISNUMBER(MATCH(GH$1, AsistenciaJetAdminConcatenada!$B:$B, 0)), ISNUMBER(SEARCH($A17,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ISNUMBER(SEARCH($A17, INDEX(AsistenciaJetAdminConcatenada!$D:$D, MATCH(1, (AsistenciaJetAdminConcatenada!$A:$A=GH$2)*(AsistenciaJetAdminConcatenada!$B:$B=GH$1), 0)), 1))),  0.5, 0))</f>
        <v>0</v>
      </c>
      <c r="GI17" s="47">
        <f t="array" ref="GI17">IF(AND(ISNUMBER(MATCH(GI$2, AsistenciaJetAdminConcatenada!$A:$A, 0)), ISNUMBER(MATCH(GI$1, AsistenciaJetAdminConcatenada!$B:$B, 0)), ISNUMBER(SEARCH($A17,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ISNUMBER(SEARCH($A17, INDEX(AsistenciaJetAdminConcatenada!$D:$D, MATCH(1, (AsistenciaJetAdminConcatenada!$A:$A=GI$2)*(AsistenciaJetAdminConcatenada!$B:$B=GI$1), 0)), 1))),  0.5, 0))</f>
        <v>0</v>
      </c>
      <c r="GJ17" s="47">
        <f t="array" ref="GJ17">IF(AND(ISNUMBER(MATCH(GJ$2, AsistenciaJetAdminConcatenada!$A:$A, 0)), ISNUMBER(MATCH(GJ$1, AsistenciaJetAdminConcatenada!$B:$B, 0)), ISNUMBER(SEARCH($A17,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ISNUMBER(SEARCH($A17, INDEX(AsistenciaJetAdminConcatenada!$D:$D, MATCH(1, (AsistenciaJetAdminConcatenada!$A:$A=GJ$2)*(AsistenciaJetAdminConcatenada!$B:$B=GJ$1), 0)), 1))),  0.5, 0))</f>
        <v>0</v>
      </c>
      <c r="GK17" s="47">
        <f t="array" ref="GK17">IF(AND(ISNUMBER(MATCH(GK$2, AsistenciaJetAdminConcatenada!$A:$A, 0)), ISNUMBER(MATCH(GK$1, AsistenciaJetAdminConcatenada!$B:$B, 0)), ISNUMBER(SEARCH($A17,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ISNUMBER(SEARCH($A17, INDEX(AsistenciaJetAdminConcatenada!$D:$D, MATCH(1, (AsistenciaJetAdminConcatenada!$A:$A=GK$2)*(AsistenciaJetAdminConcatenada!$B:$B=GK$1), 0)), 1))),  0.5, 0))</f>
        <v>0</v>
      </c>
      <c r="GL17" s="47">
        <f t="array" ref="GL17">IF(AND(ISNUMBER(MATCH(GL$2, AsistenciaJetAdminConcatenada!$A:$A, 0)), ISNUMBER(MATCH(GL$1, AsistenciaJetAdminConcatenada!$B:$B, 0)), ISNUMBER(SEARCH($A17,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ISNUMBER(SEARCH($A17, INDEX(AsistenciaJetAdminConcatenada!$D:$D, MATCH(1, (AsistenciaJetAdminConcatenada!$A:$A=GL$2)*(AsistenciaJetAdminConcatenada!$B:$B=GL$1), 0)), 1))),  0.5, 0))</f>
        <v>0</v>
      </c>
      <c r="GM17" s="47">
        <f t="array" ref="GM17">IF(AND(ISNUMBER(MATCH(GM$2, AsistenciaJetAdminConcatenada!$A:$A, 0)), ISNUMBER(MATCH(GM$1, AsistenciaJetAdminConcatenada!$B:$B, 0)), ISNUMBER(SEARCH($A17,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ISNUMBER(SEARCH($A17, INDEX(AsistenciaJetAdminConcatenada!$D:$D, MATCH(1, (AsistenciaJetAdminConcatenada!$A:$A=GM$2)*(AsistenciaJetAdminConcatenada!$B:$B=GM$1), 0)), 1))),  0.5, 0))</f>
        <v>0</v>
      </c>
      <c r="GN17" s="47">
        <f t="array" ref="GN17">IF(AND(ISNUMBER(MATCH(GN$2, AsistenciaJetAdminConcatenada!$A:$A, 0)), ISNUMBER(MATCH(GN$1, AsistenciaJetAdminConcatenada!$B:$B, 0)), ISNUMBER(SEARCH($A17,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ISNUMBER(SEARCH($A17, INDEX(AsistenciaJetAdminConcatenada!$D:$D, MATCH(1, (AsistenciaJetAdminConcatenada!$A:$A=GN$2)*(AsistenciaJetAdminConcatenada!$B:$B=GN$1), 0)), 1))),  0.5, 0))</f>
        <v>0</v>
      </c>
      <c r="GO17" s="47">
        <f t="array" ref="GO17">IF(AND(ISNUMBER(MATCH(GO$2, AsistenciaJetAdminConcatenada!$A:$A, 0)), ISNUMBER(MATCH(GO$1, AsistenciaJetAdminConcatenada!$B:$B, 0)), ISNUMBER(SEARCH($A17,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ISNUMBER(SEARCH($A17, INDEX(AsistenciaJetAdminConcatenada!$D:$D, MATCH(1, (AsistenciaJetAdminConcatenada!$A:$A=GO$2)*(AsistenciaJetAdminConcatenada!$B:$B=GO$1), 0)), 1))),  0.5, 0))</f>
        <v>0</v>
      </c>
      <c r="GP17" s="47">
        <f t="array" ref="GP17">IF(AND(ISNUMBER(MATCH(GP$2, AsistenciaJetAdminConcatenada!$A:$A, 0)), ISNUMBER(MATCH(GP$1, AsistenciaJetAdminConcatenada!$B:$B, 0)), ISNUMBER(SEARCH($A17,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ISNUMBER(SEARCH($A17, INDEX(AsistenciaJetAdminConcatenada!$D:$D, MATCH(1, (AsistenciaJetAdminConcatenada!$A:$A=GP$2)*(AsistenciaJetAdminConcatenada!$B:$B=GP$1), 0)), 1))),  0.5, 0))</f>
        <v>0</v>
      </c>
      <c r="GQ17" s="47">
        <f t="array" ref="GQ17">IF(AND(ISNUMBER(MATCH(GQ$2, AsistenciaJetAdminConcatenada!$A:$A, 0)), ISNUMBER(MATCH(GQ$1, AsistenciaJetAdminConcatenada!$B:$B, 0)), ISNUMBER(SEARCH($A17,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ISNUMBER(SEARCH($A17, INDEX(AsistenciaJetAdminConcatenada!$D:$D, MATCH(1, (AsistenciaJetAdminConcatenada!$A:$A=GQ$2)*(AsistenciaJetAdminConcatenada!$B:$B=GQ$1), 0)), 1))),  0.5, 0))</f>
        <v>0</v>
      </c>
      <c r="GR17" s="47">
        <f t="array" ref="GR17">IF(AND(ISNUMBER(MATCH(GR$2, AsistenciaJetAdminConcatenada!$A:$A, 0)), ISNUMBER(MATCH(GR$1, AsistenciaJetAdminConcatenada!$B:$B, 0)), ISNUMBER(SEARCH($A17,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ISNUMBER(SEARCH($A17, INDEX(AsistenciaJetAdminConcatenada!$D:$D, MATCH(1, (AsistenciaJetAdminConcatenada!$A:$A=GR$2)*(AsistenciaJetAdminConcatenada!$B:$B=GR$1), 0)), 1))),  0.5, 0))</f>
        <v>0</v>
      </c>
      <c r="GS17" s="47">
        <f t="array" ref="GS17">IF(AND(ISNUMBER(MATCH(GS$2, AsistenciaJetAdminConcatenada!$A:$A, 0)), ISNUMBER(MATCH(GS$1, AsistenciaJetAdminConcatenada!$B:$B, 0)), ISNUMBER(SEARCH($A17,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ISNUMBER(SEARCH($A17, INDEX(AsistenciaJetAdminConcatenada!$D:$D, MATCH(1, (AsistenciaJetAdminConcatenada!$A:$A=GS$2)*(AsistenciaJetAdminConcatenada!$B:$B=GS$1), 0)), 1))),  0.5, 0))</f>
        <v>0</v>
      </c>
      <c r="GT17" s="47">
        <f t="array" ref="GT17">IF(AND(ISNUMBER(MATCH(GT$2, AsistenciaJetAdminConcatenada!$A:$A, 0)), ISNUMBER(MATCH(GT$1, AsistenciaJetAdminConcatenada!$B:$B, 0)), ISNUMBER(SEARCH($A17,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ISNUMBER(SEARCH($A17, INDEX(AsistenciaJetAdminConcatenada!$D:$D, MATCH(1, (AsistenciaJetAdminConcatenada!$A:$A=GT$2)*(AsistenciaJetAdminConcatenada!$B:$B=GT$1), 0)), 1))),  0.5, 0))</f>
        <v>0</v>
      </c>
      <c r="GU17" s="47">
        <f t="array" ref="GU17">IF(AND(ISNUMBER(MATCH(GU$2, AsistenciaJetAdminConcatenada!$A:$A, 0)), ISNUMBER(MATCH(GU$1, AsistenciaJetAdminConcatenada!$B:$B, 0)), ISNUMBER(SEARCH($A17,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ISNUMBER(SEARCH($A17, INDEX(AsistenciaJetAdminConcatenada!$D:$D, MATCH(1, (AsistenciaJetAdminConcatenada!$A:$A=GU$2)*(AsistenciaJetAdminConcatenada!$B:$B=GU$1), 0)), 1))),  0.5, 0))</f>
        <v>0</v>
      </c>
      <c r="GV17" s="47">
        <f t="array" ref="GV17">IF(AND(ISNUMBER(MATCH(GV$2, AsistenciaJetAdminConcatenada!$A:$A, 0)), ISNUMBER(MATCH(GV$1, AsistenciaJetAdminConcatenada!$B:$B, 0)), ISNUMBER(SEARCH($A17,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ISNUMBER(SEARCH($A17, INDEX(AsistenciaJetAdminConcatenada!$D:$D, MATCH(1, (AsistenciaJetAdminConcatenada!$A:$A=GV$2)*(AsistenciaJetAdminConcatenada!$B:$B=GV$1), 0)), 1))),  0.5, 0))</f>
        <v>0</v>
      </c>
      <c r="GW17" s="47">
        <f t="array" ref="GW17">IF(AND(ISNUMBER(MATCH(GW$2, AsistenciaJetAdminConcatenada!$A:$A, 0)), ISNUMBER(MATCH(GW$1, AsistenciaJetAdminConcatenada!$B:$B, 0)), ISNUMBER(SEARCH($A17,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ISNUMBER(SEARCH($A17, INDEX(AsistenciaJetAdminConcatenada!$D:$D, MATCH(1, (AsistenciaJetAdminConcatenada!$A:$A=GW$2)*(AsistenciaJetAdminConcatenada!$B:$B=GW$1), 0)), 1))),  0.5, 0))</f>
        <v>0</v>
      </c>
      <c r="GX17" s="47">
        <f t="array" ref="GX17">IF(AND(ISNUMBER(MATCH(GX$2, AsistenciaJetAdminConcatenada!$A:$A, 0)), ISNUMBER(MATCH(GX$1, AsistenciaJetAdminConcatenada!$B:$B, 0)), ISNUMBER(SEARCH($A17,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ISNUMBER(SEARCH($A17, INDEX(AsistenciaJetAdminConcatenada!$D:$D, MATCH(1, (AsistenciaJetAdminConcatenada!$A:$A=GX$2)*(AsistenciaJetAdminConcatenada!$B:$B=GX$1), 0)), 1))),  0.5, 0))</f>
        <v>0</v>
      </c>
      <c r="GY17" s="47">
        <f t="array" ref="GY17">IF(AND(ISNUMBER(MATCH(GY$2, AsistenciaJetAdminConcatenada!$A:$A, 0)), ISNUMBER(MATCH(GY$1, AsistenciaJetAdminConcatenada!$B:$B, 0)), ISNUMBER(SEARCH($A17,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ISNUMBER(SEARCH($A17, INDEX(AsistenciaJetAdminConcatenada!$D:$D, MATCH(1, (AsistenciaJetAdminConcatenada!$A:$A=GY$2)*(AsistenciaJetAdminConcatenada!$B:$B=GY$1), 0)), 1))),  0.5, 0))</f>
        <v>0</v>
      </c>
      <c r="GZ17" s="47">
        <f t="array" ref="GZ17">IF(AND(ISNUMBER(MATCH(GZ$2, AsistenciaJetAdminConcatenada!$A:$A, 0)), ISNUMBER(MATCH(GZ$1, AsistenciaJetAdminConcatenada!$B:$B, 0)), ISNUMBER(SEARCH($A17,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ISNUMBER(SEARCH($A17, INDEX(AsistenciaJetAdminConcatenada!$D:$D, MATCH(1, (AsistenciaJetAdminConcatenada!$A:$A=GZ$2)*(AsistenciaJetAdminConcatenada!$B:$B=GZ$1), 0)), 1))),  0.5, 0))</f>
        <v>0</v>
      </c>
      <c r="HA17" s="47">
        <f t="array" ref="HA17">IF(AND(ISNUMBER(MATCH(HA$2, AsistenciaJetAdminConcatenada!$A:$A, 0)), ISNUMBER(MATCH(HA$1, AsistenciaJetAdminConcatenada!$B:$B, 0)), ISNUMBER(SEARCH($A17,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ISNUMBER(SEARCH($A17, INDEX(AsistenciaJetAdminConcatenada!$D:$D, MATCH(1, (AsistenciaJetAdminConcatenada!$A:$A=HA$2)*(AsistenciaJetAdminConcatenada!$B:$B=HA$1), 0)), 1))),  0.5, 0))</f>
        <v>0</v>
      </c>
      <c r="HB17" s="47">
        <f t="array" ref="HB17">IF(AND(ISNUMBER(MATCH(HB$2, AsistenciaJetAdminConcatenada!$A:$A, 0)), ISNUMBER(MATCH(HB$1, AsistenciaJetAdminConcatenada!$B:$B, 0)), ISNUMBER(SEARCH($A17,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ISNUMBER(SEARCH($A17, INDEX(AsistenciaJetAdminConcatenada!$D:$D, MATCH(1, (AsistenciaJetAdminConcatenada!$A:$A=HB$2)*(AsistenciaJetAdminConcatenada!$B:$B=HB$1), 0)), 1))),  0.5, 0))</f>
        <v>0</v>
      </c>
      <c r="HC17" s="47">
        <f t="array" ref="HC17">IF(AND(ISNUMBER(MATCH(HC$2, AsistenciaJetAdminConcatenada!$A:$A, 0)), ISNUMBER(MATCH(HC$1, AsistenciaJetAdminConcatenada!$B:$B, 0)), ISNUMBER(SEARCH($A17,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ISNUMBER(SEARCH($A17, INDEX(AsistenciaJetAdminConcatenada!$D:$D, MATCH(1, (AsistenciaJetAdminConcatenada!$A:$A=HC$2)*(AsistenciaJetAdminConcatenada!$B:$B=HC$1), 0)), 1))),  0.5, 0))</f>
        <v>0</v>
      </c>
    </row>
    <row r="18" ht="29.25" customHeight="1">
      <c r="A18" s="3">
        <v>124.0</v>
      </c>
      <c r="B18" s="4" t="s">
        <v>463</v>
      </c>
      <c r="C18" s="47">
        <f>SUM(D18:HC18) + ActividadesEspeciales!C18</f>
        <v>54.5</v>
      </c>
      <c r="D18" s="47">
        <f t="array" ref="D18">IF(AND(ISNUMBER(MATCH(D$2, AsistenciaJetAdminConcatenada!$A:$A, 0)), ISNUMBER(MATCH(D$1, AsistenciaJetAdminConcatenada!$B:$B, 0)), ISNUMBER(SEARCH($A18,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ISNUMBER(SEARCH($A18, INDEX(AsistenciaJetAdminConcatenada!$D:$D, MATCH(1, (AsistenciaJetAdminConcatenada!$A:$A=D$2)*(AsistenciaJetAdminConcatenada!$B:$B=D$1), 0)), 1))),  0.5, 0))</f>
        <v>1</v>
      </c>
      <c r="E18" s="47">
        <f t="array" ref="E18">IF(AND(ISNUMBER(MATCH(E$2, AsistenciaJetAdminConcatenada!$A:$A, 0)), ISNUMBER(MATCH(E$1, AsistenciaJetAdminConcatenada!$B:$B, 0)), ISNUMBER(SEARCH($A18,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ISNUMBER(SEARCH($A18, INDEX(AsistenciaJetAdminConcatenada!$D:$D, MATCH(1, (AsistenciaJetAdminConcatenada!$A:$A=E$2)*(AsistenciaJetAdminConcatenada!$B:$B=E$1), 0)), 1))),  0.5, 0))</f>
        <v>1</v>
      </c>
      <c r="F18" s="47">
        <f t="array" ref="F18">IF(AND(ISNUMBER(MATCH(F$2, AsistenciaJetAdminConcatenada!$A:$A, 0)), ISNUMBER(MATCH(F$1, AsistenciaJetAdminConcatenada!$B:$B, 0)), ISNUMBER(SEARCH($A18,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ISNUMBER(SEARCH($A18, INDEX(AsistenciaJetAdminConcatenada!$D:$D, MATCH(1, (AsistenciaJetAdminConcatenada!$A:$A=F$2)*(AsistenciaJetAdminConcatenada!$B:$B=F$1), 0)), 1))),  0.5, 0))</f>
        <v>1</v>
      </c>
      <c r="G18" s="47">
        <f t="array" ref="G18">IF(AND(ISNUMBER(MATCH(G$2, AsistenciaJetAdminConcatenada!$A:$A, 0)), ISNUMBER(MATCH(G$1, AsistenciaJetAdminConcatenada!$B:$B, 0)), ISNUMBER(SEARCH($A18,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ISNUMBER(SEARCH($A18, INDEX(AsistenciaJetAdminConcatenada!$D:$D, MATCH(1, (AsistenciaJetAdminConcatenada!$A:$A=G$2)*(AsistenciaJetAdminConcatenada!$B:$B=G$1), 0)), 1))),  0.5, 0))</f>
        <v>1</v>
      </c>
      <c r="H18" s="47">
        <f t="array" ref="H18">IF(AND(ISNUMBER(MATCH(H$2, AsistenciaJetAdminConcatenada!$A:$A, 0)), ISNUMBER(MATCH(H$1, AsistenciaJetAdminConcatenada!$B:$B, 0)), ISNUMBER(SEARCH($A18,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ISNUMBER(SEARCH($A18, INDEX(AsistenciaJetAdminConcatenada!$D:$D, MATCH(1, (AsistenciaJetAdminConcatenada!$A:$A=H$2)*(AsistenciaJetAdminConcatenada!$B:$B=H$1), 0)), 1))),  0.5, 0))</f>
        <v>1</v>
      </c>
      <c r="I18" s="47">
        <f t="array" ref="I18">IF(AND(ISNUMBER(MATCH(I$2, AsistenciaJetAdminConcatenada!$A:$A, 0)), ISNUMBER(MATCH(I$1, AsistenciaJetAdminConcatenada!$B:$B, 0)), ISNUMBER(SEARCH($A18,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ISNUMBER(SEARCH($A18, INDEX(AsistenciaJetAdminConcatenada!$D:$D, MATCH(1, (AsistenciaJetAdminConcatenada!$A:$A=I$2)*(AsistenciaJetAdminConcatenada!$B:$B=I$1), 0)), 1))),  0.5, 0))</f>
        <v>1</v>
      </c>
      <c r="J18" s="47">
        <f t="array" ref="J18">IF(AND(ISNUMBER(MATCH(J$2, AsistenciaJetAdminConcatenada!$A:$A, 0)), ISNUMBER(MATCH(J$1, AsistenciaJetAdminConcatenada!$B:$B, 0)), ISNUMBER(SEARCH($A18,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ISNUMBER(SEARCH($A18, INDEX(AsistenciaJetAdminConcatenada!$D:$D, MATCH(1, (AsistenciaJetAdminConcatenada!$A:$A=J$2)*(AsistenciaJetAdminConcatenada!$B:$B=J$1), 0)), 1))),  0.5, 0))</f>
        <v>1</v>
      </c>
      <c r="K18" s="47">
        <f t="array" ref="K18">IF(AND(ISNUMBER(MATCH(K$2, AsistenciaJetAdminConcatenada!$A:$A, 0)), ISNUMBER(MATCH(K$1, AsistenciaJetAdminConcatenada!$B:$B, 0)), ISNUMBER(SEARCH($A18,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ISNUMBER(SEARCH($A18, INDEX(AsistenciaJetAdminConcatenada!$D:$D, MATCH(1, (AsistenciaJetAdminConcatenada!$A:$A=K$2)*(AsistenciaJetAdminConcatenada!$B:$B=K$1), 0)), 1))),  0.5, 0))</f>
        <v>1</v>
      </c>
      <c r="L18" s="47">
        <f t="array" ref="L18">IF(AND(ISNUMBER(MATCH(L$2, AsistenciaJetAdminConcatenada!$A:$A, 0)), ISNUMBER(MATCH(L$1, AsistenciaJetAdminConcatenada!$B:$B, 0)), ISNUMBER(SEARCH($A18,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ISNUMBER(SEARCH($A18, INDEX(AsistenciaJetAdminConcatenada!$D:$D, MATCH(1, (AsistenciaJetAdminConcatenada!$A:$A=L$2)*(AsistenciaJetAdminConcatenada!$B:$B=L$1), 0)), 1))),  0.5, 0))</f>
        <v>0</v>
      </c>
      <c r="M18" s="47">
        <f t="array" ref="M18">IF(AND(ISNUMBER(MATCH(M$2, AsistenciaJetAdminConcatenada!$A:$A, 0)), ISNUMBER(MATCH(M$1, AsistenciaJetAdminConcatenada!$B:$B, 0)), ISNUMBER(SEARCH($A18,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ISNUMBER(SEARCH($A18, INDEX(AsistenciaJetAdminConcatenada!$D:$D, MATCH(1, (AsistenciaJetAdminConcatenada!$A:$A=M$2)*(AsistenciaJetAdminConcatenada!$B:$B=M$1), 0)), 1))),  0.5, 0))</f>
        <v>0</v>
      </c>
      <c r="N18" s="47">
        <f t="array" ref="N18">IF(AND(ISNUMBER(MATCH(N$2, AsistenciaJetAdminConcatenada!$A:$A, 0)), ISNUMBER(MATCH(N$1, AsistenciaJetAdminConcatenada!$B:$B, 0)), ISNUMBER(SEARCH($A18,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ISNUMBER(SEARCH($A18, INDEX(AsistenciaJetAdminConcatenada!$D:$D, MATCH(1, (AsistenciaJetAdminConcatenada!$A:$A=N$2)*(AsistenciaJetAdminConcatenada!$B:$B=N$1), 0)), 1))),  0.5, 0))</f>
        <v>0</v>
      </c>
      <c r="O18" s="47">
        <f t="array" ref="O18">IF(AND(ISNUMBER(MATCH(O$2, AsistenciaJetAdminConcatenada!$A:$A, 0)), ISNUMBER(MATCH(O$1, AsistenciaJetAdminConcatenada!$B:$B, 0)), ISNUMBER(SEARCH($A18,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ISNUMBER(SEARCH($A18, INDEX(AsistenciaJetAdminConcatenada!$D:$D, MATCH(1, (AsistenciaJetAdminConcatenada!$A:$A=O$2)*(AsistenciaJetAdminConcatenada!$B:$B=O$1), 0)), 1))),  0.5, 0))</f>
        <v>1</v>
      </c>
      <c r="P18" s="8">
        <v>0.0</v>
      </c>
      <c r="Q18" s="47">
        <f t="array" ref="Q18">IF(AND(ISNUMBER(MATCH(Q$2, AsistenciaJetAdminConcatenada!$A:$A, 0)), ISNUMBER(MATCH(Q$1, AsistenciaJetAdminConcatenada!$B:$B, 0)), ISNUMBER(SEARCH($A18, INDEX(AsistenciaJetAdminConcatenada!$C:$C, MATCH(1, (AsistenciaJetAdminConcatenada!$A:$A=Q$2)*(AsistenciaJetAdminConcatenada!$B:$B=Q$1), 0)), 1))), 1, IF(AND(ISNUMBER(MATCH(Q$2, AsistenciaJetAdminConcatenada!$A:$A, 0)), ISNUMBER(MATCH(Q$1, AsistenciaJetAdminConcatenada!$B:$B, 0)), ISNUMBER(SEARCH($A18, INDEX(AsistenciaJetAdminConcatenada!$D:$D, MATCH(1, (AsistenciaJetAdminConcatenada!$A:$A=Q$2)*(AsistenciaJetAdminConcatenada!$B:$B=Q$1), 0)), 1))),  0.5, 0))</f>
        <v>1</v>
      </c>
      <c r="R18" s="47">
        <f t="array" ref="R18">IF(AND(ISNUMBER(MATCH(R$2, AsistenciaJetAdminConcatenada!$A:$A, 0)), ISNUMBER(MATCH(R$1, AsistenciaJetAdminConcatenada!$B:$B, 0)), ISNUMBER(SEARCH($A18,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ISNUMBER(SEARCH($A18, INDEX(AsistenciaJetAdminConcatenada!$D:$D, MATCH(1, (AsistenciaJetAdminConcatenada!$A:$A=R$2)*(AsistenciaJetAdminConcatenada!$B:$B=R$1), 0)), 1))),  0.5, 0))</f>
        <v>0</v>
      </c>
      <c r="S18" s="47">
        <f t="array" ref="S18">IF(AND(ISNUMBER(MATCH(S$2, AsistenciaJetAdminConcatenada!$A:$A, 0)), ISNUMBER(MATCH(S$1, AsistenciaJetAdminConcatenada!$B:$B, 0)), ISNUMBER(SEARCH($A18,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ISNUMBER(SEARCH($A18, INDEX(AsistenciaJetAdminConcatenada!$D:$D, MATCH(1, (AsistenciaJetAdminConcatenada!$A:$A=S$2)*(AsistenciaJetAdminConcatenada!$B:$B=S$1), 0)), 1))),  0.5, 0))</f>
        <v>1</v>
      </c>
      <c r="T18" s="47">
        <f t="array" ref="T18">IF(AND(ISNUMBER(MATCH(T$2, AsistenciaJetAdminConcatenada!$A:$A, 0)), ISNUMBER(MATCH(T$1, AsistenciaJetAdminConcatenada!$B:$B, 0)), ISNUMBER(SEARCH($A18,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ISNUMBER(SEARCH($A18, INDEX(AsistenciaJetAdminConcatenada!$D:$D, MATCH(1, (AsistenciaJetAdminConcatenada!$A:$A=T$2)*(AsistenciaJetAdminConcatenada!$B:$B=T$1), 0)), 1))),  0.5, 0))</f>
        <v>1</v>
      </c>
      <c r="U18" s="47">
        <f t="array" ref="U18">IF(AND(ISNUMBER(MATCH(U$2, AsistenciaJetAdminConcatenada!$A:$A, 0)), ISNUMBER(MATCH(U$1, AsistenciaJetAdminConcatenada!$B:$B, 0)), ISNUMBER(SEARCH($A18,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ISNUMBER(SEARCH($A18, INDEX(AsistenciaJetAdminConcatenada!$D:$D, MATCH(1, (AsistenciaJetAdminConcatenada!$A:$A=U$2)*(AsistenciaJetAdminConcatenada!$B:$B=U$1), 0)), 1))),  0.5, 0))</f>
        <v>1</v>
      </c>
      <c r="V18" s="47">
        <f t="array" ref="V18">IF(AND(ISNUMBER(MATCH(V$2, AsistenciaJetAdminConcatenada!$A:$A, 0)), ISNUMBER(MATCH(V$1, AsistenciaJetAdminConcatenada!$B:$B, 0)), ISNUMBER(SEARCH($A18,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ISNUMBER(SEARCH($A18, INDEX(AsistenciaJetAdminConcatenada!$D:$D, MATCH(1, (AsistenciaJetAdminConcatenada!$A:$A=V$2)*(AsistenciaJetAdminConcatenada!$B:$B=V$1), 0)), 1))),  0.5, 0))</f>
        <v>1</v>
      </c>
      <c r="W18" s="47">
        <f t="array" ref="W18">IF(AND(ISNUMBER(MATCH(W$2, AsistenciaJetAdminConcatenada!$A:$A, 0)), ISNUMBER(MATCH(W$1, AsistenciaJetAdminConcatenada!$B:$B, 0)), ISNUMBER(SEARCH($A18,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ISNUMBER(SEARCH($A18, INDEX(AsistenciaJetAdminConcatenada!$D:$D, MATCH(1, (AsistenciaJetAdminConcatenada!$A:$A=W$2)*(AsistenciaJetAdminConcatenada!$B:$B=W$1), 0)), 1))),  0.5, 0))</f>
        <v>1</v>
      </c>
      <c r="X18" s="47">
        <f t="array" ref="X18">IF(AND(ISNUMBER(MATCH(X$2, AsistenciaJetAdminConcatenada!$A:$A, 0)), ISNUMBER(MATCH(X$1, AsistenciaJetAdminConcatenada!$B:$B, 0)), ISNUMBER(SEARCH($A18,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ISNUMBER(SEARCH($A18, INDEX(AsistenciaJetAdminConcatenada!$D:$D, MATCH(1, (AsistenciaJetAdminConcatenada!$A:$A=X$2)*(AsistenciaJetAdminConcatenada!$B:$B=X$1), 0)), 1))),  0.5, 0))</f>
        <v>1</v>
      </c>
      <c r="Y18" s="47">
        <f t="array" ref="Y18">IF(AND(ISNUMBER(MATCH(Y$2, AsistenciaJetAdminConcatenada!$A:$A, 0)), ISNUMBER(MATCH(Y$1, AsistenciaJetAdminConcatenada!$B:$B, 0)), ISNUMBER(SEARCH($A18,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ISNUMBER(SEARCH($A18, INDEX(AsistenciaJetAdminConcatenada!$D:$D, MATCH(1, (AsistenciaJetAdminConcatenada!$A:$A=Y$2)*(AsistenciaJetAdminConcatenada!$B:$B=Y$1), 0)), 1))),  0.5, 0))</f>
        <v>1</v>
      </c>
      <c r="Z18" s="47">
        <f t="array" ref="Z18">IF(AND(ISNUMBER(MATCH(Z$2, AsistenciaJetAdminConcatenada!$A:$A, 0)), ISNUMBER(MATCH(Z$1, AsistenciaJetAdminConcatenada!$B:$B, 0)), ISNUMBER(SEARCH($A18,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ISNUMBER(SEARCH($A18, INDEX(AsistenciaJetAdminConcatenada!$D:$D, MATCH(1, (AsistenciaJetAdminConcatenada!$A:$A=Z$2)*(AsistenciaJetAdminConcatenada!$B:$B=Z$1), 0)), 1))),  0.5, 0))</f>
        <v>1</v>
      </c>
      <c r="AA18" s="47">
        <f t="array" ref="AA18">IF(AND(ISNUMBER(MATCH(AA$2, AsistenciaJetAdminConcatenada!$A:$A, 0)), ISNUMBER(MATCH(AA$1, AsistenciaJetAdminConcatenada!$B:$B, 0)), ISNUMBER(SEARCH($A18,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ISNUMBER(SEARCH($A18, INDEX(AsistenciaJetAdminConcatenada!$D:$D, MATCH(1, (AsistenciaJetAdminConcatenada!$A:$A=AA$2)*(AsistenciaJetAdminConcatenada!$B:$B=AA$1), 0)), 1))),  0.5, 0))</f>
        <v>0</v>
      </c>
      <c r="AB18" s="47">
        <f t="array" ref="AB18">IF(AND(ISNUMBER(MATCH(AB$2, AsistenciaJetAdminConcatenada!$A:$A, 0)), ISNUMBER(MATCH(AB$1, AsistenciaJetAdminConcatenada!$B:$B, 0)), ISNUMBER(SEARCH($A18,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ISNUMBER(SEARCH($A18, INDEX(AsistenciaJetAdminConcatenada!$D:$D, MATCH(1, (AsistenciaJetAdminConcatenada!$A:$A=AB$2)*(AsistenciaJetAdminConcatenada!$B:$B=AB$1), 0)), 1))),  0.5, 0))</f>
        <v>1</v>
      </c>
      <c r="AC18" s="47">
        <f t="array" ref="AC18">IF(AND(ISNUMBER(MATCH(AC$2, AsistenciaJetAdminConcatenada!$A:$A, 0)), ISNUMBER(MATCH(AC$1, AsistenciaJetAdminConcatenada!$B:$B, 0)), ISNUMBER(SEARCH($A18,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ISNUMBER(SEARCH($A18, INDEX(AsistenciaJetAdminConcatenada!$D:$D, MATCH(1, (AsistenciaJetAdminConcatenada!$A:$A=AC$2)*(AsistenciaJetAdminConcatenada!$B:$B=AC$1), 0)), 1))),  0.5, 0))</f>
        <v>0</v>
      </c>
      <c r="AD18" s="47">
        <f t="array" ref="AD18">IF(AND(ISNUMBER(MATCH(AD$2, AsistenciaJetAdminConcatenada!$A:$A, 0)), ISNUMBER(MATCH(AD$1, AsistenciaJetAdminConcatenada!$B:$B, 0)), ISNUMBER(SEARCH($A18,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ISNUMBER(SEARCH($A18, INDEX(AsistenciaJetAdminConcatenada!$D:$D, MATCH(1, (AsistenciaJetAdminConcatenada!$A:$A=AD$2)*(AsistenciaJetAdminConcatenada!$B:$B=AD$1), 0)), 1))),  0.5, 0))</f>
        <v>0.5</v>
      </c>
      <c r="AE18" s="47">
        <f t="array" ref="AE18">IF(AND(ISNUMBER(MATCH(AE$2, AsistenciaJetAdminConcatenada!$A:$A, 0)), ISNUMBER(MATCH(AE$1, AsistenciaJetAdminConcatenada!$B:$B, 0)), ISNUMBER(SEARCH($A18,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ISNUMBER(SEARCH($A18, INDEX(AsistenciaJetAdminConcatenada!$D:$D, MATCH(1, (AsistenciaJetAdminConcatenada!$A:$A=AE$2)*(AsistenciaJetAdminConcatenada!$B:$B=AE$1), 0)), 1))),  0.5, 0))</f>
        <v>0</v>
      </c>
      <c r="AF18" s="47">
        <f t="array" ref="AF18">IF(AND(ISNUMBER(MATCH(AF$2, AsistenciaJetAdminConcatenada!$A:$A, 0)), ISNUMBER(MATCH(AF$1, AsistenciaJetAdminConcatenada!$B:$B, 0)), ISNUMBER(SEARCH($A18,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ISNUMBER(SEARCH($A18, INDEX(AsistenciaJetAdminConcatenada!$D:$D, MATCH(1, (AsistenciaJetAdminConcatenada!$A:$A=AF$2)*(AsistenciaJetAdminConcatenada!$B:$B=AF$1), 0)), 1))),  0.5, 0))</f>
        <v>0</v>
      </c>
      <c r="AG18" s="47">
        <f t="array" ref="AG18">IF(AND(ISNUMBER(MATCH(AG$2, AsistenciaJetAdminConcatenada!$A:$A, 0)), ISNUMBER(MATCH(AG$1, AsistenciaJetAdminConcatenada!$B:$B, 0)), ISNUMBER(SEARCH($A18,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ISNUMBER(SEARCH($A18, INDEX(AsistenciaJetAdminConcatenada!$D:$D, MATCH(1, (AsistenciaJetAdminConcatenada!$A:$A=AG$2)*(AsistenciaJetAdminConcatenada!$B:$B=AG$1), 0)), 1))),  0.5, 0))</f>
        <v>0</v>
      </c>
      <c r="AH18" s="47">
        <f t="array" ref="AH18">IF(AND(ISNUMBER(MATCH(AH$2, AsistenciaJetAdminConcatenada!$A:$A, 0)), ISNUMBER(MATCH(AH$1, AsistenciaJetAdminConcatenada!$B:$B, 0)), ISNUMBER(SEARCH($A18,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ISNUMBER(SEARCH($A18, INDEX(AsistenciaJetAdminConcatenada!$D:$D, MATCH(1, (AsistenciaJetAdminConcatenada!$A:$A=AH$2)*(AsistenciaJetAdminConcatenada!$B:$B=AH$1), 0)), 1))),  0.5, 0))</f>
        <v>0</v>
      </c>
      <c r="AI18" s="47">
        <f t="array" ref="AI18">IF(AND(ISNUMBER(MATCH(AI$2, AsistenciaJetAdminConcatenada!$A:$A, 0)), ISNUMBER(MATCH(AI$1, AsistenciaJetAdminConcatenada!$B:$B, 0)), ISNUMBER(SEARCH($A18,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ISNUMBER(SEARCH($A18, INDEX(AsistenciaJetAdminConcatenada!$D:$D, MATCH(1, (AsistenciaJetAdminConcatenada!$A:$A=AI$2)*(AsistenciaJetAdminConcatenada!$B:$B=AI$1), 0)), 1))),  0.5, 0))</f>
        <v>1</v>
      </c>
      <c r="AJ18" s="47">
        <f t="array" ref="AJ18">IF(AND(ISNUMBER(MATCH(AJ$2, AsistenciaJetAdminConcatenada!$A:$A, 0)), ISNUMBER(MATCH(AJ$1, AsistenciaJetAdminConcatenada!$B:$B, 0)), ISNUMBER(SEARCH($A18,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ISNUMBER(SEARCH($A18, INDEX(AsistenciaJetAdminConcatenada!$D:$D, MATCH(1, (AsistenciaJetAdminConcatenada!$A:$A=AJ$2)*(AsistenciaJetAdminConcatenada!$B:$B=AJ$1), 0)), 1))),  0.5, 0))</f>
        <v>0</v>
      </c>
      <c r="AK18" s="47">
        <f t="array" ref="AK18">IF(AND(ISNUMBER(MATCH(AK$2, AsistenciaJetAdminConcatenada!$A:$A, 0)), ISNUMBER(MATCH(AK$1, AsistenciaJetAdminConcatenada!$B:$B, 0)), ISNUMBER(SEARCH($A18,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ISNUMBER(SEARCH($A18, INDEX(AsistenciaJetAdminConcatenada!$D:$D, MATCH(1, (AsistenciaJetAdminConcatenada!$A:$A=AK$2)*(AsistenciaJetAdminConcatenada!$B:$B=AK$1), 0)), 1))),  0.5, 0))</f>
        <v>1</v>
      </c>
      <c r="AL18" s="47">
        <f t="array" ref="AL18">IF(AND(ISNUMBER(MATCH(AL$2, AsistenciaJetAdminConcatenada!$A:$A, 0)), ISNUMBER(MATCH(AL$1, AsistenciaJetAdminConcatenada!$B:$B, 0)), ISNUMBER(SEARCH($A18,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ISNUMBER(SEARCH($A18, INDEX(AsistenciaJetAdminConcatenada!$D:$D, MATCH(1, (AsistenciaJetAdminConcatenada!$A:$A=AL$2)*(AsistenciaJetAdminConcatenada!$B:$B=AL$1), 0)), 1))),  0.5, 0))</f>
        <v>1</v>
      </c>
      <c r="AM18" s="47">
        <f t="array" ref="AM18">IF(AND(ISNUMBER(MATCH(AM$2, AsistenciaJetAdminConcatenada!$A:$A, 0)), ISNUMBER(MATCH(AM$1, AsistenciaJetAdminConcatenada!$B:$B, 0)), ISNUMBER(SEARCH($A18,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ISNUMBER(SEARCH($A18, INDEX(AsistenciaJetAdminConcatenada!$D:$D, MATCH(1, (AsistenciaJetAdminConcatenada!$A:$A=AM$2)*(AsistenciaJetAdminConcatenada!$B:$B=AM$1), 0)), 1))),  0.5, 0))</f>
        <v>1</v>
      </c>
      <c r="AN18" s="47">
        <f t="array" ref="AN18">IF(AND(ISNUMBER(MATCH(AN$2, AsistenciaJetAdminConcatenada!$A:$A, 0)), ISNUMBER(MATCH(AN$1, AsistenciaJetAdminConcatenada!$B:$B, 0)), ISNUMBER(SEARCH($A18,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ISNUMBER(SEARCH($A18, INDEX(AsistenciaJetAdminConcatenada!$D:$D, MATCH(1, (AsistenciaJetAdminConcatenada!$A:$A=AN$2)*(AsistenciaJetAdminConcatenada!$B:$B=AN$1), 0)), 1))),  0.5, 0))</f>
        <v>0</v>
      </c>
      <c r="AO18" s="47">
        <f t="array" ref="AO18">IF(AND(ISNUMBER(MATCH(AO$2, AsistenciaJetAdminConcatenada!$A:$A, 0)), ISNUMBER(MATCH(AO$1, AsistenciaJetAdminConcatenada!$B:$B, 0)), ISNUMBER(SEARCH($A18,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ISNUMBER(SEARCH($A18, INDEX(AsistenciaJetAdminConcatenada!$D:$D, MATCH(1, (AsistenciaJetAdminConcatenada!$A:$A=AO$2)*(AsistenciaJetAdminConcatenada!$B:$B=AO$1), 0)), 1))),  0.5, 0))</f>
        <v>1</v>
      </c>
      <c r="AP18" s="47">
        <f t="array" ref="AP18">IF(AND(ISNUMBER(MATCH(AP$2, AsistenciaJetAdminConcatenada!$A:$A, 0)), ISNUMBER(MATCH(AP$1, AsistenciaJetAdminConcatenada!$B:$B, 0)), ISNUMBER(SEARCH($A18,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ISNUMBER(SEARCH($A18, INDEX(AsistenciaJetAdminConcatenada!$D:$D, MATCH(1, (AsistenciaJetAdminConcatenada!$A:$A=AP$2)*(AsistenciaJetAdminConcatenada!$B:$B=AP$1), 0)), 1))),  0.5, 0))</f>
        <v>0</v>
      </c>
      <c r="AQ18" s="47">
        <f t="array" ref="AQ18">IF(AND(ISNUMBER(MATCH(AQ$2, AsistenciaJetAdminConcatenada!$A:$A, 0)), ISNUMBER(MATCH(AQ$1, AsistenciaJetAdminConcatenada!$B:$B, 0)), ISNUMBER(SEARCH($A18,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ISNUMBER(SEARCH($A18, INDEX(AsistenciaJetAdminConcatenada!$D:$D, MATCH(1, (AsistenciaJetAdminConcatenada!$A:$A=AQ$2)*(AsistenciaJetAdminConcatenada!$B:$B=AQ$1), 0)), 1))),  0.5, 0))</f>
        <v>0</v>
      </c>
      <c r="AR18" s="47">
        <f t="array" ref="AR18">IF(AND(ISNUMBER(MATCH(AR$2, AsistenciaJetAdminConcatenada!$A:$A, 0)), ISNUMBER(MATCH(AR$1, AsistenciaJetAdminConcatenada!$B:$B, 0)), ISNUMBER(SEARCH($A18,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ISNUMBER(SEARCH($A18, INDEX(AsistenciaJetAdminConcatenada!$D:$D, MATCH(1, (AsistenciaJetAdminConcatenada!$A:$A=AR$2)*(AsistenciaJetAdminConcatenada!$B:$B=AR$1), 0)), 1))),  0.5, 0))</f>
        <v>0</v>
      </c>
      <c r="AS18" s="47">
        <f t="array" ref="AS18">IF(AND(ISNUMBER(MATCH(AS$2, AsistenciaJetAdminConcatenada!$A:$A, 0)), ISNUMBER(MATCH(AS$1, AsistenciaJetAdminConcatenada!$B:$B, 0)), ISNUMBER(SEARCH($A18,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ISNUMBER(SEARCH($A18, INDEX(AsistenciaJetAdminConcatenada!$D:$D, MATCH(1, (AsistenciaJetAdminConcatenada!$A:$A=AS$2)*(AsistenciaJetAdminConcatenada!$B:$B=AS$1), 0)), 1))),  0.5, 0))</f>
        <v>0</v>
      </c>
      <c r="AT18" s="47">
        <f t="array" ref="AT18">IF(AND(ISNUMBER(MATCH(AT$2, AsistenciaJetAdminConcatenada!$A:$A, 0)), ISNUMBER(MATCH(AT$1, AsistenciaJetAdminConcatenada!$B:$B, 0)), ISNUMBER(SEARCH($A18,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ISNUMBER(SEARCH($A18, INDEX(AsistenciaJetAdminConcatenada!$D:$D, MATCH(1, (AsistenciaJetAdminConcatenada!$A:$A=AT$2)*(AsistenciaJetAdminConcatenada!$B:$B=AT$1), 0)), 1))),  0.5, 0))</f>
        <v>0</v>
      </c>
      <c r="AU18" s="47">
        <f t="array" ref="AU18">IF(AND(ISNUMBER(MATCH(AU$2, AsistenciaJetAdminConcatenada!$A:$A, 0)), ISNUMBER(MATCH(AU$1, AsistenciaJetAdminConcatenada!$B:$B, 0)), ISNUMBER(SEARCH($A18,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ISNUMBER(SEARCH($A18, INDEX(AsistenciaJetAdminConcatenada!$D:$D, MATCH(1, (AsistenciaJetAdminConcatenada!$A:$A=AU$2)*(AsistenciaJetAdminConcatenada!$B:$B=AU$1), 0)), 1))),  0.5, 0))</f>
        <v>1</v>
      </c>
      <c r="AV18" s="47">
        <f t="array" ref="AV18">IF(AND(ISNUMBER(MATCH(AV$2, AsistenciaJetAdminConcatenada!$A:$A, 0)), ISNUMBER(MATCH(AV$1, AsistenciaJetAdminConcatenada!$B:$B, 0)), ISNUMBER(SEARCH($A18,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ISNUMBER(SEARCH($A18, INDEX(AsistenciaJetAdminConcatenada!$D:$D, MATCH(1, (AsistenciaJetAdminConcatenada!$A:$A=AV$2)*(AsistenciaJetAdminConcatenada!$B:$B=AV$1), 0)), 1))),  0.5, 0))</f>
        <v>1</v>
      </c>
      <c r="AW18" s="47">
        <f t="array" ref="AW18">IF(AND(ISNUMBER(MATCH(AW$2, AsistenciaJetAdminConcatenada!$A:$A, 0)), ISNUMBER(MATCH(AW$1, AsistenciaJetAdminConcatenada!$B:$B, 0)), ISNUMBER(SEARCH($A18,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ISNUMBER(SEARCH($A18, INDEX(AsistenciaJetAdminConcatenada!$D:$D, MATCH(1, (AsistenciaJetAdminConcatenada!$A:$A=AW$2)*(AsistenciaJetAdminConcatenada!$B:$B=AW$1), 0)), 1))),  0.5, 0))</f>
        <v>0</v>
      </c>
      <c r="AX18" s="47">
        <f t="array" ref="AX18">IF(AND(ISNUMBER(MATCH(AX$2, AsistenciaJetAdminConcatenada!$A:$A, 0)), ISNUMBER(MATCH(AX$1, AsistenciaJetAdminConcatenada!$B:$B, 0)), ISNUMBER(SEARCH($A18,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ISNUMBER(SEARCH($A18, INDEX(AsistenciaJetAdminConcatenada!$D:$D, MATCH(1, (AsistenciaJetAdminConcatenada!$A:$A=AX$2)*(AsistenciaJetAdminConcatenada!$B:$B=AX$1), 0)), 1))),  0.5, 0))</f>
        <v>1</v>
      </c>
      <c r="AY18" s="47">
        <f t="array" ref="AY18">IF(AND(ISNUMBER(MATCH(AY$2, AsistenciaJetAdminConcatenada!$A:$A, 0)), ISNUMBER(MATCH(AY$1, AsistenciaJetAdminConcatenada!$B:$B, 0)), ISNUMBER(SEARCH($A18,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ISNUMBER(SEARCH($A18, INDEX(AsistenciaJetAdminConcatenada!$D:$D, MATCH(1, (AsistenciaJetAdminConcatenada!$A:$A=AY$2)*(AsistenciaJetAdminConcatenada!$B:$B=AY$1), 0)), 1))),  0.5, 0))</f>
        <v>1</v>
      </c>
      <c r="AZ18" s="47">
        <f t="array" ref="AZ18">IF(AND(ISNUMBER(MATCH(AZ$2, AsistenciaJetAdminConcatenada!$A:$A, 0)), ISNUMBER(MATCH(AZ$1, AsistenciaJetAdminConcatenada!$B:$B, 0)), ISNUMBER(SEARCH($A18,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ISNUMBER(SEARCH($A18, INDEX(AsistenciaJetAdminConcatenada!$D:$D, MATCH(1, (AsistenciaJetAdminConcatenada!$A:$A=AZ$2)*(AsistenciaJetAdminConcatenada!$B:$B=AZ$1), 0)), 1))),  0.5, 0))</f>
        <v>1</v>
      </c>
      <c r="BA18" s="47">
        <f t="array" ref="BA18">IF(AND(ISNUMBER(MATCH(BA$2, AsistenciaJetAdminConcatenada!$A:$A, 0)), ISNUMBER(MATCH(BA$1, AsistenciaJetAdminConcatenada!$B:$B, 0)), ISNUMBER(SEARCH($A18,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ISNUMBER(SEARCH($A18, INDEX(AsistenciaJetAdminConcatenada!$D:$D, MATCH(1, (AsistenciaJetAdminConcatenada!$A:$A=BA$2)*(AsistenciaJetAdminConcatenada!$B:$B=BA$1), 0)), 1))),  0.5, 0))</f>
        <v>0</v>
      </c>
      <c r="BB18" s="47">
        <f t="array" ref="BB18">IF(AND(ISNUMBER(MATCH(BB$2, AsistenciaJetAdminConcatenada!$A:$A, 0)), ISNUMBER(MATCH(BB$1, AsistenciaJetAdminConcatenada!$B:$B, 0)), ISNUMBER(SEARCH($A18,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ISNUMBER(SEARCH($A18, INDEX(AsistenciaJetAdminConcatenada!$D:$D, MATCH(1, (AsistenciaJetAdminConcatenada!$A:$A=BB$2)*(AsistenciaJetAdminConcatenada!$B:$B=BB$1), 0)), 1))),  0.5, 0))</f>
        <v>1</v>
      </c>
      <c r="BC18" s="47">
        <f t="array" ref="BC18">IF(AND(ISNUMBER(MATCH(BC$2, AsistenciaJetAdminConcatenada!$A:$A, 0)), ISNUMBER(MATCH(BC$1, AsistenciaJetAdminConcatenada!$B:$B, 0)), ISNUMBER(SEARCH($A18,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ISNUMBER(SEARCH($A18, INDEX(AsistenciaJetAdminConcatenada!$D:$D, MATCH(1, (AsistenciaJetAdminConcatenada!$A:$A=BC$2)*(AsistenciaJetAdminConcatenada!$B:$B=BC$1), 0)), 1))),  0.5, 0))</f>
        <v>0.5</v>
      </c>
      <c r="BD18" s="47">
        <f t="array" ref="BD18">IF(AND(ISNUMBER(MATCH(BD$2, AsistenciaJetAdminConcatenada!$A:$A, 0)), ISNUMBER(MATCH(BD$1, AsistenciaJetAdminConcatenada!$B:$B, 0)), ISNUMBER(SEARCH($A18,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ISNUMBER(SEARCH($A18, INDEX(AsistenciaJetAdminConcatenada!$D:$D, MATCH(1, (AsistenciaJetAdminConcatenada!$A:$A=BD$2)*(AsistenciaJetAdminConcatenada!$B:$B=BD$1), 0)), 1))),  0.5, 0))</f>
        <v>0</v>
      </c>
      <c r="BE18" s="47">
        <f t="array" ref="BE18">IF(AND(ISNUMBER(MATCH(BE$2, AsistenciaJetAdminConcatenada!$A:$A, 0)), ISNUMBER(MATCH(BE$1, AsistenciaJetAdminConcatenada!$B:$B, 0)), ISNUMBER(SEARCH($A18,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ISNUMBER(SEARCH($A18, INDEX(AsistenciaJetAdminConcatenada!$D:$D, MATCH(1, (AsistenciaJetAdminConcatenada!$A:$A=BE$2)*(AsistenciaJetAdminConcatenada!$B:$B=BE$1), 0)), 1))),  0.5, 0))</f>
        <v>1</v>
      </c>
      <c r="BF18" s="47">
        <f t="array" ref="BF18">IF(AND(ISNUMBER(MATCH(BF$2, AsistenciaJetAdminConcatenada!$A:$A, 0)), ISNUMBER(MATCH(BF$1, AsistenciaJetAdminConcatenada!$B:$B, 0)), ISNUMBER(SEARCH($A18,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ISNUMBER(SEARCH($A18, INDEX(AsistenciaJetAdminConcatenada!$D:$D, MATCH(1, (AsistenciaJetAdminConcatenada!$A:$A=BF$2)*(AsistenciaJetAdminConcatenada!$B:$B=BF$1), 0)), 1))),  0.5, 0))</f>
        <v>1</v>
      </c>
      <c r="BG18" s="47">
        <f t="array" ref="BG18">IF(AND(ISNUMBER(MATCH(BG$2, AsistenciaJetAdminConcatenada!$A:$A, 0)), ISNUMBER(MATCH(BG$1, AsistenciaJetAdminConcatenada!$B:$B, 0)), ISNUMBER(SEARCH($A18,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ISNUMBER(SEARCH($A18, INDEX(AsistenciaJetAdminConcatenada!$D:$D, MATCH(1, (AsistenciaJetAdminConcatenada!$A:$A=BG$2)*(AsistenciaJetAdminConcatenada!$B:$B=BG$1), 0)), 1))),  0.5, 0))</f>
        <v>0</v>
      </c>
      <c r="BH18" s="47">
        <f t="array" ref="BH18">IF(AND(ISNUMBER(MATCH(BH$2, AsistenciaJetAdminConcatenada!$A:$A, 0)), ISNUMBER(MATCH(BH$1, AsistenciaJetAdminConcatenada!$B:$B, 0)), ISNUMBER(SEARCH($A18,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ISNUMBER(SEARCH($A18, INDEX(AsistenciaJetAdminConcatenada!$D:$D, MATCH(1, (AsistenciaJetAdminConcatenada!$A:$A=BH$2)*(AsistenciaJetAdminConcatenada!$B:$B=BH$1), 0)), 1))),  0.5, 0))</f>
        <v>1</v>
      </c>
      <c r="BI18" s="47">
        <f t="array" ref="BI18">IF(AND(ISNUMBER(MATCH(BI$2, AsistenciaJetAdminConcatenada!$A:$A, 0)), ISNUMBER(MATCH(BI$1, AsistenciaJetAdminConcatenada!$B:$B, 0)), ISNUMBER(SEARCH($A18,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ISNUMBER(SEARCH($A18, INDEX(AsistenciaJetAdminConcatenada!$D:$D, MATCH(1, (AsistenciaJetAdminConcatenada!$A:$A=BI$2)*(AsistenciaJetAdminConcatenada!$B:$B=BI$1), 0)), 1))),  0.5, 0))</f>
        <v>0.5</v>
      </c>
      <c r="BJ18" s="47">
        <f t="array" ref="BJ18">IF(AND(ISNUMBER(MATCH(BJ$2, AsistenciaJetAdminConcatenada!$A:$A, 0)), ISNUMBER(MATCH(BJ$1, AsistenciaJetAdminConcatenada!$B:$B, 0)), ISNUMBER(SEARCH($A18,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ISNUMBER(SEARCH($A18, INDEX(AsistenciaJetAdminConcatenada!$D:$D, MATCH(1, (AsistenciaJetAdminConcatenada!$A:$A=BJ$2)*(AsistenciaJetAdminConcatenada!$B:$B=BJ$1), 0)), 1))),  0.5, 0))</f>
        <v>0</v>
      </c>
      <c r="BK18" s="47">
        <f t="array" ref="BK18">IF(AND(ISNUMBER(MATCH(BK$2, AsistenciaJetAdminConcatenada!$A:$A, 0)), ISNUMBER(MATCH(BK$1, AsistenciaJetAdminConcatenada!$B:$B, 0)), ISNUMBER(SEARCH($A18,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ISNUMBER(SEARCH($A18, INDEX(AsistenciaJetAdminConcatenada!$D:$D, MATCH(1, (AsistenciaJetAdminConcatenada!$A:$A=BK$2)*(AsistenciaJetAdminConcatenada!$B:$B=BK$1), 0)), 1))),  0.5, 0))</f>
        <v>1</v>
      </c>
      <c r="BL18" s="47">
        <f t="array" ref="BL18">IF(AND(ISNUMBER(MATCH(BL$2, AsistenciaJetAdminConcatenada!$A:$A, 0)), ISNUMBER(MATCH(BL$1, AsistenciaJetAdminConcatenada!$B:$B, 0)), ISNUMBER(SEARCH($A18,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ISNUMBER(SEARCH($A18, INDEX(AsistenciaJetAdminConcatenada!$D:$D, MATCH(1, (AsistenciaJetAdminConcatenada!$A:$A=BL$2)*(AsistenciaJetAdminConcatenada!$B:$B=BL$1), 0)), 1))),  0.5, 0))</f>
        <v>1</v>
      </c>
      <c r="BM18" s="47">
        <f t="array" ref="BM18">IF(AND(ISNUMBER(MATCH(BM$2, AsistenciaJetAdminConcatenada!$A:$A, 0)), ISNUMBER(MATCH(BM$1, AsistenciaJetAdminConcatenada!$B:$B, 0)), ISNUMBER(SEARCH($A18,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ISNUMBER(SEARCH($A18, INDEX(AsistenciaJetAdminConcatenada!$D:$D, MATCH(1, (AsistenciaJetAdminConcatenada!$A:$A=BM$2)*(AsistenciaJetAdminConcatenada!$B:$B=BM$1), 0)), 1))),  0.5, 0))</f>
        <v>0</v>
      </c>
      <c r="BN18" s="47">
        <f t="array" ref="BN18">IF(AND(ISNUMBER(MATCH(BN$2, AsistenciaJetAdminConcatenada!$A:$A, 0)), ISNUMBER(MATCH(BN$1, AsistenciaJetAdminConcatenada!$B:$B, 0)), ISNUMBER(SEARCH($A18,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ISNUMBER(SEARCH($A18, INDEX(AsistenciaJetAdminConcatenada!$D:$D, MATCH(1, (AsistenciaJetAdminConcatenada!$A:$A=BN$2)*(AsistenciaJetAdminConcatenada!$B:$B=BN$1), 0)), 1))),  0.5, 0))</f>
        <v>0</v>
      </c>
      <c r="BO18" s="47">
        <f t="array" ref="BO18">IF(AND(ISNUMBER(MATCH(BO$2, AsistenciaJetAdminConcatenada!$A:$A, 0)), ISNUMBER(MATCH(BO$1, AsistenciaJetAdminConcatenada!$B:$B, 0)), ISNUMBER(SEARCH($A18,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ISNUMBER(SEARCH($A18, INDEX(AsistenciaJetAdminConcatenada!$D:$D, MATCH(1, (AsistenciaJetAdminConcatenada!$A:$A=BO$2)*(AsistenciaJetAdminConcatenada!$B:$B=BO$1), 0)), 1))),  0.5, 0))</f>
        <v>1</v>
      </c>
      <c r="BP18" s="47">
        <f t="array" ref="BP18">IF(AND(ISNUMBER(MATCH(BP$2, AsistenciaJetAdminConcatenada!$A:$A, 0)), ISNUMBER(MATCH(BP$1, AsistenciaJetAdminConcatenada!$B:$B, 0)), ISNUMBER(SEARCH($A18,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ISNUMBER(SEARCH($A18, INDEX(AsistenciaJetAdminConcatenada!$D:$D, MATCH(1, (AsistenciaJetAdminConcatenada!$A:$A=BP$2)*(AsistenciaJetAdminConcatenada!$B:$B=BP$1), 0)), 1))),  0.5, 0))</f>
        <v>0</v>
      </c>
      <c r="BQ18" s="47">
        <f t="array" ref="BQ18">IF(AND(ISNUMBER(MATCH(BQ$2, AsistenciaJetAdminConcatenada!$A:$A, 0)), ISNUMBER(MATCH(BQ$1, AsistenciaJetAdminConcatenada!$B:$B, 0)), ISNUMBER(SEARCH($A18,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ISNUMBER(SEARCH($A18, INDEX(AsistenciaJetAdminConcatenada!$D:$D, MATCH(1, (AsistenciaJetAdminConcatenada!$A:$A=BQ$2)*(AsistenciaJetAdminConcatenada!$B:$B=BQ$1), 0)), 1))),  0.5, 0))</f>
        <v>1</v>
      </c>
      <c r="BR18" s="47">
        <f t="array" ref="BR18">IF(AND(ISNUMBER(MATCH(BR$2, AsistenciaJetAdminConcatenada!$A:$A, 0)), ISNUMBER(MATCH(BR$1, AsistenciaJetAdminConcatenada!$B:$B, 0)), ISNUMBER(SEARCH($A18,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ISNUMBER(SEARCH($A18, INDEX(AsistenciaJetAdminConcatenada!$D:$D, MATCH(1, (AsistenciaJetAdminConcatenada!$A:$A=BR$2)*(AsistenciaJetAdminConcatenada!$B:$B=BR$1), 0)), 1))),  0.5, 0))</f>
        <v>1</v>
      </c>
      <c r="BS18" s="47">
        <f t="array" ref="BS18">IF(AND(ISNUMBER(MATCH(BS$2, AsistenciaJetAdminConcatenada!$A:$A, 0)), ISNUMBER(MATCH(BS$1, AsistenciaJetAdminConcatenada!$B:$B, 0)), ISNUMBER(SEARCH($A18,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ISNUMBER(SEARCH($A18, INDEX(AsistenciaJetAdminConcatenada!$D:$D, MATCH(1, (AsistenciaJetAdminConcatenada!$A:$A=BS$2)*(AsistenciaJetAdminConcatenada!$B:$B=BS$1), 0)), 1))),  0.5, 0))</f>
        <v>0</v>
      </c>
      <c r="BT18" s="47">
        <f t="array" ref="BT18">IF(AND(ISNUMBER(MATCH(BT$2, AsistenciaJetAdminConcatenada!$A:$A, 0)), ISNUMBER(MATCH(BT$1, AsistenciaJetAdminConcatenada!$B:$B, 0)), ISNUMBER(SEARCH($A18,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ISNUMBER(SEARCH($A18, INDEX(AsistenciaJetAdminConcatenada!$D:$D, MATCH(1, (AsistenciaJetAdminConcatenada!$A:$A=BT$2)*(AsistenciaJetAdminConcatenada!$B:$B=BT$1), 0)), 1))),  0.5, 0))</f>
        <v>1</v>
      </c>
      <c r="BU18" s="47">
        <f t="array" ref="BU18">IF(AND(ISNUMBER(MATCH(BU$2, AsistenciaJetAdminConcatenada!$A:$A, 0)), ISNUMBER(MATCH(BU$1, AsistenciaJetAdminConcatenada!$B:$B, 0)), ISNUMBER(SEARCH($A18,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ISNUMBER(SEARCH($A18, INDEX(AsistenciaJetAdminConcatenada!$D:$D, MATCH(1, (AsistenciaJetAdminConcatenada!$A:$A=BU$2)*(AsistenciaJetAdminConcatenada!$B:$B=BU$1), 0)), 1))),  0.5, 0))</f>
        <v>1</v>
      </c>
      <c r="BV18" s="47">
        <f t="array" ref="BV18">IF(AND(ISNUMBER(MATCH(BV$2, AsistenciaJetAdminConcatenada!$A:$A, 0)), ISNUMBER(MATCH(BV$1, AsistenciaJetAdminConcatenada!$B:$B, 0)), ISNUMBER(SEARCH($A18,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ISNUMBER(SEARCH($A18, INDEX(AsistenciaJetAdminConcatenada!$D:$D, MATCH(1, (AsistenciaJetAdminConcatenada!$A:$A=BV$2)*(AsistenciaJetAdminConcatenada!$B:$B=BV$1), 0)), 1))),  0.5, 0))</f>
        <v>0</v>
      </c>
      <c r="BW18" s="47">
        <f t="array" ref="BW18">IF(AND(ISNUMBER(MATCH(BW$2, AsistenciaJetAdminConcatenada!$A:$A, 0)), ISNUMBER(MATCH(BW$1, AsistenciaJetAdminConcatenada!$B:$B, 0)), ISNUMBER(SEARCH($A18,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ISNUMBER(SEARCH($A18, INDEX(AsistenciaJetAdminConcatenada!$D:$D, MATCH(1, (AsistenciaJetAdminConcatenada!$A:$A=BW$2)*(AsistenciaJetAdminConcatenada!$B:$B=BW$1), 0)), 1))),  0.5, 0))</f>
        <v>1</v>
      </c>
      <c r="BX18" s="47">
        <f t="array" ref="BX18">IF(AND(ISNUMBER(MATCH(BX$2, AsistenciaJetAdminConcatenada!$A:$A, 0)), ISNUMBER(MATCH(BX$1, AsistenciaJetAdminConcatenada!$B:$B, 0)), ISNUMBER(SEARCH($A18,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ISNUMBER(SEARCH($A18, INDEX(AsistenciaJetAdminConcatenada!$D:$D, MATCH(1, (AsistenciaJetAdminConcatenada!$A:$A=BX$2)*(AsistenciaJetAdminConcatenada!$B:$B=BX$1), 0)), 1))),  0.5, 0))</f>
        <v>0</v>
      </c>
      <c r="BY18" s="47">
        <f t="array" ref="BY18">IF(AND(ISNUMBER(MATCH(BY$2, AsistenciaJetAdminConcatenada!$A:$A, 0)), ISNUMBER(MATCH(BY$1, AsistenciaJetAdminConcatenada!$B:$B, 0)), ISNUMBER(SEARCH($A18,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ISNUMBER(SEARCH($A18, INDEX(AsistenciaJetAdminConcatenada!$D:$D, MATCH(1, (AsistenciaJetAdminConcatenada!$A:$A=BY$2)*(AsistenciaJetAdminConcatenada!$B:$B=BY$1), 0)), 1))),  0.5, 0))</f>
        <v>0</v>
      </c>
      <c r="BZ18" s="47">
        <f t="array" ref="BZ18">IF(AND(ISNUMBER(MATCH(BZ$2, AsistenciaJetAdminConcatenada!$A:$A, 0)), ISNUMBER(MATCH(BZ$1, AsistenciaJetAdminConcatenada!$B:$B, 0)), ISNUMBER(SEARCH($A18,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ISNUMBER(SEARCH($A18, INDEX(AsistenciaJetAdminConcatenada!$D:$D, MATCH(1, (AsistenciaJetAdminConcatenada!$A:$A=BZ$2)*(AsistenciaJetAdminConcatenada!$B:$B=BZ$1), 0)), 1))),  0.5, 0))</f>
        <v>0</v>
      </c>
      <c r="CA18" s="47">
        <f t="array" ref="CA18">IF(AND(ISNUMBER(MATCH(CA$2, AsistenciaJetAdminConcatenada!$A:$A, 0)), ISNUMBER(MATCH(CA$1, AsistenciaJetAdminConcatenada!$B:$B, 0)), ISNUMBER(SEARCH($A18,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ISNUMBER(SEARCH($A18, INDEX(AsistenciaJetAdminConcatenada!$D:$D, MATCH(1, (AsistenciaJetAdminConcatenada!$A:$A=CA$2)*(AsistenciaJetAdminConcatenada!$B:$B=CA$1), 0)), 1))),  0.5, 0))</f>
        <v>1</v>
      </c>
      <c r="CB18" s="47">
        <f t="array" ref="CB18">IF(AND(ISNUMBER(MATCH(CB$2, AsistenciaJetAdminConcatenada!$A:$A, 0)), ISNUMBER(MATCH(CB$1, AsistenciaJetAdminConcatenada!$B:$B, 0)), ISNUMBER(SEARCH($A18,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ISNUMBER(SEARCH($A18, INDEX(AsistenciaJetAdminConcatenada!$D:$D, MATCH(1, (AsistenciaJetAdminConcatenada!$A:$A=CB$2)*(AsistenciaJetAdminConcatenada!$B:$B=CB$1), 0)), 1))),  0.5, 0))</f>
        <v>1</v>
      </c>
      <c r="CC18" s="47">
        <f t="array" ref="CC18">IF(AND(ISNUMBER(MATCH(CC$2, AsistenciaJetAdminConcatenada!$A:$A, 0)), ISNUMBER(MATCH(CC$1, AsistenciaJetAdminConcatenada!$B:$B, 0)), ISNUMBER(SEARCH($A18,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ISNUMBER(SEARCH($A18, INDEX(AsistenciaJetAdminConcatenada!$D:$D, MATCH(1, (AsistenciaJetAdminConcatenada!$A:$A=CC$2)*(AsistenciaJetAdminConcatenada!$B:$B=CC$1), 0)), 1))),  0.5, 0))</f>
        <v>0</v>
      </c>
      <c r="CD18" s="47">
        <f t="array" ref="CD18">IF(AND(ISNUMBER(MATCH(CD$2, AsistenciaJetAdminConcatenada!$A:$A, 0)), ISNUMBER(MATCH(CD$1, AsistenciaJetAdminConcatenada!$B:$B, 0)), ISNUMBER(SEARCH($A18,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ISNUMBER(SEARCH($A18, INDEX(AsistenciaJetAdminConcatenada!$D:$D, MATCH(1, (AsistenciaJetAdminConcatenada!$A:$A=CD$2)*(AsistenciaJetAdminConcatenada!$B:$B=CD$1), 0)), 1))),  0.5, 0))</f>
        <v>0</v>
      </c>
      <c r="CE18" s="47">
        <f t="array" ref="CE18">IF(AND(ISNUMBER(MATCH(CE$2, AsistenciaJetAdminConcatenada!$A:$A, 0)), ISNUMBER(MATCH(CE$1, AsistenciaJetAdminConcatenada!$B:$B, 0)), ISNUMBER(SEARCH($A18,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ISNUMBER(SEARCH($A18, INDEX(AsistenciaJetAdminConcatenada!$D:$D, MATCH(1, (AsistenciaJetAdminConcatenada!$A:$A=CE$2)*(AsistenciaJetAdminConcatenada!$B:$B=CE$1), 0)), 1))),  0.5, 0))</f>
        <v>1</v>
      </c>
      <c r="CF18" s="47">
        <f t="array" ref="CF18">IF(AND(ISNUMBER(MATCH(CF$2, AsistenciaJetAdminConcatenada!$A:$A, 0)), ISNUMBER(MATCH(CF$1, AsistenciaJetAdminConcatenada!$B:$B, 0)), ISNUMBER(SEARCH($A18,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ISNUMBER(SEARCH($A18, INDEX(AsistenciaJetAdminConcatenada!$D:$D, MATCH(1, (AsistenciaJetAdminConcatenada!$A:$A=CF$2)*(AsistenciaJetAdminConcatenada!$B:$B=CF$1), 0)), 1))),  0.5, 0))</f>
        <v>1</v>
      </c>
      <c r="CG18" s="47">
        <f t="array" ref="CG18">IF(AND(ISNUMBER(MATCH(CG$2, AsistenciaJetAdminConcatenada!$A:$A, 0)), ISNUMBER(MATCH(CG$1, AsistenciaJetAdminConcatenada!$B:$B, 0)), ISNUMBER(SEARCH($A18,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ISNUMBER(SEARCH($A18, INDEX(AsistenciaJetAdminConcatenada!$D:$D, MATCH(1, (AsistenciaJetAdminConcatenada!$A:$A=CG$2)*(AsistenciaJetAdminConcatenada!$B:$B=CG$1), 0)), 1))),  0.5, 0))</f>
        <v>0</v>
      </c>
      <c r="CH18" s="47">
        <f t="array" ref="CH18">IF(AND(ISNUMBER(MATCH(CH$2, AsistenciaJetAdminConcatenada!$A:$A, 0)), ISNUMBER(MATCH(CH$1, AsistenciaJetAdminConcatenada!$B:$B, 0)), ISNUMBER(SEARCH($A18,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ISNUMBER(SEARCH($A18, INDEX(AsistenciaJetAdminConcatenada!$D:$D, MATCH(1, (AsistenciaJetAdminConcatenada!$A:$A=CH$2)*(AsistenciaJetAdminConcatenada!$B:$B=CH$1), 0)), 1))),  0.5, 0))</f>
        <v>0</v>
      </c>
      <c r="CI18" s="47">
        <f t="array" ref="CI18">IF(AND(ISNUMBER(MATCH(CI$2, AsistenciaJetAdminConcatenada!$A:$A, 0)), ISNUMBER(MATCH(CI$1, AsistenciaJetAdminConcatenada!$B:$B, 0)), ISNUMBER(SEARCH($A18,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ISNUMBER(SEARCH($A18, INDEX(AsistenciaJetAdminConcatenada!$D:$D, MATCH(1, (AsistenciaJetAdminConcatenada!$A:$A=CI$2)*(AsistenciaJetAdminConcatenada!$B:$B=CI$1), 0)), 1))),  0.5, 0))</f>
        <v>1</v>
      </c>
      <c r="CJ18" s="47">
        <f t="array" ref="CJ18">IF(AND(ISNUMBER(MATCH(CJ$2, AsistenciaJetAdminConcatenada!$A:$A, 0)), ISNUMBER(MATCH(CJ$1, AsistenciaJetAdminConcatenada!$B:$B, 0)), ISNUMBER(SEARCH($A18,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ISNUMBER(SEARCH($A18, INDEX(AsistenciaJetAdminConcatenada!$D:$D, MATCH(1, (AsistenciaJetAdminConcatenada!$A:$A=CJ$2)*(AsistenciaJetAdminConcatenada!$B:$B=CJ$1), 0)), 1))),  0.5, 0))</f>
        <v>1</v>
      </c>
      <c r="CK18" s="47">
        <f t="array" ref="CK18">IF(AND(ISNUMBER(MATCH(CK$2, AsistenciaJetAdminConcatenada!$A:$A, 0)), ISNUMBER(MATCH(CK$1, AsistenciaJetAdminConcatenada!$B:$B, 0)), ISNUMBER(SEARCH($A18,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ISNUMBER(SEARCH($A18, INDEX(AsistenciaJetAdminConcatenada!$D:$D, MATCH(1, (AsistenciaJetAdminConcatenada!$A:$A=CK$2)*(AsistenciaJetAdminConcatenada!$B:$B=CK$1), 0)), 1))),  0.5, 0))</f>
        <v>0</v>
      </c>
      <c r="CL18" s="47">
        <f t="array" ref="CL18">IF(AND(ISNUMBER(MATCH(CL$2, AsistenciaJetAdminConcatenada!$A:$A, 0)), ISNUMBER(MATCH(CL$1, AsistenciaJetAdminConcatenada!$B:$B, 0)), ISNUMBER(SEARCH($A18,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ISNUMBER(SEARCH($A18, INDEX(AsistenciaJetAdminConcatenada!$D:$D, MATCH(1, (AsistenciaJetAdminConcatenada!$A:$A=CL$2)*(AsistenciaJetAdminConcatenada!$B:$B=CL$1), 0)), 1))),  0.5, 0))</f>
        <v>1</v>
      </c>
      <c r="CM18" s="47">
        <f t="array" ref="CM18">IF(AND(ISNUMBER(MATCH(CM$2, AsistenciaJetAdminConcatenada!$A:$A, 0)), ISNUMBER(MATCH(CM$1, AsistenciaJetAdminConcatenada!$B:$B, 0)), ISNUMBER(SEARCH($A18,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ISNUMBER(SEARCH($A18, INDEX(AsistenciaJetAdminConcatenada!$D:$D, MATCH(1, (AsistenciaJetAdminConcatenada!$A:$A=CM$2)*(AsistenciaJetAdminConcatenada!$B:$B=CM$1), 0)), 1))),  0.5, 0))</f>
        <v>1</v>
      </c>
      <c r="CN18" s="47">
        <f t="array" ref="CN18">IF(AND(ISNUMBER(MATCH(CN$2, AsistenciaJetAdminConcatenada!$A:$A, 0)), ISNUMBER(MATCH(CN$1, AsistenciaJetAdminConcatenada!$B:$B, 0)), ISNUMBER(SEARCH($A18,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ISNUMBER(SEARCH($A18, INDEX(AsistenciaJetAdminConcatenada!$D:$D, MATCH(1, (AsistenciaJetAdminConcatenada!$A:$A=CN$2)*(AsistenciaJetAdminConcatenada!$B:$B=CN$1), 0)), 1))),  0.5, 0))</f>
        <v>0</v>
      </c>
      <c r="CO18" s="47">
        <f t="array" ref="CO18">IF(AND(ISNUMBER(MATCH(CO$2, AsistenciaJetAdminConcatenada!$A:$A, 0)), ISNUMBER(MATCH(CO$1, AsistenciaJetAdminConcatenada!$B:$B, 0)), ISNUMBER(SEARCH($A18,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ISNUMBER(SEARCH($A18, INDEX(AsistenciaJetAdminConcatenada!$D:$D, MATCH(1, (AsistenciaJetAdminConcatenada!$A:$A=CO$2)*(AsistenciaJetAdminConcatenada!$B:$B=CO$1), 0)), 1))),  0.5, 0))</f>
        <v>1</v>
      </c>
      <c r="CP18" s="47">
        <f t="array" ref="CP18">IF(AND(ISNUMBER(MATCH(CP$2, AsistenciaJetAdminConcatenada!$A:$A, 0)), ISNUMBER(MATCH(CP$1, AsistenciaJetAdminConcatenada!$B:$B, 0)), ISNUMBER(SEARCH($A18,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ISNUMBER(SEARCH($A18, INDEX(AsistenciaJetAdminConcatenada!$D:$D, MATCH(1, (AsistenciaJetAdminConcatenada!$A:$A=CP$2)*(AsistenciaJetAdminConcatenada!$B:$B=CP$1), 0)), 1))),  0.5, 0))</f>
        <v>0</v>
      </c>
      <c r="CQ18" s="47">
        <f t="array" ref="CQ18">IF(AND(ISNUMBER(MATCH(CQ$2, AsistenciaJetAdminConcatenada!$A:$A, 0)), ISNUMBER(MATCH(CQ$1, AsistenciaJetAdminConcatenada!$B:$B, 0)), ISNUMBER(SEARCH($A18,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ISNUMBER(SEARCH($A18, INDEX(AsistenciaJetAdminConcatenada!$D:$D, MATCH(1, (AsistenciaJetAdminConcatenada!$A:$A=CQ$2)*(AsistenciaJetAdminConcatenada!$B:$B=CQ$1), 0)), 1))),  0.5, 0))</f>
        <v>0</v>
      </c>
      <c r="CR18" s="47">
        <f t="array" ref="CR18">IF(AND(ISNUMBER(MATCH(CR$2, AsistenciaJetAdminConcatenada!$A:$A, 0)), ISNUMBER(MATCH(CR$1, AsistenciaJetAdminConcatenada!$B:$B, 0)), ISNUMBER(SEARCH($A18,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ISNUMBER(SEARCH($A18, INDEX(AsistenciaJetAdminConcatenada!$D:$D, MATCH(1, (AsistenciaJetAdminConcatenada!$A:$A=CR$2)*(AsistenciaJetAdminConcatenada!$B:$B=CR$1), 0)), 1))),  0.5, 0))</f>
        <v>1</v>
      </c>
      <c r="CS18" s="47">
        <f t="array" ref="CS18">IF(AND(ISNUMBER(MATCH(CS$2, AsistenciaJetAdminConcatenada!$A:$A, 0)), ISNUMBER(MATCH(CS$1, AsistenciaJetAdminConcatenada!$B:$B, 0)), ISNUMBER(SEARCH($A18,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ISNUMBER(SEARCH($A18, INDEX(AsistenciaJetAdminConcatenada!$D:$D, MATCH(1, (AsistenciaJetAdminConcatenada!$A:$A=CS$2)*(AsistenciaJetAdminConcatenada!$B:$B=CS$1), 0)), 1))),  0.5, 0))</f>
        <v>0</v>
      </c>
      <c r="CT18" s="47">
        <f t="array" ref="CT18">IF(AND(ISNUMBER(MATCH(CT$2, AsistenciaJetAdminConcatenada!$A:$A, 0)), ISNUMBER(MATCH(CT$1, AsistenciaJetAdminConcatenada!$B:$B, 0)), ISNUMBER(SEARCH($A18,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ISNUMBER(SEARCH($A18, INDEX(AsistenciaJetAdminConcatenada!$D:$D, MATCH(1, (AsistenciaJetAdminConcatenada!$A:$A=CT$2)*(AsistenciaJetAdminConcatenada!$B:$B=CT$1), 0)), 1))),  0.5, 0))</f>
        <v>0</v>
      </c>
      <c r="CU18" s="47">
        <f t="array" ref="CU18">IF(AND(ISNUMBER(MATCH(CU$2, AsistenciaJetAdminConcatenada!$A:$A, 0)), ISNUMBER(MATCH(CU$1, AsistenciaJetAdminConcatenada!$B:$B, 0)), ISNUMBER(SEARCH($A18,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ISNUMBER(SEARCH($A18, INDEX(AsistenciaJetAdminConcatenada!$D:$D, MATCH(1, (AsistenciaJetAdminConcatenada!$A:$A=CU$2)*(AsistenciaJetAdminConcatenada!$B:$B=CU$1), 0)), 1))),  0.5, 0))</f>
        <v>0</v>
      </c>
      <c r="CV18" s="47">
        <f t="array" ref="CV18">IF(AND(ISNUMBER(MATCH(CV$2, AsistenciaJetAdminConcatenada!$A:$A, 0)), ISNUMBER(MATCH(CV$1, AsistenciaJetAdminConcatenada!$B:$B, 0)), ISNUMBER(SEARCH($A18,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ISNUMBER(SEARCH($A18, INDEX(AsistenciaJetAdminConcatenada!$D:$D, MATCH(1, (AsistenciaJetAdminConcatenada!$A:$A=CV$2)*(AsistenciaJetAdminConcatenada!$B:$B=CV$1), 0)), 1))),  0.5, 0))</f>
        <v>0</v>
      </c>
      <c r="CW18" s="47">
        <f t="array" ref="CW18">IF(AND(ISNUMBER(MATCH(CW$2, AsistenciaJetAdminConcatenada!$A:$A, 0)), ISNUMBER(MATCH(CW$1, AsistenciaJetAdminConcatenada!$B:$B, 0)), ISNUMBER(SEARCH($A18,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ISNUMBER(SEARCH($A18, INDEX(AsistenciaJetAdminConcatenada!$D:$D, MATCH(1, (AsistenciaJetAdminConcatenada!$A:$A=CW$2)*(AsistenciaJetAdminConcatenada!$B:$B=CW$1), 0)), 1))),  0.5, 0))</f>
        <v>0</v>
      </c>
      <c r="CX18" s="47">
        <f t="array" ref="CX18">IF(AND(ISNUMBER(MATCH(CX$2, AsistenciaJetAdminConcatenada!$A:$A, 0)), ISNUMBER(MATCH(CX$1, AsistenciaJetAdminConcatenada!$B:$B, 0)), ISNUMBER(SEARCH($A18,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ISNUMBER(SEARCH($A18, INDEX(AsistenciaJetAdminConcatenada!$D:$D, MATCH(1, (AsistenciaJetAdminConcatenada!$A:$A=CX$2)*(AsistenciaJetAdminConcatenada!$B:$B=CX$1), 0)), 1))),  0.5, 0))</f>
        <v>0</v>
      </c>
      <c r="CY18" s="47">
        <f t="array" ref="CY18">IF(AND(ISNUMBER(MATCH(CY$2, AsistenciaJetAdminConcatenada!$A:$A, 0)), ISNUMBER(MATCH(CY$1, AsistenciaJetAdminConcatenada!$B:$B, 0)), ISNUMBER(SEARCH($A18,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ISNUMBER(SEARCH($A18, INDEX(AsistenciaJetAdminConcatenada!$D:$D, MATCH(1, (AsistenciaJetAdminConcatenada!$A:$A=CY$2)*(AsistenciaJetAdminConcatenada!$B:$B=CY$1), 0)), 1))),  0.5, 0))</f>
        <v>0</v>
      </c>
      <c r="CZ18" s="47">
        <f t="array" ref="CZ18">IF(AND(ISNUMBER(MATCH(CZ$2, AsistenciaJetAdminConcatenada!$A:$A, 0)), ISNUMBER(MATCH(CZ$1, AsistenciaJetAdminConcatenada!$B:$B, 0)), ISNUMBER(SEARCH($A18,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ISNUMBER(SEARCH($A18, INDEX(AsistenciaJetAdminConcatenada!$D:$D, MATCH(1, (AsistenciaJetAdminConcatenada!$A:$A=CZ$2)*(AsistenciaJetAdminConcatenada!$B:$B=CZ$1), 0)), 1))),  0.5, 0))</f>
        <v>0</v>
      </c>
      <c r="DA18" s="47">
        <f t="array" ref="DA18">IF(AND(ISNUMBER(MATCH(DA$2, AsistenciaJetAdminConcatenada!$A:$A, 0)), ISNUMBER(MATCH(DA$1, AsistenciaJetAdminConcatenada!$B:$B, 0)), ISNUMBER(SEARCH($A18,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ISNUMBER(SEARCH($A18, INDEX(AsistenciaJetAdminConcatenada!$D:$D, MATCH(1, (AsistenciaJetAdminConcatenada!$A:$A=DA$2)*(AsistenciaJetAdminConcatenada!$B:$B=DA$1), 0)), 1))),  0.5, 0))</f>
        <v>0</v>
      </c>
      <c r="DB18" s="47">
        <f t="array" ref="DB18">IF(AND(ISNUMBER(MATCH(DB$2, AsistenciaJetAdminConcatenada!$A:$A, 0)), ISNUMBER(MATCH(DB$1, AsistenciaJetAdminConcatenada!$B:$B, 0)), ISNUMBER(SEARCH($A18,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ISNUMBER(SEARCH($A18, INDEX(AsistenciaJetAdminConcatenada!$D:$D, MATCH(1, (AsistenciaJetAdminConcatenada!$A:$A=DB$2)*(AsistenciaJetAdminConcatenada!$B:$B=DB$1), 0)), 1))),  0.5, 0))</f>
        <v>0</v>
      </c>
      <c r="DC18" s="47">
        <f t="array" ref="DC18">IF(AND(ISNUMBER(MATCH(DC$2, AsistenciaJetAdminConcatenada!$A:$A, 0)), ISNUMBER(MATCH(DC$1, AsistenciaJetAdminConcatenada!$B:$B, 0)), ISNUMBER(SEARCH($A18,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ISNUMBER(SEARCH($A18, INDEX(AsistenciaJetAdminConcatenada!$D:$D, MATCH(1, (AsistenciaJetAdminConcatenada!$A:$A=DC$2)*(AsistenciaJetAdminConcatenada!$B:$B=DC$1), 0)), 1))),  0.5, 0))</f>
        <v>0</v>
      </c>
      <c r="DD18" s="47">
        <f t="array" ref="DD18">IF(AND(ISNUMBER(MATCH(DD$2, AsistenciaJetAdminConcatenada!$A:$A, 0)), ISNUMBER(MATCH(DD$1, AsistenciaJetAdminConcatenada!$B:$B, 0)), ISNUMBER(SEARCH($A18,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ISNUMBER(SEARCH($A18, INDEX(AsistenciaJetAdminConcatenada!$D:$D, MATCH(1, (AsistenciaJetAdminConcatenada!$A:$A=DD$2)*(AsistenciaJetAdminConcatenada!$B:$B=DD$1), 0)), 1))),  0.5, 0))</f>
        <v>0</v>
      </c>
      <c r="DE18" s="47">
        <f t="array" ref="DE18">IF(AND(ISNUMBER(MATCH(DE$2, AsistenciaJetAdminConcatenada!$A:$A, 0)), ISNUMBER(MATCH(DE$1, AsistenciaJetAdminConcatenada!$B:$B, 0)), ISNUMBER(SEARCH($A18,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ISNUMBER(SEARCH($A18, INDEX(AsistenciaJetAdminConcatenada!$D:$D, MATCH(1, (AsistenciaJetAdminConcatenada!$A:$A=DE$2)*(AsistenciaJetAdminConcatenada!$B:$B=DE$1), 0)), 1))),  0.5, 0))</f>
        <v>0</v>
      </c>
      <c r="DF18" s="47">
        <f t="array" ref="DF18">IF(AND(ISNUMBER(MATCH(DF$2, AsistenciaJetAdminConcatenada!$A:$A, 0)), ISNUMBER(MATCH(DF$1, AsistenciaJetAdminConcatenada!$B:$B, 0)), ISNUMBER(SEARCH($A18,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ISNUMBER(SEARCH($A18, INDEX(AsistenciaJetAdminConcatenada!$D:$D, MATCH(1, (AsistenciaJetAdminConcatenada!$A:$A=DF$2)*(AsistenciaJetAdminConcatenada!$B:$B=DF$1), 0)), 1))),  0.5, 0))</f>
        <v>0</v>
      </c>
      <c r="DG18" s="47">
        <f t="array" ref="DG18">IF(AND(ISNUMBER(MATCH(DG$2, AsistenciaJetAdminConcatenada!$A:$A, 0)), ISNUMBER(MATCH(DG$1, AsistenciaJetAdminConcatenada!$B:$B, 0)), ISNUMBER(SEARCH($A18,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ISNUMBER(SEARCH($A18, INDEX(AsistenciaJetAdminConcatenada!$D:$D, MATCH(1, (AsistenciaJetAdminConcatenada!$A:$A=DG$2)*(AsistenciaJetAdminConcatenada!$B:$B=DG$1), 0)), 1))),  0.5, 0))</f>
        <v>0</v>
      </c>
      <c r="DH18" s="47">
        <f t="array" ref="DH18">IF(AND(ISNUMBER(MATCH(DH$2, AsistenciaJetAdminConcatenada!$A:$A, 0)), ISNUMBER(MATCH(DH$1, AsistenciaJetAdminConcatenada!$B:$B, 0)), ISNUMBER(SEARCH($A18,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ISNUMBER(SEARCH($A18, INDEX(AsistenciaJetAdminConcatenada!$D:$D, MATCH(1, (AsistenciaJetAdminConcatenada!$A:$A=DH$2)*(AsistenciaJetAdminConcatenada!$B:$B=DH$1), 0)), 1))),  0.5, 0))</f>
        <v>0</v>
      </c>
      <c r="DI18" s="47">
        <f t="array" ref="DI18">IF(AND(ISNUMBER(MATCH(DI$2, AsistenciaJetAdminConcatenada!$A:$A, 0)), ISNUMBER(MATCH(DI$1, AsistenciaJetAdminConcatenada!$B:$B, 0)), ISNUMBER(SEARCH($A18,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ISNUMBER(SEARCH($A18, INDEX(AsistenciaJetAdminConcatenada!$D:$D, MATCH(1, (AsistenciaJetAdminConcatenada!$A:$A=DI$2)*(AsistenciaJetAdminConcatenada!$B:$B=DI$1), 0)), 1))),  0.5, 0))</f>
        <v>0</v>
      </c>
      <c r="DJ18" s="47">
        <f t="array" ref="DJ18">IF(AND(ISNUMBER(MATCH(DJ$2, AsistenciaJetAdminConcatenada!$A:$A, 0)), ISNUMBER(MATCH(DJ$1, AsistenciaJetAdminConcatenada!$B:$B, 0)), ISNUMBER(SEARCH($A18,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ISNUMBER(SEARCH($A18, INDEX(AsistenciaJetAdminConcatenada!$D:$D, MATCH(1, (AsistenciaJetAdminConcatenada!$A:$A=DJ$2)*(AsistenciaJetAdminConcatenada!$B:$B=DJ$1), 0)), 1))),  0.5, 0))</f>
        <v>0</v>
      </c>
      <c r="DK18" s="47">
        <f t="array" ref="DK18">IF(AND(ISNUMBER(MATCH(DK$2, AsistenciaJetAdminConcatenada!$A:$A, 0)), ISNUMBER(MATCH(DK$1, AsistenciaJetAdminConcatenada!$B:$B, 0)), ISNUMBER(SEARCH($A18,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ISNUMBER(SEARCH($A18, INDEX(AsistenciaJetAdminConcatenada!$D:$D, MATCH(1, (AsistenciaJetAdminConcatenada!$A:$A=DK$2)*(AsistenciaJetAdminConcatenada!$B:$B=DK$1), 0)), 1))),  0.5, 0))</f>
        <v>0</v>
      </c>
      <c r="DL18" s="47">
        <f t="array" ref="DL18">IF(AND(ISNUMBER(MATCH(DL$2, AsistenciaJetAdminConcatenada!$A:$A, 0)), ISNUMBER(MATCH(DL$1, AsistenciaJetAdminConcatenada!$B:$B, 0)), ISNUMBER(SEARCH($A18,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ISNUMBER(SEARCH($A18, INDEX(AsistenciaJetAdminConcatenada!$D:$D, MATCH(1, (AsistenciaJetAdminConcatenada!$A:$A=DL$2)*(AsistenciaJetAdminConcatenada!$B:$B=DL$1), 0)), 1))),  0.5, 0))</f>
        <v>0</v>
      </c>
      <c r="DM18" s="47">
        <f t="array" ref="DM18">IF(AND(ISNUMBER(MATCH(DM$2, AsistenciaJetAdminConcatenada!$A:$A, 0)), ISNUMBER(MATCH(DM$1, AsistenciaJetAdminConcatenada!$B:$B, 0)), ISNUMBER(SEARCH($A18,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ISNUMBER(SEARCH($A18, INDEX(AsistenciaJetAdminConcatenada!$D:$D, MATCH(1, (AsistenciaJetAdminConcatenada!$A:$A=DM$2)*(AsistenciaJetAdminConcatenada!$B:$B=DM$1), 0)), 1))),  0.5, 0))</f>
        <v>0</v>
      </c>
      <c r="DN18" s="47">
        <f t="array" ref="DN18">IF(AND(ISNUMBER(MATCH(DN$2, AsistenciaJetAdminConcatenada!$A:$A, 0)), ISNUMBER(MATCH(DN$1, AsistenciaJetAdminConcatenada!$B:$B, 0)), ISNUMBER(SEARCH($A18,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ISNUMBER(SEARCH($A18, INDEX(AsistenciaJetAdminConcatenada!$D:$D, MATCH(1, (AsistenciaJetAdminConcatenada!$A:$A=DN$2)*(AsistenciaJetAdminConcatenada!$B:$B=DN$1), 0)), 1))),  0.5, 0))</f>
        <v>0</v>
      </c>
      <c r="DO18" s="47">
        <f t="array" ref="DO18">IF(AND(ISNUMBER(MATCH(DO$2, AsistenciaJetAdminConcatenada!$A:$A, 0)), ISNUMBER(MATCH(DO$1, AsistenciaJetAdminConcatenada!$B:$B, 0)), ISNUMBER(SEARCH($A18,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ISNUMBER(SEARCH($A18, INDEX(AsistenciaJetAdminConcatenada!$D:$D, MATCH(1, (AsistenciaJetAdminConcatenada!$A:$A=DO$2)*(AsistenciaJetAdminConcatenada!$B:$B=DO$1), 0)), 1))),  0.5, 0))</f>
        <v>0</v>
      </c>
      <c r="DP18" s="47">
        <f t="array" ref="DP18">IF(AND(ISNUMBER(MATCH(DP$2, AsistenciaJetAdminConcatenada!$A:$A, 0)), ISNUMBER(MATCH(DP$1, AsistenciaJetAdminConcatenada!$B:$B, 0)), ISNUMBER(SEARCH($A18,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ISNUMBER(SEARCH($A18, INDEX(AsistenciaJetAdminConcatenada!$D:$D, MATCH(1, (AsistenciaJetAdminConcatenada!$A:$A=DP$2)*(AsistenciaJetAdminConcatenada!$B:$B=DP$1), 0)), 1))),  0.5, 0))</f>
        <v>0</v>
      </c>
      <c r="DQ18" s="47">
        <f t="array" ref="DQ18">IF(AND(ISNUMBER(MATCH(DQ$2, AsistenciaJetAdminConcatenada!$A:$A, 0)), ISNUMBER(MATCH(DQ$1, AsistenciaJetAdminConcatenada!$B:$B, 0)), ISNUMBER(SEARCH($A18,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ISNUMBER(SEARCH($A18, INDEX(AsistenciaJetAdminConcatenada!$D:$D, MATCH(1, (AsistenciaJetAdminConcatenada!$A:$A=DQ$2)*(AsistenciaJetAdminConcatenada!$B:$B=DQ$1), 0)), 1))),  0.5, 0))</f>
        <v>0</v>
      </c>
      <c r="DR18" s="47">
        <f t="array" ref="DR18">IF(AND(ISNUMBER(MATCH(DR$2, AsistenciaJetAdminConcatenada!$A:$A, 0)), ISNUMBER(MATCH(DR$1, AsistenciaJetAdminConcatenada!$B:$B, 0)), ISNUMBER(SEARCH($A18,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ISNUMBER(SEARCH($A18, INDEX(AsistenciaJetAdminConcatenada!$D:$D, MATCH(1, (AsistenciaJetAdminConcatenada!$A:$A=DR$2)*(AsistenciaJetAdminConcatenada!$B:$B=DR$1), 0)), 1))),  0.5, 0))</f>
        <v>0</v>
      </c>
      <c r="DS18" s="47">
        <f t="array" ref="DS18">IF(AND(ISNUMBER(MATCH(DS$2, AsistenciaJetAdminConcatenada!$A:$A, 0)), ISNUMBER(MATCH(DS$1, AsistenciaJetAdminConcatenada!$B:$B, 0)), ISNUMBER(SEARCH($A18,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ISNUMBER(SEARCH($A18, INDEX(AsistenciaJetAdminConcatenada!$D:$D, MATCH(1, (AsistenciaJetAdminConcatenada!$A:$A=DS$2)*(AsistenciaJetAdminConcatenada!$B:$B=DS$1), 0)), 1))),  0.5, 0))</f>
        <v>0</v>
      </c>
      <c r="DT18" s="47">
        <f t="array" ref="DT18">IF(AND(ISNUMBER(MATCH(DT$2, AsistenciaJetAdminConcatenada!$A:$A, 0)), ISNUMBER(MATCH(DT$1, AsistenciaJetAdminConcatenada!$B:$B, 0)), ISNUMBER(SEARCH($A18,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ISNUMBER(SEARCH($A18, INDEX(AsistenciaJetAdminConcatenada!$D:$D, MATCH(1, (AsistenciaJetAdminConcatenada!$A:$A=DT$2)*(AsistenciaJetAdminConcatenada!$B:$B=DT$1), 0)), 1))),  0.5, 0))</f>
        <v>0</v>
      </c>
      <c r="DU18" s="47">
        <f t="array" ref="DU18">IF(AND(ISNUMBER(MATCH(DU$2, AsistenciaJetAdminConcatenada!$A:$A, 0)), ISNUMBER(MATCH(DU$1, AsistenciaJetAdminConcatenada!$B:$B, 0)), ISNUMBER(SEARCH($A18,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ISNUMBER(SEARCH($A18, INDEX(AsistenciaJetAdminConcatenada!$D:$D, MATCH(1, (AsistenciaJetAdminConcatenada!$A:$A=DU$2)*(AsistenciaJetAdminConcatenada!$B:$B=DU$1), 0)), 1))),  0.5, 0))</f>
        <v>0</v>
      </c>
      <c r="DV18" s="47">
        <f t="array" ref="DV18">IF(AND(ISNUMBER(MATCH(DV$2, AsistenciaJetAdminConcatenada!$A:$A, 0)), ISNUMBER(MATCH(DV$1, AsistenciaJetAdminConcatenada!$B:$B, 0)), ISNUMBER(SEARCH($A18,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ISNUMBER(SEARCH($A18, INDEX(AsistenciaJetAdminConcatenada!$D:$D, MATCH(1, (AsistenciaJetAdminConcatenada!$A:$A=DV$2)*(AsistenciaJetAdminConcatenada!$B:$B=DV$1), 0)), 1))),  0.5, 0))</f>
        <v>0</v>
      </c>
      <c r="DW18" s="47">
        <f t="array" ref="DW18">IF(AND(ISNUMBER(MATCH(DW$2, AsistenciaJetAdminConcatenada!$A:$A, 0)), ISNUMBER(MATCH(DW$1, AsistenciaJetAdminConcatenada!$B:$B, 0)), ISNUMBER(SEARCH($A18,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ISNUMBER(SEARCH($A18, INDEX(AsistenciaJetAdminConcatenada!$D:$D, MATCH(1, (AsistenciaJetAdminConcatenada!$A:$A=DW$2)*(AsistenciaJetAdminConcatenada!$B:$B=DW$1), 0)), 1))),  0.5, 0))</f>
        <v>0</v>
      </c>
      <c r="DX18" s="47">
        <f t="array" ref="DX18">IF(AND(ISNUMBER(MATCH(DX$2, AsistenciaJetAdminConcatenada!$A:$A, 0)), ISNUMBER(MATCH(DX$1, AsistenciaJetAdminConcatenada!$B:$B, 0)), ISNUMBER(SEARCH($A18,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ISNUMBER(SEARCH($A18, INDEX(AsistenciaJetAdminConcatenada!$D:$D, MATCH(1, (AsistenciaJetAdminConcatenada!$A:$A=DX$2)*(AsistenciaJetAdminConcatenada!$B:$B=DX$1), 0)), 1))),  0.5, 0))</f>
        <v>0</v>
      </c>
      <c r="DY18" s="47">
        <f t="array" ref="DY18">IF(AND(ISNUMBER(MATCH(DY$2, AsistenciaJetAdminConcatenada!$A:$A, 0)), ISNUMBER(MATCH(DY$1, AsistenciaJetAdminConcatenada!$B:$B, 0)), ISNUMBER(SEARCH($A18,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ISNUMBER(SEARCH($A18, INDEX(AsistenciaJetAdminConcatenada!$D:$D, MATCH(1, (AsistenciaJetAdminConcatenada!$A:$A=DY$2)*(AsistenciaJetAdminConcatenada!$B:$B=DY$1), 0)), 1))),  0.5, 0))</f>
        <v>0</v>
      </c>
      <c r="DZ18" s="47">
        <f t="array" ref="DZ18">IF(AND(ISNUMBER(MATCH(DZ$2, AsistenciaJetAdminConcatenada!$A:$A, 0)), ISNUMBER(MATCH(DZ$1, AsistenciaJetAdminConcatenada!$B:$B, 0)), ISNUMBER(SEARCH($A18,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ISNUMBER(SEARCH($A18, INDEX(AsistenciaJetAdminConcatenada!$D:$D, MATCH(1, (AsistenciaJetAdminConcatenada!$A:$A=DZ$2)*(AsistenciaJetAdminConcatenada!$B:$B=DZ$1), 0)), 1))),  0.5, 0))</f>
        <v>0</v>
      </c>
      <c r="EA18" s="47">
        <f t="array" ref="EA18">IF(AND(ISNUMBER(MATCH(EA$2, AsistenciaJetAdminConcatenada!$A:$A, 0)), ISNUMBER(MATCH(EA$1, AsistenciaJetAdminConcatenada!$B:$B, 0)), ISNUMBER(SEARCH($A18,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ISNUMBER(SEARCH($A18, INDEX(AsistenciaJetAdminConcatenada!$D:$D, MATCH(1, (AsistenciaJetAdminConcatenada!$A:$A=EA$2)*(AsistenciaJetAdminConcatenada!$B:$B=EA$1), 0)), 1))),  0.5, 0))</f>
        <v>0</v>
      </c>
      <c r="EB18" s="47">
        <f t="array" ref="EB18">IF(AND(ISNUMBER(MATCH(EB$2, AsistenciaJetAdminConcatenada!$A:$A, 0)), ISNUMBER(MATCH(EB$1, AsistenciaJetAdminConcatenada!$B:$B, 0)), ISNUMBER(SEARCH($A18,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ISNUMBER(SEARCH($A18, INDEX(AsistenciaJetAdminConcatenada!$D:$D, MATCH(1, (AsistenciaJetAdminConcatenada!$A:$A=EB$2)*(AsistenciaJetAdminConcatenada!$B:$B=EB$1), 0)), 1))),  0.5, 0))</f>
        <v>0</v>
      </c>
      <c r="EC18" s="47">
        <f t="array" ref="EC18">IF(AND(ISNUMBER(MATCH(EC$2, AsistenciaJetAdminConcatenada!$A:$A, 0)), ISNUMBER(MATCH(EC$1, AsistenciaJetAdminConcatenada!$B:$B, 0)), ISNUMBER(SEARCH($A18,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ISNUMBER(SEARCH($A18, INDEX(AsistenciaJetAdminConcatenada!$D:$D, MATCH(1, (AsistenciaJetAdminConcatenada!$A:$A=EC$2)*(AsistenciaJetAdminConcatenada!$B:$B=EC$1), 0)), 1))),  0.5, 0))</f>
        <v>0</v>
      </c>
      <c r="ED18" s="47">
        <f t="array" ref="ED18">IF(AND(ISNUMBER(MATCH(ED$2, AsistenciaJetAdminConcatenada!$A:$A, 0)), ISNUMBER(MATCH(ED$1, AsistenciaJetAdminConcatenada!$B:$B, 0)), ISNUMBER(SEARCH($A18,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ISNUMBER(SEARCH($A18, INDEX(AsistenciaJetAdminConcatenada!$D:$D, MATCH(1, (AsistenciaJetAdminConcatenada!$A:$A=ED$2)*(AsistenciaJetAdminConcatenada!$B:$B=ED$1), 0)), 1))),  0.5, 0))</f>
        <v>0</v>
      </c>
      <c r="EE18" s="47">
        <f t="array" ref="EE18">IF(AND(ISNUMBER(MATCH(EE$2, AsistenciaJetAdminConcatenada!$A:$A, 0)), ISNUMBER(MATCH(EE$1, AsistenciaJetAdminConcatenada!$B:$B, 0)), ISNUMBER(SEARCH($A18,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ISNUMBER(SEARCH($A18, INDEX(AsistenciaJetAdminConcatenada!$D:$D, MATCH(1, (AsistenciaJetAdminConcatenada!$A:$A=EE$2)*(AsistenciaJetAdminConcatenada!$B:$B=EE$1), 0)), 1))),  0.5, 0))</f>
        <v>0</v>
      </c>
      <c r="EF18" s="47">
        <f t="array" ref="EF18">IF(AND(ISNUMBER(MATCH(EF$2, AsistenciaJetAdminConcatenada!$A:$A, 0)), ISNUMBER(MATCH(EF$1, AsistenciaJetAdminConcatenada!$B:$B, 0)), ISNUMBER(SEARCH($A18,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ISNUMBER(SEARCH($A18, INDEX(AsistenciaJetAdminConcatenada!$D:$D, MATCH(1, (AsistenciaJetAdminConcatenada!$A:$A=EF$2)*(AsistenciaJetAdminConcatenada!$B:$B=EF$1), 0)), 1))),  0.5, 0))</f>
        <v>0</v>
      </c>
      <c r="EG18" s="47">
        <f t="array" ref="EG18">IF(AND(ISNUMBER(MATCH(EG$2, AsistenciaJetAdminConcatenada!$A:$A, 0)), ISNUMBER(MATCH(EG$1, AsistenciaJetAdminConcatenada!$B:$B, 0)), ISNUMBER(SEARCH($A18,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ISNUMBER(SEARCH($A18, INDEX(AsistenciaJetAdminConcatenada!$D:$D, MATCH(1, (AsistenciaJetAdminConcatenada!$A:$A=EG$2)*(AsistenciaJetAdminConcatenada!$B:$B=EG$1), 0)), 1))),  0.5, 0))</f>
        <v>0</v>
      </c>
      <c r="EH18" s="47">
        <f t="array" ref="EH18">IF(AND(ISNUMBER(MATCH(EH$2, AsistenciaJetAdminConcatenada!$A:$A, 0)), ISNUMBER(MATCH(EH$1, AsistenciaJetAdminConcatenada!$B:$B, 0)), ISNUMBER(SEARCH($A18,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ISNUMBER(SEARCH($A18, INDEX(AsistenciaJetAdminConcatenada!$D:$D, MATCH(1, (AsistenciaJetAdminConcatenada!$A:$A=EH$2)*(AsistenciaJetAdminConcatenada!$B:$B=EH$1), 0)), 1))),  0.5, 0))</f>
        <v>0</v>
      </c>
      <c r="EI18" s="47">
        <f t="array" ref="EI18">IF(AND(ISNUMBER(MATCH(EI$2, AsistenciaJetAdminConcatenada!$A:$A, 0)), ISNUMBER(MATCH(EI$1, AsistenciaJetAdminConcatenada!$B:$B, 0)), ISNUMBER(SEARCH($A18,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ISNUMBER(SEARCH($A18, INDEX(AsistenciaJetAdminConcatenada!$D:$D, MATCH(1, (AsistenciaJetAdminConcatenada!$A:$A=EI$2)*(AsistenciaJetAdminConcatenada!$B:$B=EI$1), 0)), 1))),  0.5, 0))</f>
        <v>0</v>
      </c>
      <c r="EJ18" s="47">
        <f t="array" ref="EJ18">IF(AND(ISNUMBER(MATCH(EJ$2, AsistenciaJetAdminConcatenada!$A:$A, 0)), ISNUMBER(MATCH(EJ$1, AsistenciaJetAdminConcatenada!$B:$B, 0)), ISNUMBER(SEARCH($A18,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ISNUMBER(SEARCH($A18, INDEX(AsistenciaJetAdminConcatenada!$D:$D, MATCH(1, (AsistenciaJetAdminConcatenada!$A:$A=EJ$2)*(AsistenciaJetAdminConcatenada!$B:$B=EJ$1), 0)), 1))),  0.5, 0))</f>
        <v>0</v>
      </c>
      <c r="EK18" s="47">
        <f t="array" ref="EK18">IF(AND(ISNUMBER(MATCH(EK$2, AsistenciaJetAdminConcatenada!$A:$A, 0)), ISNUMBER(MATCH(EK$1, AsistenciaJetAdminConcatenada!$B:$B, 0)), ISNUMBER(SEARCH($A18,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ISNUMBER(SEARCH($A18, INDEX(AsistenciaJetAdminConcatenada!$D:$D, MATCH(1, (AsistenciaJetAdminConcatenada!$A:$A=EK$2)*(AsistenciaJetAdminConcatenada!$B:$B=EK$1), 0)), 1))),  0.5, 0))</f>
        <v>0</v>
      </c>
      <c r="EL18" s="47">
        <f t="array" ref="EL18">IF(AND(ISNUMBER(MATCH(EL$2, AsistenciaJetAdminConcatenada!$A:$A, 0)), ISNUMBER(MATCH(EL$1, AsistenciaJetAdminConcatenada!$B:$B, 0)), ISNUMBER(SEARCH($A18,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ISNUMBER(SEARCH($A18, INDEX(AsistenciaJetAdminConcatenada!$D:$D, MATCH(1, (AsistenciaJetAdminConcatenada!$A:$A=EL$2)*(AsistenciaJetAdminConcatenada!$B:$B=EL$1), 0)), 1))),  0.5, 0))</f>
        <v>0</v>
      </c>
      <c r="EM18" s="47">
        <f t="array" ref="EM18">IF(AND(ISNUMBER(MATCH(EM$2, AsistenciaJetAdminConcatenada!$A:$A, 0)), ISNUMBER(MATCH(EM$1, AsistenciaJetAdminConcatenada!$B:$B, 0)), ISNUMBER(SEARCH($A18,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ISNUMBER(SEARCH($A18, INDEX(AsistenciaJetAdminConcatenada!$D:$D, MATCH(1, (AsistenciaJetAdminConcatenada!$A:$A=EM$2)*(AsistenciaJetAdminConcatenada!$B:$B=EM$1), 0)), 1))),  0.5, 0))</f>
        <v>0</v>
      </c>
      <c r="EN18" s="47">
        <f t="array" ref="EN18">IF(AND(ISNUMBER(MATCH(EN$2, AsistenciaJetAdminConcatenada!$A:$A, 0)), ISNUMBER(MATCH(EN$1, AsistenciaJetAdminConcatenada!$B:$B, 0)), ISNUMBER(SEARCH($A18,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ISNUMBER(SEARCH($A18, INDEX(AsistenciaJetAdminConcatenada!$D:$D, MATCH(1, (AsistenciaJetAdminConcatenada!$A:$A=EN$2)*(AsistenciaJetAdminConcatenada!$B:$B=EN$1), 0)), 1))),  0.5, 0))</f>
        <v>0</v>
      </c>
      <c r="EO18" s="47">
        <f t="array" ref="EO18">IF(AND(ISNUMBER(MATCH(EO$2, AsistenciaJetAdminConcatenada!$A:$A, 0)), ISNUMBER(MATCH(EO$1, AsistenciaJetAdminConcatenada!$B:$B, 0)), ISNUMBER(SEARCH($A18,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ISNUMBER(SEARCH($A18, INDEX(AsistenciaJetAdminConcatenada!$D:$D, MATCH(1, (AsistenciaJetAdminConcatenada!$A:$A=EO$2)*(AsistenciaJetAdminConcatenada!$B:$B=EO$1), 0)), 1))),  0.5, 0))</f>
        <v>0</v>
      </c>
      <c r="EP18" s="47">
        <f t="array" ref="EP18">IF(AND(ISNUMBER(MATCH(EP$2, AsistenciaJetAdminConcatenada!$A:$A, 0)), ISNUMBER(MATCH(EP$1, AsistenciaJetAdminConcatenada!$B:$B, 0)), ISNUMBER(SEARCH($A18,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ISNUMBER(SEARCH($A18, INDEX(AsistenciaJetAdminConcatenada!$D:$D, MATCH(1, (AsistenciaJetAdminConcatenada!$A:$A=EP$2)*(AsistenciaJetAdminConcatenada!$B:$B=EP$1), 0)), 1))),  0.5, 0))</f>
        <v>0</v>
      </c>
      <c r="EQ18" s="47">
        <f t="array" ref="EQ18">IF(AND(ISNUMBER(MATCH(EQ$2, AsistenciaJetAdminConcatenada!$A:$A, 0)), ISNUMBER(MATCH(EQ$1, AsistenciaJetAdminConcatenada!$B:$B, 0)), ISNUMBER(SEARCH($A18,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ISNUMBER(SEARCH($A18, INDEX(AsistenciaJetAdminConcatenada!$D:$D, MATCH(1, (AsistenciaJetAdminConcatenada!$A:$A=EQ$2)*(AsistenciaJetAdminConcatenada!$B:$B=EQ$1), 0)), 1))),  0.5, 0))</f>
        <v>0</v>
      </c>
      <c r="ER18" s="47">
        <f t="array" ref="ER18">IF(AND(ISNUMBER(MATCH(ER$2, AsistenciaJetAdminConcatenada!$A:$A, 0)), ISNUMBER(MATCH(ER$1, AsistenciaJetAdminConcatenada!$B:$B, 0)), ISNUMBER(SEARCH($A18,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ISNUMBER(SEARCH($A18, INDEX(AsistenciaJetAdminConcatenada!$D:$D, MATCH(1, (AsistenciaJetAdminConcatenada!$A:$A=ER$2)*(AsistenciaJetAdminConcatenada!$B:$B=ER$1), 0)), 1))),  0.5, 0))</f>
        <v>0</v>
      </c>
      <c r="ES18" s="47">
        <f t="array" ref="ES18">IF(AND(ISNUMBER(MATCH(ES$2, AsistenciaJetAdminConcatenada!$A:$A, 0)), ISNUMBER(MATCH(ES$1, AsistenciaJetAdminConcatenada!$B:$B, 0)), ISNUMBER(SEARCH($A18,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ISNUMBER(SEARCH($A18, INDEX(AsistenciaJetAdminConcatenada!$D:$D, MATCH(1, (AsistenciaJetAdminConcatenada!$A:$A=ES$2)*(AsistenciaJetAdminConcatenada!$B:$B=ES$1), 0)), 1))),  0.5, 0))</f>
        <v>0</v>
      </c>
      <c r="ET18" s="47">
        <f t="array" ref="ET18">IF(AND(ISNUMBER(MATCH(ET$2, AsistenciaJetAdminConcatenada!$A:$A, 0)), ISNUMBER(MATCH(ET$1, AsistenciaJetAdminConcatenada!$B:$B, 0)), ISNUMBER(SEARCH($A18,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ISNUMBER(SEARCH($A18, INDEX(AsistenciaJetAdminConcatenada!$D:$D, MATCH(1, (AsistenciaJetAdminConcatenada!$A:$A=ET$2)*(AsistenciaJetAdminConcatenada!$B:$B=ET$1), 0)), 1))),  0.5, 0))</f>
        <v>0</v>
      </c>
      <c r="EU18" s="47">
        <f t="array" ref="EU18">IF(AND(ISNUMBER(MATCH(EU$2, AsistenciaJetAdminConcatenada!$A:$A, 0)), ISNUMBER(MATCH(EU$1, AsistenciaJetAdminConcatenada!$B:$B, 0)), ISNUMBER(SEARCH($A18,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ISNUMBER(SEARCH($A18, INDEX(AsistenciaJetAdminConcatenada!$D:$D, MATCH(1, (AsistenciaJetAdminConcatenada!$A:$A=EU$2)*(AsistenciaJetAdminConcatenada!$B:$B=EU$1), 0)), 1))),  0.5, 0))</f>
        <v>0</v>
      </c>
      <c r="EV18" s="47">
        <f t="array" ref="EV18">IF(AND(ISNUMBER(MATCH(EV$2, AsistenciaJetAdminConcatenada!$A:$A, 0)), ISNUMBER(MATCH(EV$1, AsistenciaJetAdminConcatenada!$B:$B, 0)), ISNUMBER(SEARCH($A18,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ISNUMBER(SEARCH($A18, INDEX(AsistenciaJetAdminConcatenada!$D:$D, MATCH(1, (AsistenciaJetAdminConcatenada!$A:$A=EV$2)*(AsistenciaJetAdminConcatenada!$B:$B=EV$1), 0)), 1))),  0.5, 0))</f>
        <v>0</v>
      </c>
      <c r="EW18" s="47">
        <f t="array" ref="EW18">IF(AND(ISNUMBER(MATCH(EW$2, AsistenciaJetAdminConcatenada!$A:$A, 0)), ISNUMBER(MATCH(EW$1, AsistenciaJetAdminConcatenada!$B:$B, 0)), ISNUMBER(SEARCH($A18,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ISNUMBER(SEARCH($A18, INDEX(AsistenciaJetAdminConcatenada!$D:$D, MATCH(1, (AsistenciaJetAdminConcatenada!$A:$A=EW$2)*(AsistenciaJetAdminConcatenada!$B:$B=EW$1), 0)), 1))),  0.5, 0))</f>
        <v>0</v>
      </c>
      <c r="EX18" s="47">
        <f t="array" ref="EX18">IF(AND(ISNUMBER(MATCH(EX$2, AsistenciaJetAdminConcatenada!$A:$A, 0)), ISNUMBER(MATCH(EX$1, AsistenciaJetAdminConcatenada!$B:$B, 0)), ISNUMBER(SEARCH($A18,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ISNUMBER(SEARCH($A18, INDEX(AsistenciaJetAdminConcatenada!$D:$D, MATCH(1, (AsistenciaJetAdminConcatenada!$A:$A=EX$2)*(AsistenciaJetAdminConcatenada!$B:$B=EX$1), 0)), 1))),  0.5, 0))</f>
        <v>0</v>
      </c>
      <c r="EY18" s="47">
        <f t="array" ref="EY18">IF(AND(ISNUMBER(MATCH(EY$2, AsistenciaJetAdminConcatenada!$A:$A, 0)), ISNUMBER(MATCH(EY$1, AsistenciaJetAdminConcatenada!$B:$B, 0)), ISNUMBER(SEARCH($A18,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ISNUMBER(SEARCH($A18, INDEX(AsistenciaJetAdminConcatenada!$D:$D, MATCH(1, (AsistenciaJetAdminConcatenada!$A:$A=EY$2)*(AsistenciaJetAdminConcatenada!$B:$B=EY$1), 0)), 1))),  0.5, 0))</f>
        <v>0</v>
      </c>
      <c r="EZ18" s="47">
        <f t="array" ref="EZ18">IF(AND(ISNUMBER(MATCH(EZ$2, AsistenciaJetAdminConcatenada!$A:$A, 0)), ISNUMBER(MATCH(EZ$1, AsistenciaJetAdminConcatenada!$B:$B, 0)), ISNUMBER(SEARCH($A18,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ISNUMBER(SEARCH($A18, INDEX(AsistenciaJetAdminConcatenada!$D:$D, MATCH(1, (AsistenciaJetAdminConcatenada!$A:$A=EZ$2)*(AsistenciaJetAdminConcatenada!$B:$B=EZ$1), 0)), 1))),  0.5, 0))</f>
        <v>0</v>
      </c>
      <c r="FA18" s="47">
        <f t="array" ref="FA18">IF(AND(ISNUMBER(MATCH(FA$2, AsistenciaJetAdminConcatenada!$A:$A, 0)), ISNUMBER(MATCH(FA$1, AsistenciaJetAdminConcatenada!$B:$B, 0)), ISNUMBER(SEARCH($A18,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ISNUMBER(SEARCH($A18, INDEX(AsistenciaJetAdminConcatenada!$D:$D, MATCH(1, (AsistenciaJetAdminConcatenada!$A:$A=FA$2)*(AsistenciaJetAdminConcatenada!$B:$B=FA$1), 0)), 1))),  0.5, 0))</f>
        <v>0</v>
      </c>
      <c r="FB18" s="47">
        <f t="array" ref="FB18">IF(AND(ISNUMBER(MATCH(FB$2, AsistenciaJetAdminConcatenada!$A:$A, 0)), ISNUMBER(MATCH(FB$1, AsistenciaJetAdminConcatenada!$B:$B, 0)), ISNUMBER(SEARCH($A18,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ISNUMBER(SEARCH($A18, INDEX(AsistenciaJetAdminConcatenada!$D:$D, MATCH(1, (AsistenciaJetAdminConcatenada!$A:$A=FB$2)*(AsistenciaJetAdminConcatenada!$B:$B=FB$1), 0)), 1))),  0.5, 0))</f>
        <v>0</v>
      </c>
      <c r="FC18" s="47">
        <f t="array" ref="FC18">IF(AND(ISNUMBER(MATCH(FC$2, AsistenciaJetAdminConcatenada!$A:$A, 0)), ISNUMBER(MATCH(FC$1, AsistenciaJetAdminConcatenada!$B:$B, 0)), ISNUMBER(SEARCH($A18,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ISNUMBER(SEARCH($A18, INDEX(AsistenciaJetAdminConcatenada!$D:$D, MATCH(1, (AsistenciaJetAdminConcatenada!$A:$A=FC$2)*(AsistenciaJetAdminConcatenada!$B:$B=FC$1), 0)), 1))),  0.5, 0))</f>
        <v>0</v>
      </c>
      <c r="FD18" s="47">
        <f t="array" ref="FD18">IF(AND(ISNUMBER(MATCH(FD$2, AsistenciaJetAdminConcatenada!$A:$A, 0)), ISNUMBER(MATCH(FD$1, AsistenciaJetAdminConcatenada!$B:$B, 0)), ISNUMBER(SEARCH($A18,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ISNUMBER(SEARCH($A18, INDEX(AsistenciaJetAdminConcatenada!$D:$D, MATCH(1, (AsistenciaJetAdminConcatenada!$A:$A=FD$2)*(AsistenciaJetAdminConcatenada!$B:$B=FD$1), 0)), 1))),  0.5, 0))</f>
        <v>0</v>
      </c>
      <c r="FE18" s="47">
        <f t="array" ref="FE18">IF(AND(ISNUMBER(MATCH(FE$2, AsistenciaJetAdminConcatenada!$A:$A, 0)), ISNUMBER(MATCH(FE$1, AsistenciaJetAdminConcatenada!$B:$B, 0)), ISNUMBER(SEARCH($A18,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ISNUMBER(SEARCH($A18, INDEX(AsistenciaJetAdminConcatenada!$D:$D, MATCH(1, (AsistenciaJetAdminConcatenada!$A:$A=FE$2)*(AsistenciaJetAdminConcatenada!$B:$B=FE$1), 0)), 1))),  0.5, 0))</f>
        <v>0</v>
      </c>
      <c r="FF18" s="47">
        <f t="array" ref="FF18">IF(AND(ISNUMBER(MATCH(FF$2, AsistenciaJetAdminConcatenada!$A:$A, 0)), ISNUMBER(MATCH(FF$1, AsistenciaJetAdminConcatenada!$B:$B, 0)), ISNUMBER(SEARCH($A18,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ISNUMBER(SEARCH($A18, INDEX(AsistenciaJetAdminConcatenada!$D:$D, MATCH(1, (AsistenciaJetAdminConcatenada!$A:$A=FF$2)*(AsistenciaJetAdminConcatenada!$B:$B=FF$1), 0)), 1))),  0.5, 0))</f>
        <v>0</v>
      </c>
      <c r="FG18" s="47">
        <f t="array" ref="FG18">IF(AND(ISNUMBER(MATCH(FG$2, AsistenciaJetAdminConcatenada!$A:$A, 0)), ISNUMBER(MATCH(FG$1, AsistenciaJetAdminConcatenada!$B:$B, 0)), ISNUMBER(SEARCH($A18,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ISNUMBER(SEARCH($A18, INDEX(AsistenciaJetAdminConcatenada!$D:$D, MATCH(1, (AsistenciaJetAdminConcatenada!$A:$A=FG$2)*(AsistenciaJetAdminConcatenada!$B:$B=FG$1), 0)), 1))),  0.5, 0))</f>
        <v>0</v>
      </c>
      <c r="FH18" s="47">
        <f t="array" ref="FH18">IF(AND(ISNUMBER(MATCH(FH$2, AsistenciaJetAdminConcatenada!$A:$A, 0)), ISNUMBER(MATCH(FH$1, AsistenciaJetAdminConcatenada!$B:$B, 0)), ISNUMBER(SEARCH($A18,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ISNUMBER(SEARCH($A18, INDEX(AsistenciaJetAdminConcatenada!$D:$D, MATCH(1, (AsistenciaJetAdminConcatenada!$A:$A=FH$2)*(AsistenciaJetAdminConcatenada!$B:$B=FH$1), 0)), 1))),  0.5, 0))</f>
        <v>0</v>
      </c>
      <c r="FI18" s="47">
        <f t="array" ref="FI18">IF(AND(ISNUMBER(MATCH(FI$2, AsistenciaJetAdminConcatenada!$A:$A, 0)), ISNUMBER(MATCH(FI$1, AsistenciaJetAdminConcatenada!$B:$B, 0)), ISNUMBER(SEARCH($A18,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ISNUMBER(SEARCH($A18, INDEX(AsistenciaJetAdminConcatenada!$D:$D, MATCH(1, (AsistenciaJetAdminConcatenada!$A:$A=FI$2)*(AsistenciaJetAdminConcatenada!$B:$B=FI$1), 0)), 1))),  0.5, 0))</f>
        <v>0</v>
      </c>
      <c r="FJ18" s="47">
        <f t="array" ref="FJ18">IF(AND(ISNUMBER(MATCH(FJ$2, AsistenciaJetAdminConcatenada!$A:$A, 0)), ISNUMBER(MATCH(FJ$1, AsistenciaJetAdminConcatenada!$B:$B, 0)), ISNUMBER(SEARCH($A18,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ISNUMBER(SEARCH($A18, INDEX(AsistenciaJetAdminConcatenada!$D:$D, MATCH(1, (AsistenciaJetAdminConcatenada!$A:$A=FJ$2)*(AsistenciaJetAdminConcatenada!$B:$B=FJ$1), 0)), 1))),  0.5, 0))</f>
        <v>0</v>
      </c>
      <c r="FK18" s="47">
        <f t="array" ref="FK18">IF(AND(ISNUMBER(MATCH(FK$2, AsistenciaJetAdminConcatenada!$A:$A, 0)), ISNUMBER(MATCH(FK$1, AsistenciaJetAdminConcatenada!$B:$B, 0)), ISNUMBER(SEARCH($A18,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ISNUMBER(SEARCH($A18, INDEX(AsistenciaJetAdminConcatenada!$D:$D, MATCH(1, (AsistenciaJetAdminConcatenada!$A:$A=FK$2)*(AsistenciaJetAdminConcatenada!$B:$B=FK$1), 0)), 1))),  0.5, 0))</f>
        <v>0</v>
      </c>
      <c r="FL18" s="47">
        <f t="array" ref="FL18">IF(AND(ISNUMBER(MATCH(FL$2, AsistenciaJetAdminConcatenada!$A:$A, 0)), ISNUMBER(MATCH(FL$1, AsistenciaJetAdminConcatenada!$B:$B, 0)), ISNUMBER(SEARCH($A18,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ISNUMBER(SEARCH($A18, INDEX(AsistenciaJetAdminConcatenada!$D:$D, MATCH(1, (AsistenciaJetAdminConcatenada!$A:$A=FL$2)*(AsistenciaJetAdminConcatenada!$B:$B=FL$1), 0)), 1))),  0.5, 0))</f>
        <v>0</v>
      </c>
      <c r="FM18" s="47">
        <f t="array" ref="FM18">IF(AND(ISNUMBER(MATCH(FM$2, AsistenciaJetAdminConcatenada!$A:$A, 0)), ISNUMBER(MATCH(FM$1, AsistenciaJetAdminConcatenada!$B:$B, 0)), ISNUMBER(SEARCH($A18,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ISNUMBER(SEARCH($A18, INDEX(AsistenciaJetAdminConcatenada!$D:$D, MATCH(1, (AsistenciaJetAdminConcatenada!$A:$A=FM$2)*(AsistenciaJetAdminConcatenada!$B:$B=FM$1), 0)), 1))),  0.5, 0))</f>
        <v>0</v>
      </c>
      <c r="FN18" s="47">
        <f t="array" ref="FN18">IF(AND(ISNUMBER(MATCH(FN$2, AsistenciaJetAdminConcatenada!$A:$A, 0)), ISNUMBER(MATCH(FN$1, AsistenciaJetAdminConcatenada!$B:$B, 0)), ISNUMBER(SEARCH($A18,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ISNUMBER(SEARCH($A18, INDEX(AsistenciaJetAdminConcatenada!$D:$D, MATCH(1, (AsistenciaJetAdminConcatenada!$A:$A=FN$2)*(AsistenciaJetAdminConcatenada!$B:$B=FN$1), 0)), 1))),  0.5, 0))</f>
        <v>0</v>
      </c>
      <c r="FO18" s="47">
        <f t="array" ref="FO18">IF(AND(ISNUMBER(MATCH(FO$2, AsistenciaJetAdminConcatenada!$A:$A, 0)), ISNUMBER(MATCH(FO$1, AsistenciaJetAdminConcatenada!$B:$B, 0)), ISNUMBER(SEARCH($A18,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ISNUMBER(SEARCH($A18, INDEX(AsistenciaJetAdminConcatenada!$D:$D, MATCH(1, (AsistenciaJetAdminConcatenada!$A:$A=FO$2)*(AsistenciaJetAdminConcatenada!$B:$B=FO$1), 0)), 1))),  0.5, 0))</f>
        <v>0</v>
      </c>
      <c r="FP18" s="47">
        <f t="array" ref="FP18">IF(AND(ISNUMBER(MATCH(FP$2, AsistenciaJetAdminConcatenada!$A:$A, 0)), ISNUMBER(MATCH(FP$1, AsistenciaJetAdminConcatenada!$B:$B, 0)), ISNUMBER(SEARCH($A18,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ISNUMBER(SEARCH($A18, INDEX(AsistenciaJetAdminConcatenada!$D:$D, MATCH(1, (AsistenciaJetAdminConcatenada!$A:$A=FP$2)*(AsistenciaJetAdminConcatenada!$B:$B=FP$1), 0)), 1))),  0.5, 0))</f>
        <v>0</v>
      </c>
      <c r="FQ18" s="47">
        <f t="array" ref="FQ18">IF(AND(ISNUMBER(MATCH(FQ$2, AsistenciaJetAdminConcatenada!$A:$A, 0)), ISNUMBER(MATCH(FQ$1, AsistenciaJetAdminConcatenada!$B:$B, 0)), ISNUMBER(SEARCH($A18,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ISNUMBER(SEARCH($A18, INDEX(AsistenciaJetAdminConcatenada!$D:$D, MATCH(1, (AsistenciaJetAdminConcatenada!$A:$A=FQ$2)*(AsistenciaJetAdminConcatenada!$B:$B=FQ$1), 0)), 1))),  0.5, 0))</f>
        <v>0</v>
      </c>
      <c r="FR18" s="47">
        <f t="array" ref="FR18">IF(AND(ISNUMBER(MATCH(FR$2, AsistenciaJetAdminConcatenada!$A:$A, 0)), ISNUMBER(MATCH(FR$1, AsistenciaJetAdminConcatenada!$B:$B, 0)), ISNUMBER(SEARCH($A18,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ISNUMBER(SEARCH($A18, INDEX(AsistenciaJetAdminConcatenada!$D:$D, MATCH(1, (AsistenciaJetAdminConcatenada!$A:$A=FR$2)*(AsistenciaJetAdminConcatenada!$B:$B=FR$1), 0)), 1))),  0.5, 0))</f>
        <v>0</v>
      </c>
      <c r="FS18" s="47">
        <f t="array" ref="FS18">IF(AND(ISNUMBER(MATCH(FS$2, AsistenciaJetAdminConcatenada!$A:$A, 0)), ISNUMBER(MATCH(FS$1, AsistenciaJetAdminConcatenada!$B:$B, 0)), ISNUMBER(SEARCH($A18,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ISNUMBER(SEARCH($A18, INDEX(AsistenciaJetAdminConcatenada!$D:$D, MATCH(1, (AsistenciaJetAdminConcatenada!$A:$A=FS$2)*(AsistenciaJetAdminConcatenada!$B:$B=FS$1), 0)), 1))),  0.5, 0))</f>
        <v>0</v>
      </c>
      <c r="FT18" s="47">
        <f t="array" ref="FT18">IF(AND(ISNUMBER(MATCH(FT$2, AsistenciaJetAdminConcatenada!$A:$A, 0)), ISNUMBER(MATCH(FT$1, AsistenciaJetAdminConcatenada!$B:$B, 0)), ISNUMBER(SEARCH($A18,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ISNUMBER(SEARCH($A18, INDEX(AsistenciaJetAdminConcatenada!$D:$D, MATCH(1, (AsistenciaJetAdminConcatenada!$A:$A=FT$2)*(AsistenciaJetAdminConcatenada!$B:$B=FT$1), 0)), 1))),  0.5, 0))</f>
        <v>0</v>
      </c>
      <c r="FU18" s="47">
        <f t="array" ref="FU18">IF(AND(ISNUMBER(MATCH(FU$2, AsistenciaJetAdminConcatenada!$A:$A, 0)), ISNUMBER(MATCH(FU$1, AsistenciaJetAdminConcatenada!$B:$B, 0)), ISNUMBER(SEARCH($A18,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ISNUMBER(SEARCH($A18, INDEX(AsistenciaJetAdminConcatenada!$D:$D, MATCH(1, (AsistenciaJetAdminConcatenada!$A:$A=FU$2)*(AsistenciaJetAdminConcatenada!$B:$B=FU$1), 0)), 1))),  0.5, 0))</f>
        <v>0</v>
      </c>
      <c r="FV18" s="47">
        <f t="array" ref="FV18">IF(AND(ISNUMBER(MATCH(FV$2, AsistenciaJetAdminConcatenada!$A:$A, 0)), ISNUMBER(MATCH(FV$1, AsistenciaJetAdminConcatenada!$B:$B, 0)), ISNUMBER(SEARCH($A18,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ISNUMBER(SEARCH($A18, INDEX(AsistenciaJetAdminConcatenada!$D:$D, MATCH(1, (AsistenciaJetAdminConcatenada!$A:$A=FV$2)*(AsistenciaJetAdminConcatenada!$B:$B=FV$1), 0)), 1))),  0.5, 0))</f>
        <v>0</v>
      </c>
      <c r="FW18" s="47">
        <f t="array" ref="FW18">IF(AND(ISNUMBER(MATCH(FW$2, AsistenciaJetAdminConcatenada!$A:$A, 0)), ISNUMBER(MATCH(FW$1, AsistenciaJetAdminConcatenada!$B:$B, 0)), ISNUMBER(SEARCH($A18,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ISNUMBER(SEARCH($A18, INDEX(AsistenciaJetAdminConcatenada!$D:$D, MATCH(1, (AsistenciaJetAdminConcatenada!$A:$A=FW$2)*(AsistenciaJetAdminConcatenada!$B:$B=FW$1), 0)), 1))),  0.5, 0))</f>
        <v>0</v>
      </c>
      <c r="FX18" s="47">
        <f t="array" ref="FX18">IF(AND(ISNUMBER(MATCH(FX$2, AsistenciaJetAdminConcatenada!$A:$A, 0)), ISNUMBER(MATCH(FX$1, AsistenciaJetAdminConcatenada!$B:$B, 0)), ISNUMBER(SEARCH($A18,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ISNUMBER(SEARCH($A18, INDEX(AsistenciaJetAdminConcatenada!$D:$D, MATCH(1, (AsistenciaJetAdminConcatenada!$A:$A=FX$2)*(AsistenciaJetAdminConcatenada!$B:$B=FX$1), 0)), 1))),  0.5, 0))</f>
        <v>0</v>
      </c>
      <c r="FY18" s="47">
        <f t="array" ref="FY18">IF(AND(ISNUMBER(MATCH(FY$2, AsistenciaJetAdminConcatenada!$A:$A, 0)), ISNUMBER(MATCH(FY$1, AsistenciaJetAdminConcatenada!$B:$B, 0)), ISNUMBER(SEARCH($A18,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ISNUMBER(SEARCH($A18, INDEX(AsistenciaJetAdminConcatenada!$D:$D, MATCH(1, (AsistenciaJetAdminConcatenada!$A:$A=FY$2)*(AsistenciaJetAdminConcatenada!$B:$B=FY$1), 0)), 1))),  0.5, 0))</f>
        <v>0</v>
      </c>
      <c r="FZ18" s="47">
        <f t="array" ref="FZ18">IF(AND(ISNUMBER(MATCH(FZ$2, AsistenciaJetAdminConcatenada!$A:$A, 0)), ISNUMBER(MATCH(FZ$1, AsistenciaJetAdminConcatenada!$B:$B, 0)), ISNUMBER(SEARCH($A18,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ISNUMBER(SEARCH($A18, INDEX(AsistenciaJetAdminConcatenada!$D:$D, MATCH(1, (AsistenciaJetAdminConcatenada!$A:$A=FZ$2)*(AsistenciaJetAdminConcatenada!$B:$B=FZ$1), 0)), 1))),  0.5, 0))</f>
        <v>0</v>
      </c>
      <c r="GA18" s="47">
        <f t="array" ref="GA18">IF(AND(ISNUMBER(MATCH(GA$2, AsistenciaJetAdminConcatenada!$A:$A, 0)), ISNUMBER(MATCH(GA$1, AsistenciaJetAdminConcatenada!$B:$B, 0)), ISNUMBER(SEARCH($A18,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ISNUMBER(SEARCH($A18, INDEX(AsistenciaJetAdminConcatenada!$D:$D, MATCH(1, (AsistenciaJetAdminConcatenada!$A:$A=GA$2)*(AsistenciaJetAdminConcatenada!$B:$B=GA$1), 0)), 1))),  0.5, 0))</f>
        <v>0</v>
      </c>
      <c r="GB18" s="47">
        <f t="array" ref="GB18">IF(AND(ISNUMBER(MATCH(GB$2, AsistenciaJetAdminConcatenada!$A:$A, 0)), ISNUMBER(MATCH(GB$1, AsistenciaJetAdminConcatenada!$B:$B, 0)), ISNUMBER(SEARCH($A18,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ISNUMBER(SEARCH($A18, INDEX(AsistenciaJetAdminConcatenada!$D:$D, MATCH(1, (AsistenciaJetAdminConcatenada!$A:$A=GB$2)*(AsistenciaJetAdminConcatenada!$B:$B=GB$1), 0)), 1))),  0.5, 0))</f>
        <v>0</v>
      </c>
      <c r="GC18" s="47">
        <f t="array" ref="GC18">IF(AND(ISNUMBER(MATCH(GC$2, AsistenciaJetAdminConcatenada!$A:$A, 0)), ISNUMBER(MATCH(GC$1, AsistenciaJetAdminConcatenada!$B:$B, 0)), ISNUMBER(SEARCH($A18,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ISNUMBER(SEARCH($A18, INDEX(AsistenciaJetAdminConcatenada!$D:$D, MATCH(1, (AsistenciaJetAdminConcatenada!$A:$A=GC$2)*(AsistenciaJetAdminConcatenada!$B:$B=GC$1), 0)), 1))),  0.5, 0))</f>
        <v>0</v>
      </c>
      <c r="GD18" s="47">
        <f t="array" ref="GD18">IF(AND(ISNUMBER(MATCH(GD$2, AsistenciaJetAdminConcatenada!$A:$A, 0)), ISNUMBER(MATCH(GD$1, AsistenciaJetAdminConcatenada!$B:$B, 0)), ISNUMBER(SEARCH($A18,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ISNUMBER(SEARCH($A18, INDEX(AsistenciaJetAdminConcatenada!$D:$D, MATCH(1, (AsistenciaJetAdminConcatenada!$A:$A=GD$2)*(AsistenciaJetAdminConcatenada!$B:$B=GD$1), 0)), 1))),  0.5, 0))</f>
        <v>0</v>
      </c>
      <c r="GE18" s="47">
        <f t="array" ref="GE18">IF(AND(ISNUMBER(MATCH(GE$2, AsistenciaJetAdminConcatenada!$A:$A, 0)), ISNUMBER(MATCH(GE$1, AsistenciaJetAdminConcatenada!$B:$B, 0)), ISNUMBER(SEARCH($A18,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ISNUMBER(SEARCH($A18, INDEX(AsistenciaJetAdminConcatenada!$D:$D, MATCH(1, (AsistenciaJetAdminConcatenada!$A:$A=GE$2)*(AsistenciaJetAdminConcatenada!$B:$B=GE$1), 0)), 1))),  0.5, 0))</f>
        <v>0</v>
      </c>
      <c r="GF18" s="47">
        <f t="array" ref="GF18">IF(AND(ISNUMBER(MATCH(GF$2, AsistenciaJetAdminConcatenada!$A:$A, 0)), ISNUMBER(MATCH(GF$1, AsistenciaJetAdminConcatenada!$B:$B, 0)), ISNUMBER(SEARCH($A18,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ISNUMBER(SEARCH($A18, INDEX(AsistenciaJetAdminConcatenada!$D:$D, MATCH(1, (AsistenciaJetAdminConcatenada!$A:$A=GF$2)*(AsistenciaJetAdminConcatenada!$B:$B=GF$1), 0)), 1))),  0.5, 0))</f>
        <v>0</v>
      </c>
      <c r="GG18" s="47">
        <f t="array" ref="GG18">IF(AND(ISNUMBER(MATCH(GG$2, AsistenciaJetAdminConcatenada!$A:$A, 0)), ISNUMBER(MATCH(GG$1, AsistenciaJetAdminConcatenada!$B:$B, 0)), ISNUMBER(SEARCH($A18,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ISNUMBER(SEARCH($A18, INDEX(AsistenciaJetAdminConcatenada!$D:$D, MATCH(1, (AsistenciaJetAdminConcatenada!$A:$A=GG$2)*(AsistenciaJetAdminConcatenada!$B:$B=GG$1), 0)), 1))),  0.5, 0))</f>
        <v>0</v>
      </c>
      <c r="GH18" s="47">
        <f t="array" ref="GH18">IF(AND(ISNUMBER(MATCH(GH$2, AsistenciaJetAdminConcatenada!$A:$A, 0)), ISNUMBER(MATCH(GH$1, AsistenciaJetAdminConcatenada!$B:$B, 0)), ISNUMBER(SEARCH($A18,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ISNUMBER(SEARCH($A18, INDEX(AsistenciaJetAdminConcatenada!$D:$D, MATCH(1, (AsistenciaJetAdminConcatenada!$A:$A=GH$2)*(AsistenciaJetAdminConcatenada!$B:$B=GH$1), 0)), 1))),  0.5, 0))</f>
        <v>0</v>
      </c>
      <c r="GI18" s="47">
        <f t="array" ref="GI18">IF(AND(ISNUMBER(MATCH(GI$2, AsistenciaJetAdminConcatenada!$A:$A, 0)), ISNUMBER(MATCH(GI$1, AsistenciaJetAdminConcatenada!$B:$B, 0)), ISNUMBER(SEARCH($A18,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ISNUMBER(SEARCH($A18, INDEX(AsistenciaJetAdminConcatenada!$D:$D, MATCH(1, (AsistenciaJetAdminConcatenada!$A:$A=GI$2)*(AsistenciaJetAdminConcatenada!$B:$B=GI$1), 0)), 1))),  0.5, 0))</f>
        <v>0</v>
      </c>
      <c r="GJ18" s="47">
        <f t="array" ref="GJ18">IF(AND(ISNUMBER(MATCH(GJ$2, AsistenciaJetAdminConcatenada!$A:$A, 0)), ISNUMBER(MATCH(GJ$1, AsistenciaJetAdminConcatenada!$B:$B, 0)), ISNUMBER(SEARCH($A18,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ISNUMBER(SEARCH($A18, INDEX(AsistenciaJetAdminConcatenada!$D:$D, MATCH(1, (AsistenciaJetAdminConcatenada!$A:$A=GJ$2)*(AsistenciaJetAdminConcatenada!$B:$B=GJ$1), 0)), 1))),  0.5, 0))</f>
        <v>0</v>
      </c>
      <c r="GK18" s="47">
        <f t="array" ref="GK18">IF(AND(ISNUMBER(MATCH(GK$2, AsistenciaJetAdminConcatenada!$A:$A, 0)), ISNUMBER(MATCH(GK$1, AsistenciaJetAdminConcatenada!$B:$B, 0)), ISNUMBER(SEARCH($A18,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ISNUMBER(SEARCH($A18, INDEX(AsistenciaJetAdminConcatenada!$D:$D, MATCH(1, (AsistenciaJetAdminConcatenada!$A:$A=GK$2)*(AsistenciaJetAdminConcatenada!$B:$B=GK$1), 0)), 1))),  0.5, 0))</f>
        <v>0</v>
      </c>
      <c r="GL18" s="47">
        <f t="array" ref="GL18">IF(AND(ISNUMBER(MATCH(GL$2, AsistenciaJetAdminConcatenada!$A:$A, 0)), ISNUMBER(MATCH(GL$1, AsistenciaJetAdminConcatenada!$B:$B, 0)), ISNUMBER(SEARCH($A18,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ISNUMBER(SEARCH($A18, INDEX(AsistenciaJetAdminConcatenada!$D:$D, MATCH(1, (AsistenciaJetAdminConcatenada!$A:$A=GL$2)*(AsistenciaJetAdminConcatenada!$B:$B=GL$1), 0)), 1))),  0.5, 0))</f>
        <v>0</v>
      </c>
      <c r="GM18" s="47">
        <f t="array" ref="GM18">IF(AND(ISNUMBER(MATCH(GM$2, AsistenciaJetAdminConcatenada!$A:$A, 0)), ISNUMBER(MATCH(GM$1, AsistenciaJetAdminConcatenada!$B:$B, 0)), ISNUMBER(SEARCH($A18,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ISNUMBER(SEARCH($A18, INDEX(AsistenciaJetAdminConcatenada!$D:$D, MATCH(1, (AsistenciaJetAdminConcatenada!$A:$A=GM$2)*(AsistenciaJetAdminConcatenada!$B:$B=GM$1), 0)), 1))),  0.5, 0))</f>
        <v>0</v>
      </c>
      <c r="GN18" s="47">
        <f t="array" ref="GN18">IF(AND(ISNUMBER(MATCH(GN$2, AsistenciaJetAdminConcatenada!$A:$A, 0)), ISNUMBER(MATCH(GN$1, AsistenciaJetAdminConcatenada!$B:$B, 0)), ISNUMBER(SEARCH($A18,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ISNUMBER(SEARCH($A18, INDEX(AsistenciaJetAdminConcatenada!$D:$D, MATCH(1, (AsistenciaJetAdminConcatenada!$A:$A=GN$2)*(AsistenciaJetAdminConcatenada!$B:$B=GN$1), 0)), 1))),  0.5, 0))</f>
        <v>0</v>
      </c>
      <c r="GO18" s="47">
        <f t="array" ref="GO18">IF(AND(ISNUMBER(MATCH(GO$2, AsistenciaJetAdminConcatenada!$A:$A, 0)), ISNUMBER(MATCH(GO$1, AsistenciaJetAdminConcatenada!$B:$B, 0)), ISNUMBER(SEARCH($A18,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ISNUMBER(SEARCH($A18, INDEX(AsistenciaJetAdminConcatenada!$D:$D, MATCH(1, (AsistenciaJetAdminConcatenada!$A:$A=GO$2)*(AsistenciaJetAdminConcatenada!$B:$B=GO$1), 0)), 1))),  0.5, 0))</f>
        <v>0</v>
      </c>
      <c r="GP18" s="47">
        <f t="array" ref="GP18">IF(AND(ISNUMBER(MATCH(GP$2, AsistenciaJetAdminConcatenada!$A:$A, 0)), ISNUMBER(MATCH(GP$1, AsistenciaJetAdminConcatenada!$B:$B, 0)), ISNUMBER(SEARCH($A18,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ISNUMBER(SEARCH($A18, INDEX(AsistenciaJetAdminConcatenada!$D:$D, MATCH(1, (AsistenciaJetAdminConcatenada!$A:$A=GP$2)*(AsistenciaJetAdminConcatenada!$B:$B=GP$1), 0)), 1))),  0.5, 0))</f>
        <v>0</v>
      </c>
      <c r="GQ18" s="47">
        <f t="array" ref="GQ18">IF(AND(ISNUMBER(MATCH(GQ$2, AsistenciaJetAdminConcatenada!$A:$A, 0)), ISNUMBER(MATCH(GQ$1, AsistenciaJetAdminConcatenada!$B:$B, 0)), ISNUMBER(SEARCH($A18,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ISNUMBER(SEARCH($A18, INDEX(AsistenciaJetAdminConcatenada!$D:$D, MATCH(1, (AsistenciaJetAdminConcatenada!$A:$A=GQ$2)*(AsistenciaJetAdminConcatenada!$B:$B=GQ$1), 0)), 1))),  0.5, 0))</f>
        <v>0</v>
      </c>
      <c r="GR18" s="47">
        <f t="array" ref="GR18">IF(AND(ISNUMBER(MATCH(GR$2, AsistenciaJetAdminConcatenada!$A:$A, 0)), ISNUMBER(MATCH(GR$1, AsistenciaJetAdminConcatenada!$B:$B, 0)), ISNUMBER(SEARCH($A18,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ISNUMBER(SEARCH($A18, INDEX(AsistenciaJetAdminConcatenada!$D:$D, MATCH(1, (AsistenciaJetAdminConcatenada!$A:$A=GR$2)*(AsistenciaJetAdminConcatenada!$B:$B=GR$1), 0)), 1))),  0.5, 0))</f>
        <v>0</v>
      </c>
      <c r="GS18" s="47">
        <f t="array" ref="GS18">IF(AND(ISNUMBER(MATCH(GS$2, AsistenciaJetAdminConcatenada!$A:$A, 0)), ISNUMBER(MATCH(GS$1, AsistenciaJetAdminConcatenada!$B:$B, 0)), ISNUMBER(SEARCH($A18,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ISNUMBER(SEARCH($A18, INDEX(AsistenciaJetAdminConcatenada!$D:$D, MATCH(1, (AsistenciaJetAdminConcatenada!$A:$A=GS$2)*(AsistenciaJetAdminConcatenada!$B:$B=GS$1), 0)), 1))),  0.5, 0))</f>
        <v>0</v>
      </c>
      <c r="GT18" s="47">
        <f t="array" ref="GT18">IF(AND(ISNUMBER(MATCH(GT$2, AsistenciaJetAdminConcatenada!$A:$A, 0)), ISNUMBER(MATCH(GT$1, AsistenciaJetAdminConcatenada!$B:$B, 0)), ISNUMBER(SEARCH($A18,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ISNUMBER(SEARCH($A18, INDEX(AsistenciaJetAdminConcatenada!$D:$D, MATCH(1, (AsistenciaJetAdminConcatenada!$A:$A=GT$2)*(AsistenciaJetAdminConcatenada!$B:$B=GT$1), 0)), 1))),  0.5, 0))</f>
        <v>0</v>
      </c>
      <c r="GU18" s="47">
        <f t="array" ref="GU18">IF(AND(ISNUMBER(MATCH(GU$2, AsistenciaJetAdminConcatenada!$A:$A, 0)), ISNUMBER(MATCH(GU$1, AsistenciaJetAdminConcatenada!$B:$B, 0)), ISNUMBER(SEARCH($A18,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ISNUMBER(SEARCH($A18, INDEX(AsistenciaJetAdminConcatenada!$D:$D, MATCH(1, (AsistenciaJetAdminConcatenada!$A:$A=GU$2)*(AsistenciaJetAdminConcatenada!$B:$B=GU$1), 0)), 1))),  0.5, 0))</f>
        <v>0</v>
      </c>
      <c r="GV18" s="47">
        <f t="array" ref="GV18">IF(AND(ISNUMBER(MATCH(GV$2, AsistenciaJetAdminConcatenada!$A:$A, 0)), ISNUMBER(MATCH(GV$1, AsistenciaJetAdminConcatenada!$B:$B, 0)), ISNUMBER(SEARCH($A18,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ISNUMBER(SEARCH($A18, INDEX(AsistenciaJetAdminConcatenada!$D:$D, MATCH(1, (AsistenciaJetAdminConcatenada!$A:$A=GV$2)*(AsistenciaJetAdminConcatenada!$B:$B=GV$1), 0)), 1))),  0.5, 0))</f>
        <v>0</v>
      </c>
      <c r="GW18" s="47">
        <f t="array" ref="GW18">IF(AND(ISNUMBER(MATCH(GW$2, AsistenciaJetAdminConcatenada!$A:$A, 0)), ISNUMBER(MATCH(GW$1, AsistenciaJetAdminConcatenada!$B:$B, 0)), ISNUMBER(SEARCH($A18,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ISNUMBER(SEARCH($A18, INDEX(AsistenciaJetAdminConcatenada!$D:$D, MATCH(1, (AsistenciaJetAdminConcatenada!$A:$A=GW$2)*(AsistenciaJetAdminConcatenada!$B:$B=GW$1), 0)), 1))),  0.5, 0))</f>
        <v>0</v>
      </c>
      <c r="GX18" s="47">
        <f t="array" ref="GX18">IF(AND(ISNUMBER(MATCH(GX$2, AsistenciaJetAdminConcatenada!$A:$A, 0)), ISNUMBER(MATCH(GX$1, AsistenciaJetAdminConcatenada!$B:$B, 0)), ISNUMBER(SEARCH($A18,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ISNUMBER(SEARCH($A18, INDEX(AsistenciaJetAdminConcatenada!$D:$D, MATCH(1, (AsistenciaJetAdminConcatenada!$A:$A=GX$2)*(AsistenciaJetAdminConcatenada!$B:$B=GX$1), 0)), 1))),  0.5, 0))</f>
        <v>0</v>
      </c>
      <c r="GY18" s="47">
        <f t="array" ref="GY18">IF(AND(ISNUMBER(MATCH(GY$2, AsistenciaJetAdminConcatenada!$A:$A, 0)), ISNUMBER(MATCH(GY$1, AsistenciaJetAdminConcatenada!$B:$B, 0)), ISNUMBER(SEARCH($A18,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ISNUMBER(SEARCH($A18, INDEX(AsistenciaJetAdminConcatenada!$D:$D, MATCH(1, (AsistenciaJetAdminConcatenada!$A:$A=GY$2)*(AsistenciaJetAdminConcatenada!$B:$B=GY$1), 0)), 1))),  0.5, 0))</f>
        <v>0</v>
      </c>
      <c r="GZ18" s="47">
        <f t="array" ref="GZ18">IF(AND(ISNUMBER(MATCH(GZ$2, AsistenciaJetAdminConcatenada!$A:$A, 0)), ISNUMBER(MATCH(GZ$1, AsistenciaJetAdminConcatenada!$B:$B, 0)), ISNUMBER(SEARCH($A18,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ISNUMBER(SEARCH($A18, INDEX(AsistenciaJetAdminConcatenada!$D:$D, MATCH(1, (AsistenciaJetAdminConcatenada!$A:$A=GZ$2)*(AsistenciaJetAdminConcatenada!$B:$B=GZ$1), 0)), 1))),  0.5, 0))</f>
        <v>0</v>
      </c>
      <c r="HA18" s="47">
        <f t="array" ref="HA18">IF(AND(ISNUMBER(MATCH(HA$2, AsistenciaJetAdminConcatenada!$A:$A, 0)), ISNUMBER(MATCH(HA$1, AsistenciaJetAdminConcatenada!$B:$B, 0)), ISNUMBER(SEARCH($A18,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ISNUMBER(SEARCH($A18, INDEX(AsistenciaJetAdminConcatenada!$D:$D, MATCH(1, (AsistenciaJetAdminConcatenada!$A:$A=HA$2)*(AsistenciaJetAdminConcatenada!$B:$B=HA$1), 0)), 1))),  0.5, 0))</f>
        <v>0</v>
      </c>
      <c r="HB18" s="47">
        <f t="array" ref="HB18">IF(AND(ISNUMBER(MATCH(HB$2, AsistenciaJetAdminConcatenada!$A:$A, 0)), ISNUMBER(MATCH(HB$1, AsistenciaJetAdminConcatenada!$B:$B, 0)), ISNUMBER(SEARCH($A18,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ISNUMBER(SEARCH($A18, INDEX(AsistenciaJetAdminConcatenada!$D:$D, MATCH(1, (AsistenciaJetAdminConcatenada!$A:$A=HB$2)*(AsistenciaJetAdminConcatenada!$B:$B=HB$1), 0)), 1))),  0.5, 0))</f>
        <v>0</v>
      </c>
      <c r="HC18" s="47">
        <f t="array" ref="HC18">IF(AND(ISNUMBER(MATCH(HC$2, AsistenciaJetAdminConcatenada!$A:$A, 0)), ISNUMBER(MATCH(HC$1, AsistenciaJetAdminConcatenada!$B:$B, 0)), ISNUMBER(SEARCH($A18,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ISNUMBER(SEARCH($A18, INDEX(AsistenciaJetAdminConcatenada!$D:$D, MATCH(1, (AsistenciaJetAdminConcatenada!$A:$A=HC$2)*(AsistenciaJetAdminConcatenada!$B:$B=HC$1), 0)), 1))),  0.5, 0))</f>
        <v>0</v>
      </c>
    </row>
    <row r="19" ht="29.25" customHeight="1">
      <c r="A19" s="3">
        <v>158.0</v>
      </c>
      <c r="B19" s="4" t="s">
        <v>456</v>
      </c>
      <c r="C19" s="47">
        <f>SUM(D19:HC19) + ActividadesEspeciales!C19</f>
        <v>73</v>
      </c>
      <c r="D19" s="47">
        <f t="array" ref="D19">IF(AND(ISNUMBER(MATCH(D$2, AsistenciaJetAdminConcatenada!$A:$A, 0)), ISNUMBER(MATCH(D$1, AsistenciaJetAdminConcatenada!$B:$B, 0)), ISNUMBER(SEARCH($A19,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ISNUMBER(SEARCH($A19, INDEX(AsistenciaJetAdminConcatenada!$D:$D, MATCH(1, (AsistenciaJetAdminConcatenada!$A:$A=D$2)*(AsistenciaJetAdminConcatenada!$B:$B=D$1), 0)), 1))),  0.5, 0))</f>
        <v>1</v>
      </c>
      <c r="E19" s="47">
        <f t="array" ref="E19">IF(AND(ISNUMBER(MATCH(E$2, AsistenciaJetAdminConcatenada!$A:$A, 0)), ISNUMBER(MATCH(E$1, AsistenciaJetAdminConcatenada!$B:$B, 0)), ISNUMBER(SEARCH($A19,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ISNUMBER(SEARCH($A19, INDEX(AsistenciaJetAdminConcatenada!$D:$D, MATCH(1, (AsistenciaJetAdminConcatenada!$A:$A=E$2)*(AsistenciaJetAdminConcatenada!$B:$B=E$1), 0)), 1))),  0.5, 0))</f>
        <v>1</v>
      </c>
      <c r="F19" s="47">
        <f t="array" ref="F19">IF(AND(ISNUMBER(MATCH(F$2, AsistenciaJetAdminConcatenada!$A:$A, 0)), ISNUMBER(MATCH(F$1, AsistenciaJetAdminConcatenada!$B:$B, 0)), ISNUMBER(SEARCH($A19,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ISNUMBER(SEARCH($A19, INDEX(AsistenciaJetAdminConcatenada!$D:$D, MATCH(1, (AsistenciaJetAdminConcatenada!$A:$A=F$2)*(AsistenciaJetAdminConcatenada!$B:$B=F$1), 0)), 1))),  0.5, 0))</f>
        <v>1</v>
      </c>
      <c r="G19" s="47">
        <f t="array" ref="G19">IF(AND(ISNUMBER(MATCH(G$2, AsistenciaJetAdminConcatenada!$A:$A, 0)), ISNUMBER(MATCH(G$1, AsistenciaJetAdminConcatenada!$B:$B, 0)), ISNUMBER(SEARCH($A19,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ISNUMBER(SEARCH($A19, INDEX(AsistenciaJetAdminConcatenada!$D:$D, MATCH(1, (AsistenciaJetAdminConcatenada!$A:$A=G$2)*(AsistenciaJetAdminConcatenada!$B:$B=G$1), 0)), 1))),  0.5, 0))</f>
        <v>1</v>
      </c>
      <c r="H19" s="47">
        <f t="array" ref="H19">IF(AND(ISNUMBER(MATCH(H$2, AsistenciaJetAdminConcatenada!$A:$A, 0)), ISNUMBER(MATCH(H$1, AsistenciaJetAdminConcatenada!$B:$B, 0)), ISNUMBER(SEARCH($A19,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ISNUMBER(SEARCH($A19, INDEX(AsistenciaJetAdminConcatenada!$D:$D, MATCH(1, (AsistenciaJetAdminConcatenada!$A:$A=H$2)*(AsistenciaJetAdminConcatenada!$B:$B=H$1), 0)), 1))),  0.5, 0))</f>
        <v>0</v>
      </c>
      <c r="I19" s="47">
        <f t="array" ref="I19">IF(AND(ISNUMBER(MATCH(I$2, AsistenciaJetAdminConcatenada!$A:$A, 0)), ISNUMBER(MATCH(I$1, AsistenciaJetAdminConcatenada!$B:$B, 0)), ISNUMBER(SEARCH($A19,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ISNUMBER(SEARCH($A19, INDEX(AsistenciaJetAdminConcatenada!$D:$D, MATCH(1, (AsistenciaJetAdminConcatenada!$A:$A=I$2)*(AsistenciaJetAdminConcatenada!$B:$B=I$1), 0)), 1))),  0.5, 0))</f>
        <v>1</v>
      </c>
      <c r="J19" s="47">
        <f t="array" ref="J19">IF(AND(ISNUMBER(MATCH(J$2, AsistenciaJetAdminConcatenada!$A:$A, 0)), ISNUMBER(MATCH(J$1, AsistenciaJetAdminConcatenada!$B:$B, 0)), ISNUMBER(SEARCH($A19,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ISNUMBER(SEARCH($A19, INDEX(AsistenciaJetAdminConcatenada!$D:$D, MATCH(1, (AsistenciaJetAdminConcatenada!$A:$A=J$2)*(AsistenciaJetAdminConcatenada!$B:$B=J$1), 0)), 1))),  0.5, 0))</f>
        <v>1</v>
      </c>
      <c r="K19" s="47">
        <f t="array" ref="K19">IF(AND(ISNUMBER(MATCH(K$2, AsistenciaJetAdminConcatenada!$A:$A, 0)), ISNUMBER(MATCH(K$1, AsistenciaJetAdminConcatenada!$B:$B, 0)), ISNUMBER(SEARCH($A19,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ISNUMBER(SEARCH($A19, INDEX(AsistenciaJetAdminConcatenada!$D:$D, MATCH(1, (AsistenciaJetAdminConcatenada!$A:$A=K$2)*(AsistenciaJetAdminConcatenada!$B:$B=K$1), 0)), 1))),  0.5, 0))</f>
        <v>1</v>
      </c>
      <c r="L19" s="47">
        <f t="array" ref="L19">IF(AND(ISNUMBER(MATCH(L$2, AsistenciaJetAdminConcatenada!$A:$A, 0)), ISNUMBER(MATCH(L$1, AsistenciaJetAdminConcatenada!$B:$B, 0)), ISNUMBER(SEARCH($A19,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ISNUMBER(SEARCH($A19, INDEX(AsistenciaJetAdminConcatenada!$D:$D, MATCH(1, (AsistenciaJetAdminConcatenada!$A:$A=L$2)*(AsistenciaJetAdminConcatenada!$B:$B=L$1), 0)), 1))),  0.5, 0))</f>
        <v>1</v>
      </c>
      <c r="M19" s="47">
        <f t="array" ref="M19">IF(AND(ISNUMBER(MATCH(M$2, AsistenciaJetAdminConcatenada!$A:$A, 0)), ISNUMBER(MATCH(M$1, AsistenciaJetAdminConcatenada!$B:$B, 0)), ISNUMBER(SEARCH($A19,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ISNUMBER(SEARCH($A19, INDEX(AsistenciaJetAdminConcatenada!$D:$D, MATCH(1, (AsistenciaJetAdminConcatenada!$A:$A=M$2)*(AsistenciaJetAdminConcatenada!$B:$B=M$1), 0)), 1))),  0.5, 0))</f>
        <v>1</v>
      </c>
      <c r="N19" s="47">
        <f t="array" ref="N19">IF(AND(ISNUMBER(MATCH(N$2, AsistenciaJetAdminConcatenada!$A:$A, 0)), ISNUMBER(MATCH(N$1, AsistenciaJetAdminConcatenada!$B:$B, 0)), ISNUMBER(SEARCH($A19,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ISNUMBER(SEARCH($A19, INDEX(AsistenciaJetAdminConcatenada!$D:$D, MATCH(1, (AsistenciaJetAdminConcatenada!$A:$A=N$2)*(AsistenciaJetAdminConcatenada!$B:$B=N$1), 0)), 1))),  0.5, 0))</f>
        <v>0</v>
      </c>
      <c r="O19" s="47">
        <f t="array" ref="O19">IF(AND(ISNUMBER(MATCH(O$2, AsistenciaJetAdminConcatenada!$A:$A, 0)), ISNUMBER(MATCH(O$1, AsistenciaJetAdminConcatenada!$B:$B, 0)), ISNUMBER(SEARCH($A19,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ISNUMBER(SEARCH($A19, INDEX(AsistenciaJetAdminConcatenada!$D:$D, MATCH(1, (AsistenciaJetAdminConcatenada!$A:$A=O$2)*(AsistenciaJetAdminConcatenada!$B:$B=O$1), 0)), 1))),  0.5, 0))</f>
        <v>0</v>
      </c>
      <c r="P19" s="47">
        <f t="array" ref="P19">IF(AND(ISNUMBER(MATCH(P$2, AsistenciaJetAdminConcatenada!$A:$A, 0)), ISNUMBER(MATCH(P$1, AsistenciaJetAdminConcatenada!$B:$B, 0)), ISNUMBER(SEARCH($A19, INDEX(AsistenciaJetAdminConcatenada!$C:$C, MATCH(1, (AsistenciaJetAdminConcatenada!$A:$A=P$2)*(AsistenciaJetAdminConcatenada!$B:$B=P$1), 0)), 1))), 1, IF(AND(ISNUMBER(MATCH(P$2, AsistenciaJetAdminConcatenada!$A:$A, 0)), ISNUMBER(MATCH(P$1, AsistenciaJetAdminConcatenada!$B:$B, 0)), ISNUMBER(SEARCH($A19, INDEX(AsistenciaJetAdminConcatenada!$D:$D, MATCH(1, (AsistenciaJetAdminConcatenada!$A:$A=P$2)*(AsistenciaJetAdminConcatenada!$B:$B=P$1), 0)), 1))),  0.5, 0))</f>
        <v>1</v>
      </c>
      <c r="Q19" s="47">
        <f t="array" ref="Q19">IF(AND(ISNUMBER(MATCH(Q$2, AsistenciaJetAdminConcatenada!$A:$A, 0)), ISNUMBER(MATCH(Q$1, AsistenciaJetAdminConcatenada!$B:$B, 0)), ISNUMBER(SEARCH($A19, INDEX(AsistenciaJetAdminConcatenada!$C:$C, MATCH(1, (AsistenciaJetAdminConcatenada!$A:$A=Q$2)*(AsistenciaJetAdminConcatenada!$B:$B=Q$1), 0)), 1))), 1, IF(AND(ISNUMBER(MATCH(Q$2, AsistenciaJetAdminConcatenada!$A:$A, 0)), ISNUMBER(MATCH(Q$1, AsistenciaJetAdminConcatenada!$B:$B, 0)), ISNUMBER(SEARCH($A19, INDEX(AsistenciaJetAdminConcatenada!$D:$D, MATCH(1, (AsistenciaJetAdminConcatenada!$A:$A=Q$2)*(AsistenciaJetAdminConcatenada!$B:$B=Q$1), 0)), 1))),  0.5, 0))</f>
        <v>1</v>
      </c>
      <c r="R19" s="47">
        <f t="array" ref="R19">IF(AND(ISNUMBER(MATCH(R$2, AsistenciaJetAdminConcatenada!$A:$A, 0)), ISNUMBER(MATCH(R$1, AsistenciaJetAdminConcatenada!$B:$B, 0)), ISNUMBER(SEARCH($A19,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ISNUMBER(SEARCH($A19, INDEX(AsistenciaJetAdminConcatenada!$D:$D, MATCH(1, (AsistenciaJetAdminConcatenada!$A:$A=R$2)*(AsistenciaJetAdminConcatenada!$B:$B=R$1), 0)), 1))),  0.5, 0))</f>
        <v>1</v>
      </c>
      <c r="S19" s="47">
        <f t="array" ref="S19">IF(AND(ISNUMBER(MATCH(S$2, AsistenciaJetAdminConcatenada!$A:$A, 0)), ISNUMBER(MATCH(S$1, AsistenciaJetAdminConcatenada!$B:$B, 0)), ISNUMBER(SEARCH($A19,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ISNUMBER(SEARCH($A19, INDEX(AsistenciaJetAdminConcatenada!$D:$D, MATCH(1, (AsistenciaJetAdminConcatenada!$A:$A=S$2)*(AsistenciaJetAdminConcatenada!$B:$B=S$1), 0)), 1))),  0.5, 0))</f>
        <v>1</v>
      </c>
      <c r="T19" s="47">
        <f t="array" ref="T19">IF(AND(ISNUMBER(MATCH(T$2, AsistenciaJetAdminConcatenada!$A:$A, 0)), ISNUMBER(MATCH(T$1, AsistenciaJetAdminConcatenada!$B:$B, 0)), ISNUMBER(SEARCH($A19,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ISNUMBER(SEARCH($A19, INDEX(AsistenciaJetAdminConcatenada!$D:$D, MATCH(1, (AsistenciaJetAdminConcatenada!$A:$A=T$2)*(AsistenciaJetAdminConcatenada!$B:$B=T$1), 0)), 1))),  0.5, 0))</f>
        <v>1</v>
      </c>
      <c r="U19" s="47">
        <f t="array" ref="U19">IF(AND(ISNUMBER(MATCH(U$2, AsistenciaJetAdminConcatenada!$A:$A, 0)), ISNUMBER(MATCH(U$1, AsistenciaJetAdminConcatenada!$B:$B, 0)), ISNUMBER(SEARCH($A19,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ISNUMBER(SEARCH($A19, INDEX(AsistenciaJetAdminConcatenada!$D:$D, MATCH(1, (AsistenciaJetAdminConcatenada!$A:$A=U$2)*(AsistenciaJetAdminConcatenada!$B:$B=U$1), 0)), 1))),  0.5, 0))</f>
        <v>1</v>
      </c>
      <c r="V19" s="47">
        <f t="array" ref="V19">IF(AND(ISNUMBER(MATCH(V$2, AsistenciaJetAdminConcatenada!$A:$A, 0)), ISNUMBER(MATCH(V$1, AsistenciaJetAdminConcatenada!$B:$B, 0)), ISNUMBER(SEARCH($A19,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ISNUMBER(SEARCH($A19, INDEX(AsistenciaJetAdminConcatenada!$D:$D, MATCH(1, (AsistenciaJetAdminConcatenada!$A:$A=V$2)*(AsistenciaJetAdminConcatenada!$B:$B=V$1), 0)), 1))),  0.5, 0))</f>
        <v>1</v>
      </c>
      <c r="W19" s="47">
        <f t="array" ref="W19">IF(AND(ISNUMBER(MATCH(W$2, AsistenciaJetAdminConcatenada!$A:$A, 0)), ISNUMBER(MATCH(W$1, AsistenciaJetAdminConcatenada!$B:$B, 0)), ISNUMBER(SEARCH($A19,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ISNUMBER(SEARCH($A19, INDEX(AsistenciaJetAdminConcatenada!$D:$D, MATCH(1, (AsistenciaJetAdminConcatenada!$A:$A=W$2)*(AsistenciaJetAdminConcatenada!$B:$B=W$1), 0)), 1))),  0.5, 0))</f>
        <v>0</v>
      </c>
      <c r="X19" s="47">
        <f t="array" ref="X19">IF(AND(ISNUMBER(MATCH(X$2, AsistenciaJetAdminConcatenada!$A:$A, 0)), ISNUMBER(MATCH(X$1, AsistenciaJetAdminConcatenada!$B:$B, 0)), ISNUMBER(SEARCH($A19,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ISNUMBER(SEARCH($A19, INDEX(AsistenciaJetAdminConcatenada!$D:$D, MATCH(1, (AsistenciaJetAdminConcatenada!$A:$A=X$2)*(AsistenciaJetAdminConcatenada!$B:$B=X$1), 0)), 1))),  0.5, 0))</f>
        <v>1</v>
      </c>
      <c r="Y19" s="47">
        <f t="array" ref="Y19">IF(AND(ISNUMBER(MATCH(Y$2, AsistenciaJetAdminConcatenada!$A:$A, 0)), ISNUMBER(MATCH(Y$1, AsistenciaJetAdminConcatenada!$B:$B, 0)), ISNUMBER(SEARCH($A19,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ISNUMBER(SEARCH($A19, INDEX(AsistenciaJetAdminConcatenada!$D:$D, MATCH(1, (AsistenciaJetAdminConcatenada!$A:$A=Y$2)*(AsistenciaJetAdminConcatenada!$B:$B=Y$1), 0)), 1))),  0.5, 0))</f>
        <v>0</v>
      </c>
      <c r="Z19" s="47">
        <f t="array" ref="Z19">IF(AND(ISNUMBER(MATCH(Z$2, AsistenciaJetAdminConcatenada!$A:$A, 0)), ISNUMBER(MATCH(Z$1, AsistenciaJetAdminConcatenada!$B:$B, 0)), ISNUMBER(SEARCH($A19,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ISNUMBER(SEARCH($A19, INDEX(AsistenciaJetAdminConcatenada!$D:$D, MATCH(1, (AsistenciaJetAdminConcatenada!$A:$A=Z$2)*(AsistenciaJetAdminConcatenada!$B:$B=Z$1), 0)), 1))),  0.5, 0))</f>
        <v>1</v>
      </c>
      <c r="AA19" s="47">
        <f t="array" ref="AA19">IF(AND(ISNUMBER(MATCH(AA$2, AsistenciaJetAdminConcatenada!$A:$A, 0)), ISNUMBER(MATCH(AA$1, AsistenciaJetAdminConcatenada!$B:$B, 0)), ISNUMBER(SEARCH($A19,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ISNUMBER(SEARCH($A19, INDEX(AsistenciaJetAdminConcatenada!$D:$D, MATCH(1, (AsistenciaJetAdminConcatenada!$A:$A=AA$2)*(AsistenciaJetAdminConcatenada!$B:$B=AA$1), 0)), 1))),  0.5, 0))</f>
        <v>1</v>
      </c>
      <c r="AB19" s="47">
        <f t="array" ref="AB19">IF(AND(ISNUMBER(MATCH(AB$2, AsistenciaJetAdminConcatenada!$A:$A, 0)), ISNUMBER(MATCH(AB$1, AsistenciaJetAdminConcatenada!$B:$B, 0)), ISNUMBER(SEARCH($A19,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ISNUMBER(SEARCH($A19, INDEX(AsistenciaJetAdminConcatenada!$D:$D, MATCH(1, (AsistenciaJetAdminConcatenada!$A:$A=AB$2)*(AsistenciaJetAdminConcatenada!$B:$B=AB$1), 0)), 1))),  0.5, 0))</f>
        <v>1</v>
      </c>
      <c r="AC19" s="47">
        <f t="array" ref="AC19">IF(AND(ISNUMBER(MATCH(AC$2, AsistenciaJetAdminConcatenada!$A:$A, 0)), ISNUMBER(MATCH(AC$1, AsistenciaJetAdminConcatenada!$B:$B, 0)), ISNUMBER(SEARCH($A19,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ISNUMBER(SEARCH($A19, INDEX(AsistenciaJetAdminConcatenada!$D:$D, MATCH(1, (AsistenciaJetAdminConcatenada!$A:$A=AC$2)*(AsistenciaJetAdminConcatenada!$B:$B=AC$1), 0)), 1))),  0.5, 0))</f>
        <v>1</v>
      </c>
      <c r="AD19" s="47">
        <f t="array" ref="AD19">IF(AND(ISNUMBER(MATCH(AD$2, AsistenciaJetAdminConcatenada!$A:$A, 0)), ISNUMBER(MATCH(AD$1, AsistenciaJetAdminConcatenada!$B:$B, 0)), ISNUMBER(SEARCH($A19,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ISNUMBER(SEARCH($A19, INDEX(AsistenciaJetAdminConcatenada!$D:$D, MATCH(1, (AsistenciaJetAdminConcatenada!$A:$A=AD$2)*(AsistenciaJetAdminConcatenada!$B:$B=AD$1), 0)), 1))),  0.5, 0))</f>
        <v>1</v>
      </c>
      <c r="AE19" s="47">
        <f t="array" ref="AE19">IF(AND(ISNUMBER(MATCH(AE$2, AsistenciaJetAdminConcatenada!$A:$A, 0)), ISNUMBER(MATCH(AE$1, AsistenciaJetAdminConcatenada!$B:$B, 0)), ISNUMBER(SEARCH($A19,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ISNUMBER(SEARCH($A19, INDEX(AsistenciaJetAdminConcatenada!$D:$D, MATCH(1, (AsistenciaJetAdminConcatenada!$A:$A=AE$2)*(AsistenciaJetAdminConcatenada!$B:$B=AE$1), 0)), 1))),  0.5, 0))</f>
        <v>1</v>
      </c>
      <c r="AF19" s="47">
        <f t="array" ref="AF19">IF(AND(ISNUMBER(MATCH(AF$2, AsistenciaJetAdminConcatenada!$A:$A, 0)), ISNUMBER(MATCH(AF$1, AsistenciaJetAdminConcatenada!$B:$B, 0)), ISNUMBER(SEARCH($A19,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ISNUMBER(SEARCH($A19, INDEX(AsistenciaJetAdminConcatenada!$D:$D, MATCH(1, (AsistenciaJetAdminConcatenada!$A:$A=AF$2)*(AsistenciaJetAdminConcatenada!$B:$B=AF$1), 0)), 1))),  0.5, 0))</f>
        <v>0</v>
      </c>
      <c r="AG19" s="47">
        <f t="array" ref="AG19">IF(AND(ISNUMBER(MATCH(AG$2, AsistenciaJetAdminConcatenada!$A:$A, 0)), ISNUMBER(MATCH(AG$1, AsistenciaJetAdminConcatenada!$B:$B, 0)), ISNUMBER(SEARCH($A19,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ISNUMBER(SEARCH($A19, INDEX(AsistenciaJetAdminConcatenada!$D:$D, MATCH(1, (AsistenciaJetAdminConcatenada!$A:$A=AG$2)*(AsistenciaJetAdminConcatenada!$B:$B=AG$1), 0)), 1))),  0.5, 0))</f>
        <v>1</v>
      </c>
      <c r="AH19" s="47">
        <f t="array" ref="AH19">IF(AND(ISNUMBER(MATCH(AH$2, AsistenciaJetAdminConcatenada!$A:$A, 0)), ISNUMBER(MATCH(AH$1, AsistenciaJetAdminConcatenada!$B:$B, 0)), ISNUMBER(SEARCH($A19,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ISNUMBER(SEARCH($A19, INDEX(AsistenciaJetAdminConcatenada!$D:$D, MATCH(1, (AsistenciaJetAdminConcatenada!$A:$A=AH$2)*(AsistenciaJetAdminConcatenada!$B:$B=AH$1), 0)), 1))),  0.5, 0))</f>
        <v>0</v>
      </c>
      <c r="AI19" s="47">
        <f t="array" ref="AI19">IF(AND(ISNUMBER(MATCH(AI$2, AsistenciaJetAdminConcatenada!$A:$A, 0)), ISNUMBER(MATCH(AI$1, AsistenciaJetAdminConcatenada!$B:$B, 0)), ISNUMBER(SEARCH($A19,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ISNUMBER(SEARCH($A19, INDEX(AsistenciaJetAdminConcatenada!$D:$D, MATCH(1, (AsistenciaJetAdminConcatenada!$A:$A=AI$2)*(AsistenciaJetAdminConcatenada!$B:$B=AI$1), 0)), 1))),  0.5, 0))</f>
        <v>1</v>
      </c>
      <c r="AJ19" s="47">
        <f t="array" ref="AJ19">IF(AND(ISNUMBER(MATCH(AJ$2, AsistenciaJetAdminConcatenada!$A:$A, 0)), ISNUMBER(MATCH(AJ$1, AsistenciaJetAdminConcatenada!$B:$B, 0)), ISNUMBER(SEARCH($A19,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ISNUMBER(SEARCH($A19, INDEX(AsistenciaJetAdminConcatenada!$D:$D, MATCH(1, (AsistenciaJetAdminConcatenada!$A:$A=AJ$2)*(AsistenciaJetAdminConcatenada!$B:$B=AJ$1), 0)), 1))),  0.5, 0))</f>
        <v>1</v>
      </c>
      <c r="AK19" s="47">
        <f t="array" ref="AK19">IF(AND(ISNUMBER(MATCH(AK$2, AsistenciaJetAdminConcatenada!$A:$A, 0)), ISNUMBER(MATCH(AK$1, AsistenciaJetAdminConcatenada!$B:$B, 0)), ISNUMBER(SEARCH($A19,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ISNUMBER(SEARCH($A19, INDEX(AsistenciaJetAdminConcatenada!$D:$D, MATCH(1, (AsistenciaJetAdminConcatenada!$A:$A=AK$2)*(AsistenciaJetAdminConcatenada!$B:$B=AK$1), 0)), 1))),  0.5, 0))</f>
        <v>0</v>
      </c>
      <c r="AL19" s="47">
        <f t="array" ref="AL19">IF(AND(ISNUMBER(MATCH(AL$2, AsistenciaJetAdminConcatenada!$A:$A, 0)), ISNUMBER(MATCH(AL$1, AsistenciaJetAdminConcatenada!$B:$B, 0)), ISNUMBER(SEARCH($A19,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ISNUMBER(SEARCH($A19, INDEX(AsistenciaJetAdminConcatenada!$D:$D, MATCH(1, (AsistenciaJetAdminConcatenada!$A:$A=AL$2)*(AsistenciaJetAdminConcatenada!$B:$B=AL$1), 0)), 1))),  0.5, 0))</f>
        <v>0</v>
      </c>
      <c r="AM19" s="47">
        <f t="array" ref="AM19">IF(AND(ISNUMBER(MATCH(AM$2, AsistenciaJetAdminConcatenada!$A:$A, 0)), ISNUMBER(MATCH(AM$1, AsistenciaJetAdminConcatenada!$B:$B, 0)), ISNUMBER(SEARCH($A19,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ISNUMBER(SEARCH($A19, INDEX(AsistenciaJetAdminConcatenada!$D:$D, MATCH(1, (AsistenciaJetAdminConcatenada!$A:$A=AM$2)*(AsistenciaJetAdminConcatenada!$B:$B=AM$1), 0)), 1))),  0.5, 0))</f>
        <v>0</v>
      </c>
      <c r="AN19" s="47">
        <f t="array" ref="AN19">IF(AND(ISNUMBER(MATCH(AN$2, AsistenciaJetAdminConcatenada!$A:$A, 0)), ISNUMBER(MATCH(AN$1, AsistenciaJetAdminConcatenada!$B:$B, 0)), ISNUMBER(SEARCH($A19,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ISNUMBER(SEARCH($A19, INDEX(AsistenciaJetAdminConcatenada!$D:$D, MATCH(1, (AsistenciaJetAdminConcatenada!$A:$A=AN$2)*(AsistenciaJetAdminConcatenada!$B:$B=AN$1), 0)), 1))),  0.5, 0))</f>
        <v>0</v>
      </c>
      <c r="AO19" s="47">
        <f t="array" ref="AO19">IF(AND(ISNUMBER(MATCH(AO$2, AsistenciaJetAdminConcatenada!$A:$A, 0)), ISNUMBER(MATCH(AO$1, AsistenciaJetAdminConcatenada!$B:$B, 0)), ISNUMBER(SEARCH($A19,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ISNUMBER(SEARCH($A19, INDEX(AsistenciaJetAdminConcatenada!$D:$D, MATCH(1, (AsistenciaJetAdminConcatenada!$A:$A=AO$2)*(AsistenciaJetAdminConcatenada!$B:$B=AO$1), 0)), 1))),  0.5, 0))</f>
        <v>0</v>
      </c>
      <c r="AP19" s="47">
        <f t="array" ref="AP19">IF(AND(ISNUMBER(MATCH(AP$2, AsistenciaJetAdminConcatenada!$A:$A, 0)), ISNUMBER(MATCH(AP$1, AsistenciaJetAdminConcatenada!$B:$B, 0)), ISNUMBER(SEARCH($A19,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ISNUMBER(SEARCH($A19, INDEX(AsistenciaJetAdminConcatenada!$D:$D, MATCH(1, (AsistenciaJetAdminConcatenada!$A:$A=AP$2)*(AsistenciaJetAdminConcatenada!$B:$B=AP$1), 0)), 1))),  0.5, 0))</f>
        <v>0</v>
      </c>
      <c r="AQ19" s="47">
        <f t="array" ref="AQ19">IF(AND(ISNUMBER(MATCH(AQ$2, AsistenciaJetAdminConcatenada!$A:$A, 0)), ISNUMBER(MATCH(AQ$1, AsistenciaJetAdminConcatenada!$B:$B, 0)), ISNUMBER(SEARCH($A19,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ISNUMBER(SEARCH($A19, INDEX(AsistenciaJetAdminConcatenada!$D:$D, MATCH(1, (AsistenciaJetAdminConcatenada!$A:$A=AQ$2)*(AsistenciaJetAdminConcatenada!$B:$B=AQ$1), 0)), 1))),  0.5, 0))</f>
        <v>0</v>
      </c>
      <c r="AR19" s="47">
        <f t="array" ref="AR19">IF(AND(ISNUMBER(MATCH(AR$2, AsistenciaJetAdminConcatenada!$A:$A, 0)), ISNUMBER(MATCH(AR$1, AsistenciaJetAdminConcatenada!$B:$B, 0)), ISNUMBER(SEARCH($A19,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ISNUMBER(SEARCH($A19, INDEX(AsistenciaJetAdminConcatenada!$D:$D, MATCH(1, (AsistenciaJetAdminConcatenada!$A:$A=AR$2)*(AsistenciaJetAdminConcatenada!$B:$B=AR$1), 0)), 1))),  0.5, 0))</f>
        <v>1</v>
      </c>
      <c r="AS19" s="47">
        <f t="array" ref="AS19">IF(AND(ISNUMBER(MATCH(AS$2, AsistenciaJetAdminConcatenada!$A:$A, 0)), ISNUMBER(MATCH(AS$1, AsistenciaJetAdminConcatenada!$B:$B, 0)), ISNUMBER(SEARCH($A19,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ISNUMBER(SEARCH($A19, INDEX(AsistenciaJetAdminConcatenada!$D:$D, MATCH(1, (AsistenciaJetAdminConcatenada!$A:$A=AS$2)*(AsistenciaJetAdminConcatenada!$B:$B=AS$1), 0)), 1))),  0.5, 0))</f>
        <v>1</v>
      </c>
      <c r="AT19" s="47">
        <f t="array" ref="AT19">IF(AND(ISNUMBER(MATCH(AT$2, AsistenciaJetAdminConcatenada!$A:$A, 0)), ISNUMBER(MATCH(AT$1, AsistenciaJetAdminConcatenada!$B:$B, 0)), ISNUMBER(SEARCH($A19,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ISNUMBER(SEARCH($A19, INDEX(AsistenciaJetAdminConcatenada!$D:$D, MATCH(1, (AsistenciaJetAdminConcatenada!$A:$A=AT$2)*(AsistenciaJetAdminConcatenada!$B:$B=AT$1), 0)), 1))),  0.5, 0))</f>
        <v>0</v>
      </c>
      <c r="AU19" s="47">
        <f t="array" ref="AU19">IF(AND(ISNUMBER(MATCH(AU$2, AsistenciaJetAdminConcatenada!$A:$A, 0)), ISNUMBER(MATCH(AU$1, AsistenciaJetAdminConcatenada!$B:$B, 0)), ISNUMBER(SEARCH($A19,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ISNUMBER(SEARCH($A19, INDEX(AsistenciaJetAdminConcatenada!$D:$D, MATCH(1, (AsistenciaJetAdminConcatenada!$A:$A=AU$2)*(AsistenciaJetAdminConcatenada!$B:$B=AU$1), 0)), 1))),  0.5, 0))</f>
        <v>1</v>
      </c>
      <c r="AV19" s="47">
        <f t="array" ref="AV19">IF(AND(ISNUMBER(MATCH(AV$2, AsistenciaJetAdminConcatenada!$A:$A, 0)), ISNUMBER(MATCH(AV$1, AsistenciaJetAdminConcatenada!$B:$B, 0)), ISNUMBER(SEARCH($A19,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ISNUMBER(SEARCH($A19, INDEX(AsistenciaJetAdminConcatenada!$D:$D, MATCH(1, (AsistenciaJetAdminConcatenada!$A:$A=AV$2)*(AsistenciaJetAdminConcatenada!$B:$B=AV$1), 0)), 1))),  0.5, 0))</f>
        <v>1</v>
      </c>
      <c r="AW19" s="47">
        <f t="array" ref="AW19">IF(AND(ISNUMBER(MATCH(AW$2, AsistenciaJetAdminConcatenada!$A:$A, 0)), ISNUMBER(MATCH(AW$1, AsistenciaJetAdminConcatenada!$B:$B, 0)), ISNUMBER(SEARCH($A19,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ISNUMBER(SEARCH($A19, INDEX(AsistenciaJetAdminConcatenada!$D:$D, MATCH(1, (AsistenciaJetAdminConcatenada!$A:$A=AW$2)*(AsistenciaJetAdminConcatenada!$B:$B=AW$1), 0)), 1))),  0.5, 0))</f>
        <v>1</v>
      </c>
      <c r="AX19" s="47">
        <f t="array" ref="AX19">IF(AND(ISNUMBER(MATCH(AX$2, AsistenciaJetAdminConcatenada!$A:$A, 0)), ISNUMBER(MATCH(AX$1, AsistenciaJetAdminConcatenada!$B:$B, 0)), ISNUMBER(SEARCH($A19,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ISNUMBER(SEARCH($A19, INDEX(AsistenciaJetAdminConcatenada!$D:$D, MATCH(1, (AsistenciaJetAdminConcatenada!$A:$A=AX$2)*(AsistenciaJetAdminConcatenada!$B:$B=AX$1), 0)), 1))),  0.5, 0))</f>
        <v>1</v>
      </c>
      <c r="AY19" s="47">
        <f t="array" ref="AY19">IF(AND(ISNUMBER(MATCH(AY$2, AsistenciaJetAdminConcatenada!$A:$A, 0)), ISNUMBER(MATCH(AY$1, AsistenciaJetAdminConcatenada!$B:$B, 0)), ISNUMBER(SEARCH($A19,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ISNUMBER(SEARCH($A19, INDEX(AsistenciaJetAdminConcatenada!$D:$D, MATCH(1, (AsistenciaJetAdminConcatenada!$A:$A=AY$2)*(AsistenciaJetAdminConcatenada!$B:$B=AY$1), 0)), 1))),  0.5, 0))</f>
        <v>1</v>
      </c>
      <c r="AZ19" s="47">
        <f t="array" ref="AZ19">IF(AND(ISNUMBER(MATCH(AZ$2, AsistenciaJetAdminConcatenada!$A:$A, 0)), ISNUMBER(MATCH(AZ$1, AsistenciaJetAdminConcatenada!$B:$B, 0)), ISNUMBER(SEARCH($A19,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ISNUMBER(SEARCH($A19, INDEX(AsistenciaJetAdminConcatenada!$D:$D, MATCH(1, (AsistenciaJetAdminConcatenada!$A:$A=AZ$2)*(AsistenciaJetAdminConcatenada!$B:$B=AZ$1), 0)), 1))),  0.5, 0))</f>
        <v>1</v>
      </c>
      <c r="BA19" s="47">
        <f t="array" ref="BA19">IF(AND(ISNUMBER(MATCH(BA$2, AsistenciaJetAdminConcatenada!$A:$A, 0)), ISNUMBER(MATCH(BA$1, AsistenciaJetAdminConcatenada!$B:$B, 0)), ISNUMBER(SEARCH($A19,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ISNUMBER(SEARCH($A19, INDEX(AsistenciaJetAdminConcatenada!$D:$D, MATCH(1, (AsistenciaJetAdminConcatenada!$A:$A=BA$2)*(AsistenciaJetAdminConcatenada!$B:$B=BA$1), 0)), 1))),  0.5, 0))</f>
        <v>1</v>
      </c>
      <c r="BB19" s="47">
        <f t="array" ref="BB19">IF(AND(ISNUMBER(MATCH(BB$2, AsistenciaJetAdminConcatenada!$A:$A, 0)), ISNUMBER(MATCH(BB$1, AsistenciaJetAdminConcatenada!$B:$B, 0)), ISNUMBER(SEARCH($A19,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ISNUMBER(SEARCH($A19, INDEX(AsistenciaJetAdminConcatenada!$D:$D, MATCH(1, (AsistenciaJetAdminConcatenada!$A:$A=BB$2)*(AsistenciaJetAdminConcatenada!$B:$B=BB$1), 0)), 1))),  0.5, 0))</f>
        <v>1</v>
      </c>
      <c r="BC19" s="47">
        <f t="array" ref="BC19">IF(AND(ISNUMBER(MATCH(BC$2, AsistenciaJetAdminConcatenada!$A:$A, 0)), ISNUMBER(MATCH(BC$1, AsistenciaJetAdminConcatenada!$B:$B, 0)), ISNUMBER(SEARCH($A19,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ISNUMBER(SEARCH($A19, INDEX(AsistenciaJetAdminConcatenada!$D:$D, MATCH(1, (AsistenciaJetAdminConcatenada!$A:$A=BC$2)*(AsistenciaJetAdminConcatenada!$B:$B=BC$1), 0)), 1))),  0.5, 0))</f>
        <v>1</v>
      </c>
      <c r="BD19" s="47">
        <f t="array" ref="BD19">IF(AND(ISNUMBER(MATCH(BD$2, AsistenciaJetAdminConcatenada!$A:$A, 0)), ISNUMBER(MATCH(BD$1, AsistenciaJetAdminConcatenada!$B:$B, 0)), ISNUMBER(SEARCH($A19,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ISNUMBER(SEARCH($A19, INDEX(AsistenciaJetAdminConcatenada!$D:$D, MATCH(1, (AsistenciaJetAdminConcatenada!$A:$A=BD$2)*(AsistenciaJetAdminConcatenada!$B:$B=BD$1), 0)), 1))),  0.5, 0))</f>
        <v>1</v>
      </c>
      <c r="BE19" s="47">
        <f t="array" ref="BE19">IF(AND(ISNUMBER(MATCH(BE$2, AsistenciaJetAdminConcatenada!$A:$A, 0)), ISNUMBER(MATCH(BE$1, AsistenciaJetAdminConcatenada!$B:$B, 0)), ISNUMBER(SEARCH($A19,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ISNUMBER(SEARCH($A19, INDEX(AsistenciaJetAdminConcatenada!$D:$D, MATCH(1, (AsistenciaJetAdminConcatenada!$A:$A=BE$2)*(AsistenciaJetAdminConcatenada!$B:$B=BE$1), 0)), 1))),  0.5, 0))</f>
        <v>1</v>
      </c>
      <c r="BF19" s="47">
        <f t="array" ref="BF19">IF(AND(ISNUMBER(MATCH(BF$2, AsistenciaJetAdminConcatenada!$A:$A, 0)), ISNUMBER(MATCH(BF$1, AsistenciaJetAdminConcatenada!$B:$B, 0)), ISNUMBER(SEARCH($A19,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ISNUMBER(SEARCH($A19, INDEX(AsistenciaJetAdminConcatenada!$D:$D, MATCH(1, (AsistenciaJetAdminConcatenada!$A:$A=BF$2)*(AsistenciaJetAdminConcatenada!$B:$B=BF$1), 0)), 1))),  0.5, 0))</f>
        <v>1</v>
      </c>
      <c r="BG19" s="47">
        <f t="array" ref="BG19">IF(AND(ISNUMBER(MATCH(BG$2, AsistenciaJetAdminConcatenada!$A:$A, 0)), ISNUMBER(MATCH(BG$1, AsistenciaJetAdminConcatenada!$B:$B, 0)), ISNUMBER(SEARCH($A19,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ISNUMBER(SEARCH($A19, INDEX(AsistenciaJetAdminConcatenada!$D:$D, MATCH(1, (AsistenciaJetAdminConcatenada!$A:$A=BG$2)*(AsistenciaJetAdminConcatenada!$B:$B=BG$1), 0)), 1))),  0.5, 0))</f>
        <v>1</v>
      </c>
      <c r="BH19" s="47">
        <f t="array" ref="BH19">IF(AND(ISNUMBER(MATCH(BH$2, AsistenciaJetAdminConcatenada!$A:$A, 0)), ISNUMBER(MATCH(BH$1, AsistenciaJetAdminConcatenada!$B:$B, 0)), ISNUMBER(SEARCH($A19,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ISNUMBER(SEARCH($A19, INDEX(AsistenciaJetAdminConcatenada!$D:$D, MATCH(1, (AsistenciaJetAdminConcatenada!$A:$A=BH$2)*(AsistenciaJetAdminConcatenada!$B:$B=BH$1), 0)), 1))),  0.5, 0))</f>
        <v>1</v>
      </c>
      <c r="BI19" s="47">
        <f t="array" ref="BI19">IF(AND(ISNUMBER(MATCH(BI$2, AsistenciaJetAdminConcatenada!$A:$A, 0)), ISNUMBER(MATCH(BI$1, AsistenciaJetAdminConcatenada!$B:$B, 0)), ISNUMBER(SEARCH($A19,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ISNUMBER(SEARCH($A19, INDEX(AsistenciaJetAdminConcatenada!$D:$D, MATCH(1, (AsistenciaJetAdminConcatenada!$A:$A=BI$2)*(AsistenciaJetAdminConcatenada!$B:$B=BI$1), 0)), 1))),  0.5, 0))</f>
        <v>1</v>
      </c>
      <c r="BJ19" s="47">
        <f t="array" ref="BJ19">IF(AND(ISNUMBER(MATCH(BJ$2, AsistenciaJetAdminConcatenada!$A:$A, 0)), ISNUMBER(MATCH(BJ$1, AsistenciaJetAdminConcatenada!$B:$B, 0)), ISNUMBER(SEARCH($A19,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ISNUMBER(SEARCH($A19, INDEX(AsistenciaJetAdminConcatenada!$D:$D, MATCH(1, (AsistenciaJetAdminConcatenada!$A:$A=BJ$2)*(AsistenciaJetAdminConcatenada!$B:$B=BJ$1), 0)), 1))),  0.5, 0))</f>
        <v>0</v>
      </c>
      <c r="BK19" s="47">
        <f t="array" ref="BK19">IF(AND(ISNUMBER(MATCH(BK$2, AsistenciaJetAdminConcatenada!$A:$A, 0)), ISNUMBER(MATCH(BK$1, AsistenciaJetAdminConcatenada!$B:$B, 0)), ISNUMBER(SEARCH($A19,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ISNUMBER(SEARCH($A19, INDEX(AsistenciaJetAdminConcatenada!$D:$D, MATCH(1, (AsistenciaJetAdminConcatenada!$A:$A=BK$2)*(AsistenciaJetAdminConcatenada!$B:$B=BK$1), 0)), 1))),  0.5, 0))</f>
        <v>1</v>
      </c>
      <c r="BL19" s="47">
        <f t="array" ref="BL19">IF(AND(ISNUMBER(MATCH(BL$2, AsistenciaJetAdminConcatenada!$A:$A, 0)), ISNUMBER(MATCH(BL$1, AsistenciaJetAdminConcatenada!$B:$B, 0)), ISNUMBER(SEARCH($A19,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ISNUMBER(SEARCH($A19, INDEX(AsistenciaJetAdminConcatenada!$D:$D, MATCH(1, (AsistenciaJetAdminConcatenada!$A:$A=BL$2)*(AsistenciaJetAdminConcatenada!$B:$B=BL$1), 0)), 1))),  0.5, 0))</f>
        <v>1</v>
      </c>
      <c r="BM19" s="47">
        <f t="array" ref="BM19">IF(AND(ISNUMBER(MATCH(BM$2, AsistenciaJetAdminConcatenada!$A:$A, 0)), ISNUMBER(MATCH(BM$1, AsistenciaJetAdminConcatenada!$B:$B, 0)), ISNUMBER(SEARCH($A19,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ISNUMBER(SEARCH($A19, INDEX(AsistenciaJetAdminConcatenada!$D:$D, MATCH(1, (AsistenciaJetAdminConcatenada!$A:$A=BM$2)*(AsistenciaJetAdminConcatenada!$B:$B=BM$1), 0)), 1))),  0.5, 0))</f>
        <v>1</v>
      </c>
      <c r="BN19" s="47">
        <f t="array" ref="BN19">IF(AND(ISNUMBER(MATCH(BN$2, AsistenciaJetAdminConcatenada!$A:$A, 0)), ISNUMBER(MATCH(BN$1, AsistenciaJetAdminConcatenada!$B:$B, 0)), ISNUMBER(SEARCH($A19,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ISNUMBER(SEARCH($A19, INDEX(AsistenciaJetAdminConcatenada!$D:$D, MATCH(1, (AsistenciaJetAdminConcatenada!$A:$A=BN$2)*(AsistenciaJetAdminConcatenada!$B:$B=BN$1), 0)), 1))),  0.5, 0))</f>
        <v>1</v>
      </c>
      <c r="BO19" s="47">
        <f t="array" ref="BO19">IF(AND(ISNUMBER(MATCH(BO$2, AsistenciaJetAdminConcatenada!$A:$A, 0)), ISNUMBER(MATCH(BO$1, AsistenciaJetAdminConcatenada!$B:$B, 0)), ISNUMBER(SEARCH($A19,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ISNUMBER(SEARCH($A19, INDEX(AsistenciaJetAdminConcatenada!$D:$D, MATCH(1, (AsistenciaJetAdminConcatenada!$A:$A=BO$2)*(AsistenciaJetAdminConcatenada!$B:$B=BO$1), 0)), 1))),  0.5, 0))</f>
        <v>1</v>
      </c>
      <c r="BP19" s="47">
        <f t="array" ref="BP19">IF(AND(ISNUMBER(MATCH(BP$2, AsistenciaJetAdminConcatenada!$A:$A, 0)), ISNUMBER(MATCH(BP$1, AsistenciaJetAdminConcatenada!$B:$B, 0)), ISNUMBER(SEARCH($A19,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ISNUMBER(SEARCH($A19, INDEX(AsistenciaJetAdminConcatenada!$D:$D, MATCH(1, (AsistenciaJetAdminConcatenada!$A:$A=BP$2)*(AsistenciaJetAdminConcatenada!$B:$B=BP$1), 0)), 1))),  0.5, 0))</f>
        <v>1</v>
      </c>
      <c r="BQ19" s="47">
        <f t="array" ref="BQ19">IF(AND(ISNUMBER(MATCH(BQ$2, AsistenciaJetAdminConcatenada!$A:$A, 0)), ISNUMBER(MATCH(BQ$1, AsistenciaJetAdminConcatenada!$B:$B, 0)), ISNUMBER(SEARCH($A19,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ISNUMBER(SEARCH($A19, INDEX(AsistenciaJetAdminConcatenada!$D:$D, MATCH(1, (AsistenciaJetAdminConcatenada!$A:$A=BQ$2)*(AsistenciaJetAdminConcatenada!$B:$B=BQ$1), 0)), 1))),  0.5, 0))</f>
        <v>0</v>
      </c>
      <c r="BR19" s="47">
        <f t="array" ref="BR19">IF(AND(ISNUMBER(MATCH(BR$2, AsistenciaJetAdminConcatenada!$A:$A, 0)), ISNUMBER(MATCH(BR$1, AsistenciaJetAdminConcatenada!$B:$B, 0)), ISNUMBER(SEARCH($A19,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ISNUMBER(SEARCH($A19, INDEX(AsistenciaJetAdminConcatenada!$D:$D, MATCH(1, (AsistenciaJetAdminConcatenada!$A:$A=BR$2)*(AsistenciaJetAdminConcatenada!$B:$B=BR$1), 0)), 1))),  0.5, 0))</f>
        <v>0</v>
      </c>
      <c r="BS19" s="47">
        <f t="array" ref="BS19">IF(AND(ISNUMBER(MATCH(BS$2, AsistenciaJetAdminConcatenada!$A:$A, 0)), ISNUMBER(MATCH(BS$1, AsistenciaJetAdminConcatenada!$B:$B, 0)), ISNUMBER(SEARCH($A19,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ISNUMBER(SEARCH($A19, INDEX(AsistenciaJetAdminConcatenada!$D:$D, MATCH(1, (AsistenciaJetAdminConcatenada!$A:$A=BS$2)*(AsistenciaJetAdminConcatenada!$B:$B=BS$1), 0)), 1))),  0.5, 0))</f>
        <v>1</v>
      </c>
      <c r="BT19" s="47">
        <f t="array" ref="BT19">IF(AND(ISNUMBER(MATCH(BT$2, AsistenciaJetAdminConcatenada!$A:$A, 0)), ISNUMBER(MATCH(BT$1, AsistenciaJetAdminConcatenada!$B:$B, 0)), ISNUMBER(SEARCH($A19,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ISNUMBER(SEARCH($A19, INDEX(AsistenciaJetAdminConcatenada!$D:$D, MATCH(1, (AsistenciaJetAdminConcatenada!$A:$A=BT$2)*(AsistenciaJetAdminConcatenada!$B:$B=BT$1), 0)), 1))),  0.5, 0))</f>
        <v>1</v>
      </c>
      <c r="BU19" s="47">
        <f t="array" ref="BU19">IF(AND(ISNUMBER(MATCH(BU$2, AsistenciaJetAdminConcatenada!$A:$A, 0)), ISNUMBER(MATCH(BU$1, AsistenciaJetAdminConcatenada!$B:$B, 0)), ISNUMBER(SEARCH($A19,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ISNUMBER(SEARCH($A19, INDEX(AsistenciaJetAdminConcatenada!$D:$D, MATCH(1, (AsistenciaJetAdminConcatenada!$A:$A=BU$2)*(AsistenciaJetAdminConcatenada!$B:$B=BU$1), 0)), 1))),  0.5, 0))</f>
        <v>1</v>
      </c>
      <c r="BV19" s="47">
        <f t="array" ref="BV19">IF(AND(ISNUMBER(MATCH(BV$2, AsistenciaJetAdminConcatenada!$A:$A, 0)), ISNUMBER(MATCH(BV$1, AsistenciaJetAdminConcatenada!$B:$B, 0)), ISNUMBER(SEARCH($A19,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ISNUMBER(SEARCH($A19, INDEX(AsistenciaJetAdminConcatenada!$D:$D, MATCH(1, (AsistenciaJetAdminConcatenada!$A:$A=BV$2)*(AsistenciaJetAdminConcatenada!$B:$B=BV$1), 0)), 1))),  0.5, 0))</f>
        <v>1</v>
      </c>
      <c r="BW19" s="47">
        <f t="array" ref="BW19">IF(AND(ISNUMBER(MATCH(BW$2, AsistenciaJetAdminConcatenada!$A:$A, 0)), ISNUMBER(MATCH(BW$1, AsistenciaJetAdminConcatenada!$B:$B, 0)), ISNUMBER(SEARCH($A19,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ISNUMBER(SEARCH($A19, INDEX(AsistenciaJetAdminConcatenada!$D:$D, MATCH(1, (AsistenciaJetAdminConcatenada!$A:$A=BW$2)*(AsistenciaJetAdminConcatenada!$B:$B=BW$1), 0)), 1))),  0.5, 0))</f>
        <v>1</v>
      </c>
      <c r="BX19" s="47">
        <f t="array" ref="BX19">IF(AND(ISNUMBER(MATCH(BX$2, AsistenciaJetAdminConcatenada!$A:$A, 0)), ISNUMBER(MATCH(BX$1, AsistenciaJetAdminConcatenada!$B:$B, 0)), ISNUMBER(SEARCH($A19,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ISNUMBER(SEARCH($A19, INDEX(AsistenciaJetAdminConcatenada!$D:$D, MATCH(1, (AsistenciaJetAdminConcatenada!$A:$A=BX$2)*(AsistenciaJetAdminConcatenada!$B:$B=BX$1), 0)), 1))),  0.5, 0))</f>
        <v>0</v>
      </c>
      <c r="BY19" s="47">
        <f t="array" ref="BY19">IF(AND(ISNUMBER(MATCH(BY$2, AsistenciaJetAdminConcatenada!$A:$A, 0)), ISNUMBER(MATCH(BY$1, AsistenciaJetAdminConcatenada!$B:$B, 0)), ISNUMBER(SEARCH($A19,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ISNUMBER(SEARCH($A19, INDEX(AsistenciaJetAdminConcatenada!$D:$D, MATCH(1, (AsistenciaJetAdminConcatenada!$A:$A=BY$2)*(AsistenciaJetAdminConcatenada!$B:$B=BY$1), 0)), 1))),  0.5, 0))</f>
        <v>1</v>
      </c>
      <c r="BZ19" s="47">
        <f t="array" ref="BZ19">IF(AND(ISNUMBER(MATCH(BZ$2, AsistenciaJetAdminConcatenada!$A:$A, 0)), ISNUMBER(MATCH(BZ$1, AsistenciaJetAdminConcatenada!$B:$B, 0)), ISNUMBER(SEARCH($A19,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ISNUMBER(SEARCH($A19, INDEX(AsistenciaJetAdminConcatenada!$D:$D, MATCH(1, (AsistenciaJetAdminConcatenada!$A:$A=BZ$2)*(AsistenciaJetAdminConcatenada!$B:$B=BZ$1), 0)), 1))),  0.5, 0))</f>
        <v>0</v>
      </c>
      <c r="CA19" s="47">
        <f t="array" ref="CA19">IF(AND(ISNUMBER(MATCH(CA$2, AsistenciaJetAdminConcatenada!$A:$A, 0)), ISNUMBER(MATCH(CA$1, AsistenciaJetAdminConcatenada!$B:$B, 0)), ISNUMBER(SEARCH($A19,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ISNUMBER(SEARCH($A19, INDEX(AsistenciaJetAdminConcatenada!$D:$D, MATCH(1, (AsistenciaJetAdminConcatenada!$A:$A=CA$2)*(AsistenciaJetAdminConcatenada!$B:$B=CA$1), 0)), 1))),  0.5, 0))</f>
        <v>1</v>
      </c>
      <c r="CB19" s="47">
        <f t="array" ref="CB19">IF(AND(ISNUMBER(MATCH(CB$2, AsistenciaJetAdminConcatenada!$A:$A, 0)), ISNUMBER(MATCH(CB$1, AsistenciaJetAdminConcatenada!$B:$B, 0)), ISNUMBER(SEARCH($A19,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ISNUMBER(SEARCH($A19, INDEX(AsistenciaJetAdminConcatenada!$D:$D, MATCH(1, (AsistenciaJetAdminConcatenada!$A:$A=CB$2)*(AsistenciaJetAdminConcatenada!$B:$B=CB$1), 0)), 1))),  0.5, 0))</f>
        <v>0</v>
      </c>
      <c r="CC19" s="47">
        <f t="array" ref="CC19">IF(AND(ISNUMBER(MATCH(CC$2, AsistenciaJetAdminConcatenada!$A:$A, 0)), ISNUMBER(MATCH(CC$1, AsistenciaJetAdminConcatenada!$B:$B, 0)), ISNUMBER(SEARCH($A19,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ISNUMBER(SEARCH($A19, INDEX(AsistenciaJetAdminConcatenada!$D:$D, MATCH(1, (AsistenciaJetAdminConcatenada!$A:$A=CC$2)*(AsistenciaJetAdminConcatenada!$B:$B=CC$1), 0)), 1))),  0.5, 0))</f>
        <v>1</v>
      </c>
      <c r="CD19" s="47">
        <f t="array" ref="CD19">IF(AND(ISNUMBER(MATCH(CD$2, AsistenciaJetAdminConcatenada!$A:$A, 0)), ISNUMBER(MATCH(CD$1, AsistenciaJetAdminConcatenada!$B:$B, 0)), ISNUMBER(SEARCH($A19,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ISNUMBER(SEARCH($A19, INDEX(AsistenciaJetAdminConcatenada!$D:$D, MATCH(1, (AsistenciaJetAdminConcatenada!$A:$A=CD$2)*(AsistenciaJetAdminConcatenada!$B:$B=CD$1), 0)), 1))),  0.5, 0))</f>
        <v>1</v>
      </c>
      <c r="CE19" s="47">
        <f t="array" ref="CE19">IF(AND(ISNUMBER(MATCH(CE$2, AsistenciaJetAdminConcatenada!$A:$A, 0)), ISNUMBER(MATCH(CE$1, AsistenciaJetAdminConcatenada!$B:$B, 0)), ISNUMBER(SEARCH($A19,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ISNUMBER(SEARCH($A19, INDEX(AsistenciaJetAdminConcatenada!$D:$D, MATCH(1, (AsistenciaJetAdminConcatenada!$A:$A=CE$2)*(AsistenciaJetAdminConcatenada!$B:$B=CE$1), 0)), 1))),  0.5, 0))</f>
        <v>1</v>
      </c>
      <c r="CF19" s="47">
        <f t="array" ref="CF19">IF(AND(ISNUMBER(MATCH(CF$2, AsistenciaJetAdminConcatenada!$A:$A, 0)), ISNUMBER(MATCH(CF$1, AsistenciaJetAdminConcatenada!$B:$B, 0)), ISNUMBER(SEARCH($A19,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ISNUMBER(SEARCH($A19, INDEX(AsistenciaJetAdminConcatenada!$D:$D, MATCH(1, (AsistenciaJetAdminConcatenada!$A:$A=CF$2)*(AsistenciaJetAdminConcatenada!$B:$B=CF$1), 0)), 1))),  0.5, 0))</f>
        <v>0</v>
      </c>
      <c r="CG19" s="47">
        <f t="array" ref="CG19">IF(AND(ISNUMBER(MATCH(CG$2, AsistenciaJetAdminConcatenada!$A:$A, 0)), ISNUMBER(MATCH(CG$1, AsistenciaJetAdminConcatenada!$B:$B, 0)), ISNUMBER(SEARCH($A19,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ISNUMBER(SEARCH($A19, INDEX(AsistenciaJetAdminConcatenada!$D:$D, MATCH(1, (AsistenciaJetAdminConcatenada!$A:$A=CG$2)*(AsistenciaJetAdminConcatenada!$B:$B=CG$1), 0)), 1))),  0.5, 0))</f>
        <v>0.5</v>
      </c>
      <c r="CH19" s="47">
        <f t="array" ref="CH19">IF(AND(ISNUMBER(MATCH(CH$2, AsistenciaJetAdminConcatenada!$A:$A, 0)), ISNUMBER(MATCH(CH$1, AsistenciaJetAdminConcatenada!$B:$B, 0)), ISNUMBER(SEARCH($A19,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ISNUMBER(SEARCH($A19, INDEX(AsistenciaJetAdminConcatenada!$D:$D, MATCH(1, (AsistenciaJetAdminConcatenada!$A:$A=CH$2)*(AsistenciaJetAdminConcatenada!$B:$B=CH$1), 0)), 1))),  0.5, 0))</f>
        <v>1</v>
      </c>
      <c r="CI19" s="47">
        <f t="array" ref="CI19">IF(AND(ISNUMBER(MATCH(CI$2, AsistenciaJetAdminConcatenada!$A:$A, 0)), ISNUMBER(MATCH(CI$1, AsistenciaJetAdminConcatenada!$B:$B, 0)), ISNUMBER(SEARCH($A19,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ISNUMBER(SEARCH($A19, INDEX(AsistenciaJetAdminConcatenada!$D:$D, MATCH(1, (AsistenciaJetAdminConcatenada!$A:$A=CI$2)*(AsistenciaJetAdminConcatenada!$B:$B=CI$1), 0)), 1))),  0.5, 0))</f>
        <v>1</v>
      </c>
      <c r="CJ19" s="47">
        <f t="array" ref="CJ19">IF(AND(ISNUMBER(MATCH(CJ$2, AsistenciaJetAdminConcatenada!$A:$A, 0)), ISNUMBER(MATCH(CJ$1, AsistenciaJetAdminConcatenada!$B:$B, 0)), ISNUMBER(SEARCH($A19,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ISNUMBER(SEARCH($A19, INDEX(AsistenciaJetAdminConcatenada!$D:$D, MATCH(1, (AsistenciaJetAdminConcatenada!$A:$A=CJ$2)*(AsistenciaJetAdminConcatenada!$B:$B=CJ$1), 0)), 1))),  0.5, 0))</f>
        <v>1</v>
      </c>
      <c r="CK19" s="47">
        <f t="array" ref="CK19">IF(AND(ISNUMBER(MATCH(CK$2, AsistenciaJetAdminConcatenada!$A:$A, 0)), ISNUMBER(MATCH(CK$1, AsistenciaJetAdminConcatenada!$B:$B, 0)), ISNUMBER(SEARCH($A19,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ISNUMBER(SEARCH($A19, INDEX(AsistenciaJetAdminConcatenada!$D:$D, MATCH(1, (AsistenciaJetAdminConcatenada!$A:$A=CK$2)*(AsistenciaJetAdminConcatenada!$B:$B=CK$1), 0)), 1))),  0.5, 0))</f>
        <v>1</v>
      </c>
      <c r="CL19" s="47">
        <f t="array" ref="CL19">IF(AND(ISNUMBER(MATCH(CL$2, AsistenciaJetAdminConcatenada!$A:$A, 0)), ISNUMBER(MATCH(CL$1, AsistenciaJetAdminConcatenada!$B:$B, 0)), ISNUMBER(SEARCH($A19,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ISNUMBER(SEARCH($A19, INDEX(AsistenciaJetAdminConcatenada!$D:$D, MATCH(1, (AsistenciaJetAdminConcatenada!$A:$A=CL$2)*(AsistenciaJetAdminConcatenada!$B:$B=CL$1), 0)), 1))),  0.5, 0))</f>
        <v>1</v>
      </c>
      <c r="CM19" s="47">
        <f t="array" ref="CM19">IF(AND(ISNUMBER(MATCH(CM$2, AsistenciaJetAdminConcatenada!$A:$A, 0)), ISNUMBER(MATCH(CM$1, AsistenciaJetAdminConcatenada!$B:$B, 0)), ISNUMBER(SEARCH($A19,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ISNUMBER(SEARCH($A19, INDEX(AsistenciaJetAdminConcatenada!$D:$D, MATCH(1, (AsistenciaJetAdminConcatenada!$A:$A=CM$2)*(AsistenciaJetAdminConcatenada!$B:$B=CM$1), 0)), 1))),  0.5, 0))</f>
        <v>1</v>
      </c>
      <c r="CN19" s="47">
        <f t="array" ref="CN19">IF(AND(ISNUMBER(MATCH(CN$2, AsistenciaJetAdminConcatenada!$A:$A, 0)), ISNUMBER(MATCH(CN$1, AsistenciaJetAdminConcatenada!$B:$B, 0)), ISNUMBER(SEARCH($A19,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ISNUMBER(SEARCH($A19, INDEX(AsistenciaJetAdminConcatenada!$D:$D, MATCH(1, (AsistenciaJetAdminConcatenada!$A:$A=CN$2)*(AsistenciaJetAdminConcatenada!$B:$B=CN$1), 0)), 1))),  0.5, 0))</f>
        <v>1</v>
      </c>
      <c r="CO19" s="47">
        <f t="array" ref="CO19">IF(AND(ISNUMBER(MATCH(CO$2, AsistenciaJetAdminConcatenada!$A:$A, 0)), ISNUMBER(MATCH(CO$1, AsistenciaJetAdminConcatenada!$B:$B, 0)), ISNUMBER(SEARCH($A19,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ISNUMBER(SEARCH($A19, INDEX(AsistenciaJetAdminConcatenada!$D:$D, MATCH(1, (AsistenciaJetAdminConcatenada!$A:$A=CO$2)*(AsistenciaJetAdminConcatenada!$B:$B=CO$1), 0)), 1))),  0.5, 0))</f>
        <v>1</v>
      </c>
      <c r="CP19" s="47">
        <f t="array" ref="CP19">IF(AND(ISNUMBER(MATCH(CP$2, AsistenciaJetAdminConcatenada!$A:$A, 0)), ISNUMBER(MATCH(CP$1, AsistenciaJetAdminConcatenada!$B:$B, 0)), ISNUMBER(SEARCH($A19,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ISNUMBER(SEARCH($A19, INDEX(AsistenciaJetAdminConcatenada!$D:$D, MATCH(1, (AsistenciaJetAdminConcatenada!$A:$A=CP$2)*(AsistenciaJetAdminConcatenada!$B:$B=CP$1), 0)), 1))),  0.5, 0))</f>
        <v>0.5</v>
      </c>
      <c r="CQ19" s="47">
        <f t="array" ref="CQ19">IF(AND(ISNUMBER(MATCH(CQ$2, AsistenciaJetAdminConcatenada!$A:$A, 0)), ISNUMBER(MATCH(CQ$1, AsistenciaJetAdminConcatenada!$B:$B, 0)), ISNUMBER(SEARCH($A19,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ISNUMBER(SEARCH($A19, INDEX(AsistenciaJetAdminConcatenada!$D:$D, MATCH(1, (AsistenciaJetAdminConcatenada!$A:$A=CQ$2)*(AsistenciaJetAdminConcatenada!$B:$B=CQ$1), 0)), 1))),  0.5, 0))</f>
        <v>1</v>
      </c>
      <c r="CR19" s="47">
        <f t="array" ref="CR19">IF(AND(ISNUMBER(MATCH(CR$2, AsistenciaJetAdminConcatenada!$A:$A, 0)), ISNUMBER(MATCH(CR$1, AsistenciaJetAdminConcatenada!$B:$B, 0)), ISNUMBER(SEARCH($A19,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ISNUMBER(SEARCH($A19, INDEX(AsistenciaJetAdminConcatenada!$D:$D, MATCH(1, (AsistenciaJetAdminConcatenada!$A:$A=CR$2)*(AsistenciaJetAdminConcatenada!$B:$B=CR$1), 0)), 1))),  0.5, 0))</f>
        <v>1</v>
      </c>
      <c r="CS19" s="47">
        <f t="array" ref="CS19">IF(AND(ISNUMBER(MATCH(CS$2, AsistenciaJetAdminConcatenada!$A:$A, 0)), ISNUMBER(MATCH(CS$1, AsistenciaJetAdminConcatenada!$B:$B, 0)), ISNUMBER(SEARCH($A19,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ISNUMBER(SEARCH($A19, INDEX(AsistenciaJetAdminConcatenada!$D:$D, MATCH(1, (AsistenciaJetAdminConcatenada!$A:$A=CS$2)*(AsistenciaJetAdminConcatenada!$B:$B=CS$1), 0)), 1))),  0.5, 0))</f>
        <v>0</v>
      </c>
      <c r="CT19" s="47">
        <f t="array" ref="CT19">IF(AND(ISNUMBER(MATCH(CT$2, AsistenciaJetAdminConcatenada!$A:$A, 0)), ISNUMBER(MATCH(CT$1, AsistenciaJetAdminConcatenada!$B:$B, 0)), ISNUMBER(SEARCH($A19,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ISNUMBER(SEARCH($A19, INDEX(AsistenciaJetAdminConcatenada!$D:$D, MATCH(1, (AsistenciaJetAdminConcatenada!$A:$A=CT$2)*(AsistenciaJetAdminConcatenada!$B:$B=CT$1), 0)), 1))),  0.5, 0))</f>
        <v>0</v>
      </c>
      <c r="CU19" s="47">
        <f t="array" ref="CU19">IF(AND(ISNUMBER(MATCH(CU$2, AsistenciaJetAdminConcatenada!$A:$A, 0)), ISNUMBER(MATCH(CU$1, AsistenciaJetAdminConcatenada!$B:$B, 0)), ISNUMBER(SEARCH($A19,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ISNUMBER(SEARCH($A19, INDEX(AsistenciaJetAdminConcatenada!$D:$D, MATCH(1, (AsistenciaJetAdminConcatenada!$A:$A=CU$2)*(AsistenciaJetAdminConcatenada!$B:$B=CU$1), 0)), 1))),  0.5, 0))</f>
        <v>0</v>
      </c>
      <c r="CV19" s="47">
        <f t="array" ref="CV19">IF(AND(ISNUMBER(MATCH(CV$2, AsistenciaJetAdminConcatenada!$A:$A, 0)), ISNUMBER(MATCH(CV$1, AsistenciaJetAdminConcatenada!$B:$B, 0)), ISNUMBER(SEARCH($A19,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ISNUMBER(SEARCH($A19, INDEX(AsistenciaJetAdminConcatenada!$D:$D, MATCH(1, (AsistenciaJetAdminConcatenada!$A:$A=CV$2)*(AsistenciaJetAdminConcatenada!$B:$B=CV$1), 0)), 1))),  0.5, 0))</f>
        <v>0</v>
      </c>
      <c r="CW19" s="47">
        <f t="array" ref="CW19">IF(AND(ISNUMBER(MATCH(CW$2, AsistenciaJetAdminConcatenada!$A:$A, 0)), ISNUMBER(MATCH(CW$1, AsistenciaJetAdminConcatenada!$B:$B, 0)), ISNUMBER(SEARCH($A19,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ISNUMBER(SEARCH($A19, INDEX(AsistenciaJetAdminConcatenada!$D:$D, MATCH(1, (AsistenciaJetAdminConcatenada!$A:$A=CW$2)*(AsistenciaJetAdminConcatenada!$B:$B=CW$1), 0)), 1))),  0.5, 0))</f>
        <v>0</v>
      </c>
      <c r="CX19" s="47">
        <f t="array" ref="CX19">IF(AND(ISNUMBER(MATCH(CX$2, AsistenciaJetAdminConcatenada!$A:$A, 0)), ISNUMBER(MATCH(CX$1, AsistenciaJetAdminConcatenada!$B:$B, 0)), ISNUMBER(SEARCH($A19,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ISNUMBER(SEARCH($A19, INDEX(AsistenciaJetAdminConcatenada!$D:$D, MATCH(1, (AsistenciaJetAdminConcatenada!$A:$A=CX$2)*(AsistenciaJetAdminConcatenada!$B:$B=CX$1), 0)), 1))),  0.5, 0))</f>
        <v>0</v>
      </c>
      <c r="CY19" s="47">
        <f t="array" ref="CY19">IF(AND(ISNUMBER(MATCH(CY$2, AsistenciaJetAdminConcatenada!$A:$A, 0)), ISNUMBER(MATCH(CY$1, AsistenciaJetAdminConcatenada!$B:$B, 0)), ISNUMBER(SEARCH($A19,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ISNUMBER(SEARCH($A19, INDEX(AsistenciaJetAdminConcatenada!$D:$D, MATCH(1, (AsistenciaJetAdminConcatenada!$A:$A=CY$2)*(AsistenciaJetAdminConcatenada!$B:$B=CY$1), 0)), 1))),  0.5, 0))</f>
        <v>0</v>
      </c>
      <c r="CZ19" s="47">
        <f t="array" ref="CZ19">IF(AND(ISNUMBER(MATCH(CZ$2, AsistenciaJetAdminConcatenada!$A:$A, 0)), ISNUMBER(MATCH(CZ$1, AsistenciaJetAdminConcatenada!$B:$B, 0)), ISNUMBER(SEARCH($A19,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ISNUMBER(SEARCH($A19, INDEX(AsistenciaJetAdminConcatenada!$D:$D, MATCH(1, (AsistenciaJetAdminConcatenada!$A:$A=CZ$2)*(AsistenciaJetAdminConcatenada!$B:$B=CZ$1), 0)), 1))),  0.5, 0))</f>
        <v>0</v>
      </c>
      <c r="DA19" s="47">
        <f t="array" ref="DA19">IF(AND(ISNUMBER(MATCH(DA$2, AsistenciaJetAdminConcatenada!$A:$A, 0)), ISNUMBER(MATCH(DA$1, AsistenciaJetAdminConcatenada!$B:$B, 0)), ISNUMBER(SEARCH($A19,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ISNUMBER(SEARCH($A19, INDEX(AsistenciaJetAdminConcatenada!$D:$D, MATCH(1, (AsistenciaJetAdminConcatenada!$A:$A=DA$2)*(AsistenciaJetAdminConcatenada!$B:$B=DA$1), 0)), 1))),  0.5, 0))</f>
        <v>0</v>
      </c>
      <c r="DB19" s="47">
        <f t="array" ref="DB19">IF(AND(ISNUMBER(MATCH(DB$2, AsistenciaJetAdminConcatenada!$A:$A, 0)), ISNUMBER(MATCH(DB$1, AsistenciaJetAdminConcatenada!$B:$B, 0)), ISNUMBER(SEARCH($A19,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ISNUMBER(SEARCH($A19, INDEX(AsistenciaJetAdminConcatenada!$D:$D, MATCH(1, (AsistenciaJetAdminConcatenada!$A:$A=DB$2)*(AsistenciaJetAdminConcatenada!$B:$B=DB$1), 0)), 1))),  0.5, 0))</f>
        <v>0</v>
      </c>
      <c r="DC19" s="47">
        <f t="array" ref="DC19">IF(AND(ISNUMBER(MATCH(DC$2, AsistenciaJetAdminConcatenada!$A:$A, 0)), ISNUMBER(MATCH(DC$1, AsistenciaJetAdminConcatenada!$B:$B, 0)), ISNUMBER(SEARCH($A19,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ISNUMBER(SEARCH($A19, INDEX(AsistenciaJetAdminConcatenada!$D:$D, MATCH(1, (AsistenciaJetAdminConcatenada!$A:$A=DC$2)*(AsistenciaJetAdminConcatenada!$B:$B=DC$1), 0)), 1))),  0.5, 0))</f>
        <v>0</v>
      </c>
      <c r="DD19" s="47">
        <f t="array" ref="DD19">IF(AND(ISNUMBER(MATCH(DD$2, AsistenciaJetAdminConcatenada!$A:$A, 0)), ISNUMBER(MATCH(DD$1, AsistenciaJetAdminConcatenada!$B:$B, 0)), ISNUMBER(SEARCH($A19,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ISNUMBER(SEARCH($A19, INDEX(AsistenciaJetAdminConcatenada!$D:$D, MATCH(1, (AsistenciaJetAdminConcatenada!$A:$A=DD$2)*(AsistenciaJetAdminConcatenada!$B:$B=DD$1), 0)), 1))),  0.5, 0))</f>
        <v>0</v>
      </c>
      <c r="DE19" s="47">
        <f t="array" ref="DE19">IF(AND(ISNUMBER(MATCH(DE$2, AsistenciaJetAdminConcatenada!$A:$A, 0)), ISNUMBER(MATCH(DE$1, AsistenciaJetAdminConcatenada!$B:$B, 0)), ISNUMBER(SEARCH($A19,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ISNUMBER(SEARCH($A19, INDEX(AsistenciaJetAdminConcatenada!$D:$D, MATCH(1, (AsistenciaJetAdminConcatenada!$A:$A=DE$2)*(AsistenciaJetAdminConcatenada!$B:$B=DE$1), 0)), 1))),  0.5, 0))</f>
        <v>0</v>
      </c>
      <c r="DF19" s="47">
        <f t="array" ref="DF19">IF(AND(ISNUMBER(MATCH(DF$2, AsistenciaJetAdminConcatenada!$A:$A, 0)), ISNUMBER(MATCH(DF$1, AsistenciaJetAdminConcatenada!$B:$B, 0)), ISNUMBER(SEARCH($A19,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ISNUMBER(SEARCH($A19, INDEX(AsistenciaJetAdminConcatenada!$D:$D, MATCH(1, (AsistenciaJetAdminConcatenada!$A:$A=DF$2)*(AsistenciaJetAdminConcatenada!$B:$B=DF$1), 0)), 1))),  0.5, 0))</f>
        <v>0</v>
      </c>
      <c r="DG19" s="47">
        <f t="array" ref="DG19">IF(AND(ISNUMBER(MATCH(DG$2, AsistenciaJetAdminConcatenada!$A:$A, 0)), ISNUMBER(MATCH(DG$1, AsistenciaJetAdminConcatenada!$B:$B, 0)), ISNUMBER(SEARCH($A19,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ISNUMBER(SEARCH($A19, INDEX(AsistenciaJetAdminConcatenada!$D:$D, MATCH(1, (AsistenciaJetAdminConcatenada!$A:$A=DG$2)*(AsistenciaJetAdminConcatenada!$B:$B=DG$1), 0)), 1))),  0.5, 0))</f>
        <v>0</v>
      </c>
      <c r="DH19" s="47">
        <f t="array" ref="DH19">IF(AND(ISNUMBER(MATCH(DH$2, AsistenciaJetAdminConcatenada!$A:$A, 0)), ISNUMBER(MATCH(DH$1, AsistenciaJetAdminConcatenada!$B:$B, 0)), ISNUMBER(SEARCH($A19,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ISNUMBER(SEARCH($A19, INDEX(AsistenciaJetAdminConcatenada!$D:$D, MATCH(1, (AsistenciaJetAdminConcatenada!$A:$A=DH$2)*(AsistenciaJetAdminConcatenada!$B:$B=DH$1), 0)), 1))),  0.5, 0))</f>
        <v>0</v>
      </c>
      <c r="DI19" s="47">
        <f t="array" ref="DI19">IF(AND(ISNUMBER(MATCH(DI$2, AsistenciaJetAdminConcatenada!$A:$A, 0)), ISNUMBER(MATCH(DI$1, AsistenciaJetAdminConcatenada!$B:$B, 0)), ISNUMBER(SEARCH($A19,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ISNUMBER(SEARCH($A19, INDEX(AsistenciaJetAdminConcatenada!$D:$D, MATCH(1, (AsistenciaJetAdminConcatenada!$A:$A=DI$2)*(AsistenciaJetAdminConcatenada!$B:$B=DI$1), 0)), 1))),  0.5, 0))</f>
        <v>0</v>
      </c>
      <c r="DJ19" s="47">
        <f t="array" ref="DJ19">IF(AND(ISNUMBER(MATCH(DJ$2, AsistenciaJetAdminConcatenada!$A:$A, 0)), ISNUMBER(MATCH(DJ$1, AsistenciaJetAdminConcatenada!$B:$B, 0)), ISNUMBER(SEARCH($A19,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ISNUMBER(SEARCH($A19, INDEX(AsistenciaJetAdminConcatenada!$D:$D, MATCH(1, (AsistenciaJetAdminConcatenada!$A:$A=DJ$2)*(AsistenciaJetAdminConcatenada!$B:$B=DJ$1), 0)), 1))),  0.5, 0))</f>
        <v>0</v>
      </c>
      <c r="DK19" s="47">
        <f t="array" ref="DK19">IF(AND(ISNUMBER(MATCH(DK$2, AsistenciaJetAdminConcatenada!$A:$A, 0)), ISNUMBER(MATCH(DK$1, AsistenciaJetAdminConcatenada!$B:$B, 0)), ISNUMBER(SEARCH($A19,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ISNUMBER(SEARCH($A19, INDEX(AsistenciaJetAdminConcatenada!$D:$D, MATCH(1, (AsistenciaJetAdminConcatenada!$A:$A=DK$2)*(AsistenciaJetAdminConcatenada!$B:$B=DK$1), 0)), 1))),  0.5, 0))</f>
        <v>0</v>
      </c>
      <c r="DL19" s="47">
        <f t="array" ref="DL19">IF(AND(ISNUMBER(MATCH(DL$2, AsistenciaJetAdminConcatenada!$A:$A, 0)), ISNUMBER(MATCH(DL$1, AsistenciaJetAdminConcatenada!$B:$B, 0)), ISNUMBER(SEARCH($A19,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ISNUMBER(SEARCH($A19, INDEX(AsistenciaJetAdminConcatenada!$D:$D, MATCH(1, (AsistenciaJetAdminConcatenada!$A:$A=DL$2)*(AsistenciaJetAdminConcatenada!$B:$B=DL$1), 0)), 1))),  0.5, 0))</f>
        <v>0</v>
      </c>
      <c r="DM19" s="47">
        <f t="array" ref="DM19">IF(AND(ISNUMBER(MATCH(DM$2, AsistenciaJetAdminConcatenada!$A:$A, 0)), ISNUMBER(MATCH(DM$1, AsistenciaJetAdminConcatenada!$B:$B, 0)), ISNUMBER(SEARCH($A19,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ISNUMBER(SEARCH($A19, INDEX(AsistenciaJetAdminConcatenada!$D:$D, MATCH(1, (AsistenciaJetAdminConcatenada!$A:$A=DM$2)*(AsistenciaJetAdminConcatenada!$B:$B=DM$1), 0)), 1))),  0.5, 0))</f>
        <v>0</v>
      </c>
      <c r="DN19" s="47">
        <f t="array" ref="DN19">IF(AND(ISNUMBER(MATCH(DN$2, AsistenciaJetAdminConcatenada!$A:$A, 0)), ISNUMBER(MATCH(DN$1, AsistenciaJetAdminConcatenada!$B:$B, 0)), ISNUMBER(SEARCH($A19,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ISNUMBER(SEARCH($A19, INDEX(AsistenciaJetAdminConcatenada!$D:$D, MATCH(1, (AsistenciaJetAdminConcatenada!$A:$A=DN$2)*(AsistenciaJetAdminConcatenada!$B:$B=DN$1), 0)), 1))),  0.5, 0))</f>
        <v>0</v>
      </c>
      <c r="DO19" s="47">
        <f t="array" ref="DO19">IF(AND(ISNUMBER(MATCH(DO$2, AsistenciaJetAdminConcatenada!$A:$A, 0)), ISNUMBER(MATCH(DO$1, AsistenciaJetAdminConcatenada!$B:$B, 0)), ISNUMBER(SEARCH($A19,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ISNUMBER(SEARCH($A19, INDEX(AsistenciaJetAdminConcatenada!$D:$D, MATCH(1, (AsistenciaJetAdminConcatenada!$A:$A=DO$2)*(AsistenciaJetAdminConcatenada!$B:$B=DO$1), 0)), 1))),  0.5, 0))</f>
        <v>0</v>
      </c>
      <c r="DP19" s="47">
        <f t="array" ref="DP19">IF(AND(ISNUMBER(MATCH(DP$2, AsistenciaJetAdminConcatenada!$A:$A, 0)), ISNUMBER(MATCH(DP$1, AsistenciaJetAdminConcatenada!$B:$B, 0)), ISNUMBER(SEARCH($A19,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ISNUMBER(SEARCH($A19, INDEX(AsistenciaJetAdminConcatenada!$D:$D, MATCH(1, (AsistenciaJetAdminConcatenada!$A:$A=DP$2)*(AsistenciaJetAdminConcatenada!$B:$B=DP$1), 0)), 1))),  0.5, 0))</f>
        <v>0</v>
      </c>
      <c r="DQ19" s="47">
        <f t="array" ref="DQ19">IF(AND(ISNUMBER(MATCH(DQ$2, AsistenciaJetAdminConcatenada!$A:$A, 0)), ISNUMBER(MATCH(DQ$1, AsistenciaJetAdminConcatenada!$B:$B, 0)), ISNUMBER(SEARCH($A19,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ISNUMBER(SEARCH($A19, INDEX(AsistenciaJetAdminConcatenada!$D:$D, MATCH(1, (AsistenciaJetAdminConcatenada!$A:$A=DQ$2)*(AsistenciaJetAdminConcatenada!$B:$B=DQ$1), 0)), 1))),  0.5, 0))</f>
        <v>0</v>
      </c>
      <c r="DR19" s="47">
        <f t="array" ref="DR19">IF(AND(ISNUMBER(MATCH(DR$2, AsistenciaJetAdminConcatenada!$A:$A, 0)), ISNUMBER(MATCH(DR$1, AsistenciaJetAdminConcatenada!$B:$B, 0)), ISNUMBER(SEARCH($A19,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ISNUMBER(SEARCH($A19, INDEX(AsistenciaJetAdminConcatenada!$D:$D, MATCH(1, (AsistenciaJetAdminConcatenada!$A:$A=DR$2)*(AsistenciaJetAdminConcatenada!$B:$B=DR$1), 0)), 1))),  0.5, 0))</f>
        <v>0</v>
      </c>
      <c r="DS19" s="47">
        <f t="array" ref="DS19">IF(AND(ISNUMBER(MATCH(DS$2, AsistenciaJetAdminConcatenada!$A:$A, 0)), ISNUMBER(MATCH(DS$1, AsistenciaJetAdminConcatenada!$B:$B, 0)), ISNUMBER(SEARCH($A19,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ISNUMBER(SEARCH($A19, INDEX(AsistenciaJetAdminConcatenada!$D:$D, MATCH(1, (AsistenciaJetAdminConcatenada!$A:$A=DS$2)*(AsistenciaJetAdminConcatenada!$B:$B=DS$1), 0)), 1))),  0.5, 0))</f>
        <v>0</v>
      </c>
      <c r="DT19" s="47">
        <f t="array" ref="DT19">IF(AND(ISNUMBER(MATCH(DT$2, AsistenciaJetAdminConcatenada!$A:$A, 0)), ISNUMBER(MATCH(DT$1, AsistenciaJetAdminConcatenada!$B:$B, 0)), ISNUMBER(SEARCH($A19,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ISNUMBER(SEARCH($A19, INDEX(AsistenciaJetAdminConcatenada!$D:$D, MATCH(1, (AsistenciaJetAdminConcatenada!$A:$A=DT$2)*(AsistenciaJetAdminConcatenada!$B:$B=DT$1), 0)), 1))),  0.5, 0))</f>
        <v>0</v>
      </c>
      <c r="DU19" s="47">
        <f t="array" ref="DU19">IF(AND(ISNUMBER(MATCH(DU$2, AsistenciaJetAdminConcatenada!$A:$A, 0)), ISNUMBER(MATCH(DU$1, AsistenciaJetAdminConcatenada!$B:$B, 0)), ISNUMBER(SEARCH($A19,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ISNUMBER(SEARCH($A19, INDEX(AsistenciaJetAdminConcatenada!$D:$D, MATCH(1, (AsistenciaJetAdminConcatenada!$A:$A=DU$2)*(AsistenciaJetAdminConcatenada!$B:$B=DU$1), 0)), 1))),  0.5, 0))</f>
        <v>0</v>
      </c>
      <c r="DV19" s="47">
        <f t="array" ref="DV19">IF(AND(ISNUMBER(MATCH(DV$2, AsistenciaJetAdminConcatenada!$A:$A, 0)), ISNUMBER(MATCH(DV$1, AsistenciaJetAdminConcatenada!$B:$B, 0)), ISNUMBER(SEARCH($A19,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ISNUMBER(SEARCH($A19, INDEX(AsistenciaJetAdminConcatenada!$D:$D, MATCH(1, (AsistenciaJetAdminConcatenada!$A:$A=DV$2)*(AsistenciaJetAdminConcatenada!$B:$B=DV$1), 0)), 1))),  0.5, 0))</f>
        <v>0</v>
      </c>
      <c r="DW19" s="47">
        <f t="array" ref="DW19">IF(AND(ISNUMBER(MATCH(DW$2, AsistenciaJetAdminConcatenada!$A:$A, 0)), ISNUMBER(MATCH(DW$1, AsistenciaJetAdminConcatenada!$B:$B, 0)), ISNUMBER(SEARCH($A19,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ISNUMBER(SEARCH($A19, INDEX(AsistenciaJetAdminConcatenada!$D:$D, MATCH(1, (AsistenciaJetAdminConcatenada!$A:$A=DW$2)*(AsistenciaJetAdminConcatenada!$B:$B=DW$1), 0)), 1))),  0.5, 0))</f>
        <v>0</v>
      </c>
      <c r="DX19" s="47">
        <f t="array" ref="DX19">IF(AND(ISNUMBER(MATCH(DX$2, AsistenciaJetAdminConcatenada!$A:$A, 0)), ISNUMBER(MATCH(DX$1, AsistenciaJetAdminConcatenada!$B:$B, 0)), ISNUMBER(SEARCH($A19,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ISNUMBER(SEARCH($A19, INDEX(AsistenciaJetAdminConcatenada!$D:$D, MATCH(1, (AsistenciaJetAdminConcatenada!$A:$A=DX$2)*(AsistenciaJetAdminConcatenada!$B:$B=DX$1), 0)), 1))),  0.5, 0))</f>
        <v>0</v>
      </c>
      <c r="DY19" s="47">
        <f t="array" ref="DY19">IF(AND(ISNUMBER(MATCH(DY$2, AsistenciaJetAdminConcatenada!$A:$A, 0)), ISNUMBER(MATCH(DY$1, AsistenciaJetAdminConcatenada!$B:$B, 0)), ISNUMBER(SEARCH($A19,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ISNUMBER(SEARCH($A19, INDEX(AsistenciaJetAdminConcatenada!$D:$D, MATCH(1, (AsistenciaJetAdminConcatenada!$A:$A=DY$2)*(AsistenciaJetAdminConcatenada!$B:$B=DY$1), 0)), 1))),  0.5, 0))</f>
        <v>0</v>
      </c>
      <c r="DZ19" s="47">
        <f t="array" ref="DZ19">IF(AND(ISNUMBER(MATCH(DZ$2, AsistenciaJetAdminConcatenada!$A:$A, 0)), ISNUMBER(MATCH(DZ$1, AsistenciaJetAdminConcatenada!$B:$B, 0)), ISNUMBER(SEARCH($A19,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ISNUMBER(SEARCH($A19, INDEX(AsistenciaJetAdminConcatenada!$D:$D, MATCH(1, (AsistenciaJetAdminConcatenada!$A:$A=DZ$2)*(AsistenciaJetAdminConcatenada!$B:$B=DZ$1), 0)), 1))),  0.5, 0))</f>
        <v>0</v>
      </c>
      <c r="EA19" s="47">
        <f t="array" ref="EA19">IF(AND(ISNUMBER(MATCH(EA$2, AsistenciaJetAdminConcatenada!$A:$A, 0)), ISNUMBER(MATCH(EA$1, AsistenciaJetAdminConcatenada!$B:$B, 0)), ISNUMBER(SEARCH($A19,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ISNUMBER(SEARCH($A19, INDEX(AsistenciaJetAdminConcatenada!$D:$D, MATCH(1, (AsistenciaJetAdminConcatenada!$A:$A=EA$2)*(AsistenciaJetAdminConcatenada!$B:$B=EA$1), 0)), 1))),  0.5, 0))</f>
        <v>0</v>
      </c>
      <c r="EB19" s="47">
        <f t="array" ref="EB19">IF(AND(ISNUMBER(MATCH(EB$2, AsistenciaJetAdminConcatenada!$A:$A, 0)), ISNUMBER(MATCH(EB$1, AsistenciaJetAdminConcatenada!$B:$B, 0)), ISNUMBER(SEARCH($A19,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ISNUMBER(SEARCH($A19, INDEX(AsistenciaJetAdminConcatenada!$D:$D, MATCH(1, (AsistenciaJetAdminConcatenada!$A:$A=EB$2)*(AsistenciaJetAdminConcatenada!$B:$B=EB$1), 0)), 1))),  0.5, 0))</f>
        <v>0</v>
      </c>
      <c r="EC19" s="47">
        <f t="array" ref="EC19">IF(AND(ISNUMBER(MATCH(EC$2, AsistenciaJetAdminConcatenada!$A:$A, 0)), ISNUMBER(MATCH(EC$1, AsistenciaJetAdminConcatenada!$B:$B, 0)), ISNUMBER(SEARCH($A19,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ISNUMBER(SEARCH($A19, INDEX(AsistenciaJetAdminConcatenada!$D:$D, MATCH(1, (AsistenciaJetAdminConcatenada!$A:$A=EC$2)*(AsistenciaJetAdminConcatenada!$B:$B=EC$1), 0)), 1))),  0.5, 0))</f>
        <v>0</v>
      </c>
      <c r="ED19" s="47">
        <f t="array" ref="ED19">IF(AND(ISNUMBER(MATCH(ED$2, AsistenciaJetAdminConcatenada!$A:$A, 0)), ISNUMBER(MATCH(ED$1, AsistenciaJetAdminConcatenada!$B:$B, 0)), ISNUMBER(SEARCH($A19,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ISNUMBER(SEARCH($A19, INDEX(AsistenciaJetAdminConcatenada!$D:$D, MATCH(1, (AsistenciaJetAdminConcatenada!$A:$A=ED$2)*(AsistenciaJetAdminConcatenada!$B:$B=ED$1), 0)), 1))),  0.5, 0))</f>
        <v>0</v>
      </c>
      <c r="EE19" s="47">
        <f t="array" ref="EE19">IF(AND(ISNUMBER(MATCH(EE$2, AsistenciaJetAdminConcatenada!$A:$A, 0)), ISNUMBER(MATCH(EE$1, AsistenciaJetAdminConcatenada!$B:$B, 0)), ISNUMBER(SEARCH($A19,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ISNUMBER(SEARCH($A19, INDEX(AsistenciaJetAdminConcatenada!$D:$D, MATCH(1, (AsistenciaJetAdminConcatenada!$A:$A=EE$2)*(AsistenciaJetAdminConcatenada!$B:$B=EE$1), 0)), 1))),  0.5, 0))</f>
        <v>0</v>
      </c>
      <c r="EF19" s="47">
        <f t="array" ref="EF19">IF(AND(ISNUMBER(MATCH(EF$2, AsistenciaJetAdminConcatenada!$A:$A, 0)), ISNUMBER(MATCH(EF$1, AsistenciaJetAdminConcatenada!$B:$B, 0)), ISNUMBER(SEARCH($A19,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ISNUMBER(SEARCH($A19, INDEX(AsistenciaJetAdminConcatenada!$D:$D, MATCH(1, (AsistenciaJetAdminConcatenada!$A:$A=EF$2)*(AsistenciaJetAdminConcatenada!$B:$B=EF$1), 0)), 1))),  0.5, 0))</f>
        <v>0</v>
      </c>
      <c r="EG19" s="47">
        <f t="array" ref="EG19">IF(AND(ISNUMBER(MATCH(EG$2, AsistenciaJetAdminConcatenada!$A:$A, 0)), ISNUMBER(MATCH(EG$1, AsistenciaJetAdminConcatenada!$B:$B, 0)), ISNUMBER(SEARCH($A19,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ISNUMBER(SEARCH($A19, INDEX(AsistenciaJetAdminConcatenada!$D:$D, MATCH(1, (AsistenciaJetAdminConcatenada!$A:$A=EG$2)*(AsistenciaJetAdminConcatenada!$B:$B=EG$1), 0)), 1))),  0.5, 0))</f>
        <v>0</v>
      </c>
      <c r="EH19" s="47">
        <f t="array" ref="EH19">IF(AND(ISNUMBER(MATCH(EH$2, AsistenciaJetAdminConcatenada!$A:$A, 0)), ISNUMBER(MATCH(EH$1, AsistenciaJetAdminConcatenada!$B:$B, 0)), ISNUMBER(SEARCH($A19,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ISNUMBER(SEARCH($A19, INDEX(AsistenciaJetAdminConcatenada!$D:$D, MATCH(1, (AsistenciaJetAdminConcatenada!$A:$A=EH$2)*(AsistenciaJetAdminConcatenada!$B:$B=EH$1), 0)), 1))),  0.5, 0))</f>
        <v>0</v>
      </c>
      <c r="EI19" s="47">
        <f t="array" ref="EI19">IF(AND(ISNUMBER(MATCH(EI$2, AsistenciaJetAdminConcatenada!$A:$A, 0)), ISNUMBER(MATCH(EI$1, AsistenciaJetAdminConcatenada!$B:$B, 0)), ISNUMBER(SEARCH($A19,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ISNUMBER(SEARCH($A19, INDEX(AsistenciaJetAdminConcatenada!$D:$D, MATCH(1, (AsistenciaJetAdminConcatenada!$A:$A=EI$2)*(AsistenciaJetAdminConcatenada!$B:$B=EI$1), 0)), 1))),  0.5, 0))</f>
        <v>0</v>
      </c>
      <c r="EJ19" s="47">
        <f t="array" ref="EJ19">IF(AND(ISNUMBER(MATCH(EJ$2, AsistenciaJetAdminConcatenada!$A:$A, 0)), ISNUMBER(MATCH(EJ$1, AsistenciaJetAdminConcatenada!$B:$B, 0)), ISNUMBER(SEARCH($A19,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ISNUMBER(SEARCH($A19, INDEX(AsistenciaJetAdminConcatenada!$D:$D, MATCH(1, (AsistenciaJetAdminConcatenada!$A:$A=EJ$2)*(AsistenciaJetAdminConcatenada!$B:$B=EJ$1), 0)), 1))),  0.5, 0))</f>
        <v>0</v>
      </c>
      <c r="EK19" s="47">
        <f t="array" ref="EK19">IF(AND(ISNUMBER(MATCH(EK$2, AsistenciaJetAdminConcatenada!$A:$A, 0)), ISNUMBER(MATCH(EK$1, AsistenciaJetAdminConcatenada!$B:$B, 0)), ISNUMBER(SEARCH($A19,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ISNUMBER(SEARCH($A19, INDEX(AsistenciaJetAdminConcatenada!$D:$D, MATCH(1, (AsistenciaJetAdminConcatenada!$A:$A=EK$2)*(AsistenciaJetAdminConcatenada!$B:$B=EK$1), 0)), 1))),  0.5, 0))</f>
        <v>0</v>
      </c>
      <c r="EL19" s="47">
        <f t="array" ref="EL19">IF(AND(ISNUMBER(MATCH(EL$2, AsistenciaJetAdminConcatenada!$A:$A, 0)), ISNUMBER(MATCH(EL$1, AsistenciaJetAdminConcatenada!$B:$B, 0)), ISNUMBER(SEARCH($A19,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ISNUMBER(SEARCH($A19, INDEX(AsistenciaJetAdminConcatenada!$D:$D, MATCH(1, (AsistenciaJetAdminConcatenada!$A:$A=EL$2)*(AsistenciaJetAdminConcatenada!$B:$B=EL$1), 0)), 1))),  0.5, 0))</f>
        <v>0</v>
      </c>
      <c r="EM19" s="47">
        <f t="array" ref="EM19">IF(AND(ISNUMBER(MATCH(EM$2, AsistenciaJetAdminConcatenada!$A:$A, 0)), ISNUMBER(MATCH(EM$1, AsistenciaJetAdminConcatenada!$B:$B, 0)), ISNUMBER(SEARCH($A19,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ISNUMBER(SEARCH($A19, INDEX(AsistenciaJetAdminConcatenada!$D:$D, MATCH(1, (AsistenciaJetAdminConcatenada!$A:$A=EM$2)*(AsistenciaJetAdminConcatenada!$B:$B=EM$1), 0)), 1))),  0.5, 0))</f>
        <v>0</v>
      </c>
      <c r="EN19" s="47">
        <f t="array" ref="EN19">IF(AND(ISNUMBER(MATCH(EN$2, AsistenciaJetAdminConcatenada!$A:$A, 0)), ISNUMBER(MATCH(EN$1, AsistenciaJetAdminConcatenada!$B:$B, 0)), ISNUMBER(SEARCH($A19,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ISNUMBER(SEARCH($A19, INDEX(AsistenciaJetAdminConcatenada!$D:$D, MATCH(1, (AsistenciaJetAdminConcatenada!$A:$A=EN$2)*(AsistenciaJetAdminConcatenada!$B:$B=EN$1), 0)), 1))),  0.5, 0))</f>
        <v>0</v>
      </c>
      <c r="EO19" s="47">
        <f t="array" ref="EO19">IF(AND(ISNUMBER(MATCH(EO$2, AsistenciaJetAdminConcatenada!$A:$A, 0)), ISNUMBER(MATCH(EO$1, AsistenciaJetAdminConcatenada!$B:$B, 0)), ISNUMBER(SEARCH($A19,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ISNUMBER(SEARCH($A19, INDEX(AsistenciaJetAdminConcatenada!$D:$D, MATCH(1, (AsistenciaJetAdminConcatenada!$A:$A=EO$2)*(AsistenciaJetAdminConcatenada!$B:$B=EO$1), 0)), 1))),  0.5, 0))</f>
        <v>0</v>
      </c>
      <c r="EP19" s="47">
        <f t="array" ref="EP19">IF(AND(ISNUMBER(MATCH(EP$2, AsistenciaJetAdminConcatenada!$A:$A, 0)), ISNUMBER(MATCH(EP$1, AsistenciaJetAdminConcatenada!$B:$B, 0)), ISNUMBER(SEARCH($A19,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ISNUMBER(SEARCH($A19, INDEX(AsistenciaJetAdminConcatenada!$D:$D, MATCH(1, (AsistenciaJetAdminConcatenada!$A:$A=EP$2)*(AsistenciaJetAdminConcatenada!$B:$B=EP$1), 0)), 1))),  0.5, 0))</f>
        <v>0</v>
      </c>
      <c r="EQ19" s="47">
        <f t="array" ref="EQ19">IF(AND(ISNUMBER(MATCH(EQ$2, AsistenciaJetAdminConcatenada!$A:$A, 0)), ISNUMBER(MATCH(EQ$1, AsistenciaJetAdminConcatenada!$B:$B, 0)), ISNUMBER(SEARCH($A19,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ISNUMBER(SEARCH($A19, INDEX(AsistenciaJetAdminConcatenada!$D:$D, MATCH(1, (AsistenciaJetAdminConcatenada!$A:$A=EQ$2)*(AsistenciaJetAdminConcatenada!$B:$B=EQ$1), 0)), 1))),  0.5, 0))</f>
        <v>0</v>
      </c>
      <c r="ER19" s="47">
        <f t="array" ref="ER19">IF(AND(ISNUMBER(MATCH(ER$2, AsistenciaJetAdminConcatenada!$A:$A, 0)), ISNUMBER(MATCH(ER$1, AsistenciaJetAdminConcatenada!$B:$B, 0)), ISNUMBER(SEARCH($A19,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ISNUMBER(SEARCH($A19, INDEX(AsistenciaJetAdminConcatenada!$D:$D, MATCH(1, (AsistenciaJetAdminConcatenada!$A:$A=ER$2)*(AsistenciaJetAdminConcatenada!$B:$B=ER$1), 0)), 1))),  0.5, 0))</f>
        <v>0</v>
      </c>
      <c r="ES19" s="47">
        <f t="array" ref="ES19">IF(AND(ISNUMBER(MATCH(ES$2, AsistenciaJetAdminConcatenada!$A:$A, 0)), ISNUMBER(MATCH(ES$1, AsistenciaJetAdminConcatenada!$B:$B, 0)), ISNUMBER(SEARCH($A19,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ISNUMBER(SEARCH($A19, INDEX(AsistenciaJetAdminConcatenada!$D:$D, MATCH(1, (AsistenciaJetAdminConcatenada!$A:$A=ES$2)*(AsistenciaJetAdminConcatenada!$B:$B=ES$1), 0)), 1))),  0.5, 0))</f>
        <v>0</v>
      </c>
      <c r="ET19" s="47">
        <f t="array" ref="ET19">IF(AND(ISNUMBER(MATCH(ET$2, AsistenciaJetAdminConcatenada!$A:$A, 0)), ISNUMBER(MATCH(ET$1, AsistenciaJetAdminConcatenada!$B:$B, 0)), ISNUMBER(SEARCH($A19,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ISNUMBER(SEARCH($A19, INDEX(AsistenciaJetAdminConcatenada!$D:$D, MATCH(1, (AsistenciaJetAdminConcatenada!$A:$A=ET$2)*(AsistenciaJetAdminConcatenada!$B:$B=ET$1), 0)), 1))),  0.5, 0))</f>
        <v>0</v>
      </c>
      <c r="EU19" s="47">
        <f t="array" ref="EU19">IF(AND(ISNUMBER(MATCH(EU$2, AsistenciaJetAdminConcatenada!$A:$A, 0)), ISNUMBER(MATCH(EU$1, AsistenciaJetAdminConcatenada!$B:$B, 0)), ISNUMBER(SEARCH($A19,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ISNUMBER(SEARCH($A19, INDEX(AsistenciaJetAdminConcatenada!$D:$D, MATCH(1, (AsistenciaJetAdminConcatenada!$A:$A=EU$2)*(AsistenciaJetAdminConcatenada!$B:$B=EU$1), 0)), 1))),  0.5, 0))</f>
        <v>0</v>
      </c>
      <c r="EV19" s="47">
        <f t="array" ref="EV19">IF(AND(ISNUMBER(MATCH(EV$2, AsistenciaJetAdminConcatenada!$A:$A, 0)), ISNUMBER(MATCH(EV$1, AsistenciaJetAdminConcatenada!$B:$B, 0)), ISNUMBER(SEARCH($A19,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ISNUMBER(SEARCH($A19, INDEX(AsistenciaJetAdminConcatenada!$D:$D, MATCH(1, (AsistenciaJetAdminConcatenada!$A:$A=EV$2)*(AsistenciaJetAdminConcatenada!$B:$B=EV$1), 0)), 1))),  0.5, 0))</f>
        <v>0</v>
      </c>
      <c r="EW19" s="47">
        <f t="array" ref="EW19">IF(AND(ISNUMBER(MATCH(EW$2, AsistenciaJetAdminConcatenada!$A:$A, 0)), ISNUMBER(MATCH(EW$1, AsistenciaJetAdminConcatenada!$B:$B, 0)), ISNUMBER(SEARCH($A19,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ISNUMBER(SEARCH($A19, INDEX(AsistenciaJetAdminConcatenada!$D:$D, MATCH(1, (AsistenciaJetAdminConcatenada!$A:$A=EW$2)*(AsistenciaJetAdminConcatenada!$B:$B=EW$1), 0)), 1))),  0.5, 0))</f>
        <v>0</v>
      </c>
      <c r="EX19" s="47">
        <f t="array" ref="EX19">IF(AND(ISNUMBER(MATCH(EX$2, AsistenciaJetAdminConcatenada!$A:$A, 0)), ISNUMBER(MATCH(EX$1, AsistenciaJetAdminConcatenada!$B:$B, 0)), ISNUMBER(SEARCH($A19,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ISNUMBER(SEARCH($A19, INDEX(AsistenciaJetAdminConcatenada!$D:$D, MATCH(1, (AsistenciaJetAdminConcatenada!$A:$A=EX$2)*(AsistenciaJetAdminConcatenada!$B:$B=EX$1), 0)), 1))),  0.5, 0))</f>
        <v>0</v>
      </c>
      <c r="EY19" s="47">
        <f t="array" ref="EY19">IF(AND(ISNUMBER(MATCH(EY$2, AsistenciaJetAdminConcatenada!$A:$A, 0)), ISNUMBER(MATCH(EY$1, AsistenciaJetAdminConcatenada!$B:$B, 0)), ISNUMBER(SEARCH($A19,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ISNUMBER(SEARCH($A19, INDEX(AsistenciaJetAdminConcatenada!$D:$D, MATCH(1, (AsistenciaJetAdminConcatenada!$A:$A=EY$2)*(AsistenciaJetAdminConcatenada!$B:$B=EY$1), 0)), 1))),  0.5, 0))</f>
        <v>0</v>
      </c>
      <c r="EZ19" s="47">
        <f t="array" ref="EZ19">IF(AND(ISNUMBER(MATCH(EZ$2, AsistenciaJetAdminConcatenada!$A:$A, 0)), ISNUMBER(MATCH(EZ$1, AsistenciaJetAdminConcatenada!$B:$B, 0)), ISNUMBER(SEARCH($A19,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ISNUMBER(SEARCH($A19, INDEX(AsistenciaJetAdminConcatenada!$D:$D, MATCH(1, (AsistenciaJetAdminConcatenada!$A:$A=EZ$2)*(AsistenciaJetAdminConcatenada!$B:$B=EZ$1), 0)), 1))),  0.5, 0))</f>
        <v>0</v>
      </c>
      <c r="FA19" s="47">
        <f t="array" ref="FA19">IF(AND(ISNUMBER(MATCH(FA$2, AsistenciaJetAdminConcatenada!$A:$A, 0)), ISNUMBER(MATCH(FA$1, AsistenciaJetAdminConcatenada!$B:$B, 0)), ISNUMBER(SEARCH($A19,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ISNUMBER(SEARCH($A19, INDEX(AsistenciaJetAdminConcatenada!$D:$D, MATCH(1, (AsistenciaJetAdminConcatenada!$A:$A=FA$2)*(AsistenciaJetAdminConcatenada!$B:$B=FA$1), 0)), 1))),  0.5, 0))</f>
        <v>0</v>
      </c>
      <c r="FB19" s="47">
        <f t="array" ref="FB19">IF(AND(ISNUMBER(MATCH(FB$2, AsistenciaJetAdminConcatenada!$A:$A, 0)), ISNUMBER(MATCH(FB$1, AsistenciaJetAdminConcatenada!$B:$B, 0)), ISNUMBER(SEARCH($A19,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ISNUMBER(SEARCH($A19, INDEX(AsistenciaJetAdminConcatenada!$D:$D, MATCH(1, (AsistenciaJetAdminConcatenada!$A:$A=FB$2)*(AsistenciaJetAdminConcatenada!$B:$B=FB$1), 0)), 1))),  0.5, 0))</f>
        <v>0</v>
      </c>
      <c r="FC19" s="47">
        <f t="array" ref="FC19">IF(AND(ISNUMBER(MATCH(FC$2, AsistenciaJetAdminConcatenada!$A:$A, 0)), ISNUMBER(MATCH(FC$1, AsistenciaJetAdminConcatenada!$B:$B, 0)), ISNUMBER(SEARCH($A19,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ISNUMBER(SEARCH($A19, INDEX(AsistenciaJetAdminConcatenada!$D:$D, MATCH(1, (AsistenciaJetAdminConcatenada!$A:$A=FC$2)*(AsistenciaJetAdminConcatenada!$B:$B=FC$1), 0)), 1))),  0.5, 0))</f>
        <v>0</v>
      </c>
      <c r="FD19" s="47">
        <f t="array" ref="FD19">IF(AND(ISNUMBER(MATCH(FD$2, AsistenciaJetAdminConcatenada!$A:$A, 0)), ISNUMBER(MATCH(FD$1, AsistenciaJetAdminConcatenada!$B:$B, 0)), ISNUMBER(SEARCH($A19,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ISNUMBER(SEARCH($A19, INDEX(AsistenciaJetAdminConcatenada!$D:$D, MATCH(1, (AsistenciaJetAdminConcatenada!$A:$A=FD$2)*(AsistenciaJetAdminConcatenada!$B:$B=FD$1), 0)), 1))),  0.5, 0))</f>
        <v>0</v>
      </c>
      <c r="FE19" s="47">
        <f t="array" ref="FE19">IF(AND(ISNUMBER(MATCH(FE$2, AsistenciaJetAdminConcatenada!$A:$A, 0)), ISNUMBER(MATCH(FE$1, AsistenciaJetAdminConcatenada!$B:$B, 0)), ISNUMBER(SEARCH($A19,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ISNUMBER(SEARCH($A19, INDEX(AsistenciaJetAdminConcatenada!$D:$D, MATCH(1, (AsistenciaJetAdminConcatenada!$A:$A=FE$2)*(AsistenciaJetAdminConcatenada!$B:$B=FE$1), 0)), 1))),  0.5, 0))</f>
        <v>0</v>
      </c>
      <c r="FF19" s="47">
        <f t="array" ref="FF19">IF(AND(ISNUMBER(MATCH(FF$2, AsistenciaJetAdminConcatenada!$A:$A, 0)), ISNUMBER(MATCH(FF$1, AsistenciaJetAdminConcatenada!$B:$B, 0)), ISNUMBER(SEARCH($A19,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ISNUMBER(SEARCH($A19, INDEX(AsistenciaJetAdminConcatenada!$D:$D, MATCH(1, (AsistenciaJetAdminConcatenada!$A:$A=FF$2)*(AsistenciaJetAdminConcatenada!$B:$B=FF$1), 0)), 1))),  0.5, 0))</f>
        <v>0</v>
      </c>
      <c r="FG19" s="47">
        <f t="array" ref="FG19">IF(AND(ISNUMBER(MATCH(FG$2, AsistenciaJetAdminConcatenada!$A:$A, 0)), ISNUMBER(MATCH(FG$1, AsistenciaJetAdminConcatenada!$B:$B, 0)), ISNUMBER(SEARCH($A19,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ISNUMBER(SEARCH($A19, INDEX(AsistenciaJetAdminConcatenada!$D:$D, MATCH(1, (AsistenciaJetAdminConcatenada!$A:$A=FG$2)*(AsistenciaJetAdminConcatenada!$B:$B=FG$1), 0)), 1))),  0.5, 0))</f>
        <v>0</v>
      </c>
      <c r="FH19" s="47">
        <f t="array" ref="FH19">IF(AND(ISNUMBER(MATCH(FH$2, AsistenciaJetAdminConcatenada!$A:$A, 0)), ISNUMBER(MATCH(FH$1, AsistenciaJetAdminConcatenada!$B:$B, 0)), ISNUMBER(SEARCH($A19,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ISNUMBER(SEARCH($A19, INDEX(AsistenciaJetAdminConcatenada!$D:$D, MATCH(1, (AsistenciaJetAdminConcatenada!$A:$A=FH$2)*(AsistenciaJetAdminConcatenada!$B:$B=FH$1), 0)), 1))),  0.5, 0))</f>
        <v>0</v>
      </c>
      <c r="FI19" s="47">
        <f t="array" ref="FI19">IF(AND(ISNUMBER(MATCH(FI$2, AsistenciaJetAdminConcatenada!$A:$A, 0)), ISNUMBER(MATCH(FI$1, AsistenciaJetAdminConcatenada!$B:$B, 0)), ISNUMBER(SEARCH($A19,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ISNUMBER(SEARCH($A19, INDEX(AsistenciaJetAdminConcatenada!$D:$D, MATCH(1, (AsistenciaJetAdminConcatenada!$A:$A=FI$2)*(AsistenciaJetAdminConcatenada!$B:$B=FI$1), 0)), 1))),  0.5, 0))</f>
        <v>0</v>
      </c>
      <c r="FJ19" s="47">
        <f t="array" ref="FJ19">IF(AND(ISNUMBER(MATCH(FJ$2, AsistenciaJetAdminConcatenada!$A:$A, 0)), ISNUMBER(MATCH(FJ$1, AsistenciaJetAdminConcatenada!$B:$B, 0)), ISNUMBER(SEARCH($A19,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ISNUMBER(SEARCH($A19, INDEX(AsistenciaJetAdminConcatenada!$D:$D, MATCH(1, (AsistenciaJetAdminConcatenada!$A:$A=FJ$2)*(AsistenciaJetAdminConcatenada!$B:$B=FJ$1), 0)), 1))),  0.5, 0))</f>
        <v>0</v>
      </c>
      <c r="FK19" s="47">
        <f t="array" ref="FK19">IF(AND(ISNUMBER(MATCH(FK$2, AsistenciaJetAdminConcatenada!$A:$A, 0)), ISNUMBER(MATCH(FK$1, AsistenciaJetAdminConcatenada!$B:$B, 0)), ISNUMBER(SEARCH($A19,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ISNUMBER(SEARCH($A19, INDEX(AsistenciaJetAdminConcatenada!$D:$D, MATCH(1, (AsistenciaJetAdminConcatenada!$A:$A=FK$2)*(AsistenciaJetAdminConcatenada!$B:$B=FK$1), 0)), 1))),  0.5, 0))</f>
        <v>0</v>
      </c>
      <c r="FL19" s="47">
        <f t="array" ref="FL19">IF(AND(ISNUMBER(MATCH(FL$2, AsistenciaJetAdminConcatenada!$A:$A, 0)), ISNUMBER(MATCH(FL$1, AsistenciaJetAdminConcatenada!$B:$B, 0)), ISNUMBER(SEARCH($A19,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ISNUMBER(SEARCH($A19, INDEX(AsistenciaJetAdminConcatenada!$D:$D, MATCH(1, (AsistenciaJetAdminConcatenada!$A:$A=FL$2)*(AsistenciaJetAdminConcatenada!$B:$B=FL$1), 0)), 1))),  0.5, 0))</f>
        <v>0</v>
      </c>
      <c r="FM19" s="47">
        <f t="array" ref="FM19">IF(AND(ISNUMBER(MATCH(FM$2, AsistenciaJetAdminConcatenada!$A:$A, 0)), ISNUMBER(MATCH(FM$1, AsistenciaJetAdminConcatenada!$B:$B, 0)), ISNUMBER(SEARCH($A19,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ISNUMBER(SEARCH($A19, INDEX(AsistenciaJetAdminConcatenada!$D:$D, MATCH(1, (AsistenciaJetAdminConcatenada!$A:$A=FM$2)*(AsistenciaJetAdminConcatenada!$B:$B=FM$1), 0)), 1))),  0.5, 0))</f>
        <v>0</v>
      </c>
      <c r="FN19" s="47">
        <f t="array" ref="FN19">IF(AND(ISNUMBER(MATCH(FN$2, AsistenciaJetAdminConcatenada!$A:$A, 0)), ISNUMBER(MATCH(FN$1, AsistenciaJetAdminConcatenada!$B:$B, 0)), ISNUMBER(SEARCH($A19,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ISNUMBER(SEARCH($A19, INDEX(AsistenciaJetAdminConcatenada!$D:$D, MATCH(1, (AsistenciaJetAdminConcatenada!$A:$A=FN$2)*(AsistenciaJetAdminConcatenada!$B:$B=FN$1), 0)), 1))),  0.5, 0))</f>
        <v>0</v>
      </c>
      <c r="FO19" s="47">
        <f t="array" ref="FO19">IF(AND(ISNUMBER(MATCH(FO$2, AsistenciaJetAdminConcatenada!$A:$A, 0)), ISNUMBER(MATCH(FO$1, AsistenciaJetAdminConcatenada!$B:$B, 0)), ISNUMBER(SEARCH($A19,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ISNUMBER(SEARCH($A19, INDEX(AsistenciaJetAdminConcatenada!$D:$D, MATCH(1, (AsistenciaJetAdminConcatenada!$A:$A=FO$2)*(AsistenciaJetAdminConcatenada!$B:$B=FO$1), 0)), 1))),  0.5, 0))</f>
        <v>0</v>
      </c>
      <c r="FP19" s="47">
        <f t="array" ref="FP19">IF(AND(ISNUMBER(MATCH(FP$2, AsistenciaJetAdminConcatenada!$A:$A, 0)), ISNUMBER(MATCH(FP$1, AsistenciaJetAdminConcatenada!$B:$B, 0)), ISNUMBER(SEARCH($A19,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ISNUMBER(SEARCH($A19, INDEX(AsistenciaJetAdminConcatenada!$D:$D, MATCH(1, (AsistenciaJetAdminConcatenada!$A:$A=FP$2)*(AsistenciaJetAdminConcatenada!$B:$B=FP$1), 0)), 1))),  0.5, 0))</f>
        <v>0</v>
      </c>
      <c r="FQ19" s="47">
        <f t="array" ref="FQ19">IF(AND(ISNUMBER(MATCH(FQ$2, AsistenciaJetAdminConcatenada!$A:$A, 0)), ISNUMBER(MATCH(FQ$1, AsistenciaJetAdminConcatenada!$B:$B, 0)), ISNUMBER(SEARCH($A19,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ISNUMBER(SEARCH($A19, INDEX(AsistenciaJetAdminConcatenada!$D:$D, MATCH(1, (AsistenciaJetAdminConcatenada!$A:$A=FQ$2)*(AsistenciaJetAdminConcatenada!$B:$B=FQ$1), 0)), 1))),  0.5, 0))</f>
        <v>0</v>
      </c>
      <c r="FR19" s="47">
        <f t="array" ref="FR19">IF(AND(ISNUMBER(MATCH(FR$2, AsistenciaJetAdminConcatenada!$A:$A, 0)), ISNUMBER(MATCH(FR$1, AsistenciaJetAdminConcatenada!$B:$B, 0)), ISNUMBER(SEARCH($A19,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ISNUMBER(SEARCH($A19, INDEX(AsistenciaJetAdminConcatenada!$D:$D, MATCH(1, (AsistenciaJetAdminConcatenada!$A:$A=FR$2)*(AsistenciaJetAdminConcatenada!$B:$B=FR$1), 0)), 1))),  0.5, 0))</f>
        <v>0</v>
      </c>
      <c r="FS19" s="47">
        <f t="array" ref="FS19">IF(AND(ISNUMBER(MATCH(FS$2, AsistenciaJetAdminConcatenada!$A:$A, 0)), ISNUMBER(MATCH(FS$1, AsistenciaJetAdminConcatenada!$B:$B, 0)), ISNUMBER(SEARCH($A19,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ISNUMBER(SEARCH($A19, INDEX(AsistenciaJetAdminConcatenada!$D:$D, MATCH(1, (AsistenciaJetAdminConcatenada!$A:$A=FS$2)*(AsistenciaJetAdminConcatenada!$B:$B=FS$1), 0)), 1))),  0.5, 0))</f>
        <v>0</v>
      </c>
      <c r="FT19" s="47">
        <f t="array" ref="FT19">IF(AND(ISNUMBER(MATCH(FT$2, AsistenciaJetAdminConcatenada!$A:$A, 0)), ISNUMBER(MATCH(FT$1, AsistenciaJetAdminConcatenada!$B:$B, 0)), ISNUMBER(SEARCH($A19,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ISNUMBER(SEARCH($A19, INDEX(AsistenciaJetAdminConcatenada!$D:$D, MATCH(1, (AsistenciaJetAdminConcatenada!$A:$A=FT$2)*(AsistenciaJetAdminConcatenada!$B:$B=FT$1), 0)), 1))),  0.5, 0))</f>
        <v>0</v>
      </c>
      <c r="FU19" s="47">
        <f t="array" ref="FU19">IF(AND(ISNUMBER(MATCH(FU$2, AsistenciaJetAdminConcatenada!$A:$A, 0)), ISNUMBER(MATCH(FU$1, AsistenciaJetAdminConcatenada!$B:$B, 0)), ISNUMBER(SEARCH($A19,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ISNUMBER(SEARCH($A19, INDEX(AsistenciaJetAdminConcatenada!$D:$D, MATCH(1, (AsistenciaJetAdminConcatenada!$A:$A=FU$2)*(AsistenciaJetAdminConcatenada!$B:$B=FU$1), 0)), 1))),  0.5, 0))</f>
        <v>0</v>
      </c>
      <c r="FV19" s="47">
        <f t="array" ref="FV19">IF(AND(ISNUMBER(MATCH(FV$2, AsistenciaJetAdminConcatenada!$A:$A, 0)), ISNUMBER(MATCH(FV$1, AsistenciaJetAdminConcatenada!$B:$B, 0)), ISNUMBER(SEARCH($A19,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ISNUMBER(SEARCH($A19, INDEX(AsistenciaJetAdminConcatenada!$D:$D, MATCH(1, (AsistenciaJetAdminConcatenada!$A:$A=FV$2)*(AsistenciaJetAdminConcatenada!$B:$B=FV$1), 0)), 1))),  0.5, 0))</f>
        <v>0</v>
      </c>
      <c r="FW19" s="47">
        <f t="array" ref="FW19">IF(AND(ISNUMBER(MATCH(FW$2, AsistenciaJetAdminConcatenada!$A:$A, 0)), ISNUMBER(MATCH(FW$1, AsistenciaJetAdminConcatenada!$B:$B, 0)), ISNUMBER(SEARCH($A19,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ISNUMBER(SEARCH($A19, INDEX(AsistenciaJetAdminConcatenada!$D:$D, MATCH(1, (AsistenciaJetAdminConcatenada!$A:$A=FW$2)*(AsistenciaJetAdminConcatenada!$B:$B=FW$1), 0)), 1))),  0.5, 0))</f>
        <v>0</v>
      </c>
      <c r="FX19" s="47">
        <f t="array" ref="FX19">IF(AND(ISNUMBER(MATCH(FX$2, AsistenciaJetAdminConcatenada!$A:$A, 0)), ISNUMBER(MATCH(FX$1, AsistenciaJetAdminConcatenada!$B:$B, 0)), ISNUMBER(SEARCH($A19,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ISNUMBER(SEARCH($A19, INDEX(AsistenciaJetAdminConcatenada!$D:$D, MATCH(1, (AsistenciaJetAdminConcatenada!$A:$A=FX$2)*(AsistenciaJetAdminConcatenada!$B:$B=FX$1), 0)), 1))),  0.5, 0))</f>
        <v>0</v>
      </c>
      <c r="FY19" s="47">
        <f t="array" ref="FY19">IF(AND(ISNUMBER(MATCH(FY$2, AsistenciaJetAdminConcatenada!$A:$A, 0)), ISNUMBER(MATCH(FY$1, AsistenciaJetAdminConcatenada!$B:$B, 0)), ISNUMBER(SEARCH($A19,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ISNUMBER(SEARCH($A19, INDEX(AsistenciaJetAdminConcatenada!$D:$D, MATCH(1, (AsistenciaJetAdminConcatenada!$A:$A=FY$2)*(AsistenciaJetAdminConcatenada!$B:$B=FY$1), 0)), 1))),  0.5, 0))</f>
        <v>0</v>
      </c>
      <c r="FZ19" s="47">
        <f t="array" ref="FZ19">IF(AND(ISNUMBER(MATCH(FZ$2, AsistenciaJetAdminConcatenada!$A:$A, 0)), ISNUMBER(MATCH(FZ$1, AsistenciaJetAdminConcatenada!$B:$B, 0)), ISNUMBER(SEARCH($A19,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ISNUMBER(SEARCH($A19, INDEX(AsistenciaJetAdminConcatenada!$D:$D, MATCH(1, (AsistenciaJetAdminConcatenada!$A:$A=FZ$2)*(AsistenciaJetAdminConcatenada!$B:$B=FZ$1), 0)), 1))),  0.5, 0))</f>
        <v>0</v>
      </c>
      <c r="GA19" s="47">
        <f t="array" ref="GA19">IF(AND(ISNUMBER(MATCH(GA$2, AsistenciaJetAdminConcatenada!$A:$A, 0)), ISNUMBER(MATCH(GA$1, AsistenciaJetAdminConcatenada!$B:$B, 0)), ISNUMBER(SEARCH($A19,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ISNUMBER(SEARCH($A19, INDEX(AsistenciaJetAdminConcatenada!$D:$D, MATCH(1, (AsistenciaJetAdminConcatenada!$A:$A=GA$2)*(AsistenciaJetAdminConcatenada!$B:$B=GA$1), 0)), 1))),  0.5, 0))</f>
        <v>0</v>
      </c>
      <c r="GB19" s="47">
        <f t="array" ref="GB19">IF(AND(ISNUMBER(MATCH(GB$2, AsistenciaJetAdminConcatenada!$A:$A, 0)), ISNUMBER(MATCH(GB$1, AsistenciaJetAdminConcatenada!$B:$B, 0)), ISNUMBER(SEARCH($A19,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ISNUMBER(SEARCH($A19, INDEX(AsistenciaJetAdminConcatenada!$D:$D, MATCH(1, (AsistenciaJetAdminConcatenada!$A:$A=GB$2)*(AsistenciaJetAdminConcatenada!$B:$B=GB$1), 0)), 1))),  0.5, 0))</f>
        <v>0</v>
      </c>
      <c r="GC19" s="47">
        <f t="array" ref="GC19">IF(AND(ISNUMBER(MATCH(GC$2, AsistenciaJetAdminConcatenada!$A:$A, 0)), ISNUMBER(MATCH(GC$1, AsistenciaJetAdminConcatenada!$B:$B, 0)), ISNUMBER(SEARCH($A19,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ISNUMBER(SEARCH($A19, INDEX(AsistenciaJetAdminConcatenada!$D:$D, MATCH(1, (AsistenciaJetAdminConcatenada!$A:$A=GC$2)*(AsistenciaJetAdminConcatenada!$B:$B=GC$1), 0)), 1))),  0.5, 0))</f>
        <v>0</v>
      </c>
      <c r="GD19" s="47">
        <f t="array" ref="GD19">IF(AND(ISNUMBER(MATCH(GD$2, AsistenciaJetAdminConcatenada!$A:$A, 0)), ISNUMBER(MATCH(GD$1, AsistenciaJetAdminConcatenada!$B:$B, 0)), ISNUMBER(SEARCH($A19,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ISNUMBER(SEARCH($A19, INDEX(AsistenciaJetAdminConcatenada!$D:$D, MATCH(1, (AsistenciaJetAdminConcatenada!$A:$A=GD$2)*(AsistenciaJetAdminConcatenada!$B:$B=GD$1), 0)), 1))),  0.5, 0))</f>
        <v>0</v>
      </c>
      <c r="GE19" s="47">
        <f t="array" ref="GE19">IF(AND(ISNUMBER(MATCH(GE$2, AsistenciaJetAdminConcatenada!$A:$A, 0)), ISNUMBER(MATCH(GE$1, AsistenciaJetAdminConcatenada!$B:$B, 0)), ISNUMBER(SEARCH($A19,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ISNUMBER(SEARCH($A19, INDEX(AsistenciaJetAdminConcatenada!$D:$D, MATCH(1, (AsistenciaJetAdminConcatenada!$A:$A=GE$2)*(AsistenciaJetAdminConcatenada!$B:$B=GE$1), 0)), 1))),  0.5, 0))</f>
        <v>0</v>
      </c>
      <c r="GF19" s="47">
        <f t="array" ref="GF19">IF(AND(ISNUMBER(MATCH(GF$2, AsistenciaJetAdminConcatenada!$A:$A, 0)), ISNUMBER(MATCH(GF$1, AsistenciaJetAdminConcatenada!$B:$B, 0)), ISNUMBER(SEARCH($A19,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ISNUMBER(SEARCH($A19, INDEX(AsistenciaJetAdminConcatenada!$D:$D, MATCH(1, (AsistenciaJetAdminConcatenada!$A:$A=GF$2)*(AsistenciaJetAdminConcatenada!$B:$B=GF$1), 0)), 1))),  0.5, 0))</f>
        <v>0</v>
      </c>
      <c r="GG19" s="47">
        <f t="array" ref="GG19">IF(AND(ISNUMBER(MATCH(GG$2, AsistenciaJetAdminConcatenada!$A:$A, 0)), ISNUMBER(MATCH(GG$1, AsistenciaJetAdminConcatenada!$B:$B, 0)), ISNUMBER(SEARCH($A19,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ISNUMBER(SEARCH($A19, INDEX(AsistenciaJetAdminConcatenada!$D:$D, MATCH(1, (AsistenciaJetAdminConcatenada!$A:$A=GG$2)*(AsistenciaJetAdminConcatenada!$B:$B=GG$1), 0)), 1))),  0.5, 0))</f>
        <v>0</v>
      </c>
      <c r="GH19" s="47">
        <f t="array" ref="GH19">IF(AND(ISNUMBER(MATCH(GH$2, AsistenciaJetAdminConcatenada!$A:$A, 0)), ISNUMBER(MATCH(GH$1, AsistenciaJetAdminConcatenada!$B:$B, 0)), ISNUMBER(SEARCH($A19,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ISNUMBER(SEARCH($A19, INDEX(AsistenciaJetAdminConcatenada!$D:$D, MATCH(1, (AsistenciaJetAdminConcatenada!$A:$A=GH$2)*(AsistenciaJetAdminConcatenada!$B:$B=GH$1), 0)), 1))),  0.5, 0))</f>
        <v>0</v>
      </c>
      <c r="GI19" s="47">
        <f t="array" ref="GI19">IF(AND(ISNUMBER(MATCH(GI$2, AsistenciaJetAdminConcatenada!$A:$A, 0)), ISNUMBER(MATCH(GI$1, AsistenciaJetAdminConcatenada!$B:$B, 0)), ISNUMBER(SEARCH($A19,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ISNUMBER(SEARCH($A19, INDEX(AsistenciaJetAdminConcatenada!$D:$D, MATCH(1, (AsistenciaJetAdminConcatenada!$A:$A=GI$2)*(AsistenciaJetAdminConcatenada!$B:$B=GI$1), 0)), 1))),  0.5, 0))</f>
        <v>0</v>
      </c>
      <c r="GJ19" s="47">
        <f t="array" ref="GJ19">IF(AND(ISNUMBER(MATCH(GJ$2, AsistenciaJetAdminConcatenada!$A:$A, 0)), ISNUMBER(MATCH(GJ$1, AsistenciaJetAdminConcatenada!$B:$B, 0)), ISNUMBER(SEARCH($A19,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ISNUMBER(SEARCH($A19, INDEX(AsistenciaJetAdminConcatenada!$D:$D, MATCH(1, (AsistenciaJetAdminConcatenada!$A:$A=GJ$2)*(AsistenciaJetAdminConcatenada!$B:$B=GJ$1), 0)), 1))),  0.5, 0))</f>
        <v>0</v>
      </c>
      <c r="GK19" s="47">
        <f t="array" ref="GK19">IF(AND(ISNUMBER(MATCH(GK$2, AsistenciaJetAdminConcatenada!$A:$A, 0)), ISNUMBER(MATCH(GK$1, AsistenciaJetAdminConcatenada!$B:$B, 0)), ISNUMBER(SEARCH($A19,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ISNUMBER(SEARCH($A19, INDEX(AsistenciaJetAdminConcatenada!$D:$D, MATCH(1, (AsistenciaJetAdminConcatenada!$A:$A=GK$2)*(AsistenciaJetAdminConcatenada!$B:$B=GK$1), 0)), 1))),  0.5, 0))</f>
        <v>0</v>
      </c>
      <c r="GL19" s="47">
        <f t="array" ref="GL19">IF(AND(ISNUMBER(MATCH(GL$2, AsistenciaJetAdminConcatenada!$A:$A, 0)), ISNUMBER(MATCH(GL$1, AsistenciaJetAdminConcatenada!$B:$B, 0)), ISNUMBER(SEARCH($A19,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ISNUMBER(SEARCH($A19, INDEX(AsistenciaJetAdminConcatenada!$D:$D, MATCH(1, (AsistenciaJetAdminConcatenada!$A:$A=GL$2)*(AsistenciaJetAdminConcatenada!$B:$B=GL$1), 0)), 1))),  0.5, 0))</f>
        <v>0</v>
      </c>
      <c r="GM19" s="47">
        <f t="array" ref="GM19">IF(AND(ISNUMBER(MATCH(GM$2, AsistenciaJetAdminConcatenada!$A:$A, 0)), ISNUMBER(MATCH(GM$1, AsistenciaJetAdminConcatenada!$B:$B, 0)), ISNUMBER(SEARCH($A19,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ISNUMBER(SEARCH($A19, INDEX(AsistenciaJetAdminConcatenada!$D:$D, MATCH(1, (AsistenciaJetAdminConcatenada!$A:$A=GM$2)*(AsistenciaJetAdminConcatenada!$B:$B=GM$1), 0)), 1))),  0.5, 0))</f>
        <v>0</v>
      </c>
      <c r="GN19" s="47">
        <f t="array" ref="GN19">IF(AND(ISNUMBER(MATCH(GN$2, AsistenciaJetAdminConcatenada!$A:$A, 0)), ISNUMBER(MATCH(GN$1, AsistenciaJetAdminConcatenada!$B:$B, 0)), ISNUMBER(SEARCH($A19,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ISNUMBER(SEARCH($A19, INDEX(AsistenciaJetAdminConcatenada!$D:$D, MATCH(1, (AsistenciaJetAdminConcatenada!$A:$A=GN$2)*(AsistenciaJetAdminConcatenada!$B:$B=GN$1), 0)), 1))),  0.5, 0))</f>
        <v>0</v>
      </c>
      <c r="GO19" s="47">
        <f t="array" ref="GO19">IF(AND(ISNUMBER(MATCH(GO$2, AsistenciaJetAdminConcatenada!$A:$A, 0)), ISNUMBER(MATCH(GO$1, AsistenciaJetAdminConcatenada!$B:$B, 0)), ISNUMBER(SEARCH($A19,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ISNUMBER(SEARCH($A19, INDEX(AsistenciaJetAdminConcatenada!$D:$D, MATCH(1, (AsistenciaJetAdminConcatenada!$A:$A=GO$2)*(AsistenciaJetAdminConcatenada!$B:$B=GO$1), 0)), 1))),  0.5, 0))</f>
        <v>0</v>
      </c>
      <c r="GP19" s="47">
        <f t="array" ref="GP19">IF(AND(ISNUMBER(MATCH(GP$2, AsistenciaJetAdminConcatenada!$A:$A, 0)), ISNUMBER(MATCH(GP$1, AsistenciaJetAdminConcatenada!$B:$B, 0)), ISNUMBER(SEARCH($A19,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ISNUMBER(SEARCH($A19, INDEX(AsistenciaJetAdminConcatenada!$D:$D, MATCH(1, (AsistenciaJetAdminConcatenada!$A:$A=GP$2)*(AsistenciaJetAdminConcatenada!$B:$B=GP$1), 0)), 1))),  0.5, 0))</f>
        <v>0</v>
      </c>
      <c r="GQ19" s="47">
        <f t="array" ref="GQ19">IF(AND(ISNUMBER(MATCH(GQ$2, AsistenciaJetAdminConcatenada!$A:$A, 0)), ISNUMBER(MATCH(GQ$1, AsistenciaJetAdminConcatenada!$B:$B, 0)), ISNUMBER(SEARCH($A19,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ISNUMBER(SEARCH($A19, INDEX(AsistenciaJetAdminConcatenada!$D:$D, MATCH(1, (AsistenciaJetAdminConcatenada!$A:$A=GQ$2)*(AsistenciaJetAdminConcatenada!$B:$B=GQ$1), 0)), 1))),  0.5, 0))</f>
        <v>0</v>
      </c>
      <c r="GR19" s="47">
        <f t="array" ref="GR19">IF(AND(ISNUMBER(MATCH(GR$2, AsistenciaJetAdminConcatenada!$A:$A, 0)), ISNUMBER(MATCH(GR$1, AsistenciaJetAdminConcatenada!$B:$B, 0)), ISNUMBER(SEARCH($A19,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ISNUMBER(SEARCH($A19, INDEX(AsistenciaJetAdminConcatenada!$D:$D, MATCH(1, (AsistenciaJetAdminConcatenada!$A:$A=GR$2)*(AsistenciaJetAdminConcatenada!$B:$B=GR$1), 0)), 1))),  0.5, 0))</f>
        <v>0</v>
      </c>
      <c r="GS19" s="47">
        <f t="array" ref="GS19">IF(AND(ISNUMBER(MATCH(GS$2, AsistenciaJetAdminConcatenada!$A:$A, 0)), ISNUMBER(MATCH(GS$1, AsistenciaJetAdminConcatenada!$B:$B, 0)), ISNUMBER(SEARCH($A19,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ISNUMBER(SEARCH($A19, INDEX(AsistenciaJetAdminConcatenada!$D:$D, MATCH(1, (AsistenciaJetAdminConcatenada!$A:$A=GS$2)*(AsistenciaJetAdminConcatenada!$B:$B=GS$1), 0)), 1))),  0.5, 0))</f>
        <v>0</v>
      </c>
      <c r="GT19" s="47">
        <f t="array" ref="GT19">IF(AND(ISNUMBER(MATCH(GT$2, AsistenciaJetAdminConcatenada!$A:$A, 0)), ISNUMBER(MATCH(GT$1, AsistenciaJetAdminConcatenada!$B:$B, 0)), ISNUMBER(SEARCH($A19,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ISNUMBER(SEARCH($A19, INDEX(AsistenciaJetAdminConcatenada!$D:$D, MATCH(1, (AsistenciaJetAdminConcatenada!$A:$A=GT$2)*(AsistenciaJetAdminConcatenada!$B:$B=GT$1), 0)), 1))),  0.5, 0))</f>
        <v>0</v>
      </c>
      <c r="GU19" s="47">
        <f t="array" ref="GU19">IF(AND(ISNUMBER(MATCH(GU$2, AsistenciaJetAdminConcatenada!$A:$A, 0)), ISNUMBER(MATCH(GU$1, AsistenciaJetAdminConcatenada!$B:$B, 0)), ISNUMBER(SEARCH($A19,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ISNUMBER(SEARCH($A19, INDEX(AsistenciaJetAdminConcatenada!$D:$D, MATCH(1, (AsistenciaJetAdminConcatenada!$A:$A=GU$2)*(AsistenciaJetAdminConcatenada!$B:$B=GU$1), 0)), 1))),  0.5, 0))</f>
        <v>0</v>
      </c>
      <c r="GV19" s="47">
        <f t="array" ref="GV19">IF(AND(ISNUMBER(MATCH(GV$2, AsistenciaJetAdminConcatenada!$A:$A, 0)), ISNUMBER(MATCH(GV$1, AsistenciaJetAdminConcatenada!$B:$B, 0)), ISNUMBER(SEARCH($A19,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ISNUMBER(SEARCH($A19, INDEX(AsistenciaJetAdminConcatenada!$D:$D, MATCH(1, (AsistenciaJetAdminConcatenada!$A:$A=GV$2)*(AsistenciaJetAdminConcatenada!$B:$B=GV$1), 0)), 1))),  0.5, 0))</f>
        <v>0</v>
      </c>
      <c r="GW19" s="47">
        <f t="array" ref="GW19">IF(AND(ISNUMBER(MATCH(GW$2, AsistenciaJetAdminConcatenada!$A:$A, 0)), ISNUMBER(MATCH(GW$1, AsistenciaJetAdminConcatenada!$B:$B, 0)), ISNUMBER(SEARCH($A19,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ISNUMBER(SEARCH($A19, INDEX(AsistenciaJetAdminConcatenada!$D:$D, MATCH(1, (AsistenciaJetAdminConcatenada!$A:$A=GW$2)*(AsistenciaJetAdminConcatenada!$B:$B=GW$1), 0)), 1))),  0.5, 0))</f>
        <v>0</v>
      </c>
      <c r="GX19" s="47">
        <f t="array" ref="GX19">IF(AND(ISNUMBER(MATCH(GX$2, AsistenciaJetAdminConcatenada!$A:$A, 0)), ISNUMBER(MATCH(GX$1, AsistenciaJetAdminConcatenada!$B:$B, 0)), ISNUMBER(SEARCH($A19,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ISNUMBER(SEARCH($A19, INDEX(AsistenciaJetAdminConcatenada!$D:$D, MATCH(1, (AsistenciaJetAdminConcatenada!$A:$A=GX$2)*(AsistenciaJetAdminConcatenada!$B:$B=GX$1), 0)), 1))),  0.5, 0))</f>
        <v>0</v>
      </c>
      <c r="GY19" s="47">
        <f t="array" ref="GY19">IF(AND(ISNUMBER(MATCH(GY$2, AsistenciaJetAdminConcatenada!$A:$A, 0)), ISNUMBER(MATCH(GY$1, AsistenciaJetAdminConcatenada!$B:$B, 0)), ISNUMBER(SEARCH($A19,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ISNUMBER(SEARCH($A19, INDEX(AsistenciaJetAdminConcatenada!$D:$D, MATCH(1, (AsistenciaJetAdminConcatenada!$A:$A=GY$2)*(AsistenciaJetAdminConcatenada!$B:$B=GY$1), 0)), 1))),  0.5, 0))</f>
        <v>0</v>
      </c>
      <c r="GZ19" s="47">
        <f t="array" ref="GZ19">IF(AND(ISNUMBER(MATCH(GZ$2, AsistenciaJetAdminConcatenada!$A:$A, 0)), ISNUMBER(MATCH(GZ$1, AsistenciaJetAdminConcatenada!$B:$B, 0)), ISNUMBER(SEARCH($A19,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ISNUMBER(SEARCH($A19, INDEX(AsistenciaJetAdminConcatenada!$D:$D, MATCH(1, (AsistenciaJetAdminConcatenada!$A:$A=GZ$2)*(AsistenciaJetAdminConcatenada!$B:$B=GZ$1), 0)), 1))),  0.5, 0))</f>
        <v>0</v>
      </c>
      <c r="HA19" s="47">
        <f t="array" ref="HA19">IF(AND(ISNUMBER(MATCH(HA$2, AsistenciaJetAdminConcatenada!$A:$A, 0)), ISNUMBER(MATCH(HA$1, AsistenciaJetAdminConcatenada!$B:$B, 0)), ISNUMBER(SEARCH($A19,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ISNUMBER(SEARCH($A19, INDEX(AsistenciaJetAdminConcatenada!$D:$D, MATCH(1, (AsistenciaJetAdminConcatenada!$A:$A=HA$2)*(AsistenciaJetAdminConcatenada!$B:$B=HA$1), 0)), 1))),  0.5, 0))</f>
        <v>0</v>
      </c>
      <c r="HB19" s="47">
        <f t="array" ref="HB19">IF(AND(ISNUMBER(MATCH(HB$2, AsistenciaJetAdminConcatenada!$A:$A, 0)), ISNUMBER(MATCH(HB$1, AsistenciaJetAdminConcatenada!$B:$B, 0)), ISNUMBER(SEARCH($A19,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ISNUMBER(SEARCH($A19, INDEX(AsistenciaJetAdminConcatenada!$D:$D, MATCH(1, (AsistenciaJetAdminConcatenada!$A:$A=HB$2)*(AsistenciaJetAdminConcatenada!$B:$B=HB$1), 0)), 1))),  0.5, 0))</f>
        <v>0</v>
      </c>
      <c r="HC19" s="47">
        <f t="array" ref="HC19">IF(AND(ISNUMBER(MATCH(HC$2, AsistenciaJetAdminConcatenada!$A:$A, 0)), ISNUMBER(MATCH(HC$1, AsistenciaJetAdminConcatenada!$B:$B, 0)), ISNUMBER(SEARCH($A19,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ISNUMBER(SEARCH($A19, INDEX(AsistenciaJetAdminConcatenada!$D:$D, MATCH(1, (AsistenciaJetAdminConcatenada!$A:$A=HC$2)*(AsistenciaJetAdminConcatenada!$B:$B=HC$1), 0)), 1))),  0.5, 0))</f>
        <v>0</v>
      </c>
    </row>
    <row r="20" ht="29.25" customHeight="1">
      <c r="A20" s="3">
        <v>167.0</v>
      </c>
      <c r="B20" s="4" t="s">
        <v>813</v>
      </c>
      <c r="C20" s="47">
        <f>SUM(D20:HC20) + ActividadesEspeciales!C20</f>
        <v>84.5</v>
      </c>
      <c r="D20" s="47">
        <f t="array" ref="D20">IF(AND(ISNUMBER(MATCH(D$2, AsistenciaJetAdminConcatenada!$A:$A, 0)), ISNUMBER(MATCH(D$1, AsistenciaJetAdminConcatenada!$B:$B, 0)), ISNUMBER(SEARCH($A20,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ISNUMBER(SEARCH($A20, INDEX(AsistenciaJetAdminConcatenada!$D:$D, MATCH(1, (AsistenciaJetAdminConcatenada!$A:$A=D$2)*(AsistenciaJetAdminConcatenada!$B:$B=D$1), 0)), 1))),  0.5, 0))</f>
        <v>1</v>
      </c>
      <c r="E20" s="47">
        <f t="array" ref="E20">IF(AND(ISNUMBER(MATCH(E$2, AsistenciaJetAdminConcatenada!$A:$A, 0)), ISNUMBER(MATCH(E$1, AsistenciaJetAdminConcatenada!$B:$B, 0)), ISNUMBER(SEARCH($A20,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ISNUMBER(SEARCH($A20, INDEX(AsistenciaJetAdminConcatenada!$D:$D, MATCH(1, (AsistenciaJetAdminConcatenada!$A:$A=E$2)*(AsistenciaJetAdminConcatenada!$B:$B=E$1), 0)), 1))),  0.5, 0))</f>
        <v>1</v>
      </c>
      <c r="F20" s="47">
        <f t="array" ref="F20">IF(AND(ISNUMBER(MATCH(F$2, AsistenciaJetAdminConcatenada!$A:$A, 0)), ISNUMBER(MATCH(F$1, AsistenciaJetAdminConcatenada!$B:$B, 0)), ISNUMBER(SEARCH($A20,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ISNUMBER(SEARCH($A20, INDEX(AsistenciaJetAdminConcatenada!$D:$D, MATCH(1, (AsistenciaJetAdminConcatenada!$A:$A=F$2)*(AsistenciaJetAdminConcatenada!$B:$B=F$1), 0)), 1))),  0.5, 0))</f>
        <v>1</v>
      </c>
      <c r="G20" s="47">
        <f t="array" ref="G20">IF(AND(ISNUMBER(MATCH(G$2, AsistenciaJetAdminConcatenada!$A:$A, 0)), ISNUMBER(MATCH(G$1, AsistenciaJetAdminConcatenada!$B:$B, 0)), ISNUMBER(SEARCH($A20,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ISNUMBER(SEARCH($A20, INDEX(AsistenciaJetAdminConcatenada!$D:$D, MATCH(1, (AsistenciaJetAdminConcatenada!$A:$A=G$2)*(AsistenciaJetAdminConcatenada!$B:$B=G$1), 0)), 1))),  0.5, 0))</f>
        <v>1</v>
      </c>
      <c r="H20" s="47">
        <f t="array" ref="H20">IF(AND(ISNUMBER(MATCH(H$2, AsistenciaJetAdminConcatenada!$A:$A, 0)), ISNUMBER(MATCH(H$1, AsistenciaJetAdminConcatenada!$B:$B, 0)), ISNUMBER(SEARCH($A20,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ISNUMBER(SEARCH($A20, INDEX(AsistenciaJetAdminConcatenada!$D:$D, MATCH(1, (AsistenciaJetAdminConcatenada!$A:$A=H$2)*(AsistenciaJetAdminConcatenada!$B:$B=H$1), 0)), 1))),  0.5, 0))</f>
        <v>1</v>
      </c>
      <c r="I20" s="47">
        <f t="array" ref="I20">IF(AND(ISNUMBER(MATCH(I$2, AsistenciaJetAdminConcatenada!$A:$A, 0)), ISNUMBER(MATCH(I$1, AsistenciaJetAdminConcatenada!$B:$B, 0)), ISNUMBER(SEARCH($A20,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ISNUMBER(SEARCH($A20, INDEX(AsistenciaJetAdminConcatenada!$D:$D, MATCH(1, (AsistenciaJetAdminConcatenada!$A:$A=I$2)*(AsistenciaJetAdminConcatenada!$B:$B=I$1), 0)), 1))),  0.5, 0))</f>
        <v>1</v>
      </c>
      <c r="J20" s="47">
        <f t="array" ref="J20">IF(AND(ISNUMBER(MATCH(J$2, AsistenciaJetAdminConcatenada!$A:$A, 0)), ISNUMBER(MATCH(J$1, AsistenciaJetAdminConcatenada!$B:$B, 0)), ISNUMBER(SEARCH($A20,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ISNUMBER(SEARCH($A20, INDEX(AsistenciaJetAdminConcatenada!$D:$D, MATCH(1, (AsistenciaJetAdminConcatenada!$A:$A=J$2)*(AsistenciaJetAdminConcatenada!$B:$B=J$1), 0)), 1))),  0.5, 0))</f>
        <v>1</v>
      </c>
      <c r="K20" s="47">
        <f t="array" ref="K20">IF(AND(ISNUMBER(MATCH(K$2, AsistenciaJetAdminConcatenada!$A:$A, 0)), ISNUMBER(MATCH(K$1, AsistenciaJetAdminConcatenada!$B:$B, 0)), ISNUMBER(SEARCH($A20,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ISNUMBER(SEARCH($A20, INDEX(AsistenciaJetAdminConcatenada!$D:$D, MATCH(1, (AsistenciaJetAdminConcatenada!$A:$A=K$2)*(AsistenciaJetAdminConcatenada!$B:$B=K$1), 0)), 1))),  0.5, 0))</f>
        <v>1</v>
      </c>
      <c r="L20" s="47">
        <f t="array" ref="L20">IF(AND(ISNUMBER(MATCH(L$2, AsistenciaJetAdminConcatenada!$A:$A, 0)), ISNUMBER(MATCH(L$1, AsistenciaJetAdminConcatenada!$B:$B, 0)), ISNUMBER(SEARCH($A20,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ISNUMBER(SEARCH($A20, INDEX(AsistenciaJetAdminConcatenada!$D:$D, MATCH(1, (AsistenciaJetAdminConcatenada!$A:$A=L$2)*(AsistenciaJetAdminConcatenada!$B:$B=L$1), 0)), 1))),  0.5, 0))</f>
        <v>1</v>
      </c>
      <c r="M20" s="47">
        <f t="array" ref="M20">IF(AND(ISNUMBER(MATCH(M$2, AsistenciaJetAdminConcatenada!$A:$A, 0)), ISNUMBER(MATCH(M$1, AsistenciaJetAdminConcatenada!$B:$B, 0)), ISNUMBER(SEARCH($A20,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ISNUMBER(SEARCH($A20, INDEX(AsistenciaJetAdminConcatenada!$D:$D, MATCH(1, (AsistenciaJetAdminConcatenada!$A:$A=M$2)*(AsistenciaJetAdminConcatenada!$B:$B=M$1), 0)), 1))),  0.5, 0))</f>
        <v>1</v>
      </c>
      <c r="N20" s="47">
        <f t="array" ref="N20">IF(AND(ISNUMBER(MATCH(N$2, AsistenciaJetAdminConcatenada!$A:$A, 0)), ISNUMBER(MATCH(N$1, AsistenciaJetAdminConcatenada!$B:$B, 0)), ISNUMBER(SEARCH($A20,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ISNUMBER(SEARCH($A20, INDEX(AsistenciaJetAdminConcatenada!$D:$D, MATCH(1, (AsistenciaJetAdminConcatenada!$A:$A=N$2)*(AsistenciaJetAdminConcatenada!$B:$B=N$1), 0)), 1))),  0.5, 0))</f>
        <v>0</v>
      </c>
      <c r="O20" s="47">
        <f t="array" ref="O20">IF(AND(ISNUMBER(MATCH(O$2, AsistenciaJetAdminConcatenada!$A:$A, 0)), ISNUMBER(MATCH(O$1, AsistenciaJetAdminConcatenada!$B:$B, 0)), ISNUMBER(SEARCH($A20,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ISNUMBER(SEARCH($A20, INDEX(AsistenciaJetAdminConcatenada!$D:$D, MATCH(1, (AsistenciaJetAdminConcatenada!$A:$A=O$2)*(AsistenciaJetAdminConcatenada!$B:$B=O$1), 0)), 1))),  0.5, 0))</f>
        <v>1</v>
      </c>
      <c r="P20" s="47">
        <f t="array" ref="P20">IF(AND(ISNUMBER(MATCH(P$2, AsistenciaJetAdminConcatenada!$A:$A, 0)), ISNUMBER(MATCH(P$1, AsistenciaJetAdminConcatenada!$B:$B, 0)), ISNUMBER(SEARCH($A20, INDEX(AsistenciaJetAdminConcatenada!$C:$C, MATCH(1, (AsistenciaJetAdminConcatenada!$A:$A=P$2)*(AsistenciaJetAdminConcatenada!$B:$B=P$1), 0)), 1))), 1, IF(AND(ISNUMBER(MATCH(P$2, AsistenciaJetAdminConcatenada!$A:$A, 0)), ISNUMBER(MATCH(P$1, AsistenciaJetAdminConcatenada!$B:$B, 0)), ISNUMBER(SEARCH($A20, INDEX(AsistenciaJetAdminConcatenada!$D:$D, MATCH(1, (AsistenciaJetAdminConcatenada!$A:$A=P$2)*(AsistenciaJetAdminConcatenada!$B:$B=P$1), 0)), 1))),  0.5, 0))</f>
        <v>1</v>
      </c>
      <c r="Q20" s="47">
        <f t="array" ref="Q20">IF(AND(ISNUMBER(MATCH(Q$2, AsistenciaJetAdminConcatenada!$A:$A, 0)), ISNUMBER(MATCH(Q$1, AsistenciaJetAdminConcatenada!$B:$B, 0)), ISNUMBER(SEARCH($A20, INDEX(AsistenciaJetAdminConcatenada!$C:$C, MATCH(1, (AsistenciaJetAdminConcatenada!$A:$A=Q$2)*(AsistenciaJetAdminConcatenada!$B:$B=Q$1), 0)), 1))), 1, IF(AND(ISNUMBER(MATCH(Q$2, AsistenciaJetAdminConcatenada!$A:$A, 0)), ISNUMBER(MATCH(Q$1, AsistenciaJetAdminConcatenada!$B:$B, 0)), ISNUMBER(SEARCH($A20, INDEX(AsistenciaJetAdminConcatenada!$D:$D, MATCH(1, (AsistenciaJetAdminConcatenada!$A:$A=Q$2)*(AsistenciaJetAdminConcatenada!$B:$B=Q$1), 0)), 1))),  0.5, 0))</f>
        <v>1</v>
      </c>
      <c r="R20" s="47">
        <f t="array" ref="R20">IF(AND(ISNUMBER(MATCH(R$2, AsistenciaJetAdminConcatenada!$A:$A, 0)), ISNUMBER(MATCH(R$1, AsistenciaJetAdminConcatenada!$B:$B, 0)), ISNUMBER(SEARCH($A20,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ISNUMBER(SEARCH($A20, INDEX(AsistenciaJetAdminConcatenada!$D:$D, MATCH(1, (AsistenciaJetAdminConcatenada!$A:$A=R$2)*(AsistenciaJetAdminConcatenada!$B:$B=R$1), 0)), 1))),  0.5, 0))</f>
        <v>1</v>
      </c>
      <c r="S20" s="47">
        <f t="array" ref="S20">IF(AND(ISNUMBER(MATCH(S$2, AsistenciaJetAdminConcatenada!$A:$A, 0)), ISNUMBER(MATCH(S$1, AsistenciaJetAdminConcatenada!$B:$B, 0)), ISNUMBER(SEARCH($A20,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ISNUMBER(SEARCH($A20, INDEX(AsistenciaJetAdminConcatenada!$D:$D, MATCH(1, (AsistenciaJetAdminConcatenada!$A:$A=S$2)*(AsistenciaJetAdminConcatenada!$B:$B=S$1), 0)), 1))),  0.5, 0))</f>
        <v>1</v>
      </c>
      <c r="T20" s="47">
        <f t="array" ref="T20">IF(AND(ISNUMBER(MATCH(T$2, AsistenciaJetAdminConcatenada!$A:$A, 0)), ISNUMBER(MATCH(T$1, AsistenciaJetAdminConcatenada!$B:$B, 0)), ISNUMBER(SEARCH($A20,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ISNUMBER(SEARCH($A20, INDEX(AsistenciaJetAdminConcatenada!$D:$D, MATCH(1, (AsistenciaJetAdminConcatenada!$A:$A=T$2)*(AsistenciaJetAdminConcatenada!$B:$B=T$1), 0)), 1))),  0.5, 0))</f>
        <v>1</v>
      </c>
      <c r="U20" s="47">
        <f t="array" ref="U20">IF(AND(ISNUMBER(MATCH(U$2, AsistenciaJetAdminConcatenada!$A:$A, 0)), ISNUMBER(MATCH(U$1, AsistenciaJetAdminConcatenada!$B:$B, 0)), ISNUMBER(SEARCH($A20,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ISNUMBER(SEARCH($A20, INDEX(AsistenciaJetAdminConcatenada!$D:$D, MATCH(1, (AsistenciaJetAdminConcatenada!$A:$A=U$2)*(AsistenciaJetAdminConcatenada!$B:$B=U$1), 0)), 1))),  0.5, 0))</f>
        <v>1</v>
      </c>
      <c r="V20" s="47">
        <f t="array" ref="V20">IF(AND(ISNUMBER(MATCH(V$2, AsistenciaJetAdminConcatenada!$A:$A, 0)), ISNUMBER(MATCH(V$1, AsistenciaJetAdminConcatenada!$B:$B, 0)), ISNUMBER(SEARCH($A20,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ISNUMBER(SEARCH($A20, INDEX(AsistenciaJetAdminConcatenada!$D:$D, MATCH(1, (AsistenciaJetAdminConcatenada!$A:$A=V$2)*(AsistenciaJetAdminConcatenada!$B:$B=V$1), 0)), 1))),  0.5, 0))</f>
        <v>1</v>
      </c>
      <c r="W20" s="47">
        <f t="array" ref="W20">IF(AND(ISNUMBER(MATCH(W$2, AsistenciaJetAdminConcatenada!$A:$A, 0)), ISNUMBER(MATCH(W$1, AsistenciaJetAdminConcatenada!$B:$B, 0)), ISNUMBER(SEARCH($A20,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ISNUMBER(SEARCH($A20, INDEX(AsistenciaJetAdminConcatenada!$D:$D, MATCH(1, (AsistenciaJetAdminConcatenada!$A:$A=W$2)*(AsistenciaJetAdminConcatenada!$B:$B=W$1), 0)), 1))),  0.5, 0))</f>
        <v>1</v>
      </c>
      <c r="X20" s="47">
        <f t="array" ref="X20">IF(AND(ISNUMBER(MATCH(X$2, AsistenciaJetAdminConcatenada!$A:$A, 0)), ISNUMBER(MATCH(X$1, AsistenciaJetAdminConcatenada!$B:$B, 0)), ISNUMBER(SEARCH($A20,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ISNUMBER(SEARCH($A20, INDEX(AsistenciaJetAdminConcatenada!$D:$D, MATCH(1, (AsistenciaJetAdminConcatenada!$A:$A=X$2)*(AsistenciaJetAdminConcatenada!$B:$B=X$1), 0)), 1))),  0.5, 0))</f>
        <v>1</v>
      </c>
      <c r="Y20" s="47">
        <f t="array" ref="Y20">IF(AND(ISNUMBER(MATCH(Y$2, AsistenciaJetAdminConcatenada!$A:$A, 0)), ISNUMBER(MATCH(Y$1, AsistenciaJetAdminConcatenada!$B:$B, 0)), ISNUMBER(SEARCH($A20,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ISNUMBER(SEARCH($A20, INDEX(AsistenciaJetAdminConcatenada!$D:$D, MATCH(1, (AsistenciaJetAdminConcatenada!$A:$A=Y$2)*(AsistenciaJetAdminConcatenada!$B:$B=Y$1), 0)), 1))),  0.5, 0))</f>
        <v>1</v>
      </c>
      <c r="Z20" s="47">
        <f t="array" ref="Z20">IF(AND(ISNUMBER(MATCH(Z$2, AsistenciaJetAdminConcatenada!$A:$A, 0)), ISNUMBER(MATCH(Z$1, AsistenciaJetAdminConcatenada!$B:$B, 0)), ISNUMBER(SEARCH($A20,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ISNUMBER(SEARCH($A20, INDEX(AsistenciaJetAdminConcatenada!$D:$D, MATCH(1, (AsistenciaJetAdminConcatenada!$A:$A=Z$2)*(AsistenciaJetAdminConcatenada!$B:$B=Z$1), 0)), 1))),  0.5, 0))</f>
        <v>1</v>
      </c>
      <c r="AA20" s="47">
        <f t="array" ref="AA20">IF(AND(ISNUMBER(MATCH(AA$2, AsistenciaJetAdminConcatenada!$A:$A, 0)), ISNUMBER(MATCH(AA$1, AsistenciaJetAdminConcatenada!$B:$B, 0)), ISNUMBER(SEARCH($A20,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ISNUMBER(SEARCH($A20, INDEX(AsistenciaJetAdminConcatenada!$D:$D, MATCH(1, (AsistenciaJetAdminConcatenada!$A:$A=AA$2)*(AsistenciaJetAdminConcatenada!$B:$B=AA$1), 0)), 1))),  0.5, 0))</f>
        <v>1</v>
      </c>
      <c r="AB20" s="47">
        <f t="array" ref="AB20">IF(AND(ISNUMBER(MATCH(AB$2, AsistenciaJetAdminConcatenada!$A:$A, 0)), ISNUMBER(MATCH(AB$1, AsistenciaJetAdminConcatenada!$B:$B, 0)), ISNUMBER(SEARCH($A20,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ISNUMBER(SEARCH($A20, INDEX(AsistenciaJetAdminConcatenada!$D:$D, MATCH(1, (AsistenciaJetAdminConcatenada!$A:$A=AB$2)*(AsistenciaJetAdminConcatenada!$B:$B=AB$1), 0)), 1))),  0.5, 0))</f>
        <v>1</v>
      </c>
      <c r="AC20" s="47">
        <f t="array" ref="AC20">IF(AND(ISNUMBER(MATCH(AC$2, AsistenciaJetAdminConcatenada!$A:$A, 0)), ISNUMBER(MATCH(AC$1, AsistenciaJetAdminConcatenada!$B:$B, 0)), ISNUMBER(SEARCH($A20,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ISNUMBER(SEARCH($A20, INDEX(AsistenciaJetAdminConcatenada!$D:$D, MATCH(1, (AsistenciaJetAdminConcatenada!$A:$A=AC$2)*(AsistenciaJetAdminConcatenada!$B:$B=AC$1), 0)), 1))),  0.5, 0))</f>
        <v>1</v>
      </c>
      <c r="AD20" s="47">
        <f t="array" ref="AD20">IF(AND(ISNUMBER(MATCH(AD$2, AsistenciaJetAdminConcatenada!$A:$A, 0)), ISNUMBER(MATCH(AD$1, AsistenciaJetAdminConcatenada!$B:$B, 0)), ISNUMBER(SEARCH($A20,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ISNUMBER(SEARCH($A20, INDEX(AsistenciaJetAdminConcatenada!$D:$D, MATCH(1, (AsistenciaJetAdminConcatenada!$A:$A=AD$2)*(AsistenciaJetAdminConcatenada!$B:$B=AD$1), 0)), 1))),  0.5, 0))</f>
        <v>0.5</v>
      </c>
      <c r="AE20" s="47">
        <f t="array" ref="AE20">IF(AND(ISNUMBER(MATCH(AE$2, AsistenciaJetAdminConcatenada!$A:$A, 0)), ISNUMBER(MATCH(AE$1, AsistenciaJetAdminConcatenada!$B:$B, 0)), ISNUMBER(SEARCH($A20,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ISNUMBER(SEARCH($A20, INDEX(AsistenciaJetAdminConcatenada!$D:$D, MATCH(1, (AsistenciaJetAdminConcatenada!$A:$A=AE$2)*(AsistenciaJetAdminConcatenada!$B:$B=AE$1), 0)), 1))),  0.5, 0))</f>
        <v>1</v>
      </c>
      <c r="AF20" s="47">
        <f t="array" ref="AF20">IF(AND(ISNUMBER(MATCH(AF$2, AsistenciaJetAdminConcatenada!$A:$A, 0)), ISNUMBER(MATCH(AF$1, AsistenciaJetAdminConcatenada!$B:$B, 0)), ISNUMBER(SEARCH($A20,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ISNUMBER(SEARCH($A20, INDEX(AsistenciaJetAdminConcatenada!$D:$D, MATCH(1, (AsistenciaJetAdminConcatenada!$A:$A=AF$2)*(AsistenciaJetAdminConcatenada!$B:$B=AF$1), 0)), 1))),  0.5, 0))</f>
        <v>1</v>
      </c>
      <c r="AG20" s="47">
        <f t="array" ref="AG20">IF(AND(ISNUMBER(MATCH(AG$2, AsistenciaJetAdminConcatenada!$A:$A, 0)), ISNUMBER(MATCH(AG$1, AsistenciaJetAdminConcatenada!$B:$B, 0)), ISNUMBER(SEARCH($A20,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ISNUMBER(SEARCH($A20, INDEX(AsistenciaJetAdminConcatenada!$D:$D, MATCH(1, (AsistenciaJetAdminConcatenada!$A:$A=AG$2)*(AsistenciaJetAdminConcatenada!$B:$B=AG$1), 0)), 1))),  0.5, 0))</f>
        <v>1</v>
      </c>
      <c r="AH20" s="47">
        <f t="array" ref="AH20">IF(AND(ISNUMBER(MATCH(AH$2, AsistenciaJetAdminConcatenada!$A:$A, 0)), ISNUMBER(MATCH(AH$1, AsistenciaJetAdminConcatenada!$B:$B, 0)), ISNUMBER(SEARCH($A20,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ISNUMBER(SEARCH($A20, INDEX(AsistenciaJetAdminConcatenada!$D:$D, MATCH(1, (AsistenciaJetAdminConcatenada!$A:$A=AH$2)*(AsistenciaJetAdminConcatenada!$B:$B=AH$1), 0)), 1))),  0.5, 0))</f>
        <v>0</v>
      </c>
      <c r="AI20" s="47">
        <f t="array" ref="AI20">IF(AND(ISNUMBER(MATCH(AI$2, AsistenciaJetAdminConcatenada!$A:$A, 0)), ISNUMBER(MATCH(AI$1, AsistenciaJetAdminConcatenada!$B:$B, 0)), ISNUMBER(SEARCH($A20,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ISNUMBER(SEARCH($A20, INDEX(AsistenciaJetAdminConcatenada!$D:$D, MATCH(1, (AsistenciaJetAdminConcatenada!$A:$A=AI$2)*(AsistenciaJetAdminConcatenada!$B:$B=AI$1), 0)), 1))),  0.5, 0))</f>
        <v>0</v>
      </c>
      <c r="AJ20" s="47">
        <f t="array" ref="AJ20">IF(AND(ISNUMBER(MATCH(AJ$2, AsistenciaJetAdminConcatenada!$A:$A, 0)), ISNUMBER(MATCH(AJ$1, AsistenciaJetAdminConcatenada!$B:$B, 0)), ISNUMBER(SEARCH($A20,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ISNUMBER(SEARCH($A20, INDEX(AsistenciaJetAdminConcatenada!$D:$D, MATCH(1, (AsistenciaJetAdminConcatenada!$A:$A=AJ$2)*(AsistenciaJetAdminConcatenada!$B:$B=AJ$1), 0)), 1))),  0.5, 0))</f>
        <v>1</v>
      </c>
      <c r="AK20" s="47">
        <f t="array" ref="AK20">IF(AND(ISNUMBER(MATCH(AK$2, AsistenciaJetAdminConcatenada!$A:$A, 0)), ISNUMBER(MATCH(AK$1, AsistenciaJetAdminConcatenada!$B:$B, 0)), ISNUMBER(SEARCH($A20,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ISNUMBER(SEARCH($A20, INDEX(AsistenciaJetAdminConcatenada!$D:$D, MATCH(1, (AsistenciaJetAdminConcatenada!$A:$A=AK$2)*(AsistenciaJetAdminConcatenada!$B:$B=AK$1), 0)), 1))),  0.5, 0))</f>
        <v>1</v>
      </c>
      <c r="AL20" s="47">
        <f t="array" ref="AL20">IF(AND(ISNUMBER(MATCH(AL$2, AsistenciaJetAdminConcatenada!$A:$A, 0)), ISNUMBER(MATCH(AL$1, AsistenciaJetAdminConcatenada!$B:$B, 0)), ISNUMBER(SEARCH($A20,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ISNUMBER(SEARCH($A20, INDEX(AsistenciaJetAdminConcatenada!$D:$D, MATCH(1, (AsistenciaJetAdminConcatenada!$A:$A=AL$2)*(AsistenciaJetAdminConcatenada!$B:$B=AL$1), 0)), 1))),  0.5, 0))</f>
        <v>1</v>
      </c>
      <c r="AM20" s="47">
        <f t="array" ref="AM20">IF(AND(ISNUMBER(MATCH(AM$2, AsistenciaJetAdminConcatenada!$A:$A, 0)), ISNUMBER(MATCH(AM$1, AsistenciaJetAdminConcatenada!$B:$B, 0)), ISNUMBER(SEARCH($A20,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ISNUMBER(SEARCH($A20, INDEX(AsistenciaJetAdminConcatenada!$D:$D, MATCH(1, (AsistenciaJetAdminConcatenada!$A:$A=AM$2)*(AsistenciaJetAdminConcatenada!$B:$B=AM$1), 0)), 1))),  0.5, 0))</f>
        <v>1</v>
      </c>
      <c r="AN20" s="47">
        <f t="array" ref="AN20">IF(AND(ISNUMBER(MATCH(AN$2, AsistenciaJetAdminConcatenada!$A:$A, 0)), ISNUMBER(MATCH(AN$1, AsistenciaJetAdminConcatenada!$B:$B, 0)), ISNUMBER(SEARCH($A20,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ISNUMBER(SEARCH($A20, INDEX(AsistenciaJetAdminConcatenada!$D:$D, MATCH(1, (AsistenciaJetAdminConcatenada!$A:$A=AN$2)*(AsistenciaJetAdminConcatenada!$B:$B=AN$1), 0)), 1))),  0.5, 0))</f>
        <v>1</v>
      </c>
      <c r="AO20" s="47">
        <f t="array" ref="AO20">IF(AND(ISNUMBER(MATCH(AO$2, AsistenciaJetAdminConcatenada!$A:$A, 0)), ISNUMBER(MATCH(AO$1, AsistenciaJetAdminConcatenada!$B:$B, 0)), ISNUMBER(SEARCH($A20,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ISNUMBER(SEARCH($A20, INDEX(AsistenciaJetAdminConcatenada!$D:$D, MATCH(1, (AsistenciaJetAdminConcatenada!$A:$A=AO$2)*(AsistenciaJetAdminConcatenada!$B:$B=AO$1), 0)), 1))),  0.5, 0))</f>
        <v>1</v>
      </c>
      <c r="AP20" s="47">
        <f t="array" ref="AP20">IF(AND(ISNUMBER(MATCH(AP$2, AsistenciaJetAdminConcatenada!$A:$A, 0)), ISNUMBER(MATCH(AP$1, AsistenciaJetAdminConcatenada!$B:$B, 0)), ISNUMBER(SEARCH($A20,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ISNUMBER(SEARCH($A20, INDEX(AsistenciaJetAdminConcatenada!$D:$D, MATCH(1, (AsistenciaJetAdminConcatenada!$A:$A=AP$2)*(AsistenciaJetAdminConcatenada!$B:$B=AP$1), 0)), 1))),  0.5, 0))</f>
        <v>1</v>
      </c>
      <c r="AQ20" s="47">
        <f t="array" ref="AQ20">IF(AND(ISNUMBER(MATCH(AQ$2, AsistenciaJetAdminConcatenada!$A:$A, 0)), ISNUMBER(MATCH(AQ$1, AsistenciaJetAdminConcatenada!$B:$B, 0)), ISNUMBER(SEARCH($A20,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ISNUMBER(SEARCH($A20, INDEX(AsistenciaJetAdminConcatenada!$D:$D, MATCH(1, (AsistenciaJetAdminConcatenada!$A:$A=AQ$2)*(AsistenciaJetAdminConcatenada!$B:$B=AQ$1), 0)), 1))),  0.5, 0))</f>
        <v>0</v>
      </c>
      <c r="AR20" s="47">
        <f t="array" ref="AR20">IF(AND(ISNUMBER(MATCH(AR$2, AsistenciaJetAdminConcatenada!$A:$A, 0)), ISNUMBER(MATCH(AR$1, AsistenciaJetAdminConcatenada!$B:$B, 0)), ISNUMBER(SEARCH($A20,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ISNUMBER(SEARCH($A20, INDEX(AsistenciaJetAdminConcatenada!$D:$D, MATCH(1, (AsistenciaJetAdminConcatenada!$A:$A=AR$2)*(AsistenciaJetAdminConcatenada!$B:$B=AR$1), 0)), 1))),  0.5, 0))</f>
        <v>1</v>
      </c>
      <c r="AS20" s="47">
        <f t="array" ref="AS20">IF(AND(ISNUMBER(MATCH(AS$2, AsistenciaJetAdminConcatenada!$A:$A, 0)), ISNUMBER(MATCH(AS$1, AsistenciaJetAdminConcatenada!$B:$B, 0)), ISNUMBER(SEARCH($A20,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ISNUMBER(SEARCH($A20, INDEX(AsistenciaJetAdminConcatenada!$D:$D, MATCH(1, (AsistenciaJetAdminConcatenada!$A:$A=AS$2)*(AsistenciaJetAdminConcatenada!$B:$B=AS$1), 0)), 1))),  0.5, 0))</f>
        <v>1</v>
      </c>
      <c r="AT20" s="47">
        <f t="array" ref="AT20">IF(AND(ISNUMBER(MATCH(AT$2, AsistenciaJetAdminConcatenada!$A:$A, 0)), ISNUMBER(MATCH(AT$1, AsistenciaJetAdminConcatenada!$B:$B, 0)), ISNUMBER(SEARCH($A20,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ISNUMBER(SEARCH($A20, INDEX(AsistenciaJetAdminConcatenada!$D:$D, MATCH(1, (AsistenciaJetAdminConcatenada!$A:$A=AT$2)*(AsistenciaJetAdminConcatenada!$B:$B=AT$1), 0)), 1))),  0.5, 0))</f>
        <v>0</v>
      </c>
      <c r="AU20" s="47">
        <f t="array" ref="AU20">IF(AND(ISNUMBER(MATCH(AU$2, AsistenciaJetAdminConcatenada!$A:$A, 0)), ISNUMBER(MATCH(AU$1, AsistenciaJetAdminConcatenada!$B:$B, 0)), ISNUMBER(SEARCH($A20,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ISNUMBER(SEARCH($A20, INDEX(AsistenciaJetAdminConcatenada!$D:$D, MATCH(1, (AsistenciaJetAdminConcatenada!$A:$A=AU$2)*(AsistenciaJetAdminConcatenada!$B:$B=AU$1), 0)), 1))),  0.5, 0))</f>
        <v>1</v>
      </c>
      <c r="AV20" s="8">
        <v>1.0</v>
      </c>
      <c r="AW20" s="8">
        <v>1.0</v>
      </c>
      <c r="AX20" s="8">
        <v>1.0</v>
      </c>
      <c r="AY20" s="47">
        <f t="array" ref="AY20">IF(AND(ISNUMBER(MATCH(AY$2, AsistenciaJetAdminConcatenada!$A:$A, 0)), ISNUMBER(MATCH(AY$1, AsistenciaJetAdminConcatenada!$B:$B, 0)), ISNUMBER(SEARCH($A20,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ISNUMBER(SEARCH($A20, INDEX(AsistenciaJetAdminConcatenada!$D:$D, MATCH(1, (AsistenciaJetAdminConcatenada!$A:$A=AY$2)*(AsistenciaJetAdminConcatenada!$B:$B=AY$1), 0)), 1))),  0.5, 0))</f>
        <v>1</v>
      </c>
      <c r="AZ20" s="47">
        <f t="array" ref="AZ20">IF(AND(ISNUMBER(MATCH(AZ$2, AsistenciaJetAdminConcatenada!$A:$A, 0)), ISNUMBER(MATCH(AZ$1, AsistenciaJetAdminConcatenada!$B:$B, 0)), ISNUMBER(SEARCH($A20,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ISNUMBER(SEARCH($A20, INDEX(AsistenciaJetAdminConcatenada!$D:$D, MATCH(1, (AsistenciaJetAdminConcatenada!$A:$A=AZ$2)*(AsistenciaJetAdminConcatenada!$B:$B=AZ$1), 0)), 1))),  0.5, 0))</f>
        <v>1</v>
      </c>
      <c r="BA20" s="47">
        <f t="array" ref="BA20">IF(AND(ISNUMBER(MATCH(BA$2, AsistenciaJetAdminConcatenada!$A:$A, 0)), ISNUMBER(MATCH(BA$1, AsistenciaJetAdminConcatenada!$B:$B, 0)), ISNUMBER(SEARCH($A20,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ISNUMBER(SEARCH($A20, INDEX(AsistenciaJetAdminConcatenada!$D:$D, MATCH(1, (AsistenciaJetAdminConcatenada!$A:$A=BA$2)*(AsistenciaJetAdminConcatenada!$B:$B=BA$1), 0)), 1))),  0.5, 0))</f>
        <v>1</v>
      </c>
      <c r="BB20" s="47">
        <f t="array" ref="BB20">IF(AND(ISNUMBER(MATCH(BB$2, AsistenciaJetAdminConcatenada!$A:$A, 0)), ISNUMBER(MATCH(BB$1, AsistenciaJetAdminConcatenada!$B:$B, 0)), ISNUMBER(SEARCH($A20,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ISNUMBER(SEARCH($A20, INDEX(AsistenciaJetAdminConcatenada!$D:$D, MATCH(1, (AsistenciaJetAdminConcatenada!$A:$A=BB$2)*(AsistenciaJetAdminConcatenada!$B:$B=BB$1), 0)), 1))),  0.5, 0))</f>
        <v>1</v>
      </c>
      <c r="BC20" s="47">
        <f t="array" ref="BC20">IF(AND(ISNUMBER(MATCH(BC$2, AsistenciaJetAdminConcatenada!$A:$A, 0)), ISNUMBER(MATCH(BC$1, AsistenciaJetAdminConcatenada!$B:$B, 0)), ISNUMBER(SEARCH($A20,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ISNUMBER(SEARCH($A20, INDEX(AsistenciaJetAdminConcatenada!$D:$D, MATCH(1, (AsistenciaJetAdminConcatenada!$A:$A=BC$2)*(AsistenciaJetAdminConcatenada!$B:$B=BC$1), 0)), 1))),  0.5, 0))</f>
        <v>1</v>
      </c>
      <c r="BD20" s="47">
        <f t="array" ref="BD20">IF(AND(ISNUMBER(MATCH(BD$2, AsistenciaJetAdminConcatenada!$A:$A, 0)), ISNUMBER(MATCH(BD$1, AsistenciaJetAdminConcatenada!$B:$B, 0)), ISNUMBER(SEARCH($A20,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ISNUMBER(SEARCH($A20, INDEX(AsistenciaJetAdminConcatenada!$D:$D, MATCH(1, (AsistenciaJetAdminConcatenada!$A:$A=BD$2)*(AsistenciaJetAdminConcatenada!$B:$B=BD$1), 0)), 1))),  0.5, 0))</f>
        <v>1</v>
      </c>
      <c r="BE20" s="47">
        <f t="array" ref="BE20">IF(AND(ISNUMBER(MATCH(BE$2, AsistenciaJetAdminConcatenada!$A:$A, 0)), ISNUMBER(MATCH(BE$1, AsistenciaJetAdminConcatenada!$B:$B, 0)), ISNUMBER(SEARCH($A20,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ISNUMBER(SEARCH($A20, INDEX(AsistenciaJetAdminConcatenada!$D:$D, MATCH(1, (AsistenciaJetAdminConcatenada!$A:$A=BE$2)*(AsistenciaJetAdminConcatenada!$B:$B=BE$1), 0)), 1))),  0.5, 0))</f>
        <v>1</v>
      </c>
      <c r="BF20" s="47">
        <f t="array" ref="BF20">IF(AND(ISNUMBER(MATCH(BF$2, AsistenciaJetAdminConcatenada!$A:$A, 0)), ISNUMBER(MATCH(BF$1, AsistenciaJetAdminConcatenada!$B:$B, 0)), ISNUMBER(SEARCH($A20,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ISNUMBER(SEARCH($A20, INDEX(AsistenciaJetAdminConcatenada!$D:$D, MATCH(1, (AsistenciaJetAdminConcatenada!$A:$A=BF$2)*(AsistenciaJetAdminConcatenada!$B:$B=BF$1), 0)), 1))),  0.5, 0))</f>
        <v>1</v>
      </c>
      <c r="BG20" s="47">
        <f t="array" ref="BG20">IF(AND(ISNUMBER(MATCH(BG$2, AsistenciaJetAdminConcatenada!$A:$A, 0)), ISNUMBER(MATCH(BG$1, AsistenciaJetAdminConcatenada!$B:$B, 0)), ISNUMBER(SEARCH($A20,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ISNUMBER(SEARCH($A20, INDEX(AsistenciaJetAdminConcatenada!$D:$D, MATCH(1, (AsistenciaJetAdminConcatenada!$A:$A=BG$2)*(AsistenciaJetAdminConcatenada!$B:$B=BG$1), 0)), 1))),  0.5, 0))</f>
        <v>1</v>
      </c>
      <c r="BH20" s="47">
        <f t="array" ref="BH20">IF(AND(ISNUMBER(MATCH(BH$2, AsistenciaJetAdminConcatenada!$A:$A, 0)), ISNUMBER(MATCH(BH$1, AsistenciaJetAdminConcatenada!$B:$B, 0)), ISNUMBER(SEARCH($A20,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ISNUMBER(SEARCH($A20, INDEX(AsistenciaJetAdminConcatenada!$D:$D, MATCH(1, (AsistenciaJetAdminConcatenada!$A:$A=BH$2)*(AsistenciaJetAdminConcatenada!$B:$B=BH$1), 0)), 1))),  0.5, 0))</f>
        <v>1</v>
      </c>
      <c r="BI20" s="47">
        <f t="array" ref="BI20">IF(AND(ISNUMBER(MATCH(BI$2, AsistenciaJetAdminConcatenada!$A:$A, 0)), ISNUMBER(MATCH(BI$1, AsistenciaJetAdminConcatenada!$B:$B, 0)), ISNUMBER(SEARCH($A20,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ISNUMBER(SEARCH($A20, INDEX(AsistenciaJetAdminConcatenada!$D:$D, MATCH(1, (AsistenciaJetAdminConcatenada!$A:$A=BI$2)*(AsistenciaJetAdminConcatenada!$B:$B=BI$1), 0)), 1))),  0.5, 0))</f>
        <v>0</v>
      </c>
      <c r="BJ20" s="47">
        <f t="array" ref="BJ20">IF(AND(ISNUMBER(MATCH(BJ$2, AsistenciaJetAdminConcatenada!$A:$A, 0)), ISNUMBER(MATCH(BJ$1, AsistenciaJetAdminConcatenada!$B:$B, 0)), ISNUMBER(SEARCH($A20,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ISNUMBER(SEARCH($A20, INDEX(AsistenciaJetAdminConcatenada!$D:$D, MATCH(1, (AsistenciaJetAdminConcatenada!$A:$A=BJ$2)*(AsistenciaJetAdminConcatenada!$B:$B=BJ$1), 0)), 1))),  0.5, 0))</f>
        <v>1</v>
      </c>
      <c r="BK20" s="47">
        <f t="array" ref="BK20">IF(AND(ISNUMBER(MATCH(BK$2, AsistenciaJetAdminConcatenada!$A:$A, 0)), ISNUMBER(MATCH(BK$1, AsistenciaJetAdminConcatenada!$B:$B, 0)), ISNUMBER(SEARCH($A20,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ISNUMBER(SEARCH($A20, INDEX(AsistenciaJetAdminConcatenada!$D:$D, MATCH(1, (AsistenciaJetAdminConcatenada!$A:$A=BK$2)*(AsistenciaJetAdminConcatenada!$B:$B=BK$1), 0)), 1))),  0.5, 0))</f>
        <v>1</v>
      </c>
      <c r="BL20" s="47">
        <f t="array" ref="BL20">IF(AND(ISNUMBER(MATCH(BL$2, AsistenciaJetAdminConcatenada!$A:$A, 0)), ISNUMBER(MATCH(BL$1, AsistenciaJetAdminConcatenada!$B:$B, 0)), ISNUMBER(SEARCH($A20,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ISNUMBER(SEARCH($A20, INDEX(AsistenciaJetAdminConcatenada!$D:$D, MATCH(1, (AsistenciaJetAdminConcatenada!$A:$A=BL$2)*(AsistenciaJetAdminConcatenada!$B:$B=BL$1), 0)), 1))),  0.5, 0))</f>
        <v>1</v>
      </c>
      <c r="BM20" s="47">
        <f t="array" ref="BM20">IF(AND(ISNUMBER(MATCH(BM$2, AsistenciaJetAdminConcatenada!$A:$A, 0)), ISNUMBER(MATCH(BM$1, AsistenciaJetAdminConcatenada!$B:$B, 0)), ISNUMBER(SEARCH($A20,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ISNUMBER(SEARCH($A20, INDEX(AsistenciaJetAdminConcatenada!$D:$D, MATCH(1, (AsistenciaJetAdminConcatenada!$A:$A=BM$2)*(AsistenciaJetAdminConcatenada!$B:$B=BM$1), 0)), 1))),  0.5, 0))</f>
        <v>1</v>
      </c>
      <c r="BN20" s="47">
        <f t="array" ref="BN20">IF(AND(ISNUMBER(MATCH(BN$2, AsistenciaJetAdminConcatenada!$A:$A, 0)), ISNUMBER(MATCH(BN$1, AsistenciaJetAdminConcatenada!$B:$B, 0)), ISNUMBER(SEARCH($A20,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ISNUMBER(SEARCH($A20, INDEX(AsistenciaJetAdminConcatenada!$D:$D, MATCH(1, (AsistenciaJetAdminConcatenada!$A:$A=BN$2)*(AsistenciaJetAdminConcatenada!$B:$B=BN$1), 0)), 1))),  0.5, 0))</f>
        <v>1</v>
      </c>
      <c r="BO20" s="47">
        <f t="array" ref="BO20">IF(AND(ISNUMBER(MATCH(BO$2, AsistenciaJetAdminConcatenada!$A:$A, 0)), ISNUMBER(MATCH(BO$1, AsistenciaJetAdminConcatenada!$B:$B, 0)), ISNUMBER(SEARCH($A20,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ISNUMBER(SEARCH($A20, INDEX(AsistenciaJetAdminConcatenada!$D:$D, MATCH(1, (AsistenciaJetAdminConcatenada!$A:$A=BO$2)*(AsistenciaJetAdminConcatenada!$B:$B=BO$1), 0)), 1))),  0.5, 0))</f>
        <v>1</v>
      </c>
      <c r="BP20" s="47">
        <f t="array" ref="BP20">IF(AND(ISNUMBER(MATCH(BP$2, AsistenciaJetAdminConcatenada!$A:$A, 0)), ISNUMBER(MATCH(BP$1, AsistenciaJetAdminConcatenada!$B:$B, 0)), ISNUMBER(SEARCH($A20,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ISNUMBER(SEARCH($A20, INDEX(AsistenciaJetAdminConcatenada!$D:$D, MATCH(1, (AsistenciaJetAdminConcatenada!$A:$A=BP$2)*(AsistenciaJetAdminConcatenada!$B:$B=BP$1), 0)), 1))),  0.5, 0))</f>
        <v>1</v>
      </c>
      <c r="BQ20" s="47">
        <f t="array" ref="BQ20">IF(AND(ISNUMBER(MATCH(BQ$2, AsistenciaJetAdminConcatenada!$A:$A, 0)), ISNUMBER(MATCH(BQ$1, AsistenciaJetAdminConcatenada!$B:$B, 0)), ISNUMBER(SEARCH($A20,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ISNUMBER(SEARCH($A20, INDEX(AsistenciaJetAdminConcatenada!$D:$D, MATCH(1, (AsistenciaJetAdminConcatenada!$A:$A=BQ$2)*(AsistenciaJetAdminConcatenada!$B:$B=BQ$1), 0)), 1))),  0.5, 0))</f>
        <v>1</v>
      </c>
      <c r="BR20" s="47">
        <f t="array" ref="BR20">IF(AND(ISNUMBER(MATCH(BR$2, AsistenciaJetAdminConcatenada!$A:$A, 0)), ISNUMBER(MATCH(BR$1, AsistenciaJetAdminConcatenada!$B:$B, 0)), ISNUMBER(SEARCH($A20,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ISNUMBER(SEARCH($A20, INDEX(AsistenciaJetAdminConcatenada!$D:$D, MATCH(1, (AsistenciaJetAdminConcatenada!$A:$A=BR$2)*(AsistenciaJetAdminConcatenada!$B:$B=BR$1), 0)), 1))),  0.5, 0))</f>
        <v>1</v>
      </c>
      <c r="BS20" s="47">
        <f t="array" ref="BS20">IF(AND(ISNUMBER(MATCH(BS$2, AsistenciaJetAdminConcatenada!$A:$A, 0)), ISNUMBER(MATCH(BS$1, AsistenciaJetAdminConcatenada!$B:$B, 0)), ISNUMBER(SEARCH($A20,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ISNUMBER(SEARCH($A20, INDEX(AsistenciaJetAdminConcatenada!$D:$D, MATCH(1, (AsistenciaJetAdminConcatenada!$A:$A=BS$2)*(AsistenciaJetAdminConcatenada!$B:$B=BS$1), 0)), 1))),  0.5, 0))</f>
        <v>1</v>
      </c>
      <c r="BT20" s="47">
        <f t="array" ref="BT20">IF(AND(ISNUMBER(MATCH(BT$2, AsistenciaJetAdminConcatenada!$A:$A, 0)), ISNUMBER(MATCH(BT$1, AsistenciaJetAdminConcatenada!$B:$B, 0)), ISNUMBER(SEARCH($A20,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ISNUMBER(SEARCH($A20, INDEX(AsistenciaJetAdminConcatenada!$D:$D, MATCH(1, (AsistenciaJetAdminConcatenada!$A:$A=BT$2)*(AsistenciaJetAdminConcatenada!$B:$B=BT$1), 0)), 1))),  0.5, 0))</f>
        <v>1</v>
      </c>
      <c r="BU20" s="47">
        <f t="array" ref="BU20">IF(AND(ISNUMBER(MATCH(BU$2, AsistenciaJetAdminConcatenada!$A:$A, 0)), ISNUMBER(MATCH(BU$1, AsistenciaJetAdminConcatenada!$B:$B, 0)), ISNUMBER(SEARCH($A20,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ISNUMBER(SEARCH($A20, INDEX(AsistenciaJetAdminConcatenada!$D:$D, MATCH(1, (AsistenciaJetAdminConcatenada!$A:$A=BU$2)*(AsistenciaJetAdminConcatenada!$B:$B=BU$1), 0)), 1))),  0.5, 0))</f>
        <v>1</v>
      </c>
      <c r="BV20" s="47">
        <f t="array" ref="BV20">IF(AND(ISNUMBER(MATCH(BV$2, AsistenciaJetAdminConcatenada!$A:$A, 0)), ISNUMBER(MATCH(BV$1, AsistenciaJetAdminConcatenada!$B:$B, 0)), ISNUMBER(SEARCH($A20,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ISNUMBER(SEARCH($A20, INDEX(AsistenciaJetAdminConcatenada!$D:$D, MATCH(1, (AsistenciaJetAdminConcatenada!$A:$A=BV$2)*(AsistenciaJetAdminConcatenada!$B:$B=BV$1), 0)), 1))),  0.5, 0))</f>
        <v>0</v>
      </c>
      <c r="BW20" s="47">
        <f t="array" ref="BW20">IF(AND(ISNUMBER(MATCH(BW$2, AsistenciaJetAdminConcatenada!$A:$A, 0)), ISNUMBER(MATCH(BW$1, AsistenciaJetAdminConcatenada!$B:$B, 0)), ISNUMBER(SEARCH($A20,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ISNUMBER(SEARCH($A20, INDEX(AsistenciaJetAdminConcatenada!$D:$D, MATCH(1, (AsistenciaJetAdminConcatenada!$A:$A=BW$2)*(AsistenciaJetAdminConcatenada!$B:$B=BW$1), 0)), 1))),  0.5, 0))</f>
        <v>1</v>
      </c>
      <c r="BX20" s="47">
        <f t="array" ref="BX20">IF(AND(ISNUMBER(MATCH(BX$2, AsistenciaJetAdminConcatenada!$A:$A, 0)), ISNUMBER(MATCH(BX$1, AsistenciaJetAdminConcatenada!$B:$B, 0)), ISNUMBER(SEARCH($A20,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ISNUMBER(SEARCH($A20, INDEX(AsistenciaJetAdminConcatenada!$D:$D, MATCH(1, (AsistenciaJetAdminConcatenada!$A:$A=BX$2)*(AsistenciaJetAdminConcatenada!$B:$B=BX$1), 0)), 1))),  0.5, 0))</f>
        <v>1</v>
      </c>
      <c r="BY20" s="47">
        <f t="array" ref="BY20">IF(AND(ISNUMBER(MATCH(BY$2, AsistenciaJetAdminConcatenada!$A:$A, 0)), ISNUMBER(MATCH(BY$1, AsistenciaJetAdminConcatenada!$B:$B, 0)), ISNUMBER(SEARCH($A20,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ISNUMBER(SEARCH($A20, INDEX(AsistenciaJetAdminConcatenada!$D:$D, MATCH(1, (AsistenciaJetAdminConcatenada!$A:$A=BY$2)*(AsistenciaJetAdminConcatenada!$B:$B=BY$1), 0)), 1))),  0.5, 0))</f>
        <v>1</v>
      </c>
      <c r="BZ20" s="47">
        <f t="array" ref="BZ20">IF(AND(ISNUMBER(MATCH(BZ$2, AsistenciaJetAdminConcatenada!$A:$A, 0)), ISNUMBER(MATCH(BZ$1, AsistenciaJetAdminConcatenada!$B:$B, 0)), ISNUMBER(SEARCH($A20,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ISNUMBER(SEARCH($A20, INDEX(AsistenciaJetAdminConcatenada!$D:$D, MATCH(1, (AsistenciaJetAdminConcatenada!$A:$A=BZ$2)*(AsistenciaJetAdminConcatenada!$B:$B=BZ$1), 0)), 1))),  0.5, 0))</f>
        <v>1</v>
      </c>
      <c r="CA20" s="47">
        <f t="array" ref="CA20">IF(AND(ISNUMBER(MATCH(CA$2, AsistenciaJetAdminConcatenada!$A:$A, 0)), ISNUMBER(MATCH(CA$1, AsistenciaJetAdminConcatenada!$B:$B, 0)), ISNUMBER(SEARCH($A20,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ISNUMBER(SEARCH($A20, INDEX(AsistenciaJetAdminConcatenada!$D:$D, MATCH(1, (AsistenciaJetAdminConcatenada!$A:$A=CA$2)*(AsistenciaJetAdminConcatenada!$B:$B=CA$1), 0)), 1))),  0.5, 0))</f>
        <v>1</v>
      </c>
      <c r="CB20" s="47">
        <f t="array" ref="CB20">IF(AND(ISNUMBER(MATCH(CB$2, AsistenciaJetAdminConcatenada!$A:$A, 0)), ISNUMBER(MATCH(CB$1, AsistenciaJetAdminConcatenada!$B:$B, 0)), ISNUMBER(SEARCH($A20,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ISNUMBER(SEARCH($A20, INDEX(AsistenciaJetAdminConcatenada!$D:$D, MATCH(1, (AsistenciaJetAdminConcatenada!$A:$A=CB$2)*(AsistenciaJetAdminConcatenada!$B:$B=CB$1), 0)), 1))),  0.5, 0))</f>
        <v>0</v>
      </c>
      <c r="CC20" s="47">
        <f t="array" ref="CC20">IF(AND(ISNUMBER(MATCH(CC$2, AsistenciaJetAdminConcatenada!$A:$A, 0)), ISNUMBER(MATCH(CC$1, AsistenciaJetAdminConcatenada!$B:$B, 0)), ISNUMBER(SEARCH($A20,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ISNUMBER(SEARCH($A20, INDEX(AsistenciaJetAdminConcatenada!$D:$D, MATCH(1, (AsistenciaJetAdminConcatenada!$A:$A=CC$2)*(AsistenciaJetAdminConcatenada!$B:$B=CC$1), 0)), 1))),  0.5, 0))</f>
        <v>1</v>
      </c>
      <c r="CD20" s="47">
        <f t="array" ref="CD20">IF(AND(ISNUMBER(MATCH(CD$2, AsistenciaJetAdminConcatenada!$A:$A, 0)), ISNUMBER(MATCH(CD$1, AsistenciaJetAdminConcatenada!$B:$B, 0)), ISNUMBER(SEARCH($A20,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ISNUMBER(SEARCH($A20, INDEX(AsistenciaJetAdminConcatenada!$D:$D, MATCH(1, (AsistenciaJetAdminConcatenada!$A:$A=CD$2)*(AsistenciaJetAdminConcatenada!$B:$B=CD$1), 0)), 1))),  0.5, 0))</f>
        <v>1</v>
      </c>
      <c r="CE20" s="47">
        <f t="array" ref="CE20">IF(AND(ISNUMBER(MATCH(CE$2, AsistenciaJetAdminConcatenada!$A:$A, 0)), ISNUMBER(MATCH(CE$1, AsistenciaJetAdminConcatenada!$B:$B, 0)), ISNUMBER(SEARCH($A20,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ISNUMBER(SEARCH($A20, INDEX(AsistenciaJetAdminConcatenada!$D:$D, MATCH(1, (AsistenciaJetAdminConcatenada!$A:$A=CE$2)*(AsistenciaJetAdminConcatenada!$B:$B=CE$1), 0)), 1))),  0.5, 0))</f>
        <v>1</v>
      </c>
      <c r="CF20" s="47">
        <f t="array" ref="CF20">IF(AND(ISNUMBER(MATCH(CF$2, AsistenciaJetAdminConcatenada!$A:$A, 0)), ISNUMBER(MATCH(CF$1, AsistenciaJetAdminConcatenada!$B:$B, 0)), ISNUMBER(SEARCH($A20,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ISNUMBER(SEARCH($A20, INDEX(AsistenciaJetAdminConcatenada!$D:$D, MATCH(1, (AsistenciaJetAdminConcatenada!$A:$A=CF$2)*(AsistenciaJetAdminConcatenada!$B:$B=CF$1), 0)), 1))),  0.5, 0))</f>
        <v>1</v>
      </c>
      <c r="CG20" s="47">
        <f t="array" ref="CG20">IF(AND(ISNUMBER(MATCH(CG$2, AsistenciaJetAdminConcatenada!$A:$A, 0)), ISNUMBER(MATCH(CG$1, AsistenciaJetAdminConcatenada!$B:$B, 0)), ISNUMBER(SEARCH($A20,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ISNUMBER(SEARCH($A20, INDEX(AsistenciaJetAdminConcatenada!$D:$D, MATCH(1, (AsistenciaJetAdminConcatenada!$A:$A=CG$2)*(AsistenciaJetAdminConcatenada!$B:$B=CG$1), 0)), 1))),  0.5, 0))</f>
        <v>0</v>
      </c>
      <c r="CH20" s="47">
        <f t="array" ref="CH20">IF(AND(ISNUMBER(MATCH(CH$2, AsistenciaJetAdminConcatenada!$A:$A, 0)), ISNUMBER(MATCH(CH$1, AsistenciaJetAdminConcatenada!$B:$B, 0)), ISNUMBER(SEARCH($A20,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ISNUMBER(SEARCH($A20, INDEX(AsistenciaJetAdminConcatenada!$D:$D, MATCH(1, (AsistenciaJetAdminConcatenada!$A:$A=CH$2)*(AsistenciaJetAdminConcatenada!$B:$B=CH$1), 0)), 1))),  0.5, 0))</f>
        <v>0</v>
      </c>
      <c r="CI20" s="47">
        <f t="array" ref="CI20">IF(AND(ISNUMBER(MATCH(CI$2, AsistenciaJetAdminConcatenada!$A:$A, 0)), ISNUMBER(MATCH(CI$1, AsistenciaJetAdminConcatenada!$B:$B, 0)), ISNUMBER(SEARCH($A20,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ISNUMBER(SEARCH($A20, INDEX(AsistenciaJetAdminConcatenada!$D:$D, MATCH(1, (AsistenciaJetAdminConcatenada!$A:$A=CI$2)*(AsistenciaJetAdminConcatenada!$B:$B=CI$1), 0)), 1))),  0.5, 0))</f>
        <v>1</v>
      </c>
      <c r="CJ20" s="47">
        <f t="array" ref="CJ20">IF(AND(ISNUMBER(MATCH(CJ$2, AsistenciaJetAdminConcatenada!$A:$A, 0)), ISNUMBER(MATCH(CJ$1, AsistenciaJetAdminConcatenada!$B:$B, 0)), ISNUMBER(SEARCH($A20,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ISNUMBER(SEARCH($A20, INDEX(AsistenciaJetAdminConcatenada!$D:$D, MATCH(1, (AsistenciaJetAdminConcatenada!$A:$A=CJ$2)*(AsistenciaJetAdminConcatenada!$B:$B=CJ$1), 0)), 1))),  0.5, 0))</f>
        <v>1</v>
      </c>
      <c r="CK20" s="47">
        <f t="array" ref="CK20">IF(AND(ISNUMBER(MATCH(CK$2, AsistenciaJetAdminConcatenada!$A:$A, 0)), ISNUMBER(MATCH(CK$1, AsistenciaJetAdminConcatenada!$B:$B, 0)), ISNUMBER(SEARCH($A20,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ISNUMBER(SEARCH($A20, INDEX(AsistenciaJetAdminConcatenada!$D:$D, MATCH(1, (AsistenciaJetAdminConcatenada!$A:$A=CK$2)*(AsistenciaJetAdminConcatenada!$B:$B=CK$1), 0)), 1))),  0.5, 0))</f>
        <v>0</v>
      </c>
      <c r="CL20" s="47">
        <f t="array" ref="CL20">IF(AND(ISNUMBER(MATCH(CL$2, AsistenciaJetAdminConcatenada!$A:$A, 0)), ISNUMBER(MATCH(CL$1, AsistenciaJetAdminConcatenada!$B:$B, 0)), ISNUMBER(SEARCH($A20,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ISNUMBER(SEARCH($A20, INDEX(AsistenciaJetAdminConcatenada!$D:$D, MATCH(1, (AsistenciaJetAdminConcatenada!$A:$A=CL$2)*(AsistenciaJetAdminConcatenada!$B:$B=CL$1), 0)), 1))),  0.5, 0))</f>
        <v>1</v>
      </c>
      <c r="CM20" s="47">
        <f t="array" ref="CM20">IF(AND(ISNUMBER(MATCH(CM$2, AsistenciaJetAdminConcatenada!$A:$A, 0)), ISNUMBER(MATCH(CM$1, AsistenciaJetAdminConcatenada!$B:$B, 0)), ISNUMBER(SEARCH($A20,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ISNUMBER(SEARCH($A20, INDEX(AsistenciaJetAdminConcatenada!$D:$D, MATCH(1, (AsistenciaJetAdminConcatenada!$A:$A=CM$2)*(AsistenciaJetAdminConcatenada!$B:$B=CM$1), 0)), 1))),  0.5, 0))</f>
        <v>1</v>
      </c>
      <c r="CN20" s="47">
        <f t="array" ref="CN20">IF(AND(ISNUMBER(MATCH(CN$2, AsistenciaJetAdminConcatenada!$A:$A, 0)), ISNUMBER(MATCH(CN$1, AsistenciaJetAdminConcatenada!$B:$B, 0)), ISNUMBER(SEARCH($A20,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ISNUMBER(SEARCH($A20, INDEX(AsistenciaJetAdminConcatenada!$D:$D, MATCH(1, (AsistenciaJetAdminConcatenada!$A:$A=CN$2)*(AsistenciaJetAdminConcatenada!$B:$B=CN$1), 0)), 1))),  0.5, 0))</f>
        <v>1</v>
      </c>
      <c r="CO20" s="47">
        <f t="array" ref="CO20">IF(AND(ISNUMBER(MATCH(CO$2, AsistenciaJetAdminConcatenada!$A:$A, 0)), ISNUMBER(MATCH(CO$1, AsistenciaJetAdminConcatenada!$B:$B, 0)), ISNUMBER(SEARCH($A20,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ISNUMBER(SEARCH($A20, INDEX(AsistenciaJetAdminConcatenada!$D:$D, MATCH(1, (AsistenciaJetAdminConcatenada!$A:$A=CO$2)*(AsistenciaJetAdminConcatenada!$B:$B=CO$1), 0)), 1))),  0.5, 0))</f>
        <v>1</v>
      </c>
      <c r="CP20" s="47">
        <f t="array" ref="CP20">IF(AND(ISNUMBER(MATCH(CP$2, AsistenciaJetAdminConcatenada!$A:$A, 0)), ISNUMBER(MATCH(CP$1, AsistenciaJetAdminConcatenada!$B:$B, 0)), ISNUMBER(SEARCH($A20,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ISNUMBER(SEARCH($A20, INDEX(AsistenciaJetAdminConcatenada!$D:$D, MATCH(1, (AsistenciaJetAdminConcatenada!$A:$A=CP$2)*(AsistenciaJetAdminConcatenada!$B:$B=CP$1), 0)), 1))),  0.5, 0))</f>
        <v>1</v>
      </c>
      <c r="CQ20" s="47">
        <f t="array" ref="CQ20">IF(AND(ISNUMBER(MATCH(CQ$2, AsistenciaJetAdminConcatenada!$A:$A, 0)), ISNUMBER(MATCH(CQ$1, AsistenciaJetAdminConcatenada!$B:$B, 0)), ISNUMBER(SEARCH($A20,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ISNUMBER(SEARCH($A20, INDEX(AsistenciaJetAdminConcatenada!$D:$D, MATCH(1, (AsistenciaJetAdminConcatenada!$A:$A=CQ$2)*(AsistenciaJetAdminConcatenada!$B:$B=CQ$1), 0)), 1))),  0.5, 0))</f>
        <v>1</v>
      </c>
      <c r="CR20" s="47">
        <f t="array" ref="CR20">IF(AND(ISNUMBER(MATCH(CR$2, AsistenciaJetAdminConcatenada!$A:$A, 0)), ISNUMBER(MATCH(CR$1, AsistenciaJetAdminConcatenada!$B:$B, 0)), ISNUMBER(SEARCH($A20,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ISNUMBER(SEARCH($A20, INDEX(AsistenciaJetAdminConcatenada!$D:$D, MATCH(1, (AsistenciaJetAdminConcatenada!$A:$A=CR$2)*(AsistenciaJetAdminConcatenada!$B:$B=CR$1), 0)), 1))),  0.5, 0))</f>
        <v>1</v>
      </c>
      <c r="CS20" s="47">
        <f t="array" ref="CS20">IF(AND(ISNUMBER(MATCH(CS$2, AsistenciaJetAdminConcatenada!$A:$A, 0)), ISNUMBER(MATCH(CS$1, AsistenciaJetAdminConcatenada!$B:$B, 0)), ISNUMBER(SEARCH($A20,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ISNUMBER(SEARCH($A20, INDEX(AsistenciaJetAdminConcatenada!$D:$D, MATCH(1, (AsistenciaJetAdminConcatenada!$A:$A=CS$2)*(AsistenciaJetAdminConcatenada!$B:$B=CS$1), 0)), 1))),  0.5, 0))</f>
        <v>0</v>
      </c>
      <c r="CT20" s="47">
        <f t="array" ref="CT20">IF(AND(ISNUMBER(MATCH(CT$2, AsistenciaJetAdminConcatenada!$A:$A, 0)), ISNUMBER(MATCH(CT$1, AsistenciaJetAdminConcatenada!$B:$B, 0)), ISNUMBER(SEARCH($A20,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ISNUMBER(SEARCH($A20, INDEX(AsistenciaJetAdminConcatenada!$D:$D, MATCH(1, (AsistenciaJetAdminConcatenada!$A:$A=CT$2)*(AsistenciaJetAdminConcatenada!$B:$B=CT$1), 0)), 1))),  0.5, 0))</f>
        <v>0</v>
      </c>
      <c r="CU20" s="47">
        <f t="array" ref="CU20">IF(AND(ISNUMBER(MATCH(CU$2, AsistenciaJetAdminConcatenada!$A:$A, 0)), ISNUMBER(MATCH(CU$1, AsistenciaJetAdminConcatenada!$B:$B, 0)), ISNUMBER(SEARCH($A20,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ISNUMBER(SEARCH($A20, INDEX(AsistenciaJetAdminConcatenada!$D:$D, MATCH(1, (AsistenciaJetAdminConcatenada!$A:$A=CU$2)*(AsistenciaJetAdminConcatenada!$B:$B=CU$1), 0)), 1))),  0.5, 0))</f>
        <v>0</v>
      </c>
      <c r="CV20" s="47">
        <f t="array" ref="CV20">IF(AND(ISNUMBER(MATCH(CV$2, AsistenciaJetAdminConcatenada!$A:$A, 0)), ISNUMBER(MATCH(CV$1, AsistenciaJetAdminConcatenada!$B:$B, 0)), ISNUMBER(SEARCH($A20,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ISNUMBER(SEARCH($A20, INDEX(AsistenciaJetAdminConcatenada!$D:$D, MATCH(1, (AsistenciaJetAdminConcatenada!$A:$A=CV$2)*(AsistenciaJetAdminConcatenada!$B:$B=CV$1), 0)), 1))),  0.5, 0))</f>
        <v>0</v>
      </c>
      <c r="CW20" s="47">
        <f t="array" ref="CW20">IF(AND(ISNUMBER(MATCH(CW$2, AsistenciaJetAdminConcatenada!$A:$A, 0)), ISNUMBER(MATCH(CW$1, AsistenciaJetAdminConcatenada!$B:$B, 0)), ISNUMBER(SEARCH($A20,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ISNUMBER(SEARCH($A20, INDEX(AsistenciaJetAdminConcatenada!$D:$D, MATCH(1, (AsistenciaJetAdminConcatenada!$A:$A=CW$2)*(AsistenciaJetAdminConcatenada!$B:$B=CW$1), 0)), 1))),  0.5, 0))</f>
        <v>0</v>
      </c>
      <c r="CX20" s="47">
        <f t="array" ref="CX20">IF(AND(ISNUMBER(MATCH(CX$2, AsistenciaJetAdminConcatenada!$A:$A, 0)), ISNUMBER(MATCH(CX$1, AsistenciaJetAdminConcatenada!$B:$B, 0)), ISNUMBER(SEARCH($A20,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ISNUMBER(SEARCH($A20, INDEX(AsistenciaJetAdminConcatenada!$D:$D, MATCH(1, (AsistenciaJetAdminConcatenada!$A:$A=CX$2)*(AsistenciaJetAdminConcatenada!$B:$B=CX$1), 0)), 1))),  0.5, 0))</f>
        <v>0</v>
      </c>
      <c r="CY20" s="47">
        <f t="array" ref="CY20">IF(AND(ISNUMBER(MATCH(CY$2, AsistenciaJetAdminConcatenada!$A:$A, 0)), ISNUMBER(MATCH(CY$1, AsistenciaJetAdminConcatenada!$B:$B, 0)), ISNUMBER(SEARCH($A20,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ISNUMBER(SEARCH($A20, INDEX(AsistenciaJetAdminConcatenada!$D:$D, MATCH(1, (AsistenciaJetAdminConcatenada!$A:$A=CY$2)*(AsistenciaJetAdminConcatenada!$B:$B=CY$1), 0)), 1))),  0.5, 0))</f>
        <v>0</v>
      </c>
      <c r="CZ20" s="47">
        <f t="array" ref="CZ20">IF(AND(ISNUMBER(MATCH(CZ$2, AsistenciaJetAdminConcatenada!$A:$A, 0)), ISNUMBER(MATCH(CZ$1, AsistenciaJetAdminConcatenada!$B:$B, 0)), ISNUMBER(SEARCH($A20,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ISNUMBER(SEARCH($A20, INDEX(AsistenciaJetAdminConcatenada!$D:$D, MATCH(1, (AsistenciaJetAdminConcatenada!$A:$A=CZ$2)*(AsistenciaJetAdminConcatenada!$B:$B=CZ$1), 0)), 1))),  0.5, 0))</f>
        <v>0</v>
      </c>
      <c r="DA20" s="47">
        <f t="array" ref="DA20">IF(AND(ISNUMBER(MATCH(DA$2, AsistenciaJetAdminConcatenada!$A:$A, 0)), ISNUMBER(MATCH(DA$1, AsistenciaJetAdminConcatenada!$B:$B, 0)), ISNUMBER(SEARCH($A20,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ISNUMBER(SEARCH($A20, INDEX(AsistenciaJetAdminConcatenada!$D:$D, MATCH(1, (AsistenciaJetAdminConcatenada!$A:$A=DA$2)*(AsistenciaJetAdminConcatenada!$B:$B=DA$1), 0)), 1))),  0.5, 0))</f>
        <v>0</v>
      </c>
      <c r="DB20" s="47">
        <f t="array" ref="DB20">IF(AND(ISNUMBER(MATCH(DB$2, AsistenciaJetAdminConcatenada!$A:$A, 0)), ISNUMBER(MATCH(DB$1, AsistenciaJetAdminConcatenada!$B:$B, 0)), ISNUMBER(SEARCH($A20,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ISNUMBER(SEARCH($A20, INDEX(AsistenciaJetAdminConcatenada!$D:$D, MATCH(1, (AsistenciaJetAdminConcatenada!$A:$A=DB$2)*(AsistenciaJetAdminConcatenada!$B:$B=DB$1), 0)), 1))),  0.5, 0))</f>
        <v>0</v>
      </c>
      <c r="DC20" s="47">
        <f t="array" ref="DC20">IF(AND(ISNUMBER(MATCH(DC$2, AsistenciaJetAdminConcatenada!$A:$A, 0)), ISNUMBER(MATCH(DC$1, AsistenciaJetAdminConcatenada!$B:$B, 0)), ISNUMBER(SEARCH($A20,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ISNUMBER(SEARCH($A20, INDEX(AsistenciaJetAdminConcatenada!$D:$D, MATCH(1, (AsistenciaJetAdminConcatenada!$A:$A=DC$2)*(AsistenciaJetAdminConcatenada!$B:$B=DC$1), 0)), 1))),  0.5, 0))</f>
        <v>0</v>
      </c>
      <c r="DD20" s="47">
        <f t="array" ref="DD20">IF(AND(ISNUMBER(MATCH(DD$2, AsistenciaJetAdminConcatenada!$A:$A, 0)), ISNUMBER(MATCH(DD$1, AsistenciaJetAdminConcatenada!$B:$B, 0)), ISNUMBER(SEARCH($A20,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ISNUMBER(SEARCH($A20, INDEX(AsistenciaJetAdminConcatenada!$D:$D, MATCH(1, (AsistenciaJetAdminConcatenada!$A:$A=DD$2)*(AsistenciaJetAdminConcatenada!$B:$B=DD$1), 0)), 1))),  0.5, 0))</f>
        <v>0</v>
      </c>
      <c r="DE20" s="47">
        <f t="array" ref="DE20">IF(AND(ISNUMBER(MATCH(DE$2, AsistenciaJetAdminConcatenada!$A:$A, 0)), ISNUMBER(MATCH(DE$1, AsistenciaJetAdminConcatenada!$B:$B, 0)), ISNUMBER(SEARCH($A20,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ISNUMBER(SEARCH($A20, INDEX(AsistenciaJetAdminConcatenada!$D:$D, MATCH(1, (AsistenciaJetAdminConcatenada!$A:$A=DE$2)*(AsistenciaJetAdminConcatenada!$B:$B=DE$1), 0)), 1))),  0.5, 0))</f>
        <v>0</v>
      </c>
      <c r="DF20" s="47">
        <f t="array" ref="DF20">IF(AND(ISNUMBER(MATCH(DF$2, AsistenciaJetAdminConcatenada!$A:$A, 0)), ISNUMBER(MATCH(DF$1, AsistenciaJetAdminConcatenada!$B:$B, 0)), ISNUMBER(SEARCH($A20,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ISNUMBER(SEARCH($A20, INDEX(AsistenciaJetAdminConcatenada!$D:$D, MATCH(1, (AsistenciaJetAdminConcatenada!$A:$A=DF$2)*(AsistenciaJetAdminConcatenada!$B:$B=DF$1), 0)), 1))),  0.5, 0))</f>
        <v>0</v>
      </c>
      <c r="DG20" s="47">
        <f t="array" ref="DG20">IF(AND(ISNUMBER(MATCH(DG$2, AsistenciaJetAdminConcatenada!$A:$A, 0)), ISNUMBER(MATCH(DG$1, AsistenciaJetAdminConcatenada!$B:$B, 0)), ISNUMBER(SEARCH($A20,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ISNUMBER(SEARCH($A20, INDEX(AsistenciaJetAdminConcatenada!$D:$D, MATCH(1, (AsistenciaJetAdminConcatenada!$A:$A=DG$2)*(AsistenciaJetAdminConcatenada!$B:$B=DG$1), 0)), 1))),  0.5, 0))</f>
        <v>0</v>
      </c>
      <c r="DH20" s="47">
        <f t="array" ref="DH20">IF(AND(ISNUMBER(MATCH(DH$2, AsistenciaJetAdminConcatenada!$A:$A, 0)), ISNUMBER(MATCH(DH$1, AsistenciaJetAdminConcatenada!$B:$B, 0)), ISNUMBER(SEARCH($A20,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ISNUMBER(SEARCH($A20, INDEX(AsistenciaJetAdminConcatenada!$D:$D, MATCH(1, (AsistenciaJetAdminConcatenada!$A:$A=DH$2)*(AsistenciaJetAdminConcatenada!$B:$B=DH$1), 0)), 1))),  0.5, 0))</f>
        <v>0</v>
      </c>
      <c r="DI20" s="47">
        <f t="array" ref="DI20">IF(AND(ISNUMBER(MATCH(DI$2, AsistenciaJetAdminConcatenada!$A:$A, 0)), ISNUMBER(MATCH(DI$1, AsistenciaJetAdminConcatenada!$B:$B, 0)), ISNUMBER(SEARCH($A20,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ISNUMBER(SEARCH($A20, INDEX(AsistenciaJetAdminConcatenada!$D:$D, MATCH(1, (AsistenciaJetAdminConcatenada!$A:$A=DI$2)*(AsistenciaJetAdminConcatenada!$B:$B=DI$1), 0)), 1))),  0.5, 0))</f>
        <v>0</v>
      </c>
      <c r="DJ20" s="47">
        <f t="array" ref="DJ20">IF(AND(ISNUMBER(MATCH(DJ$2, AsistenciaJetAdminConcatenada!$A:$A, 0)), ISNUMBER(MATCH(DJ$1, AsistenciaJetAdminConcatenada!$B:$B, 0)), ISNUMBER(SEARCH($A20,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ISNUMBER(SEARCH($A20, INDEX(AsistenciaJetAdminConcatenada!$D:$D, MATCH(1, (AsistenciaJetAdminConcatenada!$A:$A=DJ$2)*(AsistenciaJetAdminConcatenada!$B:$B=DJ$1), 0)), 1))),  0.5, 0))</f>
        <v>0</v>
      </c>
      <c r="DK20" s="47">
        <f t="array" ref="DK20">IF(AND(ISNUMBER(MATCH(DK$2, AsistenciaJetAdminConcatenada!$A:$A, 0)), ISNUMBER(MATCH(DK$1, AsistenciaJetAdminConcatenada!$B:$B, 0)), ISNUMBER(SEARCH($A20,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ISNUMBER(SEARCH($A20, INDEX(AsistenciaJetAdminConcatenada!$D:$D, MATCH(1, (AsistenciaJetAdminConcatenada!$A:$A=DK$2)*(AsistenciaJetAdminConcatenada!$B:$B=DK$1), 0)), 1))),  0.5, 0))</f>
        <v>0</v>
      </c>
      <c r="DL20" s="47">
        <f t="array" ref="DL20">IF(AND(ISNUMBER(MATCH(DL$2, AsistenciaJetAdminConcatenada!$A:$A, 0)), ISNUMBER(MATCH(DL$1, AsistenciaJetAdminConcatenada!$B:$B, 0)), ISNUMBER(SEARCH($A20,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ISNUMBER(SEARCH($A20, INDEX(AsistenciaJetAdminConcatenada!$D:$D, MATCH(1, (AsistenciaJetAdminConcatenada!$A:$A=DL$2)*(AsistenciaJetAdminConcatenada!$B:$B=DL$1), 0)), 1))),  0.5, 0))</f>
        <v>0</v>
      </c>
      <c r="DM20" s="47">
        <f t="array" ref="DM20">IF(AND(ISNUMBER(MATCH(DM$2, AsistenciaJetAdminConcatenada!$A:$A, 0)), ISNUMBER(MATCH(DM$1, AsistenciaJetAdminConcatenada!$B:$B, 0)), ISNUMBER(SEARCH($A20,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ISNUMBER(SEARCH($A20, INDEX(AsistenciaJetAdminConcatenada!$D:$D, MATCH(1, (AsistenciaJetAdminConcatenada!$A:$A=DM$2)*(AsistenciaJetAdminConcatenada!$B:$B=DM$1), 0)), 1))),  0.5, 0))</f>
        <v>0</v>
      </c>
      <c r="DN20" s="47">
        <f t="array" ref="DN20">IF(AND(ISNUMBER(MATCH(DN$2, AsistenciaJetAdminConcatenada!$A:$A, 0)), ISNUMBER(MATCH(DN$1, AsistenciaJetAdminConcatenada!$B:$B, 0)), ISNUMBER(SEARCH($A20,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ISNUMBER(SEARCH($A20, INDEX(AsistenciaJetAdminConcatenada!$D:$D, MATCH(1, (AsistenciaJetAdminConcatenada!$A:$A=DN$2)*(AsistenciaJetAdminConcatenada!$B:$B=DN$1), 0)), 1))),  0.5, 0))</f>
        <v>0</v>
      </c>
      <c r="DO20" s="47">
        <f t="array" ref="DO20">IF(AND(ISNUMBER(MATCH(DO$2, AsistenciaJetAdminConcatenada!$A:$A, 0)), ISNUMBER(MATCH(DO$1, AsistenciaJetAdminConcatenada!$B:$B, 0)), ISNUMBER(SEARCH($A20,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ISNUMBER(SEARCH($A20, INDEX(AsistenciaJetAdminConcatenada!$D:$D, MATCH(1, (AsistenciaJetAdminConcatenada!$A:$A=DO$2)*(AsistenciaJetAdminConcatenada!$B:$B=DO$1), 0)), 1))),  0.5, 0))</f>
        <v>0</v>
      </c>
      <c r="DP20" s="47">
        <f t="array" ref="DP20">IF(AND(ISNUMBER(MATCH(DP$2, AsistenciaJetAdminConcatenada!$A:$A, 0)), ISNUMBER(MATCH(DP$1, AsistenciaJetAdminConcatenada!$B:$B, 0)), ISNUMBER(SEARCH($A20,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ISNUMBER(SEARCH($A20, INDEX(AsistenciaJetAdminConcatenada!$D:$D, MATCH(1, (AsistenciaJetAdminConcatenada!$A:$A=DP$2)*(AsistenciaJetAdminConcatenada!$B:$B=DP$1), 0)), 1))),  0.5, 0))</f>
        <v>0</v>
      </c>
      <c r="DQ20" s="47">
        <f t="array" ref="DQ20">IF(AND(ISNUMBER(MATCH(DQ$2, AsistenciaJetAdminConcatenada!$A:$A, 0)), ISNUMBER(MATCH(DQ$1, AsistenciaJetAdminConcatenada!$B:$B, 0)), ISNUMBER(SEARCH($A20,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ISNUMBER(SEARCH($A20, INDEX(AsistenciaJetAdminConcatenada!$D:$D, MATCH(1, (AsistenciaJetAdminConcatenada!$A:$A=DQ$2)*(AsistenciaJetAdminConcatenada!$B:$B=DQ$1), 0)), 1))),  0.5, 0))</f>
        <v>0</v>
      </c>
      <c r="DR20" s="47">
        <f t="array" ref="DR20">IF(AND(ISNUMBER(MATCH(DR$2, AsistenciaJetAdminConcatenada!$A:$A, 0)), ISNUMBER(MATCH(DR$1, AsistenciaJetAdminConcatenada!$B:$B, 0)), ISNUMBER(SEARCH($A20,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ISNUMBER(SEARCH($A20, INDEX(AsistenciaJetAdminConcatenada!$D:$D, MATCH(1, (AsistenciaJetAdminConcatenada!$A:$A=DR$2)*(AsistenciaJetAdminConcatenada!$B:$B=DR$1), 0)), 1))),  0.5, 0))</f>
        <v>0</v>
      </c>
      <c r="DS20" s="47">
        <f t="array" ref="DS20">IF(AND(ISNUMBER(MATCH(DS$2, AsistenciaJetAdminConcatenada!$A:$A, 0)), ISNUMBER(MATCH(DS$1, AsistenciaJetAdminConcatenada!$B:$B, 0)), ISNUMBER(SEARCH($A20,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ISNUMBER(SEARCH($A20, INDEX(AsistenciaJetAdminConcatenada!$D:$D, MATCH(1, (AsistenciaJetAdminConcatenada!$A:$A=DS$2)*(AsistenciaJetAdminConcatenada!$B:$B=DS$1), 0)), 1))),  0.5, 0))</f>
        <v>0</v>
      </c>
      <c r="DT20" s="47">
        <f t="array" ref="DT20">IF(AND(ISNUMBER(MATCH(DT$2, AsistenciaJetAdminConcatenada!$A:$A, 0)), ISNUMBER(MATCH(DT$1, AsistenciaJetAdminConcatenada!$B:$B, 0)), ISNUMBER(SEARCH($A20,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ISNUMBER(SEARCH($A20, INDEX(AsistenciaJetAdminConcatenada!$D:$D, MATCH(1, (AsistenciaJetAdminConcatenada!$A:$A=DT$2)*(AsistenciaJetAdminConcatenada!$B:$B=DT$1), 0)), 1))),  0.5, 0))</f>
        <v>0</v>
      </c>
      <c r="DU20" s="47">
        <f t="array" ref="DU20">IF(AND(ISNUMBER(MATCH(DU$2, AsistenciaJetAdminConcatenada!$A:$A, 0)), ISNUMBER(MATCH(DU$1, AsistenciaJetAdminConcatenada!$B:$B, 0)), ISNUMBER(SEARCH($A20,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ISNUMBER(SEARCH($A20, INDEX(AsistenciaJetAdminConcatenada!$D:$D, MATCH(1, (AsistenciaJetAdminConcatenada!$A:$A=DU$2)*(AsistenciaJetAdminConcatenada!$B:$B=DU$1), 0)), 1))),  0.5, 0))</f>
        <v>0</v>
      </c>
      <c r="DV20" s="47">
        <f t="array" ref="DV20">IF(AND(ISNUMBER(MATCH(DV$2, AsistenciaJetAdminConcatenada!$A:$A, 0)), ISNUMBER(MATCH(DV$1, AsistenciaJetAdminConcatenada!$B:$B, 0)), ISNUMBER(SEARCH($A20,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ISNUMBER(SEARCH($A20, INDEX(AsistenciaJetAdminConcatenada!$D:$D, MATCH(1, (AsistenciaJetAdminConcatenada!$A:$A=DV$2)*(AsistenciaJetAdminConcatenada!$B:$B=DV$1), 0)), 1))),  0.5, 0))</f>
        <v>0</v>
      </c>
      <c r="DW20" s="47">
        <f t="array" ref="DW20">IF(AND(ISNUMBER(MATCH(DW$2, AsistenciaJetAdminConcatenada!$A:$A, 0)), ISNUMBER(MATCH(DW$1, AsistenciaJetAdminConcatenada!$B:$B, 0)), ISNUMBER(SEARCH($A20,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ISNUMBER(SEARCH($A20, INDEX(AsistenciaJetAdminConcatenada!$D:$D, MATCH(1, (AsistenciaJetAdminConcatenada!$A:$A=DW$2)*(AsistenciaJetAdminConcatenada!$B:$B=DW$1), 0)), 1))),  0.5, 0))</f>
        <v>0</v>
      </c>
      <c r="DX20" s="47">
        <f t="array" ref="DX20">IF(AND(ISNUMBER(MATCH(DX$2, AsistenciaJetAdminConcatenada!$A:$A, 0)), ISNUMBER(MATCH(DX$1, AsistenciaJetAdminConcatenada!$B:$B, 0)), ISNUMBER(SEARCH($A20,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ISNUMBER(SEARCH($A20, INDEX(AsistenciaJetAdminConcatenada!$D:$D, MATCH(1, (AsistenciaJetAdminConcatenada!$A:$A=DX$2)*(AsistenciaJetAdminConcatenada!$B:$B=DX$1), 0)), 1))),  0.5, 0))</f>
        <v>0</v>
      </c>
      <c r="DY20" s="47">
        <f t="array" ref="DY20">IF(AND(ISNUMBER(MATCH(DY$2, AsistenciaJetAdminConcatenada!$A:$A, 0)), ISNUMBER(MATCH(DY$1, AsistenciaJetAdminConcatenada!$B:$B, 0)), ISNUMBER(SEARCH($A20,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ISNUMBER(SEARCH($A20, INDEX(AsistenciaJetAdminConcatenada!$D:$D, MATCH(1, (AsistenciaJetAdminConcatenada!$A:$A=DY$2)*(AsistenciaJetAdminConcatenada!$B:$B=DY$1), 0)), 1))),  0.5, 0))</f>
        <v>0</v>
      </c>
      <c r="DZ20" s="47">
        <f t="array" ref="DZ20">IF(AND(ISNUMBER(MATCH(DZ$2, AsistenciaJetAdminConcatenada!$A:$A, 0)), ISNUMBER(MATCH(DZ$1, AsistenciaJetAdminConcatenada!$B:$B, 0)), ISNUMBER(SEARCH($A20,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ISNUMBER(SEARCH($A20, INDEX(AsistenciaJetAdminConcatenada!$D:$D, MATCH(1, (AsistenciaJetAdminConcatenada!$A:$A=DZ$2)*(AsistenciaJetAdminConcatenada!$B:$B=DZ$1), 0)), 1))),  0.5, 0))</f>
        <v>0</v>
      </c>
      <c r="EA20" s="47">
        <f t="array" ref="EA20">IF(AND(ISNUMBER(MATCH(EA$2, AsistenciaJetAdminConcatenada!$A:$A, 0)), ISNUMBER(MATCH(EA$1, AsistenciaJetAdminConcatenada!$B:$B, 0)), ISNUMBER(SEARCH($A20,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ISNUMBER(SEARCH($A20, INDEX(AsistenciaJetAdminConcatenada!$D:$D, MATCH(1, (AsistenciaJetAdminConcatenada!$A:$A=EA$2)*(AsistenciaJetAdminConcatenada!$B:$B=EA$1), 0)), 1))),  0.5, 0))</f>
        <v>0</v>
      </c>
      <c r="EB20" s="47">
        <f t="array" ref="EB20">IF(AND(ISNUMBER(MATCH(EB$2, AsistenciaJetAdminConcatenada!$A:$A, 0)), ISNUMBER(MATCH(EB$1, AsistenciaJetAdminConcatenada!$B:$B, 0)), ISNUMBER(SEARCH($A20,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ISNUMBER(SEARCH($A20, INDEX(AsistenciaJetAdminConcatenada!$D:$D, MATCH(1, (AsistenciaJetAdminConcatenada!$A:$A=EB$2)*(AsistenciaJetAdminConcatenada!$B:$B=EB$1), 0)), 1))),  0.5, 0))</f>
        <v>0</v>
      </c>
      <c r="EC20" s="47">
        <f t="array" ref="EC20">IF(AND(ISNUMBER(MATCH(EC$2, AsistenciaJetAdminConcatenada!$A:$A, 0)), ISNUMBER(MATCH(EC$1, AsistenciaJetAdminConcatenada!$B:$B, 0)), ISNUMBER(SEARCH($A20,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ISNUMBER(SEARCH($A20, INDEX(AsistenciaJetAdminConcatenada!$D:$D, MATCH(1, (AsistenciaJetAdminConcatenada!$A:$A=EC$2)*(AsistenciaJetAdminConcatenada!$B:$B=EC$1), 0)), 1))),  0.5, 0))</f>
        <v>0</v>
      </c>
      <c r="ED20" s="47">
        <f t="array" ref="ED20">IF(AND(ISNUMBER(MATCH(ED$2, AsistenciaJetAdminConcatenada!$A:$A, 0)), ISNUMBER(MATCH(ED$1, AsistenciaJetAdminConcatenada!$B:$B, 0)), ISNUMBER(SEARCH($A20,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ISNUMBER(SEARCH($A20, INDEX(AsistenciaJetAdminConcatenada!$D:$D, MATCH(1, (AsistenciaJetAdminConcatenada!$A:$A=ED$2)*(AsistenciaJetAdminConcatenada!$B:$B=ED$1), 0)), 1))),  0.5, 0))</f>
        <v>0</v>
      </c>
      <c r="EE20" s="47">
        <f t="array" ref="EE20">IF(AND(ISNUMBER(MATCH(EE$2, AsistenciaJetAdminConcatenada!$A:$A, 0)), ISNUMBER(MATCH(EE$1, AsistenciaJetAdminConcatenada!$B:$B, 0)), ISNUMBER(SEARCH($A20,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ISNUMBER(SEARCH($A20, INDEX(AsistenciaJetAdminConcatenada!$D:$D, MATCH(1, (AsistenciaJetAdminConcatenada!$A:$A=EE$2)*(AsistenciaJetAdminConcatenada!$B:$B=EE$1), 0)), 1))),  0.5, 0))</f>
        <v>0</v>
      </c>
      <c r="EF20" s="47">
        <f t="array" ref="EF20">IF(AND(ISNUMBER(MATCH(EF$2, AsistenciaJetAdminConcatenada!$A:$A, 0)), ISNUMBER(MATCH(EF$1, AsistenciaJetAdminConcatenada!$B:$B, 0)), ISNUMBER(SEARCH($A20,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ISNUMBER(SEARCH($A20, INDEX(AsistenciaJetAdminConcatenada!$D:$D, MATCH(1, (AsistenciaJetAdminConcatenada!$A:$A=EF$2)*(AsistenciaJetAdminConcatenada!$B:$B=EF$1), 0)), 1))),  0.5, 0))</f>
        <v>0</v>
      </c>
      <c r="EG20" s="47">
        <f t="array" ref="EG20">IF(AND(ISNUMBER(MATCH(EG$2, AsistenciaJetAdminConcatenada!$A:$A, 0)), ISNUMBER(MATCH(EG$1, AsistenciaJetAdminConcatenada!$B:$B, 0)), ISNUMBER(SEARCH($A20,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ISNUMBER(SEARCH($A20, INDEX(AsistenciaJetAdminConcatenada!$D:$D, MATCH(1, (AsistenciaJetAdminConcatenada!$A:$A=EG$2)*(AsistenciaJetAdminConcatenada!$B:$B=EG$1), 0)), 1))),  0.5, 0))</f>
        <v>0</v>
      </c>
      <c r="EH20" s="47">
        <f t="array" ref="EH20">IF(AND(ISNUMBER(MATCH(EH$2, AsistenciaJetAdminConcatenada!$A:$A, 0)), ISNUMBER(MATCH(EH$1, AsistenciaJetAdminConcatenada!$B:$B, 0)), ISNUMBER(SEARCH($A20,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ISNUMBER(SEARCH($A20, INDEX(AsistenciaJetAdminConcatenada!$D:$D, MATCH(1, (AsistenciaJetAdminConcatenada!$A:$A=EH$2)*(AsistenciaJetAdminConcatenada!$B:$B=EH$1), 0)), 1))),  0.5, 0))</f>
        <v>0</v>
      </c>
      <c r="EI20" s="47">
        <f t="array" ref="EI20">IF(AND(ISNUMBER(MATCH(EI$2, AsistenciaJetAdminConcatenada!$A:$A, 0)), ISNUMBER(MATCH(EI$1, AsistenciaJetAdminConcatenada!$B:$B, 0)), ISNUMBER(SEARCH($A20,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ISNUMBER(SEARCH($A20, INDEX(AsistenciaJetAdminConcatenada!$D:$D, MATCH(1, (AsistenciaJetAdminConcatenada!$A:$A=EI$2)*(AsistenciaJetAdminConcatenada!$B:$B=EI$1), 0)), 1))),  0.5, 0))</f>
        <v>0</v>
      </c>
      <c r="EJ20" s="47">
        <f t="array" ref="EJ20">IF(AND(ISNUMBER(MATCH(EJ$2, AsistenciaJetAdminConcatenada!$A:$A, 0)), ISNUMBER(MATCH(EJ$1, AsistenciaJetAdminConcatenada!$B:$B, 0)), ISNUMBER(SEARCH($A20,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ISNUMBER(SEARCH($A20, INDEX(AsistenciaJetAdminConcatenada!$D:$D, MATCH(1, (AsistenciaJetAdminConcatenada!$A:$A=EJ$2)*(AsistenciaJetAdminConcatenada!$B:$B=EJ$1), 0)), 1))),  0.5, 0))</f>
        <v>0</v>
      </c>
      <c r="EK20" s="47">
        <f t="array" ref="EK20">IF(AND(ISNUMBER(MATCH(EK$2, AsistenciaJetAdminConcatenada!$A:$A, 0)), ISNUMBER(MATCH(EK$1, AsistenciaJetAdminConcatenada!$B:$B, 0)), ISNUMBER(SEARCH($A20,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ISNUMBER(SEARCH($A20, INDEX(AsistenciaJetAdminConcatenada!$D:$D, MATCH(1, (AsistenciaJetAdminConcatenada!$A:$A=EK$2)*(AsistenciaJetAdminConcatenada!$B:$B=EK$1), 0)), 1))),  0.5, 0))</f>
        <v>0</v>
      </c>
      <c r="EL20" s="47">
        <f t="array" ref="EL20">IF(AND(ISNUMBER(MATCH(EL$2, AsistenciaJetAdminConcatenada!$A:$A, 0)), ISNUMBER(MATCH(EL$1, AsistenciaJetAdminConcatenada!$B:$B, 0)), ISNUMBER(SEARCH($A20,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ISNUMBER(SEARCH($A20, INDEX(AsistenciaJetAdminConcatenada!$D:$D, MATCH(1, (AsistenciaJetAdminConcatenada!$A:$A=EL$2)*(AsistenciaJetAdminConcatenada!$B:$B=EL$1), 0)), 1))),  0.5, 0))</f>
        <v>0</v>
      </c>
      <c r="EM20" s="47">
        <f t="array" ref="EM20">IF(AND(ISNUMBER(MATCH(EM$2, AsistenciaJetAdminConcatenada!$A:$A, 0)), ISNUMBER(MATCH(EM$1, AsistenciaJetAdminConcatenada!$B:$B, 0)), ISNUMBER(SEARCH($A20,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ISNUMBER(SEARCH($A20, INDEX(AsistenciaJetAdminConcatenada!$D:$D, MATCH(1, (AsistenciaJetAdminConcatenada!$A:$A=EM$2)*(AsistenciaJetAdminConcatenada!$B:$B=EM$1), 0)), 1))),  0.5, 0))</f>
        <v>0</v>
      </c>
      <c r="EN20" s="47">
        <f t="array" ref="EN20">IF(AND(ISNUMBER(MATCH(EN$2, AsistenciaJetAdminConcatenada!$A:$A, 0)), ISNUMBER(MATCH(EN$1, AsistenciaJetAdminConcatenada!$B:$B, 0)), ISNUMBER(SEARCH($A20,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ISNUMBER(SEARCH($A20, INDEX(AsistenciaJetAdminConcatenada!$D:$D, MATCH(1, (AsistenciaJetAdminConcatenada!$A:$A=EN$2)*(AsistenciaJetAdminConcatenada!$B:$B=EN$1), 0)), 1))),  0.5, 0))</f>
        <v>0</v>
      </c>
      <c r="EO20" s="47">
        <f t="array" ref="EO20">IF(AND(ISNUMBER(MATCH(EO$2, AsistenciaJetAdminConcatenada!$A:$A, 0)), ISNUMBER(MATCH(EO$1, AsistenciaJetAdminConcatenada!$B:$B, 0)), ISNUMBER(SEARCH($A20,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ISNUMBER(SEARCH($A20, INDEX(AsistenciaJetAdminConcatenada!$D:$D, MATCH(1, (AsistenciaJetAdminConcatenada!$A:$A=EO$2)*(AsistenciaJetAdminConcatenada!$B:$B=EO$1), 0)), 1))),  0.5, 0))</f>
        <v>0</v>
      </c>
      <c r="EP20" s="47">
        <f t="array" ref="EP20">IF(AND(ISNUMBER(MATCH(EP$2, AsistenciaJetAdminConcatenada!$A:$A, 0)), ISNUMBER(MATCH(EP$1, AsistenciaJetAdminConcatenada!$B:$B, 0)), ISNUMBER(SEARCH($A20,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ISNUMBER(SEARCH($A20, INDEX(AsistenciaJetAdminConcatenada!$D:$D, MATCH(1, (AsistenciaJetAdminConcatenada!$A:$A=EP$2)*(AsistenciaJetAdminConcatenada!$B:$B=EP$1), 0)), 1))),  0.5, 0))</f>
        <v>0</v>
      </c>
      <c r="EQ20" s="47">
        <f t="array" ref="EQ20">IF(AND(ISNUMBER(MATCH(EQ$2, AsistenciaJetAdminConcatenada!$A:$A, 0)), ISNUMBER(MATCH(EQ$1, AsistenciaJetAdminConcatenada!$B:$B, 0)), ISNUMBER(SEARCH($A20,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ISNUMBER(SEARCH($A20, INDEX(AsistenciaJetAdminConcatenada!$D:$D, MATCH(1, (AsistenciaJetAdminConcatenada!$A:$A=EQ$2)*(AsistenciaJetAdminConcatenada!$B:$B=EQ$1), 0)), 1))),  0.5, 0))</f>
        <v>0</v>
      </c>
      <c r="ER20" s="47">
        <f t="array" ref="ER20">IF(AND(ISNUMBER(MATCH(ER$2, AsistenciaJetAdminConcatenada!$A:$A, 0)), ISNUMBER(MATCH(ER$1, AsistenciaJetAdminConcatenada!$B:$B, 0)), ISNUMBER(SEARCH($A20,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ISNUMBER(SEARCH($A20, INDEX(AsistenciaJetAdminConcatenada!$D:$D, MATCH(1, (AsistenciaJetAdminConcatenada!$A:$A=ER$2)*(AsistenciaJetAdminConcatenada!$B:$B=ER$1), 0)), 1))),  0.5, 0))</f>
        <v>0</v>
      </c>
      <c r="ES20" s="47">
        <f t="array" ref="ES20">IF(AND(ISNUMBER(MATCH(ES$2, AsistenciaJetAdminConcatenada!$A:$A, 0)), ISNUMBER(MATCH(ES$1, AsistenciaJetAdminConcatenada!$B:$B, 0)), ISNUMBER(SEARCH($A20,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ISNUMBER(SEARCH($A20, INDEX(AsistenciaJetAdminConcatenada!$D:$D, MATCH(1, (AsistenciaJetAdminConcatenada!$A:$A=ES$2)*(AsistenciaJetAdminConcatenada!$B:$B=ES$1), 0)), 1))),  0.5, 0))</f>
        <v>0</v>
      </c>
      <c r="ET20" s="47">
        <f t="array" ref="ET20">IF(AND(ISNUMBER(MATCH(ET$2, AsistenciaJetAdminConcatenada!$A:$A, 0)), ISNUMBER(MATCH(ET$1, AsistenciaJetAdminConcatenada!$B:$B, 0)), ISNUMBER(SEARCH($A20,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ISNUMBER(SEARCH($A20, INDEX(AsistenciaJetAdminConcatenada!$D:$D, MATCH(1, (AsistenciaJetAdminConcatenada!$A:$A=ET$2)*(AsistenciaJetAdminConcatenada!$B:$B=ET$1), 0)), 1))),  0.5, 0))</f>
        <v>0</v>
      </c>
      <c r="EU20" s="47">
        <f t="array" ref="EU20">IF(AND(ISNUMBER(MATCH(EU$2, AsistenciaJetAdminConcatenada!$A:$A, 0)), ISNUMBER(MATCH(EU$1, AsistenciaJetAdminConcatenada!$B:$B, 0)), ISNUMBER(SEARCH($A20,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ISNUMBER(SEARCH($A20, INDEX(AsistenciaJetAdminConcatenada!$D:$D, MATCH(1, (AsistenciaJetAdminConcatenada!$A:$A=EU$2)*(AsistenciaJetAdminConcatenada!$B:$B=EU$1), 0)), 1))),  0.5, 0))</f>
        <v>0</v>
      </c>
      <c r="EV20" s="47">
        <f t="array" ref="EV20">IF(AND(ISNUMBER(MATCH(EV$2, AsistenciaJetAdminConcatenada!$A:$A, 0)), ISNUMBER(MATCH(EV$1, AsistenciaJetAdminConcatenada!$B:$B, 0)), ISNUMBER(SEARCH($A20,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ISNUMBER(SEARCH($A20, INDEX(AsistenciaJetAdminConcatenada!$D:$D, MATCH(1, (AsistenciaJetAdminConcatenada!$A:$A=EV$2)*(AsistenciaJetAdminConcatenada!$B:$B=EV$1), 0)), 1))),  0.5, 0))</f>
        <v>0</v>
      </c>
      <c r="EW20" s="47">
        <f t="array" ref="EW20">IF(AND(ISNUMBER(MATCH(EW$2, AsistenciaJetAdminConcatenada!$A:$A, 0)), ISNUMBER(MATCH(EW$1, AsistenciaJetAdminConcatenada!$B:$B, 0)), ISNUMBER(SEARCH($A20,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ISNUMBER(SEARCH($A20, INDEX(AsistenciaJetAdminConcatenada!$D:$D, MATCH(1, (AsistenciaJetAdminConcatenada!$A:$A=EW$2)*(AsistenciaJetAdminConcatenada!$B:$B=EW$1), 0)), 1))),  0.5, 0))</f>
        <v>0</v>
      </c>
      <c r="EX20" s="47">
        <f t="array" ref="EX20">IF(AND(ISNUMBER(MATCH(EX$2, AsistenciaJetAdminConcatenada!$A:$A, 0)), ISNUMBER(MATCH(EX$1, AsistenciaJetAdminConcatenada!$B:$B, 0)), ISNUMBER(SEARCH($A20,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ISNUMBER(SEARCH($A20, INDEX(AsistenciaJetAdminConcatenada!$D:$D, MATCH(1, (AsistenciaJetAdminConcatenada!$A:$A=EX$2)*(AsistenciaJetAdminConcatenada!$B:$B=EX$1), 0)), 1))),  0.5, 0))</f>
        <v>0</v>
      </c>
      <c r="EY20" s="47">
        <f t="array" ref="EY20">IF(AND(ISNUMBER(MATCH(EY$2, AsistenciaJetAdminConcatenada!$A:$A, 0)), ISNUMBER(MATCH(EY$1, AsistenciaJetAdminConcatenada!$B:$B, 0)), ISNUMBER(SEARCH($A20,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ISNUMBER(SEARCH($A20, INDEX(AsistenciaJetAdminConcatenada!$D:$D, MATCH(1, (AsistenciaJetAdminConcatenada!$A:$A=EY$2)*(AsistenciaJetAdminConcatenada!$B:$B=EY$1), 0)), 1))),  0.5, 0))</f>
        <v>0</v>
      </c>
      <c r="EZ20" s="47">
        <f t="array" ref="EZ20">IF(AND(ISNUMBER(MATCH(EZ$2, AsistenciaJetAdminConcatenada!$A:$A, 0)), ISNUMBER(MATCH(EZ$1, AsistenciaJetAdminConcatenada!$B:$B, 0)), ISNUMBER(SEARCH($A20,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ISNUMBER(SEARCH($A20, INDEX(AsistenciaJetAdminConcatenada!$D:$D, MATCH(1, (AsistenciaJetAdminConcatenada!$A:$A=EZ$2)*(AsistenciaJetAdminConcatenada!$B:$B=EZ$1), 0)), 1))),  0.5, 0))</f>
        <v>0</v>
      </c>
      <c r="FA20" s="47">
        <f t="array" ref="FA20">IF(AND(ISNUMBER(MATCH(FA$2, AsistenciaJetAdminConcatenada!$A:$A, 0)), ISNUMBER(MATCH(FA$1, AsistenciaJetAdminConcatenada!$B:$B, 0)), ISNUMBER(SEARCH($A20,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ISNUMBER(SEARCH($A20, INDEX(AsistenciaJetAdminConcatenada!$D:$D, MATCH(1, (AsistenciaJetAdminConcatenada!$A:$A=FA$2)*(AsistenciaJetAdminConcatenada!$B:$B=FA$1), 0)), 1))),  0.5, 0))</f>
        <v>0</v>
      </c>
      <c r="FB20" s="47">
        <f t="array" ref="FB20">IF(AND(ISNUMBER(MATCH(FB$2, AsistenciaJetAdminConcatenada!$A:$A, 0)), ISNUMBER(MATCH(FB$1, AsistenciaJetAdminConcatenada!$B:$B, 0)), ISNUMBER(SEARCH($A20,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ISNUMBER(SEARCH($A20, INDEX(AsistenciaJetAdminConcatenada!$D:$D, MATCH(1, (AsistenciaJetAdminConcatenada!$A:$A=FB$2)*(AsistenciaJetAdminConcatenada!$B:$B=FB$1), 0)), 1))),  0.5, 0))</f>
        <v>0</v>
      </c>
      <c r="FC20" s="47">
        <f t="array" ref="FC20">IF(AND(ISNUMBER(MATCH(FC$2, AsistenciaJetAdminConcatenada!$A:$A, 0)), ISNUMBER(MATCH(FC$1, AsistenciaJetAdminConcatenada!$B:$B, 0)), ISNUMBER(SEARCH($A20,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ISNUMBER(SEARCH($A20, INDEX(AsistenciaJetAdminConcatenada!$D:$D, MATCH(1, (AsistenciaJetAdminConcatenada!$A:$A=FC$2)*(AsistenciaJetAdminConcatenada!$B:$B=FC$1), 0)), 1))),  0.5, 0))</f>
        <v>0</v>
      </c>
      <c r="FD20" s="47">
        <f t="array" ref="FD20">IF(AND(ISNUMBER(MATCH(FD$2, AsistenciaJetAdminConcatenada!$A:$A, 0)), ISNUMBER(MATCH(FD$1, AsistenciaJetAdminConcatenada!$B:$B, 0)), ISNUMBER(SEARCH($A20,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ISNUMBER(SEARCH($A20, INDEX(AsistenciaJetAdminConcatenada!$D:$D, MATCH(1, (AsistenciaJetAdminConcatenada!$A:$A=FD$2)*(AsistenciaJetAdminConcatenada!$B:$B=FD$1), 0)), 1))),  0.5, 0))</f>
        <v>0</v>
      </c>
      <c r="FE20" s="47">
        <f t="array" ref="FE20">IF(AND(ISNUMBER(MATCH(FE$2, AsistenciaJetAdminConcatenada!$A:$A, 0)), ISNUMBER(MATCH(FE$1, AsistenciaJetAdminConcatenada!$B:$B, 0)), ISNUMBER(SEARCH($A20,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ISNUMBER(SEARCH($A20, INDEX(AsistenciaJetAdminConcatenada!$D:$D, MATCH(1, (AsistenciaJetAdminConcatenada!$A:$A=FE$2)*(AsistenciaJetAdminConcatenada!$B:$B=FE$1), 0)), 1))),  0.5, 0))</f>
        <v>0</v>
      </c>
      <c r="FF20" s="47">
        <f t="array" ref="FF20">IF(AND(ISNUMBER(MATCH(FF$2, AsistenciaJetAdminConcatenada!$A:$A, 0)), ISNUMBER(MATCH(FF$1, AsistenciaJetAdminConcatenada!$B:$B, 0)), ISNUMBER(SEARCH($A20,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ISNUMBER(SEARCH($A20, INDEX(AsistenciaJetAdminConcatenada!$D:$D, MATCH(1, (AsistenciaJetAdminConcatenada!$A:$A=FF$2)*(AsistenciaJetAdminConcatenada!$B:$B=FF$1), 0)), 1))),  0.5, 0))</f>
        <v>0</v>
      </c>
      <c r="FG20" s="47">
        <f t="array" ref="FG20">IF(AND(ISNUMBER(MATCH(FG$2, AsistenciaJetAdminConcatenada!$A:$A, 0)), ISNUMBER(MATCH(FG$1, AsistenciaJetAdminConcatenada!$B:$B, 0)), ISNUMBER(SEARCH($A20,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ISNUMBER(SEARCH($A20, INDEX(AsistenciaJetAdminConcatenada!$D:$D, MATCH(1, (AsistenciaJetAdminConcatenada!$A:$A=FG$2)*(AsistenciaJetAdminConcatenada!$B:$B=FG$1), 0)), 1))),  0.5, 0))</f>
        <v>0</v>
      </c>
      <c r="FH20" s="47">
        <f t="array" ref="FH20">IF(AND(ISNUMBER(MATCH(FH$2, AsistenciaJetAdminConcatenada!$A:$A, 0)), ISNUMBER(MATCH(FH$1, AsistenciaJetAdminConcatenada!$B:$B, 0)), ISNUMBER(SEARCH($A20,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ISNUMBER(SEARCH($A20, INDEX(AsistenciaJetAdminConcatenada!$D:$D, MATCH(1, (AsistenciaJetAdminConcatenada!$A:$A=FH$2)*(AsistenciaJetAdminConcatenada!$B:$B=FH$1), 0)), 1))),  0.5, 0))</f>
        <v>0</v>
      </c>
      <c r="FI20" s="47">
        <f t="array" ref="FI20">IF(AND(ISNUMBER(MATCH(FI$2, AsistenciaJetAdminConcatenada!$A:$A, 0)), ISNUMBER(MATCH(FI$1, AsistenciaJetAdminConcatenada!$B:$B, 0)), ISNUMBER(SEARCH($A20,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ISNUMBER(SEARCH($A20, INDEX(AsistenciaJetAdminConcatenada!$D:$D, MATCH(1, (AsistenciaJetAdminConcatenada!$A:$A=FI$2)*(AsistenciaJetAdminConcatenada!$B:$B=FI$1), 0)), 1))),  0.5, 0))</f>
        <v>0</v>
      </c>
      <c r="FJ20" s="47">
        <f t="array" ref="FJ20">IF(AND(ISNUMBER(MATCH(FJ$2, AsistenciaJetAdminConcatenada!$A:$A, 0)), ISNUMBER(MATCH(FJ$1, AsistenciaJetAdminConcatenada!$B:$B, 0)), ISNUMBER(SEARCH($A20,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ISNUMBER(SEARCH($A20, INDEX(AsistenciaJetAdminConcatenada!$D:$D, MATCH(1, (AsistenciaJetAdminConcatenada!$A:$A=FJ$2)*(AsistenciaJetAdminConcatenada!$B:$B=FJ$1), 0)), 1))),  0.5, 0))</f>
        <v>0</v>
      </c>
      <c r="FK20" s="47">
        <f t="array" ref="FK20">IF(AND(ISNUMBER(MATCH(FK$2, AsistenciaJetAdminConcatenada!$A:$A, 0)), ISNUMBER(MATCH(FK$1, AsistenciaJetAdminConcatenada!$B:$B, 0)), ISNUMBER(SEARCH($A20,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ISNUMBER(SEARCH($A20, INDEX(AsistenciaJetAdminConcatenada!$D:$D, MATCH(1, (AsistenciaJetAdminConcatenada!$A:$A=FK$2)*(AsistenciaJetAdminConcatenada!$B:$B=FK$1), 0)), 1))),  0.5, 0))</f>
        <v>0</v>
      </c>
      <c r="FL20" s="47">
        <f t="array" ref="FL20">IF(AND(ISNUMBER(MATCH(FL$2, AsistenciaJetAdminConcatenada!$A:$A, 0)), ISNUMBER(MATCH(FL$1, AsistenciaJetAdminConcatenada!$B:$B, 0)), ISNUMBER(SEARCH($A20,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ISNUMBER(SEARCH($A20, INDEX(AsistenciaJetAdminConcatenada!$D:$D, MATCH(1, (AsistenciaJetAdminConcatenada!$A:$A=FL$2)*(AsistenciaJetAdminConcatenada!$B:$B=FL$1), 0)), 1))),  0.5, 0))</f>
        <v>0</v>
      </c>
      <c r="FM20" s="47">
        <f t="array" ref="FM20">IF(AND(ISNUMBER(MATCH(FM$2, AsistenciaJetAdminConcatenada!$A:$A, 0)), ISNUMBER(MATCH(FM$1, AsistenciaJetAdminConcatenada!$B:$B, 0)), ISNUMBER(SEARCH($A20,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ISNUMBER(SEARCH($A20, INDEX(AsistenciaJetAdminConcatenada!$D:$D, MATCH(1, (AsistenciaJetAdminConcatenada!$A:$A=FM$2)*(AsistenciaJetAdminConcatenada!$B:$B=FM$1), 0)), 1))),  0.5, 0))</f>
        <v>0</v>
      </c>
      <c r="FN20" s="47">
        <f t="array" ref="FN20">IF(AND(ISNUMBER(MATCH(FN$2, AsistenciaJetAdminConcatenada!$A:$A, 0)), ISNUMBER(MATCH(FN$1, AsistenciaJetAdminConcatenada!$B:$B, 0)), ISNUMBER(SEARCH($A20,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ISNUMBER(SEARCH($A20, INDEX(AsistenciaJetAdminConcatenada!$D:$D, MATCH(1, (AsistenciaJetAdminConcatenada!$A:$A=FN$2)*(AsistenciaJetAdminConcatenada!$B:$B=FN$1), 0)), 1))),  0.5, 0))</f>
        <v>0</v>
      </c>
      <c r="FO20" s="47">
        <f t="array" ref="FO20">IF(AND(ISNUMBER(MATCH(FO$2, AsistenciaJetAdminConcatenada!$A:$A, 0)), ISNUMBER(MATCH(FO$1, AsistenciaJetAdminConcatenada!$B:$B, 0)), ISNUMBER(SEARCH($A20,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ISNUMBER(SEARCH($A20, INDEX(AsistenciaJetAdminConcatenada!$D:$D, MATCH(1, (AsistenciaJetAdminConcatenada!$A:$A=FO$2)*(AsistenciaJetAdminConcatenada!$B:$B=FO$1), 0)), 1))),  0.5, 0))</f>
        <v>0</v>
      </c>
      <c r="FP20" s="47">
        <f t="array" ref="FP20">IF(AND(ISNUMBER(MATCH(FP$2, AsistenciaJetAdminConcatenada!$A:$A, 0)), ISNUMBER(MATCH(FP$1, AsistenciaJetAdminConcatenada!$B:$B, 0)), ISNUMBER(SEARCH($A20,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ISNUMBER(SEARCH($A20, INDEX(AsistenciaJetAdminConcatenada!$D:$D, MATCH(1, (AsistenciaJetAdminConcatenada!$A:$A=FP$2)*(AsistenciaJetAdminConcatenada!$B:$B=FP$1), 0)), 1))),  0.5, 0))</f>
        <v>0</v>
      </c>
      <c r="FQ20" s="47">
        <f t="array" ref="FQ20">IF(AND(ISNUMBER(MATCH(FQ$2, AsistenciaJetAdminConcatenada!$A:$A, 0)), ISNUMBER(MATCH(FQ$1, AsistenciaJetAdminConcatenada!$B:$B, 0)), ISNUMBER(SEARCH($A20,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ISNUMBER(SEARCH($A20, INDEX(AsistenciaJetAdminConcatenada!$D:$D, MATCH(1, (AsistenciaJetAdminConcatenada!$A:$A=FQ$2)*(AsistenciaJetAdminConcatenada!$B:$B=FQ$1), 0)), 1))),  0.5, 0))</f>
        <v>0</v>
      </c>
      <c r="FR20" s="47">
        <f t="array" ref="FR20">IF(AND(ISNUMBER(MATCH(FR$2, AsistenciaJetAdminConcatenada!$A:$A, 0)), ISNUMBER(MATCH(FR$1, AsistenciaJetAdminConcatenada!$B:$B, 0)), ISNUMBER(SEARCH($A20,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ISNUMBER(SEARCH($A20, INDEX(AsistenciaJetAdminConcatenada!$D:$D, MATCH(1, (AsistenciaJetAdminConcatenada!$A:$A=FR$2)*(AsistenciaJetAdminConcatenada!$B:$B=FR$1), 0)), 1))),  0.5, 0))</f>
        <v>0</v>
      </c>
      <c r="FS20" s="47">
        <f t="array" ref="FS20">IF(AND(ISNUMBER(MATCH(FS$2, AsistenciaJetAdminConcatenada!$A:$A, 0)), ISNUMBER(MATCH(FS$1, AsistenciaJetAdminConcatenada!$B:$B, 0)), ISNUMBER(SEARCH($A20,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ISNUMBER(SEARCH($A20, INDEX(AsistenciaJetAdminConcatenada!$D:$D, MATCH(1, (AsistenciaJetAdminConcatenada!$A:$A=FS$2)*(AsistenciaJetAdminConcatenada!$B:$B=FS$1), 0)), 1))),  0.5, 0))</f>
        <v>0</v>
      </c>
      <c r="FT20" s="47">
        <f t="array" ref="FT20">IF(AND(ISNUMBER(MATCH(FT$2, AsistenciaJetAdminConcatenada!$A:$A, 0)), ISNUMBER(MATCH(FT$1, AsistenciaJetAdminConcatenada!$B:$B, 0)), ISNUMBER(SEARCH($A20,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ISNUMBER(SEARCH($A20, INDEX(AsistenciaJetAdminConcatenada!$D:$D, MATCH(1, (AsistenciaJetAdminConcatenada!$A:$A=FT$2)*(AsistenciaJetAdminConcatenada!$B:$B=FT$1), 0)), 1))),  0.5, 0))</f>
        <v>0</v>
      </c>
      <c r="FU20" s="47">
        <f t="array" ref="FU20">IF(AND(ISNUMBER(MATCH(FU$2, AsistenciaJetAdminConcatenada!$A:$A, 0)), ISNUMBER(MATCH(FU$1, AsistenciaJetAdminConcatenada!$B:$B, 0)), ISNUMBER(SEARCH($A20,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ISNUMBER(SEARCH($A20, INDEX(AsistenciaJetAdminConcatenada!$D:$D, MATCH(1, (AsistenciaJetAdminConcatenada!$A:$A=FU$2)*(AsistenciaJetAdminConcatenada!$B:$B=FU$1), 0)), 1))),  0.5, 0))</f>
        <v>0</v>
      </c>
      <c r="FV20" s="47">
        <f t="array" ref="FV20">IF(AND(ISNUMBER(MATCH(FV$2, AsistenciaJetAdminConcatenada!$A:$A, 0)), ISNUMBER(MATCH(FV$1, AsistenciaJetAdminConcatenada!$B:$B, 0)), ISNUMBER(SEARCH($A20,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ISNUMBER(SEARCH($A20, INDEX(AsistenciaJetAdminConcatenada!$D:$D, MATCH(1, (AsistenciaJetAdminConcatenada!$A:$A=FV$2)*(AsistenciaJetAdminConcatenada!$B:$B=FV$1), 0)), 1))),  0.5, 0))</f>
        <v>0</v>
      </c>
      <c r="FW20" s="47">
        <f t="array" ref="FW20">IF(AND(ISNUMBER(MATCH(FW$2, AsistenciaJetAdminConcatenada!$A:$A, 0)), ISNUMBER(MATCH(FW$1, AsistenciaJetAdminConcatenada!$B:$B, 0)), ISNUMBER(SEARCH($A20,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ISNUMBER(SEARCH($A20, INDEX(AsistenciaJetAdminConcatenada!$D:$D, MATCH(1, (AsistenciaJetAdminConcatenada!$A:$A=FW$2)*(AsistenciaJetAdminConcatenada!$B:$B=FW$1), 0)), 1))),  0.5, 0))</f>
        <v>0</v>
      </c>
      <c r="FX20" s="47">
        <f t="array" ref="FX20">IF(AND(ISNUMBER(MATCH(FX$2, AsistenciaJetAdminConcatenada!$A:$A, 0)), ISNUMBER(MATCH(FX$1, AsistenciaJetAdminConcatenada!$B:$B, 0)), ISNUMBER(SEARCH($A20,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ISNUMBER(SEARCH($A20, INDEX(AsistenciaJetAdminConcatenada!$D:$D, MATCH(1, (AsistenciaJetAdminConcatenada!$A:$A=FX$2)*(AsistenciaJetAdminConcatenada!$B:$B=FX$1), 0)), 1))),  0.5, 0))</f>
        <v>0</v>
      </c>
      <c r="FY20" s="47">
        <f t="array" ref="FY20">IF(AND(ISNUMBER(MATCH(FY$2, AsistenciaJetAdminConcatenada!$A:$A, 0)), ISNUMBER(MATCH(FY$1, AsistenciaJetAdminConcatenada!$B:$B, 0)), ISNUMBER(SEARCH($A20,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ISNUMBER(SEARCH($A20, INDEX(AsistenciaJetAdminConcatenada!$D:$D, MATCH(1, (AsistenciaJetAdminConcatenada!$A:$A=FY$2)*(AsistenciaJetAdminConcatenada!$B:$B=FY$1), 0)), 1))),  0.5, 0))</f>
        <v>0</v>
      </c>
      <c r="FZ20" s="47">
        <f t="array" ref="FZ20">IF(AND(ISNUMBER(MATCH(FZ$2, AsistenciaJetAdminConcatenada!$A:$A, 0)), ISNUMBER(MATCH(FZ$1, AsistenciaJetAdminConcatenada!$B:$B, 0)), ISNUMBER(SEARCH($A20,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ISNUMBER(SEARCH($A20, INDEX(AsistenciaJetAdminConcatenada!$D:$D, MATCH(1, (AsistenciaJetAdminConcatenada!$A:$A=FZ$2)*(AsistenciaJetAdminConcatenada!$B:$B=FZ$1), 0)), 1))),  0.5, 0))</f>
        <v>0</v>
      </c>
      <c r="GA20" s="47">
        <f t="array" ref="GA20">IF(AND(ISNUMBER(MATCH(GA$2, AsistenciaJetAdminConcatenada!$A:$A, 0)), ISNUMBER(MATCH(GA$1, AsistenciaJetAdminConcatenada!$B:$B, 0)), ISNUMBER(SEARCH($A20,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ISNUMBER(SEARCH($A20, INDEX(AsistenciaJetAdminConcatenada!$D:$D, MATCH(1, (AsistenciaJetAdminConcatenada!$A:$A=GA$2)*(AsistenciaJetAdminConcatenada!$B:$B=GA$1), 0)), 1))),  0.5, 0))</f>
        <v>0</v>
      </c>
      <c r="GB20" s="47">
        <f t="array" ref="GB20">IF(AND(ISNUMBER(MATCH(GB$2, AsistenciaJetAdminConcatenada!$A:$A, 0)), ISNUMBER(MATCH(GB$1, AsistenciaJetAdminConcatenada!$B:$B, 0)), ISNUMBER(SEARCH($A20,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ISNUMBER(SEARCH($A20, INDEX(AsistenciaJetAdminConcatenada!$D:$D, MATCH(1, (AsistenciaJetAdminConcatenada!$A:$A=GB$2)*(AsistenciaJetAdminConcatenada!$B:$B=GB$1), 0)), 1))),  0.5, 0))</f>
        <v>0</v>
      </c>
      <c r="GC20" s="47">
        <f t="array" ref="GC20">IF(AND(ISNUMBER(MATCH(GC$2, AsistenciaJetAdminConcatenada!$A:$A, 0)), ISNUMBER(MATCH(GC$1, AsistenciaJetAdminConcatenada!$B:$B, 0)), ISNUMBER(SEARCH($A20,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ISNUMBER(SEARCH($A20, INDEX(AsistenciaJetAdminConcatenada!$D:$D, MATCH(1, (AsistenciaJetAdminConcatenada!$A:$A=GC$2)*(AsistenciaJetAdminConcatenada!$B:$B=GC$1), 0)), 1))),  0.5, 0))</f>
        <v>0</v>
      </c>
      <c r="GD20" s="47">
        <f t="array" ref="GD20">IF(AND(ISNUMBER(MATCH(GD$2, AsistenciaJetAdminConcatenada!$A:$A, 0)), ISNUMBER(MATCH(GD$1, AsistenciaJetAdminConcatenada!$B:$B, 0)), ISNUMBER(SEARCH($A20,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ISNUMBER(SEARCH($A20, INDEX(AsistenciaJetAdminConcatenada!$D:$D, MATCH(1, (AsistenciaJetAdminConcatenada!$A:$A=GD$2)*(AsistenciaJetAdminConcatenada!$B:$B=GD$1), 0)), 1))),  0.5, 0))</f>
        <v>0</v>
      </c>
      <c r="GE20" s="47">
        <f t="array" ref="GE20">IF(AND(ISNUMBER(MATCH(GE$2, AsistenciaJetAdminConcatenada!$A:$A, 0)), ISNUMBER(MATCH(GE$1, AsistenciaJetAdminConcatenada!$B:$B, 0)), ISNUMBER(SEARCH($A20,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ISNUMBER(SEARCH($A20, INDEX(AsistenciaJetAdminConcatenada!$D:$D, MATCH(1, (AsistenciaJetAdminConcatenada!$A:$A=GE$2)*(AsistenciaJetAdminConcatenada!$B:$B=GE$1), 0)), 1))),  0.5, 0))</f>
        <v>0</v>
      </c>
      <c r="GF20" s="47">
        <f t="array" ref="GF20">IF(AND(ISNUMBER(MATCH(GF$2, AsistenciaJetAdminConcatenada!$A:$A, 0)), ISNUMBER(MATCH(GF$1, AsistenciaJetAdminConcatenada!$B:$B, 0)), ISNUMBER(SEARCH($A20,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ISNUMBER(SEARCH($A20, INDEX(AsistenciaJetAdminConcatenada!$D:$D, MATCH(1, (AsistenciaJetAdminConcatenada!$A:$A=GF$2)*(AsistenciaJetAdminConcatenada!$B:$B=GF$1), 0)), 1))),  0.5, 0))</f>
        <v>0</v>
      </c>
      <c r="GG20" s="47">
        <f t="array" ref="GG20">IF(AND(ISNUMBER(MATCH(GG$2, AsistenciaJetAdminConcatenada!$A:$A, 0)), ISNUMBER(MATCH(GG$1, AsistenciaJetAdminConcatenada!$B:$B, 0)), ISNUMBER(SEARCH($A20,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ISNUMBER(SEARCH($A20, INDEX(AsistenciaJetAdminConcatenada!$D:$D, MATCH(1, (AsistenciaJetAdminConcatenada!$A:$A=GG$2)*(AsistenciaJetAdminConcatenada!$B:$B=GG$1), 0)), 1))),  0.5, 0))</f>
        <v>0</v>
      </c>
      <c r="GH20" s="47">
        <f t="array" ref="GH20">IF(AND(ISNUMBER(MATCH(GH$2, AsistenciaJetAdminConcatenada!$A:$A, 0)), ISNUMBER(MATCH(GH$1, AsistenciaJetAdminConcatenada!$B:$B, 0)), ISNUMBER(SEARCH($A20,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ISNUMBER(SEARCH($A20, INDEX(AsistenciaJetAdminConcatenada!$D:$D, MATCH(1, (AsistenciaJetAdminConcatenada!$A:$A=GH$2)*(AsistenciaJetAdminConcatenada!$B:$B=GH$1), 0)), 1))),  0.5, 0))</f>
        <v>0</v>
      </c>
      <c r="GI20" s="47">
        <f t="array" ref="GI20">IF(AND(ISNUMBER(MATCH(GI$2, AsistenciaJetAdminConcatenada!$A:$A, 0)), ISNUMBER(MATCH(GI$1, AsistenciaJetAdminConcatenada!$B:$B, 0)), ISNUMBER(SEARCH($A20,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ISNUMBER(SEARCH($A20, INDEX(AsistenciaJetAdminConcatenada!$D:$D, MATCH(1, (AsistenciaJetAdminConcatenada!$A:$A=GI$2)*(AsistenciaJetAdminConcatenada!$B:$B=GI$1), 0)), 1))),  0.5, 0))</f>
        <v>0</v>
      </c>
      <c r="GJ20" s="47">
        <f t="array" ref="GJ20">IF(AND(ISNUMBER(MATCH(GJ$2, AsistenciaJetAdminConcatenada!$A:$A, 0)), ISNUMBER(MATCH(GJ$1, AsistenciaJetAdminConcatenada!$B:$B, 0)), ISNUMBER(SEARCH($A20,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ISNUMBER(SEARCH($A20, INDEX(AsistenciaJetAdminConcatenada!$D:$D, MATCH(1, (AsistenciaJetAdminConcatenada!$A:$A=GJ$2)*(AsistenciaJetAdminConcatenada!$B:$B=GJ$1), 0)), 1))),  0.5, 0))</f>
        <v>0</v>
      </c>
      <c r="GK20" s="47">
        <f t="array" ref="GK20">IF(AND(ISNUMBER(MATCH(GK$2, AsistenciaJetAdminConcatenada!$A:$A, 0)), ISNUMBER(MATCH(GK$1, AsistenciaJetAdminConcatenada!$B:$B, 0)), ISNUMBER(SEARCH($A20,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ISNUMBER(SEARCH($A20, INDEX(AsistenciaJetAdminConcatenada!$D:$D, MATCH(1, (AsistenciaJetAdminConcatenada!$A:$A=GK$2)*(AsistenciaJetAdminConcatenada!$B:$B=GK$1), 0)), 1))),  0.5, 0))</f>
        <v>0</v>
      </c>
      <c r="GL20" s="47">
        <f t="array" ref="GL20">IF(AND(ISNUMBER(MATCH(GL$2, AsistenciaJetAdminConcatenada!$A:$A, 0)), ISNUMBER(MATCH(GL$1, AsistenciaJetAdminConcatenada!$B:$B, 0)), ISNUMBER(SEARCH($A20,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ISNUMBER(SEARCH($A20, INDEX(AsistenciaJetAdminConcatenada!$D:$D, MATCH(1, (AsistenciaJetAdminConcatenada!$A:$A=GL$2)*(AsistenciaJetAdminConcatenada!$B:$B=GL$1), 0)), 1))),  0.5, 0))</f>
        <v>0</v>
      </c>
      <c r="GM20" s="47">
        <f t="array" ref="GM20">IF(AND(ISNUMBER(MATCH(GM$2, AsistenciaJetAdminConcatenada!$A:$A, 0)), ISNUMBER(MATCH(GM$1, AsistenciaJetAdminConcatenada!$B:$B, 0)), ISNUMBER(SEARCH($A20,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ISNUMBER(SEARCH($A20, INDEX(AsistenciaJetAdminConcatenada!$D:$D, MATCH(1, (AsistenciaJetAdminConcatenada!$A:$A=GM$2)*(AsistenciaJetAdminConcatenada!$B:$B=GM$1), 0)), 1))),  0.5, 0))</f>
        <v>0</v>
      </c>
      <c r="GN20" s="47">
        <f t="array" ref="GN20">IF(AND(ISNUMBER(MATCH(GN$2, AsistenciaJetAdminConcatenada!$A:$A, 0)), ISNUMBER(MATCH(GN$1, AsistenciaJetAdminConcatenada!$B:$B, 0)), ISNUMBER(SEARCH($A20,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ISNUMBER(SEARCH($A20, INDEX(AsistenciaJetAdminConcatenada!$D:$D, MATCH(1, (AsistenciaJetAdminConcatenada!$A:$A=GN$2)*(AsistenciaJetAdminConcatenada!$B:$B=GN$1), 0)), 1))),  0.5, 0))</f>
        <v>0</v>
      </c>
      <c r="GO20" s="47">
        <f t="array" ref="GO20">IF(AND(ISNUMBER(MATCH(GO$2, AsistenciaJetAdminConcatenada!$A:$A, 0)), ISNUMBER(MATCH(GO$1, AsistenciaJetAdminConcatenada!$B:$B, 0)), ISNUMBER(SEARCH($A20,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ISNUMBER(SEARCH($A20, INDEX(AsistenciaJetAdminConcatenada!$D:$D, MATCH(1, (AsistenciaJetAdminConcatenada!$A:$A=GO$2)*(AsistenciaJetAdminConcatenada!$B:$B=GO$1), 0)), 1))),  0.5, 0))</f>
        <v>0</v>
      </c>
      <c r="GP20" s="47">
        <f t="array" ref="GP20">IF(AND(ISNUMBER(MATCH(GP$2, AsistenciaJetAdminConcatenada!$A:$A, 0)), ISNUMBER(MATCH(GP$1, AsistenciaJetAdminConcatenada!$B:$B, 0)), ISNUMBER(SEARCH($A20,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ISNUMBER(SEARCH($A20, INDEX(AsistenciaJetAdminConcatenada!$D:$D, MATCH(1, (AsistenciaJetAdminConcatenada!$A:$A=GP$2)*(AsistenciaJetAdminConcatenada!$B:$B=GP$1), 0)), 1))),  0.5, 0))</f>
        <v>0</v>
      </c>
      <c r="GQ20" s="47">
        <f t="array" ref="GQ20">IF(AND(ISNUMBER(MATCH(GQ$2, AsistenciaJetAdminConcatenada!$A:$A, 0)), ISNUMBER(MATCH(GQ$1, AsistenciaJetAdminConcatenada!$B:$B, 0)), ISNUMBER(SEARCH($A20,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ISNUMBER(SEARCH($A20, INDEX(AsistenciaJetAdminConcatenada!$D:$D, MATCH(1, (AsistenciaJetAdminConcatenada!$A:$A=GQ$2)*(AsistenciaJetAdminConcatenada!$B:$B=GQ$1), 0)), 1))),  0.5, 0))</f>
        <v>0</v>
      </c>
      <c r="GR20" s="47">
        <f t="array" ref="GR20">IF(AND(ISNUMBER(MATCH(GR$2, AsistenciaJetAdminConcatenada!$A:$A, 0)), ISNUMBER(MATCH(GR$1, AsistenciaJetAdminConcatenada!$B:$B, 0)), ISNUMBER(SEARCH($A20,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ISNUMBER(SEARCH($A20, INDEX(AsistenciaJetAdminConcatenada!$D:$D, MATCH(1, (AsistenciaJetAdminConcatenada!$A:$A=GR$2)*(AsistenciaJetAdminConcatenada!$B:$B=GR$1), 0)), 1))),  0.5, 0))</f>
        <v>0</v>
      </c>
      <c r="GS20" s="47">
        <f t="array" ref="GS20">IF(AND(ISNUMBER(MATCH(GS$2, AsistenciaJetAdminConcatenada!$A:$A, 0)), ISNUMBER(MATCH(GS$1, AsistenciaJetAdminConcatenada!$B:$B, 0)), ISNUMBER(SEARCH($A20,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ISNUMBER(SEARCH($A20, INDEX(AsistenciaJetAdminConcatenada!$D:$D, MATCH(1, (AsistenciaJetAdminConcatenada!$A:$A=GS$2)*(AsistenciaJetAdminConcatenada!$B:$B=GS$1), 0)), 1))),  0.5, 0))</f>
        <v>0</v>
      </c>
      <c r="GT20" s="47">
        <f t="array" ref="GT20">IF(AND(ISNUMBER(MATCH(GT$2, AsistenciaJetAdminConcatenada!$A:$A, 0)), ISNUMBER(MATCH(GT$1, AsistenciaJetAdminConcatenada!$B:$B, 0)), ISNUMBER(SEARCH($A20,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ISNUMBER(SEARCH($A20, INDEX(AsistenciaJetAdminConcatenada!$D:$D, MATCH(1, (AsistenciaJetAdminConcatenada!$A:$A=GT$2)*(AsistenciaJetAdminConcatenada!$B:$B=GT$1), 0)), 1))),  0.5, 0))</f>
        <v>0</v>
      </c>
      <c r="GU20" s="47">
        <f t="array" ref="GU20">IF(AND(ISNUMBER(MATCH(GU$2, AsistenciaJetAdminConcatenada!$A:$A, 0)), ISNUMBER(MATCH(GU$1, AsistenciaJetAdminConcatenada!$B:$B, 0)), ISNUMBER(SEARCH($A20,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ISNUMBER(SEARCH($A20, INDEX(AsistenciaJetAdminConcatenada!$D:$D, MATCH(1, (AsistenciaJetAdminConcatenada!$A:$A=GU$2)*(AsistenciaJetAdminConcatenada!$B:$B=GU$1), 0)), 1))),  0.5, 0))</f>
        <v>0</v>
      </c>
      <c r="GV20" s="47">
        <f t="array" ref="GV20">IF(AND(ISNUMBER(MATCH(GV$2, AsistenciaJetAdminConcatenada!$A:$A, 0)), ISNUMBER(MATCH(GV$1, AsistenciaJetAdminConcatenada!$B:$B, 0)), ISNUMBER(SEARCH($A20,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ISNUMBER(SEARCH($A20, INDEX(AsistenciaJetAdminConcatenada!$D:$D, MATCH(1, (AsistenciaJetAdminConcatenada!$A:$A=GV$2)*(AsistenciaJetAdminConcatenada!$B:$B=GV$1), 0)), 1))),  0.5, 0))</f>
        <v>0</v>
      </c>
      <c r="GW20" s="47">
        <f t="array" ref="GW20">IF(AND(ISNUMBER(MATCH(GW$2, AsistenciaJetAdminConcatenada!$A:$A, 0)), ISNUMBER(MATCH(GW$1, AsistenciaJetAdminConcatenada!$B:$B, 0)), ISNUMBER(SEARCH($A20,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ISNUMBER(SEARCH($A20, INDEX(AsistenciaJetAdminConcatenada!$D:$D, MATCH(1, (AsistenciaJetAdminConcatenada!$A:$A=GW$2)*(AsistenciaJetAdminConcatenada!$B:$B=GW$1), 0)), 1))),  0.5, 0))</f>
        <v>0</v>
      </c>
      <c r="GX20" s="47">
        <f t="array" ref="GX20">IF(AND(ISNUMBER(MATCH(GX$2, AsistenciaJetAdminConcatenada!$A:$A, 0)), ISNUMBER(MATCH(GX$1, AsistenciaJetAdminConcatenada!$B:$B, 0)), ISNUMBER(SEARCH($A20,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ISNUMBER(SEARCH($A20, INDEX(AsistenciaJetAdminConcatenada!$D:$D, MATCH(1, (AsistenciaJetAdminConcatenada!$A:$A=GX$2)*(AsistenciaJetAdminConcatenada!$B:$B=GX$1), 0)), 1))),  0.5, 0))</f>
        <v>0</v>
      </c>
      <c r="GY20" s="47">
        <f t="array" ref="GY20">IF(AND(ISNUMBER(MATCH(GY$2, AsistenciaJetAdminConcatenada!$A:$A, 0)), ISNUMBER(MATCH(GY$1, AsistenciaJetAdminConcatenada!$B:$B, 0)), ISNUMBER(SEARCH($A20,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ISNUMBER(SEARCH($A20, INDEX(AsistenciaJetAdminConcatenada!$D:$D, MATCH(1, (AsistenciaJetAdminConcatenada!$A:$A=GY$2)*(AsistenciaJetAdminConcatenada!$B:$B=GY$1), 0)), 1))),  0.5, 0))</f>
        <v>0</v>
      </c>
      <c r="GZ20" s="47">
        <f t="array" ref="GZ20">IF(AND(ISNUMBER(MATCH(GZ$2, AsistenciaJetAdminConcatenada!$A:$A, 0)), ISNUMBER(MATCH(GZ$1, AsistenciaJetAdminConcatenada!$B:$B, 0)), ISNUMBER(SEARCH($A20,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ISNUMBER(SEARCH($A20, INDEX(AsistenciaJetAdminConcatenada!$D:$D, MATCH(1, (AsistenciaJetAdminConcatenada!$A:$A=GZ$2)*(AsistenciaJetAdminConcatenada!$B:$B=GZ$1), 0)), 1))),  0.5, 0))</f>
        <v>0</v>
      </c>
      <c r="HA20" s="47">
        <f t="array" ref="HA20">IF(AND(ISNUMBER(MATCH(HA$2, AsistenciaJetAdminConcatenada!$A:$A, 0)), ISNUMBER(MATCH(HA$1, AsistenciaJetAdminConcatenada!$B:$B, 0)), ISNUMBER(SEARCH($A20,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ISNUMBER(SEARCH($A20, INDEX(AsistenciaJetAdminConcatenada!$D:$D, MATCH(1, (AsistenciaJetAdminConcatenada!$A:$A=HA$2)*(AsistenciaJetAdminConcatenada!$B:$B=HA$1), 0)), 1))),  0.5, 0))</f>
        <v>0</v>
      </c>
      <c r="HB20" s="47">
        <f t="array" ref="HB20">IF(AND(ISNUMBER(MATCH(HB$2, AsistenciaJetAdminConcatenada!$A:$A, 0)), ISNUMBER(MATCH(HB$1, AsistenciaJetAdminConcatenada!$B:$B, 0)), ISNUMBER(SEARCH($A20,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ISNUMBER(SEARCH($A20, INDEX(AsistenciaJetAdminConcatenada!$D:$D, MATCH(1, (AsistenciaJetAdminConcatenada!$A:$A=HB$2)*(AsistenciaJetAdminConcatenada!$B:$B=HB$1), 0)), 1))),  0.5, 0))</f>
        <v>0</v>
      </c>
      <c r="HC20" s="47">
        <f t="array" ref="HC20">IF(AND(ISNUMBER(MATCH(HC$2, AsistenciaJetAdminConcatenada!$A:$A, 0)), ISNUMBER(MATCH(HC$1, AsistenciaJetAdminConcatenada!$B:$B, 0)), ISNUMBER(SEARCH($A20,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ISNUMBER(SEARCH($A20, INDEX(AsistenciaJetAdminConcatenada!$D:$D, MATCH(1, (AsistenciaJetAdminConcatenada!$A:$A=HC$2)*(AsistenciaJetAdminConcatenada!$B:$B=HC$1), 0)), 1))),  0.5, 0))</f>
        <v>0</v>
      </c>
    </row>
    <row r="21" ht="29.25" customHeight="1">
      <c r="A21" s="3">
        <v>177.0</v>
      </c>
      <c r="B21" s="4" t="s">
        <v>417</v>
      </c>
      <c r="C21" s="47">
        <f>SUM(D21:HC21) + ActividadesEspeciales!C21</f>
        <v>62</v>
      </c>
      <c r="D21" s="47">
        <f t="array" ref="D21">IF(AND(ISNUMBER(MATCH(D$2, AsistenciaJetAdminConcatenada!$A:$A, 0)), ISNUMBER(MATCH(D$1, AsistenciaJetAdminConcatenada!$B:$B, 0)), ISNUMBER(SEARCH($A21,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ISNUMBER(SEARCH($A21, INDEX(AsistenciaJetAdminConcatenada!$D:$D, MATCH(1, (AsistenciaJetAdminConcatenada!$A:$A=D$2)*(AsistenciaJetAdminConcatenada!$B:$B=D$1), 0)), 1))),  0.5, 0))</f>
        <v>1</v>
      </c>
      <c r="E21" s="47">
        <f t="array" ref="E21">IF(AND(ISNUMBER(MATCH(E$2, AsistenciaJetAdminConcatenada!$A:$A, 0)), ISNUMBER(MATCH(E$1, AsistenciaJetAdminConcatenada!$B:$B, 0)), ISNUMBER(SEARCH($A21,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ISNUMBER(SEARCH($A21, INDEX(AsistenciaJetAdminConcatenada!$D:$D, MATCH(1, (AsistenciaJetAdminConcatenada!$A:$A=E$2)*(AsistenciaJetAdminConcatenada!$B:$B=E$1), 0)), 1))),  0.5, 0))</f>
        <v>1</v>
      </c>
      <c r="F21" s="47">
        <f t="array" ref="F21">IF(AND(ISNUMBER(MATCH(F$2, AsistenciaJetAdminConcatenada!$A:$A, 0)), ISNUMBER(MATCH(F$1, AsistenciaJetAdminConcatenada!$B:$B, 0)), ISNUMBER(SEARCH($A21,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ISNUMBER(SEARCH($A21, INDEX(AsistenciaJetAdminConcatenada!$D:$D, MATCH(1, (AsistenciaJetAdminConcatenada!$A:$A=F$2)*(AsistenciaJetAdminConcatenada!$B:$B=F$1), 0)), 1))),  0.5, 0))</f>
        <v>1</v>
      </c>
      <c r="G21" s="47">
        <f t="array" ref="G21">IF(AND(ISNUMBER(MATCH(G$2, AsistenciaJetAdminConcatenada!$A:$A, 0)), ISNUMBER(MATCH(G$1, AsistenciaJetAdminConcatenada!$B:$B, 0)), ISNUMBER(SEARCH($A21,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ISNUMBER(SEARCH($A21, INDEX(AsistenciaJetAdminConcatenada!$D:$D, MATCH(1, (AsistenciaJetAdminConcatenada!$A:$A=G$2)*(AsistenciaJetAdminConcatenada!$B:$B=G$1), 0)), 1))),  0.5, 0))</f>
        <v>1</v>
      </c>
      <c r="H21" s="47">
        <f t="array" ref="H21">IF(AND(ISNUMBER(MATCH(H$2, AsistenciaJetAdminConcatenada!$A:$A, 0)), ISNUMBER(MATCH(H$1, AsistenciaJetAdminConcatenada!$B:$B, 0)), ISNUMBER(SEARCH($A21,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ISNUMBER(SEARCH($A21, INDEX(AsistenciaJetAdminConcatenada!$D:$D, MATCH(1, (AsistenciaJetAdminConcatenada!$A:$A=H$2)*(AsistenciaJetAdminConcatenada!$B:$B=H$1), 0)), 1))),  0.5, 0))</f>
        <v>1</v>
      </c>
      <c r="I21" s="47">
        <f t="array" ref="I21">IF(AND(ISNUMBER(MATCH(I$2, AsistenciaJetAdminConcatenada!$A:$A, 0)), ISNUMBER(MATCH(I$1, AsistenciaJetAdminConcatenada!$B:$B, 0)), ISNUMBER(SEARCH($A21,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ISNUMBER(SEARCH($A21, INDEX(AsistenciaJetAdminConcatenada!$D:$D, MATCH(1, (AsistenciaJetAdminConcatenada!$A:$A=I$2)*(AsistenciaJetAdminConcatenada!$B:$B=I$1), 0)), 1))),  0.5, 0))</f>
        <v>1</v>
      </c>
      <c r="J21" s="47">
        <f t="array" ref="J21">IF(AND(ISNUMBER(MATCH(J$2, AsistenciaJetAdminConcatenada!$A:$A, 0)), ISNUMBER(MATCH(J$1, AsistenciaJetAdminConcatenada!$B:$B, 0)), ISNUMBER(SEARCH($A21,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ISNUMBER(SEARCH($A21, INDEX(AsistenciaJetAdminConcatenada!$D:$D, MATCH(1, (AsistenciaJetAdminConcatenada!$A:$A=J$2)*(AsistenciaJetAdminConcatenada!$B:$B=J$1), 0)), 1))),  0.5, 0))</f>
        <v>1</v>
      </c>
      <c r="K21" s="47">
        <f t="array" ref="K21">IF(AND(ISNUMBER(MATCH(K$2, AsistenciaJetAdminConcatenada!$A:$A, 0)), ISNUMBER(MATCH(K$1, AsistenciaJetAdminConcatenada!$B:$B, 0)), ISNUMBER(SEARCH($A21,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ISNUMBER(SEARCH($A21, INDEX(AsistenciaJetAdminConcatenada!$D:$D, MATCH(1, (AsistenciaJetAdminConcatenada!$A:$A=K$2)*(AsistenciaJetAdminConcatenada!$B:$B=K$1), 0)), 1))),  0.5, 0))</f>
        <v>0</v>
      </c>
      <c r="L21" s="47">
        <f t="array" ref="L21">IF(AND(ISNUMBER(MATCH(L$2, AsistenciaJetAdminConcatenada!$A:$A, 0)), ISNUMBER(MATCH(L$1, AsistenciaJetAdminConcatenada!$B:$B, 0)), ISNUMBER(SEARCH($A21,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ISNUMBER(SEARCH($A21, INDEX(AsistenciaJetAdminConcatenada!$D:$D, MATCH(1, (AsistenciaJetAdminConcatenada!$A:$A=L$2)*(AsistenciaJetAdminConcatenada!$B:$B=L$1), 0)), 1))),  0.5, 0))</f>
        <v>1</v>
      </c>
      <c r="M21" s="47">
        <f t="array" ref="M21">IF(AND(ISNUMBER(MATCH(M$2, AsistenciaJetAdminConcatenada!$A:$A, 0)), ISNUMBER(MATCH(M$1, AsistenciaJetAdminConcatenada!$B:$B, 0)), ISNUMBER(SEARCH($A21,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ISNUMBER(SEARCH($A21, INDEX(AsistenciaJetAdminConcatenada!$D:$D, MATCH(1, (AsistenciaJetAdminConcatenada!$A:$A=M$2)*(AsistenciaJetAdminConcatenada!$B:$B=M$1), 0)), 1))),  0.5, 0))</f>
        <v>0</v>
      </c>
      <c r="N21" s="47">
        <f t="array" ref="N21">IF(AND(ISNUMBER(MATCH(N$2, AsistenciaJetAdminConcatenada!$A:$A, 0)), ISNUMBER(MATCH(N$1, AsistenciaJetAdminConcatenada!$B:$B, 0)), ISNUMBER(SEARCH($A21,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ISNUMBER(SEARCH($A21, INDEX(AsistenciaJetAdminConcatenada!$D:$D, MATCH(1, (AsistenciaJetAdminConcatenada!$A:$A=N$2)*(AsistenciaJetAdminConcatenada!$B:$B=N$1), 0)), 1))),  0.5, 0))</f>
        <v>0</v>
      </c>
      <c r="O21" s="47">
        <f t="array" ref="O21">IF(AND(ISNUMBER(MATCH(O$2, AsistenciaJetAdminConcatenada!$A:$A, 0)), ISNUMBER(MATCH(O$1, AsistenciaJetAdminConcatenada!$B:$B, 0)), ISNUMBER(SEARCH($A21,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ISNUMBER(SEARCH($A21, INDEX(AsistenciaJetAdminConcatenada!$D:$D, MATCH(1, (AsistenciaJetAdminConcatenada!$A:$A=O$2)*(AsistenciaJetAdminConcatenada!$B:$B=O$1), 0)), 1))),  0.5, 0))</f>
        <v>1</v>
      </c>
      <c r="P21" s="47">
        <f t="array" ref="P21">IF(AND(ISNUMBER(MATCH(P$2, AsistenciaJetAdminConcatenada!$A:$A, 0)), ISNUMBER(MATCH(P$1, AsistenciaJetAdminConcatenada!$B:$B, 0)), ISNUMBER(SEARCH($A21, INDEX(AsistenciaJetAdminConcatenada!$C:$C, MATCH(1, (AsistenciaJetAdminConcatenada!$A:$A=P$2)*(AsistenciaJetAdminConcatenada!$B:$B=P$1), 0)), 1))), 1, IF(AND(ISNUMBER(MATCH(P$2, AsistenciaJetAdminConcatenada!$A:$A, 0)), ISNUMBER(MATCH(P$1, AsistenciaJetAdminConcatenada!$B:$B, 0)), ISNUMBER(SEARCH($A21, INDEX(AsistenciaJetAdminConcatenada!$D:$D, MATCH(1, (AsistenciaJetAdminConcatenada!$A:$A=P$2)*(AsistenciaJetAdminConcatenada!$B:$B=P$1), 0)), 1))),  0.5, 0))</f>
        <v>0</v>
      </c>
      <c r="Q21" s="8">
        <v>1.0</v>
      </c>
      <c r="R21" s="47">
        <f t="array" ref="R21">IF(AND(ISNUMBER(MATCH(R$2, AsistenciaJetAdminConcatenada!$A:$A, 0)), ISNUMBER(MATCH(R$1, AsistenciaJetAdminConcatenada!$B:$B, 0)), ISNUMBER(SEARCH($A21,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ISNUMBER(SEARCH($A21, INDEX(AsistenciaJetAdminConcatenada!$D:$D, MATCH(1, (AsistenciaJetAdminConcatenada!$A:$A=R$2)*(AsistenciaJetAdminConcatenada!$B:$B=R$1), 0)), 1))),  0.5, 0))</f>
        <v>1</v>
      </c>
      <c r="S21" s="47">
        <f t="array" ref="S21">IF(AND(ISNUMBER(MATCH(S$2, AsistenciaJetAdminConcatenada!$A:$A, 0)), ISNUMBER(MATCH(S$1, AsistenciaJetAdminConcatenada!$B:$B, 0)), ISNUMBER(SEARCH($A21,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ISNUMBER(SEARCH($A21, INDEX(AsistenciaJetAdminConcatenada!$D:$D, MATCH(1, (AsistenciaJetAdminConcatenada!$A:$A=S$2)*(AsistenciaJetAdminConcatenada!$B:$B=S$1), 0)), 1))),  0.5, 0))</f>
        <v>1</v>
      </c>
      <c r="T21" s="47">
        <f t="array" ref="T21">IF(AND(ISNUMBER(MATCH(T$2, AsistenciaJetAdminConcatenada!$A:$A, 0)), ISNUMBER(MATCH(T$1, AsistenciaJetAdminConcatenada!$B:$B, 0)), ISNUMBER(SEARCH($A21,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ISNUMBER(SEARCH($A21, INDEX(AsistenciaJetAdminConcatenada!$D:$D, MATCH(1, (AsistenciaJetAdminConcatenada!$A:$A=T$2)*(AsistenciaJetAdminConcatenada!$B:$B=T$1), 0)), 1))),  0.5, 0))</f>
        <v>1</v>
      </c>
      <c r="U21" s="47">
        <f t="array" ref="U21">IF(AND(ISNUMBER(MATCH(U$2, AsistenciaJetAdminConcatenada!$A:$A, 0)), ISNUMBER(MATCH(U$1, AsistenciaJetAdminConcatenada!$B:$B, 0)), ISNUMBER(SEARCH($A21,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ISNUMBER(SEARCH($A21, INDEX(AsistenciaJetAdminConcatenada!$D:$D, MATCH(1, (AsistenciaJetAdminConcatenada!$A:$A=U$2)*(AsistenciaJetAdminConcatenada!$B:$B=U$1), 0)), 1))),  0.5, 0))</f>
        <v>1</v>
      </c>
      <c r="V21" s="47">
        <f t="array" ref="V21">IF(AND(ISNUMBER(MATCH(V$2, AsistenciaJetAdminConcatenada!$A:$A, 0)), ISNUMBER(MATCH(V$1, AsistenciaJetAdminConcatenada!$B:$B, 0)), ISNUMBER(SEARCH($A21,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ISNUMBER(SEARCH($A21, INDEX(AsistenciaJetAdminConcatenada!$D:$D, MATCH(1, (AsistenciaJetAdminConcatenada!$A:$A=V$2)*(AsistenciaJetAdminConcatenada!$B:$B=V$1), 0)), 1))),  0.5, 0))</f>
        <v>0</v>
      </c>
      <c r="W21" s="47">
        <f t="array" ref="W21">IF(AND(ISNUMBER(MATCH(W$2, AsistenciaJetAdminConcatenada!$A:$A, 0)), ISNUMBER(MATCH(W$1, AsistenciaJetAdminConcatenada!$B:$B, 0)), ISNUMBER(SEARCH($A21,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ISNUMBER(SEARCH($A21, INDEX(AsistenciaJetAdminConcatenada!$D:$D, MATCH(1, (AsistenciaJetAdminConcatenada!$A:$A=W$2)*(AsistenciaJetAdminConcatenada!$B:$B=W$1), 0)), 1))),  0.5, 0))</f>
        <v>1</v>
      </c>
      <c r="X21" s="47">
        <f t="array" ref="X21">IF(AND(ISNUMBER(MATCH(X$2, AsistenciaJetAdminConcatenada!$A:$A, 0)), ISNUMBER(MATCH(X$1, AsistenciaJetAdminConcatenada!$B:$B, 0)), ISNUMBER(SEARCH($A21,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ISNUMBER(SEARCH($A21, INDEX(AsistenciaJetAdminConcatenada!$D:$D, MATCH(1, (AsistenciaJetAdminConcatenada!$A:$A=X$2)*(AsistenciaJetAdminConcatenada!$B:$B=X$1), 0)), 1))),  0.5, 0))</f>
        <v>0</v>
      </c>
      <c r="Y21" s="47">
        <f t="array" ref="Y21">IF(AND(ISNUMBER(MATCH(Y$2, AsistenciaJetAdminConcatenada!$A:$A, 0)), ISNUMBER(MATCH(Y$1, AsistenciaJetAdminConcatenada!$B:$B, 0)), ISNUMBER(SEARCH($A21,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ISNUMBER(SEARCH($A21, INDEX(AsistenciaJetAdminConcatenada!$D:$D, MATCH(1, (AsistenciaJetAdminConcatenada!$A:$A=Y$2)*(AsistenciaJetAdminConcatenada!$B:$B=Y$1), 0)), 1))),  0.5, 0))</f>
        <v>0.5</v>
      </c>
      <c r="Z21" s="47">
        <f t="array" ref="Z21">IF(AND(ISNUMBER(MATCH(Z$2, AsistenciaJetAdminConcatenada!$A:$A, 0)), ISNUMBER(MATCH(Z$1, AsistenciaJetAdminConcatenada!$B:$B, 0)), ISNUMBER(SEARCH($A21,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ISNUMBER(SEARCH($A21, INDEX(AsistenciaJetAdminConcatenada!$D:$D, MATCH(1, (AsistenciaJetAdminConcatenada!$A:$A=Z$2)*(AsistenciaJetAdminConcatenada!$B:$B=Z$1), 0)), 1))),  0.5, 0))</f>
        <v>1</v>
      </c>
      <c r="AA21" s="47">
        <f t="array" ref="AA21">IF(AND(ISNUMBER(MATCH(AA$2, AsistenciaJetAdminConcatenada!$A:$A, 0)), ISNUMBER(MATCH(AA$1, AsistenciaJetAdminConcatenada!$B:$B, 0)), ISNUMBER(SEARCH($A21,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ISNUMBER(SEARCH($A21, INDEX(AsistenciaJetAdminConcatenada!$D:$D, MATCH(1, (AsistenciaJetAdminConcatenada!$A:$A=AA$2)*(AsistenciaJetAdminConcatenada!$B:$B=AA$1), 0)), 1))),  0.5, 0))</f>
        <v>0</v>
      </c>
      <c r="AB21" s="47">
        <f t="array" ref="AB21">IF(AND(ISNUMBER(MATCH(AB$2, AsistenciaJetAdminConcatenada!$A:$A, 0)), ISNUMBER(MATCH(AB$1, AsistenciaJetAdminConcatenada!$B:$B, 0)), ISNUMBER(SEARCH($A21,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ISNUMBER(SEARCH($A21, INDEX(AsistenciaJetAdminConcatenada!$D:$D, MATCH(1, (AsistenciaJetAdminConcatenada!$A:$A=AB$2)*(AsistenciaJetAdminConcatenada!$B:$B=AB$1), 0)), 1))),  0.5, 0))</f>
        <v>1</v>
      </c>
      <c r="AC21" s="47">
        <f t="array" ref="AC21">IF(AND(ISNUMBER(MATCH(AC$2, AsistenciaJetAdminConcatenada!$A:$A, 0)), ISNUMBER(MATCH(AC$1, AsistenciaJetAdminConcatenada!$B:$B, 0)), ISNUMBER(SEARCH($A21,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ISNUMBER(SEARCH($A21, INDEX(AsistenciaJetAdminConcatenada!$D:$D, MATCH(1, (AsistenciaJetAdminConcatenada!$A:$A=AC$2)*(AsistenciaJetAdminConcatenada!$B:$B=AC$1), 0)), 1))),  0.5, 0))</f>
        <v>0</v>
      </c>
      <c r="AD21" s="47">
        <f t="array" ref="AD21">IF(AND(ISNUMBER(MATCH(AD$2, AsistenciaJetAdminConcatenada!$A:$A, 0)), ISNUMBER(MATCH(AD$1, AsistenciaJetAdminConcatenada!$B:$B, 0)), ISNUMBER(SEARCH($A21,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ISNUMBER(SEARCH($A21, INDEX(AsistenciaJetAdminConcatenada!$D:$D, MATCH(1, (AsistenciaJetAdminConcatenada!$A:$A=AD$2)*(AsistenciaJetAdminConcatenada!$B:$B=AD$1), 0)), 1))),  0.5, 0))</f>
        <v>0.5</v>
      </c>
      <c r="AE21" s="47">
        <f t="array" ref="AE21">IF(AND(ISNUMBER(MATCH(AE$2, AsistenciaJetAdminConcatenada!$A:$A, 0)), ISNUMBER(MATCH(AE$1, AsistenciaJetAdminConcatenada!$B:$B, 0)), ISNUMBER(SEARCH($A21,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ISNUMBER(SEARCH($A21, INDEX(AsistenciaJetAdminConcatenada!$D:$D, MATCH(1, (AsistenciaJetAdminConcatenada!$A:$A=AE$2)*(AsistenciaJetAdminConcatenada!$B:$B=AE$1), 0)), 1))),  0.5, 0))</f>
        <v>0</v>
      </c>
      <c r="AF21" s="47">
        <f t="array" ref="AF21">IF(AND(ISNUMBER(MATCH(AF$2, AsistenciaJetAdminConcatenada!$A:$A, 0)), ISNUMBER(MATCH(AF$1, AsistenciaJetAdminConcatenada!$B:$B, 0)), ISNUMBER(SEARCH($A21,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ISNUMBER(SEARCH($A21, INDEX(AsistenciaJetAdminConcatenada!$D:$D, MATCH(1, (AsistenciaJetAdminConcatenada!$A:$A=AF$2)*(AsistenciaJetAdminConcatenada!$B:$B=AF$1), 0)), 1))),  0.5, 0))</f>
        <v>0</v>
      </c>
      <c r="AG21" s="47">
        <f t="array" ref="AG21">IF(AND(ISNUMBER(MATCH(AG$2, AsistenciaJetAdminConcatenada!$A:$A, 0)), ISNUMBER(MATCH(AG$1, AsistenciaJetAdminConcatenada!$B:$B, 0)), ISNUMBER(SEARCH($A21,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ISNUMBER(SEARCH($A21, INDEX(AsistenciaJetAdminConcatenada!$D:$D, MATCH(1, (AsistenciaJetAdminConcatenada!$A:$A=AG$2)*(AsistenciaJetAdminConcatenada!$B:$B=AG$1), 0)), 1))),  0.5, 0))</f>
        <v>0</v>
      </c>
      <c r="AH21" s="47">
        <f t="array" ref="AH21">IF(AND(ISNUMBER(MATCH(AH$2, AsistenciaJetAdminConcatenada!$A:$A, 0)), ISNUMBER(MATCH(AH$1, AsistenciaJetAdminConcatenada!$B:$B, 0)), ISNUMBER(SEARCH($A21,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ISNUMBER(SEARCH($A21, INDEX(AsistenciaJetAdminConcatenada!$D:$D, MATCH(1, (AsistenciaJetAdminConcatenada!$A:$A=AH$2)*(AsistenciaJetAdminConcatenada!$B:$B=AH$1), 0)), 1))),  0.5, 0))</f>
        <v>0</v>
      </c>
      <c r="AI21" s="47">
        <f t="array" ref="AI21">IF(AND(ISNUMBER(MATCH(AI$2, AsistenciaJetAdminConcatenada!$A:$A, 0)), ISNUMBER(MATCH(AI$1, AsistenciaJetAdminConcatenada!$B:$B, 0)), ISNUMBER(SEARCH($A21,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ISNUMBER(SEARCH($A21, INDEX(AsistenciaJetAdminConcatenada!$D:$D, MATCH(1, (AsistenciaJetAdminConcatenada!$A:$A=AI$2)*(AsistenciaJetAdminConcatenada!$B:$B=AI$1), 0)), 1))),  0.5, 0))</f>
        <v>0</v>
      </c>
      <c r="AJ21" s="47">
        <f t="array" ref="AJ21">IF(AND(ISNUMBER(MATCH(AJ$2, AsistenciaJetAdminConcatenada!$A:$A, 0)), ISNUMBER(MATCH(AJ$1, AsistenciaJetAdminConcatenada!$B:$B, 0)), ISNUMBER(SEARCH($A21,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ISNUMBER(SEARCH($A21, INDEX(AsistenciaJetAdminConcatenada!$D:$D, MATCH(1, (AsistenciaJetAdminConcatenada!$A:$A=AJ$2)*(AsistenciaJetAdminConcatenada!$B:$B=AJ$1), 0)), 1))),  0.5, 0))</f>
        <v>1</v>
      </c>
      <c r="AK21" s="47">
        <f t="array" ref="AK21">IF(AND(ISNUMBER(MATCH(AK$2, AsistenciaJetAdminConcatenada!$A:$A, 0)), ISNUMBER(MATCH(AK$1, AsistenciaJetAdminConcatenada!$B:$B, 0)), ISNUMBER(SEARCH($A21,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ISNUMBER(SEARCH($A21, INDEX(AsistenciaJetAdminConcatenada!$D:$D, MATCH(1, (AsistenciaJetAdminConcatenada!$A:$A=AK$2)*(AsistenciaJetAdminConcatenada!$B:$B=AK$1), 0)), 1))),  0.5, 0))</f>
        <v>1</v>
      </c>
      <c r="AL21" s="47">
        <f t="array" ref="AL21">IF(AND(ISNUMBER(MATCH(AL$2, AsistenciaJetAdminConcatenada!$A:$A, 0)), ISNUMBER(MATCH(AL$1, AsistenciaJetAdminConcatenada!$B:$B, 0)), ISNUMBER(SEARCH($A21,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ISNUMBER(SEARCH($A21, INDEX(AsistenciaJetAdminConcatenada!$D:$D, MATCH(1, (AsistenciaJetAdminConcatenada!$A:$A=AL$2)*(AsistenciaJetAdminConcatenada!$B:$B=AL$1), 0)), 1))),  0.5, 0))</f>
        <v>1</v>
      </c>
      <c r="AM21" s="47">
        <f t="array" ref="AM21">IF(AND(ISNUMBER(MATCH(AM$2, AsistenciaJetAdminConcatenada!$A:$A, 0)), ISNUMBER(MATCH(AM$1, AsistenciaJetAdminConcatenada!$B:$B, 0)), ISNUMBER(SEARCH($A21,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ISNUMBER(SEARCH($A21, INDEX(AsistenciaJetAdminConcatenada!$D:$D, MATCH(1, (AsistenciaJetAdminConcatenada!$A:$A=AM$2)*(AsistenciaJetAdminConcatenada!$B:$B=AM$1), 0)), 1))),  0.5, 0))</f>
        <v>1</v>
      </c>
      <c r="AN21" s="47">
        <f t="array" ref="AN21">IF(AND(ISNUMBER(MATCH(AN$2, AsistenciaJetAdminConcatenada!$A:$A, 0)), ISNUMBER(MATCH(AN$1, AsistenciaJetAdminConcatenada!$B:$B, 0)), ISNUMBER(SEARCH($A21,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ISNUMBER(SEARCH($A21, INDEX(AsistenciaJetAdminConcatenada!$D:$D, MATCH(1, (AsistenciaJetAdminConcatenada!$A:$A=AN$2)*(AsistenciaJetAdminConcatenada!$B:$B=AN$1), 0)), 1))),  0.5, 0))</f>
        <v>0</v>
      </c>
      <c r="AO21" s="47">
        <f t="array" ref="AO21">IF(AND(ISNUMBER(MATCH(AO$2, AsistenciaJetAdminConcatenada!$A:$A, 0)), ISNUMBER(MATCH(AO$1, AsistenciaJetAdminConcatenada!$B:$B, 0)), ISNUMBER(SEARCH($A21,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ISNUMBER(SEARCH($A21, INDEX(AsistenciaJetAdminConcatenada!$D:$D, MATCH(1, (AsistenciaJetAdminConcatenada!$A:$A=AO$2)*(AsistenciaJetAdminConcatenada!$B:$B=AO$1), 0)), 1))),  0.5, 0))</f>
        <v>0</v>
      </c>
      <c r="AP21" s="47">
        <f t="array" ref="AP21">IF(AND(ISNUMBER(MATCH(AP$2, AsistenciaJetAdminConcatenada!$A:$A, 0)), ISNUMBER(MATCH(AP$1, AsistenciaJetAdminConcatenada!$B:$B, 0)), ISNUMBER(SEARCH($A21,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ISNUMBER(SEARCH($A21, INDEX(AsistenciaJetAdminConcatenada!$D:$D, MATCH(1, (AsistenciaJetAdminConcatenada!$A:$A=AP$2)*(AsistenciaJetAdminConcatenada!$B:$B=AP$1), 0)), 1))),  0.5, 0))</f>
        <v>0</v>
      </c>
      <c r="AQ21" s="47">
        <f t="array" ref="AQ21">IF(AND(ISNUMBER(MATCH(AQ$2, AsistenciaJetAdminConcatenada!$A:$A, 0)), ISNUMBER(MATCH(AQ$1, AsistenciaJetAdminConcatenada!$B:$B, 0)), ISNUMBER(SEARCH($A21,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ISNUMBER(SEARCH($A21, INDEX(AsistenciaJetAdminConcatenada!$D:$D, MATCH(1, (AsistenciaJetAdminConcatenada!$A:$A=AQ$2)*(AsistenciaJetAdminConcatenada!$B:$B=AQ$1), 0)), 1))),  0.5, 0))</f>
        <v>0</v>
      </c>
      <c r="AR21" s="47">
        <f t="array" ref="AR21">IF(AND(ISNUMBER(MATCH(AR$2, AsistenciaJetAdminConcatenada!$A:$A, 0)), ISNUMBER(MATCH(AR$1, AsistenciaJetAdminConcatenada!$B:$B, 0)), ISNUMBER(SEARCH($A21,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ISNUMBER(SEARCH($A21, INDEX(AsistenciaJetAdminConcatenada!$D:$D, MATCH(1, (AsistenciaJetAdminConcatenada!$A:$A=AR$2)*(AsistenciaJetAdminConcatenada!$B:$B=AR$1), 0)), 1))),  0.5, 0))</f>
        <v>1</v>
      </c>
      <c r="AS21" s="47">
        <f t="array" ref="AS21">IF(AND(ISNUMBER(MATCH(AS$2, AsistenciaJetAdminConcatenada!$A:$A, 0)), ISNUMBER(MATCH(AS$1, AsistenciaJetAdminConcatenada!$B:$B, 0)), ISNUMBER(SEARCH($A21,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ISNUMBER(SEARCH($A21, INDEX(AsistenciaJetAdminConcatenada!$D:$D, MATCH(1, (AsistenciaJetAdminConcatenada!$A:$A=AS$2)*(AsistenciaJetAdminConcatenada!$B:$B=AS$1), 0)), 1))),  0.5, 0))</f>
        <v>1</v>
      </c>
      <c r="AT21" s="47">
        <f t="array" ref="AT21">IF(AND(ISNUMBER(MATCH(AT$2, AsistenciaJetAdminConcatenada!$A:$A, 0)), ISNUMBER(MATCH(AT$1, AsistenciaJetAdminConcatenada!$B:$B, 0)), ISNUMBER(SEARCH($A21,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ISNUMBER(SEARCH($A21, INDEX(AsistenciaJetAdminConcatenada!$D:$D, MATCH(1, (AsistenciaJetAdminConcatenada!$A:$A=AT$2)*(AsistenciaJetAdminConcatenada!$B:$B=AT$1), 0)), 1))),  0.5, 0))</f>
        <v>0</v>
      </c>
      <c r="AU21" s="47">
        <f t="array" ref="AU21">IF(AND(ISNUMBER(MATCH(AU$2, AsistenciaJetAdminConcatenada!$A:$A, 0)), ISNUMBER(MATCH(AU$1, AsistenciaJetAdminConcatenada!$B:$B, 0)), ISNUMBER(SEARCH($A21,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ISNUMBER(SEARCH($A21, INDEX(AsistenciaJetAdminConcatenada!$D:$D, MATCH(1, (AsistenciaJetAdminConcatenada!$A:$A=AU$2)*(AsistenciaJetAdminConcatenada!$B:$B=AU$1), 0)), 1))),  0.5, 0))</f>
        <v>1</v>
      </c>
      <c r="AV21" s="47">
        <f t="array" ref="AV21">IF(AND(ISNUMBER(MATCH(AV$2, AsistenciaJetAdminConcatenada!$A:$A, 0)), ISNUMBER(MATCH(AV$1, AsistenciaJetAdminConcatenada!$B:$B, 0)), ISNUMBER(SEARCH($A21,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ISNUMBER(SEARCH($A21, INDEX(AsistenciaJetAdminConcatenada!$D:$D, MATCH(1, (AsistenciaJetAdminConcatenada!$A:$A=AV$2)*(AsistenciaJetAdminConcatenada!$B:$B=AV$1), 0)), 1))),  0.5, 0))</f>
        <v>1</v>
      </c>
      <c r="AW21" s="47">
        <f t="array" ref="AW21">IF(AND(ISNUMBER(MATCH(AW$2, AsistenciaJetAdminConcatenada!$A:$A, 0)), ISNUMBER(MATCH(AW$1, AsistenciaJetAdminConcatenada!$B:$B, 0)), ISNUMBER(SEARCH($A21,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ISNUMBER(SEARCH($A21, INDEX(AsistenciaJetAdminConcatenada!$D:$D, MATCH(1, (AsistenciaJetAdminConcatenada!$A:$A=AW$2)*(AsistenciaJetAdminConcatenada!$B:$B=AW$1), 0)), 1))),  0.5, 0))</f>
        <v>0</v>
      </c>
      <c r="AX21" s="47">
        <f t="array" ref="AX21">IF(AND(ISNUMBER(MATCH(AX$2, AsistenciaJetAdminConcatenada!$A:$A, 0)), ISNUMBER(MATCH(AX$1, AsistenciaJetAdminConcatenada!$B:$B, 0)), ISNUMBER(SEARCH($A21,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ISNUMBER(SEARCH($A21, INDEX(AsistenciaJetAdminConcatenada!$D:$D, MATCH(1, (AsistenciaJetAdminConcatenada!$A:$A=AX$2)*(AsistenciaJetAdminConcatenada!$B:$B=AX$1), 0)), 1))),  0.5, 0))</f>
        <v>1</v>
      </c>
      <c r="AY21" s="47">
        <f t="array" ref="AY21">IF(AND(ISNUMBER(MATCH(AY$2, AsistenciaJetAdminConcatenada!$A:$A, 0)), ISNUMBER(MATCH(AY$1, AsistenciaJetAdminConcatenada!$B:$B, 0)), ISNUMBER(SEARCH($A21,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ISNUMBER(SEARCH($A21, INDEX(AsistenciaJetAdminConcatenada!$D:$D, MATCH(1, (AsistenciaJetAdminConcatenada!$A:$A=AY$2)*(AsistenciaJetAdminConcatenada!$B:$B=AY$1), 0)), 1))),  0.5, 0))</f>
        <v>1</v>
      </c>
      <c r="AZ21" s="47">
        <f t="array" ref="AZ21">IF(AND(ISNUMBER(MATCH(AZ$2, AsistenciaJetAdminConcatenada!$A:$A, 0)), ISNUMBER(MATCH(AZ$1, AsistenciaJetAdminConcatenada!$B:$B, 0)), ISNUMBER(SEARCH($A21,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ISNUMBER(SEARCH($A21, INDEX(AsistenciaJetAdminConcatenada!$D:$D, MATCH(1, (AsistenciaJetAdminConcatenada!$A:$A=AZ$2)*(AsistenciaJetAdminConcatenada!$B:$B=AZ$1), 0)), 1))),  0.5, 0))</f>
        <v>0</v>
      </c>
      <c r="BA21" s="47">
        <f t="array" ref="BA21">IF(AND(ISNUMBER(MATCH(BA$2, AsistenciaJetAdminConcatenada!$A:$A, 0)), ISNUMBER(MATCH(BA$1, AsistenciaJetAdminConcatenada!$B:$B, 0)), ISNUMBER(SEARCH($A21,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ISNUMBER(SEARCH($A21, INDEX(AsistenciaJetAdminConcatenada!$D:$D, MATCH(1, (AsistenciaJetAdminConcatenada!$A:$A=BA$2)*(AsistenciaJetAdminConcatenada!$B:$B=BA$1), 0)), 1))),  0.5, 0))</f>
        <v>0</v>
      </c>
      <c r="BB21" s="47">
        <f t="array" ref="BB21">IF(AND(ISNUMBER(MATCH(BB$2, AsistenciaJetAdminConcatenada!$A:$A, 0)), ISNUMBER(MATCH(BB$1, AsistenciaJetAdminConcatenada!$B:$B, 0)), ISNUMBER(SEARCH($A21,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ISNUMBER(SEARCH($A21, INDEX(AsistenciaJetAdminConcatenada!$D:$D, MATCH(1, (AsistenciaJetAdminConcatenada!$A:$A=BB$2)*(AsistenciaJetAdminConcatenada!$B:$B=BB$1), 0)), 1))),  0.5, 0))</f>
        <v>1</v>
      </c>
      <c r="BC21" s="47">
        <f t="array" ref="BC21">IF(AND(ISNUMBER(MATCH(BC$2, AsistenciaJetAdminConcatenada!$A:$A, 0)), ISNUMBER(MATCH(BC$1, AsistenciaJetAdminConcatenada!$B:$B, 0)), ISNUMBER(SEARCH($A21,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ISNUMBER(SEARCH($A21, INDEX(AsistenciaJetAdminConcatenada!$D:$D, MATCH(1, (AsistenciaJetAdminConcatenada!$A:$A=BC$2)*(AsistenciaJetAdminConcatenada!$B:$B=BC$1), 0)), 1))),  0.5, 0))</f>
        <v>1</v>
      </c>
      <c r="BD21" s="47">
        <f t="array" ref="BD21">IF(AND(ISNUMBER(MATCH(BD$2, AsistenciaJetAdminConcatenada!$A:$A, 0)), ISNUMBER(MATCH(BD$1, AsistenciaJetAdminConcatenada!$B:$B, 0)), ISNUMBER(SEARCH($A21,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ISNUMBER(SEARCH($A21, INDEX(AsistenciaJetAdminConcatenada!$D:$D, MATCH(1, (AsistenciaJetAdminConcatenada!$A:$A=BD$2)*(AsistenciaJetAdminConcatenada!$B:$B=BD$1), 0)), 1))),  0.5, 0))</f>
        <v>0</v>
      </c>
      <c r="BE21" s="47">
        <f t="array" ref="BE21">IF(AND(ISNUMBER(MATCH(BE$2, AsistenciaJetAdminConcatenada!$A:$A, 0)), ISNUMBER(MATCH(BE$1, AsistenciaJetAdminConcatenada!$B:$B, 0)), ISNUMBER(SEARCH($A21,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ISNUMBER(SEARCH($A21, INDEX(AsistenciaJetAdminConcatenada!$D:$D, MATCH(1, (AsistenciaJetAdminConcatenada!$A:$A=BE$2)*(AsistenciaJetAdminConcatenada!$B:$B=BE$1), 0)), 1))),  0.5, 0))</f>
        <v>0</v>
      </c>
      <c r="BF21" s="47">
        <f t="array" ref="BF21">IF(AND(ISNUMBER(MATCH(BF$2, AsistenciaJetAdminConcatenada!$A:$A, 0)), ISNUMBER(MATCH(BF$1, AsistenciaJetAdminConcatenada!$B:$B, 0)), ISNUMBER(SEARCH($A21,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ISNUMBER(SEARCH($A21, INDEX(AsistenciaJetAdminConcatenada!$D:$D, MATCH(1, (AsistenciaJetAdminConcatenada!$A:$A=BF$2)*(AsistenciaJetAdminConcatenada!$B:$B=BF$1), 0)), 1))),  0.5, 0))</f>
        <v>1</v>
      </c>
      <c r="BG21" s="47">
        <f t="array" ref="BG21">IF(AND(ISNUMBER(MATCH(BG$2, AsistenciaJetAdminConcatenada!$A:$A, 0)), ISNUMBER(MATCH(BG$1, AsistenciaJetAdminConcatenada!$B:$B, 0)), ISNUMBER(SEARCH($A21,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ISNUMBER(SEARCH($A21, INDEX(AsistenciaJetAdminConcatenada!$D:$D, MATCH(1, (AsistenciaJetAdminConcatenada!$A:$A=BG$2)*(AsistenciaJetAdminConcatenada!$B:$B=BG$1), 0)), 1))),  0.5, 0))</f>
        <v>1</v>
      </c>
      <c r="BH21" s="47">
        <f t="array" ref="BH21">IF(AND(ISNUMBER(MATCH(BH$2, AsistenciaJetAdminConcatenada!$A:$A, 0)), ISNUMBER(MATCH(BH$1, AsistenciaJetAdminConcatenada!$B:$B, 0)), ISNUMBER(SEARCH($A21,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ISNUMBER(SEARCH($A21, INDEX(AsistenciaJetAdminConcatenada!$D:$D, MATCH(1, (AsistenciaJetAdminConcatenada!$A:$A=BH$2)*(AsistenciaJetAdminConcatenada!$B:$B=BH$1), 0)), 1))),  0.5, 0))</f>
        <v>1</v>
      </c>
      <c r="BI21" s="47">
        <f t="array" ref="BI21">IF(AND(ISNUMBER(MATCH(BI$2, AsistenciaJetAdminConcatenada!$A:$A, 0)), ISNUMBER(MATCH(BI$1, AsistenciaJetAdminConcatenada!$B:$B, 0)), ISNUMBER(SEARCH($A21,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ISNUMBER(SEARCH($A21, INDEX(AsistenciaJetAdminConcatenada!$D:$D, MATCH(1, (AsistenciaJetAdminConcatenada!$A:$A=BI$2)*(AsistenciaJetAdminConcatenada!$B:$B=BI$1), 0)), 1))),  0.5, 0))</f>
        <v>1</v>
      </c>
      <c r="BJ21" s="47">
        <f t="array" ref="BJ21">IF(AND(ISNUMBER(MATCH(BJ$2, AsistenciaJetAdminConcatenada!$A:$A, 0)), ISNUMBER(MATCH(BJ$1, AsistenciaJetAdminConcatenada!$B:$B, 0)), ISNUMBER(SEARCH($A21,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ISNUMBER(SEARCH($A21, INDEX(AsistenciaJetAdminConcatenada!$D:$D, MATCH(1, (AsistenciaJetAdminConcatenada!$A:$A=BJ$2)*(AsistenciaJetAdminConcatenada!$B:$B=BJ$1), 0)), 1))),  0.5, 0))</f>
        <v>1</v>
      </c>
      <c r="BK21" s="47">
        <f t="array" ref="BK21">IF(AND(ISNUMBER(MATCH(BK$2, AsistenciaJetAdminConcatenada!$A:$A, 0)), ISNUMBER(MATCH(BK$1, AsistenciaJetAdminConcatenada!$B:$B, 0)), ISNUMBER(SEARCH($A21,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ISNUMBER(SEARCH($A21, INDEX(AsistenciaJetAdminConcatenada!$D:$D, MATCH(1, (AsistenciaJetAdminConcatenada!$A:$A=BK$2)*(AsistenciaJetAdminConcatenada!$B:$B=BK$1), 0)), 1))),  0.5, 0))</f>
        <v>1</v>
      </c>
      <c r="BL21" s="47">
        <f t="array" ref="BL21">IF(AND(ISNUMBER(MATCH(BL$2, AsistenciaJetAdminConcatenada!$A:$A, 0)), ISNUMBER(MATCH(BL$1, AsistenciaJetAdminConcatenada!$B:$B, 0)), ISNUMBER(SEARCH($A21,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ISNUMBER(SEARCH($A21, INDEX(AsistenciaJetAdminConcatenada!$D:$D, MATCH(1, (AsistenciaJetAdminConcatenada!$A:$A=BL$2)*(AsistenciaJetAdminConcatenada!$B:$B=BL$1), 0)), 1))),  0.5, 0))</f>
        <v>1</v>
      </c>
      <c r="BM21" s="47">
        <f t="array" ref="BM21">IF(AND(ISNUMBER(MATCH(BM$2, AsistenciaJetAdminConcatenada!$A:$A, 0)), ISNUMBER(MATCH(BM$1, AsistenciaJetAdminConcatenada!$B:$B, 0)), ISNUMBER(SEARCH($A21,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ISNUMBER(SEARCH($A21, INDEX(AsistenciaJetAdminConcatenada!$D:$D, MATCH(1, (AsistenciaJetAdminConcatenada!$A:$A=BM$2)*(AsistenciaJetAdminConcatenada!$B:$B=BM$1), 0)), 1))),  0.5, 0))</f>
        <v>1</v>
      </c>
      <c r="BN21" s="47">
        <f t="array" ref="BN21">IF(AND(ISNUMBER(MATCH(BN$2, AsistenciaJetAdminConcatenada!$A:$A, 0)), ISNUMBER(MATCH(BN$1, AsistenciaJetAdminConcatenada!$B:$B, 0)), ISNUMBER(SEARCH($A21,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ISNUMBER(SEARCH($A21, INDEX(AsistenciaJetAdminConcatenada!$D:$D, MATCH(1, (AsistenciaJetAdminConcatenada!$A:$A=BN$2)*(AsistenciaJetAdminConcatenada!$B:$B=BN$1), 0)), 1))),  0.5, 0))</f>
        <v>1</v>
      </c>
      <c r="BO21" s="47">
        <f t="array" ref="BO21">IF(AND(ISNUMBER(MATCH(BO$2, AsistenciaJetAdminConcatenada!$A:$A, 0)), ISNUMBER(MATCH(BO$1, AsistenciaJetAdminConcatenada!$B:$B, 0)), ISNUMBER(SEARCH($A21,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ISNUMBER(SEARCH($A21, INDEX(AsistenciaJetAdminConcatenada!$D:$D, MATCH(1, (AsistenciaJetAdminConcatenada!$A:$A=BO$2)*(AsistenciaJetAdminConcatenada!$B:$B=BO$1), 0)), 1))),  0.5, 0))</f>
        <v>0</v>
      </c>
      <c r="BP21" s="47">
        <f t="array" ref="BP21">IF(AND(ISNUMBER(MATCH(BP$2, AsistenciaJetAdminConcatenada!$A:$A, 0)), ISNUMBER(MATCH(BP$1, AsistenciaJetAdminConcatenada!$B:$B, 0)), ISNUMBER(SEARCH($A21,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ISNUMBER(SEARCH($A21, INDEX(AsistenciaJetAdminConcatenada!$D:$D, MATCH(1, (AsistenciaJetAdminConcatenada!$A:$A=BP$2)*(AsistenciaJetAdminConcatenada!$B:$B=BP$1), 0)), 1))),  0.5, 0))</f>
        <v>1</v>
      </c>
      <c r="BQ21" s="47">
        <f t="array" ref="BQ21">IF(AND(ISNUMBER(MATCH(BQ$2, AsistenciaJetAdminConcatenada!$A:$A, 0)), ISNUMBER(MATCH(BQ$1, AsistenciaJetAdminConcatenada!$B:$B, 0)), ISNUMBER(SEARCH($A21,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ISNUMBER(SEARCH($A21, INDEX(AsistenciaJetAdminConcatenada!$D:$D, MATCH(1, (AsistenciaJetAdminConcatenada!$A:$A=BQ$2)*(AsistenciaJetAdminConcatenada!$B:$B=BQ$1), 0)), 1))),  0.5, 0))</f>
        <v>1</v>
      </c>
      <c r="BR21" s="47">
        <f t="array" ref="BR21">IF(AND(ISNUMBER(MATCH(BR$2, AsistenciaJetAdminConcatenada!$A:$A, 0)), ISNUMBER(MATCH(BR$1, AsistenciaJetAdminConcatenada!$B:$B, 0)), ISNUMBER(SEARCH($A21,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ISNUMBER(SEARCH($A21, INDEX(AsistenciaJetAdminConcatenada!$D:$D, MATCH(1, (AsistenciaJetAdminConcatenada!$A:$A=BR$2)*(AsistenciaJetAdminConcatenada!$B:$B=BR$1), 0)), 1))),  0.5, 0))</f>
        <v>1</v>
      </c>
      <c r="BS21" s="47">
        <f t="array" ref="BS21">IF(AND(ISNUMBER(MATCH(BS$2, AsistenciaJetAdminConcatenada!$A:$A, 0)), ISNUMBER(MATCH(BS$1, AsistenciaJetAdminConcatenada!$B:$B, 0)), ISNUMBER(SEARCH($A21,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ISNUMBER(SEARCH($A21, INDEX(AsistenciaJetAdminConcatenada!$D:$D, MATCH(1, (AsistenciaJetAdminConcatenada!$A:$A=BS$2)*(AsistenciaJetAdminConcatenada!$B:$B=BS$1), 0)), 1))),  0.5, 0))</f>
        <v>1</v>
      </c>
      <c r="BT21" s="47">
        <f t="array" ref="BT21">IF(AND(ISNUMBER(MATCH(BT$2, AsistenciaJetAdminConcatenada!$A:$A, 0)), ISNUMBER(MATCH(BT$1, AsistenciaJetAdminConcatenada!$B:$B, 0)), ISNUMBER(SEARCH($A21,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ISNUMBER(SEARCH($A21, INDEX(AsistenciaJetAdminConcatenada!$D:$D, MATCH(1, (AsistenciaJetAdminConcatenada!$A:$A=BT$2)*(AsistenciaJetAdminConcatenada!$B:$B=BT$1), 0)), 1))),  0.5, 0))</f>
        <v>1</v>
      </c>
      <c r="BU21" s="47">
        <f t="array" ref="BU21">IF(AND(ISNUMBER(MATCH(BU$2, AsistenciaJetAdminConcatenada!$A:$A, 0)), ISNUMBER(MATCH(BU$1, AsistenciaJetAdminConcatenada!$B:$B, 0)), ISNUMBER(SEARCH($A21,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ISNUMBER(SEARCH($A21, INDEX(AsistenciaJetAdminConcatenada!$D:$D, MATCH(1, (AsistenciaJetAdminConcatenada!$A:$A=BU$2)*(AsistenciaJetAdminConcatenada!$B:$B=BU$1), 0)), 1))),  0.5, 0))</f>
        <v>1</v>
      </c>
      <c r="BV21" s="47">
        <f t="array" ref="BV21">IF(AND(ISNUMBER(MATCH(BV$2, AsistenciaJetAdminConcatenada!$A:$A, 0)), ISNUMBER(MATCH(BV$1, AsistenciaJetAdminConcatenada!$B:$B, 0)), ISNUMBER(SEARCH($A21,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ISNUMBER(SEARCH($A21, INDEX(AsistenciaJetAdminConcatenada!$D:$D, MATCH(1, (AsistenciaJetAdminConcatenada!$A:$A=BV$2)*(AsistenciaJetAdminConcatenada!$B:$B=BV$1), 0)), 1))),  0.5, 0))</f>
        <v>0</v>
      </c>
      <c r="BW21" s="47">
        <f t="array" ref="BW21">IF(AND(ISNUMBER(MATCH(BW$2, AsistenciaJetAdminConcatenada!$A:$A, 0)), ISNUMBER(MATCH(BW$1, AsistenciaJetAdminConcatenada!$B:$B, 0)), ISNUMBER(SEARCH($A21,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ISNUMBER(SEARCH($A21, INDEX(AsistenciaJetAdminConcatenada!$D:$D, MATCH(1, (AsistenciaJetAdminConcatenada!$A:$A=BW$2)*(AsistenciaJetAdminConcatenada!$B:$B=BW$1), 0)), 1))),  0.5, 0))</f>
        <v>1</v>
      </c>
      <c r="BX21" s="47">
        <f t="array" ref="BX21">IF(AND(ISNUMBER(MATCH(BX$2, AsistenciaJetAdminConcatenada!$A:$A, 0)), ISNUMBER(MATCH(BX$1, AsistenciaJetAdminConcatenada!$B:$B, 0)), ISNUMBER(SEARCH($A21,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ISNUMBER(SEARCH($A21, INDEX(AsistenciaJetAdminConcatenada!$D:$D, MATCH(1, (AsistenciaJetAdminConcatenada!$A:$A=BX$2)*(AsistenciaJetAdminConcatenada!$B:$B=BX$1), 0)), 1))),  0.5, 0))</f>
        <v>0</v>
      </c>
      <c r="BY21" s="47">
        <f t="array" ref="BY21">IF(AND(ISNUMBER(MATCH(BY$2, AsistenciaJetAdminConcatenada!$A:$A, 0)), ISNUMBER(MATCH(BY$1, AsistenciaJetAdminConcatenada!$B:$B, 0)), ISNUMBER(SEARCH($A21,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ISNUMBER(SEARCH($A21, INDEX(AsistenciaJetAdminConcatenada!$D:$D, MATCH(1, (AsistenciaJetAdminConcatenada!$A:$A=BY$2)*(AsistenciaJetAdminConcatenada!$B:$B=BY$1), 0)), 1))),  0.5, 0))</f>
        <v>0</v>
      </c>
      <c r="BZ21" s="47">
        <f t="array" ref="BZ21">IF(AND(ISNUMBER(MATCH(BZ$2, AsistenciaJetAdminConcatenada!$A:$A, 0)), ISNUMBER(MATCH(BZ$1, AsistenciaJetAdminConcatenada!$B:$B, 0)), ISNUMBER(SEARCH($A21,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ISNUMBER(SEARCH($A21, INDEX(AsistenciaJetAdminConcatenada!$D:$D, MATCH(1, (AsistenciaJetAdminConcatenada!$A:$A=BZ$2)*(AsistenciaJetAdminConcatenada!$B:$B=BZ$1), 0)), 1))),  0.5, 0))</f>
        <v>0</v>
      </c>
      <c r="CA21" s="47">
        <f t="array" ref="CA21">IF(AND(ISNUMBER(MATCH(CA$2, AsistenciaJetAdminConcatenada!$A:$A, 0)), ISNUMBER(MATCH(CA$1, AsistenciaJetAdminConcatenada!$B:$B, 0)), ISNUMBER(SEARCH($A21,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ISNUMBER(SEARCH($A21, INDEX(AsistenciaJetAdminConcatenada!$D:$D, MATCH(1, (AsistenciaJetAdminConcatenada!$A:$A=CA$2)*(AsistenciaJetAdminConcatenada!$B:$B=CA$1), 0)), 1))),  0.5, 0))</f>
        <v>1</v>
      </c>
      <c r="CB21" s="47">
        <f t="array" ref="CB21">IF(AND(ISNUMBER(MATCH(CB$2, AsistenciaJetAdminConcatenada!$A:$A, 0)), ISNUMBER(MATCH(CB$1, AsistenciaJetAdminConcatenada!$B:$B, 0)), ISNUMBER(SEARCH($A21,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ISNUMBER(SEARCH($A21, INDEX(AsistenciaJetAdminConcatenada!$D:$D, MATCH(1, (AsistenciaJetAdminConcatenada!$A:$A=CB$2)*(AsistenciaJetAdminConcatenada!$B:$B=CB$1), 0)), 1))),  0.5, 0))</f>
        <v>1</v>
      </c>
      <c r="CC21" s="47">
        <f t="array" ref="CC21">IF(AND(ISNUMBER(MATCH(CC$2, AsistenciaJetAdminConcatenada!$A:$A, 0)), ISNUMBER(MATCH(CC$1, AsistenciaJetAdminConcatenada!$B:$B, 0)), ISNUMBER(SEARCH($A21,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ISNUMBER(SEARCH($A21, INDEX(AsistenciaJetAdminConcatenada!$D:$D, MATCH(1, (AsistenciaJetAdminConcatenada!$A:$A=CC$2)*(AsistenciaJetAdminConcatenada!$B:$B=CC$1), 0)), 1))),  0.5, 0))</f>
        <v>0</v>
      </c>
      <c r="CD21" s="47">
        <f t="array" ref="CD21">IF(AND(ISNUMBER(MATCH(CD$2, AsistenciaJetAdminConcatenada!$A:$A, 0)), ISNUMBER(MATCH(CD$1, AsistenciaJetAdminConcatenada!$B:$B, 0)), ISNUMBER(SEARCH($A21,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ISNUMBER(SEARCH($A21, INDEX(AsistenciaJetAdminConcatenada!$D:$D, MATCH(1, (AsistenciaJetAdminConcatenada!$A:$A=CD$2)*(AsistenciaJetAdminConcatenada!$B:$B=CD$1), 0)), 1))),  0.5, 0))</f>
        <v>1</v>
      </c>
      <c r="CE21" s="47">
        <f t="array" ref="CE21">IF(AND(ISNUMBER(MATCH(CE$2, AsistenciaJetAdminConcatenada!$A:$A, 0)), ISNUMBER(MATCH(CE$1, AsistenciaJetAdminConcatenada!$B:$B, 0)), ISNUMBER(SEARCH($A21,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ISNUMBER(SEARCH($A21, INDEX(AsistenciaJetAdminConcatenada!$D:$D, MATCH(1, (AsistenciaJetAdminConcatenada!$A:$A=CE$2)*(AsistenciaJetAdminConcatenada!$B:$B=CE$1), 0)), 1))),  0.5, 0))</f>
        <v>1</v>
      </c>
      <c r="CF21" s="47">
        <f t="array" ref="CF21">IF(AND(ISNUMBER(MATCH(CF$2, AsistenciaJetAdminConcatenada!$A:$A, 0)), ISNUMBER(MATCH(CF$1, AsistenciaJetAdminConcatenada!$B:$B, 0)), ISNUMBER(SEARCH($A21,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ISNUMBER(SEARCH($A21, INDEX(AsistenciaJetAdminConcatenada!$D:$D, MATCH(1, (AsistenciaJetAdminConcatenada!$A:$A=CF$2)*(AsistenciaJetAdminConcatenada!$B:$B=CF$1), 0)), 1))),  0.5, 0))</f>
        <v>1</v>
      </c>
      <c r="CG21" s="47">
        <f t="array" ref="CG21">IF(AND(ISNUMBER(MATCH(CG$2, AsistenciaJetAdminConcatenada!$A:$A, 0)), ISNUMBER(MATCH(CG$1, AsistenciaJetAdminConcatenada!$B:$B, 0)), ISNUMBER(SEARCH($A21,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ISNUMBER(SEARCH($A21, INDEX(AsistenciaJetAdminConcatenada!$D:$D, MATCH(1, (AsistenciaJetAdminConcatenada!$A:$A=CG$2)*(AsistenciaJetAdminConcatenada!$B:$B=CG$1), 0)), 1))),  0.5, 0))</f>
        <v>0</v>
      </c>
      <c r="CH21" s="47">
        <f t="array" ref="CH21">IF(AND(ISNUMBER(MATCH(CH$2, AsistenciaJetAdminConcatenada!$A:$A, 0)), ISNUMBER(MATCH(CH$1, AsistenciaJetAdminConcatenada!$B:$B, 0)), ISNUMBER(SEARCH($A21,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ISNUMBER(SEARCH($A21, INDEX(AsistenciaJetAdminConcatenada!$D:$D, MATCH(1, (AsistenciaJetAdminConcatenada!$A:$A=CH$2)*(AsistenciaJetAdminConcatenada!$B:$B=CH$1), 0)), 1))),  0.5, 0))</f>
        <v>0</v>
      </c>
      <c r="CI21" s="47">
        <f t="array" ref="CI21">IF(AND(ISNUMBER(MATCH(CI$2, AsistenciaJetAdminConcatenada!$A:$A, 0)), ISNUMBER(MATCH(CI$1, AsistenciaJetAdminConcatenada!$B:$B, 0)), ISNUMBER(SEARCH($A21,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ISNUMBER(SEARCH($A21, INDEX(AsistenciaJetAdminConcatenada!$D:$D, MATCH(1, (AsistenciaJetAdminConcatenada!$A:$A=CI$2)*(AsistenciaJetAdminConcatenada!$B:$B=CI$1), 0)), 1))),  0.5, 0))</f>
        <v>1</v>
      </c>
      <c r="CJ21" s="47">
        <f t="array" ref="CJ21">IF(AND(ISNUMBER(MATCH(CJ$2, AsistenciaJetAdminConcatenada!$A:$A, 0)), ISNUMBER(MATCH(CJ$1, AsistenciaJetAdminConcatenada!$B:$B, 0)), ISNUMBER(SEARCH($A21,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ISNUMBER(SEARCH($A21, INDEX(AsistenciaJetAdminConcatenada!$D:$D, MATCH(1, (AsistenciaJetAdminConcatenada!$A:$A=CJ$2)*(AsistenciaJetAdminConcatenada!$B:$B=CJ$1), 0)), 1))),  0.5, 0))</f>
        <v>1</v>
      </c>
      <c r="CK21" s="47">
        <f t="array" ref="CK21">IF(AND(ISNUMBER(MATCH(CK$2, AsistenciaJetAdminConcatenada!$A:$A, 0)), ISNUMBER(MATCH(CK$1, AsistenciaJetAdminConcatenada!$B:$B, 0)), ISNUMBER(SEARCH($A21,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ISNUMBER(SEARCH($A21, INDEX(AsistenciaJetAdminConcatenada!$D:$D, MATCH(1, (AsistenciaJetAdminConcatenada!$A:$A=CK$2)*(AsistenciaJetAdminConcatenada!$B:$B=CK$1), 0)), 1))),  0.5, 0))</f>
        <v>0</v>
      </c>
      <c r="CL21" s="47">
        <f t="array" ref="CL21">IF(AND(ISNUMBER(MATCH(CL$2, AsistenciaJetAdminConcatenada!$A:$A, 0)), ISNUMBER(MATCH(CL$1, AsistenciaJetAdminConcatenada!$B:$B, 0)), ISNUMBER(SEARCH($A21,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ISNUMBER(SEARCH($A21, INDEX(AsistenciaJetAdminConcatenada!$D:$D, MATCH(1, (AsistenciaJetAdminConcatenada!$A:$A=CL$2)*(AsistenciaJetAdminConcatenada!$B:$B=CL$1), 0)), 1))),  0.5, 0))</f>
        <v>1</v>
      </c>
      <c r="CM21" s="47">
        <f t="array" ref="CM21">IF(AND(ISNUMBER(MATCH(CM$2, AsistenciaJetAdminConcatenada!$A:$A, 0)), ISNUMBER(MATCH(CM$1, AsistenciaJetAdminConcatenada!$B:$B, 0)), ISNUMBER(SEARCH($A21,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ISNUMBER(SEARCH($A21, INDEX(AsistenciaJetAdminConcatenada!$D:$D, MATCH(1, (AsistenciaJetAdminConcatenada!$A:$A=CM$2)*(AsistenciaJetAdminConcatenada!$B:$B=CM$1), 0)), 1))),  0.5, 0))</f>
        <v>1</v>
      </c>
      <c r="CN21" s="47">
        <f t="array" ref="CN21">IF(AND(ISNUMBER(MATCH(CN$2, AsistenciaJetAdminConcatenada!$A:$A, 0)), ISNUMBER(MATCH(CN$1, AsistenciaJetAdminConcatenada!$B:$B, 0)), ISNUMBER(SEARCH($A21,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ISNUMBER(SEARCH($A21, INDEX(AsistenciaJetAdminConcatenada!$D:$D, MATCH(1, (AsistenciaJetAdminConcatenada!$A:$A=CN$2)*(AsistenciaJetAdminConcatenada!$B:$B=CN$1), 0)), 1))),  0.5, 0))</f>
        <v>0</v>
      </c>
      <c r="CO21" s="47">
        <f t="array" ref="CO21">IF(AND(ISNUMBER(MATCH(CO$2, AsistenciaJetAdminConcatenada!$A:$A, 0)), ISNUMBER(MATCH(CO$1, AsistenciaJetAdminConcatenada!$B:$B, 0)), ISNUMBER(SEARCH($A21,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ISNUMBER(SEARCH($A21, INDEX(AsistenciaJetAdminConcatenada!$D:$D, MATCH(1, (AsistenciaJetAdminConcatenada!$A:$A=CO$2)*(AsistenciaJetAdminConcatenada!$B:$B=CO$1), 0)), 1))),  0.5, 0))</f>
        <v>1</v>
      </c>
      <c r="CP21" s="47">
        <f t="array" ref="CP21">IF(AND(ISNUMBER(MATCH(CP$2, AsistenciaJetAdminConcatenada!$A:$A, 0)), ISNUMBER(MATCH(CP$1, AsistenciaJetAdminConcatenada!$B:$B, 0)), ISNUMBER(SEARCH($A21,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ISNUMBER(SEARCH($A21, INDEX(AsistenciaJetAdminConcatenada!$D:$D, MATCH(1, (AsistenciaJetAdminConcatenada!$A:$A=CP$2)*(AsistenciaJetAdminConcatenada!$B:$B=CP$1), 0)), 1))),  0.5, 0))</f>
        <v>1</v>
      </c>
      <c r="CQ21" s="47">
        <f t="array" ref="CQ21">IF(AND(ISNUMBER(MATCH(CQ$2, AsistenciaJetAdminConcatenada!$A:$A, 0)), ISNUMBER(MATCH(CQ$1, AsistenciaJetAdminConcatenada!$B:$B, 0)), ISNUMBER(SEARCH($A21,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ISNUMBER(SEARCH($A21, INDEX(AsistenciaJetAdminConcatenada!$D:$D, MATCH(1, (AsistenciaJetAdminConcatenada!$A:$A=CQ$2)*(AsistenciaJetAdminConcatenada!$B:$B=CQ$1), 0)), 1))),  0.5, 0))</f>
        <v>1</v>
      </c>
      <c r="CR21" s="47">
        <f t="array" ref="CR21">IF(AND(ISNUMBER(MATCH(CR$2, AsistenciaJetAdminConcatenada!$A:$A, 0)), ISNUMBER(MATCH(CR$1, AsistenciaJetAdminConcatenada!$B:$B, 0)), ISNUMBER(SEARCH($A21,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ISNUMBER(SEARCH($A21, INDEX(AsistenciaJetAdminConcatenada!$D:$D, MATCH(1, (AsistenciaJetAdminConcatenada!$A:$A=CR$2)*(AsistenciaJetAdminConcatenada!$B:$B=CR$1), 0)), 1))),  0.5, 0))</f>
        <v>1</v>
      </c>
      <c r="CS21" s="47">
        <f t="array" ref="CS21">IF(AND(ISNUMBER(MATCH(CS$2, AsistenciaJetAdminConcatenada!$A:$A, 0)), ISNUMBER(MATCH(CS$1, AsistenciaJetAdminConcatenada!$B:$B, 0)), ISNUMBER(SEARCH($A21,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ISNUMBER(SEARCH($A21, INDEX(AsistenciaJetAdminConcatenada!$D:$D, MATCH(1, (AsistenciaJetAdminConcatenada!$A:$A=CS$2)*(AsistenciaJetAdminConcatenada!$B:$B=CS$1), 0)), 1))),  0.5, 0))</f>
        <v>0</v>
      </c>
      <c r="CT21" s="47">
        <f t="array" ref="CT21">IF(AND(ISNUMBER(MATCH(CT$2, AsistenciaJetAdminConcatenada!$A:$A, 0)), ISNUMBER(MATCH(CT$1, AsistenciaJetAdminConcatenada!$B:$B, 0)), ISNUMBER(SEARCH($A21,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ISNUMBER(SEARCH($A21, INDEX(AsistenciaJetAdminConcatenada!$D:$D, MATCH(1, (AsistenciaJetAdminConcatenada!$A:$A=CT$2)*(AsistenciaJetAdminConcatenada!$B:$B=CT$1), 0)), 1))),  0.5, 0))</f>
        <v>0</v>
      </c>
      <c r="CU21" s="47">
        <f t="array" ref="CU21">IF(AND(ISNUMBER(MATCH(CU$2, AsistenciaJetAdminConcatenada!$A:$A, 0)), ISNUMBER(MATCH(CU$1, AsistenciaJetAdminConcatenada!$B:$B, 0)), ISNUMBER(SEARCH($A21,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ISNUMBER(SEARCH($A21, INDEX(AsistenciaJetAdminConcatenada!$D:$D, MATCH(1, (AsistenciaJetAdminConcatenada!$A:$A=CU$2)*(AsistenciaJetAdminConcatenada!$B:$B=CU$1), 0)), 1))),  0.5, 0))</f>
        <v>0</v>
      </c>
      <c r="CV21" s="47">
        <f t="array" ref="CV21">IF(AND(ISNUMBER(MATCH(CV$2, AsistenciaJetAdminConcatenada!$A:$A, 0)), ISNUMBER(MATCH(CV$1, AsistenciaJetAdminConcatenada!$B:$B, 0)), ISNUMBER(SEARCH($A21,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ISNUMBER(SEARCH($A21, INDEX(AsistenciaJetAdminConcatenada!$D:$D, MATCH(1, (AsistenciaJetAdminConcatenada!$A:$A=CV$2)*(AsistenciaJetAdminConcatenada!$B:$B=CV$1), 0)), 1))),  0.5, 0))</f>
        <v>0</v>
      </c>
      <c r="CW21" s="47">
        <f t="array" ref="CW21">IF(AND(ISNUMBER(MATCH(CW$2, AsistenciaJetAdminConcatenada!$A:$A, 0)), ISNUMBER(MATCH(CW$1, AsistenciaJetAdminConcatenada!$B:$B, 0)), ISNUMBER(SEARCH($A21,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ISNUMBER(SEARCH($A21, INDEX(AsistenciaJetAdminConcatenada!$D:$D, MATCH(1, (AsistenciaJetAdminConcatenada!$A:$A=CW$2)*(AsistenciaJetAdminConcatenada!$B:$B=CW$1), 0)), 1))),  0.5, 0))</f>
        <v>0</v>
      </c>
      <c r="CX21" s="47">
        <f t="array" ref="CX21">IF(AND(ISNUMBER(MATCH(CX$2, AsistenciaJetAdminConcatenada!$A:$A, 0)), ISNUMBER(MATCH(CX$1, AsistenciaJetAdminConcatenada!$B:$B, 0)), ISNUMBER(SEARCH($A21,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ISNUMBER(SEARCH($A21, INDEX(AsistenciaJetAdminConcatenada!$D:$D, MATCH(1, (AsistenciaJetAdminConcatenada!$A:$A=CX$2)*(AsistenciaJetAdminConcatenada!$B:$B=CX$1), 0)), 1))),  0.5, 0))</f>
        <v>0</v>
      </c>
      <c r="CY21" s="47">
        <f t="array" ref="CY21">IF(AND(ISNUMBER(MATCH(CY$2, AsistenciaJetAdminConcatenada!$A:$A, 0)), ISNUMBER(MATCH(CY$1, AsistenciaJetAdminConcatenada!$B:$B, 0)), ISNUMBER(SEARCH($A21,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ISNUMBER(SEARCH($A21, INDEX(AsistenciaJetAdminConcatenada!$D:$D, MATCH(1, (AsistenciaJetAdminConcatenada!$A:$A=CY$2)*(AsistenciaJetAdminConcatenada!$B:$B=CY$1), 0)), 1))),  0.5, 0))</f>
        <v>0</v>
      </c>
      <c r="CZ21" s="47">
        <f t="array" ref="CZ21">IF(AND(ISNUMBER(MATCH(CZ$2, AsistenciaJetAdminConcatenada!$A:$A, 0)), ISNUMBER(MATCH(CZ$1, AsistenciaJetAdminConcatenada!$B:$B, 0)), ISNUMBER(SEARCH($A21,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ISNUMBER(SEARCH($A21, INDEX(AsistenciaJetAdminConcatenada!$D:$D, MATCH(1, (AsistenciaJetAdminConcatenada!$A:$A=CZ$2)*(AsistenciaJetAdminConcatenada!$B:$B=CZ$1), 0)), 1))),  0.5, 0))</f>
        <v>0</v>
      </c>
      <c r="DA21" s="47">
        <f t="array" ref="DA21">IF(AND(ISNUMBER(MATCH(DA$2, AsistenciaJetAdminConcatenada!$A:$A, 0)), ISNUMBER(MATCH(DA$1, AsistenciaJetAdminConcatenada!$B:$B, 0)), ISNUMBER(SEARCH($A21,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ISNUMBER(SEARCH($A21, INDEX(AsistenciaJetAdminConcatenada!$D:$D, MATCH(1, (AsistenciaJetAdminConcatenada!$A:$A=DA$2)*(AsistenciaJetAdminConcatenada!$B:$B=DA$1), 0)), 1))),  0.5, 0))</f>
        <v>0</v>
      </c>
      <c r="DB21" s="47">
        <f t="array" ref="DB21">IF(AND(ISNUMBER(MATCH(DB$2, AsistenciaJetAdminConcatenada!$A:$A, 0)), ISNUMBER(MATCH(DB$1, AsistenciaJetAdminConcatenada!$B:$B, 0)), ISNUMBER(SEARCH($A21,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ISNUMBER(SEARCH($A21, INDEX(AsistenciaJetAdminConcatenada!$D:$D, MATCH(1, (AsistenciaJetAdminConcatenada!$A:$A=DB$2)*(AsistenciaJetAdminConcatenada!$B:$B=DB$1), 0)), 1))),  0.5, 0))</f>
        <v>0</v>
      </c>
      <c r="DC21" s="47">
        <f t="array" ref="DC21">IF(AND(ISNUMBER(MATCH(DC$2, AsistenciaJetAdminConcatenada!$A:$A, 0)), ISNUMBER(MATCH(DC$1, AsistenciaJetAdminConcatenada!$B:$B, 0)), ISNUMBER(SEARCH($A21,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ISNUMBER(SEARCH($A21, INDEX(AsistenciaJetAdminConcatenada!$D:$D, MATCH(1, (AsistenciaJetAdminConcatenada!$A:$A=DC$2)*(AsistenciaJetAdminConcatenada!$B:$B=DC$1), 0)), 1))),  0.5, 0))</f>
        <v>0</v>
      </c>
      <c r="DD21" s="47">
        <f t="array" ref="DD21">IF(AND(ISNUMBER(MATCH(DD$2, AsistenciaJetAdminConcatenada!$A:$A, 0)), ISNUMBER(MATCH(DD$1, AsistenciaJetAdminConcatenada!$B:$B, 0)), ISNUMBER(SEARCH($A21,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ISNUMBER(SEARCH($A21, INDEX(AsistenciaJetAdminConcatenada!$D:$D, MATCH(1, (AsistenciaJetAdminConcatenada!$A:$A=DD$2)*(AsistenciaJetAdminConcatenada!$B:$B=DD$1), 0)), 1))),  0.5, 0))</f>
        <v>0</v>
      </c>
      <c r="DE21" s="47">
        <f t="array" ref="DE21">IF(AND(ISNUMBER(MATCH(DE$2, AsistenciaJetAdminConcatenada!$A:$A, 0)), ISNUMBER(MATCH(DE$1, AsistenciaJetAdminConcatenada!$B:$B, 0)), ISNUMBER(SEARCH($A21,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ISNUMBER(SEARCH($A21, INDEX(AsistenciaJetAdminConcatenada!$D:$D, MATCH(1, (AsistenciaJetAdminConcatenada!$A:$A=DE$2)*(AsistenciaJetAdminConcatenada!$B:$B=DE$1), 0)), 1))),  0.5, 0))</f>
        <v>0</v>
      </c>
      <c r="DF21" s="47">
        <f t="array" ref="DF21">IF(AND(ISNUMBER(MATCH(DF$2, AsistenciaJetAdminConcatenada!$A:$A, 0)), ISNUMBER(MATCH(DF$1, AsistenciaJetAdminConcatenada!$B:$B, 0)), ISNUMBER(SEARCH($A21,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ISNUMBER(SEARCH($A21, INDEX(AsistenciaJetAdminConcatenada!$D:$D, MATCH(1, (AsistenciaJetAdminConcatenada!$A:$A=DF$2)*(AsistenciaJetAdminConcatenada!$B:$B=DF$1), 0)), 1))),  0.5, 0))</f>
        <v>0</v>
      </c>
      <c r="DG21" s="47">
        <f t="array" ref="DG21">IF(AND(ISNUMBER(MATCH(DG$2, AsistenciaJetAdminConcatenada!$A:$A, 0)), ISNUMBER(MATCH(DG$1, AsistenciaJetAdminConcatenada!$B:$B, 0)), ISNUMBER(SEARCH($A21,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ISNUMBER(SEARCH($A21, INDEX(AsistenciaJetAdminConcatenada!$D:$D, MATCH(1, (AsistenciaJetAdminConcatenada!$A:$A=DG$2)*(AsistenciaJetAdminConcatenada!$B:$B=DG$1), 0)), 1))),  0.5, 0))</f>
        <v>0</v>
      </c>
      <c r="DH21" s="47">
        <f t="array" ref="DH21">IF(AND(ISNUMBER(MATCH(DH$2, AsistenciaJetAdminConcatenada!$A:$A, 0)), ISNUMBER(MATCH(DH$1, AsistenciaJetAdminConcatenada!$B:$B, 0)), ISNUMBER(SEARCH($A21,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ISNUMBER(SEARCH($A21, INDEX(AsistenciaJetAdminConcatenada!$D:$D, MATCH(1, (AsistenciaJetAdminConcatenada!$A:$A=DH$2)*(AsistenciaJetAdminConcatenada!$B:$B=DH$1), 0)), 1))),  0.5, 0))</f>
        <v>0</v>
      </c>
      <c r="DI21" s="47">
        <f t="array" ref="DI21">IF(AND(ISNUMBER(MATCH(DI$2, AsistenciaJetAdminConcatenada!$A:$A, 0)), ISNUMBER(MATCH(DI$1, AsistenciaJetAdminConcatenada!$B:$B, 0)), ISNUMBER(SEARCH($A21,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ISNUMBER(SEARCH($A21, INDEX(AsistenciaJetAdminConcatenada!$D:$D, MATCH(1, (AsistenciaJetAdminConcatenada!$A:$A=DI$2)*(AsistenciaJetAdminConcatenada!$B:$B=DI$1), 0)), 1))),  0.5, 0))</f>
        <v>0</v>
      </c>
      <c r="DJ21" s="47">
        <f t="array" ref="DJ21">IF(AND(ISNUMBER(MATCH(DJ$2, AsistenciaJetAdminConcatenada!$A:$A, 0)), ISNUMBER(MATCH(DJ$1, AsistenciaJetAdminConcatenada!$B:$B, 0)), ISNUMBER(SEARCH($A21,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ISNUMBER(SEARCH($A21, INDEX(AsistenciaJetAdminConcatenada!$D:$D, MATCH(1, (AsistenciaJetAdminConcatenada!$A:$A=DJ$2)*(AsistenciaJetAdminConcatenada!$B:$B=DJ$1), 0)), 1))),  0.5, 0))</f>
        <v>0</v>
      </c>
      <c r="DK21" s="47">
        <f t="array" ref="DK21">IF(AND(ISNUMBER(MATCH(DK$2, AsistenciaJetAdminConcatenada!$A:$A, 0)), ISNUMBER(MATCH(DK$1, AsistenciaJetAdminConcatenada!$B:$B, 0)), ISNUMBER(SEARCH($A21,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ISNUMBER(SEARCH($A21, INDEX(AsistenciaJetAdminConcatenada!$D:$D, MATCH(1, (AsistenciaJetAdminConcatenada!$A:$A=DK$2)*(AsistenciaJetAdminConcatenada!$B:$B=DK$1), 0)), 1))),  0.5, 0))</f>
        <v>0</v>
      </c>
      <c r="DL21" s="47">
        <f t="array" ref="DL21">IF(AND(ISNUMBER(MATCH(DL$2, AsistenciaJetAdminConcatenada!$A:$A, 0)), ISNUMBER(MATCH(DL$1, AsistenciaJetAdminConcatenada!$B:$B, 0)), ISNUMBER(SEARCH($A21,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ISNUMBER(SEARCH($A21, INDEX(AsistenciaJetAdminConcatenada!$D:$D, MATCH(1, (AsistenciaJetAdminConcatenada!$A:$A=DL$2)*(AsistenciaJetAdminConcatenada!$B:$B=DL$1), 0)), 1))),  0.5, 0))</f>
        <v>0</v>
      </c>
      <c r="DM21" s="47">
        <f t="array" ref="DM21">IF(AND(ISNUMBER(MATCH(DM$2, AsistenciaJetAdminConcatenada!$A:$A, 0)), ISNUMBER(MATCH(DM$1, AsistenciaJetAdminConcatenada!$B:$B, 0)), ISNUMBER(SEARCH($A21,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ISNUMBER(SEARCH($A21, INDEX(AsistenciaJetAdminConcatenada!$D:$D, MATCH(1, (AsistenciaJetAdminConcatenada!$A:$A=DM$2)*(AsistenciaJetAdminConcatenada!$B:$B=DM$1), 0)), 1))),  0.5, 0))</f>
        <v>0</v>
      </c>
      <c r="DN21" s="47">
        <f t="array" ref="DN21">IF(AND(ISNUMBER(MATCH(DN$2, AsistenciaJetAdminConcatenada!$A:$A, 0)), ISNUMBER(MATCH(DN$1, AsistenciaJetAdminConcatenada!$B:$B, 0)), ISNUMBER(SEARCH($A21,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ISNUMBER(SEARCH($A21, INDEX(AsistenciaJetAdminConcatenada!$D:$D, MATCH(1, (AsistenciaJetAdminConcatenada!$A:$A=DN$2)*(AsistenciaJetAdminConcatenada!$B:$B=DN$1), 0)), 1))),  0.5, 0))</f>
        <v>0</v>
      </c>
      <c r="DO21" s="47">
        <f t="array" ref="DO21">IF(AND(ISNUMBER(MATCH(DO$2, AsistenciaJetAdminConcatenada!$A:$A, 0)), ISNUMBER(MATCH(DO$1, AsistenciaJetAdminConcatenada!$B:$B, 0)), ISNUMBER(SEARCH($A21,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ISNUMBER(SEARCH($A21, INDEX(AsistenciaJetAdminConcatenada!$D:$D, MATCH(1, (AsistenciaJetAdminConcatenada!$A:$A=DO$2)*(AsistenciaJetAdminConcatenada!$B:$B=DO$1), 0)), 1))),  0.5, 0))</f>
        <v>0</v>
      </c>
      <c r="DP21" s="47">
        <f t="array" ref="DP21">IF(AND(ISNUMBER(MATCH(DP$2, AsistenciaJetAdminConcatenada!$A:$A, 0)), ISNUMBER(MATCH(DP$1, AsistenciaJetAdminConcatenada!$B:$B, 0)), ISNUMBER(SEARCH($A21,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ISNUMBER(SEARCH($A21, INDEX(AsistenciaJetAdminConcatenada!$D:$D, MATCH(1, (AsistenciaJetAdminConcatenada!$A:$A=DP$2)*(AsistenciaJetAdminConcatenada!$B:$B=DP$1), 0)), 1))),  0.5, 0))</f>
        <v>0</v>
      </c>
      <c r="DQ21" s="47">
        <f t="array" ref="DQ21">IF(AND(ISNUMBER(MATCH(DQ$2, AsistenciaJetAdminConcatenada!$A:$A, 0)), ISNUMBER(MATCH(DQ$1, AsistenciaJetAdminConcatenada!$B:$B, 0)), ISNUMBER(SEARCH($A21,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ISNUMBER(SEARCH($A21, INDEX(AsistenciaJetAdminConcatenada!$D:$D, MATCH(1, (AsistenciaJetAdminConcatenada!$A:$A=DQ$2)*(AsistenciaJetAdminConcatenada!$B:$B=DQ$1), 0)), 1))),  0.5, 0))</f>
        <v>0</v>
      </c>
      <c r="DR21" s="47">
        <f t="array" ref="DR21">IF(AND(ISNUMBER(MATCH(DR$2, AsistenciaJetAdminConcatenada!$A:$A, 0)), ISNUMBER(MATCH(DR$1, AsistenciaJetAdminConcatenada!$B:$B, 0)), ISNUMBER(SEARCH($A21,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ISNUMBER(SEARCH($A21, INDEX(AsistenciaJetAdminConcatenada!$D:$D, MATCH(1, (AsistenciaJetAdminConcatenada!$A:$A=DR$2)*(AsistenciaJetAdminConcatenada!$B:$B=DR$1), 0)), 1))),  0.5, 0))</f>
        <v>0</v>
      </c>
      <c r="DS21" s="47">
        <f t="array" ref="DS21">IF(AND(ISNUMBER(MATCH(DS$2, AsistenciaJetAdminConcatenada!$A:$A, 0)), ISNUMBER(MATCH(DS$1, AsistenciaJetAdminConcatenada!$B:$B, 0)), ISNUMBER(SEARCH($A21,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ISNUMBER(SEARCH($A21, INDEX(AsistenciaJetAdminConcatenada!$D:$D, MATCH(1, (AsistenciaJetAdminConcatenada!$A:$A=DS$2)*(AsistenciaJetAdminConcatenada!$B:$B=DS$1), 0)), 1))),  0.5, 0))</f>
        <v>0</v>
      </c>
      <c r="DT21" s="47">
        <f t="array" ref="DT21">IF(AND(ISNUMBER(MATCH(DT$2, AsistenciaJetAdminConcatenada!$A:$A, 0)), ISNUMBER(MATCH(DT$1, AsistenciaJetAdminConcatenada!$B:$B, 0)), ISNUMBER(SEARCH($A21,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ISNUMBER(SEARCH($A21, INDEX(AsistenciaJetAdminConcatenada!$D:$D, MATCH(1, (AsistenciaJetAdminConcatenada!$A:$A=DT$2)*(AsistenciaJetAdminConcatenada!$B:$B=DT$1), 0)), 1))),  0.5, 0))</f>
        <v>0</v>
      </c>
      <c r="DU21" s="47">
        <f t="array" ref="DU21">IF(AND(ISNUMBER(MATCH(DU$2, AsistenciaJetAdminConcatenada!$A:$A, 0)), ISNUMBER(MATCH(DU$1, AsistenciaJetAdminConcatenada!$B:$B, 0)), ISNUMBER(SEARCH($A21,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ISNUMBER(SEARCH($A21, INDEX(AsistenciaJetAdminConcatenada!$D:$D, MATCH(1, (AsistenciaJetAdminConcatenada!$A:$A=DU$2)*(AsistenciaJetAdminConcatenada!$B:$B=DU$1), 0)), 1))),  0.5, 0))</f>
        <v>0</v>
      </c>
      <c r="DV21" s="47">
        <f t="array" ref="DV21">IF(AND(ISNUMBER(MATCH(DV$2, AsistenciaJetAdminConcatenada!$A:$A, 0)), ISNUMBER(MATCH(DV$1, AsistenciaJetAdminConcatenada!$B:$B, 0)), ISNUMBER(SEARCH($A21,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ISNUMBER(SEARCH($A21, INDEX(AsistenciaJetAdminConcatenada!$D:$D, MATCH(1, (AsistenciaJetAdminConcatenada!$A:$A=DV$2)*(AsistenciaJetAdminConcatenada!$B:$B=DV$1), 0)), 1))),  0.5, 0))</f>
        <v>0</v>
      </c>
      <c r="DW21" s="47">
        <f t="array" ref="DW21">IF(AND(ISNUMBER(MATCH(DW$2, AsistenciaJetAdminConcatenada!$A:$A, 0)), ISNUMBER(MATCH(DW$1, AsistenciaJetAdminConcatenada!$B:$B, 0)), ISNUMBER(SEARCH($A21,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ISNUMBER(SEARCH($A21, INDEX(AsistenciaJetAdminConcatenada!$D:$D, MATCH(1, (AsistenciaJetAdminConcatenada!$A:$A=DW$2)*(AsistenciaJetAdminConcatenada!$B:$B=DW$1), 0)), 1))),  0.5, 0))</f>
        <v>0</v>
      </c>
      <c r="DX21" s="47">
        <f t="array" ref="DX21">IF(AND(ISNUMBER(MATCH(DX$2, AsistenciaJetAdminConcatenada!$A:$A, 0)), ISNUMBER(MATCH(DX$1, AsistenciaJetAdminConcatenada!$B:$B, 0)), ISNUMBER(SEARCH($A21,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ISNUMBER(SEARCH($A21, INDEX(AsistenciaJetAdminConcatenada!$D:$D, MATCH(1, (AsistenciaJetAdminConcatenada!$A:$A=DX$2)*(AsistenciaJetAdminConcatenada!$B:$B=DX$1), 0)), 1))),  0.5, 0))</f>
        <v>0</v>
      </c>
      <c r="DY21" s="47">
        <f t="array" ref="DY21">IF(AND(ISNUMBER(MATCH(DY$2, AsistenciaJetAdminConcatenada!$A:$A, 0)), ISNUMBER(MATCH(DY$1, AsistenciaJetAdminConcatenada!$B:$B, 0)), ISNUMBER(SEARCH($A21,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ISNUMBER(SEARCH($A21, INDEX(AsistenciaJetAdminConcatenada!$D:$D, MATCH(1, (AsistenciaJetAdminConcatenada!$A:$A=DY$2)*(AsistenciaJetAdminConcatenada!$B:$B=DY$1), 0)), 1))),  0.5, 0))</f>
        <v>0</v>
      </c>
      <c r="DZ21" s="47">
        <f t="array" ref="DZ21">IF(AND(ISNUMBER(MATCH(DZ$2, AsistenciaJetAdminConcatenada!$A:$A, 0)), ISNUMBER(MATCH(DZ$1, AsistenciaJetAdminConcatenada!$B:$B, 0)), ISNUMBER(SEARCH($A21,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ISNUMBER(SEARCH($A21, INDEX(AsistenciaJetAdminConcatenada!$D:$D, MATCH(1, (AsistenciaJetAdminConcatenada!$A:$A=DZ$2)*(AsistenciaJetAdminConcatenada!$B:$B=DZ$1), 0)), 1))),  0.5, 0))</f>
        <v>0</v>
      </c>
      <c r="EA21" s="47">
        <f t="array" ref="EA21">IF(AND(ISNUMBER(MATCH(EA$2, AsistenciaJetAdminConcatenada!$A:$A, 0)), ISNUMBER(MATCH(EA$1, AsistenciaJetAdminConcatenada!$B:$B, 0)), ISNUMBER(SEARCH($A21,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ISNUMBER(SEARCH($A21, INDEX(AsistenciaJetAdminConcatenada!$D:$D, MATCH(1, (AsistenciaJetAdminConcatenada!$A:$A=EA$2)*(AsistenciaJetAdminConcatenada!$B:$B=EA$1), 0)), 1))),  0.5, 0))</f>
        <v>0</v>
      </c>
      <c r="EB21" s="47">
        <f t="array" ref="EB21">IF(AND(ISNUMBER(MATCH(EB$2, AsistenciaJetAdminConcatenada!$A:$A, 0)), ISNUMBER(MATCH(EB$1, AsistenciaJetAdminConcatenada!$B:$B, 0)), ISNUMBER(SEARCH($A21,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ISNUMBER(SEARCH($A21, INDEX(AsistenciaJetAdminConcatenada!$D:$D, MATCH(1, (AsistenciaJetAdminConcatenada!$A:$A=EB$2)*(AsistenciaJetAdminConcatenada!$B:$B=EB$1), 0)), 1))),  0.5, 0))</f>
        <v>0</v>
      </c>
      <c r="EC21" s="47">
        <f t="array" ref="EC21">IF(AND(ISNUMBER(MATCH(EC$2, AsistenciaJetAdminConcatenada!$A:$A, 0)), ISNUMBER(MATCH(EC$1, AsistenciaJetAdminConcatenada!$B:$B, 0)), ISNUMBER(SEARCH($A21,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ISNUMBER(SEARCH($A21, INDEX(AsistenciaJetAdminConcatenada!$D:$D, MATCH(1, (AsistenciaJetAdminConcatenada!$A:$A=EC$2)*(AsistenciaJetAdminConcatenada!$B:$B=EC$1), 0)), 1))),  0.5, 0))</f>
        <v>0</v>
      </c>
      <c r="ED21" s="47">
        <f t="array" ref="ED21">IF(AND(ISNUMBER(MATCH(ED$2, AsistenciaJetAdminConcatenada!$A:$A, 0)), ISNUMBER(MATCH(ED$1, AsistenciaJetAdminConcatenada!$B:$B, 0)), ISNUMBER(SEARCH($A21,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ISNUMBER(SEARCH($A21, INDEX(AsistenciaJetAdminConcatenada!$D:$D, MATCH(1, (AsistenciaJetAdminConcatenada!$A:$A=ED$2)*(AsistenciaJetAdminConcatenada!$B:$B=ED$1), 0)), 1))),  0.5, 0))</f>
        <v>0</v>
      </c>
      <c r="EE21" s="47">
        <f t="array" ref="EE21">IF(AND(ISNUMBER(MATCH(EE$2, AsistenciaJetAdminConcatenada!$A:$A, 0)), ISNUMBER(MATCH(EE$1, AsistenciaJetAdminConcatenada!$B:$B, 0)), ISNUMBER(SEARCH($A21,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ISNUMBER(SEARCH($A21, INDEX(AsistenciaJetAdminConcatenada!$D:$D, MATCH(1, (AsistenciaJetAdminConcatenada!$A:$A=EE$2)*(AsistenciaJetAdminConcatenada!$B:$B=EE$1), 0)), 1))),  0.5, 0))</f>
        <v>0</v>
      </c>
      <c r="EF21" s="47">
        <f t="array" ref="EF21">IF(AND(ISNUMBER(MATCH(EF$2, AsistenciaJetAdminConcatenada!$A:$A, 0)), ISNUMBER(MATCH(EF$1, AsistenciaJetAdminConcatenada!$B:$B, 0)), ISNUMBER(SEARCH($A21,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ISNUMBER(SEARCH($A21, INDEX(AsistenciaJetAdminConcatenada!$D:$D, MATCH(1, (AsistenciaJetAdminConcatenada!$A:$A=EF$2)*(AsistenciaJetAdminConcatenada!$B:$B=EF$1), 0)), 1))),  0.5, 0))</f>
        <v>0</v>
      </c>
      <c r="EG21" s="47">
        <f t="array" ref="EG21">IF(AND(ISNUMBER(MATCH(EG$2, AsistenciaJetAdminConcatenada!$A:$A, 0)), ISNUMBER(MATCH(EG$1, AsistenciaJetAdminConcatenada!$B:$B, 0)), ISNUMBER(SEARCH($A21,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ISNUMBER(SEARCH($A21, INDEX(AsistenciaJetAdminConcatenada!$D:$D, MATCH(1, (AsistenciaJetAdminConcatenada!$A:$A=EG$2)*(AsistenciaJetAdminConcatenada!$B:$B=EG$1), 0)), 1))),  0.5, 0))</f>
        <v>0</v>
      </c>
      <c r="EH21" s="47">
        <f t="array" ref="EH21">IF(AND(ISNUMBER(MATCH(EH$2, AsistenciaJetAdminConcatenada!$A:$A, 0)), ISNUMBER(MATCH(EH$1, AsistenciaJetAdminConcatenada!$B:$B, 0)), ISNUMBER(SEARCH($A21,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ISNUMBER(SEARCH($A21, INDEX(AsistenciaJetAdminConcatenada!$D:$D, MATCH(1, (AsistenciaJetAdminConcatenada!$A:$A=EH$2)*(AsistenciaJetAdminConcatenada!$B:$B=EH$1), 0)), 1))),  0.5, 0))</f>
        <v>0</v>
      </c>
      <c r="EI21" s="47">
        <f t="array" ref="EI21">IF(AND(ISNUMBER(MATCH(EI$2, AsistenciaJetAdminConcatenada!$A:$A, 0)), ISNUMBER(MATCH(EI$1, AsistenciaJetAdminConcatenada!$B:$B, 0)), ISNUMBER(SEARCH($A21,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ISNUMBER(SEARCH($A21, INDEX(AsistenciaJetAdminConcatenada!$D:$D, MATCH(1, (AsistenciaJetAdminConcatenada!$A:$A=EI$2)*(AsistenciaJetAdminConcatenada!$B:$B=EI$1), 0)), 1))),  0.5, 0))</f>
        <v>0</v>
      </c>
      <c r="EJ21" s="47">
        <f t="array" ref="EJ21">IF(AND(ISNUMBER(MATCH(EJ$2, AsistenciaJetAdminConcatenada!$A:$A, 0)), ISNUMBER(MATCH(EJ$1, AsistenciaJetAdminConcatenada!$B:$B, 0)), ISNUMBER(SEARCH($A21,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ISNUMBER(SEARCH($A21, INDEX(AsistenciaJetAdminConcatenada!$D:$D, MATCH(1, (AsistenciaJetAdminConcatenada!$A:$A=EJ$2)*(AsistenciaJetAdminConcatenada!$B:$B=EJ$1), 0)), 1))),  0.5, 0))</f>
        <v>0</v>
      </c>
      <c r="EK21" s="47">
        <f t="array" ref="EK21">IF(AND(ISNUMBER(MATCH(EK$2, AsistenciaJetAdminConcatenada!$A:$A, 0)), ISNUMBER(MATCH(EK$1, AsistenciaJetAdminConcatenada!$B:$B, 0)), ISNUMBER(SEARCH($A21,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ISNUMBER(SEARCH($A21, INDEX(AsistenciaJetAdminConcatenada!$D:$D, MATCH(1, (AsistenciaJetAdminConcatenada!$A:$A=EK$2)*(AsistenciaJetAdminConcatenada!$B:$B=EK$1), 0)), 1))),  0.5, 0))</f>
        <v>0</v>
      </c>
      <c r="EL21" s="47">
        <f t="array" ref="EL21">IF(AND(ISNUMBER(MATCH(EL$2, AsistenciaJetAdminConcatenada!$A:$A, 0)), ISNUMBER(MATCH(EL$1, AsistenciaJetAdminConcatenada!$B:$B, 0)), ISNUMBER(SEARCH($A21,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ISNUMBER(SEARCH($A21, INDEX(AsistenciaJetAdminConcatenada!$D:$D, MATCH(1, (AsistenciaJetAdminConcatenada!$A:$A=EL$2)*(AsistenciaJetAdminConcatenada!$B:$B=EL$1), 0)), 1))),  0.5, 0))</f>
        <v>0</v>
      </c>
      <c r="EM21" s="47">
        <f t="array" ref="EM21">IF(AND(ISNUMBER(MATCH(EM$2, AsistenciaJetAdminConcatenada!$A:$A, 0)), ISNUMBER(MATCH(EM$1, AsistenciaJetAdminConcatenada!$B:$B, 0)), ISNUMBER(SEARCH($A21,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ISNUMBER(SEARCH($A21, INDEX(AsistenciaJetAdminConcatenada!$D:$D, MATCH(1, (AsistenciaJetAdminConcatenada!$A:$A=EM$2)*(AsistenciaJetAdminConcatenada!$B:$B=EM$1), 0)), 1))),  0.5, 0))</f>
        <v>0</v>
      </c>
      <c r="EN21" s="47">
        <f t="array" ref="EN21">IF(AND(ISNUMBER(MATCH(EN$2, AsistenciaJetAdminConcatenada!$A:$A, 0)), ISNUMBER(MATCH(EN$1, AsistenciaJetAdminConcatenada!$B:$B, 0)), ISNUMBER(SEARCH($A21,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ISNUMBER(SEARCH($A21, INDEX(AsistenciaJetAdminConcatenada!$D:$D, MATCH(1, (AsistenciaJetAdminConcatenada!$A:$A=EN$2)*(AsistenciaJetAdminConcatenada!$B:$B=EN$1), 0)), 1))),  0.5, 0))</f>
        <v>0</v>
      </c>
      <c r="EO21" s="47">
        <f t="array" ref="EO21">IF(AND(ISNUMBER(MATCH(EO$2, AsistenciaJetAdminConcatenada!$A:$A, 0)), ISNUMBER(MATCH(EO$1, AsistenciaJetAdminConcatenada!$B:$B, 0)), ISNUMBER(SEARCH($A21,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ISNUMBER(SEARCH($A21, INDEX(AsistenciaJetAdminConcatenada!$D:$D, MATCH(1, (AsistenciaJetAdminConcatenada!$A:$A=EO$2)*(AsistenciaJetAdminConcatenada!$B:$B=EO$1), 0)), 1))),  0.5, 0))</f>
        <v>0</v>
      </c>
      <c r="EP21" s="47">
        <f t="array" ref="EP21">IF(AND(ISNUMBER(MATCH(EP$2, AsistenciaJetAdminConcatenada!$A:$A, 0)), ISNUMBER(MATCH(EP$1, AsistenciaJetAdminConcatenada!$B:$B, 0)), ISNUMBER(SEARCH($A21,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ISNUMBER(SEARCH($A21, INDEX(AsistenciaJetAdminConcatenada!$D:$D, MATCH(1, (AsistenciaJetAdminConcatenada!$A:$A=EP$2)*(AsistenciaJetAdminConcatenada!$B:$B=EP$1), 0)), 1))),  0.5, 0))</f>
        <v>0</v>
      </c>
      <c r="EQ21" s="47">
        <f t="array" ref="EQ21">IF(AND(ISNUMBER(MATCH(EQ$2, AsistenciaJetAdminConcatenada!$A:$A, 0)), ISNUMBER(MATCH(EQ$1, AsistenciaJetAdminConcatenada!$B:$B, 0)), ISNUMBER(SEARCH($A21,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ISNUMBER(SEARCH($A21, INDEX(AsistenciaJetAdminConcatenada!$D:$D, MATCH(1, (AsistenciaJetAdminConcatenada!$A:$A=EQ$2)*(AsistenciaJetAdminConcatenada!$B:$B=EQ$1), 0)), 1))),  0.5, 0))</f>
        <v>0</v>
      </c>
      <c r="ER21" s="47">
        <f t="array" ref="ER21">IF(AND(ISNUMBER(MATCH(ER$2, AsistenciaJetAdminConcatenada!$A:$A, 0)), ISNUMBER(MATCH(ER$1, AsistenciaJetAdminConcatenada!$B:$B, 0)), ISNUMBER(SEARCH($A21,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ISNUMBER(SEARCH($A21, INDEX(AsistenciaJetAdminConcatenada!$D:$D, MATCH(1, (AsistenciaJetAdminConcatenada!$A:$A=ER$2)*(AsistenciaJetAdminConcatenada!$B:$B=ER$1), 0)), 1))),  0.5, 0))</f>
        <v>0</v>
      </c>
      <c r="ES21" s="47">
        <f t="array" ref="ES21">IF(AND(ISNUMBER(MATCH(ES$2, AsistenciaJetAdminConcatenada!$A:$A, 0)), ISNUMBER(MATCH(ES$1, AsistenciaJetAdminConcatenada!$B:$B, 0)), ISNUMBER(SEARCH($A21,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ISNUMBER(SEARCH($A21, INDEX(AsistenciaJetAdminConcatenada!$D:$D, MATCH(1, (AsistenciaJetAdminConcatenada!$A:$A=ES$2)*(AsistenciaJetAdminConcatenada!$B:$B=ES$1), 0)), 1))),  0.5, 0))</f>
        <v>0</v>
      </c>
      <c r="ET21" s="47">
        <f t="array" ref="ET21">IF(AND(ISNUMBER(MATCH(ET$2, AsistenciaJetAdminConcatenada!$A:$A, 0)), ISNUMBER(MATCH(ET$1, AsistenciaJetAdminConcatenada!$B:$B, 0)), ISNUMBER(SEARCH($A21,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ISNUMBER(SEARCH($A21, INDEX(AsistenciaJetAdminConcatenada!$D:$D, MATCH(1, (AsistenciaJetAdminConcatenada!$A:$A=ET$2)*(AsistenciaJetAdminConcatenada!$B:$B=ET$1), 0)), 1))),  0.5, 0))</f>
        <v>0</v>
      </c>
      <c r="EU21" s="47">
        <f t="array" ref="EU21">IF(AND(ISNUMBER(MATCH(EU$2, AsistenciaJetAdminConcatenada!$A:$A, 0)), ISNUMBER(MATCH(EU$1, AsistenciaJetAdminConcatenada!$B:$B, 0)), ISNUMBER(SEARCH($A21,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ISNUMBER(SEARCH($A21, INDEX(AsistenciaJetAdminConcatenada!$D:$D, MATCH(1, (AsistenciaJetAdminConcatenada!$A:$A=EU$2)*(AsistenciaJetAdminConcatenada!$B:$B=EU$1), 0)), 1))),  0.5, 0))</f>
        <v>0</v>
      </c>
      <c r="EV21" s="47">
        <f t="array" ref="EV21">IF(AND(ISNUMBER(MATCH(EV$2, AsistenciaJetAdminConcatenada!$A:$A, 0)), ISNUMBER(MATCH(EV$1, AsistenciaJetAdminConcatenada!$B:$B, 0)), ISNUMBER(SEARCH($A21,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ISNUMBER(SEARCH($A21, INDEX(AsistenciaJetAdminConcatenada!$D:$D, MATCH(1, (AsistenciaJetAdminConcatenada!$A:$A=EV$2)*(AsistenciaJetAdminConcatenada!$B:$B=EV$1), 0)), 1))),  0.5, 0))</f>
        <v>0</v>
      </c>
      <c r="EW21" s="47">
        <f t="array" ref="EW21">IF(AND(ISNUMBER(MATCH(EW$2, AsistenciaJetAdminConcatenada!$A:$A, 0)), ISNUMBER(MATCH(EW$1, AsistenciaJetAdminConcatenada!$B:$B, 0)), ISNUMBER(SEARCH($A21,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ISNUMBER(SEARCH($A21, INDEX(AsistenciaJetAdminConcatenada!$D:$D, MATCH(1, (AsistenciaJetAdminConcatenada!$A:$A=EW$2)*(AsistenciaJetAdminConcatenada!$B:$B=EW$1), 0)), 1))),  0.5, 0))</f>
        <v>0</v>
      </c>
      <c r="EX21" s="47">
        <f t="array" ref="EX21">IF(AND(ISNUMBER(MATCH(EX$2, AsistenciaJetAdminConcatenada!$A:$A, 0)), ISNUMBER(MATCH(EX$1, AsistenciaJetAdminConcatenada!$B:$B, 0)), ISNUMBER(SEARCH($A21,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ISNUMBER(SEARCH($A21, INDEX(AsistenciaJetAdminConcatenada!$D:$D, MATCH(1, (AsistenciaJetAdminConcatenada!$A:$A=EX$2)*(AsistenciaJetAdminConcatenada!$B:$B=EX$1), 0)), 1))),  0.5, 0))</f>
        <v>0</v>
      </c>
      <c r="EY21" s="47">
        <f t="array" ref="EY21">IF(AND(ISNUMBER(MATCH(EY$2, AsistenciaJetAdminConcatenada!$A:$A, 0)), ISNUMBER(MATCH(EY$1, AsistenciaJetAdminConcatenada!$B:$B, 0)), ISNUMBER(SEARCH($A21,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ISNUMBER(SEARCH($A21, INDEX(AsistenciaJetAdminConcatenada!$D:$D, MATCH(1, (AsistenciaJetAdminConcatenada!$A:$A=EY$2)*(AsistenciaJetAdminConcatenada!$B:$B=EY$1), 0)), 1))),  0.5, 0))</f>
        <v>0</v>
      </c>
      <c r="EZ21" s="47">
        <f t="array" ref="EZ21">IF(AND(ISNUMBER(MATCH(EZ$2, AsistenciaJetAdminConcatenada!$A:$A, 0)), ISNUMBER(MATCH(EZ$1, AsistenciaJetAdminConcatenada!$B:$B, 0)), ISNUMBER(SEARCH($A21,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ISNUMBER(SEARCH($A21, INDEX(AsistenciaJetAdminConcatenada!$D:$D, MATCH(1, (AsistenciaJetAdminConcatenada!$A:$A=EZ$2)*(AsistenciaJetAdminConcatenada!$B:$B=EZ$1), 0)), 1))),  0.5, 0))</f>
        <v>0</v>
      </c>
      <c r="FA21" s="47">
        <f t="array" ref="FA21">IF(AND(ISNUMBER(MATCH(FA$2, AsistenciaJetAdminConcatenada!$A:$A, 0)), ISNUMBER(MATCH(FA$1, AsistenciaJetAdminConcatenada!$B:$B, 0)), ISNUMBER(SEARCH($A21,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ISNUMBER(SEARCH($A21, INDEX(AsistenciaJetAdminConcatenada!$D:$D, MATCH(1, (AsistenciaJetAdminConcatenada!$A:$A=FA$2)*(AsistenciaJetAdminConcatenada!$B:$B=FA$1), 0)), 1))),  0.5, 0))</f>
        <v>0</v>
      </c>
      <c r="FB21" s="47">
        <f t="array" ref="FB21">IF(AND(ISNUMBER(MATCH(FB$2, AsistenciaJetAdminConcatenada!$A:$A, 0)), ISNUMBER(MATCH(FB$1, AsistenciaJetAdminConcatenada!$B:$B, 0)), ISNUMBER(SEARCH($A21,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ISNUMBER(SEARCH($A21, INDEX(AsistenciaJetAdminConcatenada!$D:$D, MATCH(1, (AsistenciaJetAdminConcatenada!$A:$A=FB$2)*(AsistenciaJetAdminConcatenada!$B:$B=FB$1), 0)), 1))),  0.5, 0))</f>
        <v>0</v>
      </c>
      <c r="FC21" s="47">
        <f t="array" ref="FC21">IF(AND(ISNUMBER(MATCH(FC$2, AsistenciaJetAdminConcatenada!$A:$A, 0)), ISNUMBER(MATCH(FC$1, AsistenciaJetAdminConcatenada!$B:$B, 0)), ISNUMBER(SEARCH($A21,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ISNUMBER(SEARCH($A21, INDEX(AsistenciaJetAdminConcatenada!$D:$D, MATCH(1, (AsistenciaJetAdminConcatenada!$A:$A=FC$2)*(AsistenciaJetAdminConcatenada!$B:$B=FC$1), 0)), 1))),  0.5, 0))</f>
        <v>0</v>
      </c>
      <c r="FD21" s="47">
        <f t="array" ref="FD21">IF(AND(ISNUMBER(MATCH(FD$2, AsistenciaJetAdminConcatenada!$A:$A, 0)), ISNUMBER(MATCH(FD$1, AsistenciaJetAdminConcatenada!$B:$B, 0)), ISNUMBER(SEARCH($A21,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ISNUMBER(SEARCH($A21, INDEX(AsistenciaJetAdminConcatenada!$D:$D, MATCH(1, (AsistenciaJetAdminConcatenada!$A:$A=FD$2)*(AsistenciaJetAdminConcatenada!$B:$B=FD$1), 0)), 1))),  0.5, 0))</f>
        <v>0</v>
      </c>
      <c r="FE21" s="47">
        <f t="array" ref="FE21">IF(AND(ISNUMBER(MATCH(FE$2, AsistenciaJetAdminConcatenada!$A:$A, 0)), ISNUMBER(MATCH(FE$1, AsistenciaJetAdminConcatenada!$B:$B, 0)), ISNUMBER(SEARCH($A21,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ISNUMBER(SEARCH($A21, INDEX(AsistenciaJetAdminConcatenada!$D:$D, MATCH(1, (AsistenciaJetAdminConcatenada!$A:$A=FE$2)*(AsistenciaJetAdminConcatenada!$B:$B=FE$1), 0)), 1))),  0.5, 0))</f>
        <v>0</v>
      </c>
      <c r="FF21" s="47">
        <f t="array" ref="FF21">IF(AND(ISNUMBER(MATCH(FF$2, AsistenciaJetAdminConcatenada!$A:$A, 0)), ISNUMBER(MATCH(FF$1, AsistenciaJetAdminConcatenada!$B:$B, 0)), ISNUMBER(SEARCH($A21,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ISNUMBER(SEARCH($A21, INDEX(AsistenciaJetAdminConcatenada!$D:$D, MATCH(1, (AsistenciaJetAdminConcatenada!$A:$A=FF$2)*(AsistenciaJetAdminConcatenada!$B:$B=FF$1), 0)), 1))),  0.5, 0))</f>
        <v>0</v>
      </c>
      <c r="FG21" s="47">
        <f t="array" ref="FG21">IF(AND(ISNUMBER(MATCH(FG$2, AsistenciaJetAdminConcatenada!$A:$A, 0)), ISNUMBER(MATCH(FG$1, AsistenciaJetAdminConcatenada!$B:$B, 0)), ISNUMBER(SEARCH($A21,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ISNUMBER(SEARCH($A21, INDEX(AsistenciaJetAdminConcatenada!$D:$D, MATCH(1, (AsistenciaJetAdminConcatenada!$A:$A=FG$2)*(AsistenciaJetAdminConcatenada!$B:$B=FG$1), 0)), 1))),  0.5, 0))</f>
        <v>0</v>
      </c>
      <c r="FH21" s="47">
        <f t="array" ref="FH21">IF(AND(ISNUMBER(MATCH(FH$2, AsistenciaJetAdminConcatenada!$A:$A, 0)), ISNUMBER(MATCH(FH$1, AsistenciaJetAdminConcatenada!$B:$B, 0)), ISNUMBER(SEARCH($A21,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ISNUMBER(SEARCH($A21, INDEX(AsistenciaJetAdminConcatenada!$D:$D, MATCH(1, (AsistenciaJetAdminConcatenada!$A:$A=FH$2)*(AsistenciaJetAdminConcatenada!$B:$B=FH$1), 0)), 1))),  0.5, 0))</f>
        <v>0</v>
      </c>
      <c r="FI21" s="47">
        <f t="array" ref="FI21">IF(AND(ISNUMBER(MATCH(FI$2, AsistenciaJetAdminConcatenada!$A:$A, 0)), ISNUMBER(MATCH(FI$1, AsistenciaJetAdminConcatenada!$B:$B, 0)), ISNUMBER(SEARCH($A21,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ISNUMBER(SEARCH($A21, INDEX(AsistenciaJetAdminConcatenada!$D:$D, MATCH(1, (AsistenciaJetAdminConcatenada!$A:$A=FI$2)*(AsistenciaJetAdminConcatenada!$B:$B=FI$1), 0)), 1))),  0.5, 0))</f>
        <v>0</v>
      </c>
      <c r="FJ21" s="47">
        <f t="array" ref="FJ21">IF(AND(ISNUMBER(MATCH(FJ$2, AsistenciaJetAdminConcatenada!$A:$A, 0)), ISNUMBER(MATCH(FJ$1, AsistenciaJetAdminConcatenada!$B:$B, 0)), ISNUMBER(SEARCH($A21,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ISNUMBER(SEARCH($A21, INDEX(AsistenciaJetAdminConcatenada!$D:$D, MATCH(1, (AsistenciaJetAdminConcatenada!$A:$A=FJ$2)*(AsistenciaJetAdminConcatenada!$B:$B=FJ$1), 0)), 1))),  0.5, 0))</f>
        <v>0</v>
      </c>
      <c r="FK21" s="47">
        <f t="array" ref="FK21">IF(AND(ISNUMBER(MATCH(FK$2, AsistenciaJetAdminConcatenada!$A:$A, 0)), ISNUMBER(MATCH(FK$1, AsistenciaJetAdminConcatenada!$B:$B, 0)), ISNUMBER(SEARCH($A21,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ISNUMBER(SEARCH($A21, INDEX(AsistenciaJetAdminConcatenada!$D:$D, MATCH(1, (AsistenciaJetAdminConcatenada!$A:$A=FK$2)*(AsistenciaJetAdminConcatenada!$B:$B=FK$1), 0)), 1))),  0.5, 0))</f>
        <v>0</v>
      </c>
      <c r="FL21" s="47">
        <f t="array" ref="FL21">IF(AND(ISNUMBER(MATCH(FL$2, AsistenciaJetAdminConcatenada!$A:$A, 0)), ISNUMBER(MATCH(FL$1, AsistenciaJetAdminConcatenada!$B:$B, 0)), ISNUMBER(SEARCH($A21,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ISNUMBER(SEARCH($A21, INDEX(AsistenciaJetAdminConcatenada!$D:$D, MATCH(1, (AsistenciaJetAdminConcatenada!$A:$A=FL$2)*(AsistenciaJetAdminConcatenada!$B:$B=FL$1), 0)), 1))),  0.5, 0))</f>
        <v>0</v>
      </c>
      <c r="FM21" s="47">
        <f t="array" ref="FM21">IF(AND(ISNUMBER(MATCH(FM$2, AsistenciaJetAdminConcatenada!$A:$A, 0)), ISNUMBER(MATCH(FM$1, AsistenciaJetAdminConcatenada!$B:$B, 0)), ISNUMBER(SEARCH($A21,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ISNUMBER(SEARCH($A21, INDEX(AsistenciaJetAdminConcatenada!$D:$D, MATCH(1, (AsistenciaJetAdminConcatenada!$A:$A=FM$2)*(AsistenciaJetAdminConcatenada!$B:$B=FM$1), 0)), 1))),  0.5, 0))</f>
        <v>0</v>
      </c>
      <c r="FN21" s="47">
        <f t="array" ref="FN21">IF(AND(ISNUMBER(MATCH(FN$2, AsistenciaJetAdminConcatenada!$A:$A, 0)), ISNUMBER(MATCH(FN$1, AsistenciaJetAdminConcatenada!$B:$B, 0)), ISNUMBER(SEARCH($A21,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ISNUMBER(SEARCH($A21, INDEX(AsistenciaJetAdminConcatenada!$D:$D, MATCH(1, (AsistenciaJetAdminConcatenada!$A:$A=FN$2)*(AsistenciaJetAdminConcatenada!$B:$B=FN$1), 0)), 1))),  0.5, 0))</f>
        <v>0</v>
      </c>
      <c r="FO21" s="47">
        <f t="array" ref="FO21">IF(AND(ISNUMBER(MATCH(FO$2, AsistenciaJetAdminConcatenada!$A:$A, 0)), ISNUMBER(MATCH(FO$1, AsistenciaJetAdminConcatenada!$B:$B, 0)), ISNUMBER(SEARCH($A21,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ISNUMBER(SEARCH($A21, INDEX(AsistenciaJetAdminConcatenada!$D:$D, MATCH(1, (AsistenciaJetAdminConcatenada!$A:$A=FO$2)*(AsistenciaJetAdminConcatenada!$B:$B=FO$1), 0)), 1))),  0.5, 0))</f>
        <v>0</v>
      </c>
      <c r="FP21" s="47">
        <f t="array" ref="FP21">IF(AND(ISNUMBER(MATCH(FP$2, AsistenciaJetAdminConcatenada!$A:$A, 0)), ISNUMBER(MATCH(FP$1, AsistenciaJetAdminConcatenada!$B:$B, 0)), ISNUMBER(SEARCH($A21,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ISNUMBER(SEARCH($A21, INDEX(AsistenciaJetAdminConcatenada!$D:$D, MATCH(1, (AsistenciaJetAdminConcatenada!$A:$A=FP$2)*(AsistenciaJetAdminConcatenada!$B:$B=FP$1), 0)), 1))),  0.5, 0))</f>
        <v>0</v>
      </c>
      <c r="FQ21" s="47">
        <f t="array" ref="FQ21">IF(AND(ISNUMBER(MATCH(FQ$2, AsistenciaJetAdminConcatenada!$A:$A, 0)), ISNUMBER(MATCH(FQ$1, AsistenciaJetAdminConcatenada!$B:$B, 0)), ISNUMBER(SEARCH($A21,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ISNUMBER(SEARCH($A21, INDEX(AsistenciaJetAdminConcatenada!$D:$D, MATCH(1, (AsistenciaJetAdminConcatenada!$A:$A=FQ$2)*(AsistenciaJetAdminConcatenada!$B:$B=FQ$1), 0)), 1))),  0.5, 0))</f>
        <v>0</v>
      </c>
      <c r="FR21" s="47">
        <f t="array" ref="FR21">IF(AND(ISNUMBER(MATCH(FR$2, AsistenciaJetAdminConcatenada!$A:$A, 0)), ISNUMBER(MATCH(FR$1, AsistenciaJetAdminConcatenada!$B:$B, 0)), ISNUMBER(SEARCH($A21,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ISNUMBER(SEARCH($A21, INDEX(AsistenciaJetAdminConcatenada!$D:$D, MATCH(1, (AsistenciaJetAdminConcatenada!$A:$A=FR$2)*(AsistenciaJetAdminConcatenada!$B:$B=FR$1), 0)), 1))),  0.5, 0))</f>
        <v>0</v>
      </c>
      <c r="FS21" s="47">
        <f t="array" ref="FS21">IF(AND(ISNUMBER(MATCH(FS$2, AsistenciaJetAdminConcatenada!$A:$A, 0)), ISNUMBER(MATCH(FS$1, AsistenciaJetAdminConcatenada!$B:$B, 0)), ISNUMBER(SEARCH($A21,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ISNUMBER(SEARCH($A21, INDEX(AsistenciaJetAdminConcatenada!$D:$D, MATCH(1, (AsistenciaJetAdminConcatenada!$A:$A=FS$2)*(AsistenciaJetAdminConcatenada!$B:$B=FS$1), 0)), 1))),  0.5, 0))</f>
        <v>0</v>
      </c>
      <c r="FT21" s="47">
        <f t="array" ref="FT21">IF(AND(ISNUMBER(MATCH(FT$2, AsistenciaJetAdminConcatenada!$A:$A, 0)), ISNUMBER(MATCH(FT$1, AsistenciaJetAdminConcatenada!$B:$B, 0)), ISNUMBER(SEARCH($A21,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ISNUMBER(SEARCH($A21, INDEX(AsistenciaJetAdminConcatenada!$D:$D, MATCH(1, (AsistenciaJetAdminConcatenada!$A:$A=FT$2)*(AsistenciaJetAdminConcatenada!$B:$B=FT$1), 0)), 1))),  0.5, 0))</f>
        <v>0</v>
      </c>
      <c r="FU21" s="47">
        <f t="array" ref="FU21">IF(AND(ISNUMBER(MATCH(FU$2, AsistenciaJetAdminConcatenada!$A:$A, 0)), ISNUMBER(MATCH(FU$1, AsistenciaJetAdminConcatenada!$B:$B, 0)), ISNUMBER(SEARCH($A21,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ISNUMBER(SEARCH($A21, INDEX(AsistenciaJetAdminConcatenada!$D:$D, MATCH(1, (AsistenciaJetAdminConcatenada!$A:$A=FU$2)*(AsistenciaJetAdminConcatenada!$B:$B=FU$1), 0)), 1))),  0.5, 0))</f>
        <v>0</v>
      </c>
      <c r="FV21" s="47">
        <f t="array" ref="FV21">IF(AND(ISNUMBER(MATCH(FV$2, AsistenciaJetAdminConcatenada!$A:$A, 0)), ISNUMBER(MATCH(FV$1, AsistenciaJetAdminConcatenada!$B:$B, 0)), ISNUMBER(SEARCH($A21,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ISNUMBER(SEARCH($A21, INDEX(AsistenciaJetAdminConcatenada!$D:$D, MATCH(1, (AsistenciaJetAdminConcatenada!$A:$A=FV$2)*(AsistenciaJetAdminConcatenada!$B:$B=FV$1), 0)), 1))),  0.5, 0))</f>
        <v>0</v>
      </c>
      <c r="FW21" s="47">
        <f t="array" ref="FW21">IF(AND(ISNUMBER(MATCH(FW$2, AsistenciaJetAdminConcatenada!$A:$A, 0)), ISNUMBER(MATCH(FW$1, AsistenciaJetAdminConcatenada!$B:$B, 0)), ISNUMBER(SEARCH($A21,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ISNUMBER(SEARCH($A21, INDEX(AsistenciaJetAdminConcatenada!$D:$D, MATCH(1, (AsistenciaJetAdminConcatenada!$A:$A=FW$2)*(AsistenciaJetAdminConcatenada!$B:$B=FW$1), 0)), 1))),  0.5, 0))</f>
        <v>0</v>
      </c>
      <c r="FX21" s="47">
        <f t="array" ref="FX21">IF(AND(ISNUMBER(MATCH(FX$2, AsistenciaJetAdminConcatenada!$A:$A, 0)), ISNUMBER(MATCH(FX$1, AsistenciaJetAdminConcatenada!$B:$B, 0)), ISNUMBER(SEARCH($A21,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ISNUMBER(SEARCH($A21, INDEX(AsistenciaJetAdminConcatenada!$D:$D, MATCH(1, (AsistenciaJetAdminConcatenada!$A:$A=FX$2)*(AsistenciaJetAdminConcatenada!$B:$B=FX$1), 0)), 1))),  0.5, 0))</f>
        <v>0</v>
      </c>
      <c r="FY21" s="47">
        <f t="array" ref="FY21">IF(AND(ISNUMBER(MATCH(FY$2, AsistenciaJetAdminConcatenada!$A:$A, 0)), ISNUMBER(MATCH(FY$1, AsistenciaJetAdminConcatenada!$B:$B, 0)), ISNUMBER(SEARCH($A21,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ISNUMBER(SEARCH($A21, INDEX(AsistenciaJetAdminConcatenada!$D:$D, MATCH(1, (AsistenciaJetAdminConcatenada!$A:$A=FY$2)*(AsistenciaJetAdminConcatenada!$B:$B=FY$1), 0)), 1))),  0.5, 0))</f>
        <v>0</v>
      </c>
      <c r="FZ21" s="47">
        <f t="array" ref="FZ21">IF(AND(ISNUMBER(MATCH(FZ$2, AsistenciaJetAdminConcatenada!$A:$A, 0)), ISNUMBER(MATCH(FZ$1, AsistenciaJetAdminConcatenada!$B:$B, 0)), ISNUMBER(SEARCH($A21,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ISNUMBER(SEARCH($A21, INDEX(AsistenciaJetAdminConcatenada!$D:$D, MATCH(1, (AsistenciaJetAdminConcatenada!$A:$A=FZ$2)*(AsistenciaJetAdminConcatenada!$B:$B=FZ$1), 0)), 1))),  0.5, 0))</f>
        <v>0</v>
      </c>
      <c r="GA21" s="47">
        <f t="array" ref="GA21">IF(AND(ISNUMBER(MATCH(GA$2, AsistenciaJetAdminConcatenada!$A:$A, 0)), ISNUMBER(MATCH(GA$1, AsistenciaJetAdminConcatenada!$B:$B, 0)), ISNUMBER(SEARCH($A21,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ISNUMBER(SEARCH($A21, INDEX(AsistenciaJetAdminConcatenada!$D:$D, MATCH(1, (AsistenciaJetAdminConcatenada!$A:$A=GA$2)*(AsistenciaJetAdminConcatenada!$B:$B=GA$1), 0)), 1))),  0.5, 0))</f>
        <v>0</v>
      </c>
      <c r="GB21" s="47">
        <f t="array" ref="GB21">IF(AND(ISNUMBER(MATCH(GB$2, AsistenciaJetAdminConcatenada!$A:$A, 0)), ISNUMBER(MATCH(GB$1, AsistenciaJetAdminConcatenada!$B:$B, 0)), ISNUMBER(SEARCH($A21,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ISNUMBER(SEARCH($A21, INDEX(AsistenciaJetAdminConcatenada!$D:$D, MATCH(1, (AsistenciaJetAdminConcatenada!$A:$A=GB$2)*(AsistenciaJetAdminConcatenada!$B:$B=GB$1), 0)), 1))),  0.5, 0))</f>
        <v>0</v>
      </c>
      <c r="GC21" s="47">
        <f t="array" ref="GC21">IF(AND(ISNUMBER(MATCH(GC$2, AsistenciaJetAdminConcatenada!$A:$A, 0)), ISNUMBER(MATCH(GC$1, AsistenciaJetAdminConcatenada!$B:$B, 0)), ISNUMBER(SEARCH($A21,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ISNUMBER(SEARCH($A21, INDEX(AsistenciaJetAdminConcatenada!$D:$D, MATCH(1, (AsistenciaJetAdminConcatenada!$A:$A=GC$2)*(AsistenciaJetAdminConcatenada!$B:$B=GC$1), 0)), 1))),  0.5, 0))</f>
        <v>0</v>
      </c>
      <c r="GD21" s="47">
        <f t="array" ref="GD21">IF(AND(ISNUMBER(MATCH(GD$2, AsistenciaJetAdminConcatenada!$A:$A, 0)), ISNUMBER(MATCH(GD$1, AsistenciaJetAdminConcatenada!$B:$B, 0)), ISNUMBER(SEARCH($A21,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ISNUMBER(SEARCH($A21, INDEX(AsistenciaJetAdminConcatenada!$D:$D, MATCH(1, (AsistenciaJetAdminConcatenada!$A:$A=GD$2)*(AsistenciaJetAdminConcatenada!$B:$B=GD$1), 0)), 1))),  0.5, 0))</f>
        <v>0</v>
      </c>
      <c r="GE21" s="47">
        <f t="array" ref="GE21">IF(AND(ISNUMBER(MATCH(GE$2, AsistenciaJetAdminConcatenada!$A:$A, 0)), ISNUMBER(MATCH(GE$1, AsistenciaJetAdminConcatenada!$B:$B, 0)), ISNUMBER(SEARCH($A21,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ISNUMBER(SEARCH($A21, INDEX(AsistenciaJetAdminConcatenada!$D:$D, MATCH(1, (AsistenciaJetAdminConcatenada!$A:$A=GE$2)*(AsistenciaJetAdminConcatenada!$B:$B=GE$1), 0)), 1))),  0.5, 0))</f>
        <v>0</v>
      </c>
      <c r="GF21" s="47">
        <f t="array" ref="GF21">IF(AND(ISNUMBER(MATCH(GF$2, AsistenciaJetAdminConcatenada!$A:$A, 0)), ISNUMBER(MATCH(GF$1, AsistenciaJetAdminConcatenada!$B:$B, 0)), ISNUMBER(SEARCH($A21,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ISNUMBER(SEARCH($A21, INDEX(AsistenciaJetAdminConcatenada!$D:$D, MATCH(1, (AsistenciaJetAdminConcatenada!$A:$A=GF$2)*(AsistenciaJetAdminConcatenada!$B:$B=GF$1), 0)), 1))),  0.5, 0))</f>
        <v>0</v>
      </c>
      <c r="GG21" s="47">
        <f t="array" ref="GG21">IF(AND(ISNUMBER(MATCH(GG$2, AsistenciaJetAdminConcatenada!$A:$A, 0)), ISNUMBER(MATCH(GG$1, AsistenciaJetAdminConcatenada!$B:$B, 0)), ISNUMBER(SEARCH($A21,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ISNUMBER(SEARCH($A21, INDEX(AsistenciaJetAdminConcatenada!$D:$D, MATCH(1, (AsistenciaJetAdminConcatenada!$A:$A=GG$2)*(AsistenciaJetAdminConcatenada!$B:$B=GG$1), 0)), 1))),  0.5, 0))</f>
        <v>0</v>
      </c>
      <c r="GH21" s="47">
        <f t="array" ref="GH21">IF(AND(ISNUMBER(MATCH(GH$2, AsistenciaJetAdminConcatenada!$A:$A, 0)), ISNUMBER(MATCH(GH$1, AsistenciaJetAdminConcatenada!$B:$B, 0)), ISNUMBER(SEARCH($A21,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ISNUMBER(SEARCH($A21, INDEX(AsistenciaJetAdminConcatenada!$D:$D, MATCH(1, (AsistenciaJetAdminConcatenada!$A:$A=GH$2)*(AsistenciaJetAdminConcatenada!$B:$B=GH$1), 0)), 1))),  0.5, 0))</f>
        <v>0</v>
      </c>
      <c r="GI21" s="47">
        <f t="array" ref="GI21">IF(AND(ISNUMBER(MATCH(GI$2, AsistenciaJetAdminConcatenada!$A:$A, 0)), ISNUMBER(MATCH(GI$1, AsistenciaJetAdminConcatenada!$B:$B, 0)), ISNUMBER(SEARCH($A21,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ISNUMBER(SEARCH($A21, INDEX(AsistenciaJetAdminConcatenada!$D:$D, MATCH(1, (AsistenciaJetAdminConcatenada!$A:$A=GI$2)*(AsistenciaJetAdminConcatenada!$B:$B=GI$1), 0)), 1))),  0.5, 0))</f>
        <v>0</v>
      </c>
      <c r="GJ21" s="47">
        <f t="array" ref="GJ21">IF(AND(ISNUMBER(MATCH(GJ$2, AsistenciaJetAdminConcatenada!$A:$A, 0)), ISNUMBER(MATCH(GJ$1, AsistenciaJetAdminConcatenada!$B:$B, 0)), ISNUMBER(SEARCH($A21,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ISNUMBER(SEARCH($A21, INDEX(AsistenciaJetAdminConcatenada!$D:$D, MATCH(1, (AsistenciaJetAdminConcatenada!$A:$A=GJ$2)*(AsistenciaJetAdminConcatenada!$B:$B=GJ$1), 0)), 1))),  0.5, 0))</f>
        <v>0</v>
      </c>
      <c r="GK21" s="47">
        <f t="array" ref="GK21">IF(AND(ISNUMBER(MATCH(GK$2, AsistenciaJetAdminConcatenada!$A:$A, 0)), ISNUMBER(MATCH(GK$1, AsistenciaJetAdminConcatenada!$B:$B, 0)), ISNUMBER(SEARCH($A21,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ISNUMBER(SEARCH($A21, INDEX(AsistenciaJetAdminConcatenada!$D:$D, MATCH(1, (AsistenciaJetAdminConcatenada!$A:$A=GK$2)*(AsistenciaJetAdminConcatenada!$B:$B=GK$1), 0)), 1))),  0.5, 0))</f>
        <v>0</v>
      </c>
      <c r="GL21" s="47">
        <f t="array" ref="GL21">IF(AND(ISNUMBER(MATCH(GL$2, AsistenciaJetAdminConcatenada!$A:$A, 0)), ISNUMBER(MATCH(GL$1, AsistenciaJetAdminConcatenada!$B:$B, 0)), ISNUMBER(SEARCH($A21,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ISNUMBER(SEARCH($A21, INDEX(AsistenciaJetAdminConcatenada!$D:$D, MATCH(1, (AsistenciaJetAdminConcatenada!$A:$A=GL$2)*(AsistenciaJetAdminConcatenada!$B:$B=GL$1), 0)), 1))),  0.5, 0))</f>
        <v>0</v>
      </c>
      <c r="GM21" s="47">
        <f t="array" ref="GM21">IF(AND(ISNUMBER(MATCH(GM$2, AsistenciaJetAdminConcatenada!$A:$A, 0)), ISNUMBER(MATCH(GM$1, AsistenciaJetAdminConcatenada!$B:$B, 0)), ISNUMBER(SEARCH($A21,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ISNUMBER(SEARCH($A21, INDEX(AsistenciaJetAdminConcatenada!$D:$D, MATCH(1, (AsistenciaJetAdminConcatenada!$A:$A=GM$2)*(AsistenciaJetAdminConcatenada!$B:$B=GM$1), 0)), 1))),  0.5, 0))</f>
        <v>0</v>
      </c>
      <c r="GN21" s="47">
        <f t="array" ref="GN21">IF(AND(ISNUMBER(MATCH(GN$2, AsistenciaJetAdminConcatenada!$A:$A, 0)), ISNUMBER(MATCH(GN$1, AsistenciaJetAdminConcatenada!$B:$B, 0)), ISNUMBER(SEARCH($A21,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ISNUMBER(SEARCH($A21, INDEX(AsistenciaJetAdminConcatenada!$D:$D, MATCH(1, (AsistenciaJetAdminConcatenada!$A:$A=GN$2)*(AsistenciaJetAdminConcatenada!$B:$B=GN$1), 0)), 1))),  0.5, 0))</f>
        <v>0</v>
      </c>
      <c r="GO21" s="47">
        <f t="array" ref="GO21">IF(AND(ISNUMBER(MATCH(GO$2, AsistenciaJetAdminConcatenada!$A:$A, 0)), ISNUMBER(MATCH(GO$1, AsistenciaJetAdminConcatenada!$B:$B, 0)), ISNUMBER(SEARCH($A21,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ISNUMBER(SEARCH($A21, INDEX(AsistenciaJetAdminConcatenada!$D:$D, MATCH(1, (AsistenciaJetAdminConcatenada!$A:$A=GO$2)*(AsistenciaJetAdminConcatenada!$B:$B=GO$1), 0)), 1))),  0.5, 0))</f>
        <v>0</v>
      </c>
      <c r="GP21" s="47">
        <f t="array" ref="GP21">IF(AND(ISNUMBER(MATCH(GP$2, AsistenciaJetAdminConcatenada!$A:$A, 0)), ISNUMBER(MATCH(GP$1, AsistenciaJetAdminConcatenada!$B:$B, 0)), ISNUMBER(SEARCH($A21,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ISNUMBER(SEARCH($A21, INDEX(AsistenciaJetAdminConcatenada!$D:$D, MATCH(1, (AsistenciaJetAdminConcatenada!$A:$A=GP$2)*(AsistenciaJetAdminConcatenada!$B:$B=GP$1), 0)), 1))),  0.5, 0))</f>
        <v>0</v>
      </c>
      <c r="GQ21" s="47">
        <f t="array" ref="GQ21">IF(AND(ISNUMBER(MATCH(GQ$2, AsistenciaJetAdminConcatenada!$A:$A, 0)), ISNUMBER(MATCH(GQ$1, AsistenciaJetAdminConcatenada!$B:$B, 0)), ISNUMBER(SEARCH($A21,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ISNUMBER(SEARCH($A21, INDEX(AsistenciaJetAdminConcatenada!$D:$D, MATCH(1, (AsistenciaJetAdminConcatenada!$A:$A=GQ$2)*(AsistenciaJetAdminConcatenada!$B:$B=GQ$1), 0)), 1))),  0.5, 0))</f>
        <v>0</v>
      </c>
      <c r="GR21" s="47">
        <f t="array" ref="GR21">IF(AND(ISNUMBER(MATCH(GR$2, AsistenciaJetAdminConcatenada!$A:$A, 0)), ISNUMBER(MATCH(GR$1, AsistenciaJetAdminConcatenada!$B:$B, 0)), ISNUMBER(SEARCH($A21,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ISNUMBER(SEARCH($A21, INDEX(AsistenciaJetAdminConcatenada!$D:$D, MATCH(1, (AsistenciaJetAdminConcatenada!$A:$A=GR$2)*(AsistenciaJetAdminConcatenada!$B:$B=GR$1), 0)), 1))),  0.5, 0))</f>
        <v>0</v>
      </c>
      <c r="GS21" s="47">
        <f t="array" ref="GS21">IF(AND(ISNUMBER(MATCH(GS$2, AsistenciaJetAdminConcatenada!$A:$A, 0)), ISNUMBER(MATCH(GS$1, AsistenciaJetAdminConcatenada!$B:$B, 0)), ISNUMBER(SEARCH($A21,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ISNUMBER(SEARCH($A21, INDEX(AsistenciaJetAdminConcatenada!$D:$D, MATCH(1, (AsistenciaJetAdminConcatenada!$A:$A=GS$2)*(AsistenciaJetAdminConcatenada!$B:$B=GS$1), 0)), 1))),  0.5, 0))</f>
        <v>0</v>
      </c>
      <c r="GT21" s="47">
        <f t="array" ref="GT21">IF(AND(ISNUMBER(MATCH(GT$2, AsistenciaJetAdminConcatenada!$A:$A, 0)), ISNUMBER(MATCH(GT$1, AsistenciaJetAdminConcatenada!$B:$B, 0)), ISNUMBER(SEARCH($A21,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ISNUMBER(SEARCH($A21, INDEX(AsistenciaJetAdminConcatenada!$D:$D, MATCH(1, (AsistenciaJetAdminConcatenada!$A:$A=GT$2)*(AsistenciaJetAdminConcatenada!$B:$B=GT$1), 0)), 1))),  0.5, 0))</f>
        <v>0</v>
      </c>
      <c r="GU21" s="47">
        <f t="array" ref="GU21">IF(AND(ISNUMBER(MATCH(GU$2, AsistenciaJetAdminConcatenada!$A:$A, 0)), ISNUMBER(MATCH(GU$1, AsistenciaJetAdminConcatenada!$B:$B, 0)), ISNUMBER(SEARCH($A21,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ISNUMBER(SEARCH($A21, INDEX(AsistenciaJetAdminConcatenada!$D:$D, MATCH(1, (AsistenciaJetAdminConcatenada!$A:$A=GU$2)*(AsistenciaJetAdminConcatenada!$B:$B=GU$1), 0)), 1))),  0.5, 0))</f>
        <v>0</v>
      </c>
      <c r="GV21" s="47">
        <f t="array" ref="GV21">IF(AND(ISNUMBER(MATCH(GV$2, AsistenciaJetAdminConcatenada!$A:$A, 0)), ISNUMBER(MATCH(GV$1, AsistenciaJetAdminConcatenada!$B:$B, 0)), ISNUMBER(SEARCH($A21,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ISNUMBER(SEARCH($A21, INDEX(AsistenciaJetAdminConcatenada!$D:$D, MATCH(1, (AsistenciaJetAdminConcatenada!$A:$A=GV$2)*(AsistenciaJetAdminConcatenada!$B:$B=GV$1), 0)), 1))),  0.5, 0))</f>
        <v>0</v>
      </c>
      <c r="GW21" s="47">
        <f t="array" ref="GW21">IF(AND(ISNUMBER(MATCH(GW$2, AsistenciaJetAdminConcatenada!$A:$A, 0)), ISNUMBER(MATCH(GW$1, AsistenciaJetAdminConcatenada!$B:$B, 0)), ISNUMBER(SEARCH($A21,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ISNUMBER(SEARCH($A21, INDEX(AsistenciaJetAdminConcatenada!$D:$D, MATCH(1, (AsistenciaJetAdminConcatenada!$A:$A=GW$2)*(AsistenciaJetAdminConcatenada!$B:$B=GW$1), 0)), 1))),  0.5, 0))</f>
        <v>0</v>
      </c>
      <c r="GX21" s="47">
        <f t="array" ref="GX21">IF(AND(ISNUMBER(MATCH(GX$2, AsistenciaJetAdminConcatenada!$A:$A, 0)), ISNUMBER(MATCH(GX$1, AsistenciaJetAdminConcatenada!$B:$B, 0)), ISNUMBER(SEARCH($A21,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ISNUMBER(SEARCH($A21, INDEX(AsistenciaJetAdminConcatenada!$D:$D, MATCH(1, (AsistenciaJetAdminConcatenada!$A:$A=GX$2)*(AsistenciaJetAdminConcatenada!$B:$B=GX$1), 0)), 1))),  0.5, 0))</f>
        <v>0</v>
      </c>
      <c r="GY21" s="47">
        <f t="array" ref="GY21">IF(AND(ISNUMBER(MATCH(GY$2, AsistenciaJetAdminConcatenada!$A:$A, 0)), ISNUMBER(MATCH(GY$1, AsistenciaJetAdminConcatenada!$B:$B, 0)), ISNUMBER(SEARCH($A21,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ISNUMBER(SEARCH($A21, INDEX(AsistenciaJetAdminConcatenada!$D:$D, MATCH(1, (AsistenciaJetAdminConcatenada!$A:$A=GY$2)*(AsistenciaJetAdminConcatenada!$B:$B=GY$1), 0)), 1))),  0.5, 0))</f>
        <v>0</v>
      </c>
      <c r="GZ21" s="47">
        <f t="array" ref="GZ21">IF(AND(ISNUMBER(MATCH(GZ$2, AsistenciaJetAdminConcatenada!$A:$A, 0)), ISNUMBER(MATCH(GZ$1, AsistenciaJetAdminConcatenada!$B:$B, 0)), ISNUMBER(SEARCH($A21,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ISNUMBER(SEARCH($A21, INDEX(AsistenciaJetAdminConcatenada!$D:$D, MATCH(1, (AsistenciaJetAdminConcatenada!$A:$A=GZ$2)*(AsistenciaJetAdminConcatenada!$B:$B=GZ$1), 0)), 1))),  0.5, 0))</f>
        <v>0</v>
      </c>
      <c r="HA21" s="47">
        <f t="array" ref="HA21">IF(AND(ISNUMBER(MATCH(HA$2, AsistenciaJetAdminConcatenada!$A:$A, 0)), ISNUMBER(MATCH(HA$1, AsistenciaJetAdminConcatenada!$B:$B, 0)), ISNUMBER(SEARCH($A21,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ISNUMBER(SEARCH($A21, INDEX(AsistenciaJetAdminConcatenada!$D:$D, MATCH(1, (AsistenciaJetAdminConcatenada!$A:$A=HA$2)*(AsistenciaJetAdminConcatenada!$B:$B=HA$1), 0)), 1))),  0.5, 0))</f>
        <v>0</v>
      </c>
      <c r="HB21" s="47">
        <f t="array" ref="HB21">IF(AND(ISNUMBER(MATCH(HB$2, AsistenciaJetAdminConcatenada!$A:$A, 0)), ISNUMBER(MATCH(HB$1, AsistenciaJetAdminConcatenada!$B:$B, 0)), ISNUMBER(SEARCH($A21,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ISNUMBER(SEARCH($A21, INDEX(AsistenciaJetAdminConcatenada!$D:$D, MATCH(1, (AsistenciaJetAdminConcatenada!$A:$A=HB$2)*(AsistenciaJetAdminConcatenada!$B:$B=HB$1), 0)), 1))),  0.5, 0))</f>
        <v>0</v>
      </c>
      <c r="HC21" s="47">
        <f t="array" ref="HC21">IF(AND(ISNUMBER(MATCH(HC$2, AsistenciaJetAdminConcatenada!$A:$A, 0)), ISNUMBER(MATCH(HC$1, AsistenciaJetAdminConcatenada!$B:$B, 0)), ISNUMBER(SEARCH($A21,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ISNUMBER(SEARCH($A21, INDEX(AsistenciaJetAdminConcatenada!$D:$D, MATCH(1, (AsistenciaJetAdminConcatenada!$A:$A=HC$2)*(AsistenciaJetAdminConcatenada!$B:$B=HC$1), 0)), 1))),  0.5, 0))</f>
        <v>0</v>
      </c>
    </row>
    <row r="22" ht="29.25" customHeight="1">
      <c r="A22" s="3">
        <v>201.0</v>
      </c>
      <c r="B22" s="4" t="s">
        <v>400</v>
      </c>
      <c r="C22" s="47">
        <f>SUM(D22:HC22) + ActividadesEspeciales!C22</f>
        <v>73</v>
      </c>
      <c r="D22" s="47">
        <f t="array" ref="D22">IF(AND(ISNUMBER(MATCH(D$2, AsistenciaJetAdminConcatenada!$A:$A, 0)), ISNUMBER(MATCH(D$1, AsistenciaJetAdminConcatenada!$B:$B, 0)), ISNUMBER(SEARCH($A22,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ISNUMBER(SEARCH($A22, INDEX(AsistenciaJetAdminConcatenada!$D:$D, MATCH(1, (AsistenciaJetAdminConcatenada!$A:$A=D$2)*(AsistenciaJetAdminConcatenada!$B:$B=D$1), 0)), 1))),  0.5, 0))</f>
        <v>1</v>
      </c>
      <c r="E22" s="47">
        <f t="array" ref="E22">IF(AND(ISNUMBER(MATCH(E$2, AsistenciaJetAdminConcatenada!$A:$A, 0)), ISNUMBER(MATCH(E$1, AsistenciaJetAdminConcatenada!$B:$B, 0)), ISNUMBER(SEARCH($A22,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ISNUMBER(SEARCH($A22, INDEX(AsistenciaJetAdminConcatenada!$D:$D, MATCH(1, (AsistenciaJetAdminConcatenada!$A:$A=E$2)*(AsistenciaJetAdminConcatenada!$B:$B=E$1), 0)), 1))),  0.5, 0))</f>
        <v>1</v>
      </c>
      <c r="F22" s="47">
        <f t="array" ref="F22">IF(AND(ISNUMBER(MATCH(F$2, AsistenciaJetAdminConcatenada!$A:$A, 0)), ISNUMBER(MATCH(F$1, AsistenciaJetAdminConcatenada!$B:$B, 0)), ISNUMBER(SEARCH($A22,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ISNUMBER(SEARCH($A22, INDEX(AsistenciaJetAdminConcatenada!$D:$D, MATCH(1, (AsistenciaJetAdminConcatenada!$A:$A=F$2)*(AsistenciaJetAdminConcatenada!$B:$B=F$1), 0)), 1))),  0.5, 0))</f>
        <v>1</v>
      </c>
      <c r="G22" s="47">
        <f t="array" ref="G22">IF(AND(ISNUMBER(MATCH(G$2, AsistenciaJetAdminConcatenada!$A:$A, 0)), ISNUMBER(MATCH(G$1, AsistenciaJetAdminConcatenada!$B:$B, 0)), ISNUMBER(SEARCH($A22,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ISNUMBER(SEARCH($A22, INDEX(AsistenciaJetAdminConcatenada!$D:$D, MATCH(1, (AsistenciaJetAdminConcatenada!$A:$A=G$2)*(AsistenciaJetAdminConcatenada!$B:$B=G$1), 0)), 1))),  0.5, 0))</f>
        <v>1</v>
      </c>
      <c r="H22" s="47">
        <f t="array" ref="H22">IF(AND(ISNUMBER(MATCH(H$2, AsistenciaJetAdminConcatenada!$A:$A, 0)), ISNUMBER(MATCH(H$1, AsistenciaJetAdminConcatenada!$B:$B, 0)), ISNUMBER(SEARCH($A22,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ISNUMBER(SEARCH($A22, INDEX(AsistenciaJetAdminConcatenada!$D:$D, MATCH(1, (AsistenciaJetAdminConcatenada!$A:$A=H$2)*(AsistenciaJetAdminConcatenada!$B:$B=H$1), 0)), 1))),  0.5, 0))</f>
        <v>1</v>
      </c>
      <c r="I22" s="47">
        <f t="array" ref="I22">IF(AND(ISNUMBER(MATCH(I$2, AsistenciaJetAdminConcatenada!$A:$A, 0)), ISNUMBER(MATCH(I$1, AsistenciaJetAdminConcatenada!$B:$B, 0)), ISNUMBER(SEARCH($A22,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ISNUMBER(SEARCH($A22, INDEX(AsistenciaJetAdminConcatenada!$D:$D, MATCH(1, (AsistenciaJetAdminConcatenada!$A:$A=I$2)*(AsistenciaJetAdminConcatenada!$B:$B=I$1), 0)), 1))),  0.5, 0))</f>
        <v>1</v>
      </c>
      <c r="J22" s="47">
        <f t="array" ref="J22">IF(AND(ISNUMBER(MATCH(J$2, AsistenciaJetAdminConcatenada!$A:$A, 0)), ISNUMBER(MATCH(J$1, AsistenciaJetAdminConcatenada!$B:$B, 0)), ISNUMBER(SEARCH($A22,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ISNUMBER(SEARCH($A22, INDEX(AsistenciaJetAdminConcatenada!$D:$D, MATCH(1, (AsistenciaJetAdminConcatenada!$A:$A=J$2)*(AsistenciaJetAdminConcatenada!$B:$B=J$1), 0)), 1))),  0.5, 0))</f>
        <v>0</v>
      </c>
      <c r="K22" s="47">
        <f t="array" ref="K22">IF(AND(ISNUMBER(MATCH(K$2, AsistenciaJetAdminConcatenada!$A:$A, 0)), ISNUMBER(MATCH(K$1, AsistenciaJetAdminConcatenada!$B:$B, 0)), ISNUMBER(SEARCH($A22,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ISNUMBER(SEARCH($A22, INDEX(AsistenciaJetAdminConcatenada!$D:$D, MATCH(1, (AsistenciaJetAdminConcatenada!$A:$A=K$2)*(AsistenciaJetAdminConcatenada!$B:$B=K$1), 0)), 1))),  0.5, 0))</f>
        <v>1</v>
      </c>
      <c r="L22" s="47">
        <f t="array" ref="L22">IF(AND(ISNUMBER(MATCH(L$2, AsistenciaJetAdminConcatenada!$A:$A, 0)), ISNUMBER(MATCH(L$1, AsistenciaJetAdminConcatenada!$B:$B, 0)), ISNUMBER(SEARCH($A22,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ISNUMBER(SEARCH($A22, INDEX(AsistenciaJetAdminConcatenada!$D:$D, MATCH(1, (AsistenciaJetAdminConcatenada!$A:$A=L$2)*(AsistenciaJetAdminConcatenada!$B:$B=L$1), 0)), 1))),  0.5, 0))</f>
        <v>1</v>
      </c>
      <c r="M22" s="47">
        <f t="array" ref="M22">IF(AND(ISNUMBER(MATCH(M$2, AsistenciaJetAdminConcatenada!$A:$A, 0)), ISNUMBER(MATCH(M$1, AsistenciaJetAdminConcatenada!$B:$B, 0)), ISNUMBER(SEARCH($A22,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ISNUMBER(SEARCH($A22, INDEX(AsistenciaJetAdminConcatenada!$D:$D, MATCH(1, (AsistenciaJetAdminConcatenada!$A:$A=M$2)*(AsistenciaJetAdminConcatenada!$B:$B=M$1), 0)), 1))),  0.5, 0))</f>
        <v>1</v>
      </c>
      <c r="N22" s="47">
        <f t="array" ref="N22">IF(AND(ISNUMBER(MATCH(N$2, AsistenciaJetAdminConcatenada!$A:$A, 0)), ISNUMBER(MATCH(N$1, AsistenciaJetAdminConcatenada!$B:$B, 0)), ISNUMBER(SEARCH($A22,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ISNUMBER(SEARCH($A22, INDEX(AsistenciaJetAdminConcatenada!$D:$D, MATCH(1, (AsistenciaJetAdminConcatenada!$A:$A=N$2)*(AsistenciaJetAdminConcatenada!$B:$B=N$1), 0)), 1))),  0.5, 0))</f>
        <v>1</v>
      </c>
      <c r="O22" s="47">
        <f t="array" ref="O22">IF(AND(ISNUMBER(MATCH(O$2, AsistenciaJetAdminConcatenada!$A:$A, 0)), ISNUMBER(MATCH(O$1, AsistenciaJetAdminConcatenada!$B:$B, 0)), ISNUMBER(SEARCH($A22,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ISNUMBER(SEARCH($A22, INDEX(AsistenciaJetAdminConcatenada!$D:$D, MATCH(1, (AsistenciaJetAdminConcatenada!$A:$A=O$2)*(AsistenciaJetAdminConcatenada!$B:$B=O$1), 0)), 1))),  0.5, 0))</f>
        <v>1</v>
      </c>
      <c r="P22" s="47">
        <f t="array" ref="P22">IF(AND(ISNUMBER(MATCH(P$2, AsistenciaJetAdminConcatenada!$A:$A, 0)), ISNUMBER(MATCH(P$1, AsistenciaJetAdminConcatenada!$B:$B, 0)), ISNUMBER(SEARCH($A22, INDEX(AsistenciaJetAdminConcatenada!$C:$C, MATCH(1, (AsistenciaJetAdminConcatenada!$A:$A=P$2)*(AsistenciaJetAdminConcatenada!$B:$B=P$1), 0)), 1))), 1, IF(AND(ISNUMBER(MATCH(P$2, AsistenciaJetAdminConcatenada!$A:$A, 0)), ISNUMBER(MATCH(P$1, AsistenciaJetAdminConcatenada!$B:$B, 0)), ISNUMBER(SEARCH($A22, INDEX(AsistenciaJetAdminConcatenada!$D:$D, MATCH(1, (AsistenciaJetAdminConcatenada!$A:$A=P$2)*(AsistenciaJetAdminConcatenada!$B:$B=P$1), 0)), 1))),  0.5, 0))</f>
        <v>0</v>
      </c>
      <c r="Q22" s="47">
        <f t="array" ref="Q22">IF(AND(ISNUMBER(MATCH(Q$2, AsistenciaJetAdminConcatenada!$A:$A, 0)), ISNUMBER(MATCH(Q$1, AsistenciaJetAdminConcatenada!$B:$B, 0)), ISNUMBER(SEARCH($A22, INDEX(AsistenciaJetAdminConcatenada!$C:$C, MATCH(1, (AsistenciaJetAdminConcatenada!$A:$A=Q$2)*(AsistenciaJetAdminConcatenada!$B:$B=Q$1), 0)), 1))), 1, IF(AND(ISNUMBER(MATCH(Q$2, AsistenciaJetAdminConcatenada!$A:$A, 0)), ISNUMBER(MATCH(Q$1, AsistenciaJetAdminConcatenada!$B:$B, 0)), ISNUMBER(SEARCH($A22, INDEX(AsistenciaJetAdminConcatenada!$D:$D, MATCH(1, (AsistenciaJetAdminConcatenada!$A:$A=Q$2)*(AsistenciaJetAdminConcatenada!$B:$B=Q$1), 0)), 1))),  0.5, 0))</f>
        <v>1</v>
      </c>
      <c r="R22" s="47">
        <f t="array" ref="R22">IF(AND(ISNUMBER(MATCH(R$2, AsistenciaJetAdminConcatenada!$A:$A, 0)), ISNUMBER(MATCH(R$1, AsistenciaJetAdminConcatenada!$B:$B, 0)), ISNUMBER(SEARCH($A22,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ISNUMBER(SEARCH($A22, INDEX(AsistenciaJetAdminConcatenada!$D:$D, MATCH(1, (AsistenciaJetAdminConcatenada!$A:$A=R$2)*(AsistenciaJetAdminConcatenada!$B:$B=R$1), 0)), 1))),  0.5, 0))</f>
        <v>0.5</v>
      </c>
      <c r="S22" s="47">
        <f t="array" ref="S22">IF(AND(ISNUMBER(MATCH(S$2, AsistenciaJetAdminConcatenada!$A:$A, 0)), ISNUMBER(MATCH(S$1, AsistenciaJetAdminConcatenada!$B:$B, 0)), ISNUMBER(SEARCH($A22,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ISNUMBER(SEARCH($A22, INDEX(AsistenciaJetAdminConcatenada!$D:$D, MATCH(1, (AsistenciaJetAdminConcatenada!$A:$A=S$2)*(AsistenciaJetAdminConcatenada!$B:$B=S$1), 0)), 1))),  0.5, 0))</f>
        <v>1</v>
      </c>
      <c r="T22" s="47">
        <f t="array" ref="T22">IF(AND(ISNUMBER(MATCH(T$2, AsistenciaJetAdminConcatenada!$A:$A, 0)), ISNUMBER(MATCH(T$1, AsistenciaJetAdminConcatenada!$B:$B, 0)), ISNUMBER(SEARCH($A22,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ISNUMBER(SEARCH($A22, INDEX(AsistenciaJetAdminConcatenada!$D:$D, MATCH(1, (AsistenciaJetAdminConcatenada!$A:$A=T$2)*(AsistenciaJetAdminConcatenada!$B:$B=T$1), 0)), 1))),  0.5, 0))</f>
        <v>1</v>
      </c>
      <c r="U22" s="47">
        <f t="array" ref="U22">IF(AND(ISNUMBER(MATCH(U$2, AsistenciaJetAdminConcatenada!$A:$A, 0)), ISNUMBER(MATCH(U$1, AsistenciaJetAdminConcatenada!$B:$B, 0)), ISNUMBER(SEARCH($A22,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ISNUMBER(SEARCH($A22, INDEX(AsistenciaJetAdminConcatenada!$D:$D, MATCH(1, (AsistenciaJetAdminConcatenada!$A:$A=U$2)*(AsistenciaJetAdminConcatenada!$B:$B=U$1), 0)), 1))),  0.5, 0))</f>
        <v>1</v>
      </c>
      <c r="V22" s="47">
        <f t="array" ref="V22">IF(AND(ISNUMBER(MATCH(V$2, AsistenciaJetAdminConcatenada!$A:$A, 0)), ISNUMBER(MATCH(V$1, AsistenciaJetAdminConcatenada!$B:$B, 0)), ISNUMBER(SEARCH($A22,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ISNUMBER(SEARCH($A22, INDEX(AsistenciaJetAdminConcatenada!$D:$D, MATCH(1, (AsistenciaJetAdminConcatenada!$A:$A=V$2)*(AsistenciaJetAdminConcatenada!$B:$B=V$1), 0)), 1))),  0.5, 0))</f>
        <v>1</v>
      </c>
      <c r="W22" s="47">
        <f t="array" ref="W22">IF(AND(ISNUMBER(MATCH(W$2, AsistenciaJetAdminConcatenada!$A:$A, 0)), ISNUMBER(MATCH(W$1, AsistenciaJetAdminConcatenada!$B:$B, 0)), ISNUMBER(SEARCH($A22,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ISNUMBER(SEARCH($A22, INDEX(AsistenciaJetAdminConcatenada!$D:$D, MATCH(1, (AsistenciaJetAdminConcatenada!$A:$A=W$2)*(AsistenciaJetAdminConcatenada!$B:$B=W$1), 0)), 1))),  0.5, 0))</f>
        <v>1</v>
      </c>
      <c r="X22" s="47">
        <f t="array" ref="X22">IF(AND(ISNUMBER(MATCH(X$2, AsistenciaJetAdminConcatenada!$A:$A, 0)), ISNUMBER(MATCH(X$1, AsistenciaJetAdminConcatenada!$B:$B, 0)), ISNUMBER(SEARCH($A22,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ISNUMBER(SEARCH($A22, INDEX(AsistenciaJetAdminConcatenada!$D:$D, MATCH(1, (AsistenciaJetAdminConcatenada!$A:$A=X$2)*(AsistenciaJetAdminConcatenada!$B:$B=X$1), 0)), 1))),  0.5, 0))</f>
        <v>1</v>
      </c>
      <c r="Y22" s="47">
        <f t="array" ref="Y22">IF(AND(ISNUMBER(MATCH(Y$2, AsistenciaJetAdminConcatenada!$A:$A, 0)), ISNUMBER(MATCH(Y$1, AsistenciaJetAdminConcatenada!$B:$B, 0)), ISNUMBER(SEARCH($A22,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ISNUMBER(SEARCH($A22, INDEX(AsistenciaJetAdminConcatenada!$D:$D, MATCH(1, (AsistenciaJetAdminConcatenada!$A:$A=Y$2)*(AsistenciaJetAdminConcatenada!$B:$B=Y$1), 0)), 1))),  0.5, 0))</f>
        <v>1</v>
      </c>
      <c r="Z22" s="47">
        <f t="array" ref="Z22">IF(AND(ISNUMBER(MATCH(Z$2, AsistenciaJetAdminConcatenada!$A:$A, 0)), ISNUMBER(MATCH(Z$1, AsistenciaJetAdminConcatenada!$B:$B, 0)), ISNUMBER(SEARCH($A22,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ISNUMBER(SEARCH($A22, INDEX(AsistenciaJetAdminConcatenada!$D:$D, MATCH(1, (AsistenciaJetAdminConcatenada!$A:$A=Z$2)*(AsistenciaJetAdminConcatenada!$B:$B=Z$1), 0)), 1))),  0.5, 0))</f>
        <v>1</v>
      </c>
      <c r="AA22" s="47">
        <f t="array" ref="AA22">IF(AND(ISNUMBER(MATCH(AA$2, AsistenciaJetAdminConcatenada!$A:$A, 0)), ISNUMBER(MATCH(AA$1, AsistenciaJetAdminConcatenada!$B:$B, 0)), ISNUMBER(SEARCH($A22,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ISNUMBER(SEARCH($A22, INDEX(AsistenciaJetAdminConcatenada!$D:$D, MATCH(1, (AsistenciaJetAdminConcatenada!$A:$A=AA$2)*(AsistenciaJetAdminConcatenada!$B:$B=AA$1), 0)), 1))),  0.5, 0))</f>
        <v>1</v>
      </c>
      <c r="AB22" s="47">
        <f t="array" ref="AB22">IF(AND(ISNUMBER(MATCH(AB$2, AsistenciaJetAdminConcatenada!$A:$A, 0)), ISNUMBER(MATCH(AB$1, AsistenciaJetAdminConcatenada!$B:$B, 0)), ISNUMBER(SEARCH($A22,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ISNUMBER(SEARCH($A22, INDEX(AsistenciaJetAdminConcatenada!$D:$D, MATCH(1, (AsistenciaJetAdminConcatenada!$A:$A=AB$2)*(AsistenciaJetAdminConcatenada!$B:$B=AB$1), 0)), 1))),  0.5, 0))</f>
        <v>1</v>
      </c>
      <c r="AC22" s="47">
        <f t="array" ref="AC22">IF(AND(ISNUMBER(MATCH(AC$2, AsistenciaJetAdminConcatenada!$A:$A, 0)), ISNUMBER(MATCH(AC$1, AsistenciaJetAdminConcatenada!$B:$B, 0)), ISNUMBER(SEARCH($A22,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ISNUMBER(SEARCH($A22, INDEX(AsistenciaJetAdminConcatenada!$D:$D, MATCH(1, (AsistenciaJetAdminConcatenada!$A:$A=AC$2)*(AsistenciaJetAdminConcatenada!$B:$B=AC$1), 0)), 1))),  0.5, 0))</f>
        <v>1</v>
      </c>
      <c r="AD22" s="47">
        <f t="array" ref="AD22">IF(AND(ISNUMBER(MATCH(AD$2, AsistenciaJetAdminConcatenada!$A:$A, 0)), ISNUMBER(MATCH(AD$1, AsistenciaJetAdminConcatenada!$B:$B, 0)), ISNUMBER(SEARCH($A22,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ISNUMBER(SEARCH($A22, INDEX(AsistenciaJetAdminConcatenada!$D:$D, MATCH(1, (AsistenciaJetAdminConcatenada!$A:$A=AD$2)*(AsistenciaJetAdminConcatenada!$B:$B=AD$1), 0)), 1))),  0.5, 0))</f>
        <v>1</v>
      </c>
      <c r="AE22" s="47">
        <f t="array" ref="AE22">IF(AND(ISNUMBER(MATCH(AE$2, AsistenciaJetAdminConcatenada!$A:$A, 0)), ISNUMBER(MATCH(AE$1, AsistenciaJetAdminConcatenada!$B:$B, 0)), ISNUMBER(SEARCH($A22,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ISNUMBER(SEARCH($A22, INDEX(AsistenciaJetAdminConcatenada!$D:$D, MATCH(1, (AsistenciaJetAdminConcatenada!$A:$A=AE$2)*(AsistenciaJetAdminConcatenada!$B:$B=AE$1), 0)), 1))),  0.5, 0))</f>
        <v>0</v>
      </c>
      <c r="AF22" s="47">
        <f t="array" ref="AF22">IF(AND(ISNUMBER(MATCH(AF$2, AsistenciaJetAdminConcatenada!$A:$A, 0)), ISNUMBER(MATCH(AF$1, AsistenciaJetAdminConcatenada!$B:$B, 0)), ISNUMBER(SEARCH($A22,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ISNUMBER(SEARCH($A22, INDEX(AsistenciaJetAdminConcatenada!$D:$D, MATCH(1, (AsistenciaJetAdminConcatenada!$A:$A=AF$2)*(AsistenciaJetAdminConcatenada!$B:$B=AF$1), 0)), 1))),  0.5, 0))</f>
        <v>1</v>
      </c>
      <c r="AG22" s="47">
        <f t="array" ref="AG22">IF(AND(ISNUMBER(MATCH(AG$2, AsistenciaJetAdminConcatenada!$A:$A, 0)), ISNUMBER(MATCH(AG$1, AsistenciaJetAdminConcatenada!$B:$B, 0)), ISNUMBER(SEARCH($A22,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ISNUMBER(SEARCH($A22, INDEX(AsistenciaJetAdminConcatenada!$D:$D, MATCH(1, (AsistenciaJetAdminConcatenada!$A:$A=AG$2)*(AsistenciaJetAdminConcatenada!$B:$B=AG$1), 0)), 1))),  0.5, 0))</f>
        <v>0</v>
      </c>
      <c r="AH22" s="47">
        <f t="array" ref="AH22">IF(AND(ISNUMBER(MATCH(AH$2, AsistenciaJetAdminConcatenada!$A:$A, 0)), ISNUMBER(MATCH(AH$1, AsistenciaJetAdminConcatenada!$B:$B, 0)), ISNUMBER(SEARCH($A22,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ISNUMBER(SEARCH($A22, INDEX(AsistenciaJetAdminConcatenada!$D:$D, MATCH(1, (AsistenciaJetAdminConcatenada!$A:$A=AH$2)*(AsistenciaJetAdminConcatenada!$B:$B=AH$1), 0)), 1))),  0.5, 0))</f>
        <v>0</v>
      </c>
      <c r="AI22" s="47">
        <f t="array" ref="AI22">IF(AND(ISNUMBER(MATCH(AI$2, AsistenciaJetAdminConcatenada!$A:$A, 0)), ISNUMBER(MATCH(AI$1, AsistenciaJetAdminConcatenada!$B:$B, 0)), ISNUMBER(SEARCH($A22,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ISNUMBER(SEARCH($A22, INDEX(AsistenciaJetAdminConcatenada!$D:$D, MATCH(1, (AsistenciaJetAdminConcatenada!$A:$A=AI$2)*(AsistenciaJetAdminConcatenada!$B:$B=AI$1), 0)), 1))),  0.5, 0))</f>
        <v>1</v>
      </c>
      <c r="AJ22" s="47">
        <f t="array" ref="AJ22">IF(AND(ISNUMBER(MATCH(AJ$2, AsistenciaJetAdminConcatenada!$A:$A, 0)), ISNUMBER(MATCH(AJ$1, AsistenciaJetAdminConcatenada!$B:$B, 0)), ISNUMBER(SEARCH($A22,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ISNUMBER(SEARCH($A22, INDEX(AsistenciaJetAdminConcatenada!$D:$D, MATCH(1, (AsistenciaJetAdminConcatenada!$A:$A=AJ$2)*(AsistenciaJetAdminConcatenada!$B:$B=AJ$1), 0)), 1))),  0.5, 0))</f>
        <v>1</v>
      </c>
      <c r="AK22" s="47">
        <f t="array" ref="AK22">IF(AND(ISNUMBER(MATCH(AK$2, AsistenciaJetAdminConcatenada!$A:$A, 0)), ISNUMBER(MATCH(AK$1, AsistenciaJetAdminConcatenada!$B:$B, 0)), ISNUMBER(SEARCH($A22,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ISNUMBER(SEARCH($A22, INDEX(AsistenciaJetAdminConcatenada!$D:$D, MATCH(1, (AsistenciaJetAdminConcatenada!$A:$A=AK$2)*(AsistenciaJetAdminConcatenada!$B:$B=AK$1), 0)), 1))),  0.5, 0))</f>
        <v>1</v>
      </c>
      <c r="AL22" s="47">
        <f t="array" ref="AL22">IF(AND(ISNUMBER(MATCH(AL$2, AsistenciaJetAdminConcatenada!$A:$A, 0)), ISNUMBER(MATCH(AL$1, AsistenciaJetAdminConcatenada!$B:$B, 0)), ISNUMBER(SEARCH($A22,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ISNUMBER(SEARCH($A22, INDEX(AsistenciaJetAdminConcatenada!$D:$D, MATCH(1, (AsistenciaJetAdminConcatenada!$A:$A=AL$2)*(AsistenciaJetAdminConcatenada!$B:$B=AL$1), 0)), 1))),  0.5, 0))</f>
        <v>1</v>
      </c>
      <c r="AM22" s="47">
        <f t="array" ref="AM22">IF(AND(ISNUMBER(MATCH(AM$2, AsistenciaJetAdminConcatenada!$A:$A, 0)), ISNUMBER(MATCH(AM$1, AsistenciaJetAdminConcatenada!$B:$B, 0)), ISNUMBER(SEARCH($A22,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ISNUMBER(SEARCH($A22, INDEX(AsistenciaJetAdminConcatenada!$D:$D, MATCH(1, (AsistenciaJetAdminConcatenada!$A:$A=AM$2)*(AsistenciaJetAdminConcatenada!$B:$B=AM$1), 0)), 1))),  0.5, 0))</f>
        <v>0</v>
      </c>
      <c r="AN22" s="47">
        <f t="array" ref="AN22">IF(AND(ISNUMBER(MATCH(AN$2, AsistenciaJetAdminConcatenada!$A:$A, 0)), ISNUMBER(MATCH(AN$1, AsistenciaJetAdminConcatenada!$B:$B, 0)), ISNUMBER(SEARCH($A22,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ISNUMBER(SEARCH($A22, INDEX(AsistenciaJetAdminConcatenada!$D:$D, MATCH(1, (AsistenciaJetAdminConcatenada!$A:$A=AN$2)*(AsistenciaJetAdminConcatenada!$B:$B=AN$1), 0)), 1))),  0.5, 0))</f>
        <v>1</v>
      </c>
      <c r="AO22" s="47">
        <f t="array" ref="AO22">IF(AND(ISNUMBER(MATCH(AO$2, AsistenciaJetAdminConcatenada!$A:$A, 0)), ISNUMBER(MATCH(AO$1, AsistenciaJetAdminConcatenada!$B:$B, 0)), ISNUMBER(SEARCH($A22,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ISNUMBER(SEARCH($A22, INDEX(AsistenciaJetAdminConcatenada!$D:$D, MATCH(1, (AsistenciaJetAdminConcatenada!$A:$A=AO$2)*(AsistenciaJetAdminConcatenada!$B:$B=AO$1), 0)), 1))),  0.5, 0))</f>
        <v>1</v>
      </c>
      <c r="AP22" s="47">
        <f t="array" ref="AP22">IF(AND(ISNUMBER(MATCH(AP$2, AsistenciaJetAdminConcatenada!$A:$A, 0)), ISNUMBER(MATCH(AP$1, AsistenciaJetAdminConcatenada!$B:$B, 0)), ISNUMBER(SEARCH($A22,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ISNUMBER(SEARCH($A22, INDEX(AsistenciaJetAdminConcatenada!$D:$D, MATCH(1, (AsistenciaJetAdminConcatenada!$A:$A=AP$2)*(AsistenciaJetAdminConcatenada!$B:$B=AP$1), 0)), 1))),  0.5, 0))</f>
        <v>1</v>
      </c>
      <c r="AQ22" s="47">
        <f t="array" ref="AQ22">IF(AND(ISNUMBER(MATCH(AQ$2, AsistenciaJetAdminConcatenada!$A:$A, 0)), ISNUMBER(MATCH(AQ$1, AsistenciaJetAdminConcatenada!$B:$B, 0)), ISNUMBER(SEARCH($A22,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ISNUMBER(SEARCH($A22, INDEX(AsistenciaJetAdminConcatenada!$D:$D, MATCH(1, (AsistenciaJetAdminConcatenada!$A:$A=AQ$2)*(AsistenciaJetAdminConcatenada!$B:$B=AQ$1), 0)), 1))),  0.5, 0))</f>
        <v>0</v>
      </c>
      <c r="AR22" s="47">
        <f t="array" ref="AR22">IF(AND(ISNUMBER(MATCH(AR$2, AsistenciaJetAdminConcatenada!$A:$A, 0)), ISNUMBER(MATCH(AR$1, AsistenciaJetAdminConcatenada!$B:$B, 0)), ISNUMBER(SEARCH($A22,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ISNUMBER(SEARCH($A22, INDEX(AsistenciaJetAdminConcatenada!$D:$D, MATCH(1, (AsistenciaJetAdminConcatenada!$A:$A=AR$2)*(AsistenciaJetAdminConcatenada!$B:$B=AR$1), 0)), 1))),  0.5, 0))</f>
        <v>1</v>
      </c>
      <c r="AS22" s="47">
        <f t="array" ref="AS22">IF(AND(ISNUMBER(MATCH(AS$2, AsistenciaJetAdminConcatenada!$A:$A, 0)), ISNUMBER(MATCH(AS$1, AsistenciaJetAdminConcatenada!$B:$B, 0)), ISNUMBER(SEARCH($A22,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ISNUMBER(SEARCH($A22, INDEX(AsistenciaJetAdminConcatenada!$D:$D, MATCH(1, (AsistenciaJetAdminConcatenada!$A:$A=AS$2)*(AsistenciaJetAdminConcatenada!$B:$B=AS$1), 0)), 1))),  0.5, 0))</f>
        <v>1</v>
      </c>
      <c r="AT22" s="47">
        <f t="array" ref="AT22">IF(AND(ISNUMBER(MATCH(AT$2, AsistenciaJetAdminConcatenada!$A:$A, 0)), ISNUMBER(MATCH(AT$1, AsistenciaJetAdminConcatenada!$B:$B, 0)), ISNUMBER(SEARCH($A22,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ISNUMBER(SEARCH($A22, INDEX(AsistenciaJetAdminConcatenada!$D:$D, MATCH(1, (AsistenciaJetAdminConcatenada!$A:$A=AT$2)*(AsistenciaJetAdminConcatenada!$B:$B=AT$1), 0)), 1))),  0.5, 0))</f>
        <v>0</v>
      </c>
      <c r="AU22" s="47">
        <f t="array" ref="AU22">IF(AND(ISNUMBER(MATCH(AU$2, AsistenciaJetAdminConcatenada!$A:$A, 0)), ISNUMBER(MATCH(AU$1, AsistenciaJetAdminConcatenada!$B:$B, 0)), ISNUMBER(SEARCH($A22,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ISNUMBER(SEARCH($A22, INDEX(AsistenciaJetAdminConcatenada!$D:$D, MATCH(1, (AsistenciaJetAdminConcatenada!$A:$A=AU$2)*(AsistenciaJetAdminConcatenada!$B:$B=AU$1), 0)), 1))),  0.5, 0))</f>
        <v>1</v>
      </c>
      <c r="AV22" s="47">
        <f t="array" ref="AV22">IF(AND(ISNUMBER(MATCH(AV$2, AsistenciaJetAdminConcatenada!$A:$A, 0)), ISNUMBER(MATCH(AV$1, AsistenciaJetAdminConcatenada!$B:$B, 0)), ISNUMBER(SEARCH($A22,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ISNUMBER(SEARCH($A22, INDEX(AsistenciaJetAdminConcatenada!$D:$D, MATCH(1, (AsistenciaJetAdminConcatenada!$A:$A=AV$2)*(AsistenciaJetAdminConcatenada!$B:$B=AV$1), 0)), 1))),  0.5, 0))</f>
        <v>1</v>
      </c>
      <c r="AW22" s="47">
        <f t="array" ref="AW22">IF(AND(ISNUMBER(MATCH(AW$2, AsistenciaJetAdminConcatenada!$A:$A, 0)), ISNUMBER(MATCH(AW$1, AsistenciaJetAdminConcatenada!$B:$B, 0)), ISNUMBER(SEARCH($A22,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ISNUMBER(SEARCH($A22, INDEX(AsistenciaJetAdminConcatenada!$D:$D, MATCH(1, (AsistenciaJetAdminConcatenada!$A:$A=AW$2)*(AsistenciaJetAdminConcatenada!$B:$B=AW$1), 0)), 1))),  0.5, 0))</f>
        <v>0</v>
      </c>
      <c r="AX22" s="47">
        <f t="array" ref="AX22">IF(AND(ISNUMBER(MATCH(AX$2, AsistenciaJetAdminConcatenada!$A:$A, 0)), ISNUMBER(MATCH(AX$1, AsistenciaJetAdminConcatenada!$B:$B, 0)), ISNUMBER(SEARCH($A22,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ISNUMBER(SEARCH($A22, INDEX(AsistenciaJetAdminConcatenada!$D:$D, MATCH(1, (AsistenciaJetAdminConcatenada!$A:$A=AX$2)*(AsistenciaJetAdminConcatenada!$B:$B=AX$1), 0)), 1))),  0.5, 0))</f>
        <v>0</v>
      </c>
      <c r="AY22" s="47">
        <f t="array" ref="AY22">IF(AND(ISNUMBER(MATCH(AY$2, AsistenciaJetAdminConcatenada!$A:$A, 0)), ISNUMBER(MATCH(AY$1, AsistenciaJetAdminConcatenada!$B:$B, 0)), ISNUMBER(SEARCH($A22,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ISNUMBER(SEARCH($A22, INDEX(AsistenciaJetAdminConcatenada!$D:$D, MATCH(1, (AsistenciaJetAdminConcatenada!$A:$A=AY$2)*(AsistenciaJetAdminConcatenada!$B:$B=AY$1), 0)), 1))),  0.5, 0))</f>
        <v>1</v>
      </c>
      <c r="AZ22" s="47">
        <f t="array" ref="AZ22">IF(AND(ISNUMBER(MATCH(AZ$2, AsistenciaJetAdminConcatenada!$A:$A, 0)), ISNUMBER(MATCH(AZ$1, AsistenciaJetAdminConcatenada!$B:$B, 0)), ISNUMBER(SEARCH($A22,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ISNUMBER(SEARCH($A22, INDEX(AsistenciaJetAdminConcatenada!$D:$D, MATCH(1, (AsistenciaJetAdminConcatenada!$A:$A=AZ$2)*(AsistenciaJetAdminConcatenada!$B:$B=AZ$1), 0)), 1))),  0.5, 0))</f>
        <v>1</v>
      </c>
      <c r="BA22" s="47">
        <f t="array" ref="BA22">IF(AND(ISNUMBER(MATCH(BA$2, AsistenciaJetAdminConcatenada!$A:$A, 0)), ISNUMBER(MATCH(BA$1, AsistenciaJetAdminConcatenada!$B:$B, 0)), ISNUMBER(SEARCH($A22,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ISNUMBER(SEARCH($A22, INDEX(AsistenciaJetAdminConcatenada!$D:$D, MATCH(1, (AsistenciaJetAdminConcatenada!$A:$A=BA$2)*(AsistenciaJetAdminConcatenada!$B:$B=BA$1), 0)), 1))),  0.5, 0))</f>
        <v>0</v>
      </c>
      <c r="BB22" s="47">
        <f t="array" ref="BB22">IF(AND(ISNUMBER(MATCH(BB$2, AsistenciaJetAdminConcatenada!$A:$A, 0)), ISNUMBER(MATCH(BB$1, AsistenciaJetAdminConcatenada!$B:$B, 0)), ISNUMBER(SEARCH($A22,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ISNUMBER(SEARCH($A22, INDEX(AsistenciaJetAdminConcatenada!$D:$D, MATCH(1, (AsistenciaJetAdminConcatenada!$A:$A=BB$2)*(AsistenciaJetAdminConcatenada!$B:$B=BB$1), 0)), 1))),  0.5, 0))</f>
        <v>1</v>
      </c>
      <c r="BC22" s="47">
        <f t="array" ref="BC22">IF(AND(ISNUMBER(MATCH(BC$2, AsistenciaJetAdminConcatenada!$A:$A, 0)), ISNUMBER(MATCH(BC$1, AsistenciaJetAdminConcatenada!$B:$B, 0)), ISNUMBER(SEARCH($A22,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ISNUMBER(SEARCH($A22, INDEX(AsistenciaJetAdminConcatenada!$D:$D, MATCH(1, (AsistenciaJetAdminConcatenada!$A:$A=BC$2)*(AsistenciaJetAdminConcatenada!$B:$B=BC$1), 0)), 1))),  0.5, 0))</f>
        <v>1</v>
      </c>
      <c r="BD22" s="47">
        <f t="array" ref="BD22">IF(AND(ISNUMBER(MATCH(BD$2, AsistenciaJetAdminConcatenada!$A:$A, 0)), ISNUMBER(MATCH(BD$1, AsistenciaJetAdminConcatenada!$B:$B, 0)), ISNUMBER(SEARCH($A22,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ISNUMBER(SEARCH($A22, INDEX(AsistenciaJetAdminConcatenada!$D:$D, MATCH(1, (AsistenciaJetAdminConcatenada!$A:$A=BD$2)*(AsistenciaJetAdminConcatenada!$B:$B=BD$1), 0)), 1))),  0.5, 0))</f>
        <v>1</v>
      </c>
      <c r="BE22" s="47">
        <f t="array" ref="BE22">IF(AND(ISNUMBER(MATCH(BE$2, AsistenciaJetAdminConcatenada!$A:$A, 0)), ISNUMBER(MATCH(BE$1, AsistenciaJetAdminConcatenada!$B:$B, 0)), ISNUMBER(SEARCH($A22,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ISNUMBER(SEARCH($A22, INDEX(AsistenciaJetAdminConcatenada!$D:$D, MATCH(1, (AsistenciaJetAdminConcatenada!$A:$A=BE$2)*(AsistenciaJetAdminConcatenada!$B:$B=BE$1), 0)), 1))),  0.5, 0))</f>
        <v>0.5</v>
      </c>
      <c r="BF22" s="47">
        <f t="array" ref="BF22">IF(AND(ISNUMBER(MATCH(BF$2, AsistenciaJetAdminConcatenada!$A:$A, 0)), ISNUMBER(MATCH(BF$1, AsistenciaJetAdminConcatenada!$B:$B, 0)), ISNUMBER(SEARCH($A22,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ISNUMBER(SEARCH($A22, INDEX(AsistenciaJetAdminConcatenada!$D:$D, MATCH(1, (AsistenciaJetAdminConcatenada!$A:$A=BF$2)*(AsistenciaJetAdminConcatenada!$B:$B=BF$1), 0)), 1))),  0.5, 0))</f>
        <v>1</v>
      </c>
      <c r="BG22" s="47">
        <f t="array" ref="BG22">IF(AND(ISNUMBER(MATCH(BG$2, AsistenciaJetAdminConcatenada!$A:$A, 0)), ISNUMBER(MATCH(BG$1, AsistenciaJetAdminConcatenada!$B:$B, 0)), ISNUMBER(SEARCH($A22,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ISNUMBER(SEARCH($A22, INDEX(AsistenciaJetAdminConcatenada!$D:$D, MATCH(1, (AsistenciaJetAdminConcatenada!$A:$A=BG$2)*(AsistenciaJetAdminConcatenada!$B:$B=BG$1), 0)), 1))),  0.5, 0))</f>
        <v>1</v>
      </c>
      <c r="BH22" s="47">
        <f t="array" ref="BH22">IF(AND(ISNUMBER(MATCH(BH$2, AsistenciaJetAdminConcatenada!$A:$A, 0)), ISNUMBER(MATCH(BH$1, AsistenciaJetAdminConcatenada!$B:$B, 0)), ISNUMBER(SEARCH($A22,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ISNUMBER(SEARCH($A22, INDEX(AsistenciaJetAdminConcatenada!$D:$D, MATCH(1, (AsistenciaJetAdminConcatenada!$A:$A=BH$2)*(AsistenciaJetAdminConcatenada!$B:$B=BH$1), 0)), 1))),  0.5, 0))</f>
        <v>1</v>
      </c>
      <c r="BI22" s="47">
        <f t="array" ref="BI22">IF(AND(ISNUMBER(MATCH(BI$2, AsistenciaJetAdminConcatenada!$A:$A, 0)), ISNUMBER(MATCH(BI$1, AsistenciaJetAdminConcatenada!$B:$B, 0)), ISNUMBER(SEARCH($A22,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ISNUMBER(SEARCH($A22, INDEX(AsistenciaJetAdminConcatenada!$D:$D, MATCH(1, (AsistenciaJetAdminConcatenada!$A:$A=BI$2)*(AsistenciaJetAdminConcatenada!$B:$B=BI$1), 0)), 1))),  0.5, 0))</f>
        <v>0.5</v>
      </c>
      <c r="BJ22" s="47">
        <f t="array" ref="BJ22">IF(AND(ISNUMBER(MATCH(BJ$2, AsistenciaJetAdminConcatenada!$A:$A, 0)), ISNUMBER(MATCH(BJ$1, AsistenciaJetAdminConcatenada!$B:$B, 0)), ISNUMBER(SEARCH($A22,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ISNUMBER(SEARCH($A22, INDEX(AsistenciaJetAdminConcatenada!$D:$D, MATCH(1, (AsistenciaJetAdminConcatenada!$A:$A=BJ$2)*(AsistenciaJetAdminConcatenada!$B:$B=BJ$1), 0)), 1))),  0.5, 0))</f>
        <v>1</v>
      </c>
      <c r="BK22" s="47">
        <f t="array" ref="BK22">IF(AND(ISNUMBER(MATCH(BK$2, AsistenciaJetAdminConcatenada!$A:$A, 0)), ISNUMBER(MATCH(BK$1, AsistenciaJetAdminConcatenada!$B:$B, 0)), ISNUMBER(SEARCH($A22,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ISNUMBER(SEARCH($A22, INDEX(AsistenciaJetAdminConcatenada!$D:$D, MATCH(1, (AsistenciaJetAdminConcatenada!$A:$A=BK$2)*(AsistenciaJetAdminConcatenada!$B:$B=BK$1), 0)), 1))),  0.5, 0))</f>
        <v>1</v>
      </c>
      <c r="BL22" s="47">
        <f t="array" ref="BL22">IF(AND(ISNUMBER(MATCH(BL$2, AsistenciaJetAdminConcatenada!$A:$A, 0)), ISNUMBER(MATCH(BL$1, AsistenciaJetAdminConcatenada!$B:$B, 0)), ISNUMBER(SEARCH($A22,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ISNUMBER(SEARCH($A22, INDEX(AsistenciaJetAdminConcatenada!$D:$D, MATCH(1, (AsistenciaJetAdminConcatenada!$A:$A=BL$2)*(AsistenciaJetAdminConcatenada!$B:$B=BL$1), 0)), 1))),  0.5, 0))</f>
        <v>1</v>
      </c>
      <c r="BM22" s="47">
        <f t="array" ref="BM22">IF(AND(ISNUMBER(MATCH(BM$2, AsistenciaJetAdminConcatenada!$A:$A, 0)), ISNUMBER(MATCH(BM$1, AsistenciaJetAdminConcatenada!$B:$B, 0)), ISNUMBER(SEARCH($A22,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ISNUMBER(SEARCH($A22, INDEX(AsistenciaJetAdminConcatenada!$D:$D, MATCH(1, (AsistenciaJetAdminConcatenada!$A:$A=BM$2)*(AsistenciaJetAdminConcatenada!$B:$B=BM$1), 0)), 1))),  0.5, 0))</f>
        <v>1</v>
      </c>
      <c r="BN22" s="47">
        <f t="array" ref="BN22">IF(AND(ISNUMBER(MATCH(BN$2, AsistenciaJetAdminConcatenada!$A:$A, 0)), ISNUMBER(MATCH(BN$1, AsistenciaJetAdminConcatenada!$B:$B, 0)), ISNUMBER(SEARCH($A22,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ISNUMBER(SEARCH($A22, INDEX(AsistenciaJetAdminConcatenada!$D:$D, MATCH(1, (AsistenciaJetAdminConcatenada!$A:$A=BN$2)*(AsistenciaJetAdminConcatenada!$B:$B=BN$1), 0)), 1))),  0.5, 0))</f>
        <v>0</v>
      </c>
      <c r="BO22" s="47">
        <f t="array" ref="BO22">IF(AND(ISNUMBER(MATCH(BO$2, AsistenciaJetAdminConcatenada!$A:$A, 0)), ISNUMBER(MATCH(BO$1, AsistenciaJetAdminConcatenada!$B:$B, 0)), ISNUMBER(SEARCH($A22,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ISNUMBER(SEARCH($A22, INDEX(AsistenciaJetAdminConcatenada!$D:$D, MATCH(1, (AsistenciaJetAdminConcatenada!$A:$A=BO$2)*(AsistenciaJetAdminConcatenada!$B:$B=BO$1), 0)), 1))),  0.5, 0))</f>
        <v>1</v>
      </c>
      <c r="BP22" s="47">
        <f t="array" ref="BP22">IF(AND(ISNUMBER(MATCH(BP$2, AsistenciaJetAdminConcatenada!$A:$A, 0)), ISNUMBER(MATCH(BP$1, AsistenciaJetAdminConcatenada!$B:$B, 0)), ISNUMBER(SEARCH($A22,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ISNUMBER(SEARCH($A22, INDEX(AsistenciaJetAdminConcatenada!$D:$D, MATCH(1, (AsistenciaJetAdminConcatenada!$A:$A=BP$2)*(AsistenciaJetAdminConcatenada!$B:$B=BP$1), 0)), 1))),  0.5, 0))</f>
        <v>0</v>
      </c>
      <c r="BQ22" s="47">
        <f t="array" ref="BQ22">IF(AND(ISNUMBER(MATCH(BQ$2, AsistenciaJetAdminConcatenada!$A:$A, 0)), ISNUMBER(MATCH(BQ$1, AsistenciaJetAdminConcatenada!$B:$B, 0)), ISNUMBER(SEARCH($A22,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ISNUMBER(SEARCH($A22, INDEX(AsistenciaJetAdminConcatenada!$D:$D, MATCH(1, (AsistenciaJetAdminConcatenada!$A:$A=BQ$2)*(AsistenciaJetAdminConcatenada!$B:$B=BQ$1), 0)), 1))),  0.5, 0))</f>
        <v>1</v>
      </c>
      <c r="BR22" s="47">
        <f t="array" ref="BR22">IF(AND(ISNUMBER(MATCH(BR$2, AsistenciaJetAdminConcatenada!$A:$A, 0)), ISNUMBER(MATCH(BR$1, AsistenciaJetAdminConcatenada!$B:$B, 0)), ISNUMBER(SEARCH($A22,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ISNUMBER(SEARCH($A22, INDEX(AsistenciaJetAdminConcatenada!$D:$D, MATCH(1, (AsistenciaJetAdminConcatenada!$A:$A=BR$2)*(AsistenciaJetAdminConcatenada!$B:$B=BR$1), 0)), 1))),  0.5, 0))</f>
        <v>1</v>
      </c>
      <c r="BS22" s="47">
        <f t="array" ref="BS22">IF(AND(ISNUMBER(MATCH(BS$2, AsistenciaJetAdminConcatenada!$A:$A, 0)), ISNUMBER(MATCH(BS$1, AsistenciaJetAdminConcatenada!$B:$B, 0)), ISNUMBER(SEARCH($A22,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ISNUMBER(SEARCH($A22, INDEX(AsistenciaJetAdminConcatenada!$D:$D, MATCH(1, (AsistenciaJetAdminConcatenada!$A:$A=BS$2)*(AsistenciaJetAdminConcatenada!$B:$B=BS$1), 0)), 1))),  0.5, 0))</f>
        <v>1</v>
      </c>
      <c r="BT22" s="47">
        <f t="array" ref="BT22">IF(AND(ISNUMBER(MATCH(BT$2, AsistenciaJetAdminConcatenada!$A:$A, 0)), ISNUMBER(MATCH(BT$1, AsistenciaJetAdminConcatenada!$B:$B, 0)), ISNUMBER(SEARCH($A22,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ISNUMBER(SEARCH($A22, INDEX(AsistenciaJetAdminConcatenada!$D:$D, MATCH(1, (AsistenciaJetAdminConcatenada!$A:$A=BT$2)*(AsistenciaJetAdminConcatenada!$B:$B=BT$1), 0)), 1))),  0.5, 0))</f>
        <v>0</v>
      </c>
      <c r="BU22" s="47">
        <f t="array" ref="BU22">IF(AND(ISNUMBER(MATCH(BU$2, AsistenciaJetAdminConcatenada!$A:$A, 0)), ISNUMBER(MATCH(BU$1, AsistenciaJetAdminConcatenada!$B:$B, 0)), ISNUMBER(SEARCH($A22,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ISNUMBER(SEARCH($A22, INDEX(AsistenciaJetAdminConcatenada!$D:$D, MATCH(1, (AsistenciaJetAdminConcatenada!$A:$A=BU$2)*(AsistenciaJetAdminConcatenada!$B:$B=BU$1), 0)), 1))),  0.5, 0))</f>
        <v>1</v>
      </c>
      <c r="BV22" s="47">
        <f t="array" ref="BV22">IF(AND(ISNUMBER(MATCH(BV$2, AsistenciaJetAdminConcatenada!$A:$A, 0)), ISNUMBER(MATCH(BV$1, AsistenciaJetAdminConcatenada!$B:$B, 0)), ISNUMBER(SEARCH($A22,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ISNUMBER(SEARCH($A22, INDEX(AsistenciaJetAdminConcatenada!$D:$D, MATCH(1, (AsistenciaJetAdminConcatenada!$A:$A=BV$2)*(AsistenciaJetAdminConcatenada!$B:$B=BV$1), 0)), 1))),  0.5, 0))</f>
        <v>1</v>
      </c>
      <c r="BW22" s="47">
        <f t="array" ref="BW22">IF(AND(ISNUMBER(MATCH(BW$2, AsistenciaJetAdminConcatenada!$A:$A, 0)), ISNUMBER(MATCH(BW$1, AsistenciaJetAdminConcatenada!$B:$B, 0)), ISNUMBER(SEARCH($A22,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ISNUMBER(SEARCH($A22, INDEX(AsistenciaJetAdminConcatenada!$D:$D, MATCH(1, (AsistenciaJetAdminConcatenada!$A:$A=BW$2)*(AsistenciaJetAdminConcatenada!$B:$B=BW$1), 0)), 1))),  0.5, 0))</f>
        <v>1</v>
      </c>
      <c r="BX22" s="47">
        <f t="array" ref="BX22">IF(AND(ISNUMBER(MATCH(BX$2, AsistenciaJetAdminConcatenada!$A:$A, 0)), ISNUMBER(MATCH(BX$1, AsistenciaJetAdminConcatenada!$B:$B, 0)), ISNUMBER(SEARCH($A22,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ISNUMBER(SEARCH($A22, INDEX(AsistenciaJetAdminConcatenada!$D:$D, MATCH(1, (AsistenciaJetAdminConcatenada!$A:$A=BX$2)*(AsistenciaJetAdminConcatenada!$B:$B=BX$1), 0)), 1))),  0.5, 0))</f>
        <v>0.5</v>
      </c>
      <c r="BY22" s="47">
        <f t="array" ref="BY22">IF(AND(ISNUMBER(MATCH(BY$2, AsistenciaJetAdminConcatenada!$A:$A, 0)), ISNUMBER(MATCH(BY$1, AsistenciaJetAdminConcatenada!$B:$B, 0)), ISNUMBER(SEARCH($A22,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ISNUMBER(SEARCH($A22, INDEX(AsistenciaJetAdminConcatenada!$D:$D, MATCH(1, (AsistenciaJetAdminConcatenada!$A:$A=BY$2)*(AsistenciaJetAdminConcatenada!$B:$B=BY$1), 0)), 1))),  0.5, 0))</f>
        <v>0</v>
      </c>
      <c r="BZ22" s="47">
        <f t="array" ref="BZ22">IF(AND(ISNUMBER(MATCH(BZ$2, AsistenciaJetAdminConcatenada!$A:$A, 0)), ISNUMBER(MATCH(BZ$1, AsistenciaJetAdminConcatenada!$B:$B, 0)), ISNUMBER(SEARCH($A22,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ISNUMBER(SEARCH($A22, INDEX(AsistenciaJetAdminConcatenada!$D:$D, MATCH(1, (AsistenciaJetAdminConcatenada!$A:$A=BZ$2)*(AsistenciaJetAdminConcatenada!$B:$B=BZ$1), 0)), 1))),  0.5, 0))</f>
        <v>1</v>
      </c>
      <c r="CA22" s="47">
        <f t="array" ref="CA22">IF(AND(ISNUMBER(MATCH(CA$2, AsistenciaJetAdminConcatenada!$A:$A, 0)), ISNUMBER(MATCH(CA$1, AsistenciaJetAdminConcatenada!$B:$B, 0)), ISNUMBER(SEARCH($A22,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ISNUMBER(SEARCH($A22, INDEX(AsistenciaJetAdminConcatenada!$D:$D, MATCH(1, (AsistenciaJetAdminConcatenada!$A:$A=CA$2)*(AsistenciaJetAdminConcatenada!$B:$B=CA$1), 0)), 1))),  0.5, 0))</f>
        <v>1</v>
      </c>
      <c r="CB22" s="47">
        <f t="array" ref="CB22">IF(AND(ISNUMBER(MATCH(CB$2, AsistenciaJetAdminConcatenada!$A:$A, 0)), ISNUMBER(MATCH(CB$1, AsistenciaJetAdminConcatenada!$B:$B, 0)), ISNUMBER(SEARCH($A22,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ISNUMBER(SEARCH($A22, INDEX(AsistenciaJetAdminConcatenada!$D:$D, MATCH(1, (AsistenciaJetAdminConcatenada!$A:$A=CB$2)*(AsistenciaJetAdminConcatenada!$B:$B=CB$1), 0)), 1))),  0.5, 0))</f>
        <v>1</v>
      </c>
      <c r="CC22" s="47">
        <f t="array" ref="CC22">IF(AND(ISNUMBER(MATCH(CC$2, AsistenciaJetAdminConcatenada!$A:$A, 0)), ISNUMBER(MATCH(CC$1, AsistenciaJetAdminConcatenada!$B:$B, 0)), ISNUMBER(SEARCH($A22,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ISNUMBER(SEARCH($A22, INDEX(AsistenciaJetAdminConcatenada!$D:$D, MATCH(1, (AsistenciaJetAdminConcatenada!$A:$A=CC$2)*(AsistenciaJetAdminConcatenada!$B:$B=CC$1), 0)), 1))),  0.5, 0))</f>
        <v>1</v>
      </c>
      <c r="CD22" s="47">
        <f t="array" ref="CD22">IF(AND(ISNUMBER(MATCH(CD$2, AsistenciaJetAdminConcatenada!$A:$A, 0)), ISNUMBER(MATCH(CD$1, AsistenciaJetAdminConcatenada!$B:$B, 0)), ISNUMBER(SEARCH($A22,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ISNUMBER(SEARCH($A22, INDEX(AsistenciaJetAdminConcatenada!$D:$D, MATCH(1, (AsistenciaJetAdminConcatenada!$A:$A=CD$2)*(AsistenciaJetAdminConcatenada!$B:$B=CD$1), 0)), 1))),  0.5, 0))</f>
        <v>1</v>
      </c>
      <c r="CE22" s="47">
        <f t="array" ref="CE22">IF(AND(ISNUMBER(MATCH(CE$2, AsistenciaJetAdminConcatenada!$A:$A, 0)), ISNUMBER(MATCH(CE$1, AsistenciaJetAdminConcatenada!$B:$B, 0)), ISNUMBER(SEARCH($A22,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ISNUMBER(SEARCH($A22, INDEX(AsistenciaJetAdminConcatenada!$D:$D, MATCH(1, (AsistenciaJetAdminConcatenada!$A:$A=CE$2)*(AsistenciaJetAdminConcatenada!$B:$B=CE$1), 0)), 1))),  0.5, 0))</f>
        <v>0</v>
      </c>
      <c r="CF22" s="47">
        <f t="array" ref="CF22">IF(AND(ISNUMBER(MATCH(CF$2, AsistenciaJetAdminConcatenada!$A:$A, 0)), ISNUMBER(MATCH(CF$1, AsistenciaJetAdminConcatenada!$B:$B, 0)), ISNUMBER(SEARCH($A22,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ISNUMBER(SEARCH($A22, INDEX(AsistenciaJetAdminConcatenada!$D:$D, MATCH(1, (AsistenciaJetAdminConcatenada!$A:$A=CF$2)*(AsistenciaJetAdminConcatenada!$B:$B=CF$1), 0)), 1))),  0.5, 0))</f>
        <v>1</v>
      </c>
      <c r="CG22" s="47">
        <f t="array" ref="CG22">IF(AND(ISNUMBER(MATCH(CG$2, AsistenciaJetAdminConcatenada!$A:$A, 0)), ISNUMBER(MATCH(CG$1, AsistenciaJetAdminConcatenada!$B:$B, 0)), ISNUMBER(SEARCH($A22,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ISNUMBER(SEARCH($A22, INDEX(AsistenciaJetAdminConcatenada!$D:$D, MATCH(1, (AsistenciaJetAdminConcatenada!$A:$A=CG$2)*(AsistenciaJetAdminConcatenada!$B:$B=CG$1), 0)), 1))),  0.5, 0))</f>
        <v>0</v>
      </c>
      <c r="CH22" s="47">
        <f t="array" ref="CH22">IF(AND(ISNUMBER(MATCH(CH$2, AsistenciaJetAdminConcatenada!$A:$A, 0)), ISNUMBER(MATCH(CH$1, AsistenciaJetAdminConcatenada!$B:$B, 0)), ISNUMBER(SEARCH($A22,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ISNUMBER(SEARCH($A22, INDEX(AsistenciaJetAdminConcatenada!$D:$D, MATCH(1, (AsistenciaJetAdminConcatenada!$A:$A=CH$2)*(AsistenciaJetAdminConcatenada!$B:$B=CH$1), 0)), 1))),  0.5, 0))</f>
        <v>1</v>
      </c>
      <c r="CI22" s="47">
        <f t="array" ref="CI22">IF(AND(ISNUMBER(MATCH(CI$2, AsistenciaJetAdminConcatenada!$A:$A, 0)), ISNUMBER(MATCH(CI$1, AsistenciaJetAdminConcatenada!$B:$B, 0)), ISNUMBER(SEARCH($A22,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ISNUMBER(SEARCH($A22, INDEX(AsistenciaJetAdminConcatenada!$D:$D, MATCH(1, (AsistenciaJetAdminConcatenada!$A:$A=CI$2)*(AsistenciaJetAdminConcatenada!$B:$B=CI$1), 0)), 1))),  0.5, 0))</f>
        <v>0</v>
      </c>
      <c r="CJ22" s="47">
        <f t="array" ref="CJ22">IF(AND(ISNUMBER(MATCH(CJ$2, AsistenciaJetAdminConcatenada!$A:$A, 0)), ISNUMBER(MATCH(CJ$1, AsistenciaJetAdminConcatenada!$B:$B, 0)), ISNUMBER(SEARCH($A22,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ISNUMBER(SEARCH($A22, INDEX(AsistenciaJetAdminConcatenada!$D:$D, MATCH(1, (AsistenciaJetAdminConcatenada!$A:$A=CJ$2)*(AsistenciaJetAdminConcatenada!$B:$B=CJ$1), 0)), 1))),  0.5, 0))</f>
        <v>1</v>
      </c>
      <c r="CK22" s="47">
        <f t="array" ref="CK22">IF(AND(ISNUMBER(MATCH(CK$2, AsistenciaJetAdminConcatenada!$A:$A, 0)), ISNUMBER(MATCH(CK$1, AsistenciaJetAdminConcatenada!$B:$B, 0)), ISNUMBER(SEARCH($A22,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ISNUMBER(SEARCH($A22, INDEX(AsistenciaJetAdminConcatenada!$D:$D, MATCH(1, (AsistenciaJetAdminConcatenada!$A:$A=CK$2)*(AsistenciaJetAdminConcatenada!$B:$B=CK$1), 0)), 1))),  0.5, 0))</f>
        <v>0</v>
      </c>
      <c r="CL22" s="47">
        <f t="array" ref="CL22">IF(AND(ISNUMBER(MATCH(CL$2, AsistenciaJetAdminConcatenada!$A:$A, 0)), ISNUMBER(MATCH(CL$1, AsistenciaJetAdminConcatenada!$B:$B, 0)), ISNUMBER(SEARCH($A22,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ISNUMBER(SEARCH($A22, INDEX(AsistenciaJetAdminConcatenada!$D:$D, MATCH(1, (AsistenciaJetAdminConcatenada!$A:$A=CL$2)*(AsistenciaJetAdminConcatenada!$B:$B=CL$1), 0)), 1))),  0.5, 0))</f>
        <v>1</v>
      </c>
      <c r="CM22" s="47">
        <f t="array" ref="CM22">IF(AND(ISNUMBER(MATCH(CM$2, AsistenciaJetAdminConcatenada!$A:$A, 0)), ISNUMBER(MATCH(CM$1, AsistenciaJetAdminConcatenada!$B:$B, 0)), ISNUMBER(SEARCH($A22,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ISNUMBER(SEARCH($A22, INDEX(AsistenciaJetAdminConcatenada!$D:$D, MATCH(1, (AsistenciaJetAdminConcatenada!$A:$A=CM$2)*(AsistenciaJetAdminConcatenada!$B:$B=CM$1), 0)), 1))),  0.5, 0))</f>
        <v>1</v>
      </c>
      <c r="CN22" s="47">
        <f t="array" ref="CN22">IF(AND(ISNUMBER(MATCH(CN$2, AsistenciaJetAdminConcatenada!$A:$A, 0)), ISNUMBER(MATCH(CN$1, AsistenciaJetAdminConcatenada!$B:$B, 0)), ISNUMBER(SEARCH($A22,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ISNUMBER(SEARCH($A22, INDEX(AsistenciaJetAdminConcatenada!$D:$D, MATCH(1, (AsistenciaJetAdminConcatenada!$A:$A=CN$2)*(AsistenciaJetAdminConcatenada!$B:$B=CN$1), 0)), 1))),  0.5, 0))</f>
        <v>0</v>
      </c>
      <c r="CO22" s="47">
        <f t="array" ref="CO22">IF(AND(ISNUMBER(MATCH(CO$2, AsistenciaJetAdminConcatenada!$A:$A, 0)), ISNUMBER(MATCH(CO$1, AsistenciaJetAdminConcatenada!$B:$B, 0)), ISNUMBER(SEARCH($A22,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ISNUMBER(SEARCH($A22, INDEX(AsistenciaJetAdminConcatenada!$D:$D, MATCH(1, (AsistenciaJetAdminConcatenada!$A:$A=CO$2)*(AsistenciaJetAdminConcatenada!$B:$B=CO$1), 0)), 1))),  0.5, 0))</f>
        <v>0</v>
      </c>
      <c r="CP22" s="47">
        <f t="array" ref="CP22">IF(AND(ISNUMBER(MATCH(CP$2, AsistenciaJetAdminConcatenada!$A:$A, 0)), ISNUMBER(MATCH(CP$1, AsistenciaJetAdminConcatenada!$B:$B, 0)), ISNUMBER(SEARCH($A22,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ISNUMBER(SEARCH($A22, INDEX(AsistenciaJetAdminConcatenada!$D:$D, MATCH(1, (AsistenciaJetAdminConcatenada!$A:$A=CP$2)*(AsistenciaJetAdminConcatenada!$B:$B=CP$1), 0)), 1))),  0.5, 0))</f>
        <v>1</v>
      </c>
      <c r="CQ22" s="47">
        <f t="array" ref="CQ22">IF(AND(ISNUMBER(MATCH(CQ$2, AsistenciaJetAdminConcatenada!$A:$A, 0)), ISNUMBER(MATCH(CQ$1, AsistenciaJetAdminConcatenada!$B:$B, 0)), ISNUMBER(SEARCH($A22,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ISNUMBER(SEARCH($A22, INDEX(AsistenciaJetAdminConcatenada!$D:$D, MATCH(1, (AsistenciaJetAdminConcatenada!$A:$A=CQ$2)*(AsistenciaJetAdminConcatenada!$B:$B=CQ$1), 0)), 1))),  0.5, 0))</f>
        <v>1</v>
      </c>
      <c r="CR22" s="47">
        <f t="array" ref="CR22">IF(AND(ISNUMBER(MATCH(CR$2, AsistenciaJetAdminConcatenada!$A:$A, 0)), ISNUMBER(MATCH(CR$1, AsistenciaJetAdminConcatenada!$B:$B, 0)), ISNUMBER(SEARCH($A22,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ISNUMBER(SEARCH($A22, INDEX(AsistenciaJetAdminConcatenada!$D:$D, MATCH(1, (AsistenciaJetAdminConcatenada!$A:$A=CR$2)*(AsistenciaJetAdminConcatenada!$B:$B=CR$1), 0)), 1))),  0.5, 0))</f>
        <v>1</v>
      </c>
      <c r="CS22" s="47">
        <f t="array" ref="CS22">IF(AND(ISNUMBER(MATCH(CS$2, AsistenciaJetAdminConcatenada!$A:$A, 0)), ISNUMBER(MATCH(CS$1, AsistenciaJetAdminConcatenada!$B:$B, 0)), ISNUMBER(SEARCH($A22,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ISNUMBER(SEARCH($A22, INDEX(AsistenciaJetAdminConcatenada!$D:$D, MATCH(1, (AsistenciaJetAdminConcatenada!$A:$A=CS$2)*(AsistenciaJetAdminConcatenada!$B:$B=CS$1), 0)), 1))),  0.5, 0))</f>
        <v>0</v>
      </c>
      <c r="CT22" s="47">
        <f t="array" ref="CT22">IF(AND(ISNUMBER(MATCH(CT$2, AsistenciaJetAdminConcatenada!$A:$A, 0)), ISNUMBER(MATCH(CT$1, AsistenciaJetAdminConcatenada!$B:$B, 0)), ISNUMBER(SEARCH($A22,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ISNUMBER(SEARCH($A22, INDEX(AsistenciaJetAdminConcatenada!$D:$D, MATCH(1, (AsistenciaJetAdminConcatenada!$A:$A=CT$2)*(AsistenciaJetAdminConcatenada!$B:$B=CT$1), 0)), 1))),  0.5, 0))</f>
        <v>0</v>
      </c>
      <c r="CU22" s="47">
        <f t="array" ref="CU22">IF(AND(ISNUMBER(MATCH(CU$2, AsistenciaJetAdminConcatenada!$A:$A, 0)), ISNUMBER(MATCH(CU$1, AsistenciaJetAdminConcatenada!$B:$B, 0)), ISNUMBER(SEARCH($A22,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ISNUMBER(SEARCH($A22, INDEX(AsistenciaJetAdminConcatenada!$D:$D, MATCH(1, (AsistenciaJetAdminConcatenada!$A:$A=CU$2)*(AsistenciaJetAdminConcatenada!$B:$B=CU$1), 0)), 1))),  0.5, 0))</f>
        <v>0</v>
      </c>
      <c r="CV22" s="47">
        <f t="array" ref="CV22">IF(AND(ISNUMBER(MATCH(CV$2, AsistenciaJetAdminConcatenada!$A:$A, 0)), ISNUMBER(MATCH(CV$1, AsistenciaJetAdminConcatenada!$B:$B, 0)), ISNUMBER(SEARCH($A22,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ISNUMBER(SEARCH($A22, INDEX(AsistenciaJetAdminConcatenada!$D:$D, MATCH(1, (AsistenciaJetAdminConcatenada!$A:$A=CV$2)*(AsistenciaJetAdminConcatenada!$B:$B=CV$1), 0)), 1))),  0.5, 0))</f>
        <v>0</v>
      </c>
      <c r="CW22" s="47">
        <f t="array" ref="CW22">IF(AND(ISNUMBER(MATCH(CW$2, AsistenciaJetAdminConcatenada!$A:$A, 0)), ISNUMBER(MATCH(CW$1, AsistenciaJetAdminConcatenada!$B:$B, 0)), ISNUMBER(SEARCH($A22,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ISNUMBER(SEARCH($A22, INDEX(AsistenciaJetAdminConcatenada!$D:$D, MATCH(1, (AsistenciaJetAdminConcatenada!$A:$A=CW$2)*(AsistenciaJetAdminConcatenada!$B:$B=CW$1), 0)), 1))),  0.5, 0))</f>
        <v>0</v>
      </c>
      <c r="CX22" s="47">
        <f t="array" ref="CX22">IF(AND(ISNUMBER(MATCH(CX$2, AsistenciaJetAdminConcatenada!$A:$A, 0)), ISNUMBER(MATCH(CX$1, AsistenciaJetAdminConcatenada!$B:$B, 0)), ISNUMBER(SEARCH($A22,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ISNUMBER(SEARCH($A22, INDEX(AsistenciaJetAdminConcatenada!$D:$D, MATCH(1, (AsistenciaJetAdminConcatenada!$A:$A=CX$2)*(AsistenciaJetAdminConcatenada!$B:$B=CX$1), 0)), 1))),  0.5, 0))</f>
        <v>0</v>
      </c>
      <c r="CY22" s="47">
        <f t="array" ref="CY22">IF(AND(ISNUMBER(MATCH(CY$2, AsistenciaJetAdminConcatenada!$A:$A, 0)), ISNUMBER(MATCH(CY$1, AsistenciaJetAdminConcatenada!$B:$B, 0)), ISNUMBER(SEARCH($A22,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ISNUMBER(SEARCH($A22, INDEX(AsistenciaJetAdminConcatenada!$D:$D, MATCH(1, (AsistenciaJetAdminConcatenada!$A:$A=CY$2)*(AsistenciaJetAdminConcatenada!$B:$B=CY$1), 0)), 1))),  0.5, 0))</f>
        <v>0</v>
      </c>
      <c r="CZ22" s="47">
        <f t="array" ref="CZ22">IF(AND(ISNUMBER(MATCH(CZ$2, AsistenciaJetAdminConcatenada!$A:$A, 0)), ISNUMBER(MATCH(CZ$1, AsistenciaJetAdminConcatenada!$B:$B, 0)), ISNUMBER(SEARCH($A22,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ISNUMBER(SEARCH($A22, INDEX(AsistenciaJetAdminConcatenada!$D:$D, MATCH(1, (AsistenciaJetAdminConcatenada!$A:$A=CZ$2)*(AsistenciaJetAdminConcatenada!$B:$B=CZ$1), 0)), 1))),  0.5, 0))</f>
        <v>0</v>
      </c>
      <c r="DA22" s="47">
        <f t="array" ref="DA22">IF(AND(ISNUMBER(MATCH(DA$2, AsistenciaJetAdminConcatenada!$A:$A, 0)), ISNUMBER(MATCH(DA$1, AsistenciaJetAdminConcatenada!$B:$B, 0)), ISNUMBER(SEARCH($A22,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ISNUMBER(SEARCH($A22, INDEX(AsistenciaJetAdminConcatenada!$D:$D, MATCH(1, (AsistenciaJetAdminConcatenada!$A:$A=DA$2)*(AsistenciaJetAdminConcatenada!$B:$B=DA$1), 0)), 1))),  0.5, 0))</f>
        <v>0</v>
      </c>
      <c r="DB22" s="47">
        <f t="array" ref="DB22">IF(AND(ISNUMBER(MATCH(DB$2, AsistenciaJetAdminConcatenada!$A:$A, 0)), ISNUMBER(MATCH(DB$1, AsistenciaJetAdminConcatenada!$B:$B, 0)), ISNUMBER(SEARCH($A22,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ISNUMBER(SEARCH($A22, INDEX(AsistenciaJetAdminConcatenada!$D:$D, MATCH(1, (AsistenciaJetAdminConcatenada!$A:$A=DB$2)*(AsistenciaJetAdminConcatenada!$B:$B=DB$1), 0)), 1))),  0.5, 0))</f>
        <v>0</v>
      </c>
      <c r="DC22" s="47">
        <f t="array" ref="DC22">IF(AND(ISNUMBER(MATCH(DC$2, AsistenciaJetAdminConcatenada!$A:$A, 0)), ISNUMBER(MATCH(DC$1, AsistenciaJetAdminConcatenada!$B:$B, 0)), ISNUMBER(SEARCH($A22,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ISNUMBER(SEARCH($A22, INDEX(AsistenciaJetAdminConcatenada!$D:$D, MATCH(1, (AsistenciaJetAdminConcatenada!$A:$A=DC$2)*(AsistenciaJetAdminConcatenada!$B:$B=DC$1), 0)), 1))),  0.5, 0))</f>
        <v>0</v>
      </c>
      <c r="DD22" s="47">
        <f t="array" ref="DD22">IF(AND(ISNUMBER(MATCH(DD$2, AsistenciaJetAdminConcatenada!$A:$A, 0)), ISNUMBER(MATCH(DD$1, AsistenciaJetAdminConcatenada!$B:$B, 0)), ISNUMBER(SEARCH($A22,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ISNUMBER(SEARCH($A22, INDEX(AsistenciaJetAdminConcatenada!$D:$D, MATCH(1, (AsistenciaJetAdminConcatenada!$A:$A=DD$2)*(AsistenciaJetAdminConcatenada!$B:$B=DD$1), 0)), 1))),  0.5, 0))</f>
        <v>0</v>
      </c>
      <c r="DE22" s="47">
        <f t="array" ref="DE22">IF(AND(ISNUMBER(MATCH(DE$2, AsistenciaJetAdminConcatenada!$A:$A, 0)), ISNUMBER(MATCH(DE$1, AsistenciaJetAdminConcatenada!$B:$B, 0)), ISNUMBER(SEARCH($A22,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ISNUMBER(SEARCH($A22, INDEX(AsistenciaJetAdminConcatenada!$D:$D, MATCH(1, (AsistenciaJetAdminConcatenada!$A:$A=DE$2)*(AsistenciaJetAdminConcatenada!$B:$B=DE$1), 0)), 1))),  0.5, 0))</f>
        <v>0</v>
      </c>
      <c r="DF22" s="47">
        <f t="array" ref="DF22">IF(AND(ISNUMBER(MATCH(DF$2, AsistenciaJetAdminConcatenada!$A:$A, 0)), ISNUMBER(MATCH(DF$1, AsistenciaJetAdminConcatenada!$B:$B, 0)), ISNUMBER(SEARCH($A22,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ISNUMBER(SEARCH($A22, INDEX(AsistenciaJetAdminConcatenada!$D:$D, MATCH(1, (AsistenciaJetAdminConcatenada!$A:$A=DF$2)*(AsistenciaJetAdminConcatenada!$B:$B=DF$1), 0)), 1))),  0.5, 0))</f>
        <v>0</v>
      </c>
      <c r="DG22" s="47">
        <f t="array" ref="DG22">IF(AND(ISNUMBER(MATCH(DG$2, AsistenciaJetAdminConcatenada!$A:$A, 0)), ISNUMBER(MATCH(DG$1, AsistenciaJetAdminConcatenada!$B:$B, 0)), ISNUMBER(SEARCH($A22,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ISNUMBER(SEARCH($A22, INDEX(AsistenciaJetAdminConcatenada!$D:$D, MATCH(1, (AsistenciaJetAdminConcatenada!$A:$A=DG$2)*(AsistenciaJetAdminConcatenada!$B:$B=DG$1), 0)), 1))),  0.5, 0))</f>
        <v>0</v>
      </c>
      <c r="DH22" s="47">
        <f t="array" ref="DH22">IF(AND(ISNUMBER(MATCH(DH$2, AsistenciaJetAdminConcatenada!$A:$A, 0)), ISNUMBER(MATCH(DH$1, AsistenciaJetAdminConcatenada!$B:$B, 0)), ISNUMBER(SEARCH($A22,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ISNUMBER(SEARCH($A22, INDEX(AsistenciaJetAdminConcatenada!$D:$D, MATCH(1, (AsistenciaJetAdminConcatenada!$A:$A=DH$2)*(AsistenciaJetAdminConcatenada!$B:$B=DH$1), 0)), 1))),  0.5, 0))</f>
        <v>0</v>
      </c>
      <c r="DI22" s="47">
        <f t="array" ref="DI22">IF(AND(ISNUMBER(MATCH(DI$2, AsistenciaJetAdminConcatenada!$A:$A, 0)), ISNUMBER(MATCH(DI$1, AsistenciaJetAdminConcatenada!$B:$B, 0)), ISNUMBER(SEARCH($A22,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ISNUMBER(SEARCH($A22, INDEX(AsistenciaJetAdminConcatenada!$D:$D, MATCH(1, (AsistenciaJetAdminConcatenada!$A:$A=DI$2)*(AsistenciaJetAdminConcatenada!$B:$B=DI$1), 0)), 1))),  0.5, 0))</f>
        <v>0</v>
      </c>
      <c r="DJ22" s="47">
        <f t="array" ref="DJ22">IF(AND(ISNUMBER(MATCH(DJ$2, AsistenciaJetAdminConcatenada!$A:$A, 0)), ISNUMBER(MATCH(DJ$1, AsistenciaJetAdminConcatenada!$B:$B, 0)), ISNUMBER(SEARCH($A22,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ISNUMBER(SEARCH($A22, INDEX(AsistenciaJetAdminConcatenada!$D:$D, MATCH(1, (AsistenciaJetAdminConcatenada!$A:$A=DJ$2)*(AsistenciaJetAdminConcatenada!$B:$B=DJ$1), 0)), 1))),  0.5, 0))</f>
        <v>0</v>
      </c>
      <c r="DK22" s="47">
        <f t="array" ref="DK22">IF(AND(ISNUMBER(MATCH(DK$2, AsistenciaJetAdminConcatenada!$A:$A, 0)), ISNUMBER(MATCH(DK$1, AsistenciaJetAdminConcatenada!$B:$B, 0)), ISNUMBER(SEARCH($A22,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ISNUMBER(SEARCH($A22, INDEX(AsistenciaJetAdminConcatenada!$D:$D, MATCH(1, (AsistenciaJetAdminConcatenada!$A:$A=DK$2)*(AsistenciaJetAdminConcatenada!$B:$B=DK$1), 0)), 1))),  0.5, 0))</f>
        <v>0</v>
      </c>
      <c r="DL22" s="47">
        <f t="array" ref="DL22">IF(AND(ISNUMBER(MATCH(DL$2, AsistenciaJetAdminConcatenada!$A:$A, 0)), ISNUMBER(MATCH(DL$1, AsistenciaJetAdminConcatenada!$B:$B, 0)), ISNUMBER(SEARCH($A22,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ISNUMBER(SEARCH($A22, INDEX(AsistenciaJetAdminConcatenada!$D:$D, MATCH(1, (AsistenciaJetAdminConcatenada!$A:$A=DL$2)*(AsistenciaJetAdminConcatenada!$B:$B=DL$1), 0)), 1))),  0.5, 0))</f>
        <v>0</v>
      </c>
      <c r="DM22" s="47">
        <f t="array" ref="DM22">IF(AND(ISNUMBER(MATCH(DM$2, AsistenciaJetAdminConcatenada!$A:$A, 0)), ISNUMBER(MATCH(DM$1, AsistenciaJetAdminConcatenada!$B:$B, 0)), ISNUMBER(SEARCH($A22,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ISNUMBER(SEARCH($A22, INDEX(AsistenciaJetAdminConcatenada!$D:$D, MATCH(1, (AsistenciaJetAdminConcatenada!$A:$A=DM$2)*(AsistenciaJetAdminConcatenada!$B:$B=DM$1), 0)), 1))),  0.5, 0))</f>
        <v>0</v>
      </c>
      <c r="DN22" s="47">
        <f t="array" ref="DN22">IF(AND(ISNUMBER(MATCH(DN$2, AsistenciaJetAdminConcatenada!$A:$A, 0)), ISNUMBER(MATCH(DN$1, AsistenciaJetAdminConcatenada!$B:$B, 0)), ISNUMBER(SEARCH($A22,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ISNUMBER(SEARCH($A22, INDEX(AsistenciaJetAdminConcatenada!$D:$D, MATCH(1, (AsistenciaJetAdminConcatenada!$A:$A=DN$2)*(AsistenciaJetAdminConcatenada!$B:$B=DN$1), 0)), 1))),  0.5, 0))</f>
        <v>0</v>
      </c>
      <c r="DO22" s="47">
        <f t="array" ref="DO22">IF(AND(ISNUMBER(MATCH(DO$2, AsistenciaJetAdminConcatenada!$A:$A, 0)), ISNUMBER(MATCH(DO$1, AsistenciaJetAdminConcatenada!$B:$B, 0)), ISNUMBER(SEARCH($A22,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ISNUMBER(SEARCH($A22, INDEX(AsistenciaJetAdminConcatenada!$D:$D, MATCH(1, (AsistenciaJetAdminConcatenada!$A:$A=DO$2)*(AsistenciaJetAdminConcatenada!$B:$B=DO$1), 0)), 1))),  0.5, 0))</f>
        <v>0</v>
      </c>
      <c r="DP22" s="47">
        <f t="array" ref="DP22">IF(AND(ISNUMBER(MATCH(DP$2, AsistenciaJetAdminConcatenada!$A:$A, 0)), ISNUMBER(MATCH(DP$1, AsistenciaJetAdminConcatenada!$B:$B, 0)), ISNUMBER(SEARCH($A22,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ISNUMBER(SEARCH($A22, INDEX(AsistenciaJetAdminConcatenada!$D:$D, MATCH(1, (AsistenciaJetAdminConcatenada!$A:$A=DP$2)*(AsistenciaJetAdminConcatenada!$B:$B=DP$1), 0)), 1))),  0.5, 0))</f>
        <v>0</v>
      </c>
      <c r="DQ22" s="47">
        <f t="array" ref="DQ22">IF(AND(ISNUMBER(MATCH(DQ$2, AsistenciaJetAdminConcatenada!$A:$A, 0)), ISNUMBER(MATCH(DQ$1, AsistenciaJetAdminConcatenada!$B:$B, 0)), ISNUMBER(SEARCH($A22,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ISNUMBER(SEARCH($A22, INDEX(AsistenciaJetAdminConcatenada!$D:$D, MATCH(1, (AsistenciaJetAdminConcatenada!$A:$A=DQ$2)*(AsistenciaJetAdminConcatenada!$B:$B=DQ$1), 0)), 1))),  0.5, 0))</f>
        <v>0</v>
      </c>
      <c r="DR22" s="47">
        <f t="array" ref="DR22">IF(AND(ISNUMBER(MATCH(DR$2, AsistenciaJetAdminConcatenada!$A:$A, 0)), ISNUMBER(MATCH(DR$1, AsistenciaJetAdminConcatenada!$B:$B, 0)), ISNUMBER(SEARCH($A22,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ISNUMBER(SEARCH($A22, INDEX(AsistenciaJetAdminConcatenada!$D:$D, MATCH(1, (AsistenciaJetAdminConcatenada!$A:$A=DR$2)*(AsistenciaJetAdminConcatenada!$B:$B=DR$1), 0)), 1))),  0.5, 0))</f>
        <v>0</v>
      </c>
      <c r="DS22" s="47">
        <f t="array" ref="DS22">IF(AND(ISNUMBER(MATCH(DS$2, AsistenciaJetAdminConcatenada!$A:$A, 0)), ISNUMBER(MATCH(DS$1, AsistenciaJetAdminConcatenada!$B:$B, 0)), ISNUMBER(SEARCH($A22,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ISNUMBER(SEARCH($A22, INDEX(AsistenciaJetAdminConcatenada!$D:$D, MATCH(1, (AsistenciaJetAdminConcatenada!$A:$A=DS$2)*(AsistenciaJetAdminConcatenada!$B:$B=DS$1), 0)), 1))),  0.5, 0))</f>
        <v>0</v>
      </c>
      <c r="DT22" s="47">
        <f t="array" ref="DT22">IF(AND(ISNUMBER(MATCH(DT$2, AsistenciaJetAdminConcatenada!$A:$A, 0)), ISNUMBER(MATCH(DT$1, AsistenciaJetAdminConcatenada!$B:$B, 0)), ISNUMBER(SEARCH($A22,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ISNUMBER(SEARCH($A22, INDEX(AsistenciaJetAdminConcatenada!$D:$D, MATCH(1, (AsistenciaJetAdminConcatenada!$A:$A=DT$2)*(AsistenciaJetAdminConcatenada!$B:$B=DT$1), 0)), 1))),  0.5, 0))</f>
        <v>0</v>
      </c>
      <c r="DU22" s="47">
        <f t="array" ref="DU22">IF(AND(ISNUMBER(MATCH(DU$2, AsistenciaJetAdminConcatenada!$A:$A, 0)), ISNUMBER(MATCH(DU$1, AsistenciaJetAdminConcatenada!$B:$B, 0)), ISNUMBER(SEARCH($A22,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ISNUMBER(SEARCH($A22, INDEX(AsistenciaJetAdminConcatenada!$D:$D, MATCH(1, (AsistenciaJetAdminConcatenada!$A:$A=DU$2)*(AsistenciaJetAdminConcatenada!$B:$B=DU$1), 0)), 1))),  0.5, 0))</f>
        <v>0</v>
      </c>
      <c r="DV22" s="47">
        <f t="array" ref="DV22">IF(AND(ISNUMBER(MATCH(DV$2, AsistenciaJetAdminConcatenada!$A:$A, 0)), ISNUMBER(MATCH(DV$1, AsistenciaJetAdminConcatenada!$B:$B, 0)), ISNUMBER(SEARCH($A22,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ISNUMBER(SEARCH($A22, INDEX(AsistenciaJetAdminConcatenada!$D:$D, MATCH(1, (AsistenciaJetAdminConcatenada!$A:$A=DV$2)*(AsistenciaJetAdminConcatenada!$B:$B=DV$1), 0)), 1))),  0.5, 0))</f>
        <v>0</v>
      </c>
      <c r="DW22" s="47">
        <f t="array" ref="DW22">IF(AND(ISNUMBER(MATCH(DW$2, AsistenciaJetAdminConcatenada!$A:$A, 0)), ISNUMBER(MATCH(DW$1, AsistenciaJetAdminConcatenada!$B:$B, 0)), ISNUMBER(SEARCH($A22,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ISNUMBER(SEARCH($A22, INDEX(AsistenciaJetAdminConcatenada!$D:$D, MATCH(1, (AsistenciaJetAdminConcatenada!$A:$A=DW$2)*(AsistenciaJetAdminConcatenada!$B:$B=DW$1), 0)), 1))),  0.5, 0))</f>
        <v>0</v>
      </c>
      <c r="DX22" s="47">
        <f t="array" ref="DX22">IF(AND(ISNUMBER(MATCH(DX$2, AsistenciaJetAdminConcatenada!$A:$A, 0)), ISNUMBER(MATCH(DX$1, AsistenciaJetAdminConcatenada!$B:$B, 0)), ISNUMBER(SEARCH($A22,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ISNUMBER(SEARCH($A22, INDEX(AsistenciaJetAdminConcatenada!$D:$D, MATCH(1, (AsistenciaJetAdminConcatenada!$A:$A=DX$2)*(AsistenciaJetAdminConcatenada!$B:$B=DX$1), 0)), 1))),  0.5, 0))</f>
        <v>0</v>
      </c>
      <c r="DY22" s="47">
        <f t="array" ref="DY22">IF(AND(ISNUMBER(MATCH(DY$2, AsistenciaJetAdminConcatenada!$A:$A, 0)), ISNUMBER(MATCH(DY$1, AsistenciaJetAdminConcatenada!$B:$B, 0)), ISNUMBER(SEARCH($A22,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ISNUMBER(SEARCH($A22, INDEX(AsistenciaJetAdminConcatenada!$D:$D, MATCH(1, (AsistenciaJetAdminConcatenada!$A:$A=DY$2)*(AsistenciaJetAdminConcatenada!$B:$B=DY$1), 0)), 1))),  0.5, 0))</f>
        <v>0</v>
      </c>
      <c r="DZ22" s="47">
        <f t="array" ref="DZ22">IF(AND(ISNUMBER(MATCH(DZ$2, AsistenciaJetAdminConcatenada!$A:$A, 0)), ISNUMBER(MATCH(DZ$1, AsistenciaJetAdminConcatenada!$B:$B, 0)), ISNUMBER(SEARCH($A22,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ISNUMBER(SEARCH($A22, INDEX(AsistenciaJetAdminConcatenada!$D:$D, MATCH(1, (AsistenciaJetAdminConcatenada!$A:$A=DZ$2)*(AsistenciaJetAdminConcatenada!$B:$B=DZ$1), 0)), 1))),  0.5, 0))</f>
        <v>0</v>
      </c>
      <c r="EA22" s="47">
        <f t="array" ref="EA22">IF(AND(ISNUMBER(MATCH(EA$2, AsistenciaJetAdminConcatenada!$A:$A, 0)), ISNUMBER(MATCH(EA$1, AsistenciaJetAdminConcatenada!$B:$B, 0)), ISNUMBER(SEARCH($A22,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ISNUMBER(SEARCH($A22, INDEX(AsistenciaJetAdminConcatenada!$D:$D, MATCH(1, (AsistenciaJetAdminConcatenada!$A:$A=EA$2)*(AsistenciaJetAdminConcatenada!$B:$B=EA$1), 0)), 1))),  0.5, 0))</f>
        <v>0</v>
      </c>
      <c r="EB22" s="47">
        <f t="array" ref="EB22">IF(AND(ISNUMBER(MATCH(EB$2, AsistenciaJetAdminConcatenada!$A:$A, 0)), ISNUMBER(MATCH(EB$1, AsistenciaJetAdminConcatenada!$B:$B, 0)), ISNUMBER(SEARCH($A22,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ISNUMBER(SEARCH($A22, INDEX(AsistenciaJetAdminConcatenada!$D:$D, MATCH(1, (AsistenciaJetAdminConcatenada!$A:$A=EB$2)*(AsistenciaJetAdminConcatenada!$B:$B=EB$1), 0)), 1))),  0.5, 0))</f>
        <v>0</v>
      </c>
      <c r="EC22" s="47">
        <f t="array" ref="EC22">IF(AND(ISNUMBER(MATCH(EC$2, AsistenciaJetAdminConcatenada!$A:$A, 0)), ISNUMBER(MATCH(EC$1, AsistenciaJetAdminConcatenada!$B:$B, 0)), ISNUMBER(SEARCH($A22,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ISNUMBER(SEARCH($A22, INDEX(AsistenciaJetAdminConcatenada!$D:$D, MATCH(1, (AsistenciaJetAdminConcatenada!$A:$A=EC$2)*(AsistenciaJetAdminConcatenada!$B:$B=EC$1), 0)), 1))),  0.5, 0))</f>
        <v>0</v>
      </c>
      <c r="ED22" s="47">
        <f t="array" ref="ED22">IF(AND(ISNUMBER(MATCH(ED$2, AsistenciaJetAdminConcatenada!$A:$A, 0)), ISNUMBER(MATCH(ED$1, AsistenciaJetAdminConcatenada!$B:$B, 0)), ISNUMBER(SEARCH($A22,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ISNUMBER(SEARCH($A22, INDEX(AsistenciaJetAdminConcatenada!$D:$D, MATCH(1, (AsistenciaJetAdminConcatenada!$A:$A=ED$2)*(AsistenciaJetAdminConcatenada!$B:$B=ED$1), 0)), 1))),  0.5, 0))</f>
        <v>0</v>
      </c>
      <c r="EE22" s="47">
        <f t="array" ref="EE22">IF(AND(ISNUMBER(MATCH(EE$2, AsistenciaJetAdminConcatenada!$A:$A, 0)), ISNUMBER(MATCH(EE$1, AsistenciaJetAdminConcatenada!$B:$B, 0)), ISNUMBER(SEARCH($A22,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ISNUMBER(SEARCH($A22, INDEX(AsistenciaJetAdminConcatenada!$D:$D, MATCH(1, (AsistenciaJetAdminConcatenada!$A:$A=EE$2)*(AsistenciaJetAdminConcatenada!$B:$B=EE$1), 0)), 1))),  0.5, 0))</f>
        <v>0</v>
      </c>
      <c r="EF22" s="47">
        <f t="array" ref="EF22">IF(AND(ISNUMBER(MATCH(EF$2, AsistenciaJetAdminConcatenada!$A:$A, 0)), ISNUMBER(MATCH(EF$1, AsistenciaJetAdminConcatenada!$B:$B, 0)), ISNUMBER(SEARCH($A22,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ISNUMBER(SEARCH($A22, INDEX(AsistenciaJetAdminConcatenada!$D:$D, MATCH(1, (AsistenciaJetAdminConcatenada!$A:$A=EF$2)*(AsistenciaJetAdminConcatenada!$B:$B=EF$1), 0)), 1))),  0.5, 0))</f>
        <v>0</v>
      </c>
      <c r="EG22" s="47">
        <f t="array" ref="EG22">IF(AND(ISNUMBER(MATCH(EG$2, AsistenciaJetAdminConcatenada!$A:$A, 0)), ISNUMBER(MATCH(EG$1, AsistenciaJetAdminConcatenada!$B:$B, 0)), ISNUMBER(SEARCH($A22,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ISNUMBER(SEARCH($A22, INDEX(AsistenciaJetAdminConcatenada!$D:$D, MATCH(1, (AsistenciaJetAdminConcatenada!$A:$A=EG$2)*(AsistenciaJetAdminConcatenada!$B:$B=EG$1), 0)), 1))),  0.5, 0))</f>
        <v>0</v>
      </c>
      <c r="EH22" s="47">
        <f t="array" ref="EH22">IF(AND(ISNUMBER(MATCH(EH$2, AsistenciaJetAdminConcatenada!$A:$A, 0)), ISNUMBER(MATCH(EH$1, AsistenciaJetAdminConcatenada!$B:$B, 0)), ISNUMBER(SEARCH($A22,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ISNUMBER(SEARCH($A22, INDEX(AsistenciaJetAdminConcatenada!$D:$D, MATCH(1, (AsistenciaJetAdminConcatenada!$A:$A=EH$2)*(AsistenciaJetAdminConcatenada!$B:$B=EH$1), 0)), 1))),  0.5, 0))</f>
        <v>0</v>
      </c>
      <c r="EI22" s="47">
        <f t="array" ref="EI22">IF(AND(ISNUMBER(MATCH(EI$2, AsistenciaJetAdminConcatenada!$A:$A, 0)), ISNUMBER(MATCH(EI$1, AsistenciaJetAdminConcatenada!$B:$B, 0)), ISNUMBER(SEARCH($A22,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ISNUMBER(SEARCH($A22, INDEX(AsistenciaJetAdminConcatenada!$D:$D, MATCH(1, (AsistenciaJetAdminConcatenada!$A:$A=EI$2)*(AsistenciaJetAdminConcatenada!$B:$B=EI$1), 0)), 1))),  0.5, 0))</f>
        <v>0</v>
      </c>
      <c r="EJ22" s="47">
        <f t="array" ref="EJ22">IF(AND(ISNUMBER(MATCH(EJ$2, AsistenciaJetAdminConcatenada!$A:$A, 0)), ISNUMBER(MATCH(EJ$1, AsistenciaJetAdminConcatenada!$B:$B, 0)), ISNUMBER(SEARCH($A22,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ISNUMBER(SEARCH($A22, INDEX(AsistenciaJetAdminConcatenada!$D:$D, MATCH(1, (AsistenciaJetAdminConcatenada!$A:$A=EJ$2)*(AsistenciaJetAdminConcatenada!$B:$B=EJ$1), 0)), 1))),  0.5, 0))</f>
        <v>0</v>
      </c>
      <c r="EK22" s="47">
        <f t="array" ref="EK22">IF(AND(ISNUMBER(MATCH(EK$2, AsistenciaJetAdminConcatenada!$A:$A, 0)), ISNUMBER(MATCH(EK$1, AsistenciaJetAdminConcatenada!$B:$B, 0)), ISNUMBER(SEARCH($A22,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ISNUMBER(SEARCH($A22, INDEX(AsistenciaJetAdminConcatenada!$D:$D, MATCH(1, (AsistenciaJetAdminConcatenada!$A:$A=EK$2)*(AsistenciaJetAdminConcatenada!$B:$B=EK$1), 0)), 1))),  0.5, 0))</f>
        <v>0</v>
      </c>
      <c r="EL22" s="47">
        <f t="array" ref="EL22">IF(AND(ISNUMBER(MATCH(EL$2, AsistenciaJetAdminConcatenada!$A:$A, 0)), ISNUMBER(MATCH(EL$1, AsistenciaJetAdminConcatenada!$B:$B, 0)), ISNUMBER(SEARCH($A22,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ISNUMBER(SEARCH($A22, INDEX(AsistenciaJetAdminConcatenada!$D:$D, MATCH(1, (AsistenciaJetAdminConcatenada!$A:$A=EL$2)*(AsistenciaJetAdminConcatenada!$B:$B=EL$1), 0)), 1))),  0.5, 0))</f>
        <v>0</v>
      </c>
      <c r="EM22" s="47">
        <f t="array" ref="EM22">IF(AND(ISNUMBER(MATCH(EM$2, AsistenciaJetAdminConcatenada!$A:$A, 0)), ISNUMBER(MATCH(EM$1, AsistenciaJetAdminConcatenada!$B:$B, 0)), ISNUMBER(SEARCH($A22,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ISNUMBER(SEARCH($A22, INDEX(AsistenciaJetAdminConcatenada!$D:$D, MATCH(1, (AsistenciaJetAdminConcatenada!$A:$A=EM$2)*(AsistenciaJetAdminConcatenada!$B:$B=EM$1), 0)), 1))),  0.5, 0))</f>
        <v>0</v>
      </c>
      <c r="EN22" s="47">
        <f t="array" ref="EN22">IF(AND(ISNUMBER(MATCH(EN$2, AsistenciaJetAdminConcatenada!$A:$A, 0)), ISNUMBER(MATCH(EN$1, AsistenciaJetAdminConcatenada!$B:$B, 0)), ISNUMBER(SEARCH($A22,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ISNUMBER(SEARCH($A22, INDEX(AsistenciaJetAdminConcatenada!$D:$D, MATCH(1, (AsistenciaJetAdminConcatenada!$A:$A=EN$2)*(AsistenciaJetAdminConcatenada!$B:$B=EN$1), 0)), 1))),  0.5, 0))</f>
        <v>0</v>
      </c>
      <c r="EO22" s="47">
        <f t="array" ref="EO22">IF(AND(ISNUMBER(MATCH(EO$2, AsistenciaJetAdminConcatenada!$A:$A, 0)), ISNUMBER(MATCH(EO$1, AsistenciaJetAdminConcatenada!$B:$B, 0)), ISNUMBER(SEARCH($A22,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ISNUMBER(SEARCH($A22, INDEX(AsistenciaJetAdminConcatenada!$D:$D, MATCH(1, (AsistenciaJetAdminConcatenada!$A:$A=EO$2)*(AsistenciaJetAdminConcatenada!$B:$B=EO$1), 0)), 1))),  0.5, 0))</f>
        <v>0</v>
      </c>
      <c r="EP22" s="47">
        <f t="array" ref="EP22">IF(AND(ISNUMBER(MATCH(EP$2, AsistenciaJetAdminConcatenada!$A:$A, 0)), ISNUMBER(MATCH(EP$1, AsistenciaJetAdminConcatenada!$B:$B, 0)), ISNUMBER(SEARCH($A22,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ISNUMBER(SEARCH($A22, INDEX(AsistenciaJetAdminConcatenada!$D:$D, MATCH(1, (AsistenciaJetAdminConcatenada!$A:$A=EP$2)*(AsistenciaJetAdminConcatenada!$B:$B=EP$1), 0)), 1))),  0.5, 0))</f>
        <v>0</v>
      </c>
      <c r="EQ22" s="47">
        <f t="array" ref="EQ22">IF(AND(ISNUMBER(MATCH(EQ$2, AsistenciaJetAdminConcatenada!$A:$A, 0)), ISNUMBER(MATCH(EQ$1, AsistenciaJetAdminConcatenada!$B:$B, 0)), ISNUMBER(SEARCH($A22,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ISNUMBER(SEARCH($A22, INDEX(AsistenciaJetAdminConcatenada!$D:$D, MATCH(1, (AsistenciaJetAdminConcatenada!$A:$A=EQ$2)*(AsistenciaJetAdminConcatenada!$B:$B=EQ$1), 0)), 1))),  0.5, 0))</f>
        <v>0</v>
      </c>
      <c r="ER22" s="47">
        <f t="array" ref="ER22">IF(AND(ISNUMBER(MATCH(ER$2, AsistenciaJetAdminConcatenada!$A:$A, 0)), ISNUMBER(MATCH(ER$1, AsistenciaJetAdminConcatenada!$B:$B, 0)), ISNUMBER(SEARCH($A22,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ISNUMBER(SEARCH($A22, INDEX(AsistenciaJetAdminConcatenada!$D:$D, MATCH(1, (AsistenciaJetAdminConcatenada!$A:$A=ER$2)*(AsistenciaJetAdminConcatenada!$B:$B=ER$1), 0)), 1))),  0.5, 0))</f>
        <v>0</v>
      </c>
      <c r="ES22" s="47">
        <f t="array" ref="ES22">IF(AND(ISNUMBER(MATCH(ES$2, AsistenciaJetAdminConcatenada!$A:$A, 0)), ISNUMBER(MATCH(ES$1, AsistenciaJetAdminConcatenada!$B:$B, 0)), ISNUMBER(SEARCH($A22,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ISNUMBER(SEARCH($A22, INDEX(AsistenciaJetAdminConcatenada!$D:$D, MATCH(1, (AsistenciaJetAdminConcatenada!$A:$A=ES$2)*(AsistenciaJetAdminConcatenada!$B:$B=ES$1), 0)), 1))),  0.5, 0))</f>
        <v>0</v>
      </c>
      <c r="ET22" s="47">
        <f t="array" ref="ET22">IF(AND(ISNUMBER(MATCH(ET$2, AsistenciaJetAdminConcatenada!$A:$A, 0)), ISNUMBER(MATCH(ET$1, AsistenciaJetAdminConcatenada!$B:$B, 0)), ISNUMBER(SEARCH($A22,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ISNUMBER(SEARCH($A22, INDEX(AsistenciaJetAdminConcatenada!$D:$D, MATCH(1, (AsistenciaJetAdminConcatenada!$A:$A=ET$2)*(AsistenciaJetAdminConcatenada!$B:$B=ET$1), 0)), 1))),  0.5, 0))</f>
        <v>0</v>
      </c>
      <c r="EU22" s="47">
        <f t="array" ref="EU22">IF(AND(ISNUMBER(MATCH(EU$2, AsistenciaJetAdminConcatenada!$A:$A, 0)), ISNUMBER(MATCH(EU$1, AsistenciaJetAdminConcatenada!$B:$B, 0)), ISNUMBER(SEARCH($A22,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ISNUMBER(SEARCH($A22, INDEX(AsistenciaJetAdminConcatenada!$D:$D, MATCH(1, (AsistenciaJetAdminConcatenada!$A:$A=EU$2)*(AsistenciaJetAdminConcatenada!$B:$B=EU$1), 0)), 1))),  0.5, 0))</f>
        <v>0</v>
      </c>
      <c r="EV22" s="47">
        <f t="array" ref="EV22">IF(AND(ISNUMBER(MATCH(EV$2, AsistenciaJetAdminConcatenada!$A:$A, 0)), ISNUMBER(MATCH(EV$1, AsistenciaJetAdminConcatenada!$B:$B, 0)), ISNUMBER(SEARCH($A22,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ISNUMBER(SEARCH($A22, INDEX(AsistenciaJetAdminConcatenada!$D:$D, MATCH(1, (AsistenciaJetAdminConcatenada!$A:$A=EV$2)*(AsistenciaJetAdminConcatenada!$B:$B=EV$1), 0)), 1))),  0.5, 0))</f>
        <v>0</v>
      </c>
      <c r="EW22" s="47">
        <f t="array" ref="EW22">IF(AND(ISNUMBER(MATCH(EW$2, AsistenciaJetAdminConcatenada!$A:$A, 0)), ISNUMBER(MATCH(EW$1, AsistenciaJetAdminConcatenada!$B:$B, 0)), ISNUMBER(SEARCH($A22,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ISNUMBER(SEARCH($A22, INDEX(AsistenciaJetAdminConcatenada!$D:$D, MATCH(1, (AsistenciaJetAdminConcatenada!$A:$A=EW$2)*(AsistenciaJetAdminConcatenada!$B:$B=EW$1), 0)), 1))),  0.5, 0))</f>
        <v>0</v>
      </c>
      <c r="EX22" s="47">
        <f t="array" ref="EX22">IF(AND(ISNUMBER(MATCH(EX$2, AsistenciaJetAdminConcatenada!$A:$A, 0)), ISNUMBER(MATCH(EX$1, AsistenciaJetAdminConcatenada!$B:$B, 0)), ISNUMBER(SEARCH($A22,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ISNUMBER(SEARCH($A22, INDEX(AsistenciaJetAdminConcatenada!$D:$D, MATCH(1, (AsistenciaJetAdminConcatenada!$A:$A=EX$2)*(AsistenciaJetAdminConcatenada!$B:$B=EX$1), 0)), 1))),  0.5, 0))</f>
        <v>0</v>
      </c>
      <c r="EY22" s="47">
        <f t="array" ref="EY22">IF(AND(ISNUMBER(MATCH(EY$2, AsistenciaJetAdminConcatenada!$A:$A, 0)), ISNUMBER(MATCH(EY$1, AsistenciaJetAdminConcatenada!$B:$B, 0)), ISNUMBER(SEARCH($A22,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ISNUMBER(SEARCH($A22, INDEX(AsistenciaJetAdminConcatenada!$D:$D, MATCH(1, (AsistenciaJetAdminConcatenada!$A:$A=EY$2)*(AsistenciaJetAdminConcatenada!$B:$B=EY$1), 0)), 1))),  0.5, 0))</f>
        <v>0</v>
      </c>
      <c r="EZ22" s="47">
        <f t="array" ref="EZ22">IF(AND(ISNUMBER(MATCH(EZ$2, AsistenciaJetAdminConcatenada!$A:$A, 0)), ISNUMBER(MATCH(EZ$1, AsistenciaJetAdminConcatenada!$B:$B, 0)), ISNUMBER(SEARCH($A22,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ISNUMBER(SEARCH($A22, INDEX(AsistenciaJetAdminConcatenada!$D:$D, MATCH(1, (AsistenciaJetAdminConcatenada!$A:$A=EZ$2)*(AsistenciaJetAdminConcatenada!$B:$B=EZ$1), 0)), 1))),  0.5, 0))</f>
        <v>0</v>
      </c>
      <c r="FA22" s="47">
        <f t="array" ref="FA22">IF(AND(ISNUMBER(MATCH(FA$2, AsistenciaJetAdminConcatenada!$A:$A, 0)), ISNUMBER(MATCH(FA$1, AsistenciaJetAdminConcatenada!$B:$B, 0)), ISNUMBER(SEARCH($A22,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ISNUMBER(SEARCH($A22, INDEX(AsistenciaJetAdminConcatenada!$D:$D, MATCH(1, (AsistenciaJetAdminConcatenada!$A:$A=FA$2)*(AsistenciaJetAdminConcatenada!$B:$B=FA$1), 0)), 1))),  0.5, 0))</f>
        <v>0</v>
      </c>
      <c r="FB22" s="47">
        <f t="array" ref="FB22">IF(AND(ISNUMBER(MATCH(FB$2, AsistenciaJetAdminConcatenada!$A:$A, 0)), ISNUMBER(MATCH(FB$1, AsistenciaJetAdminConcatenada!$B:$B, 0)), ISNUMBER(SEARCH($A22,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ISNUMBER(SEARCH($A22, INDEX(AsistenciaJetAdminConcatenada!$D:$D, MATCH(1, (AsistenciaJetAdminConcatenada!$A:$A=FB$2)*(AsistenciaJetAdminConcatenada!$B:$B=FB$1), 0)), 1))),  0.5, 0))</f>
        <v>0</v>
      </c>
      <c r="FC22" s="47">
        <f t="array" ref="FC22">IF(AND(ISNUMBER(MATCH(FC$2, AsistenciaJetAdminConcatenada!$A:$A, 0)), ISNUMBER(MATCH(FC$1, AsistenciaJetAdminConcatenada!$B:$B, 0)), ISNUMBER(SEARCH($A22,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ISNUMBER(SEARCH($A22, INDEX(AsistenciaJetAdminConcatenada!$D:$D, MATCH(1, (AsistenciaJetAdminConcatenada!$A:$A=FC$2)*(AsistenciaJetAdminConcatenada!$B:$B=FC$1), 0)), 1))),  0.5, 0))</f>
        <v>0</v>
      </c>
      <c r="FD22" s="47">
        <f t="array" ref="FD22">IF(AND(ISNUMBER(MATCH(FD$2, AsistenciaJetAdminConcatenada!$A:$A, 0)), ISNUMBER(MATCH(FD$1, AsistenciaJetAdminConcatenada!$B:$B, 0)), ISNUMBER(SEARCH($A22,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ISNUMBER(SEARCH($A22, INDEX(AsistenciaJetAdminConcatenada!$D:$D, MATCH(1, (AsistenciaJetAdminConcatenada!$A:$A=FD$2)*(AsistenciaJetAdminConcatenada!$B:$B=FD$1), 0)), 1))),  0.5, 0))</f>
        <v>0</v>
      </c>
      <c r="FE22" s="47">
        <f t="array" ref="FE22">IF(AND(ISNUMBER(MATCH(FE$2, AsistenciaJetAdminConcatenada!$A:$A, 0)), ISNUMBER(MATCH(FE$1, AsistenciaJetAdminConcatenada!$B:$B, 0)), ISNUMBER(SEARCH($A22,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ISNUMBER(SEARCH($A22, INDEX(AsistenciaJetAdminConcatenada!$D:$D, MATCH(1, (AsistenciaJetAdminConcatenada!$A:$A=FE$2)*(AsistenciaJetAdminConcatenada!$B:$B=FE$1), 0)), 1))),  0.5, 0))</f>
        <v>0</v>
      </c>
      <c r="FF22" s="47">
        <f t="array" ref="FF22">IF(AND(ISNUMBER(MATCH(FF$2, AsistenciaJetAdminConcatenada!$A:$A, 0)), ISNUMBER(MATCH(FF$1, AsistenciaJetAdminConcatenada!$B:$B, 0)), ISNUMBER(SEARCH($A22,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ISNUMBER(SEARCH($A22, INDEX(AsistenciaJetAdminConcatenada!$D:$D, MATCH(1, (AsistenciaJetAdminConcatenada!$A:$A=FF$2)*(AsistenciaJetAdminConcatenada!$B:$B=FF$1), 0)), 1))),  0.5, 0))</f>
        <v>0</v>
      </c>
      <c r="FG22" s="47">
        <f t="array" ref="FG22">IF(AND(ISNUMBER(MATCH(FG$2, AsistenciaJetAdminConcatenada!$A:$A, 0)), ISNUMBER(MATCH(FG$1, AsistenciaJetAdminConcatenada!$B:$B, 0)), ISNUMBER(SEARCH($A22,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ISNUMBER(SEARCH($A22, INDEX(AsistenciaJetAdminConcatenada!$D:$D, MATCH(1, (AsistenciaJetAdminConcatenada!$A:$A=FG$2)*(AsistenciaJetAdminConcatenada!$B:$B=FG$1), 0)), 1))),  0.5, 0))</f>
        <v>0</v>
      </c>
      <c r="FH22" s="47">
        <f t="array" ref="FH22">IF(AND(ISNUMBER(MATCH(FH$2, AsistenciaJetAdminConcatenada!$A:$A, 0)), ISNUMBER(MATCH(FH$1, AsistenciaJetAdminConcatenada!$B:$B, 0)), ISNUMBER(SEARCH($A22,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ISNUMBER(SEARCH($A22, INDEX(AsistenciaJetAdminConcatenada!$D:$D, MATCH(1, (AsistenciaJetAdminConcatenada!$A:$A=FH$2)*(AsistenciaJetAdminConcatenada!$B:$B=FH$1), 0)), 1))),  0.5, 0))</f>
        <v>0</v>
      </c>
      <c r="FI22" s="47">
        <f t="array" ref="FI22">IF(AND(ISNUMBER(MATCH(FI$2, AsistenciaJetAdminConcatenada!$A:$A, 0)), ISNUMBER(MATCH(FI$1, AsistenciaJetAdminConcatenada!$B:$B, 0)), ISNUMBER(SEARCH($A22,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ISNUMBER(SEARCH($A22, INDEX(AsistenciaJetAdminConcatenada!$D:$D, MATCH(1, (AsistenciaJetAdminConcatenada!$A:$A=FI$2)*(AsistenciaJetAdminConcatenada!$B:$B=FI$1), 0)), 1))),  0.5, 0))</f>
        <v>0</v>
      </c>
      <c r="FJ22" s="47">
        <f t="array" ref="FJ22">IF(AND(ISNUMBER(MATCH(FJ$2, AsistenciaJetAdminConcatenada!$A:$A, 0)), ISNUMBER(MATCH(FJ$1, AsistenciaJetAdminConcatenada!$B:$B, 0)), ISNUMBER(SEARCH($A22,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ISNUMBER(SEARCH($A22, INDEX(AsistenciaJetAdminConcatenada!$D:$D, MATCH(1, (AsistenciaJetAdminConcatenada!$A:$A=FJ$2)*(AsistenciaJetAdminConcatenada!$B:$B=FJ$1), 0)), 1))),  0.5, 0))</f>
        <v>0</v>
      </c>
      <c r="FK22" s="47">
        <f t="array" ref="FK22">IF(AND(ISNUMBER(MATCH(FK$2, AsistenciaJetAdminConcatenada!$A:$A, 0)), ISNUMBER(MATCH(FK$1, AsistenciaJetAdminConcatenada!$B:$B, 0)), ISNUMBER(SEARCH($A22,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ISNUMBER(SEARCH($A22, INDEX(AsistenciaJetAdminConcatenada!$D:$D, MATCH(1, (AsistenciaJetAdminConcatenada!$A:$A=FK$2)*(AsistenciaJetAdminConcatenada!$B:$B=FK$1), 0)), 1))),  0.5, 0))</f>
        <v>0</v>
      </c>
      <c r="FL22" s="47">
        <f t="array" ref="FL22">IF(AND(ISNUMBER(MATCH(FL$2, AsistenciaJetAdminConcatenada!$A:$A, 0)), ISNUMBER(MATCH(FL$1, AsistenciaJetAdminConcatenada!$B:$B, 0)), ISNUMBER(SEARCH($A22,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ISNUMBER(SEARCH($A22, INDEX(AsistenciaJetAdminConcatenada!$D:$D, MATCH(1, (AsistenciaJetAdminConcatenada!$A:$A=FL$2)*(AsistenciaJetAdminConcatenada!$B:$B=FL$1), 0)), 1))),  0.5, 0))</f>
        <v>0</v>
      </c>
      <c r="FM22" s="47">
        <f t="array" ref="FM22">IF(AND(ISNUMBER(MATCH(FM$2, AsistenciaJetAdminConcatenada!$A:$A, 0)), ISNUMBER(MATCH(FM$1, AsistenciaJetAdminConcatenada!$B:$B, 0)), ISNUMBER(SEARCH($A22,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ISNUMBER(SEARCH($A22, INDEX(AsistenciaJetAdminConcatenada!$D:$D, MATCH(1, (AsistenciaJetAdminConcatenada!$A:$A=FM$2)*(AsistenciaJetAdminConcatenada!$B:$B=FM$1), 0)), 1))),  0.5, 0))</f>
        <v>0</v>
      </c>
      <c r="FN22" s="47">
        <f t="array" ref="FN22">IF(AND(ISNUMBER(MATCH(FN$2, AsistenciaJetAdminConcatenada!$A:$A, 0)), ISNUMBER(MATCH(FN$1, AsistenciaJetAdminConcatenada!$B:$B, 0)), ISNUMBER(SEARCH($A22,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ISNUMBER(SEARCH($A22, INDEX(AsistenciaJetAdminConcatenada!$D:$D, MATCH(1, (AsistenciaJetAdminConcatenada!$A:$A=FN$2)*(AsistenciaJetAdminConcatenada!$B:$B=FN$1), 0)), 1))),  0.5, 0))</f>
        <v>0</v>
      </c>
      <c r="FO22" s="47">
        <f t="array" ref="FO22">IF(AND(ISNUMBER(MATCH(FO$2, AsistenciaJetAdminConcatenada!$A:$A, 0)), ISNUMBER(MATCH(FO$1, AsistenciaJetAdminConcatenada!$B:$B, 0)), ISNUMBER(SEARCH($A22,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ISNUMBER(SEARCH($A22, INDEX(AsistenciaJetAdminConcatenada!$D:$D, MATCH(1, (AsistenciaJetAdminConcatenada!$A:$A=FO$2)*(AsistenciaJetAdminConcatenada!$B:$B=FO$1), 0)), 1))),  0.5, 0))</f>
        <v>0</v>
      </c>
      <c r="FP22" s="47">
        <f t="array" ref="FP22">IF(AND(ISNUMBER(MATCH(FP$2, AsistenciaJetAdminConcatenada!$A:$A, 0)), ISNUMBER(MATCH(FP$1, AsistenciaJetAdminConcatenada!$B:$B, 0)), ISNUMBER(SEARCH($A22,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ISNUMBER(SEARCH($A22, INDEX(AsistenciaJetAdminConcatenada!$D:$D, MATCH(1, (AsistenciaJetAdminConcatenada!$A:$A=FP$2)*(AsistenciaJetAdminConcatenada!$B:$B=FP$1), 0)), 1))),  0.5, 0))</f>
        <v>0</v>
      </c>
      <c r="FQ22" s="47">
        <f t="array" ref="FQ22">IF(AND(ISNUMBER(MATCH(FQ$2, AsistenciaJetAdminConcatenada!$A:$A, 0)), ISNUMBER(MATCH(FQ$1, AsistenciaJetAdminConcatenada!$B:$B, 0)), ISNUMBER(SEARCH($A22,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ISNUMBER(SEARCH($A22, INDEX(AsistenciaJetAdminConcatenada!$D:$D, MATCH(1, (AsistenciaJetAdminConcatenada!$A:$A=FQ$2)*(AsistenciaJetAdminConcatenada!$B:$B=FQ$1), 0)), 1))),  0.5, 0))</f>
        <v>0</v>
      </c>
      <c r="FR22" s="47">
        <f t="array" ref="FR22">IF(AND(ISNUMBER(MATCH(FR$2, AsistenciaJetAdminConcatenada!$A:$A, 0)), ISNUMBER(MATCH(FR$1, AsistenciaJetAdminConcatenada!$B:$B, 0)), ISNUMBER(SEARCH($A22,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ISNUMBER(SEARCH($A22, INDEX(AsistenciaJetAdminConcatenada!$D:$D, MATCH(1, (AsistenciaJetAdminConcatenada!$A:$A=FR$2)*(AsistenciaJetAdminConcatenada!$B:$B=FR$1), 0)), 1))),  0.5, 0))</f>
        <v>0</v>
      </c>
      <c r="FS22" s="47">
        <f t="array" ref="FS22">IF(AND(ISNUMBER(MATCH(FS$2, AsistenciaJetAdminConcatenada!$A:$A, 0)), ISNUMBER(MATCH(FS$1, AsistenciaJetAdminConcatenada!$B:$B, 0)), ISNUMBER(SEARCH($A22,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ISNUMBER(SEARCH($A22, INDEX(AsistenciaJetAdminConcatenada!$D:$D, MATCH(1, (AsistenciaJetAdminConcatenada!$A:$A=FS$2)*(AsistenciaJetAdminConcatenada!$B:$B=FS$1), 0)), 1))),  0.5, 0))</f>
        <v>0</v>
      </c>
      <c r="FT22" s="47">
        <f t="array" ref="FT22">IF(AND(ISNUMBER(MATCH(FT$2, AsistenciaJetAdminConcatenada!$A:$A, 0)), ISNUMBER(MATCH(FT$1, AsistenciaJetAdminConcatenada!$B:$B, 0)), ISNUMBER(SEARCH($A22,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ISNUMBER(SEARCH($A22, INDEX(AsistenciaJetAdminConcatenada!$D:$D, MATCH(1, (AsistenciaJetAdminConcatenada!$A:$A=FT$2)*(AsistenciaJetAdminConcatenada!$B:$B=FT$1), 0)), 1))),  0.5, 0))</f>
        <v>0</v>
      </c>
      <c r="FU22" s="47">
        <f t="array" ref="FU22">IF(AND(ISNUMBER(MATCH(FU$2, AsistenciaJetAdminConcatenada!$A:$A, 0)), ISNUMBER(MATCH(FU$1, AsistenciaJetAdminConcatenada!$B:$B, 0)), ISNUMBER(SEARCH($A22,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ISNUMBER(SEARCH($A22, INDEX(AsistenciaJetAdminConcatenada!$D:$D, MATCH(1, (AsistenciaJetAdminConcatenada!$A:$A=FU$2)*(AsistenciaJetAdminConcatenada!$B:$B=FU$1), 0)), 1))),  0.5, 0))</f>
        <v>0</v>
      </c>
      <c r="FV22" s="47">
        <f t="array" ref="FV22">IF(AND(ISNUMBER(MATCH(FV$2, AsistenciaJetAdminConcatenada!$A:$A, 0)), ISNUMBER(MATCH(FV$1, AsistenciaJetAdminConcatenada!$B:$B, 0)), ISNUMBER(SEARCH($A22,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ISNUMBER(SEARCH($A22, INDEX(AsistenciaJetAdminConcatenada!$D:$D, MATCH(1, (AsistenciaJetAdminConcatenada!$A:$A=FV$2)*(AsistenciaJetAdminConcatenada!$B:$B=FV$1), 0)), 1))),  0.5, 0))</f>
        <v>0</v>
      </c>
      <c r="FW22" s="47">
        <f t="array" ref="FW22">IF(AND(ISNUMBER(MATCH(FW$2, AsistenciaJetAdminConcatenada!$A:$A, 0)), ISNUMBER(MATCH(FW$1, AsistenciaJetAdminConcatenada!$B:$B, 0)), ISNUMBER(SEARCH($A22,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ISNUMBER(SEARCH($A22, INDEX(AsistenciaJetAdminConcatenada!$D:$D, MATCH(1, (AsistenciaJetAdminConcatenada!$A:$A=FW$2)*(AsistenciaJetAdminConcatenada!$B:$B=FW$1), 0)), 1))),  0.5, 0))</f>
        <v>0</v>
      </c>
      <c r="FX22" s="47">
        <f t="array" ref="FX22">IF(AND(ISNUMBER(MATCH(FX$2, AsistenciaJetAdminConcatenada!$A:$A, 0)), ISNUMBER(MATCH(FX$1, AsistenciaJetAdminConcatenada!$B:$B, 0)), ISNUMBER(SEARCH($A22,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ISNUMBER(SEARCH($A22, INDEX(AsistenciaJetAdminConcatenada!$D:$D, MATCH(1, (AsistenciaJetAdminConcatenada!$A:$A=FX$2)*(AsistenciaJetAdminConcatenada!$B:$B=FX$1), 0)), 1))),  0.5, 0))</f>
        <v>0</v>
      </c>
      <c r="FY22" s="47">
        <f t="array" ref="FY22">IF(AND(ISNUMBER(MATCH(FY$2, AsistenciaJetAdminConcatenada!$A:$A, 0)), ISNUMBER(MATCH(FY$1, AsistenciaJetAdminConcatenada!$B:$B, 0)), ISNUMBER(SEARCH($A22,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ISNUMBER(SEARCH($A22, INDEX(AsistenciaJetAdminConcatenada!$D:$D, MATCH(1, (AsistenciaJetAdminConcatenada!$A:$A=FY$2)*(AsistenciaJetAdminConcatenada!$B:$B=FY$1), 0)), 1))),  0.5, 0))</f>
        <v>0</v>
      </c>
      <c r="FZ22" s="47">
        <f t="array" ref="FZ22">IF(AND(ISNUMBER(MATCH(FZ$2, AsistenciaJetAdminConcatenada!$A:$A, 0)), ISNUMBER(MATCH(FZ$1, AsistenciaJetAdminConcatenada!$B:$B, 0)), ISNUMBER(SEARCH($A22,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ISNUMBER(SEARCH($A22, INDEX(AsistenciaJetAdminConcatenada!$D:$D, MATCH(1, (AsistenciaJetAdminConcatenada!$A:$A=FZ$2)*(AsistenciaJetAdminConcatenada!$B:$B=FZ$1), 0)), 1))),  0.5, 0))</f>
        <v>0</v>
      </c>
      <c r="GA22" s="47">
        <f t="array" ref="GA22">IF(AND(ISNUMBER(MATCH(GA$2, AsistenciaJetAdminConcatenada!$A:$A, 0)), ISNUMBER(MATCH(GA$1, AsistenciaJetAdminConcatenada!$B:$B, 0)), ISNUMBER(SEARCH($A22,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ISNUMBER(SEARCH($A22, INDEX(AsistenciaJetAdminConcatenada!$D:$D, MATCH(1, (AsistenciaJetAdminConcatenada!$A:$A=GA$2)*(AsistenciaJetAdminConcatenada!$B:$B=GA$1), 0)), 1))),  0.5, 0))</f>
        <v>0</v>
      </c>
      <c r="GB22" s="47">
        <f t="array" ref="GB22">IF(AND(ISNUMBER(MATCH(GB$2, AsistenciaJetAdminConcatenada!$A:$A, 0)), ISNUMBER(MATCH(GB$1, AsistenciaJetAdminConcatenada!$B:$B, 0)), ISNUMBER(SEARCH($A22,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ISNUMBER(SEARCH($A22, INDEX(AsistenciaJetAdminConcatenada!$D:$D, MATCH(1, (AsistenciaJetAdminConcatenada!$A:$A=GB$2)*(AsistenciaJetAdminConcatenada!$B:$B=GB$1), 0)), 1))),  0.5, 0))</f>
        <v>0</v>
      </c>
      <c r="GC22" s="47">
        <f t="array" ref="GC22">IF(AND(ISNUMBER(MATCH(GC$2, AsistenciaJetAdminConcatenada!$A:$A, 0)), ISNUMBER(MATCH(GC$1, AsistenciaJetAdminConcatenada!$B:$B, 0)), ISNUMBER(SEARCH($A22,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ISNUMBER(SEARCH($A22, INDEX(AsistenciaJetAdminConcatenada!$D:$D, MATCH(1, (AsistenciaJetAdminConcatenada!$A:$A=GC$2)*(AsistenciaJetAdminConcatenada!$B:$B=GC$1), 0)), 1))),  0.5, 0))</f>
        <v>0</v>
      </c>
      <c r="GD22" s="47">
        <f t="array" ref="GD22">IF(AND(ISNUMBER(MATCH(GD$2, AsistenciaJetAdminConcatenada!$A:$A, 0)), ISNUMBER(MATCH(GD$1, AsistenciaJetAdminConcatenada!$B:$B, 0)), ISNUMBER(SEARCH($A22,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ISNUMBER(SEARCH($A22, INDEX(AsistenciaJetAdminConcatenada!$D:$D, MATCH(1, (AsistenciaJetAdminConcatenada!$A:$A=GD$2)*(AsistenciaJetAdminConcatenada!$B:$B=GD$1), 0)), 1))),  0.5, 0))</f>
        <v>0</v>
      </c>
      <c r="GE22" s="47">
        <f t="array" ref="GE22">IF(AND(ISNUMBER(MATCH(GE$2, AsistenciaJetAdminConcatenada!$A:$A, 0)), ISNUMBER(MATCH(GE$1, AsistenciaJetAdminConcatenada!$B:$B, 0)), ISNUMBER(SEARCH($A22,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ISNUMBER(SEARCH($A22, INDEX(AsistenciaJetAdminConcatenada!$D:$D, MATCH(1, (AsistenciaJetAdminConcatenada!$A:$A=GE$2)*(AsistenciaJetAdminConcatenada!$B:$B=GE$1), 0)), 1))),  0.5, 0))</f>
        <v>0</v>
      </c>
      <c r="GF22" s="47">
        <f t="array" ref="GF22">IF(AND(ISNUMBER(MATCH(GF$2, AsistenciaJetAdminConcatenada!$A:$A, 0)), ISNUMBER(MATCH(GF$1, AsistenciaJetAdminConcatenada!$B:$B, 0)), ISNUMBER(SEARCH($A22,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ISNUMBER(SEARCH($A22, INDEX(AsistenciaJetAdminConcatenada!$D:$D, MATCH(1, (AsistenciaJetAdminConcatenada!$A:$A=GF$2)*(AsistenciaJetAdminConcatenada!$B:$B=GF$1), 0)), 1))),  0.5, 0))</f>
        <v>0</v>
      </c>
      <c r="GG22" s="47">
        <f t="array" ref="GG22">IF(AND(ISNUMBER(MATCH(GG$2, AsistenciaJetAdminConcatenada!$A:$A, 0)), ISNUMBER(MATCH(GG$1, AsistenciaJetAdminConcatenada!$B:$B, 0)), ISNUMBER(SEARCH($A22,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ISNUMBER(SEARCH($A22, INDEX(AsistenciaJetAdminConcatenada!$D:$D, MATCH(1, (AsistenciaJetAdminConcatenada!$A:$A=GG$2)*(AsistenciaJetAdminConcatenada!$B:$B=GG$1), 0)), 1))),  0.5, 0))</f>
        <v>0</v>
      </c>
      <c r="GH22" s="47">
        <f t="array" ref="GH22">IF(AND(ISNUMBER(MATCH(GH$2, AsistenciaJetAdminConcatenada!$A:$A, 0)), ISNUMBER(MATCH(GH$1, AsistenciaJetAdminConcatenada!$B:$B, 0)), ISNUMBER(SEARCH($A22,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ISNUMBER(SEARCH($A22, INDEX(AsistenciaJetAdminConcatenada!$D:$D, MATCH(1, (AsistenciaJetAdminConcatenada!$A:$A=GH$2)*(AsistenciaJetAdminConcatenada!$B:$B=GH$1), 0)), 1))),  0.5, 0))</f>
        <v>0</v>
      </c>
      <c r="GI22" s="47">
        <f t="array" ref="GI22">IF(AND(ISNUMBER(MATCH(GI$2, AsistenciaJetAdminConcatenada!$A:$A, 0)), ISNUMBER(MATCH(GI$1, AsistenciaJetAdminConcatenada!$B:$B, 0)), ISNUMBER(SEARCH($A22,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ISNUMBER(SEARCH($A22, INDEX(AsistenciaJetAdminConcatenada!$D:$D, MATCH(1, (AsistenciaJetAdminConcatenada!$A:$A=GI$2)*(AsistenciaJetAdminConcatenada!$B:$B=GI$1), 0)), 1))),  0.5, 0))</f>
        <v>0</v>
      </c>
      <c r="GJ22" s="47">
        <f t="array" ref="GJ22">IF(AND(ISNUMBER(MATCH(GJ$2, AsistenciaJetAdminConcatenada!$A:$A, 0)), ISNUMBER(MATCH(GJ$1, AsistenciaJetAdminConcatenada!$B:$B, 0)), ISNUMBER(SEARCH($A22,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ISNUMBER(SEARCH($A22, INDEX(AsistenciaJetAdminConcatenada!$D:$D, MATCH(1, (AsistenciaJetAdminConcatenada!$A:$A=GJ$2)*(AsistenciaJetAdminConcatenada!$B:$B=GJ$1), 0)), 1))),  0.5, 0))</f>
        <v>0</v>
      </c>
      <c r="GK22" s="47">
        <f t="array" ref="GK22">IF(AND(ISNUMBER(MATCH(GK$2, AsistenciaJetAdminConcatenada!$A:$A, 0)), ISNUMBER(MATCH(GK$1, AsistenciaJetAdminConcatenada!$B:$B, 0)), ISNUMBER(SEARCH($A22,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ISNUMBER(SEARCH($A22, INDEX(AsistenciaJetAdminConcatenada!$D:$D, MATCH(1, (AsistenciaJetAdminConcatenada!$A:$A=GK$2)*(AsistenciaJetAdminConcatenada!$B:$B=GK$1), 0)), 1))),  0.5, 0))</f>
        <v>0</v>
      </c>
      <c r="GL22" s="47">
        <f t="array" ref="GL22">IF(AND(ISNUMBER(MATCH(GL$2, AsistenciaJetAdminConcatenada!$A:$A, 0)), ISNUMBER(MATCH(GL$1, AsistenciaJetAdminConcatenada!$B:$B, 0)), ISNUMBER(SEARCH($A22,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ISNUMBER(SEARCH($A22, INDEX(AsistenciaJetAdminConcatenada!$D:$D, MATCH(1, (AsistenciaJetAdminConcatenada!$A:$A=GL$2)*(AsistenciaJetAdminConcatenada!$B:$B=GL$1), 0)), 1))),  0.5, 0))</f>
        <v>0</v>
      </c>
      <c r="GM22" s="47">
        <f t="array" ref="GM22">IF(AND(ISNUMBER(MATCH(GM$2, AsistenciaJetAdminConcatenada!$A:$A, 0)), ISNUMBER(MATCH(GM$1, AsistenciaJetAdminConcatenada!$B:$B, 0)), ISNUMBER(SEARCH($A22,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ISNUMBER(SEARCH($A22, INDEX(AsistenciaJetAdminConcatenada!$D:$D, MATCH(1, (AsistenciaJetAdminConcatenada!$A:$A=GM$2)*(AsistenciaJetAdminConcatenada!$B:$B=GM$1), 0)), 1))),  0.5, 0))</f>
        <v>0</v>
      </c>
      <c r="GN22" s="47">
        <f t="array" ref="GN22">IF(AND(ISNUMBER(MATCH(GN$2, AsistenciaJetAdminConcatenada!$A:$A, 0)), ISNUMBER(MATCH(GN$1, AsistenciaJetAdminConcatenada!$B:$B, 0)), ISNUMBER(SEARCH($A22,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ISNUMBER(SEARCH($A22, INDEX(AsistenciaJetAdminConcatenada!$D:$D, MATCH(1, (AsistenciaJetAdminConcatenada!$A:$A=GN$2)*(AsistenciaJetAdminConcatenada!$B:$B=GN$1), 0)), 1))),  0.5, 0))</f>
        <v>0</v>
      </c>
      <c r="GO22" s="47">
        <f t="array" ref="GO22">IF(AND(ISNUMBER(MATCH(GO$2, AsistenciaJetAdminConcatenada!$A:$A, 0)), ISNUMBER(MATCH(GO$1, AsistenciaJetAdminConcatenada!$B:$B, 0)), ISNUMBER(SEARCH($A22,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ISNUMBER(SEARCH($A22, INDEX(AsistenciaJetAdminConcatenada!$D:$D, MATCH(1, (AsistenciaJetAdminConcatenada!$A:$A=GO$2)*(AsistenciaJetAdminConcatenada!$B:$B=GO$1), 0)), 1))),  0.5, 0))</f>
        <v>0</v>
      </c>
      <c r="GP22" s="47">
        <f t="array" ref="GP22">IF(AND(ISNUMBER(MATCH(GP$2, AsistenciaJetAdminConcatenada!$A:$A, 0)), ISNUMBER(MATCH(GP$1, AsistenciaJetAdminConcatenada!$B:$B, 0)), ISNUMBER(SEARCH($A22,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ISNUMBER(SEARCH($A22, INDEX(AsistenciaJetAdminConcatenada!$D:$D, MATCH(1, (AsistenciaJetAdminConcatenada!$A:$A=GP$2)*(AsistenciaJetAdminConcatenada!$B:$B=GP$1), 0)), 1))),  0.5, 0))</f>
        <v>0</v>
      </c>
      <c r="GQ22" s="47">
        <f t="array" ref="GQ22">IF(AND(ISNUMBER(MATCH(GQ$2, AsistenciaJetAdminConcatenada!$A:$A, 0)), ISNUMBER(MATCH(GQ$1, AsistenciaJetAdminConcatenada!$B:$B, 0)), ISNUMBER(SEARCH($A22,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ISNUMBER(SEARCH($A22, INDEX(AsistenciaJetAdminConcatenada!$D:$D, MATCH(1, (AsistenciaJetAdminConcatenada!$A:$A=GQ$2)*(AsistenciaJetAdminConcatenada!$B:$B=GQ$1), 0)), 1))),  0.5, 0))</f>
        <v>0</v>
      </c>
      <c r="GR22" s="47">
        <f t="array" ref="GR22">IF(AND(ISNUMBER(MATCH(GR$2, AsistenciaJetAdminConcatenada!$A:$A, 0)), ISNUMBER(MATCH(GR$1, AsistenciaJetAdminConcatenada!$B:$B, 0)), ISNUMBER(SEARCH($A22,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ISNUMBER(SEARCH($A22, INDEX(AsistenciaJetAdminConcatenada!$D:$D, MATCH(1, (AsistenciaJetAdminConcatenada!$A:$A=GR$2)*(AsistenciaJetAdminConcatenada!$B:$B=GR$1), 0)), 1))),  0.5, 0))</f>
        <v>0</v>
      </c>
      <c r="GS22" s="47">
        <f t="array" ref="GS22">IF(AND(ISNUMBER(MATCH(GS$2, AsistenciaJetAdminConcatenada!$A:$A, 0)), ISNUMBER(MATCH(GS$1, AsistenciaJetAdminConcatenada!$B:$B, 0)), ISNUMBER(SEARCH($A22,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ISNUMBER(SEARCH($A22, INDEX(AsistenciaJetAdminConcatenada!$D:$D, MATCH(1, (AsistenciaJetAdminConcatenada!$A:$A=GS$2)*(AsistenciaJetAdminConcatenada!$B:$B=GS$1), 0)), 1))),  0.5, 0))</f>
        <v>0</v>
      </c>
      <c r="GT22" s="47">
        <f t="array" ref="GT22">IF(AND(ISNUMBER(MATCH(GT$2, AsistenciaJetAdminConcatenada!$A:$A, 0)), ISNUMBER(MATCH(GT$1, AsistenciaJetAdminConcatenada!$B:$B, 0)), ISNUMBER(SEARCH($A22,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ISNUMBER(SEARCH($A22, INDEX(AsistenciaJetAdminConcatenada!$D:$D, MATCH(1, (AsistenciaJetAdminConcatenada!$A:$A=GT$2)*(AsistenciaJetAdminConcatenada!$B:$B=GT$1), 0)), 1))),  0.5, 0))</f>
        <v>0</v>
      </c>
      <c r="GU22" s="47">
        <f t="array" ref="GU22">IF(AND(ISNUMBER(MATCH(GU$2, AsistenciaJetAdminConcatenada!$A:$A, 0)), ISNUMBER(MATCH(GU$1, AsistenciaJetAdminConcatenada!$B:$B, 0)), ISNUMBER(SEARCH($A22,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ISNUMBER(SEARCH($A22, INDEX(AsistenciaJetAdminConcatenada!$D:$D, MATCH(1, (AsistenciaJetAdminConcatenada!$A:$A=GU$2)*(AsistenciaJetAdminConcatenada!$B:$B=GU$1), 0)), 1))),  0.5, 0))</f>
        <v>0</v>
      </c>
      <c r="GV22" s="47">
        <f t="array" ref="GV22">IF(AND(ISNUMBER(MATCH(GV$2, AsistenciaJetAdminConcatenada!$A:$A, 0)), ISNUMBER(MATCH(GV$1, AsistenciaJetAdminConcatenada!$B:$B, 0)), ISNUMBER(SEARCH($A22,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ISNUMBER(SEARCH($A22, INDEX(AsistenciaJetAdminConcatenada!$D:$D, MATCH(1, (AsistenciaJetAdminConcatenada!$A:$A=GV$2)*(AsistenciaJetAdminConcatenada!$B:$B=GV$1), 0)), 1))),  0.5, 0))</f>
        <v>0</v>
      </c>
      <c r="GW22" s="47">
        <f t="array" ref="GW22">IF(AND(ISNUMBER(MATCH(GW$2, AsistenciaJetAdminConcatenada!$A:$A, 0)), ISNUMBER(MATCH(GW$1, AsistenciaJetAdminConcatenada!$B:$B, 0)), ISNUMBER(SEARCH($A22,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ISNUMBER(SEARCH($A22, INDEX(AsistenciaJetAdminConcatenada!$D:$D, MATCH(1, (AsistenciaJetAdminConcatenada!$A:$A=GW$2)*(AsistenciaJetAdminConcatenada!$B:$B=GW$1), 0)), 1))),  0.5, 0))</f>
        <v>0</v>
      </c>
      <c r="GX22" s="47">
        <f t="array" ref="GX22">IF(AND(ISNUMBER(MATCH(GX$2, AsistenciaJetAdminConcatenada!$A:$A, 0)), ISNUMBER(MATCH(GX$1, AsistenciaJetAdminConcatenada!$B:$B, 0)), ISNUMBER(SEARCH($A22,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ISNUMBER(SEARCH($A22, INDEX(AsistenciaJetAdminConcatenada!$D:$D, MATCH(1, (AsistenciaJetAdminConcatenada!$A:$A=GX$2)*(AsistenciaJetAdminConcatenada!$B:$B=GX$1), 0)), 1))),  0.5, 0))</f>
        <v>0</v>
      </c>
      <c r="GY22" s="47">
        <f t="array" ref="GY22">IF(AND(ISNUMBER(MATCH(GY$2, AsistenciaJetAdminConcatenada!$A:$A, 0)), ISNUMBER(MATCH(GY$1, AsistenciaJetAdminConcatenada!$B:$B, 0)), ISNUMBER(SEARCH($A22,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ISNUMBER(SEARCH($A22, INDEX(AsistenciaJetAdminConcatenada!$D:$D, MATCH(1, (AsistenciaJetAdminConcatenada!$A:$A=GY$2)*(AsistenciaJetAdminConcatenada!$B:$B=GY$1), 0)), 1))),  0.5, 0))</f>
        <v>0</v>
      </c>
      <c r="GZ22" s="47">
        <f t="array" ref="GZ22">IF(AND(ISNUMBER(MATCH(GZ$2, AsistenciaJetAdminConcatenada!$A:$A, 0)), ISNUMBER(MATCH(GZ$1, AsistenciaJetAdminConcatenada!$B:$B, 0)), ISNUMBER(SEARCH($A22,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ISNUMBER(SEARCH($A22, INDEX(AsistenciaJetAdminConcatenada!$D:$D, MATCH(1, (AsistenciaJetAdminConcatenada!$A:$A=GZ$2)*(AsistenciaJetAdminConcatenada!$B:$B=GZ$1), 0)), 1))),  0.5, 0))</f>
        <v>0</v>
      </c>
      <c r="HA22" s="47">
        <f t="array" ref="HA22">IF(AND(ISNUMBER(MATCH(HA$2, AsistenciaJetAdminConcatenada!$A:$A, 0)), ISNUMBER(MATCH(HA$1, AsistenciaJetAdminConcatenada!$B:$B, 0)), ISNUMBER(SEARCH($A22,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ISNUMBER(SEARCH($A22, INDEX(AsistenciaJetAdminConcatenada!$D:$D, MATCH(1, (AsistenciaJetAdminConcatenada!$A:$A=HA$2)*(AsistenciaJetAdminConcatenada!$B:$B=HA$1), 0)), 1))),  0.5, 0))</f>
        <v>0</v>
      </c>
      <c r="HB22" s="47">
        <f t="array" ref="HB22">IF(AND(ISNUMBER(MATCH(HB$2, AsistenciaJetAdminConcatenada!$A:$A, 0)), ISNUMBER(MATCH(HB$1, AsistenciaJetAdminConcatenada!$B:$B, 0)), ISNUMBER(SEARCH($A22,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ISNUMBER(SEARCH($A22, INDEX(AsistenciaJetAdminConcatenada!$D:$D, MATCH(1, (AsistenciaJetAdminConcatenada!$A:$A=HB$2)*(AsistenciaJetAdminConcatenada!$B:$B=HB$1), 0)), 1))),  0.5, 0))</f>
        <v>0</v>
      </c>
      <c r="HC22" s="47">
        <f t="array" ref="HC22">IF(AND(ISNUMBER(MATCH(HC$2, AsistenciaJetAdminConcatenada!$A:$A, 0)), ISNUMBER(MATCH(HC$1, AsistenciaJetAdminConcatenada!$B:$B, 0)), ISNUMBER(SEARCH($A22,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ISNUMBER(SEARCH($A22, INDEX(AsistenciaJetAdminConcatenada!$D:$D, MATCH(1, (AsistenciaJetAdminConcatenada!$A:$A=HC$2)*(AsistenciaJetAdminConcatenada!$B:$B=HC$1), 0)), 1))),  0.5, 0))</f>
        <v>0</v>
      </c>
    </row>
    <row r="23" ht="29.25" customHeight="1">
      <c r="A23" s="3">
        <v>210.0</v>
      </c>
      <c r="B23" s="4" t="s">
        <v>376</v>
      </c>
      <c r="C23" s="47">
        <f>SUM(D23:HC23) + ActividadesEspeciales!C23</f>
        <v>62</v>
      </c>
      <c r="D23" s="47">
        <f t="array" ref="D23">IF(AND(ISNUMBER(MATCH(D$2, AsistenciaJetAdminConcatenada!$A:$A, 0)), ISNUMBER(MATCH(D$1, AsistenciaJetAdminConcatenada!$B:$B, 0)), ISNUMBER(SEARCH($A23,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ISNUMBER(SEARCH($A23, INDEX(AsistenciaJetAdminConcatenada!$D:$D, MATCH(1, (AsistenciaJetAdminConcatenada!$A:$A=D$2)*(AsistenciaJetAdminConcatenada!$B:$B=D$1), 0)), 1))),  0.5, 0))</f>
        <v>1</v>
      </c>
      <c r="E23" s="47">
        <f t="array" ref="E23">IF(AND(ISNUMBER(MATCH(E$2, AsistenciaJetAdminConcatenada!$A:$A, 0)), ISNUMBER(MATCH(E$1, AsistenciaJetAdminConcatenada!$B:$B, 0)), ISNUMBER(SEARCH($A23,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ISNUMBER(SEARCH($A23, INDEX(AsistenciaJetAdminConcatenada!$D:$D, MATCH(1, (AsistenciaJetAdminConcatenada!$A:$A=E$2)*(AsistenciaJetAdminConcatenada!$B:$B=E$1), 0)), 1))),  0.5, 0))</f>
        <v>1</v>
      </c>
      <c r="F23" s="47">
        <f t="array" ref="F23">IF(AND(ISNUMBER(MATCH(F$2, AsistenciaJetAdminConcatenada!$A:$A, 0)), ISNUMBER(MATCH(F$1, AsistenciaJetAdminConcatenada!$B:$B, 0)), ISNUMBER(SEARCH($A23,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ISNUMBER(SEARCH($A23, INDEX(AsistenciaJetAdminConcatenada!$D:$D, MATCH(1, (AsistenciaJetAdminConcatenada!$A:$A=F$2)*(AsistenciaJetAdminConcatenada!$B:$B=F$1), 0)), 1))),  0.5, 0))</f>
        <v>0</v>
      </c>
      <c r="G23" s="47">
        <f t="array" ref="G23">IF(AND(ISNUMBER(MATCH(G$2, AsistenciaJetAdminConcatenada!$A:$A, 0)), ISNUMBER(MATCH(G$1, AsistenciaJetAdminConcatenada!$B:$B, 0)), ISNUMBER(SEARCH($A23,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ISNUMBER(SEARCH($A23, INDEX(AsistenciaJetAdminConcatenada!$D:$D, MATCH(1, (AsistenciaJetAdminConcatenada!$A:$A=G$2)*(AsistenciaJetAdminConcatenada!$B:$B=G$1), 0)), 1))),  0.5, 0))</f>
        <v>1</v>
      </c>
      <c r="H23" s="47">
        <f t="array" ref="H23">IF(AND(ISNUMBER(MATCH(H$2, AsistenciaJetAdminConcatenada!$A:$A, 0)), ISNUMBER(MATCH(H$1, AsistenciaJetAdminConcatenada!$B:$B, 0)), ISNUMBER(SEARCH($A23,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ISNUMBER(SEARCH($A23, INDEX(AsistenciaJetAdminConcatenada!$D:$D, MATCH(1, (AsistenciaJetAdminConcatenada!$A:$A=H$2)*(AsistenciaJetAdminConcatenada!$B:$B=H$1), 0)), 1))),  0.5, 0))</f>
        <v>1</v>
      </c>
      <c r="I23" s="47">
        <f t="array" ref="I23">IF(AND(ISNUMBER(MATCH(I$2, AsistenciaJetAdminConcatenada!$A:$A, 0)), ISNUMBER(MATCH(I$1, AsistenciaJetAdminConcatenada!$B:$B, 0)), ISNUMBER(SEARCH($A23,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ISNUMBER(SEARCH($A23, INDEX(AsistenciaJetAdminConcatenada!$D:$D, MATCH(1, (AsistenciaJetAdminConcatenada!$A:$A=I$2)*(AsistenciaJetAdminConcatenada!$B:$B=I$1), 0)), 1))),  0.5, 0))</f>
        <v>1</v>
      </c>
      <c r="J23" s="47">
        <f t="array" ref="J23">IF(AND(ISNUMBER(MATCH(J$2, AsistenciaJetAdminConcatenada!$A:$A, 0)), ISNUMBER(MATCH(J$1, AsistenciaJetAdminConcatenada!$B:$B, 0)), ISNUMBER(SEARCH($A23,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ISNUMBER(SEARCH($A23, INDEX(AsistenciaJetAdminConcatenada!$D:$D, MATCH(1, (AsistenciaJetAdminConcatenada!$A:$A=J$2)*(AsistenciaJetAdminConcatenada!$B:$B=J$1), 0)), 1))),  0.5, 0))</f>
        <v>0</v>
      </c>
      <c r="K23" s="47">
        <f t="array" ref="K23">IF(AND(ISNUMBER(MATCH(K$2, AsistenciaJetAdminConcatenada!$A:$A, 0)), ISNUMBER(MATCH(K$1, AsistenciaJetAdminConcatenada!$B:$B, 0)), ISNUMBER(SEARCH($A23,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ISNUMBER(SEARCH($A23, INDEX(AsistenciaJetAdminConcatenada!$D:$D, MATCH(1, (AsistenciaJetAdminConcatenada!$A:$A=K$2)*(AsistenciaJetAdminConcatenada!$B:$B=K$1), 0)), 1))),  0.5, 0))</f>
        <v>1</v>
      </c>
      <c r="L23" s="47">
        <f t="array" ref="L23">IF(AND(ISNUMBER(MATCH(L$2, AsistenciaJetAdminConcatenada!$A:$A, 0)), ISNUMBER(MATCH(L$1, AsistenciaJetAdminConcatenada!$B:$B, 0)), ISNUMBER(SEARCH($A23,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ISNUMBER(SEARCH($A23, INDEX(AsistenciaJetAdminConcatenada!$D:$D, MATCH(1, (AsistenciaJetAdminConcatenada!$A:$A=L$2)*(AsistenciaJetAdminConcatenada!$B:$B=L$1), 0)), 1))),  0.5, 0))</f>
        <v>1</v>
      </c>
      <c r="M23" s="47">
        <f t="array" ref="M23">IF(AND(ISNUMBER(MATCH(M$2, AsistenciaJetAdminConcatenada!$A:$A, 0)), ISNUMBER(MATCH(M$1, AsistenciaJetAdminConcatenada!$B:$B, 0)), ISNUMBER(SEARCH($A23,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ISNUMBER(SEARCH($A23, INDEX(AsistenciaJetAdminConcatenada!$D:$D, MATCH(1, (AsistenciaJetAdminConcatenada!$A:$A=M$2)*(AsistenciaJetAdminConcatenada!$B:$B=M$1), 0)), 1))),  0.5, 0))</f>
        <v>1</v>
      </c>
      <c r="N23" s="47">
        <f t="array" ref="N23">IF(AND(ISNUMBER(MATCH(N$2, AsistenciaJetAdminConcatenada!$A:$A, 0)), ISNUMBER(MATCH(N$1, AsistenciaJetAdminConcatenada!$B:$B, 0)), ISNUMBER(SEARCH($A23,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ISNUMBER(SEARCH($A23, INDEX(AsistenciaJetAdminConcatenada!$D:$D, MATCH(1, (AsistenciaJetAdminConcatenada!$A:$A=N$2)*(AsistenciaJetAdminConcatenada!$B:$B=N$1), 0)), 1))),  0.5, 0))</f>
        <v>1</v>
      </c>
      <c r="O23" s="47">
        <f t="array" ref="O23">IF(AND(ISNUMBER(MATCH(O$2, AsistenciaJetAdminConcatenada!$A:$A, 0)), ISNUMBER(MATCH(O$1, AsistenciaJetAdminConcatenada!$B:$B, 0)), ISNUMBER(SEARCH($A23,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ISNUMBER(SEARCH($A23, INDEX(AsistenciaJetAdminConcatenada!$D:$D, MATCH(1, (AsistenciaJetAdminConcatenada!$A:$A=O$2)*(AsistenciaJetAdminConcatenada!$B:$B=O$1), 0)), 1))),  0.5, 0))</f>
        <v>1</v>
      </c>
      <c r="P23" s="47">
        <f t="array" ref="P23">IF(AND(ISNUMBER(MATCH(P$2, AsistenciaJetAdminConcatenada!$A:$A, 0)), ISNUMBER(MATCH(P$1, AsistenciaJetAdminConcatenada!$B:$B, 0)), ISNUMBER(SEARCH($A23, INDEX(AsistenciaJetAdminConcatenada!$C:$C, MATCH(1, (AsistenciaJetAdminConcatenada!$A:$A=P$2)*(AsistenciaJetAdminConcatenada!$B:$B=P$1), 0)), 1))), 1, IF(AND(ISNUMBER(MATCH(P$2, AsistenciaJetAdminConcatenada!$A:$A, 0)), ISNUMBER(MATCH(P$1, AsistenciaJetAdminConcatenada!$B:$B, 0)), ISNUMBER(SEARCH($A23, INDEX(AsistenciaJetAdminConcatenada!$D:$D, MATCH(1, (AsistenciaJetAdminConcatenada!$A:$A=P$2)*(AsistenciaJetAdminConcatenada!$B:$B=P$1), 0)), 1))),  0.5, 0))</f>
        <v>0</v>
      </c>
      <c r="Q23" s="47">
        <f t="array" ref="Q23">IF(AND(ISNUMBER(MATCH(Q$2, AsistenciaJetAdminConcatenada!$A:$A, 0)), ISNUMBER(MATCH(Q$1, AsistenciaJetAdminConcatenada!$B:$B, 0)), ISNUMBER(SEARCH($A23, INDEX(AsistenciaJetAdminConcatenada!$C:$C, MATCH(1, (AsistenciaJetAdminConcatenada!$A:$A=Q$2)*(AsistenciaJetAdminConcatenada!$B:$B=Q$1), 0)), 1))), 1, IF(AND(ISNUMBER(MATCH(Q$2, AsistenciaJetAdminConcatenada!$A:$A, 0)), ISNUMBER(MATCH(Q$1, AsistenciaJetAdminConcatenada!$B:$B, 0)), ISNUMBER(SEARCH($A23, INDEX(AsistenciaJetAdminConcatenada!$D:$D, MATCH(1, (AsistenciaJetAdminConcatenada!$A:$A=Q$2)*(AsistenciaJetAdminConcatenada!$B:$B=Q$1), 0)), 1))),  0.5, 0))</f>
        <v>0</v>
      </c>
      <c r="R23" s="47">
        <f t="array" ref="R23">IF(AND(ISNUMBER(MATCH(R$2, AsistenciaJetAdminConcatenada!$A:$A, 0)), ISNUMBER(MATCH(R$1, AsistenciaJetAdminConcatenada!$B:$B, 0)), ISNUMBER(SEARCH($A23,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ISNUMBER(SEARCH($A23, INDEX(AsistenciaJetAdminConcatenada!$D:$D, MATCH(1, (AsistenciaJetAdminConcatenada!$A:$A=R$2)*(AsistenciaJetAdminConcatenada!$B:$B=R$1), 0)), 1))),  0.5, 0))</f>
        <v>1</v>
      </c>
      <c r="S23" s="47">
        <f t="array" ref="S23">IF(AND(ISNUMBER(MATCH(S$2, AsistenciaJetAdminConcatenada!$A:$A, 0)), ISNUMBER(MATCH(S$1, AsistenciaJetAdminConcatenada!$B:$B, 0)), ISNUMBER(SEARCH($A23,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ISNUMBER(SEARCH($A23, INDEX(AsistenciaJetAdminConcatenada!$D:$D, MATCH(1, (AsistenciaJetAdminConcatenada!$A:$A=S$2)*(AsistenciaJetAdminConcatenada!$B:$B=S$1), 0)), 1))),  0.5, 0))</f>
        <v>1</v>
      </c>
      <c r="T23" s="47">
        <f t="array" ref="T23">IF(AND(ISNUMBER(MATCH(T$2, AsistenciaJetAdminConcatenada!$A:$A, 0)), ISNUMBER(MATCH(T$1, AsistenciaJetAdminConcatenada!$B:$B, 0)), ISNUMBER(SEARCH($A23,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ISNUMBER(SEARCH($A23, INDEX(AsistenciaJetAdminConcatenada!$D:$D, MATCH(1, (AsistenciaJetAdminConcatenada!$A:$A=T$2)*(AsistenciaJetAdminConcatenada!$B:$B=T$1), 0)), 1))),  0.5, 0))</f>
        <v>1</v>
      </c>
      <c r="U23" s="47">
        <f t="array" ref="U23">IF(AND(ISNUMBER(MATCH(U$2, AsistenciaJetAdminConcatenada!$A:$A, 0)), ISNUMBER(MATCH(U$1, AsistenciaJetAdminConcatenada!$B:$B, 0)), ISNUMBER(SEARCH($A23,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ISNUMBER(SEARCH($A23, INDEX(AsistenciaJetAdminConcatenada!$D:$D, MATCH(1, (AsistenciaJetAdminConcatenada!$A:$A=U$2)*(AsistenciaJetAdminConcatenada!$B:$B=U$1), 0)), 1))),  0.5, 0))</f>
        <v>1</v>
      </c>
      <c r="V23" s="47">
        <f t="array" ref="V23">IF(AND(ISNUMBER(MATCH(V$2, AsistenciaJetAdminConcatenada!$A:$A, 0)), ISNUMBER(MATCH(V$1, AsistenciaJetAdminConcatenada!$B:$B, 0)), ISNUMBER(SEARCH($A23,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ISNUMBER(SEARCH($A23, INDEX(AsistenciaJetAdminConcatenada!$D:$D, MATCH(1, (AsistenciaJetAdminConcatenada!$A:$A=V$2)*(AsistenciaJetAdminConcatenada!$B:$B=V$1), 0)), 1))),  0.5, 0))</f>
        <v>1</v>
      </c>
      <c r="W23" s="47">
        <f t="array" ref="W23">IF(AND(ISNUMBER(MATCH(W$2, AsistenciaJetAdminConcatenada!$A:$A, 0)), ISNUMBER(MATCH(W$1, AsistenciaJetAdminConcatenada!$B:$B, 0)), ISNUMBER(SEARCH($A23,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ISNUMBER(SEARCH($A23, INDEX(AsistenciaJetAdminConcatenada!$D:$D, MATCH(1, (AsistenciaJetAdminConcatenada!$A:$A=W$2)*(AsistenciaJetAdminConcatenada!$B:$B=W$1), 0)), 1))),  0.5, 0))</f>
        <v>1</v>
      </c>
      <c r="X23" s="47">
        <f t="array" ref="X23">IF(AND(ISNUMBER(MATCH(X$2, AsistenciaJetAdminConcatenada!$A:$A, 0)), ISNUMBER(MATCH(X$1, AsistenciaJetAdminConcatenada!$B:$B, 0)), ISNUMBER(SEARCH($A23,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ISNUMBER(SEARCH($A23, INDEX(AsistenciaJetAdminConcatenada!$D:$D, MATCH(1, (AsistenciaJetAdminConcatenada!$A:$A=X$2)*(AsistenciaJetAdminConcatenada!$B:$B=X$1), 0)), 1))),  0.5, 0))</f>
        <v>1</v>
      </c>
      <c r="Y23" s="47">
        <f t="array" ref="Y23">IF(AND(ISNUMBER(MATCH(Y$2, AsistenciaJetAdminConcatenada!$A:$A, 0)), ISNUMBER(MATCH(Y$1, AsistenciaJetAdminConcatenada!$B:$B, 0)), ISNUMBER(SEARCH($A23,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ISNUMBER(SEARCH($A23, INDEX(AsistenciaJetAdminConcatenada!$D:$D, MATCH(1, (AsistenciaJetAdminConcatenada!$A:$A=Y$2)*(AsistenciaJetAdminConcatenada!$B:$B=Y$1), 0)), 1))),  0.5, 0))</f>
        <v>0</v>
      </c>
      <c r="Z23" s="47">
        <f t="array" ref="Z23">IF(AND(ISNUMBER(MATCH(Z$2, AsistenciaJetAdminConcatenada!$A:$A, 0)), ISNUMBER(MATCH(Z$1, AsistenciaJetAdminConcatenada!$B:$B, 0)), ISNUMBER(SEARCH($A23,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ISNUMBER(SEARCH($A23, INDEX(AsistenciaJetAdminConcatenada!$D:$D, MATCH(1, (AsistenciaJetAdminConcatenada!$A:$A=Z$2)*(AsistenciaJetAdminConcatenada!$B:$B=Z$1), 0)), 1))),  0.5, 0))</f>
        <v>1</v>
      </c>
      <c r="AA23" s="47">
        <f t="array" ref="AA23">IF(AND(ISNUMBER(MATCH(AA$2, AsistenciaJetAdminConcatenada!$A:$A, 0)), ISNUMBER(MATCH(AA$1, AsistenciaJetAdminConcatenada!$B:$B, 0)), ISNUMBER(SEARCH($A23,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ISNUMBER(SEARCH($A23, INDEX(AsistenciaJetAdminConcatenada!$D:$D, MATCH(1, (AsistenciaJetAdminConcatenada!$A:$A=AA$2)*(AsistenciaJetAdminConcatenada!$B:$B=AA$1), 0)), 1))),  0.5, 0))</f>
        <v>1</v>
      </c>
      <c r="AB23" s="47">
        <f t="array" ref="AB23">IF(AND(ISNUMBER(MATCH(AB$2, AsistenciaJetAdminConcatenada!$A:$A, 0)), ISNUMBER(MATCH(AB$1, AsistenciaJetAdminConcatenada!$B:$B, 0)), ISNUMBER(SEARCH($A23,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ISNUMBER(SEARCH($A23, INDEX(AsistenciaJetAdminConcatenada!$D:$D, MATCH(1, (AsistenciaJetAdminConcatenada!$A:$A=AB$2)*(AsistenciaJetAdminConcatenada!$B:$B=AB$1), 0)), 1))),  0.5, 0))</f>
        <v>1</v>
      </c>
      <c r="AC23" s="47">
        <f t="array" ref="AC23">IF(AND(ISNUMBER(MATCH(AC$2, AsistenciaJetAdminConcatenada!$A:$A, 0)), ISNUMBER(MATCH(AC$1, AsistenciaJetAdminConcatenada!$B:$B, 0)), ISNUMBER(SEARCH($A23,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ISNUMBER(SEARCH($A23, INDEX(AsistenciaJetAdminConcatenada!$D:$D, MATCH(1, (AsistenciaJetAdminConcatenada!$A:$A=AC$2)*(AsistenciaJetAdminConcatenada!$B:$B=AC$1), 0)), 1))),  0.5, 0))</f>
        <v>1</v>
      </c>
      <c r="AD23" s="47">
        <f t="array" ref="AD23">IF(AND(ISNUMBER(MATCH(AD$2, AsistenciaJetAdminConcatenada!$A:$A, 0)), ISNUMBER(MATCH(AD$1, AsistenciaJetAdminConcatenada!$B:$B, 0)), ISNUMBER(SEARCH($A23,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ISNUMBER(SEARCH($A23, INDEX(AsistenciaJetAdminConcatenada!$D:$D, MATCH(1, (AsistenciaJetAdminConcatenada!$A:$A=AD$2)*(AsistenciaJetAdminConcatenada!$B:$B=AD$1), 0)), 1))),  0.5, 0))</f>
        <v>1</v>
      </c>
      <c r="AE23" s="47">
        <f t="array" ref="AE23">IF(AND(ISNUMBER(MATCH(AE$2, AsistenciaJetAdminConcatenada!$A:$A, 0)), ISNUMBER(MATCH(AE$1, AsistenciaJetAdminConcatenada!$B:$B, 0)), ISNUMBER(SEARCH($A23,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ISNUMBER(SEARCH($A23, INDEX(AsistenciaJetAdminConcatenada!$D:$D, MATCH(1, (AsistenciaJetAdminConcatenada!$A:$A=AE$2)*(AsistenciaJetAdminConcatenada!$B:$B=AE$1), 0)), 1))),  0.5, 0))</f>
        <v>0</v>
      </c>
      <c r="AF23" s="47">
        <f t="array" ref="AF23">IF(AND(ISNUMBER(MATCH(AF$2, AsistenciaJetAdminConcatenada!$A:$A, 0)), ISNUMBER(MATCH(AF$1, AsistenciaJetAdminConcatenada!$B:$B, 0)), ISNUMBER(SEARCH($A23,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ISNUMBER(SEARCH($A23, INDEX(AsistenciaJetAdminConcatenada!$D:$D, MATCH(1, (AsistenciaJetAdminConcatenada!$A:$A=AF$2)*(AsistenciaJetAdminConcatenada!$B:$B=AF$1), 0)), 1))),  0.5, 0))</f>
        <v>0</v>
      </c>
      <c r="AG23" s="47">
        <f t="array" ref="AG23">IF(AND(ISNUMBER(MATCH(AG$2, AsistenciaJetAdminConcatenada!$A:$A, 0)), ISNUMBER(MATCH(AG$1, AsistenciaJetAdminConcatenada!$B:$B, 0)), ISNUMBER(SEARCH($A23,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ISNUMBER(SEARCH($A23, INDEX(AsistenciaJetAdminConcatenada!$D:$D, MATCH(1, (AsistenciaJetAdminConcatenada!$A:$A=AG$2)*(AsistenciaJetAdminConcatenada!$B:$B=AG$1), 0)), 1))),  0.5, 0))</f>
        <v>0</v>
      </c>
      <c r="AH23" s="47">
        <f t="array" ref="AH23">IF(AND(ISNUMBER(MATCH(AH$2, AsistenciaJetAdminConcatenada!$A:$A, 0)), ISNUMBER(MATCH(AH$1, AsistenciaJetAdminConcatenada!$B:$B, 0)), ISNUMBER(SEARCH($A23,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ISNUMBER(SEARCH($A23, INDEX(AsistenciaJetAdminConcatenada!$D:$D, MATCH(1, (AsistenciaJetAdminConcatenada!$A:$A=AH$2)*(AsistenciaJetAdminConcatenada!$B:$B=AH$1), 0)), 1))),  0.5, 0))</f>
        <v>0</v>
      </c>
      <c r="AI23" s="47">
        <f t="array" ref="AI23">IF(AND(ISNUMBER(MATCH(AI$2, AsistenciaJetAdminConcatenada!$A:$A, 0)), ISNUMBER(MATCH(AI$1, AsistenciaJetAdminConcatenada!$B:$B, 0)), ISNUMBER(SEARCH($A23,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ISNUMBER(SEARCH($A23, INDEX(AsistenciaJetAdminConcatenada!$D:$D, MATCH(1, (AsistenciaJetAdminConcatenada!$A:$A=AI$2)*(AsistenciaJetAdminConcatenada!$B:$B=AI$1), 0)), 1))),  0.5, 0))</f>
        <v>1</v>
      </c>
      <c r="AJ23" s="47">
        <f t="array" ref="AJ23">IF(AND(ISNUMBER(MATCH(AJ$2, AsistenciaJetAdminConcatenada!$A:$A, 0)), ISNUMBER(MATCH(AJ$1, AsistenciaJetAdminConcatenada!$B:$B, 0)), ISNUMBER(SEARCH($A23,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ISNUMBER(SEARCH($A23, INDEX(AsistenciaJetAdminConcatenada!$D:$D, MATCH(1, (AsistenciaJetAdminConcatenada!$A:$A=AJ$2)*(AsistenciaJetAdminConcatenada!$B:$B=AJ$1), 0)), 1))),  0.5, 0))</f>
        <v>0</v>
      </c>
      <c r="AK23" s="47">
        <f t="array" ref="AK23">IF(AND(ISNUMBER(MATCH(AK$2, AsistenciaJetAdminConcatenada!$A:$A, 0)), ISNUMBER(MATCH(AK$1, AsistenciaJetAdminConcatenada!$B:$B, 0)), ISNUMBER(SEARCH($A23,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ISNUMBER(SEARCH($A23, INDEX(AsistenciaJetAdminConcatenada!$D:$D, MATCH(1, (AsistenciaJetAdminConcatenada!$A:$A=AK$2)*(AsistenciaJetAdminConcatenada!$B:$B=AK$1), 0)), 1))),  0.5, 0))</f>
        <v>1</v>
      </c>
      <c r="AL23" s="47">
        <f t="array" ref="AL23">IF(AND(ISNUMBER(MATCH(AL$2, AsistenciaJetAdminConcatenada!$A:$A, 0)), ISNUMBER(MATCH(AL$1, AsistenciaJetAdminConcatenada!$B:$B, 0)), ISNUMBER(SEARCH($A23,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ISNUMBER(SEARCH($A23, INDEX(AsistenciaJetAdminConcatenada!$D:$D, MATCH(1, (AsistenciaJetAdminConcatenada!$A:$A=AL$2)*(AsistenciaJetAdminConcatenada!$B:$B=AL$1), 0)), 1))),  0.5, 0))</f>
        <v>0</v>
      </c>
      <c r="AM23" s="47">
        <f t="array" ref="AM23">IF(AND(ISNUMBER(MATCH(AM$2, AsistenciaJetAdminConcatenada!$A:$A, 0)), ISNUMBER(MATCH(AM$1, AsistenciaJetAdminConcatenada!$B:$B, 0)), ISNUMBER(SEARCH($A23,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ISNUMBER(SEARCH($A23, INDEX(AsistenciaJetAdminConcatenada!$D:$D, MATCH(1, (AsistenciaJetAdminConcatenada!$A:$A=AM$2)*(AsistenciaJetAdminConcatenada!$B:$B=AM$1), 0)), 1))),  0.5, 0))</f>
        <v>0</v>
      </c>
      <c r="AN23" s="47">
        <f t="array" ref="AN23">IF(AND(ISNUMBER(MATCH(AN$2, AsistenciaJetAdminConcatenada!$A:$A, 0)), ISNUMBER(MATCH(AN$1, AsistenciaJetAdminConcatenada!$B:$B, 0)), ISNUMBER(SEARCH($A23,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ISNUMBER(SEARCH($A23, INDEX(AsistenciaJetAdminConcatenada!$D:$D, MATCH(1, (AsistenciaJetAdminConcatenada!$A:$A=AN$2)*(AsistenciaJetAdminConcatenada!$B:$B=AN$1), 0)), 1))),  0.5, 0))</f>
        <v>1</v>
      </c>
      <c r="AO23" s="47">
        <f t="array" ref="AO23">IF(AND(ISNUMBER(MATCH(AO$2, AsistenciaJetAdminConcatenada!$A:$A, 0)), ISNUMBER(MATCH(AO$1, AsistenciaJetAdminConcatenada!$B:$B, 0)), ISNUMBER(SEARCH($A23,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ISNUMBER(SEARCH($A23, INDEX(AsistenciaJetAdminConcatenada!$D:$D, MATCH(1, (AsistenciaJetAdminConcatenada!$A:$A=AO$2)*(AsistenciaJetAdminConcatenada!$B:$B=AO$1), 0)), 1))),  0.5, 0))</f>
        <v>1</v>
      </c>
      <c r="AP23" s="47">
        <f t="array" ref="AP23">IF(AND(ISNUMBER(MATCH(AP$2, AsistenciaJetAdminConcatenada!$A:$A, 0)), ISNUMBER(MATCH(AP$1, AsistenciaJetAdminConcatenada!$B:$B, 0)), ISNUMBER(SEARCH($A23,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ISNUMBER(SEARCH($A23, INDEX(AsistenciaJetAdminConcatenada!$D:$D, MATCH(1, (AsistenciaJetAdminConcatenada!$A:$A=AP$2)*(AsistenciaJetAdminConcatenada!$B:$B=AP$1), 0)), 1))),  0.5, 0))</f>
        <v>1</v>
      </c>
      <c r="AQ23" s="47">
        <f t="array" ref="AQ23">IF(AND(ISNUMBER(MATCH(AQ$2, AsistenciaJetAdminConcatenada!$A:$A, 0)), ISNUMBER(MATCH(AQ$1, AsistenciaJetAdminConcatenada!$B:$B, 0)), ISNUMBER(SEARCH($A23,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ISNUMBER(SEARCH($A23, INDEX(AsistenciaJetAdminConcatenada!$D:$D, MATCH(1, (AsistenciaJetAdminConcatenada!$A:$A=AQ$2)*(AsistenciaJetAdminConcatenada!$B:$B=AQ$1), 0)), 1))),  0.5, 0))</f>
        <v>0</v>
      </c>
      <c r="AR23" s="47">
        <f t="array" ref="AR23">IF(AND(ISNUMBER(MATCH(AR$2, AsistenciaJetAdminConcatenada!$A:$A, 0)), ISNUMBER(MATCH(AR$1, AsistenciaJetAdminConcatenada!$B:$B, 0)), ISNUMBER(SEARCH($A23,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ISNUMBER(SEARCH($A23, INDEX(AsistenciaJetAdminConcatenada!$D:$D, MATCH(1, (AsistenciaJetAdminConcatenada!$A:$A=AR$2)*(AsistenciaJetAdminConcatenada!$B:$B=AR$1), 0)), 1))),  0.5, 0))</f>
        <v>1</v>
      </c>
      <c r="AS23" s="47">
        <f t="array" ref="AS23">IF(AND(ISNUMBER(MATCH(AS$2, AsistenciaJetAdminConcatenada!$A:$A, 0)), ISNUMBER(MATCH(AS$1, AsistenciaJetAdminConcatenada!$B:$B, 0)), ISNUMBER(SEARCH($A23,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ISNUMBER(SEARCH($A23, INDEX(AsistenciaJetAdminConcatenada!$D:$D, MATCH(1, (AsistenciaJetAdminConcatenada!$A:$A=AS$2)*(AsistenciaJetAdminConcatenada!$B:$B=AS$1), 0)), 1))),  0.5, 0))</f>
        <v>0</v>
      </c>
      <c r="AT23" s="47">
        <f t="array" ref="AT23">IF(AND(ISNUMBER(MATCH(AT$2, AsistenciaJetAdminConcatenada!$A:$A, 0)), ISNUMBER(MATCH(AT$1, AsistenciaJetAdminConcatenada!$B:$B, 0)), ISNUMBER(SEARCH($A23,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ISNUMBER(SEARCH($A23, INDEX(AsistenciaJetAdminConcatenada!$D:$D, MATCH(1, (AsistenciaJetAdminConcatenada!$A:$A=AT$2)*(AsistenciaJetAdminConcatenada!$B:$B=AT$1), 0)), 1))),  0.5, 0))</f>
        <v>0</v>
      </c>
      <c r="AU23" s="47">
        <f t="array" ref="AU23">IF(AND(ISNUMBER(MATCH(AU$2, AsistenciaJetAdminConcatenada!$A:$A, 0)), ISNUMBER(MATCH(AU$1, AsistenciaJetAdminConcatenada!$B:$B, 0)), ISNUMBER(SEARCH($A23,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ISNUMBER(SEARCH($A23, INDEX(AsistenciaJetAdminConcatenada!$D:$D, MATCH(1, (AsistenciaJetAdminConcatenada!$A:$A=AU$2)*(AsistenciaJetAdminConcatenada!$B:$B=AU$1), 0)), 1))),  0.5, 0))</f>
        <v>1</v>
      </c>
      <c r="AV23" s="47">
        <f t="array" ref="AV23">IF(AND(ISNUMBER(MATCH(AV$2, AsistenciaJetAdminConcatenada!$A:$A, 0)), ISNUMBER(MATCH(AV$1, AsistenciaJetAdminConcatenada!$B:$B, 0)), ISNUMBER(SEARCH($A23,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ISNUMBER(SEARCH($A23, INDEX(AsistenciaJetAdminConcatenada!$D:$D, MATCH(1, (AsistenciaJetAdminConcatenada!$A:$A=AV$2)*(AsistenciaJetAdminConcatenada!$B:$B=AV$1), 0)), 1))),  0.5, 0))</f>
        <v>1</v>
      </c>
      <c r="AW23" s="47">
        <f t="array" ref="AW23">IF(AND(ISNUMBER(MATCH(AW$2, AsistenciaJetAdminConcatenada!$A:$A, 0)), ISNUMBER(MATCH(AW$1, AsistenciaJetAdminConcatenada!$B:$B, 0)), ISNUMBER(SEARCH($A23,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ISNUMBER(SEARCH($A23, INDEX(AsistenciaJetAdminConcatenada!$D:$D, MATCH(1, (AsistenciaJetAdminConcatenada!$A:$A=AW$2)*(AsistenciaJetAdminConcatenada!$B:$B=AW$1), 0)), 1))),  0.5, 0))</f>
        <v>0</v>
      </c>
      <c r="AX23" s="47">
        <f t="array" ref="AX23">IF(AND(ISNUMBER(MATCH(AX$2, AsistenciaJetAdminConcatenada!$A:$A, 0)), ISNUMBER(MATCH(AX$1, AsistenciaJetAdminConcatenada!$B:$B, 0)), ISNUMBER(SEARCH($A23,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ISNUMBER(SEARCH($A23, INDEX(AsistenciaJetAdminConcatenada!$D:$D, MATCH(1, (AsistenciaJetAdminConcatenada!$A:$A=AX$2)*(AsistenciaJetAdminConcatenada!$B:$B=AX$1), 0)), 1))),  0.5, 0))</f>
        <v>0</v>
      </c>
      <c r="AY23" s="47">
        <f t="array" ref="AY23">IF(AND(ISNUMBER(MATCH(AY$2, AsistenciaJetAdminConcatenada!$A:$A, 0)), ISNUMBER(MATCH(AY$1, AsistenciaJetAdminConcatenada!$B:$B, 0)), ISNUMBER(SEARCH($A23,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ISNUMBER(SEARCH($A23, INDEX(AsistenciaJetAdminConcatenada!$D:$D, MATCH(1, (AsistenciaJetAdminConcatenada!$A:$A=AY$2)*(AsistenciaJetAdminConcatenada!$B:$B=AY$1), 0)), 1))),  0.5, 0))</f>
        <v>1</v>
      </c>
      <c r="AZ23" s="47">
        <f t="array" ref="AZ23">IF(AND(ISNUMBER(MATCH(AZ$2, AsistenciaJetAdminConcatenada!$A:$A, 0)), ISNUMBER(MATCH(AZ$1, AsistenciaJetAdminConcatenada!$B:$B, 0)), ISNUMBER(SEARCH($A23,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ISNUMBER(SEARCH($A23, INDEX(AsistenciaJetAdminConcatenada!$D:$D, MATCH(1, (AsistenciaJetAdminConcatenada!$A:$A=AZ$2)*(AsistenciaJetAdminConcatenada!$B:$B=AZ$1), 0)), 1))),  0.5, 0))</f>
        <v>0</v>
      </c>
      <c r="BA23" s="47">
        <f t="array" ref="BA23">IF(AND(ISNUMBER(MATCH(BA$2, AsistenciaJetAdminConcatenada!$A:$A, 0)), ISNUMBER(MATCH(BA$1, AsistenciaJetAdminConcatenada!$B:$B, 0)), ISNUMBER(SEARCH($A23,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ISNUMBER(SEARCH($A23, INDEX(AsistenciaJetAdminConcatenada!$D:$D, MATCH(1, (AsistenciaJetAdminConcatenada!$A:$A=BA$2)*(AsistenciaJetAdminConcatenada!$B:$B=BA$1), 0)), 1))),  0.5, 0))</f>
        <v>0</v>
      </c>
      <c r="BB23" s="47">
        <f t="array" ref="BB23">IF(AND(ISNUMBER(MATCH(BB$2, AsistenciaJetAdminConcatenada!$A:$A, 0)), ISNUMBER(MATCH(BB$1, AsistenciaJetAdminConcatenada!$B:$B, 0)), ISNUMBER(SEARCH($A23,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ISNUMBER(SEARCH($A23, INDEX(AsistenciaJetAdminConcatenada!$D:$D, MATCH(1, (AsistenciaJetAdminConcatenada!$A:$A=BB$2)*(AsistenciaJetAdminConcatenada!$B:$B=BB$1), 0)), 1))),  0.5, 0))</f>
        <v>1</v>
      </c>
      <c r="BC23" s="47">
        <f t="array" ref="BC23">IF(AND(ISNUMBER(MATCH(BC$2, AsistenciaJetAdminConcatenada!$A:$A, 0)), ISNUMBER(MATCH(BC$1, AsistenciaJetAdminConcatenada!$B:$B, 0)), ISNUMBER(SEARCH($A23,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ISNUMBER(SEARCH($A23, INDEX(AsistenciaJetAdminConcatenada!$D:$D, MATCH(1, (AsistenciaJetAdminConcatenada!$A:$A=BC$2)*(AsistenciaJetAdminConcatenada!$B:$B=BC$1), 0)), 1))),  0.5, 0))</f>
        <v>1</v>
      </c>
      <c r="BD23" s="47">
        <f t="array" ref="BD23">IF(AND(ISNUMBER(MATCH(BD$2, AsistenciaJetAdminConcatenada!$A:$A, 0)), ISNUMBER(MATCH(BD$1, AsistenciaJetAdminConcatenada!$B:$B, 0)), ISNUMBER(SEARCH($A23,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ISNUMBER(SEARCH($A23, INDEX(AsistenciaJetAdminConcatenada!$D:$D, MATCH(1, (AsistenciaJetAdminConcatenada!$A:$A=BD$2)*(AsistenciaJetAdminConcatenada!$B:$B=BD$1), 0)), 1))),  0.5, 0))</f>
        <v>1</v>
      </c>
      <c r="BE23" s="47">
        <f t="array" ref="BE23">IF(AND(ISNUMBER(MATCH(BE$2, AsistenciaJetAdminConcatenada!$A:$A, 0)), ISNUMBER(MATCH(BE$1, AsistenciaJetAdminConcatenada!$B:$B, 0)), ISNUMBER(SEARCH($A23,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ISNUMBER(SEARCH($A23, INDEX(AsistenciaJetAdminConcatenada!$D:$D, MATCH(1, (AsistenciaJetAdminConcatenada!$A:$A=BE$2)*(AsistenciaJetAdminConcatenada!$B:$B=BE$1), 0)), 1))),  0.5, 0))</f>
        <v>1</v>
      </c>
      <c r="BF23" s="47">
        <f t="array" ref="BF23">IF(AND(ISNUMBER(MATCH(BF$2, AsistenciaJetAdminConcatenada!$A:$A, 0)), ISNUMBER(MATCH(BF$1, AsistenciaJetAdminConcatenada!$B:$B, 0)), ISNUMBER(SEARCH($A23,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ISNUMBER(SEARCH($A23, INDEX(AsistenciaJetAdminConcatenada!$D:$D, MATCH(1, (AsistenciaJetAdminConcatenada!$A:$A=BF$2)*(AsistenciaJetAdminConcatenada!$B:$B=BF$1), 0)), 1))),  0.5, 0))</f>
        <v>0</v>
      </c>
      <c r="BG23" s="47">
        <f t="array" ref="BG23">IF(AND(ISNUMBER(MATCH(BG$2, AsistenciaJetAdminConcatenada!$A:$A, 0)), ISNUMBER(MATCH(BG$1, AsistenciaJetAdminConcatenada!$B:$B, 0)), ISNUMBER(SEARCH($A23,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ISNUMBER(SEARCH($A23, INDEX(AsistenciaJetAdminConcatenada!$D:$D, MATCH(1, (AsistenciaJetAdminConcatenada!$A:$A=BG$2)*(AsistenciaJetAdminConcatenada!$B:$B=BG$1), 0)), 1))),  0.5, 0))</f>
        <v>0</v>
      </c>
      <c r="BH23" s="47">
        <f t="array" ref="BH23">IF(AND(ISNUMBER(MATCH(BH$2, AsistenciaJetAdminConcatenada!$A:$A, 0)), ISNUMBER(MATCH(BH$1, AsistenciaJetAdminConcatenada!$B:$B, 0)), ISNUMBER(SEARCH($A23,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ISNUMBER(SEARCH($A23, INDEX(AsistenciaJetAdminConcatenada!$D:$D, MATCH(1, (AsistenciaJetAdminConcatenada!$A:$A=BH$2)*(AsistenciaJetAdminConcatenada!$B:$B=BH$1), 0)), 1))),  0.5, 0))</f>
        <v>1</v>
      </c>
      <c r="BI23" s="47">
        <f t="array" ref="BI23">IF(AND(ISNUMBER(MATCH(BI$2, AsistenciaJetAdminConcatenada!$A:$A, 0)), ISNUMBER(MATCH(BI$1, AsistenciaJetAdminConcatenada!$B:$B, 0)), ISNUMBER(SEARCH($A23,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ISNUMBER(SEARCH($A23, INDEX(AsistenciaJetAdminConcatenada!$D:$D, MATCH(1, (AsistenciaJetAdminConcatenada!$A:$A=BI$2)*(AsistenciaJetAdminConcatenada!$B:$B=BI$1), 0)), 1))),  0.5, 0))</f>
        <v>0</v>
      </c>
      <c r="BJ23" s="47">
        <f t="array" ref="BJ23">IF(AND(ISNUMBER(MATCH(BJ$2, AsistenciaJetAdminConcatenada!$A:$A, 0)), ISNUMBER(MATCH(BJ$1, AsistenciaJetAdminConcatenada!$B:$B, 0)), ISNUMBER(SEARCH($A23,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ISNUMBER(SEARCH($A23, INDEX(AsistenciaJetAdminConcatenada!$D:$D, MATCH(1, (AsistenciaJetAdminConcatenada!$A:$A=BJ$2)*(AsistenciaJetAdminConcatenada!$B:$B=BJ$1), 0)), 1))),  0.5, 0))</f>
        <v>1</v>
      </c>
      <c r="BK23" s="47">
        <f t="array" ref="BK23">IF(AND(ISNUMBER(MATCH(BK$2, AsistenciaJetAdminConcatenada!$A:$A, 0)), ISNUMBER(MATCH(BK$1, AsistenciaJetAdminConcatenada!$B:$B, 0)), ISNUMBER(SEARCH($A23,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ISNUMBER(SEARCH($A23, INDEX(AsistenciaJetAdminConcatenada!$D:$D, MATCH(1, (AsistenciaJetAdminConcatenada!$A:$A=BK$2)*(AsistenciaJetAdminConcatenada!$B:$B=BK$1), 0)), 1))),  0.5, 0))</f>
        <v>1</v>
      </c>
      <c r="BL23" s="47">
        <f t="array" ref="BL23">IF(AND(ISNUMBER(MATCH(BL$2, AsistenciaJetAdminConcatenada!$A:$A, 0)), ISNUMBER(MATCH(BL$1, AsistenciaJetAdminConcatenada!$B:$B, 0)), ISNUMBER(SEARCH($A23,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ISNUMBER(SEARCH($A23, INDEX(AsistenciaJetAdminConcatenada!$D:$D, MATCH(1, (AsistenciaJetAdminConcatenada!$A:$A=BL$2)*(AsistenciaJetAdminConcatenada!$B:$B=BL$1), 0)), 1))),  0.5, 0))</f>
        <v>1</v>
      </c>
      <c r="BM23" s="47">
        <f t="array" ref="BM23">IF(AND(ISNUMBER(MATCH(BM$2, AsistenciaJetAdminConcatenada!$A:$A, 0)), ISNUMBER(MATCH(BM$1, AsistenciaJetAdminConcatenada!$B:$B, 0)), ISNUMBER(SEARCH($A23,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ISNUMBER(SEARCH($A23, INDEX(AsistenciaJetAdminConcatenada!$D:$D, MATCH(1, (AsistenciaJetAdminConcatenada!$A:$A=BM$2)*(AsistenciaJetAdminConcatenada!$B:$B=BM$1), 0)), 1))),  0.5, 0))</f>
        <v>1</v>
      </c>
      <c r="BN23" s="47">
        <f t="array" ref="BN23">IF(AND(ISNUMBER(MATCH(BN$2, AsistenciaJetAdminConcatenada!$A:$A, 0)), ISNUMBER(MATCH(BN$1, AsistenciaJetAdminConcatenada!$B:$B, 0)), ISNUMBER(SEARCH($A23,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ISNUMBER(SEARCH($A23, INDEX(AsistenciaJetAdminConcatenada!$D:$D, MATCH(1, (AsistenciaJetAdminConcatenada!$A:$A=BN$2)*(AsistenciaJetAdminConcatenada!$B:$B=BN$1), 0)), 1))),  0.5, 0))</f>
        <v>0</v>
      </c>
      <c r="BO23" s="47">
        <f t="array" ref="BO23">IF(AND(ISNUMBER(MATCH(BO$2, AsistenciaJetAdminConcatenada!$A:$A, 0)), ISNUMBER(MATCH(BO$1, AsistenciaJetAdminConcatenada!$B:$B, 0)), ISNUMBER(SEARCH($A23,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ISNUMBER(SEARCH($A23, INDEX(AsistenciaJetAdminConcatenada!$D:$D, MATCH(1, (AsistenciaJetAdminConcatenada!$A:$A=BO$2)*(AsistenciaJetAdminConcatenada!$B:$B=BO$1), 0)), 1))),  0.5, 0))</f>
        <v>0</v>
      </c>
      <c r="BP23" s="47">
        <f t="array" ref="BP23">IF(AND(ISNUMBER(MATCH(BP$2, AsistenciaJetAdminConcatenada!$A:$A, 0)), ISNUMBER(MATCH(BP$1, AsistenciaJetAdminConcatenada!$B:$B, 0)), ISNUMBER(SEARCH($A23,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ISNUMBER(SEARCH($A23, INDEX(AsistenciaJetAdminConcatenada!$D:$D, MATCH(1, (AsistenciaJetAdminConcatenada!$A:$A=BP$2)*(AsistenciaJetAdminConcatenada!$B:$B=BP$1), 0)), 1))),  0.5, 0))</f>
        <v>0</v>
      </c>
      <c r="BQ23" s="47">
        <f t="array" ref="BQ23">IF(AND(ISNUMBER(MATCH(BQ$2, AsistenciaJetAdminConcatenada!$A:$A, 0)), ISNUMBER(MATCH(BQ$1, AsistenciaJetAdminConcatenada!$B:$B, 0)), ISNUMBER(SEARCH($A23,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ISNUMBER(SEARCH($A23, INDEX(AsistenciaJetAdminConcatenada!$D:$D, MATCH(1, (AsistenciaJetAdminConcatenada!$A:$A=BQ$2)*(AsistenciaJetAdminConcatenada!$B:$B=BQ$1), 0)), 1))),  0.5, 0))</f>
        <v>1</v>
      </c>
      <c r="BR23" s="47">
        <f t="array" ref="BR23">IF(AND(ISNUMBER(MATCH(BR$2, AsistenciaJetAdminConcatenada!$A:$A, 0)), ISNUMBER(MATCH(BR$1, AsistenciaJetAdminConcatenada!$B:$B, 0)), ISNUMBER(SEARCH($A23,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ISNUMBER(SEARCH($A23, INDEX(AsistenciaJetAdminConcatenada!$D:$D, MATCH(1, (AsistenciaJetAdminConcatenada!$A:$A=BR$2)*(AsistenciaJetAdminConcatenada!$B:$B=BR$1), 0)), 1))),  0.5, 0))</f>
        <v>1</v>
      </c>
      <c r="BS23" s="47">
        <f t="array" ref="BS23">IF(AND(ISNUMBER(MATCH(BS$2, AsistenciaJetAdminConcatenada!$A:$A, 0)), ISNUMBER(MATCH(BS$1, AsistenciaJetAdminConcatenada!$B:$B, 0)), ISNUMBER(SEARCH($A23,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ISNUMBER(SEARCH($A23, INDEX(AsistenciaJetAdminConcatenada!$D:$D, MATCH(1, (AsistenciaJetAdminConcatenada!$A:$A=BS$2)*(AsistenciaJetAdminConcatenada!$B:$B=BS$1), 0)), 1))),  0.5, 0))</f>
        <v>0</v>
      </c>
      <c r="BT23" s="47">
        <f t="array" ref="BT23">IF(AND(ISNUMBER(MATCH(BT$2, AsistenciaJetAdminConcatenada!$A:$A, 0)), ISNUMBER(MATCH(BT$1, AsistenciaJetAdminConcatenada!$B:$B, 0)), ISNUMBER(SEARCH($A23,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ISNUMBER(SEARCH($A23, INDEX(AsistenciaJetAdminConcatenada!$D:$D, MATCH(1, (AsistenciaJetAdminConcatenada!$A:$A=BT$2)*(AsistenciaJetAdminConcatenada!$B:$B=BT$1), 0)), 1))),  0.5, 0))</f>
        <v>0</v>
      </c>
      <c r="BU23" s="47">
        <f t="array" ref="BU23">IF(AND(ISNUMBER(MATCH(BU$2, AsistenciaJetAdminConcatenada!$A:$A, 0)), ISNUMBER(MATCH(BU$1, AsistenciaJetAdminConcatenada!$B:$B, 0)), ISNUMBER(SEARCH($A23,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ISNUMBER(SEARCH($A23, INDEX(AsistenciaJetAdminConcatenada!$D:$D, MATCH(1, (AsistenciaJetAdminConcatenada!$A:$A=BU$2)*(AsistenciaJetAdminConcatenada!$B:$B=BU$1), 0)), 1))),  0.5, 0))</f>
        <v>1</v>
      </c>
      <c r="BV23" s="47">
        <f t="array" ref="BV23">IF(AND(ISNUMBER(MATCH(BV$2, AsistenciaJetAdminConcatenada!$A:$A, 0)), ISNUMBER(MATCH(BV$1, AsistenciaJetAdminConcatenada!$B:$B, 0)), ISNUMBER(SEARCH($A23,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ISNUMBER(SEARCH($A23, INDEX(AsistenciaJetAdminConcatenada!$D:$D, MATCH(1, (AsistenciaJetAdminConcatenada!$A:$A=BV$2)*(AsistenciaJetAdminConcatenada!$B:$B=BV$1), 0)), 1))),  0.5, 0))</f>
        <v>0</v>
      </c>
      <c r="BW23" s="47">
        <f t="array" ref="BW23">IF(AND(ISNUMBER(MATCH(BW$2, AsistenciaJetAdminConcatenada!$A:$A, 0)), ISNUMBER(MATCH(BW$1, AsistenciaJetAdminConcatenada!$B:$B, 0)), ISNUMBER(SEARCH($A23,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ISNUMBER(SEARCH($A23, INDEX(AsistenciaJetAdminConcatenada!$D:$D, MATCH(1, (AsistenciaJetAdminConcatenada!$A:$A=BW$2)*(AsistenciaJetAdminConcatenada!$B:$B=BW$1), 0)), 1))),  0.5, 0))</f>
        <v>1</v>
      </c>
      <c r="BX23" s="47">
        <f t="array" ref="BX23">IF(AND(ISNUMBER(MATCH(BX$2, AsistenciaJetAdminConcatenada!$A:$A, 0)), ISNUMBER(MATCH(BX$1, AsistenciaJetAdminConcatenada!$B:$B, 0)), ISNUMBER(SEARCH($A23,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ISNUMBER(SEARCH($A23, INDEX(AsistenciaJetAdminConcatenada!$D:$D, MATCH(1, (AsistenciaJetAdminConcatenada!$A:$A=BX$2)*(AsistenciaJetAdminConcatenada!$B:$B=BX$1), 0)), 1))),  0.5, 0))</f>
        <v>1</v>
      </c>
      <c r="BY23" s="47">
        <f t="array" ref="BY23">IF(AND(ISNUMBER(MATCH(BY$2, AsistenciaJetAdminConcatenada!$A:$A, 0)), ISNUMBER(MATCH(BY$1, AsistenciaJetAdminConcatenada!$B:$B, 0)), ISNUMBER(SEARCH($A23,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ISNUMBER(SEARCH($A23, INDEX(AsistenciaJetAdminConcatenada!$D:$D, MATCH(1, (AsistenciaJetAdminConcatenada!$A:$A=BY$2)*(AsistenciaJetAdminConcatenada!$B:$B=BY$1), 0)), 1))),  0.5, 0))</f>
        <v>1</v>
      </c>
      <c r="BZ23" s="47">
        <f t="array" ref="BZ23">IF(AND(ISNUMBER(MATCH(BZ$2, AsistenciaJetAdminConcatenada!$A:$A, 0)), ISNUMBER(MATCH(BZ$1, AsistenciaJetAdminConcatenada!$B:$B, 0)), ISNUMBER(SEARCH($A23,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ISNUMBER(SEARCH($A23, INDEX(AsistenciaJetAdminConcatenada!$D:$D, MATCH(1, (AsistenciaJetAdminConcatenada!$A:$A=BZ$2)*(AsistenciaJetAdminConcatenada!$B:$B=BZ$1), 0)), 1))),  0.5, 0))</f>
        <v>0</v>
      </c>
      <c r="CA23" s="47">
        <f t="array" ref="CA23">IF(AND(ISNUMBER(MATCH(CA$2, AsistenciaJetAdminConcatenada!$A:$A, 0)), ISNUMBER(MATCH(CA$1, AsistenciaJetAdminConcatenada!$B:$B, 0)), ISNUMBER(SEARCH($A23,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ISNUMBER(SEARCH($A23, INDEX(AsistenciaJetAdminConcatenada!$D:$D, MATCH(1, (AsistenciaJetAdminConcatenada!$A:$A=CA$2)*(AsistenciaJetAdminConcatenada!$B:$B=CA$1), 0)), 1))),  0.5, 0))</f>
        <v>1</v>
      </c>
      <c r="CB23" s="47">
        <f t="array" ref="CB23">IF(AND(ISNUMBER(MATCH(CB$2, AsistenciaJetAdminConcatenada!$A:$A, 0)), ISNUMBER(MATCH(CB$1, AsistenciaJetAdminConcatenada!$B:$B, 0)), ISNUMBER(SEARCH($A23,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ISNUMBER(SEARCH($A23, INDEX(AsistenciaJetAdminConcatenada!$D:$D, MATCH(1, (AsistenciaJetAdminConcatenada!$A:$A=CB$2)*(AsistenciaJetAdminConcatenada!$B:$B=CB$1), 0)), 1))),  0.5, 0))</f>
        <v>1</v>
      </c>
      <c r="CC23" s="47">
        <f t="array" ref="CC23">IF(AND(ISNUMBER(MATCH(CC$2, AsistenciaJetAdminConcatenada!$A:$A, 0)), ISNUMBER(MATCH(CC$1, AsistenciaJetAdminConcatenada!$B:$B, 0)), ISNUMBER(SEARCH($A23,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ISNUMBER(SEARCH($A23, INDEX(AsistenciaJetAdminConcatenada!$D:$D, MATCH(1, (AsistenciaJetAdminConcatenada!$A:$A=CC$2)*(AsistenciaJetAdminConcatenada!$B:$B=CC$1), 0)), 1))),  0.5, 0))</f>
        <v>1</v>
      </c>
      <c r="CD23" s="47">
        <f t="array" ref="CD23">IF(AND(ISNUMBER(MATCH(CD$2, AsistenciaJetAdminConcatenada!$A:$A, 0)), ISNUMBER(MATCH(CD$1, AsistenciaJetAdminConcatenada!$B:$B, 0)), ISNUMBER(SEARCH($A23,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ISNUMBER(SEARCH($A23, INDEX(AsistenciaJetAdminConcatenada!$D:$D, MATCH(1, (AsistenciaJetAdminConcatenada!$A:$A=CD$2)*(AsistenciaJetAdminConcatenada!$B:$B=CD$1), 0)), 1))),  0.5, 0))</f>
        <v>1</v>
      </c>
      <c r="CE23" s="47">
        <f t="array" ref="CE23">IF(AND(ISNUMBER(MATCH(CE$2, AsistenciaJetAdminConcatenada!$A:$A, 0)), ISNUMBER(MATCH(CE$1, AsistenciaJetAdminConcatenada!$B:$B, 0)), ISNUMBER(SEARCH($A23,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ISNUMBER(SEARCH($A23, INDEX(AsistenciaJetAdminConcatenada!$D:$D, MATCH(1, (AsistenciaJetAdminConcatenada!$A:$A=CE$2)*(AsistenciaJetAdminConcatenada!$B:$B=CE$1), 0)), 1))),  0.5, 0))</f>
        <v>0</v>
      </c>
      <c r="CF23" s="47">
        <f t="array" ref="CF23">IF(AND(ISNUMBER(MATCH(CF$2, AsistenciaJetAdminConcatenada!$A:$A, 0)), ISNUMBER(MATCH(CF$1, AsistenciaJetAdminConcatenada!$B:$B, 0)), ISNUMBER(SEARCH($A23,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ISNUMBER(SEARCH($A23, INDEX(AsistenciaJetAdminConcatenada!$D:$D, MATCH(1, (AsistenciaJetAdminConcatenada!$A:$A=CF$2)*(AsistenciaJetAdminConcatenada!$B:$B=CF$1), 0)), 1))),  0.5, 0))</f>
        <v>0</v>
      </c>
      <c r="CG23" s="47">
        <f t="array" ref="CG23">IF(AND(ISNUMBER(MATCH(CG$2, AsistenciaJetAdminConcatenada!$A:$A, 0)), ISNUMBER(MATCH(CG$1, AsistenciaJetAdminConcatenada!$B:$B, 0)), ISNUMBER(SEARCH($A23,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ISNUMBER(SEARCH($A23, INDEX(AsistenciaJetAdminConcatenada!$D:$D, MATCH(1, (AsistenciaJetAdminConcatenada!$A:$A=CG$2)*(AsistenciaJetAdminConcatenada!$B:$B=CG$1), 0)), 1))),  0.5, 0))</f>
        <v>0</v>
      </c>
      <c r="CH23" s="47">
        <f t="array" ref="CH23">IF(AND(ISNUMBER(MATCH(CH$2, AsistenciaJetAdminConcatenada!$A:$A, 0)), ISNUMBER(MATCH(CH$1, AsistenciaJetAdminConcatenada!$B:$B, 0)), ISNUMBER(SEARCH($A23,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ISNUMBER(SEARCH($A23, INDEX(AsistenciaJetAdminConcatenada!$D:$D, MATCH(1, (AsistenciaJetAdminConcatenada!$A:$A=CH$2)*(AsistenciaJetAdminConcatenada!$B:$B=CH$1), 0)), 1))),  0.5, 0))</f>
        <v>1</v>
      </c>
      <c r="CI23" s="47">
        <f t="array" ref="CI23">IF(AND(ISNUMBER(MATCH(CI$2, AsistenciaJetAdminConcatenada!$A:$A, 0)), ISNUMBER(MATCH(CI$1, AsistenciaJetAdminConcatenada!$B:$B, 0)), ISNUMBER(SEARCH($A23,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ISNUMBER(SEARCH($A23, INDEX(AsistenciaJetAdminConcatenada!$D:$D, MATCH(1, (AsistenciaJetAdminConcatenada!$A:$A=CI$2)*(AsistenciaJetAdminConcatenada!$B:$B=CI$1), 0)), 1))),  0.5, 0))</f>
        <v>0</v>
      </c>
      <c r="CJ23" s="47">
        <f t="array" ref="CJ23">IF(AND(ISNUMBER(MATCH(CJ$2, AsistenciaJetAdminConcatenada!$A:$A, 0)), ISNUMBER(MATCH(CJ$1, AsistenciaJetAdminConcatenada!$B:$B, 0)), ISNUMBER(SEARCH($A23,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ISNUMBER(SEARCH($A23, INDEX(AsistenciaJetAdminConcatenada!$D:$D, MATCH(1, (AsistenciaJetAdminConcatenada!$A:$A=CJ$2)*(AsistenciaJetAdminConcatenada!$B:$B=CJ$1), 0)), 1))),  0.5, 0))</f>
        <v>1</v>
      </c>
      <c r="CK23" s="47">
        <f t="array" ref="CK23">IF(AND(ISNUMBER(MATCH(CK$2, AsistenciaJetAdminConcatenada!$A:$A, 0)), ISNUMBER(MATCH(CK$1, AsistenciaJetAdminConcatenada!$B:$B, 0)), ISNUMBER(SEARCH($A23,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ISNUMBER(SEARCH($A23, INDEX(AsistenciaJetAdminConcatenada!$D:$D, MATCH(1, (AsistenciaJetAdminConcatenada!$A:$A=CK$2)*(AsistenciaJetAdminConcatenada!$B:$B=CK$1), 0)), 1))),  0.5, 0))</f>
        <v>1</v>
      </c>
      <c r="CL23" s="47">
        <f t="array" ref="CL23">IF(AND(ISNUMBER(MATCH(CL$2, AsistenciaJetAdminConcatenada!$A:$A, 0)), ISNUMBER(MATCH(CL$1, AsistenciaJetAdminConcatenada!$B:$B, 0)), ISNUMBER(SEARCH($A23,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ISNUMBER(SEARCH($A23, INDEX(AsistenciaJetAdminConcatenada!$D:$D, MATCH(1, (AsistenciaJetAdminConcatenada!$A:$A=CL$2)*(AsistenciaJetAdminConcatenada!$B:$B=CL$1), 0)), 1))),  0.5, 0))</f>
        <v>1</v>
      </c>
      <c r="CM23" s="47">
        <f t="array" ref="CM23">IF(AND(ISNUMBER(MATCH(CM$2, AsistenciaJetAdminConcatenada!$A:$A, 0)), ISNUMBER(MATCH(CM$1, AsistenciaJetAdminConcatenada!$B:$B, 0)), ISNUMBER(SEARCH($A23,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ISNUMBER(SEARCH($A23, INDEX(AsistenciaJetAdminConcatenada!$D:$D, MATCH(1, (AsistenciaJetAdminConcatenada!$A:$A=CM$2)*(AsistenciaJetAdminConcatenada!$B:$B=CM$1), 0)), 1))),  0.5, 0))</f>
        <v>1</v>
      </c>
      <c r="CN23" s="47">
        <f t="array" ref="CN23">IF(AND(ISNUMBER(MATCH(CN$2, AsistenciaJetAdminConcatenada!$A:$A, 0)), ISNUMBER(MATCH(CN$1, AsistenciaJetAdminConcatenada!$B:$B, 0)), ISNUMBER(SEARCH($A23,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ISNUMBER(SEARCH($A23, INDEX(AsistenciaJetAdminConcatenada!$D:$D, MATCH(1, (AsistenciaJetAdminConcatenada!$A:$A=CN$2)*(AsistenciaJetAdminConcatenada!$B:$B=CN$1), 0)), 1))),  0.5, 0))</f>
        <v>1</v>
      </c>
      <c r="CO23" s="47">
        <f t="array" ref="CO23">IF(AND(ISNUMBER(MATCH(CO$2, AsistenciaJetAdminConcatenada!$A:$A, 0)), ISNUMBER(MATCH(CO$1, AsistenciaJetAdminConcatenada!$B:$B, 0)), ISNUMBER(SEARCH($A23,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ISNUMBER(SEARCH($A23, INDEX(AsistenciaJetAdminConcatenada!$D:$D, MATCH(1, (AsistenciaJetAdminConcatenada!$A:$A=CO$2)*(AsistenciaJetAdminConcatenada!$B:$B=CO$1), 0)), 1))),  0.5, 0))</f>
        <v>0</v>
      </c>
      <c r="CP23" s="47">
        <f t="array" ref="CP23">IF(AND(ISNUMBER(MATCH(CP$2, AsistenciaJetAdminConcatenada!$A:$A, 0)), ISNUMBER(MATCH(CP$1, AsistenciaJetAdminConcatenada!$B:$B, 0)), ISNUMBER(SEARCH($A23,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ISNUMBER(SEARCH($A23, INDEX(AsistenciaJetAdminConcatenada!$D:$D, MATCH(1, (AsistenciaJetAdminConcatenada!$A:$A=CP$2)*(AsistenciaJetAdminConcatenada!$B:$B=CP$1), 0)), 1))),  0.5, 0))</f>
        <v>1</v>
      </c>
      <c r="CQ23" s="47">
        <f t="array" ref="CQ23">IF(AND(ISNUMBER(MATCH(CQ$2, AsistenciaJetAdminConcatenada!$A:$A, 0)), ISNUMBER(MATCH(CQ$1, AsistenciaJetAdminConcatenada!$B:$B, 0)), ISNUMBER(SEARCH($A23,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ISNUMBER(SEARCH($A23, INDEX(AsistenciaJetAdminConcatenada!$D:$D, MATCH(1, (AsistenciaJetAdminConcatenada!$A:$A=CQ$2)*(AsistenciaJetAdminConcatenada!$B:$B=CQ$1), 0)), 1))),  0.5, 0))</f>
        <v>1</v>
      </c>
      <c r="CR23" s="47">
        <f t="array" ref="CR23">IF(AND(ISNUMBER(MATCH(CR$2, AsistenciaJetAdminConcatenada!$A:$A, 0)), ISNUMBER(MATCH(CR$1, AsistenciaJetAdminConcatenada!$B:$B, 0)), ISNUMBER(SEARCH($A23,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ISNUMBER(SEARCH($A23, INDEX(AsistenciaJetAdminConcatenada!$D:$D, MATCH(1, (AsistenciaJetAdminConcatenada!$A:$A=CR$2)*(AsistenciaJetAdminConcatenada!$B:$B=CR$1), 0)), 1))),  0.5, 0))</f>
        <v>1</v>
      </c>
      <c r="CS23" s="47">
        <f t="array" ref="CS23">IF(AND(ISNUMBER(MATCH(CS$2, AsistenciaJetAdminConcatenada!$A:$A, 0)), ISNUMBER(MATCH(CS$1, AsistenciaJetAdminConcatenada!$B:$B, 0)), ISNUMBER(SEARCH($A23,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ISNUMBER(SEARCH($A23, INDEX(AsistenciaJetAdminConcatenada!$D:$D, MATCH(1, (AsistenciaJetAdminConcatenada!$A:$A=CS$2)*(AsistenciaJetAdminConcatenada!$B:$B=CS$1), 0)), 1))),  0.5, 0))</f>
        <v>0</v>
      </c>
      <c r="CT23" s="47">
        <f t="array" ref="CT23">IF(AND(ISNUMBER(MATCH(CT$2, AsistenciaJetAdminConcatenada!$A:$A, 0)), ISNUMBER(MATCH(CT$1, AsistenciaJetAdminConcatenada!$B:$B, 0)), ISNUMBER(SEARCH($A23,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ISNUMBER(SEARCH($A23, INDEX(AsistenciaJetAdminConcatenada!$D:$D, MATCH(1, (AsistenciaJetAdminConcatenada!$A:$A=CT$2)*(AsistenciaJetAdminConcatenada!$B:$B=CT$1), 0)), 1))),  0.5, 0))</f>
        <v>0</v>
      </c>
      <c r="CU23" s="47">
        <f t="array" ref="CU23">IF(AND(ISNUMBER(MATCH(CU$2, AsistenciaJetAdminConcatenada!$A:$A, 0)), ISNUMBER(MATCH(CU$1, AsistenciaJetAdminConcatenada!$B:$B, 0)), ISNUMBER(SEARCH($A23,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ISNUMBER(SEARCH($A23, INDEX(AsistenciaJetAdminConcatenada!$D:$D, MATCH(1, (AsistenciaJetAdminConcatenada!$A:$A=CU$2)*(AsistenciaJetAdminConcatenada!$B:$B=CU$1), 0)), 1))),  0.5, 0))</f>
        <v>0</v>
      </c>
      <c r="CV23" s="47">
        <f t="array" ref="CV23">IF(AND(ISNUMBER(MATCH(CV$2, AsistenciaJetAdminConcatenada!$A:$A, 0)), ISNUMBER(MATCH(CV$1, AsistenciaJetAdminConcatenada!$B:$B, 0)), ISNUMBER(SEARCH($A23,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ISNUMBER(SEARCH($A23, INDEX(AsistenciaJetAdminConcatenada!$D:$D, MATCH(1, (AsistenciaJetAdminConcatenada!$A:$A=CV$2)*(AsistenciaJetAdminConcatenada!$B:$B=CV$1), 0)), 1))),  0.5, 0))</f>
        <v>0</v>
      </c>
      <c r="CW23" s="47">
        <f t="array" ref="CW23">IF(AND(ISNUMBER(MATCH(CW$2, AsistenciaJetAdminConcatenada!$A:$A, 0)), ISNUMBER(MATCH(CW$1, AsistenciaJetAdminConcatenada!$B:$B, 0)), ISNUMBER(SEARCH($A23,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ISNUMBER(SEARCH($A23, INDEX(AsistenciaJetAdminConcatenada!$D:$D, MATCH(1, (AsistenciaJetAdminConcatenada!$A:$A=CW$2)*(AsistenciaJetAdminConcatenada!$B:$B=CW$1), 0)), 1))),  0.5, 0))</f>
        <v>0</v>
      </c>
      <c r="CX23" s="47">
        <f t="array" ref="CX23">IF(AND(ISNUMBER(MATCH(CX$2, AsistenciaJetAdminConcatenada!$A:$A, 0)), ISNUMBER(MATCH(CX$1, AsistenciaJetAdminConcatenada!$B:$B, 0)), ISNUMBER(SEARCH($A23,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ISNUMBER(SEARCH($A23, INDEX(AsistenciaJetAdminConcatenada!$D:$D, MATCH(1, (AsistenciaJetAdminConcatenada!$A:$A=CX$2)*(AsistenciaJetAdminConcatenada!$B:$B=CX$1), 0)), 1))),  0.5, 0))</f>
        <v>0</v>
      </c>
      <c r="CY23" s="47">
        <f t="array" ref="CY23">IF(AND(ISNUMBER(MATCH(CY$2, AsistenciaJetAdminConcatenada!$A:$A, 0)), ISNUMBER(MATCH(CY$1, AsistenciaJetAdminConcatenada!$B:$B, 0)), ISNUMBER(SEARCH($A23,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ISNUMBER(SEARCH($A23, INDEX(AsistenciaJetAdminConcatenada!$D:$D, MATCH(1, (AsistenciaJetAdminConcatenada!$A:$A=CY$2)*(AsistenciaJetAdminConcatenada!$B:$B=CY$1), 0)), 1))),  0.5, 0))</f>
        <v>0</v>
      </c>
      <c r="CZ23" s="47">
        <f t="array" ref="CZ23">IF(AND(ISNUMBER(MATCH(CZ$2, AsistenciaJetAdminConcatenada!$A:$A, 0)), ISNUMBER(MATCH(CZ$1, AsistenciaJetAdminConcatenada!$B:$B, 0)), ISNUMBER(SEARCH($A23,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ISNUMBER(SEARCH($A23, INDEX(AsistenciaJetAdminConcatenada!$D:$D, MATCH(1, (AsistenciaJetAdminConcatenada!$A:$A=CZ$2)*(AsistenciaJetAdminConcatenada!$B:$B=CZ$1), 0)), 1))),  0.5, 0))</f>
        <v>0</v>
      </c>
      <c r="DA23" s="47">
        <f t="array" ref="DA23">IF(AND(ISNUMBER(MATCH(DA$2, AsistenciaJetAdminConcatenada!$A:$A, 0)), ISNUMBER(MATCH(DA$1, AsistenciaJetAdminConcatenada!$B:$B, 0)), ISNUMBER(SEARCH($A23,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ISNUMBER(SEARCH($A23, INDEX(AsistenciaJetAdminConcatenada!$D:$D, MATCH(1, (AsistenciaJetAdminConcatenada!$A:$A=DA$2)*(AsistenciaJetAdminConcatenada!$B:$B=DA$1), 0)), 1))),  0.5, 0))</f>
        <v>0</v>
      </c>
      <c r="DB23" s="47">
        <f t="array" ref="DB23">IF(AND(ISNUMBER(MATCH(DB$2, AsistenciaJetAdminConcatenada!$A:$A, 0)), ISNUMBER(MATCH(DB$1, AsistenciaJetAdminConcatenada!$B:$B, 0)), ISNUMBER(SEARCH($A23,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ISNUMBER(SEARCH($A23, INDEX(AsistenciaJetAdminConcatenada!$D:$D, MATCH(1, (AsistenciaJetAdminConcatenada!$A:$A=DB$2)*(AsistenciaJetAdminConcatenada!$B:$B=DB$1), 0)), 1))),  0.5, 0))</f>
        <v>0</v>
      </c>
      <c r="DC23" s="47">
        <f t="array" ref="DC23">IF(AND(ISNUMBER(MATCH(DC$2, AsistenciaJetAdminConcatenada!$A:$A, 0)), ISNUMBER(MATCH(DC$1, AsistenciaJetAdminConcatenada!$B:$B, 0)), ISNUMBER(SEARCH($A23,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ISNUMBER(SEARCH($A23, INDEX(AsistenciaJetAdminConcatenada!$D:$D, MATCH(1, (AsistenciaJetAdminConcatenada!$A:$A=DC$2)*(AsistenciaJetAdminConcatenada!$B:$B=DC$1), 0)), 1))),  0.5, 0))</f>
        <v>0</v>
      </c>
      <c r="DD23" s="47">
        <f t="array" ref="DD23">IF(AND(ISNUMBER(MATCH(DD$2, AsistenciaJetAdminConcatenada!$A:$A, 0)), ISNUMBER(MATCH(DD$1, AsistenciaJetAdminConcatenada!$B:$B, 0)), ISNUMBER(SEARCH($A23,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ISNUMBER(SEARCH($A23, INDEX(AsistenciaJetAdminConcatenada!$D:$D, MATCH(1, (AsistenciaJetAdminConcatenada!$A:$A=DD$2)*(AsistenciaJetAdminConcatenada!$B:$B=DD$1), 0)), 1))),  0.5, 0))</f>
        <v>0</v>
      </c>
      <c r="DE23" s="47">
        <f t="array" ref="DE23">IF(AND(ISNUMBER(MATCH(DE$2, AsistenciaJetAdminConcatenada!$A:$A, 0)), ISNUMBER(MATCH(DE$1, AsistenciaJetAdminConcatenada!$B:$B, 0)), ISNUMBER(SEARCH($A23,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ISNUMBER(SEARCH($A23, INDEX(AsistenciaJetAdminConcatenada!$D:$D, MATCH(1, (AsistenciaJetAdminConcatenada!$A:$A=DE$2)*(AsistenciaJetAdminConcatenada!$B:$B=DE$1), 0)), 1))),  0.5, 0))</f>
        <v>0</v>
      </c>
      <c r="DF23" s="47">
        <f t="array" ref="DF23">IF(AND(ISNUMBER(MATCH(DF$2, AsistenciaJetAdminConcatenada!$A:$A, 0)), ISNUMBER(MATCH(DF$1, AsistenciaJetAdminConcatenada!$B:$B, 0)), ISNUMBER(SEARCH($A23,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ISNUMBER(SEARCH($A23, INDEX(AsistenciaJetAdminConcatenada!$D:$D, MATCH(1, (AsistenciaJetAdminConcatenada!$A:$A=DF$2)*(AsistenciaJetAdminConcatenada!$B:$B=DF$1), 0)), 1))),  0.5, 0))</f>
        <v>0</v>
      </c>
      <c r="DG23" s="47">
        <f t="array" ref="DG23">IF(AND(ISNUMBER(MATCH(DG$2, AsistenciaJetAdminConcatenada!$A:$A, 0)), ISNUMBER(MATCH(DG$1, AsistenciaJetAdminConcatenada!$B:$B, 0)), ISNUMBER(SEARCH($A23,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ISNUMBER(SEARCH($A23, INDEX(AsistenciaJetAdminConcatenada!$D:$D, MATCH(1, (AsistenciaJetAdminConcatenada!$A:$A=DG$2)*(AsistenciaJetAdminConcatenada!$B:$B=DG$1), 0)), 1))),  0.5, 0))</f>
        <v>0</v>
      </c>
      <c r="DH23" s="47">
        <f t="array" ref="DH23">IF(AND(ISNUMBER(MATCH(DH$2, AsistenciaJetAdminConcatenada!$A:$A, 0)), ISNUMBER(MATCH(DH$1, AsistenciaJetAdminConcatenada!$B:$B, 0)), ISNUMBER(SEARCH($A23,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ISNUMBER(SEARCH($A23, INDEX(AsistenciaJetAdminConcatenada!$D:$D, MATCH(1, (AsistenciaJetAdminConcatenada!$A:$A=DH$2)*(AsistenciaJetAdminConcatenada!$B:$B=DH$1), 0)), 1))),  0.5, 0))</f>
        <v>0</v>
      </c>
      <c r="DI23" s="47">
        <f t="array" ref="DI23">IF(AND(ISNUMBER(MATCH(DI$2, AsistenciaJetAdminConcatenada!$A:$A, 0)), ISNUMBER(MATCH(DI$1, AsistenciaJetAdminConcatenada!$B:$B, 0)), ISNUMBER(SEARCH($A23,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ISNUMBER(SEARCH($A23, INDEX(AsistenciaJetAdminConcatenada!$D:$D, MATCH(1, (AsistenciaJetAdminConcatenada!$A:$A=DI$2)*(AsistenciaJetAdminConcatenada!$B:$B=DI$1), 0)), 1))),  0.5, 0))</f>
        <v>0</v>
      </c>
      <c r="DJ23" s="47">
        <f t="array" ref="DJ23">IF(AND(ISNUMBER(MATCH(DJ$2, AsistenciaJetAdminConcatenada!$A:$A, 0)), ISNUMBER(MATCH(DJ$1, AsistenciaJetAdminConcatenada!$B:$B, 0)), ISNUMBER(SEARCH($A23,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ISNUMBER(SEARCH($A23, INDEX(AsistenciaJetAdminConcatenada!$D:$D, MATCH(1, (AsistenciaJetAdminConcatenada!$A:$A=DJ$2)*(AsistenciaJetAdminConcatenada!$B:$B=DJ$1), 0)), 1))),  0.5, 0))</f>
        <v>0</v>
      </c>
      <c r="DK23" s="47">
        <f t="array" ref="DK23">IF(AND(ISNUMBER(MATCH(DK$2, AsistenciaJetAdminConcatenada!$A:$A, 0)), ISNUMBER(MATCH(DK$1, AsistenciaJetAdminConcatenada!$B:$B, 0)), ISNUMBER(SEARCH($A23,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ISNUMBER(SEARCH($A23, INDEX(AsistenciaJetAdminConcatenada!$D:$D, MATCH(1, (AsistenciaJetAdminConcatenada!$A:$A=DK$2)*(AsistenciaJetAdminConcatenada!$B:$B=DK$1), 0)), 1))),  0.5, 0))</f>
        <v>0</v>
      </c>
      <c r="DL23" s="47">
        <f t="array" ref="DL23">IF(AND(ISNUMBER(MATCH(DL$2, AsistenciaJetAdminConcatenada!$A:$A, 0)), ISNUMBER(MATCH(DL$1, AsistenciaJetAdminConcatenada!$B:$B, 0)), ISNUMBER(SEARCH($A23,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ISNUMBER(SEARCH($A23, INDEX(AsistenciaJetAdminConcatenada!$D:$D, MATCH(1, (AsistenciaJetAdminConcatenada!$A:$A=DL$2)*(AsistenciaJetAdminConcatenada!$B:$B=DL$1), 0)), 1))),  0.5, 0))</f>
        <v>0</v>
      </c>
      <c r="DM23" s="47">
        <f t="array" ref="DM23">IF(AND(ISNUMBER(MATCH(DM$2, AsistenciaJetAdminConcatenada!$A:$A, 0)), ISNUMBER(MATCH(DM$1, AsistenciaJetAdminConcatenada!$B:$B, 0)), ISNUMBER(SEARCH($A23,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ISNUMBER(SEARCH($A23, INDEX(AsistenciaJetAdminConcatenada!$D:$D, MATCH(1, (AsistenciaJetAdminConcatenada!$A:$A=DM$2)*(AsistenciaJetAdminConcatenada!$B:$B=DM$1), 0)), 1))),  0.5, 0))</f>
        <v>0</v>
      </c>
      <c r="DN23" s="47">
        <f t="array" ref="DN23">IF(AND(ISNUMBER(MATCH(DN$2, AsistenciaJetAdminConcatenada!$A:$A, 0)), ISNUMBER(MATCH(DN$1, AsistenciaJetAdminConcatenada!$B:$B, 0)), ISNUMBER(SEARCH($A23,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ISNUMBER(SEARCH($A23, INDEX(AsistenciaJetAdminConcatenada!$D:$D, MATCH(1, (AsistenciaJetAdminConcatenada!$A:$A=DN$2)*(AsistenciaJetAdminConcatenada!$B:$B=DN$1), 0)), 1))),  0.5, 0))</f>
        <v>0</v>
      </c>
      <c r="DO23" s="47">
        <f t="array" ref="DO23">IF(AND(ISNUMBER(MATCH(DO$2, AsistenciaJetAdminConcatenada!$A:$A, 0)), ISNUMBER(MATCH(DO$1, AsistenciaJetAdminConcatenada!$B:$B, 0)), ISNUMBER(SEARCH($A23,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ISNUMBER(SEARCH($A23, INDEX(AsistenciaJetAdminConcatenada!$D:$D, MATCH(1, (AsistenciaJetAdminConcatenada!$A:$A=DO$2)*(AsistenciaJetAdminConcatenada!$B:$B=DO$1), 0)), 1))),  0.5, 0))</f>
        <v>0</v>
      </c>
      <c r="DP23" s="47">
        <f t="array" ref="DP23">IF(AND(ISNUMBER(MATCH(DP$2, AsistenciaJetAdminConcatenada!$A:$A, 0)), ISNUMBER(MATCH(DP$1, AsistenciaJetAdminConcatenada!$B:$B, 0)), ISNUMBER(SEARCH($A23,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ISNUMBER(SEARCH($A23, INDEX(AsistenciaJetAdminConcatenada!$D:$D, MATCH(1, (AsistenciaJetAdminConcatenada!$A:$A=DP$2)*(AsistenciaJetAdminConcatenada!$B:$B=DP$1), 0)), 1))),  0.5, 0))</f>
        <v>0</v>
      </c>
      <c r="DQ23" s="47">
        <f t="array" ref="DQ23">IF(AND(ISNUMBER(MATCH(DQ$2, AsistenciaJetAdminConcatenada!$A:$A, 0)), ISNUMBER(MATCH(DQ$1, AsistenciaJetAdminConcatenada!$B:$B, 0)), ISNUMBER(SEARCH($A23,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ISNUMBER(SEARCH($A23, INDEX(AsistenciaJetAdminConcatenada!$D:$D, MATCH(1, (AsistenciaJetAdminConcatenada!$A:$A=DQ$2)*(AsistenciaJetAdminConcatenada!$B:$B=DQ$1), 0)), 1))),  0.5, 0))</f>
        <v>0</v>
      </c>
      <c r="DR23" s="47">
        <f t="array" ref="DR23">IF(AND(ISNUMBER(MATCH(DR$2, AsistenciaJetAdminConcatenada!$A:$A, 0)), ISNUMBER(MATCH(DR$1, AsistenciaJetAdminConcatenada!$B:$B, 0)), ISNUMBER(SEARCH($A23,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ISNUMBER(SEARCH($A23, INDEX(AsistenciaJetAdminConcatenada!$D:$D, MATCH(1, (AsistenciaJetAdminConcatenada!$A:$A=DR$2)*(AsistenciaJetAdminConcatenada!$B:$B=DR$1), 0)), 1))),  0.5, 0))</f>
        <v>0</v>
      </c>
      <c r="DS23" s="47">
        <f t="array" ref="DS23">IF(AND(ISNUMBER(MATCH(DS$2, AsistenciaJetAdminConcatenada!$A:$A, 0)), ISNUMBER(MATCH(DS$1, AsistenciaJetAdminConcatenada!$B:$B, 0)), ISNUMBER(SEARCH($A23,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ISNUMBER(SEARCH($A23, INDEX(AsistenciaJetAdminConcatenada!$D:$D, MATCH(1, (AsistenciaJetAdminConcatenada!$A:$A=DS$2)*(AsistenciaJetAdminConcatenada!$B:$B=DS$1), 0)), 1))),  0.5, 0))</f>
        <v>0</v>
      </c>
      <c r="DT23" s="47">
        <f t="array" ref="DT23">IF(AND(ISNUMBER(MATCH(DT$2, AsistenciaJetAdminConcatenada!$A:$A, 0)), ISNUMBER(MATCH(DT$1, AsistenciaJetAdminConcatenada!$B:$B, 0)), ISNUMBER(SEARCH($A23,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ISNUMBER(SEARCH($A23, INDEX(AsistenciaJetAdminConcatenada!$D:$D, MATCH(1, (AsistenciaJetAdminConcatenada!$A:$A=DT$2)*(AsistenciaJetAdminConcatenada!$B:$B=DT$1), 0)), 1))),  0.5, 0))</f>
        <v>0</v>
      </c>
      <c r="DU23" s="47">
        <f t="array" ref="DU23">IF(AND(ISNUMBER(MATCH(DU$2, AsistenciaJetAdminConcatenada!$A:$A, 0)), ISNUMBER(MATCH(DU$1, AsistenciaJetAdminConcatenada!$B:$B, 0)), ISNUMBER(SEARCH($A23,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ISNUMBER(SEARCH($A23, INDEX(AsistenciaJetAdminConcatenada!$D:$D, MATCH(1, (AsistenciaJetAdminConcatenada!$A:$A=DU$2)*(AsistenciaJetAdminConcatenada!$B:$B=DU$1), 0)), 1))),  0.5, 0))</f>
        <v>0</v>
      </c>
      <c r="DV23" s="47">
        <f t="array" ref="DV23">IF(AND(ISNUMBER(MATCH(DV$2, AsistenciaJetAdminConcatenada!$A:$A, 0)), ISNUMBER(MATCH(DV$1, AsistenciaJetAdminConcatenada!$B:$B, 0)), ISNUMBER(SEARCH($A23,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ISNUMBER(SEARCH($A23, INDEX(AsistenciaJetAdminConcatenada!$D:$D, MATCH(1, (AsistenciaJetAdminConcatenada!$A:$A=DV$2)*(AsistenciaJetAdminConcatenada!$B:$B=DV$1), 0)), 1))),  0.5, 0))</f>
        <v>0</v>
      </c>
      <c r="DW23" s="47">
        <f t="array" ref="DW23">IF(AND(ISNUMBER(MATCH(DW$2, AsistenciaJetAdminConcatenada!$A:$A, 0)), ISNUMBER(MATCH(DW$1, AsistenciaJetAdminConcatenada!$B:$B, 0)), ISNUMBER(SEARCH($A23,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ISNUMBER(SEARCH($A23, INDEX(AsistenciaJetAdminConcatenada!$D:$D, MATCH(1, (AsistenciaJetAdminConcatenada!$A:$A=DW$2)*(AsistenciaJetAdminConcatenada!$B:$B=DW$1), 0)), 1))),  0.5, 0))</f>
        <v>0</v>
      </c>
      <c r="DX23" s="47">
        <f t="array" ref="DX23">IF(AND(ISNUMBER(MATCH(DX$2, AsistenciaJetAdminConcatenada!$A:$A, 0)), ISNUMBER(MATCH(DX$1, AsistenciaJetAdminConcatenada!$B:$B, 0)), ISNUMBER(SEARCH($A23,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ISNUMBER(SEARCH($A23, INDEX(AsistenciaJetAdminConcatenada!$D:$D, MATCH(1, (AsistenciaJetAdminConcatenada!$A:$A=DX$2)*(AsistenciaJetAdminConcatenada!$B:$B=DX$1), 0)), 1))),  0.5, 0))</f>
        <v>0</v>
      </c>
      <c r="DY23" s="47">
        <f t="array" ref="DY23">IF(AND(ISNUMBER(MATCH(DY$2, AsistenciaJetAdminConcatenada!$A:$A, 0)), ISNUMBER(MATCH(DY$1, AsistenciaJetAdminConcatenada!$B:$B, 0)), ISNUMBER(SEARCH($A23,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ISNUMBER(SEARCH($A23, INDEX(AsistenciaJetAdminConcatenada!$D:$D, MATCH(1, (AsistenciaJetAdminConcatenada!$A:$A=DY$2)*(AsistenciaJetAdminConcatenada!$B:$B=DY$1), 0)), 1))),  0.5, 0))</f>
        <v>0</v>
      </c>
      <c r="DZ23" s="47">
        <f t="array" ref="DZ23">IF(AND(ISNUMBER(MATCH(DZ$2, AsistenciaJetAdminConcatenada!$A:$A, 0)), ISNUMBER(MATCH(DZ$1, AsistenciaJetAdminConcatenada!$B:$B, 0)), ISNUMBER(SEARCH($A23,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ISNUMBER(SEARCH($A23, INDEX(AsistenciaJetAdminConcatenada!$D:$D, MATCH(1, (AsistenciaJetAdminConcatenada!$A:$A=DZ$2)*(AsistenciaJetAdminConcatenada!$B:$B=DZ$1), 0)), 1))),  0.5, 0))</f>
        <v>0</v>
      </c>
      <c r="EA23" s="47">
        <f t="array" ref="EA23">IF(AND(ISNUMBER(MATCH(EA$2, AsistenciaJetAdminConcatenada!$A:$A, 0)), ISNUMBER(MATCH(EA$1, AsistenciaJetAdminConcatenada!$B:$B, 0)), ISNUMBER(SEARCH($A23,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ISNUMBER(SEARCH($A23, INDEX(AsistenciaJetAdminConcatenada!$D:$D, MATCH(1, (AsistenciaJetAdminConcatenada!$A:$A=EA$2)*(AsistenciaJetAdminConcatenada!$B:$B=EA$1), 0)), 1))),  0.5, 0))</f>
        <v>0</v>
      </c>
      <c r="EB23" s="47">
        <f t="array" ref="EB23">IF(AND(ISNUMBER(MATCH(EB$2, AsistenciaJetAdminConcatenada!$A:$A, 0)), ISNUMBER(MATCH(EB$1, AsistenciaJetAdminConcatenada!$B:$B, 0)), ISNUMBER(SEARCH($A23,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ISNUMBER(SEARCH($A23, INDEX(AsistenciaJetAdminConcatenada!$D:$D, MATCH(1, (AsistenciaJetAdminConcatenada!$A:$A=EB$2)*(AsistenciaJetAdminConcatenada!$B:$B=EB$1), 0)), 1))),  0.5, 0))</f>
        <v>0</v>
      </c>
      <c r="EC23" s="47">
        <f t="array" ref="EC23">IF(AND(ISNUMBER(MATCH(EC$2, AsistenciaJetAdminConcatenada!$A:$A, 0)), ISNUMBER(MATCH(EC$1, AsistenciaJetAdminConcatenada!$B:$B, 0)), ISNUMBER(SEARCH($A23,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ISNUMBER(SEARCH($A23, INDEX(AsistenciaJetAdminConcatenada!$D:$D, MATCH(1, (AsistenciaJetAdminConcatenada!$A:$A=EC$2)*(AsistenciaJetAdminConcatenada!$B:$B=EC$1), 0)), 1))),  0.5, 0))</f>
        <v>0</v>
      </c>
      <c r="ED23" s="47">
        <f t="array" ref="ED23">IF(AND(ISNUMBER(MATCH(ED$2, AsistenciaJetAdminConcatenada!$A:$A, 0)), ISNUMBER(MATCH(ED$1, AsistenciaJetAdminConcatenada!$B:$B, 0)), ISNUMBER(SEARCH($A23,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ISNUMBER(SEARCH($A23, INDEX(AsistenciaJetAdminConcatenada!$D:$D, MATCH(1, (AsistenciaJetAdminConcatenada!$A:$A=ED$2)*(AsistenciaJetAdminConcatenada!$B:$B=ED$1), 0)), 1))),  0.5, 0))</f>
        <v>0</v>
      </c>
      <c r="EE23" s="47">
        <f t="array" ref="EE23">IF(AND(ISNUMBER(MATCH(EE$2, AsistenciaJetAdminConcatenada!$A:$A, 0)), ISNUMBER(MATCH(EE$1, AsistenciaJetAdminConcatenada!$B:$B, 0)), ISNUMBER(SEARCH($A23,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ISNUMBER(SEARCH($A23, INDEX(AsistenciaJetAdminConcatenada!$D:$D, MATCH(1, (AsistenciaJetAdminConcatenada!$A:$A=EE$2)*(AsistenciaJetAdminConcatenada!$B:$B=EE$1), 0)), 1))),  0.5, 0))</f>
        <v>0</v>
      </c>
      <c r="EF23" s="47">
        <f t="array" ref="EF23">IF(AND(ISNUMBER(MATCH(EF$2, AsistenciaJetAdminConcatenada!$A:$A, 0)), ISNUMBER(MATCH(EF$1, AsistenciaJetAdminConcatenada!$B:$B, 0)), ISNUMBER(SEARCH($A23,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ISNUMBER(SEARCH($A23, INDEX(AsistenciaJetAdminConcatenada!$D:$D, MATCH(1, (AsistenciaJetAdminConcatenada!$A:$A=EF$2)*(AsistenciaJetAdminConcatenada!$B:$B=EF$1), 0)), 1))),  0.5, 0))</f>
        <v>0</v>
      </c>
      <c r="EG23" s="47">
        <f t="array" ref="EG23">IF(AND(ISNUMBER(MATCH(EG$2, AsistenciaJetAdminConcatenada!$A:$A, 0)), ISNUMBER(MATCH(EG$1, AsistenciaJetAdminConcatenada!$B:$B, 0)), ISNUMBER(SEARCH($A23,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ISNUMBER(SEARCH($A23, INDEX(AsistenciaJetAdminConcatenada!$D:$D, MATCH(1, (AsistenciaJetAdminConcatenada!$A:$A=EG$2)*(AsistenciaJetAdminConcatenada!$B:$B=EG$1), 0)), 1))),  0.5, 0))</f>
        <v>0</v>
      </c>
      <c r="EH23" s="47">
        <f t="array" ref="EH23">IF(AND(ISNUMBER(MATCH(EH$2, AsistenciaJetAdminConcatenada!$A:$A, 0)), ISNUMBER(MATCH(EH$1, AsistenciaJetAdminConcatenada!$B:$B, 0)), ISNUMBER(SEARCH($A23,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ISNUMBER(SEARCH($A23, INDEX(AsistenciaJetAdminConcatenada!$D:$D, MATCH(1, (AsistenciaJetAdminConcatenada!$A:$A=EH$2)*(AsistenciaJetAdminConcatenada!$B:$B=EH$1), 0)), 1))),  0.5, 0))</f>
        <v>0</v>
      </c>
      <c r="EI23" s="47">
        <f t="array" ref="EI23">IF(AND(ISNUMBER(MATCH(EI$2, AsistenciaJetAdminConcatenada!$A:$A, 0)), ISNUMBER(MATCH(EI$1, AsistenciaJetAdminConcatenada!$B:$B, 0)), ISNUMBER(SEARCH($A23,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ISNUMBER(SEARCH($A23, INDEX(AsistenciaJetAdminConcatenada!$D:$D, MATCH(1, (AsistenciaJetAdminConcatenada!$A:$A=EI$2)*(AsistenciaJetAdminConcatenada!$B:$B=EI$1), 0)), 1))),  0.5, 0))</f>
        <v>0</v>
      </c>
      <c r="EJ23" s="47">
        <f t="array" ref="EJ23">IF(AND(ISNUMBER(MATCH(EJ$2, AsistenciaJetAdminConcatenada!$A:$A, 0)), ISNUMBER(MATCH(EJ$1, AsistenciaJetAdminConcatenada!$B:$B, 0)), ISNUMBER(SEARCH($A23,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ISNUMBER(SEARCH($A23, INDEX(AsistenciaJetAdminConcatenada!$D:$D, MATCH(1, (AsistenciaJetAdminConcatenada!$A:$A=EJ$2)*(AsistenciaJetAdminConcatenada!$B:$B=EJ$1), 0)), 1))),  0.5, 0))</f>
        <v>0</v>
      </c>
      <c r="EK23" s="47">
        <f t="array" ref="EK23">IF(AND(ISNUMBER(MATCH(EK$2, AsistenciaJetAdminConcatenada!$A:$A, 0)), ISNUMBER(MATCH(EK$1, AsistenciaJetAdminConcatenada!$B:$B, 0)), ISNUMBER(SEARCH($A23,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ISNUMBER(SEARCH($A23, INDEX(AsistenciaJetAdminConcatenada!$D:$D, MATCH(1, (AsistenciaJetAdminConcatenada!$A:$A=EK$2)*(AsistenciaJetAdminConcatenada!$B:$B=EK$1), 0)), 1))),  0.5, 0))</f>
        <v>0</v>
      </c>
      <c r="EL23" s="47">
        <f t="array" ref="EL23">IF(AND(ISNUMBER(MATCH(EL$2, AsistenciaJetAdminConcatenada!$A:$A, 0)), ISNUMBER(MATCH(EL$1, AsistenciaJetAdminConcatenada!$B:$B, 0)), ISNUMBER(SEARCH($A23,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ISNUMBER(SEARCH($A23, INDEX(AsistenciaJetAdminConcatenada!$D:$D, MATCH(1, (AsistenciaJetAdminConcatenada!$A:$A=EL$2)*(AsistenciaJetAdminConcatenada!$B:$B=EL$1), 0)), 1))),  0.5, 0))</f>
        <v>0</v>
      </c>
      <c r="EM23" s="47">
        <f t="array" ref="EM23">IF(AND(ISNUMBER(MATCH(EM$2, AsistenciaJetAdminConcatenada!$A:$A, 0)), ISNUMBER(MATCH(EM$1, AsistenciaJetAdminConcatenada!$B:$B, 0)), ISNUMBER(SEARCH($A23,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ISNUMBER(SEARCH($A23, INDEX(AsistenciaJetAdminConcatenada!$D:$D, MATCH(1, (AsistenciaJetAdminConcatenada!$A:$A=EM$2)*(AsistenciaJetAdminConcatenada!$B:$B=EM$1), 0)), 1))),  0.5, 0))</f>
        <v>0</v>
      </c>
      <c r="EN23" s="47">
        <f t="array" ref="EN23">IF(AND(ISNUMBER(MATCH(EN$2, AsistenciaJetAdminConcatenada!$A:$A, 0)), ISNUMBER(MATCH(EN$1, AsistenciaJetAdminConcatenada!$B:$B, 0)), ISNUMBER(SEARCH($A23,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ISNUMBER(SEARCH($A23, INDEX(AsistenciaJetAdminConcatenada!$D:$D, MATCH(1, (AsistenciaJetAdminConcatenada!$A:$A=EN$2)*(AsistenciaJetAdminConcatenada!$B:$B=EN$1), 0)), 1))),  0.5, 0))</f>
        <v>0</v>
      </c>
      <c r="EO23" s="47">
        <f t="array" ref="EO23">IF(AND(ISNUMBER(MATCH(EO$2, AsistenciaJetAdminConcatenada!$A:$A, 0)), ISNUMBER(MATCH(EO$1, AsistenciaJetAdminConcatenada!$B:$B, 0)), ISNUMBER(SEARCH($A23,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ISNUMBER(SEARCH($A23, INDEX(AsistenciaJetAdminConcatenada!$D:$D, MATCH(1, (AsistenciaJetAdminConcatenada!$A:$A=EO$2)*(AsistenciaJetAdminConcatenada!$B:$B=EO$1), 0)), 1))),  0.5, 0))</f>
        <v>0</v>
      </c>
      <c r="EP23" s="47">
        <f t="array" ref="EP23">IF(AND(ISNUMBER(MATCH(EP$2, AsistenciaJetAdminConcatenada!$A:$A, 0)), ISNUMBER(MATCH(EP$1, AsistenciaJetAdminConcatenada!$B:$B, 0)), ISNUMBER(SEARCH($A23,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ISNUMBER(SEARCH($A23, INDEX(AsistenciaJetAdminConcatenada!$D:$D, MATCH(1, (AsistenciaJetAdminConcatenada!$A:$A=EP$2)*(AsistenciaJetAdminConcatenada!$B:$B=EP$1), 0)), 1))),  0.5, 0))</f>
        <v>0</v>
      </c>
      <c r="EQ23" s="47">
        <f t="array" ref="EQ23">IF(AND(ISNUMBER(MATCH(EQ$2, AsistenciaJetAdminConcatenada!$A:$A, 0)), ISNUMBER(MATCH(EQ$1, AsistenciaJetAdminConcatenada!$B:$B, 0)), ISNUMBER(SEARCH($A23,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ISNUMBER(SEARCH($A23, INDEX(AsistenciaJetAdminConcatenada!$D:$D, MATCH(1, (AsistenciaJetAdminConcatenada!$A:$A=EQ$2)*(AsistenciaJetAdminConcatenada!$B:$B=EQ$1), 0)), 1))),  0.5, 0))</f>
        <v>0</v>
      </c>
      <c r="ER23" s="47">
        <f t="array" ref="ER23">IF(AND(ISNUMBER(MATCH(ER$2, AsistenciaJetAdminConcatenada!$A:$A, 0)), ISNUMBER(MATCH(ER$1, AsistenciaJetAdminConcatenada!$B:$B, 0)), ISNUMBER(SEARCH($A23,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ISNUMBER(SEARCH($A23, INDEX(AsistenciaJetAdminConcatenada!$D:$D, MATCH(1, (AsistenciaJetAdminConcatenada!$A:$A=ER$2)*(AsistenciaJetAdminConcatenada!$B:$B=ER$1), 0)), 1))),  0.5, 0))</f>
        <v>0</v>
      </c>
      <c r="ES23" s="47">
        <f t="array" ref="ES23">IF(AND(ISNUMBER(MATCH(ES$2, AsistenciaJetAdminConcatenada!$A:$A, 0)), ISNUMBER(MATCH(ES$1, AsistenciaJetAdminConcatenada!$B:$B, 0)), ISNUMBER(SEARCH($A23,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ISNUMBER(SEARCH($A23, INDEX(AsistenciaJetAdminConcatenada!$D:$D, MATCH(1, (AsistenciaJetAdminConcatenada!$A:$A=ES$2)*(AsistenciaJetAdminConcatenada!$B:$B=ES$1), 0)), 1))),  0.5, 0))</f>
        <v>0</v>
      </c>
      <c r="ET23" s="47">
        <f t="array" ref="ET23">IF(AND(ISNUMBER(MATCH(ET$2, AsistenciaJetAdminConcatenada!$A:$A, 0)), ISNUMBER(MATCH(ET$1, AsistenciaJetAdminConcatenada!$B:$B, 0)), ISNUMBER(SEARCH($A23,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ISNUMBER(SEARCH($A23, INDEX(AsistenciaJetAdminConcatenada!$D:$D, MATCH(1, (AsistenciaJetAdminConcatenada!$A:$A=ET$2)*(AsistenciaJetAdminConcatenada!$B:$B=ET$1), 0)), 1))),  0.5, 0))</f>
        <v>0</v>
      </c>
      <c r="EU23" s="47">
        <f t="array" ref="EU23">IF(AND(ISNUMBER(MATCH(EU$2, AsistenciaJetAdminConcatenada!$A:$A, 0)), ISNUMBER(MATCH(EU$1, AsistenciaJetAdminConcatenada!$B:$B, 0)), ISNUMBER(SEARCH($A23,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ISNUMBER(SEARCH($A23, INDEX(AsistenciaJetAdminConcatenada!$D:$D, MATCH(1, (AsistenciaJetAdminConcatenada!$A:$A=EU$2)*(AsistenciaJetAdminConcatenada!$B:$B=EU$1), 0)), 1))),  0.5, 0))</f>
        <v>0</v>
      </c>
      <c r="EV23" s="47">
        <f t="array" ref="EV23">IF(AND(ISNUMBER(MATCH(EV$2, AsistenciaJetAdminConcatenada!$A:$A, 0)), ISNUMBER(MATCH(EV$1, AsistenciaJetAdminConcatenada!$B:$B, 0)), ISNUMBER(SEARCH($A23,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ISNUMBER(SEARCH($A23, INDEX(AsistenciaJetAdminConcatenada!$D:$D, MATCH(1, (AsistenciaJetAdminConcatenada!$A:$A=EV$2)*(AsistenciaJetAdminConcatenada!$B:$B=EV$1), 0)), 1))),  0.5, 0))</f>
        <v>0</v>
      </c>
      <c r="EW23" s="47">
        <f t="array" ref="EW23">IF(AND(ISNUMBER(MATCH(EW$2, AsistenciaJetAdminConcatenada!$A:$A, 0)), ISNUMBER(MATCH(EW$1, AsistenciaJetAdminConcatenada!$B:$B, 0)), ISNUMBER(SEARCH($A23,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ISNUMBER(SEARCH($A23, INDEX(AsistenciaJetAdminConcatenada!$D:$D, MATCH(1, (AsistenciaJetAdminConcatenada!$A:$A=EW$2)*(AsistenciaJetAdminConcatenada!$B:$B=EW$1), 0)), 1))),  0.5, 0))</f>
        <v>0</v>
      </c>
      <c r="EX23" s="47">
        <f t="array" ref="EX23">IF(AND(ISNUMBER(MATCH(EX$2, AsistenciaJetAdminConcatenada!$A:$A, 0)), ISNUMBER(MATCH(EX$1, AsistenciaJetAdminConcatenada!$B:$B, 0)), ISNUMBER(SEARCH($A23,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ISNUMBER(SEARCH($A23, INDEX(AsistenciaJetAdminConcatenada!$D:$D, MATCH(1, (AsistenciaJetAdminConcatenada!$A:$A=EX$2)*(AsistenciaJetAdminConcatenada!$B:$B=EX$1), 0)), 1))),  0.5, 0))</f>
        <v>0</v>
      </c>
      <c r="EY23" s="47">
        <f t="array" ref="EY23">IF(AND(ISNUMBER(MATCH(EY$2, AsistenciaJetAdminConcatenada!$A:$A, 0)), ISNUMBER(MATCH(EY$1, AsistenciaJetAdminConcatenada!$B:$B, 0)), ISNUMBER(SEARCH($A23,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ISNUMBER(SEARCH($A23, INDEX(AsistenciaJetAdminConcatenada!$D:$D, MATCH(1, (AsistenciaJetAdminConcatenada!$A:$A=EY$2)*(AsistenciaJetAdminConcatenada!$B:$B=EY$1), 0)), 1))),  0.5, 0))</f>
        <v>0</v>
      </c>
      <c r="EZ23" s="47">
        <f t="array" ref="EZ23">IF(AND(ISNUMBER(MATCH(EZ$2, AsistenciaJetAdminConcatenada!$A:$A, 0)), ISNUMBER(MATCH(EZ$1, AsistenciaJetAdminConcatenada!$B:$B, 0)), ISNUMBER(SEARCH($A23,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ISNUMBER(SEARCH($A23, INDEX(AsistenciaJetAdminConcatenada!$D:$D, MATCH(1, (AsistenciaJetAdminConcatenada!$A:$A=EZ$2)*(AsistenciaJetAdminConcatenada!$B:$B=EZ$1), 0)), 1))),  0.5, 0))</f>
        <v>0</v>
      </c>
      <c r="FA23" s="47">
        <f t="array" ref="FA23">IF(AND(ISNUMBER(MATCH(FA$2, AsistenciaJetAdminConcatenada!$A:$A, 0)), ISNUMBER(MATCH(FA$1, AsistenciaJetAdminConcatenada!$B:$B, 0)), ISNUMBER(SEARCH($A23,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ISNUMBER(SEARCH($A23, INDEX(AsistenciaJetAdminConcatenada!$D:$D, MATCH(1, (AsistenciaJetAdminConcatenada!$A:$A=FA$2)*(AsistenciaJetAdminConcatenada!$B:$B=FA$1), 0)), 1))),  0.5, 0))</f>
        <v>0</v>
      </c>
      <c r="FB23" s="47">
        <f t="array" ref="FB23">IF(AND(ISNUMBER(MATCH(FB$2, AsistenciaJetAdminConcatenada!$A:$A, 0)), ISNUMBER(MATCH(FB$1, AsistenciaJetAdminConcatenada!$B:$B, 0)), ISNUMBER(SEARCH($A23,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ISNUMBER(SEARCH($A23, INDEX(AsistenciaJetAdminConcatenada!$D:$D, MATCH(1, (AsistenciaJetAdminConcatenada!$A:$A=FB$2)*(AsistenciaJetAdminConcatenada!$B:$B=FB$1), 0)), 1))),  0.5, 0))</f>
        <v>0</v>
      </c>
      <c r="FC23" s="47">
        <f t="array" ref="FC23">IF(AND(ISNUMBER(MATCH(FC$2, AsistenciaJetAdminConcatenada!$A:$A, 0)), ISNUMBER(MATCH(FC$1, AsistenciaJetAdminConcatenada!$B:$B, 0)), ISNUMBER(SEARCH($A23,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ISNUMBER(SEARCH($A23, INDEX(AsistenciaJetAdminConcatenada!$D:$D, MATCH(1, (AsistenciaJetAdminConcatenada!$A:$A=FC$2)*(AsistenciaJetAdminConcatenada!$B:$B=FC$1), 0)), 1))),  0.5, 0))</f>
        <v>0</v>
      </c>
      <c r="FD23" s="47">
        <f t="array" ref="FD23">IF(AND(ISNUMBER(MATCH(FD$2, AsistenciaJetAdminConcatenada!$A:$A, 0)), ISNUMBER(MATCH(FD$1, AsistenciaJetAdminConcatenada!$B:$B, 0)), ISNUMBER(SEARCH($A23,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ISNUMBER(SEARCH($A23, INDEX(AsistenciaJetAdminConcatenada!$D:$D, MATCH(1, (AsistenciaJetAdminConcatenada!$A:$A=FD$2)*(AsistenciaJetAdminConcatenada!$B:$B=FD$1), 0)), 1))),  0.5, 0))</f>
        <v>0</v>
      </c>
      <c r="FE23" s="47">
        <f t="array" ref="FE23">IF(AND(ISNUMBER(MATCH(FE$2, AsistenciaJetAdminConcatenada!$A:$A, 0)), ISNUMBER(MATCH(FE$1, AsistenciaJetAdminConcatenada!$B:$B, 0)), ISNUMBER(SEARCH($A23,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ISNUMBER(SEARCH($A23, INDEX(AsistenciaJetAdminConcatenada!$D:$D, MATCH(1, (AsistenciaJetAdminConcatenada!$A:$A=FE$2)*(AsistenciaJetAdminConcatenada!$B:$B=FE$1), 0)), 1))),  0.5, 0))</f>
        <v>0</v>
      </c>
      <c r="FF23" s="47">
        <f t="array" ref="FF23">IF(AND(ISNUMBER(MATCH(FF$2, AsistenciaJetAdminConcatenada!$A:$A, 0)), ISNUMBER(MATCH(FF$1, AsistenciaJetAdminConcatenada!$B:$B, 0)), ISNUMBER(SEARCH($A23,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ISNUMBER(SEARCH($A23, INDEX(AsistenciaJetAdminConcatenada!$D:$D, MATCH(1, (AsistenciaJetAdminConcatenada!$A:$A=FF$2)*(AsistenciaJetAdminConcatenada!$B:$B=FF$1), 0)), 1))),  0.5, 0))</f>
        <v>0</v>
      </c>
      <c r="FG23" s="47">
        <f t="array" ref="FG23">IF(AND(ISNUMBER(MATCH(FG$2, AsistenciaJetAdminConcatenada!$A:$A, 0)), ISNUMBER(MATCH(FG$1, AsistenciaJetAdminConcatenada!$B:$B, 0)), ISNUMBER(SEARCH($A23,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ISNUMBER(SEARCH($A23, INDEX(AsistenciaJetAdminConcatenada!$D:$D, MATCH(1, (AsistenciaJetAdminConcatenada!$A:$A=FG$2)*(AsistenciaJetAdminConcatenada!$B:$B=FG$1), 0)), 1))),  0.5, 0))</f>
        <v>0</v>
      </c>
      <c r="FH23" s="47">
        <f t="array" ref="FH23">IF(AND(ISNUMBER(MATCH(FH$2, AsistenciaJetAdminConcatenada!$A:$A, 0)), ISNUMBER(MATCH(FH$1, AsistenciaJetAdminConcatenada!$B:$B, 0)), ISNUMBER(SEARCH($A23,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ISNUMBER(SEARCH($A23, INDEX(AsistenciaJetAdminConcatenada!$D:$D, MATCH(1, (AsistenciaJetAdminConcatenada!$A:$A=FH$2)*(AsistenciaJetAdminConcatenada!$B:$B=FH$1), 0)), 1))),  0.5, 0))</f>
        <v>0</v>
      </c>
      <c r="FI23" s="47">
        <f t="array" ref="FI23">IF(AND(ISNUMBER(MATCH(FI$2, AsistenciaJetAdminConcatenada!$A:$A, 0)), ISNUMBER(MATCH(FI$1, AsistenciaJetAdminConcatenada!$B:$B, 0)), ISNUMBER(SEARCH($A23,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ISNUMBER(SEARCH($A23, INDEX(AsistenciaJetAdminConcatenada!$D:$D, MATCH(1, (AsistenciaJetAdminConcatenada!$A:$A=FI$2)*(AsistenciaJetAdminConcatenada!$B:$B=FI$1), 0)), 1))),  0.5, 0))</f>
        <v>0</v>
      </c>
      <c r="FJ23" s="47">
        <f t="array" ref="FJ23">IF(AND(ISNUMBER(MATCH(FJ$2, AsistenciaJetAdminConcatenada!$A:$A, 0)), ISNUMBER(MATCH(FJ$1, AsistenciaJetAdminConcatenada!$B:$B, 0)), ISNUMBER(SEARCH($A23,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ISNUMBER(SEARCH($A23, INDEX(AsistenciaJetAdminConcatenada!$D:$D, MATCH(1, (AsistenciaJetAdminConcatenada!$A:$A=FJ$2)*(AsistenciaJetAdminConcatenada!$B:$B=FJ$1), 0)), 1))),  0.5, 0))</f>
        <v>0</v>
      </c>
      <c r="FK23" s="47">
        <f t="array" ref="FK23">IF(AND(ISNUMBER(MATCH(FK$2, AsistenciaJetAdminConcatenada!$A:$A, 0)), ISNUMBER(MATCH(FK$1, AsistenciaJetAdminConcatenada!$B:$B, 0)), ISNUMBER(SEARCH($A23,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ISNUMBER(SEARCH($A23, INDEX(AsistenciaJetAdminConcatenada!$D:$D, MATCH(1, (AsistenciaJetAdminConcatenada!$A:$A=FK$2)*(AsistenciaJetAdminConcatenada!$B:$B=FK$1), 0)), 1))),  0.5, 0))</f>
        <v>0</v>
      </c>
      <c r="FL23" s="47">
        <f t="array" ref="FL23">IF(AND(ISNUMBER(MATCH(FL$2, AsistenciaJetAdminConcatenada!$A:$A, 0)), ISNUMBER(MATCH(FL$1, AsistenciaJetAdminConcatenada!$B:$B, 0)), ISNUMBER(SEARCH($A23,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ISNUMBER(SEARCH($A23, INDEX(AsistenciaJetAdminConcatenada!$D:$D, MATCH(1, (AsistenciaJetAdminConcatenada!$A:$A=FL$2)*(AsistenciaJetAdminConcatenada!$B:$B=FL$1), 0)), 1))),  0.5, 0))</f>
        <v>0</v>
      </c>
      <c r="FM23" s="47">
        <f t="array" ref="FM23">IF(AND(ISNUMBER(MATCH(FM$2, AsistenciaJetAdminConcatenada!$A:$A, 0)), ISNUMBER(MATCH(FM$1, AsistenciaJetAdminConcatenada!$B:$B, 0)), ISNUMBER(SEARCH($A23,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ISNUMBER(SEARCH($A23, INDEX(AsistenciaJetAdminConcatenada!$D:$D, MATCH(1, (AsistenciaJetAdminConcatenada!$A:$A=FM$2)*(AsistenciaJetAdminConcatenada!$B:$B=FM$1), 0)), 1))),  0.5, 0))</f>
        <v>0</v>
      </c>
      <c r="FN23" s="47">
        <f t="array" ref="FN23">IF(AND(ISNUMBER(MATCH(FN$2, AsistenciaJetAdminConcatenada!$A:$A, 0)), ISNUMBER(MATCH(FN$1, AsistenciaJetAdminConcatenada!$B:$B, 0)), ISNUMBER(SEARCH($A23,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ISNUMBER(SEARCH($A23, INDEX(AsistenciaJetAdminConcatenada!$D:$D, MATCH(1, (AsistenciaJetAdminConcatenada!$A:$A=FN$2)*(AsistenciaJetAdminConcatenada!$B:$B=FN$1), 0)), 1))),  0.5, 0))</f>
        <v>0</v>
      </c>
      <c r="FO23" s="47">
        <f t="array" ref="FO23">IF(AND(ISNUMBER(MATCH(FO$2, AsistenciaJetAdminConcatenada!$A:$A, 0)), ISNUMBER(MATCH(FO$1, AsistenciaJetAdminConcatenada!$B:$B, 0)), ISNUMBER(SEARCH($A23,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ISNUMBER(SEARCH($A23, INDEX(AsistenciaJetAdminConcatenada!$D:$D, MATCH(1, (AsistenciaJetAdminConcatenada!$A:$A=FO$2)*(AsistenciaJetAdminConcatenada!$B:$B=FO$1), 0)), 1))),  0.5, 0))</f>
        <v>0</v>
      </c>
      <c r="FP23" s="47">
        <f t="array" ref="FP23">IF(AND(ISNUMBER(MATCH(FP$2, AsistenciaJetAdminConcatenada!$A:$A, 0)), ISNUMBER(MATCH(FP$1, AsistenciaJetAdminConcatenada!$B:$B, 0)), ISNUMBER(SEARCH($A23,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ISNUMBER(SEARCH($A23, INDEX(AsistenciaJetAdminConcatenada!$D:$D, MATCH(1, (AsistenciaJetAdminConcatenada!$A:$A=FP$2)*(AsistenciaJetAdminConcatenada!$B:$B=FP$1), 0)), 1))),  0.5, 0))</f>
        <v>0</v>
      </c>
      <c r="FQ23" s="47">
        <f t="array" ref="FQ23">IF(AND(ISNUMBER(MATCH(FQ$2, AsistenciaJetAdminConcatenada!$A:$A, 0)), ISNUMBER(MATCH(FQ$1, AsistenciaJetAdminConcatenada!$B:$B, 0)), ISNUMBER(SEARCH($A23,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ISNUMBER(SEARCH($A23, INDEX(AsistenciaJetAdminConcatenada!$D:$D, MATCH(1, (AsistenciaJetAdminConcatenada!$A:$A=FQ$2)*(AsistenciaJetAdminConcatenada!$B:$B=FQ$1), 0)), 1))),  0.5, 0))</f>
        <v>0</v>
      </c>
      <c r="FR23" s="47">
        <f t="array" ref="FR23">IF(AND(ISNUMBER(MATCH(FR$2, AsistenciaJetAdminConcatenada!$A:$A, 0)), ISNUMBER(MATCH(FR$1, AsistenciaJetAdminConcatenada!$B:$B, 0)), ISNUMBER(SEARCH($A23,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ISNUMBER(SEARCH($A23, INDEX(AsistenciaJetAdminConcatenada!$D:$D, MATCH(1, (AsistenciaJetAdminConcatenada!$A:$A=FR$2)*(AsistenciaJetAdminConcatenada!$B:$B=FR$1), 0)), 1))),  0.5, 0))</f>
        <v>0</v>
      </c>
      <c r="FS23" s="47">
        <f t="array" ref="FS23">IF(AND(ISNUMBER(MATCH(FS$2, AsistenciaJetAdminConcatenada!$A:$A, 0)), ISNUMBER(MATCH(FS$1, AsistenciaJetAdminConcatenada!$B:$B, 0)), ISNUMBER(SEARCH($A23,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ISNUMBER(SEARCH($A23, INDEX(AsistenciaJetAdminConcatenada!$D:$D, MATCH(1, (AsistenciaJetAdminConcatenada!$A:$A=FS$2)*(AsistenciaJetAdminConcatenada!$B:$B=FS$1), 0)), 1))),  0.5, 0))</f>
        <v>0</v>
      </c>
      <c r="FT23" s="47">
        <f t="array" ref="FT23">IF(AND(ISNUMBER(MATCH(FT$2, AsistenciaJetAdminConcatenada!$A:$A, 0)), ISNUMBER(MATCH(FT$1, AsistenciaJetAdminConcatenada!$B:$B, 0)), ISNUMBER(SEARCH($A23,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ISNUMBER(SEARCH($A23, INDEX(AsistenciaJetAdminConcatenada!$D:$D, MATCH(1, (AsistenciaJetAdminConcatenada!$A:$A=FT$2)*(AsistenciaJetAdminConcatenada!$B:$B=FT$1), 0)), 1))),  0.5, 0))</f>
        <v>0</v>
      </c>
      <c r="FU23" s="47">
        <f t="array" ref="FU23">IF(AND(ISNUMBER(MATCH(FU$2, AsistenciaJetAdminConcatenada!$A:$A, 0)), ISNUMBER(MATCH(FU$1, AsistenciaJetAdminConcatenada!$B:$B, 0)), ISNUMBER(SEARCH($A23,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ISNUMBER(SEARCH($A23, INDEX(AsistenciaJetAdminConcatenada!$D:$D, MATCH(1, (AsistenciaJetAdminConcatenada!$A:$A=FU$2)*(AsistenciaJetAdminConcatenada!$B:$B=FU$1), 0)), 1))),  0.5, 0))</f>
        <v>0</v>
      </c>
      <c r="FV23" s="47">
        <f t="array" ref="FV23">IF(AND(ISNUMBER(MATCH(FV$2, AsistenciaJetAdminConcatenada!$A:$A, 0)), ISNUMBER(MATCH(FV$1, AsistenciaJetAdminConcatenada!$B:$B, 0)), ISNUMBER(SEARCH($A23,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ISNUMBER(SEARCH($A23, INDEX(AsistenciaJetAdminConcatenada!$D:$D, MATCH(1, (AsistenciaJetAdminConcatenada!$A:$A=FV$2)*(AsistenciaJetAdminConcatenada!$B:$B=FV$1), 0)), 1))),  0.5, 0))</f>
        <v>0</v>
      </c>
      <c r="FW23" s="47">
        <f t="array" ref="FW23">IF(AND(ISNUMBER(MATCH(FW$2, AsistenciaJetAdminConcatenada!$A:$A, 0)), ISNUMBER(MATCH(FW$1, AsistenciaJetAdminConcatenada!$B:$B, 0)), ISNUMBER(SEARCH($A23,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ISNUMBER(SEARCH($A23, INDEX(AsistenciaJetAdminConcatenada!$D:$D, MATCH(1, (AsistenciaJetAdminConcatenada!$A:$A=FW$2)*(AsistenciaJetAdminConcatenada!$B:$B=FW$1), 0)), 1))),  0.5, 0))</f>
        <v>0</v>
      </c>
      <c r="FX23" s="47">
        <f t="array" ref="FX23">IF(AND(ISNUMBER(MATCH(FX$2, AsistenciaJetAdminConcatenada!$A:$A, 0)), ISNUMBER(MATCH(FX$1, AsistenciaJetAdminConcatenada!$B:$B, 0)), ISNUMBER(SEARCH($A23,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ISNUMBER(SEARCH($A23, INDEX(AsistenciaJetAdminConcatenada!$D:$D, MATCH(1, (AsistenciaJetAdminConcatenada!$A:$A=FX$2)*(AsistenciaJetAdminConcatenada!$B:$B=FX$1), 0)), 1))),  0.5, 0))</f>
        <v>0</v>
      </c>
      <c r="FY23" s="47">
        <f t="array" ref="FY23">IF(AND(ISNUMBER(MATCH(FY$2, AsistenciaJetAdminConcatenada!$A:$A, 0)), ISNUMBER(MATCH(FY$1, AsistenciaJetAdminConcatenada!$B:$B, 0)), ISNUMBER(SEARCH($A23,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ISNUMBER(SEARCH($A23, INDEX(AsistenciaJetAdminConcatenada!$D:$D, MATCH(1, (AsistenciaJetAdminConcatenada!$A:$A=FY$2)*(AsistenciaJetAdminConcatenada!$B:$B=FY$1), 0)), 1))),  0.5, 0))</f>
        <v>0</v>
      </c>
      <c r="FZ23" s="47">
        <f t="array" ref="FZ23">IF(AND(ISNUMBER(MATCH(FZ$2, AsistenciaJetAdminConcatenada!$A:$A, 0)), ISNUMBER(MATCH(FZ$1, AsistenciaJetAdminConcatenada!$B:$B, 0)), ISNUMBER(SEARCH($A23,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ISNUMBER(SEARCH($A23, INDEX(AsistenciaJetAdminConcatenada!$D:$D, MATCH(1, (AsistenciaJetAdminConcatenada!$A:$A=FZ$2)*(AsistenciaJetAdminConcatenada!$B:$B=FZ$1), 0)), 1))),  0.5, 0))</f>
        <v>0</v>
      </c>
      <c r="GA23" s="47">
        <f t="array" ref="GA23">IF(AND(ISNUMBER(MATCH(GA$2, AsistenciaJetAdminConcatenada!$A:$A, 0)), ISNUMBER(MATCH(GA$1, AsistenciaJetAdminConcatenada!$B:$B, 0)), ISNUMBER(SEARCH($A23,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ISNUMBER(SEARCH($A23, INDEX(AsistenciaJetAdminConcatenada!$D:$D, MATCH(1, (AsistenciaJetAdminConcatenada!$A:$A=GA$2)*(AsistenciaJetAdminConcatenada!$B:$B=GA$1), 0)), 1))),  0.5, 0))</f>
        <v>0</v>
      </c>
      <c r="GB23" s="47">
        <f t="array" ref="GB23">IF(AND(ISNUMBER(MATCH(GB$2, AsistenciaJetAdminConcatenada!$A:$A, 0)), ISNUMBER(MATCH(GB$1, AsistenciaJetAdminConcatenada!$B:$B, 0)), ISNUMBER(SEARCH($A23,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ISNUMBER(SEARCH($A23, INDEX(AsistenciaJetAdminConcatenada!$D:$D, MATCH(1, (AsistenciaJetAdminConcatenada!$A:$A=GB$2)*(AsistenciaJetAdminConcatenada!$B:$B=GB$1), 0)), 1))),  0.5, 0))</f>
        <v>0</v>
      </c>
      <c r="GC23" s="47">
        <f t="array" ref="GC23">IF(AND(ISNUMBER(MATCH(GC$2, AsistenciaJetAdminConcatenada!$A:$A, 0)), ISNUMBER(MATCH(GC$1, AsistenciaJetAdminConcatenada!$B:$B, 0)), ISNUMBER(SEARCH($A23,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ISNUMBER(SEARCH($A23, INDEX(AsistenciaJetAdminConcatenada!$D:$D, MATCH(1, (AsistenciaJetAdminConcatenada!$A:$A=GC$2)*(AsistenciaJetAdminConcatenada!$B:$B=GC$1), 0)), 1))),  0.5, 0))</f>
        <v>0</v>
      </c>
      <c r="GD23" s="47">
        <f t="array" ref="GD23">IF(AND(ISNUMBER(MATCH(GD$2, AsistenciaJetAdminConcatenada!$A:$A, 0)), ISNUMBER(MATCH(GD$1, AsistenciaJetAdminConcatenada!$B:$B, 0)), ISNUMBER(SEARCH($A23,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ISNUMBER(SEARCH($A23, INDEX(AsistenciaJetAdminConcatenada!$D:$D, MATCH(1, (AsistenciaJetAdminConcatenada!$A:$A=GD$2)*(AsistenciaJetAdminConcatenada!$B:$B=GD$1), 0)), 1))),  0.5, 0))</f>
        <v>0</v>
      </c>
      <c r="GE23" s="47">
        <f t="array" ref="GE23">IF(AND(ISNUMBER(MATCH(GE$2, AsistenciaJetAdminConcatenada!$A:$A, 0)), ISNUMBER(MATCH(GE$1, AsistenciaJetAdminConcatenada!$B:$B, 0)), ISNUMBER(SEARCH($A23,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ISNUMBER(SEARCH($A23, INDEX(AsistenciaJetAdminConcatenada!$D:$D, MATCH(1, (AsistenciaJetAdminConcatenada!$A:$A=GE$2)*(AsistenciaJetAdminConcatenada!$B:$B=GE$1), 0)), 1))),  0.5, 0))</f>
        <v>0</v>
      </c>
      <c r="GF23" s="47">
        <f t="array" ref="GF23">IF(AND(ISNUMBER(MATCH(GF$2, AsistenciaJetAdminConcatenada!$A:$A, 0)), ISNUMBER(MATCH(GF$1, AsistenciaJetAdminConcatenada!$B:$B, 0)), ISNUMBER(SEARCH($A23,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ISNUMBER(SEARCH($A23, INDEX(AsistenciaJetAdminConcatenada!$D:$D, MATCH(1, (AsistenciaJetAdminConcatenada!$A:$A=GF$2)*(AsistenciaJetAdminConcatenada!$B:$B=GF$1), 0)), 1))),  0.5, 0))</f>
        <v>0</v>
      </c>
      <c r="GG23" s="47">
        <f t="array" ref="GG23">IF(AND(ISNUMBER(MATCH(GG$2, AsistenciaJetAdminConcatenada!$A:$A, 0)), ISNUMBER(MATCH(GG$1, AsistenciaJetAdminConcatenada!$B:$B, 0)), ISNUMBER(SEARCH($A23,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ISNUMBER(SEARCH($A23, INDEX(AsistenciaJetAdminConcatenada!$D:$D, MATCH(1, (AsistenciaJetAdminConcatenada!$A:$A=GG$2)*(AsistenciaJetAdminConcatenada!$B:$B=GG$1), 0)), 1))),  0.5, 0))</f>
        <v>0</v>
      </c>
      <c r="GH23" s="47">
        <f t="array" ref="GH23">IF(AND(ISNUMBER(MATCH(GH$2, AsistenciaJetAdminConcatenada!$A:$A, 0)), ISNUMBER(MATCH(GH$1, AsistenciaJetAdminConcatenada!$B:$B, 0)), ISNUMBER(SEARCH($A23,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ISNUMBER(SEARCH($A23, INDEX(AsistenciaJetAdminConcatenada!$D:$D, MATCH(1, (AsistenciaJetAdminConcatenada!$A:$A=GH$2)*(AsistenciaJetAdminConcatenada!$B:$B=GH$1), 0)), 1))),  0.5, 0))</f>
        <v>0</v>
      </c>
      <c r="GI23" s="47">
        <f t="array" ref="GI23">IF(AND(ISNUMBER(MATCH(GI$2, AsistenciaJetAdminConcatenada!$A:$A, 0)), ISNUMBER(MATCH(GI$1, AsistenciaJetAdminConcatenada!$B:$B, 0)), ISNUMBER(SEARCH($A23,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ISNUMBER(SEARCH($A23, INDEX(AsistenciaJetAdminConcatenada!$D:$D, MATCH(1, (AsistenciaJetAdminConcatenada!$A:$A=GI$2)*(AsistenciaJetAdminConcatenada!$B:$B=GI$1), 0)), 1))),  0.5, 0))</f>
        <v>0</v>
      </c>
      <c r="GJ23" s="47">
        <f t="array" ref="GJ23">IF(AND(ISNUMBER(MATCH(GJ$2, AsistenciaJetAdminConcatenada!$A:$A, 0)), ISNUMBER(MATCH(GJ$1, AsistenciaJetAdminConcatenada!$B:$B, 0)), ISNUMBER(SEARCH($A23,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ISNUMBER(SEARCH($A23, INDEX(AsistenciaJetAdminConcatenada!$D:$D, MATCH(1, (AsistenciaJetAdminConcatenada!$A:$A=GJ$2)*(AsistenciaJetAdminConcatenada!$B:$B=GJ$1), 0)), 1))),  0.5, 0))</f>
        <v>0</v>
      </c>
      <c r="GK23" s="47">
        <f t="array" ref="GK23">IF(AND(ISNUMBER(MATCH(GK$2, AsistenciaJetAdminConcatenada!$A:$A, 0)), ISNUMBER(MATCH(GK$1, AsistenciaJetAdminConcatenada!$B:$B, 0)), ISNUMBER(SEARCH($A23,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ISNUMBER(SEARCH($A23, INDEX(AsistenciaJetAdminConcatenada!$D:$D, MATCH(1, (AsistenciaJetAdminConcatenada!$A:$A=GK$2)*(AsistenciaJetAdminConcatenada!$B:$B=GK$1), 0)), 1))),  0.5, 0))</f>
        <v>0</v>
      </c>
      <c r="GL23" s="47">
        <f t="array" ref="GL23">IF(AND(ISNUMBER(MATCH(GL$2, AsistenciaJetAdminConcatenada!$A:$A, 0)), ISNUMBER(MATCH(GL$1, AsistenciaJetAdminConcatenada!$B:$B, 0)), ISNUMBER(SEARCH($A23,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ISNUMBER(SEARCH($A23, INDEX(AsistenciaJetAdminConcatenada!$D:$D, MATCH(1, (AsistenciaJetAdminConcatenada!$A:$A=GL$2)*(AsistenciaJetAdminConcatenada!$B:$B=GL$1), 0)), 1))),  0.5, 0))</f>
        <v>0</v>
      </c>
      <c r="GM23" s="47">
        <f t="array" ref="GM23">IF(AND(ISNUMBER(MATCH(GM$2, AsistenciaJetAdminConcatenada!$A:$A, 0)), ISNUMBER(MATCH(GM$1, AsistenciaJetAdminConcatenada!$B:$B, 0)), ISNUMBER(SEARCH($A23,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ISNUMBER(SEARCH($A23, INDEX(AsistenciaJetAdminConcatenada!$D:$D, MATCH(1, (AsistenciaJetAdminConcatenada!$A:$A=GM$2)*(AsistenciaJetAdminConcatenada!$B:$B=GM$1), 0)), 1))),  0.5, 0))</f>
        <v>0</v>
      </c>
      <c r="GN23" s="47">
        <f t="array" ref="GN23">IF(AND(ISNUMBER(MATCH(GN$2, AsistenciaJetAdminConcatenada!$A:$A, 0)), ISNUMBER(MATCH(GN$1, AsistenciaJetAdminConcatenada!$B:$B, 0)), ISNUMBER(SEARCH($A23,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ISNUMBER(SEARCH($A23, INDEX(AsistenciaJetAdminConcatenada!$D:$D, MATCH(1, (AsistenciaJetAdminConcatenada!$A:$A=GN$2)*(AsistenciaJetAdminConcatenada!$B:$B=GN$1), 0)), 1))),  0.5, 0))</f>
        <v>0</v>
      </c>
      <c r="GO23" s="47">
        <f t="array" ref="GO23">IF(AND(ISNUMBER(MATCH(GO$2, AsistenciaJetAdminConcatenada!$A:$A, 0)), ISNUMBER(MATCH(GO$1, AsistenciaJetAdminConcatenada!$B:$B, 0)), ISNUMBER(SEARCH($A23,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ISNUMBER(SEARCH($A23, INDEX(AsistenciaJetAdminConcatenada!$D:$D, MATCH(1, (AsistenciaJetAdminConcatenada!$A:$A=GO$2)*(AsistenciaJetAdminConcatenada!$B:$B=GO$1), 0)), 1))),  0.5, 0))</f>
        <v>0</v>
      </c>
      <c r="GP23" s="47">
        <f t="array" ref="GP23">IF(AND(ISNUMBER(MATCH(GP$2, AsistenciaJetAdminConcatenada!$A:$A, 0)), ISNUMBER(MATCH(GP$1, AsistenciaJetAdminConcatenada!$B:$B, 0)), ISNUMBER(SEARCH($A23,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ISNUMBER(SEARCH($A23, INDEX(AsistenciaJetAdminConcatenada!$D:$D, MATCH(1, (AsistenciaJetAdminConcatenada!$A:$A=GP$2)*(AsistenciaJetAdminConcatenada!$B:$B=GP$1), 0)), 1))),  0.5, 0))</f>
        <v>0</v>
      </c>
      <c r="GQ23" s="47">
        <f t="array" ref="GQ23">IF(AND(ISNUMBER(MATCH(GQ$2, AsistenciaJetAdminConcatenada!$A:$A, 0)), ISNUMBER(MATCH(GQ$1, AsistenciaJetAdminConcatenada!$B:$B, 0)), ISNUMBER(SEARCH($A23,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ISNUMBER(SEARCH($A23, INDEX(AsistenciaJetAdminConcatenada!$D:$D, MATCH(1, (AsistenciaJetAdminConcatenada!$A:$A=GQ$2)*(AsistenciaJetAdminConcatenada!$B:$B=GQ$1), 0)), 1))),  0.5, 0))</f>
        <v>0</v>
      </c>
      <c r="GR23" s="47">
        <f t="array" ref="GR23">IF(AND(ISNUMBER(MATCH(GR$2, AsistenciaJetAdminConcatenada!$A:$A, 0)), ISNUMBER(MATCH(GR$1, AsistenciaJetAdminConcatenada!$B:$B, 0)), ISNUMBER(SEARCH($A23,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ISNUMBER(SEARCH($A23, INDEX(AsistenciaJetAdminConcatenada!$D:$D, MATCH(1, (AsistenciaJetAdminConcatenada!$A:$A=GR$2)*(AsistenciaJetAdminConcatenada!$B:$B=GR$1), 0)), 1))),  0.5, 0))</f>
        <v>0</v>
      </c>
      <c r="GS23" s="47">
        <f t="array" ref="GS23">IF(AND(ISNUMBER(MATCH(GS$2, AsistenciaJetAdminConcatenada!$A:$A, 0)), ISNUMBER(MATCH(GS$1, AsistenciaJetAdminConcatenada!$B:$B, 0)), ISNUMBER(SEARCH($A23,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ISNUMBER(SEARCH($A23, INDEX(AsistenciaJetAdminConcatenada!$D:$D, MATCH(1, (AsistenciaJetAdminConcatenada!$A:$A=GS$2)*(AsistenciaJetAdminConcatenada!$B:$B=GS$1), 0)), 1))),  0.5, 0))</f>
        <v>0</v>
      </c>
      <c r="GT23" s="47">
        <f t="array" ref="GT23">IF(AND(ISNUMBER(MATCH(GT$2, AsistenciaJetAdminConcatenada!$A:$A, 0)), ISNUMBER(MATCH(GT$1, AsistenciaJetAdminConcatenada!$B:$B, 0)), ISNUMBER(SEARCH($A23,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ISNUMBER(SEARCH($A23, INDEX(AsistenciaJetAdminConcatenada!$D:$D, MATCH(1, (AsistenciaJetAdminConcatenada!$A:$A=GT$2)*(AsistenciaJetAdminConcatenada!$B:$B=GT$1), 0)), 1))),  0.5, 0))</f>
        <v>0</v>
      </c>
      <c r="GU23" s="47">
        <f t="array" ref="GU23">IF(AND(ISNUMBER(MATCH(GU$2, AsistenciaJetAdminConcatenada!$A:$A, 0)), ISNUMBER(MATCH(GU$1, AsistenciaJetAdminConcatenada!$B:$B, 0)), ISNUMBER(SEARCH($A23,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ISNUMBER(SEARCH($A23, INDEX(AsistenciaJetAdminConcatenada!$D:$D, MATCH(1, (AsistenciaJetAdminConcatenada!$A:$A=GU$2)*(AsistenciaJetAdminConcatenada!$B:$B=GU$1), 0)), 1))),  0.5, 0))</f>
        <v>0</v>
      </c>
      <c r="GV23" s="47">
        <f t="array" ref="GV23">IF(AND(ISNUMBER(MATCH(GV$2, AsistenciaJetAdminConcatenada!$A:$A, 0)), ISNUMBER(MATCH(GV$1, AsistenciaJetAdminConcatenada!$B:$B, 0)), ISNUMBER(SEARCH($A23,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ISNUMBER(SEARCH($A23, INDEX(AsistenciaJetAdminConcatenada!$D:$D, MATCH(1, (AsistenciaJetAdminConcatenada!$A:$A=GV$2)*(AsistenciaJetAdminConcatenada!$B:$B=GV$1), 0)), 1))),  0.5, 0))</f>
        <v>0</v>
      </c>
      <c r="GW23" s="47">
        <f t="array" ref="GW23">IF(AND(ISNUMBER(MATCH(GW$2, AsistenciaJetAdminConcatenada!$A:$A, 0)), ISNUMBER(MATCH(GW$1, AsistenciaJetAdminConcatenada!$B:$B, 0)), ISNUMBER(SEARCH($A23,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ISNUMBER(SEARCH($A23, INDEX(AsistenciaJetAdminConcatenada!$D:$D, MATCH(1, (AsistenciaJetAdminConcatenada!$A:$A=GW$2)*(AsistenciaJetAdminConcatenada!$B:$B=GW$1), 0)), 1))),  0.5, 0))</f>
        <v>0</v>
      </c>
      <c r="GX23" s="47">
        <f t="array" ref="GX23">IF(AND(ISNUMBER(MATCH(GX$2, AsistenciaJetAdminConcatenada!$A:$A, 0)), ISNUMBER(MATCH(GX$1, AsistenciaJetAdminConcatenada!$B:$B, 0)), ISNUMBER(SEARCH($A23,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ISNUMBER(SEARCH($A23, INDEX(AsistenciaJetAdminConcatenada!$D:$D, MATCH(1, (AsistenciaJetAdminConcatenada!$A:$A=GX$2)*(AsistenciaJetAdminConcatenada!$B:$B=GX$1), 0)), 1))),  0.5, 0))</f>
        <v>0</v>
      </c>
      <c r="GY23" s="47">
        <f t="array" ref="GY23">IF(AND(ISNUMBER(MATCH(GY$2, AsistenciaJetAdminConcatenada!$A:$A, 0)), ISNUMBER(MATCH(GY$1, AsistenciaJetAdminConcatenada!$B:$B, 0)), ISNUMBER(SEARCH($A23,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ISNUMBER(SEARCH($A23, INDEX(AsistenciaJetAdminConcatenada!$D:$D, MATCH(1, (AsistenciaJetAdminConcatenada!$A:$A=GY$2)*(AsistenciaJetAdminConcatenada!$B:$B=GY$1), 0)), 1))),  0.5, 0))</f>
        <v>0</v>
      </c>
      <c r="GZ23" s="47">
        <f t="array" ref="GZ23">IF(AND(ISNUMBER(MATCH(GZ$2, AsistenciaJetAdminConcatenada!$A:$A, 0)), ISNUMBER(MATCH(GZ$1, AsistenciaJetAdminConcatenada!$B:$B, 0)), ISNUMBER(SEARCH($A23,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ISNUMBER(SEARCH($A23, INDEX(AsistenciaJetAdminConcatenada!$D:$D, MATCH(1, (AsistenciaJetAdminConcatenada!$A:$A=GZ$2)*(AsistenciaJetAdminConcatenada!$B:$B=GZ$1), 0)), 1))),  0.5, 0))</f>
        <v>0</v>
      </c>
      <c r="HA23" s="47">
        <f t="array" ref="HA23">IF(AND(ISNUMBER(MATCH(HA$2, AsistenciaJetAdminConcatenada!$A:$A, 0)), ISNUMBER(MATCH(HA$1, AsistenciaJetAdminConcatenada!$B:$B, 0)), ISNUMBER(SEARCH($A23,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ISNUMBER(SEARCH($A23, INDEX(AsistenciaJetAdminConcatenada!$D:$D, MATCH(1, (AsistenciaJetAdminConcatenada!$A:$A=HA$2)*(AsistenciaJetAdminConcatenada!$B:$B=HA$1), 0)), 1))),  0.5, 0))</f>
        <v>0</v>
      </c>
      <c r="HB23" s="47">
        <f t="array" ref="HB23">IF(AND(ISNUMBER(MATCH(HB$2, AsistenciaJetAdminConcatenada!$A:$A, 0)), ISNUMBER(MATCH(HB$1, AsistenciaJetAdminConcatenada!$B:$B, 0)), ISNUMBER(SEARCH($A23,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ISNUMBER(SEARCH($A23, INDEX(AsistenciaJetAdminConcatenada!$D:$D, MATCH(1, (AsistenciaJetAdminConcatenada!$A:$A=HB$2)*(AsistenciaJetAdminConcatenada!$B:$B=HB$1), 0)), 1))),  0.5, 0))</f>
        <v>0</v>
      </c>
      <c r="HC23" s="47">
        <f t="array" ref="HC23">IF(AND(ISNUMBER(MATCH(HC$2, AsistenciaJetAdminConcatenada!$A:$A, 0)), ISNUMBER(MATCH(HC$1, AsistenciaJetAdminConcatenada!$B:$B, 0)), ISNUMBER(SEARCH($A23,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ISNUMBER(SEARCH($A23, INDEX(AsistenciaJetAdminConcatenada!$D:$D, MATCH(1, (AsistenciaJetAdminConcatenada!$A:$A=HC$2)*(AsistenciaJetAdminConcatenada!$B:$B=HC$1), 0)), 1))),  0.5, 0))</f>
        <v>0</v>
      </c>
    </row>
    <row r="24" ht="29.25" customHeight="1">
      <c r="A24" s="3">
        <v>133.0</v>
      </c>
      <c r="B24" s="4" t="s">
        <v>325</v>
      </c>
      <c r="C24" s="47">
        <f>SUM(D24:HC24) + ActividadesEspeciales!C24</f>
        <v>79.5</v>
      </c>
      <c r="D24" s="47">
        <f t="array" ref="D24">IF(AND(ISNUMBER(MATCH(D$2, AsistenciaJetAdminConcatenada!$A:$A, 0)), ISNUMBER(MATCH(D$1, AsistenciaJetAdminConcatenada!$B:$B, 0)), ISNUMBER(SEARCH($A24,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ISNUMBER(SEARCH($A24, INDEX(AsistenciaJetAdminConcatenada!$D:$D, MATCH(1, (AsistenciaJetAdminConcatenada!$A:$A=D$2)*(AsistenciaJetAdminConcatenada!$B:$B=D$1), 0)), 1))),  0.5, 0))</f>
        <v>1</v>
      </c>
      <c r="E24" s="47">
        <f t="array" ref="E24">IF(AND(ISNUMBER(MATCH(E$2, AsistenciaJetAdminConcatenada!$A:$A, 0)), ISNUMBER(MATCH(E$1, AsistenciaJetAdminConcatenada!$B:$B, 0)), ISNUMBER(SEARCH($A24,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ISNUMBER(SEARCH($A24, INDEX(AsistenciaJetAdminConcatenada!$D:$D, MATCH(1, (AsistenciaJetAdminConcatenada!$A:$A=E$2)*(AsistenciaJetAdminConcatenada!$B:$B=E$1), 0)), 1))),  0.5, 0))</f>
        <v>1</v>
      </c>
      <c r="F24" s="47">
        <f t="array" ref="F24">IF(AND(ISNUMBER(MATCH(F$2, AsistenciaJetAdminConcatenada!$A:$A, 0)), ISNUMBER(MATCH(F$1, AsistenciaJetAdminConcatenada!$B:$B, 0)), ISNUMBER(SEARCH($A24,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ISNUMBER(SEARCH($A24, INDEX(AsistenciaJetAdminConcatenada!$D:$D, MATCH(1, (AsistenciaJetAdminConcatenada!$A:$A=F$2)*(AsistenciaJetAdminConcatenada!$B:$B=F$1), 0)), 1))),  0.5, 0))</f>
        <v>1</v>
      </c>
      <c r="G24" s="47">
        <f t="array" ref="G24">IF(AND(ISNUMBER(MATCH(G$2, AsistenciaJetAdminConcatenada!$A:$A, 0)), ISNUMBER(MATCH(G$1, AsistenciaJetAdminConcatenada!$B:$B, 0)), ISNUMBER(SEARCH($A24,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ISNUMBER(SEARCH($A24, INDEX(AsistenciaJetAdminConcatenada!$D:$D, MATCH(1, (AsistenciaJetAdminConcatenada!$A:$A=G$2)*(AsistenciaJetAdminConcatenada!$B:$B=G$1), 0)), 1))),  0.5, 0))</f>
        <v>1</v>
      </c>
      <c r="H24" s="47">
        <f t="array" ref="H24">IF(AND(ISNUMBER(MATCH(H$2, AsistenciaJetAdminConcatenada!$A:$A, 0)), ISNUMBER(MATCH(H$1, AsistenciaJetAdminConcatenada!$B:$B, 0)), ISNUMBER(SEARCH($A24,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ISNUMBER(SEARCH($A24, INDEX(AsistenciaJetAdminConcatenada!$D:$D, MATCH(1, (AsistenciaJetAdminConcatenada!$A:$A=H$2)*(AsistenciaJetAdminConcatenada!$B:$B=H$1), 0)), 1))),  0.5, 0))</f>
        <v>0</v>
      </c>
      <c r="I24" s="47">
        <f t="array" ref="I24">IF(AND(ISNUMBER(MATCH(I$2, AsistenciaJetAdminConcatenada!$A:$A, 0)), ISNUMBER(MATCH(I$1, AsistenciaJetAdminConcatenada!$B:$B, 0)), ISNUMBER(SEARCH($A24,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ISNUMBER(SEARCH($A24, INDEX(AsistenciaJetAdminConcatenada!$D:$D, MATCH(1, (AsistenciaJetAdminConcatenada!$A:$A=I$2)*(AsistenciaJetAdminConcatenada!$B:$B=I$1), 0)), 1))),  0.5, 0))</f>
        <v>1</v>
      </c>
      <c r="J24" s="47">
        <f t="array" ref="J24">IF(AND(ISNUMBER(MATCH(J$2, AsistenciaJetAdminConcatenada!$A:$A, 0)), ISNUMBER(MATCH(J$1, AsistenciaJetAdminConcatenada!$B:$B, 0)), ISNUMBER(SEARCH($A24,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ISNUMBER(SEARCH($A24, INDEX(AsistenciaJetAdminConcatenada!$D:$D, MATCH(1, (AsistenciaJetAdminConcatenada!$A:$A=J$2)*(AsistenciaJetAdminConcatenada!$B:$B=J$1), 0)), 1))),  0.5, 0))</f>
        <v>1</v>
      </c>
      <c r="K24" s="47">
        <f t="array" ref="K24">IF(AND(ISNUMBER(MATCH(K$2, AsistenciaJetAdminConcatenada!$A:$A, 0)), ISNUMBER(MATCH(K$1, AsistenciaJetAdminConcatenada!$B:$B, 0)), ISNUMBER(SEARCH($A24,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ISNUMBER(SEARCH($A24, INDEX(AsistenciaJetAdminConcatenada!$D:$D, MATCH(1, (AsistenciaJetAdminConcatenada!$A:$A=K$2)*(AsistenciaJetAdminConcatenada!$B:$B=K$1), 0)), 1))),  0.5, 0))</f>
        <v>1</v>
      </c>
      <c r="L24" s="47">
        <f t="array" ref="L24">IF(AND(ISNUMBER(MATCH(L$2, AsistenciaJetAdminConcatenada!$A:$A, 0)), ISNUMBER(MATCH(L$1, AsistenciaJetAdminConcatenada!$B:$B, 0)), ISNUMBER(SEARCH($A24,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ISNUMBER(SEARCH($A24, INDEX(AsistenciaJetAdminConcatenada!$D:$D, MATCH(1, (AsistenciaJetAdminConcatenada!$A:$A=L$2)*(AsistenciaJetAdminConcatenada!$B:$B=L$1), 0)), 1))),  0.5, 0))</f>
        <v>1</v>
      </c>
      <c r="M24" s="47">
        <f t="array" ref="M24">IF(AND(ISNUMBER(MATCH(M$2, AsistenciaJetAdminConcatenada!$A:$A, 0)), ISNUMBER(MATCH(M$1, AsistenciaJetAdminConcatenada!$B:$B, 0)), ISNUMBER(SEARCH($A24,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ISNUMBER(SEARCH($A24, INDEX(AsistenciaJetAdminConcatenada!$D:$D, MATCH(1, (AsistenciaJetAdminConcatenada!$A:$A=M$2)*(AsistenciaJetAdminConcatenada!$B:$B=M$1), 0)), 1))),  0.5, 0))</f>
        <v>1</v>
      </c>
      <c r="N24" s="47">
        <f t="array" ref="N24">IF(AND(ISNUMBER(MATCH(N$2, AsistenciaJetAdminConcatenada!$A:$A, 0)), ISNUMBER(MATCH(N$1, AsistenciaJetAdminConcatenada!$B:$B, 0)), ISNUMBER(SEARCH($A24,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ISNUMBER(SEARCH($A24, INDEX(AsistenciaJetAdminConcatenada!$D:$D, MATCH(1, (AsistenciaJetAdminConcatenada!$A:$A=N$2)*(AsistenciaJetAdminConcatenada!$B:$B=N$1), 0)), 1))),  0.5, 0))</f>
        <v>0</v>
      </c>
      <c r="O24" s="47">
        <f t="array" ref="O24">IF(AND(ISNUMBER(MATCH(O$2, AsistenciaJetAdminConcatenada!$A:$A, 0)), ISNUMBER(MATCH(O$1, AsistenciaJetAdminConcatenada!$B:$B, 0)), ISNUMBER(SEARCH($A24,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ISNUMBER(SEARCH($A24, INDEX(AsistenciaJetAdminConcatenada!$D:$D, MATCH(1, (AsistenciaJetAdminConcatenada!$A:$A=O$2)*(AsistenciaJetAdminConcatenada!$B:$B=O$1), 0)), 1))),  0.5, 0))</f>
        <v>1</v>
      </c>
      <c r="P24" s="47">
        <f t="array" ref="P24">IF(AND(ISNUMBER(MATCH(P$2, AsistenciaJetAdminConcatenada!$A:$A, 0)), ISNUMBER(MATCH(P$1, AsistenciaJetAdminConcatenada!$B:$B, 0)), ISNUMBER(SEARCH($A24, INDEX(AsistenciaJetAdminConcatenada!$C:$C, MATCH(1, (AsistenciaJetAdminConcatenada!$A:$A=P$2)*(AsistenciaJetAdminConcatenada!$B:$B=P$1), 0)), 1))), 1, IF(AND(ISNUMBER(MATCH(P$2, AsistenciaJetAdminConcatenada!$A:$A, 0)), ISNUMBER(MATCH(P$1, AsistenciaJetAdminConcatenada!$B:$B, 0)), ISNUMBER(SEARCH($A24, INDEX(AsistenciaJetAdminConcatenada!$D:$D, MATCH(1, (AsistenciaJetAdminConcatenada!$A:$A=P$2)*(AsistenciaJetAdminConcatenada!$B:$B=P$1), 0)), 1))),  0.5, 0))</f>
        <v>1</v>
      </c>
      <c r="Q24" s="47">
        <f t="array" ref="Q24">IF(AND(ISNUMBER(MATCH(Q$2, AsistenciaJetAdminConcatenada!$A:$A, 0)), ISNUMBER(MATCH(Q$1, AsistenciaJetAdminConcatenada!$B:$B, 0)), ISNUMBER(SEARCH($A24, INDEX(AsistenciaJetAdminConcatenada!$C:$C, MATCH(1, (AsistenciaJetAdminConcatenada!$A:$A=Q$2)*(AsistenciaJetAdminConcatenada!$B:$B=Q$1), 0)), 1))), 1, IF(AND(ISNUMBER(MATCH(Q$2, AsistenciaJetAdminConcatenada!$A:$A, 0)), ISNUMBER(MATCH(Q$1, AsistenciaJetAdminConcatenada!$B:$B, 0)), ISNUMBER(SEARCH($A24, INDEX(AsistenciaJetAdminConcatenada!$D:$D, MATCH(1, (AsistenciaJetAdminConcatenada!$A:$A=Q$2)*(AsistenciaJetAdminConcatenada!$B:$B=Q$1), 0)), 1))),  0.5, 0))</f>
        <v>0</v>
      </c>
      <c r="R24" s="47">
        <f t="array" ref="R24">IF(AND(ISNUMBER(MATCH(R$2, AsistenciaJetAdminConcatenada!$A:$A, 0)), ISNUMBER(MATCH(R$1, AsistenciaJetAdminConcatenada!$B:$B, 0)), ISNUMBER(SEARCH($A24,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ISNUMBER(SEARCH($A24, INDEX(AsistenciaJetAdminConcatenada!$D:$D, MATCH(1, (AsistenciaJetAdminConcatenada!$A:$A=R$2)*(AsistenciaJetAdminConcatenada!$B:$B=R$1), 0)), 1))),  0.5, 0))</f>
        <v>1</v>
      </c>
      <c r="S24" s="47">
        <f t="array" ref="S24">IF(AND(ISNUMBER(MATCH(S$2, AsistenciaJetAdminConcatenada!$A:$A, 0)), ISNUMBER(MATCH(S$1, AsistenciaJetAdminConcatenada!$B:$B, 0)), ISNUMBER(SEARCH($A24,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ISNUMBER(SEARCH($A24, INDEX(AsistenciaJetAdminConcatenada!$D:$D, MATCH(1, (AsistenciaJetAdminConcatenada!$A:$A=S$2)*(AsistenciaJetAdminConcatenada!$B:$B=S$1), 0)), 1))),  0.5, 0))</f>
        <v>1</v>
      </c>
      <c r="T24" s="47">
        <f t="array" ref="T24">IF(AND(ISNUMBER(MATCH(T$2, AsistenciaJetAdminConcatenada!$A:$A, 0)), ISNUMBER(MATCH(T$1, AsistenciaJetAdminConcatenada!$B:$B, 0)), ISNUMBER(SEARCH($A24,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ISNUMBER(SEARCH($A24, INDEX(AsistenciaJetAdminConcatenada!$D:$D, MATCH(1, (AsistenciaJetAdminConcatenada!$A:$A=T$2)*(AsistenciaJetAdminConcatenada!$B:$B=T$1), 0)), 1))),  0.5, 0))</f>
        <v>0</v>
      </c>
      <c r="U24" s="47">
        <f t="array" ref="U24">IF(AND(ISNUMBER(MATCH(U$2, AsistenciaJetAdminConcatenada!$A:$A, 0)), ISNUMBER(MATCH(U$1, AsistenciaJetAdminConcatenada!$B:$B, 0)), ISNUMBER(SEARCH($A24,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ISNUMBER(SEARCH($A24, INDEX(AsistenciaJetAdminConcatenada!$D:$D, MATCH(1, (AsistenciaJetAdminConcatenada!$A:$A=U$2)*(AsistenciaJetAdminConcatenada!$B:$B=U$1), 0)), 1))),  0.5, 0))</f>
        <v>0.5</v>
      </c>
      <c r="V24" s="47">
        <f t="array" ref="V24">IF(AND(ISNUMBER(MATCH(V$2, AsistenciaJetAdminConcatenada!$A:$A, 0)), ISNUMBER(MATCH(V$1, AsistenciaJetAdminConcatenada!$B:$B, 0)), ISNUMBER(SEARCH($A24,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ISNUMBER(SEARCH($A24, INDEX(AsistenciaJetAdminConcatenada!$D:$D, MATCH(1, (AsistenciaJetAdminConcatenada!$A:$A=V$2)*(AsistenciaJetAdminConcatenada!$B:$B=V$1), 0)), 1))),  0.5, 0))</f>
        <v>1</v>
      </c>
      <c r="W24" s="47">
        <f t="array" ref="W24">IF(AND(ISNUMBER(MATCH(W$2, AsistenciaJetAdminConcatenada!$A:$A, 0)), ISNUMBER(MATCH(W$1, AsistenciaJetAdminConcatenada!$B:$B, 0)), ISNUMBER(SEARCH($A24,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ISNUMBER(SEARCH($A24, INDEX(AsistenciaJetAdminConcatenada!$D:$D, MATCH(1, (AsistenciaJetAdminConcatenada!$A:$A=W$2)*(AsistenciaJetAdminConcatenada!$B:$B=W$1), 0)), 1))),  0.5, 0))</f>
        <v>1</v>
      </c>
      <c r="X24" s="47">
        <f t="array" ref="X24">IF(AND(ISNUMBER(MATCH(X$2, AsistenciaJetAdminConcatenada!$A:$A, 0)), ISNUMBER(MATCH(X$1, AsistenciaJetAdminConcatenada!$B:$B, 0)), ISNUMBER(SEARCH($A24,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ISNUMBER(SEARCH($A24, INDEX(AsistenciaJetAdminConcatenada!$D:$D, MATCH(1, (AsistenciaJetAdminConcatenada!$A:$A=X$2)*(AsistenciaJetAdminConcatenada!$B:$B=X$1), 0)), 1))),  0.5, 0))</f>
        <v>0</v>
      </c>
      <c r="Y24" s="47">
        <f t="array" ref="Y24">IF(AND(ISNUMBER(MATCH(Y$2, AsistenciaJetAdminConcatenada!$A:$A, 0)), ISNUMBER(MATCH(Y$1, AsistenciaJetAdminConcatenada!$B:$B, 0)), ISNUMBER(SEARCH($A24,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ISNUMBER(SEARCH($A24, INDEX(AsistenciaJetAdminConcatenada!$D:$D, MATCH(1, (AsistenciaJetAdminConcatenada!$A:$A=Y$2)*(AsistenciaJetAdminConcatenada!$B:$B=Y$1), 0)), 1))),  0.5, 0))</f>
        <v>0.5</v>
      </c>
      <c r="Z24" s="47">
        <f t="array" ref="Z24">IF(AND(ISNUMBER(MATCH(Z$2, AsistenciaJetAdminConcatenada!$A:$A, 0)), ISNUMBER(MATCH(Z$1, AsistenciaJetAdminConcatenada!$B:$B, 0)), ISNUMBER(SEARCH($A24,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ISNUMBER(SEARCH($A24, INDEX(AsistenciaJetAdminConcatenada!$D:$D, MATCH(1, (AsistenciaJetAdminConcatenada!$A:$A=Z$2)*(AsistenciaJetAdminConcatenada!$B:$B=Z$1), 0)), 1))),  0.5, 0))</f>
        <v>1</v>
      </c>
      <c r="AA24" s="47">
        <f t="array" ref="AA24">IF(AND(ISNUMBER(MATCH(AA$2, AsistenciaJetAdminConcatenada!$A:$A, 0)), ISNUMBER(MATCH(AA$1, AsistenciaJetAdminConcatenada!$B:$B, 0)), ISNUMBER(SEARCH($A24,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ISNUMBER(SEARCH($A24, INDEX(AsistenciaJetAdminConcatenada!$D:$D, MATCH(1, (AsistenciaJetAdminConcatenada!$A:$A=AA$2)*(AsistenciaJetAdminConcatenada!$B:$B=AA$1), 0)), 1))),  0.5, 0))</f>
        <v>1</v>
      </c>
      <c r="AB24" s="47">
        <f t="array" ref="AB24">IF(AND(ISNUMBER(MATCH(AB$2, AsistenciaJetAdminConcatenada!$A:$A, 0)), ISNUMBER(MATCH(AB$1, AsistenciaJetAdminConcatenada!$B:$B, 0)), ISNUMBER(SEARCH($A24,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ISNUMBER(SEARCH($A24, INDEX(AsistenciaJetAdminConcatenada!$D:$D, MATCH(1, (AsistenciaJetAdminConcatenada!$A:$A=AB$2)*(AsistenciaJetAdminConcatenada!$B:$B=AB$1), 0)), 1))),  0.5, 0))</f>
        <v>1</v>
      </c>
      <c r="AC24" s="47">
        <f t="array" ref="AC24">IF(AND(ISNUMBER(MATCH(AC$2, AsistenciaJetAdminConcatenada!$A:$A, 0)), ISNUMBER(MATCH(AC$1, AsistenciaJetAdminConcatenada!$B:$B, 0)), ISNUMBER(SEARCH($A24,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ISNUMBER(SEARCH($A24, INDEX(AsistenciaJetAdminConcatenada!$D:$D, MATCH(1, (AsistenciaJetAdminConcatenada!$A:$A=AC$2)*(AsistenciaJetAdminConcatenada!$B:$B=AC$1), 0)), 1))),  0.5, 0))</f>
        <v>1</v>
      </c>
      <c r="AD24" s="47">
        <f t="array" ref="AD24">IF(AND(ISNUMBER(MATCH(AD$2, AsistenciaJetAdminConcatenada!$A:$A, 0)), ISNUMBER(MATCH(AD$1, AsistenciaJetAdminConcatenada!$B:$B, 0)), ISNUMBER(SEARCH($A24,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ISNUMBER(SEARCH($A24, INDEX(AsistenciaJetAdminConcatenada!$D:$D, MATCH(1, (AsistenciaJetAdminConcatenada!$A:$A=AD$2)*(AsistenciaJetAdminConcatenada!$B:$B=AD$1), 0)), 1))),  0.5, 0))</f>
        <v>1</v>
      </c>
      <c r="AE24" s="47">
        <f t="array" ref="AE24">IF(AND(ISNUMBER(MATCH(AE$2, AsistenciaJetAdminConcatenada!$A:$A, 0)), ISNUMBER(MATCH(AE$1, AsistenciaJetAdminConcatenada!$B:$B, 0)), ISNUMBER(SEARCH($A24,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ISNUMBER(SEARCH($A24, INDEX(AsistenciaJetAdminConcatenada!$D:$D, MATCH(1, (AsistenciaJetAdminConcatenada!$A:$A=AE$2)*(AsistenciaJetAdminConcatenada!$B:$B=AE$1), 0)), 1))),  0.5, 0))</f>
        <v>1</v>
      </c>
      <c r="AF24" s="47">
        <f t="array" ref="AF24">IF(AND(ISNUMBER(MATCH(AF$2, AsistenciaJetAdminConcatenada!$A:$A, 0)), ISNUMBER(MATCH(AF$1, AsistenciaJetAdminConcatenada!$B:$B, 0)), ISNUMBER(SEARCH($A24,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ISNUMBER(SEARCH($A24, INDEX(AsistenciaJetAdminConcatenada!$D:$D, MATCH(1, (AsistenciaJetAdminConcatenada!$A:$A=AF$2)*(AsistenciaJetAdminConcatenada!$B:$B=AF$1), 0)), 1))),  0.5, 0))</f>
        <v>1</v>
      </c>
      <c r="AG24" s="47">
        <f t="array" ref="AG24">IF(AND(ISNUMBER(MATCH(AG$2, AsistenciaJetAdminConcatenada!$A:$A, 0)), ISNUMBER(MATCH(AG$1, AsistenciaJetAdminConcatenada!$B:$B, 0)), ISNUMBER(SEARCH($A24,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ISNUMBER(SEARCH($A24, INDEX(AsistenciaJetAdminConcatenada!$D:$D, MATCH(1, (AsistenciaJetAdminConcatenada!$A:$A=AG$2)*(AsistenciaJetAdminConcatenada!$B:$B=AG$1), 0)), 1))),  0.5, 0))</f>
        <v>1</v>
      </c>
      <c r="AH24" s="47">
        <f t="array" ref="AH24">IF(AND(ISNUMBER(MATCH(AH$2, AsistenciaJetAdminConcatenada!$A:$A, 0)), ISNUMBER(MATCH(AH$1, AsistenciaJetAdminConcatenada!$B:$B, 0)), ISNUMBER(SEARCH($A24,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ISNUMBER(SEARCH($A24, INDEX(AsistenciaJetAdminConcatenada!$D:$D, MATCH(1, (AsistenciaJetAdminConcatenada!$A:$A=AH$2)*(AsistenciaJetAdminConcatenada!$B:$B=AH$1), 0)), 1))),  0.5, 0))</f>
        <v>0</v>
      </c>
      <c r="AI24" s="47">
        <f t="array" ref="AI24">IF(AND(ISNUMBER(MATCH(AI$2, AsistenciaJetAdminConcatenada!$A:$A, 0)), ISNUMBER(MATCH(AI$1, AsistenciaJetAdminConcatenada!$B:$B, 0)), ISNUMBER(SEARCH($A24,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ISNUMBER(SEARCH($A24, INDEX(AsistenciaJetAdminConcatenada!$D:$D, MATCH(1, (AsistenciaJetAdminConcatenada!$A:$A=AI$2)*(AsistenciaJetAdminConcatenada!$B:$B=AI$1), 0)), 1))),  0.5, 0))</f>
        <v>1</v>
      </c>
      <c r="AJ24" s="47">
        <f t="array" ref="AJ24">IF(AND(ISNUMBER(MATCH(AJ$2, AsistenciaJetAdminConcatenada!$A:$A, 0)), ISNUMBER(MATCH(AJ$1, AsistenciaJetAdminConcatenada!$B:$B, 0)), ISNUMBER(SEARCH($A24,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ISNUMBER(SEARCH($A24, INDEX(AsistenciaJetAdminConcatenada!$D:$D, MATCH(1, (AsistenciaJetAdminConcatenada!$A:$A=AJ$2)*(AsistenciaJetAdminConcatenada!$B:$B=AJ$1), 0)), 1))),  0.5, 0))</f>
        <v>1</v>
      </c>
      <c r="AK24" s="47">
        <f t="array" ref="AK24">IF(AND(ISNUMBER(MATCH(AK$2, AsistenciaJetAdminConcatenada!$A:$A, 0)), ISNUMBER(MATCH(AK$1, AsistenciaJetAdminConcatenada!$B:$B, 0)), ISNUMBER(SEARCH($A24,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ISNUMBER(SEARCH($A24, INDEX(AsistenciaJetAdminConcatenada!$D:$D, MATCH(1, (AsistenciaJetAdminConcatenada!$A:$A=AK$2)*(AsistenciaJetAdminConcatenada!$B:$B=AK$1), 0)), 1))),  0.5, 0))</f>
        <v>1</v>
      </c>
      <c r="AL24" s="47">
        <f t="array" ref="AL24">IF(AND(ISNUMBER(MATCH(AL$2, AsistenciaJetAdminConcatenada!$A:$A, 0)), ISNUMBER(MATCH(AL$1, AsistenciaJetAdminConcatenada!$B:$B, 0)), ISNUMBER(SEARCH($A24,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ISNUMBER(SEARCH($A24, INDEX(AsistenciaJetAdminConcatenada!$D:$D, MATCH(1, (AsistenciaJetAdminConcatenada!$A:$A=AL$2)*(AsistenciaJetAdminConcatenada!$B:$B=AL$1), 0)), 1))),  0.5, 0))</f>
        <v>1</v>
      </c>
      <c r="AM24" s="47">
        <f t="array" ref="AM24">IF(AND(ISNUMBER(MATCH(AM$2, AsistenciaJetAdminConcatenada!$A:$A, 0)), ISNUMBER(MATCH(AM$1, AsistenciaJetAdminConcatenada!$B:$B, 0)), ISNUMBER(SEARCH($A24,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ISNUMBER(SEARCH($A24, INDEX(AsistenciaJetAdminConcatenada!$D:$D, MATCH(1, (AsistenciaJetAdminConcatenada!$A:$A=AM$2)*(AsistenciaJetAdminConcatenada!$B:$B=AM$1), 0)), 1))),  0.5, 0))</f>
        <v>1</v>
      </c>
      <c r="AN24" s="47">
        <f t="array" ref="AN24">IF(AND(ISNUMBER(MATCH(AN$2, AsistenciaJetAdminConcatenada!$A:$A, 0)), ISNUMBER(MATCH(AN$1, AsistenciaJetAdminConcatenada!$B:$B, 0)), ISNUMBER(SEARCH($A24,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ISNUMBER(SEARCH($A24, INDEX(AsistenciaJetAdminConcatenada!$D:$D, MATCH(1, (AsistenciaJetAdminConcatenada!$A:$A=AN$2)*(AsistenciaJetAdminConcatenada!$B:$B=AN$1), 0)), 1))),  0.5, 0))</f>
        <v>1</v>
      </c>
      <c r="AO24" s="47">
        <f t="array" ref="AO24">IF(AND(ISNUMBER(MATCH(AO$2, AsistenciaJetAdminConcatenada!$A:$A, 0)), ISNUMBER(MATCH(AO$1, AsistenciaJetAdminConcatenada!$B:$B, 0)), ISNUMBER(SEARCH($A24,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ISNUMBER(SEARCH($A24, INDEX(AsistenciaJetAdminConcatenada!$D:$D, MATCH(1, (AsistenciaJetAdminConcatenada!$A:$A=AO$2)*(AsistenciaJetAdminConcatenada!$B:$B=AO$1), 0)), 1))),  0.5, 0))</f>
        <v>1</v>
      </c>
      <c r="AP24" s="47">
        <f t="array" ref="AP24">IF(AND(ISNUMBER(MATCH(AP$2, AsistenciaJetAdminConcatenada!$A:$A, 0)), ISNUMBER(MATCH(AP$1, AsistenciaJetAdminConcatenada!$B:$B, 0)), ISNUMBER(SEARCH($A24,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ISNUMBER(SEARCH($A24, INDEX(AsistenciaJetAdminConcatenada!$D:$D, MATCH(1, (AsistenciaJetAdminConcatenada!$A:$A=AP$2)*(AsistenciaJetAdminConcatenada!$B:$B=AP$1), 0)), 1))),  0.5, 0))</f>
        <v>1</v>
      </c>
      <c r="AQ24" s="47">
        <f t="array" ref="AQ24">IF(AND(ISNUMBER(MATCH(AQ$2, AsistenciaJetAdminConcatenada!$A:$A, 0)), ISNUMBER(MATCH(AQ$1, AsistenciaJetAdminConcatenada!$B:$B, 0)), ISNUMBER(SEARCH($A24,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ISNUMBER(SEARCH($A24, INDEX(AsistenciaJetAdminConcatenada!$D:$D, MATCH(1, (AsistenciaJetAdminConcatenada!$A:$A=AQ$2)*(AsistenciaJetAdminConcatenada!$B:$B=AQ$1), 0)), 1))),  0.5, 0))</f>
        <v>0</v>
      </c>
      <c r="AR24" s="47">
        <f t="array" ref="AR24">IF(AND(ISNUMBER(MATCH(AR$2, AsistenciaJetAdminConcatenada!$A:$A, 0)), ISNUMBER(MATCH(AR$1, AsistenciaJetAdminConcatenada!$B:$B, 0)), ISNUMBER(SEARCH($A24,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ISNUMBER(SEARCH($A24, INDEX(AsistenciaJetAdminConcatenada!$D:$D, MATCH(1, (AsistenciaJetAdminConcatenada!$A:$A=AR$2)*(AsistenciaJetAdminConcatenada!$B:$B=AR$1), 0)), 1))),  0.5, 0))</f>
        <v>1</v>
      </c>
      <c r="AS24" s="47">
        <f t="array" ref="AS24">IF(AND(ISNUMBER(MATCH(AS$2, AsistenciaJetAdminConcatenada!$A:$A, 0)), ISNUMBER(MATCH(AS$1, AsistenciaJetAdminConcatenada!$B:$B, 0)), ISNUMBER(SEARCH($A24,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ISNUMBER(SEARCH($A24, INDEX(AsistenciaJetAdminConcatenada!$D:$D, MATCH(1, (AsistenciaJetAdminConcatenada!$A:$A=AS$2)*(AsistenciaJetAdminConcatenada!$B:$B=AS$1), 0)), 1))),  0.5, 0))</f>
        <v>1</v>
      </c>
      <c r="AT24" s="47">
        <f t="array" ref="AT24">IF(AND(ISNUMBER(MATCH(AT$2, AsistenciaJetAdminConcatenada!$A:$A, 0)), ISNUMBER(MATCH(AT$1, AsistenciaJetAdminConcatenada!$B:$B, 0)), ISNUMBER(SEARCH($A24,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ISNUMBER(SEARCH($A24, INDEX(AsistenciaJetAdminConcatenada!$D:$D, MATCH(1, (AsistenciaJetAdminConcatenada!$A:$A=AT$2)*(AsistenciaJetAdminConcatenada!$B:$B=AT$1), 0)), 1))),  0.5, 0))</f>
        <v>0</v>
      </c>
      <c r="AU24" s="47">
        <f t="array" ref="AU24">IF(AND(ISNUMBER(MATCH(AU$2, AsistenciaJetAdminConcatenada!$A:$A, 0)), ISNUMBER(MATCH(AU$1, AsistenciaJetAdminConcatenada!$B:$B, 0)), ISNUMBER(SEARCH($A24,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ISNUMBER(SEARCH($A24, INDEX(AsistenciaJetAdminConcatenada!$D:$D, MATCH(1, (AsistenciaJetAdminConcatenada!$A:$A=AU$2)*(AsistenciaJetAdminConcatenada!$B:$B=AU$1), 0)), 1))),  0.5, 0))</f>
        <v>1</v>
      </c>
      <c r="AV24" s="47">
        <f t="array" ref="AV24">IF(AND(ISNUMBER(MATCH(AV$2, AsistenciaJetAdminConcatenada!$A:$A, 0)), ISNUMBER(MATCH(AV$1, AsistenciaJetAdminConcatenada!$B:$B, 0)), ISNUMBER(SEARCH($A24,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ISNUMBER(SEARCH($A24, INDEX(AsistenciaJetAdminConcatenada!$D:$D, MATCH(1, (AsistenciaJetAdminConcatenada!$A:$A=AV$2)*(AsistenciaJetAdminConcatenada!$B:$B=AV$1), 0)), 1))),  0.5, 0))</f>
        <v>1</v>
      </c>
      <c r="AW24" s="47">
        <f t="array" ref="AW24">IF(AND(ISNUMBER(MATCH(AW$2, AsistenciaJetAdminConcatenada!$A:$A, 0)), ISNUMBER(MATCH(AW$1, AsistenciaJetAdminConcatenada!$B:$B, 0)), ISNUMBER(SEARCH($A24,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ISNUMBER(SEARCH($A24, INDEX(AsistenciaJetAdminConcatenada!$D:$D, MATCH(1, (AsistenciaJetAdminConcatenada!$A:$A=AW$2)*(AsistenciaJetAdminConcatenada!$B:$B=AW$1), 0)), 1))),  0.5, 0))</f>
        <v>1</v>
      </c>
      <c r="AX24" s="47">
        <f t="array" ref="AX24">IF(AND(ISNUMBER(MATCH(AX$2, AsistenciaJetAdminConcatenada!$A:$A, 0)), ISNUMBER(MATCH(AX$1, AsistenciaJetAdminConcatenada!$B:$B, 0)), ISNUMBER(SEARCH($A24,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ISNUMBER(SEARCH($A24, INDEX(AsistenciaJetAdminConcatenada!$D:$D, MATCH(1, (AsistenciaJetAdminConcatenada!$A:$A=AX$2)*(AsistenciaJetAdminConcatenada!$B:$B=AX$1), 0)), 1))),  0.5, 0))</f>
        <v>1</v>
      </c>
      <c r="AY24" s="47">
        <f t="array" ref="AY24">IF(AND(ISNUMBER(MATCH(AY$2, AsistenciaJetAdminConcatenada!$A:$A, 0)), ISNUMBER(MATCH(AY$1, AsistenciaJetAdminConcatenada!$B:$B, 0)), ISNUMBER(SEARCH($A24,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ISNUMBER(SEARCH($A24, INDEX(AsistenciaJetAdminConcatenada!$D:$D, MATCH(1, (AsistenciaJetAdminConcatenada!$A:$A=AY$2)*(AsistenciaJetAdminConcatenada!$B:$B=AY$1), 0)), 1))),  0.5, 0))</f>
        <v>1</v>
      </c>
      <c r="AZ24" s="47">
        <f t="array" ref="AZ24">IF(AND(ISNUMBER(MATCH(AZ$2, AsistenciaJetAdminConcatenada!$A:$A, 0)), ISNUMBER(MATCH(AZ$1, AsistenciaJetAdminConcatenada!$B:$B, 0)), ISNUMBER(SEARCH($A24,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ISNUMBER(SEARCH($A24, INDEX(AsistenciaJetAdminConcatenada!$D:$D, MATCH(1, (AsistenciaJetAdminConcatenada!$A:$A=AZ$2)*(AsistenciaJetAdminConcatenada!$B:$B=AZ$1), 0)), 1))),  0.5, 0))</f>
        <v>0</v>
      </c>
      <c r="BA24" s="47">
        <f t="array" ref="BA24">IF(AND(ISNUMBER(MATCH(BA$2, AsistenciaJetAdminConcatenada!$A:$A, 0)), ISNUMBER(MATCH(BA$1, AsistenciaJetAdminConcatenada!$B:$B, 0)), ISNUMBER(SEARCH($A24,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ISNUMBER(SEARCH($A24, INDEX(AsistenciaJetAdminConcatenada!$D:$D, MATCH(1, (AsistenciaJetAdminConcatenada!$A:$A=BA$2)*(AsistenciaJetAdminConcatenada!$B:$B=BA$1), 0)), 1))),  0.5, 0))</f>
        <v>1</v>
      </c>
      <c r="BB24" s="47">
        <f t="array" ref="BB24">IF(AND(ISNUMBER(MATCH(BB$2, AsistenciaJetAdminConcatenada!$A:$A, 0)), ISNUMBER(MATCH(BB$1, AsistenciaJetAdminConcatenada!$B:$B, 0)), ISNUMBER(SEARCH($A24,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ISNUMBER(SEARCH($A24, INDEX(AsistenciaJetAdminConcatenada!$D:$D, MATCH(1, (AsistenciaJetAdminConcatenada!$A:$A=BB$2)*(AsistenciaJetAdminConcatenada!$B:$B=BB$1), 0)), 1))),  0.5, 0))</f>
        <v>1</v>
      </c>
      <c r="BC24" s="47">
        <f t="array" ref="BC24">IF(AND(ISNUMBER(MATCH(BC$2, AsistenciaJetAdminConcatenada!$A:$A, 0)), ISNUMBER(MATCH(BC$1, AsistenciaJetAdminConcatenada!$B:$B, 0)), ISNUMBER(SEARCH($A24,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ISNUMBER(SEARCH($A24, INDEX(AsistenciaJetAdminConcatenada!$D:$D, MATCH(1, (AsistenciaJetAdminConcatenada!$A:$A=BC$2)*(AsistenciaJetAdminConcatenada!$B:$B=BC$1), 0)), 1))),  0.5, 0))</f>
        <v>1</v>
      </c>
      <c r="BD24" s="47">
        <f t="array" ref="BD24">IF(AND(ISNUMBER(MATCH(BD$2, AsistenciaJetAdminConcatenada!$A:$A, 0)), ISNUMBER(MATCH(BD$1, AsistenciaJetAdminConcatenada!$B:$B, 0)), ISNUMBER(SEARCH($A24,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ISNUMBER(SEARCH($A24, INDEX(AsistenciaJetAdminConcatenada!$D:$D, MATCH(1, (AsistenciaJetAdminConcatenada!$A:$A=BD$2)*(AsistenciaJetAdminConcatenada!$B:$B=BD$1), 0)), 1))),  0.5, 0))</f>
        <v>0</v>
      </c>
      <c r="BE24" s="47">
        <f t="array" ref="BE24">IF(AND(ISNUMBER(MATCH(BE$2, AsistenciaJetAdminConcatenada!$A:$A, 0)), ISNUMBER(MATCH(BE$1, AsistenciaJetAdminConcatenada!$B:$B, 0)), ISNUMBER(SEARCH($A24,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ISNUMBER(SEARCH($A24, INDEX(AsistenciaJetAdminConcatenada!$D:$D, MATCH(1, (AsistenciaJetAdminConcatenada!$A:$A=BE$2)*(AsistenciaJetAdminConcatenada!$B:$B=BE$1), 0)), 1))),  0.5, 0))</f>
        <v>1</v>
      </c>
      <c r="BF24" s="47">
        <f t="array" ref="BF24">IF(AND(ISNUMBER(MATCH(BF$2, AsistenciaJetAdminConcatenada!$A:$A, 0)), ISNUMBER(MATCH(BF$1, AsistenciaJetAdminConcatenada!$B:$B, 0)), ISNUMBER(SEARCH($A24,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ISNUMBER(SEARCH($A24, INDEX(AsistenciaJetAdminConcatenada!$D:$D, MATCH(1, (AsistenciaJetAdminConcatenada!$A:$A=BF$2)*(AsistenciaJetAdminConcatenada!$B:$B=BF$1), 0)), 1))),  0.5, 0))</f>
        <v>1</v>
      </c>
      <c r="BG24" s="47">
        <f t="array" ref="BG24">IF(AND(ISNUMBER(MATCH(BG$2, AsistenciaJetAdminConcatenada!$A:$A, 0)), ISNUMBER(MATCH(BG$1, AsistenciaJetAdminConcatenada!$B:$B, 0)), ISNUMBER(SEARCH($A24,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ISNUMBER(SEARCH($A24, INDEX(AsistenciaJetAdminConcatenada!$D:$D, MATCH(1, (AsistenciaJetAdminConcatenada!$A:$A=BG$2)*(AsistenciaJetAdminConcatenada!$B:$B=BG$1), 0)), 1))),  0.5, 0))</f>
        <v>1</v>
      </c>
      <c r="BH24" s="47">
        <f t="array" ref="BH24">IF(AND(ISNUMBER(MATCH(BH$2, AsistenciaJetAdminConcatenada!$A:$A, 0)), ISNUMBER(MATCH(BH$1, AsistenciaJetAdminConcatenada!$B:$B, 0)), ISNUMBER(SEARCH($A24,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ISNUMBER(SEARCH($A24, INDEX(AsistenciaJetAdminConcatenada!$D:$D, MATCH(1, (AsistenciaJetAdminConcatenada!$A:$A=BH$2)*(AsistenciaJetAdminConcatenada!$B:$B=BH$1), 0)), 1))),  0.5, 0))</f>
        <v>1</v>
      </c>
      <c r="BI24" s="47">
        <f t="array" ref="BI24">IF(AND(ISNUMBER(MATCH(BI$2, AsistenciaJetAdminConcatenada!$A:$A, 0)), ISNUMBER(MATCH(BI$1, AsistenciaJetAdminConcatenada!$B:$B, 0)), ISNUMBER(SEARCH($A24,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ISNUMBER(SEARCH($A24, INDEX(AsistenciaJetAdminConcatenada!$D:$D, MATCH(1, (AsistenciaJetAdminConcatenada!$A:$A=BI$2)*(AsistenciaJetAdminConcatenada!$B:$B=BI$1), 0)), 1))),  0.5, 0))</f>
        <v>1</v>
      </c>
      <c r="BJ24" s="47">
        <f t="array" ref="BJ24">IF(AND(ISNUMBER(MATCH(BJ$2, AsistenciaJetAdminConcatenada!$A:$A, 0)), ISNUMBER(MATCH(BJ$1, AsistenciaJetAdminConcatenada!$B:$B, 0)), ISNUMBER(SEARCH($A24,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ISNUMBER(SEARCH($A24, INDEX(AsistenciaJetAdminConcatenada!$D:$D, MATCH(1, (AsistenciaJetAdminConcatenada!$A:$A=BJ$2)*(AsistenciaJetAdminConcatenada!$B:$B=BJ$1), 0)), 1))),  0.5, 0))</f>
        <v>0</v>
      </c>
      <c r="BK24" s="47">
        <f t="array" ref="BK24">IF(AND(ISNUMBER(MATCH(BK$2, AsistenciaJetAdminConcatenada!$A:$A, 0)), ISNUMBER(MATCH(BK$1, AsistenciaJetAdminConcatenada!$B:$B, 0)), ISNUMBER(SEARCH($A24,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ISNUMBER(SEARCH($A24, INDEX(AsistenciaJetAdminConcatenada!$D:$D, MATCH(1, (AsistenciaJetAdminConcatenada!$A:$A=BK$2)*(AsistenciaJetAdminConcatenada!$B:$B=BK$1), 0)), 1))),  0.5, 0))</f>
        <v>1</v>
      </c>
      <c r="BL24" s="47">
        <f t="array" ref="BL24">IF(AND(ISNUMBER(MATCH(BL$2, AsistenciaJetAdminConcatenada!$A:$A, 0)), ISNUMBER(MATCH(BL$1, AsistenciaJetAdminConcatenada!$B:$B, 0)), ISNUMBER(SEARCH($A24,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ISNUMBER(SEARCH($A24, INDEX(AsistenciaJetAdminConcatenada!$D:$D, MATCH(1, (AsistenciaJetAdminConcatenada!$A:$A=BL$2)*(AsistenciaJetAdminConcatenada!$B:$B=BL$1), 0)), 1))),  0.5, 0))</f>
        <v>1</v>
      </c>
      <c r="BM24" s="47">
        <f t="array" ref="BM24">IF(AND(ISNUMBER(MATCH(BM$2, AsistenciaJetAdminConcatenada!$A:$A, 0)), ISNUMBER(MATCH(BM$1, AsistenciaJetAdminConcatenada!$B:$B, 0)), ISNUMBER(SEARCH($A24,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ISNUMBER(SEARCH($A24, INDEX(AsistenciaJetAdminConcatenada!$D:$D, MATCH(1, (AsistenciaJetAdminConcatenada!$A:$A=BM$2)*(AsistenciaJetAdminConcatenada!$B:$B=BM$1), 0)), 1))),  0.5, 0))</f>
        <v>1</v>
      </c>
      <c r="BN24" s="47">
        <f t="array" ref="BN24">IF(AND(ISNUMBER(MATCH(BN$2, AsistenciaJetAdminConcatenada!$A:$A, 0)), ISNUMBER(MATCH(BN$1, AsistenciaJetAdminConcatenada!$B:$B, 0)), ISNUMBER(SEARCH($A24,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ISNUMBER(SEARCH($A24, INDEX(AsistenciaJetAdminConcatenada!$D:$D, MATCH(1, (AsistenciaJetAdminConcatenada!$A:$A=BN$2)*(AsistenciaJetAdminConcatenada!$B:$B=BN$1), 0)), 1))),  0.5, 0))</f>
        <v>1</v>
      </c>
      <c r="BO24" s="47">
        <f t="array" ref="BO24">IF(AND(ISNUMBER(MATCH(BO$2, AsistenciaJetAdminConcatenada!$A:$A, 0)), ISNUMBER(MATCH(BO$1, AsistenciaJetAdminConcatenada!$B:$B, 0)), ISNUMBER(SEARCH($A24,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ISNUMBER(SEARCH($A24, INDEX(AsistenciaJetAdminConcatenada!$D:$D, MATCH(1, (AsistenciaJetAdminConcatenada!$A:$A=BO$2)*(AsistenciaJetAdminConcatenada!$B:$B=BO$1), 0)), 1))),  0.5, 0))</f>
        <v>1</v>
      </c>
      <c r="BP24" s="47">
        <f t="array" ref="BP24">IF(AND(ISNUMBER(MATCH(BP$2, AsistenciaJetAdminConcatenada!$A:$A, 0)), ISNUMBER(MATCH(BP$1, AsistenciaJetAdminConcatenada!$B:$B, 0)), ISNUMBER(SEARCH($A24,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ISNUMBER(SEARCH($A24, INDEX(AsistenciaJetAdminConcatenada!$D:$D, MATCH(1, (AsistenciaJetAdminConcatenada!$A:$A=BP$2)*(AsistenciaJetAdminConcatenada!$B:$B=BP$1), 0)), 1))),  0.5, 0))</f>
        <v>1</v>
      </c>
      <c r="BQ24" s="47">
        <f t="array" ref="BQ24">IF(AND(ISNUMBER(MATCH(BQ$2, AsistenciaJetAdminConcatenada!$A:$A, 0)), ISNUMBER(MATCH(BQ$1, AsistenciaJetAdminConcatenada!$B:$B, 0)), ISNUMBER(SEARCH($A24,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ISNUMBER(SEARCH($A24, INDEX(AsistenciaJetAdminConcatenada!$D:$D, MATCH(1, (AsistenciaJetAdminConcatenada!$A:$A=BQ$2)*(AsistenciaJetAdminConcatenada!$B:$B=BQ$1), 0)), 1))),  0.5, 0))</f>
        <v>1</v>
      </c>
      <c r="BR24" s="47">
        <f t="array" ref="BR24">IF(AND(ISNUMBER(MATCH(BR$2, AsistenciaJetAdminConcatenada!$A:$A, 0)), ISNUMBER(MATCH(BR$1, AsistenciaJetAdminConcatenada!$B:$B, 0)), ISNUMBER(SEARCH($A24,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ISNUMBER(SEARCH($A24, INDEX(AsistenciaJetAdminConcatenada!$D:$D, MATCH(1, (AsistenciaJetAdminConcatenada!$A:$A=BR$2)*(AsistenciaJetAdminConcatenada!$B:$B=BR$1), 0)), 1))),  0.5, 0))</f>
        <v>1</v>
      </c>
      <c r="BS24" s="47">
        <f t="array" ref="BS24">IF(AND(ISNUMBER(MATCH(BS$2, AsistenciaJetAdminConcatenada!$A:$A, 0)), ISNUMBER(MATCH(BS$1, AsistenciaJetAdminConcatenada!$B:$B, 0)), ISNUMBER(SEARCH($A24,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ISNUMBER(SEARCH($A24, INDEX(AsistenciaJetAdminConcatenada!$D:$D, MATCH(1, (AsistenciaJetAdminConcatenada!$A:$A=BS$2)*(AsistenciaJetAdminConcatenada!$B:$B=BS$1), 0)), 1))),  0.5, 0))</f>
        <v>1</v>
      </c>
      <c r="BT24" s="47">
        <f t="array" ref="BT24">IF(AND(ISNUMBER(MATCH(BT$2, AsistenciaJetAdminConcatenada!$A:$A, 0)), ISNUMBER(MATCH(BT$1, AsistenciaJetAdminConcatenada!$B:$B, 0)), ISNUMBER(SEARCH($A24,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ISNUMBER(SEARCH($A24, INDEX(AsistenciaJetAdminConcatenada!$D:$D, MATCH(1, (AsistenciaJetAdminConcatenada!$A:$A=BT$2)*(AsistenciaJetAdminConcatenada!$B:$B=BT$1), 0)), 1))),  0.5, 0))</f>
        <v>1</v>
      </c>
      <c r="BU24" s="47">
        <f t="array" ref="BU24">IF(AND(ISNUMBER(MATCH(BU$2, AsistenciaJetAdminConcatenada!$A:$A, 0)), ISNUMBER(MATCH(BU$1, AsistenciaJetAdminConcatenada!$B:$B, 0)), ISNUMBER(SEARCH($A24,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ISNUMBER(SEARCH($A24, INDEX(AsistenciaJetAdminConcatenada!$D:$D, MATCH(1, (AsistenciaJetAdminConcatenada!$A:$A=BU$2)*(AsistenciaJetAdminConcatenada!$B:$B=BU$1), 0)), 1))),  0.5, 0))</f>
        <v>1</v>
      </c>
      <c r="BV24" s="47">
        <f t="array" ref="BV24">IF(AND(ISNUMBER(MATCH(BV$2, AsistenciaJetAdminConcatenada!$A:$A, 0)), ISNUMBER(MATCH(BV$1, AsistenciaJetAdminConcatenada!$B:$B, 0)), ISNUMBER(SEARCH($A24,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ISNUMBER(SEARCH($A24, INDEX(AsistenciaJetAdminConcatenada!$D:$D, MATCH(1, (AsistenciaJetAdminConcatenada!$A:$A=BV$2)*(AsistenciaJetAdminConcatenada!$B:$B=BV$1), 0)), 1))),  0.5, 0))</f>
        <v>1</v>
      </c>
      <c r="BW24" s="47">
        <f t="array" ref="BW24">IF(AND(ISNUMBER(MATCH(BW$2, AsistenciaJetAdminConcatenada!$A:$A, 0)), ISNUMBER(MATCH(BW$1, AsistenciaJetAdminConcatenada!$B:$B, 0)), ISNUMBER(SEARCH($A24,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ISNUMBER(SEARCH($A24, INDEX(AsistenciaJetAdminConcatenada!$D:$D, MATCH(1, (AsistenciaJetAdminConcatenada!$A:$A=BW$2)*(AsistenciaJetAdminConcatenada!$B:$B=BW$1), 0)), 1))),  0.5, 0))</f>
        <v>1</v>
      </c>
      <c r="BX24" s="47">
        <f t="array" ref="BX24">IF(AND(ISNUMBER(MATCH(BX$2, AsistenciaJetAdminConcatenada!$A:$A, 0)), ISNUMBER(MATCH(BX$1, AsistenciaJetAdminConcatenada!$B:$B, 0)), ISNUMBER(SEARCH($A24,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ISNUMBER(SEARCH($A24, INDEX(AsistenciaJetAdminConcatenada!$D:$D, MATCH(1, (AsistenciaJetAdminConcatenada!$A:$A=BX$2)*(AsistenciaJetAdminConcatenada!$B:$B=BX$1), 0)), 1))),  0.5, 0))</f>
        <v>0</v>
      </c>
      <c r="BY24" s="47">
        <f t="array" ref="BY24">IF(AND(ISNUMBER(MATCH(BY$2, AsistenciaJetAdminConcatenada!$A:$A, 0)), ISNUMBER(MATCH(BY$1, AsistenciaJetAdminConcatenada!$B:$B, 0)), ISNUMBER(SEARCH($A24,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ISNUMBER(SEARCH($A24, INDEX(AsistenciaJetAdminConcatenada!$D:$D, MATCH(1, (AsistenciaJetAdminConcatenada!$A:$A=BY$2)*(AsistenciaJetAdminConcatenada!$B:$B=BY$1), 0)), 1))),  0.5, 0))</f>
        <v>1</v>
      </c>
      <c r="BZ24" s="47">
        <f t="array" ref="BZ24">IF(AND(ISNUMBER(MATCH(BZ$2, AsistenciaJetAdminConcatenada!$A:$A, 0)), ISNUMBER(MATCH(BZ$1, AsistenciaJetAdminConcatenada!$B:$B, 0)), ISNUMBER(SEARCH($A24,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ISNUMBER(SEARCH($A24, INDEX(AsistenciaJetAdminConcatenada!$D:$D, MATCH(1, (AsistenciaJetAdminConcatenada!$A:$A=BZ$2)*(AsistenciaJetAdminConcatenada!$B:$B=BZ$1), 0)), 1))),  0.5, 0))</f>
        <v>1</v>
      </c>
      <c r="CA24" s="47">
        <f t="array" ref="CA24">IF(AND(ISNUMBER(MATCH(CA$2, AsistenciaJetAdminConcatenada!$A:$A, 0)), ISNUMBER(MATCH(CA$1, AsistenciaJetAdminConcatenada!$B:$B, 0)), ISNUMBER(SEARCH($A24,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ISNUMBER(SEARCH($A24, INDEX(AsistenciaJetAdminConcatenada!$D:$D, MATCH(1, (AsistenciaJetAdminConcatenada!$A:$A=CA$2)*(AsistenciaJetAdminConcatenada!$B:$B=CA$1), 0)), 1))),  0.5, 0))</f>
        <v>1</v>
      </c>
      <c r="CB24" s="47">
        <f t="array" ref="CB24">IF(AND(ISNUMBER(MATCH(CB$2, AsistenciaJetAdminConcatenada!$A:$A, 0)), ISNUMBER(MATCH(CB$1, AsistenciaJetAdminConcatenada!$B:$B, 0)), ISNUMBER(SEARCH($A24,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ISNUMBER(SEARCH($A24, INDEX(AsistenciaJetAdminConcatenada!$D:$D, MATCH(1, (AsistenciaJetAdminConcatenada!$A:$A=CB$2)*(AsistenciaJetAdminConcatenada!$B:$B=CB$1), 0)), 1))),  0.5, 0))</f>
        <v>1</v>
      </c>
      <c r="CC24" s="47">
        <f t="array" ref="CC24">IF(AND(ISNUMBER(MATCH(CC$2, AsistenciaJetAdminConcatenada!$A:$A, 0)), ISNUMBER(MATCH(CC$1, AsistenciaJetAdminConcatenada!$B:$B, 0)), ISNUMBER(SEARCH($A24,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ISNUMBER(SEARCH($A24, INDEX(AsistenciaJetAdminConcatenada!$D:$D, MATCH(1, (AsistenciaJetAdminConcatenada!$A:$A=CC$2)*(AsistenciaJetAdminConcatenada!$B:$B=CC$1), 0)), 1))),  0.5, 0))</f>
        <v>0</v>
      </c>
      <c r="CD24" s="47">
        <f t="array" ref="CD24">IF(AND(ISNUMBER(MATCH(CD$2, AsistenciaJetAdminConcatenada!$A:$A, 0)), ISNUMBER(MATCH(CD$1, AsistenciaJetAdminConcatenada!$B:$B, 0)), ISNUMBER(SEARCH($A24,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ISNUMBER(SEARCH($A24, INDEX(AsistenciaJetAdminConcatenada!$D:$D, MATCH(1, (AsistenciaJetAdminConcatenada!$A:$A=CD$2)*(AsistenciaJetAdminConcatenada!$B:$B=CD$1), 0)), 1))),  0.5, 0))</f>
        <v>1</v>
      </c>
      <c r="CE24" s="47">
        <f t="array" ref="CE24">IF(AND(ISNUMBER(MATCH(CE$2, AsistenciaJetAdminConcatenada!$A:$A, 0)), ISNUMBER(MATCH(CE$1, AsistenciaJetAdminConcatenada!$B:$B, 0)), ISNUMBER(SEARCH($A24,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ISNUMBER(SEARCH($A24, INDEX(AsistenciaJetAdminConcatenada!$D:$D, MATCH(1, (AsistenciaJetAdminConcatenada!$A:$A=CE$2)*(AsistenciaJetAdminConcatenada!$B:$B=CE$1), 0)), 1))),  0.5, 0))</f>
        <v>1</v>
      </c>
      <c r="CF24" s="47">
        <f t="array" ref="CF24">IF(AND(ISNUMBER(MATCH(CF$2, AsistenciaJetAdminConcatenada!$A:$A, 0)), ISNUMBER(MATCH(CF$1, AsistenciaJetAdminConcatenada!$B:$B, 0)), ISNUMBER(SEARCH($A24,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ISNUMBER(SEARCH($A24, INDEX(AsistenciaJetAdminConcatenada!$D:$D, MATCH(1, (AsistenciaJetAdminConcatenada!$A:$A=CF$2)*(AsistenciaJetAdminConcatenada!$B:$B=CF$1), 0)), 1))),  0.5, 0))</f>
        <v>1</v>
      </c>
      <c r="CG24" s="47">
        <f t="array" ref="CG24">IF(AND(ISNUMBER(MATCH(CG$2, AsistenciaJetAdminConcatenada!$A:$A, 0)), ISNUMBER(MATCH(CG$1, AsistenciaJetAdminConcatenada!$B:$B, 0)), ISNUMBER(SEARCH($A24,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ISNUMBER(SEARCH($A24, INDEX(AsistenciaJetAdminConcatenada!$D:$D, MATCH(1, (AsistenciaJetAdminConcatenada!$A:$A=CG$2)*(AsistenciaJetAdminConcatenada!$B:$B=CG$1), 0)), 1))),  0.5, 0))</f>
        <v>0.5</v>
      </c>
      <c r="CH24" s="47">
        <f t="array" ref="CH24">IF(AND(ISNUMBER(MATCH(CH$2, AsistenciaJetAdminConcatenada!$A:$A, 0)), ISNUMBER(MATCH(CH$1, AsistenciaJetAdminConcatenada!$B:$B, 0)), ISNUMBER(SEARCH($A24,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ISNUMBER(SEARCH($A24, INDEX(AsistenciaJetAdminConcatenada!$D:$D, MATCH(1, (AsistenciaJetAdminConcatenada!$A:$A=CH$2)*(AsistenciaJetAdminConcatenada!$B:$B=CH$1), 0)), 1))),  0.5, 0))</f>
        <v>1</v>
      </c>
      <c r="CI24" s="47">
        <f t="array" ref="CI24">IF(AND(ISNUMBER(MATCH(CI$2, AsistenciaJetAdminConcatenada!$A:$A, 0)), ISNUMBER(MATCH(CI$1, AsistenciaJetAdminConcatenada!$B:$B, 0)), ISNUMBER(SEARCH($A24,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ISNUMBER(SEARCH($A24, INDEX(AsistenciaJetAdminConcatenada!$D:$D, MATCH(1, (AsistenciaJetAdminConcatenada!$A:$A=CI$2)*(AsistenciaJetAdminConcatenada!$B:$B=CI$1), 0)), 1))),  0.5, 0))</f>
        <v>1</v>
      </c>
      <c r="CJ24" s="47">
        <f t="array" ref="CJ24">IF(AND(ISNUMBER(MATCH(CJ$2, AsistenciaJetAdminConcatenada!$A:$A, 0)), ISNUMBER(MATCH(CJ$1, AsistenciaJetAdminConcatenada!$B:$B, 0)), ISNUMBER(SEARCH($A24,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ISNUMBER(SEARCH($A24, INDEX(AsistenciaJetAdminConcatenada!$D:$D, MATCH(1, (AsistenciaJetAdminConcatenada!$A:$A=CJ$2)*(AsistenciaJetAdminConcatenada!$B:$B=CJ$1), 0)), 1))),  0.5, 0))</f>
        <v>1</v>
      </c>
      <c r="CK24" s="47">
        <f t="array" ref="CK24">IF(AND(ISNUMBER(MATCH(CK$2, AsistenciaJetAdminConcatenada!$A:$A, 0)), ISNUMBER(MATCH(CK$1, AsistenciaJetAdminConcatenada!$B:$B, 0)), ISNUMBER(SEARCH($A24,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ISNUMBER(SEARCH($A24, INDEX(AsistenciaJetAdminConcatenada!$D:$D, MATCH(1, (AsistenciaJetAdminConcatenada!$A:$A=CK$2)*(AsistenciaJetAdminConcatenada!$B:$B=CK$1), 0)), 1))),  0.5, 0))</f>
        <v>0</v>
      </c>
      <c r="CL24" s="47">
        <f t="array" ref="CL24">IF(AND(ISNUMBER(MATCH(CL$2, AsistenciaJetAdminConcatenada!$A:$A, 0)), ISNUMBER(MATCH(CL$1, AsistenciaJetAdminConcatenada!$B:$B, 0)), ISNUMBER(SEARCH($A24,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ISNUMBER(SEARCH($A24, INDEX(AsistenciaJetAdminConcatenada!$D:$D, MATCH(1, (AsistenciaJetAdminConcatenada!$A:$A=CL$2)*(AsistenciaJetAdminConcatenada!$B:$B=CL$1), 0)), 1))),  0.5, 0))</f>
        <v>1</v>
      </c>
      <c r="CM24" s="47">
        <f t="array" ref="CM24">IF(AND(ISNUMBER(MATCH(CM$2, AsistenciaJetAdminConcatenada!$A:$A, 0)), ISNUMBER(MATCH(CM$1, AsistenciaJetAdminConcatenada!$B:$B, 0)), ISNUMBER(SEARCH($A24,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ISNUMBER(SEARCH($A24, INDEX(AsistenciaJetAdminConcatenada!$D:$D, MATCH(1, (AsistenciaJetAdminConcatenada!$A:$A=CM$2)*(AsistenciaJetAdminConcatenada!$B:$B=CM$1), 0)), 1))),  0.5, 0))</f>
        <v>1</v>
      </c>
      <c r="CN24" s="47">
        <f t="array" ref="CN24">IF(AND(ISNUMBER(MATCH(CN$2, AsistenciaJetAdminConcatenada!$A:$A, 0)), ISNUMBER(MATCH(CN$1, AsistenciaJetAdminConcatenada!$B:$B, 0)), ISNUMBER(SEARCH($A24,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ISNUMBER(SEARCH($A24, INDEX(AsistenciaJetAdminConcatenada!$D:$D, MATCH(1, (AsistenciaJetAdminConcatenada!$A:$A=CN$2)*(AsistenciaJetAdminConcatenada!$B:$B=CN$1), 0)), 1))),  0.5, 0))</f>
        <v>0</v>
      </c>
      <c r="CO24" s="47">
        <f t="array" ref="CO24">IF(AND(ISNUMBER(MATCH(CO$2, AsistenciaJetAdminConcatenada!$A:$A, 0)), ISNUMBER(MATCH(CO$1, AsistenciaJetAdminConcatenada!$B:$B, 0)), ISNUMBER(SEARCH($A24,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ISNUMBER(SEARCH($A24, INDEX(AsistenciaJetAdminConcatenada!$D:$D, MATCH(1, (AsistenciaJetAdminConcatenada!$A:$A=CO$2)*(AsistenciaJetAdminConcatenada!$B:$B=CO$1), 0)), 1))),  0.5, 0))</f>
        <v>1</v>
      </c>
      <c r="CP24" s="47">
        <f t="array" ref="CP24">IF(AND(ISNUMBER(MATCH(CP$2, AsistenciaJetAdminConcatenada!$A:$A, 0)), ISNUMBER(MATCH(CP$1, AsistenciaJetAdminConcatenada!$B:$B, 0)), ISNUMBER(SEARCH($A24,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ISNUMBER(SEARCH($A24, INDEX(AsistenciaJetAdminConcatenada!$D:$D, MATCH(1, (AsistenciaJetAdminConcatenada!$A:$A=CP$2)*(AsistenciaJetAdminConcatenada!$B:$B=CP$1), 0)), 1))),  0.5, 0))</f>
        <v>1</v>
      </c>
      <c r="CQ24" s="47">
        <f t="array" ref="CQ24">IF(AND(ISNUMBER(MATCH(CQ$2, AsistenciaJetAdminConcatenada!$A:$A, 0)), ISNUMBER(MATCH(CQ$1, AsistenciaJetAdminConcatenada!$B:$B, 0)), ISNUMBER(SEARCH($A24,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ISNUMBER(SEARCH($A24, INDEX(AsistenciaJetAdminConcatenada!$D:$D, MATCH(1, (AsistenciaJetAdminConcatenada!$A:$A=CQ$2)*(AsistenciaJetAdminConcatenada!$B:$B=CQ$1), 0)), 1))),  0.5, 0))</f>
        <v>1</v>
      </c>
      <c r="CR24" s="47">
        <f t="array" ref="CR24">IF(AND(ISNUMBER(MATCH(CR$2, AsistenciaJetAdminConcatenada!$A:$A, 0)), ISNUMBER(MATCH(CR$1, AsistenciaJetAdminConcatenada!$B:$B, 0)), ISNUMBER(SEARCH($A24,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ISNUMBER(SEARCH($A24, INDEX(AsistenciaJetAdminConcatenada!$D:$D, MATCH(1, (AsistenciaJetAdminConcatenada!$A:$A=CR$2)*(AsistenciaJetAdminConcatenada!$B:$B=CR$1), 0)), 1))),  0.5, 0))</f>
        <v>1</v>
      </c>
      <c r="CS24" s="47">
        <f t="array" ref="CS24">IF(AND(ISNUMBER(MATCH(CS$2, AsistenciaJetAdminConcatenada!$A:$A, 0)), ISNUMBER(MATCH(CS$1, AsistenciaJetAdminConcatenada!$B:$B, 0)), ISNUMBER(SEARCH($A24,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ISNUMBER(SEARCH($A24, INDEX(AsistenciaJetAdminConcatenada!$D:$D, MATCH(1, (AsistenciaJetAdminConcatenada!$A:$A=CS$2)*(AsistenciaJetAdminConcatenada!$B:$B=CS$1), 0)), 1))),  0.5, 0))</f>
        <v>0</v>
      </c>
      <c r="CT24" s="47">
        <f t="array" ref="CT24">IF(AND(ISNUMBER(MATCH(CT$2, AsistenciaJetAdminConcatenada!$A:$A, 0)), ISNUMBER(MATCH(CT$1, AsistenciaJetAdminConcatenada!$B:$B, 0)), ISNUMBER(SEARCH($A24,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ISNUMBER(SEARCH($A24, INDEX(AsistenciaJetAdminConcatenada!$D:$D, MATCH(1, (AsistenciaJetAdminConcatenada!$A:$A=CT$2)*(AsistenciaJetAdminConcatenada!$B:$B=CT$1), 0)), 1))),  0.5, 0))</f>
        <v>0</v>
      </c>
      <c r="CU24" s="47">
        <f t="array" ref="CU24">IF(AND(ISNUMBER(MATCH(CU$2, AsistenciaJetAdminConcatenada!$A:$A, 0)), ISNUMBER(MATCH(CU$1, AsistenciaJetAdminConcatenada!$B:$B, 0)), ISNUMBER(SEARCH($A24,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ISNUMBER(SEARCH($A24, INDEX(AsistenciaJetAdminConcatenada!$D:$D, MATCH(1, (AsistenciaJetAdminConcatenada!$A:$A=CU$2)*(AsistenciaJetAdminConcatenada!$B:$B=CU$1), 0)), 1))),  0.5, 0))</f>
        <v>0</v>
      </c>
      <c r="CV24" s="47">
        <f t="array" ref="CV24">IF(AND(ISNUMBER(MATCH(CV$2, AsistenciaJetAdminConcatenada!$A:$A, 0)), ISNUMBER(MATCH(CV$1, AsistenciaJetAdminConcatenada!$B:$B, 0)), ISNUMBER(SEARCH($A24,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ISNUMBER(SEARCH($A24, INDEX(AsistenciaJetAdminConcatenada!$D:$D, MATCH(1, (AsistenciaJetAdminConcatenada!$A:$A=CV$2)*(AsistenciaJetAdminConcatenada!$B:$B=CV$1), 0)), 1))),  0.5, 0))</f>
        <v>0</v>
      </c>
      <c r="CW24" s="47">
        <f t="array" ref="CW24">IF(AND(ISNUMBER(MATCH(CW$2, AsistenciaJetAdminConcatenada!$A:$A, 0)), ISNUMBER(MATCH(CW$1, AsistenciaJetAdminConcatenada!$B:$B, 0)), ISNUMBER(SEARCH($A24,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ISNUMBER(SEARCH($A24, INDEX(AsistenciaJetAdminConcatenada!$D:$D, MATCH(1, (AsistenciaJetAdminConcatenada!$A:$A=CW$2)*(AsistenciaJetAdminConcatenada!$B:$B=CW$1), 0)), 1))),  0.5, 0))</f>
        <v>0</v>
      </c>
      <c r="CX24" s="47">
        <f t="array" ref="CX24">IF(AND(ISNUMBER(MATCH(CX$2, AsistenciaJetAdminConcatenada!$A:$A, 0)), ISNUMBER(MATCH(CX$1, AsistenciaJetAdminConcatenada!$B:$B, 0)), ISNUMBER(SEARCH($A24,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ISNUMBER(SEARCH($A24, INDEX(AsistenciaJetAdminConcatenada!$D:$D, MATCH(1, (AsistenciaJetAdminConcatenada!$A:$A=CX$2)*(AsistenciaJetAdminConcatenada!$B:$B=CX$1), 0)), 1))),  0.5, 0))</f>
        <v>0</v>
      </c>
      <c r="CY24" s="47">
        <f t="array" ref="CY24">IF(AND(ISNUMBER(MATCH(CY$2, AsistenciaJetAdminConcatenada!$A:$A, 0)), ISNUMBER(MATCH(CY$1, AsistenciaJetAdminConcatenada!$B:$B, 0)), ISNUMBER(SEARCH($A24,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ISNUMBER(SEARCH($A24, INDEX(AsistenciaJetAdminConcatenada!$D:$D, MATCH(1, (AsistenciaJetAdminConcatenada!$A:$A=CY$2)*(AsistenciaJetAdminConcatenada!$B:$B=CY$1), 0)), 1))),  0.5, 0))</f>
        <v>0</v>
      </c>
      <c r="CZ24" s="47">
        <f t="array" ref="CZ24">IF(AND(ISNUMBER(MATCH(CZ$2, AsistenciaJetAdminConcatenada!$A:$A, 0)), ISNUMBER(MATCH(CZ$1, AsistenciaJetAdminConcatenada!$B:$B, 0)), ISNUMBER(SEARCH($A24,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ISNUMBER(SEARCH($A24, INDEX(AsistenciaJetAdminConcatenada!$D:$D, MATCH(1, (AsistenciaJetAdminConcatenada!$A:$A=CZ$2)*(AsistenciaJetAdminConcatenada!$B:$B=CZ$1), 0)), 1))),  0.5, 0))</f>
        <v>0</v>
      </c>
      <c r="DA24" s="47">
        <f t="array" ref="DA24">IF(AND(ISNUMBER(MATCH(DA$2, AsistenciaJetAdminConcatenada!$A:$A, 0)), ISNUMBER(MATCH(DA$1, AsistenciaJetAdminConcatenada!$B:$B, 0)), ISNUMBER(SEARCH($A24,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ISNUMBER(SEARCH($A24, INDEX(AsistenciaJetAdminConcatenada!$D:$D, MATCH(1, (AsistenciaJetAdminConcatenada!$A:$A=DA$2)*(AsistenciaJetAdminConcatenada!$B:$B=DA$1), 0)), 1))),  0.5, 0))</f>
        <v>0</v>
      </c>
      <c r="DB24" s="47">
        <f t="array" ref="DB24">IF(AND(ISNUMBER(MATCH(DB$2, AsistenciaJetAdminConcatenada!$A:$A, 0)), ISNUMBER(MATCH(DB$1, AsistenciaJetAdminConcatenada!$B:$B, 0)), ISNUMBER(SEARCH($A24,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ISNUMBER(SEARCH($A24, INDEX(AsistenciaJetAdminConcatenada!$D:$D, MATCH(1, (AsistenciaJetAdminConcatenada!$A:$A=DB$2)*(AsistenciaJetAdminConcatenada!$B:$B=DB$1), 0)), 1))),  0.5, 0))</f>
        <v>0</v>
      </c>
      <c r="DC24" s="47">
        <f t="array" ref="DC24">IF(AND(ISNUMBER(MATCH(DC$2, AsistenciaJetAdminConcatenada!$A:$A, 0)), ISNUMBER(MATCH(DC$1, AsistenciaJetAdminConcatenada!$B:$B, 0)), ISNUMBER(SEARCH($A24,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ISNUMBER(SEARCH($A24, INDEX(AsistenciaJetAdminConcatenada!$D:$D, MATCH(1, (AsistenciaJetAdminConcatenada!$A:$A=DC$2)*(AsistenciaJetAdminConcatenada!$B:$B=DC$1), 0)), 1))),  0.5, 0))</f>
        <v>0</v>
      </c>
      <c r="DD24" s="47">
        <f t="array" ref="DD24">IF(AND(ISNUMBER(MATCH(DD$2, AsistenciaJetAdminConcatenada!$A:$A, 0)), ISNUMBER(MATCH(DD$1, AsistenciaJetAdminConcatenada!$B:$B, 0)), ISNUMBER(SEARCH($A24,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ISNUMBER(SEARCH($A24, INDEX(AsistenciaJetAdminConcatenada!$D:$D, MATCH(1, (AsistenciaJetAdminConcatenada!$A:$A=DD$2)*(AsistenciaJetAdminConcatenada!$B:$B=DD$1), 0)), 1))),  0.5, 0))</f>
        <v>0</v>
      </c>
      <c r="DE24" s="47">
        <f t="array" ref="DE24">IF(AND(ISNUMBER(MATCH(DE$2, AsistenciaJetAdminConcatenada!$A:$A, 0)), ISNUMBER(MATCH(DE$1, AsistenciaJetAdminConcatenada!$B:$B, 0)), ISNUMBER(SEARCH($A24,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ISNUMBER(SEARCH($A24, INDEX(AsistenciaJetAdminConcatenada!$D:$D, MATCH(1, (AsistenciaJetAdminConcatenada!$A:$A=DE$2)*(AsistenciaJetAdminConcatenada!$B:$B=DE$1), 0)), 1))),  0.5, 0))</f>
        <v>0</v>
      </c>
      <c r="DF24" s="47">
        <f t="array" ref="DF24">IF(AND(ISNUMBER(MATCH(DF$2, AsistenciaJetAdminConcatenada!$A:$A, 0)), ISNUMBER(MATCH(DF$1, AsistenciaJetAdminConcatenada!$B:$B, 0)), ISNUMBER(SEARCH($A24,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ISNUMBER(SEARCH($A24, INDEX(AsistenciaJetAdminConcatenada!$D:$D, MATCH(1, (AsistenciaJetAdminConcatenada!$A:$A=DF$2)*(AsistenciaJetAdminConcatenada!$B:$B=DF$1), 0)), 1))),  0.5, 0))</f>
        <v>0</v>
      </c>
      <c r="DG24" s="47">
        <f t="array" ref="DG24">IF(AND(ISNUMBER(MATCH(DG$2, AsistenciaJetAdminConcatenada!$A:$A, 0)), ISNUMBER(MATCH(DG$1, AsistenciaJetAdminConcatenada!$B:$B, 0)), ISNUMBER(SEARCH($A24,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ISNUMBER(SEARCH($A24, INDEX(AsistenciaJetAdminConcatenada!$D:$D, MATCH(1, (AsistenciaJetAdminConcatenada!$A:$A=DG$2)*(AsistenciaJetAdminConcatenada!$B:$B=DG$1), 0)), 1))),  0.5, 0))</f>
        <v>0</v>
      </c>
      <c r="DH24" s="47">
        <f t="array" ref="DH24">IF(AND(ISNUMBER(MATCH(DH$2, AsistenciaJetAdminConcatenada!$A:$A, 0)), ISNUMBER(MATCH(DH$1, AsistenciaJetAdminConcatenada!$B:$B, 0)), ISNUMBER(SEARCH($A24,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ISNUMBER(SEARCH($A24, INDEX(AsistenciaJetAdminConcatenada!$D:$D, MATCH(1, (AsistenciaJetAdminConcatenada!$A:$A=DH$2)*(AsistenciaJetAdminConcatenada!$B:$B=DH$1), 0)), 1))),  0.5, 0))</f>
        <v>0</v>
      </c>
      <c r="DI24" s="47">
        <f t="array" ref="DI24">IF(AND(ISNUMBER(MATCH(DI$2, AsistenciaJetAdminConcatenada!$A:$A, 0)), ISNUMBER(MATCH(DI$1, AsistenciaJetAdminConcatenada!$B:$B, 0)), ISNUMBER(SEARCH($A24,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ISNUMBER(SEARCH($A24, INDEX(AsistenciaJetAdminConcatenada!$D:$D, MATCH(1, (AsistenciaJetAdminConcatenada!$A:$A=DI$2)*(AsistenciaJetAdminConcatenada!$B:$B=DI$1), 0)), 1))),  0.5, 0))</f>
        <v>0</v>
      </c>
      <c r="DJ24" s="47">
        <f t="array" ref="DJ24">IF(AND(ISNUMBER(MATCH(DJ$2, AsistenciaJetAdminConcatenada!$A:$A, 0)), ISNUMBER(MATCH(DJ$1, AsistenciaJetAdminConcatenada!$B:$B, 0)), ISNUMBER(SEARCH($A24,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ISNUMBER(SEARCH($A24, INDEX(AsistenciaJetAdminConcatenada!$D:$D, MATCH(1, (AsistenciaJetAdminConcatenada!$A:$A=DJ$2)*(AsistenciaJetAdminConcatenada!$B:$B=DJ$1), 0)), 1))),  0.5, 0))</f>
        <v>0</v>
      </c>
      <c r="DK24" s="47">
        <f t="array" ref="DK24">IF(AND(ISNUMBER(MATCH(DK$2, AsistenciaJetAdminConcatenada!$A:$A, 0)), ISNUMBER(MATCH(DK$1, AsistenciaJetAdminConcatenada!$B:$B, 0)), ISNUMBER(SEARCH($A24,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ISNUMBER(SEARCH($A24, INDEX(AsistenciaJetAdminConcatenada!$D:$D, MATCH(1, (AsistenciaJetAdminConcatenada!$A:$A=DK$2)*(AsistenciaJetAdminConcatenada!$B:$B=DK$1), 0)), 1))),  0.5, 0))</f>
        <v>0</v>
      </c>
      <c r="DL24" s="47">
        <f t="array" ref="DL24">IF(AND(ISNUMBER(MATCH(DL$2, AsistenciaJetAdminConcatenada!$A:$A, 0)), ISNUMBER(MATCH(DL$1, AsistenciaJetAdminConcatenada!$B:$B, 0)), ISNUMBER(SEARCH($A24,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ISNUMBER(SEARCH($A24, INDEX(AsistenciaJetAdminConcatenada!$D:$D, MATCH(1, (AsistenciaJetAdminConcatenada!$A:$A=DL$2)*(AsistenciaJetAdminConcatenada!$B:$B=DL$1), 0)), 1))),  0.5, 0))</f>
        <v>0</v>
      </c>
      <c r="DM24" s="47">
        <f t="array" ref="DM24">IF(AND(ISNUMBER(MATCH(DM$2, AsistenciaJetAdminConcatenada!$A:$A, 0)), ISNUMBER(MATCH(DM$1, AsistenciaJetAdminConcatenada!$B:$B, 0)), ISNUMBER(SEARCH($A24,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ISNUMBER(SEARCH($A24, INDEX(AsistenciaJetAdminConcatenada!$D:$D, MATCH(1, (AsistenciaJetAdminConcatenada!$A:$A=DM$2)*(AsistenciaJetAdminConcatenada!$B:$B=DM$1), 0)), 1))),  0.5, 0))</f>
        <v>0</v>
      </c>
      <c r="DN24" s="47">
        <f t="array" ref="DN24">IF(AND(ISNUMBER(MATCH(DN$2, AsistenciaJetAdminConcatenada!$A:$A, 0)), ISNUMBER(MATCH(DN$1, AsistenciaJetAdminConcatenada!$B:$B, 0)), ISNUMBER(SEARCH($A24,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ISNUMBER(SEARCH($A24, INDEX(AsistenciaJetAdminConcatenada!$D:$D, MATCH(1, (AsistenciaJetAdminConcatenada!$A:$A=DN$2)*(AsistenciaJetAdminConcatenada!$B:$B=DN$1), 0)), 1))),  0.5, 0))</f>
        <v>0</v>
      </c>
      <c r="DO24" s="47">
        <f t="array" ref="DO24">IF(AND(ISNUMBER(MATCH(DO$2, AsistenciaJetAdminConcatenada!$A:$A, 0)), ISNUMBER(MATCH(DO$1, AsistenciaJetAdminConcatenada!$B:$B, 0)), ISNUMBER(SEARCH($A24,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ISNUMBER(SEARCH($A24, INDEX(AsistenciaJetAdminConcatenada!$D:$D, MATCH(1, (AsistenciaJetAdminConcatenada!$A:$A=DO$2)*(AsistenciaJetAdminConcatenada!$B:$B=DO$1), 0)), 1))),  0.5, 0))</f>
        <v>0</v>
      </c>
      <c r="DP24" s="47">
        <f t="array" ref="DP24">IF(AND(ISNUMBER(MATCH(DP$2, AsistenciaJetAdminConcatenada!$A:$A, 0)), ISNUMBER(MATCH(DP$1, AsistenciaJetAdminConcatenada!$B:$B, 0)), ISNUMBER(SEARCH($A24,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ISNUMBER(SEARCH($A24, INDEX(AsistenciaJetAdminConcatenada!$D:$D, MATCH(1, (AsistenciaJetAdminConcatenada!$A:$A=DP$2)*(AsistenciaJetAdminConcatenada!$B:$B=DP$1), 0)), 1))),  0.5, 0))</f>
        <v>0</v>
      </c>
      <c r="DQ24" s="47">
        <f t="array" ref="DQ24">IF(AND(ISNUMBER(MATCH(DQ$2, AsistenciaJetAdminConcatenada!$A:$A, 0)), ISNUMBER(MATCH(DQ$1, AsistenciaJetAdminConcatenada!$B:$B, 0)), ISNUMBER(SEARCH($A24,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ISNUMBER(SEARCH($A24, INDEX(AsistenciaJetAdminConcatenada!$D:$D, MATCH(1, (AsistenciaJetAdminConcatenada!$A:$A=DQ$2)*(AsistenciaJetAdminConcatenada!$B:$B=DQ$1), 0)), 1))),  0.5, 0))</f>
        <v>0</v>
      </c>
      <c r="DR24" s="47">
        <f t="array" ref="DR24">IF(AND(ISNUMBER(MATCH(DR$2, AsistenciaJetAdminConcatenada!$A:$A, 0)), ISNUMBER(MATCH(DR$1, AsistenciaJetAdminConcatenada!$B:$B, 0)), ISNUMBER(SEARCH($A24,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ISNUMBER(SEARCH($A24, INDEX(AsistenciaJetAdminConcatenada!$D:$D, MATCH(1, (AsistenciaJetAdminConcatenada!$A:$A=DR$2)*(AsistenciaJetAdminConcatenada!$B:$B=DR$1), 0)), 1))),  0.5, 0))</f>
        <v>0</v>
      </c>
      <c r="DS24" s="47">
        <f t="array" ref="DS24">IF(AND(ISNUMBER(MATCH(DS$2, AsistenciaJetAdminConcatenada!$A:$A, 0)), ISNUMBER(MATCH(DS$1, AsistenciaJetAdminConcatenada!$B:$B, 0)), ISNUMBER(SEARCH($A24,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ISNUMBER(SEARCH($A24, INDEX(AsistenciaJetAdminConcatenada!$D:$D, MATCH(1, (AsistenciaJetAdminConcatenada!$A:$A=DS$2)*(AsistenciaJetAdminConcatenada!$B:$B=DS$1), 0)), 1))),  0.5, 0))</f>
        <v>0</v>
      </c>
      <c r="DT24" s="47">
        <f t="array" ref="DT24">IF(AND(ISNUMBER(MATCH(DT$2, AsistenciaJetAdminConcatenada!$A:$A, 0)), ISNUMBER(MATCH(DT$1, AsistenciaJetAdminConcatenada!$B:$B, 0)), ISNUMBER(SEARCH($A24,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ISNUMBER(SEARCH($A24, INDEX(AsistenciaJetAdminConcatenada!$D:$D, MATCH(1, (AsistenciaJetAdminConcatenada!$A:$A=DT$2)*(AsistenciaJetAdminConcatenada!$B:$B=DT$1), 0)), 1))),  0.5, 0))</f>
        <v>0</v>
      </c>
      <c r="DU24" s="47">
        <f t="array" ref="DU24">IF(AND(ISNUMBER(MATCH(DU$2, AsistenciaJetAdminConcatenada!$A:$A, 0)), ISNUMBER(MATCH(DU$1, AsistenciaJetAdminConcatenada!$B:$B, 0)), ISNUMBER(SEARCH($A24,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ISNUMBER(SEARCH($A24, INDEX(AsistenciaJetAdminConcatenada!$D:$D, MATCH(1, (AsistenciaJetAdminConcatenada!$A:$A=DU$2)*(AsistenciaJetAdminConcatenada!$B:$B=DU$1), 0)), 1))),  0.5, 0))</f>
        <v>0</v>
      </c>
      <c r="DV24" s="47">
        <f t="array" ref="DV24">IF(AND(ISNUMBER(MATCH(DV$2, AsistenciaJetAdminConcatenada!$A:$A, 0)), ISNUMBER(MATCH(DV$1, AsistenciaJetAdminConcatenada!$B:$B, 0)), ISNUMBER(SEARCH($A24,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ISNUMBER(SEARCH($A24, INDEX(AsistenciaJetAdminConcatenada!$D:$D, MATCH(1, (AsistenciaJetAdminConcatenada!$A:$A=DV$2)*(AsistenciaJetAdminConcatenada!$B:$B=DV$1), 0)), 1))),  0.5, 0))</f>
        <v>0</v>
      </c>
      <c r="DW24" s="47">
        <f t="array" ref="DW24">IF(AND(ISNUMBER(MATCH(DW$2, AsistenciaJetAdminConcatenada!$A:$A, 0)), ISNUMBER(MATCH(DW$1, AsistenciaJetAdminConcatenada!$B:$B, 0)), ISNUMBER(SEARCH($A24,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ISNUMBER(SEARCH($A24, INDEX(AsistenciaJetAdminConcatenada!$D:$D, MATCH(1, (AsistenciaJetAdminConcatenada!$A:$A=DW$2)*(AsistenciaJetAdminConcatenada!$B:$B=DW$1), 0)), 1))),  0.5, 0))</f>
        <v>0</v>
      </c>
      <c r="DX24" s="47">
        <f t="array" ref="DX24">IF(AND(ISNUMBER(MATCH(DX$2, AsistenciaJetAdminConcatenada!$A:$A, 0)), ISNUMBER(MATCH(DX$1, AsistenciaJetAdminConcatenada!$B:$B, 0)), ISNUMBER(SEARCH($A24,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ISNUMBER(SEARCH($A24, INDEX(AsistenciaJetAdminConcatenada!$D:$D, MATCH(1, (AsistenciaJetAdminConcatenada!$A:$A=DX$2)*(AsistenciaJetAdminConcatenada!$B:$B=DX$1), 0)), 1))),  0.5, 0))</f>
        <v>0</v>
      </c>
      <c r="DY24" s="47">
        <f t="array" ref="DY24">IF(AND(ISNUMBER(MATCH(DY$2, AsistenciaJetAdminConcatenada!$A:$A, 0)), ISNUMBER(MATCH(DY$1, AsistenciaJetAdminConcatenada!$B:$B, 0)), ISNUMBER(SEARCH($A24,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ISNUMBER(SEARCH($A24, INDEX(AsistenciaJetAdminConcatenada!$D:$D, MATCH(1, (AsistenciaJetAdminConcatenada!$A:$A=DY$2)*(AsistenciaJetAdminConcatenada!$B:$B=DY$1), 0)), 1))),  0.5, 0))</f>
        <v>0</v>
      </c>
      <c r="DZ24" s="47">
        <f t="array" ref="DZ24">IF(AND(ISNUMBER(MATCH(DZ$2, AsistenciaJetAdminConcatenada!$A:$A, 0)), ISNUMBER(MATCH(DZ$1, AsistenciaJetAdminConcatenada!$B:$B, 0)), ISNUMBER(SEARCH($A24,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ISNUMBER(SEARCH($A24, INDEX(AsistenciaJetAdminConcatenada!$D:$D, MATCH(1, (AsistenciaJetAdminConcatenada!$A:$A=DZ$2)*(AsistenciaJetAdminConcatenada!$B:$B=DZ$1), 0)), 1))),  0.5, 0))</f>
        <v>0</v>
      </c>
      <c r="EA24" s="47">
        <f t="array" ref="EA24">IF(AND(ISNUMBER(MATCH(EA$2, AsistenciaJetAdminConcatenada!$A:$A, 0)), ISNUMBER(MATCH(EA$1, AsistenciaJetAdminConcatenada!$B:$B, 0)), ISNUMBER(SEARCH($A24,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ISNUMBER(SEARCH($A24, INDEX(AsistenciaJetAdminConcatenada!$D:$D, MATCH(1, (AsistenciaJetAdminConcatenada!$A:$A=EA$2)*(AsistenciaJetAdminConcatenada!$B:$B=EA$1), 0)), 1))),  0.5, 0))</f>
        <v>0</v>
      </c>
      <c r="EB24" s="47">
        <f t="array" ref="EB24">IF(AND(ISNUMBER(MATCH(EB$2, AsistenciaJetAdminConcatenada!$A:$A, 0)), ISNUMBER(MATCH(EB$1, AsistenciaJetAdminConcatenada!$B:$B, 0)), ISNUMBER(SEARCH($A24,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ISNUMBER(SEARCH($A24, INDEX(AsistenciaJetAdminConcatenada!$D:$D, MATCH(1, (AsistenciaJetAdminConcatenada!$A:$A=EB$2)*(AsistenciaJetAdminConcatenada!$B:$B=EB$1), 0)), 1))),  0.5, 0))</f>
        <v>0</v>
      </c>
      <c r="EC24" s="47">
        <f t="array" ref="EC24">IF(AND(ISNUMBER(MATCH(EC$2, AsistenciaJetAdminConcatenada!$A:$A, 0)), ISNUMBER(MATCH(EC$1, AsistenciaJetAdminConcatenada!$B:$B, 0)), ISNUMBER(SEARCH($A24,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ISNUMBER(SEARCH($A24, INDEX(AsistenciaJetAdminConcatenada!$D:$D, MATCH(1, (AsistenciaJetAdminConcatenada!$A:$A=EC$2)*(AsistenciaJetAdminConcatenada!$B:$B=EC$1), 0)), 1))),  0.5, 0))</f>
        <v>0</v>
      </c>
      <c r="ED24" s="47">
        <f t="array" ref="ED24">IF(AND(ISNUMBER(MATCH(ED$2, AsistenciaJetAdminConcatenada!$A:$A, 0)), ISNUMBER(MATCH(ED$1, AsistenciaJetAdminConcatenada!$B:$B, 0)), ISNUMBER(SEARCH($A24,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ISNUMBER(SEARCH($A24, INDEX(AsistenciaJetAdminConcatenada!$D:$D, MATCH(1, (AsistenciaJetAdminConcatenada!$A:$A=ED$2)*(AsistenciaJetAdminConcatenada!$B:$B=ED$1), 0)), 1))),  0.5, 0))</f>
        <v>0</v>
      </c>
      <c r="EE24" s="47">
        <f t="array" ref="EE24">IF(AND(ISNUMBER(MATCH(EE$2, AsistenciaJetAdminConcatenada!$A:$A, 0)), ISNUMBER(MATCH(EE$1, AsistenciaJetAdminConcatenada!$B:$B, 0)), ISNUMBER(SEARCH($A24,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ISNUMBER(SEARCH($A24, INDEX(AsistenciaJetAdminConcatenada!$D:$D, MATCH(1, (AsistenciaJetAdminConcatenada!$A:$A=EE$2)*(AsistenciaJetAdminConcatenada!$B:$B=EE$1), 0)), 1))),  0.5, 0))</f>
        <v>0</v>
      </c>
      <c r="EF24" s="47">
        <f t="array" ref="EF24">IF(AND(ISNUMBER(MATCH(EF$2, AsistenciaJetAdminConcatenada!$A:$A, 0)), ISNUMBER(MATCH(EF$1, AsistenciaJetAdminConcatenada!$B:$B, 0)), ISNUMBER(SEARCH($A24,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ISNUMBER(SEARCH($A24, INDEX(AsistenciaJetAdminConcatenada!$D:$D, MATCH(1, (AsistenciaJetAdminConcatenada!$A:$A=EF$2)*(AsistenciaJetAdminConcatenada!$B:$B=EF$1), 0)), 1))),  0.5, 0))</f>
        <v>0</v>
      </c>
      <c r="EG24" s="47">
        <f t="array" ref="EG24">IF(AND(ISNUMBER(MATCH(EG$2, AsistenciaJetAdminConcatenada!$A:$A, 0)), ISNUMBER(MATCH(EG$1, AsistenciaJetAdminConcatenada!$B:$B, 0)), ISNUMBER(SEARCH($A24,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ISNUMBER(SEARCH($A24, INDEX(AsistenciaJetAdminConcatenada!$D:$D, MATCH(1, (AsistenciaJetAdminConcatenada!$A:$A=EG$2)*(AsistenciaJetAdminConcatenada!$B:$B=EG$1), 0)), 1))),  0.5, 0))</f>
        <v>0</v>
      </c>
      <c r="EH24" s="47">
        <f t="array" ref="EH24">IF(AND(ISNUMBER(MATCH(EH$2, AsistenciaJetAdminConcatenada!$A:$A, 0)), ISNUMBER(MATCH(EH$1, AsistenciaJetAdminConcatenada!$B:$B, 0)), ISNUMBER(SEARCH($A24,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ISNUMBER(SEARCH($A24, INDEX(AsistenciaJetAdminConcatenada!$D:$D, MATCH(1, (AsistenciaJetAdminConcatenada!$A:$A=EH$2)*(AsistenciaJetAdminConcatenada!$B:$B=EH$1), 0)), 1))),  0.5, 0))</f>
        <v>0</v>
      </c>
      <c r="EI24" s="47">
        <f t="array" ref="EI24">IF(AND(ISNUMBER(MATCH(EI$2, AsistenciaJetAdminConcatenada!$A:$A, 0)), ISNUMBER(MATCH(EI$1, AsistenciaJetAdminConcatenada!$B:$B, 0)), ISNUMBER(SEARCH($A24,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ISNUMBER(SEARCH($A24, INDEX(AsistenciaJetAdminConcatenada!$D:$D, MATCH(1, (AsistenciaJetAdminConcatenada!$A:$A=EI$2)*(AsistenciaJetAdminConcatenada!$B:$B=EI$1), 0)), 1))),  0.5, 0))</f>
        <v>0</v>
      </c>
      <c r="EJ24" s="47">
        <f t="array" ref="EJ24">IF(AND(ISNUMBER(MATCH(EJ$2, AsistenciaJetAdminConcatenada!$A:$A, 0)), ISNUMBER(MATCH(EJ$1, AsistenciaJetAdminConcatenada!$B:$B, 0)), ISNUMBER(SEARCH($A24,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ISNUMBER(SEARCH($A24, INDEX(AsistenciaJetAdminConcatenada!$D:$D, MATCH(1, (AsistenciaJetAdminConcatenada!$A:$A=EJ$2)*(AsistenciaJetAdminConcatenada!$B:$B=EJ$1), 0)), 1))),  0.5, 0))</f>
        <v>0</v>
      </c>
      <c r="EK24" s="47">
        <f t="array" ref="EK24">IF(AND(ISNUMBER(MATCH(EK$2, AsistenciaJetAdminConcatenada!$A:$A, 0)), ISNUMBER(MATCH(EK$1, AsistenciaJetAdminConcatenada!$B:$B, 0)), ISNUMBER(SEARCH($A24,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ISNUMBER(SEARCH($A24, INDEX(AsistenciaJetAdminConcatenada!$D:$D, MATCH(1, (AsistenciaJetAdminConcatenada!$A:$A=EK$2)*(AsistenciaJetAdminConcatenada!$B:$B=EK$1), 0)), 1))),  0.5, 0))</f>
        <v>0</v>
      </c>
      <c r="EL24" s="47">
        <f t="array" ref="EL24">IF(AND(ISNUMBER(MATCH(EL$2, AsistenciaJetAdminConcatenada!$A:$A, 0)), ISNUMBER(MATCH(EL$1, AsistenciaJetAdminConcatenada!$B:$B, 0)), ISNUMBER(SEARCH($A24,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ISNUMBER(SEARCH($A24, INDEX(AsistenciaJetAdminConcatenada!$D:$D, MATCH(1, (AsistenciaJetAdminConcatenada!$A:$A=EL$2)*(AsistenciaJetAdminConcatenada!$B:$B=EL$1), 0)), 1))),  0.5, 0))</f>
        <v>0</v>
      </c>
      <c r="EM24" s="47">
        <f t="array" ref="EM24">IF(AND(ISNUMBER(MATCH(EM$2, AsistenciaJetAdminConcatenada!$A:$A, 0)), ISNUMBER(MATCH(EM$1, AsistenciaJetAdminConcatenada!$B:$B, 0)), ISNUMBER(SEARCH($A24,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ISNUMBER(SEARCH($A24, INDEX(AsistenciaJetAdminConcatenada!$D:$D, MATCH(1, (AsistenciaJetAdminConcatenada!$A:$A=EM$2)*(AsistenciaJetAdminConcatenada!$B:$B=EM$1), 0)), 1))),  0.5, 0))</f>
        <v>0</v>
      </c>
      <c r="EN24" s="47">
        <f t="array" ref="EN24">IF(AND(ISNUMBER(MATCH(EN$2, AsistenciaJetAdminConcatenada!$A:$A, 0)), ISNUMBER(MATCH(EN$1, AsistenciaJetAdminConcatenada!$B:$B, 0)), ISNUMBER(SEARCH($A24,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ISNUMBER(SEARCH($A24, INDEX(AsistenciaJetAdminConcatenada!$D:$D, MATCH(1, (AsistenciaJetAdminConcatenada!$A:$A=EN$2)*(AsistenciaJetAdminConcatenada!$B:$B=EN$1), 0)), 1))),  0.5, 0))</f>
        <v>0</v>
      </c>
      <c r="EO24" s="47">
        <f t="array" ref="EO24">IF(AND(ISNUMBER(MATCH(EO$2, AsistenciaJetAdminConcatenada!$A:$A, 0)), ISNUMBER(MATCH(EO$1, AsistenciaJetAdminConcatenada!$B:$B, 0)), ISNUMBER(SEARCH($A24,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ISNUMBER(SEARCH($A24, INDEX(AsistenciaJetAdminConcatenada!$D:$D, MATCH(1, (AsistenciaJetAdminConcatenada!$A:$A=EO$2)*(AsistenciaJetAdminConcatenada!$B:$B=EO$1), 0)), 1))),  0.5, 0))</f>
        <v>0</v>
      </c>
      <c r="EP24" s="47">
        <f t="array" ref="EP24">IF(AND(ISNUMBER(MATCH(EP$2, AsistenciaJetAdminConcatenada!$A:$A, 0)), ISNUMBER(MATCH(EP$1, AsistenciaJetAdminConcatenada!$B:$B, 0)), ISNUMBER(SEARCH($A24,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ISNUMBER(SEARCH($A24, INDEX(AsistenciaJetAdminConcatenada!$D:$D, MATCH(1, (AsistenciaJetAdminConcatenada!$A:$A=EP$2)*(AsistenciaJetAdminConcatenada!$B:$B=EP$1), 0)), 1))),  0.5, 0))</f>
        <v>0</v>
      </c>
      <c r="EQ24" s="47">
        <f t="array" ref="EQ24">IF(AND(ISNUMBER(MATCH(EQ$2, AsistenciaJetAdminConcatenada!$A:$A, 0)), ISNUMBER(MATCH(EQ$1, AsistenciaJetAdminConcatenada!$B:$B, 0)), ISNUMBER(SEARCH($A24,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ISNUMBER(SEARCH($A24, INDEX(AsistenciaJetAdminConcatenada!$D:$D, MATCH(1, (AsistenciaJetAdminConcatenada!$A:$A=EQ$2)*(AsistenciaJetAdminConcatenada!$B:$B=EQ$1), 0)), 1))),  0.5, 0))</f>
        <v>0</v>
      </c>
      <c r="ER24" s="47">
        <f t="array" ref="ER24">IF(AND(ISNUMBER(MATCH(ER$2, AsistenciaJetAdminConcatenada!$A:$A, 0)), ISNUMBER(MATCH(ER$1, AsistenciaJetAdminConcatenada!$B:$B, 0)), ISNUMBER(SEARCH($A24,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ISNUMBER(SEARCH($A24, INDEX(AsistenciaJetAdminConcatenada!$D:$D, MATCH(1, (AsistenciaJetAdminConcatenada!$A:$A=ER$2)*(AsistenciaJetAdminConcatenada!$B:$B=ER$1), 0)), 1))),  0.5, 0))</f>
        <v>0</v>
      </c>
      <c r="ES24" s="47">
        <f t="array" ref="ES24">IF(AND(ISNUMBER(MATCH(ES$2, AsistenciaJetAdminConcatenada!$A:$A, 0)), ISNUMBER(MATCH(ES$1, AsistenciaJetAdminConcatenada!$B:$B, 0)), ISNUMBER(SEARCH($A24,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ISNUMBER(SEARCH($A24, INDEX(AsistenciaJetAdminConcatenada!$D:$D, MATCH(1, (AsistenciaJetAdminConcatenada!$A:$A=ES$2)*(AsistenciaJetAdminConcatenada!$B:$B=ES$1), 0)), 1))),  0.5, 0))</f>
        <v>0</v>
      </c>
      <c r="ET24" s="47">
        <f t="array" ref="ET24">IF(AND(ISNUMBER(MATCH(ET$2, AsistenciaJetAdminConcatenada!$A:$A, 0)), ISNUMBER(MATCH(ET$1, AsistenciaJetAdminConcatenada!$B:$B, 0)), ISNUMBER(SEARCH($A24,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ISNUMBER(SEARCH($A24, INDEX(AsistenciaJetAdminConcatenada!$D:$D, MATCH(1, (AsistenciaJetAdminConcatenada!$A:$A=ET$2)*(AsistenciaJetAdminConcatenada!$B:$B=ET$1), 0)), 1))),  0.5, 0))</f>
        <v>0</v>
      </c>
      <c r="EU24" s="47">
        <f t="array" ref="EU24">IF(AND(ISNUMBER(MATCH(EU$2, AsistenciaJetAdminConcatenada!$A:$A, 0)), ISNUMBER(MATCH(EU$1, AsistenciaJetAdminConcatenada!$B:$B, 0)), ISNUMBER(SEARCH($A24,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ISNUMBER(SEARCH($A24, INDEX(AsistenciaJetAdminConcatenada!$D:$D, MATCH(1, (AsistenciaJetAdminConcatenada!$A:$A=EU$2)*(AsistenciaJetAdminConcatenada!$B:$B=EU$1), 0)), 1))),  0.5, 0))</f>
        <v>0</v>
      </c>
      <c r="EV24" s="47">
        <f t="array" ref="EV24">IF(AND(ISNUMBER(MATCH(EV$2, AsistenciaJetAdminConcatenada!$A:$A, 0)), ISNUMBER(MATCH(EV$1, AsistenciaJetAdminConcatenada!$B:$B, 0)), ISNUMBER(SEARCH($A24,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ISNUMBER(SEARCH($A24, INDEX(AsistenciaJetAdminConcatenada!$D:$D, MATCH(1, (AsistenciaJetAdminConcatenada!$A:$A=EV$2)*(AsistenciaJetAdminConcatenada!$B:$B=EV$1), 0)), 1))),  0.5, 0))</f>
        <v>0</v>
      </c>
      <c r="EW24" s="47">
        <f t="array" ref="EW24">IF(AND(ISNUMBER(MATCH(EW$2, AsistenciaJetAdminConcatenada!$A:$A, 0)), ISNUMBER(MATCH(EW$1, AsistenciaJetAdminConcatenada!$B:$B, 0)), ISNUMBER(SEARCH($A24,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ISNUMBER(SEARCH($A24, INDEX(AsistenciaJetAdminConcatenada!$D:$D, MATCH(1, (AsistenciaJetAdminConcatenada!$A:$A=EW$2)*(AsistenciaJetAdminConcatenada!$B:$B=EW$1), 0)), 1))),  0.5, 0))</f>
        <v>0</v>
      </c>
      <c r="EX24" s="47">
        <f t="array" ref="EX24">IF(AND(ISNUMBER(MATCH(EX$2, AsistenciaJetAdminConcatenada!$A:$A, 0)), ISNUMBER(MATCH(EX$1, AsistenciaJetAdminConcatenada!$B:$B, 0)), ISNUMBER(SEARCH($A24,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ISNUMBER(SEARCH($A24, INDEX(AsistenciaJetAdminConcatenada!$D:$D, MATCH(1, (AsistenciaJetAdminConcatenada!$A:$A=EX$2)*(AsistenciaJetAdminConcatenada!$B:$B=EX$1), 0)), 1))),  0.5, 0))</f>
        <v>0</v>
      </c>
      <c r="EY24" s="47">
        <f t="array" ref="EY24">IF(AND(ISNUMBER(MATCH(EY$2, AsistenciaJetAdminConcatenada!$A:$A, 0)), ISNUMBER(MATCH(EY$1, AsistenciaJetAdminConcatenada!$B:$B, 0)), ISNUMBER(SEARCH($A24,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ISNUMBER(SEARCH($A24, INDEX(AsistenciaJetAdminConcatenada!$D:$D, MATCH(1, (AsistenciaJetAdminConcatenada!$A:$A=EY$2)*(AsistenciaJetAdminConcatenada!$B:$B=EY$1), 0)), 1))),  0.5, 0))</f>
        <v>0</v>
      </c>
      <c r="EZ24" s="47">
        <f t="array" ref="EZ24">IF(AND(ISNUMBER(MATCH(EZ$2, AsistenciaJetAdminConcatenada!$A:$A, 0)), ISNUMBER(MATCH(EZ$1, AsistenciaJetAdminConcatenada!$B:$B, 0)), ISNUMBER(SEARCH($A24,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ISNUMBER(SEARCH($A24, INDEX(AsistenciaJetAdminConcatenada!$D:$D, MATCH(1, (AsistenciaJetAdminConcatenada!$A:$A=EZ$2)*(AsistenciaJetAdminConcatenada!$B:$B=EZ$1), 0)), 1))),  0.5, 0))</f>
        <v>0</v>
      </c>
      <c r="FA24" s="47">
        <f t="array" ref="FA24">IF(AND(ISNUMBER(MATCH(FA$2, AsistenciaJetAdminConcatenada!$A:$A, 0)), ISNUMBER(MATCH(FA$1, AsistenciaJetAdminConcatenada!$B:$B, 0)), ISNUMBER(SEARCH($A24,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ISNUMBER(SEARCH($A24, INDEX(AsistenciaJetAdminConcatenada!$D:$D, MATCH(1, (AsistenciaJetAdminConcatenada!$A:$A=FA$2)*(AsistenciaJetAdminConcatenada!$B:$B=FA$1), 0)), 1))),  0.5, 0))</f>
        <v>0</v>
      </c>
      <c r="FB24" s="47">
        <f t="array" ref="FB24">IF(AND(ISNUMBER(MATCH(FB$2, AsistenciaJetAdminConcatenada!$A:$A, 0)), ISNUMBER(MATCH(FB$1, AsistenciaJetAdminConcatenada!$B:$B, 0)), ISNUMBER(SEARCH($A24,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ISNUMBER(SEARCH($A24, INDEX(AsistenciaJetAdminConcatenada!$D:$D, MATCH(1, (AsistenciaJetAdminConcatenada!$A:$A=FB$2)*(AsistenciaJetAdminConcatenada!$B:$B=FB$1), 0)), 1))),  0.5, 0))</f>
        <v>0</v>
      </c>
      <c r="FC24" s="47">
        <f t="array" ref="FC24">IF(AND(ISNUMBER(MATCH(FC$2, AsistenciaJetAdminConcatenada!$A:$A, 0)), ISNUMBER(MATCH(FC$1, AsistenciaJetAdminConcatenada!$B:$B, 0)), ISNUMBER(SEARCH($A24,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ISNUMBER(SEARCH($A24, INDEX(AsistenciaJetAdminConcatenada!$D:$D, MATCH(1, (AsistenciaJetAdminConcatenada!$A:$A=FC$2)*(AsistenciaJetAdminConcatenada!$B:$B=FC$1), 0)), 1))),  0.5, 0))</f>
        <v>0</v>
      </c>
      <c r="FD24" s="47">
        <f t="array" ref="FD24">IF(AND(ISNUMBER(MATCH(FD$2, AsistenciaJetAdminConcatenada!$A:$A, 0)), ISNUMBER(MATCH(FD$1, AsistenciaJetAdminConcatenada!$B:$B, 0)), ISNUMBER(SEARCH($A24,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ISNUMBER(SEARCH($A24, INDEX(AsistenciaJetAdminConcatenada!$D:$D, MATCH(1, (AsistenciaJetAdminConcatenada!$A:$A=FD$2)*(AsistenciaJetAdminConcatenada!$B:$B=FD$1), 0)), 1))),  0.5, 0))</f>
        <v>0</v>
      </c>
      <c r="FE24" s="47">
        <f t="array" ref="FE24">IF(AND(ISNUMBER(MATCH(FE$2, AsistenciaJetAdminConcatenada!$A:$A, 0)), ISNUMBER(MATCH(FE$1, AsistenciaJetAdminConcatenada!$B:$B, 0)), ISNUMBER(SEARCH($A24,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ISNUMBER(SEARCH($A24, INDEX(AsistenciaJetAdminConcatenada!$D:$D, MATCH(1, (AsistenciaJetAdminConcatenada!$A:$A=FE$2)*(AsistenciaJetAdminConcatenada!$B:$B=FE$1), 0)), 1))),  0.5, 0))</f>
        <v>0</v>
      </c>
      <c r="FF24" s="47">
        <f t="array" ref="FF24">IF(AND(ISNUMBER(MATCH(FF$2, AsistenciaJetAdminConcatenada!$A:$A, 0)), ISNUMBER(MATCH(FF$1, AsistenciaJetAdminConcatenada!$B:$B, 0)), ISNUMBER(SEARCH($A24,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ISNUMBER(SEARCH($A24, INDEX(AsistenciaJetAdminConcatenada!$D:$D, MATCH(1, (AsistenciaJetAdminConcatenada!$A:$A=FF$2)*(AsistenciaJetAdminConcatenada!$B:$B=FF$1), 0)), 1))),  0.5, 0))</f>
        <v>0</v>
      </c>
      <c r="FG24" s="47">
        <f t="array" ref="FG24">IF(AND(ISNUMBER(MATCH(FG$2, AsistenciaJetAdminConcatenada!$A:$A, 0)), ISNUMBER(MATCH(FG$1, AsistenciaJetAdminConcatenada!$B:$B, 0)), ISNUMBER(SEARCH($A24,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ISNUMBER(SEARCH($A24, INDEX(AsistenciaJetAdminConcatenada!$D:$D, MATCH(1, (AsistenciaJetAdminConcatenada!$A:$A=FG$2)*(AsistenciaJetAdminConcatenada!$B:$B=FG$1), 0)), 1))),  0.5, 0))</f>
        <v>0</v>
      </c>
      <c r="FH24" s="47">
        <f t="array" ref="FH24">IF(AND(ISNUMBER(MATCH(FH$2, AsistenciaJetAdminConcatenada!$A:$A, 0)), ISNUMBER(MATCH(FH$1, AsistenciaJetAdminConcatenada!$B:$B, 0)), ISNUMBER(SEARCH($A24,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ISNUMBER(SEARCH($A24, INDEX(AsistenciaJetAdminConcatenada!$D:$D, MATCH(1, (AsistenciaJetAdminConcatenada!$A:$A=FH$2)*(AsistenciaJetAdminConcatenada!$B:$B=FH$1), 0)), 1))),  0.5, 0))</f>
        <v>0</v>
      </c>
      <c r="FI24" s="47">
        <f t="array" ref="FI24">IF(AND(ISNUMBER(MATCH(FI$2, AsistenciaJetAdminConcatenada!$A:$A, 0)), ISNUMBER(MATCH(FI$1, AsistenciaJetAdminConcatenada!$B:$B, 0)), ISNUMBER(SEARCH($A24,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ISNUMBER(SEARCH($A24, INDEX(AsistenciaJetAdminConcatenada!$D:$D, MATCH(1, (AsistenciaJetAdminConcatenada!$A:$A=FI$2)*(AsistenciaJetAdminConcatenada!$B:$B=FI$1), 0)), 1))),  0.5, 0))</f>
        <v>0</v>
      </c>
      <c r="FJ24" s="47">
        <f t="array" ref="FJ24">IF(AND(ISNUMBER(MATCH(FJ$2, AsistenciaJetAdminConcatenada!$A:$A, 0)), ISNUMBER(MATCH(FJ$1, AsistenciaJetAdminConcatenada!$B:$B, 0)), ISNUMBER(SEARCH($A24,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ISNUMBER(SEARCH($A24, INDEX(AsistenciaJetAdminConcatenada!$D:$D, MATCH(1, (AsistenciaJetAdminConcatenada!$A:$A=FJ$2)*(AsistenciaJetAdminConcatenada!$B:$B=FJ$1), 0)), 1))),  0.5, 0))</f>
        <v>0</v>
      </c>
      <c r="FK24" s="47">
        <f t="array" ref="FK24">IF(AND(ISNUMBER(MATCH(FK$2, AsistenciaJetAdminConcatenada!$A:$A, 0)), ISNUMBER(MATCH(FK$1, AsistenciaJetAdminConcatenada!$B:$B, 0)), ISNUMBER(SEARCH($A24,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ISNUMBER(SEARCH($A24, INDEX(AsistenciaJetAdminConcatenada!$D:$D, MATCH(1, (AsistenciaJetAdminConcatenada!$A:$A=FK$2)*(AsistenciaJetAdminConcatenada!$B:$B=FK$1), 0)), 1))),  0.5, 0))</f>
        <v>0</v>
      </c>
      <c r="FL24" s="47">
        <f t="array" ref="FL24">IF(AND(ISNUMBER(MATCH(FL$2, AsistenciaJetAdminConcatenada!$A:$A, 0)), ISNUMBER(MATCH(FL$1, AsistenciaJetAdminConcatenada!$B:$B, 0)), ISNUMBER(SEARCH($A24,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ISNUMBER(SEARCH($A24, INDEX(AsistenciaJetAdminConcatenada!$D:$D, MATCH(1, (AsistenciaJetAdminConcatenada!$A:$A=FL$2)*(AsistenciaJetAdminConcatenada!$B:$B=FL$1), 0)), 1))),  0.5, 0))</f>
        <v>0</v>
      </c>
      <c r="FM24" s="47">
        <f t="array" ref="FM24">IF(AND(ISNUMBER(MATCH(FM$2, AsistenciaJetAdminConcatenada!$A:$A, 0)), ISNUMBER(MATCH(FM$1, AsistenciaJetAdminConcatenada!$B:$B, 0)), ISNUMBER(SEARCH($A24,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ISNUMBER(SEARCH($A24, INDEX(AsistenciaJetAdminConcatenada!$D:$D, MATCH(1, (AsistenciaJetAdminConcatenada!$A:$A=FM$2)*(AsistenciaJetAdminConcatenada!$B:$B=FM$1), 0)), 1))),  0.5, 0))</f>
        <v>0</v>
      </c>
      <c r="FN24" s="47">
        <f t="array" ref="FN24">IF(AND(ISNUMBER(MATCH(FN$2, AsistenciaJetAdminConcatenada!$A:$A, 0)), ISNUMBER(MATCH(FN$1, AsistenciaJetAdminConcatenada!$B:$B, 0)), ISNUMBER(SEARCH($A24,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ISNUMBER(SEARCH($A24, INDEX(AsistenciaJetAdminConcatenada!$D:$D, MATCH(1, (AsistenciaJetAdminConcatenada!$A:$A=FN$2)*(AsistenciaJetAdminConcatenada!$B:$B=FN$1), 0)), 1))),  0.5, 0))</f>
        <v>0</v>
      </c>
      <c r="FO24" s="47">
        <f t="array" ref="FO24">IF(AND(ISNUMBER(MATCH(FO$2, AsistenciaJetAdminConcatenada!$A:$A, 0)), ISNUMBER(MATCH(FO$1, AsistenciaJetAdminConcatenada!$B:$B, 0)), ISNUMBER(SEARCH($A24,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ISNUMBER(SEARCH($A24, INDEX(AsistenciaJetAdminConcatenada!$D:$D, MATCH(1, (AsistenciaJetAdminConcatenada!$A:$A=FO$2)*(AsistenciaJetAdminConcatenada!$B:$B=FO$1), 0)), 1))),  0.5, 0))</f>
        <v>0</v>
      </c>
      <c r="FP24" s="47">
        <f t="array" ref="FP24">IF(AND(ISNUMBER(MATCH(FP$2, AsistenciaJetAdminConcatenada!$A:$A, 0)), ISNUMBER(MATCH(FP$1, AsistenciaJetAdminConcatenada!$B:$B, 0)), ISNUMBER(SEARCH($A24,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ISNUMBER(SEARCH($A24, INDEX(AsistenciaJetAdminConcatenada!$D:$D, MATCH(1, (AsistenciaJetAdminConcatenada!$A:$A=FP$2)*(AsistenciaJetAdminConcatenada!$B:$B=FP$1), 0)), 1))),  0.5, 0))</f>
        <v>0</v>
      </c>
      <c r="FQ24" s="47">
        <f t="array" ref="FQ24">IF(AND(ISNUMBER(MATCH(FQ$2, AsistenciaJetAdminConcatenada!$A:$A, 0)), ISNUMBER(MATCH(FQ$1, AsistenciaJetAdminConcatenada!$B:$B, 0)), ISNUMBER(SEARCH($A24,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ISNUMBER(SEARCH($A24, INDEX(AsistenciaJetAdminConcatenada!$D:$D, MATCH(1, (AsistenciaJetAdminConcatenada!$A:$A=FQ$2)*(AsistenciaJetAdminConcatenada!$B:$B=FQ$1), 0)), 1))),  0.5, 0))</f>
        <v>0</v>
      </c>
      <c r="FR24" s="47">
        <f t="array" ref="FR24">IF(AND(ISNUMBER(MATCH(FR$2, AsistenciaJetAdminConcatenada!$A:$A, 0)), ISNUMBER(MATCH(FR$1, AsistenciaJetAdminConcatenada!$B:$B, 0)), ISNUMBER(SEARCH($A24,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ISNUMBER(SEARCH($A24, INDEX(AsistenciaJetAdminConcatenada!$D:$D, MATCH(1, (AsistenciaJetAdminConcatenada!$A:$A=FR$2)*(AsistenciaJetAdminConcatenada!$B:$B=FR$1), 0)), 1))),  0.5, 0))</f>
        <v>0</v>
      </c>
      <c r="FS24" s="47">
        <f t="array" ref="FS24">IF(AND(ISNUMBER(MATCH(FS$2, AsistenciaJetAdminConcatenada!$A:$A, 0)), ISNUMBER(MATCH(FS$1, AsistenciaJetAdminConcatenada!$B:$B, 0)), ISNUMBER(SEARCH($A24,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ISNUMBER(SEARCH($A24, INDEX(AsistenciaJetAdminConcatenada!$D:$D, MATCH(1, (AsistenciaJetAdminConcatenada!$A:$A=FS$2)*(AsistenciaJetAdminConcatenada!$B:$B=FS$1), 0)), 1))),  0.5, 0))</f>
        <v>0</v>
      </c>
      <c r="FT24" s="47">
        <f t="array" ref="FT24">IF(AND(ISNUMBER(MATCH(FT$2, AsistenciaJetAdminConcatenada!$A:$A, 0)), ISNUMBER(MATCH(FT$1, AsistenciaJetAdminConcatenada!$B:$B, 0)), ISNUMBER(SEARCH($A24,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ISNUMBER(SEARCH($A24, INDEX(AsistenciaJetAdminConcatenada!$D:$D, MATCH(1, (AsistenciaJetAdminConcatenada!$A:$A=FT$2)*(AsistenciaJetAdminConcatenada!$B:$B=FT$1), 0)), 1))),  0.5, 0))</f>
        <v>0</v>
      </c>
      <c r="FU24" s="47">
        <f t="array" ref="FU24">IF(AND(ISNUMBER(MATCH(FU$2, AsistenciaJetAdminConcatenada!$A:$A, 0)), ISNUMBER(MATCH(FU$1, AsistenciaJetAdminConcatenada!$B:$B, 0)), ISNUMBER(SEARCH($A24,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ISNUMBER(SEARCH($A24, INDEX(AsistenciaJetAdminConcatenada!$D:$D, MATCH(1, (AsistenciaJetAdminConcatenada!$A:$A=FU$2)*(AsistenciaJetAdminConcatenada!$B:$B=FU$1), 0)), 1))),  0.5, 0))</f>
        <v>0</v>
      </c>
      <c r="FV24" s="47">
        <f t="array" ref="FV24">IF(AND(ISNUMBER(MATCH(FV$2, AsistenciaJetAdminConcatenada!$A:$A, 0)), ISNUMBER(MATCH(FV$1, AsistenciaJetAdminConcatenada!$B:$B, 0)), ISNUMBER(SEARCH($A24,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ISNUMBER(SEARCH($A24, INDEX(AsistenciaJetAdminConcatenada!$D:$D, MATCH(1, (AsistenciaJetAdminConcatenada!$A:$A=FV$2)*(AsistenciaJetAdminConcatenada!$B:$B=FV$1), 0)), 1))),  0.5, 0))</f>
        <v>0</v>
      </c>
      <c r="FW24" s="47">
        <f t="array" ref="FW24">IF(AND(ISNUMBER(MATCH(FW$2, AsistenciaJetAdminConcatenada!$A:$A, 0)), ISNUMBER(MATCH(FW$1, AsistenciaJetAdminConcatenada!$B:$B, 0)), ISNUMBER(SEARCH($A24,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ISNUMBER(SEARCH($A24, INDEX(AsistenciaJetAdminConcatenada!$D:$D, MATCH(1, (AsistenciaJetAdminConcatenada!$A:$A=FW$2)*(AsistenciaJetAdminConcatenada!$B:$B=FW$1), 0)), 1))),  0.5, 0))</f>
        <v>0</v>
      </c>
      <c r="FX24" s="47">
        <f t="array" ref="FX24">IF(AND(ISNUMBER(MATCH(FX$2, AsistenciaJetAdminConcatenada!$A:$A, 0)), ISNUMBER(MATCH(FX$1, AsistenciaJetAdminConcatenada!$B:$B, 0)), ISNUMBER(SEARCH($A24,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ISNUMBER(SEARCH($A24, INDEX(AsistenciaJetAdminConcatenada!$D:$D, MATCH(1, (AsistenciaJetAdminConcatenada!$A:$A=FX$2)*(AsistenciaJetAdminConcatenada!$B:$B=FX$1), 0)), 1))),  0.5, 0))</f>
        <v>0</v>
      </c>
      <c r="FY24" s="47">
        <f t="array" ref="FY24">IF(AND(ISNUMBER(MATCH(FY$2, AsistenciaJetAdminConcatenada!$A:$A, 0)), ISNUMBER(MATCH(FY$1, AsistenciaJetAdminConcatenada!$B:$B, 0)), ISNUMBER(SEARCH($A24,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ISNUMBER(SEARCH($A24, INDEX(AsistenciaJetAdminConcatenada!$D:$D, MATCH(1, (AsistenciaJetAdminConcatenada!$A:$A=FY$2)*(AsistenciaJetAdminConcatenada!$B:$B=FY$1), 0)), 1))),  0.5, 0))</f>
        <v>0</v>
      </c>
      <c r="FZ24" s="47">
        <f t="array" ref="FZ24">IF(AND(ISNUMBER(MATCH(FZ$2, AsistenciaJetAdminConcatenada!$A:$A, 0)), ISNUMBER(MATCH(FZ$1, AsistenciaJetAdminConcatenada!$B:$B, 0)), ISNUMBER(SEARCH($A24,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ISNUMBER(SEARCH($A24, INDEX(AsistenciaJetAdminConcatenada!$D:$D, MATCH(1, (AsistenciaJetAdminConcatenada!$A:$A=FZ$2)*(AsistenciaJetAdminConcatenada!$B:$B=FZ$1), 0)), 1))),  0.5, 0))</f>
        <v>0</v>
      </c>
      <c r="GA24" s="47">
        <f t="array" ref="GA24">IF(AND(ISNUMBER(MATCH(GA$2, AsistenciaJetAdminConcatenada!$A:$A, 0)), ISNUMBER(MATCH(GA$1, AsistenciaJetAdminConcatenada!$B:$B, 0)), ISNUMBER(SEARCH($A24,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ISNUMBER(SEARCH($A24, INDEX(AsistenciaJetAdminConcatenada!$D:$D, MATCH(1, (AsistenciaJetAdminConcatenada!$A:$A=GA$2)*(AsistenciaJetAdminConcatenada!$B:$B=GA$1), 0)), 1))),  0.5, 0))</f>
        <v>0</v>
      </c>
      <c r="GB24" s="47">
        <f t="array" ref="GB24">IF(AND(ISNUMBER(MATCH(GB$2, AsistenciaJetAdminConcatenada!$A:$A, 0)), ISNUMBER(MATCH(GB$1, AsistenciaJetAdminConcatenada!$B:$B, 0)), ISNUMBER(SEARCH($A24,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ISNUMBER(SEARCH($A24, INDEX(AsistenciaJetAdminConcatenada!$D:$D, MATCH(1, (AsistenciaJetAdminConcatenada!$A:$A=GB$2)*(AsistenciaJetAdminConcatenada!$B:$B=GB$1), 0)), 1))),  0.5, 0))</f>
        <v>0</v>
      </c>
      <c r="GC24" s="47">
        <f t="array" ref="GC24">IF(AND(ISNUMBER(MATCH(GC$2, AsistenciaJetAdminConcatenada!$A:$A, 0)), ISNUMBER(MATCH(GC$1, AsistenciaJetAdminConcatenada!$B:$B, 0)), ISNUMBER(SEARCH($A24,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ISNUMBER(SEARCH($A24, INDEX(AsistenciaJetAdminConcatenada!$D:$D, MATCH(1, (AsistenciaJetAdminConcatenada!$A:$A=GC$2)*(AsistenciaJetAdminConcatenada!$B:$B=GC$1), 0)), 1))),  0.5, 0))</f>
        <v>0</v>
      </c>
      <c r="GD24" s="47">
        <f t="array" ref="GD24">IF(AND(ISNUMBER(MATCH(GD$2, AsistenciaJetAdminConcatenada!$A:$A, 0)), ISNUMBER(MATCH(GD$1, AsistenciaJetAdminConcatenada!$B:$B, 0)), ISNUMBER(SEARCH($A24,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ISNUMBER(SEARCH($A24, INDEX(AsistenciaJetAdminConcatenada!$D:$D, MATCH(1, (AsistenciaJetAdminConcatenada!$A:$A=GD$2)*(AsistenciaJetAdminConcatenada!$B:$B=GD$1), 0)), 1))),  0.5, 0))</f>
        <v>0</v>
      </c>
      <c r="GE24" s="47">
        <f t="array" ref="GE24">IF(AND(ISNUMBER(MATCH(GE$2, AsistenciaJetAdminConcatenada!$A:$A, 0)), ISNUMBER(MATCH(GE$1, AsistenciaJetAdminConcatenada!$B:$B, 0)), ISNUMBER(SEARCH($A24,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ISNUMBER(SEARCH($A24, INDEX(AsistenciaJetAdminConcatenada!$D:$D, MATCH(1, (AsistenciaJetAdminConcatenada!$A:$A=GE$2)*(AsistenciaJetAdminConcatenada!$B:$B=GE$1), 0)), 1))),  0.5, 0))</f>
        <v>0</v>
      </c>
      <c r="GF24" s="47">
        <f t="array" ref="GF24">IF(AND(ISNUMBER(MATCH(GF$2, AsistenciaJetAdminConcatenada!$A:$A, 0)), ISNUMBER(MATCH(GF$1, AsistenciaJetAdminConcatenada!$B:$B, 0)), ISNUMBER(SEARCH($A24,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ISNUMBER(SEARCH($A24, INDEX(AsistenciaJetAdminConcatenada!$D:$D, MATCH(1, (AsistenciaJetAdminConcatenada!$A:$A=GF$2)*(AsistenciaJetAdminConcatenada!$B:$B=GF$1), 0)), 1))),  0.5, 0))</f>
        <v>0</v>
      </c>
      <c r="GG24" s="47">
        <f t="array" ref="GG24">IF(AND(ISNUMBER(MATCH(GG$2, AsistenciaJetAdminConcatenada!$A:$A, 0)), ISNUMBER(MATCH(GG$1, AsistenciaJetAdminConcatenada!$B:$B, 0)), ISNUMBER(SEARCH($A24,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ISNUMBER(SEARCH($A24, INDEX(AsistenciaJetAdminConcatenada!$D:$D, MATCH(1, (AsistenciaJetAdminConcatenada!$A:$A=GG$2)*(AsistenciaJetAdminConcatenada!$B:$B=GG$1), 0)), 1))),  0.5, 0))</f>
        <v>0</v>
      </c>
      <c r="GH24" s="47">
        <f t="array" ref="GH24">IF(AND(ISNUMBER(MATCH(GH$2, AsistenciaJetAdminConcatenada!$A:$A, 0)), ISNUMBER(MATCH(GH$1, AsistenciaJetAdminConcatenada!$B:$B, 0)), ISNUMBER(SEARCH($A24,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ISNUMBER(SEARCH($A24, INDEX(AsistenciaJetAdminConcatenada!$D:$D, MATCH(1, (AsistenciaJetAdminConcatenada!$A:$A=GH$2)*(AsistenciaJetAdminConcatenada!$B:$B=GH$1), 0)), 1))),  0.5, 0))</f>
        <v>0</v>
      </c>
      <c r="GI24" s="47">
        <f t="array" ref="GI24">IF(AND(ISNUMBER(MATCH(GI$2, AsistenciaJetAdminConcatenada!$A:$A, 0)), ISNUMBER(MATCH(GI$1, AsistenciaJetAdminConcatenada!$B:$B, 0)), ISNUMBER(SEARCH($A24,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ISNUMBER(SEARCH($A24, INDEX(AsistenciaJetAdminConcatenada!$D:$D, MATCH(1, (AsistenciaJetAdminConcatenada!$A:$A=GI$2)*(AsistenciaJetAdminConcatenada!$B:$B=GI$1), 0)), 1))),  0.5, 0))</f>
        <v>0</v>
      </c>
      <c r="GJ24" s="47">
        <f t="array" ref="GJ24">IF(AND(ISNUMBER(MATCH(GJ$2, AsistenciaJetAdminConcatenada!$A:$A, 0)), ISNUMBER(MATCH(GJ$1, AsistenciaJetAdminConcatenada!$B:$B, 0)), ISNUMBER(SEARCH($A24,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ISNUMBER(SEARCH($A24, INDEX(AsistenciaJetAdminConcatenada!$D:$D, MATCH(1, (AsistenciaJetAdminConcatenada!$A:$A=GJ$2)*(AsistenciaJetAdminConcatenada!$B:$B=GJ$1), 0)), 1))),  0.5, 0))</f>
        <v>0</v>
      </c>
      <c r="GK24" s="47">
        <f t="array" ref="GK24">IF(AND(ISNUMBER(MATCH(GK$2, AsistenciaJetAdminConcatenada!$A:$A, 0)), ISNUMBER(MATCH(GK$1, AsistenciaJetAdminConcatenada!$B:$B, 0)), ISNUMBER(SEARCH($A24,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ISNUMBER(SEARCH($A24, INDEX(AsistenciaJetAdminConcatenada!$D:$D, MATCH(1, (AsistenciaJetAdminConcatenada!$A:$A=GK$2)*(AsistenciaJetAdminConcatenada!$B:$B=GK$1), 0)), 1))),  0.5, 0))</f>
        <v>0</v>
      </c>
      <c r="GL24" s="47">
        <f t="array" ref="GL24">IF(AND(ISNUMBER(MATCH(GL$2, AsistenciaJetAdminConcatenada!$A:$A, 0)), ISNUMBER(MATCH(GL$1, AsistenciaJetAdminConcatenada!$B:$B, 0)), ISNUMBER(SEARCH($A24,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ISNUMBER(SEARCH($A24, INDEX(AsistenciaJetAdminConcatenada!$D:$D, MATCH(1, (AsistenciaJetAdminConcatenada!$A:$A=GL$2)*(AsistenciaJetAdminConcatenada!$B:$B=GL$1), 0)), 1))),  0.5, 0))</f>
        <v>0</v>
      </c>
      <c r="GM24" s="47">
        <f t="array" ref="GM24">IF(AND(ISNUMBER(MATCH(GM$2, AsistenciaJetAdminConcatenada!$A:$A, 0)), ISNUMBER(MATCH(GM$1, AsistenciaJetAdminConcatenada!$B:$B, 0)), ISNUMBER(SEARCH($A24,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ISNUMBER(SEARCH($A24, INDEX(AsistenciaJetAdminConcatenada!$D:$D, MATCH(1, (AsistenciaJetAdminConcatenada!$A:$A=GM$2)*(AsistenciaJetAdminConcatenada!$B:$B=GM$1), 0)), 1))),  0.5, 0))</f>
        <v>0</v>
      </c>
      <c r="GN24" s="47">
        <f t="array" ref="GN24">IF(AND(ISNUMBER(MATCH(GN$2, AsistenciaJetAdminConcatenada!$A:$A, 0)), ISNUMBER(MATCH(GN$1, AsistenciaJetAdminConcatenada!$B:$B, 0)), ISNUMBER(SEARCH($A24,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ISNUMBER(SEARCH($A24, INDEX(AsistenciaJetAdminConcatenada!$D:$D, MATCH(1, (AsistenciaJetAdminConcatenada!$A:$A=GN$2)*(AsistenciaJetAdminConcatenada!$B:$B=GN$1), 0)), 1))),  0.5, 0))</f>
        <v>0</v>
      </c>
      <c r="GO24" s="47">
        <f t="array" ref="GO24">IF(AND(ISNUMBER(MATCH(GO$2, AsistenciaJetAdminConcatenada!$A:$A, 0)), ISNUMBER(MATCH(GO$1, AsistenciaJetAdminConcatenada!$B:$B, 0)), ISNUMBER(SEARCH($A24,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ISNUMBER(SEARCH($A24, INDEX(AsistenciaJetAdminConcatenada!$D:$D, MATCH(1, (AsistenciaJetAdminConcatenada!$A:$A=GO$2)*(AsistenciaJetAdminConcatenada!$B:$B=GO$1), 0)), 1))),  0.5, 0))</f>
        <v>0</v>
      </c>
      <c r="GP24" s="47">
        <f t="array" ref="GP24">IF(AND(ISNUMBER(MATCH(GP$2, AsistenciaJetAdminConcatenada!$A:$A, 0)), ISNUMBER(MATCH(GP$1, AsistenciaJetAdminConcatenada!$B:$B, 0)), ISNUMBER(SEARCH($A24,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ISNUMBER(SEARCH($A24, INDEX(AsistenciaJetAdminConcatenada!$D:$D, MATCH(1, (AsistenciaJetAdminConcatenada!$A:$A=GP$2)*(AsistenciaJetAdminConcatenada!$B:$B=GP$1), 0)), 1))),  0.5, 0))</f>
        <v>0</v>
      </c>
      <c r="GQ24" s="47">
        <f t="array" ref="GQ24">IF(AND(ISNUMBER(MATCH(GQ$2, AsistenciaJetAdminConcatenada!$A:$A, 0)), ISNUMBER(MATCH(GQ$1, AsistenciaJetAdminConcatenada!$B:$B, 0)), ISNUMBER(SEARCH($A24,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ISNUMBER(SEARCH($A24, INDEX(AsistenciaJetAdminConcatenada!$D:$D, MATCH(1, (AsistenciaJetAdminConcatenada!$A:$A=GQ$2)*(AsistenciaJetAdminConcatenada!$B:$B=GQ$1), 0)), 1))),  0.5, 0))</f>
        <v>0</v>
      </c>
      <c r="GR24" s="47">
        <f t="array" ref="GR24">IF(AND(ISNUMBER(MATCH(GR$2, AsistenciaJetAdminConcatenada!$A:$A, 0)), ISNUMBER(MATCH(GR$1, AsistenciaJetAdminConcatenada!$B:$B, 0)), ISNUMBER(SEARCH($A24,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ISNUMBER(SEARCH($A24, INDEX(AsistenciaJetAdminConcatenada!$D:$D, MATCH(1, (AsistenciaJetAdminConcatenada!$A:$A=GR$2)*(AsistenciaJetAdminConcatenada!$B:$B=GR$1), 0)), 1))),  0.5, 0))</f>
        <v>0</v>
      </c>
      <c r="GS24" s="47">
        <f t="array" ref="GS24">IF(AND(ISNUMBER(MATCH(GS$2, AsistenciaJetAdminConcatenada!$A:$A, 0)), ISNUMBER(MATCH(GS$1, AsistenciaJetAdminConcatenada!$B:$B, 0)), ISNUMBER(SEARCH($A24,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ISNUMBER(SEARCH($A24, INDEX(AsistenciaJetAdminConcatenada!$D:$D, MATCH(1, (AsistenciaJetAdminConcatenada!$A:$A=GS$2)*(AsistenciaJetAdminConcatenada!$B:$B=GS$1), 0)), 1))),  0.5, 0))</f>
        <v>0</v>
      </c>
      <c r="GT24" s="47">
        <f t="array" ref="GT24">IF(AND(ISNUMBER(MATCH(GT$2, AsistenciaJetAdminConcatenada!$A:$A, 0)), ISNUMBER(MATCH(GT$1, AsistenciaJetAdminConcatenada!$B:$B, 0)), ISNUMBER(SEARCH($A24,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ISNUMBER(SEARCH($A24, INDEX(AsistenciaJetAdminConcatenada!$D:$D, MATCH(1, (AsistenciaJetAdminConcatenada!$A:$A=GT$2)*(AsistenciaJetAdminConcatenada!$B:$B=GT$1), 0)), 1))),  0.5, 0))</f>
        <v>0</v>
      </c>
      <c r="GU24" s="47">
        <f t="array" ref="GU24">IF(AND(ISNUMBER(MATCH(GU$2, AsistenciaJetAdminConcatenada!$A:$A, 0)), ISNUMBER(MATCH(GU$1, AsistenciaJetAdminConcatenada!$B:$B, 0)), ISNUMBER(SEARCH($A24,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ISNUMBER(SEARCH($A24, INDEX(AsistenciaJetAdminConcatenada!$D:$D, MATCH(1, (AsistenciaJetAdminConcatenada!$A:$A=GU$2)*(AsistenciaJetAdminConcatenada!$B:$B=GU$1), 0)), 1))),  0.5, 0))</f>
        <v>0</v>
      </c>
      <c r="GV24" s="47">
        <f t="array" ref="GV24">IF(AND(ISNUMBER(MATCH(GV$2, AsistenciaJetAdminConcatenada!$A:$A, 0)), ISNUMBER(MATCH(GV$1, AsistenciaJetAdminConcatenada!$B:$B, 0)), ISNUMBER(SEARCH($A24,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ISNUMBER(SEARCH($A24, INDEX(AsistenciaJetAdminConcatenada!$D:$D, MATCH(1, (AsistenciaJetAdminConcatenada!$A:$A=GV$2)*(AsistenciaJetAdminConcatenada!$B:$B=GV$1), 0)), 1))),  0.5, 0))</f>
        <v>0</v>
      </c>
      <c r="GW24" s="47">
        <f t="array" ref="GW24">IF(AND(ISNUMBER(MATCH(GW$2, AsistenciaJetAdminConcatenada!$A:$A, 0)), ISNUMBER(MATCH(GW$1, AsistenciaJetAdminConcatenada!$B:$B, 0)), ISNUMBER(SEARCH($A24,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ISNUMBER(SEARCH($A24, INDEX(AsistenciaJetAdminConcatenada!$D:$D, MATCH(1, (AsistenciaJetAdminConcatenada!$A:$A=GW$2)*(AsistenciaJetAdminConcatenada!$B:$B=GW$1), 0)), 1))),  0.5, 0))</f>
        <v>0</v>
      </c>
      <c r="GX24" s="47">
        <f t="array" ref="GX24">IF(AND(ISNUMBER(MATCH(GX$2, AsistenciaJetAdminConcatenada!$A:$A, 0)), ISNUMBER(MATCH(GX$1, AsistenciaJetAdminConcatenada!$B:$B, 0)), ISNUMBER(SEARCH($A24,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ISNUMBER(SEARCH($A24, INDEX(AsistenciaJetAdminConcatenada!$D:$D, MATCH(1, (AsistenciaJetAdminConcatenada!$A:$A=GX$2)*(AsistenciaJetAdminConcatenada!$B:$B=GX$1), 0)), 1))),  0.5, 0))</f>
        <v>0</v>
      </c>
      <c r="GY24" s="47">
        <f t="array" ref="GY24">IF(AND(ISNUMBER(MATCH(GY$2, AsistenciaJetAdminConcatenada!$A:$A, 0)), ISNUMBER(MATCH(GY$1, AsistenciaJetAdminConcatenada!$B:$B, 0)), ISNUMBER(SEARCH($A24,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ISNUMBER(SEARCH($A24, INDEX(AsistenciaJetAdminConcatenada!$D:$D, MATCH(1, (AsistenciaJetAdminConcatenada!$A:$A=GY$2)*(AsistenciaJetAdminConcatenada!$B:$B=GY$1), 0)), 1))),  0.5, 0))</f>
        <v>0</v>
      </c>
      <c r="GZ24" s="47">
        <f t="array" ref="GZ24">IF(AND(ISNUMBER(MATCH(GZ$2, AsistenciaJetAdminConcatenada!$A:$A, 0)), ISNUMBER(MATCH(GZ$1, AsistenciaJetAdminConcatenada!$B:$B, 0)), ISNUMBER(SEARCH($A24,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ISNUMBER(SEARCH($A24, INDEX(AsistenciaJetAdminConcatenada!$D:$D, MATCH(1, (AsistenciaJetAdminConcatenada!$A:$A=GZ$2)*(AsistenciaJetAdminConcatenada!$B:$B=GZ$1), 0)), 1))),  0.5, 0))</f>
        <v>0</v>
      </c>
      <c r="HA24" s="47">
        <f t="array" ref="HA24">IF(AND(ISNUMBER(MATCH(HA$2, AsistenciaJetAdminConcatenada!$A:$A, 0)), ISNUMBER(MATCH(HA$1, AsistenciaJetAdminConcatenada!$B:$B, 0)), ISNUMBER(SEARCH($A24,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ISNUMBER(SEARCH($A24, INDEX(AsistenciaJetAdminConcatenada!$D:$D, MATCH(1, (AsistenciaJetAdminConcatenada!$A:$A=HA$2)*(AsistenciaJetAdminConcatenada!$B:$B=HA$1), 0)), 1))),  0.5, 0))</f>
        <v>0</v>
      </c>
      <c r="HB24" s="47">
        <f t="array" ref="HB24">IF(AND(ISNUMBER(MATCH(HB$2, AsistenciaJetAdminConcatenada!$A:$A, 0)), ISNUMBER(MATCH(HB$1, AsistenciaJetAdminConcatenada!$B:$B, 0)), ISNUMBER(SEARCH($A24,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ISNUMBER(SEARCH($A24, INDEX(AsistenciaJetAdminConcatenada!$D:$D, MATCH(1, (AsistenciaJetAdminConcatenada!$A:$A=HB$2)*(AsistenciaJetAdminConcatenada!$B:$B=HB$1), 0)), 1))),  0.5, 0))</f>
        <v>0</v>
      </c>
      <c r="HC24" s="47">
        <f t="array" ref="HC24">IF(AND(ISNUMBER(MATCH(HC$2, AsistenciaJetAdminConcatenada!$A:$A, 0)), ISNUMBER(MATCH(HC$1, AsistenciaJetAdminConcatenada!$B:$B, 0)), ISNUMBER(SEARCH($A24,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ISNUMBER(SEARCH($A24, INDEX(AsistenciaJetAdminConcatenada!$D:$D, MATCH(1, (AsistenciaJetAdminConcatenada!$A:$A=HC$2)*(AsistenciaJetAdminConcatenada!$B:$B=HC$1), 0)), 1))),  0.5, 0))</f>
        <v>0</v>
      </c>
    </row>
    <row r="25" ht="29.25" customHeight="1">
      <c r="A25" s="3">
        <v>164.0</v>
      </c>
      <c r="B25" s="4" t="s">
        <v>296</v>
      </c>
      <c r="C25" s="47">
        <f>SUM(D25:HC25) + ActividadesEspeciales!C25</f>
        <v>64</v>
      </c>
      <c r="D25" s="47">
        <f t="array" ref="D25">IF(AND(ISNUMBER(MATCH(D$2, AsistenciaJetAdminConcatenada!$A:$A, 0)), ISNUMBER(MATCH(D$1, AsistenciaJetAdminConcatenada!$B:$B, 0)), ISNUMBER(SEARCH($A25,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ISNUMBER(SEARCH($A25, INDEX(AsistenciaJetAdminConcatenada!$D:$D, MATCH(1, (AsistenciaJetAdminConcatenada!$A:$A=D$2)*(AsistenciaJetAdminConcatenada!$B:$B=D$1), 0)), 1))),  0.5, 0))</f>
        <v>1</v>
      </c>
      <c r="E25" s="47">
        <f t="array" ref="E25">IF(AND(ISNUMBER(MATCH(E$2, AsistenciaJetAdminConcatenada!$A:$A, 0)), ISNUMBER(MATCH(E$1, AsistenciaJetAdminConcatenada!$B:$B, 0)), ISNUMBER(SEARCH($A25,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ISNUMBER(SEARCH($A25, INDEX(AsistenciaJetAdminConcatenada!$D:$D, MATCH(1, (AsistenciaJetAdminConcatenada!$A:$A=E$2)*(AsistenciaJetAdminConcatenada!$B:$B=E$1), 0)), 1))),  0.5, 0))</f>
        <v>1</v>
      </c>
      <c r="F25" s="47">
        <f t="array" ref="F25">IF(AND(ISNUMBER(MATCH(F$2, AsistenciaJetAdminConcatenada!$A:$A, 0)), ISNUMBER(MATCH(F$1, AsistenciaJetAdminConcatenada!$B:$B, 0)), ISNUMBER(SEARCH($A25,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ISNUMBER(SEARCH($A25, INDEX(AsistenciaJetAdminConcatenada!$D:$D, MATCH(1, (AsistenciaJetAdminConcatenada!$A:$A=F$2)*(AsistenciaJetAdminConcatenada!$B:$B=F$1), 0)), 1))),  0.5, 0))</f>
        <v>1</v>
      </c>
      <c r="G25" s="47">
        <f t="array" ref="G25">IF(AND(ISNUMBER(MATCH(G$2, AsistenciaJetAdminConcatenada!$A:$A, 0)), ISNUMBER(MATCH(G$1, AsistenciaJetAdminConcatenada!$B:$B, 0)), ISNUMBER(SEARCH($A25,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ISNUMBER(SEARCH($A25, INDEX(AsistenciaJetAdminConcatenada!$D:$D, MATCH(1, (AsistenciaJetAdminConcatenada!$A:$A=G$2)*(AsistenciaJetAdminConcatenada!$B:$B=G$1), 0)), 1))),  0.5, 0))</f>
        <v>1</v>
      </c>
      <c r="H25" s="47">
        <f t="array" ref="H25">IF(AND(ISNUMBER(MATCH(H$2, AsistenciaJetAdminConcatenada!$A:$A, 0)), ISNUMBER(MATCH(H$1, AsistenciaJetAdminConcatenada!$B:$B, 0)), ISNUMBER(SEARCH($A25,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ISNUMBER(SEARCH($A25, INDEX(AsistenciaJetAdminConcatenada!$D:$D, MATCH(1, (AsistenciaJetAdminConcatenada!$A:$A=H$2)*(AsistenciaJetAdminConcatenada!$B:$B=H$1), 0)), 1))),  0.5, 0))</f>
        <v>1</v>
      </c>
      <c r="I25" s="47">
        <f t="array" ref="I25">IF(AND(ISNUMBER(MATCH(I$2, AsistenciaJetAdminConcatenada!$A:$A, 0)), ISNUMBER(MATCH(I$1, AsistenciaJetAdminConcatenada!$B:$B, 0)), ISNUMBER(SEARCH($A25,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ISNUMBER(SEARCH($A25, INDEX(AsistenciaJetAdminConcatenada!$D:$D, MATCH(1, (AsistenciaJetAdminConcatenada!$A:$A=I$2)*(AsistenciaJetAdminConcatenada!$B:$B=I$1), 0)), 1))),  0.5, 0))</f>
        <v>1</v>
      </c>
      <c r="J25" s="47">
        <f t="array" ref="J25">IF(AND(ISNUMBER(MATCH(J$2, AsistenciaJetAdminConcatenada!$A:$A, 0)), ISNUMBER(MATCH(J$1, AsistenciaJetAdminConcatenada!$B:$B, 0)), ISNUMBER(SEARCH($A25,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ISNUMBER(SEARCH($A25, INDEX(AsistenciaJetAdminConcatenada!$D:$D, MATCH(1, (AsistenciaJetAdminConcatenada!$A:$A=J$2)*(AsistenciaJetAdminConcatenada!$B:$B=J$1), 0)), 1))),  0.5, 0))</f>
        <v>1</v>
      </c>
      <c r="K25" s="47">
        <f t="array" ref="K25">IF(AND(ISNUMBER(MATCH(K$2, AsistenciaJetAdminConcatenada!$A:$A, 0)), ISNUMBER(MATCH(K$1, AsistenciaJetAdminConcatenada!$B:$B, 0)), ISNUMBER(SEARCH($A25,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ISNUMBER(SEARCH($A25, INDEX(AsistenciaJetAdminConcatenada!$D:$D, MATCH(1, (AsistenciaJetAdminConcatenada!$A:$A=K$2)*(AsistenciaJetAdminConcatenada!$B:$B=K$1), 0)), 1))),  0.5, 0))</f>
        <v>1</v>
      </c>
      <c r="L25" s="47">
        <f t="array" ref="L25">IF(AND(ISNUMBER(MATCH(L$2, AsistenciaJetAdminConcatenada!$A:$A, 0)), ISNUMBER(MATCH(L$1, AsistenciaJetAdminConcatenada!$B:$B, 0)), ISNUMBER(SEARCH($A25,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ISNUMBER(SEARCH($A25, INDEX(AsistenciaJetAdminConcatenada!$D:$D, MATCH(1, (AsistenciaJetAdminConcatenada!$A:$A=L$2)*(AsistenciaJetAdminConcatenada!$B:$B=L$1), 0)), 1))),  0.5, 0))</f>
        <v>1</v>
      </c>
      <c r="M25" s="47">
        <f t="array" ref="M25">IF(AND(ISNUMBER(MATCH(M$2, AsistenciaJetAdminConcatenada!$A:$A, 0)), ISNUMBER(MATCH(M$1, AsistenciaJetAdminConcatenada!$B:$B, 0)), ISNUMBER(SEARCH($A25,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ISNUMBER(SEARCH($A25, INDEX(AsistenciaJetAdminConcatenada!$D:$D, MATCH(1, (AsistenciaJetAdminConcatenada!$A:$A=M$2)*(AsistenciaJetAdminConcatenada!$B:$B=M$1), 0)), 1))),  0.5, 0))</f>
        <v>1</v>
      </c>
      <c r="N25" s="47">
        <f t="array" ref="N25">IF(AND(ISNUMBER(MATCH(N$2, AsistenciaJetAdminConcatenada!$A:$A, 0)), ISNUMBER(MATCH(N$1, AsistenciaJetAdminConcatenada!$B:$B, 0)), ISNUMBER(SEARCH($A25,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ISNUMBER(SEARCH($A25, INDEX(AsistenciaJetAdminConcatenada!$D:$D, MATCH(1, (AsistenciaJetAdminConcatenada!$A:$A=N$2)*(AsistenciaJetAdminConcatenada!$B:$B=N$1), 0)), 1))),  0.5, 0))</f>
        <v>1</v>
      </c>
      <c r="O25" s="47">
        <f t="array" ref="O25">IF(AND(ISNUMBER(MATCH(O$2, AsistenciaJetAdminConcatenada!$A:$A, 0)), ISNUMBER(MATCH(O$1, AsistenciaJetAdminConcatenada!$B:$B, 0)), ISNUMBER(SEARCH($A25,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ISNUMBER(SEARCH($A25, INDEX(AsistenciaJetAdminConcatenada!$D:$D, MATCH(1, (AsistenciaJetAdminConcatenada!$A:$A=O$2)*(AsistenciaJetAdminConcatenada!$B:$B=O$1), 0)), 1))),  0.5, 0))</f>
        <v>1</v>
      </c>
      <c r="P25" s="47">
        <f t="array" ref="P25">IF(AND(ISNUMBER(MATCH(P$2, AsistenciaJetAdminConcatenada!$A:$A, 0)), ISNUMBER(MATCH(P$1, AsistenciaJetAdminConcatenada!$B:$B, 0)), ISNUMBER(SEARCH($A25, INDEX(AsistenciaJetAdminConcatenada!$C:$C, MATCH(1, (AsistenciaJetAdminConcatenada!$A:$A=P$2)*(AsistenciaJetAdminConcatenada!$B:$B=P$1), 0)), 1))), 1, IF(AND(ISNUMBER(MATCH(P$2, AsistenciaJetAdminConcatenada!$A:$A, 0)), ISNUMBER(MATCH(P$1, AsistenciaJetAdminConcatenada!$B:$B, 0)), ISNUMBER(SEARCH($A25, INDEX(AsistenciaJetAdminConcatenada!$D:$D, MATCH(1, (AsistenciaJetAdminConcatenada!$A:$A=P$2)*(AsistenciaJetAdminConcatenada!$B:$B=P$1), 0)), 1))),  0.5, 0))</f>
        <v>1</v>
      </c>
      <c r="Q25" s="47">
        <f t="array" ref="Q25">IF(AND(ISNUMBER(MATCH(Q$2, AsistenciaJetAdminConcatenada!$A:$A, 0)), ISNUMBER(MATCH(Q$1, AsistenciaJetAdminConcatenada!$B:$B, 0)), ISNUMBER(SEARCH($A25, INDEX(AsistenciaJetAdminConcatenada!$C:$C, MATCH(1, (AsistenciaJetAdminConcatenada!$A:$A=Q$2)*(AsistenciaJetAdminConcatenada!$B:$B=Q$1), 0)), 1))), 1, IF(AND(ISNUMBER(MATCH(Q$2, AsistenciaJetAdminConcatenada!$A:$A, 0)), ISNUMBER(MATCH(Q$1, AsistenciaJetAdminConcatenada!$B:$B, 0)), ISNUMBER(SEARCH($A25, INDEX(AsistenciaJetAdminConcatenada!$D:$D, MATCH(1, (AsistenciaJetAdminConcatenada!$A:$A=Q$2)*(AsistenciaJetAdminConcatenada!$B:$B=Q$1), 0)), 1))),  0.5, 0))</f>
        <v>1</v>
      </c>
      <c r="R25" s="47">
        <f t="array" ref="R25">IF(AND(ISNUMBER(MATCH(R$2, AsistenciaJetAdminConcatenada!$A:$A, 0)), ISNUMBER(MATCH(R$1, AsistenciaJetAdminConcatenada!$B:$B, 0)), ISNUMBER(SEARCH($A25,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ISNUMBER(SEARCH($A25, INDEX(AsistenciaJetAdminConcatenada!$D:$D, MATCH(1, (AsistenciaJetAdminConcatenada!$A:$A=R$2)*(AsistenciaJetAdminConcatenada!$B:$B=R$1), 0)), 1))),  0.5, 0))</f>
        <v>1</v>
      </c>
      <c r="S25" s="47">
        <f t="array" ref="S25">IF(AND(ISNUMBER(MATCH(S$2, AsistenciaJetAdminConcatenada!$A:$A, 0)), ISNUMBER(MATCH(S$1, AsistenciaJetAdminConcatenada!$B:$B, 0)), ISNUMBER(SEARCH($A25,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ISNUMBER(SEARCH($A25, INDEX(AsistenciaJetAdminConcatenada!$D:$D, MATCH(1, (AsistenciaJetAdminConcatenada!$A:$A=S$2)*(AsistenciaJetAdminConcatenada!$B:$B=S$1), 0)), 1))),  0.5, 0))</f>
        <v>1</v>
      </c>
      <c r="T25" s="47">
        <f t="array" ref="T25">IF(AND(ISNUMBER(MATCH(T$2, AsistenciaJetAdminConcatenada!$A:$A, 0)), ISNUMBER(MATCH(T$1, AsistenciaJetAdminConcatenada!$B:$B, 0)), ISNUMBER(SEARCH($A25,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ISNUMBER(SEARCH($A25, INDEX(AsistenciaJetAdminConcatenada!$D:$D, MATCH(1, (AsistenciaJetAdminConcatenada!$A:$A=T$2)*(AsistenciaJetAdminConcatenada!$B:$B=T$1), 0)), 1))),  0.5, 0))</f>
        <v>0</v>
      </c>
      <c r="U25" s="47">
        <f t="array" ref="U25">IF(AND(ISNUMBER(MATCH(U$2, AsistenciaJetAdminConcatenada!$A:$A, 0)), ISNUMBER(MATCH(U$1, AsistenciaJetAdminConcatenada!$B:$B, 0)), ISNUMBER(SEARCH($A25,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ISNUMBER(SEARCH($A25, INDEX(AsistenciaJetAdminConcatenada!$D:$D, MATCH(1, (AsistenciaJetAdminConcatenada!$A:$A=U$2)*(AsistenciaJetAdminConcatenada!$B:$B=U$1), 0)), 1))),  0.5, 0))</f>
        <v>1</v>
      </c>
      <c r="V25" s="47">
        <f t="array" ref="V25">IF(AND(ISNUMBER(MATCH(V$2, AsistenciaJetAdminConcatenada!$A:$A, 0)), ISNUMBER(MATCH(V$1, AsistenciaJetAdminConcatenada!$B:$B, 0)), ISNUMBER(SEARCH($A25,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ISNUMBER(SEARCH($A25, INDEX(AsistenciaJetAdminConcatenada!$D:$D, MATCH(1, (AsistenciaJetAdminConcatenada!$A:$A=V$2)*(AsistenciaJetAdminConcatenada!$B:$B=V$1), 0)), 1))),  0.5, 0))</f>
        <v>1</v>
      </c>
      <c r="W25" s="47">
        <f t="array" ref="W25">IF(AND(ISNUMBER(MATCH(W$2, AsistenciaJetAdminConcatenada!$A:$A, 0)), ISNUMBER(MATCH(W$1, AsistenciaJetAdminConcatenada!$B:$B, 0)), ISNUMBER(SEARCH($A25,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ISNUMBER(SEARCH($A25, INDEX(AsistenciaJetAdminConcatenada!$D:$D, MATCH(1, (AsistenciaJetAdminConcatenada!$A:$A=W$2)*(AsistenciaJetAdminConcatenada!$B:$B=W$1), 0)), 1))),  0.5, 0))</f>
        <v>1</v>
      </c>
      <c r="X25" s="47">
        <f t="array" ref="X25">IF(AND(ISNUMBER(MATCH(X$2, AsistenciaJetAdminConcatenada!$A:$A, 0)), ISNUMBER(MATCH(X$1, AsistenciaJetAdminConcatenada!$B:$B, 0)), ISNUMBER(SEARCH($A25,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ISNUMBER(SEARCH($A25, INDEX(AsistenciaJetAdminConcatenada!$D:$D, MATCH(1, (AsistenciaJetAdminConcatenada!$A:$A=X$2)*(AsistenciaJetAdminConcatenada!$B:$B=X$1), 0)), 1))),  0.5, 0))</f>
        <v>1</v>
      </c>
      <c r="Y25" s="47">
        <f t="array" ref="Y25">IF(AND(ISNUMBER(MATCH(Y$2, AsistenciaJetAdminConcatenada!$A:$A, 0)), ISNUMBER(MATCH(Y$1, AsistenciaJetAdminConcatenada!$B:$B, 0)), ISNUMBER(SEARCH($A25,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ISNUMBER(SEARCH($A25, INDEX(AsistenciaJetAdminConcatenada!$D:$D, MATCH(1, (AsistenciaJetAdminConcatenada!$A:$A=Y$2)*(AsistenciaJetAdminConcatenada!$B:$B=Y$1), 0)), 1))),  0.5, 0))</f>
        <v>1</v>
      </c>
      <c r="Z25" s="47">
        <f t="array" ref="Z25">IF(AND(ISNUMBER(MATCH(Z$2, AsistenciaJetAdminConcatenada!$A:$A, 0)), ISNUMBER(MATCH(Z$1, AsistenciaJetAdminConcatenada!$B:$B, 0)), ISNUMBER(SEARCH($A25,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ISNUMBER(SEARCH($A25, INDEX(AsistenciaJetAdminConcatenada!$D:$D, MATCH(1, (AsistenciaJetAdminConcatenada!$A:$A=Z$2)*(AsistenciaJetAdminConcatenada!$B:$B=Z$1), 0)), 1))),  0.5, 0))</f>
        <v>1</v>
      </c>
      <c r="AA25" s="47">
        <f t="array" ref="AA25">IF(AND(ISNUMBER(MATCH(AA$2, AsistenciaJetAdminConcatenada!$A:$A, 0)), ISNUMBER(MATCH(AA$1, AsistenciaJetAdminConcatenada!$B:$B, 0)), ISNUMBER(SEARCH($A25,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ISNUMBER(SEARCH($A25, INDEX(AsistenciaJetAdminConcatenada!$D:$D, MATCH(1, (AsistenciaJetAdminConcatenada!$A:$A=AA$2)*(AsistenciaJetAdminConcatenada!$B:$B=AA$1), 0)), 1))),  0.5, 0))</f>
        <v>1</v>
      </c>
      <c r="AB25" s="47">
        <f t="array" ref="AB25">IF(AND(ISNUMBER(MATCH(AB$2, AsistenciaJetAdminConcatenada!$A:$A, 0)), ISNUMBER(MATCH(AB$1, AsistenciaJetAdminConcatenada!$B:$B, 0)), ISNUMBER(SEARCH($A25,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ISNUMBER(SEARCH($A25, INDEX(AsistenciaJetAdminConcatenada!$D:$D, MATCH(1, (AsistenciaJetAdminConcatenada!$A:$A=AB$2)*(AsistenciaJetAdminConcatenada!$B:$B=AB$1), 0)), 1))),  0.5, 0))</f>
        <v>1</v>
      </c>
      <c r="AC25" s="47">
        <f t="array" ref="AC25">IF(AND(ISNUMBER(MATCH(AC$2, AsistenciaJetAdminConcatenada!$A:$A, 0)), ISNUMBER(MATCH(AC$1, AsistenciaJetAdminConcatenada!$B:$B, 0)), ISNUMBER(SEARCH($A25,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ISNUMBER(SEARCH($A25, INDEX(AsistenciaJetAdminConcatenada!$D:$D, MATCH(1, (AsistenciaJetAdminConcatenada!$A:$A=AC$2)*(AsistenciaJetAdminConcatenada!$B:$B=AC$1), 0)), 1))),  0.5, 0))</f>
        <v>1</v>
      </c>
      <c r="AD25" s="47">
        <f t="array" ref="AD25">IF(AND(ISNUMBER(MATCH(AD$2, AsistenciaJetAdminConcatenada!$A:$A, 0)), ISNUMBER(MATCH(AD$1, AsistenciaJetAdminConcatenada!$B:$B, 0)), ISNUMBER(SEARCH($A25,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ISNUMBER(SEARCH($A25, INDEX(AsistenciaJetAdminConcatenada!$D:$D, MATCH(1, (AsistenciaJetAdminConcatenada!$A:$A=AD$2)*(AsistenciaJetAdminConcatenada!$B:$B=AD$1), 0)), 1))),  0.5, 0))</f>
        <v>1</v>
      </c>
      <c r="AE25" s="47">
        <f t="array" ref="AE25">IF(AND(ISNUMBER(MATCH(AE$2, AsistenciaJetAdminConcatenada!$A:$A, 0)), ISNUMBER(MATCH(AE$1, AsistenciaJetAdminConcatenada!$B:$B, 0)), ISNUMBER(SEARCH($A25,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ISNUMBER(SEARCH($A25, INDEX(AsistenciaJetAdminConcatenada!$D:$D, MATCH(1, (AsistenciaJetAdminConcatenada!$A:$A=AE$2)*(AsistenciaJetAdminConcatenada!$B:$B=AE$1), 0)), 1))),  0.5, 0))</f>
        <v>1</v>
      </c>
      <c r="AF25" s="47">
        <f t="array" ref="AF25">IF(AND(ISNUMBER(MATCH(AF$2, AsistenciaJetAdminConcatenada!$A:$A, 0)), ISNUMBER(MATCH(AF$1, AsistenciaJetAdminConcatenada!$B:$B, 0)), ISNUMBER(SEARCH($A25,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ISNUMBER(SEARCH($A25, INDEX(AsistenciaJetAdminConcatenada!$D:$D, MATCH(1, (AsistenciaJetAdminConcatenada!$A:$A=AF$2)*(AsistenciaJetAdminConcatenada!$B:$B=AF$1), 0)), 1))),  0.5, 0))</f>
        <v>1</v>
      </c>
      <c r="AG25" s="47">
        <f t="array" ref="AG25">IF(AND(ISNUMBER(MATCH(AG$2, AsistenciaJetAdminConcatenada!$A:$A, 0)), ISNUMBER(MATCH(AG$1, AsistenciaJetAdminConcatenada!$B:$B, 0)), ISNUMBER(SEARCH($A25,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ISNUMBER(SEARCH($A25, INDEX(AsistenciaJetAdminConcatenada!$D:$D, MATCH(1, (AsistenciaJetAdminConcatenada!$A:$A=AG$2)*(AsistenciaJetAdminConcatenada!$B:$B=AG$1), 0)), 1))),  0.5, 0))</f>
        <v>1</v>
      </c>
      <c r="AH25" s="47">
        <f t="array" ref="AH25">IF(AND(ISNUMBER(MATCH(AH$2, AsistenciaJetAdminConcatenada!$A:$A, 0)), ISNUMBER(MATCH(AH$1, AsistenciaJetAdminConcatenada!$B:$B, 0)), ISNUMBER(SEARCH($A25,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ISNUMBER(SEARCH($A25, INDEX(AsistenciaJetAdminConcatenada!$D:$D, MATCH(1, (AsistenciaJetAdminConcatenada!$A:$A=AH$2)*(AsistenciaJetAdminConcatenada!$B:$B=AH$1), 0)), 1))),  0.5, 0))</f>
        <v>0</v>
      </c>
      <c r="AI25" s="47">
        <f t="array" ref="AI25">IF(AND(ISNUMBER(MATCH(AI$2, AsistenciaJetAdminConcatenada!$A:$A, 0)), ISNUMBER(MATCH(AI$1, AsistenciaJetAdminConcatenada!$B:$B, 0)), ISNUMBER(SEARCH($A25,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ISNUMBER(SEARCH($A25, INDEX(AsistenciaJetAdminConcatenada!$D:$D, MATCH(1, (AsistenciaJetAdminConcatenada!$A:$A=AI$2)*(AsistenciaJetAdminConcatenada!$B:$B=AI$1), 0)), 1))),  0.5, 0))</f>
        <v>1</v>
      </c>
      <c r="AJ25" s="47">
        <f t="array" ref="AJ25">IF(AND(ISNUMBER(MATCH(AJ$2, AsistenciaJetAdminConcatenada!$A:$A, 0)), ISNUMBER(MATCH(AJ$1, AsistenciaJetAdminConcatenada!$B:$B, 0)), ISNUMBER(SEARCH($A25,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ISNUMBER(SEARCH($A25, INDEX(AsistenciaJetAdminConcatenada!$D:$D, MATCH(1, (AsistenciaJetAdminConcatenada!$A:$A=AJ$2)*(AsistenciaJetAdminConcatenada!$B:$B=AJ$1), 0)), 1))),  0.5, 0))</f>
        <v>0</v>
      </c>
      <c r="AK25" s="47">
        <f t="array" ref="AK25">IF(AND(ISNUMBER(MATCH(AK$2, AsistenciaJetAdminConcatenada!$A:$A, 0)), ISNUMBER(MATCH(AK$1, AsistenciaJetAdminConcatenada!$B:$B, 0)), ISNUMBER(SEARCH($A25,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ISNUMBER(SEARCH($A25, INDEX(AsistenciaJetAdminConcatenada!$D:$D, MATCH(1, (AsistenciaJetAdminConcatenada!$A:$A=AK$2)*(AsistenciaJetAdminConcatenada!$B:$B=AK$1), 0)), 1))),  0.5, 0))</f>
        <v>1</v>
      </c>
      <c r="AL25" s="47">
        <f t="array" ref="AL25">IF(AND(ISNUMBER(MATCH(AL$2, AsistenciaJetAdminConcatenada!$A:$A, 0)), ISNUMBER(MATCH(AL$1, AsistenciaJetAdminConcatenada!$B:$B, 0)), ISNUMBER(SEARCH($A25,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ISNUMBER(SEARCH($A25, INDEX(AsistenciaJetAdminConcatenada!$D:$D, MATCH(1, (AsistenciaJetAdminConcatenada!$A:$A=AL$2)*(AsistenciaJetAdminConcatenada!$B:$B=AL$1), 0)), 1))),  0.5, 0))</f>
        <v>1</v>
      </c>
      <c r="AM25" s="47">
        <f t="array" ref="AM25">IF(AND(ISNUMBER(MATCH(AM$2, AsistenciaJetAdminConcatenada!$A:$A, 0)), ISNUMBER(MATCH(AM$1, AsistenciaJetAdminConcatenada!$B:$B, 0)), ISNUMBER(SEARCH($A25,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ISNUMBER(SEARCH($A25, INDEX(AsistenciaJetAdminConcatenada!$D:$D, MATCH(1, (AsistenciaJetAdminConcatenada!$A:$A=AM$2)*(AsistenciaJetAdminConcatenada!$B:$B=AM$1), 0)), 1))),  0.5, 0))</f>
        <v>0</v>
      </c>
      <c r="AN25" s="47">
        <f t="array" ref="AN25">IF(AND(ISNUMBER(MATCH(AN$2, AsistenciaJetAdminConcatenada!$A:$A, 0)), ISNUMBER(MATCH(AN$1, AsistenciaJetAdminConcatenada!$B:$B, 0)), ISNUMBER(SEARCH($A25,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ISNUMBER(SEARCH($A25, INDEX(AsistenciaJetAdminConcatenada!$D:$D, MATCH(1, (AsistenciaJetAdminConcatenada!$A:$A=AN$2)*(AsistenciaJetAdminConcatenada!$B:$B=AN$1), 0)), 1))),  0.5, 0))</f>
        <v>0</v>
      </c>
      <c r="AO25" s="47">
        <f t="array" ref="AO25">IF(AND(ISNUMBER(MATCH(AO$2, AsistenciaJetAdminConcatenada!$A:$A, 0)), ISNUMBER(MATCH(AO$1, AsistenciaJetAdminConcatenada!$B:$B, 0)), ISNUMBER(SEARCH($A25,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ISNUMBER(SEARCH($A25, INDEX(AsistenciaJetAdminConcatenada!$D:$D, MATCH(1, (AsistenciaJetAdminConcatenada!$A:$A=AO$2)*(AsistenciaJetAdminConcatenada!$B:$B=AO$1), 0)), 1))),  0.5, 0))</f>
        <v>0</v>
      </c>
      <c r="AP25" s="47">
        <f t="array" ref="AP25">IF(AND(ISNUMBER(MATCH(AP$2, AsistenciaJetAdminConcatenada!$A:$A, 0)), ISNUMBER(MATCH(AP$1, AsistenciaJetAdminConcatenada!$B:$B, 0)), ISNUMBER(SEARCH($A25,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ISNUMBER(SEARCH($A25, INDEX(AsistenciaJetAdminConcatenada!$D:$D, MATCH(1, (AsistenciaJetAdminConcatenada!$A:$A=AP$2)*(AsistenciaJetAdminConcatenada!$B:$B=AP$1), 0)), 1))),  0.5, 0))</f>
        <v>0</v>
      </c>
      <c r="AQ25" s="47">
        <f t="array" ref="AQ25">IF(AND(ISNUMBER(MATCH(AQ$2, AsistenciaJetAdminConcatenada!$A:$A, 0)), ISNUMBER(MATCH(AQ$1, AsistenciaJetAdminConcatenada!$B:$B, 0)), ISNUMBER(SEARCH($A25,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ISNUMBER(SEARCH($A25, INDEX(AsistenciaJetAdminConcatenada!$D:$D, MATCH(1, (AsistenciaJetAdminConcatenada!$A:$A=AQ$2)*(AsistenciaJetAdminConcatenada!$B:$B=AQ$1), 0)), 1))),  0.5, 0))</f>
        <v>0</v>
      </c>
      <c r="AR25" s="47">
        <f t="array" ref="AR25">IF(AND(ISNUMBER(MATCH(AR$2, AsistenciaJetAdminConcatenada!$A:$A, 0)), ISNUMBER(MATCH(AR$1, AsistenciaJetAdminConcatenada!$B:$B, 0)), ISNUMBER(SEARCH($A25,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ISNUMBER(SEARCH($A25, INDEX(AsistenciaJetAdminConcatenada!$D:$D, MATCH(1, (AsistenciaJetAdminConcatenada!$A:$A=AR$2)*(AsistenciaJetAdminConcatenada!$B:$B=AR$1), 0)), 1))),  0.5, 0))</f>
        <v>1</v>
      </c>
      <c r="AS25" s="47">
        <f t="array" ref="AS25">IF(AND(ISNUMBER(MATCH(AS$2, AsistenciaJetAdminConcatenada!$A:$A, 0)), ISNUMBER(MATCH(AS$1, AsistenciaJetAdminConcatenada!$B:$B, 0)), ISNUMBER(SEARCH($A25,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ISNUMBER(SEARCH($A25, INDEX(AsistenciaJetAdminConcatenada!$D:$D, MATCH(1, (AsistenciaJetAdminConcatenada!$A:$A=AS$2)*(AsistenciaJetAdminConcatenada!$B:$B=AS$1), 0)), 1))),  0.5, 0))</f>
        <v>1</v>
      </c>
      <c r="AT25" s="47">
        <f t="array" ref="AT25">IF(AND(ISNUMBER(MATCH(AT$2, AsistenciaJetAdminConcatenada!$A:$A, 0)), ISNUMBER(MATCH(AT$1, AsistenciaJetAdminConcatenada!$B:$B, 0)), ISNUMBER(SEARCH($A25,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ISNUMBER(SEARCH($A25, INDEX(AsistenciaJetAdminConcatenada!$D:$D, MATCH(1, (AsistenciaJetAdminConcatenada!$A:$A=AT$2)*(AsistenciaJetAdminConcatenada!$B:$B=AT$1), 0)), 1))),  0.5, 0))</f>
        <v>0</v>
      </c>
      <c r="AU25" s="47">
        <f t="array" ref="AU25">IF(AND(ISNUMBER(MATCH(AU$2, AsistenciaJetAdminConcatenada!$A:$A, 0)), ISNUMBER(MATCH(AU$1, AsistenciaJetAdminConcatenada!$B:$B, 0)), ISNUMBER(SEARCH($A25,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ISNUMBER(SEARCH($A25, INDEX(AsistenciaJetAdminConcatenada!$D:$D, MATCH(1, (AsistenciaJetAdminConcatenada!$A:$A=AU$2)*(AsistenciaJetAdminConcatenada!$B:$B=AU$1), 0)), 1))),  0.5, 0))</f>
        <v>1</v>
      </c>
      <c r="AV25" s="47">
        <f t="array" ref="AV25">IF(AND(ISNUMBER(MATCH(AV$2, AsistenciaJetAdminConcatenada!$A:$A, 0)), ISNUMBER(MATCH(AV$1, AsistenciaJetAdminConcatenada!$B:$B, 0)), ISNUMBER(SEARCH($A25,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ISNUMBER(SEARCH($A25, INDEX(AsistenciaJetAdminConcatenada!$D:$D, MATCH(1, (AsistenciaJetAdminConcatenada!$A:$A=AV$2)*(AsistenciaJetAdminConcatenada!$B:$B=AV$1), 0)), 1))),  0.5, 0))</f>
        <v>1</v>
      </c>
      <c r="AW25" s="47">
        <f t="array" ref="AW25">IF(AND(ISNUMBER(MATCH(AW$2, AsistenciaJetAdminConcatenada!$A:$A, 0)), ISNUMBER(MATCH(AW$1, AsistenciaJetAdminConcatenada!$B:$B, 0)), ISNUMBER(SEARCH($A25,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ISNUMBER(SEARCH($A25, INDEX(AsistenciaJetAdminConcatenada!$D:$D, MATCH(1, (AsistenciaJetAdminConcatenada!$A:$A=AW$2)*(AsistenciaJetAdminConcatenada!$B:$B=AW$1), 0)), 1))),  0.5, 0))</f>
        <v>1</v>
      </c>
      <c r="AX25" s="47">
        <f t="array" ref="AX25">IF(AND(ISNUMBER(MATCH(AX$2, AsistenciaJetAdminConcatenada!$A:$A, 0)), ISNUMBER(MATCH(AX$1, AsistenciaJetAdminConcatenada!$B:$B, 0)), ISNUMBER(SEARCH($A25,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ISNUMBER(SEARCH($A25, INDEX(AsistenciaJetAdminConcatenada!$D:$D, MATCH(1, (AsistenciaJetAdminConcatenada!$A:$A=AX$2)*(AsistenciaJetAdminConcatenada!$B:$B=AX$1), 0)), 1))),  0.5, 0))</f>
        <v>1</v>
      </c>
      <c r="AY25" s="47">
        <f t="array" ref="AY25">IF(AND(ISNUMBER(MATCH(AY$2, AsistenciaJetAdminConcatenada!$A:$A, 0)), ISNUMBER(MATCH(AY$1, AsistenciaJetAdminConcatenada!$B:$B, 0)), ISNUMBER(SEARCH($A25,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ISNUMBER(SEARCH($A25, INDEX(AsistenciaJetAdminConcatenada!$D:$D, MATCH(1, (AsistenciaJetAdminConcatenada!$A:$A=AY$2)*(AsistenciaJetAdminConcatenada!$B:$B=AY$1), 0)), 1))),  0.5, 0))</f>
        <v>1</v>
      </c>
      <c r="AZ25" s="47">
        <f t="array" ref="AZ25">IF(AND(ISNUMBER(MATCH(AZ$2, AsistenciaJetAdminConcatenada!$A:$A, 0)), ISNUMBER(MATCH(AZ$1, AsistenciaJetAdminConcatenada!$B:$B, 0)), ISNUMBER(SEARCH($A25,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ISNUMBER(SEARCH($A25, INDEX(AsistenciaJetAdminConcatenada!$D:$D, MATCH(1, (AsistenciaJetAdminConcatenada!$A:$A=AZ$2)*(AsistenciaJetAdminConcatenada!$B:$B=AZ$1), 0)), 1))),  0.5, 0))</f>
        <v>1</v>
      </c>
      <c r="BA25" s="47">
        <f t="array" ref="BA25">IF(AND(ISNUMBER(MATCH(BA$2, AsistenciaJetAdminConcatenada!$A:$A, 0)), ISNUMBER(MATCH(BA$1, AsistenciaJetAdminConcatenada!$B:$B, 0)), ISNUMBER(SEARCH($A25,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ISNUMBER(SEARCH($A25, INDEX(AsistenciaJetAdminConcatenada!$D:$D, MATCH(1, (AsistenciaJetAdminConcatenada!$A:$A=BA$2)*(AsistenciaJetAdminConcatenada!$B:$B=BA$1), 0)), 1))),  0.5, 0))</f>
        <v>0</v>
      </c>
      <c r="BB25" s="47">
        <f t="array" ref="BB25">IF(AND(ISNUMBER(MATCH(BB$2, AsistenciaJetAdminConcatenada!$A:$A, 0)), ISNUMBER(MATCH(BB$1, AsistenciaJetAdminConcatenada!$B:$B, 0)), ISNUMBER(SEARCH($A25,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ISNUMBER(SEARCH($A25, INDEX(AsistenciaJetAdminConcatenada!$D:$D, MATCH(1, (AsistenciaJetAdminConcatenada!$A:$A=BB$2)*(AsistenciaJetAdminConcatenada!$B:$B=BB$1), 0)), 1))),  0.5, 0))</f>
        <v>1</v>
      </c>
      <c r="BC25" s="47">
        <f t="array" ref="BC25">IF(AND(ISNUMBER(MATCH(BC$2, AsistenciaJetAdminConcatenada!$A:$A, 0)), ISNUMBER(MATCH(BC$1, AsistenciaJetAdminConcatenada!$B:$B, 0)), ISNUMBER(SEARCH($A25,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ISNUMBER(SEARCH($A25, INDEX(AsistenciaJetAdminConcatenada!$D:$D, MATCH(1, (AsistenciaJetAdminConcatenada!$A:$A=BC$2)*(AsistenciaJetAdminConcatenada!$B:$B=BC$1), 0)), 1))),  0.5, 0))</f>
        <v>1</v>
      </c>
      <c r="BD25" s="47">
        <f t="array" ref="BD25">IF(AND(ISNUMBER(MATCH(BD$2, AsistenciaJetAdminConcatenada!$A:$A, 0)), ISNUMBER(MATCH(BD$1, AsistenciaJetAdminConcatenada!$B:$B, 0)), ISNUMBER(SEARCH($A25,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ISNUMBER(SEARCH($A25, INDEX(AsistenciaJetAdminConcatenada!$D:$D, MATCH(1, (AsistenciaJetAdminConcatenada!$A:$A=BD$2)*(AsistenciaJetAdminConcatenada!$B:$B=BD$1), 0)), 1))),  0.5, 0))</f>
        <v>1</v>
      </c>
      <c r="BE25" s="47">
        <f t="array" ref="BE25">IF(AND(ISNUMBER(MATCH(BE$2, AsistenciaJetAdminConcatenada!$A:$A, 0)), ISNUMBER(MATCH(BE$1, AsistenciaJetAdminConcatenada!$B:$B, 0)), ISNUMBER(SEARCH($A25,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ISNUMBER(SEARCH($A25, INDEX(AsistenciaJetAdminConcatenada!$D:$D, MATCH(1, (AsistenciaJetAdminConcatenada!$A:$A=BE$2)*(AsistenciaJetAdminConcatenada!$B:$B=BE$1), 0)), 1))),  0.5, 0))</f>
        <v>1</v>
      </c>
      <c r="BF25" s="47">
        <f t="array" ref="BF25">IF(AND(ISNUMBER(MATCH(BF$2, AsistenciaJetAdminConcatenada!$A:$A, 0)), ISNUMBER(MATCH(BF$1, AsistenciaJetAdminConcatenada!$B:$B, 0)), ISNUMBER(SEARCH($A25,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ISNUMBER(SEARCH($A25, INDEX(AsistenciaJetAdminConcatenada!$D:$D, MATCH(1, (AsistenciaJetAdminConcatenada!$A:$A=BF$2)*(AsistenciaJetAdminConcatenada!$B:$B=BF$1), 0)), 1))),  0.5, 0))</f>
        <v>1</v>
      </c>
      <c r="BG25" s="47">
        <f t="array" ref="BG25">IF(AND(ISNUMBER(MATCH(BG$2, AsistenciaJetAdminConcatenada!$A:$A, 0)), ISNUMBER(MATCH(BG$1, AsistenciaJetAdminConcatenada!$B:$B, 0)), ISNUMBER(SEARCH($A25,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ISNUMBER(SEARCH($A25, INDEX(AsistenciaJetAdminConcatenada!$D:$D, MATCH(1, (AsistenciaJetAdminConcatenada!$A:$A=BG$2)*(AsistenciaJetAdminConcatenada!$B:$B=BG$1), 0)), 1))),  0.5, 0))</f>
        <v>1</v>
      </c>
      <c r="BH25" s="47">
        <f t="array" ref="BH25">IF(AND(ISNUMBER(MATCH(BH$2, AsistenciaJetAdminConcatenada!$A:$A, 0)), ISNUMBER(MATCH(BH$1, AsistenciaJetAdminConcatenada!$B:$B, 0)), ISNUMBER(SEARCH($A25,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ISNUMBER(SEARCH($A25, INDEX(AsistenciaJetAdminConcatenada!$D:$D, MATCH(1, (AsistenciaJetAdminConcatenada!$A:$A=BH$2)*(AsistenciaJetAdminConcatenada!$B:$B=BH$1), 0)), 1))),  0.5, 0))</f>
        <v>1</v>
      </c>
      <c r="BI25" s="47">
        <f t="array" ref="BI25">IF(AND(ISNUMBER(MATCH(BI$2, AsistenciaJetAdminConcatenada!$A:$A, 0)), ISNUMBER(MATCH(BI$1, AsistenciaJetAdminConcatenada!$B:$B, 0)), ISNUMBER(SEARCH($A25,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ISNUMBER(SEARCH($A25, INDEX(AsistenciaJetAdminConcatenada!$D:$D, MATCH(1, (AsistenciaJetAdminConcatenada!$A:$A=BI$2)*(AsistenciaJetAdminConcatenada!$B:$B=BI$1), 0)), 1))),  0.5, 0))</f>
        <v>1</v>
      </c>
      <c r="BJ25" s="47">
        <f t="array" ref="BJ25">IF(AND(ISNUMBER(MATCH(BJ$2, AsistenciaJetAdminConcatenada!$A:$A, 0)), ISNUMBER(MATCH(BJ$1, AsistenciaJetAdminConcatenada!$B:$B, 0)), ISNUMBER(SEARCH($A25,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ISNUMBER(SEARCH($A25, INDEX(AsistenciaJetAdminConcatenada!$D:$D, MATCH(1, (AsistenciaJetAdminConcatenada!$A:$A=BJ$2)*(AsistenciaJetAdminConcatenada!$B:$B=BJ$1), 0)), 1))),  0.5, 0))</f>
        <v>1</v>
      </c>
      <c r="BK25" s="47">
        <f t="array" ref="BK25">IF(AND(ISNUMBER(MATCH(BK$2, AsistenciaJetAdminConcatenada!$A:$A, 0)), ISNUMBER(MATCH(BK$1, AsistenciaJetAdminConcatenada!$B:$B, 0)), ISNUMBER(SEARCH($A25,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ISNUMBER(SEARCH($A25, INDEX(AsistenciaJetAdminConcatenada!$D:$D, MATCH(1, (AsistenciaJetAdminConcatenada!$A:$A=BK$2)*(AsistenciaJetAdminConcatenada!$B:$B=BK$1), 0)), 1))),  0.5, 0))</f>
        <v>1</v>
      </c>
      <c r="BL25" s="47">
        <f t="array" ref="BL25">IF(AND(ISNUMBER(MATCH(BL$2, AsistenciaJetAdminConcatenada!$A:$A, 0)), ISNUMBER(MATCH(BL$1, AsistenciaJetAdminConcatenada!$B:$B, 0)), ISNUMBER(SEARCH($A25,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ISNUMBER(SEARCH($A25, INDEX(AsistenciaJetAdminConcatenada!$D:$D, MATCH(1, (AsistenciaJetAdminConcatenada!$A:$A=BL$2)*(AsistenciaJetAdminConcatenada!$B:$B=BL$1), 0)), 1))),  0.5, 0))</f>
        <v>1</v>
      </c>
      <c r="BM25" s="47">
        <f t="array" ref="BM25">IF(AND(ISNUMBER(MATCH(BM$2, AsistenciaJetAdminConcatenada!$A:$A, 0)), ISNUMBER(MATCH(BM$1, AsistenciaJetAdminConcatenada!$B:$B, 0)), ISNUMBER(SEARCH($A25,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ISNUMBER(SEARCH($A25, INDEX(AsistenciaJetAdminConcatenada!$D:$D, MATCH(1, (AsistenciaJetAdminConcatenada!$A:$A=BM$2)*(AsistenciaJetAdminConcatenada!$B:$B=BM$1), 0)), 1))),  0.5, 0))</f>
        <v>0</v>
      </c>
      <c r="BN25" s="47">
        <f t="array" ref="BN25">IF(AND(ISNUMBER(MATCH(BN$2, AsistenciaJetAdminConcatenada!$A:$A, 0)), ISNUMBER(MATCH(BN$1, AsistenciaJetAdminConcatenada!$B:$B, 0)), ISNUMBER(SEARCH($A25,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ISNUMBER(SEARCH($A25, INDEX(AsistenciaJetAdminConcatenada!$D:$D, MATCH(1, (AsistenciaJetAdminConcatenada!$A:$A=BN$2)*(AsistenciaJetAdminConcatenada!$B:$B=BN$1), 0)), 1))),  0.5, 0))</f>
        <v>1</v>
      </c>
      <c r="BO25" s="47">
        <f t="array" ref="BO25">IF(AND(ISNUMBER(MATCH(BO$2, AsistenciaJetAdminConcatenada!$A:$A, 0)), ISNUMBER(MATCH(BO$1, AsistenciaJetAdminConcatenada!$B:$B, 0)), ISNUMBER(SEARCH($A25,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ISNUMBER(SEARCH($A25, INDEX(AsistenciaJetAdminConcatenada!$D:$D, MATCH(1, (AsistenciaJetAdminConcatenada!$A:$A=BO$2)*(AsistenciaJetAdminConcatenada!$B:$B=BO$1), 0)), 1))),  0.5, 0))</f>
        <v>1</v>
      </c>
      <c r="BP25" s="47">
        <f t="array" ref="BP25">IF(AND(ISNUMBER(MATCH(BP$2, AsistenciaJetAdminConcatenada!$A:$A, 0)), ISNUMBER(MATCH(BP$1, AsistenciaJetAdminConcatenada!$B:$B, 0)), ISNUMBER(SEARCH($A25,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ISNUMBER(SEARCH($A25, INDEX(AsistenciaJetAdminConcatenada!$D:$D, MATCH(1, (AsistenciaJetAdminConcatenada!$A:$A=BP$2)*(AsistenciaJetAdminConcatenada!$B:$B=BP$1), 0)), 1))),  0.5, 0))</f>
        <v>0</v>
      </c>
      <c r="BQ25" s="47">
        <f t="array" ref="BQ25">IF(AND(ISNUMBER(MATCH(BQ$2, AsistenciaJetAdminConcatenada!$A:$A, 0)), ISNUMBER(MATCH(BQ$1, AsistenciaJetAdminConcatenada!$B:$B, 0)), ISNUMBER(SEARCH($A25,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ISNUMBER(SEARCH($A25, INDEX(AsistenciaJetAdminConcatenada!$D:$D, MATCH(1, (AsistenciaJetAdminConcatenada!$A:$A=BQ$2)*(AsistenciaJetAdminConcatenada!$B:$B=BQ$1), 0)), 1))),  0.5, 0))</f>
        <v>1</v>
      </c>
      <c r="BR25" s="47">
        <f t="array" ref="BR25">IF(AND(ISNUMBER(MATCH(BR$2, AsistenciaJetAdminConcatenada!$A:$A, 0)), ISNUMBER(MATCH(BR$1, AsistenciaJetAdminConcatenada!$B:$B, 0)), ISNUMBER(SEARCH($A25,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ISNUMBER(SEARCH($A25, INDEX(AsistenciaJetAdminConcatenada!$D:$D, MATCH(1, (AsistenciaJetAdminConcatenada!$A:$A=BR$2)*(AsistenciaJetAdminConcatenada!$B:$B=BR$1), 0)), 1))),  0.5, 0))</f>
        <v>0</v>
      </c>
      <c r="BS25" s="47">
        <f t="array" ref="BS25">IF(AND(ISNUMBER(MATCH(BS$2, AsistenciaJetAdminConcatenada!$A:$A, 0)), ISNUMBER(MATCH(BS$1, AsistenciaJetAdminConcatenada!$B:$B, 0)), ISNUMBER(SEARCH($A25,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ISNUMBER(SEARCH($A25, INDEX(AsistenciaJetAdminConcatenada!$D:$D, MATCH(1, (AsistenciaJetAdminConcatenada!$A:$A=BS$2)*(AsistenciaJetAdminConcatenada!$B:$B=BS$1), 0)), 1))),  0.5, 0))</f>
        <v>1</v>
      </c>
      <c r="BT25" s="47">
        <f t="array" ref="BT25">IF(AND(ISNUMBER(MATCH(BT$2, AsistenciaJetAdminConcatenada!$A:$A, 0)), ISNUMBER(MATCH(BT$1, AsistenciaJetAdminConcatenada!$B:$B, 0)), ISNUMBER(SEARCH($A25,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ISNUMBER(SEARCH($A25, INDEX(AsistenciaJetAdminConcatenada!$D:$D, MATCH(1, (AsistenciaJetAdminConcatenada!$A:$A=BT$2)*(AsistenciaJetAdminConcatenada!$B:$B=BT$1), 0)), 1))),  0.5, 0))</f>
        <v>1</v>
      </c>
      <c r="BU25" s="47">
        <f t="array" ref="BU25">IF(AND(ISNUMBER(MATCH(BU$2, AsistenciaJetAdminConcatenada!$A:$A, 0)), ISNUMBER(MATCH(BU$1, AsistenciaJetAdminConcatenada!$B:$B, 0)), ISNUMBER(SEARCH($A25,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ISNUMBER(SEARCH($A25, INDEX(AsistenciaJetAdminConcatenada!$D:$D, MATCH(1, (AsistenciaJetAdminConcatenada!$A:$A=BU$2)*(AsistenciaJetAdminConcatenada!$B:$B=BU$1), 0)), 1))),  0.5, 0))</f>
        <v>1</v>
      </c>
      <c r="BV25" s="47">
        <f t="array" ref="BV25">IF(AND(ISNUMBER(MATCH(BV$2, AsistenciaJetAdminConcatenada!$A:$A, 0)), ISNUMBER(MATCH(BV$1, AsistenciaJetAdminConcatenada!$B:$B, 0)), ISNUMBER(SEARCH($A25,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ISNUMBER(SEARCH($A25, INDEX(AsistenciaJetAdminConcatenada!$D:$D, MATCH(1, (AsistenciaJetAdminConcatenada!$A:$A=BV$2)*(AsistenciaJetAdminConcatenada!$B:$B=BV$1), 0)), 1))),  0.5, 0))</f>
        <v>0</v>
      </c>
      <c r="BW25" s="47">
        <f t="array" ref="BW25">IF(AND(ISNUMBER(MATCH(BW$2, AsistenciaJetAdminConcatenada!$A:$A, 0)), ISNUMBER(MATCH(BW$1, AsistenciaJetAdminConcatenada!$B:$B, 0)), ISNUMBER(SEARCH($A25,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ISNUMBER(SEARCH($A25, INDEX(AsistenciaJetAdminConcatenada!$D:$D, MATCH(1, (AsistenciaJetAdminConcatenada!$A:$A=BW$2)*(AsistenciaJetAdminConcatenada!$B:$B=BW$1), 0)), 1))),  0.5, 0))</f>
        <v>1</v>
      </c>
      <c r="BX25" s="47">
        <f t="array" ref="BX25">IF(AND(ISNUMBER(MATCH(BX$2, AsistenciaJetAdminConcatenada!$A:$A, 0)), ISNUMBER(MATCH(BX$1, AsistenciaJetAdminConcatenada!$B:$B, 0)), ISNUMBER(SEARCH($A25,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ISNUMBER(SEARCH($A25, INDEX(AsistenciaJetAdminConcatenada!$D:$D, MATCH(1, (AsistenciaJetAdminConcatenada!$A:$A=BX$2)*(AsistenciaJetAdminConcatenada!$B:$B=BX$1), 0)), 1))),  0.5, 0))</f>
        <v>0</v>
      </c>
      <c r="BY25" s="47">
        <f t="array" ref="BY25">IF(AND(ISNUMBER(MATCH(BY$2, AsistenciaJetAdminConcatenada!$A:$A, 0)), ISNUMBER(MATCH(BY$1, AsistenciaJetAdminConcatenada!$B:$B, 0)), ISNUMBER(SEARCH($A25,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ISNUMBER(SEARCH($A25, INDEX(AsistenciaJetAdminConcatenada!$D:$D, MATCH(1, (AsistenciaJetAdminConcatenada!$A:$A=BY$2)*(AsistenciaJetAdminConcatenada!$B:$B=BY$1), 0)), 1))),  0.5, 0))</f>
        <v>0</v>
      </c>
      <c r="BZ25" s="47">
        <f t="array" ref="BZ25">IF(AND(ISNUMBER(MATCH(BZ$2, AsistenciaJetAdminConcatenada!$A:$A, 0)), ISNUMBER(MATCH(BZ$1, AsistenciaJetAdminConcatenada!$B:$B, 0)), ISNUMBER(SEARCH($A25,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ISNUMBER(SEARCH($A25, INDEX(AsistenciaJetAdminConcatenada!$D:$D, MATCH(1, (AsistenciaJetAdminConcatenada!$A:$A=BZ$2)*(AsistenciaJetAdminConcatenada!$B:$B=BZ$1), 0)), 1))),  0.5, 0))</f>
        <v>0</v>
      </c>
      <c r="CA25" s="47">
        <f t="array" ref="CA25">IF(AND(ISNUMBER(MATCH(CA$2, AsistenciaJetAdminConcatenada!$A:$A, 0)), ISNUMBER(MATCH(CA$1, AsistenciaJetAdminConcatenada!$B:$B, 0)), ISNUMBER(SEARCH($A25,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ISNUMBER(SEARCH($A25, INDEX(AsistenciaJetAdminConcatenada!$D:$D, MATCH(1, (AsistenciaJetAdminConcatenada!$A:$A=CA$2)*(AsistenciaJetAdminConcatenada!$B:$B=CA$1), 0)), 1))),  0.5, 0))</f>
        <v>0</v>
      </c>
      <c r="CB25" s="47">
        <f t="array" ref="CB25">IF(AND(ISNUMBER(MATCH(CB$2, AsistenciaJetAdminConcatenada!$A:$A, 0)), ISNUMBER(MATCH(CB$1, AsistenciaJetAdminConcatenada!$B:$B, 0)), ISNUMBER(SEARCH($A25,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ISNUMBER(SEARCH($A25, INDEX(AsistenciaJetAdminConcatenada!$D:$D, MATCH(1, (AsistenciaJetAdminConcatenada!$A:$A=CB$2)*(AsistenciaJetAdminConcatenada!$B:$B=CB$1), 0)), 1))),  0.5, 0))</f>
        <v>0</v>
      </c>
      <c r="CC25" s="47">
        <f t="array" ref="CC25">IF(AND(ISNUMBER(MATCH(CC$2, AsistenciaJetAdminConcatenada!$A:$A, 0)), ISNUMBER(MATCH(CC$1, AsistenciaJetAdminConcatenada!$B:$B, 0)), ISNUMBER(SEARCH($A25,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ISNUMBER(SEARCH($A25, INDEX(AsistenciaJetAdminConcatenada!$D:$D, MATCH(1, (AsistenciaJetAdminConcatenada!$A:$A=CC$2)*(AsistenciaJetAdminConcatenada!$B:$B=CC$1), 0)), 1))),  0.5, 0))</f>
        <v>1</v>
      </c>
      <c r="CD25" s="47">
        <f t="array" ref="CD25">IF(AND(ISNUMBER(MATCH(CD$2, AsistenciaJetAdminConcatenada!$A:$A, 0)), ISNUMBER(MATCH(CD$1, AsistenciaJetAdminConcatenada!$B:$B, 0)), ISNUMBER(SEARCH($A25,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ISNUMBER(SEARCH($A25, INDEX(AsistenciaJetAdminConcatenada!$D:$D, MATCH(1, (AsistenciaJetAdminConcatenada!$A:$A=CD$2)*(AsistenciaJetAdminConcatenada!$B:$B=CD$1), 0)), 1))),  0.5, 0))</f>
        <v>1</v>
      </c>
      <c r="CE25" s="47">
        <f t="array" ref="CE25">IF(AND(ISNUMBER(MATCH(CE$2, AsistenciaJetAdminConcatenada!$A:$A, 0)), ISNUMBER(MATCH(CE$1, AsistenciaJetAdminConcatenada!$B:$B, 0)), ISNUMBER(SEARCH($A25,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ISNUMBER(SEARCH($A25, INDEX(AsistenciaJetAdminConcatenada!$D:$D, MATCH(1, (AsistenciaJetAdminConcatenada!$A:$A=CE$2)*(AsistenciaJetAdminConcatenada!$B:$B=CE$1), 0)), 1))),  0.5, 0))</f>
        <v>0</v>
      </c>
      <c r="CF25" s="47">
        <f t="array" ref="CF25">IF(AND(ISNUMBER(MATCH(CF$2, AsistenciaJetAdminConcatenada!$A:$A, 0)), ISNUMBER(MATCH(CF$1, AsistenciaJetAdminConcatenada!$B:$B, 0)), ISNUMBER(SEARCH($A25,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ISNUMBER(SEARCH($A25, INDEX(AsistenciaJetAdminConcatenada!$D:$D, MATCH(1, (AsistenciaJetAdminConcatenada!$A:$A=CF$2)*(AsistenciaJetAdminConcatenada!$B:$B=CF$1), 0)), 1))),  0.5, 0))</f>
        <v>1</v>
      </c>
      <c r="CG25" s="47">
        <f t="array" ref="CG25">IF(AND(ISNUMBER(MATCH(CG$2, AsistenciaJetAdminConcatenada!$A:$A, 0)), ISNUMBER(MATCH(CG$1, AsistenciaJetAdminConcatenada!$B:$B, 0)), ISNUMBER(SEARCH($A25,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ISNUMBER(SEARCH($A25, INDEX(AsistenciaJetAdminConcatenada!$D:$D, MATCH(1, (AsistenciaJetAdminConcatenada!$A:$A=CG$2)*(AsistenciaJetAdminConcatenada!$B:$B=CG$1), 0)), 1))),  0.5, 0))</f>
        <v>0</v>
      </c>
      <c r="CH25" s="47">
        <f t="array" ref="CH25">IF(AND(ISNUMBER(MATCH(CH$2, AsistenciaJetAdminConcatenada!$A:$A, 0)), ISNUMBER(MATCH(CH$1, AsistenciaJetAdminConcatenada!$B:$B, 0)), ISNUMBER(SEARCH($A25,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ISNUMBER(SEARCH($A25, INDEX(AsistenciaJetAdminConcatenada!$D:$D, MATCH(1, (AsistenciaJetAdminConcatenada!$A:$A=CH$2)*(AsistenciaJetAdminConcatenada!$B:$B=CH$1), 0)), 1))),  0.5, 0))</f>
        <v>0</v>
      </c>
      <c r="CI25" s="47">
        <f t="array" ref="CI25">IF(AND(ISNUMBER(MATCH(CI$2, AsistenciaJetAdminConcatenada!$A:$A, 0)), ISNUMBER(MATCH(CI$1, AsistenciaJetAdminConcatenada!$B:$B, 0)), ISNUMBER(SEARCH($A25,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ISNUMBER(SEARCH($A25, INDEX(AsistenciaJetAdminConcatenada!$D:$D, MATCH(1, (AsistenciaJetAdminConcatenada!$A:$A=CI$2)*(AsistenciaJetAdminConcatenada!$B:$B=CI$1), 0)), 1))),  0.5, 0))</f>
        <v>0</v>
      </c>
      <c r="CJ25" s="47">
        <f t="array" ref="CJ25">IF(AND(ISNUMBER(MATCH(CJ$2, AsistenciaJetAdminConcatenada!$A:$A, 0)), ISNUMBER(MATCH(CJ$1, AsistenciaJetAdminConcatenada!$B:$B, 0)), ISNUMBER(SEARCH($A25,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ISNUMBER(SEARCH($A25, INDEX(AsistenciaJetAdminConcatenada!$D:$D, MATCH(1, (AsistenciaJetAdminConcatenada!$A:$A=CJ$2)*(AsistenciaJetAdminConcatenada!$B:$B=CJ$1), 0)), 1))),  0.5, 0))</f>
        <v>0</v>
      </c>
      <c r="CK25" s="47">
        <f t="array" ref="CK25">IF(AND(ISNUMBER(MATCH(CK$2, AsistenciaJetAdminConcatenada!$A:$A, 0)), ISNUMBER(MATCH(CK$1, AsistenciaJetAdminConcatenada!$B:$B, 0)), ISNUMBER(SEARCH($A25,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ISNUMBER(SEARCH($A25, INDEX(AsistenciaJetAdminConcatenada!$D:$D, MATCH(1, (AsistenciaJetAdminConcatenada!$A:$A=CK$2)*(AsistenciaJetAdminConcatenada!$B:$B=CK$1), 0)), 1))),  0.5, 0))</f>
        <v>0</v>
      </c>
      <c r="CL25" s="47">
        <f t="array" ref="CL25">IF(AND(ISNUMBER(MATCH(CL$2, AsistenciaJetAdminConcatenada!$A:$A, 0)), ISNUMBER(MATCH(CL$1, AsistenciaJetAdminConcatenada!$B:$B, 0)), ISNUMBER(SEARCH($A25,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ISNUMBER(SEARCH($A25, INDEX(AsistenciaJetAdminConcatenada!$D:$D, MATCH(1, (AsistenciaJetAdminConcatenada!$A:$A=CL$2)*(AsistenciaJetAdminConcatenada!$B:$B=CL$1), 0)), 1))),  0.5, 0))</f>
        <v>0</v>
      </c>
      <c r="CM25" s="47">
        <f t="array" ref="CM25">IF(AND(ISNUMBER(MATCH(CM$2, AsistenciaJetAdminConcatenada!$A:$A, 0)), ISNUMBER(MATCH(CM$1, AsistenciaJetAdminConcatenada!$B:$B, 0)), ISNUMBER(SEARCH($A25,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ISNUMBER(SEARCH($A25, INDEX(AsistenciaJetAdminConcatenada!$D:$D, MATCH(1, (AsistenciaJetAdminConcatenada!$A:$A=CM$2)*(AsistenciaJetAdminConcatenada!$B:$B=CM$1), 0)), 1))),  0.5, 0))</f>
        <v>1</v>
      </c>
      <c r="CN25" s="47">
        <f t="array" ref="CN25">IF(AND(ISNUMBER(MATCH(CN$2, AsistenciaJetAdminConcatenada!$A:$A, 0)), ISNUMBER(MATCH(CN$1, AsistenciaJetAdminConcatenada!$B:$B, 0)), ISNUMBER(SEARCH($A25,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ISNUMBER(SEARCH($A25, INDEX(AsistenciaJetAdminConcatenada!$D:$D, MATCH(1, (AsistenciaJetAdminConcatenada!$A:$A=CN$2)*(AsistenciaJetAdminConcatenada!$B:$B=CN$1), 0)), 1))),  0.5, 0))</f>
        <v>0</v>
      </c>
      <c r="CO25" s="47">
        <f t="array" ref="CO25">IF(AND(ISNUMBER(MATCH(CO$2, AsistenciaJetAdminConcatenada!$A:$A, 0)), ISNUMBER(MATCH(CO$1, AsistenciaJetAdminConcatenada!$B:$B, 0)), ISNUMBER(SEARCH($A25,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ISNUMBER(SEARCH($A25, INDEX(AsistenciaJetAdminConcatenada!$D:$D, MATCH(1, (AsistenciaJetAdminConcatenada!$A:$A=CO$2)*(AsistenciaJetAdminConcatenada!$B:$B=CO$1), 0)), 1))),  0.5, 0))</f>
        <v>0</v>
      </c>
      <c r="CP25" s="47">
        <f t="array" ref="CP25">IF(AND(ISNUMBER(MATCH(CP$2, AsistenciaJetAdminConcatenada!$A:$A, 0)), ISNUMBER(MATCH(CP$1, AsistenciaJetAdminConcatenada!$B:$B, 0)), ISNUMBER(SEARCH($A25,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ISNUMBER(SEARCH($A25, INDEX(AsistenciaJetAdminConcatenada!$D:$D, MATCH(1, (AsistenciaJetAdminConcatenada!$A:$A=CP$2)*(AsistenciaJetAdminConcatenada!$B:$B=CP$1), 0)), 1))),  0.5, 0))</f>
        <v>0</v>
      </c>
      <c r="CQ25" s="47">
        <f t="array" ref="CQ25">IF(AND(ISNUMBER(MATCH(CQ$2, AsistenciaJetAdminConcatenada!$A:$A, 0)), ISNUMBER(MATCH(CQ$1, AsistenciaJetAdminConcatenada!$B:$B, 0)), ISNUMBER(SEARCH($A25,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ISNUMBER(SEARCH($A25, INDEX(AsistenciaJetAdminConcatenada!$D:$D, MATCH(1, (AsistenciaJetAdminConcatenada!$A:$A=CQ$2)*(AsistenciaJetAdminConcatenada!$B:$B=CQ$1), 0)), 1))),  0.5, 0))</f>
        <v>0</v>
      </c>
      <c r="CR25" s="47">
        <f t="array" ref="CR25">IF(AND(ISNUMBER(MATCH(CR$2, AsistenciaJetAdminConcatenada!$A:$A, 0)), ISNUMBER(MATCH(CR$1, AsistenciaJetAdminConcatenada!$B:$B, 0)), ISNUMBER(SEARCH($A25,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ISNUMBER(SEARCH($A25, INDEX(AsistenciaJetAdminConcatenada!$D:$D, MATCH(1, (AsistenciaJetAdminConcatenada!$A:$A=CR$2)*(AsistenciaJetAdminConcatenada!$B:$B=CR$1), 0)), 1))),  0.5, 0))</f>
        <v>0</v>
      </c>
      <c r="CS25" s="47">
        <f t="array" ref="CS25">IF(AND(ISNUMBER(MATCH(CS$2, AsistenciaJetAdminConcatenada!$A:$A, 0)), ISNUMBER(MATCH(CS$1, AsistenciaJetAdminConcatenada!$B:$B, 0)), ISNUMBER(SEARCH($A25,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ISNUMBER(SEARCH($A25, INDEX(AsistenciaJetAdminConcatenada!$D:$D, MATCH(1, (AsistenciaJetAdminConcatenada!$A:$A=CS$2)*(AsistenciaJetAdminConcatenada!$B:$B=CS$1), 0)), 1))),  0.5, 0))</f>
        <v>0</v>
      </c>
      <c r="CT25" s="47">
        <f t="array" ref="CT25">IF(AND(ISNUMBER(MATCH(CT$2, AsistenciaJetAdminConcatenada!$A:$A, 0)), ISNUMBER(MATCH(CT$1, AsistenciaJetAdminConcatenada!$B:$B, 0)), ISNUMBER(SEARCH($A25,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ISNUMBER(SEARCH($A25, INDEX(AsistenciaJetAdminConcatenada!$D:$D, MATCH(1, (AsistenciaJetAdminConcatenada!$A:$A=CT$2)*(AsistenciaJetAdminConcatenada!$B:$B=CT$1), 0)), 1))),  0.5, 0))</f>
        <v>0</v>
      </c>
      <c r="CU25" s="47">
        <f t="array" ref="CU25">IF(AND(ISNUMBER(MATCH(CU$2, AsistenciaJetAdminConcatenada!$A:$A, 0)), ISNUMBER(MATCH(CU$1, AsistenciaJetAdminConcatenada!$B:$B, 0)), ISNUMBER(SEARCH($A25,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ISNUMBER(SEARCH($A25, INDEX(AsistenciaJetAdminConcatenada!$D:$D, MATCH(1, (AsistenciaJetAdminConcatenada!$A:$A=CU$2)*(AsistenciaJetAdminConcatenada!$B:$B=CU$1), 0)), 1))),  0.5, 0))</f>
        <v>0</v>
      </c>
      <c r="CV25" s="47">
        <f t="array" ref="CV25">IF(AND(ISNUMBER(MATCH(CV$2, AsistenciaJetAdminConcatenada!$A:$A, 0)), ISNUMBER(MATCH(CV$1, AsistenciaJetAdminConcatenada!$B:$B, 0)), ISNUMBER(SEARCH($A25,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ISNUMBER(SEARCH($A25, INDEX(AsistenciaJetAdminConcatenada!$D:$D, MATCH(1, (AsistenciaJetAdminConcatenada!$A:$A=CV$2)*(AsistenciaJetAdminConcatenada!$B:$B=CV$1), 0)), 1))),  0.5, 0))</f>
        <v>0</v>
      </c>
      <c r="CW25" s="47">
        <f t="array" ref="CW25">IF(AND(ISNUMBER(MATCH(CW$2, AsistenciaJetAdminConcatenada!$A:$A, 0)), ISNUMBER(MATCH(CW$1, AsistenciaJetAdminConcatenada!$B:$B, 0)), ISNUMBER(SEARCH($A25,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ISNUMBER(SEARCH($A25, INDEX(AsistenciaJetAdminConcatenada!$D:$D, MATCH(1, (AsistenciaJetAdminConcatenada!$A:$A=CW$2)*(AsistenciaJetAdminConcatenada!$B:$B=CW$1), 0)), 1))),  0.5, 0))</f>
        <v>0</v>
      </c>
      <c r="CX25" s="47">
        <f t="array" ref="CX25">IF(AND(ISNUMBER(MATCH(CX$2, AsistenciaJetAdminConcatenada!$A:$A, 0)), ISNUMBER(MATCH(CX$1, AsistenciaJetAdminConcatenada!$B:$B, 0)), ISNUMBER(SEARCH($A25,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ISNUMBER(SEARCH($A25, INDEX(AsistenciaJetAdminConcatenada!$D:$D, MATCH(1, (AsistenciaJetAdminConcatenada!$A:$A=CX$2)*(AsistenciaJetAdminConcatenada!$B:$B=CX$1), 0)), 1))),  0.5, 0))</f>
        <v>0</v>
      </c>
      <c r="CY25" s="47">
        <f t="array" ref="CY25">IF(AND(ISNUMBER(MATCH(CY$2, AsistenciaJetAdminConcatenada!$A:$A, 0)), ISNUMBER(MATCH(CY$1, AsistenciaJetAdminConcatenada!$B:$B, 0)), ISNUMBER(SEARCH($A25,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ISNUMBER(SEARCH($A25, INDEX(AsistenciaJetAdminConcatenada!$D:$D, MATCH(1, (AsistenciaJetAdminConcatenada!$A:$A=CY$2)*(AsistenciaJetAdminConcatenada!$B:$B=CY$1), 0)), 1))),  0.5, 0))</f>
        <v>0</v>
      </c>
      <c r="CZ25" s="47">
        <f t="array" ref="CZ25">IF(AND(ISNUMBER(MATCH(CZ$2, AsistenciaJetAdminConcatenada!$A:$A, 0)), ISNUMBER(MATCH(CZ$1, AsistenciaJetAdminConcatenada!$B:$B, 0)), ISNUMBER(SEARCH($A25,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ISNUMBER(SEARCH($A25, INDEX(AsistenciaJetAdminConcatenada!$D:$D, MATCH(1, (AsistenciaJetAdminConcatenada!$A:$A=CZ$2)*(AsistenciaJetAdminConcatenada!$B:$B=CZ$1), 0)), 1))),  0.5, 0))</f>
        <v>0</v>
      </c>
      <c r="DA25" s="47">
        <f t="array" ref="DA25">IF(AND(ISNUMBER(MATCH(DA$2, AsistenciaJetAdminConcatenada!$A:$A, 0)), ISNUMBER(MATCH(DA$1, AsistenciaJetAdminConcatenada!$B:$B, 0)), ISNUMBER(SEARCH($A25,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ISNUMBER(SEARCH($A25, INDEX(AsistenciaJetAdminConcatenada!$D:$D, MATCH(1, (AsistenciaJetAdminConcatenada!$A:$A=DA$2)*(AsistenciaJetAdminConcatenada!$B:$B=DA$1), 0)), 1))),  0.5, 0))</f>
        <v>0</v>
      </c>
      <c r="DB25" s="47">
        <f t="array" ref="DB25">IF(AND(ISNUMBER(MATCH(DB$2, AsistenciaJetAdminConcatenada!$A:$A, 0)), ISNUMBER(MATCH(DB$1, AsistenciaJetAdminConcatenada!$B:$B, 0)), ISNUMBER(SEARCH($A25,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ISNUMBER(SEARCH($A25, INDEX(AsistenciaJetAdminConcatenada!$D:$D, MATCH(1, (AsistenciaJetAdminConcatenada!$A:$A=DB$2)*(AsistenciaJetAdminConcatenada!$B:$B=DB$1), 0)), 1))),  0.5, 0))</f>
        <v>0</v>
      </c>
      <c r="DC25" s="47">
        <f t="array" ref="DC25">IF(AND(ISNUMBER(MATCH(DC$2, AsistenciaJetAdminConcatenada!$A:$A, 0)), ISNUMBER(MATCH(DC$1, AsistenciaJetAdminConcatenada!$B:$B, 0)), ISNUMBER(SEARCH($A25,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ISNUMBER(SEARCH($A25, INDEX(AsistenciaJetAdminConcatenada!$D:$D, MATCH(1, (AsistenciaJetAdminConcatenada!$A:$A=DC$2)*(AsistenciaJetAdminConcatenada!$B:$B=DC$1), 0)), 1))),  0.5, 0))</f>
        <v>0</v>
      </c>
      <c r="DD25" s="47">
        <f t="array" ref="DD25">IF(AND(ISNUMBER(MATCH(DD$2, AsistenciaJetAdminConcatenada!$A:$A, 0)), ISNUMBER(MATCH(DD$1, AsistenciaJetAdminConcatenada!$B:$B, 0)), ISNUMBER(SEARCH($A25,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ISNUMBER(SEARCH($A25, INDEX(AsistenciaJetAdminConcatenada!$D:$D, MATCH(1, (AsistenciaJetAdminConcatenada!$A:$A=DD$2)*(AsistenciaJetAdminConcatenada!$B:$B=DD$1), 0)), 1))),  0.5, 0))</f>
        <v>0</v>
      </c>
      <c r="DE25" s="47">
        <f t="array" ref="DE25">IF(AND(ISNUMBER(MATCH(DE$2, AsistenciaJetAdminConcatenada!$A:$A, 0)), ISNUMBER(MATCH(DE$1, AsistenciaJetAdminConcatenada!$B:$B, 0)), ISNUMBER(SEARCH($A25,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ISNUMBER(SEARCH($A25, INDEX(AsistenciaJetAdminConcatenada!$D:$D, MATCH(1, (AsistenciaJetAdminConcatenada!$A:$A=DE$2)*(AsistenciaJetAdminConcatenada!$B:$B=DE$1), 0)), 1))),  0.5, 0))</f>
        <v>0</v>
      </c>
      <c r="DF25" s="47">
        <f t="array" ref="DF25">IF(AND(ISNUMBER(MATCH(DF$2, AsistenciaJetAdminConcatenada!$A:$A, 0)), ISNUMBER(MATCH(DF$1, AsistenciaJetAdminConcatenada!$B:$B, 0)), ISNUMBER(SEARCH($A25,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ISNUMBER(SEARCH($A25, INDEX(AsistenciaJetAdminConcatenada!$D:$D, MATCH(1, (AsistenciaJetAdminConcatenada!$A:$A=DF$2)*(AsistenciaJetAdminConcatenada!$B:$B=DF$1), 0)), 1))),  0.5, 0))</f>
        <v>0</v>
      </c>
      <c r="DG25" s="47">
        <f t="array" ref="DG25">IF(AND(ISNUMBER(MATCH(DG$2, AsistenciaJetAdminConcatenada!$A:$A, 0)), ISNUMBER(MATCH(DG$1, AsistenciaJetAdminConcatenada!$B:$B, 0)), ISNUMBER(SEARCH($A25,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ISNUMBER(SEARCH($A25, INDEX(AsistenciaJetAdminConcatenada!$D:$D, MATCH(1, (AsistenciaJetAdminConcatenada!$A:$A=DG$2)*(AsistenciaJetAdminConcatenada!$B:$B=DG$1), 0)), 1))),  0.5, 0))</f>
        <v>0</v>
      </c>
      <c r="DH25" s="47">
        <f t="array" ref="DH25">IF(AND(ISNUMBER(MATCH(DH$2, AsistenciaJetAdminConcatenada!$A:$A, 0)), ISNUMBER(MATCH(DH$1, AsistenciaJetAdminConcatenada!$B:$B, 0)), ISNUMBER(SEARCH($A25,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ISNUMBER(SEARCH($A25, INDEX(AsistenciaJetAdminConcatenada!$D:$D, MATCH(1, (AsistenciaJetAdminConcatenada!$A:$A=DH$2)*(AsistenciaJetAdminConcatenada!$B:$B=DH$1), 0)), 1))),  0.5, 0))</f>
        <v>0</v>
      </c>
      <c r="DI25" s="47">
        <f t="array" ref="DI25">IF(AND(ISNUMBER(MATCH(DI$2, AsistenciaJetAdminConcatenada!$A:$A, 0)), ISNUMBER(MATCH(DI$1, AsistenciaJetAdminConcatenada!$B:$B, 0)), ISNUMBER(SEARCH($A25,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ISNUMBER(SEARCH($A25, INDEX(AsistenciaJetAdminConcatenada!$D:$D, MATCH(1, (AsistenciaJetAdminConcatenada!$A:$A=DI$2)*(AsistenciaJetAdminConcatenada!$B:$B=DI$1), 0)), 1))),  0.5, 0))</f>
        <v>0</v>
      </c>
      <c r="DJ25" s="47">
        <f t="array" ref="DJ25">IF(AND(ISNUMBER(MATCH(DJ$2, AsistenciaJetAdminConcatenada!$A:$A, 0)), ISNUMBER(MATCH(DJ$1, AsistenciaJetAdminConcatenada!$B:$B, 0)), ISNUMBER(SEARCH($A25,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ISNUMBER(SEARCH($A25, INDEX(AsistenciaJetAdminConcatenada!$D:$D, MATCH(1, (AsistenciaJetAdminConcatenada!$A:$A=DJ$2)*(AsistenciaJetAdminConcatenada!$B:$B=DJ$1), 0)), 1))),  0.5, 0))</f>
        <v>0</v>
      </c>
      <c r="DK25" s="47">
        <f t="array" ref="DK25">IF(AND(ISNUMBER(MATCH(DK$2, AsistenciaJetAdminConcatenada!$A:$A, 0)), ISNUMBER(MATCH(DK$1, AsistenciaJetAdminConcatenada!$B:$B, 0)), ISNUMBER(SEARCH($A25,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ISNUMBER(SEARCH($A25, INDEX(AsistenciaJetAdminConcatenada!$D:$D, MATCH(1, (AsistenciaJetAdminConcatenada!$A:$A=DK$2)*(AsistenciaJetAdminConcatenada!$B:$B=DK$1), 0)), 1))),  0.5, 0))</f>
        <v>0</v>
      </c>
      <c r="DL25" s="47">
        <f t="array" ref="DL25">IF(AND(ISNUMBER(MATCH(DL$2, AsistenciaJetAdminConcatenada!$A:$A, 0)), ISNUMBER(MATCH(DL$1, AsistenciaJetAdminConcatenada!$B:$B, 0)), ISNUMBER(SEARCH($A25,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ISNUMBER(SEARCH($A25, INDEX(AsistenciaJetAdminConcatenada!$D:$D, MATCH(1, (AsistenciaJetAdminConcatenada!$A:$A=DL$2)*(AsistenciaJetAdminConcatenada!$B:$B=DL$1), 0)), 1))),  0.5, 0))</f>
        <v>0</v>
      </c>
      <c r="DM25" s="47">
        <f t="array" ref="DM25">IF(AND(ISNUMBER(MATCH(DM$2, AsistenciaJetAdminConcatenada!$A:$A, 0)), ISNUMBER(MATCH(DM$1, AsistenciaJetAdminConcatenada!$B:$B, 0)), ISNUMBER(SEARCH($A25,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ISNUMBER(SEARCH($A25, INDEX(AsistenciaJetAdminConcatenada!$D:$D, MATCH(1, (AsistenciaJetAdminConcatenada!$A:$A=DM$2)*(AsistenciaJetAdminConcatenada!$B:$B=DM$1), 0)), 1))),  0.5, 0))</f>
        <v>0</v>
      </c>
      <c r="DN25" s="47">
        <f t="array" ref="DN25">IF(AND(ISNUMBER(MATCH(DN$2, AsistenciaJetAdminConcatenada!$A:$A, 0)), ISNUMBER(MATCH(DN$1, AsistenciaJetAdminConcatenada!$B:$B, 0)), ISNUMBER(SEARCH($A25,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ISNUMBER(SEARCH($A25, INDEX(AsistenciaJetAdminConcatenada!$D:$D, MATCH(1, (AsistenciaJetAdminConcatenada!$A:$A=DN$2)*(AsistenciaJetAdminConcatenada!$B:$B=DN$1), 0)), 1))),  0.5, 0))</f>
        <v>0</v>
      </c>
      <c r="DO25" s="47">
        <f t="array" ref="DO25">IF(AND(ISNUMBER(MATCH(DO$2, AsistenciaJetAdminConcatenada!$A:$A, 0)), ISNUMBER(MATCH(DO$1, AsistenciaJetAdminConcatenada!$B:$B, 0)), ISNUMBER(SEARCH($A25,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ISNUMBER(SEARCH($A25, INDEX(AsistenciaJetAdminConcatenada!$D:$D, MATCH(1, (AsistenciaJetAdminConcatenada!$A:$A=DO$2)*(AsistenciaJetAdminConcatenada!$B:$B=DO$1), 0)), 1))),  0.5, 0))</f>
        <v>0</v>
      </c>
      <c r="DP25" s="47">
        <f t="array" ref="DP25">IF(AND(ISNUMBER(MATCH(DP$2, AsistenciaJetAdminConcatenada!$A:$A, 0)), ISNUMBER(MATCH(DP$1, AsistenciaJetAdminConcatenada!$B:$B, 0)), ISNUMBER(SEARCH($A25,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ISNUMBER(SEARCH($A25, INDEX(AsistenciaJetAdminConcatenada!$D:$D, MATCH(1, (AsistenciaJetAdminConcatenada!$A:$A=DP$2)*(AsistenciaJetAdminConcatenada!$B:$B=DP$1), 0)), 1))),  0.5, 0))</f>
        <v>0</v>
      </c>
      <c r="DQ25" s="47">
        <f t="array" ref="DQ25">IF(AND(ISNUMBER(MATCH(DQ$2, AsistenciaJetAdminConcatenada!$A:$A, 0)), ISNUMBER(MATCH(DQ$1, AsistenciaJetAdminConcatenada!$B:$B, 0)), ISNUMBER(SEARCH($A25,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ISNUMBER(SEARCH($A25, INDEX(AsistenciaJetAdminConcatenada!$D:$D, MATCH(1, (AsistenciaJetAdminConcatenada!$A:$A=DQ$2)*(AsistenciaJetAdminConcatenada!$B:$B=DQ$1), 0)), 1))),  0.5, 0))</f>
        <v>0</v>
      </c>
      <c r="DR25" s="47">
        <f t="array" ref="DR25">IF(AND(ISNUMBER(MATCH(DR$2, AsistenciaJetAdminConcatenada!$A:$A, 0)), ISNUMBER(MATCH(DR$1, AsistenciaJetAdminConcatenada!$B:$B, 0)), ISNUMBER(SEARCH($A25,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ISNUMBER(SEARCH($A25, INDEX(AsistenciaJetAdminConcatenada!$D:$D, MATCH(1, (AsistenciaJetAdminConcatenada!$A:$A=DR$2)*(AsistenciaJetAdminConcatenada!$B:$B=DR$1), 0)), 1))),  0.5, 0))</f>
        <v>0</v>
      </c>
      <c r="DS25" s="47">
        <f t="array" ref="DS25">IF(AND(ISNUMBER(MATCH(DS$2, AsistenciaJetAdminConcatenada!$A:$A, 0)), ISNUMBER(MATCH(DS$1, AsistenciaJetAdminConcatenada!$B:$B, 0)), ISNUMBER(SEARCH($A25,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ISNUMBER(SEARCH($A25, INDEX(AsistenciaJetAdminConcatenada!$D:$D, MATCH(1, (AsistenciaJetAdminConcatenada!$A:$A=DS$2)*(AsistenciaJetAdminConcatenada!$B:$B=DS$1), 0)), 1))),  0.5, 0))</f>
        <v>0</v>
      </c>
      <c r="DT25" s="47">
        <f t="array" ref="DT25">IF(AND(ISNUMBER(MATCH(DT$2, AsistenciaJetAdminConcatenada!$A:$A, 0)), ISNUMBER(MATCH(DT$1, AsistenciaJetAdminConcatenada!$B:$B, 0)), ISNUMBER(SEARCH($A25,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ISNUMBER(SEARCH($A25, INDEX(AsistenciaJetAdminConcatenada!$D:$D, MATCH(1, (AsistenciaJetAdminConcatenada!$A:$A=DT$2)*(AsistenciaJetAdminConcatenada!$B:$B=DT$1), 0)), 1))),  0.5, 0))</f>
        <v>0</v>
      </c>
      <c r="DU25" s="47">
        <f t="array" ref="DU25">IF(AND(ISNUMBER(MATCH(DU$2, AsistenciaJetAdminConcatenada!$A:$A, 0)), ISNUMBER(MATCH(DU$1, AsistenciaJetAdminConcatenada!$B:$B, 0)), ISNUMBER(SEARCH($A25,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ISNUMBER(SEARCH($A25, INDEX(AsistenciaJetAdminConcatenada!$D:$D, MATCH(1, (AsistenciaJetAdminConcatenada!$A:$A=DU$2)*(AsistenciaJetAdminConcatenada!$B:$B=DU$1), 0)), 1))),  0.5, 0))</f>
        <v>0</v>
      </c>
      <c r="DV25" s="47">
        <f t="array" ref="DV25">IF(AND(ISNUMBER(MATCH(DV$2, AsistenciaJetAdminConcatenada!$A:$A, 0)), ISNUMBER(MATCH(DV$1, AsistenciaJetAdminConcatenada!$B:$B, 0)), ISNUMBER(SEARCH($A25,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ISNUMBER(SEARCH($A25, INDEX(AsistenciaJetAdminConcatenada!$D:$D, MATCH(1, (AsistenciaJetAdminConcatenada!$A:$A=DV$2)*(AsistenciaJetAdminConcatenada!$B:$B=DV$1), 0)), 1))),  0.5, 0))</f>
        <v>0</v>
      </c>
      <c r="DW25" s="47">
        <f t="array" ref="DW25">IF(AND(ISNUMBER(MATCH(DW$2, AsistenciaJetAdminConcatenada!$A:$A, 0)), ISNUMBER(MATCH(DW$1, AsistenciaJetAdminConcatenada!$B:$B, 0)), ISNUMBER(SEARCH($A25,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ISNUMBER(SEARCH($A25, INDEX(AsistenciaJetAdminConcatenada!$D:$D, MATCH(1, (AsistenciaJetAdminConcatenada!$A:$A=DW$2)*(AsistenciaJetAdminConcatenada!$B:$B=DW$1), 0)), 1))),  0.5, 0))</f>
        <v>0</v>
      </c>
      <c r="DX25" s="47">
        <f t="array" ref="DX25">IF(AND(ISNUMBER(MATCH(DX$2, AsistenciaJetAdminConcatenada!$A:$A, 0)), ISNUMBER(MATCH(DX$1, AsistenciaJetAdminConcatenada!$B:$B, 0)), ISNUMBER(SEARCH($A25,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ISNUMBER(SEARCH($A25, INDEX(AsistenciaJetAdminConcatenada!$D:$D, MATCH(1, (AsistenciaJetAdminConcatenada!$A:$A=DX$2)*(AsistenciaJetAdminConcatenada!$B:$B=DX$1), 0)), 1))),  0.5, 0))</f>
        <v>0</v>
      </c>
      <c r="DY25" s="47">
        <f t="array" ref="DY25">IF(AND(ISNUMBER(MATCH(DY$2, AsistenciaJetAdminConcatenada!$A:$A, 0)), ISNUMBER(MATCH(DY$1, AsistenciaJetAdminConcatenada!$B:$B, 0)), ISNUMBER(SEARCH($A25,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ISNUMBER(SEARCH($A25, INDEX(AsistenciaJetAdminConcatenada!$D:$D, MATCH(1, (AsistenciaJetAdminConcatenada!$A:$A=DY$2)*(AsistenciaJetAdminConcatenada!$B:$B=DY$1), 0)), 1))),  0.5, 0))</f>
        <v>0</v>
      </c>
      <c r="DZ25" s="47">
        <f t="array" ref="DZ25">IF(AND(ISNUMBER(MATCH(DZ$2, AsistenciaJetAdminConcatenada!$A:$A, 0)), ISNUMBER(MATCH(DZ$1, AsistenciaJetAdminConcatenada!$B:$B, 0)), ISNUMBER(SEARCH($A25,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ISNUMBER(SEARCH($A25, INDEX(AsistenciaJetAdminConcatenada!$D:$D, MATCH(1, (AsistenciaJetAdminConcatenada!$A:$A=DZ$2)*(AsistenciaJetAdminConcatenada!$B:$B=DZ$1), 0)), 1))),  0.5, 0))</f>
        <v>0</v>
      </c>
      <c r="EA25" s="47">
        <f t="array" ref="EA25">IF(AND(ISNUMBER(MATCH(EA$2, AsistenciaJetAdminConcatenada!$A:$A, 0)), ISNUMBER(MATCH(EA$1, AsistenciaJetAdminConcatenada!$B:$B, 0)), ISNUMBER(SEARCH($A25,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ISNUMBER(SEARCH($A25, INDEX(AsistenciaJetAdminConcatenada!$D:$D, MATCH(1, (AsistenciaJetAdminConcatenada!$A:$A=EA$2)*(AsistenciaJetAdminConcatenada!$B:$B=EA$1), 0)), 1))),  0.5, 0))</f>
        <v>0</v>
      </c>
      <c r="EB25" s="47">
        <f t="array" ref="EB25">IF(AND(ISNUMBER(MATCH(EB$2, AsistenciaJetAdminConcatenada!$A:$A, 0)), ISNUMBER(MATCH(EB$1, AsistenciaJetAdminConcatenada!$B:$B, 0)), ISNUMBER(SEARCH($A25,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ISNUMBER(SEARCH($A25, INDEX(AsistenciaJetAdminConcatenada!$D:$D, MATCH(1, (AsistenciaJetAdminConcatenada!$A:$A=EB$2)*(AsistenciaJetAdminConcatenada!$B:$B=EB$1), 0)), 1))),  0.5, 0))</f>
        <v>0</v>
      </c>
      <c r="EC25" s="47">
        <f t="array" ref="EC25">IF(AND(ISNUMBER(MATCH(EC$2, AsistenciaJetAdminConcatenada!$A:$A, 0)), ISNUMBER(MATCH(EC$1, AsistenciaJetAdminConcatenada!$B:$B, 0)), ISNUMBER(SEARCH($A25,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ISNUMBER(SEARCH($A25, INDEX(AsistenciaJetAdminConcatenada!$D:$D, MATCH(1, (AsistenciaJetAdminConcatenada!$A:$A=EC$2)*(AsistenciaJetAdminConcatenada!$B:$B=EC$1), 0)), 1))),  0.5, 0))</f>
        <v>0</v>
      </c>
      <c r="ED25" s="47">
        <f t="array" ref="ED25">IF(AND(ISNUMBER(MATCH(ED$2, AsistenciaJetAdminConcatenada!$A:$A, 0)), ISNUMBER(MATCH(ED$1, AsistenciaJetAdminConcatenada!$B:$B, 0)), ISNUMBER(SEARCH($A25,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ISNUMBER(SEARCH($A25, INDEX(AsistenciaJetAdminConcatenada!$D:$D, MATCH(1, (AsistenciaJetAdminConcatenada!$A:$A=ED$2)*(AsistenciaJetAdminConcatenada!$B:$B=ED$1), 0)), 1))),  0.5, 0))</f>
        <v>0</v>
      </c>
      <c r="EE25" s="47">
        <f t="array" ref="EE25">IF(AND(ISNUMBER(MATCH(EE$2, AsistenciaJetAdminConcatenada!$A:$A, 0)), ISNUMBER(MATCH(EE$1, AsistenciaJetAdminConcatenada!$B:$B, 0)), ISNUMBER(SEARCH($A25,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ISNUMBER(SEARCH($A25, INDEX(AsistenciaJetAdminConcatenada!$D:$D, MATCH(1, (AsistenciaJetAdminConcatenada!$A:$A=EE$2)*(AsistenciaJetAdminConcatenada!$B:$B=EE$1), 0)), 1))),  0.5, 0))</f>
        <v>0</v>
      </c>
      <c r="EF25" s="47">
        <f t="array" ref="EF25">IF(AND(ISNUMBER(MATCH(EF$2, AsistenciaJetAdminConcatenada!$A:$A, 0)), ISNUMBER(MATCH(EF$1, AsistenciaJetAdminConcatenada!$B:$B, 0)), ISNUMBER(SEARCH($A25,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ISNUMBER(SEARCH($A25, INDEX(AsistenciaJetAdminConcatenada!$D:$D, MATCH(1, (AsistenciaJetAdminConcatenada!$A:$A=EF$2)*(AsistenciaJetAdminConcatenada!$B:$B=EF$1), 0)), 1))),  0.5, 0))</f>
        <v>0</v>
      </c>
      <c r="EG25" s="47">
        <f t="array" ref="EG25">IF(AND(ISNUMBER(MATCH(EG$2, AsistenciaJetAdminConcatenada!$A:$A, 0)), ISNUMBER(MATCH(EG$1, AsistenciaJetAdminConcatenada!$B:$B, 0)), ISNUMBER(SEARCH($A25,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ISNUMBER(SEARCH($A25, INDEX(AsistenciaJetAdminConcatenada!$D:$D, MATCH(1, (AsistenciaJetAdminConcatenada!$A:$A=EG$2)*(AsistenciaJetAdminConcatenada!$B:$B=EG$1), 0)), 1))),  0.5, 0))</f>
        <v>0</v>
      </c>
      <c r="EH25" s="47">
        <f t="array" ref="EH25">IF(AND(ISNUMBER(MATCH(EH$2, AsistenciaJetAdminConcatenada!$A:$A, 0)), ISNUMBER(MATCH(EH$1, AsistenciaJetAdminConcatenada!$B:$B, 0)), ISNUMBER(SEARCH($A25,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ISNUMBER(SEARCH($A25, INDEX(AsistenciaJetAdminConcatenada!$D:$D, MATCH(1, (AsistenciaJetAdminConcatenada!$A:$A=EH$2)*(AsistenciaJetAdminConcatenada!$B:$B=EH$1), 0)), 1))),  0.5, 0))</f>
        <v>0</v>
      </c>
      <c r="EI25" s="47">
        <f t="array" ref="EI25">IF(AND(ISNUMBER(MATCH(EI$2, AsistenciaJetAdminConcatenada!$A:$A, 0)), ISNUMBER(MATCH(EI$1, AsistenciaJetAdminConcatenada!$B:$B, 0)), ISNUMBER(SEARCH($A25,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ISNUMBER(SEARCH($A25, INDEX(AsistenciaJetAdminConcatenada!$D:$D, MATCH(1, (AsistenciaJetAdminConcatenada!$A:$A=EI$2)*(AsistenciaJetAdminConcatenada!$B:$B=EI$1), 0)), 1))),  0.5, 0))</f>
        <v>0</v>
      </c>
      <c r="EJ25" s="47">
        <f t="array" ref="EJ25">IF(AND(ISNUMBER(MATCH(EJ$2, AsistenciaJetAdminConcatenada!$A:$A, 0)), ISNUMBER(MATCH(EJ$1, AsistenciaJetAdminConcatenada!$B:$B, 0)), ISNUMBER(SEARCH($A25,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ISNUMBER(SEARCH($A25, INDEX(AsistenciaJetAdminConcatenada!$D:$D, MATCH(1, (AsistenciaJetAdminConcatenada!$A:$A=EJ$2)*(AsistenciaJetAdminConcatenada!$B:$B=EJ$1), 0)), 1))),  0.5, 0))</f>
        <v>0</v>
      </c>
      <c r="EK25" s="47">
        <f t="array" ref="EK25">IF(AND(ISNUMBER(MATCH(EK$2, AsistenciaJetAdminConcatenada!$A:$A, 0)), ISNUMBER(MATCH(EK$1, AsistenciaJetAdminConcatenada!$B:$B, 0)), ISNUMBER(SEARCH($A25,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ISNUMBER(SEARCH($A25, INDEX(AsistenciaJetAdminConcatenada!$D:$D, MATCH(1, (AsistenciaJetAdminConcatenada!$A:$A=EK$2)*(AsistenciaJetAdminConcatenada!$B:$B=EK$1), 0)), 1))),  0.5, 0))</f>
        <v>0</v>
      </c>
      <c r="EL25" s="47">
        <f t="array" ref="EL25">IF(AND(ISNUMBER(MATCH(EL$2, AsistenciaJetAdminConcatenada!$A:$A, 0)), ISNUMBER(MATCH(EL$1, AsistenciaJetAdminConcatenada!$B:$B, 0)), ISNUMBER(SEARCH($A25,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ISNUMBER(SEARCH($A25, INDEX(AsistenciaJetAdminConcatenada!$D:$D, MATCH(1, (AsistenciaJetAdminConcatenada!$A:$A=EL$2)*(AsistenciaJetAdminConcatenada!$B:$B=EL$1), 0)), 1))),  0.5, 0))</f>
        <v>0</v>
      </c>
      <c r="EM25" s="47">
        <f t="array" ref="EM25">IF(AND(ISNUMBER(MATCH(EM$2, AsistenciaJetAdminConcatenada!$A:$A, 0)), ISNUMBER(MATCH(EM$1, AsistenciaJetAdminConcatenada!$B:$B, 0)), ISNUMBER(SEARCH($A25,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ISNUMBER(SEARCH($A25, INDEX(AsistenciaJetAdminConcatenada!$D:$D, MATCH(1, (AsistenciaJetAdminConcatenada!$A:$A=EM$2)*(AsistenciaJetAdminConcatenada!$B:$B=EM$1), 0)), 1))),  0.5, 0))</f>
        <v>0</v>
      </c>
      <c r="EN25" s="47">
        <f t="array" ref="EN25">IF(AND(ISNUMBER(MATCH(EN$2, AsistenciaJetAdminConcatenada!$A:$A, 0)), ISNUMBER(MATCH(EN$1, AsistenciaJetAdminConcatenada!$B:$B, 0)), ISNUMBER(SEARCH($A25,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ISNUMBER(SEARCH($A25, INDEX(AsistenciaJetAdminConcatenada!$D:$D, MATCH(1, (AsistenciaJetAdminConcatenada!$A:$A=EN$2)*(AsistenciaJetAdminConcatenada!$B:$B=EN$1), 0)), 1))),  0.5, 0))</f>
        <v>0</v>
      </c>
      <c r="EO25" s="47">
        <f t="array" ref="EO25">IF(AND(ISNUMBER(MATCH(EO$2, AsistenciaJetAdminConcatenada!$A:$A, 0)), ISNUMBER(MATCH(EO$1, AsistenciaJetAdminConcatenada!$B:$B, 0)), ISNUMBER(SEARCH($A25,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ISNUMBER(SEARCH($A25, INDEX(AsistenciaJetAdminConcatenada!$D:$D, MATCH(1, (AsistenciaJetAdminConcatenada!$A:$A=EO$2)*(AsistenciaJetAdminConcatenada!$B:$B=EO$1), 0)), 1))),  0.5, 0))</f>
        <v>0</v>
      </c>
      <c r="EP25" s="47">
        <f t="array" ref="EP25">IF(AND(ISNUMBER(MATCH(EP$2, AsistenciaJetAdminConcatenada!$A:$A, 0)), ISNUMBER(MATCH(EP$1, AsistenciaJetAdminConcatenada!$B:$B, 0)), ISNUMBER(SEARCH($A25,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ISNUMBER(SEARCH($A25, INDEX(AsistenciaJetAdminConcatenada!$D:$D, MATCH(1, (AsistenciaJetAdminConcatenada!$A:$A=EP$2)*(AsistenciaJetAdminConcatenada!$B:$B=EP$1), 0)), 1))),  0.5, 0))</f>
        <v>0</v>
      </c>
      <c r="EQ25" s="47">
        <f t="array" ref="EQ25">IF(AND(ISNUMBER(MATCH(EQ$2, AsistenciaJetAdminConcatenada!$A:$A, 0)), ISNUMBER(MATCH(EQ$1, AsistenciaJetAdminConcatenada!$B:$B, 0)), ISNUMBER(SEARCH($A25,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ISNUMBER(SEARCH($A25, INDEX(AsistenciaJetAdminConcatenada!$D:$D, MATCH(1, (AsistenciaJetAdminConcatenada!$A:$A=EQ$2)*(AsistenciaJetAdminConcatenada!$B:$B=EQ$1), 0)), 1))),  0.5, 0))</f>
        <v>0</v>
      </c>
      <c r="ER25" s="47">
        <f t="array" ref="ER25">IF(AND(ISNUMBER(MATCH(ER$2, AsistenciaJetAdminConcatenada!$A:$A, 0)), ISNUMBER(MATCH(ER$1, AsistenciaJetAdminConcatenada!$B:$B, 0)), ISNUMBER(SEARCH($A25,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ISNUMBER(SEARCH($A25, INDEX(AsistenciaJetAdminConcatenada!$D:$D, MATCH(1, (AsistenciaJetAdminConcatenada!$A:$A=ER$2)*(AsistenciaJetAdminConcatenada!$B:$B=ER$1), 0)), 1))),  0.5, 0))</f>
        <v>0</v>
      </c>
      <c r="ES25" s="47">
        <f t="array" ref="ES25">IF(AND(ISNUMBER(MATCH(ES$2, AsistenciaJetAdminConcatenada!$A:$A, 0)), ISNUMBER(MATCH(ES$1, AsistenciaJetAdminConcatenada!$B:$B, 0)), ISNUMBER(SEARCH($A25,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ISNUMBER(SEARCH($A25, INDEX(AsistenciaJetAdminConcatenada!$D:$D, MATCH(1, (AsistenciaJetAdminConcatenada!$A:$A=ES$2)*(AsistenciaJetAdminConcatenada!$B:$B=ES$1), 0)), 1))),  0.5, 0))</f>
        <v>0</v>
      </c>
      <c r="ET25" s="47">
        <f t="array" ref="ET25">IF(AND(ISNUMBER(MATCH(ET$2, AsistenciaJetAdminConcatenada!$A:$A, 0)), ISNUMBER(MATCH(ET$1, AsistenciaJetAdminConcatenada!$B:$B, 0)), ISNUMBER(SEARCH($A25,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ISNUMBER(SEARCH($A25, INDEX(AsistenciaJetAdminConcatenada!$D:$D, MATCH(1, (AsistenciaJetAdminConcatenada!$A:$A=ET$2)*(AsistenciaJetAdminConcatenada!$B:$B=ET$1), 0)), 1))),  0.5, 0))</f>
        <v>0</v>
      </c>
      <c r="EU25" s="47">
        <f t="array" ref="EU25">IF(AND(ISNUMBER(MATCH(EU$2, AsistenciaJetAdminConcatenada!$A:$A, 0)), ISNUMBER(MATCH(EU$1, AsistenciaJetAdminConcatenada!$B:$B, 0)), ISNUMBER(SEARCH($A25,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ISNUMBER(SEARCH($A25, INDEX(AsistenciaJetAdminConcatenada!$D:$D, MATCH(1, (AsistenciaJetAdminConcatenada!$A:$A=EU$2)*(AsistenciaJetAdminConcatenada!$B:$B=EU$1), 0)), 1))),  0.5, 0))</f>
        <v>0</v>
      </c>
      <c r="EV25" s="47">
        <f t="array" ref="EV25">IF(AND(ISNUMBER(MATCH(EV$2, AsistenciaJetAdminConcatenada!$A:$A, 0)), ISNUMBER(MATCH(EV$1, AsistenciaJetAdminConcatenada!$B:$B, 0)), ISNUMBER(SEARCH($A25,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ISNUMBER(SEARCH($A25, INDEX(AsistenciaJetAdminConcatenada!$D:$D, MATCH(1, (AsistenciaJetAdminConcatenada!$A:$A=EV$2)*(AsistenciaJetAdminConcatenada!$B:$B=EV$1), 0)), 1))),  0.5, 0))</f>
        <v>0</v>
      </c>
      <c r="EW25" s="47">
        <f t="array" ref="EW25">IF(AND(ISNUMBER(MATCH(EW$2, AsistenciaJetAdminConcatenada!$A:$A, 0)), ISNUMBER(MATCH(EW$1, AsistenciaJetAdminConcatenada!$B:$B, 0)), ISNUMBER(SEARCH($A25,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ISNUMBER(SEARCH($A25, INDEX(AsistenciaJetAdminConcatenada!$D:$D, MATCH(1, (AsistenciaJetAdminConcatenada!$A:$A=EW$2)*(AsistenciaJetAdminConcatenada!$B:$B=EW$1), 0)), 1))),  0.5, 0))</f>
        <v>0</v>
      </c>
      <c r="EX25" s="47">
        <f t="array" ref="EX25">IF(AND(ISNUMBER(MATCH(EX$2, AsistenciaJetAdminConcatenada!$A:$A, 0)), ISNUMBER(MATCH(EX$1, AsistenciaJetAdminConcatenada!$B:$B, 0)), ISNUMBER(SEARCH($A25,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ISNUMBER(SEARCH($A25, INDEX(AsistenciaJetAdminConcatenada!$D:$D, MATCH(1, (AsistenciaJetAdminConcatenada!$A:$A=EX$2)*(AsistenciaJetAdminConcatenada!$B:$B=EX$1), 0)), 1))),  0.5, 0))</f>
        <v>0</v>
      </c>
      <c r="EY25" s="47">
        <f t="array" ref="EY25">IF(AND(ISNUMBER(MATCH(EY$2, AsistenciaJetAdminConcatenada!$A:$A, 0)), ISNUMBER(MATCH(EY$1, AsistenciaJetAdminConcatenada!$B:$B, 0)), ISNUMBER(SEARCH($A25,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ISNUMBER(SEARCH($A25, INDEX(AsistenciaJetAdminConcatenada!$D:$D, MATCH(1, (AsistenciaJetAdminConcatenada!$A:$A=EY$2)*(AsistenciaJetAdminConcatenada!$B:$B=EY$1), 0)), 1))),  0.5, 0))</f>
        <v>0</v>
      </c>
      <c r="EZ25" s="47">
        <f t="array" ref="EZ25">IF(AND(ISNUMBER(MATCH(EZ$2, AsistenciaJetAdminConcatenada!$A:$A, 0)), ISNUMBER(MATCH(EZ$1, AsistenciaJetAdminConcatenada!$B:$B, 0)), ISNUMBER(SEARCH($A25,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ISNUMBER(SEARCH($A25, INDEX(AsistenciaJetAdminConcatenada!$D:$D, MATCH(1, (AsistenciaJetAdminConcatenada!$A:$A=EZ$2)*(AsistenciaJetAdminConcatenada!$B:$B=EZ$1), 0)), 1))),  0.5, 0))</f>
        <v>0</v>
      </c>
      <c r="FA25" s="47">
        <f t="array" ref="FA25">IF(AND(ISNUMBER(MATCH(FA$2, AsistenciaJetAdminConcatenada!$A:$A, 0)), ISNUMBER(MATCH(FA$1, AsistenciaJetAdminConcatenada!$B:$B, 0)), ISNUMBER(SEARCH($A25,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ISNUMBER(SEARCH($A25, INDEX(AsistenciaJetAdminConcatenada!$D:$D, MATCH(1, (AsistenciaJetAdminConcatenada!$A:$A=FA$2)*(AsistenciaJetAdminConcatenada!$B:$B=FA$1), 0)), 1))),  0.5, 0))</f>
        <v>0</v>
      </c>
      <c r="FB25" s="47">
        <f t="array" ref="FB25">IF(AND(ISNUMBER(MATCH(FB$2, AsistenciaJetAdminConcatenada!$A:$A, 0)), ISNUMBER(MATCH(FB$1, AsistenciaJetAdminConcatenada!$B:$B, 0)), ISNUMBER(SEARCH($A25,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ISNUMBER(SEARCH($A25, INDEX(AsistenciaJetAdminConcatenada!$D:$D, MATCH(1, (AsistenciaJetAdminConcatenada!$A:$A=FB$2)*(AsistenciaJetAdminConcatenada!$B:$B=FB$1), 0)), 1))),  0.5, 0))</f>
        <v>0</v>
      </c>
      <c r="FC25" s="47">
        <f t="array" ref="FC25">IF(AND(ISNUMBER(MATCH(FC$2, AsistenciaJetAdminConcatenada!$A:$A, 0)), ISNUMBER(MATCH(FC$1, AsistenciaJetAdminConcatenada!$B:$B, 0)), ISNUMBER(SEARCH($A25,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ISNUMBER(SEARCH($A25, INDEX(AsistenciaJetAdminConcatenada!$D:$D, MATCH(1, (AsistenciaJetAdminConcatenada!$A:$A=FC$2)*(AsistenciaJetAdminConcatenada!$B:$B=FC$1), 0)), 1))),  0.5, 0))</f>
        <v>0</v>
      </c>
      <c r="FD25" s="47">
        <f t="array" ref="FD25">IF(AND(ISNUMBER(MATCH(FD$2, AsistenciaJetAdminConcatenada!$A:$A, 0)), ISNUMBER(MATCH(FD$1, AsistenciaJetAdminConcatenada!$B:$B, 0)), ISNUMBER(SEARCH($A25,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ISNUMBER(SEARCH($A25, INDEX(AsistenciaJetAdminConcatenada!$D:$D, MATCH(1, (AsistenciaJetAdminConcatenada!$A:$A=FD$2)*(AsistenciaJetAdminConcatenada!$B:$B=FD$1), 0)), 1))),  0.5, 0))</f>
        <v>0</v>
      </c>
      <c r="FE25" s="47">
        <f t="array" ref="FE25">IF(AND(ISNUMBER(MATCH(FE$2, AsistenciaJetAdminConcatenada!$A:$A, 0)), ISNUMBER(MATCH(FE$1, AsistenciaJetAdminConcatenada!$B:$B, 0)), ISNUMBER(SEARCH($A25,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ISNUMBER(SEARCH($A25, INDEX(AsistenciaJetAdminConcatenada!$D:$D, MATCH(1, (AsistenciaJetAdminConcatenada!$A:$A=FE$2)*(AsistenciaJetAdminConcatenada!$B:$B=FE$1), 0)), 1))),  0.5, 0))</f>
        <v>0</v>
      </c>
      <c r="FF25" s="47">
        <f t="array" ref="FF25">IF(AND(ISNUMBER(MATCH(FF$2, AsistenciaJetAdminConcatenada!$A:$A, 0)), ISNUMBER(MATCH(FF$1, AsistenciaJetAdminConcatenada!$B:$B, 0)), ISNUMBER(SEARCH($A25,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ISNUMBER(SEARCH($A25, INDEX(AsistenciaJetAdminConcatenada!$D:$D, MATCH(1, (AsistenciaJetAdminConcatenada!$A:$A=FF$2)*(AsistenciaJetAdminConcatenada!$B:$B=FF$1), 0)), 1))),  0.5, 0))</f>
        <v>0</v>
      </c>
      <c r="FG25" s="47">
        <f t="array" ref="FG25">IF(AND(ISNUMBER(MATCH(FG$2, AsistenciaJetAdminConcatenada!$A:$A, 0)), ISNUMBER(MATCH(FG$1, AsistenciaJetAdminConcatenada!$B:$B, 0)), ISNUMBER(SEARCH($A25,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ISNUMBER(SEARCH($A25, INDEX(AsistenciaJetAdminConcatenada!$D:$D, MATCH(1, (AsistenciaJetAdminConcatenada!$A:$A=FG$2)*(AsistenciaJetAdminConcatenada!$B:$B=FG$1), 0)), 1))),  0.5, 0))</f>
        <v>0</v>
      </c>
      <c r="FH25" s="47">
        <f t="array" ref="FH25">IF(AND(ISNUMBER(MATCH(FH$2, AsistenciaJetAdminConcatenada!$A:$A, 0)), ISNUMBER(MATCH(FH$1, AsistenciaJetAdminConcatenada!$B:$B, 0)), ISNUMBER(SEARCH($A25,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ISNUMBER(SEARCH($A25, INDEX(AsistenciaJetAdminConcatenada!$D:$D, MATCH(1, (AsistenciaJetAdminConcatenada!$A:$A=FH$2)*(AsistenciaJetAdminConcatenada!$B:$B=FH$1), 0)), 1))),  0.5, 0))</f>
        <v>0</v>
      </c>
      <c r="FI25" s="47">
        <f t="array" ref="FI25">IF(AND(ISNUMBER(MATCH(FI$2, AsistenciaJetAdminConcatenada!$A:$A, 0)), ISNUMBER(MATCH(FI$1, AsistenciaJetAdminConcatenada!$B:$B, 0)), ISNUMBER(SEARCH($A25,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ISNUMBER(SEARCH($A25, INDEX(AsistenciaJetAdminConcatenada!$D:$D, MATCH(1, (AsistenciaJetAdminConcatenada!$A:$A=FI$2)*(AsistenciaJetAdminConcatenada!$B:$B=FI$1), 0)), 1))),  0.5, 0))</f>
        <v>0</v>
      </c>
      <c r="FJ25" s="47">
        <f t="array" ref="FJ25">IF(AND(ISNUMBER(MATCH(FJ$2, AsistenciaJetAdminConcatenada!$A:$A, 0)), ISNUMBER(MATCH(FJ$1, AsistenciaJetAdminConcatenada!$B:$B, 0)), ISNUMBER(SEARCH($A25,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ISNUMBER(SEARCH($A25, INDEX(AsistenciaJetAdminConcatenada!$D:$D, MATCH(1, (AsistenciaJetAdminConcatenada!$A:$A=FJ$2)*(AsistenciaJetAdminConcatenada!$B:$B=FJ$1), 0)), 1))),  0.5, 0))</f>
        <v>0</v>
      </c>
      <c r="FK25" s="47">
        <f t="array" ref="FK25">IF(AND(ISNUMBER(MATCH(FK$2, AsistenciaJetAdminConcatenada!$A:$A, 0)), ISNUMBER(MATCH(FK$1, AsistenciaJetAdminConcatenada!$B:$B, 0)), ISNUMBER(SEARCH($A25,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ISNUMBER(SEARCH($A25, INDEX(AsistenciaJetAdminConcatenada!$D:$D, MATCH(1, (AsistenciaJetAdminConcatenada!$A:$A=FK$2)*(AsistenciaJetAdminConcatenada!$B:$B=FK$1), 0)), 1))),  0.5, 0))</f>
        <v>0</v>
      </c>
      <c r="FL25" s="47">
        <f t="array" ref="FL25">IF(AND(ISNUMBER(MATCH(FL$2, AsistenciaJetAdminConcatenada!$A:$A, 0)), ISNUMBER(MATCH(FL$1, AsistenciaJetAdminConcatenada!$B:$B, 0)), ISNUMBER(SEARCH($A25,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ISNUMBER(SEARCH($A25, INDEX(AsistenciaJetAdminConcatenada!$D:$D, MATCH(1, (AsistenciaJetAdminConcatenada!$A:$A=FL$2)*(AsistenciaJetAdminConcatenada!$B:$B=FL$1), 0)), 1))),  0.5, 0))</f>
        <v>0</v>
      </c>
      <c r="FM25" s="47">
        <f t="array" ref="FM25">IF(AND(ISNUMBER(MATCH(FM$2, AsistenciaJetAdminConcatenada!$A:$A, 0)), ISNUMBER(MATCH(FM$1, AsistenciaJetAdminConcatenada!$B:$B, 0)), ISNUMBER(SEARCH($A25,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ISNUMBER(SEARCH($A25, INDEX(AsistenciaJetAdminConcatenada!$D:$D, MATCH(1, (AsistenciaJetAdminConcatenada!$A:$A=FM$2)*(AsistenciaJetAdminConcatenada!$B:$B=FM$1), 0)), 1))),  0.5, 0))</f>
        <v>0</v>
      </c>
      <c r="FN25" s="47">
        <f t="array" ref="FN25">IF(AND(ISNUMBER(MATCH(FN$2, AsistenciaJetAdminConcatenada!$A:$A, 0)), ISNUMBER(MATCH(FN$1, AsistenciaJetAdminConcatenada!$B:$B, 0)), ISNUMBER(SEARCH($A25,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ISNUMBER(SEARCH($A25, INDEX(AsistenciaJetAdminConcatenada!$D:$D, MATCH(1, (AsistenciaJetAdminConcatenada!$A:$A=FN$2)*(AsistenciaJetAdminConcatenada!$B:$B=FN$1), 0)), 1))),  0.5, 0))</f>
        <v>0</v>
      </c>
      <c r="FO25" s="47">
        <f t="array" ref="FO25">IF(AND(ISNUMBER(MATCH(FO$2, AsistenciaJetAdminConcatenada!$A:$A, 0)), ISNUMBER(MATCH(FO$1, AsistenciaJetAdminConcatenada!$B:$B, 0)), ISNUMBER(SEARCH($A25,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ISNUMBER(SEARCH($A25, INDEX(AsistenciaJetAdminConcatenada!$D:$D, MATCH(1, (AsistenciaJetAdminConcatenada!$A:$A=FO$2)*(AsistenciaJetAdminConcatenada!$B:$B=FO$1), 0)), 1))),  0.5, 0))</f>
        <v>0</v>
      </c>
      <c r="FP25" s="47">
        <f t="array" ref="FP25">IF(AND(ISNUMBER(MATCH(FP$2, AsistenciaJetAdminConcatenada!$A:$A, 0)), ISNUMBER(MATCH(FP$1, AsistenciaJetAdminConcatenada!$B:$B, 0)), ISNUMBER(SEARCH($A25,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ISNUMBER(SEARCH($A25, INDEX(AsistenciaJetAdminConcatenada!$D:$D, MATCH(1, (AsistenciaJetAdminConcatenada!$A:$A=FP$2)*(AsistenciaJetAdminConcatenada!$B:$B=FP$1), 0)), 1))),  0.5, 0))</f>
        <v>0</v>
      </c>
      <c r="FQ25" s="47">
        <f t="array" ref="FQ25">IF(AND(ISNUMBER(MATCH(FQ$2, AsistenciaJetAdminConcatenada!$A:$A, 0)), ISNUMBER(MATCH(FQ$1, AsistenciaJetAdminConcatenada!$B:$B, 0)), ISNUMBER(SEARCH($A25,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ISNUMBER(SEARCH($A25, INDEX(AsistenciaJetAdminConcatenada!$D:$D, MATCH(1, (AsistenciaJetAdminConcatenada!$A:$A=FQ$2)*(AsistenciaJetAdminConcatenada!$B:$B=FQ$1), 0)), 1))),  0.5, 0))</f>
        <v>0</v>
      </c>
      <c r="FR25" s="47">
        <f t="array" ref="FR25">IF(AND(ISNUMBER(MATCH(FR$2, AsistenciaJetAdminConcatenada!$A:$A, 0)), ISNUMBER(MATCH(FR$1, AsistenciaJetAdminConcatenada!$B:$B, 0)), ISNUMBER(SEARCH($A25,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ISNUMBER(SEARCH($A25, INDEX(AsistenciaJetAdminConcatenada!$D:$D, MATCH(1, (AsistenciaJetAdminConcatenada!$A:$A=FR$2)*(AsistenciaJetAdminConcatenada!$B:$B=FR$1), 0)), 1))),  0.5, 0))</f>
        <v>0</v>
      </c>
      <c r="FS25" s="47">
        <f t="array" ref="FS25">IF(AND(ISNUMBER(MATCH(FS$2, AsistenciaJetAdminConcatenada!$A:$A, 0)), ISNUMBER(MATCH(FS$1, AsistenciaJetAdminConcatenada!$B:$B, 0)), ISNUMBER(SEARCH($A25,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ISNUMBER(SEARCH($A25, INDEX(AsistenciaJetAdminConcatenada!$D:$D, MATCH(1, (AsistenciaJetAdminConcatenada!$A:$A=FS$2)*(AsistenciaJetAdminConcatenada!$B:$B=FS$1), 0)), 1))),  0.5, 0))</f>
        <v>0</v>
      </c>
      <c r="FT25" s="47">
        <f t="array" ref="FT25">IF(AND(ISNUMBER(MATCH(FT$2, AsistenciaJetAdminConcatenada!$A:$A, 0)), ISNUMBER(MATCH(FT$1, AsistenciaJetAdminConcatenada!$B:$B, 0)), ISNUMBER(SEARCH($A25,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ISNUMBER(SEARCH($A25, INDEX(AsistenciaJetAdminConcatenada!$D:$D, MATCH(1, (AsistenciaJetAdminConcatenada!$A:$A=FT$2)*(AsistenciaJetAdminConcatenada!$B:$B=FT$1), 0)), 1))),  0.5, 0))</f>
        <v>0</v>
      </c>
      <c r="FU25" s="47">
        <f t="array" ref="FU25">IF(AND(ISNUMBER(MATCH(FU$2, AsistenciaJetAdminConcatenada!$A:$A, 0)), ISNUMBER(MATCH(FU$1, AsistenciaJetAdminConcatenada!$B:$B, 0)), ISNUMBER(SEARCH($A25,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ISNUMBER(SEARCH($A25, INDEX(AsistenciaJetAdminConcatenada!$D:$D, MATCH(1, (AsistenciaJetAdminConcatenada!$A:$A=FU$2)*(AsistenciaJetAdminConcatenada!$B:$B=FU$1), 0)), 1))),  0.5, 0))</f>
        <v>0</v>
      </c>
      <c r="FV25" s="47">
        <f t="array" ref="FV25">IF(AND(ISNUMBER(MATCH(FV$2, AsistenciaJetAdminConcatenada!$A:$A, 0)), ISNUMBER(MATCH(FV$1, AsistenciaJetAdminConcatenada!$B:$B, 0)), ISNUMBER(SEARCH($A25,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ISNUMBER(SEARCH($A25, INDEX(AsistenciaJetAdminConcatenada!$D:$D, MATCH(1, (AsistenciaJetAdminConcatenada!$A:$A=FV$2)*(AsistenciaJetAdminConcatenada!$B:$B=FV$1), 0)), 1))),  0.5, 0))</f>
        <v>0</v>
      </c>
      <c r="FW25" s="47">
        <f t="array" ref="FW25">IF(AND(ISNUMBER(MATCH(FW$2, AsistenciaJetAdminConcatenada!$A:$A, 0)), ISNUMBER(MATCH(FW$1, AsistenciaJetAdminConcatenada!$B:$B, 0)), ISNUMBER(SEARCH($A25,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ISNUMBER(SEARCH($A25, INDEX(AsistenciaJetAdminConcatenada!$D:$D, MATCH(1, (AsistenciaJetAdminConcatenada!$A:$A=FW$2)*(AsistenciaJetAdminConcatenada!$B:$B=FW$1), 0)), 1))),  0.5, 0))</f>
        <v>0</v>
      </c>
      <c r="FX25" s="47">
        <f t="array" ref="FX25">IF(AND(ISNUMBER(MATCH(FX$2, AsistenciaJetAdminConcatenada!$A:$A, 0)), ISNUMBER(MATCH(FX$1, AsistenciaJetAdminConcatenada!$B:$B, 0)), ISNUMBER(SEARCH($A25,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ISNUMBER(SEARCH($A25, INDEX(AsistenciaJetAdminConcatenada!$D:$D, MATCH(1, (AsistenciaJetAdminConcatenada!$A:$A=FX$2)*(AsistenciaJetAdminConcatenada!$B:$B=FX$1), 0)), 1))),  0.5, 0))</f>
        <v>0</v>
      </c>
      <c r="FY25" s="47">
        <f t="array" ref="FY25">IF(AND(ISNUMBER(MATCH(FY$2, AsistenciaJetAdminConcatenada!$A:$A, 0)), ISNUMBER(MATCH(FY$1, AsistenciaJetAdminConcatenada!$B:$B, 0)), ISNUMBER(SEARCH($A25,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ISNUMBER(SEARCH($A25, INDEX(AsistenciaJetAdminConcatenada!$D:$D, MATCH(1, (AsistenciaJetAdminConcatenada!$A:$A=FY$2)*(AsistenciaJetAdminConcatenada!$B:$B=FY$1), 0)), 1))),  0.5, 0))</f>
        <v>0</v>
      </c>
      <c r="FZ25" s="47">
        <f t="array" ref="FZ25">IF(AND(ISNUMBER(MATCH(FZ$2, AsistenciaJetAdminConcatenada!$A:$A, 0)), ISNUMBER(MATCH(FZ$1, AsistenciaJetAdminConcatenada!$B:$B, 0)), ISNUMBER(SEARCH($A25,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ISNUMBER(SEARCH($A25, INDEX(AsistenciaJetAdminConcatenada!$D:$D, MATCH(1, (AsistenciaJetAdminConcatenada!$A:$A=FZ$2)*(AsistenciaJetAdminConcatenada!$B:$B=FZ$1), 0)), 1))),  0.5, 0))</f>
        <v>0</v>
      </c>
      <c r="GA25" s="47">
        <f t="array" ref="GA25">IF(AND(ISNUMBER(MATCH(GA$2, AsistenciaJetAdminConcatenada!$A:$A, 0)), ISNUMBER(MATCH(GA$1, AsistenciaJetAdminConcatenada!$B:$B, 0)), ISNUMBER(SEARCH($A25,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ISNUMBER(SEARCH($A25, INDEX(AsistenciaJetAdminConcatenada!$D:$D, MATCH(1, (AsistenciaJetAdminConcatenada!$A:$A=GA$2)*(AsistenciaJetAdminConcatenada!$B:$B=GA$1), 0)), 1))),  0.5, 0))</f>
        <v>0</v>
      </c>
      <c r="GB25" s="47">
        <f t="array" ref="GB25">IF(AND(ISNUMBER(MATCH(GB$2, AsistenciaJetAdminConcatenada!$A:$A, 0)), ISNUMBER(MATCH(GB$1, AsistenciaJetAdminConcatenada!$B:$B, 0)), ISNUMBER(SEARCH($A25,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ISNUMBER(SEARCH($A25, INDEX(AsistenciaJetAdminConcatenada!$D:$D, MATCH(1, (AsistenciaJetAdminConcatenada!$A:$A=GB$2)*(AsistenciaJetAdminConcatenada!$B:$B=GB$1), 0)), 1))),  0.5, 0))</f>
        <v>0</v>
      </c>
      <c r="GC25" s="47">
        <f t="array" ref="GC25">IF(AND(ISNUMBER(MATCH(GC$2, AsistenciaJetAdminConcatenada!$A:$A, 0)), ISNUMBER(MATCH(GC$1, AsistenciaJetAdminConcatenada!$B:$B, 0)), ISNUMBER(SEARCH($A25,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ISNUMBER(SEARCH($A25, INDEX(AsistenciaJetAdminConcatenada!$D:$D, MATCH(1, (AsistenciaJetAdminConcatenada!$A:$A=GC$2)*(AsistenciaJetAdminConcatenada!$B:$B=GC$1), 0)), 1))),  0.5, 0))</f>
        <v>0</v>
      </c>
      <c r="GD25" s="47">
        <f t="array" ref="GD25">IF(AND(ISNUMBER(MATCH(GD$2, AsistenciaJetAdminConcatenada!$A:$A, 0)), ISNUMBER(MATCH(GD$1, AsistenciaJetAdminConcatenada!$B:$B, 0)), ISNUMBER(SEARCH($A25,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ISNUMBER(SEARCH($A25, INDEX(AsistenciaJetAdminConcatenada!$D:$D, MATCH(1, (AsistenciaJetAdminConcatenada!$A:$A=GD$2)*(AsistenciaJetAdminConcatenada!$B:$B=GD$1), 0)), 1))),  0.5, 0))</f>
        <v>0</v>
      </c>
      <c r="GE25" s="47">
        <f t="array" ref="GE25">IF(AND(ISNUMBER(MATCH(GE$2, AsistenciaJetAdminConcatenada!$A:$A, 0)), ISNUMBER(MATCH(GE$1, AsistenciaJetAdminConcatenada!$B:$B, 0)), ISNUMBER(SEARCH($A25,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ISNUMBER(SEARCH($A25, INDEX(AsistenciaJetAdminConcatenada!$D:$D, MATCH(1, (AsistenciaJetAdminConcatenada!$A:$A=GE$2)*(AsistenciaJetAdminConcatenada!$B:$B=GE$1), 0)), 1))),  0.5, 0))</f>
        <v>0</v>
      </c>
      <c r="GF25" s="47">
        <f t="array" ref="GF25">IF(AND(ISNUMBER(MATCH(GF$2, AsistenciaJetAdminConcatenada!$A:$A, 0)), ISNUMBER(MATCH(GF$1, AsistenciaJetAdminConcatenada!$B:$B, 0)), ISNUMBER(SEARCH($A25,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ISNUMBER(SEARCH($A25, INDEX(AsistenciaJetAdminConcatenada!$D:$D, MATCH(1, (AsistenciaJetAdminConcatenada!$A:$A=GF$2)*(AsistenciaJetAdminConcatenada!$B:$B=GF$1), 0)), 1))),  0.5, 0))</f>
        <v>0</v>
      </c>
      <c r="GG25" s="47">
        <f t="array" ref="GG25">IF(AND(ISNUMBER(MATCH(GG$2, AsistenciaJetAdminConcatenada!$A:$A, 0)), ISNUMBER(MATCH(GG$1, AsistenciaJetAdminConcatenada!$B:$B, 0)), ISNUMBER(SEARCH($A25,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ISNUMBER(SEARCH($A25, INDEX(AsistenciaJetAdminConcatenada!$D:$D, MATCH(1, (AsistenciaJetAdminConcatenada!$A:$A=GG$2)*(AsistenciaJetAdminConcatenada!$B:$B=GG$1), 0)), 1))),  0.5, 0))</f>
        <v>0</v>
      </c>
      <c r="GH25" s="47">
        <f t="array" ref="GH25">IF(AND(ISNUMBER(MATCH(GH$2, AsistenciaJetAdminConcatenada!$A:$A, 0)), ISNUMBER(MATCH(GH$1, AsistenciaJetAdminConcatenada!$B:$B, 0)), ISNUMBER(SEARCH($A25,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ISNUMBER(SEARCH($A25, INDEX(AsistenciaJetAdminConcatenada!$D:$D, MATCH(1, (AsistenciaJetAdminConcatenada!$A:$A=GH$2)*(AsistenciaJetAdminConcatenada!$B:$B=GH$1), 0)), 1))),  0.5, 0))</f>
        <v>0</v>
      </c>
      <c r="GI25" s="47">
        <f t="array" ref="GI25">IF(AND(ISNUMBER(MATCH(GI$2, AsistenciaJetAdminConcatenada!$A:$A, 0)), ISNUMBER(MATCH(GI$1, AsistenciaJetAdminConcatenada!$B:$B, 0)), ISNUMBER(SEARCH($A25,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ISNUMBER(SEARCH($A25, INDEX(AsistenciaJetAdminConcatenada!$D:$D, MATCH(1, (AsistenciaJetAdminConcatenada!$A:$A=GI$2)*(AsistenciaJetAdminConcatenada!$B:$B=GI$1), 0)), 1))),  0.5, 0))</f>
        <v>0</v>
      </c>
      <c r="GJ25" s="47">
        <f t="array" ref="GJ25">IF(AND(ISNUMBER(MATCH(GJ$2, AsistenciaJetAdminConcatenada!$A:$A, 0)), ISNUMBER(MATCH(GJ$1, AsistenciaJetAdminConcatenada!$B:$B, 0)), ISNUMBER(SEARCH($A25,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ISNUMBER(SEARCH($A25, INDEX(AsistenciaJetAdminConcatenada!$D:$D, MATCH(1, (AsistenciaJetAdminConcatenada!$A:$A=GJ$2)*(AsistenciaJetAdminConcatenada!$B:$B=GJ$1), 0)), 1))),  0.5, 0))</f>
        <v>0</v>
      </c>
      <c r="GK25" s="47">
        <f t="array" ref="GK25">IF(AND(ISNUMBER(MATCH(GK$2, AsistenciaJetAdminConcatenada!$A:$A, 0)), ISNUMBER(MATCH(GK$1, AsistenciaJetAdminConcatenada!$B:$B, 0)), ISNUMBER(SEARCH($A25,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ISNUMBER(SEARCH($A25, INDEX(AsistenciaJetAdminConcatenada!$D:$D, MATCH(1, (AsistenciaJetAdminConcatenada!$A:$A=GK$2)*(AsistenciaJetAdminConcatenada!$B:$B=GK$1), 0)), 1))),  0.5, 0))</f>
        <v>0</v>
      </c>
      <c r="GL25" s="47">
        <f t="array" ref="GL25">IF(AND(ISNUMBER(MATCH(GL$2, AsistenciaJetAdminConcatenada!$A:$A, 0)), ISNUMBER(MATCH(GL$1, AsistenciaJetAdminConcatenada!$B:$B, 0)), ISNUMBER(SEARCH($A25,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ISNUMBER(SEARCH($A25, INDEX(AsistenciaJetAdminConcatenada!$D:$D, MATCH(1, (AsistenciaJetAdminConcatenada!$A:$A=GL$2)*(AsistenciaJetAdminConcatenada!$B:$B=GL$1), 0)), 1))),  0.5, 0))</f>
        <v>0</v>
      </c>
      <c r="GM25" s="47">
        <f t="array" ref="GM25">IF(AND(ISNUMBER(MATCH(GM$2, AsistenciaJetAdminConcatenada!$A:$A, 0)), ISNUMBER(MATCH(GM$1, AsistenciaJetAdminConcatenada!$B:$B, 0)), ISNUMBER(SEARCH($A25,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ISNUMBER(SEARCH($A25, INDEX(AsistenciaJetAdminConcatenada!$D:$D, MATCH(1, (AsistenciaJetAdminConcatenada!$A:$A=GM$2)*(AsistenciaJetAdminConcatenada!$B:$B=GM$1), 0)), 1))),  0.5, 0))</f>
        <v>0</v>
      </c>
      <c r="GN25" s="47">
        <f t="array" ref="GN25">IF(AND(ISNUMBER(MATCH(GN$2, AsistenciaJetAdminConcatenada!$A:$A, 0)), ISNUMBER(MATCH(GN$1, AsistenciaJetAdminConcatenada!$B:$B, 0)), ISNUMBER(SEARCH($A25,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ISNUMBER(SEARCH($A25, INDEX(AsistenciaJetAdminConcatenada!$D:$D, MATCH(1, (AsistenciaJetAdminConcatenada!$A:$A=GN$2)*(AsistenciaJetAdminConcatenada!$B:$B=GN$1), 0)), 1))),  0.5, 0))</f>
        <v>0</v>
      </c>
      <c r="GO25" s="47">
        <f t="array" ref="GO25">IF(AND(ISNUMBER(MATCH(GO$2, AsistenciaJetAdminConcatenada!$A:$A, 0)), ISNUMBER(MATCH(GO$1, AsistenciaJetAdminConcatenada!$B:$B, 0)), ISNUMBER(SEARCH($A25,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ISNUMBER(SEARCH($A25, INDEX(AsistenciaJetAdminConcatenada!$D:$D, MATCH(1, (AsistenciaJetAdminConcatenada!$A:$A=GO$2)*(AsistenciaJetAdminConcatenada!$B:$B=GO$1), 0)), 1))),  0.5, 0))</f>
        <v>0</v>
      </c>
      <c r="GP25" s="47">
        <f t="array" ref="GP25">IF(AND(ISNUMBER(MATCH(GP$2, AsistenciaJetAdminConcatenada!$A:$A, 0)), ISNUMBER(MATCH(GP$1, AsistenciaJetAdminConcatenada!$B:$B, 0)), ISNUMBER(SEARCH($A25,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ISNUMBER(SEARCH($A25, INDEX(AsistenciaJetAdminConcatenada!$D:$D, MATCH(1, (AsistenciaJetAdminConcatenada!$A:$A=GP$2)*(AsistenciaJetAdminConcatenada!$B:$B=GP$1), 0)), 1))),  0.5, 0))</f>
        <v>0</v>
      </c>
      <c r="GQ25" s="47">
        <f t="array" ref="GQ25">IF(AND(ISNUMBER(MATCH(GQ$2, AsistenciaJetAdminConcatenada!$A:$A, 0)), ISNUMBER(MATCH(GQ$1, AsistenciaJetAdminConcatenada!$B:$B, 0)), ISNUMBER(SEARCH($A25,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ISNUMBER(SEARCH($A25, INDEX(AsistenciaJetAdminConcatenada!$D:$D, MATCH(1, (AsistenciaJetAdminConcatenada!$A:$A=GQ$2)*(AsistenciaJetAdminConcatenada!$B:$B=GQ$1), 0)), 1))),  0.5, 0))</f>
        <v>0</v>
      </c>
      <c r="GR25" s="47">
        <f t="array" ref="GR25">IF(AND(ISNUMBER(MATCH(GR$2, AsistenciaJetAdminConcatenada!$A:$A, 0)), ISNUMBER(MATCH(GR$1, AsistenciaJetAdminConcatenada!$B:$B, 0)), ISNUMBER(SEARCH($A25,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ISNUMBER(SEARCH($A25, INDEX(AsistenciaJetAdminConcatenada!$D:$D, MATCH(1, (AsistenciaJetAdminConcatenada!$A:$A=GR$2)*(AsistenciaJetAdminConcatenada!$B:$B=GR$1), 0)), 1))),  0.5, 0))</f>
        <v>0</v>
      </c>
      <c r="GS25" s="47">
        <f t="array" ref="GS25">IF(AND(ISNUMBER(MATCH(GS$2, AsistenciaJetAdminConcatenada!$A:$A, 0)), ISNUMBER(MATCH(GS$1, AsistenciaJetAdminConcatenada!$B:$B, 0)), ISNUMBER(SEARCH($A25,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ISNUMBER(SEARCH($A25, INDEX(AsistenciaJetAdminConcatenada!$D:$D, MATCH(1, (AsistenciaJetAdminConcatenada!$A:$A=GS$2)*(AsistenciaJetAdminConcatenada!$B:$B=GS$1), 0)), 1))),  0.5, 0))</f>
        <v>0</v>
      </c>
      <c r="GT25" s="47">
        <f t="array" ref="GT25">IF(AND(ISNUMBER(MATCH(GT$2, AsistenciaJetAdminConcatenada!$A:$A, 0)), ISNUMBER(MATCH(GT$1, AsistenciaJetAdminConcatenada!$B:$B, 0)), ISNUMBER(SEARCH($A25,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ISNUMBER(SEARCH($A25, INDEX(AsistenciaJetAdminConcatenada!$D:$D, MATCH(1, (AsistenciaJetAdminConcatenada!$A:$A=GT$2)*(AsistenciaJetAdminConcatenada!$B:$B=GT$1), 0)), 1))),  0.5, 0))</f>
        <v>0</v>
      </c>
      <c r="GU25" s="47">
        <f t="array" ref="GU25">IF(AND(ISNUMBER(MATCH(GU$2, AsistenciaJetAdminConcatenada!$A:$A, 0)), ISNUMBER(MATCH(GU$1, AsistenciaJetAdminConcatenada!$B:$B, 0)), ISNUMBER(SEARCH($A25,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ISNUMBER(SEARCH($A25, INDEX(AsistenciaJetAdminConcatenada!$D:$D, MATCH(1, (AsistenciaJetAdminConcatenada!$A:$A=GU$2)*(AsistenciaJetAdminConcatenada!$B:$B=GU$1), 0)), 1))),  0.5, 0))</f>
        <v>0</v>
      </c>
      <c r="GV25" s="47">
        <f t="array" ref="GV25">IF(AND(ISNUMBER(MATCH(GV$2, AsistenciaJetAdminConcatenada!$A:$A, 0)), ISNUMBER(MATCH(GV$1, AsistenciaJetAdminConcatenada!$B:$B, 0)), ISNUMBER(SEARCH($A25,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ISNUMBER(SEARCH($A25, INDEX(AsistenciaJetAdminConcatenada!$D:$D, MATCH(1, (AsistenciaJetAdminConcatenada!$A:$A=GV$2)*(AsistenciaJetAdminConcatenada!$B:$B=GV$1), 0)), 1))),  0.5, 0))</f>
        <v>0</v>
      </c>
      <c r="GW25" s="47">
        <f t="array" ref="GW25">IF(AND(ISNUMBER(MATCH(GW$2, AsistenciaJetAdminConcatenada!$A:$A, 0)), ISNUMBER(MATCH(GW$1, AsistenciaJetAdminConcatenada!$B:$B, 0)), ISNUMBER(SEARCH($A25,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ISNUMBER(SEARCH($A25, INDEX(AsistenciaJetAdminConcatenada!$D:$D, MATCH(1, (AsistenciaJetAdminConcatenada!$A:$A=GW$2)*(AsistenciaJetAdminConcatenada!$B:$B=GW$1), 0)), 1))),  0.5, 0))</f>
        <v>0</v>
      </c>
      <c r="GX25" s="47">
        <f t="array" ref="GX25">IF(AND(ISNUMBER(MATCH(GX$2, AsistenciaJetAdminConcatenada!$A:$A, 0)), ISNUMBER(MATCH(GX$1, AsistenciaJetAdminConcatenada!$B:$B, 0)), ISNUMBER(SEARCH($A25,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ISNUMBER(SEARCH($A25, INDEX(AsistenciaJetAdminConcatenada!$D:$D, MATCH(1, (AsistenciaJetAdminConcatenada!$A:$A=GX$2)*(AsistenciaJetAdminConcatenada!$B:$B=GX$1), 0)), 1))),  0.5, 0))</f>
        <v>0</v>
      </c>
      <c r="GY25" s="47">
        <f t="array" ref="GY25">IF(AND(ISNUMBER(MATCH(GY$2, AsistenciaJetAdminConcatenada!$A:$A, 0)), ISNUMBER(MATCH(GY$1, AsistenciaJetAdminConcatenada!$B:$B, 0)), ISNUMBER(SEARCH($A25,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ISNUMBER(SEARCH($A25, INDEX(AsistenciaJetAdminConcatenada!$D:$D, MATCH(1, (AsistenciaJetAdminConcatenada!$A:$A=GY$2)*(AsistenciaJetAdminConcatenada!$B:$B=GY$1), 0)), 1))),  0.5, 0))</f>
        <v>0</v>
      </c>
      <c r="GZ25" s="47">
        <f t="array" ref="GZ25">IF(AND(ISNUMBER(MATCH(GZ$2, AsistenciaJetAdminConcatenada!$A:$A, 0)), ISNUMBER(MATCH(GZ$1, AsistenciaJetAdminConcatenada!$B:$B, 0)), ISNUMBER(SEARCH($A25,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ISNUMBER(SEARCH($A25, INDEX(AsistenciaJetAdminConcatenada!$D:$D, MATCH(1, (AsistenciaJetAdminConcatenada!$A:$A=GZ$2)*(AsistenciaJetAdminConcatenada!$B:$B=GZ$1), 0)), 1))),  0.5, 0))</f>
        <v>0</v>
      </c>
      <c r="HA25" s="47">
        <f t="array" ref="HA25">IF(AND(ISNUMBER(MATCH(HA$2, AsistenciaJetAdminConcatenada!$A:$A, 0)), ISNUMBER(MATCH(HA$1, AsistenciaJetAdminConcatenada!$B:$B, 0)), ISNUMBER(SEARCH($A25,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ISNUMBER(SEARCH($A25, INDEX(AsistenciaJetAdminConcatenada!$D:$D, MATCH(1, (AsistenciaJetAdminConcatenada!$A:$A=HA$2)*(AsistenciaJetAdminConcatenada!$B:$B=HA$1), 0)), 1))),  0.5, 0))</f>
        <v>0</v>
      </c>
      <c r="HB25" s="47">
        <f t="array" ref="HB25">IF(AND(ISNUMBER(MATCH(HB$2, AsistenciaJetAdminConcatenada!$A:$A, 0)), ISNUMBER(MATCH(HB$1, AsistenciaJetAdminConcatenada!$B:$B, 0)), ISNUMBER(SEARCH($A25,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ISNUMBER(SEARCH($A25, INDEX(AsistenciaJetAdminConcatenada!$D:$D, MATCH(1, (AsistenciaJetAdminConcatenada!$A:$A=HB$2)*(AsistenciaJetAdminConcatenada!$B:$B=HB$1), 0)), 1))),  0.5, 0))</f>
        <v>0</v>
      </c>
      <c r="HC25" s="47">
        <f t="array" ref="HC25">IF(AND(ISNUMBER(MATCH(HC$2, AsistenciaJetAdminConcatenada!$A:$A, 0)), ISNUMBER(MATCH(HC$1, AsistenciaJetAdminConcatenada!$B:$B, 0)), ISNUMBER(SEARCH($A25,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ISNUMBER(SEARCH($A25, INDEX(AsistenciaJetAdminConcatenada!$D:$D, MATCH(1, (AsistenciaJetAdminConcatenada!$A:$A=HC$2)*(AsistenciaJetAdminConcatenada!$B:$B=HC$1), 0)), 1))),  0.5, 0))</f>
        <v>0</v>
      </c>
    </row>
    <row r="26" ht="29.25" customHeight="1">
      <c r="A26" s="3">
        <v>203.0</v>
      </c>
      <c r="B26" s="4" t="s">
        <v>274</v>
      </c>
      <c r="C26" s="47">
        <f>SUM(D26:HC26) + ActividadesEspeciales!C26</f>
        <v>35</v>
      </c>
      <c r="D26" s="47">
        <f t="array" ref="D26">IF(AND(ISNUMBER(MATCH(D$2, AsistenciaJetAdminConcatenada!$A:$A, 0)), ISNUMBER(MATCH(D$1, AsistenciaJetAdminConcatenada!$B:$B, 0)), ISNUMBER(SEARCH($A26,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ISNUMBER(SEARCH($A26, INDEX(AsistenciaJetAdminConcatenada!$D:$D, MATCH(1, (AsistenciaJetAdminConcatenada!$A:$A=D$2)*(AsistenciaJetAdminConcatenada!$B:$B=D$1), 0)), 1))),  0.5, 0))</f>
        <v>1</v>
      </c>
      <c r="E26" s="47">
        <f t="array" ref="E26">IF(AND(ISNUMBER(MATCH(E$2, AsistenciaJetAdminConcatenada!$A:$A, 0)), ISNUMBER(MATCH(E$1, AsistenciaJetAdminConcatenada!$B:$B, 0)), ISNUMBER(SEARCH($A26,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ISNUMBER(SEARCH($A26, INDEX(AsistenciaJetAdminConcatenada!$D:$D, MATCH(1, (AsistenciaJetAdminConcatenada!$A:$A=E$2)*(AsistenciaJetAdminConcatenada!$B:$B=E$1), 0)), 1))),  0.5, 0))</f>
        <v>1</v>
      </c>
      <c r="F26" s="47">
        <f t="array" ref="F26">IF(AND(ISNUMBER(MATCH(F$2, AsistenciaJetAdminConcatenada!$A:$A, 0)), ISNUMBER(MATCH(F$1, AsistenciaJetAdminConcatenada!$B:$B, 0)), ISNUMBER(SEARCH($A26,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ISNUMBER(SEARCH($A26, INDEX(AsistenciaJetAdminConcatenada!$D:$D, MATCH(1, (AsistenciaJetAdminConcatenada!$A:$A=F$2)*(AsistenciaJetAdminConcatenada!$B:$B=F$1), 0)), 1))),  0.5, 0))</f>
        <v>1</v>
      </c>
      <c r="G26" s="47">
        <f t="array" ref="G26">IF(AND(ISNUMBER(MATCH(G$2, AsistenciaJetAdminConcatenada!$A:$A, 0)), ISNUMBER(MATCH(G$1, AsistenciaJetAdminConcatenada!$B:$B, 0)), ISNUMBER(SEARCH($A26,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ISNUMBER(SEARCH($A26, INDEX(AsistenciaJetAdminConcatenada!$D:$D, MATCH(1, (AsistenciaJetAdminConcatenada!$A:$A=G$2)*(AsistenciaJetAdminConcatenada!$B:$B=G$1), 0)), 1))),  0.5, 0))</f>
        <v>1</v>
      </c>
      <c r="H26" s="47">
        <f t="array" ref="H26">IF(AND(ISNUMBER(MATCH(H$2, AsistenciaJetAdminConcatenada!$A:$A, 0)), ISNUMBER(MATCH(H$1, AsistenciaJetAdminConcatenada!$B:$B, 0)), ISNUMBER(SEARCH($A26,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ISNUMBER(SEARCH($A26, INDEX(AsistenciaJetAdminConcatenada!$D:$D, MATCH(1, (AsistenciaJetAdminConcatenada!$A:$A=H$2)*(AsistenciaJetAdminConcatenada!$B:$B=H$1), 0)), 1))),  0.5, 0))</f>
        <v>1</v>
      </c>
      <c r="I26" s="47">
        <f t="array" ref="I26">IF(AND(ISNUMBER(MATCH(I$2, AsistenciaJetAdminConcatenada!$A:$A, 0)), ISNUMBER(MATCH(I$1, AsistenciaJetAdminConcatenada!$B:$B, 0)), ISNUMBER(SEARCH($A26,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ISNUMBER(SEARCH($A26, INDEX(AsistenciaJetAdminConcatenada!$D:$D, MATCH(1, (AsistenciaJetAdminConcatenada!$A:$A=I$2)*(AsistenciaJetAdminConcatenada!$B:$B=I$1), 0)), 1))),  0.5, 0))</f>
        <v>1</v>
      </c>
      <c r="J26" s="47">
        <f t="array" ref="J26">IF(AND(ISNUMBER(MATCH(J$2, AsistenciaJetAdminConcatenada!$A:$A, 0)), ISNUMBER(MATCH(J$1, AsistenciaJetAdminConcatenada!$B:$B, 0)), ISNUMBER(SEARCH($A26,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ISNUMBER(SEARCH($A26, INDEX(AsistenciaJetAdminConcatenada!$D:$D, MATCH(1, (AsistenciaJetAdminConcatenada!$A:$A=J$2)*(AsistenciaJetAdminConcatenada!$B:$B=J$1), 0)), 1))),  0.5, 0))</f>
        <v>0</v>
      </c>
      <c r="K26" s="47">
        <f t="array" ref="K26">IF(AND(ISNUMBER(MATCH(K$2, AsistenciaJetAdminConcatenada!$A:$A, 0)), ISNUMBER(MATCH(K$1, AsistenciaJetAdminConcatenada!$B:$B, 0)), ISNUMBER(SEARCH($A26,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ISNUMBER(SEARCH($A26, INDEX(AsistenciaJetAdminConcatenada!$D:$D, MATCH(1, (AsistenciaJetAdminConcatenada!$A:$A=K$2)*(AsistenciaJetAdminConcatenada!$B:$B=K$1), 0)), 1))),  0.5, 0))</f>
        <v>1</v>
      </c>
      <c r="L26" s="47">
        <f t="array" ref="L26">IF(AND(ISNUMBER(MATCH(L$2, AsistenciaJetAdminConcatenada!$A:$A, 0)), ISNUMBER(MATCH(L$1, AsistenciaJetAdminConcatenada!$B:$B, 0)), ISNUMBER(SEARCH($A26,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ISNUMBER(SEARCH($A26, INDEX(AsistenciaJetAdminConcatenada!$D:$D, MATCH(1, (AsistenciaJetAdminConcatenada!$A:$A=L$2)*(AsistenciaJetAdminConcatenada!$B:$B=L$1), 0)), 1))),  0.5, 0))</f>
        <v>1</v>
      </c>
      <c r="M26" s="47">
        <f t="array" ref="M26">IF(AND(ISNUMBER(MATCH(M$2, AsistenciaJetAdminConcatenada!$A:$A, 0)), ISNUMBER(MATCH(M$1, AsistenciaJetAdminConcatenada!$B:$B, 0)), ISNUMBER(SEARCH($A26,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ISNUMBER(SEARCH($A26, INDEX(AsistenciaJetAdminConcatenada!$D:$D, MATCH(1, (AsistenciaJetAdminConcatenada!$A:$A=M$2)*(AsistenciaJetAdminConcatenada!$B:$B=M$1), 0)), 1))),  0.5, 0))</f>
        <v>1</v>
      </c>
      <c r="N26" s="47">
        <f t="array" ref="N26">IF(AND(ISNUMBER(MATCH(N$2, AsistenciaJetAdminConcatenada!$A:$A, 0)), ISNUMBER(MATCH(N$1, AsistenciaJetAdminConcatenada!$B:$B, 0)), ISNUMBER(SEARCH($A26,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ISNUMBER(SEARCH($A26, INDEX(AsistenciaJetAdminConcatenada!$D:$D, MATCH(1, (AsistenciaJetAdminConcatenada!$A:$A=N$2)*(AsistenciaJetAdminConcatenada!$B:$B=N$1), 0)), 1))),  0.5, 0))</f>
        <v>1</v>
      </c>
      <c r="O26" s="47">
        <f t="array" ref="O26">IF(AND(ISNUMBER(MATCH(O$2, AsistenciaJetAdminConcatenada!$A:$A, 0)), ISNUMBER(MATCH(O$1, AsistenciaJetAdminConcatenada!$B:$B, 0)), ISNUMBER(SEARCH($A26,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ISNUMBER(SEARCH($A26, INDEX(AsistenciaJetAdminConcatenada!$D:$D, MATCH(1, (AsistenciaJetAdminConcatenada!$A:$A=O$2)*(AsistenciaJetAdminConcatenada!$B:$B=O$1), 0)), 1))),  0.5, 0))</f>
        <v>1</v>
      </c>
      <c r="P26" s="47">
        <f t="array" ref="P26">IF(AND(ISNUMBER(MATCH(P$2, AsistenciaJetAdminConcatenada!$A:$A, 0)), ISNUMBER(MATCH(P$1, AsistenciaJetAdminConcatenada!$B:$B, 0)), ISNUMBER(SEARCH($A26, INDEX(AsistenciaJetAdminConcatenada!$C:$C, MATCH(1, (AsistenciaJetAdminConcatenada!$A:$A=P$2)*(AsistenciaJetAdminConcatenada!$B:$B=P$1), 0)), 1))), 1, IF(AND(ISNUMBER(MATCH(P$2, AsistenciaJetAdminConcatenada!$A:$A, 0)), ISNUMBER(MATCH(P$1, AsistenciaJetAdminConcatenada!$B:$B, 0)), ISNUMBER(SEARCH($A26, INDEX(AsistenciaJetAdminConcatenada!$D:$D, MATCH(1, (AsistenciaJetAdminConcatenada!$A:$A=P$2)*(AsistenciaJetAdminConcatenada!$B:$B=P$1), 0)), 1))),  0.5, 0))</f>
        <v>0</v>
      </c>
      <c r="Q26" s="47">
        <f t="array" ref="Q26">IF(AND(ISNUMBER(MATCH(Q$2, AsistenciaJetAdminConcatenada!$A:$A, 0)), ISNUMBER(MATCH(Q$1, AsistenciaJetAdminConcatenada!$B:$B, 0)), ISNUMBER(SEARCH($A26, INDEX(AsistenciaJetAdminConcatenada!$C:$C, MATCH(1, (AsistenciaJetAdminConcatenada!$A:$A=Q$2)*(AsistenciaJetAdminConcatenada!$B:$B=Q$1), 0)), 1))), 1, IF(AND(ISNUMBER(MATCH(Q$2, AsistenciaJetAdminConcatenada!$A:$A, 0)), ISNUMBER(MATCH(Q$1, AsistenciaJetAdminConcatenada!$B:$B, 0)), ISNUMBER(SEARCH($A26, INDEX(AsistenciaJetAdminConcatenada!$D:$D, MATCH(1, (AsistenciaJetAdminConcatenada!$A:$A=Q$2)*(AsistenciaJetAdminConcatenada!$B:$B=Q$1), 0)), 1))),  0.5, 0))</f>
        <v>1</v>
      </c>
      <c r="R26" s="47">
        <f t="array" ref="R26">IF(AND(ISNUMBER(MATCH(R$2, AsistenciaJetAdminConcatenada!$A:$A, 0)), ISNUMBER(MATCH(R$1, AsistenciaJetAdminConcatenada!$B:$B, 0)), ISNUMBER(SEARCH($A26,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ISNUMBER(SEARCH($A26, INDEX(AsistenciaJetAdminConcatenada!$D:$D, MATCH(1, (AsistenciaJetAdminConcatenada!$A:$A=R$2)*(AsistenciaJetAdminConcatenada!$B:$B=R$1), 0)), 1))),  0.5, 0))</f>
        <v>0.5</v>
      </c>
      <c r="S26" s="47">
        <f t="array" ref="S26">IF(AND(ISNUMBER(MATCH(S$2, AsistenciaJetAdminConcatenada!$A:$A, 0)), ISNUMBER(MATCH(S$1, AsistenciaJetAdminConcatenada!$B:$B, 0)), ISNUMBER(SEARCH($A26,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ISNUMBER(SEARCH($A26, INDEX(AsistenciaJetAdminConcatenada!$D:$D, MATCH(1, (AsistenciaJetAdminConcatenada!$A:$A=S$2)*(AsistenciaJetAdminConcatenada!$B:$B=S$1), 0)), 1))),  0.5, 0))</f>
        <v>0</v>
      </c>
      <c r="T26" s="47">
        <f t="array" ref="T26">IF(AND(ISNUMBER(MATCH(T$2, AsistenciaJetAdminConcatenada!$A:$A, 0)), ISNUMBER(MATCH(T$1, AsistenciaJetAdminConcatenada!$B:$B, 0)), ISNUMBER(SEARCH($A26,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ISNUMBER(SEARCH($A26, INDEX(AsistenciaJetAdminConcatenada!$D:$D, MATCH(1, (AsistenciaJetAdminConcatenada!$A:$A=T$2)*(AsistenciaJetAdminConcatenada!$B:$B=T$1), 0)), 1))),  0.5, 0))</f>
        <v>0</v>
      </c>
      <c r="U26" s="47">
        <f t="array" ref="U26">IF(AND(ISNUMBER(MATCH(U$2, AsistenciaJetAdminConcatenada!$A:$A, 0)), ISNUMBER(MATCH(U$1, AsistenciaJetAdminConcatenada!$B:$B, 0)), ISNUMBER(SEARCH($A26,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ISNUMBER(SEARCH($A26, INDEX(AsistenciaJetAdminConcatenada!$D:$D, MATCH(1, (AsistenciaJetAdminConcatenada!$A:$A=U$2)*(AsistenciaJetAdminConcatenada!$B:$B=U$1), 0)), 1))),  0.5, 0))</f>
        <v>0.5</v>
      </c>
      <c r="V26" s="47">
        <f t="array" ref="V26">IF(AND(ISNUMBER(MATCH(V$2, AsistenciaJetAdminConcatenada!$A:$A, 0)), ISNUMBER(MATCH(V$1, AsistenciaJetAdminConcatenada!$B:$B, 0)), ISNUMBER(SEARCH($A26,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ISNUMBER(SEARCH($A26, INDEX(AsistenciaJetAdminConcatenada!$D:$D, MATCH(1, (AsistenciaJetAdminConcatenada!$A:$A=V$2)*(AsistenciaJetAdminConcatenada!$B:$B=V$1), 0)), 1))),  0.5, 0))</f>
        <v>0</v>
      </c>
      <c r="W26" s="47">
        <f t="array" ref="W26">IF(AND(ISNUMBER(MATCH(W$2, AsistenciaJetAdminConcatenada!$A:$A, 0)), ISNUMBER(MATCH(W$1, AsistenciaJetAdminConcatenada!$B:$B, 0)), ISNUMBER(SEARCH($A26,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ISNUMBER(SEARCH($A26, INDEX(AsistenciaJetAdminConcatenada!$D:$D, MATCH(1, (AsistenciaJetAdminConcatenada!$A:$A=W$2)*(AsistenciaJetAdminConcatenada!$B:$B=W$1), 0)), 1))),  0.5, 0))</f>
        <v>0</v>
      </c>
      <c r="X26" s="47">
        <f t="array" ref="X26">IF(AND(ISNUMBER(MATCH(X$2, AsistenciaJetAdminConcatenada!$A:$A, 0)), ISNUMBER(MATCH(X$1, AsistenciaJetAdminConcatenada!$B:$B, 0)), ISNUMBER(SEARCH($A26,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ISNUMBER(SEARCH($A26, INDEX(AsistenciaJetAdminConcatenada!$D:$D, MATCH(1, (AsistenciaJetAdminConcatenada!$A:$A=X$2)*(AsistenciaJetAdminConcatenada!$B:$B=X$1), 0)), 1))),  0.5, 0))</f>
        <v>0.5</v>
      </c>
      <c r="Y26" s="47">
        <f t="array" ref="Y26">IF(AND(ISNUMBER(MATCH(Y$2, AsistenciaJetAdminConcatenada!$A:$A, 0)), ISNUMBER(MATCH(Y$1, AsistenciaJetAdminConcatenada!$B:$B, 0)), ISNUMBER(SEARCH($A26,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ISNUMBER(SEARCH($A26, INDEX(AsistenciaJetAdminConcatenada!$D:$D, MATCH(1, (AsistenciaJetAdminConcatenada!$A:$A=Y$2)*(AsistenciaJetAdminConcatenada!$B:$B=Y$1), 0)), 1))),  0.5, 0))</f>
        <v>1</v>
      </c>
      <c r="Z26" s="47">
        <f t="array" ref="Z26">IF(AND(ISNUMBER(MATCH(Z$2, AsistenciaJetAdminConcatenada!$A:$A, 0)), ISNUMBER(MATCH(Z$1, AsistenciaJetAdminConcatenada!$B:$B, 0)), ISNUMBER(SEARCH($A26,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ISNUMBER(SEARCH($A26, INDEX(AsistenciaJetAdminConcatenada!$D:$D, MATCH(1, (AsistenciaJetAdminConcatenada!$A:$A=Z$2)*(AsistenciaJetAdminConcatenada!$B:$B=Z$1), 0)), 1))),  0.5, 0))</f>
        <v>1</v>
      </c>
      <c r="AA26" s="47">
        <f t="array" ref="AA26">IF(AND(ISNUMBER(MATCH(AA$2, AsistenciaJetAdminConcatenada!$A:$A, 0)), ISNUMBER(MATCH(AA$1, AsistenciaJetAdminConcatenada!$B:$B, 0)), ISNUMBER(SEARCH($A26,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ISNUMBER(SEARCH($A26, INDEX(AsistenciaJetAdminConcatenada!$D:$D, MATCH(1, (AsistenciaJetAdminConcatenada!$A:$A=AA$2)*(AsistenciaJetAdminConcatenada!$B:$B=AA$1), 0)), 1))),  0.5, 0))</f>
        <v>0</v>
      </c>
      <c r="AB26" s="47">
        <f t="array" ref="AB26">IF(AND(ISNUMBER(MATCH(AB$2, AsistenciaJetAdminConcatenada!$A:$A, 0)), ISNUMBER(MATCH(AB$1, AsistenciaJetAdminConcatenada!$B:$B, 0)), ISNUMBER(SEARCH($A26,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ISNUMBER(SEARCH($A26, INDEX(AsistenciaJetAdminConcatenada!$D:$D, MATCH(1, (AsistenciaJetAdminConcatenada!$A:$A=AB$2)*(AsistenciaJetAdminConcatenada!$B:$B=AB$1), 0)), 1))),  0.5, 0))</f>
        <v>0</v>
      </c>
      <c r="AC26" s="47">
        <f t="array" ref="AC26">IF(AND(ISNUMBER(MATCH(AC$2, AsistenciaJetAdminConcatenada!$A:$A, 0)), ISNUMBER(MATCH(AC$1, AsistenciaJetAdminConcatenada!$B:$B, 0)), ISNUMBER(SEARCH($A26,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ISNUMBER(SEARCH($A26, INDEX(AsistenciaJetAdminConcatenada!$D:$D, MATCH(1, (AsistenciaJetAdminConcatenada!$A:$A=AC$2)*(AsistenciaJetAdminConcatenada!$B:$B=AC$1), 0)), 1))),  0.5, 0))</f>
        <v>1</v>
      </c>
      <c r="AD26" s="47">
        <f t="array" ref="AD26">IF(AND(ISNUMBER(MATCH(AD$2, AsistenciaJetAdminConcatenada!$A:$A, 0)), ISNUMBER(MATCH(AD$1, AsistenciaJetAdminConcatenada!$B:$B, 0)), ISNUMBER(SEARCH($A26,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ISNUMBER(SEARCH($A26, INDEX(AsistenciaJetAdminConcatenada!$D:$D, MATCH(1, (AsistenciaJetAdminConcatenada!$A:$A=AD$2)*(AsistenciaJetAdminConcatenada!$B:$B=AD$1), 0)), 1))),  0.5, 0))</f>
        <v>1</v>
      </c>
      <c r="AE26" s="47">
        <f t="array" ref="AE26">IF(AND(ISNUMBER(MATCH(AE$2, AsistenciaJetAdminConcatenada!$A:$A, 0)), ISNUMBER(MATCH(AE$1, AsistenciaJetAdminConcatenada!$B:$B, 0)), ISNUMBER(SEARCH($A26,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ISNUMBER(SEARCH($A26, INDEX(AsistenciaJetAdminConcatenada!$D:$D, MATCH(1, (AsistenciaJetAdminConcatenada!$A:$A=AE$2)*(AsistenciaJetAdminConcatenada!$B:$B=AE$1), 0)), 1))),  0.5, 0))</f>
        <v>0</v>
      </c>
      <c r="AF26" s="47">
        <f t="array" ref="AF26">IF(AND(ISNUMBER(MATCH(AF$2, AsistenciaJetAdminConcatenada!$A:$A, 0)), ISNUMBER(MATCH(AF$1, AsistenciaJetAdminConcatenada!$B:$B, 0)), ISNUMBER(SEARCH($A26,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ISNUMBER(SEARCH($A26, INDEX(AsistenciaJetAdminConcatenada!$D:$D, MATCH(1, (AsistenciaJetAdminConcatenada!$A:$A=AF$2)*(AsistenciaJetAdminConcatenada!$B:$B=AF$1), 0)), 1))),  0.5, 0))</f>
        <v>1</v>
      </c>
      <c r="AG26" s="47">
        <f t="array" ref="AG26">IF(AND(ISNUMBER(MATCH(AG$2, AsistenciaJetAdminConcatenada!$A:$A, 0)), ISNUMBER(MATCH(AG$1, AsistenciaJetAdminConcatenada!$B:$B, 0)), ISNUMBER(SEARCH($A26,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ISNUMBER(SEARCH($A26, INDEX(AsistenciaJetAdminConcatenada!$D:$D, MATCH(1, (AsistenciaJetAdminConcatenada!$A:$A=AG$2)*(AsistenciaJetAdminConcatenada!$B:$B=AG$1), 0)), 1))),  0.5, 0))</f>
        <v>0</v>
      </c>
      <c r="AH26" s="47">
        <f t="array" ref="AH26">IF(AND(ISNUMBER(MATCH(AH$2, AsistenciaJetAdminConcatenada!$A:$A, 0)), ISNUMBER(MATCH(AH$1, AsistenciaJetAdminConcatenada!$B:$B, 0)), ISNUMBER(SEARCH($A26,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ISNUMBER(SEARCH($A26, INDEX(AsistenciaJetAdminConcatenada!$D:$D, MATCH(1, (AsistenciaJetAdminConcatenada!$A:$A=AH$2)*(AsistenciaJetAdminConcatenada!$B:$B=AH$1), 0)), 1))),  0.5, 0))</f>
        <v>0</v>
      </c>
      <c r="AI26" s="47">
        <f t="array" ref="AI26">IF(AND(ISNUMBER(MATCH(AI$2, AsistenciaJetAdminConcatenada!$A:$A, 0)), ISNUMBER(MATCH(AI$1, AsistenciaJetAdminConcatenada!$B:$B, 0)), ISNUMBER(SEARCH($A26,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ISNUMBER(SEARCH($A26, INDEX(AsistenciaJetAdminConcatenada!$D:$D, MATCH(1, (AsistenciaJetAdminConcatenada!$A:$A=AI$2)*(AsistenciaJetAdminConcatenada!$B:$B=AI$1), 0)), 1))),  0.5, 0))</f>
        <v>1</v>
      </c>
      <c r="AJ26" s="47">
        <f t="array" ref="AJ26">IF(AND(ISNUMBER(MATCH(AJ$2, AsistenciaJetAdminConcatenada!$A:$A, 0)), ISNUMBER(MATCH(AJ$1, AsistenciaJetAdminConcatenada!$B:$B, 0)), ISNUMBER(SEARCH($A26,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ISNUMBER(SEARCH($A26, INDEX(AsistenciaJetAdminConcatenada!$D:$D, MATCH(1, (AsistenciaJetAdminConcatenada!$A:$A=AJ$2)*(AsistenciaJetAdminConcatenada!$B:$B=AJ$1), 0)), 1))),  0.5, 0))</f>
        <v>1</v>
      </c>
      <c r="AK26" s="47">
        <f t="array" ref="AK26">IF(AND(ISNUMBER(MATCH(AK$2, AsistenciaJetAdminConcatenada!$A:$A, 0)), ISNUMBER(MATCH(AK$1, AsistenciaJetAdminConcatenada!$B:$B, 0)), ISNUMBER(SEARCH($A26,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ISNUMBER(SEARCH($A26, INDEX(AsistenciaJetAdminConcatenada!$D:$D, MATCH(1, (AsistenciaJetAdminConcatenada!$A:$A=AK$2)*(AsistenciaJetAdminConcatenada!$B:$B=AK$1), 0)), 1))),  0.5, 0))</f>
        <v>0.5</v>
      </c>
      <c r="AL26" s="47">
        <f t="array" ref="AL26">IF(AND(ISNUMBER(MATCH(AL$2, AsistenciaJetAdminConcatenada!$A:$A, 0)), ISNUMBER(MATCH(AL$1, AsistenciaJetAdminConcatenada!$B:$B, 0)), ISNUMBER(SEARCH($A26,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ISNUMBER(SEARCH($A26, INDEX(AsistenciaJetAdminConcatenada!$D:$D, MATCH(1, (AsistenciaJetAdminConcatenada!$A:$A=AL$2)*(AsistenciaJetAdminConcatenada!$B:$B=AL$1), 0)), 1))),  0.5, 0))</f>
        <v>1</v>
      </c>
      <c r="AM26" s="47">
        <f t="array" ref="AM26">IF(AND(ISNUMBER(MATCH(AM$2, AsistenciaJetAdminConcatenada!$A:$A, 0)), ISNUMBER(MATCH(AM$1, AsistenciaJetAdminConcatenada!$B:$B, 0)), ISNUMBER(SEARCH($A26,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ISNUMBER(SEARCH($A26, INDEX(AsistenciaJetAdminConcatenada!$D:$D, MATCH(1, (AsistenciaJetAdminConcatenada!$A:$A=AM$2)*(AsistenciaJetAdminConcatenada!$B:$B=AM$1), 0)), 1))),  0.5, 0))</f>
        <v>0</v>
      </c>
      <c r="AN26" s="47">
        <f t="array" ref="AN26">IF(AND(ISNUMBER(MATCH(AN$2, AsistenciaJetAdminConcatenada!$A:$A, 0)), ISNUMBER(MATCH(AN$1, AsistenciaJetAdminConcatenada!$B:$B, 0)), ISNUMBER(SEARCH($A26,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ISNUMBER(SEARCH($A26, INDEX(AsistenciaJetAdminConcatenada!$D:$D, MATCH(1, (AsistenciaJetAdminConcatenada!$A:$A=AN$2)*(AsistenciaJetAdminConcatenada!$B:$B=AN$1), 0)), 1))),  0.5, 0))</f>
        <v>0</v>
      </c>
      <c r="AO26" s="47">
        <f t="array" ref="AO26">IF(AND(ISNUMBER(MATCH(AO$2, AsistenciaJetAdminConcatenada!$A:$A, 0)), ISNUMBER(MATCH(AO$1, AsistenciaJetAdminConcatenada!$B:$B, 0)), ISNUMBER(SEARCH($A26,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ISNUMBER(SEARCH($A26, INDEX(AsistenciaJetAdminConcatenada!$D:$D, MATCH(1, (AsistenciaJetAdminConcatenada!$A:$A=AO$2)*(AsistenciaJetAdminConcatenada!$B:$B=AO$1), 0)), 1))),  0.5, 0))</f>
        <v>0</v>
      </c>
      <c r="AP26" s="47">
        <f t="array" ref="AP26">IF(AND(ISNUMBER(MATCH(AP$2, AsistenciaJetAdminConcatenada!$A:$A, 0)), ISNUMBER(MATCH(AP$1, AsistenciaJetAdminConcatenada!$B:$B, 0)), ISNUMBER(SEARCH($A26,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ISNUMBER(SEARCH($A26, INDEX(AsistenciaJetAdminConcatenada!$D:$D, MATCH(1, (AsistenciaJetAdminConcatenada!$A:$A=AP$2)*(AsistenciaJetAdminConcatenada!$B:$B=AP$1), 0)), 1))),  0.5, 0))</f>
        <v>0</v>
      </c>
      <c r="AQ26" s="47">
        <f t="array" ref="AQ26">IF(AND(ISNUMBER(MATCH(AQ$2, AsistenciaJetAdminConcatenada!$A:$A, 0)), ISNUMBER(MATCH(AQ$1, AsistenciaJetAdminConcatenada!$B:$B, 0)), ISNUMBER(SEARCH($A26,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ISNUMBER(SEARCH($A26, INDEX(AsistenciaJetAdminConcatenada!$D:$D, MATCH(1, (AsistenciaJetAdminConcatenada!$A:$A=AQ$2)*(AsistenciaJetAdminConcatenada!$B:$B=AQ$1), 0)), 1))),  0.5, 0))</f>
        <v>0</v>
      </c>
      <c r="AR26" s="47">
        <f t="array" ref="AR26">IF(AND(ISNUMBER(MATCH(AR$2, AsistenciaJetAdminConcatenada!$A:$A, 0)), ISNUMBER(MATCH(AR$1, AsistenciaJetAdminConcatenada!$B:$B, 0)), ISNUMBER(SEARCH($A26,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ISNUMBER(SEARCH($A26, INDEX(AsistenciaJetAdminConcatenada!$D:$D, MATCH(1, (AsistenciaJetAdminConcatenada!$A:$A=AR$2)*(AsistenciaJetAdminConcatenada!$B:$B=AR$1), 0)), 1))),  0.5, 0))</f>
        <v>0</v>
      </c>
      <c r="AS26" s="47">
        <f t="array" ref="AS26">IF(AND(ISNUMBER(MATCH(AS$2, AsistenciaJetAdminConcatenada!$A:$A, 0)), ISNUMBER(MATCH(AS$1, AsistenciaJetAdminConcatenada!$B:$B, 0)), ISNUMBER(SEARCH($A26,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ISNUMBER(SEARCH($A26, INDEX(AsistenciaJetAdminConcatenada!$D:$D, MATCH(1, (AsistenciaJetAdminConcatenada!$A:$A=AS$2)*(AsistenciaJetAdminConcatenada!$B:$B=AS$1), 0)), 1))),  0.5, 0))</f>
        <v>0</v>
      </c>
      <c r="AT26" s="47">
        <f t="array" ref="AT26">IF(AND(ISNUMBER(MATCH(AT$2, AsistenciaJetAdminConcatenada!$A:$A, 0)), ISNUMBER(MATCH(AT$1, AsistenciaJetAdminConcatenada!$B:$B, 0)), ISNUMBER(SEARCH($A26,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ISNUMBER(SEARCH($A26, INDEX(AsistenciaJetAdminConcatenada!$D:$D, MATCH(1, (AsistenciaJetAdminConcatenada!$A:$A=AT$2)*(AsistenciaJetAdminConcatenada!$B:$B=AT$1), 0)), 1))),  0.5, 0))</f>
        <v>0</v>
      </c>
      <c r="AU26" s="47">
        <f t="array" ref="AU26">IF(AND(ISNUMBER(MATCH(AU$2, AsistenciaJetAdminConcatenada!$A:$A, 0)), ISNUMBER(MATCH(AU$1, AsistenciaJetAdminConcatenada!$B:$B, 0)), ISNUMBER(SEARCH($A26,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ISNUMBER(SEARCH($A26, INDEX(AsistenciaJetAdminConcatenada!$D:$D, MATCH(1, (AsistenciaJetAdminConcatenada!$A:$A=AU$2)*(AsistenciaJetAdminConcatenada!$B:$B=AU$1), 0)), 1))),  0.5, 0))</f>
        <v>0</v>
      </c>
      <c r="AV26" s="47">
        <f t="array" ref="AV26">IF(AND(ISNUMBER(MATCH(AV$2, AsistenciaJetAdminConcatenada!$A:$A, 0)), ISNUMBER(MATCH(AV$1, AsistenciaJetAdminConcatenada!$B:$B, 0)), ISNUMBER(SEARCH($A26,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ISNUMBER(SEARCH($A26, INDEX(AsistenciaJetAdminConcatenada!$D:$D, MATCH(1, (AsistenciaJetAdminConcatenada!$A:$A=AV$2)*(AsistenciaJetAdminConcatenada!$B:$B=AV$1), 0)), 1))),  0.5, 0))</f>
        <v>1</v>
      </c>
      <c r="AW26" s="47">
        <f t="array" ref="AW26">IF(AND(ISNUMBER(MATCH(AW$2, AsistenciaJetAdminConcatenada!$A:$A, 0)), ISNUMBER(MATCH(AW$1, AsistenciaJetAdminConcatenada!$B:$B, 0)), ISNUMBER(SEARCH($A26,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ISNUMBER(SEARCH($A26, INDEX(AsistenciaJetAdminConcatenada!$D:$D, MATCH(1, (AsistenciaJetAdminConcatenada!$A:$A=AW$2)*(AsistenciaJetAdminConcatenada!$B:$B=AW$1), 0)), 1))),  0.5, 0))</f>
        <v>0</v>
      </c>
      <c r="AX26" s="47">
        <f t="array" ref="AX26">IF(AND(ISNUMBER(MATCH(AX$2, AsistenciaJetAdminConcatenada!$A:$A, 0)), ISNUMBER(MATCH(AX$1, AsistenciaJetAdminConcatenada!$B:$B, 0)), ISNUMBER(SEARCH($A26,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ISNUMBER(SEARCH($A26, INDEX(AsistenciaJetAdminConcatenada!$D:$D, MATCH(1, (AsistenciaJetAdminConcatenada!$A:$A=AX$2)*(AsistenciaJetAdminConcatenada!$B:$B=AX$1), 0)), 1))),  0.5, 0))</f>
        <v>0</v>
      </c>
      <c r="AY26" s="47">
        <f t="array" ref="AY26">IF(AND(ISNUMBER(MATCH(AY$2, AsistenciaJetAdminConcatenada!$A:$A, 0)), ISNUMBER(MATCH(AY$1, AsistenciaJetAdminConcatenada!$B:$B, 0)), ISNUMBER(SEARCH($A26,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ISNUMBER(SEARCH($A26, INDEX(AsistenciaJetAdminConcatenada!$D:$D, MATCH(1, (AsistenciaJetAdminConcatenada!$A:$A=AY$2)*(AsistenciaJetAdminConcatenada!$B:$B=AY$1), 0)), 1))),  0.5, 0))</f>
        <v>0</v>
      </c>
      <c r="AZ26" s="47">
        <f t="array" ref="AZ26">IF(AND(ISNUMBER(MATCH(AZ$2, AsistenciaJetAdminConcatenada!$A:$A, 0)), ISNUMBER(MATCH(AZ$1, AsistenciaJetAdminConcatenada!$B:$B, 0)), ISNUMBER(SEARCH($A26,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ISNUMBER(SEARCH($A26, INDEX(AsistenciaJetAdminConcatenada!$D:$D, MATCH(1, (AsistenciaJetAdminConcatenada!$A:$A=AZ$2)*(AsistenciaJetAdminConcatenada!$B:$B=AZ$1), 0)), 1))),  0.5, 0))</f>
        <v>0</v>
      </c>
      <c r="BA26" s="47">
        <f t="array" ref="BA26">IF(AND(ISNUMBER(MATCH(BA$2, AsistenciaJetAdminConcatenada!$A:$A, 0)), ISNUMBER(MATCH(BA$1, AsistenciaJetAdminConcatenada!$B:$B, 0)), ISNUMBER(SEARCH($A26,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ISNUMBER(SEARCH($A26, INDEX(AsistenciaJetAdminConcatenada!$D:$D, MATCH(1, (AsistenciaJetAdminConcatenada!$A:$A=BA$2)*(AsistenciaJetAdminConcatenada!$B:$B=BA$1), 0)), 1))),  0.5, 0))</f>
        <v>0</v>
      </c>
      <c r="BB26" s="47">
        <f t="array" ref="BB26">IF(AND(ISNUMBER(MATCH(BB$2, AsistenciaJetAdminConcatenada!$A:$A, 0)), ISNUMBER(MATCH(BB$1, AsistenciaJetAdminConcatenada!$B:$B, 0)), ISNUMBER(SEARCH($A26,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ISNUMBER(SEARCH($A26, INDEX(AsistenciaJetAdminConcatenada!$D:$D, MATCH(1, (AsistenciaJetAdminConcatenada!$A:$A=BB$2)*(AsistenciaJetAdminConcatenada!$B:$B=BB$1), 0)), 1))),  0.5, 0))</f>
        <v>1</v>
      </c>
      <c r="BC26" s="47">
        <f t="array" ref="BC26">IF(AND(ISNUMBER(MATCH(BC$2, AsistenciaJetAdminConcatenada!$A:$A, 0)), ISNUMBER(MATCH(BC$1, AsistenciaJetAdminConcatenada!$B:$B, 0)), ISNUMBER(SEARCH($A26,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ISNUMBER(SEARCH($A26, INDEX(AsistenciaJetAdminConcatenada!$D:$D, MATCH(1, (AsistenciaJetAdminConcatenada!$A:$A=BC$2)*(AsistenciaJetAdminConcatenada!$B:$B=BC$1), 0)), 1))),  0.5, 0))</f>
        <v>1</v>
      </c>
      <c r="BD26" s="47">
        <f t="array" ref="BD26">IF(AND(ISNUMBER(MATCH(BD$2, AsistenciaJetAdminConcatenada!$A:$A, 0)), ISNUMBER(MATCH(BD$1, AsistenciaJetAdminConcatenada!$B:$B, 0)), ISNUMBER(SEARCH($A26,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ISNUMBER(SEARCH($A26, INDEX(AsistenciaJetAdminConcatenada!$D:$D, MATCH(1, (AsistenciaJetAdminConcatenada!$A:$A=BD$2)*(AsistenciaJetAdminConcatenada!$B:$B=BD$1), 0)), 1))),  0.5, 0))</f>
        <v>1</v>
      </c>
      <c r="BE26" s="47">
        <f t="array" ref="BE26">IF(AND(ISNUMBER(MATCH(BE$2, AsistenciaJetAdminConcatenada!$A:$A, 0)), ISNUMBER(MATCH(BE$1, AsistenciaJetAdminConcatenada!$B:$B, 0)), ISNUMBER(SEARCH($A26,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ISNUMBER(SEARCH($A26, INDEX(AsistenciaJetAdminConcatenada!$D:$D, MATCH(1, (AsistenciaJetAdminConcatenada!$A:$A=BE$2)*(AsistenciaJetAdminConcatenada!$B:$B=BE$1), 0)), 1))),  0.5, 0))</f>
        <v>1</v>
      </c>
      <c r="BF26" s="47">
        <f t="array" ref="BF26">IF(AND(ISNUMBER(MATCH(BF$2, AsistenciaJetAdminConcatenada!$A:$A, 0)), ISNUMBER(MATCH(BF$1, AsistenciaJetAdminConcatenada!$B:$B, 0)), ISNUMBER(SEARCH($A26,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ISNUMBER(SEARCH($A26, INDEX(AsistenciaJetAdminConcatenada!$D:$D, MATCH(1, (AsistenciaJetAdminConcatenada!$A:$A=BF$2)*(AsistenciaJetAdminConcatenada!$B:$B=BF$1), 0)), 1))),  0.5, 0))</f>
        <v>0</v>
      </c>
      <c r="BG26" s="47">
        <f t="array" ref="BG26">IF(AND(ISNUMBER(MATCH(BG$2, AsistenciaJetAdminConcatenada!$A:$A, 0)), ISNUMBER(MATCH(BG$1, AsistenciaJetAdminConcatenada!$B:$B, 0)), ISNUMBER(SEARCH($A26,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ISNUMBER(SEARCH($A26, INDEX(AsistenciaJetAdminConcatenada!$D:$D, MATCH(1, (AsistenciaJetAdminConcatenada!$A:$A=BG$2)*(AsistenciaJetAdminConcatenada!$B:$B=BG$1), 0)), 1))),  0.5, 0))</f>
        <v>0</v>
      </c>
      <c r="BH26" s="47">
        <f t="array" ref="BH26">IF(AND(ISNUMBER(MATCH(BH$2, AsistenciaJetAdminConcatenada!$A:$A, 0)), ISNUMBER(MATCH(BH$1, AsistenciaJetAdminConcatenada!$B:$B, 0)), ISNUMBER(SEARCH($A26,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ISNUMBER(SEARCH($A26, INDEX(AsistenciaJetAdminConcatenada!$D:$D, MATCH(1, (AsistenciaJetAdminConcatenada!$A:$A=BH$2)*(AsistenciaJetAdminConcatenada!$B:$B=BH$1), 0)), 1))),  0.5, 0))</f>
        <v>0</v>
      </c>
      <c r="BI26" s="47">
        <f t="array" ref="BI26">IF(AND(ISNUMBER(MATCH(BI$2, AsistenciaJetAdminConcatenada!$A:$A, 0)), ISNUMBER(MATCH(BI$1, AsistenciaJetAdminConcatenada!$B:$B, 0)), ISNUMBER(SEARCH($A26,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ISNUMBER(SEARCH($A26, INDEX(AsistenciaJetAdminConcatenada!$D:$D, MATCH(1, (AsistenciaJetAdminConcatenada!$A:$A=BI$2)*(AsistenciaJetAdminConcatenada!$B:$B=BI$1), 0)), 1))),  0.5, 0))</f>
        <v>0</v>
      </c>
      <c r="BJ26" s="47">
        <f t="array" ref="BJ26">IF(AND(ISNUMBER(MATCH(BJ$2, AsistenciaJetAdminConcatenada!$A:$A, 0)), ISNUMBER(MATCH(BJ$1, AsistenciaJetAdminConcatenada!$B:$B, 0)), ISNUMBER(SEARCH($A26,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ISNUMBER(SEARCH($A26, INDEX(AsistenciaJetAdminConcatenada!$D:$D, MATCH(1, (AsistenciaJetAdminConcatenada!$A:$A=BJ$2)*(AsistenciaJetAdminConcatenada!$B:$B=BJ$1), 0)), 1))),  0.5, 0))</f>
        <v>0</v>
      </c>
      <c r="BK26" s="47">
        <f t="array" ref="BK26">IF(AND(ISNUMBER(MATCH(BK$2, AsistenciaJetAdminConcatenada!$A:$A, 0)), ISNUMBER(MATCH(BK$1, AsistenciaJetAdminConcatenada!$B:$B, 0)), ISNUMBER(SEARCH($A26,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ISNUMBER(SEARCH($A26, INDEX(AsistenciaJetAdminConcatenada!$D:$D, MATCH(1, (AsistenciaJetAdminConcatenada!$A:$A=BK$2)*(AsistenciaJetAdminConcatenada!$B:$B=BK$1), 0)), 1))),  0.5, 0))</f>
        <v>0</v>
      </c>
      <c r="BL26" s="47">
        <f t="array" ref="BL26">IF(AND(ISNUMBER(MATCH(BL$2, AsistenciaJetAdminConcatenada!$A:$A, 0)), ISNUMBER(MATCH(BL$1, AsistenciaJetAdminConcatenada!$B:$B, 0)), ISNUMBER(SEARCH($A26,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ISNUMBER(SEARCH($A26, INDEX(AsistenciaJetAdminConcatenada!$D:$D, MATCH(1, (AsistenciaJetAdminConcatenada!$A:$A=BL$2)*(AsistenciaJetAdminConcatenada!$B:$B=BL$1), 0)), 1))),  0.5, 0))</f>
        <v>0</v>
      </c>
      <c r="BM26" s="47">
        <f t="array" ref="BM26">IF(AND(ISNUMBER(MATCH(BM$2, AsistenciaJetAdminConcatenada!$A:$A, 0)), ISNUMBER(MATCH(BM$1, AsistenciaJetAdminConcatenada!$B:$B, 0)), ISNUMBER(SEARCH($A26,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ISNUMBER(SEARCH($A26, INDEX(AsistenciaJetAdminConcatenada!$D:$D, MATCH(1, (AsistenciaJetAdminConcatenada!$A:$A=BM$2)*(AsistenciaJetAdminConcatenada!$B:$B=BM$1), 0)), 1))),  0.5, 0))</f>
        <v>1</v>
      </c>
      <c r="BN26" s="47">
        <f t="array" ref="BN26">IF(AND(ISNUMBER(MATCH(BN$2, AsistenciaJetAdminConcatenada!$A:$A, 0)), ISNUMBER(MATCH(BN$1, AsistenciaJetAdminConcatenada!$B:$B, 0)), ISNUMBER(SEARCH($A26,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ISNUMBER(SEARCH($A26, INDEX(AsistenciaJetAdminConcatenada!$D:$D, MATCH(1, (AsistenciaJetAdminConcatenada!$A:$A=BN$2)*(AsistenciaJetAdminConcatenada!$B:$B=BN$1), 0)), 1))),  0.5, 0))</f>
        <v>0</v>
      </c>
      <c r="BO26" s="47">
        <f t="array" ref="BO26">IF(AND(ISNUMBER(MATCH(BO$2, AsistenciaJetAdminConcatenada!$A:$A, 0)), ISNUMBER(MATCH(BO$1, AsistenciaJetAdminConcatenada!$B:$B, 0)), ISNUMBER(SEARCH($A26,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ISNUMBER(SEARCH($A26, INDEX(AsistenciaJetAdminConcatenada!$D:$D, MATCH(1, (AsistenciaJetAdminConcatenada!$A:$A=BO$2)*(AsistenciaJetAdminConcatenada!$B:$B=BO$1), 0)), 1))),  0.5, 0))</f>
        <v>0</v>
      </c>
      <c r="BP26" s="47">
        <f t="array" ref="BP26">IF(AND(ISNUMBER(MATCH(BP$2, AsistenciaJetAdminConcatenada!$A:$A, 0)), ISNUMBER(MATCH(BP$1, AsistenciaJetAdminConcatenada!$B:$B, 0)), ISNUMBER(SEARCH($A26,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ISNUMBER(SEARCH($A26, INDEX(AsistenciaJetAdminConcatenada!$D:$D, MATCH(1, (AsistenciaJetAdminConcatenada!$A:$A=BP$2)*(AsistenciaJetAdminConcatenada!$B:$B=BP$1), 0)), 1))),  0.5, 0))</f>
        <v>0</v>
      </c>
      <c r="BQ26" s="47">
        <f t="array" ref="BQ26">IF(AND(ISNUMBER(MATCH(BQ$2, AsistenciaJetAdminConcatenada!$A:$A, 0)), ISNUMBER(MATCH(BQ$1, AsistenciaJetAdminConcatenada!$B:$B, 0)), ISNUMBER(SEARCH($A26,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ISNUMBER(SEARCH($A26, INDEX(AsistenciaJetAdminConcatenada!$D:$D, MATCH(1, (AsistenciaJetAdminConcatenada!$A:$A=BQ$2)*(AsistenciaJetAdminConcatenada!$B:$B=BQ$1), 0)), 1))),  0.5, 0))</f>
        <v>0</v>
      </c>
      <c r="BR26" s="47">
        <f t="array" ref="BR26">IF(AND(ISNUMBER(MATCH(BR$2, AsistenciaJetAdminConcatenada!$A:$A, 0)), ISNUMBER(MATCH(BR$1, AsistenciaJetAdminConcatenada!$B:$B, 0)), ISNUMBER(SEARCH($A26,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ISNUMBER(SEARCH($A26, INDEX(AsistenciaJetAdminConcatenada!$D:$D, MATCH(1, (AsistenciaJetAdminConcatenada!$A:$A=BR$2)*(AsistenciaJetAdminConcatenada!$B:$B=BR$1), 0)), 1))),  0.5, 0))</f>
        <v>1</v>
      </c>
      <c r="BS26" s="47">
        <f t="array" ref="BS26">IF(AND(ISNUMBER(MATCH(BS$2, AsistenciaJetAdminConcatenada!$A:$A, 0)), ISNUMBER(MATCH(BS$1, AsistenciaJetAdminConcatenada!$B:$B, 0)), ISNUMBER(SEARCH($A26,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ISNUMBER(SEARCH($A26, INDEX(AsistenciaJetAdminConcatenada!$D:$D, MATCH(1, (AsistenciaJetAdminConcatenada!$A:$A=BS$2)*(AsistenciaJetAdminConcatenada!$B:$B=BS$1), 0)), 1))),  0.5, 0))</f>
        <v>0</v>
      </c>
      <c r="BT26" s="47">
        <f t="array" ref="BT26">IF(AND(ISNUMBER(MATCH(BT$2, AsistenciaJetAdminConcatenada!$A:$A, 0)), ISNUMBER(MATCH(BT$1, AsistenciaJetAdminConcatenada!$B:$B, 0)), ISNUMBER(SEARCH($A26,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ISNUMBER(SEARCH($A26, INDEX(AsistenciaJetAdminConcatenada!$D:$D, MATCH(1, (AsistenciaJetAdminConcatenada!$A:$A=BT$2)*(AsistenciaJetAdminConcatenada!$B:$B=BT$1), 0)), 1))),  0.5, 0))</f>
        <v>0</v>
      </c>
      <c r="BU26" s="47">
        <f t="array" ref="BU26">IF(AND(ISNUMBER(MATCH(BU$2, AsistenciaJetAdminConcatenada!$A:$A, 0)), ISNUMBER(MATCH(BU$1, AsistenciaJetAdminConcatenada!$B:$B, 0)), ISNUMBER(SEARCH($A26,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ISNUMBER(SEARCH($A26, INDEX(AsistenciaJetAdminConcatenada!$D:$D, MATCH(1, (AsistenciaJetAdminConcatenada!$A:$A=BU$2)*(AsistenciaJetAdminConcatenada!$B:$B=BU$1), 0)), 1))),  0.5, 0))</f>
        <v>0</v>
      </c>
      <c r="BV26" s="47">
        <f t="array" ref="BV26">IF(AND(ISNUMBER(MATCH(BV$2, AsistenciaJetAdminConcatenada!$A:$A, 0)), ISNUMBER(MATCH(BV$1, AsistenciaJetAdminConcatenada!$B:$B, 0)), ISNUMBER(SEARCH($A26,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ISNUMBER(SEARCH($A26, INDEX(AsistenciaJetAdminConcatenada!$D:$D, MATCH(1, (AsistenciaJetAdminConcatenada!$A:$A=BV$2)*(AsistenciaJetAdminConcatenada!$B:$B=BV$1), 0)), 1))),  0.5, 0))</f>
        <v>0</v>
      </c>
      <c r="BW26" s="47">
        <f t="array" ref="BW26">IF(AND(ISNUMBER(MATCH(BW$2, AsistenciaJetAdminConcatenada!$A:$A, 0)), ISNUMBER(MATCH(BW$1, AsistenciaJetAdminConcatenada!$B:$B, 0)), ISNUMBER(SEARCH($A26,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ISNUMBER(SEARCH($A26, INDEX(AsistenciaJetAdminConcatenada!$D:$D, MATCH(1, (AsistenciaJetAdminConcatenada!$A:$A=BW$2)*(AsistenciaJetAdminConcatenada!$B:$B=BW$1), 0)), 1))),  0.5, 0))</f>
        <v>0</v>
      </c>
      <c r="BX26" s="47">
        <f t="array" ref="BX26">IF(AND(ISNUMBER(MATCH(BX$2, AsistenciaJetAdminConcatenada!$A:$A, 0)), ISNUMBER(MATCH(BX$1, AsistenciaJetAdminConcatenada!$B:$B, 0)), ISNUMBER(SEARCH($A26,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ISNUMBER(SEARCH($A26, INDEX(AsistenciaJetAdminConcatenada!$D:$D, MATCH(1, (AsistenciaJetAdminConcatenada!$A:$A=BX$2)*(AsistenciaJetAdminConcatenada!$B:$B=BX$1), 0)), 1))),  0.5, 0))</f>
        <v>1</v>
      </c>
      <c r="BY26" s="47">
        <f t="array" ref="BY26">IF(AND(ISNUMBER(MATCH(BY$2, AsistenciaJetAdminConcatenada!$A:$A, 0)), ISNUMBER(MATCH(BY$1, AsistenciaJetAdminConcatenada!$B:$B, 0)), ISNUMBER(SEARCH($A26,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ISNUMBER(SEARCH($A26, INDEX(AsistenciaJetAdminConcatenada!$D:$D, MATCH(1, (AsistenciaJetAdminConcatenada!$A:$A=BY$2)*(AsistenciaJetAdminConcatenada!$B:$B=BY$1), 0)), 1))),  0.5, 0))</f>
        <v>0</v>
      </c>
      <c r="BZ26" s="47">
        <f t="array" ref="BZ26">IF(AND(ISNUMBER(MATCH(BZ$2, AsistenciaJetAdminConcatenada!$A:$A, 0)), ISNUMBER(MATCH(BZ$1, AsistenciaJetAdminConcatenada!$B:$B, 0)), ISNUMBER(SEARCH($A26,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ISNUMBER(SEARCH($A26, INDEX(AsistenciaJetAdminConcatenada!$D:$D, MATCH(1, (AsistenciaJetAdminConcatenada!$A:$A=BZ$2)*(AsistenciaJetAdminConcatenada!$B:$B=BZ$1), 0)), 1))),  0.5, 0))</f>
        <v>0</v>
      </c>
      <c r="CA26" s="47">
        <f t="array" ref="CA26">IF(AND(ISNUMBER(MATCH(CA$2, AsistenciaJetAdminConcatenada!$A:$A, 0)), ISNUMBER(MATCH(CA$1, AsistenciaJetAdminConcatenada!$B:$B, 0)), ISNUMBER(SEARCH($A26,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ISNUMBER(SEARCH($A26, INDEX(AsistenciaJetAdminConcatenada!$D:$D, MATCH(1, (AsistenciaJetAdminConcatenada!$A:$A=CA$2)*(AsistenciaJetAdminConcatenada!$B:$B=CA$1), 0)), 1))),  0.5, 0))</f>
        <v>1</v>
      </c>
      <c r="CB26" s="47">
        <f t="array" ref="CB26">IF(AND(ISNUMBER(MATCH(CB$2, AsistenciaJetAdminConcatenada!$A:$A, 0)), ISNUMBER(MATCH(CB$1, AsistenciaJetAdminConcatenada!$B:$B, 0)), ISNUMBER(SEARCH($A26,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ISNUMBER(SEARCH($A26, INDEX(AsistenciaJetAdminConcatenada!$D:$D, MATCH(1, (AsistenciaJetAdminConcatenada!$A:$A=CB$2)*(AsistenciaJetAdminConcatenada!$B:$B=CB$1), 0)), 1))),  0.5, 0))</f>
        <v>0</v>
      </c>
      <c r="CC26" s="47">
        <f t="array" ref="CC26">IF(AND(ISNUMBER(MATCH(CC$2, AsistenciaJetAdminConcatenada!$A:$A, 0)), ISNUMBER(MATCH(CC$1, AsistenciaJetAdminConcatenada!$B:$B, 0)), ISNUMBER(SEARCH($A26,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ISNUMBER(SEARCH($A26, INDEX(AsistenciaJetAdminConcatenada!$D:$D, MATCH(1, (AsistenciaJetAdminConcatenada!$A:$A=CC$2)*(AsistenciaJetAdminConcatenada!$B:$B=CC$1), 0)), 1))),  0.5, 0))</f>
        <v>0</v>
      </c>
      <c r="CD26" s="47">
        <f t="array" ref="CD26">IF(AND(ISNUMBER(MATCH(CD$2, AsistenciaJetAdminConcatenada!$A:$A, 0)), ISNUMBER(MATCH(CD$1, AsistenciaJetAdminConcatenada!$B:$B, 0)), ISNUMBER(SEARCH($A26,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ISNUMBER(SEARCH($A26, INDEX(AsistenciaJetAdminConcatenada!$D:$D, MATCH(1, (AsistenciaJetAdminConcatenada!$A:$A=CD$2)*(AsistenciaJetAdminConcatenada!$B:$B=CD$1), 0)), 1))),  0.5, 0))</f>
        <v>1</v>
      </c>
      <c r="CE26" s="47">
        <f t="array" ref="CE26">IF(AND(ISNUMBER(MATCH(CE$2, AsistenciaJetAdminConcatenada!$A:$A, 0)), ISNUMBER(MATCH(CE$1, AsistenciaJetAdminConcatenada!$B:$B, 0)), ISNUMBER(SEARCH($A26,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ISNUMBER(SEARCH($A26, INDEX(AsistenciaJetAdminConcatenada!$D:$D, MATCH(1, (AsistenciaJetAdminConcatenada!$A:$A=CE$2)*(AsistenciaJetAdminConcatenada!$B:$B=CE$1), 0)), 1))),  0.5, 0))</f>
        <v>0</v>
      </c>
      <c r="CF26" s="47">
        <f t="array" ref="CF26">IF(AND(ISNUMBER(MATCH(CF$2, AsistenciaJetAdminConcatenada!$A:$A, 0)), ISNUMBER(MATCH(CF$1, AsistenciaJetAdminConcatenada!$B:$B, 0)), ISNUMBER(SEARCH($A26,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ISNUMBER(SEARCH($A26, INDEX(AsistenciaJetAdminConcatenada!$D:$D, MATCH(1, (AsistenciaJetAdminConcatenada!$A:$A=CF$2)*(AsistenciaJetAdminConcatenada!$B:$B=CF$1), 0)), 1))),  0.5, 0))</f>
        <v>1</v>
      </c>
      <c r="CG26" s="47">
        <f t="array" ref="CG26">IF(AND(ISNUMBER(MATCH(CG$2, AsistenciaJetAdminConcatenada!$A:$A, 0)), ISNUMBER(MATCH(CG$1, AsistenciaJetAdminConcatenada!$B:$B, 0)), ISNUMBER(SEARCH($A26,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ISNUMBER(SEARCH($A26, INDEX(AsistenciaJetAdminConcatenada!$D:$D, MATCH(1, (AsistenciaJetAdminConcatenada!$A:$A=CG$2)*(AsistenciaJetAdminConcatenada!$B:$B=CG$1), 0)), 1))),  0.5, 0))</f>
        <v>0</v>
      </c>
      <c r="CH26" s="47">
        <f t="array" ref="CH26">IF(AND(ISNUMBER(MATCH(CH$2, AsistenciaJetAdminConcatenada!$A:$A, 0)), ISNUMBER(MATCH(CH$1, AsistenciaJetAdminConcatenada!$B:$B, 0)), ISNUMBER(SEARCH($A26,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ISNUMBER(SEARCH($A26, INDEX(AsistenciaJetAdminConcatenada!$D:$D, MATCH(1, (AsistenciaJetAdminConcatenada!$A:$A=CH$2)*(AsistenciaJetAdminConcatenada!$B:$B=CH$1), 0)), 1))),  0.5, 0))</f>
        <v>0</v>
      </c>
      <c r="CI26" s="47">
        <f t="array" ref="CI26">IF(AND(ISNUMBER(MATCH(CI$2, AsistenciaJetAdminConcatenada!$A:$A, 0)), ISNUMBER(MATCH(CI$1, AsistenciaJetAdminConcatenada!$B:$B, 0)), ISNUMBER(SEARCH($A26,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ISNUMBER(SEARCH($A26, INDEX(AsistenciaJetAdminConcatenada!$D:$D, MATCH(1, (AsistenciaJetAdminConcatenada!$A:$A=CI$2)*(AsistenciaJetAdminConcatenada!$B:$B=CI$1), 0)), 1))),  0.5, 0))</f>
        <v>0</v>
      </c>
      <c r="CJ26" s="47">
        <f t="array" ref="CJ26">IF(AND(ISNUMBER(MATCH(CJ$2, AsistenciaJetAdminConcatenada!$A:$A, 0)), ISNUMBER(MATCH(CJ$1, AsistenciaJetAdminConcatenada!$B:$B, 0)), ISNUMBER(SEARCH($A26,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ISNUMBER(SEARCH($A26, INDEX(AsistenciaJetAdminConcatenada!$D:$D, MATCH(1, (AsistenciaJetAdminConcatenada!$A:$A=CJ$2)*(AsistenciaJetAdminConcatenada!$B:$B=CJ$1), 0)), 1))),  0.5, 0))</f>
        <v>0</v>
      </c>
      <c r="CK26" s="47">
        <f t="array" ref="CK26">IF(AND(ISNUMBER(MATCH(CK$2, AsistenciaJetAdminConcatenada!$A:$A, 0)), ISNUMBER(MATCH(CK$1, AsistenciaJetAdminConcatenada!$B:$B, 0)), ISNUMBER(SEARCH($A26,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ISNUMBER(SEARCH($A26, INDEX(AsistenciaJetAdminConcatenada!$D:$D, MATCH(1, (AsistenciaJetAdminConcatenada!$A:$A=CK$2)*(AsistenciaJetAdminConcatenada!$B:$B=CK$1), 0)), 1))),  0.5, 0))</f>
        <v>0</v>
      </c>
      <c r="CL26" s="47">
        <f t="array" ref="CL26">IF(AND(ISNUMBER(MATCH(CL$2, AsistenciaJetAdminConcatenada!$A:$A, 0)), ISNUMBER(MATCH(CL$1, AsistenciaJetAdminConcatenada!$B:$B, 0)), ISNUMBER(SEARCH($A26,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ISNUMBER(SEARCH($A26, INDEX(AsistenciaJetAdminConcatenada!$D:$D, MATCH(1, (AsistenciaJetAdminConcatenada!$A:$A=CL$2)*(AsistenciaJetAdminConcatenada!$B:$B=CL$1), 0)), 1))),  0.5, 0))</f>
        <v>1</v>
      </c>
      <c r="CM26" s="47">
        <f t="array" ref="CM26">IF(AND(ISNUMBER(MATCH(CM$2, AsistenciaJetAdminConcatenada!$A:$A, 0)), ISNUMBER(MATCH(CM$1, AsistenciaJetAdminConcatenada!$B:$B, 0)), ISNUMBER(SEARCH($A26,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ISNUMBER(SEARCH($A26, INDEX(AsistenciaJetAdminConcatenada!$D:$D, MATCH(1, (AsistenciaJetAdminConcatenada!$A:$A=CM$2)*(AsistenciaJetAdminConcatenada!$B:$B=CM$1), 0)), 1))),  0.5, 0))</f>
        <v>0</v>
      </c>
      <c r="CN26" s="47">
        <f t="array" ref="CN26">IF(AND(ISNUMBER(MATCH(CN$2, AsistenciaJetAdminConcatenada!$A:$A, 0)), ISNUMBER(MATCH(CN$1, AsistenciaJetAdminConcatenada!$B:$B, 0)), ISNUMBER(SEARCH($A26,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ISNUMBER(SEARCH($A26, INDEX(AsistenciaJetAdminConcatenada!$D:$D, MATCH(1, (AsistenciaJetAdminConcatenada!$A:$A=CN$2)*(AsistenciaJetAdminConcatenada!$B:$B=CN$1), 0)), 1))),  0.5, 0))</f>
        <v>0</v>
      </c>
      <c r="CO26" s="47">
        <f t="array" ref="CO26">IF(AND(ISNUMBER(MATCH(CO$2, AsistenciaJetAdminConcatenada!$A:$A, 0)), ISNUMBER(MATCH(CO$1, AsistenciaJetAdminConcatenada!$B:$B, 0)), ISNUMBER(SEARCH($A26,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ISNUMBER(SEARCH($A26, INDEX(AsistenciaJetAdminConcatenada!$D:$D, MATCH(1, (AsistenciaJetAdminConcatenada!$A:$A=CO$2)*(AsistenciaJetAdminConcatenada!$B:$B=CO$1), 0)), 1))),  0.5, 0))</f>
        <v>1</v>
      </c>
      <c r="CP26" s="47">
        <f t="array" ref="CP26">IF(AND(ISNUMBER(MATCH(CP$2, AsistenciaJetAdminConcatenada!$A:$A, 0)), ISNUMBER(MATCH(CP$1, AsistenciaJetAdminConcatenada!$B:$B, 0)), ISNUMBER(SEARCH($A26,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ISNUMBER(SEARCH($A26, INDEX(AsistenciaJetAdminConcatenada!$D:$D, MATCH(1, (AsistenciaJetAdminConcatenada!$A:$A=CP$2)*(AsistenciaJetAdminConcatenada!$B:$B=CP$1), 0)), 1))),  0.5, 0))</f>
        <v>0</v>
      </c>
      <c r="CQ26" s="47">
        <f t="array" ref="CQ26">IF(AND(ISNUMBER(MATCH(CQ$2, AsistenciaJetAdminConcatenada!$A:$A, 0)), ISNUMBER(MATCH(CQ$1, AsistenciaJetAdminConcatenada!$B:$B, 0)), ISNUMBER(SEARCH($A26,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ISNUMBER(SEARCH($A26, INDEX(AsistenciaJetAdminConcatenada!$D:$D, MATCH(1, (AsistenciaJetAdminConcatenada!$A:$A=CQ$2)*(AsistenciaJetAdminConcatenada!$B:$B=CQ$1), 0)), 1))),  0.5, 0))</f>
        <v>0</v>
      </c>
      <c r="CR26" s="47">
        <f t="array" ref="CR26">IF(AND(ISNUMBER(MATCH(CR$2, AsistenciaJetAdminConcatenada!$A:$A, 0)), ISNUMBER(MATCH(CR$1, AsistenciaJetAdminConcatenada!$B:$B, 0)), ISNUMBER(SEARCH($A26,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ISNUMBER(SEARCH($A26, INDEX(AsistenciaJetAdminConcatenada!$D:$D, MATCH(1, (AsistenciaJetAdminConcatenada!$A:$A=CR$2)*(AsistenciaJetAdminConcatenada!$B:$B=CR$1), 0)), 1))),  0.5, 0))</f>
        <v>0</v>
      </c>
      <c r="CS26" s="47">
        <f t="array" ref="CS26">IF(AND(ISNUMBER(MATCH(CS$2, AsistenciaJetAdminConcatenada!$A:$A, 0)), ISNUMBER(MATCH(CS$1, AsistenciaJetAdminConcatenada!$B:$B, 0)), ISNUMBER(SEARCH($A26,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ISNUMBER(SEARCH($A26, INDEX(AsistenciaJetAdminConcatenada!$D:$D, MATCH(1, (AsistenciaJetAdminConcatenada!$A:$A=CS$2)*(AsistenciaJetAdminConcatenada!$B:$B=CS$1), 0)), 1))),  0.5, 0))</f>
        <v>0</v>
      </c>
      <c r="CT26" s="47">
        <f t="array" ref="CT26">IF(AND(ISNUMBER(MATCH(CT$2, AsistenciaJetAdminConcatenada!$A:$A, 0)), ISNUMBER(MATCH(CT$1, AsistenciaJetAdminConcatenada!$B:$B, 0)), ISNUMBER(SEARCH($A26,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ISNUMBER(SEARCH($A26, INDEX(AsistenciaJetAdminConcatenada!$D:$D, MATCH(1, (AsistenciaJetAdminConcatenada!$A:$A=CT$2)*(AsistenciaJetAdminConcatenada!$B:$B=CT$1), 0)), 1))),  0.5, 0))</f>
        <v>0</v>
      </c>
      <c r="CU26" s="47">
        <f t="array" ref="CU26">IF(AND(ISNUMBER(MATCH(CU$2, AsistenciaJetAdminConcatenada!$A:$A, 0)), ISNUMBER(MATCH(CU$1, AsistenciaJetAdminConcatenada!$B:$B, 0)), ISNUMBER(SEARCH($A26,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ISNUMBER(SEARCH($A26, INDEX(AsistenciaJetAdminConcatenada!$D:$D, MATCH(1, (AsistenciaJetAdminConcatenada!$A:$A=CU$2)*(AsistenciaJetAdminConcatenada!$B:$B=CU$1), 0)), 1))),  0.5, 0))</f>
        <v>0</v>
      </c>
      <c r="CV26" s="47">
        <f t="array" ref="CV26">IF(AND(ISNUMBER(MATCH(CV$2, AsistenciaJetAdminConcatenada!$A:$A, 0)), ISNUMBER(MATCH(CV$1, AsistenciaJetAdminConcatenada!$B:$B, 0)), ISNUMBER(SEARCH($A26,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ISNUMBER(SEARCH($A26, INDEX(AsistenciaJetAdminConcatenada!$D:$D, MATCH(1, (AsistenciaJetAdminConcatenada!$A:$A=CV$2)*(AsistenciaJetAdminConcatenada!$B:$B=CV$1), 0)), 1))),  0.5, 0))</f>
        <v>0</v>
      </c>
      <c r="CW26" s="47">
        <f t="array" ref="CW26">IF(AND(ISNUMBER(MATCH(CW$2, AsistenciaJetAdminConcatenada!$A:$A, 0)), ISNUMBER(MATCH(CW$1, AsistenciaJetAdminConcatenada!$B:$B, 0)), ISNUMBER(SEARCH($A26,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ISNUMBER(SEARCH($A26, INDEX(AsistenciaJetAdminConcatenada!$D:$D, MATCH(1, (AsistenciaJetAdminConcatenada!$A:$A=CW$2)*(AsistenciaJetAdminConcatenada!$B:$B=CW$1), 0)), 1))),  0.5, 0))</f>
        <v>0</v>
      </c>
      <c r="CX26" s="47">
        <f t="array" ref="CX26">IF(AND(ISNUMBER(MATCH(CX$2, AsistenciaJetAdminConcatenada!$A:$A, 0)), ISNUMBER(MATCH(CX$1, AsistenciaJetAdminConcatenada!$B:$B, 0)), ISNUMBER(SEARCH($A26,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ISNUMBER(SEARCH($A26, INDEX(AsistenciaJetAdminConcatenada!$D:$D, MATCH(1, (AsistenciaJetAdminConcatenada!$A:$A=CX$2)*(AsistenciaJetAdminConcatenada!$B:$B=CX$1), 0)), 1))),  0.5, 0))</f>
        <v>0</v>
      </c>
      <c r="CY26" s="47">
        <f t="array" ref="CY26">IF(AND(ISNUMBER(MATCH(CY$2, AsistenciaJetAdminConcatenada!$A:$A, 0)), ISNUMBER(MATCH(CY$1, AsistenciaJetAdminConcatenada!$B:$B, 0)), ISNUMBER(SEARCH($A26,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ISNUMBER(SEARCH($A26, INDEX(AsistenciaJetAdminConcatenada!$D:$D, MATCH(1, (AsistenciaJetAdminConcatenada!$A:$A=CY$2)*(AsistenciaJetAdminConcatenada!$B:$B=CY$1), 0)), 1))),  0.5, 0))</f>
        <v>0</v>
      </c>
      <c r="CZ26" s="47">
        <f t="array" ref="CZ26">IF(AND(ISNUMBER(MATCH(CZ$2, AsistenciaJetAdminConcatenada!$A:$A, 0)), ISNUMBER(MATCH(CZ$1, AsistenciaJetAdminConcatenada!$B:$B, 0)), ISNUMBER(SEARCH($A26,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ISNUMBER(SEARCH($A26, INDEX(AsistenciaJetAdminConcatenada!$D:$D, MATCH(1, (AsistenciaJetAdminConcatenada!$A:$A=CZ$2)*(AsistenciaJetAdminConcatenada!$B:$B=CZ$1), 0)), 1))),  0.5, 0))</f>
        <v>0</v>
      </c>
      <c r="DA26" s="47">
        <f t="array" ref="DA26">IF(AND(ISNUMBER(MATCH(DA$2, AsistenciaJetAdminConcatenada!$A:$A, 0)), ISNUMBER(MATCH(DA$1, AsistenciaJetAdminConcatenada!$B:$B, 0)), ISNUMBER(SEARCH($A26,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ISNUMBER(SEARCH($A26, INDEX(AsistenciaJetAdminConcatenada!$D:$D, MATCH(1, (AsistenciaJetAdminConcatenada!$A:$A=DA$2)*(AsistenciaJetAdminConcatenada!$B:$B=DA$1), 0)), 1))),  0.5, 0))</f>
        <v>0</v>
      </c>
      <c r="DB26" s="47">
        <f t="array" ref="DB26">IF(AND(ISNUMBER(MATCH(DB$2, AsistenciaJetAdminConcatenada!$A:$A, 0)), ISNUMBER(MATCH(DB$1, AsistenciaJetAdminConcatenada!$B:$B, 0)), ISNUMBER(SEARCH($A26,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ISNUMBER(SEARCH($A26, INDEX(AsistenciaJetAdminConcatenada!$D:$D, MATCH(1, (AsistenciaJetAdminConcatenada!$A:$A=DB$2)*(AsistenciaJetAdminConcatenada!$B:$B=DB$1), 0)), 1))),  0.5, 0))</f>
        <v>0</v>
      </c>
      <c r="DC26" s="47">
        <f t="array" ref="DC26">IF(AND(ISNUMBER(MATCH(DC$2, AsistenciaJetAdminConcatenada!$A:$A, 0)), ISNUMBER(MATCH(DC$1, AsistenciaJetAdminConcatenada!$B:$B, 0)), ISNUMBER(SEARCH($A26,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ISNUMBER(SEARCH($A26, INDEX(AsistenciaJetAdminConcatenada!$D:$D, MATCH(1, (AsistenciaJetAdminConcatenada!$A:$A=DC$2)*(AsistenciaJetAdminConcatenada!$B:$B=DC$1), 0)), 1))),  0.5, 0))</f>
        <v>0</v>
      </c>
      <c r="DD26" s="47">
        <f t="array" ref="DD26">IF(AND(ISNUMBER(MATCH(DD$2, AsistenciaJetAdminConcatenada!$A:$A, 0)), ISNUMBER(MATCH(DD$1, AsistenciaJetAdminConcatenada!$B:$B, 0)), ISNUMBER(SEARCH($A26,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ISNUMBER(SEARCH($A26, INDEX(AsistenciaJetAdminConcatenada!$D:$D, MATCH(1, (AsistenciaJetAdminConcatenada!$A:$A=DD$2)*(AsistenciaJetAdminConcatenada!$B:$B=DD$1), 0)), 1))),  0.5, 0))</f>
        <v>0</v>
      </c>
      <c r="DE26" s="47">
        <f t="array" ref="DE26">IF(AND(ISNUMBER(MATCH(DE$2, AsistenciaJetAdminConcatenada!$A:$A, 0)), ISNUMBER(MATCH(DE$1, AsistenciaJetAdminConcatenada!$B:$B, 0)), ISNUMBER(SEARCH($A26,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ISNUMBER(SEARCH($A26, INDEX(AsistenciaJetAdminConcatenada!$D:$D, MATCH(1, (AsistenciaJetAdminConcatenada!$A:$A=DE$2)*(AsistenciaJetAdminConcatenada!$B:$B=DE$1), 0)), 1))),  0.5, 0))</f>
        <v>0</v>
      </c>
      <c r="DF26" s="47">
        <f t="array" ref="DF26">IF(AND(ISNUMBER(MATCH(DF$2, AsistenciaJetAdminConcatenada!$A:$A, 0)), ISNUMBER(MATCH(DF$1, AsistenciaJetAdminConcatenada!$B:$B, 0)), ISNUMBER(SEARCH($A26,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ISNUMBER(SEARCH($A26, INDEX(AsistenciaJetAdminConcatenada!$D:$D, MATCH(1, (AsistenciaJetAdminConcatenada!$A:$A=DF$2)*(AsistenciaJetAdminConcatenada!$B:$B=DF$1), 0)), 1))),  0.5, 0))</f>
        <v>0</v>
      </c>
      <c r="DG26" s="47">
        <f t="array" ref="DG26">IF(AND(ISNUMBER(MATCH(DG$2, AsistenciaJetAdminConcatenada!$A:$A, 0)), ISNUMBER(MATCH(DG$1, AsistenciaJetAdminConcatenada!$B:$B, 0)), ISNUMBER(SEARCH($A26,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ISNUMBER(SEARCH($A26, INDEX(AsistenciaJetAdminConcatenada!$D:$D, MATCH(1, (AsistenciaJetAdminConcatenada!$A:$A=DG$2)*(AsistenciaJetAdminConcatenada!$B:$B=DG$1), 0)), 1))),  0.5, 0))</f>
        <v>0</v>
      </c>
      <c r="DH26" s="47">
        <f t="array" ref="DH26">IF(AND(ISNUMBER(MATCH(DH$2, AsistenciaJetAdminConcatenada!$A:$A, 0)), ISNUMBER(MATCH(DH$1, AsistenciaJetAdminConcatenada!$B:$B, 0)), ISNUMBER(SEARCH($A26,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ISNUMBER(SEARCH($A26, INDEX(AsistenciaJetAdminConcatenada!$D:$D, MATCH(1, (AsistenciaJetAdminConcatenada!$A:$A=DH$2)*(AsistenciaJetAdminConcatenada!$B:$B=DH$1), 0)), 1))),  0.5, 0))</f>
        <v>0</v>
      </c>
      <c r="DI26" s="47">
        <f t="array" ref="DI26">IF(AND(ISNUMBER(MATCH(DI$2, AsistenciaJetAdminConcatenada!$A:$A, 0)), ISNUMBER(MATCH(DI$1, AsistenciaJetAdminConcatenada!$B:$B, 0)), ISNUMBER(SEARCH($A26,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ISNUMBER(SEARCH($A26, INDEX(AsistenciaJetAdminConcatenada!$D:$D, MATCH(1, (AsistenciaJetAdminConcatenada!$A:$A=DI$2)*(AsistenciaJetAdminConcatenada!$B:$B=DI$1), 0)), 1))),  0.5, 0))</f>
        <v>0</v>
      </c>
      <c r="DJ26" s="47">
        <f t="array" ref="DJ26">IF(AND(ISNUMBER(MATCH(DJ$2, AsistenciaJetAdminConcatenada!$A:$A, 0)), ISNUMBER(MATCH(DJ$1, AsistenciaJetAdminConcatenada!$B:$B, 0)), ISNUMBER(SEARCH($A26,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ISNUMBER(SEARCH($A26, INDEX(AsistenciaJetAdminConcatenada!$D:$D, MATCH(1, (AsistenciaJetAdminConcatenada!$A:$A=DJ$2)*(AsistenciaJetAdminConcatenada!$B:$B=DJ$1), 0)), 1))),  0.5, 0))</f>
        <v>0</v>
      </c>
      <c r="DK26" s="47">
        <f t="array" ref="DK26">IF(AND(ISNUMBER(MATCH(DK$2, AsistenciaJetAdminConcatenada!$A:$A, 0)), ISNUMBER(MATCH(DK$1, AsistenciaJetAdminConcatenada!$B:$B, 0)), ISNUMBER(SEARCH($A26,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ISNUMBER(SEARCH($A26, INDEX(AsistenciaJetAdminConcatenada!$D:$D, MATCH(1, (AsistenciaJetAdminConcatenada!$A:$A=DK$2)*(AsistenciaJetAdminConcatenada!$B:$B=DK$1), 0)), 1))),  0.5, 0))</f>
        <v>0</v>
      </c>
      <c r="DL26" s="47">
        <f t="array" ref="DL26">IF(AND(ISNUMBER(MATCH(DL$2, AsistenciaJetAdminConcatenada!$A:$A, 0)), ISNUMBER(MATCH(DL$1, AsistenciaJetAdminConcatenada!$B:$B, 0)), ISNUMBER(SEARCH($A26,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ISNUMBER(SEARCH($A26, INDEX(AsistenciaJetAdminConcatenada!$D:$D, MATCH(1, (AsistenciaJetAdminConcatenada!$A:$A=DL$2)*(AsistenciaJetAdminConcatenada!$B:$B=DL$1), 0)), 1))),  0.5, 0))</f>
        <v>0</v>
      </c>
      <c r="DM26" s="47">
        <f t="array" ref="DM26">IF(AND(ISNUMBER(MATCH(DM$2, AsistenciaJetAdminConcatenada!$A:$A, 0)), ISNUMBER(MATCH(DM$1, AsistenciaJetAdminConcatenada!$B:$B, 0)), ISNUMBER(SEARCH($A26,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ISNUMBER(SEARCH($A26, INDEX(AsistenciaJetAdminConcatenada!$D:$D, MATCH(1, (AsistenciaJetAdminConcatenada!$A:$A=DM$2)*(AsistenciaJetAdminConcatenada!$B:$B=DM$1), 0)), 1))),  0.5, 0))</f>
        <v>0</v>
      </c>
      <c r="DN26" s="47">
        <f t="array" ref="DN26">IF(AND(ISNUMBER(MATCH(DN$2, AsistenciaJetAdminConcatenada!$A:$A, 0)), ISNUMBER(MATCH(DN$1, AsistenciaJetAdminConcatenada!$B:$B, 0)), ISNUMBER(SEARCH($A26,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ISNUMBER(SEARCH($A26, INDEX(AsistenciaJetAdminConcatenada!$D:$D, MATCH(1, (AsistenciaJetAdminConcatenada!$A:$A=DN$2)*(AsistenciaJetAdminConcatenada!$B:$B=DN$1), 0)), 1))),  0.5, 0))</f>
        <v>0</v>
      </c>
      <c r="DO26" s="47">
        <f t="array" ref="DO26">IF(AND(ISNUMBER(MATCH(DO$2, AsistenciaJetAdminConcatenada!$A:$A, 0)), ISNUMBER(MATCH(DO$1, AsistenciaJetAdminConcatenada!$B:$B, 0)), ISNUMBER(SEARCH($A26,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ISNUMBER(SEARCH($A26, INDEX(AsistenciaJetAdminConcatenada!$D:$D, MATCH(1, (AsistenciaJetAdminConcatenada!$A:$A=DO$2)*(AsistenciaJetAdminConcatenada!$B:$B=DO$1), 0)), 1))),  0.5, 0))</f>
        <v>0</v>
      </c>
      <c r="DP26" s="47">
        <f t="array" ref="DP26">IF(AND(ISNUMBER(MATCH(DP$2, AsistenciaJetAdminConcatenada!$A:$A, 0)), ISNUMBER(MATCH(DP$1, AsistenciaJetAdminConcatenada!$B:$B, 0)), ISNUMBER(SEARCH($A26,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ISNUMBER(SEARCH($A26, INDEX(AsistenciaJetAdminConcatenada!$D:$D, MATCH(1, (AsistenciaJetAdminConcatenada!$A:$A=DP$2)*(AsistenciaJetAdminConcatenada!$B:$B=DP$1), 0)), 1))),  0.5, 0))</f>
        <v>0</v>
      </c>
      <c r="DQ26" s="47">
        <f t="array" ref="DQ26">IF(AND(ISNUMBER(MATCH(DQ$2, AsistenciaJetAdminConcatenada!$A:$A, 0)), ISNUMBER(MATCH(DQ$1, AsistenciaJetAdminConcatenada!$B:$B, 0)), ISNUMBER(SEARCH($A26,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ISNUMBER(SEARCH($A26, INDEX(AsistenciaJetAdminConcatenada!$D:$D, MATCH(1, (AsistenciaJetAdminConcatenada!$A:$A=DQ$2)*(AsistenciaJetAdminConcatenada!$B:$B=DQ$1), 0)), 1))),  0.5, 0))</f>
        <v>0</v>
      </c>
      <c r="DR26" s="47">
        <f t="array" ref="DR26">IF(AND(ISNUMBER(MATCH(DR$2, AsistenciaJetAdminConcatenada!$A:$A, 0)), ISNUMBER(MATCH(DR$1, AsistenciaJetAdminConcatenada!$B:$B, 0)), ISNUMBER(SEARCH($A26,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ISNUMBER(SEARCH($A26, INDEX(AsistenciaJetAdminConcatenada!$D:$D, MATCH(1, (AsistenciaJetAdminConcatenada!$A:$A=DR$2)*(AsistenciaJetAdminConcatenada!$B:$B=DR$1), 0)), 1))),  0.5, 0))</f>
        <v>0</v>
      </c>
      <c r="DS26" s="47">
        <f t="array" ref="DS26">IF(AND(ISNUMBER(MATCH(DS$2, AsistenciaJetAdminConcatenada!$A:$A, 0)), ISNUMBER(MATCH(DS$1, AsistenciaJetAdminConcatenada!$B:$B, 0)), ISNUMBER(SEARCH($A26,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ISNUMBER(SEARCH($A26, INDEX(AsistenciaJetAdminConcatenada!$D:$D, MATCH(1, (AsistenciaJetAdminConcatenada!$A:$A=DS$2)*(AsistenciaJetAdminConcatenada!$B:$B=DS$1), 0)), 1))),  0.5, 0))</f>
        <v>0</v>
      </c>
      <c r="DT26" s="47">
        <f t="array" ref="DT26">IF(AND(ISNUMBER(MATCH(DT$2, AsistenciaJetAdminConcatenada!$A:$A, 0)), ISNUMBER(MATCH(DT$1, AsistenciaJetAdminConcatenada!$B:$B, 0)), ISNUMBER(SEARCH($A26,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ISNUMBER(SEARCH($A26, INDEX(AsistenciaJetAdminConcatenada!$D:$D, MATCH(1, (AsistenciaJetAdminConcatenada!$A:$A=DT$2)*(AsistenciaJetAdminConcatenada!$B:$B=DT$1), 0)), 1))),  0.5, 0))</f>
        <v>0</v>
      </c>
      <c r="DU26" s="47">
        <f t="array" ref="DU26">IF(AND(ISNUMBER(MATCH(DU$2, AsistenciaJetAdminConcatenada!$A:$A, 0)), ISNUMBER(MATCH(DU$1, AsistenciaJetAdminConcatenada!$B:$B, 0)), ISNUMBER(SEARCH($A26,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ISNUMBER(SEARCH($A26, INDEX(AsistenciaJetAdminConcatenada!$D:$D, MATCH(1, (AsistenciaJetAdminConcatenada!$A:$A=DU$2)*(AsistenciaJetAdminConcatenada!$B:$B=DU$1), 0)), 1))),  0.5, 0))</f>
        <v>0</v>
      </c>
      <c r="DV26" s="47">
        <f t="array" ref="DV26">IF(AND(ISNUMBER(MATCH(DV$2, AsistenciaJetAdminConcatenada!$A:$A, 0)), ISNUMBER(MATCH(DV$1, AsistenciaJetAdminConcatenada!$B:$B, 0)), ISNUMBER(SEARCH($A26,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ISNUMBER(SEARCH($A26, INDEX(AsistenciaJetAdminConcatenada!$D:$D, MATCH(1, (AsistenciaJetAdminConcatenada!$A:$A=DV$2)*(AsistenciaJetAdminConcatenada!$B:$B=DV$1), 0)), 1))),  0.5, 0))</f>
        <v>0</v>
      </c>
      <c r="DW26" s="47">
        <f t="array" ref="DW26">IF(AND(ISNUMBER(MATCH(DW$2, AsistenciaJetAdminConcatenada!$A:$A, 0)), ISNUMBER(MATCH(DW$1, AsistenciaJetAdminConcatenada!$B:$B, 0)), ISNUMBER(SEARCH($A26,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ISNUMBER(SEARCH($A26, INDEX(AsistenciaJetAdminConcatenada!$D:$D, MATCH(1, (AsistenciaJetAdminConcatenada!$A:$A=DW$2)*(AsistenciaJetAdminConcatenada!$B:$B=DW$1), 0)), 1))),  0.5, 0))</f>
        <v>0</v>
      </c>
      <c r="DX26" s="47">
        <f t="array" ref="DX26">IF(AND(ISNUMBER(MATCH(DX$2, AsistenciaJetAdminConcatenada!$A:$A, 0)), ISNUMBER(MATCH(DX$1, AsistenciaJetAdminConcatenada!$B:$B, 0)), ISNUMBER(SEARCH($A26,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ISNUMBER(SEARCH($A26, INDEX(AsistenciaJetAdminConcatenada!$D:$D, MATCH(1, (AsistenciaJetAdminConcatenada!$A:$A=DX$2)*(AsistenciaJetAdminConcatenada!$B:$B=DX$1), 0)), 1))),  0.5, 0))</f>
        <v>0</v>
      </c>
      <c r="DY26" s="47">
        <f t="array" ref="DY26">IF(AND(ISNUMBER(MATCH(DY$2, AsistenciaJetAdminConcatenada!$A:$A, 0)), ISNUMBER(MATCH(DY$1, AsistenciaJetAdminConcatenada!$B:$B, 0)), ISNUMBER(SEARCH($A26,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ISNUMBER(SEARCH($A26, INDEX(AsistenciaJetAdminConcatenada!$D:$D, MATCH(1, (AsistenciaJetAdminConcatenada!$A:$A=DY$2)*(AsistenciaJetAdminConcatenada!$B:$B=DY$1), 0)), 1))),  0.5, 0))</f>
        <v>0</v>
      </c>
      <c r="DZ26" s="47">
        <f t="array" ref="DZ26">IF(AND(ISNUMBER(MATCH(DZ$2, AsistenciaJetAdminConcatenada!$A:$A, 0)), ISNUMBER(MATCH(DZ$1, AsistenciaJetAdminConcatenada!$B:$B, 0)), ISNUMBER(SEARCH($A26,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ISNUMBER(SEARCH($A26, INDEX(AsistenciaJetAdminConcatenada!$D:$D, MATCH(1, (AsistenciaJetAdminConcatenada!$A:$A=DZ$2)*(AsistenciaJetAdminConcatenada!$B:$B=DZ$1), 0)), 1))),  0.5, 0))</f>
        <v>0</v>
      </c>
      <c r="EA26" s="47">
        <f t="array" ref="EA26">IF(AND(ISNUMBER(MATCH(EA$2, AsistenciaJetAdminConcatenada!$A:$A, 0)), ISNUMBER(MATCH(EA$1, AsistenciaJetAdminConcatenada!$B:$B, 0)), ISNUMBER(SEARCH($A26,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ISNUMBER(SEARCH($A26, INDEX(AsistenciaJetAdminConcatenada!$D:$D, MATCH(1, (AsistenciaJetAdminConcatenada!$A:$A=EA$2)*(AsistenciaJetAdminConcatenada!$B:$B=EA$1), 0)), 1))),  0.5, 0))</f>
        <v>0</v>
      </c>
      <c r="EB26" s="47">
        <f t="array" ref="EB26">IF(AND(ISNUMBER(MATCH(EB$2, AsistenciaJetAdminConcatenada!$A:$A, 0)), ISNUMBER(MATCH(EB$1, AsistenciaJetAdminConcatenada!$B:$B, 0)), ISNUMBER(SEARCH($A26,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ISNUMBER(SEARCH($A26, INDEX(AsistenciaJetAdminConcatenada!$D:$D, MATCH(1, (AsistenciaJetAdminConcatenada!$A:$A=EB$2)*(AsistenciaJetAdminConcatenada!$B:$B=EB$1), 0)), 1))),  0.5, 0))</f>
        <v>0</v>
      </c>
      <c r="EC26" s="47">
        <f t="array" ref="EC26">IF(AND(ISNUMBER(MATCH(EC$2, AsistenciaJetAdminConcatenada!$A:$A, 0)), ISNUMBER(MATCH(EC$1, AsistenciaJetAdminConcatenada!$B:$B, 0)), ISNUMBER(SEARCH($A26,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ISNUMBER(SEARCH($A26, INDEX(AsistenciaJetAdminConcatenada!$D:$D, MATCH(1, (AsistenciaJetAdminConcatenada!$A:$A=EC$2)*(AsistenciaJetAdminConcatenada!$B:$B=EC$1), 0)), 1))),  0.5, 0))</f>
        <v>0</v>
      </c>
      <c r="ED26" s="47">
        <f t="array" ref="ED26">IF(AND(ISNUMBER(MATCH(ED$2, AsistenciaJetAdminConcatenada!$A:$A, 0)), ISNUMBER(MATCH(ED$1, AsistenciaJetAdminConcatenada!$B:$B, 0)), ISNUMBER(SEARCH($A26,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ISNUMBER(SEARCH($A26, INDEX(AsistenciaJetAdminConcatenada!$D:$D, MATCH(1, (AsistenciaJetAdminConcatenada!$A:$A=ED$2)*(AsistenciaJetAdminConcatenada!$B:$B=ED$1), 0)), 1))),  0.5, 0))</f>
        <v>0</v>
      </c>
      <c r="EE26" s="47">
        <f t="array" ref="EE26">IF(AND(ISNUMBER(MATCH(EE$2, AsistenciaJetAdminConcatenada!$A:$A, 0)), ISNUMBER(MATCH(EE$1, AsistenciaJetAdminConcatenada!$B:$B, 0)), ISNUMBER(SEARCH($A26,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ISNUMBER(SEARCH($A26, INDEX(AsistenciaJetAdminConcatenada!$D:$D, MATCH(1, (AsistenciaJetAdminConcatenada!$A:$A=EE$2)*(AsistenciaJetAdminConcatenada!$B:$B=EE$1), 0)), 1))),  0.5, 0))</f>
        <v>0</v>
      </c>
      <c r="EF26" s="47">
        <f t="array" ref="EF26">IF(AND(ISNUMBER(MATCH(EF$2, AsistenciaJetAdminConcatenada!$A:$A, 0)), ISNUMBER(MATCH(EF$1, AsistenciaJetAdminConcatenada!$B:$B, 0)), ISNUMBER(SEARCH($A26,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ISNUMBER(SEARCH($A26, INDEX(AsistenciaJetAdminConcatenada!$D:$D, MATCH(1, (AsistenciaJetAdminConcatenada!$A:$A=EF$2)*(AsistenciaJetAdminConcatenada!$B:$B=EF$1), 0)), 1))),  0.5, 0))</f>
        <v>0</v>
      </c>
      <c r="EG26" s="47">
        <f t="array" ref="EG26">IF(AND(ISNUMBER(MATCH(EG$2, AsistenciaJetAdminConcatenada!$A:$A, 0)), ISNUMBER(MATCH(EG$1, AsistenciaJetAdminConcatenada!$B:$B, 0)), ISNUMBER(SEARCH($A26,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ISNUMBER(SEARCH($A26, INDEX(AsistenciaJetAdminConcatenada!$D:$D, MATCH(1, (AsistenciaJetAdminConcatenada!$A:$A=EG$2)*(AsistenciaJetAdminConcatenada!$B:$B=EG$1), 0)), 1))),  0.5, 0))</f>
        <v>0</v>
      </c>
      <c r="EH26" s="47">
        <f t="array" ref="EH26">IF(AND(ISNUMBER(MATCH(EH$2, AsistenciaJetAdminConcatenada!$A:$A, 0)), ISNUMBER(MATCH(EH$1, AsistenciaJetAdminConcatenada!$B:$B, 0)), ISNUMBER(SEARCH($A26,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ISNUMBER(SEARCH($A26, INDEX(AsistenciaJetAdminConcatenada!$D:$D, MATCH(1, (AsistenciaJetAdminConcatenada!$A:$A=EH$2)*(AsistenciaJetAdminConcatenada!$B:$B=EH$1), 0)), 1))),  0.5, 0))</f>
        <v>0</v>
      </c>
      <c r="EI26" s="47">
        <f t="array" ref="EI26">IF(AND(ISNUMBER(MATCH(EI$2, AsistenciaJetAdminConcatenada!$A:$A, 0)), ISNUMBER(MATCH(EI$1, AsistenciaJetAdminConcatenada!$B:$B, 0)), ISNUMBER(SEARCH($A26,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ISNUMBER(SEARCH($A26, INDEX(AsistenciaJetAdminConcatenada!$D:$D, MATCH(1, (AsistenciaJetAdminConcatenada!$A:$A=EI$2)*(AsistenciaJetAdminConcatenada!$B:$B=EI$1), 0)), 1))),  0.5, 0))</f>
        <v>0</v>
      </c>
      <c r="EJ26" s="47">
        <f t="array" ref="EJ26">IF(AND(ISNUMBER(MATCH(EJ$2, AsistenciaJetAdminConcatenada!$A:$A, 0)), ISNUMBER(MATCH(EJ$1, AsistenciaJetAdminConcatenada!$B:$B, 0)), ISNUMBER(SEARCH($A26,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ISNUMBER(SEARCH($A26, INDEX(AsistenciaJetAdminConcatenada!$D:$D, MATCH(1, (AsistenciaJetAdminConcatenada!$A:$A=EJ$2)*(AsistenciaJetAdminConcatenada!$B:$B=EJ$1), 0)), 1))),  0.5, 0))</f>
        <v>0</v>
      </c>
      <c r="EK26" s="47">
        <f t="array" ref="EK26">IF(AND(ISNUMBER(MATCH(EK$2, AsistenciaJetAdminConcatenada!$A:$A, 0)), ISNUMBER(MATCH(EK$1, AsistenciaJetAdminConcatenada!$B:$B, 0)), ISNUMBER(SEARCH($A26,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ISNUMBER(SEARCH($A26, INDEX(AsistenciaJetAdminConcatenada!$D:$D, MATCH(1, (AsistenciaJetAdminConcatenada!$A:$A=EK$2)*(AsistenciaJetAdminConcatenada!$B:$B=EK$1), 0)), 1))),  0.5, 0))</f>
        <v>0</v>
      </c>
      <c r="EL26" s="47">
        <f t="array" ref="EL26">IF(AND(ISNUMBER(MATCH(EL$2, AsistenciaJetAdminConcatenada!$A:$A, 0)), ISNUMBER(MATCH(EL$1, AsistenciaJetAdminConcatenada!$B:$B, 0)), ISNUMBER(SEARCH($A26,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ISNUMBER(SEARCH($A26, INDEX(AsistenciaJetAdminConcatenada!$D:$D, MATCH(1, (AsistenciaJetAdminConcatenada!$A:$A=EL$2)*(AsistenciaJetAdminConcatenada!$B:$B=EL$1), 0)), 1))),  0.5, 0))</f>
        <v>0</v>
      </c>
      <c r="EM26" s="47">
        <f t="array" ref="EM26">IF(AND(ISNUMBER(MATCH(EM$2, AsistenciaJetAdminConcatenada!$A:$A, 0)), ISNUMBER(MATCH(EM$1, AsistenciaJetAdminConcatenada!$B:$B, 0)), ISNUMBER(SEARCH($A26,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ISNUMBER(SEARCH($A26, INDEX(AsistenciaJetAdminConcatenada!$D:$D, MATCH(1, (AsistenciaJetAdminConcatenada!$A:$A=EM$2)*(AsistenciaJetAdminConcatenada!$B:$B=EM$1), 0)), 1))),  0.5, 0))</f>
        <v>0</v>
      </c>
      <c r="EN26" s="47">
        <f t="array" ref="EN26">IF(AND(ISNUMBER(MATCH(EN$2, AsistenciaJetAdminConcatenada!$A:$A, 0)), ISNUMBER(MATCH(EN$1, AsistenciaJetAdminConcatenada!$B:$B, 0)), ISNUMBER(SEARCH($A26,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ISNUMBER(SEARCH($A26, INDEX(AsistenciaJetAdminConcatenada!$D:$D, MATCH(1, (AsistenciaJetAdminConcatenada!$A:$A=EN$2)*(AsistenciaJetAdminConcatenada!$B:$B=EN$1), 0)), 1))),  0.5, 0))</f>
        <v>0</v>
      </c>
      <c r="EO26" s="47">
        <f t="array" ref="EO26">IF(AND(ISNUMBER(MATCH(EO$2, AsistenciaJetAdminConcatenada!$A:$A, 0)), ISNUMBER(MATCH(EO$1, AsistenciaJetAdminConcatenada!$B:$B, 0)), ISNUMBER(SEARCH($A26,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ISNUMBER(SEARCH($A26, INDEX(AsistenciaJetAdminConcatenada!$D:$D, MATCH(1, (AsistenciaJetAdminConcatenada!$A:$A=EO$2)*(AsistenciaJetAdminConcatenada!$B:$B=EO$1), 0)), 1))),  0.5, 0))</f>
        <v>0</v>
      </c>
      <c r="EP26" s="47">
        <f t="array" ref="EP26">IF(AND(ISNUMBER(MATCH(EP$2, AsistenciaJetAdminConcatenada!$A:$A, 0)), ISNUMBER(MATCH(EP$1, AsistenciaJetAdminConcatenada!$B:$B, 0)), ISNUMBER(SEARCH($A26,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ISNUMBER(SEARCH($A26, INDEX(AsistenciaJetAdminConcatenada!$D:$D, MATCH(1, (AsistenciaJetAdminConcatenada!$A:$A=EP$2)*(AsistenciaJetAdminConcatenada!$B:$B=EP$1), 0)), 1))),  0.5, 0))</f>
        <v>0</v>
      </c>
      <c r="EQ26" s="47">
        <f t="array" ref="EQ26">IF(AND(ISNUMBER(MATCH(EQ$2, AsistenciaJetAdminConcatenada!$A:$A, 0)), ISNUMBER(MATCH(EQ$1, AsistenciaJetAdminConcatenada!$B:$B, 0)), ISNUMBER(SEARCH($A26,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ISNUMBER(SEARCH($A26, INDEX(AsistenciaJetAdminConcatenada!$D:$D, MATCH(1, (AsistenciaJetAdminConcatenada!$A:$A=EQ$2)*(AsistenciaJetAdminConcatenada!$B:$B=EQ$1), 0)), 1))),  0.5, 0))</f>
        <v>0</v>
      </c>
      <c r="ER26" s="47">
        <f t="array" ref="ER26">IF(AND(ISNUMBER(MATCH(ER$2, AsistenciaJetAdminConcatenada!$A:$A, 0)), ISNUMBER(MATCH(ER$1, AsistenciaJetAdminConcatenada!$B:$B, 0)), ISNUMBER(SEARCH($A26,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ISNUMBER(SEARCH($A26, INDEX(AsistenciaJetAdminConcatenada!$D:$D, MATCH(1, (AsistenciaJetAdminConcatenada!$A:$A=ER$2)*(AsistenciaJetAdminConcatenada!$B:$B=ER$1), 0)), 1))),  0.5, 0))</f>
        <v>0</v>
      </c>
      <c r="ES26" s="47">
        <f t="array" ref="ES26">IF(AND(ISNUMBER(MATCH(ES$2, AsistenciaJetAdminConcatenada!$A:$A, 0)), ISNUMBER(MATCH(ES$1, AsistenciaJetAdminConcatenada!$B:$B, 0)), ISNUMBER(SEARCH($A26,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ISNUMBER(SEARCH($A26, INDEX(AsistenciaJetAdminConcatenada!$D:$D, MATCH(1, (AsistenciaJetAdminConcatenada!$A:$A=ES$2)*(AsistenciaJetAdminConcatenada!$B:$B=ES$1), 0)), 1))),  0.5, 0))</f>
        <v>0</v>
      </c>
      <c r="ET26" s="47">
        <f t="array" ref="ET26">IF(AND(ISNUMBER(MATCH(ET$2, AsistenciaJetAdminConcatenada!$A:$A, 0)), ISNUMBER(MATCH(ET$1, AsistenciaJetAdminConcatenada!$B:$B, 0)), ISNUMBER(SEARCH($A26,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ISNUMBER(SEARCH($A26, INDEX(AsistenciaJetAdminConcatenada!$D:$D, MATCH(1, (AsistenciaJetAdminConcatenada!$A:$A=ET$2)*(AsistenciaJetAdminConcatenada!$B:$B=ET$1), 0)), 1))),  0.5, 0))</f>
        <v>0</v>
      </c>
      <c r="EU26" s="47">
        <f t="array" ref="EU26">IF(AND(ISNUMBER(MATCH(EU$2, AsistenciaJetAdminConcatenada!$A:$A, 0)), ISNUMBER(MATCH(EU$1, AsistenciaJetAdminConcatenada!$B:$B, 0)), ISNUMBER(SEARCH($A26,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ISNUMBER(SEARCH($A26, INDEX(AsistenciaJetAdminConcatenada!$D:$D, MATCH(1, (AsistenciaJetAdminConcatenada!$A:$A=EU$2)*(AsistenciaJetAdminConcatenada!$B:$B=EU$1), 0)), 1))),  0.5, 0))</f>
        <v>0</v>
      </c>
      <c r="EV26" s="47">
        <f t="array" ref="EV26">IF(AND(ISNUMBER(MATCH(EV$2, AsistenciaJetAdminConcatenada!$A:$A, 0)), ISNUMBER(MATCH(EV$1, AsistenciaJetAdminConcatenada!$B:$B, 0)), ISNUMBER(SEARCH($A26,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ISNUMBER(SEARCH($A26, INDEX(AsistenciaJetAdminConcatenada!$D:$D, MATCH(1, (AsistenciaJetAdminConcatenada!$A:$A=EV$2)*(AsistenciaJetAdminConcatenada!$B:$B=EV$1), 0)), 1))),  0.5, 0))</f>
        <v>0</v>
      </c>
      <c r="EW26" s="47">
        <f t="array" ref="EW26">IF(AND(ISNUMBER(MATCH(EW$2, AsistenciaJetAdminConcatenada!$A:$A, 0)), ISNUMBER(MATCH(EW$1, AsistenciaJetAdminConcatenada!$B:$B, 0)), ISNUMBER(SEARCH($A26,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ISNUMBER(SEARCH($A26, INDEX(AsistenciaJetAdminConcatenada!$D:$D, MATCH(1, (AsistenciaJetAdminConcatenada!$A:$A=EW$2)*(AsistenciaJetAdminConcatenada!$B:$B=EW$1), 0)), 1))),  0.5, 0))</f>
        <v>0</v>
      </c>
      <c r="EX26" s="47">
        <f t="array" ref="EX26">IF(AND(ISNUMBER(MATCH(EX$2, AsistenciaJetAdminConcatenada!$A:$A, 0)), ISNUMBER(MATCH(EX$1, AsistenciaJetAdminConcatenada!$B:$B, 0)), ISNUMBER(SEARCH($A26,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ISNUMBER(SEARCH($A26, INDEX(AsistenciaJetAdminConcatenada!$D:$D, MATCH(1, (AsistenciaJetAdminConcatenada!$A:$A=EX$2)*(AsistenciaJetAdminConcatenada!$B:$B=EX$1), 0)), 1))),  0.5, 0))</f>
        <v>0</v>
      </c>
      <c r="EY26" s="47">
        <f t="array" ref="EY26">IF(AND(ISNUMBER(MATCH(EY$2, AsistenciaJetAdminConcatenada!$A:$A, 0)), ISNUMBER(MATCH(EY$1, AsistenciaJetAdminConcatenada!$B:$B, 0)), ISNUMBER(SEARCH($A26,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ISNUMBER(SEARCH($A26, INDEX(AsistenciaJetAdminConcatenada!$D:$D, MATCH(1, (AsistenciaJetAdminConcatenada!$A:$A=EY$2)*(AsistenciaJetAdminConcatenada!$B:$B=EY$1), 0)), 1))),  0.5, 0))</f>
        <v>0</v>
      </c>
      <c r="EZ26" s="47">
        <f t="array" ref="EZ26">IF(AND(ISNUMBER(MATCH(EZ$2, AsistenciaJetAdminConcatenada!$A:$A, 0)), ISNUMBER(MATCH(EZ$1, AsistenciaJetAdminConcatenada!$B:$B, 0)), ISNUMBER(SEARCH($A26,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ISNUMBER(SEARCH($A26, INDEX(AsistenciaJetAdminConcatenada!$D:$D, MATCH(1, (AsistenciaJetAdminConcatenada!$A:$A=EZ$2)*(AsistenciaJetAdminConcatenada!$B:$B=EZ$1), 0)), 1))),  0.5, 0))</f>
        <v>0</v>
      </c>
      <c r="FA26" s="47">
        <f t="array" ref="FA26">IF(AND(ISNUMBER(MATCH(FA$2, AsistenciaJetAdminConcatenada!$A:$A, 0)), ISNUMBER(MATCH(FA$1, AsistenciaJetAdminConcatenada!$B:$B, 0)), ISNUMBER(SEARCH($A26,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ISNUMBER(SEARCH($A26, INDEX(AsistenciaJetAdminConcatenada!$D:$D, MATCH(1, (AsistenciaJetAdminConcatenada!$A:$A=FA$2)*(AsistenciaJetAdminConcatenada!$B:$B=FA$1), 0)), 1))),  0.5, 0))</f>
        <v>0</v>
      </c>
      <c r="FB26" s="47">
        <f t="array" ref="FB26">IF(AND(ISNUMBER(MATCH(FB$2, AsistenciaJetAdminConcatenada!$A:$A, 0)), ISNUMBER(MATCH(FB$1, AsistenciaJetAdminConcatenada!$B:$B, 0)), ISNUMBER(SEARCH($A26,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ISNUMBER(SEARCH($A26, INDEX(AsistenciaJetAdminConcatenada!$D:$D, MATCH(1, (AsistenciaJetAdminConcatenada!$A:$A=FB$2)*(AsistenciaJetAdminConcatenada!$B:$B=FB$1), 0)), 1))),  0.5, 0))</f>
        <v>0</v>
      </c>
      <c r="FC26" s="47">
        <f t="array" ref="FC26">IF(AND(ISNUMBER(MATCH(FC$2, AsistenciaJetAdminConcatenada!$A:$A, 0)), ISNUMBER(MATCH(FC$1, AsistenciaJetAdminConcatenada!$B:$B, 0)), ISNUMBER(SEARCH($A26,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ISNUMBER(SEARCH($A26, INDEX(AsistenciaJetAdminConcatenada!$D:$D, MATCH(1, (AsistenciaJetAdminConcatenada!$A:$A=FC$2)*(AsistenciaJetAdminConcatenada!$B:$B=FC$1), 0)), 1))),  0.5, 0))</f>
        <v>0</v>
      </c>
      <c r="FD26" s="47">
        <f t="array" ref="FD26">IF(AND(ISNUMBER(MATCH(FD$2, AsistenciaJetAdminConcatenada!$A:$A, 0)), ISNUMBER(MATCH(FD$1, AsistenciaJetAdminConcatenada!$B:$B, 0)), ISNUMBER(SEARCH($A26,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ISNUMBER(SEARCH($A26, INDEX(AsistenciaJetAdminConcatenada!$D:$D, MATCH(1, (AsistenciaJetAdminConcatenada!$A:$A=FD$2)*(AsistenciaJetAdminConcatenada!$B:$B=FD$1), 0)), 1))),  0.5, 0))</f>
        <v>0</v>
      </c>
      <c r="FE26" s="47">
        <f t="array" ref="FE26">IF(AND(ISNUMBER(MATCH(FE$2, AsistenciaJetAdminConcatenada!$A:$A, 0)), ISNUMBER(MATCH(FE$1, AsistenciaJetAdminConcatenada!$B:$B, 0)), ISNUMBER(SEARCH($A26,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ISNUMBER(SEARCH($A26, INDEX(AsistenciaJetAdminConcatenada!$D:$D, MATCH(1, (AsistenciaJetAdminConcatenada!$A:$A=FE$2)*(AsistenciaJetAdminConcatenada!$B:$B=FE$1), 0)), 1))),  0.5, 0))</f>
        <v>0</v>
      </c>
      <c r="FF26" s="47">
        <f t="array" ref="FF26">IF(AND(ISNUMBER(MATCH(FF$2, AsistenciaJetAdminConcatenada!$A:$A, 0)), ISNUMBER(MATCH(FF$1, AsistenciaJetAdminConcatenada!$B:$B, 0)), ISNUMBER(SEARCH($A26,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ISNUMBER(SEARCH($A26, INDEX(AsistenciaJetAdminConcatenada!$D:$D, MATCH(1, (AsistenciaJetAdminConcatenada!$A:$A=FF$2)*(AsistenciaJetAdminConcatenada!$B:$B=FF$1), 0)), 1))),  0.5, 0))</f>
        <v>0</v>
      </c>
      <c r="FG26" s="47">
        <f t="array" ref="FG26">IF(AND(ISNUMBER(MATCH(FG$2, AsistenciaJetAdminConcatenada!$A:$A, 0)), ISNUMBER(MATCH(FG$1, AsistenciaJetAdminConcatenada!$B:$B, 0)), ISNUMBER(SEARCH($A26,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ISNUMBER(SEARCH($A26, INDEX(AsistenciaJetAdminConcatenada!$D:$D, MATCH(1, (AsistenciaJetAdminConcatenada!$A:$A=FG$2)*(AsistenciaJetAdminConcatenada!$B:$B=FG$1), 0)), 1))),  0.5, 0))</f>
        <v>0</v>
      </c>
      <c r="FH26" s="47">
        <f t="array" ref="FH26">IF(AND(ISNUMBER(MATCH(FH$2, AsistenciaJetAdminConcatenada!$A:$A, 0)), ISNUMBER(MATCH(FH$1, AsistenciaJetAdminConcatenada!$B:$B, 0)), ISNUMBER(SEARCH($A26,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ISNUMBER(SEARCH($A26, INDEX(AsistenciaJetAdminConcatenada!$D:$D, MATCH(1, (AsistenciaJetAdminConcatenada!$A:$A=FH$2)*(AsistenciaJetAdminConcatenada!$B:$B=FH$1), 0)), 1))),  0.5, 0))</f>
        <v>0</v>
      </c>
      <c r="FI26" s="47">
        <f t="array" ref="FI26">IF(AND(ISNUMBER(MATCH(FI$2, AsistenciaJetAdminConcatenada!$A:$A, 0)), ISNUMBER(MATCH(FI$1, AsistenciaJetAdminConcatenada!$B:$B, 0)), ISNUMBER(SEARCH($A26,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ISNUMBER(SEARCH($A26, INDEX(AsistenciaJetAdminConcatenada!$D:$D, MATCH(1, (AsistenciaJetAdminConcatenada!$A:$A=FI$2)*(AsistenciaJetAdminConcatenada!$B:$B=FI$1), 0)), 1))),  0.5, 0))</f>
        <v>0</v>
      </c>
      <c r="FJ26" s="47">
        <f t="array" ref="FJ26">IF(AND(ISNUMBER(MATCH(FJ$2, AsistenciaJetAdminConcatenada!$A:$A, 0)), ISNUMBER(MATCH(FJ$1, AsistenciaJetAdminConcatenada!$B:$B, 0)), ISNUMBER(SEARCH($A26,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ISNUMBER(SEARCH($A26, INDEX(AsistenciaJetAdminConcatenada!$D:$D, MATCH(1, (AsistenciaJetAdminConcatenada!$A:$A=FJ$2)*(AsistenciaJetAdminConcatenada!$B:$B=FJ$1), 0)), 1))),  0.5, 0))</f>
        <v>0</v>
      </c>
      <c r="FK26" s="47">
        <f t="array" ref="FK26">IF(AND(ISNUMBER(MATCH(FK$2, AsistenciaJetAdminConcatenada!$A:$A, 0)), ISNUMBER(MATCH(FK$1, AsistenciaJetAdminConcatenada!$B:$B, 0)), ISNUMBER(SEARCH($A26,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ISNUMBER(SEARCH($A26, INDEX(AsistenciaJetAdminConcatenada!$D:$D, MATCH(1, (AsistenciaJetAdminConcatenada!$A:$A=FK$2)*(AsistenciaJetAdminConcatenada!$B:$B=FK$1), 0)), 1))),  0.5, 0))</f>
        <v>0</v>
      </c>
      <c r="FL26" s="47">
        <f t="array" ref="FL26">IF(AND(ISNUMBER(MATCH(FL$2, AsistenciaJetAdminConcatenada!$A:$A, 0)), ISNUMBER(MATCH(FL$1, AsistenciaJetAdminConcatenada!$B:$B, 0)), ISNUMBER(SEARCH($A26,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ISNUMBER(SEARCH($A26, INDEX(AsistenciaJetAdminConcatenada!$D:$D, MATCH(1, (AsistenciaJetAdminConcatenada!$A:$A=FL$2)*(AsistenciaJetAdminConcatenada!$B:$B=FL$1), 0)), 1))),  0.5, 0))</f>
        <v>0</v>
      </c>
      <c r="FM26" s="47">
        <f t="array" ref="FM26">IF(AND(ISNUMBER(MATCH(FM$2, AsistenciaJetAdminConcatenada!$A:$A, 0)), ISNUMBER(MATCH(FM$1, AsistenciaJetAdminConcatenada!$B:$B, 0)), ISNUMBER(SEARCH($A26,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ISNUMBER(SEARCH($A26, INDEX(AsistenciaJetAdminConcatenada!$D:$D, MATCH(1, (AsistenciaJetAdminConcatenada!$A:$A=FM$2)*(AsistenciaJetAdminConcatenada!$B:$B=FM$1), 0)), 1))),  0.5, 0))</f>
        <v>0</v>
      </c>
      <c r="FN26" s="47">
        <f t="array" ref="FN26">IF(AND(ISNUMBER(MATCH(FN$2, AsistenciaJetAdminConcatenada!$A:$A, 0)), ISNUMBER(MATCH(FN$1, AsistenciaJetAdminConcatenada!$B:$B, 0)), ISNUMBER(SEARCH($A26,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ISNUMBER(SEARCH($A26, INDEX(AsistenciaJetAdminConcatenada!$D:$D, MATCH(1, (AsistenciaJetAdminConcatenada!$A:$A=FN$2)*(AsistenciaJetAdminConcatenada!$B:$B=FN$1), 0)), 1))),  0.5, 0))</f>
        <v>0</v>
      </c>
      <c r="FO26" s="47">
        <f t="array" ref="FO26">IF(AND(ISNUMBER(MATCH(FO$2, AsistenciaJetAdminConcatenada!$A:$A, 0)), ISNUMBER(MATCH(FO$1, AsistenciaJetAdminConcatenada!$B:$B, 0)), ISNUMBER(SEARCH($A26,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ISNUMBER(SEARCH($A26, INDEX(AsistenciaJetAdminConcatenada!$D:$D, MATCH(1, (AsistenciaJetAdminConcatenada!$A:$A=FO$2)*(AsistenciaJetAdminConcatenada!$B:$B=FO$1), 0)), 1))),  0.5, 0))</f>
        <v>0</v>
      </c>
      <c r="FP26" s="47">
        <f t="array" ref="FP26">IF(AND(ISNUMBER(MATCH(FP$2, AsistenciaJetAdminConcatenada!$A:$A, 0)), ISNUMBER(MATCH(FP$1, AsistenciaJetAdminConcatenada!$B:$B, 0)), ISNUMBER(SEARCH($A26,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ISNUMBER(SEARCH($A26, INDEX(AsistenciaJetAdminConcatenada!$D:$D, MATCH(1, (AsistenciaJetAdminConcatenada!$A:$A=FP$2)*(AsistenciaJetAdminConcatenada!$B:$B=FP$1), 0)), 1))),  0.5, 0))</f>
        <v>0</v>
      </c>
      <c r="FQ26" s="47">
        <f t="array" ref="FQ26">IF(AND(ISNUMBER(MATCH(FQ$2, AsistenciaJetAdminConcatenada!$A:$A, 0)), ISNUMBER(MATCH(FQ$1, AsistenciaJetAdminConcatenada!$B:$B, 0)), ISNUMBER(SEARCH($A26,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ISNUMBER(SEARCH($A26, INDEX(AsistenciaJetAdminConcatenada!$D:$D, MATCH(1, (AsistenciaJetAdminConcatenada!$A:$A=FQ$2)*(AsistenciaJetAdminConcatenada!$B:$B=FQ$1), 0)), 1))),  0.5, 0))</f>
        <v>0</v>
      </c>
      <c r="FR26" s="47">
        <f t="array" ref="FR26">IF(AND(ISNUMBER(MATCH(FR$2, AsistenciaJetAdminConcatenada!$A:$A, 0)), ISNUMBER(MATCH(FR$1, AsistenciaJetAdminConcatenada!$B:$B, 0)), ISNUMBER(SEARCH($A26,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ISNUMBER(SEARCH($A26, INDEX(AsistenciaJetAdminConcatenada!$D:$D, MATCH(1, (AsistenciaJetAdminConcatenada!$A:$A=FR$2)*(AsistenciaJetAdminConcatenada!$B:$B=FR$1), 0)), 1))),  0.5, 0))</f>
        <v>0</v>
      </c>
      <c r="FS26" s="47">
        <f t="array" ref="FS26">IF(AND(ISNUMBER(MATCH(FS$2, AsistenciaJetAdminConcatenada!$A:$A, 0)), ISNUMBER(MATCH(FS$1, AsistenciaJetAdminConcatenada!$B:$B, 0)), ISNUMBER(SEARCH($A26,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ISNUMBER(SEARCH($A26, INDEX(AsistenciaJetAdminConcatenada!$D:$D, MATCH(1, (AsistenciaJetAdminConcatenada!$A:$A=FS$2)*(AsistenciaJetAdminConcatenada!$B:$B=FS$1), 0)), 1))),  0.5, 0))</f>
        <v>0</v>
      </c>
      <c r="FT26" s="47">
        <f t="array" ref="FT26">IF(AND(ISNUMBER(MATCH(FT$2, AsistenciaJetAdminConcatenada!$A:$A, 0)), ISNUMBER(MATCH(FT$1, AsistenciaJetAdminConcatenada!$B:$B, 0)), ISNUMBER(SEARCH($A26,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ISNUMBER(SEARCH($A26, INDEX(AsistenciaJetAdminConcatenada!$D:$D, MATCH(1, (AsistenciaJetAdminConcatenada!$A:$A=FT$2)*(AsistenciaJetAdminConcatenada!$B:$B=FT$1), 0)), 1))),  0.5, 0))</f>
        <v>0</v>
      </c>
      <c r="FU26" s="47">
        <f t="array" ref="FU26">IF(AND(ISNUMBER(MATCH(FU$2, AsistenciaJetAdminConcatenada!$A:$A, 0)), ISNUMBER(MATCH(FU$1, AsistenciaJetAdminConcatenada!$B:$B, 0)), ISNUMBER(SEARCH($A26,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ISNUMBER(SEARCH($A26, INDEX(AsistenciaJetAdminConcatenada!$D:$D, MATCH(1, (AsistenciaJetAdminConcatenada!$A:$A=FU$2)*(AsistenciaJetAdminConcatenada!$B:$B=FU$1), 0)), 1))),  0.5, 0))</f>
        <v>0</v>
      </c>
      <c r="FV26" s="47">
        <f t="array" ref="FV26">IF(AND(ISNUMBER(MATCH(FV$2, AsistenciaJetAdminConcatenada!$A:$A, 0)), ISNUMBER(MATCH(FV$1, AsistenciaJetAdminConcatenada!$B:$B, 0)), ISNUMBER(SEARCH($A26,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ISNUMBER(SEARCH($A26, INDEX(AsistenciaJetAdminConcatenada!$D:$D, MATCH(1, (AsistenciaJetAdminConcatenada!$A:$A=FV$2)*(AsistenciaJetAdminConcatenada!$B:$B=FV$1), 0)), 1))),  0.5, 0))</f>
        <v>0</v>
      </c>
      <c r="FW26" s="47">
        <f t="array" ref="FW26">IF(AND(ISNUMBER(MATCH(FW$2, AsistenciaJetAdminConcatenada!$A:$A, 0)), ISNUMBER(MATCH(FW$1, AsistenciaJetAdminConcatenada!$B:$B, 0)), ISNUMBER(SEARCH($A26,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ISNUMBER(SEARCH($A26, INDEX(AsistenciaJetAdminConcatenada!$D:$D, MATCH(1, (AsistenciaJetAdminConcatenada!$A:$A=FW$2)*(AsistenciaJetAdminConcatenada!$B:$B=FW$1), 0)), 1))),  0.5, 0))</f>
        <v>0</v>
      </c>
      <c r="FX26" s="47">
        <f t="array" ref="FX26">IF(AND(ISNUMBER(MATCH(FX$2, AsistenciaJetAdminConcatenada!$A:$A, 0)), ISNUMBER(MATCH(FX$1, AsistenciaJetAdminConcatenada!$B:$B, 0)), ISNUMBER(SEARCH($A26,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ISNUMBER(SEARCH($A26, INDEX(AsistenciaJetAdminConcatenada!$D:$D, MATCH(1, (AsistenciaJetAdminConcatenada!$A:$A=FX$2)*(AsistenciaJetAdminConcatenada!$B:$B=FX$1), 0)), 1))),  0.5, 0))</f>
        <v>0</v>
      </c>
      <c r="FY26" s="47">
        <f t="array" ref="FY26">IF(AND(ISNUMBER(MATCH(FY$2, AsistenciaJetAdminConcatenada!$A:$A, 0)), ISNUMBER(MATCH(FY$1, AsistenciaJetAdminConcatenada!$B:$B, 0)), ISNUMBER(SEARCH($A26,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ISNUMBER(SEARCH($A26, INDEX(AsistenciaJetAdminConcatenada!$D:$D, MATCH(1, (AsistenciaJetAdminConcatenada!$A:$A=FY$2)*(AsistenciaJetAdminConcatenada!$B:$B=FY$1), 0)), 1))),  0.5, 0))</f>
        <v>0</v>
      </c>
      <c r="FZ26" s="47">
        <f t="array" ref="FZ26">IF(AND(ISNUMBER(MATCH(FZ$2, AsistenciaJetAdminConcatenada!$A:$A, 0)), ISNUMBER(MATCH(FZ$1, AsistenciaJetAdminConcatenada!$B:$B, 0)), ISNUMBER(SEARCH($A26,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ISNUMBER(SEARCH($A26, INDEX(AsistenciaJetAdminConcatenada!$D:$D, MATCH(1, (AsistenciaJetAdminConcatenada!$A:$A=FZ$2)*(AsistenciaJetAdminConcatenada!$B:$B=FZ$1), 0)), 1))),  0.5, 0))</f>
        <v>0</v>
      </c>
      <c r="GA26" s="47">
        <f t="array" ref="GA26">IF(AND(ISNUMBER(MATCH(GA$2, AsistenciaJetAdminConcatenada!$A:$A, 0)), ISNUMBER(MATCH(GA$1, AsistenciaJetAdminConcatenada!$B:$B, 0)), ISNUMBER(SEARCH($A26,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ISNUMBER(SEARCH($A26, INDEX(AsistenciaJetAdminConcatenada!$D:$D, MATCH(1, (AsistenciaJetAdminConcatenada!$A:$A=GA$2)*(AsistenciaJetAdminConcatenada!$B:$B=GA$1), 0)), 1))),  0.5, 0))</f>
        <v>0</v>
      </c>
      <c r="GB26" s="47">
        <f t="array" ref="GB26">IF(AND(ISNUMBER(MATCH(GB$2, AsistenciaJetAdminConcatenada!$A:$A, 0)), ISNUMBER(MATCH(GB$1, AsistenciaJetAdminConcatenada!$B:$B, 0)), ISNUMBER(SEARCH($A26,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ISNUMBER(SEARCH($A26, INDEX(AsistenciaJetAdminConcatenada!$D:$D, MATCH(1, (AsistenciaJetAdminConcatenada!$A:$A=GB$2)*(AsistenciaJetAdminConcatenada!$B:$B=GB$1), 0)), 1))),  0.5, 0))</f>
        <v>0</v>
      </c>
      <c r="GC26" s="47">
        <f t="array" ref="GC26">IF(AND(ISNUMBER(MATCH(GC$2, AsistenciaJetAdminConcatenada!$A:$A, 0)), ISNUMBER(MATCH(GC$1, AsistenciaJetAdminConcatenada!$B:$B, 0)), ISNUMBER(SEARCH($A26,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ISNUMBER(SEARCH($A26, INDEX(AsistenciaJetAdminConcatenada!$D:$D, MATCH(1, (AsistenciaJetAdminConcatenada!$A:$A=GC$2)*(AsistenciaJetAdminConcatenada!$B:$B=GC$1), 0)), 1))),  0.5, 0))</f>
        <v>0</v>
      </c>
      <c r="GD26" s="47">
        <f t="array" ref="GD26">IF(AND(ISNUMBER(MATCH(GD$2, AsistenciaJetAdminConcatenada!$A:$A, 0)), ISNUMBER(MATCH(GD$1, AsistenciaJetAdminConcatenada!$B:$B, 0)), ISNUMBER(SEARCH($A26,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ISNUMBER(SEARCH($A26, INDEX(AsistenciaJetAdminConcatenada!$D:$D, MATCH(1, (AsistenciaJetAdminConcatenada!$A:$A=GD$2)*(AsistenciaJetAdminConcatenada!$B:$B=GD$1), 0)), 1))),  0.5, 0))</f>
        <v>0</v>
      </c>
      <c r="GE26" s="47">
        <f t="array" ref="GE26">IF(AND(ISNUMBER(MATCH(GE$2, AsistenciaJetAdminConcatenada!$A:$A, 0)), ISNUMBER(MATCH(GE$1, AsistenciaJetAdminConcatenada!$B:$B, 0)), ISNUMBER(SEARCH($A26,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ISNUMBER(SEARCH($A26, INDEX(AsistenciaJetAdminConcatenada!$D:$D, MATCH(1, (AsistenciaJetAdminConcatenada!$A:$A=GE$2)*(AsistenciaJetAdminConcatenada!$B:$B=GE$1), 0)), 1))),  0.5, 0))</f>
        <v>0</v>
      </c>
      <c r="GF26" s="47">
        <f t="array" ref="GF26">IF(AND(ISNUMBER(MATCH(GF$2, AsistenciaJetAdminConcatenada!$A:$A, 0)), ISNUMBER(MATCH(GF$1, AsistenciaJetAdminConcatenada!$B:$B, 0)), ISNUMBER(SEARCH($A26,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ISNUMBER(SEARCH($A26, INDEX(AsistenciaJetAdminConcatenada!$D:$D, MATCH(1, (AsistenciaJetAdminConcatenada!$A:$A=GF$2)*(AsistenciaJetAdminConcatenada!$B:$B=GF$1), 0)), 1))),  0.5, 0))</f>
        <v>0</v>
      </c>
      <c r="GG26" s="47">
        <f t="array" ref="GG26">IF(AND(ISNUMBER(MATCH(GG$2, AsistenciaJetAdminConcatenada!$A:$A, 0)), ISNUMBER(MATCH(GG$1, AsistenciaJetAdminConcatenada!$B:$B, 0)), ISNUMBER(SEARCH($A26,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ISNUMBER(SEARCH($A26, INDEX(AsistenciaJetAdminConcatenada!$D:$D, MATCH(1, (AsistenciaJetAdminConcatenada!$A:$A=GG$2)*(AsistenciaJetAdminConcatenada!$B:$B=GG$1), 0)), 1))),  0.5, 0))</f>
        <v>0</v>
      </c>
      <c r="GH26" s="47">
        <f t="array" ref="GH26">IF(AND(ISNUMBER(MATCH(GH$2, AsistenciaJetAdminConcatenada!$A:$A, 0)), ISNUMBER(MATCH(GH$1, AsistenciaJetAdminConcatenada!$B:$B, 0)), ISNUMBER(SEARCH($A26,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ISNUMBER(SEARCH($A26, INDEX(AsistenciaJetAdminConcatenada!$D:$D, MATCH(1, (AsistenciaJetAdminConcatenada!$A:$A=GH$2)*(AsistenciaJetAdminConcatenada!$B:$B=GH$1), 0)), 1))),  0.5, 0))</f>
        <v>0</v>
      </c>
      <c r="GI26" s="47">
        <f t="array" ref="GI26">IF(AND(ISNUMBER(MATCH(GI$2, AsistenciaJetAdminConcatenada!$A:$A, 0)), ISNUMBER(MATCH(GI$1, AsistenciaJetAdminConcatenada!$B:$B, 0)), ISNUMBER(SEARCH($A26,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ISNUMBER(SEARCH($A26, INDEX(AsistenciaJetAdminConcatenada!$D:$D, MATCH(1, (AsistenciaJetAdminConcatenada!$A:$A=GI$2)*(AsistenciaJetAdminConcatenada!$B:$B=GI$1), 0)), 1))),  0.5, 0))</f>
        <v>0</v>
      </c>
      <c r="GJ26" s="47">
        <f t="array" ref="GJ26">IF(AND(ISNUMBER(MATCH(GJ$2, AsistenciaJetAdminConcatenada!$A:$A, 0)), ISNUMBER(MATCH(GJ$1, AsistenciaJetAdminConcatenada!$B:$B, 0)), ISNUMBER(SEARCH($A26,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ISNUMBER(SEARCH($A26, INDEX(AsistenciaJetAdminConcatenada!$D:$D, MATCH(1, (AsistenciaJetAdminConcatenada!$A:$A=GJ$2)*(AsistenciaJetAdminConcatenada!$B:$B=GJ$1), 0)), 1))),  0.5, 0))</f>
        <v>0</v>
      </c>
      <c r="GK26" s="47">
        <f t="array" ref="GK26">IF(AND(ISNUMBER(MATCH(GK$2, AsistenciaJetAdminConcatenada!$A:$A, 0)), ISNUMBER(MATCH(GK$1, AsistenciaJetAdminConcatenada!$B:$B, 0)), ISNUMBER(SEARCH($A26,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ISNUMBER(SEARCH($A26, INDEX(AsistenciaJetAdminConcatenada!$D:$D, MATCH(1, (AsistenciaJetAdminConcatenada!$A:$A=GK$2)*(AsistenciaJetAdminConcatenada!$B:$B=GK$1), 0)), 1))),  0.5, 0))</f>
        <v>0</v>
      </c>
      <c r="GL26" s="47">
        <f t="array" ref="GL26">IF(AND(ISNUMBER(MATCH(GL$2, AsistenciaJetAdminConcatenada!$A:$A, 0)), ISNUMBER(MATCH(GL$1, AsistenciaJetAdminConcatenada!$B:$B, 0)), ISNUMBER(SEARCH($A26,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ISNUMBER(SEARCH($A26, INDEX(AsistenciaJetAdminConcatenada!$D:$D, MATCH(1, (AsistenciaJetAdminConcatenada!$A:$A=GL$2)*(AsistenciaJetAdminConcatenada!$B:$B=GL$1), 0)), 1))),  0.5, 0))</f>
        <v>0</v>
      </c>
      <c r="GM26" s="47">
        <f t="array" ref="GM26">IF(AND(ISNUMBER(MATCH(GM$2, AsistenciaJetAdminConcatenada!$A:$A, 0)), ISNUMBER(MATCH(GM$1, AsistenciaJetAdminConcatenada!$B:$B, 0)), ISNUMBER(SEARCH($A26,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ISNUMBER(SEARCH($A26, INDEX(AsistenciaJetAdminConcatenada!$D:$D, MATCH(1, (AsistenciaJetAdminConcatenada!$A:$A=GM$2)*(AsistenciaJetAdminConcatenada!$B:$B=GM$1), 0)), 1))),  0.5, 0))</f>
        <v>0</v>
      </c>
      <c r="GN26" s="47">
        <f t="array" ref="GN26">IF(AND(ISNUMBER(MATCH(GN$2, AsistenciaJetAdminConcatenada!$A:$A, 0)), ISNUMBER(MATCH(GN$1, AsistenciaJetAdminConcatenada!$B:$B, 0)), ISNUMBER(SEARCH($A26,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ISNUMBER(SEARCH($A26, INDEX(AsistenciaJetAdminConcatenada!$D:$D, MATCH(1, (AsistenciaJetAdminConcatenada!$A:$A=GN$2)*(AsistenciaJetAdminConcatenada!$B:$B=GN$1), 0)), 1))),  0.5, 0))</f>
        <v>0</v>
      </c>
      <c r="GO26" s="47">
        <f t="array" ref="GO26">IF(AND(ISNUMBER(MATCH(GO$2, AsistenciaJetAdminConcatenada!$A:$A, 0)), ISNUMBER(MATCH(GO$1, AsistenciaJetAdminConcatenada!$B:$B, 0)), ISNUMBER(SEARCH($A26,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ISNUMBER(SEARCH($A26, INDEX(AsistenciaJetAdminConcatenada!$D:$D, MATCH(1, (AsistenciaJetAdminConcatenada!$A:$A=GO$2)*(AsistenciaJetAdminConcatenada!$B:$B=GO$1), 0)), 1))),  0.5, 0))</f>
        <v>0</v>
      </c>
      <c r="GP26" s="47">
        <f t="array" ref="GP26">IF(AND(ISNUMBER(MATCH(GP$2, AsistenciaJetAdminConcatenada!$A:$A, 0)), ISNUMBER(MATCH(GP$1, AsistenciaJetAdminConcatenada!$B:$B, 0)), ISNUMBER(SEARCH($A26,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ISNUMBER(SEARCH($A26, INDEX(AsistenciaJetAdminConcatenada!$D:$D, MATCH(1, (AsistenciaJetAdminConcatenada!$A:$A=GP$2)*(AsistenciaJetAdminConcatenada!$B:$B=GP$1), 0)), 1))),  0.5, 0))</f>
        <v>0</v>
      </c>
      <c r="GQ26" s="47">
        <f t="array" ref="GQ26">IF(AND(ISNUMBER(MATCH(GQ$2, AsistenciaJetAdminConcatenada!$A:$A, 0)), ISNUMBER(MATCH(GQ$1, AsistenciaJetAdminConcatenada!$B:$B, 0)), ISNUMBER(SEARCH($A26,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ISNUMBER(SEARCH($A26, INDEX(AsistenciaJetAdminConcatenada!$D:$D, MATCH(1, (AsistenciaJetAdminConcatenada!$A:$A=GQ$2)*(AsistenciaJetAdminConcatenada!$B:$B=GQ$1), 0)), 1))),  0.5, 0))</f>
        <v>0</v>
      </c>
      <c r="GR26" s="47">
        <f t="array" ref="GR26">IF(AND(ISNUMBER(MATCH(GR$2, AsistenciaJetAdminConcatenada!$A:$A, 0)), ISNUMBER(MATCH(GR$1, AsistenciaJetAdminConcatenada!$B:$B, 0)), ISNUMBER(SEARCH($A26,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ISNUMBER(SEARCH($A26, INDEX(AsistenciaJetAdminConcatenada!$D:$D, MATCH(1, (AsistenciaJetAdminConcatenada!$A:$A=GR$2)*(AsistenciaJetAdminConcatenada!$B:$B=GR$1), 0)), 1))),  0.5, 0))</f>
        <v>0</v>
      </c>
      <c r="GS26" s="47">
        <f t="array" ref="GS26">IF(AND(ISNUMBER(MATCH(GS$2, AsistenciaJetAdminConcatenada!$A:$A, 0)), ISNUMBER(MATCH(GS$1, AsistenciaJetAdminConcatenada!$B:$B, 0)), ISNUMBER(SEARCH($A26,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ISNUMBER(SEARCH($A26, INDEX(AsistenciaJetAdminConcatenada!$D:$D, MATCH(1, (AsistenciaJetAdminConcatenada!$A:$A=GS$2)*(AsistenciaJetAdminConcatenada!$B:$B=GS$1), 0)), 1))),  0.5, 0))</f>
        <v>0</v>
      </c>
      <c r="GT26" s="47">
        <f t="array" ref="GT26">IF(AND(ISNUMBER(MATCH(GT$2, AsistenciaJetAdminConcatenada!$A:$A, 0)), ISNUMBER(MATCH(GT$1, AsistenciaJetAdminConcatenada!$B:$B, 0)), ISNUMBER(SEARCH($A26,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ISNUMBER(SEARCH($A26, INDEX(AsistenciaJetAdminConcatenada!$D:$D, MATCH(1, (AsistenciaJetAdminConcatenada!$A:$A=GT$2)*(AsistenciaJetAdminConcatenada!$B:$B=GT$1), 0)), 1))),  0.5, 0))</f>
        <v>0</v>
      </c>
      <c r="GU26" s="47">
        <f t="array" ref="GU26">IF(AND(ISNUMBER(MATCH(GU$2, AsistenciaJetAdminConcatenada!$A:$A, 0)), ISNUMBER(MATCH(GU$1, AsistenciaJetAdminConcatenada!$B:$B, 0)), ISNUMBER(SEARCH($A26,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ISNUMBER(SEARCH($A26, INDEX(AsistenciaJetAdminConcatenada!$D:$D, MATCH(1, (AsistenciaJetAdminConcatenada!$A:$A=GU$2)*(AsistenciaJetAdminConcatenada!$B:$B=GU$1), 0)), 1))),  0.5, 0))</f>
        <v>0</v>
      </c>
      <c r="GV26" s="47">
        <f t="array" ref="GV26">IF(AND(ISNUMBER(MATCH(GV$2, AsistenciaJetAdminConcatenada!$A:$A, 0)), ISNUMBER(MATCH(GV$1, AsistenciaJetAdminConcatenada!$B:$B, 0)), ISNUMBER(SEARCH($A26,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ISNUMBER(SEARCH($A26, INDEX(AsistenciaJetAdminConcatenada!$D:$D, MATCH(1, (AsistenciaJetAdminConcatenada!$A:$A=GV$2)*(AsistenciaJetAdminConcatenada!$B:$B=GV$1), 0)), 1))),  0.5, 0))</f>
        <v>0</v>
      </c>
      <c r="GW26" s="47">
        <f t="array" ref="GW26">IF(AND(ISNUMBER(MATCH(GW$2, AsistenciaJetAdminConcatenada!$A:$A, 0)), ISNUMBER(MATCH(GW$1, AsistenciaJetAdminConcatenada!$B:$B, 0)), ISNUMBER(SEARCH($A26,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ISNUMBER(SEARCH($A26, INDEX(AsistenciaJetAdminConcatenada!$D:$D, MATCH(1, (AsistenciaJetAdminConcatenada!$A:$A=GW$2)*(AsistenciaJetAdminConcatenada!$B:$B=GW$1), 0)), 1))),  0.5, 0))</f>
        <v>0</v>
      </c>
      <c r="GX26" s="47">
        <f t="array" ref="GX26">IF(AND(ISNUMBER(MATCH(GX$2, AsistenciaJetAdminConcatenada!$A:$A, 0)), ISNUMBER(MATCH(GX$1, AsistenciaJetAdminConcatenada!$B:$B, 0)), ISNUMBER(SEARCH($A26,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ISNUMBER(SEARCH($A26, INDEX(AsistenciaJetAdminConcatenada!$D:$D, MATCH(1, (AsistenciaJetAdminConcatenada!$A:$A=GX$2)*(AsistenciaJetAdminConcatenada!$B:$B=GX$1), 0)), 1))),  0.5, 0))</f>
        <v>0</v>
      </c>
      <c r="GY26" s="47">
        <f t="array" ref="GY26">IF(AND(ISNUMBER(MATCH(GY$2, AsistenciaJetAdminConcatenada!$A:$A, 0)), ISNUMBER(MATCH(GY$1, AsistenciaJetAdminConcatenada!$B:$B, 0)), ISNUMBER(SEARCH($A26,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ISNUMBER(SEARCH($A26, INDEX(AsistenciaJetAdminConcatenada!$D:$D, MATCH(1, (AsistenciaJetAdminConcatenada!$A:$A=GY$2)*(AsistenciaJetAdminConcatenada!$B:$B=GY$1), 0)), 1))),  0.5, 0))</f>
        <v>0</v>
      </c>
      <c r="GZ26" s="47">
        <f t="array" ref="GZ26">IF(AND(ISNUMBER(MATCH(GZ$2, AsistenciaJetAdminConcatenada!$A:$A, 0)), ISNUMBER(MATCH(GZ$1, AsistenciaJetAdminConcatenada!$B:$B, 0)), ISNUMBER(SEARCH($A26,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ISNUMBER(SEARCH($A26, INDEX(AsistenciaJetAdminConcatenada!$D:$D, MATCH(1, (AsistenciaJetAdminConcatenada!$A:$A=GZ$2)*(AsistenciaJetAdminConcatenada!$B:$B=GZ$1), 0)), 1))),  0.5, 0))</f>
        <v>0</v>
      </c>
      <c r="HA26" s="47">
        <f t="array" ref="HA26">IF(AND(ISNUMBER(MATCH(HA$2, AsistenciaJetAdminConcatenada!$A:$A, 0)), ISNUMBER(MATCH(HA$1, AsistenciaJetAdminConcatenada!$B:$B, 0)), ISNUMBER(SEARCH($A26,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ISNUMBER(SEARCH($A26, INDEX(AsistenciaJetAdminConcatenada!$D:$D, MATCH(1, (AsistenciaJetAdminConcatenada!$A:$A=HA$2)*(AsistenciaJetAdminConcatenada!$B:$B=HA$1), 0)), 1))),  0.5, 0))</f>
        <v>0</v>
      </c>
      <c r="HB26" s="47">
        <f t="array" ref="HB26">IF(AND(ISNUMBER(MATCH(HB$2, AsistenciaJetAdminConcatenada!$A:$A, 0)), ISNUMBER(MATCH(HB$1, AsistenciaJetAdminConcatenada!$B:$B, 0)), ISNUMBER(SEARCH($A26,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ISNUMBER(SEARCH($A26, INDEX(AsistenciaJetAdminConcatenada!$D:$D, MATCH(1, (AsistenciaJetAdminConcatenada!$A:$A=HB$2)*(AsistenciaJetAdminConcatenada!$B:$B=HB$1), 0)), 1))),  0.5, 0))</f>
        <v>0</v>
      </c>
      <c r="HC26" s="47">
        <f t="array" ref="HC26">IF(AND(ISNUMBER(MATCH(HC$2, AsistenciaJetAdminConcatenada!$A:$A, 0)), ISNUMBER(MATCH(HC$1, AsistenciaJetAdminConcatenada!$B:$B, 0)), ISNUMBER(SEARCH($A26,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ISNUMBER(SEARCH($A26, INDEX(AsistenciaJetAdminConcatenada!$D:$D, MATCH(1, (AsistenciaJetAdminConcatenada!$A:$A=HC$2)*(AsistenciaJetAdminConcatenada!$B:$B=HC$1), 0)), 1))),  0.5, 0))</f>
        <v>0</v>
      </c>
    </row>
    <row r="27" ht="29.25" customHeight="1">
      <c r="A27" s="3">
        <v>156.0</v>
      </c>
      <c r="B27" s="4" t="s">
        <v>257</v>
      </c>
      <c r="C27" s="47">
        <f>SUM(D27:HC27) + ActividadesEspeciales!C27</f>
        <v>74.5</v>
      </c>
      <c r="D27" s="47">
        <f t="array" ref="D27">IF(AND(ISNUMBER(MATCH(D$2, AsistenciaJetAdminConcatenada!$A:$A, 0)), ISNUMBER(MATCH(D$1, AsistenciaJetAdminConcatenada!$B:$B, 0)), ISNUMBER(SEARCH($A27,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ISNUMBER(SEARCH($A27, INDEX(AsistenciaJetAdminConcatenada!$D:$D, MATCH(1, (AsistenciaJetAdminConcatenada!$A:$A=D$2)*(AsistenciaJetAdminConcatenada!$B:$B=D$1), 0)), 1))),  0.5, 0))</f>
        <v>1</v>
      </c>
      <c r="E27" s="47">
        <f t="array" ref="E27">IF(AND(ISNUMBER(MATCH(E$2, AsistenciaJetAdminConcatenada!$A:$A, 0)), ISNUMBER(MATCH(E$1, AsistenciaJetAdminConcatenada!$B:$B, 0)), ISNUMBER(SEARCH($A27,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ISNUMBER(SEARCH($A27, INDEX(AsistenciaJetAdminConcatenada!$D:$D, MATCH(1, (AsistenciaJetAdminConcatenada!$A:$A=E$2)*(AsistenciaJetAdminConcatenada!$B:$B=E$1), 0)), 1))),  0.5, 0))</f>
        <v>1</v>
      </c>
      <c r="F27" s="47">
        <f t="array" ref="F27">IF(AND(ISNUMBER(MATCH(F$2, AsistenciaJetAdminConcatenada!$A:$A, 0)), ISNUMBER(MATCH(F$1, AsistenciaJetAdminConcatenada!$B:$B, 0)), ISNUMBER(SEARCH($A27,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ISNUMBER(SEARCH($A27, INDEX(AsistenciaJetAdminConcatenada!$D:$D, MATCH(1, (AsistenciaJetAdminConcatenada!$A:$A=F$2)*(AsistenciaJetAdminConcatenada!$B:$B=F$1), 0)), 1))),  0.5, 0))</f>
        <v>1</v>
      </c>
      <c r="G27" s="47">
        <f t="array" ref="G27">IF(AND(ISNUMBER(MATCH(G$2, AsistenciaJetAdminConcatenada!$A:$A, 0)), ISNUMBER(MATCH(G$1, AsistenciaJetAdminConcatenada!$B:$B, 0)), ISNUMBER(SEARCH($A27,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ISNUMBER(SEARCH($A27, INDEX(AsistenciaJetAdminConcatenada!$D:$D, MATCH(1, (AsistenciaJetAdminConcatenada!$A:$A=G$2)*(AsistenciaJetAdminConcatenada!$B:$B=G$1), 0)), 1))),  0.5, 0))</f>
        <v>1</v>
      </c>
      <c r="H27" s="47">
        <f t="array" ref="H27">IF(AND(ISNUMBER(MATCH(H$2, AsistenciaJetAdminConcatenada!$A:$A, 0)), ISNUMBER(MATCH(H$1, AsistenciaJetAdminConcatenada!$B:$B, 0)), ISNUMBER(SEARCH($A27,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ISNUMBER(SEARCH($A27, INDEX(AsistenciaJetAdminConcatenada!$D:$D, MATCH(1, (AsistenciaJetAdminConcatenada!$A:$A=H$2)*(AsistenciaJetAdminConcatenada!$B:$B=H$1), 0)), 1))),  0.5, 0))</f>
        <v>1</v>
      </c>
      <c r="I27" s="47">
        <f t="array" ref="I27">IF(AND(ISNUMBER(MATCH(I$2, AsistenciaJetAdminConcatenada!$A:$A, 0)), ISNUMBER(MATCH(I$1, AsistenciaJetAdminConcatenada!$B:$B, 0)), ISNUMBER(SEARCH($A27,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ISNUMBER(SEARCH($A27, INDEX(AsistenciaJetAdminConcatenada!$D:$D, MATCH(1, (AsistenciaJetAdminConcatenada!$A:$A=I$2)*(AsistenciaJetAdminConcatenada!$B:$B=I$1), 0)), 1))),  0.5, 0))</f>
        <v>1</v>
      </c>
      <c r="J27" s="47">
        <f t="array" ref="J27">IF(AND(ISNUMBER(MATCH(J$2, AsistenciaJetAdminConcatenada!$A:$A, 0)), ISNUMBER(MATCH(J$1, AsistenciaJetAdminConcatenada!$B:$B, 0)), ISNUMBER(SEARCH($A27,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ISNUMBER(SEARCH($A27, INDEX(AsistenciaJetAdminConcatenada!$D:$D, MATCH(1, (AsistenciaJetAdminConcatenada!$A:$A=J$2)*(AsistenciaJetAdminConcatenada!$B:$B=J$1), 0)), 1))),  0.5, 0))</f>
        <v>1</v>
      </c>
      <c r="K27" s="47">
        <f t="array" ref="K27">IF(AND(ISNUMBER(MATCH(K$2, AsistenciaJetAdminConcatenada!$A:$A, 0)), ISNUMBER(MATCH(K$1, AsistenciaJetAdminConcatenada!$B:$B, 0)), ISNUMBER(SEARCH($A27,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ISNUMBER(SEARCH($A27, INDEX(AsistenciaJetAdminConcatenada!$D:$D, MATCH(1, (AsistenciaJetAdminConcatenada!$A:$A=K$2)*(AsistenciaJetAdminConcatenada!$B:$B=K$1), 0)), 1))),  0.5, 0))</f>
        <v>1</v>
      </c>
      <c r="L27" s="47">
        <f t="array" ref="L27">IF(AND(ISNUMBER(MATCH(L$2, AsistenciaJetAdminConcatenada!$A:$A, 0)), ISNUMBER(MATCH(L$1, AsistenciaJetAdminConcatenada!$B:$B, 0)), ISNUMBER(SEARCH($A27,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ISNUMBER(SEARCH($A27, INDEX(AsistenciaJetAdminConcatenada!$D:$D, MATCH(1, (AsistenciaJetAdminConcatenada!$A:$A=L$2)*(AsistenciaJetAdminConcatenada!$B:$B=L$1), 0)), 1))),  0.5, 0))</f>
        <v>0.5</v>
      </c>
      <c r="M27" s="47">
        <f t="array" ref="M27">IF(AND(ISNUMBER(MATCH(M$2, AsistenciaJetAdminConcatenada!$A:$A, 0)), ISNUMBER(MATCH(M$1, AsistenciaJetAdminConcatenada!$B:$B, 0)), ISNUMBER(SEARCH($A27,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ISNUMBER(SEARCH($A27, INDEX(AsistenciaJetAdminConcatenada!$D:$D, MATCH(1, (AsistenciaJetAdminConcatenada!$A:$A=M$2)*(AsistenciaJetAdminConcatenada!$B:$B=M$1), 0)), 1))),  0.5, 0))</f>
        <v>1</v>
      </c>
      <c r="N27" s="47">
        <f t="array" ref="N27">IF(AND(ISNUMBER(MATCH(N$2, AsistenciaJetAdminConcatenada!$A:$A, 0)), ISNUMBER(MATCH(N$1, AsistenciaJetAdminConcatenada!$B:$B, 0)), ISNUMBER(SEARCH($A27,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ISNUMBER(SEARCH($A27, INDEX(AsistenciaJetAdminConcatenada!$D:$D, MATCH(1, (AsistenciaJetAdminConcatenada!$A:$A=N$2)*(AsistenciaJetAdminConcatenada!$B:$B=N$1), 0)), 1))),  0.5, 0))</f>
        <v>0</v>
      </c>
      <c r="O27" s="47">
        <f t="array" ref="O27">IF(AND(ISNUMBER(MATCH(O$2, AsistenciaJetAdminConcatenada!$A:$A, 0)), ISNUMBER(MATCH(O$1, AsistenciaJetAdminConcatenada!$B:$B, 0)), ISNUMBER(SEARCH($A27,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ISNUMBER(SEARCH($A27, INDEX(AsistenciaJetAdminConcatenada!$D:$D, MATCH(1, (AsistenciaJetAdminConcatenada!$A:$A=O$2)*(AsistenciaJetAdminConcatenada!$B:$B=O$1), 0)), 1))),  0.5, 0))</f>
        <v>1</v>
      </c>
      <c r="P27" s="47">
        <f t="array" ref="P27">IF(AND(ISNUMBER(MATCH(P$2, AsistenciaJetAdminConcatenada!$A:$A, 0)), ISNUMBER(MATCH(P$1, AsistenciaJetAdminConcatenada!$B:$B, 0)), ISNUMBER(SEARCH($A27, INDEX(AsistenciaJetAdminConcatenada!$C:$C, MATCH(1, (AsistenciaJetAdminConcatenada!$A:$A=P$2)*(AsistenciaJetAdminConcatenada!$B:$B=P$1), 0)), 1))), 1, IF(AND(ISNUMBER(MATCH(P$2, AsistenciaJetAdminConcatenada!$A:$A, 0)), ISNUMBER(MATCH(P$1, AsistenciaJetAdminConcatenada!$B:$B, 0)), ISNUMBER(SEARCH($A27, INDEX(AsistenciaJetAdminConcatenada!$D:$D, MATCH(1, (AsistenciaJetAdminConcatenada!$A:$A=P$2)*(AsistenciaJetAdminConcatenada!$B:$B=P$1), 0)), 1))),  0.5, 0))</f>
        <v>1</v>
      </c>
      <c r="Q27" s="8">
        <v>1.0</v>
      </c>
      <c r="R27" s="47">
        <f t="array" ref="R27">IF(AND(ISNUMBER(MATCH(R$2, AsistenciaJetAdminConcatenada!$A:$A, 0)), ISNUMBER(MATCH(R$1, AsistenciaJetAdminConcatenada!$B:$B, 0)), ISNUMBER(SEARCH($A27,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ISNUMBER(SEARCH($A27, INDEX(AsistenciaJetAdminConcatenada!$D:$D, MATCH(1, (AsistenciaJetAdminConcatenada!$A:$A=R$2)*(AsistenciaJetAdminConcatenada!$B:$B=R$1), 0)), 1))),  0.5, 0))</f>
        <v>1</v>
      </c>
      <c r="S27" s="47">
        <f t="array" ref="S27">IF(AND(ISNUMBER(MATCH(S$2, AsistenciaJetAdminConcatenada!$A:$A, 0)), ISNUMBER(MATCH(S$1, AsistenciaJetAdminConcatenada!$B:$B, 0)), ISNUMBER(SEARCH($A27,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ISNUMBER(SEARCH($A27, INDEX(AsistenciaJetAdminConcatenada!$D:$D, MATCH(1, (AsistenciaJetAdminConcatenada!$A:$A=S$2)*(AsistenciaJetAdminConcatenada!$B:$B=S$1), 0)), 1))),  0.5, 0))</f>
        <v>1</v>
      </c>
      <c r="T27" s="47">
        <f t="array" ref="T27">IF(AND(ISNUMBER(MATCH(T$2, AsistenciaJetAdminConcatenada!$A:$A, 0)), ISNUMBER(MATCH(T$1, AsistenciaJetAdminConcatenada!$B:$B, 0)), ISNUMBER(SEARCH($A27,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ISNUMBER(SEARCH($A27, INDEX(AsistenciaJetAdminConcatenada!$D:$D, MATCH(1, (AsistenciaJetAdminConcatenada!$A:$A=T$2)*(AsistenciaJetAdminConcatenada!$B:$B=T$1), 0)), 1))),  0.5, 0))</f>
        <v>1</v>
      </c>
      <c r="U27" s="47">
        <f t="array" ref="U27">IF(AND(ISNUMBER(MATCH(U$2, AsistenciaJetAdminConcatenada!$A:$A, 0)), ISNUMBER(MATCH(U$1, AsistenciaJetAdminConcatenada!$B:$B, 0)), ISNUMBER(SEARCH($A27,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ISNUMBER(SEARCH($A27, INDEX(AsistenciaJetAdminConcatenada!$D:$D, MATCH(1, (AsistenciaJetAdminConcatenada!$A:$A=U$2)*(AsistenciaJetAdminConcatenada!$B:$B=U$1), 0)), 1))),  0.5, 0))</f>
        <v>1</v>
      </c>
      <c r="V27" s="47">
        <f t="array" ref="V27">IF(AND(ISNUMBER(MATCH(V$2, AsistenciaJetAdminConcatenada!$A:$A, 0)), ISNUMBER(MATCH(V$1, AsistenciaJetAdminConcatenada!$B:$B, 0)), ISNUMBER(SEARCH($A27,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ISNUMBER(SEARCH($A27, INDEX(AsistenciaJetAdminConcatenada!$D:$D, MATCH(1, (AsistenciaJetAdminConcatenada!$A:$A=V$2)*(AsistenciaJetAdminConcatenada!$B:$B=V$1), 0)), 1))),  0.5, 0))</f>
        <v>1</v>
      </c>
      <c r="W27" s="47">
        <f t="array" ref="W27">IF(AND(ISNUMBER(MATCH(W$2, AsistenciaJetAdminConcatenada!$A:$A, 0)), ISNUMBER(MATCH(W$1, AsistenciaJetAdminConcatenada!$B:$B, 0)), ISNUMBER(SEARCH($A27,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ISNUMBER(SEARCH($A27, INDEX(AsistenciaJetAdminConcatenada!$D:$D, MATCH(1, (AsistenciaJetAdminConcatenada!$A:$A=W$2)*(AsistenciaJetAdminConcatenada!$B:$B=W$1), 0)), 1))),  0.5, 0))</f>
        <v>1</v>
      </c>
      <c r="X27" s="47">
        <f t="array" ref="X27">IF(AND(ISNUMBER(MATCH(X$2, AsistenciaJetAdminConcatenada!$A:$A, 0)), ISNUMBER(MATCH(X$1, AsistenciaJetAdminConcatenada!$B:$B, 0)), ISNUMBER(SEARCH($A27,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ISNUMBER(SEARCH($A27, INDEX(AsistenciaJetAdminConcatenada!$D:$D, MATCH(1, (AsistenciaJetAdminConcatenada!$A:$A=X$2)*(AsistenciaJetAdminConcatenada!$B:$B=X$1), 0)), 1))),  0.5, 0))</f>
        <v>0.5</v>
      </c>
      <c r="Y27" s="47">
        <f t="array" ref="Y27">IF(AND(ISNUMBER(MATCH(Y$2, AsistenciaJetAdminConcatenada!$A:$A, 0)), ISNUMBER(MATCH(Y$1, AsistenciaJetAdminConcatenada!$B:$B, 0)), ISNUMBER(SEARCH($A27,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ISNUMBER(SEARCH($A27, INDEX(AsistenciaJetAdminConcatenada!$D:$D, MATCH(1, (AsistenciaJetAdminConcatenada!$A:$A=Y$2)*(AsistenciaJetAdminConcatenada!$B:$B=Y$1), 0)), 1))),  0.5, 0))</f>
        <v>0.5</v>
      </c>
      <c r="Z27" s="47">
        <f t="array" ref="Z27">IF(AND(ISNUMBER(MATCH(Z$2, AsistenciaJetAdminConcatenada!$A:$A, 0)), ISNUMBER(MATCH(Z$1, AsistenciaJetAdminConcatenada!$B:$B, 0)), ISNUMBER(SEARCH($A27,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ISNUMBER(SEARCH($A27, INDEX(AsistenciaJetAdminConcatenada!$D:$D, MATCH(1, (AsistenciaJetAdminConcatenada!$A:$A=Z$2)*(AsistenciaJetAdminConcatenada!$B:$B=Z$1), 0)), 1))),  0.5, 0))</f>
        <v>1</v>
      </c>
      <c r="AA27" s="47">
        <f t="array" ref="AA27">IF(AND(ISNUMBER(MATCH(AA$2, AsistenciaJetAdminConcatenada!$A:$A, 0)), ISNUMBER(MATCH(AA$1, AsistenciaJetAdminConcatenada!$B:$B, 0)), ISNUMBER(SEARCH($A27,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ISNUMBER(SEARCH($A27, INDEX(AsistenciaJetAdminConcatenada!$D:$D, MATCH(1, (AsistenciaJetAdminConcatenada!$A:$A=AA$2)*(AsistenciaJetAdminConcatenada!$B:$B=AA$1), 0)), 1))),  0.5, 0))</f>
        <v>1</v>
      </c>
      <c r="AB27" s="47">
        <f t="array" ref="AB27">IF(AND(ISNUMBER(MATCH(AB$2, AsistenciaJetAdminConcatenada!$A:$A, 0)), ISNUMBER(MATCH(AB$1, AsistenciaJetAdminConcatenada!$B:$B, 0)), ISNUMBER(SEARCH($A27,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ISNUMBER(SEARCH($A27, INDEX(AsistenciaJetAdminConcatenada!$D:$D, MATCH(1, (AsistenciaJetAdminConcatenada!$A:$A=AB$2)*(AsistenciaJetAdminConcatenada!$B:$B=AB$1), 0)), 1))),  0.5, 0))</f>
        <v>1</v>
      </c>
      <c r="AC27" s="47">
        <f t="array" ref="AC27">IF(AND(ISNUMBER(MATCH(AC$2, AsistenciaJetAdminConcatenada!$A:$A, 0)), ISNUMBER(MATCH(AC$1, AsistenciaJetAdminConcatenada!$B:$B, 0)), ISNUMBER(SEARCH($A27,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ISNUMBER(SEARCH($A27, INDEX(AsistenciaJetAdminConcatenada!$D:$D, MATCH(1, (AsistenciaJetAdminConcatenada!$A:$A=AC$2)*(AsistenciaJetAdminConcatenada!$B:$B=AC$1), 0)), 1))),  0.5, 0))</f>
        <v>1</v>
      </c>
      <c r="AD27" s="47">
        <f t="array" ref="AD27">IF(AND(ISNUMBER(MATCH(AD$2, AsistenciaJetAdminConcatenada!$A:$A, 0)), ISNUMBER(MATCH(AD$1, AsistenciaJetAdminConcatenada!$B:$B, 0)), ISNUMBER(SEARCH($A27,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ISNUMBER(SEARCH($A27, INDEX(AsistenciaJetAdminConcatenada!$D:$D, MATCH(1, (AsistenciaJetAdminConcatenada!$A:$A=AD$2)*(AsistenciaJetAdminConcatenada!$B:$B=AD$1), 0)), 1))),  0.5, 0))</f>
        <v>1</v>
      </c>
      <c r="AE27" s="47">
        <f t="array" ref="AE27">IF(AND(ISNUMBER(MATCH(AE$2, AsistenciaJetAdminConcatenada!$A:$A, 0)), ISNUMBER(MATCH(AE$1, AsistenciaJetAdminConcatenada!$B:$B, 0)), ISNUMBER(SEARCH($A27,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ISNUMBER(SEARCH($A27, INDEX(AsistenciaJetAdminConcatenada!$D:$D, MATCH(1, (AsistenciaJetAdminConcatenada!$A:$A=AE$2)*(AsistenciaJetAdminConcatenada!$B:$B=AE$1), 0)), 1))),  0.5, 0))</f>
        <v>1</v>
      </c>
      <c r="AF27" s="47">
        <f t="array" ref="AF27">IF(AND(ISNUMBER(MATCH(AF$2, AsistenciaJetAdminConcatenada!$A:$A, 0)), ISNUMBER(MATCH(AF$1, AsistenciaJetAdminConcatenada!$B:$B, 0)), ISNUMBER(SEARCH($A27,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ISNUMBER(SEARCH($A27, INDEX(AsistenciaJetAdminConcatenada!$D:$D, MATCH(1, (AsistenciaJetAdminConcatenada!$A:$A=AF$2)*(AsistenciaJetAdminConcatenada!$B:$B=AF$1), 0)), 1))),  0.5, 0))</f>
        <v>1</v>
      </c>
      <c r="AG27" s="47">
        <f t="array" ref="AG27">IF(AND(ISNUMBER(MATCH(AG$2, AsistenciaJetAdminConcatenada!$A:$A, 0)), ISNUMBER(MATCH(AG$1, AsistenciaJetAdminConcatenada!$B:$B, 0)), ISNUMBER(SEARCH($A27,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ISNUMBER(SEARCH($A27, INDEX(AsistenciaJetAdminConcatenada!$D:$D, MATCH(1, (AsistenciaJetAdminConcatenada!$A:$A=AG$2)*(AsistenciaJetAdminConcatenada!$B:$B=AG$1), 0)), 1))),  0.5, 0))</f>
        <v>1</v>
      </c>
      <c r="AH27" s="47">
        <f t="array" ref="AH27">IF(AND(ISNUMBER(MATCH(AH$2, AsistenciaJetAdminConcatenada!$A:$A, 0)), ISNUMBER(MATCH(AH$1, AsistenciaJetAdminConcatenada!$B:$B, 0)), ISNUMBER(SEARCH($A27,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ISNUMBER(SEARCH($A27, INDEX(AsistenciaJetAdminConcatenada!$D:$D, MATCH(1, (AsistenciaJetAdminConcatenada!$A:$A=AH$2)*(AsistenciaJetAdminConcatenada!$B:$B=AH$1), 0)), 1))),  0.5, 0))</f>
        <v>0</v>
      </c>
      <c r="AI27" s="47">
        <f t="array" ref="AI27">IF(AND(ISNUMBER(MATCH(AI$2, AsistenciaJetAdminConcatenada!$A:$A, 0)), ISNUMBER(MATCH(AI$1, AsistenciaJetAdminConcatenada!$B:$B, 0)), ISNUMBER(SEARCH($A27,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ISNUMBER(SEARCH($A27, INDEX(AsistenciaJetAdminConcatenada!$D:$D, MATCH(1, (AsistenciaJetAdminConcatenada!$A:$A=AI$2)*(AsistenciaJetAdminConcatenada!$B:$B=AI$1), 0)), 1))),  0.5, 0))</f>
        <v>1</v>
      </c>
      <c r="AJ27" s="47">
        <f t="array" ref="AJ27">IF(AND(ISNUMBER(MATCH(AJ$2, AsistenciaJetAdminConcatenada!$A:$A, 0)), ISNUMBER(MATCH(AJ$1, AsistenciaJetAdminConcatenada!$B:$B, 0)), ISNUMBER(SEARCH($A27,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ISNUMBER(SEARCH($A27, INDEX(AsistenciaJetAdminConcatenada!$D:$D, MATCH(1, (AsistenciaJetAdminConcatenada!$A:$A=AJ$2)*(AsistenciaJetAdminConcatenada!$B:$B=AJ$1), 0)), 1))),  0.5, 0))</f>
        <v>1</v>
      </c>
      <c r="AK27" s="47">
        <f t="array" ref="AK27">IF(AND(ISNUMBER(MATCH(AK$2, AsistenciaJetAdminConcatenada!$A:$A, 0)), ISNUMBER(MATCH(AK$1, AsistenciaJetAdminConcatenada!$B:$B, 0)), ISNUMBER(SEARCH($A27,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ISNUMBER(SEARCH($A27, INDEX(AsistenciaJetAdminConcatenada!$D:$D, MATCH(1, (AsistenciaJetAdminConcatenada!$A:$A=AK$2)*(AsistenciaJetAdminConcatenada!$B:$B=AK$1), 0)), 1))),  0.5, 0))</f>
        <v>0</v>
      </c>
      <c r="AL27" s="47">
        <f t="array" ref="AL27">IF(AND(ISNUMBER(MATCH(AL$2, AsistenciaJetAdminConcatenada!$A:$A, 0)), ISNUMBER(MATCH(AL$1, AsistenciaJetAdminConcatenada!$B:$B, 0)), ISNUMBER(SEARCH($A27,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ISNUMBER(SEARCH($A27, INDEX(AsistenciaJetAdminConcatenada!$D:$D, MATCH(1, (AsistenciaJetAdminConcatenada!$A:$A=AL$2)*(AsistenciaJetAdminConcatenada!$B:$B=AL$1), 0)), 1))),  0.5, 0))</f>
        <v>0</v>
      </c>
      <c r="AM27" s="47">
        <f t="array" ref="AM27">IF(AND(ISNUMBER(MATCH(AM$2, AsistenciaJetAdminConcatenada!$A:$A, 0)), ISNUMBER(MATCH(AM$1, AsistenciaJetAdminConcatenada!$B:$B, 0)), ISNUMBER(SEARCH($A27,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ISNUMBER(SEARCH($A27, INDEX(AsistenciaJetAdminConcatenada!$D:$D, MATCH(1, (AsistenciaJetAdminConcatenada!$A:$A=AM$2)*(AsistenciaJetAdminConcatenada!$B:$B=AM$1), 0)), 1))),  0.5, 0))</f>
        <v>0</v>
      </c>
      <c r="AN27" s="47">
        <f t="array" ref="AN27">IF(AND(ISNUMBER(MATCH(AN$2, AsistenciaJetAdminConcatenada!$A:$A, 0)), ISNUMBER(MATCH(AN$1, AsistenciaJetAdminConcatenada!$B:$B, 0)), ISNUMBER(SEARCH($A27,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ISNUMBER(SEARCH($A27, INDEX(AsistenciaJetAdminConcatenada!$D:$D, MATCH(1, (AsistenciaJetAdminConcatenada!$A:$A=AN$2)*(AsistenciaJetAdminConcatenada!$B:$B=AN$1), 0)), 1))),  0.5, 0))</f>
        <v>0</v>
      </c>
      <c r="AO27" s="47">
        <f t="array" ref="AO27">IF(AND(ISNUMBER(MATCH(AO$2, AsistenciaJetAdminConcatenada!$A:$A, 0)), ISNUMBER(MATCH(AO$1, AsistenciaJetAdminConcatenada!$B:$B, 0)), ISNUMBER(SEARCH($A27,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ISNUMBER(SEARCH($A27, INDEX(AsistenciaJetAdminConcatenada!$D:$D, MATCH(1, (AsistenciaJetAdminConcatenada!$A:$A=AO$2)*(AsistenciaJetAdminConcatenada!$B:$B=AO$1), 0)), 1))),  0.5, 0))</f>
        <v>0</v>
      </c>
      <c r="AP27" s="47">
        <f t="array" ref="AP27">IF(AND(ISNUMBER(MATCH(AP$2, AsistenciaJetAdminConcatenada!$A:$A, 0)), ISNUMBER(MATCH(AP$1, AsistenciaJetAdminConcatenada!$B:$B, 0)), ISNUMBER(SEARCH($A27,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ISNUMBER(SEARCH($A27, INDEX(AsistenciaJetAdminConcatenada!$D:$D, MATCH(1, (AsistenciaJetAdminConcatenada!$A:$A=AP$2)*(AsistenciaJetAdminConcatenada!$B:$B=AP$1), 0)), 1))),  0.5, 0))</f>
        <v>0</v>
      </c>
      <c r="AQ27" s="47">
        <f t="array" ref="AQ27">IF(AND(ISNUMBER(MATCH(AQ$2, AsistenciaJetAdminConcatenada!$A:$A, 0)), ISNUMBER(MATCH(AQ$1, AsistenciaJetAdminConcatenada!$B:$B, 0)), ISNUMBER(SEARCH($A27,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ISNUMBER(SEARCH($A27, INDEX(AsistenciaJetAdminConcatenada!$D:$D, MATCH(1, (AsistenciaJetAdminConcatenada!$A:$A=AQ$2)*(AsistenciaJetAdminConcatenada!$B:$B=AQ$1), 0)), 1))),  0.5, 0))</f>
        <v>0</v>
      </c>
      <c r="AR27" s="47">
        <f t="array" ref="AR27">IF(AND(ISNUMBER(MATCH(AR$2, AsistenciaJetAdminConcatenada!$A:$A, 0)), ISNUMBER(MATCH(AR$1, AsistenciaJetAdminConcatenada!$B:$B, 0)), ISNUMBER(SEARCH($A27,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ISNUMBER(SEARCH($A27, INDEX(AsistenciaJetAdminConcatenada!$D:$D, MATCH(1, (AsistenciaJetAdminConcatenada!$A:$A=AR$2)*(AsistenciaJetAdminConcatenada!$B:$B=AR$1), 0)), 1))),  0.5, 0))</f>
        <v>1</v>
      </c>
      <c r="AS27" s="47">
        <f t="array" ref="AS27">IF(AND(ISNUMBER(MATCH(AS$2, AsistenciaJetAdminConcatenada!$A:$A, 0)), ISNUMBER(MATCH(AS$1, AsistenciaJetAdminConcatenada!$B:$B, 0)), ISNUMBER(SEARCH($A27,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ISNUMBER(SEARCH($A27, INDEX(AsistenciaJetAdminConcatenada!$D:$D, MATCH(1, (AsistenciaJetAdminConcatenada!$A:$A=AS$2)*(AsistenciaJetAdminConcatenada!$B:$B=AS$1), 0)), 1))),  0.5, 0))</f>
        <v>0</v>
      </c>
      <c r="AT27" s="47">
        <f t="array" ref="AT27">IF(AND(ISNUMBER(MATCH(AT$2, AsistenciaJetAdminConcatenada!$A:$A, 0)), ISNUMBER(MATCH(AT$1, AsistenciaJetAdminConcatenada!$B:$B, 0)), ISNUMBER(SEARCH($A27,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ISNUMBER(SEARCH($A27, INDEX(AsistenciaJetAdminConcatenada!$D:$D, MATCH(1, (AsistenciaJetAdminConcatenada!$A:$A=AT$2)*(AsistenciaJetAdminConcatenada!$B:$B=AT$1), 0)), 1))),  0.5, 0))</f>
        <v>0</v>
      </c>
      <c r="AU27" s="47">
        <f t="array" ref="AU27">IF(AND(ISNUMBER(MATCH(AU$2, AsistenciaJetAdminConcatenada!$A:$A, 0)), ISNUMBER(MATCH(AU$1, AsistenciaJetAdminConcatenada!$B:$B, 0)), ISNUMBER(SEARCH($A27,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ISNUMBER(SEARCH($A27, INDEX(AsistenciaJetAdminConcatenada!$D:$D, MATCH(1, (AsistenciaJetAdminConcatenada!$A:$A=AU$2)*(AsistenciaJetAdminConcatenada!$B:$B=AU$1), 0)), 1))),  0.5, 0))</f>
        <v>1</v>
      </c>
      <c r="AV27" s="47">
        <f t="array" ref="AV27">IF(AND(ISNUMBER(MATCH(AV$2, AsistenciaJetAdminConcatenada!$A:$A, 0)), ISNUMBER(MATCH(AV$1, AsistenciaJetAdminConcatenada!$B:$B, 0)), ISNUMBER(SEARCH($A27,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ISNUMBER(SEARCH($A27, INDEX(AsistenciaJetAdminConcatenada!$D:$D, MATCH(1, (AsistenciaJetAdminConcatenada!$A:$A=AV$2)*(AsistenciaJetAdminConcatenada!$B:$B=AV$1), 0)), 1))),  0.5, 0))</f>
        <v>1</v>
      </c>
      <c r="AW27" s="47">
        <f t="array" ref="AW27">IF(AND(ISNUMBER(MATCH(AW$2, AsistenciaJetAdminConcatenada!$A:$A, 0)), ISNUMBER(MATCH(AW$1, AsistenciaJetAdminConcatenada!$B:$B, 0)), ISNUMBER(SEARCH($A27,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ISNUMBER(SEARCH($A27, INDEX(AsistenciaJetAdminConcatenada!$D:$D, MATCH(1, (AsistenciaJetAdminConcatenada!$A:$A=AW$2)*(AsistenciaJetAdminConcatenada!$B:$B=AW$1), 0)), 1))),  0.5, 0))</f>
        <v>1</v>
      </c>
      <c r="AX27" s="47">
        <f t="array" ref="AX27">IF(AND(ISNUMBER(MATCH(AX$2, AsistenciaJetAdminConcatenada!$A:$A, 0)), ISNUMBER(MATCH(AX$1, AsistenciaJetAdminConcatenada!$B:$B, 0)), ISNUMBER(SEARCH($A27,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ISNUMBER(SEARCH($A27, INDEX(AsistenciaJetAdminConcatenada!$D:$D, MATCH(1, (AsistenciaJetAdminConcatenada!$A:$A=AX$2)*(AsistenciaJetAdminConcatenada!$B:$B=AX$1), 0)), 1))),  0.5, 0))</f>
        <v>1</v>
      </c>
      <c r="AY27" s="47">
        <f t="array" ref="AY27">IF(AND(ISNUMBER(MATCH(AY$2, AsistenciaJetAdminConcatenada!$A:$A, 0)), ISNUMBER(MATCH(AY$1, AsistenciaJetAdminConcatenada!$B:$B, 0)), ISNUMBER(SEARCH($A27,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ISNUMBER(SEARCH($A27, INDEX(AsistenciaJetAdminConcatenada!$D:$D, MATCH(1, (AsistenciaJetAdminConcatenada!$A:$A=AY$2)*(AsistenciaJetAdminConcatenada!$B:$B=AY$1), 0)), 1))),  0.5, 0))</f>
        <v>0</v>
      </c>
      <c r="AZ27" s="47">
        <f t="array" ref="AZ27">IF(AND(ISNUMBER(MATCH(AZ$2, AsistenciaJetAdminConcatenada!$A:$A, 0)), ISNUMBER(MATCH(AZ$1, AsistenciaJetAdminConcatenada!$B:$B, 0)), ISNUMBER(SEARCH($A27,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ISNUMBER(SEARCH($A27, INDEX(AsistenciaJetAdminConcatenada!$D:$D, MATCH(1, (AsistenciaJetAdminConcatenada!$A:$A=AZ$2)*(AsistenciaJetAdminConcatenada!$B:$B=AZ$1), 0)), 1))),  0.5, 0))</f>
        <v>0</v>
      </c>
      <c r="BA27" s="47">
        <f t="array" ref="BA27">IF(AND(ISNUMBER(MATCH(BA$2, AsistenciaJetAdminConcatenada!$A:$A, 0)), ISNUMBER(MATCH(BA$1, AsistenciaJetAdminConcatenada!$B:$B, 0)), ISNUMBER(SEARCH($A27,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ISNUMBER(SEARCH($A27, INDEX(AsistenciaJetAdminConcatenada!$D:$D, MATCH(1, (AsistenciaJetAdminConcatenada!$A:$A=BA$2)*(AsistenciaJetAdminConcatenada!$B:$B=BA$1), 0)), 1))),  0.5, 0))</f>
        <v>1</v>
      </c>
      <c r="BB27" s="47">
        <f t="array" ref="BB27">IF(AND(ISNUMBER(MATCH(BB$2, AsistenciaJetAdminConcatenada!$A:$A, 0)), ISNUMBER(MATCH(BB$1, AsistenciaJetAdminConcatenada!$B:$B, 0)), ISNUMBER(SEARCH($A27,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ISNUMBER(SEARCH($A27, INDEX(AsistenciaJetAdminConcatenada!$D:$D, MATCH(1, (AsistenciaJetAdminConcatenada!$A:$A=BB$2)*(AsistenciaJetAdminConcatenada!$B:$B=BB$1), 0)), 1))),  0.5, 0))</f>
        <v>1</v>
      </c>
      <c r="BC27" s="47">
        <f t="array" ref="BC27">IF(AND(ISNUMBER(MATCH(BC$2, AsistenciaJetAdminConcatenada!$A:$A, 0)), ISNUMBER(MATCH(BC$1, AsistenciaJetAdminConcatenada!$B:$B, 0)), ISNUMBER(SEARCH($A27,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ISNUMBER(SEARCH($A27, INDEX(AsistenciaJetAdminConcatenada!$D:$D, MATCH(1, (AsistenciaJetAdminConcatenada!$A:$A=BC$2)*(AsistenciaJetAdminConcatenada!$B:$B=BC$1), 0)), 1))),  0.5, 0))</f>
        <v>1</v>
      </c>
      <c r="BD27" s="47">
        <f t="array" ref="BD27">IF(AND(ISNUMBER(MATCH(BD$2, AsistenciaJetAdminConcatenada!$A:$A, 0)), ISNUMBER(MATCH(BD$1, AsistenciaJetAdminConcatenada!$B:$B, 0)), ISNUMBER(SEARCH($A27,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ISNUMBER(SEARCH($A27, INDEX(AsistenciaJetAdminConcatenada!$D:$D, MATCH(1, (AsistenciaJetAdminConcatenada!$A:$A=BD$2)*(AsistenciaJetAdminConcatenada!$B:$B=BD$1), 0)), 1))),  0.5, 0))</f>
        <v>0</v>
      </c>
      <c r="BE27" s="47">
        <f t="array" ref="BE27">IF(AND(ISNUMBER(MATCH(BE$2, AsistenciaJetAdminConcatenada!$A:$A, 0)), ISNUMBER(MATCH(BE$1, AsistenciaJetAdminConcatenada!$B:$B, 0)), ISNUMBER(SEARCH($A27,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ISNUMBER(SEARCH($A27, INDEX(AsistenciaJetAdminConcatenada!$D:$D, MATCH(1, (AsistenciaJetAdminConcatenada!$A:$A=BE$2)*(AsistenciaJetAdminConcatenada!$B:$B=BE$1), 0)), 1))),  0.5, 0))</f>
        <v>1</v>
      </c>
      <c r="BF27" s="47">
        <f t="array" ref="BF27">IF(AND(ISNUMBER(MATCH(BF$2, AsistenciaJetAdminConcatenada!$A:$A, 0)), ISNUMBER(MATCH(BF$1, AsistenciaJetAdminConcatenada!$B:$B, 0)), ISNUMBER(SEARCH($A27,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ISNUMBER(SEARCH($A27, INDEX(AsistenciaJetAdminConcatenada!$D:$D, MATCH(1, (AsistenciaJetAdminConcatenada!$A:$A=BF$2)*(AsistenciaJetAdminConcatenada!$B:$B=BF$1), 0)), 1))),  0.5, 0))</f>
        <v>1</v>
      </c>
      <c r="BG27" s="47">
        <f t="array" ref="BG27">IF(AND(ISNUMBER(MATCH(BG$2, AsistenciaJetAdminConcatenada!$A:$A, 0)), ISNUMBER(MATCH(BG$1, AsistenciaJetAdminConcatenada!$B:$B, 0)), ISNUMBER(SEARCH($A27,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ISNUMBER(SEARCH($A27, INDEX(AsistenciaJetAdminConcatenada!$D:$D, MATCH(1, (AsistenciaJetAdminConcatenada!$A:$A=BG$2)*(AsistenciaJetAdminConcatenada!$B:$B=BG$1), 0)), 1))),  0.5, 0))</f>
        <v>1</v>
      </c>
      <c r="BH27" s="47">
        <f t="array" ref="BH27">IF(AND(ISNUMBER(MATCH(BH$2, AsistenciaJetAdminConcatenada!$A:$A, 0)), ISNUMBER(MATCH(BH$1, AsistenciaJetAdminConcatenada!$B:$B, 0)), ISNUMBER(SEARCH($A27,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ISNUMBER(SEARCH($A27, INDEX(AsistenciaJetAdminConcatenada!$D:$D, MATCH(1, (AsistenciaJetAdminConcatenada!$A:$A=BH$2)*(AsistenciaJetAdminConcatenada!$B:$B=BH$1), 0)), 1))),  0.5, 0))</f>
        <v>1</v>
      </c>
      <c r="BI27" s="47">
        <f t="array" ref="BI27">IF(AND(ISNUMBER(MATCH(BI$2, AsistenciaJetAdminConcatenada!$A:$A, 0)), ISNUMBER(MATCH(BI$1, AsistenciaJetAdminConcatenada!$B:$B, 0)), ISNUMBER(SEARCH($A27,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ISNUMBER(SEARCH($A27, INDEX(AsistenciaJetAdminConcatenada!$D:$D, MATCH(1, (AsistenciaJetAdminConcatenada!$A:$A=BI$2)*(AsistenciaJetAdminConcatenada!$B:$B=BI$1), 0)), 1))),  0.5, 0))</f>
        <v>1</v>
      </c>
      <c r="BJ27" s="47">
        <f t="array" ref="BJ27">IF(AND(ISNUMBER(MATCH(BJ$2, AsistenciaJetAdminConcatenada!$A:$A, 0)), ISNUMBER(MATCH(BJ$1, AsistenciaJetAdminConcatenada!$B:$B, 0)), ISNUMBER(SEARCH($A27,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ISNUMBER(SEARCH($A27, INDEX(AsistenciaJetAdminConcatenada!$D:$D, MATCH(1, (AsistenciaJetAdminConcatenada!$A:$A=BJ$2)*(AsistenciaJetAdminConcatenada!$B:$B=BJ$1), 0)), 1))),  0.5, 0))</f>
        <v>0</v>
      </c>
      <c r="BK27" s="47">
        <f t="array" ref="BK27">IF(AND(ISNUMBER(MATCH(BK$2, AsistenciaJetAdminConcatenada!$A:$A, 0)), ISNUMBER(MATCH(BK$1, AsistenciaJetAdminConcatenada!$B:$B, 0)), ISNUMBER(SEARCH($A27,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ISNUMBER(SEARCH($A27, INDEX(AsistenciaJetAdminConcatenada!$D:$D, MATCH(1, (AsistenciaJetAdminConcatenada!$A:$A=BK$2)*(AsistenciaJetAdminConcatenada!$B:$B=BK$1), 0)), 1))),  0.5, 0))</f>
        <v>1</v>
      </c>
      <c r="BL27" s="47">
        <f t="array" ref="BL27">IF(AND(ISNUMBER(MATCH(BL$2, AsistenciaJetAdminConcatenada!$A:$A, 0)), ISNUMBER(MATCH(BL$1, AsistenciaJetAdminConcatenada!$B:$B, 0)), ISNUMBER(SEARCH($A27,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ISNUMBER(SEARCH($A27, INDEX(AsistenciaJetAdminConcatenada!$D:$D, MATCH(1, (AsistenciaJetAdminConcatenada!$A:$A=BL$2)*(AsistenciaJetAdminConcatenada!$B:$B=BL$1), 0)), 1))),  0.5, 0))</f>
        <v>1</v>
      </c>
      <c r="BM27" s="47">
        <f t="array" ref="BM27">IF(AND(ISNUMBER(MATCH(BM$2, AsistenciaJetAdminConcatenada!$A:$A, 0)), ISNUMBER(MATCH(BM$1, AsistenciaJetAdminConcatenada!$B:$B, 0)), ISNUMBER(SEARCH($A27,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ISNUMBER(SEARCH($A27, INDEX(AsistenciaJetAdminConcatenada!$D:$D, MATCH(1, (AsistenciaJetAdminConcatenada!$A:$A=BM$2)*(AsistenciaJetAdminConcatenada!$B:$B=BM$1), 0)), 1))),  0.5, 0))</f>
        <v>1</v>
      </c>
      <c r="BN27" s="47">
        <f t="array" ref="BN27">IF(AND(ISNUMBER(MATCH(BN$2, AsistenciaJetAdminConcatenada!$A:$A, 0)), ISNUMBER(MATCH(BN$1, AsistenciaJetAdminConcatenada!$B:$B, 0)), ISNUMBER(SEARCH($A27,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ISNUMBER(SEARCH($A27, INDEX(AsistenciaJetAdminConcatenada!$D:$D, MATCH(1, (AsistenciaJetAdminConcatenada!$A:$A=BN$2)*(AsistenciaJetAdminConcatenada!$B:$B=BN$1), 0)), 1))),  0.5, 0))</f>
        <v>1</v>
      </c>
      <c r="BO27" s="47">
        <f t="array" ref="BO27">IF(AND(ISNUMBER(MATCH(BO$2, AsistenciaJetAdminConcatenada!$A:$A, 0)), ISNUMBER(MATCH(BO$1, AsistenciaJetAdminConcatenada!$B:$B, 0)), ISNUMBER(SEARCH($A27,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ISNUMBER(SEARCH($A27, INDEX(AsistenciaJetAdminConcatenada!$D:$D, MATCH(1, (AsistenciaJetAdminConcatenada!$A:$A=BO$2)*(AsistenciaJetAdminConcatenada!$B:$B=BO$1), 0)), 1))),  0.5, 0))</f>
        <v>0</v>
      </c>
      <c r="BP27" s="47">
        <f t="array" ref="BP27">IF(AND(ISNUMBER(MATCH(BP$2, AsistenciaJetAdminConcatenada!$A:$A, 0)), ISNUMBER(MATCH(BP$1, AsistenciaJetAdminConcatenada!$B:$B, 0)), ISNUMBER(SEARCH($A27,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ISNUMBER(SEARCH($A27, INDEX(AsistenciaJetAdminConcatenada!$D:$D, MATCH(1, (AsistenciaJetAdminConcatenada!$A:$A=BP$2)*(AsistenciaJetAdminConcatenada!$B:$B=BP$1), 0)), 1))),  0.5, 0))</f>
        <v>0</v>
      </c>
      <c r="BQ27" s="47">
        <f t="array" ref="BQ27">IF(AND(ISNUMBER(MATCH(BQ$2, AsistenciaJetAdminConcatenada!$A:$A, 0)), ISNUMBER(MATCH(BQ$1, AsistenciaJetAdminConcatenada!$B:$B, 0)), ISNUMBER(SEARCH($A27,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ISNUMBER(SEARCH($A27, INDEX(AsistenciaJetAdminConcatenada!$D:$D, MATCH(1, (AsistenciaJetAdminConcatenada!$A:$A=BQ$2)*(AsistenciaJetAdminConcatenada!$B:$B=BQ$1), 0)), 1))),  0.5, 0))</f>
        <v>0</v>
      </c>
      <c r="BR27" s="47">
        <f t="array" ref="BR27">IF(AND(ISNUMBER(MATCH(BR$2, AsistenciaJetAdminConcatenada!$A:$A, 0)), ISNUMBER(MATCH(BR$1, AsistenciaJetAdminConcatenada!$B:$B, 0)), ISNUMBER(SEARCH($A27,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ISNUMBER(SEARCH($A27, INDEX(AsistenciaJetAdminConcatenada!$D:$D, MATCH(1, (AsistenciaJetAdminConcatenada!$A:$A=BR$2)*(AsistenciaJetAdminConcatenada!$B:$B=BR$1), 0)), 1))),  0.5, 0))</f>
        <v>1</v>
      </c>
      <c r="BS27" s="47">
        <f t="array" ref="BS27">IF(AND(ISNUMBER(MATCH(BS$2, AsistenciaJetAdminConcatenada!$A:$A, 0)), ISNUMBER(MATCH(BS$1, AsistenciaJetAdminConcatenada!$B:$B, 0)), ISNUMBER(SEARCH($A27,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ISNUMBER(SEARCH($A27, INDEX(AsistenciaJetAdminConcatenada!$D:$D, MATCH(1, (AsistenciaJetAdminConcatenada!$A:$A=BS$2)*(AsistenciaJetAdminConcatenada!$B:$B=BS$1), 0)), 1))),  0.5, 0))</f>
        <v>1</v>
      </c>
      <c r="BT27" s="47">
        <f t="array" ref="BT27">IF(AND(ISNUMBER(MATCH(BT$2, AsistenciaJetAdminConcatenada!$A:$A, 0)), ISNUMBER(MATCH(BT$1, AsistenciaJetAdminConcatenada!$B:$B, 0)), ISNUMBER(SEARCH($A27,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ISNUMBER(SEARCH($A27, INDEX(AsistenciaJetAdminConcatenada!$D:$D, MATCH(1, (AsistenciaJetAdminConcatenada!$A:$A=BT$2)*(AsistenciaJetAdminConcatenada!$B:$B=BT$1), 0)), 1))),  0.5, 0))</f>
        <v>1</v>
      </c>
      <c r="BU27" s="47">
        <f t="array" ref="BU27">IF(AND(ISNUMBER(MATCH(BU$2, AsistenciaJetAdminConcatenada!$A:$A, 0)), ISNUMBER(MATCH(BU$1, AsistenciaJetAdminConcatenada!$B:$B, 0)), ISNUMBER(SEARCH($A27,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ISNUMBER(SEARCH($A27, INDEX(AsistenciaJetAdminConcatenada!$D:$D, MATCH(1, (AsistenciaJetAdminConcatenada!$A:$A=BU$2)*(AsistenciaJetAdminConcatenada!$B:$B=BU$1), 0)), 1))),  0.5, 0))</f>
        <v>1</v>
      </c>
      <c r="BV27" s="47">
        <f t="array" ref="BV27">IF(AND(ISNUMBER(MATCH(BV$2, AsistenciaJetAdminConcatenada!$A:$A, 0)), ISNUMBER(MATCH(BV$1, AsistenciaJetAdminConcatenada!$B:$B, 0)), ISNUMBER(SEARCH($A27,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ISNUMBER(SEARCH($A27, INDEX(AsistenciaJetAdminConcatenada!$D:$D, MATCH(1, (AsistenciaJetAdminConcatenada!$A:$A=BV$2)*(AsistenciaJetAdminConcatenada!$B:$B=BV$1), 0)), 1))),  0.5, 0))</f>
        <v>0</v>
      </c>
      <c r="BW27" s="47">
        <f t="array" ref="BW27">IF(AND(ISNUMBER(MATCH(BW$2, AsistenciaJetAdminConcatenada!$A:$A, 0)), ISNUMBER(MATCH(BW$1, AsistenciaJetAdminConcatenada!$B:$B, 0)), ISNUMBER(SEARCH($A27,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ISNUMBER(SEARCH($A27, INDEX(AsistenciaJetAdminConcatenada!$D:$D, MATCH(1, (AsistenciaJetAdminConcatenada!$A:$A=BW$2)*(AsistenciaJetAdminConcatenada!$B:$B=BW$1), 0)), 1))),  0.5, 0))</f>
        <v>1</v>
      </c>
      <c r="BX27" s="47">
        <f t="array" ref="BX27">IF(AND(ISNUMBER(MATCH(BX$2, AsistenciaJetAdminConcatenada!$A:$A, 0)), ISNUMBER(MATCH(BX$1, AsistenciaJetAdminConcatenada!$B:$B, 0)), ISNUMBER(SEARCH($A27,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ISNUMBER(SEARCH($A27, INDEX(AsistenciaJetAdminConcatenada!$D:$D, MATCH(1, (AsistenciaJetAdminConcatenada!$A:$A=BX$2)*(AsistenciaJetAdminConcatenada!$B:$B=BX$1), 0)), 1))),  0.5, 0))</f>
        <v>1</v>
      </c>
      <c r="BY27" s="47">
        <f t="array" ref="BY27">IF(AND(ISNUMBER(MATCH(BY$2, AsistenciaJetAdminConcatenada!$A:$A, 0)), ISNUMBER(MATCH(BY$1, AsistenciaJetAdminConcatenada!$B:$B, 0)), ISNUMBER(SEARCH($A27,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ISNUMBER(SEARCH($A27, INDEX(AsistenciaJetAdminConcatenada!$D:$D, MATCH(1, (AsistenciaJetAdminConcatenada!$A:$A=BY$2)*(AsistenciaJetAdminConcatenada!$B:$B=BY$1), 0)), 1))),  0.5, 0))</f>
        <v>1</v>
      </c>
      <c r="BZ27" s="47">
        <f t="array" ref="BZ27">IF(AND(ISNUMBER(MATCH(BZ$2, AsistenciaJetAdminConcatenada!$A:$A, 0)), ISNUMBER(MATCH(BZ$1, AsistenciaJetAdminConcatenada!$B:$B, 0)), ISNUMBER(SEARCH($A27,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ISNUMBER(SEARCH($A27, INDEX(AsistenciaJetAdminConcatenada!$D:$D, MATCH(1, (AsistenciaJetAdminConcatenada!$A:$A=BZ$2)*(AsistenciaJetAdminConcatenada!$B:$B=BZ$1), 0)), 1))),  0.5, 0))</f>
        <v>1</v>
      </c>
      <c r="CA27" s="47">
        <f t="array" ref="CA27">IF(AND(ISNUMBER(MATCH(CA$2, AsistenciaJetAdminConcatenada!$A:$A, 0)), ISNUMBER(MATCH(CA$1, AsistenciaJetAdminConcatenada!$B:$B, 0)), ISNUMBER(SEARCH($A27,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ISNUMBER(SEARCH($A27, INDEX(AsistenciaJetAdminConcatenada!$D:$D, MATCH(1, (AsistenciaJetAdminConcatenada!$A:$A=CA$2)*(AsistenciaJetAdminConcatenada!$B:$B=CA$1), 0)), 1))),  0.5, 0))</f>
        <v>1</v>
      </c>
      <c r="CB27" s="47">
        <f t="array" ref="CB27">IF(AND(ISNUMBER(MATCH(CB$2, AsistenciaJetAdminConcatenada!$A:$A, 0)), ISNUMBER(MATCH(CB$1, AsistenciaJetAdminConcatenada!$B:$B, 0)), ISNUMBER(SEARCH($A27,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ISNUMBER(SEARCH($A27, INDEX(AsistenciaJetAdminConcatenada!$D:$D, MATCH(1, (AsistenciaJetAdminConcatenada!$A:$A=CB$2)*(AsistenciaJetAdminConcatenada!$B:$B=CB$1), 0)), 1))),  0.5, 0))</f>
        <v>1</v>
      </c>
      <c r="CC27" s="47">
        <f t="array" ref="CC27">IF(AND(ISNUMBER(MATCH(CC$2, AsistenciaJetAdminConcatenada!$A:$A, 0)), ISNUMBER(MATCH(CC$1, AsistenciaJetAdminConcatenada!$B:$B, 0)), ISNUMBER(SEARCH($A27,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ISNUMBER(SEARCH($A27, INDEX(AsistenciaJetAdminConcatenada!$D:$D, MATCH(1, (AsistenciaJetAdminConcatenada!$A:$A=CC$2)*(AsistenciaJetAdminConcatenada!$B:$B=CC$1), 0)), 1))),  0.5, 0))</f>
        <v>1</v>
      </c>
      <c r="CD27" s="47">
        <f t="array" ref="CD27">IF(AND(ISNUMBER(MATCH(CD$2, AsistenciaJetAdminConcatenada!$A:$A, 0)), ISNUMBER(MATCH(CD$1, AsistenciaJetAdminConcatenada!$B:$B, 0)), ISNUMBER(SEARCH($A27,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ISNUMBER(SEARCH($A27, INDEX(AsistenciaJetAdminConcatenada!$D:$D, MATCH(1, (AsistenciaJetAdminConcatenada!$A:$A=CD$2)*(AsistenciaJetAdminConcatenada!$B:$B=CD$1), 0)), 1))),  0.5, 0))</f>
        <v>1</v>
      </c>
      <c r="CE27" s="47">
        <f t="array" ref="CE27">IF(AND(ISNUMBER(MATCH(CE$2, AsistenciaJetAdminConcatenada!$A:$A, 0)), ISNUMBER(MATCH(CE$1, AsistenciaJetAdminConcatenada!$B:$B, 0)), ISNUMBER(SEARCH($A27,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ISNUMBER(SEARCH($A27, INDEX(AsistenciaJetAdminConcatenada!$D:$D, MATCH(1, (AsistenciaJetAdminConcatenada!$A:$A=CE$2)*(AsistenciaJetAdminConcatenada!$B:$B=CE$1), 0)), 1))),  0.5, 0))</f>
        <v>1</v>
      </c>
      <c r="CF27" s="47">
        <f t="array" ref="CF27">IF(AND(ISNUMBER(MATCH(CF$2, AsistenciaJetAdminConcatenada!$A:$A, 0)), ISNUMBER(MATCH(CF$1, AsistenciaJetAdminConcatenada!$B:$B, 0)), ISNUMBER(SEARCH($A27,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ISNUMBER(SEARCH($A27, INDEX(AsistenciaJetAdminConcatenada!$D:$D, MATCH(1, (AsistenciaJetAdminConcatenada!$A:$A=CF$2)*(AsistenciaJetAdminConcatenada!$B:$B=CF$1), 0)), 1))),  0.5, 0))</f>
        <v>1</v>
      </c>
      <c r="CG27" s="47">
        <f t="array" ref="CG27">IF(AND(ISNUMBER(MATCH(CG$2, AsistenciaJetAdminConcatenada!$A:$A, 0)), ISNUMBER(MATCH(CG$1, AsistenciaJetAdminConcatenada!$B:$B, 0)), ISNUMBER(SEARCH($A27,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ISNUMBER(SEARCH($A27, INDEX(AsistenciaJetAdminConcatenada!$D:$D, MATCH(1, (AsistenciaJetAdminConcatenada!$A:$A=CG$2)*(AsistenciaJetAdminConcatenada!$B:$B=CG$1), 0)), 1))),  0.5, 0))</f>
        <v>1</v>
      </c>
      <c r="CH27" s="47">
        <f t="array" ref="CH27">IF(AND(ISNUMBER(MATCH(CH$2, AsistenciaJetAdminConcatenada!$A:$A, 0)), ISNUMBER(MATCH(CH$1, AsistenciaJetAdminConcatenada!$B:$B, 0)), ISNUMBER(SEARCH($A27,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ISNUMBER(SEARCH($A27, INDEX(AsistenciaJetAdminConcatenada!$D:$D, MATCH(1, (AsistenciaJetAdminConcatenada!$A:$A=CH$2)*(AsistenciaJetAdminConcatenada!$B:$B=CH$1), 0)), 1))),  0.5, 0))</f>
        <v>0</v>
      </c>
      <c r="CI27" s="47">
        <f t="array" ref="CI27">IF(AND(ISNUMBER(MATCH(CI$2, AsistenciaJetAdminConcatenada!$A:$A, 0)), ISNUMBER(MATCH(CI$1, AsistenciaJetAdminConcatenada!$B:$B, 0)), ISNUMBER(SEARCH($A27,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ISNUMBER(SEARCH($A27, INDEX(AsistenciaJetAdminConcatenada!$D:$D, MATCH(1, (AsistenciaJetAdminConcatenada!$A:$A=CI$2)*(AsistenciaJetAdminConcatenada!$B:$B=CI$1), 0)), 1))),  0.5, 0))</f>
        <v>1</v>
      </c>
      <c r="CJ27" s="47">
        <f t="array" ref="CJ27">IF(AND(ISNUMBER(MATCH(CJ$2, AsistenciaJetAdminConcatenada!$A:$A, 0)), ISNUMBER(MATCH(CJ$1, AsistenciaJetAdminConcatenada!$B:$B, 0)), ISNUMBER(SEARCH($A27,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ISNUMBER(SEARCH($A27, INDEX(AsistenciaJetAdminConcatenada!$D:$D, MATCH(1, (AsistenciaJetAdminConcatenada!$A:$A=CJ$2)*(AsistenciaJetAdminConcatenada!$B:$B=CJ$1), 0)), 1))),  0.5, 0))</f>
        <v>1</v>
      </c>
      <c r="CK27" s="47">
        <f t="array" ref="CK27">IF(AND(ISNUMBER(MATCH(CK$2, AsistenciaJetAdminConcatenada!$A:$A, 0)), ISNUMBER(MATCH(CK$1, AsistenciaJetAdminConcatenada!$B:$B, 0)), ISNUMBER(SEARCH($A27,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ISNUMBER(SEARCH($A27, INDEX(AsistenciaJetAdminConcatenada!$D:$D, MATCH(1, (AsistenciaJetAdminConcatenada!$A:$A=CK$2)*(AsistenciaJetAdminConcatenada!$B:$B=CK$1), 0)), 1))),  0.5, 0))</f>
        <v>1</v>
      </c>
      <c r="CL27" s="47">
        <f t="array" ref="CL27">IF(AND(ISNUMBER(MATCH(CL$2, AsistenciaJetAdminConcatenada!$A:$A, 0)), ISNUMBER(MATCH(CL$1, AsistenciaJetAdminConcatenada!$B:$B, 0)), ISNUMBER(SEARCH($A27,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ISNUMBER(SEARCH($A27, INDEX(AsistenciaJetAdminConcatenada!$D:$D, MATCH(1, (AsistenciaJetAdminConcatenada!$A:$A=CL$2)*(AsistenciaJetAdminConcatenada!$B:$B=CL$1), 0)), 1))),  0.5, 0))</f>
        <v>1</v>
      </c>
      <c r="CM27" s="47">
        <f t="array" ref="CM27">IF(AND(ISNUMBER(MATCH(CM$2, AsistenciaJetAdminConcatenada!$A:$A, 0)), ISNUMBER(MATCH(CM$1, AsistenciaJetAdminConcatenada!$B:$B, 0)), ISNUMBER(SEARCH($A27,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ISNUMBER(SEARCH($A27, INDEX(AsistenciaJetAdminConcatenada!$D:$D, MATCH(1, (AsistenciaJetAdminConcatenada!$A:$A=CM$2)*(AsistenciaJetAdminConcatenada!$B:$B=CM$1), 0)), 1))),  0.5, 0))</f>
        <v>1</v>
      </c>
      <c r="CN27" s="47">
        <f t="array" ref="CN27">IF(AND(ISNUMBER(MATCH(CN$2, AsistenciaJetAdminConcatenada!$A:$A, 0)), ISNUMBER(MATCH(CN$1, AsistenciaJetAdminConcatenada!$B:$B, 0)), ISNUMBER(SEARCH($A27,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ISNUMBER(SEARCH($A27, INDEX(AsistenciaJetAdminConcatenada!$D:$D, MATCH(1, (AsistenciaJetAdminConcatenada!$A:$A=CN$2)*(AsistenciaJetAdminConcatenada!$B:$B=CN$1), 0)), 1))),  0.5, 0))</f>
        <v>1</v>
      </c>
      <c r="CO27" s="47">
        <f t="array" ref="CO27">IF(AND(ISNUMBER(MATCH(CO$2, AsistenciaJetAdminConcatenada!$A:$A, 0)), ISNUMBER(MATCH(CO$1, AsistenciaJetAdminConcatenada!$B:$B, 0)), ISNUMBER(SEARCH($A27,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ISNUMBER(SEARCH($A27, INDEX(AsistenciaJetAdminConcatenada!$D:$D, MATCH(1, (AsistenciaJetAdminConcatenada!$A:$A=CO$2)*(AsistenciaJetAdminConcatenada!$B:$B=CO$1), 0)), 1))),  0.5, 0))</f>
        <v>1</v>
      </c>
      <c r="CP27" s="47">
        <f t="array" ref="CP27">IF(AND(ISNUMBER(MATCH(CP$2, AsistenciaJetAdminConcatenada!$A:$A, 0)), ISNUMBER(MATCH(CP$1, AsistenciaJetAdminConcatenada!$B:$B, 0)), ISNUMBER(SEARCH($A27,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ISNUMBER(SEARCH($A27, INDEX(AsistenciaJetAdminConcatenada!$D:$D, MATCH(1, (AsistenciaJetAdminConcatenada!$A:$A=CP$2)*(AsistenciaJetAdminConcatenada!$B:$B=CP$1), 0)), 1))),  0.5, 0))</f>
        <v>1</v>
      </c>
      <c r="CQ27" s="47">
        <f t="array" ref="CQ27">IF(AND(ISNUMBER(MATCH(CQ$2, AsistenciaJetAdminConcatenada!$A:$A, 0)), ISNUMBER(MATCH(CQ$1, AsistenciaJetAdminConcatenada!$B:$B, 0)), ISNUMBER(SEARCH($A27,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ISNUMBER(SEARCH($A27, INDEX(AsistenciaJetAdminConcatenada!$D:$D, MATCH(1, (AsistenciaJetAdminConcatenada!$A:$A=CQ$2)*(AsistenciaJetAdminConcatenada!$B:$B=CQ$1), 0)), 1))),  0.5, 0))</f>
        <v>1</v>
      </c>
      <c r="CR27" s="47">
        <f t="array" ref="CR27">IF(AND(ISNUMBER(MATCH(CR$2, AsistenciaJetAdminConcatenada!$A:$A, 0)), ISNUMBER(MATCH(CR$1, AsistenciaJetAdminConcatenada!$B:$B, 0)), ISNUMBER(SEARCH($A27,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ISNUMBER(SEARCH($A27, INDEX(AsistenciaJetAdminConcatenada!$D:$D, MATCH(1, (AsistenciaJetAdminConcatenada!$A:$A=CR$2)*(AsistenciaJetAdminConcatenada!$B:$B=CR$1), 0)), 1))),  0.5, 0))</f>
        <v>1</v>
      </c>
      <c r="CS27" s="47">
        <f t="array" ref="CS27">IF(AND(ISNUMBER(MATCH(CS$2, AsistenciaJetAdminConcatenada!$A:$A, 0)), ISNUMBER(MATCH(CS$1, AsistenciaJetAdminConcatenada!$B:$B, 0)), ISNUMBER(SEARCH($A27,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ISNUMBER(SEARCH($A27, INDEX(AsistenciaJetAdminConcatenada!$D:$D, MATCH(1, (AsistenciaJetAdminConcatenada!$A:$A=CS$2)*(AsistenciaJetAdminConcatenada!$B:$B=CS$1), 0)), 1))),  0.5, 0))</f>
        <v>0</v>
      </c>
      <c r="CT27" s="47">
        <f t="array" ref="CT27">IF(AND(ISNUMBER(MATCH(CT$2, AsistenciaJetAdminConcatenada!$A:$A, 0)), ISNUMBER(MATCH(CT$1, AsistenciaJetAdminConcatenada!$B:$B, 0)), ISNUMBER(SEARCH($A27,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ISNUMBER(SEARCH($A27, INDEX(AsistenciaJetAdminConcatenada!$D:$D, MATCH(1, (AsistenciaJetAdminConcatenada!$A:$A=CT$2)*(AsistenciaJetAdminConcatenada!$B:$B=CT$1), 0)), 1))),  0.5, 0))</f>
        <v>0</v>
      </c>
      <c r="CU27" s="47">
        <f t="array" ref="CU27">IF(AND(ISNUMBER(MATCH(CU$2, AsistenciaJetAdminConcatenada!$A:$A, 0)), ISNUMBER(MATCH(CU$1, AsistenciaJetAdminConcatenada!$B:$B, 0)), ISNUMBER(SEARCH($A27,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ISNUMBER(SEARCH($A27, INDEX(AsistenciaJetAdminConcatenada!$D:$D, MATCH(1, (AsistenciaJetAdminConcatenada!$A:$A=CU$2)*(AsistenciaJetAdminConcatenada!$B:$B=CU$1), 0)), 1))),  0.5, 0))</f>
        <v>0</v>
      </c>
      <c r="CV27" s="47">
        <f t="array" ref="CV27">IF(AND(ISNUMBER(MATCH(CV$2, AsistenciaJetAdminConcatenada!$A:$A, 0)), ISNUMBER(MATCH(CV$1, AsistenciaJetAdminConcatenada!$B:$B, 0)), ISNUMBER(SEARCH($A27,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ISNUMBER(SEARCH($A27, INDEX(AsistenciaJetAdminConcatenada!$D:$D, MATCH(1, (AsistenciaJetAdminConcatenada!$A:$A=CV$2)*(AsistenciaJetAdminConcatenada!$B:$B=CV$1), 0)), 1))),  0.5, 0))</f>
        <v>0</v>
      </c>
      <c r="CW27" s="47">
        <f t="array" ref="CW27">IF(AND(ISNUMBER(MATCH(CW$2, AsistenciaJetAdminConcatenada!$A:$A, 0)), ISNUMBER(MATCH(CW$1, AsistenciaJetAdminConcatenada!$B:$B, 0)), ISNUMBER(SEARCH($A27,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ISNUMBER(SEARCH($A27, INDEX(AsistenciaJetAdminConcatenada!$D:$D, MATCH(1, (AsistenciaJetAdminConcatenada!$A:$A=CW$2)*(AsistenciaJetAdminConcatenada!$B:$B=CW$1), 0)), 1))),  0.5, 0))</f>
        <v>0</v>
      </c>
      <c r="CX27" s="47">
        <f t="array" ref="CX27">IF(AND(ISNUMBER(MATCH(CX$2, AsistenciaJetAdminConcatenada!$A:$A, 0)), ISNUMBER(MATCH(CX$1, AsistenciaJetAdminConcatenada!$B:$B, 0)), ISNUMBER(SEARCH($A27,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ISNUMBER(SEARCH($A27, INDEX(AsistenciaJetAdminConcatenada!$D:$D, MATCH(1, (AsistenciaJetAdminConcatenada!$A:$A=CX$2)*(AsistenciaJetAdminConcatenada!$B:$B=CX$1), 0)), 1))),  0.5, 0))</f>
        <v>0</v>
      </c>
      <c r="CY27" s="47">
        <f t="array" ref="CY27">IF(AND(ISNUMBER(MATCH(CY$2, AsistenciaJetAdminConcatenada!$A:$A, 0)), ISNUMBER(MATCH(CY$1, AsistenciaJetAdminConcatenada!$B:$B, 0)), ISNUMBER(SEARCH($A27,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ISNUMBER(SEARCH($A27, INDEX(AsistenciaJetAdminConcatenada!$D:$D, MATCH(1, (AsistenciaJetAdminConcatenada!$A:$A=CY$2)*(AsistenciaJetAdminConcatenada!$B:$B=CY$1), 0)), 1))),  0.5, 0))</f>
        <v>0</v>
      </c>
      <c r="CZ27" s="47">
        <f t="array" ref="CZ27">IF(AND(ISNUMBER(MATCH(CZ$2, AsistenciaJetAdminConcatenada!$A:$A, 0)), ISNUMBER(MATCH(CZ$1, AsistenciaJetAdminConcatenada!$B:$B, 0)), ISNUMBER(SEARCH($A27,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ISNUMBER(SEARCH($A27, INDEX(AsistenciaJetAdminConcatenada!$D:$D, MATCH(1, (AsistenciaJetAdminConcatenada!$A:$A=CZ$2)*(AsistenciaJetAdminConcatenada!$B:$B=CZ$1), 0)), 1))),  0.5, 0))</f>
        <v>0</v>
      </c>
      <c r="DA27" s="47">
        <f t="array" ref="DA27">IF(AND(ISNUMBER(MATCH(DA$2, AsistenciaJetAdminConcatenada!$A:$A, 0)), ISNUMBER(MATCH(DA$1, AsistenciaJetAdminConcatenada!$B:$B, 0)), ISNUMBER(SEARCH($A27,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ISNUMBER(SEARCH($A27, INDEX(AsistenciaJetAdminConcatenada!$D:$D, MATCH(1, (AsistenciaJetAdminConcatenada!$A:$A=DA$2)*(AsistenciaJetAdminConcatenada!$B:$B=DA$1), 0)), 1))),  0.5, 0))</f>
        <v>0</v>
      </c>
      <c r="DB27" s="47">
        <f t="array" ref="DB27">IF(AND(ISNUMBER(MATCH(DB$2, AsistenciaJetAdminConcatenada!$A:$A, 0)), ISNUMBER(MATCH(DB$1, AsistenciaJetAdminConcatenada!$B:$B, 0)), ISNUMBER(SEARCH($A27,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ISNUMBER(SEARCH($A27, INDEX(AsistenciaJetAdminConcatenada!$D:$D, MATCH(1, (AsistenciaJetAdminConcatenada!$A:$A=DB$2)*(AsistenciaJetAdminConcatenada!$B:$B=DB$1), 0)), 1))),  0.5, 0))</f>
        <v>0</v>
      </c>
      <c r="DC27" s="47">
        <f t="array" ref="DC27">IF(AND(ISNUMBER(MATCH(DC$2, AsistenciaJetAdminConcatenada!$A:$A, 0)), ISNUMBER(MATCH(DC$1, AsistenciaJetAdminConcatenada!$B:$B, 0)), ISNUMBER(SEARCH($A27,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ISNUMBER(SEARCH($A27, INDEX(AsistenciaJetAdminConcatenada!$D:$D, MATCH(1, (AsistenciaJetAdminConcatenada!$A:$A=DC$2)*(AsistenciaJetAdminConcatenada!$B:$B=DC$1), 0)), 1))),  0.5, 0))</f>
        <v>0</v>
      </c>
      <c r="DD27" s="47">
        <f t="array" ref="DD27">IF(AND(ISNUMBER(MATCH(DD$2, AsistenciaJetAdminConcatenada!$A:$A, 0)), ISNUMBER(MATCH(DD$1, AsistenciaJetAdminConcatenada!$B:$B, 0)), ISNUMBER(SEARCH($A27,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ISNUMBER(SEARCH($A27, INDEX(AsistenciaJetAdminConcatenada!$D:$D, MATCH(1, (AsistenciaJetAdminConcatenada!$A:$A=DD$2)*(AsistenciaJetAdminConcatenada!$B:$B=DD$1), 0)), 1))),  0.5, 0))</f>
        <v>0</v>
      </c>
      <c r="DE27" s="47">
        <f t="array" ref="DE27">IF(AND(ISNUMBER(MATCH(DE$2, AsistenciaJetAdminConcatenada!$A:$A, 0)), ISNUMBER(MATCH(DE$1, AsistenciaJetAdminConcatenada!$B:$B, 0)), ISNUMBER(SEARCH($A27,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ISNUMBER(SEARCH($A27, INDEX(AsistenciaJetAdminConcatenada!$D:$D, MATCH(1, (AsistenciaJetAdminConcatenada!$A:$A=DE$2)*(AsistenciaJetAdminConcatenada!$B:$B=DE$1), 0)), 1))),  0.5, 0))</f>
        <v>0</v>
      </c>
      <c r="DF27" s="47">
        <f t="array" ref="DF27">IF(AND(ISNUMBER(MATCH(DF$2, AsistenciaJetAdminConcatenada!$A:$A, 0)), ISNUMBER(MATCH(DF$1, AsistenciaJetAdminConcatenada!$B:$B, 0)), ISNUMBER(SEARCH($A27,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ISNUMBER(SEARCH($A27, INDEX(AsistenciaJetAdminConcatenada!$D:$D, MATCH(1, (AsistenciaJetAdminConcatenada!$A:$A=DF$2)*(AsistenciaJetAdminConcatenada!$B:$B=DF$1), 0)), 1))),  0.5, 0))</f>
        <v>0</v>
      </c>
      <c r="DG27" s="47">
        <f t="array" ref="DG27">IF(AND(ISNUMBER(MATCH(DG$2, AsistenciaJetAdminConcatenada!$A:$A, 0)), ISNUMBER(MATCH(DG$1, AsistenciaJetAdminConcatenada!$B:$B, 0)), ISNUMBER(SEARCH($A27,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ISNUMBER(SEARCH($A27, INDEX(AsistenciaJetAdminConcatenada!$D:$D, MATCH(1, (AsistenciaJetAdminConcatenada!$A:$A=DG$2)*(AsistenciaJetAdminConcatenada!$B:$B=DG$1), 0)), 1))),  0.5, 0))</f>
        <v>0</v>
      </c>
      <c r="DH27" s="47">
        <f t="array" ref="DH27">IF(AND(ISNUMBER(MATCH(DH$2, AsistenciaJetAdminConcatenada!$A:$A, 0)), ISNUMBER(MATCH(DH$1, AsistenciaJetAdminConcatenada!$B:$B, 0)), ISNUMBER(SEARCH($A27,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ISNUMBER(SEARCH($A27, INDEX(AsistenciaJetAdminConcatenada!$D:$D, MATCH(1, (AsistenciaJetAdminConcatenada!$A:$A=DH$2)*(AsistenciaJetAdminConcatenada!$B:$B=DH$1), 0)), 1))),  0.5, 0))</f>
        <v>0</v>
      </c>
      <c r="DI27" s="47">
        <f t="array" ref="DI27">IF(AND(ISNUMBER(MATCH(DI$2, AsistenciaJetAdminConcatenada!$A:$A, 0)), ISNUMBER(MATCH(DI$1, AsistenciaJetAdminConcatenada!$B:$B, 0)), ISNUMBER(SEARCH($A27,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ISNUMBER(SEARCH($A27, INDEX(AsistenciaJetAdminConcatenada!$D:$D, MATCH(1, (AsistenciaJetAdminConcatenada!$A:$A=DI$2)*(AsistenciaJetAdminConcatenada!$B:$B=DI$1), 0)), 1))),  0.5, 0))</f>
        <v>0</v>
      </c>
      <c r="DJ27" s="47">
        <f t="array" ref="DJ27">IF(AND(ISNUMBER(MATCH(DJ$2, AsistenciaJetAdminConcatenada!$A:$A, 0)), ISNUMBER(MATCH(DJ$1, AsistenciaJetAdminConcatenada!$B:$B, 0)), ISNUMBER(SEARCH($A27,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ISNUMBER(SEARCH($A27, INDEX(AsistenciaJetAdminConcatenada!$D:$D, MATCH(1, (AsistenciaJetAdminConcatenada!$A:$A=DJ$2)*(AsistenciaJetAdminConcatenada!$B:$B=DJ$1), 0)), 1))),  0.5, 0))</f>
        <v>0</v>
      </c>
      <c r="DK27" s="47">
        <f t="array" ref="DK27">IF(AND(ISNUMBER(MATCH(DK$2, AsistenciaJetAdminConcatenada!$A:$A, 0)), ISNUMBER(MATCH(DK$1, AsistenciaJetAdminConcatenada!$B:$B, 0)), ISNUMBER(SEARCH($A27,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ISNUMBER(SEARCH($A27, INDEX(AsistenciaJetAdminConcatenada!$D:$D, MATCH(1, (AsistenciaJetAdminConcatenada!$A:$A=DK$2)*(AsistenciaJetAdminConcatenada!$B:$B=DK$1), 0)), 1))),  0.5, 0))</f>
        <v>0</v>
      </c>
      <c r="DL27" s="47">
        <f t="array" ref="DL27">IF(AND(ISNUMBER(MATCH(DL$2, AsistenciaJetAdminConcatenada!$A:$A, 0)), ISNUMBER(MATCH(DL$1, AsistenciaJetAdminConcatenada!$B:$B, 0)), ISNUMBER(SEARCH($A27,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ISNUMBER(SEARCH($A27, INDEX(AsistenciaJetAdminConcatenada!$D:$D, MATCH(1, (AsistenciaJetAdminConcatenada!$A:$A=DL$2)*(AsistenciaJetAdminConcatenada!$B:$B=DL$1), 0)), 1))),  0.5, 0))</f>
        <v>0</v>
      </c>
      <c r="DM27" s="47">
        <f t="array" ref="DM27">IF(AND(ISNUMBER(MATCH(DM$2, AsistenciaJetAdminConcatenada!$A:$A, 0)), ISNUMBER(MATCH(DM$1, AsistenciaJetAdminConcatenada!$B:$B, 0)), ISNUMBER(SEARCH($A27,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ISNUMBER(SEARCH($A27, INDEX(AsistenciaJetAdminConcatenada!$D:$D, MATCH(1, (AsistenciaJetAdminConcatenada!$A:$A=DM$2)*(AsistenciaJetAdminConcatenada!$B:$B=DM$1), 0)), 1))),  0.5, 0))</f>
        <v>0</v>
      </c>
      <c r="DN27" s="47">
        <f t="array" ref="DN27">IF(AND(ISNUMBER(MATCH(DN$2, AsistenciaJetAdminConcatenada!$A:$A, 0)), ISNUMBER(MATCH(DN$1, AsistenciaJetAdminConcatenada!$B:$B, 0)), ISNUMBER(SEARCH($A27,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ISNUMBER(SEARCH($A27, INDEX(AsistenciaJetAdminConcatenada!$D:$D, MATCH(1, (AsistenciaJetAdminConcatenada!$A:$A=DN$2)*(AsistenciaJetAdminConcatenada!$B:$B=DN$1), 0)), 1))),  0.5, 0))</f>
        <v>0</v>
      </c>
      <c r="DO27" s="47">
        <f t="array" ref="DO27">IF(AND(ISNUMBER(MATCH(DO$2, AsistenciaJetAdminConcatenada!$A:$A, 0)), ISNUMBER(MATCH(DO$1, AsistenciaJetAdminConcatenada!$B:$B, 0)), ISNUMBER(SEARCH($A27,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ISNUMBER(SEARCH($A27, INDEX(AsistenciaJetAdminConcatenada!$D:$D, MATCH(1, (AsistenciaJetAdminConcatenada!$A:$A=DO$2)*(AsistenciaJetAdminConcatenada!$B:$B=DO$1), 0)), 1))),  0.5, 0))</f>
        <v>0</v>
      </c>
      <c r="DP27" s="47">
        <f t="array" ref="DP27">IF(AND(ISNUMBER(MATCH(DP$2, AsistenciaJetAdminConcatenada!$A:$A, 0)), ISNUMBER(MATCH(DP$1, AsistenciaJetAdminConcatenada!$B:$B, 0)), ISNUMBER(SEARCH($A27,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ISNUMBER(SEARCH($A27, INDEX(AsistenciaJetAdminConcatenada!$D:$D, MATCH(1, (AsistenciaJetAdminConcatenada!$A:$A=DP$2)*(AsistenciaJetAdminConcatenada!$B:$B=DP$1), 0)), 1))),  0.5, 0))</f>
        <v>0</v>
      </c>
      <c r="DQ27" s="47">
        <f t="array" ref="DQ27">IF(AND(ISNUMBER(MATCH(DQ$2, AsistenciaJetAdminConcatenada!$A:$A, 0)), ISNUMBER(MATCH(DQ$1, AsistenciaJetAdminConcatenada!$B:$B, 0)), ISNUMBER(SEARCH($A27,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ISNUMBER(SEARCH($A27, INDEX(AsistenciaJetAdminConcatenada!$D:$D, MATCH(1, (AsistenciaJetAdminConcatenada!$A:$A=DQ$2)*(AsistenciaJetAdminConcatenada!$B:$B=DQ$1), 0)), 1))),  0.5, 0))</f>
        <v>0</v>
      </c>
      <c r="DR27" s="47">
        <f t="array" ref="DR27">IF(AND(ISNUMBER(MATCH(DR$2, AsistenciaJetAdminConcatenada!$A:$A, 0)), ISNUMBER(MATCH(DR$1, AsistenciaJetAdminConcatenada!$B:$B, 0)), ISNUMBER(SEARCH($A27,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ISNUMBER(SEARCH($A27, INDEX(AsistenciaJetAdminConcatenada!$D:$D, MATCH(1, (AsistenciaJetAdminConcatenada!$A:$A=DR$2)*(AsistenciaJetAdminConcatenada!$B:$B=DR$1), 0)), 1))),  0.5, 0))</f>
        <v>0</v>
      </c>
      <c r="DS27" s="47">
        <f t="array" ref="DS27">IF(AND(ISNUMBER(MATCH(DS$2, AsistenciaJetAdminConcatenada!$A:$A, 0)), ISNUMBER(MATCH(DS$1, AsistenciaJetAdminConcatenada!$B:$B, 0)), ISNUMBER(SEARCH($A27,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ISNUMBER(SEARCH($A27, INDEX(AsistenciaJetAdminConcatenada!$D:$D, MATCH(1, (AsistenciaJetAdminConcatenada!$A:$A=DS$2)*(AsistenciaJetAdminConcatenada!$B:$B=DS$1), 0)), 1))),  0.5, 0))</f>
        <v>0</v>
      </c>
      <c r="DT27" s="47">
        <f t="array" ref="DT27">IF(AND(ISNUMBER(MATCH(DT$2, AsistenciaJetAdminConcatenada!$A:$A, 0)), ISNUMBER(MATCH(DT$1, AsistenciaJetAdminConcatenada!$B:$B, 0)), ISNUMBER(SEARCH($A27,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ISNUMBER(SEARCH($A27, INDEX(AsistenciaJetAdminConcatenada!$D:$D, MATCH(1, (AsistenciaJetAdminConcatenada!$A:$A=DT$2)*(AsistenciaJetAdminConcatenada!$B:$B=DT$1), 0)), 1))),  0.5, 0))</f>
        <v>0</v>
      </c>
      <c r="DU27" s="47">
        <f t="array" ref="DU27">IF(AND(ISNUMBER(MATCH(DU$2, AsistenciaJetAdminConcatenada!$A:$A, 0)), ISNUMBER(MATCH(DU$1, AsistenciaJetAdminConcatenada!$B:$B, 0)), ISNUMBER(SEARCH($A27,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ISNUMBER(SEARCH($A27, INDEX(AsistenciaJetAdminConcatenada!$D:$D, MATCH(1, (AsistenciaJetAdminConcatenada!$A:$A=DU$2)*(AsistenciaJetAdminConcatenada!$B:$B=DU$1), 0)), 1))),  0.5, 0))</f>
        <v>0</v>
      </c>
      <c r="DV27" s="47">
        <f t="array" ref="DV27">IF(AND(ISNUMBER(MATCH(DV$2, AsistenciaJetAdminConcatenada!$A:$A, 0)), ISNUMBER(MATCH(DV$1, AsistenciaJetAdminConcatenada!$B:$B, 0)), ISNUMBER(SEARCH($A27,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ISNUMBER(SEARCH($A27, INDEX(AsistenciaJetAdminConcatenada!$D:$D, MATCH(1, (AsistenciaJetAdminConcatenada!$A:$A=DV$2)*(AsistenciaJetAdminConcatenada!$B:$B=DV$1), 0)), 1))),  0.5, 0))</f>
        <v>0</v>
      </c>
      <c r="DW27" s="47">
        <f t="array" ref="DW27">IF(AND(ISNUMBER(MATCH(DW$2, AsistenciaJetAdminConcatenada!$A:$A, 0)), ISNUMBER(MATCH(DW$1, AsistenciaJetAdminConcatenada!$B:$B, 0)), ISNUMBER(SEARCH($A27,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ISNUMBER(SEARCH($A27, INDEX(AsistenciaJetAdminConcatenada!$D:$D, MATCH(1, (AsistenciaJetAdminConcatenada!$A:$A=DW$2)*(AsistenciaJetAdminConcatenada!$B:$B=DW$1), 0)), 1))),  0.5, 0))</f>
        <v>0</v>
      </c>
      <c r="DX27" s="47">
        <f t="array" ref="DX27">IF(AND(ISNUMBER(MATCH(DX$2, AsistenciaJetAdminConcatenada!$A:$A, 0)), ISNUMBER(MATCH(DX$1, AsistenciaJetAdminConcatenada!$B:$B, 0)), ISNUMBER(SEARCH($A27,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ISNUMBER(SEARCH($A27, INDEX(AsistenciaJetAdminConcatenada!$D:$D, MATCH(1, (AsistenciaJetAdminConcatenada!$A:$A=DX$2)*(AsistenciaJetAdminConcatenada!$B:$B=DX$1), 0)), 1))),  0.5, 0))</f>
        <v>0</v>
      </c>
      <c r="DY27" s="47">
        <f t="array" ref="DY27">IF(AND(ISNUMBER(MATCH(DY$2, AsistenciaJetAdminConcatenada!$A:$A, 0)), ISNUMBER(MATCH(DY$1, AsistenciaJetAdminConcatenada!$B:$B, 0)), ISNUMBER(SEARCH($A27,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ISNUMBER(SEARCH($A27, INDEX(AsistenciaJetAdminConcatenada!$D:$D, MATCH(1, (AsistenciaJetAdminConcatenada!$A:$A=DY$2)*(AsistenciaJetAdminConcatenada!$B:$B=DY$1), 0)), 1))),  0.5, 0))</f>
        <v>0</v>
      </c>
      <c r="DZ27" s="47">
        <f t="array" ref="DZ27">IF(AND(ISNUMBER(MATCH(DZ$2, AsistenciaJetAdminConcatenada!$A:$A, 0)), ISNUMBER(MATCH(DZ$1, AsistenciaJetAdminConcatenada!$B:$B, 0)), ISNUMBER(SEARCH($A27,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ISNUMBER(SEARCH($A27, INDEX(AsistenciaJetAdminConcatenada!$D:$D, MATCH(1, (AsistenciaJetAdminConcatenada!$A:$A=DZ$2)*(AsistenciaJetAdminConcatenada!$B:$B=DZ$1), 0)), 1))),  0.5, 0))</f>
        <v>0</v>
      </c>
      <c r="EA27" s="47">
        <f t="array" ref="EA27">IF(AND(ISNUMBER(MATCH(EA$2, AsistenciaJetAdminConcatenada!$A:$A, 0)), ISNUMBER(MATCH(EA$1, AsistenciaJetAdminConcatenada!$B:$B, 0)), ISNUMBER(SEARCH($A27,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ISNUMBER(SEARCH($A27, INDEX(AsistenciaJetAdminConcatenada!$D:$D, MATCH(1, (AsistenciaJetAdminConcatenada!$A:$A=EA$2)*(AsistenciaJetAdminConcatenada!$B:$B=EA$1), 0)), 1))),  0.5, 0))</f>
        <v>0</v>
      </c>
      <c r="EB27" s="47">
        <f t="array" ref="EB27">IF(AND(ISNUMBER(MATCH(EB$2, AsistenciaJetAdminConcatenada!$A:$A, 0)), ISNUMBER(MATCH(EB$1, AsistenciaJetAdminConcatenada!$B:$B, 0)), ISNUMBER(SEARCH($A27,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ISNUMBER(SEARCH($A27, INDEX(AsistenciaJetAdminConcatenada!$D:$D, MATCH(1, (AsistenciaJetAdminConcatenada!$A:$A=EB$2)*(AsistenciaJetAdminConcatenada!$B:$B=EB$1), 0)), 1))),  0.5, 0))</f>
        <v>0</v>
      </c>
      <c r="EC27" s="47">
        <f t="array" ref="EC27">IF(AND(ISNUMBER(MATCH(EC$2, AsistenciaJetAdminConcatenada!$A:$A, 0)), ISNUMBER(MATCH(EC$1, AsistenciaJetAdminConcatenada!$B:$B, 0)), ISNUMBER(SEARCH($A27,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ISNUMBER(SEARCH($A27, INDEX(AsistenciaJetAdminConcatenada!$D:$D, MATCH(1, (AsistenciaJetAdminConcatenada!$A:$A=EC$2)*(AsistenciaJetAdminConcatenada!$B:$B=EC$1), 0)), 1))),  0.5, 0))</f>
        <v>0</v>
      </c>
      <c r="ED27" s="47">
        <f t="array" ref="ED27">IF(AND(ISNUMBER(MATCH(ED$2, AsistenciaJetAdminConcatenada!$A:$A, 0)), ISNUMBER(MATCH(ED$1, AsistenciaJetAdminConcatenada!$B:$B, 0)), ISNUMBER(SEARCH($A27,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ISNUMBER(SEARCH($A27, INDEX(AsistenciaJetAdminConcatenada!$D:$D, MATCH(1, (AsistenciaJetAdminConcatenada!$A:$A=ED$2)*(AsistenciaJetAdminConcatenada!$B:$B=ED$1), 0)), 1))),  0.5, 0))</f>
        <v>0</v>
      </c>
      <c r="EE27" s="47">
        <f t="array" ref="EE27">IF(AND(ISNUMBER(MATCH(EE$2, AsistenciaJetAdminConcatenada!$A:$A, 0)), ISNUMBER(MATCH(EE$1, AsistenciaJetAdminConcatenada!$B:$B, 0)), ISNUMBER(SEARCH($A27,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ISNUMBER(SEARCH($A27, INDEX(AsistenciaJetAdminConcatenada!$D:$D, MATCH(1, (AsistenciaJetAdminConcatenada!$A:$A=EE$2)*(AsistenciaJetAdminConcatenada!$B:$B=EE$1), 0)), 1))),  0.5, 0))</f>
        <v>0</v>
      </c>
      <c r="EF27" s="47">
        <f t="array" ref="EF27">IF(AND(ISNUMBER(MATCH(EF$2, AsistenciaJetAdminConcatenada!$A:$A, 0)), ISNUMBER(MATCH(EF$1, AsistenciaJetAdminConcatenada!$B:$B, 0)), ISNUMBER(SEARCH($A27,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ISNUMBER(SEARCH($A27, INDEX(AsistenciaJetAdminConcatenada!$D:$D, MATCH(1, (AsistenciaJetAdminConcatenada!$A:$A=EF$2)*(AsistenciaJetAdminConcatenada!$B:$B=EF$1), 0)), 1))),  0.5, 0))</f>
        <v>0</v>
      </c>
      <c r="EG27" s="47">
        <f t="array" ref="EG27">IF(AND(ISNUMBER(MATCH(EG$2, AsistenciaJetAdminConcatenada!$A:$A, 0)), ISNUMBER(MATCH(EG$1, AsistenciaJetAdminConcatenada!$B:$B, 0)), ISNUMBER(SEARCH($A27,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ISNUMBER(SEARCH($A27, INDEX(AsistenciaJetAdminConcatenada!$D:$D, MATCH(1, (AsistenciaJetAdminConcatenada!$A:$A=EG$2)*(AsistenciaJetAdminConcatenada!$B:$B=EG$1), 0)), 1))),  0.5, 0))</f>
        <v>0</v>
      </c>
      <c r="EH27" s="47">
        <f t="array" ref="EH27">IF(AND(ISNUMBER(MATCH(EH$2, AsistenciaJetAdminConcatenada!$A:$A, 0)), ISNUMBER(MATCH(EH$1, AsistenciaJetAdminConcatenada!$B:$B, 0)), ISNUMBER(SEARCH($A27,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ISNUMBER(SEARCH($A27, INDEX(AsistenciaJetAdminConcatenada!$D:$D, MATCH(1, (AsistenciaJetAdminConcatenada!$A:$A=EH$2)*(AsistenciaJetAdminConcatenada!$B:$B=EH$1), 0)), 1))),  0.5, 0))</f>
        <v>0</v>
      </c>
      <c r="EI27" s="47">
        <f t="array" ref="EI27">IF(AND(ISNUMBER(MATCH(EI$2, AsistenciaJetAdminConcatenada!$A:$A, 0)), ISNUMBER(MATCH(EI$1, AsistenciaJetAdminConcatenada!$B:$B, 0)), ISNUMBER(SEARCH($A27,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ISNUMBER(SEARCH($A27, INDEX(AsistenciaJetAdminConcatenada!$D:$D, MATCH(1, (AsistenciaJetAdminConcatenada!$A:$A=EI$2)*(AsistenciaJetAdminConcatenada!$B:$B=EI$1), 0)), 1))),  0.5, 0))</f>
        <v>0</v>
      </c>
      <c r="EJ27" s="47">
        <f t="array" ref="EJ27">IF(AND(ISNUMBER(MATCH(EJ$2, AsistenciaJetAdminConcatenada!$A:$A, 0)), ISNUMBER(MATCH(EJ$1, AsistenciaJetAdminConcatenada!$B:$B, 0)), ISNUMBER(SEARCH($A27,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ISNUMBER(SEARCH($A27, INDEX(AsistenciaJetAdminConcatenada!$D:$D, MATCH(1, (AsistenciaJetAdminConcatenada!$A:$A=EJ$2)*(AsistenciaJetAdminConcatenada!$B:$B=EJ$1), 0)), 1))),  0.5, 0))</f>
        <v>0</v>
      </c>
      <c r="EK27" s="47">
        <f t="array" ref="EK27">IF(AND(ISNUMBER(MATCH(EK$2, AsistenciaJetAdminConcatenada!$A:$A, 0)), ISNUMBER(MATCH(EK$1, AsistenciaJetAdminConcatenada!$B:$B, 0)), ISNUMBER(SEARCH($A27,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ISNUMBER(SEARCH($A27, INDEX(AsistenciaJetAdminConcatenada!$D:$D, MATCH(1, (AsistenciaJetAdminConcatenada!$A:$A=EK$2)*(AsistenciaJetAdminConcatenada!$B:$B=EK$1), 0)), 1))),  0.5, 0))</f>
        <v>0</v>
      </c>
      <c r="EL27" s="47">
        <f t="array" ref="EL27">IF(AND(ISNUMBER(MATCH(EL$2, AsistenciaJetAdminConcatenada!$A:$A, 0)), ISNUMBER(MATCH(EL$1, AsistenciaJetAdminConcatenada!$B:$B, 0)), ISNUMBER(SEARCH($A27,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ISNUMBER(SEARCH($A27, INDEX(AsistenciaJetAdminConcatenada!$D:$D, MATCH(1, (AsistenciaJetAdminConcatenada!$A:$A=EL$2)*(AsistenciaJetAdminConcatenada!$B:$B=EL$1), 0)), 1))),  0.5, 0))</f>
        <v>0</v>
      </c>
      <c r="EM27" s="47">
        <f t="array" ref="EM27">IF(AND(ISNUMBER(MATCH(EM$2, AsistenciaJetAdminConcatenada!$A:$A, 0)), ISNUMBER(MATCH(EM$1, AsistenciaJetAdminConcatenada!$B:$B, 0)), ISNUMBER(SEARCH($A27,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ISNUMBER(SEARCH($A27, INDEX(AsistenciaJetAdminConcatenada!$D:$D, MATCH(1, (AsistenciaJetAdminConcatenada!$A:$A=EM$2)*(AsistenciaJetAdminConcatenada!$B:$B=EM$1), 0)), 1))),  0.5, 0))</f>
        <v>0</v>
      </c>
      <c r="EN27" s="47">
        <f t="array" ref="EN27">IF(AND(ISNUMBER(MATCH(EN$2, AsistenciaJetAdminConcatenada!$A:$A, 0)), ISNUMBER(MATCH(EN$1, AsistenciaJetAdminConcatenada!$B:$B, 0)), ISNUMBER(SEARCH($A27,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ISNUMBER(SEARCH($A27, INDEX(AsistenciaJetAdminConcatenada!$D:$D, MATCH(1, (AsistenciaJetAdminConcatenada!$A:$A=EN$2)*(AsistenciaJetAdminConcatenada!$B:$B=EN$1), 0)), 1))),  0.5, 0))</f>
        <v>0</v>
      </c>
      <c r="EO27" s="47">
        <f t="array" ref="EO27">IF(AND(ISNUMBER(MATCH(EO$2, AsistenciaJetAdminConcatenada!$A:$A, 0)), ISNUMBER(MATCH(EO$1, AsistenciaJetAdminConcatenada!$B:$B, 0)), ISNUMBER(SEARCH($A27,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ISNUMBER(SEARCH($A27, INDEX(AsistenciaJetAdminConcatenada!$D:$D, MATCH(1, (AsistenciaJetAdminConcatenada!$A:$A=EO$2)*(AsistenciaJetAdminConcatenada!$B:$B=EO$1), 0)), 1))),  0.5, 0))</f>
        <v>0</v>
      </c>
      <c r="EP27" s="47">
        <f t="array" ref="EP27">IF(AND(ISNUMBER(MATCH(EP$2, AsistenciaJetAdminConcatenada!$A:$A, 0)), ISNUMBER(MATCH(EP$1, AsistenciaJetAdminConcatenada!$B:$B, 0)), ISNUMBER(SEARCH($A27,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ISNUMBER(SEARCH($A27, INDEX(AsistenciaJetAdminConcatenada!$D:$D, MATCH(1, (AsistenciaJetAdminConcatenada!$A:$A=EP$2)*(AsistenciaJetAdminConcatenada!$B:$B=EP$1), 0)), 1))),  0.5, 0))</f>
        <v>0</v>
      </c>
      <c r="EQ27" s="47">
        <f t="array" ref="EQ27">IF(AND(ISNUMBER(MATCH(EQ$2, AsistenciaJetAdminConcatenada!$A:$A, 0)), ISNUMBER(MATCH(EQ$1, AsistenciaJetAdminConcatenada!$B:$B, 0)), ISNUMBER(SEARCH($A27,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ISNUMBER(SEARCH($A27, INDEX(AsistenciaJetAdminConcatenada!$D:$D, MATCH(1, (AsistenciaJetAdminConcatenada!$A:$A=EQ$2)*(AsistenciaJetAdminConcatenada!$B:$B=EQ$1), 0)), 1))),  0.5, 0))</f>
        <v>0</v>
      </c>
      <c r="ER27" s="47">
        <f t="array" ref="ER27">IF(AND(ISNUMBER(MATCH(ER$2, AsistenciaJetAdminConcatenada!$A:$A, 0)), ISNUMBER(MATCH(ER$1, AsistenciaJetAdminConcatenada!$B:$B, 0)), ISNUMBER(SEARCH($A27,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ISNUMBER(SEARCH($A27, INDEX(AsistenciaJetAdminConcatenada!$D:$D, MATCH(1, (AsistenciaJetAdminConcatenada!$A:$A=ER$2)*(AsistenciaJetAdminConcatenada!$B:$B=ER$1), 0)), 1))),  0.5, 0))</f>
        <v>0</v>
      </c>
      <c r="ES27" s="47">
        <f t="array" ref="ES27">IF(AND(ISNUMBER(MATCH(ES$2, AsistenciaJetAdminConcatenada!$A:$A, 0)), ISNUMBER(MATCH(ES$1, AsistenciaJetAdminConcatenada!$B:$B, 0)), ISNUMBER(SEARCH($A27,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ISNUMBER(SEARCH($A27, INDEX(AsistenciaJetAdminConcatenada!$D:$D, MATCH(1, (AsistenciaJetAdminConcatenada!$A:$A=ES$2)*(AsistenciaJetAdminConcatenada!$B:$B=ES$1), 0)), 1))),  0.5, 0))</f>
        <v>0</v>
      </c>
      <c r="ET27" s="47">
        <f t="array" ref="ET27">IF(AND(ISNUMBER(MATCH(ET$2, AsistenciaJetAdminConcatenada!$A:$A, 0)), ISNUMBER(MATCH(ET$1, AsistenciaJetAdminConcatenada!$B:$B, 0)), ISNUMBER(SEARCH($A27,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ISNUMBER(SEARCH($A27, INDEX(AsistenciaJetAdminConcatenada!$D:$D, MATCH(1, (AsistenciaJetAdminConcatenada!$A:$A=ET$2)*(AsistenciaJetAdminConcatenada!$B:$B=ET$1), 0)), 1))),  0.5, 0))</f>
        <v>0</v>
      </c>
      <c r="EU27" s="47">
        <f t="array" ref="EU27">IF(AND(ISNUMBER(MATCH(EU$2, AsistenciaJetAdminConcatenada!$A:$A, 0)), ISNUMBER(MATCH(EU$1, AsistenciaJetAdminConcatenada!$B:$B, 0)), ISNUMBER(SEARCH($A27,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ISNUMBER(SEARCH($A27, INDEX(AsistenciaJetAdminConcatenada!$D:$D, MATCH(1, (AsistenciaJetAdminConcatenada!$A:$A=EU$2)*(AsistenciaJetAdminConcatenada!$B:$B=EU$1), 0)), 1))),  0.5, 0))</f>
        <v>0</v>
      </c>
      <c r="EV27" s="47">
        <f t="array" ref="EV27">IF(AND(ISNUMBER(MATCH(EV$2, AsistenciaJetAdminConcatenada!$A:$A, 0)), ISNUMBER(MATCH(EV$1, AsistenciaJetAdminConcatenada!$B:$B, 0)), ISNUMBER(SEARCH($A27,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ISNUMBER(SEARCH($A27, INDEX(AsistenciaJetAdminConcatenada!$D:$D, MATCH(1, (AsistenciaJetAdminConcatenada!$A:$A=EV$2)*(AsistenciaJetAdminConcatenada!$B:$B=EV$1), 0)), 1))),  0.5, 0))</f>
        <v>0</v>
      </c>
      <c r="EW27" s="47">
        <f t="array" ref="EW27">IF(AND(ISNUMBER(MATCH(EW$2, AsistenciaJetAdminConcatenada!$A:$A, 0)), ISNUMBER(MATCH(EW$1, AsistenciaJetAdminConcatenada!$B:$B, 0)), ISNUMBER(SEARCH($A27,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ISNUMBER(SEARCH($A27, INDEX(AsistenciaJetAdminConcatenada!$D:$D, MATCH(1, (AsistenciaJetAdminConcatenada!$A:$A=EW$2)*(AsistenciaJetAdminConcatenada!$B:$B=EW$1), 0)), 1))),  0.5, 0))</f>
        <v>0</v>
      </c>
      <c r="EX27" s="47">
        <f t="array" ref="EX27">IF(AND(ISNUMBER(MATCH(EX$2, AsistenciaJetAdminConcatenada!$A:$A, 0)), ISNUMBER(MATCH(EX$1, AsistenciaJetAdminConcatenada!$B:$B, 0)), ISNUMBER(SEARCH($A27,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ISNUMBER(SEARCH($A27, INDEX(AsistenciaJetAdminConcatenada!$D:$D, MATCH(1, (AsistenciaJetAdminConcatenada!$A:$A=EX$2)*(AsistenciaJetAdminConcatenada!$B:$B=EX$1), 0)), 1))),  0.5, 0))</f>
        <v>0</v>
      </c>
      <c r="EY27" s="47">
        <f t="array" ref="EY27">IF(AND(ISNUMBER(MATCH(EY$2, AsistenciaJetAdminConcatenada!$A:$A, 0)), ISNUMBER(MATCH(EY$1, AsistenciaJetAdminConcatenada!$B:$B, 0)), ISNUMBER(SEARCH($A27,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ISNUMBER(SEARCH($A27, INDEX(AsistenciaJetAdminConcatenada!$D:$D, MATCH(1, (AsistenciaJetAdminConcatenada!$A:$A=EY$2)*(AsistenciaJetAdminConcatenada!$B:$B=EY$1), 0)), 1))),  0.5, 0))</f>
        <v>0</v>
      </c>
      <c r="EZ27" s="47">
        <f t="array" ref="EZ27">IF(AND(ISNUMBER(MATCH(EZ$2, AsistenciaJetAdminConcatenada!$A:$A, 0)), ISNUMBER(MATCH(EZ$1, AsistenciaJetAdminConcatenada!$B:$B, 0)), ISNUMBER(SEARCH($A27,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ISNUMBER(SEARCH($A27, INDEX(AsistenciaJetAdminConcatenada!$D:$D, MATCH(1, (AsistenciaJetAdminConcatenada!$A:$A=EZ$2)*(AsistenciaJetAdminConcatenada!$B:$B=EZ$1), 0)), 1))),  0.5, 0))</f>
        <v>0</v>
      </c>
      <c r="FA27" s="47">
        <f t="array" ref="FA27">IF(AND(ISNUMBER(MATCH(FA$2, AsistenciaJetAdminConcatenada!$A:$A, 0)), ISNUMBER(MATCH(FA$1, AsistenciaJetAdminConcatenada!$B:$B, 0)), ISNUMBER(SEARCH($A27,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ISNUMBER(SEARCH($A27, INDEX(AsistenciaJetAdminConcatenada!$D:$D, MATCH(1, (AsistenciaJetAdminConcatenada!$A:$A=FA$2)*(AsistenciaJetAdminConcatenada!$B:$B=FA$1), 0)), 1))),  0.5, 0))</f>
        <v>0</v>
      </c>
      <c r="FB27" s="47">
        <f t="array" ref="FB27">IF(AND(ISNUMBER(MATCH(FB$2, AsistenciaJetAdminConcatenada!$A:$A, 0)), ISNUMBER(MATCH(FB$1, AsistenciaJetAdminConcatenada!$B:$B, 0)), ISNUMBER(SEARCH($A27,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ISNUMBER(SEARCH($A27, INDEX(AsistenciaJetAdminConcatenada!$D:$D, MATCH(1, (AsistenciaJetAdminConcatenada!$A:$A=FB$2)*(AsistenciaJetAdminConcatenada!$B:$B=FB$1), 0)), 1))),  0.5, 0))</f>
        <v>0</v>
      </c>
      <c r="FC27" s="47">
        <f t="array" ref="FC27">IF(AND(ISNUMBER(MATCH(FC$2, AsistenciaJetAdminConcatenada!$A:$A, 0)), ISNUMBER(MATCH(FC$1, AsistenciaJetAdminConcatenada!$B:$B, 0)), ISNUMBER(SEARCH($A27,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ISNUMBER(SEARCH($A27, INDEX(AsistenciaJetAdminConcatenada!$D:$D, MATCH(1, (AsistenciaJetAdminConcatenada!$A:$A=FC$2)*(AsistenciaJetAdminConcatenada!$B:$B=FC$1), 0)), 1))),  0.5, 0))</f>
        <v>0</v>
      </c>
      <c r="FD27" s="47">
        <f t="array" ref="FD27">IF(AND(ISNUMBER(MATCH(FD$2, AsistenciaJetAdminConcatenada!$A:$A, 0)), ISNUMBER(MATCH(FD$1, AsistenciaJetAdminConcatenada!$B:$B, 0)), ISNUMBER(SEARCH($A27,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ISNUMBER(SEARCH($A27, INDEX(AsistenciaJetAdminConcatenada!$D:$D, MATCH(1, (AsistenciaJetAdminConcatenada!$A:$A=FD$2)*(AsistenciaJetAdminConcatenada!$B:$B=FD$1), 0)), 1))),  0.5, 0))</f>
        <v>0</v>
      </c>
      <c r="FE27" s="47">
        <f t="array" ref="FE27">IF(AND(ISNUMBER(MATCH(FE$2, AsistenciaJetAdminConcatenada!$A:$A, 0)), ISNUMBER(MATCH(FE$1, AsistenciaJetAdminConcatenada!$B:$B, 0)), ISNUMBER(SEARCH($A27,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ISNUMBER(SEARCH($A27, INDEX(AsistenciaJetAdminConcatenada!$D:$D, MATCH(1, (AsistenciaJetAdminConcatenada!$A:$A=FE$2)*(AsistenciaJetAdminConcatenada!$B:$B=FE$1), 0)), 1))),  0.5, 0))</f>
        <v>0</v>
      </c>
      <c r="FF27" s="47">
        <f t="array" ref="FF27">IF(AND(ISNUMBER(MATCH(FF$2, AsistenciaJetAdminConcatenada!$A:$A, 0)), ISNUMBER(MATCH(FF$1, AsistenciaJetAdminConcatenada!$B:$B, 0)), ISNUMBER(SEARCH($A27,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ISNUMBER(SEARCH($A27, INDEX(AsistenciaJetAdminConcatenada!$D:$D, MATCH(1, (AsistenciaJetAdminConcatenada!$A:$A=FF$2)*(AsistenciaJetAdminConcatenada!$B:$B=FF$1), 0)), 1))),  0.5, 0))</f>
        <v>0</v>
      </c>
      <c r="FG27" s="47">
        <f t="array" ref="FG27">IF(AND(ISNUMBER(MATCH(FG$2, AsistenciaJetAdminConcatenada!$A:$A, 0)), ISNUMBER(MATCH(FG$1, AsistenciaJetAdminConcatenada!$B:$B, 0)), ISNUMBER(SEARCH($A27,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ISNUMBER(SEARCH($A27, INDEX(AsistenciaJetAdminConcatenada!$D:$D, MATCH(1, (AsistenciaJetAdminConcatenada!$A:$A=FG$2)*(AsistenciaJetAdminConcatenada!$B:$B=FG$1), 0)), 1))),  0.5, 0))</f>
        <v>0</v>
      </c>
      <c r="FH27" s="47">
        <f t="array" ref="FH27">IF(AND(ISNUMBER(MATCH(FH$2, AsistenciaJetAdminConcatenada!$A:$A, 0)), ISNUMBER(MATCH(FH$1, AsistenciaJetAdminConcatenada!$B:$B, 0)), ISNUMBER(SEARCH($A27,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ISNUMBER(SEARCH($A27, INDEX(AsistenciaJetAdminConcatenada!$D:$D, MATCH(1, (AsistenciaJetAdminConcatenada!$A:$A=FH$2)*(AsistenciaJetAdminConcatenada!$B:$B=FH$1), 0)), 1))),  0.5, 0))</f>
        <v>0</v>
      </c>
      <c r="FI27" s="47">
        <f t="array" ref="FI27">IF(AND(ISNUMBER(MATCH(FI$2, AsistenciaJetAdminConcatenada!$A:$A, 0)), ISNUMBER(MATCH(FI$1, AsistenciaJetAdminConcatenada!$B:$B, 0)), ISNUMBER(SEARCH($A27,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ISNUMBER(SEARCH($A27, INDEX(AsistenciaJetAdminConcatenada!$D:$D, MATCH(1, (AsistenciaJetAdminConcatenada!$A:$A=FI$2)*(AsistenciaJetAdminConcatenada!$B:$B=FI$1), 0)), 1))),  0.5, 0))</f>
        <v>0</v>
      </c>
      <c r="FJ27" s="47">
        <f t="array" ref="FJ27">IF(AND(ISNUMBER(MATCH(FJ$2, AsistenciaJetAdminConcatenada!$A:$A, 0)), ISNUMBER(MATCH(FJ$1, AsistenciaJetAdminConcatenada!$B:$B, 0)), ISNUMBER(SEARCH($A27,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ISNUMBER(SEARCH($A27, INDEX(AsistenciaJetAdminConcatenada!$D:$D, MATCH(1, (AsistenciaJetAdminConcatenada!$A:$A=FJ$2)*(AsistenciaJetAdminConcatenada!$B:$B=FJ$1), 0)), 1))),  0.5, 0))</f>
        <v>0</v>
      </c>
      <c r="FK27" s="47">
        <f t="array" ref="FK27">IF(AND(ISNUMBER(MATCH(FK$2, AsistenciaJetAdminConcatenada!$A:$A, 0)), ISNUMBER(MATCH(FK$1, AsistenciaJetAdminConcatenada!$B:$B, 0)), ISNUMBER(SEARCH($A27,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ISNUMBER(SEARCH($A27, INDEX(AsistenciaJetAdminConcatenada!$D:$D, MATCH(1, (AsistenciaJetAdminConcatenada!$A:$A=FK$2)*(AsistenciaJetAdminConcatenada!$B:$B=FK$1), 0)), 1))),  0.5, 0))</f>
        <v>0</v>
      </c>
      <c r="FL27" s="47">
        <f t="array" ref="FL27">IF(AND(ISNUMBER(MATCH(FL$2, AsistenciaJetAdminConcatenada!$A:$A, 0)), ISNUMBER(MATCH(FL$1, AsistenciaJetAdminConcatenada!$B:$B, 0)), ISNUMBER(SEARCH($A27,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ISNUMBER(SEARCH($A27, INDEX(AsistenciaJetAdminConcatenada!$D:$D, MATCH(1, (AsistenciaJetAdminConcatenada!$A:$A=FL$2)*(AsistenciaJetAdminConcatenada!$B:$B=FL$1), 0)), 1))),  0.5, 0))</f>
        <v>0</v>
      </c>
      <c r="FM27" s="47">
        <f t="array" ref="FM27">IF(AND(ISNUMBER(MATCH(FM$2, AsistenciaJetAdminConcatenada!$A:$A, 0)), ISNUMBER(MATCH(FM$1, AsistenciaJetAdminConcatenada!$B:$B, 0)), ISNUMBER(SEARCH($A27,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ISNUMBER(SEARCH($A27, INDEX(AsistenciaJetAdminConcatenada!$D:$D, MATCH(1, (AsistenciaJetAdminConcatenada!$A:$A=FM$2)*(AsistenciaJetAdminConcatenada!$B:$B=FM$1), 0)), 1))),  0.5, 0))</f>
        <v>0</v>
      </c>
      <c r="FN27" s="47">
        <f t="array" ref="FN27">IF(AND(ISNUMBER(MATCH(FN$2, AsistenciaJetAdminConcatenada!$A:$A, 0)), ISNUMBER(MATCH(FN$1, AsistenciaJetAdminConcatenada!$B:$B, 0)), ISNUMBER(SEARCH($A27,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ISNUMBER(SEARCH($A27, INDEX(AsistenciaJetAdminConcatenada!$D:$D, MATCH(1, (AsistenciaJetAdminConcatenada!$A:$A=FN$2)*(AsistenciaJetAdminConcatenada!$B:$B=FN$1), 0)), 1))),  0.5, 0))</f>
        <v>0</v>
      </c>
      <c r="FO27" s="47">
        <f t="array" ref="FO27">IF(AND(ISNUMBER(MATCH(FO$2, AsistenciaJetAdminConcatenada!$A:$A, 0)), ISNUMBER(MATCH(FO$1, AsistenciaJetAdminConcatenada!$B:$B, 0)), ISNUMBER(SEARCH($A27,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ISNUMBER(SEARCH($A27, INDEX(AsistenciaJetAdminConcatenada!$D:$D, MATCH(1, (AsistenciaJetAdminConcatenada!$A:$A=FO$2)*(AsistenciaJetAdminConcatenada!$B:$B=FO$1), 0)), 1))),  0.5, 0))</f>
        <v>0</v>
      </c>
      <c r="FP27" s="47">
        <f t="array" ref="FP27">IF(AND(ISNUMBER(MATCH(FP$2, AsistenciaJetAdminConcatenada!$A:$A, 0)), ISNUMBER(MATCH(FP$1, AsistenciaJetAdminConcatenada!$B:$B, 0)), ISNUMBER(SEARCH($A27,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ISNUMBER(SEARCH($A27, INDEX(AsistenciaJetAdminConcatenada!$D:$D, MATCH(1, (AsistenciaJetAdminConcatenada!$A:$A=FP$2)*(AsistenciaJetAdminConcatenada!$B:$B=FP$1), 0)), 1))),  0.5, 0))</f>
        <v>0</v>
      </c>
      <c r="FQ27" s="47">
        <f t="array" ref="FQ27">IF(AND(ISNUMBER(MATCH(FQ$2, AsistenciaJetAdminConcatenada!$A:$A, 0)), ISNUMBER(MATCH(FQ$1, AsistenciaJetAdminConcatenada!$B:$B, 0)), ISNUMBER(SEARCH($A27,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ISNUMBER(SEARCH($A27, INDEX(AsistenciaJetAdminConcatenada!$D:$D, MATCH(1, (AsistenciaJetAdminConcatenada!$A:$A=FQ$2)*(AsistenciaJetAdminConcatenada!$B:$B=FQ$1), 0)), 1))),  0.5, 0))</f>
        <v>0</v>
      </c>
      <c r="FR27" s="47">
        <f t="array" ref="FR27">IF(AND(ISNUMBER(MATCH(FR$2, AsistenciaJetAdminConcatenada!$A:$A, 0)), ISNUMBER(MATCH(FR$1, AsistenciaJetAdminConcatenada!$B:$B, 0)), ISNUMBER(SEARCH($A27,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ISNUMBER(SEARCH($A27, INDEX(AsistenciaJetAdminConcatenada!$D:$D, MATCH(1, (AsistenciaJetAdminConcatenada!$A:$A=FR$2)*(AsistenciaJetAdminConcatenada!$B:$B=FR$1), 0)), 1))),  0.5, 0))</f>
        <v>0</v>
      </c>
      <c r="FS27" s="47">
        <f t="array" ref="FS27">IF(AND(ISNUMBER(MATCH(FS$2, AsistenciaJetAdminConcatenada!$A:$A, 0)), ISNUMBER(MATCH(FS$1, AsistenciaJetAdminConcatenada!$B:$B, 0)), ISNUMBER(SEARCH($A27,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ISNUMBER(SEARCH($A27, INDEX(AsistenciaJetAdminConcatenada!$D:$D, MATCH(1, (AsistenciaJetAdminConcatenada!$A:$A=FS$2)*(AsistenciaJetAdminConcatenada!$B:$B=FS$1), 0)), 1))),  0.5, 0))</f>
        <v>0</v>
      </c>
      <c r="FT27" s="47">
        <f t="array" ref="FT27">IF(AND(ISNUMBER(MATCH(FT$2, AsistenciaJetAdminConcatenada!$A:$A, 0)), ISNUMBER(MATCH(FT$1, AsistenciaJetAdminConcatenada!$B:$B, 0)), ISNUMBER(SEARCH($A27,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ISNUMBER(SEARCH($A27, INDEX(AsistenciaJetAdminConcatenada!$D:$D, MATCH(1, (AsistenciaJetAdminConcatenada!$A:$A=FT$2)*(AsistenciaJetAdminConcatenada!$B:$B=FT$1), 0)), 1))),  0.5, 0))</f>
        <v>0</v>
      </c>
      <c r="FU27" s="47">
        <f t="array" ref="FU27">IF(AND(ISNUMBER(MATCH(FU$2, AsistenciaJetAdminConcatenada!$A:$A, 0)), ISNUMBER(MATCH(FU$1, AsistenciaJetAdminConcatenada!$B:$B, 0)), ISNUMBER(SEARCH($A27,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ISNUMBER(SEARCH($A27, INDEX(AsistenciaJetAdminConcatenada!$D:$D, MATCH(1, (AsistenciaJetAdminConcatenada!$A:$A=FU$2)*(AsistenciaJetAdminConcatenada!$B:$B=FU$1), 0)), 1))),  0.5, 0))</f>
        <v>0</v>
      </c>
      <c r="FV27" s="47">
        <f t="array" ref="FV27">IF(AND(ISNUMBER(MATCH(FV$2, AsistenciaJetAdminConcatenada!$A:$A, 0)), ISNUMBER(MATCH(FV$1, AsistenciaJetAdminConcatenada!$B:$B, 0)), ISNUMBER(SEARCH($A27,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ISNUMBER(SEARCH($A27, INDEX(AsistenciaJetAdminConcatenada!$D:$D, MATCH(1, (AsistenciaJetAdminConcatenada!$A:$A=FV$2)*(AsistenciaJetAdminConcatenada!$B:$B=FV$1), 0)), 1))),  0.5, 0))</f>
        <v>0</v>
      </c>
      <c r="FW27" s="47">
        <f t="array" ref="FW27">IF(AND(ISNUMBER(MATCH(FW$2, AsistenciaJetAdminConcatenada!$A:$A, 0)), ISNUMBER(MATCH(FW$1, AsistenciaJetAdminConcatenada!$B:$B, 0)), ISNUMBER(SEARCH($A27,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ISNUMBER(SEARCH($A27, INDEX(AsistenciaJetAdminConcatenada!$D:$D, MATCH(1, (AsistenciaJetAdminConcatenada!$A:$A=FW$2)*(AsistenciaJetAdminConcatenada!$B:$B=FW$1), 0)), 1))),  0.5, 0))</f>
        <v>0</v>
      </c>
      <c r="FX27" s="47">
        <f t="array" ref="FX27">IF(AND(ISNUMBER(MATCH(FX$2, AsistenciaJetAdminConcatenada!$A:$A, 0)), ISNUMBER(MATCH(FX$1, AsistenciaJetAdminConcatenada!$B:$B, 0)), ISNUMBER(SEARCH($A27,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ISNUMBER(SEARCH($A27, INDEX(AsistenciaJetAdminConcatenada!$D:$D, MATCH(1, (AsistenciaJetAdminConcatenada!$A:$A=FX$2)*(AsistenciaJetAdminConcatenada!$B:$B=FX$1), 0)), 1))),  0.5, 0))</f>
        <v>0</v>
      </c>
      <c r="FY27" s="47">
        <f t="array" ref="FY27">IF(AND(ISNUMBER(MATCH(FY$2, AsistenciaJetAdminConcatenada!$A:$A, 0)), ISNUMBER(MATCH(FY$1, AsistenciaJetAdminConcatenada!$B:$B, 0)), ISNUMBER(SEARCH($A27,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ISNUMBER(SEARCH($A27, INDEX(AsistenciaJetAdminConcatenada!$D:$D, MATCH(1, (AsistenciaJetAdminConcatenada!$A:$A=FY$2)*(AsistenciaJetAdminConcatenada!$B:$B=FY$1), 0)), 1))),  0.5, 0))</f>
        <v>0</v>
      </c>
      <c r="FZ27" s="47">
        <f t="array" ref="FZ27">IF(AND(ISNUMBER(MATCH(FZ$2, AsistenciaJetAdminConcatenada!$A:$A, 0)), ISNUMBER(MATCH(FZ$1, AsistenciaJetAdminConcatenada!$B:$B, 0)), ISNUMBER(SEARCH($A27,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ISNUMBER(SEARCH($A27, INDEX(AsistenciaJetAdminConcatenada!$D:$D, MATCH(1, (AsistenciaJetAdminConcatenada!$A:$A=FZ$2)*(AsistenciaJetAdminConcatenada!$B:$B=FZ$1), 0)), 1))),  0.5, 0))</f>
        <v>0</v>
      </c>
      <c r="GA27" s="47">
        <f t="array" ref="GA27">IF(AND(ISNUMBER(MATCH(GA$2, AsistenciaJetAdminConcatenada!$A:$A, 0)), ISNUMBER(MATCH(GA$1, AsistenciaJetAdminConcatenada!$B:$B, 0)), ISNUMBER(SEARCH($A27,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ISNUMBER(SEARCH($A27, INDEX(AsistenciaJetAdminConcatenada!$D:$D, MATCH(1, (AsistenciaJetAdminConcatenada!$A:$A=GA$2)*(AsistenciaJetAdminConcatenada!$B:$B=GA$1), 0)), 1))),  0.5, 0))</f>
        <v>0</v>
      </c>
      <c r="GB27" s="47">
        <f t="array" ref="GB27">IF(AND(ISNUMBER(MATCH(GB$2, AsistenciaJetAdminConcatenada!$A:$A, 0)), ISNUMBER(MATCH(GB$1, AsistenciaJetAdminConcatenada!$B:$B, 0)), ISNUMBER(SEARCH($A27,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ISNUMBER(SEARCH($A27, INDEX(AsistenciaJetAdminConcatenada!$D:$D, MATCH(1, (AsistenciaJetAdminConcatenada!$A:$A=GB$2)*(AsistenciaJetAdminConcatenada!$B:$B=GB$1), 0)), 1))),  0.5, 0))</f>
        <v>0</v>
      </c>
      <c r="GC27" s="47">
        <f t="array" ref="GC27">IF(AND(ISNUMBER(MATCH(GC$2, AsistenciaJetAdminConcatenada!$A:$A, 0)), ISNUMBER(MATCH(GC$1, AsistenciaJetAdminConcatenada!$B:$B, 0)), ISNUMBER(SEARCH($A27,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ISNUMBER(SEARCH($A27, INDEX(AsistenciaJetAdminConcatenada!$D:$D, MATCH(1, (AsistenciaJetAdminConcatenada!$A:$A=GC$2)*(AsistenciaJetAdminConcatenada!$B:$B=GC$1), 0)), 1))),  0.5, 0))</f>
        <v>0</v>
      </c>
      <c r="GD27" s="47">
        <f t="array" ref="GD27">IF(AND(ISNUMBER(MATCH(GD$2, AsistenciaJetAdminConcatenada!$A:$A, 0)), ISNUMBER(MATCH(GD$1, AsistenciaJetAdminConcatenada!$B:$B, 0)), ISNUMBER(SEARCH($A27,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ISNUMBER(SEARCH($A27, INDEX(AsistenciaJetAdminConcatenada!$D:$D, MATCH(1, (AsistenciaJetAdminConcatenada!$A:$A=GD$2)*(AsistenciaJetAdminConcatenada!$B:$B=GD$1), 0)), 1))),  0.5, 0))</f>
        <v>0</v>
      </c>
      <c r="GE27" s="47">
        <f t="array" ref="GE27">IF(AND(ISNUMBER(MATCH(GE$2, AsistenciaJetAdminConcatenada!$A:$A, 0)), ISNUMBER(MATCH(GE$1, AsistenciaJetAdminConcatenada!$B:$B, 0)), ISNUMBER(SEARCH($A27,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ISNUMBER(SEARCH($A27, INDEX(AsistenciaJetAdminConcatenada!$D:$D, MATCH(1, (AsistenciaJetAdminConcatenada!$A:$A=GE$2)*(AsistenciaJetAdminConcatenada!$B:$B=GE$1), 0)), 1))),  0.5, 0))</f>
        <v>0</v>
      </c>
      <c r="GF27" s="47">
        <f t="array" ref="GF27">IF(AND(ISNUMBER(MATCH(GF$2, AsistenciaJetAdminConcatenada!$A:$A, 0)), ISNUMBER(MATCH(GF$1, AsistenciaJetAdminConcatenada!$B:$B, 0)), ISNUMBER(SEARCH($A27,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ISNUMBER(SEARCH($A27, INDEX(AsistenciaJetAdminConcatenada!$D:$D, MATCH(1, (AsistenciaJetAdminConcatenada!$A:$A=GF$2)*(AsistenciaJetAdminConcatenada!$B:$B=GF$1), 0)), 1))),  0.5, 0))</f>
        <v>0</v>
      </c>
      <c r="GG27" s="47">
        <f t="array" ref="GG27">IF(AND(ISNUMBER(MATCH(GG$2, AsistenciaJetAdminConcatenada!$A:$A, 0)), ISNUMBER(MATCH(GG$1, AsistenciaJetAdminConcatenada!$B:$B, 0)), ISNUMBER(SEARCH($A27,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ISNUMBER(SEARCH($A27, INDEX(AsistenciaJetAdminConcatenada!$D:$D, MATCH(1, (AsistenciaJetAdminConcatenada!$A:$A=GG$2)*(AsistenciaJetAdminConcatenada!$B:$B=GG$1), 0)), 1))),  0.5, 0))</f>
        <v>0</v>
      </c>
      <c r="GH27" s="47">
        <f t="array" ref="GH27">IF(AND(ISNUMBER(MATCH(GH$2, AsistenciaJetAdminConcatenada!$A:$A, 0)), ISNUMBER(MATCH(GH$1, AsistenciaJetAdminConcatenada!$B:$B, 0)), ISNUMBER(SEARCH($A27,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ISNUMBER(SEARCH($A27, INDEX(AsistenciaJetAdminConcatenada!$D:$D, MATCH(1, (AsistenciaJetAdminConcatenada!$A:$A=GH$2)*(AsistenciaJetAdminConcatenada!$B:$B=GH$1), 0)), 1))),  0.5, 0))</f>
        <v>0</v>
      </c>
      <c r="GI27" s="47">
        <f t="array" ref="GI27">IF(AND(ISNUMBER(MATCH(GI$2, AsistenciaJetAdminConcatenada!$A:$A, 0)), ISNUMBER(MATCH(GI$1, AsistenciaJetAdminConcatenada!$B:$B, 0)), ISNUMBER(SEARCH($A27,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ISNUMBER(SEARCH($A27, INDEX(AsistenciaJetAdminConcatenada!$D:$D, MATCH(1, (AsistenciaJetAdminConcatenada!$A:$A=GI$2)*(AsistenciaJetAdminConcatenada!$B:$B=GI$1), 0)), 1))),  0.5, 0))</f>
        <v>0</v>
      </c>
      <c r="GJ27" s="47">
        <f t="array" ref="GJ27">IF(AND(ISNUMBER(MATCH(GJ$2, AsistenciaJetAdminConcatenada!$A:$A, 0)), ISNUMBER(MATCH(GJ$1, AsistenciaJetAdminConcatenada!$B:$B, 0)), ISNUMBER(SEARCH($A27,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ISNUMBER(SEARCH($A27, INDEX(AsistenciaJetAdminConcatenada!$D:$D, MATCH(1, (AsistenciaJetAdminConcatenada!$A:$A=GJ$2)*(AsistenciaJetAdminConcatenada!$B:$B=GJ$1), 0)), 1))),  0.5, 0))</f>
        <v>0</v>
      </c>
      <c r="GK27" s="47">
        <f t="array" ref="GK27">IF(AND(ISNUMBER(MATCH(GK$2, AsistenciaJetAdminConcatenada!$A:$A, 0)), ISNUMBER(MATCH(GK$1, AsistenciaJetAdminConcatenada!$B:$B, 0)), ISNUMBER(SEARCH($A27,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ISNUMBER(SEARCH($A27, INDEX(AsistenciaJetAdminConcatenada!$D:$D, MATCH(1, (AsistenciaJetAdminConcatenada!$A:$A=GK$2)*(AsistenciaJetAdminConcatenada!$B:$B=GK$1), 0)), 1))),  0.5, 0))</f>
        <v>0</v>
      </c>
      <c r="GL27" s="47">
        <f t="array" ref="GL27">IF(AND(ISNUMBER(MATCH(GL$2, AsistenciaJetAdminConcatenada!$A:$A, 0)), ISNUMBER(MATCH(GL$1, AsistenciaJetAdminConcatenada!$B:$B, 0)), ISNUMBER(SEARCH($A27,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ISNUMBER(SEARCH($A27, INDEX(AsistenciaJetAdminConcatenada!$D:$D, MATCH(1, (AsistenciaJetAdminConcatenada!$A:$A=GL$2)*(AsistenciaJetAdminConcatenada!$B:$B=GL$1), 0)), 1))),  0.5, 0))</f>
        <v>0</v>
      </c>
      <c r="GM27" s="47">
        <f t="array" ref="GM27">IF(AND(ISNUMBER(MATCH(GM$2, AsistenciaJetAdminConcatenada!$A:$A, 0)), ISNUMBER(MATCH(GM$1, AsistenciaJetAdminConcatenada!$B:$B, 0)), ISNUMBER(SEARCH($A27,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ISNUMBER(SEARCH($A27, INDEX(AsistenciaJetAdminConcatenada!$D:$D, MATCH(1, (AsistenciaJetAdminConcatenada!$A:$A=GM$2)*(AsistenciaJetAdminConcatenada!$B:$B=GM$1), 0)), 1))),  0.5, 0))</f>
        <v>0</v>
      </c>
      <c r="GN27" s="47">
        <f t="array" ref="GN27">IF(AND(ISNUMBER(MATCH(GN$2, AsistenciaJetAdminConcatenada!$A:$A, 0)), ISNUMBER(MATCH(GN$1, AsistenciaJetAdminConcatenada!$B:$B, 0)), ISNUMBER(SEARCH($A27,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ISNUMBER(SEARCH($A27, INDEX(AsistenciaJetAdminConcatenada!$D:$D, MATCH(1, (AsistenciaJetAdminConcatenada!$A:$A=GN$2)*(AsistenciaJetAdminConcatenada!$B:$B=GN$1), 0)), 1))),  0.5, 0))</f>
        <v>0</v>
      </c>
      <c r="GO27" s="47">
        <f t="array" ref="GO27">IF(AND(ISNUMBER(MATCH(GO$2, AsistenciaJetAdminConcatenada!$A:$A, 0)), ISNUMBER(MATCH(GO$1, AsistenciaJetAdminConcatenada!$B:$B, 0)), ISNUMBER(SEARCH($A27,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ISNUMBER(SEARCH($A27, INDEX(AsistenciaJetAdminConcatenada!$D:$D, MATCH(1, (AsistenciaJetAdminConcatenada!$A:$A=GO$2)*(AsistenciaJetAdminConcatenada!$B:$B=GO$1), 0)), 1))),  0.5, 0))</f>
        <v>0</v>
      </c>
      <c r="GP27" s="47">
        <f t="array" ref="GP27">IF(AND(ISNUMBER(MATCH(GP$2, AsistenciaJetAdminConcatenada!$A:$A, 0)), ISNUMBER(MATCH(GP$1, AsistenciaJetAdminConcatenada!$B:$B, 0)), ISNUMBER(SEARCH($A27,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ISNUMBER(SEARCH($A27, INDEX(AsistenciaJetAdminConcatenada!$D:$D, MATCH(1, (AsistenciaJetAdminConcatenada!$A:$A=GP$2)*(AsistenciaJetAdminConcatenada!$B:$B=GP$1), 0)), 1))),  0.5, 0))</f>
        <v>0</v>
      </c>
      <c r="GQ27" s="47">
        <f t="array" ref="GQ27">IF(AND(ISNUMBER(MATCH(GQ$2, AsistenciaJetAdminConcatenada!$A:$A, 0)), ISNUMBER(MATCH(GQ$1, AsistenciaJetAdminConcatenada!$B:$B, 0)), ISNUMBER(SEARCH($A27,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ISNUMBER(SEARCH($A27, INDEX(AsistenciaJetAdminConcatenada!$D:$D, MATCH(1, (AsistenciaJetAdminConcatenada!$A:$A=GQ$2)*(AsistenciaJetAdminConcatenada!$B:$B=GQ$1), 0)), 1))),  0.5, 0))</f>
        <v>0</v>
      </c>
      <c r="GR27" s="47">
        <f t="array" ref="GR27">IF(AND(ISNUMBER(MATCH(GR$2, AsistenciaJetAdminConcatenada!$A:$A, 0)), ISNUMBER(MATCH(GR$1, AsistenciaJetAdminConcatenada!$B:$B, 0)), ISNUMBER(SEARCH($A27,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ISNUMBER(SEARCH($A27, INDEX(AsistenciaJetAdminConcatenada!$D:$D, MATCH(1, (AsistenciaJetAdminConcatenada!$A:$A=GR$2)*(AsistenciaJetAdminConcatenada!$B:$B=GR$1), 0)), 1))),  0.5, 0))</f>
        <v>0</v>
      </c>
      <c r="GS27" s="47">
        <f t="array" ref="GS27">IF(AND(ISNUMBER(MATCH(GS$2, AsistenciaJetAdminConcatenada!$A:$A, 0)), ISNUMBER(MATCH(GS$1, AsistenciaJetAdminConcatenada!$B:$B, 0)), ISNUMBER(SEARCH($A27,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ISNUMBER(SEARCH($A27, INDEX(AsistenciaJetAdminConcatenada!$D:$D, MATCH(1, (AsistenciaJetAdminConcatenada!$A:$A=GS$2)*(AsistenciaJetAdminConcatenada!$B:$B=GS$1), 0)), 1))),  0.5, 0))</f>
        <v>0</v>
      </c>
      <c r="GT27" s="47">
        <f t="array" ref="GT27">IF(AND(ISNUMBER(MATCH(GT$2, AsistenciaJetAdminConcatenada!$A:$A, 0)), ISNUMBER(MATCH(GT$1, AsistenciaJetAdminConcatenada!$B:$B, 0)), ISNUMBER(SEARCH($A27,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ISNUMBER(SEARCH($A27, INDEX(AsistenciaJetAdminConcatenada!$D:$D, MATCH(1, (AsistenciaJetAdminConcatenada!$A:$A=GT$2)*(AsistenciaJetAdminConcatenada!$B:$B=GT$1), 0)), 1))),  0.5, 0))</f>
        <v>0</v>
      </c>
      <c r="GU27" s="47">
        <f t="array" ref="GU27">IF(AND(ISNUMBER(MATCH(GU$2, AsistenciaJetAdminConcatenada!$A:$A, 0)), ISNUMBER(MATCH(GU$1, AsistenciaJetAdminConcatenada!$B:$B, 0)), ISNUMBER(SEARCH($A27,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ISNUMBER(SEARCH($A27, INDEX(AsistenciaJetAdminConcatenada!$D:$D, MATCH(1, (AsistenciaJetAdminConcatenada!$A:$A=GU$2)*(AsistenciaJetAdminConcatenada!$B:$B=GU$1), 0)), 1))),  0.5, 0))</f>
        <v>0</v>
      </c>
      <c r="GV27" s="47">
        <f t="array" ref="GV27">IF(AND(ISNUMBER(MATCH(GV$2, AsistenciaJetAdminConcatenada!$A:$A, 0)), ISNUMBER(MATCH(GV$1, AsistenciaJetAdminConcatenada!$B:$B, 0)), ISNUMBER(SEARCH($A27,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ISNUMBER(SEARCH($A27, INDEX(AsistenciaJetAdminConcatenada!$D:$D, MATCH(1, (AsistenciaJetAdminConcatenada!$A:$A=GV$2)*(AsistenciaJetAdminConcatenada!$B:$B=GV$1), 0)), 1))),  0.5, 0))</f>
        <v>0</v>
      </c>
      <c r="GW27" s="47">
        <f t="array" ref="GW27">IF(AND(ISNUMBER(MATCH(GW$2, AsistenciaJetAdminConcatenada!$A:$A, 0)), ISNUMBER(MATCH(GW$1, AsistenciaJetAdminConcatenada!$B:$B, 0)), ISNUMBER(SEARCH($A27,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ISNUMBER(SEARCH($A27, INDEX(AsistenciaJetAdminConcatenada!$D:$D, MATCH(1, (AsistenciaJetAdminConcatenada!$A:$A=GW$2)*(AsistenciaJetAdminConcatenada!$B:$B=GW$1), 0)), 1))),  0.5, 0))</f>
        <v>0</v>
      </c>
      <c r="GX27" s="47">
        <f t="array" ref="GX27">IF(AND(ISNUMBER(MATCH(GX$2, AsistenciaJetAdminConcatenada!$A:$A, 0)), ISNUMBER(MATCH(GX$1, AsistenciaJetAdminConcatenada!$B:$B, 0)), ISNUMBER(SEARCH($A27,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ISNUMBER(SEARCH($A27, INDEX(AsistenciaJetAdminConcatenada!$D:$D, MATCH(1, (AsistenciaJetAdminConcatenada!$A:$A=GX$2)*(AsistenciaJetAdminConcatenada!$B:$B=GX$1), 0)), 1))),  0.5, 0))</f>
        <v>0</v>
      </c>
      <c r="GY27" s="47">
        <f t="array" ref="GY27">IF(AND(ISNUMBER(MATCH(GY$2, AsistenciaJetAdminConcatenada!$A:$A, 0)), ISNUMBER(MATCH(GY$1, AsistenciaJetAdminConcatenada!$B:$B, 0)), ISNUMBER(SEARCH($A27,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ISNUMBER(SEARCH($A27, INDEX(AsistenciaJetAdminConcatenada!$D:$D, MATCH(1, (AsistenciaJetAdminConcatenada!$A:$A=GY$2)*(AsistenciaJetAdminConcatenada!$B:$B=GY$1), 0)), 1))),  0.5, 0))</f>
        <v>0</v>
      </c>
      <c r="GZ27" s="47">
        <f t="array" ref="GZ27">IF(AND(ISNUMBER(MATCH(GZ$2, AsistenciaJetAdminConcatenada!$A:$A, 0)), ISNUMBER(MATCH(GZ$1, AsistenciaJetAdminConcatenada!$B:$B, 0)), ISNUMBER(SEARCH($A27,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ISNUMBER(SEARCH($A27, INDEX(AsistenciaJetAdminConcatenada!$D:$D, MATCH(1, (AsistenciaJetAdminConcatenada!$A:$A=GZ$2)*(AsistenciaJetAdminConcatenada!$B:$B=GZ$1), 0)), 1))),  0.5, 0))</f>
        <v>0</v>
      </c>
      <c r="HA27" s="47">
        <f t="array" ref="HA27">IF(AND(ISNUMBER(MATCH(HA$2, AsistenciaJetAdminConcatenada!$A:$A, 0)), ISNUMBER(MATCH(HA$1, AsistenciaJetAdminConcatenada!$B:$B, 0)), ISNUMBER(SEARCH($A27,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ISNUMBER(SEARCH($A27, INDEX(AsistenciaJetAdminConcatenada!$D:$D, MATCH(1, (AsistenciaJetAdminConcatenada!$A:$A=HA$2)*(AsistenciaJetAdminConcatenada!$B:$B=HA$1), 0)), 1))),  0.5, 0))</f>
        <v>0</v>
      </c>
      <c r="HB27" s="47">
        <f t="array" ref="HB27">IF(AND(ISNUMBER(MATCH(HB$2, AsistenciaJetAdminConcatenada!$A:$A, 0)), ISNUMBER(MATCH(HB$1, AsistenciaJetAdminConcatenada!$B:$B, 0)), ISNUMBER(SEARCH($A27,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ISNUMBER(SEARCH($A27, INDEX(AsistenciaJetAdminConcatenada!$D:$D, MATCH(1, (AsistenciaJetAdminConcatenada!$A:$A=HB$2)*(AsistenciaJetAdminConcatenada!$B:$B=HB$1), 0)), 1))),  0.5, 0))</f>
        <v>0</v>
      </c>
      <c r="HC27" s="47">
        <f t="array" ref="HC27">IF(AND(ISNUMBER(MATCH(HC$2, AsistenciaJetAdminConcatenada!$A:$A, 0)), ISNUMBER(MATCH(HC$1, AsistenciaJetAdminConcatenada!$B:$B, 0)), ISNUMBER(SEARCH($A27,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ISNUMBER(SEARCH($A27, INDEX(AsistenciaJetAdminConcatenada!$D:$D, MATCH(1, (AsistenciaJetAdminConcatenada!$A:$A=HC$2)*(AsistenciaJetAdminConcatenada!$B:$B=HC$1), 0)), 1))),  0.5, 0))</f>
        <v>0</v>
      </c>
    </row>
    <row r="28" ht="29.25" customHeight="1">
      <c r="A28" s="3">
        <v>142.0</v>
      </c>
      <c r="B28" s="4" t="s">
        <v>204</v>
      </c>
      <c r="C28" s="47">
        <f>SUM(D28:HC28) + ActividadesEspeciales!C28</f>
        <v>48.5</v>
      </c>
      <c r="D28" s="47">
        <f t="array" ref="D28">IF(AND(ISNUMBER(MATCH(D$2, AsistenciaJetAdminConcatenada!$A:$A, 0)), ISNUMBER(MATCH(D$1, AsistenciaJetAdminConcatenada!$B:$B, 0)), ISNUMBER(SEARCH($A28,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ISNUMBER(SEARCH($A28, INDEX(AsistenciaJetAdminConcatenada!$D:$D, MATCH(1, (AsistenciaJetAdminConcatenada!$A:$A=D$2)*(AsistenciaJetAdminConcatenada!$B:$B=D$1), 0)), 1))),  0.5, 0))</f>
        <v>1</v>
      </c>
      <c r="E28" s="47">
        <f t="array" ref="E28">IF(AND(ISNUMBER(MATCH(E$2, AsistenciaJetAdminConcatenada!$A:$A, 0)), ISNUMBER(MATCH(E$1, AsistenciaJetAdminConcatenada!$B:$B, 0)), ISNUMBER(SEARCH($A28,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ISNUMBER(SEARCH($A28, INDEX(AsistenciaJetAdminConcatenada!$D:$D, MATCH(1, (AsistenciaJetAdminConcatenada!$A:$A=E$2)*(AsistenciaJetAdminConcatenada!$B:$B=E$1), 0)), 1))),  0.5, 0))</f>
        <v>1</v>
      </c>
      <c r="F28" s="47">
        <f t="array" ref="F28">IF(AND(ISNUMBER(MATCH(F$2, AsistenciaJetAdminConcatenada!$A:$A, 0)), ISNUMBER(MATCH(F$1, AsistenciaJetAdminConcatenada!$B:$B, 0)), ISNUMBER(SEARCH($A28,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ISNUMBER(SEARCH($A28, INDEX(AsistenciaJetAdminConcatenada!$D:$D, MATCH(1, (AsistenciaJetAdminConcatenada!$A:$A=F$2)*(AsistenciaJetAdminConcatenada!$B:$B=F$1), 0)), 1))),  0.5, 0))</f>
        <v>1</v>
      </c>
      <c r="G28" s="47">
        <f t="array" ref="G28">IF(AND(ISNUMBER(MATCH(G$2, AsistenciaJetAdminConcatenada!$A:$A, 0)), ISNUMBER(MATCH(G$1, AsistenciaJetAdminConcatenada!$B:$B, 0)), ISNUMBER(SEARCH($A28,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ISNUMBER(SEARCH($A28, INDEX(AsistenciaJetAdminConcatenada!$D:$D, MATCH(1, (AsistenciaJetAdminConcatenada!$A:$A=G$2)*(AsistenciaJetAdminConcatenada!$B:$B=G$1), 0)), 1))),  0.5, 0))</f>
        <v>1</v>
      </c>
      <c r="H28" s="47">
        <f t="array" ref="H28">IF(AND(ISNUMBER(MATCH(H$2, AsistenciaJetAdminConcatenada!$A:$A, 0)), ISNUMBER(MATCH(H$1, AsistenciaJetAdminConcatenada!$B:$B, 0)), ISNUMBER(SEARCH($A28,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ISNUMBER(SEARCH($A28, INDEX(AsistenciaJetAdminConcatenada!$D:$D, MATCH(1, (AsistenciaJetAdminConcatenada!$A:$A=H$2)*(AsistenciaJetAdminConcatenada!$B:$B=H$1), 0)), 1))),  0.5, 0))</f>
        <v>1</v>
      </c>
      <c r="I28" s="47">
        <f t="array" ref="I28">IF(AND(ISNUMBER(MATCH(I$2, AsistenciaJetAdminConcatenada!$A:$A, 0)), ISNUMBER(MATCH(I$1, AsistenciaJetAdminConcatenada!$B:$B, 0)), ISNUMBER(SEARCH($A28,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ISNUMBER(SEARCH($A28, INDEX(AsistenciaJetAdminConcatenada!$D:$D, MATCH(1, (AsistenciaJetAdminConcatenada!$A:$A=I$2)*(AsistenciaJetAdminConcatenada!$B:$B=I$1), 0)), 1))),  0.5, 0))</f>
        <v>1</v>
      </c>
      <c r="J28" s="47">
        <f t="array" ref="J28">IF(AND(ISNUMBER(MATCH(J$2, AsistenciaJetAdminConcatenada!$A:$A, 0)), ISNUMBER(MATCH(J$1, AsistenciaJetAdminConcatenada!$B:$B, 0)), ISNUMBER(SEARCH($A28,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ISNUMBER(SEARCH($A28, INDEX(AsistenciaJetAdminConcatenada!$D:$D, MATCH(1, (AsistenciaJetAdminConcatenada!$A:$A=J$2)*(AsistenciaJetAdminConcatenada!$B:$B=J$1), 0)), 1))),  0.5, 0))</f>
        <v>1</v>
      </c>
      <c r="K28" s="47">
        <f t="array" ref="K28">IF(AND(ISNUMBER(MATCH(K$2, AsistenciaJetAdminConcatenada!$A:$A, 0)), ISNUMBER(MATCH(K$1, AsistenciaJetAdminConcatenada!$B:$B, 0)), ISNUMBER(SEARCH($A28,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ISNUMBER(SEARCH($A28, INDEX(AsistenciaJetAdminConcatenada!$D:$D, MATCH(1, (AsistenciaJetAdminConcatenada!$A:$A=K$2)*(AsistenciaJetAdminConcatenada!$B:$B=K$1), 0)), 1))),  0.5, 0))</f>
        <v>1</v>
      </c>
      <c r="L28" s="47">
        <f t="array" ref="L28">IF(AND(ISNUMBER(MATCH(L$2, AsistenciaJetAdminConcatenada!$A:$A, 0)), ISNUMBER(MATCH(L$1, AsistenciaJetAdminConcatenada!$B:$B, 0)), ISNUMBER(SEARCH($A28,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ISNUMBER(SEARCH($A28, INDEX(AsistenciaJetAdminConcatenada!$D:$D, MATCH(1, (AsistenciaJetAdminConcatenada!$A:$A=L$2)*(AsistenciaJetAdminConcatenada!$B:$B=L$1), 0)), 1))),  0.5, 0))</f>
        <v>1</v>
      </c>
      <c r="M28" s="47">
        <f t="array" ref="M28">IF(AND(ISNUMBER(MATCH(M$2, AsistenciaJetAdminConcatenada!$A:$A, 0)), ISNUMBER(MATCH(M$1, AsistenciaJetAdminConcatenada!$B:$B, 0)), ISNUMBER(SEARCH($A28,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ISNUMBER(SEARCH($A28, INDEX(AsistenciaJetAdminConcatenada!$D:$D, MATCH(1, (AsistenciaJetAdminConcatenada!$A:$A=M$2)*(AsistenciaJetAdminConcatenada!$B:$B=M$1), 0)), 1))),  0.5, 0))</f>
        <v>1</v>
      </c>
      <c r="N28" s="47">
        <f t="array" ref="N28">IF(AND(ISNUMBER(MATCH(N$2, AsistenciaJetAdminConcatenada!$A:$A, 0)), ISNUMBER(MATCH(N$1, AsistenciaJetAdminConcatenada!$B:$B, 0)), ISNUMBER(SEARCH($A28,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ISNUMBER(SEARCH($A28, INDEX(AsistenciaJetAdminConcatenada!$D:$D, MATCH(1, (AsistenciaJetAdminConcatenada!$A:$A=N$2)*(AsistenciaJetAdminConcatenada!$B:$B=N$1), 0)), 1))),  0.5, 0))</f>
        <v>0</v>
      </c>
      <c r="O28" s="47">
        <f t="array" ref="O28">IF(AND(ISNUMBER(MATCH(O$2, AsistenciaJetAdminConcatenada!$A:$A, 0)), ISNUMBER(MATCH(O$1, AsistenciaJetAdminConcatenada!$B:$B, 0)), ISNUMBER(SEARCH($A28,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ISNUMBER(SEARCH($A28, INDEX(AsistenciaJetAdminConcatenada!$D:$D, MATCH(1, (AsistenciaJetAdminConcatenada!$A:$A=O$2)*(AsistenciaJetAdminConcatenada!$B:$B=O$1), 0)), 1))),  0.5, 0))</f>
        <v>0</v>
      </c>
      <c r="P28" s="47">
        <f t="array" ref="P28">IF(AND(ISNUMBER(MATCH(P$2, AsistenciaJetAdminConcatenada!$A:$A, 0)), ISNUMBER(MATCH(P$1, AsistenciaJetAdminConcatenada!$B:$B, 0)), ISNUMBER(SEARCH($A28, INDEX(AsistenciaJetAdminConcatenada!$C:$C, MATCH(1, (AsistenciaJetAdminConcatenada!$A:$A=P$2)*(AsistenciaJetAdminConcatenada!$B:$B=P$1), 0)), 1))), 1, IF(AND(ISNUMBER(MATCH(P$2, AsistenciaJetAdminConcatenada!$A:$A, 0)), ISNUMBER(MATCH(P$1, AsistenciaJetAdminConcatenada!$B:$B, 0)), ISNUMBER(SEARCH($A28, INDEX(AsistenciaJetAdminConcatenada!$D:$D, MATCH(1, (AsistenciaJetAdminConcatenada!$A:$A=P$2)*(AsistenciaJetAdminConcatenada!$B:$B=P$1), 0)), 1))),  0.5, 0))</f>
        <v>0</v>
      </c>
      <c r="Q28" s="47">
        <f t="array" ref="Q28">IF(AND(ISNUMBER(MATCH(Q$2, AsistenciaJetAdminConcatenada!$A:$A, 0)), ISNUMBER(MATCH(Q$1, AsistenciaJetAdminConcatenada!$B:$B, 0)), ISNUMBER(SEARCH($A28, INDEX(AsistenciaJetAdminConcatenada!$C:$C, MATCH(1, (AsistenciaJetAdminConcatenada!$A:$A=Q$2)*(AsistenciaJetAdminConcatenada!$B:$B=Q$1), 0)), 1))), 1, IF(AND(ISNUMBER(MATCH(Q$2, AsistenciaJetAdminConcatenada!$A:$A, 0)), ISNUMBER(MATCH(Q$1, AsistenciaJetAdminConcatenada!$B:$B, 0)), ISNUMBER(SEARCH($A28, INDEX(AsistenciaJetAdminConcatenada!$D:$D, MATCH(1, (AsistenciaJetAdminConcatenada!$A:$A=Q$2)*(AsistenciaJetAdminConcatenada!$B:$B=Q$1), 0)), 1))),  0.5, 0))</f>
        <v>1</v>
      </c>
      <c r="R28" s="47">
        <f t="array" ref="R28">IF(AND(ISNUMBER(MATCH(R$2, AsistenciaJetAdminConcatenada!$A:$A, 0)), ISNUMBER(MATCH(R$1, AsistenciaJetAdminConcatenada!$B:$B, 0)), ISNUMBER(SEARCH($A28,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ISNUMBER(SEARCH($A28, INDEX(AsistenciaJetAdminConcatenada!$D:$D, MATCH(1, (AsistenciaJetAdminConcatenada!$A:$A=R$2)*(AsistenciaJetAdminConcatenada!$B:$B=R$1), 0)), 1))),  0.5, 0))</f>
        <v>1</v>
      </c>
      <c r="S28" s="47">
        <f t="array" ref="S28">IF(AND(ISNUMBER(MATCH(S$2, AsistenciaJetAdminConcatenada!$A:$A, 0)), ISNUMBER(MATCH(S$1, AsistenciaJetAdminConcatenada!$B:$B, 0)), ISNUMBER(SEARCH($A28,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ISNUMBER(SEARCH($A28, INDEX(AsistenciaJetAdminConcatenada!$D:$D, MATCH(1, (AsistenciaJetAdminConcatenada!$A:$A=S$2)*(AsistenciaJetAdminConcatenada!$B:$B=S$1), 0)), 1))),  0.5, 0))</f>
        <v>1</v>
      </c>
      <c r="T28" s="47">
        <f t="array" ref="T28">IF(AND(ISNUMBER(MATCH(T$2, AsistenciaJetAdminConcatenada!$A:$A, 0)), ISNUMBER(MATCH(T$1, AsistenciaJetAdminConcatenada!$B:$B, 0)), ISNUMBER(SEARCH($A28,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ISNUMBER(SEARCH($A28, INDEX(AsistenciaJetAdminConcatenada!$D:$D, MATCH(1, (AsistenciaJetAdminConcatenada!$A:$A=T$2)*(AsistenciaJetAdminConcatenada!$B:$B=T$1), 0)), 1))),  0.5, 0))</f>
        <v>1</v>
      </c>
      <c r="U28" s="47">
        <f t="array" ref="U28">IF(AND(ISNUMBER(MATCH(U$2, AsistenciaJetAdminConcatenada!$A:$A, 0)), ISNUMBER(MATCH(U$1, AsistenciaJetAdminConcatenada!$B:$B, 0)), ISNUMBER(SEARCH($A28,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ISNUMBER(SEARCH($A28, INDEX(AsistenciaJetAdminConcatenada!$D:$D, MATCH(1, (AsistenciaJetAdminConcatenada!$A:$A=U$2)*(AsistenciaJetAdminConcatenada!$B:$B=U$1), 0)), 1))),  0.5, 0))</f>
        <v>1</v>
      </c>
      <c r="V28" s="47">
        <f t="array" ref="V28">IF(AND(ISNUMBER(MATCH(V$2, AsistenciaJetAdminConcatenada!$A:$A, 0)), ISNUMBER(MATCH(V$1, AsistenciaJetAdminConcatenada!$B:$B, 0)), ISNUMBER(SEARCH($A28,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ISNUMBER(SEARCH($A28, INDEX(AsistenciaJetAdminConcatenada!$D:$D, MATCH(1, (AsistenciaJetAdminConcatenada!$A:$A=V$2)*(AsistenciaJetAdminConcatenada!$B:$B=V$1), 0)), 1))),  0.5, 0))</f>
        <v>1</v>
      </c>
      <c r="W28" s="47">
        <f t="array" ref="W28">IF(AND(ISNUMBER(MATCH(W$2, AsistenciaJetAdminConcatenada!$A:$A, 0)), ISNUMBER(MATCH(W$1, AsistenciaJetAdminConcatenada!$B:$B, 0)), ISNUMBER(SEARCH($A28,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ISNUMBER(SEARCH($A28, INDEX(AsistenciaJetAdminConcatenada!$D:$D, MATCH(1, (AsistenciaJetAdminConcatenada!$A:$A=W$2)*(AsistenciaJetAdminConcatenada!$B:$B=W$1), 0)), 1))),  0.5, 0))</f>
        <v>0</v>
      </c>
      <c r="X28" s="47">
        <f t="array" ref="X28">IF(AND(ISNUMBER(MATCH(X$2, AsistenciaJetAdminConcatenada!$A:$A, 0)), ISNUMBER(MATCH(X$1, AsistenciaJetAdminConcatenada!$B:$B, 0)), ISNUMBER(SEARCH($A28,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ISNUMBER(SEARCH($A28, INDEX(AsistenciaJetAdminConcatenada!$D:$D, MATCH(1, (AsistenciaJetAdminConcatenada!$A:$A=X$2)*(AsistenciaJetAdminConcatenada!$B:$B=X$1), 0)), 1))),  0.5, 0))</f>
        <v>1</v>
      </c>
      <c r="Y28" s="47">
        <f t="array" ref="Y28">IF(AND(ISNUMBER(MATCH(Y$2, AsistenciaJetAdminConcatenada!$A:$A, 0)), ISNUMBER(MATCH(Y$1, AsistenciaJetAdminConcatenada!$B:$B, 0)), ISNUMBER(SEARCH($A28,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ISNUMBER(SEARCH($A28, INDEX(AsistenciaJetAdminConcatenada!$D:$D, MATCH(1, (AsistenciaJetAdminConcatenada!$A:$A=Y$2)*(AsistenciaJetAdminConcatenada!$B:$B=Y$1), 0)), 1))),  0.5, 0))</f>
        <v>1</v>
      </c>
      <c r="Z28" s="47">
        <f t="array" ref="Z28">IF(AND(ISNUMBER(MATCH(Z$2, AsistenciaJetAdminConcatenada!$A:$A, 0)), ISNUMBER(MATCH(Z$1, AsistenciaJetAdminConcatenada!$B:$B, 0)), ISNUMBER(SEARCH($A28,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ISNUMBER(SEARCH($A28, INDEX(AsistenciaJetAdminConcatenada!$D:$D, MATCH(1, (AsistenciaJetAdminConcatenada!$A:$A=Z$2)*(AsistenciaJetAdminConcatenada!$B:$B=Z$1), 0)), 1))),  0.5, 0))</f>
        <v>1</v>
      </c>
      <c r="AA28" s="47">
        <f t="array" ref="AA28">IF(AND(ISNUMBER(MATCH(AA$2, AsistenciaJetAdminConcatenada!$A:$A, 0)), ISNUMBER(MATCH(AA$1, AsistenciaJetAdminConcatenada!$B:$B, 0)), ISNUMBER(SEARCH($A28,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ISNUMBER(SEARCH($A28, INDEX(AsistenciaJetAdminConcatenada!$D:$D, MATCH(1, (AsistenciaJetAdminConcatenada!$A:$A=AA$2)*(AsistenciaJetAdminConcatenada!$B:$B=AA$1), 0)), 1))),  0.5, 0))</f>
        <v>0</v>
      </c>
      <c r="AB28" s="47">
        <f t="array" ref="AB28">IF(AND(ISNUMBER(MATCH(AB$2, AsistenciaJetAdminConcatenada!$A:$A, 0)), ISNUMBER(MATCH(AB$1, AsistenciaJetAdminConcatenada!$B:$B, 0)), ISNUMBER(SEARCH($A28,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ISNUMBER(SEARCH($A28, INDEX(AsistenciaJetAdminConcatenada!$D:$D, MATCH(1, (AsistenciaJetAdminConcatenada!$A:$A=AB$2)*(AsistenciaJetAdminConcatenada!$B:$B=AB$1), 0)), 1))),  0.5, 0))</f>
        <v>0</v>
      </c>
      <c r="AC28" s="47">
        <f t="array" ref="AC28">IF(AND(ISNUMBER(MATCH(AC$2, AsistenciaJetAdminConcatenada!$A:$A, 0)), ISNUMBER(MATCH(AC$1, AsistenciaJetAdminConcatenada!$B:$B, 0)), ISNUMBER(SEARCH($A28,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ISNUMBER(SEARCH($A28, INDEX(AsistenciaJetAdminConcatenada!$D:$D, MATCH(1, (AsistenciaJetAdminConcatenada!$A:$A=AC$2)*(AsistenciaJetAdminConcatenada!$B:$B=AC$1), 0)), 1))),  0.5, 0))</f>
        <v>0</v>
      </c>
      <c r="AD28" s="47">
        <f t="array" ref="AD28">IF(AND(ISNUMBER(MATCH(AD$2, AsistenciaJetAdminConcatenada!$A:$A, 0)), ISNUMBER(MATCH(AD$1, AsistenciaJetAdminConcatenada!$B:$B, 0)), ISNUMBER(SEARCH($A28,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ISNUMBER(SEARCH($A28, INDEX(AsistenciaJetAdminConcatenada!$D:$D, MATCH(1, (AsistenciaJetAdminConcatenada!$A:$A=AD$2)*(AsistenciaJetAdminConcatenada!$B:$B=AD$1), 0)), 1))),  0.5, 0))</f>
        <v>0</v>
      </c>
      <c r="AE28" s="47">
        <f t="array" ref="AE28">IF(AND(ISNUMBER(MATCH(AE$2, AsistenciaJetAdminConcatenada!$A:$A, 0)), ISNUMBER(MATCH(AE$1, AsistenciaJetAdminConcatenada!$B:$B, 0)), ISNUMBER(SEARCH($A28,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ISNUMBER(SEARCH($A28, INDEX(AsistenciaJetAdminConcatenada!$D:$D, MATCH(1, (AsistenciaJetAdminConcatenada!$A:$A=AE$2)*(AsistenciaJetAdminConcatenada!$B:$B=AE$1), 0)), 1))),  0.5, 0))</f>
        <v>0</v>
      </c>
      <c r="AF28" s="47">
        <f t="array" ref="AF28">IF(AND(ISNUMBER(MATCH(AF$2, AsistenciaJetAdminConcatenada!$A:$A, 0)), ISNUMBER(MATCH(AF$1, AsistenciaJetAdminConcatenada!$B:$B, 0)), ISNUMBER(SEARCH($A28,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ISNUMBER(SEARCH($A28, INDEX(AsistenciaJetAdminConcatenada!$D:$D, MATCH(1, (AsistenciaJetAdminConcatenada!$A:$A=AF$2)*(AsistenciaJetAdminConcatenada!$B:$B=AF$1), 0)), 1))),  0.5, 0))</f>
        <v>0</v>
      </c>
      <c r="AG28" s="47">
        <f t="array" ref="AG28">IF(AND(ISNUMBER(MATCH(AG$2, AsistenciaJetAdminConcatenada!$A:$A, 0)), ISNUMBER(MATCH(AG$1, AsistenciaJetAdminConcatenada!$B:$B, 0)), ISNUMBER(SEARCH($A28,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ISNUMBER(SEARCH($A28, INDEX(AsistenciaJetAdminConcatenada!$D:$D, MATCH(1, (AsistenciaJetAdminConcatenada!$A:$A=AG$2)*(AsistenciaJetAdminConcatenada!$B:$B=AG$1), 0)), 1))),  0.5, 0))</f>
        <v>0</v>
      </c>
      <c r="AH28" s="47">
        <f t="array" ref="AH28">IF(AND(ISNUMBER(MATCH(AH$2, AsistenciaJetAdminConcatenada!$A:$A, 0)), ISNUMBER(MATCH(AH$1, AsistenciaJetAdminConcatenada!$B:$B, 0)), ISNUMBER(SEARCH($A28,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ISNUMBER(SEARCH($A28, INDEX(AsistenciaJetAdminConcatenada!$D:$D, MATCH(1, (AsistenciaJetAdminConcatenada!$A:$A=AH$2)*(AsistenciaJetAdminConcatenada!$B:$B=AH$1), 0)), 1))),  0.5, 0))</f>
        <v>0</v>
      </c>
      <c r="AI28" s="47">
        <f t="array" ref="AI28">IF(AND(ISNUMBER(MATCH(AI$2, AsistenciaJetAdminConcatenada!$A:$A, 0)), ISNUMBER(MATCH(AI$1, AsistenciaJetAdminConcatenada!$B:$B, 0)), ISNUMBER(SEARCH($A28,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ISNUMBER(SEARCH($A28, INDEX(AsistenciaJetAdminConcatenada!$D:$D, MATCH(1, (AsistenciaJetAdminConcatenada!$A:$A=AI$2)*(AsistenciaJetAdminConcatenada!$B:$B=AI$1), 0)), 1))),  0.5, 0))</f>
        <v>1</v>
      </c>
      <c r="AJ28" s="47">
        <f t="array" ref="AJ28">IF(AND(ISNUMBER(MATCH(AJ$2, AsistenciaJetAdminConcatenada!$A:$A, 0)), ISNUMBER(MATCH(AJ$1, AsistenciaJetAdminConcatenada!$B:$B, 0)), ISNUMBER(SEARCH($A28,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ISNUMBER(SEARCH($A28, INDEX(AsistenciaJetAdminConcatenada!$D:$D, MATCH(1, (AsistenciaJetAdminConcatenada!$A:$A=AJ$2)*(AsistenciaJetAdminConcatenada!$B:$B=AJ$1), 0)), 1))),  0.5, 0))</f>
        <v>0</v>
      </c>
      <c r="AK28" s="47">
        <f t="array" ref="AK28">IF(AND(ISNUMBER(MATCH(AK$2, AsistenciaJetAdminConcatenada!$A:$A, 0)), ISNUMBER(MATCH(AK$1, AsistenciaJetAdminConcatenada!$B:$B, 0)), ISNUMBER(SEARCH($A28,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ISNUMBER(SEARCH($A28, INDEX(AsistenciaJetAdminConcatenada!$D:$D, MATCH(1, (AsistenciaJetAdminConcatenada!$A:$A=AK$2)*(AsistenciaJetAdminConcatenada!$B:$B=AK$1), 0)), 1))),  0.5, 0))</f>
        <v>0</v>
      </c>
      <c r="AL28" s="47">
        <f t="array" ref="AL28">IF(AND(ISNUMBER(MATCH(AL$2, AsistenciaJetAdminConcatenada!$A:$A, 0)), ISNUMBER(MATCH(AL$1, AsistenciaJetAdminConcatenada!$B:$B, 0)), ISNUMBER(SEARCH($A28,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ISNUMBER(SEARCH($A28, INDEX(AsistenciaJetAdminConcatenada!$D:$D, MATCH(1, (AsistenciaJetAdminConcatenada!$A:$A=AL$2)*(AsistenciaJetAdminConcatenada!$B:$B=AL$1), 0)), 1))),  0.5, 0))</f>
        <v>1</v>
      </c>
      <c r="AM28" s="47">
        <f t="array" ref="AM28">IF(AND(ISNUMBER(MATCH(AM$2, AsistenciaJetAdminConcatenada!$A:$A, 0)), ISNUMBER(MATCH(AM$1, AsistenciaJetAdminConcatenada!$B:$B, 0)), ISNUMBER(SEARCH($A28,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ISNUMBER(SEARCH($A28, INDEX(AsistenciaJetAdminConcatenada!$D:$D, MATCH(1, (AsistenciaJetAdminConcatenada!$A:$A=AM$2)*(AsistenciaJetAdminConcatenada!$B:$B=AM$1), 0)), 1))),  0.5, 0))</f>
        <v>1</v>
      </c>
      <c r="AN28" s="47">
        <f t="array" ref="AN28">IF(AND(ISNUMBER(MATCH(AN$2, AsistenciaJetAdminConcatenada!$A:$A, 0)), ISNUMBER(MATCH(AN$1, AsistenciaJetAdminConcatenada!$B:$B, 0)), ISNUMBER(SEARCH($A28,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ISNUMBER(SEARCH($A28, INDEX(AsistenciaJetAdminConcatenada!$D:$D, MATCH(1, (AsistenciaJetAdminConcatenada!$A:$A=AN$2)*(AsistenciaJetAdminConcatenada!$B:$B=AN$1), 0)), 1))),  0.5, 0))</f>
        <v>0</v>
      </c>
      <c r="AO28" s="47">
        <f t="array" ref="AO28">IF(AND(ISNUMBER(MATCH(AO$2, AsistenciaJetAdminConcatenada!$A:$A, 0)), ISNUMBER(MATCH(AO$1, AsistenciaJetAdminConcatenada!$B:$B, 0)), ISNUMBER(SEARCH($A28,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ISNUMBER(SEARCH($A28, INDEX(AsistenciaJetAdminConcatenada!$D:$D, MATCH(1, (AsistenciaJetAdminConcatenada!$A:$A=AO$2)*(AsistenciaJetAdminConcatenada!$B:$B=AO$1), 0)), 1))),  0.5, 0))</f>
        <v>0</v>
      </c>
      <c r="AP28" s="47">
        <f t="array" ref="AP28">IF(AND(ISNUMBER(MATCH(AP$2, AsistenciaJetAdminConcatenada!$A:$A, 0)), ISNUMBER(MATCH(AP$1, AsistenciaJetAdminConcatenada!$B:$B, 0)), ISNUMBER(SEARCH($A28,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ISNUMBER(SEARCH($A28, INDEX(AsistenciaJetAdminConcatenada!$D:$D, MATCH(1, (AsistenciaJetAdminConcatenada!$A:$A=AP$2)*(AsistenciaJetAdminConcatenada!$B:$B=AP$1), 0)), 1))),  0.5, 0))</f>
        <v>1</v>
      </c>
      <c r="AQ28" s="47">
        <f t="array" ref="AQ28">IF(AND(ISNUMBER(MATCH(AQ$2, AsistenciaJetAdminConcatenada!$A:$A, 0)), ISNUMBER(MATCH(AQ$1, AsistenciaJetAdminConcatenada!$B:$B, 0)), ISNUMBER(SEARCH($A28,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ISNUMBER(SEARCH($A28, INDEX(AsistenciaJetAdminConcatenada!$D:$D, MATCH(1, (AsistenciaJetAdminConcatenada!$A:$A=AQ$2)*(AsistenciaJetAdminConcatenada!$B:$B=AQ$1), 0)), 1))),  0.5, 0))</f>
        <v>0</v>
      </c>
      <c r="AR28" s="47">
        <f t="array" ref="AR28">IF(AND(ISNUMBER(MATCH(AR$2, AsistenciaJetAdminConcatenada!$A:$A, 0)), ISNUMBER(MATCH(AR$1, AsistenciaJetAdminConcatenada!$B:$B, 0)), ISNUMBER(SEARCH($A28,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ISNUMBER(SEARCH($A28, INDEX(AsistenciaJetAdminConcatenada!$D:$D, MATCH(1, (AsistenciaJetAdminConcatenada!$A:$A=AR$2)*(AsistenciaJetAdminConcatenada!$B:$B=AR$1), 0)), 1))),  0.5, 0))</f>
        <v>0</v>
      </c>
      <c r="AS28" s="47">
        <f t="array" ref="AS28">IF(AND(ISNUMBER(MATCH(AS$2, AsistenciaJetAdminConcatenada!$A:$A, 0)), ISNUMBER(MATCH(AS$1, AsistenciaJetAdminConcatenada!$B:$B, 0)), ISNUMBER(SEARCH($A28,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ISNUMBER(SEARCH($A28, INDEX(AsistenciaJetAdminConcatenada!$D:$D, MATCH(1, (AsistenciaJetAdminConcatenada!$A:$A=AS$2)*(AsistenciaJetAdminConcatenada!$B:$B=AS$1), 0)), 1))),  0.5, 0))</f>
        <v>1</v>
      </c>
      <c r="AT28" s="47">
        <f t="array" ref="AT28">IF(AND(ISNUMBER(MATCH(AT$2, AsistenciaJetAdminConcatenada!$A:$A, 0)), ISNUMBER(MATCH(AT$1, AsistenciaJetAdminConcatenada!$B:$B, 0)), ISNUMBER(SEARCH($A28,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ISNUMBER(SEARCH($A28, INDEX(AsistenciaJetAdminConcatenada!$D:$D, MATCH(1, (AsistenciaJetAdminConcatenada!$A:$A=AT$2)*(AsistenciaJetAdminConcatenada!$B:$B=AT$1), 0)), 1))),  0.5, 0))</f>
        <v>0</v>
      </c>
      <c r="AU28" s="47">
        <f t="array" ref="AU28">IF(AND(ISNUMBER(MATCH(AU$2, AsistenciaJetAdminConcatenada!$A:$A, 0)), ISNUMBER(MATCH(AU$1, AsistenciaJetAdminConcatenada!$B:$B, 0)), ISNUMBER(SEARCH($A28,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ISNUMBER(SEARCH($A28, INDEX(AsistenciaJetAdminConcatenada!$D:$D, MATCH(1, (AsistenciaJetAdminConcatenada!$A:$A=AU$2)*(AsistenciaJetAdminConcatenada!$B:$B=AU$1), 0)), 1))),  0.5, 0))</f>
        <v>0</v>
      </c>
      <c r="AV28" s="47">
        <f t="array" ref="AV28">IF(AND(ISNUMBER(MATCH(AV$2, AsistenciaJetAdminConcatenada!$A:$A, 0)), ISNUMBER(MATCH(AV$1, AsistenciaJetAdminConcatenada!$B:$B, 0)), ISNUMBER(SEARCH($A28,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ISNUMBER(SEARCH($A28, INDEX(AsistenciaJetAdminConcatenada!$D:$D, MATCH(1, (AsistenciaJetAdminConcatenada!$A:$A=AV$2)*(AsistenciaJetAdminConcatenada!$B:$B=AV$1), 0)), 1))),  0.5, 0))</f>
        <v>1</v>
      </c>
      <c r="AW28" s="47">
        <f t="array" ref="AW28">IF(AND(ISNUMBER(MATCH(AW$2, AsistenciaJetAdminConcatenada!$A:$A, 0)), ISNUMBER(MATCH(AW$1, AsistenciaJetAdminConcatenada!$B:$B, 0)), ISNUMBER(SEARCH($A28,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ISNUMBER(SEARCH($A28, INDEX(AsistenciaJetAdminConcatenada!$D:$D, MATCH(1, (AsistenciaJetAdminConcatenada!$A:$A=AW$2)*(AsistenciaJetAdminConcatenada!$B:$B=AW$1), 0)), 1))),  0.5, 0))</f>
        <v>0</v>
      </c>
      <c r="AX28" s="47">
        <f t="array" ref="AX28">IF(AND(ISNUMBER(MATCH(AX$2, AsistenciaJetAdminConcatenada!$A:$A, 0)), ISNUMBER(MATCH(AX$1, AsistenciaJetAdminConcatenada!$B:$B, 0)), ISNUMBER(SEARCH($A28,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ISNUMBER(SEARCH($A28, INDEX(AsistenciaJetAdminConcatenada!$D:$D, MATCH(1, (AsistenciaJetAdminConcatenada!$A:$A=AX$2)*(AsistenciaJetAdminConcatenada!$B:$B=AX$1), 0)), 1))),  0.5, 0))</f>
        <v>1</v>
      </c>
      <c r="AY28" s="47">
        <f t="array" ref="AY28">IF(AND(ISNUMBER(MATCH(AY$2, AsistenciaJetAdminConcatenada!$A:$A, 0)), ISNUMBER(MATCH(AY$1, AsistenciaJetAdminConcatenada!$B:$B, 0)), ISNUMBER(SEARCH($A28,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ISNUMBER(SEARCH($A28, INDEX(AsistenciaJetAdminConcatenada!$D:$D, MATCH(1, (AsistenciaJetAdminConcatenada!$A:$A=AY$2)*(AsistenciaJetAdminConcatenada!$B:$B=AY$1), 0)), 1))),  0.5, 0))</f>
        <v>1</v>
      </c>
      <c r="AZ28" s="47">
        <f t="array" ref="AZ28">IF(AND(ISNUMBER(MATCH(AZ$2, AsistenciaJetAdminConcatenada!$A:$A, 0)), ISNUMBER(MATCH(AZ$1, AsistenciaJetAdminConcatenada!$B:$B, 0)), ISNUMBER(SEARCH($A28,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ISNUMBER(SEARCH($A28, INDEX(AsistenciaJetAdminConcatenada!$D:$D, MATCH(1, (AsistenciaJetAdminConcatenada!$A:$A=AZ$2)*(AsistenciaJetAdminConcatenada!$B:$B=AZ$1), 0)), 1))),  0.5, 0))</f>
        <v>0</v>
      </c>
      <c r="BA28" s="47">
        <f t="array" ref="BA28">IF(AND(ISNUMBER(MATCH(BA$2, AsistenciaJetAdminConcatenada!$A:$A, 0)), ISNUMBER(MATCH(BA$1, AsistenciaJetAdminConcatenada!$B:$B, 0)), ISNUMBER(SEARCH($A28,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ISNUMBER(SEARCH($A28, INDEX(AsistenciaJetAdminConcatenada!$D:$D, MATCH(1, (AsistenciaJetAdminConcatenada!$A:$A=BA$2)*(AsistenciaJetAdminConcatenada!$B:$B=BA$1), 0)), 1))),  0.5, 0))</f>
        <v>0</v>
      </c>
      <c r="BB28" s="47">
        <f t="array" ref="BB28">IF(AND(ISNUMBER(MATCH(BB$2, AsistenciaJetAdminConcatenada!$A:$A, 0)), ISNUMBER(MATCH(BB$1, AsistenciaJetAdminConcatenada!$B:$B, 0)), ISNUMBER(SEARCH($A28,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ISNUMBER(SEARCH($A28, INDEX(AsistenciaJetAdminConcatenada!$D:$D, MATCH(1, (AsistenciaJetAdminConcatenada!$A:$A=BB$2)*(AsistenciaJetAdminConcatenada!$B:$B=BB$1), 0)), 1))),  0.5, 0))</f>
        <v>0</v>
      </c>
      <c r="BC28" s="47">
        <f t="array" ref="BC28">IF(AND(ISNUMBER(MATCH(BC$2, AsistenciaJetAdminConcatenada!$A:$A, 0)), ISNUMBER(MATCH(BC$1, AsistenciaJetAdminConcatenada!$B:$B, 0)), ISNUMBER(SEARCH($A28,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ISNUMBER(SEARCH($A28, INDEX(AsistenciaJetAdminConcatenada!$D:$D, MATCH(1, (AsistenciaJetAdminConcatenada!$A:$A=BC$2)*(AsistenciaJetAdminConcatenada!$B:$B=BC$1), 0)), 1))),  0.5, 0))</f>
        <v>1</v>
      </c>
      <c r="BD28" s="47">
        <f t="array" ref="BD28">IF(AND(ISNUMBER(MATCH(BD$2, AsistenciaJetAdminConcatenada!$A:$A, 0)), ISNUMBER(MATCH(BD$1, AsistenciaJetAdminConcatenada!$B:$B, 0)), ISNUMBER(SEARCH($A28,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ISNUMBER(SEARCH($A28, INDEX(AsistenciaJetAdminConcatenada!$D:$D, MATCH(1, (AsistenciaJetAdminConcatenada!$A:$A=BD$2)*(AsistenciaJetAdminConcatenada!$B:$B=BD$1), 0)), 1))),  0.5, 0))</f>
        <v>0</v>
      </c>
      <c r="BE28" s="47">
        <f t="array" ref="BE28">IF(AND(ISNUMBER(MATCH(BE$2, AsistenciaJetAdminConcatenada!$A:$A, 0)), ISNUMBER(MATCH(BE$1, AsistenciaJetAdminConcatenada!$B:$B, 0)), ISNUMBER(SEARCH($A28,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ISNUMBER(SEARCH($A28, INDEX(AsistenciaJetAdminConcatenada!$D:$D, MATCH(1, (AsistenciaJetAdminConcatenada!$A:$A=BE$2)*(AsistenciaJetAdminConcatenada!$B:$B=BE$1), 0)), 1))),  0.5, 0))</f>
        <v>1</v>
      </c>
      <c r="BF28" s="47">
        <f t="array" ref="BF28">IF(AND(ISNUMBER(MATCH(BF$2, AsistenciaJetAdminConcatenada!$A:$A, 0)), ISNUMBER(MATCH(BF$1, AsistenciaJetAdminConcatenada!$B:$B, 0)), ISNUMBER(SEARCH($A28,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ISNUMBER(SEARCH($A28, INDEX(AsistenciaJetAdminConcatenada!$D:$D, MATCH(1, (AsistenciaJetAdminConcatenada!$A:$A=BF$2)*(AsistenciaJetAdminConcatenada!$B:$B=BF$1), 0)), 1))),  0.5, 0))</f>
        <v>0</v>
      </c>
      <c r="BG28" s="47">
        <f t="array" ref="BG28">IF(AND(ISNUMBER(MATCH(BG$2, AsistenciaJetAdminConcatenada!$A:$A, 0)), ISNUMBER(MATCH(BG$1, AsistenciaJetAdminConcatenada!$B:$B, 0)), ISNUMBER(SEARCH($A28,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ISNUMBER(SEARCH($A28, INDEX(AsistenciaJetAdminConcatenada!$D:$D, MATCH(1, (AsistenciaJetAdminConcatenada!$A:$A=BG$2)*(AsistenciaJetAdminConcatenada!$B:$B=BG$1), 0)), 1))),  0.5, 0))</f>
        <v>1</v>
      </c>
      <c r="BH28" s="47">
        <f t="array" ref="BH28">IF(AND(ISNUMBER(MATCH(BH$2, AsistenciaJetAdminConcatenada!$A:$A, 0)), ISNUMBER(MATCH(BH$1, AsistenciaJetAdminConcatenada!$B:$B, 0)), ISNUMBER(SEARCH($A28,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ISNUMBER(SEARCH($A28, INDEX(AsistenciaJetAdminConcatenada!$D:$D, MATCH(1, (AsistenciaJetAdminConcatenada!$A:$A=BH$2)*(AsistenciaJetAdminConcatenada!$B:$B=BH$1), 0)), 1))),  0.5, 0))</f>
        <v>0</v>
      </c>
      <c r="BI28" s="47">
        <f t="array" ref="BI28">IF(AND(ISNUMBER(MATCH(BI$2, AsistenciaJetAdminConcatenada!$A:$A, 0)), ISNUMBER(MATCH(BI$1, AsistenciaJetAdminConcatenada!$B:$B, 0)), ISNUMBER(SEARCH($A28,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ISNUMBER(SEARCH($A28, INDEX(AsistenciaJetAdminConcatenada!$D:$D, MATCH(1, (AsistenciaJetAdminConcatenada!$A:$A=BI$2)*(AsistenciaJetAdminConcatenada!$B:$B=BI$1), 0)), 1))),  0.5, 0))</f>
        <v>1</v>
      </c>
      <c r="BJ28" s="47">
        <f t="array" ref="BJ28">IF(AND(ISNUMBER(MATCH(BJ$2, AsistenciaJetAdminConcatenada!$A:$A, 0)), ISNUMBER(MATCH(BJ$1, AsistenciaJetAdminConcatenada!$B:$B, 0)), ISNUMBER(SEARCH($A28,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ISNUMBER(SEARCH($A28, INDEX(AsistenciaJetAdminConcatenada!$D:$D, MATCH(1, (AsistenciaJetAdminConcatenada!$A:$A=BJ$2)*(AsistenciaJetAdminConcatenada!$B:$B=BJ$1), 0)), 1))),  0.5, 0))</f>
        <v>1</v>
      </c>
      <c r="BK28" s="47">
        <f t="array" ref="BK28">IF(AND(ISNUMBER(MATCH(BK$2, AsistenciaJetAdminConcatenada!$A:$A, 0)), ISNUMBER(MATCH(BK$1, AsistenciaJetAdminConcatenada!$B:$B, 0)), ISNUMBER(SEARCH($A28,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ISNUMBER(SEARCH($A28, INDEX(AsistenciaJetAdminConcatenada!$D:$D, MATCH(1, (AsistenciaJetAdminConcatenada!$A:$A=BK$2)*(AsistenciaJetAdminConcatenada!$B:$B=BK$1), 0)), 1))),  0.5, 0))</f>
        <v>1</v>
      </c>
      <c r="BL28" s="47">
        <f t="array" ref="BL28">IF(AND(ISNUMBER(MATCH(BL$2, AsistenciaJetAdminConcatenada!$A:$A, 0)), ISNUMBER(MATCH(BL$1, AsistenciaJetAdminConcatenada!$B:$B, 0)), ISNUMBER(SEARCH($A28,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ISNUMBER(SEARCH($A28, INDEX(AsistenciaJetAdminConcatenada!$D:$D, MATCH(1, (AsistenciaJetAdminConcatenada!$A:$A=BL$2)*(AsistenciaJetAdminConcatenada!$B:$B=BL$1), 0)), 1))),  0.5, 0))</f>
        <v>0</v>
      </c>
      <c r="BM28" s="47">
        <f t="array" ref="BM28">IF(AND(ISNUMBER(MATCH(BM$2, AsistenciaJetAdminConcatenada!$A:$A, 0)), ISNUMBER(MATCH(BM$1, AsistenciaJetAdminConcatenada!$B:$B, 0)), ISNUMBER(SEARCH($A28,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ISNUMBER(SEARCH($A28, INDEX(AsistenciaJetAdminConcatenada!$D:$D, MATCH(1, (AsistenciaJetAdminConcatenada!$A:$A=BM$2)*(AsistenciaJetAdminConcatenada!$B:$B=BM$1), 0)), 1))),  0.5, 0))</f>
        <v>0</v>
      </c>
      <c r="BN28" s="47">
        <f t="array" ref="BN28">IF(AND(ISNUMBER(MATCH(BN$2, AsistenciaJetAdminConcatenada!$A:$A, 0)), ISNUMBER(MATCH(BN$1, AsistenciaJetAdminConcatenada!$B:$B, 0)), ISNUMBER(SEARCH($A28,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ISNUMBER(SEARCH($A28, INDEX(AsistenciaJetAdminConcatenada!$D:$D, MATCH(1, (AsistenciaJetAdminConcatenada!$A:$A=BN$2)*(AsistenciaJetAdminConcatenada!$B:$B=BN$1), 0)), 1))),  0.5, 0))</f>
        <v>0.5</v>
      </c>
      <c r="BO28" s="47">
        <f t="array" ref="BO28">IF(AND(ISNUMBER(MATCH(BO$2, AsistenciaJetAdminConcatenada!$A:$A, 0)), ISNUMBER(MATCH(BO$1, AsistenciaJetAdminConcatenada!$B:$B, 0)), ISNUMBER(SEARCH($A28,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ISNUMBER(SEARCH($A28, INDEX(AsistenciaJetAdminConcatenada!$D:$D, MATCH(1, (AsistenciaJetAdminConcatenada!$A:$A=BO$2)*(AsistenciaJetAdminConcatenada!$B:$B=BO$1), 0)), 1))),  0.5, 0))</f>
        <v>0</v>
      </c>
      <c r="BP28" s="47">
        <f t="array" ref="BP28">IF(AND(ISNUMBER(MATCH(BP$2, AsistenciaJetAdminConcatenada!$A:$A, 0)), ISNUMBER(MATCH(BP$1, AsistenciaJetAdminConcatenada!$B:$B, 0)), ISNUMBER(SEARCH($A28,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ISNUMBER(SEARCH($A28, INDEX(AsistenciaJetAdminConcatenada!$D:$D, MATCH(1, (AsistenciaJetAdminConcatenada!$A:$A=BP$2)*(AsistenciaJetAdminConcatenada!$B:$B=BP$1), 0)), 1))),  0.5, 0))</f>
        <v>0</v>
      </c>
      <c r="BQ28" s="47">
        <f t="array" ref="BQ28">IF(AND(ISNUMBER(MATCH(BQ$2, AsistenciaJetAdminConcatenada!$A:$A, 0)), ISNUMBER(MATCH(BQ$1, AsistenciaJetAdminConcatenada!$B:$B, 0)), ISNUMBER(SEARCH($A28,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ISNUMBER(SEARCH($A28, INDEX(AsistenciaJetAdminConcatenada!$D:$D, MATCH(1, (AsistenciaJetAdminConcatenada!$A:$A=BQ$2)*(AsistenciaJetAdminConcatenada!$B:$B=BQ$1), 0)), 1))),  0.5, 0))</f>
        <v>0</v>
      </c>
      <c r="BR28" s="47">
        <f t="array" ref="BR28">IF(AND(ISNUMBER(MATCH(BR$2, AsistenciaJetAdminConcatenada!$A:$A, 0)), ISNUMBER(MATCH(BR$1, AsistenciaJetAdminConcatenada!$B:$B, 0)), ISNUMBER(SEARCH($A28,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ISNUMBER(SEARCH($A28, INDEX(AsistenciaJetAdminConcatenada!$D:$D, MATCH(1, (AsistenciaJetAdminConcatenada!$A:$A=BR$2)*(AsistenciaJetAdminConcatenada!$B:$B=BR$1), 0)), 1))),  0.5, 0))</f>
        <v>0</v>
      </c>
      <c r="BS28" s="47">
        <f t="array" ref="BS28">IF(AND(ISNUMBER(MATCH(BS$2, AsistenciaJetAdminConcatenada!$A:$A, 0)), ISNUMBER(MATCH(BS$1, AsistenciaJetAdminConcatenada!$B:$B, 0)), ISNUMBER(SEARCH($A28,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ISNUMBER(SEARCH($A28, INDEX(AsistenciaJetAdminConcatenada!$D:$D, MATCH(1, (AsistenciaJetAdminConcatenada!$A:$A=BS$2)*(AsistenciaJetAdminConcatenada!$B:$B=BS$1), 0)), 1))),  0.5, 0))</f>
        <v>1</v>
      </c>
      <c r="BT28" s="47">
        <f t="array" ref="BT28">IF(AND(ISNUMBER(MATCH(BT$2, AsistenciaJetAdminConcatenada!$A:$A, 0)), ISNUMBER(MATCH(BT$1, AsistenciaJetAdminConcatenada!$B:$B, 0)), ISNUMBER(SEARCH($A28,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ISNUMBER(SEARCH($A28, INDEX(AsistenciaJetAdminConcatenada!$D:$D, MATCH(1, (AsistenciaJetAdminConcatenada!$A:$A=BT$2)*(AsistenciaJetAdminConcatenada!$B:$B=BT$1), 0)), 1))),  0.5, 0))</f>
        <v>0.5</v>
      </c>
      <c r="BU28" s="47">
        <f t="array" ref="BU28">IF(AND(ISNUMBER(MATCH(BU$2, AsistenciaJetAdminConcatenada!$A:$A, 0)), ISNUMBER(MATCH(BU$1, AsistenciaJetAdminConcatenada!$B:$B, 0)), ISNUMBER(SEARCH($A28,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ISNUMBER(SEARCH($A28, INDEX(AsistenciaJetAdminConcatenada!$D:$D, MATCH(1, (AsistenciaJetAdminConcatenada!$A:$A=BU$2)*(AsistenciaJetAdminConcatenada!$B:$B=BU$1), 0)), 1))),  0.5, 0))</f>
        <v>1</v>
      </c>
      <c r="BV28" s="47">
        <f t="array" ref="BV28">IF(AND(ISNUMBER(MATCH(BV$2, AsistenciaJetAdminConcatenada!$A:$A, 0)), ISNUMBER(MATCH(BV$1, AsistenciaJetAdminConcatenada!$B:$B, 0)), ISNUMBER(SEARCH($A28,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ISNUMBER(SEARCH($A28, INDEX(AsistenciaJetAdminConcatenada!$D:$D, MATCH(1, (AsistenciaJetAdminConcatenada!$A:$A=BV$2)*(AsistenciaJetAdminConcatenada!$B:$B=BV$1), 0)), 1))),  0.5, 0))</f>
        <v>0</v>
      </c>
      <c r="BW28" s="47">
        <f t="array" ref="BW28">IF(AND(ISNUMBER(MATCH(BW$2, AsistenciaJetAdminConcatenada!$A:$A, 0)), ISNUMBER(MATCH(BW$1, AsistenciaJetAdminConcatenada!$B:$B, 0)), ISNUMBER(SEARCH($A28,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ISNUMBER(SEARCH($A28, INDEX(AsistenciaJetAdminConcatenada!$D:$D, MATCH(1, (AsistenciaJetAdminConcatenada!$A:$A=BW$2)*(AsistenciaJetAdminConcatenada!$B:$B=BW$1), 0)), 1))),  0.5, 0))</f>
        <v>0</v>
      </c>
      <c r="BX28" s="47">
        <f t="array" ref="BX28">IF(AND(ISNUMBER(MATCH(BX$2, AsistenciaJetAdminConcatenada!$A:$A, 0)), ISNUMBER(MATCH(BX$1, AsistenciaJetAdminConcatenada!$B:$B, 0)), ISNUMBER(SEARCH($A28,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ISNUMBER(SEARCH($A28, INDEX(AsistenciaJetAdminConcatenada!$D:$D, MATCH(1, (AsistenciaJetAdminConcatenada!$A:$A=BX$2)*(AsistenciaJetAdminConcatenada!$B:$B=BX$1), 0)), 1))),  0.5, 0))</f>
        <v>0</v>
      </c>
      <c r="BY28" s="47">
        <f t="array" ref="BY28">IF(AND(ISNUMBER(MATCH(BY$2, AsistenciaJetAdminConcatenada!$A:$A, 0)), ISNUMBER(MATCH(BY$1, AsistenciaJetAdminConcatenada!$B:$B, 0)), ISNUMBER(SEARCH($A28,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ISNUMBER(SEARCH($A28, INDEX(AsistenciaJetAdminConcatenada!$D:$D, MATCH(1, (AsistenciaJetAdminConcatenada!$A:$A=BY$2)*(AsistenciaJetAdminConcatenada!$B:$B=BY$1), 0)), 1))),  0.5, 0))</f>
        <v>0</v>
      </c>
      <c r="BZ28" s="47">
        <f t="array" ref="BZ28">IF(AND(ISNUMBER(MATCH(BZ$2, AsistenciaJetAdminConcatenada!$A:$A, 0)), ISNUMBER(MATCH(BZ$1, AsistenciaJetAdminConcatenada!$B:$B, 0)), ISNUMBER(SEARCH($A28,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ISNUMBER(SEARCH($A28, INDEX(AsistenciaJetAdminConcatenada!$D:$D, MATCH(1, (AsistenciaJetAdminConcatenada!$A:$A=BZ$2)*(AsistenciaJetAdminConcatenada!$B:$B=BZ$1), 0)), 1))),  0.5, 0))</f>
        <v>0</v>
      </c>
      <c r="CA28" s="47">
        <f t="array" ref="CA28">IF(AND(ISNUMBER(MATCH(CA$2, AsistenciaJetAdminConcatenada!$A:$A, 0)), ISNUMBER(MATCH(CA$1, AsistenciaJetAdminConcatenada!$B:$B, 0)), ISNUMBER(SEARCH($A28,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ISNUMBER(SEARCH($A28, INDEX(AsistenciaJetAdminConcatenada!$D:$D, MATCH(1, (AsistenciaJetAdminConcatenada!$A:$A=CA$2)*(AsistenciaJetAdminConcatenada!$B:$B=CA$1), 0)), 1))),  0.5, 0))</f>
        <v>0</v>
      </c>
      <c r="CB28" s="47">
        <f t="array" ref="CB28">IF(AND(ISNUMBER(MATCH(CB$2, AsistenciaJetAdminConcatenada!$A:$A, 0)), ISNUMBER(MATCH(CB$1, AsistenciaJetAdminConcatenada!$B:$B, 0)), ISNUMBER(SEARCH($A28,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ISNUMBER(SEARCH($A28, INDEX(AsistenciaJetAdminConcatenada!$D:$D, MATCH(1, (AsistenciaJetAdminConcatenada!$A:$A=CB$2)*(AsistenciaJetAdminConcatenada!$B:$B=CB$1), 0)), 1))),  0.5, 0))</f>
        <v>0</v>
      </c>
      <c r="CC28" s="47">
        <f t="array" ref="CC28">IF(AND(ISNUMBER(MATCH(CC$2, AsistenciaJetAdminConcatenada!$A:$A, 0)), ISNUMBER(MATCH(CC$1, AsistenciaJetAdminConcatenada!$B:$B, 0)), ISNUMBER(SEARCH($A28,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ISNUMBER(SEARCH($A28, INDEX(AsistenciaJetAdminConcatenada!$D:$D, MATCH(1, (AsistenciaJetAdminConcatenada!$A:$A=CC$2)*(AsistenciaJetAdminConcatenada!$B:$B=CC$1), 0)), 1))),  0.5, 0))</f>
        <v>1</v>
      </c>
      <c r="CD28" s="47">
        <f t="array" ref="CD28">IF(AND(ISNUMBER(MATCH(CD$2, AsistenciaJetAdminConcatenada!$A:$A, 0)), ISNUMBER(MATCH(CD$1, AsistenciaJetAdminConcatenada!$B:$B, 0)), ISNUMBER(SEARCH($A28,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ISNUMBER(SEARCH($A28, INDEX(AsistenciaJetAdminConcatenada!$D:$D, MATCH(1, (AsistenciaJetAdminConcatenada!$A:$A=CD$2)*(AsistenciaJetAdminConcatenada!$B:$B=CD$1), 0)), 1))),  0.5, 0))</f>
        <v>1</v>
      </c>
      <c r="CE28" s="47">
        <f t="array" ref="CE28">IF(AND(ISNUMBER(MATCH(CE$2, AsistenciaJetAdminConcatenada!$A:$A, 0)), ISNUMBER(MATCH(CE$1, AsistenciaJetAdminConcatenada!$B:$B, 0)), ISNUMBER(SEARCH($A28,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ISNUMBER(SEARCH($A28, INDEX(AsistenciaJetAdminConcatenada!$D:$D, MATCH(1, (AsistenciaJetAdminConcatenada!$A:$A=CE$2)*(AsistenciaJetAdminConcatenada!$B:$B=CE$1), 0)), 1))),  0.5, 0))</f>
        <v>0</v>
      </c>
      <c r="CF28" s="47">
        <f t="array" ref="CF28">IF(AND(ISNUMBER(MATCH(CF$2, AsistenciaJetAdminConcatenada!$A:$A, 0)), ISNUMBER(MATCH(CF$1, AsistenciaJetAdminConcatenada!$B:$B, 0)), ISNUMBER(SEARCH($A28,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ISNUMBER(SEARCH($A28, INDEX(AsistenciaJetAdminConcatenada!$D:$D, MATCH(1, (AsistenciaJetAdminConcatenada!$A:$A=CF$2)*(AsistenciaJetAdminConcatenada!$B:$B=CF$1), 0)), 1))),  0.5, 0))</f>
        <v>0.5</v>
      </c>
      <c r="CG28" s="47">
        <f t="array" ref="CG28">IF(AND(ISNUMBER(MATCH(CG$2, AsistenciaJetAdminConcatenada!$A:$A, 0)), ISNUMBER(MATCH(CG$1, AsistenciaJetAdminConcatenada!$B:$B, 0)), ISNUMBER(SEARCH($A28,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ISNUMBER(SEARCH($A28, INDEX(AsistenciaJetAdminConcatenada!$D:$D, MATCH(1, (AsistenciaJetAdminConcatenada!$A:$A=CG$2)*(AsistenciaJetAdminConcatenada!$B:$B=CG$1), 0)), 1))),  0.5, 0))</f>
        <v>0</v>
      </c>
      <c r="CH28" s="47">
        <f t="array" ref="CH28">IF(AND(ISNUMBER(MATCH(CH$2, AsistenciaJetAdminConcatenada!$A:$A, 0)), ISNUMBER(MATCH(CH$1, AsistenciaJetAdminConcatenada!$B:$B, 0)), ISNUMBER(SEARCH($A28,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ISNUMBER(SEARCH($A28, INDEX(AsistenciaJetAdminConcatenada!$D:$D, MATCH(1, (AsistenciaJetAdminConcatenada!$A:$A=CH$2)*(AsistenciaJetAdminConcatenada!$B:$B=CH$1), 0)), 1))),  0.5, 0))</f>
        <v>1</v>
      </c>
      <c r="CI28" s="47">
        <f t="array" ref="CI28">IF(AND(ISNUMBER(MATCH(CI$2, AsistenciaJetAdminConcatenada!$A:$A, 0)), ISNUMBER(MATCH(CI$1, AsistenciaJetAdminConcatenada!$B:$B, 0)), ISNUMBER(SEARCH($A28,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ISNUMBER(SEARCH($A28, INDEX(AsistenciaJetAdminConcatenada!$D:$D, MATCH(1, (AsistenciaJetAdminConcatenada!$A:$A=CI$2)*(AsistenciaJetAdminConcatenada!$B:$B=CI$1), 0)), 1))),  0.5, 0))</f>
        <v>1</v>
      </c>
      <c r="CJ28" s="47">
        <f t="array" ref="CJ28">IF(AND(ISNUMBER(MATCH(CJ$2, AsistenciaJetAdminConcatenada!$A:$A, 0)), ISNUMBER(MATCH(CJ$1, AsistenciaJetAdminConcatenada!$B:$B, 0)), ISNUMBER(SEARCH($A28,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ISNUMBER(SEARCH($A28, INDEX(AsistenciaJetAdminConcatenada!$D:$D, MATCH(1, (AsistenciaJetAdminConcatenada!$A:$A=CJ$2)*(AsistenciaJetAdminConcatenada!$B:$B=CJ$1), 0)), 1))),  0.5, 0))</f>
        <v>1</v>
      </c>
      <c r="CK28" s="47">
        <f t="array" ref="CK28">IF(AND(ISNUMBER(MATCH(CK$2, AsistenciaJetAdminConcatenada!$A:$A, 0)), ISNUMBER(MATCH(CK$1, AsistenciaJetAdminConcatenada!$B:$B, 0)), ISNUMBER(SEARCH($A28,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ISNUMBER(SEARCH($A28, INDEX(AsistenciaJetAdminConcatenada!$D:$D, MATCH(1, (AsistenciaJetAdminConcatenada!$A:$A=CK$2)*(AsistenciaJetAdminConcatenada!$B:$B=CK$1), 0)), 1))),  0.5, 0))</f>
        <v>1</v>
      </c>
      <c r="CL28" s="47">
        <f t="array" ref="CL28">IF(AND(ISNUMBER(MATCH(CL$2, AsistenciaJetAdminConcatenada!$A:$A, 0)), ISNUMBER(MATCH(CL$1, AsistenciaJetAdminConcatenada!$B:$B, 0)), ISNUMBER(SEARCH($A28,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ISNUMBER(SEARCH($A28, INDEX(AsistenciaJetAdminConcatenada!$D:$D, MATCH(1, (AsistenciaJetAdminConcatenada!$A:$A=CL$2)*(AsistenciaJetAdminConcatenada!$B:$B=CL$1), 0)), 1))),  0.5, 0))</f>
        <v>1</v>
      </c>
      <c r="CM28" s="47">
        <f t="array" ref="CM28">IF(AND(ISNUMBER(MATCH(CM$2, AsistenciaJetAdminConcatenada!$A:$A, 0)), ISNUMBER(MATCH(CM$1, AsistenciaJetAdminConcatenada!$B:$B, 0)), ISNUMBER(SEARCH($A28,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ISNUMBER(SEARCH($A28, INDEX(AsistenciaJetAdminConcatenada!$D:$D, MATCH(1, (AsistenciaJetAdminConcatenada!$A:$A=CM$2)*(AsistenciaJetAdminConcatenada!$B:$B=CM$1), 0)), 1))),  0.5, 0))</f>
        <v>1</v>
      </c>
      <c r="CN28" s="47">
        <f t="array" ref="CN28">IF(AND(ISNUMBER(MATCH(CN$2, AsistenciaJetAdminConcatenada!$A:$A, 0)), ISNUMBER(MATCH(CN$1, AsistenciaJetAdminConcatenada!$B:$B, 0)), ISNUMBER(SEARCH($A28,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ISNUMBER(SEARCH($A28, INDEX(AsistenciaJetAdminConcatenada!$D:$D, MATCH(1, (AsistenciaJetAdminConcatenada!$A:$A=CN$2)*(AsistenciaJetAdminConcatenada!$B:$B=CN$1), 0)), 1))),  0.5, 0))</f>
        <v>0</v>
      </c>
      <c r="CO28" s="47">
        <f t="array" ref="CO28">IF(AND(ISNUMBER(MATCH(CO$2, AsistenciaJetAdminConcatenada!$A:$A, 0)), ISNUMBER(MATCH(CO$1, AsistenciaJetAdminConcatenada!$B:$B, 0)), ISNUMBER(SEARCH($A28,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ISNUMBER(SEARCH($A28, INDEX(AsistenciaJetAdminConcatenada!$D:$D, MATCH(1, (AsistenciaJetAdminConcatenada!$A:$A=CO$2)*(AsistenciaJetAdminConcatenada!$B:$B=CO$1), 0)), 1))),  0.5, 0))</f>
        <v>1</v>
      </c>
      <c r="CP28" s="47">
        <f t="array" ref="CP28">IF(AND(ISNUMBER(MATCH(CP$2, AsistenciaJetAdminConcatenada!$A:$A, 0)), ISNUMBER(MATCH(CP$1, AsistenciaJetAdminConcatenada!$B:$B, 0)), ISNUMBER(SEARCH($A28,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ISNUMBER(SEARCH($A28, INDEX(AsistenciaJetAdminConcatenada!$D:$D, MATCH(1, (AsistenciaJetAdminConcatenada!$A:$A=CP$2)*(AsistenciaJetAdminConcatenada!$B:$B=CP$1), 0)), 1))),  0.5, 0))</f>
        <v>0</v>
      </c>
      <c r="CQ28" s="47">
        <f t="array" ref="CQ28">IF(AND(ISNUMBER(MATCH(CQ$2, AsistenciaJetAdminConcatenada!$A:$A, 0)), ISNUMBER(MATCH(CQ$1, AsistenciaJetAdminConcatenada!$B:$B, 0)), ISNUMBER(SEARCH($A28,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ISNUMBER(SEARCH($A28, INDEX(AsistenciaJetAdminConcatenada!$D:$D, MATCH(1, (AsistenciaJetAdminConcatenada!$A:$A=CQ$2)*(AsistenciaJetAdminConcatenada!$B:$B=CQ$1), 0)), 1))),  0.5, 0))</f>
        <v>1</v>
      </c>
      <c r="CR28" s="47">
        <f t="array" ref="CR28">IF(AND(ISNUMBER(MATCH(CR$2, AsistenciaJetAdminConcatenada!$A:$A, 0)), ISNUMBER(MATCH(CR$1, AsistenciaJetAdminConcatenada!$B:$B, 0)), ISNUMBER(SEARCH($A28,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ISNUMBER(SEARCH($A28, INDEX(AsistenciaJetAdminConcatenada!$D:$D, MATCH(1, (AsistenciaJetAdminConcatenada!$A:$A=CR$2)*(AsistenciaJetAdminConcatenada!$B:$B=CR$1), 0)), 1))),  0.5, 0))</f>
        <v>1</v>
      </c>
      <c r="CS28" s="47">
        <f t="array" ref="CS28">IF(AND(ISNUMBER(MATCH(CS$2, AsistenciaJetAdminConcatenada!$A:$A, 0)), ISNUMBER(MATCH(CS$1, AsistenciaJetAdminConcatenada!$B:$B, 0)), ISNUMBER(SEARCH($A28,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ISNUMBER(SEARCH($A28, INDEX(AsistenciaJetAdminConcatenada!$D:$D, MATCH(1, (AsistenciaJetAdminConcatenada!$A:$A=CS$2)*(AsistenciaJetAdminConcatenada!$B:$B=CS$1), 0)), 1))),  0.5, 0))</f>
        <v>0</v>
      </c>
      <c r="CT28" s="47">
        <f t="array" ref="CT28">IF(AND(ISNUMBER(MATCH(CT$2, AsistenciaJetAdminConcatenada!$A:$A, 0)), ISNUMBER(MATCH(CT$1, AsistenciaJetAdminConcatenada!$B:$B, 0)), ISNUMBER(SEARCH($A28,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ISNUMBER(SEARCH($A28, INDEX(AsistenciaJetAdminConcatenada!$D:$D, MATCH(1, (AsistenciaJetAdminConcatenada!$A:$A=CT$2)*(AsistenciaJetAdminConcatenada!$B:$B=CT$1), 0)), 1))),  0.5, 0))</f>
        <v>0</v>
      </c>
      <c r="CU28" s="47">
        <f t="array" ref="CU28">IF(AND(ISNUMBER(MATCH(CU$2, AsistenciaJetAdminConcatenada!$A:$A, 0)), ISNUMBER(MATCH(CU$1, AsistenciaJetAdminConcatenada!$B:$B, 0)), ISNUMBER(SEARCH($A28,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ISNUMBER(SEARCH($A28, INDEX(AsistenciaJetAdminConcatenada!$D:$D, MATCH(1, (AsistenciaJetAdminConcatenada!$A:$A=CU$2)*(AsistenciaJetAdminConcatenada!$B:$B=CU$1), 0)), 1))),  0.5, 0))</f>
        <v>0</v>
      </c>
      <c r="CV28" s="47">
        <f t="array" ref="CV28">IF(AND(ISNUMBER(MATCH(CV$2, AsistenciaJetAdminConcatenada!$A:$A, 0)), ISNUMBER(MATCH(CV$1, AsistenciaJetAdminConcatenada!$B:$B, 0)), ISNUMBER(SEARCH($A28,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ISNUMBER(SEARCH($A28, INDEX(AsistenciaJetAdminConcatenada!$D:$D, MATCH(1, (AsistenciaJetAdminConcatenada!$A:$A=CV$2)*(AsistenciaJetAdminConcatenada!$B:$B=CV$1), 0)), 1))),  0.5, 0))</f>
        <v>0</v>
      </c>
      <c r="CW28" s="47">
        <f t="array" ref="CW28">IF(AND(ISNUMBER(MATCH(CW$2, AsistenciaJetAdminConcatenada!$A:$A, 0)), ISNUMBER(MATCH(CW$1, AsistenciaJetAdminConcatenada!$B:$B, 0)), ISNUMBER(SEARCH($A28,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ISNUMBER(SEARCH($A28, INDEX(AsistenciaJetAdminConcatenada!$D:$D, MATCH(1, (AsistenciaJetAdminConcatenada!$A:$A=CW$2)*(AsistenciaJetAdminConcatenada!$B:$B=CW$1), 0)), 1))),  0.5, 0))</f>
        <v>0</v>
      </c>
      <c r="CX28" s="47">
        <f t="array" ref="CX28">IF(AND(ISNUMBER(MATCH(CX$2, AsistenciaJetAdminConcatenada!$A:$A, 0)), ISNUMBER(MATCH(CX$1, AsistenciaJetAdminConcatenada!$B:$B, 0)), ISNUMBER(SEARCH($A28,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ISNUMBER(SEARCH($A28, INDEX(AsistenciaJetAdminConcatenada!$D:$D, MATCH(1, (AsistenciaJetAdminConcatenada!$A:$A=CX$2)*(AsistenciaJetAdminConcatenada!$B:$B=CX$1), 0)), 1))),  0.5, 0))</f>
        <v>0</v>
      </c>
      <c r="CY28" s="47">
        <f t="array" ref="CY28">IF(AND(ISNUMBER(MATCH(CY$2, AsistenciaJetAdminConcatenada!$A:$A, 0)), ISNUMBER(MATCH(CY$1, AsistenciaJetAdminConcatenada!$B:$B, 0)), ISNUMBER(SEARCH($A28,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ISNUMBER(SEARCH($A28, INDEX(AsistenciaJetAdminConcatenada!$D:$D, MATCH(1, (AsistenciaJetAdminConcatenada!$A:$A=CY$2)*(AsistenciaJetAdminConcatenada!$B:$B=CY$1), 0)), 1))),  0.5, 0))</f>
        <v>0</v>
      </c>
      <c r="CZ28" s="47">
        <f t="array" ref="CZ28">IF(AND(ISNUMBER(MATCH(CZ$2, AsistenciaJetAdminConcatenada!$A:$A, 0)), ISNUMBER(MATCH(CZ$1, AsistenciaJetAdminConcatenada!$B:$B, 0)), ISNUMBER(SEARCH($A28,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ISNUMBER(SEARCH($A28, INDEX(AsistenciaJetAdminConcatenada!$D:$D, MATCH(1, (AsistenciaJetAdminConcatenada!$A:$A=CZ$2)*(AsistenciaJetAdminConcatenada!$B:$B=CZ$1), 0)), 1))),  0.5, 0))</f>
        <v>0</v>
      </c>
      <c r="DA28" s="47">
        <f t="array" ref="DA28">IF(AND(ISNUMBER(MATCH(DA$2, AsistenciaJetAdminConcatenada!$A:$A, 0)), ISNUMBER(MATCH(DA$1, AsistenciaJetAdminConcatenada!$B:$B, 0)), ISNUMBER(SEARCH($A28,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ISNUMBER(SEARCH($A28, INDEX(AsistenciaJetAdminConcatenada!$D:$D, MATCH(1, (AsistenciaJetAdminConcatenada!$A:$A=DA$2)*(AsistenciaJetAdminConcatenada!$B:$B=DA$1), 0)), 1))),  0.5, 0))</f>
        <v>0</v>
      </c>
      <c r="DB28" s="47">
        <f t="array" ref="DB28">IF(AND(ISNUMBER(MATCH(DB$2, AsistenciaJetAdminConcatenada!$A:$A, 0)), ISNUMBER(MATCH(DB$1, AsistenciaJetAdminConcatenada!$B:$B, 0)), ISNUMBER(SEARCH($A28,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ISNUMBER(SEARCH($A28, INDEX(AsistenciaJetAdminConcatenada!$D:$D, MATCH(1, (AsistenciaJetAdminConcatenada!$A:$A=DB$2)*(AsistenciaJetAdminConcatenada!$B:$B=DB$1), 0)), 1))),  0.5, 0))</f>
        <v>0</v>
      </c>
      <c r="DC28" s="47">
        <f t="array" ref="DC28">IF(AND(ISNUMBER(MATCH(DC$2, AsistenciaJetAdminConcatenada!$A:$A, 0)), ISNUMBER(MATCH(DC$1, AsistenciaJetAdminConcatenada!$B:$B, 0)), ISNUMBER(SEARCH($A28,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ISNUMBER(SEARCH($A28, INDEX(AsistenciaJetAdminConcatenada!$D:$D, MATCH(1, (AsistenciaJetAdminConcatenada!$A:$A=DC$2)*(AsistenciaJetAdminConcatenada!$B:$B=DC$1), 0)), 1))),  0.5, 0))</f>
        <v>0</v>
      </c>
      <c r="DD28" s="47">
        <f t="array" ref="DD28">IF(AND(ISNUMBER(MATCH(DD$2, AsistenciaJetAdminConcatenada!$A:$A, 0)), ISNUMBER(MATCH(DD$1, AsistenciaJetAdminConcatenada!$B:$B, 0)), ISNUMBER(SEARCH($A28,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ISNUMBER(SEARCH($A28, INDEX(AsistenciaJetAdminConcatenada!$D:$D, MATCH(1, (AsistenciaJetAdminConcatenada!$A:$A=DD$2)*(AsistenciaJetAdminConcatenada!$B:$B=DD$1), 0)), 1))),  0.5, 0))</f>
        <v>0</v>
      </c>
      <c r="DE28" s="47">
        <f t="array" ref="DE28">IF(AND(ISNUMBER(MATCH(DE$2, AsistenciaJetAdminConcatenada!$A:$A, 0)), ISNUMBER(MATCH(DE$1, AsistenciaJetAdminConcatenada!$B:$B, 0)), ISNUMBER(SEARCH($A28,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ISNUMBER(SEARCH($A28, INDEX(AsistenciaJetAdminConcatenada!$D:$D, MATCH(1, (AsistenciaJetAdminConcatenada!$A:$A=DE$2)*(AsistenciaJetAdminConcatenada!$B:$B=DE$1), 0)), 1))),  0.5, 0))</f>
        <v>0</v>
      </c>
      <c r="DF28" s="47">
        <f t="array" ref="DF28">IF(AND(ISNUMBER(MATCH(DF$2, AsistenciaJetAdminConcatenada!$A:$A, 0)), ISNUMBER(MATCH(DF$1, AsistenciaJetAdminConcatenada!$B:$B, 0)), ISNUMBER(SEARCH($A28,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ISNUMBER(SEARCH($A28, INDEX(AsistenciaJetAdminConcatenada!$D:$D, MATCH(1, (AsistenciaJetAdminConcatenada!$A:$A=DF$2)*(AsistenciaJetAdminConcatenada!$B:$B=DF$1), 0)), 1))),  0.5, 0))</f>
        <v>0</v>
      </c>
      <c r="DG28" s="47">
        <f t="array" ref="DG28">IF(AND(ISNUMBER(MATCH(DG$2, AsistenciaJetAdminConcatenada!$A:$A, 0)), ISNUMBER(MATCH(DG$1, AsistenciaJetAdminConcatenada!$B:$B, 0)), ISNUMBER(SEARCH($A28,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ISNUMBER(SEARCH($A28, INDEX(AsistenciaJetAdminConcatenada!$D:$D, MATCH(1, (AsistenciaJetAdminConcatenada!$A:$A=DG$2)*(AsistenciaJetAdminConcatenada!$B:$B=DG$1), 0)), 1))),  0.5, 0))</f>
        <v>0</v>
      </c>
      <c r="DH28" s="47">
        <f t="array" ref="DH28">IF(AND(ISNUMBER(MATCH(DH$2, AsistenciaJetAdminConcatenada!$A:$A, 0)), ISNUMBER(MATCH(DH$1, AsistenciaJetAdminConcatenada!$B:$B, 0)), ISNUMBER(SEARCH($A28,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ISNUMBER(SEARCH($A28, INDEX(AsistenciaJetAdminConcatenada!$D:$D, MATCH(1, (AsistenciaJetAdminConcatenada!$A:$A=DH$2)*(AsistenciaJetAdminConcatenada!$B:$B=DH$1), 0)), 1))),  0.5, 0))</f>
        <v>0</v>
      </c>
      <c r="DI28" s="47">
        <f t="array" ref="DI28">IF(AND(ISNUMBER(MATCH(DI$2, AsistenciaJetAdminConcatenada!$A:$A, 0)), ISNUMBER(MATCH(DI$1, AsistenciaJetAdminConcatenada!$B:$B, 0)), ISNUMBER(SEARCH($A28,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ISNUMBER(SEARCH($A28, INDEX(AsistenciaJetAdminConcatenada!$D:$D, MATCH(1, (AsistenciaJetAdminConcatenada!$A:$A=DI$2)*(AsistenciaJetAdminConcatenada!$B:$B=DI$1), 0)), 1))),  0.5, 0))</f>
        <v>0</v>
      </c>
      <c r="DJ28" s="47">
        <f t="array" ref="DJ28">IF(AND(ISNUMBER(MATCH(DJ$2, AsistenciaJetAdminConcatenada!$A:$A, 0)), ISNUMBER(MATCH(DJ$1, AsistenciaJetAdminConcatenada!$B:$B, 0)), ISNUMBER(SEARCH($A28,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ISNUMBER(SEARCH($A28, INDEX(AsistenciaJetAdminConcatenada!$D:$D, MATCH(1, (AsistenciaJetAdminConcatenada!$A:$A=DJ$2)*(AsistenciaJetAdminConcatenada!$B:$B=DJ$1), 0)), 1))),  0.5, 0))</f>
        <v>0</v>
      </c>
      <c r="DK28" s="47">
        <f t="array" ref="DK28">IF(AND(ISNUMBER(MATCH(DK$2, AsistenciaJetAdminConcatenada!$A:$A, 0)), ISNUMBER(MATCH(DK$1, AsistenciaJetAdminConcatenada!$B:$B, 0)), ISNUMBER(SEARCH($A28,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ISNUMBER(SEARCH($A28, INDEX(AsistenciaJetAdminConcatenada!$D:$D, MATCH(1, (AsistenciaJetAdminConcatenada!$A:$A=DK$2)*(AsistenciaJetAdminConcatenada!$B:$B=DK$1), 0)), 1))),  0.5, 0))</f>
        <v>0</v>
      </c>
      <c r="DL28" s="47">
        <f t="array" ref="DL28">IF(AND(ISNUMBER(MATCH(DL$2, AsistenciaJetAdminConcatenada!$A:$A, 0)), ISNUMBER(MATCH(DL$1, AsistenciaJetAdminConcatenada!$B:$B, 0)), ISNUMBER(SEARCH($A28,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ISNUMBER(SEARCH($A28, INDEX(AsistenciaJetAdminConcatenada!$D:$D, MATCH(1, (AsistenciaJetAdminConcatenada!$A:$A=DL$2)*(AsistenciaJetAdminConcatenada!$B:$B=DL$1), 0)), 1))),  0.5, 0))</f>
        <v>0</v>
      </c>
      <c r="DM28" s="47">
        <f t="array" ref="DM28">IF(AND(ISNUMBER(MATCH(DM$2, AsistenciaJetAdminConcatenada!$A:$A, 0)), ISNUMBER(MATCH(DM$1, AsistenciaJetAdminConcatenada!$B:$B, 0)), ISNUMBER(SEARCH($A28,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ISNUMBER(SEARCH($A28, INDEX(AsistenciaJetAdminConcatenada!$D:$D, MATCH(1, (AsistenciaJetAdminConcatenada!$A:$A=DM$2)*(AsistenciaJetAdminConcatenada!$B:$B=DM$1), 0)), 1))),  0.5, 0))</f>
        <v>0</v>
      </c>
      <c r="DN28" s="47">
        <f t="array" ref="DN28">IF(AND(ISNUMBER(MATCH(DN$2, AsistenciaJetAdminConcatenada!$A:$A, 0)), ISNUMBER(MATCH(DN$1, AsistenciaJetAdminConcatenada!$B:$B, 0)), ISNUMBER(SEARCH($A28,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ISNUMBER(SEARCH($A28, INDEX(AsistenciaJetAdminConcatenada!$D:$D, MATCH(1, (AsistenciaJetAdminConcatenada!$A:$A=DN$2)*(AsistenciaJetAdminConcatenada!$B:$B=DN$1), 0)), 1))),  0.5, 0))</f>
        <v>0</v>
      </c>
      <c r="DO28" s="47">
        <f t="array" ref="DO28">IF(AND(ISNUMBER(MATCH(DO$2, AsistenciaJetAdminConcatenada!$A:$A, 0)), ISNUMBER(MATCH(DO$1, AsistenciaJetAdminConcatenada!$B:$B, 0)), ISNUMBER(SEARCH($A28,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ISNUMBER(SEARCH($A28, INDEX(AsistenciaJetAdminConcatenada!$D:$D, MATCH(1, (AsistenciaJetAdminConcatenada!$A:$A=DO$2)*(AsistenciaJetAdminConcatenada!$B:$B=DO$1), 0)), 1))),  0.5, 0))</f>
        <v>0</v>
      </c>
      <c r="DP28" s="47">
        <f t="array" ref="DP28">IF(AND(ISNUMBER(MATCH(DP$2, AsistenciaJetAdminConcatenada!$A:$A, 0)), ISNUMBER(MATCH(DP$1, AsistenciaJetAdminConcatenada!$B:$B, 0)), ISNUMBER(SEARCH($A28,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ISNUMBER(SEARCH($A28, INDEX(AsistenciaJetAdminConcatenada!$D:$D, MATCH(1, (AsistenciaJetAdminConcatenada!$A:$A=DP$2)*(AsistenciaJetAdminConcatenada!$B:$B=DP$1), 0)), 1))),  0.5, 0))</f>
        <v>0</v>
      </c>
      <c r="DQ28" s="47">
        <f t="array" ref="DQ28">IF(AND(ISNUMBER(MATCH(DQ$2, AsistenciaJetAdminConcatenada!$A:$A, 0)), ISNUMBER(MATCH(DQ$1, AsistenciaJetAdminConcatenada!$B:$B, 0)), ISNUMBER(SEARCH($A28,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ISNUMBER(SEARCH($A28, INDEX(AsistenciaJetAdminConcatenada!$D:$D, MATCH(1, (AsistenciaJetAdminConcatenada!$A:$A=DQ$2)*(AsistenciaJetAdminConcatenada!$B:$B=DQ$1), 0)), 1))),  0.5, 0))</f>
        <v>0</v>
      </c>
      <c r="DR28" s="47">
        <f t="array" ref="DR28">IF(AND(ISNUMBER(MATCH(DR$2, AsistenciaJetAdminConcatenada!$A:$A, 0)), ISNUMBER(MATCH(DR$1, AsistenciaJetAdminConcatenada!$B:$B, 0)), ISNUMBER(SEARCH($A28,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ISNUMBER(SEARCH($A28, INDEX(AsistenciaJetAdminConcatenada!$D:$D, MATCH(1, (AsistenciaJetAdminConcatenada!$A:$A=DR$2)*(AsistenciaJetAdminConcatenada!$B:$B=DR$1), 0)), 1))),  0.5, 0))</f>
        <v>0</v>
      </c>
      <c r="DS28" s="47">
        <f t="array" ref="DS28">IF(AND(ISNUMBER(MATCH(DS$2, AsistenciaJetAdminConcatenada!$A:$A, 0)), ISNUMBER(MATCH(DS$1, AsistenciaJetAdminConcatenada!$B:$B, 0)), ISNUMBER(SEARCH($A28,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ISNUMBER(SEARCH($A28, INDEX(AsistenciaJetAdminConcatenada!$D:$D, MATCH(1, (AsistenciaJetAdminConcatenada!$A:$A=DS$2)*(AsistenciaJetAdminConcatenada!$B:$B=DS$1), 0)), 1))),  0.5, 0))</f>
        <v>0</v>
      </c>
      <c r="DT28" s="47">
        <f t="array" ref="DT28">IF(AND(ISNUMBER(MATCH(DT$2, AsistenciaJetAdminConcatenada!$A:$A, 0)), ISNUMBER(MATCH(DT$1, AsistenciaJetAdminConcatenada!$B:$B, 0)), ISNUMBER(SEARCH($A28,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ISNUMBER(SEARCH($A28, INDEX(AsistenciaJetAdminConcatenada!$D:$D, MATCH(1, (AsistenciaJetAdminConcatenada!$A:$A=DT$2)*(AsistenciaJetAdminConcatenada!$B:$B=DT$1), 0)), 1))),  0.5, 0))</f>
        <v>0</v>
      </c>
      <c r="DU28" s="47">
        <f t="array" ref="DU28">IF(AND(ISNUMBER(MATCH(DU$2, AsistenciaJetAdminConcatenada!$A:$A, 0)), ISNUMBER(MATCH(DU$1, AsistenciaJetAdminConcatenada!$B:$B, 0)), ISNUMBER(SEARCH($A28,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ISNUMBER(SEARCH($A28, INDEX(AsistenciaJetAdminConcatenada!$D:$D, MATCH(1, (AsistenciaJetAdminConcatenada!$A:$A=DU$2)*(AsistenciaJetAdminConcatenada!$B:$B=DU$1), 0)), 1))),  0.5, 0))</f>
        <v>0</v>
      </c>
      <c r="DV28" s="47">
        <f t="array" ref="DV28">IF(AND(ISNUMBER(MATCH(DV$2, AsistenciaJetAdminConcatenada!$A:$A, 0)), ISNUMBER(MATCH(DV$1, AsistenciaJetAdminConcatenada!$B:$B, 0)), ISNUMBER(SEARCH($A28,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ISNUMBER(SEARCH($A28, INDEX(AsistenciaJetAdminConcatenada!$D:$D, MATCH(1, (AsistenciaJetAdminConcatenada!$A:$A=DV$2)*(AsistenciaJetAdminConcatenada!$B:$B=DV$1), 0)), 1))),  0.5, 0))</f>
        <v>0</v>
      </c>
      <c r="DW28" s="47">
        <f t="array" ref="DW28">IF(AND(ISNUMBER(MATCH(DW$2, AsistenciaJetAdminConcatenada!$A:$A, 0)), ISNUMBER(MATCH(DW$1, AsistenciaJetAdminConcatenada!$B:$B, 0)), ISNUMBER(SEARCH($A28,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ISNUMBER(SEARCH($A28, INDEX(AsistenciaJetAdminConcatenada!$D:$D, MATCH(1, (AsistenciaJetAdminConcatenada!$A:$A=DW$2)*(AsistenciaJetAdminConcatenada!$B:$B=DW$1), 0)), 1))),  0.5, 0))</f>
        <v>0</v>
      </c>
      <c r="DX28" s="47">
        <f t="array" ref="DX28">IF(AND(ISNUMBER(MATCH(DX$2, AsistenciaJetAdminConcatenada!$A:$A, 0)), ISNUMBER(MATCH(DX$1, AsistenciaJetAdminConcatenada!$B:$B, 0)), ISNUMBER(SEARCH($A28,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ISNUMBER(SEARCH($A28, INDEX(AsistenciaJetAdminConcatenada!$D:$D, MATCH(1, (AsistenciaJetAdminConcatenada!$A:$A=DX$2)*(AsistenciaJetAdminConcatenada!$B:$B=DX$1), 0)), 1))),  0.5, 0))</f>
        <v>0</v>
      </c>
      <c r="DY28" s="47">
        <f t="array" ref="DY28">IF(AND(ISNUMBER(MATCH(DY$2, AsistenciaJetAdminConcatenada!$A:$A, 0)), ISNUMBER(MATCH(DY$1, AsistenciaJetAdminConcatenada!$B:$B, 0)), ISNUMBER(SEARCH($A28,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ISNUMBER(SEARCH($A28, INDEX(AsistenciaJetAdminConcatenada!$D:$D, MATCH(1, (AsistenciaJetAdminConcatenada!$A:$A=DY$2)*(AsistenciaJetAdminConcatenada!$B:$B=DY$1), 0)), 1))),  0.5, 0))</f>
        <v>0</v>
      </c>
      <c r="DZ28" s="47">
        <f t="array" ref="DZ28">IF(AND(ISNUMBER(MATCH(DZ$2, AsistenciaJetAdminConcatenada!$A:$A, 0)), ISNUMBER(MATCH(DZ$1, AsistenciaJetAdminConcatenada!$B:$B, 0)), ISNUMBER(SEARCH($A28,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ISNUMBER(SEARCH($A28, INDEX(AsistenciaJetAdminConcatenada!$D:$D, MATCH(1, (AsistenciaJetAdminConcatenada!$A:$A=DZ$2)*(AsistenciaJetAdminConcatenada!$B:$B=DZ$1), 0)), 1))),  0.5, 0))</f>
        <v>0</v>
      </c>
      <c r="EA28" s="47">
        <f t="array" ref="EA28">IF(AND(ISNUMBER(MATCH(EA$2, AsistenciaJetAdminConcatenada!$A:$A, 0)), ISNUMBER(MATCH(EA$1, AsistenciaJetAdminConcatenada!$B:$B, 0)), ISNUMBER(SEARCH($A28,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ISNUMBER(SEARCH($A28, INDEX(AsistenciaJetAdminConcatenada!$D:$D, MATCH(1, (AsistenciaJetAdminConcatenada!$A:$A=EA$2)*(AsistenciaJetAdminConcatenada!$B:$B=EA$1), 0)), 1))),  0.5, 0))</f>
        <v>0</v>
      </c>
      <c r="EB28" s="47">
        <f t="array" ref="EB28">IF(AND(ISNUMBER(MATCH(EB$2, AsistenciaJetAdminConcatenada!$A:$A, 0)), ISNUMBER(MATCH(EB$1, AsistenciaJetAdminConcatenada!$B:$B, 0)), ISNUMBER(SEARCH($A28,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ISNUMBER(SEARCH($A28, INDEX(AsistenciaJetAdminConcatenada!$D:$D, MATCH(1, (AsistenciaJetAdminConcatenada!$A:$A=EB$2)*(AsistenciaJetAdminConcatenada!$B:$B=EB$1), 0)), 1))),  0.5, 0))</f>
        <v>0</v>
      </c>
      <c r="EC28" s="47">
        <f t="array" ref="EC28">IF(AND(ISNUMBER(MATCH(EC$2, AsistenciaJetAdminConcatenada!$A:$A, 0)), ISNUMBER(MATCH(EC$1, AsistenciaJetAdminConcatenada!$B:$B, 0)), ISNUMBER(SEARCH($A28,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ISNUMBER(SEARCH($A28, INDEX(AsistenciaJetAdminConcatenada!$D:$D, MATCH(1, (AsistenciaJetAdminConcatenada!$A:$A=EC$2)*(AsistenciaJetAdminConcatenada!$B:$B=EC$1), 0)), 1))),  0.5, 0))</f>
        <v>0</v>
      </c>
      <c r="ED28" s="47">
        <f t="array" ref="ED28">IF(AND(ISNUMBER(MATCH(ED$2, AsistenciaJetAdminConcatenada!$A:$A, 0)), ISNUMBER(MATCH(ED$1, AsistenciaJetAdminConcatenada!$B:$B, 0)), ISNUMBER(SEARCH($A28,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ISNUMBER(SEARCH($A28, INDEX(AsistenciaJetAdminConcatenada!$D:$D, MATCH(1, (AsistenciaJetAdminConcatenada!$A:$A=ED$2)*(AsistenciaJetAdminConcatenada!$B:$B=ED$1), 0)), 1))),  0.5, 0))</f>
        <v>0</v>
      </c>
      <c r="EE28" s="47">
        <f t="array" ref="EE28">IF(AND(ISNUMBER(MATCH(EE$2, AsistenciaJetAdminConcatenada!$A:$A, 0)), ISNUMBER(MATCH(EE$1, AsistenciaJetAdminConcatenada!$B:$B, 0)), ISNUMBER(SEARCH($A28,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ISNUMBER(SEARCH($A28, INDEX(AsistenciaJetAdminConcatenada!$D:$D, MATCH(1, (AsistenciaJetAdminConcatenada!$A:$A=EE$2)*(AsistenciaJetAdminConcatenada!$B:$B=EE$1), 0)), 1))),  0.5, 0))</f>
        <v>0</v>
      </c>
      <c r="EF28" s="47">
        <f t="array" ref="EF28">IF(AND(ISNUMBER(MATCH(EF$2, AsistenciaJetAdminConcatenada!$A:$A, 0)), ISNUMBER(MATCH(EF$1, AsistenciaJetAdminConcatenada!$B:$B, 0)), ISNUMBER(SEARCH($A28,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ISNUMBER(SEARCH($A28, INDEX(AsistenciaJetAdminConcatenada!$D:$D, MATCH(1, (AsistenciaJetAdminConcatenada!$A:$A=EF$2)*(AsistenciaJetAdminConcatenada!$B:$B=EF$1), 0)), 1))),  0.5, 0))</f>
        <v>0</v>
      </c>
      <c r="EG28" s="47">
        <f t="array" ref="EG28">IF(AND(ISNUMBER(MATCH(EG$2, AsistenciaJetAdminConcatenada!$A:$A, 0)), ISNUMBER(MATCH(EG$1, AsistenciaJetAdminConcatenada!$B:$B, 0)), ISNUMBER(SEARCH($A28,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ISNUMBER(SEARCH($A28, INDEX(AsistenciaJetAdminConcatenada!$D:$D, MATCH(1, (AsistenciaJetAdminConcatenada!$A:$A=EG$2)*(AsistenciaJetAdminConcatenada!$B:$B=EG$1), 0)), 1))),  0.5, 0))</f>
        <v>0</v>
      </c>
      <c r="EH28" s="47">
        <f t="array" ref="EH28">IF(AND(ISNUMBER(MATCH(EH$2, AsistenciaJetAdminConcatenada!$A:$A, 0)), ISNUMBER(MATCH(EH$1, AsistenciaJetAdminConcatenada!$B:$B, 0)), ISNUMBER(SEARCH($A28,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ISNUMBER(SEARCH($A28, INDEX(AsistenciaJetAdminConcatenada!$D:$D, MATCH(1, (AsistenciaJetAdminConcatenada!$A:$A=EH$2)*(AsistenciaJetAdminConcatenada!$B:$B=EH$1), 0)), 1))),  0.5, 0))</f>
        <v>0</v>
      </c>
      <c r="EI28" s="47">
        <f t="array" ref="EI28">IF(AND(ISNUMBER(MATCH(EI$2, AsistenciaJetAdminConcatenada!$A:$A, 0)), ISNUMBER(MATCH(EI$1, AsistenciaJetAdminConcatenada!$B:$B, 0)), ISNUMBER(SEARCH($A28,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ISNUMBER(SEARCH($A28, INDEX(AsistenciaJetAdminConcatenada!$D:$D, MATCH(1, (AsistenciaJetAdminConcatenada!$A:$A=EI$2)*(AsistenciaJetAdminConcatenada!$B:$B=EI$1), 0)), 1))),  0.5, 0))</f>
        <v>0</v>
      </c>
      <c r="EJ28" s="47">
        <f t="array" ref="EJ28">IF(AND(ISNUMBER(MATCH(EJ$2, AsistenciaJetAdminConcatenada!$A:$A, 0)), ISNUMBER(MATCH(EJ$1, AsistenciaJetAdminConcatenada!$B:$B, 0)), ISNUMBER(SEARCH($A28,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ISNUMBER(SEARCH($A28, INDEX(AsistenciaJetAdminConcatenada!$D:$D, MATCH(1, (AsistenciaJetAdminConcatenada!$A:$A=EJ$2)*(AsistenciaJetAdminConcatenada!$B:$B=EJ$1), 0)), 1))),  0.5, 0))</f>
        <v>0</v>
      </c>
      <c r="EK28" s="47">
        <f t="array" ref="EK28">IF(AND(ISNUMBER(MATCH(EK$2, AsistenciaJetAdminConcatenada!$A:$A, 0)), ISNUMBER(MATCH(EK$1, AsistenciaJetAdminConcatenada!$B:$B, 0)), ISNUMBER(SEARCH($A28,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ISNUMBER(SEARCH($A28, INDEX(AsistenciaJetAdminConcatenada!$D:$D, MATCH(1, (AsistenciaJetAdminConcatenada!$A:$A=EK$2)*(AsistenciaJetAdminConcatenada!$B:$B=EK$1), 0)), 1))),  0.5, 0))</f>
        <v>0</v>
      </c>
      <c r="EL28" s="47">
        <f t="array" ref="EL28">IF(AND(ISNUMBER(MATCH(EL$2, AsistenciaJetAdminConcatenada!$A:$A, 0)), ISNUMBER(MATCH(EL$1, AsistenciaJetAdminConcatenada!$B:$B, 0)), ISNUMBER(SEARCH($A28,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ISNUMBER(SEARCH($A28, INDEX(AsistenciaJetAdminConcatenada!$D:$D, MATCH(1, (AsistenciaJetAdminConcatenada!$A:$A=EL$2)*(AsistenciaJetAdminConcatenada!$B:$B=EL$1), 0)), 1))),  0.5, 0))</f>
        <v>0</v>
      </c>
      <c r="EM28" s="47">
        <f t="array" ref="EM28">IF(AND(ISNUMBER(MATCH(EM$2, AsistenciaJetAdminConcatenada!$A:$A, 0)), ISNUMBER(MATCH(EM$1, AsistenciaJetAdminConcatenada!$B:$B, 0)), ISNUMBER(SEARCH($A28,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ISNUMBER(SEARCH($A28, INDEX(AsistenciaJetAdminConcatenada!$D:$D, MATCH(1, (AsistenciaJetAdminConcatenada!$A:$A=EM$2)*(AsistenciaJetAdminConcatenada!$B:$B=EM$1), 0)), 1))),  0.5, 0))</f>
        <v>0</v>
      </c>
      <c r="EN28" s="47">
        <f t="array" ref="EN28">IF(AND(ISNUMBER(MATCH(EN$2, AsistenciaJetAdminConcatenada!$A:$A, 0)), ISNUMBER(MATCH(EN$1, AsistenciaJetAdminConcatenada!$B:$B, 0)), ISNUMBER(SEARCH($A28,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ISNUMBER(SEARCH($A28, INDEX(AsistenciaJetAdminConcatenada!$D:$D, MATCH(1, (AsistenciaJetAdminConcatenada!$A:$A=EN$2)*(AsistenciaJetAdminConcatenada!$B:$B=EN$1), 0)), 1))),  0.5, 0))</f>
        <v>0</v>
      </c>
      <c r="EO28" s="47">
        <f t="array" ref="EO28">IF(AND(ISNUMBER(MATCH(EO$2, AsistenciaJetAdminConcatenada!$A:$A, 0)), ISNUMBER(MATCH(EO$1, AsistenciaJetAdminConcatenada!$B:$B, 0)), ISNUMBER(SEARCH($A28,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ISNUMBER(SEARCH($A28, INDEX(AsistenciaJetAdminConcatenada!$D:$D, MATCH(1, (AsistenciaJetAdminConcatenada!$A:$A=EO$2)*(AsistenciaJetAdminConcatenada!$B:$B=EO$1), 0)), 1))),  0.5, 0))</f>
        <v>0</v>
      </c>
      <c r="EP28" s="47">
        <f t="array" ref="EP28">IF(AND(ISNUMBER(MATCH(EP$2, AsistenciaJetAdminConcatenada!$A:$A, 0)), ISNUMBER(MATCH(EP$1, AsistenciaJetAdminConcatenada!$B:$B, 0)), ISNUMBER(SEARCH($A28,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ISNUMBER(SEARCH($A28, INDEX(AsistenciaJetAdminConcatenada!$D:$D, MATCH(1, (AsistenciaJetAdminConcatenada!$A:$A=EP$2)*(AsistenciaJetAdminConcatenada!$B:$B=EP$1), 0)), 1))),  0.5, 0))</f>
        <v>0</v>
      </c>
      <c r="EQ28" s="47">
        <f t="array" ref="EQ28">IF(AND(ISNUMBER(MATCH(EQ$2, AsistenciaJetAdminConcatenada!$A:$A, 0)), ISNUMBER(MATCH(EQ$1, AsistenciaJetAdminConcatenada!$B:$B, 0)), ISNUMBER(SEARCH($A28,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ISNUMBER(SEARCH($A28, INDEX(AsistenciaJetAdminConcatenada!$D:$D, MATCH(1, (AsistenciaJetAdminConcatenada!$A:$A=EQ$2)*(AsistenciaJetAdminConcatenada!$B:$B=EQ$1), 0)), 1))),  0.5, 0))</f>
        <v>0</v>
      </c>
      <c r="ER28" s="47">
        <f t="array" ref="ER28">IF(AND(ISNUMBER(MATCH(ER$2, AsistenciaJetAdminConcatenada!$A:$A, 0)), ISNUMBER(MATCH(ER$1, AsistenciaJetAdminConcatenada!$B:$B, 0)), ISNUMBER(SEARCH($A28,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ISNUMBER(SEARCH($A28, INDEX(AsistenciaJetAdminConcatenada!$D:$D, MATCH(1, (AsistenciaJetAdminConcatenada!$A:$A=ER$2)*(AsistenciaJetAdminConcatenada!$B:$B=ER$1), 0)), 1))),  0.5, 0))</f>
        <v>0</v>
      </c>
      <c r="ES28" s="47">
        <f t="array" ref="ES28">IF(AND(ISNUMBER(MATCH(ES$2, AsistenciaJetAdminConcatenada!$A:$A, 0)), ISNUMBER(MATCH(ES$1, AsistenciaJetAdminConcatenada!$B:$B, 0)), ISNUMBER(SEARCH($A28,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ISNUMBER(SEARCH($A28, INDEX(AsistenciaJetAdminConcatenada!$D:$D, MATCH(1, (AsistenciaJetAdminConcatenada!$A:$A=ES$2)*(AsistenciaJetAdminConcatenada!$B:$B=ES$1), 0)), 1))),  0.5, 0))</f>
        <v>0</v>
      </c>
      <c r="ET28" s="47">
        <f t="array" ref="ET28">IF(AND(ISNUMBER(MATCH(ET$2, AsistenciaJetAdminConcatenada!$A:$A, 0)), ISNUMBER(MATCH(ET$1, AsistenciaJetAdminConcatenada!$B:$B, 0)), ISNUMBER(SEARCH($A28,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ISNUMBER(SEARCH($A28, INDEX(AsistenciaJetAdminConcatenada!$D:$D, MATCH(1, (AsistenciaJetAdminConcatenada!$A:$A=ET$2)*(AsistenciaJetAdminConcatenada!$B:$B=ET$1), 0)), 1))),  0.5, 0))</f>
        <v>0</v>
      </c>
      <c r="EU28" s="47">
        <f t="array" ref="EU28">IF(AND(ISNUMBER(MATCH(EU$2, AsistenciaJetAdminConcatenada!$A:$A, 0)), ISNUMBER(MATCH(EU$1, AsistenciaJetAdminConcatenada!$B:$B, 0)), ISNUMBER(SEARCH($A28,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ISNUMBER(SEARCH($A28, INDEX(AsistenciaJetAdminConcatenada!$D:$D, MATCH(1, (AsistenciaJetAdminConcatenada!$A:$A=EU$2)*(AsistenciaJetAdminConcatenada!$B:$B=EU$1), 0)), 1))),  0.5, 0))</f>
        <v>0</v>
      </c>
      <c r="EV28" s="47">
        <f t="array" ref="EV28">IF(AND(ISNUMBER(MATCH(EV$2, AsistenciaJetAdminConcatenada!$A:$A, 0)), ISNUMBER(MATCH(EV$1, AsistenciaJetAdminConcatenada!$B:$B, 0)), ISNUMBER(SEARCH($A28,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ISNUMBER(SEARCH($A28, INDEX(AsistenciaJetAdminConcatenada!$D:$D, MATCH(1, (AsistenciaJetAdminConcatenada!$A:$A=EV$2)*(AsistenciaJetAdminConcatenada!$B:$B=EV$1), 0)), 1))),  0.5, 0))</f>
        <v>0</v>
      </c>
      <c r="EW28" s="47">
        <f t="array" ref="EW28">IF(AND(ISNUMBER(MATCH(EW$2, AsistenciaJetAdminConcatenada!$A:$A, 0)), ISNUMBER(MATCH(EW$1, AsistenciaJetAdminConcatenada!$B:$B, 0)), ISNUMBER(SEARCH($A28,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ISNUMBER(SEARCH($A28, INDEX(AsistenciaJetAdminConcatenada!$D:$D, MATCH(1, (AsistenciaJetAdminConcatenada!$A:$A=EW$2)*(AsistenciaJetAdminConcatenada!$B:$B=EW$1), 0)), 1))),  0.5, 0))</f>
        <v>0</v>
      </c>
      <c r="EX28" s="47">
        <f t="array" ref="EX28">IF(AND(ISNUMBER(MATCH(EX$2, AsistenciaJetAdminConcatenada!$A:$A, 0)), ISNUMBER(MATCH(EX$1, AsistenciaJetAdminConcatenada!$B:$B, 0)), ISNUMBER(SEARCH($A28,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ISNUMBER(SEARCH($A28, INDEX(AsistenciaJetAdminConcatenada!$D:$D, MATCH(1, (AsistenciaJetAdminConcatenada!$A:$A=EX$2)*(AsistenciaJetAdminConcatenada!$B:$B=EX$1), 0)), 1))),  0.5, 0))</f>
        <v>0</v>
      </c>
      <c r="EY28" s="47">
        <f t="array" ref="EY28">IF(AND(ISNUMBER(MATCH(EY$2, AsistenciaJetAdminConcatenada!$A:$A, 0)), ISNUMBER(MATCH(EY$1, AsistenciaJetAdminConcatenada!$B:$B, 0)), ISNUMBER(SEARCH($A28,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ISNUMBER(SEARCH($A28, INDEX(AsistenciaJetAdminConcatenada!$D:$D, MATCH(1, (AsistenciaJetAdminConcatenada!$A:$A=EY$2)*(AsistenciaJetAdminConcatenada!$B:$B=EY$1), 0)), 1))),  0.5, 0))</f>
        <v>0</v>
      </c>
      <c r="EZ28" s="47">
        <f t="array" ref="EZ28">IF(AND(ISNUMBER(MATCH(EZ$2, AsistenciaJetAdminConcatenada!$A:$A, 0)), ISNUMBER(MATCH(EZ$1, AsistenciaJetAdminConcatenada!$B:$B, 0)), ISNUMBER(SEARCH($A28,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ISNUMBER(SEARCH($A28, INDEX(AsistenciaJetAdminConcatenada!$D:$D, MATCH(1, (AsistenciaJetAdminConcatenada!$A:$A=EZ$2)*(AsistenciaJetAdminConcatenada!$B:$B=EZ$1), 0)), 1))),  0.5, 0))</f>
        <v>0</v>
      </c>
      <c r="FA28" s="47">
        <f t="array" ref="FA28">IF(AND(ISNUMBER(MATCH(FA$2, AsistenciaJetAdminConcatenada!$A:$A, 0)), ISNUMBER(MATCH(FA$1, AsistenciaJetAdminConcatenada!$B:$B, 0)), ISNUMBER(SEARCH($A28,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ISNUMBER(SEARCH($A28, INDEX(AsistenciaJetAdminConcatenada!$D:$D, MATCH(1, (AsistenciaJetAdminConcatenada!$A:$A=FA$2)*(AsistenciaJetAdminConcatenada!$B:$B=FA$1), 0)), 1))),  0.5, 0))</f>
        <v>0</v>
      </c>
      <c r="FB28" s="47">
        <f t="array" ref="FB28">IF(AND(ISNUMBER(MATCH(FB$2, AsistenciaJetAdminConcatenada!$A:$A, 0)), ISNUMBER(MATCH(FB$1, AsistenciaJetAdminConcatenada!$B:$B, 0)), ISNUMBER(SEARCH($A28,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ISNUMBER(SEARCH($A28, INDEX(AsistenciaJetAdminConcatenada!$D:$D, MATCH(1, (AsistenciaJetAdminConcatenada!$A:$A=FB$2)*(AsistenciaJetAdminConcatenada!$B:$B=FB$1), 0)), 1))),  0.5, 0))</f>
        <v>0</v>
      </c>
      <c r="FC28" s="47">
        <f t="array" ref="FC28">IF(AND(ISNUMBER(MATCH(FC$2, AsistenciaJetAdminConcatenada!$A:$A, 0)), ISNUMBER(MATCH(FC$1, AsistenciaJetAdminConcatenada!$B:$B, 0)), ISNUMBER(SEARCH($A28,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ISNUMBER(SEARCH($A28, INDEX(AsistenciaJetAdminConcatenada!$D:$D, MATCH(1, (AsistenciaJetAdminConcatenada!$A:$A=FC$2)*(AsistenciaJetAdminConcatenada!$B:$B=FC$1), 0)), 1))),  0.5, 0))</f>
        <v>0</v>
      </c>
      <c r="FD28" s="47">
        <f t="array" ref="FD28">IF(AND(ISNUMBER(MATCH(FD$2, AsistenciaJetAdminConcatenada!$A:$A, 0)), ISNUMBER(MATCH(FD$1, AsistenciaJetAdminConcatenada!$B:$B, 0)), ISNUMBER(SEARCH($A28,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ISNUMBER(SEARCH($A28, INDEX(AsistenciaJetAdminConcatenada!$D:$D, MATCH(1, (AsistenciaJetAdminConcatenada!$A:$A=FD$2)*(AsistenciaJetAdminConcatenada!$B:$B=FD$1), 0)), 1))),  0.5, 0))</f>
        <v>0</v>
      </c>
      <c r="FE28" s="47">
        <f t="array" ref="FE28">IF(AND(ISNUMBER(MATCH(FE$2, AsistenciaJetAdminConcatenada!$A:$A, 0)), ISNUMBER(MATCH(FE$1, AsistenciaJetAdminConcatenada!$B:$B, 0)), ISNUMBER(SEARCH($A28,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ISNUMBER(SEARCH($A28, INDEX(AsistenciaJetAdminConcatenada!$D:$D, MATCH(1, (AsistenciaJetAdminConcatenada!$A:$A=FE$2)*(AsistenciaJetAdminConcatenada!$B:$B=FE$1), 0)), 1))),  0.5, 0))</f>
        <v>0</v>
      </c>
      <c r="FF28" s="47">
        <f t="array" ref="FF28">IF(AND(ISNUMBER(MATCH(FF$2, AsistenciaJetAdminConcatenada!$A:$A, 0)), ISNUMBER(MATCH(FF$1, AsistenciaJetAdminConcatenada!$B:$B, 0)), ISNUMBER(SEARCH($A28,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ISNUMBER(SEARCH($A28, INDEX(AsistenciaJetAdminConcatenada!$D:$D, MATCH(1, (AsistenciaJetAdminConcatenada!$A:$A=FF$2)*(AsistenciaJetAdminConcatenada!$B:$B=FF$1), 0)), 1))),  0.5, 0))</f>
        <v>0</v>
      </c>
      <c r="FG28" s="47">
        <f t="array" ref="FG28">IF(AND(ISNUMBER(MATCH(FG$2, AsistenciaJetAdminConcatenada!$A:$A, 0)), ISNUMBER(MATCH(FG$1, AsistenciaJetAdminConcatenada!$B:$B, 0)), ISNUMBER(SEARCH($A28,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ISNUMBER(SEARCH($A28, INDEX(AsistenciaJetAdminConcatenada!$D:$D, MATCH(1, (AsistenciaJetAdminConcatenada!$A:$A=FG$2)*(AsistenciaJetAdminConcatenada!$B:$B=FG$1), 0)), 1))),  0.5, 0))</f>
        <v>0</v>
      </c>
      <c r="FH28" s="47">
        <f t="array" ref="FH28">IF(AND(ISNUMBER(MATCH(FH$2, AsistenciaJetAdminConcatenada!$A:$A, 0)), ISNUMBER(MATCH(FH$1, AsistenciaJetAdminConcatenada!$B:$B, 0)), ISNUMBER(SEARCH($A28,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ISNUMBER(SEARCH($A28, INDEX(AsistenciaJetAdminConcatenada!$D:$D, MATCH(1, (AsistenciaJetAdminConcatenada!$A:$A=FH$2)*(AsistenciaJetAdminConcatenada!$B:$B=FH$1), 0)), 1))),  0.5, 0))</f>
        <v>0</v>
      </c>
      <c r="FI28" s="47">
        <f t="array" ref="FI28">IF(AND(ISNUMBER(MATCH(FI$2, AsistenciaJetAdminConcatenada!$A:$A, 0)), ISNUMBER(MATCH(FI$1, AsistenciaJetAdminConcatenada!$B:$B, 0)), ISNUMBER(SEARCH($A28,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ISNUMBER(SEARCH($A28, INDEX(AsistenciaJetAdminConcatenada!$D:$D, MATCH(1, (AsistenciaJetAdminConcatenada!$A:$A=FI$2)*(AsistenciaJetAdminConcatenada!$B:$B=FI$1), 0)), 1))),  0.5, 0))</f>
        <v>0</v>
      </c>
      <c r="FJ28" s="47">
        <f t="array" ref="FJ28">IF(AND(ISNUMBER(MATCH(FJ$2, AsistenciaJetAdminConcatenada!$A:$A, 0)), ISNUMBER(MATCH(FJ$1, AsistenciaJetAdminConcatenada!$B:$B, 0)), ISNUMBER(SEARCH($A28,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ISNUMBER(SEARCH($A28, INDEX(AsistenciaJetAdminConcatenada!$D:$D, MATCH(1, (AsistenciaJetAdminConcatenada!$A:$A=FJ$2)*(AsistenciaJetAdminConcatenada!$B:$B=FJ$1), 0)), 1))),  0.5, 0))</f>
        <v>0</v>
      </c>
      <c r="FK28" s="47">
        <f t="array" ref="FK28">IF(AND(ISNUMBER(MATCH(FK$2, AsistenciaJetAdminConcatenada!$A:$A, 0)), ISNUMBER(MATCH(FK$1, AsistenciaJetAdminConcatenada!$B:$B, 0)), ISNUMBER(SEARCH($A28,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ISNUMBER(SEARCH($A28, INDEX(AsistenciaJetAdminConcatenada!$D:$D, MATCH(1, (AsistenciaJetAdminConcatenada!$A:$A=FK$2)*(AsistenciaJetAdminConcatenada!$B:$B=FK$1), 0)), 1))),  0.5, 0))</f>
        <v>0</v>
      </c>
      <c r="FL28" s="47">
        <f t="array" ref="FL28">IF(AND(ISNUMBER(MATCH(FL$2, AsistenciaJetAdminConcatenada!$A:$A, 0)), ISNUMBER(MATCH(FL$1, AsistenciaJetAdminConcatenada!$B:$B, 0)), ISNUMBER(SEARCH($A28,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ISNUMBER(SEARCH($A28, INDEX(AsistenciaJetAdminConcatenada!$D:$D, MATCH(1, (AsistenciaJetAdminConcatenada!$A:$A=FL$2)*(AsistenciaJetAdminConcatenada!$B:$B=FL$1), 0)), 1))),  0.5, 0))</f>
        <v>0</v>
      </c>
      <c r="FM28" s="47">
        <f t="array" ref="FM28">IF(AND(ISNUMBER(MATCH(FM$2, AsistenciaJetAdminConcatenada!$A:$A, 0)), ISNUMBER(MATCH(FM$1, AsistenciaJetAdminConcatenada!$B:$B, 0)), ISNUMBER(SEARCH($A28,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ISNUMBER(SEARCH($A28, INDEX(AsistenciaJetAdminConcatenada!$D:$D, MATCH(1, (AsistenciaJetAdminConcatenada!$A:$A=FM$2)*(AsistenciaJetAdminConcatenada!$B:$B=FM$1), 0)), 1))),  0.5, 0))</f>
        <v>0</v>
      </c>
      <c r="FN28" s="47">
        <f t="array" ref="FN28">IF(AND(ISNUMBER(MATCH(FN$2, AsistenciaJetAdminConcatenada!$A:$A, 0)), ISNUMBER(MATCH(FN$1, AsistenciaJetAdminConcatenada!$B:$B, 0)), ISNUMBER(SEARCH($A28,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ISNUMBER(SEARCH($A28, INDEX(AsistenciaJetAdminConcatenada!$D:$D, MATCH(1, (AsistenciaJetAdminConcatenada!$A:$A=FN$2)*(AsistenciaJetAdminConcatenada!$B:$B=FN$1), 0)), 1))),  0.5, 0))</f>
        <v>0</v>
      </c>
      <c r="FO28" s="47">
        <f t="array" ref="FO28">IF(AND(ISNUMBER(MATCH(FO$2, AsistenciaJetAdminConcatenada!$A:$A, 0)), ISNUMBER(MATCH(FO$1, AsistenciaJetAdminConcatenada!$B:$B, 0)), ISNUMBER(SEARCH($A28,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ISNUMBER(SEARCH($A28, INDEX(AsistenciaJetAdminConcatenada!$D:$D, MATCH(1, (AsistenciaJetAdminConcatenada!$A:$A=FO$2)*(AsistenciaJetAdminConcatenada!$B:$B=FO$1), 0)), 1))),  0.5, 0))</f>
        <v>0</v>
      </c>
      <c r="FP28" s="47">
        <f t="array" ref="FP28">IF(AND(ISNUMBER(MATCH(FP$2, AsistenciaJetAdminConcatenada!$A:$A, 0)), ISNUMBER(MATCH(FP$1, AsistenciaJetAdminConcatenada!$B:$B, 0)), ISNUMBER(SEARCH($A28,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ISNUMBER(SEARCH($A28, INDEX(AsistenciaJetAdminConcatenada!$D:$D, MATCH(1, (AsistenciaJetAdminConcatenada!$A:$A=FP$2)*(AsistenciaJetAdminConcatenada!$B:$B=FP$1), 0)), 1))),  0.5, 0))</f>
        <v>0</v>
      </c>
      <c r="FQ28" s="47">
        <f t="array" ref="FQ28">IF(AND(ISNUMBER(MATCH(FQ$2, AsistenciaJetAdminConcatenada!$A:$A, 0)), ISNUMBER(MATCH(FQ$1, AsistenciaJetAdminConcatenada!$B:$B, 0)), ISNUMBER(SEARCH($A28,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ISNUMBER(SEARCH($A28, INDEX(AsistenciaJetAdminConcatenada!$D:$D, MATCH(1, (AsistenciaJetAdminConcatenada!$A:$A=FQ$2)*(AsistenciaJetAdminConcatenada!$B:$B=FQ$1), 0)), 1))),  0.5, 0))</f>
        <v>0</v>
      </c>
      <c r="FR28" s="47">
        <f t="array" ref="FR28">IF(AND(ISNUMBER(MATCH(FR$2, AsistenciaJetAdminConcatenada!$A:$A, 0)), ISNUMBER(MATCH(FR$1, AsistenciaJetAdminConcatenada!$B:$B, 0)), ISNUMBER(SEARCH($A28,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ISNUMBER(SEARCH($A28, INDEX(AsistenciaJetAdminConcatenada!$D:$D, MATCH(1, (AsistenciaJetAdminConcatenada!$A:$A=FR$2)*(AsistenciaJetAdminConcatenada!$B:$B=FR$1), 0)), 1))),  0.5, 0))</f>
        <v>0</v>
      </c>
      <c r="FS28" s="47">
        <f t="array" ref="FS28">IF(AND(ISNUMBER(MATCH(FS$2, AsistenciaJetAdminConcatenada!$A:$A, 0)), ISNUMBER(MATCH(FS$1, AsistenciaJetAdminConcatenada!$B:$B, 0)), ISNUMBER(SEARCH($A28,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ISNUMBER(SEARCH($A28, INDEX(AsistenciaJetAdminConcatenada!$D:$D, MATCH(1, (AsistenciaJetAdminConcatenada!$A:$A=FS$2)*(AsistenciaJetAdminConcatenada!$B:$B=FS$1), 0)), 1))),  0.5, 0))</f>
        <v>0</v>
      </c>
      <c r="FT28" s="47">
        <f t="array" ref="FT28">IF(AND(ISNUMBER(MATCH(FT$2, AsistenciaJetAdminConcatenada!$A:$A, 0)), ISNUMBER(MATCH(FT$1, AsistenciaJetAdminConcatenada!$B:$B, 0)), ISNUMBER(SEARCH($A28,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ISNUMBER(SEARCH($A28, INDEX(AsistenciaJetAdminConcatenada!$D:$D, MATCH(1, (AsistenciaJetAdminConcatenada!$A:$A=FT$2)*(AsistenciaJetAdminConcatenada!$B:$B=FT$1), 0)), 1))),  0.5, 0))</f>
        <v>0</v>
      </c>
      <c r="FU28" s="47">
        <f t="array" ref="FU28">IF(AND(ISNUMBER(MATCH(FU$2, AsistenciaJetAdminConcatenada!$A:$A, 0)), ISNUMBER(MATCH(FU$1, AsistenciaJetAdminConcatenada!$B:$B, 0)), ISNUMBER(SEARCH($A28,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ISNUMBER(SEARCH($A28, INDEX(AsistenciaJetAdminConcatenada!$D:$D, MATCH(1, (AsistenciaJetAdminConcatenada!$A:$A=FU$2)*(AsistenciaJetAdminConcatenada!$B:$B=FU$1), 0)), 1))),  0.5, 0))</f>
        <v>0</v>
      </c>
      <c r="FV28" s="47">
        <f t="array" ref="FV28">IF(AND(ISNUMBER(MATCH(FV$2, AsistenciaJetAdminConcatenada!$A:$A, 0)), ISNUMBER(MATCH(FV$1, AsistenciaJetAdminConcatenada!$B:$B, 0)), ISNUMBER(SEARCH($A28,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ISNUMBER(SEARCH($A28, INDEX(AsistenciaJetAdminConcatenada!$D:$D, MATCH(1, (AsistenciaJetAdminConcatenada!$A:$A=FV$2)*(AsistenciaJetAdminConcatenada!$B:$B=FV$1), 0)), 1))),  0.5, 0))</f>
        <v>0</v>
      </c>
      <c r="FW28" s="47">
        <f t="array" ref="FW28">IF(AND(ISNUMBER(MATCH(FW$2, AsistenciaJetAdminConcatenada!$A:$A, 0)), ISNUMBER(MATCH(FW$1, AsistenciaJetAdminConcatenada!$B:$B, 0)), ISNUMBER(SEARCH($A28,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ISNUMBER(SEARCH($A28, INDEX(AsistenciaJetAdminConcatenada!$D:$D, MATCH(1, (AsistenciaJetAdminConcatenada!$A:$A=FW$2)*(AsistenciaJetAdminConcatenada!$B:$B=FW$1), 0)), 1))),  0.5, 0))</f>
        <v>0</v>
      </c>
      <c r="FX28" s="47">
        <f t="array" ref="FX28">IF(AND(ISNUMBER(MATCH(FX$2, AsistenciaJetAdminConcatenada!$A:$A, 0)), ISNUMBER(MATCH(FX$1, AsistenciaJetAdminConcatenada!$B:$B, 0)), ISNUMBER(SEARCH($A28,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ISNUMBER(SEARCH($A28, INDEX(AsistenciaJetAdminConcatenada!$D:$D, MATCH(1, (AsistenciaJetAdminConcatenada!$A:$A=FX$2)*(AsistenciaJetAdminConcatenada!$B:$B=FX$1), 0)), 1))),  0.5, 0))</f>
        <v>0</v>
      </c>
      <c r="FY28" s="47">
        <f t="array" ref="FY28">IF(AND(ISNUMBER(MATCH(FY$2, AsistenciaJetAdminConcatenada!$A:$A, 0)), ISNUMBER(MATCH(FY$1, AsistenciaJetAdminConcatenada!$B:$B, 0)), ISNUMBER(SEARCH($A28,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ISNUMBER(SEARCH($A28, INDEX(AsistenciaJetAdminConcatenada!$D:$D, MATCH(1, (AsistenciaJetAdminConcatenada!$A:$A=FY$2)*(AsistenciaJetAdminConcatenada!$B:$B=FY$1), 0)), 1))),  0.5, 0))</f>
        <v>0</v>
      </c>
      <c r="FZ28" s="47">
        <f t="array" ref="FZ28">IF(AND(ISNUMBER(MATCH(FZ$2, AsistenciaJetAdminConcatenada!$A:$A, 0)), ISNUMBER(MATCH(FZ$1, AsistenciaJetAdminConcatenada!$B:$B, 0)), ISNUMBER(SEARCH($A28,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ISNUMBER(SEARCH($A28, INDEX(AsistenciaJetAdminConcatenada!$D:$D, MATCH(1, (AsistenciaJetAdminConcatenada!$A:$A=FZ$2)*(AsistenciaJetAdminConcatenada!$B:$B=FZ$1), 0)), 1))),  0.5, 0))</f>
        <v>0</v>
      </c>
      <c r="GA28" s="47">
        <f t="array" ref="GA28">IF(AND(ISNUMBER(MATCH(GA$2, AsistenciaJetAdminConcatenada!$A:$A, 0)), ISNUMBER(MATCH(GA$1, AsistenciaJetAdminConcatenada!$B:$B, 0)), ISNUMBER(SEARCH($A28,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ISNUMBER(SEARCH($A28, INDEX(AsistenciaJetAdminConcatenada!$D:$D, MATCH(1, (AsistenciaJetAdminConcatenada!$A:$A=GA$2)*(AsistenciaJetAdminConcatenada!$B:$B=GA$1), 0)), 1))),  0.5, 0))</f>
        <v>0</v>
      </c>
      <c r="GB28" s="47">
        <f t="array" ref="GB28">IF(AND(ISNUMBER(MATCH(GB$2, AsistenciaJetAdminConcatenada!$A:$A, 0)), ISNUMBER(MATCH(GB$1, AsistenciaJetAdminConcatenada!$B:$B, 0)), ISNUMBER(SEARCH($A28,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ISNUMBER(SEARCH($A28, INDEX(AsistenciaJetAdminConcatenada!$D:$D, MATCH(1, (AsistenciaJetAdminConcatenada!$A:$A=GB$2)*(AsistenciaJetAdminConcatenada!$B:$B=GB$1), 0)), 1))),  0.5, 0))</f>
        <v>0</v>
      </c>
      <c r="GC28" s="47">
        <f t="array" ref="GC28">IF(AND(ISNUMBER(MATCH(GC$2, AsistenciaJetAdminConcatenada!$A:$A, 0)), ISNUMBER(MATCH(GC$1, AsistenciaJetAdminConcatenada!$B:$B, 0)), ISNUMBER(SEARCH($A28,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ISNUMBER(SEARCH($A28, INDEX(AsistenciaJetAdminConcatenada!$D:$D, MATCH(1, (AsistenciaJetAdminConcatenada!$A:$A=GC$2)*(AsistenciaJetAdminConcatenada!$B:$B=GC$1), 0)), 1))),  0.5, 0))</f>
        <v>0</v>
      </c>
      <c r="GD28" s="47">
        <f t="array" ref="GD28">IF(AND(ISNUMBER(MATCH(GD$2, AsistenciaJetAdminConcatenada!$A:$A, 0)), ISNUMBER(MATCH(GD$1, AsistenciaJetAdminConcatenada!$B:$B, 0)), ISNUMBER(SEARCH($A28,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ISNUMBER(SEARCH($A28, INDEX(AsistenciaJetAdminConcatenada!$D:$D, MATCH(1, (AsistenciaJetAdminConcatenada!$A:$A=GD$2)*(AsistenciaJetAdminConcatenada!$B:$B=GD$1), 0)), 1))),  0.5, 0))</f>
        <v>0</v>
      </c>
      <c r="GE28" s="47">
        <f t="array" ref="GE28">IF(AND(ISNUMBER(MATCH(GE$2, AsistenciaJetAdminConcatenada!$A:$A, 0)), ISNUMBER(MATCH(GE$1, AsistenciaJetAdminConcatenada!$B:$B, 0)), ISNUMBER(SEARCH($A28,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ISNUMBER(SEARCH($A28, INDEX(AsistenciaJetAdminConcatenada!$D:$D, MATCH(1, (AsistenciaJetAdminConcatenada!$A:$A=GE$2)*(AsistenciaJetAdminConcatenada!$B:$B=GE$1), 0)), 1))),  0.5, 0))</f>
        <v>0</v>
      </c>
      <c r="GF28" s="47">
        <f t="array" ref="GF28">IF(AND(ISNUMBER(MATCH(GF$2, AsistenciaJetAdminConcatenada!$A:$A, 0)), ISNUMBER(MATCH(GF$1, AsistenciaJetAdminConcatenada!$B:$B, 0)), ISNUMBER(SEARCH($A28,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ISNUMBER(SEARCH($A28, INDEX(AsistenciaJetAdminConcatenada!$D:$D, MATCH(1, (AsistenciaJetAdminConcatenada!$A:$A=GF$2)*(AsistenciaJetAdminConcatenada!$B:$B=GF$1), 0)), 1))),  0.5, 0))</f>
        <v>0</v>
      </c>
      <c r="GG28" s="47">
        <f t="array" ref="GG28">IF(AND(ISNUMBER(MATCH(GG$2, AsistenciaJetAdminConcatenada!$A:$A, 0)), ISNUMBER(MATCH(GG$1, AsistenciaJetAdminConcatenada!$B:$B, 0)), ISNUMBER(SEARCH($A28,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ISNUMBER(SEARCH($A28, INDEX(AsistenciaJetAdminConcatenada!$D:$D, MATCH(1, (AsistenciaJetAdminConcatenada!$A:$A=GG$2)*(AsistenciaJetAdminConcatenada!$B:$B=GG$1), 0)), 1))),  0.5, 0))</f>
        <v>0</v>
      </c>
      <c r="GH28" s="47">
        <f t="array" ref="GH28">IF(AND(ISNUMBER(MATCH(GH$2, AsistenciaJetAdminConcatenada!$A:$A, 0)), ISNUMBER(MATCH(GH$1, AsistenciaJetAdminConcatenada!$B:$B, 0)), ISNUMBER(SEARCH($A28,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ISNUMBER(SEARCH($A28, INDEX(AsistenciaJetAdminConcatenada!$D:$D, MATCH(1, (AsistenciaJetAdminConcatenada!$A:$A=GH$2)*(AsistenciaJetAdminConcatenada!$B:$B=GH$1), 0)), 1))),  0.5, 0))</f>
        <v>0</v>
      </c>
      <c r="GI28" s="47">
        <f t="array" ref="GI28">IF(AND(ISNUMBER(MATCH(GI$2, AsistenciaJetAdminConcatenada!$A:$A, 0)), ISNUMBER(MATCH(GI$1, AsistenciaJetAdminConcatenada!$B:$B, 0)), ISNUMBER(SEARCH($A28,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ISNUMBER(SEARCH($A28, INDEX(AsistenciaJetAdminConcatenada!$D:$D, MATCH(1, (AsistenciaJetAdminConcatenada!$A:$A=GI$2)*(AsistenciaJetAdminConcatenada!$B:$B=GI$1), 0)), 1))),  0.5, 0))</f>
        <v>0</v>
      </c>
      <c r="GJ28" s="47">
        <f t="array" ref="GJ28">IF(AND(ISNUMBER(MATCH(GJ$2, AsistenciaJetAdminConcatenada!$A:$A, 0)), ISNUMBER(MATCH(GJ$1, AsistenciaJetAdminConcatenada!$B:$B, 0)), ISNUMBER(SEARCH($A28,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ISNUMBER(SEARCH($A28, INDEX(AsistenciaJetAdminConcatenada!$D:$D, MATCH(1, (AsistenciaJetAdminConcatenada!$A:$A=GJ$2)*(AsistenciaJetAdminConcatenada!$B:$B=GJ$1), 0)), 1))),  0.5, 0))</f>
        <v>0</v>
      </c>
      <c r="GK28" s="47">
        <f t="array" ref="GK28">IF(AND(ISNUMBER(MATCH(GK$2, AsistenciaJetAdminConcatenada!$A:$A, 0)), ISNUMBER(MATCH(GK$1, AsistenciaJetAdminConcatenada!$B:$B, 0)), ISNUMBER(SEARCH($A28,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ISNUMBER(SEARCH($A28, INDEX(AsistenciaJetAdminConcatenada!$D:$D, MATCH(1, (AsistenciaJetAdminConcatenada!$A:$A=GK$2)*(AsistenciaJetAdminConcatenada!$B:$B=GK$1), 0)), 1))),  0.5, 0))</f>
        <v>0</v>
      </c>
      <c r="GL28" s="47">
        <f t="array" ref="GL28">IF(AND(ISNUMBER(MATCH(GL$2, AsistenciaJetAdminConcatenada!$A:$A, 0)), ISNUMBER(MATCH(GL$1, AsistenciaJetAdminConcatenada!$B:$B, 0)), ISNUMBER(SEARCH($A28,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ISNUMBER(SEARCH($A28, INDEX(AsistenciaJetAdminConcatenada!$D:$D, MATCH(1, (AsistenciaJetAdminConcatenada!$A:$A=GL$2)*(AsistenciaJetAdminConcatenada!$B:$B=GL$1), 0)), 1))),  0.5, 0))</f>
        <v>0</v>
      </c>
      <c r="GM28" s="47">
        <f t="array" ref="GM28">IF(AND(ISNUMBER(MATCH(GM$2, AsistenciaJetAdminConcatenada!$A:$A, 0)), ISNUMBER(MATCH(GM$1, AsistenciaJetAdminConcatenada!$B:$B, 0)), ISNUMBER(SEARCH($A28,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ISNUMBER(SEARCH($A28, INDEX(AsistenciaJetAdminConcatenada!$D:$D, MATCH(1, (AsistenciaJetAdminConcatenada!$A:$A=GM$2)*(AsistenciaJetAdminConcatenada!$B:$B=GM$1), 0)), 1))),  0.5, 0))</f>
        <v>0</v>
      </c>
      <c r="GN28" s="47">
        <f t="array" ref="GN28">IF(AND(ISNUMBER(MATCH(GN$2, AsistenciaJetAdminConcatenada!$A:$A, 0)), ISNUMBER(MATCH(GN$1, AsistenciaJetAdminConcatenada!$B:$B, 0)), ISNUMBER(SEARCH($A28,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ISNUMBER(SEARCH($A28, INDEX(AsistenciaJetAdminConcatenada!$D:$D, MATCH(1, (AsistenciaJetAdminConcatenada!$A:$A=GN$2)*(AsistenciaJetAdminConcatenada!$B:$B=GN$1), 0)), 1))),  0.5, 0))</f>
        <v>0</v>
      </c>
      <c r="GO28" s="47">
        <f t="array" ref="GO28">IF(AND(ISNUMBER(MATCH(GO$2, AsistenciaJetAdminConcatenada!$A:$A, 0)), ISNUMBER(MATCH(GO$1, AsistenciaJetAdminConcatenada!$B:$B, 0)), ISNUMBER(SEARCH($A28,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ISNUMBER(SEARCH($A28, INDEX(AsistenciaJetAdminConcatenada!$D:$D, MATCH(1, (AsistenciaJetAdminConcatenada!$A:$A=GO$2)*(AsistenciaJetAdminConcatenada!$B:$B=GO$1), 0)), 1))),  0.5, 0))</f>
        <v>0</v>
      </c>
      <c r="GP28" s="47">
        <f t="array" ref="GP28">IF(AND(ISNUMBER(MATCH(GP$2, AsistenciaJetAdminConcatenada!$A:$A, 0)), ISNUMBER(MATCH(GP$1, AsistenciaJetAdminConcatenada!$B:$B, 0)), ISNUMBER(SEARCH($A28,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ISNUMBER(SEARCH($A28, INDEX(AsistenciaJetAdminConcatenada!$D:$D, MATCH(1, (AsistenciaJetAdminConcatenada!$A:$A=GP$2)*(AsistenciaJetAdminConcatenada!$B:$B=GP$1), 0)), 1))),  0.5, 0))</f>
        <v>0</v>
      </c>
      <c r="GQ28" s="47">
        <f t="array" ref="GQ28">IF(AND(ISNUMBER(MATCH(GQ$2, AsistenciaJetAdminConcatenada!$A:$A, 0)), ISNUMBER(MATCH(GQ$1, AsistenciaJetAdminConcatenada!$B:$B, 0)), ISNUMBER(SEARCH($A28,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ISNUMBER(SEARCH($A28, INDEX(AsistenciaJetAdminConcatenada!$D:$D, MATCH(1, (AsistenciaJetAdminConcatenada!$A:$A=GQ$2)*(AsistenciaJetAdminConcatenada!$B:$B=GQ$1), 0)), 1))),  0.5, 0))</f>
        <v>0</v>
      </c>
      <c r="GR28" s="47">
        <f t="array" ref="GR28">IF(AND(ISNUMBER(MATCH(GR$2, AsistenciaJetAdminConcatenada!$A:$A, 0)), ISNUMBER(MATCH(GR$1, AsistenciaJetAdminConcatenada!$B:$B, 0)), ISNUMBER(SEARCH($A28,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ISNUMBER(SEARCH($A28, INDEX(AsistenciaJetAdminConcatenada!$D:$D, MATCH(1, (AsistenciaJetAdminConcatenada!$A:$A=GR$2)*(AsistenciaJetAdminConcatenada!$B:$B=GR$1), 0)), 1))),  0.5, 0))</f>
        <v>0</v>
      </c>
      <c r="GS28" s="47">
        <f t="array" ref="GS28">IF(AND(ISNUMBER(MATCH(GS$2, AsistenciaJetAdminConcatenada!$A:$A, 0)), ISNUMBER(MATCH(GS$1, AsistenciaJetAdminConcatenada!$B:$B, 0)), ISNUMBER(SEARCH($A28,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ISNUMBER(SEARCH($A28, INDEX(AsistenciaJetAdminConcatenada!$D:$D, MATCH(1, (AsistenciaJetAdminConcatenada!$A:$A=GS$2)*(AsistenciaJetAdminConcatenada!$B:$B=GS$1), 0)), 1))),  0.5, 0))</f>
        <v>0</v>
      </c>
      <c r="GT28" s="47">
        <f t="array" ref="GT28">IF(AND(ISNUMBER(MATCH(GT$2, AsistenciaJetAdminConcatenada!$A:$A, 0)), ISNUMBER(MATCH(GT$1, AsistenciaJetAdminConcatenada!$B:$B, 0)), ISNUMBER(SEARCH($A28,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ISNUMBER(SEARCH($A28, INDEX(AsistenciaJetAdminConcatenada!$D:$D, MATCH(1, (AsistenciaJetAdminConcatenada!$A:$A=GT$2)*(AsistenciaJetAdminConcatenada!$B:$B=GT$1), 0)), 1))),  0.5, 0))</f>
        <v>0</v>
      </c>
      <c r="GU28" s="47">
        <f t="array" ref="GU28">IF(AND(ISNUMBER(MATCH(GU$2, AsistenciaJetAdminConcatenada!$A:$A, 0)), ISNUMBER(MATCH(GU$1, AsistenciaJetAdminConcatenada!$B:$B, 0)), ISNUMBER(SEARCH($A28,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ISNUMBER(SEARCH($A28, INDEX(AsistenciaJetAdminConcatenada!$D:$D, MATCH(1, (AsistenciaJetAdminConcatenada!$A:$A=GU$2)*(AsistenciaJetAdminConcatenada!$B:$B=GU$1), 0)), 1))),  0.5, 0))</f>
        <v>0</v>
      </c>
      <c r="GV28" s="47">
        <f t="array" ref="GV28">IF(AND(ISNUMBER(MATCH(GV$2, AsistenciaJetAdminConcatenada!$A:$A, 0)), ISNUMBER(MATCH(GV$1, AsistenciaJetAdminConcatenada!$B:$B, 0)), ISNUMBER(SEARCH($A28,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ISNUMBER(SEARCH($A28, INDEX(AsistenciaJetAdminConcatenada!$D:$D, MATCH(1, (AsistenciaJetAdminConcatenada!$A:$A=GV$2)*(AsistenciaJetAdminConcatenada!$B:$B=GV$1), 0)), 1))),  0.5, 0))</f>
        <v>0</v>
      </c>
      <c r="GW28" s="47">
        <f t="array" ref="GW28">IF(AND(ISNUMBER(MATCH(GW$2, AsistenciaJetAdminConcatenada!$A:$A, 0)), ISNUMBER(MATCH(GW$1, AsistenciaJetAdminConcatenada!$B:$B, 0)), ISNUMBER(SEARCH($A28,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ISNUMBER(SEARCH($A28, INDEX(AsistenciaJetAdminConcatenada!$D:$D, MATCH(1, (AsistenciaJetAdminConcatenada!$A:$A=GW$2)*(AsistenciaJetAdminConcatenada!$B:$B=GW$1), 0)), 1))),  0.5, 0))</f>
        <v>0</v>
      </c>
      <c r="GX28" s="47">
        <f t="array" ref="GX28">IF(AND(ISNUMBER(MATCH(GX$2, AsistenciaJetAdminConcatenada!$A:$A, 0)), ISNUMBER(MATCH(GX$1, AsistenciaJetAdminConcatenada!$B:$B, 0)), ISNUMBER(SEARCH($A28,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ISNUMBER(SEARCH($A28, INDEX(AsistenciaJetAdminConcatenada!$D:$D, MATCH(1, (AsistenciaJetAdminConcatenada!$A:$A=GX$2)*(AsistenciaJetAdminConcatenada!$B:$B=GX$1), 0)), 1))),  0.5, 0))</f>
        <v>0</v>
      </c>
      <c r="GY28" s="47">
        <f t="array" ref="GY28">IF(AND(ISNUMBER(MATCH(GY$2, AsistenciaJetAdminConcatenada!$A:$A, 0)), ISNUMBER(MATCH(GY$1, AsistenciaJetAdminConcatenada!$B:$B, 0)), ISNUMBER(SEARCH($A28,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ISNUMBER(SEARCH($A28, INDEX(AsistenciaJetAdminConcatenada!$D:$D, MATCH(1, (AsistenciaJetAdminConcatenada!$A:$A=GY$2)*(AsistenciaJetAdminConcatenada!$B:$B=GY$1), 0)), 1))),  0.5, 0))</f>
        <v>0</v>
      </c>
      <c r="GZ28" s="47">
        <f t="array" ref="GZ28">IF(AND(ISNUMBER(MATCH(GZ$2, AsistenciaJetAdminConcatenada!$A:$A, 0)), ISNUMBER(MATCH(GZ$1, AsistenciaJetAdminConcatenada!$B:$B, 0)), ISNUMBER(SEARCH($A28,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ISNUMBER(SEARCH($A28, INDEX(AsistenciaJetAdminConcatenada!$D:$D, MATCH(1, (AsistenciaJetAdminConcatenada!$A:$A=GZ$2)*(AsistenciaJetAdminConcatenada!$B:$B=GZ$1), 0)), 1))),  0.5, 0))</f>
        <v>0</v>
      </c>
      <c r="HA28" s="47">
        <f t="array" ref="HA28">IF(AND(ISNUMBER(MATCH(HA$2, AsistenciaJetAdminConcatenada!$A:$A, 0)), ISNUMBER(MATCH(HA$1, AsistenciaJetAdminConcatenada!$B:$B, 0)), ISNUMBER(SEARCH($A28,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ISNUMBER(SEARCH($A28, INDEX(AsistenciaJetAdminConcatenada!$D:$D, MATCH(1, (AsistenciaJetAdminConcatenada!$A:$A=HA$2)*(AsistenciaJetAdminConcatenada!$B:$B=HA$1), 0)), 1))),  0.5, 0))</f>
        <v>0</v>
      </c>
      <c r="HB28" s="47">
        <f t="array" ref="HB28">IF(AND(ISNUMBER(MATCH(HB$2, AsistenciaJetAdminConcatenada!$A:$A, 0)), ISNUMBER(MATCH(HB$1, AsistenciaJetAdminConcatenada!$B:$B, 0)), ISNUMBER(SEARCH($A28,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ISNUMBER(SEARCH($A28, INDEX(AsistenciaJetAdminConcatenada!$D:$D, MATCH(1, (AsistenciaJetAdminConcatenada!$A:$A=HB$2)*(AsistenciaJetAdminConcatenada!$B:$B=HB$1), 0)), 1))),  0.5, 0))</f>
        <v>0</v>
      </c>
      <c r="HC28" s="47">
        <f t="array" ref="HC28">IF(AND(ISNUMBER(MATCH(HC$2, AsistenciaJetAdminConcatenada!$A:$A, 0)), ISNUMBER(MATCH(HC$1, AsistenciaJetAdminConcatenada!$B:$B, 0)), ISNUMBER(SEARCH($A28,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ISNUMBER(SEARCH($A28, INDEX(AsistenciaJetAdminConcatenada!$D:$D, MATCH(1, (AsistenciaJetAdminConcatenada!$A:$A=HC$2)*(AsistenciaJetAdminConcatenada!$B:$B=HC$1), 0)), 1))),  0.5, 0))</f>
        <v>0</v>
      </c>
    </row>
    <row r="29" ht="29.25" customHeight="1">
      <c r="A29" s="3">
        <v>212.0</v>
      </c>
      <c r="B29" s="4" t="s">
        <v>194</v>
      </c>
      <c r="C29" s="47">
        <f>SUM(D29:HC29) + ActividadesEspeciales!C29</f>
        <v>65</v>
      </c>
      <c r="D29" s="47">
        <f t="array" ref="D29">IF(AND(ISNUMBER(MATCH(D$2, AsistenciaJetAdminConcatenada!$A:$A, 0)), ISNUMBER(MATCH(D$1, AsistenciaJetAdminConcatenada!$B:$B, 0)), ISNUMBER(SEARCH($A29,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ISNUMBER(SEARCH($A29, INDEX(AsistenciaJetAdminConcatenada!$D:$D, MATCH(1, (AsistenciaJetAdminConcatenada!$A:$A=D$2)*(AsistenciaJetAdminConcatenada!$B:$B=D$1), 0)), 1))),  0.5, 0))</f>
        <v>1</v>
      </c>
      <c r="E29" s="47">
        <f t="array" ref="E29">IF(AND(ISNUMBER(MATCH(E$2, AsistenciaJetAdminConcatenada!$A:$A, 0)), ISNUMBER(MATCH(E$1, AsistenciaJetAdminConcatenada!$B:$B, 0)), ISNUMBER(SEARCH($A29,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ISNUMBER(SEARCH($A29, INDEX(AsistenciaJetAdminConcatenada!$D:$D, MATCH(1, (AsistenciaJetAdminConcatenada!$A:$A=E$2)*(AsistenciaJetAdminConcatenada!$B:$B=E$1), 0)), 1))),  0.5, 0))</f>
        <v>1</v>
      </c>
      <c r="F29" s="47">
        <f t="array" ref="F29">IF(AND(ISNUMBER(MATCH(F$2, AsistenciaJetAdminConcatenada!$A:$A, 0)), ISNUMBER(MATCH(F$1, AsistenciaJetAdminConcatenada!$B:$B, 0)), ISNUMBER(SEARCH($A29,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ISNUMBER(SEARCH($A29, INDEX(AsistenciaJetAdminConcatenada!$D:$D, MATCH(1, (AsistenciaJetAdminConcatenada!$A:$A=F$2)*(AsistenciaJetAdminConcatenada!$B:$B=F$1), 0)), 1))),  0.5, 0))</f>
        <v>1</v>
      </c>
      <c r="G29" s="47">
        <f t="array" ref="G29">IF(AND(ISNUMBER(MATCH(G$2, AsistenciaJetAdminConcatenada!$A:$A, 0)), ISNUMBER(MATCH(G$1, AsistenciaJetAdminConcatenada!$B:$B, 0)), ISNUMBER(SEARCH($A29,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ISNUMBER(SEARCH($A29, INDEX(AsistenciaJetAdminConcatenada!$D:$D, MATCH(1, (AsistenciaJetAdminConcatenada!$A:$A=G$2)*(AsistenciaJetAdminConcatenada!$B:$B=G$1), 0)), 1))),  0.5, 0))</f>
        <v>1</v>
      </c>
      <c r="H29" s="47">
        <f t="array" ref="H29">IF(AND(ISNUMBER(MATCH(H$2, AsistenciaJetAdminConcatenada!$A:$A, 0)), ISNUMBER(MATCH(H$1, AsistenciaJetAdminConcatenada!$B:$B, 0)), ISNUMBER(SEARCH($A29,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ISNUMBER(SEARCH($A29, INDEX(AsistenciaJetAdminConcatenada!$D:$D, MATCH(1, (AsistenciaJetAdminConcatenada!$A:$A=H$2)*(AsistenciaJetAdminConcatenada!$B:$B=H$1), 0)), 1))),  0.5, 0))</f>
        <v>1</v>
      </c>
      <c r="I29" s="47">
        <f t="array" ref="I29">IF(AND(ISNUMBER(MATCH(I$2, AsistenciaJetAdminConcatenada!$A:$A, 0)), ISNUMBER(MATCH(I$1, AsistenciaJetAdminConcatenada!$B:$B, 0)), ISNUMBER(SEARCH($A29,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ISNUMBER(SEARCH($A29, INDEX(AsistenciaJetAdminConcatenada!$D:$D, MATCH(1, (AsistenciaJetAdminConcatenada!$A:$A=I$2)*(AsistenciaJetAdminConcatenada!$B:$B=I$1), 0)), 1))),  0.5, 0))</f>
        <v>1</v>
      </c>
      <c r="J29" s="47">
        <f t="array" ref="J29">IF(AND(ISNUMBER(MATCH(J$2, AsistenciaJetAdminConcatenada!$A:$A, 0)), ISNUMBER(MATCH(J$1, AsistenciaJetAdminConcatenada!$B:$B, 0)), ISNUMBER(SEARCH($A29,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ISNUMBER(SEARCH($A29, INDEX(AsistenciaJetAdminConcatenada!$D:$D, MATCH(1, (AsistenciaJetAdminConcatenada!$A:$A=J$2)*(AsistenciaJetAdminConcatenada!$B:$B=J$1), 0)), 1))),  0.5, 0))</f>
        <v>0</v>
      </c>
      <c r="K29" s="47">
        <f t="array" ref="K29">IF(AND(ISNUMBER(MATCH(K$2, AsistenciaJetAdminConcatenada!$A:$A, 0)), ISNUMBER(MATCH(K$1, AsistenciaJetAdminConcatenada!$B:$B, 0)), ISNUMBER(SEARCH($A29,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ISNUMBER(SEARCH($A29, INDEX(AsistenciaJetAdminConcatenada!$D:$D, MATCH(1, (AsistenciaJetAdminConcatenada!$A:$A=K$2)*(AsistenciaJetAdminConcatenada!$B:$B=K$1), 0)), 1))),  0.5, 0))</f>
        <v>1</v>
      </c>
      <c r="L29" s="47">
        <f t="array" ref="L29">IF(AND(ISNUMBER(MATCH(L$2, AsistenciaJetAdminConcatenada!$A:$A, 0)), ISNUMBER(MATCH(L$1, AsistenciaJetAdminConcatenada!$B:$B, 0)), ISNUMBER(SEARCH($A29,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ISNUMBER(SEARCH($A29, INDEX(AsistenciaJetAdminConcatenada!$D:$D, MATCH(1, (AsistenciaJetAdminConcatenada!$A:$A=L$2)*(AsistenciaJetAdminConcatenada!$B:$B=L$1), 0)), 1))),  0.5, 0))</f>
        <v>1</v>
      </c>
      <c r="M29" s="47">
        <f t="array" ref="M29">IF(AND(ISNUMBER(MATCH(M$2, AsistenciaJetAdminConcatenada!$A:$A, 0)), ISNUMBER(MATCH(M$1, AsistenciaJetAdminConcatenada!$B:$B, 0)), ISNUMBER(SEARCH($A29,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ISNUMBER(SEARCH($A29, INDEX(AsistenciaJetAdminConcatenada!$D:$D, MATCH(1, (AsistenciaJetAdminConcatenada!$A:$A=M$2)*(AsistenciaJetAdminConcatenada!$B:$B=M$1), 0)), 1))),  0.5, 0))</f>
        <v>1</v>
      </c>
      <c r="N29" s="47">
        <f t="array" ref="N29">IF(AND(ISNUMBER(MATCH(N$2, AsistenciaJetAdminConcatenada!$A:$A, 0)), ISNUMBER(MATCH(N$1, AsistenciaJetAdminConcatenada!$B:$B, 0)), ISNUMBER(SEARCH($A29,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ISNUMBER(SEARCH($A29, INDEX(AsistenciaJetAdminConcatenada!$D:$D, MATCH(1, (AsistenciaJetAdminConcatenada!$A:$A=N$2)*(AsistenciaJetAdminConcatenada!$B:$B=N$1), 0)), 1))),  0.5, 0))</f>
        <v>1</v>
      </c>
      <c r="O29" s="47">
        <f t="array" ref="O29">IF(AND(ISNUMBER(MATCH(O$2, AsistenciaJetAdminConcatenada!$A:$A, 0)), ISNUMBER(MATCH(O$1, AsistenciaJetAdminConcatenada!$B:$B, 0)), ISNUMBER(SEARCH($A29,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ISNUMBER(SEARCH($A29, INDEX(AsistenciaJetAdminConcatenada!$D:$D, MATCH(1, (AsistenciaJetAdminConcatenada!$A:$A=O$2)*(AsistenciaJetAdminConcatenada!$B:$B=O$1), 0)), 1))),  0.5, 0))</f>
        <v>0</v>
      </c>
      <c r="P29" s="47">
        <f t="array" ref="P29">IF(AND(ISNUMBER(MATCH(P$2, AsistenciaJetAdminConcatenada!$A:$A, 0)), ISNUMBER(MATCH(P$1, AsistenciaJetAdminConcatenada!$B:$B, 0)), ISNUMBER(SEARCH($A29, INDEX(AsistenciaJetAdminConcatenada!$C:$C, MATCH(1, (AsistenciaJetAdminConcatenada!$A:$A=P$2)*(AsistenciaJetAdminConcatenada!$B:$B=P$1), 0)), 1))), 1, IF(AND(ISNUMBER(MATCH(P$2, AsistenciaJetAdminConcatenada!$A:$A, 0)), ISNUMBER(MATCH(P$1, AsistenciaJetAdminConcatenada!$B:$B, 0)), ISNUMBER(SEARCH($A29, INDEX(AsistenciaJetAdminConcatenada!$D:$D, MATCH(1, (AsistenciaJetAdminConcatenada!$A:$A=P$2)*(AsistenciaJetAdminConcatenada!$B:$B=P$1), 0)), 1))),  0.5, 0))</f>
        <v>0</v>
      </c>
      <c r="Q29" s="8">
        <v>1.0</v>
      </c>
      <c r="R29" s="47">
        <f t="array" ref="R29">IF(AND(ISNUMBER(MATCH(R$2, AsistenciaJetAdminConcatenada!$A:$A, 0)), ISNUMBER(MATCH(R$1, AsistenciaJetAdminConcatenada!$B:$B, 0)), ISNUMBER(SEARCH($A29,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ISNUMBER(SEARCH($A29, INDEX(AsistenciaJetAdminConcatenada!$D:$D, MATCH(1, (AsistenciaJetAdminConcatenada!$A:$A=R$2)*(AsistenciaJetAdminConcatenada!$B:$B=R$1), 0)), 1))),  0.5, 0))</f>
        <v>1</v>
      </c>
      <c r="S29" s="47">
        <f t="array" ref="S29">IF(AND(ISNUMBER(MATCH(S$2, AsistenciaJetAdminConcatenada!$A:$A, 0)), ISNUMBER(MATCH(S$1, AsistenciaJetAdminConcatenada!$B:$B, 0)), ISNUMBER(SEARCH($A29,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ISNUMBER(SEARCH($A29, INDEX(AsistenciaJetAdminConcatenada!$D:$D, MATCH(1, (AsistenciaJetAdminConcatenada!$A:$A=S$2)*(AsistenciaJetAdminConcatenada!$B:$B=S$1), 0)), 1))),  0.5, 0))</f>
        <v>1</v>
      </c>
      <c r="T29" s="47">
        <f t="array" ref="T29">IF(AND(ISNUMBER(MATCH(T$2, AsistenciaJetAdminConcatenada!$A:$A, 0)), ISNUMBER(MATCH(T$1, AsistenciaJetAdminConcatenada!$B:$B, 0)), ISNUMBER(SEARCH($A29,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ISNUMBER(SEARCH($A29, INDEX(AsistenciaJetAdminConcatenada!$D:$D, MATCH(1, (AsistenciaJetAdminConcatenada!$A:$A=T$2)*(AsistenciaJetAdminConcatenada!$B:$B=T$1), 0)), 1))),  0.5, 0))</f>
        <v>0.5</v>
      </c>
      <c r="U29" s="47">
        <f t="array" ref="U29">IF(AND(ISNUMBER(MATCH(U$2, AsistenciaJetAdminConcatenada!$A:$A, 0)), ISNUMBER(MATCH(U$1, AsistenciaJetAdminConcatenada!$B:$B, 0)), ISNUMBER(SEARCH($A29,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ISNUMBER(SEARCH($A29, INDEX(AsistenciaJetAdminConcatenada!$D:$D, MATCH(1, (AsistenciaJetAdminConcatenada!$A:$A=U$2)*(AsistenciaJetAdminConcatenada!$B:$B=U$1), 0)), 1))),  0.5, 0))</f>
        <v>1</v>
      </c>
      <c r="V29" s="47">
        <f t="array" ref="V29">IF(AND(ISNUMBER(MATCH(V$2, AsistenciaJetAdminConcatenada!$A:$A, 0)), ISNUMBER(MATCH(V$1, AsistenciaJetAdminConcatenada!$B:$B, 0)), ISNUMBER(SEARCH($A29,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ISNUMBER(SEARCH($A29, INDEX(AsistenciaJetAdminConcatenada!$D:$D, MATCH(1, (AsistenciaJetAdminConcatenada!$A:$A=V$2)*(AsistenciaJetAdminConcatenada!$B:$B=V$1), 0)), 1))),  0.5, 0))</f>
        <v>1</v>
      </c>
      <c r="W29" s="47">
        <f t="array" ref="W29">IF(AND(ISNUMBER(MATCH(W$2, AsistenciaJetAdminConcatenada!$A:$A, 0)), ISNUMBER(MATCH(W$1, AsistenciaJetAdminConcatenada!$B:$B, 0)), ISNUMBER(SEARCH($A29,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ISNUMBER(SEARCH($A29, INDEX(AsistenciaJetAdminConcatenada!$D:$D, MATCH(1, (AsistenciaJetAdminConcatenada!$A:$A=W$2)*(AsistenciaJetAdminConcatenada!$B:$B=W$1), 0)), 1))),  0.5, 0))</f>
        <v>0</v>
      </c>
      <c r="X29" s="47">
        <f t="array" ref="X29">IF(AND(ISNUMBER(MATCH(X$2, AsistenciaJetAdminConcatenada!$A:$A, 0)), ISNUMBER(MATCH(X$1, AsistenciaJetAdminConcatenada!$B:$B, 0)), ISNUMBER(SEARCH($A29,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ISNUMBER(SEARCH($A29, INDEX(AsistenciaJetAdminConcatenada!$D:$D, MATCH(1, (AsistenciaJetAdminConcatenada!$A:$A=X$2)*(AsistenciaJetAdminConcatenada!$B:$B=X$1), 0)), 1))),  0.5, 0))</f>
        <v>0</v>
      </c>
      <c r="Y29" s="47">
        <f t="array" ref="Y29">IF(AND(ISNUMBER(MATCH(Y$2, AsistenciaJetAdminConcatenada!$A:$A, 0)), ISNUMBER(MATCH(Y$1, AsistenciaJetAdminConcatenada!$B:$B, 0)), ISNUMBER(SEARCH($A29,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ISNUMBER(SEARCH($A29, INDEX(AsistenciaJetAdminConcatenada!$D:$D, MATCH(1, (AsistenciaJetAdminConcatenada!$A:$A=Y$2)*(AsistenciaJetAdminConcatenada!$B:$B=Y$1), 0)), 1))),  0.5, 0))</f>
        <v>1</v>
      </c>
      <c r="Z29" s="47">
        <f t="array" ref="Z29">IF(AND(ISNUMBER(MATCH(Z$2, AsistenciaJetAdminConcatenada!$A:$A, 0)), ISNUMBER(MATCH(Z$1, AsistenciaJetAdminConcatenada!$B:$B, 0)), ISNUMBER(SEARCH($A29,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ISNUMBER(SEARCH($A29, INDEX(AsistenciaJetAdminConcatenada!$D:$D, MATCH(1, (AsistenciaJetAdminConcatenada!$A:$A=Z$2)*(AsistenciaJetAdminConcatenada!$B:$B=Z$1), 0)), 1))),  0.5, 0))</f>
        <v>1</v>
      </c>
      <c r="AA29" s="47">
        <f t="array" ref="AA29">IF(AND(ISNUMBER(MATCH(AA$2, AsistenciaJetAdminConcatenada!$A:$A, 0)), ISNUMBER(MATCH(AA$1, AsistenciaJetAdminConcatenada!$B:$B, 0)), ISNUMBER(SEARCH($A29,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ISNUMBER(SEARCH($A29, INDEX(AsistenciaJetAdminConcatenada!$D:$D, MATCH(1, (AsistenciaJetAdminConcatenada!$A:$A=AA$2)*(AsistenciaJetAdminConcatenada!$B:$B=AA$1), 0)), 1))),  0.5, 0))</f>
        <v>1</v>
      </c>
      <c r="AB29" s="47">
        <f t="array" ref="AB29">IF(AND(ISNUMBER(MATCH(AB$2, AsistenciaJetAdminConcatenada!$A:$A, 0)), ISNUMBER(MATCH(AB$1, AsistenciaJetAdminConcatenada!$B:$B, 0)), ISNUMBER(SEARCH($A29,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ISNUMBER(SEARCH($A29, INDEX(AsistenciaJetAdminConcatenada!$D:$D, MATCH(1, (AsistenciaJetAdminConcatenada!$A:$A=AB$2)*(AsistenciaJetAdminConcatenada!$B:$B=AB$1), 0)), 1))),  0.5, 0))</f>
        <v>0</v>
      </c>
      <c r="AC29" s="47">
        <f t="array" ref="AC29">IF(AND(ISNUMBER(MATCH(AC$2, AsistenciaJetAdminConcatenada!$A:$A, 0)), ISNUMBER(MATCH(AC$1, AsistenciaJetAdminConcatenada!$B:$B, 0)), ISNUMBER(SEARCH($A29,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ISNUMBER(SEARCH($A29, INDEX(AsistenciaJetAdminConcatenada!$D:$D, MATCH(1, (AsistenciaJetAdminConcatenada!$A:$A=AC$2)*(AsistenciaJetAdminConcatenada!$B:$B=AC$1), 0)), 1))),  0.5, 0))</f>
        <v>1</v>
      </c>
      <c r="AD29" s="47">
        <f t="array" ref="AD29">IF(AND(ISNUMBER(MATCH(AD$2, AsistenciaJetAdminConcatenada!$A:$A, 0)), ISNUMBER(MATCH(AD$1, AsistenciaJetAdminConcatenada!$B:$B, 0)), ISNUMBER(SEARCH($A29,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ISNUMBER(SEARCH($A29, INDEX(AsistenciaJetAdminConcatenada!$D:$D, MATCH(1, (AsistenciaJetAdminConcatenada!$A:$A=AD$2)*(AsistenciaJetAdminConcatenada!$B:$B=AD$1), 0)), 1))),  0.5, 0))</f>
        <v>1</v>
      </c>
      <c r="AE29" s="47">
        <f t="array" ref="AE29">IF(AND(ISNUMBER(MATCH(AE$2, AsistenciaJetAdminConcatenada!$A:$A, 0)), ISNUMBER(MATCH(AE$1, AsistenciaJetAdminConcatenada!$B:$B, 0)), ISNUMBER(SEARCH($A29,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ISNUMBER(SEARCH($A29, INDEX(AsistenciaJetAdminConcatenada!$D:$D, MATCH(1, (AsistenciaJetAdminConcatenada!$A:$A=AE$2)*(AsistenciaJetAdminConcatenada!$B:$B=AE$1), 0)), 1))),  0.5, 0))</f>
        <v>0</v>
      </c>
      <c r="AF29" s="47">
        <f t="array" ref="AF29">IF(AND(ISNUMBER(MATCH(AF$2, AsistenciaJetAdminConcatenada!$A:$A, 0)), ISNUMBER(MATCH(AF$1, AsistenciaJetAdminConcatenada!$B:$B, 0)), ISNUMBER(SEARCH($A29,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ISNUMBER(SEARCH($A29, INDEX(AsistenciaJetAdminConcatenada!$D:$D, MATCH(1, (AsistenciaJetAdminConcatenada!$A:$A=AF$2)*(AsistenciaJetAdminConcatenada!$B:$B=AF$1), 0)), 1))),  0.5, 0))</f>
        <v>1</v>
      </c>
      <c r="AG29" s="47">
        <f t="array" ref="AG29">IF(AND(ISNUMBER(MATCH(AG$2, AsistenciaJetAdminConcatenada!$A:$A, 0)), ISNUMBER(MATCH(AG$1, AsistenciaJetAdminConcatenada!$B:$B, 0)), ISNUMBER(SEARCH($A29,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ISNUMBER(SEARCH($A29, INDEX(AsistenciaJetAdminConcatenada!$D:$D, MATCH(1, (AsistenciaJetAdminConcatenada!$A:$A=AG$2)*(AsistenciaJetAdminConcatenada!$B:$B=AG$1), 0)), 1))),  0.5, 0))</f>
        <v>0.5</v>
      </c>
      <c r="AH29" s="47">
        <f t="array" ref="AH29">IF(AND(ISNUMBER(MATCH(AH$2, AsistenciaJetAdminConcatenada!$A:$A, 0)), ISNUMBER(MATCH(AH$1, AsistenciaJetAdminConcatenada!$B:$B, 0)), ISNUMBER(SEARCH($A29,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ISNUMBER(SEARCH($A29, INDEX(AsistenciaJetAdminConcatenada!$D:$D, MATCH(1, (AsistenciaJetAdminConcatenada!$A:$A=AH$2)*(AsistenciaJetAdminConcatenada!$B:$B=AH$1), 0)), 1))),  0.5, 0))</f>
        <v>0</v>
      </c>
      <c r="AI29" s="47">
        <f t="array" ref="AI29">IF(AND(ISNUMBER(MATCH(AI$2, AsistenciaJetAdminConcatenada!$A:$A, 0)), ISNUMBER(MATCH(AI$1, AsistenciaJetAdminConcatenada!$B:$B, 0)), ISNUMBER(SEARCH($A29,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ISNUMBER(SEARCH($A29, INDEX(AsistenciaJetAdminConcatenada!$D:$D, MATCH(1, (AsistenciaJetAdminConcatenada!$A:$A=AI$2)*(AsistenciaJetAdminConcatenada!$B:$B=AI$1), 0)), 1))),  0.5, 0))</f>
        <v>0</v>
      </c>
      <c r="AJ29" s="47">
        <f t="array" ref="AJ29">IF(AND(ISNUMBER(MATCH(AJ$2, AsistenciaJetAdminConcatenada!$A:$A, 0)), ISNUMBER(MATCH(AJ$1, AsistenciaJetAdminConcatenada!$B:$B, 0)), ISNUMBER(SEARCH($A29,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ISNUMBER(SEARCH($A29, INDEX(AsistenciaJetAdminConcatenada!$D:$D, MATCH(1, (AsistenciaJetAdminConcatenada!$A:$A=AJ$2)*(AsistenciaJetAdminConcatenada!$B:$B=AJ$1), 0)), 1))),  0.5, 0))</f>
        <v>1</v>
      </c>
      <c r="AK29" s="47">
        <f t="array" ref="AK29">IF(AND(ISNUMBER(MATCH(AK$2, AsistenciaJetAdminConcatenada!$A:$A, 0)), ISNUMBER(MATCH(AK$1, AsistenciaJetAdminConcatenada!$B:$B, 0)), ISNUMBER(SEARCH($A29,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ISNUMBER(SEARCH($A29, INDEX(AsistenciaJetAdminConcatenada!$D:$D, MATCH(1, (AsistenciaJetAdminConcatenada!$A:$A=AK$2)*(AsistenciaJetAdminConcatenada!$B:$B=AK$1), 0)), 1))),  0.5, 0))</f>
        <v>1</v>
      </c>
      <c r="AL29" s="47">
        <f t="array" ref="AL29">IF(AND(ISNUMBER(MATCH(AL$2, AsistenciaJetAdminConcatenada!$A:$A, 0)), ISNUMBER(MATCH(AL$1, AsistenciaJetAdminConcatenada!$B:$B, 0)), ISNUMBER(SEARCH($A29,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ISNUMBER(SEARCH($A29, INDEX(AsistenciaJetAdminConcatenada!$D:$D, MATCH(1, (AsistenciaJetAdminConcatenada!$A:$A=AL$2)*(AsistenciaJetAdminConcatenada!$B:$B=AL$1), 0)), 1))),  0.5, 0))</f>
        <v>0</v>
      </c>
      <c r="AM29" s="47">
        <f t="array" ref="AM29">IF(AND(ISNUMBER(MATCH(AM$2, AsistenciaJetAdminConcatenada!$A:$A, 0)), ISNUMBER(MATCH(AM$1, AsistenciaJetAdminConcatenada!$B:$B, 0)), ISNUMBER(SEARCH($A29,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ISNUMBER(SEARCH($A29, INDEX(AsistenciaJetAdminConcatenada!$D:$D, MATCH(1, (AsistenciaJetAdminConcatenada!$A:$A=AM$2)*(AsistenciaJetAdminConcatenada!$B:$B=AM$1), 0)), 1))),  0.5, 0))</f>
        <v>0</v>
      </c>
      <c r="AN29" s="47">
        <f t="array" ref="AN29">IF(AND(ISNUMBER(MATCH(AN$2, AsistenciaJetAdminConcatenada!$A:$A, 0)), ISNUMBER(MATCH(AN$1, AsistenciaJetAdminConcatenada!$B:$B, 0)), ISNUMBER(SEARCH($A29,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ISNUMBER(SEARCH($A29, INDEX(AsistenciaJetAdminConcatenada!$D:$D, MATCH(1, (AsistenciaJetAdminConcatenada!$A:$A=AN$2)*(AsistenciaJetAdminConcatenada!$B:$B=AN$1), 0)), 1))),  0.5, 0))</f>
        <v>1</v>
      </c>
      <c r="AO29" s="47">
        <f t="array" ref="AO29">IF(AND(ISNUMBER(MATCH(AO$2, AsistenciaJetAdminConcatenada!$A:$A, 0)), ISNUMBER(MATCH(AO$1, AsistenciaJetAdminConcatenada!$B:$B, 0)), ISNUMBER(SEARCH($A29,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ISNUMBER(SEARCH($A29, INDEX(AsistenciaJetAdminConcatenada!$D:$D, MATCH(1, (AsistenciaJetAdminConcatenada!$A:$A=AO$2)*(AsistenciaJetAdminConcatenada!$B:$B=AO$1), 0)), 1))),  0.5, 0))</f>
        <v>1</v>
      </c>
      <c r="AP29" s="47">
        <f t="array" ref="AP29">IF(AND(ISNUMBER(MATCH(AP$2, AsistenciaJetAdminConcatenada!$A:$A, 0)), ISNUMBER(MATCH(AP$1, AsistenciaJetAdminConcatenada!$B:$B, 0)), ISNUMBER(SEARCH($A29,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ISNUMBER(SEARCH($A29, INDEX(AsistenciaJetAdminConcatenada!$D:$D, MATCH(1, (AsistenciaJetAdminConcatenada!$A:$A=AP$2)*(AsistenciaJetAdminConcatenada!$B:$B=AP$1), 0)), 1))),  0.5, 0))</f>
        <v>1</v>
      </c>
      <c r="AQ29" s="47">
        <f t="array" ref="AQ29">IF(AND(ISNUMBER(MATCH(AQ$2, AsistenciaJetAdminConcatenada!$A:$A, 0)), ISNUMBER(MATCH(AQ$1, AsistenciaJetAdminConcatenada!$B:$B, 0)), ISNUMBER(SEARCH($A29,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ISNUMBER(SEARCH($A29, INDEX(AsistenciaJetAdminConcatenada!$D:$D, MATCH(1, (AsistenciaJetAdminConcatenada!$A:$A=AQ$2)*(AsistenciaJetAdminConcatenada!$B:$B=AQ$1), 0)), 1))),  0.5, 0))</f>
        <v>0</v>
      </c>
      <c r="AR29" s="47">
        <f t="array" ref="AR29">IF(AND(ISNUMBER(MATCH(AR$2, AsistenciaJetAdminConcatenada!$A:$A, 0)), ISNUMBER(MATCH(AR$1, AsistenciaJetAdminConcatenada!$B:$B, 0)), ISNUMBER(SEARCH($A29,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ISNUMBER(SEARCH($A29, INDEX(AsistenciaJetAdminConcatenada!$D:$D, MATCH(1, (AsistenciaJetAdminConcatenada!$A:$A=AR$2)*(AsistenciaJetAdminConcatenada!$B:$B=AR$1), 0)), 1))),  0.5, 0))</f>
        <v>1</v>
      </c>
      <c r="AS29" s="47">
        <f t="array" ref="AS29">IF(AND(ISNUMBER(MATCH(AS$2, AsistenciaJetAdminConcatenada!$A:$A, 0)), ISNUMBER(MATCH(AS$1, AsistenciaJetAdminConcatenada!$B:$B, 0)), ISNUMBER(SEARCH($A29,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ISNUMBER(SEARCH($A29, INDEX(AsistenciaJetAdminConcatenada!$D:$D, MATCH(1, (AsistenciaJetAdminConcatenada!$A:$A=AS$2)*(AsistenciaJetAdminConcatenada!$B:$B=AS$1), 0)), 1))),  0.5, 0))</f>
        <v>1</v>
      </c>
      <c r="AT29" s="47">
        <f t="array" ref="AT29">IF(AND(ISNUMBER(MATCH(AT$2, AsistenciaJetAdminConcatenada!$A:$A, 0)), ISNUMBER(MATCH(AT$1, AsistenciaJetAdminConcatenada!$B:$B, 0)), ISNUMBER(SEARCH($A29,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ISNUMBER(SEARCH($A29, INDEX(AsistenciaJetAdminConcatenada!$D:$D, MATCH(1, (AsistenciaJetAdminConcatenada!$A:$A=AT$2)*(AsistenciaJetAdminConcatenada!$B:$B=AT$1), 0)), 1))),  0.5, 0))</f>
        <v>0</v>
      </c>
      <c r="AU29" s="47">
        <f t="array" ref="AU29">IF(AND(ISNUMBER(MATCH(AU$2, AsistenciaJetAdminConcatenada!$A:$A, 0)), ISNUMBER(MATCH(AU$1, AsistenciaJetAdminConcatenada!$B:$B, 0)), ISNUMBER(SEARCH($A29,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ISNUMBER(SEARCH($A29, INDEX(AsistenciaJetAdminConcatenada!$D:$D, MATCH(1, (AsistenciaJetAdminConcatenada!$A:$A=AU$2)*(AsistenciaJetAdminConcatenada!$B:$B=AU$1), 0)), 1))),  0.5, 0))</f>
        <v>0</v>
      </c>
      <c r="AV29" s="47">
        <f t="array" ref="AV29">IF(AND(ISNUMBER(MATCH(AV$2, AsistenciaJetAdminConcatenada!$A:$A, 0)), ISNUMBER(MATCH(AV$1, AsistenciaJetAdminConcatenada!$B:$B, 0)), ISNUMBER(SEARCH($A29,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ISNUMBER(SEARCH($A29, INDEX(AsistenciaJetAdminConcatenada!$D:$D, MATCH(1, (AsistenciaJetAdminConcatenada!$A:$A=AV$2)*(AsistenciaJetAdminConcatenada!$B:$B=AV$1), 0)), 1))),  0.5, 0))</f>
        <v>1</v>
      </c>
      <c r="AW29" s="47">
        <f t="array" ref="AW29">IF(AND(ISNUMBER(MATCH(AW$2, AsistenciaJetAdminConcatenada!$A:$A, 0)), ISNUMBER(MATCH(AW$1, AsistenciaJetAdminConcatenada!$B:$B, 0)), ISNUMBER(SEARCH($A29,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ISNUMBER(SEARCH($A29, INDEX(AsistenciaJetAdminConcatenada!$D:$D, MATCH(1, (AsistenciaJetAdminConcatenada!$A:$A=AW$2)*(AsistenciaJetAdminConcatenada!$B:$B=AW$1), 0)), 1))),  0.5, 0))</f>
        <v>0</v>
      </c>
      <c r="AX29" s="47">
        <f t="array" ref="AX29">IF(AND(ISNUMBER(MATCH(AX$2, AsistenciaJetAdminConcatenada!$A:$A, 0)), ISNUMBER(MATCH(AX$1, AsistenciaJetAdminConcatenada!$B:$B, 0)), ISNUMBER(SEARCH($A29,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ISNUMBER(SEARCH($A29, INDEX(AsistenciaJetAdminConcatenada!$D:$D, MATCH(1, (AsistenciaJetAdminConcatenada!$A:$A=AX$2)*(AsistenciaJetAdminConcatenada!$B:$B=AX$1), 0)), 1))),  0.5, 0))</f>
        <v>0</v>
      </c>
      <c r="AY29" s="47">
        <f t="array" ref="AY29">IF(AND(ISNUMBER(MATCH(AY$2, AsistenciaJetAdminConcatenada!$A:$A, 0)), ISNUMBER(MATCH(AY$1, AsistenciaJetAdminConcatenada!$B:$B, 0)), ISNUMBER(SEARCH($A29,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ISNUMBER(SEARCH($A29, INDEX(AsistenciaJetAdminConcatenada!$D:$D, MATCH(1, (AsistenciaJetAdminConcatenada!$A:$A=AY$2)*(AsistenciaJetAdminConcatenada!$B:$B=AY$1), 0)), 1))),  0.5, 0))</f>
        <v>1</v>
      </c>
      <c r="AZ29" s="47">
        <f t="array" ref="AZ29">IF(AND(ISNUMBER(MATCH(AZ$2, AsistenciaJetAdminConcatenada!$A:$A, 0)), ISNUMBER(MATCH(AZ$1, AsistenciaJetAdminConcatenada!$B:$B, 0)), ISNUMBER(SEARCH($A29,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ISNUMBER(SEARCH($A29, INDEX(AsistenciaJetAdminConcatenada!$D:$D, MATCH(1, (AsistenciaJetAdminConcatenada!$A:$A=AZ$2)*(AsistenciaJetAdminConcatenada!$B:$B=AZ$1), 0)), 1))),  0.5, 0))</f>
        <v>1</v>
      </c>
      <c r="BA29" s="47">
        <f t="array" ref="BA29">IF(AND(ISNUMBER(MATCH(BA$2, AsistenciaJetAdminConcatenada!$A:$A, 0)), ISNUMBER(MATCH(BA$1, AsistenciaJetAdminConcatenada!$B:$B, 0)), ISNUMBER(SEARCH($A29,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ISNUMBER(SEARCH($A29, INDEX(AsistenciaJetAdminConcatenada!$D:$D, MATCH(1, (AsistenciaJetAdminConcatenada!$A:$A=BA$2)*(AsistenciaJetAdminConcatenada!$B:$B=BA$1), 0)), 1))),  0.5, 0))</f>
        <v>0</v>
      </c>
      <c r="BB29" s="47">
        <f t="array" ref="BB29">IF(AND(ISNUMBER(MATCH(BB$2, AsistenciaJetAdminConcatenada!$A:$A, 0)), ISNUMBER(MATCH(BB$1, AsistenciaJetAdminConcatenada!$B:$B, 0)), ISNUMBER(SEARCH($A29,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ISNUMBER(SEARCH($A29, INDEX(AsistenciaJetAdminConcatenada!$D:$D, MATCH(1, (AsistenciaJetAdminConcatenada!$A:$A=BB$2)*(AsistenciaJetAdminConcatenada!$B:$B=BB$1), 0)), 1))),  0.5, 0))</f>
        <v>1</v>
      </c>
      <c r="BC29" s="47">
        <f t="array" ref="BC29">IF(AND(ISNUMBER(MATCH(BC$2, AsistenciaJetAdminConcatenada!$A:$A, 0)), ISNUMBER(MATCH(BC$1, AsistenciaJetAdminConcatenada!$B:$B, 0)), ISNUMBER(SEARCH($A29,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ISNUMBER(SEARCH($A29, INDEX(AsistenciaJetAdminConcatenada!$D:$D, MATCH(1, (AsistenciaJetAdminConcatenada!$A:$A=BC$2)*(AsistenciaJetAdminConcatenada!$B:$B=BC$1), 0)), 1))),  0.5, 0))</f>
        <v>1</v>
      </c>
      <c r="BD29" s="47">
        <f t="array" ref="BD29">IF(AND(ISNUMBER(MATCH(BD$2, AsistenciaJetAdminConcatenada!$A:$A, 0)), ISNUMBER(MATCH(BD$1, AsistenciaJetAdminConcatenada!$B:$B, 0)), ISNUMBER(SEARCH($A29,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ISNUMBER(SEARCH($A29, INDEX(AsistenciaJetAdminConcatenada!$D:$D, MATCH(1, (AsistenciaJetAdminConcatenada!$A:$A=BD$2)*(AsistenciaJetAdminConcatenada!$B:$B=BD$1), 0)), 1))),  0.5, 0))</f>
        <v>1</v>
      </c>
      <c r="BE29" s="47">
        <f t="array" ref="BE29">IF(AND(ISNUMBER(MATCH(BE$2, AsistenciaJetAdminConcatenada!$A:$A, 0)), ISNUMBER(MATCH(BE$1, AsistenciaJetAdminConcatenada!$B:$B, 0)), ISNUMBER(SEARCH($A29,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ISNUMBER(SEARCH($A29, INDEX(AsistenciaJetAdminConcatenada!$D:$D, MATCH(1, (AsistenciaJetAdminConcatenada!$A:$A=BE$2)*(AsistenciaJetAdminConcatenada!$B:$B=BE$1), 0)), 1))),  0.5, 0))</f>
        <v>1</v>
      </c>
      <c r="BF29" s="47">
        <f t="array" ref="BF29">IF(AND(ISNUMBER(MATCH(BF$2, AsistenciaJetAdminConcatenada!$A:$A, 0)), ISNUMBER(MATCH(BF$1, AsistenciaJetAdminConcatenada!$B:$B, 0)), ISNUMBER(SEARCH($A29,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ISNUMBER(SEARCH($A29, INDEX(AsistenciaJetAdminConcatenada!$D:$D, MATCH(1, (AsistenciaJetAdminConcatenada!$A:$A=BF$2)*(AsistenciaJetAdminConcatenada!$B:$B=BF$1), 0)), 1))),  0.5, 0))</f>
        <v>0</v>
      </c>
      <c r="BG29" s="47">
        <f t="array" ref="BG29">IF(AND(ISNUMBER(MATCH(BG$2, AsistenciaJetAdminConcatenada!$A:$A, 0)), ISNUMBER(MATCH(BG$1, AsistenciaJetAdminConcatenada!$B:$B, 0)), ISNUMBER(SEARCH($A29,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ISNUMBER(SEARCH($A29, INDEX(AsistenciaJetAdminConcatenada!$D:$D, MATCH(1, (AsistenciaJetAdminConcatenada!$A:$A=BG$2)*(AsistenciaJetAdminConcatenada!$B:$B=BG$1), 0)), 1))),  0.5, 0))</f>
        <v>1</v>
      </c>
      <c r="BH29" s="47">
        <f t="array" ref="BH29">IF(AND(ISNUMBER(MATCH(BH$2, AsistenciaJetAdminConcatenada!$A:$A, 0)), ISNUMBER(MATCH(BH$1, AsistenciaJetAdminConcatenada!$B:$B, 0)), ISNUMBER(SEARCH($A29,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ISNUMBER(SEARCH($A29, INDEX(AsistenciaJetAdminConcatenada!$D:$D, MATCH(1, (AsistenciaJetAdminConcatenada!$A:$A=BH$2)*(AsistenciaJetAdminConcatenada!$B:$B=BH$1), 0)), 1))),  0.5, 0))</f>
        <v>1</v>
      </c>
      <c r="BI29" s="47">
        <f t="array" ref="BI29">IF(AND(ISNUMBER(MATCH(BI$2, AsistenciaJetAdminConcatenada!$A:$A, 0)), ISNUMBER(MATCH(BI$1, AsistenciaJetAdminConcatenada!$B:$B, 0)), ISNUMBER(SEARCH($A29,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ISNUMBER(SEARCH($A29, INDEX(AsistenciaJetAdminConcatenada!$D:$D, MATCH(1, (AsistenciaJetAdminConcatenada!$A:$A=BI$2)*(AsistenciaJetAdminConcatenada!$B:$B=BI$1), 0)), 1))),  0.5, 0))</f>
        <v>0.5</v>
      </c>
      <c r="BJ29" s="47">
        <f t="array" ref="BJ29">IF(AND(ISNUMBER(MATCH(BJ$2, AsistenciaJetAdminConcatenada!$A:$A, 0)), ISNUMBER(MATCH(BJ$1, AsistenciaJetAdminConcatenada!$B:$B, 0)), ISNUMBER(SEARCH($A29,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ISNUMBER(SEARCH($A29, INDEX(AsistenciaJetAdminConcatenada!$D:$D, MATCH(1, (AsistenciaJetAdminConcatenada!$A:$A=BJ$2)*(AsistenciaJetAdminConcatenada!$B:$B=BJ$1), 0)), 1))),  0.5, 0))</f>
        <v>1</v>
      </c>
      <c r="BK29" s="47">
        <f t="array" ref="BK29">IF(AND(ISNUMBER(MATCH(BK$2, AsistenciaJetAdminConcatenada!$A:$A, 0)), ISNUMBER(MATCH(BK$1, AsistenciaJetAdminConcatenada!$B:$B, 0)), ISNUMBER(SEARCH($A29,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ISNUMBER(SEARCH($A29, INDEX(AsistenciaJetAdminConcatenada!$D:$D, MATCH(1, (AsistenciaJetAdminConcatenada!$A:$A=BK$2)*(AsistenciaJetAdminConcatenada!$B:$B=BK$1), 0)), 1))),  0.5, 0))</f>
        <v>1</v>
      </c>
      <c r="BL29" s="47">
        <f t="array" ref="BL29">IF(AND(ISNUMBER(MATCH(BL$2, AsistenciaJetAdminConcatenada!$A:$A, 0)), ISNUMBER(MATCH(BL$1, AsistenciaJetAdminConcatenada!$B:$B, 0)), ISNUMBER(SEARCH($A29,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ISNUMBER(SEARCH($A29, INDEX(AsistenciaJetAdminConcatenada!$D:$D, MATCH(1, (AsistenciaJetAdminConcatenada!$A:$A=BL$2)*(AsistenciaJetAdminConcatenada!$B:$B=BL$1), 0)), 1))),  0.5, 0))</f>
        <v>1</v>
      </c>
      <c r="BM29" s="47">
        <f t="array" ref="BM29">IF(AND(ISNUMBER(MATCH(BM$2, AsistenciaJetAdminConcatenada!$A:$A, 0)), ISNUMBER(MATCH(BM$1, AsistenciaJetAdminConcatenada!$B:$B, 0)), ISNUMBER(SEARCH($A29,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ISNUMBER(SEARCH($A29, INDEX(AsistenciaJetAdminConcatenada!$D:$D, MATCH(1, (AsistenciaJetAdminConcatenada!$A:$A=BM$2)*(AsistenciaJetAdminConcatenada!$B:$B=BM$1), 0)), 1))),  0.5, 0))</f>
        <v>1</v>
      </c>
      <c r="BN29" s="47">
        <f t="array" ref="BN29">IF(AND(ISNUMBER(MATCH(BN$2, AsistenciaJetAdminConcatenada!$A:$A, 0)), ISNUMBER(MATCH(BN$1, AsistenciaJetAdminConcatenada!$B:$B, 0)), ISNUMBER(SEARCH($A29,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ISNUMBER(SEARCH($A29, INDEX(AsistenciaJetAdminConcatenada!$D:$D, MATCH(1, (AsistenciaJetAdminConcatenada!$A:$A=BN$2)*(AsistenciaJetAdminConcatenada!$B:$B=BN$1), 0)), 1))),  0.5, 0))</f>
        <v>0</v>
      </c>
      <c r="BO29" s="47">
        <f t="array" ref="BO29">IF(AND(ISNUMBER(MATCH(BO$2, AsistenciaJetAdminConcatenada!$A:$A, 0)), ISNUMBER(MATCH(BO$1, AsistenciaJetAdminConcatenada!$B:$B, 0)), ISNUMBER(SEARCH($A29,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ISNUMBER(SEARCH($A29, INDEX(AsistenciaJetAdminConcatenada!$D:$D, MATCH(1, (AsistenciaJetAdminConcatenada!$A:$A=BO$2)*(AsistenciaJetAdminConcatenada!$B:$B=BO$1), 0)), 1))),  0.5, 0))</f>
        <v>1</v>
      </c>
      <c r="BP29" s="47">
        <f t="array" ref="BP29">IF(AND(ISNUMBER(MATCH(BP$2, AsistenciaJetAdminConcatenada!$A:$A, 0)), ISNUMBER(MATCH(BP$1, AsistenciaJetAdminConcatenada!$B:$B, 0)), ISNUMBER(SEARCH($A29,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ISNUMBER(SEARCH($A29, INDEX(AsistenciaJetAdminConcatenada!$D:$D, MATCH(1, (AsistenciaJetAdminConcatenada!$A:$A=BP$2)*(AsistenciaJetAdminConcatenada!$B:$B=BP$1), 0)), 1))),  0.5, 0))</f>
        <v>0</v>
      </c>
      <c r="BQ29" s="47">
        <f t="array" ref="BQ29">IF(AND(ISNUMBER(MATCH(BQ$2, AsistenciaJetAdminConcatenada!$A:$A, 0)), ISNUMBER(MATCH(BQ$1, AsistenciaJetAdminConcatenada!$B:$B, 0)), ISNUMBER(SEARCH($A29,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ISNUMBER(SEARCH($A29, INDEX(AsistenciaJetAdminConcatenada!$D:$D, MATCH(1, (AsistenciaJetAdminConcatenada!$A:$A=BQ$2)*(AsistenciaJetAdminConcatenada!$B:$B=BQ$1), 0)), 1))),  0.5, 0))</f>
        <v>1</v>
      </c>
      <c r="BR29" s="47">
        <f t="array" ref="BR29">IF(AND(ISNUMBER(MATCH(BR$2, AsistenciaJetAdminConcatenada!$A:$A, 0)), ISNUMBER(MATCH(BR$1, AsistenciaJetAdminConcatenada!$B:$B, 0)), ISNUMBER(SEARCH($A29,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ISNUMBER(SEARCH($A29, INDEX(AsistenciaJetAdminConcatenada!$D:$D, MATCH(1, (AsistenciaJetAdminConcatenada!$A:$A=BR$2)*(AsistenciaJetAdminConcatenada!$B:$B=BR$1), 0)), 1))),  0.5, 0))</f>
        <v>1</v>
      </c>
      <c r="BS29" s="47">
        <f t="array" ref="BS29">IF(AND(ISNUMBER(MATCH(BS$2, AsistenciaJetAdminConcatenada!$A:$A, 0)), ISNUMBER(MATCH(BS$1, AsistenciaJetAdminConcatenada!$B:$B, 0)), ISNUMBER(SEARCH($A29,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ISNUMBER(SEARCH($A29, INDEX(AsistenciaJetAdminConcatenada!$D:$D, MATCH(1, (AsistenciaJetAdminConcatenada!$A:$A=BS$2)*(AsistenciaJetAdminConcatenada!$B:$B=BS$1), 0)), 1))),  0.5, 0))</f>
        <v>1</v>
      </c>
      <c r="BT29" s="47">
        <f t="array" ref="BT29">IF(AND(ISNUMBER(MATCH(BT$2, AsistenciaJetAdminConcatenada!$A:$A, 0)), ISNUMBER(MATCH(BT$1, AsistenciaJetAdminConcatenada!$B:$B, 0)), ISNUMBER(SEARCH($A29,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ISNUMBER(SEARCH($A29, INDEX(AsistenciaJetAdminConcatenada!$D:$D, MATCH(1, (AsistenciaJetAdminConcatenada!$A:$A=BT$2)*(AsistenciaJetAdminConcatenada!$B:$B=BT$1), 0)), 1))),  0.5, 0))</f>
        <v>1</v>
      </c>
      <c r="BU29" s="47">
        <f t="array" ref="BU29">IF(AND(ISNUMBER(MATCH(BU$2, AsistenciaJetAdminConcatenada!$A:$A, 0)), ISNUMBER(MATCH(BU$1, AsistenciaJetAdminConcatenada!$B:$B, 0)), ISNUMBER(SEARCH($A29,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ISNUMBER(SEARCH($A29, INDEX(AsistenciaJetAdminConcatenada!$D:$D, MATCH(1, (AsistenciaJetAdminConcatenada!$A:$A=BU$2)*(AsistenciaJetAdminConcatenada!$B:$B=BU$1), 0)), 1))),  0.5, 0))</f>
        <v>0.5</v>
      </c>
      <c r="BV29" s="47">
        <f t="array" ref="BV29">IF(AND(ISNUMBER(MATCH(BV$2, AsistenciaJetAdminConcatenada!$A:$A, 0)), ISNUMBER(MATCH(BV$1, AsistenciaJetAdminConcatenada!$B:$B, 0)), ISNUMBER(SEARCH($A29,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ISNUMBER(SEARCH($A29, INDEX(AsistenciaJetAdminConcatenada!$D:$D, MATCH(1, (AsistenciaJetAdminConcatenada!$A:$A=BV$2)*(AsistenciaJetAdminConcatenada!$B:$B=BV$1), 0)), 1))),  0.5, 0))</f>
        <v>1</v>
      </c>
      <c r="BW29" s="47">
        <f t="array" ref="BW29">IF(AND(ISNUMBER(MATCH(BW$2, AsistenciaJetAdminConcatenada!$A:$A, 0)), ISNUMBER(MATCH(BW$1, AsistenciaJetAdminConcatenada!$B:$B, 0)), ISNUMBER(SEARCH($A29,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ISNUMBER(SEARCH($A29, INDEX(AsistenciaJetAdminConcatenada!$D:$D, MATCH(1, (AsistenciaJetAdminConcatenada!$A:$A=BW$2)*(AsistenciaJetAdminConcatenada!$B:$B=BW$1), 0)), 1))),  0.5, 0))</f>
        <v>0</v>
      </c>
      <c r="BX29" s="47">
        <f t="array" ref="BX29">IF(AND(ISNUMBER(MATCH(BX$2, AsistenciaJetAdminConcatenada!$A:$A, 0)), ISNUMBER(MATCH(BX$1, AsistenciaJetAdminConcatenada!$B:$B, 0)), ISNUMBER(SEARCH($A29,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ISNUMBER(SEARCH($A29, INDEX(AsistenciaJetAdminConcatenada!$D:$D, MATCH(1, (AsistenciaJetAdminConcatenada!$A:$A=BX$2)*(AsistenciaJetAdminConcatenada!$B:$B=BX$1), 0)), 1))),  0.5, 0))</f>
        <v>1</v>
      </c>
      <c r="BY29" s="47">
        <f t="array" ref="BY29">IF(AND(ISNUMBER(MATCH(BY$2, AsistenciaJetAdminConcatenada!$A:$A, 0)), ISNUMBER(MATCH(BY$1, AsistenciaJetAdminConcatenada!$B:$B, 0)), ISNUMBER(SEARCH($A29,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ISNUMBER(SEARCH($A29, INDEX(AsistenciaJetAdminConcatenada!$D:$D, MATCH(1, (AsistenciaJetAdminConcatenada!$A:$A=BY$2)*(AsistenciaJetAdminConcatenada!$B:$B=BY$1), 0)), 1))),  0.5, 0))</f>
        <v>1</v>
      </c>
      <c r="BZ29" s="47">
        <f t="array" ref="BZ29">IF(AND(ISNUMBER(MATCH(BZ$2, AsistenciaJetAdminConcatenada!$A:$A, 0)), ISNUMBER(MATCH(BZ$1, AsistenciaJetAdminConcatenada!$B:$B, 0)), ISNUMBER(SEARCH($A29,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ISNUMBER(SEARCH($A29, INDEX(AsistenciaJetAdminConcatenada!$D:$D, MATCH(1, (AsistenciaJetAdminConcatenada!$A:$A=BZ$2)*(AsistenciaJetAdminConcatenada!$B:$B=BZ$1), 0)), 1))),  0.5, 0))</f>
        <v>0</v>
      </c>
      <c r="CA29" s="47">
        <f t="array" ref="CA29">IF(AND(ISNUMBER(MATCH(CA$2, AsistenciaJetAdminConcatenada!$A:$A, 0)), ISNUMBER(MATCH(CA$1, AsistenciaJetAdminConcatenada!$B:$B, 0)), ISNUMBER(SEARCH($A29,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ISNUMBER(SEARCH($A29, INDEX(AsistenciaJetAdminConcatenada!$D:$D, MATCH(1, (AsistenciaJetAdminConcatenada!$A:$A=CA$2)*(AsistenciaJetAdminConcatenada!$B:$B=CA$1), 0)), 1))),  0.5, 0))</f>
        <v>1</v>
      </c>
      <c r="CB29" s="47">
        <f t="array" ref="CB29">IF(AND(ISNUMBER(MATCH(CB$2, AsistenciaJetAdminConcatenada!$A:$A, 0)), ISNUMBER(MATCH(CB$1, AsistenciaJetAdminConcatenada!$B:$B, 0)), ISNUMBER(SEARCH($A29,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ISNUMBER(SEARCH($A29, INDEX(AsistenciaJetAdminConcatenada!$D:$D, MATCH(1, (AsistenciaJetAdminConcatenada!$A:$A=CB$2)*(AsistenciaJetAdminConcatenada!$B:$B=CB$1), 0)), 1))),  0.5, 0))</f>
        <v>1</v>
      </c>
      <c r="CC29" s="47">
        <f t="array" ref="CC29">IF(AND(ISNUMBER(MATCH(CC$2, AsistenciaJetAdminConcatenada!$A:$A, 0)), ISNUMBER(MATCH(CC$1, AsistenciaJetAdminConcatenada!$B:$B, 0)), ISNUMBER(SEARCH($A29,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ISNUMBER(SEARCH($A29, INDEX(AsistenciaJetAdminConcatenada!$D:$D, MATCH(1, (AsistenciaJetAdminConcatenada!$A:$A=CC$2)*(AsistenciaJetAdminConcatenada!$B:$B=CC$1), 0)), 1))),  0.5, 0))</f>
        <v>0</v>
      </c>
      <c r="CD29" s="47">
        <f t="array" ref="CD29">IF(AND(ISNUMBER(MATCH(CD$2, AsistenciaJetAdminConcatenada!$A:$A, 0)), ISNUMBER(MATCH(CD$1, AsistenciaJetAdminConcatenada!$B:$B, 0)), ISNUMBER(SEARCH($A29,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ISNUMBER(SEARCH($A29, INDEX(AsistenciaJetAdminConcatenada!$D:$D, MATCH(1, (AsistenciaJetAdminConcatenada!$A:$A=CD$2)*(AsistenciaJetAdminConcatenada!$B:$B=CD$1), 0)), 1))),  0.5, 0))</f>
        <v>1</v>
      </c>
      <c r="CE29" s="47">
        <f t="array" ref="CE29">IF(AND(ISNUMBER(MATCH(CE$2, AsistenciaJetAdminConcatenada!$A:$A, 0)), ISNUMBER(MATCH(CE$1, AsistenciaJetAdminConcatenada!$B:$B, 0)), ISNUMBER(SEARCH($A29,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ISNUMBER(SEARCH($A29, INDEX(AsistenciaJetAdminConcatenada!$D:$D, MATCH(1, (AsistenciaJetAdminConcatenada!$A:$A=CE$2)*(AsistenciaJetAdminConcatenada!$B:$B=CE$1), 0)), 1))),  0.5, 0))</f>
        <v>0</v>
      </c>
      <c r="CF29" s="47">
        <f t="array" ref="CF29">IF(AND(ISNUMBER(MATCH(CF$2, AsistenciaJetAdminConcatenada!$A:$A, 0)), ISNUMBER(MATCH(CF$1, AsistenciaJetAdminConcatenada!$B:$B, 0)), ISNUMBER(SEARCH($A29,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ISNUMBER(SEARCH($A29, INDEX(AsistenciaJetAdminConcatenada!$D:$D, MATCH(1, (AsistenciaJetAdminConcatenada!$A:$A=CF$2)*(AsistenciaJetAdminConcatenada!$B:$B=CF$1), 0)), 1))),  0.5, 0))</f>
        <v>0</v>
      </c>
      <c r="CG29" s="47">
        <f t="array" ref="CG29">IF(AND(ISNUMBER(MATCH(CG$2, AsistenciaJetAdminConcatenada!$A:$A, 0)), ISNUMBER(MATCH(CG$1, AsistenciaJetAdminConcatenada!$B:$B, 0)), ISNUMBER(SEARCH($A29,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ISNUMBER(SEARCH($A29, INDEX(AsistenciaJetAdminConcatenada!$D:$D, MATCH(1, (AsistenciaJetAdminConcatenada!$A:$A=CG$2)*(AsistenciaJetAdminConcatenada!$B:$B=CG$1), 0)), 1))),  0.5, 0))</f>
        <v>0</v>
      </c>
      <c r="CH29" s="47">
        <f t="array" ref="CH29">IF(AND(ISNUMBER(MATCH(CH$2, AsistenciaJetAdminConcatenada!$A:$A, 0)), ISNUMBER(MATCH(CH$1, AsistenciaJetAdminConcatenada!$B:$B, 0)), ISNUMBER(SEARCH($A29,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ISNUMBER(SEARCH($A29, INDEX(AsistenciaJetAdminConcatenada!$D:$D, MATCH(1, (AsistenciaJetAdminConcatenada!$A:$A=CH$2)*(AsistenciaJetAdminConcatenada!$B:$B=CH$1), 0)), 1))),  0.5, 0))</f>
        <v>1</v>
      </c>
      <c r="CI29" s="47">
        <f t="array" ref="CI29">IF(AND(ISNUMBER(MATCH(CI$2, AsistenciaJetAdminConcatenada!$A:$A, 0)), ISNUMBER(MATCH(CI$1, AsistenciaJetAdminConcatenada!$B:$B, 0)), ISNUMBER(SEARCH($A29,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ISNUMBER(SEARCH($A29, INDEX(AsistenciaJetAdminConcatenada!$D:$D, MATCH(1, (AsistenciaJetAdminConcatenada!$A:$A=CI$2)*(AsistenciaJetAdminConcatenada!$B:$B=CI$1), 0)), 1))),  0.5, 0))</f>
        <v>0</v>
      </c>
      <c r="CJ29" s="47">
        <f t="array" ref="CJ29">IF(AND(ISNUMBER(MATCH(CJ$2, AsistenciaJetAdminConcatenada!$A:$A, 0)), ISNUMBER(MATCH(CJ$1, AsistenciaJetAdminConcatenada!$B:$B, 0)), ISNUMBER(SEARCH($A29,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ISNUMBER(SEARCH($A29, INDEX(AsistenciaJetAdminConcatenada!$D:$D, MATCH(1, (AsistenciaJetAdminConcatenada!$A:$A=CJ$2)*(AsistenciaJetAdminConcatenada!$B:$B=CJ$1), 0)), 1))),  0.5, 0))</f>
        <v>1</v>
      </c>
      <c r="CK29" s="47">
        <f t="array" ref="CK29">IF(AND(ISNUMBER(MATCH(CK$2, AsistenciaJetAdminConcatenada!$A:$A, 0)), ISNUMBER(MATCH(CK$1, AsistenciaJetAdminConcatenada!$B:$B, 0)), ISNUMBER(SEARCH($A29,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ISNUMBER(SEARCH($A29, INDEX(AsistenciaJetAdminConcatenada!$D:$D, MATCH(1, (AsistenciaJetAdminConcatenada!$A:$A=CK$2)*(AsistenciaJetAdminConcatenada!$B:$B=CK$1), 0)), 1))),  0.5, 0))</f>
        <v>0</v>
      </c>
      <c r="CL29" s="47">
        <f t="array" ref="CL29">IF(AND(ISNUMBER(MATCH(CL$2, AsistenciaJetAdminConcatenada!$A:$A, 0)), ISNUMBER(MATCH(CL$1, AsistenciaJetAdminConcatenada!$B:$B, 0)), ISNUMBER(SEARCH($A29,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ISNUMBER(SEARCH($A29, INDEX(AsistenciaJetAdminConcatenada!$D:$D, MATCH(1, (AsistenciaJetAdminConcatenada!$A:$A=CL$2)*(AsistenciaJetAdminConcatenada!$B:$B=CL$1), 0)), 1))),  0.5, 0))</f>
        <v>1</v>
      </c>
      <c r="CM29" s="47">
        <f t="array" ref="CM29">IF(AND(ISNUMBER(MATCH(CM$2, AsistenciaJetAdminConcatenada!$A:$A, 0)), ISNUMBER(MATCH(CM$1, AsistenciaJetAdminConcatenada!$B:$B, 0)), ISNUMBER(SEARCH($A29,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ISNUMBER(SEARCH($A29, INDEX(AsistenciaJetAdminConcatenada!$D:$D, MATCH(1, (AsistenciaJetAdminConcatenada!$A:$A=CM$2)*(AsistenciaJetAdminConcatenada!$B:$B=CM$1), 0)), 1))),  0.5, 0))</f>
        <v>1</v>
      </c>
      <c r="CN29" s="47">
        <f t="array" ref="CN29">IF(AND(ISNUMBER(MATCH(CN$2, AsistenciaJetAdminConcatenada!$A:$A, 0)), ISNUMBER(MATCH(CN$1, AsistenciaJetAdminConcatenada!$B:$B, 0)), ISNUMBER(SEARCH($A29,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ISNUMBER(SEARCH($A29, INDEX(AsistenciaJetAdminConcatenada!$D:$D, MATCH(1, (AsistenciaJetAdminConcatenada!$A:$A=CN$2)*(AsistenciaJetAdminConcatenada!$B:$B=CN$1), 0)), 1))),  0.5, 0))</f>
        <v>0</v>
      </c>
      <c r="CO29" s="47">
        <f t="array" ref="CO29">IF(AND(ISNUMBER(MATCH(CO$2, AsistenciaJetAdminConcatenada!$A:$A, 0)), ISNUMBER(MATCH(CO$1, AsistenciaJetAdminConcatenada!$B:$B, 0)), ISNUMBER(SEARCH($A29,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ISNUMBER(SEARCH($A29, INDEX(AsistenciaJetAdminConcatenada!$D:$D, MATCH(1, (AsistenciaJetAdminConcatenada!$A:$A=CO$2)*(AsistenciaJetAdminConcatenada!$B:$B=CO$1), 0)), 1))),  0.5, 0))</f>
        <v>1</v>
      </c>
      <c r="CP29" s="47">
        <f t="array" ref="CP29">IF(AND(ISNUMBER(MATCH(CP$2, AsistenciaJetAdminConcatenada!$A:$A, 0)), ISNUMBER(MATCH(CP$1, AsistenciaJetAdminConcatenada!$B:$B, 0)), ISNUMBER(SEARCH($A29,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ISNUMBER(SEARCH($A29, INDEX(AsistenciaJetAdminConcatenada!$D:$D, MATCH(1, (AsistenciaJetAdminConcatenada!$A:$A=CP$2)*(AsistenciaJetAdminConcatenada!$B:$B=CP$1), 0)), 1))),  0.5, 0))</f>
        <v>1</v>
      </c>
      <c r="CQ29" s="47">
        <f t="array" ref="CQ29">IF(AND(ISNUMBER(MATCH(CQ$2, AsistenciaJetAdminConcatenada!$A:$A, 0)), ISNUMBER(MATCH(CQ$1, AsistenciaJetAdminConcatenada!$B:$B, 0)), ISNUMBER(SEARCH($A29,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ISNUMBER(SEARCH($A29, INDEX(AsistenciaJetAdminConcatenada!$D:$D, MATCH(1, (AsistenciaJetAdminConcatenada!$A:$A=CQ$2)*(AsistenciaJetAdminConcatenada!$B:$B=CQ$1), 0)), 1))),  0.5, 0))</f>
        <v>1</v>
      </c>
      <c r="CR29" s="47">
        <f t="array" ref="CR29">IF(AND(ISNUMBER(MATCH(CR$2, AsistenciaJetAdminConcatenada!$A:$A, 0)), ISNUMBER(MATCH(CR$1, AsistenciaJetAdminConcatenada!$B:$B, 0)), ISNUMBER(SEARCH($A29,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ISNUMBER(SEARCH($A29, INDEX(AsistenciaJetAdminConcatenada!$D:$D, MATCH(1, (AsistenciaJetAdminConcatenada!$A:$A=CR$2)*(AsistenciaJetAdminConcatenada!$B:$B=CR$1), 0)), 1))),  0.5, 0))</f>
        <v>1</v>
      </c>
      <c r="CS29" s="47">
        <f t="array" ref="CS29">IF(AND(ISNUMBER(MATCH(CS$2, AsistenciaJetAdminConcatenada!$A:$A, 0)), ISNUMBER(MATCH(CS$1, AsistenciaJetAdminConcatenada!$B:$B, 0)), ISNUMBER(SEARCH($A29,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ISNUMBER(SEARCH($A29, INDEX(AsistenciaJetAdminConcatenada!$D:$D, MATCH(1, (AsistenciaJetAdminConcatenada!$A:$A=CS$2)*(AsistenciaJetAdminConcatenada!$B:$B=CS$1), 0)), 1))),  0.5, 0))</f>
        <v>0</v>
      </c>
      <c r="CT29" s="47">
        <f t="array" ref="CT29">IF(AND(ISNUMBER(MATCH(CT$2, AsistenciaJetAdminConcatenada!$A:$A, 0)), ISNUMBER(MATCH(CT$1, AsistenciaJetAdminConcatenada!$B:$B, 0)), ISNUMBER(SEARCH($A29,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ISNUMBER(SEARCH($A29, INDEX(AsistenciaJetAdminConcatenada!$D:$D, MATCH(1, (AsistenciaJetAdminConcatenada!$A:$A=CT$2)*(AsistenciaJetAdminConcatenada!$B:$B=CT$1), 0)), 1))),  0.5, 0))</f>
        <v>0</v>
      </c>
      <c r="CU29" s="47">
        <f t="array" ref="CU29">IF(AND(ISNUMBER(MATCH(CU$2, AsistenciaJetAdminConcatenada!$A:$A, 0)), ISNUMBER(MATCH(CU$1, AsistenciaJetAdminConcatenada!$B:$B, 0)), ISNUMBER(SEARCH($A29,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ISNUMBER(SEARCH($A29, INDEX(AsistenciaJetAdminConcatenada!$D:$D, MATCH(1, (AsistenciaJetAdminConcatenada!$A:$A=CU$2)*(AsistenciaJetAdminConcatenada!$B:$B=CU$1), 0)), 1))),  0.5, 0))</f>
        <v>0</v>
      </c>
      <c r="CV29" s="47">
        <f t="array" ref="CV29">IF(AND(ISNUMBER(MATCH(CV$2, AsistenciaJetAdminConcatenada!$A:$A, 0)), ISNUMBER(MATCH(CV$1, AsistenciaJetAdminConcatenada!$B:$B, 0)), ISNUMBER(SEARCH($A29,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ISNUMBER(SEARCH($A29, INDEX(AsistenciaJetAdminConcatenada!$D:$D, MATCH(1, (AsistenciaJetAdminConcatenada!$A:$A=CV$2)*(AsistenciaJetAdminConcatenada!$B:$B=CV$1), 0)), 1))),  0.5, 0))</f>
        <v>0</v>
      </c>
      <c r="CW29" s="47">
        <f t="array" ref="CW29">IF(AND(ISNUMBER(MATCH(CW$2, AsistenciaJetAdminConcatenada!$A:$A, 0)), ISNUMBER(MATCH(CW$1, AsistenciaJetAdminConcatenada!$B:$B, 0)), ISNUMBER(SEARCH($A29,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ISNUMBER(SEARCH($A29, INDEX(AsistenciaJetAdminConcatenada!$D:$D, MATCH(1, (AsistenciaJetAdminConcatenada!$A:$A=CW$2)*(AsistenciaJetAdminConcatenada!$B:$B=CW$1), 0)), 1))),  0.5, 0))</f>
        <v>0</v>
      </c>
      <c r="CX29" s="47">
        <f t="array" ref="CX29">IF(AND(ISNUMBER(MATCH(CX$2, AsistenciaJetAdminConcatenada!$A:$A, 0)), ISNUMBER(MATCH(CX$1, AsistenciaJetAdminConcatenada!$B:$B, 0)), ISNUMBER(SEARCH($A29,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ISNUMBER(SEARCH($A29, INDEX(AsistenciaJetAdminConcatenada!$D:$D, MATCH(1, (AsistenciaJetAdminConcatenada!$A:$A=CX$2)*(AsistenciaJetAdminConcatenada!$B:$B=CX$1), 0)), 1))),  0.5, 0))</f>
        <v>0</v>
      </c>
      <c r="CY29" s="47">
        <f t="array" ref="CY29">IF(AND(ISNUMBER(MATCH(CY$2, AsistenciaJetAdminConcatenada!$A:$A, 0)), ISNUMBER(MATCH(CY$1, AsistenciaJetAdminConcatenada!$B:$B, 0)), ISNUMBER(SEARCH($A29,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ISNUMBER(SEARCH($A29, INDEX(AsistenciaJetAdminConcatenada!$D:$D, MATCH(1, (AsistenciaJetAdminConcatenada!$A:$A=CY$2)*(AsistenciaJetAdminConcatenada!$B:$B=CY$1), 0)), 1))),  0.5, 0))</f>
        <v>0</v>
      </c>
      <c r="CZ29" s="47">
        <f t="array" ref="CZ29">IF(AND(ISNUMBER(MATCH(CZ$2, AsistenciaJetAdminConcatenada!$A:$A, 0)), ISNUMBER(MATCH(CZ$1, AsistenciaJetAdminConcatenada!$B:$B, 0)), ISNUMBER(SEARCH($A29,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ISNUMBER(SEARCH($A29, INDEX(AsistenciaJetAdminConcatenada!$D:$D, MATCH(1, (AsistenciaJetAdminConcatenada!$A:$A=CZ$2)*(AsistenciaJetAdminConcatenada!$B:$B=CZ$1), 0)), 1))),  0.5, 0))</f>
        <v>0</v>
      </c>
      <c r="DA29" s="47">
        <f t="array" ref="DA29">IF(AND(ISNUMBER(MATCH(DA$2, AsistenciaJetAdminConcatenada!$A:$A, 0)), ISNUMBER(MATCH(DA$1, AsistenciaJetAdminConcatenada!$B:$B, 0)), ISNUMBER(SEARCH($A29,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ISNUMBER(SEARCH($A29, INDEX(AsistenciaJetAdminConcatenada!$D:$D, MATCH(1, (AsistenciaJetAdminConcatenada!$A:$A=DA$2)*(AsistenciaJetAdminConcatenada!$B:$B=DA$1), 0)), 1))),  0.5, 0))</f>
        <v>0</v>
      </c>
      <c r="DB29" s="47">
        <f t="array" ref="DB29">IF(AND(ISNUMBER(MATCH(DB$2, AsistenciaJetAdminConcatenada!$A:$A, 0)), ISNUMBER(MATCH(DB$1, AsistenciaJetAdminConcatenada!$B:$B, 0)), ISNUMBER(SEARCH($A29,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ISNUMBER(SEARCH($A29, INDEX(AsistenciaJetAdminConcatenada!$D:$D, MATCH(1, (AsistenciaJetAdminConcatenada!$A:$A=DB$2)*(AsistenciaJetAdminConcatenada!$B:$B=DB$1), 0)), 1))),  0.5, 0))</f>
        <v>0</v>
      </c>
      <c r="DC29" s="47">
        <f t="array" ref="DC29">IF(AND(ISNUMBER(MATCH(DC$2, AsistenciaJetAdminConcatenada!$A:$A, 0)), ISNUMBER(MATCH(DC$1, AsistenciaJetAdminConcatenada!$B:$B, 0)), ISNUMBER(SEARCH($A29,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ISNUMBER(SEARCH($A29, INDEX(AsistenciaJetAdminConcatenada!$D:$D, MATCH(1, (AsistenciaJetAdminConcatenada!$A:$A=DC$2)*(AsistenciaJetAdminConcatenada!$B:$B=DC$1), 0)), 1))),  0.5, 0))</f>
        <v>0</v>
      </c>
      <c r="DD29" s="47">
        <f t="array" ref="DD29">IF(AND(ISNUMBER(MATCH(DD$2, AsistenciaJetAdminConcatenada!$A:$A, 0)), ISNUMBER(MATCH(DD$1, AsistenciaJetAdminConcatenada!$B:$B, 0)), ISNUMBER(SEARCH($A29,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ISNUMBER(SEARCH($A29, INDEX(AsistenciaJetAdminConcatenada!$D:$D, MATCH(1, (AsistenciaJetAdminConcatenada!$A:$A=DD$2)*(AsistenciaJetAdminConcatenada!$B:$B=DD$1), 0)), 1))),  0.5, 0))</f>
        <v>0</v>
      </c>
      <c r="DE29" s="47">
        <f t="array" ref="DE29">IF(AND(ISNUMBER(MATCH(DE$2, AsistenciaJetAdminConcatenada!$A:$A, 0)), ISNUMBER(MATCH(DE$1, AsistenciaJetAdminConcatenada!$B:$B, 0)), ISNUMBER(SEARCH($A29,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ISNUMBER(SEARCH($A29, INDEX(AsistenciaJetAdminConcatenada!$D:$D, MATCH(1, (AsistenciaJetAdminConcatenada!$A:$A=DE$2)*(AsistenciaJetAdminConcatenada!$B:$B=DE$1), 0)), 1))),  0.5, 0))</f>
        <v>0</v>
      </c>
      <c r="DF29" s="47">
        <f t="array" ref="DF29">IF(AND(ISNUMBER(MATCH(DF$2, AsistenciaJetAdminConcatenada!$A:$A, 0)), ISNUMBER(MATCH(DF$1, AsistenciaJetAdminConcatenada!$B:$B, 0)), ISNUMBER(SEARCH($A29,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ISNUMBER(SEARCH($A29, INDEX(AsistenciaJetAdminConcatenada!$D:$D, MATCH(1, (AsistenciaJetAdminConcatenada!$A:$A=DF$2)*(AsistenciaJetAdminConcatenada!$B:$B=DF$1), 0)), 1))),  0.5, 0))</f>
        <v>0</v>
      </c>
      <c r="DG29" s="47">
        <f t="array" ref="DG29">IF(AND(ISNUMBER(MATCH(DG$2, AsistenciaJetAdminConcatenada!$A:$A, 0)), ISNUMBER(MATCH(DG$1, AsistenciaJetAdminConcatenada!$B:$B, 0)), ISNUMBER(SEARCH($A29,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ISNUMBER(SEARCH($A29, INDEX(AsistenciaJetAdminConcatenada!$D:$D, MATCH(1, (AsistenciaJetAdminConcatenada!$A:$A=DG$2)*(AsistenciaJetAdminConcatenada!$B:$B=DG$1), 0)), 1))),  0.5, 0))</f>
        <v>0</v>
      </c>
      <c r="DH29" s="47">
        <f t="array" ref="DH29">IF(AND(ISNUMBER(MATCH(DH$2, AsistenciaJetAdminConcatenada!$A:$A, 0)), ISNUMBER(MATCH(DH$1, AsistenciaJetAdminConcatenada!$B:$B, 0)), ISNUMBER(SEARCH($A29,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ISNUMBER(SEARCH($A29, INDEX(AsistenciaJetAdminConcatenada!$D:$D, MATCH(1, (AsistenciaJetAdminConcatenada!$A:$A=DH$2)*(AsistenciaJetAdminConcatenada!$B:$B=DH$1), 0)), 1))),  0.5, 0))</f>
        <v>0</v>
      </c>
      <c r="DI29" s="47">
        <f t="array" ref="DI29">IF(AND(ISNUMBER(MATCH(DI$2, AsistenciaJetAdminConcatenada!$A:$A, 0)), ISNUMBER(MATCH(DI$1, AsistenciaJetAdminConcatenada!$B:$B, 0)), ISNUMBER(SEARCH($A29,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ISNUMBER(SEARCH($A29, INDEX(AsistenciaJetAdminConcatenada!$D:$D, MATCH(1, (AsistenciaJetAdminConcatenada!$A:$A=DI$2)*(AsistenciaJetAdminConcatenada!$B:$B=DI$1), 0)), 1))),  0.5, 0))</f>
        <v>0</v>
      </c>
      <c r="DJ29" s="47">
        <f t="array" ref="DJ29">IF(AND(ISNUMBER(MATCH(DJ$2, AsistenciaJetAdminConcatenada!$A:$A, 0)), ISNUMBER(MATCH(DJ$1, AsistenciaJetAdminConcatenada!$B:$B, 0)), ISNUMBER(SEARCH($A29,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ISNUMBER(SEARCH($A29, INDEX(AsistenciaJetAdminConcatenada!$D:$D, MATCH(1, (AsistenciaJetAdminConcatenada!$A:$A=DJ$2)*(AsistenciaJetAdminConcatenada!$B:$B=DJ$1), 0)), 1))),  0.5, 0))</f>
        <v>0</v>
      </c>
      <c r="DK29" s="47">
        <f t="array" ref="DK29">IF(AND(ISNUMBER(MATCH(DK$2, AsistenciaJetAdminConcatenada!$A:$A, 0)), ISNUMBER(MATCH(DK$1, AsistenciaJetAdminConcatenada!$B:$B, 0)), ISNUMBER(SEARCH($A29,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ISNUMBER(SEARCH($A29, INDEX(AsistenciaJetAdminConcatenada!$D:$D, MATCH(1, (AsistenciaJetAdminConcatenada!$A:$A=DK$2)*(AsistenciaJetAdminConcatenada!$B:$B=DK$1), 0)), 1))),  0.5, 0))</f>
        <v>0</v>
      </c>
      <c r="DL29" s="47">
        <f t="array" ref="DL29">IF(AND(ISNUMBER(MATCH(DL$2, AsistenciaJetAdminConcatenada!$A:$A, 0)), ISNUMBER(MATCH(DL$1, AsistenciaJetAdminConcatenada!$B:$B, 0)), ISNUMBER(SEARCH($A29,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ISNUMBER(SEARCH($A29, INDEX(AsistenciaJetAdminConcatenada!$D:$D, MATCH(1, (AsistenciaJetAdminConcatenada!$A:$A=DL$2)*(AsistenciaJetAdminConcatenada!$B:$B=DL$1), 0)), 1))),  0.5, 0))</f>
        <v>0</v>
      </c>
      <c r="DM29" s="47">
        <f t="array" ref="DM29">IF(AND(ISNUMBER(MATCH(DM$2, AsistenciaJetAdminConcatenada!$A:$A, 0)), ISNUMBER(MATCH(DM$1, AsistenciaJetAdminConcatenada!$B:$B, 0)), ISNUMBER(SEARCH($A29,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ISNUMBER(SEARCH($A29, INDEX(AsistenciaJetAdminConcatenada!$D:$D, MATCH(1, (AsistenciaJetAdminConcatenada!$A:$A=DM$2)*(AsistenciaJetAdminConcatenada!$B:$B=DM$1), 0)), 1))),  0.5, 0))</f>
        <v>0</v>
      </c>
      <c r="DN29" s="47">
        <f t="array" ref="DN29">IF(AND(ISNUMBER(MATCH(DN$2, AsistenciaJetAdminConcatenada!$A:$A, 0)), ISNUMBER(MATCH(DN$1, AsistenciaJetAdminConcatenada!$B:$B, 0)), ISNUMBER(SEARCH($A29,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ISNUMBER(SEARCH($A29, INDEX(AsistenciaJetAdminConcatenada!$D:$D, MATCH(1, (AsistenciaJetAdminConcatenada!$A:$A=DN$2)*(AsistenciaJetAdminConcatenada!$B:$B=DN$1), 0)), 1))),  0.5, 0))</f>
        <v>0</v>
      </c>
      <c r="DO29" s="47">
        <f t="array" ref="DO29">IF(AND(ISNUMBER(MATCH(DO$2, AsistenciaJetAdminConcatenada!$A:$A, 0)), ISNUMBER(MATCH(DO$1, AsistenciaJetAdminConcatenada!$B:$B, 0)), ISNUMBER(SEARCH($A29,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ISNUMBER(SEARCH($A29, INDEX(AsistenciaJetAdminConcatenada!$D:$D, MATCH(1, (AsistenciaJetAdminConcatenada!$A:$A=DO$2)*(AsistenciaJetAdminConcatenada!$B:$B=DO$1), 0)), 1))),  0.5, 0))</f>
        <v>0</v>
      </c>
      <c r="DP29" s="47">
        <f t="array" ref="DP29">IF(AND(ISNUMBER(MATCH(DP$2, AsistenciaJetAdminConcatenada!$A:$A, 0)), ISNUMBER(MATCH(DP$1, AsistenciaJetAdminConcatenada!$B:$B, 0)), ISNUMBER(SEARCH($A29,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ISNUMBER(SEARCH($A29, INDEX(AsistenciaJetAdminConcatenada!$D:$D, MATCH(1, (AsistenciaJetAdminConcatenada!$A:$A=DP$2)*(AsistenciaJetAdminConcatenada!$B:$B=DP$1), 0)), 1))),  0.5, 0))</f>
        <v>0</v>
      </c>
      <c r="DQ29" s="47">
        <f t="array" ref="DQ29">IF(AND(ISNUMBER(MATCH(DQ$2, AsistenciaJetAdminConcatenada!$A:$A, 0)), ISNUMBER(MATCH(DQ$1, AsistenciaJetAdminConcatenada!$B:$B, 0)), ISNUMBER(SEARCH($A29,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ISNUMBER(SEARCH($A29, INDEX(AsistenciaJetAdminConcatenada!$D:$D, MATCH(1, (AsistenciaJetAdminConcatenada!$A:$A=DQ$2)*(AsistenciaJetAdminConcatenada!$B:$B=DQ$1), 0)), 1))),  0.5, 0))</f>
        <v>0</v>
      </c>
      <c r="DR29" s="47">
        <f t="array" ref="DR29">IF(AND(ISNUMBER(MATCH(DR$2, AsistenciaJetAdminConcatenada!$A:$A, 0)), ISNUMBER(MATCH(DR$1, AsistenciaJetAdminConcatenada!$B:$B, 0)), ISNUMBER(SEARCH($A29,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ISNUMBER(SEARCH($A29, INDEX(AsistenciaJetAdminConcatenada!$D:$D, MATCH(1, (AsistenciaJetAdminConcatenada!$A:$A=DR$2)*(AsistenciaJetAdminConcatenada!$B:$B=DR$1), 0)), 1))),  0.5, 0))</f>
        <v>0</v>
      </c>
      <c r="DS29" s="47">
        <f t="array" ref="DS29">IF(AND(ISNUMBER(MATCH(DS$2, AsistenciaJetAdminConcatenada!$A:$A, 0)), ISNUMBER(MATCH(DS$1, AsistenciaJetAdminConcatenada!$B:$B, 0)), ISNUMBER(SEARCH($A29,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ISNUMBER(SEARCH($A29, INDEX(AsistenciaJetAdminConcatenada!$D:$D, MATCH(1, (AsistenciaJetAdminConcatenada!$A:$A=DS$2)*(AsistenciaJetAdminConcatenada!$B:$B=DS$1), 0)), 1))),  0.5, 0))</f>
        <v>0</v>
      </c>
      <c r="DT29" s="47">
        <f t="array" ref="DT29">IF(AND(ISNUMBER(MATCH(DT$2, AsistenciaJetAdminConcatenada!$A:$A, 0)), ISNUMBER(MATCH(DT$1, AsistenciaJetAdminConcatenada!$B:$B, 0)), ISNUMBER(SEARCH($A29,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ISNUMBER(SEARCH($A29, INDEX(AsistenciaJetAdminConcatenada!$D:$D, MATCH(1, (AsistenciaJetAdminConcatenada!$A:$A=DT$2)*(AsistenciaJetAdminConcatenada!$B:$B=DT$1), 0)), 1))),  0.5, 0))</f>
        <v>0</v>
      </c>
      <c r="DU29" s="47">
        <f t="array" ref="DU29">IF(AND(ISNUMBER(MATCH(DU$2, AsistenciaJetAdminConcatenada!$A:$A, 0)), ISNUMBER(MATCH(DU$1, AsistenciaJetAdminConcatenada!$B:$B, 0)), ISNUMBER(SEARCH($A29,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ISNUMBER(SEARCH($A29, INDEX(AsistenciaJetAdminConcatenada!$D:$D, MATCH(1, (AsistenciaJetAdminConcatenada!$A:$A=DU$2)*(AsistenciaJetAdminConcatenada!$B:$B=DU$1), 0)), 1))),  0.5, 0))</f>
        <v>0</v>
      </c>
      <c r="DV29" s="47">
        <f t="array" ref="DV29">IF(AND(ISNUMBER(MATCH(DV$2, AsistenciaJetAdminConcatenada!$A:$A, 0)), ISNUMBER(MATCH(DV$1, AsistenciaJetAdminConcatenada!$B:$B, 0)), ISNUMBER(SEARCH($A29,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ISNUMBER(SEARCH($A29, INDEX(AsistenciaJetAdminConcatenada!$D:$D, MATCH(1, (AsistenciaJetAdminConcatenada!$A:$A=DV$2)*(AsistenciaJetAdminConcatenada!$B:$B=DV$1), 0)), 1))),  0.5, 0))</f>
        <v>0</v>
      </c>
      <c r="DW29" s="47">
        <f t="array" ref="DW29">IF(AND(ISNUMBER(MATCH(DW$2, AsistenciaJetAdminConcatenada!$A:$A, 0)), ISNUMBER(MATCH(DW$1, AsistenciaJetAdminConcatenada!$B:$B, 0)), ISNUMBER(SEARCH($A29,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ISNUMBER(SEARCH($A29, INDEX(AsistenciaJetAdminConcatenada!$D:$D, MATCH(1, (AsistenciaJetAdminConcatenada!$A:$A=DW$2)*(AsistenciaJetAdminConcatenada!$B:$B=DW$1), 0)), 1))),  0.5, 0))</f>
        <v>0</v>
      </c>
      <c r="DX29" s="47">
        <f t="array" ref="DX29">IF(AND(ISNUMBER(MATCH(DX$2, AsistenciaJetAdminConcatenada!$A:$A, 0)), ISNUMBER(MATCH(DX$1, AsistenciaJetAdminConcatenada!$B:$B, 0)), ISNUMBER(SEARCH($A29,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ISNUMBER(SEARCH($A29, INDEX(AsistenciaJetAdminConcatenada!$D:$D, MATCH(1, (AsistenciaJetAdminConcatenada!$A:$A=DX$2)*(AsistenciaJetAdminConcatenada!$B:$B=DX$1), 0)), 1))),  0.5, 0))</f>
        <v>0</v>
      </c>
      <c r="DY29" s="47">
        <f t="array" ref="DY29">IF(AND(ISNUMBER(MATCH(DY$2, AsistenciaJetAdminConcatenada!$A:$A, 0)), ISNUMBER(MATCH(DY$1, AsistenciaJetAdminConcatenada!$B:$B, 0)), ISNUMBER(SEARCH($A29,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ISNUMBER(SEARCH($A29, INDEX(AsistenciaJetAdminConcatenada!$D:$D, MATCH(1, (AsistenciaJetAdminConcatenada!$A:$A=DY$2)*(AsistenciaJetAdminConcatenada!$B:$B=DY$1), 0)), 1))),  0.5, 0))</f>
        <v>0</v>
      </c>
      <c r="DZ29" s="47">
        <f t="array" ref="DZ29">IF(AND(ISNUMBER(MATCH(DZ$2, AsistenciaJetAdminConcatenada!$A:$A, 0)), ISNUMBER(MATCH(DZ$1, AsistenciaJetAdminConcatenada!$B:$B, 0)), ISNUMBER(SEARCH($A29,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ISNUMBER(SEARCH($A29, INDEX(AsistenciaJetAdminConcatenada!$D:$D, MATCH(1, (AsistenciaJetAdminConcatenada!$A:$A=DZ$2)*(AsistenciaJetAdminConcatenada!$B:$B=DZ$1), 0)), 1))),  0.5, 0))</f>
        <v>0</v>
      </c>
      <c r="EA29" s="47">
        <f t="array" ref="EA29">IF(AND(ISNUMBER(MATCH(EA$2, AsistenciaJetAdminConcatenada!$A:$A, 0)), ISNUMBER(MATCH(EA$1, AsistenciaJetAdminConcatenada!$B:$B, 0)), ISNUMBER(SEARCH($A29,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ISNUMBER(SEARCH($A29, INDEX(AsistenciaJetAdminConcatenada!$D:$D, MATCH(1, (AsistenciaJetAdminConcatenada!$A:$A=EA$2)*(AsistenciaJetAdminConcatenada!$B:$B=EA$1), 0)), 1))),  0.5, 0))</f>
        <v>0</v>
      </c>
      <c r="EB29" s="47">
        <f t="array" ref="EB29">IF(AND(ISNUMBER(MATCH(EB$2, AsistenciaJetAdminConcatenada!$A:$A, 0)), ISNUMBER(MATCH(EB$1, AsistenciaJetAdminConcatenada!$B:$B, 0)), ISNUMBER(SEARCH($A29,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ISNUMBER(SEARCH($A29, INDEX(AsistenciaJetAdminConcatenada!$D:$D, MATCH(1, (AsistenciaJetAdminConcatenada!$A:$A=EB$2)*(AsistenciaJetAdminConcatenada!$B:$B=EB$1), 0)), 1))),  0.5, 0))</f>
        <v>0</v>
      </c>
      <c r="EC29" s="47">
        <f t="array" ref="EC29">IF(AND(ISNUMBER(MATCH(EC$2, AsistenciaJetAdminConcatenada!$A:$A, 0)), ISNUMBER(MATCH(EC$1, AsistenciaJetAdminConcatenada!$B:$B, 0)), ISNUMBER(SEARCH($A29,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ISNUMBER(SEARCH($A29, INDEX(AsistenciaJetAdminConcatenada!$D:$D, MATCH(1, (AsistenciaJetAdminConcatenada!$A:$A=EC$2)*(AsistenciaJetAdminConcatenada!$B:$B=EC$1), 0)), 1))),  0.5, 0))</f>
        <v>0</v>
      </c>
      <c r="ED29" s="47">
        <f t="array" ref="ED29">IF(AND(ISNUMBER(MATCH(ED$2, AsistenciaJetAdminConcatenada!$A:$A, 0)), ISNUMBER(MATCH(ED$1, AsistenciaJetAdminConcatenada!$B:$B, 0)), ISNUMBER(SEARCH($A29,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ISNUMBER(SEARCH($A29, INDEX(AsistenciaJetAdminConcatenada!$D:$D, MATCH(1, (AsistenciaJetAdminConcatenada!$A:$A=ED$2)*(AsistenciaJetAdminConcatenada!$B:$B=ED$1), 0)), 1))),  0.5, 0))</f>
        <v>0</v>
      </c>
      <c r="EE29" s="47">
        <f t="array" ref="EE29">IF(AND(ISNUMBER(MATCH(EE$2, AsistenciaJetAdminConcatenada!$A:$A, 0)), ISNUMBER(MATCH(EE$1, AsistenciaJetAdminConcatenada!$B:$B, 0)), ISNUMBER(SEARCH($A29,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ISNUMBER(SEARCH($A29, INDEX(AsistenciaJetAdminConcatenada!$D:$D, MATCH(1, (AsistenciaJetAdminConcatenada!$A:$A=EE$2)*(AsistenciaJetAdminConcatenada!$B:$B=EE$1), 0)), 1))),  0.5, 0))</f>
        <v>0</v>
      </c>
      <c r="EF29" s="47">
        <f t="array" ref="EF29">IF(AND(ISNUMBER(MATCH(EF$2, AsistenciaJetAdminConcatenada!$A:$A, 0)), ISNUMBER(MATCH(EF$1, AsistenciaJetAdminConcatenada!$B:$B, 0)), ISNUMBER(SEARCH($A29,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ISNUMBER(SEARCH($A29, INDEX(AsistenciaJetAdminConcatenada!$D:$D, MATCH(1, (AsistenciaJetAdminConcatenada!$A:$A=EF$2)*(AsistenciaJetAdminConcatenada!$B:$B=EF$1), 0)), 1))),  0.5, 0))</f>
        <v>0</v>
      </c>
      <c r="EG29" s="47">
        <f t="array" ref="EG29">IF(AND(ISNUMBER(MATCH(EG$2, AsistenciaJetAdminConcatenada!$A:$A, 0)), ISNUMBER(MATCH(EG$1, AsistenciaJetAdminConcatenada!$B:$B, 0)), ISNUMBER(SEARCH($A29,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ISNUMBER(SEARCH($A29, INDEX(AsistenciaJetAdminConcatenada!$D:$D, MATCH(1, (AsistenciaJetAdminConcatenada!$A:$A=EG$2)*(AsistenciaJetAdminConcatenada!$B:$B=EG$1), 0)), 1))),  0.5, 0))</f>
        <v>0</v>
      </c>
      <c r="EH29" s="47">
        <f t="array" ref="EH29">IF(AND(ISNUMBER(MATCH(EH$2, AsistenciaJetAdminConcatenada!$A:$A, 0)), ISNUMBER(MATCH(EH$1, AsistenciaJetAdminConcatenada!$B:$B, 0)), ISNUMBER(SEARCH($A29,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ISNUMBER(SEARCH($A29, INDEX(AsistenciaJetAdminConcatenada!$D:$D, MATCH(1, (AsistenciaJetAdminConcatenada!$A:$A=EH$2)*(AsistenciaJetAdminConcatenada!$B:$B=EH$1), 0)), 1))),  0.5, 0))</f>
        <v>0</v>
      </c>
      <c r="EI29" s="47">
        <f t="array" ref="EI29">IF(AND(ISNUMBER(MATCH(EI$2, AsistenciaJetAdminConcatenada!$A:$A, 0)), ISNUMBER(MATCH(EI$1, AsistenciaJetAdminConcatenada!$B:$B, 0)), ISNUMBER(SEARCH($A29,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ISNUMBER(SEARCH($A29, INDEX(AsistenciaJetAdminConcatenada!$D:$D, MATCH(1, (AsistenciaJetAdminConcatenada!$A:$A=EI$2)*(AsistenciaJetAdminConcatenada!$B:$B=EI$1), 0)), 1))),  0.5, 0))</f>
        <v>0</v>
      </c>
      <c r="EJ29" s="47">
        <f t="array" ref="EJ29">IF(AND(ISNUMBER(MATCH(EJ$2, AsistenciaJetAdminConcatenada!$A:$A, 0)), ISNUMBER(MATCH(EJ$1, AsistenciaJetAdminConcatenada!$B:$B, 0)), ISNUMBER(SEARCH($A29,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ISNUMBER(SEARCH($A29, INDEX(AsistenciaJetAdminConcatenada!$D:$D, MATCH(1, (AsistenciaJetAdminConcatenada!$A:$A=EJ$2)*(AsistenciaJetAdminConcatenada!$B:$B=EJ$1), 0)), 1))),  0.5, 0))</f>
        <v>0</v>
      </c>
      <c r="EK29" s="47">
        <f t="array" ref="EK29">IF(AND(ISNUMBER(MATCH(EK$2, AsistenciaJetAdminConcatenada!$A:$A, 0)), ISNUMBER(MATCH(EK$1, AsistenciaJetAdminConcatenada!$B:$B, 0)), ISNUMBER(SEARCH($A29,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ISNUMBER(SEARCH($A29, INDEX(AsistenciaJetAdminConcatenada!$D:$D, MATCH(1, (AsistenciaJetAdminConcatenada!$A:$A=EK$2)*(AsistenciaJetAdminConcatenada!$B:$B=EK$1), 0)), 1))),  0.5, 0))</f>
        <v>0</v>
      </c>
      <c r="EL29" s="47">
        <f t="array" ref="EL29">IF(AND(ISNUMBER(MATCH(EL$2, AsistenciaJetAdminConcatenada!$A:$A, 0)), ISNUMBER(MATCH(EL$1, AsistenciaJetAdminConcatenada!$B:$B, 0)), ISNUMBER(SEARCH($A29,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ISNUMBER(SEARCH($A29, INDEX(AsistenciaJetAdminConcatenada!$D:$D, MATCH(1, (AsistenciaJetAdminConcatenada!$A:$A=EL$2)*(AsistenciaJetAdminConcatenada!$B:$B=EL$1), 0)), 1))),  0.5, 0))</f>
        <v>0</v>
      </c>
      <c r="EM29" s="47">
        <f t="array" ref="EM29">IF(AND(ISNUMBER(MATCH(EM$2, AsistenciaJetAdminConcatenada!$A:$A, 0)), ISNUMBER(MATCH(EM$1, AsistenciaJetAdminConcatenada!$B:$B, 0)), ISNUMBER(SEARCH($A29,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ISNUMBER(SEARCH($A29, INDEX(AsistenciaJetAdminConcatenada!$D:$D, MATCH(1, (AsistenciaJetAdminConcatenada!$A:$A=EM$2)*(AsistenciaJetAdminConcatenada!$B:$B=EM$1), 0)), 1))),  0.5, 0))</f>
        <v>0</v>
      </c>
      <c r="EN29" s="47">
        <f t="array" ref="EN29">IF(AND(ISNUMBER(MATCH(EN$2, AsistenciaJetAdminConcatenada!$A:$A, 0)), ISNUMBER(MATCH(EN$1, AsistenciaJetAdminConcatenada!$B:$B, 0)), ISNUMBER(SEARCH($A29,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ISNUMBER(SEARCH($A29, INDEX(AsistenciaJetAdminConcatenada!$D:$D, MATCH(1, (AsistenciaJetAdminConcatenada!$A:$A=EN$2)*(AsistenciaJetAdminConcatenada!$B:$B=EN$1), 0)), 1))),  0.5, 0))</f>
        <v>0</v>
      </c>
      <c r="EO29" s="47">
        <f t="array" ref="EO29">IF(AND(ISNUMBER(MATCH(EO$2, AsistenciaJetAdminConcatenada!$A:$A, 0)), ISNUMBER(MATCH(EO$1, AsistenciaJetAdminConcatenada!$B:$B, 0)), ISNUMBER(SEARCH($A29,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ISNUMBER(SEARCH($A29, INDEX(AsistenciaJetAdminConcatenada!$D:$D, MATCH(1, (AsistenciaJetAdminConcatenada!$A:$A=EO$2)*(AsistenciaJetAdminConcatenada!$B:$B=EO$1), 0)), 1))),  0.5, 0))</f>
        <v>0</v>
      </c>
      <c r="EP29" s="47">
        <f t="array" ref="EP29">IF(AND(ISNUMBER(MATCH(EP$2, AsistenciaJetAdminConcatenada!$A:$A, 0)), ISNUMBER(MATCH(EP$1, AsistenciaJetAdminConcatenada!$B:$B, 0)), ISNUMBER(SEARCH($A29,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ISNUMBER(SEARCH($A29, INDEX(AsistenciaJetAdminConcatenada!$D:$D, MATCH(1, (AsistenciaJetAdminConcatenada!$A:$A=EP$2)*(AsistenciaJetAdminConcatenada!$B:$B=EP$1), 0)), 1))),  0.5, 0))</f>
        <v>0</v>
      </c>
      <c r="EQ29" s="47">
        <f t="array" ref="EQ29">IF(AND(ISNUMBER(MATCH(EQ$2, AsistenciaJetAdminConcatenada!$A:$A, 0)), ISNUMBER(MATCH(EQ$1, AsistenciaJetAdminConcatenada!$B:$B, 0)), ISNUMBER(SEARCH($A29,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ISNUMBER(SEARCH($A29, INDEX(AsistenciaJetAdminConcatenada!$D:$D, MATCH(1, (AsistenciaJetAdminConcatenada!$A:$A=EQ$2)*(AsistenciaJetAdminConcatenada!$B:$B=EQ$1), 0)), 1))),  0.5, 0))</f>
        <v>0</v>
      </c>
      <c r="ER29" s="47">
        <f t="array" ref="ER29">IF(AND(ISNUMBER(MATCH(ER$2, AsistenciaJetAdminConcatenada!$A:$A, 0)), ISNUMBER(MATCH(ER$1, AsistenciaJetAdminConcatenada!$B:$B, 0)), ISNUMBER(SEARCH($A29,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ISNUMBER(SEARCH($A29, INDEX(AsistenciaJetAdminConcatenada!$D:$D, MATCH(1, (AsistenciaJetAdminConcatenada!$A:$A=ER$2)*(AsistenciaJetAdminConcatenada!$B:$B=ER$1), 0)), 1))),  0.5, 0))</f>
        <v>0</v>
      </c>
      <c r="ES29" s="47">
        <f t="array" ref="ES29">IF(AND(ISNUMBER(MATCH(ES$2, AsistenciaJetAdminConcatenada!$A:$A, 0)), ISNUMBER(MATCH(ES$1, AsistenciaJetAdminConcatenada!$B:$B, 0)), ISNUMBER(SEARCH($A29,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ISNUMBER(SEARCH($A29, INDEX(AsistenciaJetAdminConcatenada!$D:$D, MATCH(1, (AsistenciaJetAdminConcatenada!$A:$A=ES$2)*(AsistenciaJetAdminConcatenada!$B:$B=ES$1), 0)), 1))),  0.5, 0))</f>
        <v>0</v>
      </c>
      <c r="ET29" s="47">
        <f t="array" ref="ET29">IF(AND(ISNUMBER(MATCH(ET$2, AsistenciaJetAdminConcatenada!$A:$A, 0)), ISNUMBER(MATCH(ET$1, AsistenciaJetAdminConcatenada!$B:$B, 0)), ISNUMBER(SEARCH($A29,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ISNUMBER(SEARCH($A29, INDEX(AsistenciaJetAdminConcatenada!$D:$D, MATCH(1, (AsistenciaJetAdminConcatenada!$A:$A=ET$2)*(AsistenciaJetAdminConcatenada!$B:$B=ET$1), 0)), 1))),  0.5, 0))</f>
        <v>0</v>
      </c>
      <c r="EU29" s="47">
        <f t="array" ref="EU29">IF(AND(ISNUMBER(MATCH(EU$2, AsistenciaJetAdminConcatenada!$A:$A, 0)), ISNUMBER(MATCH(EU$1, AsistenciaJetAdminConcatenada!$B:$B, 0)), ISNUMBER(SEARCH($A29,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ISNUMBER(SEARCH($A29, INDEX(AsistenciaJetAdminConcatenada!$D:$D, MATCH(1, (AsistenciaJetAdminConcatenada!$A:$A=EU$2)*(AsistenciaJetAdminConcatenada!$B:$B=EU$1), 0)), 1))),  0.5, 0))</f>
        <v>0</v>
      </c>
      <c r="EV29" s="47">
        <f t="array" ref="EV29">IF(AND(ISNUMBER(MATCH(EV$2, AsistenciaJetAdminConcatenada!$A:$A, 0)), ISNUMBER(MATCH(EV$1, AsistenciaJetAdminConcatenada!$B:$B, 0)), ISNUMBER(SEARCH($A29,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ISNUMBER(SEARCH($A29, INDEX(AsistenciaJetAdminConcatenada!$D:$D, MATCH(1, (AsistenciaJetAdminConcatenada!$A:$A=EV$2)*(AsistenciaJetAdminConcatenada!$B:$B=EV$1), 0)), 1))),  0.5, 0))</f>
        <v>0</v>
      </c>
      <c r="EW29" s="47">
        <f t="array" ref="EW29">IF(AND(ISNUMBER(MATCH(EW$2, AsistenciaJetAdminConcatenada!$A:$A, 0)), ISNUMBER(MATCH(EW$1, AsistenciaJetAdminConcatenada!$B:$B, 0)), ISNUMBER(SEARCH($A29,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ISNUMBER(SEARCH($A29, INDEX(AsistenciaJetAdminConcatenada!$D:$D, MATCH(1, (AsistenciaJetAdminConcatenada!$A:$A=EW$2)*(AsistenciaJetAdminConcatenada!$B:$B=EW$1), 0)), 1))),  0.5, 0))</f>
        <v>0</v>
      </c>
      <c r="EX29" s="47">
        <f t="array" ref="EX29">IF(AND(ISNUMBER(MATCH(EX$2, AsistenciaJetAdminConcatenada!$A:$A, 0)), ISNUMBER(MATCH(EX$1, AsistenciaJetAdminConcatenada!$B:$B, 0)), ISNUMBER(SEARCH($A29,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ISNUMBER(SEARCH($A29, INDEX(AsistenciaJetAdminConcatenada!$D:$D, MATCH(1, (AsistenciaJetAdminConcatenada!$A:$A=EX$2)*(AsistenciaJetAdminConcatenada!$B:$B=EX$1), 0)), 1))),  0.5, 0))</f>
        <v>0</v>
      </c>
      <c r="EY29" s="47">
        <f t="array" ref="EY29">IF(AND(ISNUMBER(MATCH(EY$2, AsistenciaJetAdminConcatenada!$A:$A, 0)), ISNUMBER(MATCH(EY$1, AsistenciaJetAdminConcatenada!$B:$B, 0)), ISNUMBER(SEARCH($A29,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ISNUMBER(SEARCH($A29, INDEX(AsistenciaJetAdminConcatenada!$D:$D, MATCH(1, (AsistenciaJetAdminConcatenada!$A:$A=EY$2)*(AsistenciaJetAdminConcatenada!$B:$B=EY$1), 0)), 1))),  0.5, 0))</f>
        <v>0</v>
      </c>
      <c r="EZ29" s="47">
        <f t="array" ref="EZ29">IF(AND(ISNUMBER(MATCH(EZ$2, AsistenciaJetAdminConcatenada!$A:$A, 0)), ISNUMBER(MATCH(EZ$1, AsistenciaJetAdminConcatenada!$B:$B, 0)), ISNUMBER(SEARCH($A29,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ISNUMBER(SEARCH($A29, INDEX(AsistenciaJetAdminConcatenada!$D:$D, MATCH(1, (AsistenciaJetAdminConcatenada!$A:$A=EZ$2)*(AsistenciaJetAdminConcatenada!$B:$B=EZ$1), 0)), 1))),  0.5, 0))</f>
        <v>0</v>
      </c>
      <c r="FA29" s="47">
        <f t="array" ref="FA29">IF(AND(ISNUMBER(MATCH(FA$2, AsistenciaJetAdminConcatenada!$A:$A, 0)), ISNUMBER(MATCH(FA$1, AsistenciaJetAdminConcatenada!$B:$B, 0)), ISNUMBER(SEARCH($A29,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ISNUMBER(SEARCH($A29, INDEX(AsistenciaJetAdminConcatenada!$D:$D, MATCH(1, (AsistenciaJetAdminConcatenada!$A:$A=FA$2)*(AsistenciaJetAdminConcatenada!$B:$B=FA$1), 0)), 1))),  0.5, 0))</f>
        <v>0</v>
      </c>
      <c r="FB29" s="47">
        <f t="array" ref="FB29">IF(AND(ISNUMBER(MATCH(FB$2, AsistenciaJetAdminConcatenada!$A:$A, 0)), ISNUMBER(MATCH(FB$1, AsistenciaJetAdminConcatenada!$B:$B, 0)), ISNUMBER(SEARCH($A29,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ISNUMBER(SEARCH($A29, INDEX(AsistenciaJetAdminConcatenada!$D:$D, MATCH(1, (AsistenciaJetAdminConcatenada!$A:$A=FB$2)*(AsistenciaJetAdminConcatenada!$B:$B=FB$1), 0)), 1))),  0.5, 0))</f>
        <v>0</v>
      </c>
      <c r="FC29" s="47">
        <f t="array" ref="FC29">IF(AND(ISNUMBER(MATCH(FC$2, AsistenciaJetAdminConcatenada!$A:$A, 0)), ISNUMBER(MATCH(FC$1, AsistenciaJetAdminConcatenada!$B:$B, 0)), ISNUMBER(SEARCH($A29,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ISNUMBER(SEARCH($A29, INDEX(AsistenciaJetAdminConcatenada!$D:$D, MATCH(1, (AsistenciaJetAdminConcatenada!$A:$A=FC$2)*(AsistenciaJetAdminConcatenada!$B:$B=FC$1), 0)), 1))),  0.5, 0))</f>
        <v>0</v>
      </c>
      <c r="FD29" s="47">
        <f t="array" ref="FD29">IF(AND(ISNUMBER(MATCH(FD$2, AsistenciaJetAdminConcatenada!$A:$A, 0)), ISNUMBER(MATCH(FD$1, AsistenciaJetAdminConcatenada!$B:$B, 0)), ISNUMBER(SEARCH($A29,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ISNUMBER(SEARCH($A29, INDEX(AsistenciaJetAdminConcatenada!$D:$D, MATCH(1, (AsistenciaJetAdminConcatenada!$A:$A=FD$2)*(AsistenciaJetAdminConcatenada!$B:$B=FD$1), 0)), 1))),  0.5, 0))</f>
        <v>0</v>
      </c>
      <c r="FE29" s="47">
        <f t="array" ref="FE29">IF(AND(ISNUMBER(MATCH(FE$2, AsistenciaJetAdminConcatenada!$A:$A, 0)), ISNUMBER(MATCH(FE$1, AsistenciaJetAdminConcatenada!$B:$B, 0)), ISNUMBER(SEARCH($A29,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ISNUMBER(SEARCH($A29, INDEX(AsistenciaJetAdminConcatenada!$D:$D, MATCH(1, (AsistenciaJetAdminConcatenada!$A:$A=FE$2)*(AsistenciaJetAdminConcatenada!$B:$B=FE$1), 0)), 1))),  0.5, 0))</f>
        <v>0</v>
      </c>
      <c r="FF29" s="47">
        <f t="array" ref="FF29">IF(AND(ISNUMBER(MATCH(FF$2, AsistenciaJetAdminConcatenada!$A:$A, 0)), ISNUMBER(MATCH(FF$1, AsistenciaJetAdminConcatenada!$B:$B, 0)), ISNUMBER(SEARCH($A29,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ISNUMBER(SEARCH($A29, INDEX(AsistenciaJetAdminConcatenada!$D:$D, MATCH(1, (AsistenciaJetAdminConcatenada!$A:$A=FF$2)*(AsistenciaJetAdminConcatenada!$B:$B=FF$1), 0)), 1))),  0.5, 0))</f>
        <v>0</v>
      </c>
      <c r="FG29" s="47">
        <f t="array" ref="FG29">IF(AND(ISNUMBER(MATCH(FG$2, AsistenciaJetAdminConcatenada!$A:$A, 0)), ISNUMBER(MATCH(FG$1, AsistenciaJetAdminConcatenada!$B:$B, 0)), ISNUMBER(SEARCH($A29,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ISNUMBER(SEARCH($A29, INDEX(AsistenciaJetAdminConcatenada!$D:$D, MATCH(1, (AsistenciaJetAdminConcatenada!$A:$A=FG$2)*(AsistenciaJetAdminConcatenada!$B:$B=FG$1), 0)), 1))),  0.5, 0))</f>
        <v>0</v>
      </c>
      <c r="FH29" s="47">
        <f t="array" ref="FH29">IF(AND(ISNUMBER(MATCH(FH$2, AsistenciaJetAdminConcatenada!$A:$A, 0)), ISNUMBER(MATCH(FH$1, AsistenciaJetAdminConcatenada!$B:$B, 0)), ISNUMBER(SEARCH($A29,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ISNUMBER(SEARCH($A29, INDEX(AsistenciaJetAdminConcatenada!$D:$D, MATCH(1, (AsistenciaJetAdminConcatenada!$A:$A=FH$2)*(AsistenciaJetAdminConcatenada!$B:$B=FH$1), 0)), 1))),  0.5, 0))</f>
        <v>0</v>
      </c>
      <c r="FI29" s="47">
        <f t="array" ref="FI29">IF(AND(ISNUMBER(MATCH(FI$2, AsistenciaJetAdminConcatenada!$A:$A, 0)), ISNUMBER(MATCH(FI$1, AsistenciaJetAdminConcatenada!$B:$B, 0)), ISNUMBER(SEARCH($A29,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ISNUMBER(SEARCH($A29, INDEX(AsistenciaJetAdminConcatenada!$D:$D, MATCH(1, (AsistenciaJetAdminConcatenada!$A:$A=FI$2)*(AsistenciaJetAdminConcatenada!$B:$B=FI$1), 0)), 1))),  0.5, 0))</f>
        <v>0</v>
      </c>
      <c r="FJ29" s="47">
        <f t="array" ref="FJ29">IF(AND(ISNUMBER(MATCH(FJ$2, AsistenciaJetAdminConcatenada!$A:$A, 0)), ISNUMBER(MATCH(FJ$1, AsistenciaJetAdminConcatenada!$B:$B, 0)), ISNUMBER(SEARCH($A29,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ISNUMBER(SEARCH($A29, INDEX(AsistenciaJetAdminConcatenada!$D:$D, MATCH(1, (AsistenciaJetAdminConcatenada!$A:$A=FJ$2)*(AsistenciaJetAdminConcatenada!$B:$B=FJ$1), 0)), 1))),  0.5, 0))</f>
        <v>0</v>
      </c>
      <c r="FK29" s="47">
        <f t="array" ref="FK29">IF(AND(ISNUMBER(MATCH(FK$2, AsistenciaJetAdminConcatenada!$A:$A, 0)), ISNUMBER(MATCH(FK$1, AsistenciaJetAdminConcatenada!$B:$B, 0)), ISNUMBER(SEARCH($A29,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ISNUMBER(SEARCH($A29, INDEX(AsistenciaJetAdminConcatenada!$D:$D, MATCH(1, (AsistenciaJetAdminConcatenada!$A:$A=FK$2)*(AsistenciaJetAdminConcatenada!$B:$B=FK$1), 0)), 1))),  0.5, 0))</f>
        <v>0</v>
      </c>
      <c r="FL29" s="47">
        <f t="array" ref="FL29">IF(AND(ISNUMBER(MATCH(FL$2, AsistenciaJetAdminConcatenada!$A:$A, 0)), ISNUMBER(MATCH(FL$1, AsistenciaJetAdminConcatenada!$B:$B, 0)), ISNUMBER(SEARCH($A29,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ISNUMBER(SEARCH($A29, INDEX(AsistenciaJetAdminConcatenada!$D:$D, MATCH(1, (AsistenciaJetAdminConcatenada!$A:$A=FL$2)*(AsistenciaJetAdminConcatenada!$B:$B=FL$1), 0)), 1))),  0.5, 0))</f>
        <v>0</v>
      </c>
      <c r="FM29" s="47">
        <f t="array" ref="FM29">IF(AND(ISNUMBER(MATCH(FM$2, AsistenciaJetAdminConcatenada!$A:$A, 0)), ISNUMBER(MATCH(FM$1, AsistenciaJetAdminConcatenada!$B:$B, 0)), ISNUMBER(SEARCH($A29,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ISNUMBER(SEARCH($A29, INDEX(AsistenciaJetAdminConcatenada!$D:$D, MATCH(1, (AsistenciaJetAdminConcatenada!$A:$A=FM$2)*(AsistenciaJetAdminConcatenada!$B:$B=FM$1), 0)), 1))),  0.5, 0))</f>
        <v>0</v>
      </c>
      <c r="FN29" s="47">
        <f t="array" ref="FN29">IF(AND(ISNUMBER(MATCH(FN$2, AsistenciaJetAdminConcatenada!$A:$A, 0)), ISNUMBER(MATCH(FN$1, AsistenciaJetAdminConcatenada!$B:$B, 0)), ISNUMBER(SEARCH($A29,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ISNUMBER(SEARCH($A29, INDEX(AsistenciaJetAdminConcatenada!$D:$D, MATCH(1, (AsistenciaJetAdminConcatenada!$A:$A=FN$2)*(AsistenciaJetAdminConcatenada!$B:$B=FN$1), 0)), 1))),  0.5, 0))</f>
        <v>0</v>
      </c>
      <c r="FO29" s="47">
        <f t="array" ref="FO29">IF(AND(ISNUMBER(MATCH(FO$2, AsistenciaJetAdminConcatenada!$A:$A, 0)), ISNUMBER(MATCH(FO$1, AsistenciaJetAdminConcatenada!$B:$B, 0)), ISNUMBER(SEARCH($A29,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ISNUMBER(SEARCH($A29, INDEX(AsistenciaJetAdminConcatenada!$D:$D, MATCH(1, (AsistenciaJetAdminConcatenada!$A:$A=FO$2)*(AsistenciaJetAdminConcatenada!$B:$B=FO$1), 0)), 1))),  0.5, 0))</f>
        <v>0</v>
      </c>
      <c r="FP29" s="47">
        <f t="array" ref="FP29">IF(AND(ISNUMBER(MATCH(FP$2, AsistenciaJetAdminConcatenada!$A:$A, 0)), ISNUMBER(MATCH(FP$1, AsistenciaJetAdminConcatenada!$B:$B, 0)), ISNUMBER(SEARCH($A29,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ISNUMBER(SEARCH($A29, INDEX(AsistenciaJetAdminConcatenada!$D:$D, MATCH(1, (AsistenciaJetAdminConcatenada!$A:$A=FP$2)*(AsistenciaJetAdminConcatenada!$B:$B=FP$1), 0)), 1))),  0.5, 0))</f>
        <v>0</v>
      </c>
      <c r="FQ29" s="47">
        <f t="array" ref="FQ29">IF(AND(ISNUMBER(MATCH(FQ$2, AsistenciaJetAdminConcatenada!$A:$A, 0)), ISNUMBER(MATCH(FQ$1, AsistenciaJetAdminConcatenada!$B:$B, 0)), ISNUMBER(SEARCH($A29,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ISNUMBER(SEARCH($A29, INDEX(AsistenciaJetAdminConcatenada!$D:$D, MATCH(1, (AsistenciaJetAdminConcatenada!$A:$A=FQ$2)*(AsistenciaJetAdminConcatenada!$B:$B=FQ$1), 0)), 1))),  0.5, 0))</f>
        <v>0</v>
      </c>
      <c r="FR29" s="47">
        <f t="array" ref="FR29">IF(AND(ISNUMBER(MATCH(FR$2, AsistenciaJetAdminConcatenada!$A:$A, 0)), ISNUMBER(MATCH(FR$1, AsistenciaJetAdminConcatenada!$B:$B, 0)), ISNUMBER(SEARCH($A29,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ISNUMBER(SEARCH($A29, INDEX(AsistenciaJetAdminConcatenada!$D:$D, MATCH(1, (AsistenciaJetAdminConcatenada!$A:$A=FR$2)*(AsistenciaJetAdminConcatenada!$B:$B=FR$1), 0)), 1))),  0.5, 0))</f>
        <v>0</v>
      </c>
      <c r="FS29" s="47">
        <f t="array" ref="FS29">IF(AND(ISNUMBER(MATCH(FS$2, AsistenciaJetAdminConcatenada!$A:$A, 0)), ISNUMBER(MATCH(FS$1, AsistenciaJetAdminConcatenada!$B:$B, 0)), ISNUMBER(SEARCH($A29,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ISNUMBER(SEARCH($A29, INDEX(AsistenciaJetAdminConcatenada!$D:$D, MATCH(1, (AsistenciaJetAdminConcatenada!$A:$A=FS$2)*(AsistenciaJetAdminConcatenada!$B:$B=FS$1), 0)), 1))),  0.5, 0))</f>
        <v>0</v>
      </c>
      <c r="FT29" s="47">
        <f t="array" ref="FT29">IF(AND(ISNUMBER(MATCH(FT$2, AsistenciaJetAdminConcatenada!$A:$A, 0)), ISNUMBER(MATCH(FT$1, AsistenciaJetAdminConcatenada!$B:$B, 0)), ISNUMBER(SEARCH($A29,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ISNUMBER(SEARCH($A29, INDEX(AsistenciaJetAdminConcatenada!$D:$D, MATCH(1, (AsistenciaJetAdminConcatenada!$A:$A=FT$2)*(AsistenciaJetAdminConcatenada!$B:$B=FT$1), 0)), 1))),  0.5, 0))</f>
        <v>0</v>
      </c>
      <c r="FU29" s="47">
        <f t="array" ref="FU29">IF(AND(ISNUMBER(MATCH(FU$2, AsistenciaJetAdminConcatenada!$A:$A, 0)), ISNUMBER(MATCH(FU$1, AsistenciaJetAdminConcatenada!$B:$B, 0)), ISNUMBER(SEARCH($A29,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ISNUMBER(SEARCH($A29, INDEX(AsistenciaJetAdminConcatenada!$D:$D, MATCH(1, (AsistenciaJetAdminConcatenada!$A:$A=FU$2)*(AsistenciaJetAdminConcatenada!$B:$B=FU$1), 0)), 1))),  0.5, 0))</f>
        <v>0</v>
      </c>
      <c r="FV29" s="47">
        <f t="array" ref="FV29">IF(AND(ISNUMBER(MATCH(FV$2, AsistenciaJetAdminConcatenada!$A:$A, 0)), ISNUMBER(MATCH(FV$1, AsistenciaJetAdminConcatenada!$B:$B, 0)), ISNUMBER(SEARCH($A29,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ISNUMBER(SEARCH($A29, INDEX(AsistenciaJetAdminConcatenada!$D:$D, MATCH(1, (AsistenciaJetAdminConcatenada!$A:$A=FV$2)*(AsistenciaJetAdminConcatenada!$B:$B=FV$1), 0)), 1))),  0.5, 0))</f>
        <v>0</v>
      </c>
      <c r="FW29" s="47">
        <f t="array" ref="FW29">IF(AND(ISNUMBER(MATCH(FW$2, AsistenciaJetAdminConcatenada!$A:$A, 0)), ISNUMBER(MATCH(FW$1, AsistenciaJetAdminConcatenada!$B:$B, 0)), ISNUMBER(SEARCH($A29,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ISNUMBER(SEARCH($A29, INDEX(AsistenciaJetAdminConcatenada!$D:$D, MATCH(1, (AsistenciaJetAdminConcatenada!$A:$A=FW$2)*(AsistenciaJetAdminConcatenada!$B:$B=FW$1), 0)), 1))),  0.5, 0))</f>
        <v>0</v>
      </c>
      <c r="FX29" s="47">
        <f t="array" ref="FX29">IF(AND(ISNUMBER(MATCH(FX$2, AsistenciaJetAdminConcatenada!$A:$A, 0)), ISNUMBER(MATCH(FX$1, AsistenciaJetAdminConcatenada!$B:$B, 0)), ISNUMBER(SEARCH($A29,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ISNUMBER(SEARCH($A29, INDEX(AsistenciaJetAdminConcatenada!$D:$D, MATCH(1, (AsistenciaJetAdminConcatenada!$A:$A=FX$2)*(AsistenciaJetAdminConcatenada!$B:$B=FX$1), 0)), 1))),  0.5, 0))</f>
        <v>0</v>
      </c>
      <c r="FY29" s="47">
        <f t="array" ref="FY29">IF(AND(ISNUMBER(MATCH(FY$2, AsistenciaJetAdminConcatenada!$A:$A, 0)), ISNUMBER(MATCH(FY$1, AsistenciaJetAdminConcatenada!$B:$B, 0)), ISNUMBER(SEARCH($A29,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ISNUMBER(SEARCH($A29, INDEX(AsistenciaJetAdminConcatenada!$D:$D, MATCH(1, (AsistenciaJetAdminConcatenada!$A:$A=FY$2)*(AsistenciaJetAdminConcatenada!$B:$B=FY$1), 0)), 1))),  0.5, 0))</f>
        <v>0</v>
      </c>
      <c r="FZ29" s="47">
        <f t="array" ref="FZ29">IF(AND(ISNUMBER(MATCH(FZ$2, AsistenciaJetAdminConcatenada!$A:$A, 0)), ISNUMBER(MATCH(FZ$1, AsistenciaJetAdminConcatenada!$B:$B, 0)), ISNUMBER(SEARCH($A29,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ISNUMBER(SEARCH($A29, INDEX(AsistenciaJetAdminConcatenada!$D:$D, MATCH(1, (AsistenciaJetAdminConcatenada!$A:$A=FZ$2)*(AsistenciaJetAdminConcatenada!$B:$B=FZ$1), 0)), 1))),  0.5, 0))</f>
        <v>0</v>
      </c>
      <c r="GA29" s="47">
        <f t="array" ref="GA29">IF(AND(ISNUMBER(MATCH(GA$2, AsistenciaJetAdminConcatenada!$A:$A, 0)), ISNUMBER(MATCH(GA$1, AsistenciaJetAdminConcatenada!$B:$B, 0)), ISNUMBER(SEARCH($A29,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ISNUMBER(SEARCH($A29, INDEX(AsistenciaJetAdminConcatenada!$D:$D, MATCH(1, (AsistenciaJetAdminConcatenada!$A:$A=GA$2)*(AsistenciaJetAdminConcatenada!$B:$B=GA$1), 0)), 1))),  0.5, 0))</f>
        <v>0</v>
      </c>
      <c r="GB29" s="47">
        <f t="array" ref="GB29">IF(AND(ISNUMBER(MATCH(GB$2, AsistenciaJetAdminConcatenada!$A:$A, 0)), ISNUMBER(MATCH(GB$1, AsistenciaJetAdminConcatenada!$B:$B, 0)), ISNUMBER(SEARCH($A29,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ISNUMBER(SEARCH($A29, INDEX(AsistenciaJetAdminConcatenada!$D:$D, MATCH(1, (AsistenciaJetAdminConcatenada!$A:$A=GB$2)*(AsistenciaJetAdminConcatenada!$B:$B=GB$1), 0)), 1))),  0.5, 0))</f>
        <v>0</v>
      </c>
      <c r="GC29" s="47">
        <f t="array" ref="GC29">IF(AND(ISNUMBER(MATCH(GC$2, AsistenciaJetAdminConcatenada!$A:$A, 0)), ISNUMBER(MATCH(GC$1, AsistenciaJetAdminConcatenada!$B:$B, 0)), ISNUMBER(SEARCH($A29,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ISNUMBER(SEARCH($A29, INDEX(AsistenciaJetAdminConcatenada!$D:$D, MATCH(1, (AsistenciaJetAdminConcatenada!$A:$A=GC$2)*(AsistenciaJetAdminConcatenada!$B:$B=GC$1), 0)), 1))),  0.5, 0))</f>
        <v>0</v>
      </c>
      <c r="GD29" s="47">
        <f t="array" ref="GD29">IF(AND(ISNUMBER(MATCH(GD$2, AsistenciaJetAdminConcatenada!$A:$A, 0)), ISNUMBER(MATCH(GD$1, AsistenciaJetAdminConcatenada!$B:$B, 0)), ISNUMBER(SEARCH($A29,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ISNUMBER(SEARCH($A29, INDEX(AsistenciaJetAdminConcatenada!$D:$D, MATCH(1, (AsistenciaJetAdminConcatenada!$A:$A=GD$2)*(AsistenciaJetAdminConcatenada!$B:$B=GD$1), 0)), 1))),  0.5, 0))</f>
        <v>0</v>
      </c>
      <c r="GE29" s="47">
        <f t="array" ref="GE29">IF(AND(ISNUMBER(MATCH(GE$2, AsistenciaJetAdminConcatenada!$A:$A, 0)), ISNUMBER(MATCH(GE$1, AsistenciaJetAdminConcatenada!$B:$B, 0)), ISNUMBER(SEARCH($A29,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ISNUMBER(SEARCH($A29, INDEX(AsistenciaJetAdminConcatenada!$D:$D, MATCH(1, (AsistenciaJetAdminConcatenada!$A:$A=GE$2)*(AsistenciaJetAdminConcatenada!$B:$B=GE$1), 0)), 1))),  0.5, 0))</f>
        <v>0</v>
      </c>
      <c r="GF29" s="47">
        <f t="array" ref="GF29">IF(AND(ISNUMBER(MATCH(GF$2, AsistenciaJetAdminConcatenada!$A:$A, 0)), ISNUMBER(MATCH(GF$1, AsistenciaJetAdminConcatenada!$B:$B, 0)), ISNUMBER(SEARCH($A29,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ISNUMBER(SEARCH($A29, INDEX(AsistenciaJetAdminConcatenada!$D:$D, MATCH(1, (AsistenciaJetAdminConcatenada!$A:$A=GF$2)*(AsistenciaJetAdminConcatenada!$B:$B=GF$1), 0)), 1))),  0.5, 0))</f>
        <v>0</v>
      </c>
      <c r="GG29" s="47">
        <f t="array" ref="GG29">IF(AND(ISNUMBER(MATCH(GG$2, AsistenciaJetAdminConcatenada!$A:$A, 0)), ISNUMBER(MATCH(GG$1, AsistenciaJetAdminConcatenada!$B:$B, 0)), ISNUMBER(SEARCH($A29,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ISNUMBER(SEARCH($A29, INDEX(AsistenciaJetAdminConcatenada!$D:$D, MATCH(1, (AsistenciaJetAdminConcatenada!$A:$A=GG$2)*(AsistenciaJetAdminConcatenada!$B:$B=GG$1), 0)), 1))),  0.5, 0))</f>
        <v>0</v>
      </c>
      <c r="GH29" s="47">
        <f t="array" ref="GH29">IF(AND(ISNUMBER(MATCH(GH$2, AsistenciaJetAdminConcatenada!$A:$A, 0)), ISNUMBER(MATCH(GH$1, AsistenciaJetAdminConcatenada!$B:$B, 0)), ISNUMBER(SEARCH($A29,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ISNUMBER(SEARCH($A29, INDEX(AsistenciaJetAdminConcatenada!$D:$D, MATCH(1, (AsistenciaJetAdminConcatenada!$A:$A=GH$2)*(AsistenciaJetAdminConcatenada!$B:$B=GH$1), 0)), 1))),  0.5, 0))</f>
        <v>0</v>
      </c>
      <c r="GI29" s="47">
        <f t="array" ref="GI29">IF(AND(ISNUMBER(MATCH(GI$2, AsistenciaJetAdminConcatenada!$A:$A, 0)), ISNUMBER(MATCH(GI$1, AsistenciaJetAdminConcatenada!$B:$B, 0)), ISNUMBER(SEARCH($A29,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ISNUMBER(SEARCH($A29, INDEX(AsistenciaJetAdminConcatenada!$D:$D, MATCH(1, (AsistenciaJetAdminConcatenada!$A:$A=GI$2)*(AsistenciaJetAdminConcatenada!$B:$B=GI$1), 0)), 1))),  0.5, 0))</f>
        <v>0</v>
      </c>
      <c r="GJ29" s="47">
        <f t="array" ref="GJ29">IF(AND(ISNUMBER(MATCH(GJ$2, AsistenciaJetAdminConcatenada!$A:$A, 0)), ISNUMBER(MATCH(GJ$1, AsistenciaJetAdminConcatenada!$B:$B, 0)), ISNUMBER(SEARCH($A29,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ISNUMBER(SEARCH($A29, INDEX(AsistenciaJetAdminConcatenada!$D:$D, MATCH(1, (AsistenciaJetAdminConcatenada!$A:$A=GJ$2)*(AsistenciaJetAdminConcatenada!$B:$B=GJ$1), 0)), 1))),  0.5, 0))</f>
        <v>0</v>
      </c>
      <c r="GK29" s="47">
        <f t="array" ref="GK29">IF(AND(ISNUMBER(MATCH(GK$2, AsistenciaJetAdminConcatenada!$A:$A, 0)), ISNUMBER(MATCH(GK$1, AsistenciaJetAdminConcatenada!$B:$B, 0)), ISNUMBER(SEARCH($A29,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ISNUMBER(SEARCH($A29, INDEX(AsistenciaJetAdminConcatenada!$D:$D, MATCH(1, (AsistenciaJetAdminConcatenada!$A:$A=GK$2)*(AsistenciaJetAdminConcatenada!$B:$B=GK$1), 0)), 1))),  0.5, 0))</f>
        <v>0</v>
      </c>
      <c r="GL29" s="47">
        <f t="array" ref="GL29">IF(AND(ISNUMBER(MATCH(GL$2, AsistenciaJetAdminConcatenada!$A:$A, 0)), ISNUMBER(MATCH(GL$1, AsistenciaJetAdminConcatenada!$B:$B, 0)), ISNUMBER(SEARCH($A29,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ISNUMBER(SEARCH($A29, INDEX(AsistenciaJetAdminConcatenada!$D:$D, MATCH(1, (AsistenciaJetAdminConcatenada!$A:$A=GL$2)*(AsistenciaJetAdminConcatenada!$B:$B=GL$1), 0)), 1))),  0.5, 0))</f>
        <v>0</v>
      </c>
      <c r="GM29" s="47">
        <f t="array" ref="GM29">IF(AND(ISNUMBER(MATCH(GM$2, AsistenciaJetAdminConcatenada!$A:$A, 0)), ISNUMBER(MATCH(GM$1, AsistenciaJetAdminConcatenada!$B:$B, 0)), ISNUMBER(SEARCH($A29,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ISNUMBER(SEARCH($A29, INDEX(AsistenciaJetAdminConcatenada!$D:$D, MATCH(1, (AsistenciaJetAdminConcatenada!$A:$A=GM$2)*(AsistenciaJetAdminConcatenada!$B:$B=GM$1), 0)), 1))),  0.5, 0))</f>
        <v>0</v>
      </c>
      <c r="GN29" s="47">
        <f t="array" ref="GN29">IF(AND(ISNUMBER(MATCH(GN$2, AsistenciaJetAdminConcatenada!$A:$A, 0)), ISNUMBER(MATCH(GN$1, AsistenciaJetAdminConcatenada!$B:$B, 0)), ISNUMBER(SEARCH($A29,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ISNUMBER(SEARCH($A29, INDEX(AsistenciaJetAdminConcatenada!$D:$D, MATCH(1, (AsistenciaJetAdminConcatenada!$A:$A=GN$2)*(AsistenciaJetAdminConcatenada!$B:$B=GN$1), 0)), 1))),  0.5, 0))</f>
        <v>0</v>
      </c>
      <c r="GO29" s="47">
        <f t="array" ref="GO29">IF(AND(ISNUMBER(MATCH(GO$2, AsistenciaJetAdminConcatenada!$A:$A, 0)), ISNUMBER(MATCH(GO$1, AsistenciaJetAdminConcatenada!$B:$B, 0)), ISNUMBER(SEARCH($A29,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ISNUMBER(SEARCH($A29, INDEX(AsistenciaJetAdminConcatenada!$D:$D, MATCH(1, (AsistenciaJetAdminConcatenada!$A:$A=GO$2)*(AsistenciaJetAdminConcatenada!$B:$B=GO$1), 0)), 1))),  0.5, 0))</f>
        <v>0</v>
      </c>
      <c r="GP29" s="47">
        <f t="array" ref="GP29">IF(AND(ISNUMBER(MATCH(GP$2, AsistenciaJetAdminConcatenada!$A:$A, 0)), ISNUMBER(MATCH(GP$1, AsistenciaJetAdminConcatenada!$B:$B, 0)), ISNUMBER(SEARCH($A29,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ISNUMBER(SEARCH($A29, INDEX(AsistenciaJetAdminConcatenada!$D:$D, MATCH(1, (AsistenciaJetAdminConcatenada!$A:$A=GP$2)*(AsistenciaJetAdminConcatenada!$B:$B=GP$1), 0)), 1))),  0.5, 0))</f>
        <v>0</v>
      </c>
      <c r="GQ29" s="47">
        <f t="array" ref="GQ29">IF(AND(ISNUMBER(MATCH(GQ$2, AsistenciaJetAdminConcatenada!$A:$A, 0)), ISNUMBER(MATCH(GQ$1, AsistenciaJetAdminConcatenada!$B:$B, 0)), ISNUMBER(SEARCH($A29,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ISNUMBER(SEARCH($A29, INDEX(AsistenciaJetAdminConcatenada!$D:$D, MATCH(1, (AsistenciaJetAdminConcatenada!$A:$A=GQ$2)*(AsistenciaJetAdminConcatenada!$B:$B=GQ$1), 0)), 1))),  0.5, 0))</f>
        <v>0</v>
      </c>
      <c r="GR29" s="47">
        <f t="array" ref="GR29">IF(AND(ISNUMBER(MATCH(GR$2, AsistenciaJetAdminConcatenada!$A:$A, 0)), ISNUMBER(MATCH(GR$1, AsistenciaJetAdminConcatenada!$B:$B, 0)), ISNUMBER(SEARCH($A29,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ISNUMBER(SEARCH($A29, INDEX(AsistenciaJetAdminConcatenada!$D:$D, MATCH(1, (AsistenciaJetAdminConcatenada!$A:$A=GR$2)*(AsistenciaJetAdminConcatenada!$B:$B=GR$1), 0)), 1))),  0.5, 0))</f>
        <v>0</v>
      </c>
      <c r="GS29" s="47">
        <f t="array" ref="GS29">IF(AND(ISNUMBER(MATCH(GS$2, AsistenciaJetAdminConcatenada!$A:$A, 0)), ISNUMBER(MATCH(GS$1, AsistenciaJetAdminConcatenada!$B:$B, 0)), ISNUMBER(SEARCH($A29,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ISNUMBER(SEARCH($A29, INDEX(AsistenciaJetAdminConcatenada!$D:$D, MATCH(1, (AsistenciaJetAdminConcatenada!$A:$A=GS$2)*(AsistenciaJetAdminConcatenada!$B:$B=GS$1), 0)), 1))),  0.5, 0))</f>
        <v>0</v>
      </c>
      <c r="GT29" s="47">
        <f t="array" ref="GT29">IF(AND(ISNUMBER(MATCH(GT$2, AsistenciaJetAdminConcatenada!$A:$A, 0)), ISNUMBER(MATCH(GT$1, AsistenciaJetAdminConcatenada!$B:$B, 0)), ISNUMBER(SEARCH($A29,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ISNUMBER(SEARCH($A29, INDEX(AsistenciaJetAdminConcatenada!$D:$D, MATCH(1, (AsistenciaJetAdminConcatenada!$A:$A=GT$2)*(AsistenciaJetAdminConcatenada!$B:$B=GT$1), 0)), 1))),  0.5, 0))</f>
        <v>0</v>
      </c>
      <c r="GU29" s="47">
        <f t="array" ref="GU29">IF(AND(ISNUMBER(MATCH(GU$2, AsistenciaJetAdminConcatenada!$A:$A, 0)), ISNUMBER(MATCH(GU$1, AsistenciaJetAdminConcatenada!$B:$B, 0)), ISNUMBER(SEARCH($A29,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ISNUMBER(SEARCH($A29, INDEX(AsistenciaJetAdminConcatenada!$D:$D, MATCH(1, (AsistenciaJetAdminConcatenada!$A:$A=GU$2)*(AsistenciaJetAdminConcatenada!$B:$B=GU$1), 0)), 1))),  0.5, 0))</f>
        <v>0</v>
      </c>
      <c r="GV29" s="47">
        <f t="array" ref="GV29">IF(AND(ISNUMBER(MATCH(GV$2, AsistenciaJetAdminConcatenada!$A:$A, 0)), ISNUMBER(MATCH(GV$1, AsistenciaJetAdminConcatenada!$B:$B, 0)), ISNUMBER(SEARCH($A29,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ISNUMBER(SEARCH($A29, INDEX(AsistenciaJetAdminConcatenada!$D:$D, MATCH(1, (AsistenciaJetAdminConcatenada!$A:$A=GV$2)*(AsistenciaJetAdminConcatenada!$B:$B=GV$1), 0)), 1))),  0.5, 0))</f>
        <v>0</v>
      </c>
      <c r="GW29" s="47">
        <f t="array" ref="GW29">IF(AND(ISNUMBER(MATCH(GW$2, AsistenciaJetAdminConcatenada!$A:$A, 0)), ISNUMBER(MATCH(GW$1, AsistenciaJetAdminConcatenada!$B:$B, 0)), ISNUMBER(SEARCH($A29,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ISNUMBER(SEARCH($A29, INDEX(AsistenciaJetAdminConcatenada!$D:$D, MATCH(1, (AsistenciaJetAdminConcatenada!$A:$A=GW$2)*(AsistenciaJetAdminConcatenada!$B:$B=GW$1), 0)), 1))),  0.5, 0))</f>
        <v>0</v>
      </c>
      <c r="GX29" s="47">
        <f t="array" ref="GX29">IF(AND(ISNUMBER(MATCH(GX$2, AsistenciaJetAdminConcatenada!$A:$A, 0)), ISNUMBER(MATCH(GX$1, AsistenciaJetAdminConcatenada!$B:$B, 0)), ISNUMBER(SEARCH($A29,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ISNUMBER(SEARCH($A29, INDEX(AsistenciaJetAdminConcatenada!$D:$D, MATCH(1, (AsistenciaJetAdminConcatenada!$A:$A=GX$2)*(AsistenciaJetAdminConcatenada!$B:$B=GX$1), 0)), 1))),  0.5, 0))</f>
        <v>0</v>
      </c>
      <c r="GY29" s="47">
        <f t="array" ref="GY29">IF(AND(ISNUMBER(MATCH(GY$2, AsistenciaJetAdminConcatenada!$A:$A, 0)), ISNUMBER(MATCH(GY$1, AsistenciaJetAdminConcatenada!$B:$B, 0)), ISNUMBER(SEARCH($A29,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ISNUMBER(SEARCH($A29, INDEX(AsistenciaJetAdminConcatenada!$D:$D, MATCH(1, (AsistenciaJetAdminConcatenada!$A:$A=GY$2)*(AsistenciaJetAdminConcatenada!$B:$B=GY$1), 0)), 1))),  0.5, 0))</f>
        <v>0</v>
      </c>
      <c r="GZ29" s="47">
        <f t="array" ref="GZ29">IF(AND(ISNUMBER(MATCH(GZ$2, AsistenciaJetAdminConcatenada!$A:$A, 0)), ISNUMBER(MATCH(GZ$1, AsistenciaJetAdminConcatenada!$B:$B, 0)), ISNUMBER(SEARCH($A29,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ISNUMBER(SEARCH($A29, INDEX(AsistenciaJetAdminConcatenada!$D:$D, MATCH(1, (AsistenciaJetAdminConcatenada!$A:$A=GZ$2)*(AsistenciaJetAdminConcatenada!$B:$B=GZ$1), 0)), 1))),  0.5, 0))</f>
        <v>0</v>
      </c>
      <c r="HA29" s="47">
        <f t="array" ref="HA29">IF(AND(ISNUMBER(MATCH(HA$2, AsistenciaJetAdminConcatenada!$A:$A, 0)), ISNUMBER(MATCH(HA$1, AsistenciaJetAdminConcatenada!$B:$B, 0)), ISNUMBER(SEARCH($A29,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ISNUMBER(SEARCH($A29, INDEX(AsistenciaJetAdminConcatenada!$D:$D, MATCH(1, (AsistenciaJetAdminConcatenada!$A:$A=HA$2)*(AsistenciaJetAdminConcatenada!$B:$B=HA$1), 0)), 1))),  0.5, 0))</f>
        <v>0</v>
      </c>
      <c r="HB29" s="47">
        <f t="array" ref="HB29">IF(AND(ISNUMBER(MATCH(HB$2, AsistenciaJetAdminConcatenada!$A:$A, 0)), ISNUMBER(MATCH(HB$1, AsistenciaJetAdminConcatenada!$B:$B, 0)), ISNUMBER(SEARCH($A29,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ISNUMBER(SEARCH($A29, INDEX(AsistenciaJetAdminConcatenada!$D:$D, MATCH(1, (AsistenciaJetAdminConcatenada!$A:$A=HB$2)*(AsistenciaJetAdminConcatenada!$B:$B=HB$1), 0)), 1))),  0.5, 0))</f>
        <v>0</v>
      </c>
      <c r="HC29" s="47">
        <f t="array" ref="HC29">IF(AND(ISNUMBER(MATCH(HC$2, AsistenciaJetAdminConcatenada!$A:$A, 0)), ISNUMBER(MATCH(HC$1, AsistenciaJetAdminConcatenada!$B:$B, 0)), ISNUMBER(SEARCH($A29,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ISNUMBER(SEARCH($A29, INDEX(AsistenciaJetAdminConcatenada!$D:$D, MATCH(1, (AsistenciaJetAdminConcatenada!$A:$A=HC$2)*(AsistenciaJetAdminConcatenada!$B:$B=HC$1), 0)), 1))),  0.5, 0))</f>
        <v>0</v>
      </c>
    </row>
    <row r="30" ht="29.25" customHeight="1">
      <c r="A30" s="3">
        <v>108.0</v>
      </c>
      <c r="B30" s="4" t="s">
        <v>170</v>
      </c>
      <c r="C30" s="47">
        <f>SUM(D30:HC30) + ActividadesEspeciales!C30</f>
        <v>80.5</v>
      </c>
      <c r="D30" s="47">
        <f t="array" ref="D30">IF(AND(ISNUMBER(MATCH(D$2, AsistenciaJetAdminConcatenada!$A:$A, 0)), ISNUMBER(MATCH(D$1, AsistenciaJetAdminConcatenada!$B:$B, 0)), ISNUMBER(SEARCH($A30,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ISNUMBER(SEARCH($A30, INDEX(AsistenciaJetAdminConcatenada!$D:$D, MATCH(1, (AsistenciaJetAdminConcatenada!$A:$A=D$2)*(AsistenciaJetAdminConcatenada!$B:$B=D$1), 0)), 1))),  0.5, 0))</f>
        <v>1</v>
      </c>
      <c r="E30" s="47">
        <f t="array" ref="E30">IF(AND(ISNUMBER(MATCH(E$2, AsistenciaJetAdminConcatenada!$A:$A, 0)), ISNUMBER(MATCH(E$1, AsistenciaJetAdminConcatenada!$B:$B, 0)), ISNUMBER(SEARCH($A30,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ISNUMBER(SEARCH($A30, INDEX(AsistenciaJetAdminConcatenada!$D:$D, MATCH(1, (AsistenciaJetAdminConcatenada!$A:$A=E$2)*(AsistenciaJetAdminConcatenada!$B:$B=E$1), 0)), 1))),  0.5, 0))</f>
        <v>1</v>
      </c>
      <c r="F30" s="47">
        <f t="array" ref="F30">IF(AND(ISNUMBER(MATCH(F$2, AsistenciaJetAdminConcatenada!$A:$A, 0)), ISNUMBER(MATCH(F$1, AsistenciaJetAdminConcatenada!$B:$B, 0)), ISNUMBER(SEARCH($A30,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ISNUMBER(SEARCH($A30, INDEX(AsistenciaJetAdminConcatenada!$D:$D, MATCH(1, (AsistenciaJetAdminConcatenada!$A:$A=F$2)*(AsistenciaJetAdminConcatenada!$B:$B=F$1), 0)), 1))),  0.5, 0))</f>
        <v>1</v>
      </c>
      <c r="G30" s="47">
        <f t="array" ref="G30">IF(AND(ISNUMBER(MATCH(G$2, AsistenciaJetAdminConcatenada!$A:$A, 0)), ISNUMBER(MATCH(G$1, AsistenciaJetAdminConcatenada!$B:$B, 0)), ISNUMBER(SEARCH($A30,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ISNUMBER(SEARCH($A30, INDEX(AsistenciaJetAdminConcatenada!$D:$D, MATCH(1, (AsistenciaJetAdminConcatenada!$A:$A=G$2)*(AsistenciaJetAdminConcatenada!$B:$B=G$1), 0)), 1))),  0.5, 0))</f>
        <v>1</v>
      </c>
      <c r="H30" s="47">
        <f t="array" ref="H30">IF(AND(ISNUMBER(MATCH(H$2, AsistenciaJetAdminConcatenada!$A:$A, 0)), ISNUMBER(MATCH(H$1, AsistenciaJetAdminConcatenada!$B:$B, 0)), ISNUMBER(SEARCH($A30,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ISNUMBER(SEARCH($A30, INDEX(AsistenciaJetAdminConcatenada!$D:$D, MATCH(1, (AsistenciaJetAdminConcatenada!$A:$A=H$2)*(AsistenciaJetAdminConcatenada!$B:$B=H$1), 0)), 1))),  0.5, 0))</f>
        <v>1</v>
      </c>
      <c r="I30" s="47">
        <f t="array" ref="I30">IF(AND(ISNUMBER(MATCH(I$2, AsistenciaJetAdminConcatenada!$A:$A, 0)), ISNUMBER(MATCH(I$1, AsistenciaJetAdminConcatenada!$B:$B, 0)), ISNUMBER(SEARCH($A30,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ISNUMBER(SEARCH($A30, INDEX(AsistenciaJetAdminConcatenada!$D:$D, MATCH(1, (AsistenciaJetAdminConcatenada!$A:$A=I$2)*(AsistenciaJetAdminConcatenada!$B:$B=I$1), 0)), 1))),  0.5, 0))</f>
        <v>1</v>
      </c>
      <c r="J30" s="47">
        <f t="array" ref="J30">IF(AND(ISNUMBER(MATCH(J$2, AsistenciaJetAdminConcatenada!$A:$A, 0)), ISNUMBER(MATCH(J$1, AsistenciaJetAdminConcatenada!$B:$B, 0)), ISNUMBER(SEARCH($A30,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ISNUMBER(SEARCH($A30, INDEX(AsistenciaJetAdminConcatenada!$D:$D, MATCH(1, (AsistenciaJetAdminConcatenada!$A:$A=J$2)*(AsistenciaJetAdminConcatenada!$B:$B=J$1), 0)), 1))),  0.5, 0))</f>
        <v>1</v>
      </c>
      <c r="K30" s="47">
        <f t="array" ref="K30">IF(AND(ISNUMBER(MATCH(K$2, AsistenciaJetAdminConcatenada!$A:$A, 0)), ISNUMBER(MATCH(K$1, AsistenciaJetAdminConcatenada!$B:$B, 0)), ISNUMBER(SEARCH($A30,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ISNUMBER(SEARCH($A30, INDEX(AsistenciaJetAdminConcatenada!$D:$D, MATCH(1, (AsistenciaJetAdminConcatenada!$A:$A=K$2)*(AsistenciaJetAdminConcatenada!$B:$B=K$1), 0)), 1))),  0.5, 0))</f>
        <v>1</v>
      </c>
      <c r="L30" s="47">
        <f t="array" ref="L30">IF(AND(ISNUMBER(MATCH(L$2, AsistenciaJetAdminConcatenada!$A:$A, 0)), ISNUMBER(MATCH(L$1, AsistenciaJetAdminConcatenada!$B:$B, 0)), ISNUMBER(SEARCH($A30,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ISNUMBER(SEARCH($A30, INDEX(AsistenciaJetAdminConcatenada!$D:$D, MATCH(1, (AsistenciaJetAdminConcatenada!$A:$A=L$2)*(AsistenciaJetAdminConcatenada!$B:$B=L$1), 0)), 1))),  0.5, 0))</f>
        <v>1</v>
      </c>
      <c r="M30" s="47">
        <f t="array" ref="M30">IF(AND(ISNUMBER(MATCH(M$2, AsistenciaJetAdminConcatenada!$A:$A, 0)), ISNUMBER(MATCH(M$1, AsistenciaJetAdminConcatenada!$B:$B, 0)), ISNUMBER(SEARCH($A30,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ISNUMBER(SEARCH($A30, INDEX(AsistenciaJetAdminConcatenada!$D:$D, MATCH(1, (AsistenciaJetAdminConcatenada!$A:$A=M$2)*(AsistenciaJetAdminConcatenada!$B:$B=M$1), 0)), 1))),  0.5, 0))</f>
        <v>1</v>
      </c>
      <c r="N30" s="47">
        <f t="array" ref="N30">IF(AND(ISNUMBER(MATCH(N$2, AsistenciaJetAdminConcatenada!$A:$A, 0)), ISNUMBER(MATCH(N$1, AsistenciaJetAdminConcatenada!$B:$B, 0)), ISNUMBER(SEARCH($A30,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ISNUMBER(SEARCH($A30, INDEX(AsistenciaJetAdminConcatenada!$D:$D, MATCH(1, (AsistenciaJetAdminConcatenada!$A:$A=N$2)*(AsistenciaJetAdminConcatenada!$B:$B=N$1), 0)), 1))),  0.5, 0))</f>
        <v>1</v>
      </c>
      <c r="O30" s="47">
        <f t="array" ref="O30">IF(AND(ISNUMBER(MATCH(O$2, AsistenciaJetAdminConcatenada!$A:$A, 0)), ISNUMBER(MATCH(O$1, AsistenciaJetAdminConcatenada!$B:$B, 0)), ISNUMBER(SEARCH($A30,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ISNUMBER(SEARCH($A30, INDEX(AsistenciaJetAdminConcatenada!$D:$D, MATCH(1, (AsistenciaJetAdminConcatenada!$A:$A=O$2)*(AsistenciaJetAdminConcatenada!$B:$B=O$1), 0)), 1))),  0.5, 0))</f>
        <v>0</v>
      </c>
      <c r="P30" s="47">
        <f t="array" ref="P30">IF(AND(ISNUMBER(MATCH(P$2, AsistenciaJetAdminConcatenada!$A:$A, 0)), ISNUMBER(MATCH(P$1, AsistenciaJetAdminConcatenada!$B:$B, 0)), ISNUMBER(SEARCH($A30, INDEX(AsistenciaJetAdminConcatenada!$C:$C, MATCH(1, (AsistenciaJetAdminConcatenada!$A:$A=P$2)*(AsistenciaJetAdminConcatenada!$B:$B=P$1), 0)), 1))), 1, IF(AND(ISNUMBER(MATCH(P$2, AsistenciaJetAdminConcatenada!$A:$A, 0)), ISNUMBER(MATCH(P$1, AsistenciaJetAdminConcatenada!$B:$B, 0)), ISNUMBER(SEARCH($A30, INDEX(AsistenciaJetAdminConcatenada!$D:$D, MATCH(1, (AsistenciaJetAdminConcatenada!$A:$A=P$2)*(AsistenciaJetAdminConcatenada!$B:$B=P$1), 0)), 1))),  0.5, 0))</f>
        <v>0</v>
      </c>
      <c r="Q30" s="47">
        <f t="array" ref="Q30">IF(AND(ISNUMBER(MATCH(Q$2, AsistenciaJetAdminConcatenada!$A:$A, 0)), ISNUMBER(MATCH(Q$1, AsistenciaJetAdminConcatenada!$B:$B, 0)), ISNUMBER(SEARCH($A30, INDEX(AsistenciaJetAdminConcatenada!$C:$C, MATCH(1, (AsistenciaJetAdminConcatenada!$A:$A=Q$2)*(AsistenciaJetAdminConcatenada!$B:$B=Q$1), 0)), 1))), 1, IF(AND(ISNUMBER(MATCH(Q$2, AsistenciaJetAdminConcatenada!$A:$A, 0)), ISNUMBER(MATCH(Q$1, AsistenciaJetAdminConcatenada!$B:$B, 0)), ISNUMBER(SEARCH($A30, INDEX(AsistenciaJetAdminConcatenada!$D:$D, MATCH(1, (AsistenciaJetAdminConcatenada!$A:$A=Q$2)*(AsistenciaJetAdminConcatenada!$B:$B=Q$1), 0)), 1))),  0.5, 0))</f>
        <v>1</v>
      </c>
      <c r="R30" s="47">
        <f t="array" ref="R30">IF(AND(ISNUMBER(MATCH(R$2, AsistenciaJetAdminConcatenada!$A:$A, 0)), ISNUMBER(MATCH(R$1, AsistenciaJetAdminConcatenada!$B:$B, 0)), ISNUMBER(SEARCH($A30,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ISNUMBER(SEARCH($A30, INDEX(AsistenciaJetAdminConcatenada!$D:$D, MATCH(1, (AsistenciaJetAdminConcatenada!$A:$A=R$2)*(AsistenciaJetAdminConcatenada!$B:$B=R$1), 0)), 1))),  0.5, 0))</f>
        <v>1</v>
      </c>
      <c r="S30" s="47">
        <f t="array" ref="S30">IF(AND(ISNUMBER(MATCH(S$2, AsistenciaJetAdminConcatenada!$A:$A, 0)), ISNUMBER(MATCH(S$1, AsistenciaJetAdminConcatenada!$B:$B, 0)), ISNUMBER(SEARCH($A30,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ISNUMBER(SEARCH($A30, INDEX(AsistenciaJetAdminConcatenada!$D:$D, MATCH(1, (AsistenciaJetAdminConcatenada!$A:$A=S$2)*(AsistenciaJetAdminConcatenada!$B:$B=S$1), 0)), 1))),  0.5, 0))</f>
        <v>1</v>
      </c>
      <c r="T30" s="47">
        <f t="array" ref="T30">IF(AND(ISNUMBER(MATCH(T$2, AsistenciaJetAdminConcatenada!$A:$A, 0)), ISNUMBER(MATCH(T$1, AsistenciaJetAdminConcatenada!$B:$B, 0)), ISNUMBER(SEARCH($A30,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ISNUMBER(SEARCH($A30, INDEX(AsistenciaJetAdminConcatenada!$D:$D, MATCH(1, (AsistenciaJetAdminConcatenada!$A:$A=T$2)*(AsistenciaJetAdminConcatenada!$B:$B=T$1), 0)), 1))),  0.5, 0))</f>
        <v>1</v>
      </c>
      <c r="U30" s="47">
        <f t="array" ref="U30">IF(AND(ISNUMBER(MATCH(U$2, AsistenciaJetAdminConcatenada!$A:$A, 0)), ISNUMBER(MATCH(U$1, AsistenciaJetAdminConcatenada!$B:$B, 0)), ISNUMBER(SEARCH($A30,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ISNUMBER(SEARCH($A30, INDEX(AsistenciaJetAdminConcatenada!$D:$D, MATCH(1, (AsistenciaJetAdminConcatenada!$A:$A=U$2)*(AsistenciaJetAdminConcatenada!$B:$B=U$1), 0)), 1))),  0.5, 0))</f>
        <v>1</v>
      </c>
      <c r="V30" s="47">
        <f t="array" ref="V30">IF(AND(ISNUMBER(MATCH(V$2, AsistenciaJetAdminConcatenada!$A:$A, 0)), ISNUMBER(MATCH(V$1, AsistenciaJetAdminConcatenada!$B:$B, 0)), ISNUMBER(SEARCH($A30,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ISNUMBER(SEARCH($A30, INDEX(AsistenciaJetAdminConcatenada!$D:$D, MATCH(1, (AsistenciaJetAdminConcatenada!$A:$A=V$2)*(AsistenciaJetAdminConcatenada!$B:$B=V$1), 0)), 1))),  0.5, 0))</f>
        <v>1</v>
      </c>
      <c r="W30" s="47">
        <f t="array" ref="W30">IF(AND(ISNUMBER(MATCH(W$2, AsistenciaJetAdminConcatenada!$A:$A, 0)), ISNUMBER(MATCH(W$1, AsistenciaJetAdminConcatenada!$B:$B, 0)), ISNUMBER(SEARCH($A30,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ISNUMBER(SEARCH($A30, INDEX(AsistenciaJetAdminConcatenada!$D:$D, MATCH(1, (AsistenciaJetAdminConcatenada!$A:$A=W$2)*(AsistenciaJetAdminConcatenada!$B:$B=W$1), 0)), 1))),  0.5, 0))</f>
        <v>1</v>
      </c>
      <c r="X30" s="47">
        <f t="array" ref="X30">IF(AND(ISNUMBER(MATCH(X$2, AsistenciaJetAdminConcatenada!$A:$A, 0)), ISNUMBER(MATCH(X$1, AsistenciaJetAdminConcatenada!$B:$B, 0)), ISNUMBER(SEARCH($A30,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ISNUMBER(SEARCH($A30, INDEX(AsistenciaJetAdminConcatenada!$D:$D, MATCH(1, (AsistenciaJetAdminConcatenada!$A:$A=X$2)*(AsistenciaJetAdminConcatenada!$B:$B=X$1), 0)), 1))),  0.5, 0))</f>
        <v>1</v>
      </c>
      <c r="Y30" s="47">
        <f t="array" ref="Y30">IF(AND(ISNUMBER(MATCH(Y$2, AsistenciaJetAdminConcatenada!$A:$A, 0)), ISNUMBER(MATCH(Y$1, AsistenciaJetAdminConcatenada!$B:$B, 0)), ISNUMBER(SEARCH($A30,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ISNUMBER(SEARCH($A30, INDEX(AsistenciaJetAdminConcatenada!$D:$D, MATCH(1, (AsistenciaJetAdminConcatenada!$A:$A=Y$2)*(AsistenciaJetAdminConcatenada!$B:$B=Y$1), 0)), 1))),  0.5, 0))</f>
        <v>1</v>
      </c>
      <c r="Z30" s="47">
        <f t="array" ref="Z30">IF(AND(ISNUMBER(MATCH(Z$2, AsistenciaJetAdminConcatenada!$A:$A, 0)), ISNUMBER(MATCH(Z$1, AsistenciaJetAdminConcatenada!$B:$B, 0)), ISNUMBER(SEARCH($A30,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ISNUMBER(SEARCH($A30, INDEX(AsistenciaJetAdminConcatenada!$D:$D, MATCH(1, (AsistenciaJetAdminConcatenada!$A:$A=Z$2)*(AsistenciaJetAdminConcatenada!$B:$B=Z$1), 0)), 1))),  0.5, 0))</f>
        <v>1</v>
      </c>
      <c r="AA30" s="47">
        <f t="array" ref="AA30">IF(AND(ISNUMBER(MATCH(AA$2, AsistenciaJetAdminConcatenada!$A:$A, 0)), ISNUMBER(MATCH(AA$1, AsistenciaJetAdminConcatenada!$B:$B, 0)), ISNUMBER(SEARCH($A30,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ISNUMBER(SEARCH($A30, INDEX(AsistenciaJetAdminConcatenada!$D:$D, MATCH(1, (AsistenciaJetAdminConcatenada!$A:$A=AA$2)*(AsistenciaJetAdminConcatenada!$B:$B=AA$1), 0)), 1))),  0.5, 0))</f>
        <v>1</v>
      </c>
      <c r="AB30" s="47">
        <f t="array" ref="AB30">IF(AND(ISNUMBER(MATCH(AB$2, AsistenciaJetAdminConcatenada!$A:$A, 0)), ISNUMBER(MATCH(AB$1, AsistenciaJetAdminConcatenada!$B:$B, 0)), ISNUMBER(SEARCH($A30,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ISNUMBER(SEARCH($A30, INDEX(AsistenciaJetAdminConcatenada!$D:$D, MATCH(1, (AsistenciaJetAdminConcatenada!$A:$A=AB$2)*(AsistenciaJetAdminConcatenada!$B:$B=AB$1), 0)), 1))),  0.5, 0))</f>
        <v>1</v>
      </c>
      <c r="AC30" s="47">
        <f t="array" ref="AC30">IF(AND(ISNUMBER(MATCH(AC$2, AsistenciaJetAdminConcatenada!$A:$A, 0)), ISNUMBER(MATCH(AC$1, AsistenciaJetAdminConcatenada!$B:$B, 0)), ISNUMBER(SEARCH($A30,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ISNUMBER(SEARCH($A30, INDEX(AsistenciaJetAdminConcatenada!$D:$D, MATCH(1, (AsistenciaJetAdminConcatenada!$A:$A=AC$2)*(AsistenciaJetAdminConcatenada!$B:$B=AC$1), 0)), 1))),  0.5, 0))</f>
        <v>1</v>
      </c>
      <c r="AD30" s="47">
        <f t="array" ref="AD30">IF(AND(ISNUMBER(MATCH(AD$2, AsistenciaJetAdminConcatenada!$A:$A, 0)), ISNUMBER(MATCH(AD$1, AsistenciaJetAdminConcatenada!$B:$B, 0)), ISNUMBER(SEARCH($A30,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ISNUMBER(SEARCH($A30, INDEX(AsistenciaJetAdminConcatenada!$D:$D, MATCH(1, (AsistenciaJetAdminConcatenada!$A:$A=AD$2)*(AsistenciaJetAdminConcatenada!$B:$B=AD$1), 0)), 1))),  0.5, 0))</f>
        <v>1</v>
      </c>
      <c r="AE30" s="47">
        <f t="array" ref="AE30">IF(AND(ISNUMBER(MATCH(AE$2, AsistenciaJetAdminConcatenada!$A:$A, 0)), ISNUMBER(MATCH(AE$1, AsistenciaJetAdminConcatenada!$B:$B, 0)), ISNUMBER(SEARCH($A30,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ISNUMBER(SEARCH($A30, INDEX(AsistenciaJetAdminConcatenada!$D:$D, MATCH(1, (AsistenciaJetAdminConcatenada!$A:$A=AE$2)*(AsistenciaJetAdminConcatenada!$B:$B=AE$1), 0)), 1))),  0.5, 0))</f>
        <v>1</v>
      </c>
      <c r="AF30" s="47">
        <f t="array" ref="AF30">IF(AND(ISNUMBER(MATCH(AF$2, AsistenciaJetAdminConcatenada!$A:$A, 0)), ISNUMBER(MATCH(AF$1, AsistenciaJetAdminConcatenada!$B:$B, 0)), ISNUMBER(SEARCH($A30,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ISNUMBER(SEARCH($A30, INDEX(AsistenciaJetAdminConcatenada!$D:$D, MATCH(1, (AsistenciaJetAdminConcatenada!$A:$A=AF$2)*(AsistenciaJetAdminConcatenada!$B:$B=AF$1), 0)), 1))),  0.5, 0))</f>
        <v>0</v>
      </c>
      <c r="AG30" s="47">
        <f t="array" ref="AG30">IF(AND(ISNUMBER(MATCH(AG$2, AsistenciaJetAdminConcatenada!$A:$A, 0)), ISNUMBER(MATCH(AG$1, AsistenciaJetAdminConcatenada!$B:$B, 0)), ISNUMBER(SEARCH($A30,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ISNUMBER(SEARCH($A30, INDEX(AsistenciaJetAdminConcatenada!$D:$D, MATCH(1, (AsistenciaJetAdminConcatenada!$A:$A=AG$2)*(AsistenciaJetAdminConcatenada!$B:$B=AG$1), 0)), 1))),  0.5, 0))</f>
        <v>1</v>
      </c>
      <c r="AH30" s="47">
        <f t="array" ref="AH30">IF(AND(ISNUMBER(MATCH(AH$2, AsistenciaJetAdminConcatenada!$A:$A, 0)), ISNUMBER(MATCH(AH$1, AsistenciaJetAdminConcatenada!$B:$B, 0)), ISNUMBER(SEARCH($A30,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ISNUMBER(SEARCH($A30, INDEX(AsistenciaJetAdminConcatenada!$D:$D, MATCH(1, (AsistenciaJetAdminConcatenada!$A:$A=AH$2)*(AsistenciaJetAdminConcatenada!$B:$B=AH$1), 0)), 1))),  0.5, 0))</f>
        <v>0</v>
      </c>
      <c r="AI30" s="47">
        <f t="array" ref="AI30">IF(AND(ISNUMBER(MATCH(AI$2, AsistenciaJetAdminConcatenada!$A:$A, 0)), ISNUMBER(MATCH(AI$1, AsistenciaJetAdminConcatenada!$B:$B, 0)), ISNUMBER(SEARCH($A30,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ISNUMBER(SEARCH($A30, INDEX(AsistenciaJetAdminConcatenada!$D:$D, MATCH(1, (AsistenciaJetAdminConcatenada!$A:$A=AI$2)*(AsistenciaJetAdminConcatenada!$B:$B=AI$1), 0)), 1))),  0.5, 0))</f>
        <v>1</v>
      </c>
      <c r="AJ30" s="8">
        <v>0.5</v>
      </c>
      <c r="AK30" s="47">
        <f t="array" ref="AK30">IF(AND(ISNUMBER(MATCH(AK$2, AsistenciaJetAdminConcatenada!$A:$A, 0)), ISNUMBER(MATCH(AK$1, AsistenciaJetAdminConcatenada!$B:$B, 0)), ISNUMBER(SEARCH($A30,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ISNUMBER(SEARCH($A30, INDEX(AsistenciaJetAdminConcatenada!$D:$D, MATCH(1, (AsistenciaJetAdminConcatenada!$A:$A=AK$2)*(AsistenciaJetAdminConcatenada!$B:$B=AK$1), 0)), 1))),  0.5, 0))</f>
        <v>1</v>
      </c>
      <c r="AL30" s="47">
        <f t="array" ref="AL30">IF(AND(ISNUMBER(MATCH(AL$2, AsistenciaJetAdminConcatenada!$A:$A, 0)), ISNUMBER(MATCH(AL$1, AsistenciaJetAdminConcatenada!$B:$B, 0)), ISNUMBER(SEARCH($A30,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ISNUMBER(SEARCH($A30, INDEX(AsistenciaJetAdminConcatenada!$D:$D, MATCH(1, (AsistenciaJetAdminConcatenada!$A:$A=AL$2)*(AsistenciaJetAdminConcatenada!$B:$B=AL$1), 0)), 1))),  0.5, 0))</f>
        <v>0</v>
      </c>
      <c r="AM30" s="47">
        <f t="array" ref="AM30">IF(AND(ISNUMBER(MATCH(AM$2, AsistenciaJetAdminConcatenada!$A:$A, 0)), ISNUMBER(MATCH(AM$1, AsistenciaJetAdminConcatenada!$B:$B, 0)), ISNUMBER(SEARCH($A30,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ISNUMBER(SEARCH($A30, INDEX(AsistenciaJetAdminConcatenada!$D:$D, MATCH(1, (AsistenciaJetAdminConcatenada!$A:$A=AM$2)*(AsistenciaJetAdminConcatenada!$B:$B=AM$1), 0)), 1))),  0.5, 0))</f>
        <v>1</v>
      </c>
      <c r="AN30" s="47">
        <f t="array" ref="AN30">IF(AND(ISNUMBER(MATCH(AN$2, AsistenciaJetAdminConcatenada!$A:$A, 0)), ISNUMBER(MATCH(AN$1, AsistenciaJetAdminConcatenada!$B:$B, 0)), ISNUMBER(SEARCH($A30,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ISNUMBER(SEARCH($A30, INDEX(AsistenciaJetAdminConcatenada!$D:$D, MATCH(1, (AsistenciaJetAdminConcatenada!$A:$A=AN$2)*(AsistenciaJetAdminConcatenada!$B:$B=AN$1), 0)), 1))),  0.5, 0))</f>
        <v>1</v>
      </c>
      <c r="AO30" s="47">
        <f t="array" ref="AO30">IF(AND(ISNUMBER(MATCH(AO$2, AsistenciaJetAdminConcatenada!$A:$A, 0)), ISNUMBER(MATCH(AO$1, AsistenciaJetAdminConcatenada!$B:$B, 0)), ISNUMBER(SEARCH($A30,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ISNUMBER(SEARCH($A30, INDEX(AsistenciaJetAdminConcatenada!$D:$D, MATCH(1, (AsistenciaJetAdminConcatenada!$A:$A=AO$2)*(AsistenciaJetAdminConcatenada!$B:$B=AO$1), 0)), 1))),  0.5, 0))</f>
        <v>1</v>
      </c>
      <c r="AP30" s="47">
        <f t="array" ref="AP30">IF(AND(ISNUMBER(MATCH(AP$2, AsistenciaJetAdminConcatenada!$A:$A, 0)), ISNUMBER(MATCH(AP$1, AsistenciaJetAdminConcatenada!$B:$B, 0)), ISNUMBER(SEARCH($A30,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ISNUMBER(SEARCH($A30, INDEX(AsistenciaJetAdminConcatenada!$D:$D, MATCH(1, (AsistenciaJetAdminConcatenada!$A:$A=AP$2)*(AsistenciaJetAdminConcatenada!$B:$B=AP$1), 0)), 1))),  0.5, 0))</f>
        <v>1</v>
      </c>
      <c r="AQ30" s="47">
        <f t="array" ref="AQ30">IF(AND(ISNUMBER(MATCH(AQ$2, AsistenciaJetAdminConcatenada!$A:$A, 0)), ISNUMBER(MATCH(AQ$1, AsistenciaJetAdminConcatenada!$B:$B, 0)), ISNUMBER(SEARCH($A30,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ISNUMBER(SEARCH($A30, INDEX(AsistenciaJetAdminConcatenada!$D:$D, MATCH(1, (AsistenciaJetAdminConcatenada!$A:$A=AQ$2)*(AsistenciaJetAdminConcatenada!$B:$B=AQ$1), 0)), 1))),  0.5, 0))</f>
        <v>0</v>
      </c>
      <c r="AR30" s="47">
        <f t="array" ref="AR30">IF(AND(ISNUMBER(MATCH(AR$2, AsistenciaJetAdminConcatenada!$A:$A, 0)), ISNUMBER(MATCH(AR$1, AsistenciaJetAdminConcatenada!$B:$B, 0)), ISNUMBER(SEARCH($A30,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ISNUMBER(SEARCH($A30, INDEX(AsistenciaJetAdminConcatenada!$D:$D, MATCH(1, (AsistenciaJetAdminConcatenada!$A:$A=AR$2)*(AsistenciaJetAdminConcatenada!$B:$B=AR$1), 0)), 1))),  0.5, 0))</f>
        <v>1</v>
      </c>
      <c r="AS30" s="47">
        <f t="array" ref="AS30">IF(AND(ISNUMBER(MATCH(AS$2, AsistenciaJetAdminConcatenada!$A:$A, 0)), ISNUMBER(MATCH(AS$1, AsistenciaJetAdminConcatenada!$B:$B, 0)), ISNUMBER(SEARCH($A30,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ISNUMBER(SEARCH($A30, INDEX(AsistenciaJetAdminConcatenada!$D:$D, MATCH(1, (AsistenciaJetAdminConcatenada!$A:$A=AS$2)*(AsistenciaJetAdminConcatenada!$B:$B=AS$1), 0)), 1))),  0.5, 0))</f>
        <v>1</v>
      </c>
      <c r="AT30" s="47">
        <f t="array" ref="AT30">IF(AND(ISNUMBER(MATCH(AT$2, AsistenciaJetAdminConcatenada!$A:$A, 0)), ISNUMBER(MATCH(AT$1, AsistenciaJetAdminConcatenada!$B:$B, 0)), ISNUMBER(SEARCH($A30,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ISNUMBER(SEARCH($A30, INDEX(AsistenciaJetAdminConcatenada!$D:$D, MATCH(1, (AsistenciaJetAdminConcatenada!$A:$A=AT$2)*(AsistenciaJetAdminConcatenada!$B:$B=AT$1), 0)), 1))),  0.5, 0))</f>
        <v>1</v>
      </c>
      <c r="AU30" s="47">
        <f t="array" ref="AU30">IF(AND(ISNUMBER(MATCH(AU$2, AsistenciaJetAdminConcatenada!$A:$A, 0)), ISNUMBER(MATCH(AU$1, AsistenciaJetAdminConcatenada!$B:$B, 0)), ISNUMBER(SEARCH($A30,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ISNUMBER(SEARCH($A30, INDEX(AsistenciaJetAdminConcatenada!$D:$D, MATCH(1, (AsistenciaJetAdminConcatenada!$A:$A=AU$2)*(AsistenciaJetAdminConcatenada!$B:$B=AU$1), 0)), 1))),  0.5, 0))</f>
        <v>1</v>
      </c>
      <c r="AV30" s="47">
        <f t="array" ref="AV30">IF(AND(ISNUMBER(MATCH(AV$2, AsistenciaJetAdminConcatenada!$A:$A, 0)), ISNUMBER(MATCH(AV$1, AsistenciaJetAdminConcatenada!$B:$B, 0)), ISNUMBER(SEARCH($A30,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ISNUMBER(SEARCH($A30, INDEX(AsistenciaJetAdminConcatenada!$D:$D, MATCH(1, (AsistenciaJetAdminConcatenada!$A:$A=AV$2)*(AsistenciaJetAdminConcatenada!$B:$B=AV$1), 0)), 1))),  0.5, 0))</f>
        <v>1</v>
      </c>
      <c r="AW30" s="47">
        <f t="array" ref="AW30">IF(AND(ISNUMBER(MATCH(AW$2, AsistenciaJetAdminConcatenada!$A:$A, 0)), ISNUMBER(MATCH(AW$1, AsistenciaJetAdminConcatenada!$B:$B, 0)), ISNUMBER(SEARCH($A30,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ISNUMBER(SEARCH($A30, INDEX(AsistenciaJetAdminConcatenada!$D:$D, MATCH(1, (AsistenciaJetAdminConcatenada!$A:$A=AW$2)*(AsistenciaJetAdminConcatenada!$B:$B=AW$1), 0)), 1))),  0.5, 0))</f>
        <v>1</v>
      </c>
      <c r="AX30" s="47">
        <f t="array" ref="AX30">IF(AND(ISNUMBER(MATCH(AX$2, AsistenciaJetAdminConcatenada!$A:$A, 0)), ISNUMBER(MATCH(AX$1, AsistenciaJetAdminConcatenada!$B:$B, 0)), ISNUMBER(SEARCH($A30,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ISNUMBER(SEARCH($A30, INDEX(AsistenciaJetAdminConcatenada!$D:$D, MATCH(1, (AsistenciaJetAdminConcatenada!$A:$A=AX$2)*(AsistenciaJetAdminConcatenada!$B:$B=AX$1), 0)), 1))),  0.5, 0))</f>
        <v>1</v>
      </c>
      <c r="AY30" s="47">
        <f t="array" ref="AY30">IF(AND(ISNUMBER(MATCH(AY$2, AsistenciaJetAdminConcatenada!$A:$A, 0)), ISNUMBER(MATCH(AY$1, AsistenciaJetAdminConcatenada!$B:$B, 0)), ISNUMBER(SEARCH($A30,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ISNUMBER(SEARCH($A30, INDEX(AsistenciaJetAdminConcatenada!$D:$D, MATCH(1, (AsistenciaJetAdminConcatenada!$A:$A=AY$2)*(AsistenciaJetAdminConcatenada!$B:$B=AY$1), 0)), 1))),  0.5, 0))</f>
        <v>1</v>
      </c>
      <c r="AZ30" s="47">
        <f t="array" ref="AZ30">IF(AND(ISNUMBER(MATCH(AZ$2, AsistenciaJetAdminConcatenada!$A:$A, 0)), ISNUMBER(MATCH(AZ$1, AsistenciaJetAdminConcatenada!$B:$B, 0)), ISNUMBER(SEARCH($A30,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ISNUMBER(SEARCH($A30, INDEX(AsistenciaJetAdminConcatenada!$D:$D, MATCH(1, (AsistenciaJetAdminConcatenada!$A:$A=AZ$2)*(AsistenciaJetAdminConcatenada!$B:$B=AZ$1), 0)), 1))),  0.5, 0))</f>
        <v>0</v>
      </c>
      <c r="BA30" s="47">
        <f t="array" ref="BA30">IF(AND(ISNUMBER(MATCH(BA$2, AsistenciaJetAdminConcatenada!$A:$A, 0)), ISNUMBER(MATCH(BA$1, AsistenciaJetAdminConcatenada!$B:$B, 0)), ISNUMBER(SEARCH($A30,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ISNUMBER(SEARCH($A30, INDEX(AsistenciaJetAdminConcatenada!$D:$D, MATCH(1, (AsistenciaJetAdminConcatenada!$A:$A=BA$2)*(AsistenciaJetAdminConcatenada!$B:$B=BA$1), 0)), 1))),  0.5, 0))</f>
        <v>1</v>
      </c>
      <c r="BB30" s="47">
        <f t="array" ref="BB30">IF(AND(ISNUMBER(MATCH(BB$2, AsistenciaJetAdminConcatenada!$A:$A, 0)), ISNUMBER(MATCH(BB$1, AsistenciaJetAdminConcatenada!$B:$B, 0)), ISNUMBER(SEARCH($A30,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ISNUMBER(SEARCH($A30, INDEX(AsistenciaJetAdminConcatenada!$D:$D, MATCH(1, (AsistenciaJetAdminConcatenada!$A:$A=BB$2)*(AsistenciaJetAdminConcatenada!$B:$B=BB$1), 0)), 1))),  0.5, 0))</f>
        <v>1</v>
      </c>
      <c r="BC30" s="47">
        <f t="array" ref="BC30">IF(AND(ISNUMBER(MATCH(BC$2, AsistenciaJetAdminConcatenada!$A:$A, 0)), ISNUMBER(MATCH(BC$1, AsistenciaJetAdminConcatenada!$B:$B, 0)), ISNUMBER(SEARCH($A30,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ISNUMBER(SEARCH($A30, INDEX(AsistenciaJetAdminConcatenada!$D:$D, MATCH(1, (AsistenciaJetAdminConcatenada!$A:$A=BC$2)*(AsistenciaJetAdminConcatenada!$B:$B=BC$1), 0)), 1))),  0.5, 0))</f>
        <v>1</v>
      </c>
      <c r="BD30" s="47">
        <f t="array" ref="BD30">IF(AND(ISNUMBER(MATCH(BD$2, AsistenciaJetAdminConcatenada!$A:$A, 0)), ISNUMBER(MATCH(BD$1, AsistenciaJetAdminConcatenada!$B:$B, 0)), ISNUMBER(SEARCH($A30,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ISNUMBER(SEARCH($A30, INDEX(AsistenciaJetAdminConcatenada!$D:$D, MATCH(1, (AsistenciaJetAdminConcatenada!$A:$A=BD$2)*(AsistenciaJetAdminConcatenada!$B:$B=BD$1), 0)), 1))),  0.5, 0))</f>
        <v>1</v>
      </c>
      <c r="BE30" s="47">
        <f t="array" ref="BE30">IF(AND(ISNUMBER(MATCH(BE$2, AsistenciaJetAdminConcatenada!$A:$A, 0)), ISNUMBER(MATCH(BE$1, AsistenciaJetAdminConcatenada!$B:$B, 0)), ISNUMBER(SEARCH($A30,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ISNUMBER(SEARCH($A30, INDEX(AsistenciaJetAdminConcatenada!$D:$D, MATCH(1, (AsistenciaJetAdminConcatenada!$A:$A=BE$2)*(AsistenciaJetAdminConcatenada!$B:$B=BE$1), 0)), 1))),  0.5, 0))</f>
        <v>0</v>
      </c>
      <c r="BF30" s="47">
        <f t="array" ref="BF30">IF(AND(ISNUMBER(MATCH(BF$2, AsistenciaJetAdminConcatenada!$A:$A, 0)), ISNUMBER(MATCH(BF$1, AsistenciaJetAdminConcatenada!$B:$B, 0)), ISNUMBER(SEARCH($A30,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ISNUMBER(SEARCH($A30, INDEX(AsistenciaJetAdminConcatenada!$D:$D, MATCH(1, (AsistenciaJetAdminConcatenada!$A:$A=BF$2)*(AsistenciaJetAdminConcatenada!$B:$B=BF$1), 0)), 1))),  0.5, 0))</f>
        <v>1</v>
      </c>
      <c r="BG30" s="47">
        <f t="array" ref="BG30">IF(AND(ISNUMBER(MATCH(BG$2, AsistenciaJetAdminConcatenada!$A:$A, 0)), ISNUMBER(MATCH(BG$1, AsistenciaJetAdminConcatenada!$B:$B, 0)), ISNUMBER(SEARCH($A30,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ISNUMBER(SEARCH($A30, INDEX(AsistenciaJetAdminConcatenada!$D:$D, MATCH(1, (AsistenciaJetAdminConcatenada!$A:$A=BG$2)*(AsistenciaJetAdminConcatenada!$B:$B=BG$1), 0)), 1))),  0.5, 0))</f>
        <v>1</v>
      </c>
      <c r="BH30" s="47">
        <f t="array" ref="BH30">IF(AND(ISNUMBER(MATCH(BH$2, AsistenciaJetAdminConcatenada!$A:$A, 0)), ISNUMBER(MATCH(BH$1, AsistenciaJetAdminConcatenada!$B:$B, 0)), ISNUMBER(SEARCH($A30,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ISNUMBER(SEARCH($A30, INDEX(AsistenciaJetAdminConcatenada!$D:$D, MATCH(1, (AsistenciaJetAdminConcatenada!$A:$A=BH$2)*(AsistenciaJetAdminConcatenada!$B:$B=BH$1), 0)), 1))),  0.5, 0))</f>
        <v>1</v>
      </c>
      <c r="BI30" s="47">
        <f t="array" ref="BI30">IF(AND(ISNUMBER(MATCH(BI$2, AsistenciaJetAdminConcatenada!$A:$A, 0)), ISNUMBER(MATCH(BI$1, AsistenciaJetAdminConcatenada!$B:$B, 0)), ISNUMBER(SEARCH($A30,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ISNUMBER(SEARCH($A30, INDEX(AsistenciaJetAdminConcatenada!$D:$D, MATCH(1, (AsistenciaJetAdminConcatenada!$A:$A=BI$2)*(AsistenciaJetAdminConcatenada!$B:$B=BI$1), 0)), 1))),  0.5, 0))</f>
        <v>0</v>
      </c>
      <c r="BJ30" s="47">
        <f t="array" ref="BJ30">IF(AND(ISNUMBER(MATCH(BJ$2, AsistenciaJetAdminConcatenada!$A:$A, 0)), ISNUMBER(MATCH(BJ$1, AsistenciaJetAdminConcatenada!$B:$B, 0)), ISNUMBER(SEARCH($A30,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ISNUMBER(SEARCH($A30, INDEX(AsistenciaJetAdminConcatenada!$D:$D, MATCH(1, (AsistenciaJetAdminConcatenada!$A:$A=BJ$2)*(AsistenciaJetAdminConcatenada!$B:$B=BJ$1), 0)), 1))),  0.5, 0))</f>
        <v>0</v>
      </c>
      <c r="BK30" s="47">
        <f t="array" ref="BK30">IF(AND(ISNUMBER(MATCH(BK$2, AsistenciaJetAdminConcatenada!$A:$A, 0)), ISNUMBER(MATCH(BK$1, AsistenciaJetAdminConcatenada!$B:$B, 0)), ISNUMBER(SEARCH($A30,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ISNUMBER(SEARCH($A30, INDEX(AsistenciaJetAdminConcatenada!$D:$D, MATCH(1, (AsistenciaJetAdminConcatenada!$A:$A=BK$2)*(AsistenciaJetAdminConcatenada!$B:$B=BK$1), 0)), 1))),  0.5, 0))</f>
        <v>0.5</v>
      </c>
      <c r="BL30" s="47">
        <f t="array" ref="BL30">IF(AND(ISNUMBER(MATCH(BL$2, AsistenciaJetAdminConcatenada!$A:$A, 0)), ISNUMBER(MATCH(BL$1, AsistenciaJetAdminConcatenada!$B:$B, 0)), ISNUMBER(SEARCH($A30,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ISNUMBER(SEARCH($A30, INDEX(AsistenciaJetAdminConcatenada!$D:$D, MATCH(1, (AsistenciaJetAdminConcatenada!$A:$A=BL$2)*(AsistenciaJetAdminConcatenada!$B:$B=BL$1), 0)), 1))),  0.5, 0))</f>
        <v>1</v>
      </c>
      <c r="BM30" s="47">
        <f t="array" ref="BM30">IF(AND(ISNUMBER(MATCH(BM$2, AsistenciaJetAdminConcatenada!$A:$A, 0)), ISNUMBER(MATCH(BM$1, AsistenciaJetAdminConcatenada!$B:$B, 0)), ISNUMBER(SEARCH($A30,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ISNUMBER(SEARCH($A30, INDEX(AsistenciaJetAdminConcatenada!$D:$D, MATCH(1, (AsistenciaJetAdminConcatenada!$A:$A=BM$2)*(AsistenciaJetAdminConcatenada!$B:$B=BM$1), 0)), 1))),  0.5, 0))</f>
        <v>1</v>
      </c>
      <c r="BN30" s="47">
        <f t="array" ref="BN30">IF(AND(ISNUMBER(MATCH(BN$2, AsistenciaJetAdminConcatenada!$A:$A, 0)), ISNUMBER(MATCH(BN$1, AsistenciaJetAdminConcatenada!$B:$B, 0)), ISNUMBER(SEARCH($A30,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ISNUMBER(SEARCH($A30, INDEX(AsistenciaJetAdminConcatenada!$D:$D, MATCH(1, (AsistenciaJetAdminConcatenada!$A:$A=BN$2)*(AsistenciaJetAdminConcatenada!$B:$B=BN$1), 0)), 1))),  0.5, 0))</f>
        <v>1</v>
      </c>
      <c r="BO30" s="47">
        <f t="array" ref="BO30">IF(AND(ISNUMBER(MATCH(BO$2, AsistenciaJetAdminConcatenada!$A:$A, 0)), ISNUMBER(MATCH(BO$1, AsistenciaJetAdminConcatenada!$B:$B, 0)), ISNUMBER(SEARCH($A30,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ISNUMBER(SEARCH($A30, INDEX(AsistenciaJetAdminConcatenada!$D:$D, MATCH(1, (AsistenciaJetAdminConcatenada!$A:$A=BO$2)*(AsistenciaJetAdminConcatenada!$B:$B=BO$1), 0)), 1))),  0.5, 0))</f>
        <v>1</v>
      </c>
      <c r="BP30" s="47">
        <f t="array" ref="BP30">IF(AND(ISNUMBER(MATCH(BP$2, AsistenciaJetAdminConcatenada!$A:$A, 0)), ISNUMBER(MATCH(BP$1, AsistenciaJetAdminConcatenada!$B:$B, 0)), ISNUMBER(SEARCH($A30,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ISNUMBER(SEARCH($A30, INDEX(AsistenciaJetAdminConcatenada!$D:$D, MATCH(1, (AsistenciaJetAdminConcatenada!$A:$A=BP$2)*(AsistenciaJetAdminConcatenada!$B:$B=BP$1), 0)), 1))),  0.5, 0))</f>
        <v>1</v>
      </c>
      <c r="BQ30" s="47">
        <f t="array" ref="BQ30">IF(AND(ISNUMBER(MATCH(BQ$2, AsistenciaJetAdminConcatenada!$A:$A, 0)), ISNUMBER(MATCH(BQ$1, AsistenciaJetAdminConcatenada!$B:$B, 0)), ISNUMBER(SEARCH($A30,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ISNUMBER(SEARCH($A30, INDEX(AsistenciaJetAdminConcatenada!$D:$D, MATCH(1, (AsistenciaJetAdminConcatenada!$A:$A=BQ$2)*(AsistenciaJetAdminConcatenada!$B:$B=BQ$1), 0)), 1))),  0.5, 0))</f>
        <v>0</v>
      </c>
      <c r="BR30" s="47">
        <f t="array" ref="BR30">IF(AND(ISNUMBER(MATCH(BR$2, AsistenciaJetAdminConcatenada!$A:$A, 0)), ISNUMBER(MATCH(BR$1, AsistenciaJetAdminConcatenada!$B:$B, 0)), ISNUMBER(SEARCH($A30,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ISNUMBER(SEARCH($A30, INDEX(AsistenciaJetAdminConcatenada!$D:$D, MATCH(1, (AsistenciaJetAdminConcatenada!$A:$A=BR$2)*(AsistenciaJetAdminConcatenada!$B:$B=BR$1), 0)), 1))),  0.5, 0))</f>
        <v>0</v>
      </c>
      <c r="BS30" s="47">
        <f t="array" ref="BS30">IF(AND(ISNUMBER(MATCH(BS$2, AsistenciaJetAdminConcatenada!$A:$A, 0)), ISNUMBER(MATCH(BS$1, AsistenciaJetAdminConcatenada!$B:$B, 0)), ISNUMBER(SEARCH($A30,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ISNUMBER(SEARCH($A30, INDEX(AsistenciaJetAdminConcatenada!$D:$D, MATCH(1, (AsistenciaJetAdminConcatenada!$A:$A=BS$2)*(AsistenciaJetAdminConcatenada!$B:$B=BS$1), 0)), 1))),  0.5, 0))</f>
        <v>1</v>
      </c>
      <c r="BT30" s="47">
        <f t="array" ref="BT30">IF(AND(ISNUMBER(MATCH(BT$2, AsistenciaJetAdminConcatenada!$A:$A, 0)), ISNUMBER(MATCH(BT$1, AsistenciaJetAdminConcatenada!$B:$B, 0)), ISNUMBER(SEARCH($A30,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ISNUMBER(SEARCH($A30, INDEX(AsistenciaJetAdminConcatenada!$D:$D, MATCH(1, (AsistenciaJetAdminConcatenada!$A:$A=BT$2)*(AsistenciaJetAdminConcatenada!$B:$B=BT$1), 0)), 1))),  0.5, 0))</f>
        <v>1</v>
      </c>
      <c r="BU30" s="47">
        <f t="array" ref="BU30">IF(AND(ISNUMBER(MATCH(BU$2, AsistenciaJetAdminConcatenada!$A:$A, 0)), ISNUMBER(MATCH(BU$1, AsistenciaJetAdminConcatenada!$B:$B, 0)), ISNUMBER(SEARCH($A30,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ISNUMBER(SEARCH($A30, INDEX(AsistenciaJetAdminConcatenada!$D:$D, MATCH(1, (AsistenciaJetAdminConcatenada!$A:$A=BU$2)*(AsistenciaJetAdminConcatenada!$B:$B=BU$1), 0)), 1))),  0.5, 0))</f>
        <v>1</v>
      </c>
      <c r="BV30" s="47">
        <f t="array" ref="BV30">IF(AND(ISNUMBER(MATCH(BV$2, AsistenciaJetAdminConcatenada!$A:$A, 0)), ISNUMBER(MATCH(BV$1, AsistenciaJetAdminConcatenada!$B:$B, 0)), ISNUMBER(SEARCH($A30,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ISNUMBER(SEARCH($A30, INDEX(AsistenciaJetAdminConcatenada!$D:$D, MATCH(1, (AsistenciaJetAdminConcatenada!$A:$A=BV$2)*(AsistenciaJetAdminConcatenada!$B:$B=BV$1), 0)), 1))),  0.5, 0))</f>
        <v>1</v>
      </c>
      <c r="BW30" s="47">
        <f t="array" ref="BW30">IF(AND(ISNUMBER(MATCH(BW$2, AsistenciaJetAdminConcatenada!$A:$A, 0)), ISNUMBER(MATCH(BW$1, AsistenciaJetAdminConcatenada!$B:$B, 0)), ISNUMBER(SEARCH($A30,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ISNUMBER(SEARCH($A30, INDEX(AsistenciaJetAdminConcatenada!$D:$D, MATCH(1, (AsistenciaJetAdminConcatenada!$A:$A=BW$2)*(AsistenciaJetAdminConcatenada!$B:$B=BW$1), 0)), 1))),  0.5, 0))</f>
        <v>1</v>
      </c>
      <c r="BX30" s="47">
        <f t="array" ref="BX30">IF(AND(ISNUMBER(MATCH(BX$2, AsistenciaJetAdminConcatenada!$A:$A, 0)), ISNUMBER(MATCH(BX$1, AsistenciaJetAdminConcatenada!$B:$B, 0)), ISNUMBER(SEARCH($A30,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ISNUMBER(SEARCH($A30, INDEX(AsistenciaJetAdminConcatenada!$D:$D, MATCH(1, (AsistenciaJetAdminConcatenada!$A:$A=BX$2)*(AsistenciaJetAdminConcatenada!$B:$B=BX$1), 0)), 1))),  0.5, 0))</f>
        <v>1</v>
      </c>
      <c r="BY30" s="47">
        <f t="array" ref="BY30">IF(AND(ISNUMBER(MATCH(BY$2, AsistenciaJetAdminConcatenada!$A:$A, 0)), ISNUMBER(MATCH(BY$1, AsistenciaJetAdminConcatenada!$B:$B, 0)), ISNUMBER(SEARCH($A30,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ISNUMBER(SEARCH($A30, INDEX(AsistenciaJetAdminConcatenada!$D:$D, MATCH(1, (AsistenciaJetAdminConcatenada!$A:$A=BY$2)*(AsistenciaJetAdminConcatenada!$B:$B=BY$1), 0)), 1))),  0.5, 0))</f>
        <v>1</v>
      </c>
      <c r="BZ30" s="47">
        <f t="array" ref="BZ30">IF(AND(ISNUMBER(MATCH(BZ$2, AsistenciaJetAdminConcatenada!$A:$A, 0)), ISNUMBER(MATCH(BZ$1, AsistenciaJetAdminConcatenada!$B:$B, 0)), ISNUMBER(SEARCH($A30,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ISNUMBER(SEARCH($A30, INDEX(AsistenciaJetAdminConcatenada!$D:$D, MATCH(1, (AsistenciaJetAdminConcatenada!$A:$A=BZ$2)*(AsistenciaJetAdminConcatenada!$B:$B=BZ$1), 0)), 1))),  0.5, 0))</f>
        <v>1</v>
      </c>
      <c r="CA30" s="47">
        <f t="array" ref="CA30">IF(AND(ISNUMBER(MATCH(CA$2, AsistenciaJetAdminConcatenada!$A:$A, 0)), ISNUMBER(MATCH(CA$1, AsistenciaJetAdminConcatenada!$B:$B, 0)), ISNUMBER(SEARCH($A30,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ISNUMBER(SEARCH($A30, INDEX(AsistenciaJetAdminConcatenada!$D:$D, MATCH(1, (AsistenciaJetAdminConcatenada!$A:$A=CA$2)*(AsistenciaJetAdminConcatenada!$B:$B=CA$1), 0)), 1))),  0.5, 0))</f>
        <v>1</v>
      </c>
      <c r="CB30" s="47">
        <f t="array" ref="CB30">IF(AND(ISNUMBER(MATCH(CB$2, AsistenciaJetAdminConcatenada!$A:$A, 0)), ISNUMBER(MATCH(CB$1, AsistenciaJetAdminConcatenada!$B:$B, 0)), ISNUMBER(SEARCH($A30,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ISNUMBER(SEARCH($A30, INDEX(AsistenciaJetAdminConcatenada!$D:$D, MATCH(1, (AsistenciaJetAdminConcatenada!$A:$A=CB$2)*(AsistenciaJetAdminConcatenada!$B:$B=CB$1), 0)), 1))),  0.5, 0))</f>
        <v>0</v>
      </c>
      <c r="CC30" s="47">
        <f t="array" ref="CC30">IF(AND(ISNUMBER(MATCH(CC$2, AsistenciaJetAdminConcatenada!$A:$A, 0)), ISNUMBER(MATCH(CC$1, AsistenciaJetAdminConcatenada!$B:$B, 0)), ISNUMBER(SEARCH($A30,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ISNUMBER(SEARCH($A30, INDEX(AsistenciaJetAdminConcatenada!$D:$D, MATCH(1, (AsistenciaJetAdminConcatenada!$A:$A=CC$2)*(AsistenciaJetAdminConcatenada!$B:$B=CC$1), 0)), 1))),  0.5, 0))</f>
        <v>1</v>
      </c>
      <c r="CD30" s="47">
        <f t="array" ref="CD30">IF(AND(ISNUMBER(MATCH(CD$2, AsistenciaJetAdminConcatenada!$A:$A, 0)), ISNUMBER(MATCH(CD$1, AsistenciaJetAdminConcatenada!$B:$B, 0)), ISNUMBER(SEARCH($A30,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ISNUMBER(SEARCH($A30, INDEX(AsistenciaJetAdminConcatenada!$D:$D, MATCH(1, (AsistenciaJetAdminConcatenada!$A:$A=CD$2)*(AsistenciaJetAdminConcatenada!$B:$B=CD$1), 0)), 1))),  0.5, 0))</f>
        <v>1</v>
      </c>
      <c r="CE30" s="47">
        <f t="array" ref="CE30">IF(AND(ISNUMBER(MATCH(CE$2, AsistenciaJetAdminConcatenada!$A:$A, 0)), ISNUMBER(MATCH(CE$1, AsistenciaJetAdminConcatenada!$B:$B, 0)), ISNUMBER(SEARCH($A30,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ISNUMBER(SEARCH($A30, INDEX(AsistenciaJetAdminConcatenada!$D:$D, MATCH(1, (AsistenciaJetAdminConcatenada!$A:$A=CE$2)*(AsistenciaJetAdminConcatenada!$B:$B=CE$1), 0)), 1))),  0.5, 0))</f>
        <v>1</v>
      </c>
      <c r="CF30" s="47">
        <f t="array" ref="CF30">IF(AND(ISNUMBER(MATCH(CF$2, AsistenciaJetAdminConcatenada!$A:$A, 0)), ISNUMBER(MATCH(CF$1, AsistenciaJetAdminConcatenada!$B:$B, 0)), ISNUMBER(SEARCH($A30,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ISNUMBER(SEARCH($A30, INDEX(AsistenciaJetAdminConcatenada!$D:$D, MATCH(1, (AsistenciaJetAdminConcatenada!$A:$A=CF$2)*(AsistenciaJetAdminConcatenada!$B:$B=CF$1), 0)), 1))),  0.5, 0))</f>
        <v>0.5</v>
      </c>
      <c r="CG30" s="8">
        <v>0.0</v>
      </c>
      <c r="CH30" s="47">
        <f t="array" ref="CH30">IF(AND(ISNUMBER(MATCH(CH$2, AsistenciaJetAdminConcatenada!$A:$A, 0)), ISNUMBER(MATCH(CH$1, AsistenciaJetAdminConcatenada!$B:$B, 0)), ISNUMBER(SEARCH($A30,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ISNUMBER(SEARCH($A30, INDEX(AsistenciaJetAdminConcatenada!$D:$D, MATCH(1, (AsistenciaJetAdminConcatenada!$A:$A=CH$2)*(AsistenciaJetAdminConcatenada!$B:$B=CH$1), 0)), 1))),  0.5, 0))</f>
        <v>1</v>
      </c>
      <c r="CI30" s="47">
        <f t="array" ref="CI30">IF(AND(ISNUMBER(MATCH(CI$2, AsistenciaJetAdminConcatenada!$A:$A, 0)), ISNUMBER(MATCH(CI$1, AsistenciaJetAdminConcatenada!$B:$B, 0)), ISNUMBER(SEARCH($A30,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ISNUMBER(SEARCH($A30, INDEX(AsistenciaJetAdminConcatenada!$D:$D, MATCH(1, (AsistenciaJetAdminConcatenada!$A:$A=CI$2)*(AsistenciaJetAdminConcatenada!$B:$B=CI$1), 0)), 1))),  0.5, 0))</f>
        <v>1</v>
      </c>
      <c r="CJ30" s="47">
        <f t="array" ref="CJ30">IF(AND(ISNUMBER(MATCH(CJ$2, AsistenciaJetAdminConcatenada!$A:$A, 0)), ISNUMBER(MATCH(CJ$1, AsistenciaJetAdminConcatenada!$B:$B, 0)), ISNUMBER(SEARCH($A30,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ISNUMBER(SEARCH($A30, INDEX(AsistenciaJetAdminConcatenada!$D:$D, MATCH(1, (AsistenciaJetAdminConcatenada!$A:$A=CJ$2)*(AsistenciaJetAdminConcatenada!$B:$B=CJ$1), 0)), 1))),  0.5, 0))</f>
        <v>1</v>
      </c>
      <c r="CK30" s="47">
        <f t="array" ref="CK30">IF(AND(ISNUMBER(MATCH(CK$2, AsistenciaJetAdminConcatenada!$A:$A, 0)), ISNUMBER(MATCH(CK$1, AsistenciaJetAdminConcatenada!$B:$B, 0)), ISNUMBER(SEARCH($A30,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ISNUMBER(SEARCH($A30, INDEX(AsistenciaJetAdminConcatenada!$D:$D, MATCH(1, (AsistenciaJetAdminConcatenada!$A:$A=CK$2)*(AsistenciaJetAdminConcatenada!$B:$B=CK$1), 0)), 1))),  0.5, 0))</f>
        <v>1</v>
      </c>
      <c r="CL30" s="47">
        <f t="array" ref="CL30">IF(AND(ISNUMBER(MATCH(CL$2, AsistenciaJetAdminConcatenada!$A:$A, 0)), ISNUMBER(MATCH(CL$1, AsistenciaJetAdminConcatenada!$B:$B, 0)), ISNUMBER(SEARCH($A30,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ISNUMBER(SEARCH($A30, INDEX(AsistenciaJetAdminConcatenada!$D:$D, MATCH(1, (AsistenciaJetAdminConcatenada!$A:$A=CL$2)*(AsistenciaJetAdminConcatenada!$B:$B=CL$1), 0)), 1))),  0.5, 0))</f>
        <v>1</v>
      </c>
      <c r="CM30" s="47">
        <f t="array" ref="CM30">IF(AND(ISNUMBER(MATCH(CM$2, AsistenciaJetAdminConcatenada!$A:$A, 0)), ISNUMBER(MATCH(CM$1, AsistenciaJetAdminConcatenada!$B:$B, 0)), ISNUMBER(SEARCH($A30,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ISNUMBER(SEARCH($A30, INDEX(AsistenciaJetAdminConcatenada!$D:$D, MATCH(1, (AsistenciaJetAdminConcatenada!$A:$A=CM$2)*(AsistenciaJetAdminConcatenada!$B:$B=CM$1), 0)), 1))),  0.5, 0))</f>
        <v>1</v>
      </c>
      <c r="CN30" s="47">
        <f t="array" ref="CN30">IF(AND(ISNUMBER(MATCH(CN$2, AsistenciaJetAdminConcatenada!$A:$A, 0)), ISNUMBER(MATCH(CN$1, AsistenciaJetAdminConcatenada!$B:$B, 0)), ISNUMBER(SEARCH($A30,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ISNUMBER(SEARCH($A30, INDEX(AsistenciaJetAdminConcatenada!$D:$D, MATCH(1, (AsistenciaJetAdminConcatenada!$A:$A=CN$2)*(AsistenciaJetAdminConcatenada!$B:$B=CN$1), 0)), 1))),  0.5, 0))</f>
        <v>1</v>
      </c>
      <c r="CO30" s="47">
        <f t="array" ref="CO30">IF(AND(ISNUMBER(MATCH(CO$2, AsistenciaJetAdminConcatenada!$A:$A, 0)), ISNUMBER(MATCH(CO$1, AsistenciaJetAdminConcatenada!$B:$B, 0)), ISNUMBER(SEARCH($A30,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ISNUMBER(SEARCH($A30, INDEX(AsistenciaJetAdminConcatenada!$D:$D, MATCH(1, (AsistenciaJetAdminConcatenada!$A:$A=CO$2)*(AsistenciaJetAdminConcatenada!$B:$B=CO$1), 0)), 1))),  0.5, 0))</f>
        <v>1</v>
      </c>
      <c r="CP30" s="47">
        <f t="array" ref="CP30">IF(AND(ISNUMBER(MATCH(CP$2, AsistenciaJetAdminConcatenada!$A:$A, 0)), ISNUMBER(MATCH(CP$1, AsistenciaJetAdminConcatenada!$B:$B, 0)), ISNUMBER(SEARCH($A30,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ISNUMBER(SEARCH($A30, INDEX(AsistenciaJetAdminConcatenada!$D:$D, MATCH(1, (AsistenciaJetAdminConcatenada!$A:$A=CP$2)*(AsistenciaJetAdminConcatenada!$B:$B=CP$1), 0)), 1))),  0.5, 0))</f>
        <v>1</v>
      </c>
      <c r="CQ30" s="47">
        <f t="array" ref="CQ30">IF(AND(ISNUMBER(MATCH(CQ$2, AsistenciaJetAdminConcatenada!$A:$A, 0)), ISNUMBER(MATCH(CQ$1, AsistenciaJetAdminConcatenada!$B:$B, 0)), ISNUMBER(SEARCH($A30,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ISNUMBER(SEARCH($A30, INDEX(AsistenciaJetAdminConcatenada!$D:$D, MATCH(1, (AsistenciaJetAdminConcatenada!$A:$A=CQ$2)*(AsistenciaJetAdminConcatenada!$B:$B=CQ$1), 0)), 1))),  0.5, 0))</f>
        <v>1</v>
      </c>
      <c r="CR30" s="8">
        <v>1.0</v>
      </c>
      <c r="CS30" s="47">
        <f t="array" ref="CS30">IF(AND(ISNUMBER(MATCH(CS$2, AsistenciaJetAdminConcatenada!$A:$A, 0)), ISNUMBER(MATCH(CS$1, AsistenciaJetAdminConcatenada!$B:$B, 0)), ISNUMBER(SEARCH($A30,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ISNUMBER(SEARCH($A30, INDEX(AsistenciaJetAdminConcatenada!$D:$D, MATCH(1, (AsistenciaJetAdminConcatenada!$A:$A=CS$2)*(AsistenciaJetAdminConcatenada!$B:$B=CS$1), 0)), 1))),  0.5, 0))</f>
        <v>0</v>
      </c>
      <c r="CT30" s="47">
        <f t="array" ref="CT30">IF(AND(ISNUMBER(MATCH(CT$2, AsistenciaJetAdminConcatenada!$A:$A, 0)), ISNUMBER(MATCH(CT$1, AsistenciaJetAdminConcatenada!$B:$B, 0)), ISNUMBER(SEARCH($A30,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ISNUMBER(SEARCH($A30, INDEX(AsistenciaJetAdminConcatenada!$D:$D, MATCH(1, (AsistenciaJetAdminConcatenada!$A:$A=CT$2)*(AsistenciaJetAdminConcatenada!$B:$B=CT$1), 0)), 1))),  0.5, 0))</f>
        <v>0</v>
      </c>
      <c r="CU30" s="47">
        <f t="array" ref="CU30">IF(AND(ISNUMBER(MATCH(CU$2, AsistenciaJetAdminConcatenada!$A:$A, 0)), ISNUMBER(MATCH(CU$1, AsistenciaJetAdminConcatenada!$B:$B, 0)), ISNUMBER(SEARCH($A30,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ISNUMBER(SEARCH($A30, INDEX(AsistenciaJetAdminConcatenada!$D:$D, MATCH(1, (AsistenciaJetAdminConcatenada!$A:$A=CU$2)*(AsistenciaJetAdminConcatenada!$B:$B=CU$1), 0)), 1))),  0.5, 0))</f>
        <v>0</v>
      </c>
      <c r="CV30" s="47">
        <f t="array" ref="CV30">IF(AND(ISNUMBER(MATCH(CV$2, AsistenciaJetAdminConcatenada!$A:$A, 0)), ISNUMBER(MATCH(CV$1, AsistenciaJetAdminConcatenada!$B:$B, 0)), ISNUMBER(SEARCH($A30,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ISNUMBER(SEARCH($A30, INDEX(AsistenciaJetAdminConcatenada!$D:$D, MATCH(1, (AsistenciaJetAdminConcatenada!$A:$A=CV$2)*(AsistenciaJetAdminConcatenada!$B:$B=CV$1), 0)), 1))),  0.5, 0))</f>
        <v>0</v>
      </c>
      <c r="CW30" s="47">
        <f t="array" ref="CW30">IF(AND(ISNUMBER(MATCH(CW$2, AsistenciaJetAdminConcatenada!$A:$A, 0)), ISNUMBER(MATCH(CW$1, AsistenciaJetAdminConcatenada!$B:$B, 0)), ISNUMBER(SEARCH($A30,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ISNUMBER(SEARCH($A30, INDEX(AsistenciaJetAdminConcatenada!$D:$D, MATCH(1, (AsistenciaJetAdminConcatenada!$A:$A=CW$2)*(AsistenciaJetAdminConcatenada!$B:$B=CW$1), 0)), 1))),  0.5, 0))</f>
        <v>0</v>
      </c>
      <c r="CX30" s="47">
        <f t="array" ref="CX30">IF(AND(ISNUMBER(MATCH(CX$2, AsistenciaJetAdminConcatenada!$A:$A, 0)), ISNUMBER(MATCH(CX$1, AsistenciaJetAdminConcatenada!$B:$B, 0)), ISNUMBER(SEARCH($A30,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ISNUMBER(SEARCH($A30, INDEX(AsistenciaJetAdminConcatenada!$D:$D, MATCH(1, (AsistenciaJetAdminConcatenada!$A:$A=CX$2)*(AsistenciaJetAdminConcatenada!$B:$B=CX$1), 0)), 1))),  0.5, 0))</f>
        <v>0</v>
      </c>
      <c r="CY30" s="47">
        <f t="array" ref="CY30">IF(AND(ISNUMBER(MATCH(CY$2, AsistenciaJetAdminConcatenada!$A:$A, 0)), ISNUMBER(MATCH(CY$1, AsistenciaJetAdminConcatenada!$B:$B, 0)), ISNUMBER(SEARCH($A30,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ISNUMBER(SEARCH($A30, INDEX(AsistenciaJetAdminConcatenada!$D:$D, MATCH(1, (AsistenciaJetAdminConcatenada!$A:$A=CY$2)*(AsistenciaJetAdminConcatenada!$B:$B=CY$1), 0)), 1))),  0.5, 0))</f>
        <v>0</v>
      </c>
      <c r="CZ30" s="47">
        <f t="array" ref="CZ30">IF(AND(ISNUMBER(MATCH(CZ$2, AsistenciaJetAdminConcatenada!$A:$A, 0)), ISNUMBER(MATCH(CZ$1, AsistenciaJetAdminConcatenada!$B:$B, 0)), ISNUMBER(SEARCH($A30,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ISNUMBER(SEARCH($A30, INDEX(AsistenciaJetAdminConcatenada!$D:$D, MATCH(1, (AsistenciaJetAdminConcatenada!$A:$A=CZ$2)*(AsistenciaJetAdminConcatenada!$B:$B=CZ$1), 0)), 1))),  0.5, 0))</f>
        <v>0</v>
      </c>
      <c r="DA30" s="47">
        <f t="array" ref="DA30">IF(AND(ISNUMBER(MATCH(DA$2, AsistenciaJetAdminConcatenada!$A:$A, 0)), ISNUMBER(MATCH(DA$1, AsistenciaJetAdminConcatenada!$B:$B, 0)), ISNUMBER(SEARCH($A30,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ISNUMBER(SEARCH($A30, INDEX(AsistenciaJetAdminConcatenada!$D:$D, MATCH(1, (AsistenciaJetAdminConcatenada!$A:$A=DA$2)*(AsistenciaJetAdminConcatenada!$B:$B=DA$1), 0)), 1))),  0.5, 0))</f>
        <v>0</v>
      </c>
      <c r="DB30" s="47">
        <f t="array" ref="DB30">IF(AND(ISNUMBER(MATCH(DB$2, AsistenciaJetAdminConcatenada!$A:$A, 0)), ISNUMBER(MATCH(DB$1, AsistenciaJetAdminConcatenada!$B:$B, 0)), ISNUMBER(SEARCH($A30,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ISNUMBER(SEARCH($A30, INDEX(AsistenciaJetAdminConcatenada!$D:$D, MATCH(1, (AsistenciaJetAdminConcatenada!$A:$A=DB$2)*(AsistenciaJetAdminConcatenada!$B:$B=DB$1), 0)), 1))),  0.5, 0))</f>
        <v>0</v>
      </c>
      <c r="DC30" s="47">
        <f t="array" ref="DC30">IF(AND(ISNUMBER(MATCH(DC$2, AsistenciaJetAdminConcatenada!$A:$A, 0)), ISNUMBER(MATCH(DC$1, AsistenciaJetAdminConcatenada!$B:$B, 0)), ISNUMBER(SEARCH($A30,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ISNUMBER(SEARCH($A30, INDEX(AsistenciaJetAdminConcatenada!$D:$D, MATCH(1, (AsistenciaJetAdminConcatenada!$A:$A=DC$2)*(AsistenciaJetAdminConcatenada!$B:$B=DC$1), 0)), 1))),  0.5, 0))</f>
        <v>0</v>
      </c>
      <c r="DD30" s="47">
        <f t="array" ref="DD30">IF(AND(ISNUMBER(MATCH(DD$2, AsistenciaJetAdminConcatenada!$A:$A, 0)), ISNUMBER(MATCH(DD$1, AsistenciaJetAdminConcatenada!$B:$B, 0)), ISNUMBER(SEARCH($A30,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ISNUMBER(SEARCH($A30, INDEX(AsistenciaJetAdminConcatenada!$D:$D, MATCH(1, (AsistenciaJetAdminConcatenada!$A:$A=DD$2)*(AsistenciaJetAdminConcatenada!$B:$B=DD$1), 0)), 1))),  0.5, 0))</f>
        <v>0</v>
      </c>
      <c r="DE30" s="47">
        <f t="array" ref="DE30">IF(AND(ISNUMBER(MATCH(DE$2, AsistenciaJetAdminConcatenada!$A:$A, 0)), ISNUMBER(MATCH(DE$1, AsistenciaJetAdminConcatenada!$B:$B, 0)), ISNUMBER(SEARCH($A30,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ISNUMBER(SEARCH($A30, INDEX(AsistenciaJetAdminConcatenada!$D:$D, MATCH(1, (AsistenciaJetAdminConcatenada!$A:$A=DE$2)*(AsistenciaJetAdminConcatenada!$B:$B=DE$1), 0)), 1))),  0.5, 0))</f>
        <v>0</v>
      </c>
      <c r="DF30" s="47">
        <f t="array" ref="DF30">IF(AND(ISNUMBER(MATCH(DF$2, AsistenciaJetAdminConcatenada!$A:$A, 0)), ISNUMBER(MATCH(DF$1, AsistenciaJetAdminConcatenada!$B:$B, 0)), ISNUMBER(SEARCH($A30,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ISNUMBER(SEARCH($A30, INDEX(AsistenciaJetAdminConcatenada!$D:$D, MATCH(1, (AsistenciaJetAdminConcatenada!$A:$A=DF$2)*(AsistenciaJetAdminConcatenada!$B:$B=DF$1), 0)), 1))),  0.5, 0))</f>
        <v>0</v>
      </c>
      <c r="DG30" s="47">
        <f t="array" ref="DG30">IF(AND(ISNUMBER(MATCH(DG$2, AsistenciaJetAdminConcatenada!$A:$A, 0)), ISNUMBER(MATCH(DG$1, AsistenciaJetAdminConcatenada!$B:$B, 0)), ISNUMBER(SEARCH($A30,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ISNUMBER(SEARCH($A30, INDEX(AsistenciaJetAdminConcatenada!$D:$D, MATCH(1, (AsistenciaJetAdminConcatenada!$A:$A=DG$2)*(AsistenciaJetAdminConcatenada!$B:$B=DG$1), 0)), 1))),  0.5, 0))</f>
        <v>0</v>
      </c>
      <c r="DH30" s="47">
        <f t="array" ref="DH30">IF(AND(ISNUMBER(MATCH(DH$2, AsistenciaJetAdminConcatenada!$A:$A, 0)), ISNUMBER(MATCH(DH$1, AsistenciaJetAdminConcatenada!$B:$B, 0)), ISNUMBER(SEARCH($A30,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ISNUMBER(SEARCH($A30, INDEX(AsistenciaJetAdminConcatenada!$D:$D, MATCH(1, (AsistenciaJetAdminConcatenada!$A:$A=DH$2)*(AsistenciaJetAdminConcatenada!$B:$B=DH$1), 0)), 1))),  0.5, 0))</f>
        <v>0</v>
      </c>
      <c r="DI30" s="47">
        <f t="array" ref="DI30">IF(AND(ISNUMBER(MATCH(DI$2, AsistenciaJetAdminConcatenada!$A:$A, 0)), ISNUMBER(MATCH(DI$1, AsistenciaJetAdminConcatenada!$B:$B, 0)), ISNUMBER(SEARCH($A30,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ISNUMBER(SEARCH($A30, INDEX(AsistenciaJetAdminConcatenada!$D:$D, MATCH(1, (AsistenciaJetAdminConcatenada!$A:$A=DI$2)*(AsistenciaJetAdminConcatenada!$B:$B=DI$1), 0)), 1))),  0.5, 0))</f>
        <v>0</v>
      </c>
      <c r="DJ30" s="47">
        <f t="array" ref="DJ30">IF(AND(ISNUMBER(MATCH(DJ$2, AsistenciaJetAdminConcatenada!$A:$A, 0)), ISNUMBER(MATCH(DJ$1, AsistenciaJetAdminConcatenada!$B:$B, 0)), ISNUMBER(SEARCH($A30,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ISNUMBER(SEARCH($A30, INDEX(AsistenciaJetAdminConcatenada!$D:$D, MATCH(1, (AsistenciaJetAdminConcatenada!$A:$A=DJ$2)*(AsistenciaJetAdminConcatenada!$B:$B=DJ$1), 0)), 1))),  0.5, 0))</f>
        <v>0</v>
      </c>
      <c r="DK30" s="47">
        <f t="array" ref="DK30">IF(AND(ISNUMBER(MATCH(DK$2, AsistenciaJetAdminConcatenada!$A:$A, 0)), ISNUMBER(MATCH(DK$1, AsistenciaJetAdminConcatenada!$B:$B, 0)), ISNUMBER(SEARCH($A30,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ISNUMBER(SEARCH($A30, INDEX(AsistenciaJetAdminConcatenada!$D:$D, MATCH(1, (AsistenciaJetAdminConcatenada!$A:$A=DK$2)*(AsistenciaJetAdminConcatenada!$B:$B=DK$1), 0)), 1))),  0.5, 0))</f>
        <v>0</v>
      </c>
      <c r="DL30" s="47">
        <f t="array" ref="DL30">IF(AND(ISNUMBER(MATCH(DL$2, AsistenciaJetAdminConcatenada!$A:$A, 0)), ISNUMBER(MATCH(DL$1, AsistenciaJetAdminConcatenada!$B:$B, 0)), ISNUMBER(SEARCH($A30,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ISNUMBER(SEARCH($A30, INDEX(AsistenciaJetAdminConcatenada!$D:$D, MATCH(1, (AsistenciaJetAdminConcatenada!$A:$A=DL$2)*(AsistenciaJetAdminConcatenada!$B:$B=DL$1), 0)), 1))),  0.5, 0))</f>
        <v>0</v>
      </c>
      <c r="DM30" s="47">
        <f t="array" ref="DM30">IF(AND(ISNUMBER(MATCH(DM$2, AsistenciaJetAdminConcatenada!$A:$A, 0)), ISNUMBER(MATCH(DM$1, AsistenciaJetAdminConcatenada!$B:$B, 0)), ISNUMBER(SEARCH($A30,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ISNUMBER(SEARCH($A30, INDEX(AsistenciaJetAdminConcatenada!$D:$D, MATCH(1, (AsistenciaJetAdminConcatenada!$A:$A=DM$2)*(AsistenciaJetAdminConcatenada!$B:$B=DM$1), 0)), 1))),  0.5, 0))</f>
        <v>0</v>
      </c>
      <c r="DN30" s="47">
        <f t="array" ref="DN30">IF(AND(ISNUMBER(MATCH(DN$2, AsistenciaJetAdminConcatenada!$A:$A, 0)), ISNUMBER(MATCH(DN$1, AsistenciaJetAdminConcatenada!$B:$B, 0)), ISNUMBER(SEARCH($A30,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ISNUMBER(SEARCH($A30, INDEX(AsistenciaJetAdminConcatenada!$D:$D, MATCH(1, (AsistenciaJetAdminConcatenada!$A:$A=DN$2)*(AsistenciaJetAdminConcatenada!$B:$B=DN$1), 0)), 1))),  0.5, 0))</f>
        <v>0</v>
      </c>
      <c r="DO30" s="47">
        <f t="array" ref="DO30">IF(AND(ISNUMBER(MATCH(DO$2, AsistenciaJetAdminConcatenada!$A:$A, 0)), ISNUMBER(MATCH(DO$1, AsistenciaJetAdminConcatenada!$B:$B, 0)), ISNUMBER(SEARCH($A30,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ISNUMBER(SEARCH($A30, INDEX(AsistenciaJetAdminConcatenada!$D:$D, MATCH(1, (AsistenciaJetAdminConcatenada!$A:$A=DO$2)*(AsistenciaJetAdminConcatenada!$B:$B=DO$1), 0)), 1))),  0.5, 0))</f>
        <v>0</v>
      </c>
      <c r="DP30" s="47">
        <f t="array" ref="DP30">IF(AND(ISNUMBER(MATCH(DP$2, AsistenciaJetAdminConcatenada!$A:$A, 0)), ISNUMBER(MATCH(DP$1, AsistenciaJetAdminConcatenada!$B:$B, 0)), ISNUMBER(SEARCH($A30,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ISNUMBER(SEARCH($A30, INDEX(AsistenciaJetAdminConcatenada!$D:$D, MATCH(1, (AsistenciaJetAdminConcatenada!$A:$A=DP$2)*(AsistenciaJetAdminConcatenada!$B:$B=DP$1), 0)), 1))),  0.5, 0))</f>
        <v>0</v>
      </c>
      <c r="DQ30" s="47">
        <f t="array" ref="DQ30">IF(AND(ISNUMBER(MATCH(DQ$2, AsistenciaJetAdminConcatenada!$A:$A, 0)), ISNUMBER(MATCH(DQ$1, AsistenciaJetAdminConcatenada!$B:$B, 0)), ISNUMBER(SEARCH($A30,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ISNUMBER(SEARCH($A30, INDEX(AsistenciaJetAdminConcatenada!$D:$D, MATCH(1, (AsistenciaJetAdminConcatenada!$A:$A=DQ$2)*(AsistenciaJetAdminConcatenada!$B:$B=DQ$1), 0)), 1))),  0.5, 0))</f>
        <v>0</v>
      </c>
      <c r="DR30" s="47">
        <f t="array" ref="DR30">IF(AND(ISNUMBER(MATCH(DR$2, AsistenciaJetAdminConcatenada!$A:$A, 0)), ISNUMBER(MATCH(DR$1, AsistenciaJetAdminConcatenada!$B:$B, 0)), ISNUMBER(SEARCH($A30,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ISNUMBER(SEARCH($A30, INDEX(AsistenciaJetAdminConcatenada!$D:$D, MATCH(1, (AsistenciaJetAdminConcatenada!$A:$A=DR$2)*(AsistenciaJetAdminConcatenada!$B:$B=DR$1), 0)), 1))),  0.5, 0))</f>
        <v>0</v>
      </c>
      <c r="DS30" s="47">
        <f t="array" ref="DS30">IF(AND(ISNUMBER(MATCH(DS$2, AsistenciaJetAdminConcatenada!$A:$A, 0)), ISNUMBER(MATCH(DS$1, AsistenciaJetAdminConcatenada!$B:$B, 0)), ISNUMBER(SEARCH($A30,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ISNUMBER(SEARCH($A30, INDEX(AsistenciaJetAdminConcatenada!$D:$D, MATCH(1, (AsistenciaJetAdminConcatenada!$A:$A=DS$2)*(AsistenciaJetAdminConcatenada!$B:$B=DS$1), 0)), 1))),  0.5, 0))</f>
        <v>0</v>
      </c>
      <c r="DT30" s="47">
        <f t="array" ref="DT30">IF(AND(ISNUMBER(MATCH(DT$2, AsistenciaJetAdminConcatenada!$A:$A, 0)), ISNUMBER(MATCH(DT$1, AsistenciaJetAdminConcatenada!$B:$B, 0)), ISNUMBER(SEARCH($A30,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ISNUMBER(SEARCH($A30, INDEX(AsistenciaJetAdminConcatenada!$D:$D, MATCH(1, (AsistenciaJetAdminConcatenada!$A:$A=DT$2)*(AsistenciaJetAdminConcatenada!$B:$B=DT$1), 0)), 1))),  0.5, 0))</f>
        <v>0</v>
      </c>
      <c r="DU30" s="47">
        <f t="array" ref="DU30">IF(AND(ISNUMBER(MATCH(DU$2, AsistenciaJetAdminConcatenada!$A:$A, 0)), ISNUMBER(MATCH(DU$1, AsistenciaJetAdminConcatenada!$B:$B, 0)), ISNUMBER(SEARCH($A30,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ISNUMBER(SEARCH($A30, INDEX(AsistenciaJetAdminConcatenada!$D:$D, MATCH(1, (AsistenciaJetAdminConcatenada!$A:$A=DU$2)*(AsistenciaJetAdminConcatenada!$B:$B=DU$1), 0)), 1))),  0.5, 0))</f>
        <v>0</v>
      </c>
      <c r="DV30" s="47">
        <f t="array" ref="DV30">IF(AND(ISNUMBER(MATCH(DV$2, AsistenciaJetAdminConcatenada!$A:$A, 0)), ISNUMBER(MATCH(DV$1, AsistenciaJetAdminConcatenada!$B:$B, 0)), ISNUMBER(SEARCH($A30,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ISNUMBER(SEARCH($A30, INDEX(AsistenciaJetAdminConcatenada!$D:$D, MATCH(1, (AsistenciaJetAdminConcatenada!$A:$A=DV$2)*(AsistenciaJetAdminConcatenada!$B:$B=DV$1), 0)), 1))),  0.5, 0))</f>
        <v>0</v>
      </c>
      <c r="DW30" s="47">
        <f t="array" ref="DW30">IF(AND(ISNUMBER(MATCH(DW$2, AsistenciaJetAdminConcatenada!$A:$A, 0)), ISNUMBER(MATCH(DW$1, AsistenciaJetAdminConcatenada!$B:$B, 0)), ISNUMBER(SEARCH($A30,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ISNUMBER(SEARCH($A30, INDEX(AsistenciaJetAdminConcatenada!$D:$D, MATCH(1, (AsistenciaJetAdminConcatenada!$A:$A=DW$2)*(AsistenciaJetAdminConcatenada!$B:$B=DW$1), 0)), 1))),  0.5, 0))</f>
        <v>0</v>
      </c>
      <c r="DX30" s="47">
        <f t="array" ref="DX30">IF(AND(ISNUMBER(MATCH(DX$2, AsistenciaJetAdminConcatenada!$A:$A, 0)), ISNUMBER(MATCH(DX$1, AsistenciaJetAdminConcatenada!$B:$B, 0)), ISNUMBER(SEARCH($A30,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ISNUMBER(SEARCH($A30, INDEX(AsistenciaJetAdminConcatenada!$D:$D, MATCH(1, (AsistenciaJetAdminConcatenada!$A:$A=DX$2)*(AsistenciaJetAdminConcatenada!$B:$B=DX$1), 0)), 1))),  0.5, 0))</f>
        <v>0</v>
      </c>
      <c r="DY30" s="47">
        <f t="array" ref="DY30">IF(AND(ISNUMBER(MATCH(DY$2, AsistenciaJetAdminConcatenada!$A:$A, 0)), ISNUMBER(MATCH(DY$1, AsistenciaJetAdminConcatenada!$B:$B, 0)), ISNUMBER(SEARCH($A30,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ISNUMBER(SEARCH($A30, INDEX(AsistenciaJetAdminConcatenada!$D:$D, MATCH(1, (AsistenciaJetAdminConcatenada!$A:$A=DY$2)*(AsistenciaJetAdminConcatenada!$B:$B=DY$1), 0)), 1))),  0.5, 0))</f>
        <v>0</v>
      </c>
      <c r="DZ30" s="47">
        <f t="array" ref="DZ30">IF(AND(ISNUMBER(MATCH(DZ$2, AsistenciaJetAdminConcatenada!$A:$A, 0)), ISNUMBER(MATCH(DZ$1, AsistenciaJetAdminConcatenada!$B:$B, 0)), ISNUMBER(SEARCH($A30,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ISNUMBER(SEARCH($A30, INDEX(AsistenciaJetAdminConcatenada!$D:$D, MATCH(1, (AsistenciaJetAdminConcatenada!$A:$A=DZ$2)*(AsistenciaJetAdminConcatenada!$B:$B=DZ$1), 0)), 1))),  0.5, 0))</f>
        <v>0</v>
      </c>
      <c r="EA30" s="47">
        <f t="array" ref="EA30">IF(AND(ISNUMBER(MATCH(EA$2, AsistenciaJetAdminConcatenada!$A:$A, 0)), ISNUMBER(MATCH(EA$1, AsistenciaJetAdminConcatenada!$B:$B, 0)), ISNUMBER(SEARCH($A30,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ISNUMBER(SEARCH($A30, INDEX(AsistenciaJetAdminConcatenada!$D:$D, MATCH(1, (AsistenciaJetAdminConcatenada!$A:$A=EA$2)*(AsistenciaJetAdminConcatenada!$B:$B=EA$1), 0)), 1))),  0.5, 0))</f>
        <v>0</v>
      </c>
      <c r="EB30" s="47">
        <f t="array" ref="EB30">IF(AND(ISNUMBER(MATCH(EB$2, AsistenciaJetAdminConcatenada!$A:$A, 0)), ISNUMBER(MATCH(EB$1, AsistenciaJetAdminConcatenada!$B:$B, 0)), ISNUMBER(SEARCH($A30,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ISNUMBER(SEARCH($A30, INDEX(AsistenciaJetAdminConcatenada!$D:$D, MATCH(1, (AsistenciaJetAdminConcatenada!$A:$A=EB$2)*(AsistenciaJetAdminConcatenada!$B:$B=EB$1), 0)), 1))),  0.5, 0))</f>
        <v>0</v>
      </c>
      <c r="EC30" s="47">
        <f t="array" ref="EC30">IF(AND(ISNUMBER(MATCH(EC$2, AsistenciaJetAdminConcatenada!$A:$A, 0)), ISNUMBER(MATCH(EC$1, AsistenciaJetAdminConcatenada!$B:$B, 0)), ISNUMBER(SEARCH($A30,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ISNUMBER(SEARCH($A30, INDEX(AsistenciaJetAdminConcatenada!$D:$D, MATCH(1, (AsistenciaJetAdminConcatenada!$A:$A=EC$2)*(AsistenciaJetAdminConcatenada!$B:$B=EC$1), 0)), 1))),  0.5, 0))</f>
        <v>0</v>
      </c>
      <c r="ED30" s="47">
        <f t="array" ref="ED30">IF(AND(ISNUMBER(MATCH(ED$2, AsistenciaJetAdminConcatenada!$A:$A, 0)), ISNUMBER(MATCH(ED$1, AsistenciaJetAdminConcatenada!$B:$B, 0)), ISNUMBER(SEARCH($A30,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ISNUMBER(SEARCH($A30, INDEX(AsistenciaJetAdminConcatenada!$D:$D, MATCH(1, (AsistenciaJetAdminConcatenada!$A:$A=ED$2)*(AsistenciaJetAdminConcatenada!$B:$B=ED$1), 0)), 1))),  0.5, 0))</f>
        <v>0</v>
      </c>
      <c r="EE30" s="47">
        <f t="array" ref="EE30">IF(AND(ISNUMBER(MATCH(EE$2, AsistenciaJetAdminConcatenada!$A:$A, 0)), ISNUMBER(MATCH(EE$1, AsistenciaJetAdminConcatenada!$B:$B, 0)), ISNUMBER(SEARCH($A30,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ISNUMBER(SEARCH($A30, INDEX(AsistenciaJetAdminConcatenada!$D:$D, MATCH(1, (AsistenciaJetAdminConcatenada!$A:$A=EE$2)*(AsistenciaJetAdminConcatenada!$B:$B=EE$1), 0)), 1))),  0.5, 0))</f>
        <v>0</v>
      </c>
      <c r="EF30" s="47">
        <f t="array" ref="EF30">IF(AND(ISNUMBER(MATCH(EF$2, AsistenciaJetAdminConcatenada!$A:$A, 0)), ISNUMBER(MATCH(EF$1, AsistenciaJetAdminConcatenada!$B:$B, 0)), ISNUMBER(SEARCH($A30,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ISNUMBER(SEARCH($A30, INDEX(AsistenciaJetAdminConcatenada!$D:$D, MATCH(1, (AsistenciaJetAdminConcatenada!$A:$A=EF$2)*(AsistenciaJetAdminConcatenada!$B:$B=EF$1), 0)), 1))),  0.5, 0))</f>
        <v>0</v>
      </c>
      <c r="EG30" s="47">
        <f t="array" ref="EG30">IF(AND(ISNUMBER(MATCH(EG$2, AsistenciaJetAdminConcatenada!$A:$A, 0)), ISNUMBER(MATCH(EG$1, AsistenciaJetAdminConcatenada!$B:$B, 0)), ISNUMBER(SEARCH($A30,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ISNUMBER(SEARCH($A30, INDEX(AsistenciaJetAdminConcatenada!$D:$D, MATCH(1, (AsistenciaJetAdminConcatenada!$A:$A=EG$2)*(AsistenciaJetAdminConcatenada!$B:$B=EG$1), 0)), 1))),  0.5, 0))</f>
        <v>0</v>
      </c>
      <c r="EH30" s="47">
        <f t="array" ref="EH30">IF(AND(ISNUMBER(MATCH(EH$2, AsistenciaJetAdminConcatenada!$A:$A, 0)), ISNUMBER(MATCH(EH$1, AsistenciaJetAdminConcatenada!$B:$B, 0)), ISNUMBER(SEARCH($A30,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ISNUMBER(SEARCH($A30, INDEX(AsistenciaJetAdminConcatenada!$D:$D, MATCH(1, (AsistenciaJetAdminConcatenada!$A:$A=EH$2)*(AsistenciaJetAdminConcatenada!$B:$B=EH$1), 0)), 1))),  0.5, 0))</f>
        <v>0</v>
      </c>
      <c r="EI30" s="47">
        <f t="array" ref="EI30">IF(AND(ISNUMBER(MATCH(EI$2, AsistenciaJetAdminConcatenada!$A:$A, 0)), ISNUMBER(MATCH(EI$1, AsistenciaJetAdminConcatenada!$B:$B, 0)), ISNUMBER(SEARCH($A30,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ISNUMBER(SEARCH($A30, INDEX(AsistenciaJetAdminConcatenada!$D:$D, MATCH(1, (AsistenciaJetAdminConcatenada!$A:$A=EI$2)*(AsistenciaJetAdminConcatenada!$B:$B=EI$1), 0)), 1))),  0.5, 0))</f>
        <v>0</v>
      </c>
      <c r="EJ30" s="47">
        <f t="array" ref="EJ30">IF(AND(ISNUMBER(MATCH(EJ$2, AsistenciaJetAdminConcatenada!$A:$A, 0)), ISNUMBER(MATCH(EJ$1, AsistenciaJetAdminConcatenada!$B:$B, 0)), ISNUMBER(SEARCH($A30,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ISNUMBER(SEARCH($A30, INDEX(AsistenciaJetAdminConcatenada!$D:$D, MATCH(1, (AsistenciaJetAdminConcatenada!$A:$A=EJ$2)*(AsistenciaJetAdminConcatenada!$B:$B=EJ$1), 0)), 1))),  0.5, 0))</f>
        <v>0</v>
      </c>
      <c r="EK30" s="47">
        <f t="array" ref="EK30">IF(AND(ISNUMBER(MATCH(EK$2, AsistenciaJetAdminConcatenada!$A:$A, 0)), ISNUMBER(MATCH(EK$1, AsistenciaJetAdminConcatenada!$B:$B, 0)), ISNUMBER(SEARCH($A30,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ISNUMBER(SEARCH($A30, INDEX(AsistenciaJetAdminConcatenada!$D:$D, MATCH(1, (AsistenciaJetAdminConcatenada!$A:$A=EK$2)*(AsistenciaJetAdminConcatenada!$B:$B=EK$1), 0)), 1))),  0.5, 0))</f>
        <v>0</v>
      </c>
      <c r="EL30" s="47">
        <f t="array" ref="EL30">IF(AND(ISNUMBER(MATCH(EL$2, AsistenciaJetAdminConcatenada!$A:$A, 0)), ISNUMBER(MATCH(EL$1, AsistenciaJetAdminConcatenada!$B:$B, 0)), ISNUMBER(SEARCH($A30,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ISNUMBER(SEARCH($A30, INDEX(AsistenciaJetAdminConcatenada!$D:$D, MATCH(1, (AsistenciaJetAdminConcatenada!$A:$A=EL$2)*(AsistenciaJetAdminConcatenada!$B:$B=EL$1), 0)), 1))),  0.5, 0))</f>
        <v>0</v>
      </c>
      <c r="EM30" s="47">
        <f t="array" ref="EM30">IF(AND(ISNUMBER(MATCH(EM$2, AsistenciaJetAdminConcatenada!$A:$A, 0)), ISNUMBER(MATCH(EM$1, AsistenciaJetAdminConcatenada!$B:$B, 0)), ISNUMBER(SEARCH($A30,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ISNUMBER(SEARCH($A30, INDEX(AsistenciaJetAdminConcatenada!$D:$D, MATCH(1, (AsistenciaJetAdminConcatenada!$A:$A=EM$2)*(AsistenciaJetAdminConcatenada!$B:$B=EM$1), 0)), 1))),  0.5, 0))</f>
        <v>0</v>
      </c>
      <c r="EN30" s="47">
        <f t="array" ref="EN30">IF(AND(ISNUMBER(MATCH(EN$2, AsistenciaJetAdminConcatenada!$A:$A, 0)), ISNUMBER(MATCH(EN$1, AsistenciaJetAdminConcatenada!$B:$B, 0)), ISNUMBER(SEARCH($A30,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ISNUMBER(SEARCH($A30, INDEX(AsistenciaJetAdminConcatenada!$D:$D, MATCH(1, (AsistenciaJetAdminConcatenada!$A:$A=EN$2)*(AsistenciaJetAdminConcatenada!$B:$B=EN$1), 0)), 1))),  0.5, 0))</f>
        <v>0</v>
      </c>
      <c r="EO30" s="47">
        <f t="array" ref="EO30">IF(AND(ISNUMBER(MATCH(EO$2, AsistenciaJetAdminConcatenada!$A:$A, 0)), ISNUMBER(MATCH(EO$1, AsistenciaJetAdminConcatenada!$B:$B, 0)), ISNUMBER(SEARCH($A30,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ISNUMBER(SEARCH($A30, INDEX(AsistenciaJetAdminConcatenada!$D:$D, MATCH(1, (AsistenciaJetAdminConcatenada!$A:$A=EO$2)*(AsistenciaJetAdminConcatenada!$B:$B=EO$1), 0)), 1))),  0.5, 0))</f>
        <v>0</v>
      </c>
      <c r="EP30" s="47">
        <f t="array" ref="EP30">IF(AND(ISNUMBER(MATCH(EP$2, AsistenciaJetAdminConcatenada!$A:$A, 0)), ISNUMBER(MATCH(EP$1, AsistenciaJetAdminConcatenada!$B:$B, 0)), ISNUMBER(SEARCH($A30,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ISNUMBER(SEARCH($A30, INDEX(AsistenciaJetAdminConcatenada!$D:$D, MATCH(1, (AsistenciaJetAdminConcatenada!$A:$A=EP$2)*(AsistenciaJetAdminConcatenada!$B:$B=EP$1), 0)), 1))),  0.5, 0))</f>
        <v>0</v>
      </c>
      <c r="EQ30" s="47">
        <f t="array" ref="EQ30">IF(AND(ISNUMBER(MATCH(EQ$2, AsistenciaJetAdminConcatenada!$A:$A, 0)), ISNUMBER(MATCH(EQ$1, AsistenciaJetAdminConcatenada!$B:$B, 0)), ISNUMBER(SEARCH($A30,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ISNUMBER(SEARCH($A30, INDEX(AsistenciaJetAdminConcatenada!$D:$D, MATCH(1, (AsistenciaJetAdminConcatenada!$A:$A=EQ$2)*(AsistenciaJetAdminConcatenada!$B:$B=EQ$1), 0)), 1))),  0.5, 0))</f>
        <v>0</v>
      </c>
      <c r="ER30" s="47">
        <f t="array" ref="ER30">IF(AND(ISNUMBER(MATCH(ER$2, AsistenciaJetAdminConcatenada!$A:$A, 0)), ISNUMBER(MATCH(ER$1, AsistenciaJetAdminConcatenada!$B:$B, 0)), ISNUMBER(SEARCH($A30,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ISNUMBER(SEARCH($A30, INDEX(AsistenciaJetAdminConcatenada!$D:$D, MATCH(1, (AsistenciaJetAdminConcatenada!$A:$A=ER$2)*(AsistenciaJetAdminConcatenada!$B:$B=ER$1), 0)), 1))),  0.5, 0))</f>
        <v>0</v>
      </c>
      <c r="ES30" s="47">
        <f t="array" ref="ES30">IF(AND(ISNUMBER(MATCH(ES$2, AsistenciaJetAdminConcatenada!$A:$A, 0)), ISNUMBER(MATCH(ES$1, AsistenciaJetAdminConcatenada!$B:$B, 0)), ISNUMBER(SEARCH($A30,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ISNUMBER(SEARCH($A30, INDEX(AsistenciaJetAdminConcatenada!$D:$D, MATCH(1, (AsistenciaJetAdminConcatenada!$A:$A=ES$2)*(AsistenciaJetAdminConcatenada!$B:$B=ES$1), 0)), 1))),  0.5, 0))</f>
        <v>0</v>
      </c>
      <c r="ET30" s="47">
        <f t="array" ref="ET30">IF(AND(ISNUMBER(MATCH(ET$2, AsistenciaJetAdminConcatenada!$A:$A, 0)), ISNUMBER(MATCH(ET$1, AsistenciaJetAdminConcatenada!$B:$B, 0)), ISNUMBER(SEARCH($A30,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ISNUMBER(SEARCH($A30, INDEX(AsistenciaJetAdminConcatenada!$D:$D, MATCH(1, (AsistenciaJetAdminConcatenada!$A:$A=ET$2)*(AsistenciaJetAdminConcatenada!$B:$B=ET$1), 0)), 1))),  0.5, 0))</f>
        <v>0</v>
      </c>
      <c r="EU30" s="47">
        <f t="array" ref="EU30">IF(AND(ISNUMBER(MATCH(EU$2, AsistenciaJetAdminConcatenada!$A:$A, 0)), ISNUMBER(MATCH(EU$1, AsistenciaJetAdminConcatenada!$B:$B, 0)), ISNUMBER(SEARCH($A30,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ISNUMBER(SEARCH($A30, INDEX(AsistenciaJetAdminConcatenada!$D:$D, MATCH(1, (AsistenciaJetAdminConcatenada!$A:$A=EU$2)*(AsistenciaJetAdminConcatenada!$B:$B=EU$1), 0)), 1))),  0.5, 0))</f>
        <v>0</v>
      </c>
      <c r="EV30" s="47">
        <f t="array" ref="EV30">IF(AND(ISNUMBER(MATCH(EV$2, AsistenciaJetAdminConcatenada!$A:$A, 0)), ISNUMBER(MATCH(EV$1, AsistenciaJetAdminConcatenada!$B:$B, 0)), ISNUMBER(SEARCH($A30,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ISNUMBER(SEARCH($A30, INDEX(AsistenciaJetAdminConcatenada!$D:$D, MATCH(1, (AsistenciaJetAdminConcatenada!$A:$A=EV$2)*(AsistenciaJetAdminConcatenada!$B:$B=EV$1), 0)), 1))),  0.5, 0))</f>
        <v>0</v>
      </c>
      <c r="EW30" s="47">
        <f t="array" ref="EW30">IF(AND(ISNUMBER(MATCH(EW$2, AsistenciaJetAdminConcatenada!$A:$A, 0)), ISNUMBER(MATCH(EW$1, AsistenciaJetAdminConcatenada!$B:$B, 0)), ISNUMBER(SEARCH($A30,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ISNUMBER(SEARCH($A30, INDEX(AsistenciaJetAdminConcatenada!$D:$D, MATCH(1, (AsistenciaJetAdminConcatenada!$A:$A=EW$2)*(AsistenciaJetAdminConcatenada!$B:$B=EW$1), 0)), 1))),  0.5, 0))</f>
        <v>0</v>
      </c>
      <c r="EX30" s="47">
        <f t="array" ref="EX30">IF(AND(ISNUMBER(MATCH(EX$2, AsistenciaJetAdminConcatenada!$A:$A, 0)), ISNUMBER(MATCH(EX$1, AsistenciaJetAdminConcatenada!$B:$B, 0)), ISNUMBER(SEARCH($A30,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ISNUMBER(SEARCH($A30, INDEX(AsistenciaJetAdminConcatenada!$D:$D, MATCH(1, (AsistenciaJetAdminConcatenada!$A:$A=EX$2)*(AsistenciaJetAdminConcatenada!$B:$B=EX$1), 0)), 1))),  0.5, 0))</f>
        <v>0</v>
      </c>
      <c r="EY30" s="47">
        <f t="array" ref="EY30">IF(AND(ISNUMBER(MATCH(EY$2, AsistenciaJetAdminConcatenada!$A:$A, 0)), ISNUMBER(MATCH(EY$1, AsistenciaJetAdminConcatenada!$B:$B, 0)), ISNUMBER(SEARCH($A30,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ISNUMBER(SEARCH($A30, INDEX(AsistenciaJetAdminConcatenada!$D:$D, MATCH(1, (AsistenciaJetAdminConcatenada!$A:$A=EY$2)*(AsistenciaJetAdminConcatenada!$B:$B=EY$1), 0)), 1))),  0.5, 0))</f>
        <v>0</v>
      </c>
      <c r="EZ30" s="47">
        <f t="array" ref="EZ30">IF(AND(ISNUMBER(MATCH(EZ$2, AsistenciaJetAdminConcatenada!$A:$A, 0)), ISNUMBER(MATCH(EZ$1, AsistenciaJetAdminConcatenada!$B:$B, 0)), ISNUMBER(SEARCH($A30,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ISNUMBER(SEARCH($A30, INDEX(AsistenciaJetAdminConcatenada!$D:$D, MATCH(1, (AsistenciaJetAdminConcatenada!$A:$A=EZ$2)*(AsistenciaJetAdminConcatenada!$B:$B=EZ$1), 0)), 1))),  0.5, 0))</f>
        <v>0</v>
      </c>
      <c r="FA30" s="47">
        <f t="array" ref="FA30">IF(AND(ISNUMBER(MATCH(FA$2, AsistenciaJetAdminConcatenada!$A:$A, 0)), ISNUMBER(MATCH(FA$1, AsistenciaJetAdminConcatenada!$B:$B, 0)), ISNUMBER(SEARCH($A30,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ISNUMBER(SEARCH($A30, INDEX(AsistenciaJetAdminConcatenada!$D:$D, MATCH(1, (AsistenciaJetAdminConcatenada!$A:$A=FA$2)*(AsistenciaJetAdminConcatenada!$B:$B=FA$1), 0)), 1))),  0.5, 0))</f>
        <v>0</v>
      </c>
      <c r="FB30" s="47">
        <f t="array" ref="FB30">IF(AND(ISNUMBER(MATCH(FB$2, AsistenciaJetAdminConcatenada!$A:$A, 0)), ISNUMBER(MATCH(FB$1, AsistenciaJetAdminConcatenada!$B:$B, 0)), ISNUMBER(SEARCH($A30,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ISNUMBER(SEARCH($A30, INDEX(AsistenciaJetAdminConcatenada!$D:$D, MATCH(1, (AsistenciaJetAdminConcatenada!$A:$A=FB$2)*(AsistenciaJetAdminConcatenada!$B:$B=FB$1), 0)), 1))),  0.5, 0))</f>
        <v>0</v>
      </c>
      <c r="FC30" s="47">
        <f t="array" ref="FC30">IF(AND(ISNUMBER(MATCH(FC$2, AsistenciaJetAdminConcatenada!$A:$A, 0)), ISNUMBER(MATCH(FC$1, AsistenciaJetAdminConcatenada!$B:$B, 0)), ISNUMBER(SEARCH($A30,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ISNUMBER(SEARCH($A30, INDEX(AsistenciaJetAdminConcatenada!$D:$D, MATCH(1, (AsistenciaJetAdminConcatenada!$A:$A=FC$2)*(AsistenciaJetAdminConcatenada!$B:$B=FC$1), 0)), 1))),  0.5, 0))</f>
        <v>0</v>
      </c>
      <c r="FD30" s="47">
        <f t="array" ref="FD30">IF(AND(ISNUMBER(MATCH(FD$2, AsistenciaJetAdminConcatenada!$A:$A, 0)), ISNUMBER(MATCH(FD$1, AsistenciaJetAdminConcatenada!$B:$B, 0)), ISNUMBER(SEARCH($A30,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ISNUMBER(SEARCH($A30, INDEX(AsistenciaJetAdminConcatenada!$D:$D, MATCH(1, (AsistenciaJetAdminConcatenada!$A:$A=FD$2)*(AsistenciaJetAdminConcatenada!$B:$B=FD$1), 0)), 1))),  0.5, 0))</f>
        <v>0</v>
      </c>
      <c r="FE30" s="47">
        <f t="array" ref="FE30">IF(AND(ISNUMBER(MATCH(FE$2, AsistenciaJetAdminConcatenada!$A:$A, 0)), ISNUMBER(MATCH(FE$1, AsistenciaJetAdminConcatenada!$B:$B, 0)), ISNUMBER(SEARCH($A30,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ISNUMBER(SEARCH($A30, INDEX(AsistenciaJetAdminConcatenada!$D:$D, MATCH(1, (AsistenciaJetAdminConcatenada!$A:$A=FE$2)*(AsistenciaJetAdminConcatenada!$B:$B=FE$1), 0)), 1))),  0.5, 0))</f>
        <v>0</v>
      </c>
      <c r="FF30" s="47">
        <f t="array" ref="FF30">IF(AND(ISNUMBER(MATCH(FF$2, AsistenciaJetAdminConcatenada!$A:$A, 0)), ISNUMBER(MATCH(FF$1, AsistenciaJetAdminConcatenada!$B:$B, 0)), ISNUMBER(SEARCH($A30,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ISNUMBER(SEARCH($A30, INDEX(AsistenciaJetAdminConcatenada!$D:$D, MATCH(1, (AsistenciaJetAdminConcatenada!$A:$A=FF$2)*(AsistenciaJetAdminConcatenada!$B:$B=FF$1), 0)), 1))),  0.5, 0))</f>
        <v>0</v>
      </c>
      <c r="FG30" s="47">
        <f t="array" ref="FG30">IF(AND(ISNUMBER(MATCH(FG$2, AsistenciaJetAdminConcatenada!$A:$A, 0)), ISNUMBER(MATCH(FG$1, AsistenciaJetAdminConcatenada!$B:$B, 0)), ISNUMBER(SEARCH($A30,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ISNUMBER(SEARCH($A30, INDEX(AsistenciaJetAdminConcatenada!$D:$D, MATCH(1, (AsistenciaJetAdminConcatenada!$A:$A=FG$2)*(AsistenciaJetAdminConcatenada!$B:$B=FG$1), 0)), 1))),  0.5, 0))</f>
        <v>0</v>
      </c>
      <c r="FH30" s="47">
        <f t="array" ref="FH30">IF(AND(ISNUMBER(MATCH(FH$2, AsistenciaJetAdminConcatenada!$A:$A, 0)), ISNUMBER(MATCH(FH$1, AsistenciaJetAdminConcatenada!$B:$B, 0)), ISNUMBER(SEARCH($A30,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ISNUMBER(SEARCH($A30, INDEX(AsistenciaJetAdminConcatenada!$D:$D, MATCH(1, (AsistenciaJetAdminConcatenada!$A:$A=FH$2)*(AsistenciaJetAdminConcatenada!$B:$B=FH$1), 0)), 1))),  0.5, 0))</f>
        <v>0</v>
      </c>
      <c r="FI30" s="47">
        <f t="array" ref="FI30">IF(AND(ISNUMBER(MATCH(FI$2, AsistenciaJetAdminConcatenada!$A:$A, 0)), ISNUMBER(MATCH(FI$1, AsistenciaJetAdminConcatenada!$B:$B, 0)), ISNUMBER(SEARCH($A30,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ISNUMBER(SEARCH($A30, INDEX(AsistenciaJetAdminConcatenada!$D:$D, MATCH(1, (AsistenciaJetAdminConcatenada!$A:$A=FI$2)*(AsistenciaJetAdminConcatenada!$B:$B=FI$1), 0)), 1))),  0.5, 0))</f>
        <v>0</v>
      </c>
      <c r="FJ30" s="47">
        <f t="array" ref="FJ30">IF(AND(ISNUMBER(MATCH(FJ$2, AsistenciaJetAdminConcatenada!$A:$A, 0)), ISNUMBER(MATCH(FJ$1, AsistenciaJetAdminConcatenada!$B:$B, 0)), ISNUMBER(SEARCH($A30,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ISNUMBER(SEARCH($A30, INDEX(AsistenciaJetAdminConcatenada!$D:$D, MATCH(1, (AsistenciaJetAdminConcatenada!$A:$A=FJ$2)*(AsistenciaJetAdminConcatenada!$B:$B=FJ$1), 0)), 1))),  0.5, 0))</f>
        <v>0</v>
      </c>
      <c r="FK30" s="47">
        <f t="array" ref="FK30">IF(AND(ISNUMBER(MATCH(FK$2, AsistenciaJetAdminConcatenada!$A:$A, 0)), ISNUMBER(MATCH(FK$1, AsistenciaJetAdminConcatenada!$B:$B, 0)), ISNUMBER(SEARCH($A30,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ISNUMBER(SEARCH($A30, INDEX(AsistenciaJetAdminConcatenada!$D:$D, MATCH(1, (AsistenciaJetAdminConcatenada!$A:$A=FK$2)*(AsistenciaJetAdminConcatenada!$B:$B=FK$1), 0)), 1))),  0.5, 0))</f>
        <v>0</v>
      </c>
      <c r="FL30" s="47">
        <f t="array" ref="FL30">IF(AND(ISNUMBER(MATCH(FL$2, AsistenciaJetAdminConcatenada!$A:$A, 0)), ISNUMBER(MATCH(FL$1, AsistenciaJetAdminConcatenada!$B:$B, 0)), ISNUMBER(SEARCH($A30,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ISNUMBER(SEARCH($A30, INDEX(AsistenciaJetAdminConcatenada!$D:$D, MATCH(1, (AsistenciaJetAdminConcatenada!$A:$A=FL$2)*(AsistenciaJetAdminConcatenada!$B:$B=FL$1), 0)), 1))),  0.5, 0))</f>
        <v>0</v>
      </c>
      <c r="FM30" s="47">
        <f t="array" ref="FM30">IF(AND(ISNUMBER(MATCH(FM$2, AsistenciaJetAdminConcatenada!$A:$A, 0)), ISNUMBER(MATCH(FM$1, AsistenciaJetAdminConcatenada!$B:$B, 0)), ISNUMBER(SEARCH($A30,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ISNUMBER(SEARCH($A30, INDEX(AsistenciaJetAdminConcatenada!$D:$D, MATCH(1, (AsistenciaJetAdminConcatenada!$A:$A=FM$2)*(AsistenciaJetAdminConcatenada!$B:$B=FM$1), 0)), 1))),  0.5, 0))</f>
        <v>0</v>
      </c>
      <c r="FN30" s="47">
        <f t="array" ref="FN30">IF(AND(ISNUMBER(MATCH(FN$2, AsistenciaJetAdminConcatenada!$A:$A, 0)), ISNUMBER(MATCH(FN$1, AsistenciaJetAdminConcatenada!$B:$B, 0)), ISNUMBER(SEARCH($A30,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ISNUMBER(SEARCH($A30, INDEX(AsistenciaJetAdminConcatenada!$D:$D, MATCH(1, (AsistenciaJetAdminConcatenada!$A:$A=FN$2)*(AsistenciaJetAdminConcatenada!$B:$B=FN$1), 0)), 1))),  0.5, 0))</f>
        <v>0</v>
      </c>
      <c r="FO30" s="47">
        <f t="array" ref="FO30">IF(AND(ISNUMBER(MATCH(FO$2, AsistenciaJetAdminConcatenada!$A:$A, 0)), ISNUMBER(MATCH(FO$1, AsistenciaJetAdminConcatenada!$B:$B, 0)), ISNUMBER(SEARCH($A30,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ISNUMBER(SEARCH($A30, INDEX(AsistenciaJetAdminConcatenada!$D:$D, MATCH(1, (AsistenciaJetAdminConcatenada!$A:$A=FO$2)*(AsistenciaJetAdminConcatenada!$B:$B=FO$1), 0)), 1))),  0.5, 0))</f>
        <v>0</v>
      </c>
      <c r="FP30" s="47">
        <f t="array" ref="FP30">IF(AND(ISNUMBER(MATCH(FP$2, AsistenciaJetAdminConcatenada!$A:$A, 0)), ISNUMBER(MATCH(FP$1, AsistenciaJetAdminConcatenada!$B:$B, 0)), ISNUMBER(SEARCH($A30,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ISNUMBER(SEARCH($A30, INDEX(AsistenciaJetAdminConcatenada!$D:$D, MATCH(1, (AsistenciaJetAdminConcatenada!$A:$A=FP$2)*(AsistenciaJetAdminConcatenada!$B:$B=FP$1), 0)), 1))),  0.5, 0))</f>
        <v>0</v>
      </c>
      <c r="FQ30" s="47">
        <f t="array" ref="FQ30">IF(AND(ISNUMBER(MATCH(FQ$2, AsistenciaJetAdminConcatenada!$A:$A, 0)), ISNUMBER(MATCH(FQ$1, AsistenciaJetAdminConcatenada!$B:$B, 0)), ISNUMBER(SEARCH($A30,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ISNUMBER(SEARCH($A30, INDEX(AsistenciaJetAdminConcatenada!$D:$D, MATCH(1, (AsistenciaJetAdminConcatenada!$A:$A=FQ$2)*(AsistenciaJetAdminConcatenada!$B:$B=FQ$1), 0)), 1))),  0.5, 0))</f>
        <v>0</v>
      </c>
      <c r="FR30" s="47">
        <f t="array" ref="FR30">IF(AND(ISNUMBER(MATCH(FR$2, AsistenciaJetAdminConcatenada!$A:$A, 0)), ISNUMBER(MATCH(FR$1, AsistenciaJetAdminConcatenada!$B:$B, 0)), ISNUMBER(SEARCH($A30,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ISNUMBER(SEARCH($A30, INDEX(AsistenciaJetAdminConcatenada!$D:$D, MATCH(1, (AsistenciaJetAdminConcatenada!$A:$A=FR$2)*(AsistenciaJetAdminConcatenada!$B:$B=FR$1), 0)), 1))),  0.5, 0))</f>
        <v>0</v>
      </c>
      <c r="FS30" s="47">
        <f t="array" ref="FS30">IF(AND(ISNUMBER(MATCH(FS$2, AsistenciaJetAdminConcatenada!$A:$A, 0)), ISNUMBER(MATCH(FS$1, AsistenciaJetAdminConcatenada!$B:$B, 0)), ISNUMBER(SEARCH($A30,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ISNUMBER(SEARCH($A30, INDEX(AsistenciaJetAdminConcatenada!$D:$D, MATCH(1, (AsistenciaJetAdminConcatenada!$A:$A=FS$2)*(AsistenciaJetAdminConcatenada!$B:$B=FS$1), 0)), 1))),  0.5, 0))</f>
        <v>0</v>
      </c>
      <c r="FT30" s="47">
        <f t="array" ref="FT30">IF(AND(ISNUMBER(MATCH(FT$2, AsistenciaJetAdminConcatenada!$A:$A, 0)), ISNUMBER(MATCH(FT$1, AsistenciaJetAdminConcatenada!$B:$B, 0)), ISNUMBER(SEARCH($A30,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ISNUMBER(SEARCH($A30, INDEX(AsistenciaJetAdminConcatenada!$D:$D, MATCH(1, (AsistenciaJetAdminConcatenada!$A:$A=FT$2)*(AsistenciaJetAdminConcatenada!$B:$B=FT$1), 0)), 1))),  0.5, 0))</f>
        <v>0</v>
      </c>
      <c r="FU30" s="47">
        <f t="array" ref="FU30">IF(AND(ISNUMBER(MATCH(FU$2, AsistenciaJetAdminConcatenada!$A:$A, 0)), ISNUMBER(MATCH(FU$1, AsistenciaJetAdminConcatenada!$B:$B, 0)), ISNUMBER(SEARCH($A30,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ISNUMBER(SEARCH($A30, INDEX(AsistenciaJetAdminConcatenada!$D:$D, MATCH(1, (AsistenciaJetAdminConcatenada!$A:$A=FU$2)*(AsistenciaJetAdminConcatenada!$B:$B=FU$1), 0)), 1))),  0.5, 0))</f>
        <v>0</v>
      </c>
      <c r="FV30" s="47">
        <f t="array" ref="FV30">IF(AND(ISNUMBER(MATCH(FV$2, AsistenciaJetAdminConcatenada!$A:$A, 0)), ISNUMBER(MATCH(FV$1, AsistenciaJetAdminConcatenada!$B:$B, 0)), ISNUMBER(SEARCH($A30,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ISNUMBER(SEARCH($A30, INDEX(AsistenciaJetAdminConcatenada!$D:$D, MATCH(1, (AsistenciaJetAdminConcatenada!$A:$A=FV$2)*(AsistenciaJetAdminConcatenada!$B:$B=FV$1), 0)), 1))),  0.5, 0))</f>
        <v>0</v>
      </c>
      <c r="FW30" s="47">
        <f t="array" ref="FW30">IF(AND(ISNUMBER(MATCH(FW$2, AsistenciaJetAdminConcatenada!$A:$A, 0)), ISNUMBER(MATCH(FW$1, AsistenciaJetAdminConcatenada!$B:$B, 0)), ISNUMBER(SEARCH($A30,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ISNUMBER(SEARCH($A30, INDEX(AsistenciaJetAdminConcatenada!$D:$D, MATCH(1, (AsistenciaJetAdminConcatenada!$A:$A=FW$2)*(AsistenciaJetAdminConcatenada!$B:$B=FW$1), 0)), 1))),  0.5, 0))</f>
        <v>0</v>
      </c>
      <c r="FX30" s="47">
        <f t="array" ref="FX30">IF(AND(ISNUMBER(MATCH(FX$2, AsistenciaJetAdminConcatenada!$A:$A, 0)), ISNUMBER(MATCH(FX$1, AsistenciaJetAdminConcatenada!$B:$B, 0)), ISNUMBER(SEARCH($A30,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ISNUMBER(SEARCH($A30, INDEX(AsistenciaJetAdminConcatenada!$D:$D, MATCH(1, (AsistenciaJetAdminConcatenada!$A:$A=FX$2)*(AsistenciaJetAdminConcatenada!$B:$B=FX$1), 0)), 1))),  0.5, 0))</f>
        <v>0</v>
      </c>
      <c r="FY30" s="47">
        <f t="array" ref="FY30">IF(AND(ISNUMBER(MATCH(FY$2, AsistenciaJetAdminConcatenada!$A:$A, 0)), ISNUMBER(MATCH(FY$1, AsistenciaJetAdminConcatenada!$B:$B, 0)), ISNUMBER(SEARCH($A30,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ISNUMBER(SEARCH($A30, INDEX(AsistenciaJetAdminConcatenada!$D:$D, MATCH(1, (AsistenciaJetAdminConcatenada!$A:$A=FY$2)*(AsistenciaJetAdminConcatenada!$B:$B=FY$1), 0)), 1))),  0.5, 0))</f>
        <v>0</v>
      </c>
      <c r="FZ30" s="47">
        <f t="array" ref="FZ30">IF(AND(ISNUMBER(MATCH(FZ$2, AsistenciaJetAdminConcatenada!$A:$A, 0)), ISNUMBER(MATCH(FZ$1, AsistenciaJetAdminConcatenada!$B:$B, 0)), ISNUMBER(SEARCH($A30,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ISNUMBER(SEARCH($A30, INDEX(AsistenciaJetAdminConcatenada!$D:$D, MATCH(1, (AsistenciaJetAdminConcatenada!$A:$A=FZ$2)*(AsistenciaJetAdminConcatenada!$B:$B=FZ$1), 0)), 1))),  0.5, 0))</f>
        <v>0</v>
      </c>
      <c r="GA30" s="47">
        <f t="array" ref="GA30">IF(AND(ISNUMBER(MATCH(GA$2, AsistenciaJetAdminConcatenada!$A:$A, 0)), ISNUMBER(MATCH(GA$1, AsistenciaJetAdminConcatenada!$B:$B, 0)), ISNUMBER(SEARCH($A30,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ISNUMBER(SEARCH($A30, INDEX(AsistenciaJetAdminConcatenada!$D:$D, MATCH(1, (AsistenciaJetAdminConcatenada!$A:$A=GA$2)*(AsistenciaJetAdminConcatenada!$B:$B=GA$1), 0)), 1))),  0.5, 0))</f>
        <v>0</v>
      </c>
      <c r="GB30" s="47">
        <f t="array" ref="GB30">IF(AND(ISNUMBER(MATCH(GB$2, AsistenciaJetAdminConcatenada!$A:$A, 0)), ISNUMBER(MATCH(GB$1, AsistenciaJetAdminConcatenada!$B:$B, 0)), ISNUMBER(SEARCH($A30,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ISNUMBER(SEARCH($A30, INDEX(AsistenciaJetAdminConcatenada!$D:$D, MATCH(1, (AsistenciaJetAdminConcatenada!$A:$A=GB$2)*(AsistenciaJetAdminConcatenada!$B:$B=GB$1), 0)), 1))),  0.5, 0))</f>
        <v>0</v>
      </c>
      <c r="GC30" s="47">
        <f t="array" ref="GC30">IF(AND(ISNUMBER(MATCH(GC$2, AsistenciaJetAdminConcatenada!$A:$A, 0)), ISNUMBER(MATCH(GC$1, AsistenciaJetAdminConcatenada!$B:$B, 0)), ISNUMBER(SEARCH($A30,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ISNUMBER(SEARCH($A30, INDEX(AsistenciaJetAdminConcatenada!$D:$D, MATCH(1, (AsistenciaJetAdminConcatenada!$A:$A=GC$2)*(AsistenciaJetAdminConcatenada!$B:$B=GC$1), 0)), 1))),  0.5, 0))</f>
        <v>0</v>
      </c>
      <c r="GD30" s="47">
        <f t="array" ref="GD30">IF(AND(ISNUMBER(MATCH(GD$2, AsistenciaJetAdminConcatenada!$A:$A, 0)), ISNUMBER(MATCH(GD$1, AsistenciaJetAdminConcatenada!$B:$B, 0)), ISNUMBER(SEARCH($A30,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ISNUMBER(SEARCH($A30, INDEX(AsistenciaJetAdminConcatenada!$D:$D, MATCH(1, (AsistenciaJetAdminConcatenada!$A:$A=GD$2)*(AsistenciaJetAdminConcatenada!$B:$B=GD$1), 0)), 1))),  0.5, 0))</f>
        <v>0</v>
      </c>
      <c r="GE30" s="47">
        <f t="array" ref="GE30">IF(AND(ISNUMBER(MATCH(GE$2, AsistenciaJetAdminConcatenada!$A:$A, 0)), ISNUMBER(MATCH(GE$1, AsistenciaJetAdminConcatenada!$B:$B, 0)), ISNUMBER(SEARCH($A30,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ISNUMBER(SEARCH($A30, INDEX(AsistenciaJetAdminConcatenada!$D:$D, MATCH(1, (AsistenciaJetAdminConcatenada!$A:$A=GE$2)*(AsistenciaJetAdminConcatenada!$B:$B=GE$1), 0)), 1))),  0.5, 0))</f>
        <v>0</v>
      </c>
      <c r="GF30" s="47">
        <f t="array" ref="GF30">IF(AND(ISNUMBER(MATCH(GF$2, AsistenciaJetAdminConcatenada!$A:$A, 0)), ISNUMBER(MATCH(GF$1, AsistenciaJetAdminConcatenada!$B:$B, 0)), ISNUMBER(SEARCH($A30,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ISNUMBER(SEARCH($A30, INDEX(AsistenciaJetAdminConcatenada!$D:$D, MATCH(1, (AsistenciaJetAdminConcatenada!$A:$A=GF$2)*(AsistenciaJetAdminConcatenada!$B:$B=GF$1), 0)), 1))),  0.5, 0))</f>
        <v>0</v>
      </c>
      <c r="GG30" s="47">
        <f t="array" ref="GG30">IF(AND(ISNUMBER(MATCH(GG$2, AsistenciaJetAdminConcatenada!$A:$A, 0)), ISNUMBER(MATCH(GG$1, AsistenciaJetAdminConcatenada!$B:$B, 0)), ISNUMBER(SEARCH($A30,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ISNUMBER(SEARCH($A30, INDEX(AsistenciaJetAdminConcatenada!$D:$D, MATCH(1, (AsistenciaJetAdminConcatenada!$A:$A=GG$2)*(AsistenciaJetAdminConcatenada!$B:$B=GG$1), 0)), 1))),  0.5, 0))</f>
        <v>0</v>
      </c>
      <c r="GH30" s="47">
        <f t="array" ref="GH30">IF(AND(ISNUMBER(MATCH(GH$2, AsistenciaJetAdminConcatenada!$A:$A, 0)), ISNUMBER(MATCH(GH$1, AsistenciaJetAdminConcatenada!$B:$B, 0)), ISNUMBER(SEARCH($A30,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ISNUMBER(SEARCH($A30, INDEX(AsistenciaJetAdminConcatenada!$D:$D, MATCH(1, (AsistenciaJetAdminConcatenada!$A:$A=GH$2)*(AsistenciaJetAdminConcatenada!$B:$B=GH$1), 0)), 1))),  0.5, 0))</f>
        <v>0</v>
      </c>
      <c r="GI30" s="47">
        <f t="array" ref="GI30">IF(AND(ISNUMBER(MATCH(GI$2, AsistenciaJetAdminConcatenada!$A:$A, 0)), ISNUMBER(MATCH(GI$1, AsistenciaJetAdminConcatenada!$B:$B, 0)), ISNUMBER(SEARCH($A30,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ISNUMBER(SEARCH($A30, INDEX(AsistenciaJetAdminConcatenada!$D:$D, MATCH(1, (AsistenciaJetAdminConcatenada!$A:$A=GI$2)*(AsistenciaJetAdminConcatenada!$B:$B=GI$1), 0)), 1))),  0.5, 0))</f>
        <v>0</v>
      </c>
      <c r="GJ30" s="47">
        <f t="array" ref="GJ30">IF(AND(ISNUMBER(MATCH(GJ$2, AsistenciaJetAdminConcatenada!$A:$A, 0)), ISNUMBER(MATCH(GJ$1, AsistenciaJetAdminConcatenada!$B:$B, 0)), ISNUMBER(SEARCH($A30,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ISNUMBER(SEARCH($A30, INDEX(AsistenciaJetAdminConcatenada!$D:$D, MATCH(1, (AsistenciaJetAdminConcatenada!$A:$A=GJ$2)*(AsistenciaJetAdminConcatenada!$B:$B=GJ$1), 0)), 1))),  0.5, 0))</f>
        <v>0</v>
      </c>
      <c r="GK30" s="47">
        <f t="array" ref="GK30">IF(AND(ISNUMBER(MATCH(GK$2, AsistenciaJetAdminConcatenada!$A:$A, 0)), ISNUMBER(MATCH(GK$1, AsistenciaJetAdminConcatenada!$B:$B, 0)), ISNUMBER(SEARCH($A30,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ISNUMBER(SEARCH($A30, INDEX(AsistenciaJetAdminConcatenada!$D:$D, MATCH(1, (AsistenciaJetAdminConcatenada!$A:$A=GK$2)*(AsistenciaJetAdminConcatenada!$B:$B=GK$1), 0)), 1))),  0.5, 0))</f>
        <v>0</v>
      </c>
      <c r="GL30" s="47">
        <f t="array" ref="GL30">IF(AND(ISNUMBER(MATCH(GL$2, AsistenciaJetAdminConcatenada!$A:$A, 0)), ISNUMBER(MATCH(GL$1, AsistenciaJetAdminConcatenada!$B:$B, 0)), ISNUMBER(SEARCH($A30,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ISNUMBER(SEARCH($A30, INDEX(AsistenciaJetAdminConcatenada!$D:$D, MATCH(1, (AsistenciaJetAdminConcatenada!$A:$A=GL$2)*(AsistenciaJetAdminConcatenada!$B:$B=GL$1), 0)), 1))),  0.5, 0))</f>
        <v>0</v>
      </c>
      <c r="GM30" s="47">
        <f t="array" ref="GM30">IF(AND(ISNUMBER(MATCH(GM$2, AsistenciaJetAdminConcatenada!$A:$A, 0)), ISNUMBER(MATCH(GM$1, AsistenciaJetAdminConcatenada!$B:$B, 0)), ISNUMBER(SEARCH($A30,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ISNUMBER(SEARCH($A30, INDEX(AsistenciaJetAdminConcatenada!$D:$D, MATCH(1, (AsistenciaJetAdminConcatenada!$A:$A=GM$2)*(AsistenciaJetAdminConcatenada!$B:$B=GM$1), 0)), 1))),  0.5, 0))</f>
        <v>0</v>
      </c>
      <c r="GN30" s="47">
        <f t="array" ref="GN30">IF(AND(ISNUMBER(MATCH(GN$2, AsistenciaJetAdminConcatenada!$A:$A, 0)), ISNUMBER(MATCH(GN$1, AsistenciaJetAdminConcatenada!$B:$B, 0)), ISNUMBER(SEARCH($A30,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ISNUMBER(SEARCH($A30, INDEX(AsistenciaJetAdminConcatenada!$D:$D, MATCH(1, (AsistenciaJetAdminConcatenada!$A:$A=GN$2)*(AsistenciaJetAdminConcatenada!$B:$B=GN$1), 0)), 1))),  0.5, 0))</f>
        <v>0</v>
      </c>
      <c r="GO30" s="47">
        <f t="array" ref="GO30">IF(AND(ISNUMBER(MATCH(GO$2, AsistenciaJetAdminConcatenada!$A:$A, 0)), ISNUMBER(MATCH(GO$1, AsistenciaJetAdminConcatenada!$B:$B, 0)), ISNUMBER(SEARCH($A30,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ISNUMBER(SEARCH($A30, INDEX(AsistenciaJetAdminConcatenada!$D:$D, MATCH(1, (AsistenciaJetAdminConcatenada!$A:$A=GO$2)*(AsistenciaJetAdminConcatenada!$B:$B=GO$1), 0)), 1))),  0.5, 0))</f>
        <v>0</v>
      </c>
      <c r="GP30" s="47">
        <f t="array" ref="GP30">IF(AND(ISNUMBER(MATCH(GP$2, AsistenciaJetAdminConcatenada!$A:$A, 0)), ISNUMBER(MATCH(GP$1, AsistenciaJetAdminConcatenada!$B:$B, 0)), ISNUMBER(SEARCH($A30,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ISNUMBER(SEARCH($A30, INDEX(AsistenciaJetAdminConcatenada!$D:$D, MATCH(1, (AsistenciaJetAdminConcatenada!$A:$A=GP$2)*(AsistenciaJetAdminConcatenada!$B:$B=GP$1), 0)), 1))),  0.5, 0))</f>
        <v>0</v>
      </c>
      <c r="GQ30" s="47">
        <f t="array" ref="GQ30">IF(AND(ISNUMBER(MATCH(GQ$2, AsistenciaJetAdminConcatenada!$A:$A, 0)), ISNUMBER(MATCH(GQ$1, AsistenciaJetAdminConcatenada!$B:$B, 0)), ISNUMBER(SEARCH($A30,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ISNUMBER(SEARCH($A30, INDEX(AsistenciaJetAdminConcatenada!$D:$D, MATCH(1, (AsistenciaJetAdminConcatenada!$A:$A=GQ$2)*(AsistenciaJetAdminConcatenada!$B:$B=GQ$1), 0)), 1))),  0.5, 0))</f>
        <v>0</v>
      </c>
      <c r="GR30" s="47">
        <f t="array" ref="GR30">IF(AND(ISNUMBER(MATCH(GR$2, AsistenciaJetAdminConcatenada!$A:$A, 0)), ISNUMBER(MATCH(GR$1, AsistenciaJetAdminConcatenada!$B:$B, 0)), ISNUMBER(SEARCH($A30,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ISNUMBER(SEARCH($A30, INDEX(AsistenciaJetAdminConcatenada!$D:$D, MATCH(1, (AsistenciaJetAdminConcatenada!$A:$A=GR$2)*(AsistenciaJetAdminConcatenada!$B:$B=GR$1), 0)), 1))),  0.5, 0))</f>
        <v>0</v>
      </c>
      <c r="GS30" s="47">
        <f t="array" ref="GS30">IF(AND(ISNUMBER(MATCH(GS$2, AsistenciaJetAdminConcatenada!$A:$A, 0)), ISNUMBER(MATCH(GS$1, AsistenciaJetAdminConcatenada!$B:$B, 0)), ISNUMBER(SEARCH($A30,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ISNUMBER(SEARCH($A30, INDEX(AsistenciaJetAdminConcatenada!$D:$D, MATCH(1, (AsistenciaJetAdminConcatenada!$A:$A=GS$2)*(AsistenciaJetAdminConcatenada!$B:$B=GS$1), 0)), 1))),  0.5, 0))</f>
        <v>0</v>
      </c>
      <c r="GT30" s="47">
        <f t="array" ref="GT30">IF(AND(ISNUMBER(MATCH(GT$2, AsistenciaJetAdminConcatenada!$A:$A, 0)), ISNUMBER(MATCH(GT$1, AsistenciaJetAdminConcatenada!$B:$B, 0)), ISNUMBER(SEARCH($A30,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ISNUMBER(SEARCH($A30, INDEX(AsistenciaJetAdminConcatenada!$D:$D, MATCH(1, (AsistenciaJetAdminConcatenada!$A:$A=GT$2)*(AsistenciaJetAdminConcatenada!$B:$B=GT$1), 0)), 1))),  0.5, 0))</f>
        <v>0</v>
      </c>
      <c r="GU30" s="47">
        <f t="array" ref="GU30">IF(AND(ISNUMBER(MATCH(GU$2, AsistenciaJetAdminConcatenada!$A:$A, 0)), ISNUMBER(MATCH(GU$1, AsistenciaJetAdminConcatenada!$B:$B, 0)), ISNUMBER(SEARCH($A30,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ISNUMBER(SEARCH($A30, INDEX(AsistenciaJetAdminConcatenada!$D:$D, MATCH(1, (AsistenciaJetAdminConcatenada!$A:$A=GU$2)*(AsistenciaJetAdminConcatenada!$B:$B=GU$1), 0)), 1))),  0.5, 0))</f>
        <v>0</v>
      </c>
      <c r="GV30" s="47">
        <f t="array" ref="GV30">IF(AND(ISNUMBER(MATCH(GV$2, AsistenciaJetAdminConcatenada!$A:$A, 0)), ISNUMBER(MATCH(GV$1, AsistenciaJetAdminConcatenada!$B:$B, 0)), ISNUMBER(SEARCH($A30,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ISNUMBER(SEARCH($A30, INDEX(AsistenciaJetAdminConcatenada!$D:$D, MATCH(1, (AsistenciaJetAdminConcatenada!$A:$A=GV$2)*(AsistenciaJetAdminConcatenada!$B:$B=GV$1), 0)), 1))),  0.5, 0))</f>
        <v>0</v>
      </c>
      <c r="GW30" s="47">
        <f t="array" ref="GW30">IF(AND(ISNUMBER(MATCH(GW$2, AsistenciaJetAdminConcatenada!$A:$A, 0)), ISNUMBER(MATCH(GW$1, AsistenciaJetAdminConcatenada!$B:$B, 0)), ISNUMBER(SEARCH($A30,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ISNUMBER(SEARCH($A30, INDEX(AsistenciaJetAdminConcatenada!$D:$D, MATCH(1, (AsistenciaJetAdminConcatenada!$A:$A=GW$2)*(AsistenciaJetAdminConcatenada!$B:$B=GW$1), 0)), 1))),  0.5, 0))</f>
        <v>0</v>
      </c>
      <c r="GX30" s="47">
        <f t="array" ref="GX30">IF(AND(ISNUMBER(MATCH(GX$2, AsistenciaJetAdminConcatenada!$A:$A, 0)), ISNUMBER(MATCH(GX$1, AsistenciaJetAdminConcatenada!$B:$B, 0)), ISNUMBER(SEARCH($A30,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ISNUMBER(SEARCH($A30, INDEX(AsistenciaJetAdminConcatenada!$D:$D, MATCH(1, (AsistenciaJetAdminConcatenada!$A:$A=GX$2)*(AsistenciaJetAdminConcatenada!$B:$B=GX$1), 0)), 1))),  0.5, 0))</f>
        <v>0</v>
      </c>
      <c r="GY30" s="47">
        <f t="array" ref="GY30">IF(AND(ISNUMBER(MATCH(GY$2, AsistenciaJetAdminConcatenada!$A:$A, 0)), ISNUMBER(MATCH(GY$1, AsistenciaJetAdminConcatenada!$B:$B, 0)), ISNUMBER(SEARCH($A30,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ISNUMBER(SEARCH($A30, INDEX(AsistenciaJetAdminConcatenada!$D:$D, MATCH(1, (AsistenciaJetAdminConcatenada!$A:$A=GY$2)*(AsistenciaJetAdminConcatenada!$B:$B=GY$1), 0)), 1))),  0.5, 0))</f>
        <v>0</v>
      </c>
      <c r="GZ30" s="47">
        <f t="array" ref="GZ30">IF(AND(ISNUMBER(MATCH(GZ$2, AsistenciaJetAdminConcatenada!$A:$A, 0)), ISNUMBER(MATCH(GZ$1, AsistenciaJetAdminConcatenada!$B:$B, 0)), ISNUMBER(SEARCH($A30,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ISNUMBER(SEARCH($A30, INDEX(AsistenciaJetAdminConcatenada!$D:$D, MATCH(1, (AsistenciaJetAdminConcatenada!$A:$A=GZ$2)*(AsistenciaJetAdminConcatenada!$B:$B=GZ$1), 0)), 1))),  0.5, 0))</f>
        <v>0</v>
      </c>
      <c r="HA30" s="47">
        <f t="array" ref="HA30">IF(AND(ISNUMBER(MATCH(HA$2, AsistenciaJetAdminConcatenada!$A:$A, 0)), ISNUMBER(MATCH(HA$1, AsistenciaJetAdminConcatenada!$B:$B, 0)), ISNUMBER(SEARCH($A30,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ISNUMBER(SEARCH($A30, INDEX(AsistenciaJetAdminConcatenada!$D:$D, MATCH(1, (AsistenciaJetAdminConcatenada!$A:$A=HA$2)*(AsistenciaJetAdminConcatenada!$B:$B=HA$1), 0)), 1))),  0.5, 0))</f>
        <v>0</v>
      </c>
      <c r="HB30" s="47">
        <f t="array" ref="HB30">IF(AND(ISNUMBER(MATCH(HB$2, AsistenciaJetAdminConcatenada!$A:$A, 0)), ISNUMBER(MATCH(HB$1, AsistenciaJetAdminConcatenada!$B:$B, 0)), ISNUMBER(SEARCH($A30,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ISNUMBER(SEARCH($A30, INDEX(AsistenciaJetAdminConcatenada!$D:$D, MATCH(1, (AsistenciaJetAdminConcatenada!$A:$A=HB$2)*(AsistenciaJetAdminConcatenada!$B:$B=HB$1), 0)), 1))),  0.5, 0))</f>
        <v>0</v>
      </c>
      <c r="HC30" s="47">
        <f t="array" ref="HC30">IF(AND(ISNUMBER(MATCH(HC$2, AsistenciaJetAdminConcatenada!$A:$A, 0)), ISNUMBER(MATCH(HC$1, AsistenciaJetAdminConcatenada!$B:$B, 0)), ISNUMBER(SEARCH($A30,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ISNUMBER(SEARCH($A30, INDEX(AsistenciaJetAdminConcatenada!$D:$D, MATCH(1, (AsistenciaJetAdminConcatenada!$A:$A=HC$2)*(AsistenciaJetAdminConcatenada!$B:$B=HC$1), 0)), 1))),  0.5, 0))</f>
        <v>0</v>
      </c>
    </row>
    <row r="31" ht="29.25" customHeight="1">
      <c r="A31" s="3">
        <v>143.0</v>
      </c>
      <c r="B31" s="4" t="s">
        <v>162</v>
      </c>
      <c r="C31" s="47">
        <f>SUM(D31:HC31) + ActividadesEspeciales!C31</f>
        <v>72.5</v>
      </c>
      <c r="D31" s="47">
        <f t="array" ref="D31">IF(AND(ISNUMBER(MATCH(D$2, AsistenciaJetAdminConcatenada!$A:$A, 0)), ISNUMBER(MATCH(D$1, AsistenciaJetAdminConcatenada!$B:$B, 0)), ISNUMBER(SEARCH($A31,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ISNUMBER(SEARCH($A31, INDEX(AsistenciaJetAdminConcatenada!$D:$D, MATCH(1, (AsistenciaJetAdminConcatenada!$A:$A=D$2)*(AsistenciaJetAdminConcatenada!$B:$B=D$1), 0)), 1))),  0.5, 0))</f>
        <v>1</v>
      </c>
      <c r="E31" s="47">
        <f t="array" ref="E31">IF(AND(ISNUMBER(MATCH(E$2, AsistenciaJetAdminConcatenada!$A:$A, 0)), ISNUMBER(MATCH(E$1, AsistenciaJetAdminConcatenada!$B:$B, 0)), ISNUMBER(SEARCH($A31,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ISNUMBER(SEARCH($A31, INDEX(AsistenciaJetAdminConcatenada!$D:$D, MATCH(1, (AsistenciaJetAdminConcatenada!$A:$A=E$2)*(AsistenciaJetAdminConcatenada!$B:$B=E$1), 0)), 1))),  0.5, 0))</f>
        <v>1</v>
      </c>
      <c r="F31" s="47">
        <f t="array" ref="F31">IF(AND(ISNUMBER(MATCH(F$2, AsistenciaJetAdminConcatenada!$A:$A, 0)), ISNUMBER(MATCH(F$1, AsistenciaJetAdminConcatenada!$B:$B, 0)), ISNUMBER(SEARCH($A31,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ISNUMBER(SEARCH($A31, INDEX(AsistenciaJetAdminConcatenada!$D:$D, MATCH(1, (AsistenciaJetAdminConcatenada!$A:$A=F$2)*(AsistenciaJetAdminConcatenada!$B:$B=F$1), 0)), 1))),  0.5, 0))</f>
        <v>1</v>
      </c>
      <c r="G31" s="47">
        <f t="array" ref="G31">IF(AND(ISNUMBER(MATCH(G$2, AsistenciaJetAdminConcatenada!$A:$A, 0)), ISNUMBER(MATCH(G$1, AsistenciaJetAdminConcatenada!$B:$B, 0)), ISNUMBER(SEARCH($A31,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ISNUMBER(SEARCH($A31, INDEX(AsistenciaJetAdminConcatenada!$D:$D, MATCH(1, (AsistenciaJetAdminConcatenada!$A:$A=G$2)*(AsistenciaJetAdminConcatenada!$B:$B=G$1), 0)), 1))),  0.5, 0))</f>
        <v>1</v>
      </c>
      <c r="H31" s="47">
        <f t="array" ref="H31">IF(AND(ISNUMBER(MATCH(H$2, AsistenciaJetAdminConcatenada!$A:$A, 0)), ISNUMBER(MATCH(H$1, AsistenciaJetAdminConcatenada!$B:$B, 0)), ISNUMBER(SEARCH($A31,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ISNUMBER(SEARCH($A31, INDEX(AsistenciaJetAdminConcatenada!$D:$D, MATCH(1, (AsistenciaJetAdminConcatenada!$A:$A=H$2)*(AsistenciaJetAdminConcatenada!$B:$B=H$1), 0)), 1))),  0.5, 0))</f>
        <v>1</v>
      </c>
      <c r="I31" s="47">
        <f t="array" ref="I31">IF(AND(ISNUMBER(MATCH(I$2, AsistenciaJetAdminConcatenada!$A:$A, 0)), ISNUMBER(MATCH(I$1, AsistenciaJetAdminConcatenada!$B:$B, 0)), ISNUMBER(SEARCH($A31,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ISNUMBER(SEARCH($A31, INDEX(AsistenciaJetAdminConcatenada!$D:$D, MATCH(1, (AsistenciaJetAdminConcatenada!$A:$A=I$2)*(AsistenciaJetAdminConcatenada!$B:$B=I$1), 0)), 1))),  0.5, 0))</f>
        <v>1</v>
      </c>
      <c r="J31" s="47">
        <f t="array" ref="J31">IF(AND(ISNUMBER(MATCH(J$2, AsistenciaJetAdminConcatenada!$A:$A, 0)), ISNUMBER(MATCH(J$1, AsistenciaJetAdminConcatenada!$B:$B, 0)), ISNUMBER(SEARCH($A31,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ISNUMBER(SEARCH($A31, INDEX(AsistenciaJetAdminConcatenada!$D:$D, MATCH(1, (AsistenciaJetAdminConcatenada!$A:$A=J$2)*(AsistenciaJetAdminConcatenada!$B:$B=J$1), 0)), 1))),  0.5, 0))</f>
        <v>1</v>
      </c>
      <c r="K31" s="47">
        <f t="array" ref="K31">IF(AND(ISNUMBER(MATCH(K$2, AsistenciaJetAdminConcatenada!$A:$A, 0)), ISNUMBER(MATCH(K$1, AsistenciaJetAdminConcatenada!$B:$B, 0)), ISNUMBER(SEARCH($A31,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ISNUMBER(SEARCH($A31, INDEX(AsistenciaJetAdminConcatenada!$D:$D, MATCH(1, (AsistenciaJetAdminConcatenada!$A:$A=K$2)*(AsistenciaJetAdminConcatenada!$B:$B=K$1), 0)), 1))),  0.5, 0))</f>
        <v>1</v>
      </c>
      <c r="L31" s="47">
        <f t="array" ref="L31">IF(AND(ISNUMBER(MATCH(L$2, AsistenciaJetAdminConcatenada!$A:$A, 0)), ISNUMBER(MATCH(L$1, AsistenciaJetAdminConcatenada!$B:$B, 0)), ISNUMBER(SEARCH($A31,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ISNUMBER(SEARCH($A31, INDEX(AsistenciaJetAdminConcatenada!$D:$D, MATCH(1, (AsistenciaJetAdminConcatenada!$A:$A=L$2)*(AsistenciaJetAdminConcatenada!$B:$B=L$1), 0)), 1))),  0.5, 0))</f>
        <v>1</v>
      </c>
      <c r="M31" s="47">
        <f t="array" ref="M31">IF(AND(ISNUMBER(MATCH(M$2, AsistenciaJetAdminConcatenada!$A:$A, 0)), ISNUMBER(MATCH(M$1, AsistenciaJetAdminConcatenada!$B:$B, 0)), ISNUMBER(SEARCH($A31,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ISNUMBER(SEARCH($A31, INDEX(AsistenciaJetAdminConcatenada!$D:$D, MATCH(1, (AsistenciaJetAdminConcatenada!$A:$A=M$2)*(AsistenciaJetAdminConcatenada!$B:$B=M$1), 0)), 1))),  0.5, 0))</f>
        <v>1</v>
      </c>
      <c r="N31" s="47">
        <f t="array" ref="N31">IF(AND(ISNUMBER(MATCH(N$2, AsistenciaJetAdminConcatenada!$A:$A, 0)), ISNUMBER(MATCH(N$1, AsistenciaJetAdminConcatenada!$B:$B, 0)), ISNUMBER(SEARCH($A31,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ISNUMBER(SEARCH($A31, INDEX(AsistenciaJetAdminConcatenada!$D:$D, MATCH(1, (AsistenciaJetAdminConcatenada!$A:$A=N$2)*(AsistenciaJetAdminConcatenada!$B:$B=N$1), 0)), 1))),  0.5, 0))</f>
        <v>0</v>
      </c>
      <c r="O31" s="47">
        <f t="array" ref="O31">IF(AND(ISNUMBER(MATCH(O$2, AsistenciaJetAdminConcatenada!$A:$A, 0)), ISNUMBER(MATCH(O$1, AsistenciaJetAdminConcatenada!$B:$B, 0)), ISNUMBER(SEARCH($A31,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ISNUMBER(SEARCH($A31, INDEX(AsistenciaJetAdminConcatenada!$D:$D, MATCH(1, (AsistenciaJetAdminConcatenada!$A:$A=O$2)*(AsistenciaJetAdminConcatenada!$B:$B=O$1), 0)), 1))),  0.5, 0))</f>
        <v>0</v>
      </c>
      <c r="P31" s="47">
        <f t="array" ref="P31">IF(AND(ISNUMBER(MATCH(P$2, AsistenciaJetAdminConcatenada!$A:$A, 0)), ISNUMBER(MATCH(P$1, AsistenciaJetAdminConcatenada!$B:$B, 0)), ISNUMBER(SEARCH($A31, INDEX(AsistenciaJetAdminConcatenada!$C:$C, MATCH(1, (AsistenciaJetAdminConcatenada!$A:$A=P$2)*(AsistenciaJetAdminConcatenada!$B:$B=P$1), 0)), 1))), 1, IF(AND(ISNUMBER(MATCH(P$2, AsistenciaJetAdminConcatenada!$A:$A, 0)), ISNUMBER(MATCH(P$1, AsistenciaJetAdminConcatenada!$B:$B, 0)), ISNUMBER(SEARCH($A31, INDEX(AsistenciaJetAdminConcatenada!$D:$D, MATCH(1, (AsistenciaJetAdminConcatenada!$A:$A=P$2)*(AsistenciaJetAdminConcatenada!$B:$B=P$1), 0)), 1))),  0.5, 0))</f>
        <v>1</v>
      </c>
      <c r="Q31" s="47">
        <f t="array" ref="Q31">IF(AND(ISNUMBER(MATCH(Q$2, AsistenciaJetAdminConcatenada!$A:$A, 0)), ISNUMBER(MATCH(Q$1, AsistenciaJetAdminConcatenada!$B:$B, 0)), ISNUMBER(SEARCH($A31, INDEX(AsistenciaJetAdminConcatenada!$C:$C, MATCH(1, (AsistenciaJetAdminConcatenada!$A:$A=Q$2)*(AsistenciaJetAdminConcatenada!$B:$B=Q$1), 0)), 1))), 1, IF(AND(ISNUMBER(MATCH(Q$2, AsistenciaJetAdminConcatenada!$A:$A, 0)), ISNUMBER(MATCH(Q$1, AsistenciaJetAdminConcatenada!$B:$B, 0)), ISNUMBER(SEARCH($A31, INDEX(AsistenciaJetAdminConcatenada!$D:$D, MATCH(1, (AsistenciaJetAdminConcatenada!$A:$A=Q$2)*(AsistenciaJetAdminConcatenada!$B:$B=Q$1), 0)), 1))),  0.5, 0))</f>
        <v>1</v>
      </c>
      <c r="R31" s="47">
        <f t="array" ref="R31">IF(AND(ISNUMBER(MATCH(R$2, AsistenciaJetAdminConcatenada!$A:$A, 0)), ISNUMBER(MATCH(R$1, AsistenciaJetAdminConcatenada!$B:$B, 0)), ISNUMBER(SEARCH($A31,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ISNUMBER(SEARCH($A31, INDEX(AsistenciaJetAdminConcatenada!$D:$D, MATCH(1, (AsistenciaJetAdminConcatenada!$A:$A=R$2)*(AsistenciaJetAdminConcatenada!$B:$B=R$1), 0)), 1))),  0.5, 0))</f>
        <v>1</v>
      </c>
      <c r="S31" s="47">
        <f t="array" ref="S31">IF(AND(ISNUMBER(MATCH(S$2, AsistenciaJetAdminConcatenada!$A:$A, 0)), ISNUMBER(MATCH(S$1, AsistenciaJetAdminConcatenada!$B:$B, 0)), ISNUMBER(SEARCH($A31,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ISNUMBER(SEARCH($A31, INDEX(AsistenciaJetAdminConcatenada!$D:$D, MATCH(1, (AsistenciaJetAdminConcatenada!$A:$A=S$2)*(AsistenciaJetAdminConcatenada!$B:$B=S$1), 0)), 1))),  0.5, 0))</f>
        <v>1</v>
      </c>
      <c r="T31" s="47">
        <f t="array" ref="T31">IF(AND(ISNUMBER(MATCH(T$2, AsistenciaJetAdminConcatenada!$A:$A, 0)), ISNUMBER(MATCH(T$1, AsistenciaJetAdminConcatenada!$B:$B, 0)), ISNUMBER(SEARCH($A31,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ISNUMBER(SEARCH($A31, INDEX(AsistenciaJetAdminConcatenada!$D:$D, MATCH(1, (AsistenciaJetAdminConcatenada!$A:$A=T$2)*(AsistenciaJetAdminConcatenada!$B:$B=T$1), 0)), 1))),  0.5, 0))</f>
        <v>1</v>
      </c>
      <c r="U31" s="47">
        <f t="array" ref="U31">IF(AND(ISNUMBER(MATCH(U$2, AsistenciaJetAdminConcatenada!$A:$A, 0)), ISNUMBER(MATCH(U$1, AsistenciaJetAdminConcatenada!$B:$B, 0)), ISNUMBER(SEARCH($A31,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ISNUMBER(SEARCH($A31, INDEX(AsistenciaJetAdminConcatenada!$D:$D, MATCH(1, (AsistenciaJetAdminConcatenada!$A:$A=U$2)*(AsistenciaJetAdminConcatenada!$B:$B=U$1), 0)), 1))),  0.5, 0))</f>
        <v>0.5</v>
      </c>
      <c r="V31" s="47">
        <f t="array" ref="V31">IF(AND(ISNUMBER(MATCH(V$2, AsistenciaJetAdminConcatenada!$A:$A, 0)), ISNUMBER(MATCH(V$1, AsistenciaJetAdminConcatenada!$B:$B, 0)), ISNUMBER(SEARCH($A31,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ISNUMBER(SEARCH($A31, INDEX(AsistenciaJetAdminConcatenada!$D:$D, MATCH(1, (AsistenciaJetAdminConcatenada!$A:$A=V$2)*(AsistenciaJetAdminConcatenada!$B:$B=V$1), 0)), 1))),  0.5, 0))</f>
        <v>1</v>
      </c>
      <c r="W31" s="47">
        <f t="array" ref="W31">IF(AND(ISNUMBER(MATCH(W$2, AsistenciaJetAdminConcatenada!$A:$A, 0)), ISNUMBER(MATCH(W$1, AsistenciaJetAdminConcatenada!$B:$B, 0)), ISNUMBER(SEARCH($A31,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ISNUMBER(SEARCH($A31, INDEX(AsistenciaJetAdminConcatenada!$D:$D, MATCH(1, (AsistenciaJetAdminConcatenada!$A:$A=W$2)*(AsistenciaJetAdminConcatenada!$B:$B=W$1), 0)), 1))),  0.5, 0))</f>
        <v>1</v>
      </c>
      <c r="X31" s="47">
        <f t="array" ref="X31">IF(AND(ISNUMBER(MATCH(X$2, AsistenciaJetAdminConcatenada!$A:$A, 0)), ISNUMBER(MATCH(X$1, AsistenciaJetAdminConcatenada!$B:$B, 0)), ISNUMBER(SEARCH($A31,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ISNUMBER(SEARCH($A31, INDEX(AsistenciaJetAdminConcatenada!$D:$D, MATCH(1, (AsistenciaJetAdminConcatenada!$A:$A=X$2)*(AsistenciaJetAdminConcatenada!$B:$B=X$1), 0)), 1))),  0.5, 0))</f>
        <v>1</v>
      </c>
      <c r="Y31" s="47">
        <f t="array" ref="Y31">IF(AND(ISNUMBER(MATCH(Y$2, AsistenciaJetAdminConcatenada!$A:$A, 0)), ISNUMBER(MATCH(Y$1, AsistenciaJetAdminConcatenada!$B:$B, 0)), ISNUMBER(SEARCH($A31,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ISNUMBER(SEARCH($A31, INDEX(AsistenciaJetAdminConcatenada!$D:$D, MATCH(1, (AsistenciaJetAdminConcatenada!$A:$A=Y$2)*(AsistenciaJetAdminConcatenada!$B:$B=Y$1), 0)), 1))),  0.5, 0))</f>
        <v>1</v>
      </c>
      <c r="Z31" s="47">
        <f t="array" ref="Z31">IF(AND(ISNUMBER(MATCH(Z$2, AsistenciaJetAdminConcatenada!$A:$A, 0)), ISNUMBER(MATCH(Z$1, AsistenciaJetAdminConcatenada!$B:$B, 0)), ISNUMBER(SEARCH($A31,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ISNUMBER(SEARCH($A31, INDEX(AsistenciaJetAdminConcatenada!$D:$D, MATCH(1, (AsistenciaJetAdminConcatenada!$A:$A=Z$2)*(AsistenciaJetAdminConcatenada!$B:$B=Z$1), 0)), 1))),  0.5, 0))</f>
        <v>0</v>
      </c>
      <c r="AA31" s="47">
        <f t="array" ref="AA31">IF(AND(ISNUMBER(MATCH(AA$2, AsistenciaJetAdminConcatenada!$A:$A, 0)), ISNUMBER(MATCH(AA$1, AsistenciaJetAdminConcatenada!$B:$B, 0)), ISNUMBER(SEARCH($A31,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ISNUMBER(SEARCH($A31, INDEX(AsistenciaJetAdminConcatenada!$D:$D, MATCH(1, (AsistenciaJetAdminConcatenada!$A:$A=AA$2)*(AsistenciaJetAdminConcatenada!$B:$B=AA$1), 0)), 1))),  0.5, 0))</f>
        <v>1</v>
      </c>
      <c r="AB31" s="47">
        <f t="array" ref="AB31">IF(AND(ISNUMBER(MATCH(AB$2, AsistenciaJetAdminConcatenada!$A:$A, 0)), ISNUMBER(MATCH(AB$1, AsistenciaJetAdminConcatenada!$B:$B, 0)), ISNUMBER(SEARCH($A31,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ISNUMBER(SEARCH($A31, INDEX(AsistenciaJetAdminConcatenada!$D:$D, MATCH(1, (AsistenciaJetAdminConcatenada!$A:$A=AB$2)*(AsistenciaJetAdminConcatenada!$B:$B=AB$1), 0)), 1))),  0.5, 0))</f>
        <v>1</v>
      </c>
      <c r="AC31" s="47">
        <f t="array" ref="AC31">IF(AND(ISNUMBER(MATCH(AC$2, AsistenciaJetAdminConcatenada!$A:$A, 0)), ISNUMBER(MATCH(AC$1, AsistenciaJetAdminConcatenada!$B:$B, 0)), ISNUMBER(SEARCH($A31,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ISNUMBER(SEARCH($A31, INDEX(AsistenciaJetAdminConcatenada!$D:$D, MATCH(1, (AsistenciaJetAdminConcatenada!$A:$A=AC$2)*(AsistenciaJetAdminConcatenada!$B:$B=AC$1), 0)), 1))),  0.5, 0))</f>
        <v>1</v>
      </c>
      <c r="AD31" s="47">
        <f t="array" ref="AD31">IF(AND(ISNUMBER(MATCH(AD$2, AsistenciaJetAdminConcatenada!$A:$A, 0)), ISNUMBER(MATCH(AD$1, AsistenciaJetAdminConcatenada!$B:$B, 0)), ISNUMBER(SEARCH($A31,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ISNUMBER(SEARCH($A31, INDEX(AsistenciaJetAdminConcatenada!$D:$D, MATCH(1, (AsistenciaJetAdminConcatenada!$A:$A=AD$2)*(AsistenciaJetAdminConcatenada!$B:$B=AD$1), 0)), 1))),  0.5, 0))</f>
        <v>1</v>
      </c>
      <c r="AE31" s="47">
        <f t="array" ref="AE31">IF(AND(ISNUMBER(MATCH(AE$2, AsistenciaJetAdminConcatenada!$A:$A, 0)), ISNUMBER(MATCH(AE$1, AsistenciaJetAdminConcatenada!$B:$B, 0)), ISNUMBER(SEARCH($A31,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ISNUMBER(SEARCH($A31, INDEX(AsistenciaJetAdminConcatenada!$D:$D, MATCH(1, (AsistenciaJetAdminConcatenada!$A:$A=AE$2)*(AsistenciaJetAdminConcatenada!$B:$B=AE$1), 0)), 1))),  0.5, 0))</f>
        <v>1</v>
      </c>
      <c r="AF31" s="47">
        <f t="array" ref="AF31">IF(AND(ISNUMBER(MATCH(AF$2, AsistenciaJetAdminConcatenada!$A:$A, 0)), ISNUMBER(MATCH(AF$1, AsistenciaJetAdminConcatenada!$B:$B, 0)), ISNUMBER(SEARCH($A31,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ISNUMBER(SEARCH($A31, INDEX(AsistenciaJetAdminConcatenada!$D:$D, MATCH(1, (AsistenciaJetAdminConcatenada!$A:$A=AF$2)*(AsistenciaJetAdminConcatenada!$B:$B=AF$1), 0)), 1))),  0.5, 0))</f>
        <v>0</v>
      </c>
      <c r="AG31" s="47">
        <f t="array" ref="AG31">IF(AND(ISNUMBER(MATCH(AG$2, AsistenciaJetAdminConcatenada!$A:$A, 0)), ISNUMBER(MATCH(AG$1, AsistenciaJetAdminConcatenada!$B:$B, 0)), ISNUMBER(SEARCH($A31,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ISNUMBER(SEARCH($A31, INDEX(AsistenciaJetAdminConcatenada!$D:$D, MATCH(1, (AsistenciaJetAdminConcatenada!$A:$A=AG$2)*(AsistenciaJetAdminConcatenada!$B:$B=AG$1), 0)), 1))),  0.5, 0))</f>
        <v>1</v>
      </c>
      <c r="AH31" s="47">
        <f t="array" ref="AH31">IF(AND(ISNUMBER(MATCH(AH$2, AsistenciaJetAdminConcatenada!$A:$A, 0)), ISNUMBER(MATCH(AH$1, AsistenciaJetAdminConcatenada!$B:$B, 0)), ISNUMBER(SEARCH($A31,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ISNUMBER(SEARCH($A31, INDEX(AsistenciaJetAdminConcatenada!$D:$D, MATCH(1, (AsistenciaJetAdminConcatenada!$A:$A=AH$2)*(AsistenciaJetAdminConcatenada!$B:$B=AH$1), 0)), 1))),  0.5, 0))</f>
        <v>0</v>
      </c>
      <c r="AI31" s="47">
        <f t="array" ref="AI31">IF(AND(ISNUMBER(MATCH(AI$2, AsistenciaJetAdminConcatenada!$A:$A, 0)), ISNUMBER(MATCH(AI$1, AsistenciaJetAdminConcatenada!$B:$B, 0)), ISNUMBER(SEARCH($A31,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ISNUMBER(SEARCH($A31, INDEX(AsistenciaJetAdminConcatenada!$D:$D, MATCH(1, (AsistenciaJetAdminConcatenada!$A:$A=AI$2)*(AsistenciaJetAdminConcatenada!$B:$B=AI$1), 0)), 1))),  0.5, 0))</f>
        <v>0</v>
      </c>
      <c r="AJ31" s="47">
        <f t="array" ref="AJ31">IF(AND(ISNUMBER(MATCH(AJ$2, AsistenciaJetAdminConcatenada!$A:$A, 0)), ISNUMBER(MATCH(AJ$1, AsistenciaJetAdminConcatenada!$B:$B, 0)), ISNUMBER(SEARCH($A31,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ISNUMBER(SEARCH($A31, INDEX(AsistenciaJetAdminConcatenada!$D:$D, MATCH(1, (AsistenciaJetAdminConcatenada!$A:$A=AJ$2)*(AsistenciaJetAdminConcatenada!$B:$B=AJ$1), 0)), 1))),  0.5, 0))</f>
        <v>1</v>
      </c>
      <c r="AK31" s="47">
        <f t="array" ref="AK31">IF(AND(ISNUMBER(MATCH(AK$2, AsistenciaJetAdminConcatenada!$A:$A, 0)), ISNUMBER(MATCH(AK$1, AsistenciaJetAdminConcatenada!$B:$B, 0)), ISNUMBER(SEARCH($A31,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ISNUMBER(SEARCH($A31, INDEX(AsistenciaJetAdminConcatenada!$D:$D, MATCH(1, (AsistenciaJetAdminConcatenada!$A:$A=AK$2)*(AsistenciaJetAdminConcatenada!$B:$B=AK$1), 0)), 1))),  0.5, 0))</f>
        <v>1</v>
      </c>
      <c r="AL31" s="47">
        <f t="array" ref="AL31">IF(AND(ISNUMBER(MATCH(AL$2, AsistenciaJetAdminConcatenada!$A:$A, 0)), ISNUMBER(MATCH(AL$1, AsistenciaJetAdminConcatenada!$B:$B, 0)), ISNUMBER(SEARCH($A31,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ISNUMBER(SEARCH($A31, INDEX(AsistenciaJetAdminConcatenada!$D:$D, MATCH(1, (AsistenciaJetAdminConcatenada!$A:$A=AL$2)*(AsistenciaJetAdminConcatenada!$B:$B=AL$1), 0)), 1))),  0.5, 0))</f>
        <v>1</v>
      </c>
      <c r="AM31" s="47">
        <f t="array" ref="AM31">IF(AND(ISNUMBER(MATCH(AM$2, AsistenciaJetAdminConcatenada!$A:$A, 0)), ISNUMBER(MATCH(AM$1, AsistenciaJetAdminConcatenada!$B:$B, 0)), ISNUMBER(SEARCH($A31,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ISNUMBER(SEARCH($A31, INDEX(AsistenciaJetAdminConcatenada!$D:$D, MATCH(1, (AsistenciaJetAdminConcatenada!$A:$A=AM$2)*(AsistenciaJetAdminConcatenada!$B:$B=AM$1), 0)), 1))),  0.5, 0))</f>
        <v>1</v>
      </c>
      <c r="AN31" s="47">
        <f t="array" ref="AN31">IF(AND(ISNUMBER(MATCH(AN$2, AsistenciaJetAdminConcatenada!$A:$A, 0)), ISNUMBER(MATCH(AN$1, AsistenciaJetAdminConcatenada!$B:$B, 0)), ISNUMBER(SEARCH($A31,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ISNUMBER(SEARCH($A31, INDEX(AsistenciaJetAdminConcatenada!$D:$D, MATCH(1, (AsistenciaJetAdminConcatenada!$A:$A=AN$2)*(AsistenciaJetAdminConcatenada!$B:$B=AN$1), 0)), 1))),  0.5, 0))</f>
        <v>1</v>
      </c>
      <c r="AO31" s="47">
        <f t="array" ref="AO31">IF(AND(ISNUMBER(MATCH(AO$2, AsistenciaJetAdminConcatenada!$A:$A, 0)), ISNUMBER(MATCH(AO$1, AsistenciaJetAdminConcatenada!$B:$B, 0)), ISNUMBER(SEARCH($A31,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ISNUMBER(SEARCH($A31, INDEX(AsistenciaJetAdminConcatenada!$D:$D, MATCH(1, (AsistenciaJetAdminConcatenada!$A:$A=AO$2)*(AsistenciaJetAdminConcatenada!$B:$B=AO$1), 0)), 1))),  0.5, 0))</f>
        <v>1</v>
      </c>
      <c r="AP31" s="47">
        <f t="array" ref="AP31">IF(AND(ISNUMBER(MATCH(AP$2, AsistenciaJetAdminConcatenada!$A:$A, 0)), ISNUMBER(MATCH(AP$1, AsistenciaJetAdminConcatenada!$B:$B, 0)), ISNUMBER(SEARCH($A31,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ISNUMBER(SEARCH($A31, INDEX(AsistenciaJetAdminConcatenada!$D:$D, MATCH(1, (AsistenciaJetAdminConcatenada!$A:$A=AP$2)*(AsistenciaJetAdminConcatenada!$B:$B=AP$1), 0)), 1))),  0.5, 0))</f>
        <v>1</v>
      </c>
      <c r="AQ31" s="47">
        <f t="array" ref="AQ31">IF(AND(ISNUMBER(MATCH(AQ$2, AsistenciaJetAdminConcatenada!$A:$A, 0)), ISNUMBER(MATCH(AQ$1, AsistenciaJetAdminConcatenada!$B:$B, 0)), ISNUMBER(SEARCH($A31,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ISNUMBER(SEARCH($A31, INDEX(AsistenciaJetAdminConcatenada!$D:$D, MATCH(1, (AsistenciaJetAdminConcatenada!$A:$A=AQ$2)*(AsistenciaJetAdminConcatenada!$B:$B=AQ$1), 0)), 1))),  0.5, 0))</f>
        <v>0</v>
      </c>
      <c r="AR31" s="47">
        <f t="array" ref="AR31">IF(AND(ISNUMBER(MATCH(AR$2, AsistenciaJetAdminConcatenada!$A:$A, 0)), ISNUMBER(MATCH(AR$1, AsistenciaJetAdminConcatenada!$B:$B, 0)), ISNUMBER(SEARCH($A31,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ISNUMBER(SEARCH($A31, INDEX(AsistenciaJetAdminConcatenada!$D:$D, MATCH(1, (AsistenciaJetAdminConcatenada!$A:$A=AR$2)*(AsistenciaJetAdminConcatenada!$B:$B=AR$1), 0)), 1))),  0.5, 0))</f>
        <v>1</v>
      </c>
      <c r="AS31" s="47">
        <f t="array" ref="AS31">IF(AND(ISNUMBER(MATCH(AS$2, AsistenciaJetAdminConcatenada!$A:$A, 0)), ISNUMBER(MATCH(AS$1, AsistenciaJetAdminConcatenada!$B:$B, 0)), ISNUMBER(SEARCH($A31,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ISNUMBER(SEARCH($A31, INDEX(AsistenciaJetAdminConcatenada!$D:$D, MATCH(1, (AsistenciaJetAdminConcatenada!$A:$A=AS$2)*(AsistenciaJetAdminConcatenada!$B:$B=AS$1), 0)), 1))),  0.5, 0))</f>
        <v>1</v>
      </c>
      <c r="AT31" s="47">
        <f t="array" ref="AT31">IF(AND(ISNUMBER(MATCH(AT$2, AsistenciaJetAdminConcatenada!$A:$A, 0)), ISNUMBER(MATCH(AT$1, AsistenciaJetAdminConcatenada!$B:$B, 0)), ISNUMBER(SEARCH($A31,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ISNUMBER(SEARCH($A31, INDEX(AsistenciaJetAdminConcatenada!$D:$D, MATCH(1, (AsistenciaJetAdminConcatenada!$A:$A=AT$2)*(AsistenciaJetAdminConcatenada!$B:$B=AT$1), 0)), 1))),  0.5, 0))</f>
        <v>0</v>
      </c>
      <c r="AU31" s="47">
        <f t="array" ref="AU31">IF(AND(ISNUMBER(MATCH(AU$2, AsistenciaJetAdminConcatenada!$A:$A, 0)), ISNUMBER(MATCH(AU$1, AsistenciaJetAdminConcatenada!$B:$B, 0)), ISNUMBER(SEARCH($A31,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ISNUMBER(SEARCH($A31, INDEX(AsistenciaJetAdminConcatenada!$D:$D, MATCH(1, (AsistenciaJetAdminConcatenada!$A:$A=AU$2)*(AsistenciaJetAdminConcatenada!$B:$B=AU$1), 0)), 1))),  0.5, 0))</f>
        <v>1</v>
      </c>
      <c r="AV31" s="47">
        <f t="array" ref="AV31">IF(AND(ISNUMBER(MATCH(AV$2, AsistenciaJetAdminConcatenada!$A:$A, 0)), ISNUMBER(MATCH(AV$1, AsistenciaJetAdminConcatenada!$B:$B, 0)), ISNUMBER(SEARCH($A31,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ISNUMBER(SEARCH($A31, INDEX(AsistenciaJetAdminConcatenada!$D:$D, MATCH(1, (AsistenciaJetAdminConcatenada!$A:$A=AV$2)*(AsistenciaJetAdminConcatenada!$B:$B=AV$1), 0)), 1))),  0.5, 0))</f>
        <v>1</v>
      </c>
      <c r="AW31" s="47">
        <f t="array" ref="AW31">IF(AND(ISNUMBER(MATCH(AW$2, AsistenciaJetAdminConcatenada!$A:$A, 0)), ISNUMBER(MATCH(AW$1, AsistenciaJetAdminConcatenada!$B:$B, 0)), ISNUMBER(SEARCH($A31,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ISNUMBER(SEARCH($A31, INDEX(AsistenciaJetAdminConcatenada!$D:$D, MATCH(1, (AsistenciaJetAdminConcatenada!$A:$A=AW$2)*(AsistenciaJetAdminConcatenada!$B:$B=AW$1), 0)), 1))),  0.5, 0))</f>
        <v>1</v>
      </c>
      <c r="AX31" s="47">
        <f t="array" ref="AX31">IF(AND(ISNUMBER(MATCH(AX$2, AsistenciaJetAdminConcatenada!$A:$A, 0)), ISNUMBER(MATCH(AX$1, AsistenciaJetAdminConcatenada!$B:$B, 0)), ISNUMBER(SEARCH($A31,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ISNUMBER(SEARCH($A31, INDEX(AsistenciaJetAdminConcatenada!$D:$D, MATCH(1, (AsistenciaJetAdminConcatenada!$A:$A=AX$2)*(AsistenciaJetAdminConcatenada!$B:$B=AX$1), 0)), 1))),  0.5, 0))</f>
        <v>1</v>
      </c>
      <c r="AY31" s="47">
        <f t="array" ref="AY31">IF(AND(ISNUMBER(MATCH(AY$2, AsistenciaJetAdminConcatenada!$A:$A, 0)), ISNUMBER(MATCH(AY$1, AsistenciaJetAdminConcatenada!$B:$B, 0)), ISNUMBER(SEARCH($A31,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ISNUMBER(SEARCH($A31, INDEX(AsistenciaJetAdminConcatenada!$D:$D, MATCH(1, (AsistenciaJetAdminConcatenada!$A:$A=AY$2)*(AsistenciaJetAdminConcatenada!$B:$B=AY$1), 0)), 1))),  0.5, 0))</f>
        <v>1</v>
      </c>
      <c r="AZ31" s="47">
        <f t="array" ref="AZ31">IF(AND(ISNUMBER(MATCH(AZ$2, AsistenciaJetAdminConcatenada!$A:$A, 0)), ISNUMBER(MATCH(AZ$1, AsistenciaJetAdminConcatenada!$B:$B, 0)), ISNUMBER(SEARCH($A31,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ISNUMBER(SEARCH($A31, INDEX(AsistenciaJetAdminConcatenada!$D:$D, MATCH(1, (AsistenciaJetAdminConcatenada!$A:$A=AZ$2)*(AsistenciaJetAdminConcatenada!$B:$B=AZ$1), 0)), 1))),  0.5, 0))</f>
        <v>0</v>
      </c>
      <c r="BA31" s="47">
        <f t="array" ref="BA31">IF(AND(ISNUMBER(MATCH(BA$2, AsistenciaJetAdminConcatenada!$A:$A, 0)), ISNUMBER(MATCH(BA$1, AsistenciaJetAdminConcatenada!$B:$B, 0)), ISNUMBER(SEARCH($A31,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ISNUMBER(SEARCH($A31, INDEX(AsistenciaJetAdminConcatenada!$D:$D, MATCH(1, (AsistenciaJetAdminConcatenada!$A:$A=BA$2)*(AsistenciaJetAdminConcatenada!$B:$B=BA$1), 0)), 1))),  0.5, 0))</f>
        <v>1</v>
      </c>
      <c r="BB31" s="47">
        <f t="array" ref="BB31">IF(AND(ISNUMBER(MATCH(BB$2, AsistenciaJetAdminConcatenada!$A:$A, 0)), ISNUMBER(MATCH(BB$1, AsistenciaJetAdminConcatenada!$B:$B, 0)), ISNUMBER(SEARCH($A31,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ISNUMBER(SEARCH($A31, INDEX(AsistenciaJetAdminConcatenada!$D:$D, MATCH(1, (AsistenciaJetAdminConcatenada!$A:$A=BB$2)*(AsistenciaJetAdminConcatenada!$B:$B=BB$1), 0)), 1))),  0.5, 0))</f>
        <v>0</v>
      </c>
      <c r="BC31" s="47">
        <f t="array" ref="BC31">IF(AND(ISNUMBER(MATCH(BC$2, AsistenciaJetAdminConcatenada!$A:$A, 0)), ISNUMBER(MATCH(BC$1, AsistenciaJetAdminConcatenada!$B:$B, 0)), ISNUMBER(SEARCH($A31,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ISNUMBER(SEARCH($A31, INDEX(AsistenciaJetAdminConcatenada!$D:$D, MATCH(1, (AsistenciaJetAdminConcatenada!$A:$A=BC$2)*(AsistenciaJetAdminConcatenada!$B:$B=BC$1), 0)), 1))),  0.5, 0))</f>
        <v>1</v>
      </c>
      <c r="BD31" s="47">
        <f t="array" ref="BD31">IF(AND(ISNUMBER(MATCH(BD$2, AsistenciaJetAdminConcatenada!$A:$A, 0)), ISNUMBER(MATCH(BD$1, AsistenciaJetAdminConcatenada!$B:$B, 0)), ISNUMBER(SEARCH($A31,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ISNUMBER(SEARCH($A31, INDEX(AsistenciaJetAdminConcatenada!$D:$D, MATCH(1, (AsistenciaJetAdminConcatenada!$A:$A=BD$2)*(AsistenciaJetAdminConcatenada!$B:$B=BD$1), 0)), 1))),  0.5, 0))</f>
        <v>0</v>
      </c>
      <c r="BE31" s="47">
        <f t="array" ref="BE31">IF(AND(ISNUMBER(MATCH(BE$2, AsistenciaJetAdminConcatenada!$A:$A, 0)), ISNUMBER(MATCH(BE$1, AsistenciaJetAdminConcatenada!$B:$B, 0)), ISNUMBER(SEARCH($A31,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ISNUMBER(SEARCH($A31, INDEX(AsistenciaJetAdminConcatenada!$D:$D, MATCH(1, (AsistenciaJetAdminConcatenada!$A:$A=BE$2)*(AsistenciaJetAdminConcatenada!$B:$B=BE$1), 0)), 1))),  0.5, 0))</f>
        <v>1</v>
      </c>
      <c r="BF31" s="47">
        <f t="array" ref="BF31">IF(AND(ISNUMBER(MATCH(BF$2, AsistenciaJetAdminConcatenada!$A:$A, 0)), ISNUMBER(MATCH(BF$1, AsistenciaJetAdminConcatenada!$B:$B, 0)), ISNUMBER(SEARCH($A31,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ISNUMBER(SEARCH($A31, INDEX(AsistenciaJetAdminConcatenada!$D:$D, MATCH(1, (AsistenciaJetAdminConcatenada!$A:$A=BF$2)*(AsistenciaJetAdminConcatenada!$B:$B=BF$1), 0)), 1))),  0.5, 0))</f>
        <v>1</v>
      </c>
      <c r="BG31" s="47">
        <f t="array" ref="BG31">IF(AND(ISNUMBER(MATCH(BG$2, AsistenciaJetAdminConcatenada!$A:$A, 0)), ISNUMBER(MATCH(BG$1, AsistenciaJetAdminConcatenada!$B:$B, 0)), ISNUMBER(SEARCH($A31,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ISNUMBER(SEARCH($A31, INDEX(AsistenciaJetAdminConcatenada!$D:$D, MATCH(1, (AsistenciaJetAdminConcatenada!$A:$A=BG$2)*(AsistenciaJetAdminConcatenada!$B:$B=BG$1), 0)), 1))),  0.5, 0))</f>
        <v>1</v>
      </c>
      <c r="BH31" s="47">
        <f t="array" ref="BH31">IF(AND(ISNUMBER(MATCH(BH$2, AsistenciaJetAdminConcatenada!$A:$A, 0)), ISNUMBER(MATCH(BH$1, AsistenciaJetAdminConcatenada!$B:$B, 0)), ISNUMBER(SEARCH($A31,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ISNUMBER(SEARCH($A31, INDEX(AsistenciaJetAdminConcatenada!$D:$D, MATCH(1, (AsistenciaJetAdminConcatenada!$A:$A=BH$2)*(AsistenciaJetAdminConcatenada!$B:$B=BH$1), 0)), 1))),  0.5, 0))</f>
        <v>0</v>
      </c>
      <c r="BI31" s="47">
        <f t="array" ref="BI31">IF(AND(ISNUMBER(MATCH(BI$2, AsistenciaJetAdminConcatenada!$A:$A, 0)), ISNUMBER(MATCH(BI$1, AsistenciaJetAdminConcatenada!$B:$B, 0)), ISNUMBER(SEARCH($A31,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ISNUMBER(SEARCH($A31, INDEX(AsistenciaJetAdminConcatenada!$D:$D, MATCH(1, (AsistenciaJetAdminConcatenada!$A:$A=BI$2)*(AsistenciaJetAdminConcatenada!$B:$B=BI$1), 0)), 1))),  0.5, 0))</f>
        <v>1</v>
      </c>
      <c r="BJ31" s="47">
        <f t="array" ref="BJ31">IF(AND(ISNUMBER(MATCH(BJ$2, AsistenciaJetAdminConcatenada!$A:$A, 0)), ISNUMBER(MATCH(BJ$1, AsistenciaJetAdminConcatenada!$B:$B, 0)), ISNUMBER(SEARCH($A31,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ISNUMBER(SEARCH($A31, INDEX(AsistenciaJetAdminConcatenada!$D:$D, MATCH(1, (AsistenciaJetAdminConcatenada!$A:$A=BJ$2)*(AsistenciaJetAdminConcatenada!$B:$B=BJ$1), 0)), 1))),  0.5, 0))</f>
        <v>0</v>
      </c>
      <c r="BK31" s="47">
        <f t="array" ref="BK31">IF(AND(ISNUMBER(MATCH(BK$2, AsistenciaJetAdminConcatenada!$A:$A, 0)), ISNUMBER(MATCH(BK$1, AsistenciaJetAdminConcatenada!$B:$B, 0)), ISNUMBER(SEARCH($A31,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ISNUMBER(SEARCH($A31, INDEX(AsistenciaJetAdminConcatenada!$D:$D, MATCH(1, (AsistenciaJetAdminConcatenada!$A:$A=BK$2)*(AsistenciaJetAdminConcatenada!$B:$B=BK$1), 0)), 1))),  0.5, 0))</f>
        <v>1</v>
      </c>
      <c r="BL31" s="47">
        <f t="array" ref="BL31">IF(AND(ISNUMBER(MATCH(BL$2, AsistenciaJetAdminConcatenada!$A:$A, 0)), ISNUMBER(MATCH(BL$1, AsistenciaJetAdminConcatenada!$B:$B, 0)), ISNUMBER(SEARCH($A31,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ISNUMBER(SEARCH($A31, INDEX(AsistenciaJetAdminConcatenada!$D:$D, MATCH(1, (AsistenciaJetAdminConcatenada!$A:$A=BL$2)*(AsistenciaJetAdminConcatenada!$B:$B=BL$1), 0)), 1))),  0.5, 0))</f>
        <v>1</v>
      </c>
      <c r="BM31" s="47">
        <f t="array" ref="BM31">IF(AND(ISNUMBER(MATCH(BM$2, AsistenciaJetAdminConcatenada!$A:$A, 0)), ISNUMBER(MATCH(BM$1, AsistenciaJetAdminConcatenada!$B:$B, 0)), ISNUMBER(SEARCH($A31,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ISNUMBER(SEARCH($A31, INDEX(AsistenciaJetAdminConcatenada!$D:$D, MATCH(1, (AsistenciaJetAdminConcatenada!$A:$A=BM$2)*(AsistenciaJetAdminConcatenada!$B:$B=BM$1), 0)), 1))),  0.5, 0))</f>
        <v>0</v>
      </c>
      <c r="BN31" s="47">
        <f t="array" ref="BN31">IF(AND(ISNUMBER(MATCH(BN$2, AsistenciaJetAdminConcatenada!$A:$A, 0)), ISNUMBER(MATCH(BN$1, AsistenciaJetAdminConcatenada!$B:$B, 0)), ISNUMBER(SEARCH($A31,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ISNUMBER(SEARCH($A31, INDEX(AsistenciaJetAdminConcatenada!$D:$D, MATCH(1, (AsistenciaJetAdminConcatenada!$A:$A=BN$2)*(AsistenciaJetAdminConcatenada!$B:$B=BN$1), 0)), 1))),  0.5, 0))</f>
        <v>1</v>
      </c>
      <c r="BO31" s="47">
        <f t="array" ref="BO31">IF(AND(ISNUMBER(MATCH(BO$2, AsistenciaJetAdminConcatenada!$A:$A, 0)), ISNUMBER(MATCH(BO$1, AsistenciaJetAdminConcatenada!$B:$B, 0)), ISNUMBER(SEARCH($A31,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ISNUMBER(SEARCH($A31, INDEX(AsistenciaJetAdminConcatenada!$D:$D, MATCH(1, (AsistenciaJetAdminConcatenada!$A:$A=BO$2)*(AsistenciaJetAdminConcatenada!$B:$B=BO$1), 0)), 1))),  0.5, 0))</f>
        <v>1</v>
      </c>
      <c r="BP31" s="47">
        <f t="array" ref="BP31">IF(AND(ISNUMBER(MATCH(BP$2, AsistenciaJetAdminConcatenada!$A:$A, 0)), ISNUMBER(MATCH(BP$1, AsistenciaJetAdminConcatenada!$B:$B, 0)), ISNUMBER(SEARCH($A31,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ISNUMBER(SEARCH($A31, INDEX(AsistenciaJetAdminConcatenada!$D:$D, MATCH(1, (AsistenciaJetAdminConcatenada!$A:$A=BP$2)*(AsistenciaJetAdminConcatenada!$B:$B=BP$1), 0)), 1))),  0.5, 0))</f>
        <v>1</v>
      </c>
      <c r="BQ31" s="47">
        <f t="array" ref="BQ31">IF(AND(ISNUMBER(MATCH(BQ$2, AsistenciaJetAdminConcatenada!$A:$A, 0)), ISNUMBER(MATCH(BQ$1, AsistenciaJetAdminConcatenada!$B:$B, 0)), ISNUMBER(SEARCH($A31,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ISNUMBER(SEARCH($A31, INDEX(AsistenciaJetAdminConcatenada!$D:$D, MATCH(1, (AsistenciaJetAdminConcatenada!$A:$A=BQ$2)*(AsistenciaJetAdminConcatenada!$B:$B=BQ$1), 0)), 1))),  0.5, 0))</f>
        <v>0</v>
      </c>
      <c r="BR31" s="47">
        <f t="array" ref="BR31">IF(AND(ISNUMBER(MATCH(BR$2, AsistenciaJetAdminConcatenada!$A:$A, 0)), ISNUMBER(MATCH(BR$1, AsistenciaJetAdminConcatenada!$B:$B, 0)), ISNUMBER(SEARCH($A31,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ISNUMBER(SEARCH($A31, INDEX(AsistenciaJetAdminConcatenada!$D:$D, MATCH(1, (AsistenciaJetAdminConcatenada!$A:$A=BR$2)*(AsistenciaJetAdminConcatenada!$B:$B=BR$1), 0)), 1))),  0.5, 0))</f>
        <v>0</v>
      </c>
      <c r="BS31" s="47">
        <f t="array" ref="BS31">IF(AND(ISNUMBER(MATCH(BS$2, AsistenciaJetAdminConcatenada!$A:$A, 0)), ISNUMBER(MATCH(BS$1, AsistenciaJetAdminConcatenada!$B:$B, 0)), ISNUMBER(SEARCH($A31,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ISNUMBER(SEARCH($A31, INDEX(AsistenciaJetAdminConcatenada!$D:$D, MATCH(1, (AsistenciaJetAdminConcatenada!$A:$A=BS$2)*(AsistenciaJetAdminConcatenada!$B:$B=BS$1), 0)), 1))),  0.5, 0))</f>
        <v>0.5</v>
      </c>
      <c r="BT31" s="47">
        <f t="array" ref="BT31">IF(AND(ISNUMBER(MATCH(BT$2, AsistenciaJetAdminConcatenada!$A:$A, 0)), ISNUMBER(MATCH(BT$1, AsistenciaJetAdminConcatenada!$B:$B, 0)), ISNUMBER(SEARCH($A31,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ISNUMBER(SEARCH($A31, INDEX(AsistenciaJetAdminConcatenada!$D:$D, MATCH(1, (AsistenciaJetAdminConcatenada!$A:$A=BT$2)*(AsistenciaJetAdminConcatenada!$B:$B=BT$1), 0)), 1))),  0.5, 0))</f>
        <v>1</v>
      </c>
      <c r="BU31" s="47">
        <f t="array" ref="BU31">IF(AND(ISNUMBER(MATCH(BU$2, AsistenciaJetAdminConcatenada!$A:$A, 0)), ISNUMBER(MATCH(BU$1, AsistenciaJetAdminConcatenada!$B:$B, 0)), ISNUMBER(SEARCH($A31,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ISNUMBER(SEARCH($A31, INDEX(AsistenciaJetAdminConcatenada!$D:$D, MATCH(1, (AsistenciaJetAdminConcatenada!$A:$A=BU$2)*(AsistenciaJetAdminConcatenada!$B:$B=BU$1), 0)), 1))),  0.5, 0))</f>
        <v>1</v>
      </c>
      <c r="BV31" s="47">
        <f t="array" ref="BV31">IF(AND(ISNUMBER(MATCH(BV$2, AsistenciaJetAdminConcatenada!$A:$A, 0)), ISNUMBER(MATCH(BV$1, AsistenciaJetAdminConcatenada!$B:$B, 0)), ISNUMBER(SEARCH($A31,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ISNUMBER(SEARCH($A31, INDEX(AsistenciaJetAdminConcatenada!$D:$D, MATCH(1, (AsistenciaJetAdminConcatenada!$A:$A=BV$2)*(AsistenciaJetAdminConcatenada!$B:$B=BV$1), 0)), 1))),  0.5, 0))</f>
        <v>0</v>
      </c>
      <c r="BW31" s="47">
        <f t="array" ref="BW31">IF(AND(ISNUMBER(MATCH(BW$2, AsistenciaJetAdminConcatenada!$A:$A, 0)), ISNUMBER(MATCH(BW$1, AsistenciaJetAdminConcatenada!$B:$B, 0)), ISNUMBER(SEARCH($A31,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ISNUMBER(SEARCH($A31, INDEX(AsistenciaJetAdminConcatenada!$D:$D, MATCH(1, (AsistenciaJetAdminConcatenada!$A:$A=BW$2)*(AsistenciaJetAdminConcatenada!$B:$B=BW$1), 0)), 1))),  0.5, 0))</f>
        <v>0.5</v>
      </c>
      <c r="BX31" s="47">
        <f t="array" ref="BX31">IF(AND(ISNUMBER(MATCH(BX$2, AsistenciaJetAdminConcatenada!$A:$A, 0)), ISNUMBER(MATCH(BX$1, AsistenciaJetAdminConcatenada!$B:$B, 0)), ISNUMBER(SEARCH($A31,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ISNUMBER(SEARCH($A31, INDEX(AsistenciaJetAdminConcatenada!$D:$D, MATCH(1, (AsistenciaJetAdminConcatenada!$A:$A=BX$2)*(AsistenciaJetAdminConcatenada!$B:$B=BX$1), 0)), 1))),  0.5, 0))</f>
        <v>0</v>
      </c>
      <c r="BY31" s="47">
        <f t="array" ref="BY31">IF(AND(ISNUMBER(MATCH(BY$2, AsistenciaJetAdminConcatenada!$A:$A, 0)), ISNUMBER(MATCH(BY$1, AsistenciaJetAdminConcatenada!$B:$B, 0)), ISNUMBER(SEARCH($A31,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ISNUMBER(SEARCH($A31, INDEX(AsistenciaJetAdminConcatenada!$D:$D, MATCH(1, (AsistenciaJetAdminConcatenada!$A:$A=BY$2)*(AsistenciaJetAdminConcatenada!$B:$B=BY$1), 0)), 1))),  0.5, 0))</f>
        <v>1</v>
      </c>
      <c r="BZ31" s="47">
        <f t="array" ref="BZ31">IF(AND(ISNUMBER(MATCH(BZ$2, AsistenciaJetAdminConcatenada!$A:$A, 0)), ISNUMBER(MATCH(BZ$1, AsistenciaJetAdminConcatenada!$B:$B, 0)), ISNUMBER(SEARCH($A31,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ISNUMBER(SEARCH($A31, INDEX(AsistenciaJetAdminConcatenada!$D:$D, MATCH(1, (AsistenciaJetAdminConcatenada!$A:$A=BZ$2)*(AsistenciaJetAdminConcatenada!$B:$B=BZ$1), 0)), 1))),  0.5, 0))</f>
        <v>1</v>
      </c>
      <c r="CA31" s="47">
        <f t="array" ref="CA31">IF(AND(ISNUMBER(MATCH(CA$2, AsistenciaJetAdminConcatenada!$A:$A, 0)), ISNUMBER(MATCH(CA$1, AsistenciaJetAdminConcatenada!$B:$B, 0)), ISNUMBER(SEARCH($A31,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ISNUMBER(SEARCH($A31, INDEX(AsistenciaJetAdminConcatenada!$D:$D, MATCH(1, (AsistenciaJetAdminConcatenada!$A:$A=CA$2)*(AsistenciaJetAdminConcatenada!$B:$B=CA$1), 0)), 1))),  0.5, 0))</f>
        <v>1</v>
      </c>
      <c r="CB31" s="47">
        <f t="array" ref="CB31">IF(AND(ISNUMBER(MATCH(CB$2, AsistenciaJetAdminConcatenada!$A:$A, 0)), ISNUMBER(MATCH(CB$1, AsistenciaJetAdminConcatenada!$B:$B, 0)), ISNUMBER(SEARCH($A31,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ISNUMBER(SEARCH($A31, INDEX(AsistenciaJetAdminConcatenada!$D:$D, MATCH(1, (AsistenciaJetAdminConcatenada!$A:$A=CB$2)*(AsistenciaJetAdminConcatenada!$B:$B=CB$1), 0)), 1))),  0.5, 0))</f>
        <v>1</v>
      </c>
      <c r="CC31" s="47">
        <f t="array" ref="CC31">IF(AND(ISNUMBER(MATCH(CC$2, AsistenciaJetAdminConcatenada!$A:$A, 0)), ISNUMBER(MATCH(CC$1, AsistenciaJetAdminConcatenada!$B:$B, 0)), ISNUMBER(SEARCH($A31,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ISNUMBER(SEARCH($A31, INDEX(AsistenciaJetAdminConcatenada!$D:$D, MATCH(1, (AsistenciaJetAdminConcatenada!$A:$A=CC$2)*(AsistenciaJetAdminConcatenada!$B:$B=CC$1), 0)), 1))),  0.5, 0))</f>
        <v>0</v>
      </c>
      <c r="CD31" s="47">
        <f t="array" ref="CD31">IF(AND(ISNUMBER(MATCH(CD$2, AsistenciaJetAdminConcatenada!$A:$A, 0)), ISNUMBER(MATCH(CD$1, AsistenciaJetAdminConcatenada!$B:$B, 0)), ISNUMBER(SEARCH($A31,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ISNUMBER(SEARCH($A31, INDEX(AsistenciaJetAdminConcatenada!$D:$D, MATCH(1, (AsistenciaJetAdminConcatenada!$A:$A=CD$2)*(AsistenciaJetAdminConcatenada!$B:$B=CD$1), 0)), 1))),  0.5, 0))</f>
        <v>1</v>
      </c>
      <c r="CE31" s="47">
        <f t="array" ref="CE31">IF(AND(ISNUMBER(MATCH(CE$2, AsistenciaJetAdminConcatenada!$A:$A, 0)), ISNUMBER(MATCH(CE$1, AsistenciaJetAdminConcatenada!$B:$B, 0)), ISNUMBER(SEARCH($A31,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ISNUMBER(SEARCH($A31, INDEX(AsistenciaJetAdminConcatenada!$D:$D, MATCH(1, (AsistenciaJetAdminConcatenada!$A:$A=CE$2)*(AsistenciaJetAdminConcatenada!$B:$B=CE$1), 0)), 1))),  0.5, 0))</f>
        <v>1</v>
      </c>
      <c r="CF31" s="47">
        <f t="array" ref="CF31">IF(AND(ISNUMBER(MATCH(CF$2, AsistenciaJetAdminConcatenada!$A:$A, 0)), ISNUMBER(MATCH(CF$1, AsistenciaJetAdminConcatenada!$B:$B, 0)), ISNUMBER(SEARCH($A31,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ISNUMBER(SEARCH($A31, INDEX(AsistenciaJetAdminConcatenada!$D:$D, MATCH(1, (AsistenciaJetAdminConcatenada!$A:$A=CF$2)*(AsistenciaJetAdminConcatenada!$B:$B=CF$1), 0)), 1))),  0.5, 0))</f>
        <v>0</v>
      </c>
      <c r="CG31" s="8">
        <v>0.0</v>
      </c>
      <c r="CH31" s="47">
        <f t="array" ref="CH31">IF(AND(ISNUMBER(MATCH(CH$2, AsistenciaJetAdminConcatenada!$A:$A, 0)), ISNUMBER(MATCH(CH$1, AsistenciaJetAdminConcatenada!$B:$B, 0)), ISNUMBER(SEARCH($A31,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ISNUMBER(SEARCH($A31, INDEX(AsistenciaJetAdminConcatenada!$D:$D, MATCH(1, (AsistenciaJetAdminConcatenada!$A:$A=CH$2)*(AsistenciaJetAdminConcatenada!$B:$B=CH$1), 0)), 1))),  0.5, 0))</f>
        <v>0</v>
      </c>
      <c r="CI31" s="47">
        <f t="array" ref="CI31">IF(AND(ISNUMBER(MATCH(CI$2, AsistenciaJetAdminConcatenada!$A:$A, 0)), ISNUMBER(MATCH(CI$1, AsistenciaJetAdminConcatenada!$B:$B, 0)), ISNUMBER(SEARCH($A31,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ISNUMBER(SEARCH($A31, INDEX(AsistenciaJetAdminConcatenada!$D:$D, MATCH(1, (AsistenciaJetAdminConcatenada!$A:$A=CI$2)*(AsistenciaJetAdminConcatenada!$B:$B=CI$1), 0)), 1))),  0.5, 0))</f>
        <v>1</v>
      </c>
      <c r="CJ31" s="47">
        <f t="array" ref="CJ31">IF(AND(ISNUMBER(MATCH(CJ$2, AsistenciaJetAdminConcatenada!$A:$A, 0)), ISNUMBER(MATCH(CJ$1, AsistenciaJetAdminConcatenada!$B:$B, 0)), ISNUMBER(SEARCH($A31,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ISNUMBER(SEARCH($A31, INDEX(AsistenciaJetAdminConcatenada!$D:$D, MATCH(1, (AsistenciaJetAdminConcatenada!$A:$A=CJ$2)*(AsistenciaJetAdminConcatenada!$B:$B=CJ$1), 0)), 1))),  0.5, 0))</f>
        <v>1</v>
      </c>
      <c r="CK31" s="47">
        <f t="array" ref="CK31">IF(AND(ISNUMBER(MATCH(CK$2, AsistenciaJetAdminConcatenada!$A:$A, 0)), ISNUMBER(MATCH(CK$1, AsistenciaJetAdminConcatenada!$B:$B, 0)), ISNUMBER(SEARCH($A31,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ISNUMBER(SEARCH($A31, INDEX(AsistenciaJetAdminConcatenada!$D:$D, MATCH(1, (AsistenciaJetAdminConcatenada!$A:$A=CK$2)*(AsistenciaJetAdminConcatenada!$B:$B=CK$1), 0)), 1))),  0.5, 0))</f>
        <v>1</v>
      </c>
      <c r="CL31" s="47">
        <f t="array" ref="CL31">IF(AND(ISNUMBER(MATCH(CL$2, AsistenciaJetAdminConcatenada!$A:$A, 0)), ISNUMBER(MATCH(CL$1, AsistenciaJetAdminConcatenada!$B:$B, 0)), ISNUMBER(SEARCH($A31,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ISNUMBER(SEARCH($A31, INDEX(AsistenciaJetAdminConcatenada!$D:$D, MATCH(1, (AsistenciaJetAdminConcatenada!$A:$A=CL$2)*(AsistenciaJetAdminConcatenada!$B:$B=CL$1), 0)), 1))),  0.5, 0))</f>
        <v>1</v>
      </c>
      <c r="CM31" s="47">
        <f t="array" ref="CM31">IF(AND(ISNUMBER(MATCH(CM$2, AsistenciaJetAdminConcatenada!$A:$A, 0)), ISNUMBER(MATCH(CM$1, AsistenciaJetAdminConcatenada!$B:$B, 0)), ISNUMBER(SEARCH($A31,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ISNUMBER(SEARCH($A31, INDEX(AsistenciaJetAdminConcatenada!$D:$D, MATCH(1, (AsistenciaJetAdminConcatenada!$A:$A=CM$2)*(AsistenciaJetAdminConcatenada!$B:$B=CM$1), 0)), 1))),  0.5, 0))</f>
        <v>1</v>
      </c>
      <c r="CN31" s="47">
        <f t="array" ref="CN31">IF(AND(ISNUMBER(MATCH(CN$2, AsistenciaJetAdminConcatenada!$A:$A, 0)), ISNUMBER(MATCH(CN$1, AsistenciaJetAdminConcatenada!$B:$B, 0)), ISNUMBER(SEARCH($A31,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ISNUMBER(SEARCH($A31, INDEX(AsistenciaJetAdminConcatenada!$D:$D, MATCH(1, (AsistenciaJetAdminConcatenada!$A:$A=CN$2)*(AsistenciaJetAdminConcatenada!$B:$B=CN$1), 0)), 1))),  0.5, 0))</f>
        <v>1</v>
      </c>
      <c r="CO31" s="47">
        <f t="array" ref="CO31">IF(AND(ISNUMBER(MATCH(CO$2, AsistenciaJetAdminConcatenada!$A:$A, 0)), ISNUMBER(MATCH(CO$1, AsistenciaJetAdminConcatenada!$B:$B, 0)), ISNUMBER(SEARCH($A31,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ISNUMBER(SEARCH($A31, INDEX(AsistenciaJetAdminConcatenada!$D:$D, MATCH(1, (AsistenciaJetAdminConcatenada!$A:$A=CO$2)*(AsistenciaJetAdminConcatenada!$B:$B=CO$1), 0)), 1))),  0.5, 0))</f>
        <v>1</v>
      </c>
      <c r="CP31" s="47">
        <f t="array" ref="CP31">IF(AND(ISNUMBER(MATCH(CP$2, AsistenciaJetAdminConcatenada!$A:$A, 0)), ISNUMBER(MATCH(CP$1, AsistenciaJetAdminConcatenada!$B:$B, 0)), ISNUMBER(SEARCH($A31,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ISNUMBER(SEARCH($A31, INDEX(AsistenciaJetAdminConcatenada!$D:$D, MATCH(1, (AsistenciaJetAdminConcatenada!$A:$A=CP$2)*(AsistenciaJetAdminConcatenada!$B:$B=CP$1), 0)), 1))),  0.5, 0))</f>
        <v>1</v>
      </c>
      <c r="CQ31" s="47">
        <f t="array" ref="CQ31">IF(AND(ISNUMBER(MATCH(CQ$2, AsistenciaJetAdminConcatenada!$A:$A, 0)), ISNUMBER(MATCH(CQ$1, AsistenciaJetAdminConcatenada!$B:$B, 0)), ISNUMBER(SEARCH($A31,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ISNUMBER(SEARCH($A31, INDEX(AsistenciaJetAdminConcatenada!$D:$D, MATCH(1, (AsistenciaJetAdminConcatenada!$A:$A=CQ$2)*(AsistenciaJetAdminConcatenada!$B:$B=CQ$1), 0)), 1))),  0.5, 0))</f>
        <v>1</v>
      </c>
      <c r="CR31" s="47">
        <f t="array" ref="CR31">IF(AND(ISNUMBER(MATCH(CR$2, AsistenciaJetAdminConcatenada!$A:$A, 0)), ISNUMBER(MATCH(CR$1, AsistenciaJetAdminConcatenada!$B:$B, 0)), ISNUMBER(SEARCH($A31,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ISNUMBER(SEARCH($A31, INDEX(AsistenciaJetAdminConcatenada!$D:$D, MATCH(1, (AsistenciaJetAdminConcatenada!$A:$A=CR$2)*(AsistenciaJetAdminConcatenada!$B:$B=CR$1), 0)), 1))),  0.5, 0))</f>
        <v>1</v>
      </c>
      <c r="CS31" s="47">
        <f t="array" ref="CS31">IF(AND(ISNUMBER(MATCH(CS$2, AsistenciaJetAdminConcatenada!$A:$A, 0)), ISNUMBER(MATCH(CS$1, AsistenciaJetAdminConcatenada!$B:$B, 0)), ISNUMBER(SEARCH($A31,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ISNUMBER(SEARCH($A31, INDEX(AsistenciaJetAdminConcatenada!$D:$D, MATCH(1, (AsistenciaJetAdminConcatenada!$A:$A=CS$2)*(AsistenciaJetAdminConcatenada!$B:$B=CS$1), 0)), 1))),  0.5, 0))</f>
        <v>0</v>
      </c>
      <c r="CT31" s="47">
        <f t="array" ref="CT31">IF(AND(ISNUMBER(MATCH(CT$2, AsistenciaJetAdminConcatenada!$A:$A, 0)), ISNUMBER(MATCH(CT$1, AsistenciaJetAdminConcatenada!$B:$B, 0)), ISNUMBER(SEARCH($A31,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ISNUMBER(SEARCH($A31, INDEX(AsistenciaJetAdminConcatenada!$D:$D, MATCH(1, (AsistenciaJetAdminConcatenada!$A:$A=CT$2)*(AsistenciaJetAdminConcatenada!$B:$B=CT$1), 0)), 1))),  0.5, 0))</f>
        <v>0</v>
      </c>
      <c r="CU31" s="47">
        <f t="array" ref="CU31">IF(AND(ISNUMBER(MATCH(CU$2, AsistenciaJetAdminConcatenada!$A:$A, 0)), ISNUMBER(MATCH(CU$1, AsistenciaJetAdminConcatenada!$B:$B, 0)), ISNUMBER(SEARCH($A31,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ISNUMBER(SEARCH($A31, INDEX(AsistenciaJetAdminConcatenada!$D:$D, MATCH(1, (AsistenciaJetAdminConcatenada!$A:$A=CU$2)*(AsistenciaJetAdminConcatenada!$B:$B=CU$1), 0)), 1))),  0.5, 0))</f>
        <v>0</v>
      </c>
      <c r="CV31" s="47">
        <f t="array" ref="CV31">IF(AND(ISNUMBER(MATCH(CV$2, AsistenciaJetAdminConcatenada!$A:$A, 0)), ISNUMBER(MATCH(CV$1, AsistenciaJetAdminConcatenada!$B:$B, 0)), ISNUMBER(SEARCH($A31,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ISNUMBER(SEARCH($A31, INDEX(AsistenciaJetAdminConcatenada!$D:$D, MATCH(1, (AsistenciaJetAdminConcatenada!$A:$A=CV$2)*(AsistenciaJetAdminConcatenada!$B:$B=CV$1), 0)), 1))),  0.5, 0))</f>
        <v>0</v>
      </c>
      <c r="CW31" s="47">
        <f t="array" ref="CW31">IF(AND(ISNUMBER(MATCH(CW$2, AsistenciaJetAdminConcatenada!$A:$A, 0)), ISNUMBER(MATCH(CW$1, AsistenciaJetAdminConcatenada!$B:$B, 0)), ISNUMBER(SEARCH($A31,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ISNUMBER(SEARCH($A31, INDEX(AsistenciaJetAdminConcatenada!$D:$D, MATCH(1, (AsistenciaJetAdminConcatenada!$A:$A=CW$2)*(AsistenciaJetAdminConcatenada!$B:$B=CW$1), 0)), 1))),  0.5, 0))</f>
        <v>0</v>
      </c>
      <c r="CX31" s="47">
        <f t="array" ref="CX31">IF(AND(ISNUMBER(MATCH(CX$2, AsistenciaJetAdminConcatenada!$A:$A, 0)), ISNUMBER(MATCH(CX$1, AsistenciaJetAdminConcatenada!$B:$B, 0)), ISNUMBER(SEARCH($A31,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ISNUMBER(SEARCH($A31, INDEX(AsistenciaJetAdminConcatenada!$D:$D, MATCH(1, (AsistenciaJetAdminConcatenada!$A:$A=CX$2)*(AsistenciaJetAdminConcatenada!$B:$B=CX$1), 0)), 1))),  0.5, 0))</f>
        <v>0</v>
      </c>
      <c r="CY31" s="47">
        <f t="array" ref="CY31">IF(AND(ISNUMBER(MATCH(CY$2, AsistenciaJetAdminConcatenada!$A:$A, 0)), ISNUMBER(MATCH(CY$1, AsistenciaJetAdminConcatenada!$B:$B, 0)), ISNUMBER(SEARCH($A31,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ISNUMBER(SEARCH($A31, INDEX(AsistenciaJetAdminConcatenada!$D:$D, MATCH(1, (AsistenciaJetAdminConcatenada!$A:$A=CY$2)*(AsistenciaJetAdminConcatenada!$B:$B=CY$1), 0)), 1))),  0.5, 0))</f>
        <v>0</v>
      </c>
      <c r="CZ31" s="47">
        <f t="array" ref="CZ31">IF(AND(ISNUMBER(MATCH(CZ$2, AsistenciaJetAdminConcatenada!$A:$A, 0)), ISNUMBER(MATCH(CZ$1, AsistenciaJetAdminConcatenada!$B:$B, 0)), ISNUMBER(SEARCH($A31,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ISNUMBER(SEARCH($A31, INDEX(AsistenciaJetAdminConcatenada!$D:$D, MATCH(1, (AsistenciaJetAdminConcatenada!$A:$A=CZ$2)*(AsistenciaJetAdminConcatenada!$B:$B=CZ$1), 0)), 1))),  0.5, 0))</f>
        <v>0</v>
      </c>
      <c r="DA31" s="47">
        <f t="array" ref="DA31">IF(AND(ISNUMBER(MATCH(DA$2, AsistenciaJetAdminConcatenada!$A:$A, 0)), ISNUMBER(MATCH(DA$1, AsistenciaJetAdminConcatenada!$B:$B, 0)), ISNUMBER(SEARCH($A31,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ISNUMBER(SEARCH($A31, INDEX(AsistenciaJetAdminConcatenada!$D:$D, MATCH(1, (AsistenciaJetAdminConcatenada!$A:$A=DA$2)*(AsistenciaJetAdminConcatenada!$B:$B=DA$1), 0)), 1))),  0.5, 0))</f>
        <v>0</v>
      </c>
      <c r="DB31" s="47">
        <f t="array" ref="DB31">IF(AND(ISNUMBER(MATCH(DB$2, AsistenciaJetAdminConcatenada!$A:$A, 0)), ISNUMBER(MATCH(DB$1, AsistenciaJetAdminConcatenada!$B:$B, 0)), ISNUMBER(SEARCH($A31,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ISNUMBER(SEARCH($A31, INDEX(AsistenciaJetAdminConcatenada!$D:$D, MATCH(1, (AsistenciaJetAdminConcatenada!$A:$A=DB$2)*(AsistenciaJetAdminConcatenada!$B:$B=DB$1), 0)), 1))),  0.5, 0))</f>
        <v>0</v>
      </c>
      <c r="DC31" s="47">
        <f t="array" ref="DC31">IF(AND(ISNUMBER(MATCH(DC$2, AsistenciaJetAdminConcatenada!$A:$A, 0)), ISNUMBER(MATCH(DC$1, AsistenciaJetAdminConcatenada!$B:$B, 0)), ISNUMBER(SEARCH($A31,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ISNUMBER(SEARCH($A31, INDEX(AsistenciaJetAdminConcatenada!$D:$D, MATCH(1, (AsistenciaJetAdminConcatenada!$A:$A=DC$2)*(AsistenciaJetAdminConcatenada!$B:$B=DC$1), 0)), 1))),  0.5, 0))</f>
        <v>0</v>
      </c>
      <c r="DD31" s="47">
        <f t="array" ref="DD31">IF(AND(ISNUMBER(MATCH(DD$2, AsistenciaJetAdminConcatenada!$A:$A, 0)), ISNUMBER(MATCH(DD$1, AsistenciaJetAdminConcatenada!$B:$B, 0)), ISNUMBER(SEARCH($A31,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ISNUMBER(SEARCH($A31, INDEX(AsistenciaJetAdminConcatenada!$D:$D, MATCH(1, (AsistenciaJetAdminConcatenada!$A:$A=DD$2)*(AsistenciaJetAdminConcatenada!$B:$B=DD$1), 0)), 1))),  0.5, 0))</f>
        <v>0</v>
      </c>
      <c r="DE31" s="47">
        <f t="array" ref="DE31">IF(AND(ISNUMBER(MATCH(DE$2, AsistenciaJetAdminConcatenada!$A:$A, 0)), ISNUMBER(MATCH(DE$1, AsistenciaJetAdminConcatenada!$B:$B, 0)), ISNUMBER(SEARCH($A31,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ISNUMBER(SEARCH($A31, INDEX(AsistenciaJetAdminConcatenada!$D:$D, MATCH(1, (AsistenciaJetAdminConcatenada!$A:$A=DE$2)*(AsistenciaJetAdminConcatenada!$B:$B=DE$1), 0)), 1))),  0.5, 0))</f>
        <v>0</v>
      </c>
      <c r="DF31" s="47">
        <f t="array" ref="DF31">IF(AND(ISNUMBER(MATCH(DF$2, AsistenciaJetAdminConcatenada!$A:$A, 0)), ISNUMBER(MATCH(DF$1, AsistenciaJetAdminConcatenada!$B:$B, 0)), ISNUMBER(SEARCH($A31,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ISNUMBER(SEARCH($A31, INDEX(AsistenciaJetAdminConcatenada!$D:$D, MATCH(1, (AsistenciaJetAdminConcatenada!$A:$A=DF$2)*(AsistenciaJetAdminConcatenada!$B:$B=DF$1), 0)), 1))),  0.5, 0))</f>
        <v>0</v>
      </c>
      <c r="DG31" s="47">
        <f t="array" ref="DG31">IF(AND(ISNUMBER(MATCH(DG$2, AsistenciaJetAdminConcatenada!$A:$A, 0)), ISNUMBER(MATCH(DG$1, AsistenciaJetAdminConcatenada!$B:$B, 0)), ISNUMBER(SEARCH($A31,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ISNUMBER(SEARCH($A31, INDEX(AsistenciaJetAdminConcatenada!$D:$D, MATCH(1, (AsistenciaJetAdminConcatenada!$A:$A=DG$2)*(AsistenciaJetAdminConcatenada!$B:$B=DG$1), 0)), 1))),  0.5, 0))</f>
        <v>0</v>
      </c>
      <c r="DH31" s="47">
        <f t="array" ref="DH31">IF(AND(ISNUMBER(MATCH(DH$2, AsistenciaJetAdminConcatenada!$A:$A, 0)), ISNUMBER(MATCH(DH$1, AsistenciaJetAdminConcatenada!$B:$B, 0)), ISNUMBER(SEARCH($A31,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ISNUMBER(SEARCH($A31, INDEX(AsistenciaJetAdminConcatenada!$D:$D, MATCH(1, (AsistenciaJetAdminConcatenada!$A:$A=DH$2)*(AsistenciaJetAdminConcatenada!$B:$B=DH$1), 0)), 1))),  0.5, 0))</f>
        <v>0</v>
      </c>
      <c r="DI31" s="47">
        <f t="array" ref="DI31">IF(AND(ISNUMBER(MATCH(DI$2, AsistenciaJetAdminConcatenada!$A:$A, 0)), ISNUMBER(MATCH(DI$1, AsistenciaJetAdminConcatenada!$B:$B, 0)), ISNUMBER(SEARCH($A31,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ISNUMBER(SEARCH($A31, INDEX(AsistenciaJetAdminConcatenada!$D:$D, MATCH(1, (AsistenciaJetAdminConcatenada!$A:$A=DI$2)*(AsistenciaJetAdminConcatenada!$B:$B=DI$1), 0)), 1))),  0.5, 0))</f>
        <v>0</v>
      </c>
      <c r="DJ31" s="47">
        <f t="array" ref="DJ31">IF(AND(ISNUMBER(MATCH(DJ$2, AsistenciaJetAdminConcatenada!$A:$A, 0)), ISNUMBER(MATCH(DJ$1, AsistenciaJetAdminConcatenada!$B:$B, 0)), ISNUMBER(SEARCH($A31,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ISNUMBER(SEARCH($A31, INDEX(AsistenciaJetAdminConcatenada!$D:$D, MATCH(1, (AsistenciaJetAdminConcatenada!$A:$A=DJ$2)*(AsistenciaJetAdminConcatenada!$B:$B=DJ$1), 0)), 1))),  0.5, 0))</f>
        <v>0</v>
      </c>
      <c r="DK31" s="47">
        <f t="array" ref="DK31">IF(AND(ISNUMBER(MATCH(DK$2, AsistenciaJetAdminConcatenada!$A:$A, 0)), ISNUMBER(MATCH(DK$1, AsistenciaJetAdminConcatenada!$B:$B, 0)), ISNUMBER(SEARCH($A31,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ISNUMBER(SEARCH($A31, INDEX(AsistenciaJetAdminConcatenada!$D:$D, MATCH(1, (AsistenciaJetAdminConcatenada!$A:$A=DK$2)*(AsistenciaJetAdminConcatenada!$B:$B=DK$1), 0)), 1))),  0.5, 0))</f>
        <v>0</v>
      </c>
      <c r="DL31" s="47">
        <f t="array" ref="DL31">IF(AND(ISNUMBER(MATCH(DL$2, AsistenciaJetAdminConcatenada!$A:$A, 0)), ISNUMBER(MATCH(DL$1, AsistenciaJetAdminConcatenada!$B:$B, 0)), ISNUMBER(SEARCH($A31,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ISNUMBER(SEARCH($A31, INDEX(AsistenciaJetAdminConcatenada!$D:$D, MATCH(1, (AsistenciaJetAdminConcatenada!$A:$A=DL$2)*(AsistenciaJetAdminConcatenada!$B:$B=DL$1), 0)), 1))),  0.5, 0))</f>
        <v>0</v>
      </c>
      <c r="DM31" s="47">
        <f t="array" ref="DM31">IF(AND(ISNUMBER(MATCH(DM$2, AsistenciaJetAdminConcatenada!$A:$A, 0)), ISNUMBER(MATCH(DM$1, AsistenciaJetAdminConcatenada!$B:$B, 0)), ISNUMBER(SEARCH($A31,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ISNUMBER(SEARCH($A31, INDEX(AsistenciaJetAdminConcatenada!$D:$D, MATCH(1, (AsistenciaJetAdminConcatenada!$A:$A=DM$2)*(AsistenciaJetAdminConcatenada!$B:$B=DM$1), 0)), 1))),  0.5, 0))</f>
        <v>0</v>
      </c>
      <c r="DN31" s="47">
        <f t="array" ref="DN31">IF(AND(ISNUMBER(MATCH(DN$2, AsistenciaJetAdminConcatenada!$A:$A, 0)), ISNUMBER(MATCH(DN$1, AsistenciaJetAdminConcatenada!$B:$B, 0)), ISNUMBER(SEARCH($A31,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ISNUMBER(SEARCH($A31, INDEX(AsistenciaJetAdminConcatenada!$D:$D, MATCH(1, (AsistenciaJetAdminConcatenada!$A:$A=DN$2)*(AsistenciaJetAdminConcatenada!$B:$B=DN$1), 0)), 1))),  0.5, 0))</f>
        <v>0</v>
      </c>
      <c r="DO31" s="47">
        <f t="array" ref="DO31">IF(AND(ISNUMBER(MATCH(DO$2, AsistenciaJetAdminConcatenada!$A:$A, 0)), ISNUMBER(MATCH(DO$1, AsistenciaJetAdminConcatenada!$B:$B, 0)), ISNUMBER(SEARCH($A31,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ISNUMBER(SEARCH($A31, INDEX(AsistenciaJetAdminConcatenada!$D:$D, MATCH(1, (AsistenciaJetAdminConcatenada!$A:$A=DO$2)*(AsistenciaJetAdminConcatenada!$B:$B=DO$1), 0)), 1))),  0.5, 0))</f>
        <v>0</v>
      </c>
      <c r="DP31" s="47">
        <f t="array" ref="DP31">IF(AND(ISNUMBER(MATCH(DP$2, AsistenciaJetAdminConcatenada!$A:$A, 0)), ISNUMBER(MATCH(DP$1, AsistenciaJetAdminConcatenada!$B:$B, 0)), ISNUMBER(SEARCH($A31,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ISNUMBER(SEARCH($A31, INDEX(AsistenciaJetAdminConcatenada!$D:$D, MATCH(1, (AsistenciaJetAdminConcatenada!$A:$A=DP$2)*(AsistenciaJetAdminConcatenada!$B:$B=DP$1), 0)), 1))),  0.5, 0))</f>
        <v>0</v>
      </c>
      <c r="DQ31" s="47">
        <f t="array" ref="DQ31">IF(AND(ISNUMBER(MATCH(DQ$2, AsistenciaJetAdminConcatenada!$A:$A, 0)), ISNUMBER(MATCH(DQ$1, AsistenciaJetAdminConcatenada!$B:$B, 0)), ISNUMBER(SEARCH($A31,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ISNUMBER(SEARCH($A31, INDEX(AsistenciaJetAdminConcatenada!$D:$D, MATCH(1, (AsistenciaJetAdminConcatenada!$A:$A=DQ$2)*(AsistenciaJetAdminConcatenada!$B:$B=DQ$1), 0)), 1))),  0.5, 0))</f>
        <v>0</v>
      </c>
      <c r="DR31" s="47">
        <f t="array" ref="DR31">IF(AND(ISNUMBER(MATCH(DR$2, AsistenciaJetAdminConcatenada!$A:$A, 0)), ISNUMBER(MATCH(DR$1, AsistenciaJetAdminConcatenada!$B:$B, 0)), ISNUMBER(SEARCH($A31,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ISNUMBER(SEARCH($A31, INDEX(AsistenciaJetAdminConcatenada!$D:$D, MATCH(1, (AsistenciaJetAdminConcatenada!$A:$A=DR$2)*(AsistenciaJetAdminConcatenada!$B:$B=DR$1), 0)), 1))),  0.5, 0))</f>
        <v>0</v>
      </c>
      <c r="DS31" s="47">
        <f t="array" ref="DS31">IF(AND(ISNUMBER(MATCH(DS$2, AsistenciaJetAdminConcatenada!$A:$A, 0)), ISNUMBER(MATCH(DS$1, AsistenciaJetAdminConcatenada!$B:$B, 0)), ISNUMBER(SEARCH($A31,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ISNUMBER(SEARCH($A31, INDEX(AsistenciaJetAdminConcatenada!$D:$D, MATCH(1, (AsistenciaJetAdminConcatenada!$A:$A=DS$2)*(AsistenciaJetAdminConcatenada!$B:$B=DS$1), 0)), 1))),  0.5, 0))</f>
        <v>0</v>
      </c>
      <c r="DT31" s="47">
        <f t="array" ref="DT31">IF(AND(ISNUMBER(MATCH(DT$2, AsistenciaJetAdminConcatenada!$A:$A, 0)), ISNUMBER(MATCH(DT$1, AsistenciaJetAdminConcatenada!$B:$B, 0)), ISNUMBER(SEARCH($A31,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ISNUMBER(SEARCH($A31, INDEX(AsistenciaJetAdminConcatenada!$D:$D, MATCH(1, (AsistenciaJetAdminConcatenada!$A:$A=DT$2)*(AsistenciaJetAdminConcatenada!$B:$B=DT$1), 0)), 1))),  0.5, 0))</f>
        <v>0</v>
      </c>
      <c r="DU31" s="47">
        <f t="array" ref="DU31">IF(AND(ISNUMBER(MATCH(DU$2, AsistenciaJetAdminConcatenada!$A:$A, 0)), ISNUMBER(MATCH(DU$1, AsistenciaJetAdminConcatenada!$B:$B, 0)), ISNUMBER(SEARCH($A31,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ISNUMBER(SEARCH($A31, INDEX(AsistenciaJetAdminConcatenada!$D:$D, MATCH(1, (AsistenciaJetAdminConcatenada!$A:$A=DU$2)*(AsistenciaJetAdminConcatenada!$B:$B=DU$1), 0)), 1))),  0.5, 0))</f>
        <v>0</v>
      </c>
      <c r="DV31" s="47">
        <f t="array" ref="DV31">IF(AND(ISNUMBER(MATCH(DV$2, AsistenciaJetAdminConcatenada!$A:$A, 0)), ISNUMBER(MATCH(DV$1, AsistenciaJetAdminConcatenada!$B:$B, 0)), ISNUMBER(SEARCH($A31,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ISNUMBER(SEARCH($A31, INDEX(AsistenciaJetAdminConcatenada!$D:$D, MATCH(1, (AsistenciaJetAdminConcatenada!$A:$A=DV$2)*(AsistenciaJetAdminConcatenada!$B:$B=DV$1), 0)), 1))),  0.5, 0))</f>
        <v>0</v>
      </c>
      <c r="DW31" s="47">
        <f t="array" ref="DW31">IF(AND(ISNUMBER(MATCH(DW$2, AsistenciaJetAdminConcatenada!$A:$A, 0)), ISNUMBER(MATCH(DW$1, AsistenciaJetAdminConcatenada!$B:$B, 0)), ISNUMBER(SEARCH($A31,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ISNUMBER(SEARCH($A31, INDEX(AsistenciaJetAdminConcatenada!$D:$D, MATCH(1, (AsistenciaJetAdminConcatenada!$A:$A=DW$2)*(AsistenciaJetAdminConcatenada!$B:$B=DW$1), 0)), 1))),  0.5, 0))</f>
        <v>0</v>
      </c>
      <c r="DX31" s="47">
        <f t="array" ref="DX31">IF(AND(ISNUMBER(MATCH(DX$2, AsistenciaJetAdminConcatenada!$A:$A, 0)), ISNUMBER(MATCH(DX$1, AsistenciaJetAdminConcatenada!$B:$B, 0)), ISNUMBER(SEARCH($A31,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ISNUMBER(SEARCH($A31, INDEX(AsistenciaJetAdminConcatenada!$D:$D, MATCH(1, (AsistenciaJetAdminConcatenada!$A:$A=DX$2)*(AsistenciaJetAdminConcatenada!$B:$B=DX$1), 0)), 1))),  0.5, 0))</f>
        <v>0</v>
      </c>
      <c r="DY31" s="47">
        <f t="array" ref="DY31">IF(AND(ISNUMBER(MATCH(DY$2, AsistenciaJetAdminConcatenada!$A:$A, 0)), ISNUMBER(MATCH(DY$1, AsistenciaJetAdminConcatenada!$B:$B, 0)), ISNUMBER(SEARCH($A31,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ISNUMBER(SEARCH($A31, INDEX(AsistenciaJetAdminConcatenada!$D:$D, MATCH(1, (AsistenciaJetAdminConcatenada!$A:$A=DY$2)*(AsistenciaJetAdminConcatenada!$B:$B=DY$1), 0)), 1))),  0.5, 0))</f>
        <v>0</v>
      </c>
      <c r="DZ31" s="47">
        <f t="array" ref="DZ31">IF(AND(ISNUMBER(MATCH(DZ$2, AsistenciaJetAdminConcatenada!$A:$A, 0)), ISNUMBER(MATCH(DZ$1, AsistenciaJetAdminConcatenada!$B:$B, 0)), ISNUMBER(SEARCH($A31,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ISNUMBER(SEARCH($A31, INDEX(AsistenciaJetAdminConcatenada!$D:$D, MATCH(1, (AsistenciaJetAdminConcatenada!$A:$A=DZ$2)*(AsistenciaJetAdminConcatenada!$B:$B=DZ$1), 0)), 1))),  0.5, 0))</f>
        <v>0</v>
      </c>
      <c r="EA31" s="47">
        <f t="array" ref="EA31">IF(AND(ISNUMBER(MATCH(EA$2, AsistenciaJetAdminConcatenada!$A:$A, 0)), ISNUMBER(MATCH(EA$1, AsistenciaJetAdminConcatenada!$B:$B, 0)), ISNUMBER(SEARCH($A31,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ISNUMBER(SEARCH($A31, INDEX(AsistenciaJetAdminConcatenada!$D:$D, MATCH(1, (AsistenciaJetAdminConcatenada!$A:$A=EA$2)*(AsistenciaJetAdminConcatenada!$B:$B=EA$1), 0)), 1))),  0.5, 0))</f>
        <v>0</v>
      </c>
      <c r="EB31" s="47">
        <f t="array" ref="EB31">IF(AND(ISNUMBER(MATCH(EB$2, AsistenciaJetAdminConcatenada!$A:$A, 0)), ISNUMBER(MATCH(EB$1, AsistenciaJetAdminConcatenada!$B:$B, 0)), ISNUMBER(SEARCH($A31,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ISNUMBER(SEARCH($A31, INDEX(AsistenciaJetAdminConcatenada!$D:$D, MATCH(1, (AsistenciaJetAdminConcatenada!$A:$A=EB$2)*(AsistenciaJetAdminConcatenada!$B:$B=EB$1), 0)), 1))),  0.5, 0))</f>
        <v>0</v>
      </c>
      <c r="EC31" s="47">
        <f t="array" ref="EC31">IF(AND(ISNUMBER(MATCH(EC$2, AsistenciaJetAdminConcatenada!$A:$A, 0)), ISNUMBER(MATCH(EC$1, AsistenciaJetAdminConcatenada!$B:$B, 0)), ISNUMBER(SEARCH($A31,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ISNUMBER(SEARCH($A31, INDEX(AsistenciaJetAdminConcatenada!$D:$D, MATCH(1, (AsistenciaJetAdminConcatenada!$A:$A=EC$2)*(AsistenciaJetAdminConcatenada!$B:$B=EC$1), 0)), 1))),  0.5, 0))</f>
        <v>0</v>
      </c>
      <c r="ED31" s="47">
        <f t="array" ref="ED31">IF(AND(ISNUMBER(MATCH(ED$2, AsistenciaJetAdminConcatenada!$A:$A, 0)), ISNUMBER(MATCH(ED$1, AsistenciaJetAdminConcatenada!$B:$B, 0)), ISNUMBER(SEARCH($A31,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ISNUMBER(SEARCH($A31, INDEX(AsistenciaJetAdminConcatenada!$D:$D, MATCH(1, (AsistenciaJetAdminConcatenada!$A:$A=ED$2)*(AsistenciaJetAdminConcatenada!$B:$B=ED$1), 0)), 1))),  0.5, 0))</f>
        <v>0</v>
      </c>
      <c r="EE31" s="47">
        <f t="array" ref="EE31">IF(AND(ISNUMBER(MATCH(EE$2, AsistenciaJetAdminConcatenada!$A:$A, 0)), ISNUMBER(MATCH(EE$1, AsistenciaJetAdminConcatenada!$B:$B, 0)), ISNUMBER(SEARCH($A31,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ISNUMBER(SEARCH($A31, INDEX(AsistenciaJetAdminConcatenada!$D:$D, MATCH(1, (AsistenciaJetAdminConcatenada!$A:$A=EE$2)*(AsistenciaJetAdminConcatenada!$B:$B=EE$1), 0)), 1))),  0.5, 0))</f>
        <v>0</v>
      </c>
      <c r="EF31" s="47">
        <f t="array" ref="EF31">IF(AND(ISNUMBER(MATCH(EF$2, AsistenciaJetAdminConcatenada!$A:$A, 0)), ISNUMBER(MATCH(EF$1, AsistenciaJetAdminConcatenada!$B:$B, 0)), ISNUMBER(SEARCH($A31,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ISNUMBER(SEARCH($A31, INDEX(AsistenciaJetAdminConcatenada!$D:$D, MATCH(1, (AsistenciaJetAdminConcatenada!$A:$A=EF$2)*(AsistenciaJetAdminConcatenada!$B:$B=EF$1), 0)), 1))),  0.5, 0))</f>
        <v>0</v>
      </c>
      <c r="EG31" s="47">
        <f t="array" ref="EG31">IF(AND(ISNUMBER(MATCH(EG$2, AsistenciaJetAdminConcatenada!$A:$A, 0)), ISNUMBER(MATCH(EG$1, AsistenciaJetAdminConcatenada!$B:$B, 0)), ISNUMBER(SEARCH($A31,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ISNUMBER(SEARCH($A31, INDEX(AsistenciaJetAdminConcatenada!$D:$D, MATCH(1, (AsistenciaJetAdminConcatenada!$A:$A=EG$2)*(AsistenciaJetAdminConcatenada!$B:$B=EG$1), 0)), 1))),  0.5, 0))</f>
        <v>0</v>
      </c>
      <c r="EH31" s="47">
        <f t="array" ref="EH31">IF(AND(ISNUMBER(MATCH(EH$2, AsistenciaJetAdminConcatenada!$A:$A, 0)), ISNUMBER(MATCH(EH$1, AsistenciaJetAdminConcatenada!$B:$B, 0)), ISNUMBER(SEARCH($A31,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ISNUMBER(SEARCH($A31, INDEX(AsistenciaJetAdminConcatenada!$D:$D, MATCH(1, (AsistenciaJetAdminConcatenada!$A:$A=EH$2)*(AsistenciaJetAdminConcatenada!$B:$B=EH$1), 0)), 1))),  0.5, 0))</f>
        <v>0</v>
      </c>
      <c r="EI31" s="47">
        <f t="array" ref="EI31">IF(AND(ISNUMBER(MATCH(EI$2, AsistenciaJetAdminConcatenada!$A:$A, 0)), ISNUMBER(MATCH(EI$1, AsistenciaJetAdminConcatenada!$B:$B, 0)), ISNUMBER(SEARCH($A31,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ISNUMBER(SEARCH($A31, INDEX(AsistenciaJetAdminConcatenada!$D:$D, MATCH(1, (AsistenciaJetAdminConcatenada!$A:$A=EI$2)*(AsistenciaJetAdminConcatenada!$B:$B=EI$1), 0)), 1))),  0.5, 0))</f>
        <v>0</v>
      </c>
      <c r="EJ31" s="47">
        <f t="array" ref="EJ31">IF(AND(ISNUMBER(MATCH(EJ$2, AsistenciaJetAdminConcatenada!$A:$A, 0)), ISNUMBER(MATCH(EJ$1, AsistenciaJetAdminConcatenada!$B:$B, 0)), ISNUMBER(SEARCH($A31,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ISNUMBER(SEARCH($A31, INDEX(AsistenciaJetAdminConcatenada!$D:$D, MATCH(1, (AsistenciaJetAdminConcatenada!$A:$A=EJ$2)*(AsistenciaJetAdminConcatenada!$B:$B=EJ$1), 0)), 1))),  0.5, 0))</f>
        <v>0</v>
      </c>
      <c r="EK31" s="47">
        <f t="array" ref="EK31">IF(AND(ISNUMBER(MATCH(EK$2, AsistenciaJetAdminConcatenada!$A:$A, 0)), ISNUMBER(MATCH(EK$1, AsistenciaJetAdminConcatenada!$B:$B, 0)), ISNUMBER(SEARCH($A31,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ISNUMBER(SEARCH($A31, INDEX(AsistenciaJetAdminConcatenada!$D:$D, MATCH(1, (AsistenciaJetAdminConcatenada!$A:$A=EK$2)*(AsistenciaJetAdminConcatenada!$B:$B=EK$1), 0)), 1))),  0.5, 0))</f>
        <v>0</v>
      </c>
      <c r="EL31" s="47">
        <f t="array" ref="EL31">IF(AND(ISNUMBER(MATCH(EL$2, AsistenciaJetAdminConcatenada!$A:$A, 0)), ISNUMBER(MATCH(EL$1, AsistenciaJetAdminConcatenada!$B:$B, 0)), ISNUMBER(SEARCH($A31,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ISNUMBER(SEARCH($A31, INDEX(AsistenciaJetAdminConcatenada!$D:$D, MATCH(1, (AsistenciaJetAdminConcatenada!$A:$A=EL$2)*(AsistenciaJetAdminConcatenada!$B:$B=EL$1), 0)), 1))),  0.5, 0))</f>
        <v>0</v>
      </c>
      <c r="EM31" s="47">
        <f t="array" ref="EM31">IF(AND(ISNUMBER(MATCH(EM$2, AsistenciaJetAdminConcatenada!$A:$A, 0)), ISNUMBER(MATCH(EM$1, AsistenciaJetAdminConcatenada!$B:$B, 0)), ISNUMBER(SEARCH($A31,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ISNUMBER(SEARCH($A31, INDEX(AsistenciaJetAdminConcatenada!$D:$D, MATCH(1, (AsistenciaJetAdminConcatenada!$A:$A=EM$2)*(AsistenciaJetAdminConcatenada!$B:$B=EM$1), 0)), 1))),  0.5, 0))</f>
        <v>0</v>
      </c>
      <c r="EN31" s="47">
        <f t="array" ref="EN31">IF(AND(ISNUMBER(MATCH(EN$2, AsistenciaJetAdminConcatenada!$A:$A, 0)), ISNUMBER(MATCH(EN$1, AsistenciaJetAdminConcatenada!$B:$B, 0)), ISNUMBER(SEARCH($A31,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ISNUMBER(SEARCH($A31, INDEX(AsistenciaJetAdminConcatenada!$D:$D, MATCH(1, (AsistenciaJetAdminConcatenada!$A:$A=EN$2)*(AsistenciaJetAdminConcatenada!$B:$B=EN$1), 0)), 1))),  0.5, 0))</f>
        <v>0</v>
      </c>
      <c r="EO31" s="47">
        <f t="array" ref="EO31">IF(AND(ISNUMBER(MATCH(EO$2, AsistenciaJetAdminConcatenada!$A:$A, 0)), ISNUMBER(MATCH(EO$1, AsistenciaJetAdminConcatenada!$B:$B, 0)), ISNUMBER(SEARCH($A31,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ISNUMBER(SEARCH($A31, INDEX(AsistenciaJetAdminConcatenada!$D:$D, MATCH(1, (AsistenciaJetAdminConcatenada!$A:$A=EO$2)*(AsistenciaJetAdminConcatenada!$B:$B=EO$1), 0)), 1))),  0.5, 0))</f>
        <v>0</v>
      </c>
      <c r="EP31" s="47">
        <f t="array" ref="EP31">IF(AND(ISNUMBER(MATCH(EP$2, AsistenciaJetAdminConcatenada!$A:$A, 0)), ISNUMBER(MATCH(EP$1, AsistenciaJetAdminConcatenada!$B:$B, 0)), ISNUMBER(SEARCH($A31,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ISNUMBER(SEARCH($A31, INDEX(AsistenciaJetAdminConcatenada!$D:$D, MATCH(1, (AsistenciaJetAdminConcatenada!$A:$A=EP$2)*(AsistenciaJetAdminConcatenada!$B:$B=EP$1), 0)), 1))),  0.5, 0))</f>
        <v>0</v>
      </c>
      <c r="EQ31" s="47">
        <f t="array" ref="EQ31">IF(AND(ISNUMBER(MATCH(EQ$2, AsistenciaJetAdminConcatenada!$A:$A, 0)), ISNUMBER(MATCH(EQ$1, AsistenciaJetAdminConcatenada!$B:$B, 0)), ISNUMBER(SEARCH($A31,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ISNUMBER(SEARCH($A31, INDEX(AsistenciaJetAdminConcatenada!$D:$D, MATCH(1, (AsistenciaJetAdminConcatenada!$A:$A=EQ$2)*(AsistenciaJetAdminConcatenada!$B:$B=EQ$1), 0)), 1))),  0.5, 0))</f>
        <v>0</v>
      </c>
      <c r="ER31" s="47">
        <f t="array" ref="ER31">IF(AND(ISNUMBER(MATCH(ER$2, AsistenciaJetAdminConcatenada!$A:$A, 0)), ISNUMBER(MATCH(ER$1, AsistenciaJetAdminConcatenada!$B:$B, 0)), ISNUMBER(SEARCH($A31,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ISNUMBER(SEARCH($A31, INDEX(AsistenciaJetAdminConcatenada!$D:$D, MATCH(1, (AsistenciaJetAdminConcatenada!$A:$A=ER$2)*(AsistenciaJetAdminConcatenada!$B:$B=ER$1), 0)), 1))),  0.5, 0))</f>
        <v>0</v>
      </c>
      <c r="ES31" s="47">
        <f t="array" ref="ES31">IF(AND(ISNUMBER(MATCH(ES$2, AsistenciaJetAdminConcatenada!$A:$A, 0)), ISNUMBER(MATCH(ES$1, AsistenciaJetAdminConcatenada!$B:$B, 0)), ISNUMBER(SEARCH($A31,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ISNUMBER(SEARCH($A31, INDEX(AsistenciaJetAdminConcatenada!$D:$D, MATCH(1, (AsistenciaJetAdminConcatenada!$A:$A=ES$2)*(AsistenciaJetAdminConcatenada!$B:$B=ES$1), 0)), 1))),  0.5, 0))</f>
        <v>0</v>
      </c>
      <c r="ET31" s="47">
        <f t="array" ref="ET31">IF(AND(ISNUMBER(MATCH(ET$2, AsistenciaJetAdminConcatenada!$A:$A, 0)), ISNUMBER(MATCH(ET$1, AsistenciaJetAdminConcatenada!$B:$B, 0)), ISNUMBER(SEARCH($A31,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ISNUMBER(SEARCH($A31, INDEX(AsistenciaJetAdminConcatenada!$D:$D, MATCH(1, (AsistenciaJetAdminConcatenada!$A:$A=ET$2)*(AsistenciaJetAdminConcatenada!$B:$B=ET$1), 0)), 1))),  0.5, 0))</f>
        <v>0</v>
      </c>
      <c r="EU31" s="47">
        <f t="array" ref="EU31">IF(AND(ISNUMBER(MATCH(EU$2, AsistenciaJetAdminConcatenada!$A:$A, 0)), ISNUMBER(MATCH(EU$1, AsistenciaJetAdminConcatenada!$B:$B, 0)), ISNUMBER(SEARCH($A31,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ISNUMBER(SEARCH($A31, INDEX(AsistenciaJetAdminConcatenada!$D:$D, MATCH(1, (AsistenciaJetAdminConcatenada!$A:$A=EU$2)*(AsistenciaJetAdminConcatenada!$B:$B=EU$1), 0)), 1))),  0.5, 0))</f>
        <v>0</v>
      </c>
      <c r="EV31" s="47">
        <f t="array" ref="EV31">IF(AND(ISNUMBER(MATCH(EV$2, AsistenciaJetAdminConcatenada!$A:$A, 0)), ISNUMBER(MATCH(EV$1, AsistenciaJetAdminConcatenada!$B:$B, 0)), ISNUMBER(SEARCH($A31,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ISNUMBER(SEARCH($A31, INDEX(AsistenciaJetAdminConcatenada!$D:$D, MATCH(1, (AsistenciaJetAdminConcatenada!$A:$A=EV$2)*(AsistenciaJetAdminConcatenada!$B:$B=EV$1), 0)), 1))),  0.5, 0))</f>
        <v>0</v>
      </c>
      <c r="EW31" s="47">
        <f t="array" ref="EW31">IF(AND(ISNUMBER(MATCH(EW$2, AsistenciaJetAdminConcatenada!$A:$A, 0)), ISNUMBER(MATCH(EW$1, AsistenciaJetAdminConcatenada!$B:$B, 0)), ISNUMBER(SEARCH($A31,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ISNUMBER(SEARCH($A31, INDEX(AsistenciaJetAdminConcatenada!$D:$D, MATCH(1, (AsistenciaJetAdminConcatenada!$A:$A=EW$2)*(AsistenciaJetAdminConcatenada!$B:$B=EW$1), 0)), 1))),  0.5, 0))</f>
        <v>0</v>
      </c>
      <c r="EX31" s="47">
        <f t="array" ref="EX31">IF(AND(ISNUMBER(MATCH(EX$2, AsistenciaJetAdminConcatenada!$A:$A, 0)), ISNUMBER(MATCH(EX$1, AsistenciaJetAdminConcatenada!$B:$B, 0)), ISNUMBER(SEARCH($A31,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ISNUMBER(SEARCH($A31, INDEX(AsistenciaJetAdminConcatenada!$D:$D, MATCH(1, (AsistenciaJetAdminConcatenada!$A:$A=EX$2)*(AsistenciaJetAdminConcatenada!$B:$B=EX$1), 0)), 1))),  0.5, 0))</f>
        <v>0</v>
      </c>
      <c r="EY31" s="47">
        <f t="array" ref="EY31">IF(AND(ISNUMBER(MATCH(EY$2, AsistenciaJetAdminConcatenada!$A:$A, 0)), ISNUMBER(MATCH(EY$1, AsistenciaJetAdminConcatenada!$B:$B, 0)), ISNUMBER(SEARCH($A31,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ISNUMBER(SEARCH($A31, INDEX(AsistenciaJetAdminConcatenada!$D:$D, MATCH(1, (AsistenciaJetAdminConcatenada!$A:$A=EY$2)*(AsistenciaJetAdminConcatenada!$B:$B=EY$1), 0)), 1))),  0.5, 0))</f>
        <v>0</v>
      </c>
      <c r="EZ31" s="47">
        <f t="array" ref="EZ31">IF(AND(ISNUMBER(MATCH(EZ$2, AsistenciaJetAdminConcatenada!$A:$A, 0)), ISNUMBER(MATCH(EZ$1, AsistenciaJetAdminConcatenada!$B:$B, 0)), ISNUMBER(SEARCH($A31,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ISNUMBER(SEARCH($A31, INDEX(AsistenciaJetAdminConcatenada!$D:$D, MATCH(1, (AsistenciaJetAdminConcatenada!$A:$A=EZ$2)*(AsistenciaJetAdminConcatenada!$B:$B=EZ$1), 0)), 1))),  0.5, 0))</f>
        <v>0</v>
      </c>
      <c r="FA31" s="47">
        <f t="array" ref="FA31">IF(AND(ISNUMBER(MATCH(FA$2, AsistenciaJetAdminConcatenada!$A:$A, 0)), ISNUMBER(MATCH(FA$1, AsistenciaJetAdminConcatenada!$B:$B, 0)), ISNUMBER(SEARCH($A31,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ISNUMBER(SEARCH($A31, INDEX(AsistenciaJetAdminConcatenada!$D:$D, MATCH(1, (AsistenciaJetAdminConcatenada!$A:$A=FA$2)*(AsistenciaJetAdminConcatenada!$B:$B=FA$1), 0)), 1))),  0.5, 0))</f>
        <v>0</v>
      </c>
      <c r="FB31" s="47">
        <f t="array" ref="FB31">IF(AND(ISNUMBER(MATCH(FB$2, AsistenciaJetAdminConcatenada!$A:$A, 0)), ISNUMBER(MATCH(FB$1, AsistenciaJetAdminConcatenada!$B:$B, 0)), ISNUMBER(SEARCH($A31,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ISNUMBER(SEARCH($A31, INDEX(AsistenciaJetAdminConcatenada!$D:$D, MATCH(1, (AsistenciaJetAdminConcatenada!$A:$A=FB$2)*(AsistenciaJetAdminConcatenada!$B:$B=FB$1), 0)), 1))),  0.5, 0))</f>
        <v>0</v>
      </c>
      <c r="FC31" s="47">
        <f t="array" ref="FC31">IF(AND(ISNUMBER(MATCH(FC$2, AsistenciaJetAdminConcatenada!$A:$A, 0)), ISNUMBER(MATCH(FC$1, AsistenciaJetAdminConcatenada!$B:$B, 0)), ISNUMBER(SEARCH($A31,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ISNUMBER(SEARCH($A31, INDEX(AsistenciaJetAdminConcatenada!$D:$D, MATCH(1, (AsistenciaJetAdminConcatenada!$A:$A=FC$2)*(AsistenciaJetAdminConcatenada!$B:$B=FC$1), 0)), 1))),  0.5, 0))</f>
        <v>0</v>
      </c>
      <c r="FD31" s="47">
        <f t="array" ref="FD31">IF(AND(ISNUMBER(MATCH(FD$2, AsistenciaJetAdminConcatenada!$A:$A, 0)), ISNUMBER(MATCH(FD$1, AsistenciaJetAdminConcatenada!$B:$B, 0)), ISNUMBER(SEARCH($A31,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ISNUMBER(SEARCH($A31, INDEX(AsistenciaJetAdminConcatenada!$D:$D, MATCH(1, (AsistenciaJetAdminConcatenada!$A:$A=FD$2)*(AsistenciaJetAdminConcatenada!$B:$B=FD$1), 0)), 1))),  0.5, 0))</f>
        <v>0</v>
      </c>
      <c r="FE31" s="47">
        <f t="array" ref="FE31">IF(AND(ISNUMBER(MATCH(FE$2, AsistenciaJetAdminConcatenada!$A:$A, 0)), ISNUMBER(MATCH(FE$1, AsistenciaJetAdminConcatenada!$B:$B, 0)), ISNUMBER(SEARCH($A31,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ISNUMBER(SEARCH($A31, INDEX(AsistenciaJetAdminConcatenada!$D:$D, MATCH(1, (AsistenciaJetAdminConcatenada!$A:$A=FE$2)*(AsistenciaJetAdminConcatenada!$B:$B=FE$1), 0)), 1))),  0.5, 0))</f>
        <v>0</v>
      </c>
      <c r="FF31" s="47">
        <f t="array" ref="FF31">IF(AND(ISNUMBER(MATCH(FF$2, AsistenciaJetAdminConcatenada!$A:$A, 0)), ISNUMBER(MATCH(FF$1, AsistenciaJetAdminConcatenada!$B:$B, 0)), ISNUMBER(SEARCH($A31,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ISNUMBER(SEARCH($A31, INDEX(AsistenciaJetAdminConcatenada!$D:$D, MATCH(1, (AsistenciaJetAdminConcatenada!$A:$A=FF$2)*(AsistenciaJetAdminConcatenada!$B:$B=FF$1), 0)), 1))),  0.5, 0))</f>
        <v>0</v>
      </c>
      <c r="FG31" s="47">
        <f t="array" ref="FG31">IF(AND(ISNUMBER(MATCH(FG$2, AsistenciaJetAdminConcatenada!$A:$A, 0)), ISNUMBER(MATCH(FG$1, AsistenciaJetAdminConcatenada!$B:$B, 0)), ISNUMBER(SEARCH($A31,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ISNUMBER(SEARCH($A31, INDEX(AsistenciaJetAdminConcatenada!$D:$D, MATCH(1, (AsistenciaJetAdminConcatenada!$A:$A=FG$2)*(AsistenciaJetAdminConcatenada!$B:$B=FG$1), 0)), 1))),  0.5, 0))</f>
        <v>0</v>
      </c>
      <c r="FH31" s="47">
        <f t="array" ref="FH31">IF(AND(ISNUMBER(MATCH(FH$2, AsistenciaJetAdminConcatenada!$A:$A, 0)), ISNUMBER(MATCH(FH$1, AsistenciaJetAdminConcatenada!$B:$B, 0)), ISNUMBER(SEARCH($A31,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ISNUMBER(SEARCH($A31, INDEX(AsistenciaJetAdminConcatenada!$D:$D, MATCH(1, (AsistenciaJetAdminConcatenada!$A:$A=FH$2)*(AsistenciaJetAdminConcatenada!$B:$B=FH$1), 0)), 1))),  0.5, 0))</f>
        <v>0</v>
      </c>
      <c r="FI31" s="47">
        <f t="array" ref="FI31">IF(AND(ISNUMBER(MATCH(FI$2, AsistenciaJetAdminConcatenada!$A:$A, 0)), ISNUMBER(MATCH(FI$1, AsistenciaJetAdminConcatenada!$B:$B, 0)), ISNUMBER(SEARCH($A31,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ISNUMBER(SEARCH($A31, INDEX(AsistenciaJetAdminConcatenada!$D:$D, MATCH(1, (AsistenciaJetAdminConcatenada!$A:$A=FI$2)*(AsistenciaJetAdminConcatenada!$B:$B=FI$1), 0)), 1))),  0.5, 0))</f>
        <v>0</v>
      </c>
      <c r="FJ31" s="47">
        <f t="array" ref="FJ31">IF(AND(ISNUMBER(MATCH(FJ$2, AsistenciaJetAdminConcatenada!$A:$A, 0)), ISNUMBER(MATCH(FJ$1, AsistenciaJetAdminConcatenada!$B:$B, 0)), ISNUMBER(SEARCH($A31,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ISNUMBER(SEARCH($A31, INDEX(AsistenciaJetAdminConcatenada!$D:$D, MATCH(1, (AsistenciaJetAdminConcatenada!$A:$A=FJ$2)*(AsistenciaJetAdminConcatenada!$B:$B=FJ$1), 0)), 1))),  0.5, 0))</f>
        <v>0</v>
      </c>
      <c r="FK31" s="47">
        <f t="array" ref="FK31">IF(AND(ISNUMBER(MATCH(FK$2, AsistenciaJetAdminConcatenada!$A:$A, 0)), ISNUMBER(MATCH(FK$1, AsistenciaJetAdminConcatenada!$B:$B, 0)), ISNUMBER(SEARCH($A31,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ISNUMBER(SEARCH($A31, INDEX(AsistenciaJetAdminConcatenada!$D:$D, MATCH(1, (AsistenciaJetAdminConcatenada!$A:$A=FK$2)*(AsistenciaJetAdminConcatenada!$B:$B=FK$1), 0)), 1))),  0.5, 0))</f>
        <v>0</v>
      </c>
      <c r="FL31" s="47">
        <f t="array" ref="FL31">IF(AND(ISNUMBER(MATCH(FL$2, AsistenciaJetAdminConcatenada!$A:$A, 0)), ISNUMBER(MATCH(FL$1, AsistenciaJetAdminConcatenada!$B:$B, 0)), ISNUMBER(SEARCH($A31,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ISNUMBER(SEARCH($A31, INDEX(AsistenciaJetAdminConcatenada!$D:$D, MATCH(1, (AsistenciaJetAdminConcatenada!$A:$A=FL$2)*(AsistenciaJetAdminConcatenada!$B:$B=FL$1), 0)), 1))),  0.5, 0))</f>
        <v>0</v>
      </c>
      <c r="FM31" s="47">
        <f t="array" ref="FM31">IF(AND(ISNUMBER(MATCH(FM$2, AsistenciaJetAdminConcatenada!$A:$A, 0)), ISNUMBER(MATCH(FM$1, AsistenciaJetAdminConcatenada!$B:$B, 0)), ISNUMBER(SEARCH($A31,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ISNUMBER(SEARCH($A31, INDEX(AsistenciaJetAdminConcatenada!$D:$D, MATCH(1, (AsistenciaJetAdminConcatenada!$A:$A=FM$2)*(AsistenciaJetAdminConcatenada!$B:$B=FM$1), 0)), 1))),  0.5, 0))</f>
        <v>0</v>
      </c>
      <c r="FN31" s="47">
        <f t="array" ref="FN31">IF(AND(ISNUMBER(MATCH(FN$2, AsistenciaJetAdminConcatenada!$A:$A, 0)), ISNUMBER(MATCH(FN$1, AsistenciaJetAdminConcatenada!$B:$B, 0)), ISNUMBER(SEARCH($A31,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ISNUMBER(SEARCH($A31, INDEX(AsistenciaJetAdminConcatenada!$D:$D, MATCH(1, (AsistenciaJetAdminConcatenada!$A:$A=FN$2)*(AsistenciaJetAdminConcatenada!$B:$B=FN$1), 0)), 1))),  0.5, 0))</f>
        <v>0</v>
      </c>
      <c r="FO31" s="47">
        <f t="array" ref="FO31">IF(AND(ISNUMBER(MATCH(FO$2, AsistenciaJetAdminConcatenada!$A:$A, 0)), ISNUMBER(MATCH(FO$1, AsistenciaJetAdminConcatenada!$B:$B, 0)), ISNUMBER(SEARCH($A31,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ISNUMBER(SEARCH($A31, INDEX(AsistenciaJetAdminConcatenada!$D:$D, MATCH(1, (AsistenciaJetAdminConcatenada!$A:$A=FO$2)*(AsistenciaJetAdminConcatenada!$B:$B=FO$1), 0)), 1))),  0.5, 0))</f>
        <v>0</v>
      </c>
      <c r="FP31" s="47">
        <f t="array" ref="FP31">IF(AND(ISNUMBER(MATCH(FP$2, AsistenciaJetAdminConcatenada!$A:$A, 0)), ISNUMBER(MATCH(FP$1, AsistenciaJetAdminConcatenada!$B:$B, 0)), ISNUMBER(SEARCH($A31,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ISNUMBER(SEARCH($A31, INDEX(AsistenciaJetAdminConcatenada!$D:$D, MATCH(1, (AsistenciaJetAdminConcatenada!$A:$A=FP$2)*(AsistenciaJetAdminConcatenada!$B:$B=FP$1), 0)), 1))),  0.5, 0))</f>
        <v>0</v>
      </c>
      <c r="FQ31" s="47">
        <f t="array" ref="FQ31">IF(AND(ISNUMBER(MATCH(FQ$2, AsistenciaJetAdminConcatenada!$A:$A, 0)), ISNUMBER(MATCH(FQ$1, AsistenciaJetAdminConcatenada!$B:$B, 0)), ISNUMBER(SEARCH($A31,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ISNUMBER(SEARCH($A31, INDEX(AsistenciaJetAdminConcatenada!$D:$D, MATCH(1, (AsistenciaJetAdminConcatenada!$A:$A=FQ$2)*(AsistenciaJetAdminConcatenada!$B:$B=FQ$1), 0)), 1))),  0.5, 0))</f>
        <v>0</v>
      </c>
      <c r="FR31" s="47">
        <f t="array" ref="FR31">IF(AND(ISNUMBER(MATCH(FR$2, AsistenciaJetAdminConcatenada!$A:$A, 0)), ISNUMBER(MATCH(FR$1, AsistenciaJetAdminConcatenada!$B:$B, 0)), ISNUMBER(SEARCH($A31,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ISNUMBER(SEARCH($A31, INDEX(AsistenciaJetAdminConcatenada!$D:$D, MATCH(1, (AsistenciaJetAdminConcatenada!$A:$A=FR$2)*(AsistenciaJetAdminConcatenada!$B:$B=FR$1), 0)), 1))),  0.5, 0))</f>
        <v>0</v>
      </c>
      <c r="FS31" s="47">
        <f t="array" ref="FS31">IF(AND(ISNUMBER(MATCH(FS$2, AsistenciaJetAdminConcatenada!$A:$A, 0)), ISNUMBER(MATCH(FS$1, AsistenciaJetAdminConcatenada!$B:$B, 0)), ISNUMBER(SEARCH($A31,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ISNUMBER(SEARCH($A31, INDEX(AsistenciaJetAdminConcatenada!$D:$D, MATCH(1, (AsistenciaJetAdminConcatenada!$A:$A=FS$2)*(AsistenciaJetAdminConcatenada!$B:$B=FS$1), 0)), 1))),  0.5, 0))</f>
        <v>0</v>
      </c>
      <c r="FT31" s="47">
        <f t="array" ref="FT31">IF(AND(ISNUMBER(MATCH(FT$2, AsistenciaJetAdminConcatenada!$A:$A, 0)), ISNUMBER(MATCH(FT$1, AsistenciaJetAdminConcatenada!$B:$B, 0)), ISNUMBER(SEARCH($A31,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ISNUMBER(SEARCH($A31, INDEX(AsistenciaJetAdminConcatenada!$D:$D, MATCH(1, (AsistenciaJetAdminConcatenada!$A:$A=FT$2)*(AsistenciaJetAdminConcatenada!$B:$B=FT$1), 0)), 1))),  0.5, 0))</f>
        <v>0</v>
      </c>
      <c r="FU31" s="47">
        <f t="array" ref="FU31">IF(AND(ISNUMBER(MATCH(FU$2, AsistenciaJetAdminConcatenada!$A:$A, 0)), ISNUMBER(MATCH(FU$1, AsistenciaJetAdminConcatenada!$B:$B, 0)), ISNUMBER(SEARCH($A31,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ISNUMBER(SEARCH($A31, INDEX(AsistenciaJetAdminConcatenada!$D:$D, MATCH(1, (AsistenciaJetAdminConcatenada!$A:$A=FU$2)*(AsistenciaJetAdminConcatenada!$B:$B=FU$1), 0)), 1))),  0.5, 0))</f>
        <v>0</v>
      </c>
      <c r="FV31" s="47">
        <f t="array" ref="FV31">IF(AND(ISNUMBER(MATCH(FV$2, AsistenciaJetAdminConcatenada!$A:$A, 0)), ISNUMBER(MATCH(FV$1, AsistenciaJetAdminConcatenada!$B:$B, 0)), ISNUMBER(SEARCH($A31,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ISNUMBER(SEARCH($A31, INDEX(AsistenciaJetAdminConcatenada!$D:$D, MATCH(1, (AsistenciaJetAdminConcatenada!$A:$A=FV$2)*(AsistenciaJetAdminConcatenada!$B:$B=FV$1), 0)), 1))),  0.5, 0))</f>
        <v>0</v>
      </c>
      <c r="FW31" s="47">
        <f t="array" ref="FW31">IF(AND(ISNUMBER(MATCH(FW$2, AsistenciaJetAdminConcatenada!$A:$A, 0)), ISNUMBER(MATCH(FW$1, AsistenciaJetAdminConcatenada!$B:$B, 0)), ISNUMBER(SEARCH($A31,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ISNUMBER(SEARCH($A31, INDEX(AsistenciaJetAdminConcatenada!$D:$D, MATCH(1, (AsistenciaJetAdminConcatenada!$A:$A=FW$2)*(AsistenciaJetAdminConcatenada!$B:$B=FW$1), 0)), 1))),  0.5, 0))</f>
        <v>0</v>
      </c>
      <c r="FX31" s="47">
        <f t="array" ref="FX31">IF(AND(ISNUMBER(MATCH(FX$2, AsistenciaJetAdminConcatenada!$A:$A, 0)), ISNUMBER(MATCH(FX$1, AsistenciaJetAdminConcatenada!$B:$B, 0)), ISNUMBER(SEARCH($A31,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ISNUMBER(SEARCH($A31, INDEX(AsistenciaJetAdminConcatenada!$D:$D, MATCH(1, (AsistenciaJetAdminConcatenada!$A:$A=FX$2)*(AsistenciaJetAdminConcatenada!$B:$B=FX$1), 0)), 1))),  0.5, 0))</f>
        <v>0</v>
      </c>
      <c r="FY31" s="47">
        <f t="array" ref="FY31">IF(AND(ISNUMBER(MATCH(FY$2, AsistenciaJetAdminConcatenada!$A:$A, 0)), ISNUMBER(MATCH(FY$1, AsistenciaJetAdminConcatenada!$B:$B, 0)), ISNUMBER(SEARCH($A31,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ISNUMBER(SEARCH($A31, INDEX(AsistenciaJetAdminConcatenada!$D:$D, MATCH(1, (AsistenciaJetAdminConcatenada!$A:$A=FY$2)*(AsistenciaJetAdminConcatenada!$B:$B=FY$1), 0)), 1))),  0.5, 0))</f>
        <v>0</v>
      </c>
      <c r="FZ31" s="47">
        <f t="array" ref="FZ31">IF(AND(ISNUMBER(MATCH(FZ$2, AsistenciaJetAdminConcatenada!$A:$A, 0)), ISNUMBER(MATCH(FZ$1, AsistenciaJetAdminConcatenada!$B:$B, 0)), ISNUMBER(SEARCH($A31,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ISNUMBER(SEARCH($A31, INDEX(AsistenciaJetAdminConcatenada!$D:$D, MATCH(1, (AsistenciaJetAdminConcatenada!$A:$A=FZ$2)*(AsistenciaJetAdminConcatenada!$B:$B=FZ$1), 0)), 1))),  0.5, 0))</f>
        <v>0</v>
      </c>
      <c r="GA31" s="47">
        <f t="array" ref="GA31">IF(AND(ISNUMBER(MATCH(GA$2, AsistenciaJetAdminConcatenada!$A:$A, 0)), ISNUMBER(MATCH(GA$1, AsistenciaJetAdminConcatenada!$B:$B, 0)), ISNUMBER(SEARCH($A31,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ISNUMBER(SEARCH($A31, INDEX(AsistenciaJetAdminConcatenada!$D:$D, MATCH(1, (AsistenciaJetAdminConcatenada!$A:$A=GA$2)*(AsistenciaJetAdminConcatenada!$B:$B=GA$1), 0)), 1))),  0.5, 0))</f>
        <v>0</v>
      </c>
      <c r="GB31" s="47">
        <f t="array" ref="GB31">IF(AND(ISNUMBER(MATCH(GB$2, AsistenciaJetAdminConcatenada!$A:$A, 0)), ISNUMBER(MATCH(GB$1, AsistenciaJetAdminConcatenada!$B:$B, 0)), ISNUMBER(SEARCH($A31,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ISNUMBER(SEARCH($A31, INDEX(AsistenciaJetAdminConcatenada!$D:$D, MATCH(1, (AsistenciaJetAdminConcatenada!$A:$A=GB$2)*(AsistenciaJetAdminConcatenada!$B:$B=GB$1), 0)), 1))),  0.5, 0))</f>
        <v>0</v>
      </c>
      <c r="GC31" s="47">
        <f t="array" ref="GC31">IF(AND(ISNUMBER(MATCH(GC$2, AsistenciaJetAdminConcatenada!$A:$A, 0)), ISNUMBER(MATCH(GC$1, AsistenciaJetAdminConcatenada!$B:$B, 0)), ISNUMBER(SEARCH($A31,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ISNUMBER(SEARCH($A31, INDEX(AsistenciaJetAdminConcatenada!$D:$D, MATCH(1, (AsistenciaJetAdminConcatenada!$A:$A=GC$2)*(AsistenciaJetAdminConcatenada!$B:$B=GC$1), 0)), 1))),  0.5, 0))</f>
        <v>0</v>
      </c>
      <c r="GD31" s="47">
        <f t="array" ref="GD31">IF(AND(ISNUMBER(MATCH(GD$2, AsistenciaJetAdminConcatenada!$A:$A, 0)), ISNUMBER(MATCH(GD$1, AsistenciaJetAdminConcatenada!$B:$B, 0)), ISNUMBER(SEARCH($A31,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ISNUMBER(SEARCH($A31, INDEX(AsistenciaJetAdminConcatenada!$D:$D, MATCH(1, (AsistenciaJetAdminConcatenada!$A:$A=GD$2)*(AsistenciaJetAdminConcatenada!$B:$B=GD$1), 0)), 1))),  0.5, 0))</f>
        <v>0</v>
      </c>
      <c r="GE31" s="47">
        <f t="array" ref="GE31">IF(AND(ISNUMBER(MATCH(GE$2, AsistenciaJetAdminConcatenada!$A:$A, 0)), ISNUMBER(MATCH(GE$1, AsistenciaJetAdminConcatenada!$B:$B, 0)), ISNUMBER(SEARCH($A31,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ISNUMBER(SEARCH($A31, INDEX(AsistenciaJetAdminConcatenada!$D:$D, MATCH(1, (AsistenciaJetAdminConcatenada!$A:$A=GE$2)*(AsistenciaJetAdminConcatenada!$B:$B=GE$1), 0)), 1))),  0.5, 0))</f>
        <v>0</v>
      </c>
      <c r="GF31" s="47">
        <f t="array" ref="GF31">IF(AND(ISNUMBER(MATCH(GF$2, AsistenciaJetAdminConcatenada!$A:$A, 0)), ISNUMBER(MATCH(GF$1, AsistenciaJetAdminConcatenada!$B:$B, 0)), ISNUMBER(SEARCH($A31,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ISNUMBER(SEARCH($A31, INDEX(AsistenciaJetAdminConcatenada!$D:$D, MATCH(1, (AsistenciaJetAdminConcatenada!$A:$A=GF$2)*(AsistenciaJetAdminConcatenada!$B:$B=GF$1), 0)), 1))),  0.5, 0))</f>
        <v>0</v>
      </c>
      <c r="GG31" s="47">
        <f t="array" ref="GG31">IF(AND(ISNUMBER(MATCH(GG$2, AsistenciaJetAdminConcatenada!$A:$A, 0)), ISNUMBER(MATCH(GG$1, AsistenciaJetAdminConcatenada!$B:$B, 0)), ISNUMBER(SEARCH($A31,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ISNUMBER(SEARCH($A31, INDEX(AsistenciaJetAdminConcatenada!$D:$D, MATCH(1, (AsistenciaJetAdminConcatenada!$A:$A=GG$2)*(AsistenciaJetAdminConcatenada!$B:$B=GG$1), 0)), 1))),  0.5, 0))</f>
        <v>0</v>
      </c>
      <c r="GH31" s="47">
        <f t="array" ref="GH31">IF(AND(ISNUMBER(MATCH(GH$2, AsistenciaJetAdminConcatenada!$A:$A, 0)), ISNUMBER(MATCH(GH$1, AsistenciaJetAdminConcatenada!$B:$B, 0)), ISNUMBER(SEARCH($A31,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ISNUMBER(SEARCH($A31, INDEX(AsistenciaJetAdminConcatenada!$D:$D, MATCH(1, (AsistenciaJetAdminConcatenada!$A:$A=GH$2)*(AsistenciaJetAdminConcatenada!$B:$B=GH$1), 0)), 1))),  0.5, 0))</f>
        <v>0</v>
      </c>
      <c r="GI31" s="47">
        <f t="array" ref="GI31">IF(AND(ISNUMBER(MATCH(GI$2, AsistenciaJetAdminConcatenada!$A:$A, 0)), ISNUMBER(MATCH(GI$1, AsistenciaJetAdminConcatenada!$B:$B, 0)), ISNUMBER(SEARCH($A31,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ISNUMBER(SEARCH($A31, INDEX(AsistenciaJetAdminConcatenada!$D:$D, MATCH(1, (AsistenciaJetAdminConcatenada!$A:$A=GI$2)*(AsistenciaJetAdminConcatenada!$B:$B=GI$1), 0)), 1))),  0.5, 0))</f>
        <v>0</v>
      </c>
      <c r="GJ31" s="47">
        <f t="array" ref="GJ31">IF(AND(ISNUMBER(MATCH(GJ$2, AsistenciaJetAdminConcatenada!$A:$A, 0)), ISNUMBER(MATCH(GJ$1, AsistenciaJetAdminConcatenada!$B:$B, 0)), ISNUMBER(SEARCH($A31,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ISNUMBER(SEARCH($A31, INDEX(AsistenciaJetAdminConcatenada!$D:$D, MATCH(1, (AsistenciaJetAdminConcatenada!$A:$A=GJ$2)*(AsistenciaJetAdminConcatenada!$B:$B=GJ$1), 0)), 1))),  0.5, 0))</f>
        <v>0</v>
      </c>
      <c r="GK31" s="47">
        <f t="array" ref="GK31">IF(AND(ISNUMBER(MATCH(GK$2, AsistenciaJetAdminConcatenada!$A:$A, 0)), ISNUMBER(MATCH(GK$1, AsistenciaJetAdminConcatenada!$B:$B, 0)), ISNUMBER(SEARCH($A31,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ISNUMBER(SEARCH($A31, INDEX(AsistenciaJetAdminConcatenada!$D:$D, MATCH(1, (AsistenciaJetAdminConcatenada!$A:$A=GK$2)*(AsistenciaJetAdminConcatenada!$B:$B=GK$1), 0)), 1))),  0.5, 0))</f>
        <v>0</v>
      </c>
      <c r="GL31" s="47">
        <f t="array" ref="GL31">IF(AND(ISNUMBER(MATCH(GL$2, AsistenciaJetAdminConcatenada!$A:$A, 0)), ISNUMBER(MATCH(GL$1, AsistenciaJetAdminConcatenada!$B:$B, 0)), ISNUMBER(SEARCH($A31,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ISNUMBER(SEARCH($A31, INDEX(AsistenciaJetAdminConcatenada!$D:$D, MATCH(1, (AsistenciaJetAdminConcatenada!$A:$A=GL$2)*(AsistenciaJetAdminConcatenada!$B:$B=GL$1), 0)), 1))),  0.5, 0))</f>
        <v>0</v>
      </c>
      <c r="GM31" s="47">
        <f t="array" ref="GM31">IF(AND(ISNUMBER(MATCH(GM$2, AsistenciaJetAdminConcatenada!$A:$A, 0)), ISNUMBER(MATCH(GM$1, AsistenciaJetAdminConcatenada!$B:$B, 0)), ISNUMBER(SEARCH($A31,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ISNUMBER(SEARCH($A31, INDEX(AsistenciaJetAdminConcatenada!$D:$D, MATCH(1, (AsistenciaJetAdminConcatenada!$A:$A=GM$2)*(AsistenciaJetAdminConcatenada!$B:$B=GM$1), 0)), 1))),  0.5, 0))</f>
        <v>0</v>
      </c>
      <c r="GN31" s="47">
        <f t="array" ref="GN31">IF(AND(ISNUMBER(MATCH(GN$2, AsistenciaJetAdminConcatenada!$A:$A, 0)), ISNUMBER(MATCH(GN$1, AsistenciaJetAdminConcatenada!$B:$B, 0)), ISNUMBER(SEARCH($A31,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ISNUMBER(SEARCH($A31, INDEX(AsistenciaJetAdminConcatenada!$D:$D, MATCH(1, (AsistenciaJetAdminConcatenada!$A:$A=GN$2)*(AsistenciaJetAdminConcatenada!$B:$B=GN$1), 0)), 1))),  0.5, 0))</f>
        <v>0</v>
      </c>
      <c r="GO31" s="47">
        <f t="array" ref="GO31">IF(AND(ISNUMBER(MATCH(GO$2, AsistenciaJetAdminConcatenada!$A:$A, 0)), ISNUMBER(MATCH(GO$1, AsistenciaJetAdminConcatenada!$B:$B, 0)), ISNUMBER(SEARCH($A31,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ISNUMBER(SEARCH($A31, INDEX(AsistenciaJetAdminConcatenada!$D:$D, MATCH(1, (AsistenciaJetAdminConcatenada!$A:$A=GO$2)*(AsistenciaJetAdminConcatenada!$B:$B=GO$1), 0)), 1))),  0.5, 0))</f>
        <v>0</v>
      </c>
      <c r="GP31" s="47">
        <f t="array" ref="GP31">IF(AND(ISNUMBER(MATCH(GP$2, AsistenciaJetAdminConcatenada!$A:$A, 0)), ISNUMBER(MATCH(GP$1, AsistenciaJetAdminConcatenada!$B:$B, 0)), ISNUMBER(SEARCH($A31,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ISNUMBER(SEARCH($A31, INDEX(AsistenciaJetAdminConcatenada!$D:$D, MATCH(1, (AsistenciaJetAdminConcatenada!$A:$A=GP$2)*(AsistenciaJetAdminConcatenada!$B:$B=GP$1), 0)), 1))),  0.5, 0))</f>
        <v>0</v>
      </c>
      <c r="GQ31" s="47">
        <f t="array" ref="GQ31">IF(AND(ISNUMBER(MATCH(GQ$2, AsistenciaJetAdminConcatenada!$A:$A, 0)), ISNUMBER(MATCH(GQ$1, AsistenciaJetAdminConcatenada!$B:$B, 0)), ISNUMBER(SEARCH($A31,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ISNUMBER(SEARCH($A31, INDEX(AsistenciaJetAdminConcatenada!$D:$D, MATCH(1, (AsistenciaJetAdminConcatenada!$A:$A=GQ$2)*(AsistenciaJetAdminConcatenada!$B:$B=GQ$1), 0)), 1))),  0.5, 0))</f>
        <v>0</v>
      </c>
      <c r="GR31" s="47">
        <f t="array" ref="GR31">IF(AND(ISNUMBER(MATCH(GR$2, AsistenciaJetAdminConcatenada!$A:$A, 0)), ISNUMBER(MATCH(GR$1, AsistenciaJetAdminConcatenada!$B:$B, 0)), ISNUMBER(SEARCH($A31,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ISNUMBER(SEARCH($A31, INDEX(AsistenciaJetAdminConcatenada!$D:$D, MATCH(1, (AsistenciaJetAdminConcatenada!$A:$A=GR$2)*(AsistenciaJetAdminConcatenada!$B:$B=GR$1), 0)), 1))),  0.5, 0))</f>
        <v>0</v>
      </c>
      <c r="GS31" s="47">
        <f t="array" ref="GS31">IF(AND(ISNUMBER(MATCH(GS$2, AsistenciaJetAdminConcatenada!$A:$A, 0)), ISNUMBER(MATCH(GS$1, AsistenciaJetAdminConcatenada!$B:$B, 0)), ISNUMBER(SEARCH($A31,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ISNUMBER(SEARCH($A31, INDEX(AsistenciaJetAdminConcatenada!$D:$D, MATCH(1, (AsistenciaJetAdminConcatenada!$A:$A=GS$2)*(AsistenciaJetAdminConcatenada!$B:$B=GS$1), 0)), 1))),  0.5, 0))</f>
        <v>0</v>
      </c>
      <c r="GT31" s="47">
        <f t="array" ref="GT31">IF(AND(ISNUMBER(MATCH(GT$2, AsistenciaJetAdminConcatenada!$A:$A, 0)), ISNUMBER(MATCH(GT$1, AsistenciaJetAdminConcatenada!$B:$B, 0)), ISNUMBER(SEARCH($A31,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ISNUMBER(SEARCH($A31, INDEX(AsistenciaJetAdminConcatenada!$D:$D, MATCH(1, (AsistenciaJetAdminConcatenada!$A:$A=GT$2)*(AsistenciaJetAdminConcatenada!$B:$B=GT$1), 0)), 1))),  0.5, 0))</f>
        <v>0</v>
      </c>
      <c r="GU31" s="47">
        <f t="array" ref="GU31">IF(AND(ISNUMBER(MATCH(GU$2, AsistenciaJetAdminConcatenada!$A:$A, 0)), ISNUMBER(MATCH(GU$1, AsistenciaJetAdminConcatenada!$B:$B, 0)), ISNUMBER(SEARCH($A31,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ISNUMBER(SEARCH($A31, INDEX(AsistenciaJetAdminConcatenada!$D:$D, MATCH(1, (AsistenciaJetAdminConcatenada!$A:$A=GU$2)*(AsistenciaJetAdminConcatenada!$B:$B=GU$1), 0)), 1))),  0.5, 0))</f>
        <v>0</v>
      </c>
      <c r="GV31" s="47">
        <f t="array" ref="GV31">IF(AND(ISNUMBER(MATCH(GV$2, AsistenciaJetAdminConcatenada!$A:$A, 0)), ISNUMBER(MATCH(GV$1, AsistenciaJetAdminConcatenada!$B:$B, 0)), ISNUMBER(SEARCH($A31,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ISNUMBER(SEARCH($A31, INDEX(AsistenciaJetAdminConcatenada!$D:$D, MATCH(1, (AsistenciaJetAdminConcatenada!$A:$A=GV$2)*(AsistenciaJetAdminConcatenada!$B:$B=GV$1), 0)), 1))),  0.5, 0))</f>
        <v>0</v>
      </c>
      <c r="GW31" s="47">
        <f t="array" ref="GW31">IF(AND(ISNUMBER(MATCH(GW$2, AsistenciaJetAdminConcatenada!$A:$A, 0)), ISNUMBER(MATCH(GW$1, AsistenciaJetAdminConcatenada!$B:$B, 0)), ISNUMBER(SEARCH($A31,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ISNUMBER(SEARCH($A31, INDEX(AsistenciaJetAdminConcatenada!$D:$D, MATCH(1, (AsistenciaJetAdminConcatenada!$A:$A=GW$2)*(AsistenciaJetAdminConcatenada!$B:$B=GW$1), 0)), 1))),  0.5, 0))</f>
        <v>0</v>
      </c>
      <c r="GX31" s="47">
        <f t="array" ref="GX31">IF(AND(ISNUMBER(MATCH(GX$2, AsistenciaJetAdminConcatenada!$A:$A, 0)), ISNUMBER(MATCH(GX$1, AsistenciaJetAdminConcatenada!$B:$B, 0)), ISNUMBER(SEARCH($A31,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ISNUMBER(SEARCH($A31, INDEX(AsistenciaJetAdminConcatenada!$D:$D, MATCH(1, (AsistenciaJetAdminConcatenada!$A:$A=GX$2)*(AsistenciaJetAdminConcatenada!$B:$B=GX$1), 0)), 1))),  0.5, 0))</f>
        <v>0</v>
      </c>
      <c r="GY31" s="47">
        <f t="array" ref="GY31">IF(AND(ISNUMBER(MATCH(GY$2, AsistenciaJetAdminConcatenada!$A:$A, 0)), ISNUMBER(MATCH(GY$1, AsistenciaJetAdminConcatenada!$B:$B, 0)), ISNUMBER(SEARCH($A31,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ISNUMBER(SEARCH($A31, INDEX(AsistenciaJetAdminConcatenada!$D:$D, MATCH(1, (AsistenciaJetAdminConcatenada!$A:$A=GY$2)*(AsistenciaJetAdminConcatenada!$B:$B=GY$1), 0)), 1))),  0.5, 0))</f>
        <v>0</v>
      </c>
      <c r="GZ31" s="47">
        <f t="array" ref="GZ31">IF(AND(ISNUMBER(MATCH(GZ$2, AsistenciaJetAdminConcatenada!$A:$A, 0)), ISNUMBER(MATCH(GZ$1, AsistenciaJetAdminConcatenada!$B:$B, 0)), ISNUMBER(SEARCH($A31,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ISNUMBER(SEARCH($A31, INDEX(AsistenciaJetAdminConcatenada!$D:$D, MATCH(1, (AsistenciaJetAdminConcatenada!$A:$A=GZ$2)*(AsistenciaJetAdminConcatenada!$B:$B=GZ$1), 0)), 1))),  0.5, 0))</f>
        <v>0</v>
      </c>
      <c r="HA31" s="47">
        <f t="array" ref="HA31">IF(AND(ISNUMBER(MATCH(HA$2, AsistenciaJetAdminConcatenada!$A:$A, 0)), ISNUMBER(MATCH(HA$1, AsistenciaJetAdminConcatenada!$B:$B, 0)), ISNUMBER(SEARCH($A31,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ISNUMBER(SEARCH($A31, INDEX(AsistenciaJetAdminConcatenada!$D:$D, MATCH(1, (AsistenciaJetAdminConcatenada!$A:$A=HA$2)*(AsistenciaJetAdminConcatenada!$B:$B=HA$1), 0)), 1))),  0.5, 0))</f>
        <v>0</v>
      </c>
      <c r="HB31" s="47">
        <f t="array" ref="HB31">IF(AND(ISNUMBER(MATCH(HB$2, AsistenciaJetAdminConcatenada!$A:$A, 0)), ISNUMBER(MATCH(HB$1, AsistenciaJetAdminConcatenada!$B:$B, 0)), ISNUMBER(SEARCH($A31,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ISNUMBER(SEARCH($A31, INDEX(AsistenciaJetAdminConcatenada!$D:$D, MATCH(1, (AsistenciaJetAdminConcatenada!$A:$A=HB$2)*(AsistenciaJetAdminConcatenada!$B:$B=HB$1), 0)), 1))),  0.5, 0))</f>
        <v>0</v>
      </c>
      <c r="HC31" s="47">
        <f t="array" ref="HC31">IF(AND(ISNUMBER(MATCH(HC$2, AsistenciaJetAdminConcatenada!$A:$A, 0)), ISNUMBER(MATCH(HC$1, AsistenciaJetAdminConcatenada!$B:$B, 0)), ISNUMBER(SEARCH($A31,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ISNUMBER(SEARCH($A31, INDEX(AsistenciaJetAdminConcatenada!$D:$D, MATCH(1, (AsistenciaJetAdminConcatenada!$A:$A=HC$2)*(AsistenciaJetAdminConcatenada!$B:$B=HC$1), 0)), 1))),  0.5, 0))</f>
        <v>0</v>
      </c>
    </row>
    <row r="32" ht="29.25" customHeight="1">
      <c r="A32" s="3">
        <v>197.0</v>
      </c>
      <c r="B32" s="4" t="s">
        <v>146</v>
      </c>
      <c r="C32" s="47">
        <f>SUM(D32:HC32) + ActividadesEspeciales!C32</f>
        <v>74</v>
      </c>
      <c r="D32" s="47">
        <f t="array" ref="D32">IF(AND(ISNUMBER(MATCH(D$2, AsistenciaJetAdminConcatenada!$A:$A, 0)), ISNUMBER(MATCH(D$1, AsistenciaJetAdminConcatenada!$B:$B, 0)), ISNUMBER(SEARCH($A32,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ISNUMBER(SEARCH($A32, INDEX(AsistenciaJetAdminConcatenada!$D:$D, MATCH(1, (AsistenciaJetAdminConcatenada!$A:$A=D$2)*(AsistenciaJetAdminConcatenada!$B:$B=D$1), 0)), 1))),  0.5, 0))</f>
        <v>1</v>
      </c>
      <c r="E32" s="47">
        <f t="array" ref="E32">IF(AND(ISNUMBER(MATCH(E$2, AsistenciaJetAdminConcatenada!$A:$A, 0)), ISNUMBER(MATCH(E$1, AsistenciaJetAdminConcatenada!$B:$B, 0)), ISNUMBER(SEARCH($A32,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ISNUMBER(SEARCH($A32, INDEX(AsistenciaJetAdminConcatenada!$D:$D, MATCH(1, (AsistenciaJetAdminConcatenada!$A:$A=E$2)*(AsistenciaJetAdminConcatenada!$B:$B=E$1), 0)), 1))),  0.5, 0))</f>
        <v>1</v>
      </c>
      <c r="F32" s="47">
        <f t="array" ref="F32">IF(AND(ISNUMBER(MATCH(F$2, AsistenciaJetAdminConcatenada!$A:$A, 0)), ISNUMBER(MATCH(F$1, AsistenciaJetAdminConcatenada!$B:$B, 0)), ISNUMBER(SEARCH($A32,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ISNUMBER(SEARCH($A32, INDEX(AsistenciaJetAdminConcatenada!$D:$D, MATCH(1, (AsistenciaJetAdminConcatenada!$A:$A=F$2)*(AsistenciaJetAdminConcatenada!$B:$B=F$1), 0)), 1))),  0.5, 0))</f>
        <v>1</v>
      </c>
      <c r="G32" s="47">
        <f t="array" ref="G32">IF(AND(ISNUMBER(MATCH(G$2, AsistenciaJetAdminConcatenada!$A:$A, 0)), ISNUMBER(MATCH(G$1, AsistenciaJetAdminConcatenada!$B:$B, 0)), ISNUMBER(SEARCH($A32,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ISNUMBER(SEARCH($A32, INDEX(AsistenciaJetAdminConcatenada!$D:$D, MATCH(1, (AsistenciaJetAdminConcatenada!$A:$A=G$2)*(AsistenciaJetAdminConcatenada!$B:$B=G$1), 0)), 1))),  0.5, 0))</f>
        <v>1</v>
      </c>
      <c r="H32" s="47">
        <f t="array" ref="H32">IF(AND(ISNUMBER(MATCH(H$2, AsistenciaJetAdminConcatenada!$A:$A, 0)), ISNUMBER(MATCH(H$1, AsistenciaJetAdminConcatenada!$B:$B, 0)), ISNUMBER(SEARCH($A32,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ISNUMBER(SEARCH($A32, INDEX(AsistenciaJetAdminConcatenada!$D:$D, MATCH(1, (AsistenciaJetAdminConcatenada!$A:$A=H$2)*(AsistenciaJetAdminConcatenada!$B:$B=H$1), 0)), 1))),  0.5, 0))</f>
        <v>1</v>
      </c>
      <c r="I32" s="47">
        <f t="array" ref="I32">IF(AND(ISNUMBER(MATCH(I$2, AsistenciaJetAdminConcatenada!$A:$A, 0)), ISNUMBER(MATCH(I$1, AsistenciaJetAdminConcatenada!$B:$B, 0)), ISNUMBER(SEARCH($A32,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ISNUMBER(SEARCH($A32, INDEX(AsistenciaJetAdminConcatenada!$D:$D, MATCH(1, (AsistenciaJetAdminConcatenada!$A:$A=I$2)*(AsistenciaJetAdminConcatenada!$B:$B=I$1), 0)), 1))),  0.5, 0))</f>
        <v>1</v>
      </c>
      <c r="J32" s="47">
        <f t="array" ref="J32">IF(AND(ISNUMBER(MATCH(J$2, AsistenciaJetAdminConcatenada!$A:$A, 0)), ISNUMBER(MATCH(J$1, AsistenciaJetAdminConcatenada!$B:$B, 0)), ISNUMBER(SEARCH($A32,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ISNUMBER(SEARCH($A32, INDEX(AsistenciaJetAdminConcatenada!$D:$D, MATCH(1, (AsistenciaJetAdminConcatenada!$A:$A=J$2)*(AsistenciaJetAdminConcatenada!$B:$B=J$1), 0)), 1))),  0.5, 0))</f>
        <v>1</v>
      </c>
      <c r="K32" s="47">
        <f t="array" ref="K32">IF(AND(ISNUMBER(MATCH(K$2, AsistenciaJetAdminConcatenada!$A:$A, 0)), ISNUMBER(MATCH(K$1, AsistenciaJetAdminConcatenada!$B:$B, 0)), ISNUMBER(SEARCH($A32,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ISNUMBER(SEARCH($A32, INDEX(AsistenciaJetAdminConcatenada!$D:$D, MATCH(1, (AsistenciaJetAdminConcatenada!$A:$A=K$2)*(AsistenciaJetAdminConcatenada!$B:$B=K$1), 0)), 1))),  0.5, 0))</f>
        <v>1</v>
      </c>
      <c r="L32" s="47">
        <f t="array" ref="L32">IF(AND(ISNUMBER(MATCH(L$2, AsistenciaJetAdminConcatenada!$A:$A, 0)), ISNUMBER(MATCH(L$1, AsistenciaJetAdminConcatenada!$B:$B, 0)), ISNUMBER(SEARCH($A32,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ISNUMBER(SEARCH($A32, INDEX(AsistenciaJetAdminConcatenada!$D:$D, MATCH(1, (AsistenciaJetAdminConcatenada!$A:$A=L$2)*(AsistenciaJetAdminConcatenada!$B:$B=L$1), 0)), 1))),  0.5, 0))</f>
        <v>1</v>
      </c>
      <c r="M32" s="47">
        <f t="array" ref="M32">IF(AND(ISNUMBER(MATCH(M$2, AsistenciaJetAdminConcatenada!$A:$A, 0)), ISNUMBER(MATCH(M$1, AsistenciaJetAdminConcatenada!$B:$B, 0)), ISNUMBER(SEARCH($A32,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ISNUMBER(SEARCH($A32, INDEX(AsistenciaJetAdminConcatenada!$D:$D, MATCH(1, (AsistenciaJetAdminConcatenada!$A:$A=M$2)*(AsistenciaJetAdminConcatenada!$B:$B=M$1), 0)), 1))),  0.5, 0))</f>
        <v>1</v>
      </c>
      <c r="N32" s="47">
        <f t="array" ref="N32">IF(AND(ISNUMBER(MATCH(N$2, AsistenciaJetAdminConcatenada!$A:$A, 0)), ISNUMBER(MATCH(N$1, AsistenciaJetAdminConcatenada!$B:$B, 0)), ISNUMBER(SEARCH($A32,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ISNUMBER(SEARCH($A32, INDEX(AsistenciaJetAdminConcatenada!$D:$D, MATCH(1, (AsistenciaJetAdminConcatenada!$A:$A=N$2)*(AsistenciaJetAdminConcatenada!$B:$B=N$1), 0)), 1))),  0.5, 0))</f>
        <v>0</v>
      </c>
      <c r="O32" s="47">
        <f t="array" ref="O32">IF(AND(ISNUMBER(MATCH(O$2, AsistenciaJetAdminConcatenada!$A:$A, 0)), ISNUMBER(MATCH(O$1, AsistenciaJetAdminConcatenada!$B:$B, 0)), ISNUMBER(SEARCH($A32,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ISNUMBER(SEARCH($A32, INDEX(AsistenciaJetAdminConcatenada!$D:$D, MATCH(1, (AsistenciaJetAdminConcatenada!$A:$A=O$2)*(AsistenciaJetAdminConcatenada!$B:$B=O$1), 0)), 1))),  0.5, 0))</f>
        <v>0</v>
      </c>
      <c r="P32" s="47">
        <f t="array" ref="P32">IF(AND(ISNUMBER(MATCH(P$2, AsistenciaJetAdminConcatenada!$A:$A, 0)), ISNUMBER(MATCH(P$1, AsistenciaJetAdminConcatenada!$B:$B, 0)), ISNUMBER(SEARCH($A32, INDEX(AsistenciaJetAdminConcatenada!$C:$C, MATCH(1, (AsistenciaJetAdminConcatenada!$A:$A=P$2)*(AsistenciaJetAdminConcatenada!$B:$B=P$1), 0)), 1))), 1, IF(AND(ISNUMBER(MATCH(P$2, AsistenciaJetAdminConcatenada!$A:$A, 0)), ISNUMBER(MATCH(P$1, AsistenciaJetAdminConcatenada!$B:$B, 0)), ISNUMBER(SEARCH($A32, INDEX(AsistenciaJetAdminConcatenada!$D:$D, MATCH(1, (AsistenciaJetAdminConcatenada!$A:$A=P$2)*(AsistenciaJetAdminConcatenada!$B:$B=P$1), 0)), 1))),  0.5, 0))</f>
        <v>1</v>
      </c>
      <c r="Q32" s="47">
        <f t="array" ref="Q32">IF(AND(ISNUMBER(MATCH(Q$2, AsistenciaJetAdminConcatenada!$A:$A, 0)), ISNUMBER(MATCH(Q$1, AsistenciaJetAdminConcatenada!$B:$B, 0)), ISNUMBER(SEARCH($A32, INDEX(AsistenciaJetAdminConcatenada!$C:$C, MATCH(1, (AsistenciaJetAdminConcatenada!$A:$A=Q$2)*(AsistenciaJetAdminConcatenada!$B:$B=Q$1), 0)), 1))), 1, IF(AND(ISNUMBER(MATCH(Q$2, AsistenciaJetAdminConcatenada!$A:$A, 0)), ISNUMBER(MATCH(Q$1, AsistenciaJetAdminConcatenada!$B:$B, 0)), ISNUMBER(SEARCH($A32, INDEX(AsistenciaJetAdminConcatenada!$D:$D, MATCH(1, (AsistenciaJetAdminConcatenada!$A:$A=Q$2)*(AsistenciaJetAdminConcatenada!$B:$B=Q$1), 0)), 1))),  0.5, 0))</f>
        <v>1</v>
      </c>
      <c r="R32" s="47">
        <f t="array" ref="R32">IF(AND(ISNUMBER(MATCH(R$2, AsistenciaJetAdminConcatenada!$A:$A, 0)), ISNUMBER(MATCH(R$1, AsistenciaJetAdminConcatenada!$B:$B, 0)), ISNUMBER(SEARCH($A32,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ISNUMBER(SEARCH($A32, INDEX(AsistenciaJetAdminConcatenada!$D:$D, MATCH(1, (AsistenciaJetAdminConcatenada!$A:$A=R$2)*(AsistenciaJetAdminConcatenada!$B:$B=R$1), 0)), 1))),  0.5, 0))</f>
        <v>1</v>
      </c>
      <c r="S32" s="47">
        <f t="array" ref="S32">IF(AND(ISNUMBER(MATCH(S$2, AsistenciaJetAdminConcatenada!$A:$A, 0)), ISNUMBER(MATCH(S$1, AsistenciaJetAdminConcatenada!$B:$B, 0)), ISNUMBER(SEARCH($A32,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ISNUMBER(SEARCH($A32, INDEX(AsistenciaJetAdminConcatenada!$D:$D, MATCH(1, (AsistenciaJetAdminConcatenada!$A:$A=S$2)*(AsistenciaJetAdminConcatenada!$B:$B=S$1), 0)), 1))),  0.5, 0))</f>
        <v>1</v>
      </c>
      <c r="T32" s="47">
        <f t="array" ref="T32">IF(AND(ISNUMBER(MATCH(T$2, AsistenciaJetAdminConcatenada!$A:$A, 0)), ISNUMBER(MATCH(T$1, AsistenciaJetAdminConcatenada!$B:$B, 0)), ISNUMBER(SEARCH($A32,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ISNUMBER(SEARCH($A32, INDEX(AsistenciaJetAdminConcatenada!$D:$D, MATCH(1, (AsistenciaJetAdminConcatenada!$A:$A=T$2)*(AsistenciaJetAdminConcatenada!$B:$B=T$1), 0)), 1))),  0.5, 0))</f>
        <v>0</v>
      </c>
      <c r="U32" s="47">
        <f t="array" ref="U32">IF(AND(ISNUMBER(MATCH(U$2, AsistenciaJetAdminConcatenada!$A:$A, 0)), ISNUMBER(MATCH(U$1, AsistenciaJetAdminConcatenada!$B:$B, 0)), ISNUMBER(SEARCH($A32,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ISNUMBER(SEARCH($A32, INDEX(AsistenciaJetAdminConcatenada!$D:$D, MATCH(1, (AsistenciaJetAdminConcatenada!$A:$A=U$2)*(AsistenciaJetAdminConcatenada!$B:$B=U$1), 0)), 1))),  0.5, 0))</f>
        <v>1</v>
      </c>
      <c r="V32" s="47">
        <f t="array" ref="V32">IF(AND(ISNUMBER(MATCH(V$2, AsistenciaJetAdminConcatenada!$A:$A, 0)), ISNUMBER(MATCH(V$1, AsistenciaJetAdminConcatenada!$B:$B, 0)), ISNUMBER(SEARCH($A32,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ISNUMBER(SEARCH($A32, INDEX(AsistenciaJetAdminConcatenada!$D:$D, MATCH(1, (AsistenciaJetAdminConcatenada!$A:$A=V$2)*(AsistenciaJetAdminConcatenada!$B:$B=V$1), 0)), 1))),  0.5, 0))</f>
        <v>1</v>
      </c>
      <c r="W32" s="47">
        <f t="array" ref="W32">IF(AND(ISNUMBER(MATCH(W$2, AsistenciaJetAdminConcatenada!$A:$A, 0)), ISNUMBER(MATCH(W$1, AsistenciaJetAdminConcatenada!$B:$B, 0)), ISNUMBER(SEARCH($A32,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ISNUMBER(SEARCH($A32, INDEX(AsistenciaJetAdminConcatenada!$D:$D, MATCH(1, (AsistenciaJetAdminConcatenada!$A:$A=W$2)*(AsistenciaJetAdminConcatenada!$B:$B=W$1), 0)), 1))),  0.5, 0))</f>
        <v>1</v>
      </c>
      <c r="X32" s="47">
        <f t="array" ref="X32">IF(AND(ISNUMBER(MATCH(X$2, AsistenciaJetAdminConcatenada!$A:$A, 0)), ISNUMBER(MATCH(X$1, AsistenciaJetAdminConcatenada!$B:$B, 0)), ISNUMBER(SEARCH($A32,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ISNUMBER(SEARCH($A32, INDEX(AsistenciaJetAdminConcatenada!$D:$D, MATCH(1, (AsistenciaJetAdminConcatenada!$A:$A=X$2)*(AsistenciaJetAdminConcatenada!$B:$B=X$1), 0)), 1))),  0.5, 0))</f>
        <v>1</v>
      </c>
      <c r="Y32" s="47">
        <f t="array" ref="Y32">IF(AND(ISNUMBER(MATCH(Y$2, AsistenciaJetAdminConcatenada!$A:$A, 0)), ISNUMBER(MATCH(Y$1, AsistenciaJetAdminConcatenada!$B:$B, 0)), ISNUMBER(SEARCH($A32,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ISNUMBER(SEARCH($A32, INDEX(AsistenciaJetAdminConcatenada!$D:$D, MATCH(1, (AsistenciaJetAdminConcatenada!$A:$A=Y$2)*(AsistenciaJetAdminConcatenada!$B:$B=Y$1), 0)), 1))),  0.5, 0))</f>
        <v>0</v>
      </c>
      <c r="Z32" s="47">
        <f t="array" ref="Z32">IF(AND(ISNUMBER(MATCH(Z$2, AsistenciaJetAdminConcatenada!$A:$A, 0)), ISNUMBER(MATCH(Z$1, AsistenciaJetAdminConcatenada!$B:$B, 0)), ISNUMBER(SEARCH($A32,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ISNUMBER(SEARCH($A32, INDEX(AsistenciaJetAdminConcatenada!$D:$D, MATCH(1, (AsistenciaJetAdminConcatenada!$A:$A=Z$2)*(AsistenciaJetAdminConcatenada!$B:$B=Z$1), 0)), 1))),  0.5, 0))</f>
        <v>0</v>
      </c>
      <c r="AA32" s="47">
        <f t="array" ref="AA32">IF(AND(ISNUMBER(MATCH(AA$2, AsistenciaJetAdminConcatenada!$A:$A, 0)), ISNUMBER(MATCH(AA$1, AsistenciaJetAdminConcatenada!$B:$B, 0)), ISNUMBER(SEARCH($A32,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ISNUMBER(SEARCH($A32, INDEX(AsistenciaJetAdminConcatenada!$D:$D, MATCH(1, (AsistenciaJetAdminConcatenada!$A:$A=AA$2)*(AsistenciaJetAdminConcatenada!$B:$B=AA$1), 0)), 1))),  0.5, 0))</f>
        <v>0</v>
      </c>
      <c r="AB32" s="47">
        <f t="array" ref="AB32">IF(AND(ISNUMBER(MATCH(AB$2, AsistenciaJetAdminConcatenada!$A:$A, 0)), ISNUMBER(MATCH(AB$1, AsistenciaJetAdminConcatenada!$B:$B, 0)), ISNUMBER(SEARCH($A32,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ISNUMBER(SEARCH($A32, INDEX(AsistenciaJetAdminConcatenada!$D:$D, MATCH(1, (AsistenciaJetAdminConcatenada!$A:$A=AB$2)*(AsistenciaJetAdminConcatenada!$B:$B=AB$1), 0)), 1))),  0.5, 0))</f>
        <v>1</v>
      </c>
      <c r="AC32" s="47">
        <f t="array" ref="AC32">IF(AND(ISNUMBER(MATCH(AC$2, AsistenciaJetAdminConcatenada!$A:$A, 0)), ISNUMBER(MATCH(AC$1, AsistenciaJetAdminConcatenada!$B:$B, 0)), ISNUMBER(SEARCH($A32,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ISNUMBER(SEARCH($A32, INDEX(AsistenciaJetAdminConcatenada!$D:$D, MATCH(1, (AsistenciaJetAdminConcatenada!$A:$A=AC$2)*(AsistenciaJetAdminConcatenada!$B:$B=AC$1), 0)), 1))),  0.5, 0))</f>
        <v>1</v>
      </c>
      <c r="AD32" s="47">
        <f t="array" ref="AD32">IF(AND(ISNUMBER(MATCH(AD$2, AsistenciaJetAdminConcatenada!$A:$A, 0)), ISNUMBER(MATCH(AD$1, AsistenciaJetAdminConcatenada!$B:$B, 0)), ISNUMBER(SEARCH($A32,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ISNUMBER(SEARCH($A32, INDEX(AsistenciaJetAdminConcatenada!$D:$D, MATCH(1, (AsistenciaJetAdminConcatenada!$A:$A=AD$2)*(AsistenciaJetAdminConcatenada!$B:$B=AD$1), 0)), 1))),  0.5, 0))</f>
        <v>1</v>
      </c>
      <c r="AE32" s="47">
        <f t="array" ref="AE32">IF(AND(ISNUMBER(MATCH(AE$2, AsistenciaJetAdminConcatenada!$A:$A, 0)), ISNUMBER(MATCH(AE$1, AsistenciaJetAdminConcatenada!$B:$B, 0)), ISNUMBER(SEARCH($A32,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ISNUMBER(SEARCH($A32, INDEX(AsistenciaJetAdminConcatenada!$D:$D, MATCH(1, (AsistenciaJetAdminConcatenada!$A:$A=AE$2)*(AsistenciaJetAdminConcatenada!$B:$B=AE$1), 0)), 1))),  0.5, 0))</f>
        <v>1</v>
      </c>
      <c r="AF32" s="47">
        <f t="array" ref="AF32">IF(AND(ISNUMBER(MATCH(AF$2, AsistenciaJetAdminConcatenada!$A:$A, 0)), ISNUMBER(MATCH(AF$1, AsistenciaJetAdminConcatenada!$B:$B, 0)), ISNUMBER(SEARCH($A32,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ISNUMBER(SEARCH($A32, INDEX(AsistenciaJetAdminConcatenada!$D:$D, MATCH(1, (AsistenciaJetAdminConcatenada!$A:$A=AF$2)*(AsistenciaJetAdminConcatenada!$B:$B=AF$1), 0)), 1))),  0.5, 0))</f>
        <v>0</v>
      </c>
      <c r="AG32" s="47">
        <f t="array" ref="AG32">IF(AND(ISNUMBER(MATCH(AG$2, AsistenciaJetAdminConcatenada!$A:$A, 0)), ISNUMBER(MATCH(AG$1, AsistenciaJetAdminConcatenada!$B:$B, 0)), ISNUMBER(SEARCH($A32,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ISNUMBER(SEARCH($A32, INDEX(AsistenciaJetAdminConcatenada!$D:$D, MATCH(1, (AsistenciaJetAdminConcatenada!$A:$A=AG$2)*(AsistenciaJetAdminConcatenada!$B:$B=AG$1), 0)), 1))),  0.5, 0))</f>
        <v>1</v>
      </c>
      <c r="AH32" s="47">
        <f t="array" ref="AH32">IF(AND(ISNUMBER(MATCH(AH$2, AsistenciaJetAdminConcatenada!$A:$A, 0)), ISNUMBER(MATCH(AH$1, AsistenciaJetAdminConcatenada!$B:$B, 0)), ISNUMBER(SEARCH($A32,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ISNUMBER(SEARCH($A32, INDEX(AsistenciaJetAdminConcatenada!$D:$D, MATCH(1, (AsistenciaJetAdminConcatenada!$A:$A=AH$2)*(AsistenciaJetAdminConcatenada!$B:$B=AH$1), 0)), 1))),  0.5, 0))</f>
        <v>0</v>
      </c>
      <c r="AI32" s="47">
        <f t="array" ref="AI32">IF(AND(ISNUMBER(MATCH(AI$2, AsistenciaJetAdminConcatenada!$A:$A, 0)), ISNUMBER(MATCH(AI$1, AsistenciaJetAdminConcatenada!$B:$B, 0)), ISNUMBER(SEARCH($A32,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ISNUMBER(SEARCH($A32, INDEX(AsistenciaJetAdminConcatenada!$D:$D, MATCH(1, (AsistenciaJetAdminConcatenada!$A:$A=AI$2)*(AsistenciaJetAdminConcatenada!$B:$B=AI$1), 0)), 1))),  0.5, 0))</f>
        <v>1</v>
      </c>
      <c r="AJ32" s="47">
        <f t="array" ref="AJ32">IF(AND(ISNUMBER(MATCH(AJ$2, AsistenciaJetAdminConcatenada!$A:$A, 0)), ISNUMBER(MATCH(AJ$1, AsistenciaJetAdminConcatenada!$B:$B, 0)), ISNUMBER(SEARCH($A32,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ISNUMBER(SEARCH($A32, INDEX(AsistenciaJetAdminConcatenada!$D:$D, MATCH(1, (AsistenciaJetAdminConcatenada!$A:$A=AJ$2)*(AsistenciaJetAdminConcatenada!$B:$B=AJ$1), 0)), 1))),  0.5, 0))</f>
        <v>1</v>
      </c>
      <c r="AK32" s="47">
        <f t="array" ref="AK32">IF(AND(ISNUMBER(MATCH(AK$2, AsistenciaJetAdminConcatenada!$A:$A, 0)), ISNUMBER(MATCH(AK$1, AsistenciaJetAdminConcatenada!$B:$B, 0)), ISNUMBER(SEARCH($A32,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ISNUMBER(SEARCH($A32, INDEX(AsistenciaJetAdminConcatenada!$D:$D, MATCH(1, (AsistenciaJetAdminConcatenada!$A:$A=AK$2)*(AsistenciaJetAdminConcatenada!$B:$B=AK$1), 0)), 1))),  0.5, 0))</f>
        <v>0</v>
      </c>
      <c r="AL32" s="47">
        <f t="array" ref="AL32">IF(AND(ISNUMBER(MATCH(AL$2, AsistenciaJetAdminConcatenada!$A:$A, 0)), ISNUMBER(MATCH(AL$1, AsistenciaJetAdminConcatenada!$B:$B, 0)), ISNUMBER(SEARCH($A32,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ISNUMBER(SEARCH($A32, INDEX(AsistenciaJetAdminConcatenada!$D:$D, MATCH(1, (AsistenciaJetAdminConcatenada!$A:$A=AL$2)*(AsistenciaJetAdminConcatenada!$B:$B=AL$1), 0)), 1))),  0.5, 0))</f>
        <v>1</v>
      </c>
      <c r="AM32" s="47">
        <f t="array" ref="AM32">IF(AND(ISNUMBER(MATCH(AM$2, AsistenciaJetAdminConcatenada!$A:$A, 0)), ISNUMBER(MATCH(AM$1, AsistenciaJetAdminConcatenada!$B:$B, 0)), ISNUMBER(SEARCH($A32,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ISNUMBER(SEARCH($A32, INDEX(AsistenciaJetAdminConcatenada!$D:$D, MATCH(1, (AsistenciaJetAdminConcatenada!$A:$A=AM$2)*(AsistenciaJetAdminConcatenada!$B:$B=AM$1), 0)), 1))),  0.5, 0))</f>
        <v>1</v>
      </c>
      <c r="AN32" s="47">
        <f t="array" ref="AN32">IF(AND(ISNUMBER(MATCH(AN$2, AsistenciaJetAdminConcatenada!$A:$A, 0)), ISNUMBER(MATCH(AN$1, AsistenciaJetAdminConcatenada!$B:$B, 0)), ISNUMBER(SEARCH($A32,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ISNUMBER(SEARCH($A32, INDEX(AsistenciaJetAdminConcatenada!$D:$D, MATCH(1, (AsistenciaJetAdminConcatenada!$A:$A=AN$2)*(AsistenciaJetAdminConcatenada!$B:$B=AN$1), 0)), 1))),  0.5, 0))</f>
        <v>1</v>
      </c>
      <c r="AO32" s="47">
        <f t="array" ref="AO32">IF(AND(ISNUMBER(MATCH(AO$2, AsistenciaJetAdminConcatenada!$A:$A, 0)), ISNUMBER(MATCH(AO$1, AsistenciaJetAdminConcatenada!$B:$B, 0)), ISNUMBER(SEARCH($A32,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ISNUMBER(SEARCH($A32, INDEX(AsistenciaJetAdminConcatenada!$D:$D, MATCH(1, (AsistenciaJetAdminConcatenada!$A:$A=AO$2)*(AsistenciaJetAdminConcatenada!$B:$B=AO$1), 0)), 1))),  0.5, 0))</f>
        <v>1</v>
      </c>
      <c r="AP32" s="47">
        <f t="array" ref="AP32">IF(AND(ISNUMBER(MATCH(AP$2, AsistenciaJetAdminConcatenada!$A:$A, 0)), ISNUMBER(MATCH(AP$1, AsistenciaJetAdminConcatenada!$B:$B, 0)), ISNUMBER(SEARCH($A32,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ISNUMBER(SEARCH($A32, INDEX(AsistenciaJetAdminConcatenada!$D:$D, MATCH(1, (AsistenciaJetAdminConcatenada!$A:$A=AP$2)*(AsistenciaJetAdminConcatenada!$B:$B=AP$1), 0)), 1))),  0.5, 0))</f>
        <v>0</v>
      </c>
      <c r="AQ32" s="47">
        <f t="array" ref="AQ32">IF(AND(ISNUMBER(MATCH(AQ$2, AsistenciaJetAdminConcatenada!$A:$A, 0)), ISNUMBER(MATCH(AQ$1, AsistenciaJetAdminConcatenada!$B:$B, 0)), ISNUMBER(SEARCH($A32,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ISNUMBER(SEARCH($A32, INDEX(AsistenciaJetAdminConcatenada!$D:$D, MATCH(1, (AsistenciaJetAdminConcatenada!$A:$A=AQ$2)*(AsistenciaJetAdminConcatenada!$B:$B=AQ$1), 0)), 1))),  0.5, 0))</f>
        <v>0</v>
      </c>
      <c r="AR32" s="47">
        <f t="array" ref="AR32">IF(AND(ISNUMBER(MATCH(AR$2, AsistenciaJetAdminConcatenada!$A:$A, 0)), ISNUMBER(MATCH(AR$1, AsistenciaJetAdminConcatenada!$B:$B, 0)), ISNUMBER(SEARCH($A32,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ISNUMBER(SEARCH($A32, INDEX(AsistenciaJetAdminConcatenada!$D:$D, MATCH(1, (AsistenciaJetAdminConcatenada!$A:$A=AR$2)*(AsistenciaJetAdminConcatenada!$B:$B=AR$1), 0)), 1))),  0.5, 0))</f>
        <v>1</v>
      </c>
      <c r="AS32" s="47">
        <f t="array" ref="AS32">IF(AND(ISNUMBER(MATCH(AS$2, AsistenciaJetAdminConcatenada!$A:$A, 0)), ISNUMBER(MATCH(AS$1, AsistenciaJetAdminConcatenada!$B:$B, 0)), ISNUMBER(SEARCH($A32,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ISNUMBER(SEARCH($A32, INDEX(AsistenciaJetAdminConcatenada!$D:$D, MATCH(1, (AsistenciaJetAdminConcatenada!$A:$A=AS$2)*(AsistenciaJetAdminConcatenada!$B:$B=AS$1), 0)), 1))),  0.5, 0))</f>
        <v>1</v>
      </c>
      <c r="AT32" s="47">
        <f t="array" ref="AT32">IF(AND(ISNUMBER(MATCH(AT$2, AsistenciaJetAdminConcatenada!$A:$A, 0)), ISNUMBER(MATCH(AT$1, AsistenciaJetAdminConcatenada!$B:$B, 0)), ISNUMBER(SEARCH($A32,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ISNUMBER(SEARCH($A32, INDEX(AsistenciaJetAdminConcatenada!$D:$D, MATCH(1, (AsistenciaJetAdminConcatenada!$A:$A=AT$2)*(AsistenciaJetAdminConcatenada!$B:$B=AT$1), 0)), 1))),  0.5, 0))</f>
        <v>0</v>
      </c>
      <c r="AU32" s="47">
        <f t="array" ref="AU32">IF(AND(ISNUMBER(MATCH(AU$2, AsistenciaJetAdminConcatenada!$A:$A, 0)), ISNUMBER(MATCH(AU$1, AsistenciaJetAdminConcatenada!$B:$B, 0)), ISNUMBER(SEARCH($A32,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ISNUMBER(SEARCH($A32, INDEX(AsistenciaJetAdminConcatenada!$D:$D, MATCH(1, (AsistenciaJetAdminConcatenada!$A:$A=AU$2)*(AsistenciaJetAdminConcatenada!$B:$B=AU$1), 0)), 1))),  0.5, 0))</f>
        <v>1</v>
      </c>
      <c r="AV32" s="47">
        <f t="array" ref="AV32">IF(AND(ISNUMBER(MATCH(AV$2, AsistenciaJetAdminConcatenada!$A:$A, 0)), ISNUMBER(MATCH(AV$1, AsistenciaJetAdminConcatenada!$B:$B, 0)), ISNUMBER(SEARCH($A32,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ISNUMBER(SEARCH($A32, INDEX(AsistenciaJetAdminConcatenada!$D:$D, MATCH(1, (AsistenciaJetAdminConcatenada!$A:$A=AV$2)*(AsistenciaJetAdminConcatenada!$B:$B=AV$1), 0)), 1))),  0.5, 0))</f>
        <v>1</v>
      </c>
      <c r="AW32" s="47">
        <f t="array" ref="AW32">IF(AND(ISNUMBER(MATCH(AW$2, AsistenciaJetAdminConcatenada!$A:$A, 0)), ISNUMBER(MATCH(AW$1, AsistenciaJetAdminConcatenada!$B:$B, 0)), ISNUMBER(SEARCH($A32,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ISNUMBER(SEARCH($A32, INDEX(AsistenciaJetAdminConcatenada!$D:$D, MATCH(1, (AsistenciaJetAdminConcatenada!$A:$A=AW$2)*(AsistenciaJetAdminConcatenada!$B:$B=AW$1), 0)), 1))),  0.5, 0))</f>
        <v>0</v>
      </c>
      <c r="AX32" s="47">
        <f t="array" ref="AX32">IF(AND(ISNUMBER(MATCH(AX$2, AsistenciaJetAdminConcatenada!$A:$A, 0)), ISNUMBER(MATCH(AX$1, AsistenciaJetAdminConcatenada!$B:$B, 0)), ISNUMBER(SEARCH($A32,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ISNUMBER(SEARCH($A32, INDEX(AsistenciaJetAdminConcatenada!$D:$D, MATCH(1, (AsistenciaJetAdminConcatenada!$A:$A=AX$2)*(AsistenciaJetAdminConcatenada!$B:$B=AX$1), 0)), 1))),  0.5, 0))</f>
        <v>0</v>
      </c>
      <c r="AY32" s="47">
        <f t="array" ref="AY32">IF(AND(ISNUMBER(MATCH(AY$2, AsistenciaJetAdminConcatenada!$A:$A, 0)), ISNUMBER(MATCH(AY$1, AsistenciaJetAdminConcatenada!$B:$B, 0)), ISNUMBER(SEARCH($A32,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ISNUMBER(SEARCH($A32, INDEX(AsistenciaJetAdminConcatenada!$D:$D, MATCH(1, (AsistenciaJetAdminConcatenada!$A:$A=AY$2)*(AsistenciaJetAdminConcatenada!$B:$B=AY$1), 0)), 1))),  0.5, 0))</f>
        <v>1</v>
      </c>
      <c r="AZ32" s="47">
        <f t="array" ref="AZ32">IF(AND(ISNUMBER(MATCH(AZ$2, AsistenciaJetAdminConcatenada!$A:$A, 0)), ISNUMBER(MATCH(AZ$1, AsistenciaJetAdminConcatenada!$B:$B, 0)), ISNUMBER(SEARCH($A32,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ISNUMBER(SEARCH($A32, INDEX(AsistenciaJetAdminConcatenada!$D:$D, MATCH(1, (AsistenciaJetAdminConcatenada!$A:$A=AZ$2)*(AsistenciaJetAdminConcatenada!$B:$B=AZ$1), 0)), 1))),  0.5, 0))</f>
        <v>1</v>
      </c>
      <c r="BA32" s="47">
        <f t="array" ref="BA32">IF(AND(ISNUMBER(MATCH(BA$2, AsistenciaJetAdminConcatenada!$A:$A, 0)), ISNUMBER(MATCH(BA$1, AsistenciaJetAdminConcatenada!$B:$B, 0)), ISNUMBER(SEARCH($A32,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ISNUMBER(SEARCH($A32, INDEX(AsistenciaJetAdminConcatenada!$D:$D, MATCH(1, (AsistenciaJetAdminConcatenada!$A:$A=BA$2)*(AsistenciaJetAdminConcatenada!$B:$B=BA$1), 0)), 1))),  0.5, 0))</f>
        <v>1</v>
      </c>
      <c r="BB32" s="47">
        <f t="array" ref="BB32">IF(AND(ISNUMBER(MATCH(BB$2, AsistenciaJetAdminConcatenada!$A:$A, 0)), ISNUMBER(MATCH(BB$1, AsistenciaJetAdminConcatenada!$B:$B, 0)), ISNUMBER(SEARCH($A32,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ISNUMBER(SEARCH($A32, INDEX(AsistenciaJetAdminConcatenada!$D:$D, MATCH(1, (AsistenciaJetAdminConcatenada!$A:$A=BB$2)*(AsistenciaJetAdminConcatenada!$B:$B=BB$1), 0)), 1))),  0.5, 0))</f>
        <v>1</v>
      </c>
      <c r="BC32" s="47">
        <f t="array" ref="BC32">IF(AND(ISNUMBER(MATCH(BC$2, AsistenciaJetAdminConcatenada!$A:$A, 0)), ISNUMBER(MATCH(BC$1, AsistenciaJetAdminConcatenada!$B:$B, 0)), ISNUMBER(SEARCH($A32,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ISNUMBER(SEARCH($A32, INDEX(AsistenciaJetAdminConcatenada!$D:$D, MATCH(1, (AsistenciaJetAdminConcatenada!$A:$A=BC$2)*(AsistenciaJetAdminConcatenada!$B:$B=BC$1), 0)), 1))),  0.5, 0))</f>
        <v>1</v>
      </c>
      <c r="BD32" s="47">
        <f t="array" ref="BD32">IF(AND(ISNUMBER(MATCH(BD$2, AsistenciaJetAdminConcatenada!$A:$A, 0)), ISNUMBER(MATCH(BD$1, AsistenciaJetAdminConcatenada!$B:$B, 0)), ISNUMBER(SEARCH($A32,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ISNUMBER(SEARCH($A32, INDEX(AsistenciaJetAdminConcatenada!$D:$D, MATCH(1, (AsistenciaJetAdminConcatenada!$A:$A=BD$2)*(AsistenciaJetAdminConcatenada!$B:$B=BD$1), 0)), 1))),  0.5, 0))</f>
        <v>1</v>
      </c>
      <c r="BE32" s="47">
        <f t="array" ref="BE32">IF(AND(ISNUMBER(MATCH(BE$2, AsistenciaJetAdminConcatenada!$A:$A, 0)), ISNUMBER(MATCH(BE$1, AsistenciaJetAdminConcatenada!$B:$B, 0)), ISNUMBER(SEARCH($A32,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ISNUMBER(SEARCH($A32, INDEX(AsistenciaJetAdminConcatenada!$D:$D, MATCH(1, (AsistenciaJetAdminConcatenada!$A:$A=BE$2)*(AsistenciaJetAdminConcatenada!$B:$B=BE$1), 0)), 1))),  0.5, 0))</f>
        <v>1</v>
      </c>
      <c r="BF32" s="47">
        <f t="array" ref="BF32">IF(AND(ISNUMBER(MATCH(BF$2, AsistenciaJetAdminConcatenada!$A:$A, 0)), ISNUMBER(MATCH(BF$1, AsistenciaJetAdminConcatenada!$B:$B, 0)), ISNUMBER(SEARCH($A32,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ISNUMBER(SEARCH($A32, INDEX(AsistenciaJetAdminConcatenada!$D:$D, MATCH(1, (AsistenciaJetAdminConcatenada!$A:$A=BF$2)*(AsistenciaJetAdminConcatenada!$B:$B=BF$1), 0)), 1))),  0.5, 0))</f>
        <v>1</v>
      </c>
      <c r="BG32" s="47">
        <f t="array" ref="BG32">IF(AND(ISNUMBER(MATCH(BG$2, AsistenciaJetAdminConcatenada!$A:$A, 0)), ISNUMBER(MATCH(BG$1, AsistenciaJetAdminConcatenada!$B:$B, 0)), ISNUMBER(SEARCH($A32,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ISNUMBER(SEARCH($A32, INDEX(AsistenciaJetAdminConcatenada!$D:$D, MATCH(1, (AsistenciaJetAdminConcatenada!$A:$A=BG$2)*(AsistenciaJetAdminConcatenada!$B:$B=BG$1), 0)), 1))),  0.5, 0))</f>
        <v>1</v>
      </c>
      <c r="BH32" s="47">
        <f t="array" ref="BH32">IF(AND(ISNUMBER(MATCH(BH$2, AsistenciaJetAdminConcatenada!$A:$A, 0)), ISNUMBER(MATCH(BH$1, AsistenciaJetAdminConcatenada!$B:$B, 0)), ISNUMBER(SEARCH($A32,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ISNUMBER(SEARCH($A32, INDEX(AsistenciaJetAdminConcatenada!$D:$D, MATCH(1, (AsistenciaJetAdminConcatenada!$A:$A=BH$2)*(AsistenciaJetAdminConcatenada!$B:$B=BH$1), 0)), 1))),  0.5, 0))</f>
        <v>1</v>
      </c>
      <c r="BI32" s="47">
        <f t="array" ref="BI32">IF(AND(ISNUMBER(MATCH(BI$2, AsistenciaJetAdminConcatenada!$A:$A, 0)), ISNUMBER(MATCH(BI$1, AsistenciaJetAdminConcatenada!$B:$B, 0)), ISNUMBER(SEARCH($A32,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ISNUMBER(SEARCH($A32, INDEX(AsistenciaJetAdminConcatenada!$D:$D, MATCH(1, (AsistenciaJetAdminConcatenada!$A:$A=BI$2)*(AsistenciaJetAdminConcatenada!$B:$B=BI$1), 0)), 1))),  0.5, 0))</f>
        <v>1</v>
      </c>
      <c r="BJ32" s="47">
        <f t="array" ref="BJ32">IF(AND(ISNUMBER(MATCH(BJ$2, AsistenciaJetAdminConcatenada!$A:$A, 0)), ISNUMBER(MATCH(BJ$1, AsistenciaJetAdminConcatenada!$B:$B, 0)), ISNUMBER(SEARCH($A32,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ISNUMBER(SEARCH($A32, INDEX(AsistenciaJetAdminConcatenada!$D:$D, MATCH(1, (AsistenciaJetAdminConcatenada!$A:$A=BJ$2)*(AsistenciaJetAdminConcatenada!$B:$B=BJ$1), 0)), 1))),  0.5, 0))</f>
        <v>0</v>
      </c>
      <c r="BK32" s="47">
        <f t="array" ref="BK32">IF(AND(ISNUMBER(MATCH(BK$2, AsistenciaJetAdminConcatenada!$A:$A, 0)), ISNUMBER(MATCH(BK$1, AsistenciaJetAdminConcatenada!$B:$B, 0)), ISNUMBER(SEARCH($A32,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ISNUMBER(SEARCH($A32, INDEX(AsistenciaJetAdminConcatenada!$D:$D, MATCH(1, (AsistenciaJetAdminConcatenada!$A:$A=BK$2)*(AsistenciaJetAdminConcatenada!$B:$B=BK$1), 0)), 1))),  0.5, 0))</f>
        <v>1</v>
      </c>
      <c r="BL32" s="47">
        <f t="array" ref="BL32">IF(AND(ISNUMBER(MATCH(BL$2, AsistenciaJetAdminConcatenada!$A:$A, 0)), ISNUMBER(MATCH(BL$1, AsistenciaJetAdminConcatenada!$B:$B, 0)), ISNUMBER(SEARCH($A32,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ISNUMBER(SEARCH($A32, INDEX(AsistenciaJetAdminConcatenada!$D:$D, MATCH(1, (AsistenciaJetAdminConcatenada!$A:$A=BL$2)*(AsistenciaJetAdminConcatenada!$B:$B=BL$1), 0)), 1))),  0.5, 0))</f>
        <v>1</v>
      </c>
      <c r="BM32" s="47">
        <f t="array" ref="BM32">IF(AND(ISNUMBER(MATCH(BM$2, AsistenciaJetAdminConcatenada!$A:$A, 0)), ISNUMBER(MATCH(BM$1, AsistenciaJetAdminConcatenada!$B:$B, 0)), ISNUMBER(SEARCH($A32,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ISNUMBER(SEARCH($A32, INDEX(AsistenciaJetAdminConcatenada!$D:$D, MATCH(1, (AsistenciaJetAdminConcatenada!$A:$A=BM$2)*(AsistenciaJetAdminConcatenada!$B:$B=BM$1), 0)), 1))),  0.5, 0))</f>
        <v>0</v>
      </c>
      <c r="BN32" s="47">
        <f t="array" ref="BN32">IF(AND(ISNUMBER(MATCH(BN$2, AsistenciaJetAdminConcatenada!$A:$A, 0)), ISNUMBER(MATCH(BN$1, AsistenciaJetAdminConcatenada!$B:$B, 0)), ISNUMBER(SEARCH($A32,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ISNUMBER(SEARCH($A32, INDEX(AsistenciaJetAdminConcatenada!$D:$D, MATCH(1, (AsistenciaJetAdminConcatenada!$A:$A=BN$2)*(AsistenciaJetAdminConcatenada!$B:$B=BN$1), 0)), 1))),  0.5, 0))</f>
        <v>0</v>
      </c>
      <c r="BO32" s="47">
        <f t="array" ref="BO32">IF(AND(ISNUMBER(MATCH(BO$2, AsistenciaJetAdminConcatenada!$A:$A, 0)), ISNUMBER(MATCH(BO$1, AsistenciaJetAdminConcatenada!$B:$B, 0)), ISNUMBER(SEARCH($A32,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ISNUMBER(SEARCH($A32, INDEX(AsistenciaJetAdminConcatenada!$D:$D, MATCH(1, (AsistenciaJetAdminConcatenada!$A:$A=BO$2)*(AsistenciaJetAdminConcatenada!$B:$B=BO$1), 0)), 1))),  0.5, 0))</f>
        <v>1</v>
      </c>
      <c r="BP32" s="47">
        <f t="array" ref="BP32">IF(AND(ISNUMBER(MATCH(BP$2, AsistenciaJetAdminConcatenada!$A:$A, 0)), ISNUMBER(MATCH(BP$1, AsistenciaJetAdminConcatenada!$B:$B, 0)), ISNUMBER(SEARCH($A32,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ISNUMBER(SEARCH($A32, INDEX(AsistenciaJetAdminConcatenada!$D:$D, MATCH(1, (AsistenciaJetAdminConcatenada!$A:$A=BP$2)*(AsistenciaJetAdminConcatenada!$B:$B=BP$1), 0)), 1))),  0.5, 0))</f>
        <v>1</v>
      </c>
      <c r="BQ32" s="47">
        <f t="array" ref="BQ32">IF(AND(ISNUMBER(MATCH(BQ$2, AsistenciaJetAdminConcatenada!$A:$A, 0)), ISNUMBER(MATCH(BQ$1, AsistenciaJetAdminConcatenada!$B:$B, 0)), ISNUMBER(SEARCH($A32,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ISNUMBER(SEARCH($A32, INDEX(AsistenciaJetAdminConcatenada!$D:$D, MATCH(1, (AsistenciaJetAdminConcatenada!$A:$A=BQ$2)*(AsistenciaJetAdminConcatenada!$B:$B=BQ$1), 0)), 1))),  0.5, 0))</f>
        <v>1</v>
      </c>
      <c r="BR32" s="47">
        <f t="array" ref="BR32">IF(AND(ISNUMBER(MATCH(BR$2, AsistenciaJetAdminConcatenada!$A:$A, 0)), ISNUMBER(MATCH(BR$1, AsistenciaJetAdminConcatenada!$B:$B, 0)), ISNUMBER(SEARCH($A32,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ISNUMBER(SEARCH($A32, INDEX(AsistenciaJetAdminConcatenada!$D:$D, MATCH(1, (AsistenciaJetAdminConcatenada!$A:$A=BR$2)*(AsistenciaJetAdminConcatenada!$B:$B=BR$1), 0)), 1))),  0.5, 0))</f>
        <v>1</v>
      </c>
      <c r="BS32" s="47">
        <f t="array" ref="BS32">IF(AND(ISNUMBER(MATCH(BS$2, AsistenciaJetAdminConcatenada!$A:$A, 0)), ISNUMBER(MATCH(BS$1, AsistenciaJetAdminConcatenada!$B:$B, 0)), ISNUMBER(SEARCH($A32,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ISNUMBER(SEARCH($A32, INDEX(AsistenciaJetAdminConcatenada!$D:$D, MATCH(1, (AsistenciaJetAdminConcatenada!$A:$A=BS$2)*(AsistenciaJetAdminConcatenada!$B:$B=BS$1), 0)), 1))),  0.5, 0))</f>
        <v>1</v>
      </c>
      <c r="BT32" s="47">
        <f t="array" ref="BT32">IF(AND(ISNUMBER(MATCH(BT$2, AsistenciaJetAdminConcatenada!$A:$A, 0)), ISNUMBER(MATCH(BT$1, AsistenciaJetAdminConcatenada!$B:$B, 0)), ISNUMBER(SEARCH($A32,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ISNUMBER(SEARCH($A32, INDEX(AsistenciaJetAdminConcatenada!$D:$D, MATCH(1, (AsistenciaJetAdminConcatenada!$A:$A=BT$2)*(AsistenciaJetAdminConcatenada!$B:$B=BT$1), 0)), 1))),  0.5, 0))</f>
        <v>1</v>
      </c>
      <c r="BU32" s="47">
        <f t="array" ref="BU32">IF(AND(ISNUMBER(MATCH(BU$2, AsistenciaJetAdminConcatenada!$A:$A, 0)), ISNUMBER(MATCH(BU$1, AsistenciaJetAdminConcatenada!$B:$B, 0)), ISNUMBER(SEARCH($A32,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ISNUMBER(SEARCH($A32, INDEX(AsistenciaJetAdminConcatenada!$D:$D, MATCH(1, (AsistenciaJetAdminConcatenada!$A:$A=BU$2)*(AsistenciaJetAdminConcatenada!$B:$B=BU$1), 0)), 1))),  0.5, 0))</f>
        <v>1</v>
      </c>
      <c r="BV32" s="47">
        <f t="array" ref="BV32">IF(AND(ISNUMBER(MATCH(BV$2, AsistenciaJetAdminConcatenada!$A:$A, 0)), ISNUMBER(MATCH(BV$1, AsistenciaJetAdminConcatenada!$B:$B, 0)), ISNUMBER(SEARCH($A32,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ISNUMBER(SEARCH($A32, INDEX(AsistenciaJetAdminConcatenada!$D:$D, MATCH(1, (AsistenciaJetAdminConcatenada!$A:$A=BV$2)*(AsistenciaJetAdminConcatenada!$B:$B=BV$1), 0)), 1))),  0.5, 0))</f>
        <v>0</v>
      </c>
      <c r="BW32" s="47">
        <f t="array" ref="BW32">IF(AND(ISNUMBER(MATCH(BW$2, AsistenciaJetAdminConcatenada!$A:$A, 0)), ISNUMBER(MATCH(BW$1, AsistenciaJetAdminConcatenada!$B:$B, 0)), ISNUMBER(SEARCH($A32,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ISNUMBER(SEARCH($A32, INDEX(AsistenciaJetAdminConcatenada!$D:$D, MATCH(1, (AsistenciaJetAdminConcatenada!$A:$A=BW$2)*(AsistenciaJetAdminConcatenada!$B:$B=BW$1), 0)), 1))),  0.5, 0))</f>
        <v>1</v>
      </c>
      <c r="BX32" s="47">
        <f t="array" ref="BX32">IF(AND(ISNUMBER(MATCH(BX$2, AsistenciaJetAdminConcatenada!$A:$A, 0)), ISNUMBER(MATCH(BX$1, AsistenciaJetAdminConcatenada!$B:$B, 0)), ISNUMBER(SEARCH($A32,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ISNUMBER(SEARCH($A32, INDEX(AsistenciaJetAdminConcatenada!$D:$D, MATCH(1, (AsistenciaJetAdminConcatenada!$A:$A=BX$2)*(AsistenciaJetAdminConcatenada!$B:$B=BX$1), 0)), 1))),  0.5, 0))</f>
        <v>1</v>
      </c>
      <c r="BY32" s="47">
        <f t="array" ref="BY32">IF(AND(ISNUMBER(MATCH(BY$2, AsistenciaJetAdminConcatenada!$A:$A, 0)), ISNUMBER(MATCH(BY$1, AsistenciaJetAdminConcatenada!$B:$B, 0)), ISNUMBER(SEARCH($A32,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ISNUMBER(SEARCH($A32, INDEX(AsistenciaJetAdminConcatenada!$D:$D, MATCH(1, (AsistenciaJetAdminConcatenada!$A:$A=BY$2)*(AsistenciaJetAdminConcatenada!$B:$B=BY$1), 0)), 1))),  0.5, 0))</f>
        <v>1</v>
      </c>
      <c r="BZ32" s="47">
        <f t="array" ref="BZ32">IF(AND(ISNUMBER(MATCH(BZ$2, AsistenciaJetAdminConcatenada!$A:$A, 0)), ISNUMBER(MATCH(BZ$1, AsistenciaJetAdminConcatenada!$B:$B, 0)), ISNUMBER(SEARCH($A32,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ISNUMBER(SEARCH($A32, INDEX(AsistenciaJetAdminConcatenada!$D:$D, MATCH(1, (AsistenciaJetAdminConcatenada!$A:$A=BZ$2)*(AsistenciaJetAdminConcatenada!$B:$B=BZ$1), 0)), 1))),  0.5, 0))</f>
        <v>1</v>
      </c>
      <c r="CA32" s="47">
        <f t="array" ref="CA32">IF(AND(ISNUMBER(MATCH(CA$2, AsistenciaJetAdminConcatenada!$A:$A, 0)), ISNUMBER(MATCH(CA$1, AsistenciaJetAdminConcatenada!$B:$B, 0)), ISNUMBER(SEARCH($A32,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ISNUMBER(SEARCH($A32, INDEX(AsistenciaJetAdminConcatenada!$D:$D, MATCH(1, (AsistenciaJetAdminConcatenada!$A:$A=CA$2)*(AsistenciaJetAdminConcatenada!$B:$B=CA$1), 0)), 1))),  0.5, 0))</f>
        <v>1</v>
      </c>
      <c r="CB32" s="47">
        <f t="array" ref="CB32">IF(AND(ISNUMBER(MATCH(CB$2, AsistenciaJetAdminConcatenada!$A:$A, 0)), ISNUMBER(MATCH(CB$1, AsistenciaJetAdminConcatenada!$B:$B, 0)), ISNUMBER(SEARCH($A32,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ISNUMBER(SEARCH($A32, INDEX(AsistenciaJetAdminConcatenada!$D:$D, MATCH(1, (AsistenciaJetAdminConcatenada!$A:$A=CB$2)*(AsistenciaJetAdminConcatenada!$B:$B=CB$1), 0)), 1))),  0.5, 0))</f>
        <v>0</v>
      </c>
      <c r="CC32" s="47">
        <f t="array" ref="CC32">IF(AND(ISNUMBER(MATCH(CC$2, AsistenciaJetAdminConcatenada!$A:$A, 0)), ISNUMBER(MATCH(CC$1, AsistenciaJetAdminConcatenada!$B:$B, 0)), ISNUMBER(SEARCH($A32,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ISNUMBER(SEARCH($A32, INDEX(AsistenciaJetAdminConcatenada!$D:$D, MATCH(1, (AsistenciaJetAdminConcatenada!$A:$A=CC$2)*(AsistenciaJetAdminConcatenada!$B:$B=CC$1), 0)), 1))),  0.5, 0))</f>
        <v>0</v>
      </c>
      <c r="CD32" s="47">
        <f t="array" ref="CD32">IF(AND(ISNUMBER(MATCH(CD$2, AsistenciaJetAdminConcatenada!$A:$A, 0)), ISNUMBER(MATCH(CD$1, AsistenciaJetAdminConcatenada!$B:$B, 0)), ISNUMBER(SEARCH($A32,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ISNUMBER(SEARCH($A32, INDEX(AsistenciaJetAdminConcatenada!$D:$D, MATCH(1, (AsistenciaJetAdminConcatenada!$A:$A=CD$2)*(AsistenciaJetAdminConcatenada!$B:$B=CD$1), 0)), 1))),  0.5, 0))</f>
        <v>1</v>
      </c>
      <c r="CE32" s="47">
        <f t="array" ref="CE32">IF(AND(ISNUMBER(MATCH(CE$2, AsistenciaJetAdminConcatenada!$A:$A, 0)), ISNUMBER(MATCH(CE$1, AsistenciaJetAdminConcatenada!$B:$B, 0)), ISNUMBER(SEARCH($A32,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ISNUMBER(SEARCH($A32, INDEX(AsistenciaJetAdminConcatenada!$D:$D, MATCH(1, (AsistenciaJetAdminConcatenada!$A:$A=CE$2)*(AsistenciaJetAdminConcatenada!$B:$B=CE$1), 0)), 1))),  0.5, 0))</f>
        <v>1</v>
      </c>
      <c r="CF32" s="47">
        <f t="array" ref="CF32">IF(AND(ISNUMBER(MATCH(CF$2, AsistenciaJetAdminConcatenada!$A:$A, 0)), ISNUMBER(MATCH(CF$1, AsistenciaJetAdminConcatenada!$B:$B, 0)), ISNUMBER(SEARCH($A32,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ISNUMBER(SEARCH($A32, INDEX(AsistenciaJetAdminConcatenada!$D:$D, MATCH(1, (AsistenciaJetAdminConcatenada!$A:$A=CF$2)*(AsistenciaJetAdminConcatenada!$B:$B=CF$1), 0)), 1))),  0.5, 0))</f>
        <v>0</v>
      </c>
      <c r="CG32" s="47">
        <f t="array" ref="CG32">IF(AND(ISNUMBER(MATCH(CG$2, AsistenciaJetAdminConcatenada!$A:$A, 0)), ISNUMBER(MATCH(CG$1, AsistenciaJetAdminConcatenada!$B:$B, 0)), ISNUMBER(SEARCH($A32,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ISNUMBER(SEARCH($A32, INDEX(AsistenciaJetAdminConcatenada!$D:$D, MATCH(1, (AsistenciaJetAdminConcatenada!$A:$A=CG$2)*(AsistenciaJetAdminConcatenada!$B:$B=CG$1), 0)), 1))),  0.5, 0))</f>
        <v>1</v>
      </c>
      <c r="CH32" s="47">
        <f t="array" ref="CH32">IF(AND(ISNUMBER(MATCH(CH$2, AsistenciaJetAdminConcatenada!$A:$A, 0)), ISNUMBER(MATCH(CH$1, AsistenciaJetAdminConcatenada!$B:$B, 0)), ISNUMBER(SEARCH($A32,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ISNUMBER(SEARCH($A32, INDEX(AsistenciaJetAdminConcatenada!$D:$D, MATCH(1, (AsistenciaJetAdminConcatenada!$A:$A=CH$2)*(AsistenciaJetAdminConcatenada!$B:$B=CH$1), 0)), 1))),  0.5, 0))</f>
        <v>0</v>
      </c>
      <c r="CI32" s="47">
        <f t="array" ref="CI32">IF(AND(ISNUMBER(MATCH(CI$2, AsistenciaJetAdminConcatenada!$A:$A, 0)), ISNUMBER(MATCH(CI$1, AsistenciaJetAdminConcatenada!$B:$B, 0)), ISNUMBER(SEARCH($A32,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ISNUMBER(SEARCH($A32, INDEX(AsistenciaJetAdminConcatenada!$D:$D, MATCH(1, (AsistenciaJetAdminConcatenada!$A:$A=CI$2)*(AsistenciaJetAdminConcatenada!$B:$B=CI$1), 0)), 1))),  0.5, 0))</f>
        <v>1</v>
      </c>
      <c r="CJ32" s="47">
        <f t="array" ref="CJ32">IF(AND(ISNUMBER(MATCH(CJ$2, AsistenciaJetAdminConcatenada!$A:$A, 0)), ISNUMBER(MATCH(CJ$1, AsistenciaJetAdminConcatenada!$B:$B, 0)), ISNUMBER(SEARCH($A32,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ISNUMBER(SEARCH($A32, INDEX(AsistenciaJetAdminConcatenada!$D:$D, MATCH(1, (AsistenciaJetAdminConcatenada!$A:$A=CJ$2)*(AsistenciaJetAdminConcatenada!$B:$B=CJ$1), 0)), 1))),  0.5, 0))</f>
        <v>1</v>
      </c>
      <c r="CK32" s="47">
        <f t="array" ref="CK32">IF(AND(ISNUMBER(MATCH(CK$2, AsistenciaJetAdminConcatenada!$A:$A, 0)), ISNUMBER(MATCH(CK$1, AsistenciaJetAdminConcatenada!$B:$B, 0)), ISNUMBER(SEARCH($A32,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ISNUMBER(SEARCH($A32, INDEX(AsistenciaJetAdminConcatenada!$D:$D, MATCH(1, (AsistenciaJetAdminConcatenada!$A:$A=CK$2)*(AsistenciaJetAdminConcatenada!$B:$B=CK$1), 0)), 1))),  0.5, 0))</f>
        <v>1</v>
      </c>
      <c r="CL32" s="47">
        <f t="array" ref="CL32">IF(AND(ISNUMBER(MATCH(CL$2, AsistenciaJetAdminConcatenada!$A:$A, 0)), ISNUMBER(MATCH(CL$1, AsistenciaJetAdminConcatenada!$B:$B, 0)), ISNUMBER(SEARCH($A32,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ISNUMBER(SEARCH($A32, INDEX(AsistenciaJetAdminConcatenada!$D:$D, MATCH(1, (AsistenciaJetAdminConcatenada!$A:$A=CL$2)*(AsistenciaJetAdminConcatenada!$B:$B=CL$1), 0)), 1))),  0.5, 0))</f>
        <v>1</v>
      </c>
      <c r="CM32" s="47">
        <f t="array" ref="CM32">IF(AND(ISNUMBER(MATCH(CM$2, AsistenciaJetAdminConcatenada!$A:$A, 0)), ISNUMBER(MATCH(CM$1, AsistenciaJetAdminConcatenada!$B:$B, 0)), ISNUMBER(SEARCH($A32,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ISNUMBER(SEARCH($A32, INDEX(AsistenciaJetAdminConcatenada!$D:$D, MATCH(1, (AsistenciaJetAdminConcatenada!$A:$A=CM$2)*(AsistenciaJetAdminConcatenada!$B:$B=CM$1), 0)), 1))),  0.5, 0))</f>
        <v>1</v>
      </c>
      <c r="CN32" s="47">
        <f t="array" ref="CN32">IF(AND(ISNUMBER(MATCH(CN$2, AsistenciaJetAdminConcatenada!$A:$A, 0)), ISNUMBER(MATCH(CN$1, AsistenciaJetAdminConcatenada!$B:$B, 0)), ISNUMBER(SEARCH($A32,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ISNUMBER(SEARCH($A32, INDEX(AsistenciaJetAdminConcatenada!$D:$D, MATCH(1, (AsistenciaJetAdminConcatenada!$A:$A=CN$2)*(AsistenciaJetAdminConcatenada!$B:$B=CN$1), 0)), 1))),  0.5, 0))</f>
        <v>1</v>
      </c>
      <c r="CO32" s="47">
        <f t="array" ref="CO32">IF(AND(ISNUMBER(MATCH(CO$2, AsistenciaJetAdminConcatenada!$A:$A, 0)), ISNUMBER(MATCH(CO$1, AsistenciaJetAdminConcatenada!$B:$B, 0)), ISNUMBER(SEARCH($A32,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ISNUMBER(SEARCH($A32, INDEX(AsistenciaJetAdminConcatenada!$D:$D, MATCH(1, (AsistenciaJetAdminConcatenada!$A:$A=CO$2)*(AsistenciaJetAdminConcatenada!$B:$B=CO$1), 0)), 1))),  0.5, 0))</f>
        <v>1</v>
      </c>
      <c r="CP32" s="47">
        <f t="array" ref="CP32">IF(AND(ISNUMBER(MATCH(CP$2, AsistenciaJetAdminConcatenada!$A:$A, 0)), ISNUMBER(MATCH(CP$1, AsistenciaJetAdminConcatenada!$B:$B, 0)), ISNUMBER(SEARCH($A32,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ISNUMBER(SEARCH($A32, INDEX(AsistenciaJetAdminConcatenada!$D:$D, MATCH(1, (AsistenciaJetAdminConcatenada!$A:$A=CP$2)*(AsistenciaJetAdminConcatenada!$B:$B=CP$1), 0)), 1))),  0.5, 0))</f>
        <v>1</v>
      </c>
      <c r="CQ32" s="47">
        <f t="array" ref="CQ32">IF(AND(ISNUMBER(MATCH(CQ$2, AsistenciaJetAdminConcatenada!$A:$A, 0)), ISNUMBER(MATCH(CQ$1, AsistenciaJetAdminConcatenada!$B:$B, 0)), ISNUMBER(SEARCH($A32,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ISNUMBER(SEARCH($A32, INDEX(AsistenciaJetAdminConcatenada!$D:$D, MATCH(1, (AsistenciaJetAdminConcatenada!$A:$A=CQ$2)*(AsistenciaJetAdminConcatenada!$B:$B=CQ$1), 0)), 1))),  0.5, 0))</f>
        <v>1</v>
      </c>
      <c r="CR32" s="47">
        <f t="array" ref="CR32">IF(AND(ISNUMBER(MATCH(CR$2, AsistenciaJetAdminConcatenada!$A:$A, 0)), ISNUMBER(MATCH(CR$1, AsistenciaJetAdminConcatenada!$B:$B, 0)), ISNUMBER(SEARCH($A32,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ISNUMBER(SEARCH($A32, INDEX(AsistenciaJetAdminConcatenada!$D:$D, MATCH(1, (AsistenciaJetAdminConcatenada!$A:$A=CR$2)*(AsistenciaJetAdminConcatenada!$B:$B=CR$1), 0)), 1))),  0.5, 0))</f>
        <v>1</v>
      </c>
      <c r="CS32" s="47">
        <f t="array" ref="CS32">IF(AND(ISNUMBER(MATCH(CS$2, AsistenciaJetAdminConcatenada!$A:$A, 0)), ISNUMBER(MATCH(CS$1, AsistenciaJetAdminConcatenada!$B:$B, 0)), ISNUMBER(SEARCH($A32,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ISNUMBER(SEARCH($A32, INDEX(AsistenciaJetAdminConcatenada!$D:$D, MATCH(1, (AsistenciaJetAdminConcatenada!$A:$A=CS$2)*(AsistenciaJetAdminConcatenada!$B:$B=CS$1), 0)), 1))),  0.5, 0))</f>
        <v>0</v>
      </c>
      <c r="CT32" s="47">
        <f t="array" ref="CT32">IF(AND(ISNUMBER(MATCH(CT$2, AsistenciaJetAdminConcatenada!$A:$A, 0)), ISNUMBER(MATCH(CT$1, AsistenciaJetAdminConcatenada!$B:$B, 0)), ISNUMBER(SEARCH($A32,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ISNUMBER(SEARCH($A32, INDEX(AsistenciaJetAdminConcatenada!$D:$D, MATCH(1, (AsistenciaJetAdminConcatenada!$A:$A=CT$2)*(AsistenciaJetAdminConcatenada!$B:$B=CT$1), 0)), 1))),  0.5, 0))</f>
        <v>0</v>
      </c>
      <c r="CU32" s="47">
        <f t="array" ref="CU32">IF(AND(ISNUMBER(MATCH(CU$2, AsistenciaJetAdminConcatenada!$A:$A, 0)), ISNUMBER(MATCH(CU$1, AsistenciaJetAdminConcatenada!$B:$B, 0)), ISNUMBER(SEARCH($A32,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ISNUMBER(SEARCH($A32, INDEX(AsistenciaJetAdminConcatenada!$D:$D, MATCH(1, (AsistenciaJetAdminConcatenada!$A:$A=CU$2)*(AsistenciaJetAdminConcatenada!$B:$B=CU$1), 0)), 1))),  0.5, 0))</f>
        <v>0</v>
      </c>
      <c r="CV32" s="47">
        <f t="array" ref="CV32">IF(AND(ISNUMBER(MATCH(CV$2, AsistenciaJetAdminConcatenada!$A:$A, 0)), ISNUMBER(MATCH(CV$1, AsistenciaJetAdminConcatenada!$B:$B, 0)), ISNUMBER(SEARCH($A32,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ISNUMBER(SEARCH($A32, INDEX(AsistenciaJetAdminConcatenada!$D:$D, MATCH(1, (AsistenciaJetAdminConcatenada!$A:$A=CV$2)*(AsistenciaJetAdminConcatenada!$B:$B=CV$1), 0)), 1))),  0.5, 0))</f>
        <v>0</v>
      </c>
      <c r="CW32" s="47">
        <f t="array" ref="CW32">IF(AND(ISNUMBER(MATCH(CW$2, AsistenciaJetAdminConcatenada!$A:$A, 0)), ISNUMBER(MATCH(CW$1, AsistenciaJetAdminConcatenada!$B:$B, 0)), ISNUMBER(SEARCH($A32,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ISNUMBER(SEARCH($A32, INDEX(AsistenciaJetAdminConcatenada!$D:$D, MATCH(1, (AsistenciaJetAdminConcatenada!$A:$A=CW$2)*(AsistenciaJetAdminConcatenada!$B:$B=CW$1), 0)), 1))),  0.5, 0))</f>
        <v>0</v>
      </c>
      <c r="CX32" s="47">
        <f t="array" ref="CX32">IF(AND(ISNUMBER(MATCH(CX$2, AsistenciaJetAdminConcatenada!$A:$A, 0)), ISNUMBER(MATCH(CX$1, AsistenciaJetAdminConcatenada!$B:$B, 0)), ISNUMBER(SEARCH($A32,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ISNUMBER(SEARCH($A32, INDEX(AsistenciaJetAdminConcatenada!$D:$D, MATCH(1, (AsistenciaJetAdminConcatenada!$A:$A=CX$2)*(AsistenciaJetAdminConcatenada!$B:$B=CX$1), 0)), 1))),  0.5, 0))</f>
        <v>0</v>
      </c>
      <c r="CY32" s="47">
        <f t="array" ref="CY32">IF(AND(ISNUMBER(MATCH(CY$2, AsistenciaJetAdminConcatenada!$A:$A, 0)), ISNUMBER(MATCH(CY$1, AsistenciaJetAdminConcatenada!$B:$B, 0)), ISNUMBER(SEARCH($A32,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ISNUMBER(SEARCH($A32, INDEX(AsistenciaJetAdminConcatenada!$D:$D, MATCH(1, (AsistenciaJetAdminConcatenada!$A:$A=CY$2)*(AsistenciaJetAdminConcatenada!$B:$B=CY$1), 0)), 1))),  0.5, 0))</f>
        <v>0</v>
      </c>
      <c r="CZ32" s="47">
        <f t="array" ref="CZ32">IF(AND(ISNUMBER(MATCH(CZ$2, AsistenciaJetAdminConcatenada!$A:$A, 0)), ISNUMBER(MATCH(CZ$1, AsistenciaJetAdminConcatenada!$B:$B, 0)), ISNUMBER(SEARCH($A32,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ISNUMBER(SEARCH($A32, INDEX(AsistenciaJetAdminConcatenada!$D:$D, MATCH(1, (AsistenciaJetAdminConcatenada!$A:$A=CZ$2)*(AsistenciaJetAdminConcatenada!$B:$B=CZ$1), 0)), 1))),  0.5, 0))</f>
        <v>0</v>
      </c>
      <c r="DA32" s="47">
        <f t="array" ref="DA32">IF(AND(ISNUMBER(MATCH(DA$2, AsistenciaJetAdminConcatenada!$A:$A, 0)), ISNUMBER(MATCH(DA$1, AsistenciaJetAdminConcatenada!$B:$B, 0)), ISNUMBER(SEARCH($A32,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ISNUMBER(SEARCH($A32, INDEX(AsistenciaJetAdminConcatenada!$D:$D, MATCH(1, (AsistenciaJetAdminConcatenada!$A:$A=DA$2)*(AsistenciaJetAdminConcatenada!$B:$B=DA$1), 0)), 1))),  0.5, 0))</f>
        <v>0</v>
      </c>
      <c r="DB32" s="47">
        <f t="array" ref="DB32">IF(AND(ISNUMBER(MATCH(DB$2, AsistenciaJetAdminConcatenada!$A:$A, 0)), ISNUMBER(MATCH(DB$1, AsistenciaJetAdminConcatenada!$B:$B, 0)), ISNUMBER(SEARCH($A32,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ISNUMBER(SEARCH($A32, INDEX(AsistenciaJetAdminConcatenada!$D:$D, MATCH(1, (AsistenciaJetAdminConcatenada!$A:$A=DB$2)*(AsistenciaJetAdminConcatenada!$B:$B=DB$1), 0)), 1))),  0.5, 0))</f>
        <v>0</v>
      </c>
      <c r="DC32" s="47">
        <f t="array" ref="DC32">IF(AND(ISNUMBER(MATCH(DC$2, AsistenciaJetAdminConcatenada!$A:$A, 0)), ISNUMBER(MATCH(DC$1, AsistenciaJetAdminConcatenada!$B:$B, 0)), ISNUMBER(SEARCH($A32,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ISNUMBER(SEARCH($A32, INDEX(AsistenciaJetAdminConcatenada!$D:$D, MATCH(1, (AsistenciaJetAdminConcatenada!$A:$A=DC$2)*(AsistenciaJetAdminConcatenada!$B:$B=DC$1), 0)), 1))),  0.5, 0))</f>
        <v>0</v>
      </c>
      <c r="DD32" s="47">
        <f t="array" ref="DD32">IF(AND(ISNUMBER(MATCH(DD$2, AsistenciaJetAdminConcatenada!$A:$A, 0)), ISNUMBER(MATCH(DD$1, AsistenciaJetAdminConcatenada!$B:$B, 0)), ISNUMBER(SEARCH($A32,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ISNUMBER(SEARCH($A32, INDEX(AsistenciaJetAdminConcatenada!$D:$D, MATCH(1, (AsistenciaJetAdminConcatenada!$A:$A=DD$2)*(AsistenciaJetAdminConcatenada!$B:$B=DD$1), 0)), 1))),  0.5, 0))</f>
        <v>0</v>
      </c>
      <c r="DE32" s="47">
        <f t="array" ref="DE32">IF(AND(ISNUMBER(MATCH(DE$2, AsistenciaJetAdminConcatenada!$A:$A, 0)), ISNUMBER(MATCH(DE$1, AsistenciaJetAdminConcatenada!$B:$B, 0)), ISNUMBER(SEARCH($A32,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ISNUMBER(SEARCH($A32, INDEX(AsistenciaJetAdminConcatenada!$D:$D, MATCH(1, (AsistenciaJetAdminConcatenada!$A:$A=DE$2)*(AsistenciaJetAdminConcatenada!$B:$B=DE$1), 0)), 1))),  0.5, 0))</f>
        <v>0</v>
      </c>
      <c r="DF32" s="47">
        <f t="array" ref="DF32">IF(AND(ISNUMBER(MATCH(DF$2, AsistenciaJetAdminConcatenada!$A:$A, 0)), ISNUMBER(MATCH(DF$1, AsistenciaJetAdminConcatenada!$B:$B, 0)), ISNUMBER(SEARCH($A32,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ISNUMBER(SEARCH($A32, INDEX(AsistenciaJetAdminConcatenada!$D:$D, MATCH(1, (AsistenciaJetAdminConcatenada!$A:$A=DF$2)*(AsistenciaJetAdminConcatenada!$B:$B=DF$1), 0)), 1))),  0.5, 0))</f>
        <v>0</v>
      </c>
      <c r="DG32" s="47">
        <f t="array" ref="DG32">IF(AND(ISNUMBER(MATCH(DG$2, AsistenciaJetAdminConcatenada!$A:$A, 0)), ISNUMBER(MATCH(DG$1, AsistenciaJetAdminConcatenada!$B:$B, 0)), ISNUMBER(SEARCH($A32,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ISNUMBER(SEARCH($A32, INDEX(AsistenciaJetAdminConcatenada!$D:$D, MATCH(1, (AsistenciaJetAdminConcatenada!$A:$A=DG$2)*(AsistenciaJetAdminConcatenada!$B:$B=DG$1), 0)), 1))),  0.5, 0))</f>
        <v>0</v>
      </c>
      <c r="DH32" s="47">
        <f t="array" ref="DH32">IF(AND(ISNUMBER(MATCH(DH$2, AsistenciaJetAdminConcatenada!$A:$A, 0)), ISNUMBER(MATCH(DH$1, AsistenciaJetAdminConcatenada!$B:$B, 0)), ISNUMBER(SEARCH($A32,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ISNUMBER(SEARCH($A32, INDEX(AsistenciaJetAdminConcatenada!$D:$D, MATCH(1, (AsistenciaJetAdminConcatenada!$A:$A=DH$2)*(AsistenciaJetAdminConcatenada!$B:$B=DH$1), 0)), 1))),  0.5, 0))</f>
        <v>0</v>
      </c>
      <c r="DI32" s="47">
        <f t="array" ref="DI32">IF(AND(ISNUMBER(MATCH(DI$2, AsistenciaJetAdminConcatenada!$A:$A, 0)), ISNUMBER(MATCH(DI$1, AsistenciaJetAdminConcatenada!$B:$B, 0)), ISNUMBER(SEARCH($A32,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ISNUMBER(SEARCH($A32, INDEX(AsistenciaJetAdminConcatenada!$D:$D, MATCH(1, (AsistenciaJetAdminConcatenada!$A:$A=DI$2)*(AsistenciaJetAdminConcatenada!$B:$B=DI$1), 0)), 1))),  0.5, 0))</f>
        <v>0</v>
      </c>
      <c r="DJ32" s="47">
        <f t="array" ref="DJ32">IF(AND(ISNUMBER(MATCH(DJ$2, AsistenciaJetAdminConcatenada!$A:$A, 0)), ISNUMBER(MATCH(DJ$1, AsistenciaJetAdminConcatenada!$B:$B, 0)), ISNUMBER(SEARCH($A32,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ISNUMBER(SEARCH($A32, INDEX(AsistenciaJetAdminConcatenada!$D:$D, MATCH(1, (AsistenciaJetAdminConcatenada!$A:$A=DJ$2)*(AsistenciaJetAdminConcatenada!$B:$B=DJ$1), 0)), 1))),  0.5, 0))</f>
        <v>0</v>
      </c>
      <c r="DK32" s="47">
        <f t="array" ref="DK32">IF(AND(ISNUMBER(MATCH(DK$2, AsistenciaJetAdminConcatenada!$A:$A, 0)), ISNUMBER(MATCH(DK$1, AsistenciaJetAdminConcatenada!$B:$B, 0)), ISNUMBER(SEARCH($A32,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ISNUMBER(SEARCH($A32, INDEX(AsistenciaJetAdminConcatenada!$D:$D, MATCH(1, (AsistenciaJetAdminConcatenada!$A:$A=DK$2)*(AsistenciaJetAdminConcatenada!$B:$B=DK$1), 0)), 1))),  0.5, 0))</f>
        <v>0</v>
      </c>
      <c r="DL32" s="47">
        <f t="array" ref="DL32">IF(AND(ISNUMBER(MATCH(DL$2, AsistenciaJetAdminConcatenada!$A:$A, 0)), ISNUMBER(MATCH(DL$1, AsistenciaJetAdminConcatenada!$B:$B, 0)), ISNUMBER(SEARCH($A32,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ISNUMBER(SEARCH($A32, INDEX(AsistenciaJetAdminConcatenada!$D:$D, MATCH(1, (AsistenciaJetAdminConcatenada!$A:$A=DL$2)*(AsistenciaJetAdminConcatenada!$B:$B=DL$1), 0)), 1))),  0.5, 0))</f>
        <v>0</v>
      </c>
      <c r="DM32" s="47">
        <f t="array" ref="DM32">IF(AND(ISNUMBER(MATCH(DM$2, AsistenciaJetAdminConcatenada!$A:$A, 0)), ISNUMBER(MATCH(DM$1, AsistenciaJetAdminConcatenada!$B:$B, 0)), ISNUMBER(SEARCH($A32,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ISNUMBER(SEARCH($A32, INDEX(AsistenciaJetAdminConcatenada!$D:$D, MATCH(1, (AsistenciaJetAdminConcatenada!$A:$A=DM$2)*(AsistenciaJetAdminConcatenada!$B:$B=DM$1), 0)), 1))),  0.5, 0))</f>
        <v>0</v>
      </c>
      <c r="DN32" s="47">
        <f t="array" ref="DN32">IF(AND(ISNUMBER(MATCH(DN$2, AsistenciaJetAdminConcatenada!$A:$A, 0)), ISNUMBER(MATCH(DN$1, AsistenciaJetAdminConcatenada!$B:$B, 0)), ISNUMBER(SEARCH($A32,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ISNUMBER(SEARCH($A32, INDEX(AsistenciaJetAdminConcatenada!$D:$D, MATCH(1, (AsistenciaJetAdminConcatenada!$A:$A=DN$2)*(AsistenciaJetAdminConcatenada!$B:$B=DN$1), 0)), 1))),  0.5, 0))</f>
        <v>0</v>
      </c>
      <c r="DO32" s="47">
        <f t="array" ref="DO32">IF(AND(ISNUMBER(MATCH(DO$2, AsistenciaJetAdminConcatenada!$A:$A, 0)), ISNUMBER(MATCH(DO$1, AsistenciaJetAdminConcatenada!$B:$B, 0)), ISNUMBER(SEARCH($A32,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ISNUMBER(SEARCH($A32, INDEX(AsistenciaJetAdminConcatenada!$D:$D, MATCH(1, (AsistenciaJetAdminConcatenada!$A:$A=DO$2)*(AsistenciaJetAdminConcatenada!$B:$B=DO$1), 0)), 1))),  0.5, 0))</f>
        <v>0</v>
      </c>
      <c r="DP32" s="47">
        <f t="array" ref="DP32">IF(AND(ISNUMBER(MATCH(DP$2, AsistenciaJetAdminConcatenada!$A:$A, 0)), ISNUMBER(MATCH(DP$1, AsistenciaJetAdminConcatenada!$B:$B, 0)), ISNUMBER(SEARCH($A32,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ISNUMBER(SEARCH($A32, INDEX(AsistenciaJetAdminConcatenada!$D:$D, MATCH(1, (AsistenciaJetAdminConcatenada!$A:$A=DP$2)*(AsistenciaJetAdminConcatenada!$B:$B=DP$1), 0)), 1))),  0.5, 0))</f>
        <v>0</v>
      </c>
      <c r="DQ32" s="47">
        <f t="array" ref="DQ32">IF(AND(ISNUMBER(MATCH(DQ$2, AsistenciaJetAdminConcatenada!$A:$A, 0)), ISNUMBER(MATCH(DQ$1, AsistenciaJetAdminConcatenada!$B:$B, 0)), ISNUMBER(SEARCH($A32,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ISNUMBER(SEARCH($A32, INDEX(AsistenciaJetAdminConcatenada!$D:$D, MATCH(1, (AsistenciaJetAdminConcatenada!$A:$A=DQ$2)*(AsistenciaJetAdminConcatenada!$B:$B=DQ$1), 0)), 1))),  0.5, 0))</f>
        <v>0</v>
      </c>
      <c r="DR32" s="47">
        <f t="array" ref="DR32">IF(AND(ISNUMBER(MATCH(DR$2, AsistenciaJetAdminConcatenada!$A:$A, 0)), ISNUMBER(MATCH(DR$1, AsistenciaJetAdminConcatenada!$B:$B, 0)), ISNUMBER(SEARCH($A32,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ISNUMBER(SEARCH($A32, INDEX(AsistenciaJetAdminConcatenada!$D:$D, MATCH(1, (AsistenciaJetAdminConcatenada!$A:$A=DR$2)*(AsistenciaJetAdminConcatenada!$B:$B=DR$1), 0)), 1))),  0.5, 0))</f>
        <v>0</v>
      </c>
      <c r="DS32" s="47">
        <f t="array" ref="DS32">IF(AND(ISNUMBER(MATCH(DS$2, AsistenciaJetAdminConcatenada!$A:$A, 0)), ISNUMBER(MATCH(DS$1, AsistenciaJetAdminConcatenada!$B:$B, 0)), ISNUMBER(SEARCH($A32,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ISNUMBER(SEARCH($A32, INDEX(AsistenciaJetAdminConcatenada!$D:$D, MATCH(1, (AsistenciaJetAdminConcatenada!$A:$A=DS$2)*(AsistenciaJetAdminConcatenada!$B:$B=DS$1), 0)), 1))),  0.5, 0))</f>
        <v>0</v>
      </c>
      <c r="DT32" s="47">
        <f t="array" ref="DT32">IF(AND(ISNUMBER(MATCH(DT$2, AsistenciaJetAdminConcatenada!$A:$A, 0)), ISNUMBER(MATCH(DT$1, AsistenciaJetAdminConcatenada!$B:$B, 0)), ISNUMBER(SEARCH($A32,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ISNUMBER(SEARCH($A32, INDEX(AsistenciaJetAdminConcatenada!$D:$D, MATCH(1, (AsistenciaJetAdminConcatenada!$A:$A=DT$2)*(AsistenciaJetAdminConcatenada!$B:$B=DT$1), 0)), 1))),  0.5, 0))</f>
        <v>0</v>
      </c>
      <c r="DU32" s="47">
        <f t="array" ref="DU32">IF(AND(ISNUMBER(MATCH(DU$2, AsistenciaJetAdminConcatenada!$A:$A, 0)), ISNUMBER(MATCH(DU$1, AsistenciaJetAdminConcatenada!$B:$B, 0)), ISNUMBER(SEARCH($A32,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ISNUMBER(SEARCH($A32, INDEX(AsistenciaJetAdminConcatenada!$D:$D, MATCH(1, (AsistenciaJetAdminConcatenada!$A:$A=DU$2)*(AsistenciaJetAdminConcatenada!$B:$B=DU$1), 0)), 1))),  0.5, 0))</f>
        <v>0</v>
      </c>
      <c r="DV32" s="47">
        <f t="array" ref="DV32">IF(AND(ISNUMBER(MATCH(DV$2, AsistenciaJetAdminConcatenada!$A:$A, 0)), ISNUMBER(MATCH(DV$1, AsistenciaJetAdminConcatenada!$B:$B, 0)), ISNUMBER(SEARCH($A32,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ISNUMBER(SEARCH($A32, INDEX(AsistenciaJetAdminConcatenada!$D:$D, MATCH(1, (AsistenciaJetAdminConcatenada!$A:$A=DV$2)*(AsistenciaJetAdminConcatenada!$B:$B=DV$1), 0)), 1))),  0.5, 0))</f>
        <v>0</v>
      </c>
      <c r="DW32" s="47">
        <f t="array" ref="DW32">IF(AND(ISNUMBER(MATCH(DW$2, AsistenciaJetAdminConcatenada!$A:$A, 0)), ISNUMBER(MATCH(DW$1, AsistenciaJetAdminConcatenada!$B:$B, 0)), ISNUMBER(SEARCH($A32,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ISNUMBER(SEARCH($A32, INDEX(AsistenciaJetAdminConcatenada!$D:$D, MATCH(1, (AsistenciaJetAdminConcatenada!$A:$A=DW$2)*(AsistenciaJetAdminConcatenada!$B:$B=DW$1), 0)), 1))),  0.5, 0))</f>
        <v>0</v>
      </c>
      <c r="DX32" s="47">
        <f t="array" ref="DX32">IF(AND(ISNUMBER(MATCH(DX$2, AsistenciaJetAdminConcatenada!$A:$A, 0)), ISNUMBER(MATCH(DX$1, AsistenciaJetAdminConcatenada!$B:$B, 0)), ISNUMBER(SEARCH($A32,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ISNUMBER(SEARCH($A32, INDEX(AsistenciaJetAdminConcatenada!$D:$D, MATCH(1, (AsistenciaJetAdminConcatenada!$A:$A=DX$2)*(AsistenciaJetAdminConcatenada!$B:$B=DX$1), 0)), 1))),  0.5, 0))</f>
        <v>0</v>
      </c>
      <c r="DY32" s="47">
        <f t="array" ref="DY32">IF(AND(ISNUMBER(MATCH(DY$2, AsistenciaJetAdminConcatenada!$A:$A, 0)), ISNUMBER(MATCH(DY$1, AsistenciaJetAdminConcatenada!$B:$B, 0)), ISNUMBER(SEARCH($A32,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ISNUMBER(SEARCH($A32, INDEX(AsistenciaJetAdminConcatenada!$D:$D, MATCH(1, (AsistenciaJetAdminConcatenada!$A:$A=DY$2)*(AsistenciaJetAdminConcatenada!$B:$B=DY$1), 0)), 1))),  0.5, 0))</f>
        <v>0</v>
      </c>
      <c r="DZ32" s="47">
        <f t="array" ref="DZ32">IF(AND(ISNUMBER(MATCH(DZ$2, AsistenciaJetAdminConcatenada!$A:$A, 0)), ISNUMBER(MATCH(DZ$1, AsistenciaJetAdminConcatenada!$B:$B, 0)), ISNUMBER(SEARCH($A32,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ISNUMBER(SEARCH($A32, INDEX(AsistenciaJetAdminConcatenada!$D:$D, MATCH(1, (AsistenciaJetAdminConcatenada!$A:$A=DZ$2)*(AsistenciaJetAdminConcatenada!$B:$B=DZ$1), 0)), 1))),  0.5, 0))</f>
        <v>0</v>
      </c>
      <c r="EA32" s="47">
        <f t="array" ref="EA32">IF(AND(ISNUMBER(MATCH(EA$2, AsistenciaJetAdminConcatenada!$A:$A, 0)), ISNUMBER(MATCH(EA$1, AsistenciaJetAdminConcatenada!$B:$B, 0)), ISNUMBER(SEARCH($A32,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ISNUMBER(SEARCH($A32, INDEX(AsistenciaJetAdminConcatenada!$D:$D, MATCH(1, (AsistenciaJetAdminConcatenada!$A:$A=EA$2)*(AsistenciaJetAdminConcatenada!$B:$B=EA$1), 0)), 1))),  0.5, 0))</f>
        <v>0</v>
      </c>
      <c r="EB32" s="47">
        <f t="array" ref="EB32">IF(AND(ISNUMBER(MATCH(EB$2, AsistenciaJetAdminConcatenada!$A:$A, 0)), ISNUMBER(MATCH(EB$1, AsistenciaJetAdminConcatenada!$B:$B, 0)), ISNUMBER(SEARCH($A32,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ISNUMBER(SEARCH($A32, INDEX(AsistenciaJetAdminConcatenada!$D:$D, MATCH(1, (AsistenciaJetAdminConcatenada!$A:$A=EB$2)*(AsistenciaJetAdminConcatenada!$B:$B=EB$1), 0)), 1))),  0.5, 0))</f>
        <v>0</v>
      </c>
      <c r="EC32" s="47">
        <f t="array" ref="EC32">IF(AND(ISNUMBER(MATCH(EC$2, AsistenciaJetAdminConcatenada!$A:$A, 0)), ISNUMBER(MATCH(EC$1, AsistenciaJetAdminConcatenada!$B:$B, 0)), ISNUMBER(SEARCH($A32,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ISNUMBER(SEARCH($A32, INDEX(AsistenciaJetAdminConcatenada!$D:$D, MATCH(1, (AsistenciaJetAdminConcatenada!$A:$A=EC$2)*(AsistenciaJetAdminConcatenada!$B:$B=EC$1), 0)), 1))),  0.5, 0))</f>
        <v>0</v>
      </c>
      <c r="ED32" s="47">
        <f t="array" ref="ED32">IF(AND(ISNUMBER(MATCH(ED$2, AsistenciaJetAdminConcatenada!$A:$A, 0)), ISNUMBER(MATCH(ED$1, AsistenciaJetAdminConcatenada!$B:$B, 0)), ISNUMBER(SEARCH($A32,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ISNUMBER(SEARCH($A32, INDEX(AsistenciaJetAdminConcatenada!$D:$D, MATCH(1, (AsistenciaJetAdminConcatenada!$A:$A=ED$2)*(AsistenciaJetAdminConcatenada!$B:$B=ED$1), 0)), 1))),  0.5, 0))</f>
        <v>0</v>
      </c>
      <c r="EE32" s="47">
        <f t="array" ref="EE32">IF(AND(ISNUMBER(MATCH(EE$2, AsistenciaJetAdminConcatenada!$A:$A, 0)), ISNUMBER(MATCH(EE$1, AsistenciaJetAdminConcatenada!$B:$B, 0)), ISNUMBER(SEARCH($A32,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ISNUMBER(SEARCH($A32, INDEX(AsistenciaJetAdminConcatenada!$D:$D, MATCH(1, (AsistenciaJetAdminConcatenada!$A:$A=EE$2)*(AsistenciaJetAdminConcatenada!$B:$B=EE$1), 0)), 1))),  0.5, 0))</f>
        <v>0</v>
      </c>
      <c r="EF32" s="47">
        <f t="array" ref="EF32">IF(AND(ISNUMBER(MATCH(EF$2, AsistenciaJetAdminConcatenada!$A:$A, 0)), ISNUMBER(MATCH(EF$1, AsistenciaJetAdminConcatenada!$B:$B, 0)), ISNUMBER(SEARCH($A32,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ISNUMBER(SEARCH($A32, INDEX(AsistenciaJetAdminConcatenada!$D:$D, MATCH(1, (AsistenciaJetAdminConcatenada!$A:$A=EF$2)*(AsistenciaJetAdminConcatenada!$B:$B=EF$1), 0)), 1))),  0.5, 0))</f>
        <v>0</v>
      </c>
      <c r="EG32" s="47">
        <f t="array" ref="EG32">IF(AND(ISNUMBER(MATCH(EG$2, AsistenciaJetAdminConcatenada!$A:$A, 0)), ISNUMBER(MATCH(EG$1, AsistenciaJetAdminConcatenada!$B:$B, 0)), ISNUMBER(SEARCH($A32,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ISNUMBER(SEARCH($A32, INDEX(AsistenciaJetAdminConcatenada!$D:$D, MATCH(1, (AsistenciaJetAdminConcatenada!$A:$A=EG$2)*(AsistenciaJetAdminConcatenada!$B:$B=EG$1), 0)), 1))),  0.5, 0))</f>
        <v>0</v>
      </c>
      <c r="EH32" s="47">
        <f t="array" ref="EH32">IF(AND(ISNUMBER(MATCH(EH$2, AsistenciaJetAdminConcatenada!$A:$A, 0)), ISNUMBER(MATCH(EH$1, AsistenciaJetAdminConcatenada!$B:$B, 0)), ISNUMBER(SEARCH($A32,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ISNUMBER(SEARCH($A32, INDEX(AsistenciaJetAdminConcatenada!$D:$D, MATCH(1, (AsistenciaJetAdminConcatenada!$A:$A=EH$2)*(AsistenciaJetAdminConcatenada!$B:$B=EH$1), 0)), 1))),  0.5, 0))</f>
        <v>0</v>
      </c>
      <c r="EI32" s="47">
        <f t="array" ref="EI32">IF(AND(ISNUMBER(MATCH(EI$2, AsistenciaJetAdminConcatenada!$A:$A, 0)), ISNUMBER(MATCH(EI$1, AsistenciaJetAdminConcatenada!$B:$B, 0)), ISNUMBER(SEARCH($A32,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ISNUMBER(SEARCH($A32, INDEX(AsistenciaJetAdminConcatenada!$D:$D, MATCH(1, (AsistenciaJetAdminConcatenada!$A:$A=EI$2)*(AsistenciaJetAdminConcatenada!$B:$B=EI$1), 0)), 1))),  0.5, 0))</f>
        <v>0</v>
      </c>
      <c r="EJ32" s="47">
        <f t="array" ref="EJ32">IF(AND(ISNUMBER(MATCH(EJ$2, AsistenciaJetAdminConcatenada!$A:$A, 0)), ISNUMBER(MATCH(EJ$1, AsistenciaJetAdminConcatenada!$B:$B, 0)), ISNUMBER(SEARCH($A32,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ISNUMBER(SEARCH($A32, INDEX(AsistenciaJetAdminConcatenada!$D:$D, MATCH(1, (AsistenciaJetAdminConcatenada!$A:$A=EJ$2)*(AsistenciaJetAdminConcatenada!$B:$B=EJ$1), 0)), 1))),  0.5, 0))</f>
        <v>0</v>
      </c>
      <c r="EK32" s="47">
        <f t="array" ref="EK32">IF(AND(ISNUMBER(MATCH(EK$2, AsistenciaJetAdminConcatenada!$A:$A, 0)), ISNUMBER(MATCH(EK$1, AsistenciaJetAdminConcatenada!$B:$B, 0)), ISNUMBER(SEARCH($A32,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ISNUMBER(SEARCH($A32, INDEX(AsistenciaJetAdminConcatenada!$D:$D, MATCH(1, (AsistenciaJetAdminConcatenada!$A:$A=EK$2)*(AsistenciaJetAdminConcatenada!$B:$B=EK$1), 0)), 1))),  0.5, 0))</f>
        <v>0</v>
      </c>
      <c r="EL32" s="47">
        <f t="array" ref="EL32">IF(AND(ISNUMBER(MATCH(EL$2, AsistenciaJetAdminConcatenada!$A:$A, 0)), ISNUMBER(MATCH(EL$1, AsistenciaJetAdminConcatenada!$B:$B, 0)), ISNUMBER(SEARCH($A32,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ISNUMBER(SEARCH($A32, INDEX(AsistenciaJetAdminConcatenada!$D:$D, MATCH(1, (AsistenciaJetAdminConcatenada!$A:$A=EL$2)*(AsistenciaJetAdminConcatenada!$B:$B=EL$1), 0)), 1))),  0.5, 0))</f>
        <v>0</v>
      </c>
      <c r="EM32" s="47">
        <f t="array" ref="EM32">IF(AND(ISNUMBER(MATCH(EM$2, AsistenciaJetAdminConcatenada!$A:$A, 0)), ISNUMBER(MATCH(EM$1, AsistenciaJetAdminConcatenada!$B:$B, 0)), ISNUMBER(SEARCH($A32,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ISNUMBER(SEARCH($A32, INDEX(AsistenciaJetAdminConcatenada!$D:$D, MATCH(1, (AsistenciaJetAdminConcatenada!$A:$A=EM$2)*(AsistenciaJetAdminConcatenada!$B:$B=EM$1), 0)), 1))),  0.5, 0))</f>
        <v>0</v>
      </c>
      <c r="EN32" s="47">
        <f t="array" ref="EN32">IF(AND(ISNUMBER(MATCH(EN$2, AsistenciaJetAdminConcatenada!$A:$A, 0)), ISNUMBER(MATCH(EN$1, AsistenciaJetAdminConcatenada!$B:$B, 0)), ISNUMBER(SEARCH($A32,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ISNUMBER(SEARCH($A32, INDEX(AsistenciaJetAdminConcatenada!$D:$D, MATCH(1, (AsistenciaJetAdminConcatenada!$A:$A=EN$2)*(AsistenciaJetAdminConcatenada!$B:$B=EN$1), 0)), 1))),  0.5, 0))</f>
        <v>0</v>
      </c>
      <c r="EO32" s="47">
        <f t="array" ref="EO32">IF(AND(ISNUMBER(MATCH(EO$2, AsistenciaJetAdminConcatenada!$A:$A, 0)), ISNUMBER(MATCH(EO$1, AsistenciaJetAdminConcatenada!$B:$B, 0)), ISNUMBER(SEARCH($A32,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ISNUMBER(SEARCH($A32, INDEX(AsistenciaJetAdminConcatenada!$D:$D, MATCH(1, (AsistenciaJetAdminConcatenada!$A:$A=EO$2)*(AsistenciaJetAdminConcatenada!$B:$B=EO$1), 0)), 1))),  0.5, 0))</f>
        <v>0</v>
      </c>
      <c r="EP32" s="47">
        <f t="array" ref="EP32">IF(AND(ISNUMBER(MATCH(EP$2, AsistenciaJetAdminConcatenada!$A:$A, 0)), ISNUMBER(MATCH(EP$1, AsistenciaJetAdminConcatenada!$B:$B, 0)), ISNUMBER(SEARCH($A32,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ISNUMBER(SEARCH($A32, INDEX(AsistenciaJetAdminConcatenada!$D:$D, MATCH(1, (AsistenciaJetAdminConcatenada!$A:$A=EP$2)*(AsistenciaJetAdminConcatenada!$B:$B=EP$1), 0)), 1))),  0.5, 0))</f>
        <v>0</v>
      </c>
      <c r="EQ32" s="47">
        <f t="array" ref="EQ32">IF(AND(ISNUMBER(MATCH(EQ$2, AsistenciaJetAdminConcatenada!$A:$A, 0)), ISNUMBER(MATCH(EQ$1, AsistenciaJetAdminConcatenada!$B:$B, 0)), ISNUMBER(SEARCH($A32,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ISNUMBER(SEARCH($A32, INDEX(AsistenciaJetAdminConcatenada!$D:$D, MATCH(1, (AsistenciaJetAdminConcatenada!$A:$A=EQ$2)*(AsistenciaJetAdminConcatenada!$B:$B=EQ$1), 0)), 1))),  0.5, 0))</f>
        <v>0</v>
      </c>
      <c r="ER32" s="47">
        <f t="array" ref="ER32">IF(AND(ISNUMBER(MATCH(ER$2, AsistenciaJetAdminConcatenada!$A:$A, 0)), ISNUMBER(MATCH(ER$1, AsistenciaJetAdminConcatenada!$B:$B, 0)), ISNUMBER(SEARCH($A32,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ISNUMBER(SEARCH($A32, INDEX(AsistenciaJetAdminConcatenada!$D:$D, MATCH(1, (AsistenciaJetAdminConcatenada!$A:$A=ER$2)*(AsistenciaJetAdminConcatenada!$B:$B=ER$1), 0)), 1))),  0.5, 0))</f>
        <v>0</v>
      </c>
      <c r="ES32" s="47">
        <f t="array" ref="ES32">IF(AND(ISNUMBER(MATCH(ES$2, AsistenciaJetAdminConcatenada!$A:$A, 0)), ISNUMBER(MATCH(ES$1, AsistenciaJetAdminConcatenada!$B:$B, 0)), ISNUMBER(SEARCH($A32,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ISNUMBER(SEARCH($A32, INDEX(AsistenciaJetAdminConcatenada!$D:$D, MATCH(1, (AsistenciaJetAdminConcatenada!$A:$A=ES$2)*(AsistenciaJetAdminConcatenada!$B:$B=ES$1), 0)), 1))),  0.5, 0))</f>
        <v>0</v>
      </c>
      <c r="ET32" s="47">
        <f t="array" ref="ET32">IF(AND(ISNUMBER(MATCH(ET$2, AsistenciaJetAdminConcatenada!$A:$A, 0)), ISNUMBER(MATCH(ET$1, AsistenciaJetAdminConcatenada!$B:$B, 0)), ISNUMBER(SEARCH($A32,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ISNUMBER(SEARCH($A32, INDEX(AsistenciaJetAdminConcatenada!$D:$D, MATCH(1, (AsistenciaJetAdminConcatenada!$A:$A=ET$2)*(AsistenciaJetAdminConcatenada!$B:$B=ET$1), 0)), 1))),  0.5, 0))</f>
        <v>0</v>
      </c>
      <c r="EU32" s="47">
        <f t="array" ref="EU32">IF(AND(ISNUMBER(MATCH(EU$2, AsistenciaJetAdminConcatenada!$A:$A, 0)), ISNUMBER(MATCH(EU$1, AsistenciaJetAdminConcatenada!$B:$B, 0)), ISNUMBER(SEARCH($A32,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ISNUMBER(SEARCH($A32, INDEX(AsistenciaJetAdminConcatenada!$D:$D, MATCH(1, (AsistenciaJetAdminConcatenada!$A:$A=EU$2)*(AsistenciaJetAdminConcatenada!$B:$B=EU$1), 0)), 1))),  0.5, 0))</f>
        <v>0</v>
      </c>
      <c r="EV32" s="47">
        <f t="array" ref="EV32">IF(AND(ISNUMBER(MATCH(EV$2, AsistenciaJetAdminConcatenada!$A:$A, 0)), ISNUMBER(MATCH(EV$1, AsistenciaJetAdminConcatenada!$B:$B, 0)), ISNUMBER(SEARCH($A32,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ISNUMBER(SEARCH($A32, INDEX(AsistenciaJetAdminConcatenada!$D:$D, MATCH(1, (AsistenciaJetAdminConcatenada!$A:$A=EV$2)*(AsistenciaJetAdminConcatenada!$B:$B=EV$1), 0)), 1))),  0.5, 0))</f>
        <v>0</v>
      </c>
      <c r="EW32" s="47">
        <f t="array" ref="EW32">IF(AND(ISNUMBER(MATCH(EW$2, AsistenciaJetAdminConcatenada!$A:$A, 0)), ISNUMBER(MATCH(EW$1, AsistenciaJetAdminConcatenada!$B:$B, 0)), ISNUMBER(SEARCH($A32,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ISNUMBER(SEARCH($A32, INDEX(AsistenciaJetAdminConcatenada!$D:$D, MATCH(1, (AsistenciaJetAdminConcatenada!$A:$A=EW$2)*(AsistenciaJetAdminConcatenada!$B:$B=EW$1), 0)), 1))),  0.5, 0))</f>
        <v>0</v>
      </c>
      <c r="EX32" s="47">
        <f t="array" ref="EX32">IF(AND(ISNUMBER(MATCH(EX$2, AsistenciaJetAdminConcatenada!$A:$A, 0)), ISNUMBER(MATCH(EX$1, AsistenciaJetAdminConcatenada!$B:$B, 0)), ISNUMBER(SEARCH($A32,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ISNUMBER(SEARCH($A32, INDEX(AsistenciaJetAdminConcatenada!$D:$D, MATCH(1, (AsistenciaJetAdminConcatenada!$A:$A=EX$2)*(AsistenciaJetAdminConcatenada!$B:$B=EX$1), 0)), 1))),  0.5, 0))</f>
        <v>0</v>
      </c>
      <c r="EY32" s="47">
        <f t="array" ref="EY32">IF(AND(ISNUMBER(MATCH(EY$2, AsistenciaJetAdminConcatenada!$A:$A, 0)), ISNUMBER(MATCH(EY$1, AsistenciaJetAdminConcatenada!$B:$B, 0)), ISNUMBER(SEARCH($A32,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ISNUMBER(SEARCH($A32, INDEX(AsistenciaJetAdminConcatenada!$D:$D, MATCH(1, (AsistenciaJetAdminConcatenada!$A:$A=EY$2)*(AsistenciaJetAdminConcatenada!$B:$B=EY$1), 0)), 1))),  0.5, 0))</f>
        <v>0</v>
      </c>
      <c r="EZ32" s="47">
        <f t="array" ref="EZ32">IF(AND(ISNUMBER(MATCH(EZ$2, AsistenciaJetAdminConcatenada!$A:$A, 0)), ISNUMBER(MATCH(EZ$1, AsistenciaJetAdminConcatenada!$B:$B, 0)), ISNUMBER(SEARCH($A32,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ISNUMBER(SEARCH($A32, INDEX(AsistenciaJetAdminConcatenada!$D:$D, MATCH(1, (AsistenciaJetAdminConcatenada!$A:$A=EZ$2)*(AsistenciaJetAdminConcatenada!$B:$B=EZ$1), 0)), 1))),  0.5, 0))</f>
        <v>0</v>
      </c>
      <c r="FA32" s="47">
        <f t="array" ref="FA32">IF(AND(ISNUMBER(MATCH(FA$2, AsistenciaJetAdminConcatenada!$A:$A, 0)), ISNUMBER(MATCH(FA$1, AsistenciaJetAdminConcatenada!$B:$B, 0)), ISNUMBER(SEARCH($A32,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ISNUMBER(SEARCH($A32, INDEX(AsistenciaJetAdminConcatenada!$D:$D, MATCH(1, (AsistenciaJetAdminConcatenada!$A:$A=FA$2)*(AsistenciaJetAdminConcatenada!$B:$B=FA$1), 0)), 1))),  0.5, 0))</f>
        <v>0</v>
      </c>
      <c r="FB32" s="47">
        <f t="array" ref="FB32">IF(AND(ISNUMBER(MATCH(FB$2, AsistenciaJetAdminConcatenada!$A:$A, 0)), ISNUMBER(MATCH(FB$1, AsistenciaJetAdminConcatenada!$B:$B, 0)), ISNUMBER(SEARCH($A32,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ISNUMBER(SEARCH($A32, INDEX(AsistenciaJetAdminConcatenada!$D:$D, MATCH(1, (AsistenciaJetAdminConcatenada!$A:$A=FB$2)*(AsistenciaJetAdminConcatenada!$B:$B=FB$1), 0)), 1))),  0.5, 0))</f>
        <v>0</v>
      </c>
      <c r="FC32" s="47">
        <f t="array" ref="FC32">IF(AND(ISNUMBER(MATCH(FC$2, AsistenciaJetAdminConcatenada!$A:$A, 0)), ISNUMBER(MATCH(FC$1, AsistenciaJetAdminConcatenada!$B:$B, 0)), ISNUMBER(SEARCH($A32,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ISNUMBER(SEARCH($A32, INDEX(AsistenciaJetAdminConcatenada!$D:$D, MATCH(1, (AsistenciaJetAdminConcatenada!$A:$A=FC$2)*(AsistenciaJetAdminConcatenada!$B:$B=FC$1), 0)), 1))),  0.5, 0))</f>
        <v>0</v>
      </c>
      <c r="FD32" s="47">
        <f t="array" ref="FD32">IF(AND(ISNUMBER(MATCH(FD$2, AsistenciaJetAdminConcatenada!$A:$A, 0)), ISNUMBER(MATCH(FD$1, AsistenciaJetAdminConcatenada!$B:$B, 0)), ISNUMBER(SEARCH($A32,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ISNUMBER(SEARCH($A32, INDEX(AsistenciaJetAdminConcatenada!$D:$D, MATCH(1, (AsistenciaJetAdminConcatenada!$A:$A=FD$2)*(AsistenciaJetAdminConcatenada!$B:$B=FD$1), 0)), 1))),  0.5, 0))</f>
        <v>0</v>
      </c>
      <c r="FE32" s="47">
        <f t="array" ref="FE32">IF(AND(ISNUMBER(MATCH(FE$2, AsistenciaJetAdminConcatenada!$A:$A, 0)), ISNUMBER(MATCH(FE$1, AsistenciaJetAdminConcatenada!$B:$B, 0)), ISNUMBER(SEARCH($A32,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ISNUMBER(SEARCH($A32, INDEX(AsistenciaJetAdminConcatenada!$D:$D, MATCH(1, (AsistenciaJetAdminConcatenada!$A:$A=FE$2)*(AsistenciaJetAdminConcatenada!$B:$B=FE$1), 0)), 1))),  0.5, 0))</f>
        <v>0</v>
      </c>
      <c r="FF32" s="47">
        <f t="array" ref="FF32">IF(AND(ISNUMBER(MATCH(FF$2, AsistenciaJetAdminConcatenada!$A:$A, 0)), ISNUMBER(MATCH(FF$1, AsistenciaJetAdminConcatenada!$B:$B, 0)), ISNUMBER(SEARCH($A32,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ISNUMBER(SEARCH($A32, INDEX(AsistenciaJetAdminConcatenada!$D:$D, MATCH(1, (AsistenciaJetAdminConcatenada!$A:$A=FF$2)*(AsistenciaJetAdminConcatenada!$B:$B=FF$1), 0)), 1))),  0.5, 0))</f>
        <v>0</v>
      </c>
      <c r="FG32" s="47">
        <f t="array" ref="FG32">IF(AND(ISNUMBER(MATCH(FG$2, AsistenciaJetAdminConcatenada!$A:$A, 0)), ISNUMBER(MATCH(FG$1, AsistenciaJetAdminConcatenada!$B:$B, 0)), ISNUMBER(SEARCH($A32,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ISNUMBER(SEARCH($A32, INDEX(AsistenciaJetAdminConcatenada!$D:$D, MATCH(1, (AsistenciaJetAdminConcatenada!$A:$A=FG$2)*(AsistenciaJetAdminConcatenada!$B:$B=FG$1), 0)), 1))),  0.5, 0))</f>
        <v>0</v>
      </c>
      <c r="FH32" s="47">
        <f t="array" ref="FH32">IF(AND(ISNUMBER(MATCH(FH$2, AsistenciaJetAdminConcatenada!$A:$A, 0)), ISNUMBER(MATCH(FH$1, AsistenciaJetAdminConcatenada!$B:$B, 0)), ISNUMBER(SEARCH($A32,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ISNUMBER(SEARCH($A32, INDEX(AsistenciaJetAdminConcatenada!$D:$D, MATCH(1, (AsistenciaJetAdminConcatenada!$A:$A=FH$2)*(AsistenciaJetAdminConcatenada!$B:$B=FH$1), 0)), 1))),  0.5, 0))</f>
        <v>0</v>
      </c>
      <c r="FI32" s="47">
        <f t="array" ref="FI32">IF(AND(ISNUMBER(MATCH(FI$2, AsistenciaJetAdminConcatenada!$A:$A, 0)), ISNUMBER(MATCH(FI$1, AsistenciaJetAdminConcatenada!$B:$B, 0)), ISNUMBER(SEARCH($A32,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ISNUMBER(SEARCH($A32, INDEX(AsistenciaJetAdminConcatenada!$D:$D, MATCH(1, (AsistenciaJetAdminConcatenada!$A:$A=FI$2)*(AsistenciaJetAdminConcatenada!$B:$B=FI$1), 0)), 1))),  0.5, 0))</f>
        <v>0</v>
      </c>
      <c r="FJ32" s="47">
        <f t="array" ref="FJ32">IF(AND(ISNUMBER(MATCH(FJ$2, AsistenciaJetAdminConcatenada!$A:$A, 0)), ISNUMBER(MATCH(FJ$1, AsistenciaJetAdminConcatenada!$B:$B, 0)), ISNUMBER(SEARCH($A32,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ISNUMBER(SEARCH($A32, INDEX(AsistenciaJetAdminConcatenada!$D:$D, MATCH(1, (AsistenciaJetAdminConcatenada!$A:$A=FJ$2)*(AsistenciaJetAdminConcatenada!$B:$B=FJ$1), 0)), 1))),  0.5, 0))</f>
        <v>0</v>
      </c>
      <c r="FK32" s="47">
        <f t="array" ref="FK32">IF(AND(ISNUMBER(MATCH(FK$2, AsistenciaJetAdminConcatenada!$A:$A, 0)), ISNUMBER(MATCH(FK$1, AsistenciaJetAdminConcatenada!$B:$B, 0)), ISNUMBER(SEARCH($A32,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ISNUMBER(SEARCH($A32, INDEX(AsistenciaJetAdminConcatenada!$D:$D, MATCH(1, (AsistenciaJetAdminConcatenada!$A:$A=FK$2)*(AsistenciaJetAdminConcatenada!$B:$B=FK$1), 0)), 1))),  0.5, 0))</f>
        <v>0</v>
      </c>
      <c r="FL32" s="47">
        <f t="array" ref="FL32">IF(AND(ISNUMBER(MATCH(FL$2, AsistenciaJetAdminConcatenada!$A:$A, 0)), ISNUMBER(MATCH(FL$1, AsistenciaJetAdminConcatenada!$B:$B, 0)), ISNUMBER(SEARCH($A32,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ISNUMBER(SEARCH($A32, INDEX(AsistenciaJetAdminConcatenada!$D:$D, MATCH(1, (AsistenciaJetAdminConcatenada!$A:$A=FL$2)*(AsistenciaJetAdminConcatenada!$B:$B=FL$1), 0)), 1))),  0.5, 0))</f>
        <v>0</v>
      </c>
      <c r="FM32" s="47">
        <f t="array" ref="FM32">IF(AND(ISNUMBER(MATCH(FM$2, AsistenciaJetAdminConcatenada!$A:$A, 0)), ISNUMBER(MATCH(FM$1, AsistenciaJetAdminConcatenada!$B:$B, 0)), ISNUMBER(SEARCH($A32,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ISNUMBER(SEARCH($A32, INDEX(AsistenciaJetAdminConcatenada!$D:$D, MATCH(1, (AsistenciaJetAdminConcatenada!$A:$A=FM$2)*(AsistenciaJetAdminConcatenada!$B:$B=FM$1), 0)), 1))),  0.5, 0))</f>
        <v>0</v>
      </c>
      <c r="FN32" s="47">
        <f t="array" ref="FN32">IF(AND(ISNUMBER(MATCH(FN$2, AsistenciaJetAdminConcatenada!$A:$A, 0)), ISNUMBER(MATCH(FN$1, AsistenciaJetAdminConcatenada!$B:$B, 0)), ISNUMBER(SEARCH($A32,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ISNUMBER(SEARCH($A32, INDEX(AsistenciaJetAdminConcatenada!$D:$D, MATCH(1, (AsistenciaJetAdminConcatenada!$A:$A=FN$2)*(AsistenciaJetAdminConcatenada!$B:$B=FN$1), 0)), 1))),  0.5, 0))</f>
        <v>0</v>
      </c>
      <c r="FO32" s="47">
        <f t="array" ref="FO32">IF(AND(ISNUMBER(MATCH(FO$2, AsistenciaJetAdminConcatenada!$A:$A, 0)), ISNUMBER(MATCH(FO$1, AsistenciaJetAdminConcatenada!$B:$B, 0)), ISNUMBER(SEARCH($A32,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ISNUMBER(SEARCH($A32, INDEX(AsistenciaJetAdminConcatenada!$D:$D, MATCH(1, (AsistenciaJetAdminConcatenada!$A:$A=FO$2)*(AsistenciaJetAdminConcatenada!$B:$B=FO$1), 0)), 1))),  0.5, 0))</f>
        <v>0</v>
      </c>
      <c r="FP32" s="47">
        <f t="array" ref="FP32">IF(AND(ISNUMBER(MATCH(FP$2, AsistenciaJetAdminConcatenada!$A:$A, 0)), ISNUMBER(MATCH(FP$1, AsistenciaJetAdminConcatenada!$B:$B, 0)), ISNUMBER(SEARCH($A32,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ISNUMBER(SEARCH($A32, INDEX(AsistenciaJetAdminConcatenada!$D:$D, MATCH(1, (AsistenciaJetAdminConcatenada!$A:$A=FP$2)*(AsistenciaJetAdminConcatenada!$B:$B=FP$1), 0)), 1))),  0.5, 0))</f>
        <v>0</v>
      </c>
      <c r="FQ32" s="47">
        <f t="array" ref="FQ32">IF(AND(ISNUMBER(MATCH(FQ$2, AsistenciaJetAdminConcatenada!$A:$A, 0)), ISNUMBER(MATCH(FQ$1, AsistenciaJetAdminConcatenada!$B:$B, 0)), ISNUMBER(SEARCH($A32,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ISNUMBER(SEARCH($A32, INDEX(AsistenciaJetAdminConcatenada!$D:$D, MATCH(1, (AsistenciaJetAdminConcatenada!$A:$A=FQ$2)*(AsistenciaJetAdminConcatenada!$B:$B=FQ$1), 0)), 1))),  0.5, 0))</f>
        <v>0</v>
      </c>
      <c r="FR32" s="47">
        <f t="array" ref="FR32">IF(AND(ISNUMBER(MATCH(FR$2, AsistenciaJetAdminConcatenada!$A:$A, 0)), ISNUMBER(MATCH(FR$1, AsistenciaJetAdminConcatenada!$B:$B, 0)), ISNUMBER(SEARCH($A32,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ISNUMBER(SEARCH($A32, INDEX(AsistenciaJetAdminConcatenada!$D:$D, MATCH(1, (AsistenciaJetAdminConcatenada!$A:$A=FR$2)*(AsistenciaJetAdminConcatenada!$B:$B=FR$1), 0)), 1))),  0.5, 0))</f>
        <v>0</v>
      </c>
      <c r="FS32" s="47">
        <f t="array" ref="FS32">IF(AND(ISNUMBER(MATCH(FS$2, AsistenciaJetAdminConcatenada!$A:$A, 0)), ISNUMBER(MATCH(FS$1, AsistenciaJetAdminConcatenada!$B:$B, 0)), ISNUMBER(SEARCH($A32,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ISNUMBER(SEARCH($A32, INDEX(AsistenciaJetAdminConcatenada!$D:$D, MATCH(1, (AsistenciaJetAdminConcatenada!$A:$A=FS$2)*(AsistenciaJetAdminConcatenada!$B:$B=FS$1), 0)), 1))),  0.5, 0))</f>
        <v>0</v>
      </c>
      <c r="FT32" s="47">
        <f t="array" ref="FT32">IF(AND(ISNUMBER(MATCH(FT$2, AsistenciaJetAdminConcatenada!$A:$A, 0)), ISNUMBER(MATCH(FT$1, AsistenciaJetAdminConcatenada!$B:$B, 0)), ISNUMBER(SEARCH($A32,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ISNUMBER(SEARCH($A32, INDEX(AsistenciaJetAdminConcatenada!$D:$D, MATCH(1, (AsistenciaJetAdminConcatenada!$A:$A=FT$2)*(AsistenciaJetAdminConcatenada!$B:$B=FT$1), 0)), 1))),  0.5, 0))</f>
        <v>0</v>
      </c>
      <c r="FU32" s="47">
        <f t="array" ref="FU32">IF(AND(ISNUMBER(MATCH(FU$2, AsistenciaJetAdminConcatenada!$A:$A, 0)), ISNUMBER(MATCH(FU$1, AsistenciaJetAdminConcatenada!$B:$B, 0)), ISNUMBER(SEARCH($A32,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ISNUMBER(SEARCH($A32, INDEX(AsistenciaJetAdminConcatenada!$D:$D, MATCH(1, (AsistenciaJetAdminConcatenada!$A:$A=FU$2)*(AsistenciaJetAdminConcatenada!$B:$B=FU$1), 0)), 1))),  0.5, 0))</f>
        <v>0</v>
      </c>
      <c r="FV32" s="47">
        <f t="array" ref="FV32">IF(AND(ISNUMBER(MATCH(FV$2, AsistenciaJetAdminConcatenada!$A:$A, 0)), ISNUMBER(MATCH(FV$1, AsistenciaJetAdminConcatenada!$B:$B, 0)), ISNUMBER(SEARCH($A32,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ISNUMBER(SEARCH($A32, INDEX(AsistenciaJetAdminConcatenada!$D:$D, MATCH(1, (AsistenciaJetAdminConcatenada!$A:$A=FV$2)*(AsistenciaJetAdminConcatenada!$B:$B=FV$1), 0)), 1))),  0.5, 0))</f>
        <v>0</v>
      </c>
      <c r="FW32" s="47">
        <f t="array" ref="FW32">IF(AND(ISNUMBER(MATCH(FW$2, AsistenciaJetAdminConcatenada!$A:$A, 0)), ISNUMBER(MATCH(FW$1, AsistenciaJetAdminConcatenada!$B:$B, 0)), ISNUMBER(SEARCH($A32,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ISNUMBER(SEARCH($A32, INDEX(AsistenciaJetAdminConcatenada!$D:$D, MATCH(1, (AsistenciaJetAdminConcatenada!$A:$A=FW$2)*(AsistenciaJetAdminConcatenada!$B:$B=FW$1), 0)), 1))),  0.5, 0))</f>
        <v>0</v>
      </c>
      <c r="FX32" s="47">
        <f t="array" ref="FX32">IF(AND(ISNUMBER(MATCH(FX$2, AsistenciaJetAdminConcatenada!$A:$A, 0)), ISNUMBER(MATCH(FX$1, AsistenciaJetAdminConcatenada!$B:$B, 0)), ISNUMBER(SEARCH($A32,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ISNUMBER(SEARCH($A32, INDEX(AsistenciaJetAdminConcatenada!$D:$D, MATCH(1, (AsistenciaJetAdminConcatenada!$A:$A=FX$2)*(AsistenciaJetAdminConcatenada!$B:$B=FX$1), 0)), 1))),  0.5, 0))</f>
        <v>0</v>
      </c>
      <c r="FY32" s="47">
        <f t="array" ref="FY32">IF(AND(ISNUMBER(MATCH(FY$2, AsistenciaJetAdminConcatenada!$A:$A, 0)), ISNUMBER(MATCH(FY$1, AsistenciaJetAdminConcatenada!$B:$B, 0)), ISNUMBER(SEARCH($A32,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ISNUMBER(SEARCH($A32, INDEX(AsistenciaJetAdminConcatenada!$D:$D, MATCH(1, (AsistenciaJetAdminConcatenada!$A:$A=FY$2)*(AsistenciaJetAdminConcatenada!$B:$B=FY$1), 0)), 1))),  0.5, 0))</f>
        <v>0</v>
      </c>
      <c r="FZ32" s="47">
        <f t="array" ref="FZ32">IF(AND(ISNUMBER(MATCH(FZ$2, AsistenciaJetAdminConcatenada!$A:$A, 0)), ISNUMBER(MATCH(FZ$1, AsistenciaJetAdminConcatenada!$B:$B, 0)), ISNUMBER(SEARCH($A32,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ISNUMBER(SEARCH($A32, INDEX(AsistenciaJetAdminConcatenada!$D:$D, MATCH(1, (AsistenciaJetAdminConcatenada!$A:$A=FZ$2)*(AsistenciaJetAdminConcatenada!$B:$B=FZ$1), 0)), 1))),  0.5, 0))</f>
        <v>0</v>
      </c>
      <c r="GA32" s="47">
        <f t="array" ref="GA32">IF(AND(ISNUMBER(MATCH(GA$2, AsistenciaJetAdminConcatenada!$A:$A, 0)), ISNUMBER(MATCH(GA$1, AsistenciaJetAdminConcatenada!$B:$B, 0)), ISNUMBER(SEARCH($A32,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ISNUMBER(SEARCH($A32, INDEX(AsistenciaJetAdminConcatenada!$D:$D, MATCH(1, (AsistenciaJetAdminConcatenada!$A:$A=GA$2)*(AsistenciaJetAdminConcatenada!$B:$B=GA$1), 0)), 1))),  0.5, 0))</f>
        <v>0</v>
      </c>
      <c r="GB32" s="47">
        <f t="array" ref="GB32">IF(AND(ISNUMBER(MATCH(GB$2, AsistenciaJetAdminConcatenada!$A:$A, 0)), ISNUMBER(MATCH(GB$1, AsistenciaJetAdminConcatenada!$B:$B, 0)), ISNUMBER(SEARCH($A32,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ISNUMBER(SEARCH($A32, INDEX(AsistenciaJetAdminConcatenada!$D:$D, MATCH(1, (AsistenciaJetAdminConcatenada!$A:$A=GB$2)*(AsistenciaJetAdminConcatenada!$B:$B=GB$1), 0)), 1))),  0.5, 0))</f>
        <v>0</v>
      </c>
      <c r="GC32" s="47">
        <f t="array" ref="GC32">IF(AND(ISNUMBER(MATCH(GC$2, AsistenciaJetAdminConcatenada!$A:$A, 0)), ISNUMBER(MATCH(GC$1, AsistenciaJetAdminConcatenada!$B:$B, 0)), ISNUMBER(SEARCH($A32,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ISNUMBER(SEARCH($A32, INDEX(AsistenciaJetAdminConcatenada!$D:$D, MATCH(1, (AsistenciaJetAdminConcatenada!$A:$A=GC$2)*(AsistenciaJetAdminConcatenada!$B:$B=GC$1), 0)), 1))),  0.5, 0))</f>
        <v>0</v>
      </c>
      <c r="GD32" s="47">
        <f t="array" ref="GD32">IF(AND(ISNUMBER(MATCH(GD$2, AsistenciaJetAdminConcatenada!$A:$A, 0)), ISNUMBER(MATCH(GD$1, AsistenciaJetAdminConcatenada!$B:$B, 0)), ISNUMBER(SEARCH($A32,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ISNUMBER(SEARCH($A32, INDEX(AsistenciaJetAdminConcatenada!$D:$D, MATCH(1, (AsistenciaJetAdminConcatenada!$A:$A=GD$2)*(AsistenciaJetAdminConcatenada!$B:$B=GD$1), 0)), 1))),  0.5, 0))</f>
        <v>0</v>
      </c>
      <c r="GE32" s="47">
        <f t="array" ref="GE32">IF(AND(ISNUMBER(MATCH(GE$2, AsistenciaJetAdminConcatenada!$A:$A, 0)), ISNUMBER(MATCH(GE$1, AsistenciaJetAdminConcatenada!$B:$B, 0)), ISNUMBER(SEARCH($A32,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ISNUMBER(SEARCH($A32, INDEX(AsistenciaJetAdminConcatenada!$D:$D, MATCH(1, (AsistenciaJetAdminConcatenada!$A:$A=GE$2)*(AsistenciaJetAdminConcatenada!$B:$B=GE$1), 0)), 1))),  0.5, 0))</f>
        <v>0</v>
      </c>
      <c r="GF32" s="47">
        <f t="array" ref="GF32">IF(AND(ISNUMBER(MATCH(GF$2, AsistenciaJetAdminConcatenada!$A:$A, 0)), ISNUMBER(MATCH(GF$1, AsistenciaJetAdminConcatenada!$B:$B, 0)), ISNUMBER(SEARCH($A32,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ISNUMBER(SEARCH($A32, INDEX(AsistenciaJetAdminConcatenada!$D:$D, MATCH(1, (AsistenciaJetAdminConcatenada!$A:$A=GF$2)*(AsistenciaJetAdminConcatenada!$B:$B=GF$1), 0)), 1))),  0.5, 0))</f>
        <v>0</v>
      </c>
      <c r="GG32" s="47">
        <f t="array" ref="GG32">IF(AND(ISNUMBER(MATCH(GG$2, AsistenciaJetAdminConcatenada!$A:$A, 0)), ISNUMBER(MATCH(GG$1, AsistenciaJetAdminConcatenada!$B:$B, 0)), ISNUMBER(SEARCH($A32,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ISNUMBER(SEARCH($A32, INDEX(AsistenciaJetAdminConcatenada!$D:$D, MATCH(1, (AsistenciaJetAdminConcatenada!$A:$A=GG$2)*(AsistenciaJetAdminConcatenada!$B:$B=GG$1), 0)), 1))),  0.5, 0))</f>
        <v>0</v>
      </c>
      <c r="GH32" s="47">
        <f t="array" ref="GH32">IF(AND(ISNUMBER(MATCH(GH$2, AsistenciaJetAdminConcatenada!$A:$A, 0)), ISNUMBER(MATCH(GH$1, AsistenciaJetAdminConcatenada!$B:$B, 0)), ISNUMBER(SEARCH($A32,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ISNUMBER(SEARCH($A32, INDEX(AsistenciaJetAdminConcatenada!$D:$D, MATCH(1, (AsistenciaJetAdminConcatenada!$A:$A=GH$2)*(AsistenciaJetAdminConcatenada!$B:$B=GH$1), 0)), 1))),  0.5, 0))</f>
        <v>0</v>
      </c>
      <c r="GI32" s="47">
        <f t="array" ref="GI32">IF(AND(ISNUMBER(MATCH(GI$2, AsistenciaJetAdminConcatenada!$A:$A, 0)), ISNUMBER(MATCH(GI$1, AsistenciaJetAdminConcatenada!$B:$B, 0)), ISNUMBER(SEARCH($A32,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ISNUMBER(SEARCH($A32, INDEX(AsistenciaJetAdminConcatenada!$D:$D, MATCH(1, (AsistenciaJetAdminConcatenada!$A:$A=GI$2)*(AsistenciaJetAdminConcatenada!$B:$B=GI$1), 0)), 1))),  0.5, 0))</f>
        <v>0</v>
      </c>
      <c r="GJ32" s="47">
        <f t="array" ref="GJ32">IF(AND(ISNUMBER(MATCH(GJ$2, AsistenciaJetAdminConcatenada!$A:$A, 0)), ISNUMBER(MATCH(GJ$1, AsistenciaJetAdminConcatenada!$B:$B, 0)), ISNUMBER(SEARCH($A32,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ISNUMBER(SEARCH($A32, INDEX(AsistenciaJetAdminConcatenada!$D:$D, MATCH(1, (AsistenciaJetAdminConcatenada!$A:$A=GJ$2)*(AsistenciaJetAdminConcatenada!$B:$B=GJ$1), 0)), 1))),  0.5, 0))</f>
        <v>0</v>
      </c>
      <c r="GK32" s="47">
        <f t="array" ref="GK32">IF(AND(ISNUMBER(MATCH(GK$2, AsistenciaJetAdminConcatenada!$A:$A, 0)), ISNUMBER(MATCH(GK$1, AsistenciaJetAdminConcatenada!$B:$B, 0)), ISNUMBER(SEARCH($A32,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ISNUMBER(SEARCH($A32, INDEX(AsistenciaJetAdminConcatenada!$D:$D, MATCH(1, (AsistenciaJetAdminConcatenada!$A:$A=GK$2)*(AsistenciaJetAdminConcatenada!$B:$B=GK$1), 0)), 1))),  0.5, 0))</f>
        <v>0</v>
      </c>
      <c r="GL32" s="47">
        <f t="array" ref="GL32">IF(AND(ISNUMBER(MATCH(GL$2, AsistenciaJetAdminConcatenada!$A:$A, 0)), ISNUMBER(MATCH(GL$1, AsistenciaJetAdminConcatenada!$B:$B, 0)), ISNUMBER(SEARCH($A32,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ISNUMBER(SEARCH($A32, INDEX(AsistenciaJetAdminConcatenada!$D:$D, MATCH(1, (AsistenciaJetAdminConcatenada!$A:$A=GL$2)*(AsistenciaJetAdminConcatenada!$B:$B=GL$1), 0)), 1))),  0.5, 0))</f>
        <v>0</v>
      </c>
      <c r="GM32" s="47">
        <f t="array" ref="GM32">IF(AND(ISNUMBER(MATCH(GM$2, AsistenciaJetAdminConcatenada!$A:$A, 0)), ISNUMBER(MATCH(GM$1, AsistenciaJetAdminConcatenada!$B:$B, 0)), ISNUMBER(SEARCH($A32,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ISNUMBER(SEARCH($A32, INDEX(AsistenciaJetAdminConcatenada!$D:$D, MATCH(1, (AsistenciaJetAdminConcatenada!$A:$A=GM$2)*(AsistenciaJetAdminConcatenada!$B:$B=GM$1), 0)), 1))),  0.5, 0))</f>
        <v>0</v>
      </c>
      <c r="GN32" s="47">
        <f t="array" ref="GN32">IF(AND(ISNUMBER(MATCH(GN$2, AsistenciaJetAdminConcatenada!$A:$A, 0)), ISNUMBER(MATCH(GN$1, AsistenciaJetAdminConcatenada!$B:$B, 0)), ISNUMBER(SEARCH($A32,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ISNUMBER(SEARCH($A32, INDEX(AsistenciaJetAdminConcatenada!$D:$D, MATCH(1, (AsistenciaJetAdminConcatenada!$A:$A=GN$2)*(AsistenciaJetAdminConcatenada!$B:$B=GN$1), 0)), 1))),  0.5, 0))</f>
        <v>0</v>
      </c>
      <c r="GO32" s="47">
        <f t="array" ref="GO32">IF(AND(ISNUMBER(MATCH(GO$2, AsistenciaJetAdminConcatenada!$A:$A, 0)), ISNUMBER(MATCH(GO$1, AsistenciaJetAdminConcatenada!$B:$B, 0)), ISNUMBER(SEARCH($A32,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ISNUMBER(SEARCH($A32, INDEX(AsistenciaJetAdminConcatenada!$D:$D, MATCH(1, (AsistenciaJetAdminConcatenada!$A:$A=GO$2)*(AsistenciaJetAdminConcatenada!$B:$B=GO$1), 0)), 1))),  0.5, 0))</f>
        <v>0</v>
      </c>
      <c r="GP32" s="47">
        <f t="array" ref="GP32">IF(AND(ISNUMBER(MATCH(GP$2, AsistenciaJetAdminConcatenada!$A:$A, 0)), ISNUMBER(MATCH(GP$1, AsistenciaJetAdminConcatenada!$B:$B, 0)), ISNUMBER(SEARCH($A32,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ISNUMBER(SEARCH($A32, INDEX(AsistenciaJetAdminConcatenada!$D:$D, MATCH(1, (AsistenciaJetAdminConcatenada!$A:$A=GP$2)*(AsistenciaJetAdminConcatenada!$B:$B=GP$1), 0)), 1))),  0.5, 0))</f>
        <v>0</v>
      </c>
      <c r="GQ32" s="47">
        <f t="array" ref="GQ32">IF(AND(ISNUMBER(MATCH(GQ$2, AsistenciaJetAdminConcatenada!$A:$A, 0)), ISNUMBER(MATCH(GQ$1, AsistenciaJetAdminConcatenada!$B:$B, 0)), ISNUMBER(SEARCH($A32,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ISNUMBER(SEARCH($A32, INDEX(AsistenciaJetAdminConcatenada!$D:$D, MATCH(1, (AsistenciaJetAdminConcatenada!$A:$A=GQ$2)*(AsistenciaJetAdminConcatenada!$B:$B=GQ$1), 0)), 1))),  0.5, 0))</f>
        <v>0</v>
      </c>
      <c r="GR32" s="47">
        <f t="array" ref="GR32">IF(AND(ISNUMBER(MATCH(GR$2, AsistenciaJetAdminConcatenada!$A:$A, 0)), ISNUMBER(MATCH(GR$1, AsistenciaJetAdminConcatenada!$B:$B, 0)), ISNUMBER(SEARCH($A32,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ISNUMBER(SEARCH($A32, INDEX(AsistenciaJetAdminConcatenada!$D:$D, MATCH(1, (AsistenciaJetAdminConcatenada!$A:$A=GR$2)*(AsistenciaJetAdminConcatenada!$B:$B=GR$1), 0)), 1))),  0.5, 0))</f>
        <v>0</v>
      </c>
      <c r="GS32" s="47">
        <f t="array" ref="GS32">IF(AND(ISNUMBER(MATCH(GS$2, AsistenciaJetAdminConcatenada!$A:$A, 0)), ISNUMBER(MATCH(GS$1, AsistenciaJetAdminConcatenada!$B:$B, 0)), ISNUMBER(SEARCH($A32,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ISNUMBER(SEARCH($A32, INDEX(AsistenciaJetAdminConcatenada!$D:$D, MATCH(1, (AsistenciaJetAdminConcatenada!$A:$A=GS$2)*(AsistenciaJetAdminConcatenada!$B:$B=GS$1), 0)), 1))),  0.5, 0))</f>
        <v>0</v>
      </c>
      <c r="GT32" s="47">
        <f t="array" ref="GT32">IF(AND(ISNUMBER(MATCH(GT$2, AsistenciaJetAdminConcatenada!$A:$A, 0)), ISNUMBER(MATCH(GT$1, AsistenciaJetAdminConcatenada!$B:$B, 0)), ISNUMBER(SEARCH($A32,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ISNUMBER(SEARCH($A32, INDEX(AsistenciaJetAdminConcatenada!$D:$D, MATCH(1, (AsistenciaJetAdminConcatenada!$A:$A=GT$2)*(AsistenciaJetAdminConcatenada!$B:$B=GT$1), 0)), 1))),  0.5, 0))</f>
        <v>0</v>
      </c>
      <c r="GU32" s="47">
        <f t="array" ref="GU32">IF(AND(ISNUMBER(MATCH(GU$2, AsistenciaJetAdminConcatenada!$A:$A, 0)), ISNUMBER(MATCH(GU$1, AsistenciaJetAdminConcatenada!$B:$B, 0)), ISNUMBER(SEARCH($A32,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ISNUMBER(SEARCH($A32, INDEX(AsistenciaJetAdminConcatenada!$D:$D, MATCH(1, (AsistenciaJetAdminConcatenada!$A:$A=GU$2)*(AsistenciaJetAdminConcatenada!$B:$B=GU$1), 0)), 1))),  0.5, 0))</f>
        <v>0</v>
      </c>
      <c r="GV32" s="47">
        <f t="array" ref="GV32">IF(AND(ISNUMBER(MATCH(GV$2, AsistenciaJetAdminConcatenada!$A:$A, 0)), ISNUMBER(MATCH(GV$1, AsistenciaJetAdminConcatenada!$B:$B, 0)), ISNUMBER(SEARCH($A32,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ISNUMBER(SEARCH($A32, INDEX(AsistenciaJetAdminConcatenada!$D:$D, MATCH(1, (AsistenciaJetAdminConcatenada!$A:$A=GV$2)*(AsistenciaJetAdminConcatenada!$B:$B=GV$1), 0)), 1))),  0.5, 0))</f>
        <v>0</v>
      </c>
      <c r="GW32" s="47">
        <f t="array" ref="GW32">IF(AND(ISNUMBER(MATCH(GW$2, AsistenciaJetAdminConcatenada!$A:$A, 0)), ISNUMBER(MATCH(GW$1, AsistenciaJetAdminConcatenada!$B:$B, 0)), ISNUMBER(SEARCH($A32,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ISNUMBER(SEARCH($A32, INDEX(AsistenciaJetAdminConcatenada!$D:$D, MATCH(1, (AsistenciaJetAdminConcatenada!$A:$A=GW$2)*(AsistenciaJetAdminConcatenada!$B:$B=GW$1), 0)), 1))),  0.5, 0))</f>
        <v>0</v>
      </c>
      <c r="GX32" s="47">
        <f t="array" ref="GX32">IF(AND(ISNUMBER(MATCH(GX$2, AsistenciaJetAdminConcatenada!$A:$A, 0)), ISNUMBER(MATCH(GX$1, AsistenciaJetAdminConcatenada!$B:$B, 0)), ISNUMBER(SEARCH($A32,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ISNUMBER(SEARCH($A32, INDEX(AsistenciaJetAdminConcatenada!$D:$D, MATCH(1, (AsistenciaJetAdminConcatenada!$A:$A=GX$2)*(AsistenciaJetAdminConcatenada!$B:$B=GX$1), 0)), 1))),  0.5, 0))</f>
        <v>0</v>
      </c>
      <c r="GY32" s="47">
        <f t="array" ref="GY32">IF(AND(ISNUMBER(MATCH(GY$2, AsistenciaJetAdminConcatenada!$A:$A, 0)), ISNUMBER(MATCH(GY$1, AsistenciaJetAdminConcatenada!$B:$B, 0)), ISNUMBER(SEARCH($A32,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ISNUMBER(SEARCH($A32, INDEX(AsistenciaJetAdminConcatenada!$D:$D, MATCH(1, (AsistenciaJetAdminConcatenada!$A:$A=GY$2)*(AsistenciaJetAdminConcatenada!$B:$B=GY$1), 0)), 1))),  0.5, 0))</f>
        <v>0</v>
      </c>
      <c r="GZ32" s="47">
        <f t="array" ref="GZ32">IF(AND(ISNUMBER(MATCH(GZ$2, AsistenciaJetAdminConcatenada!$A:$A, 0)), ISNUMBER(MATCH(GZ$1, AsistenciaJetAdminConcatenada!$B:$B, 0)), ISNUMBER(SEARCH($A32,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ISNUMBER(SEARCH($A32, INDEX(AsistenciaJetAdminConcatenada!$D:$D, MATCH(1, (AsistenciaJetAdminConcatenada!$A:$A=GZ$2)*(AsistenciaJetAdminConcatenada!$B:$B=GZ$1), 0)), 1))),  0.5, 0))</f>
        <v>0</v>
      </c>
      <c r="HA32" s="47">
        <f t="array" ref="HA32">IF(AND(ISNUMBER(MATCH(HA$2, AsistenciaJetAdminConcatenada!$A:$A, 0)), ISNUMBER(MATCH(HA$1, AsistenciaJetAdminConcatenada!$B:$B, 0)), ISNUMBER(SEARCH($A32,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ISNUMBER(SEARCH($A32, INDEX(AsistenciaJetAdminConcatenada!$D:$D, MATCH(1, (AsistenciaJetAdminConcatenada!$A:$A=HA$2)*(AsistenciaJetAdminConcatenada!$B:$B=HA$1), 0)), 1))),  0.5, 0))</f>
        <v>0</v>
      </c>
      <c r="HB32" s="47">
        <f t="array" ref="HB32">IF(AND(ISNUMBER(MATCH(HB$2, AsistenciaJetAdminConcatenada!$A:$A, 0)), ISNUMBER(MATCH(HB$1, AsistenciaJetAdminConcatenada!$B:$B, 0)), ISNUMBER(SEARCH($A32,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ISNUMBER(SEARCH($A32, INDEX(AsistenciaJetAdminConcatenada!$D:$D, MATCH(1, (AsistenciaJetAdminConcatenada!$A:$A=HB$2)*(AsistenciaJetAdminConcatenada!$B:$B=HB$1), 0)), 1))),  0.5, 0))</f>
        <v>0</v>
      </c>
      <c r="HC32" s="47">
        <f t="array" ref="HC32">IF(AND(ISNUMBER(MATCH(HC$2, AsistenciaJetAdminConcatenada!$A:$A, 0)), ISNUMBER(MATCH(HC$1, AsistenciaJetAdminConcatenada!$B:$B, 0)), ISNUMBER(SEARCH($A32,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ISNUMBER(SEARCH($A32, INDEX(AsistenciaJetAdminConcatenada!$D:$D, MATCH(1, (AsistenciaJetAdminConcatenada!$A:$A=HC$2)*(AsistenciaJetAdminConcatenada!$B:$B=HC$1), 0)), 1))),  0.5, 0))</f>
        <v>0</v>
      </c>
    </row>
    <row r="33" ht="29.25" customHeight="1">
      <c r="A33" s="3">
        <v>207.0</v>
      </c>
      <c r="B33" s="4" t="s">
        <v>137</v>
      </c>
      <c r="C33" s="47">
        <f>SUM(D33:HC33) + ActividadesEspeciales!C33</f>
        <v>68</v>
      </c>
      <c r="D33" s="47">
        <f t="array" ref="D33">IF(AND(ISNUMBER(MATCH(D$2, AsistenciaJetAdminConcatenada!$A:$A, 0)), ISNUMBER(MATCH(D$1, AsistenciaJetAdminConcatenada!$B:$B, 0)), ISNUMBER(SEARCH($A33,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ISNUMBER(SEARCH($A33, INDEX(AsistenciaJetAdminConcatenada!$D:$D, MATCH(1, (AsistenciaJetAdminConcatenada!$A:$A=D$2)*(AsistenciaJetAdminConcatenada!$B:$B=D$1), 0)), 1))),  0.5, 0))</f>
        <v>1</v>
      </c>
      <c r="E33" s="47">
        <f t="array" ref="E33">IF(AND(ISNUMBER(MATCH(E$2, AsistenciaJetAdminConcatenada!$A:$A, 0)), ISNUMBER(MATCH(E$1, AsistenciaJetAdminConcatenada!$B:$B, 0)), ISNUMBER(SEARCH($A33,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ISNUMBER(SEARCH($A33, INDEX(AsistenciaJetAdminConcatenada!$D:$D, MATCH(1, (AsistenciaJetAdminConcatenada!$A:$A=E$2)*(AsistenciaJetAdminConcatenada!$B:$B=E$1), 0)), 1))),  0.5, 0))</f>
        <v>1</v>
      </c>
      <c r="F33" s="47">
        <f t="array" ref="F33">IF(AND(ISNUMBER(MATCH(F$2, AsistenciaJetAdminConcatenada!$A:$A, 0)), ISNUMBER(MATCH(F$1, AsistenciaJetAdminConcatenada!$B:$B, 0)), ISNUMBER(SEARCH($A33,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ISNUMBER(SEARCH($A33, INDEX(AsistenciaJetAdminConcatenada!$D:$D, MATCH(1, (AsistenciaJetAdminConcatenada!$A:$A=F$2)*(AsistenciaJetAdminConcatenada!$B:$B=F$1), 0)), 1))),  0.5, 0))</f>
        <v>1</v>
      </c>
      <c r="G33" s="47">
        <f t="array" ref="G33">IF(AND(ISNUMBER(MATCH(G$2, AsistenciaJetAdminConcatenada!$A:$A, 0)), ISNUMBER(MATCH(G$1, AsistenciaJetAdminConcatenada!$B:$B, 0)), ISNUMBER(SEARCH($A33,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ISNUMBER(SEARCH($A33, INDEX(AsistenciaJetAdminConcatenada!$D:$D, MATCH(1, (AsistenciaJetAdminConcatenada!$A:$A=G$2)*(AsistenciaJetAdminConcatenada!$B:$B=G$1), 0)), 1))),  0.5, 0))</f>
        <v>1</v>
      </c>
      <c r="H33" s="47">
        <f t="array" ref="H33">IF(AND(ISNUMBER(MATCH(H$2, AsistenciaJetAdminConcatenada!$A:$A, 0)), ISNUMBER(MATCH(H$1, AsistenciaJetAdminConcatenada!$B:$B, 0)), ISNUMBER(SEARCH($A33,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ISNUMBER(SEARCH($A33, INDEX(AsistenciaJetAdminConcatenada!$D:$D, MATCH(1, (AsistenciaJetAdminConcatenada!$A:$A=H$2)*(AsistenciaJetAdminConcatenada!$B:$B=H$1), 0)), 1))),  0.5, 0))</f>
        <v>1</v>
      </c>
      <c r="I33" s="47">
        <f t="array" ref="I33">IF(AND(ISNUMBER(MATCH(I$2, AsistenciaJetAdminConcatenada!$A:$A, 0)), ISNUMBER(MATCH(I$1, AsistenciaJetAdminConcatenada!$B:$B, 0)), ISNUMBER(SEARCH($A33,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ISNUMBER(SEARCH($A33, INDEX(AsistenciaJetAdminConcatenada!$D:$D, MATCH(1, (AsistenciaJetAdminConcatenada!$A:$A=I$2)*(AsistenciaJetAdminConcatenada!$B:$B=I$1), 0)), 1))),  0.5, 0))</f>
        <v>1</v>
      </c>
      <c r="J33" s="8">
        <v>1.0</v>
      </c>
      <c r="K33" s="47">
        <f t="array" ref="K33">IF(AND(ISNUMBER(MATCH(K$2, AsistenciaJetAdminConcatenada!$A:$A, 0)), ISNUMBER(MATCH(K$1, AsistenciaJetAdminConcatenada!$B:$B, 0)), ISNUMBER(SEARCH($A33,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ISNUMBER(SEARCH($A33, INDEX(AsistenciaJetAdminConcatenada!$D:$D, MATCH(1, (AsistenciaJetAdminConcatenada!$A:$A=K$2)*(AsistenciaJetAdminConcatenada!$B:$B=K$1), 0)), 1))),  0.5, 0))</f>
        <v>1</v>
      </c>
      <c r="L33" s="47">
        <f t="array" ref="L33">IF(AND(ISNUMBER(MATCH(L$2, AsistenciaJetAdminConcatenada!$A:$A, 0)), ISNUMBER(MATCH(L$1, AsistenciaJetAdminConcatenada!$B:$B, 0)), ISNUMBER(SEARCH($A33,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ISNUMBER(SEARCH($A33, INDEX(AsistenciaJetAdminConcatenada!$D:$D, MATCH(1, (AsistenciaJetAdminConcatenada!$A:$A=L$2)*(AsistenciaJetAdminConcatenada!$B:$B=L$1), 0)), 1))),  0.5, 0))</f>
        <v>1</v>
      </c>
      <c r="M33" s="47">
        <f t="array" ref="M33">IF(AND(ISNUMBER(MATCH(M$2, AsistenciaJetAdminConcatenada!$A:$A, 0)), ISNUMBER(MATCH(M$1, AsistenciaJetAdminConcatenada!$B:$B, 0)), ISNUMBER(SEARCH($A33,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ISNUMBER(SEARCH($A33, INDEX(AsistenciaJetAdminConcatenada!$D:$D, MATCH(1, (AsistenciaJetAdminConcatenada!$A:$A=M$2)*(AsistenciaJetAdminConcatenada!$B:$B=M$1), 0)), 1))),  0.5, 0))</f>
        <v>1</v>
      </c>
      <c r="N33" s="47">
        <f t="array" ref="N33">IF(AND(ISNUMBER(MATCH(N$2, AsistenciaJetAdminConcatenada!$A:$A, 0)), ISNUMBER(MATCH(N$1, AsistenciaJetAdminConcatenada!$B:$B, 0)), ISNUMBER(SEARCH($A33,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ISNUMBER(SEARCH($A33, INDEX(AsistenciaJetAdminConcatenada!$D:$D, MATCH(1, (AsistenciaJetAdminConcatenada!$A:$A=N$2)*(AsistenciaJetAdminConcatenada!$B:$B=N$1), 0)), 1))),  0.5, 0))</f>
        <v>0</v>
      </c>
      <c r="O33" s="47">
        <f t="array" ref="O33">IF(AND(ISNUMBER(MATCH(O$2, AsistenciaJetAdminConcatenada!$A:$A, 0)), ISNUMBER(MATCH(O$1, AsistenciaJetAdminConcatenada!$B:$B, 0)), ISNUMBER(SEARCH($A33,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ISNUMBER(SEARCH($A33, INDEX(AsistenciaJetAdminConcatenada!$D:$D, MATCH(1, (AsistenciaJetAdminConcatenada!$A:$A=O$2)*(AsistenciaJetAdminConcatenada!$B:$B=O$1), 0)), 1))),  0.5, 0))</f>
        <v>0</v>
      </c>
      <c r="P33" s="47">
        <f t="array" ref="P33">IF(AND(ISNUMBER(MATCH(P$2, AsistenciaJetAdminConcatenada!$A:$A, 0)), ISNUMBER(MATCH(P$1, AsistenciaJetAdminConcatenada!$B:$B, 0)), ISNUMBER(SEARCH($A33, INDEX(AsistenciaJetAdminConcatenada!$C:$C, MATCH(1, (AsistenciaJetAdminConcatenada!$A:$A=P$2)*(AsistenciaJetAdminConcatenada!$B:$B=P$1), 0)), 1))), 1, IF(AND(ISNUMBER(MATCH(P$2, AsistenciaJetAdminConcatenada!$A:$A, 0)), ISNUMBER(MATCH(P$1, AsistenciaJetAdminConcatenada!$B:$B, 0)), ISNUMBER(SEARCH($A33, INDEX(AsistenciaJetAdminConcatenada!$D:$D, MATCH(1, (AsistenciaJetAdminConcatenada!$A:$A=P$2)*(AsistenciaJetAdminConcatenada!$B:$B=P$1), 0)), 1))),  0.5, 0))</f>
        <v>1</v>
      </c>
      <c r="Q33" s="47">
        <f t="array" ref="Q33">IF(AND(ISNUMBER(MATCH(Q$2, AsistenciaJetAdminConcatenada!$A:$A, 0)), ISNUMBER(MATCH(Q$1, AsistenciaJetAdminConcatenada!$B:$B, 0)), ISNUMBER(SEARCH($A33, INDEX(AsistenciaJetAdminConcatenada!$C:$C, MATCH(1, (AsistenciaJetAdminConcatenada!$A:$A=Q$2)*(AsistenciaJetAdminConcatenada!$B:$B=Q$1), 0)), 1))), 1, IF(AND(ISNUMBER(MATCH(Q$2, AsistenciaJetAdminConcatenada!$A:$A, 0)), ISNUMBER(MATCH(Q$1, AsistenciaJetAdminConcatenada!$B:$B, 0)), ISNUMBER(SEARCH($A33, INDEX(AsistenciaJetAdminConcatenada!$D:$D, MATCH(1, (AsistenciaJetAdminConcatenada!$A:$A=Q$2)*(AsistenciaJetAdminConcatenada!$B:$B=Q$1), 0)), 1))),  0.5, 0))</f>
        <v>0</v>
      </c>
      <c r="R33" s="47">
        <f t="array" ref="R33">IF(AND(ISNUMBER(MATCH(R$2, AsistenciaJetAdminConcatenada!$A:$A, 0)), ISNUMBER(MATCH(R$1, AsistenciaJetAdminConcatenada!$B:$B, 0)), ISNUMBER(SEARCH($A33,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ISNUMBER(SEARCH($A33, INDEX(AsistenciaJetAdminConcatenada!$D:$D, MATCH(1, (AsistenciaJetAdminConcatenada!$A:$A=R$2)*(AsistenciaJetAdminConcatenada!$B:$B=R$1), 0)), 1))),  0.5, 0))</f>
        <v>1</v>
      </c>
      <c r="S33" s="47">
        <f t="array" ref="S33">IF(AND(ISNUMBER(MATCH(S$2, AsistenciaJetAdminConcatenada!$A:$A, 0)), ISNUMBER(MATCH(S$1, AsistenciaJetAdminConcatenada!$B:$B, 0)), ISNUMBER(SEARCH($A33,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ISNUMBER(SEARCH($A33, INDEX(AsistenciaJetAdminConcatenada!$D:$D, MATCH(1, (AsistenciaJetAdminConcatenada!$A:$A=S$2)*(AsistenciaJetAdminConcatenada!$B:$B=S$1), 0)), 1))),  0.5, 0))</f>
        <v>1</v>
      </c>
      <c r="T33" s="47">
        <f t="array" ref="T33">IF(AND(ISNUMBER(MATCH(T$2, AsistenciaJetAdminConcatenada!$A:$A, 0)), ISNUMBER(MATCH(T$1, AsistenciaJetAdminConcatenada!$B:$B, 0)), ISNUMBER(SEARCH($A33,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ISNUMBER(SEARCH($A33, INDEX(AsistenciaJetAdminConcatenada!$D:$D, MATCH(1, (AsistenciaJetAdminConcatenada!$A:$A=T$2)*(AsistenciaJetAdminConcatenada!$B:$B=T$1), 0)), 1))),  0.5, 0))</f>
        <v>1</v>
      </c>
      <c r="U33" s="47">
        <f t="array" ref="U33">IF(AND(ISNUMBER(MATCH(U$2, AsistenciaJetAdminConcatenada!$A:$A, 0)), ISNUMBER(MATCH(U$1, AsistenciaJetAdminConcatenada!$B:$B, 0)), ISNUMBER(SEARCH($A33,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ISNUMBER(SEARCH($A33, INDEX(AsistenciaJetAdminConcatenada!$D:$D, MATCH(1, (AsistenciaJetAdminConcatenada!$A:$A=U$2)*(AsistenciaJetAdminConcatenada!$B:$B=U$1), 0)), 1))),  0.5, 0))</f>
        <v>1</v>
      </c>
      <c r="V33" s="47">
        <f t="array" ref="V33">IF(AND(ISNUMBER(MATCH(V$2, AsistenciaJetAdminConcatenada!$A:$A, 0)), ISNUMBER(MATCH(V$1, AsistenciaJetAdminConcatenada!$B:$B, 0)), ISNUMBER(SEARCH($A33,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ISNUMBER(SEARCH($A33, INDEX(AsistenciaJetAdminConcatenada!$D:$D, MATCH(1, (AsistenciaJetAdminConcatenada!$A:$A=V$2)*(AsistenciaJetAdminConcatenada!$B:$B=V$1), 0)), 1))),  0.5, 0))</f>
        <v>0.5</v>
      </c>
      <c r="W33" s="47">
        <f t="array" ref="W33">IF(AND(ISNUMBER(MATCH(W$2, AsistenciaJetAdminConcatenada!$A:$A, 0)), ISNUMBER(MATCH(W$1, AsistenciaJetAdminConcatenada!$B:$B, 0)), ISNUMBER(SEARCH($A33,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ISNUMBER(SEARCH($A33, INDEX(AsistenciaJetAdminConcatenada!$D:$D, MATCH(1, (AsistenciaJetAdminConcatenada!$A:$A=W$2)*(AsistenciaJetAdminConcatenada!$B:$B=W$1), 0)), 1))),  0.5, 0))</f>
        <v>1</v>
      </c>
      <c r="X33" s="47">
        <f t="array" ref="X33">IF(AND(ISNUMBER(MATCH(X$2, AsistenciaJetAdminConcatenada!$A:$A, 0)), ISNUMBER(MATCH(X$1, AsistenciaJetAdminConcatenada!$B:$B, 0)), ISNUMBER(SEARCH($A33,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ISNUMBER(SEARCH($A33, INDEX(AsistenciaJetAdminConcatenada!$D:$D, MATCH(1, (AsistenciaJetAdminConcatenada!$A:$A=X$2)*(AsistenciaJetAdminConcatenada!$B:$B=X$1), 0)), 1))),  0.5, 0))</f>
        <v>0.5</v>
      </c>
      <c r="Y33" s="47">
        <f t="array" ref="Y33">IF(AND(ISNUMBER(MATCH(Y$2, AsistenciaJetAdminConcatenada!$A:$A, 0)), ISNUMBER(MATCH(Y$1, AsistenciaJetAdminConcatenada!$B:$B, 0)), ISNUMBER(SEARCH($A33,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ISNUMBER(SEARCH($A33, INDEX(AsistenciaJetAdminConcatenada!$D:$D, MATCH(1, (AsistenciaJetAdminConcatenada!$A:$A=Y$2)*(AsistenciaJetAdminConcatenada!$B:$B=Y$1), 0)), 1))),  0.5, 0))</f>
        <v>1</v>
      </c>
      <c r="Z33" s="47">
        <f t="array" ref="Z33">IF(AND(ISNUMBER(MATCH(Z$2, AsistenciaJetAdminConcatenada!$A:$A, 0)), ISNUMBER(MATCH(Z$1, AsistenciaJetAdminConcatenada!$B:$B, 0)), ISNUMBER(SEARCH($A33,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ISNUMBER(SEARCH($A33, INDEX(AsistenciaJetAdminConcatenada!$D:$D, MATCH(1, (AsistenciaJetAdminConcatenada!$A:$A=Z$2)*(AsistenciaJetAdminConcatenada!$B:$B=Z$1), 0)), 1))),  0.5, 0))</f>
        <v>0</v>
      </c>
      <c r="AA33" s="47">
        <f t="array" ref="AA33">IF(AND(ISNUMBER(MATCH(AA$2, AsistenciaJetAdminConcatenada!$A:$A, 0)), ISNUMBER(MATCH(AA$1, AsistenciaJetAdminConcatenada!$B:$B, 0)), ISNUMBER(SEARCH($A33,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ISNUMBER(SEARCH($A33, INDEX(AsistenciaJetAdminConcatenada!$D:$D, MATCH(1, (AsistenciaJetAdminConcatenada!$A:$A=AA$2)*(AsistenciaJetAdminConcatenada!$B:$B=AA$1), 0)), 1))),  0.5, 0))</f>
        <v>1</v>
      </c>
      <c r="AB33" s="47">
        <f t="array" ref="AB33">IF(AND(ISNUMBER(MATCH(AB$2, AsistenciaJetAdminConcatenada!$A:$A, 0)), ISNUMBER(MATCH(AB$1, AsistenciaJetAdminConcatenada!$B:$B, 0)), ISNUMBER(SEARCH($A33,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ISNUMBER(SEARCH($A33, INDEX(AsistenciaJetAdminConcatenada!$D:$D, MATCH(1, (AsistenciaJetAdminConcatenada!$A:$A=AB$2)*(AsistenciaJetAdminConcatenada!$B:$B=AB$1), 0)), 1))),  0.5, 0))</f>
        <v>1</v>
      </c>
      <c r="AC33" s="47">
        <f t="array" ref="AC33">IF(AND(ISNUMBER(MATCH(AC$2, AsistenciaJetAdminConcatenada!$A:$A, 0)), ISNUMBER(MATCH(AC$1, AsistenciaJetAdminConcatenada!$B:$B, 0)), ISNUMBER(SEARCH($A33,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ISNUMBER(SEARCH($A33, INDEX(AsistenciaJetAdminConcatenada!$D:$D, MATCH(1, (AsistenciaJetAdminConcatenada!$A:$A=AC$2)*(AsistenciaJetAdminConcatenada!$B:$B=AC$1), 0)), 1))),  0.5, 0))</f>
        <v>1</v>
      </c>
      <c r="AD33" s="47">
        <f t="array" ref="AD33">IF(AND(ISNUMBER(MATCH(AD$2, AsistenciaJetAdminConcatenada!$A:$A, 0)), ISNUMBER(MATCH(AD$1, AsistenciaJetAdminConcatenada!$B:$B, 0)), ISNUMBER(SEARCH($A33,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ISNUMBER(SEARCH($A33, INDEX(AsistenciaJetAdminConcatenada!$D:$D, MATCH(1, (AsistenciaJetAdminConcatenada!$A:$A=AD$2)*(AsistenciaJetAdminConcatenada!$B:$B=AD$1), 0)), 1))),  0.5, 0))</f>
        <v>1</v>
      </c>
      <c r="AE33" s="47">
        <f t="array" ref="AE33">IF(AND(ISNUMBER(MATCH(AE$2, AsistenciaJetAdminConcatenada!$A:$A, 0)), ISNUMBER(MATCH(AE$1, AsistenciaJetAdminConcatenada!$B:$B, 0)), ISNUMBER(SEARCH($A33,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ISNUMBER(SEARCH($A33, INDEX(AsistenciaJetAdminConcatenada!$D:$D, MATCH(1, (AsistenciaJetAdminConcatenada!$A:$A=AE$2)*(AsistenciaJetAdminConcatenada!$B:$B=AE$1), 0)), 1))),  0.5, 0))</f>
        <v>0</v>
      </c>
      <c r="AF33" s="47">
        <f t="array" ref="AF33">IF(AND(ISNUMBER(MATCH(AF$2, AsistenciaJetAdminConcatenada!$A:$A, 0)), ISNUMBER(MATCH(AF$1, AsistenciaJetAdminConcatenada!$B:$B, 0)), ISNUMBER(SEARCH($A33,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ISNUMBER(SEARCH($A33, INDEX(AsistenciaJetAdminConcatenada!$D:$D, MATCH(1, (AsistenciaJetAdminConcatenada!$A:$A=AF$2)*(AsistenciaJetAdminConcatenada!$B:$B=AF$1), 0)), 1))),  0.5, 0))</f>
        <v>0</v>
      </c>
      <c r="AG33" s="47">
        <f t="array" ref="AG33">IF(AND(ISNUMBER(MATCH(AG$2, AsistenciaJetAdminConcatenada!$A:$A, 0)), ISNUMBER(MATCH(AG$1, AsistenciaJetAdminConcatenada!$B:$B, 0)), ISNUMBER(SEARCH($A33,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ISNUMBER(SEARCH($A33, INDEX(AsistenciaJetAdminConcatenada!$D:$D, MATCH(1, (AsistenciaJetAdminConcatenada!$A:$A=AG$2)*(AsistenciaJetAdminConcatenada!$B:$B=AG$1), 0)), 1))),  0.5, 0))</f>
        <v>0</v>
      </c>
      <c r="AH33" s="47">
        <f t="array" ref="AH33">IF(AND(ISNUMBER(MATCH(AH$2, AsistenciaJetAdminConcatenada!$A:$A, 0)), ISNUMBER(MATCH(AH$1, AsistenciaJetAdminConcatenada!$B:$B, 0)), ISNUMBER(SEARCH($A33,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ISNUMBER(SEARCH($A33, INDEX(AsistenciaJetAdminConcatenada!$D:$D, MATCH(1, (AsistenciaJetAdminConcatenada!$A:$A=AH$2)*(AsistenciaJetAdminConcatenada!$B:$B=AH$1), 0)), 1))),  0.5, 0))</f>
        <v>0</v>
      </c>
      <c r="AI33" s="47">
        <f t="array" ref="AI33">IF(AND(ISNUMBER(MATCH(AI$2, AsistenciaJetAdminConcatenada!$A:$A, 0)), ISNUMBER(MATCH(AI$1, AsistenciaJetAdminConcatenada!$B:$B, 0)), ISNUMBER(SEARCH($A33,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ISNUMBER(SEARCH($A33, INDEX(AsistenciaJetAdminConcatenada!$D:$D, MATCH(1, (AsistenciaJetAdminConcatenada!$A:$A=AI$2)*(AsistenciaJetAdminConcatenada!$B:$B=AI$1), 0)), 1))),  0.5, 0))</f>
        <v>0</v>
      </c>
      <c r="AJ33" s="47">
        <f t="array" ref="AJ33">IF(AND(ISNUMBER(MATCH(AJ$2, AsistenciaJetAdminConcatenada!$A:$A, 0)), ISNUMBER(MATCH(AJ$1, AsistenciaJetAdminConcatenada!$B:$B, 0)), ISNUMBER(SEARCH($A33,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ISNUMBER(SEARCH($A33, INDEX(AsistenciaJetAdminConcatenada!$D:$D, MATCH(1, (AsistenciaJetAdminConcatenada!$A:$A=AJ$2)*(AsistenciaJetAdminConcatenada!$B:$B=AJ$1), 0)), 1))),  0.5, 0))</f>
        <v>1</v>
      </c>
      <c r="AK33" s="47">
        <f t="array" ref="AK33">IF(AND(ISNUMBER(MATCH(AK$2, AsistenciaJetAdminConcatenada!$A:$A, 0)), ISNUMBER(MATCH(AK$1, AsistenciaJetAdminConcatenada!$B:$B, 0)), ISNUMBER(SEARCH($A33,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ISNUMBER(SEARCH($A33, INDEX(AsistenciaJetAdminConcatenada!$D:$D, MATCH(1, (AsistenciaJetAdminConcatenada!$A:$A=AK$2)*(AsistenciaJetAdminConcatenada!$B:$B=AK$1), 0)), 1))),  0.5, 0))</f>
        <v>1</v>
      </c>
      <c r="AL33" s="47">
        <f t="array" ref="AL33">IF(AND(ISNUMBER(MATCH(AL$2, AsistenciaJetAdminConcatenada!$A:$A, 0)), ISNUMBER(MATCH(AL$1, AsistenciaJetAdminConcatenada!$B:$B, 0)), ISNUMBER(SEARCH($A33,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ISNUMBER(SEARCH($A33, INDEX(AsistenciaJetAdminConcatenada!$D:$D, MATCH(1, (AsistenciaJetAdminConcatenada!$A:$A=AL$2)*(AsistenciaJetAdminConcatenada!$B:$B=AL$1), 0)), 1))),  0.5, 0))</f>
        <v>1</v>
      </c>
      <c r="AM33" s="47">
        <f t="array" ref="AM33">IF(AND(ISNUMBER(MATCH(AM$2, AsistenciaJetAdminConcatenada!$A:$A, 0)), ISNUMBER(MATCH(AM$1, AsistenciaJetAdminConcatenada!$B:$B, 0)), ISNUMBER(SEARCH($A33,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ISNUMBER(SEARCH($A33, INDEX(AsistenciaJetAdminConcatenada!$D:$D, MATCH(1, (AsistenciaJetAdminConcatenada!$A:$A=AM$2)*(AsistenciaJetAdminConcatenada!$B:$B=AM$1), 0)), 1))),  0.5, 0))</f>
        <v>1</v>
      </c>
      <c r="AN33" s="47">
        <f t="array" ref="AN33">IF(AND(ISNUMBER(MATCH(AN$2, AsistenciaJetAdminConcatenada!$A:$A, 0)), ISNUMBER(MATCH(AN$1, AsistenciaJetAdminConcatenada!$B:$B, 0)), ISNUMBER(SEARCH($A33,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ISNUMBER(SEARCH($A33, INDEX(AsistenciaJetAdminConcatenada!$D:$D, MATCH(1, (AsistenciaJetAdminConcatenada!$A:$A=AN$2)*(AsistenciaJetAdminConcatenada!$B:$B=AN$1), 0)), 1))),  0.5, 0))</f>
        <v>1</v>
      </c>
      <c r="AO33" s="47">
        <f t="array" ref="AO33">IF(AND(ISNUMBER(MATCH(AO$2, AsistenciaJetAdminConcatenada!$A:$A, 0)), ISNUMBER(MATCH(AO$1, AsistenciaJetAdminConcatenada!$B:$B, 0)), ISNUMBER(SEARCH($A33,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ISNUMBER(SEARCH($A33, INDEX(AsistenciaJetAdminConcatenada!$D:$D, MATCH(1, (AsistenciaJetAdminConcatenada!$A:$A=AO$2)*(AsistenciaJetAdminConcatenada!$B:$B=AO$1), 0)), 1))),  0.5, 0))</f>
        <v>1</v>
      </c>
      <c r="AP33" s="47">
        <f t="array" ref="AP33">IF(AND(ISNUMBER(MATCH(AP$2, AsistenciaJetAdminConcatenada!$A:$A, 0)), ISNUMBER(MATCH(AP$1, AsistenciaJetAdminConcatenada!$B:$B, 0)), ISNUMBER(SEARCH($A33,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ISNUMBER(SEARCH($A33, INDEX(AsistenciaJetAdminConcatenada!$D:$D, MATCH(1, (AsistenciaJetAdminConcatenada!$A:$A=AP$2)*(AsistenciaJetAdminConcatenada!$B:$B=AP$1), 0)), 1))),  0.5, 0))</f>
        <v>1</v>
      </c>
      <c r="AQ33" s="47">
        <f t="array" ref="AQ33">IF(AND(ISNUMBER(MATCH(AQ$2, AsistenciaJetAdminConcatenada!$A:$A, 0)), ISNUMBER(MATCH(AQ$1, AsistenciaJetAdminConcatenada!$B:$B, 0)), ISNUMBER(SEARCH($A33,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ISNUMBER(SEARCH($A33, INDEX(AsistenciaJetAdminConcatenada!$D:$D, MATCH(1, (AsistenciaJetAdminConcatenada!$A:$A=AQ$2)*(AsistenciaJetAdminConcatenada!$B:$B=AQ$1), 0)), 1))),  0.5, 0))</f>
        <v>0</v>
      </c>
      <c r="AR33" s="47">
        <f t="array" ref="AR33">IF(AND(ISNUMBER(MATCH(AR$2, AsistenciaJetAdminConcatenada!$A:$A, 0)), ISNUMBER(MATCH(AR$1, AsistenciaJetAdminConcatenada!$B:$B, 0)), ISNUMBER(SEARCH($A33,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ISNUMBER(SEARCH($A33, INDEX(AsistenciaJetAdminConcatenada!$D:$D, MATCH(1, (AsistenciaJetAdminConcatenada!$A:$A=AR$2)*(AsistenciaJetAdminConcatenada!$B:$B=AR$1), 0)), 1))),  0.5, 0))</f>
        <v>0</v>
      </c>
      <c r="AS33" s="47">
        <f t="array" ref="AS33">IF(AND(ISNUMBER(MATCH(AS$2, AsistenciaJetAdminConcatenada!$A:$A, 0)), ISNUMBER(MATCH(AS$1, AsistenciaJetAdminConcatenada!$B:$B, 0)), ISNUMBER(SEARCH($A33,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ISNUMBER(SEARCH($A33, INDEX(AsistenciaJetAdminConcatenada!$D:$D, MATCH(1, (AsistenciaJetAdminConcatenada!$A:$A=AS$2)*(AsistenciaJetAdminConcatenada!$B:$B=AS$1), 0)), 1))),  0.5, 0))</f>
        <v>0</v>
      </c>
      <c r="AT33" s="47">
        <f t="array" ref="AT33">IF(AND(ISNUMBER(MATCH(AT$2, AsistenciaJetAdminConcatenada!$A:$A, 0)), ISNUMBER(MATCH(AT$1, AsistenciaJetAdminConcatenada!$B:$B, 0)), ISNUMBER(SEARCH($A33,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ISNUMBER(SEARCH($A33, INDEX(AsistenciaJetAdminConcatenada!$D:$D, MATCH(1, (AsistenciaJetAdminConcatenada!$A:$A=AT$2)*(AsistenciaJetAdminConcatenada!$B:$B=AT$1), 0)), 1))),  0.5, 0))</f>
        <v>1</v>
      </c>
      <c r="AU33" s="47">
        <f t="array" ref="AU33">IF(AND(ISNUMBER(MATCH(AU$2, AsistenciaJetAdminConcatenada!$A:$A, 0)), ISNUMBER(MATCH(AU$1, AsistenciaJetAdminConcatenada!$B:$B, 0)), ISNUMBER(SEARCH($A33,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ISNUMBER(SEARCH($A33, INDEX(AsistenciaJetAdminConcatenada!$D:$D, MATCH(1, (AsistenciaJetAdminConcatenada!$A:$A=AU$2)*(AsistenciaJetAdminConcatenada!$B:$B=AU$1), 0)), 1))),  0.5, 0))</f>
        <v>1</v>
      </c>
      <c r="AV33" s="47">
        <f t="array" ref="AV33">IF(AND(ISNUMBER(MATCH(AV$2, AsistenciaJetAdminConcatenada!$A:$A, 0)), ISNUMBER(MATCH(AV$1, AsistenciaJetAdminConcatenada!$B:$B, 0)), ISNUMBER(SEARCH($A33,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ISNUMBER(SEARCH($A33, INDEX(AsistenciaJetAdminConcatenada!$D:$D, MATCH(1, (AsistenciaJetAdminConcatenada!$A:$A=AV$2)*(AsistenciaJetAdminConcatenada!$B:$B=AV$1), 0)), 1))),  0.5, 0))</f>
        <v>1</v>
      </c>
      <c r="AW33" s="47">
        <f t="array" ref="AW33">IF(AND(ISNUMBER(MATCH(AW$2, AsistenciaJetAdminConcatenada!$A:$A, 0)), ISNUMBER(MATCH(AW$1, AsistenciaJetAdminConcatenada!$B:$B, 0)), ISNUMBER(SEARCH($A33,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ISNUMBER(SEARCH($A33, INDEX(AsistenciaJetAdminConcatenada!$D:$D, MATCH(1, (AsistenciaJetAdminConcatenada!$A:$A=AW$2)*(AsistenciaJetAdminConcatenada!$B:$B=AW$1), 0)), 1))),  0.5, 0))</f>
        <v>1</v>
      </c>
      <c r="AX33" s="47">
        <f t="array" ref="AX33">IF(AND(ISNUMBER(MATCH(AX$2, AsistenciaJetAdminConcatenada!$A:$A, 0)), ISNUMBER(MATCH(AX$1, AsistenciaJetAdminConcatenada!$B:$B, 0)), ISNUMBER(SEARCH($A33,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ISNUMBER(SEARCH($A33, INDEX(AsistenciaJetAdminConcatenada!$D:$D, MATCH(1, (AsistenciaJetAdminConcatenada!$A:$A=AX$2)*(AsistenciaJetAdminConcatenada!$B:$B=AX$1), 0)), 1))),  0.5, 0))</f>
        <v>1</v>
      </c>
      <c r="AY33" s="47">
        <f t="array" ref="AY33">IF(AND(ISNUMBER(MATCH(AY$2, AsistenciaJetAdminConcatenada!$A:$A, 0)), ISNUMBER(MATCH(AY$1, AsistenciaJetAdminConcatenada!$B:$B, 0)), ISNUMBER(SEARCH($A33,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ISNUMBER(SEARCH($A33, INDEX(AsistenciaJetAdminConcatenada!$D:$D, MATCH(1, (AsistenciaJetAdminConcatenada!$A:$A=AY$2)*(AsistenciaJetAdminConcatenada!$B:$B=AY$1), 0)), 1))),  0.5, 0))</f>
        <v>1</v>
      </c>
      <c r="AZ33" s="47">
        <f t="array" ref="AZ33">IF(AND(ISNUMBER(MATCH(AZ$2, AsistenciaJetAdminConcatenada!$A:$A, 0)), ISNUMBER(MATCH(AZ$1, AsistenciaJetAdminConcatenada!$B:$B, 0)), ISNUMBER(SEARCH($A33,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ISNUMBER(SEARCH($A33, INDEX(AsistenciaJetAdminConcatenada!$D:$D, MATCH(1, (AsistenciaJetAdminConcatenada!$A:$A=AZ$2)*(AsistenciaJetAdminConcatenada!$B:$B=AZ$1), 0)), 1))),  0.5, 0))</f>
        <v>0</v>
      </c>
      <c r="BA33" s="47">
        <f t="array" ref="BA33">IF(AND(ISNUMBER(MATCH(BA$2, AsistenciaJetAdminConcatenada!$A:$A, 0)), ISNUMBER(MATCH(BA$1, AsistenciaJetAdminConcatenada!$B:$B, 0)), ISNUMBER(SEARCH($A33,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ISNUMBER(SEARCH($A33, INDEX(AsistenciaJetAdminConcatenada!$D:$D, MATCH(1, (AsistenciaJetAdminConcatenada!$A:$A=BA$2)*(AsistenciaJetAdminConcatenada!$B:$B=BA$1), 0)), 1))),  0.5, 0))</f>
        <v>1</v>
      </c>
      <c r="BB33" s="47">
        <f t="array" ref="BB33">IF(AND(ISNUMBER(MATCH(BB$2, AsistenciaJetAdminConcatenada!$A:$A, 0)), ISNUMBER(MATCH(BB$1, AsistenciaJetAdminConcatenada!$B:$B, 0)), ISNUMBER(SEARCH($A33,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ISNUMBER(SEARCH($A33, INDEX(AsistenciaJetAdminConcatenada!$D:$D, MATCH(1, (AsistenciaJetAdminConcatenada!$A:$A=BB$2)*(AsistenciaJetAdminConcatenada!$B:$B=BB$1), 0)), 1))),  0.5, 0))</f>
        <v>0</v>
      </c>
      <c r="BC33" s="47">
        <f t="array" ref="BC33">IF(AND(ISNUMBER(MATCH(BC$2, AsistenciaJetAdminConcatenada!$A:$A, 0)), ISNUMBER(MATCH(BC$1, AsistenciaJetAdminConcatenada!$B:$B, 0)), ISNUMBER(SEARCH($A33,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ISNUMBER(SEARCH($A33, INDEX(AsistenciaJetAdminConcatenada!$D:$D, MATCH(1, (AsistenciaJetAdminConcatenada!$A:$A=BC$2)*(AsistenciaJetAdminConcatenada!$B:$B=BC$1), 0)), 1))),  0.5, 0))</f>
        <v>1</v>
      </c>
      <c r="BD33" s="47">
        <f t="array" ref="BD33">IF(AND(ISNUMBER(MATCH(BD$2, AsistenciaJetAdminConcatenada!$A:$A, 0)), ISNUMBER(MATCH(BD$1, AsistenciaJetAdminConcatenada!$B:$B, 0)), ISNUMBER(SEARCH($A33,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ISNUMBER(SEARCH($A33, INDEX(AsistenciaJetAdminConcatenada!$D:$D, MATCH(1, (AsistenciaJetAdminConcatenada!$A:$A=BD$2)*(AsistenciaJetAdminConcatenada!$B:$B=BD$1), 0)), 1))),  0.5, 0))</f>
        <v>0</v>
      </c>
      <c r="BE33" s="47">
        <f t="array" ref="BE33">IF(AND(ISNUMBER(MATCH(BE$2, AsistenciaJetAdminConcatenada!$A:$A, 0)), ISNUMBER(MATCH(BE$1, AsistenciaJetAdminConcatenada!$B:$B, 0)), ISNUMBER(SEARCH($A33,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ISNUMBER(SEARCH($A33, INDEX(AsistenciaJetAdminConcatenada!$D:$D, MATCH(1, (AsistenciaJetAdminConcatenada!$A:$A=BE$2)*(AsistenciaJetAdminConcatenada!$B:$B=BE$1), 0)), 1))),  0.5, 0))</f>
        <v>0</v>
      </c>
      <c r="BF33" s="47">
        <f t="array" ref="BF33">IF(AND(ISNUMBER(MATCH(BF$2, AsistenciaJetAdminConcatenada!$A:$A, 0)), ISNUMBER(MATCH(BF$1, AsistenciaJetAdminConcatenada!$B:$B, 0)), ISNUMBER(SEARCH($A33,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ISNUMBER(SEARCH($A33, INDEX(AsistenciaJetAdminConcatenada!$D:$D, MATCH(1, (AsistenciaJetAdminConcatenada!$A:$A=BF$2)*(AsistenciaJetAdminConcatenada!$B:$B=BF$1), 0)), 1))),  0.5, 0))</f>
        <v>1</v>
      </c>
      <c r="BG33" s="47">
        <f t="array" ref="BG33">IF(AND(ISNUMBER(MATCH(BG$2, AsistenciaJetAdminConcatenada!$A:$A, 0)), ISNUMBER(MATCH(BG$1, AsistenciaJetAdminConcatenada!$B:$B, 0)), ISNUMBER(SEARCH($A33,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ISNUMBER(SEARCH($A33, INDEX(AsistenciaJetAdminConcatenada!$D:$D, MATCH(1, (AsistenciaJetAdminConcatenada!$A:$A=BG$2)*(AsistenciaJetAdminConcatenada!$B:$B=BG$1), 0)), 1))),  0.5, 0))</f>
        <v>1</v>
      </c>
      <c r="BH33" s="47">
        <f t="array" ref="BH33">IF(AND(ISNUMBER(MATCH(BH$2, AsistenciaJetAdminConcatenada!$A:$A, 0)), ISNUMBER(MATCH(BH$1, AsistenciaJetAdminConcatenada!$B:$B, 0)), ISNUMBER(SEARCH($A33,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ISNUMBER(SEARCH($A33, INDEX(AsistenciaJetAdminConcatenada!$D:$D, MATCH(1, (AsistenciaJetAdminConcatenada!$A:$A=BH$2)*(AsistenciaJetAdminConcatenada!$B:$B=BH$1), 0)), 1))),  0.5, 0))</f>
        <v>0</v>
      </c>
      <c r="BI33" s="47">
        <f t="array" ref="BI33">IF(AND(ISNUMBER(MATCH(BI$2, AsistenciaJetAdminConcatenada!$A:$A, 0)), ISNUMBER(MATCH(BI$1, AsistenciaJetAdminConcatenada!$B:$B, 0)), ISNUMBER(SEARCH($A33,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ISNUMBER(SEARCH($A33, INDEX(AsistenciaJetAdminConcatenada!$D:$D, MATCH(1, (AsistenciaJetAdminConcatenada!$A:$A=BI$2)*(AsistenciaJetAdminConcatenada!$B:$B=BI$1), 0)), 1))),  0.5, 0))</f>
        <v>1</v>
      </c>
      <c r="BJ33" s="47">
        <f t="array" ref="BJ33">IF(AND(ISNUMBER(MATCH(BJ$2, AsistenciaJetAdminConcatenada!$A:$A, 0)), ISNUMBER(MATCH(BJ$1, AsistenciaJetAdminConcatenada!$B:$B, 0)), ISNUMBER(SEARCH($A33,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ISNUMBER(SEARCH($A33, INDEX(AsistenciaJetAdminConcatenada!$D:$D, MATCH(1, (AsistenciaJetAdminConcatenada!$A:$A=BJ$2)*(AsistenciaJetAdminConcatenada!$B:$B=BJ$1), 0)), 1))),  0.5, 0))</f>
        <v>0</v>
      </c>
      <c r="BK33" s="47">
        <f t="array" ref="BK33">IF(AND(ISNUMBER(MATCH(BK$2, AsistenciaJetAdminConcatenada!$A:$A, 0)), ISNUMBER(MATCH(BK$1, AsistenciaJetAdminConcatenada!$B:$B, 0)), ISNUMBER(SEARCH($A33,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ISNUMBER(SEARCH($A33, INDEX(AsistenciaJetAdminConcatenada!$D:$D, MATCH(1, (AsistenciaJetAdminConcatenada!$A:$A=BK$2)*(AsistenciaJetAdminConcatenada!$B:$B=BK$1), 0)), 1))),  0.5, 0))</f>
        <v>1</v>
      </c>
      <c r="BL33" s="47">
        <f t="array" ref="BL33">IF(AND(ISNUMBER(MATCH(BL$2, AsistenciaJetAdminConcatenada!$A:$A, 0)), ISNUMBER(MATCH(BL$1, AsistenciaJetAdminConcatenada!$B:$B, 0)), ISNUMBER(SEARCH($A33,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ISNUMBER(SEARCH($A33, INDEX(AsistenciaJetAdminConcatenada!$D:$D, MATCH(1, (AsistenciaJetAdminConcatenada!$A:$A=BL$2)*(AsistenciaJetAdminConcatenada!$B:$B=BL$1), 0)), 1))),  0.5, 0))</f>
        <v>1</v>
      </c>
      <c r="BM33" s="47">
        <f t="array" ref="BM33">IF(AND(ISNUMBER(MATCH(BM$2, AsistenciaJetAdminConcatenada!$A:$A, 0)), ISNUMBER(MATCH(BM$1, AsistenciaJetAdminConcatenada!$B:$B, 0)), ISNUMBER(SEARCH($A33,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ISNUMBER(SEARCH($A33, INDEX(AsistenciaJetAdminConcatenada!$D:$D, MATCH(1, (AsistenciaJetAdminConcatenada!$A:$A=BM$2)*(AsistenciaJetAdminConcatenada!$B:$B=BM$1), 0)), 1))),  0.5, 0))</f>
        <v>0</v>
      </c>
      <c r="BN33" s="47">
        <f t="array" ref="BN33">IF(AND(ISNUMBER(MATCH(BN$2, AsistenciaJetAdminConcatenada!$A:$A, 0)), ISNUMBER(MATCH(BN$1, AsistenciaJetAdminConcatenada!$B:$B, 0)), ISNUMBER(SEARCH($A33,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ISNUMBER(SEARCH($A33, INDEX(AsistenciaJetAdminConcatenada!$D:$D, MATCH(1, (AsistenciaJetAdminConcatenada!$A:$A=BN$2)*(AsistenciaJetAdminConcatenada!$B:$B=BN$1), 0)), 1))),  0.5, 0))</f>
        <v>1</v>
      </c>
      <c r="BO33" s="47">
        <f t="array" ref="BO33">IF(AND(ISNUMBER(MATCH(BO$2, AsistenciaJetAdminConcatenada!$A:$A, 0)), ISNUMBER(MATCH(BO$1, AsistenciaJetAdminConcatenada!$B:$B, 0)), ISNUMBER(SEARCH($A33,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ISNUMBER(SEARCH($A33, INDEX(AsistenciaJetAdminConcatenada!$D:$D, MATCH(1, (AsistenciaJetAdminConcatenada!$A:$A=BO$2)*(AsistenciaJetAdminConcatenada!$B:$B=BO$1), 0)), 1))),  0.5, 0))</f>
        <v>1</v>
      </c>
      <c r="BP33" s="47">
        <f t="array" ref="BP33">IF(AND(ISNUMBER(MATCH(BP$2, AsistenciaJetAdminConcatenada!$A:$A, 0)), ISNUMBER(MATCH(BP$1, AsistenciaJetAdminConcatenada!$B:$B, 0)), ISNUMBER(SEARCH($A33,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ISNUMBER(SEARCH($A33, INDEX(AsistenciaJetAdminConcatenada!$D:$D, MATCH(1, (AsistenciaJetAdminConcatenada!$A:$A=BP$2)*(AsistenciaJetAdminConcatenada!$B:$B=BP$1), 0)), 1))),  0.5, 0))</f>
        <v>1</v>
      </c>
      <c r="BQ33" s="47">
        <f t="array" ref="BQ33">IF(AND(ISNUMBER(MATCH(BQ$2, AsistenciaJetAdminConcatenada!$A:$A, 0)), ISNUMBER(MATCH(BQ$1, AsistenciaJetAdminConcatenada!$B:$B, 0)), ISNUMBER(SEARCH($A33,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ISNUMBER(SEARCH($A33, INDEX(AsistenciaJetAdminConcatenada!$D:$D, MATCH(1, (AsistenciaJetAdminConcatenada!$A:$A=BQ$2)*(AsistenciaJetAdminConcatenada!$B:$B=BQ$1), 0)), 1))),  0.5, 0))</f>
        <v>1</v>
      </c>
      <c r="BR33" s="47">
        <f t="array" ref="BR33">IF(AND(ISNUMBER(MATCH(BR$2, AsistenciaJetAdminConcatenada!$A:$A, 0)), ISNUMBER(MATCH(BR$1, AsistenciaJetAdminConcatenada!$B:$B, 0)), ISNUMBER(SEARCH($A33,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ISNUMBER(SEARCH($A33, INDEX(AsistenciaJetAdminConcatenada!$D:$D, MATCH(1, (AsistenciaJetAdminConcatenada!$A:$A=BR$2)*(AsistenciaJetAdminConcatenada!$B:$B=BR$1), 0)), 1))),  0.5, 0))</f>
        <v>1</v>
      </c>
      <c r="BS33" s="47">
        <f t="array" ref="BS33">IF(AND(ISNUMBER(MATCH(BS$2, AsistenciaJetAdminConcatenada!$A:$A, 0)), ISNUMBER(MATCH(BS$1, AsistenciaJetAdminConcatenada!$B:$B, 0)), ISNUMBER(SEARCH($A33,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ISNUMBER(SEARCH($A33, INDEX(AsistenciaJetAdminConcatenada!$D:$D, MATCH(1, (AsistenciaJetAdminConcatenada!$A:$A=BS$2)*(AsistenciaJetAdminConcatenada!$B:$B=BS$1), 0)), 1))),  0.5, 0))</f>
        <v>0.5</v>
      </c>
      <c r="BT33" s="47">
        <f t="array" ref="BT33">IF(AND(ISNUMBER(MATCH(BT$2, AsistenciaJetAdminConcatenada!$A:$A, 0)), ISNUMBER(MATCH(BT$1, AsistenciaJetAdminConcatenada!$B:$B, 0)), ISNUMBER(SEARCH($A33,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ISNUMBER(SEARCH($A33, INDEX(AsistenciaJetAdminConcatenada!$D:$D, MATCH(1, (AsistenciaJetAdminConcatenada!$A:$A=BT$2)*(AsistenciaJetAdminConcatenada!$B:$B=BT$1), 0)), 1))),  0.5, 0))</f>
        <v>1</v>
      </c>
      <c r="BU33" s="47">
        <f t="array" ref="BU33">IF(AND(ISNUMBER(MATCH(BU$2, AsistenciaJetAdminConcatenada!$A:$A, 0)), ISNUMBER(MATCH(BU$1, AsistenciaJetAdminConcatenada!$B:$B, 0)), ISNUMBER(SEARCH($A33,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ISNUMBER(SEARCH($A33, INDEX(AsistenciaJetAdminConcatenada!$D:$D, MATCH(1, (AsistenciaJetAdminConcatenada!$A:$A=BU$2)*(AsistenciaJetAdminConcatenada!$B:$B=BU$1), 0)), 1))),  0.5, 0))</f>
        <v>0</v>
      </c>
      <c r="BV33" s="47">
        <f t="array" ref="BV33">IF(AND(ISNUMBER(MATCH(BV$2, AsistenciaJetAdminConcatenada!$A:$A, 0)), ISNUMBER(MATCH(BV$1, AsistenciaJetAdminConcatenada!$B:$B, 0)), ISNUMBER(SEARCH($A33,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ISNUMBER(SEARCH($A33, INDEX(AsistenciaJetAdminConcatenada!$D:$D, MATCH(1, (AsistenciaJetAdminConcatenada!$A:$A=BV$2)*(AsistenciaJetAdminConcatenada!$B:$B=BV$1), 0)), 1))),  0.5, 0))</f>
        <v>0</v>
      </c>
      <c r="BW33" s="47">
        <f t="array" ref="BW33">IF(AND(ISNUMBER(MATCH(BW$2, AsistenciaJetAdminConcatenada!$A:$A, 0)), ISNUMBER(MATCH(BW$1, AsistenciaJetAdminConcatenada!$B:$B, 0)), ISNUMBER(SEARCH($A33,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ISNUMBER(SEARCH($A33, INDEX(AsistenciaJetAdminConcatenada!$D:$D, MATCH(1, (AsistenciaJetAdminConcatenada!$A:$A=BW$2)*(AsistenciaJetAdminConcatenada!$B:$B=BW$1), 0)), 1))),  0.5, 0))</f>
        <v>0.5</v>
      </c>
      <c r="BX33" s="47">
        <f t="array" ref="BX33">IF(AND(ISNUMBER(MATCH(BX$2, AsistenciaJetAdminConcatenada!$A:$A, 0)), ISNUMBER(MATCH(BX$1, AsistenciaJetAdminConcatenada!$B:$B, 0)), ISNUMBER(SEARCH($A33,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ISNUMBER(SEARCH($A33, INDEX(AsistenciaJetAdminConcatenada!$D:$D, MATCH(1, (AsistenciaJetAdminConcatenada!$A:$A=BX$2)*(AsistenciaJetAdminConcatenada!$B:$B=BX$1), 0)), 1))),  0.5, 0))</f>
        <v>1</v>
      </c>
      <c r="BY33" s="47">
        <f t="array" ref="BY33">IF(AND(ISNUMBER(MATCH(BY$2, AsistenciaJetAdminConcatenada!$A:$A, 0)), ISNUMBER(MATCH(BY$1, AsistenciaJetAdminConcatenada!$B:$B, 0)), ISNUMBER(SEARCH($A33,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ISNUMBER(SEARCH($A33, INDEX(AsistenciaJetAdminConcatenada!$D:$D, MATCH(1, (AsistenciaJetAdminConcatenada!$A:$A=BY$2)*(AsistenciaJetAdminConcatenada!$B:$B=BY$1), 0)), 1))),  0.5, 0))</f>
        <v>1</v>
      </c>
      <c r="BZ33" s="47">
        <f t="array" ref="BZ33">IF(AND(ISNUMBER(MATCH(BZ$2, AsistenciaJetAdminConcatenada!$A:$A, 0)), ISNUMBER(MATCH(BZ$1, AsistenciaJetAdminConcatenada!$B:$B, 0)), ISNUMBER(SEARCH($A33,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ISNUMBER(SEARCH($A33, INDEX(AsistenciaJetAdminConcatenada!$D:$D, MATCH(1, (AsistenciaJetAdminConcatenada!$A:$A=BZ$2)*(AsistenciaJetAdminConcatenada!$B:$B=BZ$1), 0)), 1))),  0.5, 0))</f>
        <v>1</v>
      </c>
      <c r="CA33" s="47">
        <f t="array" ref="CA33">IF(AND(ISNUMBER(MATCH(CA$2, AsistenciaJetAdminConcatenada!$A:$A, 0)), ISNUMBER(MATCH(CA$1, AsistenciaJetAdminConcatenada!$B:$B, 0)), ISNUMBER(SEARCH($A33,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ISNUMBER(SEARCH($A33, INDEX(AsistenciaJetAdminConcatenada!$D:$D, MATCH(1, (AsistenciaJetAdminConcatenada!$A:$A=CA$2)*(AsistenciaJetAdminConcatenada!$B:$B=CA$1), 0)), 1))),  0.5, 0))</f>
        <v>1</v>
      </c>
      <c r="CB33" s="47">
        <f t="array" ref="CB33">IF(AND(ISNUMBER(MATCH(CB$2, AsistenciaJetAdminConcatenada!$A:$A, 0)), ISNUMBER(MATCH(CB$1, AsistenciaJetAdminConcatenada!$B:$B, 0)), ISNUMBER(SEARCH($A33,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ISNUMBER(SEARCH($A33, INDEX(AsistenciaJetAdminConcatenada!$D:$D, MATCH(1, (AsistenciaJetAdminConcatenada!$A:$A=CB$2)*(AsistenciaJetAdminConcatenada!$B:$B=CB$1), 0)), 1))),  0.5, 0))</f>
        <v>1</v>
      </c>
      <c r="CC33" s="47">
        <f t="array" ref="CC33">IF(AND(ISNUMBER(MATCH(CC$2, AsistenciaJetAdminConcatenada!$A:$A, 0)), ISNUMBER(MATCH(CC$1, AsistenciaJetAdminConcatenada!$B:$B, 0)), ISNUMBER(SEARCH($A33,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ISNUMBER(SEARCH($A33, INDEX(AsistenciaJetAdminConcatenada!$D:$D, MATCH(1, (AsistenciaJetAdminConcatenada!$A:$A=CC$2)*(AsistenciaJetAdminConcatenada!$B:$B=CC$1), 0)), 1))),  0.5, 0))</f>
        <v>0</v>
      </c>
      <c r="CD33" s="47">
        <f t="array" ref="CD33">IF(AND(ISNUMBER(MATCH(CD$2, AsistenciaJetAdminConcatenada!$A:$A, 0)), ISNUMBER(MATCH(CD$1, AsistenciaJetAdminConcatenada!$B:$B, 0)), ISNUMBER(SEARCH($A33,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ISNUMBER(SEARCH($A33, INDEX(AsistenciaJetAdminConcatenada!$D:$D, MATCH(1, (AsistenciaJetAdminConcatenada!$A:$A=CD$2)*(AsistenciaJetAdminConcatenada!$B:$B=CD$1), 0)), 1))),  0.5, 0))</f>
        <v>1</v>
      </c>
      <c r="CE33" s="47">
        <f t="array" ref="CE33">IF(AND(ISNUMBER(MATCH(CE$2, AsistenciaJetAdminConcatenada!$A:$A, 0)), ISNUMBER(MATCH(CE$1, AsistenciaJetAdminConcatenada!$B:$B, 0)), ISNUMBER(SEARCH($A33,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ISNUMBER(SEARCH($A33, INDEX(AsistenciaJetAdminConcatenada!$D:$D, MATCH(1, (AsistenciaJetAdminConcatenada!$A:$A=CE$2)*(AsistenciaJetAdminConcatenada!$B:$B=CE$1), 0)), 1))),  0.5, 0))</f>
        <v>1</v>
      </c>
      <c r="CF33" s="47">
        <f t="array" ref="CF33">IF(AND(ISNUMBER(MATCH(CF$2, AsistenciaJetAdminConcatenada!$A:$A, 0)), ISNUMBER(MATCH(CF$1, AsistenciaJetAdminConcatenada!$B:$B, 0)), ISNUMBER(SEARCH($A33,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ISNUMBER(SEARCH($A33, INDEX(AsistenciaJetAdminConcatenada!$D:$D, MATCH(1, (AsistenciaJetAdminConcatenada!$A:$A=CF$2)*(AsistenciaJetAdminConcatenada!$B:$B=CF$1), 0)), 1))),  0.5, 0))</f>
        <v>0</v>
      </c>
      <c r="CG33" s="8">
        <v>0.0</v>
      </c>
      <c r="CH33" s="47">
        <f t="array" ref="CH33">IF(AND(ISNUMBER(MATCH(CH$2, AsistenciaJetAdminConcatenada!$A:$A, 0)), ISNUMBER(MATCH(CH$1, AsistenciaJetAdminConcatenada!$B:$B, 0)), ISNUMBER(SEARCH($A33,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ISNUMBER(SEARCH($A33, INDEX(AsistenciaJetAdminConcatenada!$D:$D, MATCH(1, (AsistenciaJetAdminConcatenada!$A:$A=CH$2)*(AsistenciaJetAdminConcatenada!$B:$B=CH$1), 0)), 1))),  0.5, 0))</f>
        <v>0</v>
      </c>
      <c r="CI33" s="47">
        <f t="array" ref="CI33">IF(AND(ISNUMBER(MATCH(CI$2, AsistenciaJetAdminConcatenada!$A:$A, 0)), ISNUMBER(MATCH(CI$1, AsistenciaJetAdminConcatenada!$B:$B, 0)), ISNUMBER(SEARCH($A33,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ISNUMBER(SEARCH($A33, INDEX(AsistenciaJetAdminConcatenada!$D:$D, MATCH(1, (AsistenciaJetAdminConcatenada!$A:$A=CI$2)*(AsistenciaJetAdminConcatenada!$B:$B=CI$1), 0)), 1))),  0.5, 0))</f>
        <v>1</v>
      </c>
      <c r="CJ33" s="47">
        <f t="array" ref="CJ33">IF(AND(ISNUMBER(MATCH(CJ$2, AsistenciaJetAdminConcatenada!$A:$A, 0)), ISNUMBER(MATCH(CJ$1, AsistenciaJetAdminConcatenada!$B:$B, 0)), ISNUMBER(SEARCH($A33,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ISNUMBER(SEARCH($A33, INDEX(AsistenciaJetAdminConcatenada!$D:$D, MATCH(1, (AsistenciaJetAdminConcatenada!$A:$A=CJ$2)*(AsistenciaJetAdminConcatenada!$B:$B=CJ$1), 0)), 1))),  0.5, 0))</f>
        <v>1</v>
      </c>
      <c r="CK33" s="47">
        <f t="array" ref="CK33">IF(AND(ISNUMBER(MATCH(CK$2, AsistenciaJetAdminConcatenada!$A:$A, 0)), ISNUMBER(MATCH(CK$1, AsistenciaJetAdminConcatenada!$B:$B, 0)), ISNUMBER(SEARCH($A33,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ISNUMBER(SEARCH($A33, INDEX(AsistenciaJetAdminConcatenada!$D:$D, MATCH(1, (AsistenciaJetAdminConcatenada!$A:$A=CK$2)*(AsistenciaJetAdminConcatenada!$B:$B=CK$1), 0)), 1))),  0.5, 0))</f>
        <v>0</v>
      </c>
      <c r="CL33" s="47">
        <f t="array" ref="CL33">IF(AND(ISNUMBER(MATCH(CL$2, AsistenciaJetAdminConcatenada!$A:$A, 0)), ISNUMBER(MATCH(CL$1, AsistenciaJetAdminConcatenada!$B:$B, 0)), ISNUMBER(SEARCH($A33,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ISNUMBER(SEARCH($A33, INDEX(AsistenciaJetAdminConcatenada!$D:$D, MATCH(1, (AsistenciaJetAdminConcatenada!$A:$A=CL$2)*(AsistenciaJetAdminConcatenada!$B:$B=CL$1), 0)), 1))),  0.5, 0))</f>
        <v>1</v>
      </c>
      <c r="CM33" s="47">
        <f t="array" ref="CM33">IF(AND(ISNUMBER(MATCH(CM$2, AsistenciaJetAdminConcatenada!$A:$A, 0)), ISNUMBER(MATCH(CM$1, AsistenciaJetAdminConcatenada!$B:$B, 0)), ISNUMBER(SEARCH($A33,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ISNUMBER(SEARCH($A33, INDEX(AsistenciaJetAdminConcatenada!$D:$D, MATCH(1, (AsistenciaJetAdminConcatenada!$A:$A=CM$2)*(AsistenciaJetAdminConcatenada!$B:$B=CM$1), 0)), 1))),  0.5, 0))</f>
        <v>1</v>
      </c>
      <c r="CN33" s="47">
        <f t="array" ref="CN33">IF(AND(ISNUMBER(MATCH(CN$2, AsistenciaJetAdminConcatenada!$A:$A, 0)), ISNUMBER(MATCH(CN$1, AsistenciaJetAdminConcatenada!$B:$B, 0)), ISNUMBER(SEARCH($A33,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ISNUMBER(SEARCH($A33, INDEX(AsistenciaJetAdminConcatenada!$D:$D, MATCH(1, (AsistenciaJetAdminConcatenada!$A:$A=CN$2)*(AsistenciaJetAdminConcatenada!$B:$B=CN$1), 0)), 1))),  0.5, 0))</f>
        <v>1</v>
      </c>
      <c r="CO33" s="47">
        <f t="array" ref="CO33">IF(AND(ISNUMBER(MATCH(CO$2, AsistenciaJetAdminConcatenada!$A:$A, 0)), ISNUMBER(MATCH(CO$1, AsistenciaJetAdminConcatenada!$B:$B, 0)), ISNUMBER(SEARCH($A33,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ISNUMBER(SEARCH($A33, INDEX(AsistenciaJetAdminConcatenada!$D:$D, MATCH(1, (AsistenciaJetAdminConcatenada!$A:$A=CO$2)*(AsistenciaJetAdminConcatenada!$B:$B=CO$1), 0)), 1))),  0.5, 0))</f>
        <v>1</v>
      </c>
      <c r="CP33" s="47">
        <f t="array" ref="CP33">IF(AND(ISNUMBER(MATCH(CP$2, AsistenciaJetAdminConcatenada!$A:$A, 0)), ISNUMBER(MATCH(CP$1, AsistenciaJetAdminConcatenada!$B:$B, 0)), ISNUMBER(SEARCH($A33,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ISNUMBER(SEARCH($A33, INDEX(AsistenciaJetAdminConcatenada!$D:$D, MATCH(1, (AsistenciaJetAdminConcatenada!$A:$A=CP$2)*(AsistenciaJetAdminConcatenada!$B:$B=CP$1), 0)), 1))),  0.5, 0))</f>
        <v>1</v>
      </c>
      <c r="CQ33" s="47">
        <f t="array" ref="CQ33">IF(AND(ISNUMBER(MATCH(CQ$2, AsistenciaJetAdminConcatenada!$A:$A, 0)), ISNUMBER(MATCH(CQ$1, AsistenciaJetAdminConcatenada!$B:$B, 0)), ISNUMBER(SEARCH($A33,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ISNUMBER(SEARCH($A33, INDEX(AsistenciaJetAdminConcatenada!$D:$D, MATCH(1, (AsistenciaJetAdminConcatenada!$A:$A=CQ$2)*(AsistenciaJetAdminConcatenada!$B:$B=CQ$1), 0)), 1))),  0.5, 0))</f>
        <v>1</v>
      </c>
      <c r="CR33" s="47">
        <f t="array" ref="CR33">IF(AND(ISNUMBER(MATCH(CR$2, AsistenciaJetAdminConcatenada!$A:$A, 0)), ISNUMBER(MATCH(CR$1, AsistenciaJetAdminConcatenada!$B:$B, 0)), ISNUMBER(SEARCH($A33,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ISNUMBER(SEARCH($A33, INDEX(AsistenciaJetAdminConcatenada!$D:$D, MATCH(1, (AsistenciaJetAdminConcatenada!$A:$A=CR$2)*(AsistenciaJetAdminConcatenada!$B:$B=CR$1), 0)), 1))),  0.5, 0))</f>
        <v>1</v>
      </c>
      <c r="CS33" s="47">
        <f t="array" ref="CS33">IF(AND(ISNUMBER(MATCH(CS$2, AsistenciaJetAdminConcatenada!$A:$A, 0)), ISNUMBER(MATCH(CS$1, AsistenciaJetAdminConcatenada!$B:$B, 0)), ISNUMBER(SEARCH($A33,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ISNUMBER(SEARCH($A33, INDEX(AsistenciaJetAdminConcatenada!$D:$D, MATCH(1, (AsistenciaJetAdminConcatenada!$A:$A=CS$2)*(AsistenciaJetAdminConcatenada!$B:$B=CS$1), 0)), 1))),  0.5, 0))</f>
        <v>0</v>
      </c>
      <c r="CT33" s="47">
        <f t="array" ref="CT33">IF(AND(ISNUMBER(MATCH(CT$2, AsistenciaJetAdminConcatenada!$A:$A, 0)), ISNUMBER(MATCH(CT$1, AsistenciaJetAdminConcatenada!$B:$B, 0)), ISNUMBER(SEARCH($A33,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ISNUMBER(SEARCH($A33, INDEX(AsistenciaJetAdminConcatenada!$D:$D, MATCH(1, (AsistenciaJetAdminConcatenada!$A:$A=CT$2)*(AsistenciaJetAdminConcatenada!$B:$B=CT$1), 0)), 1))),  0.5, 0))</f>
        <v>0</v>
      </c>
      <c r="CU33" s="47">
        <f t="array" ref="CU33">IF(AND(ISNUMBER(MATCH(CU$2, AsistenciaJetAdminConcatenada!$A:$A, 0)), ISNUMBER(MATCH(CU$1, AsistenciaJetAdminConcatenada!$B:$B, 0)), ISNUMBER(SEARCH($A33,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ISNUMBER(SEARCH($A33, INDEX(AsistenciaJetAdminConcatenada!$D:$D, MATCH(1, (AsistenciaJetAdminConcatenada!$A:$A=CU$2)*(AsistenciaJetAdminConcatenada!$B:$B=CU$1), 0)), 1))),  0.5, 0))</f>
        <v>0</v>
      </c>
      <c r="CV33" s="47">
        <f t="array" ref="CV33">IF(AND(ISNUMBER(MATCH(CV$2, AsistenciaJetAdminConcatenada!$A:$A, 0)), ISNUMBER(MATCH(CV$1, AsistenciaJetAdminConcatenada!$B:$B, 0)), ISNUMBER(SEARCH($A33,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ISNUMBER(SEARCH($A33, INDEX(AsistenciaJetAdminConcatenada!$D:$D, MATCH(1, (AsistenciaJetAdminConcatenada!$A:$A=CV$2)*(AsistenciaJetAdminConcatenada!$B:$B=CV$1), 0)), 1))),  0.5, 0))</f>
        <v>0</v>
      </c>
      <c r="CW33" s="47">
        <f t="array" ref="CW33">IF(AND(ISNUMBER(MATCH(CW$2, AsistenciaJetAdminConcatenada!$A:$A, 0)), ISNUMBER(MATCH(CW$1, AsistenciaJetAdminConcatenada!$B:$B, 0)), ISNUMBER(SEARCH($A33,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ISNUMBER(SEARCH($A33, INDEX(AsistenciaJetAdminConcatenada!$D:$D, MATCH(1, (AsistenciaJetAdminConcatenada!$A:$A=CW$2)*(AsistenciaJetAdminConcatenada!$B:$B=CW$1), 0)), 1))),  0.5, 0))</f>
        <v>0</v>
      </c>
      <c r="CX33" s="47">
        <f t="array" ref="CX33">IF(AND(ISNUMBER(MATCH(CX$2, AsistenciaJetAdminConcatenada!$A:$A, 0)), ISNUMBER(MATCH(CX$1, AsistenciaJetAdminConcatenada!$B:$B, 0)), ISNUMBER(SEARCH($A33,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ISNUMBER(SEARCH($A33, INDEX(AsistenciaJetAdminConcatenada!$D:$D, MATCH(1, (AsistenciaJetAdminConcatenada!$A:$A=CX$2)*(AsistenciaJetAdminConcatenada!$B:$B=CX$1), 0)), 1))),  0.5, 0))</f>
        <v>0</v>
      </c>
      <c r="CY33" s="47">
        <f t="array" ref="CY33">IF(AND(ISNUMBER(MATCH(CY$2, AsistenciaJetAdminConcatenada!$A:$A, 0)), ISNUMBER(MATCH(CY$1, AsistenciaJetAdminConcatenada!$B:$B, 0)), ISNUMBER(SEARCH($A33,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ISNUMBER(SEARCH($A33, INDEX(AsistenciaJetAdminConcatenada!$D:$D, MATCH(1, (AsistenciaJetAdminConcatenada!$A:$A=CY$2)*(AsistenciaJetAdminConcatenada!$B:$B=CY$1), 0)), 1))),  0.5, 0))</f>
        <v>0</v>
      </c>
      <c r="CZ33" s="47">
        <f t="array" ref="CZ33">IF(AND(ISNUMBER(MATCH(CZ$2, AsistenciaJetAdminConcatenada!$A:$A, 0)), ISNUMBER(MATCH(CZ$1, AsistenciaJetAdminConcatenada!$B:$B, 0)), ISNUMBER(SEARCH($A33,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ISNUMBER(SEARCH($A33, INDEX(AsistenciaJetAdminConcatenada!$D:$D, MATCH(1, (AsistenciaJetAdminConcatenada!$A:$A=CZ$2)*(AsistenciaJetAdminConcatenada!$B:$B=CZ$1), 0)), 1))),  0.5, 0))</f>
        <v>0</v>
      </c>
      <c r="DA33" s="47">
        <f t="array" ref="DA33">IF(AND(ISNUMBER(MATCH(DA$2, AsistenciaJetAdminConcatenada!$A:$A, 0)), ISNUMBER(MATCH(DA$1, AsistenciaJetAdminConcatenada!$B:$B, 0)), ISNUMBER(SEARCH($A33,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ISNUMBER(SEARCH($A33, INDEX(AsistenciaJetAdminConcatenada!$D:$D, MATCH(1, (AsistenciaJetAdminConcatenada!$A:$A=DA$2)*(AsistenciaJetAdminConcatenada!$B:$B=DA$1), 0)), 1))),  0.5, 0))</f>
        <v>0</v>
      </c>
      <c r="DB33" s="47">
        <f t="array" ref="DB33">IF(AND(ISNUMBER(MATCH(DB$2, AsistenciaJetAdminConcatenada!$A:$A, 0)), ISNUMBER(MATCH(DB$1, AsistenciaJetAdminConcatenada!$B:$B, 0)), ISNUMBER(SEARCH($A33,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ISNUMBER(SEARCH($A33, INDEX(AsistenciaJetAdminConcatenada!$D:$D, MATCH(1, (AsistenciaJetAdminConcatenada!$A:$A=DB$2)*(AsistenciaJetAdminConcatenada!$B:$B=DB$1), 0)), 1))),  0.5, 0))</f>
        <v>0</v>
      </c>
      <c r="DC33" s="47">
        <f t="array" ref="DC33">IF(AND(ISNUMBER(MATCH(DC$2, AsistenciaJetAdminConcatenada!$A:$A, 0)), ISNUMBER(MATCH(DC$1, AsistenciaJetAdminConcatenada!$B:$B, 0)), ISNUMBER(SEARCH($A33,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ISNUMBER(SEARCH($A33, INDEX(AsistenciaJetAdminConcatenada!$D:$D, MATCH(1, (AsistenciaJetAdminConcatenada!$A:$A=DC$2)*(AsistenciaJetAdminConcatenada!$B:$B=DC$1), 0)), 1))),  0.5, 0))</f>
        <v>0</v>
      </c>
      <c r="DD33" s="47">
        <f t="array" ref="DD33">IF(AND(ISNUMBER(MATCH(DD$2, AsistenciaJetAdminConcatenada!$A:$A, 0)), ISNUMBER(MATCH(DD$1, AsistenciaJetAdminConcatenada!$B:$B, 0)), ISNUMBER(SEARCH($A33,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ISNUMBER(SEARCH($A33, INDEX(AsistenciaJetAdminConcatenada!$D:$D, MATCH(1, (AsistenciaJetAdminConcatenada!$A:$A=DD$2)*(AsistenciaJetAdminConcatenada!$B:$B=DD$1), 0)), 1))),  0.5, 0))</f>
        <v>0</v>
      </c>
      <c r="DE33" s="47">
        <f t="array" ref="DE33">IF(AND(ISNUMBER(MATCH(DE$2, AsistenciaJetAdminConcatenada!$A:$A, 0)), ISNUMBER(MATCH(DE$1, AsistenciaJetAdminConcatenada!$B:$B, 0)), ISNUMBER(SEARCH($A33,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ISNUMBER(SEARCH($A33, INDEX(AsistenciaJetAdminConcatenada!$D:$D, MATCH(1, (AsistenciaJetAdminConcatenada!$A:$A=DE$2)*(AsistenciaJetAdminConcatenada!$B:$B=DE$1), 0)), 1))),  0.5, 0))</f>
        <v>0</v>
      </c>
      <c r="DF33" s="47">
        <f t="array" ref="DF33">IF(AND(ISNUMBER(MATCH(DF$2, AsistenciaJetAdminConcatenada!$A:$A, 0)), ISNUMBER(MATCH(DF$1, AsistenciaJetAdminConcatenada!$B:$B, 0)), ISNUMBER(SEARCH($A33,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ISNUMBER(SEARCH($A33, INDEX(AsistenciaJetAdminConcatenada!$D:$D, MATCH(1, (AsistenciaJetAdminConcatenada!$A:$A=DF$2)*(AsistenciaJetAdminConcatenada!$B:$B=DF$1), 0)), 1))),  0.5, 0))</f>
        <v>0</v>
      </c>
      <c r="DG33" s="47">
        <f t="array" ref="DG33">IF(AND(ISNUMBER(MATCH(DG$2, AsistenciaJetAdminConcatenada!$A:$A, 0)), ISNUMBER(MATCH(DG$1, AsistenciaJetAdminConcatenada!$B:$B, 0)), ISNUMBER(SEARCH($A33,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ISNUMBER(SEARCH($A33, INDEX(AsistenciaJetAdminConcatenada!$D:$D, MATCH(1, (AsistenciaJetAdminConcatenada!$A:$A=DG$2)*(AsistenciaJetAdminConcatenada!$B:$B=DG$1), 0)), 1))),  0.5, 0))</f>
        <v>0</v>
      </c>
      <c r="DH33" s="47">
        <f t="array" ref="DH33">IF(AND(ISNUMBER(MATCH(DH$2, AsistenciaJetAdminConcatenada!$A:$A, 0)), ISNUMBER(MATCH(DH$1, AsistenciaJetAdminConcatenada!$B:$B, 0)), ISNUMBER(SEARCH($A33,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ISNUMBER(SEARCH($A33, INDEX(AsistenciaJetAdminConcatenada!$D:$D, MATCH(1, (AsistenciaJetAdminConcatenada!$A:$A=DH$2)*(AsistenciaJetAdminConcatenada!$B:$B=DH$1), 0)), 1))),  0.5, 0))</f>
        <v>0</v>
      </c>
      <c r="DI33" s="47">
        <f t="array" ref="DI33">IF(AND(ISNUMBER(MATCH(DI$2, AsistenciaJetAdminConcatenada!$A:$A, 0)), ISNUMBER(MATCH(DI$1, AsistenciaJetAdminConcatenada!$B:$B, 0)), ISNUMBER(SEARCH($A33,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ISNUMBER(SEARCH($A33, INDEX(AsistenciaJetAdminConcatenada!$D:$D, MATCH(1, (AsistenciaJetAdminConcatenada!$A:$A=DI$2)*(AsistenciaJetAdminConcatenada!$B:$B=DI$1), 0)), 1))),  0.5, 0))</f>
        <v>0</v>
      </c>
      <c r="DJ33" s="47">
        <f t="array" ref="DJ33">IF(AND(ISNUMBER(MATCH(DJ$2, AsistenciaJetAdminConcatenada!$A:$A, 0)), ISNUMBER(MATCH(DJ$1, AsistenciaJetAdminConcatenada!$B:$B, 0)), ISNUMBER(SEARCH($A33,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ISNUMBER(SEARCH($A33, INDEX(AsistenciaJetAdminConcatenada!$D:$D, MATCH(1, (AsistenciaJetAdminConcatenada!$A:$A=DJ$2)*(AsistenciaJetAdminConcatenada!$B:$B=DJ$1), 0)), 1))),  0.5, 0))</f>
        <v>0</v>
      </c>
      <c r="DK33" s="47">
        <f t="array" ref="DK33">IF(AND(ISNUMBER(MATCH(DK$2, AsistenciaJetAdminConcatenada!$A:$A, 0)), ISNUMBER(MATCH(DK$1, AsistenciaJetAdminConcatenada!$B:$B, 0)), ISNUMBER(SEARCH($A33,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ISNUMBER(SEARCH($A33, INDEX(AsistenciaJetAdminConcatenada!$D:$D, MATCH(1, (AsistenciaJetAdminConcatenada!$A:$A=DK$2)*(AsistenciaJetAdminConcatenada!$B:$B=DK$1), 0)), 1))),  0.5, 0))</f>
        <v>0</v>
      </c>
      <c r="DL33" s="47">
        <f t="array" ref="DL33">IF(AND(ISNUMBER(MATCH(DL$2, AsistenciaJetAdminConcatenada!$A:$A, 0)), ISNUMBER(MATCH(DL$1, AsistenciaJetAdminConcatenada!$B:$B, 0)), ISNUMBER(SEARCH($A33,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ISNUMBER(SEARCH($A33, INDEX(AsistenciaJetAdminConcatenada!$D:$D, MATCH(1, (AsistenciaJetAdminConcatenada!$A:$A=DL$2)*(AsistenciaJetAdminConcatenada!$B:$B=DL$1), 0)), 1))),  0.5, 0))</f>
        <v>0</v>
      </c>
      <c r="DM33" s="47">
        <f t="array" ref="DM33">IF(AND(ISNUMBER(MATCH(DM$2, AsistenciaJetAdminConcatenada!$A:$A, 0)), ISNUMBER(MATCH(DM$1, AsistenciaJetAdminConcatenada!$B:$B, 0)), ISNUMBER(SEARCH($A33,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ISNUMBER(SEARCH($A33, INDEX(AsistenciaJetAdminConcatenada!$D:$D, MATCH(1, (AsistenciaJetAdminConcatenada!$A:$A=DM$2)*(AsistenciaJetAdminConcatenada!$B:$B=DM$1), 0)), 1))),  0.5, 0))</f>
        <v>0</v>
      </c>
      <c r="DN33" s="47">
        <f t="array" ref="DN33">IF(AND(ISNUMBER(MATCH(DN$2, AsistenciaJetAdminConcatenada!$A:$A, 0)), ISNUMBER(MATCH(DN$1, AsistenciaJetAdminConcatenada!$B:$B, 0)), ISNUMBER(SEARCH($A33,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ISNUMBER(SEARCH($A33, INDEX(AsistenciaJetAdminConcatenada!$D:$D, MATCH(1, (AsistenciaJetAdminConcatenada!$A:$A=DN$2)*(AsistenciaJetAdminConcatenada!$B:$B=DN$1), 0)), 1))),  0.5, 0))</f>
        <v>0</v>
      </c>
      <c r="DO33" s="47">
        <f t="array" ref="DO33">IF(AND(ISNUMBER(MATCH(DO$2, AsistenciaJetAdminConcatenada!$A:$A, 0)), ISNUMBER(MATCH(DO$1, AsistenciaJetAdminConcatenada!$B:$B, 0)), ISNUMBER(SEARCH($A33,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ISNUMBER(SEARCH($A33, INDEX(AsistenciaJetAdminConcatenada!$D:$D, MATCH(1, (AsistenciaJetAdminConcatenada!$A:$A=DO$2)*(AsistenciaJetAdminConcatenada!$B:$B=DO$1), 0)), 1))),  0.5, 0))</f>
        <v>0</v>
      </c>
      <c r="DP33" s="47">
        <f t="array" ref="DP33">IF(AND(ISNUMBER(MATCH(DP$2, AsistenciaJetAdminConcatenada!$A:$A, 0)), ISNUMBER(MATCH(DP$1, AsistenciaJetAdminConcatenada!$B:$B, 0)), ISNUMBER(SEARCH($A33,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ISNUMBER(SEARCH($A33, INDEX(AsistenciaJetAdminConcatenada!$D:$D, MATCH(1, (AsistenciaJetAdminConcatenada!$A:$A=DP$2)*(AsistenciaJetAdminConcatenada!$B:$B=DP$1), 0)), 1))),  0.5, 0))</f>
        <v>0</v>
      </c>
      <c r="DQ33" s="47">
        <f t="array" ref="DQ33">IF(AND(ISNUMBER(MATCH(DQ$2, AsistenciaJetAdminConcatenada!$A:$A, 0)), ISNUMBER(MATCH(DQ$1, AsistenciaJetAdminConcatenada!$B:$B, 0)), ISNUMBER(SEARCH($A33,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ISNUMBER(SEARCH($A33, INDEX(AsistenciaJetAdminConcatenada!$D:$D, MATCH(1, (AsistenciaJetAdminConcatenada!$A:$A=DQ$2)*(AsistenciaJetAdminConcatenada!$B:$B=DQ$1), 0)), 1))),  0.5, 0))</f>
        <v>0</v>
      </c>
      <c r="DR33" s="47">
        <f t="array" ref="DR33">IF(AND(ISNUMBER(MATCH(DR$2, AsistenciaJetAdminConcatenada!$A:$A, 0)), ISNUMBER(MATCH(DR$1, AsistenciaJetAdminConcatenada!$B:$B, 0)), ISNUMBER(SEARCH($A33,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ISNUMBER(SEARCH($A33, INDEX(AsistenciaJetAdminConcatenada!$D:$D, MATCH(1, (AsistenciaJetAdminConcatenada!$A:$A=DR$2)*(AsistenciaJetAdminConcatenada!$B:$B=DR$1), 0)), 1))),  0.5, 0))</f>
        <v>0</v>
      </c>
      <c r="DS33" s="47">
        <f t="array" ref="DS33">IF(AND(ISNUMBER(MATCH(DS$2, AsistenciaJetAdminConcatenada!$A:$A, 0)), ISNUMBER(MATCH(DS$1, AsistenciaJetAdminConcatenada!$B:$B, 0)), ISNUMBER(SEARCH($A33,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ISNUMBER(SEARCH($A33, INDEX(AsistenciaJetAdminConcatenada!$D:$D, MATCH(1, (AsistenciaJetAdminConcatenada!$A:$A=DS$2)*(AsistenciaJetAdminConcatenada!$B:$B=DS$1), 0)), 1))),  0.5, 0))</f>
        <v>0</v>
      </c>
      <c r="DT33" s="47">
        <f t="array" ref="DT33">IF(AND(ISNUMBER(MATCH(DT$2, AsistenciaJetAdminConcatenada!$A:$A, 0)), ISNUMBER(MATCH(DT$1, AsistenciaJetAdminConcatenada!$B:$B, 0)), ISNUMBER(SEARCH($A33,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ISNUMBER(SEARCH($A33, INDEX(AsistenciaJetAdminConcatenada!$D:$D, MATCH(1, (AsistenciaJetAdminConcatenada!$A:$A=DT$2)*(AsistenciaJetAdminConcatenada!$B:$B=DT$1), 0)), 1))),  0.5, 0))</f>
        <v>0</v>
      </c>
      <c r="DU33" s="47">
        <f t="array" ref="DU33">IF(AND(ISNUMBER(MATCH(DU$2, AsistenciaJetAdminConcatenada!$A:$A, 0)), ISNUMBER(MATCH(DU$1, AsistenciaJetAdminConcatenada!$B:$B, 0)), ISNUMBER(SEARCH($A33,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ISNUMBER(SEARCH($A33, INDEX(AsistenciaJetAdminConcatenada!$D:$D, MATCH(1, (AsistenciaJetAdminConcatenada!$A:$A=DU$2)*(AsistenciaJetAdminConcatenada!$B:$B=DU$1), 0)), 1))),  0.5, 0))</f>
        <v>0</v>
      </c>
      <c r="DV33" s="47">
        <f t="array" ref="DV33">IF(AND(ISNUMBER(MATCH(DV$2, AsistenciaJetAdminConcatenada!$A:$A, 0)), ISNUMBER(MATCH(DV$1, AsistenciaJetAdminConcatenada!$B:$B, 0)), ISNUMBER(SEARCH($A33,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ISNUMBER(SEARCH($A33, INDEX(AsistenciaJetAdminConcatenada!$D:$D, MATCH(1, (AsistenciaJetAdminConcatenada!$A:$A=DV$2)*(AsistenciaJetAdminConcatenada!$B:$B=DV$1), 0)), 1))),  0.5, 0))</f>
        <v>0</v>
      </c>
      <c r="DW33" s="47">
        <f t="array" ref="DW33">IF(AND(ISNUMBER(MATCH(DW$2, AsistenciaJetAdminConcatenada!$A:$A, 0)), ISNUMBER(MATCH(DW$1, AsistenciaJetAdminConcatenada!$B:$B, 0)), ISNUMBER(SEARCH($A33,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ISNUMBER(SEARCH($A33, INDEX(AsistenciaJetAdminConcatenada!$D:$D, MATCH(1, (AsistenciaJetAdminConcatenada!$A:$A=DW$2)*(AsistenciaJetAdminConcatenada!$B:$B=DW$1), 0)), 1))),  0.5, 0))</f>
        <v>0</v>
      </c>
      <c r="DX33" s="47">
        <f t="array" ref="DX33">IF(AND(ISNUMBER(MATCH(DX$2, AsistenciaJetAdminConcatenada!$A:$A, 0)), ISNUMBER(MATCH(DX$1, AsistenciaJetAdminConcatenada!$B:$B, 0)), ISNUMBER(SEARCH($A33,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ISNUMBER(SEARCH($A33, INDEX(AsistenciaJetAdminConcatenada!$D:$D, MATCH(1, (AsistenciaJetAdminConcatenada!$A:$A=DX$2)*(AsistenciaJetAdminConcatenada!$B:$B=DX$1), 0)), 1))),  0.5, 0))</f>
        <v>0</v>
      </c>
      <c r="DY33" s="47">
        <f t="array" ref="DY33">IF(AND(ISNUMBER(MATCH(DY$2, AsistenciaJetAdminConcatenada!$A:$A, 0)), ISNUMBER(MATCH(DY$1, AsistenciaJetAdminConcatenada!$B:$B, 0)), ISNUMBER(SEARCH($A33,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ISNUMBER(SEARCH($A33, INDEX(AsistenciaJetAdminConcatenada!$D:$D, MATCH(1, (AsistenciaJetAdminConcatenada!$A:$A=DY$2)*(AsistenciaJetAdminConcatenada!$B:$B=DY$1), 0)), 1))),  0.5, 0))</f>
        <v>0</v>
      </c>
      <c r="DZ33" s="47">
        <f t="array" ref="DZ33">IF(AND(ISNUMBER(MATCH(DZ$2, AsistenciaJetAdminConcatenada!$A:$A, 0)), ISNUMBER(MATCH(DZ$1, AsistenciaJetAdminConcatenada!$B:$B, 0)), ISNUMBER(SEARCH($A33,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ISNUMBER(SEARCH($A33, INDEX(AsistenciaJetAdminConcatenada!$D:$D, MATCH(1, (AsistenciaJetAdminConcatenada!$A:$A=DZ$2)*(AsistenciaJetAdminConcatenada!$B:$B=DZ$1), 0)), 1))),  0.5, 0))</f>
        <v>0</v>
      </c>
      <c r="EA33" s="47">
        <f t="array" ref="EA33">IF(AND(ISNUMBER(MATCH(EA$2, AsistenciaJetAdminConcatenada!$A:$A, 0)), ISNUMBER(MATCH(EA$1, AsistenciaJetAdminConcatenada!$B:$B, 0)), ISNUMBER(SEARCH($A33,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ISNUMBER(SEARCH($A33, INDEX(AsistenciaJetAdminConcatenada!$D:$D, MATCH(1, (AsistenciaJetAdminConcatenada!$A:$A=EA$2)*(AsistenciaJetAdminConcatenada!$B:$B=EA$1), 0)), 1))),  0.5, 0))</f>
        <v>0</v>
      </c>
      <c r="EB33" s="47">
        <f t="array" ref="EB33">IF(AND(ISNUMBER(MATCH(EB$2, AsistenciaJetAdminConcatenada!$A:$A, 0)), ISNUMBER(MATCH(EB$1, AsistenciaJetAdminConcatenada!$B:$B, 0)), ISNUMBER(SEARCH($A33,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ISNUMBER(SEARCH($A33, INDEX(AsistenciaJetAdminConcatenada!$D:$D, MATCH(1, (AsistenciaJetAdminConcatenada!$A:$A=EB$2)*(AsistenciaJetAdminConcatenada!$B:$B=EB$1), 0)), 1))),  0.5, 0))</f>
        <v>0</v>
      </c>
      <c r="EC33" s="47">
        <f t="array" ref="EC33">IF(AND(ISNUMBER(MATCH(EC$2, AsistenciaJetAdminConcatenada!$A:$A, 0)), ISNUMBER(MATCH(EC$1, AsistenciaJetAdminConcatenada!$B:$B, 0)), ISNUMBER(SEARCH($A33,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ISNUMBER(SEARCH($A33, INDEX(AsistenciaJetAdminConcatenada!$D:$D, MATCH(1, (AsistenciaJetAdminConcatenada!$A:$A=EC$2)*(AsistenciaJetAdminConcatenada!$B:$B=EC$1), 0)), 1))),  0.5, 0))</f>
        <v>0</v>
      </c>
      <c r="ED33" s="47">
        <f t="array" ref="ED33">IF(AND(ISNUMBER(MATCH(ED$2, AsistenciaJetAdminConcatenada!$A:$A, 0)), ISNUMBER(MATCH(ED$1, AsistenciaJetAdminConcatenada!$B:$B, 0)), ISNUMBER(SEARCH($A33,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ISNUMBER(SEARCH($A33, INDEX(AsistenciaJetAdminConcatenada!$D:$D, MATCH(1, (AsistenciaJetAdminConcatenada!$A:$A=ED$2)*(AsistenciaJetAdminConcatenada!$B:$B=ED$1), 0)), 1))),  0.5, 0))</f>
        <v>0</v>
      </c>
      <c r="EE33" s="47">
        <f t="array" ref="EE33">IF(AND(ISNUMBER(MATCH(EE$2, AsistenciaJetAdminConcatenada!$A:$A, 0)), ISNUMBER(MATCH(EE$1, AsistenciaJetAdminConcatenada!$B:$B, 0)), ISNUMBER(SEARCH($A33,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ISNUMBER(SEARCH($A33, INDEX(AsistenciaJetAdminConcatenada!$D:$D, MATCH(1, (AsistenciaJetAdminConcatenada!$A:$A=EE$2)*(AsistenciaJetAdminConcatenada!$B:$B=EE$1), 0)), 1))),  0.5, 0))</f>
        <v>0</v>
      </c>
      <c r="EF33" s="47">
        <f t="array" ref="EF33">IF(AND(ISNUMBER(MATCH(EF$2, AsistenciaJetAdminConcatenada!$A:$A, 0)), ISNUMBER(MATCH(EF$1, AsistenciaJetAdminConcatenada!$B:$B, 0)), ISNUMBER(SEARCH($A33,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ISNUMBER(SEARCH($A33, INDEX(AsistenciaJetAdminConcatenada!$D:$D, MATCH(1, (AsistenciaJetAdminConcatenada!$A:$A=EF$2)*(AsistenciaJetAdminConcatenada!$B:$B=EF$1), 0)), 1))),  0.5, 0))</f>
        <v>0</v>
      </c>
      <c r="EG33" s="47">
        <f t="array" ref="EG33">IF(AND(ISNUMBER(MATCH(EG$2, AsistenciaJetAdminConcatenada!$A:$A, 0)), ISNUMBER(MATCH(EG$1, AsistenciaJetAdminConcatenada!$B:$B, 0)), ISNUMBER(SEARCH($A33,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ISNUMBER(SEARCH($A33, INDEX(AsistenciaJetAdminConcatenada!$D:$D, MATCH(1, (AsistenciaJetAdminConcatenada!$A:$A=EG$2)*(AsistenciaJetAdminConcatenada!$B:$B=EG$1), 0)), 1))),  0.5, 0))</f>
        <v>0</v>
      </c>
      <c r="EH33" s="47">
        <f t="array" ref="EH33">IF(AND(ISNUMBER(MATCH(EH$2, AsistenciaJetAdminConcatenada!$A:$A, 0)), ISNUMBER(MATCH(EH$1, AsistenciaJetAdminConcatenada!$B:$B, 0)), ISNUMBER(SEARCH($A33,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ISNUMBER(SEARCH($A33, INDEX(AsistenciaJetAdminConcatenada!$D:$D, MATCH(1, (AsistenciaJetAdminConcatenada!$A:$A=EH$2)*(AsistenciaJetAdminConcatenada!$B:$B=EH$1), 0)), 1))),  0.5, 0))</f>
        <v>0</v>
      </c>
      <c r="EI33" s="47">
        <f t="array" ref="EI33">IF(AND(ISNUMBER(MATCH(EI$2, AsistenciaJetAdminConcatenada!$A:$A, 0)), ISNUMBER(MATCH(EI$1, AsistenciaJetAdminConcatenada!$B:$B, 0)), ISNUMBER(SEARCH($A33,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ISNUMBER(SEARCH($A33, INDEX(AsistenciaJetAdminConcatenada!$D:$D, MATCH(1, (AsistenciaJetAdminConcatenada!$A:$A=EI$2)*(AsistenciaJetAdminConcatenada!$B:$B=EI$1), 0)), 1))),  0.5, 0))</f>
        <v>0</v>
      </c>
      <c r="EJ33" s="47">
        <f t="array" ref="EJ33">IF(AND(ISNUMBER(MATCH(EJ$2, AsistenciaJetAdminConcatenada!$A:$A, 0)), ISNUMBER(MATCH(EJ$1, AsistenciaJetAdminConcatenada!$B:$B, 0)), ISNUMBER(SEARCH($A33,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ISNUMBER(SEARCH($A33, INDEX(AsistenciaJetAdminConcatenada!$D:$D, MATCH(1, (AsistenciaJetAdminConcatenada!$A:$A=EJ$2)*(AsistenciaJetAdminConcatenada!$B:$B=EJ$1), 0)), 1))),  0.5, 0))</f>
        <v>0</v>
      </c>
      <c r="EK33" s="47">
        <f t="array" ref="EK33">IF(AND(ISNUMBER(MATCH(EK$2, AsistenciaJetAdminConcatenada!$A:$A, 0)), ISNUMBER(MATCH(EK$1, AsistenciaJetAdminConcatenada!$B:$B, 0)), ISNUMBER(SEARCH($A33,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ISNUMBER(SEARCH($A33, INDEX(AsistenciaJetAdminConcatenada!$D:$D, MATCH(1, (AsistenciaJetAdminConcatenada!$A:$A=EK$2)*(AsistenciaJetAdminConcatenada!$B:$B=EK$1), 0)), 1))),  0.5, 0))</f>
        <v>0</v>
      </c>
      <c r="EL33" s="47">
        <f t="array" ref="EL33">IF(AND(ISNUMBER(MATCH(EL$2, AsistenciaJetAdminConcatenada!$A:$A, 0)), ISNUMBER(MATCH(EL$1, AsistenciaJetAdminConcatenada!$B:$B, 0)), ISNUMBER(SEARCH($A33,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ISNUMBER(SEARCH($A33, INDEX(AsistenciaJetAdminConcatenada!$D:$D, MATCH(1, (AsistenciaJetAdminConcatenada!$A:$A=EL$2)*(AsistenciaJetAdminConcatenada!$B:$B=EL$1), 0)), 1))),  0.5, 0))</f>
        <v>0</v>
      </c>
      <c r="EM33" s="47">
        <f t="array" ref="EM33">IF(AND(ISNUMBER(MATCH(EM$2, AsistenciaJetAdminConcatenada!$A:$A, 0)), ISNUMBER(MATCH(EM$1, AsistenciaJetAdminConcatenada!$B:$B, 0)), ISNUMBER(SEARCH($A33,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ISNUMBER(SEARCH($A33, INDEX(AsistenciaJetAdminConcatenada!$D:$D, MATCH(1, (AsistenciaJetAdminConcatenada!$A:$A=EM$2)*(AsistenciaJetAdminConcatenada!$B:$B=EM$1), 0)), 1))),  0.5, 0))</f>
        <v>0</v>
      </c>
      <c r="EN33" s="47">
        <f t="array" ref="EN33">IF(AND(ISNUMBER(MATCH(EN$2, AsistenciaJetAdminConcatenada!$A:$A, 0)), ISNUMBER(MATCH(EN$1, AsistenciaJetAdminConcatenada!$B:$B, 0)), ISNUMBER(SEARCH($A33,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ISNUMBER(SEARCH($A33, INDEX(AsistenciaJetAdminConcatenada!$D:$D, MATCH(1, (AsistenciaJetAdminConcatenada!$A:$A=EN$2)*(AsistenciaJetAdminConcatenada!$B:$B=EN$1), 0)), 1))),  0.5, 0))</f>
        <v>0</v>
      </c>
      <c r="EO33" s="47">
        <f t="array" ref="EO33">IF(AND(ISNUMBER(MATCH(EO$2, AsistenciaJetAdminConcatenada!$A:$A, 0)), ISNUMBER(MATCH(EO$1, AsistenciaJetAdminConcatenada!$B:$B, 0)), ISNUMBER(SEARCH($A33,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ISNUMBER(SEARCH($A33, INDEX(AsistenciaJetAdminConcatenada!$D:$D, MATCH(1, (AsistenciaJetAdminConcatenada!$A:$A=EO$2)*(AsistenciaJetAdminConcatenada!$B:$B=EO$1), 0)), 1))),  0.5, 0))</f>
        <v>0</v>
      </c>
      <c r="EP33" s="47">
        <f t="array" ref="EP33">IF(AND(ISNUMBER(MATCH(EP$2, AsistenciaJetAdminConcatenada!$A:$A, 0)), ISNUMBER(MATCH(EP$1, AsistenciaJetAdminConcatenada!$B:$B, 0)), ISNUMBER(SEARCH($A33,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ISNUMBER(SEARCH($A33, INDEX(AsistenciaJetAdminConcatenada!$D:$D, MATCH(1, (AsistenciaJetAdminConcatenada!$A:$A=EP$2)*(AsistenciaJetAdminConcatenada!$B:$B=EP$1), 0)), 1))),  0.5, 0))</f>
        <v>0</v>
      </c>
      <c r="EQ33" s="47">
        <f t="array" ref="EQ33">IF(AND(ISNUMBER(MATCH(EQ$2, AsistenciaJetAdminConcatenada!$A:$A, 0)), ISNUMBER(MATCH(EQ$1, AsistenciaJetAdminConcatenada!$B:$B, 0)), ISNUMBER(SEARCH($A33,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ISNUMBER(SEARCH($A33, INDEX(AsistenciaJetAdminConcatenada!$D:$D, MATCH(1, (AsistenciaJetAdminConcatenada!$A:$A=EQ$2)*(AsistenciaJetAdminConcatenada!$B:$B=EQ$1), 0)), 1))),  0.5, 0))</f>
        <v>0</v>
      </c>
      <c r="ER33" s="47">
        <f t="array" ref="ER33">IF(AND(ISNUMBER(MATCH(ER$2, AsistenciaJetAdminConcatenada!$A:$A, 0)), ISNUMBER(MATCH(ER$1, AsistenciaJetAdminConcatenada!$B:$B, 0)), ISNUMBER(SEARCH($A33,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ISNUMBER(SEARCH($A33, INDEX(AsistenciaJetAdminConcatenada!$D:$D, MATCH(1, (AsistenciaJetAdminConcatenada!$A:$A=ER$2)*(AsistenciaJetAdminConcatenada!$B:$B=ER$1), 0)), 1))),  0.5, 0))</f>
        <v>0</v>
      </c>
      <c r="ES33" s="47">
        <f t="array" ref="ES33">IF(AND(ISNUMBER(MATCH(ES$2, AsistenciaJetAdminConcatenada!$A:$A, 0)), ISNUMBER(MATCH(ES$1, AsistenciaJetAdminConcatenada!$B:$B, 0)), ISNUMBER(SEARCH($A33,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ISNUMBER(SEARCH($A33, INDEX(AsistenciaJetAdminConcatenada!$D:$D, MATCH(1, (AsistenciaJetAdminConcatenada!$A:$A=ES$2)*(AsistenciaJetAdminConcatenada!$B:$B=ES$1), 0)), 1))),  0.5, 0))</f>
        <v>0</v>
      </c>
      <c r="ET33" s="47">
        <f t="array" ref="ET33">IF(AND(ISNUMBER(MATCH(ET$2, AsistenciaJetAdminConcatenada!$A:$A, 0)), ISNUMBER(MATCH(ET$1, AsistenciaJetAdminConcatenada!$B:$B, 0)), ISNUMBER(SEARCH($A33,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ISNUMBER(SEARCH($A33, INDEX(AsistenciaJetAdminConcatenada!$D:$D, MATCH(1, (AsistenciaJetAdminConcatenada!$A:$A=ET$2)*(AsistenciaJetAdminConcatenada!$B:$B=ET$1), 0)), 1))),  0.5, 0))</f>
        <v>0</v>
      </c>
      <c r="EU33" s="47">
        <f t="array" ref="EU33">IF(AND(ISNUMBER(MATCH(EU$2, AsistenciaJetAdminConcatenada!$A:$A, 0)), ISNUMBER(MATCH(EU$1, AsistenciaJetAdminConcatenada!$B:$B, 0)), ISNUMBER(SEARCH($A33,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ISNUMBER(SEARCH($A33, INDEX(AsistenciaJetAdminConcatenada!$D:$D, MATCH(1, (AsistenciaJetAdminConcatenada!$A:$A=EU$2)*(AsistenciaJetAdminConcatenada!$B:$B=EU$1), 0)), 1))),  0.5, 0))</f>
        <v>0</v>
      </c>
      <c r="EV33" s="47">
        <f t="array" ref="EV33">IF(AND(ISNUMBER(MATCH(EV$2, AsistenciaJetAdminConcatenada!$A:$A, 0)), ISNUMBER(MATCH(EV$1, AsistenciaJetAdminConcatenada!$B:$B, 0)), ISNUMBER(SEARCH($A33,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ISNUMBER(SEARCH($A33, INDEX(AsistenciaJetAdminConcatenada!$D:$D, MATCH(1, (AsistenciaJetAdminConcatenada!$A:$A=EV$2)*(AsistenciaJetAdminConcatenada!$B:$B=EV$1), 0)), 1))),  0.5, 0))</f>
        <v>0</v>
      </c>
      <c r="EW33" s="47">
        <f t="array" ref="EW33">IF(AND(ISNUMBER(MATCH(EW$2, AsistenciaJetAdminConcatenada!$A:$A, 0)), ISNUMBER(MATCH(EW$1, AsistenciaJetAdminConcatenada!$B:$B, 0)), ISNUMBER(SEARCH($A33,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ISNUMBER(SEARCH($A33, INDEX(AsistenciaJetAdminConcatenada!$D:$D, MATCH(1, (AsistenciaJetAdminConcatenada!$A:$A=EW$2)*(AsistenciaJetAdminConcatenada!$B:$B=EW$1), 0)), 1))),  0.5, 0))</f>
        <v>0</v>
      </c>
      <c r="EX33" s="47">
        <f t="array" ref="EX33">IF(AND(ISNUMBER(MATCH(EX$2, AsistenciaJetAdminConcatenada!$A:$A, 0)), ISNUMBER(MATCH(EX$1, AsistenciaJetAdminConcatenada!$B:$B, 0)), ISNUMBER(SEARCH($A33,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ISNUMBER(SEARCH($A33, INDEX(AsistenciaJetAdminConcatenada!$D:$D, MATCH(1, (AsistenciaJetAdminConcatenada!$A:$A=EX$2)*(AsistenciaJetAdminConcatenada!$B:$B=EX$1), 0)), 1))),  0.5, 0))</f>
        <v>0</v>
      </c>
      <c r="EY33" s="47">
        <f t="array" ref="EY33">IF(AND(ISNUMBER(MATCH(EY$2, AsistenciaJetAdminConcatenada!$A:$A, 0)), ISNUMBER(MATCH(EY$1, AsistenciaJetAdminConcatenada!$B:$B, 0)), ISNUMBER(SEARCH($A33,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ISNUMBER(SEARCH($A33, INDEX(AsistenciaJetAdminConcatenada!$D:$D, MATCH(1, (AsistenciaJetAdminConcatenada!$A:$A=EY$2)*(AsistenciaJetAdminConcatenada!$B:$B=EY$1), 0)), 1))),  0.5, 0))</f>
        <v>0</v>
      </c>
      <c r="EZ33" s="47">
        <f t="array" ref="EZ33">IF(AND(ISNUMBER(MATCH(EZ$2, AsistenciaJetAdminConcatenada!$A:$A, 0)), ISNUMBER(MATCH(EZ$1, AsistenciaJetAdminConcatenada!$B:$B, 0)), ISNUMBER(SEARCH($A33,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ISNUMBER(SEARCH($A33, INDEX(AsistenciaJetAdminConcatenada!$D:$D, MATCH(1, (AsistenciaJetAdminConcatenada!$A:$A=EZ$2)*(AsistenciaJetAdminConcatenada!$B:$B=EZ$1), 0)), 1))),  0.5, 0))</f>
        <v>0</v>
      </c>
      <c r="FA33" s="47">
        <f t="array" ref="FA33">IF(AND(ISNUMBER(MATCH(FA$2, AsistenciaJetAdminConcatenada!$A:$A, 0)), ISNUMBER(MATCH(FA$1, AsistenciaJetAdminConcatenada!$B:$B, 0)), ISNUMBER(SEARCH($A33,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ISNUMBER(SEARCH($A33, INDEX(AsistenciaJetAdminConcatenada!$D:$D, MATCH(1, (AsistenciaJetAdminConcatenada!$A:$A=FA$2)*(AsistenciaJetAdminConcatenada!$B:$B=FA$1), 0)), 1))),  0.5, 0))</f>
        <v>0</v>
      </c>
      <c r="FB33" s="47">
        <f t="array" ref="FB33">IF(AND(ISNUMBER(MATCH(FB$2, AsistenciaJetAdminConcatenada!$A:$A, 0)), ISNUMBER(MATCH(FB$1, AsistenciaJetAdminConcatenada!$B:$B, 0)), ISNUMBER(SEARCH($A33,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ISNUMBER(SEARCH($A33, INDEX(AsistenciaJetAdminConcatenada!$D:$D, MATCH(1, (AsistenciaJetAdminConcatenada!$A:$A=FB$2)*(AsistenciaJetAdminConcatenada!$B:$B=FB$1), 0)), 1))),  0.5, 0))</f>
        <v>0</v>
      </c>
      <c r="FC33" s="47">
        <f t="array" ref="FC33">IF(AND(ISNUMBER(MATCH(FC$2, AsistenciaJetAdminConcatenada!$A:$A, 0)), ISNUMBER(MATCH(FC$1, AsistenciaJetAdminConcatenada!$B:$B, 0)), ISNUMBER(SEARCH($A33,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ISNUMBER(SEARCH($A33, INDEX(AsistenciaJetAdminConcatenada!$D:$D, MATCH(1, (AsistenciaJetAdminConcatenada!$A:$A=FC$2)*(AsistenciaJetAdminConcatenada!$B:$B=FC$1), 0)), 1))),  0.5, 0))</f>
        <v>0</v>
      </c>
      <c r="FD33" s="47">
        <f t="array" ref="FD33">IF(AND(ISNUMBER(MATCH(FD$2, AsistenciaJetAdminConcatenada!$A:$A, 0)), ISNUMBER(MATCH(FD$1, AsistenciaJetAdminConcatenada!$B:$B, 0)), ISNUMBER(SEARCH($A33,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ISNUMBER(SEARCH($A33, INDEX(AsistenciaJetAdminConcatenada!$D:$D, MATCH(1, (AsistenciaJetAdminConcatenada!$A:$A=FD$2)*(AsistenciaJetAdminConcatenada!$B:$B=FD$1), 0)), 1))),  0.5, 0))</f>
        <v>0</v>
      </c>
      <c r="FE33" s="47">
        <f t="array" ref="FE33">IF(AND(ISNUMBER(MATCH(FE$2, AsistenciaJetAdminConcatenada!$A:$A, 0)), ISNUMBER(MATCH(FE$1, AsistenciaJetAdminConcatenada!$B:$B, 0)), ISNUMBER(SEARCH($A33,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ISNUMBER(SEARCH($A33, INDEX(AsistenciaJetAdminConcatenada!$D:$D, MATCH(1, (AsistenciaJetAdminConcatenada!$A:$A=FE$2)*(AsistenciaJetAdminConcatenada!$B:$B=FE$1), 0)), 1))),  0.5, 0))</f>
        <v>0</v>
      </c>
      <c r="FF33" s="47">
        <f t="array" ref="FF33">IF(AND(ISNUMBER(MATCH(FF$2, AsistenciaJetAdminConcatenada!$A:$A, 0)), ISNUMBER(MATCH(FF$1, AsistenciaJetAdminConcatenada!$B:$B, 0)), ISNUMBER(SEARCH($A33,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ISNUMBER(SEARCH($A33, INDEX(AsistenciaJetAdminConcatenada!$D:$D, MATCH(1, (AsistenciaJetAdminConcatenada!$A:$A=FF$2)*(AsistenciaJetAdminConcatenada!$B:$B=FF$1), 0)), 1))),  0.5, 0))</f>
        <v>0</v>
      </c>
      <c r="FG33" s="47">
        <f t="array" ref="FG33">IF(AND(ISNUMBER(MATCH(FG$2, AsistenciaJetAdminConcatenada!$A:$A, 0)), ISNUMBER(MATCH(FG$1, AsistenciaJetAdminConcatenada!$B:$B, 0)), ISNUMBER(SEARCH($A33,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ISNUMBER(SEARCH($A33, INDEX(AsistenciaJetAdminConcatenada!$D:$D, MATCH(1, (AsistenciaJetAdminConcatenada!$A:$A=FG$2)*(AsistenciaJetAdminConcatenada!$B:$B=FG$1), 0)), 1))),  0.5, 0))</f>
        <v>0</v>
      </c>
      <c r="FH33" s="47">
        <f t="array" ref="FH33">IF(AND(ISNUMBER(MATCH(FH$2, AsistenciaJetAdminConcatenada!$A:$A, 0)), ISNUMBER(MATCH(FH$1, AsistenciaJetAdminConcatenada!$B:$B, 0)), ISNUMBER(SEARCH($A33,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ISNUMBER(SEARCH($A33, INDEX(AsistenciaJetAdminConcatenada!$D:$D, MATCH(1, (AsistenciaJetAdminConcatenada!$A:$A=FH$2)*(AsistenciaJetAdminConcatenada!$B:$B=FH$1), 0)), 1))),  0.5, 0))</f>
        <v>0</v>
      </c>
      <c r="FI33" s="47">
        <f t="array" ref="FI33">IF(AND(ISNUMBER(MATCH(FI$2, AsistenciaJetAdminConcatenada!$A:$A, 0)), ISNUMBER(MATCH(FI$1, AsistenciaJetAdminConcatenada!$B:$B, 0)), ISNUMBER(SEARCH($A33,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ISNUMBER(SEARCH($A33, INDEX(AsistenciaJetAdminConcatenada!$D:$D, MATCH(1, (AsistenciaJetAdminConcatenada!$A:$A=FI$2)*(AsistenciaJetAdminConcatenada!$B:$B=FI$1), 0)), 1))),  0.5, 0))</f>
        <v>0</v>
      </c>
      <c r="FJ33" s="47">
        <f t="array" ref="FJ33">IF(AND(ISNUMBER(MATCH(FJ$2, AsistenciaJetAdminConcatenada!$A:$A, 0)), ISNUMBER(MATCH(FJ$1, AsistenciaJetAdminConcatenada!$B:$B, 0)), ISNUMBER(SEARCH($A33,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ISNUMBER(SEARCH($A33, INDEX(AsistenciaJetAdminConcatenada!$D:$D, MATCH(1, (AsistenciaJetAdminConcatenada!$A:$A=FJ$2)*(AsistenciaJetAdminConcatenada!$B:$B=FJ$1), 0)), 1))),  0.5, 0))</f>
        <v>0</v>
      </c>
      <c r="FK33" s="47">
        <f t="array" ref="FK33">IF(AND(ISNUMBER(MATCH(FK$2, AsistenciaJetAdminConcatenada!$A:$A, 0)), ISNUMBER(MATCH(FK$1, AsistenciaJetAdminConcatenada!$B:$B, 0)), ISNUMBER(SEARCH($A33,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ISNUMBER(SEARCH($A33, INDEX(AsistenciaJetAdminConcatenada!$D:$D, MATCH(1, (AsistenciaJetAdminConcatenada!$A:$A=FK$2)*(AsistenciaJetAdminConcatenada!$B:$B=FK$1), 0)), 1))),  0.5, 0))</f>
        <v>0</v>
      </c>
      <c r="FL33" s="47">
        <f t="array" ref="FL33">IF(AND(ISNUMBER(MATCH(FL$2, AsistenciaJetAdminConcatenada!$A:$A, 0)), ISNUMBER(MATCH(FL$1, AsistenciaJetAdminConcatenada!$B:$B, 0)), ISNUMBER(SEARCH($A33,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ISNUMBER(SEARCH($A33, INDEX(AsistenciaJetAdminConcatenada!$D:$D, MATCH(1, (AsistenciaJetAdminConcatenada!$A:$A=FL$2)*(AsistenciaJetAdminConcatenada!$B:$B=FL$1), 0)), 1))),  0.5, 0))</f>
        <v>0</v>
      </c>
      <c r="FM33" s="47">
        <f t="array" ref="FM33">IF(AND(ISNUMBER(MATCH(FM$2, AsistenciaJetAdminConcatenada!$A:$A, 0)), ISNUMBER(MATCH(FM$1, AsistenciaJetAdminConcatenada!$B:$B, 0)), ISNUMBER(SEARCH($A33,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ISNUMBER(SEARCH($A33, INDEX(AsistenciaJetAdminConcatenada!$D:$D, MATCH(1, (AsistenciaJetAdminConcatenada!$A:$A=FM$2)*(AsistenciaJetAdminConcatenada!$B:$B=FM$1), 0)), 1))),  0.5, 0))</f>
        <v>0</v>
      </c>
      <c r="FN33" s="47">
        <f t="array" ref="FN33">IF(AND(ISNUMBER(MATCH(FN$2, AsistenciaJetAdminConcatenada!$A:$A, 0)), ISNUMBER(MATCH(FN$1, AsistenciaJetAdminConcatenada!$B:$B, 0)), ISNUMBER(SEARCH($A33,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ISNUMBER(SEARCH($A33, INDEX(AsistenciaJetAdminConcatenada!$D:$D, MATCH(1, (AsistenciaJetAdminConcatenada!$A:$A=FN$2)*(AsistenciaJetAdminConcatenada!$B:$B=FN$1), 0)), 1))),  0.5, 0))</f>
        <v>0</v>
      </c>
      <c r="FO33" s="47">
        <f t="array" ref="FO33">IF(AND(ISNUMBER(MATCH(FO$2, AsistenciaJetAdminConcatenada!$A:$A, 0)), ISNUMBER(MATCH(FO$1, AsistenciaJetAdminConcatenada!$B:$B, 0)), ISNUMBER(SEARCH($A33,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ISNUMBER(SEARCH($A33, INDEX(AsistenciaJetAdminConcatenada!$D:$D, MATCH(1, (AsistenciaJetAdminConcatenada!$A:$A=FO$2)*(AsistenciaJetAdminConcatenada!$B:$B=FO$1), 0)), 1))),  0.5, 0))</f>
        <v>0</v>
      </c>
      <c r="FP33" s="47">
        <f t="array" ref="FP33">IF(AND(ISNUMBER(MATCH(FP$2, AsistenciaJetAdminConcatenada!$A:$A, 0)), ISNUMBER(MATCH(FP$1, AsistenciaJetAdminConcatenada!$B:$B, 0)), ISNUMBER(SEARCH($A33,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ISNUMBER(SEARCH($A33, INDEX(AsistenciaJetAdminConcatenada!$D:$D, MATCH(1, (AsistenciaJetAdminConcatenada!$A:$A=FP$2)*(AsistenciaJetAdminConcatenada!$B:$B=FP$1), 0)), 1))),  0.5, 0))</f>
        <v>0</v>
      </c>
      <c r="FQ33" s="47">
        <f t="array" ref="FQ33">IF(AND(ISNUMBER(MATCH(FQ$2, AsistenciaJetAdminConcatenada!$A:$A, 0)), ISNUMBER(MATCH(FQ$1, AsistenciaJetAdminConcatenada!$B:$B, 0)), ISNUMBER(SEARCH($A33,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ISNUMBER(SEARCH($A33, INDEX(AsistenciaJetAdminConcatenada!$D:$D, MATCH(1, (AsistenciaJetAdminConcatenada!$A:$A=FQ$2)*(AsistenciaJetAdminConcatenada!$B:$B=FQ$1), 0)), 1))),  0.5, 0))</f>
        <v>0</v>
      </c>
      <c r="FR33" s="47">
        <f t="array" ref="FR33">IF(AND(ISNUMBER(MATCH(FR$2, AsistenciaJetAdminConcatenada!$A:$A, 0)), ISNUMBER(MATCH(FR$1, AsistenciaJetAdminConcatenada!$B:$B, 0)), ISNUMBER(SEARCH($A33,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ISNUMBER(SEARCH($A33, INDEX(AsistenciaJetAdminConcatenada!$D:$D, MATCH(1, (AsistenciaJetAdminConcatenada!$A:$A=FR$2)*(AsistenciaJetAdminConcatenada!$B:$B=FR$1), 0)), 1))),  0.5, 0))</f>
        <v>0</v>
      </c>
      <c r="FS33" s="47">
        <f t="array" ref="FS33">IF(AND(ISNUMBER(MATCH(FS$2, AsistenciaJetAdminConcatenada!$A:$A, 0)), ISNUMBER(MATCH(FS$1, AsistenciaJetAdminConcatenada!$B:$B, 0)), ISNUMBER(SEARCH($A33,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ISNUMBER(SEARCH($A33, INDEX(AsistenciaJetAdminConcatenada!$D:$D, MATCH(1, (AsistenciaJetAdminConcatenada!$A:$A=FS$2)*(AsistenciaJetAdminConcatenada!$B:$B=FS$1), 0)), 1))),  0.5, 0))</f>
        <v>0</v>
      </c>
      <c r="FT33" s="47">
        <f t="array" ref="FT33">IF(AND(ISNUMBER(MATCH(FT$2, AsistenciaJetAdminConcatenada!$A:$A, 0)), ISNUMBER(MATCH(FT$1, AsistenciaJetAdminConcatenada!$B:$B, 0)), ISNUMBER(SEARCH($A33,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ISNUMBER(SEARCH($A33, INDEX(AsistenciaJetAdminConcatenada!$D:$D, MATCH(1, (AsistenciaJetAdminConcatenada!$A:$A=FT$2)*(AsistenciaJetAdminConcatenada!$B:$B=FT$1), 0)), 1))),  0.5, 0))</f>
        <v>0</v>
      </c>
      <c r="FU33" s="47">
        <f t="array" ref="FU33">IF(AND(ISNUMBER(MATCH(FU$2, AsistenciaJetAdminConcatenada!$A:$A, 0)), ISNUMBER(MATCH(FU$1, AsistenciaJetAdminConcatenada!$B:$B, 0)), ISNUMBER(SEARCH($A33,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ISNUMBER(SEARCH($A33, INDEX(AsistenciaJetAdminConcatenada!$D:$D, MATCH(1, (AsistenciaJetAdminConcatenada!$A:$A=FU$2)*(AsistenciaJetAdminConcatenada!$B:$B=FU$1), 0)), 1))),  0.5, 0))</f>
        <v>0</v>
      </c>
      <c r="FV33" s="47">
        <f t="array" ref="FV33">IF(AND(ISNUMBER(MATCH(FV$2, AsistenciaJetAdminConcatenada!$A:$A, 0)), ISNUMBER(MATCH(FV$1, AsistenciaJetAdminConcatenada!$B:$B, 0)), ISNUMBER(SEARCH($A33,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ISNUMBER(SEARCH($A33, INDEX(AsistenciaJetAdminConcatenada!$D:$D, MATCH(1, (AsistenciaJetAdminConcatenada!$A:$A=FV$2)*(AsistenciaJetAdminConcatenada!$B:$B=FV$1), 0)), 1))),  0.5, 0))</f>
        <v>0</v>
      </c>
      <c r="FW33" s="47">
        <f t="array" ref="FW33">IF(AND(ISNUMBER(MATCH(FW$2, AsistenciaJetAdminConcatenada!$A:$A, 0)), ISNUMBER(MATCH(FW$1, AsistenciaJetAdminConcatenada!$B:$B, 0)), ISNUMBER(SEARCH($A33,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ISNUMBER(SEARCH($A33, INDEX(AsistenciaJetAdminConcatenada!$D:$D, MATCH(1, (AsistenciaJetAdminConcatenada!$A:$A=FW$2)*(AsistenciaJetAdminConcatenada!$B:$B=FW$1), 0)), 1))),  0.5, 0))</f>
        <v>0</v>
      </c>
      <c r="FX33" s="47">
        <f t="array" ref="FX33">IF(AND(ISNUMBER(MATCH(FX$2, AsistenciaJetAdminConcatenada!$A:$A, 0)), ISNUMBER(MATCH(FX$1, AsistenciaJetAdminConcatenada!$B:$B, 0)), ISNUMBER(SEARCH($A33,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ISNUMBER(SEARCH($A33, INDEX(AsistenciaJetAdminConcatenada!$D:$D, MATCH(1, (AsistenciaJetAdminConcatenada!$A:$A=FX$2)*(AsistenciaJetAdminConcatenada!$B:$B=FX$1), 0)), 1))),  0.5, 0))</f>
        <v>0</v>
      </c>
      <c r="FY33" s="47">
        <f t="array" ref="FY33">IF(AND(ISNUMBER(MATCH(FY$2, AsistenciaJetAdminConcatenada!$A:$A, 0)), ISNUMBER(MATCH(FY$1, AsistenciaJetAdminConcatenada!$B:$B, 0)), ISNUMBER(SEARCH($A33,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ISNUMBER(SEARCH($A33, INDEX(AsistenciaJetAdminConcatenada!$D:$D, MATCH(1, (AsistenciaJetAdminConcatenada!$A:$A=FY$2)*(AsistenciaJetAdminConcatenada!$B:$B=FY$1), 0)), 1))),  0.5, 0))</f>
        <v>0</v>
      </c>
      <c r="FZ33" s="47">
        <f t="array" ref="FZ33">IF(AND(ISNUMBER(MATCH(FZ$2, AsistenciaJetAdminConcatenada!$A:$A, 0)), ISNUMBER(MATCH(FZ$1, AsistenciaJetAdminConcatenada!$B:$B, 0)), ISNUMBER(SEARCH($A33,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ISNUMBER(SEARCH($A33, INDEX(AsistenciaJetAdminConcatenada!$D:$D, MATCH(1, (AsistenciaJetAdminConcatenada!$A:$A=FZ$2)*(AsistenciaJetAdminConcatenada!$B:$B=FZ$1), 0)), 1))),  0.5, 0))</f>
        <v>0</v>
      </c>
      <c r="GA33" s="47">
        <f t="array" ref="GA33">IF(AND(ISNUMBER(MATCH(GA$2, AsistenciaJetAdminConcatenada!$A:$A, 0)), ISNUMBER(MATCH(GA$1, AsistenciaJetAdminConcatenada!$B:$B, 0)), ISNUMBER(SEARCH($A33,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ISNUMBER(SEARCH($A33, INDEX(AsistenciaJetAdminConcatenada!$D:$D, MATCH(1, (AsistenciaJetAdminConcatenada!$A:$A=GA$2)*(AsistenciaJetAdminConcatenada!$B:$B=GA$1), 0)), 1))),  0.5, 0))</f>
        <v>0</v>
      </c>
      <c r="GB33" s="47">
        <f t="array" ref="GB33">IF(AND(ISNUMBER(MATCH(GB$2, AsistenciaJetAdminConcatenada!$A:$A, 0)), ISNUMBER(MATCH(GB$1, AsistenciaJetAdminConcatenada!$B:$B, 0)), ISNUMBER(SEARCH($A33,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ISNUMBER(SEARCH($A33, INDEX(AsistenciaJetAdminConcatenada!$D:$D, MATCH(1, (AsistenciaJetAdminConcatenada!$A:$A=GB$2)*(AsistenciaJetAdminConcatenada!$B:$B=GB$1), 0)), 1))),  0.5, 0))</f>
        <v>0</v>
      </c>
      <c r="GC33" s="47">
        <f t="array" ref="GC33">IF(AND(ISNUMBER(MATCH(GC$2, AsistenciaJetAdminConcatenada!$A:$A, 0)), ISNUMBER(MATCH(GC$1, AsistenciaJetAdminConcatenada!$B:$B, 0)), ISNUMBER(SEARCH($A33,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ISNUMBER(SEARCH($A33, INDEX(AsistenciaJetAdminConcatenada!$D:$D, MATCH(1, (AsistenciaJetAdminConcatenada!$A:$A=GC$2)*(AsistenciaJetAdminConcatenada!$B:$B=GC$1), 0)), 1))),  0.5, 0))</f>
        <v>0</v>
      </c>
      <c r="GD33" s="47">
        <f t="array" ref="GD33">IF(AND(ISNUMBER(MATCH(GD$2, AsistenciaJetAdminConcatenada!$A:$A, 0)), ISNUMBER(MATCH(GD$1, AsistenciaJetAdminConcatenada!$B:$B, 0)), ISNUMBER(SEARCH($A33,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ISNUMBER(SEARCH($A33, INDEX(AsistenciaJetAdminConcatenada!$D:$D, MATCH(1, (AsistenciaJetAdminConcatenada!$A:$A=GD$2)*(AsistenciaJetAdminConcatenada!$B:$B=GD$1), 0)), 1))),  0.5, 0))</f>
        <v>0</v>
      </c>
      <c r="GE33" s="47">
        <f t="array" ref="GE33">IF(AND(ISNUMBER(MATCH(GE$2, AsistenciaJetAdminConcatenada!$A:$A, 0)), ISNUMBER(MATCH(GE$1, AsistenciaJetAdminConcatenada!$B:$B, 0)), ISNUMBER(SEARCH($A33,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ISNUMBER(SEARCH($A33, INDEX(AsistenciaJetAdminConcatenada!$D:$D, MATCH(1, (AsistenciaJetAdminConcatenada!$A:$A=GE$2)*(AsistenciaJetAdminConcatenada!$B:$B=GE$1), 0)), 1))),  0.5, 0))</f>
        <v>0</v>
      </c>
      <c r="GF33" s="47">
        <f t="array" ref="GF33">IF(AND(ISNUMBER(MATCH(GF$2, AsistenciaJetAdminConcatenada!$A:$A, 0)), ISNUMBER(MATCH(GF$1, AsistenciaJetAdminConcatenada!$B:$B, 0)), ISNUMBER(SEARCH($A33,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ISNUMBER(SEARCH($A33, INDEX(AsistenciaJetAdminConcatenada!$D:$D, MATCH(1, (AsistenciaJetAdminConcatenada!$A:$A=GF$2)*(AsistenciaJetAdminConcatenada!$B:$B=GF$1), 0)), 1))),  0.5, 0))</f>
        <v>0</v>
      </c>
      <c r="GG33" s="47">
        <f t="array" ref="GG33">IF(AND(ISNUMBER(MATCH(GG$2, AsistenciaJetAdminConcatenada!$A:$A, 0)), ISNUMBER(MATCH(GG$1, AsistenciaJetAdminConcatenada!$B:$B, 0)), ISNUMBER(SEARCH($A33,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ISNUMBER(SEARCH($A33, INDEX(AsistenciaJetAdminConcatenada!$D:$D, MATCH(1, (AsistenciaJetAdminConcatenada!$A:$A=GG$2)*(AsistenciaJetAdminConcatenada!$B:$B=GG$1), 0)), 1))),  0.5, 0))</f>
        <v>0</v>
      </c>
      <c r="GH33" s="47">
        <f t="array" ref="GH33">IF(AND(ISNUMBER(MATCH(GH$2, AsistenciaJetAdminConcatenada!$A:$A, 0)), ISNUMBER(MATCH(GH$1, AsistenciaJetAdminConcatenada!$B:$B, 0)), ISNUMBER(SEARCH($A33,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ISNUMBER(SEARCH($A33, INDEX(AsistenciaJetAdminConcatenada!$D:$D, MATCH(1, (AsistenciaJetAdminConcatenada!$A:$A=GH$2)*(AsistenciaJetAdminConcatenada!$B:$B=GH$1), 0)), 1))),  0.5, 0))</f>
        <v>0</v>
      </c>
      <c r="GI33" s="47">
        <f t="array" ref="GI33">IF(AND(ISNUMBER(MATCH(GI$2, AsistenciaJetAdminConcatenada!$A:$A, 0)), ISNUMBER(MATCH(GI$1, AsistenciaJetAdminConcatenada!$B:$B, 0)), ISNUMBER(SEARCH($A33,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ISNUMBER(SEARCH($A33, INDEX(AsistenciaJetAdminConcatenada!$D:$D, MATCH(1, (AsistenciaJetAdminConcatenada!$A:$A=GI$2)*(AsistenciaJetAdminConcatenada!$B:$B=GI$1), 0)), 1))),  0.5, 0))</f>
        <v>0</v>
      </c>
      <c r="GJ33" s="47">
        <f t="array" ref="GJ33">IF(AND(ISNUMBER(MATCH(GJ$2, AsistenciaJetAdminConcatenada!$A:$A, 0)), ISNUMBER(MATCH(GJ$1, AsistenciaJetAdminConcatenada!$B:$B, 0)), ISNUMBER(SEARCH($A33,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ISNUMBER(SEARCH($A33, INDEX(AsistenciaJetAdminConcatenada!$D:$D, MATCH(1, (AsistenciaJetAdminConcatenada!$A:$A=GJ$2)*(AsistenciaJetAdminConcatenada!$B:$B=GJ$1), 0)), 1))),  0.5, 0))</f>
        <v>0</v>
      </c>
      <c r="GK33" s="47">
        <f t="array" ref="GK33">IF(AND(ISNUMBER(MATCH(GK$2, AsistenciaJetAdminConcatenada!$A:$A, 0)), ISNUMBER(MATCH(GK$1, AsistenciaJetAdminConcatenada!$B:$B, 0)), ISNUMBER(SEARCH($A33,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ISNUMBER(SEARCH($A33, INDEX(AsistenciaJetAdminConcatenada!$D:$D, MATCH(1, (AsistenciaJetAdminConcatenada!$A:$A=GK$2)*(AsistenciaJetAdminConcatenada!$B:$B=GK$1), 0)), 1))),  0.5, 0))</f>
        <v>0</v>
      </c>
      <c r="GL33" s="47">
        <f t="array" ref="GL33">IF(AND(ISNUMBER(MATCH(GL$2, AsistenciaJetAdminConcatenada!$A:$A, 0)), ISNUMBER(MATCH(GL$1, AsistenciaJetAdminConcatenada!$B:$B, 0)), ISNUMBER(SEARCH($A33,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ISNUMBER(SEARCH($A33, INDEX(AsistenciaJetAdminConcatenada!$D:$D, MATCH(1, (AsistenciaJetAdminConcatenada!$A:$A=GL$2)*(AsistenciaJetAdminConcatenada!$B:$B=GL$1), 0)), 1))),  0.5, 0))</f>
        <v>0</v>
      </c>
      <c r="GM33" s="47">
        <f t="array" ref="GM33">IF(AND(ISNUMBER(MATCH(GM$2, AsistenciaJetAdminConcatenada!$A:$A, 0)), ISNUMBER(MATCH(GM$1, AsistenciaJetAdminConcatenada!$B:$B, 0)), ISNUMBER(SEARCH($A33,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ISNUMBER(SEARCH($A33, INDEX(AsistenciaJetAdminConcatenada!$D:$D, MATCH(1, (AsistenciaJetAdminConcatenada!$A:$A=GM$2)*(AsistenciaJetAdminConcatenada!$B:$B=GM$1), 0)), 1))),  0.5, 0))</f>
        <v>0</v>
      </c>
      <c r="GN33" s="47">
        <f t="array" ref="GN33">IF(AND(ISNUMBER(MATCH(GN$2, AsistenciaJetAdminConcatenada!$A:$A, 0)), ISNUMBER(MATCH(GN$1, AsistenciaJetAdminConcatenada!$B:$B, 0)), ISNUMBER(SEARCH($A33,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ISNUMBER(SEARCH($A33, INDEX(AsistenciaJetAdminConcatenada!$D:$D, MATCH(1, (AsistenciaJetAdminConcatenada!$A:$A=GN$2)*(AsistenciaJetAdminConcatenada!$B:$B=GN$1), 0)), 1))),  0.5, 0))</f>
        <v>0</v>
      </c>
      <c r="GO33" s="47">
        <f t="array" ref="GO33">IF(AND(ISNUMBER(MATCH(GO$2, AsistenciaJetAdminConcatenada!$A:$A, 0)), ISNUMBER(MATCH(GO$1, AsistenciaJetAdminConcatenada!$B:$B, 0)), ISNUMBER(SEARCH($A33,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ISNUMBER(SEARCH($A33, INDEX(AsistenciaJetAdminConcatenada!$D:$D, MATCH(1, (AsistenciaJetAdminConcatenada!$A:$A=GO$2)*(AsistenciaJetAdminConcatenada!$B:$B=GO$1), 0)), 1))),  0.5, 0))</f>
        <v>0</v>
      </c>
      <c r="GP33" s="47">
        <f t="array" ref="GP33">IF(AND(ISNUMBER(MATCH(GP$2, AsistenciaJetAdminConcatenada!$A:$A, 0)), ISNUMBER(MATCH(GP$1, AsistenciaJetAdminConcatenada!$B:$B, 0)), ISNUMBER(SEARCH($A33,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ISNUMBER(SEARCH($A33, INDEX(AsistenciaJetAdminConcatenada!$D:$D, MATCH(1, (AsistenciaJetAdminConcatenada!$A:$A=GP$2)*(AsistenciaJetAdminConcatenada!$B:$B=GP$1), 0)), 1))),  0.5, 0))</f>
        <v>0</v>
      </c>
      <c r="GQ33" s="47">
        <f t="array" ref="GQ33">IF(AND(ISNUMBER(MATCH(GQ$2, AsistenciaJetAdminConcatenada!$A:$A, 0)), ISNUMBER(MATCH(GQ$1, AsistenciaJetAdminConcatenada!$B:$B, 0)), ISNUMBER(SEARCH($A33,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ISNUMBER(SEARCH($A33, INDEX(AsistenciaJetAdminConcatenada!$D:$D, MATCH(1, (AsistenciaJetAdminConcatenada!$A:$A=GQ$2)*(AsistenciaJetAdminConcatenada!$B:$B=GQ$1), 0)), 1))),  0.5, 0))</f>
        <v>0</v>
      </c>
      <c r="GR33" s="47">
        <f t="array" ref="GR33">IF(AND(ISNUMBER(MATCH(GR$2, AsistenciaJetAdminConcatenada!$A:$A, 0)), ISNUMBER(MATCH(GR$1, AsistenciaJetAdminConcatenada!$B:$B, 0)), ISNUMBER(SEARCH($A33,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ISNUMBER(SEARCH($A33, INDEX(AsistenciaJetAdminConcatenada!$D:$D, MATCH(1, (AsistenciaJetAdminConcatenada!$A:$A=GR$2)*(AsistenciaJetAdminConcatenada!$B:$B=GR$1), 0)), 1))),  0.5, 0))</f>
        <v>0</v>
      </c>
      <c r="GS33" s="47">
        <f t="array" ref="GS33">IF(AND(ISNUMBER(MATCH(GS$2, AsistenciaJetAdminConcatenada!$A:$A, 0)), ISNUMBER(MATCH(GS$1, AsistenciaJetAdminConcatenada!$B:$B, 0)), ISNUMBER(SEARCH($A33,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ISNUMBER(SEARCH($A33, INDEX(AsistenciaJetAdminConcatenada!$D:$D, MATCH(1, (AsistenciaJetAdminConcatenada!$A:$A=GS$2)*(AsistenciaJetAdminConcatenada!$B:$B=GS$1), 0)), 1))),  0.5, 0))</f>
        <v>0</v>
      </c>
      <c r="GT33" s="47">
        <f t="array" ref="GT33">IF(AND(ISNUMBER(MATCH(GT$2, AsistenciaJetAdminConcatenada!$A:$A, 0)), ISNUMBER(MATCH(GT$1, AsistenciaJetAdminConcatenada!$B:$B, 0)), ISNUMBER(SEARCH($A33,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ISNUMBER(SEARCH($A33, INDEX(AsistenciaJetAdminConcatenada!$D:$D, MATCH(1, (AsistenciaJetAdminConcatenada!$A:$A=GT$2)*(AsistenciaJetAdminConcatenada!$B:$B=GT$1), 0)), 1))),  0.5, 0))</f>
        <v>0</v>
      </c>
      <c r="GU33" s="47">
        <f t="array" ref="GU33">IF(AND(ISNUMBER(MATCH(GU$2, AsistenciaJetAdminConcatenada!$A:$A, 0)), ISNUMBER(MATCH(GU$1, AsistenciaJetAdminConcatenada!$B:$B, 0)), ISNUMBER(SEARCH($A33,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ISNUMBER(SEARCH($A33, INDEX(AsistenciaJetAdminConcatenada!$D:$D, MATCH(1, (AsistenciaJetAdminConcatenada!$A:$A=GU$2)*(AsistenciaJetAdminConcatenada!$B:$B=GU$1), 0)), 1))),  0.5, 0))</f>
        <v>0</v>
      </c>
      <c r="GV33" s="47">
        <f t="array" ref="GV33">IF(AND(ISNUMBER(MATCH(GV$2, AsistenciaJetAdminConcatenada!$A:$A, 0)), ISNUMBER(MATCH(GV$1, AsistenciaJetAdminConcatenada!$B:$B, 0)), ISNUMBER(SEARCH($A33,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ISNUMBER(SEARCH($A33, INDEX(AsistenciaJetAdminConcatenada!$D:$D, MATCH(1, (AsistenciaJetAdminConcatenada!$A:$A=GV$2)*(AsistenciaJetAdminConcatenada!$B:$B=GV$1), 0)), 1))),  0.5, 0))</f>
        <v>0</v>
      </c>
      <c r="GW33" s="47">
        <f t="array" ref="GW33">IF(AND(ISNUMBER(MATCH(GW$2, AsistenciaJetAdminConcatenada!$A:$A, 0)), ISNUMBER(MATCH(GW$1, AsistenciaJetAdminConcatenada!$B:$B, 0)), ISNUMBER(SEARCH($A33,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ISNUMBER(SEARCH($A33, INDEX(AsistenciaJetAdminConcatenada!$D:$D, MATCH(1, (AsistenciaJetAdminConcatenada!$A:$A=GW$2)*(AsistenciaJetAdminConcatenada!$B:$B=GW$1), 0)), 1))),  0.5, 0))</f>
        <v>0</v>
      </c>
      <c r="GX33" s="47">
        <f t="array" ref="GX33">IF(AND(ISNUMBER(MATCH(GX$2, AsistenciaJetAdminConcatenada!$A:$A, 0)), ISNUMBER(MATCH(GX$1, AsistenciaJetAdminConcatenada!$B:$B, 0)), ISNUMBER(SEARCH($A33,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ISNUMBER(SEARCH($A33, INDEX(AsistenciaJetAdminConcatenada!$D:$D, MATCH(1, (AsistenciaJetAdminConcatenada!$A:$A=GX$2)*(AsistenciaJetAdminConcatenada!$B:$B=GX$1), 0)), 1))),  0.5, 0))</f>
        <v>0</v>
      </c>
      <c r="GY33" s="47">
        <f t="array" ref="GY33">IF(AND(ISNUMBER(MATCH(GY$2, AsistenciaJetAdminConcatenada!$A:$A, 0)), ISNUMBER(MATCH(GY$1, AsistenciaJetAdminConcatenada!$B:$B, 0)), ISNUMBER(SEARCH($A33,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ISNUMBER(SEARCH($A33, INDEX(AsistenciaJetAdminConcatenada!$D:$D, MATCH(1, (AsistenciaJetAdminConcatenada!$A:$A=GY$2)*(AsistenciaJetAdminConcatenada!$B:$B=GY$1), 0)), 1))),  0.5, 0))</f>
        <v>0</v>
      </c>
      <c r="GZ33" s="47">
        <f t="array" ref="GZ33">IF(AND(ISNUMBER(MATCH(GZ$2, AsistenciaJetAdminConcatenada!$A:$A, 0)), ISNUMBER(MATCH(GZ$1, AsistenciaJetAdminConcatenada!$B:$B, 0)), ISNUMBER(SEARCH($A33,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ISNUMBER(SEARCH($A33, INDEX(AsistenciaJetAdminConcatenada!$D:$D, MATCH(1, (AsistenciaJetAdminConcatenada!$A:$A=GZ$2)*(AsistenciaJetAdminConcatenada!$B:$B=GZ$1), 0)), 1))),  0.5, 0))</f>
        <v>0</v>
      </c>
      <c r="HA33" s="47">
        <f t="array" ref="HA33">IF(AND(ISNUMBER(MATCH(HA$2, AsistenciaJetAdminConcatenada!$A:$A, 0)), ISNUMBER(MATCH(HA$1, AsistenciaJetAdminConcatenada!$B:$B, 0)), ISNUMBER(SEARCH($A33,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ISNUMBER(SEARCH($A33, INDEX(AsistenciaJetAdminConcatenada!$D:$D, MATCH(1, (AsistenciaJetAdminConcatenada!$A:$A=HA$2)*(AsistenciaJetAdminConcatenada!$B:$B=HA$1), 0)), 1))),  0.5, 0))</f>
        <v>0</v>
      </c>
      <c r="HB33" s="47">
        <f t="array" ref="HB33">IF(AND(ISNUMBER(MATCH(HB$2, AsistenciaJetAdminConcatenada!$A:$A, 0)), ISNUMBER(MATCH(HB$1, AsistenciaJetAdminConcatenada!$B:$B, 0)), ISNUMBER(SEARCH($A33,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ISNUMBER(SEARCH($A33, INDEX(AsistenciaJetAdminConcatenada!$D:$D, MATCH(1, (AsistenciaJetAdminConcatenada!$A:$A=HB$2)*(AsistenciaJetAdminConcatenada!$B:$B=HB$1), 0)), 1))),  0.5, 0))</f>
        <v>0</v>
      </c>
      <c r="HC33" s="47">
        <f t="array" ref="HC33">IF(AND(ISNUMBER(MATCH(HC$2, AsistenciaJetAdminConcatenada!$A:$A, 0)), ISNUMBER(MATCH(HC$1, AsistenciaJetAdminConcatenada!$B:$B, 0)), ISNUMBER(SEARCH($A33,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ISNUMBER(SEARCH($A33, INDEX(AsistenciaJetAdminConcatenada!$D:$D, MATCH(1, (AsistenciaJetAdminConcatenada!$A:$A=HC$2)*(AsistenciaJetAdminConcatenada!$B:$B=HC$1), 0)), 1))),  0.5, 0))</f>
        <v>0</v>
      </c>
    </row>
    <row r="34" ht="29.25" customHeight="1">
      <c r="A34" s="3">
        <v>183.0</v>
      </c>
      <c r="B34" s="4" t="s">
        <v>114</v>
      </c>
      <c r="C34" s="47">
        <f>SUM(D34:HC34) + ActividadesEspeciales!C34</f>
        <v>54.5</v>
      </c>
      <c r="D34" s="47">
        <f t="array" ref="D34">IF(AND(ISNUMBER(MATCH(D$2, AsistenciaJetAdminConcatenada!$A:$A, 0)), ISNUMBER(MATCH(D$1, AsistenciaJetAdminConcatenada!$B:$B, 0)), ISNUMBER(SEARCH($A34,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ISNUMBER(SEARCH($A34, INDEX(AsistenciaJetAdminConcatenada!$D:$D, MATCH(1, (AsistenciaJetAdminConcatenada!$A:$A=D$2)*(AsistenciaJetAdminConcatenada!$B:$B=D$1), 0)), 1))),  0.5, 0))</f>
        <v>1</v>
      </c>
      <c r="E34" s="47">
        <f t="array" ref="E34">IF(AND(ISNUMBER(MATCH(E$2, AsistenciaJetAdminConcatenada!$A:$A, 0)), ISNUMBER(MATCH(E$1, AsistenciaJetAdminConcatenada!$B:$B, 0)), ISNUMBER(SEARCH($A34,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ISNUMBER(SEARCH($A34, INDEX(AsistenciaJetAdminConcatenada!$D:$D, MATCH(1, (AsistenciaJetAdminConcatenada!$A:$A=E$2)*(AsistenciaJetAdminConcatenada!$B:$B=E$1), 0)), 1))),  0.5, 0))</f>
        <v>1</v>
      </c>
      <c r="F34" s="47">
        <f t="array" ref="F34">IF(AND(ISNUMBER(MATCH(F$2, AsistenciaJetAdminConcatenada!$A:$A, 0)), ISNUMBER(MATCH(F$1, AsistenciaJetAdminConcatenada!$B:$B, 0)), ISNUMBER(SEARCH($A34,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ISNUMBER(SEARCH($A34, INDEX(AsistenciaJetAdminConcatenada!$D:$D, MATCH(1, (AsistenciaJetAdminConcatenada!$A:$A=F$2)*(AsistenciaJetAdminConcatenada!$B:$B=F$1), 0)), 1))),  0.5, 0))</f>
        <v>1</v>
      </c>
      <c r="G34" s="47">
        <f t="array" ref="G34">IF(AND(ISNUMBER(MATCH(G$2, AsistenciaJetAdminConcatenada!$A:$A, 0)), ISNUMBER(MATCH(G$1, AsistenciaJetAdminConcatenada!$B:$B, 0)), ISNUMBER(SEARCH($A34,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ISNUMBER(SEARCH($A34, INDEX(AsistenciaJetAdminConcatenada!$D:$D, MATCH(1, (AsistenciaJetAdminConcatenada!$A:$A=G$2)*(AsistenciaJetAdminConcatenada!$B:$B=G$1), 0)), 1))),  0.5, 0))</f>
        <v>1</v>
      </c>
      <c r="H34" s="47">
        <f t="array" ref="H34">IF(AND(ISNUMBER(MATCH(H$2, AsistenciaJetAdminConcatenada!$A:$A, 0)), ISNUMBER(MATCH(H$1, AsistenciaJetAdminConcatenada!$B:$B, 0)), ISNUMBER(SEARCH($A34,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ISNUMBER(SEARCH($A34, INDEX(AsistenciaJetAdminConcatenada!$D:$D, MATCH(1, (AsistenciaJetAdminConcatenada!$A:$A=H$2)*(AsistenciaJetAdminConcatenada!$B:$B=H$1), 0)), 1))),  0.5, 0))</f>
        <v>1</v>
      </c>
      <c r="I34" s="47">
        <f t="array" ref="I34">IF(AND(ISNUMBER(MATCH(I$2, AsistenciaJetAdminConcatenada!$A:$A, 0)), ISNUMBER(MATCH(I$1, AsistenciaJetAdminConcatenada!$B:$B, 0)), ISNUMBER(SEARCH($A34,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ISNUMBER(SEARCH($A34, INDEX(AsistenciaJetAdminConcatenada!$D:$D, MATCH(1, (AsistenciaJetAdminConcatenada!$A:$A=I$2)*(AsistenciaJetAdminConcatenada!$B:$B=I$1), 0)), 1))),  0.5, 0))</f>
        <v>1</v>
      </c>
      <c r="J34" s="47">
        <f t="array" ref="J34">IF(AND(ISNUMBER(MATCH(J$2, AsistenciaJetAdminConcatenada!$A:$A, 0)), ISNUMBER(MATCH(J$1, AsistenciaJetAdminConcatenada!$B:$B, 0)), ISNUMBER(SEARCH($A34,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ISNUMBER(SEARCH($A34, INDEX(AsistenciaJetAdminConcatenada!$D:$D, MATCH(1, (AsistenciaJetAdminConcatenada!$A:$A=J$2)*(AsistenciaJetAdminConcatenada!$B:$B=J$1), 0)), 1))),  0.5, 0))</f>
        <v>1</v>
      </c>
      <c r="K34" s="47">
        <f t="array" ref="K34">IF(AND(ISNUMBER(MATCH(K$2, AsistenciaJetAdminConcatenada!$A:$A, 0)), ISNUMBER(MATCH(K$1, AsistenciaJetAdminConcatenada!$B:$B, 0)), ISNUMBER(SEARCH($A34,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ISNUMBER(SEARCH($A34, INDEX(AsistenciaJetAdminConcatenada!$D:$D, MATCH(1, (AsistenciaJetAdminConcatenada!$A:$A=K$2)*(AsistenciaJetAdminConcatenada!$B:$B=K$1), 0)), 1))),  0.5, 0))</f>
        <v>1</v>
      </c>
      <c r="L34" s="47">
        <f t="array" ref="L34">IF(AND(ISNUMBER(MATCH(L$2, AsistenciaJetAdminConcatenada!$A:$A, 0)), ISNUMBER(MATCH(L$1, AsistenciaJetAdminConcatenada!$B:$B, 0)), ISNUMBER(SEARCH($A34,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ISNUMBER(SEARCH($A34, INDEX(AsistenciaJetAdminConcatenada!$D:$D, MATCH(1, (AsistenciaJetAdminConcatenada!$A:$A=L$2)*(AsistenciaJetAdminConcatenada!$B:$B=L$1), 0)), 1))),  0.5, 0))</f>
        <v>1</v>
      </c>
      <c r="M34" s="47">
        <f t="array" ref="M34">IF(AND(ISNUMBER(MATCH(M$2, AsistenciaJetAdminConcatenada!$A:$A, 0)), ISNUMBER(MATCH(M$1, AsistenciaJetAdminConcatenada!$B:$B, 0)), ISNUMBER(SEARCH($A34,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ISNUMBER(SEARCH($A34, INDEX(AsistenciaJetAdminConcatenada!$D:$D, MATCH(1, (AsistenciaJetAdminConcatenada!$A:$A=M$2)*(AsistenciaJetAdminConcatenada!$B:$B=M$1), 0)), 1))),  0.5, 0))</f>
        <v>1</v>
      </c>
      <c r="N34" s="47">
        <f t="array" ref="N34">IF(AND(ISNUMBER(MATCH(N$2, AsistenciaJetAdminConcatenada!$A:$A, 0)), ISNUMBER(MATCH(N$1, AsistenciaJetAdminConcatenada!$B:$B, 0)), ISNUMBER(SEARCH($A34,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ISNUMBER(SEARCH($A34, INDEX(AsistenciaJetAdminConcatenada!$D:$D, MATCH(1, (AsistenciaJetAdminConcatenada!$A:$A=N$2)*(AsistenciaJetAdminConcatenada!$B:$B=N$1), 0)), 1))),  0.5, 0))</f>
        <v>0</v>
      </c>
      <c r="O34" s="47">
        <f t="array" ref="O34">IF(AND(ISNUMBER(MATCH(O$2, AsistenciaJetAdminConcatenada!$A:$A, 0)), ISNUMBER(MATCH(O$1, AsistenciaJetAdminConcatenada!$B:$B, 0)), ISNUMBER(SEARCH($A34,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ISNUMBER(SEARCH($A34, INDEX(AsistenciaJetAdminConcatenada!$D:$D, MATCH(1, (AsistenciaJetAdminConcatenada!$A:$A=O$2)*(AsistenciaJetAdminConcatenada!$B:$B=O$1), 0)), 1))),  0.5, 0))</f>
        <v>1</v>
      </c>
      <c r="P34" s="47">
        <f t="array" ref="P34">IF(AND(ISNUMBER(MATCH(P$2, AsistenciaJetAdminConcatenada!$A:$A, 0)), ISNUMBER(MATCH(P$1, AsistenciaJetAdminConcatenada!$B:$B, 0)), ISNUMBER(SEARCH($A34, INDEX(AsistenciaJetAdminConcatenada!$C:$C, MATCH(1, (AsistenciaJetAdminConcatenada!$A:$A=P$2)*(AsistenciaJetAdminConcatenada!$B:$B=P$1), 0)), 1))), 1, IF(AND(ISNUMBER(MATCH(P$2, AsistenciaJetAdminConcatenada!$A:$A, 0)), ISNUMBER(MATCH(P$1, AsistenciaJetAdminConcatenada!$B:$B, 0)), ISNUMBER(SEARCH($A34, INDEX(AsistenciaJetAdminConcatenada!$D:$D, MATCH(1, (AsistenciaJetAdminConcatenada!$A:$A=P$2)*(AsistenciaJetAdminConcatenada!$B:$B=P$1), 0)), 1))),  0.5, 0))</f>
        <v>0</v>
      </c>
      <c r="Q34" s="47">
        <f t="array" ref="Q34">IF(AND(ISNUMBER(MATCH(Q$2, AsistenciaJetAdminConcatenada!$A:$A, 0)), ISNUMBER(MATCH(Q$1, AsistenciaJetAdminConcatenada!$B:$B, 0)), ISNUMBER(SEARCH($A34, INDEX(AsistenciaJetAdminConcatenada!$C:$C, MATCH(1, (AsistenciaJetAdminConcatenada!$A:$A=Q$2)*(AsistenciaJetAdminConcatenada!$B:$B=Q$1), 0)), 1))), 1, IF(AND(ISNUMBER(MATCH(Q$2, AsistenciaJetAdminConcatenada!$A:$A, 0)), ISNUMBER(MATCH(Q$1, AsistenciaJetAdminConcatenada!$B:$B, 0)), ISNUMBER(SEARCH($A34, INDEX(AsistenciaJetAdminConcatenada!$D:$D, MATCH(1, (AsistenciaJetAdminConcatenada!$A:$A=Q$2)*(AsistenciaJetAdminConcatenada!$B:$B=Q$1), 0)), 1))),  0.5, 0))</f>
        <v>0.5</v>
      </c>
      <c r="R34" s="47">
        <f t="array" ref="R34">IF(AND(ISNUMBER(MATCH(R$2, AsistenciaJetAdminConcatenada!$A:$A, 0)), ISNUMBER(MATCH(R$1, AsistenciaJetAdminConcatenada!$B:$B, 0)), ISNUMBER(SEARCH($A34,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ISNUMBER(SEARCH($A34, INDEX(AsistenciaJetAdminConcatenada!$D:$D, MATCH(1, (AsistenciaJetAdminConcatenada!$A:$A=R$2)*(AsistenciaJetAdminConcatenada!$B:$B=R$1), 0)), 1))),  0.5, 0))</f>
        <v>0</v>
      </c>
      <c r="S34" s="8">
        <v>0.0</v>
      </c>
      <c r="T34" s="47">
        <f t="array" ref="T34">IF(AND(ISNUMBER(MATCH(T$2, AsistenciaJetAdminConcatenada!$A:$A, 0)), ISNUMBER(MATCH(T$1, AsistenciaJetAdminConcatenada!$B:$B, 0)), ISNUMBER(SEARCH($A34,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ISNUMBER(SEARCH($A34, INDEX(AsistenciaJetAdminConcatenada!$D:$D, MATCH(1, (AsistenciaJetAdminConcatenada!$A:$A=T$2)*(AsistenciaJetAdminConcatenada!$B:$B=T$1), 0)), 1))),  0.5, 0))</f>
        <v>1</v>
      </c>
      <c r="U34" s="47">
        <f t="array" ref="U34">IF(AND(ISNUMBER(MATCH(U$2, AsistenciaJetAdminConcatenada!$A:$A, 0)), ISNUMBER(MATCH(U$1, AsistenciaJetAdminConcatenada!$B:$B, 0)), ISNUMBER(SEARCH($A34,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ISNUMBER(SEARCH($A34, INDEX(AsistenciaJetAdminConcatenada!$D:$D, MATCH(1, (AsistenciaJetAdminConcatenada!$A:$A=U$2)*(AsistenciaJetAdminConcatenada!$B:$B=U$1), 0)), 1))),  0.5, 0))</f>
        <v>1</v>
      </c>
      <c r="V34" s="47">
        <f t="array" ref="V34">IF(AND(ISNUMBER(MATCH(V$2, AsistenciaJetAdminConcatenada!$A:$A, 0)), ISNUMBER(MATCH(V$1, AsistenciaJetAdminConcatenada!$B:$B, 0)), ISNUMBER(SEARCH($A34,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ISNUMBER(SEARCH($A34, INDEX(AsistenciaJetAdminConcatenada!$D:$D, MATCH(1, (AsistenciaJetAdminConcatenada!$A:$A=V$2)*(AsistenciaJetAdminConcatenada!$B:$B=V$1), 0)), 1))),  0.5, 0))</f>
        <v>0</v>
      </c>
      <c r="W34" s="47">
        <f t="array" ref="W34">IF(AND(ISNUMBER(MATCH(W$2, AsistenciaJetAdminConcatenada!$A:$A, 0)), ISNUMBER(MATCH(W$1, AsistenciaJetAdminConcatenada!$B:$B, 0)), ISNUMBER(SEARCH($A34,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ISNUMBER(SEARCH($A34, INDEX(AsistenciaJetAdminConcatenada!$D:$D, MATCH(1, (AsistenciaJetAdminConcatenada!$A:$A=W$2)*(AsistenciaJetAdminConcatenada!$B:$B=W$1), 0)), 1))),  0.5, 0))</f>
        <v>1</v>
      </c>
      <c r="X34" s="47">
        <f t="array" ref="X34">IF(AND(ISNUMBER(MATCH(X$2, AsistenciaJetAdminConcatenada!$A:$A, 0)), ISNUMBER(MATCH(X$1, AsistenciaJetAdminConcatenada!$B:$B, 0)), ISNUMBER(SEARCH($A34,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ISNUMBER(SEARCH($A34, INDEX(AsistenciaJetAdminConcatenada!$D:$D, MATCH(1, (AsistenciaJetAdminConcatenada!$A:$A=X$2)*(AsistenciaJetAdminConcatenada!$B:$B=X$1), 0)), 1))),  0.5, 0))</f>
        <v>0</v>
      </c>
      <c r="Y34" s="47">
        <f t="array" ref="Y34">IF(AND(ISNUMBER(MATCH(Y$2, AsistenciaJetAdminConcatenada!$A:$A, 0)), ISNUMBER(MATCH(Y$1, AsistenciaJetAdminConcatenada!$B:$B, 0)), ISNUMBER(SEARCH($A34,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ISNUMBER(SEARCH($A34, INDEX(AsistenciaJetAdminConcatenada!$D:$D, MATCH(1, (AsistenciaJetAdminConcatenada!$A:$A=Y$2)*(AsistenciaJetAdminConcatenada!$B:$B=Y$1), 0)), 1))),  0.5, 0))</f>
        <v>0</v>
      </c>
      <c r="Z34" s="47">
        <f t="array" ref="Z34">IF(AND(ISNUMBER(MATCH(Z$2, AsistenciaJetAdminConcatenada!$A:$A, 0)), ISNUMBER(MATCH(Z$1, AsistenciaJetAdminConcatenada!$B:$B, 0)), ISNUMBER(SEARCH($A34,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ISNUMBER(SEARCH($A34, INDEX(AsistenciaJetAdminConcatenada!$D:$D, MATCH(1, (AsistenciaJetAdminConcatenada!$A:$A=Z$2)*(AsistenciaJetAdminConcatenada!$B:$B=Z$1), 0)), 1))),  0.5, 0))</f>
        <v>1</v>
      </c>
      <c r="AA34" s="47">
        <f t="array" ref="AA34">IF(AND(ISNUMBER(MATCH(AA$2, AsistenciaJetAdminConcatenada!$A:$A, 0)), ISNUMBER(MATCH(AA$1, AsistenciaJetAdminConcatenada!$B:$B, 0)), ISNUMBER(SEARCH($A34,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ISNUMBER(SEARCH($A34, INDEX(AsistenciaJetAdminConcatenada!$D:$D, MATCH(1, (AsistenciaJetAdminConcatenada!$A:$A=AA$2)*(AsistenciaJetAdminConcatenada!$B:$B=AA$1), 0)), 1))),  0.5, 0))</f>
        <v>0</v>
      </c>
      <c r="AB34" s="47">
        <f t="array" ref="AB34">IF(AND(ISNUMBER(MATCH(AB$2, AsistenciaJetAdminConcatenada!$A:$A, 0)), ISNUMBER(MATCH(AB$1, AsistenciaJetAdminConcatenada!$B:$B, 0)), ISNUMBER(SEARCH($A34,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ISNUMBER(SEARCH($A34, INDEX(AsistenciaJetAdminConcatenada!$D:$D, MATCH(1, (AsistenciaJetAdminConcatenada!$A:$A=AB$2)*(AsistenciaJetAdminConcatenada!$B:$B=AB$1), 0)), 1))),  0.5, 0))</f>
        <v>1</v>
      </c>
      <c r="AC34" s="47">
        <f t="array" ref="AC34">IF(AND(ISNUMBER(MATCH(AC$2, AsistenciaJetAdminConcatenada!$A:$A, 0)), ISNUMBER(MATCH(AC$1, AsistenciaJetAdminConcatenada!$B:$B, 0)), ISNUMBER(SEARCH($A34,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ISNUMBER(SEARCH($A34, INDEX(AsistenciaJetAdminConcatenada!$D:$D, MATCH(1, (AsistenciaJetAdminConcatenada!$A:$A=AC$2)*(AsistenciaJetAdminConcatenada!$B:$B=AC$1), 0)), 1))),  0.5, 0))</f>
        <v>1</v>
      </c>
      <c r="AD34" s="47">
        <f t="array" ref="AD34">IF(AND(ISNUMBER(MATCH(AD$2, AsistenciaJetAdminConcatenada!$A:$A, 0)), ISNUMBER(MATCH(AD$1, AsistenciaJetAdminConcatenada!$B:$B, 0)), ISNUMBER(SEARCH($A34,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ISNUMBER(SEARCH($A34, INDEX(AsistenciaJetAdminConcatenada!$D:$D, MATCH(1, (AsistenciaJetAdminConcatenada!$A:$A=AD$2)*(AsistenciaJetAdminConcatenada!$B:$B=AD$1), 0)), 1))),  0.5, 0))</f>
        <v>1</v>
      </c>
      <c r="AE34" s="47">
        <f t="array" ref="AE34">IF(AND(ISNUMBER(MATCH(AE$2, AsistenciaJetAdminConcatenada!$A:$A, 0)), ISNUMBER(MATCH(AE$1, AsistenciaJetAdminConcatenada!$B:$B, 0)), ISNUMBER(SEARCH($A34,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ISNUMBER(SEARCH($A34, INDEX(AsistenciaJetAdminConcatenada!$D:$D, MATCH(1, (AsistenciaJetAdminConcatenada!$A:$A=AE$2)*(AsistenciaJetAdminConcatenada!$B:$B=AE$1), 0)), 1))),  0.5, 0))</f>
        <v>0</v>
      </c>
      <c r="AF34" s="47">
        <f t="array" ref="AF34">IF(AND(ISNUMBER(MATCH(AF$2, AsistenciaJetAdminConcatenada!$A:$A, 0)), ISNUMBER(MATCH(AF$1, AsistenciaJetAdminConcatenada!$B:$B, 0)), ISNUMBER(SEARCH($A34,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ISNUMBER(SEARCH($A34, INDEX(AsistenciaJetAdminConcatenada!$D:$D, MATCH(1, (AsistenciaJetAdminConcatenada!$A:$A=AF$2)*(AsistenciaJetAdminConcatenada!$B:$B=AF$1), 0)), 1))),  0.5, 0))</f>
        <v>0</v>
      </c>
      <c r="AG34" s="47">
        <f t="array" ref="AG34">IF(AND(ISNUMBER(MATCH(AG$2, AsistenciaJetAdminConcatenada!$A:$A, 0)), ISNUMBER(MATCH(AG$1, AsistenciaJetAdminConcatenada!$B:$B, 0)), ISNUMBER(SEARCH($A34,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ISNUMBER(SEARCH($A34, INDEX(AsistenciaJetAdminConcatenada!$D:$D, MATCH(1, (AsistenciaJetAdminConcatenada!$A:$A=AG$2)*(AsistenciaJetAdminConcatenada!$B:$B=AG$1), 0)), 1))),  0.5, 0))</f>
        <v>0</v>
      </c>
      <c r="AH34" s="47">
        <f t="array" ref="AH34">IF(AND(ISNUMBER(MATCH(AH$2, AsistenciaJetAdminConcatenada!$A:$A, 0)), ISNUMBER(MATCH(AH$1, AsistenciaJetAdminConcatenada!$B:$B, 0)), ISNUMBER(SEARCH($A34,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ISNUMBER(SEARCH($A34, INDEX(AsistenciaJetAdminConcatenada!$D:$D, MATCH(1, (AsistenciaJetAdminConcatenada!$A:$A=AH$2)*(AsistenciaJetAdminConcatenada!$B:$B=AH$1), 0)), 1))),  0.5, 0))</f>
        <v>0</v>
      </c>
      <c r="AI34" s="47">
        <f t="array" ref="AI34">IF(AND(ISNUMBER(MATCH(AI$2, AsistenciaJetAdminConcatenada!$A:$A, 0)), ISNUMBER(MATCH(AI$1, AsistenciaJetAdminConcatenada!$B:$B, 0)), ISNUMBER(SEARCH($A34,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ISNUMBER(SEARCH($A34, INDEX(AsistenciaJetAdminConcatenada!$D:$D, MATCH(1, (AsistenciaJetAdminConcatenada!$A:$A=AI$2)*(AsistenciaJetAdminConcatenada!$B:$B=AI$1), 0)), 1))),  0.5, 0))</f>
        <v>1</v>
      </c>
      <c r="AJ34" s="47">
        <f t="array" ref="AJ34">IF(AND(ISNUMBER(MATCH(AJ$2, AsistenciaJetAdminConcatenada!$A:$A, 0)), ISNUMBER(MATCH(AJ$1, AsistenciaJetAdminConcatenada!$B:$B, 0)), ISNUMBER(SEARCH($A34,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ISNUMBER(SEARCH($A34, INDEX(AsistenciaJetAdminConcatenada!$D:$D, MATCH(1, (AsistenciaJetAdminConcatenada!$A:$A=AJ$2)*(AsistenciaJetAdminConcatenada!$B:$B=AJ$1), 0)), 1))),  0.5, 0))</f>
        <v>1</v>
      </c>
      <c r="AK34" s="47">
        <f t="array" ref="AK34">IF(AND(ISNUMBER(MATCH(AK$2, AsistenciaJetAdminConcatenada!$A:$A, 0)), ISNUMBER(MATCH(AK$1, AsistenciaJetAdminConcatenada!$B:$B, 0)), ISNUMBER(SEARCH($A34,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ISNUMBER(SEARCH($A34, INDEX(AsistenciaJetAdminConcatenada!$D:$D, MATCH(1, (AsistenciaJetAdminConcatenada!$A:$A=AK$2)*(AsistenciaJetAdminConcatenada!$B:$B=AK$1), 0)), 1))),  0.5, 0))</f>
        <v>1</v>
      </c>
      <c r="AL34" s="47">
        <f t="array" ref="AL34">IF(AND(ISNUMBER(MATCH(AL$2, AsistenciaJetAdminConcatenada!$A:$A, 0)), ISNUMBER(MATCH(AL$1, AsistenciaJetAdminConcatenada!$B:$B, 0)), ISNUMBER(SEARCH($A34,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ISNUMBER(SEARCH($A34, INDEX(AsistenciaJetAdminConcatenada!$D:$D, MATCH(1, (AsistenciaJetAdminConcatenada!$A:$A=AL$2)*(AsistenciaJetAdminConcatenada!$B:$B=AL$1), 0)), 1))),  0.5, 0))</f>
        <v>0</v>
      </c>
      <c r="AM34" s="47">
        <f t="array" ref="AM34">IF(AND(ISNUMBER(MATCH(AM$2, AsistenciaJetAdminConcatenada!$A:$A, 0)), ISNUMBER(MATCH(AM$1, AsistenciaJetAdminConcatenada!$B:$B, 0)), ISNUMBER(SEARCH($A34,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ISNUMBER(SEARCH($A34, INDEX(AsistenciaJetAdminConcatenada!$D:$D, MATCH(1, (AsistenciaJetAdminConcatenada!$A:$A=AM$2)*(AsistenciaJetAdminConcatenada!$B:$B=AM$1), 0)), 1))),  0.5, 0))</f>
        <v>0</v>
      </c>
      <c r="AN34" s="47">
        <f t="array" ref="AN34">IF(AND(ISNUMBER(MATCH(AN$2, AsistenciaJetAdminConcatenada!$A:$A, 0)), ISNUMBER(MATCH(AN$1, AsistenciaJetAdminConcatenada!$B:$B, 0)), ISNUMBER(SEARCH($A34,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ISNUMBER(SEARCH($A34, INDEX(AsistenciaJetAdminConcatenada!$D:$D, MATCH(1, (AsistenciaJetAdminConcatenada!$A:$A=AN$2)*(AsistenciaJetAdminConcatenada!$B:$B=AN$1), 0)), 1))),  0.5, 0))</f>
        <v>0</v>
      </c>
      <c r="AO34" s="47">
        <f t="array" ref="AO34">IF(AND(ISNUMBER(MATCH(AO$2, AsistenciaJetAdminConcatenada!$A:$A, 0)), ISNUMBER(MATCH(AO$1, AsistenciaJetAdminConcatenada!$B:$B, 0)), ISNUMBER(SEARCH($A34,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ISNUMBER(SEARCH($A34, INDEX(AsistenciaJetAdminConcatenada!$D:$D, MATCH(1, (AsistenciaJetAdminConcatenada!$A:$A=AO$2)*(AsistenciaJetAdminConcatenada!$B:$B=AO$1), 0)), 1))),  0.5, 0))</f>
        <v>0</v>
      </c>
      <c r="AP34" s="47">
        <f t="array" ref="AP34">IF(AND(ISNUMBER(MATCH(AP$2, AsistenciaJetAdminConcatenada!$A:$A, 0)), ISNUMBER(MATCH(AP$1, AsistenciaJetAdminConcatenada!$B:$B, 0)), ISNUMBER(SEARCH($A34,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ISNUMBER(SEARCH($A34, INDEX(AsistenciaJetAdminConcatenada!$D:$D, MATCH(1, (AsistenciaJetAdminConcatenada!$A:$A=AP$2)*(AsistenciaJetAdminConcatenada!$B:$B=AP$1), 0)), 1))),  0.5, 0))</f>
        <v>0</v>
      </c>
      <c r="AQ34" s="47">
        <f t="array" ref="AQ34">IF(AND(ISNUMBER(MATCH(AQ$2, AsistenciaJetAdminConcatenada!$A:$A, 0)), ISNUMBER(MATCH(AQ$1, AsistenciaJetAdminConcatenada!$B:$B, 0)), ISNUMBER(SEARCH($A34,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ISNUMBER(SEARCH($A34, INDEX(AsistenciaJetAdminConcatenada!$D:$D, MATCH(1, (AsistenciaJetAdminConcatenada!$A:$A=AQ$2)*(AsistenciaJetAdminConcatenada!$B:$B=AQ$1), 0)), 1))),  0.5, 0))</f>
        <v>0</v>
      </c>
      <c r="AR34" s="47">
        <f t="array" ref="AR34">IF(AND(ISNUMBER(MATCH(AR$2, AsistenciaJetAdminConcatenada!$A:$A, 0)), ISNUMBER(MATCH(AR$1, AsistenciaJetAdminConcatenada!$B:$B, 0)), ISNUMBER(SEARCH($A34,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ISNUMBER(SEARCH($A34, INDEX(AsistenciaJetAdminConcatenada!$D:$D, MATCH(1, (AsistenciaJetAdminConcatenada!$A:$A=AR$2)*(AsistenciaJetAdminConcatenada!$B:$B=AR$1), 0)), 1))),  0.5, 0))</f>
        <v>1</v>
      </c>
      <c r="AS34" s="47">
        <f t="array" ref="AS34">IF(AND(ISNUMBER(MATCH(AS$2, AsistenciaJetAdminConcatenada!$A:$A, 0)), ISNUMBER(MATCH(AS$1, AsistenciaJetAdminConcatenada!$B:$B, 0)), ISNUMBER(SEARCH($A34,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ISNUMBER(SEARCH($A34, INDEX(AsistenciaJetAdminConcatenada!$D:$D, MATCH(1, (AsistenciaJetAdminConcatenada!$A:$A=AS$2)*(AsistenciaJetAdminConcatenada!$B:$B=AS$1), 0)), 1))),  0.5, 0))</f>
        <v>1</v>
      </c>
      <c r="AT34" s="47">
        <f t="array" ref="AT34">IF(AND(ISNUMBER(MATCH(AT$2, AsistenciaJetAdminConcatenada!$A:$A, 0)), ISNUMBER(MATCH(AT$1, AsistenciaJetAdminConcatenada!$B:$B, 0)), ISNUMBER(SEARCH($A34,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ISNUMBER(SEARCH($A34, INDEX(AsistenciaJetAdminConcatenada!$D:$D, MATCH(1, (AsistenciaJetAdminConcatenada!$A:$A=AT$2)*(AsistenciaJetAdminConcatenada!$B:$B=AT$1), 0)), 1))),  0.5, 0))</f>
        <v>0</v>
      </c>
      <c r="AU34" s="47">
        <f t="array" ref="AU34">IF(AND(ISNUMBER(MATCH(AU$2, AsistenciaJetAdminConcatenada!$A:$A, 0)), ISNUMBER(MATCH(AU$1, AsistenciaJetAdminConcatenada!$B:$B, 0)), ISNUMBER(SEARCH($A34,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ISNUMBER(SEARCH($A34, INDEX(AsistenciaJetAdminConcatenada!$D:$D, MATCH(1, (AsistenciaJetAdminConcatenada!$A:$A=AU$2)*(AsistenciaJetAdminConcatenada!$B:$B=AU$1), 0)), 1))),  0.5, 0))</f>
        <v>1</v>
      </c>
      <c r="AV34" s="47">
        <f t="array" ref="AV34">IF(AND(ISNUMBER(MATCH(AV$2, AsistenciaJetAdminConcatenada!$A:$A, 0)), ISNUMBER(MATCH(AV$1, AsistenciaJetAdminConcatenada!$B:$B, 0)), ISNUMBER(SEARCH($A34,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ISNUMBER(SEARCH($A34, INDEX(AsistenciaJetAdminConcatenada!$D:$D, MATCH(1, (AsistenciaJetAdminConcatenada!$A:$A=AV$2)*(AsistenciaJetAdminConcatenada!$B:$B=AV$1), 0)), 1))),  0.5, 0))</f>
        <v>1</v>
      </c>
      <c r="AW34" s="47">
        <f t="array" ref="AW34">IF(AND(ISNUMBER(MATCH(AW$2, AsistenciaJetAdminConcatenada!$A:$A, 0)), ISNUMBER(MATCH(AW$1, AsistenciaJetAdminConcatenada!$B:$B, 0)), ISNUMBER(SEARCH($A34,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ISNUMBER(SEARCH($A34, INDEX(AsistenciaJetAdminConcatenada!$D:$D, MATCH(1, (AsistenciaJetAdminConcatenada!$A:$A=AW$2)*(AsistenciaJetAdminConcatenada!$B:$B=AW$1), 0)), 1))),  0.5, 0))</f>
        <v>0</v>
      </c>
      <c r="AX34" s="47">
        <f t="array" ref="AX34">IF(AND(ISNUMBER(MATCH(AX$2, AsistenciaJetAdminConcatenada!$A:$A, 0)), ISNUMBER(MATCH(AX$1, AsistenciaJetAdminConcatenada!$B:$B, 0)), ISNUMBER(SEARCH($A34,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ISNUMBER(SEARCH($A34, INDEX(AsistenciaJetAdminConcatenada!$D:$D, MATCH(1, (AsistenciaJetAdminConcatenada!$A:$A=AX$2)*(AsistenciaJetAdminConcatenada!$B:$B=AX$1), 0)), 1))),  0.5, 0))</f>
        <v>1</v>
      </c>
      <c r="AY34" s="47">
        <f t="array" ref="AY34">IF(AND(ISNUMBER(MATCH(AY$2, AsistenciaJetAdminConcatenada!$A:$A, 0)), ISNUMBER(MATCH(AY$1, AsistenciaJetAdminConcatenada!$B:$B, 0)), ISNUMBER(SEARCH($A34,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ISNUMBER(SEARCH($A34, INDEX(AsistenciaJetAdminConcatenada!$D:$D, MATCH(1, (AsistenciaJetAdminConcatenada!$A:$A=AY$2)*(AsistenciaJetAdminConcatenada!$B:$B=AY$1), 0)), 1))),  0.5, 0))</f>
        <v>1</v>
      </c>
      <c r="AZ34" s="47">
        <f t="array" ref="AZ34">IF(AND(ISNUMBER(MATCH(AZ$2, AsistenciaJetAdminConcatenada!$A:$A, 0)), ISNUMBER(MATCH(AZ$1, AsistenciaJetAdminConcatenada!$B:$B, 0)), ISNUMBER(SEARCH($A34,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ISNUMBER(SEARCH($A34, INDEX(AsistenciaJetAdminConcatenada!$D:$D, MATCH(1, (AsistenciaJetAdminConcatenada!$A:$A=AZ$2)*(AsistenciaJetAdminConcatenada!$B:$B=AZ$1), 0)), 1))),  0.5, 0))</f>
        <v>0</v>
      </c>
      <c r="BA34" s="47">
        <f t="array" ref="BA34">IF(AND(ISNUMBER(MATCH(BA$2, AsistenciaJetAdminConcatenada!$A:$A, 0)), ISNUMBER(MATCH(BA$1, AsistenciaJetAdminConcatenada!$B:$B, 0)), ISNUMBER(SEARCH($A34,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ISNUMBER(SEARCH($A34, INDEX(AsistenciaJetAdminConcatenada!$D:$D, MATCH(1, (AsistenciaJetAdminConcatenada!$A:$A=BA$2)*(AsistenciaJetAdminConcatenada!$B:$B=BA$1), 0)), 1))),  0.5, 0))</f>
        <v>0</v>
      </c>
      <c r="BB34" s="47">
        <f t="array" ref="BB34">IF(AND(ISNUMBER(MATCH(BB$2, AsistenciaJetAdminConcatenada!$A:$A, 0)), ISNUMBER(MATCH(BB$1, AsistenciaJetAdminConcatenada!$B:$B, 0)), ISNUMBER(SEARCH($A34,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ISNUMBER(SEARCH($A34, INDEX(AsistenciaJetAdminConcatenada!$D:$D, MATCH(1, (AsistenciaJetAdminConcatenada!$A:$A=BB$2)*(AsistenciaJetAdminConcatenada!$B:$B=BB$1), 0)), 1))),  0.5, 0))</f>
        <v>0</v>
      </c>
      <c r="BC34" s="47">
        <f t="array" ref="BC34">IF(AND(ISNUMBER(MATCH(BC$2, AsistenciaJetAdminConcatenada!$A:$A, 0)), ISNUMBER(MATCH(BC$1, AsistenciaJetAdminConcatenada!$B:$B, 0)), ISNUMBER(SEARCH($A34,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ISNUMBER(SEARCH($A34, INDEX(AsistenciaJetAdminConcatenada!$D:$D, MATCH(1, (AsistenciaJetAdminConcatenada!$A:$A=BC$2)*(AsistenciaJetAdminConcatenada!$B:$B=BC$1), 0)), 1))),  0.5, 0))</f>
        <v>1</v>
      </c>
      <c r="BD34" s="47">
        <f t="array" ref="BD34">IF(AND(ISNUMBER(MATCH(BD$2, AsistenciaJetAdminConcatenada!$A:$A, 0)), ISNUMBER(MATCH(BD$1, AsistenciaJetAdminConcatenada!$B:$B, 0)), ISNUMBER(SEARCH($A34,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ISNUMBER(SEARCH($A34, INDEX(AsistenciaJetAdminConcatenada!$D:$D, MATCH(1, (AsistenciaJetAdminConcatenada!$A:$A=BD$2)*(AsistenciaJetAdminConcatenada!$B:$B=BD$1), 0)), 1))),  0.5, 0))</f>
        <v>0</v>
      </c>
      <c r="BE34" s="47">
        <f t="array" ref="BE34">IF(AND(ISNUMBER(MATCH(BE$2, AsistenciaJetAdminConcatenada!$A:$A, 0)), ISNUMBER(MATCH(BE$1, AsistenciaJetAdminConcatenada!$B:$B, 0)), ISNUMBER(SEARCH($A34,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ISNUMBER(SEARCH($A34, INDEX(AsistenciaJetAdminConcatenada!$D:$D, MATCH(1, (AsistenciaJetAdminConcatenada!$A:$A=BE$2)*(AsistenciaJetAdminConcatenada!$B:$B=BE$1), 0)), 1))),  0.5, 0))</f>
        <v>0</v>
      </c>
      <c r="BF34" s="47">
        <f t="array" ref="BF34">IF(AND(ISNUMBER(MATCH(BF$2, AsistenciaJetAdminConcatenada!$A:$A, 0)), ISNUMBER(MATCH(BF$1, AsistenciaJetAdminConcatenada!$B:$B, 0)), ISNUMBER(SEARCH($A34,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ISNUMBER(SEARCH($A34, INDEX(AsistenciaJetAdminConcatenada!$D:$D, MATCH(1, (AsistenciaJetAdminConcatenada!$A:$A=BF$2)*(AsistenciaJetAdminConcatenada!$B:$B=BF$1), 0)), 1))),  0.5, 0))</f>
        <v>1</v>
      </c>
      <c r="BG34" s="47">
        <f t="array" ref="BG34">IF(AND(ISNUMBER(MATCH(BG$2, AsistenciaJetAdminConcatenada!$A:$A, 0)), ISNUMBER(MATCH(BG$1, AsistenciaJetAdminConcatenada!$B:$B, 0)), ISNUMBER(SEARCH($A34,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ISNUMBER(SEARCH($A34, INDEX(AsistenciaJetAdminConcatenada!$D:$D, MATCH(1, (AsistenciaJetAdminConcatenada!$A:$A=BG$2)*(AsistenciaJetAdminConcatenada!$B:$B=BG$1), 0)), 1))),  0.5, 0))</f>
        <v>0.5</v>
      </c>
      <c r="BH34" s="47">
        <f t="array" ref="BH34">IF(AND(ISNUMBER(MATCH(BH$2, AsistenciaJetAdminConcatenada!$A:$A, 0)), ISNUMBER(MATCH(BH$1, AsistenciaJetAdminConcatenada!$B:$B, 0)), ISNUMBER(SEARCH($A34,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ISNUMBER(SEARCH($A34, INDEX(AsistenciaJetAdminConcatenada!$D:$D, MATCH(1, (AsistenciaJetAdminConcatenada!$A:$A=BH$2)*(AsistenciaJetAdminConcatenada!$B:$B=BH$1), 0)), 1))),  0.5, 0))</f>
        <v>1</v>
      </c>
      <c r="BI34" s="47">
        <f t="array" ref="BI34">IF(AND(ISNUMBER(MATCH(BI$2, AsistenciaJetAdminConcatenada!$A:$A, 0)), ISNUMBER(MATCH(BI$1, AsistenciaJetAdminConcatenada!$B:$B, 0)), ISNUMBER(SEARCH($A34,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ISNUMBER(SEARCH($A34, INDEX(AsistenciaJetAdminConcatenada!$D:$D, MATCH(1, (AsistenciaJetAdminConcatenada!$A:$A=BI$2)*(AsistenciaJetAdminConcatenada!$B:$B=BI$1), 0)), 1))),  0.5, 0))</f>
        <v>0</v>
      </c>
      <c r="BJ34" s="47">
        <f t="array" ref="BJ34">IF(AND(ISNUMBER(MATCH(BJ$2, AsistenciaJetAdminConcatenada!$A:$A, 0)), ISNUMBER(MATCH(BJ$1, AsistenciaJetAdminConcatenada!$B:$B, 0)), ISNUMBER(SEARCH($A34,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ISNUMBER(SEARCH($A34, INDEX(AsistenciaJetAdminConcatenada!$D:$D, MATCH(1, (AsistenciaJetAdminConcatenada!$A:$A=BJ$2)*(AsistenciaJetAdminConcatenada!$B:$B=BJ$1), 0)), 1))),  0.5, 0))</f>
        <v>0</v>
      </c>
      <c r="BK34" s="47">
        <f t="array" ref="BK34">IF(AND(ISNUMBER(MATCH(BK$2, AsistenciaJetAdminConcatenada!$A:$A, 0)), ISNUMBER(MATCH(BK$1, AsistenciaJetAdminConcatenada!$B:$B, 0)), ISNUMBER(SEARCH($A34,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ISNUMBER(SEARCH($A34, INDEX(AsistenciaJetAdminConcatenada!$D:$D, MATCH(1, (AsistenciaJetAdminConcatenada!$A:$A=BK$2)*(AsistenciaJetAdminConcatenada!$B:$B=BK$1), 0)), 1))),  0.5, 0))</f>
        <v>1</v>
      </c>
      <c r="BL34" s="47">
        <f t="array" ref="BL34">IF(AND(ISNUMBER(MATCH(BL$2, AsistenciaJetAdminConcatenada!$A:$A, 0)), ISNUMBER(MATCH(BL$1, AsistenciaJetAdminConcatenada!$B:$B, 0)), ISNUMBER(SEARCH($A34,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ISNUMBER(SEARCH($A34, INDEX(AsistenciaJetAdminConcatenada!$D:$D, MATCH(1, (AsistenciaJetAdminConcatenada!$A:$A=BL$2)*(AsistenciaJetAdminConcatenada!$B:$B=BL$1), 0)), 1))),  0.5, 0))</f>
        <v>1</v>
      </c>
      <c r="BM34" s="47">
        <f t="array" ref="BM34">IF(AND(ISNUMBER(MATCH(BM$2, AsistenciaJetAdminConcatenada!$A:$A, 0)), ISNUMBER(MATCH(BM$1, AsistenciaJetAdminConcatenada!$B:$B, 0)), ISNUMBER(SEARCH($A34,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ISNUMBER(SEARCH($A34, INDEX(AsistenciaJetAdminConcatenada!$D:$D, MATCH(1, (AsistenciaJetAdminConcatenada!$A:$A=BM$2)*(AsistenciaJetAdminConcatenada!$B:$B=BM$1), 0)), 1))),  0.5, 0))</f>
        <v>0</v>
      </c>
      <c r="BN34" s="47">
        <f t="array" ref="BN34">IF(AND(ISNUMBER(MATCH(BN$2, AsistenciaJetAdminConcatenada!$A:$A, 0)), ISNUMBER(MATCH(BN$1, AsistenciaJetAdminConcatenada!$B:$B, 0)), ISNUMBER(SEARCH($A34,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ISNUMBER(SEARCH($A34, INDEX(AsistenciaJetAdminConcatenada!$D:$D, MATCH(1, (AsistenciaJetAdminConcatenada!$A:$A=BN$2)*(AsistenciaJetAdminConcatenada!$B:$B=BN$1), 0)), 1))),  0.5, 0))</f>
        <v>0</v>
      </c>
      <c r="BO34" s="47">
        <f t="array" ref="BO34">IF(AND(ISNUMBER(MATCH(BO$2, AsistenciaJetAdminConcatenada!$A:$A, 0)), ISNUMBER(MATCH(BO$1, AsistenciaJetAdminConcatenada!$B:$B, 0)), ISNUMBER(SEARCH($A34,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ISNUMBER(SEARCH($A34, INDEX(AsistenciaJetAdminConcatenada!$D:$D, MATCH(1, (AsistenciaJetAdminConcatenada!$A:$A=BO$2)*(AsistenciaJetAdminConcatenada!$B:$B=BO$1), 0)), 1))),  0.5, 0))</f>
        <v>0</v>
      </c>
      <c r="BP34" s="47">
        <f t="array" ref="BP34">IF(AND(ISNUMBER(MATCH(BP$2, AsistenciaJetAdminConcatenada!$A:$A, 0)), ISNUMBER(MATCH(BP$1, AsistenciaJetAdminConcatenada!$B:$B, 0)), ISNUMBER(SEARCH($A34,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ISNUMBER(SEARCH($A34, INDEX(AsistenciaJetAdminConcatenada!$D:$D, MATCH(1, (AsistenciaJetAdminConcatenada!$A:$A=BP$2)*(AsistenciaJetAdminConcatenada!$B:$B=BP$1), 0)), 1))),  0.5, 0))</f>
        <v>0</v>
      </c>
      <c r="BQ34" s="47">
        <f t="array" ref="BQ34">IF(AND(ISNUMBER(MATCH(BQ$2, AsistenciaJetAdminConcatenada!$A:$A, 0)), ISNUMBER(MATCH(BQ$1, AsistenciaJetAdminConcatenada!$B:$B, 0)), ISNUMBER(SEARCH($A34,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ISNUMBER(SEARCH($A34, INDEX(AsistenciaJetAdminConcatenada!$D:$D, MATCH(1, (AsistenciaJetAdminConcatenada!$A:$A=BQ$2)*(AsistenciaJetAdminConcatenada!$B:$B=BQ$1), 0)), 1))),  0.5, 0))</f>
        <v>0</v>
      </c>
      <c r="BR34" s="47">
        <f t="array" ref="BR34">IF(AND(ISNUMBER(MATCH(BR$2, AsistenciaJetAdminConcatenada!$A:$A, 0)), ISNUMBER(MATCH(BR$1, AsistenciaJetAdminConcatenada!$B:$B, 0)), ISNUMBER(SEARCH($A34,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ISNUMBER(SEARCH($A34, INDEX(AsistenciaJetAdminConcatenada!$D:$D, MATCH(1, (AsistenciaJetAdminConcatenada!$A:$A=BR$2)*(AsistenciaJetAdminConcatenada!$B:$B=BR$1), 0)), 1))),  0.5, 0))</f>
        <v>1</v>
      </c>
      <c r="BS34" s="47">
        <f t="array" ref="BS34">IF(AND(ISNUMBER(MATCH(BS$2, AsistenciaJetAdminConcatenada!$A:$A, 0)), ISNUMBER(MATCH(BS$1, AsistenciaJetAdminConcatenada!$B:$B, 0)), ISNUMBER(SEARCH($A34,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ISNUMBER(SEARCH($A34, INDEX(AsistenciaJetAdminConcatenada!$D:$D, MATCH(1, (AsistenciaJetAdminConcatenada!$A:$A=BS$2)*(AsistenciaJetAdminConcatenada!$B:$B=BS$1), 0)), 1))),  0.5, 0))</f>
        <v>1</v>
      </c>
      <c r="BT34" s="47">
        <f t="array" ref="BT34">IF(AND(ISNUMBER(MATCH(BT$2, AsistenciaJetAdminConcatenada!$A:$A, 0)), ISNUMBER(MATCH(BT$1, AsistenciaJetAdminConcatenada!$B:$B, 0)), ISNUMBER(SEARCH($A34,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ISNUMBER(SEARCH($A34, INDEX(AsistenciaJetAdminConcatenada!$D:$D, MATCH(1, (AsistenciaJetAdminConcatenada!$A:$A=BT$2)*(AsistenciaJetAdminConcatenada!$B:$B=BT$1), 0)), 1))),  0.5, 0))</f>
        <v>1</v>
      </c>
      <c r="BU34" s="47">
        <f t="array" ref="BU34">IF(AND(ISNUMBER(MATCH(BU$2, AsistenciaJetAdminConcatenada!$A:$A, 0)), ISNUMBER(MATCH(BU$1, AsistenciaJetAdminConcatenada!$B:$B, 0)), ISNUMBER(SEARCH($A34,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ISNUMBER(SEARCH($A34, INDEX(AsistenciaJetAdminConcatenada!$D:$D, MATCH(1, (AsistenciaJetAdminConcatenada!$A:$A=BU$2)*(AsistenciaJetAdminConcatenada!$B:$B=BU$1), 0)), 1))),  0.5, 0))</f>
        <v>1</v>
      </c>
      <c r="BV34" s="47">
        <f t="array" ref="BV34">IF(AND(ISNUMBER(MATCH(BV$2, AsistenciaJetAdminConcatenada!$A:$A, 0)), ISNUMBER(MATCH(BV$1, AsistenciaJetAdminConcatenada!$B:$B, 0)), ISNUMBER(SEARCH($A34,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ISNUMBER(SEARCH($A34, INDEX(AsistenciaJetAdminConcatenada!$D:$D, MATCH(1, (AsistenciaJetAdminConcatenada!$A:$A=BV$2)*(AsistenciaJetAdminConcatenada!$B:$B=BV$1), 0)), 1))),  0.5, 0))</f>
        <v>0</v>
      </c>
      <c r="BW34" s="47">
        <f t="array" ref="BW34">IF(AND(ISNUMBER(MATCH(BW$2, AsistenciaJetAdminConcatenada!$A:$A, 0)), ISNUMBER(MATCH(BW$1, AsistenciaJetAdminConcatenada!$B:$B, 0)), ISNUMBER(SEARCH($A34,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ISNUMBER(SEARCH($A34, INDEX(AsistenciaJetAdminConcatenada!$D:$D, MATCH(1, (AsistenciaJetAdminConcatenada!$A:$A=BW$2)*(AsistenciaJetAdminConcatenada!$B:$B=BW$1), 0)), 1))),  0.5, 0))</f>
        <v>1</v>
      </c>
      <c r="BX34" s="47">
        <f t="array" ref="BX34">IF(AND(ISNUMBER(MATCH(BX$2, AsistenciaJetAdminConcatenada!$A:$A, 0)), ISNUMBER(MATCH(BX$1, AsistenciaJetAdminConcatenada!$B:$B, 0)), ISNUMBER(SEARCH($A34,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ISNUMBER(SEARCH($A34, INDEX(AsistenciaJetAdminConcatenada!$D:$D, MATCH(1, (AsistenciaJetAdminConcatenada!$A:$A=BX$2)*(AsistenciaJetAdminConcatenada!$B:$B=BX$1), 0)), 1))),  0.5, 0))</f>
        <v>1</v>
      </c>
      <c r="BY34" s="47">
        <f t="array" ref="BY34">IF(AND(ISNUMBER(MATCH(BY$2, AsistenciaJetAdminConcatenada!$A:$A, 0)), ISNUMBER(MATCH(BY$1, AsistenciaJetAdminConcatenada!$B:$B, 0)), ISNUMBER(SEARCH($A34,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ISNUMBER(SEARCH($A34, INDEX(AsistenciaJetAdminConcatenada!$D:$D, MATCH(1, (AsistenciaJetAdminConcatenada!$A:$A=BY$2)*(AsistenciaJetAdminConcatenada!$B:$B=BY$1), 0)), 1))),  0.5, 0))</f>
        <v>0</v>
      </c>
      <c r="BZ34" s="47">
        <f t="array" ref="BZ34">IF(AND(ISNUMBER(MATCH(BZ$2, AsistenciaJetAdminConcatenada!$A:$A, 0)), ISNUMBER(MATCH(BZ$1, AsistenciaJetAdminConcatenada!$B:$B, 0)), ISNUMBER(SEARCH($A34,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ISNUMBER(SEARCH($A34, INDEX(AsistenciaJetAdminConcatenada!$D:$D, MATCH(1, (AsistenciaJetAdminConcatenada!$A:$A=BZ$2)*(AsistenciaJetAdminConcatenada!$B:$B=BZ$1), 0)), 1))),  0.5, 0))</f>
        <v>0</v>
      </c>
      <c r="CA34" s="47">
        <f t="array" ref="CA34">IF(AND(ISNUMBER(MATCH(CA$2, AsistenciaJetAdminConcatenada!$A:$A, 0)), ISNUMBER(MATCH(CA$1, AsistenciaJetAdminConcatenada!$B:$B, 0)), ISNUMBER(SEARCH($A34,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ISNUMBER(SEARCH($A34, INDEX(AsistenciaJetAdminConcatenada!$D:$D, MATCH(1, (AsistenciaJetAdminConcatenada!$A:$A=CA$2)*(AsistenciaJetAdminConcatenada!$B:$B=CA$1), 0)), 1))),  0.5, 0))</f>
        <v>1</v>
      </c>
      <c r="CB34" s="47">
        <f t="array" ref="CB34">IF(AND(ISNUMBER(MATCH(CB$2, AsistenciaJetAdminConcatenada!$A:$A, 0)), ISNUMBER(MATCH(CB$1, AsistenciaJetAdminConcatenada!$B:$B, 0)), ISNUMBER(SEARCH($A34,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ISNUMBER(SEARCH($A34, INDEX(AsistenciaJetAdminConcatenada!$D:$D, MATCH(1, (AsistenciaJetAdminConcatenada!$A:$A=CB$2)*(AsistenciaJetAdminConcatenada!$B:$B=CB$1), 0)), 1))),  0.5, 0))</f>
        <v>0.5</v>
      </c>
      <c r="CC34" s="47">
        <f t="array" ref="CC34">IF(AND(ISNUMBER(MATCH(CC$2, AsistenciaJetAdminConcatenada!$A:$A, 0)), ISNUMBER(MATCH(CC$1, AsistenciaJetAdminConcatenada!$B:$B, 0)), ISNUMBER(SEARCH($A34,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ISNUMBER(SEARCH($A34, INDEX(AsistenciaJetAdminConcatenada!$D:$D, MATCH(1, (AsistenciaJetAdminConcatenada!$A:$A=CC$2)*(AsistenciaJetAdminConcatenada!$B:$B=CC$1), 0)), 1))),  0.5, 0))</f>
        <v>0</v>
      </c>
      <c r="CD34" s="47">
        <f t="array" ref="CD34">IF(AND(ISNUMBER(MATCH(CD$2, AsistenciaJetAdminConcatenada!$A:$A, 0)), ISNUMBER(MATCH(CD$1, AsistenciaJetAdminConcatenada!$B:$B, 0)), ISNUMBER(SEARCH($A34,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ISNUMBER(SEARCH($A34, INDEX(AsistenciaJetAdminConcatenada!$D:$D, MATCH(1, (AsistenciaJetAdminConcatenada!$A:$A=CD$2)*(AsistenciaJetAdminConcatenada!$B:$B=CD$1), 0)), 1))),  0.5, 0))</f>
        <v>1</v>
      </c>
      <c r="CE34" s="47">
        <f t="array" ref="CE34">IF(AND(ISNUMBER(MATCH(CE$2, AsistenciaJetAdminConcatenada!$A:$A, 0)), ISNUMBER(MATCH(CE$1, AsistenciaJetAdminConcatenada!$B:$B, 0)), ISNUMBER(SEARCH($A34,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ISNUMBER(SEARCH($A34, INDEX(AsistenciaJetAdminConcatenada!$D:$D, MATCH(1, (AsistenciaJetAdminConcatenada!$A:$A=CE$2)*(AsistenciaJetAdminConcatenada!$B:$B=CE$1), 0)), 1))),  0.5, 0))</f>
        <v>1</v>
      </c>
      <c r="CF34" s="47">
        <f t="array" ref="CF34">IF(AND(ISNUMBER(MATCH(CF$2, AsistenciaJetAdminConcatenada!$A:$A, 0)), ISNUMBER(MATCH(CF$1, AsistenciaJetAdminConcatenada!$B:$B, 0)), ISNUMBER(SEARCH($A34,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ISNUMBER(SEARCH($A34, INDEX(AsistenciaJetAdminConcatenada!$D:$D, MATCH(1, (AsistenciaJetAdminConcatenada!$A:$A=CF$2)*(AsistenciaJetAdminConcatenada!$B:$B=CF$1), 0)), 1))),  0.5, 0))</f>
        <v>0</v>
      </c>
      <c r="CG34" s="47">
        <f t="array" ref="CG34">IF(AND(ISNUMBER(MATCH(CG$2, AsistenciaJetAdminConcatenada!$A:$A, 0)), ISNUMBER(MATCH(CG$1, AsistenciaJetAdminConcatenada!$B:$B, 0)), ISNUMBER(SEARCH($A34,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ISNUMBER(SEARCH($A34, INDEX(AsistenciaJetAdminConcatenada!$D:$D, MATCH(1, (AsistenciaJetAdminConcatenada!$A:$A=CG$2)*(AsistenciaJetAdminConcatenada!$B:$B=CG$1), 0)), 1))),  0.5, 0))</f>
        <v>0</v>
      </c>
      <c r="CH34" s="47">
        <f t="array" ref="CH34">IF(AND(ISNUMBER(MATCH(CH$2, AsistenciaJetAdminConcatenada!$A:$A, 0)), ISNUMBER(MATCH(CH$1, AsistenciaJetAdminConcatenada!$B:$B, 0)), ISNUMBER(SEARCH($A34,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ISNUMBER(SEARCH($A34, INDEX(AsistenciaJetAdminConcatenada!$D:$D, MATCH(1, (AsistenciaJetAdminConcatenada!$A:$A=CH$2)*(AsistenciaJetAdminConcatenada!$B:$B=CH$1), 0)), 1))),  0.5, 0))</f>
        <v>0</v>
      </c>
      <c r="CI34" s="47">
        <f t="array" ref="CI34">IF(AND(ISNUMBER(MATCH(CI$2, AsistenciaJetAdminConcatenada!$A:$A, 0)), ISNUMBER(MATCH(CI$1, AsistenciaJetAdminConcatenada!$B:$B, 0)), ISNUMBER(SEARCH($A34,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ISNUMBER(SEARCH($A34, INDEX(AsistenciaJetAdminConcatenada!$D:$D, MATCH(1, (AsistenciaJetAdminConcatenada!$A:$A=CI$2)*(AsistenciaJetAdminConcatenada!$B:$B=CI$1), 0)), 1))),  0.5, 0))</f>
        <v>1</v>
      </c>
      <c r="CJ34" s="47">
        <f t="array" ref="CJ34">IF(AND(ISNUMBER(MATCH(CJ$2, AsistenciaJetAdminConcatenada!$A:$A, 0)), ISNUMBER(MATCH(CJ$1, AsistenciaJetAdminConcatenada!$B:$B, 0)), ISNUMBER(SEARCH($A34,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ISNUMBER(SEARCH($A34, INDEX(AsistenciaJetAdminConcatenada!$D:$D, MATCH(1, (AsistenciaJetAdminConcatenada!$A:$A=CJ$2)*(AsistenciaJetAdminConcatenada!$B:$B=CJ$1), 0)), 1))),  0.5, 0))</f>
        <v>1</v>
      </c>
      <c r="CK34" s="47">
        <f t="array" ref="CK34">IF(AND(ISNUMBER(MATCH(CK$2, AsistenciaJetAdminConcatenada!$A:$A, 0)), ISNUMBER(MATCH(CK$1, AsistenciaJetAdminConcatenada!$B:$B, 0)), ISNUMBER(SEARCH($A34,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ISNUMBER(SEARCH($A34, INDEX(AsistenciaJetAdminConcatenada!$D:$D, MATCH(1, (AsistenciaJetAdminConcatenada!$A:$A=CK$2)*(AsistenciaJetAdminConcatenada!$B:$B=CK$1), 0)), 1))),  0.5, 0))</f>
        <v>1</v>
      </c>
      <c r="CL34" s="47">
        <f t="array" ref="CL34">IF(AND(ISNUMBER(MATCH(CL$2, AsistenciaJetAdminConcatenada!$A:$A, 0)), ISNUMBER(MATCH(CL$1, AsistenciaJetAdminConcatenada!$B:$B, 0)), ISNUMBER(SEARCH($A34,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ISNUMBER(SEARCH($A34, INDEX(AsistenciaJetAdminConcatenada!$D:$D, MATCH(1, (AsistenciaJetAdminConcatenada!$A:$A=CL$2)*(AsistenciaJetAdminConcatenada!$B:$B=CL$1), 0)), 1))),  0.5, 0))</f>
        <v>1</v>
      </c>
      <c r="CM34" s="47">
        <f t="array" ref="CM34">IF(AND(ISNUMBER(MATCH(CM$2, AsistenciaJetAdminConcatenada!$A:$A, 0)), ISNUMBER(MATCH(CM$1, AsistenciaJetAdminConcatenada!$B:$B, 0)), ISNUMBER(SEARCH($A34,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ISNUMBER(SEARCH($A34, INDEX(AsistenciaJetAdminConcatenada!$D:$D, MATCH(1, (AsistenciaJetAdminConcatenada!$A:$A=CM$2)*(AsistenciaJetAdminConcatenada!$B:$B=CM$1), 0)), 1))),  0.5, 0))</f>
        <v>1</v>
      </c>
      <c r="CN34" s="47">
        <f t="array" ref="CN34">IF(AND(ISNUMBER(MATCH(CN$2, AsistenciaJetAdminConcatenada!$A:$A, 0)), ISNUMBER(MATCH(CN$1, AsistenciaJetAdminConcatenada!$B:$B, 0)), ISNUMBER(SEARCH($A34,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ISNUMBER(SEARCH($A34, INDEX(AsistenciaJetAdminConcatenada!$D:$D, MATCH(1, (AsistenciaJetAdminConcatenada!$A:$A=CN$2)*(AsistenciaJetAdminConcatenada!$B:$B=CN$1), 0)), 1))),  0.5, 0))</f>
        <v>0</v>
      </c>
      <c r="CO34" s="47">
        <f t="array" ref="CO34">IF(AND(ISNUMBER(MATCH(CO$2, AsistenciaJetAdminConcatenada!$A:$A, 0)), ISNUMBER(MATCH(CO$1, AsistenciaJetAdminConcatenada!$B:$B, 0)), ISNUMBER(SEARCH($A34,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ISNUMBER(SEARCH($A34, INDEX(AsistenciaJetAdminConcatenada!$D:$D, MATCH(1, (AsistenciaJetAdminConcatenada!$A:$A=CO$2)*(AsistenciaJetAdminConcatenada!$B:$B=CO$1), 0)), 1))),  0.5, 0))</f>
        <v>1</v>
      </c>
      <c r="CP34" s="47">
        <f t="array" ref="CP34">IF(AND(ISNUMBER(MATCH(CP$2, AsistenciaJetAdminConcatenada!$A:$A, 0)), ISNUMBER(MATCH(CP$1, AsistenciaJetAdminConcatenada!$B:$B, 0)), ISNUMBER(SEARCH($A34,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ISNUMBER(SEARCH($A34, INDEX(AsistenciaJetAdminConcatenada!$D:$D, MATCH(1, (AsistenciaJetAdminConcatenada!$A:$A=CP$2)*(AsistenciaJetAdminConcatenada!$B:$B=CP$1), 0)), 1))),  0.5, 0))</f>
        <v>1</v>
      </c>
      <c r="CQ34" s="47">
        <f t="array" ref="CQ34">IF(AND(ISNUMBER(MATCH(CQ$2, AsistenciaJetAdminConcatenada!$A:$A, 0)), ISNUMBER(MATCH(CQ$1, AsistenciaJetAdminConcatenada!$B:$B, 0)), ISNUMBER(SEARCH($A34,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ISNUMBER(SEARCH($A34, INDEX(AsistenciaJetAdminConcatenada!$D:$D, MATCH(1, (AsistenciaJetAdminConcatenada!$A:$A=CQ$2)*(AsistenciaJetAdminConcatenada!$B:$B=CQ$1), 0)), 1))),  0.5, 0))</f>
        <v>1</v>
      </c>
      <c r="CR34" s="47">
        <f t="array" ref="CR34">IF(AND(ISNUMBER(MATCH(CR$2, AsistenciaJetAdminConcatenada!$A:$A, 0)), ISNUMBER(MATCH(CR$1, AsistenciaJetAdminConcatenada!$B:$B, 0)), ISNUMBER(SEARCH($A34,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ISNUMBER(SEARCH($A34, INDEX(AsistenciaJetAdminConcatenada!$D:$D, MATCH(1, (AsistenciaJetAdminConcatenada!$A:$A=CR$2)*(AsistenciaJetAdminConcatenada!$B:$B=CR$1), 0)), 1))),  0.5, 0))</f>
        <v>1</v>
      </c>
      <c r="CS34" s="47">
        <f t="array" ref="CS34">IF(AND(ISNUMBER(MATCH(CS$2, AsistenciaJetAdminConcatenada!$A:$A, 0)), ISNUMBER(MATCH(CS$1, AsistenciaJetAdminConcatenada!$B:$B, 0)), ISNUMBER(SEARCH($A34,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ISNUMBER(SEARCH($A34, INDEX(AsistenciaJetAdminConcatenada!$D:$D, MATCH(1, (AsistenciaJetAdminConcatenada!$A:$A=CS$2)*(AsistenciaJetAdminConcatenada!$B:$B=CS$1), 0)), 1))),  0.5, 0))</f>
        <v>0</v>
      </c>
      <c r="CT34" s="47">
        <f t="array" ref="CT34">IF(AND(ISNUMBER(MATCH(CT$2, AsistenciaJetAdminConcatenada!$A:$A, 0)), ISNUMBER(MATCH(CT$1, AsistenciaJetAdminConcatenada!$B:$B, 0)), ISNUMBER(SEARCH($A34,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ISNUMBER(SEARCH($A34, INDEX(AsistenciaJetAdminConcatenada!$D:$D, MATCH(1, (AsistenciaJetAdminConcatenada!$A:$A=CT$2)*(AsistenciaJetAdminConcatenada!$B:$B=CT$1), 0)), 1))),  0.5, 0))</f>
        <v>0</v>
      </c>
      <c r="CU34" s="47">
        <f t="array" ref="CU34">IF(AND(ISNUMBER(MATCH(CU$2, AsistenciaJetAdminConcatenada!$A:$A, 0)), ISNUMBER(MATCH(CU$1, AsistenciaJetAdminConcatenada!$B:$B, 0)), ISNUMBER(SEARCH($A34,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ISNUMBER(SEARCH($A34, INDEX(AsistenciaJetAdminConcatenada!$D:$D, MATCH(1, (AsistenciaJetAdminConcatenada!$A:$A=CU$2)*(AsistenciaJetAdminConcatenada!$B:$B=CU$1), 0)), 1))),  0.5, 0))</f>
        <v>0</v>
      </c>
      <c r="CV34" s="47">
        <f t="array" ref="CV34">IF(AND(ISNUMBER(MATCH(CV$2, AsistenciaJetAdminConcatenada!$A:$A, 0)), ISNUMBER(MATCH(CV$1, AsistenciaJetAdminConcatenada!$B:$B, 0)), ISNUMBER(SEARCH($A34,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ISNUMBER(SEARCH($A34, INDEX(AsistenciaJetAdminConcatenada!$D:$D, MATCH(1, (AsistenciaJetAdminConcatenada!$A:$A=CV$2)*(AsistenciaJetAdminConcatenada!$B:$B=CV$1), 0)), 1))),  0.5, 0))</f>
        <v>0</v>
      </c>
      <c r="CW34" s="47">
        <f t="array" ref="CW34">IF(AND(ISNUMBER(MATCH(CW$2, AsistenciaJetAdminConcatenada!$A:$A, 0)), ISNUMBER(MATCH(CW$1, AsistenciaJetAdminConcatenada!$B:$B, 0)), ISNUMBER(SEARCH($A34,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ISNUMBER(SEARCH($A34, INDEX(AsistenciaJetAdminConcatenada!$D:$D, MATCH(1, (AsistenciaJetAdminConcatenada!$A:$A=CW$2)*(AsistenciaJetAdminConcatenada!$B:$B=CW$1), 0)), 1))),  0.5, 0))</f>
        <v>0</v>
      </c>
      <c r="CX34" s="47">
        <f t="array" ref="CX34">IF(AND(ISNUMBER(MATCH(CX$2, AsistenciaJetAdminConcatenada!$A:$A, 0)), ISNUMBER(MATCH(CX$1, AsistenciaJetAdminConcatenada!$B:$B, 0)), ISNUMBER(SEARCH($A34,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ISNUMBER(SEARCH($A34, INDEX(AsistenciaJetAdminConcatenada!$D:$D, MATCH(1, (AsistenciaJetAdminConcatenada!$A:$A=CX$2)*(AsistenciaJetAdminConcatenada!$B:$B=CX$1), 0)), 1))),  0.5, 0))</f>
        <v>0</v>
      </c>
      <c r="CY34" s="47">
        <f t="array" ref="CY34">IF(AND(ISNUMBER(MATCH(CY$2, AsistenciaJetAdminConcatenada!$A:$A, 0)), ISNUMBER(MATCH(CY$1, AsistenciaJetAdminConcatenada!$B:$B, 0)), ISNUMBER(SEARCH($A34,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ISNUMBER(SEARCH($A34, INDEX(AsistenciaJetAdminConcatenada!$D:$D, MATCH(1, (AsistenciaJetAdminConcatenada!$A:$A=CY$2)*(AsistenciaJetAdminConcatenada!$B:$B=CY$1), 0)), 1))),  0.5, 0))</f>
        <v>0</v>
      </c>
      <c r="CZ34" s="47">
        <f t="array" ref="CZ34">IF(AND(ISNUMBER(MATCH(CZ$2, AsistenciaJetAdminConcatenada!$A:$A, 0)), ISNUMBER(MATCH(CZ$1, AsistenciaJetAdminConcatenada!$B:$B, 0)), ISNUMBER(SEARCH($A34,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ISNUMBER(SEARCH($A34, INDEX(AsistenciaJetAdminConcatenada!$D:$D, MATCH(1, (AsistenciaJetAdminConcatenada!$A:$A=CZ$2)*(AsistenciaJetAdminConcatenada!$B:$B=CZ$1), 0)), 1))),  0.5, 0))</f>
        <v>0</v>
      </c>
      <c r="DA34" s="47">
        <f t="array" ref="DA34">IF(AND(ISNUMBER(MATCH(DA$2, AsistenciaJetAdminConcatenada!$A:$A, 0)), ISNUMBER(MATCH(DA$1, AsistenciaJetAdminConcatenada!$B:$B, 0)), ISNUMBER(SEARCH($A34,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ISNUMBER(SEARCH($A34, INDEX(AsistenciaJetAdminConcatenada!$D:$D, MATCH(1, (AsistenciaJetAdminConcatenada!$A:$A=DA$2)*(AsistenciaJetAdminConcatenada!$B:$B=DA$1), 0)), 1))),  0.5, 0))</f>
        <v>0</v>
      </c>
      <c r="DB34" s="47">
        <f t="array" ref="DB34">IF(AND(ISNUMBER(MATCH(DB$2, AsistenciaJetAdminConcatenada!$A:$A, 0)), ISNUMBER(MATCH(DB$1, AsistenciaJetAdminConcatenada!$B:$B, 0)), ISNUMBER(SEARCH($A34,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ISNUMBER(SEARCH($A34, INDEX(AsistenciaJetAdminConcatenada!$D:$D, MATCH(1, (AsistenciaJetAdminConcatenada!$A:$A=DB$2)*(AsistenciaJetAdminConcatenada!$B:$B=DB$1), 0)), 1))),  0.5, 0))</f>
        <v>0</v>
      </c>
      <c r="DC34" s="47">
        <f t="array" ref="DC34">IF(AND(ISNUMBER(MATCH(DC$2, AsistenciaJetAdminConcatenada!$A:$A, 0)), ISNUMBER(MATCH(DC$1, AsistenciaJetAdminConcatenada!$B:$B, 0)), ISNUMBER(SEARCH($A34,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ISNUMBER(SEARCH($A34, INDEX(AsistenciaJetAdminConcatenada!$D:$D, MATCH(1, (AsistenciaJetAdminConcatenada!$A:$A=DC$2)*(AsistenciaJetAdminConcatenada!$B:$B=DC$1), 0)), 1))),  0.5, 0))</f>
        <v>0</v>
      </c>
      <c r="DD34" s="47">
        <f t="array" ref="DD34">IF(AND(ISNUMBER(MATCH(DD$2, AsistenciaJetAdminConcatenada!$A:$A, 0)), ISNUMBER(MATCH(DD$1, AsistenciaJetAdminConcatenada!$B:$B, 0)), ISNUMBER(SEARCH($A34,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ISNUMBER(SEARCH($A34, INDEX(AsistenciaJetAdminConcatenada!$D:$D, MATCH(1, (AsistenciaJetAdminConcatenada!$A:$A=DD$2)*(AsistenciaJetAdminConcatenada!$B:$B=DD$1), 0)), 1))),  0.5, 0))</f>
        <v>0</v>
      </c>
      <c r="DE34" s="47">
        <f t="array" ref="DE34">IF(AND(ISNUMBER(MATCH(DE$2, AsistenciaJetAdminConcatenada!$A:$A, 0)), ISNUMBER(MATCH(DE$1, AsistenciaJetAdminConcatenada!$B:$B, 0)), ISNUMBER(SEARCH($A34,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ISNUMBER(SEARCH($A34, INDEX(AsistenciaJetAdminConcatenada!$D:$D, MATCH(1, (AsistenciaJetAdminConcatenada!$A:$A=DE$2)*(AsistenciaJetAdminConcatenada!$B:$B=DE$1), 0)), 1))),  0.5, 0))</f>
        <v>0</v>
      </c>
      <c r="DF34" s="47">
        <f t="array" ref="DF34">IF(AND(ISNUMBER(MATCH(DF$2, AsistenciaJetAdminConcatenada!$A:$A, 0)), ISNUMBER(MATCH(DF$1, AsistenciaJetAdminConcatenada!$B:$B, 0)), ISNUMBER(SEARCH($A34,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ISNUMBER(SEARCH($A34, INDEX(AsistenciaJetAdminConcatenada!$D:$D, MATCH(1, (AsistenciaJetAdminConcatenada!$A:$A=DF$2)*(AsistenciaJetAdminConcatenada!$B:$B=DF$1), 0)), 1))),  0.5, 0))</f>
        <v>0</v>
      </c>
      <c r="DG34" s="47">
        <f t="array" ref="DG34">IF(AND(ISNUMBER(MATCH(DG$2, AsistenciaJetAdminConcatenada!$A:$A, 0)), ISNUMBER(MATCH(DG$1, AsistenciaJetAdminConcatenada!$B:$B, 0)), ISNUMBER(SEARCH($A34,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ISNUMBER(SEARCH($A34, INDEX(AsistenciaJetAdminConcatenada!$D:$D, MATCH(1, (AsistenciaJetAdminConcatenada!$A:$A=DG$2)*(AsistenciaJetAdminConcatenada!$B:$B=DG$1), 0)), 1))),  0.5, 0))</f>
        <v>0</v>
      </c>
      <c r="DH34" s="47">
        <f t="array" ref="DH34">IF(AND(ISNUMBER(MATCH(DH$2, AsistenciaJetAdminConcatenada!$A:$A, 0)), ISNUMBER(MATCH(DH$1, AsistenciaJetAdminConcatenada!$B:$B, 0)), ISNUMBER(SEARCH($A34,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ISNUMBER(SEARCH($A34, INDEX(AsistenciaJetAdminConcatenada!$D:$D, MATCH(1, (AsistenciaJetAdminConcatenada!$A:$A=DH$2)*(AsistenciaJetAdminConcatenada!$B:$B=DH$1), 0)), 1))),  0.5, 0))</f>
        <v>0</v>
      </c>
      <c r="DI34" s="47">
        <f t="array" ref="DI34">IF(AND(ISNUMBER(MATCH(DI$2, AsistenciaJetAdminConcatenada!$A:$A, 0)), ISNUMBER(MATCH(DI$1, AsistenciaJetAdminConcatenada!$B:$B, 0)), ISNUMBER(SEARCH($A34,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ISNUMBER(SEARCH($A34, INDEX(AsistenciaJetAdminConcatenada!$D:$D, MATCH(1, (AsistenciaJetAdminConcatenada!$A:$A=DI$2)*(AsistenciaJetAdminConcatenada!$B:$B=DI$1), 0)), 1))),  0.5, 0))</f>
        <v>0</v>
      </c>
      <c r="DJ34" s="47">
        <f t="array" ref="DJ34">IF(AND(ISNUMBER(MATCH(DJ$2, AsistenciaJetAdminConcatenada!$A:$A, 0)), ISNUMBER(MATCH(DJ$1, AsistenciaJetAdminConcatenada!$B:$B, 0)), ISNUMBER(SEARCH($A34,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ISNUMBER(SEARCH($A34, INDEX(AsistenciaJetAdminConcatenada!$D:$D, MATCH(1, (AsistenciaJetAdminConcatenada!$A:$A=DJ$2)*(AsistenciaJetAdminConcatenada!$B:$B=DJ$1), 0)), 1))),  0.5, 0))</f>
        <v>0</v>
      </c>
      <c r="DK34" s="47">
        <f t="array" ref="DK34">IF(AND(ISNUMBER(MATCH(DK$2, AsistenciaJetAdminConcatenada!$A:$A, 0)), ISNUMBER(MATCH(DK$1, AsistenciaJetAdminConcatenada!$B:$B, 0)), ISNUMBER(SEARCH($A34,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ISNUMBER(SEARCH($A34, INDEX(AsistenciaJetAdminConcatenada!$D:$D, MATCH(1, (AsistenciaJetAdminConcatenada!$A:$A=DK$2)*(AsistenciaJetAdminConcatenada!$B:$B=DK$1), 0)), 1))),  0.5, 0))</f>
        <v>0</v>
      </c>
      <c r="DL34" s="47">
        <f t="array" ref="DL34">IF(AND(ISNUMBER(MATCH(DL$2, AsistenciaJetAdminConcatenada!$A:$A, 0)), ISNUMBER(MATCH(DL$1, AsistenciaJetAdminConcatenada!$B:$B, 0)), ISNUMBER(SEARCH($A34,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ISNUMBER(SEARCH($A34, INDEX(AsistenciaJetAdminConcatenada!$D:$D, MATCH(1, (AsistenciaJetAdminConcatenada!$A:$A=DL$2)*(AsistenciaJetAdminConcatenada!$B:$B=DL$1), 0)), 1))),  0.5, 0))</f>
        <v>0</v>
      </c>
      <c r="DM34" s="47">
        <f t="array" ref="DM34">IF(AND(ISNUMBER(MATCH(DM$2, AsistenciaJetAdminConcatenada!$A:$A, 0)), ISNUMBER(MATCH(DM$1, AsistenciaJetAdminConcatenada!$B:$B, 0)), ISNUMBER(SEARCH($A34,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ISNUMBER(SEARCH($A34, INDEX(AsistenciaJetAdminConcatenada!$D:$D, MATCH(1, (AsistenciaJetAdminConcatenada!$A:$A=DM$2)*(AsistenciaJetAdminConcatenada!$B:$B=DM$1), 0)), 1))),  0.5, 0))</f>
        <v>0</v>
      </c>
      <c r="DN34" s="47">
        <f t="array" ref="DN34">IF(AND(ISNUMBER(MATCH(DN$2, AsistenciaJetAdminConcatenada!$A:$A, 0)), ISNUMBER(MATCH(DN$1, AsistenciaJetAdminConcatenada!$B:$B, 0)), ISNUMBER(SEARCH($A34,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ISNUMBER(SEARCH($A34, INDEX(AsistenciaJetAdminConcatenada!$D:$D, MATCH(1, (AsistenciaJetAdminConcatenada!$A:$A=DN$2)*(AsistenciaJetAdminConcatenada!$B:$B=DN$1), 0)), 1))),  0.5, 0))</f>
        <v>0</v>
      </c>
      <c r="DO34" s="47">
        <f t="array" ref="DO34">IF(AND(ISNUMBER(MATCH(DO$2, AsistenciaJetAdminConcatenada!$A:$A, 0)), ISNUMBER(MATCH(DO$1, AsistenciaJetAdminConcatenada!$B:$B, 0)), ISNUMBER(SEARCH($A34,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ISNUMBER(SEARCH($A34, INDEX(AsistenciaJetAdminConcatenada!$D:$D, MATCH(1, (AsistenciaJetAdminConcatenada!$A:$A=DO$2)*(AsistenciaJetAdminConcatenada!$B:$B=DO$1), 0)), 1))),  0.5, 0))</f>
        <v>0</v>
      </c>
      <c r="DP34" s="47">
        <f t="array" ref="DP34">IF(AND(ISNUMBER(MATCH(DP$2, AsistenciaJetAdminConcatenada!$A:$A, 0)), ISNUMBER(MATCH(DP$1, AsistenciaJetAdminConcatenada!$B:$B, 0)), ISNUMBER(SEARCH($A34,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ISNUMBER(SEARCH($A34, INDEX(AsistenciaJetAdminConcatenada!$D:$D, MATCH(1, (AsistenciaJetAdminConcatenada!$A:$A=DP$2)*(AsistenciaJetAdminConcatenada!$B:$B=DP$1), 0)), 1))),  0.5, 0))</f>
        <v>0</v>
      </c>
      <c r="DQ34" s="47">
        <f t="array" ref="DQ34">IF(AND(ISNUMBER(MATCH(DQ$2, AsistenciaJetAdminConcatenada!$A:$A, 0)), ISNUMBER(MATCH(DQ$1, AsistenciaJetAdminConcatenada!$B:$B, 0)), ISNUMBER(SEARCH($A34,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ISNUMBER(SEARCH($A34, INDEX(AsistenciaJetAdminConcatenada!$D:$D, MATCH(1, (AsistenciaJetAdminConcatenada!$A:$A=DQ$2)*(AsistenciaJetAdminConcatenada!$B:$B=DQ$1), 0)), 1))),  0.5, 0))</f>
        <v>0</v>
      </c>
      <c r="DR34" s="47">
        <f t="array" ref="DR34">IF(AND(ISNUMBER(MATCH(DR$2, AsistenciaJetAdminConcatenada!$A:$A, 0)), ISNUMBER(MATCH(DR$1, AsistenciaJetAdminConcatenada!$B:$B, 0)), ISNUMBER(SEARCH($A34,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ISNUMBER(SEARCH($A34, INDEX(AsistenciaJetAdminConcatenada!$D:$D, MATCH(1, (AsistenciaJetAdminConcatenada!$A:$A=DR$2)*(AsistenciaJetAdminConcatenada!$B:$B=DR$1), 0)), 1))),  0.5, 0))</f>
        <v>0</v>
      </c>
      <c r="DS34" s="47">
        <f t="array" ref="DS34">IF(AND(ISNUMBER(MATCH(DS$2, AsistenciaJetAdminConcatenada!$A:$A, 0)), ISNUMBER(MATCH(DS$1, AsistenciaJetAdminConcatenada!$B:$B, 0)), ISNUMBER(SEARCH($A34,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ISNUMBER(SEARCH($A34, INDEX(AsistenciaJetAdminConcatenada!$D:$D, MATCH(1, (AsistenciaJetAdminConcatenada!$A:$A=DS$2)*(AsistenciaJetAdminConcatenada!$B:$B=DS$1), 0)), 1))),  0.5, 0))</f>
        <v>0</v>
      </c>
      <c r="DT34" s="47">
        <f t="array" ref="DT34">IF(AND(ISNUMBER(MATCH(DT$2, AsistenciaJetAdminConcatenada!$A:$A, 0)), ISNUMBER(MATCH(DT$1, AsistenciaJetAdminConcatenada!$B:$B, 0)), ISNUMBER(SEARCH($A34,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ISNUMBER(SEARCH($A34, INDEX(AsistenciaJetAdminConcatenada!$D:$D, MATCH(1, (AsistenciaJetAdminConcatenada!$A:$A=DT$2)*(AsistenciaJetAdminConcatenada!$B:$B=DT$1), 0)), 1))),  0.5, 0))</f>
        <v>0</v>
      </c>
      <c r="DU34" s="47">
        <f t="array" ref="DU34">IF(AND(ISNUMBER(MATCH(DU$2, AsistenciaJetAdminConcatenada!$A:$A, 0)), ISNUMBER(MATCH(DU$1, AsistenciaJetAdminConcatenada!$B:$B, 0)), ISNUMBER(SEARCH($A34,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ISNUMBER(SEARCH($A34, INDEX(AsistenciaJetAdminConcatenada!$D:$D, MATCH(1, (AsistenciaJetAdminConcatenada!$A:$A=DU$2)*(AsistenciaJetAdminConcatenada!$B:$B=DU$1), 0)), 1))),  0.5, 0))</f>
        <v>0</v>
      </c>
      <c r="DV34" s="47">
        <f t="array" ref="DV34">IF(AND(ISNUMBER(MATCH(DV$2, AsistenciaJetAdminConcatenada!$A:$A, 0)), ISNUMBER(MATCH(DV$1, AsistenciaJetAdminConcatenada!$B:$B, 0)), ISNUMBER(SEARCH($A34,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ISNUMBER(SEARCH($A34, INDEX(AsistenciaJetAdminConcatenada!$D:$D, MATCH(1, (AsistenciaJetAdminConcatenada!$A:$A=DV$2)*(AsistenciaJetAdminConcatenada!$B:$B=DV$1), 0)), 1))),  0.5, 0))</f>
        <v>0</v>
      </c>
      <c r="DW34" s="47">
        <f t="array" ref="DW34">IF(AND(ISNUMBER(MATCH(DW$2, AsistenciaJetAdminConcatenada!$A:$A, 0)), ISNUMBER(MATCH(DW$1, AsistenciaJetAdminConcatenada!$B:$B, 0)), ISNUMBER(SEARCH($A34,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ISNUMBER(SEARCH($A34, INDEX(AsistenciaJetAdminConcatenada!$D:$D, MATCH(1, (AsistenciaJetAdminConcatenada!$A:$A=DW$2)*(AsistenciaJetAdminConcatenada!$B:$B=DW$1), 0)), 1))),  0.5, 0))</f>
        <v>0</v>
      </c>
      <c r="DX34" s="47">
        <f t="array" ref="DX34">IF(AND(ISNUMBER(MATCH(DX$2, AsistenciaJetAdminConcatenada!$A:$A, 0)), ISNUMBER(MATCH(DX$1, AsistenciaJetAdminConcatenada!$B:$B, 0)), ISNUMBER(SEARCH($A34,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ISNUMBER(SEARCH($A34, INDEX(AsistenciaJetAdminConcatenada!$D:$D, MATCH(1, (AsistenciaJetAdminConcatenada!$A:$A=DX$2)*(AsistenciaJetAdminConcatenada!$B:$B=DX$1), 0)), 1))),  0.5, 0))</f>
        <v>0</v>
      </c>
      <c r="DY34" s="47">
        <f t="array" ref="DY34">IF(AND(ISNUMBER(MATCH(DY$2, AsistenciaJetAdminConcatenada!$A:$A, 0)), ISNUMBER(MATCH(DY$1, AsistenciaJetAdminConcatenada!$B:$B, 0)), ISNUMBER(SEARCH($A34,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ISNUMBER(SEARCH($A34, INDEX(AsistenciaJetAdminConcatenada!$D:$D, MATCH(1, (AsistenciaJetAdminConcatenada!$A:$A=DY$2)*(AsistenciaJetAdminConcatenada!$B:$B=DY$1), 0)), 1))),  0.5, 0))</f>
        <v>0</v>
      </c>
      <c r="DZ34" s="47">
        <f t="array" ref="DZ34">IF(AND(ISNUMBER(MATCH(DZ$2, AsistenciaJetAdminConcatenada!$A:$A, 0)), ISNUMBER(MATCH(DZ$1, AsistenciaJetAdminConcatenada!$B:$B, 0)), ISNUMBER(SEARCH($A34,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ISNUMBER(SEARCH($A34, INDEX(AsistenciaJetAdminConcatenada!$D:$D, MATCH(1, (AsistenciaJetAdminConcatenada!$A:$A=DZ$2)*(AsistenciaJetAdminConcatenada!$B:$B=DZ$1), 0)), 1))),  0.5, 0))</f>
        <v>0</v>
      </c>
      <c r="EA34" s="47">
        <f t="array" ref="EA34">IF(AND(ISNUMBER(MATCH(EA$2, AsistenciaJetAdminConcatenada!$A:$A, 0)), ISNUMBER(MATCH(EA$1, AsistenciaJetAdminConcatenada!$B:$B, 0)), ISNUMBER(SEARCH($A34,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ISNUMBER(SEARCH($A34, INDEX(AsistenciaJetAdminConcatenada!$D:$D, MATCH(1, (AsistenciaJetAdminConcatenada!$A:$A=EA$2)*(AsistenciaJetAdminConcatenada!$B:$B=EA$1), 0)), 1))),  0.5, 0))</f>
        <v>0</v>
      </c>
      <c r="EB34" s="47">
        <f t="array" ref="EB34">IF(AND(ISNUMBER(MATCH(EB$2, AsistenciaJetAdminConcatenada!$A:$A, 0)), ISNUMBER(MATCH(EB$1, AsistenciaJetAdminConcatenada!$B:$B, 0)), ISNUMBER(SEARCH($A34,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ISNUMBER(SEARCH($A34, INDEX(AsistenciaJetAdminConcatenada!$D:$D, MATCH(1, (AsistenciaJetAdminConcatenada!$A:$A=EB$2)*(AsistenciaJetAdminConcatenada!$B:$B=EB$1), 0)), 1))),  0.5, 0))</f>
        <v>0</v>
      </c>
      <c r="EC34" s="47">
        <f t="array" ref="EC34">IF(AND(ISNUMBER(MATCH(EC$2, AsistenciaJetAdminConcatenada!$A:$A, 0)), ISNUMBER(MATCH(EC$1, AsistenciaJetAdminConcatenada!$B:$B, 0)), ISNUMBER(SEARCH($A34,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ISNUMBER(SEARCH($A34, INDEX(AsistenciaJetAdminConcatenada!$D:$D, MATCH(1, (AsistenciaJetAdminConcatenada!$A:$A=EC$2)*(AsistenciaJetAdminConcatenada!$B:$B=EC$1), 0)), 1))),  0.5, 0))</f>
        <v>0</v>
      </c>
      <c r="ED34" s="47">
        <f t="array" ref="ED34">IF(AND(ISNUMBER(MATCH(ED$2, AsistenciaJetAdminConcatenada!$A:$A, 0)), ISNUMBER(MATCH(ED$1, AsistenciaJetAdminConcatenada!$B:$B, 0)), ISNUMBER(SEARCH($A34,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ISNUMBER(SEARCH($A34, INDEX(AsistenciaJetAdminConcatenada!$D:$D, MATCH(1, (AsistenciaJetAdminConcatenada!$A:$A=ED$2)*(AsistenciaJetAdminConcatenada!$B:$B=ED$1), 0)), 1))),  0.5, 0))</f>
        <v>0</v>
      </c>
      <c r="EE34" s="47">
        <f t="array" ref="EE34">IF(AND(ISNUMBER(MATCH(EE$2, AsistenciaJetAdminConcatenada!$A:$A, 0)), ISNUMBER(MATCH(EE$1, AsistenciaJetAdminConcatenada!$B:$B, 0)), ISNUMBER(SEARCH($A34,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ISNUMBER(SEARCH($A34, INDEX(AsistenciaJetAdminConcatenada!$D:$D, MATCH(1, (AsistenciaJetAdminConcatenada!$A:$A=EE$2)*(AsistenciaJetAdminConcatenada!$B:$B=EE$1), 0)), 1))),  0.5, 0))</f>
        <v>0</v>
      </c>
      <c r="EF34" s="47">
        <f t="array" ref="EF34">IF(AND(ISNUMBER(MATCH(EF$2, AsistenciaJetAdminConcatenada!$A:$A, 0)), ISNUMBER(MATCH(EF$1, AsistenciaJetAdminConcatenada!$B:$B, 0)), ISNUMBER(SEARCH($A34,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ISNUMBER(SEARCH($A34, INDEX(AsistenciaJetAdminConcatenada!$D:$D, MATCH(1, (AsistenciaJetAdminConcatenada!$A:$A=EF$2)*(AsistenciaJetAdminConcatenada!$B:$B=EF$1), 0)), 1))),  0.5, 0))</f>
        <v>0</v>
      </c>
      <c r="EG34" s="47">
        <f t="array" ref="EG34">IF(AND(ISNUMBER(MATCH(EG$2, AsistenciaJetAdminConcatenada!$A:$A, 0)), ISNUMBER(MATCH(EG$1, AsistenciaJetAdminConcatenada!$B:$B, 0)), ISNUMBER(SEARCH($A34,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ISNUMBER(SEARCH($A34, INDEX(AsistenciaJetAdminConcatenada!$D:$D, MATCH(1, (AsistenciaJetAdminConcatenada!$A:$A=EG$2)*(AsistenciaJetAdminConcatenada!$B:$B=EG$1), 0)), 1))),  0.5, 0))</f>
        <v>0</v>
      </c>
      <c r="EH34" s="47">
        <f t="array" ref="EH34">IF(AND(ISNUMBER(MATCH(EH$2, AsistenciaJetAdminConcatenada!$A:$A, 0)), ISNUMBER(MATCH(EH$1, AsistenciaJetAdminConcatenada!$B:$B, 0)), ISNUMBER(SEARCH($A34,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ISNUMBER(SEARCH($A34, INDEX(AsistenciaJetAdminConcatenada!$D:$D, MATCH(1, (AsistenciaJetAdminConcatenada!$A:$A=EH$2)*(AsistenciaJetAdminConcatenada!$B:$B=EH$1), 0)), 1))),  0.5, 0))</f>
        <v>0</v>
      </c>
      <c r="EI34" s="47">
        <f t="array" ref="EI34">IF(AND(ISNUMBER(MATCH(EI$2, AsistenciaJetAdminConcatenada!$A:$A, 0)), ISNUMBER(MATCH(EI$1, AsistenciaJetAdminConcatenada!$B:$B, 0)), ISNUMBER(SEARCH($A34,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ISNUMBER(SEARCH($A34, INDEX(AsistenciaJetAdminConcatenada!$D:$D, MATCH(1, (AsistenciaJetAdminConcatenada!$A:$A=EI$2)*(AsistenciaJetAdminConcatenada!$B:$B=EI$1), 0)), 1))),  0.5, 0))</f>
        <v>0</v>
      </c>
      <c r="EJ34" s="47">
        <f t="array" ref="EJ34">IF(AND(ISNUMBER(MATCH(EJ$2, AsistenciaJetAdminConcatenada!$A:$A, 0)), ISNUMBER(MATCH(EJ$1, AsistenciaJetAdminConcatenada!$B:$B, 0)), ISNUMBER(SEARCH($A34,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ISNUMBER(SEARCH($A34, INDEX(AsistenciaJetAdminConcatenada!$D:$D, MATCH(1, (AsistenciaJetAdminConcatenada!$A:$A=EJ$2)*(AsistenciaJetAdminConcatenada!$B:$B=EJ$1), 0)), 1))),  0.5, 0))</f>
        <v>0</v>
      </c>
      <c r="EK34" s="47">
        <f t="array" ref="EK34">IF(AND(ISNUMBER(MATCH(EK$2, AsistenciaJetAdminConcatenada!$A:$A, 0)), ISNUMBER(MATCH(EK$1, AsistenciaJetAdminConcatenada!$B:$B, 0)), ISNUMBER(SEARCH($A34,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ISNUMBER(SEARCH($A34, INDEX(AsistenciaJetAdminConcatenada!$D:$D, MATCH(1, (AsistenciaJetAdminConcatenada!$A:$A=EK$2)*(AsistenciaJetAdminConcatenada!$B:$B=EK$1), 0)), 1))),  0.5, 0))</f>
        <v>0</v>
      </c>
      <c r="EL34" s="47">
        <f t="array" ref="EL34">IF(AND(ISNUMBER(MATCH(EL$2, AsistenciaJetAdminConcatenada!$A:$A, 0)), ISNUMBER(MATCH(EL$1, AsistenciaJetAdminConcatenada!$B:$B, 0)), ISNUMBER(SEARCH($A34,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ISNUMBER(SEARCH($A34, INDEX(AsistenciaJetAdminConcatenada!$D:$D, MATCH(1, (AsistenciaJetAdminConcatenada!$A:$A=EL$2)*(AsistenciaJetAdminConcatenada!$B:$B=EL$1), 0)), 1))),  0.5, 0))</f>
        <v>0</v>
      </c>
      <c r="EM34" s="47">
        <f t="array" ref="EM34">IF(AND(ISNUMBER(MATCH(EM$2, AsistenciaJetAdminConcatenada!$A:$A, 0)), ISNUMBER(MATCH(EM$1, AsistenciaJetAdminConcatenada!$B:$B, 0)), ISNUMBER(SEARCH($A34,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ISNUMBER(SEARCH($A34, INDEX(AsistenciaJetAdminConcatenada!$D:$D, MATCH(1, (AsistenciaJetAdminConcatenada!$A:$A=EM$2)*(AsistenciaJetAdminConcatenada!$B:$B=EM$1), 0)), 1))),  0.5, 0))</f>
        <v>0</v>
      </c>
      <c r="EN34" s="47">
        <f t="array" ref="EN34">IF(AND(ISNUMBER(MATCH(EN$2, AsistenciaJetAdminConcatenada!$A:$A, 0)), ISNUMBER(MATCH(EN$1, AsistenciaJetAdminConcatenada!$B:$B, 0)), ISNUMBER(SEARCH($A34,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ISNUMBER(SEARCH($A34, INDEX(AsistenciaJetAdminConcatenada!$D:$D, MATCH(1, (AsistenciaJetAdminConcatenada!$A:$A=EN$2)*(AsistenciaJetAdminConcatenada!$B:$B=EN$1), 0)), 1))),  0.5, 0))</f>
        <v>0</v>
      </c>
      <c r="EO34" s="47">
        <f t="array" ref="EO34">IF(AND(ISNUMBER(MATCH(EO$2, AsistenciaJetAdminConcatenada!$A:$A, 0)), ISNUMBER(MATCH(EO$1, AsistenciaJetAdminConcatenada!$B:$B, 0)), ISNUMBER(SEARCH($A34,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ISNUMBER(SEARCH($A34, INDEX(AsistenciaJetAdminConcatenada!$D:$D, MATCH(1, (AsistenciaJetAdminConcatenada!$A:$A=EO$2)*(AsistenciaJetAdminConcatenada!$B:$B=EO$1), 0)), 1))),  0.5, 0))</f>
        <v>0</v>
      </c>
      <c r="EP34" s="47">
        <f t="array" ref="EP34">IF(AND(ISNUMBER(MATCH(EP$2, AsistenciaJetAdminConcatenada!$A:$A, 0)), ISNUMBER(MATCH(EP$1, AsistenciaJetAdminConcatenada!$B:$B, 0)), ISNUMBER(SEARCH($A34,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ISNUMBER(SEARCH($A34, INDEX(AsistenciaJetAdminConcatenada!$D:$D, MATCH(1, (AsistenciaJetAdminConcatenada!$A:$A=EP$2)*(AsistenciaJetAdminConcatenada!$B:$B=EP$1), 0)), 1))),  0.5, 0))</f>
        <v>0</v>
      </c>
      <c r="EQ34" s="47">
        <f t="array" ref="EQ34">IF(AND(ISNUMBER(MATCH(EQ$2, AsistenciaJetAdminConcatenada!$A:$A, 0)), ISNUMBER(MATCH(EQ$1, AsistenciaJetAdminConcatenada!$B:$B, 0)), ISNUMBER(SEARCH($A34,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ISNUMBER(SEARCH($A34, INDEX(AsistenciaJetAdminConcatenada!$D:$D, MATCH(1, (AsistenciaJetAdminConcatenada!$A:$A=EQ$2)*(AsistenciaJetAdminConcatenada!$B:$B=EQ$1), 0)), 1))),  0.5, 0))</f>
        <v>0</v>
      </c>
      <c r="ER34" s="47">
        <f t="array" ref="ER34">IF(AND(ISNUMBER(MATCH(ER$2, AsistenciaJetAdminConcatenada!$A:$A, 0)), ISNUMBER(MATCH(ER$1, AsistenciaJetAdminConcatenada!$B:$B, 0)), ISNUMBER(SEARCH($A34,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ISNUMBER(SEARCH($A34, INDEX(AsistenciaJetAdminConcatenada!$D:$D, MATCH(1, (AsistenciaJetAdminConcatenada!$A:$A=ER$2)*(AsistenciaJetAdminConcatenada!$B:$B=ER$1), 0)), 1))),  0.5, 0))</f>
        <v>0</v>
      </c>
      <c r="ES34" s="47">
        <f t="array" ref="ES34">IF(AND(ISNUMBER(MATCH(ES$2, AsistenciaJetAdminConcatenada!$A:$A, 0)), ISNUMBER(MATCH(ES$1, AsistenciaJetAdminConcatenada!$B:$B, 0)), ISNUMBER(SEARCH($A34,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ISNUMBER(SEARCH($A34, INDEX(AsistenciaJetAdminConcatenada!$D:$D, MATCH(1, (AsistenciaJetAdminConcatenada!$A:$A=ES$2)*(AsistenciaJetAdminConcatenada!$B:$B=ES$1), 0)), 1))),  0.5, 0))</f>
        <v>0</v>
      </c>
      <c r="ET34" s="47">
        <f t="array" ref="ET34">IF(AND(ISNUMBER(MATCH(ET$2, AsistenciaJetAdminConcatenada!$A:$A, 0)), ISNUMBER(MATCH(ET$1, AsistenciaJetAdminConcatenada!$B:$B, 0)), ISNUMBER(SEARCH($A34,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ISNUMBER(SEARCH($A34, INDEX(AsistenciaJetAdminConcatenada!$D:$D, MATCH(1, (AsistenciaJetAdminConcatenada!$A:$A=ET$2)*(AsistenciaJetAdminConcatenada!$B:$B=ET$1), 0)), 1))),  0.5, 0))</f>
        <v>0</v>
      </c>
      <c r="EU34" s="47">
        <f t="array" ref="EU34">IF(AND(ISNUMBER(MATCH(EU$2, AsistenciaJetAdminConcatenada!$A:$A, 0)), ISNUMBER(MATCH(EU$1, AsistenciaJetAdminConcatenada!$B:$B, 0)), ISNUMBER(SEARCH($A34,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ISNUMBER(SEARCH($A34, INDEX(AsistenciaJetAdminConcatenada!$D:$D, MATCH(1, (AsistenciaJetAdminConcatenada!$A:$A=EU$2)*(AsistenciaJetAdminConcatenada!$B:$B=EU$1), 0)), 1))),  0.5, 0))</f>
        <v>0</v>
      </c>
      <c r="EV34" s="47">
        <f t="array" ref="EV34">IF(AND(ISNUMBER(MATCH(EV$2, AsistenciaJetAdminConcatenada!$A:$A, 0)), ISNUMBER(MATCH(EV$1, AsistenciaJetAdminConcatenada!$B:$B, 0)), ISNUMBER(SEARCH($A34,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ISNUMBER(SEARCH($A34, INDEX(AsistenciaJetAdminConcatenada!$D:$D, MATCH(1, (AsistenciaJetAdminConcatenada!$A:$A=EV$2)*(AsistenciaJetAdminConcatenada!$B:$B=EV$1), 0)), 1))),  0.5, 0))</f>
        <v>0</v>
      </c>
      <c r="EW34" s="47">
        <f t="array" ref="EW34">IF(AND(ISNUMBER(MATCH(EW$2, AsistenciaJetAdminConcatenada!$A:$A, 0)), ISNUMBER(MATCH(EW$1, AsistenciaJetAdminConcatenada!$B:$B, 0)), ISNUMBER(SEARCH($A34,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ISNUMBER(SEARCH($A34, INDEX(AsistenciaJetAdminConcatenada!$D:$D, MATCH(1, (AsistenciaJetAdminConcatenada!$A:$A=EW$2)*(AsistenciaJetAdminConcatenada!$B:$B=EW$1), 0)), 1))),  0.5, 0))</f>
        <v>0</v>
      </c>
      <c r="EX34" s="47">
        <f t="array" ref="EX34">IF(AND(ISNUMBER(MATCH(EX$2, AsistenciaJetAdminConcatenada!$A:$A, 0)), ISNUMBER(MATCH(EX$1, AsistenciaJetAdminConcatenada!$B:$B, 0)), ISNUMBER(SEARCH($A34,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ISNUMBER(SEARCH($A34, INDEX(AsistenciaJetAdminConcatenada!$D:$D, MATCH(1, (AsistenciaJetAdminConcatenada!$A:$A=EX$2)*(AsistenciaJetAdminConcatenada!$B:$B=EX$1), 0)), 1))),  0.5, 0))</f>
        <v>0</v>
      </c>
      <c r="EY34" s="47">
        <f t="array" ref="EY34">IF(AND(ISNUMBER(MATCH(EY$2, AsistenciaJetAdminConcatenada!$A:$A, 0)), ISNUMBER(MATCH(EY$1, AsistenciaJetAdminConcatenada!$B:$B, 0)), ISNUMBER(SEARCH($A34,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ISNUMBER(SEARCH($A34, INDEX(AsistenciaJetAdminConcatenada!$D:$D, MATCH(1, (AsistenciaJetAdminConcatenada!$A:$A=EY$2)*(AsistenciaJetAdminConcatenada!$B:$B=EY$1), 0)), 1))),  0.5, 0))</f>
        <v>0</v>
      </c>
      <c r="EZ34" s="47">
        <f t="array" ref="EZ34">IF(AND(ISNUMBER(MATCH(EZ$2, AsistenciaJetAdminConcatenada!$A:$A, 0)), ISNUMBER(MATCH(EZ$1, AsistenciaJetAdminConcatenada!$B:$B, 0)), ISNUMBER(SEARCH($A34,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ISNUMBER(SEARCH($A34, INDEX(AsistenciaJetAdminConcatenada!$D:$D, MATCH(1, (AsistenciaJetAdminConcatenada!$A:$A=EZ$2)*(AsistenciaJetAdminConcatenada!$B:$B=EZ$1), 0)), 1))),  0.5, 0))</f>
        <v>0</v>
      </c>
      <c r="FA34" s="47">
        <f t="array" ref="FA34">IF(AND(ISNUMBER(MATCH(FA$2, AsistenciaJetAdminConcatenada!$A:$A, 0)), ISNUMBER(MATCH(FA$1, AsistenciaJetAdminConcatenada!$B:$B, 0)), ISNUMBER(SEARCH($A34,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ISNUMBER(SEARCH($A34, INDEX(AsistenciaJetAdminConcatenada!$D:$D, MATCH(1, (AsistenciaJetAdminConcatenada!$A:$A=FA$2)*(AsistenciaJetAdminConcatenada!$B:$B=FA$1), 0)), 1))),  0.5, 0))</f>
        <v>0</v>
      </c>
      <c r="FB34" s="47">
        <f t="array" ref="FB34">IF(AND(ISNUMBER(MATCH(FB$2, AsistenciaJetAdminConcatenada!$A:$A, 0)), ISNUMBER(MATCH(FB$1, AsistenciaJetAdminConcatenada!$B:$B, 0)), ISNUMBER(SEARCH($A34,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ISNUMBER(SEARCH($A34, INDEX(AsistenciaJetAdminConcatenada!$D:$D, MATCH(1, (AsistenciaJetAdminConcatenada!$A:$A=FB$2)*(AsistenciaJetAdminConcatenada!$B:$B=FB$1), 0)), 1))),  0.5, 0))</f>
        <v>0</v>
      </c>
      <c r="FC34" s="47">
        <f t="array" ref="FC34">IF(AND(ISNUMBER(MATCH(FC$2, AsistenciaJetAdminConcatenada!$A:$A, 0)), ISNUMBER(MATCH(FC$1, AsistenciaJetAdminConcatenada!$B:$B, 0)), ISNUMBER(SEARCH($A34,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ISNUMBER(SEARCH($A34, INDEX(AsistenciaJetAdminConcatenada!$D:$D, MATCH(1, (AsistenciaJetAdminConcatenada!$A:$A=FC$2)*(AsistenciaJetAdminConcatenada!$B:$B=FC$1), 0)), 1))),  0.5, 0))</f>
        <v>0</v>
      </c>
      <c r="FD34" s="47">
        <f t="array" ref="FD34">IF(AND(ISNUMBER(MATCH(FD$2, AsistenciaJetAdminConcatenada!$A:$A, 0)), ISNUMBER(MATCH(FD$1, AsistenciaJetAdminConcatenada!$B:$B, 0)), ISNUMBER(SEARCH($A34,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ISNUMBER(SEARCH($A34, INDEX(AsistenciaJetAdminConcatenada!$D:$D, MATCH(1, (AsistenciaJetAdminConcatenada!$A:$A=FD$2)*(AsistenciaJetAdminConcatenada!$B:$B=FD$1), 0)), 1))),  0.5, 0))</f>
        <v>0</v>
      </c>
      <c r="FE34" s="47">
        <f t="array" ref="FE34">IF(AND(ISNUMBER(MATCH(FE$2, AsistenciaJetAdminConcatenada!$A:$A, 0)), ISNUMBER(MATCH(FE$1, AsistenciaJetAdminConcatenada!$B:$B, 0)), ISNUMBER(SEARCH($A34,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ISNUMBER(SEARCH($A34, INDEX(AsistenciaJetAdminConcatenada!$D:$D, MATCH(1, (AsistenciaJetAdminConcatenada!$A:$A=FE$2)*(AsistenciaJetAdminConcatenada!$B:$B=FE$1), 0)), 1))),  0.5, 0))</f>
        <v>0</v>
      </c>
      <c r="FF34" s="47">
        <f t="array" ref="FF34">IF(AND(ISNUMBER(MATCH(FF$2, AsistenciaJetAdminConcatenada!$A:$A, 0)), ISNUMBER(MATCH(FF$1, AsistenciaJetAdminConcatenada!$B:$B, 0)), ISNUMBER(SEARCH($A34,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ISNUMBER(SEARCH($A34, INDEX(AsistenciaJetAdminConcatenada!$D:$D, MATCH(1, (AsistenciaJetAdminConcatenada!$A:$A=FF$2)*(AsistenciaJetAdminConcatenada!$B:$B=FF$1), 0)), 1))),  0.5, 0))</f>
        <v>0</v>
      </c>
      <c r="FG34" s="47">
        <f t="array" ref="FG34">IF(AND(ISNUMBER(MATCH(FG$2, AsistenciaJetAdminConcatenada!$A:$A, 0)), ISNUMBER(MATCH(FG$1, AsistenciaJetAdminConcatenada!$B:$B, 0)), ISNUMBER(SEARCH($A34,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ISNUMBER(SEARCH($A34, INDEX(AsistenciaJetAdminConcatenada!$D:$D, MATCH(1, (AsistenciaJetAdminConcatenada!$A:$A=FG$2)*(AsistenciaJetAdminConcatenada!$B:$B=FG$1), 0)), 1))),  0.5, 0))</f>
        <v>0</v>
      </c>
      <c r="FH34" s="47">
        <f t="array" ref="FH34">IF(AND(ISNUMBER(MATCH(FH$2, AsistenciaJetAdminConcatenada!$A:$A, 0)), ISNUMBER(MATCH(FH$1, AsistenciaJetAdminConcatenada!$B:$B, 0)), ISNUMBER(SEARCH($A34,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ISNUMBER(SEARCH($A34, INDEX(AsistenciaJetAdminConcatenada!$D:$D, MATCH(1, (AsistenciaJetAdminConcatenada!$A:$A=FH$2)*(AsistenciaJetAdminConcatenada!$B:$B=FH$1), 0)), 1))),  0.5, 0))</f>
        <v>0</v>
      </c>
      <c r="FI34" s="47">
        <f t="array" ref="FI34">IF(AND(ISNUMBER(MATCH(FI$2, AsistenciaJetAdminConcatenada!$A:$A, 0)), ISNUMBER(MATCH(FI$1, AsistenciaJetAdminConcatenada!$B:$B, 0)), ISNUMBER(SEARCH($A34,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ISNUMBER(SEARCH($A34, INDEX(AsistenciaJetAdminConcatenada!$D:$D, MATCH(1, (AsistenciaJetAdminConcatenada!$A:$A=FI$2)*(AsistenciaJetAdminConcatenada!$B:$B=FI$1), 0)), 1))),  0.5, 0))</f>
        <v>0</v>
      </c>
      <c r="FJ34" s="47">
        <f t="array" ref="FJ34">IF(AND(ISNUMBER(MATCH(FJ$2, AsistenciaJetAdminConcatenada!$A:$A, 0)), ISNUMBER(MATCH(FJ$1, AsistenciaJetAdminConcatenada!$B:$B, 0)), ISNUMBER(SEARCH($A34,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ISNUMBER(SEARCH($A34, INDEX(AsistenciaJetAdminConcatenada!$D:$D, MATCH(1, (AsistenciaJetAdminConcatenada!$A:$A=FJ$2)*(AsistenciaJetAdminConcatenada!$B:$B=FJ$1), 0)), 1))),  0.5, 0))</f>
        <v>0</v>
      </c>
      <c r="FK34" s="47">
        <f t="array" ref="FK34">IF(AND(ISNUMBER(MATCH(FK$2, AsistenciaJetAdminConcatenada!$A:$A, 0)), ISNUMBER(MATCH(FK$1, AsistenciaJetAdminConcatenada!$B:$B, 0)), ISNUMBER(SEARCH($A34,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ISNUMBER(SEARCH($A34, INDEX(AsistenciaJetAdminConcatenada!$D:$D, MATCH(1, (AsistenciaJetAdminConcatenada!$A:$A=FK$2)*(AsistenciaJetAdminConcatenada!$B:$B=FK$1), 0)), 1))),  0.5, 0))</f>
        <v>0</v>
      </c>
      <c r="FL34" s="47">
        <f t="array" ref="FL34">IF(AND(ISNUMBER(MATCH(FL$2, AsistenciaJetAdminConcatenada!$A:$A, 0)), ISNUMBER(MATCH(FL$1, AsistenciaJetAdminConcatenada!$B:$B, 0)), ISNUMBER(SEARCH($A34,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ISNUMBER(SEARCH($A34, INDEX(AsistenciaJetAdminConcatenada!$D:$D, MATCH(1, (AsistenciaJetAdminConcatenada!$A:$A=FL$2)*(AsistenciaJetAdminConcatenada!$B:$B=FL$1), 0)), 1))),  0.5, 0))</f>
        <v>0</v>
      </c>
      <c r="FM34" s="47">
        <f t="array" ref="FM34">IF(AND(ISNUMBER(MATCH(FM$2, AsistenciaJetAdminConcatenada!$A:$A, 0)), ISNUMBER(MATCH(FM$1, AsistenciaJetAdminConcatenada!$B:$B, 0)), ISNUMBER(SEARCH($A34,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ISNUMBER(SEARCH($A34, INDEX(AsistenciaJetAdminConcatenada!$D:$D, MATCH(1, (AsistenciaJetAdminConcatenada!$A:$A=FM$2)*(AsistenciaJetAdminConcatenada!$B:$B=FM$1), 0)), 1))),  0.5, 0))</f>
        <v>0</v>
      </c>
      <c r="FN34" s="47">
        <f t="array" ref="FN34">IF(AND(ISNUMBER(MATCH(FN$2, AsistenciaJetAdminConcatenada!$A:$A, 0)), ISNUMBER(MATCH(FN$1, AsistenciaJetAdminConcatenada!$B:$B, 0)), ISNUMBER(SEARCH($A34,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ISNUMBER(SEARCH($A34, INDEX(AsistenciaJetAdminConcatenada!$D:$D, MATCH(1, (AsistenciaJetAdminConcatenada!$A:$A=FN$2)*(AsistenciaJetAdminConcatenada!$B:$B=FN$1), 0)), 1))),  0.5, 0))</f>
        <v>0</v>
      </c>
      <c r="FO34" s="47">
        <f t="array" ref="FO34">IF(AND(ISNUMBER(MATCH(FO$2, AsistenciaJetAdminConcatenada!$A:$A, 0)), ISNUMBER(MATCH(FO$1, AsistenciaJetAdminConcatenada!$B:$B, 0)), ISNUMBER(SEARCH($A34,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ISNUMBER(SEARCH($A34, INDEX(AsistenciaJetAdminConcatenada!$D:$D, MATCH(1, (AsistenciaJetAdminConcatenada!$A:$A=FO$2)*(AsistenciaJetAdminConcatenada!$B:$B=FO$1), 0)), 1))),  0.5, 0))</f>
        <v>0</v>
      </c>
      <c r="FP34" s="47">
        <f t="array" ref="FP34">IF(AND(ISNUMBER(MATCH(FP$2, AsistenciaJetAdminConcatenada!$A:$A, 0)), ISNUMBER(MATCH(FP$1, AsistenciaJetAdminConcatenada!$B:$B, 0)), ISNUMBER(SEARCH($A34,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ISNUMBER(SEARCH($A34, INDEX(AsistenciaJetAdminConcatenada!$D:$D, MATCH(1, (AsistenciaJetAdminConcatenada!$A:$A=FP$2)*(AsistenciaJetAdminConcatenada!$B:$B=FP$1), 0)), 1))),  0.5, 0))</f>
        <v>0</v>
      </c>
      <c r="FQ34" s="47">
        <f t="array" ref="FQ34">IF(AND(ISNUMBER(MATCH(FQ$2, AsistenciaJetAdminConcatenada!$A:$A, 0)), ISNUMBER(MATCH(FQ$1, AsistenciaJetAdminConcatenada!$B:$B, 0)), ISNUMBER(SEARCH($A34,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ISNUMBER(SEARCH($A34, INDEX(AsistenciaJetAdminConcatenada!$D:$D, MATCH(1, (AsistenciaJetAdminConcatenada!$A:$A=FQ$2)*(AsistenciaJetAdminConcatenada!$B:$B=FQ$1), 0)), 1))),  0.5, 0))</f>
        <v>0</v>
      </c>
      <c r="FR34" s="47">
        <f t="array" ref="FR34">IF(AND(ISNUMBER(MATCH(FR$2, AsistenciaJetAdminConcatenada!$A:$A, 0)), ISNUMBER(MATCH(FR$1, AsistenciaJetAdminConcatenada!$B:$B, 0)), ISNUMBER(SEARCH($A34,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ISNUMBER(SEARCH($A34, INDEX(AsistenciaJetAdminConcatenada!$D:$D, MATCH(1, (AsistenciaJetAdminConcatenada!$A:$A=FR$2)*(AsistenciaJetAdminConcatenada!$B:$B=FR$1), 0)), 1))),  0.5, 0))</f>
        <v>0</v>
      </c>
      <c r="FS34" s="47">
        <f t="array" ref="FS34">IF(AND(ISNUMBER(MATCH(FS$2, AsistenciaJetAdminConcatenada!$A:$A, 0)), ISNUMBER(MATCH(FS$1, AsistenciaJetAdminConcatenada!$B:$B, 0)), ISNUMBER(SEARCH($A34,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ISNUMBER(SEARCH($A34, INDEX(AsistenciaJetAdminConcatenada!$D:$D, MATCH(1, (AsistenciaJetAdminConcatenada!$A:$A=FS$2)*(AsistenciaJetAdminConcatenada!$B:$B=FS$1), 0)), 1))),  0.5, 0))</f>
        <v>0</v>
      </c>
      <c r="FT34" s="47">
        <f t="array" ref="FT34">IF(AND(ISNUMBER(MATCH(FT$2, AsistenciaJetAdminConcatenada!$A:$A, 0)), ISNUMBER(MATCH(FT$1, AsistenciaJetAdminConcatenada!$B:$B, 0)), ISNUMBER(SEARCH($A34,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ISNUMBER(SEARCH($A34, INDEX(AsistenciaJetAdminConcatenada!$D:$D, MATCH(1, (AsistenciaJetAdminConcatenada!$A:$A=FT$2)*(AsistenciaJetAdminConcatenada!$B:$B=FT$1), 0)), 1))),  0.5, 0))</f>
        <v>0</v>
      </c>
      <c r="FU34" s="47">
        <f t="array" ref="FU34">IF(AND(ISNUMBER(MATCH(FU$2, AsistenciaJetAdminConcatenada!$A:$A, 0)), ISNUMBER(MATCH(FU$1, AsistenciaJetAdminConcatenada!$B:$B, 0)), ISNUMBER(SEARCH($A34,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ISNUMBER(SEARCH($A34, INDEX(AsistenciaJetAdminConcatenada!$D:$D, MATCH(1, (AsistenciaJetAdminConcatenada!$A:$A=FU$2)*(AsistenciaJetAdminConcatenada!$B:$B=FU$1), 0)), 1))),  0.5, 0))</f>
        <v>0</v>
      </c>
      <c r="FV34" s="47">
        <f t="array" ref="FV34">IF(AND(ISNUMBER(MATCH(FV$2, AsistenciaJetAdminConcatenada!$A:$A, 0)), ISNUMBER(MATCH(FV$1, AsistenciaJetAdminConcatenada!$B:$B, 0)), ISNUMBER(SEARCH($A34,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ISNUMBER(SEARCH($A34, INDEX(AsistenciaJetAdminConcatenada!$D:$D, MATCH(1, (AsistenciaJetAdminConcatenada!$A:$A=FV$2)*(AsistenciaJetAdminConcatenada!$B:$B=FV$1), 0)), 1))),  0.5, 0))</f>
        <v>0</v>
      </c>
      <c r="FW34" s="47">
        <f t="array" ref="FW34">IF(AND(ISNUMBER(MATCH(FW$2, AsistenciaJetAdminConcatenada!$A:$A, 0)), ISNUMBER(MATCH(FW$1, AsistenciaJetAdminConcatenada!$B:$B, 0)), ISNUMBER(SEARCH($A34,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ISNUMBER(SEARCH($A34, INDEX(AsistenciaJetAdminConcatenada!$D:$D, MATCH(1, (AsistenciaJetAdminConcatenada!$A:$A=FW$2)*(AsistenciaJetAdminConcatenada!$B:$B=FW$1), 0)), 1))),  0.5, 0))</f>
        <v>0</v>
      </c>
      <c r="FX34" s="47">
        <f t="array" ref="FX34">IF(AND(ISNUMBER(MATCH(FX$2, AsistenciaJetAdminConcatenada!$A:$A, 0)), ISNUMBER(MATCH(FX$1, AsistenciaJetAdminConcatenada!$B:$B, 0)), ISNUMBER(SEARCH($A34,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ISNUMBER(SEARCH($A34, INDEX(AsistenciaJetAdminConcatenada!$D:$D, MATCH(1, (AsistenciaJetAdminConcatenada!$A:$A=FX$2)*(AsistenciaJetAdminConcatenada!$B:$B=FX$1), 0)), 1))),  0.5, 0))</f>
        <v>0</v>
      </c>
      <c r="FY34" s="47">
        <f t="array" ref="FY34">IF(AND(ISNUMBER(MATCH(FY$2, AsistenciaJetAdminConcatenada!$A:$A, 0)), ISNUMBER(MATCH(FY$1, AsistenciaJetAdminConcatenada!$B:$B, 0)), ISNUMBER(SEARCH($A34,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ISNUMBER(SEARCH($A34, INDEX(AsistenciaJetAdminConcatenada!$D:$D, MATCH(1, (AsistenciaJetAdminConcatenada!$A:$A=FY$2)*(AsistenciaJetAdminConcatenada!$B:$B=FY$1), 0)), 1))),  0.5, 0))</f>
        <v>0</v>
      </c>
      <c r="FZ34" s="47">
        <f t="array" ref="FZ34">IF(AND(ISNUMBER(MATCH(FZ$2, AsistenciaJetAdminConcatenada!$A:$A, 0)), ISNUMBER(MATCH(FZ$1, AsistenciaJetAdminConcatenada!$B:$B, 0)), ISNUMBER(SEARCH($A34,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ISNUMBER(SEARCH($A34, INDEX(AsistenciaJetAdminConcatenada!$D:$D, MATCH(1, (AsistenciaJetAdminConcatenada!$A:$A=FZ$2)*(AsistenciaJetAdminConcatenada!$B:$B=FZ$1), 0)), 1))),  0.5, 0))</f>
        <v>0</v>
      </c>
      <c r="GA34" s="47">
        <f t="array" ref="GA34">IF(AND(ISNUMBER(MATCH(GA$2, AsistenciaJetAdminConcatenada!$A:$A, 0)), ISNUMBER(MATCH(GA$1, AsistenciaJetAdminConcatenada!$B:$B, 0)), ISNUMBER(SEARCH($A34,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ISNUMBER(SEARCH($A34, INDEX(AsistenciaJetAdminConcatenada!$D:$D, MATCH(1, (AsistenciaJetAdminConcatenada!$A:$A=GA$2)*(AsistenciaJetAdminConcatenada!$B:$B=GA$1), 0)), 1))),  0.5, 0))</f>
        <v>0</v>
      </c>
      <c r="GB34" s="47">
        <f t="array" ref="GB34">IF(AND(ISNUMBER(MATCH(GB$2, AsistenciaJetAdminConcatenada!$A:$A, 0)), ISNUMBER(MATCH(GB$1, AsistenciaJetAdminConcatenada!$B:$B, 0)), ISNUMBER(SEARCH($A34,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ISNUMBER(SEARCH($A34, INDEX(AsistenciaJetAdminConcatenada!$D:$D, MATCH(1, (AsistenciaJetAdminConcatenada!$A:$A=GB$2)*(AsistenciaJetAdminConcatenada!$B:$B=GB$1), 0)), 1))),  0.5, 0))</f>
        <v>0</v>
      </c>
      <c r="GC34" s="47">
        <f t="array" ref="GC34">IF(AND(ISNUMBER(MATCH(GC$2, AsistenciaJetAdminConcatenada!$A:$A, 0)), ISNUMBER(MATCH(GC$1, AsistenciaJetAdminConcatenada!$B:$B, 0)), ISNUMBER(SEARCH($A34,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ISNUMBER(SEARCH($A34, INDEX(AsistenciaJetAdminConcatenada!$D:$D, MATCH(1, (AsistenciaJetAdminConcatenada!$A:$A=GC$2)*(AsistenciaJetAdminConcatenada!$B:$B=GC$1), 0)), 1))),  0.5, 0))</f>
        <v>0</v>
      </c>
      <c r="GD34" s="47">
        <f t="array" ref="GD34">IF(AND(ISNUMBER(MATCH(GD$2, AsistenciaJetAdminConcatenada!$A:$A, 0)), ISNUMBER(MATCH(GD$1, AsistenciaJetAdminConcatenada!$B:$B, 0)), ISNUMBER(SEARCH($A34,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ISNUMBER(SEARCH($A34, INDEX(AsistenciaJetAdminConcatenada!$D:$D, MATCH(1, (AsistenciaJetAdminConcatenada!$A:$A=GD$2)*(AsistenciaJetAdminConcatenada!$B:$B=GD$1), 0)), 1))),  0.5, 0))</f>
        <v>0</v>
      </c>
      <c r="GE34" s="47">
        <f t="array" ref="GE34">IF(AND(ISNUMBER(MATCH(GE$2, AsistenciaJetAdminConcatenada!$A:$A, 0)), ISNUMBER(MATCH(GE$1, AsistenciaJetAdminConcatenada!$B:$B, 0)), ISNUMBER(SEARCH($A34,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ISNUMBER(SEARCH($A34, INDEX(AsistenciaJetAdminConcatenada!$D:$D, MATCH(1, (AsistenciaJetAdminConcatenada!$A:$A=GE$2)*(AsistenciaJetAdminConcatenada!$B:$B=GE$1), 0)), 1))),  0.5, 0))</f>
        <v>0</v>
      </c>
      <c r="GF34" s="47">
        <f t="array" ref="GF34">IF(AND(ISNUMBER(MATCH(GF$2, AsistenciaJetAdminConcatenada!$A:$A, 0)), ISNUMBER(MATCH(GF$1, AsistenciaJetAdminConcatenada!$B:$B, 0)), ISNUMBER(SEARCH($A34,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ISNUMBER(SEARCH($A34, INDEX(AsistenciaJetAdminConcatenada!$D:$D, MATCH(1, (AsistenciaJetAdminConcatenada!$A:$A=GF$2)*(AsistenciaJetAdminConcatenada!$B:$B=GF$1), 0)), 1))),  0.5, 0))</f>
        <v>0</v>
      </c>
      <c r="GG34" s="47">
        <f t="array" ref="GG34">IF(AND(ISNUMBER(MATCH(GG$2, AsistenciaJetAdminConcatenada!$A:$A, 0)), ISNUMBER(MATCH(GG$1, AsistenciaJetAdminConcatenada!$B:$B, 0)), ISNUMBER(SEARCH($A34,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ISNUMBER(SEARCH($A34, INDEX(AsistenciaJetAdminConcatenada!$D:$D, MATCH(1, (AsistenciaJetAdminConcatenada!$A:$A=GG$2)*(AsistenciaJetAdminConcatenada!$B:$B=GG$1), 0)), 1))),  0.5, 0))</f>
        <v>0</v>
      </c>
      <c r="GH34" s="47">
        <f t="array" ref="GH34">IF(AND(ISNUMBER(MATCH(GH$2, AsistenciaJetAdminConcatenada!$A:$A, 0)), ISNUMBER(MATCH(GH$1, AsistenciaJetAdminConcatenada!$B:$B, 0)), ISNUMBER(SEARCH($A34,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ISNUMBER(SEARCH($A34, INDEX(AsistenciaJetAdminConcatenada!$D:$D, MATCH(1, (AsistenciaJetAdminConcatenada!$A:$A=GH$2)*(AsistenciaJetAdminConcatenada!$B:$B=GH$1), 0)), 1))),  0.5, 0))</f>
        <v>0</v>
      </c>
      <c r="GI34" s="47">
        <f t="array" ref="GI34">IF(AND(ISNUMBER(MATCH(GI$2, AsistenciaJetAdminConcatenada!$A:$A, 0)), ISNUMBER(MATCH(GI$1, AsistenciaJetAdminConcatenada!$B:$B, 0)), ISNUMBER(SEARCH($A34,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ISNUMBER(SEARCH($A34, INDEX(AsistenciaJetAdminConcatenada!$D:$D, MATCH(1, (AsistenciaJetAdminConcatenada!$A:$A=GI$2)*(AsistenciaJetAdminConcatenada!$B:$B=GI$1), 0)), 1))),  0.5, 0))</f>
        <v>0</v>
      </c>
      <c r="GJ34" s="47">
        <f t="array" ref="GJ34">IF(AND(ISNUMBER(MATCH(GJ$2, AsistenciaJetAdminConcatenada!$A:$A, 0)), ISNUMBER(MATCH(GJ$1, AsistenciaJetAdminConcatenada!$B:$B, 0)), ISNUMBER(SEARCH($A34,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ISNUMBER(SEARCH($A34, INDEX(AsistenciaJetAdminConcatenada!$D:$D, MATCH(1, (AsistenciaJetAdminConcatenada!$A:$A=GJ$2)*(AsistenciaJetAdminConcatenada!$B:$B=GJ$1), 0)), 1))),  0.5, 0))</f>
        <v>0</v>
      </c>
      <c r="GK34" s="47">
        <f t="array" ref="GK34">IF(AND(ISNUMBER(MATCH(GK$2, AsistenciaJetAdminConcatenada!$A:$A, 0)), ISNUMBER(MATCH(GK$1, AsistenciaJetAdminConcatenada!$B:$B, 0)), ISNUMBER(SEARCH($A34,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ISNUMBER(SEARCH($A34, INDEX(AsistenciaJetAdminConcatenada!$D:$D, MATCH(1, (AsistenciaJetAdminConcatenada!$A:$A=GK$2)*(AsistenciaJetAdminConcatenada!$B:$B=GK$1), 0)), 1))),  0.5, 0))</f>
        <v>0</v>
      </c>
      <c r="GL34" s="47">
        <f t="array" ref="GL34">IF(AND(ISNUMBER(MATCH(GL$2, AsistenciaJetAdminConcatenada!$A:$A, 0)), ISNUMBER(MATCH(GL$1, AsistenciaJetAdminConcatenada!$B:$B, 0)), ISNUMBER(SEARCH($A34,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ISNUMBER(SEARCH($A34, INDEX(AsistenciaJetAdminConcatenada!$D:$D, MATCH(1, (AsistenciaJetAdminConcatenada!$A:$A=GL$2)*(AsistenciaJetAdminConcatenada!$B:$B=GL$1), 0)), 1))),  0.5, 0))</f>
        <v>0</v>
      </c>
      <c r="GM34" s="47">
        <f t="array" ref="GM34">IF(AND(ISNUMBER(MATCH(GM$2, AsistenciaJetAdminConcatenada!$A:$A, 0)), ISNUMBER(MATCH(GM$1, AsistenciaJetAdminConcatenada!$B:$B, 0)), ISNUMBER(SEARCH($A34,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ISNUMBER(SEARCH($A34, INDEX(AsistenciaJetAdminConcatenada!$D:$D, MATCH(1, (AsistenciaJetAdminConcatenada!$A:$A=GM$2)*(AsistenciaJetAdminConcatenada!$B:$B=GM$1), 0)), 1))),  0.5, 0))</f>
        <v>0</v>
      </c>
      <c r="GN34" s="47">
        <f t="array" ref="GN34">IF(AND(ISNUMBER(MATCH(GN$2, AsistenciaJetAdminConcatenada!$A:$A, 0)), ISNUMBER(MATCH(GN$1, AsistenciaJetAdminConcatenada!$B:$B, 0)), ISNUMBER(SEARCH($A34,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ISNUMBER(SEARCH($A34, INDEX(AsistenciaJetAdminConcatenada!$D:$D, MATCH(1, (AsistenciaJetAdminConcatenada!$A:$A=GN$2)*(AsistenciaJetAdminConcatenada!$B:$B=GN$1), 0)), 1))),  0.5, 0))</f>
        <v>0</v>
      </c>
      <c r="GO34" s="47">
        <f t="array" ref="GO34">IF(AND(ISNUMBER(MATCH(GO$2, AsistenciaJetAdminConcatenada!$A:$A, 0)), ISNUMBER(MATCH(GO$1, AsistenciaJetAdminConcatenada!$B:$B, 0)), ISNUMBER(SEARCH($A34,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ISNUMBER(SEARCH($A34, INDEX(AsistenciaJetAdminConcatenada!$D:$D, MATCH(1, (AsistenciaJetAdminConcatenada!$A:$A=GO$2)*(AsistenciaJetAdminConcatenada!$B:$B=GO$1), 0)), 1))),  0.5, 0))</f>
        <v>0</v>
      </c>
      <c r="GP34" s="47">
        <f t="array" ref="GP34">IF(AND(ISNUMBER(MATCH(GP$2, AsistenciaJetAdminConcatenada!$A:$A, 0)), ISNUMBER(MATCH(GP$1, AsistenciaJetAdminConcatenada!$B:$B, 0)), ISNUMBER(SEARCH($A34,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ISNUMBER(SEARCH($A34, INDEX(AsistenciaJetAdminConcatenada!$D:$D, MATCH(1, (AsistenciaJetAdminConcatenada!$A:$A=GP$2)*(AsistenciaJetAdminConcatenada!$B:$B=GP$1), 0)), 1))),  0.5, 0))</f>
        <v>0</v>
      </c>
      <c r="GQ34" s="47">
        <f t="array" ref="GQ34">IF(AND(ISNUMBER(MATCH(GQ$2, AsistenciaJetAdminConcatenada!$A:$A, 0)), ISNUMBER(MATCH(GQ$1, AsistenciaJetAdminConcatenada!$B:$B, 0)), ISNUMBER(SEARCH($A34,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ISNUMBER(SEARCH($A34, INDEX(AsistenciaJetAdminConcatenada!$D:$D, MATCH(1, (AsistenciaJetAdminConcatenada!$A:$A=GQ$2)*(AsistenciaJetAdminConcatenada!$B:$B=GQ$1), 0)), 1))),  0.5, 0))</f>
        <v>0</v>
      </c>
      <c r="GR34" s="47">
        <f t="array" ref="GR34">IF(AND(ISNUMBER(MATCH(GR$2, AsistenciaJetAdminConcatenada!$A:$A, 0)), ISNUMBER(MATCH(GR$1, AsistenciaJetAdminConcatenada!$B:$B, 0)), ISNUMBER(SEARCH($A34,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ISNUMBER(SEARCH($A34, INDEX(AsistenciaJetAdminConcatenada!$D:$D, MATCH(1, (AsistenciaJetAdminConcatenada!$A:$A=GR$2)*(AsistenciaJetAdminConcatenada!$B:$B=GR$1), 0)), 1))),  0.5, 0))</f>
        <v>0</v>
      </c>
      <c r="GS34" s="47">
        <f t="array" ref="GS34">IF(AND(ISNUMBER(MATCH(GS$2, AsistenciaJetAdminConcatenada!$A:$A, 0)), ISNUMBER(MATCH(GS$1, AsistenciaJetAdminConcatenada!$B:$B, 0)), ISNUMBER(SEARCH($A34,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ISNUMBER(SEARCH($A34, INDEX(AsistenciaJetAdminConcatenada!$D:$D, MATCH(1, (AsistenciaJetAdminConcatenada!$A:$A=GS$2)*(AsistenciaJetAdminConcatenada!$B:$B=GS$1), 0)), 1))),  0.5, 0))</f>
        <v>0</v>
      </c>
      <c r="GT34" s="47">
        <f t="array" ref="GT34">IF(AND(ISNUMBER(MATCH(GT$2, AsistenciaJetAdminConcatenada!$A:$A, 0)), ISNUMBER(MATCH(GT$1, AsistenciaJetAdminConcatenada!$B:$B, 0)), ISNUMBER(SEARCH($A34,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ISNUMBER(SEARCH($A34, INDEX(AsistenciaJetAdminConcatenada!$D:$D, MATCH(1, (AsistenciaJetAdminConcatenada!$A:$A=GT$2)*(AsistenciaJetAdminConcatenada!$B:$B=GT$1), 0)), 1))),  0.5, 0))</f>
        <v>0</v>
      </c>
      <c r="GU34" s="47">
        <f t="array" ref="GU34">IF(AND(ISNUMBER(MATCH(GU$2, AsistenciaJetAdminConcatenada!$A:$A, 0)), ISNUMBER(MATCH(GU$1, AsistenciaJetAdminConcatenada!$B:$B, 0)), ISNUMBER(SEARCH($A34,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ISNUMBER(SEARCH($A34, INDEX(AsistenciaJetAdminConcatenada!$D:$D, MATCH(1, (AsistenciaJetAdminConcatenada!$A:$A=GU$2)*(AsistenciaJetAdminConcatenada!$B:$B=GU$1), 0)), 1))),  0.5, 0))</f>
        <v>0</v>
      </c>
      <c r="GV34" s="47">
        <f t="array" ref="GV34">IF(AND(ISNUMBER(MATCH(GV$2, AsistenciaJetAdminConcatenada!$A:$A, 0)), ISNUMBER(MATCH(GV$1, AsistenciaJetAdminConcatenada!$B:$B, 0)), ISNUMBER(SEARCH($A34,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ISNUMBER(SEARCH($A34, INDEX(AsistenciaJetAdminConcatenada!$D:$D, MATCH(1, (AsistenciaJetAdminConcatenada!$A:$A=GV$2)*(AsistenciaJetAdminConcatenada!$B:$B=GV$1), 0)), 1))),  0.5, 0))</f>
        <v>0</v>
      </c>
      <c r="GW34" s="47">
        <f t="array" ref="GW34">IF(AND(ISNUMBER(MATCH(GW$2, AsistenciaJetAdminConcatenada!$A:$A, 0)), ISNUMBER(MATCH(GW$1, AsistenciaJetAdminConcatenada!$B:$B, 0)), ISNUMBER(SEARCH($A34,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ISNUMBER(SEARCH($A34, INDEX(AsistenciaJetAdminConcatenada!$D:$D, MATCH(1, (AsistenciaJetAdminConcatenada!$A:$A=GW$2)*(AsistenciaJetAdminConcatenada!$B:$B=GW$1), 0)), 1))),  0.5, 0))</f>
        <v>0</v>
      </c>
      <c r="GX34" s="47">
        <f t="array" ref="GX34">IF(AND(ISNUMBER(MATCH(GX$2, AsistenciaJetAdminConcatenada!$A:$A, 0)), ISNUMBER(MATCH(GX$1, AsistenciaJetAdminConcatenada!$B:$B, 0)), ISNUMBER(SEARCH($A34,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ISNUMBER(SEARCH($A34, INDEX(AsistenciaJetAdminConcatenada!$D:$D, MATCH(1, (AsistenciaJetAdminConcatenada!$A:$A=GX$2)*(AsistenciaJetAdminConcatenada!$B:$B=GX$1), 0)), 1))),  0.5, 0))</f>
        <v>0</v>
      </c>
      <c r="GY34" s="47">
        <f t="array" ref="GY34">IF(AND(ISNUMBER(MATCH(GY$2, AsistenciaJetAdminConcatenada!$A:$A, 0)), ISNUMBER(MATCH(GY$1, AsistenciaJetAdminConcatenada!$B:$B, 0)), ISNUMBER(SEARCH($A34,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ISNUMBER(SEARCH($A34, INDEX(AsistenciaJetAdminConcatenada!$D:$D, MATCH(1, (AsistenciaJetAdminConcatenada!$A:$A=GY$2)*(AsistenciaJetAdminConcatenada!$B:$B=GY$1), 0)), 1))),  0.5, 0))</f>
        <v>0</v>
      </c>
      <c r="GZ34" s="47">
        <f t="array" ref="GZ34">IF(AND(ISNUMBER(MATCH(GZ$2, AsistenciaJetAdminConcatenada!$A:$A, 0)), ISNUMBER(MATCH(GZ$1, AsistenciaJetAdminConcatenada!$B:$B, 0)), ISNUMBER(SEARCH($A34,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ISNUMBER(SEARCH($A34, INDEX(AsistenciaJetAdminConcatenada!$D:$D, MATCH(1, (AsistenciaJetAdminConcatenada!$A:$A=GZ$2)*(AsistenciaJetAdminConcatenada!$B:$B=GZ$1), 0)), 1))),  0.5, 0))</f>
        <v>0</v>
      </c>
      <c r="HA34" s="47">
        <f t="array" ref="HA34">IF(AND(ISNUMBER(MATCH(HA$2, AsistenciaJetAdminConcatenada!$A:$A, 0)), ISNUMBER(MATCH(HA$1, AsistenciaJetAdminConcatenada!$B:$B, 0)), ISNUMBER(SEARCH($A34,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ISNUMBER(SEARCH($A34, INDEX(AsistenciaJetAdminConcatenada!$D:$D, MATCH(1, (AsistenciaJetAdminConcatenada!$A:$A=HA$2)*(AsistenciaJetAdminConcatenada!$B:$B=HA$1), 0)), 1))),  0.5, 0))</f>
        <v>0</v>
      </c>
      <c r="HB34" s="47">
        <f t="array" ref="HB34">IF(AND(ISNUMBER(MATCH(HB$2, AsistenciaJetAdminConcatenada!$A:$A, 0)), ISNUMBER(MATCH(HB$1, AsistenciaJetAdminConcatenada!$B:$B, 0)), ISNUMBER(SEARCH($A34,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ISNUMBER(SEARCH($A34, INDEX(AsistenciaJetAdminConcatenada!$D:$D, MATCH(1, (AsistenciaJetAdminConcatenada!$A:$A=HB$2)*(AsistenciaJetAdminConcatenada!$B:$B=HB$1), 0)), 1))),  0.5, 0))</f>
        <v>0</v>
      </c>
      <c r="HC34" s="47">
        <f t="array" ref="HC34">IF(AND(ISNUMBER(MATCH(HC$2, AsistenciaJetAdminConcatenada!$A:$A, 0)), ISNUMBER(MATCH(HC$1, AsistenciaJetAdminConcatenada!$B:$B, 0)), ISNUMBER(SEARCH($A34,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ISNUMBER(SEARCH($A34, INDEX(AsistenciaJetAdminConcatenada!$D:$D, MATCH(1, (AsistenciaJetAdminConcatenada!$A:$A=HC$2)*(AsistenciaJetAdminConcatenada!$B:$B=HC$1), 0)), 1))),  0.5, 0))</f>
        <v>0</v>
      </c>
    </row>
    <row r="35" ht="29.25" customHeight="1">
      <c r="A35" s="3">
        <v>100.0</v>
      </c>
      <c r="B35" s="4" t="s">
        <v>63</v>
      </c>
      <c r="C35" s="47">
        <f>SUM(D35:HC35) + ActividadesEspeciales!C35</f>
        <v>62.5</v>
      </c>
      <c r="D35" s="47">
        <f t="array" ref="D35">IF(AND(ISNUMBER(MATCH(D$2, AsistenciaJetAdminConcatenada!$A:$A, 0)), ISNUMBER(MATCH(D$1, AsistenciaJetAdminConcatenada!$B:$B, 0)), ISNUMBER(SEARCH($A35,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ISNUMBER(SEARCH($A35, INDEX(AsistenciaJetAdminConcatenada!$D:$D, MATCH(1, (AsistenciaJetAdminConcatenada!$A:$A=D$2)*(AsistenciaJetAdminConcatenada!$B:$B=D$1), 0)), 1))),  0.5, 0))</f>
        <v>1</v>
      </c>
      <c r="E35" s="47">
        <f t="array" ref="E35">IF(AND(ISNUMBER(MATCH(E$2, AsistenciaJetAdminConcatenada!$A:$A, 0)), ISNUMBER(MATCH(E$1, AsistenciaJetAdminConcatenada!$B:$B, 0)), ISNUMBER(SEARCH($A35,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ISNUMBER(SEARCH($A35, INDEX(AsistenciaJetAdminConcatenada!$D:$D, MATCH(1, (AsistenciaJetAdminConcatenada!$A:$A=E$2)*(AsistenciaJetAdminConcatenada!$B:$B=E$1), 0)), 1))),  0.5, 0))</f>
        <v>1</v>
      </c>
      <c r="F35" s="47">
        <f t="array" ref="F35">IF(AND(ISNUMBER(MATCH(F$2, AsistenciaJetAdminConcatenada!$A:$A, 0)), ISNUMBER(MATCH(F$1, AsistenciaJetAdminConcatenada!$B:$B, 0)), ISNUMBER(SEARCH($A35,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ISNUMBER(SEARCH($A35, INDEX(AsistenciaJetAdminConcatenada!$D:$D, MATCH(1, (AsistenciaJetAdminConcatenada!$A:$A=F$2)*(AsistenciaJetAdminConcatenada!$B:$B=F$1), 0)), 1))),  0.5, 0))</f>
        <v>1</v>
      </c>
      <c r="G35" s="47">
        <f t="array" ref="G35">IF(AND(ISNUMBER(MATCH(G$2, AsistenciaJetAdminConcatenada!$A:$A, 0)), ISNUMBER(MATCH(G$1, AsistenciaJetAdminConcatenada!$B:$B, 0)), ISNUMBER(SEARCH($A35,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ISNUMBER(SEARCH($A35, INDEX(AsistenciaJetAdminConcatenada!$D:$D, MATCH(1, (AsistenciaJetAdminConcatenada!$A:$A=G$2)*(AsistenciaJetAdminConcatenada!$B:$B=G$1), 0)), 1))),  0.5, 0))</f>
        <v>1</v>
      </c>
      <c r="H35" s="47">
        <f t="array" ref="H35">IF(AND(ISNUMBER(MATCH(H$2, AsistenciaJetAdminConcatenada!$A:$A, 0)), ISNUMBER(MATCH(H$1, AsistenciaJetAdminConcatenada!$B:$B, 0)), ISNUMBER(SEARCH($A35,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ISNUMBER(SEARCH($A35, INDEX(AsistenciaJetAdminConcatenada!$D:$D, MATCH(1, (AsistenciaJetAdminConcatenada!$A:$A=H$2)*(AsistenciaJetAdminConcatenada!$B:$B=H$1), 0)), 1))),  0.5, 0))</f>
        <v>1</v>
      </c>
      <c r="I35" s="47">
        <f t="array" ref="I35">IF(AND(ISNUMBER(MATCH(I$2, AsistenciaJetAdminConcatenada!$A:$A, 0)), ISNUMBER(MATCH(I$1, AsistenciaJetAdminConcatenada!$B:$B, 0)), ISNUMBER(SEARCH($A35,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ISNUMBER(SEARCH($A35, INDEX(AsistenciaJetAdminConcatenada!$D:$D, MATCH(1, (AsistenciaJetAdminConcatenada!$A:$A=I$2)*(AsistenciaJetAdminConcatenada!$B:$B=I$1), 0)), 1))),  0.5, 0))</f>
        <v>1</v>
      </c>
      <c r="J35" s="47">
        <f t="array" ref="J35">IF(AND(ISNUMBER(MATCH(J$2, AsistenciaJetAdminConcatenada!$A:$A, 0)), ISNUMBER(MATCH(J$1, AsistenciaJetAdminConcatenada!$B:$B, 0)), ISNUMBER(SEARCH($A35,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ISNUMBER(SEARCH($A35, INDEX(AsistenciaJetAdminConcatenada!$D:$D, MATCH(1, (AsistenciaJetAdminConcatenada!$A:$A=J$2)*(AsistenciaJetAdminConcatenada!$B:$B=J$1), 0)), 1))),  0.5, 0))</f>
        <v>1</v>
      </c>
      <c r="K35" s="47">
        <f t="array" ref="K35">IF(AND(ISNUMBER(MATCH(K$2, AsistenciaJetAdminConcatenada!$A:$A, 0)), ISNUMBER(MATCH(K$1, AsistenciaJetAdminConcatenada!$B:$B, 0)), ISNUMBER(SEARCH($A35,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ISNUMBER(SEARCH($A35, INDEX(AsistenciaJetAdminConcatenada!$D:$D, MATCH(1, (AsistenciaJetAdminConcatenada!$A:$A=K$2)*(AsistenciaJetAdminConcatenada!$B:$B=K$1), 0)), 1))),  0.5, 0))</f>
        <v>1</v>
      </c>
      <c r="L35" s="47">
        <f t="array" ref="L35">IF(AND(ISNUMBER(MATCH(L$2, AsistenciaJetAdminConcatenada!$A:$A, 0)), ISNUMBER(MATCH(L$1, AsistenciaJetAdminConcatenada!$B:$B, 0)), ISNUMBER(SEARCH($A35,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ISNUMBER(SEARCH($A35, INDEX(AsistenciaJetAdminConcatenada!$D:$D, MATCH(1, (AsistenciaJetAdminConcatenada!$A:$A=L$2)*(AsistenciaJetAdminConcatenada!$B:$B=L$1), 0)), 1))),  0.5, 0))</f>
        <v>1</v>
      </c>
      <c r="M35" s="47">
        <f t="array" ref="M35">IF(AND(ISNUMBER(MATCH(M$2, AsistenciaJetAdminConcatenada!$A:$A, 0)), ISNUMBER(MATCH(M$1, AsistenciaJetAdminConcatenada!$B:$B, 0)), ISNUMBER(SEARCH($A35,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ISNUMBER(SEARCH($A35, INDEX(AsistenciaJetAdminConcatenada!$D:$D, MATCH(1, (AsistenciaJetAdminConcatenada!$A:$A=M$2)*(AsistenciaJetAdminConcatenada!$B:$B=M$1), 0)), 1))),  0.5, 0))</f>
        <v>1</v>
      </c>
      <c r="N35" s="47">
        <f t="array" ref="N35">IF(AND(ISNUMBER(MATCH(N$2, AsistenciaJetAdminConcatenada!$A:$A, 0)), ISNUMBER(MATCH(N$1, AsistenciaJetAdminConcatenada!$B:$B, 0)), ISNUMBER(SEARCH($A35,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ISNUMBER(SEARCH($A35, INDEX(AsistenciaJetAdminConcatenada!$D:$D, MATCH(1, (AsistenciaJetAdminConcatenada!$A:$A=N$2)*(AsistenciaJetAdminConcatenada!$B:$B=N$1), 0)), 1))),  0.5, 0))</f>
        <v>0</v>
      </c>
      <c r="O35" s="47">
        <f t="array" ref="O35">IF(AND(ISNUMBER(MATCH(O$2, AsistenciaJetAdminConcatenada!$A:$A, 0)), ISNUMBER(MATCH(O$1, AsistenciaJetAdminConcatenada!$B:$B, 0)), ISNUMBER(SEARCH($A35,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ISNUMBER(SEARCH($A35, INDEX(AsistenciaJetAdminConcatenada!$D:$D, MATCH(1, (AsistenciaJetAdminConcatenada!$A:$A=O$2)*(AsistenciaJetAdminConcatenada!$B:$B=O$1), 0)), 1))),  0.5, 0))</f>
        <v>1</v>
      </c>
      <c r="P35" s="47">
        <f t="array" ref="P35">IF(AND(ISNUMBER(MATCH(P$2, AsistenciaJetAdminConcatenada!$A:$A, 0)), ISNUMBER(MATCH(P$1, AsistenciaJetAdminConcatenada!$B:$B, 0)), ISNUMBER(SEARCH($A35, INDEX(AsistenciaJetAdminConcatenada!$C:$C, MATCH(1, (AsistenciaJetAdminConcatenada!$A:$A=P$2)*(AsistenciaJetAdminConcatenada!$B:$B=P$1), 0)), 1))), 1, IF(AND(ISNUMBER(MATCH(P$2, AsistenciaJetAdminConcatenada!$A:$A, 0)), ISNUMBER(MATCH(P$1, AsistenciaJetAdminConcatenada!$B:$B, 0)), ISNUMBER(SEARCH($A35, INDEX(AsistenciaJetAdminConcatenada!$D:$D, MATCH(1, (AsistenciaJetAdminConcatenada!$A:$A=P$2)*(AsistenciaJetAdminConcatenada!$B:$B=P$1), 0)), 1))),  0.5, 0))</f>
        <v>0</v>
      </c>
      <c r="Q35" s="8">
        <v>1.0</v>
      </c>
      <c r="R35" s="47">
        <f t="array" ref="R35">IF(AND(ISNUMBER(MATCH(R$2, AsistenciaJetAdminConcatenada!$A:$A, 0)), ISNUMBER(MATCH(R$1, AsistenciaJetAdminConcatenada!$B:$B, 0)), ISNUMBER(SEARCH($A35,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ISNUMBER(SEARCH($A35, INDEX(AsistenciaJetAdminConcatenada!$D:$D, MATCH(1, (AsistenciaJetAdminConcatenada!$A:$A=R$2)*(AsistenciaJetAdminConcatenada!$B:$B=R$1), 0)), 1))),  0.5, 0))</f>
        <v>1</v>
      </c>
      <c r="S35" s="47">
        <f t="array" ref="S35">IF(AND(ISNUMBER(MATCH(S$2, AsistenciaJetAdminConcatenada!$A:$A, 0)), ISNUMBER(MATCH(S$1, AsistenciaJetAdminConcatenada!$B:$B, 0)), ISNUMBER(SEARCH($A35,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ISNUMBER(SEARCH($A35, INDEX(AsistenciaJetAdminConcatenada!$D:$D, MATCH(1, (AsistenciaJetAdminConcatenada!$A:$A=S$2)*(AsistenciaJetAdminConcatenada!$B:$B=S$1), 0)), 1))),  0.5, 0))</f>
        <v>1</v>
      </c>
      <c r="T35" s="47">
        <f t="array" ref="T35">IF(AND(ISNUMBER(MATCH(T$2, AsistenciaJetAdminConcatenada!$A:$A, 0)), ISNUMBER(MATCH(T$1, AsistenciaJetAdminConcatenada!$B:$B, 0)), ISNUMBER(SEARCH($A35,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ISNUMBER(SEARCH($A35, INDEX(AsistenciaJetAdminConcatenada!$D:$D, MATCH(1, (AsistenciaJetAdminConcatenada!$A:$A=T$2)*(AsistenciaJetAdminConcatenada!$B:$B=T$1), 0)), 1))),  0.5, 0))</f>
        <v>1</v>
      </c>
      <c r="U35" s="47">
        <f t="array" ref="U35">IF(AND(ISNUMBER(MATCH(U$2, AsistenciaJetAdminConcatenada!$A:$A, 0)), ISNUMBER(MATCH(U$1, AsistenciaJetAdminConcatenada!$B:$B, 0)), ISNUMBER(SEARCH($A35,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ISNUMBER(SEARCH($A35, INDEX(AsistenciaJetAdminConcatenada!$D:$D, MATCH(1, (AsistenciaJetAdminConcatenada!$A:$A=U$2)*(AsistenciaJetAdminConcatenada!$B:$B=U$1), 0)), 1))),  0.5, 0))</f>
        <v>1</v>
      </c>
      <c r="V35" s="8">
        <v>0.0</v>
      </c>
      <c r="W35" s="47">
        <f t="array" ref="W35">IF(AND(ISNUMBER(MATCH(W$2, AsistenciaJetAdminConcatenada!$A:$A, 0)), ISNUMBER(MATCH(W$1, AsistenciaJetAdminConcatenada!$B:$B, 0)), ISNUMBER(SEARCH($A35,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ISNUMBER(SEARCH($A35, INDEX(AsistenciaJetAdminConcatenada!$D:$D, MATCH(1, (AsistenciaJetAdminConcatenada!$A:$A=W$2)*(AsistenciaJetAdminConcatenada!$B:$B=W$1), 0)), 1))),  0.5, 0))</f>
        <v>1</v>
      </c>
      <c r="X35" s="47">
        <f t="array" ref="X35">IF(AND(ISNUMBER(MATCH(X$2, AsistenciaJetAdminConcatenada!$A:$A, 0)), ISNUMBER(MATCH(X$1, AsistenciaJetAdminConcatenada!$B:$B, 0)), ISNUMBER(SEARCH($A35,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ISNUMBER(SEARCH($A35, INDEX(AsistenciaJetAdminConcatenada!$D:$D, MATCH(1, (AsistenciaJetAdminConcatenada!$A:$A=X$2)*(AsistenciaJetAdminConcatenada!$B:$B=X$1), 0)), 1))),  0.5, 0))</f>
        <v>0</v>
      </c>
      <c r="Y35" s="47">
        <f t="array" ref="Y35">IF(AND(ISNUMBER(MATCH(Y$2, AsistenciaJetAdminConcatenada!$A:$A, 0)), ISNUMBER(MATCH(Y$1, AsistenciaJetAdminConcatenada!$B:$B, 0)), ISNUMBER(SEARCH($A35,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ISNUMBER(SEARCH($A35, INDEX(AsistenciaJetAdminConcatenada!$D:$D, MATCH(1, (AsistenciaJetAdminConcatenada!$A:$A=Y$2)*(AsistenciaJetAdminConcatenada!$B:$B=Y$1), 0)), 1))),  0.5, 0))</f>
        <v>0.5</v>
      </c>
      <c r="Z35" s="47">
        <f t="array" ref="Z35">IF(AND(ISNUMBER(MATCH(Z$2, AsistenciaJetAdminConcatenada!$A:$A, 0)), ISNUMBER(MATCH(Z$1, AsistenciaJetAdminConcatenada!$B:$B, 0)), ISNUMBER(SEARCH($A35,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ISNUMBER(SEARCH($A35, INDEX(AsistenciaJetAdminConcatenada!$D:$D, MATCH(1, (AsistenciaJetAdminConcatenada!$A:$A=Z$2)*(AsistenciaJetAdminConcatenada!$B:$B=Z$1), 0)), 1))),  0.5, 0))</f>
        <v>1</v>
      </c>
      <c r="AA35" s="47">
        <f t="array" ref="AA35">IF(AND(ISNUMBER(MATCH(AA$2, AsistenciaJetAdminConcatenada!$A:$A, 0)), ISNUMBER(MATCH(AA$1, AsistenciaJetAdminConcatenada!$B:$B, 0)), ISNUMBER(SEARCH($A35,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ISNUMBER(SEARCH($A35, INDEX(AsistenciaJetAdminConcatenada!$D:$D, MATCH(1, (AsistenciaJetAdminConcatenada!$A:$A=AA$2)*(AsistenciaJetAdminConcatenada!$B:$B=AA$1), 0)), 1))),  0.5, 0))</f>
        <v>0</v>
      </c>
      <c r="AB35" s="47">
        <f t="array" ref="AB35">IF(AND(ISNUMBER(MATCH(AB$2, AsistenciaJetAdminConcatenada!$A:$A, 0)), ISNUMBER(MATCH(AB$1, AsistenciaJetAdminConcatenada!$B:$B, 0)), ISNUMBER(SEARCH($A35,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ISNUMBER(SEARCH($A35, INDEX(AsistenciaJetAdminConcatenada!$D:$D, MATCH(1, (AsistenciaJetAdminConcatenada!$A:$A=AB$2)*(AsistenciaJetAdminConcatenada!$B:$B=AB$1), 0)), 1))),  0.5, 0))</f>
        <v>1</v>
      </c>
      <c r="AC35" s="47">
        <f t="array" ref="AC35">IF(AND(ISNUMBER(MATCH(AC$2, AsistenciaJetAdminConcatenada!$A:$A, 0)), ISNUMBER(MATCH(AC$1, AsistenciaJetAdminConcatenada!$B:$B, 0)), ISNUMBER(SEARCH($A35,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ISNUMBER(SEARCH($A35, INDEX(AsistenciaJetAdminConcatenada!$D:$D, MATCH(1, (AsistenciaJetAdminConcatenada!$A:$A=AC$2)*(AsistenciaJetAdminConcatenada!$B:$B=AC$1), 0)), 1))),  0.5, 0))</f>
        <v>1</v>
      </c>
      <c r="AD35" s="47">
        <f t="array" ref="AD35">IF(AND(ISNUMBER(MATCH(AD$2, AsistenciaJetAdminConcatenada!$A:$A, 0)), ISNUMBER(MATCH(AD$1, AsistenciaJetAdminConcatenada!$B:$B, 0)), ISNUMBER(SEARCH($A35,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ISNUMBER(SEARCH($A35, INDEX(AsistenciaJetAdminConcatenada!$D:$D, MATCH(1, (AsistenciaJetAdminConcatenada!$A:$A=AD$2)*(AsistenciaJetAdminConcatenada!$B:$B=AD$1), 0)), 1))),  0.5, 0))</f>
        <v>1</v>
      </c>
      <c r="AE35" s="47">
        <f t="array" ref="AE35">IF(AND(ISNUMBER(MATCH(AE$2, AsistenciaJetAdminConcatenada!$A:$A, 0)), ISNUMBER(MATCH(AE$1, AsistenciaJetAdminConcatenada!$B:$B, 0)), ISNUMBER(SEARCH($A35,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ISNUMBER(SEARCH($A35, INDEX(AsistenciaJetAdminConcatenada!$D:$D, MATCH(1, (AsistenciaJetAdminConcatenada!$A:$A=AE$2)*(AsistenciaJetAdminConcatenada!$B:$B=AE$1), 0)), 1))),  0.5, 0))</f>
        <v>0</v>
      </c>
      <c r="AF35" s="47">
        <f t="array" ref="AF35">IF(AND(ISNUMBER(MATCH(AF$2, AsistenciaJetAdminConcatenada!$A:$A, 0)), ISNUMBER(MATCH(AF$1, AsistenciaJetAdminConcatenada!$B:$B, 0)), ISNUMBER(SEARCH($A35,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ISNUMBER(SEARCH($A35, INDEX(AsistenciaJetAdminConcatenada!$D:$D, MATCH(1, (AsistenciaJetAdminConcatenada!$A:$A=AF$2)*(AsistenciaJetAdminConcatenada!$B:$B=AF$1), 0)), 1))),  0.5, 0))</f>
        <v>0</v>
      </c>
      <c r="AG35" s="47">
        <f t="array" ref="AG35">IF(AND(ISNUMBER(MATCH(AG$2, AsistenciaJetAdminConcatenada!$A:$A, 0)), ISNUMBER(MATCH(AG$1, AsistenciaJetAdminConcatenada!$B:$B, 0)), ISNUMBER(SEARCH($A35,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ISNUMBER(SEARCH($A35, INDEX(AsistenciaJetAdminConcatenada!$D:$D, MATCH(1, (AsistenciaJetAdminConcatenada!$A:$A=AG$2)*(AsistenciaJetAdminConcatenada!$B:$B=AG$1), 0)), 1))),  0.5, 0))</f>
        <v>0</v>
      </c>
      <c r="AH35" s="47">
        <f t="array" ref="AH35">IF(AND(ISNUMBER(MATCH(AH$2, AsistenciaJetAdminConcatenada!$A:$A, 0)), ISNUMBER(MATCH(AH$1, AsistenciaJetAdminConcatenada!$B:$B, 0)), ISNUMBER(SEARCH($A35,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ISNUMBER(SEARCH($A35, INDEX(AsistenciaJetAdminConcatenada!$D:$D, MATCH(1, (AsistenciaJetAdminConcatenada!$A:$A=AH$2)*(AsistenciaJetAdminConcatenada!$B:$B=AH$1), 0)), 1))),  0.5, 0))</f>
        <v>0</v>
      </c>
      <c r="AI35" s="47">
        <f t="array" ref="AI35">IF(AND(ISNUMBER(MATCH(AI$2, AsistenciaJetAdminConcatenada!$A:$A, 0)), ISNUMBER(MATCH(AI$1, AsistenciaJetAdminConcatenada!$B:$B, 0)), ISNUMBER(SEARCH($A35,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ISNUMBER(SEARCH($A35, INDEX(AsistenciaJetAdminConcatenada!$D:$D, MATCH(1, (AsistenciaJetAdminConcatenada!$A:$A=AI$2)*(AsistenciaJetAdminConcatenada!$B:$B=AI$1), 0)), 1))),  0.5, 0))</f>
        <v>1</v>
      </c>
      <c r="AJ35" s="47">
        <f t="array" ref="AJ35">IF(AND(ISNUMBER(MATCH(AJ$2, AsistenciaJetAdminConcatenada!$A:$A, 0)), ISNUMBER(MATCH(AJ$1, AsistenciaJetAdminConcatenada!$B:$B, 0)), ISNUMBER(SEARCH($A35,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ISNUMBER(SEARCH($A35, INDEX(AsistenciaJetAdminConcatenada!$D:$D, MATCH(1, (AsistenciaJetAdminConcatenada!$A:$A=AJ$2)*(AsistenciaJetAdminConcatenada!$B:$B=AJ$1), 0)), 1))),  0.5, 0))</f>
        <v>1</v>
      </c>
      <c r="AK35" s="47">
        <f t="array" ref="AK35">IF(AND(ISNUMBER(MATCH(AK$2, AsistenciaJetAdminConcatenada!$A:$A, 0)), ISNUMBER(MATCH(AK$1, AsistenciaJetAdminConcatenada!$B:$B, 0)), ISNUMBER(SEARCH($A35,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ISNUMBER(SEARCH($A35, INDEX(AsistenciaJetAdminConcatenada!$D:$D, MATCH(1, (AsistenciaJetAdminConcatenada!$A:$A=AK$2)*(AsistenciaJetAdminConcatenada!$B:$B=AK$1), 0)), 1))),  0.5, 0))</f>
        <v>1</v>
      </c>
      <c r="AL35" s="47">
        <f t="array" ref="AL35">IF(AND(ISNUMBER(MATCH(AL$2, AsistenciaJetAdminConcatenada!$A:$A, 0)), ISNUMBER(MATCH(AL$1, AsistenciaJetAdminConcatenada!$B:$B, 0)), ISNUMBER(SEARCH($A35,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ISNUMBER(SEARCH($A35, INDEX(AsistenciaJetAdminConcatenada!$D:$D, MATCH(1, (AsistenciaJetAdminConcatenada!$A:$A=AL$2)*(AsistenciaJetAdminConcatenada!$B:$B=AL$1), 0)), 1))),  0.5, 0))</f>
        <v>1</v>
      </c>
      <c r="AM35" s="47">
        <f t="array" ref="AM35">IF(AND(ISNUMBER(MATCH(AM$2, AsistenciaJetAdminConcatenada!$A:$A, 0)), ISNUMBER(MATCH(AM$1, AsistenciaJetAdminConcatenada!$B:$B, 0)), ISNUMBER(SEARCH($A35,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ISNUMBER(SEARCH($A35, INDEX(AsistenciaJetAdminConcatenada!$D:$D, MATCH(1, (AsistenciaJetAdminConcatenada!$A:$A=AM$2)*(AsistenciaJetAdminConcatenada!$B:$B=AM$1), 0)), 1))),  0.5, 0))</f>
        <v>1</v>
      </c>
      <c r="AN35" s="47">
        <f t="array" ref="AN35">IF(AND(ISNUMBER(MATCH(AN$2, AsistenciaJetAdminConcatenada!$A:$A, 0)), ISNUMBER(MATCH(AN$1, AsistenciaJetAdminConcatenada!$B:$B, 0)), ISNUMBER(SEARCH($A35,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ISNUMBER(SEARCH($A35, INDEX(AsistenciaJetAdminConcatenada!$D:$D, MATCH(1, (AsistenciaJetAdminConcatenada!$A:$A=AN$2)*(AsistenciaJetAdminConcatenada!$B:$B=AN$1), 0)), 1))),  0.5, 0))</f>
        <v>1</v>
      </c>
      <c r="AO35" s="47">
        <f t="array" ref="AO35">IF(AND(ISNUMBER(MATCH(AO$2, AsistenciaJetAdminConcatenada!$A:$A, 0)), ISNUMBER(MATCH(AO$1, AsistenciaJetAdminConcatenada!$B:$B, 0)), ISNUMBER(SEARCH($A35,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ISNUMBER(SEARCH($A35, INDEX(AsistenciaJetAdminConcatenada!$D:$D, MATCH(1, (AsistenciaJetAdminConcatenada!$A:$A=AO$2)*(AsistenciaJetAdminConcatenada!$B:$B=AO$1), 0)), 1))),  0.5, 0))</f>
        <v>0</v>
      </c>
      <c r="AP35" s="47">
        <f t="array" ref="AP35">IF(AND(ISNUMBER(MATCH(AP$2, AsistenciaJetAdminConcatenada!$A:$A, 0)), ISNUMBER(MATCH(AP$1, AsistenciaJetAdminConcatenada!$B:$B, 0)), ISNUMBER(SEARCH($A35,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ISNUMBER(SEARCH($A35, INDEX(AsistenciaJetAdminConcatenada!$D:$D, MATCH(1, (AsistenciaJetAdminConcatenada!$A:$A=AP$2)*(AsistenciaJetAdminConcatenada!$B:$B=AP$1), 0)), 1))),  0.5, 0))</f>
        <v>0</v>
      </c>
      <c r="AQ35" s="47">
        <f t="array" ref="AQ35">IF(AND(ISNUMBER(MATCH(AQ$2, AsistenciaJetAdminConcatenada!$A:$A, 0)), ISNUMBER(MATCH(AQ$1, AsistenciaJetAdminConcatenada!$B:$B, 0)), ISNUMBER(SEARCH($A35,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ISNUMBER(SEARCH($A35, INDEX(AsistenciaJetAdminConcatenada!$D:$D, MATCH(1, (AsistenciaJetAdminConcatenada!$A:$A=AQ$2)*(AsistenciaJetAdminConcatenada!$B:$B=AQ$1), 0)), 1))),  0.5, 0))</f>
        <v>0</v>
      </c>
      <c r="AR35" s="47">
        <f t="array" ref="AR35">IF(AND(ISNUMBER(MATCH(AR$2, AsistenciaJetAdminConcatenada!$A:$A, 0)), ISNUMBER(MATCH(AR$1, AsistenciaJetAdminConcatenada!$B:$B, 0)), ISNUMBER(SEARCH($A35,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ISNUMBER(SEARCH($A35, INDEX(AsistenciaJetAdminConcatenada!$D:$D, MATCH(1, (AsistenciaJetAdminConcatenada!$A:$A=AR$2)*(AsistenciaJetAdminConcatenada!$B:$B=AR$1), 0)), 1))),  0.5, 0))</f>
        <v>0</v>
      </c>
      <c r="AS35" s="47">
        <f t="array" ref="AS35">IF(AND(ISNUMBER(MATCH(AS$2, AsistenciaJetAdminConcatenada!$A:$A, 0)), ISNUMBER(MATCH(AS$1, AsistenciaJetAdminConcatenada!$B:$B, 0)), ISNUMBER(SEARCH($A35,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ISNUMBER(SEARCH($A35, INDEX(AsistenciaJetAdminConcatenada!$D:$D, MATCH(1, (AsistenciaJetAdminConcatenada!$A:$A=AS$2)*(AsistenciaJetAdminConcatenada!$B:$B=AS$1), 0)), 1))),  0.5, 0))</f>
        <v>1</v>
      </c>
      <c r="AT35" s="47">
        <f t="array" ref="AT35">IF(AND(ISNUMBER(MATCH(AT$2, AsistenciaJetAdminConcatenada!$A:$A, 0)), ISNUMBER(MATCH(AT$1, AsistenciaJetAdminConcatenada!$B:$B, 0)), ISNUMBER(SEARCH($A35,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ISNUMBER(SEARCH($A35, INDEX(AsistenciaJetAdminConcatenada!$D:$D, MATCH(1, (AsistenciaJetAdminConcatenada!$A:$A=AT$2)*(AsistenciaJetAdminConcatenada!$B:$B=AT$1), 0)), 1))),  0.5, 0))</f>
        <v>0</v>
      </c>
      <c r="AU35" s="47">
        <f t="array" ref="AU35">IF(AND(ISNUMBER(MATCH(AU$2, AsistenciaJetAdminConcatenada!$A:$A, 0)), ISNUMBER(MATCH(AU$1, AsistenciaJetAdminConcatenada!$B:$B, 0)), ISNUMBER(SEARCH($A35,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ISNUMBER(SEARCH($A35, INDEX(AsistenciaJetAdminConcatenada!$D:$D, MATCH(1, (AsistenciaJetAdminConcatenada!$A:$A=AU$2)*(AsistenciaJetAdminConcatenada!$B:$B=AU$1), 0)), 1))),  0.5, 0))</f>
        <v>1</v>
      </c>
      <c r="AV35" s="47">
        <f t="array" ref="AV35">IF(AND(ISNUMBER(MATCH(AV$2, AsistenciaJetAdminConcatenada!$A:$A, 0)), ISNUMBER(MATCH(AV$1, AsistenciaJetAdminConcatenada!$B:$B, 0)), ISNUMBER(SEARCH($A35,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ISNUMBER(SEARCH($A35, INDEX(AsistenciaJetAdminConcatenada!$D:$D, MATCH(1, (AsistenciaJetAdminConcatenada!$A:$A=AV$2)*(AsistenciaJetAdminConcatenada!$B:$B=AV$1), 0)), 1))),  0.5, 0))</f>
        <v>1</v>
      </c>
      <c r="AW35" s="47">
        <f t="array" ref="AW35">IF(AND(ISNUMBER(MATCH(AW$2, AsistenciaJetAdminConcatenada!$A:$A, 0)), ISNUMBER(MATCH(AW$1, AsistenciaJetAdminConcatenada!$B:$B, 0)), ISNUMBER(SEARCH($A35,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ISNUMBER(SEARCH($A35, INDEX(AsistenciaJetAdminConcatenada!$D:$D, MATCH(1, (AsistenciaJetAdminConcatenada!$A:$A=AW$2)*(AsistenciaJetAdminConcatenada!$B:$B=AW$1), 0)), 1))),  0.5, 0))</f>
        <v>0</v>
      </c>
      <c r="AX35" s="47">
        <f t="array" ref="AX35">IF(AND(ISNUMBER(MATCH(AX$2, AsistenciaJetAdminConcatenada!$A:$A, 0)), ISNUMBER(MATCH(AX$1, AsistenciaJetAdminConcatenada!$B:$B, 0)), ISNUMBER(SEARCH($A35,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ISNUMBER(SEARCH($A35, INDEX(AsistenciaJetAdminConcatenada!$D:$D, MATCH(1, (AsistenciaJetAdminConcatenada!$A:$A=AX$2)*(AsistenciaJetAdminConcatenada!$B:$B=AX$1), 0)), 1))),  0.5, 0))</f>
        <v>1</v>
      </c>
      <c r="AY35" s="47">
        <f t="array" ref="AY35">IF(AND(ISNUMBER(MATCH(AY$2, AsistenciaJetAdminConcatenada!$A:$A, 0)), ISNUMBER(MATCH(AY$1, AsistenciaJetAdminConcatenada!$B:$B, 0)), ISNUMBER(SEARCH($A35,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ISNUMBER(SEARCH($A35, INDEX(AsistenciaJetAdminConcatenada!$D:$D, MATCH(1, (AsistenciaJetAdminConcatenada!$A:$A=AY$2)*(AsistenciaJetAdminConcatenada!$B:$B=AY$1), 0)), 1))),  0.5, 0))</f>
        <v>1</v>
      </c>
      <c r="AZ35" s="47">
        <f t="array" ref="AZ35">IF(AND(ISNUMBER(MATCH(AZ$2, AsistenciaJetAdminConcatenada!$A:$A, 0)), ISNUMBER(MATCH(AZ$1, AsistenciaJetAdminConcatenada!$B:$B, 0)), ISNUMBER(SEARCH($A35,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ISNUMBER(SEARCH($A35, INDEX(AsistenciaJetAdminConcatenada!$D:$D, MATCH(1, (AsistenciaJetAdminConcatenada!$A:$A=AZ$2)*(AsistenciaJetAdminConcatenada!$B:$B=AZ$1), 0)), 1))),  0.5, 0))</f>
        <v>0</v>
      </c>
      <c r="BA35" s="47">
        <f t="array" ref="BA35">IF(AND(ISNUMBER(MATCH(BA$2, AsistenciaJetAdminConcatenada!$A:$A, 0)), ISNUMBER(MATCH(BA$1, AsistenciaJetAdminConcatenada!$B:$B, 0)), ISNUMBER(SEARCH($A35,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ISNUMBER(SEARCH($A35, INDEX(AsistenciaJetAdminConcatenada!$D:$D, MATCH(1, (AsistenciaJetAdminConcatenada!$A:$A=BA$2)*(AsistenciaJetAdminConcatenada!$B:$B=BA$1), 0)), 1))),  0.5, 0))</f>
        <v>0</v>
      </c>
      <c r="BB35" s="47">
        <f t="array" ref="BB35">IF(AND(ISNUMBER(MATCH(BB$2, AsistenciaJetAdminConcatenada!$A:$A, 0)), ISNUMBER(MATCH(BB$1, AsistenciaJetAdminConcatenada!$B:$B, 0)), ISNUMBER(SEARCH($A35,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ISNUMBER(SEARCH($A35, INDEX(AsistenciaJetAdminConcatenada!$D:$D, MATCH(1, (AsistenciaJetAdminConcatenada!$A:$A=BB$2)*(AsistenciaJetAdminConcatenada!$B:$B=BB$1), 0)), 1))),  0.5, 0))</f>
        <v>1</v>
      </c>
      <c r="BC35" s="47">
        <f t="array" ref="BC35">IF(AND(ISNUMBER(MATCH(BC$2, AsistenciaJetAdminConcatenada!$A:$A, 0)), ISNUMBER(MATCH(BC$1, AsistenciaJetAdminConcatenada!$B:$B, 0)), ISNUMBER(SEARCH($A35,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ISNUMBER(SEARCH($A35, INDEX(AsistenciaJetAdminConcatenada!$D:$D, MATCH(1, (AsistenciaJetAdminConcatenada!$A:$A=BC$2)*(AsistenciaJetAdminConcatenada!$B:$B=BC$1), 0)), 1))),  0.5, 0))</f>
        <v>0.5</v>
      </c>
      <c r="BD35" s="47">
        <f t="array" ref="BD35">IF(AND(ISNUMBER(MATCH(BD$2, AsistenciaJetAdminConcatenada!$A:$A, 0)), ISNUMBER(MATCH(BD$1, AsistenciaJetAdminConcatenada!$B:$B, 0)), ISNUMBER(SEARCH($A35,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ISNUMBER(SEARCH($A35, INDEX(AsistenciaJetAdminConcatenada!$D:$D, MATCH(1, (AsistenciaJetAdminConcatenada!$A:$A=BD$2)*(AsistenciaJetAdminConcatenada!$B:$B=BD$1), 0)), 1))),  0.5, 0))</f>
        <v>0</v>
      </c>
      <c r="BE35" s="47">
        <f t="array" ref="BE35">IF(AND(ISNUMBER(MATCH(BE$2, AsistenciaJetAdminConcatenada!$A:$A, 0)), ISNUMBER(MATCH(BE$1, AsistenciaJetAdminConcatenada!$B:$B, 0)), ISNUMBER(SEARCH($A35,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ISNUMBER(SEARCH($A35, INDEX(AsistenciaJetAdminConcatenada!$D:$D, MATCH(1, (AsistenciaJetAdminConcatenada!$A:$A=BE$2)*(AsistenciaJetAdminConcatenada!$B:$B=BE$1), 0)), 1))),  0.5, 0))</f>
        <v>1</v>
      </c>
      <c r="BF35" s="47">
        <f t="array" ref="BF35">IF(AND(ISNUMBER(MATCH(BF$2, AsistenciaJetAdminConcatenada!$A:$A, 0)), ISNUMBER(MATCH(BF$1, AsistenciaJetAdminConcatenada!$B:$B, 0)), ISNUMBER(SEARCH($A35,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ISNUMBER(SEARCH($A35, INDEX(AsistenciaJetAdminConcatenada!$D:$D, MATCH(1, (AsistenciaJetAdminConcatenada!$A:$A=BF$2)*(AsistenciaJetAdminConcatenada!$B:$B=BF$1), 0)), 1))),  0.5, 0))</f>
        <v>0</v>
      </c>
      <c r="BG35" s="47">
        <f t="array" ref="BG35">IF(AND(ISNUMBER(MATCH(BG$2, AsistenciaJetAdminConcatenada!$A:$A, 0)), ISNUMBER(MATCH(BG$1, AsistenciaJetAdminConcatenada!$B:$B, 0)), ISNUMBER(SEARCH($A35,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ISNUMBER(SEARCH($A35, INDEX(AsistenciaJetAdminConcatenada!$D:$D, MATCH(1, (AsistenciaJetAdminConcatenada!$A:$A=BG$2)*(AsistenciaJetAdminConcatenada!$B:$B=BG$1), 0)), 1))),  0.5, 0))</f>
        <v>1</v>
      </c>
      <c r="BH35" s="47">
        <f t="array" ref="BH35">IF(AND(ISNUMBER(MATCH(BH$2, AsistenciaJetAdminConcatenada!$A:$A, 0)), ISNUMBER(MATCH(BH$1, AsistenciaJetAdminConcatenada!$B:$B, 0)), ISNUMBER(SEARCH($A35,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ISNUMBER(SEARCH($A35, INDEX(AsistenciaJetAdminConcatenada!$D:$D, MATCH(1, (AsistenciaJetAdminConcatenada!$A:$A=BH$2)*(AsistenciaJetAdminConcatenada!$B:$B=BH$1), 0)), 1))),  0.5, 0))</f>
        <v>1</v>
      </c>
      <c r="BI35" s="47">
        <f t="array" ref="BI35">IF(AND(ISNUMBER(MATCH(BI$2, AsistenciaJetAdminConcatenada!$A:$A, 0)), ISNUMBER(MATCH(BI$1, AsistenciaJetAdminConcatenada!$B:$B, 0)), ISNUMBER(SEARCH($A35,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ISNUMBER(SEARCH($A35, INDEX(AsistenciaJetAdminConcatenada!$D:$D, MATCH(1, (AsistenciaJetAdminConcatenada!$A:$A=BI$2)*(AsistenciaJetAdminConcatenada!$B:$B=BI$1), 0)), 1))),  0.5, 0))</f>
        <v>1</v>
      </c>
      <c r="BJ35" s="47">
        <f t="array" ref="BJ35">IF(AND(ISNUMBER(MATCH(BJ$2, AsistenciaJetAdminConcatenada!$A:$A, 0)), ISNUMBER(MATCH(BJ$1, AsistenciaJetAdminConcatenada!$B:$B, 0)), ISNUMBER(SEARCH($A35,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ISNUMBER(SEARCH($A35, INDEX(AsistenciaJetAdminConcatenada!$D:$D, MATCH(1, (AsistenciaJetAdminConcatenada!$A:$A=BJ$2)*(AsistenciaJetAdminConcatenada!$B:$B=BJ$1), 0)), 1))),  0.5, 0))</f>
        <v>0</v>
      </c>
      <c r="BK35" s="47">
        <f t="array" ref="BK35">IF(AND(ISNUMBER(MATCH(BK$2, AsistenciaJetAdminConcatenada!$A:$A, 0)), ISNUMBER(MATCH(BK$1, AsistenciaJetAdminConcatenada!$B:$B, 0)), ISNUMBER(SEARCH($A35,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ISNUMBER(SEARCH($A35, INDEX(AsistenciaJetAdminConcatenada!$D:$D, MATCH(1, (AsistenciaJetAdminConcatenada!$A:$A=BK$2)*(AsistenciaJetAdminConcatenada!$B:$B=BK$1), 0)), 1))),  0.5, 0))</f>
        <v>1</v>
      </c>
      <c r="BL35" s="47">
        <f t="array" ref="BL35">IF(AND(ISNUMBER(MATCH(BL$2, AsistenciaJetAdminConcatenada!$A:$A, 0)), ISNUMBER(MATCH(BL$1, AsistenciaJetAdminConcatenada!$B:$B, 0)), ISNUMBER(SEARCH($A35,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ISNUMBER(SEARCH($A35, INDEX(AsistenciaJetAdminConcatenada!$D:$D, MATCH(1, (AsistenciaJetAdminConcatenada!$A:$A=BL$2)*(AsistenciaJetAdminConcatenada!$B:$B=BL$1), 0)), 1))),  0.5, 0))</f>
        <v>1</v>
      </c>
      <c r="BM35" s="47">
        <f t="array" ref="BM35">IF(AND(ISNUMBER(MATCH(BM$2, AsistenciaJetAdminConcatenada!$A:$A, 0)), ISNUMBER(MATCH(BM$1, AsistenciaJetAdminConcatenada!$B:$B, 0)), ISNUMBER(SEARCH($A35,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ISNUMBER(SEARCH($A35, INDEX(AsistenciaJetAdminConcatenada!$D:$D, MATCH(1, (AsistenciaJetAdminConcatenada!$A:$A=BM$2)*(AsistenciaJetAdminConcatenada!$B:$B=BM$1), 0)), 1))),  0.5, 0))</f>
        <v>0</v>
      </c>
      <c r="BN35" s="47">
        <f t="array" ref="BN35">IF(AND(ISNUMBER(MATCH(BN$2, AsistenciaJetAdminConcatenada!$A:$A, 0)), ISNUMBER(MATCH(BN$1, AsistenciaJetAdminConcatenada!$B:$B, 0)), ISNUMBER(SEARCH($A35,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ISNUMBER(SEARCH($A35, INDEX(AsistenciaJetAdminConcatenada!$D:$D, MATCH(1, (AsistenciaJetAdminConcatenada!$A:$A=BN$2)*(AsistenciaJetAdminConcatenada!$B:$B=BN$1), 0)), 1))),  0.5, 0))</f>
        <v>0.5</v>
      </c>
      <c r="BO35" s="47">
        <f t="array" ref="BO35">IF(AND(ISNUMBER(MATCH(BO$2, AsistenciaJetAdminConcatenada!$A:$A, 0)), ISNUMBER(MATCH(BO$1, AsistenciaJetAdminConcatenada!$B:$B, 0)), ISNUMBER(SEARCH($A35,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ISNUMBER(SEARCH($A35, INDEX(AsistenciaJetAdminConcatenada!$D:$D, MATCH(1, (AsistenciaJetAdminConcatenada!$A:$A=BO$2)*(AsistenciaJetAdminConcatenada!$B:$B=BO$1), 0)), 1))),  0.5, 0))</f>
        <v>0</v>
      </c>
      <c r="BP35" s="47">
        <f t="array" ref="BP35">IF(AND(ISNUMBER(MATCH(BP$2, AsistenciaJetAdminConcatenada!$A:$A, 0)), ISNUMBER(MATCH(BP$1, AsistenciaJetAdminConcatenada!$B:$B, 0)), ISNUMBER(SEARCH($A35,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ISNUMBER(SEARCH($A35, INDEX(AsistenciaJetAdminConcatenada!$D:$D, MATCH(1, (AsistenciaJetAdminConcatenada!$A:$A=BP$2)*(AsistenciaJetAdminConcatenada!$B:$B=BP$1), 0)), 1))),  0.5, 0))</f>
        <v>0</v>
      </c>
      <c r="BQ35" s="47">
        <f t="array" ref="BQ35">IF(AND(ISNUMBER(MATCH(BQ$2, AsistenciaJetAdminConcatenada!$A:$A, 0)), ISNUMBER(MATCH(BQ$1, AsistenciaJetAdminConcatenada!$B:$B, 0)), ISNUMBER(SEARCH($A35,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ISNUMBER(SEARCH($A35, INDEX(AsistenciaJetAdminConcatenada!$D:$D, MATCH(1, (AsistenciaJetAdminConcatenada!$A:$A=BQ$2)*(AsistenciaJetAdminConcatenada!$B:$B=BQ$1), 0)), 1))),  0.5, 0))</f>
        <v>1</v>
      </c>
      <c r="BR35" s="47">
        <f t="array" ref="BR35">IF(AND(ISNUMBER(MATCH(BR$2, AsistenciaJetAdminConcatenada!$A:$A, 0)), ISNUMBER(MATCH(BR$1, AsistenciaJetAdminConcatenada!$B:$B, 0)), ISNUMBER(SEARCH($A35,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ISNUMBER(SEARCH($A35, INDEX(AsistenciaJetAdminConcatenada!$D:$D, MATCH(1, (AsistenciaJetAdminConcatenada!$A:$A=BR$2)*(AsistenciaJetAdminConcatenada!$B:$B=BR$1), 0)), 1))),  0.5, 0))</f>
        <v>1</v>
      </c>
      <c r="BS35" s="47">
        <f t="array" ref="BS35">IF(AND(ISNUMBER(MATCH(BS$2, AsistenciaJetAdminConcatenada!$A:$A, 0)), ISNUMBER(MATCH(BS$1, AsistenciaJetAdminConcatenada!$B:$B, 0)), ISNUMBER(SEARCH($A35,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ISNUMBER(SEARCH($A35, INDEX(AsistenciaJetAdminConcatenada!$D:$D, MATCH(1, (AsistenciaJetAdminConcatenada!$A:$A=BS$2)*(AsistenciaJetAdminConcatenada!$B:$B=BS$1), 0)), 1))),  0.5, 0))</f>
        <v>1</v>
      </c>
      <c r="BT35" s="47">
        <f t="array" ref="BT35">IF(AND(ISNUMBER(MATCH(BT$2, AsistenciaJetAdminConcatenada!$A:$A, 0)), ISNUMBER(MATCH(BT$1, AsistenciaJetAdminConcatenada!$B:$B, 0)), ISNUMBER(SEARCH($A35,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ISNUMBER(SEARCH($A35, INDEX(AsistenciaJetAdminConcatenada!$D:$D, MATCH(1, (AsistenciaJetAdminConcatenada!$A:$A=BT$2)*(AsistenciaJetAdminConcatenada!$B:$B=BT$1), 0)), 1))),  0.5, 0))</f>
        <v>1</v>
      </c>
      <c r="BU35" s="47">
        <f t="array" ref="BU35">IF(AND(ISNUMBER(MATCH(BU$2, AsistenciaJetAdminConcatenada!$A:$A, 0)), ISNUMBER(MATCH(BU$1, AsistenciaJetAdminConcatenada!$B:$B, 0)), ISNUMBER(SEARCH($A35,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ISNUMBER(SEARCH($A35, INDEX(AsistenciaJetAdminConcatenada!$D:$D, MATCH(1, (AsistenciaJetAdminConcatenada!$A:$A=BU$2)*(AsistenciaJetAdminConcatenada!$B:$B=BU$1), 0)), 1))),  0.5, 0))</f>
        <v>1</v>
      </c>
      <c r="BV35" s="47">
        <f t="array" ref="BV35">IF(AND(ISNUMBER(MATCH(BV$2, AsistenciaJetAdminConcatenada!$A:$A, 0)), ISNUMBER(MATCH(BV$1, AsistenciaJetAdminConcatenada!$B:$B, 0)), ISNUMBER(SEARCH($A35,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ISNUMBER(SEARCH($A35, INDEX(AsistenciaJetAdminConcatenada!$D:$D, MATCH(1, (AsistenciaJetAdminConcatenada!$A:$A=BV$2)*(AsistenciaJetAdminConcatenada!$B:$B=BV$1), 0)), 1))),  0.5, 0))</f>
        <v>0</v>
      </c>
      <c r="BW35" s="47">
        <f t="array" ref="BW35">IF(AND(ISNUMBER(MATCH(BW$2, AsistenciaJetAdminConcatenada!$A:$A, 0)), ISNUMBER(MATCH(BW$1, AsistenciaJetAdminConcatenada!$B:$B, 0)), ISNUMBER(SEARCH($A35,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ISNUMBER(SEARCH($A35, INDEX(AsistenciaJetAdminConcatenada!$D:$D, MATCH(1, (AsistenciaJetAdminConcatenada!$A:$A=BW$2)*(AsistenciaJetAdminConcatenada!$B:$B=BW$1), 0)), 1))),  0.5, 0))</f>
        <v>0</v>
      </c>
      <c r="BX35" s="47">
        <f t="array" ref="BX35">IF(AND(ISNUMBER(MATCH(BX$2, AsistenciaJetAdminConcatenada!$A:$A, 0)), ISNUMBER(MATCH(BX$1, AsistenciaJetAdminConcatenada!$B:$B, 0)), ISNUMBER(SEARCH($A35,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ISNUMBER(SEARCH($A35, INDEX(AsistenciaJetAdminConcatenada!$D:$D, MATCH(1, (AsistenciaJetAdminConcatenada!$A:$A=BX$2)*(AsistenciaJetAdminConcatenada!$B:$B=BX$1), 0)), 1))),  0.5, 0))</f>
        <v>1</v>
      </c>
      <c r="BY35" s="47">
        <f t="array" ref="BY35">IF(AND(ISNUMBER(MATCH(BY$2, AsistenciaJetAdminConcatenada!$A:$A, 0)), ISNUMBER(MATCH(BY$1, AsistenciaJetAdminConcatenada!$B:$B, 0)), ISNUMBER(SEARCH($A35,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ISNUMBER(SEARCH($A35, INDEX(AsistenciaJetAdminConcatenada!$D:$D, MATCH(1, (AsistenciaJetAdminConcatenada!$A:$A=BY$2)*(AsistenciaJetAdminConcatenada!$B:$B=BY$1), 0)), 1))),  0.5, 0))</f>
        <v>0</v>
      </c>
      <c r="BZ35" s="47">
        <f t="array" ref="BZ35">IF(AND(ISNUMBER(MATCH(BZ$2, AsistenciaJetAdminConcatenada!$A:$A, 0)), ISNUMBER(MATCH(BZ$1, AsistenciaJetAdminConcatenada!$B:$B, 0)), ISNUMBER(SEARCH($A35,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ISNUMBER(SEARCH($A35, INDEX(AsistenciaJetAdminConcatenada!$D:$D, MATCH(1, (AsistenciaJetAdminConcatenada!$A:$A=BZ$2)*(AsistenciaJetAdminConcatenada!$B:$B=BZ$1), 0)), 1))),  0.5, 0))</f>
        <v>0</v>
      </c>
      <c r="CA35" s="47">
        <f t="array" ref="CA35">IF(AND(ISNUMBER(MATCH(CA$2, AsistenciaJetAdminConcatenada!$A:$A, 0)), ISNUMBER(MATCH(CA$1, AsistenciaJetAdminConcatenada!$B:$B, 0)), ISNUMBER(SEARCH($A35,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ISNUMBER(SEARCH($A35, INDEX(AsistenciaJetAdminConcatenada!$D:$D, MATCH(1, (AsistenciaJetAdminConcatenada!$A:$A=CA$2)*(AsistenciaJetAdminConcatenada!$B:$B=CA$1), 0)), 1))),  0.5, 0))</f>
        <v>1</v>
      </c>
      <c r="CB35" s="47">
        <f t="array" ref="CB35">IF(AND(ISNUMBER(MATCH(CB$2, AsistenciaJetAdminConcatenada!$A:$A, 0)), ISNUMBER(MATCH(CB$1, AsistenciaJetAdminConcatenada!$B:$B, 0)), ISNUMBER(SEARCH($A35,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ISNUMBER(SEARCH($A35, INDEX(AsistenciaJetAdminConcatenada!$D:$D, MATCH(1, (AsistenciaJetAdminConcatenada!$A:$A=CB$2)*(AsistenciaJetAdminConcatenada!$B:$B=CB$1), 0)), 1))),  0.5, 0))</f>
        <v>0</v>
      </c>
      <c r="CC35" s="47">
        <f t="array" ref="CC35">IF(AND(ISNUMBER(MATCH(CC$2, AsistenciaJetAdminConcatenada!$A:$A, 0)), ISNUMBER(MATCH(CC$1, AsistenciaJetAdminConcatenada!$B:$B, 0)), ISNUMBER(SEARCH($A35,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ISNUMBER(SEARCH($A35, INDEX(AsistenciaJetAdminConcatenada!$D:$D, MATCH(1, (AsistenciaJetAdminConcatenada!$A:$A=CC$2)*(AsistenciaJetAdminConcatenada!$B:$B=CC$1), 0)), 1))),  0.5, 0))</f>
        <v>0</v>
      </c>
      <c r="CD35" s="47">
        <f t="array" ref="CD35">IF(AND(ISNUMBER(MATCH(CD$2, AsistenciaJetAdminConcatenada!$A:$A, 0)), ISNUMBER(MATCH(CD$1, AsistenciaJetAdminConcatenada!$B:$B, 0)), ISNUMBER(SEARCH($A35,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ISNUMBER(SEARCH($A35, INDEX(AsistenciaJetAdminConcatenada!$D:$D, MATCH(1, (AsistenciaJetAdminConcatenada!$A:$A=CD$2)*(AsistenciaJetAdminConcatenada!$B:$B=CD$1), 0)), 1))),  0.5, 0))</f>
        <v>1</v>
      </c>
      <c r="CE35" s="47">
        <f t="array" ref="CE35">IF(AND(ISNUMBER(MATCH(CE$2, AsistenciaJetAdminConcatenada!$A:$A, 0)), ISNUMBER(MATCH(CE$1, AsistenciaJetAdminConcatenada!$B:$B, 0)), ISNUMBER(SEARCH($A35,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ISNUMBER(SEARCH($A35, INDEX(AsistenciaJetAdminConcatenada!$D:$D, MATCH(1, (AsistenciaJetAdminConcatenada!$A:$A=CE$2)*(AsistenciaJetAdminConcatenada!$B:$B=CE$1), 0)), 1))),  0.5, 0))</f>
        <v>1</v>
      </c>
      <c r="CF35" s="47">
        <f t="array" ref="CF35">IF(AND(ISNUMBER(MATCH(CF$2, AsistenciaJetAdminConcatenada!$A:$A, 0)), ISNUMBER(MATCH(CF$1, AsistenciaJetAdminConcatenada!$B:$B, 0)), ISNUMBER(SEARCH($A35,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ISNUMBER(SEARCH($A35, INDEX(AsistenciaJetAdminConcatenada!$D:$D, MATCH(1, (AsistenciaJetAdminConcatenada!$A:$A=CF$2)*(AsistenciaJetAdminConcatenada!$B:$B=CF$1), 0)), 1))),  0.5, 0))</f>
        <v>1</v>
      </c>
      <c r="CG35" s="47">
        <f t="array" ref="CG35">IF(AND(ISNUMBER(MATCH(CG$2, AsistenciaJetAdminConcatenada!$A:$A, 0)), ISNUMBER(MATCH(CG$1, AsistenciaJetAdminConcatenada!$B:$B, 0)), ISNUMBER(SEARCH($A35,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ISNUMBER(SEARCH($A35, INDEX(AsistenciaJetAdminConcatenada!$D:$D, MATCH(1, (AsistenciaJetAdminConcatenada!$A:$A=CG$2)*(AsistenciaJetAdminConcatenada!$B:$B=CG$1), 0)), 1))),  0.5, 0))</f>
        <v>0</v>
      </c>
      <c r="CH35" s="47">
        <f t="array" ref="CH35">IF(AND(ISNUMBER(MATCH(CH$2, AsistenciaJetAdminConcatenada!$A:$A, 0)), ISNUMBER(MATCH(CH$1, AsistenciaJetAdminConcatenada!$B:$B, 0)), ISNUMBER(SEARCH($A35,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ISNUMBER(SEARCH($A35, INDEX(AsistenciaJetAdminConcatenada!$D:$D, MATCH(1, (AsistenciaJetAdminConcatenada!$A:$A=CH$2)*(AsistenciaJetAdminConcatenada!$B:$B=CH$1), 0)), 1))),  0.5, 0))</f>
        <v>1</v>
      </c>
      <c r="CI35" s="47">
        <f t="array" ref="CI35">IF(AND(ISNUMBER(MATCH(CI$2, AsistenciaJetAdminConcatenada!$A:$A, 0)), ISNUMBER(MATCH(CI$1, AsistenciaJetAdminConcatenada!$B:$B, 0)), ISNUMBER(SEARCH($A35,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ISNUMBER(SEARCH($A35, INDEX(AsistenciaJetAdminConcatenada!$D:$D, MATCH(1, (AsistenciaJetAdminConcatenada!$A:$A=CI$2)*(AsistenciaJetAdminConcatenada!$B:$B=CI$1), 0)), 1))),  0.5, 0))</f>
        <v>1</v>
      </c>
      <c r="CJ35" s="47">
        <f t="array" ref="CJ35">IF(AND(ISNUMBER(MATCH(CJ$2, AsistenciaJetAdminConcatenada!$A:$A, 0)), ISNUMBER(MATCH(CJ$1, AsistenciaJetAdminConcatenada!$B:$B, 0)), ISNUMBER(SEARCH($A35,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ISNUMBER(SEARCH($A35, INDEX(AsistenciaJetAdminConcatenada!$D:$D, MATCH(1, (AsistenciaJetAdminConcatenada!$A:$A=CJ$2)*(AsistenciaJetAdminConcatenada!$B:$B=CJ$1), 0)), 1))),  0.5, 0))</f>
        <v>1</v>
      </c>
      <c r="CK35" s="47">
        <f t="array" ref="CK35">IF(AND(ISNUMBER(MATCH(CK$2, AsistenciaJetAdminConcatenada!$A:$A, 0)), ISNUMBER(MATCH(CK$1, AsistenciaJetAdminConcatenada!$B:$B, 0)), ISNUMBER(SEARCH($A35,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ISNUMBER(SEARCH($A35, INDEX(AsistenciaJetAdminConcatenada!$D:$D, MATCH(1, (AsistenciaJetAdminConcatenada!$A:$A=CK$2)*(AsistenciaJetAdminConcatenada!$B:$B=CK$1), 0)), 1))),  0.5, 0))</f>
        <v>1</v>
      </c>
      <c r="CL35" s="47">
        <f t="array" ref="CL35">IF(AND(ISNUMBER(MATCH(CL$2, AsistenciaJetAdminConcatenada!$A:$A, 0)), ISNUMBER(MATCH(CL$1, AsistenciaJetAdminConcatenada!$B:$B, 0)), ISNUMBER(SEARCH($A35,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ISNUMBER(SEARCH($A35, INDEX(AsistenciaJetAdminConcatenada!$D:$D, MATCH(1, (AsistenciaJetAdminConcatenada!$A:$A=CL$2)*(AsistenciaJetAdminConcatenada!$B:$B=CL$1), 0)), 1))),  0.5, 0))</f>
        <v>1</v>
      </c>
      <c r="CM35" s="47">
        <f t="array" ref="CM35">IF(AND(ISNUMBER(MATCH(CM$2, AsistenciaJetAdminConcatenada!$A:$A, 0)), ISNUMBER(MATCH(CM$1, AsistenciaJetAdminConcatenada!$B:$B, 0)), ISNUMBER(SEARCH($A35,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ISNUMBER(SEARCH($A35, INDEX(AsistenciaJetAdminConcatenada!$D:$D, MATCH(1, (AsistenciaJetAdminConcatenada!$A:$A=CM$2)*(AsistenciaJetAdminConcatenada!$B:$B=CM$1), 0)), 1))),  0.5, 0))</f>
        <v>1</v>
      </c>
      <c r="CN35" s="47">
        <f t="array" ref="CN35">IF(AND(ISNUMBER(MATCH(CN$2, AsistenciaJetAdminConcatenada!$A:$A, 0)), ISNUMBER(MATCH(CN$1, AsistenciaJetAdminConcatenada!$B:$B, 0)), ISNUMBER(SEARCH($A35,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ISNUMBER(SEARCH($A35, INDEX(AsistenciaJetAdminConcatenada!$D:$D, MATCH(1, (AsistenciaJetAdminConcatenada!$A:$A=CN$2)*(AsistenciaJetAdminConcatenada!$B:$B=CN$1), 0)), 1))),  0.5, 0))</f>
        <v>0</v>
      </c>
      <c r="CO35" s="47">
        <f t="array" ref="CO35">IF(AND(ISNUMBER(MATCH(CO$2, AsistenciaJetAdminConcatenada!$A:$A, 0)), ISNUMBER(MATCH(CO$1, AsistenciaJetAdminConcatenada!$B:$B, 0)), ISNUMBER(SEARCH($A35,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ISNUMBER(SEARCH($A35, INDEX(AsistenciaJetAdminConcatenada!$D:$D, MATCH(1, (AsistenciaJetAdminConcatenada!$A:$A=CO$2)*(AsistenciaJetAdminConcatenada!$B:$B=CO$1), 0)), 1))),  0.5, 0))</f>
        <v>1</v>
      </c>
      <c r="CP35" s="47">
        <f t="array" ref="CP35">IF(AND(ISNUMBER(MATCH(CP$2, AsistenciaJetAdminConcatenada!$A:$A, 0)), ISNUMBER(MATCH(CP$1, AsistenciaJetAdminConcatenada!$B:$B, 0)), ISNUMBER(SEARCH($A35,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ISNUMBER(SEARCH($A35, INDEX(AsistenciaJetAdminConcatenada!$D:$D, MATCH(1, (AsistenciaJetAdminConcatenada!$A:$A=CP$2)*(AsistenciaJetAdminConcatenada!$B:$B=CP$1), 0)), 1))),  0.5, 0))</f>
        <v>1</v>
      </c>
      <c r="CQ35" s="47">
        <f t="array" ref="CQ35">IF(AND(ISNUMBER(MATCH(CQ$2, AsistenciaJetAdminConcatenada!$A:$A, 0)), ISNUMBER(MATCH(CQ$1, AsistenciaJetAdminConcatenada!$B:$B, 0)), ISNUMBER(SEARCH($A35,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ISNUMBER(SEARCH($A35, INDEX(AsistenciaJetAdminConcatenada!$D:$D, MATCH(1, (AsistenciaJetAdminConcatenada!$A:$A=CQ$2)*(AsistenciaJetAdminConcatenada!$B:$B=CQ$1), 0)), 1))),  0.5, 0))</f>
        <v>1</v>
      </c>
      <c r="CR35" s="47">
        <f t="array" ref="CR35">IF(AND(ISNUMBER(MATCH(CR$2, AsistenciaJetAdminConcatenada!$A:$A, 0)), ISNUMBER(MATCH(CR$1, AsistenciaJetAdminConcatenada!$B:$B, 0)), ISNUMBER(SEARCH($A35,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ISNUMBER(SEARCH($A35, INDEX(AsistenciaJetAdminConcatenada!$D:$D, MATCH(1, (AsistenciaJetAdminConcatenada!$A:$A=CR$2)*(AsistenciaJetAdminConcatenada!$B:$B=CR$1), 0)), 1))),  0.5, 0))</f>
        <v>1</v>
      </c>
      <c r="CS35" s="47">
        <f t="array" ref="CS35">IF(AND(ISNUMBER(MATCH(CS$2, AsistenciaJetAdminConcatenada!$A:$A, 0)), ISNUMBER(MATCH(CS$1, AsistenciaJetAdminConcatenada!$B:$B, 0)), ISNUMBER(SEARCH($A35,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ISNUMBER(SEARCH($A35, INDEX(AsistenciaJetAdminConcatenada!$D:$D, MATCH(1, (AsistenciaJetAdminConcatenada!$A:$A=CS$2)*(AsistenciaJetAdminConcatenada!$B:$B=CS$1), 0)), 1))),  0.5, 0))</f>
        <v>0</v>
      </c>
      <c r="CT35" s="47">
        <f t="array" ref="CT35">IF(AND(ISNUMBER(MATCH(CT$2, AsistenciaJetAdminConcatenada!$A:$A, 0)), ISNUMBER(MATCH(CT$1, AsistenciaJetAdminConcatenada!$B:$B, 0)), ISNUMBER(SEARCH($A35,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ISNUMBER(SEARCH($A35, INDEX(AsistenciaJetAdminConcatenada!$D:$D, MATCH(1, (AsistenciaJetAdminConcatenada!$A:$A=CT$2)*(AsistenciaJetAdminConcatenada!$B:$B=CT$1), 0)), 1))),  0.5, 0))</f>
        <v>0</v>
      </c>
      <c r="CU35" s="47">
        <f t="array" ref="CU35">IF(AND(ISNUMBER(MATCH(CU$2, AsistenciaJetAdminConcatenada!$A:$A, 0)), ISNUMBER(MATCH(CU$1, AsistenciaJetAdminConcatenada!$B:$B, 0)), ISNUMBER(SEARCH($A35,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ISNUMBER(SEARCH($A35, INDEX(AsistenciaJetAdminConcatenada!$D:$D, MATCH(1, (AsistenciaJetAdminConcatenada!$A:$A=CU$2)*(AsistenciaJetAdminConcatenada!$B:$B=CU$1), 0)), 1))),  0.5, 0))</f>
        <v>0</v>
      </c>
      <c r="CV35" s="47">
        <f t="array" ref="CV35">IF(AND(ISNUMBER(MATCH(CV$2, AsistenciaJetAdminConcatenada!$A:$A, 0)), ISNUMBER(MATCH(CV$1, AsistenciaJetAdminConcatenada!$B:$B, 0)), ISNUMBER(SEARCH($A35,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ISNUMBER(SEARCH($A35, INDEX(AsistenciaJetAdminConcatenada!$D:$D, MATCH(1, (AsistenciaJetAdminConcatenada!$A:$A=CV$2)*(AsistenciaJetAdminConcatenada!$B:$B=CV$1), 0)), 1))),  0.5, 0))</f>
        <v>0</v>
      </c>
      <c r="CW35" s="47">
        <f t="array" ref="CW35">IF(AND(ISNUMBER(MATCH(CW$2, AsistenciaJetAdminConcatenada!$A:$A, 0)), ISNUMBER(MATCH(CW$1, AsistenciaJetAdminConcatenada!$B:$B, 0)), ISNUMBER(SEARCH($A35,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ISNUMBER(SEARCH($A35, INDEX(AsistenciaJetAdminConcatenada!$D:$D, MATCH(1, (AsistenciaJetAdminConcatenada!$A:$A=CW$2)*(AsistenciaJetAdminConcatenada!$B:$B=CW$1), 0)), 1))),  0.5, 0))</f>
        <v>0</v>
      </c>
      <c r="CX35" s="47">
        <f t="array" ref="CX35">IF(AND(ISNUMBER(MATCH(CX$2, AsistenciaJetAdminConcatenada!$A:$A, 0)), ISNUMBER(MATCH(CX$1, AsistenciaJetAdminConcatenada!$B:$B, 0)), ISNUMBER(SEARCH($A35,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ISNUMBER(SEARCH($A35, INDEX(AsistenciaJetAdminConcatenada!$D:$D, MATCH(1, (AsistenciaJetAdminConcatenada!$A:$A=CX$2)*(AsistenciaJetAdminConcatenada!$B:$B=CX$1), 0)), 1))),  0.5, 0))</f>
        <v>0</v>
      </c>
      <c r="CY35" s="47">
        <f t="array" ref="CY35">IF(AND(ISNUMBER(MATCH(CY$2, AsistenciaJetAdminConcatenada!$A:$A, 0)), ISNUMBER(MATCH(CY$1, AsistenciaJetAdminConcatenada!$B:$B, 0)), ISNUMBER(SEARCH($A35,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ISNUMBER(SEARCH($A35, INDEX(AsistenciaJetAdminConcatenada!$D:$D, MATCH(1, (AsistenciaJetAdminConcatenada!$A:$A=CY$2)*(AsistenciaJetAdminConcatenada!$B:$B=CY$1), 0)), 1))),  0.5, 0))</f>
        <v>0</v>
      </c>
      <c r="CZ35" s="47">
        <f t="array" ref="CZ35">IF(AND(ISNUMBER(MATCH(CZ$2, AsistenciaJetAdminConcatenada!$A:$A, 0)), ISNUMBER(MATCH(CZ$1, AsistenciaJetAdminConcatenada!$B:$B, 0)), ISNUMBER(SEARCH($A35,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ISNUMBER(SEARCH($A35, INDEX(AsistenciaJetAdminConcatenada!$D:$D, MATCH(1, (AsistenciaJetAdminConcatenada!$A:$A=CZ$2)*(AsistenciaJetAdminConcatenada!$B:$B=CZ$1), 0)), 1))),  0.5, 0))</f>
        <v>0</v>
      </c>
      <c r="DA35" s="47">
        <f t="array" ref="DA35">IF(AND(ISNUMBER(MATCH(DA$2, AsistenciaJetAdminConcatenada!$A:$A, 0)), ISNUMBER(MATCH(DA$1, AsistenciaJetAdminConcatenada!$B:$B, 0)), ISNUMBER(SEARCH($A35,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ISNUMBER(SEARCH($A35, INDEX(AsistenciaJetAdminConcatenada!$D:$D, MATCH(1, (AsistenciaJetAdminConcatenada!$A:$A=DA$2)*(AsistenciaJetAdminConcatenada!$B:$B=DA$1), 0)), 1))),  0.5, 0))</f>
        <v>0</v>
      </c>
      <c r="DB35" s="47">
        <f t="array" ref="DB35">IF(AND(ISNUMBER(MATCH(DB$2, AsistenciaJetAdminConcatenada!$A:$A, 0)), ISNUMBER(MATCH(DB$1, AsistenciaJetAdminConcatenada!$B:$B, 0)), ISNUMBER(SEARCH($A35,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ISNUMBER(SEARCH($A35, INDEX(AsistenciaJetAdminConcatenada!$D:$D, MATCH(1, (AsistenciaJetAdminConcatenada!$A:$A=DB$2)*(AsistenciaJetAdminConcatenada!$B:$B=DB$1), 0)), 1))),  0.5, 0))</f>
        <v>0</v>
      </c>
      <c r="DC35" s="47">
        <f t="array" ref="DC35">IF(AND(ISNUMBER(MATCH(DC$2, AsistenciaJetAdminConcatenada!$A:$A, 0)), ISNUMBER(MATCH(DC$1, AsistenciaJetAdminConcatenada!$B:$B, 0)), ISNUMBER(SEARCH($A35,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ISNUMBER(SEARCH($A35, INDEX(AsistenciaJetAdminConcatenada!$D:$D, MATCH(1, (AsistenciaJetAdminConcatenada!$A:$A=DC$2)*(AsistenciaJetAdminConcatenada!$B:$B=DC$1), 0)), 1))),  0.5, 0))</f>
        <v>0</v>
      </c>
      <c r="DD35" s="47">
        <f t="array" ref="DD35">IF(AND(ISNUMBER(MATCH(DD$2, AsistenciaJetAdminConcatenada!$A:$A, 0)), ISNUMBER(MATCH(DD$1, AsistenciaJetAdminConcatenada!$B:$B, 0)), ISNUMBER(SEARCH($A35,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ISNUMBER(SEARCH($A35, INDEX(AsistenciaJetAdminConcatenada!$D:$D, MATCH(1, (AsistenciaJetAdminConcatenada!$A:$A=DD$2)*(AsistenciaJetAdminConcatenada!$B:$B=DD$1), 0)), 1))),  0.5, 0))</f>
        <v>0</v>
      </c>
      <c r="DE35" s="47">
        <f t="array" ref="DE35">IF(AND(ISNUMBER(MATCH(DE$2, AsistenciaJetAdminConcatenada!$A:$A, 0)), ISNUMBER(MATCH(DE$1, AsistenciaJetAdminConcatenada!$B:$B, 0)), ISNUMBER(SEARCH($A35,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ISNUMBER(SEARCH($A35, INDEX(AsistenciaJetAdminConcatenada!$D:$D, MATCH(1, (AsistenciaJetAdminConcatenada!$A:$A=DE$2)*(AsistenciaJetAdminConcatenada!$B:$B=DE$1), 0)), 1))),  0.5, 0))</f>
        <v>0</v>
      </c>
      <c r="DF35" s="47">
        <f t="array" ref="DF35">IF(AND(ISNUMBER(MATCH(DF$2, AsistenciaJetAdminConcatenada!$A:$A, 0)), ISNUMBER(MATCH(DF$1, AsistenciaJetAdminConcatenada!$B:$B, 0)), ISNUMBER(SEARCH($A35,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ISNUMBER(SEARCH($A35, INDEX(AsistenciaJetAdminConcatenada!$D:$D, MATCH(1, (AsistenciaJetAdminConcatenada!$A:$A=DF$2)*(AsistenciaJetAdminConcatenada!$B:$B=DF$1), 0)), 1))),  0.5, 0))</f>
        <v>0</v>
      </c>
      <c r="DG35" s="47">
        <f t="array" ref="DG35">IF(AND(ISNUMBER(MATCH(DG$2, AsistenciaJetAdminConcatenada!$A:$A, 0)), ISNUMBER(MATCH(DG$1, AsistenciaJetAdminConcatenada!$B:$B, 0)), ISNUMBER(SEARCH($A35,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ISNUMBER(SEARCH($A35, INDEX(AsistenciaJetAdminConcatenada!$D:$D, MATCH(1, (AsistenciaJetAdminConcatenada!$A:$A=DG$2)*(AsistenciaJetAdminConcatenada!$B:$B=DG$1), 0)), 1))),  0.5, 0))</f>
        <v>0</v>
      </c>
      <c r="DH35" s="47">
        <f t="array" ref="DH35">IF(AND(ISNUMBER(MATCH(DH$2, AsistenciaJetAdminConcatenada!$A:$A, 0)), ISNUMBER(MATCH(DH$1, AsistenciaJetAdminConcatenada!$B:$B, 0)), ISNUMBER(SEARCH($A35,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ISNUMBER(SEARCH($A35, INDEX(AsistenciaJetAdminConcatenada!$D:$D, MATCH(1, (AsistenciaJetAdminConcatenada!$A:$A=DH$2)*(AsistenciaJetAdminConcatenada!$B:$B=DH$1), 0)), 1))),  0.5, 0))</f>
        <v>0</v>
      </c>
      <c r="DI35" s="47">
        <f t="array" ref="DI35">IF(AND(ISNUMBER(MATCH(DI$2, AsistenciaJetAdminConcatenada!$A:$A, 0)), ISNUMBER(MATCH(DI$1, AsistenciaJetAdminConcatenada!$B:$B, 0)), ISNUMBER(SEARCH($A35,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ISNUMBER(SEARCH($A35, INDEX(AsistenciaJetAdminConcatenada!$D:$D, MATCH(1, (AsistenciaJetAdminConcatenada!$A:$A=DI$2)*(AsistenciaJetAdminConcatenada!$B:$B=DI$1), 0)), 1))),  0.5, 0))</f>
        <v>0</v>
      </c>
      <c r="DJ35" s="47">
        <f t="array" ref="DJ35">IF(AND(ISNUMBER(MATCH(DJ$2, AsistenciaJetAdminConcatenada!$A:$A, 0)), ISNUMBER(MATCH(DJ$1, AsistenciaJetAdminConcatenada!$B:$B, 0)), ISNUMBER(SEARCH($A35,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ISNUMBER(SEARCH($A35, INDEX(AsistenciaJetAdminConcatenada!$D:$D, MATCH(1, (AsistenciaJetAdminConcatenada!$A:$A=DJ$2)*(AsistenciaJetAdminConcatenada!$B:$B=DJ$1), 0)), 1))),  0.5, 0))</f>
        <v>0</v>
      </c>
      <c r="DK35" s="47">
        <f t="array" ref="DK35">IF(AND(ISNUMBER(MATCH(DK$2, AsistenciaJetAdminConcatenada!$A:$A, 0)), ISNUMBER(MATCH(DK$1, AsistenciaJetAdminConcatenada!$B:$B, 0)), ISNUMBER(SEARCH($A35,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ISNUMBER(SEARCH($A35, INDEX(AsistenciaJetAdminConcatenada!$D:$D, MATCH(1, (AsistenciaJetAdminConcatenada!$A:$A=DK$2)*(AsistenciaJetAdminConcatenada!$B:$B=DK$1), 0)), 1))),  0.5, 0))</f>
        <v>0</v>
      </c>
      <c r="DL35" s="47">
        <f t="array" ref="DL35">IF(AND(ISNUMBER(MATCH(DL$2, AsistenciaJetAdminConcatenada!$A:$A, 0)), ISNUMBER(MATCH(DL$1, AsistenciaJetAdminConcatenada!$B:$B, 0)), ISNUMBER(SEARCH($A35,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ISNUMBER(SEARCH($A35, INDEX(AsistenciaJetAdminConcatenada!$D:$D, MATCH(1, (AsistenciaJetAdminConcatenada!$A:$A=DL$2)*(AsistenciaJetAdminConcatenada!$B:$B=DL$1), 0)), 1))),  0.5, 0))</f>
        <v>0</v>
      </c>
      <c r="DM35" s="47">
        <f t="array" ref="DM35">IF(AND(ISNUMBER(MATCH(DM$2, AsistenciaJetAdminConcatenada!$A:$A, 0)), ISNUMBER(MATCH(DM$1, AsistenciaJetAdminConcatenada!$B:$B, 0)), ISNUMBER(SEARCH($A35,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ISNUMBER(SEARCH($A35, INDEX(AsistenciaJetAdminConcatenada!$D:$D, MATCH(1, (AsistenciaJetAdminConcatenada!$A:$A=DM$2)*(AsistenciaJetAdminConcatenada!$B:$B=DM$1), 0)), 1))),  0.5, 0))</f>
        <v>0</v>
      </c>
      <c r="DN35" s="47">
        <f t="array" ref="DN35">IF(AND(ISNUMBER(MATCH(DN$2, AsistenciaJetAdminConcatenada!$A:$A, 0)), ISNUMBER(MATCH(DN$1, AsistenciaJetAdminConcatenada!$B:$B, 0)), ISNUMBER(SEARCH($A35,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ISNUMBER(SEARCH($A35, INDEX(AsistenciaJetAdminConcatenada!$D:$D, MATCH(1, (AsistenciaJetAdminConcatenada!$A:$A=DN$2)*(AsistenciaJetAdminConcatenada!$B:$B=DN$1), 0)), 1))),  0.5, 0))</f>
        <v>0</v>
      </c>
      <c r="DO35" s="47">
        <f t="array" ref="DO35">IF(AND(ISNUMBER(MATCH(DO$2, AsistenciaJetAdminConcatenada!$A:$A, 0)), ISNUMBER(MATCH(DO$1, AsistenciaJetAdminConcatenada!$B:$B, 0)), ISNUMBER(SEARCH($A35,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ISNUMBER(SEARCH($A35, INDEX(AsistenciaJetAdminConcatenada!$D:$D, MATCH(1, (AsistenciaJetAdminConcatenada!$A:$A=DO$2)*(AsistenciaJetAdminConcatenada!$B:$B=DO$1), 0)), 1))),  0.5, 0))</f>
        <v>0</v>
      </c>
      <c r="DP35" s="47">
        <f t="array" ref="DP35">IF(AND(ISNUMBER(MATCH(DP$2, AsistenciaJetAdminConcatenada!$A:$A, 0)), ISNUMBER(MATCH(DP$1, AsistenciaJetAdminConcatenada!$B:$B, 0)), ISNUMBER(SEARCH($A35,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ISNUMBER(SEARCH($A35, INDEX(AsistenciaJetAdminConcatenada!$D:$D, MATCH(1, (AsistenciaJetAdminConcatenada!$A:$A=DP$2)*(AsistenciaJetAdminConcatenada!$B:$B=DP$1), 0)), 1))),  0.5, 0))</f>
        <v>0</v>
      </c>
      <c r="DQ35" s="47">
        <f t="array" ref="DQ35">IF(AND(ISNUMBER(MATCH(DQ$2, AsistenciaJetAdminConcatenada!$A:$A, 0)), ISNUMBER(MATCH(DQ$1, AsistenciaJetAdminConcatenada!$B:$B, 0)), ISNUMBER(SEARCH($A35,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ISNUMBER(SEARCH($A35, INDEX(AsistenciaJetAdminConcatenada!$D:$D, MATCH(1, (AsistenciaJetAdminConcatenada!$A:$A=DQ$2)*(AsistenciaJetAdminConcatenada!$B:$B=DQ$1), 0)), 1))),  0.5, 0))</f>
        <v>0</v>
      </c>
      <c r="DR35" s="47">
        <f t="array" ref="DR35">IF(AND(ISNUMBER(MATCH(DR$2, AsistenciaJetAdminConcatenada!$A:$A, 0)), ISNUMBER(MATCH(DR$1, AsistenciaJetAdminConcatenada!$B:$B, 0)), ISNUMBER(SEARCH($A35,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ISNUMBER(SEARCH($A35, INDEX(AsistenciaJetAdminConcatenada!$D:$D, MATCH(1, (AsistenciaJetAdminConcatenada!$A:$A=DR$2)*(AsistenciaJetAdminConcatenada!$B:$B=DR$1), 0)), 1))),  0.5, 0))</f>
        <v>0</v>
      </c>
      <c r="DS35" s="47">
        <f t="array" ref="DS35">IF(AND(ISNUMBER(MATCH(DS$2, AsistenciaJetAdminConcatenada!$A:$A, 0)), ISNUMBER(MATCH(DS$1, AsistenciaJetAdminConcatenada!$B:$B, 0)), ISNUMBER(SEARCH($A35,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ISNUMBER(SEARCH($A35, INDEX(AsistenciaJetAdminConcatenada!$D:$D, MATCH(1, (AsistenciaJetAdminConcatenada!$A:$A=DS$2)*(AsistenciaJetAdminConcatenada!$B:$B=DS$1), 0)), 1))),  0.5, 0))</f>
        <v>0</v>
      </c>
      <c r="DT35" s="47">
        <f t="array" ref="DT35">IF(AND(ISNUMBER(MATCH(DT$2, AsistenciaJetAdminConcatenada!$A:$A, 0)), ISNUMBER(MATCH(DT$1, AsistenciaJetAdminConcatenada!$B:$B, 0)), ISNUMBER(SEARCH($A35,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ISNUMBER(SEARCH($A35, INDEX(AsistenciaJetAdminConcatenada!$D:$D, MATCH(1, (AsistenciaJetAdminConcatenada!$A:$A=DT$2)*(AsistenciaJetAdminConcatenada!$B:$B=DT$1), 0)), 1))),  0.5, 0))</f>
        <v>0</v>
      </c>
      <c r="DU35" s="47">
        <f t="array" ref="DU35">IF(AND(ISNUMBER(MATCH(DU$2, AsistenciaJetAdminConcatenada!$A:$A, 0)), ISNUMBER(MATCH(DU$1, AsistenciaJetAdminConcatenada!$B:$B, 0)), ISNUMBER(SEARCH($A35,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ISNUMBER(SEARCH($A35, INDEX(AsistenciaJetAdminConcatenada!$D:$D, MATCH(1, (AsistenciaJetAdminConcatenada!$A:$A=DU$2)*(AsistenciaJetAdminConcatenada!$B:$B=DU$1), 0)), 1))),  0.5, 0))</f>
        <v>0</v>
      </c>
      <c r="DV35" s="47">
        <f t="array" ref="DV35">IF(AND(ISNUMBER(MATCH(DV$2, AsistenciaJetAdminConcatenada!$A:$A, 0)), ISNUMBER(MATCH(DV$1, AsistenciaJetAdminConcatenada!$B:$B, 0)), ISNUMBER(SEARCH($A35,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ISNUMBER(SEARCH($A35, INDEX(AsistenciaJetAdminConcatenada!$D:$D, MATCH(1, (AsistenciaJetAdminConcatenada!$A:$A=DV$2)*(AsistenciaJetAdminConcatenada!$B:$B=DV$1), 0)), 1))),  0.5, 0))</f>
        <v>0</v>
      </c>
      <c r="DW35" s="47">
        <f t="array" ref="DW35">IF(AND(ISNUMBER(MATCH(DW$2, AsistenciaJetAdminConcatenada!$A:$A, 0)), ISNUMBER(MATCH(DW$1, AsistenciaJetAdminConcatenada!$B:$B, 0)), ISNUMBER(SEARCH($A35,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ISNUMBER(SEARCH($A35, INDEX(AsistenciaJetAdminConcatenada!$D:$D, MATCH(1, (AsistenciaJetAdminConcatenada!$A:$A=DW$2)*(AsistenciaJetAdminConcatenada!$B:$B=DW$1), 0)), 1))),  0.5, 0))</f>
        <v>0</v>
      </c>
      <c r="DX35" s="47">
        <f t="array" ref="DX35">IF(AND(ISNUMBER(MATCH(DX$2, AsistenciaJetAdminConcatenada!$A:$A, 0)), ISNUMBER(MATCH(DX$1, AsistenciaJetAdminConcatenada!$B:$B, 0)), ISNUMBER(SEARCH($A35,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ISNUMBER(SEARCH($A35, INDEX(AsistenciaJetAdminConcatenada!$D:$D, MATCH(1, (AsistenciaJetAdminConcatenada!$A:$A=DX$2)*(AsistenciaJetAdminConcatenada!$B:$B=DX$1), 0)), 1))),  0.5, 0))</f>
        <v>0</v>
      </c>
      <c r="DY35" s="47">
        <f t="array" ref="DY35">IF(AND(ISNUMBER(MATCH(DY$2, AsistenciaJetAdminConcatenada!$A:$A, 0)), ISNUMBER(MATCH(DY$1, AsistenciaJetAdminConcatenada!$B:$B, 0)), ISNUMBER(SEARCH($A35,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ISNUMBER(SEARCH($A35, INDEX(AsistenciaJetAdminConcatenada!$D:$D, MATCH(1, (AsistenciaJetAdminConcatenada!$A:$A=DY$2)*(AsistenciaJetAdminConcatenada!$B:$B=DY$1), 0)), 1))),  0.5, 0))</f>
        <v>0</v>
      </c>
      <c r="DZ35" s="47">
        <f t="array" ref="DZ35">IF(AND(ISNUMBER(MATCH(DZ$2, AsistenciaJetAdminConcatenada!$A:$A, 0)), ISNUMBER(MATCH(DZ$1, AsistenciaJetAdminConcatenada!$B:$B, 0)), ISNUMBER(SEARCH($A35,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ISNUMBER(SEARCH($A35, INDEX(AsistenciaJetAdminConcatenada!$D:$D, MATCH(1, (AsistenciaJetAdminConcatenada!$A:$A=DZ$2)*(AsistenciaJetAdminConcatenada!$B:$B=DZ$1), 0)), 1))),  0.5, 0))</f>
        <v>0</v>
      </c>
      <c r="EA35" s="47">
        <f t="array" ref="EA35">IF(AND(ISNUMBER(MATCH(EA$2, AsistenciaJetAdminConcatenada!$A:$A, 0)), ISNUMBER(MATCH(EA$1, AsistenciaJetAdminConcatenada!$B:$B, 0)), ISNUMBER(SEARCH($A35,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ISNUMBER(SEARCH($A35, INDEX(AsistenciaJetAdminConcatenada!$D:$D, MATCH(1, (AsistenciaJetAdminConcatenada!$A:$A=EA$2)*(AsistenciaJetAdminConcatenada!$B:$B=EA$1), 0)), 1))),  0.5, 0))</f>
        <v>0</v>
      </c>
      <c r="EB35" s="47">
        <f t="array" ref="EB35">IF(AND(ISNUMBER(MATCH(EB$2, AsistenciaJetAdminConcatenada!$A:$A, 0)), ISNUMBER(MATCH(EB$1, AsistenciaJetAdminConcatenada!$B:$B, 0)), ISNUMBER(SEARCH($A35,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ISNUMBER(SEARCH($A35, INDEX(AsistenciaJetAdminConcatenada!$D:$D, MATCH(1, (AsistenciaJetAdminConcatenada!$A:$A=EB$2)*(AsistenciaJetAdminConcatenada!$B:$B=EB$1), 0)), 1))),  0.5, 0))</f>
        <v>0</v>
      </c>
      <c r="EC35" s="47">
        <f t="array" ref="EC35">IF(AND(ISNUMBER(MATCH(EC$2, AsistenciaJetAdminConcatenada!$A:$A, 0)), ISNUMBER(MATCH(EC$1, AsistenciaJetAdminConcatenada!$B:$B, 0)), ISNUMBER(SEARCH($A35,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ISNUMBER(SEARCH($A35, INDEX(AsistenciaJetAdminConcatenada!$D:$D, MATCH(1, (AsistenciaJetAdminConcatenada!$A:$A=EC$2)*(AsistenciaJetAdminConcatenada!$B:$B=EC$1), 0)), 1))),  0.5, 0))</f>
        <v>0</v>
      </c>
      <c r="ED35" s="47">
        <f t="array" ref="ED35">IF(AND(ISNUMBER(MATCH(ED$2, AsistenciaJetAdminConcatenada!$A:$A, 0)), ISNUMBER(MATCH(ED$1, AsistenciaJetAdminConcatenada!$B:$B, 0)), ISNUMBER(SEARCH($A35,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ISNUMBER(SEARCH($A35, INDEX(AsistenciaJetAdminConcatenada!$D:$D, MATCH(1, (AsistenciaJetAdminConcatenada!$A:$A=ED$2)*(AsistenciaJetAdminConcatenada!$B:$B=ED$1), 0)), 1))),  0.5, 0))</f>
        <v>0</v>
      </c>
      <c r="EE35" s="47">
        <f t="array" ref="EE35">IF(AND(ISNUMBER(MATCH(EE$2, AsistenciaJetAdminConcatenada!$A:$A, 0)), ISNUMBER(MATCH(EE$1, AsistenciaJetAdminConcatenada!$B:$B, 0)), ISNUMBER(SEARCH($A35,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ISNUMBER(SEARCH($A35, INDEX(AsistenciaJetAdminConcatenada!$D:$D, MATCH(1, (AsistenciaJetAdminConcatenada!$A:$A=EE$2)*(AsistenciaJetAdminConcatenada!$B:$B=EE$1), 0)), 1))),  0.5, 0))</f>
        <v>0</v>
      </c>
      <c r="EF35" s="47">
        <f t="array" ref="EF35">IF(AND(ISNUMBER(MATCH(EF$2, AsistenciaJetAdminConcatenada!$A:$A, 0)), ISNUMBER(MATCH(EF$1, AsistenciaJetAdminConcatenada!$B:$B, 0)), ISNUMBER(SEARCH($A35,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ISNUMBER(SEARCH($A35, INDEX(AsistenciaJetAdminConcatenada!$D:$D, MATCH(1, (AsistenciaJetAdminConcatenada!$A:$A=EF$2)*(AsistenciaJetAdminConcatenada!$B:$B=EF$1), 0)), 1))),  0.5, 0))</f>
        <v>0</v>
      </c>
      <c r="EG35" s="47">
        <f t="array" ref="EG35">IF(AND(ISNUMBER(MATCH(EG$2, AsistenciaJetAdminConcatenada!$A:$A, 0)), ISNUMBER(MATCH(EG$1, AsistenciaJetAdminConcatenada!$B:$B, 0)), ISNUMBER(SEARCH($A35,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ISNUMBER(SEARCH($A35, INDEX(AsistenciaJetAdminConcatenada!$D:$D, MATCH(1, (AsistenciaJetAdminConcatenada!$A:$A=EG$2)*(AsistenciaJetAdminConcatenada!$B:$B=EG$1), 0)), 1))),  0.5, 0))</f>
        <v>0</v>
      </c>
      <c r="EH35" s="47">
        <f t="array" ref="EH35">IF(AND(ISNUMBER(MATCH(EH$2, AsistenciaJetAdminConcatenada!$A:$A, 0)), ISNUMBER(MATCH(EH$1, AsistenciaJetAdminConcatenada!$B:$B, 0)), ISNUMBER(SEARCH($A35,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ISNUMBER(SEARCH($A35, INDEX(AsistenciaJetAdminConcatenada!$D:$D, MATCH(1, (AsistenciaJetAdminConcatenada!$A:$A=EH$2)*(AsistenciaJetAdminConcatenada!$B:$B=EH$1), 0)), 1))),  0.5, 0))</f>
        <v>0</v>
      </c>
      <c r="EI35" s="47">
        <f t="array" ref="EI35">IF(AND(ISNUMBER(MATCH(EI$2, AsistenciaJetAdminConcatenada!$A:$A, 0)), ISNUMBER(MATCH(EI$1, AsistenciaJetAdminConcatenada!$B:$B, 0)), ISNUMBER(SEARCH($A35,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ISNUMBER(SEARCH($A35, INDEX(AsistenciaJetAdminConcatenada!$D:$D, MATCH(1, (AsistenciaJetAdminConcatenada!$A:$A=EI$2)*(AsistenciaJetAdminConcatenada!$B:$B=EI$1), 0)), 1))),  0.5, 0))</f>
        <v>0</v>
      </c>
      <c r="EJ35" s="47">
        <f t="array" ref="EJ35">IF(AND(ISNUMBER(MATCH(EJ$2, AsistenciaJetAdminConcatenada!$A:$A, 0)), ISNUMBER(MATCH(EJ$1, AsistenciaJetAdminConcatenada!$B:$B, 0)), ISNUMBER(SEARCH($A35,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ISNUMBER(SEARCH($A35, INDEX(AsistenciaJetAdminConcatenada!$D:$D, MATCH(1, (AsistenciaJetAdminConcatenada!$A:$A=EJ$2)*(AsistenciaJetAdminConcatenada!$B:$B=EJ$1), 0)), 1))),  0.5, 0))</f>
        <v>0</v>
      </c>
      <c r="EK35" s="47">
        <f t="array" ref="EK35">IF(AND(ISNUMBER(MATCH(EK$2, AsistenciaJetAdminConcatenada!$A:$A, 0)), ISNUMBER(MATCH(EK$1, AsistenciaJetAdminConcatenada!$B:$B, 0)), ISNUMBER(SEARCH($A35,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ISNUMBER(SEARCH($A35, INDEX(AsistenciaJetAdminConcatenada!$D:$D, MATCH(1, (AsistenciaJetAdminConcatenada!$A:$A=EK$2)*(AsistenciaJetAdminConcatenada!$B:$B=EK$1), 0)), 1))),  0.5, 0))</f>
        <v>0</v>
      </c>
      <c r="EL35" s="47">
        <f t="array" ref="EL35">IF(AND(ISNUMBER(MATCH(EL$2, AsistenciaJetAdminConcatenada!$A:$A, 0)), ISNUMBER(MATCH(EL$1, AsistenciaJetAdminConcatenada!$B:$B, 0)), ISNUMBER(SEARCH($A35,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ISNUMBER(SEARCH($A35, INDEX(AsistenciaJetAdminConcatenada!$D:$D, MATCH(1, (AsistenciaJetAdminConcatenada!$A:$A=EL$2)*(AsistenciaJetAdminConcatenada!$B:$B=EL$1), 0)), 1))),  0.5, 0))</f>
        <v>0</v>
      </c>
      <c r="EM35" s="47">
        <f t="array" ref="EM35">IF(AND(ISNUMBER(MATCH(EM$2, AsistenciaJetAdminConcatenada!$A:$A, 0)), ISNUMBER(MATCH(EM$1, AsistenciaJetAdminConcatenada!$B:$B, 0)), ISNUMBER(SEARCH($A35,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ISNUMBER(SEARCH($A35, INDEX(AsistenciaJetAdminConcatenada!$D:$D, MATCH(1, (AsistenciaJetAdminConcatenada!$A:$A=EM$2)*(AsistenciaJetAdminConcatenada!$B:$B=EM$1), 0)), 1))),  0.5, 0))</f>
        <v>0</v>
      </c>
      <c r="EN35" s="47">
        <f t="array" ref="EN35">IF(AND(ISNUMBER(MATCH(EN$2, AsistenciaJetAdminConcatenada!$A:$A, 0)), ISNUMBER(MATCH(EN$1, AsistenciaJetAdminConcatenada!$B:$B, 0)), ISNUMBER(SEARCH($A35,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ISNUMBER(SEARCH($A35, INDEX(AsistenciaJetAdminConcatenada!$D:$D, MATCH(1, (AsistenciaJetAdminConcatenada!$A:$A=EN$2)*(AsistenciaJetAdminConcatenada!$B:$B=EN$1), 0)), 1))),  0.5, 0))</f>
        <v>0</v>
      </c>
      <c r="EO35" s="47">
        <f t="array" ref="EO35">IF(AND(ISNUMBER(MATCH(EO$2, AsistenciaJetAdminConcatenada!$A:$A, 0)), ISNUMBER(MATCH(EO$1, AsistenciaJetAdminConcatenada!$B:$B, 0)), ISNUMBER(SEARCH($A35,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ISNUMBER(SEARCH($A35, INDEX(AsistenciaJetAdminConcatenada!$D:$D, MATCH(1, (AsistenciaJetAdminConcatenada!$A:$A=EO$2)*(AsistenciaJetAdminConcatenada!$B:$B=EO$1), 0)), 1))),  0.5, 0))</f>
        <v>0</v>
      </c>
      <c r="EP35" s="47">
        <f t="array" ref="EP35">IF(AND(ISNUMBER(MATCH(EP$2, AsistenciaJetAdminConcatenada!$A:$A, 0)), ISNUMBER(MATCH(EP$1, AsistenciaJetAdminConcatenada!$B:$B, 0)), ISNUMBER(SEARCH($A35,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ISNUMBER(SEARCH($A35, INDEX(AsistenciaJetAdminConcatenada!$D:$D, MATCH(1, (AsistenciaJetAdminConcatenada!$A:$A=EP$2)*(AsistenciaJetAdminConcatenada!$B:$B=EP$1), 0)), 1))),  0.5, 0))</f>
        <v>0</v>
      </c>
      <c r="EQ35" s="47">
        <f t="array" ref="EQ35">IF(AND(ISNUMBER(MATCH(EQ$2, AsistenciaJetAdminConcatenada!$A:$A, 0)), ISNUMBER(MATCH(EQ$1, AsistenciaJetAdminConcatenada!$B:$B, 0)), ISNUMBER(SEARCH($A35,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ISNUMBER(SEARCH($A35, INDEX(AsistenciaJetAdminConcatenada!$D:$D, MATCH(1, (AsistenciaJetAdminConcatenada!$A:$A=EQ$2)*(AsistenciaJetAdminConcatenada!$B:$B=EQ$1), 0)), 1))),  0.5, 0))</f>
        <v>0</v>
      </c>
      <c r="ER35" s="47">
        <f t="array" ref="ER35">IF(AND(ISNUMBER(MATCH(ER$2, AsistenciaJetAdminConcatenada!$A:$A, 0)), ISNUMBER(MATCH(ER$1, AsistenciaJetAdminConcatenada!$B:$B, 0)), ISNUMBER(SEARCH($A35,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ISNUMBER(SEARCH($A35, INDEX(AsistenciaJetAdminConcatenada!$D:$D, MATCH(1, (AsistenciaJetAdminConcatenada!$A:$A=ER$2)*(AsistenciaJetAdminConcatenada!$B:$B=ER$1), 0)), 1))),  0.5, 0))</f>
        <v>0</v>
      </c>
      <c r="ES35" s="47">
        <f t="array" ref="ES35">IF(AND(ISNUMBER(MATCH(ES$2, AsistenciaJetAdminConcatenada!$A:$A, 0)), ISNUMBER(MATCH(ES$1, AsistenciaJetAdminConcatenada!$B:$B, 0)), ISNUMBER(SEARCH($A35,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ISNUMBER(SEARCH($A35, INDEX(AsistenciaJetAdminConcatenada!$D:$D, MATCH(1, (AsistenciaJetAdminConcatenada!$A:$A=ES$2)*(AsistenciaJetAdminConcatenada!$B:$B=ES$1), 0)), 1))),  0.5, 0))</f>
        <v>0</v>
      </c>
      <c r="ET35" s="47">
        <f t="array" ref="ET35">IF(AND(ISNUMBER(MATCH(ET$2, AsistenciaJetAdminConcatenada!$A:$A, 0)), ISNUMBER(MATCH(ET$1, AsistenciaJetAdminConcatenada!$B:$B, 0)), ISNUMBER(SEARCH($A35,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ISNUMBER(SEARCH($A35, INDEX(AsistenciaJetAdminConcatenada!$D:$D, MATCH(1, (AsistenciaJetAdminConcatenada!$A:$A=ET$2)*(AsistenciaJetAdminConcatenada!$B:$B=ET$1), 0)), 1))),  0.5, 0))</f>
        <v>0</v>
      </c>
      <c r="EU35" s="47">
        <f t="array" ref="EU35">IF(AND(ISNUMBER(MATCH(EU$2, AsistenciaJetAdminConcatenada!$A:$A, 0)), ISNUMBER(MATCH(EU$1, AsistenciaJetAdminConcatenada!$B:$B, 0)), ISNUMBER(SEARCH($A35,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ISNUMBER(SEARCH($A35, INDEX(AsistenciaJetAdminConcatenada!$D:$D, MATCH(1, (AsistenciaJetAdminConcatenada!$A:$A=EU$2)*(AsistenciaJetAdminConcatenada!$B:$B=EU$1), 0)), 1))),  0.5, 0))</f>
        <v>0</v>
      </c>
      <c r="EV35" s="47">
        <f t="array" ref="EV35">IF(AND(ISNUMBER(MATCH(EV$2, AsistenciaJetAdminConcatenada!$A:$A, 0)), ISNUMBER(MATCH(EV$1, AsistenciaJetAdminConcatenada!$B:$B, 0)), ISNUMBER(SEARCH($A35,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ISNUMBER(SEARCH($A35, INDEX(AsistenciaJetAdminConcatenada!$D:$D, MATCH(1, (AsistenciaJetAdminConcatenada!$A:$A=EV$2)*(AsistenciaJetAdminConcatenada!$B:$B=EV$1), 0)), 1))),  0.5, 0))</f>
        <v>0</v>
      </c>
      <c r="EW35" s="47">
        <f t="array" ref="EW35">IF(AND(ISNUMBER(MATCH(EW$2, AsistenciaJetAdminConcatenada!$A:$A, 0)), ISNUMBER(MATCH(EW$1, AsistenciaJetAdminConcatenada!$B:$B, 0)), ISNUMBER(SEARCH($A35,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ISNUMBER(SEARCH($A35, INDEX(AsistenciaJetAdminConcatenada!$D:$D, MATCH(1, (AsistenciaJetAdminConcatenada!$A:$A=EW$2)*(AsistenciaJetAdminConcatenada!$B:$B=EW$1), 0)), 1))),  0.5, 0))</f>
        <v>0</v>
      </c>
      <c r="EX35" s="47">
        <f t="array" ref="EX35">IF(AND(ISNUMBER(MATCH(EX$2, AsistenciaJetAdminConcatenada!$A:$A, 0)), ISNUMBER(MATCH(EX$1, AsistenciaJetAdminConcatenada!$B:$B, 0)), ISNUMBER(SEARCH($A35,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ISNUMBER(SEARCH($A35, INDEX(AsistenciaJetAdminConcatenada!$D:$D, MATCH(1, (AsistenciaJetAdminConcatenada!$A:$A=EX$2)*(AsistenciaJetAdminConcatenada!$B:$B=EX$1), 0)), 1))),  0.5, 0))</f>
        <v>0</v>
      </c>
      <c r="EY35" s="47">
        <f t="array" ref="EY35">IF(AND(ISNUMBER(MATCH(EY$2, AsistenciaJetAdminConcatenada!$A:$A, 0)), ISNUMBER(MATCH(EY$1, AsistenciaJetAdminConcatenada!$B:$B, 0)), ISNUMBER(SEARCH($A35,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ISNUMBER(SEARCH($A35, INDEX(AsistenciaJetAdminConcatenada!$D:$D, MATCH(1, (AsistenciaJetAdminConcatenada!$A:$A=EY$2)*(AsistenciaJetAdminConcatenada!$B:$B=EY$1), 0)), 1))),  0.5, 0))</f>
        <v>0</v>
      </c>
      <c r="EZ35" s="47">
        <f t="array" ref="EZ35">IF(AND(ISNUMBER(MATCH(EZ$2, AsistenciaJetAdminConcatenada!$A:$A, 0)), ISNUMBER(MATCH(EZ$1, AsistenciaJetAdminConcatenada!$B:$B, 0)), ISNUMBER(SEARCH($A35,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ISNUMBER(SEARCH($A35, INDEX(AsistenciaJetAdminConcatenada!$D:$D, MATCH(1, (AsistenciaJetAdminConcatenada!$A:$A=EZ$2)*(AsistenciaJetAdminConcatenada!$B:$B=EZ$1), 0)), 1))),  0.5, 0))</f>
        <v>0</v>
      </c>
      <c r="FA35" s="47">
        <f t="array" ref="FA35">IF(AND(ISNUMBER(MATCH(FA$2, AsistenciaJetAdminConcatenada!$A:$A, 0)), ISNUMBER(MATCH(FA$1, AsistenciaJetAdminConcatenada!$B:$B, 0)), ISNUMBER(SEARCH($A35,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ISNUMBER(SEARCH($A35, INDEX(AsistenciaJetAdminConcatenada!$D:$D, MATCH(1, (AsistenciaJetAdminConcatenada!$A:$A=FA$2)*(AsistenciaJetAdminConcatenada!$B:$B=FA$1), 0)), 1))),  0.5, 0))</f>
        <v>0</v>
      </c>
      <c r="FB35" s="47">
        <f t="array" ref="FB35">IF(AND(ISNUMBER(MATCH(FB$2, AsistenciaJetAdminConcatenada!$A:$A, 0)), ISNUMBER(MATCH(FB$1, AsistenciaJetAdminConcatenada!$B:$B, 0)), ISNUMBER(SEARCH($A35,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ISNUMBER(SEARCH($A35, INDEX(AsistenciaJetAdminConcatenada!$D:$D, MATCH(1, (AsistenciaJetAdminConcatenada!$A:$A=FB$2)*(AsistenciaJetAdminConcatenada!$B:$B=FB$1), 0)), 1))),  0.5, 0))</f>
        <v>0</v>
      </c>
      <c r="FC35" s="47">
        <f t="array" ref="FC35">IF(AND(ISNUMBER(MATCH(FC$2, AsistenciaJetAdminConcatenada!$A:$A, 0)), ISNUMBER(MATCH(FC$1, AsistenciaJetAdminConcatenada!$B:$B, 0)), ISNUMBER(SEARCH($A35,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ISNUMBER(SEARCH($A35, INDEX(AsistenciaJetAdminConcatenada!$D:$D, MATCH(1, (AsistenciaJetAdminConcatenada!$A:$A=FC$2)*(AsistenciaJetAdminConcatenada!$B:$B=FC$1), 0)), 1))),  0.5, 0))</f>
        <v>0</v>
      </c>
      <c r="FD35" s="47">
        <f t="array" ref="FD35">IF(AND(ISNUMBER(MATCH(FD$2, AsistenciaJetAdminConcatenada!$A:$A, 0)), ISNUMBER(MATCH(FD$1, AsistenciaJetAdminConcatenada!$B:$B, 0)), ISNUMBER(SEARCH($A35,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ISNUMBER(SEARCH($A35, INDEX(AsistenciaJetAdminConcatenada!$D:$D, MATCH(1, (AsistenciaJetAdminConcatenada!$A:$A=FD$2)*(AsistenciaJetAdminConcatenada!$B:$B=FD$1), 0)), 1))),  0.5, 0))</f>
        <v>0</v>
      </c>
      <c r="FE35" s="47">
        <f t="array" ref="FE35">IF(AND(ISNUMBER(MATCH(FE$2, AsistenciaJetAdminConcatenada!$A:$A, 0)), ISNUMBER(MATCH(FE$1, AsistenciaJetAdminConcatenada!$B:$B, 0)), ISNUMBER(SEARCH($A35,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ISNUMBER(SEARCH($A35, INDEX(AsistenciaJetAdminConcatenada!$D:$D, MATCH(1, (AsistenciaJetAdminConcatenada!$A:$A=FE$2)*(AsistenciaJetAdminConcatenada!$B:$B=FE$1), 0)), 1))),  0.5, 0))</f>
        <v>0</v>
      </c>
      <c r="FF35" s="47">
        <f t="array" ref="FF35">IF(AND(ISNUMBER(MATCH(FF$2, AsistenciaJetAdminConcatenada!$A:$A, 0)), ISNUMBER(MATCH(FF$1, AsistenciaJetAdminConcatenada!$B:$B, 0)), ISNUMBER(SEARCH($A35,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ISNUMBER(SEARCH($A35, INDEX(AsistenciaJetAdminConcatenada!$D:$D, MATCH(1, (AsistenciaJetAdminConcatenada!$A:$A=FF$2)*(AsistenciaJetAdminConcatenada!$B:$B=FF$1), 0)), 1))),  0.5, 0))</f>
        <v>0</v>
      </c>
      <c r="FG35" s="47">
        <f t="array" ref="FG35">IF(AND(ISNUMBER(MATCH(FG$2, AsistenciaJetAdminConcatenada!$A:$A, 0)), ISNUMBER(MATCH(FG$1, AsistenciaJetAdminConcatenada!$B:$B, 0)), ISNUMBER(SEARCH($A35,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ISNUMBER(SEARCH($A35, INDEX(AsistenciaJetAdminConcatenada!$D:$D, MATCH(1, (AsistenciaJetAdminConcatenada!$A:$A=FG$2)*(AsistenciaJetAdminConcatenada!$B:$B=FG$1), 0)), 1))),  0.5, 0))</f>
        <v>0</v>
      </c>
      <c r="FH35" s="47">
        <f t="array" ref="FH35">IF(AND(ISNUMBER(MATCH(FH$2, AsistenciaJetAdminConcatenada!$A:$A, 0)), ISNUMBER(MATCH(FH$1, AsistenciaJetAdminConcatenada!$B:$B, 0)), ISNUMBER(SEARCH($A35,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ISNUMBER(SEARCH($A35, INDEX(AsistenciaJetAdminConcatenada!$D:$D, MATCH(1, (AsistenciaJetAdminConcatenada!$A:$A=FH$2)*(AsistenciaJetAdminConcatenada!$B:$B=FH$1), 0)), 1))),  0.5, 0))</f>
        <v>0</v>
      </c>
      <c r="FI35" s="47">
        <f t="array" ref="FI35">IF(AND(ISNUMBER(MATCH(FI$2, AsistenciaJetAdminConcatenada!$A:$A, 0)), ISNUMBER(MATCH(FI$1, AsistenciaJetAdminConcatenada!$B:$B, 0)), ISNUMBER(SEARCH($A35,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ISNUMBER(SEARCH($A35, INDEX(AsistenciaJetAdminConcatenada!$D:$D, MATCH(1, (AsistenciaJetAdminConcatenada!$A:$A=FI$2)*(AsistenciaJetAdminConcatenada!$B:$B=FI$1), 0)), 1))),  0.5, 0))</f>
        <v>0</v>
      </c>
      <c r="FJ35" s="47">
        <f t="array" ref="FJ35">IF(AND(ISNUMBER(MATCH(FJ$2, AsistenciaJetAdminConcatenada!$A:$A, 0)), ISNUMBER(MATCH(FJ$1, AsistenciaJetAdminConcatenada!$B:$B, 0)), ISNUMBER(SEARCH($A35,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ISNUMBER(SEARCH($A35, INDEX(AsistenciaJetAdminConcatenada!$D:$D, MATCH(1, (AsistenciaJetAdminConcatenada!$A:$A=FJ$2)*(AsistenciaJetAdminConcatenada!$B:$B=FJ$1), 0)), 1))),  0.5, 0))</f>
        <v>0</v>
      </c>
      <c r="FK35" s="47">
        <f t="array" ref="FK35">IF(AND(ISNUMBER(MATCH(FK$2, AsistenciaJetAdminConcatenada!$A:$A, 0)), ISNUMBER(MATCH(FK$1, AsistenciaJetAdminConcatenada!$B:$B, 0)), ISNUMBER(SEARCH($A35,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ISNUMBER(SEARCH($A35, INDEX(AsistenciaJetAdminConcatenada!$D:$D, MATCH(1, (AsistenciaJetAdminConcatenada!$A:$A=FK$2)*(AsistenciaJetAdminConcatenada!$B:$B=FK$1), 0)), 1))),  0.5, 0))</f>
        <v>0</v>
      </c>
      <c r="FL35" s="47">
        <f t="array" ref="FL35">IF(AND(ISNUMBER(MATCH(FL$2, AsistenciaJetAdminConcatenada!$A:$A, 0)), ISNUMBER(MATCH(FL$1, AsistenciaJetAdminConcatenada!$B:$B, 0)), ISNUMBER(SEARCH($A35,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ISNUMBER(SEARCH($A35, INDEX(AsistenciaJetAdminConcatenada!$D:$D, MATCH(1, (AsistenciaJetAdminConcatenada!$A:$A=FL$2)*(AsistenciaJetAdminConcatenada!$B:$B=FL$1), 0)), 1))),  0.5, 0))</f>
        <v>0</v>
      </c>
      <c r="FM35" s="47">
        <f t="array" ref="FM35">IF(AND(ISNUMBER(MATCH(FM$2, AsistenciaJetAdminConcatenada!$A:$A, 0)), ISNUMBER(MATCH(FM$1, AsistenciaJetAdminConcatenada!$B:$B, 0)), ISNUMBER(SEARCH($A35,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ISNUMBER(SEARCH($A35, INDEX(AsistenciaJetAdminConcatenada!$D:$D, MATCH(1, (AsistenciaJetAdminConcatenada!$A:$A=FM$2)*(AsistenciaJetAdminConcatenada!$B:$B=FM$1), 0)), 1))),  0.5, 0))</f>
        <v>0</v>
      </c>
      <c r="FN35" s="47">
        <f t="array" ref="FN35">IF(AND(ISNUMBER(MATCH(FN$2, AsistenciaJetAdminConcatenada!$A:$A, 0)), ISNUMBER(MATCH(FN$1, AsistenciaJetAdminConcatenada!$B:$B, 0)), ISNUMBER(SEARCH($A35,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ISNUMBER(SEARCH($A35, INDEX(AsistenciaJetAdminConcatenada!$D:$D, MATCH(1, (AsistenciaJetAdminConcatenada!$A:$A=FN$2)*(AsistenciaJetAdminConcatenada!$B:$B=FN$1), 0)), 1))),  0.5, 0))</f>
        <v>0</v>
      </c>
      <c r="FO35" s="47">
        <f t="array" ref="FO35">IF(AND(ISNUMBER(MATCH(FO$2, AsistenciaJetAdminConcatenada!$A:$A, 0)), ISNUMBER(MATCH(FO$1, AsistenciaJetAdminConcatenada!$B:$B, 0)), ISNUMBER(SEARCH($A35,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ISNUMBER(SEARCH($A35, INDEX(AsistenciaJetAdminConcatenada!$D:$D, MATCH(1, (AsistenciaJetAdminConcatenada!$A:$A=FO$2)*(AsistenciaJetAdminConcatenada!$B:$B=FO$1), 0)), 1))),  0.5, 0))</f>
        <v>0</v>
      </c>
      <c r="FP35" s="47">
        <f t="array" ref="FP35">IF(AND(ISNUMBER(MATCH(FP$2, AsistenciaJetAdminConcatenada!$A:$A, 0)), ISNUMBER(MATCH(FP$1, AsistenciaJetAdminConcatenada!$B:$B, 0)), ISNUMBER(SEARCH($A35,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ISNUMBER(SEARCH($A35, INDEX(AsistenciaJetAdminConcatenada!$D:$D, MATCH(1, (AsistenciaJetAdminConcatenada!$A:$A=FP$2)*(AsistenciaJetAdminConcatenada!$B:$B=FP$1), 0)), 1))),  0.5, 0))</f>
        <v>0</v>
      </c>
      <c r="FQ35" s="47">
        <f t="array" ref="FQ35">IF(AND(ISNUMBER(MATCH(FQ$2, AsistenciaJetAdminConcatenada!$A:$A, 0)), ISNUMBER(MATCH(FQ$1, AsistenciaJetAdminConcatenada!$B:$B, 0)), ISNUMBER(SEARCH($A35,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ISNUMBER(SEARCH($A35, INDEX(AsistenciaJetAdminConcatenada!$D:$D, MATCH(1, (AsistenciaJetAdminConcatenada!$A:$A=FQ$2)*(AsistenciaJetAdminConcatenada!$B:$B=FQ$1), 0)), 1))),  0.5, 0))</f>
        <v>0</v>
      </c>
      <c r="FR35" s="47">
        <f t="array" ref="FR35">IF(AND(ISNUMBER(MATCH(FR$2, AsistenciaJetAdminConcatenada!$A:$A, 0)), ISNUMBER(MATCH(FR$1, AsistenciaJetAdminConcatenada!$B:$B, 0)), ISNUMBER(SEARCH($A35,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ISNUMBER(SEARCH($A35, INDEX(AsistenciaJetAdminConcatenada!$D:$D, MATCH(1, (AsistenciaJetAdminConcatenada!$A:$A=FR$2)*(AsistenciaJetAdminConcatenada!$B:$B=FR$1), 0)), 1))),  0.5, 0))</f>
        <v>0</v>
      </c>
      <c r="FS35" s="47">
        <f t="array" ref="FS35">IF(AND(ISNUMBER(MATCH(FS$2, AsistenciaJetAdminConcatenada!$A:$A, 0)), ISNUMBER(MATCH(FS$1, AsistenciaJetAdminConcatenada!$B:$B, 0)), ISNUMBER(SEARCH($A35,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ISNUMBER(SEARCH($A35, INDEX(AsistenciaJetAdminConcatenada!$D:$D, MATCH(1, (AsistenciaJetAdminConcatenada!$A:$A=FS$2)*(AsistenciaJetAdminConcatenada!$B:$B=FS$1), 0)), 1))),  0.5, 0))</f>
        <v>0</v>
      </c>
      <c r="FT35" s="47">
        <f t="array" ref="FT35">IF(AND(ISNUMBER(MATCH(FT$2, AsistenciaJetAdminConcatenada!$A:$A, 0)), ISNUMBER(MATCH(FT$1, AsistenciaJetAdminConcatenada!$B:$B, 0)), ISNUMBER(SEARCH($A35,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ISNUMBER(SEARCH($A35, INDEX(AsistenciaJetAdminConcatenada!$D:$D, MATCH(1, (AsistenciaJetAdminConcatenada!$A:$A=FT$2)*(AsistenciaJetAdminConcatenada!$B:$B=FT$1), 0)), 1))),  0.5, 0))</f>
        <v>0</v>
      </c>
      <c r="FU35" s="47">
        <f t="array" ref="FU35">IF(AND(ISNUMBER(MATCH(FU$2, AsistenciaJetAdminConcatenada!$A:$A, 0)), ISNUMBER(MATCH(FU$1, AsistenciaJetAdminConcatenada!$B:$B, 0)), ISNUMBER(SEARCH($A35,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ISNUMBER(SEARCH($A35, INDEX(AsistenciaJetAdminConcatenada!$D:$D, MATCH(1, (AsistenciaJetAdminConcatenada!$A:$A=FU$2)*(AsistenciaJetAdminConcatenada!$B:$B=FU$1), 0)), 1))),  0.5, 0))</f>
        <v>0</v>
      </c>
      <c r="FV35" s="47">
        <f t="array" ref="FV35">IF(AND(ISNUMBER(MATCH(FV$2, AsistenciaJetAdminConcatenada!$A:$A, 0)), ISNUMBER(MATCH(FV$1, AsistenciaJetAdminConcatenada!$B:$B, 0)), ISNUMBER(SEARCH($A35,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ISNUMBER(SEARCH($A35, INDEX(AsistenciaJetAdminConcatenada!$D:$D, MATCH(1, (AsistenciaJetAdminConcatenada!$A:$A=FV$2)*(AsistenciaJetAdminConcatenada!$B:$B=FV$1), 0)), 1))),  0.5, 0))</f>
        <v>0</v>
      </c>
      <c r="FW35" s="47">
        <f t="array" ref="FW35">IF(AND(ISNUMBER(MATCH(FW$2, AsistenciaJetAdminConcatenada!$A:$A, 0)), ISNUMBER(MATCH(FW$1, AsistenciaJetAdminConcatenada!$B:$B, 0)), ISNUMBER(SEARCH($A35,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ISNUMBER(SEARCH($A35, INDEX(AsistenciaJetAdminConcatenada!$D:$D, MATCH(1, (AsistenciaJetAdminConcatenada!$A:$A=FW$2)*(AsistenciaJetAdminConcatenada!$B:$B=FW$1), 0)), 1))),  0.5, 0))</f>
        <v>0</v>
      </c>
      <c r="FX35" s="47">
        <f t="array" ref="FX35">IF(AND(ISNUMBER(MATCH(FX$2, AsistenciaJetAdminConcatenada!$A:$A, 0)), ISNUMBER(MATCH(FX$1, AsistenciaJetAdminConcatenada!$B:$B, 0)), ISNUMBER(SEARCH($A35,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ISNUMBER(SEARCH($A35, INDEX(AsistenciaJetAdminConcatenada!$D:$D, MATCH(1, (AsistenciaJetAdminConcatenada!$A:$A=FX$2)*(AsistenciaJetAdminConcatenada!$B:$B=FX$1), 0)), 1))),  0.5, 0))</f>
        <v>0</v>
      </c>
      <c r="FY35" s="47">
        <f t="array" ref="FY35">IF(AND(ISNUMBER(MATCH(FY$2, AsistenciaJetAdminConcatenada!$A:$A, 0)), ISNUMBER(MATCH(FY$1, AsistenciaJetAdminConcatenada!$B:$B, 0)), ISNUMBER(SEARCH($A35,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ISNUMBER(SEARCH($A35, INDEX(AsistenciaJetAdminConcatenada!$D:$D, MATCH(1, (AsistenciaJetAdminConcatenada!$A:$A=FY$2)*(AsistenciaJetAdminConcatenada!$B:$B=FY$1), 0)), 1))),  0.5, 0))</f>
        <v>0</v>
      </c>
      <c r="FZ35" s="47">
        <f t="array" ref="FZ35">IF(AND(ISNUMBER(MATCH(FZ$2, AsistenciaJetAdminConcatenada!$A:$A, 0)), ISNUMBER(MATCH(FZ$1, AsistenciaJetAdminConcatenada!$B:$B, 0)), ISNUMBER(SEARCH($A35,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ISNUMBER(SEARCH($A35, INDEX(AsistenciaJetAdminConcatenada!$D:$D, MATCH(1, (AsistenciaJetAdminConcatenada!$A:$A=FZ$2)*(AsistenciaJetAdminConcatenada!$B:$B=FZ$1), 0)), 1))),  0.5, 0))</f>
        <v>0</v>
      </c>
      <c r="GA35" s="47">
        <f t="array" ref="GA35">IF(AND(ISNUMBER(MATCH(GA$2, AsistenciaJetAdminConcatenada!$A:$A, 0)), ISNUMBER(MATCH(GA$1, AsistenciaJetAdminConcatenada!$B:$B, 0)), ISNUMBER(SEARCH($A35,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ISNUMBER(SEARCH($A35, INDEX(AsistenciaJetAdminConcatenada!$D:$D, MATCH(1, (AsistenciaJetAdminConcatenada!$A:$A=GA$2)*(AsistenciaJetAdminConcatenada!$B:$B=GA$1), 0)), 1))),  0.5, 0))</f>
        <v>0</v>
      </c>
      <c r="GB35" s="47">
        <f t="array" ref="GB35">IF(AND(ISNUMBER(MATCH(GB$2, AsistenciaJetAdminConcatenada!$A:$A, 0)), ISNUMBER(MATCH(GB$1, AsistenciaJetAdminConcatenada!$B:$B, 0)), ISNUMBER(SEARCH($A35,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ISNUMBER(SEARCH($A35, INDEX(AsistenciaJetAdminConcatenada!$D:$D, MATCH(1, (AsistenciaJetAdminConcatenada!$A:$A=GB$2)*(AsistenciaJetAdminConcatenada!$B:$B=GB$1), 0)), 1))),  0.5, 0))</f>
        <v>0</v>
      </c>
      <c r="GC35" s="47">
        <f t="array" ref="GC35">IF(AND(ISNUMBER(MATCH(GC$2, AsistenciaJetAdminConcatenada!$A:$A, 0)), ISNUMBER(MATCH(GC$1, AsistenciaJetAdminConcatenada!$B:$B, 0)), ISNUMBER(SEARCH($A35,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ISNUMBER(SEARCH($A35, INDEX(AsistenciaJetAdminConcatenada!$D:$D, MATCH(1, (AsistenciaJetAdminConcatenada!$A:$A=GC$2)*(AsistenciaJetAdminConcatenada!$B:$B=GC$1), 0)), 1))),  0.5, 0))</f>
        <v>0</v>
      </c>
      <c r="GD35" s="47">
        <f t="array" ref="GD35">IF(AND(ISNUMBER(MATCH(GD$2, AsistenciaJetAdminConcatenada!$A:$A, 0)), ISNUMBER(MATCH(GD$1, AsistenciaJetAdminConcatenada!$B:$B, 0)), ISNUMBER(SEARCH($A35,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ISNUMBER(SEARCH($A35, INDEX(AsistenciaJetAdminConcatenada!$D:$D, MATCH(1, (AsistenciaJetAdminConcatenada!$A:$A=GD$2)*(AsistenciaJetAdminConcatenada!$B:$B=GD$1), 0)), 1))),  0.5, 0))</f>
        <v>0</v>
      </c>
      <c r="GE35" s="47">
        <f t="array" ref="GE35">IF(AND(ISNUMBER(MATCH(GE$2, AsistenciaJetAdminConcatenada!$A:$A, 0)), ISNUMBER(MATCH(GE$1, AsistenciaJetAdminConcatenada!$B:$B, 0)), ISNUMBER(SEARCH($A35,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ISNUMBER(SEARCH($A35, INDEX(AsistenciaJetAdminConcatenada!$D:$D, MATCH(1, (AsistenciaJetAdminConcatenada!$A:$A=GE$2)*(AsistenciaJetAdminConcatenada!$B:$B=GE$1), 0)), 1))),  0.5, 0))</f>
        <v>0</v>
      </c>
      <c r="GF35" s="47">
        <f t="array" ref="GF35">IF(AND(ISNUMBER(MATCH(GF$2, AsistenciaJetAdminConcatenada!$A:$A, 0)), ISNUMBER(MATCH(GF$1, AsistenciaJetAdminConcatenada!$B:$B, 0)), ISNUMBER(SEARCH($A35,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ISNUMBER(SEARCH($A35, INDEX(AsistenciaJetAdminConcatenada!$D:$D, MATCH(1, (AsistenciaJetAdminConcatenada!$A:$A=GF$2)*(AsistenciaJetAdminConcatenada!$B:$B=GF$1), 0)), 1))),  0.5, 0))</f>
        <v>0</v>
      </c>
      <c r="GG35" s="47">
        <f t="array" ref="GG35">IF(AND(ISNUMBER(MATCH(GG$2, AsistenciaJetAdminConcatenada!$A:$A, 0)), ISNUMBER(MATCH(GG$1, AsistenciaJetAdminConcatenada!$B:$B, 0)), ISNUMBER(SEARCH($A35,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ISNUMBER(SEARCH($A35, INDEX(AsistenciaJetAdminConcatenada!$D:$D, MATCH(1, (AsistenciaJetAdminConcatenada!$A:$A=GG$2)*(AsistenciaJetAdminConcatenada!$B:$B=GG$1), 0)), 1))),  0.5, 0))</f>
        <v>0</v>
      </c>
      <c r="GH35" s="47">
        <f t="array" ref="GH35">IF(AND(ISNUMBER(MATCH(GH$2, AsistenciaJetAdminConcatenada!$A:$A, 0)), ISNUMBER(MATCH(GH$1, AsistenciaJetAdminConcatenada!$B:$B, 0)), ISNUMBER(SEARCH($A35,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ISNUMBER(SEARCH($A35, INDEX(AsistenciaJetAdminConcatenada!$D:$D, MATCH(1, (AsistenciaJetAdminConcatenada!$A:$A=GH$2)*(AsistenciaJetAdminConcatenada!$B:$B=GH$1), 0)), 1))),  0.5, 0))</f>
        <v>0</v>
      </c>
      <c r="GI35" s="47">
        <f t="array" ref="GI35">IF(AND(ISNUMBER(MATCH(GI$2, AsistenciaJetAdminConcatenada!$A:$A, 0)), ISNUMBER(MATCH(GI$1, AsistenciaJetAdminConcatenada!$B:$B, 0)), ISNUMBER(SEARCH($A35,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ISNUMBER(SEARCH($A35, INDEX(AsistenciaJetAdminConcatenada!$D:$D, MATCH(1, (AsistenciaJetAdminConcatenada!$A:$A=GI$2)*(AsistenciaJetAdminConcatenada!$B:$B=GI$1), 0)), 1))),  0.5, 0))</f>
        <v>0</v>
      </c>
      <c r="GJ35" s="47">
        <f t="array" ref="GJ35">IF(AND(ISNUMBER(MATCH(GJ$2, AsistenciaJetAdminConcatenada!$A:$A, 0)), ISNUMBER(MATCH(GJ$1, AsistenciaJetAdminConcatenada!$B:$B, 0)), ISNUMBER(SEARCH($A35,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ISNUMBER(SEARCH($A35, INDEX(AsistenciaJetAdminConcatenada!$D:$D, MATCH(1, (AsistenciaJetAdminConcatenada!$A:$A=GJ$2)*(AsistenciaJetAdminConcatenada!$B:$B=GJ$1), 0)), 1))),  0.5, 0))</f>
        <v>0</v>
      </c>
      <c r="GK35" s="47">
        <f t="array" ref="GK35">IF(AND(ISNUMBER(MATCH(GK$2, AsistenciaJetAdminConcatenada!$A:$A, 0)), ISNUMBER(MATCH(GK$1, AsistenciaJetAdminConcatenada!$B:$B, 0)), ISNUMBER(SEARCH($A35,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ISNUMBER(SEARCH($A35, INDEX(AsistenciaJetAdminConcatenada!$D:$D, MATCH(1, (AsistenciaJetAdminConcatenada!$A:$A=GK$2)*(AsistenciaJetAdminConcatenada!$B:$B=GK$1), 0)), 1))),  0.5, 0))</f>
        <v>0</v>
      </c>
      <c r="GL35" s="47">
        <f t="array" ref="GL35">IF(AND(ISNUMBER(MATCH(GL$2, AsistenciaJetAdminConcatenada!$A:$A, 0)), ISNUMBER(MATCH(GL$1, AsistenciaJetAdminConcatenada!$B:$B, 0)), ISNUMBER(SEARCH($A35,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ISNUMBER(SEARCH($A35, INDEX(AsistenciaJetAdminConcatenada!$D:$D, MATCH(1, (AsistenciaJetAdminConcatenada!$A:$A=GL$2)*(AsistenciaJetAdminConcatenada!$B:$B=GL$1), 0)), 1))),  0.5, 0))</f>
        <v>0</v>
      </c>
      <c r="GM35" s="47">
        <f t="array" ref="GM35">IF(AND(ISNUMBER(MATCH(GM$2, AsistenciaJetAdminConcatenada!$A:$A, 0)), ISNUMBER(MATCH(GM$1, AsistenciaJetAdminConcatenada!$B:$B, 0)), ISNUMBER(SEARCH($A35,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ISNUMBER(SEARCH($A35, INDEX(AsistenciaJetAdminConcatenada!$D:$D, MATCH(1, (AsistenciaJetAdminConcatenada!$A:$A=GM$2)*(AsistenciaJetAdminConcatenada!$B:$B=GM$1), 0)), 1))),  0.5, 0))</f>
        <v>0</v>
      </c>
      <c r="GN35" s="47">
        <f t="array" ref="GN35">IF(AND(ISNUMBER(MATCH(GN$2, AsistenciaJetAdminConcatenada!$A:$A, 0)), ISNUMBER(MATCH(GN$1, AsistenciaJetAdminConcatenada!$B:$B, 0)), ISNUMBER(SEARCH($A35,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ISNUMBER(SEARCH($A35, INDEX(AsistenciaJetAdminConcatenada!$D:$D, MATCH(1, (AsistenciaJetAdminConcatenada!$A:$A=GN$2)*(AsistenciaJetAdminConcatenada!$B:$B=GN$1), 0)), 1))),  0.5, 0))</f>
        <v>0</v>
      </c>
      <c r="GO35" s="47">
        <f t="array" ref="GO35">IF(AND(ISNUMBER(MATCH(GO$2, AsistenciaJetAdminConcatenada!$A:$A, 0)), ISNUMBER(MATCH(GO$1, AsistenciaJetAdminConcatenada!$B:$B, 0)), ISNUMBER(SEARCH($A35,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ISNUMBER(SEARCH($A35, INDEX(AsistenciaJetAdminConcatenada!$D:$D, MATCH(1, (AsistenciaJetAdminConcatenada!$A:$A=GO$2)*(AsistenciaJetAdminConcatenada!$B:$B=GO$1), 0)), 1))),  0.5, 0))</f>
        <v>0</v>
      </c>
      <c r="GP35" s="47">
        <f t="array" ref="GP35">IF(AND(ISNUMBER(MATCH(GP$2, AsistenciaJetAdminConcatenada!$A:$A, 0)), ISNUMBER(MATCH(GP$1, AsistenciaJetAdminConcatenada!$B:$B, 0)), ISNUMBER(SEARCH($A35,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ISNUMBER(SEARCH($A35, INDEX(AsistenciaJetAdminConcatenada!$D:$D, MATCH(1, (AsistenciaJetAdminConcatenada!$A:$A=GP$2)*(AsistenciaJetAdminConcatenada!$B:$B=GP$1), 0)), 1))),  0.5, 0))</f>
        <v>0</v>
      </c>
      <c r="GQ35" s="47">
        <f t="array" ref="GQ35">IF(AND(ISNUMBER(MATCH(GQ$2, AsistenciaJetAdminConcatenada!$A:$A, 0)), ISNUMBER(MATCH(GQ$1, AsistenciaJetAdminConcatenada!$B:$B, 0)), ISNUMBER(SEARCH($A35,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ISNUMBER(SEARCH($A35, INDEX(AsistenciaJetAdminConcatenada!$D:$D, MATCH(1, (AsistenciaJetAdminConcatenada!$A:$A=GQ$2)*(AsistenciaJetAdminConcatenada!$B:$B=GQ$1), 0)), 1))),  0.5, 0))</f>
        <v>0</v>
      </c>
      <c r="GR35" s="47">
        <f t="array" ref="GR35">IF(AND(ISNUMBER(MATCH(GR$2, AsistenciaJetAdminConcatenada!$A:$A, 0)), ISNUMBER(MATCH(GR$1, AsistenciaJetAdminConcatenada!$B:$B, 0)), ISNUMBER(SEARCH($A35,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ISNUMBER(SEARCH($A35, INDEX(AsistenciaJetAdminConcatenada!$D:$D, MATCH(1, (AsistenciaJetAdminConcatenada!$A:$A=GR$2)*(AsistenciaJetAdminConcatenada!$B:$B=GR$1), 0)), 1))),  0.5, 0))</f>
        <v>0</v>
      </c>
      <c r="GS35" s="47">
        <f t="array" ref="GS35">IF(AND(ISNUMBER(MATCH(GS$2, AsistenciaJetAdminConcatenada!$A:$A, 0)), ISNUMBER(MATCH(GS$1, AsistenciaJetAdminConcatenada!$B:$B, 0)), ISNUMBER(SEARCH($A35,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ISNUMBER(SEARCH($A35, INDEX(AsistenciaJetAdminConcatenada!$D:$D, MATCH(1, (AsistenciaJetAdminConcatenada!$A:$A=GS$2)*(AsistenciaJetAdminConcatenada!$B:$B=GS$1), 0)), 1))),  0.5, 0))</f>
        <v>0</v>
      </c>
      <c r="GT35" s="47">
        <f t="array" ref="GT35">IF(AND(ISNUMBER(MATCH(GT$2, AsistenciaJetAdminConcatenada!$A:$A, 0)), ISNUMBER(MATCH(GT$1, AsistenciaJetAdminConcatenada!$B:$B, 0)), ISNUMBER(SEARCH($A35,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ISNUMBER(SEARCH($A35, INDEX(AsistenciaJetAdminConcatenada!$D:$D, MATCH(1, (AsistenciaJetAdminConcatenada!$A:$A=GT$2)*(AsistenciaJetAdminConcatenada!$B:$B=GT$1), 0)), 1))),  0.5, 0))</f>
        <v>0</v>
      </c>
      <c r="GU35" s="47">
        <f t="array" ref="GU35">IF(AND(ISNUMBER(MATCH(GU$2, AsistenciaJetAdminConcatenada!$A:$A, 0)), ISNUMBER(MATCH(GU$1, AsistenciaJetAdminConcatenada!$B:$B, 0)), ISNUMBER(SEARCH($A35,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ISNUMBER(SEARCH($A35, INDEX(AsistenciaJetAdminConcatenada!$D:$D, MATCH(1, (AsistenciaJetAdminConcatenada!$A:$A=GU$2)*(AsistenciaJetAdminConcatenada!$B:$B=GU$1), 0)), 1))),  0.5, 0))</f>
        <v>0</v>
      </c>
      <c r="GV35" s="47">
        <f t="array" ref="GV35">IF(AND(ISNUMBER(MATCH(GV$2, AsistenciaJetAdminConcatenada!$A:$A, 0)), ISNUMBER(MATCH(GV$1, AsistenciaJetAdminConcatenada!$B:$B, 0)), ISNUMBER(SEARCH($A35,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ISNUMBER(SEARCH($A35, INDEX(AsistenciaJetAdminConcatenada!$D:$D, MATCH(1, (AsistenciaJetAdminConcatenada!$A:$A=GV$2)*(AsistenciaJetAdminConcatenada!$B:$B=GV$1), 0)), 1))),  0.5, 0))</f>
        <v>0</v>
      </c>
      <c r="GW35" s="47">
        <f t="array" ref="GW35">IF(AND(ISNUMBER(MATCH(GW$2, AsistenciaJetAdminConcatenada!$A:$A, 0)), ISNUMBER(MATCH(GW$1, AsistenciaJetAdminConcatenada!$B:$B, 0)), ISNUMBER(SEARCH($A35,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ISNUMBER(SEARCH($A35, INDEX(AsistenciaJetAdminConcatenada!$D:$D, MATCH(1, (AsistenciaJetAdminConcatenada!$A:$A=GW$2)*(AsistenciaJetAdminConcatenada!$B:$B=GW$1), 0)), 1))),  0.5, 0))</f>
        <v>0</v>
      </c>
      <c r="GX35" s="47">
        <f t="array" ref="GX35">IF(AND(ISNUMBER(MATCH(GX$2, AsistenciaJetAdminConcatenada!$A:$A, 0)), ISNUMBER(MATCH(GX$1, AsistenciaJetAdminConcatenada!$B:$B, 0)), ISNUMBER(SEARCH($A35,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ISNUMBER(SEARCH($A35, INDEX(AsistenciaJetAdminConcatenada!$D:$D, MATCH(1, (AsistenciaJetAdminConcatenada!$A:$A=GX$2)*(AsistenciaJetAdminConcatenada!$B:$B=GX$1), 0)), 1))),  0.5, 0))</f>
        <v>0</v>
      </c>
      <c r="GY35" s="47">
        <f t="array" ref="GY35">IF(AND(ISNUMBER(MATCH(GY$2, AsistenciaJetAdminConcatenada!$A:$A, 0)), ISNUMBER(MATCH(GY$1, AsistenciaJetAdminConcatenada!$B:$B, 0)), ISNUMBER(SEARCH($A35,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ISNUMBER(SEARCH($A35, INDEX(AsistenciaJetAdminConcatenada!$D:$D, MATCH(1, (AsistenciaJetAdminConcatenada!$A:$A=GY$2)*(AsistenciaJetAdminConcatenada!$B:$B=GY$1), 0)), 1))),  0.5, 0))</f>
        <v>0</v>
      </c>
      <c r="GZ35" s="47">
        <f t="array" ref="GZ35">IF(AND(ISNUMBER(MATCH(GZ$2, AsistenciaJetAdminConcatenada!$A:$A, 0)), ISNUMBER(MATCH(GZ$1, AsistenciaJetAdminConcatenada!$B:$B, 0)), ISNUMBER(SEARCH($A35,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ISNUMBER(SEARCH($A35, INDEX(AsistenciaJetAdminConcatenada!$D:$D, MATCH(1, (AsistenciaJetAdminConcatenada!$A:$A=GZ$2)*(AsistenciaJetAdminConcatenada!$B:$B=GZ$1), 0)), 1))),  0.5, 0))</f>
        <v>0</v>
      </c>
      <c r="HA35" s="47">
        <f t="array" ref="HA35">IF(AND(ISNUMBER(MATCH(HA$2, AsistenciaJetAdminConcatenada!$A:$A, 0)), ISNUMBER(MATCH(HA$1, AsistenciaJetAdminConcatenada!$B:$B, 0)), ISNUMBER(SEARCH($A35,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ISNUMBER(SEARCH($A35, INDEX(AsistenciaJetAdminConcatenada!$D:$D, MATCH(1, (AsistenciaJetAdminConcatenada!$A:$A=HA$2)*(AsistenciaJetAdminConcatenada!$B:$B=HA$1), 0)), 1))),  0.5, 0))</f>
        <v>0</v>
      </c>
      <c r="HB35" s="47">
        <f t="array" ref="HB35">IF(AND(ISNUMBER(MATCH(HB$2, AsistenciaJetAdminConcatenada!$A:$A, 0)), ISNUMBER(MATCH(HB$1, AsistenciaJetAdminConcatenada!$B:$B, 0)), ISNUMBER(SEARCH($A35,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ISNUMBER(SEARCH($A35, INDEX(AsistenciaJetAdminConcatenada!$D:$D, MATCH(1, (AsistenciaJetAdminConcatenada!$A:$A=HB$2)*(AsistenciaJetAdminConcatenada!$B:$B=HB$1), 0)), 1))),  0.5, 0))</f>
        <v>0</v>
      </c>
      <c r="HC35" s="47">
        <f t="array" ref="HC35">IF(AND(ISNUMBER(MATCH(HC$2, AsistenciaJetAdminConcatenada!$A:$A, 0)), ISNUMBER(MATCH(HC$1, AsistenciaJetAdminConcatenada!$B:$B, 0)), ISNUMBER(SEARCH($A35,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ISNUMBER(SEARCH($A35, INDEX(AsistenciaJetAdminConcatenada!$D:$D, MATCH(1, (AsistenciaJetAdminConcatenada!$A:$A=HC$2)*(AsistenciaJetAdminConcatenada!$B:$B=HC$1), 0)), 1))),  0.5, 0))</f>
        <v>0</v>
      </c>
    </row>
    <row r="36" ht="29.25" customHeight="1">
      <c r="A36" s="3">
        <v>114.0</v>
      </c>
      <c r="B36" s="4" t="s">
        <v>793</v>
      </c>
      <c r="C36" s="47">
        <f>SUM(D36:HC36) + ActividadesEspeciales!C36</f>
        <v>58</v>
      </c>
      <c r="D36" s="47">
        <f t="array" ref="D36">IF(AND(ISNUMBER(MATCH(D$2, AsistenciaJetAdminConcatenada!$A:$A, 0)), ISNUMBER(MATCH(D$1, AsistenciaJetAdminConcatenada!$B:$B, 0)), ISNUMBER(SEARCH($A36,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ISNUMBER(SEARCH($A36, INDEX(AsistenciaJetAdminConcatenada!$D:$D, MATCH(1, (AsistenciaJetAdminConcatenada!$A:$A=D$2)*(AsistenciaJetAdminConcatenada!$B:$B=D$1), 0)), 1))),  0.5, 0))</f>
        <v>1</v>
      </c>
      <c r="E36" s="47">
        <f t="array" ref="E36">IF(AND(ISNUMBER(MATCH(E$2, AsistenciaJetAdminConcatenada!$A:$A, 0)), ISNUMBER(MATCH(E$1, AsistenciaJetAdminConcatenada!$B:$B, 0)), ISNUMBER(SEARCH($A36,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ISNUMBER(SEARCH($A36, INDEX(AsistenciaJetAdminConcatenada!$D:$D, MATCH(1, (AsistenciaJetAdminConcatenada!$A:$A=E$2)*(AsistenciaJetAdminConcatenada!$B:$B=E$1), 0)), 1))),  0.5, 0))</f>
        <v>1</v>
      </c>
      <c r="F36" s="47">
        <f t="array" ref="F36">IF(AND(ISNUMBER(MATCH(F$2, AsistenciaJetAdminConcatenada!$A:$A, 0)), ISNUMBER(MATCH(F$1, AsistenciaJetAdminConcatenada!$B:$B, 0)), ISNUMBER(SEARCH($A36,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ISNUMBER(SEARCH($A36, INDEX(AsistenciaJetAdminConcatenada!$D:$D, MATCH(1, (AsistenciaJetAdminConcatenada!$A:$A=F$2)*(AsistenciaJetAdminConcatenada!$B:$B=F$1), 0)), 1))),  0.5, 0))</f>
        <v>1</v>
      </c>
      <c r="G36" s="47">
        <f t="array" ref="G36">IF(AND(ISNUMBER(MATCH(G$2, AsistenciaJetAdminConcatenada!$A:$A, 0)), ISNUMBER(MATCH(G$1, AsistenciaJetAdminConcatenada!$B:$B, 0)), ISNUMBER(SEARCH($A36,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ISNUMBER(SEARCH($A36, INDEX(AsistenciaJetAdminConcatenada!$D:$D, MATCH(1, (AsistenciaJetAdminConcatenada!$A:$A=G$2)*(AsistenciaJetAdminConcatenada!$B:$B=G$1), 0)), 1))),  0.5, 0))</f>
        <v>1</v>
      </c>
      <c r="H36" s="47">
        <f t="array" ref="H36">IF(AND(ISNUMBER(MATCH(H$2, AsistenciaJetAdminConcatenada!$A:$A, 0)), ISNUMBER(MATCH(H$1, AsistenciaJetAdminConcatenada!$B:$B, 0)), ISNUMBER(SEARCH($A36,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ISNUMBER(SEARCH($A36, INDEX(AsistenciaJetAdminConcatenada!$D:$D, MATCH(1, (AsistenciaJetAdminConcatenada!$A:$A=H$2)*(AsistenciaJetAdminConcatenada!$B:$B=H$1), 0)), 1))),  0.5, 0))</f>
        <v>1</v>
      </c>
      <c r="I36" s="47">
        <f t="array" ref="I36">IF(AND(ISNUMBER(MATCH(I$2, AsistenciaJetAdminConcatenada!$A:$A, 0)), ISNUMBER(MATCH(I$1, AsistenciaJetAdminConcatenada!$B:$B, 0)), ISNUMBER(SEARCH($A36,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ISNUMBER(SEARCH($A36, INDEX(AsistenciaJetAdminConcatenada!$D:$D, MATCH(1, (AsistenciaJetAdminConcatenada!$A:$A=I$2)*(AsistenciaJetAdminConcatenada!$B:$B=I$1), 0)), 1))),  0.5, 0))</f>
        <v>1</v>
      </c>
      <c r="J36" s="47">
        <f t="array" ref="J36">IF(AND(ISNUMBER(MATCH(J$2, AsistenciaJetAdminConcatenada!$A:$A, 0)), ISNUMBER(MATCH(J$1, AsistenciaJetAdminConcatenada!$B:$B, 0)), ISNUMBER(SEARCH($A36,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ISNUMBER(SEARCH($A36, INDEX(AsistenciaJetAdminConcatenada!$D:$D, MATCH(1, (AsistenciaJetAdminConcatenada!$A:$A=J$2)*(AsistenciaJetAdminConcatenada!$B:$B=J$1), 0)), 1))),  0.5, 0))</f>
        <v>1</v>
      </c>
      <c r="K36" s="47">
        <f t="array" ref="K36">IF(AND(ISNUMBER(MATCH(K$2, AsistenciaJetAdminConcatenada!$A:$A, 0)), ISNUMBER(MATCH(K$1, AsistenciaJetAdminConcatenada!$B:$B, 0)), ISNUMBER(SEARCH($A36,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ISNUMBER(SEARCH($A36, INDEX(AsistenciaJetAdminConcatenada!$D:$D, MATCH(1, (AsistenciaJetAdminConcatenada!$A:$A=K$2)*(AsistenciaJetAdminConcatenada!$B:$B=K$1), 0)), 1))),  0.5, 0))</f>
        <v>1</v>
      </c>
      <c r="L36" s="47">
        <f t="array" ref="L36">IF(AND(ISNUMBER(MATCH(L$2, AsistenciaJetAdminConcatenada!$A:$A, 0)), ISNUMBER(MATCH(L$1, AsistenciaJetAdminConcatenada!$B:$B, 0)), ISNUMBER(SEARCH($A36,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ISNUMBER(SEARCH($A36, INDEX(AsistenciaJetAdminConcatenada!$D:$D, MATCH(1, (AsistenciaJetAdminConcatenada!$A:$A=L$2)*(AsistenciaJetAdminConcatenada!$B:$B=L$1), 0)), 1))),  0.5, 0))</f>
        <v>1</v>
      </c>
      <c r="M36" s="47">
        <f t="array" ref="M36">IF(AND(ISNUMBER(MATCH(M$2, AsistenciaJetAdminConcatenada!$A:$A, 0)), ISNUMBER(MATCH(M$1, AsistenciaJetAdminConcatenada!$B:$B, 0)), ISNUMBER(SEARCH($A36,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ISNUMBER(SEARCH($A36, INDEX(AsistenciaJetAdminConcatenada!$D:$D, MATCH(1, (AsistenciaJetAdminConcatenada!$A:$A=M$2)*(AsistenciaJetAdminConcatenada!$B:$B=M$1), 0)), 1))),  0.5, 0))</f>
        <v>1</v>
      </c>
      <c r="N36" s="47">
        <f t="array" ref="N36">IF(AND(ISNUMBER(MATCH(N$2, AsistenciaJetAdminConcatenada!$A:$A, 0)), ISNUMBER(MATCH(N$1, AsistenciaJetAdminConcatenada!$B:$B, 0)), ISNUMBER(SEARCH($A36,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ISNUMBER(SEARCH($A36, INDEX(AsistenciaJetAdminConcatenada!$D:$D, MATCH(1, (AsistenciaJetAdminConcatenada!$A:$A=N$2)*(AsistenciaJetAdminConcatenada!$B:$B=N$1), 0)), 1))),  0.5, 0))</f>
        <v>0</v>
      </c>
      <c r="O36" s="47">
        <f t="array" ref="O36">IF(AND(ISNUMBER(MATCH(O$2, AsistenciaJetAdminConcatenada!$A:$A, 0)), ISNUMBER(MATCH(O$1, AsistenciaJetAdminConcatenada!$B:$B, 0)), ISNUMBER(SEARCH($A36,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ISNUMBER(SEARCH($A36, INDEX(AsistenciaJetAdminConcatenada!$D:$D, MATCH(1, (AsistenciaJetAdminConcatenada!$A:$A=O$2)*(AsistenciaJetAdminConcatenada!$B:$B=O$1), 0)), 1))),  0.5, 0))</f>
        <v>0</v>
      </c>
      <c r="P36" s="47">
        <f t="array" ref="P36">IF(AND(ISNUMBER(MATCH(P$2, AsistenciaJetAdminConcatenada!$A:$A, 0)), ISNUMBER(MATCH(P$1, AsistenciaJetAdminConcatenada!$B:$B, 0)), ISNUMBER(SEARCH($A36, INDEX(AsistenciaJetAdminConcatenada!$C:$C, MATCH(1, (AsistenciaJetAdminConcatenada!$A:$A=P$2)*(AsistenciaJetAdminConcatenada!$B:$B=P$1), 0)), 1))), 1, IF(AND(ISNUMBER(MATCH(P$2, AsistenciaJetAdminConcatenada!$A:$A, 0)), ISNUMBER(MATCH(P$1, AsistenciaJetAdminConcatenada!$B:$B, 0)), ISNUMBER(SEARCH($A36, INDEX(AsistenciaJetAdminConcatenada!$D:$D, MATCH(1, (AsistenciaJetAdminConcatenada!$A:$A=P$2)*(AsistenciaJetAdminConcatenada!$B:$B=P$1), 0)), 1))),  0.5, 0))</f>
        <v>1</v>
      </c>
      <c r="Q36" s="47">
        <f t="array" ref="Q36">IF(AND(ISNUMBER(MATCH(Q$2, AsistenciaJetAdminConcatenada!$A:$A, 0)), ISNUMBER(MATCH(Q$1, AsistenciaJetAdminConcatenada!$B:$B, 0)), ISNUMBER(SEARCH($A36, INDEX(AsistenciaJetAdminConcatenada!$C:$C, MATCH(1, (AsistenciaJetAdminConcatenada!$A:$A=Q$2)*(AsistenciaJetAdminConcatenada!$B:$B=Q$1), 0)), 1))), 1, IF(AND(ISNUMBER(MATCH(Q$2, AsistenciaJetAdminConcatenada!$A:$A, 0)), ISNUMBER(MATCH(Q$1, AsistenciaJetAdminConcatenada!$B:$B, 0)), ISNUMBER(SEARCH($A36, INDEX(AsistenciaJetAdminConcatenada!$D:$D, MATCH(1, (AsistenciaJetAdminConcatenada!$A:$A=Q$2)*(AsistenciaJetAdminConcatenada!$B:$B=Q$1), 0)), 1))),  0.5, 0))</f>
        <v>1</v>
      </c>
      <c r="R36" s="47">
        <f t="array" ref="R36">IF(AND(ISNUMBER(MATCH(R$2, AsistenciaJetAdminConcatenada!$A:$A, 0)), ISNUMBER(MATCH(R$1, AsistenciaJetAdminConcatenada!$B:$B, 0)), ISNUMBER(SEARCH($A36,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ISNUMBER(SEARCH($A36, INDEX(AsistenciaJetAdminConcatenada!$D:$D, MATCH(1, (AsistenciaJetAdminConcatenada!$A:$A=R$2)*(AsistenciaJetAdminConcatenada!$B:$B=R$1), 0)), 1))),  0.5, 0))</f>
        <v>1</v>
      </c>
      <c r="S36" s="47">
        <f t="array" ref="S36">IF(AND(ISNUMBER(MATCH(S$2, AsistenciaJetAdminConcatenada!$A:$A, 0)), ISNUMBER(MATCH(S$1, AsistenciaJetAdminConcatenada!$B:$B, 0)), ISNUMBER(SEARCH($A36,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ISNUMBER(SEARCH($A36, INDEX(AsistenciaJetAdminConcatenada!$D:$D, MATCH(1, (AsistenciaJetAdminConcatenada!$A:$A=S$2)*(AsistenciaJetAdminConcatenada!$B:$B=S$1), 0)), 1))),  0.5, 0))</f>
        <v>1</v>
      </c>
      <c r="T36" s="47">
        <f t="array" ref="T36">IF(AND(ISNUMBER(MATCH(T$2, AsistenciaJetAdminConcatenada!$A:$A, 0)), ISNUMBER(MATCH(T$1, AsistenciaJetAdminConcatenada!$B:$B, 0)), ISNUMBER(SEARCH($A36,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ISNUMBER(SEARCH($A36, INDEX(AsistenciaJetAdminConcatenada!$D:$D, MATCH(1, (AsistenciaJetAdminConcatenada!$A:$A=T$2)*(AsistenciaJetAdminConcatenada!$B:$B=T$1), 0)), 1))),  0.5, 0))</f>
        <v>0</v>
      </c>
      <c r="U36" s="47">
        <f t="array" ref="U36">IF(AND(ISNUMBER(MATCH(U$2, AsistenciaJetAdminConcatenada!$A:$A, 0)), ISNUMBER(MATCH(U$1, AsistenciaJetAdminConcatenada!$B:$B, 0)), ISNUMBER(SEARCH($A36,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ISNUMBER(SEARCH($A36, INDEX(AsistenciaJetAdminConcatenada!$D:$D, MATCH(1, (AsistenciaJetAdminConcatenada!$A:$A=U$2)*(AsistenciaJetAdminConcatenada!$B:$B=U$1), 0)), 1))),  0.5, 0))</f>
        <v>1</v>
      </c>
      <c r="V36" s="47">
        <f t="array" ref="V36">IF(AND(ISNUMBER(MATCH(V$2, AsistenciaJetAdminConcatenada!$A:$A, 0)), ISNUMBER(MATCH(V$1, AsistenciaJetAdminConcatenada!$B:$B, 0)), ISNUMBER(SEARCH($A36,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ISNUMBER(SEARCH($A36, INDEX(AsistenciaJetAdminConcatenada!$D:$D, MATCH(1, (AsistenciaJetAdminConcatenada!$A:$A=V$2)*(AsistenciaJetAdminConcatenada!$B:$B=V$1), 0)), 1))),  0.5, 0))</f>
        <v>1</v>
      </c>
      <c r="W36" s="47">
        <f t="array" ref="W36">IF(AND(ISNUMBER(MATCH(W$2, AsistenciaJetAdminConcatenada!$A:$A, 0)), ISNUMBER(MATCH(W$1, AsistenciaJetAdminConcatenada!$B:$B, 0)), ISNUMBER(SEARCH($A36,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ISNUMBER(SEARCH($A36, INDEX(AsistenciaJetAdminConcatenada!$D:$D, MATCH(1, (AsistenciaJetAdminConcatenada!$A:$A=W$2)*(AsistenciaJetAdminConcatenada!$B:$B=W$1), 0)), 1))),  0.5, 0))</f>
        <v>1</v>
      </c>
      <c r="X36" s="47">
        <f t="array" ref="X36">IF(AND(ISNUMBER(MATCH(X$2, AsistenciaJetAdminConcatenada!$A:$A, 0)), ISNUMBER(MATCH(X$1, AsistenciaJetAdminConcatenada!$B:$B, 0)), ISNUMBER(SEARCH($A36,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ISNUMBER(SEARCH($A36, INDEX(AsistenciaJetAdminConcatenada!$D:$D, MATCH(1, (AsistenciaJetAdminConcatenada!$A:$A=X$2)*(AsistenciaJetAdminConcatenada!$B:$B=X$1), 0)), 1))),  0.5, 0))</f>
        <v>1</v>
      </c>
      <c r="Y36" s="47">
        <f t="array" ref="Y36">IF(AND(ISNUMBER(MATCH(Y$2, AsistenciaJetAdminConcatenada!$A:$A, 0)), ISNUMBER(MATCH(Y$1, AsistenciaJetAdminConcatenada!$B:$B, 0)), ISNUMBER(SEARCH($A36,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ISNUMBER(SEARCH($A36, INDEX(AsistenciaJetAdminConcatenada!$D:$D, MATCH(1, (AsistenciaJetAdminConcatenada!$A:$A=Y$2)*(AsistenciaJetAdminConcatenada!$B:$B=Y$1), 0)), 1))),  0.5, 0))</f>
        <v>1</v>
      </c>
      <c r="Z36" s="47">
        <f t="array" ref="Z36">IF(AND(ISNUMBER(MATCH(Z$2, AsistenciaJetAdminConcatenada!$A:$A, 0)), ISNUMBER(MATCH(Z$1, AsistenciaJetAdminConcatenada!$B:$B, 0)), ISNUMBER(SEARCH($A36,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ISNUMBER(SEARCH($A36, INDEX(AsistenciaJetAdminConcatenada!$D:$D, MATCH(1, (AsistenciaJetAdminConcatenada!$A:$A=Z$2)*(AsistenciaJetAdminConcatenada!$B:$B=Z$1), 0)), 1))),  0.5, 0))</f>
        <v>1</v>
      </c>
      <c r="AA36" s="47">
        <f t="array" ref="AA36">IF(AND(ISNUMBER(MATCH(AA$2, AsistenciaJetAdminConcatenada!$A:$A, 0)), ISNUMBER(MATCH(AA$1, AsistenciaJetAdminConcatenada!$B:$B, 0)), ISNUMBER(SEARCH($A36,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ISNUMBER(SEARCH($A36, INDEX(AsistenciaJetAdminConcatenada!$D:$D, MATCH(1, (AsistenciaJetAdminConcatenada!$A:$A=AA$2)*(AsistenciaJetAdminConcatenada!$B:$B=AA$1), 0)), 1))),  0.5, 0))</f>
        <v>0</v>
      </c>
      <c r="AB36" s="47">
        <f t="array" ref="AB36">IF(AND(ISNUMBER(MATCH(AB$2, AsistenciaJetAdminConcatenada!$A:$A, 0)), ISNUMBER(MATCH(AB$1, AsistenciaJetAdminConcatenada!$B:$B, 0)), ISNUMBER(SEARCH($A36,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ISNUMBER(SEARCH($A36, INDEX(AsistenciaJetAdminConcatenada!$D:$D, MATCH(1, (AsistenciaJetAdminConcatenada!$A:$A=AB$2)*(AsistenciaJetAdminConcatenada!$B:$B=AB$1), 0)), 1))),  0.5, 0))</f>
        <v>0</v>
      </c>
      <c r="AC36" s="47">
        <f t="array" ref="AC36">IF(AND(ISNUMBER(MATCH(AC$2, AsistenciaJetAdminConcatenada!$A:$A, 0)), ISNUMBER(MATCH(AC$1, AsistenciaJetAdminConcatenada!$B:$B, 0)), ISNUMBER(SEARCH($A36,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ISNUMBER(SEARCH($A36, INDEX(AsistenciaJetAdminConcatenada!$D:$D, MATCH(1, (AsistenciaJetAdminConcatenada!$A:$A=AC$2)*(AsistenciaJetAdminConcatenada!$B:$B=AC$1), 0)), 1))),  0.5, 0))</f>
        <v>1</v>
      </c>
      <c r="AD36" s="47">
        <f t="array" ref="AD36">IF(AND(ISNUMBER(MATCH(AD$2, AsistenciaJetAdminConcatenada!$A:$A, 0)), ISNUMBER(MATCH(AD$1, AsistenciaJetAdminConcatenada!$B:$B, 0)), ISNUMBER(SEARCH($A36,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ISNUMBER(SEARCH($A36, INDEX(AsistenciaJetAdminConcatenada!$D:$D, MATCH(1, (AsistenciaJetAdminConcatenada!$A:$A=AD$2)*(AsistenciaJetAdminConcatenada!$B:$B=AD$1), 0)), 1))),  0.5, 0))</f>
        <v>1</v>
      </c>
      <c r="AE36" s="47">
        <f t="array" ref="AE36">IF(AND(ISNUMBER(MATCH(AE$2, AsistenciaJetAdminConcatenada!$A:$A, 0)), ISNUMBER(MATCH(AE$1, AsistenciaJetAdminConcatenada!$B:$B, 0)), ISNUMBER(SEARCH($A36,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ISNUMBER(SEARCH($A36, INDEX(AsistenciaJetAdminConcatenada!$D:$D, MATCH(1, (AsistenciaJetAdminConcatenada!$A:$A=AE$2)*(AsistenciaJetAdminConcatenada!$B:$B=AE$1), 0)), 1))),  0.5, 0))</f>
        <v>1</v>
      </c>
      <c r="AF36" s="47">
        <f t="array" ref="AF36">IF(AND(ISNUMBER(MATCH(AF$2, AsistenciaJetAdminConcatenada!$A:$A, 0)), ISNUMBER(MATCH(AF$1, AsistenciaJetAdminConcatenada!$B:$B, 0)), ISNUMBER(SEARCH($A36,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ISNUMBER(SEARCH($A36, INDEX(AsistenciaJetAdminConcatenada!$D:$D, MATCH(1, (AsistenciaJetAdminConcatenada!$A:$A=AF$2)*(AsistenciaJetAdminConcatenada!$B:$B=AF$1), 0)), 1))),  0.5, 0))</f>
        <v>1</v>
      </c>
      <c r="AG36" s="47">
        <f t="array" ref="AG36">IF(AND(ISNUMBER(MATCH(AG$2, AsistenciaJetAdminConcatenada!$A:$A, 0)), ISNUMBER(MATCH(AG$1, AsistenciaJetAdminConcatenada!$B:$B, 0)), ISNUMBER(SEARCH($A36,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ISNUMBER(SEARCH($A36, INDEX(AsistenciaJetAdminConcatenada!$D:$D, MATCH(1, (AsistenciaJetAdminConcatenada!$A:$A=AG$2)*(AsistenciaJetAdminConcatenada!$B:$B=AG$1), 0)), 1))),  0.5, 0))</f>
        <v>0</v>
      </c>
      <c r="AH36" s="47">
        <f t="array" ref="AH36">IF(AND(ISNUMBER(MATCH(AH$2, AsistenciaJetAdminConcatenada!$A:$A, 0)), ISNUMBER(MATCH(AH$1, AsistenciaJetAdminConcatenada!$B:$B, 0)), ISNUMBER(SEARCH($A36,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ISNUMBER(SEARCH($A36, INDEX(AsistenciaJetAdminConcatenada!$D:$D, MATCH(1, (AsistenciaJetAdminConcatenada!$A:$A=AH$2)*(AsistenciaJetAdminConcatenada!$B:$B=AH$1), 0)), 1))),  0.5, 0))</f>
        <v>0</v>
      </c>
      <c r="AI36" s="47">
        <f t="array" ref="AI36">IF(AND(ISNUMBER(MATCH(AI$2, AsistenciaJetAdminConcatenada!$A:$A, 0)), ISNUMBER(MATCH(AI$1, AsistenciaJetAdminConcatenada!$B:$B, 0)), ISNUMBER(SEARCH($A36,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ISNUMBER(SEARCH($A36, INDEX(AsistenciaJetAdminConcatenada!$D:$D, MATCH(1, (AsistenciaJetAdminConcatenada!$A:$A=AI$2)*(AsistenciaJetAdminConcatenada!$B:$B=AI$1), 0)), 1))),  0.5, 0))</f>
        <v>0</v>
      </c>
      <c r="AJ36" s="47">
        <f t="array" ref="AJ36">IF(AND(ISNUMBER(MATCH(AJ$2, AsistenciaJetAdminConcatenada!$A:$A, 0)), ISNUMBER(MATCH(AJ$1, AsistenciaJetAdminConcatenada!$B:$B, 0)), ISNUMBER(SEARCH($A36,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ISNUMBER(SEARCH($A36, INDEX(AsistenciaJetAdminConcatenada!$D:$D, MATCH(1, (AsistenciaJetAdminConcatenada!$A:$A=AJ$2)*(AsistenciaJetAdminConcatenada!$B:$B=AJ$1), 0)), 1))),  0.5, 0))</f>
        <v>1</v>
      </c>
      <c r="AK36" s="47">
        <f t="array" ref="AK36">IF(AND(ISNUMBER(MATCH(AK$2, AsistenciaJetAdminConcatenada!$A:$A, 0)), ISNUMBER(MATCH(AK$1, AsistenciaJetAdminConcatenada!$B:$B, 0)), ISNUMBER(SEARCH($A36,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ISNUMBER(SEARCH($A36, INDEX(AsistenciaJetAdminConcatenada!$D:$D, MATCH(1, (AsistenciaJetAdminConcatenada!$A:$A=AK$2)*(AsistenciaJetAdminConcatenada!$B:$B=AK$1), 0)), 1))),  0.5, 0))</f>
        <v>1</v>
      </c>
      <c r="AL36" s="47">
        <f t="array" ref="AL36">IF(AND(ISNUMBER(MATCH(AL$2, AsistenciaJetAdminConcatenada!$A:$A, 0)), ISNUMBER(MATCH(AL$1, AsistenciaJetAdminConcatenada!$B:$B, 0)), ISNUMBER(SEARCH($A36,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ISNUMBER(SEARCH($A36, INDEX(AsistenciaJetAdminConcatenada!$D:$D, MATCH(1, (AsistenciaJetAdminConcatenada!$A:$A=AL$2)*(AsistenciaJetAdminConcatenada!$B:$B=AL$1), 0)), 1))),  0.5, 0))</f>
        <v>0</v>
      </c>
      <c r="AM36" s="47">
        <f t="array" ref="AM36">IF(AND(ISNUMBER(MATCH(AM$2, AsistenciaJetAdminConcatenada!$A:$A, 0)), ISNUMBER(MATCH(AM$1, AsistenciaJetAdminConcatenada!$B:$B, 0)), ISNUMBER(SEARCH($A36,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ISNUMBER(SEARCH($A36, INDEX(AsistenciaJetAdminConcatenada!$D:$D, MATCH(1, (AsistenciaJetAdminConcatenada!$A:$A=AM$2)*(AsistenciaJetAdminConcatenada!$B:$B=AM$1), 0)), 1))),  0.5, 0))</f>
        <v>1</v>
      </c>
      <c r="AN36" s="47">
        <f t="array" ref="AN36">IF(AND(ISNUMBER(MATCH(AN$2, AsistenciaJetAdminConcatenada!$A:$A, 0)), ISNUMBER(MATCH(AN$1, AsistenciaJetAdminConcatenada!$B:$B, 0)), ISNUMBER(SEARCH($A36,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ISNUMBER(SEARCH($A36, INDEX(AsistenciaJetAdminConcatenada!$D:$D, MATCH(1, (AsistenciaJetAdminConcatenada!$A:$A=AN$2)*(AsistenciaJetAdminConcatenada!$B:$B=AN$1), 0)), 1))),  0.5, 0))</f>
        <v>1</v>
      </c>
      <c r="AO36" s="47">
        <f t="array" ref="AO36">IF(AND(ISNUMBER(MATCH(AO$2, AsistenciaJetAdminConcatenada!$A:$A, 0)), ISNUMBER(MATCH(AO$1, AsistenciaJetAdminConcatenada!$B:$B, 0)), ISNUMBER(SEARCH($A36,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ISNUMBER(SEARCH($A36, INDEX(AsistenciaJetAdminConcatenada!$D:$D, MATCH(1, (AsistenciaJetAdminConcatenada!$A:$A=AO$2)*(AsistenciaJetAdminConcatenada!$B:$B=AO$1), 0)), 1))),  0.5, 0))</f>
        <v>0</v>
      </c>
      <c r="AP36" s="47">
        <f t="array" ref="AP36">IF(AND(ISNUMBER(MATCH(AP$2, AsistenciaJetAdminConcatenada!$A:$A, 0)), ISNUMBER(MATCH(AP$1, AsistenciaJetAdminConcatenada!$B:$B, 0)), ISNUMBER(SEARCH($A36,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ISNUMBER(SEARCH($A36, INDEX(AsistenciaJetAdminConcatenada!$D:$D, MATCH(1, (AsistenciaJetAdminConcatenada!$A:$A=AP$2)*(AsistenciaJetAdminConcatenada!$B:$B=AP$1), 0)), 1))),  0.5, 0))</f>
        <v>0</v>
      </c>
      <c r="AQ36" s="47">
        <f t="array" ref="AQ36">IF(AND(ISNUMBER(MATCH(AQ$2, AsistenciaJetAdminConcatenada!$A:$A, 0)), ISNUMBER(MATCH(AQ$1, AsistenciaJetAdminConcatenada!$B:$B, 0)), ISNUMBER(SEARCH($A36,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ISNUMBER(SEARCH($A36, INDEX(AsistenciaJetAdminConcatenada!$D:$D, MATCH(1, (AsistenciaJetAdminConcatenada!$A:$A=AQ$2)*(AsistenciaJetAdminConcatenada!$B:$B=AQ$1), 0)), 1))),  0.5, 0))</f>
        <v>0</v>
      </c>
      <c r="AR36" s="47">
        <f t="array" ref="AR36">IF(AND(ISNUMBER(MATCH(AR$2, AsistenciaJetAdminConcatenada!$A:$A, 0)), ISNUMBER(MATCH(AR$1, AsistenciaJetAdminConcatenada!$B:$B, 0)), ISNUMBER(SEARCH($A36,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ISNUMBER(SEARCH($A36, INDEX(AsistenciaJetAdminConcatenada!$D:$D, MATCH(1, (AsistenciaJetAdminConcatenada!$A:$A=AR$2)*(AsistenciaJetAdminConcatenada!$B:$B=AR$1), 0)), 1))),  0.5, 0))</f>
        <v>1</v>
      </c>
      <c r="AS36" s="47">
        <f t="array" ref="AS36">IF(AND(ISNUMBER(MATCH(AS$2, AsistenciaJetAdminConcatenada!$A:$A, 0)), ISNUMBER(MATCH(AS$1, AsistenciaJetAdminConcatenada!$B:$B, 0)), ISNUMBER(SEARCH($A36,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ISNUMBER(SEARCH($A36, INDEX(AsistenciaJetAdminConcatenada!$D:$D, MATCH(1, (AsistenciaJetAdminConcatenada!$A:$A=AS$2)*(AsistenciaJetAdminConcatenada!$B:$B=AS$1), 0)), 1))),  0.5, 0))</f>
        <v>1</v>
      </c>
      <c r="AT36" s="47">
        <f t="array" ref="AT36">IF(AND(ISNUMBER(MATCH(AT$2, AsistenciaJetAdminConcatenada!$A:$A, 0)), ISNUMBER(MATCH(AT$1, AsistenciaJetAdminConcatenada!$B:$B, 0)), ISNUMBER(SEARCH($A36,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ISNUMBER(SEARCH($A36, INDEX(AsistenciaJetAdminConcatenada!$D:$D, MATCH(1, (AsistenciaJetAdminConcatenada!$A:$A=AT$2)*(AsistenciaJetAdminConcatenada!$B:$B=AT$1), 0)), 1))),  0.5, 0))</f>
        <v>0</v>
      </c>
      <c r="AU36" s="47">
        <f t="array" ref="AU36">IF(AND(ISNUMBER(MATCH(AU$2, AsistenciaJetAdminConcatenada!$A:$A, 0)), ISNUMBER(MATCH(AU$1, AsistenciaJetAdminConcatenada!$B:$B, 0)), ISNUMBER(SEARCH($A36,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ISNUMBER(SEARCH($A36, INDEX(AsistenciaJetAdminConcatenada!$D:$D, MATCH(1, (AsistenciaJetAdminConcatenada!$A:$A=AU$2)*(AsistenciaJetAdminConcatenada!$B:$B=AU$1), 0)), 1))),  0.5, 0))</f>
        <v>1</v>
      </c>
      <c r="AV36" s="47">
        <f t="array" ref="AV36">IF(AND(ISNUMBER(MATCH(AV$2, AsistenciaJetAdminConcatenada!$A:$A, 0)), ISNUMBER(MATCH(AV$1, AsistenciaJetAdminConcatenada!$B:$B, 0)), ISNUMBER(SEARCH($A36,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ISNUMBER(SEARCH($A36, INDEX(AsistenciaJetAdminConcatenada!$D:$D, MATCH(1, (AsistenciaJetAdminConcatenada!$A:$A=AV$2)*(AsistenciaJetAdminConcatenada!$B:$B=AV$1), 0)), 1))),  0.5, 0))</f>
        <v>1</v>
      </c>
      <c r="AW36" s="47">
        <f t="array" ref="AW36">IF(AND(ISNUMBER(MATCH(AW$2, AsistenciaJetAdminConcatenada!$A:$A, 0)), ISNUMBER(MATCH(AW$1, AsistenciaJetAdminConcatenada!$B:$B, 0)), ISNUMBER(SEARCH($A36,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ISNUMBER(SEARCH($A36, INDEX(AsistenciaJetAdminConcatenada!$D:$D, MATCH(1, (AsistenciaJetAdminConcatenada!$A:$A=AW$2)*(AsistenciaJetAdminConcatenada!$B:$B=AW$1), 0)), 1))),  0.5, 0))</f>
        <v>0</v>
      </c>
      <c r="AX36" s="47">
        <f t="array" ref="AX36">IF(AND(ISNUMBER(MATCH(AX$2, AsistenciaJetAdminConcatenada!$A:$A, 0)), ISNUMBER(MATCH(AX$1, AsistenciaJetAdminConcatenada!$B:$B, 0)), ISNUMBER(SEARCH($A36,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ISNUMBER(SEARCH($A36, INDEX(AsistenciaJetAdminConcatenada!$D:$D, MATCH(1, (AsistenciaJetAdminConcatenada!$A:$A=AX$2)*(AsistenciaJetAdminConcatenada!$B:$B=AX$1), 0)), 1))),  0.5, 0))</f>
        <v>0</v>
      </c>
      <c r="AY36" s="47">
        <f t="array" ref="AY36">IF(AND(ISNUMBER(MATCH(AY$2, AsistenciaJetAdminConcatenada!$A:$A, 0)), ISNUMBER(MATCH(AY$1, AsistenciaJetAdminConcatenada!$B:$B, 0)), ISNUMBER(SEARCH($A36,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ISNUMBER(SEARCH($A36, INDEX(AsistenciaJetAdminConcatenada!$D:$D, MATCH(1, (AsistenciaJetAdminConcatenada!$A:$A=AY$2)*(AsistenciaJetAdminConcatenada!$B:$B=AY$1), 0)), 1))),  0.5, 0))</f>
        <v>1</v>
      </c>
      <c r="AZ36" s="47">
        <f t="array" ref="AZ36">IF(AND(ISNUMBER(MATCH(AZ$2, AsistenciaJetAdminConcatenada!$A:$A, 0)), ISNUMBER(MATCH(AZ$1, AsistenciaJetAdminConcatenada!$B:$B, 0)), ISNUMBER(SEARCH($A36,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ISNUMBER(SEARCH($A36, INDEX(AsistenciaJetAdminConcatenada!$D:$D, MATCH(1, (AsistenciaJetAdminConcatenada!$A:$A=AZ$2)*(AsistenciaJetAdminConcatenada!$B:$B=AZ$1), 0)), 1))),  0.5, 0))</f>
        <v>1</v>
      </c>
      <c r="BA36" s="47">
        <f t="array" ref="BA36">IF(AND(ISNUMBER(MATCH(BA$2, AsistenciaJetAdminConcatenada!$A:$A, 0)), ISNUMBER(MATCH(BA$1, AsistenciaJetAdminConcatenada!$B:$B, 0)), ISNUMBER(SEARCH($A36,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ISNUMBER(SEARCH($A36, INDEX(AsistenciaJetAdminConcatenada!$D:$D, MATCH(1, (AsistenciaJetAdminConcatenada!$A:$A=BA$2)*(AsistenciaJetAdminConcatenada!$B:$B=BA$1), 0)), 1))),  0.5, 0))</f>
        <v>0</v>
      </c>
      <c r="BB36" s="47">
        <f t="array" ref="BB36">IF(AND(ISNUMBER(MATCH(BB$2, AsistenciaJetAdminConcatenada!$A:$A, 0)), ISNUMBER(MATCH(BB$1, AsistenciaJetAdminConcatenada!$B:$B, 0)), ISNUMBER(SEARCH($A36,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ISNUMBER(SEARCH($A36, INDEX(AsistenciaJetAdminConcatenada!$D:$D, MATCH(1, (AsistenciaJetAdminConcatenada!$A:$A=BB$2)*(AsistenciaJetAdminConcatenada!$B:$B=BB$1), 0)), 1))),  0.5, 0))</f>
        <v>1</v>
      </c>
      <c r="BC36" s="47">
        <f t="array" ref="BC36">IF(AND(ISNUMBER(MATCH(BC$2, AsistenciaJetAdminConcatenada!$A:$A, 0)), ISNUMBER(MATCH(BC$1, AsistenciaJetAdminConcatenada!$B:$B, 0)), ISNUMBER(SEARCH($A36,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ISNUMBER(SEARCH($A36, INDEX(AsistenciaJetAdminConcatenada!$D:$D, MATCH(1, (AsistenciaJetAdminConcatenada!$A:$A=BC$2)*(AsistenciaJetAdminConcatenada!$B:$B=BC$1), 0)), 1))),  0.5, 0))</f>
        <v>1</v>
      </c>
      <c r="BD36" s="47">
        <f t="array" ref="BD36">IF(AND(ISNUMBER(MATCH(BD$2, AsistenciaJetAdminConcatenada!$A:$A, 0)), ISNUMBER(MATCH(BD$1, AsistenciaJetAdminConcatenada!$B:$B, 0)), ISNUMBER(SEARCH($A36,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ISNUMBER(SEARCH($A36, INDEX(AsistenciaJetAdminConcatenada!$D:$D, MATCH(1, (AsistenciaJetAdminConcatenada!$A:$A=BD$2)*(AsistenciaJetAdminConcatenada!$B:$B=BD$1), 0)), 1))),  0.5, 0))</f>
        <v>0</v>
      </c>
      <c r="BE36" s="47">
        <f t="array" ref="BE36">IF(AND(ISNUMBER(MATCH(BE$2, AsistenciaJetAdminConcatenada!$A:$A, 0)), ISNUMBER(MATCH(BE$1, AsistenciaJetAdminConcatenada!$B:$B, 0)), ISNUMBER(SEARCH($A36,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ISNUMBER(SEARCH($A36, INDEX(AsistenciaJetAdminConcatenada!$D:$D, MATCH(1, (AsistenciaJetAdminConcatenada!$A:$A=BE$2)*(AsistenciaJetAdminConcatenada!$B:$B=BE$1), 0)), 1))),  0.5, 0))</f>
        <v>1</v>
      </c>
      <c r="BF36" s="47">
        <f t="array" ref="BF36">IF(AND(ISNUMBER(MATCH(BF$2, AsistenciaJetAdminConcatenada!$A:$A, 0)), ISNUMBER(MATCH(BF$1, AsistenciaJetAdminConcatenada!$B:$B, 0)), ISNUMBER(SEARCH($A36,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ISNUMBER(SEARCH($A36, INDEX(AsistenciaJetAdminConcatenada!$D:$D, MATCH(1, (AsistenciaJetAdminConcatenada!$A:$A=BF$2)*(AsistenciaJetAdminConcatenada!$B:$B=BF$1), 0)), 1))),  0.5, 0))</f>
        <v>1</v>
      </c>
      <c r="BG36" s="47">
        <f t="array" ref="BG36">IF(AND(ISNUMBER(MATCH(BG$2, AsistenciaJetAdminConcatenada!$A:$A, 0)), ISNUMBER(MATCH(BG$1, AsistenciaJetAdminConcatenada!$B:$B, 0)), ISNUMBER(SEARCH($A36,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ISNUMBER(SEARCH($A36, INDEX(AsistenciaJetAdminConcatenada!$D:$D, MATCH(1, (AsistenciaJetAdminConcatenada!$A:$A=BG$2)*(AsistenciaJetAdminConcatenada!$B:$B=BG$1), 0)), 1))),  0.5, 0))</f>
        <v>0</v>
      </c>
      <c r="BH36" s="47">
        <f t="array" ref="BH36">IF(AND(ISNUMBER(MATCH(BH$2, AsistenciaJetAdminConcatenada!$A:$A, 0)), ISNUMBER(MATCH(BH$1, AsistenciaJetAdminConcatenada!$B:$B, 0)), ISNUMBER(SEARCH($A36,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ISNUMBER(SEARCH($A36, INDEX(AsistenciaJetAdminConcatenada!$D:$D, MATCH(1, (AsistenciaJetAdminConcatenada!$A:$A=BH$2)*(AsistenciaJetAdminConcatenada!$B:$B=BH$1), 0)), 1))),  0.5, 0))</f>
        <v>1</v>
      </c>
      <c r="BI36" s="47">
        <f t="array" ref="BI36">IF(AND(ISNUMBER(MATCH(BI$2, AsistenciaJetAdminConcatenada!$A:$A, 0)), ISNUMBER(MATCH(BI$1, AsistenciaJetAdminConcatenada!$B:$B, 0)), ISNUMBER(SEARCH($A36,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ISNUMBER(SEARCH($A36, INDEX(AsistenciaJetAdminConcatenada!$D:$D, MATCH(1, (AsistenciaJetAdminConcatenada!$A:$A=BI$2)*(AsistenciaJetAdminConcatenada!$B:$B=BI$1), 0)), 1))),  0.5, 0))</f>
        <v>1</v>
      </c>
      <c r="BJ36" s="47">
        <f t="array" ref="BJ36">IF(AND(ISNUMBER(MATCH(BJ$2, AsistenciaJetAdminConcatenada!$A:$A, 0)), ISNUMBER(MATCH(BJ$1, AsistenciaJetAdminConcatenada!$B:$B, 0)), ISNUMBER(SEARCH($A36,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ISNUMBER(SEARCH($A36, INDEX(AsistenciaJetAdminConcatenada!$D:$D, MATCH(1, (AsistenciaJetAdminConcatenada!$A:$A=BJ$2)*(AsistenciaJetAdminConcatenada!$B:$B=BJ$1), 0)), 1))),  0.5, 0))</f>
        <v>1</v>
      </c>
      <c r="BK36" s="47">
        <f t="array" ref="BK36">IF(AND(ISNUMBER(MATCH(BK$2, AsistenciaJetAdminConcatenada!$A:$A, 0)), ISNUMBER(MATCH(BK$1, AsistenciaJetAdminConcatenada!$B:$B, 0)), ISNUMBER(SEARCH($A36,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ISNUMBER(SEARCH($A36, INDEX(AsistenciaJetAdminConcatenada!$D:$D, MATCH(1, (AsistenciaJetAdminConcatenada!$A:$A=BK$2)*(AsistenciaJetAdminConcatenada!$B:$B=BK$1), 0)), 1))),  0.5, 0))</f>
        <v>1</v>
      </c>
      <c r="BL36" s="47">
        <f t="array" ref="BL36">IF(AND(ISNUMBER(MATCH(BL$2, AsistenciaJetAdminConcatenada!$A:$A, 0)), ISNUMBER(MATCH(BL$1, AsistenciaJetAdminConcatenada!$B:$B, 0)), ISNUMBER(SEARCH($A36,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ISNUMBER(SEARCH($A36, INDEX(AsistenciaJetAdminConcatenada!$D:$D, MATCH(1, (AsistenciaJetAdminConcatenada!$A:$A=BL$2)*(AsistenciaJetAdminConcatenada!$B:$B=BL$1), 0)), 1))),  0.5, 0))</f>
        <v>0</v>
      </c>
      <c r="BM36" s="47">
        <f t="array" ref="BM36">IF(AND(ISNUMBER(MATCH(BM$2, AsistenciaJetAdminConcatenada!$A:$A, 0)), ISNUMBER(MATCH(BM$1, AsistenciaJetAdminConcatenada!$B:$B, 0)), ISNUMBER(SEARCH($A36,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ISNUMBER(SEARCH($A36, INDEX(AsistenciaJetAdminConcatenada!$D:$D, MATCH(1, (AsistenciaJetAdminConcatenada!$A:$A=BM$2)*(AsistenciaJetAdminConcatenada!$B:$B=BM$1), 0)), 1))),  0.5, 0))</f>
        <v>1</v>
      </c>
      <c r="BN36" s="47">
        <f t="array" ref="BN36">IF(AND(ISNUMBER(MATCH(BN$2, AsistenciaJetAdminConcatenada!$A:$A, 0)), ISNUMBER(MATCH(BN$1, AsistenciaJetAdminConcatenada!$B:$B, 0)), ISNUMBER(SEARCH($A36,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ISNUMBER(SEARCH($A36, INDEX(AsistenciaJetAdminConcatenada!$D:$D, MATCH(1, (AsistenciaJetAdminConcatenada!$A:$A=BN$2)*(AsistenciaJetAdminConcatenada!$B:$B=BN$1), 0)), 1))),  0.5, 0))</f>
        <v>0</v>
      </c>
      <c r="BO36" s="47">
        <f t="array" ref="BO36">IF(AND(ISNUMBER(MATCH(BO$2, AsistenciaJetAdminConcatenada!$A:$A, 0)), ISNUMBER(MATCH(BO$1, AsistenciaJetAdminConcatenada!$B:$B, 0)), ISNUMBER(SEARCH($A36,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ISNUMBER(SEARCH($A36, INDEX(AsistenciaJetAdminConcatenada!$D:$D, MATCH(1, (AsistenciaJetAdminConcatenada!$A:$A=BO$2)*(AsistenciaJetAdminConcatenada!$B:$B=BO$1), 0)), 1))),  0.5, 0))</f>
        <v>1</v>
      </c>
      <c r="BP36" s="47">
        <f t="array" ref="BP36">IF(AND(ISNUMBER(MATCH(BP$2, AsistenciaJetAdminConcatenada!$A:$A, 0)), ISNUMBER(MATCH(BP$1, AsistenciaJetAdminConcatenada!$B:$B, 0)), ISNUMBER(SEARCH($A36,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ISNUMBER(SEARCH($A36, INDEX(AsistenciaJetAdminConcatenada!$D:$D, MATCH(1, (AsistenciaJetAdminConcatenada!$A:$A=BP$2)*(AsistenciaJetAdminConcatenada!$B:$B=BP$1), 0)), 1))),  0.5, 0))</f>
        <v>0</v>
      </c>
      <c r="BQ36" s="47">
        <f t="array" ref="BQ36">IF(AND(ISNUMBER(MATCH(BQ$2, AsistenciaJetAdminConcatenada!$A:$A, 0)), ISNUMBER(MATCH(BQ$1, AsistenciaJetAdminConcatenada!$B:$B, 0)), ISNUMBER(SEARCH($A36,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ISNUMBER(SEARCH($A36, INDEX(AsistenciaJetAdminConcatenada!$D:$D, MATCH(1, (AsistenciaJetAdminConcatenada!$A:$A=BQ$2)*(AsistenciaJetAdminConcatenada!$B:$B=BQ$1), 0)), 1))),  0.5, 0))</f>
        <v>0</v>
      </c>
      <c r="BR36" s="47">
        <f t="array" ref="BR36">IF(AND(ISNUMBER(MATCH(BR$2, AsistenciaJetAdminConcatenada!$A:$A, 0)), ISNUMBER(MATCH(BR$1, AsistenciaJetAdminConcatenada!$B:$B, 0)), ISNUMBER(SEARCH($A36,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ISNUMBER(SEARCH($A36, INDEX(AsistenciaJetAdminConcatenada!$D:$D, MATCH(1, (AsistenciaJetAdminConcatenada!$A:$A=BR$2)*(AsistenciaJetAdminConcatenada!$B:$B=BR$1), 0)), 1))),  0.5, 0))</f>
        <v>0</v>
      </c>
      <c r="BS36" s="47">
        <f t="array" ref="BS36">IF(AND(ISNUMBER(MATCH(BS$2, AsistenciaJetAdminConcatenada!$A:$A, 0)), ISNUMBER(MATCH(BS$1, AsistenciaJetAdminConcatenada!$B:$B, 0)), ISNUMBER(SEARCH($A36,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ISNUMBER(SEARCH($A36, INDEX(AsistenciaJetAdminConcatenada!$D:$D, MATCH(1, (AsistenciaJetAdminConcatenada!$A:$A=BS$2)*(AsistenciaJetAdminConcatenada!$B:$B=BS$1), 0)), 1))),  0.5, 0))</f>
        <v>0</v>
      </c>
      <c r="BT36" s="47">
        <f t="array" ref="BT36">IF(AND(ISNUMBER(MATCH(BT$2, AsistenciaJetAdminConcatenada!$A:$A, 0)), ISNUMBER(MATCH(BT$1, AsistenciaJetAdminConcatenada!$B:$B, 0)), ISNUMBER(SEARCH($A36,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ISNUMBER(SEARCH($A36, INDEX(AsistenciaJetAdminConcatenada!$D:$D, MATCH(1, (AsistenciaJetAdminConcatenada!$A:$A=BT$2)*(AsistenciaJetAdminConcatenada!$B:$B=BT$1), 0)), 1))),  0.5, 0))</f>
        <v>0</v>
      </c>
      <c r="BU36" s="47">
        <f t="array" ref="BU36">IF(AND(ISNUMBER(MATCH(BU$2, AsistenciaJetAdminConcatenada!$A:$A, 0)), ISNUMBER(MATCH(BU$1, AsistenciaJetAdminConcatenada!$B:$B, 0)), ISNUMBER(SEARCH($A36,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ISNUMBER(SEARCH($A36, INDEX(AsistenciaJetAdminConcatenada!$D:$D, MATCH(1, (AsistenciaJetAdminConcatenada!$A:$A=BU$2)*(AsistenciaJetAdminConcatenada!$B:$B=BU$1), 0)), 1))),  0.5, 0))</f>
        <v>1</v>
      </c>
      <c r="BV36" s="8">
        <v>1.0</v>
      </c>
      <c r="BW36" s="47">
        <f t="array" ref="BW36">IF(AND(ISNUMBER(MATCH(BW$2, AsistenciaJetAdminConcatenada!$A:$A, 0)), ISNUMBER(MATCH(BW$1, AsistenciaJetAdminConcatenada!$B:$B, 0)), ISNUMBER(SEARCH($A36,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ISNUMBER(SEARCH($A36, INDEX(AsistenciaJetAdminConcatenada!$D:$D, MATCH(1, (AsistenciaJetAdminConcatenada!$A:$A=BW$2)*(AsistenciaJetAdminConcatenada!$B:$B=BW$1), 0)), 1))),  0.5, 0))</f>
        <v>1</v>
      </c>
      <c r="BX36" s="47">
        <f t="array" ref="BX36">IF(AND(ISNUMBER(MATCH(BX$2, AsistenciaJetAdminConcatenada!$A:$A, 0)), ISNUMBER(MATCH(BX$1, AsistenciaJetAdminConcatenada!$B:$B, 0)), ISNUMBER(SEARCH($A36,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ISNUMBER(SEARCH($A36, INDEX(AsistenciaJetAdminConcatenada!$D:$D, MATCH(1, (AsistenciaJetAdminConcatenada!$A:$A=BX$2)*(AsistenciaJetAdminConcatenada!$B:$B=BX$1), 0)), 1))),  0.5, 0))</f>
        <v>1</v>
      </c>
      <c r="BY36" s="47">
        <f t="array" ref="BY36">IF(AND(ISNUMBER(MATCH(BY$2, AsistenciaJetAdminConcatenada!$A:$A, 0)), ISNUMBER(MATCH(BY$1, AsistenciaJetAdminConcatenada!$B:$B, 0)), ISNUMBER(SEARCH($A36,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ISNUMBER(SEARCH($A36, INDEX(AsistenciaJetAdminConcatenada!$D:$D, MATCH(1, (AsistenciaJetAdminConcatenada!$A:$A=BY$2)*(AsistenciaJetAdminConcatenada!$B:$B=BY$1), 0)), 1))),  0.5, 0))</f>
        <v>1</v>
      </c>
      <c r="BZ36" s="47">
        <f t="array" ref="BZ36">IF(AND(ISNUMBER(MATCH(BZ$2, AsistenciaJetAdminConcatenada!$A:$A, 0)), ISNUMBER(MATCH(BZ$1, AsistenciaJetAdminConcatenada!$B:$B, 0)), ISNUMBER(SEARCH($A36,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ISNUMBER(SEARCH($A36, INDEX(AsistenciaJetAdminConcatenada!$D:$D, MATCH(1, (AsistenciaJetAdminConcatenada!$A:$A=BZ$2)*(AsistenciaJetAdminConcatenada!$B:$B=BZ$1), 0)), 1))),  0.5, 0))</f>
        <v>1</v>
      </c>
      <c r="CA36" s="47">
        <f t="array" ref="CA36">IF(AND(ISNUMBER(MATCH(CA$2, AsistenciaJetAdminConcatenada!$A:$A, 0)), ISNUMBER(MATCH(CA$1, AsistenciaJetAdminConcatenada!$B:$B, 0)), ISNUMBER(SEARCH($A36,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ISNUMBER(SEARCH($A36, INDEX(AsistenciaJetAdminConcatenada!$D:$D, MATCH(1, (AsistenciaJetAdminConcatenada!$A:$A=CA$2)*(AsistenciaJetAdminConcatenada!$B:$B=CA$1), 0)), 1))),  0.5, 0))</f>
        <v>0</v>
      </c>
      <c r="CB36" s="47">
        <f t="array" ref="CB36">IF(AND(ISNUMBER(MATCH(CB$2, AsistenciaJetAdminConcatenada!$A:$A, 0)), ISNUMBER(MATCH(CB$1, AsistenciaJetAdminConcatenada!$B:$B, 0)), ISNUMBER(SEARCH($A36,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ISNUMBER(SEARCH($A36, INDEX(AsistenciaJetAdminConcatenada!$D:$D, MATCH(1, (AsistenciaJetAdminConcatenada!$A:$A=CB$2)*(AsistenciaJetAdminConcatenada!$B:$B=CB$1), 0)), 1))),  0.5, 0))</f>
        <v>0</v>
      </c>
      <c r="CC36" s="47">
        <f t="array" ref="CC36">IF(AND(ISNUMBER(MATCH(CC$2, AsistenciaJetAdminConcatenada!$A:$A, 0)), ISNUMBER(MATCH(CC$1, AsistenciaJetAdminConcatenada!$B:$B, 0)), ISNUMBER(SEARCH($A36,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ISNUMBER(SEARCH($A36, INDEX(AsistenciaJetAdminConcatenada!$D:$D, MATCH(1, (AsistenciaJetAdminConcatenada!$A:$A=CC$2)*(AsistenciaJetAdminConcatenada!$B:$B=CC$1), 0)), 1))),  0.5, 0))</f>
        <v>1</v>
      </c>
      <c r="CD36" s="47">
        <f t="array" ref="CD36">IF(AND(ISNUMBER(MATCH(CD$2, AsistenciaJetAdminConcatenada!$A:$A, 0)), ISNUMBER(MATCH(CD$1, AsistenciaJetAdminConcatenada!$B:$B, 0)), ISNUMBER(SEARCH($A36,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ISNUMBER(SEARCH($A36, INDEX(AsistenciaJetAdminConcatenada!$D:$D, MATCH(1, (AsistenciaJetAdminConcatenada!$A:$A=CD$2)*(AsistenciaJetAdminConcatenada!$B:$B=CD$1), 0)), 1))),  0.5, 0))</f>
        <v>0</v>
      </c>
      <c r="CE36" s="47">
        <f t="array" ref="CE36">IF(AND(ISNUMBER(MATCH(CE$2, AsistenciaJetAdminConcatenada!$A:$A, 0)), ISNUMBER(MATCH(CE$1, AsistenciaJetAdminConcatenada!$B:$B, 0)), ISNUMBER(SEARCH($A36,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ISNUMBER(SEARCH($A36, INDEX(AsistenciaJetAdminConcatenada!$D:$D, MATCH(1, (AsistenciaJetAdminConcatenada!$A:$A=CE$2)*(AsistenciaJetAdminConcatenada!$B:$B=CE$1), 0)), 1))),  0.5, 0))</f>
        <v>0</v>
      </c>
      <c r="CF36" s="47">
        <f t="array" ref="CF36">IF(AND(ISNUMBER(MATCH(CF$2, AsistenciaJetAdminConcatenada!$A:$A, 0)), ISNUMBER(MATCH(CF$1, AsistenciaJetAdminConcatenada!$B:$B, 0)), ISNUMBER(SEARCH($A36,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ISNUMBER(SEARCH($A36, INDEX(AsistenciaJetAdminConcatenada!$D:$D, MATCH(1, (AsistenciaJetAdminConcatenada!$A:$A=CF$2)*(AsistenciaJetAdminConcatenada!$B:$B=CF$1), 0)), 1))),  0.5, 0))</f>
        <v>1</v>
      </c>
      <c r="CG36" s="47">
        <f t="array" ref="CG36">IF(AND(ISNUMBER(MATCH(CG$2, AsistenciaJetAdminConcatenada!$A:$A, 0)), ISNUMBER(MATCH(CG$1, AsistenciaJetAdminConcatenada!$B:$B, 0)), ISNUMBER(SEARCH($A36,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ISNUMBER(SEARCH($A36, INDEX(AsistenciaJetAdminConcatenada!$D:$D, MATCH(1, (AsistenciaJetAdminConcatenada!$A:$A=CG$2)*(AsistenciaJetAdminConcatenada!$B:$B=CG$1), 0)), 1))),  0.5, 0))</f>
        <v>0</v>
      </c>
      <c r="CH36" s="47">
        <f t="array" ref="CH36">IF(AND(ISNUMBER(MATCH(CH$2, AsistenciaJetAdminConcatenada!$A:$A, 0)), ISNUMBER(MATCH(CH$1, AsistenciaJetAdminConcatenada!$B:$B, 0)), ISNUMBER(SEARCH($A36,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ISNUMBER(SEARCH($A36, INDEX(AsistenciaJetAdminConcatenada!$D:$D, MATCH(1, (AsistenciaJetAdminConcatenada!$A:$A=CH$2)*(AsistenciaJetAdminConcatenada!$B:$B=CH$1), 0)), 1))),  0.5, 0))</f>
        <v>0</v>
      </c>
      <c r="CI36" s="47">
        <f t="array" ref="CI36">IF(AND(ISNUMBER(MATCH(CI$2, AsistenciaJetAdminConcatenada!$A:$A, 0)), ISNUMBER(MATCH(CI$1, AsistenciaJetAdminConcatenada!$B:$B, 0)), ISNUMBER(SEARCH($A36,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ISNUMBER(SEARCH($A36, INDEX(AsistenciaJetAdminConcatenada!$D:$D, MATCH(1, (AsistenciaJetAdminConcatenada!$A:$A=CI$2)*(AsistenciaJetAdminConcatenada!$B:$B=CI$1), 0)), 1))),  0.5, 0))</f>
        <v>0</v>
      </c>
      <c r="CJ36" s="47">
        <f t="array" ref="CJ36">IF(AND(ISNUMBER(MATCH(CJ$2, AsistenciaJetAdminConcatenada!$A:$A, 0)), ISNUMBER(MATCH(CJ$1, AsistenciaJetAdminConcatenada!$B:$B, 0)), ISNUMBER(SEARCH($A36,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ISNUMBER(SEARCH($A36, INDEX(AsistenciaJetAdminConcatenada!$D:$D, MATCH(1, (AsistenciaJetAdminConcatenada!$A:$A=CJ$2)*(AsistenciaJetAdminConcatenada!$B:$B=CJ$1), 0)), 1))),  0.5, 0))</f>
        <v>0</v>
      </c>
      <c r="CK36" s="47">
        <f t="array" ref="CK36">IF(AND(ISNUMBER(MATCH(CK$2, AsistenciaJetAdminConcatenada!$A:$A, 0)), ISNUMBER(MATCH(CK$1, AsistenciaJetAdminConcatenada!$B:$B, 0)), ISNUMBER(SEARCH($A36,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ISNUMBER(SEARCH($A36, INDEX(AsistenciaJetAdminConcatenada!$D:$D, MATCH(1, (AsistenciaJetAdminConcatenada!$A:$A=CK$2)*(AsistenciaJetAdminConcatenada!$B:$B=CK$1), 0)), 1))),  0.5, 0))</f>
        <v>0</v>
      </c>
      <c r="CL36" s="47">
        <f t="array" ref="CL36">IF(AND(ISNUMBER(MATCH(CL$2, AsistenciaJetAdminConcatenada!$A:$A, 0)), ISNUMBER(MATCH(CL$1, AsistenciaJetAdminConcatenada!$B:$B, 0)), ISNUMBER(SEARCH($A36,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ISNUMBER(SEARCH($A36, INDEX(AsistenciaJetAdminConcatenada!$D:$D, MATCH(1, (AsistenciaJetAdminConcatenada!$A:$A=CL$2)*(AsistenciaJetAdminConcatenada!$B:$B=CL$1), 0)), 1))),  0.5, 0))</f>
        <v>0</v>
      </c>
      <c r="CM36" s="47">
        <f t="array" ref="CM36">IF(AND(ISNUMBER(MATCH(CM$2, AsistenciaJetAdminConcatenada!$A:$A, 0)), ISNUMBER(MATCH(CM$1, AsistenciaJetAdminConcatenada!$B:$B, 0)), ISNUMBER(SEARCH($A36,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ISNUMBER(SEARCH($A36, INDEX(AsistenciaJetAdminConcatenada!$D:$D, MATCH(1, (AsistenciaJetAdminConcatenada!$A:$A=CM$2)*(AsistenciaJetAdminConcatenada!$B:$B=CM$1), 0)), 1))),  0.5, 0))</f>
        <v>1</v>
      </c>
      <c r="CN36" s="47">
        <f t="array" ref="CN36">IF(AND(ISNUMBER(MATCH(CN$2, AsistenciaJetAdminConcatenada!$A:$A, 0)), ISNUMBER(MATCH(CN$1, AsistenciaJetAdminConcatenada!$B:$B, 0)), ISNUMBER(SEARCH($A36,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ISNUMBER(SEARCH($A36, INDEX(AsistenciaJetAdminConcatenada!$D:$D, MATCH(1, (AsistenciaJetAdminConcatenada!$A:$A=CN$2)*(AsistenciaJetAdminConcatenada!$B:$B=CN$1), 0)), 1))),  0.5, 0))</f>
        <v>0</v>
      </c>
      <c r="CO36" s="47">
        <f t="array" ref="CO36">IF(AND(ISNUMBER(MATCH(CO$2, AsistenciaJetAdminConcatenada!$A:$A, 0)), ISNUMBER(MATCH(CO$1, AsistenciaJetAdminConcatenada!$B:$B, 0)), ISNUMBER(SEARCH($A36,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ISNUMBER(SEARCH($A36, INDEX(AsistenciaJetAdminConcatenada!$D:$D, MATCH(1, (AsistenciaJetAdminConcatenada!$A:$A=CO$2)*(AsistenciaJetAdminConcatenada!$B:$B=CO$1), 0)), 1))),  0.5, 0))</f>
        <v>1</v>
      </c>
      <c r="CP36" s="47">
        <f t="array" ref="CP36">IF(AND(ISNUMBER(MATCH(CP$2, AsistenciaJetAdminConcatenada!$A:$A, 0)), ISNUMBER(MATCH(CP$1, AsistenciaJetAdminConcatenada!$B:$B, 0)), ISNUMBER(SEARCH($A36,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ISNUMBER(SEARCH($A36, INDEX(AsistenciaJetAdminConcatenada!$D:$D, MATCH(1, (AsistenciaJetAdminConcatenada!$A:$A=CP$2)*(AsistenciaJetAdminConcatenada!$B:$B=CP$1), 0)), 1))),  0.5, 0))</f>
        <v>1</v>
      </c>
      <c r="CQ36" s="47">
        <f t="array" ref="CQ36">IF(AND(ISNUMBER(MATCH(CQ$2, AsistenciaJetAdminConcatenada!$A:$A, 0)), ISNUMBER(MATCH(CQ$1, AsistenciaJetAdminConcatenada!$B:$B, 0)), ISNUMBER(SEARCH($A36,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ISNUMBER(SEARCH($A36, INDEX(AsistenciaJetAdminConcatenada!$D:$D, MATCH(1, (AsistenciaJetAdminConcatenada!$A:$A=CQ$2)*(AsistenciaJetAdminConcatenada!$B:$B=CQ$1), 0)), 1))),  0.5, 0))</f>
        <v>1</v>
      </c>
      <c r="CR36" s="47">
        <f t="array" ref="CR36">IF(AND(ISNUMBER(MATCH(CR$2, AsistenciaJetAdminConcatenada!$A:$A, 0)), ISNUMBER(MATCH(CR$1, AsistenciaJetAdminConcatenada!$B:$B, 0)), ISNUMBER(SEARCH($A36,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ISNUMBER(SEARCH($A36, INDEX(AsistenciaJetAdminConcatenada!$D:$D, MATCH(1, (AsistenciaJetAdminConcatenada!$A:$A=CR$2)*(AsistenciaJetAdminConcatenada!$B:$B=CR$1), 0)), 1))),  0.5, 0))</f>
        <v>1</v>
      </c>
      <c r="CS36" s="47">
        <f t="array" ref="CS36">IF(AND(ISNUMBER(MATCH(CS$2, AsistenciaJetAdminConcatenada!$A:$A, 0)), ISNUMBER(MATCH(CS$1, AsistenciaJetAdminConcatenada!$B:$B, 0)), ISNUMBER(SEARCH($A36,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ISNUMBER(SEARCH($A36, INDEX(AsistenciaJetAdminConcatenada!$D:$D, MATCH(1, (AsistenciaJetAdminConcatenada!$A:$A=CS$2)*(AsistenciaJetAdminConcatenada!$B:$B=CS$1), 0)), 1))),  0.5, 0))</f>
        <v>0</v>
      </c>
      <c r="CT36" s="47">
        <f t="array" ref="CT36">IF(AND(ISNUMBER(MATCH(CT$2, AsistenciaJetAdminConcatenada!$A:$A, 0)), ISNUMBER(MATCH(CT$1, AsistenciaJetAdminConcatenada!$B:$B, 0)), ISNUMBER(SEARCH($A36,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ISNUMBER(SEARCH($A36, INDEX(AsistenciaJetAdminConcatenada!$D:$D, MATCH(1, (AsistenciaJetAdminConcatenada!$A:$A=CT$2)*(AsistenciaJetAdminConcatenada!$B:$B=CT$1), 0)), 1))),  0.5, 0))</f>
        <v>0</v>
      </c>
      <c r="CU36" s="47">
        <f t="array" ref="CU36">IF(AND(ISNUMBER(MATCH(CU$2, AsistenciaJetAdminConcatenada!$A:$A, 0)), ISNUMBER(MATCH(CU$1, AsistenciaJetAdminConcatenada!$B:$B, 0)), ISNUMBER(SEARCH($A36,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ISNUMBER(SEARCH($A36, INDEX(AsistenciaJetAdminConcatenada!$D:$D, MATCH(1, (AsistenciaJetAdminConcatenada!$A:$A=CU$2)*(AsistenciaJetAdminConcatenada!$B:$B=CU$1), 0)), 1))),  0.5, 0))</f>
        <v>0</v>
      </c>
      <c r="CV36" s="47">
        <f t="array" ref="CV36">IF(AND(ISNUMBER(MATCH(CV$2, AsistenciaJetAdminConcatenada!$A:$A, 0)), ISNUMBER(MATCH(CV$1, AsistenciaJetAdminConcatenada!$B:$B, 0)), ISNUMBER(SEARCH($A36,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ISNUMBER(SEARCH($A36, INDEX(AsistenciaJetAdminConcatenada!$D:$D, MATCH(1, (AsistenciaJetAdminConcatenada!$A:$A=CV$2)*(AsistenciaJetAdminConcatenada!$B:$B=CV$1), 0)), 1))),  0.5, 0))</f>
        <v>0</v>
      </c>
      <c r="CW36" s="47">
        <f t="array" ref="CW36">IF(AND(ISNUMBER(MATCH(CW$2, AsistenciaJetAdminConcatenada!$A:$A, 0)), ISNUMBER(MATCH(CW$1, AsistenciaJetAdminConcatenada!$B:$B, 0)), ISNUMBER(SEARCH($A36,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ISNUMBER(SEARCH($A36, INDEX(AsistenciaJetAdminConcatenada!$D:$D, MATCH(1, (AsistenciaJetAdminConcatenada!$A:$A=CW$2)*(AsistenciaJetAdminConcatenada!$B:$B=CW$1), 0)), 1))),  0.5, 0))</f>
        <v>0</v>
      </c>
      <c r="CX36" s="47">
        <f t="array" ref="CX36">IF(AND(ISNUMBER(MATCH(CX$2, AsistenciaJetAdminConcatenada!$A:$A, 0)), ISNUMBER(MATCH(CX$1, AsistenciaJetAdminConcatenada!$B:$B, 0)), ISNUMBER(SEARCH($A36,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ISNUMBER(SEARCH($A36, INDEX(AsistenciaJetAdminConcatenada!$D:$D, MATCH(1, (AsistenciaJetAdminConcatenada!$A:$A=CX$2)*(AsistenciaJetAdminConcatenada!$B:$B=CX$1), 0)), 1))),  0.5, 0))</f>
        <v>0</v>
      </c>
      <c r="CY36" s="47">
        <f t="array" ref="CY36">IF(AND(ISNUMBER(MATCH(CY$2, AsistenciaJetAdminConcatenada!$A:$A, 0)), ISNUMBER(MATCH(CY$1, AsistenciaJetAdminConcatenada!$B:$B, 0)), ISNUMBER(SEARCH($A36,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ISNUMBER(SEARCH($A36, INDEX(AsistenciaJetAdminConcatenada!$D:$D, MATCH(1, (AsistenciaJetAdminConcatenada!$A:$A=CY$2)*(AsistenciaJetAdminConcatenada!$B:$B=CY$1), 0)), 1))),  0.5, 0))</f>
        <v>0</v>
      </c>
      <c r="CZ36" s="47">
        <f t="array" ref="CZ36">IF(AND(ISNUMBER(MATCH(CZ$2, AsistenciaJetAdminConcatenada!$A:$A, 0)), ISNUMBER(MATCH(CZ$1, AsistenciaJetAdminConcatenada!$B:$B, 0)), ISNUMBER(SEARCH($A36,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ISNUMBER(SEARCH($A36, INDEX(AsistenciaJetAdminConcatenada!$D:$D, MATCH(1, (AsistenciaJetAdminConcatenada!$A:$A=CZ$2)*(AsistenciaJetAdminConcatenada!$B:$B=CZ$1), 0)), 1))),  0.5, 0))</f>
        <v>0</v>
      </c>
      <c r="DA36" s="47">
        <f t="array" ref="DA36">IF(AND(ISNUMBER(MATCH(DA$2, AsistenciaJetAdminConcatenada!$A:$A, 0)), ISNUMBER(MATCH(DA$1, AsistenciaJetAdminConcatenada!$B:$B, 0)), ISNUMBER(SEARCH($A36,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ISNUMBER(SEARCH($A36, INDEX(AsistenciaJetAdminConcatenada!$D:$D, MATCH(1, (AsistenciaJetAdminConcatenada!$A:$A=DA$2)*(AsistenciaJetAdminConcatenada!$B:$B=DA$1), 0)), 1))),  0.5, 0))</f>
        <v>0</v>
      </c>
      <c r="DB36" s="47">
        <f t="array" ref="DB36">IF(AND(ISNUMBER(MATCH(DB$2, AsistenciaJetAdminConcatenada!$A:$A, 0)), ISNUMBER(MATCH(DB$1, AsistenciaJetAdminConcatenada!$B:$B, 0)), ISNUMBER(SEARCH($A36,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ISNUMBER(SEARCH($A36, INDEX(AsistenciaJetAdminConcatenada!$D:$D, MATCH(1, (AsistenciaJetAdminConcatenada!$A:$A=DB$2)*(AsistenciaJetAdminConcatenada!$B:$B=DB$1), 0)), 1))),  0.5, 0))</f>
        <v>0</v>
      </c>
      <c r="DC36" s="47">
        <f t="array" ref="DC36">IF(AND(ISNUMBER(MATCH(DC$2, AsistenciaJetAdminConcatenada!$A:$A, 0)), ISNUMBER(MATCH(DC$1, AsistenciaJetAdminConcatenada!$B:$B, 0)), ISNUMBER(SEARCH($A36,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ISNUMBER(SEARCH($A36, INDEX(AsistenciaJetAdminConcatenada!$D:$D, MATCH(1, (AsistenciaJetAdminConcatenada!$A:$A=DC$2)*(AsistenciaJetAdminConcatenada!$B:$B=DC$1), 0)), 1))),  0.5, 0))</f>
        <v>0</v>
      </c>
      <c r="DD36" s="47">
        <f t="array" ref="DD36">IF(AND(ISNUMBER(MATCH(DD$2, AsistenciaJetAdminConcatenada!$A:$A, 0)), ISNUMBER(MATCH(DD$1, AsistenciaJetAdminConcatenada!$B:$B, 0)), ISNUMBER(SEARCH($A36,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ISNUMBER(SEARCH($A36, INDEX(AsistenciaJetAdminConcatenada!$D:$D, MATCH(1, (AsistenciaJetAdminConcatenada!$A:$A=DD$2)*(AsistenciaJetAdminConcatenada!$B:$B=DD$1), 0)), 1))),  0.5, 0))</f>
        <v>0</v>
      </c>
      <c r="DE36" s="47">
        <f t="array" ref="DE36">IF(AND(ISNUMBER(MATCH(DE$2, AsistenciaJetAdminConcatenada!$A:$A, 0)), ISNUMBER(MATCH(DE$1, AsistenciaJetAdminConcatenada!$B:$B, 0)), ISNUMBER(SEARCH($A36,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ISNUMBER(SEARCH($A36, INDEX(AsistenciaJetAdminConcatenada!$D:$D, MATCH(1, (AsistenciaJetAdminConcatenada!$A:$A=DE$2)*(AsistenciaJetAdminConcatenada!$B:$B=DE$1), 0)), 1))),  0.5, 0))</f>
        <v>0</v>
      </c>
      <c r="DF36" s="47">
        <f t="array" ref="DF36">IF(AND(ISNUMBER(MATCH(DF$2, AsistenciaJetAdminConcatenada!$A:$A, 0)), ISNUMBER(MATCH(DF$1, AsistenciaJetAdminConcatenada!$B:$B, 0)), ISNUMBER(SEARCH($A36,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ISNUMBER(SEARCH($A36, INDEX(AsistenciaJetAdminConcatenada!$D:$D, MATCH(1, (AsistenciaJetAdminConcatenada!$A:$A=DF$2)*(AsistenciaJetAdminConcatenada!$B:$B=DF$1), 0)), 1))),  0.5, 0))</f>
        <v>0</v>
      </c>
      <c r="DG36" s="47">
        <f t="array" ref="DG36">IF(AND(ISNUMBER(MATCH(DG$2, AsistenciaJetAdminConcatenada!$A:$A, 0)), ISNUMBER(MATCH(DG$1, AsistenciaJetAdminConcatenada!$B:$B, 0)), ISNUMBER(SEARCH($A36,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ISNUMBER(SEARCH($A36, INDEX(AsistenciaJetAdminConcatenada!$D:$D, MATCH(1, (AsistenciaJetAdminConcatenada!$A:$A=DG$2)*(AsistenciaJetAdminConcatenada!$B:$B=DG$1), 0)), 1))),  0.5, 0))</f>
        <v>0</v>
      </c>
      <c r="DH36" s="47">
        <f t="array" ref="DH36">IF(AND(ISNUMBER(MATCH(DH$2, AsistenciaJetAdminConcatenada!$A:$A, 0)), ISNUMBER(MATCH(DH$1, AsistenciaJetAdminConcatenada!$B:$B, 0)), ISNUMBER(SEARCH($A36,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ISNUMBER(SEARCH($A36, INDEX(AsistenciaJetAdminConcatenada!$D:$D, MATCH(1, (AsistenciaJetAdminConcatenada!$A:$A=DH$2)*(AsistenciaJetAdminConcatenada!$B:$B=DH$1), 0)), 1))),  0.5, 0))</f>
        <v>0</v>
      </c>
      <c r="DI36" s="47">
        <f t="array" ref="DI36">IF(AND(ISNUMBER(MATCH(DI$2, AsistenciaJetAdminConcatenada!$A:$A, 0)), ISNUMBER(MATCH(DI$1, AsistenciaJetAdminConcatenada!$B:$B, 0)), ISNUMBER(SEARCH($A36,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ISNUMBER(SEARCH($A36, INDEX(AsistenciaJetAdminConcatenada!$D:$D, MATCH(1, (AsistenciaJetAdminConcatenada!$A:$A=DI$2)*(AsistenciaJetAdminConcatenada!$B:$B=DI$1), 0)), 1))),  0.5, 0))</f>
        <v>0</v>
      </c>
      <c r="DJ36" s="47">
        <f t="array" ref="DJ36">IF(AND(ISNUMBER(MATCH(DJ$2, AsistenciaJetAdminConcatenada!$A:$A, 0)), ISNUMBER(MATCH(DJ$1, AsistenciaJetAdminConcatenada!$B:$B, 0)), ISNUMBER(SEARCH($A36,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ISNUMBER(SEARCH($A36, INDEX(AsistenciaJetAdminConcatenada!$D:$D, MATCH(1, (AsistenciaJetAdminConcatenada!$A:$A=DJ$2)*(AsistenciaJetAdminConcatenada!$B:$B=DJ$1), 0)), 1))),  0.5, 0))</f>
        <v>0</v>
      </c>
      <c r="DK36" s="47">
        <f t="array" ref="DK36">IF(AND(ISNUMBER(MATCH(DK$2, AsistenciaJetAdminConcatenada!$A:$A, 0)), ISNUMBER(MATCH(DK$1, AsistenciaJetAdminConcatenada!$B:$B, 0)), ISNUMBER(SEARCH($A36,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ISNUMBER(SEARCH($A36, INDEX(AsistenciaJetAdminConcatenada!$D:$D, MATCH(1, (AsistenciaJetAdminConcatenada!$A:$A=DK$2)*(AsistenciaJetAdminConcatenada!$B:$B=DK$1), 0)), 1))),  0.5, 0))</f>
        <v>0</v>
      </c>
      <c r="DL36" s="47">
        <f t="array" ref="DL36">IF(AND(ISNUMBER(MATCH(DL$2, AsistenciaJetAdminConcatenada!$A:$A, 0)), ISNUMBER(MATCH(DL$1, AsistenciaJetAdminConcatenada!$B:$B, 0)), ISNUMBER(SEARCH($A36,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ISNUMBER(SEARCH($A36, INDEX(AsistenciaJetAdminConcatenada!$D:$D, MATCH(1, (AsistenciaJetAdminConcatenada!$A:$A=DL$2)*(AsistenciaJetAdminConcatenada!$B:$B=DL$1), 0)), 1))),  0.5, 0))</f>
        <v>0</v>
      </c>
      <c r="DM36" s="47">
        <f t="array" ref="DM36">IF(AND(ISNUMBER(MATCH(DM$2, AsistenciaJetAdminConcatenada!$A:$A, 0)), ISNUMBER(MATCH(DM$1, AsistenciaJetAdminConcatenada!$B:$B, 0)), ISNUMBER(SEARCH($A36,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ISNUMBER(SEARCH($A36, INDEX(AsistenciaJetAdminConcatenada!$D:$D, MATCH(1, (AsistenciaJetAdminConcatenada!$A:$A=DM$2)*(AsistenciaJetAdminConcatenada!$B:$B=DM$1), 0)), 1))),  0.5, 0))</f>
        <v>0</v>
      </c>
      <c r="DN36" s="47">
        <f t="array" ref="DN36">IF(AND(ISNUMBER(MATCH(DN$2, AsistenciaJetAdminConcatenada!$A:$A, 0)), ISNUMBER(MATCH(DN$1, AsistenciaJetAdminConcatenada!$B:$B, 0)), ISNUMBER(SEARCH($A36,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ISNUMBER(SEARCH($A36, INDEX(AsistenciaJetAdminConcatenada!$D:$D, MATCH(1, (AsistenciaJetAdminConcatenada!$A:$A=DN$2)*(AsistenciaJetAdminConcatenada!$B:$B=DN$1), 0)), 1))),  0.5, 0))</f>
        <v>0</v>
      </c>
      <c r="DO36" s="47">
        <f t="array" ref="DO36">IF(AND(ISNUMBER(MATCH(DO$2, AsistenciaJetAdminConcatenada!$A:$A, 0)), ISNUMBER(MATCH(DO$1, AsistenciaJetAdminConcatenada!$B:$B, 0)), ISNUMBER(SEARCH($A36,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ISNUMBER(SEARCH($A36, INDEX(AsistenciaJetAdminConcatenada!$D:$D, MATCH(1, (AsistenciaJetAdminConcatenada!$A:$A=DO$2)*(AsistenciaJetAdminConcatenada!$B:$B=DO$1), 0)), 1))),  0.5, 0))</f>
        <v>0</v>
      </c>
      <c r="DP36" s="47">
        <f t="array" ref="DP36">IF(AND(ISNUMBER(MATCH(DP$2, AsistenciaJetAdminConcatenada!$A:$A, 0)), ISNUMBER(MATCH(DP$1, AsistenciaJetAdminConcatenada!$B:$B, 0)), ISNUMBER(SEARCH($A36,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ISNUMBER(SEARCH($A36, INDEX(AsistenciaJetAdminConcatenada!$D:$D, MATCH(1, (AsistenciaJetAdminConcatenada!$A:$A=DP$2)*(AsistenciaJetAdminConcatenada!$B:$B=DP$1), 0)), 1))),  0.5, 0))</f>
        <v>0</v>
      </c>
      <c r="DQ36" s="47">
        <f t="array" ref="DQ36">IF(AND(ISNUMBER(MATCH(DQ$2, AsistenciaJetAdminConcatenada!$A:$A, 0)), ISNUMBER(MATCH(DQ$1, AsistenciaJetAdminConcatenada!$B:$B, 0)), ISNUMBER(SEARCH($A36,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ISNUMBER(SEARCH($A36, INDEX(AsistenciaJetAdminConcatenada!$D:$D, MATCH(1, (AsistenciaJetAdminConcatenada!$A:$A=DQ$2)*(AsistenciaJetAdminConcatenada!$B:$B=DQ$1), 0)), 1))),  0.5, 0))</f>
        <v>0</v>
      </c>
      <c r="DR36" s="47">
        <f t="array" ref="DR36">IF(AND(ISNUMBER(MATCH(DR$2, AsistenciaJetAdminConcatenada!$A:$A, 0)), ISNUMBER(MATCH(DR$1, AsistenciaJetAdminConcatenada!$B:$B, 0)), ISNUMBER(SEARCH($A36,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ISNUMBER(SEARCH($A36, INDEX(AsistenciaJetAdminConcatenada!$D:$D, MATCH(1, (AsistenciaJetAdminConcatenada!$A:$A=DR$2)*(AsistenciaJetAdminConcatenada!$B:$B=DR$1), 0)), 1))),  0.5, 0))</f>
        <v>0</v>
      </c>
      <c r="DS36" s="47">
        <f t="array" ref="DS36">IF(AND(ISNUMBER(MATCH(DS$2, AsistenciaJetAdminConcatenada!$A:$A, 0)), ISNUMBER(MATCH(DS$1, AsistenciaJetAdminConcatenada!$B:$B, 0)), ISNUMBER(SEARCH($A36,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ISNUMBER(SEARCH($A36, INDEX(AsistenciaJetAdminConcatenada!$D:$D, MATCH(1, (AsistenciaJetAdminConcatenada!$A:$A=DS$2)*(AsistenciaJetAdminConcatenada!$B:$B=DS$1), 0)), 1))),  0.5, 0))</f>
        <v>0</v>
      </c>
      <c r="DT36" s="47">
        <f t="array" ref="DT36">IF(AND(ISNUMBER(MATCH(DT$2, AsistenciaJetAdminConcatenada!$A:$A, 0)), ISNUMBER(MATCH(DT$1, AsistenciaJetAdminConcatenada!$B:$B, 0)), ISNUMBER(SEARCH($A36,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ISNUMBER(SEARCH($A36, INDEX(AsistenciaJetAdminConcatenada!$D:$D, MATCH(1, (AsistenciaJetAdminConcatenada!$A:$A=DT$2)*(AsistenciaJetAdminConcatenada!$B:$B=DT$1), 0)), 1))),  0.5, 0))</f>
        <v>0</v>
      </c>
      <c r="DU36" s="47">
        <f t="array" ref="DU36">IF(AND(ISNUMBER(MATCH(DU$2, AsistenciaJetAdminConcatenada!$A:$A, 0)), ISNUMBER(MATCH(DU$1, AsistenciaJetAdminConcatenada!$B:$B, 0)), ISNUMBER(SEARCH($A36,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ISNUMBER(SEARCH($A36, INDEX(AsistenciaJetAdminConcatenada!$D:$D, MATCH(1, (AsistenciaJetAdminConcatenada!$A:$A=DU$2)*(AsistenciaJetAdminConcatenada!$B:$B=DU$1), 0)), 1))),  0.5, 0))</f>
        <v>0</v>
      </c>
      <c r="DV36" s="47">
        <f t="array" ref="DV36">IF(AND(ISNUMBER(MATCH(DV$2, AsistenciaJetAdminConcatenada!$A:$A, 0)), ISNUMBER(MATCH(DV$1, AsistenciaJetAdminConcatenada!$B:$B, 0)), ISNUMBER(SEARCH($A36,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ISNUMBER(SEARCH($A36, INDEX(AsistenciaJetAdminConcatenada!$D:$D, MATCH(1, (AsistenciaJetAdminConcatenada!$A:$A=DV$2)*(AsistenciaJetAdminConcatenada!$B:$B=DV$1), 0)), 1))),  0.5, 0))</f>
        <v>0</v>
      </c>
      <c r="DW36" s="47">
        <f t="array" ref="DW36">IF(AND(ISNUMBER(MATCH(DW$2, AsistenciaJetAdminConcatenada!$A:$A, 0)), ISNUMBER(MATCH(DW$1, AsistenciaJetAdminConcatenada!$B:$B, 0)), ISNUMBER(SEARCH($A36,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ISNUMBER(SEARCH($A36, INDEX(AsistenciaJetAdminConcatenada!$D:$D, MATCH(1, (AsistenciaJetAdminConcatenada!$A:$A=DW$2)*(AsistenciaJetAdminConcatenada!$B:$B=DW$1), 0)), 1))),  0.5, 0))</f>
        <v>0</v>
      </c>
      <c r="DX36" s="47">
        <f t="array" ref="DX36">IF(AND(ISNUMBER(MATCH(DX$2, AsistenciaJetAdminConcatenada!$A:$A, 0)), ISNUMBER(MATCH(DX$1, AsistenciaJetAdminConcatenada!$B:$B, 0)), ISNUMBER(SEARCH($A36,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ISNUMBER(SEARCH($A36, INDEX(AsistenciaJetAdminConcatenada!$D:$D, MATCH(1, (AsistenciaJetAdminConcatenada!$A:$A=DX$2)*(AsistenciaJetAdminConcatenada!$B:$B=DX$1), 0)), 1))),  0.5, 0))</f>
        <v>0</v>
      </c>
      <c r="DY36" s="47">
        <f t="array" ref="DY36">IF(AND(ISNUMBER(MATCH(DY$2, AsistenciaJetAdminConcatenada!$A:$A, 0)), ISNUMBER(MATCH(DY$1, AsistenciaJetAdminConcatenada!$B:$B, 0)), ISNUMBER(SEARCH($A36,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ISNUMBER(SEARCH($A36, INDEX(AsistenciaJetAdminConcatenada!$D:$D, MATCH(1, (AsistenciaJetAdminConcatenada!$A:$A=DY$2)*(AsistenciaJetAdminConcatenada!$B:$B=DY$1), 0)), 1))),  0.5, 0))</f>
        <v>0</v>
      </c>
      <c r="DZ36" s="47">
        <f t="array" ref="DZ36">IF(AND(ISNUMBER(MATCH(DZ$2, AsistenciaJetAdminConcatenada!$A:$A, 0)), ISNUMBER(MATCH(DZ$1, AsistenciaJetAdminConcatenada!$B:$B, 0)), ISNUMBER(SEARCH($A36,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ISNUMBER(SEARCH($A36, INDEX(AsistenciaJetAdminConcatenada!$D:$D, MATCH(1, (AsistenciaJetAdminConcatenada!$A:$A=DZ$2)*(AsistenciaJetAdminConcatenada!$B:$B=DZ$1), 0)), 1))),  0.5, 0))</f>
        <v>0</v>
      </c>
      <c r="EA36" s="47">
        <f t="array" ref="EA36">IF(AND(ISNUMBER(MATCH(EA$2, AsistenciaJetAdminConcatenada!$A:$A, 0)), ISNUMBER(MATCH(EA$1, AsistenciaJetAdminConcatenada!$B:$B, 0)), ISNUMBER(SEARCH($A36,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ISNUMBER(SEARCH($A36, INDEX(AsistenciaJetAdminConcatenada!$D:$D, MATCH(1, (AsistenciaJetAdminConcatenada!$A:$A=EA$2)*(AsistenciaJetAdminConcatenada!$B:$B=EA$1), 0)), 1))),  0.5, 0))</f>
        <v>0</v>
      </c>
      <c r="EB36" s="47">
        <f t="array" ref="EB36">IF(AND(ISNUMBER(MATCH(EB$2, AsistenciaJetAdminConcatenada!$A:$A, 0)), ISNUMBER(MATCH(EB$1, AsistenciaJetAdminConcatenada!$B:$B, 0)), ISNUMBER(SEARCH($A36,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ISNUMBER(SEARCH($A36, INDEX(AsistenciaJetAdminConcatenada!$D:$D, MATCH(1, (AsistenciaJetAdminConcatenada!$A:$A=EB$2)*(AsistenciaJetAdminConcatenada!$B:$B=EB$1), 0)), 1))),  0.5, 0))</f>
        <v>0</v>
      </c>
      <c r="EC36" s="47">
        <f t="array" ref="EC36">IF(AND(ISNUMBER(MATCH(EC$2, AsistenciaJetAdminConcatenada!$A:$A, 0)), ISNUMBER(MATCH(EC$1, AsistenciaJetAdminConcatenada!$B:$B, 0)), ISNUMBER(SEARCH($A36,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ISNUMBER(SEARCH($A36, INDEX(AsistenciaJetAdminConcatenada!$D:$D, MATCH(1, (AsistenciaJetAdminConcatenada!$A:$A=EC$2)*(AsistenciaJetAdminConcatenada!$B:$B=EC$1), 0)), 1))),  0.5, 0))</f>
        <v>0</v>
      </c>
      <c r="ED36" s="47">
        <f t="array" ref="ED36">IF(AND(ISNUMBER(MATCH(ED$2, AsistenciaJetAdminConcatenada!$A:$A, 0)), ISNUMBER(MATCH(ED$1, AsistenciaJetAdminConcatenada!$B:$B, 0)), ISNUMBER(SEARCH($A36,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ISNUMBER(SEARCH($A36, INDEX(AsistenciaJetAdminConcatenada!$D:$D, MATCH(1, (AsistenciaJetAdminConcatenada!$A:$A=ED$2)*(AsistenciaJetAdminConcatenada!$B:$B=ED$1), 0)), 1))),  0.5, 0))</f>
        <v>0</v>
      </c>
      <c r="EE36" s="47">
        <f t="array" ref="EE36">IF(AND(ISNUMBER(MATCH(EE$2, AsistenciaJetAdminConcatenada!$A:$A, 0)), ISNUMBER(MATCH(EE$1, AsistenciaJetAdminConcatenada!$B:$B, 0)), ISNUMBER(SEARCH($A36,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ISNUMBER(SEARCH($A36, INDEX(AsistenciaJetAdminConcatenada!$D:$D, MATCH(1, (AsistenciaJetAdminConcatenada!$A:$A=EE$2)*(AsistenciaJetAdminConcatenada!$B:$B=EE$1), 0)), 1))),  0.5, 0))</f>
        <v>0</v>
      </c>
      <c r="EF36" s="47">
        <f t="array" ref="EF36">IF(AND(ISNUMBER(MATCH(EF$2, AsistenciaJetAdminConcatenada!$A:$A, 0)), ISNUMBER(MATCH(EF$1, AsistenciaJetAdminConcatenada!$B:$B, 0)), ISNUMBER(SEARCH($A36,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ISNUMBER(SEARCH($A36, INDEX(AsistenciaJetAdminConcatenada!$D:$D, MATCH(1, (AsistenciaJetAdminConcatenada!$A:$A=EF$2)*(AsistenciaJetAdminConcatenada!$B:$B=EF$1), 0)), 1))),  0.5, 0))</f>
        <v>0</v>
      </c>
      <c r="EG36" s="47">
        <f t="array" ref="EG36">IF(AND(ISNUMBER(MATCH(EG$2, AsistenciaJetAdminConcatenada!$A:$A, 0)), ISNUMBER(MATCH(EG$1, AsistenciaJetAdminConcatenada!$B:$B, 0)), ISNUMBER(SEARCH($A36,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ISNUMBER(SEARCH($A36, INDEX(AsistenciaJetAdminConcatenada!$D:$D, MATCH(1, (AsistenciaJetAdminConcatenada!$A:$A=EG$2)*(AsistenciaJetAdminConcatenada!$B:$B=EG$1), 0)), 1))),  0.5, 0))</f>
        <v>0</v>
      </c>
      <c r="EH36" s="47">
        <f t="array" ref="EH36">IF(AND(ISNUMBER(MATCH(EH$2, AsistenciaJetAdminConcatenada!$A:$A, 0)), ISNUMBER(MATCH(EH$1, AsistenciaJetAdminConcatenada!$B:$B, 0)), ISNUMBER(SEARCH($A36,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ISNUMBER(SEARCH($A36, INDEX(AsistenciaJetAdminConcatenada!$D:$D, MATCH(1, (AsistenciaJetAdminConcatenada!$A:$A=EH$2)*(AsistenciaJetAdminConcatenada!$B:$B=EH$1), 0)), 1))),  0.5, 0))</f>
        <v>0</v>
      </c>
      <c r="EI36" s="47">
        <f t="array" ref="EI36">IF(AND(ISNUMBER(MATCH(EI$2, AsistenciaJetAdminConcatenada!$A:$A, 0)), ISNUMBER(MATCH(EI$1, AsistenciaJetAdminConcatenada!$B:$B, 0)), ISNUMBER(SEARCH($A36,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ISNUMBER(SEARCH($A36, INDEX(AsistenciaJetAdminConcatenada!$D:$D, MATCH(1, (AsistenciaJetAdminConcatenada!$A:$A=EI$2)*(AsistenciaJetAdminConcatenada!$B:$B=EI$1), 0)), 1))),  0.5, 0))</f>
        <v>0</v>
      </c>
      <c r="EJ36" s="47">
        <f t="array" ref="EJ36">IF(AND(ISNUMBER(MATCH(EJ$2, AsistenciaJetAdminConcatenada!$A:$A, 0)), ISNUMBER(MATCH(EJ$1, AsistenciaJetAdminConcatenada!$B:$B, 0)), ISNUMBER(SEARCH($A36,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ISNUMBER(SEARCH($A36, INDEX(AsistenciaJetAdminConcatenada!$D:$D, MATCH(1, (AsistenciaJetAdminConcatenada!$A:$A=EJ$2)*(AsistenciaJetAdminConcatenada!$B:$B=EJ$1), 0)), 1))),  0.5, 0))</f>
        <v>0</v>
      </c>
      <c r="EK36" s="47">
        <f t="array" ref="EK36">IF(AND(ISNUMBER(MATCH(EK$2, AsistenciaJetAdminConcatenada!$A:$A, 0)), ISNUMBER(MATCH(EK$1, AsistenciaJetAdminConcatenada!$B:$B, 0)), ISNUMBER(SEARCH($A36,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ISNUMBER(SEARCH($A36, INDEX(AsistenciaJetAdminConcatenada!$D:$D, MATCH(1, (AsistenciaJetAdminConcatenada!$A:$A=EK$2)*(AsistenciaJetAdminConcatenada!$B:$B=EK$1), 0)), 1))),  0.5, 0))</f>
        <v>0</v>
      </c>
      <c r="EL36" s="47">
        <f t="array" ref="EL36">IF(AND(ISNUMBER(MATCH(EL$2, AsistenciaJetAdminConcatenada!$A:$A, 0)), ISNUMBER(MATCH(EL$1, AsistenciaJetAdminConcatenada!$B:$B, 0)), ISNUMBER(SEARCH($A36,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ISNUMBER(SEARCH($A36, INDEX(AsistenciaJetAdminConcatenada!$D:$D, MATCH(1, (AsistenciaJetAdminConcatenada!$A:$A=EL$2)*(AsistenciaJetAdminConcatenada!$B:$B=EL$1), 0)), 1))),  0.5, 0))</f>
        <v>0</v>
      </c>
      <c r="EM36" s="47">
        <f t="array" ref="EM36">IF(AND(ISNUMBER(MATCH(EM$2, AsistenciaJetAdminConcatenada!$A:$A, 0)), ISNUMBER(MATCH(EM$1, AsistenciaJetAdminConcatenada!$B:$B, 0)), ISNUMBER(SEARCH($A36,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ISNUMBER(SEARCH($A36, INDEX(AsistenciaJetAdminConcatenada!$D:$D, MATCH(1, (AsistenciaJetAdminConcatenada!$A:$A=EM$2)*(AsistenciaJetAdminConcatenada!$B:$B=EM$1), 0)), 1))),  0.5, 0))</f>
        <v>0</v>
      </c>
      <c r="EN36" s="47">
        <f t="array" ref="EN36">IF(AND(ISNUMBER(MATCH(EN$2, AsistenciaJetAdminConcatenada!$A:$A, 0)), ISNUMBER(MATCH(EN$1, AsistenciaJetAdminConcatenada!$B:$B, 0)), ISNUMBER(SEARCH($A36,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ISNUMBER(SEARCH($A36, INDEX(AsistenciaJetAdminConcatenada!$D:$D, MATCH(1, (AsistenciaJetAdminConcatenada!$A:$A=EN$2)*(AsistenciaJetAdminConcatenada!$B:$B=EN$1), 0)), 1))),  0.5, 0))</f>
        <v>0</v>
      </c>
      <c r="EO36" s="47">
        <f t="array" ref="EO36">IF(AND(ISNUMBER(MATCH(EO$2, AsistenciaJetAdminConcatenada!$A:$A, 0)), ISNUMBER(MATCH(EO$1, AsistenciaJetAdminConcatenada!$B:$B, 0)), ISNUMBER(SEARCH($A36,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ISNUMBER(SEARCH($A36, INDEX(AsistenciaJetAdminConcatenada!$D:$D, MATCH(1, (AsistenciaJetAdminConcatenada!$A:$A=EO$2)*(AsistenciaJetAdminConcatenada!$B:$B=EO$1), 0)), 1))),  0.5, 0))</f>
        <v>0</v>
      </c>
      <c r="EP36" s="47">
        <f t="array" ref="EP36">IF(AND(ISNUMBER(MATCH(EP$2, AsistenciaJetAdminConcatenada!$A:$A, 0)), ISNUMBER(MATCH(EP$1, AsistenciaJetAdminConcatenada!$B:$B, 0)), ISNUMBER(SEARCH($A36,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ISNUMBER(SEARCH($A36, INDEX(AsistenciaJetAdminConcatenada!$D:$D, MATCH(1, (AsistenciaJetAdminConcatenada!$A:$A=EP$2)*(AsistenciaJetAdminConcatenada!$B:$B=EP$1), 0)), 1))),  0.5, 0))</f>
        <v>0</v>
      </c>
      <c r="EQ36" s="47">
        <f t="array" ref="EQ36">IF(AND(ISNUMBER(MATCH(EQ$2, AsistenciaJetAdminConcatenada!$A:$A, 0)), ISNUMBER(MATCH(EQ$1, AsistenciaJetAdminConcatenada!$B:$B, 0)), ISNUMBER(SEARCH($A36,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ISNUMBER(SEARCH($A36, INDEX(AsistenciaJetAdminConcatenada!$D:$D, MATCH(1, (AsistenciaJetAdminConcatenada!$A:$A=EQ$2)*(AsistenciaJetAdminConcatenada!$B:$B=EQ$1), 0)), 1))),  0.5, 0))</f>
        <v>0</v>
      </c>
      <c r="ER36" s="47">
        <f t="array" ref="ER36">IF(AND(ISNUMBER(MATCH(ER$2, AsistenciaJetAdminConcatenada!$A:$A, 0)), ISNUMBER(MATCH(ER$1, AsistenciaJetAdminConcatenada!$B:$B, 0)), ISNUMBER(SEARCH($A36,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ISNUMBER(SEARCH($A36, INDEX(AsistenciaJetAdminConcatenada!$D:$D, MATCH(1, (AsistenciaJetAdminConcatenada!$A:$A=ER$2)*(AsistenciaJetAdminConcatenada!$B:$B=ER$1), 0)), 1))),  0.5, 0))</f>
        <v>0</v>
      </c>
      <c r="ES36" s="47">
        <f t="array" ref="ES36">IF(AND(ISNUMBER(MATCH(ES$2, AsistenciaJetAdminConcatenada!$A:$A, 0)), ISNUMBER(MATCH(ES$1, AsistenciaJetAdminConcatenada!$B:$B, 0)), ISNUMBER(SEARCH($A36,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ISNUMBER(SEARCH($A36, INDEX(AsistenciaJetAdminConcatenada!$D:$D, MATCH(1, (AsistenciaJetAdminConcatenada!$A:$A=ES$2)*(AsistenciaJetAdminConcatenada!$B:$B=ES$1), 0)), 1))),  0.5, 0))</f>
        <v>0</v>
      </c>
      <c r="ET36" s="47">
        <f t="array" ref="ET36">IF(AND(ISNUMBER(MATCH(ET$2, AsistenciaJetAdminConcatenada!$A:$A, 0)), ISNUMBER(MATCH(ET$1, AsistenciaJetAdminConcatenada!$B:$B, 0)), ISNUMBER(SEARCH($A36,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ISNUMBER(SEARCH($A36, INDEX(AsistenciaJetAdminConcatenada!$D:$D, MATCH(1, (AsistenciaJetAdminConcatenada!$A:$A=ET$2)*(AsistenciaJetAdminConcatenada!$B:$B=ET$1), 0)), 1))),  0.5, 0))</f>
        <v>0</v>
      </c>
      <c r="EU36" s="47">
        <f t="array" ref="EU36">IF(AND(ISNUMBER(MATCH(EU$2, AsistenciaJetAdminConcatenada!$A:$A, 0)), ISNUMBER(MATCH(EU$1, AsistenciaJetAdminConcatenada!$B:$B, 0)), ISNUMBER(SEARCH($A36,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ISNUMBER(SEARCH($A36, INDEX(AsistenciaJetAdminConcatenada!$D:$D, MATCH(1, (AsistenciaJetAdminConcatenada!$A:$A=EU$2)*(AsistenciaJetAdminConcatenada!$B:$B=EU$1), 0)), 1))),  0.5, 0))</f>
        <v>0</v>
      </c>
      <c r="EV36" s="47">
        <f t="array" ref="EV36">IF(AND(ISNUMBER(MATCH(EV$2, AsistenciaJetAdminConcatenada!$A:$A, 0)), ISNUMBER(MATCH(EV$1, AsistenciaJetAdminConcatenada!$B:$B, 0)), ISNUMBER(SEARCH($A36,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ISNUMBER(SEARCH($A36, INDEX(AsistenciaJetAdminConcatenada!$D:$D, MATCH(1, (AsistenciaJetAdminConcatenada!$A:$A=EV$2)*(AsistenciaJetAdminConcatenada!$B:$B=EV$1), 0)), 1))),  0.5, 0))</f>
        <v>0</v>
      </c>
      <c r="EW36" s="47">
        <f t="array" ref="EW36">IF(AND(ISNUMBER(MATCH(EW$2, AsistenciaJetAdminConcatenada!$A:$A, 0)), ISNUMBER(MATCH(EW$1, AsistenciaJetAdminConcatenada!$B:$B, 0)), ISNUMBER(SEARCH($A36,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ISNUMBER(SEARCH($A36, INDEX(AsistenciaJetAdminConcatenada!$D:$D, MATCH(1, (AsistenciaJetAdminConcatenada!$A:$A=EW$2)*(AsistenciaJetAdminConcatenada!$B:$B=EW$1), 0)), 1))),  0.5, 0))</f>
        <v>0</v>
      </c>
      <c r="EX36" s="47">
        <f t="array" ref="EX36">IF(AND(ISNUMBER(MATCH(EX$2, AsistenciaJetAdminConcatenada!$A:$A, 0)), ISNUMBER(MATCH(EX$1, AsistenciaJetAdminConcatenada!$B:$B, 0)), ISNUMBER(SEARCH($A36,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ISNUMBER(SEARCH($A36, INDEX(AsistenciaJetAdminConcatenada!$D:$D, MATCH(1, (AsistenciaJetAdminConcatenada!$A:$A=EX$2)*(AsistenciaJetAdminConcatenada!$B:$B=EX$1), 0)), 1))),  0.5, 0))</f>
        <v>0</v>
      </c>
      <c r="EY36" s="47">
        <f t="array" ref="EY36">IF(AND(ISNUMBER(MATCH(EY$2, AsistenciaJetAdminConcatenada!$A:$A, 0)), ISNUMBER(MATCH(EY$1, AsistenciaJetAdminConcatenada!$B:$B, 0)), ISNUMBER(SEARCH($A36,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ISNUMBER(SEARCH($A36, INDEX(AsistenciaJetAdminConcatenada!$D:$D, MATCH(1, (AsistenciaJetAdminConcatenada!$A:$A=EY$2)*(AsistenciaJetAdminConcatenada!$B:$B=EY$1), 0)), 1))),  0.5, 0))</f>
        <v>0</v>
      </c>
      <c r="EZ36" s="47">
        <f t="array" ref="EZ36">IF(AND(ISNUMBER(MATCH(EZ$2, AsistenciaJetAdminConcatenada!$A:$A, 0)), ISNUMBER(MATCH(EZ$1, AsistenciaJetAdminConcatenada!$B:$B, 0)), ISNUMBER(SEARCH($A36,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ISNUMBER(SEARCH($A36, INDEX(AsistenciaJetAdminConcatenada!$D:$D, MATCH(1, (AsistenciaJetAdminConcatenada!$A:$A=EZ$2)*(AsistenciaJetAdminConcatenada!$B:$B=EZ$1), 0)), 1))),  0.5, 0))</f>
        <v>0</v>
      </c>
      <c r="FA36" s="47">
        <f t="array" ref="FA36">IF(AND(ISNUMBER(MATCH(FA$2, AsistenciaJetAdminConcatenada!$A:$A, 0)), ISNUMBER(MATCH(FA$1, AsistenciaJetAdminConcatenada!$B:$B, 0)), ISNUMBER(SEARCH($A36,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ISNUMBER(SEARCH($A36, INDEX(AsistenciaJetAdminConcatenada!$D:$D, MATCH(1, (AsistenciaJetAdminConcatenada!$A:$A=FA$2)*(AsistenciaJetAdminConcatenada!$B:$B=FA$1), 0)), 1))),  0.5, 0))</f>
        <v>0</v>
      </c>
      <c r="FB36" s="47">
        <f t="array" ref="FB36">IF(AND(ISNUMBER(MATCH(FB$2, AsistenciaJetAdminConcatenada!$A:$A, 0)), ISNUMBER(MATCH(FB$1, AsistenciaJetAdminConcatenada!$B:$B, 0)), ISNUMBER(SEARCH($A36,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ISNUMBER(SEARCH($A36, INDEX(AsistenciaJetAdminConcatenada!$D:$D, MATCH(1, (AsistenciaJetAdminConcatenada!$A:$A=FB$2)*(AsistenciaJetAdminConcatenada!$B:$B=FB$1), 0)), 1))),  0.5, 0))</f>
        <v>0</v>
      </c>
      <c r="FC36" s="47">
        <f t="array" ref="FC36">IF(AND(ISNUMBER(MATCH(FC$2, AsistenciaJetAdminConcatenada!$A:$A, 0)), ISNUMBER(MATCH(FC$1, AsistenciaJetAdminConcatenada!$B:$B, 0)), ISNUMBER(SEARCH($A36,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ISNUMBER(SEARCH($A36, INDEX(AsistenciaJetAdminConcatenada!$D:$D, MATCH(1, (AsistenciaJetAdminConcatenada!$A:$A=FC$2)*(AsistenciaJetAdminConcatenada!$B:$B=FC$1), 0)), 1))),  0.5, 0))</f>
        <v>0</v>
      </c>
      <c r="FD36" s="47">
        <f t="array" ref="FD36">IF(AND(ISNUMBER(MATCH(FD$2, AsistenciaJetAdminConcatenada!$A:$A, 0)), ISNUMBER(MATCH(FD$1, AsistenciaJetAdminConcatenada!$B:$B, 0)), ISNUMBER(SEARCH($A36,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ISNUMBER(SEARCH($A36, INDEX(AsistenciaJetAdminConcatenada!$D:$D, MATCH(1, (AsistenciaJetAdminConcatenada!$A:$A=FD$2)*(AsistenciaJetAdminConcatenada!$B:$B=FD$1), 0)), 1))),  0.5, 0))</f>
        <v>0</v>
      </c>
      <c r="FE36" s="47">
        <f t="array" ref="FE36">IF(AND(ISNUMBER(MATCH(FE$2, AsistenciaJetAdminConcatenada!$A:$A, 0)), ISNUMBER(MATCH(FE$1, AsistenciaJetAdminConcatenada!$B:$B, 0)), ISNUMBER(SEARCH($A36,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ISNUMBER(SEARCH($A36, INDEX(AsistenciaJetAdminConcatenada!$D:$D, MATCH(1, (AsistenciaJetAdminConcatenada!$A:$A=FE$2)*(AsistenciaJetAdminConcatenada!$B:$B=FE$1), 0)), 1))),  0.5, 0))</f>
        <v>0</v>
      </c>
      <c r="FF36" s="47">
        <f t="array" ref="FF36">IF(AND(ISNUMBER(MATCH(FF$2, AsistenciaJetAdminConcatenada!$A:$A, 0)), ISNUMBER(MATCH(FF$1, AsistenciaJetAdminConcatenada!$B:$B, 0)), ISNUMBER(SEARCH($A36,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ISNUMBER(SEARCH($A36, INDEX(AsistenciaJetAdminConcatenada!$D:$D, MATCH(1, (AsistenciaJetAdminConcatenada!$A:$A=FF$2)*(AsistenciaJetAdminConcatenada!$B:$B=FF$1), 0)), 1))),  0.5, 0))</f>
        <v>0</v>
      </c>
      <c r="FG36" s="47">
        <f t="array" ref="FG36">IF(AND(ISNUMBER(MATCH(FG$2, AsistenciaJetAdminConcatenada!$A:$A, 0)), ISNUMBER(MATCH(FG$1, AsistenciaJetAdminConcatenada!$B:$B, 0)), ISNUMBER(SEARCH($A36,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ISNUMBER(SEARCH($A36, INDEX(AsistenciaJetAdminConcatenada!$D:$D, MATCH(1, (AsistenciaJetAdminConcatenada!$A:$A=FG$2)*(AsistenciaJetAdminConcatenada!$B:$B=FG$1), 0)), 1))),  0.5, 0))</f>
        <v>0</v>
      </c>
      <c r="FH36" s="47">
        <f t="array" ref="FH36">IF(AND(ISNUMBER(MATCH(FH$2, AsistenciaJetAdminConcatenada!$A:$A, 0)), ISNUMBER(MATCH(FH$1, AsistenciaJetAdminConcatenada!$B:$B, 0)), ISNUMBER(SEARCH($A36,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ISNUMBER(SEARCH($A36, INDEX(AsistenciaJetAdminConcatenada!$D:$D, MATCH(1, (AsistenciaJetAdminConcatenada!$A:$A=FH$2)*(AsistenciaJetAdminConcatenada!$B:$B=FH$1), 0)), 1))),  0.5, 0))</f>
        <v>0</v>
      </c>
      <c r="FI36" s="47">
        <f t="array" ref="FI36">IF(AND(ISNUMBER(MATCH(FI$2, AsistenciaJetAdminConcatenada!$A:$A, 0)), ISNUMBER(MATCH(FI$1, AsistenciaJetAdminConcatenada!$B:$B, 0)), ISNUMBER(SEARCH($A36,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ISNUMBER(SEARCH($A36, INDEX(AsistenciaJetAdminConcatenada!$D:$D, MATCH(1, (AsistenciaJetAdminConcatenada!$A:$A=FI$2)*(AsistenciaJetAdminConcatenada!$B:$B=FI$1), 0)), 1))),  0.5, 0))</f>
        <v>0</v>
      </c>
      <c r="FJ36" s="47">
        <f t="array" ref="FJ36">IF(AND(ISNUMBER(MATCH(FJ$2, AsistenciaJetAdminConcatenada!$A:$A, 0)), ISNUMBER(MATCH(FJ$1, AsistenciaJetAdminConcatenada!$B:$B, 0)), ISNUMBER(SEARCH($A36,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ISNUMBER(SEARCH($A36, INDEX(AsistenciaJetAdminConcatenada!$D:$D, MATCH(1, (AsistenciaJetAdminConcatenada!$A:$A=FJ$2)*(AsistenciaJetAdminConcatenada!$B:$B=FJ$1), 0)), 1))),  0.5, 0))</f>
        <v>0</v>
      </c>
      <c r="FK36" s="47">
        <f t="array" ref="FK36">IF(AND(ISNUMBER(MATCH(FK$2, AsistenciaJetAdminConcatenada!$A:$A, 0)), ISNUMBER(MATCH(FK$1, AsistenciaJetAdminConcatenada!$B:$B, 0)), ISNUMBER(SEARCH($A36,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ISNUMBER(SEARCH($A36, INDEX(AsistenciaJetAdminConcatenada!$D:$D, MATCH(1, (AsistenciaJetAdminConcatenada!$A:$A=FK$2)*(AsistenciaJetAdminConcatenada!$B:$B=FK$1), 0)), 1))),  0.5, 0))</f>
        <v>0</v>
      </c>
      <c r="FL36" s="47">
        <f t="array" ref="FL36">IF(AND(ISNUMBER(MATCH(FL$2, AsistenciaJetAdminConcatenada!$A:$A, 0)), ISNUMBER(MATCH(FL$1, AsistenciaJetAdminConcatenada!$B:$B, 0)), ISNUMBER(SEARCH($A36,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ISNUMBER(SEARCH($A36, INDEX(AsistenciaJetAdminConcatenada!$D:$D, MATCH(1, (AsistenciaJetAdminConcatenada!$A:$A=FL$2)*(AsistenciaJetAdminConcatenada!$B:$B=FL$1), 0)), 1))),  0.5, 0))</f>
        <v>0</v>
      </c>
      <c r="FM36" s="47">
        <f t="array" ref="FM36">IF(AND(ISNUMBER(MATCH(FM$2, AsistenciaJetAdminConcatenada!$A:$A, 0)), ISNUMBER(MATCH(FM$1, AsistenciaJetAdminConcatenada!$B:$B, 0)), ISNUMBER(SEARCH($A36,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ISNUMBER(SEARCH($A36, INDEX(AsistenciaJetAdminConcatenada!$D:$D, MATCH(1, (AsistenciaJetAdminConcatenada!$A:$A=FM$2)*(AsistenciaJetAdminConcatenada!$B:$B=FM$1), 0)), 1))),  0.5, 0))</f>
        <v>0</v>
      </c>
      <c r="FN36" s="47">
        <f t="array" ref="FN36">IF(AND(ISNUMBER(MATCH(FN$2, AsistenciaJetAdminConcatenada!$A:$A, 0)), ISNUMBER(MATCH(FN$1, AsistenciaJetAdminConcatenada!$B:$B, 0)), ISNUMBER(SEARCH($A36,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ISNUMBER(SEARCH($A36, INDEX(AsistenciaJetAdminConcatenada!$D:$D, MATCH(1, (AsistenciaJetAdminConcatenada!$A:$A=FN$2)*(AsistenciaJetAdminConcatenada!$B:$B=FN$1), 0)), 1))),  0.5, 0))</f>
        <v>0</v>
      </c>
      <c r="FO36" s="47">
        <f t="array" ref="FO36">IF(AND(ISNUMBER(MATCH(FO$2, AsistenciaJetAdminConcatenada!$A:$A, 0)), ISNUMBER(MATCH(FO$1, AsistenciaJetAdminConcatenada!$B:$B, 0)), ISNUMBER(SEARCH($A36,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ISNUMBER(SEARCH($A36, INDEX(AsistenciaJetAdminConcatenada!$D:$D, MATCH(1, (AsistenciaJetAdminConcatenada!$A:$A=FO$2)*(AsistenciaJetAdminConcatenada!$B:$B=FO$1), 0)), 1))),  0.5, 0))</f>
        <v>0</v>
      </c>
      <c r="FP36" s="47">
        <f t="array" ref="FP36">IF(AND(ISNUMBER(MATCH(FP$2, AsistenciaJetAdminConcatenada!$A:$A, 0)), ISNUMBER(MATCH(FP$1, AsistenciaJetAdminConcatenada!$B:$B, 0)), ISNUMBER(SEARCH($A36,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ISNUMBER(SEARCH($A36, INDEX(AsistenciaJetAdminConcatenada!$D:$D, MATCH(1, (AsistenciaJetAdminConcatenada!$A:$A=FP$2)*(AsistenciaJetAdminConcatenada!$B:$B=FP$1), 0)), 1))),  0.5, 0))</f>
        <v>0</v>
      </c>
      <c r="FQ36" s="47">
        <f t="array" ref="FQ36">IF(AND(ISNUMBER(MATCH(FQ$2, AsistenciaJetAdminConcatenada!$A:$A, 0)), ISNUMBER(MATCH(FQ$1, AsistenciaJetAdminConcatenada!$B:$B, 0)), ISNUMBER(SEARCH($A36,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ISNUMBER(SEARCH($A36, INDEX(AsistenciaJetAdminConcatenada!$D:$D, MATCH(1, (AsistenciaJetAdminConcatenada!$A:$A=FQ$2)*(AsistenciaJetAdminConcatenada!$B:$B=FQ$1), 0)), 1))),  0.5, 0))</f>
        <v>0</v>
      </c>
      <c r="FR36" s="47">
        <f t="array" ref="FR36">IF(AND(ISNUMBER(MATCH(FR$2, AsistenciaJetAdminConcatenada!$A:$A, 0)), ISNUMBER(MATCH(FR$1, AsistenciaJetAdminConcatenada!$B:$B, 0)), ISNUMBER(SEARCH($A36,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ISNUMBER(SEARCH($A36, INDEX(AsistenciaJetAdminConcatenada!$D:$D, MATCH(1, (AsistenciaJetAdminConcatenada!$A:$A=FR$2)*(AsistenciaJetAdminConcatenada!$B:$B=FR$1), 0)), 1))),  0.5, 0))</f>
        <v>0</v>
      </c>
      <c r="FS36" s="47">
        <f t="array" ref="FS36">IF(AND(ISNUMBER(MATCH(FS$2, AsistenciaJetAdminConcatenada!$A:$A, 0)), ISNUMBER(MATCH(FS$1, AsistenciaJetAdminConcatenada!$B:$B, 0)), ISNUMBER(SEARCH($A36,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ISNUMBER(SEARCH($A36, INDEX(AsistenciaJetAdminConcatenada!$D:$D, MATCH(1, (AsistenciaJetAdminConcatenada!$A:$A=FS$2)*(AsistenciaJetAdminConcatenada!$B:$B=FS$1), 0)), 1))),  0.5, 0))</f>
        <v>0</v>
      </c>
      <c r="FT36" s="47">
        <f t="array" ref="FT36">IF(AND(ISNUMBER(MATCH(FT$2, AsistenciaJetAdminConcatenada!$A:$A, 0)), ISNUMBER(MATCH(FT$1, AsistenciaJetAdminConcatenada!$B:$B, 0)), ISNUMBER(SEARCH($A36,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ISNUMBER(SEARCH($A36, INDEX(AsistenciaJetAdminConcatenada!$D:$D, MATCH(1, (AsistenciaJetAdminConcatenada!$A:$A=FT$2)*(AsistenciaJetAdminConcatenada!$B:$B=FT$1), 0)), 1))),  0.5, 0))</f>
        <v>0</v>
      </c>
      <c r="FU36" s="47">
        <f t="array" ref="FU36">IF(AND(ISNUMBER(MATCH(FU$2, AsistenciaJetAdminConcatenada!$A:$A, 0)), ISNUMBER(MATCH(FU$1, AsistenciaJetAdminConcatenada!$B:$B, 0)), ISNUMBER(SEARCH($A36,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ISNUMBER(SEARCH($A36, INDEX(AsistenciaJetAdminConcatenada!$D:$D, MATCH(1, (AsistenciaJetAdminConcatenada!$A:$A=FU$2)*(AsistenciaJetAdminConcatenada!$B:$B=FU$1), 0)), 1))),  0.5, 0))</f>
        <v>0</v>
      </c>
      <c r="FV36" s="47">
        <f t="array" ref="FV36">IF(AND(ISNUMBER(MATCH(FV$2, AsistenciaJetAdminConcatenada!$A:$A, 0)), ISNUMBER(MATCH(FV$1, AsistenciaJetAdminConcatenada!$B:$B, 0)), ISNUMBER(SEARCH($A36,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ISNUMBER(SEARCH($A36, INDEX(AsistenciaJetAdminConcatenada!$D:$D, MATCH(1, (AsistenciaJetAdminConcatenada!$A:$A=FV$2)*(AsistenciaJetAdminConcatenada!$B:$B=FV$1), 0)), 1))),  0.5, 0))</f>
        <v>0</v>
      </c>
      <c r="FW36" s="47">
        <f t="array" ref="FW36">IF(AND(ISNUMBER(MATCH(FW$2, AsistenciaJetAdminConcatenada!$A:$A, 0)), ISNUMBER(MATCH(FW$1, AsistenciaJetAdminConcatenada!$B:$B, 0)), ISNUMBER(SEARCH($A36,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ISNUMBER(SEARCH($A36, INDEX(AsistenciaJetAdminConcatenada!$D:$D, MATCH(1, (AsistenciaJetAdminConcatenada!$A:$A=FW$2)*(AsistenciaJetAdminConcatenada!$B:$B=FW$1), 0)), 1))),  0.5, 0))</f>
        <v>0</v>
      </c>
      <c r="FX36" s="47">
        <f t="array" ref="FX36">IF(AND(ISNUMBER(MATCH(FX$2, AsistenciaJetAdminConcatenada!$A:$A, 0)), ISNUMBER(MATCH(FX$1, AsistenciaJetAdminConcatenada!$B:$B, 0)), ISNUMBER(SEARCH($A36,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ISNUMBER(SEARCH($A36, INDEX(AsistenciaJetAdminConcatenada!$D:$D, MATCH(1, (AsistenciaJetAdminConcatenada!$A:$A=FX$2)*(AsistenciaJetAdminConcatenada!$B:$B=FX$1), 0)), 1))),  0.5, 0))</f>
        <v>0</v>
      </c>
      <c r="FY36" s="47">
        <f t="array" ref="FY36">IF(AND(ISNUMBER(MATCH(FY$2, AsistenciaJetAdminConcatenada!$A:$A, 0)), ISNUMBER(MATCH(FY$1, AsistenciaJetAdminConcatenada!$B:$B, 0)), ISNUMBER(SEARCH($A36,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ISNUMBER(SEARCH($A36, INDEX(AsistenciaJetAdminConcatenada!$D:$D, MATCH(1, (AsistenciaJetAdminConcatenada!$A:$A=FY$2)*(AsistenciaJetAdminConcatenada!$B:$B=FY$1), 0)), 1))),  0.5, 0))</f>
        <v>0</v>
      </c>
      <c r="FZ36" s="47">
        <f t="array" ref="FZ36">IF(AND(ISNUMBER(MATCH(FZ$2, AsistenciaJetAdminConcatenada!$A:$A, 0)), ISNUMBER(MATCH(FZ$1, AsistenciaJetAdminConcatenada!$B:$B, 0)), ISNUMBER(SEARCH($A36,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ISNUMBER(SEARCH($A36, INDEX(AsistenciaJetAdminConcatenada!$D:$D, MATCH(1, (AsistenciaJetAdminConcatenada!$A:$A=FZ$2)*(AsistenciaJetAdminConcatenada!$B:$B=FZ$1), 0)), 1))),  0.5, 0))</f>
        <v>0</v>
      </c>
      <c r="GA36" s="47">
        <f t="array" ref="GA36">IF(AND(ISNUMBER(MATCH(GA$2, AsistenciaJetAdminConcatenada!$A:$A, 0)), ISNUMBER(MATCH(GA$1, AsistenciaJetAdminConcatenada!$B:$B, 0)), ISNUMBER(SEARCH($A36,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ISNUMBER(SEARCH($A36, INDEX(AsistenciaJetAdminConcatenada!$D:$D, MATCH(1, (AsistenciaJetAdminConcatenada!$A:$A=GA$2)*(AsistenciaJetAdminConcatenada!$B:$B=GA$1), 0)), 1))),  0.5, 0))</f>
        <v>0</v>
      </c>
      <c r="GB36" s="47">
        <f t="array" ref="GB36">IF(AND(ISNUMBER(MATCH(GB$2, AsistenciaJetAdminConcatenada!$A:$A, 0)), ISNUMBER(MATCH(GB$1, AsistenciaJetAdminConcatenada!$B:$B, 0)), ISNUMBER(SEARCH($A36,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ISNUMBER(SEARCH($A36, INDEX(AsistenciaJetAdminConcatenada!$D:$D, MATCH(1, (AsistenciaJetAdminConcatenada!$A:$A=GB$2)*(AsistenciaJetAdminConcatenada!$B:$B=GB$1), 0)), 1))),  0.5, 0))</f>
        <v>0</v>
      </c>
      <c r="GC36" s="47">
        <f t="array" ref="GC36">IF(AND(ISNUMBER(MATCH(GC$2, AsistenciaJetAdminConcatenada!$A:$A, 0)), ISNUMBER(MATCH(GC$1, AsistenciaJetAdminConcatenada!$B:$B, 0)), ISNUMBER(SEARCH($A36,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ISNUMBER(SEARCH($A36, INDEX(AsistenciaJetAdminConcatenada!$D:$D, MATCH(1, (AsistenciaJetAdminConcatenada!$A:$A=GC$2)*(AsistenciaJetAdminConcatenada!$B:$B=GC$1), 0)), 1))),  0.5, 0))</f>
        <v>0</v>
      </c>
      <c r="GD36" s="47">
        <f t="array" ref="GD36">IF(AND(ISNUMBER(MATCH(GD$2, AsistenciaJetAdminConcatenada!$A:$A, 0)), ISNUMBER(MATCH(GD$1, AsistenciaJetAdminConcatenada!$B:$B, 0)), ISNUMBER(SEARCH($A36,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ISNUMBER(SEARCH($A36, INDEX(AsistenciaJetAdminConcatenada!$D:$D, MATCH(1, (AsistenciaJetAdminConcatenada!$A:$A=GD$2)*(AsistenciaJetAdminConcatenada!$B:$B=GD$1), 0)), 1))),  0.5, 0))</f>
        <v>0</v>
      </c>
      <c r="GE36" s="47">
        <f t="array" ref="GE36">IF(AND(ISNUMBER(MATCH(GE$2, AsistenciaJetAdminConcatenada!$A:$A, 0)), ISNUMBER(MATCH(GE$1, AsistenciaJetAdminConcatenada!$B:$B, 0)), ISNUMBER(SEARCH($A36,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ISNUMBER(SEARCH($A36, INDEX(AsistenciaJetAdminConcatenada!$D:$D, MATCH(1, (AsistenciaJetAdminConcatenada!$A:$A=GE$2)*(AsistenciaJetAdminConcatenada!$B:$B=GE$1), 0)), 1))),  0.5, 0))</f>
        <v>0</v>
      </c>
      <c r="GF36" s="47">
        <f t="array" ref="GF36">IF(AND(ISNUMBER(MATCH(GF$2, AsistenciaJetAdminConcatenada!$A:$A, 0)), ISNUMBER(MATCH(GF$1, AsistenciaJetAdminConcatenada!$B:$B, 0)), ISNUMBER(SEARCH($A36,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ISNUMBER(SEARCH($A36, INDEX(AsistenciaJetAdminConcatenada!$D:$D, MATCH(1, (AsistenciaJetAdminConcatenada!$A:$A=GF$2)*(AsistenciaJetAdminConcatenada!$B:$B=GF$1), 0)), 1))),  0.5, 0))</f>
        <v>0</v>
      </c>
      <c r="GG36" s="47">
        <f t="array" ref="GG36">IF(AND(ISNUMBER(MATCH(GG$2, AsistenciaJetAdminConcatenada!$A:$A, 0)), ISNUMBER(MATCH(GG$1, AsistenciaJetAdminConcatenada!$B:$B, 0)), ISNUMBER(SEARCH($A36,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ISNUMBER(SEARCH($A36, INDEX(AsistenciaJetAdminConcatenada!$D:$D, MATCH(1, (AsistenciaJetAdminConcatenada!$A:$A=GG$2)*(AsistenciaJetAdminConcatenada!$B:$B=GG$1), 0)), 1))),  0.5, 0))</f>
        <v>0</v>
      </c>
      <c r="GH36" s="47">
        <f t="array" ref="GH36">IF(AND(ISNUMBER(MATCH(GH$2, AsistenciaJetAdminConcatenada!$A:$A, 0)), ISNUMBER(MATCH(GH$1, AsistenciaJetAdminConcatenada!$B:$B, 0)), ISNUMBER(SEARCH($A36,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ISNUMBER(SEARCH($A36, INDEX(AsistenciaJetAdminConcatenada!$D:$D, MATCH(1, (AsistenciaJetAdminConcatenada!$A:$A=GH$2)*(AsistenciaJetAdminConcatenada!$B:$B=GH$1), 0)), 1))),  0.5, 0))</f>
        <v>0</v>
      </c>
      <c r="GI36" s="47">
        <f t="array" ref="GI36">IF(AND(ISNUMBER(MATCH(GI$2, AsistenciaJetAdminConcatenada!$A:$A, 0)), ISNUMBER(MATCH(GI$1, AsistenciaJetAdminConcatenada!$B:$B, 0)), ISNUMBER(SEARCH($A36,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ISNUMBER(SEARCH($A36, INDEX(AsistenciaJetAdminConcatenada!$D:$D, MATCH(1, (AsistenciaJetAdminConcatenada!$A:$A=GI$2)*(AsistenciaJetAdminConcatenada!$B:$B=GI$1), 0)), 1))),  0.5, 0))</f>
        <v>0</v>
      </c>
      <c r="GJ36" s="47">
        <f t="array" ref="GJ36">IF(AND(ISNUMBER(MATCH(GJ$2, AsistenciaJetAdminConcatenada!$A:$A, 0)), ISNUMBER(MATCH(GJ$1, AsistenciaJetAdminConcatenada!$B:$B, 0)), ISNUMBER(SEARCH($A36,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ISNUMBER(SEARCH($A36, INDEX(AsistenciaJetAdminConcatenada!$D:$D, MATCH(1, (AsistenciaJetAdminConcatenada!$A:$A=GJ$2)*(AsistenciaJetAdminConcatenada!$B:$B=GJ$1), 0)), 1))),  0.5, 0))</f>
        <v>0</v>
      </c>
      <c r="GK36" s="47">
        <f t="array" ref="GK36">IF(AND(ISNUMBER(MATCH(GK$2, AsistenciaJetAdminConcatenada!$A:$A, 0)), ISNUMBER(MATCH(GK$1, AsistenciaJetAdminConcatenada!$B:$B, 0)), ISNUMBER(SEARCH($A36,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ISNUMBER(SEARCH($A36, INDEX(AsistenciaJetAdminConcatenada!$D:$D, MATCH(1, (AsistenciaJetAdminConcatenada!$A:$A=GK$2)*(AsistenciaJetAdminConcatenada!$B:$B=GK$1), 0)), 1))),  0.5, 0))</f>
        <v>0</v>
      </c>
      <c r="GL36" s="47">
        <f t="array" ref="GL36">IF(AND(ISNUMBER(MATCH(GL$2, AsistenciaJetAdminConcatenada!$A:$A, 0)), ISNUMBER(MATCH(GL$1, AsistenciaJetAdminConcatenada!$B:$B, 0)), ISNUMBER(SEARCH($A36,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ISNUMBER(SEARCH($A36, INDEX(AsistenciaJetAdminConcatenada!$D:$D, MATCH(1, (AsistenciaJetAdminConcatenada!$A:$A=GL$2)*(AsistenciaJetAdminConcatenada!$B:$B=GL$1), 0)), 1))),  0.5, 0))</f>
        <v>0</v>
      </c>
      <c r="GM36" s="47">
        <f t="array" ref="GM36">IF(AND(ISNUMBER(MATCH(GM$2, AsistenciaJetAdminConcatenada!$A:$A, 0)), ISNUMBER(MATCH(GM$1, AsistenciaJetAdminConcatenada!$B:$B, 0)), ISNUMBER(SEARCH($A36,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ISNUMBER(SEARCH($A36, INDEX(AsistenciaJetAdminConcatenada!$D:$D, MATCH(1, (AsistenciaJetAdminConcatenada!$A:$A=GM$2)*(AsistenciaJetAdminConcatenada!$B:$B=GM$1), 0)), 1))),  0.5, 0))</f>
        <v>0</v>
      </c>
      <c r="GN36" s="47">
        <f t="array" ref="GN36">IF(AND(ISNUMBER(MATCH(GN$2, AsistenciaJetAdminConcatenada!$A:$A, 0)), ISNUMBER(MATCH(GN$1, AsistenciaJetAdminConcatenada!$B:$B, 0)), ISNUMBER(SEARCH($A36,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ISNUMBER(SEARCH($A36, INDEX(AsistenciaJetAdminConcatenada!$D:$D, MATCH(1, (AsistenciaJetAdminConcatenada!$A:$A=GN$2)*(AsistenciaJetAdminConcatenada!$B:$B=GN$1), 0)), 1))),  0.5, 0))</f>
        <v>0</v>
      </c>
      <c r="GO36" s="47">
        <f t="array" ref="GO36">IF(AND(ISNUMBER(MATCH(GO$2, AsistenciaJetAdminConcatenada!$A:$A, 0)), ISNUMBER(MATCH(GO$1, AsistenciaJetAdminConcatenada!$B:$B, 0)), ISNUMBER(SEARCH($A36,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ISNUMBER(SEARCH($A36, INDEX(AsistenciaJetAdminConcatenada!$D:$D, MATCH(1, (AsistenciaJetAdminConcatenada!$A:$A=GO$2)*(AsistenciaJetAdminConcatenada!$B:$B=GO$1), 0)), 1))),  0.5, 0))</f>
        <v>0</v>
      </c>
      <c r="GP36" s="47">
        <f t="array" ref="GP36">IF(AND(ISNUMBER(MATCH(GP$2, AsistenciaJetAdminConcatenada!$A:$A, 0)), ISNUMBER(MATCH(GP$1, AsistenciaJetAdminConcatenada!$B:$B, 0)), ISNUMBER(SEARCH($A36,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ISNUMBER(SEARCH($A36, INDEX(AsistenciaJetAdminConcatenada!$D:$D, MATCH(1, (AsistenciaJetAdminConcatenada!$A:$A=GP$2)*(AsistenciaJetAdminConcatenada!$B:$B=GP$1), 0)), 1))),  0.5, 0))</f>
        <v>0</v>
      </c>
      <c r="GQ36" s="47">
        <f t="array" ref="GQ36">IF(AND(ISNUMBER(MATCH(GQ$2, AsistenciaJetAdminConcatenada!$A:$A, 0)), ISNUMBER(MATCH(GQ$1, AsistenciaJetAdminConcatenada!$B:$B, 0)), ISNUMBER(SEARCH($A36,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ISNUMBER(SEARCH($A36, INDEX(AsistenciaJetAdminConcatenada!$D:$D, MATCH(1, (AsistenciaJetAdminConcatenada!$A:$A=GQ$2)*(AsistenciaJetAdminConcatenada!$B:$B=GQ$1), 0)), 1))),  0.5, 0))</f>
        <v>0</v>
      </c>
      <c r="GR36" s="47">
        <f t="array" ref="GR36">IF(AND(ISNUMBER(MATCH(GR$2, AsistenciaJetAdminConcatenada!$A:$A, 0)), ISNUMBER(MATCH(GR$1, AsistenciaJetAdminConcatenada!$B:$B, 0)), ISNUMBER(SEARCH($A36,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ISNUMBER(SEARCH($A36, INDEX(AsistenciaJetAdminConcatenada!$D:$D, MATCH(1, (AsistenciaJetAdminConcatenada!$A:$A=GR$2)*(AsistenciaJetAdminConcatenada!$B:$B=GR$1), 0)), 1))),  0.5, 0))</f>
        <v>0</v>
      </c>
      <c r="GS36" s="47">
        <f t="array" ref="GS36">IF(AND(ISNUMBER(MATCH(GS$2, AsistenciaJetAdminConcatenada!$A:$A, 0)), ISNUMBER(MATCH(GS$1, AsistenciaJetAdminConcatenada!$B:$B, 0)), ISNUMBER(SEARCH($A36,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ISNUMBER(SEARCH($A36, INDEX(AsistenciaJetAdminConcatenada!$D:$D, MATCH(1, (AsistenciaJetAdminConcatenada!$A:$A=GS$2)*(AsistenciaJetAdminConcatenada!$B:$B=GS$1), 0)), 1))),  0.5, 0))</f>
        <v>0</v>
      </c>
      <c r="GT36" s="47">
        <f t="array" ref="GT36">IF(AND(ISNUMBER(MATCH(GT$2, AsistenciaJetAdminConcatenada!$A:$A, 0)), ISNUMBER(MATCH(GT$1, AsistenciaJetAdminConcatenada!$B:$B, 0)), ISNUMBER(SEARCH($A36,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ISNUMBER(SEARCH($A36, INDEX(AsistenciaJetAdminConcatenada!$D:$D, MATCH(1, (AsistenciaJetAdminConcatenada!$A:$A=GT$2)*(AsistenciaJetAdminConcatenada!$B:$B=GT$1), 0)), 1))),  0.5, 0))</f>
        <v>0</v>
      </c>
      <c r="GU36" s="47">
        <f t="array" ref="GU36">IF(AND(ISNUMBER(MATCH(GU$2, AsistenciaJetAdminConcatenada!$A:$A, 0)), ISNUMBER(MATCH(GU$1, AsistenciaJetAdminConcatenada!$B:$B, 0)), ISNUMBER(SEARCH($A36,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ISNUMBER(SEARCH($A36, INDEX(AsistenciaJetAdminConcatenada!$D:$D, MATCH(1, (AsistenciaJetAdminConcatenada!$A:$A=GU$2)*(AsistenciaJetAdminConcatenada!$B:$B=GU$1), 0)), 1))),  0.5, 0))</f>
        <v>0</v>
      </c>
      <c r="GV36" s="47">
        <f t="array" ref="GV36">IF(AND(ISNUMBER(MATCH(GV$2, AsistenciaJetAdminConcatenada!$A:$A, 0)), ISNUMBER(MATCH(GV$1, AsistenciaJetAdminConcatenada!$B:$B, 0)), ISNUMBER(SEARCH($A36,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ISNUMBER(SEARCH($A36, INDEX(AsistenciaJetAdminConcatenada!$D:$D, MATCH(1, (AsistenciaJetAdminConcatenada!$A:$A=GV$2)*(AsistenciaJetAdminConcatenada!$B:$B=GV$1), 0)), 1))),  0.5, 0))</f>
        <v>0</v>
      </c>
      <c r="GW36" s="47">
        <f t="array" ref="GW36">IF(AND(ISNUMBER(MATCH(GW$2, AsistenciaJetAdminConcatenada!$A:$A, 0)), ISNUMBER(MATCH(GW$1, AsistenciaJetAdminConcatenada!$B:$B, 0)), ISNUMBER(SEARCH($A36,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ISNUMBER(SEARCH($A36, INDEX(AsistenciaJetAdminConcatenada!$D:$D, MATCH(1, (AsistenciaJetAdminConcatenada!$A:$A=GW$2)*(AsistenciaJetAdminConcatenada!$B:$B=GW$1), 0)), 1))),  0.5, 0))</f>
        <v>0</v>
      </c>
      <c r="GX36" s="47">
        <f t="array" ref="GX36">IF(AND(ISNUMBER(MATCH(GX$2, AsistenciaJetAdminConcatenada!$A:$A, 0)), ISNUMBER(MATCH(GX$1, AsistenciaJetAdminConcatenada!$B:$B, 0)), ISNUMBER(SEARCH($A36,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ISNUMBER(SEARCH($A36, INDEX(AsistenciaJetAdminConcatenada!$D:$D, MATCH(1, (AsistenciaJetAdminConcatenada!$A:$A=GX$2)*(AsistenciaJetAdminConcatenada!$B:$B=GX$1), 0)), 1))),  0.5, 0))</f>
        <v>0</v>
      </c>
      <c r="GY36" s="47">
        <f t="array" ref="GY36">IF(AND(ISNUMBER(MATCH(GY$2, AsistenciaJetAdminConcatenada!$A:$A, 0)), ISNUMBER(MATCH(GY$1, AsistenciaJetAdminConcatenada!$B:$B, 0)), ISNUMBER(SEARCH($A36,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ISNUMBER(SEARCH($A36, INDEX(AsistenciaJetAdminConcatenada!$D:$D, MATCH(1, (AsistenciaJetAdminConcatenada!$A:$A=GY$2)*(AsistenciaJetAdminConcatenada!$B:$B=GY$1), 0)), 1))),  0.5, 0))</f>
        <v>0</v>
      </c>
      <c r="GZ36" s="47">
        <f t="array" ref="GZ36">IF(AND(ISNUMBER(MATCH(GZ$2, AsistenciaJetAdminConcatenada!$A:$A, 0)), ISNUMBER(MATCH(GZ$1, AsistenciaJetAdminConcatenada!$B:$B, 0)), ISNUMBER(SEARCH($A36,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ISNUMBER(SEARCH($A36, INDEX(AsistenciaJetAdminConcatenada!$D:$D, MATCH(1, (AsistenciaJetAdminConcatenada!$A:$A=GZ$2)*(AsistenciaJetAdminConcatenada!$B:$B=GZ$1), 0)), 1))),  0.5, 0))</f>
        <v>0</v>
      </c>
      <c r="HA36" s="47">
        <f t="array" ref="HA36">IF(AND(ISNUMBER(MATCH(HA$2, AsistenciaJetAdminConcatenada!$A:$A, 0)), ISNUMBER(MATCH(HA$1, AsistenciaJetAdminConcatenada!$B:$B, 0)), ISNUMBER(SEARCH($A36,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ISNUMBER(SEARCH($A36, INDEX(AsistenciaJetAdminConcatenada!$D:$D, MATCH(1, (AsistenciaJetAdminConcatenada!$A:$A=HA$2)*(AsistenciaJetAdminConcatenada!$B:$B=HA$1), 0)), 1))),  0.5, 0))</f>
        <v>0</v>
      </c>
      <c r="HB36" s="47">
        <f t="array" ref="HB36">IF(AND(ISNUMBER(MATCH(HB$2, AsistenciaJetAdminConcatenada!$A:$A, 0)), ISNUMBER(MATCH(HB$1, AsistenciaJetAdminConcatenada!$B:$B, 0)), ISNUMBER(SEARCH($A36,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ISNUMBER(SEARCH($A36, INDEX(AsistenciaJetAdminConcatenada!$D:$D, MATCH(1, (AsistenciaJetAdminConcatenada!$A:$A=HB$2)*(AsistenciaJetAdminConcatenada!$B:$B=HB$1), 0)), 1))),  0.5, 0))</f>
        <v>0</v>
      </c>
      <c r="HC36" s="47">
        <f t="array" ref="HC36">IF(AND(ISNUMBER(MATCH(HC$2, AsistenciaJetAdminConcatenada!$A:$A, 0)), ISNUMBER(MATCH(HC$1, AsistenciaJetAdminConcatenada!$B:$B, 0)), ISNUMBER(SEARCH($A36,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ISNUMBER(SEARCH($A36, INDEX(AsistenciaJetAdminConcatenada!$D:$D, MATCH(1, (AsistenciaJetAdminConcatenada!$A:$A=HC$2)*(AsistenciaJetAdminConcatenada!$B:$B=HC$1), 0)), 1))),  0.5, 0))</f>
        <v>0</v>
      </c>
    </row>
    <row r="37" ht="29.25" customHeight="1">
      <c r="A37" s="3">
        <v>163.0</v>
      </c>
      <c r="B37" s="4" t="s">
        <v>781</v>
      </c>
      <c r="C37" s="47">
        <f>SUM(D37:HC37) + ActividadesEspeciales!C37</f>
        <v>55</v>
      </c>
      <c r="D37" s="47">
        <f t="array" ref="D37">IF(AND(ISNUMBER(MATCH(D$2, AsistenciaJetAdminConcatenada!$A:$A, 0)), ISNUMBER(MATCH(D$1, AsistenciaJetAdminConcatenada!$B:$B, 0)), ISNUMBER(SEARCH($A37,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ISNUMBER(SEARCH($A37, INDEX(AsistenciaJetAdminConcatenada!$D:$D, MATCH(1, (AsistenciaJetAdminConcatenada!$A:$A=D$2)*(AsistenciaJetAdminConcatenada!$B:$B=D$1), 0)), 1))),  0.5, 0))</f>
        <v>1</v>
      </c>
      <c r="E37" s="47">
        <f t="array" ref="E37">IF(AND(ISNUMBER(MATCH(E$2, AsistenciaJetAdminConcatenada!$A:$A, 0)), ISNUMBER(MATCH(E$1, AsistenciaJetAdminConcatenada!$B:$B, 0)), ISNUMBER(SEARCH($A37,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ISNUMBER(SEARCH($A37, INDEX(AsistenciaJetAdminConcatenada!$D:$D, MATCH(1, (AsistenciaJetAdminConcatenada!$A:$A=E$2)*(AsistenciaJetAdminConcatenada!$B:$B=E$1), 0)), 1))),  0.5, 0))</f>
        <v>1</v>
      </c>
      <c r="F37" s="47">
        <f t="array" ref="F37">IF(AND(ISNUMBER(MATCH(F$2, AsistenciaJetAdminConcatenada!$A:$A, 0)), ISNUMBER(MATCH(F$1, AsistenciaJetAdminConcatenada!$B:$B, 0)), ISNUMBER(SEARCH($A37,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ISNUMBER(SEARCH($A37, INDEX(AsistenciaJetAdminConcatenada!$D:$D, MATCH(1, (AsistenciaJetAdminConcatenada!$A:$A=F$2)*(AsistenciaJetAdminConcatenada!$B:$B=F$1), 0)), 1))),  0.5, 0))</f>
        <v>0.5</v>
      </c>
      <c r="G37" s="47">
        <f t="array" ref="G37">IF(AND(ISNUMBER(MATCH(G$2, AsistenciaJetAdminConcatenada!$A:$A, 0)), ISNUMBER(MATCH(G$1, AsistenciaJetAdminConcatenada!$B:$B, 0)), ISNUMBER(SEARCH($A37,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ISNUMBER(SEARCH($A37, INDEX(AsistenciaJetAdminConcatenada!$D:$D, MATCH(1, (AsistenciaJetAdminConcatenada!$A:$A=G$2)*(AsistenciaJetAdminConcatenada!$B:$B=G$1), 0)), 1))),  0.5, 0))</f>
        <v>1</v>
      </c>
      <c r="H37" s="47">
        <f t="array" ref="H37">IF(AND(ISNUMBER(MATCH(H$2, AsistenciaJetAdminConcatenada!$A:$A, 0)), ISNUMBER(MATCH(H$1, AsistenciaJetAdminConcatenada!$B:$B, 0)), ISNUMBER(SEARCH($A37,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ISNUMBER(SEARCH($A37, INDEX(AsistenciaJetAdminConcatenada!$D:$D, MATCH(1, (AsistenciaJetAdminConcatenada!$A:$A=H$2)*(AsistenciaJetAdminConcatenada!$B:$B=H$1), 0)), 1))),  0.5, 0))</f>
        <v>1</v>
      </c>
      <c r="I37" s="47">
        <f t="array" ref="I37">IF(AND(ISNUMBER(MATCH(I$2, AsistenciaJetAdminConcatenada!$A:$A, 0)), ISNUMBER(MATCH(I$1, AsistenciaJetAdminConcatenada!$B:$B, 0)), ISNUMBER(SEARCH($A37,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ISNUMBER(SEARCH($A37, INDEX(AsistenciaJetAdminConcatenada!$D:$D, MATCH(1, (AsistenciaJetAdminConcatenada!$A:$A=I$2)*(AsistenciaJetAdminConcatenada!$B:$B=I$1), 0)), 1))),  0.5, 0))</f>
        <v>1</v>
      </c>
      <c r="J37" s="47">
        <f t="array" ref="J37">IF(AND(ISNUMBER(MATCH(J$2, AsistenciaJetAdminConcatenada!$A:$A, 0)), ISNUMBER(MATCH(J$1, AsistenciaJetAdminConcatenada!$B:$B, 0)), ISNUMBER(SEARCH($A37,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ISNUMBER(SEARCH($A37, INDEX(AsistenciaJetAdminConcatenada!$D:$D, MATCH(1, (AsistenciaJetAdminConcatenada!$A:$A=J$2)*(AsistenciaJetAdminConcatenada!$B:$B=J$1), 0)), 1))),  0.5, 0))</f>
        <v>1</v>
      </c>
      <c r="K37" s="47">
        <f t="array" ref="K37">IF(AND(ISNUMBER(MATCH(K$2, AsistenciaJetAdminConcatenada!$A:$A, 0)), ISNUMBER(MATCH(K$1, AsistenciaJetAdminConcatenada!$B:$B, 0)), ISNUMBER(SEARCH($A37,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ISNUMBER(SEARCH($A37, INDEX(AsistenciaJetAdminConcatenada!$D:$D, MATCH(1, (AsistenciaJetAdminConcatenada!$A:$A=K$2)*(AsistenciaJetAdminConcatenada!$B:$B=K$1), 0)), 1))),  0.5, 0))</f>
        <v>1</v>
      </c>
      <c r="L37" s="47">
        <f t="array" ref="L37">IF(AND(ISNUMBER(MATCH(L$2, AsistenciaJetAdminConcatenada!$A:$A, 0)), ISNUMBER(MATCH(L$1, AsistenciaJetAdminConcatenada!$B:$B, 0)), ISNUMBER(SEARCH($A37,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ISNUMBER(SEARCH($A37, INDEX(AsistenciaJetAdminConcatenada!$D:$D, MATCH(1, (AsistenciaJetAdminConcatenada!$A:$A=L$2)*(AsistenciaJetAdminConcatenada!$B:$B=L$1), 0)), 1))),  0.5, 0))</f>
        <v>1</v>
      </c>
      <c r="M37" s="47">
        <f t="array" ref="M37">IF(AND(ISNUMBER(MATCH(M$2, AsistenciaJetAdminConcatenada!$A:$A, 0)), ISNUMBER(MATCH(M$1, AsistenciaJetAdminConcatenada!$B:$B, 0)), ISNUMBER(SEARCH($A37,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ISNUMBER(SEARCH($A37, INDEX(AsistenciaJetAdminConcatenada!$D:$D, MATCH(1, (AsistenciaJetAdminConcatenada!$A:$A=M$2)*(AsistenciaJetAdminConcatenada!$B:$B=M$1), 0)), 1))),  0.5, 0))</f>
        <v>1</v>
      </c>
      <c r="N37" s="47">
        <f t="array" ref="N37">IF(AND(ISNUMBER(MATCH(N$2, AsistenciaJetAdminConcatenada!$A:$A, 0)), ISNUMBER(MATCH(N$1, AsistenciaJetAdminConcatenada!$B:$B, 0)), ISNUMBER(SEARCH($A37,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ISNUMBER(SEARCH($A37, INDEX(AsistenciaJetAdminConcatenada!$D:$D, MATCH(1, (AsistenciaJetAdminConcatenada!$A:$A=N$2)*(AsistenciaJetAdminConcatenada!$B:$B=N$1), 0)), 1))),  0.5, 0))</f>
        <v>0</v>
      </c>
      <c r="O37" s="47">
        <f t="array" ref="O37">IF(AND(ISNUMBER(MATCH(O$2, AsistenciaJetAdminConcatenada!$A:$A, 0)), ISNUMBER(MATCH(O$1, AsistenciaJetAdminConcatenada!$B:$B, 0)), ISNUMBER(SEARCH($A37,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ISNUMBER(SEARCH($A37, INDEX(AsistenciaJetAdminConcatenada!$D:$D, MATCH(1, (AsistenciaJetAdminConcatenada!$A:$A=O$2)*(AsistenciaJetAdminConcatenada!$B:$B=O$1), 0)), 1))),  0.5, 0))</f>
        <v>1</v>
      </c>
      <c r="P37" s="47">
        <f t="array" ref="P37">IF(AND(ISNUMBER(MATCH(P$2, AsistenciaJetAdminConcatenada!$A:$A, 0)), ISNUMBER(MATCH(P$1, AsistenciaJetAdminConcatenada!$B:$B, 0)), ISNUMBER(SEARCH($A37, INDEX(AsistenciaJetAdminConcatenada!$C:$C, MATCH(1, (AsistenciaJetAdminConcatenada!$A:$A=P$2)*(AsistenciaJetAdminConcatenada!$B:$B=P$1), 0)), 1))), 1, IF(AND(ISNUMBER(MATCH(P$2, AsistenciaJetAdminConcatenada!$A:$A, 0)), ISNUMBER(MATCH(P$1, AsistenciaJetAdminConcatenada!$B:$B, 0)), ISNUMBER(SEARCH($A37, INDEX(AsistenciaJetAdminConcatenada!$D:$D, MATCH(1, (AsistenciaJetAdminConcatenada!$A:$A=P$2)*(AsistenciaJetAdminConcatenada!$B:$B=P$1), 0)), 1))),  0.5, 0))</f>
        <v>0</v>
      </c>
      <c r="Q37" s="47">
        <f t="array" ref="Q37">IF(AND(ISNUMBER(MATCH(Q$2, AsistenciaJetAdminConcatenada!$A:$A, 0)), ISNUMBER(MATCH(Q$1, AsistenciaJetAdminConcatenada!$B:$B, 0)), ISNUMBER(SEARCH($A37, INDEX(AsistenciaJetAdminConcatenada!$C:$C, MATCH(1, (AsistenciaJetAdminConcatenada!$A:$A=Q$2)*(AsistenciaJetAdminConcatenada!$B:$B=Q$1), 0)), 1))), 1, IF(AND(ISNUMBER(MATCH(Q$2, AsistenciaJetAdminConcatenada!$A:$A, 0)), ISNUMBER(MATCH(Q$1, AsistenciaJetAdminConcatenada!$B:$B, 0)), ISNUMBER(SEARCH($A37, INDEX(AsistenciaJetAdminConcatenada!$D:$D, MATCH(1, (AsistenciaJetAdminConcatenada!$A:$A=Q$2)*(AsistenciaJetAdminConcatenada!$B:$B=Q$1), 0)), 1))),  0.5, 0))</f>
        <v>0</v>
      </c>
      <c r="R37" s="47">
        <f t="array" ref="R37">IF(AND(ISNUMBER(MATCH(R$2, AsistenciaJetAdminConcatenada!$A:$A, 0)), ISNUMBER(MATCH(R$1, AsistenciaJetAdminConcatenada!$B:$B, 0)), ISNUMBER(SEARCH($A37,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ISNUMBER(SEARCH($A37, INDEX(AsistenciaJetAdminConcatenada!$D:$D, MATCH(1, (AsistenciaJetAdminConcatenada!$A:$A=R$2)*(AsistenciaJetAdminConcatenada!$B:$B=R$1), 0)), 1))),  0.5, 0))</f>
        <v>1</v>
      </c>
      <c r="S37" s="47">
        <f t="array" ref="S37">IF(AND(ISNUMBER(MATCH(S$2, AsistenciaJetAdminConcatenada!$A:$A, 0)), ISNUMBER(MATCH(S$1, AsistenciaJetAdminConcatenada!$B:$B, 0)), ISNUMBER(SEARCH($A37,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ISNUMBER(SEARCH($A37, INDEX(AsistenciaJetAdminConcatenada!$D:$D, MATCH(1, (AsistenciaJetAdminConcatenada!$A:$A=S$2)*(AsistenciaJetAdminConcatenada!$B:$B=S$1), 0)), 1))),  0.5, 0))</f>
        <v>1</v>
      </c>
      <c r="T37" s="47">
        <f t="array" ref="T37">IF(AND(ISNUMBER(MATCH(T$2, AsistenciaJetAdminConcatenada!$A:$A, 0)), ISNUMBER(MATCH(T$1, AsistenciaJetAdminConcatenada!$B:$B, 0)), ISNUMBER(SEARCH($A37,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ISNUMBER(SEARCH($A37, INDEX(AsistenciaJetAdminConcatenada!$D:$D, MATCH(1, (AsistenciaJetAdminConcatenada!$A:$A=T$2)*(AsistenciaJetAdminConcatenada!$B:$B=T$1), 0)), 1))),  0.5, 0))</f>
        <v>0.5</v>
      </c>
      <c r="U37" s="47">
        <f t="array" ref="U37">IF(AND(ISNUMBER(MATCH(U$2, AsistenciaJetAdminConcatenada!$A:$A, 0)), ISNUMBER(MATCH(U$1, AsistenciaJetAdminConcatenada!$B:$B, 0)), ISNUMBER(SEARCH($A37,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ISNUMBER(SEARCH($A37, INDEX(AsistenciaJetAdminConcatenada!$D:$D, MATCH(1, (AsistenciaJetAdminConcatenada!$A:$A=U$2)*(AsistenciaJetAdminConcatenada!$B:$B=U$1), 0)), 1))),  0.5, 0))</f>
        <v>0.5</v>
      </c>
      <c r="V37" s="47">
        <f t="array" ref="V37">IF(AND(ISNUMBER(MATCH(V$2, AsistenciaJetAdminConcatenada!$A:$A, 0)), ISNUMBER(MATCH(V$1, AsistenciaJetAdminConcatenada!$B:$B, 0)), ISNUMBER(SEARCH($A37,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ISNUMBER(SEARCH($A37, INDEX(AsistenciaJetAdminConcatenada!$D:$D, MATCH(1, (AsistenciaJetAdminConcatenada!$A:$A=V$2)*(AsistenciaJetAdminConcatenada!$B:$B=V$1), 0)), 1))),  0.5, 0))</f>
        <v>1</v>
      </c>
      <c r="W37" s="47">
        <f t="array" ref="W37">IF(AND(ISNUMBER(MATCH(W$2, AsistenciaJetAdminConcatenada!$A:$A, 0)), ISNUMBER(MATCH(W$1, AsistenciaJetAdminConcatenada!$B:$B, 0)), ISNUMBER(SEARCH($A37,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ISNUMBER(SEARCH($A37, INDEX(AsistenciaJetAdminConcatenada!$D:$D, MATCH(1, (AsistenciaJetAdminConcatenada!$A:$A=W$2)*(AsistenciaJetAdminConcatenada!$B:$B=W$1), 0)), 1))),  0.5, 0))</f>
        <v>1</v>
      </c>
      <c r="X37" s="47">
        <f t="array" ref="X37">IF(AND(ISNUMBER(MATCH(X$2, AsistenciaJetAdminConcatenada!$A:$A, 0)), ISNUMBER(MATCH(X$1, AsistenciaJetAdminConcatenada!$B:$B, 0)), ISNUMBER(SEARCH($A37,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ISNUMBER(SEARCH($A37, INDEX(AsistenciaJetAdminConcatenada!$D:$D, MATCH(1, (AsistenciaJetAdminConcatenada!$A:$A=X$2)*(AsistenciaJetAdminConcatenada!$B:$B=X$1), 0)), 1))),  0.5, 0))</f>
        <v>0</v>
      </c>
      <c r="Y37" s="47">
        <f t="array" ref="Y37">IF(AND(ISNUMBER(MATCH(Y$2, AsistenciaJetAdminConcatenada!$A:$A, 0)), ISNUMBER(MATCH(Y$1, AsistenciaJetAdminConcatenada!$B:$B, 0)), ISNUMBER(SEARCH($A37,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ISNUMBER(SEARCH($A37, INDEX(AsistenciaJetAdminConcatenada!$D:$D, MATCH(1, (AsistenciaJetAdminConcatenada!$A:$A=Y$2)*(AsistenciaJetAdminConcatenada!$B:$B=Y$1), 0)), 1))),  0.5, 0))</f>
        <v>0.5</v>
      </c>
      <c r="Z37" s="47">
        <f t="array" ref="Z37">IF(AND(ISNUMBER(MATCH(Z$2, AsistenciaJetAdminConcatenada!$A:$A, 0)), ISNUMBER(MATCH(Z$1, AsistenciaJetAdminConcatenada!$B:$B, 0)), ISNUMBER(SEARCH($A37,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ISNUMBER(SEARCH($A37, INDEX(AsistenciaJetAdminConcatenada!$D:$D, MATCH(1, (AsistenciaJetAdminConcatenada!$A:$A=Z$2)*(AsistenciaJetAdminConcatenada!$B:$B=Z$1), 0)), 1))),  0.5, 0))</f>
        <v>1</v>
      </c>
      <c r="AA37" s="47">
        <f t="array" ref="AA37">IF(AND(ISNUMBER(MATCH(AA$2, AsistenciaJetAdminConcatenada!$A:$A, 0)), ISNUMBER(MATCH(AA$1, AsistenciaJetAdminConcatenada!$B:$B, 0)), ISNUMBER(SEARCH($A37,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ISNUMBER(SEARCH($A37, INDEX(AsistenciaJetAdminConcatenada!$D:$D, MATCH(1, (AsistenciaJetAdminConcatenada!$A:$A=AA$2)*(AsistenciaJetAdminConcatenada!$B:$B=AA$1), 0)), 1))),  0.5, 0))</f>
        <v>1</v>
      </c>
      <c r="AB37" s="47">
        <f t="array" ref="AB37">IF(AND(ISNUMBER(MATCH(AB$2, AsistenciaJetAdminConcatenada!$A:$A, 0)), ISNUMBER(MATCH(AB$1, AsistenciaJetAdminConcatenada!$B:$B, 0)), ISNUMBER(SEARCH($A37,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ISNUMBER(SEARCH($A37, INDEX(AsistenciaJetAdminConcatenada!$D:$D, MATCH(1, (AsistenciaJetAdminConcatenada!$A:$A=AB$2)*(AsistenciaJetAdminConcatenada!$B:$B=AB$1), 0)), 1))),  0.5, 0))</f>
        <v>0</v>
      </c>
      <c r="AC37" s="47">
        <f t="array" ref="AC37">IF(AND(ISNUMBER(MATCH(AC$2, AsistenciaJetAdminConcatenada!$A:$A, 0)), ISNUMBER(MATCH(AC$1, AsistenciaJetAdminConcatenada!$B:$B, 0)), ISNUMBER(SEARCH($A37,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ISNUMBER(SEARCH($A37, INDEX(AsistenciaJetAdminConcatenada!$D:$D, MATCH(1, (AsistenciaJetAdminConcatenada!$A:$A=AC$2)*(AsistenciaJetAdminConcatenada!$B:$B=AC$1), 0)), 1))),  0.5, 0))</f>
        <v>1</v>
      </c>
      <c r="AD37" s="47">
        <f t="array" ref="AD37">IF(AND(ISNUMBER(MATCH(AD$2, AsistenciaJetAdminConcatenada!$A:$A, 0)), ISNUMBER(MATCH(AD$1, AsistenciaJetAdminConcatenada!$B:$B, 0)), ISNUMBER(SEARCH($A37,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ISNUMBER(SEARCH($A37, INDEX(AsistenciaJetAdminConcatenada!$D:$D, MATCH(1, (AsistenciaJetAdminConcatenada!$A:$A=AD$2)*(AsistenciaJetAdminConcatenada!$B:$B=AD$1), 0)), 1))),  0.5, 0))</f>
        <v>1</v>
      </c>
      <c r="AE37" s="47">
        <f t="array" ref="AE37">IF(AND(ISNUMBER(MATCH(AE$2, AsistenciaJetAdminConcatenada!$A:$A, 0)), ISNUMBER(MATCH(AE$1, AsistenciaJetAdminConcatenada!$B:$B, 0)), ISNUMBER(SEARCH($A37,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ISNUMBER(SEARCH($A37, INDEX(AsistenciaJetAdminConcatenada!$D:$D, MATCH(1, (AsistenciaJetAdminConcatenada!$A:$A=AE$2)*(AsistenciaJetAdminConcatenada!$B:$B=AE$1), 0)), 1))),  0.5, 0))</f>
        <v>0</v>
      </c>
      <c r="AF37" s="47">
        <f t="array" ref="AF37">IF(AND(ISNUMBER(MATCH(AF$2, AsistenciaJetAdminConcatenada!$A:$A, 0)), ISNUMBER(MATCH(AF$1, AsistenciaJetAdminConcatenada!$B:$B, 0)), ISNUMBER(SEARCH($A37,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ISNUMBER(SEARCH($A37, INDEX(AsistenciaJetAdminConcatenada!$D:$D, MATCH(1, (AsistenciaJetAdminConcatenada!$A:$A=AF$2)*(AsistenciaJetAdminConcatenada!$B:$B=AF$1), 0)), 1))),  0.5, 0))</f>
        <v>1</v>
      </c>
      <c r="AG37" s="47">
        <f t="array" ref="AG37">IF(AND(ISNUMBER(MATCH(AG$2, AsistenciaJetAdminConcatenada!$A:$A, 0)), ISNUMBER(MATCH(AG$1, AsistenciaJetAdminConcatenada!$B:$B, 0)), ISNUMBER(SEARCH($A37,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ISNUMBER(SEARCH($A37, INDEX(AsistenciaJetAdminConcatenada!$D:$D, MATCH(1, (AsistenciaJetAdminConcatenada!$A:$A=AG$2)*(AsistenciaJetAdminConcatenada!$B:$B=AG$1), 0)), 1))),  0.5, 0))</f>
        <v>1</v>
      </c>
      <c r="AH37" s="47">
        <f t="array" ref="AH37">IF(AND(ISNUMBER(MATCH(AH$2, AsistenciaJetAdminConcatenada!$A:$A, 0)), ISNUMBER(MATCH(AH$1, AsistenciaJetAdminConcatenada!$B:$B, 0)), ISNUMBER(SEARCH($A37,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ISNUMBER(SEARCH($A37, INDEX(AsistenciaJetAdminConcatenada!$D:$D, MATCH(1, (AsistenciaJetAdminConcatenada!$A:$A=AH$2)*(AsistenciaJetAdminConcatenada!$B:$B=AH$1), 0)), 1))),  0.5, 0))</f>
        <v>0</v>
      </c>
      <c r="AI37" s="47">
        <f t="array" ref="AI37">IF(AND(ISNUMBER(MATCH(AI$2, AsistenciaJetAdminConcatenada!$A:$A, 0)), ISNUMBER(MATCH(AI$1, AsistenciaJetAdminConcatenada!$B:$B, 0)), ISNUMBER(SEARCH($A37,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ISNUMBER(SEARCH($A37, INDEX(AsistenciaJetAdminConcatenada!$D:$D, MATCH(1, (AsistenciaJetAdminConcatenada!$A:$A=AI$2)*(AsistenciaJetAdminConcatenada!$B:$B=AI$1), 0)), 1))),  0.5, 0))</f>
        <v>1</v>
      </c>
      <c r="AJ37" s="47">
        <f t="array" ref="AJ37">IF(AND(ISNUMBER(MATCH(AJ$2, AsistenciaJetAdminConcatenada!$A:$A, 0)), ISNUMBER(MATCH(AJ$1, AsistenciaJetAdminConcatenada!$B:$B, 0)), ISNUMBER(SEARCH($A37,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ISNUMBER(SEARCH($A37, INDEX(AsistenciaJetAdminConcatenada!$D:$D, MATCH(1, (AsistenciaJetAdminConcatenada!$A:$A=AJ$2)*(AsistenciaJetAdminConcatenada!$B:$B=AJ$1), 0)), 1))),  0.5, 0))</f>
        <v>1</v>
      </c>
      <c r="AK37" s="47">
        <f t="array" ref="AK37">IF(AND(ISNUMBER(MATCH(AK$2, AsistenciaJetAdminConcatenada!$A:$A, 0)), ISNUMBER(MATCH(AK$1, AsistenciaJetAdminConcatenada!$B:$B, 0)), ISNUMBER(SEARCH($A37,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ISNUMBER(SEARCH($A37, INDEX(AsistenciaJetAdminConcatenada!$D:$D, MATCH(1, (AsistenciaJetAdminConcatenada!$A:$A=AK$2)*(AsistenciaJetAdminConcatenada!$B:$B=AK$1), 0)), 1))),  0.5, 0))</f>
        <v>0</v>
      </c>
      <c r="AL37" s="47">
        <f t="array" ref="AL37">IF(AND(ISNUMBER(MATCH(AL$2, AsistenciaJetAdminConcatenada!$A:$A, 0)), ISNUMBER(MATCH(AL$1, AsistenciaJetAdminConcatenada!$B:$B, 0)), ISNUMBER(SEARCH($A37,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ISNUMBER(SEARCH($A37, INDEX(AsistenciaJetAdminConcatenada!$D:$D, MATCH(1, (AsistenciaJetAdminConcatenada!$A:$A=AL$2)*(AsistenciaJetAdminConcatenada!$B:$B=AL$1), 0)), 1))),  0.5, 0))</f>
        <v>1</v>
      </c>
      <c r="AM37" s="47">
        <f t="array" ref="AM37">IF(AND(ISNUMBER(MATCH(AM$2, AsistenciaJetAdminConcatenada!$A:$A, 0)), ISNUMBER(MATCH(AM$1, AsistenciaJetAdminConcatenada!$B:$B, 0)), ISNUMBER(SEARCH($A37,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ISNUMBER(SEARCH($A37, INDEX(AsistenciaJetAdminConcatenada!$D:$D, MATCH(1, (AsistenciaJetAdminConcatenada!$A:$A=AM$2)*(AsistenciaJetAdminConcatenada!$B:$B=AM$1), 0)), 1))),  0.5, 0))</f>
        <v>0</v>
      </c>
      <c r="AN37" s="47">
        <f t="array" ref="AN37">IF(AND(ISNUMBER(MATCH(AN$2, AsistenciaJetAdminConcatenada!$A:$A, 0)), ISNUMBER(MATCH(AN$1, AsistenciaJetAdminConcatenada!$B:$B, 0)), ISNUMBER(SEARCH($A37,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ISNUMBER(SEARCH($A37, INDEX(AsistenciaJetAdminConcatenada!$D:$D, MATCH(1, (AsistenciaJetAdminConcatenada!$A:$A=AN$2)*(AsistenciaJetAdminConcatenada!$B:$B=AN$1), 0)), 1))),  0.5, 0))</f>
        <v>1</v>
      </c>
      <c r="AO37" s="47">
        <f t="array" ref="AO37">IF(AND(ISNUMBER(MATCH(AO$2, AsistenciaJetAdminConcatenada!$A:$A, 0)), ISNUMBER(MATCH(AO$1, AsistenciaJetAdminConcatenada!$B:$B, 0)), ISNUMBER(SEARCH($A37,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ISNUMBER(SEARCH($A37, INDEX(AsistenciaJetAdminConcatenada!$D:$D, MATCH(1, (AsistenciaJetAdminConcatenada!$A:$A=AO$2)*(AsistenciaJetAdminConcatenada!$B:$B=AO$1), 0)), 1))),  0.5, 0))</f>
        <v>0</v>
      </c>
      <c r="AP37" s="47">
        <f t="array" ref="AP37">IF(AND(ISNUMBER(MATCH(AP$2, AsistenciaJetAdminConcatenada!$A:$A, 0)), ISNUMBER(MATCH(AP$1, AsistenciaJetAdminConcatenada!$B:$B, 0)), ISNUMBER(SEARCH($A37,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ISNUMBER(SEARCH($A37, INDEX(AsistenciaJetAdminConcatenada!$D:$D, MATCH(1, (AsistenciaJetAdminConcatenada!$A:$A=AP$2)*(AsistenciaJetAdminConcatenada!$B:$B=AP$1), 0)), 1))),  0.5, 0))</f>
        <v>0</v>
      </c>
      <c r="AQ37" s="47">
        <f t="array" ref="AQ37">IF(AND(ISNUMBER(MATCH(AQ$2, AsistenciaJetAdminConcatenada!$A:$A, 0)), ISNUMBER(MATCH(AQ$1, AsistenciaJetAdminConcatenada!$B:$B, 0)), ISNUMBER(SEARCH($A37,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ISNUMBER(SEARCH($A37, INDEX(AsistenciaJetAdminConcatenada!$D:$D, MATCH(1, (AsistenciaJetAdminConcatenada!$A:$A=AQ$2)*(AsistenciaJetAdminConcatenada!$B:$B=AQ$1), 0)), 1))),  0.5, 0))</f>
        <v>0</v>
      </c>
      <c r="AR37" s="47">
        <f t="array" ref="AR37">IF(AND(ISNUMBER(MATCH(AR$2, AsistenciaJetAdminConcatenada!$A:$A, 0)), ISNUMBER(MATCH(AR$1, AsistenciaJetAdminConcatenada!$B:$B, 0)), ISNUMBER(SEARCH($A37,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ISNUMBER(SEARCH($A37, INDEX(AsistenciaJetAdminConcatenada!$D:$D, MATCH(1, (AsistenciaJetAdminConcatenada!$A:$A=AR$2)*(AsistenciaJetAdminConcatenada!$B:$B=AR$1), 0)), 1))),  0.5, 0))</f>
        <v>1</v>
      </c>
      <c r="AS37" s="47">
        <f t="array" ref="AS37">IF(AND(ISNUMBER(MATCH(AS$2, AsistenciaJetAdminConcatenada!$A:$A, 0)), ISNUMBER(MATCH(AS$1, AsistenciaJetAdminConcatenada!$B:$B, 0)), ISNUMBER(SEARCH($A37,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ISNUMBER(SEARCH($A37, INDEX(AsistenciaJetAdminConcatenada!$D:$D, MATCH(1, (AsistenciaJetAdminConcatenada!$A:$A=AS$2)*(AsistenciaJetAdminConcatenada!$B:$B=AS$1), 0)), 1))),  0.5, 0))</f>
        <v>1</v>
      </c>
      <c r="AT37" s="47">
        <f t="array" ref="AT37">IF(AND(ISNUMBER(MATCH(AT$2, AsistenciaJetAdminConcatenada!$A:$A, 0)), ISNUMBER(MATCH(AT$1, AsistenciaJetAdminConcatenada!$B:$B, 0)), ISNUMBER(SEARCH($A37,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ISNUMBER(SEARCH($A37, INDEX(AsistenciaJetAdminConcatenada!$D:$D, MATCH(1, (AsistenciaJetAdminConcatenada!$A:$A=AT$2)*(AsistenciaJetAdminConcatenada!$B:$B=AT$1), 0)), 1))),  0.5, 0))</f>
        <v>0</v>
      </c>
      <c r="AU37" s="47">
        <f t="array" ref="AU37">IF(AND(ISNUMBER(MATCH(AU$2, AsistenciaJetAdminConcatenada!$A:$A, 0)), ISNUMBER(MATCH(AU$1, AsistenciaJetAdminConcatenada!$B:$B, 0)), ISNUMBER(SEARCH($A37,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ISNUMBER(SEARCH($A37, INDEX(AsistenciaJetAdminConcatenada!$D:$D, MATCH(1, (AsistenciaJetAdminConcatenada!$A:$A=AU$2)*(AsistenciaJetAdminConcatenada!$B:$B=AU$1), 0)), 1))),  0.5, 0))</f>
        <v>1</v>
      </c>
      <c r="AV37" s="47">
        <f t="array" ref="AV37">IF(AND(ISNUMBER(MATCH(AV$2, AsistenciaJetAdminConcatenada!$A:$A, 0)), ISNUMBER(MATCH(AV$1, AsistenciaJetAdminConcatenada!$B:$B, 0)), ISNUMBER(SEARCH($A37,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ISNUMBER(SEARCH($A37, INDEX(AsistenciaJetAdminConcatenada!$D:$D, MATCH(1, (AsistenciaJetAdminConcatenada!$A:$A=AV$2)*(AsistenciaJetAdminConcatenada!$B:$B=AV$1), 0)), 1))),  0.5, 0))</f>
        <v>1</v>
      </c>
      <c r="AW37" s="47">
        <f t="array" ref="AW37">IF(AND(ISNUMBER(MATCH(AW$2, AsistenciaJetAdminConcatenada!$A:$A, 0)), ISNUMBER(MATCH(AW$1, AsistenciaJetAdminConcatenada!$B:$B, 0)), ISNUMBER(SEARCH($A37,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ISNUMBER(SEARCH($A37, INDEX(AsistenciaJetAdminConcatenada!$D:$D, MATCH(1, (AsistenciaJetAdminConcatenada!$A:$A=AW$2)*(AsistenciaJetAdminConcatenada!$B:$B=AW$1), 0)), 1))),  0.5, 0))</f>
        <v>0</v>
      </c>
      <c r="AX37" s="47">
        <f t="array" ref="AX37">IF(AND(ISNUMBER(MATCH(AX$2, AsistenciaJetAdminConcatenada!$A:$A, 0)), ISNUMBER(MATCH(AX$1, AsistenciaJetAdminConcatenada!$B:$B, 0)), ISNUMBER(SEARCH($A37,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ISNUMBER(SEARCH($A37, INDEX(AsistenciaJetAdminConcatenada!$D:$D, MATCH(1, (AsistenciaJetAdminConcatenada!$A:$A=AX$2)*(AsistenciaJetAdminConcatenada!$B:$B=AX$1), 0)), 1))),  0.5, 0))</f>
        <v>0</v>
      </c>
      <c r="AY37" s="47">
        <f t="array" ref="AY37">IF(AND(ISNUMBER(MATCH(AY$2, AsistenciaJetAdminConcatenada!$A:$A, 0)), ISNUMBER(MATCH(AY$1, AsistenciaJetAdminConcatenada!$B:$B, 0)), ISNUMBER(SEARCH($A37,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ISNUMBER(SEARCH($A37, INDEX(AsistenciaJetAdminConcatenada!$D:$D, MATCH(1, (AsistenciaJetAdminConcatenada!$A:$A=AY$2)*(AsistenciaJetAdminConcatenada!$B:$B=AY$1), 0)), 1))),  0.5, 0))</f>
        <v>1</v>
      </c>
      <c r="AZ37" s="47">
        <f t="array" ref="AZ37">IF(AND(ISNUMBER(MATCH(AZ$2, AsistenciaJetAdminConcatenada!$A:$A, 0)), ISNUMBER(MATCH(AZ$1, AsistenciaJetAdminConcatenada!$B:$B, 0)), ISNUMBER(SEARCH($A37,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ISNUMBER(SEARCH($A37, INDEX(AsistenciaJetAdminConcatenada!$D:$D, MATCH(1, (AsistenciaJetAdminConcatenada!$A:$A=AZ$2)*(AsistenciaJetAdminConcatenada!$B:$B=AZ$1), 0)), 1))),  0.5, 0))</f>
        <v>0</v>
      </c>
      <c r="BA37" s="47">
        <f t="array" ref="BA37">IF(AND(ISNUMBER(MATCH(BA$2, AsistenciaJetAdminConcatenada!$A:$A, 0)), ISNUMBER(MATCH(BA$1, AsistenciaJetAdminConcatenada!$B:$B, 0)), ISNUMBER(SEARCH($A37,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ISNUMBER(SEARCH($A37, INDEX(AsistenciaJetAdminConcatenada!$D:$D, MATCH(1, (AsistenciaJetAdminConcatenada!$A:$A=BA$2)*(AsistenciaJetAdminConcatenada!$B:$B=BA$1), 0)), 1))),  0.5, 0))</f>
        <v>0</v>
      </c>
      <c r="BB37" s="47">
        <f t="array" ref="BB37">IF(AND(ISNUMBER(MATCH(BB$2, AsistenciaJetAdminConcatenada!$A:$A, 0)), ISNUMBER(MATCH(BB$1, AsistenciaJetAdminConcatenada!$B:$B, 0)), ISNUMBER(SEARCH($A37,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ISNUMBER(SEARCH($A37, INDEX(AsistenciaJetAdminConcatenada!$D:$D, MATCH(1, (AsistenciaJetAdminConcatenada!$A:$A=BB$2)*(AsistenciaJetAdminConcatenada!$B:$B=BB$1), 0)), 1))),  0.5, 0))</f>
        <v>1</v>
      </c>
      <c r="BC37" s="47">
        <f t="array" ref="BC37">IF(AND(ISNUMBER(MATCH(BC$2, AsistenciaJetAdminConcatenada!$A:$A, 0)), ISNUMBER(MATCH(BC$1, AsistenciaJetAdminConcatenada!$B:$B, 0)), ISNUMBER(SEARCH($A37,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ISNUMBER(SEARCH($A37, INDEX(AsistenciaJetAdminConcatenada!$D:$D, MATCH(1, (AsistenciaJetAdminConcatenada!$A:$A=BC$2)*(AsistenciaJetAdminConcatenada!$B:$B=BC$1), 0)), 1))),  0.5, 0))</f>
        <v>1</v>
      </c>
      <c r="BD37" s="47">
        <f t="array" ref="BD37">IF(AND(ISNUMBER(MATCH(BD$2, AsistenciaJetAdminConcatenada!$A:$A, 0)), ISNUMBER(MATCH(BD$1, AsistenciaJetAdminConcatenada!$B:$B, 0)), ISNUMBER(SEARCH($A37,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ISNUMBER(SEARCH($A37, INDEX(AsistenciaJetAdminConcatenada!$D:$D, MATCH(1, (AsistenciaJetAdminConcatenada!$A:$A=BD$2)*(AsistenciaJetAdminConcatenada!$B:$B=BD$1), 0)), 1))),  0.5, 0))</f>
        <v>1</v>
      </c>
      <c r="BE37" s="47">
        <f t="array" ref="BE37">IF(AND(ISNUMBER(MATCH(BE$2, AsistenciaJetAdminConcatenada!$A:$A, 0)), ISNUMBER(MATCH(BE$1, AsistenciaJetAdminConcatenada!$B:$B, 0)), ISNUMBER(SEARCH($A37,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ISNUMBER(SEARCH($A37, INDEX(AsistenciaJetAdminConcatenada!$D:$D, MATCH(1, (AsistenciaJetAdminConcatenada!$A:$A=BE$2)*(AsistenciaJetAdminConcatenada!$B:$B=BE$1), 0)), 1))),  0.5, 0))</f>
        <v>1</v>
      </c>
      <c r="BF37" s="47">
        <f t="array" ref="BF37">IF(AND(ISNUMBER(MATCH(BF$2, AsistenciaJetAdminConcatenada!$A:$A, 0)), ISNUMBER(MATCH(BF$1, AsistenciaJetAdminConcatenada!$B:$B, 0)), ISNUMBER(SEARCH($A37,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ISNUMBER(SEARCH($A37, INDEX(AsistenciaJetAdminConcatenada!$D:$D, MATCH(1, (AsistenciaJetAdminConcatenada!$A:$A=BF$2)*(AsistenciaJetAdminConcatenada!$B:$B=BF$1), 0)), 1))),  0.5, 0))</f>
        <v>0.5</v>
      </c>
      <c r="BG37" s="47">
        <f t="array" ref="BG37">IF(AND(ISNUMBER(MATCH(BG$2, AsistenciaJetAdminConcatenada!$A:$A, 0)), ISNUMBER(MATCH(BG$1, AsistenciaJetAdminConcatenada!$B:$B, 0)), ISNUMBER(SEARCH($A37,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ISNUMBER(SEARCH($A37, INDEX(AsistenciaJetAdminConcatenada!$D:$D, MATCH(1, (AsistenciaJetAdminConcatenada!$A:$A=BG$2)*(AsistenciaJetAdminConcatenada!$B:$B=BG$1), 0)), 1))),  0.5, 0))</f>
        <v>0.5</v>
      </c>
      <c r="BH37" s="47">
        <f t="array" ref="BH37">IF(AND(ISNUMBER(MATCH(BH$2, AsistenciaJetAdminConcatenada!$A:$A, 0)), ISNUMBER(MATCH(BH$1, AsistenciaJetAdminConcatenada!$B:$B, 0)), ISNUMBER(SEARCH($A37,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ISNUMBER(SEARCH($A37, INDEX(AsistenciaJetAdminConcatenada!$D:$D, MATCH(1, (AsistenciaJetAdminConcatenada!$A:$A=BH$2)*(AsistenciaJetAdminConcatenada!$B:$B=BH$1), 0)), 1))),  0.5, 0))</f>
        <v>0</v>
      </c>
      <c r="BI37" s="47">
        <f t="array" ref="BI37">IF(AND(ISNUMBER(MATCH(BI$2, AsistenciaJetAdminConcatenada!$A:$A, 0)), ISNUMBER(MATCH(BI$1, AsistenciaJetAdminConcatenada!$B:$B, 0)), ISNUMBER(SEARCH($A37,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ISNUMBER(SEARCH($A37, INDEX(AsistenciaJetAdminConcatenada!$D:$D, MATCH(1, (AsistenciaJetAdminConcatenada!$A:$A=BI$2)*(AsistenciaJetAdminConcatenada!$B:$B=BI$1), 0)), 1))),  0.5, 0))</f>
        <v>1</v>
      </c>
      <c r="BJ37" s="47">
        <f t="array" ref="BJ37">IF(AND(ISNUMBER(MATCH(BJ$2, AsistenciaJetAdminConcatenada!$A:$A, 0)), ISNUMBER(MATCH(BJ$1, AsistenciaJetAdminConcatenada!$B:$B, 0)), ISNUMBER(SEARCH($A37,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ISNUMBER(SEARCH($A37, INDEX(AsistenciaJetAdminConcatenada!$D:$D, MATCH(1, (AsistenciaJetAdminConcatenada!$A:$A=BJ$2)*(AsistenciaJetAdminConcatenada!$B:$B=BJ$1), 0)), 1))),  0.5, 0))</f>
        <v>0</v>
      </c>
      <c r="BK37" s="47">
        <f t="array" ref="BK37">IF(AND(ISNUMBER(MATCH(BK$2, AsistenciaJetAdminConcatenada!$A:$A, 0)), ISNUMBER(MATCH(BK$1, AsistenciaJetAdminConcatenada!$B:$B, 0)), ISNUMBER(SEARCH($A37,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ISNUMBER(SEARCH($A37, INDEX(AsistenciaJetAdminConcatenada!$D:$D, MATCH(1, (AsistenciaJetAdminConcatenada!$A:$A=BK$2)*(AsistenciaJetAdminConcatenada!$B:$B=BK$1), 0)), 1))),  0.5, 0))</f>
        <v>1</v>
      </c>
      <c r="BL37" s="47">
        <f t="array" ref="BL37">IF(AND(ISNUMBER(MATCH(BL$2, AsistenciaJetAdminConcatenada!$A:$A, 0)), ISNUMBER(MATCH(BL$1, AsistenciaJetAdminConcatenada!$B:$B, 0)), ISNUMBER(SEARCH($A37,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ISNUMBER(SEARCH($A37, INDEX(AsistenciaJetAdminConcatenada!$D:$D, MATCH(1, (AsistenciaJetAdminConcatenada!$A:$A=BL$2)*(AsistenciaJetAdminConcatenada!$B:$B=BL$1), 0)), 1))),  0.5, 0))</f>
        <v>1</v>
      </c>
      <c r="BM37" s="47">
        <f t="array" ref="BM37">IF(AND(ISNUMBER(MATCH(BM$2, AsistenciaJetAdminConcatenada!$A:$A, 0)), ISNUMBER(MATCH(BM$1, AsistenciaJetAdminConcatenada!$B:$B, 0)), ISNUMBER(SEARCH($A37,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ISNUMBER(SEARCH($A37, INDEX(AsistenciaJetAdminConcatenada!$D:$D, MATCH(1, (AsistenciaJetAdminConcatenada!$A:$A=BM$2)*(AsistenciaJetAdminConcatenada!$B:$B=BM$1), 0)), 1))),  0.5, 0))</f>
        <v>1</v>
      </c>
      <c r="BN37" s="47">
        <f t="array" ref="BN37">IF(AND(ISNUMBER(MATCH(BN$2, AsistenciaJetAdminConcatenada!$A:$A, 0)), ISNUMBER(MATCH(BN$1, AsistenciaJetAdminConcatenada!$B:$B, 0)), ISNUMBER(SEARCH($A37,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ISNUMBER(SEARCH($A37, INDEX(AsistenciaJetAdminConcatenada!$D:$D, MATCH(1, (AsistenciaJetAdminConcatenada!$A:$A=BN$2)*(AsistenciaJetAdminConcatenada!$B:$B=BN$1), 0)), 1))),  0.5, 0))</f>
        <v>1</v>
      </c>
      <c r="BO37" s="47">
        <f t="array" ref="BO37">IF(AND(ISNUMBER(MATCH(BO$2, AsistenciaJetAdminConcatenada!$A:$A, 0)), ISNUMBER(MATCH(BO$1, AsistenciaJetAdminConcatenada!$B:$B, 0)), ISNUMBER(SEARCH($A37,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ISNUMBER(SEARCH($A37, INDEX(AsistenciaJetAdminConcatenada!$D:$D, MATCH(1, (AsistenciaJetAdminConcatenada!$A:$A=BO$2)*(AsistenciaJetAdminConcatenada!$B:$B=BO$1), 0)), 1))),  0.5, 0))</f>
        <v>0</v>
      </c>
      <c r="BP37" s="47">
        <f t="array" ref="BP37">IF(AND(ISNUMBER(MATCH(BP$2, AsistenciaJetAdminConcatenada!$A:$A, 0)), ISNUMBER(MATCH(BP$1, AsistenciaJetAdminConcatenada!$B:$B, 0)), ISNUMBER(SEARCH($A37,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ISNUMBER(SEARCH($A37, INDEX(AsistenciaJetAdminConcatenada!$D:$D, MATCH(1, (AsistenciaJetAdminConcatenada!$A:$A=BP$2)*(AsistenciaJetAdminConcatenada!$B:$B=BP$1), 0)), 1))),  0.5, 0))</f>
        <v>0</v>
      </c>
      <c r="BQ37" s="47">
        <f t="array" ref="BQ37">IF(AND(ISNUMBER(MATCH(BQ$2, AsistenciaJetAdminConcatenada!$A:$A, 0)), ISNUMBER(MATCH(BQ$1, AsistenciaJetAdminConcatenada!$B:$B, 0)), ISNUMBER(SEARCH($A37,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ISNUMBER(SEARCH($A37, INDEX(AsistenciaJetAdminConcatenada!$D:$D, MATCH(1, (AsistenciaJetAdminConcatenada!$A:$A=BQ$2)*(AsistenciaJetAdminConcatenada!$B:$B=BQ$1), 0)), 1))),  0.5, 0))</f>
        <v>0</v>
      </c>
      <c r="BR37" s="47">
        <f t="array" ref="BR37">IF(AND(ISNUMBER(MATCH(BR$2, AsistenciaJetAdminConcatenada!$A:$A, 0)), ISNUMBER(MATCH(BR$1, AsistenciaJetAdminConcatenada!$B:$B, 0)), ISNUMBER(SEARCH($A37,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ISNUMBER(SEARCH($A37, INDEX(AsistenciaJetAdminConcatenada!$D:$D, MATCH(1, (AsistenciaJetAdminConcatenada!$A:$A=BR$2)*(AsistenciaJetAdminConcatenada!$B:$B=BR$1), 0)), 1))),  0.5, 0))</f>
        <v>0</v>
      </c>
      <c r="BS37" s="47">
        <f t="array" ref="BS37">IF(AND(ISNUMBER(MATCH(BS$2, AsistenciaJetAdminConcatenada!$A:$A, 0)), ISNUMBER(MATCH(BS$1, AsistenciaJetAdminConcatenada!$B:$B, 0)), ISNUMBER(SEARCH($A37,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ISNUMBER(SEARCH($A37, INDEX(AsistenciaJetAdminConcatenada!$D:$D, MATCH(1, (AsistenciaJetAdminConcatenada!$A:$A=BS$2)*(AsistenciaJetAdminConcatenada!$B:$B=BS$1), 0)), 1))),  0.5, 0))</f>
        <v>0</v>
      </c>
      <c r="BT37" s="47">
        <f t="array" ref="BT37">IF(AND(ISNUMBER(MATCH(BT$2, AsistenciaJetAdminConcatenada!$A:$A, 0)), ISNUMBER(MATCH(BT$1, AsistenciaJetAdminConcatenada!$B:$B, 0)), ISNUMBER(SEARCH($A37,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ISNUMBER(SEARCH($A37, INDEX(AsistenciaJetAdminConcatenada!$D:$D, MATCH(1, (AsistenciaJetAdminConcatenada!$A:$A=BT$2)*(AsistenciaJetAdminConcatenada!$B:$B=BT$1), 0)), 1))),  0.5, 0))</f>
        <v>1</v>
      </c>
      <c r="BU37" s="47">
        <f t="array" ref="BU37">IF(AND(ISNUMBER(MATCH(BU$2, AsistenciaJetAdminConcatenada!$A:$A, 0)), ISNUMBER(MATCH(BU$1, AsistenciaJetAdminConcatenada!$B:$B, 0)), ISNUMBER(SEARCH($A37,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ISNUMBER(SEARCH($A37, INDEX(AsistenciaJetAdminConcatenada!$D:$D, MATCH(1, (AsistenciaJetAdminConcatenada!$A:$A=BU$2)*(AsistenciaJetAdminConcatenada!$B:$B=BU$1), 0)), 1))),  0.5, 0))</f>
        <v>0.5</v>
      </c>
      <c r="BV37" s="47">
        <f t="array" ref="BV37">IF(AND(ISNUMBER(MATCH(BV$2, AsistenciaJetAdminConcatenada!$A:$A, 0)), ISNUMBER(MATCH(BV$1, AsistenciaJetAdminConcatenada!$B:$B, 0)), ISNUMBER(SEARCH($A37,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ISNUMBER(SEARCH($A37, INDEX(AsistenciaJetAdminConcatenada!$D:$D, MATCH(1, (AsistenciaJetAdminConcatenada!$A:$A=BV$2)*(AsistenciaJetAdminConcatenada!$B:$B=BV$1), 0)), 1))),  0.5, 0))</f>
        <v>1</v>
      </c>
      <c r="BW37" s="47">
        <f t="array" ref="BW37">IF(AND(ISNUMBER(MATCH(BW$2, AsistenciaJetAdminConcatenada!$A:$A, 0)), ISNUMBER(MATCH(BW$1, AsistenciaJetAdminConcatenada!$B:$B, 0)), ISNUMBER(SEARCH($A37,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ISNUMBER(SEARCH($A37, INDEX(AsistenciaJetAdminConcatenada!$D:$D, MATCH(1, (AsistenciaJetAdminConcatenada!$A:$A=BW$2)*(AsistenciaJetAdminConcatenada!$B:$B=BW$1), 0)), 1))),  0.5, 0))</f>
        <v>0.5</v>
      </c>
      <c r="BX37" s="47">
        <f t="array" ref="BX37">IF(AND(ISNUMBER(MATCH(BX$2, AsistenciaJetAdminConcatenada!$A:$A, 0)), ISNUMBER(MATCH(BX$1, AsistenciaJetAdminConcatenada!$B:$B, 0)), ISNUMBER(SEARCH($A37,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ISNUMBER(SEARCH($A37, INDEX(AsistenciaJetAdminConcatenada!$D:$D, MATCH(1, (AsistenciaJetAdminConcatenada!$A:$A=BX$2)*(AsistenciaJetAdminConcatenada!$B:$B=BX$1), 0)), 1))),  0.5, 0))</f>
        <v>0</v>
      </c>
      <c r="BY37" s="47">
        <f t="array" ref="BY37">IF(AND(ISNUMBER(MATCH(BY$2, AsistenciaJetAdminConcatenada!$A:$A, 0)), ISNUMBER(MATCH(BY$1, AsistenciaJetAdminConcatenada!$B:$B, 0)), ISNUMBER(SEARCH($A37,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ISNUMBER(SEARCH($A37, INDEX(AsistenciaJetAdminConcatenada!$D:$D, MATCH(1, (AsistenciaJetAdminConcatenada!$A:$A=BY$2)*(AsistenciaJetAdminConcatenada!$B:$B=BY$1), 0)), 1))),  0.5, 0))</f>
        <v>0</v>
      </c>
      <c r="BZ37" s="47">
        <f t="array" ref="BZ37">IF(AND(ISNUMBER(MATCH(BZ$2, AsistenciaJetAdminConcatenada!$A:$A, 0)), ISNUMBER(MATCH(BZ$1, AsistenciaJetAdminConcatenada!$B:$B, 0)), ISNUMBER(SEARCH($A37,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ISNUMBER(SEARCH($A37, INDEX(AsistenciaJetAdminConcatenada!$D:$D, MATCH(1, (AsistenciaJetAdminConcatenada!$A:$A=BZ$2)*(AsistenciaJetAdminConcatenada!$B:$B=BZ$1), 0)), 1))),  0.5, 0))</f>
        <v>0</v>
      </c>
      <c r="CA37" s="47">
        <f t="array" ref="CA37">IF(AND(ISNUMBER(MATCH(CA$2, AsistenciaJetAdminConcatenada!$A:$A, 0)), ISNUMBER(MATCH(CA$1, AsistenciaJetAdminConcatenada!$B:$B, 0)), ISNUMBER(SEARCH($A37,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ISNUMBER(SEARCH($A37, INDEX(AsistenciaJetAdminConcatenada!$D:$D, MATCH(1, (AsistenciaJetAdminConcatenada!$A:$A=CA$2)*(AsistenciaJetAdminConcatenada!$B:$B=CA$1), 0)), 1))),  0.5, 0))</f>
        <v>1</v>
      </c>
      <c r="CB37" s="47">
        <f t="array" ref="CB37">IF(AND(ISNUMBER(MATCH(CB$2, AsistenciaJetAdminConcatenada!$A:$A, 0)), ISNUMBER(MATCH(CB$1, AsistenciaJetAdminConcatenada!$B:$B, 0)), ISNUMBER(SEARCH($A37,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ISNUMBER(SEARCH($A37, INDEX(AsistenciaJetAdminConcatenada!$D:$D, MATCH(1, (AsistenciaJetAdminConcatenada!$A:$A=CB$2)*(AsistenciaJetAdminConcatenada!$B:$B=CB$1), 0)), 1))),  0.5, 0))</f>
        <v>0.5</v>
      </c>
      <c r="CC37" s="47">
        <f t="array" ref="CC37">IF(AND(ISNUMBER(MATCH(CC$2, AsistenciaJetAdminConcatenada!$A:$A, 0)), ISNUMBER(MATCH(CC$1, AsistenciaJetAdminConcatenada!$B:$B, 0)), ISNUMBER(SEARCH($A37,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ISNUMBER(SEARCH($A37, INDEX(AsistenciaJetAdminConcatenada!$D:$D, MATCH(1, (AsistenciaJetAdminConcatenada!$A:$A=CC$2)*(AsistenciaJetAdminConcatenada!$B:$B=CC$1), 0)), 1))),  0.5, 0))</f>
        <v>0.5</v>
      </c>
      <c r="CD37" s="47">
        <f t="array" ref="CD37">IF(AND(ISNUMBER(MATCH(CD$2, AsistenciaJetAdminConcatenada!$A:$A, 0)), ISNUMBER(MATCH(CD$1, AsistenciaJetAdminConcatenada!$B:$B, 0)), ISNUMBER(SEARCH($A37,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ISNUMBER(SEARCH($A37, INDEX(AsistenciaJetAdminConcatenada!$D:$D, MATCH(1, (AsistenciaJetAdminConcatenada!$A:$A=CD$2)*(AsistenciaJetAdminConcatenada!$B:$B=CD$1), 0)), 1))),  0.5, 0))</f>
        <v>0</v>
      </c>
      <c r="CE37" s="47">
        <f t="array" ref="CE37">IF(AND(ISNUMBER(MATCH(CE$2, AsistenciaJetAdminConcatenada!$A:$A, 0)), ISNUMBER(MATCH(CE$1, AsistenciaJetAdminConcatenada!$B:$B, 0)), ISNUMBER(SEARCH($A37,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ISNUMBER(SEARCH($A37, INDEX(AsistenciaJetAdminConcatenada!$D:$D, MATCH(1, (AsistenciaJetAdminConcatenada!$A:$A=CE$2)*(AsistenciaJetAdminConcatenada!$B:$B=CE$1), 0)), 1))),  0.5, 0))</f>
        <v>0</v>
      </c>
      <c r="CF37" s="47">
        <f t="array" ref="CF37">IF(AND(ISNUMBER(MATCH(CF$2, AsistenciaJetAdminConcatenada!$A:$A, 0)), ISNUMBER(MATCH(CF$1, AsistenciaJetAdminConcatenada!$B:$B, 0)), ISNUMBER(SEARCH($A37,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ISNUMBER(SEARCH($A37, INDEX(AsistenciaJetAdminConcatenada!$D:$D, MATCH(1, (AsistenciaJetAdminConcatenada!$A:$A=CF$2)*(AsistenciaJetAdminConcatenada!$B:$B=CF$1), 0)), 1))),  0.5, 0))</f>
        <v>0.5</v>
      </c>
      <c r="CG37" s="47">
        <f t="array" ref="CG37">IF(AND(ISNUMBER(MATCH(CG$2, AsistenciaJetAdminConcatenada!$A:$A, 0)), ISNUMBER(MATCH(CG$1, AsistenciaJetAdminConcatenada!$B:$B, 0)), ISNUMBER(SEARCH($A37,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ISNUMBER(SEARCH($A37, INDEX(AsistenciaJetAdminConcatenada!$D:$D, MATCH(1, (AsistenciaJetAdminConcatenada!$A:$A=CG$2)*(AsistenciaJetAdminConcatenada!$B:$B=CG$1), 0)), 1))),  0.5, 0))</f>
        <v>1</v>
      </c>
      <c r="CH37" s="47">
        <f t="array" ref="CH37">IF(AND(ISNUMBER(MATCH(CH$2, AsistenciaJetAdminConcatenada!$A:$A, 0)), ISNUMBER(MATCH(CH$1, AsistenciaJetAdminConcatenada!$B:$B, 0)), ISNUMBER(SEARCH($A37,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ISNUMBER(SEARCH($A37, INDEX(AsistenciaJetAdminConcatenada!$D:$D, MATCH(1, (AsistenciaJetAdminConcatenada!$A:$A=CH$2)*(AsistenciaJetAdminConcatenada!$B:$B=CH$1), 0)), 1))),  0.5, 0))</f>
        <v>0.5</v>
      </c>
      <c r="CI37" s="47">
        <f t="array" ref="CI37">IF(AND(ISNUMBER(MATCH(CI$2, AsistenciaJetAdminConcatenada!$A:$A, 0)), ISNUMBER(MATCH(CI$1, AsistenciaJetAdminConcatenada!$B:$B, 0)), ISNUMBER(SEARCH($A37,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ISNUMBER(SEARCH($A37, INDEX(AsistenciaJetAdminConcatenada!$D:$D, MATCH(1, (AsistenciaJetAdminConcatenada!$A:$A=CI$2)*(AsistenciaJetAdminConcatenada!$B:$B=CI$1), 0)), 1))),  0.5, 0))</f>
        <v>0</v>
      </c>
      <c r="CJ37" s="47">
        <f t="array" ref="CJ37">IF(AND(ISNUMBER(MATCH(CJ$2, AsistenciaJetAdminConcatenada!$A:$A, 0)), ISNUMBER(MATCH(CJ$1, AsistenciaJetAdminConcatenada!$B:$B, 0)), ISNUMBER(SEARCH($A37,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ISNUMBER(SEARCH($A37, INDEX(AsistenciaJetAdminConcatenada!$D:$D, MATCH(1, (AsistenciaJetAdminConcatenada!$A:$A=CJ$2)*(AsistenciaJetAdminConcatenada!$B:$B=CJ$1), 0)), 1))),  0.5, 0))</f>
        <v>0</v>
      </c>
      <c r="CK37" s="47">
        <f t="array" ref="CK37">IF(AND(ISNUMBER(MATCH(CK$2, AsistenciaJetAdminConcatenada!$A:$A, 0)), ISNUMBER(MATCH(CK$1, AsistenciaJetAdminConcatenada!$B:$B, 0)), ISNUMBER(SEARCH($A37,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ISNUMBER(SEARCH($A37, INDEX(AsistenciaJetAdminConcatenada!$D:$D, MATCH(1, (AsistenciaJetAdminConcatenada!$A:$A=CK$2)*(AsistenciaJetAdminConcatenada!$B:$B=CK$1), 0)), 1))),  0.5, 0))</f>
        <v>1</v>
      </c>
      <c r="CL37" s="47">
        <f t="array" ref="CL37">IF(AND(ISNUMBER(MATCH(CL$2, AsistenciaJetAdminConcatenada!$A:$A, 0)), ISNUMBER(MATCH(CL$1, AsistenciaJetAdminConcatenada!$B:$B, 0)), ISNUMBER(SEARCH($A37,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ISNUMBER(SEARCH($A37, INDEX(AsistenciaJetAdminConcatenada!$D:$D, MATCH(1, (AsistenciaJetAdminConcatenada!$A:$A=CL$2)*(AsistenciaJetAdminConcatenada!$B:$B=CL$1), 0)), 1))),  0.5, 0))</f>
        <v>1</v>
      </c>
      <c r="CM37" s="47">
        <f t="array" ref="CM37">IF(AND(ISNUMBER(MATCH(CM$2, AsistenciaJetAdminConcatenada!$A:$A, 0)), ISNUMBER(MATCH(CM$1, AsistenciaJetAdminConcatenada!$B:$B, 0)), ISNUMBER(SEARCH($A37,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ISNUMBER(SEARCH($A37, INDEX(AsistenciaJetAdminConcatenada!$D:$D, MATCH(1, (AsistenciaJetAdminConcatenada!$A:$A=CM$2)*(AsistenciaJetAdminConcatenada!$B:$B=CM$1), 0)), 1))),  0.5, 0))</f>
        <v>0.5</v>
      </c>
      <c r="CN37" s="47">
        <f t="array" ref="CN37">IF(AND(ISNUMBER(MATCH(CN$2, AsistenciaJetAdminConcatenada!$A:$A, 0)), ISNUMBER(MATCH(CN$1, AsistenciaJetAdminConcatenada!$B:$B, 0)), ISNUMBER(SEARCH($A37,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ISNUMBER(SEARCH($A37, INDEX(AsistenciaJetAdminConcatenada!$D:$D, MATCH(1, (AsistenciaJetAdminConcatenada!$A:$A=CN$2)*(AsistenciaJetAdminConcatenada!$B:$B=CN$1), 0)), 1))),  0.5, 0))</f>
        <v>0</v>
      </c>
      <c r="CO37" s="47">
        <f t="array" ref="CO37">IF(AND(ISNUMBER(MATCH(CO$2, AsistenciaJetAdminConcatenada!$A:$A, 0)), ISNUMBER(MATCH(CO$1, AsistenciaJetAdminConcatenada!$B:$B, 0)), ISNUMBER(SEARCH($A37,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ISNUMBER(SEARCH($A37, INDEX(AsistenciaJetAdminConcatenada!$D:$D, MATCH(1, (AsistenciaJetAdminConcatenada!$A:$A=CO$2)*(AsistenciaJetAdminConcatenada!$B:$B=CO$1), 0)), 1))),  0.5, 0))</f>
        <v>0.5</v>
      </c>
      <c r="CP37" s="47">
        <f t="array" ref="CP37">IF(AND(ISNUMBER(MATCH(CP$2, AsistenciaJetAdminConcatenada!$A:$A, 0)), ISNUMBER(MATCH(CP$1, AsistenciaJetAdminConcatenada!$B:$B, 0)), ISNUMBER(SEARCH($A37,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ISNUMBER(SEARCH($A37, INDEX(AsistenciaJetAdminConcatenada!$D:$D, MATCH(1, (AsistenciaJetAdminConcatenada!$A:$A=CP$2)*(AsistenciaJetAdminConcatenada!$B:$B=CP$1), 0)), 1))),  0.5, 0))</f>
        <v>0</v>
      </c>
      <c r="CQ37" s="47">
        <f t="array" ref="CQ37">IF(AND(ISNUMBER(MATCH(CQ$2, AsistenciaJetAdminConcatenada!$A:$A, 0)), ISNUMBER(MATCH(CQ$1, AsistenciaJetAdminConcatenada!$B:$B, 0)), ISNUMBER(SEARCH($A37,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ISNUMBER(SEARCH($A37, INDEX(AsistenciaJetAdminConcatenada!$D:$D, MATCH(1, (AsistenciaJetAdminConcatenada!$A:$A=CQ$2)*(AsistenciaJetAdminConcatenada!$B:$B=CQ$1), 0)), 1))),  0.5, 0))</f>
        <v>0</v>
      </c>
      <c r="CR37" s="47">
        <f t="array" ref="CR37">IF(AND(ISNUMBER(MATCH(CR$2, AsistenciaJetAdminConcatenada!$A:$A, 0)), ISNUMBER(MATCH(CR$1, AsistenciaJetAdminConcatenada!$B:$B, 0)), ISNUMBER(SEARCH($A37,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ISNUMBER(SEARCH($A37, INDEX(AsistenciaJetAdminConcatenada!$D:$D, MATCH(1, (AsistenciaJetAdminConcatenada!$A:$A=CR$2)*(AsistenciaJetAdminConcatenada!$B:$B=CR$1), 0)), 1))),  0.5, 0))</f>
        <v>1</v>
      </c>
      <c r="CS37" s="47">
        <f t="array" ref="CS37">IF(AND(ISNUMBER(MATCH(CS$2, AsistenciaJetAdminConcatenada!$A:$A, 0)), ISNUMBER(MATCH(CS$1, AsistenciaJetAdminConcatenada!$B:$B, 0)), ISNUMBER(SEARCH($A37,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ISNUMBER(SEARCH($A37, INDEX(AsistenciaJetAdminConcatenada!$D:$D, MATCH(1, (AsistenciaJetAdminConcatenada!$A:$A=CS$2)*(AsistenciaJetAdminConcatenada!$B:$B=CS$1), 0)), 1))),  0.5, 0))</f>
        <v>0</v>
      </c>
      <c r="CT37" s="47">
        <f t="array" ref="CT37">IF(AND(ISNUMBER(MATCH(CT$2, AsistenciaJetAdminConcatenada!$A:$A, 0)), ISNUMBER(MATCH(CT$1, AsistenciaJetAdminConcatenada!$B:$B, 0)), ISNUMBER(SEARCH($A37,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ISNUMBER(SEARCH($A37, INDEX(AsistenciaJetAdminConcatenada!$D:$D, MATCH(1, (AsistenciaJetAdminConcatenada!$A:$A=CT$2)*(AsistenciaJetAdminConcatenada!$B:$B=CT$1), 0)), 1))),  0.5, 0))</f>
        <v>0</v>
      </c>
      <c r="CU37" s="47">
        <f t="array" ref="CU37">IF(AND(ISNUMBER(MATCH(CU$2, AsistenciaJetAdminConcatenada!$A:$A, 0)), ISNUMBER(MATCH(CU$1, AsistenciaJetAdminConcatenada!$B:$B, 0)), ISNUMBER(SEARCH($A37,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ISNUMBER(SEARCH($A37, INDEX(AsistenciaJetAdminConcatenada!$D:$D, MATCH(1, (AsistenciaJetAdminConcatenada!$A:$A=CU$2)*(AsistenciaJetAdminConcatenada!$B:$B=CU$1), 0)), 1))),  0.5, 0))</f>
        <v>0</v>
      </c>
      <c r="CV37" s="47">
        <f t="array" ref="CV37">IF(AND(ISNUMBER(MATCH(CV$2, AsistenciaJetAdminConcatenada!$A:$A, 0)), ISNUMBER(MATCH(CV$1, AsistenciaJetAdminConcatenada!$B:$B, 0)), ISNUMBER(SEARCH($A37,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ISNUMBER(SEARCH($A37, INDEX(AsistenciaJetAdminConcatenada!$D:$D, MATCH(1, (AsistenciaJetAdminConcatenada!$A:$A=CV$2)*(AsistenciaJetAdminConcatenada!$B:$B=CV$1), 0)), 1))),  0.5, 0))</f>
        <v>0</v>
      </c>
      <c r="CW37" s="47">
        <f t="array" ref="CW37">IF(AND(ISNUMBER(MATCH(CW$2, AsistenciaJetAdminConcatenada!$A:$A, 0)), ISNUMBER(MATCH(CW$1, AsistenciaJetAdminConcatenada!$B:$B, 0)), ISNUMBER(SEARCH($A37,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ISNUMBER(SEARCH($A37, INDEX(AsistenciaJetAdminConcatenada!$D:$D, MATCH(1, (AsistenciaJetAdminConcatenada!$A:$A=CW$2)*(AsistenciaJetAdminConcatenada!$B:$B=CW$1), 0)), 1))),  0.5, 0))</f>
        <v>0</v>
      </c>
      <c r="CX37" s="47">
        <f t="array" ref="CX37">IF(AND(ISNUMBER(MATCH(CX$2, AsistenciaJetAdminConcatenada!$A:$A, 0)), ISNUMBER(MATCH(CX$1, AsistenciaJetAdminConcatenada!$B:$B, 0)), ISNUMBER(SEARCH($A37,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ISNUMBER(SEARCH($A37, INDEX(AsistenciaJetAdminConcatenada!$D:$D, MATCH(1, (AsistenciaJetAdminConcatenada!$A:$A=CX$2)*(AsistenciaJetAdminConcatenada!$B:$B=CX$1), 0)), 1))),  0.5, 0))</f>
        <v>0</v>
      </c>
      <c r="CY37" s="47">
        <f t="array" ref="CY37">IF(AND(ISNUMBER(MATCH(CY$2, AsistenciaJetAdminConcatenada!$A:$A, 0)), ISNUMBER(MATCH(CY$1, AsistenciaJetAdminConcatenada!$B:$B, 0)), ISNUMBER(SEARCH($A37,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ISNUMBER(SEARCH($A37, INDEX(AsistenciaJetAdminConcatenada!$D:$D, MATCH(1, (AsistenciaJetAdminConcatenada!$A:$A=CY$2)*(AsistenciaJetAdminConcatenada!$B:$B=CY$1), 0)), 1))),  0.5, 0))</f>
        <v>0</v>
      </c>
      <c r="CZ37" s="47">
        <f t="array" ref="CZ37">IF(AND(ISNUMBER(MATCH(CZ$2, AsistenciaJetAdminConcatenada!$A:$A, 0)), ISNUMBER(MATCH(CZ$1, AsistenciaJetAdminConcatenada!$B:$B, 0)), ISNUMBER(SEARCH($A37,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ISNUMBER(SEARCH($A37, INDEX(AsistenciaJetAdminConcatenada!$D:$D, MATCH(1, (AsistenciaJetAdminConcatenada!$A:$A=CZ$2)*(AsistenciaJetAdminConcatenada!$B:$B=CZ$1), 0)), 1))),  0.5, 0))</f>
        <v>0</v>
      </c>
      <c r="DA37" s="47">
        <f t="array" ref="DA37">IF(AND(ISNUMBER(MATCH(DA$2, AsistenciaJetAdminConcatenada!$A:$A, 0)), ISNUMBER(MATCH(DA$1, AsistenciaJetAdminConcatenada!$B:$B, 0)), ISNUMBER(SEARCH($A37,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ISNUMBER(SEARCH($A37, INDEX(AsistenciaJetAdminConcatenada!$D:$D, MATCH(1, (AsistenciaJetAdminConcatenada!$A:$A=DA$2)*(AsistenciaJetAdminConcatenada!$B:$B=DA$1), 0)), 1))),  0.5, 0))</f>
        <v>0</v>
      </c>
      <c r="DB37" s="47">
        <f t="array" ref="DB37">IF(AND(ISNUMBER(MATCH(DB$2, AsistenciaJetAdminConcatenada!$A:$A, 0)), ISNUMBER(MATCH(DB$1, AsistenciaJetAdminConcatenada!$B:$B, 0)), ISNUMBER(SEARCH($A37,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ISNUMBER(SEARCH($A37, INDEX(AsistenciaJetAdminConcatenada!$D:$D, MATCH(1, (AsistenciaJetAdminConcatenada!$A:$A=DB$2)*(AsistenciaJetAdminConcatenada!$B:$B=DB$1), 0)), 1))),  0.5, 0))</f>
        <v>0</v>
      </c>
      <c r="DC37" s="47">
        <f t="array" ref="DC37">IF(AND(ISNUMBER(MATCH(DC$2, AsistenciaJetAdminConcatenada!$A:$A, 0)), ISNUMBER(MATCH(DC$1, AsistenciaJetAdminConcatenada!$B:$B, 0)), ISNUMBER(SEARCH($A37,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ISNUMBER(SEARCH($A37, INDEX(AsistenciaJetAdminConcatenada!$D:$D, MATCH(1, (AsistenciaJetAdminConcatenada!$A:$A=DC$2)*(AsistenciaJetAdminConcatenada!$B:$B=DC$1), 0)), 1))),  0.5, 0))</f>
        <v>0</v>
      </c>
      <c r="DD37" s="47">
        <f t="array" ref="DD37">IF(AND(ISNUMBER(MATCH(DD$2, AsistenciaJetAdminConcatenada!$A:$A, 0)), ISNUMBER(MATCH(DD$1, AsistenciaJetAdminConcatenada!$B:$B, 0)), ISNUMBER(SEARCH($A37,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ISNUMBER(SEARCH($A37, INDEX(AsistenciaJetAdminConcatenada!$D:$D, MATCH(1, (AsistenciaJetAdminConcatenada!$A:$A=DD$2)*(AsistenciaJetAdminConcatenada!$B:$B=DD$1), 0)), 1))),  0.5, 0))</f>
        <v>0</v>
      </c>
      <c r="DE37" s="47">
        <f t="array" ref="DE37">IF(AND(ISNUMBER(MATCH(DE$2, AsistenciaJetAdminConcatenada!$A:$A, 0)), ISNUMBER(MATCH(DE$1, AsistenciaJetAdminConcatenada!$B:$B, 0)), ISNUMBER(SEARCH($A37,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ISNUMBER(SEARCH($A37, INDEX(AsistenciaJetAdminConcatenada!$D:$D, MATCH(1, (AsistenciaJetAdminConcatenada!$A:$A=DE$2)*(AsistenciaJetAdminConcatenada!$B:$B=DE$1), 0)), 1))),  0.5, 0))</f>
        <v>0</v>
      </c>
      <c r="DF37" s="47">
        <f t="array" ref="DF37">IF(AND(ISNUMBER(MATCH(DF$2, AsistenciaJetAdminConcatenada!$A:$A, 0)), ISNUMBER(MATCH(DF$1, AsistenciaJetAdminConcatenada!$B:$B, 0)), ISNUMBER(SEARCH($A37,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ISNUMBER(SEARCH($A37, INDEX(AsistenciaJetAdminConcatenada!$D:$D, MATCH(1, (AsistenciaJetAdminConcatenada!$A:$A=DF$2)*(AsistenciaJetAdminConcatenada!$B:$B=DF$1), 0)), 1))),  0.5, 0))</f>
        <v>0</v>
      </c>
      <c r="DG37" s="47">
        <f t="array" ref="DG37">IF(AND(ISNUMBER(MATCH(DG$2, AsistenciaJetAdminConcatenada!$A:$A, 0)), ISNUMBER(MATCH(DG$1, AsistenciaJetAdminConcatenada!$B:$B, 0)), ISNUMBER(SEARCH($A37,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ISNUMBER(SEARCH($A37, INDEX(AsistenciaJetAdminConcatenada!$D:$D, MATCH(1, (AsistenciaJetAdminConcatenada!$A:$A=DG$2)*(AsistenciaJetAdminConcatenada!$B:$B=DG$1), 0)), 1))),  0.5, 0))</f>
        <v>0</v>
      </c>
      <c r="DH37" s="47">
        <f t="array" ref="DH37">IF(AND(ISNUMBER(MATCH(DH$2, AsistenciaJetAdminConcatenada!$A:$A, 0)), ISNUMBER(MATCH(DH$1, AsistenciaJetAdminConcatenada!$B:$B, 0)), ISNUMBER(SEARCH($A37,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ISNUMBER(SEARCH($A37, INDEX(AsistenciaJetAdminConcatenada!$D:$D, MATCH(1, (AsistenciaJetAdminConcatenada!$A:$A=DH$2)*(AsistenciaJetAdminConcatenada!$B:$B=DH$1), 0)), 1))),  0.5, 0))</f>
        <v>0</v>
      </c>
      <c r="DI37" s="47">
        <f t="array" ref="DI37">IF(AND(ISNUMBER(MATCH(DI$2, AsistenciaJetAdminConcatenada!$A:$A, 0)), ISNUMBER(MATCH(DI$1, AsistenciaJetAdminConcatenada!$B:$B, 0)), ISNUMBER(SEARCH($A37,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ISNUMBER(SEARCH($A37, INDEX(AsistenciaJetAdminConcatenada!$D:$D, MATCH(1, (AsistenciaJetAdminConcatenada!$A:$A=DI$2)*(AsistenciaJetAdminConcatenada!$B:$B=DI$1), 0)), 1))),  0.5, 0))</f>
        <v>0</v>
      </c>
      <c r="DJ37" s="47">
        <f t="array" ref="DJ37">IF(AND(ISNUMBER(MATCH(DJ$2, AsistenciaJetAdminConcatenada!$A:$A, 0)), ISNUMBER(MATCH(DJ$1, AsistenciaJetAdminConcatenada!$B:$B, 0)), ISNUMBER(SEARCH($A37,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ISNUMBER(SEARCH($A37, INDEX(AsistenciaJetAdminConcatenada!$D:$D, MATCH(1, (AsistenciaJetAdminConcatenada!$A:$A=DJ$2)*(AsistenciaJetAdminConcatenada!$B:$B=DJ$1), 0)), 1))),  0.5, 0))</f>
        <v>0</v>
      </c>
      <c r="DK37" s="47">
        <f t="array" ref="DK37">IF(AND(ISNUMBER(MATCH(DK$2, AsistenciaJetAdminConcatenada!$A:$A, 0)), ISNUMBER(MATCH(DK$1, AsistenciaJetAdminConcatenada!$B:$B, 0)), ISNUMBER(SEARCH($A37,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ISNUMBER(SEARCH($A37, INDEX(AsistenciaJetAdminConcatenada!$D:$D, MATCH(1, (AsistenciaJetAdminConcatenada!$A:$A=DK$2)*(AsistenciaJetAdminConcatenada!$B:$B=DK$1), 0)), 1))),  0.5, 0))</f>
        <v>0</v>
      </c>
      <c r="DL37" s="47">
        <f t="array" ref="DL37">IF(AND(ISNUMBER(MATCH(DL$2, AsistenciaJetAdminConcatenada!$A:$A, 0)), ISNUMBER(MATCH(DL$1, AsistenciaJetAdminConcatenada!$B:$B, 0)), ISNUMBER(SEARCH($A37,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ISNUMBER(SEARCH($A37, INDEX(AsistenciaJetAdminConcatenada!$D:$D, MATCH(1, (AsistenciaJetAdminConcatenada!$A:$A=DL$2)*(AsistenciaJetAdminConcatenada!$B:$B=DL$1), 0)), 1))),  0.5, 0))</f>
        <v>0</v>
      </c>
      <c r="DM37" s="47">
        <f t="array" ref="DM37">IF(AND(ISNUMBER(MATCH(DM$2, AsistenciaJetAdminConcatenada!$A:$A, 0)), ISNUMBER(MATCH(DM$1, AsistenciaJetAdminConcatenada!$B:$B, 0)), ISNUMBER(SEARCH($A37,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ISNUMBER(SEARCH($A37, INDEX(AsistenciaJetAdminConcatenada!$D:$D, MATCH(1, (AsistenciaJetAdminConcatenada!$A:$A=DM$2)*(AsistenciaJetAdminConcatenada!$B:$B=DM$1), 0)), 1))),  0.5, 0))</f>
        <v>0</v>
      </c>
      <c r="DN37" s="47">
        <f t="array" ref="DN37">IF(AND(ISNUMBER(MATCH(DN$2, AsistenciaJetAdminConcatenada!$A:$A, 0)), ISNUMBER(MATCH(DN$1, AsistenciaJetAdminConcatenada!$B:$B, 0)), ISNUMBER(SEARCH($A37,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ISNUMBER(SEARCH($A37, INDEX(AsistenciaJetAdminConcatenada!$D:$D, MATCH(1, (AsistenciaJetAdminConcatenada!$A:$A=DN$2)*(AsistenciaJetAdminConcatenada!$B:$B=DN$1), 0)), 1))),  0.5, 0))</f>
        <v>0</v>
      </c>
      <c r="DO37" s="47">
        <f t="array" ref="DO37">IF(AND(ISNUMBER(MATCH(DO$2, AsistenciaJetAdminConcatenada!$A:$A, 0)), ISNUMBER(MATCH(DO$1, AsistenciaJetAdminConcatenada!$B:$B, 0)), ISNUMBER(SEARCH($A37,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ISNUMBER(SEARCH($A37, INDEX(AsistenciaJetAdminConcatenada!$D:$D, MATCH(1, (AsistenciaJetAdminConcatenada!$A:$A=DO$2)*(AsistenciaJetAdminConcatenada!$B:$B=DO$1), 0)), 1))),  0.5, 0))</f>
        <v>0</v>
      </c>
      <c r="DP37" s="47">
        <f t="array" ref="DP37">IF(AND(ISNUMBER(MATCH(DP$2, AsistenciaJetAdminConcatenada!$A:$A, 0)), ISNUMBER(MATCH(DP$1, AsistenciaJetAdminConcatenada!$B:$B, 0)), ISNUMBER(SEARCH($A37,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ISNUMBER(SEARCH($A37, INDEX(AsistenciaJetAdminConcatenada!$D:$D, MATCH(1, (AsistenciaJetAdminConcatenada!$A:$A=DP$2)*(AsistenciaJetAdminConcatenada!$B:$B=DP$1), 0)), 1))),  0.5, 0))</f>
        <v>0</v>
      </c>
      <c r="DQ37" s="47">
        <f t="array" ref="DQ37">IF(AND(ISNUMBER(MATCH(DQ$2, AsistenciaJetAdminConcatenada!$A:$A, 0)), ISNUMBER(MATCH(DQ$1, AsistenciaJetAdminConcatenada!$B:$B, 0)), ISNUMBER(SEARCH($A37,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ISNUMBER(SEARCH($A37, INDEX(AsistenciaJetAdminConcatenada!$D:$D, MATCH(1, (AsistenciaJetAdminConcatenada!$A:$A=DQ$2)*(AsistenciaJetAdminConcatenada!$B:$B=DQ$1), 0)), 1))),  0.5, 0))</f>
        <v>0</v>
      </c>
      <c r="DR37" s="47">
        <f t="array" ref="DR37">IF(AND(ISNUMBER(MATCH(DR$2, AsistenciaJetAdminConcatenada!$A:$A, 0)), ISNUMBER(MATCH(DR$1, AsistenciaJetAdminConcatenada!$B:$B, 0)), ISNUMBER(SEARCH($A37,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ISNUMBER(SEARCH($A37, INDEX(AsistenciaJetAdminConcatenada!$D:$D, MATCH(1, (AsistenciaJetAdminConcatenada!$A:$A=DR$2)*(AsistenciaJetAdminConcatenada!$B:$B=DR$1), 0)), 1))),  0.5, 0))</f>
        <v>0</v>
      </c>
      <c r="DS37" s="47">
        <f t="array" ref="DS37">IF(AND(ISNUMBER(MATCH(DS$2, AsistenciaJetAdminConcatenada!$A:$A, 0)), ISNUMBER(MATCH(DS$1, AsistenciaJetAdminConcatenada!$B:$B, 0)), ISNUMBER(SEARCH($A37,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ISNUMBER(SEARCH($A37, INDEX(AsistenciaJetAdminConcatenada!$D:$D, MATCH(1, (AsistenciaJetAdminConcatenada!$A:$A=DS$2)*(AsistenciaJetAdminConcatenada!$B:$B=DS$1), 0)), 1))),  0.5, 0))</f>
        <v>0</v>
      </c>
      <c r="DT37" s="47">
        <f t="array" ref="DT37">IF(AND(ISNUMBER(MATCH(DT$2, AsistenciaJetAdminConcatenada!$A:$A, 0)), ISNUMBER(MATCH(DT$1, AsistenciaJetAdminConcatenada!$B:$B, 0)), ISNUMBER(SEARCH($A37,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ISNUMBER(SEARCH($A37, INDEX(AsistenciaJetAdminConcatenada!$D:$D, MATCH(1, (AsistenciaJetAdminConcatenada!$A:$A=DT$2)*(AsistenciaJetAdminConcatenada!$B:$B=DT$1), 0)), 1))),  0.5, 0))</f>
        <v>0</v>
      </c>
      <c r="DU37" s="47">
        <f t="array" ref="DU37">IF(AND(ISNUMBER(MATCH(DU$2, AsistenciaJetAdminConcatenada!$A:$A, 0)), ISNUMBER(MATCH(DU$1, AsistenciaJetAdminConcatenada!$B:$B, 0)), ISNUMBER(SEARCH($A37,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ISNUMBER(SEARCH($A37, INDEX(AsistenciaJetAdminConcatenada!$D:$D, MATCH(1, (AsistenciaJetAdminConcatenada!$A:$A=DU$2)*(AsistenciaJetAdminConcatenada!$B:$B=DU$1), 0)), 1))),  0.5, 0))</f>
        <v>0</v>
      </c>
      <c r="DV37" s="47">
        <f t="array" ref="DV37">IF(AND(ISNUMBER(MATCH(DV$2, AsistenciaJetAdminConcatenada!$A:$A, 0)), ISNUMBER(MATCH(DV$1, AsistenciaJetAdminConcatenada!$B:$B, 0)), ISNUMBER(SEARCH($A37,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ISNUMBER(SEARCH($A37, INDEX(AsistenciaJetAdminConcatenada!$D:$D, MATCH(1, (AsistenciaJetAdminConcatenada!$A:$A=DV$2)*(AsistenciaJetAdminConcatenada!$B:$B=DV$1), 0)), 1))),  0.5, 0))</f>
        <v>0</v>
      </c>
      <c r="DW37" s="47">
        <f t="array" ref="DW37">IF(AND(ISNUMBER(MATCH(DW$2, AsistenciaJetAdminConcatenada!$A:$A, 0)), ISNUMBER(MATCH(DW$1, AsistenciaJetAdminConcatenada!$B:$B, 0)), ISNUMBER(SEARCH($A37,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ISNUMBER(SEARCH($A37, INDEX(AsistenciaJetAdminConcatenada!$D:$D, MATCH(1, (AsistenciaJetAdminConcatenada!$A:$A=DW$2)*(AsistenciaJetAdminConcatenada!$B:$B=DW$1), 0)), 1))),  0.5, 0))</f>
        <v>0</v>
      </c>
      <c r="DX37" s="47">
        <f t="array" ref="DX37">IF(AND(ISNUMBER(MATCH(DX$2, AsistenciaJetAdminConcatenada!$A:$A, 0)), ISNUMBER(MATCH(DX$1, AsistenciaJetAdminConcatenada!$B:$B, 0)), ISNUMBER(SEARCH($A37,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ISNUMBER(SEARCH($A37, INDEX(AsistenciaJetAdminConcatenada!$D:$D, MATCH(1, (AsistenciaJetAdminConcatenada!$A:$A=DX$2)*(AsistenciaJetAdminConcatenada!$B:$B=DX$1), 0)), 1))),  0.5, 0))</f>
        <v>0</v>
      </c>
      <c r="DY37" s="47">
        <f t="array" ref="DY37">IF(AND(ISNUMBER(MATCH(DY$2, AsistenciaJetAdminConcatenada!$A:$A, 0)), ISNUMBER(MATCH(DY$1, AsistenciaJetAdminConcatenada!$B:$B, 0)), ISNUMBER(SEARCH($A37,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ISNUMBER(SEARCH($A37, INDEX(AsistenciaJetAdminConcatenada!$D:$D, MATCH(1, (AsistenciaJetAdminConcatenada!$A:$A=DY$2)*(AsistenciaJetAdminConcatenada!$B:$B=DY$1), 0)), 1))),  0.5, 0))</f>
        <v>0</v>
      </c>
      <c r="DZ37" s="47">
        <f t="array" ref="DZ37">IF(AND(ISNUMBER(MATCH(DZ$2, AsistenciaJetAdminConcatenada!$A:$A, 0)), ISNUMBER(MATCH(DZ$1, AsistenciaJetAdminConcatenada!$B:$B, 0)), ISNUMBER(SEARCH($A37,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ISNUMBER(SEARCH($A37, INDEX(AsistenciaJetAdminConcatenada!$D:$D, MATCH(1, (AsistenciaJetAdminConcatenada!$A:$A=DZ$2)*(AsistenciaJetAdminConcatenada!$B:$B=DZ$1), 0)), 1))),  0.5, 0))</f>
        <v>0</v>
      </c>
      <c r="EA37" s="47">
        <f t="array" ref="EA37">IF(AND(ISNUMBER(MATCH(EA$2, AsistenciaJetAdminConcatenada!$A:$A, 0)), ISNUMBER(MATCH(EA$1, AsistenciaJetAdminConcatenada!$B:$B, 0)), ISNUMBER(SEARCH($A37,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ISNUMBER(SEARCH($A37, INDEX(AsistenciaJetAdminConcatenada!$D:$D, MATCH(1, (AsistenciaJetAdminConcatenada!$A:$A=EA$2)*(AsistenciaJetAdminConcatenada!$B:$B=EA$1), 0)), 1))),  0.5, 0))</f>
        <v>0</v>
      </c>
      <c r="EB37" s="47">
        <f t="array" ref="EB37">IF(AND(ISNUMBER(MATCH(EB$2, AsistenciaJetAdminConcatenada!$A:$A, 0)), ISNUMBER(MATCH(EB$1, AsistenciaJetAdminConcatenada!$B:$B, 0)), ISNUMBER(SEARCH($A37,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ISNUMBER(SEARCH($A37, INDEX(AsistenciaJetAdminConcatenada!$D:$D, MATCH(1, (AsistenciaJetAdminConcatenada!$A:$A=EB$2)*(AsistenciaJetAdminConcatenada!$B:$B=EB$1), 0)), 1))),  0.5, 0))</f>
        <v>0</v>
      </c>
      <c r="EC37" s="47">
        <f t="array" ref="EC37">IF(AND(ISNUMBER(MATCH(EC$2, AsistenciaJetAdminConcatenada!$A:$A, 0)), ISNUMBER(MATCH(EC$1, AsistenciaJetAdminConcatenada!$B:$B, 0)), ISNUMBER(SEARCH($A37,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ISNUMBER(SEARCH($A37, INDEX(AsistenciaJetAdminConcatenada!$D:$D, MATCH(1, (AsistenciaJetAdminConcatenada!$A:$A=EC$2)*(AsistenciaJetAdminConcatenada!$B:$B=EC$1), 0)), 1))),  0.5, 0))</f>
        <v>0</v>
      </c>
      <c r="ED37" s="47">
        <f t="array" ref="ED37">IF(AND(ISNUMBER(MATCH(ED$2, AsistenciaJetAdminConcatenada!$A:$A, 0)), ISNUMBER(MATCH(ED$1, AsistenciaJetAdminConcatenada!$B:$B, 0)), ISNUMBER(SEARCH($A37,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ISNUMBER(SEARCH($A37, INDEX(AsistenciaJetAdminConcatenada!$D:$D, MATCH(1, (AsistenciaJetAdminConcatenada!$A:$A=ED$2)*(AsistenciaJetAdminConcatenada!$B:$B=ED$1), 0)), 1))),  0.5, 0))</f>
        <v>0</v>
      </c>
      <c r="EE37" s="47">
        <f t="array" ref="EE37">IF(AND(ISNUMBER(MATCH(EE$2, AsistenciaJetAdminConcatenada!$A:$A, 0)), ISNUMBER(MATCH(EE$1, AsistenciaJetAdminConcatenada!$B:$B, 0)), ISNUMBER(SEARCH($A37,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ISNUMBER(SEARCH($A37, INDEX(AsistenciaJetAdminConcatenada!$D:$D, MATCH(1, (AsistenciaJetAdminConcatenada!$A:$A=EE$2)*(AsistenciaJetAdminConcatenada!$B:$B=EE$1), 0)), 1))),  0.5, 0))</f>
        <v>0</v>
      </c>
      <c r="EF37" s="47">
        <f t="array" ref="EF37">IF(AND(ISNUMBER(MATCH(EF$2, AsistenciaJetAdminConcatenada!$A:$A, 0)), ISNUMBER(MATCH(EF$1, AsistenciaJetAdminConcatenada!$B:$B, 0)), ISNUMBER(SEARCH($A37,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ISNUMBER(SEARCH($A37, INDEX(AsistenciaJetAdminConcatenada!$D:$D, MATCH(1, (AsistenciaJetAdminConcatenada!$A:$A=EF$2)*(AsistenciaJetAdminConcatenada!$B:$B=EF$1), 0)), 1))),  0.5, 0))</f>
        <v>0</v>
      </c>
      <c r="EG37" s="47">
        <f t="array" ref="EG37">IF(AND(ISNUMBER(MATCH(EG$2, AsistenciaJetAdminConcatenada!$A:$A, 0)), ISNUMBER(MATCH(EG$1, AsistenciaJetAdminConcatenada!$B:$B, 0)), ISNUMBER(SEARCH($A37,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ISNUMBER(SEARCH($A37, INDEX(AsistenciaJetAdminConcatenada!$D:$D, MATCH(1, (AsistenciaJetAdminConcatenada!$A:$A=EG$2)*(AsistenciaJetAdminConcatenada!$B:$B=EG$1), 0)), 1))),  0.5, 0))</f>
        <v>0</v>
      </c>
      <c r="EH37" s="47">
        <f t="array" ref="EH37">IF(AND(ISNUMBER(MATCH(EH$2, AsistenciaJetAdminConcatenada!$A:$A, 0)), ISNUMBER(MATCH(EH$1, AsistenciaJetAdminConcatenada!$B:$B, 0)), ISNUMBER(SEARCH($A37,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ISNUMBER(SEARCH($A37, INDEX(AsistenciaJetAdminConcatenada!$D:$D, MATCH(1, (AsistenciaJetAdminConcatenada!$A:$A=EH$2)*(AsistenciaJetAdminConcatenada!$B:$B=EH$1), 0)), 1))),  0.5, 0))</f>
        <v>0</v>
      </c>
      <c r="EI37" s="47">
        <f t="array" ref="EI37">IF(AND(ISNUMBER(MATCH(EI$2, AsistenciaJetAdminConcatenada!$A:$A, 0)), ISNUMBER(MATCH(EI$1, AsistenciaJetAdminConcatenada!$B:$B, 0)), ISNUMBER(SEARCH($A37,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ISNUMBER(SEARCH($A37, INDEX(AsistenciaJetAdminConcatenada!$D:$D, MATCH(1, (AsistenciaJetAdminConcatenada!$A:$A=EI$2)*(AsistenciaJetAdminConcatenada!$B:$B=EI$1), 0)), 1))),  0.5, 0))</f>
        <v>0</v>
      </c>
      <c r="EJ37" s="47">
        <f t="array" ref="EJ37">IF(AND(ISNUMBER(MATCH(EJ$2, AsistenciaJetAdminConcatenada!$A:$A, 0)), ISNUMBER(MATCH(EJ$1, AsistenciaJetAdminConcatenada!$B:$B, 0)), ISNUMBER(SEARCH($A37,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ISNUMBER(SEARCH($A37, INDEX(AsistenciaJetAdminConcatenada!$D:$D, MATCH(1, (AsistenciaJetAdminConcatenada!$A:$A=EJ$2)*(AsistenciaJetAdminConcatenada!$B:$B=EJ$1), 0)), 1))),  0.5, 0))</f>
        <v>0</v>
      </c>
      <c r="EK37" s="47">
        <f t="array" ref="EK37">IF(AND(ISNUMBER(MATCH(EK$2, AsistenciaJetAdminConcatenada!$A:$A, 0)), ISNUMBER(MATCH(EK$1, AsistenciaJetAdminConcatenada!$B:$B, 0)), ISNUMBER(SEARCH($A37,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ISNUMBER(SEARCH($A37, INDEX(AsistenciaJetAdminConcatenada!$D:$D, MATCH(1, (AsistenciaJetAdminConcatenada!$A:$A=EK$2)*(AsistenciaJetAdminConcatenada!$B:$B=EK$1), 0)), 1))),  0.5, 0))</f>
        <v>0</v>
      </c>
      <c r="EL37" s="47">
        <f t="array" ref="EL37">IF(AND(ISNUMBER(MATCH(EL$2, AsistenciaJetAdminConcatenada!$A:$A, 0)), ISNUMBER(MATCH(EL$1, AsistenciaJetAdminConcatenada!$B:$B, 0)), ISNUMBER(SEARCH($A37,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ISNUMBER(SEARCH($A37, INDEX(AsistenciaJetAdminConcatenada!$D:$D, MATCH(1, (AsistenciaJetAdminConcatenada!$A:$A=EL$2)*(AsistenciaJetAdminConcatenada!$B:$B=EL$1), 0)), 1))),  0.5, 0))</f>
        <v>0</v>
      </c>
      <c r="EM37" s="47">
        <f t="array" ref="EM37">IF(AND(ISNUMBER(MATCH(EM$2, AsistenciaJetAdminConcatenada!$A:$A, 0)), ISNUMBER(MATCH(EM$1, AsistenciaJetAdminConcatenada!$B:$B, 0)), ISNUMBER(SEARCH($A37,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ISNUMBER(SEARCH($A37, INDEX(AsistenciaJetAdminConcatenada!$D:$D, MATCH(1, (AsistenciaJetAdminConcatenada!$A:$A=EM$2)*(AsistenciaJetAdminConcatenada!$B:$B=EM$1), 0)), 1))),  0.5, 0))</f>
        <v>0</v>
      </c>
      <c r="EN37" s="47">
        <f t="array" ref="EN37">IF(AND(ISNUMBER(MATCH(EN$2, AsistenciaJetAdminConcatenada!$A:$A, 0)), ISNUMBER(MATCH(EN$1, AsistenciaJetAdminConcatenada!$B:$B, 0)), ISNUMBER(SEARCH($A37,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ISNUMBER(SEARCH($A37, INDEX(AsistenciaJetAdminConcatenada!$D:$D, MATCH(1, (AsistenciaJetAdminConcatenada!$A:$A=EN$2)*(AsistenciaJetAdminConcatenada!$B:$B=EN$1), 0)), 1))),  0.5, 0))</f>
        <v>0</v>
      </c>
      <c r="EO37" s="47">
        <f t="array" ref="EO37">IF(AND(ISNUMBER(MATCH(EO$2, AsistenciaJetAdminConcatenada!$A:$A, 0)), ISNUMBER(MATCH(EO$1, AsistenciaJetAdminConcatenada!$B:$B, 0)), ISNUMBER(SEARCH($A37,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ISNUMBER(SEARCH($A37, INDEX(AsistenciaJetAdminConcatenada!$D:$D, MATCH(1, (AsistenciaJetAdminConcatenada!$A:$A=EO$2)*(AsistenciaJetAdminConcatenada!$B:$B=EO$1), 0)), 1))),  0.5, 0))</f>
        <v>0</v>
      </c>
      <c r="EP37" s="47">
        <f t="array" ref="EP37">IF(AND(ISNUMBER(MATCH(EP$2, AsistenciaJetAdminConcatenada!$A:$A, 0)), ISNUMBER(MATCH(EP$1, AsistenciaJetAdminConcatenada!$B:$B, 0)), ISNUMBER(SEARCH($A37,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ISNUMBER(SEARCH($A37, INDEX(AsistenciaJetAdminConcatenada!$D:$D, MATCH(1, (AsistenciaJetAdminConcatenada!$A:$A=EP$2)*(AsistenciaJetAdminConcatenada!$B:$B=EP$1), 0)), 1))),  0.5, 0))</f>
        <v>0</v>
      </c>
      <c r="EQ37" s="47">
        <f t="array" ref="EQ37">IF(AND(ISNUMBER(MATCH(EQ$2, AsistenciaJetAdminConcatenada!$A:$A, 0)), ISNUMBER(MATCH(EQ$1, AsistenciaJetAdminConcatenada!$B:$B, 0)), ISNUMBER(SEARCH($A37,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ISNUMBER(SEARCH($A37, INDEX(AsistenciaJetAdminConcatenada!$D:$D, MATCH(1, (AsistenciaJetAdminConcatenada!$A:$A=EQ$2)*(AsistenciaJetAdminConcatenada!$B:$B=EQ$1), 0)), 1))),  0.5, 0))</f>
        <v>0</v>
      </c>
      <c r="ER37" s="47">
        <f t="array" ref="ER37">IF(AND(ISNUMBER(MATCH(ER$2, AsistenciaJetAdminConcatenada!$A:$A, 0)), ISNUMBER(MATCH(ER$1, AsistenciaJetAdminConcatenada!$B:$B, 0)), ISNUMBER(SEARCH($A37,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ISNUMBER(SEARCH($A37, INDEX(AsistenciaJetAdminConcatenada!$D:$D, MATCH(1, (AsistenciaJetAdminConcatenada!$A:$A=ER$2)*(AsistenciaJetAdminConcatenada!$B:$B=ER$1), 0)), 1))),  0.5, 0))</f>
        <v>0</v>
      </c>
      <c r="ES37" s="47">
        <f t="array" ref="ES37">IF(AND(ISNUMBER(MATCH(ES$2, AsistenciaJetAdminConcatenada!$A:$A, 0)), ISNUMBER(MATCH(ES$1, AsistenciaJetAdminConcatenada!$B:$B, 0)), ISNUMBER(SEARCH($A37,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ISNUMBER(SEARCH($A37, INDEX(AsistenciaJetAdminConcatenada!$D:$D, MATCH(1, (AsistenciaJetAdminConcatenada!$A:$A=ES$2)*(AsistenciaJetAdminConcatenada!$B:$B=ES$1), 0)), 1))),  0.5, 0))</f>
        <v>0</v>
      </c>
      <c r="ET37" s="47">
        <f t="array" ref="ET37">IF(AND(ISNUMBER(MATCH(ET$2, AsistenciaJetAdminConcatenada!$A:$A, 0)), ISNUMBER(MATCH(ET$1, AsistenciaJetAdminConcatenada!$B:$B, 0)), ISNUMBER(SEARCH($A37,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ISNUMBER(SEARCH($A37, INDEX(AsistenciaJetAdminConcatenada!$D:$D, MATCH(1, (AsistenciaJetAdminConcatenada!$A:$A=ET$2)*(AsistenciaJetAdminConcatenada!$B:$B=ET$1), 0)), 1))),  0.5, 0))</f>
        <v>0</v>
      </c>
      <c r="EU37" s="47">
        <f t="array" ref="EU37">IF(AND(ISNUMBER(MATCH(EU$2, AsistenciaJetAdminConcatenada!$A:$A, 0)), ISNUMBER(MATCH(EU$1, AsistenciaJetAdminConcatenada!$B:$B, 0)), ISNUMBER(SEARCH($A37,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ISNUMBER(SEARCH($A37, INDEX(AsistenciaJetAdminConcatenada!$D:$D, MATCH(1, (AsistenciaJetAdminConcatenada!$A:$A=EU$2)*(AsistenciaJetAdminConcatenada!$B:$B=EU$1), 0)), 1))),  0.5, 0))</f>
        <v>0</v>
      </c>
      <c r="EV37" s="47">
        <f t="array" ref="EV37">IF(AND(ISNUMBER(MATCH(EV$2, AsistenciaJetAdminConcatenada!$A:$A, 0)), ISNUMBER(MATCH(EV$1, AsistenciaJetAdminConcatenada!$B:$B, 0)), ISNUMBER(SEARCH($A37,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ISNUMBER(SEARCH($A37, INDEX(AsistenciaJetAdminConcatenada!$D:$D, MATCH(1, (AsistenciaJetAdminConcatenada!$A:$A=EV$2)*(AsistenciaJetAdminConcatenada!$B:$B=EV$1), 0)), 1))),  0.5, 0))</f>
        <v>0</v>
      </c>
      <c r="EW37" s="47">
        <f t="array" ref="EW37">IF(AND(ISNUMBER(MATCH(EW$2, AsistenciaJetAdminConcatenada!$A:$A, 0)), ISNUMBER(MATCH(EW$1, AsistenciaJetAdminConcatenada!$B:$B, 0)), ISNUMBER(SEARCH($A37,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ISNUMBER(SEARCH($A37, INDEX(AsistenciaJetAdminConcatenada!$D:$D, MATCH(1, (AsistenciaJetAdminConcatenada!$A:$A=EW$2)*(AsistenciaJetAdminConcatenada!$B:$B=EW$1), 0)), 1))),  0.5, 0))</f>
        <v>0</v>
      </c>
      <c r="EX37" s="47">
        <f t="array" ref="EX37">IF(AND(ISNUMBER(MATCH(EX$2, AsistenciaJetAdminConcatenada!$A:$A, 0)), ISNUMBER(MATCH(EX$1, AsistenciaJetAdminConcatenada!$B:$B, 0)), ISNUMBER(SEARCH($A37,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ISNUMBER(SEARCH($A37, INDEX(AsistenciaJetAdminConcatenada!$D:$D, MATCH(1, (AsistenciaJetAdminConcatenada!$A:$A=EX$2)*(AsistenciaJetAdminConcatenada!$B:$B=EX$1), 0)), 1))),  0.5, 0))</f>
        <v>0</v>
      </c>
      <c r="EY37" s="47">
        <f t="array" ref="EY37">IF(AND(ISNUMBER(MATCH(EY$2, AsistenciaJetAdminConcatenada!$A:$A, 0)), ISNUMBER(MATCH(EY$1, AsistenciaJetAdminConcatenada!$B:$B, 0)), ISNUMBER(SEARCH($A37,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ISNUMBER(SEARCH($A37, INDEX(AsistenciaJetAdminConcatenada!$D:$D, MATCH(1, (AsistenciaJetAdminConcatenada!$A:$A=EY$2)*(AsistenciaJetAdminConcatenada!$B:$B=EY$1), 0)), 1))),  0.5, 0))</f>
        <v>0</v>
      </c>
      <c r="EZ37" s="47">
        <f t="array" ref="EZ37">IF(AND(ISNUMBER(MATCH(EZ$2, AsistenciaJetAdminConcatenada!$A:$A, 0)), ISNUMBER(MATCH(EZ$1, AsistenciaJetAdminConcatenada!$B:$B, 0)), ISNUMBER(SEARCH($A37,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ISNUMBER(SEARCH($A37, INDEX(AsistenciaJetAdminConcatenada!$D:$D, MATCH(1, (AsistenciaJetAdminConcatenada!$A:$A=EZ$2)*(AsistenciaJetAdminConcatenada!$B:$B=EZ$1), 0)), 1))),  0.5, 0))</f>
        <v>0</v>
      </c>
      <c r="FA37" s="47">
        <f t="array" ref="FA37">IF(AND(ISNUMBER(MATCH(FA$2, AsistenciaJetAdminConcatenada!$A:$A, 0)), ISNUMBER(MATCH(FA$1, AsistenciaJetAdminConcatenada!$B:$B, 0)), ISNUMBER(SEARCH($A37,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ISNUMBER(SEARCH($A37, INDEX(AsistenciaJetAdminConcatenada!$D:$D, MATCH(1, (AsistenciaJetAdminConcatenada!$A:$A=FA$2)*(AsistenciaJetAdminConcatenada!$B:$B=FA$1), 0)), 1))),  0.5, 0))</f>
        <v>0</v>
      </c>
      <c r="FB37" s="47">
        <f t="array" ref="FB37">IF(AND(ISNUMBER(MATCH(FB$2, AsistenciaJetAdminConcatenada!$A:$A, 0)), ISNUMBER(MATCH(FB$1, AsistenciaJetAdminConcatenada!$B:$B, 0)), ISNUMBER(SEARCH($A37,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ISNUMBER(SEARCH($A37, INDEX(AsistenciaJetAdminConcatenada!$D:$D, MATCH(1, (AsistenciaJetAdminConcatenada!$A:$A=FB$2)*(AsistenciaJetAdminConcatenada!$B:$B=FB$1), 0)), 1))),  0.5, 0))</f>
        <v>0</v>
      </c>
      <c r="FC37" s="47">
        <f t="array" ref="FC37">IF(AND(ISNUMBER(MATCH(FC$2, AsistenciaJetAdminConcatenada!$A:$A, 0)), ISNUMBER(MATCH(FC$1, AsistenciaJetAdminConcatenada!$B:$B, 0)), ISNUMBER(SEARCH($A37,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ISNUMBER(SEARCH($A37, INDEX(AsistenciaJetAdminConcatenada!$D:$D, MATCH(1, (AsistenciaJetAdminConcatenada!$A:$A=FC$2)*(AsistenciaJetAdminConcatenada!$B:$B=FC$1), 0)), 1))),  0.5, 0))</f>
        <v>0</v>
      </c>
      <c r="FD37" s="47">
        <f t="array" ref="FD37">IF(AND(ISNUMBER(MATCH(FD$2, AsistenciaJetAdminConcatenada!$A:$A, 0)), ISNUMBER(MATCH(FD$1, AsistenciaJetAdminConcatenada!$B:$B, 0)), ISNUMBER(SEARCH($A37,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ISNUMBER(SEARCH($A37, INDEX(AsistenciaJetAdminConcatenada!$D:$D, MATCH(1, (AsistenciaJetAdminConcatenada!$A:$A=FD$2)*(AsistenciaJetAdminConcatenada!$B:$B=FD$1), 0)), 1))),  0.5, 0))</f>
        <v>0</v>
      </c>
      <c r="FE37" s="47">
        <f t="array" ref="FE37">IF(AND(ISNUMBER(MATCH(FE$2, AsistenciaJetAdminConcatenada!$A:$A, 0)), ISNUMBER(MATCH(FE$1, AsistenciaJetAdminConcatenada!$B:$B, 0)), ISNUMBER(SEARCH($A37,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ISNUMBER(SEARCH($A37, INDEX(AsistenciaJetAdminConcatenada!$D:$D, MATCH(1, (AsistenciaJetAdminConcatenada!$A:$A=FE$2)*(AsistenciaJetAdminConcatenada!$B:$B=FE$1), 0)), 1))),  0.5, 0))</f>
        <v>0</v>
      </c>
      <c r="FF37" s="47">
        <f t="array" ref="FF37">IF(AND(ISNUMBER(MATCH(FF$2, AsistenciaJetAdminConcatenada!$A:$A, 0)), ISNUMBER(MATCH(FF$1, AsistenciaJetAdminConcatenada!$B:$B, 0)), ISNUMBER(SEARCH($A37,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ISNUMBER(SEARCH($A37, INDEX(AsistenciaJetAdminConcatenada!$D:$D, MATCH(1, (AsistenciaJetAdminConcatenada!$A:$A=FF$2)*(AsistenciaJetAdminConcatenada!$B:$B=FF$1), 0)), 1))),  0.5, 0))</f>
        <v>0</v>
      </c>
      <c r="FG37" s="47">
        <f t="array" ref="FG37">IF(AND(ISNUMBER(MATCH(FG$2, AsistenciaJetAdminConcatenada!$A:$A, 0)), ISNUMBER(MATCH(FG$1, AsistenciaJetAdminConcatenada!$B:$B, 0)), ISNUMBER(SEARCH($A37,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ISNUMBER(SEARCH($A37, INDEX(AsistenciaJetAdminConcatenada!$D:$D, MATCH(1, (AsistenciaJetAdminConcatenada!$A:$A=FG$2)*(AsistenciaJetAdminConcatenada!$B:$B=FG$1), 0)), 1))),  0.5, 0))</f>
        <v>0</v>
      </c>
      <c r="FH37" s="47">
        <f t="array" ref="FH37">IF(AND(ISNUMBER(MATCH(FH$2, AsistenciaJetAdminConcatenada!$A:$A, 0)), ISNUMBER(MATCH(FH$1, AsistenciaJetAdminConcatenada!$B:$B, 0)), ISNUMBER(SEARCH($A37,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ISNUMBER(SEARCH($A37, INDEX(AsistenciaJetAdminConcatenada!$D:$D, MATCH(1, (AsistenciaJetAdminConcatenada!$A:$A=FH$2)*(AsistenciaJetAdminConcatenada!$B:$B=FH$1), 0)), 1))),  0.5, 0))</f>
        <v>0</v>
      </c>
      <c r="FI37" s="47">
        <f t="array" ref="FI37">IF(AND(ISNUMBER(MATCH(FI$2, AsistenciaJetAdminConcatenada!$A:$A, 0)), ISNUMBER(MATCH(FI$1, AsistenciaJetAdminConcatenada!$B:$B, 0)), ISNUMBER(SEARCH($A37,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ISNUMBER(SEARCH($A37, INDEX(AsistenciaJetAdminConcatenada!$D:$D, MATCH(1, (AsistenciaJetAdminConcatenada!$A:$A=FI$2)*(AsistenciaJetAdminConcatenada!$B:$B=FI$1), 0)), 1))),  0.5, 0))</f>
        <v>0</v>
      </c>
      <c r="FJ37" s="47">
        <f t="array" ref="FJ37">IF(AND(ISNUMBER(MATCH(FJ$2, AsistenciaJetAdminConcatenada!$A:$A, 0)), ISNUMBER(MATCH(FJ$1, AsistenciaJetAdminConcatenada!$B:$B, 0)), ISNUMBER(SEARCH($A37,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ISNUMBER(SEARCH($A37, INDEX(AsistenciaJetAdminConcatenada!$D:$D, MATCH(1, (AsistenciaJetAdminConcatenada!$A:$A=FJ$2)*(AsistenciaJetAdminConcatenada!$B:$B=FJ$1), 0)), 1))),  0.5, 0))</f>
        <v>0</v>
      </c>
      <c r="FK37" s="47">
        <f t="array" ref="FK37">IF(AND(ISNUMBER(MATCH(FK$2, AsistenciaJetAdminConcatenada!$A:$A, 0)), ISNUMBER(MATCH(FK$1, AsistenciaJetAdminConcatenada!$B:$B, 0)), ISNUMBER(SEARCH($A37,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ISNUMBER(SEARCH($A37, INDEX(AsistenciaJetAdminConcatenada!$D:$D, MATCH(1, (AsistenciaJetAdminConcatenada!$A:$A=FK$2)*(AsistenciaJetAdminConcatenada!$B:$B=FK$1), 0)), 1))),  0.5, 0))</f>
        <v>0</v>
      </c>
      <c r="FL37" s="47">
        <f t="array" ref="FL37">IF(AND(ISNUMBER(MATCH(FL$2, AsistenciaJetAdminConcatenada!$A:$A, 0)), ISNUMBER(MATCH(FL$1, AsistenciaJetAdminConcatenada!$B:$B, 0)), ISNUMBER(SEARCH($A37,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ISNUMBER(SEARCH($A37, INDEX(AsistenciaJetAdminConcatenada!$D:$D, MATCH(1, (AsistenciaJetAdminConcatenada!$A:$A=FL$2)*(AsistenciaJetAdminConcatenada!$B:$B=FL$1), 0)), 1))),  0.5, 0))</f>
        <v>0</v>
      </c>
      <c r="FM37" s="47">
        <f t="array" ref="FM37">IF(AND(ISNUMBER(MATCH(FM$2, AsistenciaJetAdminConcatenada!$A:$A, 0)), ISNUMBER(MATCH(FM$1, AsistenciaJetAdminConcatenada!$B:$B, 0)), ISNUMBER(SEARCH($A37,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ISNUMBER(SEARCH($A37, INDEX(AsistenciaJetAdminConcatenada!$D:$D, MATCH(1, (AsistenciaJetAdminConcatenada!$A:$A=FM$2)*(AsistenciaJetAdminConcatenada!$B:$B=FM$1), 0)), 1))),  0.5, 0))</f>
        <v>0</v>
      </c>
      <c r="FN37" s="47">
        <f t="array" ref="FN37">IF(AND(ISNUMBER(MATCH(FN$2, AsistenciaJetAdminConcatenada!$A:$A, 0)), ISNUMBER(MATCH(FN$1, AsistenciaJetAdminConcatenada!$B:$B, 0)), ISNUMBER(SEARCH($A37,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ISNUMBER(SEARCH($A37, INDEX(AsistenciaJetAdminConcatenada!$D:$D, MATCH(1, (AsistenciaJetAdminConcatenada!$A:$A=FN$2)*(AsistenciaJetAdminConcatenada!$B:$B=FN$1), 0)), 1))),  0.5, 0))</f>
        <v>0</v>
      </c>
      <c r="FO37" s="47">
        <f t="array" ref="FO37">IF(AND(ISNUMBER(MATCH(FO$2, AsistenciaJetAdminConcatenada!$A:$A, 0)), ISNUMBER(MATCH(FO$1, AsistenciaJetAdminConcatenada!$B:$B, 0)), ISNUMBER(SEARCH($A37,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ISNUMBER(SEARCH($A37, INDEX(AsistenciaJetAdminConcatenada!$D:$D, MATCH(1, (AsistenciaJetAdminConcatenada!$A:$A=FO$2)*(AsistenciaJetAdminConcatenada!$B:$B=FO$1), 0)), 1))),  0.5, 0))</f>
        <v>0</v>
      </c>
      <c r="FP37" s="47">
        <f t="array" ref="FP37">IF(AND(ISNUMBER(MATCH(FP$2, AsistenciaJetAdminConcatenada!$A:$A, 0)), ISNUMBER(MATCH(FP$1, AsistenciaJetAdminConcatenada!$B:$B, 0)), ISNUMBER(SEARCH($A37,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ISNUMBER(SEARCH($A37, INDEX(AsistenciaJetAdminConcatenada!$D:$D, MATCH(1, (AsistenciaJetAdminConcatenada!$A:$A=FP$2)*(AsistenciaJetAdminConcatenada!$B:$B=FP$1), 0)), 1))),  0.5, 0))</f>
        <v>0</v>
      </c>
      <c r="FQ37" s="47">
        <f t="array" ref="FQ37">IF(AND(ISNUMBER(MATCH(FQ$2, AsistenciaJetAdminConcatenada!$A:$A, 0)), ISNUMBER(MATCH(FQ$1, AsistenciaJetAdminConcatenada!$B:$B, 0)), ISNUMBER(SEARCH($A37,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ISNUMBER(SEARCH($A37, INDEX(AsistenciaJetAdminConcatenada!$D:$D, MATCH(1, (AsistenciaJetAdminConcatenada!$A:$A=FQ$2)*(AsistenciaJetAdminConcatenada!$B:$B=FQ$1), 0)), 1))),  0.5, 0))</f>
        <v>0</v>
      </c>
      <c r="FR37" s="47">
        <f t="array" ref="FR37">IF(AND(ISNUMBER(MATCH(FR$2, AsistenciaJetAdminConcatenada!$A:$A, 0)), ISNUMBER(MATCH(FR$1, AsistenciaJetAdminConcatenada!$B:$B, 0)), ISNUMBER(SEARCH($A37,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ISNUMBER(SEARCH($A37, INDEX(AsistenciaJetAdminConcatenada!$D:$D, MATCH(1, (AsistenciaJetAdminConcatenada!$A:$A=FR$2)*(AsistenciaJetAdminConcatenada!$B:$B=FR$1), 0)), 1))),  0.5, 0))</f>
        <v>0</v>
      </c>
      <c r="FS37" s="47">
        <f t="array" ref="FS37">IF(AND(ISNUMBER(MATCH(FS$2, AsistenciaJetAdminConcatenada!$A:$A, 0)), ISNUMBER(MATCH(FS$1, AsistenciaJetAdminConcatenada!$B:$B, 0)), ISNUMBER(SEARCH($A37,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ISNUMBER(SEARCH($A37, INDEX(AsistenciaJetAdminConcatenada!$D:$D, MATCH(1, (AsistenciaJetAdminConcatenada!$A:$A=FS$2)*(AsistenciaJetAdminConcatenada!$B:$B=FS$1), 0)), 1))),  0.5, 0))</f>
        <v>0</v>
      </c>
      <c r="FT37" s="47">
        <f t="array" ref="FT37">IF(AND(ISNUMBER(MATCH(FT$2, AsistenciaJetAdminConcatenada!$A:$A, 0)), ISNUMBER(MATCH(FT$1, AsistenciaJetAdminConcatenada!$B:$B, 0)), ISNUMBER(SEARCH($A37,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ISNUMBER(SEARCH($A37, INDEX(AsistenciaJetAdminConcatenada!$D:$D, MATCH(1, (AsistenciaJetAdminConcatenada!$A:$A=FT$2)*(AsistenciaJetAdminConcatenada!$B:$B=FT$1), 0)), 1))),  0.5, 0))</f>
        <v>0</v>
      </c>
      <c r="FU37" s="47">
        <f t="array" ref="FU37">IF(AND(ISNUMBER(MATCH(FU$2, AsistenciaJetAdminConcatenada!$A:$A, 0)), ISNUMBER(MATCH(FU$1, AsistenciaJetAdminConcatenada!$B:$B, 0)), ISNUMBER(SEARCH($A37,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ISNUMBER(SEARCH($A37, INDEX(AsistenciaJetAdminConcatenada!$D:$D, MATCH(1, (AsistenciaJetAdminConcatenada!$A:$A=FU$2)*(AsistenciaJetAdminConcatenada!$B:$B=FU$1), 0)), 1))),  0.5, 0))</f>
        <v>0</v>
      </c>
      <c r="FV37" s="47">
        <f t="array" ref="FV37">IF(AND(ISNUMBER(MATCH(FV$2, AsistenciaJetAdminConcatenada!$A:$A, 0)), ISNUMBER(MATCH(FV$1, AsistenciaJetAdminConcatenada!$B:$B, 0)), ISNUMBER(SEARCH($A37,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ISNUMBER(SEARCH($A37, INDEX(AsistenciaJetAdminConcatenada!$D:$D, MATCH(1, (AsistenciaJetAdminConcatenada!$A:$A=FV$2)*(AsistenciaJetAdminConcatenada!$B:$B=FV$1), 0)), 1))),  0.5, 0))</f>
        <v>0</v>
      </c>
      <c r="FW37" s="47">
        <f t="array" ref="FW37">IF(AND(ISNUMBER(MATCH(FW$2, AsistenciaJetAdminConcatenada!$A:$A, 0)), ISNUMBER(MATCH(FW$1, AsistenciaJetAdminConcatenada!$B:$B, 0)), ISNUMBER(SEARCH($A37,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ISNUMBER(SEARCH($A37, INDEX(AsistenciaJetAdminConcatenada!$D:$D, MATCH(1, (AsistenciaJetAdminConcatenada!$A:$A=FW$2)*(AsistenciaJetAdminConcatenada!$B:$B=FW$1), 0)), 1))),  0.5, 0))</f>
        <v>0</v>
      </c>
      <c r="FX37" s="47">
        <f t="array" ref="FX37">IF(AND(ISNUMBER(MATCH(FX$2, AsistenciaJetAdminConcatenada!$A:$A, 0)), ISNUMBER(MATCH(FX$1, AsistenciaJetAdminConcatenada!$B:$B, 0)), ISNUMBER(SEARCH($A37,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ISNUMBER(SEARCH($A37, INDEX(AsistenciaJetAdminConcatenada!$D:$D, MATCH(1, (AsistenciaJetAdminConcatenada!$A:$A=FX$2)*(AsistenciaJetAdminConcatenada!$B:$B=FX$1), 0)), 1))),  0.5, 0))</f>
        <v>0</v>
      </c>
      <c r="FY37" s="47">
        <f t="array" ref="FY37">IF(AND(ISNUMBER(MATCH(FY$2, AsistenciaJetAdminConcatenada!$A:$A, 0)), ISNUMBER(MATCH(FY$1, AsistenciaJetAdminConcatenada!$B:$B, 0)), ISNUMBER(SEARCH($A37,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ISNUMBER(SEARCH($A37, INDEX(AsistenciaJetAdminConcatenada!$D:$D, MATCH(1, (AsistenciaJetAdminConcatenada!$A:$A=FY$2)*(AsistenciaJetAdminConcatenada!$B:$B=FY$1), 0)), 1))),  0.5, 0))</f>
        <v>0</v>
      </c>
      <c r="FZ37" s="47">
        <f t="array" ref="FZ37">IF(AND(ISNUMBER(MATCH(FZ$2, AsistenciaJetAdminConcatenada!$A:$A, 0)), ISNUMBER(MATCH(FZ$1, AsistenciaJetAdminConcatenada!$B:$B, 0)), ISNUMBER(SEARCH($A37,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ISNUMBER(SEARCH($A37, INDEX(AsistenciaJetAdminConcatenada!$D:$D, MATCH(1, (AsistenciaJetAdminConcatenada!$A:$A=FZ$2)*(AsistenciaJetAdminConcatenada!$B:$B=FZ$1), 0)), 1))),  0.5, 0))</f>
        <v>0</v>
      </c>
      <c r="GA37" s="47">
        <f t="array" ref="GA37">IF(AND(ISNUMBER(MATCH(GA$2, AsistenciaJetAdminConcatenada!$A:$A, 0)), ISNUMBER(MATCH(GA$1, AsistenciaJetAdminConcatenada!$B:$B, 0)), ISNUMBER(SEARCH($A37,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ISNUMBER(SEARCH($A37, INDEX(AsistenciaJetAdminConcatenada!$D:$D, MATCH(1, (AsistenciaJetAdminConcatenada!$A:$A=GA$2)*(AsistenciaJetAdminConcatenada!$B:$B=GA$1), 0)), 1))),  0.5, 0))</f>
        <v>0</v>
      </c>
      <c r="GB37" s="47">
        <f t="array" ref="GB37">IF(AND(ISNUMBER(MATCH(GB$2, AsistenciaJetAdminConcatenada!$A:$A, 0)), ISNUMBER(MATCH(GB$1, AsistenciaJetAdminConcatenada!$B:$B, 0)), ISNUMBER(SEARCH($A37,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ISNUMBER(SEARCH($A37, INDEX(AsistenciaJetAdminConcatenada!$D:$D, MATCH(1, (AsistenciaJetAdminConcatenada!$A:$A=GB$2)*(AsistenciaJetAdminConcatenada!$B:$B=GB$1), 0)), 1))),  0.5, 0))</f>
        <v>0</v>
      </c>
      <c r="GC37" s="47">
        <f t="array" ref="GC37">IF(AND(ISNUMBER(MATCH(GC$2, AsistenciaJetAdminConcatenada!$A:$A, 0)), ISNUMBER(MATCH(GC$1, AsistenciaJetAdminConcatenada!$B:$B, 0)), ISNUMBER(SEARCH($A37,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ISNUMBER(SEARCH($A37, INDEX(AsistenciaJetAdminConcatenada!$D:$D, MATCH(1, (AsistenciaJetAdminConcatenada!$A:$A=GC$2)*(AsistenciaJetAdminConcatenada!$B:$B=GC$1), 0)), 1))),  0.5, 0))</f>
        <v>0</v>
      </c>
      <c r="GD37" s="47">
        <f t="array" ref="GD37">IF(AND(ISNUMBER(MATCH(GD$2, AsistenciaJetAdminConcatenada!$A:$A, 0)), ISNUMBER(MATCH(GD$1, AsistenciaJetAdminConcatenada!$B:$B, 0)), ISNUMBER(SEARCH($A37,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ISNUMBER(SEARCH($A37, INDEX(AsistenciaJetAdminConcatenada!$D:$D, MATCH(1, (AsistenciaJetAdminConcatenada!$A:$A=GD$2)*(AsistenciaJetAdminConcatenada!$B:$B=GD$1), 0)), 1))),  0.5, 0))</f>
        <v>0</v>
      </c>
      <c r="GE37" s="47">
        <f t="array" ref="GE37">IF(AND(ISNUMBER(MATCH(GE$2, AsistenciaJetAdminConcatenada!$A:$A, 0)), ISNUMBER(MATCH(GE$1, AsistenciaJetAdminConcatenada!$B:$B, 0)), ISNUMBER(SEARCH($A37,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ISNUMBER(SEARCH($A37, INDEX(AsistenciaJetAdminConcatenada!$D:$D, MATCH(1, (AsistenciaJetAdminConcatenada!$A:$A=GE$2)*(AsistenciaJetAdminConcatenada!$B:$B=GE$1), 0)), 1))),  0.5, 0))</f>
        <v>0</v>
      </c>
      <c r="GF37" s="47">
        <f t="array" ref="GF37">IF(AND(ISNUMBER(MATCH(GF$2, AsistenciaJetAdminConcatenada!$A:$A, 0)), ISNUMBER(MATCH(GF$1, AsistenciaJetAdminConcatenada!$B:$B, 0)), ISNUMBER(SEARCH($A37,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ISNUMBER(SEARCH($A37, INDEX(AsistenciaJetAdminConcatenada!$D:$D, MATCH(1, (AsistenciaJetAdminConcatenada!$A:$A=GF$2)*(AsistenciaJetAdminConcatenada!$B:$B=GF$1), 0)), 1))),  0.5, 0))</f>
        <v>0</v>
      </c>
      <c r="GG37" s="47">
        <f t="array" ref="GG37">IF(AND(ISNUMBER(MATCH(GG$2, AsistenciaJetAdminConcatenada!$A:$A, 0)), ISNUMBER(MATCH(GG$1, AsistenciaJetAdminConcatenada!$B:$B, 0)), ISNUMBER(SEARCH($A37,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ISNUMBER(SEARCH($A37, INDEX(AsistenciaJetAdminConcatenada!$D:$D, MATCH(1, (AsistenciaJetAdminConcatenada!$A:$A=GG$2)*(AsistenciaJetAdminConcatenada!$B:$B=GG$1), 0)), 1))),  0.5, 0))</f>
        <v>0</v>
      </c>
      <c r="GH37" s="47">
        <f t="array" ref="GH37">IF(AND(ISNUMBER(MATCH(GH$2, AsistenciaJetAdminConcatenada!$A:$A, 0)), ISNUMBER(MATCH(GH$1, AsistenciaJetAdminConcatenada!$B:$B, 0)), ISNUMBER(SEARCH($A37,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ISNUMBER(SEARCH($A37, INDEX(AsistenciaJetAdminConcatenada!$D:$D, MATCH(1, (AsistenciaJetAdminConcatenada!$A:$A=GH$2)*(AsistenciaJetAdminConcatenada!$B:$B=GH$1), 0)), 1))),  0.5, 0))</f>
        <v>0</v>
      </c>
      <c r="GI37" s="47">
        <f t="array" ref="GI37">IF(AND(ISNUMBER(MATCH(GI$2, AsistenciaJetAdminConcatenada!$A:$A, 0)), ISNUMBER(MATCH(GI$1, AsistenciaJetAdminConcatenada!$B:$B, 0)), ISNUMBER(SEARCH($A37,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ISNUMBER(SEARCH($A37, INDEX(AsistenciaJetAdminConcatenada!$D:$D, MATCH(1, (AsistenciaJetAdminConcatenada!$A:$A=GI$2)*(AsistenciaJetAdminConcatenada!$B:$B=GI$1), 0)), 1))),  0.5, 0))</f>
        <v>0</v>
      </c>
      <c r="GJ37" s="47">
        <f t="array" ref="GJ37">IF(AND(ISNUMBER(MATCH(GJ$2, AsistenciaJetAdminConcatenada!$A:$A, 0)), ISNUMBER(MATCH(GJ$1, AsistenciaJetAdminConcatenada!$B:$B, 0)), ISNUMBER(SEARCH($A37,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ISNUMBER(SEARCH($A37, INDEX(AsistenciaJetAdminConcatenada!$D:$D, MATCH(1, (AsistenciaJetAdminConcatenada!$A:$A=GJ$2)*(AsistenciaJetAdminConcatenada!$B:$B=GJ$1), 0)), 1))),  0.5, 0))</f>
        <v>0</v>
      </c>
      <c r="GK37" s="47">
        <f t="array" ref="GK37">IF(AND(ISNUMBER(MATCH(GK$2, AsistenciaJetAdminConcatenada!$A:$A, 0)), ISNUMBER(MATCH(GK$1, AsistenciaJetAdminConcatenada!$B:$B, 0)), ISNUMBER(SEARCH($A37,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ISNUMBER(SEARCH($A37, INDEX(AsistenciaJetAdminConcatenada!$D:$D, MATCH(1, (AsistenciaJetAdminConcatenada!$A:$A=GK$2)*(AsistenciaJetAdminConcatenada!$B:$B=GK$1), 0)), 1))),  0.5, 0))</f>
        <v>0</v>
      </c>
      <c r="GL37" s="47">
        <f t="array" ref="GL37">IF(AND(ISNUMBER(MATCH(GL$2, AsistenciaJetAdminConcatenada!$A:$A, 0)), ISNUMBER(MATCH(GL$1, AsistenciaJetAdminConcatenada!$B:$B, 0)), ISNUMBER(SEARCH($A37,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ISNUMBER(SEARCH($A37, INDEX(AsistenciaJetAdminConcatenada!$D:$D, MATCH(1, (AsistenciaJetAdminConcatenada!$A:$A=GL$2)*(AsistenciaJetAdminConcatenada!$B:$B=GL$1), 0)), 1))),  0.5, 0))</f>
        <v>0</v>
      </c>
      <c r="GM37" s="47">
        <f t="array" ref="GM37">IF(AND(ISNUMBER(MATCH(GM$2, AsistenciaJetAdminConcatenada!$A:$A, 0)), ISNUMBER(MATCH(GM$1, AsistenciaJetAdminConcatenada!$B:$B, 0)), ISNUMBER(SEARCH($A37,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ISNUMBER(SEARCH($A37, INDEX(AsistenciaJetAdminConcatenada!$D:$D, MATCH(1, (AsistenciaJetAdminConcatenada!$A:$A=GM$2)*(AsistenciaJetAdminConcatenada!$B:$B=GM$1), 0)), 1))),  0.5, 0))</f>
        <v>0</v>
      </c>
      <c r="GN37" s="47">
        <f t="array" ref="GN37">IF(AND(ISNUMBER(MATCH(GN$2, AsistenciaJetAdminConcatenada!$A:$A, 0)), ISNUMBER(MATCH(GN$1, AsistenciaJetAdminConcatenada!$B:$B, 0)), ISNUMBER(SEARCH($A37,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ISNUMBER(SEARCH($A37, INDEX(AsistenciaJetAdminConcatenada!$D:$D, MATCH(1, (AsistenciaJetAdminConcatenada!$A:$A=GN$2)*(AsistenciaJetAdminConcatenada!$B:$B=GN$1), 0)), 1))),  0.5, 0))</f>
        <v>0</v>
      </c>
      <c r="GO37" s="47">
        <f t="array" ref="GO37">IF(AND(ISNUMBER(MATCH(GO$2, AsistenciaJetAdminConcatenada!$A:$A, 0)), ISNUMBER(MATCH(GO$1, AsistenciaJetAdminConcatenada!$B:$B, 0)), ISNUMBER(SEARCH($A37,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ISNUMBER(SEARCH($A37, INDEX(AsistenciaJetAdminConcatenada!$D:$D, MATCH(1, (AsistenciaJetAdminConcatenada!$A:$A=GO$2)*(AsistenciaJetAdminConcatenada!$B:$B=GO$1), 0)), 1))),  0.5, 0))</f>
        <v>0</v>
      </c>
      <c r="GP37" s="47">
        <f t="array" ref="GP37">IF(AND(ISNUMBER(MATCH(GP$2, AsistenciaJetAdminConcatenada!$A:$A, 0)), ISNUMBER(MATCH(GP$1, AsistenciaJetAdminConcatenada!$B:$B, 0)), ISNUMBER(SEARCH($A37,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ISNUMBER(SEARCH($A37, INDEX(AsistenciaJetAdminConcatenada!$D:$D, MATCH(1, (AsistenciaJetAdminConcatenada!$A:$A=GP$2)*(AsistenciaJetAdminConcatenada!$B:$B=GP$1), 0)), 1))),  0.5, 0))</f>
        <v>0</v>
      </c>
      <c r="GQ37" s="47">
        <f t="array" ref="GQ37">IF(AND(ISNUMBER(MATCH(GQ$2, AsistenciaJetAdminConcatenada!$A:$A, 0)), ISNUMBER(MATCH(GQ$1, AsistenciaJetAdminConcatenada!$B:$B, 0)), ISNUMBER(SEARCH($A37,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ISNUMBER(SEARCH($A37, INDEX(AsistenciaJetAdminConcatenada!$D:$D, MATCH(1, (AsistenciaJetAdminConcatenada!$A:$A=GQ$2)*(AsistenciaJetAdminConcatenada!$B:$B=GQ$1), 0)), 1))),  0.5, 0))</f>
        <v>0</v>
      </c>
      <c r="GR37" s="47">
        <f t="array" ref="GR37">IF(AND(ISNUMBER(MATCH(GR$2, AsistenciaJetAdminConcatenada!$A:$A, 0)), ISNUMBER(MATCH(GR$1, AsistenciaJetAdminConcatenada!$B:$B, 0)), ISNUMBER(SEARCH($A37,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ISNUMBER(SEARCH($A37, INDEX(AsistenciaJetAdminConcatenada!$D:$D, MATCH(1, (AsistenciaJetAdminConcatenada!$A:$A=GR$2)*(AsistenciaJetAdminConcatenada!$B:$B=GR$1), 0)), 1))),  0.5, 0))</f>
        <v>0</v>
      </c>
      <c r="GS37" s="47">
        <f t="array" ref="GS37">IF(AND(ISNUMBER(MATCH(GS$2, AsistenciaJetAdminConcatenada!$A:$A, 0)), ISNUMBER(MATCH(GS$1, AsistenciaJetAdminConcatenada!$B:$B, 0)), ISNUMBER(SEARCH($A37,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ISNUMBER(SEARCH($A37, INDEX(AsistenciaJetAdminConcatenada!$D:$D, MATCH(1, (AsistenciaJetAdminConcatenada!$A:$A=GS$2)*(AsistenciaJetAdminConcatenada!$B:$B=GS$1), 0)), 1))),  0.5, 0))</f>
        <v>0</v>
      </c>
      <c r="GT37" s="47">
        <f t="array" ref="GT37">IF(AND(ISNUMBER(MATCH(GT$2, AsistenciaJetAdminConcatenada!$A:$A, 0)), ISNUMBER(MATCH(GT$1, AsistenciaJetAdminConcatenada!$B:$B, 0)), ISNUMBER(SEARCH($A37,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ISNUMBER(SEARCH($A37, INDEX(AsistenciaJetAdminConcatenada!$D:$D, MATCH(1, (AsistenciaJetAdminConcatenada!$A:$A=GT$2)*(AsistenciaJetAdminConcatenada!$B:$B=GT$1), 0)), 1))),  0.5, 0))</f>
        <v>0</v>
      </c>
      <c r="GU37" s="47">
        <f t="array" ref="GU37">IF(AND(ISNUMBER(MATCH(GU$2, AsistenciaJetAdminConcatenada!$A:$A, 0)), ISNUMBER(MATCH(GU$1, AsistenciaJetAdminConcatenada!$B:$B, 0)), ISNUMBER(SEARCH($A37,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ISNUMBER(SEARCH($A37, INDEX(AsistenciaJetAdminConcatenada!$D:$D, MATCH(1, (AsistenciaJetAdminConcatenada!$A:$A=GU$2)*(AsistenciaJetAdminConcatenada!$B:$B=GU$1), 0)), 1))),  0.5, 0))</f>
        <v>0</v>
      </c>
      <c r="GV37" s="47">
        <f t="array" ref="GV37">IF(AND(ISNUMBER(MATCH(GV$2, AsistenciaJetAdminConcatenada!$A:$A, 0)), ISNUMBER(MATCH(GV$1, AsistenciaJetAdminConcatenada!$B:$B, 0)), ISNUMBER(SEARCH($A37,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ISNUMBER(SEARCH($A37, INDEX(AsistenciaJetAdminConcatenada!$D:$D, MATCH(1, (AsistenciaJetAdminConcatenada!$A:$A=GV$2)*(AsistenciaJetAdminConcatenada!$B:$B=GV$1), 0)), 1))),  0.5, 0))</f>
        <v>0</v>
      </c>
      <c r="GW37" s="47">
        <f t="array" ref="GW37">IF(AND(ISNUMBER(MATCH(GW$2, AsistenciaJetAdminConcatenada!$A:$A, 0)), ISNUMBER(MATCH(GW$1, AsistenciaJetAdminConcatenada!$B:$B, 0)), ISNUMBER(SEARCH($A37,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ISNUMBER(SEARCH($A37, INDEX(AsistenciaJetAdminConcatenada!$D:$D, MATCH(1, (AsistenciaJetAdminConcatenada!$A:$A=GW$2)*(AsistenciaJetAdminConcatenada!$B:$B=GW$1), 0)), 1))),  0.5, 0))</f>
        <v>0</v>
      </c>
      <c r="GX37" s="47">
        <f t="array" ref="GX37">IF(AND(ISNUMBER(MATCH(GX$2, AsistenciaJetAdminConcatenada!$A:$A, 0)), ISNUMBER(MATCH(GX$1, AsistenciaJetAdminConcatenada!$B:$B, 0)), ISNUMBER(SEARCH($A37,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ISNUMBER(SEARCH($A37, INDEX(AsistenciaJetAdminConcatenada!$D:$D, MATCH(1, (AsistenciaJetAdminConcatenada!$A:$A=GX$2)*(AsistenciaJetAdminConcatenada!$B:$B=GX$1), 0)), 1))),  0.5, 0))</f>
        <v>0</v>
      </c>
      <c r="GY37" s="47">
        <f t="array" ref="GY37">IF(AND(ISNUMBER(MATCH(GY$2, AsistenciaJetAdminConcatenada!$A:$A, 0)), ISNUMBER(MATCH(GY$1, AsistenciaJetAdminConcatenada!$B:$B, 0)), ISNUMBER(SEARCH($A37,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ISNUMBER(SEARCH($A37, INDEX(AsistenciaJetAdminConcatenada!$D:$D, MATCH(1, (AsistenciaJetAdminConcatenada!$A:$A=GY$2)*(AsistenciaJetAdminConcatenada!$B:$B=GY$1), 0)), 1))),  0.5, 0))</f>
        <v>0</v>
      </c>
      <c r="GZ37" s="47">
        <f t="array" ref="GZ37">IF(AND(ISNUMBER(MATCH(GZ$2, AsistenciaJetAdminConcatenada!$A:$A, 0)), ISNUMBER(MATCH(GZ$1, AsistenciaJetAdminConcatenada!$B:$B, 0)), ISNUMBER(SEARCH($A37,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ISNUMBER(SEARCH($A37, INDEX(AsistenciaJetAdminConcatenada!$D:$D, MATCH(1, (AsistenciaJetAdminConcatenada!$A:$A=GZ$2)*(AsistenciaJetAdminConcatenada!$B:$B=GZ$1), 0)), 1))),  0.5, 0))</f>
        <v>0</v>
      </c>
      <c r="HA37" s="47">
        <f t="array" ref="HA37">IF(AND(ISNUMBER(MATCH(HA$2, AsistenciaJetAdminConcatenada!$A:$A, 0)), ISNUMBER(MATCH(HA$1, AsistenciaJetAdminConcatenada!$B:$B, 0)), ISNUMBER(SEARCH($A37,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ISNUMBER(SEARCH($A37, INDEX(AsistenciaJetAdminConcatenada!$D:$D, MATCH(1, (AsistenciaJetAdminConcatenada!$A:$A=HA$2)*(AsistenciaJetAdminConcatenada!$B:$B=HA$1), 0)), 1))),  0.5, 0))</f>
        <v>0</v>
      </c>
      <c r="HB37" s="47">
        <f t="array" ref="HB37">IF(AND(ISNUMBER(MATCH(HB$2, AsistenciaJetAdminConcatenada!$A:$A, 0)), ISNUMBER(MATCH(HB$1, AsistenciaJetAdminConcatenada!$B:$B, 0)), ISNUMBER(SEARCH($A37,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ISNUMBER(SEARCH($A37, INDEX(AsistenciaJetAdminConcatenada!$D:$D, MATCH(1, (AsistenciaJetAdminConcatenada!$A:$A=HB$2)*(AsistenciaJetAdminConcatenada!$B:$B=HB$1), 0)), 1))),  0.5, 0))</f>
        <v>0</v>
      </c>
      <c r="HC37" s="47">
        <f t="array" ref="HC37">IF(AND(ISNUMBER(MATCH(HC$2, AsistenciaJetAdminConcatenada!$A:$A, 0)), ISNUMBER(MATCH(HC$1, AsistenciaJetAdminConcatenada!$B:$B, 0)), ISNUMBER(SEARCH($A37,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ISNUMBER(SEARCH($A37, INDEX(AsistenciaJetAdminConcatenada!$D:$D, MATCH(1, (AsistenciaJetAdminConcatenada!$A:$A=HC$2)*(AsistenciaJetAdminConcatenada!$B:$B=HC$1), 0)), 1))),  0.5, 0))</f>
        <v>0</v>
      </c>
    </row>
    <row r="38" ht="29.25" customHeight="1">
      <c r="A38" s="3">
        <v>173.0</v>
      </c>
      <c r="B38" s="4" t="s">
        <v>765</v>
      </c>
      <c r="C38" s="47">
        <f>SUM(D38:HC38) + ActividadesEspeciales!C38</f>
        <v>34</v>
      </c>
      <c r="D38" s="47">
        <f t="array" ref="D38">IF(AND(ISNUMBER(MATCH(D$2, AsistenciaJetAdminConcatenada!$A:$A, 0)), ISNUMBER(MATCH(D$1, AsistenciaJetAdminConcatenada!$B:$B, 0)), ISNUMBER(SEARCH($A38,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ISNUMBER(SEARCH($A38, INDEX(AsistenciaJetAdminConcatenada!$D:$D, MATCH(1, (AsistenciaJetAdminConcatenada!$A:$A=D$2)*(AsistenciaJetAdminConcatenada!$B:$B=D$1), 0)), 1))),  0.5, 0))</f>
        <v>0.5</v>
      </c>
      <c r="E38" s="47">
        <f t="array" ref="E38">IF(AND(ISNUMBER(MATCH(E$2, AsistenciaJetAdminConcatenada!$A:$A, 0)), ISNUMBER(MATCH(E$1, AsistenciaJetAdminConcatenada!$B:$B, 0)), ISNUMBER(SEARCH($A38,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ISNUMBER(SEARCH($A38, INDEX(AsistenciaJetAdminConcatenada!$D:$D, MATCH(1, (AsistenciaJetAdminConcatenada!$A:$A=E$2)*(AsistenciaJetAdminConcatenada!$B:$B=E$1), 0)), 1))),  0.5, 0))</f>
        <v>0</v>
      </c>
      <c r="F38" s="47">
        <f t="array" ref="F38">IF(AND(ISNUMBER(MATCH(F$2, AsistenciaJetAdminConcatenada!$A:$A, 0)), ISNUMBER(MATCH(F$1, AsistenciaJetAdminConcatenada!$B:$B, 0)), ISNUMBER(SEARCH($A38,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ISNUMBER(SEARCH($A38, INDEX(AsistenciaJetAdminConcatenada!$D:$D, MATCH(1, (AsistenciaJetAdminConcatenada!$A:$A=F$2)*(AsistenciaJetAdminConcatenada!$B:$B=F$1), 0)), 1))),  0.5, 0))</f>
        <v>0.5</v>
      </c>
      <c r="G38" s="47">
        <f t="array" ref="G38">IF(AND(ISNUMBER(MATCH(G$2, AsistenciaJetAdminConcatenada!$A:$A, 0)), ISNUMBER(MATCH(G$1, AsistenciaJetAdminConcatenada!$B:$B, 0)), ISNUMBER(SEARCH($A38,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ISNUMBER(SEARCH($A38, INDEX(AsistenciaJetAdminConcatenada!$D:$D, MATCH(1, (AsistenciaJetAdminConcatenada!$A:$A=G$2)*(AsistenciaJetAdminConcatenada!$B:$B=G$1), 0)), 1))),  0.5, 0))</f>
        <v>1</v>
      </c>
      <c r="H38" s="47">
        <f t="array" ref="H38">IF(AND(ISNUMBER(MATCH(H$2, AsistenciaJetAdminConcatenada!$A:$A, 0)), ISNUMBER(MATCH(H$1, AsistenciaJetAdminConcatenada!$B:$B, 0)), ISNUMBER(SEARCH($A38,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ISNUMBER(SEARCH($A38, INDEX(AsistenciaJetAdminConcatenada!$D:$D, MATCH(1, (AsistenciaJetAdminConcatenada!$A:$A=H$2)*(AsistenciaJetAdminConcatenada!$B:$B=H$1), 0)), 1))),  0.5, 0))</f>
        <v>0</v>
      </c>
      <c r="I38" s="47">
        <f t="array" ref="I38">IF(AND(ISNUMBER(MATCH(I$2, AsistenciaJetAdminConcatenada!$A:$A, 0)), ISNUMBER(MATCH(I$1, AsistenciaJetAdminConcatenada!$B:$B, 0)), ISNUMBER(SEARCH($A38,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ISNUMBER(SEARCH($A38, INDEX(AsistenciaJetAdminConcatenada!$D:$D, MATCH(1, (AsistenciaJetAdminConcatenada!$A:$A=I$2)*(AsistenciaJetAdminConcatenada!$B:$B=I$1), 0)), 1))),  0.5, 0))</f>
        <v>1</v>
      </c>
      <c r="J38" s="47">
        <f t="array" ref="J38">IF(AND(ISNUMBER(MATCH(J$2, AsistenciaJetAdminConcatenada!$A:$A, 0)), ISNUMBER(MATCH(J$1, AsistenciaJetAdminConcatenada!$B:$B, 0)), ISNUMBER(SEARCH($A38,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ISNUMBER(SEARCH($A38, INDEX(AsistenciaJetAdminConcatenada!$D:$D, MATCH(1, (AsistenciaJetAdminConcatenada!$A:$A=J$2)*(AsistenciaJetAdminConcatenada!$B:$B=J$1), 0)), 1))),  0.5, 0))</f>
        <v>0</v>
      </c>
      <c r="K38" s="47">
        <f t="array" ref="K38">IF(AND(ISNUMBER(MATCH(K$2, AsistenciaJetAdminConcatenada!$A:$A, 0)), ISNUMBER(MATCH(K$1, AsistenciaJetAdminConcatenada!$B:$B, 0)), ISNUMBER(SEARCH($A38,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ISNUMBER(SEARCH($A38, INDEX(AsistenciaJetAdminConcatenada!$D:$D, MATCH(1, (AsistenciaJetAdminConcatenada!$A:$A=K$2)*(AsistenciaJetAdminConcatenada!$B:$B=K$1), 0)), 1))),  0.5, 0))</f>
        <v>0.5</v>
      </c>
      <c r="L38" s="47">
        <f t="array" ref="L38">IF(AND(ISNUMBER(MATCH(L$2, AsistenciaJetAdminConcatenada!$A:$A, 0)), ISNUMBER(MATCH(L$1, AsistenciaJetAdminConcatenada!$B:$B, 0)), ISNUMBER(SEARCH($A38,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ISNUMBER(SEARCH($A38, INDEX(AsistenciaJetAdminConcatenada!$D:$D, MATCH(1, (AsistenciaJetAdminConcatenada!$A:$A=L$2)*(AsistenciaJetAdminConcatenada!$B:$B=L$1), 0)), 1))),  0.5, 0))</f>
        <v>0</v>
      </c>
      <c r="M38" s="8">
        <v>0.0</v>
      </c>
      <c r="N38" s="47">
        <f t="array" ref="N38">IF(AND(ISNUMBER(MATCH(N$2, AsistenciaJetAdminConcatenada!$A:$A, 0)), ISNUMBER(MATCH(N$1, AsistenciaJetAdminConcatenada!$B:$B, 0)), ISNUMBER(SEARCH($A38,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ISNUMBER(SEARCH($A38, INDEX(AsistenciaJetAdminConcatenada!$D:$D, MATCH(1, (AsistenciaJetAdminConcatenada!$A:$A=N$2)*(AsistenciaJetAdminConcatenada!$B:$B=N$1), 0)), 1))),  0.5, 0))</f>
        <v>0</v>
      </c>
      <c r="O38" s="47">
        <f t="array" ref="O38">IF(AND(ISNUMBER(MATCH(O$2, AsistenciaJetAdminConcatenada!$A:$A, 0)), ISNUMBER(MATCH(O$1, AsistenciaJetAdminConcatenada!$B:$B, 0)), ISNUMBER(SEARCH($A38,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ISNUMBER(SEARCH($A38, INDEX(AsistenciaJetAdminConcatenada!$D:$D, MATCH(1, (AsistenciaJetAdminConcatenada!$A:$A=O$2)*(AsistenciaJetAdminConcatenada!$B:$B=O$1), 0)), 1))),  0.5, 0))</f>
        <v>0.5</v>
      </c>
      <c r="P38" s="47">
        <f t="array" ref="P38">IF(AND(ISNUMBER(MATCH(P$2, AsistenciaJetAdminConcatenada!$A:$A, 0)), ISNUMBER(MATCH(P$1, AsistenciaJetAdminConcatenada!$B:$B, 0)), ISNUMBER(SEARCH($A38, INDEX(AsistenciaJetAdminConcatenada!$C:$C, MATCH(1, (AsistenciaJetAdminConcatenada!$A:$A=P$2)*(AsistenciaJetAdminConcatenada!$B:$B=P$1), 0)), 1))), 1, IF(AND(ISNUMBER(MATCH(P$2, AsistenciaJetAdminConcatenada!$A:$A, 0)), ISNUMBER(MATCH(P$1, AsistenciaJetAdminConcatenada!$B:$B, 0)), ISNUMBER(SEARCH($A38, INDEX(AsistenciaJetAdminConcatenada!$D:$D, MATCH(1, (AsistenciaJetAdminConcatenada!$A:$A=P$2)*(AsistenciaJetAdminConcatenada!$B:$B=P$1), 0)), 1))),  0.5, 0))</f>
        <v>0.5</v>
      </c>
      <c r="Q38" s="47">
        <f t="array" ref="Q38">IF(AND(ISNUMBER(MATCH(Q$2, AsistenciaJetAdminConcatenada!$A:$A, 0)), ISNUMBER(MATCH(Q$1, AsistenciaJetAdminConcatenada!$B:$B, 0)), ISNUMBER(SEARCH($A38, INDEX(AsistenciaJetAdminConcatenada!$C:$C, MATCH(1, (AsistenciaJetAdminConcatenada!$A:$A=Q$2)*(AsistenciaJetAdminConcatenada!$B:$B=Q$1), 0)), 1))), 1, IF(AND(ISNUMBER(MATCH(Q$2, AsistenciaJetAdminConcatenada!$A:$A, 0)), ISNUMBER(MATCH(Q$1, AsistenciaJetAdminConcatenada!$B:$B, 0)), ISNUMBER(SEARCH($A38, INDEX(AsistenciaJetAdminConcatenada!$D:$D, MATCH(1, (AsistenciaJetAdminConcatenada!$A:$A=Q$2)*(AsistenciaJetAdminConcatenada!$B:$B=Q$1), 0)), 1))),  0.5, 0))</f>
        <v>1</v>
      </c>
      <c r="R38" s="47">
        <f t="array" ref="R38">IF(AND(ISNUMBER(MATCH(R$2, AsistenciaJetAdminConcatenada!$A:$A, 0)), ISNUMBER(MATCH(R$1, AsistenciaJetAdminConcatenada!$B:$B, 0)), ISNUMBER(SEARCH($A38,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ISNUMBER(SEARCH($A38, INDEX(AsistenciaJetAdminConcatenada!$D:$D, MATCH(1, (AsistenciaJetAdminConcatenada!$A:$A=R$2)*(AsistenciaJetAdminConcatenada!$B:$B=R$1), 0)), 1))),  0.5, 0))</f>
        <v>1</v>
      </c>
      <c r="S38" s="47">
        <f t="array" ref="S38">IF(AND(ISNUMBER(MATCH(S$2, AsistenciaJetAdminConcatenada!$A:$A, 0)), ISNUMBER(MATCH(S$1, AsistenciaJetAdminConcatenada!$B:$B, 0)), ISNUMBER(SEARCH($A38,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ISNUMBER(SEARCH($A38, INDEX(AsistenciaJetAdminConcatenada!$D:$D, MATCH(1, (AsistenciaJetAdminConcatenada!$A:$A=S$2)*(AsistenciaJetAdminConcatenada!$B:$B=S$1), 0)), 1))),  0.5, 0))</f>
        <v>1</v>
      </c>
      <c r="T38" s="47">
        <f t="array" ref="T38">IF(AND(ISNUMBER(MATCH(T$2, AsistenciaJetAdminConcatenada!$A:$A, 0)), ISNUMBER(MATCH(T$1, AsistenciaJetAdminConcatenada!$B:$B, 0)), ISNUMBER(SEARCH($A38,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ISNUMBER(SEARCH($A38, INDEX(AsistenciaJetAdminConcatenada!$D:$D, MATCH(1, (AsistenciaJetAdminConcatenada!$A:$A=T$2)*(AsistenciaJetAdminConcatenada!$B:$B=T$1), 0)), 1))),  0.5, 0))</f>
        <v>0</v>
      </c>
      <c r="U38" s="47">
        <f t="array" ref="U38">IF(AND(ISNUMBER(MATCH(U$2, AsistenciaJetAdminConcatenada!$A:$A, 0)), ISNUMBER(MATCH(U$1, AsistenciaJetAdminConcatenada!$B:$B, 0)), ISNUMBER(SEARCH($A38,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ISNUMBER(SEARCH($A38, INDEX(AsistenciaJetAdminConcatenada!$D:$D, MATCH(1, (AsistenciaJetAdminConcatenada!$A:$A=U$2)*(AsistenciaJetAdminConcatenada!$B:$B=U$1), 0)), 1))),  0.5, 0))</f>
        <v>0</v>
      </c>
      <c r="V38" s="47">
        <f t="array" ref="V38">IF(AND(ISNUMBER(MATCH(V$2, AsistenciaJetAdminConcatenada!$A:$A, 0)), ISNUMBER(MATCH(V$1, AsistenciaJetAdminConcatenada!$B:$B, 0)), ISNUMBER(SEARCH($A38,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ISNUMBER(SEARCH($A38, INDEX(AsistenciaJetAdminConcatenada!$D:$D, MATCH(1, (AsistenciaJetAdminConcatenada!$A:$A=V$2)*(AsistenciaJetAdminConcatenada!$B:$B=V$1), 0)), 1))),  0.5, 0))</f>
        <v>0</v>
      </c>
      <c r="W38" s="47">
        <f t="array" ref="W38">IF(AND(ISNUMBER(MATCH(W$2, AsistenciaJetAdminConcatenada!$A:$A, 0)), ISNUMBER(MATCH(W$1, AsistenciaJetAdminConcatenada!$B:$B, 0)), ISNUMBER(SEARCH($A38,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ISNUMBER(SEARCH($A38, INDEX(AsistenciaJetAdminConcatenada!$D:$D, MATCH(1, (AsistenciaJetAdminConcatenada!$A:$A=W$2)*(AsistenciaJetAdminConcatenada!$B:$B=W$1), 0)), 1))),  0.5, 0))</f>
        <v>0.5</v>
      </c>
      <c r="X38" s="47">
        <f t="array" ref="X38">IF(AND(ISNUMBER(MATCH(X$2, AsistenciaJetAdminConcatenada!$A:$A, 0)), ISNUMBER(MATCH(X$1, AsistenciaJetAdminConcatenada!$B:$B, 0)), ISNUMBER(SEARCH($A38,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ISNUMBER(SEARCH($A38, INDEX(AsistenciaJetAdminConcatenada!$D:$D, MATCH(1, (AsistenciaJetAdminConcatenada!$A:$A=X$2)*(AsistenciaJetAdminConcatenada!$B:$B=X$1), 0)), 1))),  0.5, 0))</f>
        <v>0</v>
      </c>
      <c r="Y38" s="47">
        <f t="array" ref="Y38">IF(AND(ISNUMBER(MATCH(Y$2, AsistenciaJetAdminConcatenada!$A:$A, 0)), ISNUMBER(MATCH(Y$1, AsistenciaJetAdminConcatenada!$B:$B, 0)), ISNUMBER(SEARCH($A38,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ISNUMBER(SEARCH($A38, INDEX(AsistenciaJetAdminConcatenada!$D:$D, MATCH(1, (AsistenciaJetAdminConcatenada!$A:$A=Y$2)*(AsistenciaJetAdminConcatenada!$B:$B=Y$1), 0)), 1))),  0.5, 0))</f>
        <v>0.5</v>
      </c>
      <c r="Z38" s="47">
        <f t="array" ref="Z38">IF(AND(ISNUMBER(MATCH(Z$2, AsistenciaJetAdminConcatenada!$A:$A, 0)), ISNUMBER(MATCH(Z$1, AsistenciaJetAdminConcatenada!$B:$B, 0)), ISNUMBER(SEARCH($A38,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ISNUMBER(SEARCH($A38, INDEX(AsistenciaJetAdminConcatenada!$D:$D, MATCH(1, (AsistenciaJetAdminConcatenada!$A:$A=Z$2)*(AsistenciaJetAdminConcatenada!$B:$B=Z$1), 0)), 1))),  0.5, 0))</f>
        <v>1</v>
      </c>
      <c r="AA38" s="47">
        <f t="array" ref="AA38">IF(AND(ISNUMBER(MATCH(AA$2, AsistenciaJetAdminConcatenada!$A:$A, 0)), ISNUMBER(MATCH(AA$1, AsistenciaJetAdminConcatenada!$B:$B, 0)), ISNUMBER(SEARCH($A38,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ISNUMBER(SEARCH($A38, INDEX(AsistenciaJetAdminConcatenada!$D:$D, MATCH(1, (AsistenciaJetAdminConcatenada!$A:$A=AA$2)*(AsistenciaJetAdminConcatenada!$B:$B=AA$1), 0)), 1))),  0.5, 0))</f>
        <v>0</v>
      </c>
      <c r="AB38" s="47">
        <f t="array" ref="AB38">IF(AND(ISNUMBER(MATCH(AB$2, AsistenciaJetAdminConcatenada!$A:$A, 0)), ISNUMBER(MATCH(AB$1, AsistenciaJetAdminConcatenada!$B:$B, 0)), ISNUMBER(SEARCH($A38,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ISNUMBER(SEARCH($A38, INDEX(AsistenciaJetAdminConcatenada!$D:$D, MATCH(1, (AsistenciaJetAdminConcatenada!$A:$A=AB$2)*(AsistenciaJetAdminConcatenada!$B:$B=AB$1), 0)), 1))),  0.5, 0))</f>
        <v>1</v>
      </c>
      <c r="AC38" s="47">
        <f t="array" ref="AC38">IF(AND(ISNUMBER(MATCH(AC$2, AsistenciaJetAdminConcatenada!$A:$A, 0)), ISNUMBER(MATCH(AC$1, AsistenciaJetAdminConcatenada!$B:$B, 0)), ISNUMBER(SEARCH($A38,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ISNUMBER(SEARCH($A38, INDEX(AsistenciaJetAdminConcatenada!$D:$D, MATCH(1, (AsistenciaJetAdminConcatenada!$A:$A=AC$2)*(AsistenciaJetAdminConcatenada!$B:$B=AC$1), 0)), 1))),  0.5, 0))</f>
        <v>1</v>
      </c>
      <c r="AD38" s="47">
        <f t="array" ref="AD38">IF(AND(ISNUMBER(MATCH(AD$2, AsistenciaJetAdminConcatenada!$A:$A, 0)), ISNUMBER(MATCH(AD$1, AsistenciaJetAdminConcatenada!$B:$B, 0)), ISNUMBER(SEARCH($A38,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ISNUMBER(SEARCH($A38, INDEX(AsistenciaJetAdminConcatenada!$D:$D, MATCH(1, (AsistenciaJetAdminConcatenada!$A:$A=AD$2)*(AsistenciaJetAdminConcatenada!$B:$B=AD$1), 0)), 1))),  0.5, 0))</f>
        <v>1</v>
      </c>
      <c r="AE38" s="47">
        <f t="array" ref="AE38">IF(AND(ISNUMBER(MATCH(AE$2, AsistenciaJetAdminConcatenada!$A:$A, 0)), ISNUMBER(MATCH(AE$1, AsistenciaJetAdminConcatenada!$B:$B, 0)), ISNUMBER(SEARCH($A38,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ISNUMBER(SEARCH($A38, INDEX(AsistenciaJetAdminConcatenada!$D:$D, MATCH(1, (AsistenciaJetAdminConcatenada!$A:$A=AE$2)*(AsistenciaJetAdminConcatenada!$B:$B=AE$1), 0)), 1))),  0.5, 0))</f>
        <v>0</v>
      </c>
      <c r="AF38" s="47">
        <f t="array" ref="AF38">IF(AND(ISNUMBER(MATCH(AF$2, AsistenciaJetAdminConcatenada!$A:$A, 0)), ISNUMBER(MATCH(AF$1, AsistenciaJetAdminConcatenada!$B:$B, 0)), ISNUMBER(SEARCH($A38,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ISNUMBER(SEARCH($A38, INDEX(AsistenciaJetAdminConcatenada!$D:$D, MATCH(1, (AsistenciaJetAdminConcatenada!$A:$A=AF$2)*(AsistenciaJetAdminConcatenada!$B:$B=AF$1), 0)), 1))),  0.5, 0))</f>
        <v>0</v>
      </c>
      <c r="AG38" s="47">
        <f t="array" ref="AG38">IF(AND(ISNUMBER(MATCH(AG$2, AsistenciaJetAdminConcatenada!$A:$A, 0)), ISNUMBER(MATCH(AG$1, AsistenciaJetAdminConcatenada!$B:$B, 0)), ISNUMBER(SEARCH($A38,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ISNUMBER(SEARCH($A38, INDEX(AsistenciaJetAdminConcatenada!$D:$D, MATCH(1, (AsistenciaJetAdminConcatenada!$A:$A=AG$2)*(AsistenciaJetAdminConcatenada!$B:$B=AG$1), 0)), 1))),  0.5, 0))</f>
        <v>0</v>
      </c>
      <c r="AH38" s="47">
        <f t="array" ref="AH38">IF(AND(ISNUMBER(MATCH(AH$2, AsistenciaJetAdminConcatenada!$A:$A, 0)), ISNUMBER(MATCH(AH$1, AsistenciaJetAdminConcatenada!$B:$B, 0)), ISNUMBER(SEARCH($A38,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ISNUMBER(SEARCH($A38, INDEX(AsistenciaJetAdminConcatenada!$D:$D, MATCH(1, (AsistenciaJetAdminConcatenada!$A:$A=AH$2)*(AsistenciaJetAdminConcatenada!$B:$B=AH$1), 0)), 1))),  0.5, 0))</f>
        <v>0</v>
      </c>
      <c r="AI38" s="47">
        <f t="array" ref="AI38">IF(AND(ISNUMBER(MATCH(AI$2, AsistenciaJetAdminConcatenada!$A:$A, 0)), ISNUMBER(MATCH(AI$1, AsistenciaJetAdminConcatenada!$B:$B, 0)), ISNUMBER(SEARCH($A38,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ISNUMBER(SEARCH($A38, INDEX(AsistenciaJetAdminConcatenada!$D:$D, MATCH(1, (AsistenciaJetAdminConcatenada!$A:$A=AI$2)*(AsistenciaJetAdminConcatenada!$B:$B=AI$1), 0)), 1))),  0.5, 0))</f>
        <v>0</v>
      </c>
      <c r="AJ38" s="47">
        <f t="array" ref="AJ38">IF(AND(ISNUMBER(MATCH(AJ$2, AsistenciaJetAdminConcatenada!$A:$A, 0)), ISNUMBER(MATCH(AJ$1, AsistenciaJetAdminConcatenada!$B:$B, 0)), ISNUMBER(SEARCH($A38,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ISNUMBER(SEARCH($A38, INDEX(AsistenciaJetAdminConcatenada!$D:$D, MATCH(1, (AsistenciaJetAdminConcatenada!$A:$A=AJ$2)*(AsistenciaJetAdminConcatenada!$B:$B=AJ$1), 0)), 1))),  0.5, 0))</f>
        <v>0</v>
      </c>
      <c r="AK38" s="47">
        <f t="array" ref="AK38">IF(AND(ISNUMBER(MATCH(AK$2, AsistenciaJetAdminConcatenada!$A:$A, 0)), ISNUMBER(MATCH(AK$1, AsistenciaJetAdminConcatenada!$B:$B, 0)), ISNUMBER(SEARCH($A38,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ISNUMBER(SEARCH($A38, INDEX(AsistenciaJetAdminConcatenada!$D:$D, MATCH(1, (AsistenciaJetAdminConcatenada!$A:$A=AK$2)*(AsistenciaJetAdminConcatenada!$B:$B=AK$1), 0)), 1))),  0.5, 0))</f>
        <v>1</v>
      </c>
      <c r="AL38" s="47">
        <f t="array" ref="AL38">IF(AND(ISNUMBER(MATCH(AL$2, AsistenciaJetAdminConcatenada!$A:$A, 0)), ISNUMBER(MATCH(AL$1, AsistenciaJetAdminConcatenada!$B:$B, 0)), ISNUMBER(SEARCH($A38,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ISNUMBER(SEARCH($A38, INDEX(AsistenciaJetAdminConcatenada!$D:$D, MATCH(1, (AsistenciaJetAdminConcatenada!$A:$A=AL$2)*(AsistenciaJetAdminConcatenada!$B:$B=AL$1), 0)), 1))),  0.5, 0))</f>
        <v>0</v>
      </c>
      <c r="AM38" s="47">
        <f t="array" ref="AM38">IF(AND(ISNUMBER(MATCH(AM$2, AsistenciaJetAdminConcatenada!$A:$A, 0)), ISNUMBER(MATCH(AM$1, AsistenciaJetAdminConcatenada!$B:$B, 0)), ISNUMBER(SEARCH($A38,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ISNUMBER(SEARCH($A38, INDEX(AsistenciaJetAdminConcatenada!$D:$D, MATCH(1, (AsistenciaJetAdminConcatenada!$A:$A=AM$2)*(AsistenciaJetAdminConcatenada!$B:$B=AM$1), 0)), 1))),  0.5, 0))</f>
        <v>0</v>
      </c>
      <c r="AN38" s="47">
        <f t="array" ref="AN38">IF(AND(ISNUMBER(MATCH(AN$2, AsistenciaJetAdminConcatenada!$A:$A, 0)), ISNUMBER(MATCH(AN$1, AsistenciaJetAdminConcatenada!$B:$B, 0)), ISNUMBER(SEARCH($A38,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ISNUMBER(SEARCH($A38, INDEX(AsistenciaJetAdminConcatenada!$D:$D, MATCH(1, (AsistenciaJetAdminConcatenada!$A:$A=AN$2)*(AsistenciaJetAdminConcatenada!$B:$B=AN$1), 0)), 1))),  0.5, 0))</f>
        <v>0</v>
      </c>
      <c r="AO38" s="47">
        <f t="array" ref="AO38">IF(AND(ISNUMBER(MATCH(AO$2, AsistenciaJetAdminConcatenada!$A:$A, 0)), ISNUMBER(MATCH(AO$1, AsistenciaJetAdminConcatenada!$B:$B, 0)), ISNUMBER(SEARCH($A38,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ISNUMBER(SEARCH($A38, INDEX(AsistenciaJetAdminConcatenada!$D:$D, MATCH(1, (AsistenciaJetAdminConcatenada!$A:$A=AO$2)*(AsistenciaJetAdminConcatenada!$B:$B=AO$1), 0)), 1))),  0.5, 0))</f>
        <v>1</v>
      </c>
      <c r="AP38" s="47">
        <f t="array" ref="AP38">IF(AND(ISNUMBER(MATCH(AP$2, AsistenciaJetAdminConcatenada!$A:$A, 0)), ISNUMBER(MATCH(AP$1, AsistenciaJetAdminConcatenada!$B:$B, 0)), ISNUMBER(SEARCH($A38,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ISNUMBER(SEARCH($A38, INDEX(AsistenciaJetAdminConcatenada!$D:$D, MATCH(1, (AsistenciaJetAdminConcatenada!$A:$A=AP$2)*(AsistenciaJetAdminConcatenada!$B:$B=AP$1), 0)), 1))),  0.5, 0))</f>
        <v>0</v>
      </c>
      <c r="AQ38" s="47">
        <f t="array" ref="AQ38">IF(AND(ISNUMBER(MATCH(AQ$2, AsistenciaJetAdminConcatenada!$A:$A, 0)), ISNUMBER(MATCH(AQ$1, AsistenciaJetAdminConcatenada!$B:$B, 0)), ISNUMBER(SEARCH($A38,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ISNUMBER(SEARCH($A38, INDEX(AsistenciaJetAdminConcatenada!$D:$D, MATCH(1, (AsistenciaJetAdminConcatenada!$A:$A=AQ$2)*(AsistenciaJetAdminConcatenada!$B:$B=AQ$1), 0)), 1))),  0.5, 0))</f>
        <v>0</v>
      </c>
      <c r="AR38" s="47">
        <f t="array" ref="AR38">IF(AND(ISNUMBER(MATCH(AR$2, AsistenciaJetAdminConcatenada!$A:$A, 0)), ISNUMBER(MATCH(AR$1, AsistenciaJetAdminConcatenada!$B:$B, 0)), ISNUMBER(SEARCH($A38,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ISNUMBER(SEARCH($A38, INDEX(AsistenciaJetAdminConcatenada!$D:$D, MATCH(1, (AsistenciaJetAdminConcatenada!$A:$A=AR$2)*(AsistenciaJetAdminConcatenada!$B:$B=AR$1), 0)), 1))),  0.5, 0))</f>
        <v>0</v>
      </c>
      <c r="AS38" s="47">
        <f t="array" ref="AS38">IF(AND(ISNUMBER(MATCH(AS$2, AsistenciaJetAdminConcatenada!$A:$A, 0)), ISNUMBER(MATCH(AS$1, AsistenciaJetAdminConcatenada!$B:$B, 0)), ISNUMBER(SEARCH($A38,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ISNUMBER(SEARCH($A38, INDEX(AsistenciaJetAdminConcatenada!$D:$D, MATCH(1, (AsistenciaJetAdminConcatenada!$A:$A=AS$2)*(AsistenciaJetAdminConcatenada!$B:$B=AS$1), 0)), 1))),  0.5, 0))</f>
        <v>0</v>
      </c>
      <c r="AT38" s="47">
        <f t="array" ref="AT38">IF(AND(ISNUMBER(MATCH(AT$2, AsistenciaJetAdminConcatenada!$A:$A, 0)), ISNUMBER(MATCH(AT$1, AsistenciaJetAdminConcatenada!$B:$B, 0)), ISNUMBER(SEARCH($A38,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ISNUMBER(SEARCH($A38, INDEX(AsistenciaJetAdminConcatenada!$D:$D, MATCH(1, (AsistenciaJetAdminConcatenada!$A:$A=AT$2)*(AsistenciaJetAdminConcatenada!$B:$B=AT$1), 0)), 1))),  0.5, 0))</f>
        <v>0</v>
      </c>
      <c r="AU38" s="47">
        <f t="array" ref="AU38">IF(AND(ISNUMBER(MATCH(AU$2, AsistenciaJetAdminConcatenada!$A:$A, 0)), ISNUMBER(MATCH(AU$1, AsistenciaJetAdminConcatenada!$B:$B, 0)), ISNUMBER(SEARCH($A38,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ISNUMBER(SEARCH($A38, INDEX(AsistenciaJetAdminConcatenada!$D:$D, MATCH(1, (AsistenciaJetAdminConcatenada!$A:$A=AU$2)*(AsistenciaJetAdminConcatenada!$B:$B=AU$1), 0)), 1))),  0.5, 0))</f>
        <v>1</v>
      </c>
      <c r="AV38" s="47">
        <f t="array" ref="AV38">IF(AND(ISNUMBER(MATCH(AV$2, AsistenciaJetAdminConcatenada!$A:$A, 0)), ISNUMBER(MATCH(AV$1, AsistenciaJetAdminConcatenada!$B:$B, 0)), ISNUMBER(SEARCH($A38,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ISNUMBER(SEARCH($A38, INDEX(AsistenciaJetAdminConcatenada!$D:$D, MATCH(1, (AsistenciaJetAdminConcatenada!$A:$A=AV$2)*(AsistenciaJetAdminConcatenada!$B:$B=AV$1), 0)), 1))),  0.5, 0))</f>
        <v>0</v>
      </c>
      <c r="AW38" s="47">
        <f t="array" ref="AW38">IF(AND(ISNUMBER(MATCH(AW$2, AsistenciaJetAdminConcatenada!$A:$A, 0)), ISNUMBER(MATCH(AW$1, AsistenciaJetAdminConcatenada!$B:$B, 0)), ISNUMBER(SEARCH($A38,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ISNUMBER(SEARCH($A38, INDEX(AsistenciaJetAdminConcatenada!$D:$D, MATCH(1, (AsistenciaJetAdminConcatenada!$A:$A=AW$2)*(AsistenciaJetAdminConcatenada!$B:$B=AW$1), 0)), 1))),  0.5, 0))</f>
        <v>0</v>
      </c>
      <c r="AX38" s="47">
        <f t="array" ref="AX38">IF(AND(ISNUMBER(MATCH(AX$2, AsistenciaJetAdminConcatenada!$A:$A, 0)), ISNUMBER(MATCH(AX$1, AsistenciaJetAdminConcatenada!$B:$B, 0)), ISNUMBER(SEARCH($A38,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ISNUMBER(SEARCH($A38, INDEX(AsistenciaJetAdminConcatenada!$D:$D, MATCH(1, (AsistenciaJetAdminConcatenada!$A:$A=AX$2)*(AsistenciaJetAdminConcatenada!$B:$B=AX$1), 0)), 1))),  0.5, 0))</f>
        <v>0</v>
      </c>
      <c r="AY38" s="47">
        <f t="array" ref="AY38">IF(AND(ISNUMBER(MATCH(AY$2, AsistenciaJetAdminConcatenada!$A:$A, 0)), ISNUMBER(MATCH(AY$1, AsistenciaJetAdminConcatenada!$B:$B, 0)), ISNUMBER(SEARCH($A38,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ISNUMBER(SEARCH($A38, INDEX(AsistenciaJetAdminConcatenada!$D:$D, MATCH(1, (AsistenciaJetAdminConcatenada!$A:$A=AY$2)*(AsistenciaJetAdminConcatenada!$B:$B=AY$1), 0)), 1))),  0.5, 0))</f>
        <v>0</v>
      </c>
      <c r="AZ38" s="47">
        <f t="array" ref="AZ38">IF(AND(ISNUMBER(MATCH(AZ$2, AsistenciaJetAdminConcatenada!$A:$A, 0)), ISNUMBER(MATCH(AZ$1, AsistenciaJetAdminConcatenada!$B:$B, 0)), ISNUMBER(SEARCH($A38,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ISNUMBER(SEARCH($A38, INDEX(AsistenciaJetAdminConcatenada!$D:$D, MATCH(1, (AsistenciaJetAdminConcatenada!$A:$A=AZ$2)*(AsistenciaJetAdminConcatenada!$B:$B=AZ$1), 0)), 1))),  0.5, 0))</f>
        <v>0</v>
      </c>
      <c r="BA38" s="47">
        <f t="array" ref="BA38">IF(AND(ISNUMBER(MATCH(BA$2, AsistenciaJetAdminConcatenada!$A:$A, 0)), ISNUMBER(MATCH(BA$1, AsistenciaJetAdminConcatenada!$B:$B, 0)), ISNUMBER(SEARCH($A38,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ISNUMBER(SEARCH($A38, INDEX(AsistenciaJetAdminConcatenada!$D:$D, MATCH(1, (AsistenciaJetAdminConcatenada!$A:$A=BA$2)*(AsistenciaJetAdminConcatenada!$B:$B=BA$1), 0)), 1))),  0.5, 0))</f>
        <v>0</v>
      </c>
      <c r="BB38" s="47">
        <f t="array" ref="BB38">IF(AND(ISNUMBER(MATCH(BB$2, AsistenciaJetAdminConcatenada!$A:$A, 0)), ISNUMBER(MATCH(BB$1, AsistenciaJetAdminConcatenada!$B:$B, 0)), ISNUMBER(SEARCH($A38,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ISNUMBER(SEARCH($A38, INDEX(AsistenciaJetAdminConcatenada!$D:$D, MATCH(1, (AsistenciaJetAdminConcatenada!$A:$A=BB$2)*(AsistenciaJetAdminConcatenada!$B:$B=BB$1), 0)), 1))),  0.5, 0))</f>
        <v>0</v>
      </c>
      <c r="BC38" s="47">
        <f t="array" ref="BC38">IF(AND(ISNUMBER(MATCH(BC$2, AsistenciaJetAdminConcatenada!$A:$A, 0)), ISNUMBER(MATCH(BC$1, AsistenciaJetAdminConcatenada!$B:$B, 0)), ISNUMBER(SEARCH($A38,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ISNUMBER(SEARCH($A38, INDEX(AsistenciaJetAdminConcatenada!$D:$D, MATCH(1, (AsistenciaJetAdminConcatenada!$A:$A=BC$2)*(AsistenciaJetAdminConcatenada!$B:$B=BC$1), 0)), 1))),  0.5, 0))</f>
        <v>1</v>
      </c>
      <c r="BD38" s="47">
        <f t="array" ref="BD38">IF(AND(ISNUMBER(MATCH(BD$2, AsistenciaJetAdminConcatenada!$A:$A, 0)), ISNUMBER(MATCH(BD$1, AsistenciaJetAdminConcatenada!$B:$B, 0)), ISNUMBER(SEARCH($A38,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ISNUMBER(SEARCH($A38, INDEX(AsistenciaJetAdminConcatenada!$D:$D, MATCH(1, (AsistenciaJetAdminConcatenada!$A:$A=BD$2)*(AsistenciaJetAdminConcatenada!$B:$B=BD$1), 0)), 1))),  0.5, 0))</f>
        <v>0</v>
      </c>
      <c r="BE38" s="47">
        <f t="array" ref="BE38">IF(AND(ISNUMBER(MATCH(BE$2, AsistenciaJetAdminConcatenada!$A:$A, 0)), ISNUMBER(MATCH(BE$1, AsistenciaJetAdminConcatenada!$B:$B, 0)), ISNUMBER(SEARCH($A38,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ISNUMBER(SEARCH($A38, INDEX(AsistenciaJetAdminConcatenada!$D:$D, MATCH(1, (AsistenciaJetAdminConcatenada!$A:$A=BE$2)*(AsistenciaJetAdminConcatenada!$B:$B=BE$1), 0)), 1))),  0.5, 0))</f>
        <v>0</v>
      </c>
      <c r="BF38" s="47">
        <f t="array" ref="BF38">IF(AND(ISNUMBER(MATCH(BF$2, AsistenciaJetAdminConcatenada!$A:$A, 0)), ISNUMBER(MATCH(BF$1, AsistenciaJetAdminConcatenada!$B:$B, 0)), ISNUMBER(SEARCH($A38,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ISNUMBER(SEARCH($A38, INDEX(AsistenciaJetAdminConcatenada!$D:$D, MATCH(1, (AsistenciaJetAdminConcatenada!$A:$A=BF$2)*(AsistenciaJetAdminConcatenada!$B:$B=BF$1), 0)), 1))),  0.5, 0))</f>
        <v>0</v>
      </c>
      <c r="BG38" s="47">
        <f t="array" ref="BG38">IF(AND(ISNUMBER(MATCH(BG$2, AsistenciaJetAdminConcatenada!$A:$A, 0)), ISNUMBER(MATCH(BG$1, AsistenciaJetAdminConcatenada!$B:$B, 0)), ISNUMBER(SEARCH($A38,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ISNUMBER(SEARCH($A38, INDEX(AsistenciaJetAdminConcatenada!$D:$D, MATCH(1, (AsistenciaJetAdminConcatenada!$A:$A=BG$2)*(AsistenciaJetAdminConcatenada!$B:$B=BG$1), 0)), 1))),  0.5, 0))</f>
        <v>1</v>
      </c>
      <c r="BH38" s="47">
        <f t="array" ref="BH38">IF(AND(ISNUMBER(MATCH(BH$2, AsistenciaJetAdminConcatenada!$A:$A, 0)), ISNUMBER(MATCH(BH$1, AsistenciaJetAdminConcatenada!$B:$B, 0)), ISNUMBER(SEARCH($A38,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ISNUMBER(SEARCH($A38, INDEX(AsistenciaJetAdminConcatenada!$D:$D, MATCH(1, (AsistenciaJetAdminConcatenada!$A:$A=BH$2)*(AsistenciaJetAdminConcatenada!$B:$B=BH$1), 0)), 1))),  0.5, 0))</f>
        <v>0</v>
      </c>
      <c r="BI38" s="47">
        <f t="array" ref="BI38">IF(AND(ISNUMBER(MATCH(BI$2, AsistenciaJetAdminConcatenada!$A:$A, 0)), ISNUMBER(MATCH(BI$1, AsistenciaJetAdminConcatenada!$B:$B, 0)), ISNUMBER(SEARCH($A38,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ISNUMBER(SEARCH($A38, INDEX(AsistenciaJetAdminConcatenada!$D:$D, MATCH(1, (AsistenciaJetAdminConcatenada!$A:$A=BI$2)*(AsistenciaJetAdminConcatenada!$B:$B=BI$1), 0)), 1))),  0.5, 0))</f>
        <v>1</v>
      </c>
      <c r="BJ38" s="47">
        <f t="array" ref="BJ38">IF(AND(ISNUMBER(MATCH(BJ$2, AsistenciaJetAdminConcatenada!$A:$A, 0)), ISNUMBER(MATCH(BJ$1, AsistenciaJetAdminConcatenada!$B:$B, 0)), ISNUMBER(SEARCH($A38,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ISNUMBER(SEARCH($A38, INDEX(AsistenciaJetAdminConcatenada!$D:$D, MATCH(1, (AsistenciaJetAdminConcatenada!$A:$A=BJ$2)*(AsistenciaJetAdminConcatenada!$B:$B=BJ$1), 0)), 1))),  0.5, 0))</f>
        <v>0</v>
      </c>
      <c r="BK38" s="47">
        <f t="array" ref="BK38">IF(AND(ISNUMBER(MATCH(BK$2, AsistenciaJetAdminConcatenada!$A:$A, 0)), ISNUMBER(MATCH(BK$1, AsistenciaJetAdminConcatenada!$B:$B, 0)), ISNUMBER(SEARCH($A38,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ISNUMBER(SEARCH($A38, INDEX(AsistenciaJetAdminConcatenada!$D:$D, MATCH(1, (AsistenciaJetAdminConcatenada!$A:$A=BK$2)*(AsistenciaJetAdminConcatenada!$B:$B=BK$1), 0)), 1))),  0.5, 0))</f>
        <v>1</v>
      </c>
      <c r="BL38" s="47">
        <f t="array" ref="BL38">IF(AND(ISNUMBER(MATCH(BL$2, AsistenciaJetAdminConcatenada!$A:$A, 0)), ISNUMBER(MATCH(BL$1, AsistenciaJetAdminConcatenada!$B:$B, 0)), ISNUMBER(SEARCH($A38,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ISNUMBER(SEARCH($A38, INDEX(AsistenciaJetAdminConcatenada!$D:$D, MATCH(1, (AsistenciaJetAdminConcatenada!$A:$A=BL$2)*(AsistenciaJetAdminConcatenada!$B:$B=BL$1), 0)), 1))),  0.5, 0))</f>
        <v>1</v>
      </c>
      <c r="BM38" s="47">
        <f t="array" ref="BM38">IF(AND(ISNUMBER(MATCH(BM$2, AsistenciaJetAdminConcatenada!$A:$A, 0)), ISNUMBER(MATCH(BM$1, AsistenciaJetAdminConcatenada!$B:$B, 0)), ISNUMBER(SEARCH($A38,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ISNUMBER(SEARCH($A38, INDEX(AsistenciaJetAdminConcatenada!$D:$D, MATCH(1, (AsistenciaJetAdminConcatenada!$A:$A=BM$2)*(AsistenciaJetAdminConcatenada!$B:$B=BM$1), 0)), 1))),  0.5, 0))</f>
        <v>0</v>
      </c>
      <c r="BN38" s="47">
        <f t="array" ref="BN38">IF(AND(ISNUMBER(MATCH(BN$2, AsistenciaJetAdminConcatenada!$A:$A, 0)), ISNUMBER(MATCH(BN$1, AsistenciaJetAdminConcatenada!$B:$B, 0)), ISNUMBER(SEARCH($A38,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ISNUMBER(SEARCH($A38, INDEX(AsistenciaJetAdminConcatenada!$D:$D, MATCH(1, (AsistenciaJetAdminConcatenada!$A:$A=BN$2)*(AsistenciaJetAdminConcatenada!$B:$B=BN$1), 0)), 1))),  0.5, 0))</f>
        <v>0</v>
      </c>
      <c r="BO38" s="47">
        <f t="array" ref="BO38">IF(AND(ISNUMBER(MATCH(BO$2, AsistenciaJetAdminConcatenada!$A:$A, 0)), ISNUMBER(MATCH(BO$1, AsistenciaJetAdminConcatenada!$B:$B, 0)), ISNUMBER(SEARCH($A38,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ISNUMBER(SEARCH($A38, INDEX(AsistenciaJetAdminConcatenada!$D:$D, MATCH(1, (AsistenciaJetAdminConcatenada!$A:$A=BO$2)*(AsistenciaJetAdminConcatenada!$B:$B=BO$1), 0)), 1))),  0.5, 0))</f>
        <v>0.5</v>
      </c>
      <c r="BP38" s="47">
        <f t="array" ref="BP38">IF(AND(ISNUMBER(MATCH(BP$2, AsistenciaJetAdminConcatenada!$A:$A, 0)), ISNUMBER(MATCH(BP$1, AsistenciaJetAdminConcatenada!$B:$B, 0)), ISNUMBER(SEARCH($A38,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ISNUMBER(SEARCH($A38, INDEX(AsistenciaJetAdminConcatenada!$D:$D, MATCH(1, (AsistenciaJetAdminConcatenada!$A:$A=BP$2)*(AsistenciaJetAdminConcatenada!$B:$B=BP$1), 0)), 1))),  0.5, 0))</f>
        <v>0</v>
      </c>
      <c r="BQ38" s="47">
        <f t="array" ref="BQ38">IF(AND(ISNUMBER(MATCH(BQ$2, AsistenciaJetAdminConcatenada!$A:$A, 0)), ISNUMBER(MATCH(BQ$1, AsistenciaJetAdminConcatenada!$B:$B, 0)), ISNUMBER(SEARCH($A38,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ISNUMBER(SEARCH($A38, INDEX(AsistenciaJetAdminConcatenada!$D:$D, MATCH(1, (AsistenciaJetAdminConcatenada!$A:$A=BQ$2)*(AsistenciaJetAdminConcatenada!$B:$B=BQ$1), 0)), 1))),  0.5, 0))</f>
        <v>0</v>
      </c>
      <c r="BR38" s="47">
        <f t="array" ref="BR38">IF(AND(ISNUMBER(MATCH(BR$2, AsistenciaJetAdminConcatenada!$A:$A, 0)), ISNUMBER(MATCH(BR$1, AsistenciaJetAdminConcatenada!$B:$B, 0)), ISNUMBER(SEARCH($A38,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ISNUMBER(SEARCH($A38, INDEX(AsistenciaJetAdminConcatenada!$D:$D, MATCH(1, (AsistenciaJetAdminConcatenada!$A:$A=BR$2)*(AsistenciaJetAdminConcatenada!$B:$B=BR$1), 0)), 1))),  0.5, 0))</f>
        <v>0</v>
      </c>
      <c r="BS38" s="47">
        <f t="array" ref="BS38">IF(AND(ISNUMBER(MATCH(BS$2, AsistenciaJetAdminConcatenada!$A:$A, 0)), ISNUMBER(MATCH(BS$1, AsistenciaJetAdminConcatenada!$B:$B, 0)), ISNUMBER(SEARCH($A38,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ISNUMBER(SEARCH($A38, INDEX(AsistenciaJetAdminConcatenada!$D:$D, MATCH(1, (AsistenciaJetAdminConcatenada!$A:$A=BS$2)*(AsistenciaJetAdminConcatenada!$B:$B=BS$1), 0)), 1))),  0.5, 0))</f>
        <v>1</v>
      </c>
      <c r="BT38" s="47">
        <f t="array" ref="BT38">IF(AND(ISNUMBER(MATCH(BT$2, AsistenciaJetAdminConcatenada!$A:$A, 0)), ISNUMBER(MATCH(BT$1, AsistenciaJetAdminConcatenada!$B:$B, 0)), ISNUMBER(SEARCH($A38,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ISNUMBER(SEARCH($A38, INDEX(AsistenciaJetAdminConcatenada!$D:$D, MATCH(1, (AsistenciaJetAdminConcatenada!$A:$A=BT$2)*(AsistenciaJetAdminConcatenada!$B:$B=BT$1), 0)), 1))),  0.5, 0))</f>
        <v>0</v>
      </c>
      <c r="BU38" s="47">
        <f t="array" ref="BU38">IF(AND(ISNUMBER(MATCH(BU$2, AsistenciaJetAdminConcatenada!$A:$A, 0)), ISNUMBER(MATCH(BU$1, AsistenciaJetAdminConcatenada!$B:$B, 0)), ISNUMBER(SEARCH($A38,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ISNUMBER(SEARCH($A38, INDEX(AsistenciaJetAdminConcatenada!$D:$D, MATCH(1, (AsistenciaJetAdminConcatenada!$A:$A=BU$2)*(AsistenciaJetAdminConcatenada!$B:$B=BU$1), 0)), 1))),  0.5, 0))</f>
        <v>0</v>
      </c>
      <c r="BV38" s="47">
        <f t="array" ref="BV38">IF(AND(ISNUMBER(MATCH(BV$2, AsistenciaJetAdminConcatenada!$A:$A, 0)), ISNUMBER(MATCH(BV$1, AsistenciaJetAdminConcatenada!$B:$B, 0)), ISNUMBER(SEARCH($A38,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ISNUMBER(SEARCH($A38, INDEX(AsistenciaJetAdminConcatenada!$D:$D, MATCH(1, (AsistenciaJetAdminConcatenada!$A:$A=BV$2)*(AsistenciaJetAdminConcatenada!$B:$B=BV$1), 0)), 1))),  0.5, 0))</f>
        <v>0</v>
      </c>
      <c r="BW38" s="47">
        <f t="array" ref="BW38">IF(AND(ISNUMBER(MATCH(BW$2, AsistenciaJetAdminConcatenada!$A:$A, 0)), ISNUMBER(MATCH(BW$1, AsistenciaJetAdminConcatenada!$B:$B, 0)), ISNUMBER(SEARCH($A38,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ISNUMBER(SEARCH($A38, INDEX(AsistenciaJetAdminConcatenada!$D:$D, MATCH(1, (AsistenciaJetAdminConcatenada!$A:$A=BW$2)*(AsistenciaJetAdminConcatenada!$B:$B=BW$1), 0)), 1))),  0.5, 0))</f>
        <v>1</v>
      </c>
      <c r="BX38" s="47">
        <f t="array" ref="BX38">IF(AND(ISNUMBER(MATCH(BX$2, AsistenciaJetAdminConcatenada!$A:$A, 0)), ISNUMBER(MATCH(BX$1, AsistenciaJetAdminConcatenada!$B:$B, 0)), ISNUMBER(SEARCH($A38,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ISNUMBER(SEARCH($A38, INDEX(AsistenciaJetAdminConcatenada!$D:$D, MATCH(1, (AsistenciaJetAdminConcatenada!$A:$A=BX$2)*(AsistenciaJetAdminConcatenada!$B:$B=BX$1), 0)), 1))),  0.5, 0))</f>
        <v>0</v>
      </c>
      <c r="BY38" s="47">
        <f t="array" ref="BY38">IF(AND(ISNUMBER(MATCH(BY$2, AsistenciaJetAdminConcatenada!$A:$A, 0)), ISNUMBER(MATCH(BY$1, AsistenciaJetAdminConcatenada!$B:$B, 0)), ISNUMBER(SEARCH($A38,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ISNUMBER(SEARCH($A38, INDEX(AsistenciaJetAdminConcatenada!$D:$D, MATCH(1, (AsistenciaJetAdminConcatenada!$A:$A=BY$2)*(AsistenciaJetAdminConcatenada!$B:$B=BY$1), 0)), 1))),  0.5, 0))</f>
        <v>0</v>
      </c>
      <c r="BZ38" s="47">
        <f t="array" ref="BZ38">IF(AND(ISNUMBER(MATCH(BZ$2, AsistenciaJetAdminConcatenada!$A:$A, 0)), ISNUMBER(MATCH(BZ$1, AsistenciaJetAdminConcatenada!$B:$B, 0)), ISNUMBER(SEARCH($A38,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ISNUMBER(SEARCH($A38, INDEX(AsistenciaJetAdminConcatenada!$D:$D, MATCH(1, (AsistenciaJetAdminConcatenada!$A:$A=BZ$2)*(AsistenciaJetAdminConcatenada!$B:$B=BZ$1), 0)), 1))),  0.5, 0))</f>
        <v>1</v>
      </c>
      <c r="CA38" s="47">
        <f t="array" ref="CA38">IF(AND(ISNUMBER(MATCH(CA$2, AsistenciaJetAdminConcatenada!$A:$A, 0)), ISNUMBER(MATCH(CA$1, AsistenciaJetAdminConcatenada!$B:$B, 0)), ISNUMBER(SEARCH($A38,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ISNUMBER(SEARCH($A38, INDEX(AsistenciaJetAdminConcatenada!$D:$D, MATCH(1, (AsistenciaJetAdminConcatenada!$A:$A=CA$2)*(AsistenciaJetAdminConcatenada!$B:$B=CA$1), 0)), 1))),  0.5, 0))</f>
        <v>0</v>
      </c>
      <c r="CB38" s="47">
        <f t="array" ref="CB38">IF(AND(ISNUMBER(MATCH(CB$2, AsistenciaJetAdminConcatenada!$A:$A, 0)), ISNUMBER(MATCH(CB$1, AsistenciaJetAdminConcatenada!$B:$B, 0)), ISNUMBER(SEARCH($A38,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ISNUMBER(SEARCH($A38, INDEX(AsistenciaJetAdminConcatenada!$D:$D, MATCH(1, (AsistenciaJetAdminConcatenada!$A:$A=CB$2)*(AsistenciaJetAdminConcatenada!$B:$B=CB$1), 0)), 1))),  0.5, 0))</f>
        <v>0</v>
      </c>
      <c r="CC38" s="47">
        <f t="array" ref="CC38">IF(AND(ISNUMBER(MATCH(CC$2, AsistenciaJetAdminConcatenada!$A:$A, 0)), ISNUMBER(MATCH(CC$1, AsistenciaJetAdminConcatenada!$B:$B, 0)), ISNUMBER(SEARCH($A38,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ISNUMBER(SEARCH($A38, INDEX(AsistenciaJetAdminConcatenada!$D:$D, MATCH(1, (AsistenciaJetAdminConcatenada!$A:$A=CC$2)*(AsistenciaJetAdminConcatenada!$B:$B=CC$1), 0)), 1))),  0.5, 0))</f>
        <v>0</v>
      </c>
      <c r="CD38" s="47">
        <f t="array" ref="CD38">IF(AND(ISNUMBER(MATCH(CD$2, AsistenciaJetAdminConcatenada!$A:$A, 0)), ISNUMBER(MATCH(CD$1, AsistenciaJetAdminConcatenada!$B:$B, 0)), ISNUMBER(SEARCH($A38,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ISNUMBER(SEARCH($A38, INDEX(AsistenciaJetAdminConcatenada!$D:$D, MATCH(1, (AsistenciaJetAdminConcatenada!$A:$A=CD$2)*(AsistenciaJetAdminConcatenada!$B:$B=CD$1), 0)), 1))),  0.5, 0))</f>
        <v>0</v>
      </c>
      <c r="CE38" s="47">
        <f t="array" ref="CE38">IF(AND(ISNUMBER(MATCH(CE$2, AsistenciaJetAdminConcatenada!$A:$A, 0)), ISNUMBER(MATCH(CE$1, AsistenciaJetAdminConcatenada!$B:$B, 0)), ISNUMBER(SEARCH($A38,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ISNUMBER(SEARCH($A38, INDEX(AsistenciaJetAdminConcatenada!$D:$D, MATCH(1, (AsistenciaJetAdminConcatenada!$A:$A=CE$2)*(AsistenciaJetAdminConcatenada!$B:$B=CE$1), 0)), 1))),  0.5, 0))</f>
        <v>1</v>
      </c>
      <c r="CF38" s="47">
        <f t="array" ref="CF38">IF(AND(ISNUMBER(MATCH(CF$2, AsistenciaJetAdminConcatenada!$A:$A, 0)), ISNUMBER(MATCH(CF$1, AsistenciaJetAdminConcatenada!$B:$B, 0)), ISNUMBER(SEARCH($A38,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ISNUMBER(SEARCH($A38, INDEX(AsistenciaJetAdminConcatenada!$D:$D, MATCH(1, (AsistenciaJetAdminConcatenada!$A:$A=CF$2)*(AsistenciaJetAdminConcatenada!$B:$B=CF$1), 0)), 1))),  0.5, 0))</f>
        <v>0</v>
      </c>
      <c r="CG38" s="47">
        <f t="array" ref="CG38">IF(AND(ISNUMBER(MATCH(CG$2, AsistenciaJetAdminConcatenada!$A:$A, 0)), ISNUMBER(MATCH(CG$1, AsistenciaJetAdminConcatenada!$B:$B, 0)), ISNUMBER(SEARCH($A38,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ISNUMBER(SEARCH($A38, INDEX(AsistenciaJetAdminConcatenada!$D:$D, MATCH(1, (AsistenciaJetAdminConcatenada!$A:$A=CG$2)*(AsistenciaJetAdminConcatenada!$B:$B=CG$1), 0)), 1))),  0.5, 0))</f>
        <v>0</v>
      </c>
      <c r="CH38" s="47">
        <f t="array" ref="CH38">IF(AND(ISNUMBER(MATCH(CH$2, AsistenciaJetAdminConcatenada!$A:$A, 0)), ISNUMBER(MATCH(CH$1, AsistenciaJetAdminConcatenada!$B:$B, 0)), ISNUMBER(SEARCH($A38,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ISNUMBER(SEARCH($A38, INDEX(AsistenciaJetAdminConcatenada!$D:$D, MATCH(1, (AsistenciaJetAdminConcatenada!$A:$A=CH$2)*(AsistenciaJetAdminConcatenada!$B:$B=CH$1), 0)), 1))),  0.5, 0))</f>
        <v>0</v>
      </c>
      <c r="CI38" s="47">
        <f t="array" ref="CI38">IF(AND(ISNUMBER(MATCH(CI$2, AsistenciaJetAdminConcatenada!$A:$A, 0)), ISNUMBER(MATCH(CI$1, AsistenciaJetAdminConcatenada!$B:$B, 0)), ISNUMBER(SEARCH($A38,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ISNUMBER(SEARCH($A38, INDEX(AsistenciaJetAdminConcatenada!$D:$D, MATCH(1, (AsistenciaJetAdminConcatenada!$A:$A=CI$2)*(AsistenciaJetAdminConcatenada!$B:$B=CI$1), 0)), 1))),  0.5, 0))</f>
        <v>1</v>
      </c>
      <c r="CJ38" s="47">
        <f t="array" ref="CJ38">IF(AND(ISNUMBER(MATCH(CJ$2, AsistenciaJetAdminConcatenada!$A:$A, 0)), ISNUMBER(MATCH(CJ$1, AsistenciaJetAdminConcatenada!$B:$B, 0)), ISNUMBER(SEARCH($A38,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ISNUMBER(SEARCH($A38, INDEX(AsistenciaJetAdminConcatenada!$D:$D, MATCH(1, (AsistenciaJetAdminConcatenada!$A:$A=CJ$2)*(AsistenciaJetAdminConcatenada!$B:$B=CJ$1), 0)), 1))),  0.5, 0))</f>
        <v>1</v>
      </c>
      <c r="CK38" s="47">
        <f t="array" ref="CK38">IF(AND(ISNUMBER(MATCH(CK$2, AsistenciaJetAdminConcatenada!$A:$A, 0)), ISNUMBER(MATCH(CK$1, AsistenciaJetAdminConcatenada!$B:$B, 0)), ISNUMBER(SEARCH($A38,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ISNUMBER(SEARCH($A38, INDEX(AsistenciaJetAdminConcatenada!$D:$D, MATCH(1, (AsistenciaJetAdminConcatenada!$A:$A=CK$2)*(AsistenciaJetAdminConcatenada!$B:$B=CK$1), 0)), 1))),  0.5, 0))</f>
        <v>0</v>
      </c>
      <c r="CL38" s="47">
        <f t="array" ref="CL38">IF(AND(ISNUMBER(MATCH(CL$2, AsistenciaJetAdminConcatenada!$A:$A, 0)), ISNUMBER(MATCH(CL$1, AsistenciaJetAdminConcatenada!$B:$B, 0)), ISNUMBER(SEARCH($A38,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ISNUMBER(SEARCH($A38, INDEX(AsistenciaJetAdminConcatenada!$D:$D, MATCH(1, (AsistenciaJetAdminConcatenada!$A:$A=CL$2)*(AsistenciaJetAdminConcatenada!$B:$B=CL$1), 0)), 1))),  0.5, 0))</f>
        <v>0</v>
      </c>
      <c r="CM38" s="47">
        <f t="array" ref="CM38">IF(AND(ISNUMBER(MATCH(CM$2, AsistenciaJetAdminConcatenada!$A:$A, 0)), ISNUMBER(MATCH(CM$1, AsistenciaJetAdminConcatenada!$B:$B, 0)), ISNUMBER(SEARCH($A38,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ISNUMBER(SEARCH($A38, INDEX(AsistenciaJetAdminConcatenada!$D:$D, MATCH(1, (AsistenciaJetAdminConcatenada!$A:$A=CM$2)*(AsistenciaJetAdminConcatenada!$B:$B=CM$1), 0)), 1))),  0.5, 0))</f>
        <v>0.5</v>
      </c>
      <c r="CN38" s="47">
        <f t="array" ref="CN38">IF(AND(ISNUMBER(MATCH(CN$2, AsistenciaJetAdminConcatenada!$A:$A, 0)), ISNUMBER(MATCH(CN$1, AsistenciaJetAdminConcatenada!$B:$B, 0)), ISNUMBER(SEARCH($A38,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ISNUMBER(SEARCH($A38, INDEX(AsistenciaJetAdminConcatenada!$D:$D, MATCH(1, (AsistenciaJetAdminConcatenada!$A:$A=CN$2)*(AsistenciaJetAdminConcatenada!$B:$B=CN$1), 0)), 1))),  0.5, 0))</f>
        <v>1</v>
      </c>
      <c r="CO38" s="47">
        <f t="array" ref="CO38">IF(AND(ISNUMBER(MATCH(CO$2, AsistenciaJetAdminConcatenada!$A:$A, 0)), ISNUMBER(MATCH(CO$1, AsistenciaJetAdminConcatenada!$B:$B, 0)), ISNUMBER(SEARCH($A38,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ISNUMBER(SEARCH($A38, INDEX(AsistenciaJetAdminConcatenada!$D:$D, MATCH(1, (AsistenciaJetAdminConcatenada!$A:$A=CO$2)*(AsistenciaJetAdminConcatenada!$B:$B=CO$1), 0)), 1))),  0.5, 0))</f>
        <v>1</v>
      </c>
      <c r="CP38" s="47">
        <f t="array" ref="CP38">IF(AND(ISNUMBER(MATCH(CP$2, AsistenciaJetAdminConcatenada!$A:$A, 0)), ISNUMBER(MATCH(CP$1, AsistenciaJetAdminConcatenada!$B:$B, 0)), ISNUMBER(SEARCH($A38,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ISNUMBER(SEARCH($A38, INDEX(AsistenciaJetAdminConcatenada!$D:$D, MATCH(1, (AsistenciaJetAdminConcatenada!$A:$A=CP$2)*(AsistenciaJetAdminConcatenada!$B:$B=CP$1), 0)), 1))),  0.5, 0))</f>
        <v>0.5</v>
      </c>
      <c r="CQ38" s="47">
        <f t="array" ref="CQ38">IF(AND(ISNUMBER(MATCH(CQ$2, AsistenciaJetAdminConcatenada!$A:$A, 0)), ISNUMBER(MATCH(CQ$1, AsistenciaJetAdminConcatenada!$B:$B, 0)), ISNUMBER(SEARCH($A38,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ISNUMBER(SEARCH($A38, INDEX(AsistenciaJetAdminConcatenada!$D:$D, MATCH(1, (AsistenciaJetAdminConcatenada!$A:$A=CQ$2)*(AsistenciaJetAdminConcatenada!$B:$B=CQ$1), 0)), 1))),  0.5, 0))</f>
        <v>0</v>
      </c>
      <c r="CR38" s="47">
        <f t="array" ref="CR38">IF(AND(ISNUMBER(MATCH(CR$2, AsistenciaJetAdminConcatenada!$A:$A, 0)), ISNUMBER(MATCH(CR$1, AsistenciaJetAdminConcatenada!$B:$B, 0)), ISNUMBER(SEARCH($A38,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ISNUMBER(SEARCH($A38, INDEX(AsistenciaJetAdminConcatenada!$D:$D, MATCH(1, (AsistenciaJetAdminConcatenada!$A:$A=CR$2)*(AsistenciaJetAdminConcatenada!$B:$B=CR$1), 0)), 1))),  0.5, 0))</f>
        <v>1</v>
      </c>
      <c r="CS38" s="47">
        <f t="array" ref="CS38">IF(AND(ISNUMBER(MATCH(CS$2, AsistenciaJetAdminConcatenada!$A:$A, 0)), ISNUMBER(MATCH(CS$1, AsistenciaJetAdminConcatenada!$B:$B, 0)), ISNUMBER(SEARCH($A38,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ISNUMBER(SEARCH($A38, INDEX(AsistenciaJetAdminConcatenada!$D:$D, MATCH(1, (AsistenciaJetAdminConcatenada!$A:$A=CS$2)*(AsistenciaJetAdminConcatenada!$B:$B=CS$1), 0)), 1))),  0.5, 0))</f>
        <v>0</v>
      </c>
      <c r="CT38" s="47">
        <f t="array" ref="CT38">IF(AND(ISNUMBER(MATCH(CT$2, AsistenciaJetAdminConcatenada!$A:$A, 0)), ISNUMBER(MATCH(CT$1, AsistenciaJetAdminConcatenada!$B:$B, 0)), ISNUMBER(SEARCH($A38,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ISNUMBER(SEARCH($A38, INDEX(AsistenciaJetAdminConcatenada!$D:$D, MATCH(1, (AsistenciaJetAdminConcatenada!$A:$A=CT$2)*(AsistenciaJetAdminConcatenada!$B:$B=CT$1), 0)), 1))),  0.5, 0))</f>
        <v>0</v>
      </c>
      <c r="CU38" s="47">
        <f t="array" ref="CU38">IF(AND(ISNUMBER(MATCH(CU$2, AsistenciaJetAdminConcatenada!$A:$A, 0)), ISNUMBER(MATCH(CU$1, AsistenciaJetAdminConcatenada!$B:$B, 0)), ISNUMBER(SEARCH($A38,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ISNUMBER(SEARCH($A38, INDEX(AsistenciaJetAdminConcatenada!$D:$D, MATCH(1, (AsistenciaJetAdminConcatenada!$A:$A=CU$2)*(AsistenciaJetAdminConcatenada!$B:$B=CU$1), 0)), 1))),  0.5, 0))</f>
        <v>0</v>
      </c>
      <c r="CV38" s="47">
        <f t="array" ref="CV38">IF(AND(ISNUMBER(MATCH(CV$2, AsistenciaJetAdminConcatenada!$A:$A, 0)), ISNUMBER(MATCH(CV$1, AsistenciaJetAdminConcatenada!$B:$B, 0)), ISNUMBER(SEARCH($A38,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ISNUMBER(SEARCH($A38, INDEX(AsistenciaJetAdminConcatenada!$D:$D, MATCH(1, (AsistenciaJetAdminConcatenada!$A:$A=CV$2)*(AsistenciaJetAdminConcatenada!$B:$B=CV$1), 0)), 1))),  0.5, 0))</f>
        <v>0</v>
      </c>
      <c r="CW38" s="47">
        <f t="array" ref="CW38">IF(AND(ISNUMBER(MATCH(CW$2, AsistenciaJetAdminConcatenada!$A:$A, 0)), ISNUMBER(MATCH(CW$1, AsistenciaJetAdminConcatenada!$B:$B, 0)), ISNUMBER(SEARCH($A38,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ISNUMBER(SEARCH($A38, INDEX(AsistenciaJetAdminConcatenada!$D:$D, MATCH(1, (AsistenciaJetAdminConcatenada!$A:$A=CW$2)*(AsistenciaJetAdminConcatenada!$B:$B=CW$1), 0)), 1))),  0.5, 0))</f>
        <v>0</v>
      </c>
      <c r="CX38" s="47">
        <f t="array" ref="CX38">IF(AND(ISNUMBER(MATCH(CX$2, AsistenciaJetAdminConcatenada!$A:$A, 0)), ISNUMBER(MATCH(CX$1, AsistenciaJetAdminConcatenada!$B:$B, 0)), ISNUMBER(SEARCH($A38,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ISNUMBER(SEARCH($A38, INDEX(AsistenciaJetAdminConcatenada!$D:$D, MATCH(1, (AsistenciaJetAdminConcatenada!$A:$A=CX$2)*(AsistenciaJetAdminConcatenada!$B:$B=CX$1), 0)), 1))),  0.5, 0))</f>
        <v>0</v>
      </c>
      <c r="CY38" s="47">
        <f t="array" ref="CY38">IF(AND(ISNUMBER(MATCH(CY$2, AsistenciaJetAdminConcatenada!$A:$A, 0)), ISNUMBER(MATCH(CY$1, AsistenciaJetAdminConcatenada!$B:$B, 0)), ISNUMBER(SEARCH($A38,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ISNUMBER(SEARCH($A38, INDEX(AsistenciaJetAdminConcatenada!$D:$D, MATCH(1, (AsistenciaJetAdminConcatenada!$A:$A=CY$2)*(AsistenciaJetAdminConcatenada!$B:$B=CY$1), 0)), 1))),  0.5, 0))</f>
        <v>0</v>
      </c>
      <c r="CZ38" s="47">
        <f t="array" ref="CZ38">IF(AND(ISNUMBER(MATCH(CZ$2, AsistenciaJetAdminConcatenada!$A:$A, 0)), ISNUMBER(MATCH(CZ$1, AsistenciaJetAdminConcatenada!$B:$B, 0)), ISNUMBER(SEARCH($A38,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ISNUMBER(SEARCH($A38, INDEX(AsistenciaJetAdminConcatenada!$D:$D, MATCH(1, (AsistenciaJetAdminConcatenada!$A:$A=CZ$2)*(AsistenciaJetAdminConcatenada!$B:$B=CZ$1), 0)), 1))),  0.5, 0))</f>
        <v>0</v>
      </c>
      <c r="DA38" s="47">
        <f t="array" ref="DA38">IF(AND(ISNUMBER(MATCH(DA$2, AsistenciaJetAdminConcatenada!$A:$A, 0)), ISNUMBER(MATCH(DA$1, AsistenciaJetAdminConcatenada!$B:$B, 0)), ISNUMBER(SEARCH($A38,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ISNUMBER(SEARCH($A38, INDEX(AsistenciaJetAdminConcatenada!$D:$D, MATCH(1, (AsistenciaJetAdminConcatenada!$A:$A=DA$2)*(AsistenciaJetAdminConcatenada!$B:$B=DA$1), 0)), 1))),  0.5, 0))</f>
        <v>0</v>
      </c>
      <c r="DB38" s="47">
        <f t="array" ref="DB38">IF(AND(ISNUMBER(MATCH(DB$2, AsistenciaJetAdminConcatenada!$A:$A, 0)), ISNUMBER(MATCH(DB$1, AsistenciaJetAdminConcatenada!$B:$B, 0)), ISNUMBER(SEARCH($A38,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ISNUMBER(SEARCH($A38, INDEX(AsistenciaJetAdminConcatenada!$D:$D, MATCH(1, (AsistenciaJetAdminConcatenada!$A:$A=DB$2)*(AsistenciaJetAdminConcatenada!$B:$B=DB$1), 0)), 1))),  0.5, 0))</f>
        <v>0</v>
      </c>
      <c r="DC38" s="47">
        <f t="array" ref="DC38">IF(AND(ISNUMBER(MATCH(DC$2, AsistenciaJetAdminConcatenada!$A:$A, 0)), ISNUMBER(MATCH(DC$1, AsistenciaJetAdminConcatenada!$B:$B, 0)), ISNUMBER(SEARCH($A38,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ISNUMBER(SEARCH($A38, INDEX(AsistenciaJetAdminConcatenada!$D:$D, MATCH(1, (AsistenciaJetAdminConcatenada!$A:$A=DC$2)*(AsistenciaJetAdminConcatenada!$B:$B=DC$1), 0)), 1))),  0.5, 0))</f>
        <v>0</v>
      </c>
      <c r="DD38" s="47">
        <f t="array" ref="DD38">IF(AND(ISNUMBER(MATCH(DD$2, AsistenciaJetAdminConcatenada!$A:$A, 0)), ISNUMBER(MATCH(DD$1, AsistenciaJetAdminConcatenada!$B:$B, 0)), ISNUMBER(SEARCH($A38,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ISNUMBER(SEARCH($A38, INDEX(AsistenciaJetAdminConcatenada!$D:$D, MATCH(1, (AsistenciaJetAdminConcatenada!$A:$A=DD$2)*(AsistenciaJetAdminConcatenada!$B:$B=DD$1), 0)), 1))),  0.5, 0))</f>
        <v>0</v>
      </c>
      <c r="DE38" s="47">
        <f t="array" ref="DE38">IF(AND(ISNUMBER(MATCH(DE$2, AsistenciaJetAdminConcatenada!$A:$A, 0)), ISNUMBER(MATCH(DE$1, AsistenciaJetAdminConcatenada!$B:$B, 0)), ISNUMBER(SEARCH($A38,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ISNUMBER(SEARCH($A38, INDEX(AsistenciaJetAdminConcatenada!$D:$D, MATCH(1, (AsistenciaJetAdminConcatenada!$A:$A=DE$2)*(AsistenciaJetAdminConcatenada!$B:$B=DE$1), 0)), 1))),  0.5, 0))</f>
        <v>0</v>
      </c>
      <c r="DF38" s="47">
        <f t="array" ref="DF38">IF(AND(ISNUMBER(MATCH(DF$2, AsistenciaJetAdminConcatenada!$A:$A, 0)), ISNUMBER(MATCH(DF$1, AsistenciaJetAdminConcatenada!$B:$B, 0)), ISNUMBER(SEARCH($A38,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ISNUMBER(SEARCH($A38, INDEX(AsistenciaJetAdminConcatenada!$D:$D, MATCH(1, (AsistenciaJetAdminConcatenada!$A:$A=DF$2)*(AsistenciaJetAdminConcatenada!$B:$B=DF$1), 0)), 1))),  0.5, 0))</f>
        <v>0</v>
      </c>
      <c r="DG38" s="47">
        <f t="array" ref="DG38">IF(AND(ISNUMBER(MATCH(DG$2, AsistenciaJetAdminConcatenada!$A:$A, 0)), ISNUMBER(MATCH(DG$1, AsistenciaJetAdminConcatenada!$B:$B, 0)), ISNUMBER(SEARCH($A38,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ISNUMBER(SEARCH($A38, INDEX(AsistenciaJetAdminConcatenada!$D:$D, MATCH(1, (AsistenciaJetAdminConcatenada!$A:$A=DG$2)*(AsistenciaJetAdminConcatenada!$B:$B=DG$1), 0)), 1))),  0.5, 0))</f>
        <v>0</v>
      </c>
      <c r="DH38" s="47">
        <f t="array" ref="DH38">IF(AND(ISNUMBER(MATCH(DH$2, AsistenciaJetAdminConcatenada!$A:$A, 0)), ISNUMBER(MATCH(DH$1, AsistenciaJetAdminConcatenada!$B:$B, 0)), ISNUMBER(SEARCH($A38,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ISNUMBER(SEARCH($A38, INDEX(AsistenciaJetAdminConcatenada!$D:$D, MATCH(1, (AsistenciaJetAdminConcatenada!$A:$A=DH$2)*(AsistenciaJetAdminConcatenada!$B:$B=DH$1), 0)), 1))),  0.5, 0))</f>
        <v>0</v>
      </c>
      <c r="DI38" s="47">
        <f t="array" ref="DI38">IF(AND(ISNUMBER(MATCH(DI$2, AsistenciaJetAdminConcatenada!$A:$A, 0)), ISNUMBER(MATCH(DI$1, AsistenciaJetAdminConcatenada!$B:$B, 0)), ISNUMBER(SEARCH($A38,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ISNUMBER(SEARCH($A38, INDEX(AsistenciaJetAdminConcatenada!$D:$D, MATCH(1, (AsistenciaJetAdminConcatenada!$A:$A=DI$2)*(AsistenciaJetAdminConcatenada!$B:$B=DI$1), 0)), 1))),  0.5, 0))</f>
        <v>0</v>
      </c>
      <c r="DJ38" s="47">
        <f t="array" ref="DJ38">IF(AND(ISNUMBER(MATCH(DJ$2, AsistenciaJetAdminConcatenada!$A:$A, 0)), ISNUMBER(MATCH(DJ$1, AsistenciaJetAdminConcatenada!$B:$B, 0)), ISNUMBER(SEARCH($A38,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ISNUMBER(SEARCH($A38, INDEX(AsistenciaJetAdminConcatenada!$D:$D, MATCH(1, (AsistenciaJetAdminConcatenada!$A:$A=DJ$2)*(AsistenciaJetAdminConcatenada!$B:$B=DJ$1), 0)), 1))),  0.5, 0))</f>
        <v>0</v>
      </c>
      <c r="DK38" s="47">
        <f t="array" ref="DK38">IF(AND(ISNUMBER(MATCH(DK$2, AsistenciaJetAdminConcatenada!$A:$A, 0)), ISNUMBER(MATCH(DK$1, AsistenciaJetAdminConcatenada!$B:$B, 0)), ISNUMBER(SEARCH($A38,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ISNUMBER(SEARCH($A38, INDEX(AsistenciaJetAdminConcatenada!$D:$D, MATCH(1, (AsistenciaJetAdminConcatenada!$A:$A=DK$2)*(AsistenciaJetAdminConcatenada!$B:$B=DK$1), 0)), 1))),  0.5, 0))</f>
        <v>0</v>
      </c>
      <c r="DL38" s="47">
        <f t="array" ref="DL38">IF(AND(ISNUMBER(MATCH(DL$2, AsistenciaJetAdminConcatenada!$A:$A, 0)), ISNUMBER(MATCH(DL$1, AsistenciaJetAdminConcatenada!$B:$B, 0)), ISNUMBER(SEARCH($A38,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ISNUMBER(SEARCH($A38, INDEX(AsistenciaJetAdminConcatenada!$D:$D, MATCH(1, (AsistenciaJetAdminConcatenada!$A:$A=DL$2)*(AsistenciaJetAdminConcatenada!$B:$B=DL$1), 0)), 1))),  0.5, 0))</f>
        <v>0</v>
      </c>
      <c r="DM38" s="47">
        <f t="array" ref="DM38">IF(AND(ISNUMBER(MATCH(DM$2, AsistenciaJetAdminConcatenada!$A:$A, 0)), ISNUMBER(MATCH(DM$1, AsistenciaJetAdminConcatenada!$B:$B, 0)), ISNUMBER(SEARCH($A38,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ISNUMBER(SEARCH($A38, INDEX(AsistenciaJetAdminConcatenada!$D:$D, MATCH(1, (AsistenciaJetAdminConcatenada!$A:$A=DM$2)*(AsistenciaJetAdminConcatenada!$B:$B=DM$1), 0)), 1))),  0.5, 0))</f>
        <v>0</v>
      </c>
      <c r="DN38" s="47">
        <f t="array" ref="DN38">IF(AND(ISNUMBER(MATCH(DN$2, AsistenciaJetAdminConcatenada!$A:$A, 0)), ISNUMBER(MATCH(DN$1, AsistenciaJetAdminConcatenada!$B:$B, 0)), ISNUMBER(SEARCH($A38,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ISNUMBER(SEARCH($A38, INDEX(AsistenciaJetAdminConcatenada!$D:$D, MATCH(1, (AsistenciaJetAdminConcatenada!$A:$A=DN$2)*(AsistenciaJetAdminConcatenada!$B:$B=DN$1), 0)), 1))),  0.5, 0))</f>
        <v>0</v>
      </c>
      <c r="DO38" s="47">
        <f t="array" ref="DO38">IF(AND(ISNUMBER(MATCH(DO$2, AsistenciaJetAdminConcatenada!$A:$A, 0)), ISNUMBER(MATCH(DO$1, AsistenciaJetAdminConcatenada!$B:$B, 0)), ISNUMBER(SEARCH($A38,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ISNUMBER(SEARCH($A38, INDEX(AsistenciaJetAdminConcatenada!$D:$D, MATCH(1, (AsistenciaJetAdminConcatenada!$A:$A=DO$2)*(AsistenciaJetAdminConcatenada!$B:$B=DO$1), 0)), 1))),  0.5, 0))</f>
        <v>0</v>
      </c>
      <c r="DP38" s="47">
        <f t="array" ref="DP38">IF(AND(ISNUMBER(MATCH(DP$2, AsistenciaJetAdminConcatenada!$A:$A, 0)), ISNUMBER(MATCH(DP$1, AsistenciaJetAdminConcatenada!$B:$B, 0)), ISNUMBER(SEARCH($A38,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ISNUMBER(SEARCH($A38, INDEX(AsistenciaJetAdminConcatenada!$D:$D, MATCH(1, (AsistenciaJetAdminConcatenada!$A:$A=DP$2)*(AsistenciaJetAdminConcatenada!$B:$B=DP$1), 0)), 1))),  0.5, 0))</f>
        <v>0</v>
      </c>
      <c r="DQ38" s="47">
        <f t="array" ref="DQ38">IF(AND(ISNUMBER(MATCH(DQ$2, AsistenciaJetAdminConcatenada!$A:$A, 0)), ISNUMBER(MATCH(DQ$1, AsistenciaJetAdminConcatenada!$B:$B, 0)), ISNUMBER(SEARCH($A38,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ISNUMBER(SEARCH($A38, INDEX(AsistenciaJetAdminConcatenada!$D:$D, MATCH(1, (AsistenciaJetAdminConcatenada!$A:$A=DQ$2)*(AsistenciaJetAdminConcatenada!$B:$B=DQ$1), 0)), 1))),  0.5, 0))</f>
        <v>0</v>
      </c>
      <c r="DR38" s="47">
        <f t="array" ref="DR38">IF(AND(ISNUMBER(MATCH(DR$2, AsistenciaJetAdminConcatenada!$A:$A, 0)), ISNUMBER(MATCH(DR$1, AsistenciaJetAdminConcatenada!$B:$B, 0)), ISNUMBER(SEARCH($A38,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ISNUMBER(SEARCH($A38, INDEX(AsistenciaJetAdminConcatenada!$D:$D, MATCH(1, (AsistenciaJetAdminConcatenada!$A:$A=DR$2)*(AsistenciaJetAdminConcatenada!$B:$B=DR$1), 0)), 1))),  0.5, 0))</f>
        <v>0</v>
      </c>
      <c r="DS38" s="47">
        <f t="array" ref="DS38">IF(AND(ISNUMBER(MATCH(DS$2, AsistenciaJetAdminConcatenada!$A:$A, 0)), ISNUMBER(MATCH(DS$1, AsistenciaJetAdminConcatenada!$B:$B, 0)), ISNUMBER(SEARCH($A38,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ISNUMBER(SEARCH($A38, INDEX(AsistenciaJetAdminConcatenada!$D:$D, MATCH(1, (AsistenciaJetAdminConcatenada!$A:$A=DS$2)*(AsistenciaJetAdminConcatenada!$B:$B=DS$1), 0)), 1))),  0.5, 0))</f>
        <v>0</v>
      </c>
      <c r="DT38" s="47">
        <f t="array" ref="DT38">IF(AND(ISNUMBER(MATCH(DT$2, AsistenciaJetAdminConcatenada!$A:$A, 0)), ISNUMBER(MATCH(DT$1, AsistenciaJetAdminConcatenada!$B:$B, 0)), ISNUMBER(SEARCH($A38,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ISNUMBER(SEARCH($A38, INDEX(AsistenciaJetAdminConcatenada!$D:$D, MATCH(1, (AsistenciaJetAdminConcatenada!$A:$A=DT$2)*(AsistenciaJetAdminConcatenada!$B:$B=DT$1), 0)), 1))),  0.5, 0))</f>
        <v>0</v>
      </c>
      <c r="DU38" s="47">
        <f t="array" ref="DU38">IF(AND(ISNUMBER(MATCH(DU$2, AsistenciaJetAdminConcatenada!$A:$A, 0)), ISNUMBER(MATCH(DU$1, AsistenciaJetAdminConcatenada!$B:$B, 0)), ISNUMBER(SEARCH($A38,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ISNUMBER(SEARCH($A38, INDEX(AsistenciaJetAdminConcatenada!$D:$D, MATCH(1, (AsistenciaJetAdminConcatenada!$A:$A=DU$2)*(AsistenciaJetAdminConcatenada!$B:$B=DU$1), 0)), 1))),  0.5, 0))</f>
        <v>0</v>
      </c>
      <c r="DV38" s="47">
        <f t="array" ref="DV38">IF(AND(ISNUMBER(MATCH(DV$2, AsistenciaJetAdminConcatenada!$A:$A, 0)), ISNUMBER(MATCH(DV$1, AsistenciaJetAdminConcatenada!$B:$B, 0)), ISNUMBER(SEARCH($A38,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ISNUMBER(SEARCH($A38, INDEX(AsistenciaJetAdminConcatenada!$D:$D, MATCH(1, (AsistenciaJetAdminConcatenada!$A:$A=DV$2)*(AsistenciaJetAdminConcatenada!$B:$B=DV$1), 0)), 1))),  0.5, 0))</f>
        <v>0</v>
      </c>
      <c r="DW38" s="47">
        <f t="array" ref="DW38">IF(AND(ISNUMBER(MATCH(DW$2, AsistenciaJetAdminConcatenada!$A:$A, 0)), ISNUMBER(MATCH(DW$1, AsistenciaJetAdminConcatenada!$B:$B, 0)), ISNUMBER(SEARCH($A38,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ISNUMBER(SEARCH($A38, INDEX(AsistenciaJetAdminConcatenada!$D:$D, MATCH(1, (AsistenciaJetAdminConcatenada!$A:$A=DW$2)*(AsistenciaJetAdminConcatenada!$B:$B=DW$1), 0)), 1))),  0.5, 0))</f>
        <v>0</v>
      </c>
      <c r="DX38" s="47">
        <f t="array" ref="DX38">IF(AND(ISNUMBER(MATCH(DX$2, AsistenciaJetAdminConcatenada!$A:$A, 0)), ISNUMBER(MATCH(DX$1, AsistenciaJetAdminConcatenada!$B:$B, 0)), ISNUMBER(SEARCH($A38,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ISNUMBER(SEARCH($A38, INDEX(AsistenciaJetAdminConcatenada!$D:$D, MATCH(1, (AsistenciaJetAdminConcatenada!$A:$A=DX$2)*(AsistenciaJetAdminConcatenada!$B:$B=DX$1), 0)), 1))),  0.5, 0))</f>
        <v>0</v>
      </c>
      <c r="DY38" s="47">
        <f t="array" ref="DY38">IF(AND(ISNUMBER(MATCH(DY$2, AsistenciaJetAdminConcatenada!$A:$A, 0)), ISNUMBER(MATCH(DY$1, AsistenciaJetAdminConcatenada!$B:$B, 0)), ISNUMBER(SEARCH($A38,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ISNUMBER(SEARCH($A38, INDEX(AsistenciaJetAdminConcatenada!$D:$D, MATCH(1, (AsistenciaJetAdminConcatenada!$A:$A=DY$2)*(AsistenciaJetAdminConcatenada!$B:$B=DY$1), 0)), 1))),  0.5, 0))</f>
        <v>0</v>
      </c>
      <c r="DZ38" s="47">
        <f t="array" ref="DZ38">IF(AND(ISNUMBER(MATCH(DZ$2, AsistenciaJetAdminConcatenada!$A:$A, 0)), ISNUMBER(MATCH(DZ$1, AsistenciaJetAdminConcatenada!$B:$B, 0)), ISNUMBER(SEARCH($A38,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ISNUMBER(SEARCH($A38, INDEX(AsistenciaJetAdminConcatenada!$D:$D, MATCH(1, (AsistenciaJetAdminConcatenada!$A:$A=DZ$2)*(AsistenciaJetAdminConcatenada!$B:$B=DZ$1), 0)), 1))),  0.5, 0))</f>
        <v>0</v>
      </c>
      <c r="EA38" s="47">
        <f t="array" ref="EA38">IF(AND(ISNUMBER(MATCH(EA$2, AsistenciaJetAdminConcatenada!$A:$A, 0)), ISNUMBER(MATCH(EA$1, AsistenciaJetAdminConcatenada!$B:$B, 0)), ISNUMBER(SEARCH($A38,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ISNUMBER(SEARCH($A38, INDEX(AsistenciaJetAdminConcatenada!$D:$D, MATCH(1, (AsistenciaJetAdminConcatenada!$A:$A=EA$2)*(AsistenciaJetAdminConcatenada!$B:$B=EA$1), 0)), 1))),  0.5, 0))</f>
        <v>0</v>
      </c>
      <c r="EB38" s="47">
        <f t="array" ref="EB38">IF(AND(ISNUMBER(MATCH(EB$2, AsistenciaJetAdminConcatenada!$A:$A, 0)), ISNUMBER(MATCH(EB$1, AsistenciaJetAdminConcatenada!$B:$B, 0)), ISNUMBER(SEARCH($A38,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ISNUMBER(SEARCH($A38, INDEX(AsistenciaJetAdminConcatenada!$D:$D, MATCH(1, (AsistenciaJetAdminConcatenada!$A:$A=EB$2)*(AsistenciaJetAdminConcatenada!$B:$B=EB$1), 0)), 1))),  0.5, 0))</f>
        <v>0</v>
      </c>
      <c r="EC38" s="47">
        <f t="array" ref="EC38">IF(AND(ISNUMBER(MATCH(EC$2, AsistenciaJetAdminConcatenada!$A:$A, 0)), ISNUMBER(MATCH(EC$1, AsistenciaJetAdminConcatenada!$B:$B, 0)), ISNUMBER(SEARCH($A38,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ISNUMBER(SEARCH($A38, INDEX(AsistenciaJetAdminConcatenada!$D:$D, MATCH(1, (AsistenciaJetAdminConcatenada!$A:$A=EC$2)*(AsistenciaJetAdminConcatenada!$B:$B=EC$1), 0)), 1))),  0.5, 0))</f>
        <v>0</v>
      </c>
      <c r="ED38" s="47">
        <f t="array" ref="ED38">IF(AND(ISNUMBER(MATCH(ED$2, AsistenciaJetAdminConcatenada!$A:$A, 0)), ISNUMBER(MATCH(ED$1, AsistenciaJetAdminConcatenada!$B:$B, 0)), ISNUMBER(SEARCH($A38,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ISNUMBER(SEARCH($A38, INDEX(AsistenciaJetAdminConcatenada!$D:$D, MATCH(1, (AsistenciaJetAdminConcatenada!$A:$A=ED$2)*(AsistenciaJetAdminConcatenada!$B:$B=ED$1), 0)), 1))),  0.5, 0))</f>
        <v>0</v>
      </c>
      <c r="EE38" s="47">
        <f t="array" ref="EE38">IF(AND(ISNUMBER(MATCH(EE$2, AsistenciaJetAdminConcatenada!$A:$A, 0)), ISNUMBER(MATCH(EE$1, AsistenciaJetAdminConcatenada!$B:$B, 0)), ISNUMBER(SEARCH($A38,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ISNUMBER(SEARCH($A38, INDEX(AsistenciaJetAdminConcatenada!$D:$D, MATCH(1, (AsistenciaJetAdminConcatenada!$A:$A=EE$2)*(AsistenciaJetAdminConcatenada!$B:$B=EE$1), 0)), 1))),  0.5, 0))</f>
        <v>0</v>
      </c>
      <c r="EF38" s="47">
        <f t="array" ref="EF38">IF(AND(ISNUMBER(MATCH(EF$2, AsistenciaJetAdminConcatenada!$A:$A, 0)), ISNUMBER(MATCH(EF$1, AsistenciaJetAdminConcatenada!$B:$B, 0)), ISNUMBER(SEARCH($A38,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ISNUMBER(SEARCH($A38, INDEX(AsistenciaJetAdminConcatenada!$D:$D, MATCH(1, (AsistenciaJetAdminConcatenada!$A:$A=EF$2)*(AsistenciaJetAdminConcatenada!$B:$B=EF$1), 0)), 1))),  0.5, 0))</f>
        <v>0</v>
      </c>
      <c r="EG38" s="47">
        <f t="array" ref="EG38">IF(AND(ISNUMBER(MATCH(EG$2, AsistenciaJetAdminConcatenada!$A:$A, 0)), ISNUMBER(MATCH(EG$1, AsistenciaJetAdminConcatenada!$B:$B, 0)), ISNUMBER(SEARCH($A38,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ISNUMBER(SEARCH($A38, INDEX(AsistenciaJetAdminConcatenada!$D:$D, MATCH(1, (AsistenciaJetAdminConcatenada!$A:$A=EG$2)*(AsistenciaJetAdminConcatenada!$B:$B=EG$1), 0)), 1))),  0.5, 0))</f>
        <v>0</v>
      </c>
      <c r="EH38" s="47">
        <f t="array" ref="EH38">IF(AND(ISNUMBER(MATCH(EH$2, AsistenciaJetAdminConcatenada!$A:$A, 0)), ISNUMBER(MATCH(EH$1, AsistenciaJetAdminConcatenada!$B:$B, 0)), ISNUMBER(SEARCH($A38,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ISNUMBER(SEARCH($A38, INDEX(AsistenciaJetAdminConcatenada!$D:$D, MATCH(1, (AsistenciaJetAdminConcatenada!$A:$A=EH$2)*(AsistenciaJetAdminConcatenada!$B:$B=EH$1), 0)), 1))),  0.5, 0))</f>
        <v>0</v>
      </c>
      <c r="EI38" s="47">
        <f t="array" ref="EI38">IF(AND(ISNUMBER(MATCH(EI$2, AsistenciaJetAdminConcatenada!$A:$A, 0)), ISNUMBER(MATCH(EI$1, AsistenciaJetAdminConcatenada!$B:$B, 0)), ISNUMBER(SEARCH($A38,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ISNUMBER(SEARCH($A38, INDEX(AsistenciaJetAdminConcatenada!$D:$D, MATCH(1, (AsistenciaJetAdminConcatenada!$A:$A=EI$2)*(AsistenciaJetAdminConcatenada!$B:$B=EI$1), 0)), 1))),  0.5, 0))</f>
        <v>0</v>
      </c>
      <c r="EJ38" s="47">
        <f t="array" ref="EJ38">IF(AND(ISNUMBER(MATCH(EJ$2, AsistenciaJetAdminConcatenada!$A:$A, 0)), ISNUMBER(MATCH(EJ$1, AsistenciaJetAdminConcatenada!$B:$B, 0)), ISNUMBER(SEARCH($A38,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ISNUMBER(SEARCH($A38, INDEX(AsistenciaJetAdminConcatenada!$D:$D, MATCH(1, (AsistenciaJetAdminConcatenada!$A:$A=EJ$2)*(AsistenciaJetAdminConcatenada!$B:$B=EJ$1), 0)), 1))),  0.5, 0))</f>
        <v>0</v>
      </c>
      <c r="EK38" s="47">
        <f t="array" ref="EK38">IF(AND(ISNUMBER(MATCH(EK$2, AsistenciaJetAdminConcatenada!$A:$A, 0)), ISNUMBER(MATCH(EK$1, AsistenciaJetAdminConcatenada!$B:$B, 0)), ISNUMBER(SEARCH($A38,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ISNUMBER(SEARCH($A38, INDEX(AsistenciaJetAdminConcatenada!$D:$D, MATCH(1, (AsistenciaJetAdminConcatenada!$A:$A=EK$2)*(AsistenciaJetAdminConcatenada!$B:$B=EK$1), 0)), 1))),  0.5, 0))</f>
        <v>0</v>
      </c>
      <c r="EL38" s="47">
        <f t="array" ref="EL38">IF(AND(ISNUMBER(MATCH(EL$2, AsistenciaJetAdminConcatenada!$A:$A, 0)), ISNUMBER(MATCH(EL$1, AsistenciaJetAdminConcatenada!$B:$B, 0)), ISNUMBER(SEARCH($A38,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ISNUMBER(SEARCH($A38, INDEX(AsistenciaJetAdminConcatenada!$D:$D, MATCH(1, (AsistenciaJetAdminConcatenada!$A:$A=EL$2)*(AsistenciaJetAdminConcatenada!$B:$B=EL$1), 0)), 1))),  0.5, 0))</f>
        <v>0</v>
      </c>
      <c r="EM38" s="47">
        <f t="array" ref="EM38">IF(AND(ISNUMBER(MATCH(EM$2, AsistenciaJetAdminConcatenada!$A:$A, 0)), ISNUMBER(MATCH(EM$1, AsistenciaJetAdminConcatenada!$B:$B, 0)), ISNUMBER(SEARCH($A38,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ISNUMBER(SEARCH($A38, INDEX(AsistenciaJetAdminConcatenada!$D:$D, MATCH(1, (AsistenciaJetAdminConcatenada!$A:$A=EM$2)*(AsistenciaJetAdminConcatenada!$B:$B=EM$1), 0)), 1))),  0.5, 0))</f>
        <v>0</v>
      </c>
      <c r="EN38" s="47">
        <f t="array" ref="EN38">IF(AND(ISNUMBER(MATCH(EN$2, AsistenciaJetAdminConcatenada!$A:$A, 0)), ISNUMBER(MATCH(EN$1, AsistenciaJetAdminConcatenada!$B:$B, 0)), ISNUMBER(SEARCH($A38,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ISNUMBER(SEARCH($A38, INDEX(AsistenciaJetAdminConcatenada!$D:$D, MATCH(1, (AsistenciaJetAdminConcatenada!$A:$A=EN$2)*(AsistenciaJetAdminConcatenada!$B:$B=EN$1), 0)), 1))),  0.5, 0))</f>
        <v>0</v>
      </c>
      <c r="EO38" s="47">
        <f t="array" ref="EO38">IF(AND(ISNUMBER(MATCH(EO$2, AsistenciaJetAdminConcatenada!$A:$A, 0)), ISNUMBER(MATCH(EO$1, AsistenciaJetAdminConcatenada!$B:$B, 0)), ISNUMBER(SEARCH($A38,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ISNUMBER(SEARCH($A38, INDEX(AsistenciaJetAdminConcatenada!$D:$D, MATCH(1, (AsistenciaJetAdminConcatenada!$A:$A=EO$2)*(AsistenciaJetAdminConcatenada!$B:$B=EO$1), 0)), 1))),  0.5, 0))</f>
        <v>0</v>
      </c>
      <c r="EP38" s="47">
        <f t="array" ref="EP38">IF(AND(ISNUMBER(MATCH(EP$2, AsistenciaJetAdminConcatenada!$A:$A, 0)), ISNUMBER(MATCH(EP$1, AsistenciaJetAdminConcatenada!$B:$B, 0)), ISNUMBER(SEARCH($A38,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ISNUMBER(SEARCH($A38, INDEX(AsistenciaJetAdminConcatenada!$D:$D, MATCH(1, (AsistenciaJetAdminConcatenada!$A:$A=EP$2)*(AsistenciaJetAdminConcatenada!$B:$B=EP$1), 0)), 1))),  0.5, 0))</f>
        <v>0</v>
      </c>
      <c r="EQ38" s="47">
        <f t="array" ref="EQ38">IF(AND(ISNUMBER(MATCH(EQ$2, AsistenciaJetAdminConcatenada!$A:$A, 0)), ISNUMBER(MATCH(EQ$1, AsistenciaJetAdminConcatenada!$B:$B, 0)), ISNUMBER(SEARCH($A38,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ISNUMBER(SEARCH($A38, INDEX(AsistenciaJetAdminConcatenada!$D:$D, MATCH(1, (AsistenciaJetAdminConcatenada!$A:$A=EQ$2)*(AsistenciaJetAdminConcatenada!$B:$B=EQ$1), 0)), 1))),  0.5, 0))</f>
        <v>0</v>
      </c>
      <c r="ER38" s="47">
        <f t="array" ref="ER38">IF(AND(ISNUMBER(MATCH(ER$2, AsistenciaJetAdminConcatenada!$A:$A, 0)), ISNUMBER(MATCH(ER$1, AsistenciaJetAdminConcatenada!$B:$B, 0)), ISNUMBER(SEARCH($A38,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ISNUMBER(SEARCH($A38, INDEX(AsistenciaJetAdminConcatenada!$D:$D, MATCH(1, (AsistenciaJetAdminConcatenada!$A:$A=ER$2)*(AsistenciaJetAdminConcatenada!$B:$B=ER$1), 0)), 1))),  0.5, 0))</f>
        <v>0</v>
      </c>
      <c r="ES38" s="47">
        <f t="array" ref="ES38">IF(AND(ISNUMBER(MATCH(ES$2, AsistenciaJetAdminConcatenada!$A:$A, 0)), ISNUMBER(MATCH(ES$1, AsistenciaJetAdminConcatenada!$B:$B, 0)), ISNUMBER(SEARCH($A38,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ISNUMBER(SEARCH($A38, INDEX(AsistenciaJetAdminConcatenada!$D:$D, MATCH(1, (AsistenciaJetAdminConcatenada!$A:$A=ES$2)*(AsistenciaJetAdminConcatenada!$B:$B=ES$1), 0)), 1))),  0.5, 0))</f>
        <v>0</v>
      </c>
      <c r="ET38" s="47">
        <f t="array" ref="ET38">IF(AND(ISNUMBER(MATCH(ET$2, AsistenciaJetAdminConcatenada!$A:$A, 0)), ISNUMBER(MATCH(ET$1, AsistenciaJetAdminConcatenada!$B:$B, 0)), ISNUMBER(SEARCH($A38,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ISNUMBER(SEARCH($A38, INDEX(AsistenciaJetAdminConcatenada!$D:$D, MATCH(1, (AsistenciaJetAdminConcatenada!$A:$A=ET$2)*(AsistenciaJetAdminConcatenada!$B:$B=ET$1), 0)), 1))),  0.5, 0))</f>
        <v>0</v>
      </c>
      <c r="EU38" s="47">
        <f t="array" ref="EU38">IF(AND(ISNUMBER(MATCH(EU$2, AsistenciaJetAdminConcatenada!$A:$A, 0)), ISNUMBER(MATCH(EU$1, AsistenciaJetAdminConcatenada!$B:$B, 0)), ISNUMBER(SEARCH($A38,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ISNUMBER(SEARCH($A38, INDEX(AsistenciaJetAdminConcatenada!$D:$D, MATCH(1, (AsistenciaJetAdminConcatenada!$A:$A=EU$2)*(AsistenciaJetAdminConcatenada!$B:$B=EU$1), 0)), 1))),  0.5, 0))</f>
        <v>0</v>
      </c>
      <c r="EV38" s="47">
        <f t="array" ref="EV38">IF(AND(ISNUMBER(MATCH(EV$2, AsistenciaJetAdminConcatenada!$A:$A, 0)), ISNUMBER(MATCH(EV$1, AsistenciaJetAdminConcatenada!$B:$B, 0)), ISNUMBER(SEARCH($A38,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ISNUMBER(SEARCH($A38, INDEX(AsistenciaJetAdminConcatenada!$D:$D, MATCH(1, (AsistenciaJetAdminConcatenada!$A:$A=EV$2)*(AsistenciaJetAdminConcatenada!$B:$B=EV$1), 0)), 1))),  0.5, 0))</f>
        <v>0</v>
      </c>
      <c r="EW38" s="47">
        <f t="array" ref="EW38">IF(AND(ISNUMBER(MATCH(EW$2, AsistenciaJetAdminConcatenada!$A:$A, 0)), ISNUMBER(MATCH(EW$1, AsistenciaJetAdminConcatenada!$B:$B, 0)), ISNUMBER(SEARCH($A38,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ISNUMBER(SEARCH($A38, INDEX(AsistenciaJetAdminConcatenada!$D:$D, MATCH(1, (AsistenciaJetAdminConcatenada!$A:$A=EW$2)*(AsistenciaJetAdminConcatenada!$B:$B=EW$1), 0)), 1))),  0.5, 0))</f>
        <v>0</v>
      </c>
      <c r="EX38" s="47">
        <f t="array" ref="EX38">IF(AND(ISNUMBER(MATCH(EX$2, AsistenciaJetAdminConcatenada!$A:$A, 0)), ISNUMBER(MATCH(EX$1, AsistenciaJetAdminConcatenada!$B:$B, 0)), ISNUMBER(SEARCH($A38,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ISNUMBER(SEARCH($A38, INDEX(AsistenciaJetAdminConcatenada!$D:$D, MATCH(1, (AsistenciaJetAdminConcatenada!$A:$A=EX$2)*(AsistenciaJetAdminConcatenada!$B:$B=EX$1), 0)), 1))),  0.5, 0))</f>
        <v>0</v>
      </c>
      <c r="EY38" s="47">
        <f t="array" ref="EY38">IF(AND(ISNUMBER(MATCH(EY$2, AsistenciaJetAdminConcatenada!$A:$A, 0)), ISNUMBER(MATCH(EY$1, AsistenciaJetAdminConcatenada!$B:$B, 0)), ISNUMBER(SEARCH($A38,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ISNUMBER(SEARCH($A38, INDEX(AsistenciaJetAdminConcatenada!$D:$D, MATCH(1, (AsistenciaJetAdminConcatenada!$A:$A=EY$2)*(AsistenciaJetAdminConcatenada!$B:$B=EY$1), 0)), 1))),  0.5, 0))</f>
        <v>0</v>
      </c>
      <c r="EZ38" s="47">
        <f t="array" ref="EZ38">IF(AND(ISNUMBER(MATCH(EZ$2, AsistenciaJetAdminConcatenada!$A:$A, 0)), ISNUMBER(MATCH(EZ$1, AsistenciaJetAdminConcatenada!$B:$B, 0)), ISNUMBER(SEARCH($A38,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ISNUMBER(SEARCH($A38, INDEX(AsistenciaJetAdminConcatenada!$D:$D, MATCH(1, (AsistenciaJetAdminConcatenada!$A:$A=EZ$2)*(AsistenciaJetAdminConcatenada!$B:$B=EZ$1), 0)), 1))),  0.5, 0))</f>
        <v>0</v>
      </c>
      <c r="FA38" s="47">
        <f t="array" ref="FA38">IF(AND(ISNUMBER(MATCH(FA$2, AsistenciaJetAdminConcatenada!$A:$A, 0)), ISNUMBER(MATCH(FA$1, AsistenciaJetAdminConcatenada!$B:$B, 0)), ISNUMBER(SEARCH($A38,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ISNUMBER(SEARCH($A38, INDEX(AsistenciaJetAdminConcatenada!$D:$D, MATCH(1, (AsistenciaJetAdminConcatenada!$A:$A=FA$2)*(AsistenciaJetAdminConcatenada!$B:$B=FA$1), 0)), 1))),  0.5, 0))</f>
        <v>0</v>
      </c>
      <c r="FB38" s="47">
        <f t="array" ref="FB38">IF(AND(ISNUMBER(MATCH(FB$2, AsistenciaJetAdminConcatenada!$A:$A, 0)), ISNUMBER(MATCH(FB$1, AsistenciaJetAdminConcatenada!$B:$B, 0)), ISNUMBER(SEARCH($A38,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ISNUMBER(SEARCH($A38, INDEX(AsistenciaJetAdminConcatenada!$D:$D, MATCH(1, (AsistenciaJetAdminConcatenada!$A:$A=FB$2)*(AsistenciaJetAdminConcatenada!$B:$B=FB$1), 0)), 1))),  0.5, 0))</f>
        <v>0</v>
      </c>
      <c r="FC38" s="47">
        <f t="array" ref="FC38">IF(AND(ISNUMBER(MATCH(FC$2, AsistenciaJetAdminConcatenada!$A:$A, 0)), ISNUMBER(MATCH(FC$1, AsistenciaJetAdminConcatenada!$B:$B, 0)), ISNUMBER(SEARCH($A38,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ISNUMBER(SEARCH($A38, INDEX(AsistenciaJetAdminConcatenada!$D:$D, MATCH(1, (AsistenciaJetAdminConcatenada!$A:$A=FC$2)*(AsistenciaJetAdminConcatenada!$B:$B=FC$1), 0)), 1))),  0.5, 0))</f>
        <v>0</v>
      </c>
      <c r="FD38" s="47">
        <f t="array" ref="FD38">IF(AND(ISNUMBER(MATCH(FD$2, AsistenciaJetAdminConcatenada!$A:$A, 0)), ISNUMBER(MATCH(FD$1, AsistenciaJetAdminConcatenada!$B:$B, 0)), ISNUMBER(SEARCH($A38,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ISNUMBER(SEARCH($A38, INDEX(AsistenciaJetAdminConcatenada!$D:$D, MATCH(1, (AsistenciaJetAdminConcatenada!$A:$A=FD$2)*(AsistenciaJetAdminConcatenada!$B:$B=FD$1), 0)), 1))),  0.5, 0))</f>
        <v>0</v>
      </c>
      <c r="FE38" s="47">
        <f t="array" ref="FE38">IF(AND(ISNUMBER(MATCH(FE$2, AsistenciaJetAdminConcatenada!$A:$A, 0)), ISNUMBER(MATCH(FE$1, AsistenciaJetAdminConcatenada!$B:$B, 0)), ISNUMBER(SEARCH($A38,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ISNUMBER(SEARCH($A38, INDEX(AsistenciaJetAdminConcatenada!$D:$D, MATCH(1, (AsistenciaJetAdminConcatenada!$A:$A=FE$2)*(AsistenciaJetAdminConcatenada!$B:$B=FE$1), 0)), 1))),  0.5, 0))</f>
        <v>0</v>
      </c>
      <c r="FF38" s="47">
        <f t="array" ref="FF38">IF(AND(ISNUMBER(MATCH(FF$2, AsistenciaJetAdminConcatenada!$A:$A, 0)), ISNUMBER(MATCH(FF$1, AsistenciaJetAdminConcatenada!$B:$B, 0)), ISNUMBER(SEARCH($A38,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ISNUMBER(SEARCH($A38, INDEX(AsistenciaJetAdminConcatenada!$D:$D, MATCH(1, (AsistenciaJetAdminConcatenada!$A:$A=FF$2)*(AsistenciaJetAdminConcatenada!$B:$B=FF$1), 0)), 1))),  0.5, 0))</f>
        <v>0</v>
      </c>
      <c r="FG38" s="47">
        <f t="array" ref="FG38">IF(AND(ISNUMBER(MATCH(FG$2, AsistenciaJetAdminConcatenada!$A:$A, 0)), ISNUMBER(MATCH(FG$1, AsistenciaJetAdminConcatenada!$B:$B, 0)), ISNUMBER(SEARCH($A38,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ISNUMBER(SEARCH($A38, INDEX(AsistenciaJetAdminConcatenada!$D:$D, MATCH(1, (AsistenciaJetAdminConcatenada!$A:$A=FG$2)*(AsistenciaJetAdminConcatenada!$B:$B=FG$1), 0)), 1))),  0.5, 0))</f>
        <v>0</v>
      </c>
      <c r="FH38" s="47">
        <f t="array" ref="FH38">IF(AND(ISNUMBER(MATCH(FH$2, AsistenciaJetAdminConcatenada!$A:$A, 0)), ISNUMBER(MATCH(FH$1, AsistenciaJetAdminConcatenada!$B:$B, 0)), ISNUMBER(SEARCH($A38,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ISNUMBER(SEARCH($A38, INDEX(AsistenciaJetAdminConcatenada!$D:$D, MATCH(1, (AsistenciaJetAdminConcatenada!$A:$A=FH$2)*(AsistenciaJetAdminConcatenada!$B:$B=FH$1), 0)), 1))),  0.5, 0))</f>
        <v>0</v>
      </c>
      <c r="FI38" s="47">
        <f t="array" ref="FI38">IF(AND(ISNUMBER(MATCH(FI$2, AsistenciaJetAdminConcatenada!$A:$A, 0)), ISNUMBER(MATCH(FI$1, AsistenciaJetAdminConcatenada!$B:$B, 0)), ISNUMBER(SEARCH($A38,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ISNUMBER(SEARCH($A38, INDEX(AsistenciaJetAdminConcatenada!$D:$D, MATCH(1, (AsistenciaJetAdminConcatenada!$A:$A=FI$2)*(AsistenciaJetAdminConcatenada!$B:$B=FI$1), 0)), 1))),  0.5, 0))</f>
        <v>0</v>
      </c>
      <c r="FJ38" s="47">
        <f t="array" ref="FJ38">IF(AND(ISNUMBER(MATCH(FJ$2, AsistenciaJetAdminConcatenada!$A:$A, 0)), ISNUMBER(MATCH(FJ$1, AsistenciaJetAdminConcatenada!$B:$B, 0)), ISNUMBER(SEARCH($A38,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ISNUMBER(SEARCH($A38, INDEX(AsistenciaJetAdminConcatenada!$D:$D, MATCH(1, (AsistenciaJetAdminConcatenada!$A:$A=FJ$2)*(AsistenciaJetAdminConcatenada!$B:$B=FJ$1), 0)), 1))),  0.5, 0))</f>
        <v>0</v>
      </c>
      <c r="FK38" s="47">
        <f t="array" ref="FK38">IF(AND(ISNUMBER(MATCH(FK$2, AsistenciaJetAdminConcatenada!$A:$A, 0)), ISNUMBER(MATCH(FK$1, AsistenciaJetAdminConcatenada!$B:$B, 0)), ISNUMBER(SEARCH($A38,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ISNUMBER(SEARCH($A38, INDEX(AsistenciaJetAdminConcatenada!$D:$D, MATCH(1, (AsistenciaJetAdminConcatenada!$A:$A=FK$2)*(AsistenciaJetAdminConcatenada!$B:$B=FK$1), 0)), 1))),  0.5, 0))</f>
        <v>0</v>
      </c>
      <c r="FL38" s="47">
        <f t="array" ref="FL38">IF(AND(ISNUMBER(MATCH(FL$2, AsistenciaJetAdminConcatenada!$A:$A, 0)), ISNUMBER(MATCH(FL$1, AsistenciaJetAdminConcatenada!$B:$B, 0)), ISNUMBER(SEARCH($A38,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ISNUMBER(SEARCH($A38, INDEX(AsistenciaJetAdminConcatenada!$D:$D, MATCH(1, (AsistenciaJetAdminConcatenada!$A:$A=FL$2)*(AsistenciaJetAdminConcatenada!$B:$B=FL$1), 0)), 1))),  0.5, 0))</f>
        <v>0</v>
      </c>
      <c r="FM38" s="47">
        <f t="array" ref="FM38">IF(AND(ISNUMBER(MATCH(FM$2, AsistenciaJetAdminConcatenada!$A:$A, 0)), ISNUMBER(MATCH(FM$1, AsistenciaJetAdminConcatenada!$B:$B, 0)), ISNUMBER(SEARCH($A38,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ISNUMBER(SEARCH($A38, INDEX(AsistenciaJetAdminConcatenada!$D:$D, MATCH(1, (AsistenciaJetAdminConcatenada!$A:$A=FM$2)*(AsistenciaJetAdminConcatenada!$B:$B=FM$1), 0)), 1))),  0.5, 0))</f>
        <v>0</v>
      </c>
      <c r="FN38" s="47">
        <f t="array" ref="FN38">IF(AND(ISNUMBER(MATCH(FN$2, AsistenciaJetAdminConcatenada!$A:$A, 0)), ISNUMBER(MATCH(FN$1, AsistenciaJetAdminConcatenada!$B:$B, 0)), ISNUMBER(SEARCH($A38,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ISNUMBER(SEARCH($A38, INDEX(AsistenciaJetAdminConcatenada!$D:$D, MATCH(1, (AsistenciaJetAdminConcatenada!$A:$A=FN$2)*(AsistenciaJetAdminConcatenada!$B:$B=FN$1), 0)), 1))),  0.5, 0))</f>
        <v>0</v>
      </c>
      <c r="FO38" s="47">
        <f t="array" ref="FO38">IF(AND(ISNUMBER(MATCH(FO$2, AsistenciaJetAdminConcatenada!$A:$A, 0)), ISNUMBER(MATCH(FO$1, AsistenciaJetAdminConcatenada!$B:$B, 0)), ISNUMBER(SEARCH($A38,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ISNUMBER(SEARCH($A38, INDEX(AsistenciaJetAdminConcatenada!$D:$D, MATCH(1, (AsistenciaJetAdminConcatenada!$A:$A=FO$2)*(AsistenciaJetAdminConcatenada!$B:$B=FO$1), 0)), 1))),  0.5, 0))</f>
        <v>0</v>
      </c>
      <c r="FP38" s="47">
        <f t="array" ref="FP38">IF(AND(ISNUMBER(MATCH(FP$2, AsistenciaJetAdminConcatenada!$A:$A, 0)), ISNUMBER(MATCH(FP$1, AsistenciaJetAdminConcatenada!$B:$B, 0)), ISNUMBER(SEARCH($A38,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ISNUMBER(SEARCH($A38, INDEX(AsistenciaJetAdminConcatenada!$D:$D, MATCH(1, (AsistenciaJetAdminConcatenada!$A:$A=FP$2)*(AsistenciaJetAdminConcatenada!$B:$B=FP$1), 0)), 1))),  0.5, 0))</f>
        <v>0</v>
      </c>
      <c r="FQ38" s="47">
        <f t="array" ref="FQ38">IF(AND(ISNUMBER(MATCH(FQ$2, AsistenciaJetAdminConcatenada!$A:$A, 0)), ISNUMBER(MATCH(FQ$1, AsistenciaJetAdminConcatenada!$B:$B, 0)), ISNUMBER(SEARCH($A38,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ISNUMBER(SEARCH($A38, INDEX(AsistenciaJetAdminConcatenada!$D:$D, MATCH(1, (AsistenciaJetAdminConcatenada!$A:$A=FQ$2)*(AsistenciaJetAdminConcatenada!$B:$B=FQ$1), 0)), 1))),  0.5, 0))</f>
        <v>0</v>
      </c>
      <c r="FR38" s="47">
        <f t="array" ref="FR38">IF(AND(ISNUMBER(MATCH(FR$2, AsistenciaJetAdminConcatenada!$A:$A, 0)), ISNUMBER(MATCH(FR$1, AsistenciaJetAdminConcatenada!$B:$B, 0)), ISNUMBER(SEARCH($A38,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ISNUMBER(SEARCH($A38, INDEX(AsistenciaJetAdminConcatenada!$D:$D, MATCH(1, (AsistenciaJetAdminConcatenada!$A:$A=FR$2)*(AsistenciaJetAdminConcatenada!$B:$B=FR$1), 0)), 1))),  0.5, 0))</f>
        <v>0</v>
      </c>
      <c r="FS38" s="47">
        <f t="array" ref="FS38">IF(AND(ISNUMBER(MATCH(FS$2, AsistenciaJetAdminConcatenada!$A:$A, 0)), ISNUMBER(MATCH(FS$1, AsistenciaJetAdminConcatenada!$B:$B, 0)), ISNUMBER(SEARCH($A38,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ISNUMBER(SEARCH($A38, INDEX(AsistenciaJetAdminConcatenada!$D:$D, MATCH(1, (AsistenciaJetAdminConcatenada!$A:$A=FS$2)*(AsistenciaJetAdminConcatenada!$B:$B=FS$1), 0)), 1))),  0.5, 0))</f>
        <v>0</v>
      </c>
      <c r="FT38" s="47">
        <f t="array" ref="FT38">IF(AND(ISNUMBER(MATCH(FT$2, AsistenciaJetAdminConcatenada!$A:$A, 0)), ISNUMBER(MATCH(FT$1, AsistenciaJetAdminConcatenada!$B:$B, 0)), ISNUMBER(SEARCH($A38,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ISNUMBER(SEARCH($A38, INDEX(AsistenciaJetAdminConcatenada!$D:$D, MATCH(1, (AsistenciaJetAdminConcatenada!$A:$A=FT$2)*(AsistenciaJetAdminConcatenada!$B:$B=FT$1), 0)), 1))),  0.5, 0))</f>
        <v>0</v>
      </c>
      <c r="FU38" s="47">
        <f t="array" ref="FU38">IF(AND(ISNUMBER(MATCH(FU$2, AsistenciaJetAdminConcatenada!$A:$A, 0)), ISNUMBER(MATCH(FU$1, AsistenciaJetAdminConcatenada!$B:$B, 0)), ISNUMBER(SEARCH($A38,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ISNUMBER(SEARCH($A38, INDEX(AsistenciaJetAdminConcatenada!$D:$D, MATCH(1, (AsistenciaJetAdminConcatenada!$A:$A=FU$2)*(AsistenciaJetAdminConcatenada!$B:$B=FU$1), 0)), 1))),  0.5, 0))</f>
        <v>0</v>
      </c>
      <c r="FV38" s="47">
        <f t="array" ref="FV38">IF(AND(ISNUMBER(MATCH(FV$2, AsistenciaJetAdminConcatenada!$A:$A, 0)), ISNUMBER(MATCH(FV$1, AsistenciaJetAdminConcatenada!$B:$B, 0)), ISNUMBER(SEARCH($A38,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ISNUMBER(SEARCH($A38, INDEX(AsistenciaJetAdminConcatenada!$D:$D, MATCH(1, (AsistenciaJetAdminConcatenada!$A:$A=FV$2)*(AsistenciaJetAdminConcatenada!$B:$B=FV$1), 0)), 1))),  0.5, 0))</f>
        <v>0</v>
      </c>
      <c r="FW38" s="47">
        <f t="array" ref="FW38">IF(AND(ISNUMBER(MATCH(FW$2, AsistenciaJetAdminConcatenada!$A:$A, 0)), ISNUMBER(MATCH(FW$1, AsistenciaJetAdminConcatenada!$B:$B, 0)), ISNUMBER(SEARCH($A38,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ISNUMBER(SEARCH($A38, INDEX(AsistenciaJetAdminConcatenada!$D:$D, MATCH(1, (AsistenciaJetAdminConcatenada!$A:$A=FW$2)*(AsistenciaJetAdminConcatenada!$B:$B=FW$1), 0)), 1))),  0.5, 0))</f>
        <v>0</v>
      </c>
      <c r="FX38" s="47">
        <f t="array" ref="FX38">IF(AND(ISNUMBER(MATCH(FX$2, AsistenciaJetAdminConcatenada!$A:$A, 0)), ISNUMBER(MATCH(FX$1, AsistenciaJetAdminConcatenada!$B:$B, 0)), ISNUMBER(SEARCH($A38,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ISNUMBER(SEARCH($A38, INDEX(AsistenciaJetAdminConcatenada!$D:$D, MATCH(1, (AsistenciaJetAdminConcatenada!$A:$A=FX$2)*(AsistenciaJetAdminConcatenada!$B:$B=FX$1), 0)), 1))),  0.5, 0))</f>
        <v>0</v>
      </c>
      <c r="FY38" s="47">
        <f t="array" ref="FY38">IF(AND(ISNUMBER(MATCH(FY$2, AsistenciaJetAdminConcatenada!$A:$A, 0)), ISNUMBER(MATCH(FY$1, AsistenciaJetAdminConcatenada!$B:$B, 0)), ISNUMBER(SEARCH($A38,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ISNUMBER(SEARCH($A38, INDEX(AsistenciaJetAdminConcatenada!$D:$D, MATCH(1, (AsistenciaJetAdminConcatenada!$A:$A=FY$2)*(AsistenciaJetAdminConcatenada!$B:$B=FY$1), 0)), 1))),  0.5, 0))</f>
        <v>0</v>
      </c>
      <c r="FZ38" s="47">
        <f t="array" ref="FZ38">IF(AND(ISNUMBER(MATCH(FZ$2, AsistenciaJetAdminConcatenada!$A:$A, 0)), ISNUMBER(MATCH(FZ$1, AsistenciaJetAdminConcatenada!$B:$B, 0)), ISNUMBER(SEARCH($A38,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ISNUMBER(SEARCH($A38, INDEX(AsistenciaJetAdminConcatenada!$D:$D, MATCH(1, (AsistenciaJetAdminConcatenada!$A:$A=FZ$2)*(AsistenciaJetAdminConcatenada!$B:$B=FZ$1), 0)), 1))),  0.5, 0))</f>
        <v>0</v>
      </c>
      <c r="GA38" s="47">
        <f t="array" ref="GA38">IF(AND(ISNUMBER(MATCH(GA$2, AsistenciaJetAdminConcatenada!$A:$A, 0)), ISNUMBER(MATCH(GA$1, AsistenciaJetAdminConcatenada!$B:$B, 0)), ISNUMBER(SEARCH($A38,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ISNUMBER(SEARCH($A38, INDEX(AsistenciaJetAdminConcatenada!$D:$D, MATCH(1, (AsistenciaJetAdminConcatenada!$A:$A=GA$2)*(AsistenciaJetAdminConcatenada!$B:$B=GA$1), 0)), 1))),  0.5, 0))</f>
        <v>0</v>
      </c>
      <c r="GB38" s="47">
        <f t="array" ref="GB38">IF(AND(ISNUMBER(MATCH(GB$2, AsistenciaJetAdminConcatenada!$A:$A, 0)), ISNUMBER(MATCH(GB$1, AsistenciaJetAdminConcatenada!$B:$B, 0)), ISNUMBER(SEARCH($A38,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ISNUMBER(SEARCH($A38, INDEX(AsistenciaJetAdminConcatenada!$D:$D, MATCH(1, (AsistenciaJetAdminConcatenada!$A:$A=GB$2)*(AsistenciaJetAdminConcatenada!$B:$B=GB$1), 0)), 1))),  0.5, 0))</f>
        <v>0</v>
      </c>
      <c r="GC38" s="47">
        <f t="array" ref="GC38">IF(AND(ISNUMBER(MATCH(GC$2, AsistenciaJetAdminConcatenada!$A:$A, 0)), ISNUMBER(MATCH(GC$1, AsistenciaJetAdminConcatenada!$B:$B, 0)), ISNUMBER(SEARCH($A38,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ISNUMBER(SEARCH($A38, INDEX(AsistenciaJetAdminConcatenada!$D:$D, MATCH(1, (AsistenciaJetAdminConcatenada!$A:$A=GC$2)*(AsistenciaJetAdminConcatenada!$B:$B=GC$1), 0)), 1))),  0.5, 0))</f>
        <v>0</v>
      </c>
      <c r="GD38" s="47">
        <f t="array" ref="GD38">IF(AND(ISNUMBER(MATCH(GD$2, AsistenciaJetAdminConcatenada!$A:$A, 0)), ISNUMBER(MATCH(GD$1, AsistenciaJetAdminConcatenada!$B:$B, 0)), ISNUMBER(SEARCH($A38,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ISNUMBER(SEARCH($A38, INDEX(AsistenciaJetAdminConcatenada!$D:$D, MATCH(1, (AsistenciaJetAdminConcatenada!$A:$A=GD$2)*(AsistenciaJetAdminConcatenada!$B:$B=GD$1), 0)), 1))),  0.5, 0))</f>
        <v>0</v>
      </c>
      <c r="GE38" s="47">
        <f t="array" ref="GE38">IF(AND(ISNUMBER(MATCH(GE$2, AsistenciaJetAdminConcatenada!$A:$A, 0)), ISNUMBER(MATCH(GE$1, AsistenciaJetAdminConcatenada!$B:$B, 0)), ISNUMBER(SEARCH($A38,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ISNUMBER(SEARCH($A38, INDEX(AsistenciaJetAdminConcatenada!$D:$D, MATCH(1, (AsistenciaJetAdminConcatenada!$A:$A=GE$2)*(AsistenciaJetAdminConcatenada!$B:$B=GE$1), 0)), 1))),  0.5, 0))</f>
        <v>0</v>
      </c>
      <c r="GF38" s="47">
        <f t="array" ref="GF38">IF(AND(ISNUMBER(MATCH(GF$2, AsistenciaJetAdminConcatenada!$A:$A, 0)), ISNUMBER(MATCH(GF$1, AsistenciaJetAdminConcatenada!$B:$B, 0)), ISNUMBER(SEARCH($A38,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ISNUMBER(SEARCH($A38, INDEX(AsistenciaJetAdminConcatenada!$D:$D, MATCH(1, (AsistenciaJetAdminConcatenada!$A:$A=GF$2)*(AsistenciaJetAdminConcatenada!$B:$B=GF$1), 0)), 1))),  0.5, 0))</f>
        <v>0</v>
      </c>
      <c r="GG38" s="47">
        <f t="array" ref="GG38">IF(AND(ISNUMBER(MATCH(GG$2, AsistenciaJetAdminConcatenada!$A:$A, 0)), ISNUMBER(MATCH(GG$1, AsistenciaJetAdminConcatenada!$B:$B, 0)), ISNUMBER(SEARCH($A38,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ISNUMBER(SEARCH($A38, INDEX(AsistenciaJetAdminConcatenada!$D:$D, MATCH(1, (AsistenciaJetAdminConcatenada!$A:$A=GG$2)*(AsistenciaJetAdminConcatenada!$B:$B=GG$1), 0)), 1))),  0.5, 0))</f>
        <v>0</v>
      </c>
      <c r="GH38" s="47">
        <f t="array" ref="GH38">IF(AND(ISNUMBER(MATCH(GH$2, AsistenciaJetAdminConcatenada!$A:$A, 0)), ISNUMBER(MATCH(GH$1, AsistenciaJetAdminConcatenada!$B:$B, 0)), ISNUMBER(SEARCH($A38,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ISNUMBER(SEARCH($A38, INDEX(AsistenciaJetAdminConcatenada!$D:$D, MATCH(1, (AsistenciaJetAdminConcatenada!$A:$A=GH$2)*(AsistenciaJetAdminConcatenada!$B:$B=GH$1), 0)), 1))),  0.5, 0))</f>
        <v>0</v>
      </c>
      <c r="GI38" s="47">
        <f t="array" ref="GI38">IF(AND(ISNUMBER(MATCH(GI$2, AsistenciaJetAdminConcatenada!$A:$A, 0)), ISNUMBER(MATCH(GI$1, AsistenciaJetAdminConcatenada!$B:$B, 0)), ISNUMBER(SEARCH($A38,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ISNUMBER(SEARCH($A38, INDEX(AsistenciaJetAdminConcatenada!$D:$D, MATCH(1, (AsistenciaJetAdminConcatenada!$A:$A=GI$2)*(AsistenciaJetAdminConcatenada!$B:$B=GI$1), 0)), 1))),  0.5, 0))</f>
        <v>0</v>
      </c>
      <c r="GJ38" s="47">
        <f t="array" ref="GJ38">IF(AND(ISNUMBER(MATCH(GJ$2, AsistenciaJetAdminConcatenada!$A:$A, 0)), ISNUMBER(MATCH(GJ$1, AsistenciaJetAdminConcatenada!$B:$B, 0)), ISNUMBER(SEARCH($A38,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ISNUMBER(SEARCH($A38, INDEX(AsistenciaJetAdminConcatenada!$D:$D, MATCH(1, (AsistenciaJetAdminConcatenada!$A:$A=GJ$2)*(AsistenciaJetAdminConcatenada!$B:$B=GJ$1), 0)), 1))),  0.5, 0))</f>
        <v>0</v>
      </c>
      <c r="GK38" s="47">
        <f t="array" ref="GK38">IF(AND(ISNUMBER(MATCH(GK$2, AsistenciaJetAdminConcatenada!$A:$A, 0)), ISNUMBER(MATCH(GK$1, AsistenciaJetAdminConcatenada!$B:$B, 0)), ISNUMBER(SEARCH($A38,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ISNUMBER(SEARCH($A38, INDEX(AsistenciaJetAdminConcatenada!$D:$D, MATCH(1, (AsistenciaJetAdminConcatenada!$A:$A=GK$2)*(AsistenciaJetAdminConcatenada!$B:$B=GK$1), 0)), 1))),  0.5, 0))</f>
        <v>0</v>
      </c>
      <c r="GL38" s="47">
        <f t="array" ref="GL38">IF(AND(ISNUMBER(MATCH(GL$2, AsistenciaJetAdminConcatenada!$A:$A, 0)), ISNUMBER(MATCH(GL$1, AsistenciaJetAdminConcatenada!$B:$B, 0)), ISNUMBER(SEARCH($A38,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ISNUMBER(SEARCH($A38, INDEX(AsistenciaJetAdminConcatenada!$D:$D, MATCH(1, (AsistenciaJetAdminConcatenada!$A:$A=GL$2)*(AsistenciaJetAdminConcatenada!$B:$B=GL$1), 0)), 1))),  0.5, 0))</f>
        <v>0</v>
      </c>
      <c r="GM38" s="47">
        <f t="array" ref="GM38">IF(AND(ISNUMBER(MATCH(GM$2, AsistenciaJetAdminConcatenada!$A:$A, 0)), ISNUMBER(MATCH(GM$1, AsistenciaJetAdminConcatenada!$B:$B, 0)), ISNUMBER(SEARCH($A38,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ISNUMBER(SEARCH($A38, INDEX(AsistenciaJetAdminConcatenada!$D:$D, MATCH(1, (AsistenciaJetAdminConcatenada!$A:$A=GM$2)*(AsistenciaJetAdminConcatenada!$B:$B=GM$1), 0)), 1))),  0.5, 0))</f>
        <v>0</v>
      </c>
      <c r="GN38" s="47">
        <f t="array" ref="GN38">IF(AND(ISNUMBER(MATCH(GN$2, AsistenciaJetAdminConcatenada!$A:$A, 0)), ISNUMBER(MATCH(GN$1, AsistenciaJetAdminConcatenada!$B:$B, 0)), ISNUMBER(SEARCH($A38,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ISNUMBER(SEARCH($A38, INDEX(AsistenciaJetAdminConcatenada!$D:$D, MATCH(1, (AsistenciaJetAdminConcatenada!$A:$A=GN$2)*(AsistenciaJetAdminConcatenada!$B:$B=GN$1), 0)), 1))),  0.5, 0))</f>
        <v>0</v>
      </c>
      <c r="GO38" s="47">
        <f t="array" ref="GO38">IF(AND(ISNUMBER(MATCH(GO$2, AsistenciaJetAdminConcatenada!$A:$A, 0)), ISNUMBER(MATCH(GO$1, AsistenciaJetAdminConcatenada!$B:$B, 0)), ISNUMBER(SEARCH($A38,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ISNUMBER(SEARCH($A38, INDEX(AsistenciaJetAdminConcatenada!$D:$D, MATCH(1, (AsistenciaJetAdminConcatenada!$A:$A=GO$2)*(AsistenciaJetAdminConcatenada!$B:$B=GO$1), 0)), 1))),  0.5, 0))</f>
        <v>0</v>
      </c>
      <c r="GP38" s="47">
        <f t="array" ref="GP38">IF(AND(ISNUMBER(MATCH(GP$2, AsistenciaJetAdminConcatenada!$A:$A, 0)), ISNUMBER(MATCH(GP$1, AsistenciaJetAdminConcatenada!$B:$B, 0)), ISNUMBER(SEARCH($A38,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ISNUMBER(SEARCH($A38, INDEX(AsistenciaJetAdminConcatenada!$D:$D, MATCH(1, (AsistenciaJetAdminConcatenada!$A:$A=GP$2)*(AsistenciaJetAdminConcatenada!$B:$B=GP$1), 0)), 1))),  0.5, 0))</f>
        <v>0</v>
      </c>
      <c r="GQ38" s="47">
        <f t="array" ref="GQ38">IF(AND(ISNUMBER(MATCH(GQ$2, AsistenciaJetAdminConcatenada!$A:$A, 0)), ISNUMBER(MATCH(GQ$1, AsistenciaJetAdminConcatenada!$B:$B, 0)), ISNUMBER(SEARCH($A38,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ISNUMBER(SEARCH($A38, INDEX(AsistenciaJetAdminConcatenada!$D:$D, MATCH(1, (AsistenciaJetAdminConcatenada!$A:$A=GQ$2)*(AsistenciaJetAdminConcatenada!$B:$B=GQ$1), 0)), 1))),  0.5, 0))</f>
        <v>0</v>
      </c>
      <c r="GR38" s="47">
        <f t="array" ref="GR38">IF(AND(ISNUMBER(MATCH(GR$2, AsistenciaJetAdminConcatenada!$A:$A, 0)), ISNUMBER(MATCH(GR$1, AsistenciaJetAdminConcatenada!$B:$B, 0)), ISNUMBER(SEARCH($A38,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ISNUMBER(SEARCH($A38, INDEX(AsistenciaJetAdminConcatenada!$D:$D, MATCH(1, (AsistenciaJetAdminConcatenada!$A:$A=GR$2)*(AsistenciaJetAdminConcatenada!$B:$B=GR$1), 0)), 1))),  0.5, 0))</f>
        <v>0</v>
      </c>
      <c r="GS38" s="47">
        <f t="array" ref="GS38">IF(AND(ISNUMBER(MATCH(GS$2, AsistenciaJetAdminConcatenada!$A:$A, 0)), ISNUMBER(MATCH(GS$1, AsistenciaJetAdminConcatenada!$B:$B, 0)), ISNUMBER(SEARCH($A38,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ISNUMBER(SEARCH($A38, INDEX(AsistenciaJetAdminConcatenada!$D:$D, MATCH(1, (AsistenciaJetAdminConcatenada!$A:$A=GS$2)*(AsistenciaJetAdminConcatenada!$B:$B=GS$1), 0)), 1))),  0.5, 0))</f>
        <v>0</v>
      </c>
      <c r="GT38" s="47">
        <f t="array" ref="GT38">IF(AND(ISNUMBER(MATCH(GT$2, AsistenciaJetAdminConcatenada!$A:$A, 0)), ISNUMBER(MATCH(GT$1, AsistenciaJetAdminConcatenada!$B:$B, 0)), ISNUMBER(SEARCH($A38,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ISNUMBER(SEARCH($A38, INDEX(AsistenciaJetAdminConcatenada!$D:$D, MATCH(1, (AsistenciaJetAdminConcatenada!$A:$A=GT$2)*(AsistenciaJetAdminConcatenada!$B:$B=GT$1), 0)), 1))),  0.5, 0))</f>
        <v>0</v>
      </c>
      <c r="GU38" s="47">
        <f t="array" ref="GU38">IF(AND(ISNUMBER(MATCH(GU$2, AsistenciaJetAdminConcatenada!$A:$A, 0)), ISNUMBER(MATCH(GU$1, AsistenciaJetAdminConcatenada!$B:$B, 0)), ISNUMBER(SEARCH($A38,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ISNUMBER(SEARCH($A38, INDEX(AsistenciaJetAdminConcatenada!$D:$D, MATCH(1, (AsistenciaJetAdminConcatenada!$A:$A=GU$2)*(AsistenciaJetAdminConcatenada!$B:$B=GU$1), 0)), 1))),  0.5, 0))</f>
        <v>0</v>
      </c>
      <c r="GV38" s="47">
        <f t="array" ref="GV38">IF(AND(ISNUMBER(MATCH(GV$2, AsistenciaJetAdminConcatenada!$A:$A, 0)), ISNUMBER(MATCH(GV$1, AsistenciaJetAdminConcatenada!$B:$B, 0)), ISNUMBER(SEARCH($A38,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ISNUMBER(SEARCH($A38, INDEX(AsistenciaJetAdminConcatenada!$D:$D, MATCH(1, (AsistenciaJetAdminConcatenada!$A:$A=GV$2)*(AsistenciaJetAdminConcatenada!$B:$B=GV$1), 0)), 1))),  0.5, 0))</f>
        <v>0</v>
      </c>
      <c r="GW38" s="47">
        <f t="array" ref="GW38">IF(AND(ISNUMBER(MATCH(GW$2, AsistenciaJetAdminConcatenada!$A:$A, 0)), ISNUMBER(MATCH(GW$1, AsistenciaJetAdminConcatenada!$B:$B, 0)), ISNUMBER(SEARCH($A38,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ISNUMBER(SEARCH($A38, INDEX(AsistenciaJetAdminConcatenada!$D:$D, MATCH(1, (AsistenciaJetAdminConcatenada!$A:$A=GW$2)*(AsistenciaJetAdminConcatenada!$B:$B=GW$1), 0)), 1))),  0.5, 0))</f>
        <v>0</v>
      </c>
      <c r="GX38" s="47">
        <f t="array" ref="GX38">IF(AND(ISNUMBER(MATCH(GX$2, AsistenciaJetAdminConcatenada!$A:$A, 0)), ISNUMBER(MATCH(GX$1, AsistenciaJetAdminConcatenada!$B:$B, 0)), ISNUMBER(SEARCH($A38,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ISNUMBER(SEARCH($A38, INDEX(AsistenciaJetAdminConcatenada!$D:$D, MATCH(1, (AsistenciaJetAdminConcatenada!$A:$A=GX$2)*(AsistenciaJetAdminConcatenada!$B:$B=GX$1), 0)), 1))),  0.5, 0))</f>
        <v>0</v>
      </c>
      <c r="GY38" s="47">
        <f t="array" ref="GY38">IF(AND(ISNUMBER(MATCH(GY$2, AsistenciaJetAdminConcatenada!$A:$A, 0)), ISNUMBER(MATCH(GY$1, AsistenciaJetAdminConcatenada!$B:$B, 0)), ISNUMBER(SEARCH($A38,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ISNUMBER(SEARCH($A38, INDEX(AsistenciaJetAdminConcatenada!$D:$D, MATCH(1, (AsistenciaJetAdminConcatenada!$A:$A=GY$2)*(AsistenciaJetAdminConcatenada!$B:$B=GY$1), 0)), 1))),  0.5, 0))</f>
        <v>0</v>
      </c>
      <c r="GZ38" s="47">
        <f t="array" ref="GZ38">IF(AND(ISNUMBER(MATCH(GZ$2, AsistenciaJetAdminConcatenada!$A:$A, 0)), ISNUMBER(MATCH(GZ$1, AsistenciaJetAdminConcatenada!$B:$B, 0)), ISNUMBER(SEARCH($A38,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ISNUMBER(SEARCH($A38, INDEX(AsistenciaJetAdminConcatenada!$D:$D, MATCH(1, (AsistenciaJetAdminConcatenada!$A:$A=GZ$2)*(AsistenciaJetAdminConcatenada!$B:$B=GZ$1), 0)), 1))),  0.5, 0))</f>
        <v>0</v>
      </c>
      <c r="HA38" s="47">
        <f t="array" ref="HA38">IF(AND(ISNUMBER(MATCH(HA$2, AsistenciaJetAdminConcatenada!$A:$A, 0)), ISNUMBER(MATCH(HA$1, AsistenciaJetAdminConcatenada!$B:$B, 0)), ISNUMBER(SEARCH($A38,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ISNUMBER(SEARCH($A38, INDEX(AsistenciaJetAdminConcatenada!$D:$D, MATCH(1, (AsistenciaJetAdminConcatenada!$A:$A=HA$2)*(AsistenciaJetAdminConcatenada!$B:$B=HA$1), 0)), 1))),  0.5, 0))</f>
        <v>0</v>
      </c>
      <c r="HB38" s="47">
        <f t="array" ref="HB38">IF(AND(ISNUMBER(MATCH(HB$2, AsistenciaJetAdminConcatenada!$A:$A, 0)), ISNUMBER(MATCH(HB$1, AsistenciaJetAdminConcatenada!$B:$B, 0)), ISNUMBER(SEARCH($A38,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ISNUMBER(SEARCH($A38, INDEX(AsistenciaJetAdminConcatenada!$D:$D, MATCH(1, (AsistenciaJetAdminConcatenada!$A:$A=HB$2)*(AsistenciaJetAdminConcatenada!$B:$B=HB$1), 0)), 1))),  0.5, 0))</f>
        <v>0</v>
      </c>
      <c r="HC38" s="47">
        <f t="array" ref="HC38">IF(AND(ISNUMBER(MATCH(HC$2, AsistenciaJetAdminConcatenada!$A:$A, 0)), ISNUMBER(MATCH(HC$1, AsistenciaJetAdminConcatenada!$B:$B, 0)), ISNUMBER(SEARCH($A38,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ISNUMBER(SEARCH($A38, INDEX(AsistenciaJetAdminConcatenada!$D:$D, MATCH(1, (AsistenciaJetAdminConcatenada!$A:$A=HC$2)*(AsistenciaJetAdminConcatenada!$B:$B=HC$1), 0)), 1))),  0.5, 0))</f>
        <v>0</v>
      </c>
    </row>
    <row r="39" ht="29.25" customHeight="1">
      <c r="A39" s="3">
        <v>175.0</v>
      </c>
      <c r="B39" s="4" t="s">
        <v>745</v>
      </c>
      <c r="C39" s="47">
        <f>SUM(D39:HC39) + ActividadesEspeciales!C39</f>
        <v>62.5</v>
      </c>
      <c r="D39" s="47">
        <f t="array" ref="D39">IF(AND(ISNUMBER(MATCH(D$2, AsistenciaJetAdminConcatenada!$A:$A, 0)), ISNUMBER(MATCH(D$1, AsistenciaJetAdminConcatenada!$B:$B, 0)), ISNUMBER(SEARCH($A39,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ISNUMBER(SEARCH($A39, INDEX(AsistenciaJetAdminConcatenada!$D:$D, MATCH(1, (AsistenciaJetAdminConcatenada!$A:$A=D$2)*(AsistenciaJetAdminConcatenada!$B:$B=D$1), 0)), 1))),  0.5, 0))</f>
        <v>1</v>
      </c>
      <c r="E39" s="47">
        <f t="array" ref="E39">IF(AND(ISNUMBER(MATCH(E$2, AsistenciaJetAdminConcatenada!$A:$A, 0)), ISNUMBER(MATCH(E$1, AsistenciaJetAdminConcatenada!$B:$B, 0)), ISNUMBER(SEARCH($A39,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ISNUMBER(SEARCH($A39, INDEX(AsistenciaJetAdminConcatenada!$D:$D, MATCH(1, (AsistenciaJetAdminConcatenada!$A:$A=E$2)*(AsistenciaJetAdminConcatenada!$B:$B=E$1), 0)), 1))),  0.5, 0))</f>
        <v>1</v>
      </c>
      <c r="F39" s="47">
        <f t="array" ref="F39">IF(AND(ISNUMBER(MATCH(F$2, AsistenciaJetAdminConcatenada!$A:$A, 0)), ISNUMBER(MATCH(F$1, AsistenciaJetAdminConcatenada!$B:$B, 0)), ISNUMBER(SEARCH($A39,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ISNUMBER(SEARCH($A39, INDEX(AsistenciaJetAdminConcatenada!$D:$D, MATCH(1, (AsistenciaJetAdminConcatenada!$A:$A=F$2)*(AsistenciaJetAdminConcatenada!$B:$B=F$1), 0)), 1))),  0.5, 0))</f>
        <v>1</v>
      </c>
      <c r="G39" s="47">
        <f t="array" ref="G39">IF(AND(ISNUMBER(MATCH(G$2, AsistenciaJetAdminConcatenada!$A:$A, 0)), ISNUMBER(MATCH(G$1, AsistenciaJetAdminConcatenada!$B:$B, 0)), ISNUMBER(SEARCH($A39,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ISNUMBER(SEARCH($A39, INDEX(AsistenciaJetAdminConcatenada!$D:$D, MATCH(1, (AsistenciaJetAdminConcatenada!$A:$A=G$2)*(AsistenciaJetAdminConcatenada!$B:$B=G$1), 0)), 1))),  0.5, 0))</f>
        <v>1</v>
      </c>
      <c r="H39" s="47">
        <f t="array" ref="H39">IF(AND(ISNUMBER(MATCH(H$2, AsistenciaJetAdminConcatenada!$A:$A, 0)), ISNUMBER(MATCH(H$1, AsistenciaJetAdminConcatenada!$B:$B, 0)), ISNUMBER(SEARCH($A39,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ISNUMBER(SEARCH($A39, INDEX(AsistenciaJetAdminConcatenada!$D:$D, MATCH(1, (AsistenciaJetAdminConcatenada!$A:$A=H$2)*(AsistenciaJetAdminConcatenada!$B:$B=H$1), 0)), 1))),  0.5, 0))</f>
        <v>1</v>
      </c>
      <c r="I39" s="47">
        <f t="array" ref="I39">IF(AND(ISNUMBER(MATCH(I$2, AsistenciaJetAdminConcatenada!$A:$A, 0)), ISNUMBER(MATCH(I$1, AsistenciaJetAdminConcatenada!$B:$B, 0)), ISNUMBER(SEARCH($A39,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ISNUMBER(SEARCH($A39, INDEX(AsistenciaJetAdminConcatenada!$D:$D, MATCH(1, (AsistenciaJetAdminConcatenada!$A:$A=I$2)*(AsistenciaJetAdminConcatenada!$B:$B=I$1), 0)), 1))),  0.5, 0))</f>
        <v>1</v>
      </c>
      <c r="J39" s="47">
        <f t="array" ref="J39">IF(AND(ISNUMBER(MATCH(J$2, AsistenciaJetAdminConcatenada!$A:$A, 0)), ISNUMBER(MATCH(J$1, AsistenciaJetAdminConcatenada!$B:$B, 0)), ISNUMBER(SEARCH($A39,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ISNUMBER(SEARCH($A39, INDEX(AsistenciaJetAdminConcatenada!$D:$D, MATCH(1, (AsistenciaJetAdminConcatenada!$A:$A=J$2)*(AsistenciaJetAdminConcatenada!$B:$B=J$1), 0)), 1))),  0.5, 0))</f>
        <v>1</v>
      </c>
      <c r="K39" s="47">
        <f t="array" ref="K39">IF(AND(ISNUMBER(MATCH(K$2, AsistenciaJetAdminConcatenada!$A:$A, 0)), ISNUMBER(MATCH(K$1, AsistenciaJetAdminConcatenada!$B:$B, 0)), ISNUMBER(SEARCH($A39,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ISNUMBER(SEARCH($A39, INDEX(AsistenciaJetAdminConcatenada!$D:$D, MATCH(1, (AsistenciaJetAdminConcatenada!$A:$A=K$2)*(AsistenciaJetAdminConcatenada!$B:$B=K$1), 0)), 1))),  0.5, 0))</f>
        <v>1</v>
      </c>
      <c r="L39" s="47">
        <f t="array" ref="L39">IF(AND(ISNUMBER(MATCH(L$2, AsistenciaJetAdminConcatenada!$A:$A, 0)), ISNUMBER(MATCH(L$1, AsistenciaJetAdminConcatenada!$B:$B, 0)), ISNUMBER(SEARCH($A39,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ISNUMBER(SEARCH($A39, INDEX(AsistenciaJetAdminConcatenada!$D:$D, MATCH(1, (AsistenciaJetAdminConcatenada!$A:$A=L$2)*(AsistenciaJetAdminConcatenada!$B:$B=L$1), 0)), 1))),  0.5, 0))</f>
        <v>1</v>
      </c>
      <c r="M39" s="47">
        <f t="array" ref="M39">IF(AND(ISNUMBER(MATCH(M$2, AsistenciaJetAdminConcatenada!$A:$A, 0)), ISNUMBER(MATCH(M$1, AsistenciaJetAdminConcatenada!$B:$B, 0)), ISNUMBER(SEARCH($A39,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ISNUMBER(SEARCH($A39, INDEX(AsistenciaJetAdminConcatenada!$D:$D, MATCH(1, (AsistenciaJetAdminConcatenada!$A:$A=M$2)*(AsistenciaJetAdminConcatenada!$B:$B=M$1), 0)), 1))),  0.5, 0))</f>
        <v>1</v>
      </c>
      <c r="N39" s="8">
        <v>0.0</v>
      </c>
      <c r="O39" s="47">
        <f t="array" ref="O39">IF(AND(ISNUMBER(MATCH(O$2, AsistenciaJetAdminConcatenada!$A:$A, 0)), ISNUMBER(MATCH(O$1, AsistenciaJetAdminConcatenada!$B:$B, 0)), ISNUMBER(SEARCH($A39,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ISNUMBER(SEARCH($A39, INDEX(AsistenciaJetAdminConcatenada!$D:$D, MATCH(1, (AsistenciaJetAdminConcatenada!$A:$A=O$2)*(AsistenciaJetAdminConcatenada!$B:$B=O$1), 0)), 1))),  0.5, 0))</f>
        <v>1</v>
      </c>
      <c r="P39" s="47">
        <f t="array" ref="P39">IF(AND(ISNUMBER(MATCH(P$2, AsistenciaJetAdminConcatenada!$A:$A, 0)), ISNUMBER(MATCH(P$1, AsistenciaJetAdminConcatenada!$B:$B, 0)), ISNUMBER(SEARCH($A39, INDEX(AsistenciaJetAdminConcatenada!$C:$C, MATCH(1, (AsistenciaJetAdminConcatenada!$A:$A=P$2)*(AsistenciaJetAdminConcatenada!$B:$B=P$1), 0)), 1))), 1, IF(AND(ISNUMBER(MATCH(P$2, AsistenciaJetAdminConcatenada!$A:$A, 0)), ISNUMBER(MATCH(P$1, AsistenciaJetAdminConcatenada!$B:$B, 0)), ISNUMBER(SEARCH($A39, INDEX(AsistenciaJetAdminConcatenada!$D:$D, MATCH(1, (AsistenciaJetAdminConcatenada!$A:$A=P$2)*(AsistenciaJetAdminConcatenada!$B:$B=P$1), 0)), 1))),  0.5, 0))</f>
        <v>1</v>
      </c>
      <c r="Q39" s="47">
        <f t="array" ref="Q39">IF(AND(ISNUMBER(MATCH(Q$2, AsistenciaJetAdminConcatenada!$A:$A, 0)), ISNUMBER(MATCH(Q$1, AsistenciaJetAdminConcatenada!$B:$B, 0)), ISNUMBER(SEARCH($A39, INDEX(AsistenciaJetAdminConcatenada!$C:$C, MATCH(1, (AsistenciaJetAdminConcatenada!$A:$A=Q$2)*(AsistenciaJetAdminConcatenada!$B:$B=Q$1), 0)), 1))), 1, IF(AND(ISNUMBER(MATCH(Q$2, AsistenciaJetAdminConcatenada!$A:$A, 0)), ISNUMBER(MATCH(Q$1, AsistenciaJetAdminConcatenada!$B:$B, 0)), ISNUMBER(SEARCH($A39, INDEX(AsistenciaJetAdminConcatenada!$D:$D, MATCH(1, (AsistenciaJetAdminConcatenada!$A:$A=Q$2)*(AsistenciaJetAdminConcatenada!$B:$B=Q$1), 0)), 1))),  0.5, 0))</f>
        <v>1</v>
      </c>
      <c r="R39" s="47">
        <f t="array" ref="R39">IF(AND(ISNUMBER(MATCH(R$2, AsistenciaJetAdminConcatenada!$A:$A, 0)), ISNUMBER(MATCH(R$1, AsistenciaJetAdminConcatenada!$B:$B, 0)), ISNUMBER(SEARCH($A39,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ISNUMBER(SEARCH($A39, INDEX(AsistenciaJetAdminConcatenada!$D:$D, MATCH(1, (AsistenciaJetAdminConcatenada!$A:$A=R$2)*(AsistenciaJetAdminConcatenada!$B:$B=R$1), 0)), 1))),  0.5, 0))</f>
        <v>1</v>
      </c>
      <c r="S39" s="47">
        <f t="array" ref="S39">IF(AND(ISNUMBER(MATCH(S$2, AsistenciaJetAdminConcatenada!$A:$A, 0)), ISNUMBER(MATCH(S$1, AsistenciaJetAdminConcatenada!$B:$B, 0)), ISNUMBER(SEARCH($A39,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ISNUMBER(SEARCH($A39, INDEX(AsistenciaJetAdminConcatenada!$D:$D, MATCH(1, (AsistenciaJetAdminConcatenada!$A:$A=S$2)*(AsistenciaJetAdminConcatenada!$B:$B=S$1), 0)), 1))),  0.5, 0))</f>
        <v>1</v>
      </c>
      <c r="T39" s="47">
        <f t="array" ref="T39">IF(AND(ISNUMBER(MATCH(T$2, AsistenciaJetAdminConcatenada!$A:$A, 0)), ISNUMBER(MATCH(T$1, AsistenciaJetAdminConcatenada!$B:$B, 0)), ISNUMBER(SEARCH($A39,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ISNUMBER(SEARCH($A39, INDEX(AsistenciaJetAdminConcatenada!$D:$D, MATCH(1, (AsistenciaJetAdminConcatenada!$A:$A=T$2)*(AsistenciaJetAdminConcatenada!$B:$B=T$1), 0)), 1))),  0.5, 0))</f>
        <v>0</v>
      </c>
      <c r="U39" s="47">
        <f t="array" ref="U39">IF(AND(ISNUMBER(MATCH(U$2, AsistenciaJetAdminConcatenada!$A:$A, 0)), ISNUMBER(MATCH(U$1, AsistenciaJetAdminConcatenada!$B:$B, 0)), ISNUMBER(SEARCH($A39,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ISNUMBER(SEARCH($A39, INDEX(AsistenciaJetAdminConcatenada!$D:$D, MATCH(1, (AsistenciaJetAdminConcatenada!$A:$A=U$2)*(AsistenciaJetAdminConcatenada!$B:$B=U$1), 0)), 1))),  0.5, 0))</f>
        <v>0</v>
      </c>
      <c r="V39" s="47">
        <f t="array" ref="V39">IF(AND(ISNUMBER(MATCH(V$2, AsistenciaJetAdminConcatenada!$A:$A, 0)), ISNUMBER(MATCH(V$1, AsistenciaJetAdminConcatenada!$B:$B, 0)), ISNUMBER(SEARCH($A39,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ISNUMBER(SEARCH($A39, INDEX(AsistenciaJetAdminConcatenada!$D:$D, MATCH(1, (AsistenciaJetAdminConcatenada!$A:$A=V$2)*(AsistenciaJetAdminConcatenada!$B:$B=V$1), 0)), 1))),  0.5, 0))</f>
        <v>0.5</v>
      </c>
      <c r="W39" s="47">
        <f t="array" ref="W39">IF(AND(ISNUMBER(MATCH(W$2, AsistenciaJetAdminConcatenada!$A:$A, 0)), ISNUMBER(MATCH(W$1, AsistenciaJetAdminConcatenada!$B:$B, 0)), ISNUMBER(SEARCH($A39,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ISNUMBER(SEARCH($A39, INDEX(AsistenciaJetAdminConcatenada!$D:$D, MATCH(1, (AsistenciaJetAdminConcatenada!$A:$A=W$2)*(AsistenciaJetAdminConcatenada!$B:$B=W$1), 0)), 1))),  0.5, 0))</f>
        <v>1</v>
      </c>
      <c r="X39" s="47">
        <f t="array" ref="X39">IF(AND(ISNUMBER(MATCH(X$2, AsistenciaJetAdminConcatenada!$A:$A, 0)), ISNUMBER(MATCH(X$1, AsistenciaJetAdminConcatenada!$B:$B, 0)), ISNUMBER(SEARCH($A39,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ISNUMBER(SEARCH($A39, INDEX(AsistenciaJetAdminConcatenada!$D:$D, MATCH(1, (AsistenciaJetAdminConcatenada!$A:$A=X$2)*(AsistenciaJetAdminConcatenada!$B:$B=X$1), 0)), 1))),  0.5, 0))</f>
        <v>0</v>
      </c>
      <c r="Y39" s="47">
        <f t="array" ref="Y39">IF(AND(ISNUMBER(MATCH(Y$2, AsistenciaJetAdminConcatenada!$A:$A, 0)), ISNUMBER(MATCH(Y$1, AsistenciaJetAdminConcatenada!$B:$B, 0)), ISNUMBER(SEARCH($A39,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ISNUMBER(SEARCH($A39, INDEX(AsistenciaJetAdminConcatenada!$D:$D, MATCH(1, (AsistenciaJetAdminConcatenada!$A:$A=Y$2)*(AsistenciaJetAdminConcatenada!$B:$B=Y$1), 0)), 1))),  0.5, 0))</f>
        <v>1</v>
      </c>
      <c r="Z39" s="47">
        <f t="array" ref="Z39">IF(AND(ISNUMBER(MATCH(Z$2, AsistenciaJetAdminConcatenada!$A:$A, 0)), ISNUMBER(MATCH(Z$1, AsistenciaJetAdminConcatenada!$B:$B, 0)), ISNUMBER(SEARCH($A39,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ISNUMBER(SEARCH($A39, INDEX(AsistenciaJetAdminConcatenada!$D:$D, MATCH(1, (AsistenciaJetAdminConcatenada!$A:$A=Z$2)*(AsistenciaJetAdminConcatenada!$B:$B=Z$1), 0)), 1))),  0.5, 0))</f>
        <v>1</v>
      </c>
      <c r="AA39" s="47">
        <f t="array" ref="AA39">IF(AND(ISNUMBER(MATCH(AA$2, AsistenciaJetAdminConcatenada!$A:$A, 0)), ISNUMBER(MATCH(AA$1, AsistenciaJetAdminConcatenada!$B:$B, 0)), ISNUMBER(SEARCH($A39,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ISNUMBER(SEARCH($A39, INDEX(AsistenciaJetAdminConcatenada!$D:$D, MATCH(1, (AsistenciaJetAdminConcatenada!$A:$A=AA$2)*(AsistenciaJetAdminConcatenada!$B:$B=AA$1), 0)), 1))),  0.5, 0))</f>
        <v>1</v>
      </c>
      <c r="AB39" s="47">
        <f t="array" ref="AB39">IF(AND(ISNUMBER(MATCH(AB$2, AsistenciaJetAdminConcatenada!$A:$A, 0)), ISNUMBER(MATCH(AB$1, AsistenciaJetAdminConcatenada!$B:$B, 0)), ISNUMBER(SEARCH($A39,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ISNUMBER(SEARCH($A39, INDEX(AsistenciaJetAdminConcatenada!$D:$D, MATCH(1, (AsistenciaJetAdminConcatenada!$A:$A=AB$2)*(AsistenciaJetAdminConcatenada!$B:$B=AB$1), 0)), 1))),  0.5, 0))</f>
        <v>0</v>
      </c>
      <c r="AC39" s="47">
        <f t="array" ref="AC39">IF(AND(ISNUMBER(MATCH(AC$2, AsistenciaJetAdminConcatenada!$A:$A, 0)), ISNUMBER(MATCH(AC$1, AsistenciaJetAdminConcatenada!$B:$B, 0)), ISNUMBER(SEARCH($A39,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ISNUMBER(SEARCH($A39, INDEX(AsistenciaJetAdminConcatenada!$D:$D, MATCH(1, (AsistenciaJetAdminConcatenada!$A:$A=AC$2)*(AsistenciaJetAdminConcatenada!$B:$B=AC$1), 0)), 1))),  0.5, 0))</f>
        <v>0</v>
      </c>
      <c r="AD39" s="47">
        <f t="array" ref="AD39">IF(AND(ISNUMBER(MATCH(AD$2, AsistenciaJetAdminConcatenada!$A:$A, 0)), ISNUMBER(MATCH(AD$1, AsistenciaJetAdminConcatenada!$B:$B, 0)), ISNUMBER(SEARCH($A39,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ISNUMBER(SEARCH($A39, INDEX(AsistenciaJetAdminConcatenada!$D:$D, MATCH(1, (AsistenciaJetAdminConcatenada!$A:$A=AD$2)*(AsistenciaJetAdminConcatenada!$B:$B=AD$1), 0)), 1))),  0.5, 0))</f>
        <v>1</v>
      </c>
      <c r="AE39" s="47">
        <f t="array" ref="AE39">IF(AND(ISNUMBER(MATCH(AE$2, AsistenciaJetAdminConcatenada!$A:$A, 0)), ISNUMBER(MATCH(AE$1, AsistenciaJetAdminConcatenada!$B:$B, 0)), ISNUMBER(SEARCH($A39,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ISNUMBER(SEARCH($A39, INDEX(AsistenciaJetAdminConcatenada!$D:$D, MATCH(1, (AsistenciaJetAdminConcatenada!$A:$A=AE$2)*(AsistenciaJetAdminConcatenada!$B:$B=AE$1), 0)), 1))),  0.5, 0))</f>
        <v>0</v>
      </c>
      <c r="AF39" s="47">
        <f t="array" ref="AF39">IF(AND(ISNUMBER(MATCH(AF$2, AsistenciaJetAdminConcatenada!$A:$A, 0)), ISNUMBER(MATCH(AF$1, AsistenciaJetAdminConcatenada!$B:$B, 0)), ISNUMBER(SEARCH($A39,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ISNUMBER(SEARCH($A39, INDEX(AsistenciaJetAdminConcatenada!$D:$D, MATCH(1, (AsistenciaJetAdminConcatenada!$A:$A=AF$2)*(AsistenciaJetAdminConcatenada!$B:$B=AF$1), 0)), 1))),  0.5, 0))</f>
        <v>0</v>
      </c>
      <c r="AG39" s="47">
        <f t="array" ref="AG39">IF(AND(ISNUMBER(MATCH(AG$2, AsistenciaJetAdminConcatenada!$A:$A, 0)), ISNUMBER(MATCH(AG$1, AsistenciaJetAdminConcatenada!$B:$B, 0)), ISNUMBER(SEARCH($A39,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ISNUMBER(SEARCH($A39, INDEX(AsistenciaJetAdminConcatenada!$D:$D, MATCH(1, (AsistenciaJetAdminConcatenada!$A:$A=AG$2)*(AsistenciaJetAdminConcatenada!$B:$B=AG$1), 0)), 1))),  0.5, 0))</f>
        <v>1</v>
      </c>
      <c r="AH39" s="47">
        <f t="array" ref="AH39">IF(AND(ISNUMBER(MATCH(AH$2, AsistenciaJetAdminConcatenada!$A:$A, 0)), ISNUMBER(MATCH(AH$1, AsistenciaJetAdminConcatenada!$B:$B, 0)), ISNUMBER(SEARCH($A39,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ISNUMBER(SEARCH($A39, INDEX(AsistenciaJetAdminConcatenada!$D:$D, MATCH(1, (AsistenciaJetAdminConcatenada!$A:$A=AH$2)*(AsistenciaJetAdminConcatenada!$B:$B=AH$1), 0)), 1))),  0.5, 0))</f>
        <v>0</v>
      </c>
      <c r="AI39" s="47">
        <f t="array" ref="AI39">IF(AND(ISNUMBER(MATCH(AI$2, AsistenciaJetAdminConcatenada!$A:$A, 0)), ISNUMBER(MATCH(AI$1, AsistenciaJetAdminConcatenada!$B:$B, 0)), ISNUMBER(SEARCH($A39,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ISNUMBER(SEARCH($A39, INDEX(AsistenciaJetAdminConcatenada!$D:$D, MATCH(1, (AsistenciaJetAdminConcatenada!$A:$A=AI$2)*(AsistenciaJetAdminConcatenada!$B:$B=AI$1), 0)), 1))),  0.5, 0))</f>
        <v>0</v>
      </c>
      <c r="AJ39" s="47">
        <f t="array" ref="AJ39">IF(AND(ISNUMBER(MATCH(AJ$2, AsistenciaJetAdminConcatenada!$A:$A, 0)), ISNUMBER(MATCH(AJ$1, AsistenciaJetAdminConcatenada!$B:$B, 0)), ISNUMBER(SEARCH($A39,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ISNUMBER(SEARCH($A39, INDEX(AsistenciaJetAdminConcatenada!$D:$D, MATCH(1, (AsistenciaJetAdminConcatenada!$A:$A=AJ$2)*(AsistenciaJetAdminConcatenada!$B:$B=AJ$1), 0)), 1))),  0.5, 0))</f>
        <v>1</v>
      </c>
      <c r="AK39" s="47">
        <f t="array" ref="AK39">IF(AND(ISNUMBER(MATCH(AK$2, AsistenciaJetAdminConcatenada!$A:$A, 0)), ISNUMBER(MATCH(AK$1, AsistenciaJetAdminConcatenada!$B:$B, 0)), ISNUMBER(SEARCH($A39,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ISNUMBER(SEARCH($A39, INDEX(AsistenciaJetAdminConcatenada!$D:$D, MATCH(1, (AsistenciaJetAdminConcatenada!$A:$A=AK$2)*(AsistenciaJetAdminConcatenada!$B:$B=AK$1), 0)), 1))),  0.5, 0))</f>
        <v>1</v>
      </c>
      <c r="AL39" s="47">
        <f t="array" ref="AL39">IF(AND(ISNUMBER(MATCH(AL$2, AsistenciaJetAdminConcatenada!$A:$A, 0)), ISNUMBER(MATCH(AL$1, AsistenciaJetAdminConcatenada!$B:$B, 0)), ISNUMBER(SEARCH($A39,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ISNUMBER(SEARCH($A39, INDEX(AsistenciaJetAdminConcatenada!$D:$D, MATCH(1, (AsistenciaJetAdminConcatenada!$A:$A=AL$2)*(AsistenciaJetAdminConcatenada!$B:$B=AL$1), 0)), 1))),  0.5, 0))</f>
        <v>1</v>
      </c>
      <c r="AM39" s="47">
        <f t="array" ref="AM39">IF(AND(ISNUMBER(MATCH(AM$2, AsistenciaJetAdminConcatenada!$A:$A, 0)), ISNUMBER(MATCH(AM$1, AsistenciaJetAdminConcatenada!$B:$B, 0)), ISNUMBER(SEARCH($A39,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ISNUMBER(SEARCH($A39, INDEX(AsistenciaJetAdminConcatenada!$D:$D, MATCH(1, (AsistenciaJetAdminConcatenada!$A:$A=AM$2)*(AsistenciaJetAdminConcatenada!$B:$B=AM$1), 0)), 1))),  0.5, 0))</f>
        <v>0</v>
      </c>
      <c r="AN39" s="47">
        <f t="array" ref="AN39">IF(AND(ISNUMBER(MATCH(AN$2, AsistenciaJetAdminConcatenada!$A:$A, 0)), ISNUMBER(MATCH(AN$1, AsistenciaJetAdminConcatenada!$B:$B, 0)), ISNUMBER(SEARCH($A39,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ISNUMBER(SEARCH($A39, INDEX(AsistenciaJetAdminConcatenada!$D:$D, MATCH(1, (AsistenciaJetAdminConcatenada!$A:$A=AN$2)*(AsistenciaJetAdminConcatenada!$B:$B=AN$1), 0)), 1))),  0.5, 0))</f>
        <v>1</v>
      </c>
      <c r="AO39" s="47">
        <f t="array" ref="AO39">IF(AND(ISNUMBER(MATCH(AO$2, AsistenciaJetAdminConcatenada!$A:$A, 0)), ISNUMBER(MATCH(AO$1, AsistenciaJetAdminConcatenada!$B:$B, 0)), ISNUMBER(SEARCH($A39,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ISNUMBER(SEARCH($A39, INDEX(AsistenciaJetAdminConcatenada!$D:$D, MATCH(1, (AsistenciaJetAdminConcatenada!$A:$A=AO$2)*(AsistenciaJetAdminConcatenada!$B:$B=AO$1), 0)), 1))),  0.5, 0))</f>
        <v>1</v>
      </c>
      <c r="AP39" s="47">
        <f t="array" ref="AP39">IF(AND(ISNUMBER(MATCH(AP$2, AsistenciaJetAdminConcatenada!$A:$A, 0)), ISNUMBER(MATCH(AP$1, AsistenciaJetAdminConcatenada!$B:$B, 0)), ISNUMBER(SEARCH($A39,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ISNUMBER(SEARCH($A39, INDEX(AsistenciaJetAdminConcatenada!$D:$D, MATCH(1, (AsistenciaJetAdminConcatenada!$A:$A=AP$2)*(AsistenciaJetAdminConcatenada!$B:$B=AP$1), 0)), 1))),  0.5, 0))</f>
        <v>1</v>
      </c>
      <c r="AQ39" s="47">
        <f t="array" ref="AQ39">IF(AND(ISNUMBER(MATCH(AQ$2, AsistenciaJetAdminConcatenada!$A:$A, 0)), ISNUMBER(MATCH(AQ$1, AsistenciaJetAdminConcatenada!$B:$B, 0)), ISNUMBER(SEARCH($A39,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ISNUMBER(SEARCH($A39, INDEX(AsistenciaJetAdminConcatenada!$D:$D, MATCH(1, (AsistenciaJetAdminConcatenada!$A:$A=AQ$2)*(AsistenciaJetAdminConcatenada!$B:$B=AQ$1), 0)), 1))),  0.5, 0))</f>
        <v>0</v>
      </c>
      <c r="AR39" s="47">
        <f t="array" ref="AR39">IF(AND(ISNUMBER(MATCH(AR$2, AsistenciaJetAdminConcatenada!$A:$A, 0)), ISNUMBER(MATCH(AR$1, AsistenciaJetAdminConcatenada!$B:$B, 0)), ISNUMBER(SEARCH($A39,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ISNUMBER(SEARCH($A39, INDEX(AsistenciaJetAdminConcatenada!$D:$D, MATCH(1, (AsistenciaJetAdminConcatenada!$A:$A=AR$2)*(AsistenciaJetAdminConcatenada!$B:$B=AR$1), 0)), 1))),  0.5, 0))</f>
        <v>1</v>
      </c>
      <c r="AS39" s="47">
        <f t="array" ref="AS39">IF(AND(ISNUMBER(MATCH(AS$2, AsistenciaJetAdminConcatenada!$A:$A, 0)), ISNUMBER(MATCH(AS$1, AsistenciaJetAdminConcatenada!$B:$B, 0)), ISNUMBER(SEARCH($A39,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ISNUMBER(SEARCH($A39, INDEX(AsistenciaJetAdminConcatenada!$D:$D, MATCH(1, (AsistenciaJetAdminConcatenada!$A:$A=AS$2)*(AsistenciaJetAdminConcatenada!$B:$B=AS$1), 0)), 1))),  0.5, 0))</f>
        <v>1</v>
      </c>
      <c r="AT39" s="47">
        <f t="array" ref="AT39">IF(AND(ISNUMBER(MATCH(AT$2, AsistenciaJetAdminConcatenada!$A:$A, 0)), ISNUMBER(MATCH(AT$1, AsistenciaJetAdminConcatenada!$B:$B, 0)), ISNUMBER(SEARCH($A39,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ISNUMBER(SEARCH($A39, INDEX(AsistenciaJetAdminConcatenada!$D:$D, MATCH(1, (AsistenciaJetAdminConcatenada!$A:$A=AT$2)*(AsistenciaJetAdminConcatenada!$B:$B=AT$1), 0)), 1))),  0.5, 0))</f>
        <v>0</v>
      </c>
      <c r="AU39" s="47">
        <f t="array" ref="AU39">IF(AND(ISNUMBER(MATCH(AU$2, AsistenciaJetAdminConcatenada!$A:$A, 0)), ISNUMBER(MATCH(AU$1, AsistenciaJetAdminConcatenada!$B:$B, 0)), ISNUMBER(SEARCH($A39,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ISNUMBER(SEARCH($A39, INDEX(AsistenciaJetAdminConcatenada!$D:$D, MATCH(1, (AsistenciaJetAdminConcatenada!$A:$A=AU$2)*(AsistenciaJetAdminConcatenada!$B:$B=AU$1), 0)), 1))),  0.5, 0))</f>
        <v>1</v>
      </c>
      <c r="AV39" s="47">
        <f t="array" ref="AV39">IF(AND(ISNUMBER(MATCH(AV$2, AsistenciaJetAdminConcatenada!$A:$A, 0)), ISNUMBER(MATCH(AV$1, AsistenciaJetAdminConcatenada!$B:$B, 0)), ISNUMBER(SEARCH($A39,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ISNUMBER(SEARCH($A39, INDEX(AsistenciaJetAdminConcatenada!$D:$D, MATCH(1, (AsistenciaJetAdminConcatenada!$A:$A=AV$2)*(AsistenciaJetAdminConcatenada!$B:$B=AV$1), 0)), 1))),  0.5, 0))</f>
        <v>0</v>
      </c>
      <c r="AW39" s="47">
        <f t="array" ref="AW39">IF(AND(ISNUMBER(MATCH(AW$2, AsistenciaJetAdminConcatenada!$A:$A, 0)), ISNUMBER(MATCH(AW$1, AsistenciaJetAdminConcatenada!$B:$B, 0)), ISNUMBER(SEARCH($A39,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ISNUMBER(SEARCH($A39, INDEX(AsistenciaJetAdminConcatenada!$D:$D, MATCH(1, (AsistenciaJetAdminConcatenada!$A:$A=AW$2)*(AsistenciaJetAdminConcatenada!$B:$B=AW$1), 0)), 1))),  0.5, 0))</f>
        <v>0</v>
      </c>
      <c r="AX39" s="47">
        <f t="array" ref="AX39">IF(AND(ISNUMBER(MATCH(AX$2, AsistenciaJetAdminConcatenada!$A:$A, 0)), ISNUMBER(MATCH(AX$1, AsistenciaJetAdminConcatenada!$B:$B, 0)), ISNUMBER(SEARCH($A39,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ISNUMBER(SEARCH($A39, INDEX(AsistenciaJetAdminConcatenada!$D:$D, MATCH(1, (AsistenciaJetAdminConcatenada!$A:$A=AX$2)*(AsistenciaJetAdminConcatenada!$B:$B=AX$1), 0)), 1))),  0.5, 0))</f>
        <v>0</v>
      </c>
      <c r="AY39" s="47">
        <f t="array" ref="AY39">IF(AND(ISNUMBER(MATCH(AY$2, AsistenciaJetAdminConcatenada!$A:$A, 0)), ISNUMBER(MATCH(AY$1, AsistenciaJetAdminConcatenada!$B:$B, 0)), ISNUMBER(SEARCH($A39,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ISNUMBER(SEARCH($A39, INDEX(AsistenciaJetAdminConcatenada!$D:$D, MATCH(1, (AsistenciaJetAdminConcatenada!$A:$A=AY$2)*(AsistenciaJetAdminConcatenada!$B:$B=AY$1), 0)), 1))),  0.5, 0))</f>
        <v>1</v>
      </c>
      <c r="AZ39" s="47">
        <f t="array" ref="AZ39">IF(AND(ISNUMBER(MATCH(AZ$2, AsistenciaJetAdminConcatenada!$A:$A, 0)), ISNUMBER(MATCH(AZ$1, AsistenciaJetAdminConcatenada!$B:$B, 0)), ISNUMBER(SEARCH($A39,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ISNUMBER(SEARCH($A39, INDEX(AsistenciaJetAdminConcatenada!$D:$D, MATCH(1, (AsistenciaJetAdminConcatenada!$A:$A=AZ$2)*(AsistenciaJetAdminConcatenada!$B:$B=AZ$1), 0)), 1))),  0.5, 0))</f>
        <v>1</v>
      </c>
      <c r="BA39" s="47">
        <f t="array" ref="BA39">IF(AND(ISNUMBER(MATCH(BA$2, AsistenciaJetAdminConcatenada!$A:$A, 0)), ISNUMBER(MATCH(BA$1, AsistenciaJetAdminConcatenada!$B:$B, 0)), ISNUMBER(SEARCH($A39,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ISNUMBER(SEARCH($A39, INDEX(AsistenciaJetAdminConcatenada!$D:$D, MATCH(1, (AsistenciaJetAdminConcatenada!$A:$A=BA$2)*(AsistenciaJetAdminConcatenada!$B:$B=BA$1), 0)), 1))),  0.5, 0))</f>
        <v>1</v>
      </c>
      <c r="BB39" s="47">
        <f t="array" ref="BB39">IF(AND(ISNUMBER(MATCH(BB$2, AsistenciaJetAdminConcatenada!$A:$A, 0)), ISNUMBER(MATCH(BB$1, AsistenciaJetAdminConcatenada!$B:$B, 0)), ISNUMBER(SEARCH($A39,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ISNUMBER(SEARCH($A39, INDEX(AsistenciaJetAdminConcatenada!$D:$D, MATCH(1, (AsistenciaJetAdminConcatenada!$A:$A=BB$2)*(AsistenciaJetAdminConcatenada!$B:$B=BB$1), 0)), 1))),  0.5, 0))</f>
        <v>1</v>
      </c>
      <c r="BC39" s="47">
        <f t="array" ref="BC39">IF(AND(ISNUMBER(MATCH(BC$2, AsistenciaJetAdminConcatenada!$A:$A, 0)), ISNUMBER(MATCH(BC$1, AsistenciaJetAdminConcatenada!$B:$B, 0)), ISNUMBER(SEARCH($A39,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ISNUMBER(SEARCH($A39, INDEX(AsistenciaJetAdminConcatenada!$D:$D, MATCH(1, (AsistenciaJetAdminConcatenada!$A:$A=BC$2)*(AsistenciaJetAdminConcatenada!$B:$B=BC$1), 0)), 1))),  0.5, 0))</f>
        <v>1</v>
      </c>
      <c r="BD39" s="47">
        <f t="array" ref="BD39">IF(AND(ISNUMBER(MATCH(BD$2, AsistenciaJetAdminConcatenada!$A:$A, 0)), ISNUMBER(MATCH(BD$1, AsistenciaJetAdminConcatenada!$B:$B, 0)), ISNUMBER(SEARCH($A39,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ISNUMBER(SEARCH($A39, INDEX(AsistenciaJetAdminConcatenada!$D:$D, MATCH(1, (AsistenciaJetAdminConcatenada!$A:$A=BD$2)*(AsistenciaJetAdminConcatenada!$B:$B=BD$1), 0)), 1))),  0.5, 0))</f>
        <v>0</v>
      </c>
      <c r="BE39" s="47">
        <f t="array" ref="BE39">IF(AND(ISNUMBER(MATCH(BE$2, AsistenciaJetAdminConcatenada!$A:$A, 0)), ISNUMBER(MATCH(BE$1, AsistenciaJetAdminConcatenada!$B:$B, 0)), ISNUMBER(SEARCH($A39,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ISNUMBER(SEARCH($A39, INDEX(AsistenciaJetAdminConcatenada!$D:$D, MATCH(1, (AsistenciaJetAdminConcatenada!$A:$A=BE$2)*(AsistenciaJetAdminConcatenada!$B:$B=BE$1), 0)), 1))),  0.5, 0))</f>
        <v>1</v>
      </c>
      <c r="BF39" s="47">
        <f t="array" ref="BF39">IF(AND(ISNUMBER(MATCH(BF$2, AsistenciaJetAdminConcatenada!$A:$A, 0)), ISNUMBER(MATCH(BF$1, AsistenciaJetAdminConcatenada!$B:$B, 0)), ISNUMBER(SEARCH($A39,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ISNUMBER(SEARCH($A39, INDEX(AsistenciaJetAdminConcatenada!$D:$D, MATCH(1, (AsistenciaJetAdminConcatenada!$A:$A=BF$2)*(AsistenciaJetAdminConcatenada!$B:$B=BF$1), 0)), 1))),  0.5, 0))</f>
        <v>1</v>
      </c>
      <c r="BG39" s="47">
        <f t="array" ref="BG39">IF(AND(ISNUMBER(MATCH(BG$2, AsistenciaJetAdminConcatenada!$A:$A, 0)), ISNUMBER(MATCH(BG$1, AsistenciaJetAdminConcatenada!$B:$B, 0)), ISNUMBER(SEARCH($A39,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ISNUMBER(SEARCH($A39, INDEX(AsistenciaJetAdminConcatenada!$D:$D, MATCH(1, (AsistenciaJetAdminConcatenada!$A:$A=BG$2)*(AsistenciaJetAdminConcatenada!$B:$B=BG$1), 0)), 1))),  0.5, 0))</f>
        <v>0.5</v>
      </c>
      <c r="BH39" s="47">
        <f t="array" ref="BH39">IF(AND(ISNUMBER(MATCH(BH$2, AsistenciaJetAdminConcatenada!$A:$A, 0)), ISNUMBER(MATCH(BH$1, AsistenciaJetAdminConcatenada!$B:$B, 0)), ISNUMBER(SEARCH($A39,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ISNUMBER(SEARCH($A39, INDEX(AsistenciaJetAdminConcatenada!$D:$D, MATCH(1, (AsistenciaJetAdminConcatenada!$A:$A=BH$2)*(AsistenciaJetAdminConcatenada!$B:$B=BH$1), 0)), 1))),  0.5, 0))</f>
        <v>1</v>
      </c>
      <c r="BI39" s="47">
        <f t="array" ref="BI39">IF(AND(ISNUMBER(MATCH(BI$2, AsistenciaJetAdminConcatenada!$A:$A, 0)), ISNUMBER(MATCH(BI$1, AsistenciaJetAdminConcatenada!$B:$B, 0)), ISNUMBER(SEARCH($A39,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ISNUMBER(SEARCH($A39, INDEX(AsistenciaJetAdminConcatenada!$D:$D, MATCH(1, (AsistenciaJetAdminConcatenada!$A:$A=BI$2)*(AsistenciaJetAdminConcatenada!$B:$B=BI$1), 0)), 1))),  0.5, 0))</f>
        <v>1</v>
      </c>
      <c r="BJ39" s="47">
        <f t="array" ref="BJ39">IF(AND(ISNUMBER(MATCH(BJ$2, AsistenciaJetAdminConcatenada!$A:$A, 0)), ISNUMBER(MATCH(BJ$1, AsistenciaJetAdminConcatenada!$B:$B, 0)), ISNUMBER(SEARCH($A39,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ISNUMBER(SEARCH($A39, INDEX(AsistenciaJetAdminConcatenada!$D:$D, MATCH(1, (AsistenciaJetAdminConcatenada!$A:$A=BJ$2)*(AsistenciaJetAdminConcatenada!$B:$B=BJ$1), 0)), 1))),  0.5, 0))</f>
        <v>0</v>
      </c>
      <c r="BK39" s="47">
        <f t="array" ref="BK39">IF(AND(ISNUMBER(MATCH(BK$2, AsistenciaJetAdminConcatenada!$A:$A, 0)), ISNUMBER(MATCH(BK$1, AsistenciaJetAdminConcatenada!$B:$B, 0)), ISNUMBER(SEARCH($A39,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ISNUMBER(SEARCH($A39, INDEX(AsistenciaJetAdminConcatenada!$D:$D, MATCH(1, (AsistenciaJetAdminConcatenada!$A:$A=BK$2)*(AsistenciaJetAdminConcatenada!$B:$B=BK$1), 0)), 1))),  0.5, 0))</f>
        <v>0</v>
      </c>
      <c r="BL39" s="47">
        <f t="array" ref="BL39">IF(AND(ISNUMBER(MATCH(BL$2, AsistenciaJetAdminConcatenada!$A:$A, 0)), ISNUMBER(MATCH(BL$1, AsistenciaJetAdminConcatenada!$B:$B, 0)), ISNUMBER(SEARCH($A39,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ISNUMBER(SEARCH($A39, INDEX(AsistenciaJetAdminConcatenada!$D:$D, MATCH(1, (AsistenciaJetAdminConcatenada!$A:$A=BL$2)*(AsistenciaJetAdminConcatenada!$B:$B=BL$1), 0)), 1))),  0.5, 0))</f>
        <v>0</v>
      </c>
      <c r="BM39" s="47">
        <f t="array" ref="BM39">IF(AND(ISNUMBER(MATCH(BM$2, AsistenciaJetAdminConcatenada!$A:$A, 0)), ISNUMBER(MATCH(BM$1, AsistenciaJetAdminConcatenada!$B:$B, 0)), ISNUMBER(SEARCH($A39,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ISNUMBER(SEARCH($A39, INDEX(AsistenciaJetAdminConcatenada!$D:$D, MATCH(1, (AsistenciaJetAdminConcatenada!$A:$A=BM$2)*(AsistenciaJetAdminConcatenada!$B:$B=BM$1), 0)), 1))),  0.5, 0))</f>
        <v>1</v>
      </c>
      <c r="BN39" s="47">
        <f t="array" ref="BN39">IF(AND(ISNUMBER(MATCH(BN$2, AsistenciaJetAdminConcatenada!$A:$A, 0)), ISNUMBER(MATCH(BN$1, AsistenciaJetAdminConcatenada!$B:$B, 0)), ISNUMBER(SEARCH($A39,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ISNUMBER(SEARCH($A39, INDEX(AsistenciaJetAdminConcatenada!$D:$D, MATCH(1, (AsistenciaJetAdminConcatenada!$A:$A=BN$2)*(AsistenciaJetAdminConcatenada!$B:$B=BN$1), 0)), 1))),  0.5, 0))</f>
        <v>1</v>
      </c>
      <c r="BO39" s="47">
        <f t="array" ref="BO39">IF(AND(ISNUMBER(MATCH(BO$2, AsistenciaJetAdminConcatenada!$A:$A, 0)), ISNUMBER(MATCH(BO$1, AsistenciaJetAdminConcatenada!$B:$B, 0)), ISNUMBER(SEARCH($A39,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ISNUMBER(SEARCH($A39, INDEX(AsistenciaJetAdminConcatenada!$D:$D, MATCH(1, (AsistenciaJetAdminConcatenada!$A:$A=BO$2)*(AsistenciaJetAdminConcatenada!$B:$B=BO$1), 0)), 1))),  0.5, 0))</f>
        <v>0</v>
      </c>
      <c r="BP39" s="47">
        <f t="array" ref="BP39">IF(AND(ISNUMBER(MATCH(BP$2, AsistenciaJetAdminConcatenada!$A:$A, 0)), ISNUMBER(MATCH(BP$1, AsistenciaJetAdminConcatenada!$B:$B, 0)), ISNUMBER(SEARCH($A39,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ISNUMBER(SEARCH($A39, INDEX(AsistenciaJetAdminConcatenada!$D:$D, MATCH(1, (AsistenciaJetAdminConcatenada!$A:$A=BP$2)*(AsistenciaJetAdminConcatenada!$B:$B=BP$1), 0)), 1))),  0.5, 0))</f>
        <v>0</v>
      </c>
      <c r="BQ39" s="47">
        <f t="array" ref="BQ39">IF(AND(ISNUMBER(MATCH(BQ$2, AsistenciaJetAdminConcatenada!$A:$A, 0)), ISNUMBER(MATCH(BQ$1, AsistenciaJetAdminConcatenada!$B:$B, 0)), ISNUMBER(SEARCH($A39,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ISNUMBER(SEARCH($A39, INDEX(AsistenciaJetAdminConcatenada!$D:$D, MATCH(1, (AsistenciaJetAdminConcatenada!$A:$A=BQ$2)*(AsistenciaJetAdminConcatenada!$B:$B=BQ$1), 0)), 1))),  0.5, 0))</f>
        <v>0</v>
      </c>
      <c r="BR39" s="47">
        <f t="array" ref="BR39">IF(AND(ISNUMBER(MATCH(BR$2, AsistenciaJetAdminConcatenada!$A:$A, 0)), ISNUMBER(MATCH(BR$1, AsistenciaJetAdminConcatenada!$B:$B, 0)), ISNUMBER(SEARCH($A39,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ISNUMBER(SEARCH($A39, INDEX(AsistenciaJetAdminConcatenada!$D:$D, MATCH(1, (AsistenciaJetAdminConcatenada!$A:$A=BR$2)*(AsistenciaJetAdminConcatenada!$B:$B=BR$1), 0)), 1))),  0.5, 0))</f>
        <v>0</v>
      </c>
      <c r="BS39" s="47">
        <f t="array" ref="BS39">IF(AND(ISNUMBER(MATCH(BS$2, AsistenciaJetAdminConcatenada!$A:$A, 0)), ISNUMBER(MATCH(BS$1, AsistenciaJetAdminConcatenada!$B:$B, 0)), ISNUMBER(SEARCH($A39,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ISNUMBER(SEARCH($A39, INDEX(AsistenciaJetAdminConcatenada!$D:$D, MATCH(1, (AsistenciaJetAdminConcatenada!$A:$A=BS$2)*(AsistenciaJetAdminConcatenada!$B:$B=BS$1), 0)), 1))),  0.5, 0))</f>
        <v>1</v>
      </c>
      <c r="BT39" s="47">
        <f t="array" ref="BT39">IF(AND(ISNUMBER(MATCH(BT$2, AsistenciaJetAdminConcatenada!$A:$A, 0)), ISNUMBER(MATCH(BT$1, AsistenciaJetAdminConcatenada!$B:$B, 0)), ISNUMBER(SEARCH($A39,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ISNUMBER(SEARCH($A39, INDEX(AsistenciaJetAdminConcatenada!$D:$D, MATCH(1, (AsistenciaJetAdminConcatenada!$A:$A=BT$2)*(AsistenciaJetAdminConcatenada!$B:$B=BT$1), 0)), 1))),  0.5, 0))</f>
        <v>1</v>
      </c>
      <c r="BU39" s="47">
        <f t="array" ref="BU39">IF(AND(ISNUMBER(MATCH(BU$2, AsistenciaJetAdminConcatenada!$A:$A, 0)), ISNUMBER(MATCH(BU$1, AsistenciaJetAdminConcatenada!$B:$B, 0)), ISNUMBER(SEARCH($A39,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ISNUMBER(SEARCH($A39, INDEX(AsistenciaJetAdminConcatenada!$D:$D, MATCH(1, (AsistenciaJetAdminConcatenada!$A:$A=BU$2)*(AsistenciaJetAdminConcatenada!$B:$B=BU$1), 0)), 1))),  0.5, 0))</f>
        <v>1</v>
      </c>
      <c r="BV39" s="47">
        <f t="array" ref="BV39">IF(AND(ISNUMBER(MATCH(BV$2, AsistenciaJetAdminConcatenada!$A:$A, 0)), ISNUMBER(MATCH(BV$1, AsistenciaJetAdminConcatenada!$B:$B, 0)), ISNUMBER(SEARCH($A39,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ISNUMBER(SEARCH($A39, INDEX(AsistenciaJetAdminConcatenada!$D:$D, MATCH(1, (AsistenciaJetAdminConcatenada!$A:$A=BV$2)*(AsistenciaJetAdminConcatenada!$B:$B=BV$1), 0)), 1))),  0.5, 0))</f>
        <v>0</v>
      </c>
      <c r="BW39" s="47">
        <f t="array" ref="BW39">IF(AND(ISNUMBER(MATCH(BW$2, AsistenciaJetAdminConcatenada!$A:$A, 0)), ISNUMBER(MATCH(BW$1, AsistenciaJetAdminConcatenada!$B:$B, 0)), ISNUMBER(SEARCH($A39,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ISNUMBER(SEARCH($A39, INDEX(AsistenciaJetAdminConcatenada!$D:$D, MATCH(1, (AsistenciaJetAdminConcatenada!$A:$A=BW$2)*(AsistenciaJetAdminConcatenada!$B:$B=BW$1), 0)), 1))),  0.5, 0))</f>
        <v>1</v>
      </c>
      <c r="BX39" s="47">
        <f t="array" ref="BX39">IF(AND(ISNUMBER(MATCH(BX$2, AsistenciaJetAdminConcatenada!$A:$A, 0)), ISNUMBER(MATCH(BX$1, AsistenciaJetAdminConcatenada!$B:$B, 0)), ISNUMBER(SEARCH($A39,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ISNUMBER(SEARCH($A39, INDEX(AsistenciaJetAdminConcatenada!$D:$D, MATCH(1, (AsistenciaJetAdminConcatenada!$A:$A=BX$2)*(AsistenciaJetAdminConcatenada!$B:$B=BX$1), 0)), 1))),  0.5, 0))</f>
        <v>0</v>
      </c>
      <c r="BY39" s="47">
        <f t="array" ref="BY39">IF(AND(ISNUMBER(MATCH(BY$2, AsistenciaJetAdminConcatenada!$A:$A, 0)), ISNUMBER(MATCH(BY$1, AsistenciaJetAdminConcatenada!$B:$B, 0)), ISNUMBER(SEARCH($A39,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ISNUMBER(SEARCH($A39, INDEX(AsistenciaJetAdminConcatenada!$D:$D, MATCH(1, (AsistenciaJetAdminConcatenada!$A:$A=BY$2)*(AsistenciaJetAdminConcatenada!$B:$B=BY$1), 0)), 1))),  0.5, 0))</f>
        <v>0</v>
      </c>
      <c r="BZ39" s="47">
        <f t="array" ref="BZ39">IF(AND(ISNUMBER(MATCH(BZ$2, AsistenciaJetAdminConcatenada!$A:$A, 0)), ISNUMBER(MATCH(BZ$1, AsistenciaJetAdminConcatenada!$B:$B, 0)), ISNUMBER(SEARCH($A39,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ISNUMBER(SEARCH($A39, INDEX(AsistenciaJetAdminConcatenada!$D:$D, MATCH(1, (AsistenciaJetAdminConcatenada!$A:$A=BZ$2)*(AsistenciaJetAdminConcatenada!$B:$B=BZ$1), 0)), 1))),  0.5, 0))</f>
        <v>0</v>
      </c>
      <c r="CA39" s="47">
        <f t="array" ref="CA39">IF(AND(ISNUMBER(MATCH(CA$2, AsistenciaJetAdminConcatenada!$A:$A, 0)), ISNUMBER(MATCH(CA$1, AsistenciaJetAdminConcatenada!$B:$B, 0)), ISNUMBER(SEARCH($A39,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ISNUMBER(SEARCH($A39, INDEX(AsistenciaJetAdminConcatenada!$D:$D, MATCH(1, (AsistenciaJetAdminConcatenada!$A:$A=CA$2)*(AsistenciaJetAdminConcatenada!$B:$B=CA$1), 0)), 1))),  0.5, 0))</f>
        <v>1</v>
      </c>
      <c r="CB39" s="47">
        <f t="array" ref="CB39">IF(AND(ISNUMBER(MATCH(CB$2, AsistenciaJetAdminConcatenada!$A:$A, 0)), ISNUMBER(MATCH(CB$1, AsistenciaJetAdminConcatenada!$B:$B, 0)), ISNUMBER(SEARCH($A39,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ISNUMBER(SEARCH($A39, INDEX(AsistenciaJetAdminConcatenada!$D:$D, MATCH(1, (AsistenciaJetAdminConcatenada!$A:$A=CB$2)*(AsistenciaJetAdminConcatenada!$B:$B=CB$1), 0)), 1))),  0.5, 0))</f>
        <v>1</v>
      </c>
      <c r="CC39" s="47">
        <f t="array" ref="CC39">IF(AND(ISNUMBER(MATCH(CC$2, AsistenciaJetAdminConcatenada!$A:$A, 0)), ISNUMBER(MATCH(CC$1, AsistenciaJetAdminConcatenada!$B:$B, 0)), ISNUMBER(SEARCH($A39,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ISNUMBER(SEARCH($A39, INDEX(AsistenciaJetAdminConcatenada!$D:$D, MATCH(1, (AsistenciaJetAdminConcatenada!$A:$A=CC$2)*(AsistenciaJetAdminConcatenada!$B:$B=CC$1), 0)), 1))),  0.5, 0))</f>
        <v>1</v>
      </c>
      <c r="CD39" s="47">
        <f t="array" ref="CD39">IF(AND(ISNUMBER(MATCH(CD$2, AsistenciaJetAdminConcatenada!$A:$A, 0)), ISNUMBER(MATCH(CD$1, AsistenciaJetAdminConcatenada!$B:$B, 0)), ISNUMBER(SEARCH($A39,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ISNUMBER(SEARCH($A39, INDEX(AsistenciaJetAdminConcatenada!$D:$D, MATCH(1, (AsistenciaJetAdminConcatenada!$A:$A=CD$2)*(AsistenciaJetAdminConcatenada!$B:$B=CD$1), 0)), 1))),  0.5, 0))</f>
        <v>0</v>
      </c>
      <c r="CE39" s="47">
        <f t="array" ref="CE39">IF(AND(ISNUMBER(MATCH(CE$2, AsistenciaJetAdminConcatenada!$A:$A, 0)), ISNUMBER(MATCH(CE$1, AsistenciaJetAdminConcatenada!$B:$B, 0)), ISNUMBER(SEARCH($A39,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ISNUMBER(SEARCH($A39, INDEX(AsistenciaJetAdminConcatenada!$D:$D, MATCH(1, (AsistenciaJetAdminConcatenada!$A:$A=CE$2)*(AsistenciaJetAdminConcatenada!$B:$B=CE$1), 0)), 1))),  0.5, 0))</f>
        <v>1</v>
      </c>
      <c r="CF39" s="47">
        <f t="array" ref="CF39">IF(AND(ISNUMBER(MATCH(CF$2, AsistenciaJetAdminConcatenada!$A:$A, 0)), ISNUMBER(MATCH(CF$1, AsistenciaJetAdminConcatenada!$B:$B, 0)), ISNUMBER(SEARCH($A39,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ISNUMBER(SEARCH($A39, INDEX(AsistenciaJetAdminConcatenada!$D:$D, MATCH(1, (AsistenciaJetAdminConcatenada!$A:$A=CF$2)*(AsistenciaJetAdminConcatenada!$B:$B=CF$1), 0)), 1))),  0.5, 0))</f>
        <v>1</v>
      </c>
      <c r="CG39" s="47">
        <f t="array" ref="CG39">IF(AND(ISNUMBER(MATCH(CG$2, AsistenciaJetAdminConcatenada!$A:$A, 0)), ISNUMBER(MATCH(CG$1, AsistenciaJetAdminConcatenada!$B:$B, 0)), ISNUMBER(SEARCH($A39,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ISNUMBER(SEARCH($A39, INDEX(AsistenciaJetAdminConcatenada!$D:$D, MATCH(1, (AsistenciaJetAdminConcatenada!$A:$A=CG$2)*(AsistenciaJetAdminConcatenada!$B:$B=CG$1), 0)), 1))),  0.5, 0))</f>
        <v>1</v>
      </c>
      <c r="CH39" s="47">
        <f t="array" ref="CH39">IF(AND(ISNUMBER(MATCH(CH$2, AsistenciaJetAdminConcatenada!$A:$A, 0)), ISNUMBER(MATCH(CH$1, AsistenciaJetAdminConcatenada!$B:$B, 0)), ISNUMBER(SEARCH($A39,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ISNUMBER(SEARCH($A39, INDEX(AsistenciaJetAdminConcatenada!$D:$D, MATCH(1, (AsistenciaJetAdminConcatenada!$A:$A=CH$2)*(AsistenciaJetAdminConcatenada!$B:$B=CH$1), 0)), 1))),  0.5, 0))</f>
        <v>0.5</v>
      </c>
      <c r="CI39" s="47">
        <f t="array" ref="CI39">IF(AND(ISNUMBER(MATCH(CI$2, AsistenciaJetAdminConcatenada!$A:$A, 0)), ISNUMBER(MATCH(CI$1, AsistenciaJetAdminConcatenada!$B:$B, 0)), ISNUMBER(SEARCH($A39,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ISNUMBER(SEARCH($A39, INDEX(AsistenciaJetAdminConcatenada!$D:$D, MATCH(1, (AsistenciaJetAdminConcatenada!$A:$A=CI$2)*(AsistenciaJetAdminConcatenada!$B:$B=CI$1), 0)), 1))),  0.5, 0))</f>
        <v>1</v>
      </c>
      <c r="CJ39" s="47">
        <f t="array" ref="CJ39">IF(AND(ISNUMBER(MATCH(CJ$2, AsistenciaJetAdminConcatenada!$A:$A, 0)), ISNUMBER(MATCH(CJ$1, AsistenciaJetAdminConcatenada!$B:$B, 0)), ISNUMBER(SEARCH($A39,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ISNUMBER(SEARCH($A39, INDEX(AsistenciaJetAdminConcatenada!$D:$D, MATCH(1, (AsistenciaJetAdminConcatenada!$A:$A=CJ$2)*(AsistenciaJetAdminConcatenada!$B:$B=CJ$1), 0)), 1))),  0.5, 0))</f>
        <v>0</v>
      </c>
      <c r="CK39" s="47">
        <f t="array" ref="CK39">IF(AND(ISNUMBER(MATCH(CK$2, AsistenciaJetAdminConcatenada!$A:$A, 0)), ISNUMBER(MATCH(CK$1, AsistenciaJetAdminConcatenada!$B:$B, 0)), ISNUMBER(SEARCH($A39,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ISNUMBER(SEARCH($A39, INDEX(AsistenciaJetAdminConcatenada!$D:$D, MATCH(1, (AsistenciaJetAdminConcatenada!$A:$A=CK$2)*(AsistenciaJetAdminConcatenada!$B:$B=CK$1), 0)), 1))),  0.5, 0))</f>
        <v>0</v>
      </c>
      <c r="CL39" s="47">
        <f t="array" ref="CL39">IF(AND(ISNUMBER(MATCH(CL$2, AsistenciaJetAdminConcatenada!$A:$A, 0)), ISNUMBER(MATCH(CL$1, AsistenciaJetAdminConcatenada!$B:$B, 0)), ISNUMBER(SEARCH($A39,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ISNUMBER(SEARCH($A39, INDEX(AsistenciaJetAdminConcatenada!$D:$D, MATCH(1, (AsistenciaJetAdminConcatenada!$A:$A=CL$2)*(AsistenciaJetAdminConcatenada!$B:$B=CL$1), 0)), 1))),  0.5, 0))</f>
        <v>1</v>
      </c>
      <c r="CM39" s="47">
        <f t="array" ref="CM39">IF(AND(ISNUMBER(MATCH(CM$2, AsistenciaJetAdminConcatenada!$A:$A, 0)), ISNUMBER(MATCH(CM$1, AsistenciaJetAdminConcatenada!$B:$B, 0)), ISNUMBER(SEARCH($A39,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ISNUMBER(SEARCH($A39, INDEX(AsistenciaJetAdminConcatenada!$D:$D, MATCH(1, (AsistenciaJetAdminConcatenada!$A:$A=CM$2)*(AsistenciaJetAdminConcatenada!$B:$B=CM$1), 0)), 1))),  0.5, 0))</f>
        <v>1</v>
      </c>
      <c r="CN39" s="47">
        <f t="array" ref="CN39">IF(AND(ISNUMBER(MATCH(CN$2, AsistenciaJetAdminConcatenada!$A:$A, 0)), ISNUMBER(MATCH(CN$1, AsistenciaJetAdminConcatenada!$B:$B, 0)), ISNUMBER(SEARCH($A39,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ISNUMBER(SEARCH($A39, INDEX(AsistenciaJetAdminConcatenada!$D:$D, MATCH(1, (AsistenciaJetAdminConcatenada!$A:$A=CN$2)*(AsistenciaJetAdminConcatenada!$B:$B=CN$1), 0)), 1))),  0.5, 0))</f>
        <v>0</v>
      </c>
      <c r="CO39" s="47">
        <f t="array" ref="CO39">IF(AND(ISNUMBER(MATCH(CO$2, AsistenciaJetAdminConcatenada!$A:$A, 0)), ISNUMBER(MATCH(CO$1, AsistenciaJetAdminConcatenada!$B:$B, 0)), ISNUMBER(SEARCH($A39,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ISNUMBER(SEARCH($A39, INDEX(AsistenciaJetAdminConcatenada!$D:$D, MATCH(1, (AsistenciaJetAdminConcatenada!$A:$A=CO$2)*(AsistenciaJetAdminConcatenada!$B:$B=CO$1), 0)), 1))),  0.5, 0))</f>
        <v>1</v>
      </c>
      <c r="CP39" s="47">
        <f t="array" ref="CP39">IF(AND(ISNUMBER(MATCH(CP$2, AsistenciaJetAdminConcatenada!$A:$A, 0)), ISNUMBER(MATCH(CP$1, AsistenciaJetAdminConcatenada!$B:$B, 0)), ISNUMBER(SEARCH($A39,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ISNUMBER(SEARCH($A39, INDEX(AsistenciaJetAdminConcatenada!$D:$D, MATCH(1, (AsistenciaJetAdminConcatenada!$A:$A=CP$2)*(AsistenciaJetAdminConcatenada!$B:$B=CP$1), 0)), 1))),  0.5, 0))</f>
        <v>1</v>
      </c>
      <c r="CQ39" s="47">
        <f t="array" ref="CQ39">IF(AND(ISNUMBER(MATCH(CQ$2, AsistenciaJetAdminConcatenada!$A:$A, 0)), ISNUMBER(MATCH(CQ$1, AsistenciaJetAdminConcatenada!$B:$B, 0)), ISNUMBER(SEARCH($A39,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ISNUMBER(SEARCH($A39, INDEX(AsistenciaJetAdminConcatenada!$D:$D, MATCH(1, (AsistenciaJetAdminConcatenada!$A:$A=CQ$2)*(AsistenciaJetAdminConcatenada!$B:$B=CQ$1), 0)), 1))),  0.5, 0))</f>
        <v>1</v>
      </c>
      <c r="CR39" s="47">
        <f t="array" ref="CR39">IF(AND(ISNUMBER(MATCH(CR$2, AsistenciaJetAdminConcatenada!$A:$A, 0)), ISNUMBER(MATCH(CR$1, AsistenciaJetAdminConcatenada!$B:$B, 0)), ISNUMBER(SEARCH($A39,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ISNUMBER(SEARCH($A39, INDEX(AsistenciaJetAdminConcatenada!$D:$D, MATCH(1, (AsistenciaJetAdminConcatenada!$A:$A=CR$2)*(AsistenciaJetAdminConcatenada!$B:$B=CR$1), 0)), 1))),  0.5, 0))</f>
        <v>1</v>
      </c>
      <c r="CS39" s="47">
        <f t="array" ref="CS39">IF(AND(ISNUMBER(MATCH(CS$2, AsistenciaJetAdminConcatenada!$A:$A, 0)), ISNUMBER(MATCH(CS$1, AsistenciaJetAdminConcatenada!$B:$B, 0)), ISNUMBER(SEARCH($A39,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ISNUMBER(SEARCH($A39, INDEX(AsistenciaJetAdminConcatenada!$D:$D, MATCH(1, (AsistenciaJetAdminConcatenada!$A:$A=CS$2)*(AsistenciaJetAdminConcatenada!$B:$B=CS$1), 0)), 1))),  0.5, 0))</f>
        <v>0</v>
      </c>
      <c r="CT39" s="47">
        <f t="array" ref="CT39">IF(AND(ISNUMBER(MATCH(CT$2, AsistenciaJetAdminConcatenada!$A:$A, 0)), ISNUMBER(MATCH(CT$1, AsistenciaJetAdminConcatenada!$B:$B, 0)), ISNUMBER(SEARCH($A39,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ISNUMBER(SEARCH($A39, INDEX(AsistenciaJetAdminConcatenada!$D:$D, MATCH(1, (AsistenciaJetAdminConcatenada!$A:$A=CT$2)*(AsistenciaJetAdminConcatenada!$B:$B=CT$1), 0)), 1))),  0.5, 0))</f>
        <v>0</v>
      </c>
      <c r="CU39" s="47">
        <f t="array" ref="CU39">IF(AND(ISNUMBER(MATCH(CU$2, AsistenciaJetAdminConcatenada!$A:$A, 0)), ISNUMBER(MATCH(CU$1, AsistenciaJetAdminConcatenada!$B:$B, 0)), ISNUMBER(SEARCH($A39,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ISNUMBER(SEARCH($A39, INDEX(AsistenciaJetAdminConcatenada!$D:$D, MATCH(1, (AsistenciaJetAdminConcatenada!$A:$A=CU$2)*(AsistenciaJetAdminConcatenada!$B:$B=CU$1), 0)), 1))),  0.5, 0))</f>
        <v>0</v>
      </c>
      <c r="CV39" s="47">
        <f t="array" ref="CV39">IF(AND(ISNUMBER(MATCH(CV$2, AsistenciaJetAdminConcatenada!$A:$A, 0)), ISNUMBER(MATCH(CV$1, AsistenciaJetAdminConcatenada!$B:$B, 0)), ISNUMBER(SEARCH($A39,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ISNUMBER(SEARCH($A39, INDEX(AsistenciaJetAdminConcatenada!$D:$D, MATCH(1, (AsistenciaJetAdminConcatenada!$A:$A=CV$2)*(AsistenciaJetAdminConcatenada!$B:$B=CV$1), 0)), 1))),  0.5, 0))</f>
        <v>0</v>
      </c>
      <c r="CW39" s="47">
        <f t="array" ref="CW39">IF(AND(ISNUMBER(MATCH(CW$2, AsistenciaJetAdminConcatenada!$A:$A, 0)), ISNUMBER(MATCH(CW$1, AsistenciaJetAdminConcatenada!$B:$B, 0)), ISNUMBER(SEARCH($A39,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ISNUMBER(SEARCH($A39, INDEX(AsistenciaJetAdminConcatenada!$D:$D, MATCH(1, (AsistenciaJetAdminConcatenada!$A:$A=CW$2)*(AsistenciaJetAdminConcatenada!$B:$B=CW$1), 0)), 1))),  0.5, 0))</f>
        <v>0</v>
      </c>
      <c r="CX39" s="47">
        <f t="array" ref="CX39">IF(AND(ISNUMBER(MATCH(CX$2, AsistenciaJetAdminConcatenada!$A:$A, 0)), ISNUMBER(MATCH(CX$1, AsistenciaJetAdminConcatenada!$B:$B, 0)), ISNUMBER(SEARCH($A39,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ISNUMBER(SEARCH($A39, INDEX(AsistenciaJetAdminConcatenada!$D:$D, MATCH(1, (AsistenciaJetAdminConcatenada!$A:$A=CX$2)*(AsistenciaJetAdminConcatenada!$B:$B=CX$1), 0)), 1))),  0.5, 0))</f>
        <v>0</v>
      </c>
      <c r="CY39" s="47">
        <f t="array" ref="CY39">IF(AND(ISNUMBER(MATCH(CY$2, AsistenciaJetAdminConcatenada!$A:$A, 0)), ISNUMBER(MATCH(CY$1, AsistenciaJetAdminConcatenada!$B:$B, 0)), ISNUMBER(SEARCH($A39,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ISNUMBER(SEARCH($A39, INDEX(AsistenciaJetAdminConcatenada!$D:$D, MATCH(1, (AsistenciaJetAdminConcatenada!$A:$A=CY$2)*(AsistenciaJetAdminConcatenada!$B:$B=CY$1), 0)), 1))),  0.5, 0))</f>
        <v>0</v>
      </c>
      <c r="CZ39" s="47">
        <f t="array" ref="CZ39">IF(AND(ISNUMBER(MATCH(CZ$2, AsistenciaJetAdminConcatenada!$A:$A, 0)), ISNUMBER(MATCH(CZ$1, AsistenciaJetAdminConcatenada!$B:$B, 0)), ISNUMBER(SEARCH($A39,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ISNUMBER(SEARCH($A39, INDEX(AsistenciaJetAdminConcatenada!$D:$D, MATCH(1, (AsistenciaJetAdminConcatenada!$A:$A=CZ$2)*(AsistenciaJetAdminConcatenada!$B:$B=CZ$1), 0)), 1))),  0.5, 0))</f>
        <v>0</v>
      </c>
      <c r="DA39" s="47">
        <f t="array" ref="DA39">IF(AND(ISNUMBER(MATCH(DA$2, AsistenciaJetAdminConcatenada!$A:$A, 0)), ISNUMBER(MATCH(DA$1, AsistenciaJetAdminConcatenada!$B:$B, 0)), ISNUMBER(SEARCH($A39,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ISNUMBER(SEARCH($A39, INDEX(AsistenciaJetAdminConcatenada!$D:$D, MATCH(1, (AsistenciaJetAdminConcatenada!$A:$A=DA$2)*(AsistenciaJetAdminConcatenada!$B:$B=DA$1), 0)), 1))),  0.5, 0))</f>
        <v>0</v>
      </c>
      <c r="DB39" s="47">
        <f t="array" ref="DB39">IF(AND(ISNUMBER(MATCH(DB$2, AsistenciaJetAdminConcatenada!$A:$A, 0)), ISNUMBER(MATCH(DB$1, AsistenciaJetAdminConcatenada!$B:$B, 0)), ISNUMBER(SEARCH($A39,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ISNUMBER(SEARCH($A39, INDEX(AsistenciaJetAdminConcatenada!$D:$D, MATCH(1, (AsistenciaJetAdminConcatenada!$A:$A=DB$2)*(AsistenciaJetAdminConcatenada!$B:$B=DB$1), 0)), 1))),  0.5, 0))</f>
        <v>0</v>
      </c>
      <c r="DC39" s="47">
        <f t="array" ref="DC39">IF(AND(ISNUMBER(MATCH(DC$2, AsistenciaJetAdminConcatenada!$A:$A, 0)), ISNUMBER(MATCH(DC$1, AsistenciaJetAdminConcatenada!$B:$B, 0)), ISNUMBER(SEARCH($A39,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ISNUMBER(SEARCH($A39, INDEX(AsistenciaJetAdminConcatenada!$D:$D, MATCH(1, (AsistenciaJetAdminConcatenada!$A:$A=DC$2)*(AsistenciaJetAdminConcatenada!$B:$B=DC$1), 0)), 1))),  0.5, 0))</f>
        <v>0</v>
      </c>
      <c r="DD39" s="47">
        <f t="array" ref="DD39">IF(AND(ISNUMBER(MATCH(DD$2, AsistenciaJetAdminConcatenada!$A:$A, 0)), ISNUMBER(MATCH(DD$1, AsistenciaJetAdminConcatenada!$B:$B, 0)), ISNUMBER(SEARCH($A39,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ISNUMBER(SEARCH($A39, INDEX(AsistenciaJetAdminConcatenada!$D:$D, MATCH(1, (AsistenciaJetAdminConcatenada!$A:$A=DD$2)*(AsistenciaJetAdminConcatenada!$B:$B=DD$1), 0)), 1))),  0.5, 0))</f>
        <v>0</v>
      </c>
      <c r="DE39" s="47">
        <f t="array" ref="DE39">IF(AND(ISNUMBER(MATCH(DE$2, AsistenciaJetAdminConcatenada!$A:$A, 0)), ISNUMBER(MATCH(DE$1, AsistenciaJetAdminConcatenada!$B:$B, 0)), ISNUMBER(SEARCH($A39,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ISNUMBER(SEARCH($A39, INDEX(AsistenciaJetAdminConcatenada!$D:$D, MATCH(1, (AsistenciaJetAdminConcatenada!$A:$A=DE$2)*(AsistenciaJetAdminConcatenada!$B:$B=DE$1), 0)), 1))),  0.5, 0))</f>
        <v>0</v>
      </c>
      <c r="DF39" s="47">
        <f t="array" ref="DF39">IF(AND(ISNUMBER(MATCH(DF$2, AsistenciaJetAdminConcatenada!$A:$A, 0)), ISNUMBER(MATCH(DF$1, AsistenciaJetAdminConcatenada!$B:$B, 0)), ISNUMBER(SEARCH($A39,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ISNUMBER(SEARCH($A39, INDEX(AsistenciaJetAdminConcatenada!$D:$D, MATCH(1, (AsistenciaJetAdminConcatenada!$A:$A=DF$2)*(AsistenciaJetAdminConcatenada!$B:$B=DF$1), 0)), 1))),  0.5, 0))</f>
        <v>0</v>
      </c>
      <c r="DG39" s="47">
        <f t="array" ref="DG39">IF(AND(ISNUMBER(MATCH(DG$2, AsistenciaJetAdminConcatenada!$A:$A, 0)), ISNUMBER(MATCH(DG$1, AsistenciaJetAdminConcatenada!$B:$B, 0)), ISNUMBER(SEARCH($A39,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ISNUMBER(SEARCH($A39, INDEX(AsistenciaJetAdminConcatenada!$D:$D, MATCH(1, (AsistenciaJetAdminConcatenada!$A:$A=DG$2)*(AsistenciaJetAdminConcatenada!$B:$B=DG$1), 0)), 1))),  0.5, 0))</f>
        <v>0</v>
      </c>
      <c r="DH39" s="47">
        <f t="array" ref="DH39">IF(AND(ISNUMBER(MATCH(DH$2, AsistenciaJetAdminConcatenada!$A:$A, 0)), ISNUMBER(MATCH(DH$1, AsistenciaJetAdminConcatenada!$B:$B, 0)), ISNUMBER(SEARCH($A39,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ISNUMBER(SEARCH($A39, INDEX(AsistenciaJetAdminConcatenada!$D:$D, MATCH(1, (AsistenciaJetAdminConcatenada!$A:$A=DH$2)*(AsistenciaJetAdminConcatenada!$B:$B=DH$1), 0)), 1))),  0.5, 0))</f>
        <v>0</v>
      </c>
      <c r="DI39" s="47">
        <f t="array" ref="DI39">IF(AND(ISNUMBER(MATCH(DI$2, AsistenciaJetAdminConcatenada!$A:$A, 0)), ISNUMBER(MATCH(DI$1, AsistenciaJetAdminConcatenada!$B:$B, 0)), ISNUMBER(SEARCH($A39,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ISNUMBER(SEARCH($A39, INDEX(AsistenciaJetAdminConcatenada!$D:$D, MATCH(1, (AsistenciaJetAdminConcatenada!$A:$A=DI$2)*(AsistenciaJetAdminConcatenada!$B:$B=DI$1), 0)), 1))),  0.5, 0))</f>
        <v>0</v>
      </c>
      <c r="DJ39" s="47">
        <f t="array" ref="DJ39">IF(AND(ISNUMBER(MATCH(DJ$2, AsistenciaJetAdminConcatenada!$A:$A, 0)), ISNUMBER(MATCH(DJ$1, AsistenciaJetAdminConcatenada!$B:$B, 0)), ISNUMBER(SEARCH($A39,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ISNUMBER(SEARCH($A39, INDEX(AsistenciaJetAdminConcatenada!$D:$D, MATCH(1, (AsistenciaJetAdminConcatenada!$A:$A=DJ$2)*(AsistenciaJetAdminConcatenada!$B:$B=DJ$1), 0)), 1))),  0.5, 0))</f>
        <v>0</v>
      </c>
      <c r="DK39" s="47">
        <f t="array" ref="DK39">IF(AND(ISNUMBER(MATCH(DK$2, AsistenciaJetAdminConcatenada!$A:$A, 0)), ISNUMBER(MATCH(DK$1, AsistenciaJetAdminConcatenada!$B:$B, 0)), ISNUMBER(SEARCH($A39,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ISNUMBER(SEARCH($A39, INDEX(AsistenciaJetAdminConcatenada!$D:$D, MATCH(1, (AsistenciaJetAdminConcatenada!$A:$A=DK$2)*(AsistenciaJetAdminConcatenada!$B:$B=DK$1), 0)), 1))),  0.5, 0))</f>
        <v>0</v>
      </c>
      <c r="DL39" s="47">
        <f t="array" ref="DL39">IF(AND(ISNUMBER(MATCH(DL$2, AsistenciaJetAdminConcatenada!$A:$A, 0)), ISNUMBER(MATCH(DL$1, AsistenciaJetAdminConcatenada!$B:$B, 0)), ISNUMBER(SEARCH($A39,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ISNUMBER(SEARCH($A39, INDEX(AsistenciaJetAdminConcatenada!$D:$D, MATCH(1, (AsistenciaJetAdminConcatenada!$A:$A=DL$2)*(AsistenciaJetAdminConcatenada!$B:$B=DL$1), 0)), 1))),  0.5, 0))</f>
        <v>0</v>
      </c>
      <c r="DM39" s="47">
        <f t="array" ref="DM39">IF(AND(ISNUMBER(MATCH(DM$2, AsistenciaJetAdminConcatenada!$A:$A, 0)), ISNUMBER(MATCH(DM$1, AsistenciaJetAdminConcatenada!$B:$B, 0)), ISNUMBER(SEARCH($A39,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ISNUMBER(SEARCH($A39, INDEX(AsistenciaJetAdminConcatenada!$D:$D, MATCH(1, (AsistenciaJetAdminConcatenada!$A:$A=DM$2)*(AsistenciaJetAdminConcatenada!$B:$B=DM$1), 0)), 1))),  0.5, 0))</f>
        <v>0</v>
      </c>
      <c r="DN39" s="47">
        <f t="array" ref="DN39">IF(AND(ISNUMBER(MATCH(DN$2, AsistenciaJetAdminConcatenada!$A:$A, 0)), ISNUMBER(MATCH(DN$1, AsistenciaJetAdminConcatenada!$B:$B, 0)), ISNUMBER(SEARCH($A39,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ISNUMBER(SEARCH($A39, INDEX(AsistenciaJetAdminConcatenada!$D:$D, MATCH(1, (AsistenciaJetAdminConcatenada!$A:$A=DN$2)*(AsistenciaJetAdminConcatenada!$B:$B=DN$1), 0)), 1))),  0.5, 0))</f>
        <v>0</v>
      </c>
      <c r="DO39" s="47">
        <f t="array" ref="DO39">IF(AND(ISNUMBER(MATCH(DO$2, AsistenciaJetAdminConcatenada!$A:$A, 0)), ISNUMBER(MATCH(DO$1, AsistenciaJetAdminConcatenada!$B:$B, 0)), ISNUMBER(SEARCH($A39,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ISNUMBER(SEARCH($A39, INDEX(AsistenciaJetAdminConcatenada!$D:$D, MATCH(1, (AsistenciaJetAdminConcatenada!$A:$A=DO$2)*(AsistenciaJetAdminConcatenada!$B:$B=DO$1), 0)), 1))),  0.5, 0))</f>
        <v>0</v>
      </c>
      <c r="DP39" s="47">
        <f t="array" ref="DP39">IF(AND(ISNUMBER(MATCH(DP$2, AsistenciaJetAdminConcatenada!$A:$A, 0)), ISNUMBER(MATCH(DP$1, AsistenciaJetAdminConcatenada!$B:$B, 0)), ISNUMBER(SEARCH($A39,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ISNUMBER(SEARCH($A39, INDEX(AsistenciaJetAdminConcatenada!$D:$D, MATCH(1, (AsistenciaJetAdminConcatenada!$A:$A=DP$2)*(AsistenciaJetAdminConcatenada!$B:$B=DP$1), 0)), 1))),  0.5, 0))</f>
        <v>0</v>
      </c>
      <c r="DQ39" s="47">
        <f t="array" ref="DQ39">IF(AND(ISNUMBER(MATCH(DQ$2, AsistenciaJetAdminConcatenada!$A:$A, 0)), ISNUMBER(MATCH(DQ$1, AsistenciaJetAdminConcatenada!$B:$B, 0)), ISNUMBER(SEARCH($A39,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ISNUMBER(SEARCH($A39, INDEX(AsistenciaJetAdminConcatenada!$D:$D, MATCH(1, (AsistenciaJetAdminConcatenada!$A:$A=DQ$2)*(AsistenciaJetAdminConcatenada!$B:$B=DQ$1), 0)), 1))),  0.5, 0))</f>
        <v>0</v>
      </c>
      <c r="DR39" s="47">
        <f t="array" ref="DR39">IF(AND(ISNUMBER(MATCH(DR$2, AsistenciaJetAdminConcatenada!$A:$A, 0)), ISNUMBER(MATCH(DR$1, AsistenciaJetAdminConcatenada!$B:$B, 0)), ISNUMBER(SEARCH($A39,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ISNUMBER(SEARCH($A39, INDEX(AsistenciaJetAdminConcatenada!$D:$D, MATCH(1, (AsistenciaJetAdminConcatenada!$A:$A=DR$2)*(AsistenciaJetAdminConcatenada!$B:$B=DR$1), 0)), 1))),  0.5, 0))</f>
        <v>0</v>
      </c>
      <c r="DS39" s="47">
        <f t="array" ref="DS39">IF(AND(ISNUMBER(MATCH(DS$2, AsistenciaJetAdminConcatenada!$A:$A, 0)), ISNUMBER(MATCH(DS$1, AsistenciaJetAdminConcatenada!$B:$B, 0)), ISNUMBER(SEARCH($A39,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ISNUMBER(SEARCH($A39, INDEX(AsistenciaJetAdminConcatenada!$D:$D, MATCH(1, (AsistenciaJetAdminConcatenada!$A:$A=DS$2)*(AsistenciaJetAdminConcatenada!$B:$B=DS$1), 0)), 1))),  0.5, 0))</f>
        <v>0</v>
      </c>
      <c r="DT39" s="47">
        <f t="array" ref="DT39">IF(AND(ISNUMBER(MATCH(DT$2, AsistenciaJetAdminConcatenada!$A:$A, 0)), ISNUMBER(MATCH(DT$1, AsistenciaJetAdminConcatenada!$B:$B, 0)), ISNUMBER(SEARCH($A39,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ISNUMBER(SEARCH($A39, INDEX(AsistenciaJetAdminConcatenada!$D:$D, MATCH(1, (AsistenciaJetAdminConcatenada!$A:$A=DT$2)*(AsistenciaJetAdminConcatenada!$B:$B=DT$1), 0)), 1))),  0.5, 0))</f>
        <v>0</v>
      </c>
      <c r="DU39" s="47">
        <f t="array" ref="DU39">IF(AND(ISNUMBER(MATCH(DU$2, AsistenciaJetAdminConcatenada!$A:$A, 0)), ISNUMBER(MATCH(DU$1, AsistenciaJetAdminConcatenada!$B:$B, 0)), ISNUMBER(SEARCH($A39,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ISNUMBER(SEARCH($A39, INDEX(AsistenciaJetAdminConcatenada!$D:$D, MATCH(1, (AsistenciaJetAdminConcatenada!$A:$A=DU$2)*(AsistenciaJetAdminConcatenada!$B:$B=DU$1), 0)), 1))),  0.5, 0))</f>
        <v>0</v>
      </c>
      <c r="DV39" s="47">
        <f t="array" ref="DV39">IF(AND(ISNUMBER(MATCH(DV$2, AsistenciaJetAdminConcatenada!$A:$A, 0)), ISNUMBER(MATCH(DV$1, AsistenciaJetAdminConcatenada!$B:$B, 0)), ISNUMBER(SEARCH($A39,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ISNUMBER(SEARCH($A39, INDEX(AsistenciaJetAdminConcatenada!$D:$D, MATCH(1, (AsistenciaJetAdminConcatenada!$A:$A=DV$2)*(AsistenciaJetAdminConcatenada!$B:$B=DV$1), 0)), 1))),  0.5, 0))</f>
        <v>0</v>
      </c>
      <c r="DW39" s="47">
        <f t="array" ref="DW39">IF(AND(ISNUMBER(MATCH(DW$2, AsistenciaJetAdminConcatenada!$A:$A, 0)), ISNUMBER(MATCH(DW$1, AsistenciaJetAdminConcatenada!$B:$B, 0)), ISNUMBER(SEARCH($A39,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ISNUMBER(SEARCH($A39, INDEX(AsistenciaJetAdminConcatenada!$D:$D, MATCH(1, (AsistenciaJetAdminConcatenada!$A:$A=DW$2)*(AsistenciaJetAdminConcatenada!$B:$B=DW$1), 0)), 1))),  0.5, 0))</f>
        <v>0</v>
      </c>
      <c r="DX39" s="47">
        <f t="array" ref="DX39">IF(AND(ISNUMBER(MATCH(DX$2, AsistenciaJetAdminConcatenada!$A:$A, 0)), ISNUMBER(MATCH(DX$1, AsistenciaJetAdminConcatenada!$B:$B, 0)), ISNUMBER(SEARCH($A39,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ISNUMBER(SEARCH($A39, INDEX(AsistenciaJetAdminConcatenada!$D:$D, MATCH(1, (AsistenciaJetAdminConcatenada!$A:$A=DX$2)*(AsistenciaJetAdminConcatenada!$B:$B=DX$1), 0)), 1))),  0.5, 0))</f>
        <v>0</v>
      </c>
      <c r="DY39" s="47">
        <f t="array" ref="DY39">IF(AND(ISNUMBER(MATCH(DY$2, AsistenciaJetAdminConcatenada!$A:$A, 0)), ISNUMBER(MATCH(DY$1, AsistenciaJetAdminConcatenada!$B:$B, 0)), ISNUMBER(SEARCH($A39,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ISNUMBER(SEARCH($A39, INDEX(AsistenciaJetAdminConcatenada!$D:$D, MATCH(1, (AsistenciaJetAdminConcatenada!$A:$A=DY$2)*(AsistenciaJetAdminConcatenada!$B:$B=DY$1), 0)), 1))),  0.5, 0))</f>
        <v>0</v>
      </c>
      <c r="DZ39" s="47">
        <f t="array" ref="DZ39">IF(AND(ISNUMBER(MATCH(DZ$2, AsistenciaJetAdminConcatenada!$A:$A, 0)), ISNUMBER(MATCH(DZ$1, AsistenciaJetAdminConcatenada!$B:$B, 0)), ISNUMBER(SEARCH($A39,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ISNUMBER(SEARCH($A39, INDEX(AsistenciaJetAdminConcatenada!$D:$D, MATCH(1, (AsistenciaJetAdminConcatenada!$A:$A=DZ$2)*(AsistenciaJetAdminConcatenada!$B:$B=DZ$1), 0)), 1))),  0.5, 0))</f>
        <v>0</v>
      </c>
      <c r="EA39" s="47">
        <f t="array" ref="EA39">IF(AND(ISNUMBER(MATCH(EA$2, AsistenciaJetAdminConcatenada!$A:$A, 0)), ISNUMBER(MATCH(EA$1, AsistenciaJetAdminConcatenada!$B:$B, 0)), ISNUMBER(SEARCH($A39,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ISNUMBER(SEARCH($A39, INDEX(AsistenciaJetAdminConcatenada!$D:$D, MATCH(1, (AsistenciaJetAdminConcatenada!$A:$A=EA$2)*(AsistenciaJetAdminConcatenada!$B:$B=EA$1), 0)), 1))),  0.5, 0))</f>
        <v>0</v>
      </c>
      <c r="EB39" s="47">
        <f t="array" ref="EB39">IF(AND(ISNUMBER(MATCH(EB$2, AsistenciaJetAdminConcatenada!$A:$A, 0)), ISNUMBER(MATCH(EB$1, AsistenciaJetAdminConcatenada!$B:$B, 0)), ISNUMBER(SEARCH($A39,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ISNUMBER(SEARCH($A39, INDEX(AsistenciaJetAdminConcatenada!$D:$D, MATCH(1, (AsistenciaJetAdminConcatenada!$A:$A=EB$2)*(AsistenciaJetAdminConcatenada!$B:$B=EB$1), 0)), 1))),  0.5, 0))</f>
        <v>0</v>
      </c>
      <c r="EC39" s="47">
        <f t="array" ref="EC39">IF(AND(ISNUMBER(MATCH(EC$2, AsistenciaJetAdminConcatenada!$A:$A, 0)), ISNUMBER(MATCH(EC$1, AsistenciaJetAdminConcatenada!$B:$B, 0)), ISNUMBER(SEARCH($A39,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ISNUMBER(SEARCH($A39, INDEX(AsistenciaJetAdminConcatenada!$D:$D, MATCH(1, (AsistenciaJetAdminConcatenada!$A:$A=EC$2)*(AsistenciaJetAdminConcatenada!$B:$B=EC$1), 0)), 1))),  0.5, 0))</f>
        <v>0</v>
      </c>
      <c r="ED39" s="47">
        <f t="array" ref="ED39">IF(AND(ISNUMBER(MATCH(ED$2, AsistenciaJetAdminConcatenada!$A:$A, 0)), ISNUMBER(MATCH(ED$1, AsistenciaJetAdminConcatenada!$B:$B, 0)), ISNUMBER(SEARCH($A39,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ISNUMBER(SEARCH($A39, INDEX(AsistenciaJetAdminConcatenada!$D:$D, MATCH(1, (AsistenciaJetAdminConcatenada!$A:$A=ED$2)*(AsistenciaJetAdminConcatenada!$B:$B=ED$1), 0)), 1))),  0.5, 0))</f>
        <v>0</v>
      </c>
      <c r="EE39" s="47">
        <f t="array" ref="EE39">IF(AND(ISNUMBER(MATCH(EE$2, AsistenciaJetAdminConcatenada!$A:$A, 0)), ISNUMBER(MATCH(EE$1, AsistenciaJetAdminConcatenada!$B:$B, 0)), ISNUMBER(SEARCH($A39,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ISNUMBER(SEARCH($A39, INDEX(AsistenciaJetAdminConcatenada!$D:$D, MATCH(1, (AsistenciaJetAdminConcatenada!$A:$A=EE$2)*(AsistenciaJetAdminConcatenada!$B:$B=EE$1), 0)), 1))),  0.5, 0))</f>
        <v>0</v>
      </c>
      <c r="EF39" s="47">
        <f t="array" ref="EF39">IF(AND(ISNUMBER(MATCH(EF$2, AsistenciaJetAdminConcatenada!$A:$A, 0)), ISNUMBER(MATCH(EF$1, AsistenciaJetAdminConcatenada!$B:$B, 0)), ISNUMBER(SEARCH($A39,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ISNUMBER(SEARCH($A39, INDEX(AsistenciaJetAdminConcatenada!$D:$D, MATCH(1, (AsistenciaJetAdminConcatenada!$A:$A=EF$2)*(AsistenciaJetAdminConcatenada!$B:$B=EF$1), 0)), 1))),  0.5, 0))</f>
        <v>0</v>
      </c>
      <c r="EG39" s="47">
        <f t="array" ref="EG39">IF(AND(ISNUMBER(MATCH(EG$2, AsistenciaJetAdminConcatenada!$A:$A, 0)), ISNUMBER(MATCH(EG$1, AsistenciaJetAdminConcatenada!$B:$B, 0)), ISNUMBER(SEARCH($A39,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ISNUMBER(SEARCH($A39, INDEX(AsistenciaJetAdminConcatenada!$D:$D, MATCH(1, (AsistenciaJetAdminConcatenada!$A:$A=EG$2)*(AsistenciaJetAdminConcatenada!$B:$B=EG$1), 0)), 1))),  0.5, 0))</f>
        <v>0</v>
      </c>
      <c r="EH39" s="47">
        <f t="array" ref="EH39">IF(AND(ISNUMBER(MATCH(EH$2, AsistenciaJetAdminConcatenada!$A:$A, 0)), ISNUMBER(MATCH(EH$1, AsistenciaJetAdminConcatenada!$B:$B, 0)), ISNUMBER(SEARCH($A39,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ISNUMBER(SEARCH($A39, INDEX(AsistenciaJetAdminConcatenada!$D:$D, MATCH(1, (AsistenciaJetAdminConcatenada!$A:$A=EH$2)*(AsistenciaJetAdminConcatenada!$B:$B=EH$1), 0)), 1))),  0.5, 0))</f>
        <v>0</v>
      </c>
      <c r="EI39" s="47">
        <f t="array" ref="EI39">IF(AND(ISNUMBER(MATCH(EI$2, AsistenciaJetAdminConcatenada!$A:$A, 0)), ISNUMBER(MATCH(EI$1, AsistenciaJetAdminConcatenada!$B:$B, 0)), ISNUMBER(SEARCH($A39,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ISNUMBER(SEARCH($A39, INDEX(AsistenciaJetAdminConcatenada!$D:$D, MATCH(1, (AsistenciaJetAdminConcatenada!$A:$A=EI$2)*(AsistenciaJetAdminConcatenada!$B:$B=EI$1), 0)), 1))),  0.5, 0))</f>
        <v>0</v>
      </c>
      <c r="EJ39" s="47">
        <f t="array" ref="EJ39">IF(AND(ISNUMBER(MATCH(EJ$2, AsistenciaJetAdminConcatenada!$A:$A, 0)), ISNUMBER(MATCH(EJ$1, AsistenciaJetAdminConcatenada!$B:$B, 0)), ISNUMBER(SEARCH($A39,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ISNUMBER(SEARCH($A39, INDEX(AsistenciaJetAdminConcatenada!$D:$D, MATCH(1, (AsistenciaJetAdminConcatenada!$A:$A=EJ$2)*(AsistenciaJetAdminConcatenada!$B:$B=EJ$1), 0)), 1))),  0.5, 0))</f>
        <v>0</v>
      </c>
      <c r="EK39" s="47">
        <f t="array" ref="EK39">IF(AND(ISNUMBER(MATCH(EK$2, AsistenciaJetAdminConcatenada!$A:$A, 0)), ISNUMBER(MATCH(EK$1, AsistenciaJetAdminConcatenada!$B:$B, 0)), ISNUMBER(SEARCH($A39,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ISNUMBER(SEARCH($A39, INDEX(AsistenciaJetAdminConcatenada!$D:$D, MATCH(1, (AsistenciaJetAdminConcatenada!$A:$A=EK$2)*(AsistenciaJetAdminConcatenada!$B:$B=EK$1), 0)), 1))),  0.5, 0))</f>
        <v>0</v>
      </c>
      <c r="EL39" s="47">
        <f t="array" ref="EL39">IF(AND(ISNUMBER(MATCH(EL$2, AsistenciaJetAdminConcatenada!$A:$A, 0)), ISNUMBER(MATCH(EL$1, AsistenciaJetAdminConcatenada!$B:$B, 0)), ISNUMBER(SEARCH($A39,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ISNUMBER(SEARCH($A39, INDEX(AsistenciaJetAdminConcatenada!$D:$D, MATCH(1, (AsistenciaJetAdminConcatenada!$A:$A=EL$2)*(AsistenciaJetAdminConcatenada!$B:$B=EL$1), 0)), 1))),  0.5, 0))</f>
        <v>0</v>
      </c>
      <c r="EM39" s="47">
        <f t="array" ref="EM39">IF(AND(ISNUMBER(MATCH(EM$2, AsistenciaJetAdminConcatenada!$A:$A, 0)), ISNUMBER(MATCH(EM$1, AsistenciaJetAdminConcatenada!$B:$B, 0)), ISNUMBER(SEARCH($A39,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ISNUMBER(SEARCH($A39, INDEX(AsistenciaJetAdminConcatenada!$D:$D, MATCH(1, (AsistenciaJetAdminConcatenada!$A:$A=EM$2)*(AsistenciaJetAdminConcatenada!$B:$B=EM$1), 0)), 1))),  0.5, 0))</f>
        <v>0</v>
      </c>
      <c r="EN39" s="47">
        <f t="array" ref="EN39">IF(AND(ISNUMBER(MATCH(EN$2, AsistenciaJetAdminConcatenada!$A:$A, 0)), ISNUMBER(MATCH(EN$1, AsistenciaJetAdminConcatenada!$B:$B, 0)), ISNUMBER(SEARCH($A39,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ISNUMBER(SEARCH($A39, INDEX(AsistenciaJetAdminConcatenada!$D:$D, MATCH(1, (AsistenciaJetAdminConcatenada!$A:$A=EN$2)*(AsistenciaJetAdminConcatenada!$B:$B=EN$1), 0)), 1))),  0.5, 0))</f>
        <v>0</v>
      </c>
      <c r="EO39" s="47">
        <f t="array" ref="EO39">IF(AND(ISNUMBER(MATCH(EO$2, AsistenciaJetAdminConcatenada!$A:$A, 0)), ISNUMBER(MATCH(EO$1, AsistenciaJetAdminConcatenada!$B:$B, 0)), ISNUMBER(SEARCH($A39,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ISNUMBER(SEARCH($A39, INDEX(AsistenciaJetAdminConcatenada!$D:$D, MATCH(1, (AsistenciaJetAdminConcatenada!$A:$A=EO$2)*(AsistenciaJetAdminConcatenada!$B:$B=EO$1), 0)), 1))),  0.5, 0))</f>
        <v>0</v>
      </c>
      <c r="EP39" s="47">
        <f t="array" ref="EP39">IF(AND(ISNUMBER(MATCH(EP$2, AsistenciaJetAdminConcatenada!$A:$A, 0)), ISNUMBER(MATCH(EP$1, AsistenciaJetAdminConcatenada!$B:$B, 0)), ISNUMBER(SEARCH($A39,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ISNUMBER(SEARCH($A39, INDEX(AsistenciaJetAdminConcatenada!$D:$D, MATCH(1, (AsistenciaJetAdminConcatenada!$A:$A=EP$2)*(AsistenciaJetAdminConcatenada!$B:$B=EP$1), 0)), 1))),  0.5, 0))</f>
        <v>0</v>
      </c>
      <c r="EQ39" s="47">
        <f t="array" ref="EQ39">IF(AND(ISNUMBER(MATCH(EQ$2, AsistenciaJetAdminConcatenada!$A:$A, 0)), ISNUMBER(MATCH(EQ$1, AsistenciaJetAdminConcatenada!$B:$B, 0)), ISNUMBER(SEARCH($A39,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ISNUMBER(SEARCH($A39, INDEX(AsistenciaJetAdminConcatenada!$D:$D, MATCH(1, (AsistenciaJetAdminConcatenada!$A:$A=EQ$2)*(AsistenciaJetAdminConcatenada!$B:$B=EQ$1), 0)), 1))),  0.5, 0))</f>
        <v>0</v>
      </c>
      <c r="ER39" s="47">
        <f t="array" ref="ER39">IF(AND(ISNUMBER(MATCH(ER$2, AsistenciaJetAdminConcatenada!$A:$A, 0)), ISNUMBER(MATCH(ER$1, AsistenciaJetAdminConcatenada!$B:$B, 0)), ISNUMBER(SEARCH($A39,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ISNUMBER(SEARCH($A39, INDEX(AsistenciaJetAdminConcatenada!$D:$D, MATCH(1, (AsistenciaJetAdminConcatenada!$A:$A=ER$2)*(AsistenciaJetAdminConcatenada!$B:$B=ER$1), 0)), 1))),  0.5, 0))</f>
        <v>0</v>
      </c>
      <c r="ES39" s="47">
        <f t="array" ref="ES39">IF(AND(ISNUMBER(MATCH(ES$2, AsistenciaJetAdminConcatenada!$A:$A, 0)), ISNUMBER(MATCH(ES$1, AsistenciaJetAdminConcatenada!$B:$B, 0)), ISNUMBER(SEARCH($A39,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ISNUMBER(SEARCH($A39, INDEX(AsistenciaJetAdminConcatenada!$D:$D, MATCH(1, (AsistenciaJetAdminConcatenada!$A:$A=ES$2)*(AsistenciaJetAdminConcatenada!$B:$B=ES$1), 0)), 1))),  0.5, 0))</f>
        <v>0</v>
      </c>
      <c r="ET39" s="47">
        <f t="array" ref="ET39">IF(AND(ISNUMBER(MATCH(ET$2, AsistenciaJetAdminConcatenada!$A:$A, 0)), ISNUMBER(MATCH(ET$1, AsistenciaJetAdminConcatenada!$B:$B, 0)), ISNUMBER(SEARCH($A39,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ISNUMBER(SEARCH($A39, INDEX(AsistenciaJetAdminConcatenada!$D:$D, MATCH(1, (AsistenciaJetAdminConcatenada!$A:$A=ET$2)*(AsistenciaJetAdminConcatenada!$B:$B=ET$1), 0)), 1))),  0.5, 0))</f>
        <v>0</v>
      </c>
      <c r="EU39" s="47">
        <f t="array" ref="EU39">IF(AND(ISNUMBER(MATCH(EU$2, AsistenciaJetAdminConcatenada!$A:$A, 0)), ISNUMBER(MATCH(EU$1, AsistenciaJetAdminConcatenada!$B:$B, 0)), ISNUMBER(SEARCH($A39,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ISNUMBER(SEARCH($A39, INDEX(AsistenciaJetAdminConcatenada!$D:$D, MATCH(1, (AsistenciaJetAdminConcatenada!$A:$A=EU$2)*(AsistenciaJetAdminConcatenada!$B:$B=EU$1), 0)), 1))),  0.5, 0))</f>
        <v>0</v>
      </c>
      <c r="EV39" s="47">
        <f t="array" ref="EV39">IF(AND(ISNUMBER(MATCH(EV$2, AsistenciaJetAdminConcatenada!$A:$A, 0)), ISNUMBER(MATCH(EV$1, AsistenciaJetAdminConcatenada!$B:$B, 0)), ISNUMBER(SEARCH($A39,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ISNUMBER(SEARCH($A39, INDEX(AsistenciaJetAdminConcatenada!$D:$D, MATCH(1, (AsistenciaJetAdminConcatenada!$A:$A=EV$2)*(AsistenciaJetAdminConcatenada!$B:$B=EV$1), 0)), 1))),  0.5, 0))</f>
        <v>0</v>
      </c>
      <c r="EW39" s="47">
        <f t="array" ref="EW39">IF(AND(ISNUMBER(MATCH(EW$2, AsistenciaJetAdminConcatenada!$A:$A, 0)), ISNUMBER(MATCH(EW$1, AsistenciaJetAdminConcatenada!$B:$B, 0)), ISNUMBER(SEARCH($A39,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ISNUMBER(SEARCH($A39, INDEX(AsistenciaJetAdminConcatenada!$D:$D, MATCH(1, (AsistenciaJetAdminConcatenada!$A:$A=EW$2)*(AsistenciaJetAdminConcatenada!$B:$B=EW$1), 0)), 1))),  0.5, 0))</f>
        <v>0</v>
      </c>
      <c r="EX39" s="47">
        <f t="array" ref="EX39">IF(AND(ISNUMBER(MATCH(EX$2, AsistenciaJetAdminConcatenada!$A:$A, 0)), ISNUMBER(MATCH(EX$1, AsistenciaJetAdminConcatenada!$B:$B, 0)), ISNUMBER(SEARCH($A39,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ISNUMBER(SEARCH($A39, INDEX(AsistenciaJetAdminConcatenada!$D:$D, MATCH(1, (AsistenciaJetAdminConcatenada!$A:$A=EX$2)*(AsistenciaJetAdminConcatenada!$B:$B=EX$1), 0)), 1))),  0.5, 0))</f>
        <v>0</v>
      </c>
      <c r="EY39" s="47">
        <f t="array" ref="EY39">IF(AND(ISNUMBER(MATCH(EY$2, AsistenciaJetAdminConcatenada!$A:$A, 0)), ISNUMBER(MATCH(EY$1, AsistenciaJetAdminConcatenada!$B:$B, 0)), ISNUMBER(SEARCH($A39,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ISNUMBER(SEARCH($A39, INDEX(AsistenciaJetAdminConcatenada!$D:$D, MATCH(1, (AsistenciaJetAdminConcatenada!$A:$A=EY$2)*(AsistenciaJetAdminConcatenada!$B:$B=EY$1), 0)), 1))),  0.5, 0))</f>
        <v>0</v>
      </c>
      <c r="EZ39" s="47">
        <f t="array" ref="EZ39">IF(AND(ISNUMBER(MATCH(EZ$2, AsistenciaJetAdminConcatenada!$A:$A, 0)), ISNUMBER(MATCH(EZ$1, AsistenciaJetAdminConcatenada!$B:$B, 0)), ISNUMBER(SEARCH($A39,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ISNUMBER(SEARCH($A39, INDEX(AsistenciaJetAdminConcatenada!$D:$D, MATCH(1, (AsistenciaJetAdminConcatenada!$A:$A=EZ$2)*(AsistenciaJetAdminConcatenada!$B:$B=EZ$1), 0)), 1))),  0.5, 0))</f>
        <v>0</v>
      </c>
      <c r="FA39" s="47">
        <f t="array" ref="FA39">IF(AND(ISNUMBER(MATCH(FA$2, AsistenciaJetAdminConcatenada!$A:$A, 0)), ISNUMBER(MATCH(FA$1, AsistenciaJetAdminConcatenada!$B:$B, 0)), ISNUMBER(SEARCH($A39,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ISNUMBER(SEARCH($A39, INDEX(AsistenciaJetAdminConcatenada!$D:$D, MATCH(1, (AsistenciaJetAdminConcatenada!$A:$A=FA$2)*(AsistenciaJetAdminConcatenada!$B:$B=FA$1), 0)), 1))),  0.5, 0))</f>
        <v>0</v>
      </c>
      <c r="FB39" s="47">
        <f t="array" ref="FB39">IF(AND(ISNUMBER(MATCH(FB$2, AsistenciaJetAdminConcatenada!$A:$A, 0)), ISNUMBER(MATCH(FB$1, AsistenciaJetAdminConcatenada!$B:$B, 0)), ISNUMBER(SEARCH($A39,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ISNUMBER(SEARCH($A39, INDEX(AsistenciaJetAdminConcatenada!$D:$D, MATCH(1, (AsistenciaJetAdminConcatenada!$A:$A=FB$2)*(AsistenciaJetAdminConcatenada!$B:$B=FB$1), 0)), 1))),  0.5, 0))</f>
        <v>0</v>
      </c>
      <c r="FC39" s="47">
        <f t="array" ref="FC39">IF(AND(ISNUMBER(MATCH(FC$2, AsistenciaJetAdminConcatenada!$A:$A, 0)), ISNUMBER(MATCH(FC$1, AsistenciaJetAdminConcatenada!$B:$B, 0)), ISNUMBER(SEARCH($A39,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ISNUMBER(SEARCH($A39, INDEX(AsistenciaJetAdminConcatenada!$D:$D, MATCH(1, (AsistenciaJetAdminConcatenada!$A:$A=FC$2)*(AsistenciaJetAdminConcatenada!$B:$B=FC$1), 0)), 1))),  0.5, 0))</f>
        <v>0</v>
      </c>
      <c r="FD39" s="47">
        <f t="array" ref="FD39">IF(AND(ISNUMBER(MATCH(FD$2, AsistenciaJetAdminConcatenada!$A:$A, 0)), ISNUMBER(MATCH(FD$1, AsistenciaJetAdminConcatenada!$B:$B, 0)), ISNUMBER(SEARCH($A39,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ISNUMBER(SEARCH($A39, INDEX(AsistenciaJetAdminConcatenada!$D:$D, MATCH(1, (AsistenciaJetAdminConcatenada!$A:$A=FD$2)*(AsistenciaJetAdminConcatenada!$B:$B=FD$1), 0)), 1))),  0.5, 0))</f>
        <v>0</v>
      </c>
      <c r="FE39" s="47">
        <f t="array" ref="FE39">IF(AND(ISNUMBER(MATCH(FE$2, AsistenciaJetAdminConcatenada!$A:$A, 0)), ISNUMBER(MATCH(FE$1, AsistenciaJetAdminConcatenada!$B:$B, 0)), ISNUMBER(SEARCH($A39,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ISNUMBER(SEARCH($A39, INDEX(AsistenciaJetAdminConcatenada!$D:$D, MATCH(1, (AsistenciaJetAdminConcatenada!$A:$A=FE$2)*(AsistenciaJetAdminConcatenada!$B:$B=FE$1), 0)), 1))),  0.5, 0))</f>
        <v>0</v>
      </c>
      <c r="FF39" s="47">
        <f t="array" ref="FF39">IF(AND(ISNUMBER(MATCH(FF$2, AsistenciaJetAdminConcatenada!$A:$A, 0)), ISNUMBER(MATCH(FF$1, AsistenciaJetAdminConcatenada!$B:$B, 0)), ISNUMBER(SEARCH($A39,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ISNUMBER(SEARCH($A39, INDEX(AsistenciaJetAdminConcatenada!$D:$D, MATCH(1, (AsistenciaJetAdminConcatenada!$A:$A=FF$2)*(AsistenciaJetAdminConcatenada!$B:$B=FF$1), 0)), 1))),  0.5, 0))</f>
        <v>0</v>
      </c>
      <c r="FG39" s="47">
        <f t="array" ref="FG39">IF(AND(ISNUMBER(MATCH(FG$2, AsistenciaJetAdminConcatenada!$A:$A, 0)), ISNUMBER(MATCH(FG$1, AsistenciaJetAdminConcatenada!$B:$B, 0)), ISNUMBER(SEARCH($A39,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ISNUMBER(SEARCH($A39, INDEX(AsistenciaJetAdminConcatenada!$D:$D, MATCH(1, (AsistenciaJetAdminConcatenada!$A:$A=FG$2)*(AsistenciaJetAdminConcatenada!$B:$B=FG$1), 0)), 1))),  0.5, 0))</f>
        <v>0</v>
      </c>
      <c r="FH39" s="47">
        <f t="array" ref="FH39">IF(AND(ISNUMBER(MATCH(FH$2, AsistenciaJetAdminConcatenada!$A:$A, 0)), ISNUMBER(MATCH(FH$1, AsistenciaJetAdminConcatenada!$B:$B, 0)), ISNUMBER(SEARCH($A39,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ISNUMBER(SEARCH($A39, INDEX(AsistenciaJetAdminConcatenada!$D:$D, MATCH(1, (AsistenciaJetAdminConcatenada!$A:$A=FH$2)*(AsistenciaJetAdminConcatenada!$B:$B=FH$1), 0)), 1))),  0.5, 0))</f>
        <v>0</v>
      </c>
      <c r="FI39" s="47">
        <f t="array" ref="FI39">IF(AND(ISNUMBER(MATCH(FI$2, AsistenciaJetAdminConcatenada!$A:$A, 0)), ISNUMBER(MATCH(FI$1, AsistenciaJetAdminConcatenada!$B:$B, 0)), ISNUMBER(SEARCH($A39,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ISNUMBER(SEARCH($A39, INDEX(AsistenciaJetAdminConcatenada!$D:$D, MATCH(1, (AsistenciaJetAdminConcatenada!$A:$A=FI$2)*(AsistenciaJetAdminConcatenada!$B:$B=FI$1), 0)), 1))),  0.5, 0))</f>
        <v>0</v>
      </c>
      <c r="FJ39" s="47">
        <f t="array" ref="FJ39">IF(AND(ISNUMBER(MATCH(FJ$2, AsistenciaJetAdminConcatenada!$A:$A, 0)), ISNUMBER(MATCH(FJ$1, AsistenciaJetAdminConcatenada!$B:$B, 0)), ISNUMBER(SEARCH($A39,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ISNUMBER(SEARCH($A39, INDEX(AsistenciaJetAdminConcatenada!$D:$D, MATCH(1, (AsistenciaJetAdminConcatenada!$A:$A=FJ$2)*(AsistenciaJetAdminConcatenada!$B:$B=FJ$1), 0)), 1))),  0.5, 0))</f>
        <v>0</v>
      </c>
      <c r="FK39" s="47">
        <f t="array" ref="FK39">IF(AND(ISNUMBER(MATCH(FK$2, AsistenciaJetAdminConcatenada!$A:$A, 0)), ISNUMBER(MATCH(FK$1, AsistenciaJetAdminConcatenada!$B:$B, 0)), ISNUMBER(SEARCH($A39,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ISNUMBER(SEARCH($A39, INDEX(AsistenciaJetAdminConcatenada!$D:$D, MATCH(1, (AsistenciaJetAdminConcatenada!$A:$A=FK$2)*(AsistenciaJetAdminConcatenada!$B:$B=FK$1), 0)), 1))),  0.5, 0))</f>
        <v>0</v>
      </c>
      <c r="FL39" s="47">
        <f t="array" ref="FL39">IF(AND(ISNUMBER(MATCH(FL$2, AsistenciaJetAdminConcatenada!$A:$A, 0)), ISNUMBER(MATCH(FL$1, AsistenciaJetAdminConcatenada!$B:$B, 0)), ISNUMBER(SEARCH($A39,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ISNUMBER(SEARCH($A39, INDEX(AsistenciaJetAdminConcatenada!$D:$D, MATCH(1, (AsistenciaJetAdminConcatenada!$A:$A=FL$2)*(AsistenciaJetAdminConcatenada!$B:$B=FL$1), 0)), 1))),  0.5, 0))</f>
        <v>0</v>
      </c>
      <c r="FM39" s="47">
        <f t="array" ref="FM39">IF(AND(ISNUMBER(MATCH(FM$2, AsistenciaJetAdminConcatenada!$A:$A, 0)), ISNUMBER(MATCH(FM$1, AsistenciaJetAdminConcatenada!$B:$B, 0)), ISNUMBER(SEARCH($A39,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ISNUMBER(SEARCH($A39, INDEX(AsistenciaJetAdminConcatenada!$D:$D, MATCH(1, (AsistenciaJetAdminConcatenada!$A:$A=FM$2)*(AsistenciaJetAdminConcatenada!$B:$B=FM$1), 0)), 1))),  0.5, 0))</f>
        <v>0</v>
      </c>
      <c r="FN39" s="47">
        <f t="array" ref="FN39">IF(AND(ISNUMBER(MATCH(FN$2, AsistenciaJetAdminConcatenada!$A:$A, 0)), ISNUMBER(MATCH(FN$1, AsistenciaJetAdminConcatenada!$B:$B, 0)), ISNUMBER(SEARCH($A39,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ISNUMBER(SEARCH($A39, INDEX(AsistenciaJetAdminConcatenada!$D:$D, MATCH(1, (AsistenciaJetAdminConcatenada!$A:$A=FN$2)*(AsistenciaJetAdminConcatenada!$B:$B=FN$1), 0)), 1))),  0.5, 0))</f>
        <v>0</v>
      </c>
      <c r="FO39" s="47">
        <f t="array" ref="FO39">IF(AND(ISNUMBER(MATCH(FO$2, AsistenciaJetAdminConcatenada!$A:$A, 0)), ISNUMBER(MATCH(FO$1, AsistenciaJetAdminConcatenada!$B:$B, 0)), ISNUMBER(SEARCH($A39,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ISNUMBER(SEARCH($A39, INDEX(AsistenciaJetAdminConcatenada!$D:$D, MATCH(1, (AsistenciaJetAdminConcatenada!$A:$A=FO$2)*(AsistenciaJetAdminConcatenada!$B:$B=FO$1), 0)), 1))),  0.5, 0))</f>
        <v>0</v>
      </c>
      <c r="FP39" s="47">
        <f t="array" ref="FP39">IF(AND(ISNUMBER(MATCH(FP$2, AsistenciaJetAdminConcatenada!$A:$A, 0)), ISNUMBER(MATCH(FP$1, AsistenciaJetAdminConcatenada!$B:$B, 0)), ISNUMBER(SEARCH($A39,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ISNUMBER(SEARCH($A39, INDEX(AsistenciaJetAdminConcatenada!$D:$D, MATCH(1, (AsistenciaJetAdminConcatenada!$A:$A=FP$2)*(AsistenciaJetAdminConcatenada!$B:$B=FP$1), 0)), 1))),  0.5, 0))</f>
        <v>0</v>
      </c>
      <c r="FQ39" s="47">
        <f t="array" ref="FQ39">IF(AND(ISNUMBER(MATCH(FQ$2, AsistenciaJetAdminConcatenada!$A:$A, 0)), ISNUMBER(MATCH(FQ$1, AsistenciaJetAdminConcatenada!$B:$B, 0)), ISNUMBER(SEARCH($A39,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ISNUMBER(SEARCH($A39, INDEX(AsistenciaJetAdminConcatenada!$D:$D, MATCH(1, (AsistenciaJetAdminConcatenada!$A:$A=FQ$2)*(AsistenciaJetAdminConcatenada!$B:$B=FQ$1), 0)), 1))),  0.5, 0))</f>
        <v>0</v>
      </c>
      <c r="FR39" s="47">
        <f t="array" ref="FR39">IF(AND(ISNUMBER(MATCH(FR$2, AsistenciaJetAdminConcatenada!$A:$A, 0)), ISNUMBER(MATCH(FR$1, AsistenciaJetAdminConcatenada!$B:$B, 0)), ISNUMBER(SEARCH($A39,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ISNUMBER(SEARCH($A39, INDEX(AsistenciaJetAdminConcatenada!$D:$D, MATCH(1, (AsistenciaJetAdminConcatenada!$A:$A=FR$2)*(AsistenciaJetAdminConcatenada!$B:$B=FR$1), 0)), 1))),  0.5, 0))</f>
        <v>0</v>
      </c>
      <c r="FS39" s="47">
        <f t="array" ref="FS39">IF(AND(ISNUMBER(MATCH(FS$2, AsistenciaJetAdminConcatenada!$A:$A, 0)), ISNUMBER(MATCH(FS$1, AsistenciaJetAdminConcatenada!$B:$B, 0)), ISNUMBER(SEARCH($A39,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ISNUMBER(SEARCH($A39, INDEX(AsistenciaJetAdminConcatenada!$D:$D, MATCH(1, (AsistenciaJetAdminConcatenada!$A:$A=FS$2)*(AsistenciaJetAdminConcatenada!$B:$B=FS$1), 0)), 1))),  0.5, 0))</f>
        <v>0</v>
      </c>
      <c r="FT39" s="47">
        <f t="array" ref="FT39">IF(AND(ISNUMBER(MATCH(FT$2, AsistenciaJetAdminConcatenada!$A:$A, 0)), ISNUMBER(MATCH(FT$1, AsistenciaJetAdminConcatenada!$B:$B, 0)), ISNUMBER(SEARCH($A39,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ISNUMBER(SEARCH($A39, INDEX(AsistenciaJetAdminConcatenada!$D:$D, MATCH(1, (AsistenciaJetAdminConcatenada!$A:$A=FT$2)*(AsistenciaJetAdminConcatenada!$B:$B=FT$1), 0)), 1))),  0.5, 0))</f>
        <v>0</v>
      </c>
      <c r="FU39" s="47">
        <f t="array" ref="FU39">IF(AND(ISNUMBER(MATCH(FU$2, AsistenciaJetAdminConcatenada!$A:$A, 0)), ISNUMBER(MATCH(FU$1, AsistenciaJetAdminConcatenada!$B:$B, 0)), ISNUMBER(SEARCH($A39,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ISNUMBER(SEARCH($A39, INDEX(AsistenciaJetAdminConcatenada!$D:$D, MATCH(1, (AsistenciaJetAdminConcatenada!$A:$A=FU$2)*(AsistenciaJetAdminConcatenada!$B:$B=FU$1), 0)), 1))),  0.5, 0))</f>
        <v>0</v>
      </c>
      <c r="FV39" s="47">
        <f t="array" ref="FV39">IF(AND(ISNUMBER(MATCH(FV$2, AsistenciaJetAdminConcatenada!$A:$A, 0)), ISNUMBER(MATCH(FV$1, AsistenciaJetAdminConcatenada!$B:$B, 0)), ISNUMBER(SEARCH($A39,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ISNUMBER(SEARCH($A39, INDEX(AsistenciaJetAdminConcatenada!$D:$D, MATCH(1, (AsistenciaJetAdminConcatenada!$A:$A=FV$2)*(AsistenciaJetAdminConcatenada!$B:$B=FV$1), 0)), 1))),  0.5, 0))</f>
        <v>0</v>
      </c>
      <c r="FW39" s="47">
        <f t="array" ref="FW39">IF(AND(ISNUMBER(MATCH(FW$2, AsistenciaJetAdminConcatenada!$A:$A, 0)), ISNUMBER(MATCH(FW$1, AsistenciaJetAdminConcatenada!$B:$B, 0)), ISNUMBER(SEARCH($A39,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ISNUMBER(SEARCH($A39, INDEX(AsistenciaJetAdminConcatenada!$D:$D, MATCH(1, (AsistenciaJetAdminConcatenada!$A:$A=FW$2)*(AsistenciaJetAdminConcatenada!$B:$B=FW$1), 0)), 1))),  0.5, 0))</f>
        <v>0</v>
      </c>
      <c r="FX39" s="47">
        <f t="array" ref="FX39">IF(AND(ISNUMBER(MATCH(FX$2, AsistenciaJetAdminConcatenada!$A:$A, 0)), ISNUMBER(MATCH(FX$1, AsistenciaJetAdminConcatenada!$B:$B, 0)), ISNUMBER(SEARCH($A39,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ISNUMBER(SEARCH($A39, INDEX(AsistenciaJetAdminConcatenada!$D:$D, MATCH(1, (AsistenciaJetAdminConcatenada!$A:$A=FX$2)*(AsistenciaJetAdminConcatenada!$B:$B=FX$1), 0)), 1))),  0.5, 0))</f>
        <v>0</v>
      </c>
      <c r="FY39" s="47">
        <f t="array" ref="FY39">IF(AND(ISNUMBER(MATCH(FY$2, AsistenciaJetAdminConcatenada!$A:$A, 0)), ISNUMBER(MATCH(FY$1, AsistenciaJetAdminConcatenada!$B:$B, 0)), ISNUMBER(SEARCH($A39,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ISNUMBER(SEARCH($A39, INDEX(AsistenciaJetAdminConcatenada!$D:$D, MATCH(1, (AsistenciaJetAdminConcatenada!$A:$A=FY$2)*(AsistenciaJetAdminConcatenada!$B:$B=FY$1), 0)), 1))),  0.5, 0))</f>
        <v>0</v>
      </c>
      <c r="FZ39" s="47">
        <f t="array" ref="FZ39">IF(AND(ISNUMBER(MATCH(FZ$2, AsistenciaJetAdminConcatenada!$A:$A, 0)), ISNUMBER(MATCH(FZ$1, AsistenciaJetAdminConcatenada!$B:$B, 0)), ISNUMBER(SEARCH($A39,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ISNUMBER(SEARCH($A39, INDEX(AsistenciaJetAdminConcatenada!$D:$D, MATCH(1, (AsistenciaJetAdminConcatenada!$A:$A=FZ$2)*(AsistenciaJetAdminConcatenada!$B:$B=FZ$1), 0)), 1))),  0.5, 0))</f>
        <v>0</v>
      </c>
      <c r="GA39" s="47">
        <f t="array" ref="GA39">IF(AND(ISNUMBER(MATCH(GA$2, AsistenciaJetAdminConcatenada!$A:$A, 0)), ISNUMBER(MATCH(GA$1, AsistenciaJetAdminConcatenada!$B:$B, 0)), ISNUMBER(SEARCH($A39,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ISNUMBER(SEARCH($A39, INDEX(AsistenciaJetAdminConcatenada!$D:$D, MATCH(1, (AsistenciaJetAdminConcatenada!$A:$A=GA$2)*(AsistenciaJetAdminConcatenada!$B:$B=GA$1), 0)), 1))),  0.5, 0))</f>
        <v>0</v>
      </c>
      <c r="GB39" s="47">
        <f t="array" ref="GB39">IF(AND(ISNUMBER(MATCH(GB$2, AsistenciaJetAdminConcatenada!$A:$A, 0)), ISNUMBER(MATCH(GB$1, AsistenciaJetAdminConcatenada!$B:$B, 0)), ISNUMBER(SEARCH($A39,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ISNUMBER(SEARCH($A39, INDEX(AsistenciaJetAdminConcatenada!$D:$D, MATCH(1, (AsistenciaJetAdminConcatenada!$A:$A=GB$2)*(AsistenciaJetAdminConcatenada!$B:$B=GB$1), 0)), 1))),  0.5, 0))</f>
        <v>0</v>
      </c>
      <c r="GC39" s="47">
        <f t="array" ref="GC39">IF(AND(ISNUMBER(MATCH(GC$2, AsistenciaJetAdminConcatenada!$A:$A, 0)), ISNUMBER(MATCH(GC$1, AsistenciaJetAdminConcatenada!$B:$B, 0)), ISNUMBER(SEARCH($A39,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ISNUMBER(SEARCH($A39, INDEX(AsistenciaJetAdminConcatenada!$D:$D, MATCH(1, (AsistenciaJetAdminConcatenada!$A:$A=GC$2)*(AsistenciaJetAdminConcatenada!$B:$B=GC$1), 0)), 1))),  0.5, 0))</f>
        <v>0</v>
      </c>
      <c r="GD39" s="47">
        <f t="array" ref="GD39">IF(AND(ISNUMBER(MATCH(GD$2, AsistenciaJetAdminConcatenada!$A:$A, 0)), ISNUMBER(MATCH(GD$1, AsistenciaJetAdminConcatenada!$B:$B, 0)), ISNUMBER(SEARCH($A39,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ISNUMBER(SEARCH($A39, INDEX(AsistenciaJetAdminConcatenada!$D:$D, MATCH(1, (AsistenciaJetAdminConcatenada!$A:$A=GD$2)*(AsistenciaJetAdminConcatenada!$B:$B=GD$1), 0)), 1))),  0.5, 0))</f>
        <v>0</v>
      </c>
      <c r="GE39" s="47">
        <f t="array" ref="GE39">IF(AND(ISNUMBER(MATCH(GE$2, AsistenciaJetAdminConcatenada!$A:$A, 0)), ISNUMBER(MATCH(GE$1, AsistenciaJetAdminConcatenada!$B:$B, 0)), ISNUMBER(SEARCH($A39,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ISNUMBER(SEARCH($A39, INDEX(AsistenciaJetAdminConcatenada!$D:$D, MATCH(1, (AsistenciaJetAdminConcatenada!$A:$A=GE$2)*(AsistenciaJetAdminConcatenada!$B:$B=GE$1), 0)), 1))),  0.5, 0))</f>
        <v>0</v>
      </c>
      <c r="GF39" s="47">
        <f t="array" ref="GF39">IF(AND(ISNUMBER(MATCH(GF$2, AsistenciaJetAdminConcatenada!$A:$A, 0)), ISNUMBER(MATCH(GF$1, AsistenciaJetAdminConcatenada!$B:$B, 0)), ISNUMBER(SEARCH($A39,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ISNUMBER(SEARCH($A39, INDEX(AsistenciaJetAdminConcatenada!$D:$D, MATCH(1, (AsistenciaJetAdminConcatenada!$A:$A=GF$2)*(AsistenciaJetAdminConcatenada!$B:$B=GF$1), 0)), 1))),  0.5, 0))</f>
        <v>0</v>
      </c>
      <c r="GG39" s="47">
        <f t="array" ref="GG39">IF(AND(ISNUMBER(MATCH(GG$2, AsistenciaJetAdminConcatenada!$A:$A, 0)), ISNUMBER(MATCH(GG$1, AsistenciaJetAdminConcatenada!$B:$B, 0)), ISNUMBER(SEARCH($A39,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ISNUMBER(SEARCH($A39, INDEX(AsistenciaJetAdminConcatenada!$D:$D, MATCH(1, (AsistenciaJetAdminConcatenada!$A:$A=GG$2)*(AsistenciaJetAdminConcatenada!$B:$B=GG$1), 0)), 1))),  0.5, 0))</f>
        <v>0</v>
      </c>
      <c r="GH39" s="47">
        <f t="array" ref="GH39">IF(AND(ISNUMBER(MATCH(GH$2, AsistenciaJetAdminConcatenada!$A:$A, 0)), ISNUMBER(MATCH(GH$1, AsistenciaJetAdminConcatenada!$B:$B, 0)), ISNUMBER(SEARCH($A39,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ISNUMBER(SEARCH($A39, INDEX(AsistenciaJetAdminConcatenada!$D:$D, MATCH(1, (AsistenciaJetAdminConcatenada!$A:$A=GH$2)*(AsistenciaJetAdminConcatenada!$B:$B=GH$1), 0)), 1))),  0.5, 0))</f>
        <v>0</v>
      </c>
      <c r="GI39" s="47">
        <f t="array" ref="GI39">IF(AND(ISNUMBER(MATCH(GI$2, AsistenciaJetAdminConcatenada!$A:$A, 0)), ISNUMBER(MATCH(GI$1, AsistenciaJetAdminConcatenada!$B:$B, 0)), ISNUMBER(SEARCH($A39,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ISNUMBER(SEARCH($A39, INDEX(AsistenciaJetAdminConcatenada!$D:$D, MATCH(1, (AsistenciaJetAdminConcatenada!$A:$A=GI$2)*(AsistenciaJetAdminConcatenada!$B:$B=GI$1), 0)), 1))),  0.5, 0))</f>
        <v>0</v>
      </c>
      <c r="GJ39" s="47">
        <f t="array" ref="GJ39">IF(AND(ISNUMBER(MATCH(GJ$2, AsistenciaJetAdminConcatenada!$A:$A, 0)), ISNUMBER(MATCH(GJ$1, AsistenciaJetAdminConcatenada!$B:$B, 0)), ISNUMBER(SEARCH($A39,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ISNUMBER(SEARCH($A39, INDEX(AsistenciaJetAdminConcatenada!$D:$D, MATCH(1, (AsistenciaJetAdminConcatenada!$A:$A=GJ$2)*(AsistenciaJetAdminConcatenada!$B:$B=GJ$1), 0)), 1))),  0.5, 0))</f>
        <v>0</v>
      </c>
      <c r="GK39" s="47">
        <f t="array" ref="GK39">IF(AND(ISNUMBER(MATCH(GK$2, AsistenciaJetAdminConcatenada!$A:$A, 0)), ISNUMBER(MATCH(GK$1, AsistenciaJetAdminConcatenada!$B:$B, 0)), ISNUMBER(SEARCH($A39,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ISNUMBER(SEARCH($A39, INDEX(AsistenciaJetAdminConcatenada!$D:$D, MATCH(1, (AsistenciaJetAdminConcatenada!$A:$A=GK$2)*(AsistenciaJetAdminConcatenada!$B:$B=GK$1), 0)), 1))),  0.5, 0))</f>
        <v>0</v>
      </c>
      <c r="GL39" s="47">
        <f t="array" ref="GL39">IF(AND(ISNUMBER(MATCH(GL$2, AsistenciaJetAdminConcatenada!$A:$A, 0)), ISNUMBER(MATCH(GL$1, AsistenciaJetAdminConcatenada!$B:$B, 0)), ISNUMBER(SEARCH($A39,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ISNUMBER(SEARCH($A39, INDEX(AsistenciaJetAdminConcatenada!$D:$D, MATCH(1, (AsistenciaJetAdminConcatenada!$A:$A=GL$2)*(AsistenciaJetAdminConcatenada!$B:$B=GL$1), 0)), 1))),  0.5, 0))</f>
        <v>0</v>
      </c>
      <c r="GM39" s="47">
        <f t="array" ref="GM39">IF(AND(ISNUMBER(MATCH(GM$2, AsistenciaJetAdminConcatenada!$A:$A, 0)), ISNUMBER(MATCH(GM$1, AsistenciaJetAdminConcatenada!$B:$B, 0)), ISNUMBER(SEARCH($A39,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ISNUMBER(SEARCH($A39, INDEX(AsistenciaJetAdminConcatenada!$D:$D, MATCH(1, (AsistenciaJetAdminConcatenada!$A:$A=GM$2)*(AsistenciaJetAdminConcatenada!$B:$B=GM$1), 0)), 1))),  0.5, 0))</f>
        <v>0</v>
      </c>
      <c r="GN39" s="47">
        <f t="array" ref="GN39">IF(AND(ISNUMBER(MATCH(GN$2, AsistenciaJetAdminConcatenada!$A:$A, 0)), ISNUMBER(MATCH(GN$1, AsistenciaJetAdminConcatenada!$B:$B, 0)), ISNUMBER(SEARCH($A39,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ISNUMBER(SEARCH($A39, INDEX(AsistenciaJetAdminConcatenada!$D:$D, MATCH(1, (AsistenciaJetAdminConcatenada!$A:$A=GN$2)*(AsistenciaJetAdminConcatenada!$B:$B=GN$1), 0)), 1))),  0.5, 0))</f>
        <v>0</v>
      </c>
      <c r="GO39" s="47">
        <f t="array" ref="GO39">IF(AND(ISNUMBER(MATCH(GO$2, AsistenciaJetAdminConcatenada!$A:$A, 0)), ISNUMBER(MATCH(GO$1, AsistenciaJetAdminConcatenada!$B:$B, 0)), ISNUMBER(SEARCH($A39,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ISNUMBER(SEARCH($A39, INDEX(AsistenciaJetAdminConcatenada!$D:$D, MATCH(1, (AsistenciaJetAdminConcatenada!$A:$A=GO$2)*(AsistenciaJetAdminConcatenada!$B:$B=GO$1), 0)), 1))),  0.5, 0))</f>
        <v>0</v>
      </c>
      <c r="GP39" s="47">
        <f t="array" ref="GP39">IF(AND(ISNUMBER(MATCH(GP$2, AsistenciaJetAdminConcatenada!$A:$A, 0)), ISNUMBER(MATCH(GP$1, AsistenciaJetAdminConcatenada!$B:$B, 0)), ISNUMBER(SEARCH($A39,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ISNUMBER(SEARCH($A39, INDEX(AsistenciaJetAdminConcatenada!$D:$D, MATCH(1, (AsistenciaJetAdminConcatenada!$A:$A=GP$2)*(AsistenciaJetAdminConcatenada!$B:$B=GP$1), 0)), 1))),  0.5, 0))</f>
        <v>0</v>
      </c>
      <c r="GQ39" s="47">
        <f t="array" ref="GQ39">IF(AND(ISNUMBER(MATCH(GQ$2, AsistenciaJetAdminConcatenada!$A:$A, 0)), ISNUMBER(MATCH(GQ$1, AsistenciaJetAdminConcatenada!$B:$B, 0)), ISNUMBER(SEARCH($A39,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ISNUMBER(SEARCH($A39, INDEX(AsistenciaJetAdminConcatenada!$D:$D, MATCH(1, (AsistenciaJetAdminConcatenada!$A:$A=GQ$2)*(AsistenciaJetAdminConcatenada!$B:$B=GQ$1), 0)), 1))),  0.5, 0))</f>
        <v>0</v>
      </c>
      <c r="GR39" s="47">
        <f t="array" ref="GR39">IF(AND(ISNUMBER(MATCH(GR$2, AsistenciaJetAdminConcatenada!$A:$A, 0)), ISNUMBER(MATCH(GR$1, AsistenciaJetAdminConcatenada!$B:$B, 0)), ISNUMBER(SEARCH($A39,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ISNUMBER(SEARCH($A39, INDEX(AsistenciaJetAdminConcatenada!$D:$D, MATCH(1, (AsistenciaJetAdminConcatenada!$A:$A=GR$2)*(AsistenciaJetAdminConcatenada!$B:$B=GR$1), 0)), 1))),  0.5, 0))</f>
        <v>0</v>
      </c>
      <c r="GS39" s="47">
        <f t="array" ref="GS39">IF(AND(ISNUMBER(MATCH(GS$2, AsistenciaJetAdminConcatenada!$A:$A, 0)), ISNUMBER(MATCH(GS$1, AsistenciaJetAdminConcatenada!$B:$B, 0)), ISNUMBER(SEARCH($A39,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ISNUMBER(SEARCH($A39, INDEX(AsistenciaJetAdminConcatenada!$D:$D, MATCH(1, (AsistenciaJetAdminConcatenada!$A:$A=GS$2)*(AsistenciaJetAdminConcatenada!$B:$B=GS$1), 0)), 1))),  0.5, 0))</f>
        <v>0</v>
      </c>
      <c r="GT39" s="47">
        <f t="array" ref="GT39">IF(AND(ISNUMBER(MATCH(GT$2, AsistenciaJetAdminConcatenada!$A:$A, 0)), ISNUMBER(MATCH(GT$1, AsistenciaJetAdminConcatenada!$B:$B, 0)), ISNUMBER(SEARCH($A39,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ISNUMBER(SEARCH($A39, INDEX(AsistenciaJetAdminConcatenada!$D:$D, MATCH(1, (AsistenciaJetAdminConcatenada!$A:$A=GT$2)*(AsistenciaJetAdminConcatenada!$B:$B=GT$1), 0)), 1))),  0.5, 0))</f>
        <v>0</v>
      </c>
      <c r="GU39" s="47">
        <f t="array" ref="GU39">IF(AND(ISNUMBER(MATCH(GU$2, AsistenciaJetAdminConcatenada!$A:$A, 0)), ISNUMBER(MATCH(GU$1, AsistenciaJetAdminConcatenada!$B:$B, 0)), ISNUMBER(SEARCH($A39,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ISNUMBER(SEARCH($A39, INDEX(AsistenciaJetAdminConcatenada!$D:$D, MATCH(1, (AsistenciaJetAdminConcatenada!$A:$A=GU$2)*(AsistenciaJetAdminConcatenada!$B:$B=GU$1), 0)), 1))),  0.5, 0))</f>
        <v>0</v>
      </c>
      <c r="GV39" s="47">
        <f t="array" ref="GV39">IF(AND(ISNUMBER(MATCH(GV$2, AsistenciaJetAdminConcatenada!$A:$A, 0)), ISNUMBER(MATCH(GV$1, AsistenciaJetAdminConcatenada!$B:$B, 0)), ISNUMBER(SEARCH($A39,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ISNUMBER(SEARCH($A39, INDEX(AsistenciaJetAdminConcatenada!$D:$D, MATCH(1, (AsistenciaJetAdminConcatenada!$A:$A=GV$2)*(AsistenciaJetAdminConcatenada!$B:$B=GV$1), 0)), 1))),  0.5, 0))</f>
        <v>0</v>
      </c>
      <c r="GW39" s="47">
        <f t="array" ref="GW39">IF(AND(ISNUMBER(MATCH(GW$2, AsistenciaJetAdminConcatenada!$A:$A, 0)), ISNUMBER(MATCH(GW$1, AsistenciaJetAdminConcatenada!$B:$B, 0)), ISNUMBER(SEARCH($A39,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ISNUMBER(SEARCH($A39, INDEX(AsistenciaJetAdminConcatenada!$D:$D, MATCH(1, (AsistenciaJetAdminConcatenada!$A:$A=GW$2)*(AsistenciaJetAdminConcatenada!$B:$B=GW$1), 0)), 1))),  0.5, 0))</f>
        <v>0</v>
      </c>
      <c r="GX39" s="47">
        <f t="array" ref="GX39">IF(AND(ISNUMBER(MATCH(GX$2, AsistenciaJetAdminConcatenada!$A:$A, 0)), ISNUMBER(MATCH(GX$1, AsistenciaJetAdminConcatenada!$B:$B, 0)), ISNUMBER(SEARCH($A39,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ISNUMBER(SEARCH($A39, INDEX(AsistenciaJetAdminConcatenada!$D:$D, MATCH(1, (AsistenciaJetAdminConcatenada!$A:$A=GX$2)*(AsistenciaJetAdminConcatenada!$B:$B=GX$1), 0)), 1))),  0.5, 0))</f>
        <v>0</v>
      </c>
      <c r="GY39" s="47">
        <f t="array" ref="GY39">IF(AND(ISNUMBER(MATCH(GY$2, AsistenciaJetAdminConcatenada!$A:$A, 0)), ISNUMBER(MATCH(GY$1, AsistenciaJetAdminConcatenada!$B:$B, 0)), ISNUMBER(SEARCH($A39,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ISNUMBER(SEARCH($A39, INDEX(AsistenciaJetAdminConcatenada!$D:$D, MATCH(1, (AsistenciaJetAdminConcatenada!$A:$A=GY$2)*(AsistenciaJetAdminConcatenada!$B:$B=GY$1), 0)), 1))),  0.5, 0))</f>
        <v>0</v>
      </c>
      <c r="GZ39" s="47">
        <f t="array" ref="GZ39">IF(AND(ISNUMBER(MATCH(GZ$2, AsistenciaJetAdminConcatenada!$A:$A, 0)), ISNUMBER(MATCH(GZ$1, AsistenciaJetAdminConcatenada!$B:$B, 0)), ISNUMBER(SEARCH($A39,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ISNUMBER(SEARCH($A39, INDEX(AsistenciaJetAdminConcatenada!$D:$D, MATCH(1, (AsistenciaJetAdminConcatenada!$A:$A=GZ$2)*(AsistenciaJetAdminConcatenada!$B:$B=GZ$1), 0)), 1))),  0.5, 0))</f>
        <v>0</v>
      </c>
      <c r="HA39" s="47">
        <f t="array" ref="HA39">IF(AND(ISNUMBER(MATCH(HA$2, AsistenciaJetAdminConcatenada!$A:$A, 0)), ISNUMBER(MATCH(HA$1, AsistenciaJetAdminConcatenada!$B:$B, 0)), ISNUMBER(SEARCH($A39,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ISNUMBER(SEARCH($A39, INDEX(AsistenciaJetAdminConcatenada!$D:$D, MATCH(1, (AsistenciaJetAdminConcatenada!$A:$A=HA$2)*(AsistenciaJetAdminConcatenada!$B:$B=HA$1), 0)), 1))),  0.5, 0))</f>
        <v>0</v>
      </c>
      <c r="HB39" s="47">
        <f t="array" ref="HB39">IF(AND(ISNUMBER(MATCH(HB$2, AsistenciaJetAdminConcatenada!$A:$A, 0)), ISNUMBER(MATCH(HB$1, AsistenciaJetAdminConcatenada!$B:$B, 0)), ISNUMBER(SEARCH($A39,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ISNUMBER(SEARCH($A39, INDEX(AsistenciaJetAdminConcatenada!$D:$D, MATCH(1, (AsistenciaJetAdminConcatenada!$A:$A=HB$2)*(AsistenciaJetAdminConcatenada!$B:$B=HB$1), 0)), 1))),  0.5, 0))</f>
        <v>0</v>
      </c>
      <c r="HC39" s="47">
        <f t="array" ref="HC39">IF(AND(ISNUMBER(MATCH(HC$2, AsistenciaJetAdminConcatenada!$A:$A, 0)), ISNUMBER(MATCH(HC$1, AsistenciaJetAdminConcatenada!$B:$B, 0)), ISNUMBER(SEARCH($A39,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ISNUMBER(SEARCH($A39, INDEX(AsistenciaJetAdminConcatenada!$D:$D, MATCH(1, (AsistenciaJetAdminConcatenada!$A:$A=HC$2)*(AsistenciaJetAdminConcatenada!$B:$B=HC$1), 0)), 1))),  0.5, 0))</f>
        <v>0</v>
      </c>
    </row>
    <row r="40" ht="29.25" customHeight="1">
      <c r="A40" s="3">
        <v>179.0</v>
      </c>
      <c r="B40" s="4" t="s">
        <v>739</v>
      </c>
      <c r="C40" s="47">
        <f>SUM(D40:HC40) + ActividadesEspeciales!C40</f>
        <v>79.5</v>
      </c>
      <c r="D40" s="47">
        <f t="array" ref="D40">IF(AND(ISNUMBER(MATCH(D$2, AsistenciaJetAdminConcatenada!$A:$A, 0)), ISNUMBER(MATCH(D$1, AsistenciaJetAdminConcatenada!$B:$B, 0)), ISNUMBER(SEARCH($A40,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ISNUMBER(SEARCH($A40, INDEX(AsistenciaJetAdminConcatenada!$D:$D, MATCH(1, (AsistenciaJetAdminConcatenada!$A:$A=D$2)*(AsistenciaJetAdminConcatenada!$B:$B=D$1), 0)), 1))),  0.5, 0))</f>
        <v>1</v>
      </c>
      <c r="E40" s="47">
        <f t="array" ref="E40">IF(AND(ISNUMBER(MATCH(E$2, AsistenciaJetAdminConcatenada!$A:$A, 0)), ISNUMBER(MATCH(E$1, AsistenciaJetAdminConcatenada!$B:$B, 0)), ISNUMBER(SEARCH($A40,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ISNUMBER(SEARCH($A40, INDEX(AsistenciaJetAdminConcatenada!$D:$D, MATCH(1, (AsistenciaJetAdminConcatenada!$A:$A=E$2)*(AsistenciaJetAdminConcatenada!$B:$B=E$1), 0)), 1))),  0.5, 0))</f>
        <v>1</v>
      </c>
      <c r="F40" s="47">
        <f t="array" ref="F40">IF(AND(ISNUMBER(MATCH(F$2, AsistenciaJetAdminConcatenada!$A:$A, 0)), ISNUMBER(MATCH(F$1, AsistenciaJetAdminConcatenada!$B:$B, 0)), ISNUMBER(SEARCH($A40,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ISNUMBER(SEARCH($A40, INDEX(AsistenciaJetAdminConcatenada!$D:$D, MATCH(1, (AsistenciaJetAdminConcatenada!$A:$A=F$2)*(AsistenciaJetAdminConcatenada!$B:$B=F$1), 0)), 1))),  0.5, 0))</f>
        <v>1</v>
      </c>
      <c r="G40" s="47">
        <f t="array" ref="G40">IF(AND(ISNUMBER(MATCH(G$2, AsistenciaJetAdminConcatenada!$A:$A, 0)), ISNUMBER(MATCH(G$1, AsistenciaJetAdminConcatenada!$B:$B, 0)), ISNUMBER(SEARCH($A40,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ISNUMBER(SEARCH($A40, INDEX(AsistenciaJetAdminConcatenada!$D:$D, MATCH(1, (AsistenciaJetAdminConcatenada!$A:$A=G$2)*(AsistenciaJetAdminConcatenada!$B:$B=G$1), 0)), 1))),  0.5, 0))</f>
        <v>1</v>
      </c>
      <c r="H40" s="47">
        <f t="array" ref="H40">IF(AND(ISNUMBER(MATCH(H$2, AsistenciaJetAdminConcatenada!$A:$A, 0)), ISNUMBER(MATCH(H$1, AsistenciaJetAdminConcatenada!$B:$B, 0)), ISNUMBER(SEARCH($A40,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ISNUMBER(SEARCH($A40, INDEX(AsistenciaJetAdminConcatenada!$D:$D, MATCH(1, (AsistenciaJetAdminConcatenada!$A:$A=H$2)*(AsistenciaJetAdminConcatenada!$B:$B=H$1), 0)), 1))),  0.5, 0))</f>
        <v>1</v>
      </c>
      <c r="I40" s="47">
        <f t="array" ref="I40">IF(AND(ISNUMBER(MATCH(I$2, AsistenciaJetAdminConcatenada!$A:$A, 0)), ISNUMBER(MATCH(I$1, AsistenciaJetAdminConcatenada!$B:$B, 0)), ISNUMBER(SEARCH($A40,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ISNUMBER(SEARCH($A40, INDEX(AsistenciaJetAdminConcatenada!$D:$D, MATCH(1, (AsistenciaJetAdminConcatenada!$A:$A=I$2)*(AsistenciaJetAdminConcatenada!$B:$B=I$1), 0)), 1))),  0.5, 0))</f>
        <v>1</v>
      </c>
      <c r="J40" s="47">
        <f t="array" ref="J40">IF(AND(ISNUMBER(MATCH(J$2, AsistenciaJetAdminConcatenada!$A:$A, 0)), ISNUMBER(MATCH(J$1, AsistenciaJetAdminConcatenada!$B:$B, 0)), ISNUMBER(SEARCH($A40,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ISNUMBER(SEARCH($A40, INDEX(AsistenciaJetAdminConcatenada!$D:$D, MATCH(1, (AsistenciaJetAdminConcatenada!$A:$A=J$2)*(AsistenciaJetAdminConcatenada!$B:$B=J$1), 0)), 1))),  0.5, 0))</f>
        <v>1</v>
      </c>
      <c r="K40" s="47">
        <f t="array" ref="K40">IF(AND(ISNUMBER(MATCH(K$2, AsistenciaJetAdminConcatenada!$A:$A, 0)), ISNUMBER(MATCH(K$1, AsistenciaJetAdminConcatenada!$B:$B, 0)), ISNUMBER(SEARCH($A40,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ISNUMBER(SEARCH($A40, INDEX(AsistenciaJetAdminConcatenada!$D:$D, MATCH(1, (AsistenciaJetAdminConcatenada!$A:$A=K$2)*(AsistenciaJetAdminConcatenada!$B:$B=K$1), 0)), 1))),  0.5, 0))</f>
        <v>1</v>
      </c>
      <c r="L40" s="47">
        <f t="array" ref="L40">IF(AND(ISNUMBER(MATCH(L$2, AsistenciaJetAdminConcatenada!$A:$A, 0)), ISNUMBER(MATCH(L$1, AsistenciaJetAdminConcatenada!$B:$B, 0)), ISNUMBER(SEARCH($A40,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ISNUMBER(SEARCH($A40, INDEX(AsistenciaJetAdminConcatenada!$D:$D, MATCH(1, (AsistenciaJetAdminConcatenada!$A:$A=L$2)*(AsistenciaJetAdminConcatenada!$B:$B=L$1), 0)), 1))),  0.5, 0))</f>
        <v>1</v>
      </c>
      <c r="M40" s="47">
        <f t="array" ref="M40">IF(AND(ISNUMBER(MATCH(M$2, AsistenciaJetAdminConcatenada!$A:$A, 0)), ISNUMBER(MATCH(M$1, AsistenciaJetAdminConcatenada!$B:$B, 0)), ISNUMBER(SEARCH($A40,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ISNUMBER(SEARCH($A40, INDEX(AsistenciaJetAdminConcatenada!$D:$D, MATCH(1, (AsistenciaJetAdminConcatenada!$A:$A=M$2)*(AsistenciaJetAdminConcatenada!$B:$B=M$1), 0)), 1))),  0.5, 0))</f>
        <v>1</v>
      </c>
      <c r="N40" s="47">
        <f t="array" ref="N40">IF(AND(ISNUMBER(MATCH(N$2, AsistenciaJetAdminConcatenada!$A:$A, 0)), ISNUMBER(MATCH(N$1, AsistenciaJetAdminConcatenada!$B:$B, 0)), ISNUMBER(SEARCH($A40,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ISNUMBER(SEARCH($A40, INDEX(AsistenciaJetAdminConcatenada!$D:$D, MATCH(1, (AsistenciaJetAdminConcatenada!$A:$A=N$2)*(AsistenciaJetAdminConcatenada!$B:$B=N$1), 0)), 1))),  0.5, 0))</f>
        <v>1</v>
      </c>
      <c r="O40" s="47">
        <f t="array" ref="O40">IF(AND(ISNUMBER(MATCH(O$2, AsistenciaJetAdminConcatenada!$A:$A, 0)), ISNUMBER(MATCH(O$1, AsistenciaJetAdminConcatenada!$B:$B, 0)), ISNUMBER(SEARCH($A40,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ISNUMBER(SEARCH($A40, INDEX(AsistenciaJetAdminConcatenada!$D:$D, MATCH(1, (AsistenciaJetAdminConcatenada!$A:$A=O$2)*(AsistenciaJetAdminConcatenada!$B:$B=O$1), 0)), 1))),  0.5, 0))</f>
        <v>1</v>
      </c>
      <c r="P40" s="47">
        <f t="array" ref="P40">IF(AND(ISNUMBER(MATCH(P$2, AsistenciaJetAdminConcatenada!$A:$A, 0)), ISNUMBER(MATCH(P$1, AsistenciaJetAdminConcatenada!$B:$B, 0)), ISNUMBER(SEARCH($A40, INDEX(AsistenciaJetAdminConcatenada!$C:$C, MATCH(1, (AsistenciaJetAdminConcatenada!$A:$A=P$2)*(AsistenciaJetAdminConcatenada!$B:$B=P$1), 0)), 1))), 1, IF(AND(ISNUMBER(MATCH(P$2, AsistenciaJetAdminConcatenada!$A:$A, 0)), ISNUMBER(MATCH(P$1, AsistenciaJetAdminConcatenada!$B:$B, 0)), ISNUMBER(SEARCH($A40, INDEX(AsistenciaJetAdminConcatenada!$D:$D, MATCH(1, (AsistenciaJetAdminConcatenada!$A:$A=P$2)*(AsistenciaJetAdminConcatenada!$B:$B=P$1), 0)), 1))),  0.5, 0))</f>
        <v>1</v>
      </c>
      <c r="Q40" s="8">
        <v>1.0</v>
      </c>
      <c r="R40" s="47">
        <f t="array" ref="R40">IF(AND(ISNUMBER(MATCH(R$2, AsistenciaJetAdminConcatenada!$A:$A, 0)), ISNUMBER(MATCH(R$1, AsistenciaJetAdminConcatenada!$B:$B, 0)), ISNUMBER(SEARCH($A40,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ISNUMBER(SEARCH($A40, INDEX(AsistenciaJetAdminConcatenada!$D:$D, MATCH(1, (AsistenciaJetAdminConcatenada!$A:$A=R$2)*(AsistenciaJetAdminConcatenada!$B:$B=R$1), 0)), 1))),  0.5, 0))</f>
        <v>1</v>
      </c>
      <c r="S40" s="47">
        <f t="array" ref="S40">IF(AND(ISNUMBER(MATCH(S$2, AsistenciaJetAdminConcatenada!$A:$A, 0)), ISNUMBER(MATCH(S$1, AsistenciaJetAdminConcatenada!$B:$B, 0)), ISNUMBER(SEARCH($A40,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ISNUMBER(SEARCH($A40, INDEX(AsistenciaJetAdminConcatenada!$D:$D, MATCH(1, (AsistenciaJetAdminConcatenada!$A:$A=S$2)*(AsistenciaJetAdminConcatenada!$B:$B=S$1), 0)), 1))),  0.5, 0))</f>
        <v>1</v>
      </c>
      <c r="T40" s="47">
        <f t="array" ref="T40">IF(AND(ISNUMBER(MATCH(T$2, AsistenciaJetAdminConcatenada!$A:$A, 0)), ISNUMBER(MATCH(T$1, AsistenciaJetAdminConcatenada!$B:$B, 0)), ISNUMBER(SEARCH($A40,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ISNUMBER(SEARCH($A40, INDEX(AsistenciaJetAdminConcatenada!$D:$D, MATCH(1, (AsistenciaJetAdminConcatenada!$A:$A=T$2)*(AsistenciaJetAdminConcatenada!$B:$B=T$1), 0)), 1))),  0.5, 0))</f>
        <v>1</v>
      </c>
      <c r="U40" s="47">
        <f t="array" ref="U40">IF(AND(ISNUMBER(MATCH(U$2, AsistenciaJetAdminConcatenada!$A:$A, 0)), ISNUMBER(MATCH(U$1, AsistenciaJetAdminConcatenada!$B:$B, 0)), ISNUMBER(SEARCH($A40,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ISNUMBER(SEARCH($A40, INDEX(AsistenciaJetAdminConcatenada!$D:$D, MATCH(1, (AsistenciaJetAdminConcatenada!$A:$A=U$2)*(AsistenciaJetAdminConcatenada!$B:$B=U$1), 0)), 1))),  0.5, 0))</f>
        <v>0.5</v>
      </c>
      <c r="V40" s="47">
        <f t="array" ref="V40">IF(AND(ISNUMBER(MATCH(V$2, AsistenciaJetAdminConcatenada!$A:$A, 0)), ISNUMBER(MATCH(V$1, AsistenciaJetAdminConcatenada!$B:$B, 0)), ISNUMBER(SEARCH($A40,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ISNUMBER(SEARCH($A40, INDEX(AsistenciaJetAdminConcatenada!$D:$D, MATCH(1, (AsistenciaJetAdminConcatenada!$A:$A=V$2)*(AsistenciaJetAdminConcatenada!$B:$B=V$1), 0)), 1))),  0.5, 0))</f>
        <v>1</v>
      </c>
      <c r="W40" s="47">
        <f t="array" ref="W40">IF(AND(ISNUMBER(MATCH(W$2, AsistenciaJetAdminConcatenada!$A:$A, 0)), ISNUMBER(MATCH(W$1, AsistenciaJetAdminConcatenada!$B:$B, 0)), ISNUMBER(SEARCH($A40,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ISNUMBER(SEARCH($A40, INDEX(AsistenciaJetAdminConcatenada!$D:$D, MATCH(1, (AsistenciaJetAdminConcatenada!$A:$A=W$2)*(AsistenciaJetAdminConcatenada!$B:$B=W$1), 0)), 1))),  0.5, 0))</f>
        <v>1</v>
      </c>
      <c r="X40" s="47">
        <f t="array" ref="X40">IF(AND(ISNUMBER(MATCH(X$2, AsistenciaJetAdminConcatenada!$A:$A, 0)), ISNUMBER(MATCH(X$1, AsistenciaJetAdminConcatenada!$B:$B, 0)), ISNUMBER(SEARCH($A40,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ISNUMBER(SEARCH($A40, INDEX(AsistenciaJetAdminConcatenada!$D:$D, MATCH(1, (AsistenciaJetAdminConcatenada!$A:$A=X$2)*(AsistenciaJetAdminConcatenada!$B:$B=X$1), 0)), 1))),  0.5, 0))</f>
        <v>1</v>
      </c>
      <c r="Y40" s="47">
        <f t="array" ref="Y40">IF(AND(ISNUMBER(MATCH(Y$2, AsistenciaJetAdminConcatenada!$A:$A, 0)), ISNUMBER(MATCH(Y$1, AsistenciaJetAdminConcatenada!$B:$B, 0)), ISNUMBER(SEARCH($A40,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ISNUMBER(SEARCH($A40, INDEX(AsistenciaJetAdminConcatenada!$D:$D, MATCH(1, (AsistenciaJetAdminConcatenada!$A:$A=Y$2)*(AsistenciaJetAdminConcatenada!$B:$B=Y$1), 0)), 1))),  0.5, 0))</f>
        <v>1</v>
      </c>
      <c r="Z40" s="47">
        <f t="array" ref="Z40">IF(AND(ISNUMBER(MATCH(Z$2, AsistenciaJetAdminConcatenada!$A:$A, 0)), ISNUMBER(MATCH(Z$1, AsistenciaJetAdminConcatenada!$B:$B, 0)), ISNUMBER(SEARCH($A40,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ISNUMBER(SEARCH($A40, INDEX(AsistenciaJetAdminConcatenada!$D:$D, MATCH(1, (AsistenciaJetAdminConcatenada!$A:$A=Z$2)*(AsistenciaJetAdminConcatenada!$B:$B=Z$1), 0)), 1))),  0.5, 0))</f>
        <v>0</v>
      </c>
      <c r="AA40" s="47">
        <f t="array" ref="AA40">IF(AND(ISNUMBER(MATCH(AA$2, AsistenciaJetAdminConcatenada!$A:$A, 0)), ISNUMBER(MATCH(AA$1, AsistenciaJetAdminConcatenada!$B:$B, 0)), ISNUMBER(SEARCH($A40,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ISNUMBER(SEARCH($A40, INDEX(AsistenciaJetAdminConcatenada!$D:$D, MATCH(1, (AsistenciaJetAdminConcatenada!$A:$A=AA$2)*(AsistenciaJetAdminConcatenada!$B:$B=AA$1), 0)), 1))),  0.5, 0))</f>
        <v>1</v>
      </c>
      <c r="AB40" s="47">
        <f t="array" ref="AB40">IF(AND(ISNUMBER(MATCH(AB$2, AsistenciaJetAdminConcatenada!$A:$A, 0)), ISNUMBER(MATCH(AB$1, AsistenciaJetAdminConcatenada!$B:$B, 0)), ISNUMBER(SEARCH($A40,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ISNUMBER(SEARCH($A40, INDEX(AsistenciaJetAdminConcatenada!$D:$D, MATCH(1, (AsistenciaJetAdminConcatenada!$A:$A=AB$2)*(AsistenciaJetAdminConcatenada!$B:$B=AB$1), 0)), 1))),  0.5, 0))</f>
        <v>1</v>
      </c>
      <c r="AC40" s="47">
        <f t="array" ref="AC40">IF(AND(ISNUMBER(MATCH(AC$2, AsistenciaJetAdminConcatenada!$A:$A, 0)), ISNUMBER(MATCH(AC$1, AsistenciaJetAdminConcatenada!$B:$B, 0)), ISNUMBER(SEARCH($A40,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ISNUMBER(SEARCH($A40, INDEX(AsistenciaJetAdminConcatenada!$D:$D, MATCH(1, (AsistenciaJetAdminConcatenada!$A:$A=AC$2)*(AsistenciaJetAdminConcatenada!$B:$B=AC$1), 0)), 1))),  0.5, 0))</f>
        <v>1</v>
      </c>
      <c r="AD40" s="47">
        <f t="array" ref="AD40">IF(AND(ISNUMBER(MATCH(AD$2, AsistenciaJetAdminConcatenada!$A:$A, 0)), ISNUMBER(MATCH(AD$1, AsistenciaJetAdminConcatenada!$B:$B, 0)), ISNUMBER(SEARCH($A40,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ISNUMBER(SEARCH($A40, INDEX(AsistenciaJetAdminConcatenada!$D:$D, MATCH(1, (AsistenciaJetAdminConcatenada!$A:$A=AD$2)*(AsistenciaJetAdminConcatenada!$B:$B=AD$1), 0)), 1))),  0.5, 0))</f>
        <v>1</v>
      </c>
      <c r="AE40" s="47">
        <f t="array" ref="AE40">IF(AND(ISNUMBER(MATCH(AE$2, AsistenciaJetAdminConcatenada!$A:$A, 0)), ISNUMBER(MATCH(AE$1, AsistenciaJetAdminConcatenada!$B:$B, 0)), ISNUMBER(SEARCH($A40,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ISNUMBER(SEARCH($A40, INDEX(AsistenciaJetAdminConcatenada!$D:$D, MATCH(1, (AsistenciaJetAdminConcatenada!$A:$A=AE$2)*(AsistenciaJetAdminConcatenada!$B:$B=AE$1), 0)), 1))),  0.5, 0))</f>
        <v>1</v>
      </c>
      <c r="AF40" s="47">
        <f t="array" ref="AF40">IF(AND(ISNUMBER(MATCH(AF$2, AsistenciaJetAdminConcatenada!$A:$A, 0)), ISNUMBER(MATCH(AF$1, AsistenciaJetAdminConcatenada!$B:$B, 0)), ISNUMBER(SEARCH($A40,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ISNUMBER(SEARCH($A40, INDEX(AsistenciaJetAdminConcatenada!$D:$D, MATCH(1, (AsistenciaJetAdminConcatenada!$A:$A=AF$2)*(AsistenciaJetAdminConcatenada!$B:$B=AF$1), 0)), 1))),  0.5, 0))</f>
        <v>0</v>
      </c>
      <c r="AG40" s="47">
        <f t="array" ref="AG40">IF(AND(ISNUMBER(MATCH(AG$2, AsistenciaJetAdminConcatenada!$A:$A, 0)), ISNUMBER(MATCH(AG$1, AsistenciaJetAdminConcatenada!$B:$B, 0)), ISNUMBER(SEARCH($A40,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ISNUMBER(SEARCH($A40, INDEX(AsistenciaJetAdminConcatenada!$D:$D, MATCH(1, (AsistenciaJetAdminConcatenada!$A:$A=AG$2)*(AsistenciaJetAdminConcatenada!$B:$B=AG$1), 0)), 1))),  0.5, 0))</f>
        <v>0</v>
      </c>
      <c r="AH40" s="47">
        <f t="array" ref="AH40">IF(AND(ISNUMBER(MATCH(AH$2, AsistenciaJetAdminConcatenada!$A:$A, 0)), ISNUMBER(MATCH(AH$1, AsistenciaJetAdminConcatenada!$B:$B, 0)), ISNUMBER(SEARCH($A40,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ISNUMBER(SEARCH($A40, INDEX(AsistenciaJetAdminConcatenada!$D:$D, MATCH(1, (AsistenciaJetAdminConcatenada!$A:$A=AH$2)*(AsistenciaJetAdminConcatenada!$B:$B=AH$1), 0)), 1))),  0.5, 0))</f>
        <v>0</v>
      </c>
      <c r="AI40" s="47">
        <f t="array" ref="AI40">IF(AND(ISNUMBER(MATCH(AI$2, AsistenciaJetAdminConcatenada!$A:$A, 0)), ISNUMBER(MATCH(AI$1, AsistenciaJetAdminConcatenada!$B:$B, 0)), ISNUMBER(SEARCH($A40,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ISNUMBER(SEARCH($A40, INDEX(AsistenciaJetAdminConcatenada!$D:$D, MATCH(1, (AsistenciaJetAdminConcatenada!$A:$A=AI$2)*(AsistenciaJetAdminConcatenada!$B:$B=AI$1), 0)), 1))),  0.5, 0))</f>
        <v>1</v>
      </c>
      <c r="AJ40" s="47">
        <f t="array" ref="AJ40">IF(AND(ISNUMBER(MATCH(AJ$2, AsistenciaJetAdminConcatenada!$A:$A, 0)), ISNUMBER(MATCH(AJ$1, AsistenciaJetAdminConcatenada!$B:$B, 0)), ISNUMBER(SEARCH($A40,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ISNUMBER(SEARCH($A40, INDEX(AsistenciaJetAdminConcatenada!$D:$D, MATCH(1, (AsistenciaJetAdminConcatenada!$A:$A=AJ$2)*(AsistenciaJetAdminConcatenada!$B:$B=AJ$1), 0)), 1))),  0.5, 0))</f>
        <v>1</v>
      </c>
      <c r="AK40" s="47">
        <f t="array" ref="AK40">IF(AND(ISNUMBER(MATCH(AK$2, AsistenciaJetAdminConcatenada!$A:$A, 0)), ISNUMBER(MATCH(AK$1, AsistenciaJetAdminConcatenada!$B:$B, 0)), ISNUMBER(SEARCH($A40,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ISNUMBER(SEARCH($A40, INDEX(AsistenciaJetAdminConcatenada!$D:$D, MATCH(1, (AsistenciaJetAdminConcatenada!$A:$A=AK$2)*(AsistenciaJetAdminConcatenada!$B:$B=AK$1), 0)), 1))),  0.5, 0))</f>
        <v>1</v>
      </c>
      <c r="AL40" s="47">
        <f t="array" ref="AL40">IF(AND(ISNUMBER(MATCH(AL$2, AsistenciaJetAdminConcatenada!$A:$A, 0)), ISNUMBER(MATCH(AL$1, AsistenciaJetAdminConcatenada!$B:$B, 0)), ISNUMBER(SEARCH($A40,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ISNUMBER(SEARCH($A40, INDEX(AsistenciaJetAdminConcatenada!$D:$D, MATCH(1, (AsistenciaJetAdminConcatenada!$A:$A=AL$2)*(AsistenciaJetAdminConcatenada!$B:$B=AL$1), 0)), 1))),  0.5, 0))</f>
        <v>1</v>
      </c>
      <c r="AM40" s="47">
        <f t="array" ref="AM40">IF(AND(ISNUMBER(MATCH(AM$2, AsistenciaJetAdminConcatenada!$A:$A, 0)), ISNUMBER(MATCH(AM$1, AsistenciaJetAdminConcatenada!$B:$B, 0)), ISNUMBER(SEARCH($A40,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ISNUMBER(SEARCH($A40, INDEX(AsistenciaJetAdminConcatenada!$D:$D, MATCH(1, (AsistenciaJetAdminConcatenada!$A:$A=AM$2)*(AsistenciaJetAdminConcatenada!$B:$B=AM$1), 0)), 1))),  0.5, 0))</f>
        <v>1</v>
      </c>
      <c r="AN40" s="47">
        <f t="array" ref="AN40">IF(AND(ISNUMBER(MATCH(AN$2, AsistenciaJetAdminConcatenada!$A:$A, 0)), ISNUMBER(MATCH(AN$1, AsistenciaJetAdminConcatenada!$B:$B, 0)), ISNUMBER(SEARCH($A40,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ISNUMBER(SEARCH($A40, INDEX(AsistenciaJetAdminConcatenada!$D:$D, MATCH(1, (AsistenciaJetAdminConcatenada!$A:$A=AN$2)*(AsistenciaJetAdminConcatenada!$B:$B=AN$1), 0)), 1))),  0.5, 0))</f>
        <v>1</v>
      </c>
      <c r="AO40" s="47">
        <f t="array" ref="AO40">IF(AND(ISNUMBER(MATCH(AO$2, AsistenciaJetAdminConcatenada!$A:$A, 0)), ISNUMBER(MATCH(AO$1, AsistenciaJetAdminConcatenada!$B:$B, 0)), ISNUMBER(SEARCH($A40,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ISNUMBER(SEARCH($A40, INDEX(AsistenciaJetAdminConcatenada!$D:$D, MATCH(1, (AsistenciaJetAdminConcatenada!$A:$A=AO$2)*(AsistenciaJetAdminConcatenada!$B:$B=AO$1), 0)), 1))),  0.5, 0))</f>
        <v>1</v>
      </c>
      <c r="AP40" s="47">
        <f t="array" ref="AP40">IF(AND(ISNUMBER(MATCH(AP$2, AsistenciaJetAdminConcatenada!$A:$A, 0)), ISNUMBER(MATCH(AP$1, AsistenciaJetAdminConcatenada!$B:$B, 0)), ISNUMBER(SEARCH($A40,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ISNUMBER(SEARCH($A40, INDEX(AsistenciaJetAdminConcatenada!$D:$D, MATCH(1, (AsistenciaJetAdminConcatenada!$A:$A=AP$2)*(AsistenciaJetAdminConcatenada!$B:$B=AP$1), 0)), 1))),  0.5, 0))</f>
        <v>1</v>
      </c>
      <c r="AQ40" s="47">
        <f t="array" ref="AQ40">IF(AND(ISNUMBER(MATCH(AQ$2, AsistenciaJetAdminConcatenada!$A:$A, 0)), ISNUMBER(MATCH(AQ$1, AsistenciaJetAdminConcatenada!$B:$B, 0)), ISNUMBER(SEARCH($A40,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ISNUMBER(SEARCH($A40, INDEX(AsistenciaJetAdminConcatenada!$D:$D, MATCH(1, (AsistenciaJetAdminConcatenada!$A:$A=AQ$2)*(AsistenciaJetAdminConcatenada!$B:$B=AQ$1), 0)), 1))),  0.5, 0))</f>
        <v>0</v>
      </c>
      <c r="AR40" s="47">
        <f t="array" ref="AR40">IF(AND(ISNUMBER(MATCH(AR$2, AsistenciaJetAdminConcatenada!$A:$A, 0)), ISNUMBER(MATCH(AR$1, AsistenciaJetAdminConcatenada!$B:$B, 0)), ISNUMBER(SEARCH($A40,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ISNUMBER(SEARCH($A40, INDEX(AsistenciaJetAdminConcatenada!$D:$D, MATCH(1, (AsistenciaJetAdminConcatenada!$A:$A=AR$2)*(AsistenciaJetAdminConcatenada!$B:$B=AR$1), 0)), 1))),  0.5, 0))</f>
        <v>0</v>
      </c>
      <c r="AS40" s="47">
        <f t="array" ref="AS40">IF(AND(ISNUMBER(MATCH(AS$2, AsistenciaJetAdminConcatenada!$A:$A, 0)), ISNUMBER(MATCH(AS$1, AsistenciaJetAdminConcatenada!$B:$B, 0)), ISNUMBER(SEARCH($A40,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ISNUMBER(SEARCH($A40, INDEX(AsistenciaJetAdminConcatenada!$D:$D, MATCH(1, (AsistenciaJetAdminConcatenada!$A:$A=AS$2)*(AsistenciaJetAdminConcatenada!$B:$B=AS$1), 0)), 1))),  0.5, 0))</f>
        <v>1</v>
      </c>
      <c r="AT40" s="47">
        <f t="array" ref="AT40">IF(AND(ISNUMBER(MATCH(AT$2, AsistenciaJetAdminConcatenada!$A:$A, 0)), ISNUMBER(MATCH(AT$1, AsistenciaJetAdminConcatenada!$B:$B, 0)), ISNUMBER(SEARCH($A40,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ISNUMBER(SEARCH($A40, INDEX(AsistenciaJetAdminConcatenada!$D:$D, MATCH(1, (AsistenciaJetAdminConcatenada!$A:$A=AT$2)*(AsistenciaJetAdminConcatenada!$B:$B=AT$1), 0)), 1))),  0.5, 0))</f>
        <v>0</v>
      </c>
      <c r="AU40" s="47">
        <f t="array" ref="AU40">IF(AND(ISNUMBER(MATCH(AU$2, AsistenciaJetAdminConcatenada!$A:$A, 0)), ISNUMBER(MATCH(AU$1, AsistenciaJetAdminConcatenada!$B:$B, 0)), ISNUMBER(SEARCH($A40,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ISNUMBER(SEARCH($A40, INDEX(AsistenciaJetAdminConcatenada!$D:$D, MATCH(1, (AsistenciaJetAdminConcatenada!$A:$A=AU$2)*(AsistenciaJetAdminConcatenada!$B:$B=AU$1), 0)), 1))),  0.5, 0))</f>
        <v>1</v>
      </c>
      <c r="AV40" s="47">
        <f t="array" ref="AV40">IF(AND(ISNUMBER(MATCH(AV$2, AsistenciaJetAdminConcatenada!$A:$A, 0)), ISNUMBER(MATCH(AV$1, AsistenciaJetAdminConcatenada!$B:$B, 0)), ISNUMBER(SEARCH($A40,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ISNUMBER(SEARCH($A40, INDEX(AsistenciaJetAdminConcatenada!$D:$D, MATCH(1, (AsistenciaJetAdminConcatenada!$A:$A=AV$2)*(AsistenciaJetAdminConcatenada!$B:$B=AV$1), 0)), 1))),  0.5, 0))</f>
        <v>1</v>
      </c>
      <c r="AW40" s="47">
        <f t="array" ref="AW40">IF(AND(ISNUMBER(MATCH(AW$2, AsistenciaJetAdminConcatenada!$A:$A, 0)), ISNUMBER(MATCH(AW$1, AsistenciaJetAdminConcatenada!$B:$B, 0)), ISNUMBER(SEARCH($A40,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ISNUMBER(SEARCH($A40, INDEX(AsistenciaJetAdminConcatenada!$D:$D, MATCH(1, (AsistenciaJetAdminConcatenada!$A:$A=AW$2)*(AsistenciaJetAdminConcatenada!$B:$B=AW$1), 0)), 1))),  0.5, 0))</f>
        <v>1</v>
      </c>
      <c r="AX40" s="47">
        <f t="array" ref="AX40">IF(AND(ISNUMBER(MATCH(AX$2, AsistenciaJetAdminConcatenada!$A:$A, 0)), ISNUMBER(MATCH(AX$1, AsistenciaJetAdminConcatenada!$B:$B, 0)), ISNUMBER(SEARCH($A40,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ISNUMBER(SEARCH($A40, INDEX(AsistenciaJetAdminConcatenada!$D:$D, MATCH(1, (AsistenciaJetAdminConcatenada!$A:$A=AX$2)*(AsistenciaJetAdminConcatenada!$B:$B=AX$1), 0)), 1))),  0.5, 0))</f>
        <v>0</v>
      </c>
      <c r="AY40" s="47">
        <f t="array" ref="AY40">IF(AND(ISNUMBER(MATCH(AY$2, AsistenciaJetAdminConcatenada!$A:$A, 0)), ISNUMBER(MATCH(AY$1, AsistenciaJetAdminConcatenada!$B:$B, 0)), ISNUMBER(SEARCH($A40,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ISNUMBER(SEARCH($A40, INDEX(AsistenciaJetAdminConcatenada!$D:$D, MATCH(1, (AsistenciaJetAdminConcatenada!$A:$A=AY$2)*(AsistenciaJetAdminConcatenada!$B:$B=AY$1), 0)), 1))),  0.5, 0))</f>
        <v>1</v>
      </c>
      <c r="AZ40" s="47">
        <f t="array" ref="AZ40">IF(AND(ISNUMBER(MATCH(AZ$2, AsistenciaJetAdminConcatenada!$A:$A, 0)), ISNUMBER(MATCH(AZ$1, AsistenciaJetAdminConcatenada!$B:$B, 0)), ISNUMBER(SEARCH($A40,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ISNUMBER(SEARCH($A40, INDEX(AsistenciaJetAdminConcatenada!$D:$D, MATCH(1, (AsistenciaJetAdminConcatenada!$A:$A=AZ$2)*(AsistenciaJetAdminConcatenada!$B:$B=AZ$1), 0)), 1))),  0.5, 0))</f>
        <v>1</v>
      </c>
      <c r="BA40" s="47">
        <f t="array" ref="BA40">IF(AND(ISNUMBER(MATCH(BA$2, AsistenciaJetAdminConcatenada!$A:$A, 0)), ISNUMBER(MATCH(BA$1, AsistenciaJetAdminConcatenada!$B:$B, 0)), ISNUMBER(SEARCH($A40,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ISNUMBER(SEARCH($A40, INDEX(AsistenciaJetAdminConcatenada!$D:$D, MATCH(1, (AsistenciaJetAdminConcatenada!$A:$A=BA$2)*(AsistenciaJetAdminConcatenada!$B:$B=BA$1), 0)), 1))),  0.5, 0))</f>
        <v>1</v>
      </c>
      <c r="BB40" s="47">
        <f t="array" ref="BB40">IF(AND(ISNUMBER(MATCH(BB$2, AsistenciaJetAdminConcatenada!$A:$A, 0)), ISNUMBER(MATCH(BB$1, AsistenciaJetAdminConcatenada!$B:$B, 0)), ISNUMBER(SEARCH($A40,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ISNUMBER(SEARCH($A40, INDEX(AsistenciaJetAdminConcatenada!$D:$D, MATCH(1, (AsistenciaJetAdminConcatenada!$A:$A=BB$2)*(AsistenciaJetAdminConcatenada!$B:$B=BB$1), 0)), 1))),  0.5, 0))</f>
        <v>1</v>
      </c>
      <c r="BC40" s="47">
        <f t="array" ref="BC40">IF(AND(ISNUMBER(MATCH(BC$2, AsistenciaJetAdminConcatenada!$A:$A, 0)), ISNUMBER(MATCH(BC$1, AsistenciaJetAdminConcatenada!$B:$B, 0)), ISNUMBER(SEARCH($A40,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ISNUMBER(SEARCH($A40, INDEX(AsistenciaJetAdminConcatenada!$D:$D, MATCH(1, (AsistenciaJetAdminConcatenada!$A:$A=BC$2)*(AsistenciaJetAdminConcatenada!$B:$B=BC$1), 0)), 1))),  0.5, 0))</f>
        <v>1</v>
      </c>
      <c r="BD40" s="47">
        <f t="array" ref="BD40">IF(AND(ISNUMBER(MATCH(BD$2, AsistenciaJetAdminConcatenada!$A:$A, 0)), ISNUMBER(MATCH(BD$1, AsistenciaJetAdminConcatenada!$B:$B, 0)), ISNUMBER(SEARCH($A40,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ISNUMBER(SEARCH($A40, INDEX(AsistenciaJetAdminConcatenada!$D:$D, MATCH(1, (AsistenciaJetAdminConcatenada!$A:$A=BD$2)*(AsistenciaJetAdminConcatenada!$B:$B=BD$1), 0)), 1))),  0.5, 0))</f>
        <v>1</v>
      </c>
      <c r="BE40" s="47">
        <f t="array" ref="BE40">IF(AND(ISNUMBER(MATCH(BE$2, AsistenciaJetAdminConcatenada!$A:$A, 0)), ISNUMBER(MATCH(BE$1, AsistenciaJetAdminConcatenada!$B:$B, 0)), ISNUMBER(SEARCH($A40,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ISNUMBER(SEARCH($A40, INDEX(AsistenciaJetAdminConcatenada!$D:$D, MATCH(1, (AsistenciaJetAdminConcatenada!$A:$A=BE$2)*(AsistenciaJetAdminConcatenada!$B:$B=BE$1), 0)), 1))),  0.5, 0))</f>
        <v>1</v>
      </c>
      <c r="BF40" s="47">
        <f t="array" ref="BF40">IF(AND(ISNUMBER(MATCH(BF$2, AsistenciaJetAdminConcatenada!$A:$A, 0)), ISNUMBER(MATCH(BF$1, AsistenciaJetAdminConcatenada!$B:$B, 0)), ISNUMBER(SEARCH($A40,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ISNUMBER(SEARCH($A40, INDEX(AsistenciaJetAdminConcatenada!$D:$D, MATCH(1, (AsistenciaJetAdminConcatenada!$A:$A=BF$2)*(AsistenciaJetAdminConcatenada!$B:$B=BF$1), 0)), 1))),  0.5, 0))</f>
        <v>0</v>
      </c>
      <c r="BG40" s="47">
        <f t="array" ref="BG40">IF(AND(ISNUMBER(MATCH(BG$2, AsistenciaJetAdminConcatenada!$A:$A, 0)), ISNUMBER(MATCH(BG$1, AsistenciaJetAdminConcatenada!$B:$B, 0)), ISNUMBER(SEARCH($A40,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ISNUMBER(SEARCH($A40, INDEX(AsistenciaJetAdminConcatenada!$D:$D, MATCH(1, (AsistenciaJetAdminConcatenada!$A:$A=BG$2)*(AsistenciaJetAdminConcatenada!$B:$B=BG$1), 0)), 1))),  0.5, 0))</f>
        <v>0</v>
      </c>
      <c r="BH40" s="47">
        <f t="array" ref="BH40">IF(AND(ISNUMBER(MATCH(BH$2, AsistenciaJetAdminConcatenada!$A:$A, 0)), ISNUMBER(MATCH(BH$1, AsistenciaJetAdminConcatenada!$B:$B, 0)), ISNUMBER(SEARCH($A40,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ISNUMBER(SEARCH($A40, INDEX(AsistenciaJetAdminConcatenada!$D:$D, MATCH(1, (AsistenciaJetAdminConcatenada!$A:$A=BH$2)*(AsistenciaJetAdminConcatenada!$B:$B=BH$1), 0)), 1))),  0.5, 0))</f>
        <v>1</v>
      </c>
      <c r="BI40" s="47">
        <f t="array" ref="BI40">IF(AND(ISNUMBER(MATCH(BI$2, AsistenciaJetAdminConcatenada!$A:$A, 0)), ISNUMBER(MATCH(BI$1, AsistenciaJetAdminConcatenada!$B:$B, 0)), ISNUMBER(SEARCH($A40,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ISNUMBER(SEARCH($A40, INDEX(AsistenciaJetAdminConcatenada!$D:$D, MATCH(1, (AsistenciaJetAdminConcatenada!$A:$A=BI$2)*(AsistenciaJetAdminConcatenada!$B:$B=BI$1), 0)), 1))),  0.5, 0))</f>
        <v>1</v>
      </c>
      <c r="BJ40" s="47">
        <f t="array" ref="BJ40">IF(AND(ISNUMBER(MATCH(BJ$2, AsistenciaJetAdminConcatenada!$A:$A, 0)), ISNUMBER(MATCH(BJ$1, AsistenciaJetAdminConcatenada!$B:$B, 0)), ISNUMBER(SEARCH($A40,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ISNUMBER(SEARCH($A40, INDEX(AsistenciaJetAdminConcatenada!$D:$D, MATCH(1, (AsistenciaJetAdminConcatenada!$A:$A=BJ$2)*(AsistenciaJetAdminConcatenada!$B:$B=BJ$1), 0)), 1))),  0.5, 0))</f>
        <v>1</v>
      </c>
      <c r="BK40" s="47">
        <f t="array" ref="BK40">IF(AND(ISNUMBER(MATCH(BK$2, AsistenciaJetAdminConcatenada!$A:$A, 0)), ISNUMBER(MATCH(BK$1, AsistenciaJetAdminConcatenada!$B:$B, 0)), ISNUMBER(SEARCH($A40,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ISNUMBER(SEARCH($A40, INDEX(AsistenciaJetAdminConcatenada!$D:$D, MATCH(1, (AsistenciaJetAdminConcatenada!$A:$A=BK$2)*(AsistenciaJetAdminConcatenada!$B:$B=BK$1), 0)), 1))),  0.5, 0))</f>
        <v>1</v>
      </c>
      <c r="BL40" s="47">
        <f t="array" ref="BL40">IF(AND(ISNUMBER(MATCH(BL$2, AsistenciaJetAdminConcatenada!$A:$A, 0)), ISNUMBER(MATCH(BL$1, AsistenciaJetAdminConcatenada!$B:$B, 0)), ISNUMBER(SEARCH($A40,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ISNUMBER(SEARCH($A40, INDEX(AsistenciaJetAdminConcatenada!$D:$D, MATCH(1, (AsistenciaJetAdminConcatenada!$A:$A=BL$2)*(AsistenciaJetAdminConcatenada!$B:$B=BL$1), 0)), 1))),  0.5, 0))</f>
        <v>1</v>
      </c>
      <c r="BM40" s="47">
        <f t="array" ref="BM40">IF(AND(ISNUMBER(MATCH(BM$2, AsistenciaJetAdminConcatenada!$A:$A, 0)), ISNUMBER(MATCH(BM$1, AsistenciaJetAdminConcatenada!$B:$B, 0)), ISNUMBER(SEARCH($A40,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ISNUMBER(SEARCH($A40, INDEX(AsistenciaJetAdminConcatenada!$D:$D, MATCH(1, (AsistenciaJetAdminConcatenada!$A:$A=BM$2)*(AsistenciaJetAdminConcatenada!$B:$B=BM$1), 0)), 1))),  0.5, 0))</f>
        <v>1</v>
      </c>
      <c r="BN40" s="47">
        <f t="array" ref="BN40">IF(AND(ISNUMBER(MATCH(BN$2, AsistenciaJetAdminConcatenada!$A:$A, 0)), ISNUMBER(MATCH(BN$1, AsistenciaJetAdminConcatenada!$B:$B, 0)), ISNUMBER(SEARCH($A40,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ISNUMBER(SEARCH($A40, INDEX(AsistenciaJetAdminConcatenada!$D:$D, MATCH(1, (AsistenciaJetAdminConcatenada!$A:$A=BN$2)*(AsistenciaJetAdminConcatenada!$B:$B=BN$1), 0)), 1))),  0.5, 0))</f>
        <v>1</v>
      </c>
      <c r="BO40" s="47">
        <f t="array" ref="BO40">IF(AND(ISNUMBER(MATCH(BO$2, AsistenciaJetAdminConcatenada!$A:$A, 0)), ISNUMBER(MATCH(BO$1, AsistenciaJetAdminConcatenada!$B:$B, 0)), ISNUMBER(SEARCH($A40,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ISNUMBER(SEARCH($A40, INDEX(AsistenciaJetAdminConcatenada!$D:$D, MATCH(1, (AsistenciaJetAdminConcatenada!$A:$A=BO$2)*(AsistenciaJetAdminConcatenada!$B:$B=BO$1), 0)), 1))),  0.5, 0))</f>
        <v>1</v>
      </c>
      <c r="BP40" s="47">
        <f t="array" ref="BP40">IF(AND(ISNUMBER(MATCH(BP$2, AsistenciaJetAdminConcatenada!$A:$A, 0)), ISNUMBER(MATCH(BP$1, AsistenciaJetAdminConcatenada!$B:$B, 0)), ISNUMBER(SEARCH($A40,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ISNUMBER(SEARCH($A40, INDEX(AsistenciaJetAdminConcatenada!$D:$D, MATCH(1, (AsistenciaJetAdminConcatenada!$A:$A=BP$2)*(AsistenciaJetAdminConcatenada!$B:$B=BP$1), 0)), 1))),  0.5, 0))</f>
        <v>1</v>
      </c>
      <c r="BQ40" s="47">
        <f t="array" ref="BQ40">IF(AND(ISNUMBER(MATCH(BQ$2, AsistenciaJetAdminConcatenada!$A:$A, 0)), ISNUMBER(MATCH(BQ$1, AsistenciaJetAdminConcatenada!$B:$B, 0)), ISNUMBER(SEARCH($A40,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ISNUMBER(SEARCH($A40, INDEX(AsistenciaJetAdminConcatenada!$D:$D, MATCH(1, (AsistenciaJetAdminConcatenada!$A:$A=BQ$2)*(AsistenciaJetAdminConcatenada!$B:$B=BQ$1), 0)), 1))),  0.5, 0))</f>
        <v>0</v>
      </c>
      <c r="BR40" s="47">
        <f t="array" ref="BR40">IF(AND(ISNUMBER(MATCH(BR$2, AsistenciaJetAdminConcatenada!$A:$A, 0)), ISNUMBER(MATCH(BR$1, AsistenciaJetAdminConcatenada!$B:$B, 0)), ISNUMBER(SEARCH($A40,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ISNUMBER(SEARCH($A40, INDEX(AsistenciaJetAdminConcatenada!$D:$D, MATCH(1, (AsistenciaJetAdminConcatenada!$A:$A=BR$2)*(AsistenciaJetAdminConcatenada!$B:$B=BR$1), 0)), 1))),  0.5, 0))</f>
        <v>1</v>
      </c>
      <c r="BS40" s="47">
        <f t="array" ref="BS40">IF(AND(ISNUMBER(MATCH(BS$2, AsistenciaJetAdminConcatenada!$A:$A, 0)), ISNUMBER(MATCH(BS$1, AsistenciaJetAdminConcatenada!$B:$B, 0)), ISNUMBER(SEARCH($A40,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ISNUMBER(SEARCH($A40, INDEX(AsistenciaJetAdminConcatenada!$D:$D, MATCH(1, (AsistenciaJetAdminConcatenada!$A:$A=BS$2)*(AsistenciaJetAdminConcatenada!$B:$B=BS$1), 0)), 1))),  0.5, 0))</f>
        <v>1</v>
      </c>
      <c r="BT40" s="47">
        <f t="array" ref="BT40">IF(AND(ISNUMBER(MATCH(BT$2, AsistenciaJetAdminConcatenada!$A:$A, 0)), ISNUMBER(MATCH(BT$1, AsistenciaJetAdminConcatenada!$B:$B, 0)), ISNUMBER(SEARCH($A40,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ISNUMBER(SEARCH($A40, INDEX(AsistenciaJetAdminConcatenada!$D:$D, MATCH(1, (AsistenciaJetAdminConcatenada!$A:$A=BT$2)*(AsistenciaJetAdminConcatenada!$B:$B=BT$1), 0)), 1))),  0.5, 0))</f>
        <v>1</v>
      </c>
      <c r="BU40" s="47">
        <f t="array" ref="BU40">IF(AND(ISNUMBER(MATCH(BU$2, AsistenciaJetAdminConcatenada!$A:$A, 0)), ISNUMBER(MATCH(BU$1, AsistenciaJetAdminConcatenada!$B:$B, 0)), ISNUMBER(SEARCH($A40,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ISNUMBER(SEARCH($A40, INDEX(AsistenciaJetAdminConcatenada!$D:$D, MATCH(1, (AsistenciaJetAdminConcatenada!$A:$A=BU$2)*(AsistenciaJetAdminConcatenada!$B:$B=BU$1), 0)), 1))),  0.5, 0))</f>
        <v>1</v>
      </c>
      <c r="BV40" s="8">
        <v>0.0</v>
      </c>
      <c r="BW40" s="47">
        <f t="array" ref="BW40">IF(AND(ISNUMBER(MATCH(BW$2, AsistenciaJetAdminConcatenada!$A:$A, 0)), ISNUMBER(MATCH(BW$1, AsistenciaJetAdminConcatenada!$B:$B, 0)), ISNUMBER(SEARCH($A40,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ISNUMBER(SEARCH($A40, INDEX(AsistenciaJetAdminConcatenada!$D:$D, MATCH(1, (AsistenciaJetAdminConcatenada!$A:$A=BW$2)*(AsistenciaJetAdminConcatenada!$B:$B=BW$1), 0)), 1))),  0.5, 0))</f>
        <v>1</v>
      </c>
      <c r="BX40" s="47">
        <f t="array" ref="BX40">IF(AND(ISNUMBER(MATCH(BX$2, AsistenciaJetAdminConcatenada!$A:$A, 0)), ISNUMBER(MATCH(BX$1, AsistenciaJetAdminConcatenada!$B:$B, 0)), ISNUMBER(SEARCH($A40,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ISNUMBER(SEARCH($A40, INDEX(AsistenciaJetAdminConcatenada!$D:$D, MATCH(1, (AsistenciaJetAdminConcatenada!$A:$A=BX$2)*(AsistenciaJetAdminConcatenada!$B:$B=BX$1), 0)), 1))),  0.5, 0))</f>
        <v>1</v>
      </c>
      <c r="BY40" s="47">
        <f t="array" ref="BY40">IF(AND(ISNUMBER(MATCH(BY$2, AsistenciaJetAdminConcatenada!$A:$A, 0)), ISNUMBER(MATCH(BY$1, AsistenciaJetAdminConcatenada!$B:$B, 0)), ISNUMBER(SEARCH($A40,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ISNUMBER(SEARCH($A40, INDEX(AsistenciaJetAdminConcatenada!$D:$D, MATCH(1, (AsistenciaJetAdminConcatenada!$A:$A=BY$2)*(AsistenciaJetAdminConcatenada!$B:$B=BY$1), 0)), 1))),  0.5, 0))</f>
        <v>0</v>
      </c>
      <c r="BZ40" s="47">
        <f t="array" ref="BZ40">IF(AND(ISNUMBER(MATCH(BZ$2, AsistenciaJetAdminConcatenada!$A:$A, 0)), ISNUMBER(MATCH(BZ$1, AsistenciaJetAdminConcatenada!$B:$B, 0)), ISNUMBER(SEARCH($A40,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ISNUMBER(SEARCH($A40, INDEX(AsistenciaJetAdminConcatenada!$D:$D, MATCH(1, (AsistenciaJetAdminConcatenada!$A:$A=BZ$2)*(AsistenciaJetAdminConcatenada!$B:$B=BZ$1), 0)), 1))),  0.5, 0))</f>
        <v>1</v>
      </c>
      <c r="CA40" s="47">
        <f t="array" ref="CA40">IF(AND(ISNUMBER(MATCH(CA$2, AsistenciaJetAdminConcatenada!$A:$A, 0)), ISNUMBER(MATCH(CA$1, AsistenciaJetAdminConcatenada!$B:$B, 0)), ISNUMBER(SEARCH($A40,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ISNUMBER(SEARCH($A40, INDEX(AsistenciaJetAdminConcatenada!$D:$D, MATCH(1, (AsistenciaJetAdminConcatenada!$A:$A=CA$2)*(AsistenciaJetAdminConcatenada!$B:$B=CA$1), 0)), 1))),  0.5, 0))</f>
        <v>1</v>
      </c>
      <c r="CB40" s="47">
        <f t="array" ref="CB40">IF(AND(ISNUMBER(MATCH(CB$2, AsistenciaJetAdminConcatenada!$A:$A, 0)), ISNUMBER(MATCH(CB$1, AsistenciaJetAdminConcatenada!$B:$B, 0)), ISNUMBER(SEARCH($A40,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ISNUMBER(SEARCH($A40, INDEX(AsistenciaJetAdminConcatenada!$D:$D, MATCH(1, (AsistenciaJetAdminConcatenada!$A:$A=CB$2)*(AsistenciaJetAdminConcatenada!$B:$B=CB$1), 0)), 1))),  0.5, 0))</f>
        <v>0</v>
      </c>
      <c r="CC40" s="47">
        <f t="array" ref="CC40">IF(AND(ISNUMBER(MATCH(CC$2, AsistenciaJetAdminConcatenada!$A:$A, 0)), ISNUMBER(MATCH(CC$1, AsistenciaJetAdminConcatenada!$B:$B, 0)), ISNUMBER(SEARCH($A40,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ISNUMBER(SEARCH($A40, INDEX(AsistenciaJetAdminConcatenada!$D:$D, MATCH(1, (AsistenciaJetAdminConcatenada!$A:$A=CC$2)*(AsistenciaJetAdminConcatenada!$B:$B=CC$1), 0)), 1))),  0.5, 0))</f>
        <v>0</v>
      </c>
      <c r="CD40" s="47">
        <f t="array" ref="CD40">IF(AND(ISNUMBER(MATCH(CD$2, AsistenciaJetAdminConcatenada!$A:$A, 0)), ISNUMBER(MATCH(CD$1, AsistenciaJetAdminConcatenada!$B:$B, 0)), ISNUMBER(SEARCH($A40,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ISNUMBER(SEARCH($A40, INDEX(AsistenciaJetAdminConcatenada!$D:$D, MATCH(1, (AsistenciaJetAdminConcatenada!$A:$A=CD$2)*(AsistenciaJetAdminConcatenada!$B:$B=CD$1), 0)), 1))),  0.5, 0))</f>
        <v>1</v>
      </c>
      <c r="CE40" s="47">
        <f t="array" ref="CE40">IF(AND(ISNUMBER(MATCH(CE$2, AsistenciaJetAdminConcatenada!$A:$A, 0)), ISNUMBER(MATCH(CE$1, AsistenciaJetAdminConcatenada!$B:$B, 0)), ISNUMBER(SEARCH($A40,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ISNUMBER(SEARCH($A40, INDEX(AsistenciaJetAdminConcatenada!$D:$D, MATCH(1, (AsistenciaJetAdminConcatenada!$A:$A=CE$2)*(AsistenciaJetAdminConcatenada!$B:$B=CE$1), 0)), 1))),  0.5, 0))</f>
        <v>1</v>
      </c>
      <c r="CF40" s="47">
        <f t="array" ref="CF40">IF(AND(ISNUMBER(MATCH(CF$2, AsistenciaJetAdminConcatenada!$A:$A, 0)), ISNUMBER(MATCH(CF$1, AsistenciaJetAdminConcatenada!$B:$B, 0)), ISNUMBER(SEARCH($A40,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ISNUMBER(SEARCH($A40, INDEX(AsistenciaJetAdminConcatenada!$D:$D, MATCH(1, (AsistenciaJetAdminConcatenada!$A:$A=CF$2)*(AsistenciaJetAdminConcatenada!$B:$B=CF$1), 0)), 1))),  0.5, 0))</f>
        <v>1</v>
      </c>
      <c r="CG40" s="47">
        <f t="array" ref="CG40">IF(AND(ISNUMBER(MATCH(CG$2, AsistenciaJetAdminConcatenada!$A:$A, 0)), ISNUMBER(MATCH(CG$1, AsistenciaJetAdminConcatenada!$B:$B, 0)), ISNUMBER(SEARCH($A40,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ISNUMBER(SEARCH($A40, INDEX(AsistenciaJetAdminConcatenada!$D:$D, MATCH(1, (AsistenciaJetAdminConcatenada!$A:$A=CG$2)*(AsistenciaJetAdminConcatenada!$B:$B=CG$1), 0)), 1))),  0.5, 0))</f>
        <v>1</v>
      </c>
      <c r="CH40" s="47">
        <f t="array" ref="CH40">IF(AND(ISNUMBER(MATCH(CH$2, AsistenciaJetAdminConcatenada!$A:$A, 0)), ISNUMBER(MATCH(CH$1, AsistenciaJetAdminConcatenada!$B:$B, 0)), ISNUMBER(SEARCH($A40,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ISNUMBER(SEARCH($A40, INDEX(AsistenciaJetAdminConcatenada!$D:$D, MATCH(1, (AsistenciaJetAdminConcatenada!$A:$A=CH$2)*(AsistenciaJetAdminConcatenada!$B:$B=CH$1), 0)), 1))),  0.5, 0))</f>
        <v>0</v>
      </c>
      <c r="CI40" s="47">
        <f t="array" ref="CI40">IF(AND(ISNUMBER(MATCH(CI$2, AsistenciaJetAdminConcatenada!$A:$A, 0)), ISNUMBER(MATCH(CI$1, AsistenciaJetAdminConcatenada!$B:$B, 0)), ISNUMBER(SEARCH($A40,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ISNUMBER(SEARCH($A40, INDEX(AsistenciaJetAdminConcatenada!$D:$D, MATCH(1, (AsistenciaJetAdminConcatenada!$A:$A=CI$2)*(AsistenciaJetAdminConcatenada!$B:$B=CI$1), 0)), 1))),  0.5, 0))</f>
        <v>1</v>
      </c>
      <c r="CJ40" s="47">
        <f t="array" ref="CJ40">IF(AND(ISNUMBER(MATCH(CJ$2, AsistenciaJetAdminConcatenada!$A:$A, 0)), ISNUMBER(MATCH(CJ$1, AsistenciaJetAdminConcatenada!$B:$B, 0)), ISNUMBER(SEARCH($A40,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ISNUMBER(SEARCH($A40, INDEX(AsistenciaJetAdminConcatenada!$D:$D, MATCH(1, (AsistenciaJetAdminConcatenada!$A:$A=CJ$2)*(AsistenciaJetAdminConcatenada!$B:$B=CJ$1), 0)), 1))),  0.5, 0))</f>
        <v>1</v>
      </c>
      <c r="CK40" s="47">
        <f t="array" ref="CK40">IF(AND(ISNUMBER(MATCH(CK$2, AsistenciaJetAdminConcatenada!$A:$A, 0)), ISNUMBER(MATCH(CK$1, AsistenciaJetAdminConcatenada!$B:$B, 0)), ISNUMBER(SEARCH($A40,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ISNUMBER(SEARCH($A40, INDEX(AsistenciaJetAdminConcatenada!$D:$D, MATCH(1, (AsistenciaJetAdminConcatenada!$A:$A=CK$2)*(AsistenciaJetAdminConcatenada!$B:$B=CK$1), 0)), 1))),  0.5, 0))</f>
        <v>1</v>
      </c>
      <c r="CL40" s="47">
        <f t="array" ref="CL40">IF(AND(ISNUMBER(MATCH(CL$2, AsistenciaJetAdminConcatenada!$A:$A, 0)), ISNUMBER(MATCH(CL$1, AsistenciaJetAdminConcatenada!$B:$B, 0)), ISNUMBER(SEARCH($A40,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ISNUMBER(SEARCH($A40, INDEX(AsistenciaJetAdminConcatenada!$D:$D, MATCH(1, (AsistenciaJetAdminConcatenada!$A:$A=CL$2)*(AsistenciaJetAdminConcatenada!$B:$B=CL$1), 0)), 1))),  0.5, 0))</f>
        <v>1</v>
      </c>
      <c r="CM40" s="47">
        <f t="array" ref="CM40">IF(AND(ISNUMBER(MATCH(CM$2, AsistenciaJetAdminConcatenada!$A:$A, 0)), ISNUMBER(MATCH(CM$1, AsistenciaJetAdminConcatenada!$B:$B, 0)), ISNUMBER(SEARCH($A40,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ISNUMBER(SEARCH($A40, INDEX(AsistenciaJetAdminConcatenada!$D:$D, MATCH(1, (AsistenciaJetAdminConcatenada!$A:$A=CM$2)*(AsistenciaJetAdminConcatenada!$B:$B=CM$1), 0)), 1))),  0.5, 0))</f>
        <v>1</v>
      </c>
      <c r="CN40" s="47">
        <f t="array" ref="CN40">IF(AND(ISNUMBER(MATCH(CN$2, AsistenciaJetAdminConcatenada!$A:$A, 0)), ISNUMBER(MATCH(CN$1, AsistenciaJetAdminConcatenada!$B:$B, 0)), ISNUMBER(SEARCH($A40,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ISNUMBER(SEARCH($A40, INDEX(AsistenciaJetAdminConcatenada!$D:$D, MATCH(1, (AsistenciaJetAdminConcatenada!$A:$A=CN$2)*(AsistenciaJetAdminConcatenada!$B:$B=CN$1), 0)), 1))),  0.5, 0))</f>
        <v>1</v>
      </c>
      <c r="CO40" s="47">
        <f t="array" ref="CO40">IF(AND(ISNUMBER(MATCH(CO$2, AsistenciaJetAdminConcatenada!$A:$A, 0)), ISNUMBER(MATCH(CO$1, AsistenciaJetAdminConcatenada!$B:$B, 0)), ISNUMBER(SEARCH($A40,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ISNUMBER(SEARCH($A40, INDEX(AsistenciaJetAdminConcatenada!$D:$D, MATCH(1, (AsistenciaJetAdminConcatenada!$A:$A=CO$2)*(AsistenciaJetAdminConcatenada!$B:$B=CO$1), 0)), 1))),  0.5, 0))</f>
        <v>1</v>
      </c>
      <c r="CP40" s="47">
        <f t="array" ref="CP40">IF(AND(ISNUMBER(MATCH(CP$2, AsistenciaJetAdminConcatenada!$A:$A, 0)), ISNUMBER(MATCH(CP$1, AsistenciaJetAdminConcatenada!$B:$B, 0)), ISNUMBER(SEARCH($A40,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ISNUMBER(SEARCH($A40, INDEX(AsistenciaJetAdminConcatenada!$D:$D, MATCH(1, (AsistenciaJetAdminConcatenada!$A:$A=CP$2)*(AsistenciaJetAdminConcatenada!$B:$B=CP$1), 0)), 1))),  0.5, 0))</f>
        <v>1</v>
      </c>
      <c r="CQ40" s="47">
        <f t="array" ref="CQ40">IF(AND(ISNUMBER(MATCH(CQ$2, AsistenciaJetAdminConcatenada!$A:$A, 0)), ISNUMBER(MATCH(CQ$1, AsistenciaJetAdminConcatenada!$B:$B, 0)), ISNUMBER(SEARCH($A40,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ISNUMBER(SEARCH($A40, INDEX(AsistenciaJetAdminConcatenada!$D:$D, MATCH(1, (AsistenciaJetAdminConcatenada!$A:$A=CQ$2)*(AsistenciaJetAdminConcatenada!$B:$B=CQ$1), 0)), 1))),  0.5, 0))</f>
        <v>1</v>
      </c>
      <c r="CR40" s="47">
        <f t="array" ref="CR40">IF(AND(ISNUMBER(MATCH(CR$2, AsistenciaJetAdminConcatenada!$A:$A, 0)), ISNUMBER(MATCH(CR$1, AsistenciaJetAdminConcatenada!$B:$B, 0)), ISNUMBER(SEARCH($A40,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ISNUMBER(SEARCH($A40, INDEX(AsistenciaJetAdminConcatenada!$D:$D, MATCH(1, (AsistenciaJetAdminConcatenada!$A:$A=CR$2)*(AsistenciaJetAdminConcatenada!$B:$B=CR$1), 0)), 1))),  0.5, 0))</f>
        <v>1</v>
      </c>
      <c r="CS40" s="47">
        <f t="array" ref="CS40">IF(AND(ISNUMBER(MATCH(CS$2, AsistenciaJetAdminConcatenada!$A:$A, 0)), ISNUMBER(MATCH(CS$1, AsistenciaJetAdminConcatenada!$B:$B, 0)), ISNUMBER(SEARCH($A40,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ISNUMBER(SEARCH($A40, INDEX(AsistenciaJetAdminConcatenada!$D:$D, MATCH(1, (AsistenciaJetAdminConcatenada!$A:$A=CS$2)*(AsistenciaJetAdminConcatenada!$B:$B=CS$1), 0)), 1))),  0.5, 0))</f>
        <v>0</v>
      </c>
      <c r="CT40" s="47">
        <f t="array" ref="CT40">IF(AND(ISNUMBER(MATCH(CT$2, AsistenciaJetAdminConcatenada!$A:$A, 0)), ISNUMBER(MATCH(CT$1, AsistenciaJetAdminConcatenada!$B:$B, 0)), ISNUMBER(SEARCH($A40,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ISNUMBER(SEARCH($A40, INDEX(AsistenciaJetAdminConcatenada!$D:$D, MATCH(1, (AsistenciaJetAdminConcatenada!$A:$A=CT$2)*(AsistenciaJetAdminConcatenada!$B:$B=CT$1), 0)), 1))),  0.5, 0))</f>
        <v>0</v>
      </c>
      <c r="CU40" s="47">
        <f t="array" ref="CU40">IF(AND(ISNUMBER(MATCH(CU$2, AsistenciaJetAdminConcatenada!$A:$A, 0)), ISNUMBER(MATCH(CU$1, AsistenciaJetAdminConcatenada!$B:$B, 0)), ISNUMBER(SEARCH($A40,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ISNUMBER(SEARCH($A40, INDEX(AsistenciaJetAdminConcatenada!$D:$D, MATCH(1, (AsistenciaJetAdminConcatenada!$A:$A=CU$2)*(AsistenciaJetAdminConcatenada!$B:$B=CU$1), 0)), 1))),  0.5, 0))</f>
        <v>0</v>
      </c>
      <c r="CV40" s="47">
        <f t="array" ref="CV40">IF(AND(ISNUMBER(MATCH(CV$2, AsistenciaJetAdminConcatenada!$A:$A, 0)), ISNUMBER(MATCH(CV$1, AsistenciaJetAdminConcatenada!$B:$B, 0)), ISNUMBER(SEARCH($A40,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ISNUMBER(SEARCH($A40, INDEX(AsistenciaJetAdminConcatenada!$D:$D, MATCH(1, (AsistenciaJetAdminConcatenada!$A:$A=CV$2)*(AsistenciaJetAdminConcatenada!$B:$B=CV$1), 0)), 1))),  0.5, 0))</f>
        <v>0</v>
      </c>
      <c r="CW40" s="47">
        <f t="array" ref="CW40">IF(AND(ISNUMBER(MATCH(CW$2, AsistenciaJetAdminConcatenada!$A:$A, 0)), ISNUMBER(MATCH(CW$1, AsistenciaJetAdminConcatenada!$B:$B, 0)), ISNUMBER(SEARCH($A40,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ISNUMBER(SEARCH($A40, INDEX(AsistenciaJetAdminConcatenada!$D:$D, MATCH(1, (AsistenciaJetAdminConcatenada!$A:$A=CW$2)*(AsistenciaJetAdminConcatenada!$B:$B=CW$1), 0)), 1))),  0.5, 0))</f>
        <v>0</v>
      </c>
      <c r="CX40" s="47">
        <f t="array" ref="CX40">IF(AND(ISNUMBER(MATCH(CX$2, AsistenciaJetAdminConcatenada!$A:$A, 0)), ISNUMBER(MATCH(CX$1, AsistenciaJetAdminConcatenada!$B:$B, 0)), ISNUMBER(SEARCH($A40,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ISNUMBER(SEARCH($A40, INDEX(AsistenciaJetAdminConcatenada!$D:$D, MATCH(1, (AsistenciaJetAdminConcatenada!$A:$A=CX$2)*(AsistenciaJetAdminConcatenada!$B:$B=CX$1), 0)), 1))),  0.5, 0))</f>
        <v>0</v>
      </c>
      <c r="CY40" s="47">
        <f t="array" ref="CY40">IF(AND(ISNUMBER(MATCH(CY$2, AsistenciaJetAdminConcatenada!$A:$A, 0)), ISNUMBER(MATCH(CY$1, AsistenciaJetAdminConcatenada!$B:$B, 0)), ISNUMBER(SEARCH($A40,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ISNUMBER(SEARCH($A40, INDEX(AsistenciaJetAdminConcatenada!$D:$D, MATCH(1, (AsistenciaJetAdminConcatenada!$A:$A=CY$2)*(AsistenciaJetAdminConcatenada!$B:$B=CY$1), 0)), 1))),  0.5, 0))</f>
        <v>0</v>
      </c>
      <c r="CZ40" s="47">
        <f t="array" ref="CZ40">IF(AND(ISNUMBER(MATCH(CZ$2, AsistenciaJetAdminConcatenada!$A:$A, 0)), ISNUMBER(MATCH(CZ$1, AsistenciaJetAdminConcatenada!$B:$B, 0)), ISNUMBER(SEARCH($A40,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ISNUMBER(SEARCH($A40, INDEX(AsistenciaJetAdminConcatenada!$D:$D, MATCH(1, (AsistenciaJetAdminConcatenada!$A:$A=CZ$2)*(AsistenciaJetAdminConcatenada!$B:$B=CZ$1), 0)), 1))),  0.5, 0))</f>
        <v>0</v>
      </c>
      <c r="DA40" s="47">
        <f t="array" ref="DA40">IF(AND(ISNUMBER(MATCH(DA$2, AsistenciaJetAdminConcatenada!$A:$A, 0)), ISNUMBER(MATCH(DA$1, AsistenciaJetAdminConcatenada!$B:$B, 0)), ISNUMBER(SEARCH($A40,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ISNUMBER(SEARCH($A40, INDEX(AsistenciaJetAdminConcatenada!$D:$D, MATCH(1, (AsistenciaJetAdminConcatenada!$A:$A=DA$2)*(AsistenciaJetAdminConcatenada!$B:$B=DA$1), 0)), 1))),  0.5, 0))</f>
        <v>0</v>
      </c>
      <c r="DB40" s="47">
        <f t="array" ref="DB40">IF(AND(ISNUMBER(MATCH(DB$2, AsistenciaJetAdminConcatenada!$A:$A, 0)), ISNUMBER(MATCH(DB$1, AsistenciaJetAdminConcatenada!$B:$B, 0)), ISNUMBER(SEARCH($A40,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ISNUMBER(SEARCH($A40, INDEX(AsistenciaJetAdminConcatenada!$D:$D, MATCH(1, (AsistenciaJetAdminConcatenada!$A:$A=DB$2)*(AsistenciaJetAdminConcatenada!$B:$B=DB$1), 0)), 1))),  0.5, 0))</f>
        <v>0</v>
      </c>
      <c r="DC40" s="47">
        <f t="array" ref="DC40">IF(AND(ISNUMBER(MATCH(DC$2, AsistenciaJetAdminConcatenada!$A:$A, 0)), ISNUMBER(MATCH(DC$1, AsistenciaJetAdminConcatenada!$B:$B, 0)), ISNUMBER(SEARCH($A40,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ISNUMBER(SEARCH($A40, INDEX(AsistenciaJetAdminConcatenada!$D:$D, MATCH(1, (AsistenciaJetAdminConcatenada!$A:$A=DC$2)*(AsistenciaJetAdminConcatenada!$B:$B=DC$1), 0)), 1))),  0.5, 0))</f>
        <v>0</v>
      </c>
      <c r="DD40" s="47">
        <f t="array" ref="DD40">IF(AND(ISNUMBER(MATCH(DD$2, AsistenciaJetAdminConcatenada!$A:$A, 0)), ISNUMBER(MATCH(DD$1, AsistenciaJetAdminConcatenada!$B:$B, 0)), ISNUMBER(SEARCH($A40,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ISNUMBER(SEARCH($A40, INDEX(AsistenciaJetAdminConcatenada!$D:$D, MATCH(1, (AsistenciaJetAdminConcatenada!$A:$A=DD$2)*(AsistenciaJetAdminConcatenada!$B:$B=DD$1), 0)), 1))),  0.5, 0))</f>
        <v>0</v>
      </c>
      <c r="DE40" s="47">
        <f t="array" ref="DE40">IF(AND(ISNUMBER(MATCH(DE$2, AsistenciaJetAdminConcatenada!$A:$A, 0)), ISNUMBER(MATCH(DE$1, AsistenciaJetAdminConcatenada!$B:$B, 0)), ISNUMBER(SEARCH($A40,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ISNUMBER(SEARCH($A40, INDEX(AsistenciaJetAdminConcatenada!$D:$D, MATCH(1, (AsistenciaJetAdminConcatenada!$A:$A=DE$2)*(AsistenciaJetAdminConcatenada!$B:$B=DE$1), 0)), 1))),  0.5, 0))</f>
        <v>0</v>
      </c>
      <c r="DF40" s="47">
        <f t="array" ref="DF40">IF(AND(ISNUMBER(MATCH(DF$2, AsistenciaJetAdminConcatenada!$A:$A, 0)), ISNUMBER(MATCH(DF$1, AsistenciaJetAdminConcatenada!$B:$B, 0)), ISNUMBER(SEARCH($A40,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ISNUMBER(SEARCH($A40, INDEX(AsistenciaJetAdminConcatenada!$D:$D, MATCH(1, (AsistenciaJetAdminConcatenada!$A:$A=DF$2)*(AsistenciaJetAdminConcatenada!$B:$B=DF$1), 0)), 1))),  0.5, 0))</f>
        <v>0</v>
      </c>
      <c r="DG40" s="47">
        <f t="array" ref="DG40">IF(AND(ISNUMBER(MATCH(DG$2, AsistenciaJetAdminConcatenada!$A:$A, 0)), ISNUMBER(MATCH(DG$1, AsistenciaJetAdminConcatenada!$B:$B, 0)), ISNUMBER(SEARCH($A40,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ISNUMBER(SEARCH($A40, INDEX(AsistenciaJetAdminConcatenada!$D:$D, MATCH(1, (AsistenciaJetAdminConcatenada!$A:$A=DG$2)*(AsistenciaJetAdminConcatenada!$B:$B=DG$1), 0)), 1))),  0.5, 0))</f>
        <v>0</v>
      </c>
      <c r="DH40" s="47">
        <f t="array" ref="DH40">IF(AND(ISNUMBER(MATCH(DH$2, AsistenciaJetAdminConcatenada!$A:$A, 0)), ISNUMBER(MATCH(DH$1, AsistenciaJetAdminConcatenada!$B:$B, 0)), ISNUMBER(SEARCH($A40,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ISNUMBER(SEARCH($A40, INDEX(AsistenciaJetAdminConcatenada!$D:$D, MATCH(1, (AsistenciaJetAdminConcatenada!$A:$A=DH$2)*(AsistenciaJetAdminConcatenada!$B:$B=DH$1), 0)), 1))),  0.5, 0))</f>
        <v>0</v>
      </c>
      <c r="DI40" s="47">
        <f t="array" ref="DI40">IF(AND(ISNUMBER(MATCH(DI$2, AsistenciaJetAdminConcatenada!$A:$A, 0)), ISNUMBER(MATCH(DI$1, AsistenciaJetAdminConcatenada!$B:$B, 0)), ISNUMBER(SEARCH($A40,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ISNUMBER(SEARCH($A40, INDEX(AsistenciaJetAdminConcatenada!$D:$D, MATCH(1, (AsistenciaJetAdminConcatenada!$A:$A=DI$2)*(AsistenciaJetAdminConcatenada!$B:$B=DI$1), 0)), 1))),  0.5, 0))</f>
        <v>0</v>
      </c>
      <c r="DJ40" s="47">
        <f t="array" ref="DJ40">IF(AND(ISNUMBER(MATCH(DJ$2, AsistenciaJetAdminConcatenada!$A:$A, 0)), ISNUMBER(MATCH(DJ$1, AsistenciaJetAdminConcatenada!$B:$B, 0)), ISNUMBER(SEARCH($A40,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ISNUMBER(SEARCH($A40, INDEX(AsistenciaJetAdminConcatenada!$D:$D, MATCH(1, (AsistenciaJetAdminConcatenada!$A:$A=DJ$2)*(AsistenciaJetAdminConcatenada!$B:$B=DJ$1), 0)), 1))),  0.5, 0))</f>
        <v>0</v>
      </c>
      <c r="DK40" s="47">
        <f t="array" ref="DK40">IF(AND(ISNUMBER(MATCH(DK$2, AsistenciaJetAdminConcatenada!$A:$A, 0)), ISNUMBER(MATCH(DK$1, AsistenciaJetAdminConcatenada!$B:$B, 0)), ISNUMBER(SEARCH($A40,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ISNUMBER(SEARCH($A40, INDEX(AsistenciaJetAdminConcatenada!$D:$D, MATCH(1, (AsistenciaJetAdminConcatenada!$A:$A=DK$2)*(AsistenciaJetAdminConcatenada!$B:$B=DK$1), 0)), 1))),  0.5, 0))</f>
        <v>0</v>
      </c>
      <c r="DL40" s="47">
        <f t="array" ref="DL40">IF(AND(ISNUMBER(MATCH(DL$2, AsistenciaJetAdminConcatenada!$A:$A, 0)), ISNUMBER(MATCH(DL$1, AsistenciaJetAdminConcatenada!$B:$B, 0)), ISNUMBER(SEARCH($A40,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ISNUMBER(SEARCH($A40, INDEX(AsistenciaJetAdminConcatenada!$D:$D, MATCH(1, (AsistenciaJetAdminConcatenada!$A:$A=DL$2)*(AsistenciaJetAdminConcatenada!$B:$B=DL$1), 0)), 1))),  0.5, 0))</f>
        <v>0</v>
      </c>
      <c r="DM40" s="47">
        <f t="array" ref="DM40">IF(AND(ISNUMBER(MATCH(DM$2, AsistenciaJetAdminConcatenada!$A:$A, 0)), ISNUMBER(MATCH(DM$1, AsistenciaJetAdminConcatenada!$B:$B, 0)), ISNUMBER(SEARCH($A40,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ISNUMBER(SEARCH($A40, INDEX(AsistenciaJetAdminConcatenada!$D:$D, MATCH(1, (AsistenciaJetAdminConcatenada!$A:$A=DM$2)*(AsistenciaJetAdminConcatenada!$B:$B=DM$1), 0)), 1))),  0.5, 0))</f>
        <v>0</v>
      </c>
      <c r="DN40" s="47">
        <f t="array" ref="DN40">IF(AND(ISNUMBER(MATCH(DN$2, AsistenciaJetAdminConcatenada!$A:$A, 0)), ISNUMBER(MATCH(DN$1, AsistenciaJetAdminConcatenada!$B:$B, 0)), ISNUMBER(SEARCH($A40,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ISNUMBER(SEARCH($A40, INDEX(AsistenciaJetAdminConcatenada!$D:$D, MATCH(1, (AsistenciaJetAdminConcatenada!$A:$A=DN$2)*(AsistenciaJetAdminConcatenada!$B:$B=DN$1), 0)), 1))),  0.5, 0))</f>
        <v>0</v>
      </c>
      <c r="DO40" s="47">
        <f t="array" ref="DO40">IF(AND(ISNUMBER(MATCH(DO$2, AsistenciaJetAdminConcatenada!$A:$A, 0)), ISNUMBER(MATCH(DO$1, AsistenciaJetAdminConcatenada!$B:$B, 0)), ISNUMBER(SEARCH($A40,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ISNUMBER(SEARCH($A40, INDEX(AsistenciaJetAdminConcatenada!$D:$D, MATCH(1, (AsistenciaJetAdminConcatenada!$A:$A=DO$2)*(AsistenciaJetAdminConcatenada!$B:$B=DO$1), 0)), 1))),  0.5, 0))</f>
        <v>0</v>
      </c>
      <c r="DP40" s="47">
        <f t="array" ref="DP40">IF(AND(ISNUMBER(MATCH(DP$2, AsistenciaJetAdminConcatenada!$A:$A, 0)), ISNUMBER(MATCH(DP$1, AsistenciaJetAdminConcatenada!$B:$B, 0)), ISNUMBER(SEARCH($A40,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ISNUMBER(SEARCH($A40, INDEX(AsistenciaJetAdminConcatenada!$D:$D, MATCH(1, (AsistenciaJetAdminConcatenada!$A:$A=DP$2)*(AsistenciaJetAdminConcatenada!$B:$B=DP$1), 0)), 1))),  0.5, 0))</f>
        <v>0</v>
      </c>
      <c r="DQ40" s="47">
        <f t="array" ref="DQ40">IF(AND(ISNUMBER(MATCH(DQ$2, AsistenciaJetAdminConcatenada!$A:$A, 0)), ISNUMBER(MATCH(DQ$1, AsistenciaJetAdminConcatenada!$B:$B, 0)), ISNUMBER(SEARCH($A40,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ISNUMBER(SEARCH($A40, INDEX(AsistenciaJetAdminConcatenada!$D:$D, MATCH(1, (AsistenciaJetAdminConcatenada!$A:$A=DQ$2)*(AsistenciaJetAdminConcatenada!$B:$B=DQ$1), 0)), 1))),  0.5, 0))</f>
        <v>0</v>
      </c>
      <c r="DR40" s="47">
        <f t="array" ref="DR40">IF(AND(ISNUMBER(MATCH(DR$2, AsistenciaJetAdminConcatenada!$A:$A, 0)), ISNUMBER(MATCH(DR$1, AsistenciaJetAdminConcatenada!$B:$B, 0)), ISNUMBER(SEARCH($A40,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ISNUMBER(SEARCH($A40, INDEX(AsistenciaJetAdminConcatenada!$D:$D, MATCH(1, (AsistenciaJetAdminConcatenada!$A:$A=DR$2)*(AsistenciaJetAdminConcatenada!$B:$B=DR$1), 0)), 1))),  0.5, 0))</f>
        <v>0</v>
      </c>
      <c r="DS40" s="47">
        <f t="array" ref="DS40">IF(AND(ISNUMBER(MATCH(DS$2, AsistenciaJetAdminConcatenada!$A:$A, 0)), ISNUMBER(MATCH(DS$1, AsistenciaJetAdminConcatenada!$B:$B, 0)), ISNUMBER(SEARCH($A40,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ISNUMBER(SEARCH($A40, INDEX(AsistenciaJetAdminConcatenada!$D:$D, MATCH(1, (AsistenciaJetAdminConcatenada!$A:$A=DS$2)*(AsistenciaJetAdminConcatenada!$B:$B=DS$1), 0)), 1))),  0.5, 0))</f>
        <v>0</v>
      </c>
      <c r="DT40" s="47">
        <f t="array" ref="DT40">IF(AND(ISNUMBER(MATCH(DT$2, AsistenciaJetAdminConcatenada!$A:$A, 0)), ISNUMBER(MATCH(DT$1, AsistenciaJetAdminConcatenada!$B:$B, 0)), ISNUMBER(SEARCH($A40,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ISNUMBER(SEARCH($A40, INDEX(AsistenciaJetAdminConcatenada!$D:$D, MATCH(1, (AsistenciaJetAdminConcatenada!$A:$A=DT$2)*(AsistenciaJetAdminConcatenada!$B:$B=DT$1), 0)), 1))),  0.5, 0))</f>
        <v>0</v>
      </c>
      <c r="DU40" s="47">
        <f t="array" ref="DU40">IF(AND(ISNUMBER(MATCH(DU$2, AsistenciaJetAdminConcatenada!$A:$A, 0)), ISNUMBER(MATCH(DU$1, AsistenciaJetAdminConcatenada!$B:$B, 0)), ISNUMBER(SEARCH($A40,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ISNUMBER(SEARCH($A40, INDEX(AsistenciaJetAdminConcatenada!$D:$D, MATCH(1, (AsistenciaJetAdminConcatenada!$A:$A=DU$2)*(AsistenciaJetAdminConcatenada!$B:$B=DU$1), 0)), 1))),  0.5, 0))</f>
        <v>0</v>
      </c>
      <c r="DV40" s="47">
        <f t="array" ref="DV40">IF(AND(ISNUMBER(MATCH(DV$2, AsistenciaJetAdminConcatenada!$A:$A, 0)), ISNUMBER(MATCH(DV$1, AsistenciaJetAdminConcatenada!$B:$B, 0)), ISNUMBER(SEARCH($A40,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ISNUMBER(SEARCH($A40, INDEX(AsistenciaJetAdminConcatenada!$D:$D, MATCH(1, (AsistenciaJetAdminConcatenada!$A:$A=DV$2)*(AsistenciaJetAdminConcatenada!$B:$B=DV$1), 0)), 1))),  0.5, 0))</f>
        <v>0</v>
      </c>
      <c r="DW40" s="47">
        <f t="array" ref="DW40">IF(AND(ISNUMBER(MATCH(DW$2, AsistenciaJetAdminConcatenada!$A:$A, 0)), ISNUMBER(MATCH(DW$1, AsistenciaJetAdminConcatenada!$B:$B, 0)), ISNUMBER(SEARCH($A40,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ISNUMBER(SEARCH($A40, INDEX(AsistenciaJetAdminConcatenada!$D:$D, MATCH(1, (AsistenciaJetAdminConcatenada!$A:$A=DW$2)*(AsistenciaJetAdminConcatenada!$B:$B=DW$1), 0)), 1))),  0.5, 0))</f>
        <v>0</v>
      </c>
      <c r="DX40" s="47">
        <f t="array" ref="DX40">IF(AND(ISNUMBER(MATCH(DX$2, AsistenciaJetAdminConcatenada!$A:$A, 0)), ISNUMBER(MATCH(DX$1, AsistenciaJetAdminConcatenada!$B:$B, 0)), ISNUMBER(SEARCH($A40,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ISNUMBER(SEARCH($A40, INDEX(AsistenciaJetAdminConcatenada!$D:$D, MATCH(1, (AsistenciaJetAdminConcatenada!$A:$A=DX$2)*(AsistenciaJetAdminConcatenada!$B:$B=DX$1), 0)), 1))),  0.5, 0))</f>
        <v>0</v>
      </c>
      <c r="DY40" s="47">
        <f t="array" ref="DY40">IF(AND(ISNUMBER(MATCH(DY$2, AsistenciaJetAdminConcatenada!$A:$A, 0)), ISNUMBER(MATCH(DY$1, AsistenciaJetAdminConcatenada!$B:$B, 0)), ISNUMBER(SEARCH($A40,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ISNUMBER(SEARCH($A40, INDEX(AsistenciaJetAdminConcatenada!$D:$D, MATCH(1, (AsistenciaJetAdminConcatenada!$A:$A=DY$2)*(AsistenciaJetAdminConcatenada!$B:$B=DY$1), 0)), 1))),  0.5, 0))</f>
        <v>0</v>
      </c>
      <c r="DZ40" s="47">
        <f t="array" ref="DZ40">IF(AND(ISNUMBER(MATCH(DZ$2, AsistenciaJetAdminConcatenada!$A:$A, 0)), ISNUMBER(MATCH(DZ$1, AsistenciaJetAdminConcatenada!$B:$B, 0)), ISNUMBER(SEARCH($A40,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ISNUMBER(SEARCH($A40, INDEX(AsistenciaJetAdminConcatenada!$D:$D, MATCH(1, (AsistenciaJetAdminConcatenada!$A:$A=DZ$2)*(AsistenciaJetAdminConcatenada!$B:$B=DZ$1), 0)), 1))),  0.5, 0))</f>
        <v>0</v>
      </c>
      <c r="EA40" s="47">
        <f t="array" ref="EA40">IF(AND(ISNUMBER(MATCH(EA$2, AsistenciaJetAdminConcatenada!$A:$A, 0)), ISNUMBER(MATCH(EA$1, AsistenciaJetAdminConcatenada!$B:$B, 0)), ISNUMBER(SEARCH($A40,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ISNUMBER(SEARCH($A40, INDEX(AsistenciaJetAdminConcatenada!$D:$D, MATCH(1, (AsistenciaJetAdminConcatenada!$A:$A=EA$2)*(AsistenciaJetAdminConcatenada!$B:$B=EA$1), 0)), 1))),  0.5, 0))</f>
        <v>0</v>
      </c>
      <c r="EB40" s="47">
        <f t="array" ref="EB40">IF(AND(ISNUMBER(MATCH(EB$2, AsistenciaJetAdminConcatenada!$A:$A, 0)), ISNUMBER(MATCH(EB$1, AsistenciaJetAdminConcatenada!$B:$B, 0)), ISNUMBER(SEARCH($A40,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ISNUMBER(SEARCH($A40, INDEX(AsistenciaJetAdminConcatenada!$D:$D, MATCH(1, (AsistenciaJetAdminConcatenada!$A:$A=EB$2)*(AsistenciaJetAdminConcatenada!$B:$B=EB$1), 0)), 1))),  0.5, 0))</f>
        <v>0</v>
      </c>
      <c r="EC40" s="47">
        <f t="array" ref="EC40">IF(AND(ISNUMBER(MATCH(EC$2, AsistenciaJetAdminConcatenada!$A:$A, 0)), ISNUMBER(MATCH(EC$1, AsistenciaJetAdminConcatenada!$B:$B, 0)), ISNUMBER(SEARCH($A40,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ISNUMBER(SEARCH($A40, INDEX(AsistenciaJetAdminConcatenada!$D:$D, MATCH(1, (AsistenciaJetAdminConcatenada!$A:$A=EC$2)*(AsistenciaJetAdminConcatenada!$B:$B=EC$1), 0)), 1))),  0.5, 0))</f>
        <v>0</v>
      </c>
      <c r="ED40" s="47">
        <f t="array" ref="ED40">IF(AND(ISNUMBER(MATCH(ED$2, AsistenciaJetAdminConcatenada!$A:$A, 0)), ISNUMBER(MATCH(ED$1, AsistenciaJetAdminConcatenada!$B:$B, 0)), ISNUMBER(SEARCH($A40,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ISNUMBER(SEARCH($A40, INDEX(AsistenciaJetAdminConcatenada!$D:$D, MATCH(1, (AsistenciaJetAdminConcatenada!$A:$A=ED$2)*(AsistenciaJetAdminConcatenada!$B:$B=ED$1), 0)), 1))),  0.5, 0))</f>
        <v>0</v>
      </c>
      <c r="EE40" s="47">
        <f t="array" ref="EE40">IF(AND(ISNUMBER(MATCH(EE$2, AsistenciaJetAdminConcatenada!$A:$A, 0)), ISNUMBER(MATCH(EE$1, AsistenciaJetAdminConcatenada!$B:$B, 0)), ISNUMBER(SEARCH($A40,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ISNUMBER(SEARCH($A40, INDEX(AsistenciaJetAdminConcatenada!$D:$D, MATCH(1, (AsistenciaJetAdminConcatenada!$A:$A=EE$2)*(AsistenciaJetAdminConcatenada!$B:$B=EE$1), 0)), 1))),  0.5, 0))</f>
        <v>0</v>
      </c>
      <c r="EF40" s="47">
        <f t="array" ref="EF40">IF(AND(ISNUMBER(MATCH(EF$2, AsistenciaJetAdminConcatenada!$A:$A, 0)), ISNUMBER(MATCH(EF$1, AsistenciaJetAdminConcatenada!$B:$B, 0)), ISNUMBER(SEARCH($A40,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ISNUMBER(SEARCH($A40, INDEX(AsistenciaJetAdminConcatenada!$D:$D, MATCH(1, (AsistenciaJetAdminConcatenada!$A:$A=EF$2)*(AsistenciaJetAdminConcatenada!$B:$B=EF$1), 0)), 1))),  0.5, 0))</f>
        <v>0</v>
      </c>
      <c r="EG40" s="47">
        <f t="array" ref="EG40">IF(AND(ISNUMBER(MATCH(EG$2, AsistenciaJetAdminConcatenada!$A:$A, 0)), ISNUMBER(MATCH(EG$1, AsistenciaJetAdminConcatenada!$B:$B, 0)), ISNUMBER(SEARCH($A40,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ISNUMBER(SEARCH($A40, INDEX(AsistenciaJetAdminConcatenada!$D:$D, MATCH(1, (AsistenciaJetAdminConcatenada!$A:$A=EG$2)*(AsistenciaJetAdminConcatenada!$B:$B=EG$1), 0)), 1))),  0.5, 0))</f>
        <v>0</v>
      </c>
      <c r="EH40" s="47">
        <f t="array" ref="EH40">IF(AND(ISNUMBER(MATCH(EH$2, AsistenciaJetAdminConcatenada!$A:$A, 0)), ISNUMBER(MATCH(EH$1, AsistenciaJetAdminConcatenada!$B:$B, 0)), ISNUMBER(SEARCH($A40,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ISNUMBER(SEARCH($A40, INDEX(AsistenciaJetAdminConcatenada!$D:$D, MATCH(1, (AsistenciaJetAdminConcatenada!$A:$A=EH$2)*(AsistenciaJetAdminConcatenada!$B:$B=EH$1), 0)), 1))),  0.5, 0))</f>
        <v>0</v>
      </c>
      <c r="EI40" s="47">
        <f t="array" ref="EI40">IF(AND(ISNUMBER(MATCH(EI$2, AsistenciaJetAdminConcatenada!$A:$A, 0)), ISNUMBER(MATCH(EI$1, AsistenciaJetAdminConcatenada!$B:$B, 0)), ISNUMBER(SEARCH($A40,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ISNUMBER(SEARCH($A40, INDEX(AsistenciaJetAdminConcatenada!$D:$D, MATCH(1, (AsistenciaJetAdminConcatenada!$A:$A=EI$2)*(AsistenciaJetAdminConcatenada!$B:$B=EI$1), 0)), 1))),  0.5, 0))</f>
        <v>0</v>
      </c>
      <c r="EJ40" s="47">
        <f t="array" ref="EJ40">IF(AND(ISNUMBER(MATCH(EJ$2, AsistenciaJetAdminConcatenada!$A:$A, 0)), ISNUMBER(MATCH(EJ$1, AsistenciaJetAdminConcatenada!$B:$B, 0)), ISNUMBER(SEARCH($A40,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ISNUMBER(SEARCH($A40, INDEX(AsistenciaJetAdminConcatenada!$D:$D, MATCH(1, (AsistenciaJetAdminConcatenada!$A:$A=EJ$2)*(AsistenciaJetAdminConcatenada!$B:$B=EJ$1), 0)), 1))),  0.5, 0))</f>
        <v>0</v>
      </c>
      <c r="EK40" s="47">
        <f t="array" ref="EK40">IF(AND(ISNUMBER(MATCH(EK$2, AsistenciaJetAdminConcatenada!$A:$A, 0)), ISNUMBER(MATCH(EK$1, AsistenciaJetAdminConcatenada!$B:$B, 0)), ISNUMBER(SEARCH($A40,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ISNUMBER(SEARCH($A40, INDEX(AsistenciaJetAdminConcatenada!$D:$D, MATCH(1, (AsistenciaJetAdminConcatenada!$A:$A=EK$2)*(AsistenciaJetAdminConcatenada!$B:$B=EK$1), 0)), 1))),  0.5, 0))</f>
        <v>0</v>
      </c>
      <c r="EL40" s="47">
        <f t="array" ref="EL40">IF(AND(ISNUMBER(MATCH(EL$2, AsistenciaJetAdminConcatenada!$A:$A, 0)), ISNUMBER(MATCH(EL$1, AsistenciaJetAdminConcatenada!$B:$B, 0)), ISNUMBER(SEARCH($A40,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ISNUMBER(SEARCH($A40, INDEX(AsistenciaJetAdminConcatenada!$D:$D, MATCH(1, (AsistenciaJetAdminConcatenada!$A:$A=EL$2)*(AsistenciaJetAdminConcatenada!$B:$B=EL$1), 0)), 1))),  0.5, 0))</f>
        <v>0</v>
      </c>
      <c r="EM40" s="47">
        <f t="array" ref="EM40">IF(AND(ISNUMBER(MATCH(EM$2, AsistenciaJetAdminConcatenada!$A:$A, 0)), ISNUMBER(MATCH(EM$1, AsistenciaJetAdminConcatenada!$B:$B, 0)), ISNUMBER(SEARCH($A40,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ISNUMBER(SEARCH($A40, INDEX(AsistenciaJetAdminConcatenada!$D:$D, MATCH(1, (AsistenciaJetAdminConcatenada!$A:$A=EM$2)*(AsistenciaJetAdminConcatenada!$B:$B=EM$1), 0)), 1))),  0.5, 0))</f>
        <v>0</v>
      </c>
      <c r="EN40" s="47">
        <f t="array" ref="EN40">IF(AND(ISNUMBER(MATCH(EN$2, AsistenciaJetAdminConcatenada!$A:$A, 0)), ISNUMBER(MATCH(EN$1, AsistenciaJetAdminConcatenada!$B:$B, 0)), ISNUMBER(SEARCH($A40,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ISNUMBER(SEARCH($A40, INDEX(AsistenciaJetAdminConcatenada!$D:$D, MATCH(1, (AsistenciaJetAdminConcatenada!$A:$A=EN$2)*(AsistenciaJetAdminConcatenada!$B:$B=EN$1), 0)), 1))),  0.5, 0))</f>
        <v>0</v>
      </c>
      <c r="EO40" s="47">
        <f t="array" ref="EO40">IF(AND(ISNUMBER(MATCH(EO$2, AsistenciaJetAdminConcatenada!$A:$A, 0)), ISNUMBER(MATCH(EO$1, AsistenciaJetAdminConcatenada!$B:$B, 0)), ISNUMBER(SEARCH($A40,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ISNUMBER(SEARCH($A40, INDEX(AsistenciaJetAdminConcatenada!$D:$D, MATCH(1, (AsistenciaJetAdminConcatenada!$A:$A=EO$2)*(AsistenciaJetAdminConcatenada!$B:$B=EO$1), 0)), 1))),  0.5, 0))</f>
        <v>0</v>
      </c>
      <c r="EP40" s="47">
        <f t="array" ref="EP40">IF(AND(ISNUMBER(MATCH(EP$2, AsistenciaJetAdminConcatenada!$A:$A, 0)), ISNUMBER(MATCH(EP$1, AsistenciaJetAdminConcatenada!$B:$B, 0)), ISNUMBER(SEARCH($A40,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ISNUMBER(SEARCH($A40, INDEX(AsistenciaJetAdminConcatenada!$D:$D, MATCH(1, (AsistenciaJetAdminConcatenada!$A:$A=EP$2)*(AsistenciaJetAdminConcatenada!$B:$B=EP$1), 0)), 1))),  0.5, 0))</f>
        <v>0</v>
      </c>
      <c r="EQ40" s="47">
        <f t="array" ref="EQ40">IF(AND(ISNUMBER(MATCH(EQ$2, AsistenciaJetAdminConcatenada!$A:$A, 0)), ISNUMBER(MATCH(EQ$1, AsistenciaJetAdminConcatenada!$B:$B, 0)), ISNUMBER(SEARCH($A40,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ISNUMBER(SEARCH($A40, INDEX(AsistenciaJetAdminConcatenada!$D:$D, MATCH(1, (AsistenciaJetAdminConcatenada!$A:$A=EQ$2)*(AsistenciaJetAdminConcatenada!$B:$B=EQ$1), 0)), 1))),  0.5, 0))</f>
        <v>0</v>
      </c>
      <c r="ER40" s="47">
        <f t="array" ref="ER40">IF(AND(ISNUMBER(MATCH(ER$2, AsistenciaJetAdminConcatenada!$A:$A, 0)), ISNUMBER(MATCH(ER$1, AsistenciaJetAdminConcatenada!$B:$B, 0)), ISNUMBER(SEARCH($A40,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ISNUMBER(SEARCH($A40, INDEX(AsistenciaJetAdminConcatenada!$D:$D, MATCH(1, (AsistenciaJetAdminConcatenada!$A:$A=ER$2)*(AsistenciaJetAdminConcatenada!$B:$B=ER$1), 0)), 1))),  0.5, 0))</f>
        <v>0</v>
      </c>
      <c r="ES40" s="47">
        <f t="array" ref="ES40">IF(AND(ISNUMBER(MATCH(ES$2, AsistenciaJetAdminConcatenada!$A:$A, 0)), ISNUMBER(MATCH(ES$1, AsistenciaJetAdminConcatenada!$B:$B, 0)), ISNUMBER(SEARCH($A40,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ISNUMBER(SEARCH($A40, INDEX(AsistenciaJetAdminConcatenada!$D:$D, MATCH(1, (AsistenciaJetAdminConcatenada!$A:$A=ES$2)*(AsistenciaJetAdminConcatenada!$B:$B=ES$1), 0)), 1))),  0.5, 0))</f>
        <v>0</v>
      </c>
      <c r="ET40" s="47">
        <f t="array" ref="ET40">IF(AND(ISNUMBER(MATCH(ET$2, AsistenciaJetAdminConcatenada!$A:$A, 0)), ISNUMBER(MATCH(ET$1, AsistenciaJetAdminConcatenada!$B:$B, 0)), ISNUMBER(SEARCH($A40,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ISNUMBER(SEARCH($A40, INDEX(AsistenciaJetAdminConcatenada!$D:$D, MATCH(1, (AsistenciaJetAdminConcatenada!$A:$A=ET$2)*(AsistenciaJetAdminConcatenada!$B:$B=ET$1), 0)), 1))),  0.5, 0))</f>
        <v>0</v>
      </c>
      <c r="EU40" s="47">
        <f t="array" ref="EU40">IF(AND(ISNUMBER(MATCH(EU$2, AsistenciaJetAdminConcatenada!$A:$A, 0)), ISNUMBER(MATCH(EU$1, AsistenciaJetAdminConcatenada!$B:$B, 0)), ISNUMBER(SEARCH($A40,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ISNUMBER(SEARCH($A40, INDEX(AsistenciaJetAdminConcatenada!$D:$D, MATCH(1, (AsistenciaJetAdminConcatenada!$A:$A=EU$2)*(AsistenciaJetAdminConcatenada!$B:$B=EU$1), 0)), 1))),  0.5, 0))</f>
        <v>0</v>
      </c>
      <c r="EV40" s="47">
        <f t="array" ref="EV40">IF(AND(ISNUMBER(MATCH(EV$2, AsistenciaJetAdminConcatenada!$A:$A, 0)), ISNUMBER(MATCH(EV$1, AsistenciaJetAdminConcatenada!$B:$B, 0)), ISNUMBER(SEARCH($A40,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ISNUMBER(SEARCH($A40, INDEX(AsistenciaJetAdminConcatenada!$D:$D, MATCH(1, (AsistenciaJetAdminConcatenada!$A:$A=EV$2)*(AsistenciaJetAdminConcatenada!$B:$B=EV$1), 0)), 1))),  0.5, 0))</f>
        <v>0</v>
      </c>
      <c r="EW40" s="47">
        <f t="array" ref="EW40">IF(AND(ISNUMBER(MATCH(EW$2, AsistenciaJetAdminConcatenada!$A:$A, 0)), ISNUMBER(MATCH(EW$1, AsistenciaJetAdminConcatenada!$B:$B, 0)), ISNUMBER(SEARCH($A40,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ISNUMBER(SEARCH($A40, INDEX(AsistenciaJetAdminConcatenada!$D:$D, MATCH(1, (AsistenciaJetAdminConcatenada!$A:$A=EW$2)*(AsistenciaJetAdminConcatenada!$B:$B=EW$1), 0)), 1))),  0.5, 0))</f>
        <v>0</v>
      </c>
      <c r="EX40" s="47">
        <f t="array" ref="EX40">IF(AND(ISNUMBER(MATCH(EX$2, AsistenciaJetAdminConcatenada!$A:$A, 0)), ISNUMBER(MATCH(EX$1, AsistenciaJetAdminConcatenada!$B:$B, 0)), ISNUMBER(SEARCH($A40,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ISNUMBER(SEARCH($A40, INDEX(AsistenciaJetAdminConcatenada!$D:$D, MATCH(1, (AsistenciaJetAdminConcatenada!$A:$A=EX$2)*(AsistenciaJetAdminConcatenada!$B:$B=EX$1), 0)), 1))),  0.5, 0))</f>
        <v>0</v>
      </c>
      <c r="EY40" s="47">
        <f t="array" ref="EY40">IF(AND(ISNUMBER(MATCH(EY$2, AsistenciaJetAdminConcatenada!$A:$A, 0)), ISNUMBER(MATCH(EY$1, AsistenciaJetAdminConcatenada!$B:$B, 0)), ISNUMBER(SEARCH($A40,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ISNUMBER(SEARCH($A40, INDEX(AsistenciaJetAdminConcatenada!$D:$D, MATCH(1, (AsistenciaJetAdminConcatenada!$A:$A=EY$2)*(AsistenciaJetAdminConcatenada!$B:$B=EY$1), 0)), 1))),  0.5, 0))</f>
        <v>0</v>
      </c>
      <c r="EZ40" s="47">
        <f t="array" ref="EZ40">IF(AND(ISNUMBER(MATCH(EZ$2, AsistenciaJetAdminConcatenada!$A:$A, 0)), ISNUMBER(MATCH(EZ$1, AsistenciaJetAdminConcatenada!$B:$B, 0)), ISNUMBER(SEARCH($A40,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ISNUMBER(SEARCH($A40, INDEX(AsistenciaJetAdminConcatenada!$D:$D, MATCH(1, (AsistenciaJetAdminConcatenada!$A:$A=EZ$2)*(AsistenciaJetAdminConcatenada!$B:$B=EZ$1), 0)), 1))),  0.5, 0))</f>
        <v>0</v>
      </c>
      <c r="FA40" s="47">
        <f t="array" ref="FA40">IF(AND(ISNUMBER(MATCH(FA$2, AsistenciaJetAdminConcatenada!$A:$A, 0)), ISNUMBER(MATCH(FA$1, AsistenciaJetAdminConcatenada!$B:$B, 0)), ISNUMBER(SEARCH($A40,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ISNUMBER(SEARCH($A40, INDEX(AsistenciaJetAdminConcatenada!$D:$D, MATCH(1, (AsistenciaJetAdminConcatenada!$A:$A=FA$2)*(AsistenciaJetAdminConcatenada!$B:$B=FA$1), 0)), 1))),  0.5, 0))</f>
        <v>0</v>
      </c>
      <c r="FB40" s="47">
        <f t="array" ref="FB40">IF(AND(ISNUMBER(MATCH(FB$2, AsistenciaJetAdminConcatenada!$A:$A, 0)), ISNUMBER(MATCH(FB$1, AsistenciaJetAdminConcatenada!$B:$B, 0)), ISNUMBER(SEARCH($A40,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ISNUMBER(SEARCH($A40, INDEX(AsistenciaJetAdminConcatenada!$D:$D, MATCH(1, (AsistenciaJetAdminConcatenada!$A:$A=FB$2)*(AsistenciaJetAdminConcatenada!$B:$B=FB$1), 0)), 1))),  0.5, 0))</f>
        <v>0</v>
      </c>
      <c r="FC40" s="47">
        <f t="array" ref="FC40">IF(AND(ISNUMBER(MATCH(FC$2, AsistenciaJetAdminConcatenada!$A:$A, 0)), ISNUMBER(MATCH(FC$1, AsistenciaJetAdminConcatenada!$B:$B, 0)), ISNUMBER(SEARCH($A40,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ISNUMBER(SEARCH($A40, INDEX(AsistenciaJetAdminConcatenada!$D:$D, MATCH(1, (AsistenciaJetAdminConcatenada!$A:$A=FC$2)*(AsistenciaJetAdminConcatenada!$B:$B=FC$1), 0)), 1))),  0.5, 0))</f>
        <v>0</v>
      </c>
      <c r="FD40" s="47">
        <f t="array" ref="FD40">IF(AND(ISNUMBER(MATCH(FD$2, AsistenciaJetAdminConcatenada!$A:$A, 0)), ISNUMBER(MATCH(FD$1, AsistenciaJetAdminConcatenada!$B:$B, 0)), ISNUMBER(SEARCH($A40,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ISNUMBER(SEARCH($A40, INDEX(AsistenciaJetAdminConcatenada!$D:$D, MATCH(1, (AsistenciaJetAdminConcatenada!$A:$A=FD$2)*(AsistenciaJetAdminConcatenada!$B:$B=FD$1), 0)), 1))),  0.5, 0))</f>
        <v>0</v>
      </c>
      <c r="FE40" s="47">
        <f t="array" ref="FE40">IF(AND(ISNUMBER(MATCH(FE$2, AsistenciaJetAdminConcatenada!$A:$A, 0)), ISNUMBER(MATCH(FE$1, AsistenciaJetAdminConcatenada!$B:$B, 0)), ISNUMBER(SEARCH($A40,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ISNUMBER(SEARCH($A40, INDEX(AsistenciaJetAdminConcatenada!$D:$D, MATCH(1, (AsistenciaJetAdminConcatenada!$A:$A=FE$2)*(AsistenciaJetAdminConcatenada!$B:$B=FE$1), 0)), 1))),  0.5, 0))</f>
        <v>0</v>
      </c>
      <c r="FF40" s="47">
        <f t="array" ref="FF40">IF(AND(ISNUMBER(MATCH(FF$2, AsistenciaJetAdminConcatenada!$A:$A, 0)), ISNUMBER(MATCH(FF$1, AsistenciaJetAdminConcatenada!$B:$B, 0)), ISNUMBER(SEARCH($A40,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ISNUMBER(SEARCH($A40, INDEX(AsistenciaJetAdminConcatenada!$D:$D, MATCH(1, (AsistenciaJetAdminConcatenada!$A:$A=FF$2)*(AsistenciaJetAdminConcatenada!$B:$B=FF$1), 0)), 1))),  0.5, 0))</f>
        <v>0</v>
      </c>
      <c r="FG40" s="47">
        <f t="array" ref="FG40">IF(AND(ISNUMBER(MATCH(FG$2, AsistenciaJetAdminConcatenada!$A:$A, 0)), ISNUMBER(MATCH(FG$1, AsistenciaJetAdminConcatenada!$B:$B, 0)), ISNUMBER(SEARCH($A40,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ISNUMBER(SEARCH($A40, INDEX(AsistenciaJetAdminConcatenada!$D:$D, MATCH(1, (AsistenciaJetAdminConcatenada!$A:$A=FG$2)*(AsistenciaJetAdminConcatenada!$B:$B=FG$1), 0)), 1))),  0.5, 0))</f>
        <v>0</v>
      </c>
      <c r="FH40" s="47">
        <f t="array" ref="FH40">IF(AND(ISNUMBER(MATCH(FH$2, AsistenciaJetAdminConcatenada!$A:$A, 0)), ISNUMBER(MATCH(FH$1, AsistenciaJetAdminConcatenada!$B:$B, 0)), ISNUMBER(SEARCH($A40,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ISNUMBER(SEARCH($A40, INDEX(AsistenciaJetAdminConcatenada!$D:$D, MATCH(1, (AsistenciaJetAdminConcatenada!$A:$A=FH$2)*(AsistenciaJetAdminConcatenada!$B:$B=FH$1), 0)), 1))),  0.5, 0))</f>
        <v>0</v>
      </c>
      <c r="FI40" s="47">
        <f t="array" ref="FI40">IF(AND(ISNUMBER(MATCH(FI$2, AsistenciaJetAdminConcatenada!$A:$A, 0)), ISNUMBER(MATCH(FI$1, AsistenciaJetAdminConcatenada!$B:$B, 0)), ISNUMBER(SEARCH($A40,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ISNUMBER(SEARCH($A40, INDEX(AsistenciaJetAdminConcatenada!$D:$D, MATCH(1, (AsistenciaJetAdminConcatenada!$A:$A=FI$2)*(AsistenciaJetAdminConcatenada!$B:$B=FI$1), 0)), 1))),  0.5, 0))</f>
        <v>0</v>
      </c>
      <c r="FJ40" s="47">
        <f t="array" ref="FJ40">IF(AND(ISNUMBER(MATCH(FJ$2, AsistenciaJetAdminConcatenada!$A:$A, 0)), ISNUMBER(MATCH(FJ$1, AsistenciaJetAdminConcatenada!$B:$B, 0)), ISNUMBER(SEARCH($A40,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ISNUMBER(SEARCH($A40, INDEX(AsistenciaJetAdminConcatenada!$D:$D, MATCH(1, (AsistenciaJetAdminConcatenada!$A:$A=FJ$2)*(AsistenciaJetAdminConcatenada!$B:$B=FJ$1), 0)), 1))),  0.5, 0))</f>
        <v>0</v>
      </c>
      <c r="FK40" s="47">
        <f t="array" ref="FK40">IF(AND(ISNUMBER(MATCH(FK$2, AsistenciaJetAdminConcatenada!$A:$A, 0)), ISNUMBER(MATCH(FK$1, AsistenciaJetAdminConcatenada!$B:$B, 0)), ISNUMBER(SEARCH($A40,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ISNUMBER(SEARCH($A40, INDEX(AsistenciaJetAdminConcatenada!$D:$D, MATCH(1, (AsistenciaJetAdminConcatenada!$A:$A=FK$2)*(AsistenciaJetAdminConcatenada!$B:$B=FK$1), 0)), 1))),  0.5, 0))</f>
        <v>0</v>
      </c>
      <c r="FL40" s="47">
        <f t="array" ref="FL40">IF(AND(ISNUMBER(MATCH(FL$2, AsistenciaJetAdminConcatenada!$A:$A, 0)), ISNUMBER(MATCH(FL$1, AsistenciaJetAdminConcatenada!$B:$B, 0)), ISNUMBER(SEARCH($A40,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ISNUMBER(SEARCH($A40, INDEX(AsistenciaJetAdminConcatenada!$D:$D, MATCH(1, (AsistenciaJetAdminConcatenada!$A:$A=FL$2)*(AsistenciaJetAdminConcatenada!$B:$B=FL$1), 0)), 1))),  0.5, 0))</f>
        <v>0</v>
      </c>
      <c r="FM40" s="47">
        <f t="array" ref="FM40">IF(AND(ISNUMBER(MATCH(FM$2, AsistenciaJetAdminConcatenada!$A:$A, 0)), ISNUMBER(MATCH(FM$1, AsistenciaJetAdminConcatenada!$B:$B, 0)), ISNUMBER(SEARCH($A40,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ISNUMBER(SEARCH($A40, INDEX(AsistenciaJetAdminConcatenada!$D:$D, MATCH(1, (AsistenciaJetAdminConcatenada!$A:$A=FM$2)*(AsistenciaJetAdminConcatenada!$B:$B=FM$1), 0)), 1))),  0.5, 0))</f>
        <v>0</v>
      </c>
      <c r="FN40" s="47">
        <f t="array" ref="FN40">IF(AND(ISNUMBER(MATCH(FN$2, AsistenciaJetAdminConcatenada!$A:$A, 0)), ISNUMBER(MATCH(FN$1, AsistenciaJetAdminConcatenada!$B:$B, 0)), ISNUMBER(SEARCH($A40,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ISNUMBER(SEARCH($A40, INDEX(AsistenciaJetAdminConcatenada!$D:$D, MATCH(1, (AsistenciaJetAdminConcatenada!$A:$A=FN$2)*(AsistenciaJetAdminConcatenada!$B:$B=FN$1), 0)), 1))),  0.5, 0))</f>
        <v>0</v>
      </c>
      <c r="FO40" s="47">
        <f t="array" ref="FO40">IF(AND(ISNUMBER(MATCH(FO$2, AsistenciaJetAdminConcatenada!$A:$A, 0)), ISNUMBER(MATCH(FO$1, AsistenciaJetAdminConcatenada!$B:$B, 0)), ISNUMBER(SEARCH($A40,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ISNUMBER(SEARCH($A40, INDEX(AsistenciaJetAdminConcatenada!$D:$D, MATCH(1, (AsistenciaJetAdminConcatenada!$A:$A=FO$2)*(AsistenciaJetAdminConcatenada!$B:$B=FO$1), 0)), 1))),  0.5, 0))</f>
        <v>0</v>
      </c>
      <c r="FP40" s="47">
        <f t="array" ref="FP40">IF(AND(ISNUMBER(MATCH(FP$2, AsistenciaJetAdminConcatenada!$A:$A, 0)), ISNUMBER(MATCH(FP$1, AsistenciaJetAdminConcatenada!$B:$B, 0)), ISNUMBER(SEARCH($A40,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ISNUMBER(SEARCH($A40, INDEX(AsistenciaJetAdminConcatenada!$D:$D, MATCH(1, (AsistenciaJetAdminConcatenada!$A:$A=FP$2)*(AsistenciaJetAdminConcatenada!$B:$B=FP$1), 0)), 1))),  0.5, 0))</f>
        <v>0</v>
      </c>
      <c r="FQ40" s="47">
        <f t="array" ref="FQ40">IF(AND(ISNUMBER(MATCH(FQ$2, AsistenciaJetAdminConcatenada!$A:$A, 0)), ISNUMBER(MATCH(FQ$1, AsistenciaJetAdminConcatenada!$B:$B, 0)), ISNUMBER(SEARCH($A40,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ISNUMBER(SEARCH($A40, INDEX(AsistenciaJetAdminConcatenada!$D:$D, MATCH(1, (AsistenciaJetAdminConcatenada!$A:$A=FQ$2)*(AsistenciaJetAdminConcatenada!$B:$B=FQ$1), 0)), 1))),  0.5, 0))</f>
        <v>0</v>
      </c>
      <c r="FR40" s="47">
        <f t="array" ref="FR40">IF(AND(ISNUMBER(MATCH(FR$2, AsistenciaJetAdminConcatenada!$A:$A, 0)), ISNUMBER(MATCH(FR$1, AsistenciaJetAdminConcatenada!$B:$B, 0)), ISNUMBER(SEARCH($A40,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ISNUMBER(SEARCH($A40, INDEX(AsistenciaJetAdminConcatenada!$D:$D, MATCH(1, (AsistenciaJetAdminConcatenada!$A:$A=FR$2)*(AsistenciaJetAdminConcatenada!$B:$B=FR$1), 0)), 1))),  0.5, 0))</f>
        <v>0</v>
      </c>
      <c r="FS40" s="47">
        <f t="array" ref="FS40">IF(AND(ISNUMBER(MATCH(FS$2, AsistenciaJetAdminConcatenada!$A:$A, 0)), ISNUMBER(MATCH(FS$1, AsistenciaJetAdminConcatenada!$B:$B, 0)), ISNUMBER(SEARCH($A40,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ISNUMBER(SEARCH($A40, INDEX(AsistenciaJetAdminConcatenada!$D:$D, MATCH(1, (AsistenciaJetAdminConcatenada!$A:$A=FS$2)*(AsistenciaJetAdminConcatenada!$B:$B=FS$1), 0)), 1))),  0.5, 0))</f>
        <v>0</v>
      </c>
      <c r="FT40" s="47">
        <f t="array" ref="FT40">IF(AND(ISNUMBER(MATCH(FT$2, AsistenciaJetAdminConcatenada!$A:$A, 0)), ISNUMBER(MATCH(FT$1, AsistenciaJetAdminConcatenada!$B:$B, 0)), ISNUMBER(SEARCH($A40,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ISNUMBER(SEARCH($A40, INDEX(AsistenciaJetAdminConcatenada!$D:$D, MATCH(1, (AsistenciaJetAdminConcatenada!$A:$A=FT$2)*(AsistenciaJetAdminConcatenada!$B:$B=FT$1), 0)), 1))),  0.5, 0))</f>
        <v>0</v>
      </c>
      <c r="FU40" s="47">
        <f t="array" ref="FU40">IF(AND(ISNUMBER(MATCH(FU$2, AsistenciaJetAdminConcatenada!$A:$A, 0)), ISNUMBER(MATCH(FU$1, AsistenciaJetAdminConcatenada!$B:$B, 0)), ISNUMBER(SEARCH($A40,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ISNUMBER(SEARCH($A40, INDEX(AsistenciaJetAdminConcatenada!$D:$D, MATCH(1, (AsistenciaJetAdminConcatenada!$A:$A=FU$2)*(AsistenciaJetAdminConcatenada!$B:$B=FU$1), 0)), 1))),  0.5, 0))</f>
        <v>0</v>
      </c>
      <c r="FV40" s="47">
        <f t="array" ref="FV40">IF(AND(ISNUMBER(MATCH(FV$2, AsistenciaJetAdminConcatenada!$A:$A, 0)), ISNUMBER(MATCH(FV$1, AsistenciaJetAdminConcatenada!$B:$B, 0)), ISNUMBER(SEARCH($A40,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ISNUMBER(SEARCH($A40, INDEX(AsistenciaJetAdminConcatenada!$D:$D, MATCH(1, (AsistenciaJetAdminConcatenada!$A:$A=FV$2)*(AsistenciaJetAdminConcatenada!$B:$B=FV$1), 0)), 1))),  0.5, 0))</f>
        <v>0</v>
      </c>
      <c r="FW40" s="47">
        <f t="array" ref="FW40">IF(AND(ISNUMBER(MATCH(FW$2, AsistenciaJetAdminConcatenada!$A:$A, 0)), ISNUMBER(MATCH(FW$1, AsistenciaJetAdminConcatenada!$B:$B, 0)), ISNUMBER(SEARCH($A40,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ISNUMBER(SEARCH($A40, INDEX(AsistenciaJetAdminConcatenada!$D:$D, MATCH(1, (AsistenciaJetAdminConcatenada!$A:$A=FW$2)*(AsistenciaJetAdminConcatenada!$B:$B=FW$1), 0)), 1))),  0.5, 0))</f>
        <v>0</v>
      </c>
      <c r="FX40" s="47">
        <f t="array" ref="FX40">IF(AND(ISNUMBER(MATCH(FX$2, AsistenciaJetAdminConcatenada!$A:$A, 0)), ISNUMBER(MATCH(FX$1, AsistenciaJetAdminConcatenada!$B:$B, 0)), ISNUMBER(SEARCH($A40,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ISNUMBER(SEARCH($A40, INDEX(AsistenciaJetAdminConcatenada!$D:$D, MATCH(1, (AsistenciaJetAdminConcatenada!$A:$A=FX$2)*(AsistenciaJetAdminConcatenada!$B:$B=FX$1), 0)), 1))),  0.5, 0))</f>
        <v>0</v>
      </c>
      <c r="FY40" s="47">
        <f t="array" ref="FY40">IF(AND(ISNUMBER(MATCH(FY$2, AsistenciaJetAdminConcatenada!$A:$A, 0)), ISNUMBER(MATCH(FY$1, AsistenciaJetAdminConcatenada!$B:$B, 0)), ISNUMBER(SEARCH($A40,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ISNUMBER(SEARCH($A40, INDEX(AsistenciaJetAdminConcatenada!$D:$D, MATCH(1, (AsistenciaJetAdminConcatenada!$A:$A=FY$2)*(AsistenciaJetAdminConcatenada!$B:$B=FY$1), 0)), 1))),  0.5, 0))</f>
        <v>0</v>
      </c>
      <c r="FZ40" s="47">
        <f t="array" ref="FZ40">IF(AND(ISNUMBER(MATCH(FZ$2, AsistenciaJetAdminConcatenada!$A:$A, 0)), ISNUMBER(MATCH(FZ$1, AsistenciaJetAdminConcatenada!$B:$B, 0)), ISNUMBER(SEARCH($A40,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ISNUMBER(SEARCH($A40, INDEX(AsistenciaJetAdminConcatenada!$D:$D, MATCH(1, (AsistenciaJetAdminConcatenada!$A:$A=FZ$2)*(AsistenciaJetAdminConcatenada!$B:$B=FZ$1), 0)), 1))),  0.5, 0))</f>
        <v>0</v>
      </c>
      <c r="GA40" s="47">
        <f t="array" ref="GA40">IF(AND(ISNUMBER(MATCH(GA$2, AsistenciaJetAdminConcatenada!$A:$A, 0)), ISNUMBER(MATCH(GA$1, AsistenciaJetAdminConcatenada!$B:$B, 0)), ISNUMBER(SEARCH($A40,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ISNUMBER(SEARCH($A40, INDEX(AsistenciaJetAdminConcatenada!$D:$D, MATCH(1, (AsistenciaJetAdminConcatenada!$A:$A=GA$2)*(AsistenciaJetAdminConcatenada!$B:$B=GA$1), 0)), 1))),  0.5, 0))</f>
        <v>0</v>
      </c>
      <c r="GB40" s="47">
        <f t="array" ref="GB40">IF(AND(ISNUMBER(MATCH(GB$2, AsistenciaJetAdminConcatenada!$A:$A, 0)), ISNUMBER(MATCH(GB$1, AsistenciaJetAdminConcatenada!$B:$B, 0)), ISNUMBER(SEARCH($A40,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ISNUMBER(SEARCH($A40, INDEX(AsistenciaJetAdminConcatenada!$D:$D, MATCH(1, (AsistenciaJetAdminConcatenada!$A:$A=GB$2)*(AsistenciaJetAdminConcatenada!$B:$B=GB$1), 0)), 1))),  0.5, 0))</f>
        <v>0</v>
      </c>
      <c r="GC40" s="47">
        <f t="array" ref="GC40">IF(AND(ISNUMBER(MATCH(GC$2, AsistenciaJetAdminConcatenada!$A:$A, 0)), ISNUMBER(MATCH(GC$1, AsistenciaJetAdminConcatenada!$B:$B, 0)), ISNUMBER(SEARCH($A40,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ISNUMBER(SEARCH($A40, INDEX(AsistenciaJetAdminConcatenada!$D:$D, MATCH(1, (AsistenciaJetAdminConcatenada!$A:$A=GC$2)*(AsistenciaJetAdminConcatenada!$B:$B=GC$1), 0)), 1))),  0.5, 0))</f>
        <v>0</v>
      </c>
      <c r="GD40" s="47">
        <f t="array" ref="GD40">IF(AND(ISNUMBER(MATCH(GD$2, AsistenciaJetAdminConcatenada!$A:$A, 0)), ISNUMBER(MATCH(GD$1, AsistenciaJetAdminConcatenada!$B:$B, 0)), ISNUMBER(SEARCH($A40,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ISNUMBER(SEARCH($A40, INDEX(AsistenciaJetAdminConcatenada!$D:$D, MATCH(1, (AsistenciaJetAdminConcatenada!$A:$A=GD$2)*(AsistenciaJetAdminConcatenada!$B:$B=GD$1), 0)), 1))),  0.5, 0))</f>
        <v>0</v>
      </c>
      <c r="GE40" s="47">
        <f t="array" ref="GE40">IF(AND(ISNUMBER(MATCH(GE$2, AsistenciaJetAdminConcatenada!$A:$A, 0)), ISNUMBER(MATCH(GE$1, AsistenciaJetAdminConcatenada!$B:$B, 0)), ISNUMBER(SEARCH($A40,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ISNUMBER(SEARCH($A40, INDEX(AsistenciaJetAdminConcatenada!$D:$D, MATCH(1, (AsistenciaJetAdminConcatenada!$A:$A=GE$2)*(AsistenciaJetAdminConcatenada!$B:$B=GE$1), 0)), 1))),  0.5, 0))</f>
        <v>0</v>
      </c>
      <c r="GF40" s="47">
        <f t="array" ref="GF40">IF(AND(ISNUMBER(MATCH(GF$2, AsistenciaJetAdminConcatenada!$A:$A, 0)), ISNUMBER(MATCH(GF$1, AsistenciaJetAdminConcatenada!$B:$B, 0)), ISNUMBER(SEARCH($A40,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ISNUMBER(SEARCH($A40, INDEX(AsistenciaJetAdminConcatenada!$D:$D, MATCH(1, (AsistenciaJetAdminConcatenada!$A:$A=GF$2)*(AsistenciaJetAdminConcatenada!$B:$B=GF$1), 0)), 1))),  0.5, 0))</f>
        <v>0</v>
      </c>
      <c r="GG40" s="47">
        <f t="array" ref="GG40">IF(AND(ISNUMBER(MATCH(GG$2, AsistenciaJetAdminConcatenada!$A:$A, 0)), ISNUMBER(MATCH(GG$1, AsistenciaJetAdminConcatenada!$B:$B, 0)), ISNUMBER(SEARCH($A40,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ISNUMBER(SEARCH($A40, INDEX(AsistenciaJetAdminConcatenada!$D:$D, MATCH(1, (AsistenciaJetAdminConcatenada!$A:$A=GG$2)*(AsistenciaJetAdminConcatenada!$B:$B=GG$1), 0)), 1))),  0.5, 0))</f>
        <v>0</v>
      </c>
      <c r="GH40" s="47">
        <f t="array" ref="GH40">IF(AND(ISNUMBER(MATCH(GH$2, AsistenciaJetAdminConcatenada!$A:$A, 0)), ISNUMBER(MATCH(GH$1, AsistenciaJetAdminConcatenada!$B:$B, 0)), ISNUMBER(SEARCH($A40,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ISNUMBER(SEARCH($A40, INDEX(AsistenciaJetAdminConcatenada!$D:$D, MATCH(1, (AsistenciaJetAdminConcatenada!$A:$A=GH$2)*(AsistenciaJetAdminConcatenada!$B:$B=GH$1), 0)), 1))),  0.5, 0))</f>
        <v>0</v>
      </c>
      <c r="GI40" s="47">
        <f t="array" ref="GI40">IF(AND(ISNUMBER(MATCH(GI$2, AsistenciaJetAdminConcatenada!$A:$A, 0)), ISNUMBER(MATCH(GI$1, AsistenciaJetAdminConcatenada!$B:$B, 0)), ISNUMBER(SEARCH($A40,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ISNUMBER(SEARCH($A40, INDEX(AsistenciaJetAdminConcatenada!$D:$D, MATCH(1, (AsistenciaJetAdminConcatenada!$A:$A=GI$2)*(AsistenciaJetAdminConcatenada!$B:$B=GI$1), 0)), 1))),  0.5, 0))</f>
        <v>0</v>
      </c>
      <c r="GJ40" s="47">
        <f t="array" ref="GJ40">IF(AND(ISNUMBER(MATCH(GJ$2, AsistenciaJetAdminConcatenada!$A:$A, 0)), ISNUMBER(MATCH(GJ$1, AsistenciaJetAdminConcatenada!$B:$B, 0)), ISNUMBER(SEARCH($A40,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ISNUMBER(SEARCH($A40, INDEX(AsistenciaJetAdminConcatenada!$D:$D, MATCH(1, (AsistenciaJetAdminConcatenada!$A:$A=GJ$2)*(AsistenciaJetAdminConcatenada!$B:$B=GJ$1), 0)), 1))),  0.5, 0))</f>
        <v>0</v>
      </c>
      <c r="GK40" s="47">
        <f t="array" ref="GK40">IF(AND(ISNUMBER(MATCH(GK$2, AsistenciaJetAdminConcatenada!$A:$A, 0)), ISNUMBER(MATCH(GK$1, AsistenciaJetAdminConcatenada!$B:$B, 0)), ISNUMBER(SEARCH($A40,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ISNUMBER(SEARCH($A40, INDEX(AsistenciaJetAdminConcatenada!$D:$D, MATCH(1, (AsistenciaJetAdminConcatenada!$A:$A=GK$2)*(AsistenciaJetAdminConcatenada!$B:$B=GK$1), 0)), 1))),  0.5, 0))</f>
        <v>0</v>
      </c>
      <c r="GL40" s="47">
        <f t="array" ref="GL40">IF(AND(ISNUMBER(MATCH(GL$2, AsistenciaJetAdminConcatenada!$A:$A, 0)), ISNUMBER(MATCH(GL$1, AsistenciaJetAdminConcatenada!$B:$B, 0)), ISNUMBER(SEARCH($A40,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ISNUMBER(SEARCH($A40, INDEX(AsistenciaJetAdminConcatenada!$D:$D, MATCH(1, (AsistenciaJetAdminConcatenada!$A:$A=GL$2)*(AsistenciaJetAdminConcatenada!$B:$B=GL$1), 0)), 1))),  0.5, 0))</f>
        <v>0</v>
      </c>
      <c r="GM40" s="47">
        <f t="array" ref="GM40">IF(AND(ISNUMBER(MATCH(GM$2, AsistenciaJetAdminConcatenada!$A:$A, 0)), ISNUMBER(MATCH(GM$1, AsistenciaJetAdminConcatenada!$B:$B, 0)), ISNUMBER(SEARCH($A40,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ISNUMBER(SEARCH($A40, INDEX(AsistenciaJetAdminConcatenada!$D:$D, MATCH(1, (AsistenciaJetAdminConcatenada!$A:$A=GM$2)*(AsistenciaJetAdminConcatenada!$B:$B=GM$1), 0)), 1))),  0.5, 0))</f>
        <v>0</v>
      </c>
      <c r="GN40" s="47">
        <f t="array" ref="GN40">IF(AND(ISNUMBER(MATCH(GN$2, AsistenciaJetAdminConcatenada!$A:$A, 0)), ISNUMBER(MATCH(GN$1, AsistenciaJetAdminConcatenada!$B:$B, 0)), ISNUMBER(SEARCH($A40,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ISNUMBER(SEARCH($A40, INDEX(AsistenciaJetAdminConcatenada!$D:$D, MATCH(1, (AsistenciaJetAdminConcatenada!$A:$A=GN$2)*(AsistenciaJetAdminConcatenada!$B:$B=GN$1), 0)), 1))),  0.5, 0))</f>
        <v>0</v>
      </c>
      <c r="GO40" s="47">
        <f t="array" ref="GO40">IF(AND(ISNUMBER(MATCH(GO$2, AsistenciaJetAdminConcatenada!$A:$A, 0)), ISNUMBER(MATCH(GO$1, AsistenciaJetAdminConcatenada!$B:$B, 0)), ISNUMBER(SEARCH($A40,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ISNUMBER(SEARCH($A40, INDEX(AsistenciaJetAdminConcatenada!$D:$D, MATCH(1, (AsistenciaJetAdminConcatenada!$A:$A=GO$2)*(AsistenciaJetAdminConcatenada!$B:$B=GO$1), 0)), 1))),  0.5, 0))</f>
        <v>0</v>
      </c>
      <c r="GP40" s="47">
        <f t="array" ref="GP40">IF(AND(ISNUMBER(MATCH(GP$2, AsistenciaJetAdminConcatenada!$A:$A, 0)), ISNUMBER(MATCH(GP$1, AsistenciaJetAdminConcatenada!$B:$B, 0)), ISNUMBER(SEARCH($A40,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ISNUMBER(SEARCH($A40, INDEX(AsistenciaJetAdminConcatenada!$D:$D, MATCH(1, (AsistenciaJetAdminConcatenada!$A:$A=GP$2)*(AsistenciaJetAdminConcatenada!$B:$B=GP$1), 0)), 1))),  0.5, 0))</f>
        <v>0</v>
      </c>
      <c r="GQ40" s="47">
        <f t="array" ref="GQ40">IF(AND(ISNUMBER(MATCH(GQ$2, AsistenciaJetAdminConcatenada!$A:$A, 0)), ISNUMBER(MATCH(GQ$1, AsistenciaJetAdminConcatenada!$B:$B, 0)), ISNUMBER(SEARCH($A40,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ISNUMBER(SEARCH($A40, INDEX(AsistenciaJetAdminConcatenada!$D:$D, MATCH(1, (AsistenciaJetAdminConcatenada!$A:$A=GQ$2)*(AsistenciaJetAdminConcatenada!$B:$B=GQ$1), 0)), 1))),  0.5, 0))</f>
        <v>0</v>
      </c>
      <c r="GR40" s="47">
        <f t="array" ref="GR40">IF(AND(ISNUMBER(MATCH(GR$2, AsistenciaJetAdminConcatenada!$A:$A, 0)), ISNUMBER(MATCH(GR$1, AsistenciaJetAdminConcatenada!$B:$B, 0)), ISNUMBER(SEARCH($A40,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ISNUMBER(SEARCH($A40, INDEX(AsistenciaJetAdminConcatenada!$D:$D, MATCH(1, (AsistenciaJetAdminConcatenada!$A:$A=GR$2)*(AsistenciaJetAdminConcatenada!$B:$B=GR$1), 0)), 1))),  0.5, 0))</f>
        <v>0</v>
      </c>
      <c r="GS40" s="47">
        <f t="array" ref="GS40">IF(AND(ISNUMBER(MATCH(GS$2, AsistenciaJetAdminConcatenada!$A:$A, 0)), ISNUMBER(MATCH(GS$1, AsistenciaJetAdminConcatenada!$B:$B, 0)), ISNUMBER(SEARCH($A40,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ISNUMBER(SEARCH($A40, INDEX(AsistenciaJetAdminConcatenada!$D:$D, MATCH(1, (AsistenciaJetAdminConcatenada!$A:$A=GS$2)*(AsistenciaJetAdminConcatenada!$B:$B=GS$1), 0)), 1))),  0.5, 0))</f>
        <v>0</v>
      </c>
      <c r="GT40" s="47">
        <f t="array" ref="GT40">IF(AND(ISNUMBER(MATCH(GT$2, AsistenciaJetAdminConcatenada!$A:$A, 0)), ISNUMBER(MATCH(GT$1, AsistenciaJetAdminConcatenada!$B:$B, 0)), ISNUMBER(SEARCH($A40,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ISNUMBER(SEARCH($A40, INDEX(AsistenciaJetAdminConcatenada!$D:$D, MATCH(1, (AsistenciaJetAdminConcatenada!$A:$A=GT$2)*(AsistenciaJetAdminConcatenada!$B:$B=GT$1), 0)), 1))),  0.5, 0))</f>
        <v>0</v>
      </c>
      <c r="GU40" s="47">
        <f t="array" ref="GU40">IF(AND(ISNUMBER(MATCH(GU$2, AsistenciaJetAdminConcatenada!$A:$A, 0)), ISNUMBER(MATCH(GU$1, AsistenciaJetAdminConcatenada!$B:$B, 0)), ISNUMBER(SEARCH($A40,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ISNUMBER(SEARCH($A40, INDEX(AsistenciaJetAdminConcatenada!$D:$D, MATCH(1, (AsistenciaJetAdminConcatenada!$A:$A=GU$2)*(AsistenciaJetAdminConcatenada!$B:$B=GU$1), 0)), 1))),  0.5, 0))</f>
        <v>0</v>
      </c>
      <c r="GV40" s="47">
        <f t="array" ref="GV40">IF(AND(ISNUMBER(MATCH(GV$2, AsistenciaJetAdminConcatenada!$A:$A, 0)), ISNUMBER(MATCH(GV$1, AsistenciaJetAdminConcatenada!$B:$B, 0)), ISNUMBER(SEARCH($A40,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ISNUMBER(SEARCH($A40, INDEX(AsistenciaJetAdminConcatenada!$D:$D, MATCH(1, (AsistenciaJetAdminConcatenada!$A:$A=GV$2)*(AsistenciaJetAdminConcatenada!$B:$B=GV$1), 0)), 1))),  0.5, 0))</f>
        <v>0</v>
      </c>
      <c r="GW40" s="47">
        <f t="array" ref="GW40">IF(AND(ISNUMBER(MATCH(GW$2, AsistenciaJetAdminConcatenada!$A:$A, 0)), ISNUMBER(MATCH(GW$1, AsistenciaJetAdminConcatenada!$B:$B, 0)), ISNUMBER(SEARCH($A40,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ISNUMBER(SEARCH($A40, INDEX(AsistenciaJetAdminConcatenada!$D:$D, MATCH(1, (AsistenciaJetAdminConcatenada!$A:$A=GW$2)*(AsistenciaJetAdminConcatenada!$B:$B=GW$1), 0)), 1))),  0.5, 0))</f>
        <v>0</v>
      </c>
      <c r="GX40" s="47">
        <f t="array" ref="GX40">IF(AND(ISNUMBER(MATCH(GX$2, AsistenciaJetAdminConcatenada!$A:$A, 0)), ISNUMBER(MATCH(GX$1, AsistenciaJetAdminConcatenada!$B:$B, 0)), ISNUMBER(SEARCH($A40,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ISNUMBER(SEARCH($A40, INDEX(AsistenciaJetAdminConcatenada!$D:$D, MATCH(1, (AsistenciaJetAdminConcatenada!$A:$A=GX$2)*(AsistenciaJetAdminConcatenada!$B:$B=GX$1), 0)), 1))),  0.5, 0))</f>
        <v>0</v>
      </c>
      <c r="GY40" s="47">
        <f t="array" ref="GY40">IF(AND(ISNUMBER(MATCH(GY$2, AsistenciaJetAdminConcatenada!$A:$A, 0)), ISNUMBER(MATCH(GY$1, AsistenciaJetAdminConcatenada!$B:$B, 0)), ISNUMBER(SEARCH($A40,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ISNUMBER(SEARCH($A40, INDEX(AsistenciaJetAdminConcatenada!$D:$D, MATCH(1, (AsistenciaJetAdminConcatenada!$A:$A=GY$2)*(AsistenciaJetAdminConcatenada!$B:$B=GY$1), 0)), 1))),  0.5, 0))</f>
        <v>0</v>
      </c>
      <c r="GZ40" s="47">
        <f t="array" ref="GZ40">IF(AND(ISNUMBER(MATCH(GZ$2, AsistenciaJetAdminConcatenada!$A:$A, 0)), ISNUMBER(MATCH(GZ$1, AsistenciaJetAdminConcatenada!$B:$B, 0)), ISNUMBER(SEARCH($A40,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ISNUMBER(SEARCH($A40, INDEX(AsistenciaJetAdminConcatenada!$D:$D, MATCH(1, (AsistenciaJetAdminConcatenada!$A:$A=GZ$2)*(AsistenciaJetAdminConcatenada!$B:$B=GZ$1), 0)), 1))),  0.5, 0))</f>
        <v>0</v>
      </c>
      <c r="HA40" s="47">
        <f t="array" ref="HA40">IF(AND(ISNUMBER(MATCH(HA$2, AsistenciaJetAdminConcatenada!$A:$A, 0)), ISNUMBER(MATCH(HA$1, AsistenciaJetAdminConcatenada!$B:$B, 0)), ISNUMBER(SEARCH($A40,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ISNUMBER(SEARCH($A40, INDEX(AsistenciaJetAdminConcatenada!$D:$D, MATCH(1, (AsistenciaJetAdminConcatenada!$A:$A=HA$2)*(AsistenciaJetAdminConcatenada!$B:$B=HA$1), 0)), 1))),  0.5, 0))</f>
        <v>0</v>
      </c>
      <c r="HB40" s="47">
        <f t="array" ref="HB40">IF(AND(ISNUMBER(MATCH(HB$2, AsistenciaJetAdminConcatenada!$A:$A, 0)), ISNUMBER(MATCH(HB$1, AsistenciaJetAdminConcatenada!$B:$B, 0)), ISNUMBER(SEARCH($A40,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ISNUMBER(SEARCH($A40, INDEX(AsistenciaJetAdminConcatenada!$D:$D, MATCH(1, (AsistenciaJetAdminConcatenada!$A:$A=HB$2)*(AsistenciaJetAdminConcatenada!$B:$B=HB$1), 0)), 1))),  0.5, 0))</f>
        <v>0</v>
      </c>
      <c r="HC40" s="47">
        <f t="array" ref="HC40">IF(AND(ISNUMBER(MATCH(HC$2, AsistenciaJetAdminConcatenada!$A:$A, 0)), ISNUMBER(MATCH(HC$1, AsistenciaJetAdminConcatenada!$B:$B, 0)), ISNUMBER(SEARCH($A40,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ISNUMBER(SEARCH($A40, INDEX(AsistenciaJetAdminConcatenada!$D:$D, MATCH(1, (AsistenciaJetAdminConcatenada!$A:$A=HC$2)*(AsistenciaJetAdminConcatenada!$B:$B=HC$1), 0)), 1))),  0.5, 0))</f>
        <v>0</v>
      </c>
    </row>
    <row r="41" ht="29.25" customHeight="1">
      <c r="A41" s="3">
        <v>123.0</v>
      </c>
      <c r="B41" s="4" t="s">
        <v>731</v>
      </c>
      <c r="C41" s="47">
        <f>SUM(D41:HC41) + ActividadesEspeciales!C41</f>
        <v>67.5</v>
      </c>
      <c r="D41" s="47">
        <f t="array" ref="D41">IF(AND(ISNUMBER(MATCH(D$2, AsistenciaJetAdminConcatenada!$A:$A, 0)), ISNUMBER(MATCH(D$1, AsistenciaJetAdminConcatenada!$B:$B, 0)), ISNUMBER(SEARCH($A41,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ISNUMBER(SEARCH($A41, INDEX(AsistenciaJetAdminConcatenada!$D:$D, MATCH(1, (AsistenciaJetAdminConcatenada!$A:$A=D$2)*(AsistenciaJetAdminConcatenada!$B:$B=D$1), 0)), 1))),  0.5, 0))</f>
        <v>1</v>
      </c>
      <c r="E41" s="47">
        <f t="array" ref="E41">IF(AND(ISNUMBER(MATCH(E$2, AsistenciaJetAdminConcatenada!$A:$A, 0)), ISNUMBER(MATCH(E$1, AsistenciaJetAdminConcatenada!$B:$B, 0)), ISNUMBER(SEARCH($A41,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ISNUMBER(SEARCH($A41, INDEX(AsistenciaJetAdminConcatenada!$D:$D, MATCH(1, (AsistenciaJetAdminConcatenada!$A:$A=E$2)*(AsistenciaJetAdminConcatenada!$B:$B=E$1), 0)), 1))),  0.5, 0))</f>
        <v>1</v>
      </c>
      <c r="F41" s="8">
        <v>0.0</v>
      </c>
      <c r="G41" s="47">
        <f t="array" ref="G41">IF(AND(ISNUMBER(MATCH(G$2, AsistenciaJetAdminConcatenada!$A:$A, 0)), ISNUMBER(MATCH(G$1, AsistenciaJetAdminConcatenada!$B:$B, 0)), ISNUMBER(SEARCH($A41,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ISNUMBER(SEARCH($A41, INDEX(AsistenciaJetAdminConcatenada!$D:$D, MATCH(1, (AsistenciaJetAdminConcatenada!$A:$A=G$2)*(AsistenciaJetAdminConcatenada!$B:$B=G$1), 0)), 1))),  0.5, 0))</f>
        <v>1</v>
      </c>
      <c r="H41" s="47">
        <f t="array" ref="H41">IF(AND(ISNUMBER(MATCH(H$2, AsistenciaJetAdminConcatenada!$A:$A, 0)), ISNUMBER(MATCH(H$1, AsistenciaJetAdminConcatenada!$B:$B, 0)), ISNUMBER(SEARCH($A41,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ISNUMBER(SEARCH($A41, INDEX(AsistenciaJetAdminConcatenada!$D:$D, MATCH(1, (AsistenciaJetAdminConcatenada!$A:$A=H$2)*(AsistenciaJetAdminConcatenada!$B:$B=H$1), 0)), 1))),  0.5, 0))</f>
        <v>1</v>
      </c>
      <c r="I41" s="47">
        <f t="array" ref="I41">IF(AND(ISNUMBER(MATCH(I$2, AsistenciaJetAdminConcatenada!$A:$A, 0)), ISNUMBER(MATCH(I$1, AsistenciaJetAdminConcatenada!$B:$B, 0)), ISNUMBER(SEARCH($A41,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ISNUMBER(SEARCH($A41, INDEX(AsistenciaJetAdminConcatenada!$D:$D, MATCH(1, (AsistenciaJetAdminConcatenada!$A:$A=I$2)*(AsistenciaJetAdminConcatenada!$B:$B=I$1), 0)), 1))),  0.5, 0))</f>
        <v>1</v>
      </c>
      <c r="J41" s="47">
        <f t="array" ref="J41">IF(AND(ISNUMBER(MATCH(J$2, AsistenciaJetAdminConcatenada!$A:$A, 0)), ISNUMBER(MATCH(J$1, AsistenciaJetAdminConcatenada!$B:$B, 0)), ISNUMBER(SEARCH($A41,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ISNUMBER(SEARCH($A41, INDEX(AsistenciaJetAdminConcatenada!$D:$D, MATCH(1, (AsistenciaJetAdminConcatenada!$A:$A=J$2)*(AsistenciaJetAdminConcatenada!$B:$B=J$1), 0)), 1))),  0.5, 0))</f>
        <v>1</v>
      </c>
      <c r="K41" s="47">
        <f t="array" ref="K41">IF(AND(ISNUMBER(MATCH(K$2, AsistenciaJetAdminConcatenada!$A:$A, 0)), ISNUMBER(MATCH(K$1, AsistenciaJetAdminConcatenada!$B:$B, 0)), ISNUMBER(SEARCH($A41,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ISNUMBER(SEARCH($A41, INDEX(AsistenciaJetAdminConcatenada!$D:$D, MATCH(1, (AsistenciaJetAdminConcatenada!$A:$A=K$2)*(AsistenciaJetAdminConcatenada!$B:$B=K$1), 0)), 1))),  0.5, 0))</f>
        <v>1</v>
      </c>
      <c r="L41" s="47">
        <f t="array" ref="L41">IF(AND(ISNUMBER(MATCH(L$2, AsistenciaJetAdminConcatenada!$A:$A, 0)), ISNUMBER(MATCH(L$1, AsistenciaJetAdminConcatenada!$B:$B, 0)), ISNUMBER(SEARCH($A41,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ISNUMBER(SEARCH($A41, INDEX(AsistenciaJetAdminConcatenada!$D:$D, MATCH(1, (AsistenciaJetAdminConcatenada!$A:$A=L$2)*(AsistenciaJetAdminConcatenada!$B:$B=L$1), 0)), 1))),  0.5, 0))</f>
        <v>0</v>
      </c>
      <c r="M41" s="47">
        <f t="array" ref="M41">IF(AND(ISNUMBER(MATCH(M$2, AsistenciaJetAdminConcatenada!$A:$A, 0)), ISNUMBER(MATCH(M$1, AsistenciaJetAdminConcatenada!$B:$B, 0)), ISNUMBER(SEARCH($A41,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ISNUMBER(SEARCH($A41, INDEX(AsistenciaJetAdminConcatenada!$D:$D, MATCH(1, (AsistenciaJetAdminConcatenada!$A:$A=M$2)*(AsistenciaJetAdminConcatenada!$B:$B=M$1), 0)), 1))),  0.5, 0))</f>
        <v>0</v>
      </c>
      <c r="N41" s="47">
        <f t="array" ref="N41">IF(AND(ISNUMBER(MATCH(N$2, AsistenciaJetAdminConcatenada!$A:$A, 0)), ISNUMBER(MATCH(N$1, AsistenciaJetAdminConcatenada!$B:$B, 0)), ISNUMBER(SEARCH($A41,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ISNUMBER(SEARCH($A41, INDEX(AsistenciaJetAdminConcatenada!$D:$D, MATCH(1, (AsistenciaJetAdminConcatenada!$A:$A=N$2)*(AsistenciaJetAdminConcatenada!$B:$B=N$1), 0)), 1))),  0.5, 0))</f>
        <v>0</v>
      </c>
      <c r="O41" s="47">
        <f t="array" ref="O41">IF(AND(ISNUMBER(MATCH(O$2, AsistenciaJetAdminConcatenada!$A:$A, 0)), ISNUMBER(MATCH(O$1, AsistenciaJetAdminConcatenada!$B:$B, 0)), ISNUMBER(SEARCH($A41,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ISNUMBER(SEARCH($A41, INDEX(AsistenciaJetAdminConcatenada!$D:$D, MATCH(1, (AsistenciaJetAdminConcatenada!$A:$A=O$2)*(AsistenciaJetAdminConcatenada!$B:$B=O$1), 0)), 1))),  0.5, 0))</f>
        <v>1</v>
      </c>
      <c r="P41" s="47">
        <f t="array" ref="P41">IF(AND(ISNUMBER(MATCH(P$2, AsistenciaJetAdminConcatenada!$A:$A, 0)), ISNUMBER(MATCH(P$1, AsistenciaJetAdminConcatenada!$B:$B, 0)), ISNUMBER(SEARCH($A41, INDEX(AsistenciaJetAdminConcatenada!$C:$C, MATCH(1, (AsistenciaJetAdminConcatenada!$A:$A=P$2)*(AsistenciaJetAdminConcatenada!$B:$B=P$1), 0)), 1))), 1, IF(AND(ISNUMBER(MATCH(P$2, AsistenciaJetAdminConcatenada!$A:$A, 0)), ISNUMBER(MATCH(P$1, AsistenciaJetAdminConcatenada!$B:$B, 0)), ISNUMBER(SEARCH($A41, INDEX(AsistenciaJetAdminConcatenada!$D:$D, MATCH(1, (AsistenciaJetAdminConcatenada!$A:$A=P$2)*(AsistenciaJetAdminConcatenada!$B:$B=P$1), 0)), 1))),  0.5, 0))</f>
        <v>1</v>
      </c>
      <c r="Q41" s="47">
        <f t="array" ref="Q41">IF(AND(ISNUMBER(MATCH(Q$2, AsistenciaJetAdminConcatenada!$A:$A, 0)), ISNUMBER(MATCH(Q$1, AsistenciaJetAdminConcatenada!$B:$B, 0)), ISNUMBER(SEARCH($A41, INDEX(AsistenciaJetAdminConcatenada!$C:$C, MATCH(1, (AsistenciaJetAdminConcatenada!$A:$A=Q$2)*(AsistenciaJetAdminConcatenada!$B:$B=Q$1), 0)), 1))), 1, IF(AND(ISNUMBER(MATCH(Q$2, AsistenciaJetAdminConcatenada!$A:$A, 0)), ISNUMBER(MATCH(Q$1, AsistenciaJetAdminConcatenada!$B:$B, 0)), ISNUMBER(SEARCH($A41, INDEX(AsistenciaJetAdminConcatenada!$D:$D, MATCH(1, (AsistenciaJetAdminConcatenada!$A:$A=Q$2)*(AsistenciaJetAdminConcatenada!$B:$B=Q$1), 0)), 1))),  0.5, 0))</f>
        <v>1</v>
      </c>
      <c r="R41" s="47">
        <f t="array" ref="R41">IF(AND(ISNUMBER(MATCH(R$2, AsistenciaJetAdminConcatenada!$A:$A, 0)), ISNUMBER(MATCH(R$1, AsistenciaJetAdminConcatenada!$B:$B, 0)), ISNUMBER(SEARCH($A41,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ISNUMBER(SEARCH($A41, INDEX(AsistenciaJetAdminConcatenada!$D:$D, MATCH(1, (AsistenciaJetAdminConcatenada!$A:$A=R$2)*(AsistenciaJetAdminConcatenada!$B:$B=R$1), 0)), 1))),  0.5, 0))</f>
        <v>1</v>
      </c>
      <c r="S41" s="47">
        <f t="array" ref="S41">IF(AND(ISNUMBER(MATCH(S$2, AsistenciaJetAdminConcatenada!$A:$A, 0)), ISNUMBER(MATCH(S$1, AsistenciaJetAdminConcatenada!$B:$B, 0)), ISNUMBER(SEARCH($A41,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ISNUMBER(SEARCH($A41, INDEX(AsistenciaJetAdminConcatenada!$D:$D, MATCH(1, (AsistenciaJetAdminConcatenada!$A:$A=S$2)*(AsistenciaJetAdminConcatenada!$B:$B=S$1), 0)), 1))),  0.5, 0))</f>
        <v>1</v>
      </c>
      <c r="T41" s="47">
        <f t="array" ref="T41">IF(AND(ISNUMBER(MATCH(T$2, AsistenciaJetAdminConcatenada!$A:$A, 0)), ISNUMBER(MATCH(T$1, AsistenciaJetAdminConcatenada!$B:$B, 0)), ISNUMBER(SEARCH($A41,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ISNUMBER(SEARCH($A41, INDEX(AsistenciaJetAdminConcatenada!$D:$D, MATCH(1, (AsistenciaJetAdminConcatenada!$A:$A=T$2)*(AsistenciaJetAdminConcatenada!$B:$B=T$1), 0)), 1))),  0.5, 0))</f>
        <v>0</v>
      </c>
      <c r="U41" s="47">
        <f t="array" ref="U41">IF(AND(ISNUMBER(MATCH(U$2, AsistenciaJetAdminConcatenada!$A:$A, 0)), ISNUMBER(MATCH(U$1, AsistenciaJetAdminConcatenada!$B:$B, 0)), ISNUMBER(SEARCH($A41,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ISNUMBER(SEARCH($A41, INDEX(AsistenciaJetAdminConcatenada!$D:$D, MATCH(1, (AsistenciaJetAdminConcatenada!$A:$A=U$2)*(AsistenciaJetAdminConcatenada!$B:$B=U$1), 0)), 1))),  0.5, 0))</f>
        <v>1</v>
      </c>
      <c r="V41" s="47">
        <f t="array" ref="V41">IF(AND(ISNUMBER(MATCH(V$2, AsistenciaJetAdminConcatenada!$A:$A, 0)), ISNUMBER(MATCH(V$1, AsistenciaJetAdminConcatenada!$B:$B, 0)), ISNUMBER(SEARCH($A41,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ISNUMBER(SEARCH($A41, INDEX(AsistenciaJetAdminConcatenada!$D:$D, MATCH(1, (AsistenciaJetAdminConcatenada!$A:$A=V$2)*(AsistenciaJetAdminConcatenada!$B:$B=V$1), 0)), 1))),  0.5, 0))</f>
        <v>1</v>
      </c>
      <c r="W41" s="47">
        <f t="array" ref="W41">IF(AND(ISNUMBER(MATCH(W$2, AsistenciaJetAdminConcatenada!$A:$A, 0)), ISNUMBER(MATCH(W$1, AsistenciaJetAdminConcatenada!$B:$B, 0)), ISNUMBER(SEARCH($A41,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ISNUMBER(SEARCH($A41, INDEX(AsistenciaJetAdminConcatenada!$D:$D, MATCH(1, (AsistenciaJetAdminConcatenada!$A:$A=W$2)*(AsistenciaJetAdminConcatenada!$B:$B=W$1), 0)), 1))),  0.5, 0))</f>
        <v>1</v>
      </c>
      <c r="X41" s="47">
        <f t="array" ref="X41">IF(AND(ISNUMBER(MATCH(X$2, AsistenciaJetAdminConcatenada!$A:$A, 0)), ISNUMBER(MATCH(X$1, AsistenciaJetAdminConcatenada!$B:$B, 0)), ISNUMBER(SEARCH($A41,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ISNUMBER(SEARCH($A41, INDEX(AsistenciaJetAdminConcatenada!$D:$D, MATCH(1, (AsistenciaJetAdminConcatenada!$A:$A=X$2)*(AsistenciaJetAdminConcatenada!$B:$B=X$1), 0)), 1))),  0.5, 0))</f>
        <v>1</v>
      </c>
      <c r="Y41" s="47">
        <f t="array" ref="Y41">IF(AND(ISNUMBER(MATCH(Y$2, AsistenciaJetAdminConcatenada!$A:$A, 0)), ISNUMBER(MATCH(Y$1, AsistenciaJetAdminConcatenada!$B:$B, 0)), ISNUMBER(SEARCH($A41,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ISNUMBER(SEARCH($A41, INDEX(AsistenciaJetAdminConcatenada!$D:$D, MATCH(1, (AsistenciaJetAdminConcatenada!$A:$A=Y$2)*(AsistenciaJetAdminConcatenada!$B:$B=Y$1), 0)), 1))),  0.5, 0))</f>
        <v>1</v>
      </c>
      <c r="Z41" s="47">
        <f t="array" ref="Z41">IF(AND(ISNUMBER(MATCH(Z$2, AsistenciaJetAdminConcatenada!$A:$A, 0)), ISNUMBER(MATCH(Z$1, AsistenciaJetAdminConcatenada!$B:$B, 0)), ISNUMBER(SEARCH($A41,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ISNUMBER(SEARCH($A41, INDEX(AsistenciaJetAdminConcatenada!$D:$D, MATCH(1, (AsistenciaJetAdminConcatenada!$A:$A=Z$2)*(AsistenciaJetAdminConcatenada!$B:$B=Z$1), 0)), 1))),  0.5, 0))</f>
        <v>1</v>
      </c>
      <c r="AA41" s="47">
        <f t="array" ref="AA41">IF(AND(ISNUMBER(MATCH(AA$2, AsistenciaJetAdminConcatenada!$A:$A, 0)), ISNUMBER(MATCH(AA$1, AsistenciaJetAdminConcatenada!$B:$B, 0)), ISNUMBER(SEARCH($A41,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ISNUMBER(SEARCH($A41, INDEX(AsistenciaJetAdminConcatenada!$D:$D, MATCH(1, (AsistenciaJetAdminConcatenada!$A:$A=AA$2)*(AsistenciaJetAdminConcatenada!$B:$B=AA$1), 0)), 1))),  0.5, 0))</f>
        <v>1</v>
      </c>
      <c r="AB41" s="47">
        <f t="array" ref="AB41">IF(AND(ISNUMBER(MATCH(AB$2, AsistenciaJetAdminConcatenada!$A:$A, 0)), ISNUMBER(MATCH(AB$1, AsistenciaJetAdminConcatenada!$B:$B, 0)), ISNUMBER(SEARCH($A41,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ISNUMBER(SEARCH($A41, INDEX(AsistenciaJetAdminConcatenada!$D:$D, MATCH(1, (AsistenciaJetAdminConcatenada!$A:$A=AB$2)*(AsistenciaJetAdminConcatenada!$B:$B=AB$1), 0)), 1))),  0.5, 0))</f>
        <v>1</v>
      </c>
      <c r="AC41" s="47">
        <f t="array" ref="AC41">IF(AND(ISNUMBER(MATCH(AC$2, AsistenciaJetAdminConcatenada!$A:$A, 0)), ISNUMBER(MATCH(AC$1, AsistenciaJetAdminConcatenada!$B:$B, 0)), ISNUMBER(SEARCH($A41,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ISNUMBER(SEARCH($A41, INDEX(AsistenciaJetAdminConcatenada!$D:$D, MATCH(1, (AsistenciaJetAdminConcatenada!$A:$A=AC$2)*(AsistenciaJetAdminConcatenada!$B:$B=AC$1), 0)), 1))),  0.5, 0))</f>
        <v>1</v>
      </c>
      <c r="AD41" s="47">
        <f t="array" ref="AD41">IF(AND(ISNUMBER(MATCH(AD$2, AsistenciaJetAdminConcatenada!$A:$A, 0)), ISNUMBER(MATCH(AD$1, AsistenciaJetAdminConcatenada!$B:$B, 0)), ISNUMBER(SEARCH($A41,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ISNUMBER(SEARCH($A41, INDEX(AsistenciaJetAdminConcatenada!$D:$D, MATCH(1, (AsistenciaJetAdminConcatenada!$A:$A=AD$2)*(AsistenciaJetAdminConcatenada!$B:$B=AD$1), 0)), 1))),  0.5, 0))</f>
        <v>1</v>
      </c>
      <c r="AE41" s="47">
        <f t="array" ref="AE41">IF(AND(ISNUMBER(MATCH(AE$2, AsistenciaJetAdminConcatenada!$A:$A, 0)), ISNUMBER(MATCH(AE$1, AsistenciaJetAdminConcatenada!$B:$B, 0)), ISNUMBER(SEARCH($A41,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ISNUMBER(SEARCH($A41, INDEX(AsistenciaJetAdminConcatenada!$D:$D, MATCH(1, (AsistenciaJetAdminConcatenada!$A:$A=AE$2)*(AsistenciaJetAdminConcatenada!$B:$B=AE$1), 0)), 1))),  0.5, 0))</f>
        <v>0</v>
      </c>
      <c r="AF41" s="47">
        <f t="array" ref="AF41">IF(AND(ISNUMBER(MATCH(AF$2, AsistenciaJetAdminConcatenada!$A:$A, 0)), ISNUMBER(MATCH(AF$1, AsistenciaJetAdminConcatenada!$B:$B, 0)), ISNUMBER(SEARCH($A41,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ISNUMBER(SEARCH($A41, INDEX(AsistenciaJetAdminConcatenada!$D:$D, MATCH(1, (AsistenciaJetAdminConcatenada!$A:$A=AF$2)*(AsistenciaJetAdminConcatenada!$B:$B=AF$1), 0)), 1))),  0.5, 0))</f>
        <v>0</v>
      </c>
      <c r="AG41" s="47">
        <f t="array" ref="AG41">IF(AND(ISNUMBER(MATCH(AG$2, AsistenciaJetAdminConcatenada!$A:$A, 0)), ISNUMBER(MATCH(AG$1, AsistenciaJetAdminConcatenada!$B:$B, 0)), ISNUMBER(SEARCH($A41,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ISNUMBER(SEARCH($A41, INDEX(AsistenciaJetAdminConcatenada!$D:$D, MATCH(1, (AsistenciaJetAdminConcatenada!$A:$A=AG$2)*(AsistenciaJetAdminConcatenada!$B:$B=AG$1), 0)), 1))),  0.5, 0))</f>
        <v>0</v>
      </c>
      <c r="AH41" s="47">
        <f t="array" ref="AH41">IF(AND(ISNUMBER(MATCH(AH$2, AsistenciaJetAdminConcatenada!$A:$A, 0)), ISNUMBER(MATCH(AH$1, AsistenciaJetAdminConcatenada!$B:$B, 0)), ISNUMBER(SEARCH($A41,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ISNUMBER(SEARCH($A41, INDEX(AsistenciaJetAdminConcatenada!$D:$D, MATCH(1, (AsistenciaJetAdminConcatenada!$A:$A=AH$2)*(AsistenciaJetAdminConcatenada!$B:$B=AH$1), 0)), 1))),  0.5, 0))</f>
        <v>0</v>
      </c>
      <c r="AI41" s="47">
        <f t="array" ref="AI41">IF(AND(ISNUMBER(MATCH(AI$2, AsistenciaJetAdminConcatenada!$A:$A, 0)), ISNUMBER(MATCH(AI$1, AsistenciaJetAdminConcatenada!$B:$B, 0)), ISNUMBER(SEARCH($A41,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ISNUMBER(SEARCH($A41, INDEX(AsistenciaJetAdminConcatenada!$D:$D, MATCH(1, (AsistenciaJetAdminConcatenada!$A:$A=AI$2)*(AsistenciaJetAdminConcatenada!$B:$B=AI$1), 0)), 1))),  0.5, 0))</f>
        <v>1</v>
      </c>
      <c r="AJ41" s="47">
        <f t="array" ref="AJ41">IF(AND(ISNUMBER(MATCH(AJ$2, AsistenciaJetAdminConcatenada!$A:$A, 0)), ISNUMBER(MATCH(AJ$1, AsistenciaJetAdminConcatenada!$B:$B, 0)), ISNUMBER(SEARCH($A41,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ISNUMBER(SEARCH($A41, INDEX(AsistenciaJetAdminConcatenada!$D:$D, MATCH(1, (AsistenciaJetAdminConcatenada!$A:$A=AJ$2)*(AsistenciaJetAdminConcatenada!$B:$B=AJ$1), 0)), 1))),  0.5, 0))</f>
        <v>1</v>
      </c>
      <c r="AK41" s="47">
        <f t="array" ref="AK41">IF(AND(ISNUMBER(MATCH(AK$2, AsistenciaJetAdminConcatenada!$A:$A, 0)), ISNUMBER(MATCH(AK$1, AsistenciaJetAdminConcatenada!$B:$B, 0)), ISNUMBER(SEARCH($A41,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ISNUMBER(SEARCH($A41, INDEX(AsistenciaJetAdminConcatenada!$D:$D, MATCH(1, (AsistenciaJetAdminConcatenada!$A:$A=AK$2)*(AsistenciaJetAdminConcatenada!$B:$B=AK$1), 0)), 1))),  0.5, 0))</f>
        <v>0</v>
      </c>
      <c r="AL41" s="47">
        <f t="array" ref="AL41">IF(AND(ISNUMBER(MATCH(AL$2, AsistenciaJetAdminConcatenada!$A:$A, 0)), ISNUMBER(MATCH(AL$1, AsistenciaJetAdminConcatenada!$B:$B, 0)), ISNUMBER(SEARCH($A41,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ISNUMBER(SEARCH($A41, INDEX(AsistenciaJetAdminConcatenada!$D:$D, MATCH(1, (AsistenciaJetAdminConcatenada!$A:$A=AL$2)*(AsistenciaJetAdminConcatenada!$B:$B=AL$1), 0)), 1))),  0.5, 0))</f>
        <v>0</v>
      </c>
      <c r="AM41" s="47">
        <f t="array" ref="AM41">IF(AND(ISNUMBER(MATCH(AM$2, AsistenciaJetAdminConcatenada!$A:$A, 0)), ISNUMBER(MATCH(AM$1, AsistenciaJetAdminConcatenada!$B:$B, 0)), ISNUMBER(SEARCH($A41,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ISNUMBER(SEARCH($A41, INDEX(AsistenciaJetAdminConcatenada!$D:$D, MATCH(1, (AsistenciaJetAdminConcatenada!$A:$A=AM$2)*(AsistenciaJetAdminConcatenada!$B:$B=AM$1), 0)), 1))),  0.5, 0))</f>
        <v>0</v>
      </c>
      <c r="AN41" s="47">
        <f t="array" ref="AN41">IF(AND(ISNUMBER(MATCH(AN$2, AsistenciaJetAdminConcatenada!$A:$A, 0)), ISNUMBER(MATCH(AN$1, AsistenciaJetAdminConcatenada!$B:$B, 0)), ISNUMBER(SEARCH($A41,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ISNUMBER(SEARCH($A41, INDEX(AsistenciaJetAdminConcatenada!$D:$D, MATCH(1, (AsistenciaJetAdminConcatenada!$A:$A=AN$2)*(AsistenciaJetAdminConcatenada!$B:$B=AN$1), 0)), 1))),  0.5, 0))</f>
        <v>0</v>
      </c>
      <c r="AO41" s="47">
        <f t="array" ref="AO41">IF(AND(ISNUMBER(MATCH(AO$2, AsistenciaJetAdminConcatenada!$A:$A, 0)), ISNUMBER(MATCH(AO$1, AsistenciaJetAdminConcatenada!$B:$B, 0)), ISNUMBER(SEARCH($A41,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ISNUMBER(SEARCH($A41, INDEX(AsistenciaJetAdminConcatenada!$D:$D, MATCH(1, (AsistenciaJetAdminConcatenada!$A:$A=AO$2)*(AsistenciaJetAdminConcatenada!$B:$B=AO$1), 0)), 1))),  0.5, 0))</f>
        <v>0</v>
      </c>
      <c r="AP41" s="47">
        <f t="array" ref="AP41">IF(AND(ISNUMBER(MATCH(AP$2, AsistenciaJetAdminConcatenada!$A:$A, 0)), ISNUMBER(MATCH(AP$1, AsistenciaJetAdminConcatenada!$B:$B, 0)), ISNUMBER(SEARCH($A41,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ISNUMBER(SEARCH($A41, INDEX(AsistenciaJetAdminConcatenada!$D:$D, MATCH(1, (AsistenciaJetAdminConcatenada!$A:$A=AP$2)*(AsistenciaJetAdminConcatenada!$B:$B=AP$1), 0)), 1))),  0.5, 0))</f>
        <v>0</v>
      </c>
      <c r="AQ41" s="47">
        <f t="array" ref="AQ41">IF(AND(ISNUMBER(MATCH(AQ$2, AsistenciaJetAdminConcatenada!$A:$A, 0)), ISNUMBER(MATCH(AQ$1, AsistenciaJetAdminConcatenada!$B:$B, 0)), ISNUMBER(SEARCH($A41,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ISNUMBER(SEARCH($A41, INDEX(AsistenciaJetAdminConcatenada!$D:$D, MATCH(1, (AsistenciaJetAdminConcatenada!$A:$A=AQ$2)*(AsistenciaJetAdminConcatenada!$B:$B=AQ$1), 0)), 1))),  0.5, 0))</f>
        <v>0</v>
      </c>
      <c r="AR41" s="47">
        <f t="array" ref="AR41">IF(AND(ISNUMBER(MATCH(AR$2, AsistenciaJetAdminConcatenada!$A:$A, 0)), ISNUMBER(MATCH(AR$1, AsistenciaJetAdminConcatenada!$B:$B, 0)), ISNUMBER(SEARCH($A41,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ISNUMBER(SEARCH($A41, INDEX(AsistenciaJetAdminConcatenada!$D:$D, MATCH(1, (AsistenciaJetAdminConcatenada!$A:$A=AR$2)*(AsistenciaJetAdminConcatenada!$B:$B=AR$1), 0)), 1))),  0.5, 0))</f>
        <v>1</v>
      </c>
      <c r="AS41" s="47">
        <f t="array" ref="AS41">IF(AND(ISNUMBER(MATCH(AS$2, AsistenciaJetAdminConcatenada!$A:$A, 0)), ISNUMBER(MATCH(AS$1, AsistenciaJetAdminConcatenada!$B:$B, 0)), ISNUMBER(SEARCH($A41,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ISNUMBER(SEARCH($A41, INDEX(AsistenciaJetAdminConcatenada!$D:$D, MATCH(1, (AsistenciaJetAdminConcatenada!$A:$A=AS$2)*(AsistenciaJetAdminConcatenada!$B:$B=AS$1), 0)), 1))),  0.5, 0))</f>
        <v>0.5</v>
      </c>
      <c r="AT41" s="47">
        <f t="array" ref="AT41">IF(AND(ISNUMBER(MATCH(AT$2, AsistenciaJetAdminConcatenada!$A:$A, 0)), ISNUMBER(MATCH(AT$1, AsistenciaJetAdminConcatenada!$B:$B, 0)), ISNUMBER(SEARCH($A41,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ISNUMBER(SEARCH($A41, INDEX(AsistenciaJetAdminConcatenada!$D:$D, MATCH(1, (AsistenciaJetAdminConcatenada!$A:$A=AT$2)*(AsistenciaJetAdminConcatenada!$B:$B=AT$1), 0)), 1))),  0.5, 0))</f>
        <v>0</v>
      </c>
      <c r="AU41" s="47">
        <f t="array" ref="AU41">IF(AND(ISNUMBER(MATCH(AU$2, AsistenciaJetAdminConcatenada!$A:$A, 0)), ISNUMBER(MATCH(AU$1, AsistenciaJetAdminConcatenada!$B:$B, 0)), ISNUMBER(SEARCH($A41,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ISNUMBER(SEARCH($A41, INDEX(AsistenciaJetAdminConcatenada!$D:$D, MATCH(1, (AsistenciaJetAdminConcatenada!$A:$A=AU$2)*(AsistenciaJetAdminConcatenada!$B:$B=AU$1), 0)), 1))),  0.5, 0))</f>
        <v>1</v>
      </c>
      <c r="AV41" s="47">
        <f t="array" ref="AV41">IF(AND(ISNUMBER(MATCH(AV$2, AsistenciaJetAdminConcatenada!$A:$A, 0)), ISNUMBER(MATCH(AV$1, AsistenciaJetAdminConcatenada!$B:$B, 0)), ISNUMBER(SEARCH($A41,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ISNUMBER(SEARCH($A41, INDEX(AsistenciaJetAdminConcatenada!$D:$D, MATCH(1, (AsistenciaJetAdminConcatenada!$A:$A=AV$2)*(AsistenciaJetAdminConcatenada!$B:$B=AV$1), 0)), 1))),  0.5, 0))</f>
        <v>1</v>
      </c>
      <c r="AW41" s="47">
        <f t="array" ref="AW41">IF(AND(ISNUMBER(MATCH(AW$2, AsistenciaJetAdminConcatenada!$A:$A, 0)), ISNUMBER(MATCH(AW$1, AsistenciaJetAdminConcatenada!$B:$B, 0)), ISNUMBER(SEARCH($A41,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ISNUMBER(SEARCH($A41, INDEX(AsistenciaJetAdminConcatenada!$D:$D, MATCH(1, (AsistenciaJetAdminConcatenada!$A:$A=AW$2)*(AsistenciaJetAdminConcatenada!$B:$B=AW$1), 0)), 1))),  0.5, 0))</f>
        <v>1</v>
      </c>
      <c r="AX41" s="47">
        <f t="array" ref="AX41">IF(AND(ISNUMBER(MATCH(AX$2, AsistenciaJetAdminConcatenada!$A:$A, 0)), ISNUMBER(MATCH(AX$1, AsistenciaJetAdminConcatenada!$B:$B, 0)), ISNUMBER(SEARCH($A41,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ISNUMBER(SEARCH($A41, INDEX(AsistenciaJetAdminConcatenada!$D:$D, MATCH(1, (AsistenciaJetAdminConcatenada!$A:$A=AX$2)*(AsistenciaJetAdminConcatenada!$B:$B=AX$1), 0)), 1))),  0.5, 0))</f>
        <v>0</v>
      </c>
      <c r="AY41" s="47">
        <f t="array" ref="AY41">IF(AND(ISNUMBER(MATCH(AY$2, AsistenciaJetAdminConcatenada!$A:$A, 0)), ISNUMBER(MATCH(AY$1, AsistenciaJetAdminConcatenada!$B:$B, 0)), ISNUMBER(SEARCH($A41,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ISNUMBER(SEARCH($A41, INDEX(AsistenciaJetAdminConcatenada!$D:$D, MATCH(1, (AsistenciaJetAdminConcatenada!$A:$A=AY$2)*(AsistenciaJetAdminConcatenada!$B:$B=AY$1), 0)), 1))),  0.5, 0))</f>
        <v>1</v>
      </c>
      <c r="AZ41" s="47">
        <f t="array" ref="AZ41">IF(AND(ISNUMBER(MATCH(AZ$2, AsistenciaJetAdminConcatenada!$A:$A, 0)), ISNUMBER(MATCH(AZ$1, AsistenciaJetAdminConcatenada!$B:$B, 0)), ISNUMBER(SEARCH($A41,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ISNUMBER(SEARCH($A41, INDEX(AsistenciaJetAdminConcatenada!$D:$D, MATCH(1, (AsistenciaJetAdminConcatenada!$A:$A=AZ$2)*(AsistenciaJetAdminConcatenada!$B:$B=AZ$1), 0)), 1))),  0.5, 0))</f>
        <v>0</v>
      </c>
      <c r="BA41" s="47">
        <f t="array" ref="BA41">IF(AND(ISNUMBER(MATCH(BA$2, AsistenciaJetAdminConcatenada!$A:$A, 0)), ISNUMBER(MATCH(BA$1, AsistenciaJetAdminConcatenada!$B:$B, 0)), ISNUMBER(SEARCH($A41,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ISNUMBER(SEARCH($A41, INDEX(AsistenciaJetAdminConcatenada!$D:$D, MATCH(1, (AsistenciaJetAdminConcatenada!$A:$A=BA$2)*(AsistenciaJetAdminConcatenada!$B:$B=BA$1), 0)), 1))),  0.5, 0))</f>
        <v>1</v>
      </c>
      <c r="BB41" s="47">
        <f t="array" ref="BB41">IF(AND(ISNUMBER(MATCH(BB$2, AsistenciaJetAdminConcatenada!$A:$A, 0)), ISNUMBER(MATCH(BB$1, AsistenciaJetAdminConcatenada!$B:$B, 0)), ISNUMBER(SEARCH($A41,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ISNUMBER(SEARCH($A41, INDEX(AsistenciaJetAdminConcatenada!$D:$D, MATCH(1, (AsistenciaJetAdminConcatenada!$A:$A=BB$2)*(AsistenciaJetAdminConcatenada!$B:$B=BB$1), 0)), 1))),  0.5, 0))</f>
        <v>1</v>
      </c>
      <c r="BC41" s="47">
        <f t="array" ref="BC41">IF(AND(ISNUMBER(MATCH(BC$2, AsistenciaJetAdminConcatenada!$A:$A, 0)), ISNUMBER(MATCH(BC$1, AsistenciaJetAdminConcatenada!$B:$B, 0)), ISNUMBER(SEARCH($A41,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ISNUMBER(SEARCH($A41, INDEX(AsistenciaJetAdminConcatenada!$D:$D, MATCH(1, (AsistenciaJetAdminConcatenada!$A:$A=BC$2)*(AsistenciaJetAdminConcatenada!$B:$B=BC$1), 0)), 1))),  0.5, 0))</f>
        <v>1</v>
      </c>
      <c r="BD41" s="47">
        <f t="array" ref="BD41">IF(AND(ISNUMBER(MATCH(BD$2, AsistenciaJetAdminConcatenada!$A:$A, 0)), ISNUMBER(MATCH(BD$1, AsistenciaJetAdminConcatenada!$B:$B, 0)), ISNUMBER(SEARCH($A41,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ISNUMBER(SEARCH($A41, INDEX(AsistenciaJetAdminConcatenada!$D:$D, MATCH(1, (AsistenciaJetAdminConcatenada!$A:$A=BD$2)*(AsistenciaJetAdminConcatenada!$B:$B=BD$1), 0)), 1))),  0.5, 0))</f>
        <v>1</v>
      </c>
      <c r="BE41" s="47">
        <f t="array" ref="BE41">IF(AND(ISNUMBER(MATCH(BE$2, AsistenciaJetAdminConcatenada!$A:$A, 0)), ISNUMBER(MATCH(BE$1, AsistenciaJetAdminConcatenada!$B:$B, 0)), ISNUMBER(SEARCH($A41,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ISNUMBER(SEARCH($A41, INDEX(AsistenciaJetAdminConcatenada!$D:$D, MATCH(1, (AsistenciaJetAdminConcatenada!$A:$A=BE$2)*(AsistenciaJetAdminConcatenada!$B:$B=BE$1), 0)), 1))),  0.5, 0))</f>
        <v>1</v>
      </c>
      <c r="BF41" s="47">
        <f t="array" ref="BF41">IF(AND(ISNUMBER(MATCH(BF$2, AsistenciaJetAdminConcatenada!$A:$A, 0)), ISNUMBER(MATCH(BF$1, AsistenciaJetAdminConcatenada!$B:$B, 0)), ISNUMBER(SEARCH($A41,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ISNUMBER(SEARCH($A41, INDEX(AsistenciaJetAdminConcatenada!$D:$D, MATCH(1, (AsistenciaJetAdminConcatenada!$A:$A=BF$2)*(AsistenciaJetAdminConcatenada!$B:$B=BF$1), 0)), 1))),  0.5, 0))</f>
        <v>1</v>
      </c>
      <c r="BG41" s="47">
        <f t="array" ref="BG41">IF(AND(ISNUMBER(MATCH(BG$2, AsistenciaJetAdminConcatenada!$A:$A, 0)), ISNUMBER(MATCH(BG$1, AsistenciaJetAdminConcatenada!$B:$B, 0)), ISNUMBER(SEARCH($A41,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ISNUMBER(SEARCH($A41, INDEX(AsistenciaJetAdminConcatenada!$D:$D, MATCH(1, (AsistenciaJetAdminConcatenada!$A:$A=BG$2)*(AsistenciaJetAdminConcatenada!$B:$B=BG$1), 0)), 1))),  0.5, 0))</f>
        <v>0</v>
      </c>
      <c r="BH41" s="47">
        <f t="array" ref="BH41">IF(AND(ISNUMBER(MATCH(BH$2, AsistenciaJetAdminConcatenada!$A:$A, 0)), ISNUMBER(MATCH(BH$1, AsistenciaJetAdminConcatenada!$B:$B, 0)), ISNUMBER(SEARCH($A41,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ISNUMBER(SEARCH($A41, INDEX(AsistenciaJetAdminConcatenada!$D:$D, MATCH(1, (AsistenciaJetAdminConcatenada!$A:$A=BH$2)*(AsistenciaJetAdminConcatenada!$B:$B=BH$1), 0)), 1))),  0.5, 0))</f>
        <v>1</v>
      </c>
      <c r="BI41" s="47">
        <f t="array" ref="BI41">IF(AND(ISNUMBER(MATCH(BI$2, AsistenciaJetAdminConcatenada!$A:$A, 0)), ISNUMBER(MATCH(BI$1, AsistenciaJetAdminConcatenada!$B:$B, 0)), ISNUMBER(SEARCH($A41,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ISNUMBER(SEARCH($A41, INDEX(AsistenciaJetAdminConcatenada!$D:$D, MATCH(1, (AsistenciaJetAdminConcatenada!$A:$A=BI$2)*(AsistenciaJetAdminConcatenada!$B:$B=BI$1), 0)), 1))),  0.5, 0))</f>
        <v>0</v>
      </c>
      <c r="BJ41" s="47">
        <f t="array" ref="BJ41">IF(AND(ISNUMBER(MATCH(BJ$2, AsistenciaJetAdminConcatenada!$A:$A, 0)), ISNUMBER(MATCH(BJ$1, AsistenciaJetAdminConcatenada!$B:$B, 0)), ISNUMBER(SEARCH($A41,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ISNUMBER(SEARCH($A41, INDEX(AsistenciaJetAdminConcatenada!$D:$D, MATCH(1, (AsistenciaJetAdminConcatenada!$A:$A=BJ$2)*(AsistenciaJetAdminConcatenada!$B:$B=BJ$1), 0)), 1))),  0.5, 0))</f>
        <v>0</v>
      </c>
      <c r="BK41" s="47">
        <f t="array" ref="BK41">IF(AND(ISNUMBER(MATCH(BK$2, AsistenciaJetAdminConcatenada!$A:$A, 0)), ISNUMBER(MATCH(BK$1, AsistenciaJetAdminConcatenada!$B:$B, 0)), ISNUMBER(SEARCH($A41,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ISNUMBER(SEARCH($A41, INDEX(AsistenciaJetAdminConcatenada!$D:$D, MATCH(1, (AsistenciaJetAdminConcatenada!$A:$A=BK$2)*(AsistenciaJetAdminConcatenada!$B:$B=BK$1), 0)), 1))),  0.5, 0))</f>
        <v>1</v>
      </c>
      <c r="BL41" s="47">
        <f t="array" ref="BL41">IF(AND(ISNUMBER(MATCH(BL$2, AsistenciaJetAdminConcatenada!$A:$A, 0)), ISNUMBER(MATCH(BL$1, AsistenciaJetAdminConcatenada!$B:$B, 0)), ISNUMBER(SEARCH($A41,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ISNUMBER(SEARCH($A41, INDEX(AsistenciaJetAdminConcatenada!$D:$D, MATCH(1, (AsistenciaJetAdminConcatenada!$A:$A=BL$2)*(AsistenciaJetAdminConcatenada!$B:$B=BL$1), 0)), 1))),  0.5, 0))</f>
        <v>1</v>
      </c>
      <c r="BM41" s="47">
        <f t="array" ref="BM41">IF(AND(ISNUMBER(MATCH(BM$2, AsistenciaJetAdminConcatenada!$A:$A, 0)), ISNUMBER(MATCH(BM$1, AsistenciaJetAdminConcatenada!$B:$B, 0)), ISNUMBER(SEARCH($A41,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ISNUMBER(SEARCH($A41, INDEX(AsistenciaJetAdminConcatenada!$D:$D, MATCH(1, (AsistenciaJetAdminConcatenada!$A:$A=BM$2)*(AsistenciaJetAdminConcatenada!$B:$B=BM$1), 0)), 1))),  0.5, 0))</f>
        <v>1</v>
      </c>
      <c r="BN41" s="47">
        <f t="array" ref="BN41">IF(AND(ISNUMBER(MATCH(BN$2, AsistenciaJetAdminConcatenada!$A:$A, 0)), ISNUMBER(MATCH(BN$1, AsistenciaJetAdminConcatenada!$B:$B, 0)), ISNUMBER(SEARCH($A41,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ISNUMBER(SEARCH($A41, INDEX(AsistenciaJetAdminConcatenada!$D:$D, MATCH(1, (AsistenciaJetAdminConcatenada!$A:$A=BN$2)*(AsistenciaJetAdminConcatenada!$B:$B=BN$1), 0)), 1))),  0.5, 0))</f>
        <v>0</v>
      </c>
      <c r="BO41" s="47">
        <f t="array" ref="BO41">IF(AND(ISNUMBER(MATCH(BO$2, AsistenciaJetAdminConcatenada!$A:$A, 0)), ISNUMBER(MATCH(BO$1, AsistenciaJetAdminConcatenada!$B:$B, 0)), ISNUMBER(SEARCH($A41,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ISNUMBER(SEARCH($A41, INDEX(AsistenciaJetAdminConcatenada!$D:$D, MATCH(1, (AsistenciaJetAdminConcatenada!$A:$A=BO$2)*(AsistenciaJetAdminConcatenada!$B:$B=BO$1), 0)), 1))),  0.5, 0))</f>
        <v>0</v>
      </c>
      <c r="BP41" s="47">
        <f t="array" ref="BP41">IF(AND(ISNUMBER(MATCH(BP$2, AsistenciaJetAdminConcatenada!$A:$A, 0)), ISNUMBER(MATCH(BP$1, AsistenciaJetAdminConcatenada!$B:$B, 0)), ISNUMBER(SEARCH($A41,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ISNUMBER(SEARCH($A41, INDEX(AsistenciaJetAdminConcatenada!$D:$D, MATCH(1, (AsistenciaJetAdminConcatenada!$A:$A=BP$2)*(AsistenciaJetAdminConcatenada!$B:$B=BP$1), 0)), 1))),  0.5, 0))</f>
        <v>1</v>
      </c>
      <c r="BQ41" s="47">
        <f t="array" ref="BQ41">IF(AND(ISNUMBER(MATCH(BQ$2, AsistenciaJetAdminConcatenada!$A:$A, 0)), ISNUMBER(MATCH(BQ$1, AsistenciaJetAdminConcatenada!$B:$B, 0)), ISNUMBER(SEARCH($A41,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ISNUMBER(SEARCH($A41, INDEX(AsistenciaJetAdminConcatenada!$D:$D, MATCH(1, (AsistenciaJetAdminConcatenada!$A:$A=BQ$2)*(AsistenciaJetAdminConcatenada!$B:$B=BQ$1), 0)), 1))),  0.5, 0))</f>
        <v>1</v>
      </c>
      <c r="BR41" s="47">
        <f t="array" ref="BR41">IF(AND(ISNUMBER(MATCH(BR$2, AsistenciaJetAdminConcatenada!$A:$A, 0)), ISNUMBER(MATCH(BR$1, AsistenciaJetAdminConcatenada!$B:$B, 0)), ISNUMBER(SEARCH($A41,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ISNUMBER(SEARCH($A41, INDEX(AsistenciaJetAdminConcatenada!$D:$D, MATCH(1, (AsistenciaJetAdminConcatenada!$A:$A=BR$2)*(AsistenciaJetAdminConcatenada!$B:$B=BR$1), 0)), 1))),  0.5, 0))</f>
        <v>1</v>
      </c>
      <c r="BS41" s="47">
        <f t="array" ref="BS41">IF(AND(ISNUMBER(MATCH(BS$2, AsistenciaJetAdminConcatenada!$A:$A, 0)), ISNUMBER(MATCH(BS$1, AsistenciaJetAdminConcatenada!$B:$B, 0)), ISNUMBER(SEARCH($A41,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ISNUMBER(SEARCH($A41, INDEX(AsistenciaJetAdminConcatenada!$D:$D, MATCH(1, (AsistenciaJetAdminConcatenada!$A:$A=BS$2)*(AsistenciaJetAdminConcatenada!$B:$B=BS$1), 0)), 1))),  0.5, 0))</f>
        <v>1</v>
      </c>
      <c r="BT41" s="47">
        <f t="array" ref="BT41">IF(AND(ISNUMBER(MATCH(BT$2, AsistenciaJetAdminConcatenada!$A:$A, 0)), ISNUMBER(MATCH(BT$1, AsistenciaJetAdminConcatenada!$B:$B, 0)), ISNUMBER(SEARCH($A41,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ISNUMBER(SEARCH($A41, INDEX(AsistenciaJetAdminConcatenada!$D:$D, MATCH(1, (AsistenciaJetAdminConcatenada!$A:$A=BT$2)*(AsistenciaJetAdminConcatenada!$B:$B=BT$1), 0)), 1))),  0.5, 0))</f>
        <v>1</v>
      </c>
      <c r="BU41" s="47">
        <f t="array" ref="BU41">IF(AND(ISNUMBER(MATCH(BU$2, AsistenciaJetAdminConcatenada!$A:$A, 0)), ISNUMBER(MATCH(BU$1, AsistenciaJetAdminConcatenada!$B:$B, 0)), ISNUMBER(SEARCH($A41,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ISNUMBER(SEARCH($A41, INDEX(AsistenciaJetAdminConcatenada!$D:$D, MATCH(1, (AsistenciaJetAdminConcatenada!$A:$A=BU$2)*(AsistenciaJetAdminConcatenada!$B:$B=BU$1), 0)), 1))),  0.5, 0))</f>
        <v>1</v>
      </c>
      <c r="BV41" s="47">
        <f t="array" ref="BV41">IF(AND(ISNUMBER(MATCH(BV$2, AsistenciaJetAdminConcatenada!$A:$A, 0)), ISNUMBER(MATCH(BV$1, AsistenciaJetAdminConcatenada!$B:$B, 0)), ISNUMBER(SEARCH($A41,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ISNUMBER(SEARCH($A41, INDEX(AsistenciaJetAdminConcatenada!$D:$D, MATCH(1, (AsistenciaJetAdminConcatenada!$A:$A=BV$2)*(AsistenciaJetAdminConcatenada!$B:$B=BV$1), 0)), 1))),  0.5, 0))</f>
        <v>0</v>
      </c>
      <c r="BW41" s="47">
        <f t="array" ref="BW41">IF(AND(ISNUMBER(MATCH(BW$2, AsistenciaJetAdminConcatenada!$A:$A, 0)), ISNUMBER(MATCH(BW$1, AsistenciaJetAdminConcatenada!$B:$B, 0)), ISNUMBER(SEARCH($A41,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ISNUMBER(SEARCH($A41, INDEX(AsistenciaJetAdminConcatenada!$D:$D, MATCH(1, (AsistenciaJetAdminConcatenada!$A:$A=BW$2)*(AsistenciaJetAdminConcatenada!$B:$B=BW$1), 0)), 1))),  0.5, 0))</f>
        <v>0</v>
      </c>
      <c r="BX41" s="47">
        <f t="array" ref="BX41">IF(AND(ISNUMBER(MATCH(BX$2, AsistenciaJetAdminConcatenada!$A:$A, 0)), ISNUMBER(MATCH(BX$1, AsistenciaJetAdminConcatenada!$B:$B, 0)), ISNUMBER(SEARCH($A41,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ISNUMBER(SEARCH($A41, INDEX(AsistenciaJetAdminConcatenada!$D:$D, MATCH(1, (AsistenciaJetAdminConcatenada!$A:$A=BX$2)*(AsistenciaJetAdminConcatenada!$B:$B=BX$1), 0)), 1))),  0.5, 0))</f>
        <v>1</v>
      </c>
      <c r="BY41" s="47">
        <f t="array" ref="BY41">IF(AND(ISNUMBER(MATCH(BY$2, AsistenciaJetAdminConcatenada!$A:$A, 0)), ISNUMBER(MATCH(BY$1, AsistenciaJetAdminConcatenada!$B:$B, 0)), ISNUMBER(SEARCH($A41,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ISNUMBER(SEARCH($A41, INDEX(AsistenciaJetAdminConcatenada!$D:$D, MATCH(1, (AsistenciaJetAdminConcatenada!$A:$A=BY$2)*(AsistenciaJetAdminConcatenada!$B:$B=BY$1), 0)), 1))),  0.5, 0))</f>
        <v>1</v>
      </c>
      <c r="BZ41" s="47">
        <f t="array" ref="BZ41">IF(AND(ISNUMBER(MATCH(BZ$2, AsistenciaJetAdminConcatenada!$A:$A, 0)), ISNUMBER(MATCH(BZ$1, AsistenciaJetAdminConcatenada!$B:$B, 0)), ISNUMBER(SEARCH($A41,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ISNUMBER(SEARCH($A41, INDEX(AsistenciaJetAdminConcatenada!$D:$D, MATCH(1, (AsistenciaJetAdminConcatenada!$A:$A=BZ$2)*(AsistenciaJetAdminConcatenada!$B:$B=BZ$1), 0)), 1))),  0.5, 0))</f>
        <v>1</v>
      </c>
      <c r="CA41" s="47">
        <f t="array" ref="CA41">IF(AND(ISNUMBER(MATCH(CA$2, AsistenciaJetAdminConcatenada!$A:$A, 0)), ISNUMBER(MATCH(CA$1, AsistenciaJetAdminConcatenada!$B:$B, 0)), ISNUMBER(SEARCH($A41,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ISNUMBER(SEARCH($A41, INDEX(AsistenciaJetAdminConcatenada!$D:$D, MATCH(1, (AsistenciaJetAdminConcatenada!$A:$A=CA$2)*(AsistenciaJetAdminConcatenada!$B:$B=CA$1), 0)), 1))),  0.5, 0))</f>
        <v>1</v>
      </c>
      <c r="CB41" s="47">
        <f t="array" ref="CB41">IF(AND(ISNUMBER(MATCH(CB$2, AsistenciaJetAdminConcatenada!$A:$A, 0)), ISNUMBER(MATCH(CB$1, AsistenciaJetAdminConcatenada!$B:$B, 0)), ISNUMBER(SEARCH($A41,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ISNUMBER(SEARCH($A41, INDEX(AsistenciaJetAdminConcatenada!$D:$D, MATCH(1, (AsistenciaJetAdminConcatenada!$A:$A=CB$2)*(AsistenciaJetAdminConcatenada!$B:$B=CB$1), 0)), 1))),  0.5, 0))</f>
        <v>0</v>
      </c>
      <c r="CC41" s="47">
        <f t="array" ref="CC41">IF(AND(ISNUMBER(MATCH(CC$2, AsistenciaJetAdminConcatenada!$A:$A, 0)), ISNUMBER(MATCH(CC$1, AsistenciaJetAdminConcatenada!$B:$B, 0)), ISNUMBER(SEARCH($A41,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ISNUMBER(SEARCH($A41, INDEX(AsistenciaJetAdminConcatenada!$D:$D, MATCH(1, (AsistenciaJetAdminConcatenada!$A:$A=CC$2)*(AsistenciaJetAdminConcatenada!$B:$B=CC$1), 0)), 1))),  0.5, 0))</f>
        <v>0</v>
      </c>
      <c r="CD41" s="47">
        <f t="array" ref="CD41">IF(AND(ISNUMBER(MATCH(CD$2, AsistenciaJetAdminConcatenada!$A:$A, 0)), ISNUMBER(MATCH(CD$1, AsistenciaJetAdminConcatenada!$B:$B, 0)), ISNUMBER(SEARCH($A41,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ISNUMBER(SEARCH($A41, INDEX(AsistenciaJetAdminConcatenada!$D:$D, MATCH(1, (AsistenciaJetAdminConcatenada!$A:$A=CD$2)*(AsistenciaJetAdminConcatenada!$B:$B=CD$1), 0)), 1))),  0.5, 0))</f>
        <v>1</v>
      </c>
      <c r="CE41" s="47">
        <f t="array" ref="CE41">IF(AND(ISNUMBER(MATCH(CE$2, AsistenciaJetAdminConcatenada!$A:$A, 0)), ISNUMBER(MATCH(CE$1, AsistenciaJetAdminConcatenada!$B:$B, 0)), ISNUMBER(SEARCH($A41,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ISNUMBER(SEARCH($A41, INDEX(AsistenciaJetAdminConcatenada!$D:$D, MATCH(1, (AsistenciaJetAdminConcatenada!$A:$A=CE$2)*(AsistenciaJetAdminConcatenada!$B:$B=CE$1), 0)), 1))),  0.5, 0))</f>
        <v>1</v>
      </c>
      <c r="CF41" s="47">
        <f t="array" ref="CF41">IF(AND(ISNUMBER(MATCH(CF$2, AsistenciaJetAdminConcatenada!$A:$A, 0)), ISNUMBER(MATCH(CF$1, AsistenciaJetAdminConcatenada!$B:$B, 0)), ISNUMBER(SEARCH($A41,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ISNUMBER(SEARCH($A41, INDEX(AsistenciaJetAdminConcatenada!$D:$D, MATCH(1, (AsistenciaJetAdminConcatenada!$A:$A=CF$2)*(AsistenciaJetAdminConcatenada!$B:$B=CF$1), 0)), 1))),  0.5, 0))</f>
        <v>1</v>
      </c>
      <c r="CG41" s="47">
        <f t="array" ref="CG41">IF(AND(ISNUMBER(MATCH(CG$2, AsistenciaJetAdminConcatenada!$A:$A, 0)), ISNUMBER(MATCH(CG$1, AsistenciaJetAdminConcatenada!$B:$B, 0)), ISNUMBER(SEARCH($A41,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ISNUMBER(SEARCH($A41, INDEX(AsistenciaJetAdminConcatenada!$D:$D, MATCH(1, (AsistenciaJetAdminConcatenada!$A:$A=CG$2)*(AsistenciaJetAdminConcatenada!$B:$B=CG$1), 0)), 1))),  0.5, 0))</f>
        <v>1</v>
      </c>
      <c r="CH41" s="47">
        <f t="array" ref="CH41">IF(AND(ISNUMBER(MATCH(CH$2, AsistenciaJetAdminConcatenada!$A:$A, 0)), ISNUMBER(MATCH(CH$1, AsistenciaJetAdminConcatenada!$B:$B, 0)), ISNUMBER(SEARCH($A41,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ISNUMBER(SEARCH($A41, INDEX(AsistenciaJetAdminConcatenada!$D:$D, MATCH(1, (AsistenciaJetAdminConcatenada!$A:$A=CH$2)*(AsistenciaJetAdminConcatenada!$B:$B=CH$1), 0)), 1))),  0.5, 0))</f>
        <v>1</v>
      </c>
      <c r="CI41" s="47">
        <f t="array" ref="CI41">IF(AND(ISNUMBER(MATCH(CI$2, AsistenciaJetAdminConcatenada!$A:$A, 0)), ISNUMBER(MATCH(CI$1, AsistenciaJetAdminConcatenada!$B:$B, 0)), ISNUMBER(SEARCH($A41,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ISNUMBER(SEARCH($A41, INDEX(AsistenciaJetAdminConcatenada!$D:$D, MATCH(1, (AsistenciaJetAdminConcatenada!$A:$A=CI$2)*(AsistenciaJetAdminConcatenada!$B:$B=CI$1), 0)), 1))),  0.5, 0))</f>
        <v>1</v>
      </c>
      <c r="CJ41" s="47">
        <f t="array" ref="CJ41">IF(AND(ISNUMBER(MATCH(CJ$2, AsistenciaJetAdminConcatenada!$A:$A, 0)), ISNUMBER(MATCH(CJ$1, AsistenciaJetAdminConcatenada!$B:$B, 0)), ISNUMBER(SEARCH($A41,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ISNUMBER(SEARCH($A41, INDEX(AsistenciaJetAdminConcatenada!$D:$D, MATCH(1, (AsistenciaJetAdminConcatenada!$A:$A=CJ$2)*(AsistenciaJetAdminConcatenada!$B:$B=CJ$1), 0)), 1))),  0.5, 0))</f>
        <v>1</v>
      </c>
      <c r="CK41" s="47">
        <f t="array" ref="CK41">IF(AND(ISNUMBER(MATCH(CK$2, AsistenciaJetAdminConcatenada!$A:$A, 0)), ISNUMBER(MATCH(CK$1, AsistenciaJetAdminConcatenada!$B:$B, 0)), ISNUMBER(SEARCH($A41,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ISNUMBER(SEARCH($A41, INDEX(AsistenciaJetAdminConcatenada!$D:$D, MATCH(1, (AsistenciaJetAdminConcatenada!$A:$A=CK$2)*(AsistenciaJetAdminConcatenada!$B:$B=CK$1), 0)), 1))),  0.5, 0))</f>
        <v>1</v>
      </c>
      <c r="CL41" s="47">
        <f t="array" ref="CL41">IF(AND(ISNUMBER(MATCH(CL$2, AsistenciaJetAdminConcatenada!$A:$A, 0)), ISNUMBER(MATCH(CL$1, AsistenciaJetAdminConcatenada!$B:$B, 0)), ISNUMBER(SEARCH($A41,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ISNUMBER(SEARCH($A41, INDEX(AsistenciaJetAdminConcatenada!$D:$D, MATCH(1, (AsistenciaJetAdminConcatenada!$A:$A=CL$2)*(AsistenciaJetAdminConcatenada!$B:$B=CL$1), 0)), 1))),  0.5, 0))</f>
        <v>1</v>
      </c>
      <c r="CM41" s="47">
        <f t="array" ref="CM41">IF(AND(ISNUMBER(MATCH(CM$2, AsistenciaJetAdminConcatenada!$A:$A, 0)), ISNUMBER(MATCH(CM$1, AsistenciaJetAdminConcatenada!$B:$B, 0)), ISNUMBER(SEARCH($A41,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ISNUMBER(SEARCH($A41, INDEX(AsistenciaJetAdminConcatenada!$D:$D, MATCH(1, (AsistenciaJetAdminConcatenada!$A:$A=CM$2)*(AsistenciaJetAdminConcatenada!$B:$B=CM$1), 0)), 1))),  0.5, 0))</f>
        <v>1</v>
      </c>
      <c r="CN41" s="47">
        <f t="array" ref="CN41">IF(AND(ISNUMBER(MATCH(CN$2, AsistenciaJetAdminConcatenada!$A:$A, 0)), ISNUMBER(MATCH(CN$1, AsistenciaJetAdminConcatenada!$B:$B, 0)), ISNUMBER(SEARCH($A41,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ISNUMBER(SEARCH($A41, INDEX(AsistenciaJetAdminConcatenada!$D:$D, MATCH(1, (AsistenciaJetAdminConcatenada!$A:$A=CN$2)*(AsistenciaJetAdminConcatenada!$B:$B=CN$1), 0)), 1))),  0.5, 0))</f>
        <v>1</v>
      </c>
      <c r="CO41" s="47">
        <f t="array" ref="CO41">IF(AND(ISNUMBER(MATCH(CO$2, AsistenciaJetAdminConcatenada!$A:$A, 0)), ISNUMBER(MATCH(CO$1, AsistenciaJetAdminConcatenada!$B:$B, 0)), ISNUMBER(SEARCH($A41,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ISNUMBER(SEARCH($A41, INDEX(AsistenciaJetAdminConcatenada!$D:$D, MATCH(1, (AsistenciaJetAdminConcatenada!$A:$A=CO$2)*(AsistenciaJetAdminConcatenada!$B:$B=CO$1), 0)), 1))),  0.5, 0))</f>
        <v>1</v>
      </c>
      <c r="CP41" s="47">
        <f t="array" ref="CP41">IF(AND(ISNUMBER(MATCH(CP$2, AsistenciaJetAdminConcatenada!$A:$A, 0)), ISNUMBER(MATCH(CP$1, AsistenciaJetAdminConcatenada!$B:$B, 0)), ISNUMBER(SEARCH($A41,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ISNUMBER(SEARCH($A41, INDEX(AsistenciaJetAdminConcatenada!$D:$D, MATCH(1, (AsistenciaJetAdminConcatenada!$A:$A=CP$2)*(AsistenciaJetAdminConcatenada!$B:$B=CP$1), 0)), 1))),  0.5, 0))</f>
        <v>1</v>
      </c>
      <c r="CQ41" s="47">
        <f t="array" ref="CQ41">IF(AND(ISNUMBER(MATCH(CQ$2, AsistenciaJetAdminConcatenada!$A:$A, 0)), ISNUMBER(MATCH(CQ$1, AsistenciaJetAdminConcatenada!$B:$B, 0)), ISNUMBER(SEARCH($A41,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ISNUMBER(SEARCH($A41, INDEX(AsistenciaJetAdminConcatenada!$D:$D, MATCH(1, (AsistenciaJetAdminConcatenada!$A:$A=CQ$2)*(AsistenciaJetAdminConcatenada!$B:$B=CQ$1), 0)), 1))),  0.5, 0))</f>
        <v>1</v>
      </c>
      <c r="CR41" s="47">
        <f t="array" ref="CR41">IF(AND(ISNUMBER(MATCH(CR$2, AsistenciaJetAdminConcatenada!$A:$A, 0)), ISNUMBER(MATCH(CR$1, AsistenciaJetAdminConcatenada!$B:$B, 0)), ISNUMBER(SEARCH($A41,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ISNUMBER(SEARCH($A41, INDEX(AsistenciaJetAdminConcatenada!$D:$D, MATCH(1, (AsistenciaJetAdminConcatenada!$A:$A=CR$2)*(AsistenciaJetAdminConcatenada!$B:$B=CR$1), 0)), 1))),  0.5, 0))</f>
        <v>1</v>
      </c>
      <c r="CS41" s="47">
        <f t="array" ref="CS41">IF(AND(ISNUMBER(MATCH(CS$2, AsistenciaJetAdminConcatenada!$A:$A, 0)), ISNUMBER(MATCH(CS$1, AsistenciaJetAdminConcatenada!$B:$B, 0)), ISNUMBER(SEARCH($A41,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ISNUMBER(SEARCH($A41, INDEX(AsistenciaJetAdminConcatenada!$D:$D, MATCH(1, (AsistenciaJetAdminConcatenada!$A:$A=CS$2)*(AsistenciaJetAdminConcatenada!$B:$B=CS$1), 0)), 1))),  0.5, 0))</f>
        <v>0</v>
      </c>
      <c r="CT41" s="47">
        <f t="array" ref="CT41">IF(AND(ISNUMBER(MATCH(CT$2, AsistenciaJetAdminConcatenada!$A:$A, 0)), ISNUMBER(MATCH(CT$1, AsistenciaJetAdminConcatenada!$B:$B, 0)), ISNUMBER(SEARCH($A41,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ISNUMBER(SEARCH($A41, INDEX(AsistenciaJetAdminConcatenada!$D:$D, MATCH(1, (AsistenciaJetAdminConcatenada!$A:$A=CT$2)*(AsistenciaJetAdminConcatenada!$B:$B=CT$1), 0)), 1))),  0.5, 0))</f>
        <v>0</v>
      </c>
      <c r="CU41" s="47">
        <f t="array" ref="CU41">IF(AND(ISNUMBER(MATCH(CU$2, AsistenciaJetAdminConcatenada!$A:$A, 0)), ISNUMBER(MATCH(CU$1, AsistenciaJetAdminConcatenada!$B:$B, 0)), ISNUMBER(SEARCH($A41,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ISNUMBER(SEARCH($A41, INDEX(AsistenciaJetAdminConcatenada!$D:$D, MATCH(1, (AsistenciaJetAdminConcatenada!$A:$A=CU$2)*(AsistenciaJetAdminConcatenada!$B:$B=CU$1), 0)), 1))),  0.5, 0))</f>
        <v>0</v>
      </c>
      <c r="CV41" s="47">
        <f t="array" ref="CV41">IF(AND(ISNUMBER(MATCH(CV$2, AsistenciaJetAdminConcatenada!$A:$A, 0)), ISNUMBER(MATCH(CV$1, AsistenciaJetAdminConcatenada!$B:$B, 0)), ISNUMBER(SEARCH($A41,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ISNUMBER(SEARCH($A41, INDEX(AsistenciaJetAdminConcatenada!$D:$D, MATCH(1, (AsistenciaJetAdminConcatenada!$A:$A=CV$2)*(AsistenciaJetAdminConcatenada!$B:$B=CV$1), 0)), 1))),  0.5, 0))</f>
        <v>0</v>
      </c>
      <c r="CW41" s="47">
        <f t="array" ref="CW41">IF(AND(ISNUMBER(MATCH(CW$2, AsistenciaJetAdminConcatenada!$A:$A, 0)), ISNUMBER(MATCH(CW$1, AsistenciaJetAdminConcatenada!$B:$B, 0)), ISNUMBER(SEARCH($A41,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ISNUMBER(SEARCH($A41, INDEX(AsistenciaJetAdminConcatenada!$D:$D, MATCH(1, (AsistenciaJetAdminConcatenada!$A:$A=CW$2)*(AsistenciaJetAdminConcatenada!$B:$B=CW$1), 0)), 1))),  0.5, 0))</f>
        <v>0</v>
      </c>
      <c r="CX41" s="47">
        <f t="array" ref="CX41">IF(AND(ISNUMBER(MATCH(CX$2, AsistenciaJetAdminConcatenada!$A:$A, 0)), ISNUMBER(MATCH(CX$1, AsistenciaJetAdminConcatenada!$B:$B, 0)), ISNUMBER(SEARCH($A41,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ISNUMBER(SEARCH($A41, INDEX(AsistenciaJetAdminConcatenada!$D:$D, MATCH(1, (AsistenciaJetAdminConcatenada!$A:$A=CX$2)*(AsistenciaJetAdminConcatenada!$B:$B=CX$1), 0)), 1))),  0.5, 0))</f>
        <v>0</v>
      </c>
      <c r="CY41" s="47">
        <f t="array" ref="CY41">IF(AND(ISNUMBER(MATCH(CY$2, AsistenciaJetAdminConcatenada!$A:$A, 0)), ISNUMBER(MATCH(CY$1, AsistenciaJetAdminConcatenada!$B:$B, 0)), ISNUMBER(SEARCH($A41,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ISNUMBER(SEARCH($A41, INDEX(AsistenciaJetAdminConcatenada!$D:$D, MATCH(1, (AsistenciaJetAdminConcatenada!$A:$A=CY$2)*(AsistenciaJetAdminConcatenada!$B:$B=CY$1), 0)), 1))),  0.5, 0))</f>
        <v>0</v>
      </c>
      <c r="CZ41" s="47">
        <f t="array" ref="CZ41">IF(AND(ISNUMBER(MATCH(CZ$2, AsistenciaJetAdminConcatenada!$A:$A, 0)), ISNUMBER(MATCH(CZ$1, AsistenciaJetAdminConcatenada!$B:$B, 0)), ISNUMBER(SEARCH($A41,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ISNUMBER(SEARCH($A41, INDEX(AsistenciaJetAdminConcatenada!$D:$D, MATCH(1, (AsistenciaJetAdminConcatenada!$A:$A=CZ$2)*(AsistenciaJetAdminConcatenada!$B:$B=CZ$1), 0)), 1))),  0.5, 0))</f>
        <v>0</v>
      </c>
      <c r="DA41" s="47">
        <f t="array" ref="DA41">IF(AND(ISNUMBER(MATCH(DA$2, AsistenciaJetAdminConcatenada!$A:$A, 0)), ISNUMBER(MATCH(DA$1, AsistenciaJetAdminConcatenada!$B:$B, 0)), ISNUMBER(SEARCH($A41,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ISNUMBER(SEARCH($A41, INDEX(AsistenciaJetAdminConcatenada!$D:$D, MATCH(1, (AsistenciaJetAdminConcatenada!$A:$A=DA$2)*(AsistenciaJetAdminConcatenada!$B:$B=DA$1), 0)), 1))),  0.5, 0))</f>
        <v>0</v>
      </c>
      <c r="DB41" s="47">
        <f t="array" ref="DB41">IF(AND(ISNUMBER(MATCH(DB$2, AsistenciaJetAdminConcatenada!$A:$A, 0)), ISNUMBER(MATCH(DB$1, AsistenciaJetAdminConcatenada!$B:$B, 0)), ISNUMBER(SEARCH($A41,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ISNUMBER(SEARCH($A41, INDEX(AsistenciaJetAdminConcatenada!$D:$D, MATCH(1, (AsistenciaJetAdminConcatenada!$A:$A=DB$2)*(AsistenciaJetAdminConcatenada!$B:$B=DB$1), 0)), 1))),  0.5, 0))</f>
        <v>0</v>
      </c>
      <c r="DC41" s="47">
        <f t="array" ref="DC41">IF(AND(ISNUMBER(MATCH(DC$2, AsistenciaJetAdminConcatenada!$A:$A, 0)), ISNUMBER(MATCH(DC$1, AsistenciaJetAdminConcatenada!$B:$B, 0)), ISNUMBER(SEARCH($A41,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ISNUMBER(SEARCH($A41, INDEX(AsistenciaJetAdminConcatenada!$D:$D, MATCH(1, (AsistenciaJetAdminConcatenada!$A:$A=DC$2)*(AsistenciaJetAdminConcatenada!$B:$B=DC$1), 0)), 1))),  0.5, 0))</f>
        <v>0</v>
      </c>
      <c r="DD41" s="47">
        <f t="array" ref="DD41">IF(AND(ISNUMBER(MATCH(DD$2, AsistenciaJetAdminConcatenada!$A:$A, 0)), ISNUMBER(MATCH(DD$1, AsistenciaJetAdminConcatenada!$B:$B, 0)), ISNUMBER(SEARCH($A41,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ISNUMBER(SEARCH($A41, INDEX(AsistenciaJetAdminConcatenada!$D:$D, MATCH(1, (AsistenciaJetAdminConcatenada!$A:$A=DD$2)*(AsistenciaJetAdminConcatenada!$B:$B=DD$1), 0)), 1))),  0.5, 0))</f>
        <v>0</v>
      </c>
      <c r="DE41" s="47">
        <f t="array" ref="DE41">IF(AND(ISNUMBER(MATCH(DE$2, AsistenciaJetAdminConcatenada!$A:$A, 0)), ISNUMBER(MATCH(DE$1, AsistenciaJetAdminConcatenada!$B:$B, 0)), ISNUMBER(SEARCH($A41,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ISNUMBER(SEARCH($A41, INDEX(AsistenciaJetAdminConcatenada!$D:$D, MATCH(1, (AsistenciaJetAdminConcatenada!$A:$A=DE$2)*(AsistenciaJetAdminConcatenada!$B:$B=DE$1), 0)), 1))),  0.5, 0))</f>
        <v>0</v>
      </c>
      <c r="DF41" s="47">
        <f t="array" ref="DF41">IF(AND(ISNUMBER(MATCH(DF$2, AsistenciaJetAdminConcatenada!$A:$A, 0)), ISNUMBER(MATCH(DF$1, AsistenciaJetAdminConcatenada!$B:$B, 0)), ISNUMBER(SEARCH($A41,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ISNUMBER(SEARCH($A41, INDEX(AsistenciaJetAdminConcatenada!$D:$D, MATCH(1, (AsistenciaJetAdminConcatenada!$A:$A=DF$2)*(AsistenciaJetAdminConcatenada!$B:$B=DF$1), 0)), 1))),  0.5, 0))</f>
        <v>0</v>
      </c>
      <c r="DG41" s="47">
        <f t="array" ref="DG41">IF(AND(ISNUMBER(MATCH(DG$2, AsistenciaJetAdminConcatenada!$A:$A, 0)), ISNUMBER(MATCH(DG$1, AsistenciaJetAdminConcatenada!$B:$B, 0)), ISNUMBER(SEARCH($A41,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ISNUMBER(SEARCH($A41, INDEX(AsistenciaJetAdminConcatenada!$D:$D, MATCH(1, (AsistenciaJetAdminConcatenada!$A:$A=DG$2)*(AsistenciaJetAdminConcatenada!$B:$B=DG$1), 0)), 1))),  0.5, 0))</f>
        <v>0</v>
      </c>
      <c r="DH41" s="47">
        <f t="array" ref="DH41">IF(AND(ISNUMBER(MATCH(DH$2, AsistenciaJetAdminConcatenada!$A:$A, 0)), ISNUMBER(MATCH(DH$1, AsistenciaJetAdminConcatenada!$B:$B, 0)), ISNUMBER(SEARCH($A41,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ISNUMBER(SEARCH($A41, INDEX(AsistenciaJetAdminConcatenada!$D:$D, MATCH(1, (AsistenciaJetAdminConcatenada!$A:$A=DH$2)*(AsistenciaJetAdminConcatenada!$B:$B=DH$1), 0)), 1))),  0.5, 0))</f>
        <v>0</v>
      </c>
      <c r="DI41" s="47">
        <f t="array" ref="DI41">IF(AND(ISNUMBER(MATCH(DI$2, AsistenciaJetAdminConcatenada!$A:$A, 0)), ISNUMBER(MATCH(DI$1, AsistenciaJetAdminConcatenada!$B:$B, 0)), ISNUMBER(SEARCH($A41,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ISNUMBER(SEARCH($A41, INDEX(AsistenciaJetAdminConcatenada!$D:$D, MATCH(1, (AsistenciaJetAdminConcatenada!$A:$A=DI$2)*(AsistenciaJetAdminConcatenada!$B:$B=DI$1), 0)), 1))),  0.5, 0))</f>
        <v>0</v>
      </c>
      <c r="DJ41" s="47">
        <f t="array" ref="DJ41">IF(AND(ISNUMBER(MATCH(DJ$2, AsistenciaJetAdminConcatenada!$A:$A, 0)), ISNUMBER(MATCH(DJ$1, AsistenciaJetAdminConcatenada!$B:$B, 0)), ISNUMBER(SEARCH($A41,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ISNUMBER(SEARCH($A41, INDEX(AsistenciaJetAdminConcatenada!$D:$D, MATCH(1, (AsistenciaJetAdminConcatenada!$A:$A=DJ$2)*(AsistenciaJetAdminConcatenada!$B:$B=DJ$1), 0)), 1))),  0.5, 0))</f>
        <v>0</v>
      </c>
      <c r="DK41" s="47">
        <f t="array" ref="DK41">IF(AND(ISNUMBER(MATCH(DK$2, AsistenciaJetAdminConcatenada!$A:$A, 0)), ISNUMBER(MATCH(DK$1, AsistenciaJetAdminConcatenada!$B:$B, 0)), ISNUMBER(SEARCH($A41,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ISNUMBER(SEARCH($A41, INDEX(AsistenciaJetAdminConcatenada!$D:$D, MATCH(1, (AsistenciaJetAdminConcatenada!$A:$A=DK$2)*(AsistenciaJetAdminConcatenada!$B:$B=DK$1), 0)), 1))),  0.5, 0))</f>
        <v>0</v>
      </c>
      <c r="DL41" s="47">
        <f t="array" ref="DL41">IF(AND(ISNUMBER(MATCH(DL$2, AsistenciaJetAdminConcatenada!$A:$A, 0)), ISNUMBER(MATCH(DL$1, AsistenciaJetAdminConcatenada!$B:$B, 0)), ISNUMBER(SEARCH($A41,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ISNUMBER(SEARCH($A41, INDEX(AsistenciaJetAdminConcatenada!$D:$D, MATCH(1, (AsistenciaJetAdminConcatenada!$A:$A=DL$2)*(AsistenciaJetAdminConcatenada!$B:$B=DL$1), 0)), 1))),  0.5, 0))</f>
        <v>0</v>
      </c>
      <c r="DM41" s="47">
        <f t="array" ref="DM41">IF(AND(ISNUMBER(MATCH(DM$2, AsistenciaJetAdminConcatenada!$A:$A, 0)), ISNUMBER(MATCH(DM$1, AsistenciaJetAdminConcatenada!$B:$B, 0)), ISNUMBER(SEARCH($A41,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ISNUMBER(SEARCH($A41, INDEX(AsistenciaJetAdminConcatenada!$D:$D, MATCH(1, (AsistenciaJetAdminConcatenada!$A:$A=DM$2)*(AsistenciaJetAdminConcatenada!$B:$B=DM$1), 0)), 1))),  0.5, 0))</f>
        <v>0</v>
      </c>
      <c r="DN41" s="47">
        <f t="array" ref="DN41">IF(AND(ISNUMBER(MATCH(DN$2, AsistenciaJetAdminConcatenada!$A:$A, 0)), ISNUMBER(MATCH(DN$1, AsistenciaJetAdminConcatenada!$B:$B, 0)), ISNUMBER(SEARCH($A41,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ISNUMBER(SEARCH($A41, INDEX(AsistenciaJetAdminConcatenada!$D:$D, MATCH(1, (AsistenciaJetAdminConcatenada!$A:$A=DN$2)*(AsistenciaJetAdminConcatenada!$B:$B=DN$1), 0)), 1))),  0.5, 0))</f>
        <v>0</v>
      </c>
      <c r="DO41" s="47">
        <f t="array" ref="DO41">IF(AND(ISNUMBER(MATCH(DO$2, AsistenciaJetAdminConcatenada!$A:$A, 0)), ISNUMBER(MATCH(DO$1, AsistenciaJetAdminConcatenada!$B:$B, 0)), ISNUMBER(SEARCH($A41,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ISNUMBER(SEARCH($A41, INDEX(AsistenciaJetAdminConcatenada!$D:$D, MATCH(1, (AsistenciaJetAdminConcatenada!$A:$A=DO$2)*(AsistenciaJetAdminConcatenada!$B:$B=DO$1), 0)), 1))),  0.5, 0))</f>
        <v>0</v>
      </c>
      <c r="DP41" s="47">
        <f t="array" ref="DP41">IF(AND(ISNUMBER(MATCH(DP$2, AsistenciaJetAdminConcatenada!$A:$A, 0)), ISNUMBER(MATCH(DP$1, AsistenciaJetAdminConcatenada!$B:$B, 0)), ISNUMBER(SEARCH($A41,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ISNUMBER(SEARCH($A41, INDEX(AsistenciaJetAdminConcatenada!$D:$D, MATCH(1, (AsistenciaJetAdminConcatenada!$A:$A=DP$2)*(AsistenciaJetAdminConcatenada!$B:$B=DP$1), 0)), 1))),  0.5, 0))</f>
        <v>0</v>
      </c>
      <c r="DQ41" s="47">
        <f t="array" ref="DQ41">IF(AND(ISNUMBER(MATCH(DQ$2, AsistenciaJetAdminConcatenada!$A:$A, 0)), ISNUMBER(MATCH(DQ$1, AsistenciaJetAdminConcatenada!$B:$B, 0)), ISNUMBER(SEARCH($A41,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ISNUMBER(SEARCH($A41, INDEX(AsistenciaJetAdminConcatenada!$D:$D, MATCH(1, (AsistenciaJetAdminConcatenada!$A:$A=DQ$2)*(AsistenciaJetAdminConcatenada!$B:$B=DQ$1), 0)), 1))),  0.5, 0))</f>
        <v>0</v>
      </c>
      <c r="DR41" s="47">
        <f t="array" ref="DR41">IF(AND(ISNUMBER(MATCH(DR$2, AsistenciaJetAdminConcatenada!$A:$A, 0)), ISNUMBER(MATCH(DR$1, AsistenciaJetAdminConcatenada!$B:$B, 0)), ISNUMBER(SEARCH($A41,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ISNUMBER(SEARCH($A41, INDEX(AsistenciaJetAdminConcatenada!$D:$D, MATCH(1, (AsistenciaJetAdminConcatenada!$A:$A=DR$2)*(AsistenciaJetAdminConcatenada!$B:$B=DR$1), 0)), 1))),  0.5, 0))</f>
        <v>0</v>
      </c>
      <c r="DS41" s="47">
        <f t="array" ref="DS41">IF(AND(ISNUMBER(MATCH(DS$2, AsistenciaJetAdminConcatenada!$A:$A, 0)), ISNUMBER(MATCH(DS$1, AsistenciaJetAdminConcatenada!$B:$B, 0)), ISNUMBER(SEARCH($A41,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ISNUMBER(SEARCH($A41, INDEX(AsistenciaJetAdminConcatenada!$D:$D, MATCH(1, (AsistenciaJetAdminConcatenada!$A:$A=DS$2)*(AsistenciaJetAdminConcatenada!$B:$B=DS$1), 0)), 1))),  0.5, 0))</f>
        <v>0</v>
      </c>
      <c r="DT41" s="47">
        <f t="array" ref="DT41">IF(AND(ISNUMBER(MATCH(DT$2, AsistenciaJetAdminConcatenada!$A:$A, 0)), ISNUMBER(MATCH(DT$1, AsistenciaJetAdminConcatenada!$B:$B, 0)), ISNUMBER(SEARCH($A41,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ISNUMBER(SEARCH($A41, INDEX(AsistenciaJetAdminConcatenada!$D:$D, MATCH(1, (AsistenciaJetAdminConcatenada!$A:$A=DT$2)*(AsistenciaJetAdminConcatenada!$B:$B=DT$1), 0)), 1))),  0.5, 0))</f>
        <v>0</v>
      </c>
      <c r="DU41" s="47">
        <f t="array" ref="DU41">IF(AND(ISNUMBER(MATCH(DU$2, AsistenciaJetAdminConcatenada!$A:$A, 0)), ISNUMBER(MATCH(DU$1, AsistenciaJetAdminConcatenada!$B:$B, 0)), ISNUMBER(SEARCH($A41,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ISNUMBER(SEARCH($A41, INDEX(AsistenciaJetAdminConcatenada!$D:$D, MATCH(1, (AsistenciaJetAdminConcatenada!$A:$A=DU$2)*(AsistenciaJetAdminConcatenada!$B:$B=DU$1), 0)), 1))),  0.5, 0))</f>
        <v>0</v>
      </c>
      <c r="DV41" s="47">
        <f t="array" ref="DV41">IF(AND(ISNUMBER(MATCH(DV$2, AsistenciaJetAdminConcatenada!$A:$A, 0)), ISNUMBER(MATCH(DV$1, AsistenciaJetAdminConcatenada!$B:$B, 0)), ISNUMBER(SEARCH($A41,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ISNUMBER(SEARCH($A41, INDEX(AsistenciaJetAdminConcatenada!$D:$D, MATCH(1, (AsistenciaJetAdminConcatenada!$A:$A=DV$2)*(AsistenciaJetAdminConcatenada!$B:$B=DV$1), 0)), 1))),  0.5, 0))</f>
        <v>0</v>
      </c>
      <c r="DW41" s="47">
        <f t="array" ref="DW41">IF(AND(ISNUMBER(MATCH(DW$2, AsistenciaJetAdminConcatenada!$A:$A, 0)), ISNUMBER(MATCH(DW$1, AsistenciaJetAdminConcatenada!$B:$B, 0)), ISNUMBER(SEARCH($A41,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ISNUMBER(SEARCH($A41, INDEX(AsistenciaJetAdminConcatenada!$D:$D, MATCH(1, (AsistenciaJetAdminConcatenada!$A:$A=DW$2)*(AsistenciaJetAdminConcatenada!$B:$B=DW$1), 0)), 1))),  0.5, 0))</f>
        <v>0</v>
      </c>
      <c r="DX41" s="47">
        <f t="array" ref="DX41">IF(AND(ISNUMBER(MATCH(DX$2, AsistenciaJetAdminConcatenada!$A:$A, 0)), ISNUMBER(MATCH(DX$1, AsistenciaJetAdminConcatenada!$B:$B, 0)), ISNUMBER(SEARCH($A41,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ISNUMBER(SEARCH($A41, INDEX(AsistenciaJetAdminConcatenada!$D:$D, MATCH(1, (AsistenciaJetAdminConcatenada!$A:$A=DX$2)*(AsistenciaJetAdminConcatenada!$B:$B=DX$1), 0)), 1))),  0.5, 0))</f>
        <v>0</v>
      </c>
      <c r="DY41" s="47">
        <f t="array" ref="DY41">IF(AND(ISNUMBER(MATCH(DY$2, AsistenciaJetAdminConcatenada!$A:$A, 0)), ISNUMBER(MATCH(DY$1, AsistenciaJetAdminConcatenada!$B:$B, 0)), ISNUMBER(SEARCH($A41,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ISNUMBER(SEARCH($A41, INDEX(AsistenciaJetAdminConcatenada!$D:$D, MATCH(1, (AsistenciaJetAdminConcatenada!$A:$A=DY$2)*(AsistenciaJetAdminConcatenada!$B:$B=DY$1), 0)), 1))),  0.5, 0))</f>
        <v>0</v>
      </c>
      <c r="DZ41" s="47">
        <f t="array" ref="DZ41">IF(AND(ISNUMBER(MATCH(DZ$2, AsistenciaJetAdminConcatenada!$A:$A, 0)), ISNUMBER(MATCH(DZ$1, AsistenciaJetAdminConcatenada!$B:$B, 0)), ISNUMBER(SEARCH($A41,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ISNUMBER(SEARCH($A41, INDEX(AsistenciaJetAdminConcatenada!$D:$D, MATCH(1, (AsistenciaJetAdminConcatenada!$A:$A=DZ$2)*(AsistenciaJetAdminConcatenada!$B:$B=DZ$1), 0)), 1))),  0.5, 0))</f>
        <v>0</v>
      </c>
      <c r="EA41" s="47">
        <f t="array" ref="EA41">IF(AND(ISNUMBER(MATCH(EA$2, AsistenciaJetAdminConcatenada!$A:$A, 0)), ISNUMBER(MATCH(EA$1, AsistenciaJetAdminConcatenada!$B:$B, 0)), ISNUMBER(SEARCH($A41,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ISNUMBER(SEARCH($A41, INDEX(AsistenciaJetAdminConcatenada!$D:$D, MATCH(1, (AsistenciaJetAdminConcatenada!$A:$A=EA$2)*(AsistenciaJetAdminConcatenada!$B:$B=EA$1), 0)), 1))),  0.5, 0))</f>
        <v>0</v>
      </c>
      <c r="EB41" s="47">
        <f t="array" ref="EB41">IF(AND(ISNUMBER(MATCH(EB$2, AsistenciaJetAdminConcatenada!$A:$A, 0)), ISNUMBER(MATCH(EB$1, AsistenciaJetAdminConcatenada!$B:$B, 0)), ISNUMBER(SEARCH($A41,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ISNUMBER(SEARCH($A41, INDEX(AsistenciaJetAdminConcatenada!$D:$D, MATCH(1, (AsistenciaJetAdminConcatenada!$A:$A=EB$2)*(AsistenciaJetAdminConcatenada!$B:$B=EB$1), 0)), 1))),  0.5, 0))</f>
        <v>0</v>
      </c>
      <c r="EC41" s="47">
        <f t="array" ref="EC41">IF(AND(ISNUMBER(MATCH(EC$2, AsistenciaJetAdminConcatenada!$A:$A, 0)), ISNUMBER(MATCH(EC$1, AsistenciaJetAdminConcatenada!$B:$B, 0)), ISNUMBER(SEARCH($A41,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ISNUMBER(SEARCH($A41, INDEX(AsistenciaJetAdminConcatenada!$D:$D, MATCH(1, (AsistenciaJetAdminConcatenada!$A:$A=EC$2)*(AsistenciaJetAdminConcatenada!$B:$B=EC$1), 0)), 1))),  0.5, 0))</f>
        <v>0</v>
      </c>
      <c r="ED41" s="47">
        <f t="array" ref="ED41">IF(AND(ISNUMBER(MATCH(ED$2, AsistenciaJetAdminConcatenada!$A:$A, 0)), ISNUMBER(MATCH(ED$1, AsistenciaJetAdminConcatenada!$B:$B, 0)), ISNUMBER(SEARCH($A41,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ISNUMBER(SEARCH($A41, INDEX(AsistenciaJetAdminConcatenada!$D:$D, MATCH(1, (AsistenciaJetAdminConcatenada!$A:$A=ED$2)*(AsistenciaJetAdminConcatenada!$B:$B=ED$1), 0)), 1))),  0.5, 0))</f>
        <v>0</v>
      </c>
      <c r="EE41" s="47">
        <f t="array" ref="EE41">IF(AND(ISNUMBER(MATCH(EE$2, AsistenciaJetAdminConcatenada!$A:$A, 0)), ISNUMBER(MATCH(EE$1, AsistenciaJetAdminConcatenada!$B:$B, 0)), ISNUMBER(SEARCH($A41,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ISNUMBER(SEARCH($A41, INDEX(AsistenciaJetAdminConcatenada!$D:$D, MATCH(1, (AsistenciaJetAdminConcatenada!$A:$A=EE$2)*(AsistenciaJetAdminConcatenada!$B:$B=EE$1), 0)), 1))),  0.5, 0))</f>
        <v>0</v>
      </c>
      <c r="EF41" s="47">
        <f t="array" ref="EF41">IF(AND(ISNUMBER(MATCH(EF$2, AsistenciaJetAdminConcatenada!$A:$A, 0)), ISNUMBER(MATCH(EF$1, AsistenciaJetAdminConcatenada!$B:$B, 0)), ISNUMBER(SEARCH($A41,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ISNUMBER(SEARCH($A41, INDEX(AsistenciaJetAdminConcatenada!$D:$D, MATCH(1, (AsistenciaJetAdminConcatenada!$A:$A=EF$2)*(AsistenciaJetAdminConcatenada!$B:$B=EF$1), 0)), 1))),  0.5, 0))</f>
        <v>0</v>
      </c>
      <c r="EG41" s="47">
        <f t="array" ref="EG41">IF(AND(ISNUMBER(MATCH(EG$2, AsistenciaJetAdminConcatenada!$A:$A, 0)), ISNUMBER(MATCH(EG$1, AsistenciaJetAdminConcatenada!$B:$B, 0)), ISNUMBER(SEARCH($A41,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ISNUMBER(SEARCH($A41, INDEX(AsistenciaJetAdminConcatenada!$D:$D, MATCH(1, (AsistenciaJetAdminConcatenada!$A:$A=EG$2)*(AsistenciaJetAdminConcatenada!$B:$B=EG$1), 0)), 1))),  0.5, 0))</f>
        <v>0</v>
      </c>
      <c r="EH41" s="47">
        <f t="array" ref="EH41">IF(AND(ISNUMBER(MATCH(EH$2, AsistenciaJetAdminConcatenada!$A:$A, 0)), ISNUMBER(MATCH(EH$1, AsistenciaJetAdminConcatenada!$B:$B, 0)), ISNUMBER(SEARCH($A41,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ISNUMBER(SEARCH($A41, INDEX(AsistenciaJetAdminConcatenada!$D:$D, MATCH(1, (AsistenciaJetAdminConcatenada!$A:$A=EH$2)*(AsistenciaJetAdminConcatenada!$B:$B=EH$1), 0)), 1))),  0.5, 0))</f>
        <v>0</v>
      </c>
      <c r="EI41" s="47">
        <f t="array" ref="EI41">IF(AND(ISNUMBER(MATCH(EI$2, AsistenciaJetAdminConcatenada!$A:$A, 0)), ISNUMBER(MATCH(EI$1, AsistenciaJetAdminConcatenada!$B:$B, 0)), ISNUMBER(SEARCH($A41,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ISNUMBER(SEARCH($A41, INDEX(AsistenciaJetAdminConcatenada!$D:$D, MATCH(1, (AsistenciaJetAdminConcatenada!$A:$A=EI$2)*(AsistenciaJetAdminConcatenada!$B:$B=EI$1), 0)), 1))),  0.5, 0))</f>
        <v>0</v>
      </c>
      <c r="EJ41" s="47">
        <f t="array" ref="EJ41">IF(AND(ISNUMBER(MATCH(EJ$2, AsistenciaJetAdminConcatenada!$A:$A, 0)), ISNUMBER(MATCH(EJ$1, AsistenciaJetAdminConcatenada!$B:$B, 0)), ISNUMBER(SEARCH($A41,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ISNUMBER(SEARCH($A41, INDEX(AsistenciaJetAdminConcatenada!$D:$D, MATCH(1, (AsistenciaJetAdminConcatenada!$A:$A=EJ$2)*(AsistenciaJetAdminConcatenada!$B:$B=EJ$1), 0)), 1))),  0.5, 0))</f>
        <v>0</v>
      </c>
      <c r="EK41" s="47">
        <f t="array" ref="EK41">IF(AND(ISNUMBER(MATCH(EK$2, AsistenciaJetAdminConcatenada!$A:$A, 0)), ISNUMBER(MATCH(EK$1, AsistenciaJetAdminConcatenada!$B:$B, 0)), ISNUMBER(SEARCH($A41,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ISNUMBER(SEARCH($A41, INDEX(AsistenciaJetAdminConcatenada!$D:$D, MATCH(1, (AsistenciaJetAdminConcatenada!$A:$A=EK$2)*(AsistenciaJetAdminConcatenada!$B:$B=EK$1), 0)), 1))),  0.5, 0))</f>
        <v>0</v>
      </c>
      <c r="EL41" s="47">
        <f t="array" ref="EL41">IF(AND(ISNUMBER(MATCH(EL$2, AsistenciaJetAdminConcatenada!$A:$A, 0)), ISNUMBER(MATCH(EL$1, AsistenciaJetAdminConcatenada!$B:$B, 0)), ISNUMBER(SEARCH($A41,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ISNUMBER(SEARCH($A41, INDEX(AsistenciaJetAdminConcatenada!$D:$D, MATCH(1, (AsistenciaJetAdminConcatenada!$A:$A=EL$2)*(AsistenciaJetAdminConcatenada!$B:$B=EL$1), 0)), 1))),  0.5, 0))</f>
        <v>0</v>
      </c>
      <c r="EM41" s="47">
        <f t="array" ref="EM41">IF(AND(ISNUMBER(MATCH(EM$2, AsistenciaJetAdminConcatenada!$A:$A, 0)), ISNUMBER(MATCH(EM$1, AsistenciaJetAdminConcatenada!$B:$B, 0)), ISNUMBER(SEARCH($A41,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ISNUMBER(SEARCH($A41, INDEX(AsistenciaJetAdminConcatenada!$D:$D, MATCH(1, (AsistenciaJetAdminConcatenada!$A:$A=EM$2)*(AsistenciaJetAdminConcatenada!$B:$B=EM$1), 0)), 1))),  0.5, 0))</f>
        <v>0</v>
      </c>
      <c r="EN41" s="47">
        <f t="array" ref="EN41">IF(AND(ISNUMBER(MATCH(EN$2, AsistenciaJetAdminConcatenada!$A:$A, 0)), ISNUMBER(MATCH(EN$1, AsistenciaJetAdminConcatenada!$B:$B, 0)), ISNUMBER(SEARCH($A41,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ISNUMBER(SEARCH($A41, INDEX(AsistenciaJetAdminConcatenada!$D:$D, MATCH(1, (AsistenciaJetAdminConcatenada!$A:$A=EN$2)*(AsistenciaJetAdminConcatenada!$B:$B=EN$1), 0)), 1))),  0.5, 0))</f>
        <v>0</v>
      </c>
      <c r="EO41" s="47">
        <f t="array" ref="EO41">IF(AND(ISNUMBER(MATCH(EO$2, AsistenciaJetAdminConcatenada!$A:$A, 0)), ISNUMBER(MATCH(EO$1, AsistenciaJetAdminConcatenada!$B:$B, 0)), ISNUMBER(SEARCH($A41,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ISNUMBER(SEARCH($A41, INDEX(AsistenciaJetAdminConcatenada!$D:$D, MATCH(1, (AsistenciaJetAdminConcatenada!$A:$A=EO$2)*(AsistenciaJetAdminConcatenada!$B:$B=EO$1), 0)), 1))),  0.5, 0))</f>
        <v>0</v>
      </c>
      <c r="EP41" s="47">
        <f t="array" ref="EP41">IF(AND(ISNUMBER(MATCH(EP$2, AsistenciaJetAdminConcatenada!$A:$A, 0)), ISNUMBER(MATCH(EP$1, AsistenciaJetAdminConcatenada!$B:$B, 0)), ISNUMBER(SEARCH($A41,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ISNUMBER(SEARCH($A41, INDEX(AsistenciaJetAdminConcatenada!$D:$D, MATCH(1, (AsistenciaJetAdminConcatenada!$A:$A=EP$2)*(AsistenciaJetAdminConcatenada!$B:$B=EP$1), 0)), 1))),  0.5, 0))</f>
        <v>0</v>
      </c>
      <c r="EQ41" s="47">
        <f t="array" ref="EQ41">IF(AND(ISNUMBER(MATCH(EQ$2, AsistenciaJetAdminConcatenada!$A:$A, 0)), ISNUMBER(MATCH(EQ$1, AsistenciaJetAdminConcatenada!$B:$B, 0)), ISNUMBER(SEARCH($A41,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ISNUMBER(SEARCH($A41, INDEX(AsistenciaJetAdminConcatenada!$D:$D, MATCH(1, (AsistenciaJetAdminConcatenada!$A:$A=EQ$2)*(AsistenciaJetAdminConcatenada!$B:$B=EQ$1), 0)), 1))),  0.5, 0))</f>
        <v>0</v>
      </c>
      <c r="ER41" s="47">
        <f t="array" ref="ER41">IF(AND(ISNUMBER(MATCH(ER$2, AsistenciaJetAdminConcatenada!$A:$A, 0)), ISNUMBER(MATCH(ER$1, AsistenciaJetAdminConcatenada!$B:$B, 0)), ISNUMBER(SEARCH($A41,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ISNUMBER(SEARCH($A41, INDEX(AsistenciaJetAdminConcatenada!$D:$D, MATCH(1, (AsistenciaJetAdminConcatenada!$A:$A=ER$2)*(AsistenciaJetAdminConcatenada!$B:$B=ER$1), 0)), 1))),  0.5, 0))</f>
        <v>0</v>
      </c>
      <c r="ES41" s="47">
        <f t="array" ref="ES41">IF(AND(ISNUMBER(MATCH(ES$2, AsistenciaJetAdminConcatenada!$A:$A, 0)), ISNUMBER(MATCH(ES$1, AsistenciaJetAdminConcatenada!$B:$B, 0)), ISNUMBER(SEARCH($A41,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ISNUMBER(SEARCH($A41, INDEX(AsistenciaJetAdminConcatenada!$D:$D, MATCH(1, (AsistenciaJetAdminConcatenada!$A:$A=ES$2)*(AsistenciaJetAdminConcatenada!$B:$B=ES$1), 0)), 1))),  0.5, 0))</f>
        <v>0</v>
      </c>
      <c r="ET41" s="47">
        <f t="array" ref="ET41">IF(AND(ISNUMBER(MATCH(ET$2, AsistenciaJetAdminConcatenada!$A:$A, 0)), ISNUMBER(MATCH(ET$1, AsistenciaJetAdminConcatenada!$B:$B, 0)), ISNUMBER(SEARCH($A41,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ISNUMBER(SEARCH($A41, INDEX(AsistenciaJetAdminConcatenada!$D:$D, MATCH(1, (AsistenciaJetAdminConcatenada!$A:$A=ET$2)*(AsistenciaJetAdminConcatenada!$B:$B=ET$1), 0)), 1))),  0.5, 0))</f>
        <v>0</v>
      </c>
      <c r="EU41" s="47">
        <f t="array" ref="EU41">IF(AND(ISNUMBER(MATCH(EU$2, AsistenciaJetAdminConcatenada!$A:$A, 0)), ISNUMBER(MATCH(EU$1, AsistenciaJetAdminConcatenada!$B:$B, 0)), ISNUMBER(SEARCH($A41,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ISNUMBER(SEARCH($A41, INDEX(AsistenciaJetAdminConcatenada!$D:$D, MATCH(1, (AsistenciaJetAdminConcatenada!$A:$A=EU$2)*(AsistenciaJetAdminConcatenada!$B:$B=EU$1), 0)), 1))),  0.5, 0))</f>
        <v>0</v>
      </c>
      <c r="EV41" s="47">
        <f t="array" ref="EV41">IF(AND(ISNUMBER(MATCH(EV$2, AsistenciaJetAdminConcatenada!$A:$A, 0)), ISNUMBER(MATCH(EV$1, AsistenciaJetAdminConcatenada!$B:$B, 0)), ISNUMBER(SEARCH($A41,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ISNUMBER(SEARCH($A41, INDEX(AsistenciaJetAdminConcatenada!$D:$D, MATCH(1, (AsistenciaJetAdminConcatenada!$A:$A=EV$2)*(AsistenciaJetAdminConcatenada!$B:$B=EV$1), 0)), 1))),  0.5, 0))</f>
        <v>0</v>
      </c>
      <c r="EW41" s="47">
        <f t="array" ref="EW41">IF(AND(ISNUMBER(MATCH(EW$2, AsistenciaJetAdminConcatenada!$A:$A, 0)), ISNUMBER(MATCH(EW$1, AsistenciaJetAdminConcatenada!$B:$B, 0)), ISNUMBER(SEARCH($A41,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ISNUMBER(SEARCH($A41, INDEX(AsistenciaJetAdminConcatenada!$D:$D, MATCH(1, (AsistenciaJetAdminConcatenada!$A:$A=EW$2)*(AsistenciaJetAdminConcatenada!$B:$B=EW$1), 0)), 1))),  0.5, 0))</f>
        <v>0</v>
      </c>
      <c r="EX41" s="47">
        <f t="array" ref="EX41">IF(AND(ISNUMBER(MATCH(EX$2, AsistenciaJetAdminConcatenada!$A:$A, 0)), ISNUMBER(MATCH(EX$1, AsistenciaJetAdminConcatenada!$B:$B, 0)), ISNUMBER(SEARCH($A41,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ISNUMBER(SEARCH($A41, INDEX(AsistenciaJetAdminConcatenada!$D:$D, MATCH(1, (AsistenciaJetAdminConcatenada!$A:$A=EX$2)*(AsistenciaJetAdminConcatenada!$B:$B=EX$1), 0)), 1))),  0.5, 0))</f>
        <v>0</v>
      </c>
      <c r="EY41" s="47">
        <f t="array" ref="EY41">IF(AND(ISNUMBER(MATCH(EY$2, AsistenciaJetAdminConcatenada!$A:$A, 0)), ISNUMBER(MATCH(EY$1, AsistenciaJetAdminConcatenada!$B:$B, 0)), ISNUMBER(SEARCH($A41,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ISNUMBER(SEARCH($A41, INDEX(AsistenciaJetAdminConcatenada!$D:$D, MATCH(1, (AsistenciaJetAdminConcatenada!$A:$A=EY$2)*(AsistenciaJetAdminConcatenada!$B:$B=EY$1), 0)), 1))),  0.5, 0))</f>
        <v>0</v>
      </c>
      <c r="EZ41" s="47">
        <f t="array" ref="EZ41">IF(AND(ISNUMBER(MATCH(EZ$2, AsistenciaJetAdminConcatenada!$A:$A, 0)), ISNUMBER(MATCH(EZ$1, AsistenciaJetAdminConcatenada!$B:$B, 0)), ISNUMBER(SEARCH($A41,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ISNUMBER(SEARCH($A41, INDEX(AsistenciaJetAdminConcatenada!$D:$D, MATCH(1, (AsistenciaJetAdminConcatenada!$A:$A=EZ$2)*(AsistenciaJetAdminConcatenada!$B:$B=EZ$1), 0)), 1))),  0.5, 0))</f>
        <v>0</v>
      </c>
      <c r="FA41" s="47">
        <f t="array" ref="FA41">IF(AND(ISNUMBER(MATCH(FA$2, AsistenciaJetAdminConcatenada!$A:$A, 0)), ISNUMBER(MATCH(FA$1, AsistenciaJetAdminConcatenada!$B:$B, 0)), ISNUMBER(SEARCH($A41,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ISNUMBER(SEARCH($A41, INDEX(AsistenciaJetAdminConcatenada!$D:$D, MATCH(1, (AsistenciaJetAdminConcatenada!$A:$A=FA$2)*(AsistenciaJetAdminConcatenada!$B:$B=FA$1), 0)), 1))),  0.5, 0))</f>
        <v>0</v>
      </c>
      <c r="FB41" s="47">
        <f t="array" ref="FB41">IF(AND(ISNUMBER(MATCH(FB$2, AsistenciaJetAdminConcatenada!$A:$A, 0)), ISNUMBER(MATCH(FB$1, AsistenciaJetAdminConcatenada!$B:$B, 0)), ISNUMBER(SEARCH($A41,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ISNUMBER(SEARCH($A41, INDEX(AsistenciaJetAdminConcatenada!$D:$D, MATCH(1, (AsistenciaJetAdminConcatenada!$A:$A=FB$2)*(AsistenciaJetAdminConcatenada!$B:$B=FB$1), 0)), 1))),  0.5, 0))</f>
        <v>0</v>
      </c>
      <c r="FC41" s="47">
        <f t="array" ref="FC41">IF(AND(ISNUMBER(MATCH(FC$2, AsistenciaJetAdminConcatenada!$A:$A, 0)), ISNUMBER(MATCH(FC$1, AsistenciaJetAdminConcatenada!$B:$B, 0)), ISNUMBER(SEARCH($A41,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ISNUMBER(SEARCH($A41, INDEX(AsistenciaJetAdminConcatenada!$D:$D, MATCH(1, (AsistenciaJetAdminConcatenada!$A:$A=FC$2)*(AsistenciaJetAdminConcatenada!$B:$B=FC$1), 0)), 1))),  0.5, 0))</f>
        <v>0</v>
      </c>
      <c r="FD41" s="47">
        <f t="array" ref="FD41">IF(AND(ISNUMBER(MATCH(FD$2, AsistenciaJetAdminConcatenada!$A:$A, 0)), ISNUMBER(MATCH(FD$1, AsistenciaJetAdminConcatenada!$B:$B, 0)), ISNUMBER(SEARCH($A41,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ISNUMBER(SEARCH($A41, INDEX(AsistenciaJetAdminConcatenada!$D:$D, MATCH(1, (AsistenciaJetAdminConcatenada!$A:$A=FD$2)*(AsistenciaJetAdminConcatenada!$B:$B=FD$1), 0)), 1))),  0.5, 0))</f>
        <v>0</v>
      </c>
      <c r="FE41" s="47">
        <f t="array" ref="FE41">IF(AND(ISNUMBER(MATCH(FE$2, AsistenciaJetAdminConcatenada!$A:$A, 0)), ISNUMBER(MATCH(FE$1, AsistenciaJetAdminConcatenada!$B:$B, 0)), ISNUMBER(SEARCH($A41,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ISNUMBER(SEARCH($A41, INDEX(AsistenciaJetAdminConcatenada!$D:$D, MATCH(1, (AsistenciaJetAdminConcatenada!$A:$A=FE$2)*(AsistenciaJetAdminConcatenada!$B:$B=FE$1), 0)), 1))),  0.5, 0))</f>
        <v>0</v>
      </c>
      <c r="FF41" s="47">
        <f t="array" ref="FF41">IF(AND(ISNUMBER(MATCH(FF$2, AsistenciaJetAdminConcatenada!$A:$A, 0)), ISNUMBER(MATCH(FF$1, AsistenciaJetAdminConcatenada!$B:$B, 0)), ISNUMBER(SEARCH($A41,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ISNUMBER(SEARCH($A41, INDEX(AsistenciaJetAdminConcatenada!$D:$D, MATCH(1, (AsistenciaJetAdminConcatenada!$A:$A=FF$2)*(AsistenciaJetAdminConcatenada!$B:$B=FF$1), 0)), 1))),  0.5, 0))</f>
        <v>0</v>
      </c>
      <c r="FG41" s="47">
        <f t="array" ref="FG41">IF(AND(ISNUMBER(MATCH(FG$2, AsistenciaJetAdminConcatenada!$A:$A, 0)), ISNUMBER(MATCH(FG$1, AsistenciaJetAdminConcatenada!$B:$B, 0)), ISNUMBER(SEARCH($A41,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ISNUMBER(SEARCH($A41, INDEX(AsistenciaJetAdminConcatenada!$D:$D, MATCH(1, (AsistenciaJetAdminConcatenada!$A:$A=FG$2)*(AsistenciaJetAdminConcatenada!$B:$B=FG$1), 0)), 1))),  0.5, 0))</f>
        <v>0</v>
      </c>
      <c r="FH41" s="47">
        <f t="array" ref="FH41">IF(AND(ISNUMBER(MATCH(FH$2, AsistenciaJetAdminConcatenada!$A:$A, 0)), ISNUMBER(MATCH(FH$1, AsistenciaJetAdminConcatenada!$B:$B, 0)), ISNUMBER(SEARCH($A41,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ISNUMBER(SEARCH($A41, INDEX(AsistenciaJetAdminConcatenada!$D:$D, MATCH(1, (AsistenciaJetAdminConcatenada!$A:$A=FH$2)*(AsistenciaJetAdminConcatenada!$B:$B=FH$1), 0)), 1))),  0.5, 0))</f>
        <v>0</v>
      </c>
      <c r="FI41" s="47">
        <f t="array" ref="FI41">IF(AND(ISNUMBER(MATCH(FI$2, AsistenciaJetAdminConcatenada!$A:$A, 0)), ISNUMBER(MATCH(FI$1, AsistenciaJetAdminConcatenada!$B:$B, 0)), ISNUMBER(SEARCH($A41,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ISNUMBER(SEARCH($A41, INDEX(AsistenciaJetAdminConcatenada!$D:$D, MATCH(1, (AsistenciaJetAdminConcatenada!$A:$A=FI$2)*(AsistenciaJetAdminConcatenada!$B:$B=FI$1), 0)), 1))),  0.5, 0))</f>
        <v>0</v>
      </c>
      <c r="FJ41" s="47">
        <f t="array" ref="FJ41">IF(AND(ISNUMBER(MATCH(FJ$2, AsistenciaJetAdminConcatenada!$A:$A, 0)), ISNUMBER(MATCH(FJ$1, AsistenciaJetAdminConcatenada!$B:$B, 0)), ISNUMBER(SEARCH($A41,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ISNUMBER(SEARCH($A41, INDEX(AsistenciaJetAdminConcatenada!$D:$D, MATCH(1, (AsistenciaJetAdminConcatenada!$A:$A=FJ$2)*(AsistenciaJetAdminConcatenada!$B:$B=FJ$1), 0)), 1))),  0.5, 0))</f>
        <v>0</v>
      </c>
      <c r="FK41" s="47">
        <f t="array" ref="FK41">IF(AND(ISNUMBER(MATCH(FK$2, AsistenciaJetAdminConcatenada!$A:$A, 0)), ISNUMBER(MATCH(FK$1, AsistenciaJetAdminConcatenada!$B:$B, 0)), ISNUMBER(SEARCH($A41,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ISNUMBER(SEARCH($A41, INDEX(AsistenciaJetAdminConcatenada!$D:$D, MATCH(1, (AsistenciaJetAdminConcatenada!$A:$A=FK$2)*(AsistenciaJetAdminConcatenada!$B:$B=FK$1), 0)), 1))),  0.5, 0))</f>
        <v>0</v>
      </c>
      <c r="FL41" s="47">
        <f t="array" ref="FL41">IF(AND(ISNUMBER(MATCH(FL$2, AsistenciaJetAdminConcatenada!$A:$A, 0)), ISNUMBER(MATCH(FL$1, AsistenciaJetAdminConcatenada!$B:$B, 0)), ISNUMBER(SEARCH($A41,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ISNUMBER(SEARCH($A41, INDEX(AsistenciaJetAdminConcatenada!$D:$D, MATCH(1, (AsistenciaJetAdminConcatenada!$A:$A=FL$2)*(AsistenciaJetAdminConcatenada!$B:$B=FL$1), 0)), 1))),  0.5, 0))</f>
        <v>0</v>
      </c>
      <c r="FM41" s="47">
        <f t="array" ref="FM41">IF(AND(ISNUMBER(MATCH(FM$2, AsistenciaJetAdminConcatenada!$A:$A, 0)), ISNUMBER(MATCH(FM$1, AsistenciaJetAdminConcatenada!$B:$B, 0)), ISNUMBER(SEARCH($A41,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ISNUMBER(SEARCH($A41, INDEX(AsistenciaJetAdminConcatenada!$D:$D, MATCH(1, (AsistenciaJetAdminConcatenada!$A:$A=FM$2)*(AsistenciaJetAdminConcatenada!$B:$B=FM$1), 0)), 1))),  0.5, 0))</f>
        <v>0</v>
      </c>
      <c r="FN41" s="47">
        <f t="array" ref="FN41">IF(AND(ISNUMBER(MATCH(FN$2, AsistenciaJetAdminConcatenada!$A:$A, 0)), ISNUMBER(MATCH(FN$1, AsistenciaJetAdminConcatenada!$B:$B, 0)), ISNUMBER(SEARCH($A41,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ISNUMBER(SEARCH($A41, INDEX(AsistenciaJetAdminConcatenada!$D:$D, MATCH(1, (AsistenciaJetAdminConcatenada!$A:$A=FN$2)*(AsistenciaJetAdminConcatenada!$B:$B=FN$1), 0)), 1))),  0.5, 0))</f>
        <v>0</v>
      </c>
      <c r="FO41" s="47">
        <f t="array" ref="FO41">IF(AND(ISNUMBER(MATCH(FO$2, AsistenciaJetAdminConcatenada!$A:$A, 0)), ISNUMBER(MATCH(FO$1, AsistenciaJetAdminConcatenada!$B:$B, 0)), ISNUMBER(SEARCH($A41,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ISNUMBER(SEARCH($A41, INDEX(AsistenciaJetAdminConcatenada!$D:$D, MATCH(1, (AsistenciaJetAdminConcatenada!$A:$A=FO$2)*(AsistenciaJetAdminConcatenada!$B:$B=FO$1), 0)), 1))),  0.5, 0))</f>
        <v>0</v>
      </c>
      <c r="FP41" s="47">
        <f t="array" ref="FP41">IF(AND(ISNUMBER(MATCH(FP$2, AsistenciaJetAdminConcatenada!$A:$A, 0)), ISNUMBER(MATCH(FP$1, AsistenciaJetAdminConcatenada!$B:$B, 0)), ISNUMBER(SEARCH($A41,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ISNUMBER(SEARCH($A41, INDEX(AsistenciaJetAdminConcatenada!$D:$D, MATCH(1, (AsistenciaJetAdminConcatenada!$A:$A=FP$2)*(AsistenciaJetAdminConcatenada!$B:$B=FP$1), 0)), 1))),  0.5, 0))</f>
        <v>0</v>
      </c>
      <c r="FQ41" s="47">
        <f t="array" ref="FQ41">IF(AND(ISNUMBER(MATCH(FQ$2, AsistenciaJetAdminConcatenada!$A:$A, 0)), ISNUMBER(MATCH(FQ$1, AsistenciaJetAdminConcatenada!$B:$B, 0)), ISNUMBER(SEARCH($A41,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ISNUMBER(SEARCH($A41, INDEX(AsistenciaJetAdminConcatenada!$D:$D, MATCH(1, (AsistenciaJetAdminConcatenada!$A:$A=FQ$2)*(AsistenciaJetAdminConcatenada!$B:$B=FQ$1), 0)), 1))),  0.5, 0))</f>
        <v>0</v>
      </c>
      <c r="FR41" s="47">
        <f t="array" ref="FR41">IF(AND(ISNUMBER(MATCH(FR$2, AsistenciaJetAdminConcatenada!$A:$A, 0)), ISNUMBER(MATCH(FR$1, AsistenciaJetAdminConcatenada!$B:$B, 0)), ISNUMBER(SEARCH($A41,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ISNUMBER(SEARCH($A41, INDEX(AsistenciaJetAdminConcatenada!$D:$D, MATCH(1, (AsistenciaJetAdminConcatenada!$A:$A=FR$2)*(AsistenciaJetAdminConcatenada!$B:$B=FR$1), 0)), 1))),  0.5, 0))</f>
        <v>0</v>
      </c>
      <c r="FS41" s="47">
        <f t="array" ref="FS41">IF(AND(ISNUMBER(MATCH(FS$2, AsistenciaJetAdminConcatenada!$A:$A, 0)), ISNUMBER(MATCH(FS$1, AsistenciaJetAdminConcatenada!$B:$B, 0)), ISNUMBER(SEARCH($A41,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ISNUMBER(SEARCH($A41, INDEX(AsistenciaJetAdminConcatenada!$D:$D, MATCH(1, (AsistenciaJetAdminConcatenada!$A:$A=FS$2)*(AsistenciaJetAdminConcatenada!$B:$B=FS$1), 0)), 1))),  0.5, 0))</f>
        <v>0</v>
      </c>
      <c r="FT41" s="47">
        <f t="array" ref="FT41">IF(AND(ISNUMBER(MATCH(FT$2, AsistenciaJetAdminConcatenada!$A:$A, 0)), ISNUMBER(MATCH(FT$1, AsistenciaJetAdminConcatenada!$B:$B, 0)), ISNUMBER(SEARCH($A41,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ISNUMBER(SEARCH($A41, INDEX(AsistenciaJetAdminConcatenada!$D:$D, MATCH(1, (AsistenciaJetAdminConcatenada!$A:$A=FT$2)*(AsistenciaJetAdminConcatenada!$B:$B=FT$1), 0)), 1))),  0.5, 0))</f>
        <v>0</v>
      </c>
      <c r="FU41" s="47">
        <f t="array" ref="FU41">IF(AND(ISNUMBER(MATCH(FU$2, AsistenciaJetAdminConcatenada!$A:$A, 0)), ISNUMBER(MATCH(FU$1, AsistenciaJetAdminConcatenada!$B:$B, 0)), ISNUMBER(SEARCH($A41,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ISNUMBER(SEARCH($A41, INDEX(AsistenciaJetAdminConcatenada!$D:$D, MATCH(1, (AsistenciaJetAdminConcatenada!$A:$A=FU$2)*(AsistenciaJetAdminConcatenada!$B:$B=FU$1), 0)), 1))),  0.5, 0))</f>
        <v>0</v>
      </c>
      <c r="FV41" s="47">
        <f t="array" ref="FV41">IF(AND(ISNUMBER(MATCH(FV$2, AsistenciaJetAdminConcatenada!$A:$A, 0)), ISNUMBER(MATCH(FV$1, AsistenciaJetAdminConcatenada!$B:$B, 0)), ISNUMBER(SEARCH($A41,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ISNUMBER(SEARCH($A41, INDEX(AsistenciaJetAdminConcatenada!$D:$D, MATCH(1, (AsistenciaJetAdminConcatenada!$A:$A=FV$2)*(AsistenciaJetAdminConcatenada!$B:$B=FV$1), 0)), 1))),  0.5, 0))</f>
        <v>0</v>
      </c>
      <c r="FW41" s="47">
        <f t="array" ref="FW41">IF(AND(ISNUMBER(MATCH(FW$2, AsistenciaJetAdminConcatenada!$A:$A, 0)), ISNUMBER(MATCH(FW$1, AsistenciaJetAdminConcatenada!$B:$B, 0)), ISNUMBER(SEARCH($A41,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ISNUMBER(SEARCH($A41, INDEX(AsistenciaJetAdminConcatenada!$D:$D, MATCH(1, (AsistenciaJetAdminConcatenada!$A:$A=FW$2)*(AsistenciaJetAdminConcatenada!$B:$B=FW$1), 0)), 1))),  0.5, 0))</f>
        <v>0</v>
      </c>
      <c r="FX41" s="47">
        <f t="array" ref="FX41">IF(AND(ISNUMBER(MATCH(FX$2, AsistenciaJetAdminConcatenada!$A:$A, 0)), ISNUMBER(MATCH(FX$1, AsistenciaJetAdminConcatenada!$B:$B, 0)), ISNUMBER(SEARCH($A41,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ISNUMBER(SEARCH($A41, INDEX(AsistenciaJetAdminConcatenada!$D:$D, MATCH(1, (AsistenciaJetAdminConcatenada!$A:$A=FX$2)*(AsistenciaJetAdminConcatenada!$B:$B=FX$1), 0)), 1))),  0.5, 0))</f>
        <v>0</v>
      </c>
      <c r="FY41" s="47">
        <f t="array" ref="FY41">IF(AND(ISNUMBER(MATCH(FY$2, AsistenciaJetAdminConcatenada!$A:$A, 0)), ISNUMBER(MATCH(FY$1, AsistenciaJetAdminConcatenada!$B:$B, 0)), ISNUMBER(SEARCH($A41,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ISNUMBER(SEARCH($A41, INDEX(AsistenciaJetAdminConcatenada!$D:$D, MATCH(1, (AsistenciaJetAdminConcatenada!$A:$A=FY$2)*(AsistenciaJetAdminConcatenada!$B:$B=FY$1), 0)), 1))),  0.5, 0))</f>
        <v>0</v>
      </c>
      <c r="FZ41" s="47">
        <f t="array" ref="FZ41">IF(AND(ISNUMBER(MATCH(FZ$2, AsistenciaJetAdminConcatenada!$A:$A, 0)), ISNUMBER(MATCH(FZ$1, AsistenciaJetAdminConcatenada!$B:$B, 0)), ISNUMBER(SEARCH($A41,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ISNUMBER(SEARCH($A41, INDEX(AsistenciaJetAdminConcatenada!$D:$D, MATCH(1, (AsistenciaJetAdminConcatenada!$A:$A=FZ$2)*(AsistenciaJetAdminConcatenada!$B:$B=FZ$1), 0)), 1))),  0.5, 0))</f>
        <v>0</v>
      </c>
      <c r="GA41" s="47">
        <f t="array" ref="GA41">IF(AND(ISNUMBER(MATCH(GA$2, AsistenciaJetAdminConcatenada!$A:$A, 0)), ISNUMBER(MATCH(GA$1, AsistenciaJetAdminConcatenada!$B:$B, 0)), ISNUMBER(SEARCH($A41,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ISNUMBER(SEARCH($A41, INDEX(AsistenciaJetAdminConcatenada!$D:$D, MATCH(1, (AsistenciaJetAdminConcatenada!$A:$A=GA$2)*(AsistenciaJetAdminConcatenada!$B:$B=GA$1), 0)), 1))),  0.5, 0))</f>
        <v>0</v>
      </c>
      <c r="GB41" s="47">
        <f t="array" ref="GB41">IF(AND(ISNUMBER(MATCH(GB$2, AsistenciaJetAdminConcatenada!$A:$A, 0)), ISNUMBER(MATCH(GB$1, AsistenciaJetAdminConcatenada!$B:$B, 0)), ISNUMBER(SEARCH($A41,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ISNUMBER(SEARCH($A41, INDEX(AsistenciaJetAdminConcatenada!$D:$D, MATCH(1, (AsistenciaJetAdminConcatenada!$A:$A=GB$2)*(AsistenciaJetAdminConcatenada!$B:$B=GB$1), 0)), 1))),  0.5, 0))</f>
        <v>0</v>
      </c>
      <c r="GC41" s="47">
        <f t="array" ref="GC41">IF(AND(ISNUMBER(MATCH(GC$2, AsistenciaJetAdminConcatenada!$A:$A, 0)), ISNUMBER(MATCH(GC$1, AsistenciaJetAdminConcatenada!$B:$B, 0)), ISNUMBER(SEARCH($A41,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ISNUMBER(SEARCH($A41, INDEX(AsistenciaJetAdminConcatenada!$D:$D, MATCH(1, (AsistenciaJetAdminConcatenada!$A:$A=GC$2)*(AsistenciaJetAdminConcatenada!$B:$B=GC$1), 0)), 1))),  0.5, 0))</f>
        <v>0</v>
      </c>
      <c r="GD41" s="47">
        <f t="array" ref="GD41">IF(AND(ISNUMBER(MATCH(GD$2, AsistenciaJetAdminConcatenada!$A:$A, 0)), ISNUMBER(MATCH(GD$1, AsistenciaJetAdminConcatenada!$B:$B, 0)), ISNUMBER(SEARCH($A41,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ISNUMBER(SEARCH($A41, INDEX(AsistenciaJetAdminConcatenada!$D:$D, MATCH(1, (AsistenciaJetAdminConcatenada!$A:$A=GD$2)*(AsistenciaJetAdminConcatenada!$B:$B=GD$1), 0)), 1))),  0.5, 0))</f>
        <v>0</v>
      </c>
      <c r="GE41" s="47">
        <f t="array" ref="GE41">IF(AND(ISNUMBER(MATCH(GE$2, AsistenciaJetAdminConcatenada!$A:$A, 0)), ISNUMBER(MATCH(GE$1, AsistenciaJetAdminConcatenada!$B:$B, 0)), ISNUMBER(SEARCH($A41,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ISNUMBER(SEARCH($A41, INDEX(AsistenciaJetAdminConcatenada!$D:$D, MATCH(1, (AsistenciaJetAdminConcatenada!$A:$A=GE$2)*(AsistenciaJetAdminConcatenada!$B:$B=GE$1), 0)), 1))),  0.5, 0))</f>
        <v>0</v>
      </c>
      <c r="GF41" s="47">
        <f t="array" ref="GF41">IF(AND(ISNUMBER(MATCH(GF$2, AsistenciaJetAdminConcatenada!$A:$A, 0)), ISNUMBER(MATCH(GF$1, AsistenciaJetAdminConcatenada!$B:$B, 0)), ISNUMBER(SEARCH($A41,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ISNUMBER(SEARCH($A41, INDEX(AsistenciaJetAdminConcatenada!$D:$D, MATCH(1, (AsistenciaJetAdminConcatenada!$A:$A=GF$2)*(AsistenciaJetAdminConcatenada!$B:$B=GF$1), 0)), 1))),  0.5, 0))</f>
        <v>0</v>
      </c>
      <c r="GG41" s="47">
        <f t="array" ref="GG41">IF(AND(ISNUMBER(MATCH(GG$2, AsistenciaJetAdminConcatenada!$A:$A, 0)), ISNUMBER(MATCH(GG$1, AsistenciaJetAdminConcatenada!$B:$B, 0)), ISNUMBER(SEARCH($A41,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ISNUMBER(SEARCH($A41, INDEX(AsistenciaJetAdminConcatenada!$D:$D, MATCH(1, (AsistenciaJetAdminConcatenada!$A:$A=GG$2)*(AsistenciaJetAdminConcatenada!$B:$B=GG$1), 0)), 1))),  0.5, 0))</f>
        <v>0</v>
      </c>
      <c r="GH41" s="47">
        <f t="array" ref="GH41">IF(AND(ISNUMBER(MATCH(GH$2, AsistenciaJetAdminConcatenada!$A:$A, 0)), ISNUMBER(MATCH(GH$1, AsistenciaJetAdminConcatenada!$B:$B, 0)), ISNUMBER(SEARCH($A41,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ISNUMBER(SEARCH($A41, INDEX(AsistenciaJetAdminConcatenada!$D:$D, MATCH(1, (AsistenciaJetAdminConcatenada!$A:$A=GH$2)*(AsistenciaJetAdminConcatenada!$B:$B=GH$1), 0)), 1))),  0.5, 0))</f>
        <v>0</v>
      </c>
      <c r="GI41" s="47">
        <f t="array" ref="GI41">IF(AND(ISNUMBER(MATCH(GI$2, AsistenciaJetAdminConcatenada!$A:$A, 0)), ISNUMBER(MATCH(GI$1, AsistenciaJetAdminConcatenada!$B:$B, 0)), ISNUMBER(SEARCH($A41,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ISNUMBER(SEARCH($A41, INDEX(AsistenciaJetAdminConcatenada!$D:$D, MATCH(1, (AsistenciaJetAdminConcatenada!$A:$A=GI$2)*(AsistenciaJetAdminConcatenada!$B:$B=GI$1), 0)), 1))),  0.5, 0))</f>
        <v>0</v>
      </c>
      <c r="GJ41" s="47">
        <f t="array" ref="GJ41">IF(AND(ISNUMBER(MATCH(GJ$2, AsistenciaJetAdminConcatenada!$A:$A, 0)), ISNUMBER(MATCH(GJ$1, AsistenciaJetAdminConcatenada!$B:$B, 0)), ISNUMBER(SEARCH($A41,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ISNUMBER(SEARCH($A41, INDEX(AsistenciaJetAdminConcatenada!$D:$D, MATCH(1, (AsistenciaJetAdminConcatenada!$A:$A=GJ$2)*(AsistenciaJetAdminConcatenada!$B:$B=GJ$1), 0)), 1))),  0.5, 0))</f>
        <v>0</v>
      </c>
      <c r="GK41" s="47">
        <f t="array" ref="GK41">IF(AND(ISNUMBER(MATCH(GK$2, AsistenciaJetAdminConcatenada!$A:$A, 0)), ISNUMBER(MATCH(GK$1, AsistenciaJetAdminConcatenada!$B:$B, 0)), ISNUMBER(SEARCH($A41,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ISNUMBER(SEARCH($A41, INDEX(AsistenciaJetAdminConcatenada!$D:$D, MATCH(1, (AsistenciaJetAdminConcatenada!$A:$A=GK$2)*(AsistenciaJetAdminConcatenada!$B:$B=GK$1), 0)), 1))),  0.5, 0))</f>
        <v>0</v>
      </c>
      <c r="GL41" s="47">
        <f t="array" ref="GL41">IF(AND(ISNUMBER(MATCH(GL$2, AsistenciaJetAdminConcatenada!$A:$A, 0)), ISNUMBER(MATCH(GL$1, AsistenciaJetAdminConcatenada!$B:$B, 0)), ISNUMBER(SEARCH($A41,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ISNUMBER(SEARCH($A41, INDEX(AsistenciaJetAdminConcatenada!$D:$D, MATCH(1, (AsistenciaJetAdminConcatenada!$A:$A=GL$2)*(AsistenciaJetAdminConcatenada!$B:$B=GL$1), 0)), 1))),  0.5, 0))</f>
        <v>0</v>
      </c>
      <c r="GM41" s="47">
        <f t="array" ref="GM41">IF(AND(ISNUMBER(MATCH(GM$2, AsistenciaJetAdminConcatenada!$A:$A, 0)), ISNUMBER(MATCH(GM$1, AsistenciaJetAdminConcatenada!$B:$B, 0)), ISNUMBER(SEARCH($A41,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ISNUMBER(SEARCH($A41, INDEX(AsistenciaJetAdminConcatenada!$D:$D, MATCH(1, (AsistenciaJetAdminConcatenada!$A:$A=GM$2)*(AsistenciaJetAdminConcatenada!$B:$B=GM$1), 0)), 1))),  0.5, 0))</f>
        <v>0</v>
      </c>
      <c r="GN41" s="47">
        <f t="array" ref="GN41">IF(AND(ISNUMBER(MATCH(GN$2, AsistenciaJetAdminConcatenada!$A:$A, 0)), ISNUMBER(MATCH(GN$1, AsistenciaJetAdminConcatenada!$B:$B, 0)), ISNUMBER(SEARCH($A41,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ISNUMBER(SEARCH($A41, INDEX(AsistenciaJetAdminConcatenada!$D:$D, MATCH(1, (AsistenciaJetAdminConcatenada!$A:$A=GN$2)*(AsistenciaJetAdminConcatenada!$B:$B=GN$1), 0)), 1))),  0.5, 0))</f>
        <v>0</v>
      </c>
      <c r="GO41" s="47">
        <f t="array" ref="GO41">IF(AND(ISNUMBER(MATCH(GO$2, AsistenciaJetAdminConcatenada!$A:$A, 0)), ISNUMBER(MATCH(GO$1, AsistenciaJetAdminConcatenada!$B:$B, 0)), ISNUMBER(SEARCH($A41,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ISNUMBER(SEARCH($A41, INDEX(AsistenciaJetAdminConcatenada!$D:$D, MATCH(1, (AsistenciaJetAdminConcatenada!$A:$A=GO$2)*(AsistenciaJetAdminConcatenada!$B:$B=GO$1), 0)), 1))),  0.5, 0))</f>
        <v>0</v>
      </c>
      <c r="GP41" s="47">
        <f t="array" ref="GP41">IF(AND(ISNUMBER(MATCH(GP$2, AsistenciaJetAdminConcatenada!$A:$A, 0)), ISNUMBER(MATCH(GP$1, AsistenciaJetAdminConcatenada!$B:$B, 0)), ISNUMBER(SEARCH($A41,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ISNUMBER(SEARCH($A41, INDEX(AsistenciaJetAdminConcatenada!$D:$D, MATCH(1, (AsistenciaJetAdminConcatenada!$A:$A=GP$2)*(AsistenciaJetAdminConcatenada!$B:$B=GP$1), 0)), 1))),  0.5, 0))</f>
        <v>0</v>
      </c>
      <c r="GQ41" s="47">
        <f t="array" ref="GQ41">IF(AND(ISNUMBER(MATCH(GQ$2, AsistenciaJetAdminConcatenada!$A:$A, 0)), ISNUMBER(MATCH(GQ$1, AsistenciaJetAdminConcatenada!$B:$B, 0)), ISNUMBER(SEARCH($A41,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ISNUMBER(SEARCH($A41, INDEX(AsistenciaJetAdminConcatenada!$D:$D, MATCH(1, (AsistenciaJetAdminConcatenada!$A:$A=GQ$2)*(AsistenciaJetAdminConcatenada!$B:$B=GQ$1), 0)), 1))),  0.5, 0))</f>
        <v>0</v>
      </c>
      <c r="GR41" s="47">
        <f t="array" ref="GR41">IF(AND(ISNUMBER(MATCH(GR$2, AsistenciaJetAdminConcatenada!$A:$A, 0)), ISNUMBER(MATCH(GR$1, AsistenciaJetAdminConcatenada!$B:$B, 0)), ISNUMBER(SEARCH($A41,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ISNUMBER(SEARCH($A41, INDEX(AsistenciaJetAdminConcatenada!$D:$D, MATCH(1, (AsistenciaJetAdminConcatenada!$A:$A=GR$2)*(AsistenciaJetAdminConcatenada!$B:$B=GR$1), 0)), 1))),  0.5, 0))</f>
        <v>0</v>
      </c>
      <c r="GS41" s="47">
        <f t="array" ref="GS41">IF(AND(ISNUMBER(MATCH(GS$2, AsistenciaJetAdminConcatenada!$A:$A, 0)), ISNUMBER(MATCH(GS$1, AsistenciaJetAdminConcatenada!$B:$B, 0)), ISNUMBER(SEARCH($A41,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ISNUMBER(SEARCH($A41, INDEX(AsistenciaJetAdminConcatenada!$D:$D, MATCH(1, (AsistenciaJetAdminConcatenada!$A:$A=GS$2)*(AsistenciaJetAdminConcatenada!$B:$B=GS$1), 0)), 1))),  0.5, 0))</f>
        <v>0</v>
      </c>
      <c r="GT41" s="47">
        <f t="array" ref="GT41">IF(AND(ISNUMBER(MATCH(GT$2, AsistenciaJetAdminConcatenada!$A:$A, 0)), ISNUMBER(MATCH(GT$1, AsistenciaJetAdminConcatenada!$B:$B, 0)), ISNUMBER(SEARCH($A41,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ISNUMBER(SEARCH($A41, INDEX(AsistenciaJetAdminConcatenada!$D:$D, MATCH(1, (AsistenciaJetAdminConcatenada!$A:$A=GT$2)*(AsistenciaJetAdminConcatenada!$B:$B=GT$1), 0)), 1))),  0.5, 0))</f>
        <v>0</v>
      </c>
      <c r="GU41" s="47">
        <f t="array" ref="GU41">IF(AND(ISNUMBER(MATCH(GU$2, AsistenciaJetAdminConcatenada!$A:$A, 0)), ISNUMBER(MATCH(GU$1, AsistenciaJetAdminConcatenada!$B:$B, 0)), ISNUMBER(SEARCH($A41,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ISNUMBER(SEARCH($A41, INDEX(AsistenciaJetAdminConcatenada!$D:$D, MATCH(1, (AsistenciaJetAdminConcatenada!$A:$A=GU$2)*(AsistenciaJetAdminConcatenada!$B:$B=GU$1), 0)), 1))),  0.5, 0))</f>
        <v>0</v>
      </c>
      <c r="GV41" s="47">
        <f t="array" ref="GV41">IF(AND(ISNUMBER(MATCH(GV$2, AsistenciaJetAdminConcatenada!$A:$A, 0)), ISNUMBER(MATCH(GV$1, AsistenciaJetAdminConcatenada!$B:$B, 0)), ISNUMBER(SEARCH($A41,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ISNUMBER(SEARCH($A41, INDEX(AsistenciaJetAdminConcatenada!$D:$D, MATCH(1, (AsistenciaJetAdminConcatenada!$A:$A=GV$2)*(AsistenciaJetAdminConcatenada!$B:$B=GV$1), 0)), 1))),  0.5, 0))</f>
        <v>0</v>
      </c>
      <c r="GW41" s="47">
        <f t="array" ref="GW41">IF(AND(ISNUMBER(MATCH(GW$2, AsistenciaJetAdminConcatenada!$A:$A, 0)), ISNUMBER(MATCH(GW$1, AsistenciaJetAdminConcatenada!$B:$B, 0)), ISNUMBER(SEARCH($A41,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ISNUMBER(SEARCH($A41, INDEX(AsistenciaJetAdminConcatenada!$D:$D, MATCH(1, (AsistenciaJetAdminConcatenada!$A:$A=GW$2)*(AsistenciaJetAdminConcatenada!$B:$B=GW$1), 0)), 1))),  0.5, 0))</f>
        <v>0</v>
      </c>
      <c r="GX41" s="47">
        <f t="array" ref="GX41">IF(AND(ISNUMBER(MATCH(GX$2, AsistenciaJetAdminConcatenada!$A:$A, 0)), ISNUMBER(MATCH(GX$1, AsistenciaJetAdminConcatenada!$B:$B, 0)), ISNUMBER(SEARCH($A41,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ISNUMBER(SEARCH($A41, INDEX(AsistenciaJetAdminConcatenada!$D:$D, MATCH(1, (AsistenciaJetAdminConcatenada!$A:$A=GX$2)*(AsistenciaJetAdminConcatenada!$B:$B=GX$1), 0)), 1))),  0.5, 0))</f>
        <v>0</v>
      </c>
      <c r="GY41" s="47">
        <f t="array" ref="GY41">IF(AND(ISNUMBER(MATCH(GY$2, AsistenciaJetAdminConcatenada!$A:$A, 0)), ISNUMBER(MATCH(GY$1, AsistenciaJetAdminConcatenada!$B:$B, 0)), ISNUMBER(SEARCH($A41,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ISNUMBER(SEARCH($A41, INDEX(AsistenciaJetAdminConcatenada!$D:$D, MATCH(1, (AsistenciaJetAdminConcatenada!$A:$A=GY$2)*(AsistenciaJetAdminConcatenada!$B:$B=GY$1), 0)), 1))),  0.5, 0))</f>
        <v>0</v>
      </c>
      <c r="GZ41" s="47">
        <f t="array" ref="GZ41">IF(AND(ISNUMBER(MATCH(GZ$2, AsistenciaJetAdminConcatenada!$A:$A, 0)), ISNUMBER(MATCH(GZ$1, AsistenciaJetAdminConcatenada!$B:$B, 0)), ISNUMBER(SEARCH($A41,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ISNUMBER(SEARCH($A41, INDEX(AsistenciaJetAdminConcatenada!$D:$D, MATCH(1, (AsistenciaJetAdminConcatenada!$A:$A=GZ$2)*(AsistenciaJetAdminConcatenada!$B:$B=GZ$1), 0)), 1))),  0.5, 0))</f>
        <v>0</v>
      </c>
      <c r="HA41" s="47">
        <f t="array" ref="HA41">IF(AND(ISNUMBER(MATCH(HA$2, AsistenciaJetAdminConcatenada!$A:$A, 0)), ISNUMBER(MATCH(HA$1, AsistenciaJetAdminConcatenada!$B:$B, 0)), ISNUMBER(SEARCH($A41,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ISNUMBER(SEARCH($A41, INDEX(AsistenciaJetAdminConcatenada!$D:$D, MATCH(1, (AsistenciaJetAdminConcatenada!$A:$A=HA$2)*(AsistenciaJetAdminConcatenada!$B:$B=HA$1), 0)), 1))),  0.5, 0))</f>
        <v>0</v>
      </c>
      <c r="HB41" s="47">
        <f t="array" ref="HB41">IF(AND(ISNUMBER(MATCH(HB$2, AsistenciaJetAdminConcatenada!$A:$A, 0)), ISNUMBER(MATCH(HB$1, AsistenciaJetAdminConcatenada!$B:$B, 0)), ISNUMBER(SEARCH($A41,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ISNUMBER(SEARCH($A41, INDEX(AsistenciaJetAdminConcatenada!$D:$D, MATCH(1, (AsistenciaJetAdminConcatenada!$A:$A=HB$2)*(AsistenciaJetAdminConcatenada!$B:$B=HB$1), 0)), 1))),  0.5, 0))</f>
        <v>0</v>
      </c>
      <c r="HC41" s="47">
        <f t="array" ref="HC41">IF(AND(ISNUMBER(MATCH(HC$2, AsistenciaJetAdminConcatenada!$A:$A, 0)), ISNUMBER(MATCH(HC$1, AsistenciaJetAdminConcatenada!$B:$B, 0)), ISNUMBER(SEARCH($A41,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ISNUMBER(SEARCH($A41, INDEX(AsistenciaJetAdminConcatenada!$D:$D, MATCH(1, (AsistenciaJetAdminConcatenada!$A:$A=HC$2)*(AsistenciaJetAdminConcatenada!$B:$B=HC$1), 0)), 1))),  0.5, 0))</f>
        <v>0</v>
      </c>
    </row>
    <row r="42" ht="29.25" customHeight="1">
      <c r="A42" s="3">
        <v>145.0</v>
      </c>
      <c r="B42" s="4" t="s">
        <v>720</v>
      </c>
      <c r="C42" s="47">
        <f>SUM(D42:HC42) + ActividadesEspeciales!C42</f>
        <v>68.5</v>
      </c>
      <c r="D42" s="47">
        <f t="array" ref="D42">IF(AND(ISNUMBER(MATCH(D$2, AsistenciaJetAdminConcatenada!$A:$A, 0)), ISNUMBER(MATCH(D$1, AsistenciaJetAdminConcatenada!$B:$B, 0)), ISNUMBER(SEARCH($A42,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ISNUMBER(SEARCH($A42, INDEX(AsistenciaJetAdminConcatenada!$D:$D, MATCH(1, (AsistenciaJetAdminConcatenada!$A:$A=D$2)*(AsistenciaJetAdminConcatenada!$B:$B=D$1), 0)), 1))),  0.5, 0))</f>
        <v>1</v>
      </c>
      <c r="E42" s="47">
        <f t="array" ref="E42">IF(AND(ISNUMBER(MATCH(E$2, AsistenciaJetAdminConcatenada!$A:$A, 0)), ISNUMBER(MATCH(E$1, AsistenciaJetAdminConcatenada!$B:$B, 0)), ISNUMBER(SEARCH($A42,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ISNUMBER(SEARCH($A42, INDEX(AsistenciaJetAdminConcatenada!$D:$D, MATCH(1, (AsistenciaJetAdminConcatenada!$A:$A=E$2)*(AsistenciaJetAdminConcatenada!$B:$B=E$1), 0)), 1))),  0.5, 0))</f>
        <v>1</v>
      </c>
      <c r="F42" s="47">
        <f t="array" ref="F42">IF(AND(ISNUMBER(MATCH(F$2, AsistenciaJetAdminConcatenada!$A:$A, 0)), ISNUMBER(MATCH(F$1, AsistenciaJetAdminConcatenada!$B:$B, 0)), ISNUMBER(SEARCH($A42,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ISNUMBER(SEARCH($A42, INDEX(AsistenciaJetAdminConcatenada!$D:$D, MATCH(1, (AsistenciaJetAdminConcatenada!$A:$A=F$2)*(AsistenciaJetAdminConcatenada!$B:$B=F$1), 0)), 1))),  0.5, 0))</f>
        <v>1</v>
      </c>
      <c r="G42" s="47">
        <f t="array" ref="G42">IF(AND(ISNUMBER(MATCH(G$2, AsistenciaJetAdminConcatenada!$A:$A, 0)), ISNUMBER(MATCH(G$1, AsistenciaJetAdminConcatenada!$B:$B, 0)), ISNUMBER(SEARCH($A42,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ISNUMBER(SEARCH($A42, INDEX(AsistenciaJetAdminConcatenada!$D:$D, MATCH(1, (AsistenciaJetAdminConcatenada!$A:$A=G$2)*(AsistenciaJetAdminConcatenada!$B:$B=G$1), 0)), 1))),  0.5, 0))</f>
        <v>0.5</v>
      </c>
      <c r="H42" s="47">
        <f t="array" ref="H42">IF(AND(ISNUMBER(MATCH(H$2, AsistenciaJetAdminConcatenada!$A:$A, 0)), ISNUMBER(MATCH(H$1, AsistenciaJetAdminConcatenada!$B:$B, 0)), ISNUMBER(SEARCH($A42,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ISNUMBER(SEARCH($A42, INDEX(AsistenciaJetAdminConcatenada!$D:$D, MATCH(1, (AsistenciaJetAdminConcatenada!$A:$A=H$2)*(AsistenciaJetAdminConcatenada!$B:$B=H$1), 0)), 1))),  0.5, 0))</f>
        <v>0</v>
      </c>
      <c r="I42" s="47">
        <f t="array" ref="I42">IF(AND(ISNUMBER(MATCH(I$2, AsistenciaJetAdminConcatenada!$A:$A, 0)), ISNUMBER(MATCH(I$1, AsistenciaJetAdminConcatenada!$B:$B, 0)), ISNUMBER(SEARCH($A42,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ISNUMBER(SEARCH($A42, INDEX(AsistenciaJetAdminConcatenada!$D:$D, MATCH(1, (AsistenciaJetAdminConcatenada!$A:$A=I$2)*(AsistenciaJetAdminConcatenada!$B:$B=I$1), 0)), 1))),  0.5, 0))</f>
        <v>1</v>
      </c>
      <c r="J42" s="47">
        <f t="array" ref="J42">IF(AND(ISNUMBER(MATCH(J$2, AsistenciaJetAdminConcatenada!$A:$A, 0)), ISNUMBER(MATCH(J$1, AsistenciaJetAdminConcatenada!$B:$B, 0)), ISNUMBER(SEARCH($A42,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ISNUMBER(SEARCH($A42, INDEX(AsistenciaJetAdminConcatenada!$D:$D, MATCH(1, (AsistenciaJetAdminConcatenada!$A:$A=J$2)*(AsistenciaJetAdminConcatenada!$B:$B=J$1), 0)), 1))),  0.5, 0))</f>
        <v>1</v>
      </c>
      <c r="K42" s="47">
        <f t="array" ref="K42">IF(AND(ISNUMBER(MATCH(K$2, AsistenciaJetAdminConcatenada!$A:$A, 0)), ISNUMBER(MATCH(K$1, AsistenciaJetAdminConcatenada!$B:$B, 0)), ISNUMBER(SEARCH($A42,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ISNUMBER(SEARCH($A42, INDEX(AsistenciaJetAdminConcatenada!$D:$D, MATCH(1, (AsistenciaJetAdminConcatenada!$A:$A=K$2)*(AsistenciaJetAdminConcatenada!$B:$B=K$1), 0)), 1))),  0.5, 0))</f>
        <v>1</v>
      </c>
      <c r="L42" s="47">
        <f t="array" ref="L42">IF(AND(ISNUMBER(MATCH(L$2, AsistenciaJetAdminConcatenada!$A:$A, 0)), ISNUMBER(MATCH(L$1, AsistenciaJetAdminConcatenada!$B:$B, 0)), ISNUMBER(SEARCH($A42,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ISNUMBER(SEARCH($A42, INDEX(AsistenciaJetAdminConcatenada!$D:$D, MATCH(1, (AsistenciaJetAdminConcatenada!$A:$A=L$2)*(AsistenciaJetAdminConcatenada!$B:$B=L$1), 0)), 1))),  0.5, 0))</f>
        <v>1</v>
      </c>
      <c r="M42" s="47">
        <f t="array" ref="M42">IF(AND(ISNUMBER(MATCH(M$2, AsistenciaJetAdminConcatenada!$A:$A, 0)), ISNUMBER(MATCH(M$1, AsistenciaJetAdminConcatenada!$B:$B, 0)), ISNUMBER(SEARCH($A42,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ISNUMBER(SEARCH($A42, INDEX(AsistenciaJetAdminConcatenada!$D:$D, MATCH(1, (AsistenciaJetAdminConcatenada!$A:$A=M$2)*(AsistenciaJetAdminConcatenada!$B:$B=M$1), 0)), 1))),  0.5, 0))</f>
        <v>1</v>
      </c>
      <c r="N42" s="47">
        <f t="array" ref="N42">IF(AND(ISNUMBER(MATCH(N$2, AsistenciaJetAdminConcatenada!$A:$A, 0)), ISNUMBER(MATCH(N$1, AsistenciaJetAdminConcatenada!$B:$B, 0)), ISNUMBER(SEARCH($A42,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ISNUMBER(SEARCH($A42, INDEX(AsistenciaJetAdminConcatenada!$D:$D, MATCH(1, (AsistenciaJetAdminConcatenada!$A:$A=N$2)*(AsistenciaJetAdminConcatenada!$B:$B=N$1), 0)), 1))),  0.5, 0))</f>
        <v>0</v>
      </c>
      <c r="O42" s="47">
        <f t="array" ref="O42">IF(AND(ISNUMBER(MATCH(O$2, AsistenciaJetAdminConcatenada!$A:$A, 0)), ISNUMBER(MATCH(O$1, AsistenciaJetAdminConcatenada!$B:$B, 0)), ISNUMBER(SEARCH($A42,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ISNUMBER(SEARCH($A42, INDEX(AsistenciaJetAdminConcatenada!$D:$D, MATCH(1, (AsistenciaJetAdminConcatenada!$A:$A=O$2)*(AsistenciaJetAdminConcatenada!$B:$B=O$1), 0)), 1))),  0.5, 0))</f>
        <v>1</v>
      </c>
      <c r="P42" s="47">
        <f t="array" ref="P42">IF(AND(ISNUMBER(MATCH(P$2, AsistenciaJetAdminConcatenada!$A:$A, 0)), ISNUMBER(MATCH(P$1, AsistenciaJetAdminConcatenada!$B:$B, 0)), ISNUMBER(SEARCH($A42, INDEX(AsistenciaJetAdminConcatenada!$C:$C, MATCH(1, (AsistenciaJetAdminConcatenada!$A:$A=P$2)*(AsistenciaJetAdminConcatenada!$B:$B=P$1), 0)), 1))), 1, IF(AND(ISNUMBER(MATCH(P$2, AsistenciaJetAdminConcatenada!$A:$A, 0)), ISNUMBER(MATCH(P$1, AsistenciaJetAdminConcatenada!$B:$B, 0)), ISNUMBER(SEARCH($A42, INDEX(AsistenciaJetAdminConcatenada!$D:$D, MATCH(1, (AsistenciaJetAdminConcatenada!$A:$A=P$2)*(AsistenciaJetAdminConcatenada!$B:$B=P$1), 0)), 1))),  0.5, 0))</f>
        <v>1</v>
      </c>
      <c r="Q42" s="47">
        <f t="array" ref="Q42">IF(AND(ISNUMBER(MATCH(Q$2, AsistenciaJetAdminConcatenada!$A:$A, 0)), ISNUMBER(MATCH(Q$1, AsistenciaJetAdminConcatenada!$B:$B, 0)), ISNUMBER(SEARCH($A42, INDEX(AsistenciaJetAdminConcatenada!$C:$C, MATCH(1, (AsistenciaJetAdminConcatenada!$A:$A=Q$2)*(AsistenciaJetAdminConcatenada!$B:$B=Q$1), 0)), 1))), 1, IF(AND(ISNUMBER(MATCH(Q$2, AsistenciaJetAdminConcatenada!$A:$A, 0)), ISNUMBER(MATCH(Q$1, AsistenciaJetAdminConcatenada!$B:$B, 0)), ISNUMBER(SEARCH($A42, INDEX(AsistenciaJetAdminConcatenada!$D:$D, MATCH(1, (AsistenciaJetAdminConcatenada!$A:$A=Q$2)*(AsistenciaJetAdminConcatenada!$B:$B=Q$1), 0)), 1))),  0.5, 0))</f>
        <v>1</v>
      </c>
      <c r="R42" s="47">
        <f t="array" ref="R42">IF(AND(ISNUMBER(MATCH(R$2, AsistenciaJetAdminConcatenada!$A:$A, 0)), ISNUMBER(MATCH(R$1, AsistenciaJetAdminConcatenada!$B:$B, 0)), ISNUMBER(SEARCH($A42,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ISNUMBER(SEARCH($A42, INDEX(AsistenciaJetAdminConcatenada!$D:$D, MATCH(1, (AsistenciaJetAdminConcatenada!$A:$A=R$2)*(AsistenciaJetAdminConcatenada!$B:$B=R$1), 0)), 1))),  0.5, 0))</f>
        <v>0.5</v>
      </c>
      <c r="S42" s="47">
        <f t="array" ref="S42">IF(AND(ISNUMBER(MATCH(S$2, AsistenciaJetAdminConcatenada!$A:$A, 0)), ISNUMBER(MATCH(S$1, AsistenciaJetAdminConcatenada!$B:$B, 0)), ISNUMBER(SEARCH($A42,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ISNUMBER(SEARCH($A42, INDEX(AsistenciaJetAdminConcatenada!$D:$D, MATCH(1, (AsistenciaJetAdminConcatenada!$A:$A=S$2)*(AsistenciaJetAdminConcatenada!$B:$B=S$1), 0)), 1))),  0.5, 0))</f>
        <v>1</v>
      </c>
      <c r="T42" s="47">
        <f t="array" ref="T42">IF(AND(ISNUMBER(MATCH(T$2, AsistenciaJetAdminConcatenada!$A:$A, 0)), ISNUMBER(MATCH(T$1, AsistenciaJetAdminConcatenada!$B:$B, 0)), ISNUMBER(SEARCH($A42,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ISNUMBER(SEARCH($A42, INDEX(AsistenciaJetAdminConcatenada!$D:$D, MATCH(1, (AsistenciaJetAdminConcatenada!$A:$A=T$2)*(AsistenciaJetAdminConcatenada!$B:$B=T$1), 0)), 1))),  0.5, 0))</f>
        <v>0</v>
      </c>
      <c r="U42" s="47">
        <f t="array" ref="U42">IF(AND(ISNUMBER(MATCH(U$2, AsistenciaJetAdminConcatenada!$A:$A, 0)), ISNUMBER(MATCH(U$1, AsistenciaJetAdminConcatenada!$B:$B, 0)), ISNUMBER(SEARCH($A42,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ISNUMBER(SEARCH($A42, INDEX(AsistenciaJetAdminConcatenada!$D:$D, MATCH(1, (AsistenciaJetAdminConcatenada!$A:$A=U$2)*(AsistenciaJetAdminConcatenada!$B:$B=U$1), 0)), 1))),  0.5, 0))</f>
        <v>0</v>
      </c>
      <c r="V42" s="47">
        <f t="array" ref="V42">IF(AND(ISNUMBER(MATCH(V$2, AsistenciaJetAdminConcatenada!$A:$A, 0)), ISNUMBER(MATCH(V$1, AsistenciaJetAdminConcatenada!$B:$B, 0)), ISNUMBER(SEARCH($A42,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ISNUMBER(SEARCH($A42, INDEX(AsistenciaJetAdminConcatenada!$D:$D, MATCH(1, (AsistenciaJetAdminConcatenada!$A:$A=V$2)*(AsistenciaJetAdminConcatenada!$B:$B=V$1), 0)), 1))),  0.5, 0))</f>
        <v>1</v>
      </c>
      <c r="W42" s="47">
        <f t="array" ref="W42">IF(AND(ISNUMBER(MATCH(W$2, AsistenciaJetAdminConcatenada!$A:$A, 0)), ISNUMBER(MATCH(W$1, AsistenciaJetAdminConcatenada!$B:$B, 0)), ISNUMBER(SEARCH($A42,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ISNUMBER(SEARCH($A42, INDEX(AsistenciaJetAdminConcatenada!$D:$D, MATCH(1, (AsistenciaJetAdminConcatenada!$A:$A=W$2)*(AsistenciaJetAdminConcatenada!$B:$B=W$1), 0)), 1))),  0.5, 0))</f>
        <v>1</v>
      </c>
      <c r="X42" s="47">
        <f t="array" ref="X42">IF(AND(ISNUMBER(MATCH(X$2, AsistenciaJetAdminConcatenada!$A:$A, 0)), ISNUMBER(MATCH(X$1, AsistenciaJetAdminConcatenada!$B:$B, 0)), ISNUMBER(SEARCH($A42,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ISNUMBER(SEARCH($A42, INDEX(AsistenciaJetAdminConcatenada!$D:$D, MATCH(1, (AsistenciaJetAdminConcatenada!$A:$A=X$2)*(AsistenciaJetAdminConcatenada!$B:$B=X$1), 0)), 1))),  0.5, 0))</f>
        <v>1</v>
      </c>
      <c r="Y42" s="8">
        <v>1.0</v>
      </c>
      <c r="Z42" s="47">
        <f t="array" ref="Z42">IF(AND(ISNUMBER(MATCH(Z$2, AsistenciaJetAdminConcatenada!$A:$A, 0)), ISNUMBER(MATCH(Z$1, AsistenciaJetAdminConcatenada!$B:$B, 0)), ISNUMBER(SEARCH($A42,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ISNUMBER(SEARCH($A42, INDEX(AsistenciaJetAdminConcatenada!$D:$D, MATCH(1, (AsistenciaJetAdminConcatenada!$A:$A=Z$2)*(AsistenciaJetAdminConcatenada!$B:$B=Z$1), 0)), 1))),  0.5, 0))</f>
        <v>1</v>
      </c>
      <c r="AA42" s="47">
        <f t="array" ref="AA42">IF(AND(ISNUMBER(MATCH(AA$2, AsistenciaJetAdminConcatenada!$A:$A, 0)), ISNUMBER(MATCH(AA$1, AsistenciaJetAdminConcatenada!$B:$B, 0)), ISNUMBER(SEARCH($A42,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ISNUMBER(SEARCH($A42, INDEX(AsistenciaJetAdminConcatenada!$D:$D, MATCH(1, (AsistenciaJetAdminConcatenada!$A:$A=AA$2)*(AsistenciaJetAdminConcatenada!$B:$B=AA$1), 0)), 1))),  0.5, 0))</f>
        <v>1</v>
      </c>
      <c r="AB42" s="47">
        <f t="array" ref="AB42">IF(AND(ISNUMBER(MATCH(AB$2, AsistenciaJetAdminConcatenada!$A:$A, 0)), ISNUMBER(MATCH(AB$1, AsistenciaJetAdminConcatenada!$B:$B, 0)), ISNUMBER(SEARCH($A42,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ISNUMBER(SEARCH($A42, INDEX(AsistenciaJetAdminConcatenada!$D:$D, MATCH(1, (AsistenciaJetAdminConcatenada!$A:$A=AB$2)*(AsistenciaJetAdminConcatenada!$B:$B=AB$1), 0)), 1))),  0.5, 0))</f>
        <v>1</v>
      </c>
      <c r="AC42" s="47">
        <f t="array" ref="AC42">IF(AND(ISNUMBER(MATCH(AC$2, AsistenciaJetAdminConcatenada!$A:$A, 0)), ISNUMBER(MATCH(AC$1, AsistenciaJetAdminConcatenada!$B:$B, 0)), ISNUMBER(SEARCH($A42,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ISNUMBER(SEARCH($A42, INDEX(AsistenciaJetAdminConcatenada!$D:$D, MATCH(1, (AsistenciaJetAdminConcatenada!$A:$A=AC$2)*(AsistenciaJetAdminConcatenada!$B:$B=AC$1), 0)), 1))),  0.5, 0))</f>
        <v>1</v>
      </c>
      <c r="AD42" s="47">
        <f t="array" ref="AD42">IF(AND(ISNUMBER(MATCH(AD$2, AsistenciaJetAdminConcatenada!$A:$A, 0)), ISNUMBER(MATCH(AD$1, AsistenciaJetAdminConcatenada!$B:$B, 0)), ISNUMBER(SEARCH($A42,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ISNUMBER(SEARCH($A42, INDEX(AsistenciaJetAdminConcatenada!$D:$D, MATCH(1, (AsistenciaJetAdminConcatenada!$A:$A=AD$2)*(AsistenciaJetAdminConcatenada!$B:$B=AD$1), 0)), 1))),  0.5, 0))</f>
        <v>1</v>
      </c>
      <c r="AE42" s="47">
        <f t="array" ref="AE42">IF(AND(ISNUMBER(MATCH(AE$2, AsistenciaJetAdminConcatenada!$A:$A, 0)), ISNUMBER(MATCH(AE$1, AsistenciaJetAdminConcatenada!$B:$B, 0)), ISNUMBER(SEARCH($A42,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ISNUMBER(SEARCH($A42, INDEX(AsistenciaJetAdminConcatenada!$D:$D, MATCH(1, (AsistenciaJetAdminConcatenada!$A:$A=AE$2)*(AsistenciaJetAdminConcatenada!$B:$B=AE$1), 0)), 1))),  0.5, 0))</f>
        <v>1</v>
      </c>
      <c r="AF42" s="47">
        <f t="array" ref="AF42">IF(AND(ISNUMBER(MATCH(AF$2, AsistenciaJetAdminConcatenada!$A:$A, 0)), ISNUMBER(MATCH(AF$1, AsistenciaJetAdminConcatenada!$B:$B, 0)), ISNUMBER(SEARCH($A42,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ISNUMBER(SEARCH($A42, INDEX(AsistenciaJetAdminConcatenada!$D:$D, MATCH(1, (AsistenciaJetAdminConcatenada!$A:$A=AF$2)*(AsistenciaJetAdminConcatenada!$B:$B=AF$1), 0)), 1))),  0.5, 0))</f>
        <v>1</v>
      </c>
      <c r="AG42" s="47">
        <f t="array" ref="AG42">IF(AND(ISNUMBER(MATCH(AG$2, AsistenciaJetAdminConcatenada!$A:$A, 0)), ISNUMBER(MATCH(AG$1, AsistenciaJetAdminConcatenada!$B:$B, 0)), ISNUMBER(SEARCH($A42,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ISNUMBER(SEARCH($A42, INDEX(AsistenciaJetAdminConcatenada!$D:$D, MATCH(1, (AsistenciaJetAdminConcatenada!$A:$A=AG$2)*(AsistenciaJetAdminConcatenada!$B:$B=AG$1), 0)), 1))),  0.5, 0))</f>
        <v>0</v>
      </c>
      <c r="AH42" s="47">
        <f t="array" ref="AH42">IF(AND(ISNUMBER(MATCH(AH$2, AsistenciaJetAdminConcatenada!$A:$A, 0)), ISNUMBER(MATCH(AH$1, AsistenciaJetAdminConcatenada!$B:$B, 0)), ISNUMBER(SEARCH($A42,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ISNUMBER(SEARCH($A42, INDEX(AsistenciaJetAdminConcatenada!$D:$D, MATCH(1, (AsistenciaJetAdminConcatenada!$A:$A=AH$2)*(AsistenciaJetAdminConcatenada!$B:$B=AH$1), 0)), 1))),  0.5, 0))</f>
        <v>0</v>
      </c>
      <c r="AI42" s="47">
        <f t="array" ref="AI42">IF(AND(ISNUMBER(MATCH(AI$2, AsistenciaJetAdminConcatenada!$A:$A, 0)), ISNUMBER(MATCH(AI$1, AsistenciaJetAdminConcatenada!$B:$B, 0)), ISNUMBER(SEARCH($A42,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ISNUMBER(SEARCH($A42, INDEX(AsistenciaJetAdminConcatenada!$D:$D, MATCH(1, (AsistenciaJetAdminConcatenada!$A:$A=AI$2)*(AsistenciaJetAdminConcatenada!$B:$B=AI$1), 0)), 1))),  0.5, 0))</f>
        <v>0</v>
      </c>
      <c r="AJ42" s="47">
        <f t="array" ref="AJ42">IF(AND(ISNUMBER(MATCH(AJ$2, AsistenciaJetAdminConcatenada!$A:$A, 0)), ISNUMBER(MATCH(AJ$1, AsistenciaJetAdminConcatenada!$B:$B, 0)), ISNUMBER(SEARCH($A42,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ISNUMBER(SEARCH($A42, INDEX(AsistenciaJetAdminConcatenada!$D:$D, MATCH(1, (AsistenciaJetAdminConcatenada!$A:$A=AJ$2)*(AsistenciaJetAdminConcatenada!$B:$B=AJ$1), 0)), 1))),  0.5, 0))</f>
        <v>1</v>
      </c>
      <c r="AK42" s="47">
        <f t="array" ref="AK42">IF(AND(ISNUMBER(MATCH(AK$2, AsistenciaJetAdminConcatenada!$A:$A, 0)), ISNUMBER(MATCH(AK$1, AsistenciaJetAdminConcatenada!$B:$B, 0)), ISNUMBER(SEARCH($A42,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ISNUMBER(SEARCH($A42, INDEX(AsistenciaJetAdminConcatenada!$D:$D, MATCH(1, (AsistenciaJetAdminConcatenada!$A:$A=AK$2)*(AsistenciaJetAdminConcatenada!$B:$B=AK$1), 0)), 1))),  0.5, 0))</f>
        <v>1</v>
      </c>
      <c r="AL42" s="47">
        <f t="array" ref="AL42">IF(AND(ISNUMBER(MATCH(AL$2, AsistenciaJetAdminConcatenada!$A:$A, 0)), ISNUMBER(MATCH(AL$1, AsistenciaJetAdminConcatenada!$B:$B, 0)), ISNUMBER(SEARCH($A42,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ISNUMBER(SEARCH($A42, INDEX(AsistenciaJetAdminConcatenada!$D:$D, MATCH(1, (AsistenciaJetAdminConcatenada!$A:$A=AL$2)*(AsistenciaJetAdminConcatenada!$B:$B=AL$1), 0)), 1))),  0.5, 0))</f>
        <v>0</v>
      </c>
      <c r="AM42" s="47">
        <f t="array" ref="AM42">IF(AND(ISNUMBER(MATCH(AM$2, AsistenciaJetAdminConcatenada!$A:$A, 0)), ISNUMBER(MATCH(AM$1, AsistenciaJetAdminConcatenada!$B:$B, 0)), ISNUMBER(SEARCH($A42,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ISNUMBER(SEARCH($A42, INDEX(AsistenciaJetAdminConcatenada!$D:$D, MATCH(1, (AsistenciaJetAdminConcatenada!$A:$A=AM$2)*(AsistenciaJetAdminConcatenada!$B:$B=AM$1), 0)), 1))),  0.5, 0))</f>
        <v>1</v>
      </c>
      <c r="AN42" s="47">
        <f t="array" ref="AN42">IF(AND(ISNUMBER(MATCH(AN$2, AsistenciaJetAdminConcatenada!$A:$A, 0)), ISNUMBER(MATCH(AN$1, AsistenciaJetAdminConcatenada!$B:$B, 0)), ISNUMBER(SEARCH($A42,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ISNUMBER(SEARCH($A42, INDEX(AsistenciaJetAdminConcatenada!$D:$D, MATCH(1, (AsistenciaJetAdminConcatenada!$A:$A=AN$2)*(AsistenciaJetAdminConcatenada!$B:$B=AN$1), 0)), 1))),  0.5, 0))</f>
        <v>0</v>
      </c>
      <c r="AO42" s="47">
        <f t="array" ref="AO42">IF(AND(ISNUMBER(MATCH(AO$2, AsistenciaJetAdminConcatenada!$A:$A, 0)), ISNUMBER(MATCH(AO$1, AsistenciaJetAdminConcatenada!$B:$B, 0)), ISNUMBER(SEARCH($A42,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ISNUMBER(SEARCH($A42, INDEX(AsistenciaJetAdminConcatenada!$D:$D, MATCH(1, (AsistenciaJetAdminConcatenada!$A:$A=AO$2)*(AsistenciaJetAdminConcatenada!$B:$B=AO$1), 0)), 1))),  0.5, 0))</f>
        <v>1</v>
      </c>
      <c r="AP42" s="47">
        <f t="array" ref="AP42">IF(AND(ISNUMBER(MATCH(AP$2, AsistenciaJetAdminConcatenada!$A:$A, 0)), ISNUMBER(MATCH(AP$1, AsistenciaJetAdminConcatenada!$B:$B, 0)), ISNUMBER(SEARCH($A42,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ISNUMBER(SEARCH($A42, INDEX(AsistenciaJetAdminConcatenada!$D:$D, MATCH(1, (AsistenciaJetAdminConcatenada!$A:$A=AP$2)*(AsistenciaJetAdminConcatenada!$B:$B=AP$1), 0)), 1))),  0.5, 0))</f>
        <v>1</v>
      </c>
      <c r="AQ42" s="47">
        <f t="array" ref="AQ42">IF(AND(ISNUMBER(MATCH(AQ$2, AsistenciaJetAdminConcatenada!$A:$A, 0)), ISNUMBER(MATCH(AQ$1, AsistenciaJetAdminConcatenada!$B:$B, 0)), ISNUMBER(SEARCH($A42,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ISNUMBER(SEARCH($A42, INDEX(AsistenciaJetAdminConcatenada!$D:$D, MATCH(1, (AsistenciaJetAdminConcatenada!$A:$A=AQ$2)*(AsistenciaJetAdminConcatenada!$B:$B=AQ$1), 0)), 1))),  0.5, 0))</f>
        <v>0</v>
      </c>
      <c r="AR42" s="47">
        <f t="array" ref="AR42">IF(AND(ISNUMBER(MATCH(AR$2, AsistenciaJetAdminConcatenada!$A:$A, 0)), ISNUMBER(MATCH(AR$1, AsistenciaJetAdminConcatenada!$B:$B, 0)), ISNUMBER(SEARCH($A42,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ISNUMBER(SEARCH($A42, INDEX(AsistenciaJetAdminConcatenada!$D:$D, MATCH(1, (AsistenciaJetAdminConcatenada!$A:$A=AR$2)*(AsistenciaJetAdminConcatenada!$B:$B=AR$1), 0)), 1))),  0.5, 0))</f>
        <v>1</v>
      </c>
      <c r="AS42" s="47">
        <f t="array" ref="AS42">IF(AND(ISNUMBER(MATCH(AS$2, AsistenciaJetAdminConcatenada!$A:$A, 0)), ISNUMBER(MATCH(AS$1, AsistenciaJetAdminConcatenada!$B:$B, 0)), ISNUMBER(SEARCH($A42,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ISNUMBER(SEARCH($A42, INDEX(AsistenciaJetAdminConcatenada!$D:$D, MATCH(1, (AsistenciaJetAdminConcatenada!$A:$A=AS$2)*(AsistenciaJetAdminConcatenada!$B:$B=AS$1), 0)), 1))),  0.5, 0))</f>
        <v>0</v>
      </c>
      <c r="AT42" s="47">
        <f t="array" ref="AT42">IF(AND(ISNUMBER(MATCH(AT$2, AsistenciaJetAdminConcatenada!$A:$A, 0)), ISNUMBER(MATCH(AT$1, AsistenciaJetAdminConcatenada!$B:$B, 0)), ISNUMBER(SEARCH($A42,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ISNUMBER(SEARCH($A42, INDEX(AsistenciaJetAdminConcatenada!$D:$D, MATCH(1, (AsistenciaJetAdminConcatenada!$A:$A=AT$2)*(AsistenciaJetAdminConcatenada!$B:$B=AT$1), 0)), 1))),  0.5, 0))</f>
        <v>0</v>
      </c>
      <c r="AU42" s="47">
        <f t="array" ref="AU42">IF(AND(ISNUMBER(MATCH(AU$2, AsistenciaJetAdminConcatenada!$A:$A, 0)), ISNUMBER(MATCH(AU$1, AsistenciaJetAdminConcatenada!$B:$B, 0)), ISNUMBER(SEARCH($A42,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ISNUMBER(SEARCH($A42, INDEX(AsistenciaJetAdminConcatenada!$D:$D, MATCH(1, (AsistenciaJetAdminConcatenada!$A:$A=AU$2)*(AsistenciaJetAdminConcatenada!$B:$B=AU$1), 0)), 1))),  0.5, 0))</f>
        <v>1</v>
      </c>
      <c r="AV42" s="47">
        <f t="array" ref="AV42">IF(AND(ISNUMBER(MATCH(AV$2, AsistenciaJetAdminConcatenada!$A:$A, 0)), ISNUMBER(MATCH(AV$1, AsistenciaJetAdminConcatenada!$B:$B, 0)), ISNUMBER(SEARCH($A42,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ISNUMBER(SEARCH($A42, INDEX(AsistenciaJetAdminConcatenada!$D:$D, MATCH(1, (AsistenciaJetAdminConcatenada!$A:$A=AV$2)*(AsistenciaJetAdminConcatenada!$B:$B=AV$1), 0)), 1))),  0.5, 0))</f>
        <v>1</v>
      </c>
      <c r="AW42" s="47">
        <f t="array" ref="AW42">IF(AND(ISNUMBER(MATCH(AW$2, AsistenciaJetAdminConcatenada!$A:$A, 0)), ISNUMBER(MATCH(AW$1, AsistenciaJetAdminConcatenada!$B:$B, 0)), ISNUMBER(SEARCH($A42,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ISNUMBER(SEARCH($A42, INDEX(AsistenciaJetAdminConcatenada!$D:$D, MATCH(1, (AsistenciaJetAdminConcatenada!$A:$A=AW$2)*(AsistenciaJetAdminConcatenada!$B:$B=AW$1), 0)), 1))),  0.5, 0))</f>
        <v>1</v>
      </c>
      <c r="AX42" s="47">
        <f t="array" ref="AX42">IF(AND(ISNUMBER(MATCH(AX$2, AsistenciaJetAdminConcatenada!$A:$A, 0)), ISNUMBER(MATCH(AX$1, AsistenciaJetAdminConcatenada!$B:$B, 0)), ISNUMBER(SEARCH($A42,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ISNUMBER(SEARCH($A42, INDEX(AsistenciaJetAdminConcatenada!$D:$D, MATCH(1, (AsistenciaJetAdminConcatenada!$A:$A=AX$2)*(AsistenciaJetAdminConcatenada!$B:$B=AX$1), 0)), 1))),  0.5, 0))</f>
        <v>0</v>
      </c>
      <c r="AY42" s="47">
        <f t="array" ref="AY42">IF(AND(ISNUMBER(MATCH(AY$2, AsistenciaJetAdminConcatenada!$A:$A, 0)), ISNUMBER(MATCH(AY$1, AsistenciaJetAdminConcatenada!$B:$B, 0)), ISNUMBER(SEARCH($A42,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ISNUMBER(SEARCH($A42, INDEX(AsistenciaJetAdminConcatenada!$D:$D, MATCH(1, (AsistenciaJetAdminConcatenada!$A:$A=AY$2)*(AsistenciaJetAdminConcatenada!$B:$B=AY$1), 0)), 1))),  0.5, 0))</f>
        <v>1</v>
      </c>
      <c r="AZ42" s="47">
        <f t="array" ref="AZ42">IF(AND(ISNUMBER(MATCH(AZ$2, AsistenciaJetAdminConcatenada!$A:$A, 0)), ISNUMBER(MATCH(AZ$1, AsistenciaJetAdminConcatenada!$B:$B, 0)), ISNUMBER(SEARCH($A42,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ISNUMBER(SEARCH($A42, INDEX(AsistenciaJetAdminConcatenada!$D:$D, MATCH(1, (AsistenciaJetAdminConcatenada!$A:$A=AZ$2)*(AsistenciaJetAdminConcatenada!$B:$B=AZ$1), 0)), 1))),  0.5, 0))</f>
        <v>0</v>
      </c>
      <c r="BA42" s="47">
        <f t="array" ref="BA42">IF(AND(ISNUMBER(MATCH(BA$2, AsistenciaJetAdminConcatenada!$A:$A, 0)), ISNUMBER(MATCH(BA$1, AsistenciaJetAdminConcatenada!$B:$B, 0)), ISNUMBER(SEARCH($A42,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ISNUMBER(SEARCH($A42, INDEX(AsistenciaJetAdminConcatenada!$D:$D, MATCH(1, (AsistenciaJetAdminConcatenada!$A:$A=BA$2)*(AsistenciaJetAdminConcatenada!$B:$B=BA$1), 0)), 1))),  0.5, 0))</f>
        <v>1</v>
      </c>
      <c r="BB42" s="47">
        <f t="array" ref="BB42">IF(AND(ISNUMBER(MATCH(BB$2, AsistenciaJetAdminConcatenada!$A:$A, 0)), ISNUMBER(MATCH(BB$1, AsistenciaJetAdminConcatenada!$B:$B, 0)), ISNUMBER(SEARCH($A42,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ISNUMBER(SEARCH($A42, INDEX(AsistenciaJetAdminConcatenada!$D:$D, MATCH(1, (AsistenciaJetAdminConcatenada!$A:$A=BB$2)*(AsistenciaJetAdminConcatenada!$B:$B=BB$1), 0)), 1))),  0.5, 0))</f>
        <v>0</v>
      </c>
      <c r="BC42" s="47">
        <f t="array" ref="BC42">IF(AND(ISNUMBER(MATCH(BC$2, AsistenciaJetAdminConcatenada!$A:$A, 0)), ISNUMBER(MATCH(BC$1, AsistenciaJetAdminConcatenada!$B:$B, 0)), ISNUMBER(SEARCH($A42,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ISNUMBER(SEARCH($A42, INDEX(AsistenciaJetAdminConcatenada!$D:$D, MATCH(1, (AsistenciaJetAdminConcatenada!$A:$A=BC$2)*(AsistenciaJetAdminConcatenada!$B:$B=BC$1), 0)), 1))),  0.5, 0))</f>
        <v>1</v>
      </c>
      <c r="BD42" s="47">
        <f t="array" ref="BD42">IF(AND(ISNUMBER(MATCH(BD$2, AsistenciaJetAdminConcatenada!$A:$A, 0)), ISNUMBER(MATCH(BD$1, AsistenciaJetAdminConcatenada!$B:$B, 0)), ISNUMBER(SEARCH($A42,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ISNUMBER(SEARCH($A42, INDEX(AsistenciaJetAdminConcatenada!$D:$D, MATCH(1, (AsistenciaJetAdminConcatenada!$A:$A=BD$2)*(AsistenciaJetAdminConcatenada!$B:$B=BD$1), 0)), 1))),  0.5, 0))</f>
        <v>0</v>
      </c>
      <c r="BE42" s="47">
        <f t="array" ref="BE42">IF(AND(ISNUMBER(MATCH(BE$2, AsistenciaJetAdminConcatenada!$A:$A, 0)), ISNUMBER(MATCH(BE$1, AsistenciaJetAdminConcatenada!$B:$B, 0)), ISNUMBER(SEARCH($A42,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ISNUMBER(SEARCH($A42, INDEX(AsistenciaJetAdminConcatenada!$D:$D, MATCH(1, (AsistenciaJetAdminConcatenada!$A:$A=BE$2)*(AsistenciaJetAdminConcatenada!$B:$B=BE$1), 0)), 1))),  0.5, 0))</f>
        <v>1</v>
      </c>
      <c r="BF42" s="47">
        <f t="array" ref="BF42">IF(AND(ISNUMBER(MATCH(BF$2, AsistenciaJetAdminConcatenada!$A:$A, 0)), ISNUMBER(MATCH(BF$1, AsistenciaJetAdminConcatenada!$B:$B, 0)), ISNUMBER(SEARCH($A42,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ISNUMBER(SEARCH($A42, INDEX(AsistenciaJetAdminConcatenada!$D:$D, MATCH(1, (AsistenciaJetAdminConcatenada!$A:$A=BF$2)*(AsistenciaJetAdminConcatenada!$B:$B=BF$1), 0)), 1))),  0.5, 0))</f>
        <v>1</v>
      </c>
      <c r="BG42" s="47">
        <f t="array" ref="BG42">IF(AND(ISNUMBER(MATCH(BG$2, AsistenciaJetAdminConcatenada!$A:$A, 0)), ISNUMBER(MATCH(BG$1, AsistenciaJetAdminConcatenada!$B:$B, 0)), ISNUMBER(SEARCH($A42,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ISNUMBER(SEARCH($A42, INDEX(AsistenciaJetAdminConcatenada!$D:$D, MATCH(1, (AsistenciaJetAdminConcatenada!$A:$A=BG$2)*(AsistenciaJetAdminConcatenada!$B:$B=BG$1), 0)), 1))),  0.5, 0))</f>
        <v>0</v>
      </c>
      <c r="BH42" s="47">
        <f t="array" ref="BH42">IF(AND(ISNUMBER(MATCH(BH$2, AsistenciaJetAdminConcatenada!$A:$A, 0)), ISNUMBER(MATCH(BH$1, AsistenciaJetAdminConcatenada!$B:$B, 0)), ISNUMBER(SEARCH($A42,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ISNUMBER(SEARCH($A42, INDEX(AsistenciaJetAdminConcatenada!$D:$D, MATCH(1, (AsistenciaJetAdminConcatenada!$A:$A=BH$2)*(AsistenciaJetAdminConcatenada!$B:$B=BH$1), 0)), 1))),  0.5, 0))</f>
        <v>1</v>
      </c>
      <c r="BI42" s="47">
        <f t="array" ref="BI42">IF(AND(ISNUMBER(MATCH(BI$2, AsistenciaJetAdminConcatenada!$A:$A, 0)), ISNUMBER(MATCH(BI$1, AsistenciaJetAdminConcatenada!$B:$B, 0)), ISNUMBER(SEARCH($A42,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ISNUMBER(SEARCH($A42, INDEX(AsistenciaJetAdminConcatenada!$D:$D, MATCH(1, (AsistenciaJetAdminConcatenada!$A:$A=BI$2)*(AsistenciaJetAdminConcatenada!$B:$B=BI$1), 0)), 1))),  0.5, 0))</f>
        <v>1</v>
      </c>
      <c r="BJ42" s="47">
        <f t="array" ref="BJ42">IF(AND(ISNUMBER(MATCH(BJ$2, AsistenciaJetAdminConcatenada!$A:$A, 0)), ISNUMBER(MATCH(BJ$1, AsistenciaJetAdminConcatenada!$B:$B, 0)), ISNUMBER(SEARCH($A42,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ISNUMBER(SEARCH($A42, INDEX(AsistenciaJetAdminConcatenada!$D:$D, MATCH(1, (AsistenciaJetAdminConcatenada!$A:$A=BJ$2)*(AsistenciaJetAdminConcatenada!$B:$B=BJ$1), 0)), 1))),  0.5, 0))</f>
        <v>1</v>
      </c>
      <c r="BK42" s="47">
        <f t="array" ref="BK42">IF(AND(ISNUMBER(MATCH(BK$2, AsistenciaJetAdminConcatenada!$A:$A, 0)), ISNUMBER(MATCH(BK$1, AsistenciaJetAdminConcatenada!$B:$B, 0)), ISNUMBER(SEARCH($A42,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ISNUMBER(SEARCH($A42, INDEX(AsistenciaJetAdminConcatenada!$D:$D, MATCH(1, (AsistenciaJetAdminConcatenada!$A:$A=BK$2)*(AsistenciaJetAdminConcatenada!$B:$B=BK$1), 0)), 1))),  0.5, 0))</f>
        <v>1</v>
      </c>
      <c r="BL42" s="47">
        <f t="array" ref="BL42">IF(AND(ISNUMBER(MATCH(BL$2, AsistenciaJetAdminConcatenada!$A:$A, 0)), ISNUMBER(MATCH(BL$1, AsistenciaJetAdminConcatenada!$B:$B, 0)), ISNUMBER(SEARCH($A42,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ISNUMBER(SEARCH($A42, INDEX(AsistenciaJetAdminConcatenada!$D:$D, MATCH(1, (AsistenciaJetAdminConcatenada!$A:$A=BL$2)*(AsistenciaJetAdminConcatenada!$B:$B=BL$1), 0)), 1))),  0.5, 0))</f>
        <v>1</v>
      </c>
      <c r="BM42" s="47">
        <f t="array" ref="BM42">IF(AND(ISNUMBER(MATCH(BM$2, AsistenciaJetAdminConcatenada!$A:$A, 0)), ISNUMBER(MATCH(BM$1, AsistenciaJetAdminConcatenada!$B:$B, 0)), ISNUMBER(SEARCH($A42,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ISNUMBER(SEARCH($A42, INDEX(AsistenciaJetAdminConcatenada!$D:$D, MATCH(1, (AsistenciaJetAdminConcatenada!$A:$A=BM$2)*(AsistenciaJetAdminConcatenada!$B:$B=BM$1), 0)), 1))),  0.5, 0))</f>
        <v>1</v>
      </c>
      <c r="BN42" s="47">
        <f t="array" ref="BN42">IF(AND(ISNUMBER(MATCH(BN$2, AsistenciaJetAdminConcatenada!$A:$A, 0)), ISNUMBER(MATCH(BN$1, AsistenciaJetAdminConcatenada!$B:$B, 0)), ISNUMBER(SEARCH($A42,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ISNUMBER(SEARCH($A42, INDEX(AsistenciaJetAdminConcatenada!$D:$D, MATCH(1, (AsistenciaJetAdminConcatenada!$A:$A=BN$2)*(AsistenciaJetAdminConcatenada!$B:$B=BN$1), 0)), 1))),  0.5, 0))</f>
        <v>0</v>
      </c>
      <c r="BO42" s="47">
        <f t="array" ref="BO42">IF(AND(ISNUMBER(MATCH(BO$2, AsistenciaJetAdminConcatenada!$A:$A, 0)), ISNUMBER(MATCH(BO$1, AsistenciaJetAdminConcatenada!$B:$B, 0)), ISNUMBER(SEARCH($A42,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ISNUMBER(SEARCH($A42, INDEX(AsistenciaJetAdminConcatenada!$D:$D, MATCH(1, (AsistenciaJetAdminConcatenada!$A:$A=BO$2)*(AsistenciaJetAdminConcatenada!$B:$B=BO$1), 0)), 1))),  0.5, 0))</f>
        <v>1</v>
      </c>
      <c r="BP42" s="47">
        <f t="array" ref="BP42">IF(AND(ISNUMBER(MATCH(BP$2, AsistenciaJetAdminConcatenada!$A:$A, 0)), ISNUMBER(MATCH(BP$1, AsistenciaJetAdminConcatenada!$B:$B, 0)), ISNUMBER(SEARCH($A42,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ISNUMBER(SEARCH($A42, INDEX(AsistenciaJetAdminConcatenada!$D:$D, MATCH(1, (AsistenciaJetAdminConcatenada!$A:$A=BP$2)*(AsistenciaJetAdminConcatenada!$B:$B=BP$1), 0)), 1))),  0.5, 0))</f>
        <v>1</v>
      </c>
      <c r="BQ42" s="47">
        <f t="array" ref="BQ42">IF(AND(ISNUMBER(MATCH(BQ$2, AsistenciaJetAdminConcatenada!$A:$A, 0)), ISNUMBER(MATCH(BQ$1, AsistenciaJetAdminConcatenada!$B:$B, 0)), ISNUMBER(SEARCH($A42,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ISNUMBER(SEARCH($A42, INDEX(AsistenciaJetAdminConcatenada!$D:$D, MATCH(1, (AsistenciaJetAdminConcatenada!$A:$A=BQ$2)*(AsistenciaJetAdminConcatenada!$B:$B=BQ$1), 0)), 1))),  0.5, 0))</f>
        <v>1</v>
      </c>
      <c r="BR42" s="47">
        <f t="array" ref="BR42">IF(AND(ISNUMBER(MATCH(BR$2, AsistenciaJetAdminConcatenada!$A:$A, 0)), ISNUMBER(MATCH(BR$1, AsistenciaJetAdminConcatenada!$B:$B, 0)), ISNUMBER(SEARCH($A42,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ISNUMBER(SEARCH($A42, INDEX(AsistenciaJetAdminConcatenada!$D:$D, MATCH(1, (AsistenciaJetAdminConcatenada!$A:$A=BR$2)*(AsistenciaJetAdminConcatenada!$B:$B=BR$1), 0)), 1))),  0.5, 0))</f>
        <v>0</v>
      </c>
      <c r="BS42" s="47">
        <f t="array" ref="BS42">IF(AND(ISNUMBER(MATCH(BS$2, AsistenciaJetAdminConcatenada!$A:$A, 0)), ISNUMBER(MATCH(BS$1, AsistenciaJetAdminConcatenada!$B:$B, 0)), ISNUMBER(SEARCH($A42,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ISNUMBER(SEARCH($A42, INDEX(AsistenciaJetAdminConcatenada!$D:$D, MATCH(1, (AsistenciaJetAdminConcatenada!$A:$A=BS$2)*(AsistenciaJetAdminConcatenada!$B:$B=BS$1), 0)), 1))),  0.5, 0))</f>
        <v>0</v>
      </c>
      <c r="BT42" s="47">
        <f t="array" ref="BT42">IF(AND(ISNUMBER(MATCH(BT$2, AsistenciaJetAdminConcatenada!$A:$A, 0)), ISNUMBER(MATCH(BT$1, AsistenciaJetAdminConcatenada!$B:$B, 0)), ISNUMBER(SEARCH($A42,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ISNUMBER(SEARCH($A42, INDEX(AsistenciaJetAdminConcatenada!$D:$D, MATCH(1, (AsistenciaJetAdminConcatenada!$A:$A=BT$2)*(AsistenciaJetAdminConcatenada!$B:$B=BT$1), 0)), 1))),  0.5, 0))</f>
        <v>1</v>
      </c>
      <c r="BU42" s="47">
        <f t="array" ref="BU42">IF(AND(ISNUMBER(MATCH(BU$2, AsistenciaJetAdminConcatenada!$A:$A, 0)), ISNUMBER(MATCH(BU$1, AsistenciaJetAdminConcatenada!$B:$B, 0)), ISNUMBER(SEARCH($A42,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ISNUMBER(SEARCH($A42, INDEX(AsistenciaJetAdminConcatenada!$D:$D, MATCH(1, (AsistenciaJetAdminConcatenada!$A:$A=BU$2)*(AsistenciaJetAdminConcatenada!$B:$B=BU$1), 0)), 1))),  0.5, 0))</f>
        <v>1</v>
      </c>
      <c r="BV42" s="47">
        <f t="array" ref="BV42">IF(AND(ISNUMBER(MATCH(BV$2, AsistenciaJetAdminConcatenada!$A:$A, 0)), ISNUMBER(MATCH(BV$1, AsistenciaJetAdminConcatenada!$B:$B, 0)), ISNUMBER(SEARCH($A42,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ISNUMBER(SEARCH($A42, INDEX(AsistenciaJetAdminConcatenada!$D:$D, MATCH(1, (AsistenciaJetAdminConcatenada!$A:$A=BV$2)*(AsistenciaJetAdminConcatenada!$B:$B=BV$1), 0)), 1))),  0.5, 0))</f>
        <v>0</v>
      </c>
      <c r="BW42" s="47">
        <f t="array" ref="BW42">IF(AND(ISNUMBER(MATCH(BW$2, AsistenciaJetAdminConcatenada!$A:$A, 0)), ISNUMBER(MATCH(BW$1, AsistenciaJetAdminConcatenada!$B:$B, 0)), ISNUMBER(SEARCH($A42,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ISNUMBER(SEARCH($A42, INDEX(AsistenciaJetAdminConcatenada!$D:$D, MATCH(1, (AsistenciaJetAdminConcatenada!$A:$A=BW$2)*(AsistenciaJetAdminConcatenada!$B:$B=BW$1), 0)), 1))),  0.5, 0))</f>
        <v>1</v>
      </c>
      <c r="BX42" s="47">
        <f t="array" ref="BX42">IF(AND(ISNUMBER(MATCH(BX$2, AsistenciaJetAdminConcatenada!$A:$A, 0)), ISNUMBER(MATCH(BX$1, AsistenciaJetAdminConcatenada!$B:$B, 0)), ISNUMBER(SEARCH($A42,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ISNUMBER(SEARCH($A42, INDEX(AsistenciaJetAdminConcatenada!$D:$D, MATCH(1, (AsistenciaJetAdminConcatenada!$A:$A=BX$2)*(AsistenciaJetAdminConcatenada!$B:$B=BX$1), 0)), 1))),  0.5, 0))</f>
        <v>0</v>
      </c>
      <c r="BY42" s="47">
        <f t="array" ref="BY42">IF(AND(ISNUMBER(MATCH(BY$2, AsistenciaJetAdminConcatenada!$A:$A, 0)), ISNUMBER(MATCH(BY$1, AsistenciaJetAdminConcatenada!$B:$B, 0)), ISNUMBER(SEARCH($A42,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ISNUMBER(SEARCH($A42, INDEX(AsistenciaJetAdminConcatenada!$D:$D, MATCH(1, (AsistenciaJetAdminConcatenada!$A:$A=BY$2)*(AsistenciaJetAdminConcatenada!$B:$B=BY$1), 0)), 1))),  0.5, 0))</f>
        <v>1</v>
      </c>
      <c r="BZ42" s="47">
        <f t="array" ref="BZ42">IF(AND(ISNUMBER(MATCH(BZ$2, AsistenciaJetAdminConcatenada!$A:$A, 0)), ISNUMBER(MATCH(BZ$1, AsistenciaJetAdminConcatenada!$B:$B, 0)), ISNUMBER(SEARCH($A42,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ISNUMBER(SEARCH($A42, INDEX(AsistenciaJetAdminConcatenada!$D:$D, MATCH(1, (AsistenciaJetAdminConcatenada!$A:$A=BZ$2)*(AsistenciaJetAdminConcatenada!$B:$B=BZ$1), 0)), 1))),  0.5, 0))</f>
        <v>1</v>
      </c>
      <c r="CA42" s="47">
        <f t="array" ref="CA42">IF(AND(ISNUMBER(MATCH(CA$2, AsistenciaJetAdminConcatenada!$A:$A, 0)), ISNUMBER(MATCH(CA$1, AsistenciaJetAdminConcatenada!$B:$B, 0)), ISNUMBER(SEARCH($A42,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ISNUMBER(SEARCH($A42, INDEX(AsistenciaJetAdminConcatenada!$D:$D, MATCH(1, (AsistenciaJetAdminConcatenada!$A:$A=CA$2)*(AsistenciaJetAdminConcatenada!$B:$B=CA$1), 0)), 1))),  0.5, 0))</f>
        <v>1</v>
      </c>
      <c r="CB42" s="47">
        <f t="array" ref="CB42">IF(AND(ISNUMBER(MATCH(CB$2, AsistenciaJetAdminConcatenada!$A:$A, 0)), ISNUMBER(MATCH(CB$1, AsistenciaJetAdminConcatenada!$B:$B, 0)), ISNUMBER(SEARCH($A42,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ISNUMBER(SEARCH($A42, INDEX(AsistenciaJetAdminConcatenada!$D:$D, MATCH(1, (AsistenciaJetAdminConcatenada!$A:$A=CB$2)*(AsistenciaJetAdminConcatenada!$B:$B=CB$1), 0)), 1))),  0.5, 0))</f>
        <v>0</v>
      </c>
      <c r="CC42" s="47">
        <f t="array" ref="CC42">IF(AND(ISNUMBER(MATCH(CC$2, AsistenciaJetAdminConcatenada!$A:$A, 0)), ISNUMBER(MATCH(CC$1, AsistenciaJetAdminConcatenada!$B:$B, 0)), ISNUMBER(SEARCH($A42,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ISNUMBER(SEARCH($A42, INDEX(AsistenciaJetAdminConcatenada!$D:$D, MATCH(1, (AsistenciaJetAdminConcatenada!$A:$A=CC$2)*(AsistenciaJetAdminConcatenada!$B:$B=CC$1), 0)), 1))),  0.5, 0))</f>
        <v>1</v>
      </c>
      <c r="CD42" s="47">
        <f t="array" ref="CD42">IF(AND(ISNUMBER(MATCH(CD$2, AsistenciaJetAdminConcatenada!$A:$A, 0)), ISNUMBER(MATCH(CD$1, AsistenciaJetAdminConcatenada!$B:$B, 0)), ISNUMBER(SEARCH($A42,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ISNUMBER(SEARCH($A42, INDEX(AsistenciaJetAdminConcatenada!$D:$D, MATCH(1, (AsistenciaJetAdminConcatenada!$A:$A=CD$2)*(AsistenciaJetAdminConcatenada!$B:$B=CD$1), 0)), 1))),  0.5, 0))</f>
        <v>0</v>
      </c>
      <c r="CE42" s="47">
        <f t="array" ref="CE42">IF(AND(ISNUMBER(MATCH(CE$2, AsistenciaJetAdminConcatenada!$A:$A, 0)), ISNUMBER(MATCH(CE$1, AsistenciaJetAdminConcatenada!$B:$B, 0)), ISNUMBER(SEARCH($A42,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ISNUMBER(SEARCH($A42, INDEX(AsistenciaJetAdminConcatenada!$D:$D, MATCH(1, (AsistenciaJetAdminConcatenada!$A:$A=CE$2)*(AsistenciaJetAdminConcatenada!$B:$B=CE$1), 0)), 1))),  0.5, 0))</f>
        <v>0.5</v>
      </c>
      <c r="CF42" s="47">
        <f t="array" ref="CF42">IF(AND(ISNUMBER(MATCH(CF$2, AsistenciaJetAdminConcatenada!$A:$A, 0)), ISNUMBER(MATCH(CF$1, AsistenciaJetAdminConcatenada!$B:$B, 0)), ISNUMBER(SEARCH($A42,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ISNUMBER(SEARCH($A42, INDEX(AsistenciaJetAdminConcatenada!$D:$D, MATCH(1, (AsistenciaJetAdminConcatenada!$A:$A=CF$2)*(AsistenciaJetAdminConcatenada!$B:$B=CF$1), 0)), 1))),  0.5, 0))</f>
        <v>0.5</v>
      </c>
      <c r="CG42" s="47">
        <f t="array" ref="CG42">IF(AND(ISNUMBER(MATCH(CG$2, AsistenciaJetAdminConcatenada!$A:$A, 0)), ISNUMBER(MATCH(CG$1, AsistenciaJetAdminConcatenada!$B:$B, 0)), ISNUMBER(SEARCH($A42,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ISNUMBER(SEARCH($A42, INDEX(AsistenciaJetAdminConcatenada!$D:$D, MATCH(1, (AsistenciaJetAdminConcatenada!$A:$A=CG$2)*(AsistenciaJetAdminConcatenada!$B:$B=CG$1), 0)), 1))),  0.5, 0))</f>
        <v>0.5</v>
      </c>
      <c r="CH42" s="47">
        <f t="array" ref="CH42">IF(AND(ISNUMBER(MATCH(CH$2, AsistenciaJetAdminConcatenada!$A:$A, 0)), ISNUMBER(MATCH(CH$1, AsistenciaJetAdminConcatenada!$B:$B, 0)), ISNUMBER(SEARCH($A42,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ISNUMBER(SEARCH($A42, INDEX(AsistenciaJetAdminConcatenada!$D:$D, MATCH(1, (AsistenciaJetAdminConcatenada!$A:$A=CH$2)*(AsistenciaJetAdminConcatenada!$B:$B=CH$1), 0)), 1))),  0.5, 0))</f>
        <v>1</v>
      </c>
      <c r="CI42" s="47">
        <f t="array" ref="CI42">IF(AND(ISNUMBER(MATCH(CI$2, AsistenciaJetAdminConcatenada!$A:$A, 0)), ISNUMBER(MATCH(CI$1, AsistenciaJetAdminConcatenada!$B:$B, 0)), ISNUMBER(SEARCH($A42,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ISNUMBER(SEARCH($A42, INDEX(AsistenciaJetAdminConcatenada!$D:$D, MATCH(1, (AsistenciaJetAdminConcatenada!$A:$A=CI$2)*(AsistenciaJetAdminConcatenada!$B:$B=CI$1), 0)), 1))),  0.5, 0))</f>
        <v>1</v>
      </c>
      <c r="CJ42" s="47">
        <f t="array" ref="CJ42">IF(AND(ISNUMBER(MATCH(CJ$2, AsistenciaJetAdminConcatenada!$A:$A, 0)), ISNUMBER(MATCH(CJ$1, AsistenciaJetAdminConcatenada!$B:$B, 0)), ISNUMBER(SEARCH($A42,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ISNUMBER(SEARCH($A42, INDEX(AsistenciaJetAdminConcatenada!$D:$D, MATCH(1, (AsistenciaJetAdminConcatenada!$A:$A=CJ$2)*(AsistenciaJetAdminConcatenada!$B:$B=CJ$1), 0)), 1))),  0.5, 0))</f>
        <v>1</v>
      </c>
      <c r="CK42" s="47">
        <f t="array" ref="CK42">IF(AND(ISNUMBER(MATCH(CK$2, AsistenciaJetAdminConcatenada!$A:$A, 0)), ISNUMBER(MATCH(CK$1, AsistenciaJetAdminConcatenada!$B:$B, 0)), ISNUMBER(SEARCH($A42,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ISNUMBER(SEARCH($A42, INDEX(AsistenciaJetAdminConcatenada!$D:$D, MATCH(1, (AsistenciaJetAdminConcatenada!$A:$A=CK$2)*(AsistenciaJetAdminConcatenada!$B:$B=CK$1), 0)), 1))),  0.5, 0))</f>
        <v>1</v>
      </c>
      <c r="CL42" s="47">
        <f t="array" ref="CL42">IF(AND(ISNUMBER(MATCH(CL$2, AsistenciaJetAdminConcatenada!$A:$A, 0)), ISNUMBER(MATCH(CL$1, AsistenciaJetAdminConcatenada!$B:$B, 0)), ISNUMBER(SEARCH($A42,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ISNUMBER(SEARCH($A42, INDEX(AsistenciaJetAdminConcatenada!$D:$D, MATCH(1, (AsistenciaJetAdminConcatenada!$A:$A=CL$2)*(AsistenciaJetAdminConcatenada!$B:$B=CL$1), 0)), 1))),  0.5, 0))</f>
        <v>0</v>
      </c>
      <c r="CM42" s="47">
        <f t="array" ref="CM42">IF(AND(ISNUMBER(MATCH(CM$2, AsistenciaJetAdminConcatenada!$A:$A, 0)), ISNUMBER(MATCH(CM$1, AsistenciaJetAdminConcatenada!$B:$B, 0)), ISNUMBER(SEARCH($A42,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ISNUMBER(SEARCH($A42, INDEX(AsistenciaJetAdminConcatenada!$D:$D, MATCH(1, (AsistenciaJetAdminConcatenada!$A:$A=CM$2)*(AsistenciaJetAdminConcatenada!$B:$B=CM$1), 0)), 1))),  0.5, 0))</f>
        <v>1</v>
      </c>
      <c r="CN42" s="47">
        <f t="array" ref="CN42">IF(AND(ISNUMBER(MATCH(CN$2, AsistenciaJetAdminConcatenada!$A:$A, 0)), ISNUMBER(MATCH(CN$1, AsistenciaJetAdminConcatenada!$B:$B, 0)), ISNUMBER(SEARCH($A42,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ISNUMBER(SEARCH($A42, INDEX(AsistenciaJetAdminConcatenada!$D:$D, MATCH(1, (AsistenciaJetAdminConcatenada!$A:$A=CN$2)*(AsistenciaJetAdminConcatenada!$B:$B=CN$1), 0)), 1))),  0.5, 0))</f>
        <v>1</v>
      </c>
      <c r="CO42" s="47">
        <f t="array" ref="CO42">IF(AND(ISNUMBER(MATCH(CO$2, AsistenciaJetAdminConcatenada!$A:$A, 0)), ISNUMBER(MATCH(CO$1, AsistenciaJetAdminConcatenada!$B:$B, 0)), ISNUMBER(SEARCH($A42,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ISNUMBER(SEARCH($A42, INDEX(AsistenciaJetAdminConcatenada!$D:$D, MATCH(1, (AsistenciaJetAdminConcatenada!$A:$A=CO$2)*(AsistenciaJetAdminConcatenada!$B:$B=CO$1), 0)), 1))),  0.5, 0))</f>
        <v>1</v>
      </c>
      <c r="CP42" s="47">
        <f t="array" ref="CP42">IF(AND(ISNUMBER(MATCH(CP$2, AsistenciaJetAdminConcatenada!$A:$A, 0)), ISNUMBER(MATCH(CP$1, AsistenciaJetAdminConcatenada!$B:$B, 0)), ISNUMBER(SEARCH($A42,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ISNUMBER(SEARCH($A42, INDEX(AsistenciaJetAdminConcatenada!$D:$D, MATCH(1, (AsistenciaJetAdminConcatenada!$A:$A=CP$2)*(AsistenciaJetAdminConcatenada!$B:$B=CP$1), 0)), 1))),  0.5, 0))</f>
        <v>1</v>
      </c>
      <c r="CQ42" s="47">
        <f t="array" ref="CQ42">IF(AND(ISNUMBER(MATCH(CQ$2, AsistenciaJetAdminConcatenada!$A:$A, 0)), ISNUMBER(MATCH(CQ$1, AsistenciaJetAdminConcatenada!$B:$B, 0)), ISNUMBER(SEARCH($A42,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ISNUMBER(SEARCH($A42, INDEX(AsistenciaJetAdminConcatenada!$D:$D, MATCH(1, (AsistenciaJetAdminConcatenada!$A:$A=CQ$2)*(AsistenciaJetAdminConcatenada!$B:$B=CQ$1), 0)), 1))),  0.5, 0))</f>
        <v>1</v>
      </c>
      <c r="CR42" s="47">
        <f t="array" ref="CR42">IF(AND(ISNUMBER(MATCH(CR$2, AsistenciaJetAdminConcatenada!$A:$A, 0)), ISNUMBER(MATCH(CR$1, AsistenciaJetAdminConcatenada!$B:$B, 0)), ISNUMBER(SEARCH($A42,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ISNUMBER(SEARCH($A42, INDEX(AsistenciaJetAdminConcatenada!$D:$D, MATCH(1, (AsistenciaJetAdminConcatenada!$A:$A=CR$2)*(AsistenciaJetAdminConcatenada!$B:$B=CR$1), 0)), 1))),  0.5, 0))</f>
        <v>1</v>
      </c>
      <c r="CS42" s="47">
        <f t="array" ref="CS42">IF(AND(ISNUMBER(MATCH(CS$2, AsistenciaJetAdminConcatenada!$A:$A, 0)), ISNUMBER(MATCH(CS$1, AsistenciaJetAdminConcatenada!$B:$B, 0)), ISNUMBER(SEARCH($A42,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ISNUMBER(SEARCH($A42, INDEX(AsistenciaJetAdminConcatenada!$D:$D, MATCH(1, (AsistenciaJetAdminConcatenada!$A:$A=CS$2)*(AsistenciaJetAdminConcatenada!$B:$B=CS$1), 0)), 1))),  0.5, 0))</f>
        <v>0</v>
      </c>
      <c r="CT42" s="47">
        <f t="array" ref="CT42">IF(AND(ISNUMBER(MATCH(CT$2, AsistenciaJetAdminConcatenada!$A:$A, 0)), ISNUMBER(MATCH(CT$1, AsistenciaJetAdminConcatenada!$B:$B, 0)), ISNUMBER(SEARCH($A42,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ISNUMBER(SEARCH($A42, INDEX(AsistenciaJetAdminConcatenada!$D:$D, MATCH(1, (AsistenciaJetAdminConcatenada!$A:$A=CT$2)*(AsistenciaJetAdminConcatenada!$B:$B=CT$1), 0)), 1))),  0.5, 0))</f>
        <v>0</v>
      </c>
      <c r="CU42" s="47">
        <f t="array" ref="CU42">IF(AND(ISNUMBER(MATCH(CU$2, AsistenciaJetAdminConcatenada!$A:$A, 0)), ISNUMBER(MATCH(CU$1, AsistenciaJetAdminConcatenada!$B:$B, 0)), ISNUMBER(SEARCH($A42,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ISNUMBER(SEARCH($A42, INDEX(AsistenciaJetAdminConcatenada!$D:$D, MATCH(1, (AsistenciaJetAdminConcatenada!$A:$A=CU$2)*(AsistenciaJetAdminConcatenada!$B:$B=CU$1), 0)), 1))),  0.5, 0))</f>
        <v>0</v>
      </c>
      <c r="CV42" s="47">
        <f t="array" ref="CV42">IF(AND(ISNUMBER(MATCH(CV$2, AsistenciaJetAdminConcatenada!$A:$A, 0)), ISNUMBER(MATCH(CV$1, AsistenciaJetAdminConcatenada!$B:$B, 0)), ISNUMBER(SEARCH($A42,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ISNUMBER(SEARCH($A42, INDEX(AsistenciaJetAdminConcatenada!$D:$D, MATCH(1, (AsistenciaJetAdminConcatenada!$A:$A=CV$2)*(AsistenciaJetAdminConcatenada!$B:$B=CV$1), 0)), 1))),  0.5, 0))</f>
        <v>0</v>
      </c>
      <c r="CW42" s="47">
        <f t="array" ref="CW42">IF(AND(ISNUMBER(MATCH(CW$2, AsistenciaJetAdminConcatenada!$A:$A, 0)), ISNUMBER(MATCH(CW$1, AsistenciaJetAdminConcatenada!$B:$B, 0)), ISNUMBER(SEARCH($A42,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ISNUMBER(SEARCH($A42, INDEX(AsistenciaJetAdminConcatenada!$D:$D, MATCH(1, (AsistenciaJetAdminConcatenada!$A:$A=CW$2)*(AsistenciaJetAdminConcatenada!$B:$B=CW$1), 0)), 1))),  0.5, 0))</f>
        <v>0</v>
      </c>
      <c r="CX42" s="47">
        <f t="array" ref="CX42">IF(AND(ISNUMBER(MATCH(CX$2, AsistenciaJetAdminConcatenada!$A:$A, 0)), ISNUMBER(MATCH(CX$1, AsistenciaJetAdminConcatenada!$B:$B, 0)), ISNUMBER(SEARCH($A42,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ISNUMBER(SEARCH($A42, INDEX(AsistenciaJetAdminConcatenada!$D:$D, MATCH(1, (AsistenciaJetAdminConcatenada!$A:$A=CX$2)*(AsistenciaJetAdminConcatenada!$B:$B=CX$1), 0)), 1))),  0.5, 0))</f>
        <v>0</v>
      </c>
      <c r="CY42" s="47">
        <f t="array" ref="CY42">IF(AND(ISNUMBER(MATCH(CY$2, AsistenciaJetAdminConcatenada!$A:$A, 0)), ISNUMBER(MATCH(CY$1, AsistenciaJetAdminConcatenada!$B:$B, 0)), ISNUMBER(SEARCH($A42,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ISNUMBER(SEARCH($A42, INDEX(AsistenciaJetAdminConcatenada!$D:$D, MATCH(1, (AsistenciaJetAdminConcatenada!$A:$A=CY$2)*(AsistenciaJetAdminConcatenada!$B:$B=CY$1), 0)), 1))),  0.5, 0))</f>
        <v>0</v>
      </c>
      <c r="CZ42" s="47">
        <f t="array" ref="CZ42">IF(AND(ISNUMBER(MATCH(CZ$2, AsistenciaJetAdminConcatenada!$A:$A, 0)), ISNUMBER(MATCH(CZ$1, AsistenciaJetAdminConcatenada!$B:$B, 0)), ISNUMBER(SEARCH($A42,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ISNUMBER(SEARCH($A42, INDEX(AsistenciaJetAdminConcatenada!$D:$D, MATCH(1, (AsistenciaJetAdminConcatenada!$A:$A=CZ$2)*(AsistenciaJetAdminConcatenada!$B:$B=CZ$1), 0)), 1))),  0.5, 0))</f>
        <v>0</v>
      </c>
      <c r="DA42" s="47">
        <f t="array" ref="DA42">IF(AND(ISNUMBER(MATCH(DA$2, AsistenciaJetAdminConcatenada!$A:$A, 0)), ISNUMBER(MATCH(DA$1, AsistenciaJetAdminConcatenada!$B:$B, 0)), ISNUMBER(SEARCH($A42,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ISNUMBER(SEARCH($A42, INDEX(AsistenciaJetAdminConcatenada!$D:$D, MATCH(1, (AsistenciaJetAdminConcatenada!$A:$A=DA$2)*(AsistenciaJetAdminConcatenada!$B:$B=DA$1), 0)), 1))),  0.5, 0))</f>
        <v>0</v>
      </c>
      <c r="DB42" s="47">
        <f t="array" ref="DB42">IF(AND(ISNUMBER(MATCH(DB$2, AsistenciaJetAdminConcatenada!$A:$A, 0)), ISNUMBER(MATCH(DB$1, AsistenciaJetAdminConcatenada!$B:$B, 0)), ISNUMBER(SEARCH($A42,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ISNUMBER(SEARCH($A42, INDEX(AsistenciaJetAdminConcatenada!$D:$D, MATCH(1, (AsistenciaJetAdminConcatenada!$A:$A=DB$2)*(AsistenciaJetAdminConcatenada!$B:$B=DB$1), 0)), 1))),  0.5, 0))</f>
        <v>0</v>
      </c>
      <c r="DC42" s="47">
        <f t="array" ref="DC42">IF(AND(ISNUMBER(MATCH(DC$2, AsistenciaJetAdminConcatenada!$A:$A, 0)), ISNUMBER(MATCH(DC$1, AsistenciaJetAdminConcatenada!$B:$B, 0)), ISNUMBER(SEARCH($A42,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ISNUMBER(SEARCH($A42, INDEX(AsistenciaJetAdminConcatenada!$D:$D, MATCH(1, (AsistenciaJetAdminConcatenada!$A:$A=DC$2)*(AsistenciaJetAdminConcatenada!$B:$B=DC$1), 0)), 1))),  0.5, 0))</f>
        <v>0</v>
      </c>
      <c r="DD42" s="47">
        <f t="array" ref="DD42">IF(AND(ISNUMBER(MATCH(DD$2, AsistenciaJetAdminConcatenada!$A:$A, 0)), ISNUMBER(MATCH(DD$1, AsistenciaJetAdminConcatenada!$B:$B, 0)), ISNUMBER(SEARCH($A42,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ISNUMBER(SEARCH($A42, INDEX(AsistenciaJetAdminConcatenada!$D:$D, MATCH(1, (AsistenciaJetAdminConcatenada!$A:$A=DD$2)*(AsistenciaJetAdminConcatenada!$B:$B=DD$1), 0)), 1))),  0.5, 0))</f>
        <v>0</v>
      </c>
      <c r="DE42" s="47">
        <f t="array" ref="DE42">IF(AND(ISNUMBER(MATCH(DE$2, AsistenciaJetAdminConcatenada!$A:$A, 0)), ISNUMBER(MATCH(DE$1, AsistenciaJetAdminConcatenada!$B:$B, 0)), ISNUMBER(SEARCH($A42,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ISNUMBER(SEARCH($A42, INDEX(AsistenciaJetAdminConcatenada!$D:$D, MATCH(1, (AsistenciaJetAdminConcatenada!$A:$A=DE$2)*(AsistenciaJetAdminConcatenada!$B:$B=DE$1), 0)), 1))),  0.5, 0))</f>
        <v>0</v>
      </c>
      <c r="DF42" s="47">
        <f t="array" ref="DF42">IF(AND(ISNUMBER(MATCH(DF$2, AsistenciaJetAdminConcatenada!$A:$A, 0)), ISNUMBER(MATCH(DF$1, AsistenciaJetAdminConcatenada!$B:$B, 0)), ISNUMBER(SEARCH($A42,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ISNUMBER(SEARCH($A42, INDEX(AsistenciaJetAdminConcatenada!$D:$D, MATCH(1, (AsistenciaJetAdminConcatenada!$A:$A=DF$2)*(AsistenciaJetAdminConcatenada!$B:$B=DF$1), 0)), 1))),  0.5, 0))</f>
        <v>0</v>
      </c>
      <c r="DG42" s="47">
        <f t="array" ref="DG42">IF(AND(ISNUMBER(MATCH(DG$2, AsistenciaJetAdminConcatenada!$A:$A, 0)), ISNUMBER(MATCH(DG$1, AsistenciaJetAdminConcatenada!$B:$B, 0)), ISNUMBER(SEARCH($A42,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ISNUMBER(SEARCH($A42, INDEX(AsistenciaJetAdminConcatenada!$D:$D, MATCH(1, (AsistenciaJetAdminConcatenada!$A:$A=DG$2)*(AsistenciaJetAdminConcatenada!$B:$B=DG$1), 0)), 1))),  0.5, 0))</f>
        <v>0</v>
      </c>
      <c r="DH42" s="47">
        <f t="array" ref="DH42">IF(AND(ISNUMBER(MATCH(DH$2, AsistenciaJetAdminConcatenada!$A:$A, 0)), ISNUMBER(MATCH(DH$1, AsistenciaJetAdminConcatenada!$B:$B, 0)), ISNUMBER(SEARCH($A42,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ISNUMBER(SEARCH($A42, INDEX(AsistenciaJetAdminConcatenada!$D:$D, MATCH(1, (AsistenciaJetAdminConcatenada!$A:$A=DH$2)*(AsistenciaJetAdminConcatenada!$B:$B=DH$1), 0)), 1))),  0.5, 0))</f>
        <v>0</v>
      </c>
      <c r="DI42" s="47">
        <f t="array" ref="DI42">IF(AND(ISNUMBER(MATCH(DI$2, AsistenciaJetAdminConcatenada!$A:$A, 0)), ISNUMBER(MATCH(DI$1, AsistenciaJetAdminConcatenada!$B:$B, 0)), ISNUMBER(SEARCH($A42,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ISNUMBER(SEARCH($A42, INDEX(AsistenciaJetAdminConcatenada!$D:$D, MATCH(1, (AsistenciaJetAdminConcatenada!$A:$A=DI$2)*(AsistenciaJetAdminConcatenada!$B:$B=DI$1), 0)), 1))),  0.5, 0))</f>
        <v>0</v>
      </c>
      <c r="DJ42" s="47">
        <f t="array" ref="DJ42">IF(AND(ISNUMBER(MATCH(DJ$2, AsistenciaJetAdminConcatenada!$A:$A, 0)), ISNUMBER(MATCH(DJ$1, AsistenciaJetAdminConcatenada!$B:$B, 0)), ISNUMBER(SEARCH($A42,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ISNUMBER(SEARCH($A42, INDEX(AsistenciaJetAdminConcatenada!$D:$D, MATCH(1, (AsistenciaJetAdminConcatenada!$A:$A=DJ$2)*(AsistenciaJetAdminConcatenada!$B:$B=DJ$1), 0)), 1))),  0.5, 0))</f>
        <v>0</v>
      </c>
      <c r="DK42" s="47">
        <f t="array" ref="DK42">IF(AND(ISNUMBER(MATCH(DK$2, AsistenciaJetAdminConcatenada!$A:$A, 0)), ISNUMBER(MATCH(DK$1, AsistenciaJetAdminConcatenada!$B:$B, 0)), ISNUMBER(SEARCH($A42,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ISNUMBER(SEARCH($A42, INDEX(AsistenciaJetAdminConcatenada!$D:$D, MATCH(1, (AsistenciaJetAdminConcatenada!$A:$A=DK$2)*(AsistenciaJetAdminConcatenada!$B:$B=DK$1), 0)), 1))),  0.5, 0))</f>
        <v>0</v>
      </c>
      <c r="DL42" s="47">
        <f t="array" ref="DL42">IF(AND(ISNUMBER(MATCH(DL$2, AsistenciaJetAdminConcatenada!$A:$A, 0)), ISNUMBER(MATCH(DL$1, AsistenciaJetAdminConcatenada!$B:$B, 0)), ISNUMBER(SEARCH($A42,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ISNUMBER(SEARCH($A42, INDEX(AsistenciaJetAdminConcatenada!$D:$D, MATCH(1, (AsistenciaJetAdminConcatenada!$A:$A=DL$2)*(AsistenciaJetAdminConcatenada!$B:$B=DL$1), 0)), 1))),  0.5, 0))</f>
        <v>0</v>
      </c>
      <c r="DM42" s="47">
        <f t="array" ref="DM42">IF(AND(ISNUMBER(MATCH(DM$2, AsistenciaJetAdminConcatenada!$A:$A, 0)), ISNUMBER(MATCH(DM$1, AsistenciaJetAdminConcatenada!$B:$B, 0)), ISNUMBER(SEARCH($A42,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ISNUMBER(SEARCH($A42, INDEX(AsistenciaJetAdminConcatenada!$D:$D, MATCH(1, (AsistenciaJetAdminConcatenada!$A:$A=DM$2)*(AsistenciaJetAdminConcatenada!$B:$B=DM$1), 0)), 1))),  0.5, 0))</f>
        <v>0</v>
      </c>
      <c r="DN42" s="47">
        <f t="array" ref="DN42">IF(AND(ISNUMBER(MATCH(DN$2, AsistenciaJetAdminConcatenada!$A:$A, 0)), ISNUMBER(MATCH(DN$1, AsistenciaJetAdminConcatenada!$B:$B, 0)), ISNUMBER(SEARCH($A42,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ISNUMBER(SEARCH($A42, INDEX(AsistenciaJetAdminConcatenada!$D:$D, MATCH(1, (AsistenciaJetAdminConcatenada!$A:$A=DN$2)*(AsistenciaJetAdminConcatenada!$B:$B=DN$1), 0)), 1))),  0.5, 0))</f>
        <v>0</v>
      </c>
      <c r="DO42" s="47">
        <f t="array" ref="DO42">IF(AND(ISNUMBER(MATCH(DO$2, AsistenciaJetAdminConcatenada!$A:$A, 0)), ISNUMBER(MATCH(DO$1, AsistenciaJetAdminConcatenada!$B:$B, 0)), ISNUMBER(SEARCH($A42,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ISNUMBER(SEARCH($A42, INDEX(AsistenciaJetAdminConcatenada!$D:$D, MATCH(1, (AsistenciaJetAdminConcatenada!$A:$A=DO$2)*(AsistenciaJetAdminConcatenada!$B:$B=DO$1), 0)), 1))),  0.5, 0))</f>
        <v>0</v>
      </c>
      <c r="DP42" s="47">
        <f t="array" ref="DP42">IF(AND(ISNUMBER(MATCH(DP$2, AsistenciaJetAdminConcatenada!$A:$A, 0)), ISNUMBER(MATCH(DP$1, AsistenciaJetAdminConcatenada!$B:$B, 0)), ISNUMBER(SEARCH($A42,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ISNUMBER(SEARCH($A42, INDEX(AsistenciaJetAdminConcatenada!$D:$D, MATCH(1, (AsistenciaJetAdminConcatenada!$A:$A=DP$2)*(AsistenciaJetAdminConcatenada!$B:$B=DP$1), 0)), 1))),  0.5, 0))</f>
        <v>0</v>
      </c>
      <c r="DQ42" s="47">
        <f t="array" ref="DQ42">IF(AND(ISNUMBER(MATCH(DQ$2, AsistenciaJetAdminConcatenada!$A:$A, 0)), ISNUMBER(MATCH(DQ$1, AsistenciaJetAdminConcatenada!$B:$B, 0)), ISNUMBER(SEARCH($A42,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ISNUMBER(SEARCH($A42, INDEX(AsistenciaJetAdminConcatenada!$D:$D, MATCH(1, (AsistenciaJetAdminConcatenada!$A:$A=DQ$2)*(AsistenciaJetAdminConcatenada!$B:$B=DQ$1), 0)), 1))),  0.5, 0))</f>
        <v>0</v>
      </c>
      <c r="DR42" s="47">
        <f t="array" ref="DR42">IF(AND(ISNUMBER(MATCH(DR$2, AsistenciaJetAdminConcatenada!$A:$A, 0)), ISNUMBER(MATCH(DR$1, AsistenciaJetAdminConcatenada!$B:$B, 0)), ISNUMBER(SEARCH($A42,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ISNUMBER(SEARCH($A42, INDEX(AsistenciaJetAdminConcatenada!$D:$D, MATCH(1, (AsistenciaJetAdminConcatenada!$A:$A=DR$2)*(AsistenciaJetAdminConcatenada!$B:$B=DR$1), 0)), 1))),  0.5, 0))</f>
        <v>0</v>
      </c>
      <c r="DS42" s="47">
        <f t="array" ref="DS42">IF(AND(ISNUMBER(MATCH(DS$2, AsistenciaJetAdminConcatenada!$A:$A, 0)), ISNUMBER(MATCH(DS$1, AsistenciaJetAdminConcatenada!$B:$B, 0)), ISNUMBER(SEARCH($A42,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ISNUMBER(SEARCH($A42, INDEX(AsistenciaJetAdminConcatenada!$D:$D, MATCH(1, (AsistenciaJetAdminConcatenada!$A:$A=DS$2)*(AsistenciaJetAdminConcatenada!$B:$B=DS$1), 0)), 1))),  0.5, 0))</f>
        <v>0</v>
      </c>
      <c r="DT42" s="47">
        <f t="array" ref="DT42">IF(AND(ISNUMBER(MATCH(DT$2, AsistenciaJetAdminConcatenada!$A:$A, 0)), ISNUMBER(MATCH(DT$1, AsistenciaJetAdminConcatenada!$B:$B, 0)), ISNUMBER(SEARCH($A42,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ISNUMBER(SEARCH($A42, INDEX(AsistenciaJetAdminConcatenada!$D:$D, MATCH(1, (AsistenciaJetAdminConcatenada!$A:$A=DT$2)*(AsistenciaJetAdminConcatenada!$B:$B=DT$1), 0)), 1))),  0.5, 0))</f>
        <v>0</v>
      </c>
      <c r="DU42" s="47">
        <f t="array" ref="DU42">IF(AND(ISNUMBER(MATCH(DU$2, AsistenciaJetAdminConcatenada!$A:$A, 0)), ISNUMBER(MATCH(DU$1, AsistenciaJetAdminConcatenada!$B:$B, 0)), ISNUMBER(SEARCH($A42,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ISNUMBER(SEARCH($A42, INDEX(AsistenciaJetAdminConcatenada!$D:$D, MATCH(1, (AsistenciaJetAdminConcatenada!$A:$A=DU$2)*(AsistenciaJetAdminConcatenada!$B:$B=DU$1), 0)), 1))),  0.5, 0))</f>
        <v>0</v>
      </c>
      <c r="DV42" s="47">
        <f t="array" ref="DV42">IF(AND(ISNUMBER(MATCH(DV$2, AsistenciaJetAdminConcatenada!$A:$A, 0)), ISNUMBER(MATCH(DV$1, AsistenciaJetAdminConcatenada!$B:$B, 0)), ISNUMBER(SEARCH($A42,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ISNUMBER(SEARCH($A42, INDEX(AsistenciaJetAdminConcatenada!$D:$D, MATCH(1, (AsistenciaJetAdminConcatenada!$A:$A=DV$2)*(AsistenciaJetAdminConcatenada!$B:$B=DV$1), 0)), 1))),  0.5, 0))</f>
        <v>0</v>
      </c>
      <c r="DW42" s="47">
        <f t="array" ref="DW42">IF(AND(ISNUMBER(MATCH(DW$2, AsistenciaJetAdminConcatenada!$A:$A, 0)), ISNUMBER(MATCH(DW$1, AsistenciaJetAdminConcatenada!$B:$B, 0)), ISNUMBER(SEARCH($A42,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ISNUMBER(SEARCH($A42, INDEX(AsistenciaJetAdminConcatenada!$D:$D, MATCH(1, (AsistenciaJetAdminConcatenada!$A:$A=DW$2)*(AsistenciaJetAdminConcatenada!$B:$B=DW$1), 0)), 1))),  0.5, 0))</f>
        <v>0</v>
      </c>
      <c r="DX42" s="47">
        <f t="array" ref="DX42">IF(AND(ISNUMBER(MATCH(DX$2, AsistenciaJetAdminConcatenada!$A:$A, 0)), ISNUMBER(MATCH(DX$1, AsistenciaJetAdminConcatenada!$B:$B, 0)), ISNUMBER(SEARCH($A42,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ISNUMBER(SEARCH($A42, INDEX(AsistenciaJetAdminConcatenada!$D:$D, MATCH(1, (AsistenciaJetAdminConcatenada!$A:$A=DX$2)*(AsistenciaJetAdminConcatenada!$B:$B=DX$1), 0)), 1))),  0.5, 0))</f>
        <v>0</v>
      </c>
      <c r="DY42" s="47">
        <f t="array" ref="DY42">IF(AND(ISNUMBER(MATCH(DY$2, AsistenciaJetAdminConcatenada!$A:$A, 0)), ISNUMBER(MATCH(DY$1, AsistenciaJetAdminConcatenada!$B:$B, 0)), ISNUMBER(SEARCH($A42,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ISNUMBER(SEARCH($A42, INDEX(AsistenciaJetAdminConcatenada!$D:$D, MATCH(1, (AsistenciaJetAdminConcatenada!$A:$A=DY$2)*(AsistenciaJetAdminConcatenada!$B:$B=DY$1), 0)), 1))),  0.5, 0))</f>
        <v>0</v>
      </c>
      <c r="DZ42" s="47">
        <f t="array" ref="DZ42">IF(AND(ISNUMBER(MATCH(DZ$2, AsistenciaJetAdminConcatenada!$A:$A, 0)), ISNUMBER(MATCH(DZ$1, AsistenciaJetAdminConcatenada!$B:$B, 0)), ISNUMBER(SEARCH($A42,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ISNUMBER(SEARCH($A42, INDEX(AsistenciaJetAdminConcatenada!$D:$D, MATCH(1, (AsistenciaJetAdminConcatenada!$A:$A=DZ$2)*(AsistenciaJetAdminConcatenada!$B:$B=DZ$1), 0)), 1))),  0.5, 0))</f>
        <v>0</v>
      </c>
      <c r="EA42" s="47">
        <f t="array" ref="EA42">IF(AND(ISNUMBER(MATCH(EA$2, AsistenciaJetAdminConcatenada!$A:$A, 0)), ISNUMBER(MATCH(EA$1, AsistenciaJetAdminConcatenada!$B:$B, 0)), ISNUMBER(SEARCH($A42,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ISNUMBER(SEARCH($A42, INDEX(AsistenciaJetAdminConcatenada!$D:$D, MATCH(1, (AsistenciaJetAdminConcatenada!$A:$A=EA$2)*(AsistenciaJetAdminConcatenada!$B:$B=EA$1), 0)), 1))),  0.5, 0))</f>
        <v>0</v>
      </c>
      <c r="EB42" s="47">
        <f t="array" ref="EB42">IF(AND(ISNUMBER(MATCH(EB$2, AsistenciaJetAdminConcatenada!$A:$A, 0)), ISNUMBER(MATCH(EB$1, AsistenciaJetAdminConcatenada!$B:$B, 0)), ISNUMBER(SEARCH($A42,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ISNUMBER(SEARCH($A42, INDEX(AsistenciaJetAdminConcatenada!$D:$D, MATCH(1, (AsistenciaJetAdminConcatenada!$A:$A=EB$2)*(AsistenciaJetAdminConcatenada!$B:$B=EB$1), 0)), 1))),  0.5, 0))</f>
        <v>0</v>
      </c>
      <c r="EC42" s="47">
        <f t="array" ref="EC42">IF(AND(ISNUMBER(MATCH(EC$2, AsistenciaJetAdminConcatenada!$A:$A, 0)), ISNUMBER(MATCH(EC$1, AsistenciaJetAdminConcatenada!$B:$B, 0)), ISNUMBER(SEARCH($A42,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ISNUMBER(SEARCH($A42, INDEX(AsistenciaJetAdminConcatenada!$D:$D, MATCH(1, (AsistenciaJetAdminConcatenada!$A:$A=EC$2)*(AsistenciaJetAdminConcatenada!$B:$B=EC$1), 0)), 1))),  0.5, 0))</f>
        <v>0</v>
      </c>
      <c r="ED42" s="47">
        <f t="array" ref="ED42">IF(AND(ISNUMBER(MATCH(ED$2, AsistenciaJetAdminConcatenada!$A:$A, 0)), ISNUMBER(MATCH(ED$1, AsistenciaJetAdminConcatenada!$B:$B, 0)), ISNUMBER(SEARCH($A42,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ISNUMBER(SEARCH($A42, INDEX(AsistenciaJetAdminConcatenada!$D:$D, MATCH(1, (AsistenciaJetAdminConcatenada!$A:$A=ED$2)*(AsistenciaJetAdminConcatenada!$B:$B=ED$1), 0)), 1))),  0.5, 0))</f>
        <v>0</v>
      </c>
      <c r="EE42" s="47">
        <f t="array" ref="EE42">IF(AND(ISNUMBER(MATCH(EE$2, AsistenciaJetAdminConcatenada!$A:$A, 0)), ISNUMBER(MATCH(EE$1, AsistenciaJetAdminConcatenada!$B:$B, 0)), ISNUMBER(SEARCH($A42,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ISNUMBER(SEARCH($A42, INDEX(AsistenciaJetAdminConcatenada!$D:$D, MATCH(1, (AsistenciaJetAdminConcatenada!$A:$A=EE$2)*(AsistenciaJetAdminConcatenada!$B:$B=EE$1), 0)), 1))),  0.5, 0))</f>
        <v>0</v>
      </c>
      <c r="EF42" s="47">
        <f t="array" ref="EF42">IF(AND(ISNUMBER(MATCH(EF$2, AsistenciaJetAdminConcatenada!$A:$A, 0)), ISNUMBER(MATCH(EF$1, AsistenciaJetAdminConcatenada!$B:$B, 0)), ISNUMBER(SEARCH($A42,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ISNUMBER(SEARCH($A42, INDEX(AsistenciaJetAdminConcatenada!$D:$D, MATCH(1, (AsistenciaJetAdminConcatenada!$A:$A=EF$2)*(AsistenciaJetAdminConcatenada!$B:$B=EF$1), 0)), 1))),  0.5, 0))</f>
        <v>0</v>
      </c>
      <c r="EG42" s="47">
        <f t="array" ref="EG42">IF(AND(ISNUMBER(MATCH(EG$2, AsistenciaJetAdminConcatenada!$A:$A, 0)), ISNUMBER(MATCH(EG$1, AsistenciaJetAdminConcatenada!$B:$B, 0)), ISNUMBER(SEARCH($A42,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ISNUMBER(SEARCH($A42, INDEX(AsistenciaJetAdminConcatenada!$D:$D, MATCH(1, (AsistenciaJetAdminConcatenada!$A:$A=EG$2)*(AsistenciaJetAdminConcatenada!$B:$B=EG$1), 0)), 1))),  0.5, 0))</f>
        <v>0</v>
      </c>
      <c r="EH42" s="47">
        <f t="array" ref="EH42">IF(AND(ISNUMBER(MATCH(EH$2, AsistenciaJetAdminConcatenada!$A:$A, 0)), ISNUMBER(MATCH(EH$1, AsistenciaJetAdminConcatenada!$B:$B, 0)), ISNUMBER(SEARCH($A42,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ISNUMBER(SEARCH($A42, INDEX(AsistenciaJetAdminConcatenada!$D:$D, MATCH(1, (AsistenciaJetAdminConcatenada!$A:$A=EH$2)*(AsistenciaJetAdminConcatenada!$B:$B=EH$1), 0)), 1))),  0.5, 0))</f>
        <v>0</v>
      </c>
      <c r="EI42" s="47">
        <f t="array" ref="EI42">IF(AND(ISNUMBER(MATCH(EI$2, AsistenciaJetAdminConcatenada!$A:$A, 0)), ISNUMBER(MATCH(EI$1, AsistenciaJetAdminConcatenada!$B:$B, 0)), ISNUMBER(SEARCH($A42,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ISNUMBER(SEARCH($A42, INDEX(AsistenciaJetAdminConcatenada!$D:$D, MATCH(1, (AsistenciaJetAdminConcatenada!$A:$A=EI$2)*(AsistenciaJetAdminConcatenada!$B:$B=EI$1), 0)), 1))),  0.5, 0))</f>
        <v>0</v>
      </c>
      <c r="EJ42" s="47">
        <f t="array" ref="EJ42">IF(AND(ISNUMBER(MATCH(EJ$2, AsistenciaJetAdminConcatenada!$A:$A, 0)), ISNUMBER(MATCH(EJ$1, AsistenciaJetAdminConcatenada!$B:$B, 0)), ISNUMBER(SEARCH($A42,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ISNUMBER(SEARCH($A42, INDEX(AsistenciaJetAdminConcatenada!$D:$D, MATCH(1, (AsistenciaJetAdminConcatenada!$A:$A=EJ$2)*(AsistenciaJetAdminConcatenada!$B:$B=EJ$1), 0)), 1))),  0.5, 0))</f>
        <v>0</v>
      </c>
      <c r="EK42" s="47">
        <f t="array" ref="EK42">IF(AND(ISNUMBER(MATCH(EK$2, AsistenciaJetAdminConcatenada!$A:$A, 0)), ISNUMBER(MATCH(EK$1, AsistenciaJetAdminConcatenada!$B:$B, 0)), ISNUMBER(SEARCH($A42,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ISNUMBER(SEARCH($A42, INDEX(AsistenciaJetAdminConcatenada!$D:$D, MATCH(1, (AsistenciaJetAdminConcatenada!$A:$A=EK$2)*(AsistenciaJetAdminConcatenada!$B:$B=EK$1), 0)), 1))),  0.5, 0))</f>
        <v>0</v>
      </c>
      <c r="EL42" s="47">
        <f t="array" ref="EL42">IF(AND(ISNUMBER(MATCH(EL$2, AsistenciaJetAdminConcatenada!$A:$A, 0)), ISNUMBER(MATCH(EL$1, AsistenciaJetAdminConcatenada!$B:$B, 0)), ISNUMBER(SEARCH($A42,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ISNUMBER(SEARCH($A42, INDEX(AsistenciaJetAdminConcatenada!$D:$D, MATCH(1, (AsistenciaJetAdminConcatenada!$A:$A=EL$2)*(AsistenciaJetAdminConcatenada!$B:$B=EL$1), 0)), 1))),  0.5, 0))</f>
        <v>0</v>
      </c>
      <c r="EM42" s="47">
        <f t="array" ref="EM42">IF(AND(ISNUMBER(MATCH(EM$2, AsistenciaJetAdminConcatenada!$A:$A, 0)), ISNUMBER(MATCH(EM$1, AsistenciaJetAdminConcatenada!$B:$B, 0)), ISNUMBER(SEARCH($A42,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ISNUMBER(SEARCH($A42, INDEX(AsistenciaJetAdminConcatenada!$D:$D, MATCH(1, (AsistenciaJetAdminConcatenada!$A:$A=EM$2)*(AsistenciaJetAdminConcatenada!$B:$B=EM$1), 0)), 1))),  0.5, 0))</f>
        <v>0</v>
      </c>
      <c r="EN42" s="47">
        <f t="array" ref="EN42">IF(AND(ISNUMBER(MATCH(EN$2, AsistenciaJetAdminConcatenada!$A:$A, 0)), ISNUMBER(MATCH(EN$1, AsistenciaJetAdminConcatenada!$B:$B, 0)), ISNUMBER(SEARCH($A42,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ISNUMBER(SEARCH($A42, INDEX(AsistenciaJetAdminConcatenada!$D:$D, MATCH(1, (AsistenciaJetAdminConcatenada!$A:$A=EN$2)*(AsistenciaJetAdminConcatenada!$B:$B=EN$1), 0)), 1))),  0.5, 0))</f>
        <v>0</v>
      </c>
      <c r="EO42" s="47">
        <f t="array" ref="EO42">IF(AND(ISNUMBER(MATCH(EO$2, AsistenciaJetAdminConcatenada!$A:$A, 0)), ISNUMBER(MATCH(EO$1, AsistenciaJetAdminConcatenada!$B:$B, 0)), ISNUMBER(SEARCH($A42,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ISNUMBER(SEARCH($A42, INDEX(AsistenciaJetAdminConcatenada!$D:$D, MATCH(1, (AsistenciaJetAdminConcatenada!$A:$A=EO$2)*(AsistenciaJetAdminConcatenada!$B:$B=EO$1), 0)), 1))),  0.5, 0))</f>
        <v>0</v>
      </c>
      <c r="EP42" s="47">
        <f t="array" ref="EP42">IF(AND(ISNUMBER(MATCH(EP$2, AsistenciaJetAdminConcatenada!$A:$A, 0)), ISNUMBER(MATCH(EP$1, AsistenciaJetAdminConcatenada!$B:$B, 0)), ISNUMBER(SEARCH($A42,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ISNUMBER(SEARCH($A42, INDEX(AsistenciaJetAdminConcatenada!$D:$D, MATCH(1, (AsistenciaJetAdminConcatenada!$A:$A=EP$2)*(AsistenciaJetAdminConcatenada!$B:$B=EP$1), 0)), 1))),  0.5, 0))</f>
        <v>0</v>
      </c>
      <c r="EQ42" s="47">
        <f t="array" ref="EQ42">IF(AND(ISNUMBER(MATCH(EQ$2, AsistenciaJetAdminConcatenada!$A:$A, 0)), ISNUMBER(MATCH(EQ$1, AsistenciaJetAdminConcatenada!$B:$B, 0)), ISNUMBER(SEARCH($A42,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ISNUMBER(SEARCH($A42, INDEX(AsistenciaJetAdminConcatenada!$D:$D, MATCH(1, (AsistenciaJetAdminConcatenada!$A:$A=EQ$2)*(AsistenciaJetAdminConcatenada!$B:$B=EQ$1), 0)), 1))),  0.5, 0))</f>
        <v>0</v>
      </c>
      <c r="ER42" s="47">
        <f t="array" ref="ER42">IF(AND(ISNUMBER(MATCH(ER$2, AsistenciaJetAdminConcatenada!$A:$A, 0)), ISNUMBER(MATCH(ER$1, AsistenciaJetAdminConcatenada!$B:$B, 0)), ISNUMBER(SEARCH($A42,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ISNUMBER(SEARCH($A42, INDEX(AsistenciaJetAdminConcatenada!$D:$D, MATCH(1, (AsistenciaJetAdminConcatenada!$A:$A=ER$2)*(AsistenciaJetAdminConcatenada!$B:$B=ER$1), 0)), 1))),  0.5, 0))</f>
        <v>0</v>
      </c>
      <c r="ES42" s="47">
        <f t="array" ref="ES42">IF(AND(ISNUMBER(MATCH(ES$2, AsistenciaJetAdminConcatenada!$A:$A, 0)), ISNUMBER(MATCH(ES$1, AsistenciaJetAdminConcatenada!$B:$B, 0)), ISNUMBER(SEARCH($A42,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ISNUMBER(SEARCH($A42, INDEX(AsistenciaJetAdminConcatenada!$D:$D, MATCH(1, (AsistenciaJetAdminConcatenada!$A:$A=ES$2)*(AsistenciaJetAdminConcatenada!$B:$B=ES$1), 0)), 1))),  0.5, 0))</f>
        <v>0</v>
      </c>
      <c r="ET42" s="47">
        <f t="array" ref="ET42">IF(AND(ISNUMBER(MATCH(ET$2, AsistenciaJetAdminConcatenada!$A:$A, 0)), ISNUMBER(MATCH(ET$1, AsistenciaJetAdminConcatenada!$B:$B, 0)), ISNUMBER(SEARCH($A42,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ISNUMBER(SEARCH($A42, INDEX(AsistenciaJetAdminConcatenada!$D:$D, MATCH(1, (AsistenciaJetAdminConcatenada!$A:$A=ET$2)*(AsistenciaJetAdminConcatenada!$B:$B=ET$1), 0)), 1))),  0.5, 0))</f>
        <v>0</v>
      </c>
      <c r="EU42" s="47">
        <f t="array" ref="EU42">IF(AND(ISNUMBER(MATCH(EU$2, AsistenciaJetAdminConcatenada!$A:$A, 0)), ISNUMBER(MATCH(EU$1, AsistenciaJetAdminConcatenada!$B:$B, 0)), ISNUMBER(SEARCH($A42,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ISNUMBER(SEARCH($A42, INDEX(AsistenciaJetAdminConcatenada!$D:$D, MATCH(1, (AsistenciaJetAdminConcatenada!$A:$A=EU$2)*(AsistenciaJetAdminConcatenada!$B:$B=EU$1), 0)), 1))),  0.5, 0))</f>
        <v>0</v>
      </c>
      <c r="EV42" s="47">
        <f t="array" ref="EV42">IF(AND(ISNUMBER(MATCH(EV$2, AsistenciaJetAdminConcatenada!$A:$A, 0)), ISNUMBER(MATCH(EV$1, AsistenciaJetAdminConcatenada!$B:$B, 0)), ISNUMBER(SEARCH($A42,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ISNUMBER(SEARCH($A42, INDEX(AsistenciaJetAdminConcatenada!$D:$D, MATCH(1, (AsistenciaJetAdminConcatenada!$A:$A=EV$2)*(AsistenciaJetAdminConcatenada!$B:$B=EV$1), 0)), 1))),  0.5, 0))</f>
        <v>0</v>
      </c>
      <c r="EW42" s="47">
        <f t="array" ref="EW42">IF(AND(ISNUMBER(MATCH(EW$2, AsistenciaJetAdminConcatenada!$A:$A, 0)), ISNUMBER(MATCH(EW$1, AsistenciaJetAdminConcatenada!$B:$B, 0)), ISNUMBER(SEARCH($A42,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ISNUMBER(SEARCH($A42, INDEX(AsistenciaJetAdminConcatenada!$D:$D, MATCH(1, (AsistenciaJetAdminConcatenada!$A:$A=EW$2)*(AsistenciaJetAdminConcatenada!$B:$B=EW$1), 0)), 1))),  0.5, 0))</f>
        <v>0</v>
      </c>
      <c r="EX42" s="47">
        <f t="array" ref="EX42">IF(AND(ISNUMBER(MATCH(EX$2, AsistenciaJetAdminConcatenada!$A:$A, 0)), ISNUMBER(MATCH(EX$1, AsistenciaJetAdminConcatenada!$B:$B, 0)), ISNUMBER(SEARCH($A42,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ISNUMBER(SEARCH($A42, INDEX(AsistenciaJetAdminConcatenada!$D:$D, MATCH(1, (AsistenciaJetAdminConcatenada!$A:$A=EX$2)*(AsistenciaJetAdminConcatenada!$B:$B=EX$1), 0)), 1))),  0.5, 0))</f>
        <v>0</v>
      </c>
      <c r="EY42" s="47">
        <f t="array" ref="EY42">IF(AND(ISNUMBER(MATCH(EY$2, AsistenciaJetAdminConcatenada!$A:$A, 0)), ISNUMBER(MATCH(EY$1, AsistenciaJetAdminConcatenada!$B:$B, 0)), ISNUMBER(SEARCH($A42,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ISNUMBER(SEARCH($A42, INDEX(AsistenciaJetAdminConcatenada!$D:$D, MATCH(1, (AsistenciaJetAdminConcatenada!$A:$A=EY$2)*(AsistenciaJetAdminConcatenada!$B:$B=EY$1), 0)), 1))),  0.5, 0))</f>
        <v>0</v>
      </c>
      <c r="EZ42" s="47">
        <f t="array" ref="EZ42">IF(AND(ISNUMBER(MATCH(EZ$2, AsistenciaJetAdminConcatenada!$A:$A, 0)), ISNUMBER(MATCH(EZ$1, AsistenciaJetAdminConcatenada!$B:$B, 0)), ISNUMBER(SEARCH($A42,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ISNUMBER(SEARCH($A42, INDEX(AsistenciaJetAdminConcatenada!$D:$D, MATCH(1, (AsistenciaJetAdminConcatenada!$A:$A=EZ$2)*(AsistenciaJetAdminConcatenada!$B:$B=EZ$1), 0)), 1))),  0.5, 0))</f>
        <v>0</v>
      </c>
      <c r="FA42" s="47">
        <f t="array" ref="FA42">IF(AND(ISNUMBER(MATCH(FA$2, AsistenciaJetAdminConcatenada!$A:$A, 0)), ISNUMBER(MATCH(FA$1, AsistenciaJetAdminConcatenada!$B:$B, 0)), ISNUMBER(SEARCH($A42,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ISNUMBER(SEARCH($A42, INDEX(AsistenciaJetAdminConcatenada!$D:$D, MATCH(1, (AsistenciaJetAdminConcatenada!$A:$A=FA$2)*(AsistenciaJetAdminConcatenada!$B:$B=FA$1), 0)), 1))),  0.5, 0))</f>
        <v>0</v>
      </c>
      <c r="FB42" s="47">
        <f t="array" ref="FB42">IF(AND(ISNUMBER(MATCH(FB$2, AsistenciaJetAdminConcatenada!$A:$A, 0)), ISNUMBER(MATCH(FB$1, AsistenciaJetAdminConcatenada!$B:$B, 0)), ISNUMBER(SEARCH($A42,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ISNUMBER(SEARCH($A42, INDEX(AsistenciaJetAdminConcatenada!$D:$D, MATCH(1, (AsistenciaJetAdminConcatenada!$A:$A=FB$2)*(AsistenciaJetAdminConcatenada!$B:$B=FB$1), 0)), 1))),  0.5, 0))</f>
        <v>0</v>
      </c>
      <c r="FC42" s="47">
        <f t="array" ref="FC42">IF(AND(ISNUMBER(MATCH(FC$2, AsistenciaJetAdminConcatenada!$A:$A, 0)), ISNUMBER(MATCH(FC$1, AsistenciaJetAdminConcatenada!$B:$B, 0)), ISNUMBER(SEARCH($A42,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ISNUMBER(SEARCH($A42, INDEX(AsistenciaJetAdminConcatenada!$D:$D, MATCH(1, (AsistenciaJetAdminConcatenada!$A:$A=FC$2)*(AsistenciaJetAdminConcatenada!$B:$B=FC$1), 0)), 1))),  0.5, 0))</f>
        <v>0</v>
      </c>
      <c r="FD42" s="47">
        <f t="array" ref="FD42">IF(AND(ISNUMBER(MATCH(FD$2, AsistenciaJetAdminConcatenada!$A:$A, 0)), ISNUMBER(MATCH(FD$1, AsistenciaJetAdminConcatenada!$B:$B, 0)), ISNUMBER(SEARCH($A42,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ISNUMBER(SEARCH($A42, INDEX(AsistenciaJetAdminConcatenada!$D:$D, MATCH(1, (AsistenciaJetAdminConcatenada!$A:$A=FD$2)*(AsistenciaJetAdminConcatenada!$B:$B=FD$1), 0)), 1))),  0.5, 0))</f>
        <v>0</v>
      </c>
      <c r="FE42" s="47">
        <f t="array" ref="FE42">IF(AND(ISNUMBER(MATCH(FE$2, AsistenciaJetAdminConcatenada!$A:$A, 0)), ISNUMBER(MATCH(FE$1, AsistenciaJetAdminConcatenada!$B:$B, 0)), ISNUMBER(SEARCH($A42,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ISNUMBER(SEARCH($A42, INDEX(AsistenciaJetAdminConcatenada!$D:$D, MATCH(1, (AsistenciaJetAdminConcatenada!$A:$A=FE$2)*(AsistenciaJetAdminConcatenada!$B:$B=FE$1), 0)), 1))),  0.5, 0))</f>
        <v>0</v>
      </c>
      <c r="FF42" s="47">
        <f t="array" ref="FF42">IF(AND(ISNUMBER(MATCH(FF$2, AsistenciaJetAdminConcatenada!$A:$A, 0)), ISNUMBER(MATCH(FF$1, AsistenciaJetAdminConcatenada!$B:$B, 0)), ISNUMBER(SEARCH($A42,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ISNUMBER(SEARCH($A42, INDEX(AsistenciaJetAdminConcatenada!$D:$D, MATCH(1, (AsistenciaJetAdminConcatenada!$A:$A=FF$2)*(AsistenciaJetAdminConcatenada!$B:$B=FF$1), 0)), 1))),  0.5, 0))</f>
        <v>0</v>
      </c>
      <c r="FG42" s="47">
        <f t="array" ref="FG42">IF(AND(ISNUMBER(MATCH(FG$2, AsistenciaJetAdminConcatenada!$A:$A, 0)), ISNUMBER(MATCH(FG$1, AsistenciaJetAdminConcatenada!$B:$B, 0)), ISNUMBER(SEARCH($A42,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ISNUMBER(SEARCH($A42, INDEX(AsistenciaJetAdminConcatenada!$D:$D, MATCH(1, (AsistenciaJetAdminConcatenada!$A:$A=FG$2)*(AsistenciaJetAdminConcatenada!$B:$B=FG$1), 0)), 1))),  0.5, 0))</f>
        <v>0</v>
      </c>
      <c r="FH42" s="47">
        <f t="array" ref="FH42">IF(AND(ISNUMBER(MATCH(FH$2, AsistenciaJetAdminConcatenada!$A:$A, 0)), ISNUMBER(MATCH(FH$1, AsistenciaJetAdminConcatenada!$B:$B, 0)), ISNUMBER(SEARCH($A42,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ISNUMBER(SEARCH($A42, INDEX(AsistenciaJetAdminConcatenada!$D:$D, MATCH(1, (AsistenciaJetAdminConcatenada!$A:$A=FH$2)*(AsistenciaJetAdminConcatenada!$B:$B=FH$1), 0)), 1))),  0.5, 0))</f>
        <v>0</v>
      </c>
      <c r="FI42" s="47">
        <f t="array" ref="FI42">IF(AND(ISNUMBER(MATCH(FI$2, AsistenciaJetAdminConcatenada!$A:$A, 0)), ISNUMBER(MATCH(FI$1, AsistenciaJetAdminConcatenada!$B:$B, 0)), ISNUMBER(SEARCH($A42,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ISNUMBER(SEARCH($A42, INDEX(AsistenciaJetAdminConcatenada!$D:$D, MATCH(1, (AsistenciaJetAdminConcatenada!$A:$A=FI$2)*(AsistenciaJetAdminConcatenada!$B:$B=FI$1), 0)), 1))),  0.5, 0))</f>
        <v>0</v>
      </c>
      <c r="FJ42" s="47">
        <f t="array" ref="FJ42">IF(AND(ISNUMBER(MATCH(FJ$2, AsistenciaJetAdminConcatenada!$A:$A, 0)), ISNUMBER(MATCH(FJ$1, AsistenciaJetAdminConcatenada!$B:$B, 0)), ISNUMBER(SEARCH($A42,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ISNUMBER(SEARCH($A42, INDEX(AsistenciaJetAdminConcatenada!$D:$D, MATCH(1, (AsistenciaJetAdminConcatenada!$A:$A=FJ$2)*(AsistenciaJetAdminConcatenada!$B:$B=FJ$1), 0)), 1))),  0.5, 0))</f>
        <v>0</v>
      </c>
      <c r="FK42" s="47">
        <f t="array" ref="FK42">IF(AND(ISNUMBER(MATCH(FK$2, AsistenciaJetAdminConcatenada!$A:$A, 0)), ISNUMBER(MATCH(FK$1, AsistenciaJetAdminConcatenada!$B:$B, 0)), ISNUMBER(SEARCH($A42,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ISNUMBER(SEARCH($A42, INDEX(AsistenciaJetAdminConcatenada!$D:$D, MATCH(1, (AsistenciaJetAdminConcatenada!$A:$A=FK$2)*(AsistenciaJetAdminConcatenada!$B:$B=FK$1), 0)), 1))),  0.5, 0))</f>
        <v>0</v>
      </c>
      <c r="FL42" s="47">
        <f t="array" ref="FL42">IF(AND(ISNUMBER(MATCH(FL$2, AsistenciaJetAdminConcatenada!$A:$A, 0)), ISNUMBER(MATCH(FL$1, AsistenciaJetAdminConcatenada!$B:$B, 0)), ISNUMBER(SEARCH($A42,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ISNUMBER(SEARCH($A42, INDEX(AsistenciaJetAdminConcatenada!$D:$D, MATCH(1, (AsistenciaJetAdminConcatenada!$A:$A=FL$2)*(AsistenciaJetAdminConcatenada!$B:$B=FL$1), 0)), 1))),  0.5, 0))</f>
        <v>0</v>
      </c>
      <c r="FM42" s="47">
        <f t="array" ref="FM42">IF(AND(ISNUMBER(MATCH(FM$2, AsistenciaJetAdminConcatenada!$A:$A, 0)), ISNUMBER(MATCH(FM$1, AsistenciaJetAdminConcatenada!$B:$B, 0)), ISNUMBER(SEARCH($A42,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ISNUMBER(SEARCH($A42, INDEX(AsistenciaJetAdminConcatenada!$D:$D, MATCH(1, (AsistenciaJetAdminConcatenada!$A:$A=FM$2)*(AsistenciaJetAdminConcatenada!$B:$B=FM$1), 0)), 1))),  0.5, 0))</f>
        <v>0</v>
      </c>
      <c r="FN42" s="47">
        <f t="array" ref="FN42">IF(AND(ISNUMBER(MATCH(FN$2, AsistenciaJetAdminConcatenada!$A:$A, 0)), ISNUMBER(MATCH(FN$1, AsistenciaJetAdminConcatenada!$B:$B, 0)), ISNUMBER(SEARCH($A42,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ISNUMBER(SEARCH($A42, INDEX(AsistenciaJetAdminConcatenada!$D:$D, MATCH(1, (AsistenciaJetAdminConcatenada!$A:$A=FN$2)*(AsistenciaJetAdminConcatenada!$B:$B=FN$1), 0)), 1))),  0.5, 0))</f>
        <v>0</v>
      </c>
      <c r="FO42" s="47">
        <f t="array" ref="FO42">IF(AND(ISNUMBER(MATCH(FO$2, AsistenciaJetAdminConcatenada!$A:$A, 0)), ISNUMBER(MATCH(FO$1, AsistenciaJetAdminConcatenada!$B:$B, 0)), ISNUMBER(SEARCH($A42,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ISNUMBER(SEARCH($A42, INDEX(AsistenciaJetAdminConcatenada!$D:$D, MATCH(1, (AsistenciaJetAdminConcatenada!$A:$A=FO$2)*(AsistenciaJetAdminConcatenada!$B:$B=FO$1), 0)), 1))),  0.5, 0))</f>
        <v>0</v>
      </c>
      <c r="FP42" s="47">
        <f t="array" ref="FP42">IF(AND(ISNUMBER(MATCH(FP$2, AsistenciaJetAdminConcatenada!$A:$A, 0)), ISNUMBER(MATCH(FP$1, AsistenciaJetAdminConcatenada!$B:$B, 0)), ISNUMBER(SEARCH($A42,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ISNUMBER(SEARCH($A42, INDEX(AsistenciaJetAdminConcatenada!$D:$D, MATCH(1, (AsistenciaJetAdminConcatenada!$A:$A=FP$2)*(AsistenciaJetAdminConcatenada!$B:$B=FP$1), 0)), 1))),  0.5, 0))</f>
        <v>0</v>
      </c>
      <c r="FQ42" s="47">
        <f t="array" ref="FQ42">IF(AND(ISNUMBER(MATCH(FQ$2, AsistenciaJetAdminConcatenada!$A:$A, 0)), ISNUMBER(MATCH(FQ$1, AsistenciaJetAdminConcatenada!$B:$B, 0)), ISNUMBER(SEARCH($A42,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ISNUMBER(SEARCH($A42, INDEX(AsistenciaJetAdminConcatenada!$D:$D, MATCH(1, (AsistenciaJetAdminConcatenada!$A:$A=FQ$2)*(AsistenciaJetAdminConcatenada!$B:$B=FQ$1), 0)), 1))),  0.5, 0))</f>
        <v>0</v>
      </c>
      <c r="FR42" s="47">
        <f t="array" ref="FR42">IF(AND(ISNUMBER(MATCH(FR$2, AsistenciaJetAdminConcatenada!$A:$A, 0)), ISNUMBER(MATCH(FR$1, AsistenciaJetAdminConcatenada!$B:$B, 0)), ISNUMBER(SEARCH($A42,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ISNUMBER(SEARCH($A42, INDEX(AsistenciaJetAdminConcatenada!$D:$D, MATCH(1, (AsistenciaJetAdminConcatenada!$A:$A=FR$2)*(AsistenciaJetAdminConcatenada!$B:$B=FR$1), 0)), 1))),  0.5, 0))</f>
        <v>0</v>
      </c>
      <c r="FS42" s="47">
        <f t="array" ref="FS42">IF(AND(ISNUMBER(MATCH(FS$2, AsistenciaJetAdminConcatenada!$A:$A, 0)), ISNUMBER(MATCH(FS$1, AsistenciaJetAdminConcatenada!$B:$B, 0)), ISNUMBER(SEARCH($A42,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ISNUMBER(SEARCH($A42, INDEX(AsistenciaJetAdminConcatenada!$D:$D, MATCH(1, (AsistenciaJetAdminConcatenada!$A:$A=FS$2)*(AsistenciaJetAdminConcatenada!$B:$B=FS$1), 0)), 1))),  0.5, 0))</f>
        <v>0</v>
      </c>
      <c r="FT42" s="47">
        <f t="array" ref="FT42">IF(AND(ISNUMBER(MATCH(FT$2, AsistenciaJetAdminConcatenada!$A:$A, 0)), ISNUMBER(MATCH(FT$1, AsistenciaJetAdminConcatenada!$B:$B, 0)), ISNUMBER(SEARCH($A42,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ISNUMBER(SEARCH($A42, INDEX(AsistenciaJetAdminConcatenada!$D:$D, MATCH(1, (AsistenciaJetAdminConcatenada!$A:$A=FT$2)*(AsistenciaJetAdminConcatenada!$B:$B=FT$1), 0)), 1))),  0.5, 0))</f>
        <v>0</v>
      </c>
      <c r="FU42" s="47">
        <f t="array" ref="FU42">IF(AND(ISNUMBER(MATCH(FU$2, AsistenciaJetAdminConcatenada!$A:$A, 0)), ISNUMBER(MATCH(FU$1, AsistenciaJetAdminConcatenada!$B:$B, 0)), ISNUMBER(SEARCH($A42,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ISNUMBER(SEARCH($A42, INDEX(AsistenciaJetAdminConcatenada!$D:$D, MATCH(1, (AsistenciaJetAdminConcatenada!$A:$A=FU$2)*(AsistenciaJetAdminConcatenada!$B:$B=FU$1), 0)), 1))),  0.5, 0))</f>
        <v>0</v>
      </c>
      <c r="FV42" s="47">
        <f t="array" ref="FV42">IF(AND(ISNUMBER(MATCH(FV$2, AsistenciaJetAdminConcatenada!$A:$A, 0)), ISNUMBER(MATCH(FV$1, AsistenciaJetAdminConcatenada!$B:$B, 0)), ISNUMBER(SEARCH($A42,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ISNUMBER(SEARCH($A42, INDEX(AsistenciaJetAdminConcatenada!$D:$D, MATCH(1, (AsistenciaJetAdminConcatenada!$A:$A=FV$2)*(AsistenciaJetAdminConcatenada!$B:$B=FV$1), 0)), 1))),  0.5, 0))</f>
        <v>0</v>
      </c>
      <c r="FW42" s="47">
        <f t="array" ref="FW42">IF(AND(ISNUMBER(MATCH(FW$2, AsistenciaJetAdminConcatenada!$A:$A, 0)), ISNUMBER(MATCH(FW$1, AsistenciaJetAdminConcatenada!$B:$B, 0)), ISNUMBER(SEARCH($A42,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ISNUMBER(SEARCH($A42, INDEX(AsistenciaJetAdminConcatenada!$D:$D, MATCH(1, (AsistenciaJetAdminConcatenada!$A:$A=FW$2)*(AsistenciaJetAdminConcatenada!$B:$B=FW$1), 0)), 1))),  0.5, 0))</f>
        <v>0</v>
      </c>
      <c r="FX42" s="47">
        <f t="array" ref="FX42">IF(AND(ISNUMBER(MATCH(FX$2, AsistenciaJetAdminConcatenada!$A:$A, 0)), ISNUMBER(MATCH(FX$1, AsistenciaJetAdminConcatenada!$B:$B, 0)), ISNUMBER(SEARCH($A42,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ISNUMBER(SEARCH($A42, INDEX(AsistenciaJetAdminConcatenada!$D:$D, MATCH(1, (AsistenciaJetAdminConcatenada!$A:$A=FX$2)*(AsistenciaJetAdminConcatenada!$B:$B=FX$1), 0)), 1))),  0.5, 0))</f>
        <v>0</v>
      </c>
      <c r="FY42" s="47">
        <f t="array" ref="FY42">IF(AND(ISNUMBER(MATCH(FY$2, AsistenciaJetAdminConcatenada!$A:$A, 0)), ISNUMBER(MATCH(FY$1, AsistenciaJetAdminConcatenada!$B:$B, 0)), ISNUMBER(SEARCH($A42,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ISNUMBER(SEARCH($A42, INDEX(AsistenciaJetAdminConcatenada!$D:$D, MATCH(1, (AsistenciaJetAdminConcatenada!$A:$A=FY$2)*(AsistenciaJetAdminConcatenada!$B:$B=FY$1), 0)), 1))),  0.5, 0))</f>
        <v>0</v>
      </c>
      <c r="FZ42" s="47">
        <f t="array" ref="FZ42">IF(AND(ISNUMBER(MATCH(FZ$2, AsistenciaJetAdminConcatenada!$A:$A, 0)), ISNUMBER(MATCH(FZ$1, AsistenciaJetAdminConcatenada!$B:$B, 0)), ISNUMBER(SEARCH($A42,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ISNUMBER(SEARCH($A42, INDEX(AsistenciaJetAdminConcatenada!$D:$D, MATCH(1, (AsistenciaJetAdminConcatenada!$A:$A=FZ$2)*(AsistenciaJetAdminConcatenada!$B:$B=FZ$1), 0)), 1))),  0.5, 0))</f>
        <v>0</v>
      </c>
      <c r="GA42" s="47">
        <f t="array" ref="GA42">IF(AND(ISNUMBER(MATCH(GA$2, AsistenciaJetAdminConcatenada!$A:$A, 0)), ISNUMBER(MATCH(GA$1, AsistenciaJetAdminConcatenada!$B:$B, 0)), ISNUMBER(SEARCH($A42,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ISNUMBER(SEARCH($A42, INDEX(AsistenciaJetAdminConcatenada!$D:$D, MATCH(1, (AsistenciaJetAdminConcatenada!$A:$A=GA$2)*(AsistenciaJetAdminConcatenada!$B:$B=GA$1), 0)), 1))),  0.5, 0))</f>
        <v>0</v>
      </c>
      <c r="GB42" s="47">
        <f t="array" ref="GB42">IF(AND(ISNUMBER(MATCH(GB$2, AsistenciaJetAdminConcatenada!$A:$A, 0)), ISNUMBER(MATCH(GB$1, AsistenciaJetAdminConcatenada!$B:$B, 0)), ISNUMBER(SEARCH($A42,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ISNUMBER(SEARCH($A42, INDEX(AsistenciaJetAdminConcatenada!$D:$D, MATCH(1, (AsistenciaJetAdminConcatenada!$A:$A=GB$2)*(AsistenciaJetAdminConcatenada!$B:$B=GB$1), 0)), 1))),  0.5, 0))</f>
        <v>0</v>
      </c>
      <c r="GC42" s="47">
        <f t="array" ref="GC42">IF(AND(ISNUMBER(MATCH(GC$2, AsistenciaJetAdminConcatenada!$A:$A, 0)), ISNUMBER(MATCH(GC$1, AsistenciaJetAdminConcatenada!$B:$B, 0)), ISNUMBER(SEARCH($A42,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ISNUMBER(SEARCH($A42, INDEX(AsistenciaJetAdminConcatenada!$D:$D, MATCH(1, (AsistenciaJetAdminConcatenada!$A:$A=GC$2)*(AsistenciaJetAdminConcatenada!$B:$B=GC$1), 0)), 1))),  0.5, 0))</f>
        <v>0</v>
      </c>
      <c r="GD42" s="47">
        <f t="array" ref="GD42">IF(AND(ISNUMBER(MATCH(GD$2, AsistenciaJetAdminConcatenada!$A:$A, 0)), ISNUMBER(MATCH(GD$1, AsistenciaJetAdminConcatenada!$B:$B, 0)), ISNUMBER(SEARCH($A42,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ISNUMBER(SEARCH($A42, INDEX(AsistenciaJetAdminConcatenada!$D:$D, MATCH(1, (AsistenciaJetAdminConcatenada!$A:$A=GD$2)*(AsistenciaJetAdminConcatenada!$B:$B=GD$1), 0)), 1))),  0.5, 0))</f>
        <v>0</v>
      </c>
      <c r="GE42" s="47">
        <f t="array" ref="GE42">IF(AND(ISNUMBER(MATCH(GE$2, AsistenciaJetAdminConcatenada!$A:$A, 0)), ISNUMBER(MATCH(GE$1, AsistenciaJetAdminConcatenada!$B:$B, 0)), ISNUMBER(SEARCH($A42,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ISNUMBER(SEARCH($A42, INDEX(AsistenciaJetAdminConcatenada!$D:$D, MATCH(1, (AsistenciaJetAdminConcatenada!$A:$A=GE$2)*(AsistenciaJetAdminConcatenada!$B:$B=GE$1), 0)), 1))),  0.5, 0))</f>
        <v>0</v>
      </c>
      <c r="GF42" s="47">
        <f t="array" ref="GF42">IF(AND(ISNUMBER(MATCH(GF$2, AsistenciaJetAdminConcatenada!$A:$A, 0)), ISNUMBER(MATCH(GF$1, AsistenciaJetAdminConcatenada!$B:$B, 0)), ISNUMBER(SEARCH($A42,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ISNUMBER(SEARCH($A42, INDEX(AsistenciaJetAdminConcatenada!$D:$D, MATCH(1, (AsistenciaJetAdminConcatenada!$A:$A=GF$2)*(AsistenciaJetAdminConcatenada!$B:$B=GF$1), 0)), 1))),  0.5, 0))</f>
        <v>0</v>
      </c>
      <c r="GG42" s="47">
        <f t="array" ref="GG42">IF(AND(ISNUMBER(MATCH(GG$2, AsistenciaJetAdminConcatenada!$A:$A, 0)), ISNUMBER(MATCH(GG$1, AsistenciaJetAdminConcatenada!$B:$B, 0)), ISNUMBER(SEARCH($A42,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ISNUMBER(SEARCH($A42, INDEX(AsistenciaJetAdminConcatenada!$D:$D, MATCH(1, (AsistenciaJetAdminConcatenada!$A:$A=GG$2)*(AsistenciaJetAdminConcatenada!$B:$B=GG$1), 0)), 1))),  0.5, 0))</f>
        <v>0</v>
      </c>
      <c r="GH42" s="47">
        <f t="array" ref="GH42">IF(AND(ISNUMBER(MATCH(GH$2, AsistenciaJetAdminConcatenada!$A:$A, 0)), ISNUMBER(MATCH(GH$1, AsistenciaJetAdminConcatenada!$B:$B, 0)), ISNUMBER(SEARCH($A42,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ISNUMBER(SEARCH($A42, INDEX(AsistenciaJetAdminConcatenada!$D:$D, MATCH(1, (AsistenciaJetAdminConcatenada!$A:$A=GH$2)*(AsistenciaJetAdminConcatenada!$B:$B=GH$1), 0)), 1))),  0.5, 0))</f>
        <v>0</v>
      </c>
      <c r="GI42" s="47">
        <f t="array" ref="GI42">IF(AND(ISNUMBER(MATCH(GI$2, AsistenciaJetAdminConcatenada!$A:$A, 0)), ISNUMBER(MATCH(GI$1, AsistenciaJetAdminConcatenada!$B:$B, 0)), ISNUMBER(SEARCH($A42,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ISNUMBER(SEARCH($A42, INDEX(AsistenciaJetAdminConcatenada!$D:$D, MATCH(1, (AsistenciaJetAdminConcatenada!$A:$A=GI$2)*(AsistenciaJetAdminConcatenada!$B:$B=GI$1), 0)), 1))),  0.5, 0))</f>
        <v>0</v>
      </c>
      <c r="GJ42" s="47">
        <f t="array" ref="GJ42">IF(AND(ISNUMBER(MATCH(GJ$2, AsistenciaJetAdminConcatenada!$A:$A, 0)), ISNUMBER(MATCH(GJ$1, AsistenciaJetAdminConcatenada!$B:$B, 0)), ISNUMBER(SEARCH($A42,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ISNUMBER(SEARCH($A42, INDEX(AsistenciaJetAdminConcatenada!$D:$D, MATCH(1, (AsistenciaJetAdminConcatenada!$A:$A=GJ$2)*(AsistenciaJetAdminConcatenada!$B:$B=GJ$1), 0)), 1))),  0.5, 0))</f>
        <v>0</v>
      </c>
      <c r="GK42" s="47">
        <f t="array" ref="GK42">IF(AND(ISNUMBER(MATCH(GK$2, AsistenciaJetAdminConcatenada!$A:$A, 0)), ISNUMBER(MATCH(GK$1, AsistenciaJetAdminConcatenada!$B:$B, 0)), ISNUMBER(SEARCH($A42,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ISNUMBER(SEARCH($A42, INDEX(AsistenciaJetAdminConcatenada!$D:$D, MATCH(1, (AsistenciaJetAdminConcatenada!$A:$A=GK$2)*(AsistenciaJetAdminConcatenada!$B:$B=GK$1), 0)), 1))),  0.5, 0))</f>
        <v>0</v>
      </c>
      <c r="GL42" s="47">
        <f t="array" ref="GL42">IF(AND(ISNUMBER(MATCH(GL$2, AsistenciaJetAdminConcatenada!$A:$A, 0)), ISNUMBER(MATCH(GL$1, AsistenciaJetAdminConcatenada!$B:$B, 0)), ISNUMBER(SEARCH($A42,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ISNUMBER(SEARCH($A42, INDEX(AsistenciaJetAdminConcatenada!$D:$D, MATCH(1, (AsistenciaJetAdminConcatenada!$A:$A=GL$2)*(AsistenciaJetAdminConcatenada!$B:$B=GL$1), 0)), 1))),  0.5, 0))</f>
        <v>0</v>
      </c>
      <c r="GM42" s="47">
        <f t="array" ref="GM42">IF(AND(ISNUMBER(MATCH(GM$2, AsistenciaJetAdminConcatenada!$A:$A, 0)), ISNUMBER(MATCH(GM$1, AsistenciaJetAdminConcatenada!$B:$B, 0)), ISNUMBER(SEARCH($A42,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ISNUMBER(SEARCH($A42, INDEX(AsistenciaJetAdminConcatenada!$D:$D, MATCH(1, (AsistenciaJetAdminConcatenada!$A:$A=GM$2)*(AsistenciaJetAdminConcatenada!$B:$B=GM$1), 0)), 1))),  0.5, 0))</f>
        <v>0</v>
      </c>
      <c r="GN42" s="47">
        <f t="array" ref="GN42">IF(AND(ISNUMBER(MATCH(GN$2, AsistenciaJetAdminConcatenada!$A:$A, 0)), ISNUMBER(MATCH(GN$1, AsistenciaJetAdminConcatenada!$B:$B, 0)), ISNUMBER(SEARCH($A42,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ISNUMBER(SEARCH($A42, INDEX(AsistenciaJetAdminConcatenada!$D:$D, MATCH(1, (AsistenciaJetAdminConcatenada!$A:$A=GN$2)*(AsistenciaJetAdminConcatenada!$B:$B=GN$1), 0)), 1))),  0.5, 0))</f>
        <v>0</v>
      </c>
      <c r="GO42" s="47">
        <f t="array" ref="GO42">IF(AND(ISNUMBER(MATCH(GO$2, AsistenciaJetAdminConcatenada!$A:$A, 0)), ISNUMBER(MATCH(GO$1, AsistenciaJetAdminConcatenada!$B:$B, 0)), ISNUMBER(SEARCH($A42,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ISNUMBER(SEARCH($A42, INDEX(AsistenciaJetAdminConcatenada!$D:$D, MATCH(1, (AsistenciaJetAdminConcatenada!$A:$A=GO$2)*(AsistenciaJetAdminConcatenada!$B:$B=GO$1), 0)), 1))),  0.5, 0))</f>
        <v>0</v>
      </c>
      <c r="GP42" s="47">
        <f t="array" ref="GP42">IF(AND(ISNUMBER(MATCH(GP$2, AsistenciaJetAdminConcatenada!$A:$A, 0)), ISNUMBER(MATCH(GP$1, AsistenciaJetAdminConcatenada!$B:$B, 0)), ISNUMBER(SEARCH($A42,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ISNUMBER(SEARCH($A42, INDEX(AsistenciaJetAdminConcatenada!$D:$D, MATCH(1, (AsistenciaJetAdminConcatenada!$A:$A=GP$2)*(AsistenciaJetAdminConcatenada!$B:$B=GP$1), 0)), 1))),  0.5, 0))</f>
        <v>0</v>
      </c>
      <c r="GQ42" s="47">
        <f t="array" ref="GQ42">IF(AND(ISNUMBER(MATCH(GQ$2, AsistenciaJetAdminConcatenada!$A:$A, 0)), ISNUMBER(MATCH(GQ$1, AsistenciaJetAdminConcatenada!$B:$B, 0)), ISNUMBER(SEARCH($A42,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ISNUMBER(SEARCH($A42, INDEX(AsistenciaJetAdminConcatenada!$D:$D, MATCH(1, (AsistenciaJetAdminConcatenada!$A:$A=GQ$2)*(AsistenciaJetAdminConcatenada!$B:$B=GQ$1), 0)), 1))),  0.5, 0))</f>
        <v>0</v>
      </c>
      <c r="GR42" s="47">
        <f t="array" ref="GR42">IF(AND(ISNUMBER(MATCH(GR$2, AsistenciaJetAdminConcatenada!$A:$A, 0)), ISNUMBER(MATCH(GR$1, AsistenciaJetAdminConcatenada!$B:$B, 0)), ISNUMBER(SEARCH($A42,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ISNUMBER(SEARCH($A42, INDEX(AsistenciaJetAdminConcatenada!$D:$D, MATCH(1, (AsistenciaJetAdminConcatenada!$A:$A=GR$2)*(AsistenciaJetAdminConcatenada!$B:$B=GR$1), 0)), 1))),  0.5, 0))</f>
        <v>0</v>
      </c>
      <c r="GS42" s="47">
        <f t="array" ref="GS42">IF(AND(ISNUMBER(MATCH(GS$2, AsistenciaJetAdminConcatenada!$A:$A, 0)), ISNUMBER(MATCH(GS$1, AsistenciaJetAdminConcatenada!$B:$B, 0)), ISNUMBER(SEARCH($A42,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ISNUMBER(SEARCH($A42, INDEX(AsistenciaJetAdminConcatenada!$D:$D, MATCH(1, (AsistenciaJetAdminConcatenada!$A:$A=GS$2)*(AsistenciaJetAdminConcatenada!$B:$B=GS$1), 0)), 1))),  0.5, 0))</f>
        <v>0</v>
      </c>
      <c r="GT42" s="47">
        <f t="array" ref="GT42">IF(AND(ISNUMBER(MATCH(GT$2, AsistenciaJetAdminConcatenada!$A:$A, 0)), ISNUMBER(MATCH(GT$1, AsistenciaJetAdminConcatenada!$B:$B, 0)), ISNUMBER(SEARCH($A42,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ISNUMBER(SEARCH($A42, INDEX(AsistenciaJetAdminConcatenada!$D:$D, MATCH(1, (AsistenciaJetAdminConcatenada!$A:$A=GT$2)*(AsistenciaJetAdminConcatenada!$B:$B=GT$1), 0)), 1))),  0.5, 0))</f>
        <v>0</v>
      </c>
      <c r="GU42" s="47">
        <f t="array" ref="GU42">IF(AND(ISNUMBER(MATCH(GU$2, AsistenciaJetAdminConcatenada!$A:$A, 0)), ISNUMBER(MATCH(GU$1, AsistenciaJetAdminConcatenada!$B:$B, 0)), ISNUMBER(SEARCH($A42,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ISNUMBER(SEARCH($A42, INDEX(AsistenciaJetAdminConcatenada!$D:$D, MATCH(1, (AsistenciaJetAdminConcatenada!$A:$A=GU$2)*(AsistenciaJetAdminConcatenada!$B:$B=GU$1), 0)), 1))),  0.5, 0))</f>
        <v>0</v>
      </c>
      <c r="GV42" s="47">
        <f t="array" ref="GV42">IF(AND(ISNUMBER(MATCH(GV$2, AsistenciaJetAdminConcatenada!$A:$A, 0)), ISNUMBER(MATCH(GV$1, AsistenciaJetAdminConcatenada!$B:$B, 0)), ISNUMBER(SEARCH($A42,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ISNUMBER(SEARCH($A42, INDEX(AsistenciaJetAdminConcatenada!$D:$D, MATCH(1, (AsistenciaJetAdminConcatenada!$A:$A=GV$2)*(AsistenciaJetAdminConcatenada!$B:$B=GV$1), 0)), 1))),  0.5, 0))</f>
        <v>0</v>
      </c>
      <c r="GW42" s="47">
        <f t="array" ref="GW42">IF(AND(ISNUMBER(MATCH(GW$2, AsistenciaJetAdminConcatenada!$A:$A, 0)), ISNUMBER(MATCH(GW$1, AsistenciaJetAdminConcatenada!$B:$B, 0)), ISNUMBER(SEARCH($A42,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ISNUMBER(SEARCH($A42, INDEX(AsistenciaJetAdminConcatenada!$D:$D, MATCH(1, (AsistenciaJetAdminConcatenada!$A:$A=GW$2)*(AsistenciaJetAdminConcatenada!$B:$B=GW$1), 0)), 1))),  0.5, 0))</f>
        <v>0</v>
      </c>
      <c r="GX42" s="47">
        <f t="array" ref="GX42">IF(AND(ISNUMBER(MATCH(GX$2, AsistenciaJetAdminConcatenada!$A:$A, 0)), ISNUMBER(MATCH(GX$1, AsistenciaJetAdminConcatenada!$B:$B, 0)), ISNUMBER(SEARCH($A42,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ISNUMBER(SEARCH($A42, INDEX(AsistenciaJetAdminConcatenada!$D:$D, MATCH(1, (AsistenciaJetAdminConcatenada!$A:$A=GX$2)*(AsistenciaJetAdminConcatenada!$B:$B=GX$1), 0)), 1))),  0.5, 0))</f>
        <v>0</v>
      </c>
      <c r="GY42" s="47">
        <f t="array" ref="GY42">IF(AND(ISNUMBER(MATCH(GY$2, AsistenciaJetAdminConcatenada!$A:$A, 0)), ISNUMBER(MATCH(GY$1, AsistenciaJetAdminConcatenada!$B:$B, 0)), ISNUMBER(SEARCH($A42,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ISNUMBER(SEARCH($A42, INDEX(AsistenciaJetAdminConcatenada!$D:$D, MATCH(1, (AsistenciaJetAdminConcatenada!$A:$A=GY$2)*(AsistenciaJetAdminConcatenada!$B:$B=GY$1), 0)), 1))),  0.5, 0))</f>
        <v>0</v>
      </c>
      <c r="GZ42" s="47">
        <f t="array" ref="GZ42">IF(AND(ISNUMBER(MATCH(GZ$2, AsistenciaJetAdminConcatenada!$A:$A, 0)), ISNUMBER(MATCH(GZ$1, AsistenciaJetAdminConcatenada!$B:$B, 0)), ISNUMBER(SEARCH($A42,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ISNUMBER(SEARCH($A42, INDEX(AsistenciaJetAdminConcatenada!$D:$D, MATCH(1, (AsistenciaJetAdminConcatenada!$A:$A=GZ$2)*(AsistenciaJetAdminConcatenada!$B:$B=GZ$1), 0)), 1))),  0.5, 0))</f>
        <v>0</v>
      </c>
      <c r="HA42" s="47">
        <f t="array" ref="HA42">IF(AND(ISNUMBER(MATCH(HA$2, AsistenciaJetAdminConcatenada!$A:$A, 0)), ISNUMBER(MATCH(HA$1, AsistenciaJetAdminConcatenada!$B:$B, 0)), ISNUMBER(SEARCH($A42,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ISNUMBER(SEARCH($A42, INDEX(AsistenciaJetAdminConcatenada!$D:$D, MATCH(1, (AsistenciaJetAdminConcatenada!$A:$A=HA$2)*(AsistenciaJetAdminConcatenada!$B:$B=HA$1), 0)), 1))),  0.5, 0))</f>
        <v>0</v>
      </c>
      <c r="HB42" s="47">
        <f t="array" ref="HB42">IF(AND(ISNUMBER(MATCH(HB$2, AsistenciaJetAdminConcatenada!$A:$A, 0)), ISNUMBER(MATCH(HB$1, AsistenciaJetAdminConcatenada!$B:$B, 0)), ISNUMBER(SEARCH($A42,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ISNUMBER(SEARCH($A42, INDEX(AsistenciaJetAdminConcatenada!$D:$D, MATCH(1, (AsistenciaJetAdminConcatenada!$A:$A=HB$2)*(AsistenciaJetAdminConcatenada!$B:$B=HB$1), 0)), 1))),  0.5, 0))</f>
        <v>0</v>
      </c>
      <c r="HC42" s="47">
        <f t="array" ref="HC42">IF(AND(ISNUMBER(MATCH(HC$2, AsistenciaJetAdminConcatenada!$A:$A, 0)), ISNUMBER(MATCH(HC$1, AsistenciaJetAdminConcatenada!$B:$B, 0)), ISNUMBER(SEARCH($A42,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ISNUMBER(SEARCH($A42, INDEX(AsistenciaJetAdminConcatenada!$D:$D, MATCH(1, (AsistenciaJetAdminConcatenada!$A:$A=HC$2)*(AsistenciaJetAdminConcatenada!$B:$B=HC$1), 0)), 1))),  0.5, 0))</f>
        <v>0</v>
      </c>
    </row>
    <row r="43" ht="29.25" customHeight="1">
      <c r="A43" s="3">
        <v>174.0</v>
      </c>
      <c r="B43" s="4" t="s">
        <v>707</v>
      </c>
      <c r="C43" s="47">
        <f>SUM(D43:HC43) + ActividadesEspeciales!C43</f>
        <v>77</v>
      </c>
      <c r="D43" s="47">
        <f t="array" ref="D43">IF(AND(ISNUMBER(MATCH(D$2, AsistenciaJetAdminConcatenada!$A:$A, 0)), ISNUMBER(MATCH(D$1, AsistenciaJetAdminConcatenada!$B:$B, 0)), ISNUMBER(SEARCH($A43,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ISNUMBER(SEARCH($A43, INDEX(AsistenciaJetAdminConcatenada!$D:$D, MATCH(1, (AsistenciaJetAdminConcatenada!$A:$A=D$2)*(AsistenciaJetAdminConcatenada!$B:$B=D$1), 0)), 1))),  0.5, 0))</f>
        <v>1</v>
      </c>
      <c r="E43" s="47">
        <f t="array" ref="E43">IF(AND(ISNUMBER(MATCH(E$2, AsistenciaJetAdminConcatenada!$A:$A, 0)), ISNUMBER(MATCH(E$1, AsistenciaJetAdminConcatenada!$B:$B, 0)), ISNUMBER(SEARCH($A43,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ISNUMBER(SEARCH($A43, INDEX(AsistenciaJetAdminConcatenada!$D:$D, MATCH(1, (AsistenciaJetAdminConcatenada!$A:$A=E$2)*(AsistenciaJetAdminConcatenada!$B:$B=E$1), 0)), 1))),  0.5, 0))</f>
        <v>1</v>
      </c>
      <c r="F43" s="47">
        <f t="array" ref="F43">IF(AND(ISNUMBER(MATCH(F$2, AsistenciaJetAdminConcatenada!$A:$A, 0)), ISNUMBER(MATCH(F$1, AsistenciaJetAdminConcatenada!$B:$B, 0)), ISNUMBER(SEARCH($A43,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ISNUMBER(SEARCH($A43, INDEX(AsistenciaJetAdminConcatenada!$D:$D, MATCH(1, (AsistenciaJetAdminConcatenada!$A:$A=F$2)*(AsistenciaJetAdminConcatenada!$B:$B=F$1), 0)), 1))),  0.5, 0))</f>
        <v>1</v>
      </c>
      <c r="G43" s="47">
        <f t="array" ref="G43">IF(AND(ISNUMBER(MATCH(G$2, AsistenciaJetAdminConcatenada!$A:$A, 0)), ISNUMBER(MATCH(G$1, AsistenciaJetAdminConcatenada!$B:$B, 0)), ISNUMBER(SEARCH($A43,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ISNUMBER(SEARCH($A43, INDEX(AsistenciaJetAdminConcatenada!$D:$D, MATCH(1, (AsistenciaJetAdminConcatenada!$A:$A=G$2)*(AsistenciaJetAdminConcatenada!$B:$B=G$1), 0)), 1))),  0.5, 0))</f>
        <v>1</v>
      </c>
      <c r="H43" s="47">
        <f t="array" ref="H43">IF(AND(ISNUMBER(MATCH(H$2, AsistenciaJetAdminConcatenada!$A:$A, 0)), ISNUMBER(MATCH(H$1, AsistenciaJetAdminConcatenada!$B:$B, 0)), ISNUMBER(SEARCH($A43,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ISNUMBER(SEARCH($A43, INDEX(AsistenciaJetAdminConcatenada!$D:$D, MATCH(1, (AsistenciaJetAdminConcatenada!$A:$A=H$2)*(AsistenciaJetAdminConcatenada!$B:$B=H$1), 0)), 1))),  0.5, 0))</f>
        <v>1</v>
      </c>
      <c r="I43" s="47">
        <f t="array" ref="I43">IF(AND(ISNUMBER(MATCH(I$2, AsistenciaJetAdminConcatenada!$A:$A, 0)), ISNUMBER(MATCH(I$1, AsistenciaJetAdminConcatenada!$B:$B, 0)), ISNUMBER(SEARCH($A43,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ISNUMBER(SEARCH($A43, INDEX(AsistenciaJetAdminConcatenada!$D:$D, MATCH(1, (AsistenciaJetAdminConcatenada!$A:$A=I$2)*(AsistenciaJetAdminConcatenada!$B:$B=I$1), 0)), 1))),  0.5, 0))</f>
        <v>1</v>
      </c>
      <c r="J43" s="47">
        <f t="array" ref="J43">IF(AND(ISNUMBER(MATCH(J$2, AsistenciaJetAdminConcatenada!$A:$A, 0)), ISNUMBER(MATCH(J$1, AsistenciaJetAdminConcatenada!$B:$B, 0)), ISNUMBER(SEARCH($A43,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ISNUMBER(SEARCH($A43, INDEX(AsistenciaJetAdminConcatenada!$D:$D, MATCH(1, (AsistenciaJetAdminConcatenada!$A:$A=J$2)*(AsistenciaJetAdminConcatenada!$B:$B=J$1), 0)), 1))),  0.5, 0))</f>
        <v>1</v>
      </c>
      <c r="K43" s="47">
        <f t="array" ref="K43">IF(AND(ISNUMBER(MATCH(K$2, AsistenciaJetAdminConcatenada!$A:$A, 0)), ISNUMBER(MATCH(K$1, AsistenciaJetAdminConcatenada!$B:$B, 0)), ISNUMBER(SEARCH($A43,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ISNUMBER(SEARCH($A43, INDEX(AsistenciaJetAdminConcatenada!$D:$D, MATCH(1, (AsistenciaJetAdminConcatenada!$A:$A=K$2)*(AsistenciaJetAdminConcatenada!$B:$B=K$1), 0)), 1))),  0.5, 0))</f>
        <v>1</v>
      </c>
      <c r="L43" s="47">
        <f t="array" ref="L43">IF(AND(ISNUMBER(MATCH(L$2, AsistenciaJetAdminConcatenada!$A:$A, 0)), ISNUMBER(MATCH(L$1, AsistenciaJetAdminConcatenada!$B:$B, 0)), ISNUMBER(SEARCH($A43,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ISNUMBER(SEARCH($A43, INDEX(AsistenciaJetAdminConcatenada!$D:$D, MATCH(1, (AsistenciaJetAdminConcatenada!$A:$A=L$2)*(AsistenciaJetAdminConcatenada!$B:$B=L$1), 0)), 1))),  0.5, 0))</f>
        <v>1</v>
      </c>
      <c r="M43" s="47">
        <f t="array" ref="M43">IF(AND(ISNUMBER(MATCH(M$2, AsistenciaJetAdminConcatenada!$A:$A, 0)), ISNUMBER(MATCH(M$1, AsistenciaJetAdminConcatenada!$B:$B, 0)), ISNUMBER(SEARCH($A43,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ISNUMBER(SEARCH($A43, INDEX(AsistenciaJetAdminConcatenada!$D:$D, MATCH(1, (AsistenciaJetAdminConcatenada!$A:$A=M$2)*(AsistenciaJetAdminConcatenada!$B:$B=M$1), 0)), 1))),  0.5, 0))</f>
        <v>1</v>
      </c>
      <c r="N43" s="47">
        <f t="array" ref="N43">IF(AND(ISNUMBER(MATCH(N$2, AsistenciaJetAdminConcatenada!$A:$A, 0)), ISNUMBER(MATCH(N$1, AsistenciaJetAdminConcatenada!$B:$B, 0)), ISNUMBER(SEARCH($A43,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ISNUMBER(SEARCH($A43, INDEX(AsistenciaJetAdminConcatenada!$D:$D, MATCH(1, (AsistenciaJetAdminConcatenada!$A:$A=N$2)*(AsistenciaJetAdminConcatenada!$B:$B=N$1), 0)), 1))),  0.5, 0))</f>
        <v>1</v>
      </c>
      <c r="O43" s="47">
        <f t="array" ref="O43">IF(AND(ISNUMBER(MATCH(O$2, AsistenciaJetAdminConcatenada!$A:$A, 0)), ISNUMBER(MATCH(O$1, AsistenciaJetAdminConcatenada!$B:$B, 0)), ISNUMBER(SEARCH($A43,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ISNUMBER(SEARCH($A43, INDEX(AsistenciaJetAdminConcatenada!$D:$D, MATCH(1, (AsistenciaJetAdminConcatenada!$A:$A=O$2)*(AsistenciaJetAdminConcatenada!$B:$B=O$1), 0)), 1))),  0.5, 0))</f>
        <v>0</v>
      </c>
      <c r="P43" s="47">
        <f t="array" ref="P43">IF(AND(ISNUMBER(MATCH(P$2, AsistenciaJetAdminConcatenada!$A:$A, 0)), ISNUMBER(MATCH(P$1, AsistenciaJetAdminConcatenada!$B:$B, 0)), ISNUMBER(SEARCH($A43, INDEX(AsistenciaJetAdminConcatenada!$C:$C, MATCH(1, (AsistenciaJetAdminConcatenada!$A:$A=P$2)*(AsistenciaJetAdminConcatenada!$B:$B=P$1), 0)), 1))), 1, IF(AND(ISNUMBER(MATCH(P$2, AsistenciaJetAdminConcatenada!$A:$A, 0)), ISNUMBER(MATCH(P$1, AsistenciaJetAdminConcatenada!$B:$B, 0)), ISNUMBER(SEARCH($A43, INDEX(AsistenciaJetAdminConcatenada!$D:$D, MATCH(1, (AsistenciaJetAdminConcatenada!$A:$A=P$2)*(AsistenciaJetAdminConcatenada!$B:$B=P$1), 0)), 1))),  0.5, 0))</f>
        <v>1</v>
      </c>
      <c r="Q43" s="47">
        <f t="array" ref="Q43">IF(AND(ISNUMBER(MATCH(Q$2, AsistenciaJetAdminConcatenada!$A:$A, 0)), ISNUMBER(MATCH(Q$1, AsistenciaJetAdminConcatenada!$B:$B, 0)), ISNUMBER(SEARCH($A43, INDEX(AsistenciaJetAdminConcatenada!$C:$C, MATCH(1, (AsistenciaJetAdminConcatenada!$A:$A=Q$2)*(AsistenciaJetAdminConcatenada!$B:$B=Q$1), 0)), 1))), 1, IF(AND(ISNUMBER(MATCH(Q$2, AsistenciaJetAdminConcatenada!$A:$A, 0)), ISNUMBER(MATCH(Q$1, AsistenciaJetAdminConcatenada!$B:$B, 0)), ISNUMBER(SEARCH($A43, INDEX(AsistenciaJetAdminConcatenada!$D:$D, MATCH(1, (AsistenciaJetAdminConcatenada!$A:$A=Q$2)*(AsistenciaJetAdminConcatenada!$B:$B=Q$1), 0)), 1))),  0.5, 0))</f>
        <v>1</v>
      </c>
      <c r="R43" s="47">
        <f t="array" ref="R43">IF(AND(ISNUMBER(MATCH(R$2, AsistenciaJetAdminConcatenada!$A:$A, 0)), ISNUMBER(MATCH(R$1, AsistenciaJetAdminConcatenada!$B:$B, 0)), ISNUMBER(SEARCH($A43,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ISNUMBER(SEARCH($A43, INDEX(AsistenciaJetAdminConcatenada!$D:$D, MATCH(1, (AsistenciaJetAdminConcatenada!$A:$A=R$2)*(AsistenciaJetAdminConcatenada!$B:$B=R$1), 0)), 1))),  0.5, 0))</f>
        <v>1</v>
      </c>
      <c r="S43" s="47">
        <f t="array" ref="S43">IF(AND(ISNUMBER(MATCH(S$2, AsistenciaJetAdminConcatenada!$A:$A, 0)), ISNUMBER(MATCH(S$1, AsistenciaJetAdminConcatenada!$B:$B, 0)), ISNUMBER(SEARCH($A43,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ISNUMBER(SEARCH($A43, INDEX(AsistenciaJetAdminConcatenada!$D:$D, MATCH(1, (AsistenciaJetAdminConcatenada!$A:$A=S$2)*(AsistenciaJetAdminConcatenada!$B:$B=S$1), 0)), 1))),  0.5, 0))</f>
        <v>1</v>
      </c>
      <c r="T43" s="47">
        <f t="array" ref="T43">IF(AND(ISNUMBER(MATCH(T$2, AsistenciaJetAdminConcatenada!$A:$A, 0)), ISNUMBER(MATCH(T$1, AsistenciaJetAdminConcatenada!$B:$B, 0)), ISNUMBER(SEARCH($A43,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ISNUMBER(SEARCH($A43, INDEX(AsistenciaJetAdminConcatenada!$D:$D, MATCH(1, (AsistenciaJetAdminConcatenada!$A:$A=T$2)*(AsistenciaJetAdminConcatenada!$B:$B=T$1), 0)), 1))),  0.5, 0))</f>
        <v>1</v>
      </c>
      <c r="U43" s="47">
        <f t="array" ref="U43">IF(AND(ISNUMBER(MATCH(U$2, AsistenciaJetAdminConcatenada!$A:$A, 0)), ISNUMBER(MATCH(U$1, AsistenciaJetAdminConcatenada!$B:$B, 0)), ISNUMBER(SEARCH($A43,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ISNUMBER(SEARCH($A43, INDEX(AsistenciaJetAdminConcatenada!$D:$D, MATCH(1, (AsistenciaJetAdminConcatenada!$A:$A=U$2)*(AsistenciaJetAdminConcatenada!$B:$B=U$1), 0)), 1))),  0.5, 0))</f>
        <v>1</v>
      </c>
      <c r="V43" s="47">
        <f t="array" ref="V43">IF(AND(ISNUMBER(MATCH(V$2, AsistenciaJetAdminConcatenada!$A:$A, 0)), ISNUMBER(MATCH(V$1, AsistenciaJetAdminConcatenada!$B:$B, 0)), ISNUMBER(SEARCH($A43,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ISNUMBER(SEARCH($A43, INDEX(AsistenciaJetAdminConcatenada!$D:$D, MATCH(1, (AsistenciaJetAdminConcatenada!$A:$A=V$2)*(AsistenciaJetAdminConcatenada!$B:$B=V$1), 0)), 1))),  0.5, 0))</f>
        <v>1</v>
      </c>
      <c r="W43" s="47">
        <f t="array" ref="W43">IF(AND(ISNUMBER(MATCH(W$2, AsistenciaJetAdminConcatenada!$A:$A, 0)), ISNUMBER(MATCH(W$1, AsistenciaJetAdminConcatenada!$B:$B, 0)), ISNUMBER(SEARCH($A43,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ISNUMBER(SEARCH($A43, INDEX(AsistenciaJetAdminConcatenada!$D:$D, MATCH(1, (AsistenciaJetAdminConcatenada!$A:$A=W$2)*(AsistenciaJetAdminConcatenada!$B:$B=W$1), 0)), 1))),  0.5, 0))</f>
        <v>1</v>
      </c>
      <c r="X43" s="47">
        <f t="array" ref="X43">IF(AND(ISNUMBER(MATCH(X$2, AsistenciaJetAdminConcatenada!$A:$A, 0)), ISNUMBER(MATCH(X$1, AsistenciaJetAdminConcatenada!$B:$B, 0)), ISNUMBER(SEARCH($A43,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ISNUMBER(SEARCH($A43, INDEX(AsistenciaJetAdminConcatenada!$D:$D, MATCH(1, (AsistenciaJetAdminConcatenada!$A:$A=X$2)*(AsistenciaJetAdminConcatenada!$B:$B=X$1), 0)), 1))),  0.5, 0))</f>
        <v>1</v>
      </c>
      <c r="Y43" s="47">
        <f t="array" ref="Y43">IF(AND(ISNUMBER(MATCH(Y$2, AsistenciaJetAdminConcatenada!$A:$A, 0)), ISNUMBER(MATCH(Y$1, AsistenciaJetAdminConcatenada!$B:$B, 0)), ISNUMBER(SEARCH($A43,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ISNUMBER(SEARCH($A43, INDEX(AsistenciaJetAdminConcatenada!$D:$D, MATCH(1, (AsistenciaJetAdminConcatenada!$A:$A=Y$2)*(AsistenciaJetAdminConcatenada!$B:$B=Y$1), 0)), 1))),  0.5, 0))</f>
        <v>1</v>
      </c>
      <c r="Z43" s="47">
        <f t="array" ref="Z43">IF(AND(ISNUMBER(MATCH(Z$2, AsistenciaJetAdminConcatenada!$A:$A, 0)), ISNUMBER(MATCH(Z$1, AsistenciaJetAdminConcatenada!$B:$B, 0)), ISNUMBER(SEARCH($A43,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ISNUMBER(SEARCH($A43, INDEX(AsistenciaJetAdminConcatenada!$D:$D, MATCH(1, (AsistenciaJetAdminConcatenada!$A:$A=Z$2)*(AsistenciaJetAdminConcatenada!$B:$B=Z$1), 0)), 1))),  0.5, 0))</f>
        <v>0</v>
      </c>
      <c r="AA43" s="47">
        <f t="array" ref="AA43">IF(AND(ISNUMBER(MATCH(AA$2, AsistenciaJetAdminConcatenada!$A:$A, 0)), ISNUMBER(MATCH(AA$1, AsistenciaJetAdminConcatenada!$B:$B, 0)), ISNUMBER(SEARCH($A43,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ISNUMBER(SEARCH($A43, INDEX(AsistenciaJetAdminConcatenada!$D:$D, MATCH(1, (AsistenciaJetAdminConcatenada!$A:$A=AA$2)*(AsistenciaJetAdminConcatenada!$B:$B=AA$1), 0)), 1))),  0.5, 0))</f>
        <v>1</v>
      </c>
      <c r="AB43" s="47">
        <f t="array" ref="AB43">IF(AND(ISNUMBER(MATCH(AB$2, AsistenciaJetAdminConcatenada!$A:$A, 0)), ISNUMBER(MATCH(AB$1, AsistenciaJetAdminConcatenada!$B:$B, 0)), ISNUMBER(SEARCH($A43,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ISNUMBER(SEARCH($A43, INDEX(AsistenciaJetAdminConcatenada!$D:$D, MATCH(1, (AsistenciaJetAdminConcatenada!$A:$A=AB$2)*(AsistenciaJetAdminConcatenada!$B:$B=AB$1), 0)), 1))),  0.5, 0))</f>
        <v>1</v>
      </c>
      <c r="AC43" s="47">
        <f t="array" ref="AC43">IF(AND(ISNUMBER(MATCH(AC$2, AsistenciaJetAdminConcatenada!$A:$A, 0)), ISNUMBER(MATCH(AC$1, AsistenciaJetAdminConcatenada!$B:$B, 0)), ISNUMBER(SEARCH($A43,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ISNUMBER(SEARCH($A43, INDEX(AsistenciaJetAdminConcatenada!$D:$D, MATCH(1, (AsistenciaJetAdminConcatenada!$A:$A=AC$2)*(AsistenciaJetAdminConcatenada!$B:$B=AC$1), 0)), 1))),  0.5, 0))</f>
        <v>1</v>
      </c>
      <c r="AD43" s="47">
        <f t="array" ref="AD43">IF(AND(ISNUMBER(MATCH(AD$2, AsistenciaJetAdminConcatenada!$A:$A, 0)), ISNUMBER(MATCH(AD$1, AsistenciaJetAdminConcatenada!$B:$B, 0)), ISNUMBER(SEARCH($A43,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ISNUMBER(SEARCH($A43, INDEX(AsistenciaJetAdminConcatenada!$D:$D, MATCH(1, (AsistenciaJetAdminConcatenada!$A:$A=AD$2)*(AsistenciaJetAdminConcatenada!$B:$B=AD$1), 0)), 1))),  0.5, 0))</f>
        <v>1</v>
      </c>
      <c r="AE43" s="47">
        <f t="array" ref="AE43">IF(AND(ISNUMBER(MATCH(AE$2, AsistenciaJetAdminConcatenada!$A:$A, 0)), ISNUMBER(MATCH(AE$1, AsistenciaJetAdminConcatenada!$B:$B, 0)), ISNUMBER(SEARCH($A43,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ISNUMBER(SEARCH($A43, INDEX(AsistenciaJetAdminConcatenada!$D:$D, MATCH(1, (AsistenciaJetAdminConcatenada!$A:$A=AE$2)*(AsistenciaJetAdminConcatenada!$B:$B=AE$1), 0)), 1))),  0.5, 0))</f>
        <v>1</v>
      </c>
      <c r="AF43" s="47">
        <f t="array" ref="AF43">IF(AND(ISNUMBER(MATCH(AF$2, AsistenciaJetAdminConcatenada!$A:$A, 0)), ISNUMBER(MATCH(AF$1, AsistenciaJetAdminConcatenada!$B:$B, 0)), ISNUMBER(SEARCH($A43,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ISNUMBER(SEARCH($A43, INDEX(AsistenciaJetAdminConcatenada!$D:$D, MATCH(1, (AsistenciaJetAdminConcatenada!$A:$A=AF$2)*(AsistenciaJetAdminConcatenada!$B:$B=AF$1), 0)), 1))),  0.5, 0))</f>
        <v>0</v>
      </c>
      <c r="AG43" s="47">
        <f t="array" ref="AG43">IF(AND(ISNUMBER(MATCH(AG$2, AsistenciaJetAdminConcatenada!$A:$A, 0)), ISNUMBER(MATCH(AG$1, AsistenciaJetAdminConcatenada!$B:$B, 0)), ISNUMBER(SEARCH($A43,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ISNUMBER(SEARCH($A43, INDEX(AsistenciaJetAdminConcatenada!$D:$D, MATCH(1, (AsistenciaJetAdminConcatenada!$A:$A=AG$2)*(AsistenciaJetAdminConcatenada!$B:$B=AG$1), 0)), 1))),  0.5, 0))</f>
        <v>1</v>
      </c>
      <c r="AH43" s="47">
        <f t="array" ref="AH43">IF(AND(ISNUMBER(MATCH(AH$2, AsistenciaJetAdminConcatenada!$A:$A, 0)), ISNUMBER(MATCH(AH$1, AsistenciaJetAdminConcatenada!$B:$B, 0)), ISNUMBER(SEARCH($A43,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ISNUMBER(SEARCH($A43, INDEX(AsistenciaJetAdminConcatenada!$D:$D, MATCH(1, (AsistenciaJetAdminConcatenada!$A:$A=AH$2)*(AsistenciaJetAdminConcatenada!$B:$B=AH$1), 0)), 1))),  0.5, 0))</f>
        <v>0</v>
      </c>
      <c r="AI43" s="47">
        <f t="array" ref="AI43">IF(AND(ISNUMBER(MATCH(AI$2, AsistenciaJetAdminConcatenada!$A:$A, 0)), ISNUMBER(MATCH(AI$1, AsistenciaJetAdminConcatenada!$B:$B, 0)), ISNUMBER(SEARCH($A43,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ISNUMBER(SEARCH($A43, INDEX(AsistenciaJetAdminConcatenada!$D:$D, MATCH(1, (AsistenciaJetAdminConcatenada!$A:$A=AI$2)*(AsistenciaJetAdminConcatenada!$B:$B=AI$1), 0)), 1))),  0.5, 0))</f>
        <v>1</v>
      </c>
      <c r="AJ43" s="47">
        <f t="array" ref="AJ43">IF(AND(ISNUMBER(MATCH(AJ$2, AsistenciaJetAdminConcatenada!$A:$A, 0)), ISNUMBER(MATCH(AJ$1, AsistenciaJetAdminConcatenada!$B:$B, 0)), ISNUMBER(SEARCH($A43,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ISNUMBER(SEARCH($A43, INDEX(AsistenciaJetAdminConcatenada!$D:$D, MATCH(1, (AsistenciaJetAdminConcatenada!$A:$A=AJ$2)*(AsistenciaJetAdminConcatenada!$B:$B=AJ$1), 0)), 1))),  0.5, 0))</f>
        <v>1</v>
      </c>
      <c r="AK43" s="47">
        <f t="array" ref="AK43">IF(AND(ISNUMBER(MATCH(AK$2, AsistenciaJetAdminConcatenada!$A:$A, 0)), ISNUMBER(MATCH(AK$1, AsistenciaJetAdminConcatenada!$B:$B, 0)), ISNUMBER(SEARCH($A43,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ISNUMBER(SEARCH($A43, INDEX(AsistenciaJetAdminConcatenada!$D:$D, MATCH(1, (AsistenciaJetAdminConcatenada!$A:$A=AK$2)*(AsistenciaJetAdminConcatenada!$B:$B=AK$1), 0)), 1))),  0.5, 0))</f>
        <v>0</v>
      </c>
      <c r="AL43" s="47">
        <f t="array" ref="AL43">IF(AND(ISNUMBER(MATCH(AL$2, AsistenciaJetAdminConcatenada!$A:$A, 0)), ISNUMBER(MATCH(AL$1, AsistenciaJetAdminConcatenada!$B:$B, 0)), ISNUMBER(SEARCH($A43,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ISNUMBER(SEARCH($A43, INDEX(AsistenciaJetAdminConcatenada!$D:$D, MATCH(1, (AsistenciaJetAdminConcatenada!$A:$A=AL$2)*(AsistenciaJetAdminConcatenada!$B:$B=AL$1), 0)), 1))),  0.5, 0))</f>
        <v>1</v>
      </c>
      <c r="AM43" s="47">
        <f t="array" ref="AM43">IF(AND(ISNUMBER(MATCH(AM$2, AsistenciaJetAdminConcatenada!$A:$A, 0)), ISNUMBER(MATCH(AM$1, AsistenciaJetAdminConcatenada!$B:$B, 0)), ISNUMBER(SEARCH($A43,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ISNUMBER(SEARCH($A43, INDEX(AsistenciaJetAdminConcatenada!$D:$D, MATCH(1, (AsistenciaJetAdminConcatenada!$A:$A=AM$2)*(AsistenciaJetAdminConcatenada!$B:$B=AM$1), 0)), 1))),  0.5, 0))</f>
        <v>1</v>
      </c>
      <c r="AN43" s="47">
        <f t="array" ref="AN43">IF(AND(ISNUMBER(MATCH(AN$2, AsistenciaJetAdminConcatenada!$A:$A, 0)), ISNUMBER(MATCH(AN$1, AsistenciaJetAdminConcatenada!$B:$B, 0)), ISNUMBER(SEARCH($A43,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ISNUMBER(SEARCH($A43, INDEX(AsistenciaJetAdminConcatenada!$D:$D, MATCH(1, (AsistenciaJetAdminConcatenada!$A:$A=AN$2)*(AsistenciaJetAdminConcatenada!$B:$B=AN$1), 0)), 1))),  0.5, 0))</f>
        <v>0</v>
      </c>
      <c r="AO43" s="47">
        <f t="array" ref="AO43">IF(AND(ISNUMBER(MATCH(AO$2, AsistenciaJetAdminConcatenada!$A:$A, 0)), ISNUMBER(MATCH(AO$1, AsistenciaJetAdminConcatenada!$B:$B, 0)), ISNUMBER(SEARCH($A43,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ISNUMBER(SEARCH($A43, INDEX(AsistenciaJetAdminConcatenada!$D:$D, MATCH(1, (AsistenciaJetAdminConcatenada!$A:$A=AO$2)*(AsistenciaJetAdminConcatenada!$B:$B=AO$1), 0)), 1))),  0.5, 0))</f>
        <v>1</v>
      </c>
      <c r="AP43" s="47">
        <f t="array" ref="AP43">IF(AND(ISNUMBER(MATCH(AP$2, AsistenciaJetAdminConcatenada!$A:$A, 0)), ISNUMBER(MATCH(AP$1, AsistenciaJetAdminConcatenada!$B:$B, 0)), ISNUMBER(SEARCH($A43,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ISNUMBER(SEARCH($A43, INDEX(AsistenciaJetAdminConcatenada!$D:$D, MATCH(1, (AsistenciaJetAdminConcatenada!$A:$A=AP$2)*(AsistenciaJetAdminConcatenada!$B:$B=AP$1), 0)), 1))),  0.5, 0))</f>
        <v>1</v>
      </c>
      <c r="AQ43" s="47">
        <f t="array" ref="AQ43">IF(AND(ISNUMBER(MATCH(AQ$2, AsistenciaJetAdminConcatenada!$A:$A, 0)), ISNUMBER(MATCH(AQ$1, AsistenciaJetAdminConcatenada!$B:$B, 0)), ISNUMBER(SEARCH($A43,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ISNUMBER(SEARCH($A43, INDEX(AsistenciaJetAdminConcatenada!$D:$D, MATCH(1, (AsistenciaJetAdminConcatenada!$A:$A=AQ$2)*(AsistenciaJetAdminConcatenada!$B:$B=AQ$1), 0)), 1))),  0.5, 0))</f>
        <v>0</v>
      </c>
      <c r="AR43" s="47">
        <f t="array" ref="AR43">IF(AND(ISNUMBER(MATCH(AR$2, AsistenciaJetAdminConcatenada!$A:$A, 0)), ISNUMBER(MATCH(AR$1, AsistenciaJetAdminConcatenada!$B:$B, 0)), ISNUMBER(SEARCH($A43,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ISNUMBER(SEARCH($A43, INDEX(AsistenciaJetAdminConcatenada!$D:$D, MATCH(1, (AsistenciaJetAdminConcatenada!$A:$A=AR$2)*(AsistenciaJetAdminConcatenada!$B:$B=AR$1), 0)), 1))),  0.5, 0))</f>
        <v>1</v>
      </c>
      <c r="AS43" s="47">
        <f t="array" ref="AS43">IF(AND(ISNUMBER(MATCH(AS$2, AsistenciaJetAdminConcatenada!$A:$A, 0)), ISNUMBER(MATCH(AS$1, AsistenciaJetAdminConcatenada!$B:$B, 0)), ISNUMBER(SEARCH($A43,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ISNUMBER(SEARCH($A43, INDEX(AsistenciaJetAdminConcatenada!$D:$D, MATCH(1, (AsistenciaJetAdminConcatenada!$A:$A=AS$2)*(AsistenciaJetAdminConcatenada!$B:$B=AS$1), 0)), 1))),  0.5, 0))</f>
        <v>1</v>
      </c>
      <c r="AT43" s="47">
        <f t="array" ref="AT43">IF(AND(ISNUMBER(MATCH(AT$2, AsistenciaJetAdminConcatenada!$A:$A, 0)), ISNUMBER(MATCH(AT$1, AsistenciaJetAdminConcatenada!$B:$B, 0)), ISNUMBER(SEARCH($A43,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ISNUMBER(SEARCH($A43, INDEX(AsistenciaJetAdminConcatenada!$D:$D, MATCH(1, (AsistenciaJetAdminConcatenada!$A:$A=AT$2)*(AsistenciaJetAdminConcatenada!$B:$B=AT$1), 0)), 1))),  0.5, 0))</f>
        <v>1</v>
      </c>
      <c r="AU43" s="47">
        <f t="array" ref="AU43">IF(AND(ISNUMBER(MATCH(AU$2, AsistenciaJetAdminConcatenada!$A:$A, 0)), ISNUMBER(MATCH(AU$1, AsistenciaJetAdminConcatenada!$B:$B, 0)), ISNUMBER(SEARCH($A43,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ISNUMBER(SEARCH($A43, INDEX(AsistenciaJetAdminConcatenada!$D:$D, MATCH(1, (AsistenciaJetAdminConcatenada!$A:$A=AU$2)*(AsistenciaJetAdminConcatenada!$B:$B=AU$1), 0)), 1))),  0.5, 0))</f>
        <v>1</v>
      </c>
      <c r="AV43" s="47">
        <f t="array" ref="AV43">IF(AND(ISNUMBER(MATCH(AV$2, AsistenciaJetAdminConcatenada!$A:$A, 0)), ISNUMBER(MATCH(AV$1, AsistenciaJetAdminConcatenada!$B:$B, 0)), ISNUMBER(SEARCH($A43,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ISNUMBER(SEARCH($A43, INDEX(AsistenciaJetAdminConcatenada!$D:$D, MATCH(1, (AsistenciaJetAdminConcatenada!$A:$A=AV$2)*(AsistenciaJetAdminConcatenada!$B:$B=AV$1), 0)), 1))),  0.5, 0))</f>
        <v>1</v>
      </c>
      <c r="AW43" s="47">
        <f t="array" ref="AW43">IF(AND(ISNUMBER(MATCH(AW$2, AsistenciaJetAdminConcatenada!$A:$A, 0)), ISNUMBER(MATCH(AW$1, AsistenciaJetAdminConcatenada!$B:$B, 0)), ISNUMBER(SEARCH($A43,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ISNUMBER(SEARCH($A43, INDEX(AsistenciaJetAdminConcatenada!$D:$D, MATCH(1, (AsistenciaJetAdminConcatenada!$A:$A=AW$2)*(AsistenciaJetAdminConcatenada!$B:$B=AW$1), 0)), 1))),  0.5, 0))</f>
        <v>1</v>
      </c>
      <c r="AX43" s="47">
        <f t="array" ref="AX43">IF(AND(ISNUMBER(MATCH(AX$2, AsistenciaJetAdminConcatenada!$A:$A, 0)), ISNUMBER(MATCH(AX$1, AsistenciaJetAdminConcatenada!$B:$B, 0)), ISNUMBER(SEARCH($A43,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ISNUMBER(SEARCH($A43, INDEX(AsistenciaJetAdminConcatenada!$D:$D, MATCH(1, (AsistenciaJetAdminConcatenada!$A:$A=AX$2)*(AsistenciaJetAdminConcatenada!$B:$B=AX$1), 0)), 1))),  0.5, 0))</f>
        <v>0</v>
      </c>
      <c r="AY43" s="47">
        <f t="array" ref="AY43">IF(AND(ISNUMBER(MATCH(AY$2, AsistenciaJetAdminConcatenada!$A:$A, 0)), ISNUMBER(MATCH(AY$1, AsistenciaJetAdminConcatenada!$B:$B, 0)), ISNUMBER(SEARCH($A43,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ISNUMBER(SEARCH($A43, INDEX(AsistenciaJetAdminConcatenada!$D:$D, MATCH(1, (AsistenciaJetAdminConcatenada!$A:$A=AY$2)*(AsistenciaJetAdminConcatenada!$B:$B=AY$1), 0)), 1))),  0.5, 0))</f>
        <v>1</v>
      </c>
      <c r="AZ43" s="47">
        <f t="array" ref="AZ43">IF(AND(ISNUMBER(MATCH(AZ$2, AsistenciaJetAdminConcatenada!$A:$A, 0)), ISNUMBER(MATCH(AZ$1, AsistenciaJetAdminConcatenada!$B:$B, 0)), ISNUMBER(SEARCH($A43,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ISNUMBER(SEARCH($A43, INDEX(AsistenciaJetAdminConcatenada!$D:$D, MATCH(1, (AsistenciaJetAdminConcatenada!$A:$A=AZ$2)*(AsistenciaJetAdminConcatenada!$B:$B=AZ$1), 0)), 1))),  0.5, 0))</f>
        <v>1</v>
      </c>
      <c r="BA43" s="47">
        <f t="array" ref="BA43">IF(AND(ISNUMBER(MATCH(BA$2, AsistenciaJetAdminConcatenada!$A:$A, 0)), ISNUMBER(MATCH(BA$1, AsistenciaJetAdminConcatenada!$B:$B, 0)), ISNUMBER(SEARCH($A43,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ISNUMBER(SEARCH($A43, INDEX(AsistenciaJetAdminConcatenada!$D:$D, MATCH(1, (AsistenciaJetAdminConcatenada!$A:$A=BA$2)*(AsistenciaJetAdminConcatenada!$B:$B=BA$1), 0)), 1))),  0.5, 0))</f>
        <v>1</v>
      </c>
      <c r="BB43" s="47">
        <f t="array" ref="BB43">IF(AND(ISNUMBER(MATCH(BB$2, AsistenciaJetAdminConcatenada!$A:$A, 0)), ISNUMBER(MATCH(BB$1, AsistenciaJetAdminConcatenada!$B:$B, 0)), ISNUMBER(SEARCH($A43,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ISNUMBER(SEARCH($A43, INDEX(AsistenciaJetAdminConcatenada!$D:$D, MATCH(1, (AsistenciaJetAdminConcatenada!$A:$A=BB$2)*(AsistenciaJetAdminConcatenada!$B:$B=BB$1), 0)), 1))),  0.5, 0))</f>
        <v>1</v>
      </c>
      <c r="BC43" s="47">
        <f t="array" ref="BC43">IF(AND(ISNUMBER(MATCH(BC$2, AsistenciaJetAdminConcatenada!$A:$A, 0)), ISNUMBER(MATCH(BC$1, AsistenciaJetAdminConcatenada!$B:$B, 0)), ISNUMBER(SEARCH($A43,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ISNUMBER(SEARCH($A43, INDEX(AsistenciaJetAdminConcatenada!$D:$D, MATCH(1, (AsistenciaJetAdminConcatenada!$A:$A=BC$2)*(AsistenciaJetAdminConcatenada!$B:$B=BC$1), 0)), 1))),  0.5, 0))</f>
        <v>1</v>
      </c>
      <c r="BD43" s="47">
        <f t="array" ref="BD43">IF(AND(ISNUMBER(MATCH(BD$2, AsistenciaJetAdminConcatenada!$A:$A, 0)), ISNUMBER(MATCH(BD$1, AsistenciaJetAdminConcatenada!$B:$B, 0)), ISNUMBER(SEARCH($A43,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ISNUMBER(SEARCH($A43, INDEX(AsistenciaJetAdminConcatenada!$D:$D, MATCH(1, (AsistenciaJetAdminConcatenada!$A:$A=BD$2)*(AsistenciaJetAdminConcatenada!$B:$B=BD$1), 0)), 1))),  0.5, 0))</f>
        <v>1</v>
      </c>
      <c r="BE43" s="47">
        <f t="array" ref="BE43">IF(AND(ISNUMBER(MATCH(BE$2, AsistenciaJetAdminConcatenada!$A:$A, 0)), ISNUMBER(MATCH(BE$1, AsistenciaJetAdminConcatenada!$B:$B, 0)), ISNUMBER(SEARCH($A43,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ISNUMBER(SEARCH($A43, INDEX(AsistenciaJetAdminConcatenada!$D:$D, MATCH(1, (AsistenciaJetAdminConcatenada!$A:$A=BE$2)*(AsistenciaJetAdminConcatenada!$B:$B=BE$1), 0)), 1))),  0.5, 0))</f>
        <v>1</v>
      </c>
      <c r="BF43" s="47">
        <f t="array" ref="BF43">IF(AND(ISNUMBER(MATCH(BF$2, AsistenciaJetAdminConcatenada!$A:$A, 0)), ISNUMBER(MATCH(BF$1, AsistenciaJetAdminConcatenada!$B:$B, 0)), ISNUMBER(SEARCH($A43,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ISNUMBER(SEARCH($A43, INDEX(AsistenciaJetAdminConcatenada!$D:$D, MATCH(1, (AsistenciaJetAdminConcatenada!$A:$A=BF$2)*(AsistenciaJetAdminConcatenada!$B:$B=BF$1), 0)), 1))),  0.5, 0))</f>
        <v>0</v>
      </c>
      <c r="BG43" s="47">
        <f t="array" ref="BG43">IF(AND(ISNUMBER(MATCH(BG$2, AsistenciaJetAdminConcatenada!$A:$A, 0)), ISNUMBER(MATCH(BG$1, AsistenciaJetAdminConcatenada!$B:$B, 0)), ISNUMBER(SEARCH($A43,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ISNUMBER(SEARCH($A43, INDEX(AsistenciaJetAdminConcatenada!$D:$D, MATCH(1, (AsistenciaJetAdminConcatenada!$A:$A=BG$2)*(AsistenciaJetAdminConcatenada!$B:$B=BG$1), 0)), 1))),  0.5, 0))</f>
        <v>0</v>
      </c>
      <c r="BH43" s="47">
        <f t="array" ref="BH43">IF(AND(ISNUMBER(MATCH(BH$2, AsistenciaJetAdminConcatenada!$A:$A, 0)), ISNUMBER(MATCH(BH$1, AsistenciaJetAdminConcatenada!$B:$B, 0)), ISNUMBER(SEARCH($A43,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ISNUMBER(SEARCH($A43, INDEX(AsistenciaJetAdminConcatenada!$D:$D, MATCH(1, (AsistenciaJetAdminConcatenada!$A:$A=BH$2)*(AsistenciaJetAdminConcatenada!$B:$B=BH$1), 0)), 1))),  0.5, 0))</f>
        <v>0</v>
      </c>
      <c r="BI43" s="47">
        <f t="array" ref="BI43">IF(AND(ISNUMBER(MATCH(BI$2, AsistenciaJetAdminConcatenada!$A:$A, 0)), ISNUMBER(MATCH(BI$1, AsistenciaJetAdminConcatenada!$B:$B, 0)), ISNUMBER(SEARCH($A43,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ISNUMBER(SEARCH($A43, INDEX(AsistenciaJetAdminConcatenada!$D:$D, MATCH(1, (AsistenciaJetAdminConcatenada!$A:$A=BI$2)*(AsistenciaJetAdminConcatenada!$B:$B=BI$1), 0)), 1))),  0.5, 0))</f>
        <v>0</v>
      </c>
      <c r="BJ43" s="47">
        <f t="array" ref="BJ43">IF(AND(ISNUMBER(MATCH(BJ$2, AsistenciaJetAdminConcatenada!$A:$A, 0)), ISNUMBER(MATCH(BJ$1, AsistenciaJetAdminConcatenada!$B:$B, 0)), ISNUMBER(SEARCH($A43,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ISNUMBER(SEARCH($A43, INDEX(AsistenciaJetAdminConcatenada!$D:$D, MATCH(1, (AsistenciaJetAdminConcatenada!$A:$A=BJ$2)*(AsistenciaJetAdminConcatenada!$B:$B=BJ$1), 0)), 1))),  0.5, 0))</f>
        <v>1</v>
      </c>
      <c r="BK43" s="47">
        <f t="array" ref="BK43">IF(AND(ISNUMBER(MATCH(BK$2, AsistenciaJetAdminConcatenada!$A:$A, 0)), ISNUMBER(MATCH(BK$1, AsistenciaJetAdminConcatenada!$B:$B, 0)), ISNUMBER(SEARCH($A43,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ISNUMBER(SEARCH($A43, INDEX(AsistenciaJetAdminConcatenada!$D:$D, MATCH(1, (AsistenciaJetAdminConcatenada!$A:$A=BK$2)*(AsistenciaJetAdminConcatenada!$B:$B=BK$1), 0)), 1))),  0.5, 0))</f>
        <v>0</v>
      </c>
      <c r="BL43" s="47">
        <f t="array" ref="BL43">IF(AND(ISNUMBER(MATCH(BL$2, AsistenciaJetAdminConcatenada!$A:$A, 0)), ISNUMBER(MATCH(BL$1, AsistenciaJetAdminConcatenada!$B:$B, 0)), ISNUMBER(SEARCH($A43,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ISNUMBER(SEARCH($A43, INDEX(AsistenciaJetAdminConcatenada!$D:$D, MATCH(1, (AsistenciaJetAdminConcatenada!$A:$A=BL$2)*(AsistenciaJetAdminConcatenada!$B:$B=BL$1), 0)), 1))),  0.5, 0))</f>
        <v>0</v>
      </c>
      <c r="BM43" s="47">
        <f t="array" ref="BM43">IF(AND(ISNUMBER(MATCH(BM$2, AsistenciaJetAdminConcatenada!$A:$A, 0)), ISNUMBER(MATCH(BM$1, AsistenciaJetAdminConcatenada!$B:$B, 0)), ISNUMBER(SEARCH($A43,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ISNUMBER(SEARCH($A43, INDEX(AsistenciaJetAdminConcatenada!$D:$D, MATCH(1, (AsistenciaJetAdminConcatenada!$A:$A=BM$2)*(AsistenciaJetAdminConcatenada!$B:$B=BM$1), 0)), 1))),  0.5, 0))</f>
        <v>0</v>
      </c>
      <c r="BN43" s="47">
        <f t="array" ref="BN43">IF(AND(ISNUMBER(MATCH(BN$2, AsistenciaJetAdminConcatenada!$A:$A, 0)), ISNUMBER(MATCH(BN$1, AsistenciaJetAdminConcatenada!$B:$B, 0)), ISNUMBER(SEARCH($A43,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ISNUMBER(SEARCH($A43, INDEX(AsistenciaJetAdminConcatenada!$D:$D, MATCH(1, (AsistenciaJetAdminConcatenada!$A:$A=BN$2)*(AsistenciaJetAdminConcatenada!$B:$B=BN$1), 0)), 1))),  0.5, 0))</f>
        <v>1</v>
      </c>
      <c r="BO43" s="47">
        <f t="array" ref="BO43">IF(AND(ISNUMBER(MATCH(BO$2, AsistenciaJetAdminConcatenada!$A:$A, 0)), ISNUMBER(MATCH(BO$1, AsistenciaJetAdminConcatenada!$B:$B, 0)), ISNUMBER(SEARCH($A43,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ISNUMBER(SEARCH($A43, INDEX(AsistenciaJetAdminConcatenada!$D:$D, MATCH(1, (AsistenciaJetAdminConcatenada!$A:$A=BO$2)*(AsistenciaJetAdminConcatenada!$B:$B=BO$1), 0)), 1))),  0.5, 0))</f>
        <v>1</v>
      </c>
      <c r="BP43" s="47">
        <f t="array" ref="BP43">IF(AND(ISNUMBER(MATCH(BP$2, AsistenciaJetAdminConcatenada!$A:$A, 0)), ISNUMBER(MATCH(BP$1, AsistenciaJetAdminConcatenada!$B:$B, 0)), ISNUMBER(SEARCH($A43,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ISNUMBER(SEARCH($A43, INDEX(AsistenciaJetAdminConcatenada!$D:$D, MATCH(1, (AsistenciaJetAdminConcatenada!$A:$A=BP$2)*(AsistenciaJetAdminConcatenada!$B:$B=BP$1), 0)), 1))),  0.5, 0))</f>
        <v>0</v>
      </c>
      <c r="BQ43" s="47">
        <f t="array" ref="BQ43">IF(AND(ISNUMBER(MATCH(BQ$2, AsistenciaJetAdminConcatenada!$A:$A, 0)), ISNUMBER(MATCH(BQ$1, AsistenciaJetAdminConcatenada!$B:$B, 0)), ISNUMBER(SEARCH($A43,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ISNUMBER(SEARCH($A43, INDEX(AsistenciaJetAdminConcatenada!$D:$D, MATCH(1, (AsistenciaJetAdminConcatenada!$A:$A=BQ$2)*(AsistenciaJetAdminConcatenada!$B:$B=BQ$1), 0)), 1))),  0.5, 0))</f>
        <v>1</v>
      </c>
      <c r="BR43" s="47">
        <f t="array" ref="BR43">IF(AND(ISNUMBER(MATCH(BR$2, AsistenciaJetAdminConcatenada!$A:$A, 0)), ISNUMBER(MATCH(BR$1, AsistenciaJetAdminConcatenada!$B:$B, 0)), ISNUMBER(SEARCH($A43,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ISNUMBER(SEARCH($A43, INDEX(AsistenciaJetAdminConcatenada!$D:$D, MATCH(1, (AsistenciaJetAdminConcatenada!$A:$A=BR$2)*(AsistenciaJetAdminConcatenada!$B:$B=BR$1), 0)), 1))),  0.5, 0))</f>
        <v>1</v>
      </c>
      <c r="BS43" s="47">
        <f t="array" ref="BS43">IF(AND(ISNUMBER(MATCH(BS$2, AsistenciaJetAdminConcatenada!$A:$A, 0)), ISNUMBER(MATCH(BS$1, AsistenciaJetAdminConcatenada!$B:$B, 0)), ISNUMBER(SEARCH($A43,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ISNUMBER(SEARCH($A43, INDEX(AsistenciaJetAdminConcatenada!$D:$D, MATCH(1, (AsistenciaJetAdminConcatenada!$A:$A=BS$2)*(AsistenciaJetAdminConcatenada!$B:$B=BS$1), 0)), 1))),  0.5, 0))</f>
        <v>1</v>
      </c>
      <c r="BT43" s="47">
        <f t="array" ref="BT43">IF(AND(ISNUMBER(MATCH(BT$2, AsistenciaJetAdminConcatenada!$A:$A, 0)), ISNUMBER(MATCH(BT$1, AsistenciaJetAdminConcatenada!$B:$B, 0)), ISNUMBER(SEARCH($A43,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ISNUMBER(SEARCH($A43, INDEX(AsistenciaJetAdminConcatenada!$D:$D, MATCH(1, (AsistenciaJetAdminConcatenada!$A:$A=BT$2)*(AsistenciaJetAdminConcatenada!$B:$B=BT$1), 0)), 1))),  0.5, 0))</f>
        <v>1</v>
      </c>
      <c r="BU43" s="47">
        <f t="array" ref="BU43">IF(AND(ISNUMBER(MATCH(BU$2, AsistenciaJetAdminConcatenada!$A:$A, 0)), ISNUMBER(MATCH(BU$1, AsistenciaJetAdminConcatenada!$B:$B, 0)), ISNUMBER(SEARCH($A43,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ISNUMBER(SEARCH($A43, INDEX(AsistenciaJetAdminConcatenada!$D:$D, MATCH(1, (AsistenciaJetAdminConcatenada!$A:$A=BU$2)*(AsistenciaJetAdminConcatenada!$B:$B=BU$1), 0)), 1))),  0.5, 0))</f>
        <v>1</v>
      </c>
      <c r="BV43" s="47">
        <f t="array" ref="BV43">IF(AND(ISNUMBER(MATCH(BV$2, AsistenciaJetAdminConcatenada!$A:$A, 0)), ISNUMBER(MATCH(BV$1, AsistenciaJetAdminConcatenada!$B:$B, 0)), ISNUMBER(SEARCH($A43,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ISNUMBER(SEARCH($A43, INDEX(AsistenciaJetAdminConcatenada!$D:$D, MATCH(1, (AsistenciaJetAdminConcatenada!$A:$A=BV$2)*(AsistenciaJetAdminConcatenada!$B:$B=BV$1), 0)), 1))),  0.5, 0))</f>
        <v>1</v>
      </c>
      <c r="BW43" s="47">
        <f t="array" ref="BW43">IF(AND(ISNUMBER(MATCH(BW$2, AsistenciaJetAdminConcatenada!$A:$A, 0)), ISNUMBER(MATCH(BW$1, AsistenciaJetAdminConcatenada!$B:$B, 0)), ISNUMBER(SEARCH($A43,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ISNUMBER(SEARCH($A43, INDEX(AsistenciaJetAdminConcatenada!$D:$D, MATCH(1, (AsistenciaJetAdminConcatenada!$A:$A=BW$2)*(AsistenciaJetAdminConcatenada!$B:$B=BW$1), 0)), 1))),  0.5, 0))</f>
        <v>1</v>
      </c>
      <c r="BX43" s="47">
        <f t="array" ref="BX43">IF(AND(ISNUMBER(MATCH(BX$2, AsistenciaJetAdminConcatenada!$A:$A, 0)), ISNUMBER(MATCH(BX$1, AsistenciaJetAdminConcatenada!$B:$B, 0)), ISNUMBER(SEARCH($A43,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ISNUMBER(SEARCH($A43, INDEX(AsistenciaJetAdminConcatenada!$D:$D, MATCH(1, (AsistenciaJetAdminConcatenada!$A:$A=BX$2)*(AsistenciaJetAdminConcatenada!$B:$B=BX$1), 0)), 1))),  0.5, 0))</f>
        <v>1</v>
      </c>
      <c r="BY43" s="47">
        <f t="array" ref="BY43">IF(AND(ISNUMBER(MATCH(BY$2, AsistenciaJetAdminConcatenada!$A:$A, 0)), ISNUMBER(MATCH(BY$1, AsistenciaJetAdminConcatenada!$B:$B, 0)), ISNUMBER(SEARCH($A43,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ISNUMBER(SEARCH($A43, INDEX(AsistenciaJetAdminConcatenada!$D:$D, MATCH(1, (AsistenciaJetAdminConcatenada!$A:$A=BY$2)*(AsistenciaJetAdminConcatenada!$B:$B=BY$1), 0)), 1))),  0.5, 0))</f>
        <v>0</v>
      </c>
      <c r="BZ43" s="47">
        <f t="array" ref="BZ43">IF(AND(ISNUMBER(MATCH(BZ$2, AsistenciaJetAdminConcatenada!$A:$A, 0)), ISNUMBER(MATCH(BZ$1, AsistenciaJetAdminConcatenada!$B:$B, 0)), ISNUMBER(SEARCH($A43,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ISNUMBER(SEARCH($A43, INDEX(AsistenciaJetAdminConcatenada!$D:$D, MATCH(1, (AsistenciaJetAdminConcatenada!$A:$A=BZ$2)*(AsistenciaJetAdminConcatenada!$B:$B=BZ$1), 0)), 1))),  0.5, 0))</f>
        <v>1</v>
      </c>
      <c r="CA43" s="47">
        <f t="array" ref="CA43">IF(AND(ISNUMBER(MATCH(CA$2, AsistenciaJetAdminConcatenada!$A:$A, 0)), ISNUMBER(MATCH(CA$1, AsistenciaJetAdminConcatenada!$B:$B, 0)), ISNUMBER(SEARCH($A43,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ISNUMBER(SEARCH($A43, INDEX(AsistenciaJetAdminConcatenada!$D:$D, MATCH(1, (AsistenciaJetAdminConcatenada!$A:$A=CA$2)*(AsistenciaJetAdminConcatenada!$B:$B=CA$1), 0)), 1))),  0.5, 0))</f>
        <v>1</v>
      </c>
      <c r="CB43" s="47">
        <f t="array" ref="CB43">IF(AND(ISNUMBER(MATCH(CB$2, AsistenciaJetAdminConcatenada!$A:$A, 0)), ISNUMBER(MATCH(CB$1, AsistenciaJetAdminConcatenada!$B:$B, 0)), ISNUMBER(SEARCH($A43,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ISNUMBER(SEARCH($A43, INDEX(AsistenciaJetAdminConcatenada!$D:$D, MATCH(1, (AsistenciaJetAdminConcatenada!$A:$A=CB$2)*(AsistenciaJetAdminConcatenada!$B:$B=CB$1), 0)), 1))),  0.5, 0))</f>
        <v>1</v>
      </c>
      <c r="CC43" s="47">
        <f t="array" ref="CC43">IF(AND(ISNUMBER(MATCH(CC$2, AsistenciaJetAdminConcatenada!$A:$A, 0)), ISNUMBER(MATCH(CC$1, AsistenciaJetAdminConcatenada!$B:$B, 0)), ISNUMBER(SEARCH($A43,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ISNUMBER(SEARCH($A43, INDEX(AsistenciaJetAdminConcatenada!$D:$D, MATCH(1, (AsistenciaJetAdminConcatenada!$A:$A=CC$2)*(AsistenciaJetAdminConcatenada!$B:$B=CC$1), 0)), 1))),  0.5, 0))</f>
        <v>1</v>
      </c>
      <c r="CD43" s="47">
        <f t="array" ref="CD43">IF(AND(ISNUMBER(MATCH(CD$2, AsistenciaJetAdminConcatenada!$A:$A, 0)), ISNUMBER(MATCH(CD$1, AsistenciaJetAdminConcatenada!$B:$B, 0)), ISNUMBER(SEARCH($A43,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ISNUMBER(SEARCH($A43, INDEX(AsistenciaJetAdminConcatenada!$D:$D, MATCH(1, (AsistenciaJetAdminConcatenada!$A:$A=CD$2)*(AsistenciaJetAdminConcatenada!$B:$B=CD$1), 0)), 1))),  0.5, 0))</f>
        <v>1</v>
      </c>
      <c r="CE43" s="47">
        <f t="array" ref="CE43">IF(AND(ISNUMBER(MATCH(CE$2, AsistenciaJetAdminConcatenada!$A:$A, 0)), ISNUMBER(MATCH(CE$1, AsistenciaJetAdminConcatenada!$B:$B, 0)), ISNUMBER(SEARCH($A43,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ISNUMBER(SEARCH($A43, INDEX(AsistenciaJetAdminConcatenada!$D:$D, MATCH(1, (AsistenciaJetAdminConcatenada!$A:$A=CE$2)*(AsistenciaJetAdminConcatenada!$B:$B=CE$1), 0)), 1))),  0.5, 0))</f>
        <v>0</v>
      </c>
      <c r="CF43" s="47">
        <f t="array" ref="CF43">IF(AND(ISNUMBER(MATCH(CF$2, AsistenciaJetAdminConcatenada!$A:$A, 0)), ISNUMBER(MATCH(CF$1, AsistenciaJetAdminConcatenada!$B:$B, 0)), ISNUMBER(SEARCH($A43,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ISNUMBER(SEARCH($A43, INDEX(AsistenciaJetAdminConcatenada!$D:$D, MATCH(1, (AsistenciaJetAdminConcatenada!$A:$A=CF$2)*(AsistenciaJetAdminConcatenada!$B:$B=CF$1), 0)), 1))),  0.5, 0))</f>
        <v>1</v>
      </c>
      <c r="CG43" s="47">
        <f t="array" ref="CG43">IF(AND(ISNUMBER(MATCH(CG$2, AsistenciaJetAdminConcatenada!$A:$A, 0)), ISNUMBER(MATCH(CG$1, AsistenciaJetAdminConcatenada!$B:$B, 0)), ISNUMBER(SEARCH($A43,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ISNUMBER(SEARCH($A43, INDEX(AsistenciaJetAdminConcatenada!$D:$D, MATCH(1, (AsistenciaJetAdminConcatenada!$A:$A=CG$2)*(AsistenciaJetAdminConcatenada!$B:$B=CG$1), 0)), 1))),  0.5, 0))</f>
        <v>1</v>
      </c>
      <c r="CH43" s="47">
        <f t="array" ref="CH43">IF(AND(ISNUMBER(MATCH(CH$2, AsistenciaJetAdminConcatenada!$A:$A, 0)), ISNUMBER(MATCH(CH$1, AsistenciaJetAdminConcatenada!$B:$B, 0)), ISNUMBER(SEARCH($A43,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ISNUMBER(SEARCH($A43, INDEX(AsistenciaJetAdminConcatenada!$D:$D, MATCH(1, (AsistenciaJetAdminConcatenada!$A:$A=CH$2)*(AsistenciaJetAdminConcatenada!$B:$B=CH$1), 0)), 1))),  0.5, 0))</f>
        <v>0</v>
      </c>
      <c r="CI43" s="47">
        <f t="array" ref="CI43">IF(AND(ISNUMBER(MATCH(CI$2, AsistenciaJetAdminConcatenada!$A:$A, 0)), ISNUMBER(MATCH(CI$1, AsistenciaJetAdminConcatenada!$B:$B, 0)), ISNUMBER(SEARCH($A43,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ISNUMBER(SEARCH($A43, INDEX(AsistenciaJetAdminConcatenada!$D:$D, MATCH(1, (AsistenciaJetAdminConcatenada!$A:$A=CI$2)*(AsistenciaJetAdminConcatenada!$B:$B=CI$1), 0)), 1))),  0.5, 0))</f>
        <v>1</v>
      </c>
      <c r="CJ43" s="47">
        <f t="array" ref="CJ43">IF(AND(ISNUMBER(MATCH(CJ$2, AsistenciaJetAdminConcatenada!$A:$A, 0)), ISNUMBER(MATCH(CJ$1, AsistenciaJetAdminConcatenada!$B:$B, 0)), ISNUMBER(SEARCH($A43,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ISNUMBER(SEARCH($A43, INDEX(AsistenciaJetAdminConcatenada!$D:$D, MATCH(1, (AsistenciaJetAdminConcatenada!$A:$A=CJ$2)*(AsistenciaJetAdminConcatenada!$B:$B=CJ$1), 0)), 1))),  0.5, 0))</f>
        <v>1</v>
      </c>
      <c r="CK43" s="47">
        <f t="array" ref="CK43">IF(AND(ISNUMBER(MATCH(CK$2, AsistenciaJetAdminConcatenada!$A:$A, 0)), ISNUMBER(MATCH(CK$1, AsistenciaJetAdminConcatenada!$B:$B, 0)), ISNUMBER(SEARCH($A43,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ISNUMBER(SEARCH($A43, INDEX(AsistenciaJetAdminConcatenada!$D:$D, MATCH(1, (AsistenciaJetAdminConcatenada!$A:$A=CK$2)*(AsistenciaJetAdminConcatenada!$B:$B=CK$1), 0)), 1))),  0.5, 0))</f>
        <v>1</v>
      </c>
      <c r="CL43" s="47">
        <f t="array" ref="CL43">IF(AND(ISNUMBER(MATCH(CL$2, AsistenciaJetAdminConcatenada!$A:$A, 0)), ISNUMBER(MATCH(CL$1, AsistenciaJetAdminConcatenada!$B:$B, 0)), ISNUMBER(SEARCH($A43,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ISNUMBER(SEARCH($A43, INDEX(AsistenciaJetAdminConcatenada!$D:$D, MATCH(1, (AsistenciaJetAdminConcatenada!$A:$A=CL$2)*(AsistenciaJetAdminConcatenada!$B:$B=CL$1), 0)), 1))),  0.5, 0))</f>
        <v>1</v>
      </c>
      <c r="CM43" s="47">
        <f t="array" ref="CM43">IF(AND(ISNUMBER(MATCH(CM$2, AsistenciaJetAdminConcatenada!$A:$A, 0)), ISNUMBER(MATCH(CM$1, AsistenciaJetAdminConcatenada!$B:$B, 0)), ISNUMBER(SEARCH($A43,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ISNUMBER(SEARCH($A43, INDEX(AsistenciaJetAdminConcatenada!$D:$D, MATCH(1, (AsistenciaJetAdminConcatenada!$A:$A=CM$2)*(AsistenciaJetAdminConcatenada!$B:$B=CM$1), 0)), 1))),  0.5, 0))</f>
        <v>1</v>
      </c>
      <c r="CN43" s="47">
        <f t="array" ref="CN43">IF(AND(ISNUMBER(MATCH(CN$2, AsistenciaJetAdminConcatenada!$A:$A, 0)), ISNUMBER(MATCH(CN$1, AsistenciaJetAdminConcatenada!$B:$B, 0)), ISNUMBER(SEARCH($A43,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ISNUMBER(SEARCH($A43, INDEX(AsistenciaJetAdminConcatenada!$D:$D, MATCH(1, (AsistenciaJetAdminConcatenada!$A:$A=CN$2)*(AsistenciaJetAdminConcatenada!$B:$B=CN$1), 0)), 1))),  0.5, 0))</f>
        <v>1</v>
      </c>
      <c r="CO43" s="47">
        <f t="array" ref="CO43">IF(AND(ISNUMBER(MATCH(CO$2, AsistenciaJetAdminConcatenada!$A:$A, 0)), ISNUMBER(MATCH(CO$1, AsistenciaJetAdminConcatenada!$B:$B, 0)), ISNUMBER(SEARCH($A43,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ISNUMBER(SEARCH($A43, INDEX(AsistenciaJetAdminConcatenada!$D:$D, MATCH(1, (AsistenciaJetAdminConcatenada!$A:$A=CO$2)*(AsistenciaJetAdminConcatenada!$B:$B=CO$1), 0)), 1))),  0.5, 0))</f>
        <v>1</v>
      </c>
      <c r="CP43" s="47">
        <f t="array" ref="CP43">IF(AND(ISNUMBER(MATCH(CP$2, AsistenciaJetAdminConcatenada!$A:$A, 0)), ISNUMBER(MATCH(CP$1, AsistenciaJetAdminConcatenada!$B:$B, 0)), ISNUMBER(SEARCH($A43,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ISNUMBER(SEARCH($A43, INDEX(AsistenciaJetAdminConcatenada!$D:$D, MATCH(1, (AsistenciaJetAdminConcatenada!$A:$A=CP$2)*(AsistenciaJetAdminConcatenada!$B:$B=CP$1), 0)), 1))),  0.5, 0))</f>
        <v>1</v>
      </c>
      <c r="CQ43" s="47">
        <f t="array" ref="CQ43">IF(AND(ISNUMBER(MATCH(CQ$2, AsistenciaJetAdminConcatenada!$A:$A, 0)), ISNUMBER(MATCH(CQ$1, AsistenciaJetAdminConcatenada!$B:$B, 0)), ISNUMBER(SEARCH($A43,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ISNUMBER(SEARCH($A43, INDEX(AsistenciaJetAdminConcatenada!$D:$D, MATCH(1, (AsistenciaJetAdminConcatenada!$A:$A=CQ$2)*(AsistenciaJetAdminConcatenada!$B:$B=CQ$1), 0)), 1))),  0.5, 0))</f>
        <v>1</v>
      </c>
      <c r="CR43" s="47">
        <f t="array" ref="CR43">IF(AND(ISNUMBER(MATCH(CR$2, AsistenciaJetAdminConcatenada!$A:$A, 0)), ISNUMBER(MATCH(CR$1, AsistenciaJetAdminConcatenada!$B:$B, 0)), ISNUMBER(SEARCH($A43,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ISNUMBER(SEARCH($A43, INDEX(AsistenciaJetAdminConcatenada!$D:$D, MATCH(1, (AsistenciaJetAdminConcatenada!$A:$A=CR$2)*(AsistenciaJetAdminConcatenada!$B:$B=CR$1), 0)), 1))),  0.5, 0))</f>
        <v>1</v>
      </c>
      <c r="CS43" s="47">
        <f t="array" ref="CS43">IF(AND(ISNUMBER(MATCH(CS$2, AsistenciaJetAdminConcatenada!$A:$A, 0)), ISNUMBER(MATCH(CS$1, AsistenciaJetAdminConcatenada!$B:$B, 0)), ISNUMBER(SEARCH($A43,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ISNUMBER(SEARCH($A43, INDEX(AsistenciaJetAdminConcatenada!$D:$D, MATCH(1, (AsistenciaJetAdminConcatenada!$A:$A=CS$2)*(AsistenciaJetAdminConcatenada!$B:$B=CS$1), 0)), 1))),  0.5, 0))</f>
        <v>0</v>
      </c>
      <c r="CT43" s="47">
        <f t="array" ref="CT43">IF(AND(ISNUMBER(MATCH(CT$2, AsistenciaJetAdminConcatenada!$A:$A, 0)), ISNUMBER(MATCH(CT$1, AsistenciaJetAdminConcatenada!$B:$B, 0)), ISNUMBER(SEARCH($A43,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ISNUMBER(SEARCH($A43, INDEX(AsistenciaJetAdminConcatenada!$D:$D, MATCH(1, (AsistenciaJetAdminConcatenada!$A:$A=CT$2)*(AsistenciaJetAdminConcatenada!$B:$B=CT$1), 0)), 1))),  0.5, 0))</f>
        <v>0</v>
      </c>
      <c r="CU43" s="47">
        <f t="array" ref="CU43">IF(AND(ISNUMBER(MATCH(CU$2, AsistenciaJetAdminConcatenada!$A:$A, 0)), ISNUMBER(MATCH(CU$1, AsistenciaJetAdminConcatenada!$B:$B, 0)), ISNUMBER(SEARCH($A43,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ISNUMBER(SEARCH($A43, INDEX(AsistenciaJetAdminConcatenada!$D:$D, MATCH(1, (AsistenciaJetAdminConcatenada!$A:$A=CU$2)*(AsistenciaJetAdminConcatenada!$B:$B=CU$1), 0)), 1))),  0.5, 0))</f>
        <v>0</v>
      </c>
      <c r="CV43" s="47">
        <f t="array" ref="CV43">IF(AND(ISNUMBER(MATCH(CV$2, AsistenciaJetAdminConcatenada!$A:$A, 0)), ISNUMBER(MATCH(CV$1, AsistenciaJetAdminConcatenada!$B:$B, 0)), ISNUMBER(SEARCH($A43,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ISNUMBER(SEARCH($A43, INDEX(AsistenciaJetAdminConcatenada!$D:$D, MATCH(1, (AsistenciaJetAdminConcatenada!$A:$A=CV$2)*(AsistenciaJetAdminConcatenada!$B:$B=CV$1), 0)), 1))),  0.5, 0))</f>
        <v>0</v>
      </c>
      <c r="CW43" s="47">
        <f t="array" ref="CW43">IF(AND(ISNUMBER(MATCH(CW$2, AsistenciaJetAdminConcatenada!$A:$A, 0)), ISNUMBER(MATCH(CW$1, AsistenciaJetAdminConcatenada!$B:$B, 0)), ISNUMBER(SEARCH($A43,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ISNUMBER(SEARCH($A43, INDEX(AsistenciaJetAdminConcatenada!$D:$D, MATCH(1, (AsistenciaJetAdminConcatenada!$A:$A=CW$2)*(AsistenciaJetAdminConcatenada!$B:$B=CW$1), 0)), 1))),  0.5, 0))</f>
        <v>0</v>
      </c>
      <c r="CX43" s="47">
        <f t="array" ref="CX43">IF(AND(ISNUMBER(MATCH(CX$2, AsistenciaJetAdminConcatenada!$A:$A, 0)), ISNUMBER(MATCH(CX$1, AsistenciaJetAdminConcatenada!$B:$B, 0)), ISNUMBER(SEARCH($A43,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ISNUMBER(SEARCH($A43, INDEX(AsistenciaJetAdminConcatenada!$D:$D, MATCH(1, (AsistenciaJetAdminConcatenada!$A:$A=CX$2)*(AsistenciaJetAdminConcatenada!$B:$B=CX$1), 0)), 1))),  0.5, 0))</f>
        <v>0</v>
      </c>
      <c r="CY43" s="47">
        <f t="array" ref="CY43">IF(AND(ISNUMBER(MATCH(CY$2, AsistenciaJetAdminConcatenada!$A:$A, 0)), ISNUMBER(MATCH(CY$1, AsistenciaJetAdminConcatenada!$B:$B, 0)), ISNUMBER(SEARCH($A43,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ISNUMBER(SEARCH($A43, INDEX(AsistenciaJetAdminConcatenada!$D:$D, MATCH(1, (AsistenciaJetAdminConcatenada!$A:$A=CY$2)*(AsistenciaJetAdminConcatenada!$B:$B=CY$1), 0)), 1))),  0.5, 0))</f>
        <v>0</v>
      </c>
      <c r="CZ43" s="47">
        <f t="array" ref="CZ43">IF(AND(ISNUMBER(MATCH(CZ$2, AsistenciaJetAdminConcatenada!$A:$A, 0)), ISNUMBER(MATCH(CZ$1, AsistenciaJetAdminConcatenada!$B:$B, 0)), ISNUMBER(SEARCH($A43,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ISNUMBER(SEARCH($A43, INDEX(AsistenciaJetAdminConcatenada!$D:$D, MATCH(1, (AsistenciaJetAdminConcatenada!$A:$A=CZ$2)*(AsistenciaJetAdminConcatenada!$B:$B=CZ$1), 0)), 1))),  0.5, 0))</f>
        <v>0</v>
      </c>
      <c r="DA43" s="47">
        <f t="array" ref="DA43">IF(AND(ISNUMBER(MATCH(DA$2, AsistenciaJetAdminConcatenada!$A:$A, 0)), ISNUMBER(MATCH(DA$1, AsistenciaJetAdminConcatenada!$B:$B, 0)), ISNUMBER(SEARCH($A43,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ISNUMBER(SEARCH($A43, INDEX(AsistenciaJetAdminConcatenada!$D:$D, MATCH(1, (AsistenciaJetAdminConcatenada!$A:$A=DA$2)*(AsistenciaJetAdminConcatenada!$B:$B=DA$1), 0)), 1))),  0.5, 0))</f>
        <v>0</v>
      </c>
      <c r="DB43" s="47">
        <f t="array" ref="DB43">IF(AND(ISNUMBER(MATCH(DB$2, AsistenciaJetAdminConcatenada!$A:$A, 0)), ISNUMBER(MATCH(DB$1, AsistenciaJetAdminConcatenada!$B:$B, 0)), ISNUMBER(SEARCH($A43,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ISNUMBER(SEARCH($A43, INDEX(AsistenciaJetAdminConcatenada!$D:$D, MATCH(1, (AsistenciaJetAdminConcatenada!$A:$A=DB$2)*(AsistenciaJetAdminConcatenada!$B:$B=DB$1), 0)), 1))),  0.5, 0))</f>
        <v>0</v>
      </c>
      <c r="DC43" s="47">
        <f t="array" ref="DC43">IF(AND(ISNUMBER(MATCH(DC$2, AsistenciaJetAdminConcatenada!$A:$A, 0)), ISNUMBER(MATCH(DC$1, AsistenciaJetAdminConcatenada!$B:$B, 0)), ISNUMBER(SEARCH($A43,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ISNUMBER(SEARCH($A43, INDEX(AsistenciaJetAdminConcatenada!$D:$D, MATCH(1, (AsistenciaJetAdminConcatenada!$A:$A=DC$2)*(AsistenciaJetAdminConcatenada!$B:$B=DC$1), 0)), 1))),  0.5, 0))</f>
        <v>0</v>
      </c>
      <c r="DD43" s="47">
        <f t="array" ref="DD43">IF(AND(ISNUMBER(MATCH(DD$2, AsistenciaJetAdminConcatenada!$A:$A, 0)), ISNUMBER(MATCH(DD$1, AsistenciaJetAdminConcatenada!$B:$B, 0)), ISNUMBER(SEARCH($A43,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ISNUMBER(SEARCH($A43, INDEX(AsistenciaJetAdminConcatenada!$D:$D, MATCH(1, (AsistenciaJetAdminConcatenada!$A:$A=DD$2)*(AsistenciaJetAdminConcatenada!$B:$B=DD$1), 0)), 1))),  0.5, 0))</f>
        <v>0</v>
      </c>
      <c r="DE43" s="47">
        <f t="array" ref="DE43">IF(AND(ISNUMBER(MATCH(DE$2, AsistenciaJetAdminConcatenada!$A:$A, 0)), ISNUMBER(MATCH(DE$1, AsistenciaJetAdminConcatenada!$B:$B, 0)), ISNUMBER(SEARCH($A43,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ISNUMBER(SEARCH($A43, INDEX(AsistenciaJetAdminConcatenada!$D:$D, MATCH(1, (AsistenciaJetAdminConcatenada!$A:$A=DE$2)*(AsistenciaJetAdminConcatenada!$B:$B=DE$1), 0)), 1))),  0.5, 0))</f>
        <v>0</v>
      </c>
      <c r="DF43" s="47">
        <f t="array" ref="DF43">IF(AND(ISNUMBER(MATCH(DF$2, AsistenciaJetAdminConcatenada!$A:$A, 0)), ISNUMBER(MATCH(DF$1, AsistenciaJetAdminConcatenada!$B:$B, 0)), ISNUMBER(SEARCH($A43,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ISNUMBER(SEARCH($A43, INDEX(AsistenciaJetAdminConcatenada!$D:$D, MATCH(1, (AsistenciaJetAdminConcatenada!$A:$A=DF$2)*(AsistenciaJetAdminConcatenada!$B:$B=DF$1), 0)), 1))),  0.5, 0))</f>
        <v>0</v>
      </c>
      <c r="DG43" s="47">
        <f t="array" ref="DG43">IF(AND(ISNUMBER(MATCH(DG$2, AsistenciaJetAdminConcatenada!$A:$A, 0)), ISNUMBER(MATCH(DG$1, AsistenciaJetAdminConcatenada!$B:$B, 0)), ISNUMBER(SEARCH($A43,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ISNUMBER(SEARCH($A43, INDEX(AsistenciaJetAdminConcatenada!$D:$D, MATCH(1, (AsistenciaJetAdminConcatenada!$A:$A=DG$2)*(AsistenciaJetAdminConcatenada!$B:$B=DG$1), 0)), 1))),  0.5, 0))</f>
        <v>0</v>
      </c>
      <c r="DH43" s="47">
        <f t="array" ref="DH43">IF(AND(ISNUMBER(MATCH(DH$2, AsistenciaJetAdminConcatenada!$A:$A, 0)), ISNUMBER(MATCH(DH$1, AsistenciaJetAdminConcatenada!$B:$B, 0)), ISNUMBER(SEARCH($A43,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ISNUMBER(SEARCH($A43, INDEX(AsistenciaJetAdminConcatenada!$D:$D, MATCH(1, (AsistenciaJetAdminConcatenada!$A:$A=DH$2)*(AsistenciaJetAdminConcatenada!$B:$B=DH$1), 0)), 1))),  0.5, 0))</f>
        <v>0</v>
      </c>
      <c r="DI43" s="47">
        <f t="array" ref="DI43">IF(AND(ISNUMBER(MATCH(DI$2, AsistenciaJetAdminConcatenada!$A:$A, 0)), ISNUMBER(MATCH(DI$1, AsistenciaJetAdminConcatenada!$B:$B, 0)), ISNUMBER(SEARCH($A43,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ISNUMBER(SEARCH($A43, INDEX(AsistenciaJetAdminConcatenada!$D:$D, MATCH(1, (AsistenciaJetAdminConcatenada!$A:$A=DI$2)*(AsistenciaJetAdminConcatenada!$B:$B=DI$1), 0)), 1))),  0.5, 0))</f>
        <v>0</v>
      </c>
      <c r="DJ43" s="47">
        <f t="array" ref="DJ43">IF(AND(ISNUMBER(MATCH(DJ$2, AsistenciaJetAdminConcatenada!$A:$A, 0)), ISNUMBER(MATCH(DJ$1, AsistenciaJetAdminConcatenada!$B:$B, 0)), ISNUMBER(SEARCH($A43,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ISNUMBER(SEARCH($A43, INDEX(AsistenciaJetAdminConcatenada!$D:$D, MATCH(1, (AsistenciaJetAdminConcatenada!$A:$A=DJ$2)*(AsistenciaJetAdminConcatenada!$B:$B=DJ$1), 0)), 1))),  0.5, 0))</f>
        <v>0</v>
      </c>
      <c r="DK43" s="47">
        <f t="array" ref="DK43">IF(AND(ISNUMBER(MATCH(DK$2, AsistenciaJetAdminConcatenada!$A:$A, 0)), ISNUMBER(MATCH(DK$1, AsistenciaJetAdminConcatenada!$B:$B, 0)), ISNUMBER(SEARCH($A43,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ISNUMBER(SEARCH($A43, INDEX(AsistenciaJetAdminConcatenada!$D:$D, MATCH(1, (AsistenciaJetAdminConcatenada!$A:$A=DK$2)*(AsistenciaJetAdminConcatenada!$B:$B=DK$1), 0)), 1))),  0.5, 0))</f>
        <v>0</v>
      </c>
      <c r="DL43" s="47">
        <f t="array" ref="DL43">IF(AND(ISNUMBER(MATCH(DL$2, AsistenciaJetAdminConcatenada!$A:$A, 0)), ISNUMBER(MATCH(DL$1, AsistenciaJetAdminConcatenada!$B:$B, 0)), ISNUMBER(SEARCH($A43,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ISNUMBER(SEARCH($A43, INDEX(AsistenciaJetAdminConcatenada!$D:$D, MATCH(1, (AsistenciaJetAdminConcatenada!$A:$A=DL$2)*(AsistenciaJetAdminConcatenada!$B:$B=DL$1), 0)), 1))),  0.5, 0))</f>
        <v>0</v>
      </c>
      <c r="DM43" s="47">
        <f t="array" ref="DM43">IF(AND(ISNUMBER(MATCH(DM$2, AsistenciaJetAdminConcatenada!$A:$A, 0)), ISNUMBER(MATCH(DM$1, AsistenciaJetAdminConcatenada!$B:$B, 0)), ISNUMBER(SEARCH($A43,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ISNUMBER(SEARCH($A43, INDEX(AsistenciaJetAdminConcatenada!$D:$D, MATCH(1, (AsistenciaJetAdminConcatenada!$A:$A=DM$2)*(AsistenciaJetAdminConcatenada!$B:$B=DM$1), 0)), 1))),  0.5, 0))</f>
        <v>0</v>
      </c>
      <c r="DN43" s="47">
        <f t="array" ref="DN43">IF(AND(ISNUMBER(MATCH(DN$2, AsistenciaJetAdminConcatenada!$A:$A, 0)), ISNUMBER(MATCH(DN$1, AsistenciaJetAdminConcatenada!$B:$B, 0)), ISNUMBER(SEARCH($A43,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ISNUMBER(SEARCH($A43, INDEX(AsistenciaJetAdminConcatenada!$D:$D, MATCH(1, (AsistenciaJetAdminConcatenada!$A:$A=DN$2)*(AsistenciaJetAdminConcatenada!$B:$B=DN$1), 0)), 1))),  0.5, 0))</f>
        <v>0</v>
      </c>
      <c r="DO43" s="47">
        <f t="array" ref="DO43">IF(AND(ISNUMBER(MATCH(DO$2, AsistenciaJetAdminConcatenada!$A:$A, 0)), ISNUMBER(MATCH(DO$1, AsistenciaJetAdminConcatenada!$B:$B, 0)), ISNUMBER(SEARCH($A43,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ISNUMBER(SEARCH($A43, INDEX(AsistenciaJetAdminConcatenada!$D:$D, MATCH(1, (AsistenciaJetAdminConcatenada!$A:$A=DO$2)*(AsistenciaJetAdminConcatenada!$B:$B=DO$1), 0)), 1))),  0.5, 0))</f>
        <v>0</v>
      </c>
      <c r="DP43" s="47">
        <f t="array" ref="DP43">IF(AND(ISNUMBER(MATCH(DP$2, AsistenciaJetAdminConcatenada!$A:$A, 0)), ISNUMBER(MATCH(DP$1, AsistenciaJetAdminConcatenada!$B:$B, 0)), ISNUMBER(SEARCH($A43,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ISNUMBER(SEARCH($A43, INDEX(AsistenciaJetAdminConcatenada!$D:$D, MATCH(1, (AsistenciaJetAdminConcatenada!$A:$A=DP$2)*(AsistenciaJetAdminConcatenada!$B:$B=DP$1), 0)), 1))),  0.5, 0))</f>
        <v>0</v>
      </c>
      <c r="DQ43" s="47">
        <f t="array" ref="DQ43">IF(AND(ISNUMBER(MATCH(DQ$2, AsistenciaJetAdminConcatenada!$A:$A, 0)), ISNUMBER(MATCH(DQ$1, AsistenciaJetAdminConcatenada!$B:$B, 0)), ISNUMBER(SEARCH($A43,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ISNUMBER(SEARCH($A43, INDEX(AsistenciaJetAdminConcatenada!$D:$D, MATCH(1, (AsistenciaJetAdminConcatenada!$A:$A=DQ$2)*(AsistenciaJetAdminConcatenada!$B:$B=DQ$1), 0)), 1))),  0.5, 0))</f>
        <v>0</v>
      </c>
      <c r="DR43" s="47">
        <f t="array" ref="DR43">IF(AND(ISNUMBER(MATCH(DR$2, AsistenciaJetAdminConcatenada!$A:$A, 0)), ISNUMBER(MATCH(DR$1, AsistenciaJetAdminConcatenada!$B:$B, 0)), ISNUMBER(SEARCH($A43,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ISNUMBER(SEARCH($A43, INDEX(AsistenciaJetAdminConcatenada!$D:$D, MATCH(1, (AsistenciaJetAdminConcatenada!$A:$A=DR$2)*(AsistenciaJetAdminConcatenada!$B:$B=DR$1), 0)), 1))),  0.5, 0))</f>
        <v>0</v>
      </c>
      <c r="DS43" s="47">
        <f t="array" ref="DS43">IF(AND(ISNUMBER(MATCH(DS$2, AsistenciaJetAdminConcatenada!$A:$A, 0)), ISNUMBER(MATCH(DS$1, AsistenciaJetAdminConcatenada!$B:$B, 0)), ISNUMBER(SEARCH($A43,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ISNUMBER(SEARCH($A43, INDEX(AsistenciaJetAdminConcatenada!$D:$D, MATCH(1, (AsistenciaJetAdminConcatenada!$A:$A=DS$2)*(AsistenciaJetAdminConcatenada!$B:$B=DS$1), 0)), 1))),  0.5, 0))</f>
        <v>0</v>
      </c>
      <c r="DT43" s="47">
        <f t="array" ref="DT43">IF(AND(ISNUMBER(MATCH(DT$2, AsistenciaJetAdminConcatenada!$A:$A, 0)), ISNUMBER(MATCH(DT$1, AsistenciaJetAdminConcatenada!$B:$B, 0)), ISNUMBER(SEARCH($A43,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ISNUMBER(SEARCH($A43, INDEX(AsistenciaJetAdminConcatenada!$D:$D, MATCH(1, (AsistenciaJetAdminConcatenada!$A:$A=DT$2)*(AsistenciaJetAdminConcatenada!$B:$B=DT$1), 0)), 1))),  0.5, 0))</f>
        <v>0</v>
      </c>
      <c r="DU43" s="47">
        <f t="array" ref="DU43">IF(AND(ISNUMBER(MATCH(DU$2, AsistenciaJetAdminConcatenada!$A:$A, 0)), ISNUMBER(MATCH(DU$1, AsistenciaJetAdminConcatenada!$B:$B, 0)), ISNUMBER(SEARCH($A43,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ISNUMBER(SEARCH($A43, INDEX(AsistenciaJetAdminConcatenada!$D:$D, MATCH(1, (AsistenciaJetAdminConcatenada!$A:$A=DU$2)*(AsistenciaJetAdminConcatenada!$B:$B=DU$1), 0)), 1))),  0.5, 0))</f>
        <v>0</v>
      </c>
      <c r="DV43" s="47">
        <f t="array" ref="DV43">IF(AND(ISNUMBER(MATCH(DV$2, AsistenciaJetAdminConcatenada!$A:$A, 0)), ISNUMBER(MATCH(DV$1, AsistenciaJetAdminConcatenada!$B:$B, 0)), ISNUMBER(SEARCH($A43,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ISNUMBER(SEARCH($A43, INDEX(AsistenciaJetAdminConcatenada!$D:$D, MATCH(1, (AsistenciaJetAdminConcatenada!$A:$A=DV$2)*(AsistenciaJetAdminConcatenada!$B:$B=DV$1), 0)), 1))),  0.5, 0))</f>
        <v>0</v>
      </c>
      <c r="DW43" s="47">
        <f t="array" ref="DW43">IF(AND(ISNUMBER(MATCH(DW$2, AsistenciaJetAdminConcatenada!$A:$A, 0)), ISNUMBER(MATCH(DW$1, AsistenciaJetAdminConcatenada!$B:$B, 0)), ISNUMBER(SEARCH($A43,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ISNUMBER(SEARCH($A43, INDEX(AsistenciaJetAdminConcatenada!$D:$D, MATCH(1, (AsistenciaJetAdminConcatenada!$A:$A=DW$2)*(AsistenciaJetAdminConcatenada!$B:$B=DW$1), 0)), 1))),  0.5, 0))</f>
        <v>0</v>
      </c>
      <c r="DX43" s="47">
        <f t="array" ref="DX43">IF(AND(ISNUMBER(MATCH(DX$2, AsistenciaJetAdminConcatenada!$A:$A, 0)), ISNUMBER(MATCH(DX$1, AsistenciaJetAdminConcatenada!$B:$B, 0)), ISNUMBER(SEARCH($A43,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ISNUMBER(SEARCH($A43, INDEX(AsistenciaJetAdminConcatenada!$D:$D, MATCH(1, (AsistenciaJetAdminConcatenada!$A:$A=DX$2)*(AsistenciaJetAdminConcatenada!$B:$B=DX$1), 0)), 1))),  0.5, 0))</f>
        <v>0</v>
      </c>
      <c r="DY43" s="47">
        <f t="array" ref="DY43">IF(AND(ISNUMBER(MATCH(DY$2, AsistenciaJetAdminConcatenada!$A:$A, 0)), ISNUMBER(MATCH(DY$1, AsistenciaJetAdminConcatenada!$B:$B, 0)), ISNUMBER(SEARCH($A43,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ISNUMBER(SEARCH($A43, INDEX(AsistenciaJetAdminConcatenada!$D:$D, MATCH(1, (AsistenciaJetAdminConcatenada!$A:$A=DY$2)*(AsistenciaJetAdminConcatenada!$B:$B=DY$1), 0)), 1))),  0.5, 0))</f>
        <v>0</v>
      </c>
      <c r="DZ43" s="47">
        <f t="array" ref="DZ43">IF(AND(ISNUMBER(MATCH(DZ$2, AsistenciaJetAdminConcatenada!$A:$A, 0)), ISNUMBER(MATCH(DZ$1, AsistenciaJetAdminConcatenada!$B:$B, 0)), ISNUMBER(SEARCH($A43,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ISNUMBER(SEARCH($A43, INDEX(AsistenciaJetAdminConcatenada!$D:$D, MATCH(1, (AsistenciaJetAdminConcatenada!$A:$A=DZ$2)*(AsistenciaJetAdminConcatenada!$B:$B=DZ$1), 0)), 1))),  0.5, 0))</f>
        <v>0</v>
      </c>
      <c r="EA43" s="47">
        <f t="array" ref="EA43">IF(AND(ISNUMBER(MATCH(EA$2, AsistenciaJetAdminConcatenada!$A:$A, 0)), ISNUMBER(MATCH(EA$1, AsistenciaJetAdminConcatenada!$B:$B, 0)), ISNUMBER(SEARCH($A43,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ISNUMBER(SEARCH($A43, INDEX(AsistenciaJetAdminConcatenada!$D:$D, MATCH(1, (AsistenciaJetAdminConcatenada!$A:$A=EA$2)*(AsistenciaJetAdminConcatenada!$B:$B=EA$1), 0)), 1))),  0.5, 0))</f>
        <v>0</v>
      </c>
      <c r="EB43" s="47">
        <f t="array" ref="EB43">IF(AND(ISNUMBER(MATCH(EB$2, AsistenciaJetAdminConcatenada!$A:$A, 0)), ISNUMBER(MATCH(EB$1, AsistenciaJetAdminConcatenada!$B:$B, 0)), ISNUMBER(SEARCH($A43,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ISNUMBER(SEARCH($A43, INDEX(AsistenciaJetAdminConcatenada!$D:$D, MATCH(1, (AsistenciaJetAdminConcatenada!$A:$A=EB$2)*(AsistenciaJetAdminConcatenada!$B:$B=EB$1), 0)), 1))),  0.5, 0))</f>
        <v>0</v>
      </c>
      <c r="EC43" s="47">
        <f t="array" ref="EC43">IF(AND(ISNUMBER(MATCH(EC$2, AsistenciaJetAdminConcatenada!$A:$A, 0)), ISNUMBER(MATCH(EC$1, AsistenciaJetAdminConcatenada!$B:$B, 0)), ISNUMBER(SEARCH($A43,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ISNUMBER(SEARCH($A43, INDEX(AsistenciaJetAdminConcatenada!$D:$D, MATCH(1, (AsistenciaJetAdminConcatenada!$A:$A=EC$2)*(AsistenciaJetAdminConcatenada!$B:$B=EC$1), 0)), 1))),  0.5, 0))</f>
        <v>0</v>
      </c>
      <c r="ED43" s="47">
        <f t="array" ref="ED43">IF(AND(ISNUMBER(MATCH(ED$2, AsistenciaJetAdminConcatenada!$A:$A, 0)), ISNUMBER(MATCH(ED$1, AsistenciaJetAdminConcatenada!$B:$B, 0)), ISNUMBER(SEARCH($A43,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ISNUMBER(SEARCH($A43, INDEX(AsistenciaJetAdminConcatenada!$D:$D, MATCH(1, (AsistenciaJetAdminConcatenada!$A:$A=ED$2)*(AsistenciaJetAdminConcatenada!$B:$B=ED$1), 0)), 1))),  0.5, 0))</f>
        <v>0</v>
      </c>
      <c r="EE43" s="47">
        <f t="array" ref="EE43">IF(AND(ISNUMBER(MATCH(EE$2, AsistenciaJetAdminConcatenada!$A:$A, 0)), ISNUMBER(MATCH(EE$1, AsistenciaJetAdminConcatenada!$B:$B, 0)), ISNUMBER(SEARCH($A43,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ISNUMBER(SEARCH($A43, INDEX(AsistenciaJetAdminConcatenada!$D:$D, MATCH(1, (AsistenciaJetAdminConcatenada!$A:$A=EE$2)*(AsistenciaJetAdminConcatenada!$B:$B=EE$1), 0)), 1))),  0.5, 0))</f>
        <v>0</v>
      </c>
      <c r="EF43" s="47">
        <f t="array" ref="EF43">IF(AND(ISNUMBER(MATCH(EF$2, AsistenciaJetAdminConcatenada!$A:$A, 0)), ISNUMBER(MATCH(EF$1, AsistenciaJetAdminConcatenada!$B:$B, 0)), ISNUMBER(SEARCH($A43,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ISNUMBER(SEARCH($A43, INDEX(AsistenciaJetAdminConcatenada!$D:$D, MATCH(1, (AsistenciaJetAdminConcatenada!$A:$A=EF$2)*(AsistenciaJetAdminConcatenada!$B:$B=EF$1), 0)), 1))),  0.5, 0))</f>
        <v>0</v>
      </c>
      <c r="EG43" s="47">
        <f t="array" ref="EG43">IF(AND(ISNUMBER(MATCH(EG$2, AsistenciaJetAdminConcatenada!$A:$A, 0)), ISNUMBER(MATCH(EG$1, AsistenciaJetAdminConcatenada!$B:$B, 0)), ISNUMBER(SEARCH($A43,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ISNUMBER(SEARCH($A43, INDEX(AsistenciaJetAdminConcatenada!$D:$D, MATCH(1, (AsistenciaJetAdminConcatenada!$A:$A=EG$2)*(AsistenciaJetAdminConcatenada!$B:$B=EG$1), 0)), 1))),  0.5, 0))</f>
        <v>0</v>
      </c>
      <c r="EH43" s="47">
        <f t="array" ref="EH43">IF(AND(ISNUMBER(MATCH(EH$2, AsistenciaJetAdminConcatenada!$A:$A, 0)), ISNUMBER(MATCH(EH$1, AsistenciaJetAdminConcatenada!$B:$B, 0)), ISNUMBER(SEARCH($A43,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ISNUMBER(SEARCH($A43, INDEX(AsistenciaJetAdminConcatenada!$D:$D, MATCH(1, (AsistenciaJetAdminConcatenada!$A:$A=EH$2)*(AsistenciaJetAdminConcatenada!$B:$B=EH$1), 0)), 1))),  0.5, 0))</f>
        <v>0</v>
      </c>
      <c r="EI43" s="47">
        <f t="array" ref="EI43">IF(AND(ISNUMBER(MATCH(EI$2, AsistenciaJetAdminConcatenada!$A:$A, 0)), ISNUMBER(MATCH(EI$1, AsistenciaJetAdminConcatenada!$B:$B, 0)), ISNUMBER(SEARCH($A43,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ISNUMBER(SEARCH($A43, INDEX(AsistenciaJetAdminConcatenada!$D:$D, MATCH(1, (AsistenciaJetAdminConcatenada!$A:$A=EI$2)*(AsistenciaJetAdminConcatenada!$B:$B=EI$1), 0)), 1))),  0.5, 0))</f>
        <v>0</v>
      </c>
      <c r="EJ43" s="47">
        <f t="array" ref="EJ43">IF(AND(ISNUMBER(MATCH(EJ$2, AsistenciaJetAdminConcatenada!$A:$A, 0)), ISNUMBER(MATCH(EJ$1, AsistenciaJetAdminConcatenada!$B:$B, 0)), ISNUMBER(SEARCH($A43,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ISNUMBER(SEARCH($A43, INDEX(AsistenciaJetAdminConcatenada!$D:$D, MATCH(1, (AsistenciaJetAdminConcatenada!$A:$A=EJ$2)*(AsistenciaJetAdminConcatenada!$B:$B=EJ$1), 0)), 1))),  0.5, 0))</f>
        <v>0</v>
      </c>
      <c r="EK43" s="47">
        <f t="array" ref="EK43">IF(AND(ISNUMBER(MATCH(EK$2, AsistenciaJetAdminConcatenada!$A:$A, 0)), ISNUMBER(MATCH(EK$1, AsistenciaJetAdminConcatenada!$B:$B, 0)), ISNUMBER(SEARCH($A43,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ISNUMBER(SEARCH($A43, INDEX(AsistenciaJetAdminConcatenada!$D:$D, MATCH(1, (AsistenciaJetAdminConcatenada!$A:$A=EK$2)*(AsistenciaJetAdminConcatenada!$B:$B=EK$1), 0)), 1))),  0.5, 0))</f>
        <v>0</v>
      </c>
      <c r="EL43" s="47">
        <f t="array" ref="EL43">IF(AND(ISNUMBER(MATCH(EL$2, AsistenciaJetAdminConcatenada!$A:$A, 0)), ISNUMBER(MATCH(EL$1, AsistenciaJetAdminConcatenada!$B:$B, 0)), ISNUMBER(SEARCH($A43,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ISNUMBER(SEARCH($A43, INDEX(AsistenciaJetAdminConcatenada!$D:$D, MATCH(1, (AsistenciaJetAdminConcatenada!$A:$A=EL$2)*(AsistenciaJetAdminConcatenada!$B:$B=EL$1), 0)), 1))),  0.5, 0))</f>
        <v>0</v>
      </c>
      <c r="EM43" s="47">
        <f t="array" ref="EM43">IF(AND(ISNUMBER(MATCH(EM$2, AsistenciaJetAdminConcatenada!$A:$A, 0)), ISNUMBER(MATCH(EM$1, AsistenciaJetAdminConcatenada!$B:$B, 0)), ISNUMBER(SEARCH($A43,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ISNUMBER(SEARCH($A43, INDEX(AsistenciaJetAdminConcatenada!$D:$D, MATCH(1, (AsistenciaJetAdminConcatenada!$A:$A=EM$2)*(AsistenciaJetAdminConcatenada!$B:$B=EM$1), 0)), 1))),  0.5, 0))</f>
        <v>0</v>
      </c>
      <c r="EN43" s="47">
        <f t="array" ref="EN43">IF(AND(ISNUMBER(MATCH(EN$2, AsistenciaJetAdminConcatenada!$A:$A, 0)), ISNUMBER(MATCH(EN$1, AsistenciaJetAdminConcatenada!$B:$B, 0)), ISNUMBER(SEARCH($A43,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ISNUMBER(SEARCH($A43, INDEX(AsistenciaJetAdminConcatenada!$D:$D, MATCH(1, (AsistenciaJetAdminConcatenada!$A:$A=EN$2)*(AsistenciaJetAdminConcatenada!$B:$B=EN$1), 0)), 1))),  0.5, 0))</f>
        <v>0</v>
      </c>
      <c r="EO43" s="47">
        <f t="array" ref="EO43">IF(AND(ISNUMBER(MATCH(EO$2, AsistenciaJetAdminConcatenada!$A:$A, 0)), ISNUMBER(MATCH(EO$1, AsistenciaJetAdminConcatenada!$B:$B, 0)), ISNUMBER(SEARCH($A43,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ISNUMBER(SEARCH($A43, INDEX(AsistenciaJetAdminConcatenada!$D:$D, MATCH(1, (AsistenciaJetAdminConcatenada!$A:$A=EO$2)*(AsistenciaJetAdminConcatenada!$B:$B=EO$1), 0)), 1))),  0.5, 0))</f>
        <v>0</v>
      </c>
      <c r="EP43" s="47">
        <f t="array" ref="EP43">IF(AND(ISNUMBER(MATCH(EP$2, AsistenciaJetAdminConcatenada!$A:$A, 0)), ISNUMBER(MATCH(EP$1, AsistenciaJetAdminConcatenada!$B:$B, 0)), ISNUMBER(SEARCH($A43,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ISNUMBER(SEARCH($A43, INDEX(AsistenciaJetAdminConcatenada!$D:$D, MATCH(1, (AsistenciaJetAdminConcatenada!$A:$A=EP$2)*(AsistenciaJetAdminConcatenada!$B:$B=EP$1), 0)), 1))),  0.5, 0))</f>
        <v>0</v>
      </c>
      <c r="EQ43" s="47">
        <f t="array" ref="EQ43">IF(AND(ISNUMBER(MATCH(EQ$2, AsistenciaJetAdminConcatenada!$A:$A, 0)), ISNUMBER(MATCH(EQ$1, AsistenciaJetAdminConcatenada!$B:$B, 0)), ISNUMBER(SEARCH($A43,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ISNUMBER(SEARCH($A43, INDEX(AsistenciaJetAdminConcatenada!$D:$D, MATCH(1, (AsistenciaJetAdminConcatenada!$A:$A=EQ$2)*(AsistenciaJetAdminConcatenada!$B:$B=EQ$1), 0)), 1))),  0.5, 0))</f>
        <v>0</v>
      </c>
      <c r="ER43" s="47">
        <f t="array" ref="ER43">IF(AND(ISNUMBER(MATCH(ER$2, AsistenciaJetAdminConcatenada!$A:$A, 0)), ISNUMBER(MATCH(ER$1, AsistenciaJetAdminConcatenada!$B:$B, 0)), ISNUMBER(SEARCH($A43,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ISNUMBER(SEARCH($A43, INDEX(AsistenciaJetAdminConcatenada!$D:$D, MATCH(1, (AsistenciaJetAdminConcatenada!$A:$A=ER$2)*(AsistenciaJetAdminConcatenada!$B:$B=ER$1), 0)), 1))),  0.5, 0))</f>
        <v>0</v>
      </c>
      <c r="ES43" s="47">
        <f t="array" ref="ES43">IF(AND(ISNUMBER(MATCH(ES$2, AsistenciaJetAdminConcatenada!$A:$A, 0)), ISNUMBER(MATCH(ES$1, AsistenciaJetAdminConcatenada!$B:$B, 0)), ISNUMBER(SEARCH($A43,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ISNUMBER(SEARCH($A43, INDEX(AsistenciaJetAdminConcatenada!$D:$D, MATCH(1, (AsistenciaJetAdminConcatenada!$A:$A=ES$2)*(AsistenciaJetAdminConcatenada!$B:$B=ES$1), 0)), 1))),  0.5, 0))</f>
        <v>0</v>
      </c>
      <c r="ET43" s="47">
        <f t="array" ref="ET43">IF(AND(ISNUMBER(MATCH(ET$2, AsistenciaJetAdminConcatenada!$A:$A, 0)), ISNUMBER(MATCH(ET$1, AsistenciaJetAdminConcatenada!$B:$B, 0)), ISNUMBER(SEARCH($A43,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ISNUMBER(SEARCH($A43, INDEX(AsistenciaJetAdminConcatenada!$D:$D, MATCH(1, (AsistenciaJetAdminConcatenada!$A:$A=ET$2)*(AsistenciaJetAdminConcatenada!$B:$B=ET$1), 0)), 1))),  0.5, 0))</f>
        <v>0</v>
      </c>
      <c r="EU43" s="47">
        <f t="array" ref="EU43">IF(AND(ISNUMBER(MATCH(EU$2, AsistenciaJetAdminConcatenada!$A:$A, 0)), ISNUMBER(MATCH(EU$1, AsistenciaJetAdminConcatenada!$B:$B, 0)), ISNUMBER(SEARCH($A43,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ISNUMBER(SEARCH($A43, INDEX(AsistenciaJetAdminConcatenada!$D:$D, MATCH(1, (AsistenciaJetAdminConcatenada!$A:$A=EU$2)*(AsistenciaJetAdminConcatenada!$B:$B=EU$1), 0)), 1))),  0.5, 0))</f>
        <v>0</v>
      </c>
      <c r="EV43" s="47">
        <f t="array" ref="EV43">IF(AND(ISNUMBER(MATCH(EV$2, AsistenciaJetAdminConcatenada!$A:$A, 0)), ISNUMBER(MATCH(EV$1, AsistenciaJetAdminConcatenada!$B:$B, 0)), ISNUMBER(SEARCH($A43,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ISNUMBER(SEARCH($A43, INDEX(AsistenciaJetAdminConcatenada!$D:$D, MATCH(1, (AsistenciaJetAdminConcatenada!$A:$A=EV$2)*(AsistenciaJetAdminConcatenada!$B:$B=EV$1), 0)), 1))),  0.5, 0))</f>
        <v>0</v>
      </c>
      <c r="EW43" s="47">
        <f t="array" ref="EW43">IF(AND(ISNUMBER(MATCH(EW$2, AsistenciaJetAdminConcatenada!$A:$A, 0)), ISNUMBER(MATCH(EW$1, AsistenciaJetAdminConcatenada!$B:$B, 0)), ISNUMBER(SEARCH($A43,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ISNUMBER(SEARCH($A43, INDEX(AsistenciaJetAdminConcatenada!$D:$D, MATCH(1, (AsistenciaJetAdminConcatenada!$A:$A=EW$2)*(AsistenciaJetAdminConcatenada!$B:$B=EW$1), 0)), 1))),  0.5, 0))</f>
        <v>0</v>
      </c>
      <c r="EX43" s="47">
        <f t="array" ref="EX43">IF(AND(ISNUMBER(MATCH(EX$2, AsistenciaJetAdminConcatenada!$A:$A, 0)), ISNUMBER(MATCH(EX$1, AsistenciaJetAdminConcatenada!$B:$B, 0)), ISNUMBER(SEARCH($A43,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ISNUMBER(SEARCH($A43, INDEX(AsistenciaJetAdminConcatenada!$D:$D, MATCH(1, (AsistenciaJetAdminConcatenada!$A:$A=EX$2)*(AsistenciaJetAdminConcatenada!$B:$B=EX$1), 0)), 1))),  0.5, 0))</f>
        <v>0</v>
      </c>
      <c r="EY43" s="47">
        <f t="array" ref="EY43">IF(AND(ISNUMBER(MATCH(EY$2, AsistenciaJetAdminConcatenada!$A:$A, 0)), ISNUMBER(MATCH(EY$1, AsistenciaJetAdminConcatenada!$B:$B, 0)), ISNUMBER(SEARCH($A43,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ISNUMBER(SEARCH($A43, INDEX(AsistenciaJetAdminConcatenada!$D:$D, MATCH(1, (AsistenciaJetAdminConcatenada!$A:$A=EY$2)*(AsistenciaJetAdminConcatenada!$B:$B=EY$1), 0)), 1))),  0.5, 0))</f>
        <v>0</v>
      </c>
      <c r="EZ43" s="47">
        <f t="array" ref="EZ43">IF(AND(ISNUMBER(MATCH(EZ$2, AsistenciaJetAdminConcatenada!$A:$A, 0)), ISNUMBER(MATCH(EZ$1, AsistenciaJetAdminConcatenada!$B:$B, 0)), ISNUMBER(SEARCH($A43,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ISNUMBER(SEARCH($A43, INDEX(AsistenciaJetAdminConcatenada!$D:$D, MATCH(1, (AsistenciaJetAdminConcatenada!$A:$A=EZ$2)*(AsistenciaJetAdminConcatenada!$B:$B=EZ$1), 0)), 1))),  0.5, 0))</f>
        <v>0</v>
      </c>
      <c r="FA43" s="47">
        <f t="array" ref="FA43">IF(AND(ISNUMBER(MATCH(FA$2, AsistenciaJetAdminConcatenada!$A:$A, 0)), ISNUMBER(MATCH(FA$1, AsistenciaJetAdminConcatenada!$B:$B, 0)), ISNUMBER(SEARCH($A43,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ISNUMBER(SEARCH($A43, INDEX(AsistenciaJetAdminConcatenada!$D:$D, MATCH(1, (AsistenciaJetAdminConcatenada!$A:$A=FA$2)*(AsistenciaJetAdminConcatenada!$B:$B=FA$1), 0)), 1))),  0.5, 0))</f>
        <v>0</v>
      </c>
      <c r="FB43" s="47">
        <f t="array" ref="FB43">IF(AND(ISNUMBER(MATCH(FB$2, AsistenciaJetAdminConcatenada!$A:$A, 0)), ISNUMBER(MATCH(FB$1, AsistenciaJetAdminConcatenada!$B:$B, 0)), ISNUMBER(SEARCH($A43,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ISNUMBER(SEARCH($A43, INDEX(AsistenciaJetAdminConcatenada!$D:$D, MATCH(1, (AsistenciaJetAdminConcatenada!$A:$A=FB$2)*(AsistenciaJetAdminConcatenada!$B:$B=FB$1), 0)), 1))),  0.5, 0))</f>
        <v>0</v>
      </c>
      <c r="FC43" s="47">
        <f t="array" ref="FC43">IF(AND(ISNUMBER(MATCH(FC$2, AsistenciaJetAdminConcatenada!$A:$A, 0)), ISNUMBER(MATCH(FC$1, AsistenciaJetAdminConcatenada!$B:$B, 0)), ISNUMBER(SEARCH($A43,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ISNUMBER(SEARCH($A43, INDEX(AsistenciaJetAdminConcatenada!$D:$D, MATCH(1, (AsistenciaJetAdminConcatenada!$A:$A=FC$2)*(AsistenciaJetAdminConcatenada!$B:$B=FC$1), 0)), 1))),  0.5, 0))</f>
        <v>0</v>
      </c>
      <c r="FD43" s="47">
        <f t="array" ref="FD43">IF(AND(ISNUMBER(MATCH(FD$2, AsistenciaJetAdminConcatenada!$A:$A, 0)), ISNUMBER(MATCH(FD$1, AsistenciaJetAdminConcatenada!$B:$B, 0)), ISNUMBER(SEARCH($A43,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ISNUMBER(SEARCH($A43, INDEX(AsistenciaJetAdminConcatenada!$D:$D, MATCH(1, (AsistenciaJetAdminConcatenada!$A:$A=FD$2)*(AsistenciaJetAdminConcatenada!$B:$B=FD$1), 0)), 1))),  0.5, 0))</f>
        <v>0</v>
      </c>
      <c r="FE43" s="47">
        <f t="array" ref="FE43">IF(AND(ISNUMBER(MATCH(FE$2, AsistenciaJetAdminConcatenada!$A:$A, 0)), ISNUMBER(MATCH(FE$1, AsistenciaJetAdminConcatenada!$B:$B, 0)), ISNUMBER(SEARCH($A43,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ISNUMBER(SEARCH($A43, INDEX(AsistenciaJetAdminConcatenada!$D:$D, MATCH(1, (AsistenciaJetAdminConcatenada!$A:$A=FE$2)*(AsistenciaJetAdminConcatenada!$B:$B=FE$1), 0)), 1))),  0.5, 0))</f>
        <v>0</v>
      </c>
      <c r="FF43" s="47">
        <f t="array" ref="FF43">IF(AND(ISNUMBER(MATCH(FF$2, AsistenciaJetAdminConcatenada!$A:$A, 0)), ISNUMBER(MATCH(FF$1, AsistenciaJetAdminConcatenada!$B:$B, 0)), ISNUMBER(SEARCH($A43,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ISNUMBER(SEARCH($A43, INDEX(AsistenciaJetAdminConcatenada!$D:$D, MATCH(1, (AsistenciaJetAdminConcatenada!$A:$A=FF$2)*(AsistenciaJetAdminConcatenada!$B:$B=FF$1), 0)), 1))),  0.5, 0))</f>
        <v>0</v>
      </c>
      <c r="FG43" s="47">
        <f t="array" ref="FG43">IF(AND(ISNUMBER(MATCH(FG$2, AsistenciaJetAdminConcatenada!$A:$A, 0)), ISNUMBER(MATCH(FG$1, AsistenciaJetAdminConcatenada!$B:$B, 0)), ISNUMBER(SEARCH($A43,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ISNUMBER(SEARCH($A43, INDEX(AsistenciaJetAdminConcatenada!$D:$D, MATCH(1, (AsistenciaJetAdminConcatenada!$A:$A=FG$2)*(AsistenciaJetAdminConcatenada!$B:$B=FG$1), 0)), 1))),  0.5, 0))</f>
        <v>0</v>
      </c>
      <c r="FH43" s="47">
        <f t="array" ref="FH43">IF(AND(ISNUMBER(MATCH(FH$2, AsistenciaJetAdminConcatenada!$A:$A, 0)), ISNUMBER(MATCH(FH$1, AsistenciaJetAdminConcatenada!$B:$B, 0)), ISNUMBER(SEARCH($A43,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ISNUMBER(SEARCH($A43, INDEX(AsistenciaJetAdminConcatenada!$D:$D, MATCH(1, (AsistenciaJetAdminConcatenada!$A:$A=FH$2)*(AsistenciaJetAdminConcatenada!$B:$B=FH$1), 0)), 1))),  0.5, 0))</f>
        <v>0</v>
      </c>
      <c r="FI43" s="47">
        <f t="array" ref="FI43">IF(AND(ISNUMBER(MATCH(FI$2, AsistenciaJetAdminConcatenada!$A:$A, 0)), ISNUMBER(MATCH(FI$1, AsistenciaJetAdminConcatenada!$B:$B, 0)), ISNUMBER(SEARCH($A43,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ISNUMBER(SEARCH($A43, INDEX(AsistenciaJetAdminConcatenada!$D:$D, MATCH(1, (AsistenciaJetAdminConcatenada!$A:$A=FI$2)*(AsistenciaJetAdminConcatenada!$B:$B=FI$1), 0)), 1))),  0.5, 0))</f>
        <v>0</v>
      </c>
      <c r="FJ43" s="47">
        <f t="array" ref="FJ43">IF(AND(ISNUMBER(MATCH(FJ$2, AsistenciaJetAdminConcatenada!$A:$A, 0)), ISNUMBER(MATCH(FJ$1, AsistenciaJetAdminConcatenada!$B:$B, 0)), ISNUMBER(SEARCH($A43,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ISNUMBER(SEARCH($A43, INDEX(AsistenciaJetAdminConcatenada!$D:$D, MATCH(1, (AsistenciaJetAdminConcatenada!$A:$A=FJ$2)*(AsistenciaJetAdminConcatenada!$B:$B=FJ$1), 0)), 1))),  0.5, 0))</f>
        <v>0</v>
      </c>
      <c r="FK43" s="47">
        <f t="array" ref="FK43">IF(AND(ISNUMBER(MATCH(FK$2, AsistenciaJetAdminConcatenada!$A:$A, 0)), ISNUMBER(MATCH(FK$1, AsistenciaJetAdminConcatenada!$B:$B, 0)), ISNUMBER(SEARCH($A43,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ISNUMBER(SEARCH($A43, INDEX(AsistenciaJetAdminConcatenada!$D:$D, MATCH(1, (AsistenciaJetAdminConcatenada!$A:$A=FK$2)*(AsistenciaJetAdminConcatenada!$B:$B=FK$1), 0)), 1))),  0.5, 0))</f>
        <v>0</v>
      </c>
      <c r="FL43" s="47">
        <f t="array" ref="FL43">IF(AND(ISNUMBER(MATCH(FL$2, AsistenciaJetAdminConcatenada!$A:$A, 0)), ISNUMBER(MATCH(FL$1, AsistenciaJetAdminConcatenada!$B:$B, 0)), ISNUMBER(SEARCH($A43,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ISNUMBER(SEARCH($A43, INDEX(AsistenciaJetAdminConcatenada!$D:$D, MATCH(1, (AsistenciaJetAdminConcatenada!$A:$A=FL$2)*(AsistenciaJetAdminConcatenada!$B:$B=FL$1), 0)), 1))),  0.5, 0))</f>
        <v>0</v>
      </c>
      <c r="FM43" s="47">
        <f t="array" ref="FM43">IF(AND(ISNUMBER(MATCH(FM$2, AsistenciaJetAdminConcatenada!$A:$A, 0)), ISNUMBER(MATCH(FM$1, AsistenciaJetAdminConcatenada!$B:$B, 0)), ISNUMBER(SEARCH($A43,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ISNUMBER(SEARCH($A43, INDEX(AsistenciaJetAdminConcatenada!$D:$D, MATCH(1, (AsistenciaJetAdminConcatenada!$A:$A=FM$2)*(AsistenciaJetAdminConcatenada!$B:$B=FM$1), 0)), 1))),  0.5, 0))</f>
        <v>0</v>
      </c>
      <c r="FN43" s="47">
        <f t="array" ref="FN43">IF(AND(ISNUMBER(MATCH(FN$2, AsistenciaJetAdminConcatenada!$A:$A, 0)), ISNUMBER(MATCH(FN$1, AsistenciaJetAdminConcatenada!$B:$B, 0)), ISNUMBER(SEARCH($A43,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ISNUMBER(SEARCH($A43, INDEX(AsistenciaJetAdminConcatenada!$D:$D, MATCH(1, (AsistenciaJetAdminConcatenada!$A:$A=FN$2)*(AsistenciaJetAdminConcatenada!$B:$B=FN$1), 0)), 1))),  0.5, 0))</f>
        <v>0</v>
      </c>
      <c r="FO43" s="47">
        <f t="array" ref="FO43">IF(AND(ISNUMBER(MATCH(FO$2, AsistenciaJetAdminConcatenada!$A:$A, 0)), ISNUMBER(MATCH(FO$1, AsistenciaJetAdminConcatenada!$B:$B, 0)), ISNUMBER(SEARCH($A43,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ISNUMBER(SEARCH($A43, INDEX(AsistenciaJetAdminConcatenada!$D:$D, MATCH(1, (AsistenciaJetAdminConcatenada!$A:$A=FO$2)*(AsistenciaJetAdminConcatenada!$B:$B=FO$1), 0)), 1))),  0.5, 0))</f>
        <v>0</v>
      </c>
      <c r="FP43" s="47">
        <f t="array" ref="FP43">IF(AND(ISNUMBER(MATCH(FP$2, AsistenciaJetAdminConcatenada!$A:$A, 0)), ISNUMBER(MATCH(FP$1, AsistenciaJetAdminConcatenada!$B:$B, 0)), ISNUMBER(SEARCH($A43,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ISNUMBER(SEARCH($A43, INDEX(AsistenciaJetAdminConcatenada!$D:$D, MATCH(1, (AsistenciaJetAdminConcatenada!$A:$A=FP$2)*(AsistenciaJetAdminConcatenada!$B:$B=FP$1), 0)), 1))),  0.5, 0))</f>
        <v>0</v>
      </c>
      <c r="FQ43" s="47">
        <f t="array" ref="FQ43">IF(AND(ISNUMBER(MATCH(FQ$2, AsistenciaJetAdminConcatenada!$A:$A, 0)), ISNUMBER(MATCH(FQ$1, AsistenciaJetAdminConcatenada!$B:$B, 0)), ISNUMBER(SEARCH($A43,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ISNUMBER(SEARCH($A43, INDEX(AsistenciaJetAdminConcatenada!$D:$D, MATCH(1, (AsistenciaJetAdminConcatenada!$A:$A=FQ$2)*(AsistenciaJetAdminConcatenada!$B:$B=FQ$1), 0)), 1))),  0.5, 0))</f>
        <v>0</v>
      </c>
      <c r="FR43" s="47">
        <f t="array" ref="FR43">IF(AND(ISNUMBER(MATCH(FR$2, AsistenciaJetAdminConcatenada!$A:$A, 0)), ISNUMBER(MATCH(FR$1, AsistenciaJetAdminConcatenada!$B:$B, 0)), ISNUMBER(SEARCH($A43,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ISNUMBER(SEARCH($A43, INDEX(AsistenciaJetAdminConcatenada!$D:$D, MATCH(1, (AsistenciaJetAdminConcatenada!$A:$A=FR$2)*(AsistenciaJetAdminConcatenada!$B:$B=FR$1), 0)), 1))),  0.5, 0))</f>
        <v>0</v>
      </c>
      <c r="FS43" s="47">
        <f t="array" ref="FS43">IF(AND(ISNUMBER(MATCH(FS$2, AsistenciaJetAdminConcatenada!$A:$A, 0)), ISNUMBER(MATCH(FS$1, AsistenciaJetAdminConcatenada!$B:$B, 0)), ISNUMBER(SEARCH($A43,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ISNUMBER(SEARCH($A43, INDEX(AsistenciaJetAdminConcatenada!$D:$D, MATCH(1, (AsistenciaJetAdminConcatenada!$A:$A=FS$2)*(AsistenciaJetAdminConcatenada!$B:$B=FS$1), 0)), 1))),  0.5, 0))</f>
        <v>0</v>
      </c>
      <c r="FT43" s="47">
        <f t="array" ref="FT43">IF(AND(ISNUMBER(MATCH(FT$2, AsistenciaJetAdminConcatenada!$A:$A, 0)), ISNUMBER(MATCH(FT$1, AsistenciaJetAdminConcatenada!$B:$B, 0)), ISNUMBER(SEARCH($A43,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ISNUMBER(SEARCH($A43, INDEX(AsistenciaJetAdminConcatenada!$D:$D, MATCH(1, (AsistenciaJetAdminConcatenada!$A:$A=FT$2)*(AsistenciaJetAdminConcatenada!$B:$B=FT$1), 0)), 1))),  0.5, 0))</f>
        <v>0</v>
      </c>
      <c r="FU43" s="47">
        <f t="array" ref="FU43">IF(AND(ISNUMBER(MATCH(FU$2, AsistenciaJetAdminConcatenada!$A:$A, 0)), ISNUMBER(MATCH(FU$1, AsistenciaJetAdminConcatenada!$B:$B, 0)), ISNUMBER(SEARCH($A43,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ISNUMBER(SEARCH($A43, INDEX(AsistenciaJetAdminConcatenada!$D:$D, MATCH(1, (AsistenciaJetAdminConcatenada!$A:$A=FU$2)*(AsistenciaJetAdminConcatenada!$B:$B=FU$1), 0)), 1))),  0.5, 0))</f>
        <v>0</v>
      </c>
      <c r="FV43" s="47">
        <f t="array" ref="FV43">IF(AND(ISNUMBER(MATCH(FV$2, AsistenciaJetAdminConcatenada!$A:$A, 0)), ISNUMBER(MATCH(FV$1, AsistenciaJetAdminConcatenada!$B:$B, 0)), ISNUMBER(SEARCH($A43,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ISNUMBER(SEARCH($A43, INDEX(AsistenciaJetAdminConcatenada!$D:$D, MATCH(1, (AsistenciaJetAdminConcatenada!$A:$A=FV$2)*(AsistenciaJetAdminConcatenada!$B:$B=FV$1), 0)), 1))),  0.5, 0))</f>
        <v>0</v>
      </c>
      <c r="FW43" s="47">
        <f t="array" ref="FW43">IF(AND(ISNUMBER(MATCH(FW$2, AsistenciaJetAdminConcatenada!$A:$A, 0)), ISNUMBER(MATCH(FW$1, AsistenciaJetAdminConcatenada!$B:$B, 0)), ISNUMBER(SEARCH($A43,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ISNUMBER(SEARCH($A43, INDEX(AsistenciaJetAdminConcatenada!$D:$D, MATCH(1, (AsistenciaJetAdminConcatenada!$A:$A=FW$2)*(AsistenciaJetAdminConcatenada!$B:$B=FW$1), 0)), 1))),  0.5, 0))</f>
        <v>0</v>
      </c>
      <c r="FX43" s="47">
        <f t="array" ref="FX43">IF(AND(ISNUMBER(MATCH(FX$2, AsistenciaJetAdminConcatenada!$A:$A, 0)), ISNUMBER(MATCH(FX$1, AsistenciaJetAdminConcatenada!$B:$B, 0)), ISNUMBER(SEARCH($A43,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ISNUMBER(SEARCH($A43, INDEX(AsistenciaJetAdminConcatenada!$D:$D, MATCH(1, (AsistenciaJetAdminConcatenada!$A:$A=FX$2)*(AsistenciaJetAdminConcatenada!$B:$B=FX$1), 0)), 1))),  0.5, 0))</f>
        <v>0</v>
      </c>
      <c r="FY43" s="47">
        <f t="array" ref="FY43">IF(AND(ISNUMBER(MATCH(FY$2, AsistenciaJetAdminConcatenada!$A:$A, 0)), ISNUMBER(MATCH(FY$1, AsistenciaJetAdminConcatenada!$B:$B, 0)), ISNUMBER(SEARCH($A43,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ISNUMBER(SEARCH($A43, INDEX(AsistenciaJetAdminConcatenada!$D:$D, MATCH(1, (AsistenciaJetAdminConcatenada!$A:$A=FY$2)*(AsistenciaJetAdminConcatenada!$B:$B=FY$1), 0)), 1))),  0.5, 0))</f>
        <v>0</v>
      </c>
      <c r="FZ43" s="47">
        <f t="array" ref="FZ43">IF(AND(ISNUMBER(MATCH(FZ$2, AsistenciaJetAdminConcatenada!$A:$A, 0)), ISNUMBER(MATCH(FZ$1, AsistenciaJetAdminConcatenada!$B:$B, 0)), ISNUMBER(SEARCH($A43,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ISNUMBER(SEARCH($A43, INDEX(AsistenciaJetAdminConcatenada!$D:$D, MATCH(1, (AsistenciaJetAdminConcatenada!$A:$A=FZ$2)*(AsistenciaJetAdminConcatenada!$B:$B=FZ$1), 0)), 1))),  0.5, 0))</f>
        <v>0</v>
      </c>
      <c r="GA43" s="47">
        <f t="array" ref="GA43">IF(AND(ISNUMBER(MATCH(GA$2, AsistenciaJetAdminConcatenada!$A:$A, 0)), ISNUMBER(MATCH(GA$1, AsistenciaJetAdminConcatenada!$B:$B, 0)), ISNUMBER(SEARCH($A43,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ISNUMBER(SEARCH($A43, INDEX(AsistenciaJetAdminConcatenada!$D:$D, MATCH(1, (AsistenciaJetAdminConcatenada!$A:$A=GA$2)*(AsistenciaJetAdminConcatenada!$B:$B=GA$1), 0)), 1))),  0.5, 0))</f>
        <v>0</v>
      </c>
      <c r="GB43" s="47">
        <f t="array" ref="GB43">IF(AND(ISNUMBER(MATCH(GB$2, AsistenciaJetAdminConcatenada!$A:$A, 0)), ISNUMBER(MATCH(GB$1, AsistenciaJetAdminConcatenada!$B:$B, 0)), ISNUMBER(SEARCH($A43,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ISNUMBER(SEARCH($A43, INDEX(AsistenciaJetAdminConcatenada!$D:$D, MATCH(1, (AsistenciaJetAdminConcatenada!$A:$A=GB$2)*(AsistenciaJetAdminConcatenada!$B:$B=GB$1), 0)), 1))),  0.5, 0))</f>
        <v>0</v>
      </c>
      <c r="GC43" s="47">
        <f t="array" ref="GC43">IF(AND(ISNUMBER(MATCH(GC$2, AsistenciaJetAdminConcatenada!$A:$A, 0)), ISNUMBER(MATCH(GC$1, AsistenciaJetAdminConcatenada!$B:$B, 0)), ISNUMBER(SEARCH($A43,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ISNUMBER(SEARCH($A43, INDEX(AsistenciaJetAdminConcatenada!$D:$D, MATCH(1, (AsistenciaJetAdminConcatenada!$A:$A=GC$2)*(AsistenciaJetAdminConcatenada!$B:$B=GC$1), 0)), 1))),  0.5, 0))</f>
        <v>0</v>
      </c>
      <c r="GD43" s="47">
        <f t="array" ref="GD43">IF(AND(ISNUMBER(MATCH(GD$2, AsistenciaJetAdminConcatenada!$A:$A, 0)), ISNUMBER(MATCH(GD$1, AsistenciaJetAdminConcatenada!$B:$B, 0)), ISNUMBER(SEARCH($A43,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ISNUMBER(SEARCH($A43, INDEX(AsistenciaJetAdminConcatenada!$D:$D, MATCH(1, (AsistenciaJetAdminConcatenada!$A:$A=GD$2)*(AsistenciaJetAdminConcatenada!$B:$B=GD$1), 0)), 1))),  0.5, 0))</f>
        <v>0</v>
      </c>
      <c r="GE43" s="47">
        <f t="array" ref="GE43">IF(AND(ISNUMBER(MATCH(GE$2, AsistenciaJetAdminConcatenada!$A:$A, 0)), ISNUMBER(MATCH(GE$1, AsistenciaJetAdminConcatenada!$B:$B, 0)), ISNUMBER(SEARCH($A43,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ISNUMBER(SEARCH($A43, INDEX(AsistenciaJetAdminConcatenada!$D:$D, MATCH(1, (AsistenciaJetAdminConcatenada!$A:$A=GE$2)*(AsistenciaJetAdminConcatenada!$B:$B=GE$1), 0)), 1))),  0.5, 0))</f>
        <v>0</v>
      </c>
      <c r="GF43" s="47">
        <f t="array" ref="GF43">IF(AND(ISNUMBER(MATCH(GF$2, AsistenciaJetAdminConcatenada!$A:$A, 0)), ISNUMBER(MATCH(GF$1, AsistenciaJetAdminConcatenada!$B:$B, 0)), ISNUMBER(SEARCH($A43,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ISNUMBER(SEARCH($A43, INDEX(AsistenciaJetAdminConcatenada!$D:$D, MATCH(1, (AsistenciaJetAdminConcatenada!$A:$A=GF$2)*(AsistenciaJetAdminConcatenada!$B:$B=GF$1), 0)), 1))),  0.5, 0))</f>
        <v>0</v>
      </c>
      <c r="GG43" s="47">
        <f t="array" ref="GG43">IF(AND(ISNUMBER(MATCH(GG$2, AsistenciaJetAdminConcatenada!$A:$A, 0)), ISNUMBER(MATCH(GG$1, AsistenciaJetAdminConcatenada!$B:$B, 0)), ISNUMBER(SEARCH($A43,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ISNUMBER(SEARCH($A43, INDEX(AsistenciaJetAdminConcatenada!$D:$D, MATCH(1, (AsistenciaJetAdminConcatenada!$A:$A=GG$2)*(AsistenciaJetAdminConcatenada!$B:$B=GG$1), 0)), 1))),  0.5, 0))</f>
        <v>0</v>
      </c>
      <c r="GH43" s="47">
        <f t="array" ref="GH43">IF(AND(ISNUMBER(MATCH(GH$2, AsistenciaJetAdminConcatenada!$A:$A, 0)), ISNUMBER(MATCH(GH$1, AsistenciaJetAdminConcatenada!$B:$B, 0)), ISNUMBER(SEARCH($A43,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ISNUMBER(SEARCH($A43, INDEX(AsistenciaJetAdminConcatenada!$D:$D, MATCH(1, (AsistenciaJetAdminConcatenada!$A:$A=GH$2)*(AsistenciaJetAdminConcatenada!$B:$B=GH$1), 0)), 1))),  0.5, 0))</f>
        <v>0</v>
      </c>
      <c r="GI43" s="47">
        <f t="array" ref="GI43">IF(AND(ISNUMBER(MATCH(GI$2, AsistenciaJetAdminConcatenada!$A:$A, 0)), ISNUMBER(MATCH(GI$1, AsistenciaJetAdminConcatenada!$B:$B, 0)), ISNUMBER(SEARCH($A43,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ISNUMBER(SEARCH($A43, INDEX(AsistenciaJetAdminConcatenada!$D:$D, MATCH(1, (AsistenciaJetAdminConcatenada!$A:$A=GI$2)*(AsistenciaJetAdminConcatenada!$B:$B=GI$1), 0)), 1))),  0.5, 0))</f>
        <v>0</v>
      </c>
      <c r="GJ43" s="47">
        <f t="array" ref="GJ43">IF(AND(ISNUMBER(MATCH(GJ$2, AsistenciaJetAdminConcatenada!$A:$A, 0)), ISNUMBER(MATCH(GJ$1, AsistenciaJetAdminConcatenada!$B:$B, 0)), ISNUMBER(SEARCH($A43,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ISNUMBER(SEARCH($A43, INDEX(AsistenciaJetAdminConcatenada!$D:$D, MATCH(1, (AsistenciaJetAdminConcatenada!$A:$A=GJ$2)*(AsistenciaJetAdminConcatenada!$B:$B=GJ$1), 0)), 1))),  0.5, 0))</f>
        <v>0</v>
      </c>
      <c r="GK43" s="47">
        <f t="array" ref="GK43">IF(AND(ISNUMBER(MATCH(GK$2, AsistenciaJetAdminConcatenada!$A:$A, 0)), ISNUMBER(MATCH(GK$1, AsistenciaJetAdminConcatenada!$B:$B, 0)), ISNUMBER(SEARCH($A43,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ISNUMBER(SEARCH($A43, INDEX(AsistenciaJetAdminConcatenada!$D:$D, MATCH(1, (AsistenciaJetAdminConcatenada!$A:$A=GK$2)*(AsistenciaJetAdminConcatenada!$B:$B=GK$1), 0)), 1))),  0.5, 0))</f>
        <v>0</v>
      </c>
      <c r="GL43" s="47">
        <f t="array" ref="GL43">IF(AND(ISNUMBER(MATCH(GL$2, AsistenciaJetAdminConcatenada!$A:$A, 0)), ISNUMBER(MATCH(GL$1, AsistenciaJetAdminConcatenada!$B:$B, 0)), ISNUMBER(SEARCH($A43,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ISNUMBER(SEARCH($A43, INDEX(AsistenciaJetAdminConcatenada!$D:$D, MATCH(1, (AsistenciaJetAdminConcatenada!$A:$A=GL$2)*(AsistenciaJetAdminConcatenada!$B:$B=GL$1), 0)), 1))),  0.5, 0))</f>
        <v>0</v>
      </c>
      <c r="GM43" s="47">
        <f t="array" ref="GM43">IF(AND(ISNUMBER(MATCH(GM$2, AsistenciaJetAdminConcatenada!$A:$A, 0)), ISNUMBER(MATCH(GM$1, AsistenciaJetAdminConcatenada!$B:$B, 0)), ISNUMBER(SEARCH($A43,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ISNUMBER(SEARCH($A43, INDEX(AsistenciaJetAdminConcatenada!$D:$D, MATCH(1, (AsistenciaJetAdminConcatenada!$A:$A=GM$2)*(AsistenciaJetAdminConcatenada!$B:$B=GM$1), 0)), 1))),  0.5, 0))</f>
        <v>0</v>
      </c>
      <c r="GN43" s="47">
        <f t="array" ref="GN43">IF(AND(ISNUMBER(MATCH(GN$2, AsistenciaJetAdminConcatenada!$A:$A, 0)), ISNUMBER(MATCH(GN$1, AsistenciaJetAdminConcatenada!$B:$B, 0)), ISNUMBER(SEARCH($A43,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ISNUMBER(SEARCH($A43, INDEX(AsistenciaJetAdminConcatenada!$D:$D, MATCH(1, (AsistenciaJetAdminConcatenada!$A:$A=GN$2)*(AsistenciaJetAdminConcatenada!$B:$B=GN$1), 0)), 1))),  0.5, 0))</f>
        <v>0</v>
      </c>
      <c r="GO43" s="47">
        <f t="array" ref="GO43">IF(AND(ISNUMBER(MATCH(GO$2, AsistenciaJetAdminConcatenada!$A:$A, 0)), ISNUMBER(MATCH(GO$1, AsistenciaJetAdminConcatenada!$B:$B, 0)), ISNUMBER(SEARCH($A43,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ISNUMBER(SEARCH($A43, INDEX(AsistenciaJetAdminConcatenada!$D:$D, MATCH(1, (AsistenciaJetAdminConcatenada!$A:$A=GO$2)*(AsistenciaJetAdminConcatenada!$B:$B=GO$1), 0)), 1))),  0.5, 0))</f>
        <v>0</v>
      </c>
      <c r="GP43" s="47">
        <f t="array" ref="GP43">IF(AND(ISNUMBER(MATCH(GP$2, AsistenciaJetAdminConcatenada!$A:$A, 0)), ISNUMBER(MATCH(GP$1, AsistenciaJetAdminConcatenada!$B:$B, 0)), ISNUMBER(SEARCH($A43,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ISNUMBER(SEARCH($A43, INDEX(AsistenciaJetAdminConcatenada!$D:$D, MATCH(1, (AsistenciaJetAdminConcatenada!$A:$A=GP$2)*(AsistenciaJetAdminConcatenada!$B:$B=GP$1), 0)), 1))),  0.5, 0))</f>
        <v>0</v>
      </c>
      <c r="GQ43" s="47">
        <f t="array" ref="GQ43">IF(AND(ISNUMBER(MATCH(GQ$2, AsistenciaJetAdminConcatenada!$A:$A, 0)), ISNUMBER(MATCH(GQ$1, AsistenciaJetAdminConcatenada!$B:$B, 0)), ISNUMBER(SEARCH($A43,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ISNUMBER(SEARCH($A43, INDEX(AsistenciaJetAdminConcatenada!$D:$D, MATCH(1, (AsistenciaJetAdminConcatenada!$A:$A=GQ$2)*(AsistenciaJetAdminConcatenada!$B:$B=GQ$1), 0)), 1))),  0.5, 0))</f>
        <v>0</v>
      </c>
      <c r="GR43" s="47">
        <f t="array" ref="GR43">IF(AND(ISNUMBER(MATCH(GR$2, AsistenciaJetAdminConcatenada!$A:$A, 0)), ISNUMBER(MATCH(GR$1, AsistenciaJetAdminConcatenada!$B:$B, 0)), ISNUMBER(SEARCH($A43,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ISNUMBER(SEARCH($A43, INDEX(AsistenciaJetAdminConcatenada!$D:$D, MATCH(1, (AsistenciaJetAdminConcatenada!$A:$A=GR$2)*(AsistenciaJetAdminConcatenada!$B:$B=GR$1), 0)), 1))),  0.5, 0))</f>
        <v>0</v>
      </c>
      <c r="GS43" s="47">
        <f t="array" ref="GS43">IF(AND(ISNUMBER(MATCH(GS$2, AsistenciaJetAdminConcatenada!$A:$A, 0)), ISNUMBER(MATCH(GS$1, AsistenciaJetAdminConcatenada!$B:$B, 0)), ISNUMBER(SEARCH($A43,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ISNUMBER(SEARCH($A43, INDEX(AsistenciaJetAdminConcatenada!$D:$D, MATCH(1, (AsistenciaJetAdminConcatenada!$A:$A=GS$2)*(AsistenciaJetAdminConcatenada!$B:$B=GS$1), 0)), 1))),  0.5, 0))</f>
        <v>0</v>
      </c>
      <c r="GT43" s="47">
        <f t="array" ref="GT43">IF(AND(ISNUMBER(MATCH(GT$2, AsistenciaJetAdminConcatenada!$A:$A, 0)), ISNUMBER(MATCH(GT$1, AsistenciaJetAdminConcatenada!$B:$B, 0)), ISNUMBER(SEARCH($A43,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ISNUMBER(SEARCH($A43, INDEX(AsistenciaJetAdminConcatenada!$D:$D, MATCH(1, (AsistenciaJetAdminConcatenada!$A:$A=GT$2)*(AsistenciaJetAdminConcatenada!$B:$B=GT$1), 0)), 1))),  0.5, 0))</f>
        <v>0</v>
      </c>
      <c r="GU43" s="47">
        <f t="array" ref="GU43">IF(AND(ISNUMBER(MATCH(GU$2, AsistenciaJetAdminConcatenada!$A:$A, 0)), ISNUMBER(MATCH(GU$1, AsistenciaJetAdminConcatenada!$B:$B, 0)), ISNUMBER(SEARCH($A43,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ISNUMBER(SEARCH($A43, INDEX(AsistenciaJetAdminConcatenada!$D:$D, MATCH(1, (AsistenciaJetAdminConcatenada!$A:$A=GU$2)*(AsistenciaJetAdminConcatenada!$B:$B=GU$1), 0)), 1))),  0.5, 0))</f>
        <v>0</v>
      </c>
      <c r="GV43" s="47">
        <f t="array" ref="GV43">IF(AND(ISNUMBER(MATCH(GV$2, AsistenciaJetAdminConcatenada!$A:$A, 0)), ISNUMBER(MATCH(GV$1, AsistenciaJetAdminConcatenada!$B:$B, 0)), ISNUMBER(SEARCH($A43,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ISNUMBER(SEARCH($A43, INDEX(AsistenciaJetAdminConcatenada!$D:$D, MATCH(1, (AsistenciaJetAdminConcatenada!$A:$A=GV$2)*(AsistenciaJetAdminConcatenada!$B:$B=GV$1), 0)), 1))),  0.5, 0))</f>
        <v>0</v>
      </c>
      <c r="GW43" s="47">
        <f t="array" ref="GW43">IF(AND(ISNUMBER(MATCH(GW$2, AsistenciaJetAdminConcatenada!$A:$A, 0)), ISNUMBER(MATCH(GW$1, AsistenciaJetAdminConcatenada!$B:$B, 0)), ISNUMBER(SEARCH($A43,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ISNUMBER(SEARCH($A43, INDEX(AsistenciaJetAdminConcatenada!$D:$D, MATCH(1, (AsistenciaJetAdminConcatenada!$A:$A=GW$2)*(AsistenciaJetAdminConcatenada!$B:$B=GW$1), 0)), 1))),  0.5, 0))</f>
        <v>0</v>
      </c>
      <c r="GX43" s="47">
        <f t="array" ref="GX43">IF(AND(ISNUMBER(MATCH(GX$2, AsistenciaJetAdminConcatenada!$A:$A, 0)), ISNUMBER(MATCH(GX$1, AsistenciaJetAdminConcatenada!$B:$B, 0)), ISNUMBER(SEARCH($A43,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ISNUMBER(SEARCH($A43, INDEX(AsistenciaJetAdminConcatenada!$D:$D, MATCH(1, (AsistenciaJetAdminConcatenada!$A:$A=GX$2)*(AsistenciaJetAdminConcatenada!$B:$B=GX$1), 0)), 1))),  0.5, 0))</f>
        <v>0</v>
      </c>
      <c r="GY43" s="47">
        <f t="array" ref="GY43">IF(AND(ISNUMBER(MATCH(GY$2, AsistenciaJetAdminConcatenada!$A:$A, 0)), ISNUMBER(MATCH(GY$1, AsistenciaJetAdminConcatenada!$B:$B, 0)), ISNUMBER(SEARCH($A43,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ISNUMBER(SEARCH($A43, INDEX(AsistenciaJetAdminConcatenada!$D:$D, MATCH(1, (AsistenciaJetAdminConcatenada!$A:$A=GY$2)*(AsistenciaJetAdminConcatenada!$B:$B=GY$1), 0)), 1))),  0.5, 0))</f>
        <v>0</v>
      </c>
      <c r="GZ43" s="47">
        <f t="array" ref="GZ43">IF(AND(ISNUMBER(MATCH(GZ$2, AsistenciaJetAdminConcatenada!$A:$A, 0)), ISNUMBER(MATCH(GZ$1, AsistenciaJetAdminConcatenada!$B:$B, 0)), ISNUMBER(SEARCH($A43,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ISNUMBER(SEARCH($A43, INDEX(AsistenciaJetAdminConcatenada!$D:$D, MATCH(1, (AsistenciaJetAdminConcatenada!$A:$A=GZ$2)*(AsistenciaJetAdminConcatenada!$B:$B=GZ$1), 0)), 1))),  0.5, 0))</f>
        <v>0</v>
      </c>
      <c r="HA43" s="47">
        <f t="array" ref="HA43">IF(AND(ISNUMBER(MATCH(HA$2, AsistenciaJetAdminConcatenada!$A:$A, 0)), ISNUMBER(MATCH(HA$1, AsistenciaJetAdminConcatenada!$B:$B, 0)), ISNUMBER(SEARCH($A43,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ISNUMBER(SEARCH($A43, INDEX(AsistenciaJetAdminConcatenada!$D:$D, MATCH(1, (AsistenciaJetAdminConcatenada!$A:$A=HA$2)*(AsistenciaJetAdminConcatenada!$B:$B=HA$1), 0)), 1))),  0.5, 0))</f>
        <v>0</v>
      </c>
      <c r="HB43" s="47">
        <f t="array" ref="HB43">IF(AND(ISNUMBER(MATCH(HB$2, AsistenciaJetAdminConcatenada!$A:$A, 0)), ISNUMBER(MATCH(HB$1, AsistenciaJetAdminConcatenada!$B:$B, 0)), ISNUMBER(SEARCH($A43,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ISNUMBER(SEARCH($A43, INDEX(AsistenciaJetAdminConcatenada!$D:$D, MATCH(1, (AsistenciaJetAdminConcatenada!$A:$A=HB$2)*(AsistenciaJetAdminConcatenada!$B:$B=HB$1), 0)), 1))),  0.5, 0))</f>
        <v>0</v>
      </c>
      <c r="HC43" s="47">
        <f t="array" ref="HC43">IF(AND(ISNUMBER(MATCH(HC$2, AsistenciaJetAdminConcatenada!$A:$A, 0)), ISNUMBER(MATCH(HC$1, AsistenciaJetAdminConcatenada!$B:$B, 0)), ISNUMBER(SEARCH($A43,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ISNUMBER(SEARCH($A43, INDEX(AsistenciaJetAdminConcatenada!$D:$D, MATCH(1, (AsistenciaJetAdminConcatenada!$A:$A=HC$2)*(AsistenciaJetAdminConcatenada!$B:$B=HC$1), 0)), 1))),  0.5, 0))</f>
        <v>0</v>
      </c>
    </row>
    <row r="44" ht="29.25" customHeight="1">
      <c r="A44" s="3">
        <v>101.0</v>
      </c>
      <c r="B44" s="4" t="s">
        <v>676</v>
      </c>
      <c r="C44" s="47">
        <f>SUM(D44:HC44) + ActividadesEspeciales!C44</f>
        <v>58.5</v>
      </c>
      <c r="D44" s="47">
        <f t="array" ref="D44">IF(AND(ISNUMBER(MATCH(D$2, AsistenciaJetAdminConcatenada!$A:$A, 0)), ISNUMBER(MATCH(D$1, AsistenciaJetAdminConcatenada!$B:$B, 0)), ISNUMBER(SEARCH($A44,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ISNUMBER(SEARCH($A44, INDEX(AsistenciaJetAdminConcatenada!$D:$D, MATCH(1, (AsistenciaJetAdminConcatenada!$A:$A=D$2)*(AsistenciaJetAdminConcatenada!$B:$B=D$1), 0)), 1))),  0.5, 0))</f>
        <v>1</v>
      </c>
      <c r="E44" s="47">
        <f t="array" ref="E44">IF(AND(ISNUMBER(MATCH(E$2, AsistenciaJetAdminConcatenada!$A:$A, 0)), ISNUMBER(MATCH(E$1, AsistenciaJetAdminConcatenada!$B:$B, 0)), ISNUMBER(SEARCH($A44,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ISNUMBER(SEARCH($A44, INDEX(AsistenciaJetAdminConcatenada!$D:$D, MATCH(1, (AsistenciaJetAdminConcatenada!$A:$A=E$2)*(AsistenciaJetAdminConcatenada!$B:$B=E$1), 0)), 1))),  0.5, 0))</f>
        <v>1</v>
      </c>
      <c r="F44" s="47">
        <f t="array" ref="F44">IF(AND(ISNUMBER(MATCH(F$2, AsistenciaJetAdminConcatenada!$A:$A, 0)), ISNUMBER(MATCH(F$1, AsistenciaJetAdminConcatenada!$B:$B, 0)), ISNUMBER(SEARCH($A44,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ISNUMBER(SEARCH($A44, INDEX(AsistenciaJetAdminConcatenada!$D:$D, MATCH(1, (AsistenciaJetAdminConcatenada!$A:$A=F$2)*(AsistenciaJetAdminConcatenada!$B:$B=F$1), 0)), 1))),  0.5, 0))</f>
        <v>1</v>
      </c>
      <c r="G44" s="47">
        <f t="array" ref="G44">IF(AND(ISNUMBER(MATCH(G$2, AsistenciaJetAdminConcatenada!$A:$A, 0)), ISNUMBER(MATCH(G$1, AsistenciaJetAdminConcatenada!$B:$B, 0)), ISNUMBER(SEARCH($A44,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ISNUMBER(SEARCH($A44, INDEX(AsistenciaJetAdminConcatenada!$D:$D, MATCH(1, (AsistenciaJetAdminConcatenada!$A:$A=G$2)*(AsistenciaJetAdminConcatenada!$B:$B=G$1), 0)), 1))),  0.5, 0))</f>
        <v>1</v>
      </c>
      <c r="H44" s="47">
        <f t="array" ref="H44">IF(AND(ISNUMBER(MATCH(H$2, AsistenciaJetAdminConcatenada!$A:$A, 0)), ISNUMBER(MATCH(H$1, AsistenciaJetAdminConcatenada!$B:$B, 0)), ISNUMBER(SEARCH($A44,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ISNUMBER(SEARCH($A44, INDEX(AsistenciaJetAdminConcatenada!$D:$D, MATCH(1, (AsistenciaJetAdminConcatenada!$A:$A=H$2)*(AsistenciaJetAdminConcatenada!$B:$B=H$1), 0)), 1))),  0.5, 0))</f>
        <v>1</v>
      </c>
      <c r="I44" s="47">
        <f t="array" ref="I44">IF(AND(ISNUMBER(MATCH(I$2, AsistenciaJetAdminConcatenada!$A:$A, 0)), ISNUMBER(MATCH(I$1, AsistenciaJetAdminConcatenada!$B:$B, 0)), ISNUMBER(SEARCH($A44,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ISNUMBER(SEARCH($A44, INDEX(AsistenciaJetAdminConcatenada!$D:$D, MATCH(1, (AsistenciaJetAdminConcatenada!$A:$A=I$2)*(AsistenciaJetAdminConcatenada!$B:$B=I$1), 0)), 1))),  0.5, 0))</f>
        <v>1</v>
      </c>
      <c r="J44" s="47">
        <f t="array" ref="J44">IF(AND(ISNUMBER(MATCH(J$2, AsistenciaJetAdminConcatenada!$A:$A, 0)), ISNUMBER(MATCH(J$1, AsistenciaJetAdminConcatenada!$B:$B, 0)), ISNUMBER(SEARCH($A44,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ISNUMBER(SEARCH($A44, INDEX(AsistenciaJetAdminConcatenada!$D:$D, MATCH(1, (AsistenciaJetAdminConcatenada!$A:$A=J$2)*(AsistenciaJetAdminConcatenada!$B:$B=J$1), 0)), 1))),  0.5, 0))</f>
        <v>1</v>
      </c>
      <c r="K44" s="47">
        <f t="array" ref="K44">IF(AND(ISNUMBER(MATCH(K$2, AsistenciaJetAdminConcatenada!$A:$A, 0)), ISNUMBER(MATCH(K$1, AsistenciaJetAdminConcatenada!$B:$B, 0)), ISNUMBER(SEARCH($A44,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ISNUMBER(SEARCH($A44, INDEX(AsistenciaJetAdminConcatenada!$D:$D, MATCH(1, (AsistenciaJetAdminConcatenada!$A:$A=K$2)*(AsistenciaJetAdminConcatenada!$B:$B=K$1), 0)), 1))),  0.5, 0))</f>
        <v>1</v>
      </c>
      <c r="L44" s="47">
        <f t="array" ref="L44">IF(AND(ISNUMBER(MATCH(L$2, AsistenciaJetAdminConcatenada!$A:$A, 0)), ISNUMBER(MATCH(L$1, AsistenciaJetAdminConcatenada!$B:$B, 0)), ISNUMBER(SEARCH($A44,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ISNUMBER(SEARCH($A44, INDEX(AsistenciaJetAdminConcatenada!$D:$D, MATCH(1, (AsistenciaJetAdminConcatenada!$A:$A=L$2)*(AsistenciaJetAdminConcatenada!$B:$B=L$1), 0)), 1))),  0.5, 0))</f>
        <v>1</v>
      </c>
      <c r="M44" s="8">
        <v>0.0</v>
      </c>
      <c r="N44" s="47">
        <f t="array" ref="N44">IF(AND(ISNUMBER(MATCH(N$2, AsistenciaJetAdminConcatenada!$A:$A, 0)), ISNUMBER(MATCH(N$1, AsistenciaJetAdminConcatenada!$B:$B, 0)), ISNUMBER(SEARCH($A44,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ISNUMBER(SEARCH($A44, INDEX(AsistenciaJetAdminConcatenada!$D:$D, MATCH(1, (AsistenciaJetAdminConcatenada!$A:$A=N$2)*(AsistenciaJetAdminConcatenada!$B:$B=N$1), 0)), 1))),  0.5, 0))</f>
        <v>0</v>
      </c>
      <c r="O44" s="47">
        <f t="array" ref="O44">IF(AND(ISNUMBER(MATCH(O$2, AsistenciaJetAdminConcatenada!$A:$A, 0)), ISNUMBER(MATCH(O$1, AsistenciaJetAdminConcatenada!$B:$B, 0)), ISNUMBER(SEARCH($A44,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ISNUMBER(SEARCH($A44, INDEX(AsistenciaJetAdminConcatenada!$D:$D, MATCH(1, (AsistenciaJetAdminConcatenada!$A:$A=O$2)*(AsistenciaJetAdminConcatenada!$B:$B=O$1), 0)), 1))),  0.5, 0))</f>
        <v>0</v>
      </c>
      <c r="P44" s="47">
        <f t="array" ref="P44">IF(AND(ISNUMBER(MATCH(P$2, AsistenciaJetAdminConcatenada!$A:$A, 0)), ISNUMBER(MATCH(P$1, AsistenciaJetAdminConcatenada!$B:$B, 0)), ISNUMBER(SEARCH($A44, INDEX(AsistenciaJetAdminConcatenada!$C:$C, MATCH(1, (AsistenciaJetAdminConcatenada!$A:$A=P$2)*(AsistenciaJetAdminConcatenada!$B:$B=P$1), 0)), 1))), 1, IF(AND(ISNUMBER(MATCH(P$2, AsistenciaJetAdminConcatenada!$A:$A, 0)), ISNUMBER(MATCH(P$1, AsistenciaJetAdminConcatenada!$B:$B, 0)), ISNUMBER(SEARCH($A44, INDEX(AsistenciaJetAdminConcatenada!$D:$D, MATCH(1, (AsistenciaJetAdminConcatenada!$A:$A=P$2)*(AsistenciaJetAdminConcatenada!$B:$B=P$1), 0)), 1))),  0.5, 0))</f>
        <v>1</v>
      </c>
      <c r="Q44" s="47">
        <f t="array" ref="Q44">IF(AND(ISNUMBER(MATCH(Q$2, AsistenciaJetAdminConcatenada!$A:$A, 0)), ISNUMBER(MATCH(Q$1, AsistenciaJetAdminConcatenada!$B:$B, 0)), ISNUMBER(SEARCH($A44, INDEX(AsistenciaJetAdminConcatenada!$C:$C, MATCH(1, (AsistenciaJetAdminConcatenada!$A:$A=Q$2)*(AsistenciaJetAdminConcatenada!$B:$B=Q$1), 0)), 1))), 1, IF(AND(ISNUMBER(MATCH(Q$2, AsistenciaJetAdminConcatenada!$A:$A, 0)), ISNUMBER(MATCH(Q$1, AsistenciaJetAdminConcatenada!$B:$B, 0)), ISNUMBER(SEARCH($A44, INDEX(AsistenciaJetAdminConcatenada!$D:$D, MATCH(1, (AsistenciaJetAdminConcatenada!$A:$A=Q$2)*(AsistenciaJetAdminConcatenada!$B:$B=Q$1), 0)), 1))),  0.5, 0))</f>
        <v>1</v>
      </c>
      <c r="R44" s="47">
        <f t="array" ref="R44">IF(AND(ISNUMBER(MATCH(R$2, AsistenciaJetAdminConcatenada!$A:$A, 0)), ISNUMBER(MATCH(R$1, AsistenciaJetAdminConcatenada!$B:$B, 0)), ISNUMBER(SEARCH($A44,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ISNUMBER(SEARCH($A44, INDEX(AsistenciaJetAdminConcatenada!$D:$D, MATCH(1, (AsistenciaJetAdminConcatenada!$A:$A=R$2)*(AsistenciaJetAdminConcatenada!$B:$B=R$1), 0)), 1))),  0.5, 0))</f>
        <v>1</v>
      </c>
      <c r="S44" s="47">
        <f t="array" ref="S44">IF(AND(ISNUMBER(MATCH(S$2, AsistenciaJetAdminConcatenada!$A:$A, 0)), ISNUMBER(MATCH(S$1, AsistenciaJetAdminConcatenada!$B:$B, 0)), ISNUMBER(SEARCH($A44,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ISNUMBER(SEARCH($A44, INDEX(AsistenciaJetAdminConcatenada!$D:$D, MATCH(1, (AsistenciaJetAdminConcatenada!$A:$A=S$2)*(AsistenciaJetAdminConcatenada!$B:$B=S$1), 0)), 1))),  0.5, 0))</f>
        <v>0.5</v>
      </c>
      <c r="T44" s="47">
        <f t="array" ref="T44">IF(AND(ISNUMBER(MATCH(T$2, AsistenciaJetAdminConcatenada!$A:$A, 0)), ISNUMBER(MATCH(T$1, AsistenciaJetAdminConcatenada!$B:$B, 0)), ISNUMBER(SEARCH($A44,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ISNUMBER(SEARCH($A44, INDEX(AsistenciaJetAdminConcatenada!$D:$D, MATCH(1, (AsistenciaJetAdminConcatenada!$A:$A=T$2)*(AsistenciaJetAdminConcatenada!$B:$B=T$1), 0)), 1))),  0.5, 0))</f>
        <v>1</v>
      </c>
      <c r="U44" s="47">
        <f t="array" ref="U44">IF(AND(ISNUMBER(MATCH(U$2, AsistenciaJetAdminConcatenada!$A:$A, 0)), ISNUMBER(MATCH(U$1, AsistenciaJetAdminConcatenada!$B:$B, 0)), ISNUMBER(SEARCH($A44,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ISNUMBER(SEARCH($A44, INDEX(AsistenciaJetAdminConcatenada!$D:$D, MATCH(1, (AsistenciaJetAdminConcatenada!$A:$A=U$2)*(AsistenciaJetAdminConcatenada!$B:$B=U$1), 0)), 1))),  0.5, 0))</f>
        <v>1</v>
      </c>
      <c r="V44" s="47">
        <f t="array" ref="V44">IF(AND(ISNUMBER(MATCH(V$2, AsistenciaJetAdminConcatenada!$A:$A, 0)), ISNUMBER(MATCH(V$1, AsistenciaJetAdminConcatenada!$B:$B, 0)), ISNUMBER(SEARCH($A44,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ISNUMBER(SEARCH($A44, INDEX(AsistenciaJetAdminConcatenada!$D:$D, MATCH(1, (AsistenciaJetAdminConcatenada!$A:$A=V$2)*(AsistenciaJetAdminConcatenada!$B:$B=V$1), 0)), 1))),  0.5, 0))</f>
        <v>1</v>
      </c>
      <c r="W44" s="47">
        <f t="array" ref="W44">IF(AND(ISNUMBER(MATCH(W$2, AsistenciaJetAdminConcatenada!$A:$A, 0)), ISNUMBER(MATCH(W$1, AsistenciaJetAdminConcatenada!$B:$B, 0)), ISNUMBER(SEARCH($A44,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ISNUMBER(SEARCH($A44, INDEX(AsistenciaJetAdminConcatenada!$D:$D, MATCH(1, (AsistenciaJetAdminConcatenada!$A:$A=W$2)*(AsistenciaJetAdminConcatenada!$B:$B=W$1), 0)), 1))),  0.5, 0))</f>
        <v>0.5</v>
      </c>
      <c r="X44" s="47">
        <f t="array" ref="X44">IF(AND(ISNUMBER(MATCH(X$2, AsistenciaJetAdminConcatenada!$A:$A, 0)), ISNUMBER(MATCH(X$1, AsistenciaJetAdminConcatenada!$B:$B, 0)), ISNUMBER(SEARCH($A44,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ISNUMBER(SEARCH($A44, INDEX(AsistenciaJetAdminConcatenada!$D:$D, MATCH(1, (AsistenciaJetAdminConcatenada!$A:$A=X$2)*(AsistenciaJetAdminConcatenada!$B:$B=X$1), 0)), 1))),  0.5, 0))</f>
        <v>1</v>
      </c>
      <c r="Y44" s="47">
        <f t="array" ref="Y44">IF(AND(ISNUMBER(MATCH(Y$2, AsistenciaJetAdminConcatenada!$A:$A, 0)), ISNUMBER(MATCH(Y$1, AsistenciaJetAdminConcatenada!$B:$B, 0)), ISNUMBER(SEARCH($A44,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ISNUMBER(SEARCH($A44, INDEX(AsistenciaJetAdminConcatenada!$D:$D, MATCH(1, (AsistenciaJetAdminConcatenada!$A:$A=Y$2)*(AsistenciaJetAdminConcatenada!$B:$B=Y$1), 0)), 1))),  0.5, 0))</f>
        <v>1</v>
      </c>
      <c r="Z44" s="47">
        <f t="array" ref="Z44">IF(AND(ISNUMBER(MATCH(Z$2, AsistenciaJetAdminConcatenada!$A:$A, 0)), ISNUMBER(MATCH(Z$1, AsistenciaJetAdminConcatenada!$B:$B, 0)), ISNUMBER(SEARCH($A44,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ISNUMBER(SEARCH($A44, INDEX(AsistenciaJetAdminConcatenada!$D:$D, MATCH(1, (AsistenciaJetAdminConcatenada!$A:$A=Z$2)*(AsistenciaJetAdminConcatenada!$B:$B=Z$1), 0)), 1))),  0.5, 0))</f>
        <v>1</v>
      </c>
      <c r="AA44" s="47">
        <f t="array" ref="AA44">IF(AND(ISNUMBER(MATCH(AA$2, AsistenciaJetAdminConcatenada!$A:$A, 0)), ISNUMBER(MATCH(AA$1, AsistenciaJetAdminConcatenada!$B:$B, 0)), ISNUMBER(SEARCH($A44,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ISNUMBER(SEARCH($A44, INDEX(AsistenciaJetAdminConcatenada!$D:$D, MATCH(1, (AsistenciaJetAdminConcatenada!$A:$A=AA$2)*(AsistenciaJetAdminConcatenada!$B:$B=AA$1), 0)), 1))),  0.5, 0))</f>
        <v>0</v>
      </c>
      <c r="AB44" s="47">
        <f t="array" ref="AB44">IF(AND(ISNUMBER(MATCH(AB$2, AsistenciaJetAdminConcatenada!$A:$A, 0)), ISNUMBER(MATCH(AB$1, AsistenciaJetAdminConcatenada!$B:$B, 0)), ISNUMBER(SEARCH($A44,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ISNUMBER(SEARCH($A44, INDEX(AsistenciaJetAdminConcatenada!$D:$D, MATCH(1, (AsistenciaJetAdminConcatenada!$A:$A=AB$2)*(AsistenciaJetAdminConcatenada!$B:$B=AB$1), 0)), 1))),  0.5, 0))</f>
        <v>1</v>
      </c>
      <c r="AC44" s="47">
        <f t="array" ref="AC44">IF(AND(ISNUMBER(MATCH(AC$2, AsistenciaJetAdminConcatenada!$A:$A, 0)), ISNUMBER(MATCH(AC$1, AsistenciaJetAdminConcatenada!$B:$B, 0)), ISNUMBER(SEARCH($A44,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ISNUMBER(SEARCH($A44, INDEX(AsistenciaJetAdminConcatenada!$D:$D, MATCH(1, (AsistenciaJetAdminConcatenada!$A:$A=AC$2)*(AsistenciaJetAdminConcatenada!$B:$B=AC$1), 0)), 1))),  0.5, 0))</f>
        <v>1</v>
      </c>
      <c r="AD44" s="47">
        <f t="array" ref="AD44">IF(AND(ISNUMBER(MATCH(AD$2, AsistenciaJetAdminConcatenada!$A:$A, 0)), ISNUMBER(MATCH(AD$1, AsistenciaJetAdminConcatenada!$B:$B, 0)), ISNUMBER(SEARCH($A44,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ISNUMBER(SEARCH($A44, INDEX(AsistenciaJetAdminConcatenada!$D:$D, MATCH(1, (AsistenciaJetAdminConcatenada!$A:$A=AD$2)*(AsistenciaJetAdminConcatenada!$B:$B=AD$1), 0)), 1))),  0.5, 0))</f>
        <v>0.5</v>
      </c>
      <c r="AE44" s="47">
        <f t="array" ref="AE44">IF(AND(ISNUMBER(MATCH(AE$2, AsistenciaJetAdminConcatenada!$A:$A, 0)), ISNUMBER(MATCH(AE$1, AsistenciaJetAdminConcatenada!$B:$B, 0)), ISNUMBER(SEARCH($A44,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ISNUMBER(SEARCH($A44, INDEX(AsistenciaJetAdminConcatenada!$D:$D, MATCH(1, (AsistenciaJetAdminConcatenada!$A:$A=AE$2)*(AsistenciaJetAdminConcatenada!$B:$B=AE$1), 0)), 1))),  0.5, 0))</f>
        <v>0</v>
      </c>
      <c r="AF44" s="47">
        <f t="array" ref="AF44">IF(AND(ISNUMBER(MATCH(AF$2, AsistenciaJetAdminConcatenada!$A:$A, 0)), ISNUMBER(MATCH(AF$1, AsistenciaJetAdminConcatenada!$B:$B, 0)), ISNUMBER(SEARCH($A44,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ISNUMBER(SEARCH($A44, INDEX(AsistenciaJetAdminConcatenada!$D:$D, MATCH(1, (AsistenciaJetAdminConcatenada!$A:$A=AF$2)*(AsistenciaJetAdminConcatenada!$B:$B=AF$1), 0)), 1))),  0.5, 0))</f>
        <v>0</v>
      </c>
      <c r="AG44" s="47">
        <f t="array" ref="AG44">IF(AND(ISNUMBER(MATCH(AG$2, AsistenciaJetAdminConcatenada!$A:$A, 0)), ISNUMBER(MATCH(AG$1, AsistenciaJetAdminConcatenada!$B:$B, 0)), ISNUMBER(SEARCH($A44,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ISNUMBER(SEARCH($A44, INDEX(AsistenciaJetAdminConcatenada!$D:$D, MATCH(1, (AsistenciaJetAdminConcatenada!$A:$A=AG$2)*(AsistenciaJetAdminConcatenada!$B:$B=AG$1), 0)), 1))),  0.5, 0))</f>
        <v>1</v>
      </c>
      <c r="AH44" s="47">
        <f t="array" ref="AH44">IF(AND(ISNUMBER(MATCH(AH$2, AsistenciaJetAdminConcatenada!$A:$A, 0)), ISNUMBER(MATCH(AH$1, AsistenciaJetAdminConcatenada!$B:$B, 0)), ISNUMBER(SEARCH($A44,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ISNUMBER(SEARCH($A44, INDEX(AsistenciaJetAdminConcatenada!$D:$D, MATCH(1, (AsistenciaJetAdminConcatenada!$A:$A=AH$2)*(AsistenciaJetAdminConcatenada!$B:$B=AH$1), 0)), 1))),  0.5, 0))</f>
        <v>0</v>
      </c>
      <c r="AI44" s="47">
        <f t="array" ref="AI44">IF(AND(ISNUMBER(MATCH(AI$2, AsistenciaJetAdminConcatenada!$A:$A, 0)), ISNUMBER(MATCH(AI$1, AsistenciaJetAdminConcatenada!$B:$B, 0)), ISNUMBER(SEARCH($A44,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ISNUMBER(SEARCH($A44, INDEX(AsistenciaJetAdminConcatenada!$D:$D, MATCH(1, (AsistenciaJetAdminConcatenada!$A:$A=AI$2)*(AsistenciaJetAdminConcatenada!$B:$B=AI$1), 0)), 1))),  0.5, 0))</f>
        <v>1</v>
      </c>
      <c r="AJ44" s="47">
        <f t="array" ref="AJ44">IF(AND(ISNUMBER(MATCH(AJ$2, AsistenciaJetAdminConcatenada!$A:$A, 0)), ISNUMBER(MATCH(AJ$1, AsistenciaJetAdminConcatenada!$B:$B, 0)), ISNUMBER(SEARCH($A44,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ISNUMBER(SEARCH($A44, INDEX(AsistenciaJetAdminConcatenada!$D:$D, MATCH(1, (AsistenciaJetAdminConcatenada!$A:$A=AJ$2)*(AsistenciaJetAdminConcatenada!$B:$B=AJ$1), 0)), 1))),  0.5, 0))</f>
        <v>0</v>
      </c>
      <c r="AK44" s="47">
        <f t="array" ref="AK44">IF(AND(ISNUMBER(MATCH(AK$2, AsistenciaJetAdminConcatenada!$A:$A, 0)), ISNUMBER(MATCH(AK$1, AsistenciaJetAdminConcatenada!$B:$B, 0)), ISNUMBER(SEARCH($A44,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ISNUMBER(SEARCH($A44, INDEX(AsistenciaJetAdminConcatenada!$D:$D, MATCH(1, (AsistenciaJetAdminConcatenada!$A:$A=AK$2)*(AsistenciaJetAdminConcatenada!$B:$B=AK$1), 0)), 1))),  0.5, 0))</f>
        <v>0</v>
      </c>
      <c r="AL44" s="47">
        <f t="array" ref="AL44">IF(AND(ISNUMBER(MATCH(AL$2, AsistenciaJetAdminConcatenada!$A:$A, 0)), ISNUMBER(MATCH(AL$1, AsistenciaJetAdminConcatenada!$B:$B, 0)), ISNUMBER(SEARCH($A44,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ISNUMBER(SEARCH($A44, INDEX(AsistenciaJetAdminConcatenada!$D:$D, MATCH(1, (AsistenciaJetAdminConcatenada!$A:$A=AL$2)*(AsistenciaJetAdminConcatenada!$B:$B=AL$1), 0)), 1))),  0.5, 0))</f>
        <v>0</v>
      </c>
      <c r="AM44" s="47">
        <f t="array" ref="AM44">IF(AND(ISNUMBER(MATCH(AM$2, AsistenciaJetAdminConcatenada!$A:$A, 0)), ISNUMBER(MATCH(AM$1, AsistenciaJetAdminConcatenada!$B:$B, 0)), ISNUMBER(SEARCH($A44,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ISNUMBER(SEARCH($A44, INDEX(AsistenciaJetAdminConcatenada!$D:$D, MATCH(1, (AsistenciaJetAdminConcatenada!$A:$A=AM$2)*(AsistenciaJetAdminConcatenada!$B:$B=AM$1), 0)), 1))),  0.5, 0))</f>
        <v>0</v>
      </c>
      <c r="AN44" s="47">
        <f t="array" ref="AN44">IF(AND(ISNUMBER(MATCH(AN$2, AsistenciaJetAdminConcatenada!$A:$A, 0)), ISNUMBER(MATCH(AN$1, AsistenciaJetAdminConcatenada!$B:$B, 0)), ISNUMBER(SEARCH($A44,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ISNUMBER(SEARCH($A44, INDEX(AsistenciaJetAdminConcatenada!$D:$D, MATCH(1, (AsistenciaJetAdminConcatenada!$A:$A=AN$2)*(AsistenciaJetAdminConcatenada!$B:$B=AN$1), 0)), 1))),  0.5, 0))</f>
        <v>0</v>
      </c>
      <c r="AO44" s="47">
        <f t="array" ref="AO44">IF(AND(ISNUMBER(MATCH(AO$2, AsistenciaJetAdminConcatenada!$A:$A, 0)), ISNUMBER(MATCH(AO$1, AsistenciaJetAdminConcatenada!$B:$B, 0)), ISNUMBER(SEARCH($A44,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ISNUMBER(SEARCH($A44, INDEX(AsistenciaJetAdminConcatenada!$D:$D, MATCH(1, (AsistenciaJetAdminConcatenada!$A:$A=AO$2)*(AsistenciaJetAdminConcatenada!$B:$B=AO$1), 0)), 1))),  0.5, 0))</f>
        <v>0</v>
      </c>
      <c r="AP44" s="47">
        <f t="array" ref="AP44">IF(AND(ISNUMBER(MATCH(AP$2, AsistenciaJetAdminConcatenada!$A:$A, 0)), ISNUMBER(MATCH(AP$1, AsistenciaJetAdminConcatenada!$B:$B, 0)), ISNUMBER(SEARCH($A44,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ISNUMBER(SEARCH($A44, INDEX(AsistenciaJetAdminConcatenada!$D:$D, MATCH(1, (AsistenciaJetAdminConcatenada!$A:$A=AP$2)*(AsistenciaJetAdminConcatenada!$B:$B=AP$1), 0)), 1))),  0.5, 0))</f>
        <v>0</v>
      </c>
      <c r="AQ44" s="47">
        <f t="array" ref="AQ44">IF(AND(ISNUMBER(MATCH(AQ$2, AsistenciaJetAdminConcatenada!$A:$A, 0)), ISNUMBER(MATCH(AQ$1, AsistenciaJetAdminConcatenada!$B:$B, 0)), ISNUMBER(SEARCH($A44,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ISNUMBER(SEARCH($A44, INDEX(AsistenciaJetAdminConcatenada!$D:$D, MATCH(1, (AsistenciaJetAdminConcatenada!$A:$A=AQ$2)*(AsistenciaJetAdminConcatenada!$B:$B=AQ$1), 0)), 1))),  0.5, 0))</f>
        <v>0</v>
      </c>
      <c r="AR44" s="47">
        <f t="array" ref="AR44">IF(AND(ISNUMBER(MATCH(AR$2, AsistenciaJetAdminConcatenada!$A:$A, 0)), ISNUMBER(MATCH(AR$1, AsistenciaJetAdminConcatenada!$B:$B, 0)), ISNUMBER(SEARCH($A44,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ISNUMBER(SEARCH($A44, INDEX(AsistenciaJetAdminConcatenada!$D:$D, MATCH(1, (AsistenciaJetAdminConcatenada!$A:$A=AR$2)*(AsistenciaJetAdminConcatenada!$B:$B=AR$1), 0)), 1))),  0.5, 0))</f>
        <v>1</v>
      </c>
      <c r="AS44" s="47">
        <f t="array" ref="AS44">IF(AND(ISNUMBER(MATCH(AS$2, AsistenciaJetAdminConcatenada!$A:$A, 0)), ISNUMBER(MATCH(AS$1, AsistenciaJetAdminConcatenada!$B:$B, 0)), ISNUMBER(SEARCH($A44,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ISNUMBER(SEARCH($A44, INDEX(AsistenciaJetAdminConcatenada!$D:$D, MATCH(1, (AsistenciaJetAdminConcatenada!$A:$A=AS$2)*(AsistenciaJetAdminConcatenada!$B:$B=AS$1), 0)), 1))),  0.5, 0))</f>
        <v>1</v>
      </c>
      <c r="AT44" s="47">
        <f t="array" ref="AT44">IF(AND(ISNUMBER(MATCH(AT$2, AsistenciaJetAdminConcatenada!$A:$A, 0)), ISNUMBER(MATCH(AT$1, AsistenciaJetAdminConcatenada!$B:$B, 0)), ISNUMBER(SEARCH($A44,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ISNUMBER(SEARCH($A44, INDEX(AsistenciaJetAdminConcatenada!$D:$D, MATCH(1, (AsistenciaJetAdminConcatenada!$A:$A=AT$2)*(AsistenciaJetAdminConcatenada!$B:$B=AT$1), 0)), 1))),  0.5, 0))</f>
        <v>0</v>
      </c>
      <c r="AU44" s="47">
        <f t="array" ref="AU44">IF(AND(ISNUMBER(MATCH(AU$2, AsistenciaJetAdminConcatenada!$A:$A, 0)), ISNUMBER(MATCH(AU$1, AsistenciaJetAdminConcatenada!$B:$B, 0)), ISNUMBER(SEARCH($A44,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ISNUMBER(SEARCH($A44, INDEX(AsistenciaJetAdminConcatenada!$D:$D, MATCH(1, (AsistenciaJetAdminConcatenada!$A:$A=AU$2)*(AsistenciaJetAdminConcatenada!$B:$B=AU$1), 0)), 1))),  0.5, 0))</f>
        <v>0</v>
      </c>
      <c r="AV44" s="47">
        <f t="array" ref="AV44">IF(AND(ISNUMBER(MATCH(AV$2, AsistenciaJetAdminConcatenada!$A:$A, 0)), ISNUMBER(MATCH(AV$1, AsistenciaJetAdminConcatenada!$B:$B, 0)), ISNUMBER(SEARCH($A44,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ISNUMBER(SEARCH($A44, INDEX(AsistenciaJetAdminConcatenada!$D:$D, MATCH(1, (AsistenciaJetAdminConcatenada!$A:$A=AV$2)*(AsistenciaJetAdminConcatenada!$B:$B=AV$1), 0)), 1))),  0.5, 0))</f>
        <v>1</v>
      </c>
      <c r="AW44" s="47">
        <f t="array" ref="AW44">IF(AND(ISNUMBER(MATCH(AW$2, AsistenciaJetAdminConcatenada!$A:$A, 0)), ISNUMBER(MATCH(AW$1, AsistenciaJetAdminConcatenada!$B:$B, 0)), ISNUMBER(SEARCH($A44,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ISNUMBER(SEARCH($A44, INDEX(AsistenciaJetAdminConcatenada!$D:$D, MATCH(1, (AsistenciaJetAdminConcatenada!$A:$A=AW$2)*(AsistenciaJetAdminConcatenada!$B:$B=AW$1), 0)), 1))),  0.5, 0))</f>
        <v>0</v>
      </c>
      <c r="AX44" s="47">
        <f t="array" ref="AX44">IF(AND(ISNUMBER(MATCH(AX$2, AsistenciaJetAdminConcatenada!$A:$A, 0)), ISNUMBER(MATCH(AX$1, AsistenciaJetAdminConcatenada!$B:$B, 0)), ISNUMBER(SEARCH($A44,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ISNUMBER(SEARCH($A44, INDEX(AsistenciaJetAdminConcatenada!$D:$D, MATCH(1, (AsistenciaJetAdminConcatenada!$A:$A=AX$2)*(AsistenciaJetAdminConcatenada!$B:$B=AX$1), 0)), 1))),  0.5, 0))</f>
        <v>1</v>
      </c>
      <c r="AY44" s="47">
        <f t="array" ref="AY44">IF(AND(ISNUMBER(MATCH(AY$2, AsistenciaJetAdminConcatenada!$A:$A, 0)), ISNUMBER(MATCH(AY$1, AsistenciaJetAdminConcatenada!$B:$B, 0)), ISNUMBER(SEARCH($A44,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ISNUMBER(SEARCH($A44, INDEX(AsistenciaJetAdminConcatenada!$D:$D, MATCH(1, (AsistenciaJetAdminConcatenada!$A:$A=AY$2)*(AsistenciaJetAdminConcatenada!$B:$B=AY$1), 0)), 1))),  0.5, 0))</f>
        <v>0</v>
      </c>
      <c r="AZ44" s="47">
        <f t="array" ref="AZ44">IF(AND(ISNUMBER(MATCH(AZ$2, AsistenciaJetAdminConcatenada!$A:$A, 0)), ISNUMBER(MATCH(AZ$1, AsistenciaJetAdminConcatenada!$B:$B, 0)), ISNUMBER(SEARCH($A44,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ISNUMBER(SEARCH($A44, INDEX(AsistenciaJetAdminConcatenada!$D:$D, MATCH(1, (AsistenciaJetAdminConcatenada!$A:$A=AZ$2)*(AsistenciaJetAdminConcatenada!$B:$B=AZ$1), 0)), 1))),  0.5, 0))</f>
        <v>1</v>
      </c>
      <c r="BA44" s="47">
        <f t="array" ref="BA44">IF(AND(ISNUMBER(MATCH(BA$2, AsistenciaJetAdminConcatenada!$A:$A, 0)), ISNUMBER(MATCH(BA$1, AsistenciaJetAdminConcatenada!$B:$B, 0)), ISNUMBER(SEARCH($A44,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ISNUMBER(SEARCH($A44, INDEX(AsistenciaJetAdminConcatenada!$D:$D, MATCH(1, (AsistenciaJetAdminConcatenada!$A:$A=BA$2)*(AsistenciaJetAdminConcatenada!$B:$B=BA$1), 0)), 1))),  0.5, 0))</f>
        <v>0</v>
      </c>
      <c r="BB44" s="47">
        <f t="array" ref="BB44">IF(AND(ISNUMBER(MATCH(BB$2, AsistenciaJetAdminConcatenada!$A:$A, 0)), ISNUMBER(MATCH(BB$1, AsistenciaJetAdminConcatenada!$B:$B, 0)), ISNUMBER(SEARCH($A44,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ISNUMBER(SEARCH($A44, INDEX(AsistenciaJetAdminConcatenada!$D:$D, MATCH(1, (AsistenciaJetAdminConcatenada!$A:$A=BB$2)*(AsistenciaJetAdminConcatenada!$B:$B=BB$1), 0)), 1))),  0.5, 0))</f>
        <v>1</v>
      </c>
      <c r="BC44" s="47">
        <f t="array" ref="BC44">IF(AND(ISNUMBER(MATCH(BC$2, AsistenciaJetAdminConcatenada!$A:$A, 0)), ISNUMBER(MATCH(BC$1, AsistenciaJetAdminConcatenada!$B:$B, 0)), ISNUMBER(SEARCH($A44,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ISNUMBER(SEARCH($A44, INDEX(AsistenciaJetAdminConcatenada!$D:$D, MATCH(1, (AsistenciaJetAdminConcatenada!$A:$A=BC$2)*(AsistenciaJetAdminConcatenada!$B:$B=BC$1), 0)), 1))),  0.5, 0))</f>
        <v>0.5</v>
      </c>
      <c r="BD44" s="47">
        <f t="array" ref="BD44">IF(AND(ISNUMBER(MATCH(BD$2, AsistenciaJetAdminConcatenada!$A:$A, 0)), ISNUMBER(MATCH(BD$1, AsistenciaJetAdminConcatenada!$B:$B, 0)), ISNUMBER(SEARCH($A44,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ISNUMBER(SEARCH($A44, INDEX(AsistenciaJetAdminConcatenada!$D:$D, MATCH(1, (AsistenciaJetAdminConcatenada!$A:$A=BD$2)*(AsistenciaJetAdminConcatenada!$B:$B=BD$1), 0)), 1))),  0.5, 0))</f>
        <v>0</v>
      </c>
      <c r="BE44" s="47">
        <f t="array" ref="BE44">IF(AND(ISNUMBER(MATCH(BE$2, AsistenciaJetAdminConcatenada!$A:$A, 0)), ISNUMBER(MATCH(BE$1, AsistenciaJetAdminConcatenada!$B:$B, 0)), ISNUMBER(SEARCH($A44,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ISNUMBER(SEARCH($A44, INDEX(AsistenciaJetAdminConcatenada!$D:$D, MATCH(1, (AsistenciaJetAdminConcatenada!$A:$A=BE$2)*(AsistenciaJetAdminConcatenada!$B:$B=BE$1), 0)), 1))),  0.5, 0))</f>
        <v>0</v>
      </c>
      <c r="BF44" s="47">
        <f t="array" ref="BF44">IF(AND(ISNUMBER(MATCH(BF$2, AsistenciaJetAdminConcatenada!$A:$A, 0)), ISNUMBER(MATCH(BF$1, AsistenciaJetAdminConcatenada!$B:$B, 0)), ISNUMBER(SEARCH($A44,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ISNUMBER(SEARCH($A44, INDEX(AsistenciaJetAdminConcatenada!$D:$D, MATCH(1, (AsistenciaJetAdminConcatenada!$A:$A=BF$2)*(AsistenciaJetAdminConcatenada!$B:$B=BF$1), 0)), 1))),  0.5, 0))</f>
        <v>1</v>
      </c>
      <c r="BG44" s="47">
        <f t="array" ref="BG44">IF(AND(ISNUMBER(MATCH(BG$2, AsistenciaJetAdminConcatenada!$A:$A, 0)), ISNUMBER(MATCH(BG$1, AsistenciaJetAdminConcatenada!$B:$B, 0)), ISNUMBER(SEARCH($A44,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ISNUMBER(SEARCH($A44, INDEX(AsistenciaJetAdminConcatenada!$D:$D, MATCH(1, (AsistenciaJetAdminConcatenada!$A:$A=BG$2)*(AsistenciaJetAdminConcatenada!$B:$B=BG$1), 0)), 1))),  0.5, 0))</f>
        <v>0</v>
      </c>
      <c r="BH44" s="47">
        <f t="array" ref="BH44">IF(AND(ISNUMBER(MATCH(BH$2, AsistenciaJetAdminConcatenada!$A:$A, 0)), ISNUMBER(MATCH(BH$1, AsistenciaJetAdminConcatenada!$B:$B, 0)), ISNUMBER(SEARCH($A44,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ISNUMBER(SEARCH($A44, INDEX(AsistenciaJetAdminConcatenada!$D:$D, MATCH(1, (AsistenciaJetAdminConcatenada!$A:$A=BH$2)*(AsistenciaJetAdminConcatenada!$B:$B=BH$1), 0)), 1))),  0.5, 0))</f>
        <v>1</v>
      </c>
      <c r="BI44" s="47">
        <f t="array" ref="BI44">IF(AND(ISNUMBER(MATCH(BI$2, AsistenciaJetAdminConcatenada!$A:$A, 0)), ISNUMBER(MATCH(BI$1, AsistenciaJetAdminConcatenada!$B:$B, 0)), ISNUMBER(SEARCH($A44,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ISNUMBER(SEARCH($A44, INDEX(AsistenciaJetAdminConcatenada!$D:$D, MATCH(1, (AsistenciaJetAdminConcatenada!$A:$A=BI$2)*(AsistenciaJetAdminConcatenada!$B:$B=BI$1), 0)), 1))),  0.5, 0))</f>
        <v>1</v>
      </c>
      <c r="BJ44" s="47">
        <f t="array" ref="BJ44">IF(AND(ISNUMBER(MATCH(BJ$2, AsistenciaJetAdminConcatenada!$A:$A, 0)), ISNUMBER(MATCH(BJ$1, AsistenciaJetAdminConcatenada!$B:$B, 0)), ISNUMBER(SEARCH($A44,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ISNUMBER(SEARCH($A44, INDEX(AsistenciaJetAdminConcatenada!$D:$D, MATCH(1, (AsistenciaJetAdminConcatenada!$A:$A=BJ$2)*(AsistenciaJetAdminConcatenada!$B:$B=BJ$1), 0)), 1))),  0.5, 0))</f>
        <v>0</v>
      </c>
      <c r="BK44" s="47">
        <f t="array" ref="BK44">IF(AND(ISNUMBER(MATCH(BK$2, AsistenciaJetAdminConcatenada!$A:$A, 0)), ISNUMBER(MATCH(BK$1, AsistenciaJetAdminConcatenada!$B:$B, 0)), ISNUMBER(SEARCH($A44,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ISNUMBER(SEARCH($A44, INDEX(AsistenciaJetAdminConcatenada!$D:$D, MATCH(1, (AsistenciaJetAdminConcatenada!$A:$A=BK$2)*(AsistenciaJetAdminConcatenada!$B:$B=BK$1), 0)), 1))),  0.5, 0))</f>
        <v>1</v>
      </c>
      <c r="BL44" s="47">
        <f t="array" ref="BL44">IF(AND(ISNUMBER(MATCH(BL$2, AsistenciaJetAdminConcatenada!$A:$A, 0)), ISNUMBER(MATCH(BL$1, AsistenciaJetAdminConcatenada!$B:$B, 0)), ISNUMBER(SEARCH($A44,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ISNUMBER(SEARCH($A44, INDEX(AsistenciaJetAdminConcatenada!$D:$D, MATCH(1, (AsistenciaJetAdminConcatenada!$A:$A=BL$2)*(AsistenciaJetAdminConcatenada!$B:$B=BL$1), 0)), 1))),  0.5, 0))</f>
        <v>1</v>
      </c>
      <c r="BM44" s="47">
        <f t="array" ref="BM44">IF(AND(ISNUMBER(MATCH(BM$2, AsistenciaJetAdminConcatenada!$A:$A, 0)), ISNUMBER(MATCH(BM$1, AsistenciaJetAdminConcatenada!$B:$B, 0)), ISNUMBER(SEARCH($A44,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ISNUMBER(SEARCH($A44, INDEX(AsistenciaJetAdminConcatenada!$D:$D, MATCH(1, (AsistenciaJetAdminConcatenada!$A:$A=BM$2)*(AsistenciaJetAdminConcatenada!$B:$B=BM$1), 0)), 1))),  0.5, 0))</f>
        <v>0</v>
      </c>
      <c r="BN44" s="47">
        <f t="array" ref="BN44">IF(AND(ISNUMBER(MATCH(BN$2, AsistenciaJetAdminConcatenada!$A:$A, 0)), ISNUMBER(MATCH(BN$1, AsistenciaJetAdminConcatenada!$B:$B, 0)), ISNUMBER(SEARCH($A44,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ISNUMBER(SEARCH($A44, INDEX(AsistenciaJetAdminConcatenada!$D:$D, MATCH(1, (AsistenciaJetAdminConcatenada!$A:$A=BN$2)*(AsistenciaJetAdminConcatenada!$B:$B=BN$1), 0)), 1))),  0.5, 0))</f>
        <v>1</v>
      </c>
      <c r="BO44" s="47">
        <f t="array" ref="BO44">IF(AND(ISNUMBER(MATCH(BO$2, AsistenciaJetAdminConcatenada!$A:$A, 0)), ISNUMBER(MATCH(BO$1, AsistenciaJetAdminConcatenada!$B:$B, 0)), ISNUMBER(SEARCH($A44,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ISNUMBER(SEARCH($A44, INDEX(AsistenciaJetAdminConcatenada!$D:$D, MATCH(1, (AsistenciaJetAdminConcatenada!$A:$A=BO$2)*(AsistenciaJetAdminConcatenada!$B:$B=BO$1), 0)), 1))),  0.5, 0))</f>
        <v>1</v>
      </c>
      <c r="BP44" s="47">
        <f t="array" ref="BP44">IF(AND(ISNUMBER(MATCH(BP$2, AsistenciaJetAdminConcatenada!$A:$A, 0)), ISNUMBER(MATCH(BP$1, AsistenciaJetAdminConcatenada!$B:$B, 0)), ISNUMBER(SEARCH($A44,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ISNUMBER(SEARCH($A44, INDEX(AsistenciaJetAdminConcatenada!$D:$D, MATCH(1, (AsistenciaJetAdminConcatenada!$A:$A=BP$2)*(AsistenciaJetAdminConcatenada!$B:$B=BP$1), 0)), 1))),  0.5, 0))</f>
        <v>0</v>
      </c>
      <c r="BQ44" s="47">
        <f t="array" ref="BQ44">IF(AND(ISNUMBER(MATCH(BQ$2, AsistenciaJetAdminConcatenada!$A:$A, 0)), ISNUMBER(MATCH(BQ$1, AsistenciaJetAdminConcatenada!$B:$B, 0)), ISNUMBER(SEARCH($A44,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ISNUMBER(SEARCH($A44, INDEX(AsistenciaJetAdminConcatenada!$D:$D, MATCH(1, (AsistenciaJetAdminConcatenada!$A:$A=BQ$2)*(AsistenciaJetAdminConcatenada!$B:$B=BQ$1), 0)), 1))),  0.5, 0))</f>
        <v>1</v>
      </c>
      <c r="BR44" s="47">
        <f t="array" ref="BR44">IF(AND(ISNUMBER(MATCH(BR$2, AsistenciaJetAdminConcatenada!$A:$A, 0)), ISNUMBER(MATCH(BR$1, AsistenciaJetAdminConcatenada!$B:$B, 0)), ISNUMBER(SEARCH($A44,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ISNUMBER(SEARCH($A44, INDEX(AsistenciaJetAdminConcatenada!$D:$D, MATCH(1, (AsistenciaJetAdminConcatenada!$A:$A=BR$2)*(AsistenciaJetAdminConcatenada!$B:$B=BR$1), 0)), 1))),  0.5, 0))</f>
        <v>1</v>
      </c>
      <c r="BS44" s="47">
        <f t="array" ref="BS44">IF(AND(ISNUMBER(MATCH(BS$2, AsistenciaJetAdminConcatenada!$A:$A, 0)), ISNUMBER(MATCH(BS$1, AsistenciaJetAdminConcatenada!$B:$B, 0)), ISNUMBER(SEARCH($A44,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ISNUMBER(SEARCH($A44, INDEX(AsistenciaJetAdminConcatenada!$D:$D, MATCH(1, (AsistenciaJetAdminConcatenada!$A:$A=BS$2)*(AsistenciaJetAdminConcatenada!$B:$B=BS$1), 0)), 1))),  0.5, 0))</f>
        <v>1</v>
      </c>
      <c r="BT44" s="47">
        <f t="array" ref="BT44">IF(AND(ISNUMBER(MATCH(BT$2, AsistenciaJetAdminConcatenada!$A:$A, 0)), ISNUMBER(MATCH(BT$1, AsistenciaJetAdminConcatenada!$B:$B, 0)), ISNUMBER(SEARCH($A44,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ISNUMBER(SEARCH($A44, INDEX(AsistenciaJetAdminConcatenada!$D:$D, MATCH(1, (AsistenciaJetAdminConcatenada!$A:$A=BT$2)*(AsistenciaJetAdminConcatenada!$B:$B=BT$1), 0)), 1))),  0.5, 0))</f>
        <v>1</v>
      </c>
      <c r="BU44" s="47">
        <f t="array" ref="BU44">IF(AND(ISNUMBER(MATCH(BU$2, AsistenciaJetAdminConcatenada!$A:$A, 0)), ISNUMBER(MATCH(BU$1, AsistenciaJetAdminConcatenada!$B:$B, 0)), ISNUMBER(SEARCH($A44,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ISNUMBER(SEARCH($A44, INDEX(AsistenciaJetAdminConcatenada!$D:$D, MATCH(1, (AsistenciaJetAdminConcatenada!$A:$A=BU$2)*(AsistenciaJetAdminConcatenada!$B:$B=BU$1), 0)), 1))),  0.5, 0))</f>
        <v>0</v>
      </c>
      <c r="BV44" s="47">
        <f t="array" ref="BV44">IF(AND(ISNUMBER(MATCH(BV$2, AsistenciaJetAdminConcatenada!$A:$A, 0)), ISNUMBER(MATCH(BV$1, AsistenciaJetAdminConcatenada!$B:$B, 0)), ISNUMBER(SEARCH($A44,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ISNUMBER(SEARCH($A44, INDEX(AsistenciaJetAdminConcatenada!$D:$D, MATCH(1, (AsistenciaJetAdminConcatenada!$A:$A=BV$2)*(AsistenciaJetAdminConcatenada!$B:$B=BV$1), 0)), 1))),  0.5, 0))</f>
        <v>0</v>
      </c>
      <c r="BW44" s="47">
        <f t="array" ref="BW44">IF(AND(ISNUMBER(MATCH(BW$2, AsistenciaJetAdminConcatenada!$A:$A, 0)), ISNUMBER(MATCH(BW$1, AsistenciaJetAdminConcatenada!$B:$B, 0)), ISNUMBER(SEARCH($A44,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ISNUMBER(SEARCH($A44, INDEX(AsistenciaJetAdminConcatenada!$D:$D, MATCH(1, (AsistenciaJetAdminConcatenada!$A:$A=BW$2)*(AsistenciaJetAdminConcatenada!$B:$B=BW$1), 0)), 1))),  0.5, 0))</f>
        <v>1</v>
      </c>
      <c r="BX44" s="47">
        <f t="array" ref="BX44">IF(AND(ISNUMBER(MATCH(BX$2, AsistenciaJetAdminConcatenada!$A:$A, 0)), ISNUMBER(MATCH(BX$1, AsistenciaJetAdminConcatenada!$B:$B, 0)), ISNUMBER(SEARCH($A44,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ISNUMBER(SEARCH($A44, INDEX(AsistenciaJetAdminConcatenada!$D:$D, MATCH(1, (AsistenciaJetAdminConcatenada!$A:$A=BX$2)*(AsistenciaJetAdminConcatenada!$B:$B=BX$1), 0)), 1))),  0.5, 0))</f>
        <v>1</v>
      </c>
      <c r="BY44" s="47">
        <f t="array" ref="BY44">IF(AND(ISNUMBER(MATCH(BY$2, AsistenciaJetAdminConcatenada!$A:$A, 0)), ISNUMBER(MATCH(BY$1, AsistenciaJetAdminConcatenada!$B:$B, 0)), ISNUMBER(SEARCH($A44,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ISNUMBER(SEARCH($A44, INDEX(AsistenciaJetAdminConcatenada!$D:$D, MATCH(1, (AsistenciaJetAdminConcatenada!$A:$A=BY$2)*(AsistenciaJetAdminConcatenada!$B:$B=BY$1), 0)), 1))),  0.5, 0))</f>
        <v>1</v>
      </c>
      <c r="BZ44" s="47">
        <f t="array" ref="BZ44">IF(AND(ISNUMBER(MATCH(BZ$2, AsistenciaJetAdminConcatenada!$A:$A, 0)), ISNUMBER(MATCH(BZ$1, AsistenciaJetAdminConcatenada!$B:$B, 0)), ISNUMBER(SEARCH($A44,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ISNUMBER(SEARCH($A44, INDEX(AsistenciaJetAdminConcatenada!$D:$D, MATCH(1, (AsistenciaJetAdminConcatenada!$A:$A=BZ$2)*(AsistenciaJetAdminConcatenada!$B:$B=BZ$1), 0)), 1))),  0.5, 0))</f>
        <v>0.5</v>
      </c>
      <c r="CA44" s="47">
        <f t="array" ref="CA44">IF(AND(ISNUMBER(MATCH(CA$2, AsistenciaJetAdminConcatenada!$A:$A, 0)), ISNUMBER(MATCH(CA$1, AsistenciaJetAdminConcatenada!$B:$B, 0)), ISNUMBER(SEARCH($A44,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ISNUMBER(SEARCH($A44, INDEX(AsistenciaJetAdminConcatenada!$D:$D, MATCH(1, (AsistenciaJetAdminConcatenada!$A:$A=CA$2)*(AsistenciaJetAdminConcatenada!$B:$B=CA$1), 0)), 1))),  0.5, 0))</f>
        <v>1</v>
      </c>
      <c r="CB44" s="47">
        <f t="array" ref="CB44">IF(AND(ISNUMBER(MATCH(CB$2, AsistenciaJetAdminConcatenada!$A:$A, 0)), ISNUMBER(MATCH(CB$1, AsistenciaJetAdminConcatenada!$B:$B, 0)), ISNUMBER(SEARCH($A44,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ISNUMBER(SEARCH($A44, INDEX(AsistenciaJetAdminConcatenada!$D:$D, MATCH(1, (AsistenciaJetAdminConcatenada!$A:$A=CB$2)*(AsistenciaJetAdminConcatenada!$B:$B=CB$1), 0)), 1))),  0.5, 0))</f>
        <v>1</v>
      </c>
      <c r="CC44" s="47">
        <f t="array" ref="CC44">IF(AND(ISNUMBER(MATCH(CC$2, AsistenciaJetAdminConcatenada!$A:$A, 0)), ISNUMBER(MATCH(CC$1, AsistenciaJetAdminConcatenada!$B:$B, 0)), ISNUMBER(SEARCH($A44,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ISNUMBER(SEARCH($A44, INDEX(AsistenciaJetAdminConcatenada!$D:$D, MATCH(1, (AsistenciaJetAdminConcatenada!$A:$A=CC$2)*(AsistenciaJetAdminConcatenada!$B:$B=CC$1), 0)), 1))),  0.5, 0))</f>
        <v>1</v>
      </c>
      <c r="CD44" s="47">
        <f t="array" ref="CD44">IF(AND(ISNUMBER(MATCH(CD$2, AsistenciaJetAdminConcatenada!$A:$A, 0)), ISNUMBER(MATCH(CD$1, AsistenciaJetAdminConcatenada!$B:$B, 0)), ISNUMBER(SEARCH($A44,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ISNUMBER(SEARCH($A44, INDEX(AsistenciaJetAdminConcatenada!$D:$D, MATCH(1, (AsistenciaJetAdminConcatenada!$A:$A=CD$2)*(AsistenciaJetAdminConcatenada!$B:$B=CD$1), 0)), 1))),  0.5, 0))</f>
        <v>0</v>
      </c>
      <c r="CE44" s="47">
        <f t="array" ref="CE44">IF(AND(ISNUMBER(MATCH(CE$2, AsistenciaJetAdminConcatenada!$A:$A, 0)), ISNUMBER(MATCH(CE$1, AsistenciaJetAdminConcatenada!$B:$B, 0)), ISNUMBER(SEARCH($A44,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ISNUMBER(SEARCH($A44, INDEX(AsistenciaJetAdminConcatenada!$D:$D, MATCH(1, (AsistenciaJetAdminConcatenada!$A:$A=CE$2)*(AsistenciaJetAdminConcatenada!$B:$B=CE$1), 0)), 1))),  0.5, 0))</f>
        <v>0</v>
      </c>
      <c r="CF44" s="47">
        <f t="array" ref="CF44">IF(AND(ISNUMBER(MATCH(CF$2, AsistenciaJetAdminConcatenada!$A:$A, 0)), ISNUMBER(MATCH(CF$1, AsistenciaJetAdminConcatenada!$B:$B, 0)), ISNUMBER(SEARCH($A44,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ISNUMBER(SEARCH($A44, INDEX(AsistenciaJetAdminConcatenada!$D:$D, MATCH(1, (AsistenciaJetAdminConcatenada!$A:$A=CF$2)*(AsistenciaJetAdminConcatenada!$B:$B=CF$1), 0)), 1))),  0.5, 0))</f>
        <v>0</v>
      </c>
      <c r="CG44" s="47">
        <f t="array" ref="CG44">IF(AND(ISNUMBER(MATCH(CG$2, AsistenciaJetAdminConcatenada!$A:$A, 0)), ISNUMBER(MATCH(CG$1, AsistenciaJetAdminConcatenada!$B:$B, 0)), ISNUMBER(SEARCH($A44,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ISNUMBER(SEARCH($A44, INDEX(AsistenciaJetAdminConcatenada!$D:$D, MATCH(1, (AsistenciaJetAdminConcatenada!$A:$A=CG$2)*(AsistenciaJetAdminConcatenada!$B:$B=CG$1), 0)), 1))),  0.5, 0))</f>
        <v>0</v>
      </c>
      <c r="CH44" s="47">
        <f t="array" ref="CH44">IF(AND(ISNUMBER(MATCH(CH$2, AsistenciaJetAdminConcatenada!$A:$A, 0)), ISNUMBER(MATCH(CH$1, AsistenciaJetAdminConcatenada!$B:$B, 0)), ISNUMBER(SEARCH($A44,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ISNUMBER(SEARCH($A44, INDEX(AsistenciaJetAdminConcatenada!$D:$D, MATCH(1, (AsistenciaJetAdminConcatenada!$A:$A=CH$2)*(AsistenciaJetAdminConcatenada!$B:$B=CH$1), 0)), 1))),  0.5, 0))</f>
        <v>0</v>
      </c>
      <c r="CI44" s="47">
        <f t="array" ref="CI44">IF(AND(ISNUMBER(MATCH(CI$2, AsistenciaJetAdminConcatenada!$A:$A, 0)), ISNUMBER(MATCH(CI$1, AsistenciaJetAdminConcatenada!$B:$B, 0)), ISNUMBER(SEARCH($A44,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ISNUMBER(SEARCH($A44, INDEX(AsistenciaJetAdminConcatenada!$D:$D, MATCH(1, (AsistenciaJetAdminConcatenada!$A:$A=CI$2)*(AsistenciaJetAdminConcatenada!$B:$B=CI$1), 0)), 1))),  0.5, 0))</f>
        <v>1</v>
      </c>
      <c r="CJ44" s="47">
        <f t="array" ref="CJ44">IF(AND(ISNUMBER(MATCH(CJ$2, AsistenciaJetAdminConcatenada!$A:$A, 0)), ISNUMBER(MATCH(CJ$1, AsistenciaJetAdminConcatenada!$B:$B, 0)), ISNUMBER(SEARCH($A44,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ISNUMBER(SEARCH($A44, INDEX(AsistenciaJetAdminConcatenada!$D:$D, MATCH(1, (AsistenciaJetAdminConcatenada!$A:$A=CJ$2)*(AsistenciaJetAdminConcatenada!$B:$B=CJ$1), 0)), 1))),  0.5, 0))</f>
        <v>1</v>
      </c>
      <c r="CK44" s="47">
        <f t="array" ref="CK44">IF(AND(ISNUMBER(MATCH(CK$2, AsistenciaJetAdminConcatenada!$A:$A, 0)), ISNUMBER(MATCH(CK$1, AsistenciaJetAdminConcatenada!$B:$B, 0)), ISNUMBER(SEARCH($A44,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ISNUMBER(SEARCH($A44, INDEX(AsistenciaJetAdminConcatenada!$D:$D, MATCH(1, (AsistenciaJetAdminConcatenada!$A:$A=CK$2)*(AsistenciaJetAdminConcatenada!$B:$B=CK$1), 0)), 1))),  0.5, 0))</f>
        <v>0</v>
      </c>
      <c r="CL44" s="47">
        <f t="array" ref="CL44">IF(AND(ISNUMBER(MATCH(CL$2, AsistenciaJetAdminConcatenada!$A:$A, 0)), ISNUMBER(MATCH(CL$1, AsistenciaJetAdminConcatenada!$B:$B, 0)), ISNUMBER(SEARCH($A44,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ISNUMBER(SEARCH($A44, INDEX(AsistenciaJetAdminConcatenada!$D:$D, MATCH(1, (AsistenciaJetAdminConcatenada!$A:$A=CL$2)*(AsistenciaJetAdminConcatenada!$B:$B=CL$1), 0)), 1))),  0.5, 0))</f>
        <v>1</v>
      </c>
      <c r="CM44" s="47">
        <f t="array" ref="CM44">IF(AND(ISNUMBER(MATCH(CM$2, AsistenciaJetAdminConcatenada!$A:$A, 0)), ISNUMBER(MATCH(CM$1, AsistenciaJetAdminConcatenada!$B:$B, 0)), ISNUMBER(SEARCH($A44,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ISNUMBER(SEARCH($A44, INDEX(AsistenciaJetAdminConcatenada!$D:$D, MATCH(1, (AsistenciaJetAdminConcatenada!$A:$A=CM$2)*(AsistenciaJetAdminConcatenada!$B:$B=CM$1), 0)), 1))),  0.5, 0))</f>
        <v>1</v>
      </c>
      <c r="CN44" s="47">
        <f t="array" ref="CN44">IF(AND(ISNUMBER(MATCH(CN$2, AsistenciaJetAdminConcatenada!$A:$A, 0)), ISNUMBER(MATCH(CN$1, AsistenciaJetAdminConcatenada!$B:$B, 0)), ISNUMBER(SEARCH($A44,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ISNUMBER(SEARCH($A44, INDEX(AsistenciaJetAdminConcatenada!$D:$D, MATCH(1, (AsistenciaJetAdminConcatenada!$A:$A=CN$2)*(AsistenciaJetAdminConcatenada!$B:$B=CN$1), 0)), 1))),  0.5, 0))</f>
        <v>1</v>
      </c>
      <c r="CO44" s="47">
        <f t="array" ref="CO44">IF(AND(ISNUMBER(MATCH(CO$2, AsistenciaJetAdminConcatenada!$A:$A, 0)), ISNUMBER(MATCH(CO$1, AsistenciaJetAdminConcatenada!$B:$B, 0)), ISNUMBER(SEARCH($A44,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ISNUMBER(SEARCH($A44, INDEX(AsistenciaJetAdminConcatenada!$D:$D, MATCH(1, (AsistenciaJetAdminConcatenada!$A:$A=CO$2)*(AsistenciaJetAdminConcatenada!$B:$B=CO$1), 0)), 1))),  0.5, 0))</f>
        <v>1</v>
      </c>
      <c r="CP44" s="47">
        <f t="array" ref="CP44">IF(AND(ISNUMBER(MATCH(CP$2, AsistenciaJetAdminConcatenada!$A:$A, 0)), ISNUMBER(MATCH(CP$1, AsistenciaJetAdminConcatenada!$B:$B, 0)), ISNUMBER(SEARCH($A44,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ISNUMBER(SEARCH($A44, INDEX(AsistenciaJetAdminConcatenada!$D:$D, MATCH(1, (AsistenciaJetAdminConcatenada!$A:$A=CP$2)*(AsistenciaJetAdminConcatenada!$B:$B=CP$1), 0)), 1))),  0.5, 0))</f>
        <v>1</v>
      </c>
      <c r="CQ44" s="47">
        <f t="array" ref="CQ44">IF(AND(ISNUMBER(MATCH(CQ$2, AsistenciaJetAdminConcatenada!$A:$A, 0)), ISNUMBER(MATCH(CQ$1, AsistenciaJetAdminConcatenada!$B:$B, 0)), ISNUMBER(SEARCH($A44,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ISNUMBER(SEARCH($A44, INDEX(AsistenciaJetAdminConcatenada!$D:$D, MATCH(1, (AsistenciaJetAdminConcatenada!$A:$A=CQ$2)*(AsistenciaJetAdminConcatenada!$B:$B=CQ$1), 0)), 1))),  0.5, 0))</f>
        <v>1</v>
      </c>
      <c r="CR44" s="47">
        <f t="array" ref="CR44">IF(AND(ISNUMBER(MATCH(CR$2, AsistenciaJetAdminConcatenada!$A:$A, 0)), ISNUMBER(MATCH(CR$1, AsistenciaJetAdminConcatenada!$B:$B, 0)), ISNUMBER(SEARCH($A44,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ISNUMBER(SEARCH($A44, INDEX(AsistenciaJetAdminConcatenada!$D:$D, MATCH(1, (AsistenciaJetAdminConcatenada!$A:$A=CR$2)*(AsistenciaJetAdminConcatenada!$B:$B=CR$1), 0)), 1))),  0.5, 0))</f>
        <v>1</v>
      </c>
      <c r="CS44" s="47">
        <f t="array" ref="CS44">IF(AND(ISNUMBER(MATCH(CS$2, AsistenciaJetAdminConcatenada!$A:$A, 0)), ISNUMBER(MATCH(CS$1, AsistenciaJetAdminConcatenada!$B:$B, 0)), ISNUMBER(SEARCH($A44,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ISNUMBER(SEARCH($A44, INDEX(AsistenciaJetAdminConcatenada!$D:$D, MATCH(1, (AsistenciaJetAdminConcatenada!$A:$A=CS$2)*(AsistenciaJetAdminConcatenada!$B:$B=CS$1), 0)), 1))),  0.5, 0))</f>
        <v>0</v>
      </c>
      <c r="CT44" s="47">
        <f t="array" ref="CT44">IF(AND(ISNUMBER(MATCH(CT$2, AsistenciaJetAdminConcatenada!$A:$A, 0)), ISNUMBER(MATCH(CT$1, AsistenciaJetAdminConcatenada!$B:$B, 0)), ISNUMBER(SEARCH($A44,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ISNUMBER(SEARCH($A44, INDEX(AsistenciaJetAdminConcatenada!$D:$D, MATCH(1, (AsistenciaJetAdminConcatenada!$A:$A=CT$2)*(AsistenciaJetAdminConcatenada!$B:$B=CT$1), 0)), 1))),  0.5, 0))</f>
        <v>0</v>
      </c>
      <c r="CU44" s="47">
        <f t="array" ref="CU44">IF(AND(ISNUMBER(MATCH(CU$2, AsistenciaJetAdminConcatenada!$A:$A, 0)), ISNUMBER(MATCH(CU$1, AsistenciaJetAdminConcatenada!$B:$B, 0)), ISNUMBER(SEARCH($A44,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ISNUMBER(SEARCH($A44, INDEX(AsistenciaJetAdminConcatenada!$D:$D, MATCH(1, (AsistenciaJetAdminConcatenada!$A:$A=CU$2)*(AsistenciaJetAdminConcatenada!$B:$B=CU$1), 0)), 1))),  0.5, 0))</f>
        <v>0</v>
      </c>
      <c r="CV44" s="47">
        <f t="array" ref="CV44">IF(AND(ISNUMBER(MATCH(CV$2, AsistenciaJetAdminConcatenada!$A:$A, 0)), ISNUMBER(MATCH(CV$1, AsistenciaJetAdminConcatenada!$B:$B, 0)), ISNUMBER(SEARCH($A44,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ISNUMBER(SEARCH($A44, INDEX(AsistenciaJetAdminConcatenada!$D:$D, MATCH(1, (AsistenciaJetAdminConcatenada!$A:$A=CV$2)*(AsistenciaJetAdminConcatenada!$B:$B=CV$1), 0)), 1))),  0.5, 0))</f>
        <v>0</v>
      </c>
      <c r="CW44" s="47">
        <f t="array" ref="CW44">IF(AND(ISNUMBER(MATCH(CW$2, AsistenciaJetAdminConcatenada!$A:$A, 0)), ISNUMBER(MATCH(CW$1, AsistenciaJetAdminConcatenada!$B:$B, 0)), ISNUMBER(SEARCH($A44,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ISNUMBER(SEARCH($A44, INDEX(AsistenciaJetAdminConcatenada!$D:$D, MATCH(1, (AsistenciaJetAdminConcatenada!$A:$A=CW$2)*(AsistenciaJetAdminConcatenada!$B:$B=CW$1), 0)), 1))),  0.5, 0))</f>
        <v>0</v>
      </c>
      <c r="CX44" s="47">
        <f t="array" ref="CX44">IF(AND(ISNUMBER(MATCH(CX$2, AsistenciaJetAdminConcatenada!$A:$A, 0)), ISNUMBER(MATCH(CX$1, AsistenciaJetAdminConcatenada!$B:$B, 0)), ISNUMBER(SEARCH($A44,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ISNUMBER(SEARCH($A44, INDEX(AsistenciaJetAdminConcatenada!$D:$D, MATCH(1, (AsistenciaJetAdminConcatenada!$A:$A=CX$2)*(AsistenciaJetAdminConcatenada!$B:$B=CX$1), 0)), 1))),  0.5, 0))</f>
        <v>0</v>
      </c>
      <c r="CY44" s="47">
        <f t="array" ref="CY44">IF(AND(ISNUMBER(MATCH(CY$2, AsistenciaJetAdminConcatenada!$A:$A, 0)), ISNUMBER(MATCH(CY$1, AsistenciaJetAdminConcatenada!$B:$B, 0)), ISNUMBER(SEARCH($A44,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ISNUMBER(SEARCH($A44, INDEX(AsistenciaJetAdminConcatenada!$D:$D, MATCH(1, (AsistenciaJetAdminConcatenada!$A:$A=CY$2)*(AsistenciaJetAdminConcatenada!$B:$B=CY$1), 0)), 1))),  0.5, 0))</f>
        <v>0</v>
      </c>
      <c r="CZ44" s="47">
        <f t="array" ref="CZ44">IF(AND(ISNUMBER(MATCH(CZ$2, AsistenciaJetAdminConcatenada!$A:$A, 0)), ISNUMBER(MATCH(CZ$1, AsistenciaJetAdminConcatenada!$B:$B, 0)), ISNUMBER(SEARCH($A44,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ISNUMBER(SEARCH($A44, INDEX(AsistenciaJetAdminConcatenada!$D:$D, MATCH(1, (AsistenciaJetAdminConcatenada!$A:$A=CZ$2)*(AsistenciaJetAdminConcatenada!$B:$B=CZ$1), 0)), 1))),  0.5, 0))</f>
        <v>0</v>
      </c>
      <c r="DA44" s="47">
        <f t="array" ref="DA44">IF(AND(ISNUMBER(MATCH(DA$2, AsistenciaJetAdminConcatenada!$A:$A, 0)), ISNUMBER(MATCH(DA$1, AsistenciaJetAdminConcatenada!$B:$B, 0)), ISNUMBER(SEARCH($A44,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ISNUMBER(SEARCH($A44, INDEX(AsistenciaJetAdminConcatenada!$D:$D, MATCH(1, (AsistenciaJetAdminConcatenada!$A:$A=DA$2)*(AsistenciaJetAdminConcatenada!$B:$B=DA$1), 0)), 1))),  0.5, 0))</f>
        <v>0</v>
      </c>
      <c r="DB44" s="47">
        <f t="array" ref="DB44">IF(AND(ISNUMBER(MATCH(DB$2, AsistenciaJetAdminConcatenada!$A:$A, 0)), ISNUMBER(MATCH(DB$1, AsistenciaJetAdminConcatenada!$B:$B, 0)), ISNUMBER(SEARCH($A44,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ISNUMBER(SEARCH($A44, INDEX(AsistenciaJetAdminConcatenada!$D:$D, MATCH(1, (AsistenciaJetAdminConcatenada!$A:$A=DB$2)*(AsistenciaJetAdminConcatenada!$B:$B=DB$1), 0)), 1))),  0.5, 0))</f>
        <v>0</v>
      </c>
      <c r="DC44" s="47">
        <f t="array" ref="DC44">IF(AND(ISNUMBER(MATCH(DC$2, AsistenciaJetAdminConcatenada!$A:$A, 0)), ISNUMBER(MATCH(DC$1, AsistenciaJetAdminConcatenada!$B:$B, 0)), ISNUMBER(SEARCH($A44,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ISNUMBER(SEARCH($A44, INDEX(AsistenciaJetAdminConcatenada!$D:$D, MATCH(1, (AsistenciaJetAdminConcatenada!$A:$A=DC$2)*(AsistenciaJetAdminConcatenada!$B:$B=DC$1), 0)), 1))),  0.5, 0))</f>
        <v>0</v>
      </c>
      <c r="DD44" s="47">
        <f t="array" ref="DD44">IF(AND(ISNUMBER(MATCH(DD$2, AsistenciaJetAdminConcatenada!$A:$A, 0)), ISNUMBER(MATCH(DD$1, AsistenciaJetAdminConcatenada!$B:$B, 0)), ISNUMBER(SEARCH($A44,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ISNUMBER(SEARCH($A44, INDEX(AsistenciaJetAdminConcatenada!$D:$D, MATCH(1, (AsistenciaJetAdminConcatenada!$A:$A=DD$2)*(AsistenciaJetAdminConcatenada!$B:$B=DD$1), 0)), 1))),  0.5, 0))</f>
        <v>0</v>
      </c>
      <c r="DE44" s="47">
        <f t="array" ref="DE44">IF(AND(ISNUMBER(MATCH(DE$2, AsistenciaJetAdminConcatenada!$A:$A, 0)), ISNUMBER(MATCH(DE$1, AsistenciaJetAdminConcatenada!$B:$B, 0)), ISNUMBER(SEARCH($A44,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ISNUMBER(SEARCH($A44, INDEX(AsistenciaJetAdminConcatenada!$D:$D, MATCH(1, (AsistenciaJetAdminConcatenada!$A:$A=DE$2)*(AsistenciaJetAdminConcatenada!$B:$B=DE$1), 0)), 1))),  0.5, 0))</f>
        <v>0</v>
      </c>
      <c r="DF44" s="47">
        <f t="array" ref="DF44">IF(AND(ISNUMBER(MATCH(DF$2, AsistenciaJetAdminConcatenada!$A:$A, 0)), ISNUMBER(MATCH(DF$1, AsistenciaJetAdminConcatenada!$B:$B, 0)), ISNUMBER(SEARCH($A44,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ISNUMBER(SEARCH($A44, INDEX(AsistenciaJetAdminConcatenada!$D:$D, MATCH(1, (AsistenciaJetAdminConcatenada!$A:$A=DF$2)*(AsistenciaJetAdminConcatenada!$B:$B=DF$1), 0)), 1))),  0.5, 0))</f>
        <v>0</v>
      </c>
      <c r="DG44" s="47">
        <f t="array" ref="DG44">IF(AND(ISNUMBER(MATCH(DG$2, AsistenciaJetAdminConcatenada!$A:$A, 0)), ISNUMBER(MATCH(DG$1, AsistenciaJetAdminConcatenada!$B:$B, 0)), ISNUMBER(SEARCH($A44,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ISNUMBER(SEARCH($A44, INDEX(AsistenciaJetAdminConcatenada!$D:$D, MATCH(1, (AsistenciaJetAdminConcatenada!$A:$A=DG$2)*(AsistenciaJetAdminConcatenada!$B:$B=DG$1), 0)), 1))),  0.5, 0))</f>
        <v>0</v>
      </c>
      <c r="DH44" s="47">
        <f t="array" ref="DH44">IF(AND(ISNUMBER(MATCH(DH$2, AsistenciaJetAdminConcatenada!$A:$A, 0)), ISNUMBER(MATCH(DH$1, AsistenciaJetAdminConcatenada!$B:$B, 0)), ISNUMBER(SEARCH($A44,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ISNUMBER(SEARCH($A44, INDEX(AsistenciaJetAdminConcatenada!$D:$D, MATCH(1, (AsistenciaJetAdminConcatenada!$A:$A=DH$2)*(AsistenciaJetAdminConcatenada!$B:$B=DH$1), 0)), 1))),  0.5, 0))</f>
        <v>0</v>
      </c>
      <c r="DI44" s="47">
        <f t="array" ref="DI44">IF(AND(ISNUMBER(MATCH(DI$2, AsistenciaJetAdminConcatenada!$A:$A, 0)), ISNUMBER(MATCH(DI$1, AsistenciaJetAdminConcatenada!$B:$B, 0)), ISNUMBER(SEARCH($A44,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ISNUMBER(SEARCH($A44, INDEX(AsistenciaJetAdminConcatenada!$D:$D, MATCH(1, (AsistenciaJetAdminConcatenada!$A:$A=DI$2)*(AsistenciaJetAdminConcatenada!$B:$B=DI$1), 0)), 1))),  0.5, 0))</f>
        <v>0</v>
      </c>
      <c r="DJ44" s="47">
        <f t="array" ref="DJ44">IF(AND(ISNUMBER(MATCH(DJ$2, AsistenciaJetAdminConcatenada!$A:$A, 0)), ISNUMBER(MATCH(DJ$1, AsistenciaJetAdminConcatenada!$B:$B, 0)), ISNUMBER(SEARCH($A44,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ISNUMBER(SEARCH($A44, INDEX(AsistenciaJetAdminConcatenada!$D:$D, MATCH(1, (AsistenciaJetAdminConcatenada!$A:$A=DJ$2)*(AsistenciaJetAdminConcatenada!$B:$B=DJ$1), 0)), 1))),  0.5, 0))</f>
        <v>0</v>
      </c>
      <c r="DK44" s="47">
        <f t="array" ref="DK44">IF(AND(ISNUMBER(MATCH(DK$2, AsistenciaJetAdminConcatenada!$A:$A, 0)), ISNUMBER(MATCH(DK$1, AsistenciaJetAdminConcatenada!$B:$B, 0)), ISNUMBER(SEARCH($A44,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ISNUMBER(SEARCH($A44, INDEX(AsistenciaJetAdminConcatenada!$D:$D, MATCH(1, (AsistenciaJetAdminConcatenada!$A:$A=DK$2)*(AsistenciaJetAdminConcatenada!$B:$B=DK$1), 0)), 1))),  0.5, 0))</f>
        <v>0</v>
      </c>
      <c r="DL44" s="47">
        <f t="array" ref="DL44">IF(AND(ISNUMBER(MATCH(DL$2, AsistenciaJetAdminConcatenada!$A:$A, 0)), ISNUMBER(MATCH(DL$1, AsistenciaJetAdminConcatenada!$B:$B, 0)), ISNUMBER(SEARCH($A44,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ISNUMBER(SEARCH($A44, INDEX(AsistenciaJetAdminConcatenada!$D:$D, MATCH(1, (AsistenciaJetAdminConcatenada!$A:$A=DL$2)*(AsistenciaJetAdminConcatenada!$B:$B=DL$1), 0)), 1))),  0.5, 0))</f>
        <v>0</v>
      </c>
      <c r="DM44" s="47">
        <f t="array" ref="DM44">IF(AND(ISNUMBER(MATCH(DM$2, AsistenciaJetAdminConcatenada!$A:$A, 0)), ISNUMBER(MATCH(DM$1, AsistenciaJetAdminConcatenada!$B:$B, 0)), ISNUMBER(SEARCH($A44,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ISNUMBER(SEARCH($A44, INDEX(AsistenciaJetAdminConcatenada!$D:$D, MATCH(1, (AsistenciaJetAdminConcatenada!$A:$A=DM$2)*(AsistenciaJetAdminConcatenada!$B:$B=DM$1), 0)), 1))),  0.5, 0))</f>
        <v>0</v>
      </c>
      <c r="DN44" s="47">
        <f t="array" ref="DN44">IF(AND(ISNUMBER(MATCH(DN$2, AsistenciaJetAdminConcatenada!$A:$A, 0)), ISNUMBER(MATCH(DN$1, AsistenciaJetAdminConcatenada!$B:$B, 0)), ISNUMBER(SEARCH($A44,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ISNUMBER(SEARCH($A44, INDEX(AsistenciaJetAdminConcatenada!$D:$D, MATCH(1, (AsistenciaJetAdminConcatenada!$A:$A=DN$2)*(AsistenciaJetAdminConcatenada!$B:$B=DN$1), 0)), 1))),  0.5, 0))</f>
        <v>0</v>
      </c>
      <c r="DO44" s="47">
        <f t="array" ref="DO44">IF(AND(ISNUMBER(MATCH(DO$2, AsistenciaJetAdminConcatenada!$A:$A, 0)), ISNUMBER(MATCH(DO$1, AsistenciaJetAdminConcatenada!$B:$B, 0)), ISNUMBER(SEARCH($A44,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ISNUMBER(SEARCH($A44, INDEX(AsistenciaJetAdminConcatenada!$D:$D, MATCH(1, (AsistenciaJetAdminConcatenada!$A:$A=DO$2)*(AsistenciaJetAdminConcatenada!$B:$B=DO$1), 0)), 1))),  0.5, 0))</f>
        <v>0</v>
      </c>
      <c r="DP44" s="47">
        <f t="array" ref="DP44">IF(AND(ISNUMBER(MATCH(DP$2, AsistenciaJetAdminConcatenada!$A:$A, 0)), ISNUMBER(MATCH(DP$1, AsistenciaJetAdminConcatenada!$B:$B, 0)), ISNUMBER(SEARCH($A44,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ISNUMBER(SEARCH($A44, INDEX(AsistenciaJetAdminConcatenada!$D:$D, MATCH(1, (AsistenciaJetAdminConcatenada!$A:$A=DP$2)*(AsistenciaJetAdminConcatenada!$B:$B=DP$1), 0)), 1))),  0.5, 0))</f>
        <v>0</v>
      </c>
      <c r="DQ44" s="47">
        <f t="array" ref="DQ44">IF(AND(ISNUMBER(MATCH(DQ$2, AsistenciaJetAdminConcatenada!$A:$A, 0)), ISNUMBER(MATCH(DQ$1, AsistenciaJetAdminConcatenada!$B:$B, 0)), ISNUMBER(SEARCH($A44,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ISNUMBER(SEARCH($A44, INDEX(AsistenciaJetAdminConcatenada!$D:$D, MATCH(1, (AsistenciaJetAdminConcatenada!$A:$A=DQ$2)*(AsistenciaJetAdminConcatenada!$B:$B=DQ$1), 0)), 1))),  0.5, 0))</f>
        <v>0</v>
      </c>
      <c r="DR44" s="47">
        <f t="array" ref="DR44">IF(AND(ISNUMBER(MATCH(DR$2, AsistenciaJetAdminConcatenada!$A:$A, 0)), ISNUMBER(MATCH(DR$1, AsistenciaJetAdminConcatenada!$B:$B, 0)), ISNUMBER(SEARCH($A44,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ISNUMBER(SEARCH($A44, INDEX(AsistenciaJetAdminConcatenada!$D:$D, MATCH(1, (AsistenciaJetAdminConcatenada!$A:$A=DR$2)*(AsistenciaJetAdminConcatenada!$B:$B=DR$1), 0)), 1))),  0.5, 0))</f>
        <v>0</v>
      </c>
      <c r="DS44" s="47">
        <f t="array" ref="DS44">IF(AND(ISNUMBER(MATCH(DS$2, AsistenciaJetAdminConcatenada!$A:$A, 0)), ISNUMBER(MATCH(DS$1, AsistenciaJetAdminConcatenada!$B:$B, 0)), ISNUMBER(SEARCH($A44,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ISNUMBER(SEARCH($A44, INDEX(AsistenciaJetAdminConcatenada!$D:$D, MATCH(1, (AsistenciaJetAdminConcatenada!$A:$A=DS$2)*(AsistenciaJetAdminConcatenada!$B:$B=DS$1), 0)), 1))),  0.5, 0))</f>
        <v>0</v>
      </c>
      <c r="DT44" s="47">
        <f t="array" ref="DT44">IF(AND(ISNUMBER(MATCH(DT$2, AsistenciaJetAdminConcatenada!$A:$A, 0)), ISNUMBER(MATCH(DT$1, AsistenciaJetAdminConcatenada!$B:$B, 0)), ISNUMBER(SEARCH($A44,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ISNUMBER(SEARCH($A44, INDEX(AsistenciaJetAdminConcatenada!$D:$D, MATCH(1, (AsistenciaJetAdminConcatenada!$A:$A=DT$2)*(AsistenciaJetAdminConcatenada!$B:$B=DT$1), 0)), 1))),  0.5, 0))</f>
        <v>0</v>
      </c>
      <c r="DU44" s="47">
        <f t="array" ref="DU44">IF(AND(ISNUMBER(MATCH(DU$2, AsistenciaJetAdminConcatenada!$A:$A, 0)), ISNUMBER(MATCH(DU$1, AsistenciaJetAdminConcatenada!$B:$B, 0)), ISNUMBER(SEARCH($A44,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ISNUMBER(SEARCH($A44, INDEX(AsistenciaJetAdminConcatenada!$D:$D, MATCH(1, (AsistenciaJetAdminConcatenada!$A:$A=DU$2)*(AsistenciaJetAdminConcatenada!$B:$B=DU$1), 0)), 1))),  0.5, 0))</f>
        <v>0</v>
      </c>
      <c r="DV44" s="47">
        <f t="array" ref="DV44">IF(AND(ISNUMBER(MATCH(DV$2, AsistenciaJetAdminConcatenada!$A:$A, 0)), ISNUMBER(MATCH(DV$1, AsistenciaJetAdminConcatenada!$B:$B, 0)), ISNUMBER(SEARCH($A44,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ISNUMBER(SEARCH($A44, INDEX(AsistenciaJetAdminConcatenada!$D:$D, MATCH(1, (AsistenciaJetAdminConcatenada!$A:$A=DV$2)*(AsistenciaJetAdminConcatenada!$B:$B=DV$1), 0)), 1))),  0.5, 0))</f>
        <v>0</v>
      </c>
      <c r="DW44" s="47">
        <f t="array" ref="DW44">IF(AND(ISNUMBER(MATCH(DW$2, AsistenciaJetAdminConcatenada!$A:$A, 0)), ISNUMBER(MATCH(DW$1, AsistenciaJetAdminConcatenada!$B:$B, 0)), ISNUMBER(SEARCH($A44,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ISNUMBER(SEARCH($A44, INDEX(AsistenciaJetAdminConcatenada!$D:$D, MATCH(1, (AsistenciaJetAdminConcatenada!$A:$A=DW$2)*(AsistenciaJetAdminConcatenada!$B:$B=DW$1), 0)), 1))),  0.5, 0))</f>
        <v>0</v>
      </c>
      <c r="DX44" s="47">
        <f t="array" ref="DX44">IF(AND(ISNUMBER(MATCH(DX$2, AsistenciaJetAdminConcatenada!$A:$A, 0)), ISNUMBER(MATCH(DX$1, AsistenciaJetAdminConcatenada!$B:$B, 0)), ISNUMBER(SEARCH($A44,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ISNUMBER(SEARCH($A44, INDEX(AsistenciaJetAdminConcatenada!$D:$D, MATCH(1, (AsistenciaJetAdminConcatenada!$A:$A=DX$2)*(AsistenciaJetAdminConcatenada!$B:$B=DX$1), 0)), 1))),  0.5, 0))</f>
        <v>0</v>
      </c>
      <c r="DY44" s="47">
        <f t="array" ref="DY44">IF(AND(ISNUMBER(MATCH(DY$2, AsistenciaJetAdminConcatenada!$A:$A, 0)), ISNUMBER(MATCH(DY$1, AsistenciaJetAdminConcatenada!$B:$B, 0)), ISNUMBER(SEARCH($A44,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ISNUMBER(SEARCH($A44, INDEX(AsistenciaJetAdminConcatenada!$D:$D, MATCH(1, (AsistenciaJetAdminConcatenada!$A:$A=DY$2)*(AsistenciaJetAdminConcatenada!$B:$B=DY$1), 0)), 1))),  0.5, 0))</f>
        <v>0</v>
      </c>
      <c r="DZ44" s="47">
        <f t="array" ref="DZ44">IF(AND(ISNUMBER(MATCH(DZ$2, AsistenciaJetAdminConcatenada!$A:$A, 0)), ISNUMBER(MATCH(DZ$1, AsistenciaJetAdminConcatenada!$B:$B, 0)), ISNUMBER(SEARCH($A44,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ISNUMBER(SEARCH($A44, INDEX(AsistenciaJetAdminConcatenada!$D:$D, MATCH(1, (AsistenciaJetAdminConcatenada!$A:$A=DZ$2)*(AsistenciaJetAdminConcatenada!$B:$B=DZ$1), 0)), 1))),  0.5, 0))</f>
        <v>0</v>
      </c>
      <c r="EA44" s="47">
        <f t="array" ref="EA44">IF(AND(ISNUMBER(MATCH(EA$2, AsistenciaJetAdminConcatenada!$A:$A, 0)), ISNUMBER(MATCH(EA$1, AsistenciaJetAdminConcatenada!$B:$B, 0)), ISNUMBER(SEARCH($A44,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ISNUMBER(SEARCH($A44, INDEX(AsistenciaJetAdminConcatenada!$D:$D, MATCH(1, (AsistenciaJetAdminConcatenada!$A:$A=EA$2)*(AsistenciaJetAdminConcatenada!$B:$B=EA$1), 0)), 1))),  0.5, 0))</f>
        <v>0</v>
      </c>
      <c r="EB44" s="47">
        <f t="array" ref="EB44">IF(AND(ISNUMBER(MATCH(EB$2, AsistenciaJetAdminConcatenada!$A:$A, 0)), ISNUMBER(MATCH(EB$1, AsistenciaJetAdminConcatenada!$B:$B, 0)), ISNUMBER(SEARCH($A44,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ISNUMBER(SEARCH($A44, INDEX(AsistenciaJetAdminConcatenada!$D:$D, MATCH(1, (AsistenciaJetAdminConcatenada!$A:$A=EB$2)*(AsistenciaJetAdminConcatenada!$B:$B=EB$1), 0)), 1))),  0.5, 0))</f>
        <v>0</v>
      </c>
      <c r="EC44" s="47">
        <f t="array" ref="EC44">IF(AND(ISNUMBER(MATCH(EC$2, AsistenciaJetAdminConcatenada!$A:$A, 0)), ISNUMBER(MATCH(EC$1, AsistenciaJetAdminConcatenada!$B:$B, 0)), ISNUMBER(SEARCH($A44,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ISNUMBER(SEARCH($A44, INDEX(AsistenciaJetAdminConcatenada!$D:$D, MATCH(1, (AsistenciaJetAdminConcatenada!$A:$A=EC$2)*(AsistenciaJetAdminConcatenada!$B:$B=EC$1), 0)), 1))),  0.5, 0))</f>
        <v>0</v>
      </c>
      <c r="ED44" s="47">
        <f t="array" ref="ED44">IF(AND(ISNUMBER(MATCH(ED$2, AsistenciaJetAdminConcatenada!$A:$A, 0)), ISNUMBER(MATCH(ED$1, AsistenciaJetAdminConcatenada!$B:$B, 0)), ISNUMBER(SEARCH($A44,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ISNUMBER(SEARCH($A44, INDEX(AsistenciaJetAdminConcatenada!$D:$D, MATCH(1, (AsistenciaJetAdminConcatenada!$A:$A=ED$2)*(AsistenciaJetAdminConcatenada!$B:$B=ED$1), 0)), 1))),  0.5, 0))</f>
        <v>0</v>
      </c>
      <c r="EE44" s="47">
        <f t="array" ref="EE44">IF(AND(ISNUMBER(MATCH(EE$2, AsistenciaJetAdminConcatenada!$A:$A, 0)), ISNUMBER(MATCH(EE$1, AsistenciaJetAdminConcatenada!$B:$B, 0)), ISNUMBER(SEARCH($A44,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ISNUMBER(SEARCH($A44, INDEX(AsistenciaJetAdminConcatenada!$D:$D, MATCH(1, (AsistenciaJetAdminConcatenada!$A:$A=EE$2)*(AsistenciaJetAdminConcatenada!$B:$B=EE$1), 0)), 1))),  0.5, 0))</f>
        <v>0</v>
      </c>
      <c r="EF44" s="47">
        <f t="array" ref="EF44">IF(AND(ISNUMBER(MATCH(EF$2, AsistenciaJetAdminConcatenada!$A:$A, 0)), ISNUMBER(MATCH(EF$1, AsistenciaJetAdminConcatenada!$B:$B, 0)), ISNUMBER(SEARCH($A44,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ISNUMBER(SEARCH($A44, INDEX(AsistenciaJetAdminConcatenada!$D:$D, MATCH(1, (AsistenciaJetAdminConcatenada!$A:$A=EF$2)*(AsistenciaJetAdminConcatenada!$B:$B=EF$1), 0)), 1))),  0.5, 0))</f>
        <v>0</v>
      </c>
      <c r="EG44" s="47">
        <f t="array" ref="EG44">IF(AND(ISNUMBER(MATCH(EG$2, AsistenciaJetAdminConcatenada!$A:$A, 0)), ISNUMBER(MATCH(EG$1, AsistenciaJetAdminConcatenada!$B:$B, 0)), ISNUMBER(SEARCH($A44,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ISNUMBER(SEARCH($A44, INDEX(AsistenciaJetAdminConcatenada!$D:$D, MATCH(1, (AsistenciaJetAdminConcatenada!$A:$A=EG$2)*(AsistenciaJetAdminConcatenada!$B:$B=EG$1), 0)), 1))),  0.5, 0))</f>
        <v>0</v>
      </c>
      <c r="EH44" s="47">
        <f t="array" ref="EH44">IF(AND(ISNUMBER(MATCH(EH$2, AsistenciaJetAdminConcatenada!$A:$A, 0)), ISNUMBER(MATCH(EH$1, AsistenciaJetAdminConcatenada!$B:$B, 0)), ISNUMBER(SEARCH($A44,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ISNUMBER(SEARCH($A44, INDEX(AsistenciaJetAdminConcatenada!$D:$D, MATCH(1, (AsistenciaJetAdminConcatenada!$A:$A=EH$2)*(AsistenciaJetAdminConcatenada!$B:$B=EH$1), 0)), 1))),  0.5, 0))</f>
        <v>0</v>
      </c>
      <c r="EI44" s="47">
        <f t="array" ref="EI44">IF(AND(ISNUMBER(MATCH(EI$2, AsistenciaJetAdminConcatenada!$A:$A, 0)), ISNUMBER(MATCH(EI$1, AsistenciaJetAdminConcatenada!$B:$B, 0)), ISNUMBER(SEARCH($A44,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ISNUMBER(SEARCH($A44, INDEX(AsistenciaJetAdminConcatenada!$D:$D, MATCH(1, (AsistenciaJetAdminConcatenada!$A:$A=EI$2)*(AsistenciaJetAdminConcatenada!$B:$B=EI$1), 0)), 1))),  0.5, 0))</f>
        <v>0</v>
      </c>
      <c r="EJ44" s="47">
        <f t="array" ref="EJ44">IF(AND(ISNUMBER(MATCH(EJ$2, AsistenciaJetAdminConcatenada!$A:$A, 0)), ISNUMBER(MATCH(EJ$1, AsistenciaJetAdminConcatenada!$B:$B, 0)), ISNUMBER(SEARCH($A44,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ISNUMBER(SEARCH($A44, INDEX(AsistenciaJetAdminConcatenada!$D:$D, MATCH(1, (AsistenciaJetAdminConcatenada!$A:$A=EJ$2)*(AsistenciaJetAdminConcatenada!$B:$B=EJ$1), 0)), 1))),  0.5, 0))</f>
        <v>0</v>
      </c>
      <c r="EK44" s="47">
        <f t="array" ref="EK44">IF(AND(ISNUMBER(MATCH(EK$2, AsistenciaJetAdminConcatenada!$A:$A, 0)), ISNUMBER(MATCH(EK$1, AsistenciaJetAdminConcatenada!$B:$B, 0)), ISNUMBER(SEARCH($A44,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ISNUMBER(SEARCH($A44, INDEX(AsistenciaJetAdminConcatenada!$D:$D, MATCH(1, (AsistenciaJetAdminConcatenada!$A:$A=EK$2)*(AsistenciaJetAdminConcatenada!$B:$B=EK$1), 0)), 1))),  0.5, 0))</f>
        <v>0</v>
      </c>
      <c r="EL44" s="47">
        <f t="array" ref="EL44">IF(AND(ISNUMBER(MATCH(EL$2, AsistenciaJetAdminConcatenada!$A:$A, 0)), ISNUMBER(MATCH(EL$1, AsistenciaJetAdminConcatenada!$B:$B, 0)), ISNUMBER(SEARCH($A44,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ISNUMBER(SEARCH($A44, INDEX(AsistenciaJetAdminConcatenada!$D:$D, MATCH(1, (AsistenciaJetAdminConcatenada!$A:$A=EL$2)*(AsistenciaJetAdminConcatenada!$B:$B=EL$1), 0)), 1))),  0.5, 0))</f>
        <v>0</v>
      </c>
      <c r="EM44" s="47">
        <f t="array" ref="EM44">IF(AND(ISNUMBER(MATCH(EM$2, AsistenciaJetAdminConcatenada!$A:$A, 0)), ISNUMBER(MATCH(EM$1, AsistenciaJetAdminConcatenada!$B:$B, 0)), ISNUMBER(SEARCH($A44,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ISNUMBER(SEARCH($A44, INDEX(AsistenciaJetAdminConcatenada!$D:$D, MATCH(1, (AsistenciaJetAdminConcatenada!$A:$A=EM$2)*(AsistenciaJetAdminConcatenada!$B:$B=EM$1), 0)), 1))),  0.5, 0))</f>
        <v>0</v>
      </c>
      <c r="EN44" s="47">
        <f t="array" ref="EN44">IF(AND(ISNUMBER(MATCH(EN$2, AsistenciaJetAdminConcatenada!$A:$A, 0)), ISNUMBER(MATCH(EN$1, AsistenciaJetAdminConcatenada!$B:$B, 0)), ISNUMBER(SEARCH($A44,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ISNUMBER(SEARCH($A44, INDEX(AsistenciaJetAdminConcatenada!$D:$D, MATCH(1, (AsistenciaJetAdminConcatenada!$A:$A=EN$2)*(AsistenciaJetAdminConcatenada!$B:$B=EN$1), 0)), 1))),  0.5, 0))</f>
        <v>0</v>
      </c>
      <c r="EO44" s="47">
        <f t="array" ref="EO44">IF(AND(ISNUMBER(MATCH(EO$2, AsistenciaJetAdminConcatenada!$A:$A, 0)), ISNUMBER(MATCH(EO$1, AsistenciaJetAdminConcatenada!$B:$B, 0)), ISNUMBER(SEARCH($A44,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ISNUMBER(SEARCH($A44, INDEX(AsistenciaJetAdminConcatenada!$D:$D, MATCH(1, (AsistenciaJetAdminConcatenada!$A:$A=EO$2)*(AsistenciaJetAdminConcatenada!$B:$B=EO$1), 0)), 1))),  0.5, 0))</f>
        <v>0</v>
      </c>
      <c r="EP44" s="47">
        <f t="array" ref="EP44">IF(AND(ISNUMBER(MATCH(EP$2, AsistenciaJetAdminConcatenada!$A:$A, 0)), ISNUMBER(MATCH(EP$1, AsistenciaJetAdminConcatenada!$B:$B, 0)), ISNUMBER(SEARCH($A44,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ISNUMBER(SEARCH($A44, INDEX(AsistenciaJetAdminConcatenada!$D:$D, MATCH(1, (AsistenciaJetAdminConcatenada!$A:$A=EP$2)*(AsistenciaJetAdminConcatenada!$B:$B=EP$1), 0)), 1))),  0.5, 0))</f>
        <v>0</v>
      </c>
      <c r="EQ44" s="47">
        <f t="array" ref="EQ44">IF(AND(ISNUMBER(MATCH(EQ$2, AsistenciaJetAdminConcatenada!$A:$A, 0)), ISNUMBER(MATCH(EQ$1, AsistenciaJetAdminConcatenada!$B:$B, 0)), ISNUMBER(SEARCH($A44,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ISNUMBER(SEARCH($A44, INDEX(AsistenciaJetAdminConcatenada!$D:$D, MATCH(1, (AsistenciaJetAdminConcatenada!$A:$A=EQ$2)*(AsistenciaJetAdminConcatenada!$B:$B=EQ$1), 0)), 1))),  0.5, 0))</f>
        <v>0</v>
      </c>
      <c r="ER44" s="47">
        <f t="array" ref="ER44">IF(AND(ISNUMBER(MATCH(ER$2, AsistenciaJetAdminConcatenada!$A:$A, 0)), ISNUMBER(MATCH(ER$1, AsistenciaJetAdminConcatenada!$B:$B, 0)), ISNUMBER(SEARCH($A44,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ISNUMBER(SEARCH($A44, INDEX(AsistenciaJetAdminConcatenada!$D:$D, MATCH(1, (AsistenciaJetAdminConcatenada!$A:$A=ER$2)*(AsistenciaJetAdminConcatenada!$B:$B=ER$1), 0)), 1))),  0.5, 0))</f>
        <v>0</v>
      </c>
      <c r="ES44" s="47">
        <f t="array" ref="ES44">IF(AND(ISNUMBER(MATCH(ES$2, AsistenciaJetAdminConcatenada!$A:$A, 0)), ISNUMBER(MATCH(ES$1, AsistenciaJetAdminConcatenada!$B:$B, 0)), ISNUMBER(SEARCH($A44,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ISNUMBER(SEARCH($A44, INDEX(AsistenciaJetAdminConcatenada!$D:$D, MATCH(1, (AsistenciaJetAdminConcatenada!$A:$A=ES$2)*(AsistenciaJetAdminConcatenada!$B:$B=ES$1), 0)), 1))),  0.5, 0))</f>
        <v>0</v>
      </c>
      <c r="ET44" s="47">
        <f t="array" ref="ET44">IF(AND(ISNUMBER(MATCH(ET$2, AsistenciaJetAdminConcatenada!$A:$A, 0)), ISNUMBER(MATCH(ET$1, AsistenciaJetAdminConcatenada!$B:$B, 0)), ISNUMBER(SEARCH($A44,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ISNUMBER(SEARCH($A44, INDEX(AsistenciaJetAdminConcatenada!$D:$D, MATCH(1, (AsistenciaJetAdminConcatenada!$A:$A=ET$2)*(AsistenciaJetAdminConcatenada!$B:$B=ET$1), 0)), 1))),  0.5, 0))</f>
        <v>0</v>
      </c>
      <c r="EU44" s="47">
        <f t="array" ref="EU44">IF(AND(ISNUMBER(MATCH(EU$2, AsistenciaJetAdminConcatenada!$A:$A, 0)), ISNUMBER(MATCH(EU$1, AsistenciaJetAdminConcatenada!$B:$B, 0)), ISNUMBER(SEARCH($A44,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ISNUMBER(SEARCH($A44, INDEX(AsistenciaJetAdminConcatenada!$D:$D, MATCH(1, (AsistenciaJetAdminConcatenada!$A:$A=EU$2)*(AsistenciaJetAdminConcatenada!$B:$B=EU$1), 0)), 1))),  0.5, 0))</f>
        <v>0</v>
      </c>
      <c r="EV44" s="47">
        <f t="array" ref="EV44">IF(AND(ISNUMBER(MATCH(EV$2, AsistenciaJetAdminConcatenada!$A:$A, 0)), ISNUMBER(MATCH(EV$1, AsistenciaJetAdminConcatenada!$B:$B, 0)), ISNUMBER(SEARCH($A44,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ISNUMBER(SEARCH($A44, INDEX(AsistenciaJetAdminConcatenada!$D:$D, MATCH(1, (AsistenciaJetAdminConcatenada!$A:$A=EV$2)*(AsistenciaJetAdminConcatenada!$B:$B=EV$1), 0)), 1))),  0.5, 0))</f>
        <v>0</v>
      </c>
      <c r="EW44" s="47">
        <f t="array" ref="EW44">IF(AND(ISNUMBER(MATCH(EW$2, AsistenciaJetAdminConcatenada!$A:$A, 0)), ISNUMBER(MATCH(EW$1, AsistenciaJetAdminConcatenada!$B:$B, 0)), ISNUMBER(SEARCH($A44,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ISNUMBER(SEARCH($A44, INDEX(AsistenciaJetAdminConcatenada!$D:$D, MATCH(1, (AsistenciaJetAdminConcatenada!$A:$A=EW$2)*(AsistenciaJetAdminConcatenada!$B:$B=EW$1), 0)), 1))),  0.5, 0))</f>
        <v>0</v>
      </c>
      <c r="EX44" s="47">
        <f t="array" ref="EX44">IF(AND(ISNUMBER(MATCH(EX$2, AsistenciaJetAdminConcatenada!$A:$A, 0)), ISNUMBER(MATCH(EX$1, AsistenciaJetAdminConcatenada!$B:$B, 0)), ISNUMBER(SEARCH($A44,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ISNUMBER(SEARCH($A44, INDEX(AsistenciaJetAdminConcatenada!$D:$D, MATCH(1, (AsistenciaJetAdminConcatenada!$A:$A=EX$2)*(AsistenciaJetAdminConcatenada!$B:$B=EX$1), 0)), 1))),  0.5, 0))</f>
        <v>0</v>
      </c>
      <c r="EY44" s="47">
        <f t="array" ref="EY44">IF(AND(ISNUMBER(MATCH(EY$2, AsistenciaJetAdminConcatenada!$A:$A, 0)), ISNUMBER(MATCH(EY$1, AsistenciaJetAdminConcatenada!$B:$B, 0)), ISNUMBER(SEARCH($A44,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ISNUMBER(SEARCH($A44, INDEX(AsistenciaJetAdminConcatenada!$D:$D, MATCH(1, (AsistenciaJetAdminConcatenada!$A:$A=EY$2)*(AsistenciaJetAdminConcatenada!$B:$B=EY$1), 0)), 1))),  0.5, 0))</f>
        <v>0</v>
      </c>
      <c r="EZ44" s="47">
        <f t="array" ref="EZ44">IF(AND(ISNUMBER(MATCH(EZ$2, AsistenciaJetAdminConcatenada!$A:$A, 0)), ISNUMBER(MATCH(EZ$1, AsistenciaJetAdminConcatenada!$B:$B, 0)), ISNUMBER(SEARCH($A44,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ISNUMBER(SEARCH($A44, INDEX(AsistenciaJetAdminConcatenada!$D:$D, MATCH(1, (AsistenciaJetAdminConcatenada!$A:$A=EZ$2)*(AsistenciaJetAdminConcatenada!$B:$B=EZ$1), 0)), 1))),  0.5, 0))</f>
        <v>0</v>
      </c>
      <c r="FA44" s="47">
        <f t="array" ref="FA44">IF(AND(ISNUMBER(MATCH(FA$2, AsistenciaJetAdminConcatenada!$A:$A, 0)), ISNUMBER(MATCH(FA$1, AsistenciaJetAdminConcatenada!$B:$B, 0)), ISNUMBER(SEARCH($A44,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ISNUMBER(SEARCH($A44, INDEX(AsistenciaJetAdminConcatenada!$D:$D, MATCH(1, (AsistenciaJetAdminConcatenada!$A:$A=FA$2)*(AsistenciaJetAdminConcatenada!$B:$B=FA$1), 0)), 1))),  0.5, 0))</f>
        <v>0</v>
      </c>
      <c r="FB44" s="47">
        <f t="array" ref="FB44">IF(AND(ISNUMBER(MATCH(FB$2, AsistenciaJetAdminConcatenada!$A:$A, 0)), ISNUMBER(MATCH(FB$1, AsistenciaJetAdminConcatenada!$B:$B, 0)), ISNUMBER(SEARCH($A44,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ISNUMBER(SEARCH($A44, INDEX(AsistenciaJetAdminConcatenada!$D:$D, MATCH(1, (AsistenciaJetAdminConcatenada!$A:$A=FB$2)*(AsistenciaJetAdminConcatenada!$B:$B=FB$1), 0)), 1))),  0.5, 0))</f>
        <v>0</v>
      </c>
      <c r="FC44" s="47">
        <f t="array" ref="FC44">IF(AND(ISNUMBER(MATCH(FC$2, AsistenciaJetAdminConcatenada!$A:$A, 0)), ISNUMBER(MATCH(FC$1, AsistenciaJetAdminConcatenada!$B:$B, 0)), ISNUMBER(SEARCH($A44,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ISNUMBER(SEARCH($A44, INDEX(AsistenciaJetAdminConcatenada!$D:$D, MATCH(1, (AsistenciaJetAdminConcatenada!$A:$A=FC$2)*(AsistenciaJetAdminConcatenada!$B:$B=FC$1), 0)), 1))),  0.5, 0))</f>
        <v>0</v>
      </c>
      <c r="FD44" s="47">
        <f t="array" ref="FD44">IF(AND(ISNUMBER(MATCH(FD$2, AsistenciaJetAdminConcatenada!$A:$A, 0)), ISNUMBER(MATCH(FD$1, AsistenciaJetAdminConcatenada!$B:$B, 0)), ISNUMBER(SEARCH($A44,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ISNUMBER(SEARCH($A44, INDEX(AsistenciaJetAdminConcatenada!$D:$D, MATCH(1, (AsistenciaJetAdminConcatenada!$A:$A=FD$2)*(AsistenciaJetAdminConcatenada!$B:$B=FD$1), 0)), 1))),  0.5, 0))</f>
        <v>0</v>
      </c>
      <c r="FE44" s="47">
        <f t="array" ref="FE44">IF(AND(ISNUMBER(MATCH(FE$2, AsistenciaJetAdminConcatenada!$A:$A, 0)), ISNUMBER(MATCH(FE$1, AsistenciaJetAdminConcatenada!$B:$B, 0)), ISNUMBER(SEARCH($A44,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ISNUMBER(SEARCH($A44, INDEX(AsistenciaJetAdminConcatenada!$D:$D, MATCH(1, (AsistenciaJetAdminConcatenada!$A:$A=FE$2)*(AsistenciaJetAdminConcatenada!$B:$B=FE$1), 0)), 1))),  0.5, 0))</f>
        <v>0</v>
      </c>
      <c r="FF44" s="47">
        <f t="array" ref="FF44">IF(AND(ISNUMBER(MATCH(FF$2, AsistenciaJetAdminConcatenada!$A:$A, 0)), ISNUMBER(MATCH(FF$1, AsistenciaJetAdminConcatenada!$B:$B, 0)), ISNUMBER(SEARCH($A44,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ISNUMBER(SEARCH($A44, INDEX(AsistenciaJetAdminConcatenada!$D:$D, MATCH(1, (AsistenciaJetAdminConcatenada!$A:$A=FF$2)*(AsistenciaJetAdminConcatenada!$B:$B=FF$1), 0)), 1))),  0.5, 0))</f>
        <v>0</v>
      </c>
      <c r="FG44" s="47">
        <f t="array" ref="FG44">IF(AND(ISNUMBER(MATCH(FG$2, AsistenciaJetAdminConcatenada!$A:$A, 0)), ISNUMBER(MATCH(FG$1, AsistenciaJetAdminConcatenada!$B:$B, 0)), ISNUMBER(SEARCH($A44,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ISNUMBER(SEARCH($A44, INDEX(AsistenciaJetAdminConcatenada!$D:$D, MATCH(1, (AsistenciaJetAdminConcatenada!$A:$A=FG$2)*(AsistenciaJetAdminConcatenada!$B:$B=FG$1), 0)), 1))),  0.5, 0))</f>
        <v>0</v>
      </c>
      <c r="FH44" s="47">
        <f t="array" ref="FH44">IF(AND(ISNUMBER(MATCH(FH$2, AsistenciaJetAdminConcatenada!$A:$A, 0)), ISNUMBER(MATCH(FH$1, AsistenciaJetAdminConcatenada!$B:$B, 0)), ISNUMBER(SEARCH($A44,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ISNUMBER(SEARCH($A44, INDEX(AsistenciaJetAdminConcatenada!$D:$D, MATCH(1, (AsistenciaJetAdminConcatenada!$A:$A=FH$2)*(AsistenciaJetAdminConcatenada!$B:$B=FH$1), 0)), 1))),  0.5, 0))</f>
        <v>0</v>
      </c>
      <c r="FI44" s="47">
        <f t="array" ref="FI44">IF(AND(ISNUMBER(MATCH(FI$2, AsistenciaJetAdminConcatenada!$A:$A, 0)), ISNUMBER(MATCH(FI$1, AsistenciaJetAdminConcatenada!$B:$B, 0)), ISNUMBER(SEARCH($A44,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ISNUMBER(SEARCH($A44, INDEX(AsistenciaJetAdminConcatenada!$D:$D, MATCH(1, (AsistenciaJetAdminConcatenada!$A:$A=FI$2)*(AsistenciaJetAdminConcatenada!$B:$B=FI$1), 0)), 1))),  0.5, 0))</f>
        <v>0</v>
      </c>
      <c r="FJ44" s="47">
        <f t="array" ref="FJ44">IF(AND(ISNUMBER(MATCH(FJ$2, AsistenciaJetAdminConcatenada!$A:$A, 0)), ISNUMBER(MATCH(FJ$1, AsistenciaJetAdminConcatenada!$B:$B, 0)), ISNUMBER(SEARCH($A44,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ISNUMBER(SEARCH($A44, INDEX(AsistenciaJetAdminConcatenada!$D:$D, MATCH(1, (AsistenciaJetAdminConcatenada!$A:$A=FJ$2)*(AsistenciaJetAdminConcatenada!$B:$B=FJ$1), 0)), 1))),  0.5, 0))</f>
        <v>0</v>
      </c>
      <c r="FK44" s="47">
        <f t="array" ref="FK44">IF(AND(ISNUMBER(MATCH(FK$2, AsistenciaJetAdminConcatenada!$A:$A, 0)), ISNUMBER(MATCH(FK$1, AsistenciaJetAdminConcatenada!$B:$B, 0)), ISNUMBER(SEARCH($A44,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ISNUMBER(SEARCH($A44, INDEX(AsistenciaJetAdminConcatenada!$D:$D, MATCH(1, (AsistenciaJetAdminConcatenada!$A:$A=FK$2)*(AsistenciaJetAdminConcatenada!$B:$B=FK$1), 0)), 1))),  0.5, 0))</f>
        <v>0</v>
      </c>
      <c r="FL44" s="47">
        <f t="array" ref="FL44">IF(AND(ISNUMBER(MATCH(FL$2, AsistenciaJetAdminConcatenada!$A:$A, 0)), ISNUMBER(MATCH(FL$1, AsistenciaJetAdminConcatenada!$B:$B, 0)), ISNUMBER(SEARCH($A44,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ISNUMBER(SEARCH($A44, INDEX(AsistenciaJetAdminConcatenada!$D:$D, MATCH(1, (AsistenciaJetAdminConcatenada!$A:$A=FL$2)*(AsistenciaJetAdminConcatenada!$B:$B=FL$1), 0)), 1))),  0.5, 0))</f>
        <v>0</v>
      </c>
      <c r="FM44" s="47">
        <f t="array" ref="FM44">IF(AND(ISNUMBER(MATCH(FM$2, AsistenciaJetAdminConcatenada!$A:$A, 0)), ISNUMBER(MATCH(FM$1, AsistenciaJetAdminConcatenada!$B:$B, 0)), ISNUMBER(SEARCH($A44,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ISNUMBER(SEARCH($A44, INDEX(AsistenciaJetAdminConcatenada!$D:$D, MATCH(1, (AsistenciaJetAdminConcatenada!$A:$A=FM$2)*(AsistenciaJetAdminConcatenada!$B:$B=FM$1), 0)), 1))),  0.5, 0))</f>
        <v>0</v>
      </c>
      <c r="FN44" s="47">
        <f t="array" ref="FN44">IF(AND(ISNUMBER(MATCH(FN$2, AsistenciaJetAdminConcatenada!$A:$A, 0)), ISNUMBER(MATCH(FN$1, AsistenciaJetAdminConcatenada!$B:$B, 0)), ISNUMBER(SEARCH($A44,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ISNUMBER(SEARCH($A44, INDEX(AsistenciaJetAdminConcatenada!$D:$D, MATCH(1, (AsistenciaJetAdminConcatenada!$A:$A=FN$2)*(AsistenciaJetAdminConcatenada!$B:$B=FN$1), 0)), 1))),  0.5, 0))</f>
        <v>0</v>
      </c>
      <c r="FO44" s="47">
        <f t="array" ref="FO44">IF(AND(ISNUMBER(MATCH(FO$2, AsistenciaJetAdminConcatenada!$A:$A, 0)), ISNUMBER(MATCH(FO$1, AsistenciaJetAdminConcatenada!$B:$B, 0)), ISNUMBER(SEARCH($A44,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ISNUMBER(SEARCH($A44, INDEX(AsistenciaJetAdminConcatenada!$D:$D, MATCH(1, (AsistenciaJetAdminConcatenada!$A:$A=FO$2)*(AsistenciaJetAdminConcatenada!$B:$B=FO$1), 0)), 1))),  0.5, 0))</f>
        <v>0</v>
      </c>
      <c r="FP44" s="47">
        <f t="array" ref="FP44">IF(AND(ISNUMBER(MATCH(FP$2, AsistenciaJetAdminConcatenada!$A:$A, 0)), ISNUMBER(MATCH(FP$1, AsistenciaJetAdminConcatenada!$B:$B, 0)), ISNUMBER(SEARCH($A44,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ISNUMBER(SEARCH($A44, INDEX(AsistenciaJetAdminConcatenada!$D:$D, MATCH(1, (AsistenciaJetAdminConcatenada!$A:$A=FP$2)*(AsistenciaJetAdminConcatenada!$B:$B=FP$1), 0)), 1))),  0.5, 0))</f>
        <v>0</v>
      </c>
      <c r="FQ44" s="47">
        <f t="array" ref="FQ44">IF(AND(ISNUMBER(MATCH(FQ$2, AsistenciaJetAdminConcatenada!$A:$A, 0)), ISNUMBER(MATCH(FQ$1, AsistenciaJetAdminConcatenada!$B:$B, 0)), ISNUMBER(SEARCH($A44,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ISNUMBER(SEARCH($A44, INDEX(AsistenciaJetAdminConcatenada!$D:$D, MATCH(1, (AsistenciaJetAdminConcatenada!$A:$A=FQ$2)*(AsistenciaJetAdminConcatenada!$B:$B=FQ$1), 0)), 1))),  0.5, 0))</f>
        <v>0</v>
      </c>
      <c r="FR44" s="47">
        <f t="array" ref="FR44">IF(AND(ISNUMBER(MATCH(FR$2, AsistenciaJetAdminConcatenada!$A:$A, 0)), ISNUMBER(MATCH(FR$1, AsistenciaJetAdminConcatenada!$B:$B, 0)), ISNUMBER(SEARCH($A44,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ISNUMBER(SEARCH($A44, INDEX(AsistenciaJetAdminConcatenada!$D:$D, MATCH(1, (AsistenciaJetAdminConcatenada!$A:$A=FR$2)*(AsistenciaJetAdminConcatenada!$B:$B=FR$1), 0)), 1))),  0.5, 0))</f>
        <v>0</v>
      </c>
      <c r="FS44" s="47">
        <f t="array" ref="FS44">IF(AND(ISNUMBER(MATCH(FS$2, AsistenciaJetAdminConcatenada!$A:$A, 0)), ISNUMBER(MATCH(FS$1, AsistenciaJetAdminConcatenada!$B:$B, 0)), ISNUMBER(SEARCH($A44,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ISNUMBER(SEARCH($A44, INDEX(AsistenciaJetAdminConcatenada!$D:$D, MATCH(1, (AsistenciaJetAdminConcatenada!$A:$A=FS$2)*(AsistenciaJetAdminConcatenada!$B:$B=FS$1), 0)), 1))),  0.5, 0))</f>
        <v>0</v>
      </c>
      <c r="FT44" s="47">
        <f t="array" ref="FT44">IF(AND(ISNUMBER(MATCH(FT$2, AsistenciaJetAdminConcatenada!$A:$A, 0)), ISNUMBER(MATCH(FT$1, AsistenciaJetAdminConcatenada!$B:$B, 0)), ISNUMBER(SEARCH($A44,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ISNUMBER(SEARCH($A44, INDEX(AsistenciaJetAdminConcatenada!$D:$D, MATCH(1, (AsistenciaJetAdminConcatenada!$A:$A=FT$2)*(AsistenciaJetAdminConcatenada!$B:$B=FT$1), 0)), 1))),  0.5, 0))</f>
        <v>0</v>
      </c>
      <c r="FU44" s="47">
        <f t="array" ref="FU44">IF(AND(ISNUMBER(MATCH(FU$2, AsistenciaJetAdminConcatenada!$A:$A, 0)), ISNUMBER(MATCH(FU$1, AsistenciaJetAdminConcatenada!$B:$B, 0)), ISNUMBER(SEARCH($A44,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ISNUMBER(SEARCH($A44, INDEX(AsistenciaJetAdminConcatenada!$D:$D, MATCH(1, (AsistenciaJetAdminConcatenada!$A:$A=FU$2)*(AsistenciaJetAdminConcatenada!$B:$B=FU$1), 0)), 1))),  0.5, 0))</f>
        <v>0</v>
      </c>
      <c r="FV44" s="47">
        <f t="array" ref="FV44">IF(AND(ISNUMBER(MATCH(FV$2, AsistenciaJetAdminConcatenada!$A:$A, 0)), ISNUMBER(MATCH(FV$1, AsistenciaJetAdminConcatenada!$B:$B, 0)), ISNUMBER(SEARCH($A44,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ISNUMBER(SEARCH($A44, INDEX(AsistenciaJetAdminConcatenada!$D:$D, MATCH(1, (AsistenciaJetAdminConcatenada!$A:$A=FV$2)*(AsistenciaJetAdminConcatenada!$B:$B=FV$1), 0)), 1))),  0.5, 0))</f>
        <v>0</v>
      </c>
      <c r="FW44" s="47">
        <f t="array" ref="FW44">IF(AND(ISNUMBER(MATCH(FW$2, AsistenciaJetAdminConcatenada!$A:$A, 0)), ISNUMBER(MATCH(FW$1, AsistenciaJetAdminConcatenada!$B:$B, 0)), ISNUMBER(SEARCH($A44,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ISNUMBER(SEARCH($A44, INDEX(AsistenciaJetAdminConcatenada!$D:$D, MATCH(1, (AsistenciaJetAdminConcatenada!$A:$A=FW$2)*(AsistenciaJetAdminConcatenada!$B:$B=FW$1), 0)), 1))),  0.5, 0))</f>
        <v>0</v>
      </c>
      <c r="FX44" s="47">
        <f t="array" ref="FX44">IF(AND(ISNUMBER(MATCH(FX$2, AsistenciaJetAdminConcatenada!$A:$A, 0)), ISNUMBER(MATCH(FX$1, AsistenciaJetAdminConcatenada!$B:$B, 0)), ISNUMBER(SEARCH($A44,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ISNUMBER(SEARCH($A44, INDEX(AsistenciaJetAdminConcatenada!$D:$D, MATCH(1, (AsistenciaJetAdminConcatenada!$A:$A=FX$2)*(AsistenciaJetAdminConcatenada!$B:$B=FX$1), 0)), 1))),  0.5, 0))</f>
        <v>0</v>
      </c>
      <c r="FY44" s="47">
        <f t="array" ref="FY44">IF(AND(ISNUMBER(MATCH(FY$2, AsistenciaJetAdminConcatenada!$A:$A, 0)), ISNUMBER(MATCH(FY$1, AsistenciaJetAdminConcatenada!$B:$B, 0)), ISNUMBER(SEARCH($A44,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ISNUMBER(SEARCH($A44, INDEX(AsistenciaJetAdminConcatenada!$D:$D, MATCH(1, (AsistenciaJetAdminConcatenada!$A:$A=FY$2)*(AsistenciaJetAdminConcatenada!$B:$B=FY$1), 0)), 1))),  0.5, 0))</f>
        <v>0</v>
      </c>
      <c r="FZ44" s="47">
        <f t="array" ref="FZ44">IF(AND(ISNUMBER(MATCH(FZ$2, AsistenciaJetAdminConcatenada!$A:$A, 0)), ISNUMBER(MATCH(FZ$1, AsistenciaJetAdminConcatenada!$B:$B, 0)), ISNUMBER(SEARCH($A44,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ISNUMBER(SEARCH($A44, INDEX(AsistenciaJetAdminConcatenada!$D:$D, MATCH(1, (AsistenciaJetAdminConcatenada!$A:$A=FZ$2)*(AsistenciaJetAdminConcatenada!$B:$B=FZ$1), 0)), 1))),  0.5, 0))</f>
        <v>0</v>
      </c>
      <c r="GA44" s="47">
        <f t="array" ref="GA44">IF(AND(ISNUMBER(MATCH(GA$2, AsistenciaJetAdminConcatenada!$A:$A, 0)), ISNUMBER(MATCH(GA$1, AsistenciaJetAdminConcatenada!$B:$B, 0)), ISNUMBER(SEARCH($A44,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ISNUMBER(SEARCH($A44, INDEX(AsistenciaJetAdminConcatenada!$D:$D, MATCH(1, (AsistenciaJetAdminConcatenada!$A:$A=GA$2)*(AsistenciaJetAdminConcatenada!$B:$B=GA$1), 0)), 1))),  0.5, 0))</f>
        <v>0</v>
      </c>
      <c r="GB44" s="47">
        <f t="array" ref="GB44">IF(AND(ISNUMBER(MATCH(GB$2, AsistenciaJetAdminConcatenada!$A:$A, 0)), ISNUMBER(MATCH(GB$1, AsistenciaJetAdminConcatenada!$B:$B, 0)), ISNUMBER(SEARCH($A44,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ISNUMBER(SEARCH($A44, INDEX(AsistenciaJetAdminConcatenada!$D:$D, MATCH(1, (AsistenciaJetAdminConcatenada!$A:$A=GB$2)*(AsistenciaJetAdminConcatenada!$B:$B=GB$1), 0)), 1))),  0.5, 0))</f>
        <v>0</v>
      </c>
      <c r="GC44" s="47">
        <f t="array" ref="GC44">IF(AND(ISNUMBER(MATCH(GC$2, AsistenciaJetAdminConcatenada!$A:$A, 0)), ISNUMBER(MATCH(GC$1, AsistenciaJetAdminConcatenada!$B:$B, 0)), ISNUMBER(SEARCH($A44,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ISNUMBER(SEARCH($A44, INDEX(AsistenciaJetAdminConcatenada!$D:$D, MATCH(1, (AsistenciaJetAdminConcatenada!$A:$A=GC$2)*(AsistenciaJetAdminConcatenada!$B:$B=GC$1), 0)), 1))),  0.5, 0))</f>
        <v>0</v>
      </c>
      <c r="GD44" s="47">
        <f t="array" ref="GD44">IF(AND(ISNUMBER(MATCH(GD$2, AsistenciaJetAdminConcatenada!$A:$A, 0)), ISNUMBER(MATCH(GD$1, AsistenciaJetAdminConcatenada!$B:$B, 0)), ISNUMBER(SEARCH($A44,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ISNUMBER(SEARCH($A44, INDEX(AsistenciaJetAdminConcatenada!$D:$D, MATCH(1, (AsistenciaJetAdminConcatenada!$A:$A=GD$2)*(AsistenciaJetAdminConcatenada!$B:$B=GD$1), 0)), 1))),  0.5, 0))</f>
        <v>0</v>
      </c>
      <c r="GE44" s="47">
        <f t="array" ref="GE44">IF(AND(ISNUMBER(MATCH(GE$2, AsistenciaJetAdminConcatenada!$A:$A, 0)), ISNUMBER(MATCH(GE$1, AsistenciaJetAdminConcatenada!$B:$B, 0)), ISNUMBER(SEARCH($A44,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ISNUMBER(SEARCH($A44, INDEX(AsistenciaJetAdminConcatenada!$D:$D, MATCH(1, (AsistenciaJetAdminConcatenada!$A:$A=GE$2)*(AsistenciaJetAdminConcatenada!$B:$B=GE$1), 0)), 1))),  0.5, 0))</f>
        <v>0</v>
      </c>
      <c r="GF44" s="47">
        <f t="array" ref="GF44">IF(AND(ISNUMBER(MATCH(GF$2, AsistenciaJetAdminConcatenada!$A:$A, 0)), ISNUMBER(MATCH(GF$1, AsistenciaJetAdminConcatenada!$B:$B, 0)), ISNUMBER(SEARCH($A44,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ISNUMBER(SEARCH($A44, INDEX(AsistenciaJetAdminConcatenada!$D:$D, MATCH(1, (AsistenciaJetAdminConcatenada!$A:$A=GF$2)*(AsistenciaJetAdminConcatenada!$B:$B=GF$1), 0)), 1))),  0.5, 0))</f>
        <v>0</v>
      </c>
      <c r="GG44" s="47">
        <f t="array" ref="GG44">IF(AND(ISNUMBER(MATCH(GG$2, AsistenciaJetAdminConcatenada!$A:$A, 0)), ISNUMBER(MATCH(GG$1, AsistenciaJetAdminConcatenada!$B:$B, 0)), ISNUMBER(SEARCH($A44,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ISNUMBER(SEARCH($A44, INDEX(AsistenciaJetAdminConcatenada!$D:$D, MATCH(1, (AsistenciaJetAdminConcatenada!$A:$A=GG$2)*(AsistenciaJetAdminConcatenada!$B:$B=GG$1), 0)), 1))),  0.5, 0))</f>
        <v>0</v>
      </c>
      <c r="GH44" s="47">
        <f t="array" ref="GH44">IF(AND(ISNUMBER(MATCH(GH$2, AsistenciaJetAdminConcatenada!$A:$A, 0)), ISNUMBER(MATCH(GH$1, AsistenciaJetAdminConcatenada!$B:$B, 0)), ISNUMBER(SEARCH($A44,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ISNUMBER(SEARCH($A44, INDEX(AsistenciaJetAdminConcatenada!$D:$D, MATCH(1, (AsistenciaJetAdminConcatenada!$A:$A=GH$2)*(AsistenciaJetAdminConcatenada!$B:$B=GH$1), 0)), 1))),  0.5, 0))</f>
        <v>0</v>
      </c>
      <c r="GI44" s="47">
        <f t="array" ref="GI44">IF(AND(ISNUMBER(MATCH(GI$2, AsistenciaJetAdminConcatenada!$A:$A, 0)), ISNUMBER(MATCH(GI$1, AsistenciaJetAdminConcatenada!$B:$B, 0)), ISNUMBER(SEARCH($A44,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ISNUMBER(SEARCH($A44, INDEX(AsistenciaJetAdminConcatenada!$D:$D, MATCH(1, (AsistenciaJetAdminConcatenada!$A:$A=GI$2)*(AsistenciaJetAdminConcatenada!$B:$B=GI$1), 0)), 1))),  0.5, 0))</f>
        <v>0</v>
      </c>
      <c r="GJ44" s="47">
        <f t="array" ref="GJ44">IF(AND(ISNUMBER(MATCH(GJ$2, AsistenciaJetAdminConcatenada!$A:$A, 0)), ISNUMBER(MATCH(GJ$1, AsistenciaJetAdminConcatenada!$B:$B, 0)), ISNUMBER(SEARCH($A44,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ISNUMBER(SEARCH($A44, INDEX(AsistenciaJetAdminConcatenada!$D:$D, MATCH(1, (AsistenciaJetAdminConcatenada!$A:$A=GJ$2)*(AsistenciaJetAdminConcatenada!$B:$B=GJ$1), 0)), 1))),  0.5, 0))</f>
        <v>0</v>
      </c>
      <c r="GK44" s="47">
        <f t="array" ref="GK44">IF(AND(ISNUMBER(MATCH(GK$2, AsistenciaJetAdminConcatenada!$A:$A, 0)), ISNUMBER(MATCH(GK$1, AsistenciaJetAdminConcatenada!$B:$B, 0)), ISNUMBER(SEARCH($A44,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ISNUMBER(SEARCH($A44, INDEX(AsistenciaJetAdminConcatenada!$D:$D, MATCH(1, (AsistenciaJetAdminConcatenada!$A:$A=GK$2)*(AsistenciaJetAdminConcatenada!$B:$B=GK$1), 0)), 1))),  0.5, 0))</f>
        <v>0</v>
      </c>
      <c r="GL44" s="47">
        <f t="array" ref="GL44">IF(AND(ISNUMBER(MATCH(GL$2, AsistenciaJetAdminConcatenada!$A:$A, 0)), ISNUMBER(MATCH(GL$1, AsistenciaJetAdminConcatenada!$B:$B, 0)), ISNUMBER(SEARCH($A44,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ISNUMBER(SEARCH($A44, INDEX(AsistenciaJetAdminConcatenada!$D:$D, MATCH(1, (AsistenciaJetAdminConcatenada!$A:$A=GL$2)*(AsistenciaJetAdminConcatenada!$B:$B=GL$1), 0)), 1))),  0.5, 0))</f>
        <v>0</v>
      </c>
      <c r="GM44" s="47">
        <f t="array" ref="GM44">IF(AND(ISNUMBER(MATCH(GM$2, AsistenciaJetAdminConcatenada!$A:$A, 0)), ISNUMBER(MATCH(GM$1, AsistenciaJetAdminConcatenada!$B:$B, 0)), ISNUMBER(SEARCH($A44,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ISNUMBER(SEARCH($A44, INDEX(AsistenciaJetAdminConcatenada!$D:$D, MATCH(1, (AsistenciaJetAdminConcatenada!$A:$A=GM$2)*(AsistenciaJetAdminConcatenada!$B:$B=GM$1), 0)), 1))),  0.5, 0))</f>
        <v>0</v>
      </c>
      <c r="GN44" s="47">
        <f t="array" ref="GN44">IF(AND(ISNUMBER(MATCH(GN$2, AsistenciaJetAdminConcatenada!$A:$A, 0)), ISNUMBER(MATCH(GN$1, AsistenciaJetAdminConcatenada!$B:$B, 0)), ISNUMBER(SEARCH($A44,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ISNUMBER(SEARCH($A44, INDEX(AsistenciaJetAdminConcatenada!$D:$D, MATCH(1, (AsistenciaJetAdminConcatenada!$A:$A=GN$2)*(AsistenciaJetAdminConcatenada!$B:$B=GN$1), 0)), 1))),  0.5, 0))</f>
        <v>0</v>
      </c>
      <c r="GO44" s="47">
        <f t="array" ref="GO44">IF(AND(ISNUMBER(MATCH(GO$2, AsistenciaJetAdminConcatenada!$A:$A, 0)), ISNUMBER(MATCH(GO$1, AsistenciaJetAdminConcatenada!$B:$B, 0)), ISNUMBER(SEARCH($A44,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ISNUMBER(SEARCH($A44, INDEX(AsistenciaJetAdminConcatenada!$D:$D, MATCH(1, (AsistenciaJetAdminConcatenada!$A:$A=GO$2)*(AsistenciaJetAdminConcatenada!$B:$B=GO$1), 0)), 1))),  0.5, 0))</f>
        <v>0</v>
      </c>
      <c r="GP44" s="47">
        <f t="array" ref="GP44">IF(AND(ISNUMBER(MATCH(GP$2, AsistenciaJetAdminConcatenada!$A:$A, 0)), ISNUMBER(MATCH(GP$1, AsistenciaJetAdminConcatenada!$B:$B, 0)), ISNUMBER(SEARCH($A44,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ISNUMBER(SEARCH($A44, INDEX(AsistenciaJetAdminConcatenada!$D:$D, MATCH(1, (AsistenciaJetAdminConcatenada!$A:$A=GP$2)*(AsistenciaJetAdminConcatenada!$B:$B=GP$1), 0)), 1))),  0.5, 0))</f>
        <v>0</v>
      </c>
      <c r="GQ44" s="47">
        <f t="array" ref="GQ44">IF(AND(ISNUMBER(MATCH(GQ$2, AsistenciaJetAdminConcatenada!$A:$A, 0)), ISNUMBER(MATCH(GQ$1, AsistenciaJetAdminConcatenada!$B:$B, 0)), ISNUMBER(SEARCH($A44,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ISNUMBER(SEARCH($A44, INDEX(AsistenciaJetAdminConcatenada!$D:$D, MATCH(1, (AsistenciaJetAdminConcatenada!$A:$A=GQ$2)*(AsistenciaJetAdminConcatenada!$B:$B=GQ$1), 0)), 1))),  0.5, 0))</f>
        <v>0</v>
      </c>
      <c r="GR44" s="47">
        <f t="array" ref="GR44">IF(AND(ISNUMBER(MATCH(GR$2, AsistenciaJetAdminConcatenada!$A:$A, 0)), ISNUMBER(MATCH(GR$1, AsistenciaJetAdminConcatenada!$B:$B, 0)), ISNUMBER(SEARCH($A44,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ISNUMBER(SEARCH($A44, INDEX(AsistenciaJetAdminConcatenada!$D:$D, MATCH(1, (AsistenciaJetAdminConcatenada!$A:$A=GR$2)*(AsistenciaJetAdminConcatenada!$B:$B=GR$1), 0)), 1))),  0.5, 0))</f>
        <v>0</v>
      </c>
      <c r="GS44" s="47">
        <f t="array" ref="GS44">IF(AND(ISNUMBER(MATCH(GS$2, AsistenciaJetAdminConcatenada!$A:$A, 0)), ISNUMBER(MATCH(GS$1, AsistenciaJetAdminConcatenada!$B:$B, 0)), ISNUMBER(SEARCH($A44,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ISNUMBER(SEARCH($A44, INDEX(AsistenciaJetAdminConcatenada!$D:$D, MATCH(1, (AsistenciaJetAdminConcatenada!$A:$A=GS$2)*(AsistenciaJetAdminConcatenada!$B:$B=GS$1), 0)), 1))),  0.5, 0))</f>
        <v>0</v>
      </c>
      <c r="GT44" s="47">
        <f t="array" ref="GT44">IF(AND(ISNUMBER(MATCH(GT$2, AsistenciaJetAdminConcatenada!$A:$A, 0)), ISNUMBER(MATCH(GT$1, AsistenciaJetAdminConcatenada!$B:$B, 0)), ISNUMBER(SEARCH($A44,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ISNUMBER(SEARCH($A44, INDEX(AsistenciaJetAdminConcatenada!$D:$D, MATCH(1, (AsistenciaJetAdminConcatenada!$A:$A=GT$2)*(AsistenciaJetAdminConcatenada!$B:$B=GT$1), 0)), 1))),  0.5, 0))</f>
        <v>0</v>
      </c>
      <c r="GU44" s="47">
        <f t="array" ref="GU44">IF(AND(ISNUMBER(MATCH(GU$2, AsistenciaJetAdminConcatenada!$A:$A, 0)), ISNUMBER(MATCH(GU$1, AsistenciaJetAdminConcatenada!$B:$B, 0)), ISNUMBER(SEARCH($A44,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ISNUMBER(SEARCH($A44, INDEX(AsistenciaJetAdminConcatenada!$D:$D, MATCH(1, (AsistenciaJetAdminConcatenada!$A:$A=GU$2)*(AsistenciaJetAdminConcatenada!$B:$B=GU$1), 0)), 1))),  0.5, 0))</f>
        <v>0</v>
      </c>
      <c r="GV44" s="47">
        <f t="array" ref="GV44">IF(AND(ISNUMBER(MATCH(GV$2, AsistenciaJetAdminConcatenada!$A:$A, 0)), ISNUMBER(MATCH(GV$1, AsistenciaJetAdminConcatenada!$B:$B, 0)), ISNUMBER(SEARCH($A44,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ISNUMBER(SEARCH($A44, INDEX(AsistenciaJetAdminConcatenada!$D:$D, MATCH(1, (AsistenciaJetAdminConcatenada!$A:$A=GV$2)*(AsistenciaJetAdminConcatenada!$B:$B=GV$1), 0)), 1))),  0.5, 0))</f>
        <v>0</v>
      </c>
      <c r="GW44" s="47">
        <f t="array" ref="GW44">IF(AND(ISNUMBER(MATCH(GW$2, AsistenciaJetAdminConcatenada!$A:$A, 0)), ISNUMBER(MATCH(GW$1, AsistenciaJetAdminConcatenada!$B:$B, 0)), ISNUMBER(SEARCH($A44,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ISNUMBER(SEARCH($A44, INDEX(AsistenciaJetAdminConcatenada!$D:$D, MATCH(1, (AsistenciaJetAdminConcatenada!$A:$A=GW$2)*(AsistenciaJetAdminConcatenada!$B:$B=GW$1), 0)), 1))),  0.5, 0))</f>
        <v>0</v>
      </c>
      <c r="GX44" s="47">
        <f t="array" ref="GX44">IF(AND(ISNUMBER(MATCH(GX$2, AsistenciaJetAdminConcatenada!$A:$A, 0)), ISNUMBER(MATCH(GX$1, AsistenciaJetAdminConcatenada!$B:$B, 0)), ISNUMBER(SEARCH($A44,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ISNUMBER(SEARCH($A44, INDEX(AsistenciaJetAdminConcatenada!$D:$D, MATCH(1, (AsistenciaJetAdminConcatenada!$A:$A=GX$2)*(AsistenciaJetAdminConcatenada!$B:$B=GX$1), 0)), 1))),  0.5, 0))</f>
        <v>0</v>
      </c>
      <c r="GY44" s="47">
        <f t="array" ref="GY44">IF(AND(ISNUMBER(MATCH(GY$2, AsistenciaJetAdminConcatenada!$A:$A, 0)), ISNUMBER(MATCH(GY$1, AsistenciaJetAdminConcatenada!$B:$B, 0)), ISNUMBER(SEARCH($A44,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ISNUMBER(SEARCH($A44, INDEX(AsistenciaJetAdminConcatenada!$D:$D, MATCH(1, (AsistenciaJetAdminConcatenada!$A:$A=GY$2)*(AsistenciaJetAdminConcatenada!$B:$B=GY$1), 0)), 1))),  0.5, 0))</f>
        <v>0</v>
      </c>
      <c r="GZ44" s="47">
        <f t="array" ref="GZ44">IF(AND(ISNUMBER(MATCH(GZ$2, AsistenciaJetAdminConcatenada!$A:$A, 0)), ISNUMBER(MATCH(GZ$1, AsistenciaJetAdminConcatenada!$B:$B, 0)), ISNUMBER(SEARCH($A44,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ISNUMBER(SEARCH($A44, INDEX(AsistenciaJetAdminConcatenada!$D:$D, MATCH(1, (AsistenciaJetAdminConcatenada!$A:$A=GZ$2)*(AsistenciaJetAdminConcatenada!$B:$B=GZ$1), 0)), 1))),  0.5, 0))</f>
        <v>0</v>
      </c>
      <c r="HA44" s="47">
        <f t="array" ref="HA44">IF(AND(ISNUMBER(MATCH(HA$2, AsistenciaJetAdminConcatenada!$A:$A, 0)), ISNUMBER(MATCH(HA$1, AsistenciaJetAdminConcatenada!$B:$B, 0)), ISNUMBER(SEARCH($A44,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ISNUMBER(SEARCH($A44, INDEX(AsistenciaJetAdminConcatenada!$D:$D, MATCH(1, (AsistenciaJetAdminConcatenada!$A:$A=HA$2)*(AsistenciaJetAdminConcatenada!$B:$B=HA$1), 0)), 1))),  0.5, 0))</f>
        <v>0</v>
      </c>
      <c r="HB44" s="47">
        <f t="array" ref="HB44">IF(AND(ISNUMBER(MATCH(HB$2, AsistenciaJetAdminConcatenada!$A:$A, 0)), ISNUMBER(MATCH(HB$1, AsistenciaJetAdminConcatenada!$B:$B, 0)), ISNUMBER(SEARCH($A44,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ISNUMBER(SEARCH($A44, INDEX(AsistenciaJetAdminConcatenada!$D:$D, MATCH(1, (AsistenciaJetAdminConcatenada!$A:$A=HB$2)*(AsistenciaJetAdminConcatenada!$B:$B=HB$1), 0)), 1))),  0.5, 0))</f>
        <v>0</v>
      </c>
      <c r="HC44" s="47">
        <f t="array" ref="HC44">IF(AND(ISNUMBER(MATCH(HC$2, AsistenciaJetAdminConcatenada!$A:$A, 0)), ISNUMBER(MATCH(HC$1, AsistenciaJetAdminConcatenada!$B:$B, 0)), ISNUMBER(SEARCH($A44,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ISNUMBER(SEARCH($A44, INDEX(AsistenciaJetAdminConcatenada!$D:$D, MATCH(1, (AsistenciaJetAdminConcatenada!$A:$A=HC$2)*(AsistenciaJetAdminConcatenada!$B:$B=HC$1), 0)), 1))),  0.5, 0))</f>
        <v>0</v>
      </c>
    </row>
    <row r="45" ht="29.25" customHeight="1">
      <c r="A45" s="3">
        <v>169.0</v>
      </c>
      <c r="B45" s="4" t="s">
        <v>668</v>
      </c>
      <c r="C45" s="47">
        <f>SUM(D45:HC45) + ActividadesEspeciales!C45</f>
        <v>57</v>
      </c>
      <c r="D45" s="47">
        <f t="array" ref="D45">IF(AND(ISNUMBER(MATCH(D$2, AsistenciaJetAdminConcatenada!$A:$A, 0)), ISNUMBER(MATCH(D$1, AsistenciaJetAdminConcatenada!$B:$B, 0)), ISNUMBER(SEARCH($A45,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ISNUMBER(SEARCH($A45, INDEX(AsistenciaJetAdminConcatenada!$D:$D, MATCH(1, (AsistenciaJetAdminConcatenada!$A:$A=D$2)*(AsistenciaJetAdminConcatenada!$B:$B=D$1), 0)), 1))),  0.5, 0))</f>
        <v>1</v>
      </c>
      <c r="E45" s="47">
        <f t="array" ref="E45">IF(AND(ISNUMBER(MATCH(E$2, AsistenciaJetAdminConcatenada!$A:$A, 0)), ISNUMBER(MATCH(E$1, AsistenciaJetAdminConcatenada!$B:$B, 0)), ISNUMBER(SEARCH($A45,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ISNUMBER(SEARCH($A45, INDEX(AsistenciaJetAdminConcatenada!$D:$D, MATCH(1, (AsistenciaJetAdminConcatenada!$A:$A=E$2)*(AsistenciaJetAdminConcatenada!$B:$B=E$1), 0)), 1))),  0.5, 0))</f>
        <v>1</v>
      </c>
      <c r="F45" s="47">
        <f t="array" ref="F45">IF(AND(ISNUMBER(MATCH(F$2, AsistenciaJetAdminConcatenada!$A:$A, 0)), ISNUMBER(MATCH(F$1, AsistenciaJetAdminConcatenada!$B:$B, 0)), ISNUMBER(SEARCH($A45,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ISNUMBER(SEARCH($A45, INDEX(AsistenciaJetAdminConcatenada!$D:$D, MATCH(1, (AsistenciaJetAdminConcatenada!$A:$A=F$2)*(AsistenciaJetAdminConcatenada!$B:$B=F$1), 0)), 1))),  0.5, 0))</f>
        <v>0</v>
      </c>
      <c r="G45" s="47">
        <f t="array" ref="G45">IF(AND(ISNUMBER(MATCH(G$2, AsistenciaJetAdminConcatenada!$A:$A, 0)), ISNUMBER(MATCH(G$1, AsistenciaJetAdminConcatenada!$B:$B, 0)), ISNUMBER(SEARCH($A45,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ISNUMBER(SEARCH($A45, INDEX(AsistenciaJetAdminConcatenada!$D:$D, MATCH(1, (AsistenciaJetAdminConcatenada!$A:$A=G$2)*(AsistenciaJetAdminConcatenada!$B:$B=G$1), 0)), 1))),  0.5, 0))</f>
        <v>1</v>
      </c>
      <c r="H45" s="47">
        <f t="array" ref="H45">IF(AND(ISNUMBER(MATCH(H$2, AsistenciaJetAdminConcatenada!$A:$A, 0)), ISNUMBER(MATCH(H$1, AsistenciaJetAdminConcatenada!$B:$B, 0)), ISNUMBER(SEARCH($A45,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ISNUMBER(SEARCH($A45, INDEX(AsistenciaJetAdminConcatenada!$D:$D, MATCH(1, (AsistenciaJetAdminConcatenada!$A:$A=H$2)*(AsistenciaJetAdminConcatenada!$B:$B=H$1), 0)), 1))),  0.5, 0))</f>
        <v>0</v>
      </c>
      <c r="I45" s="47">
        <f t="array" ref="I45">IF(AND(ISNUMBER(MATCH(I$2, AsistenciaJetAdminConcatenada!$A:$A, 0)), ISNUMBER(MATCH(I$1, AsistenciaJetAdminConcatenada!$B:$B, 0)), ISNUMBER(SEARCH($A45,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ISNUMBER(SEARCH($A45, INDEX(AsistenciaJetAdminConcatenada!$D:$D, MATCH(1, (AsistenciaJetAdminConcatenada!$A:$A=I$2)*(AsistenciaJetAdminConcatenada!$B:$B=I$1), 0)), 1))),  0.5, 0))</f>
        <v>1</v>
      </c>
      <c r="J45" s="47">
        <f t="array" ref="J45">IF(AND(ISNUMBER(MATCH(J$2, AsistenciaJetAdminConcatenada!$A:$A, 0)), ISNUMBER(MATCH(J$1, AsistenciaJetAdminConcatenada!$B:$B, 0)), ISNUMBER(SEARCH($A45,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ISNUMBER(SEARCH($A45, INDEX(AsistenciaJetAdminConcatenada!$D:$D, MATCH(1, (AsistenciaJetAdminConcatenada!$A:$A=J$2)*(AsistenciaJetAdminConcatenada!$B:$B=J$1), 0)), 1))),  0.5, 0))</f>
        <v>0</v>
      </c>
      <c r="K45" s="47">
        <f t="array" ref="K45">IF(AND(ISNUMBER(MATCH(K$2, AsistenciaJetAdminConcatenada!$A:$A, 0)), ISNUMBER(MATCH(K$1, AsistenciaJetAdminConcatenada!$B:$B, 0)), ISNUMBER(SEARCH($A45,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ISNUMBER(SEARCH($A45, INDEX(AsistenciaJetAdminConcatenada!$D:$D, MATCH(1, (AsistenciaJetAdminConcatenada!$A:$A=K$2)*(AsistenciaJetAdminConcatenada!$B:$B=K$1), 0)), 1))),  0.5, 0))</f>
        <v>1</v>
      </c>
      <c r="L45" s="47">
        <f t="array" ref="L45">IF(AND(ISNUMBER(MATCH(L$2, AsistenciaJetAdminConcatenada!$A:$A, 0)), ISNUMBER(MATCH(L$1, AsistenciaJetAdminConcatenada!$B:$B, 0)), ISNUMBER(SEARCH($A45,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ISNUMBER(SEARCH($A45, INDEX(AsistenciaJetAdminConcatenada!$D:$D, MATCH(1, (AsistenciaJetAdminConcatenada!$A:$A=L$2)*(AsistenciaJetAdminConcatenada!$B:$B=L$1), 0)), 1))),  0.5, 0))</f>
        <v>1</v>
      </c>
      <c r="M45" s="47">
        <f t="array" ref="M45">IF(AND(ISNUMBER(MATCH(M$2, AsistenciaJetAdminConcatenada!$A:$A, 0)), ISNUMBER(MATCH(M$1, AsistenciaJetAdminConcatenada!$B:$B, 0)), ISNUMBER(SEARCH($A45,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ISNUMBER(SEARCH($A45, INDEX(AsistenciaJetAdminConcatenada!$D:$D, MATCH(1, (AsistenciaJetAdminConcatenada!$A:$A=M$2)*(AsistenciaJetAdminConcatenada!$B:$B=M$1), 0)), 1))),  0.5, 0))</f>
        <v>0</v>
      </c>
      <c r="N45" s="47">
        <f t="array" ref="N45">IF(AND(ISNUMBER(MATCH(N$2, AsistenciaJetAdminConcatenada!$A:$A, 0)), ISNUMBER(MATCH(N$1, AsistenciaJetAdminConcatenada!$B:$B, 0)), ISNUMBER(SEARCH($A45,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ISNUMBER(SEARCH($A45, INDEX(AsistenciaJetAdminConcatenada!$D:$D, MATCH(1, (AsistenciaJetAdminConcatenada!$A:$A=N$2)*(AsistenciaJetAdminConcatenada!$B:$B=N$1), 0)), 1))),  0.5, 0))</f>
        <v>0</v>
      </c>
      <c r="O45" s="47">
        <f t="array" ref="O45">IF(AND(ISNUMBER(MATCH(O$2, AsistenciaJetAdminConcatenada!$A:$A, 0)), ISNUMBER(MATCH(O$1, AsistenciaJetAdminConcatenada!$B:$B, 0)), ISNUMBER(SEARCH($A45,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ISNUMBER(SEARCH($A45, INDEX(AsistenciaJetAdminConcatenada!$D:$D, MATCH(1, (AsistenciaJetAdminConcatenada!$A:$A=O$2)*(AsistenciaJetAdminConcatenada!$B:$B=O$1), 0)), 1))),  0.5, 0))</f>
        <v>1</v>
      </c>
      <c r="P45" s="47">
        <f t="array" ref="P45">IF(AND(ISNUMBER(MATCH(P$2, AsistenciaJetAdminConcatenada!$A:$A, 0)), ISNUMBER(MATCH(P$1, AsistenciaJetAdminConcatenada!$B:$B, 0)), ISNUMBER(SEARCH($A45, INDEX(AsistenciaJetAdminConcatenada!$C:$C, MATCH(1, (AsistenciaJetAdminConcatenada!$A:$A=P$2)*(AsistenciaJetAdminConcatenada!$B:$B=P$1), 0)), 1))), 1, IF(AND(ISNUMBER(MATCH(P$2, AsistenciaJetAdminConcatenada!$A:$A, 0)), ISNUMBER(MATCH(P$1, AsistenciaJetAdminConcatenada!$B:$B, 0)), ISNUMBER(SEARCH($A45, INDEX(AsistenciaJetAdminConcatenada!$D:$D, MATCH(1, (AsistenciaJetAdminConcatenada!$A:$A=P$2)*(AsistenciaJetAdminConcatenada!$B:$B=P$1), 0)), 1))),  0.5, 0))</f>
        <v>1</v>
      </c>
      <c r="Q45" s="47">
        <f t="array" ref="Q45">IF(AND(ISNUMBER(MATCH(Q$2, AsistenciaJetAdminConcatenada!$A:$A, 0)), ISNUMBER(MATCH(Q$1, AsistenciaJetAdminConcatenada!$B:$B, 0)), ISNUMBER(SEARCH($A45, INDEX(AsistenciaJetAdminConcatenada!$C:$C, MATCH(1, (AsistenciaJetAdminConcatenada!$A:$A=Q$2)*(AsistenciaJetAdminConcatenada!$B:$B=Q$1), 0)), 1))), 1, IF(AND(ISNUMBER(MATCH(Q$2, AsistenciaJetAdminConcatenada!$A:$A, 0)), ISNUMBER(MATCH(Q$1, AsistenciaJetAdminConcatenada!$B:$B, 0)), ISNUMBER(SEARCH($A45, INDEX(AsistenciaJetAdminConcatenada!$D:$D, MATCH(1, (AsistenciaJetAdminConcatenada!$A:$A=Q$2)*(AsistenciaJetAdminConcatenada!$B:$B=Q$1), 0)), 1))),  0.5, 0))</f>
        <v>1</v>
      </c>
      <c r="R45" s="47">
        <f t="array" ref="R45">IF(AND(ISNUMBER(MATCH(R$2, AsistenciaJetAdminConcatenada!$A:$A, 0)), ISNUMBER(MATCH(R$1, AsistenciaJetAdminConcatenada!$B:$B, 0)), ISNUMBER(SEARCH($A45,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ISNUMBER(SEARCH($A45, INDEX(AsistenciaJetAdminConcatenada!$D:$D, MATCH(1, (AsistenciaJetAdminConcatenada!$A:$A=R$2)*(AsistenciaJetAdminConcatenada!$B:$B=R$1), 0)), 1))),  0.5, 0))</f>
        <v>0</v>
      </c>
      <c r="S45" s="47">
        <f t="array" ref="S45">IF(AND(ISNUMBER(MATCH(S$2, AsistenciaJetAdminConcatenada!$A:$A, 0)), ISNUMBER(MATCH(S$1, AsistenciaJetAdminConcatenada!$B:$B, 0)), ISNUMBER(SEARCH($A45,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ISNUMBER(SEARCH($A45, INDEX(AsistenciaJetAdminConcatenada!$D:$D, MATCH(1, (AsistenciaJetAdminConcatenada!$A:$A=S$2)*(AsistenciaJetAdminConcatenada!$B:$B=S$1), 0)), 1))),  0.5, 0))</f>
        <v>1</v>
      </c>
      <c r="T45" s="47">
        <f t="array" ref="T45">IF(AND(ISNUMBER(MATCH(T$2, AsistenciaJetAdminConcatenada!$A:$A, 0)), ISNUMBER(MATCH(T$1, AsistenciaJetAdminConcatenada!$B:$B, 0)), ISNUMBER(SEARCH($A45,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ISNUMBER(SEARCH($A45, INDEX(AsistenciaJetAdminConcatenada!$D:$D, MATCH(1, (AsistenciaJetAdminConcatenada!$A:$A=T$2)*(AsistenciaJetAdminConcatenada!$B:$B=T$1), 0)), 1))),  0.5, 0))</f>
        <v>0</v>
      </c>
      <c r="U45" s="47">
        <f t="array" ref="U45">IF(AND(ISNUMBER(MATCH(U$2, AsistenciaJetAdminConcatenada!$A:$A, 0)), ISNUMBER(MATCH(U$1, AsistenciaJetAdminConcatenada!$B:$B, 0)), ISNUMBER(SEARCH($A45,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ISNUMBER(SEARCH($A45, INDEX(AsistenciaJetAdminConcatenada!$D:$D, MATCH(1, (AsistenciaJetAdminConcatenada!$A:$A=U$2)*(AsistenciaJetAdminConcatenada!$B:$B=U$1), 0)), 1))),  0.5, 0))</f>
        <v>0</v>
      </c>
      <c r="V45" s="47">
        <f t="array" ref="V45">IF(AND(ISNUMBER(MATCH(V$2, AsistenciaJetAdminConcatenada!$A:$A, 0)), ISNUMBER(MATCH(V$1, AsistenciaJetAdminConcatenada!$B:$B, 0)), ISNUMBER(SEARCH($A45,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ISNUMBER(SEARCH($A45, INDEX(AsistenciaJetAdminConcatenada!$D:$D, MATCH(1, (AsistenciaJetAdminConcatenada!$A:$A=V$2)*(AsistenciaJetAdminConcatenada!$B:$B=V$1), 0)), 1))),  0.5, 0))</f>
        <v>1</v>
      </c>
      <c r="W45" s="47">
        <f t="array" ref="W45">IF(AND(ISNUMBER(MATCH(W$2, AsistenciaJetAdminConcatenada!$A:$A, 0)), ISNUMBER(MATCH(W$1, AsistenciaJetAdminConcatenada!$B:$B, 0)), ISNUMBER(SEARCH($A45,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ISNUMBER(SEARCH($A45, INDEX(AsistenciaJetAdminConcatenada!$D:$D, MATCH(1, (AsistenciaJetAdminConcatenada!$A:$A=W$2)*(AsistenciaJetAdminConcatenada!$B:$B=W$1), 0)), 1))),  0.5, 0))</f>
        <v>1</v>
      </c>
      <c r="X45" s="47">
        <f t="array" ref="X45">IF(AND(ISNUMBER(MATCH(X$2, AsistenciaJetAdminConcatenada!$A:$A, 0)), ISNUMBER(MATCH(X$1, AsistenciaJetAdminConcatenada!$B:$B, 0)), ISNUMBER(SEARCH($A45,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ISNUMBER(SEARCH($A45, INDEX(AsistenciaJetAdminConcatenada!$D:$D, MATCH(1, (AsistenciaJetAdminConcatenada!$A:$A=X$2)*(AsistenciaJetAdminConcatenada!$B:$B=X$1), 0)), 1))),  0.5, 0))</f>
        <v>0</v>
      </c>
      <c r="Y45" s="47">
        <f t="array" ref="Y45">IF(AND(ISNUMBER(MATCH(Y$2, AsistenciaJetAdminConcatenada!$A:$A, 0)), ISNUMBER(MATCH(Y$1, AsistenciaJetAdminConcatenada!$B:$B, 0)), ISNUMBER(SEARCH($A45,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ISNUMBER(SEARCH($A45, INDEX(AsistenciaJetAdminConcatenada!$D:$D, MATCH(1, (AsistenciaJetAdminConcatenada!$A:$A=Y$2)*(AsistenciaJetAdminConcatenada!$B:$B=Y$1), 0)), 1))),  0.5, 0))</f>
        <v>1</v>
      </c>
      <c r="Z45" s="47">
        <f t="array" ref="Z45">IF(AND(ISNUMBER(MATCH(Z$2, AsistenciaJetAdminConcatenada!$A:$A, 0)), ISNUMBER(MATCH(Z$1, AsistenciaJetAdminConcatenada!$B:$B, 0)), ISNUMBER(SEARCH($A45,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ISNUMBER(SEARCH($A45, INDEX(AsistenciaJetAdminConcatenada!$D:$D, MATCH(1, (AsistenciaJetAdminConcatenada!$A:$A=Z$2)*(AsistenciaJetAdminConcatenada!$B:$B=Z$1), 0)), 1))),  0.5, 0))</f>
        <v>1</v>
      </c>
      <c r="AA45" s="47">
        <f t="array" ref="AA45">IF(AND(ISNUMBER(MATCH(AA$2, AsistenciaJetAdminConcatenada!$A:$A, 0)), ISNUMBER(MATCH(AA$1, AsistenciaJetAdminConcatenada!$B:$B, 0)), ISNUMBER(SEARCH($A45,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ISNUMBER(SEARCH($A45, INDEX(AsistenciaJetAdminConcatenada!$D:$D, MATCH(1, (AsistenciaJetAdminConcatenada!$A:$A=AA$2)*(AsistenciaJetAdminConcatenada!$B:$B=AA$1), 0)), 1))),  0.5, 0))</f>
        <v>0</v>
      </c>
      <c r="AB45" s="47">
        <f t="array" ref="AB45">IF(AND(ISNUMBER(MATCH(AB$2, AsistenciaJetAdminConcatenada!$A:$A, 0)), ISNUMBER(MATCH(AB$1, AsistenciaJetAdminConcatenada!$B:$B, 0)), ISNUMBER(SEARCH($A45,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ISNUMBER(SEARCH($A45, INDEX(AsistenciaJetAdminConcatenada!$D:$D, MATCH(1, (AsistenciaJetAdminConcatenada!$A:$A=AB$2)*(AsistenciaJetAdminConcatenada!$B:$B=AB$1), 0)), 1))),  0.5, 0))</f>
        <v>1</v>
      </c>
      <c r="AC45" s="47">
        <f t="array" ref="AC45">IF(AND(ISNUMBER(MATCH(AC$2, AsistenciaJetAdminConcatenada!$A:$A, 0)), ISNUMBER(MATCH(AC$1, AsistenciaJetAdminConcatenada!$B:$B, 0)), ISNUMBER(SEARCH($A45,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ISNUMBER(SEARCH($A45, INDEX(AsistenciaJetAdminConcatenada!$D:$D, MATCH(1, (AsistenciaJetAdminConcatenada!$A:$A=AC$2)*(AsistenciaJetAdminConcatenada!$B:$B=AC$1), 0)), 1))),  0.5, 0))</f>
        <v>1</v>
      </c>
      <c r="AD45" s="47">
        <f t="array" ref="AD45">IF(AND(ISNUMBER(MATCH(AD$2, AsistenciaJetAdminConcatenada!$A:$A, 0)), ISNUMBER(MATCH(AD$1, AsistenciaJetAdminConcatenada!$B:$B, 0)), ISNUMBER(SEARCH($A45,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ISNUMBER(SEARCH($A45, INDEX(AsistenciaJetAdminConcatenada!$D:$D, MATCH(1, (AsistenciaJetAdminConcatenada!$A:$A=AD$2)*(AsistenciaJetAdminConcatenada!$B:$B=AD$1), 0)), 1))),  0.5, 0))</f>
        <v>1</v>
      </c>
      <c r="AE45" s="47">
        <f t="array" ref="AE45">IF(AND(ISNUMBER(MATCH(AE$2, AsistenciaJetAdminConcatenada!$A:$A, 0)), ISNUMBER(MATCH(AE$1, AsistenciaJetAdminConcatenada!$B:$B, 0)), ISNUMBER(SEARCH($A45,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ISNUMBER(SEARCH($A45, INDEX(AsistenciaJetAdminConcatenada!$D:$D, MATCH(1, (AsistenciaJetAdminConcatenada!$A:$A=AE$2)*(AsistenciaJetAdminConcatenada!$B:$B=AE$1), 0)), 1))),  0.5, 0))</f>
        <v>0</v>
      </c>
      <c r="AF45" s="47">
        <f t="array" ref="AF45">IF(AND(ISNUMBER(MATCH(AF$2, AsistenciaJetAdminConcatenada!$A:$A, 0)), ISNUMBER(MATCH(AF$1, AsistenciaJetAdminConcatenada!$B:$B, 0)), ISNUMBER(SEARCH($A45,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ISNUMBER(SEARCH($A45, INDEX(AsistenciaJetAdminConcatenada!$D:$D, MATCH(1, (AsistenciaJetAdminConcatenada!$A:$A=AF$2)*(AsistenciaJetAdminConcatenada!$B:$B=AF$1), 0)), 1))),  0.5, 0))</f>
        <v>1</v>
      </c>
      <c r="AG45" s="47">
        <f t="array" ref="AG45">IF(AND(ISNUMBER(MATCH(AG$2, AsistenciaJetAdminConcatenada!$A:$A, 0)), ISNUMBER(MATCH(AG$1, AsistenciaJetAdminConcatenada!$B:$B, 0)), ISNUMBER(SEARCH($A45,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ISNUMBER(SEARCH($A45, INDEX(AsistenciaJetAdminConcatenada!$D:$D, MATCH(1, (AsistenciaJetAdminConcatenada!$A:$A=AG$2)*(AsistenciaJetAdminConcatenada!$B:$B=AG$1), 0)), 1))),  0.5, 0))</f>
        <v>1</v>
      </c>
      <c r="AH45" s="47">
        <f t="array" ref="AH45">IF(AND(ISNUMBER(MATCH(AH$2, AsistenciaJetAdminConcatenada!$A:$A, 0)), ISNUMBER(MATCH(AH$1, AsistenciaJetAdminConcatenada!$B:$B, 0)), ISNUMBER(SEARCH($A45,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ISNUMBER(SEARCH($A45, INDEX(AsistenciaJetAdminConcatenada!$D:$D, MATCH(1, (AsistenciaJetAdminConcatenada!$A:$A=AH$2)*(AsistenciaJetAdminConcatenada!$B:$B=AH$1), 0)), 1))),  0.5, 0))</f>
        <v>0</v>
      </c>
      <c r="AI45" s="47">
        <f t="array" ref="AI45">IF(AND(ISNUMBER(MATCH(AI$2, AsistenciaJetAdminConcatenada!$A:$A, 0)), ISNUMBER(MATCH(AI$1, AsistenciaJetAdminConcatenada!$B:$B, 0)), ISNUMBER(SEARCH($A45,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ISNUMBER(SEARCH($A45, INDEX(AsistenciaJetAdminConcatenada!$D:$D, MATCH(1, (AsistenciaJetAdminConcatenada!$A:$A=AI$2)*(AsistenciaJetAdminConcatenada!$B:$B=AI$1), 0)), 1))),  0.5, 0))</f>
        <v>1</v>
      </c>
      <c r="AJ45" s="47">
        <f t="array" ref="AJ45">IF(AND(ISNUMBER(MATCH(AJ$2, AsistenciaJetAdminConcatenada!$A:$A, 0)), ISNUMBER(MATCH(AJ$1, AsistenciaJetAdminConcatenada!$B:$B, 0)), ISNUMBER(SEARCH($A45,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ISNUMBER(SEARCH($A45, INDEX(AsistenciaJetAdminConcatenada!$D:$D, MATCH(1, (AsistenciaJetAdminConcatenada!$A:$A=AJ$2)*(AsistenciaJetAdminConcatenada!$B:$B=AJ$1), 0)), 1))),  0.5, 0))</f>
        <v>1</v>
      </c>
      <c r="AK45" s="47">
        <f t="array" ref="AK45">IF(AND(ISNUMBER(MATCH(AK$2, AsistenciaJetAdminConcatenada!$A:$A, 0)), ISNUMBER(MATCH(AK$1, AsistenciaJetAdminConcatenada!$B:$B, 0)), ISNUMBER(SEARCH($A45,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ISNUMBER(SEARCH($A45, INDEX(AsistenciaJetAdminConcatenada!$D:$D, MATCH(1, (AsistenciaJetAdminConcatenada!$A:$A=AK$2)*(AsistenciaJetAdminConcatenada!$B:$B=AK$1), 0)), 1))),  0.5, 0))</f>
        <v>0</v>
      </c>
      <c r="AL45" s="47">
        <f t="array" ref="AL45">IF(AND(ISNUMBER(MATCH(AL$2, AsistenciaJetAdminConcatenada!$A:$A, 0)), ISNUMBER(MATCH(AL$1, AsistenciaJetAdminConcatenada!$B:$B, 0)), ISNUMBER(SEARCH($A45,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ISNUMBER(SEARCH($A45, INDEX(AsistenciaJetAdminConcatenada!$D:$D, MATCH(1, (AsistenciaJetAdminConcatenada!$A:$A=AL$2)*(AsistenciaJetAdminConcatenada!$B:$B=AL$1), 0)), 1))),  0.5, 0))</f>
        <v>0</v>
      </c>
      <c r="AM45" s="47">
        <f t="array" ref="AM45">IF(AND(ISNUMBER(MATCH(AM$2, AsistenciaJetAdminConcatenada!$A:$A, 0)), ISNUMBER(MATCH(AM$1, AsistenciaJetAdminConcatenada!$B:$B, 0)), ISNUMBER(SEARCH($A45,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ISNUMBER(SEARCH($A45, INDEX(AsistenciaJetAdminConcatenada!$D:$D, MATCH(1, (AsistenciaJetAdminConcatenada!$A:$A=AM$2)*(AsistenciaJetAdminConcatenada!$B:$B=AM$1), 0)), 1))),  0.5, 0))</f>
        <v>0</v>
      </c>
      <c r="AN45" s="47">
        <f t="array" ref="AN45">IF(AND(ISNUMBER(MATCH(AN$2, AsistenciaJetAdminConcatenada!$A:$A, 0)), ISNUMBER(MATCH(AN$1, AsistenciaJetAdminConcatenada!$B:$B, 0)), ISNUMBER(SEARCH($A45,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ISNUMBER(SEARCH($A45, INDEX(AsistenciaJetAdminConcatenada!$D:$D, MATCH(1, (AsistenciaJetAdminConcatenada!$A:$A=AN$2)*(AsistenciaJetAdminConcatenada!$B:$B=AN$1), 0)), 1))),  0.5, 0))</f>
        <v>0</v>
      </c>
      <c r="AO45" s="47">
        <f t="array" ref="AO45">IF(AND(ISNUMBER(MATCH(AO$2, AsistenciaJetAdminConcatenada!$A:$A, 0)), ISNUMBER(MATCH(AO$1, AsistenciaJetAdminConcatenada!$B:$B, 0)), ISNUMBER(SEARCH($A45,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ISNUMBER(SEARCH($A45, INDEX(AsistenciaJetAdminConcatenada!$D:$D, MATCH(1, (AsistenciaJetAdminConcatenada!$A:$A=AO$2)*(AsistenciaJetAdminConcatenada!$B:$B=AO$1), 0)), 1))),  0.5, 0))</f>
        <v>0</v>
      </c>
      <c r="AP45" s="47">
        <f t="array" ref="AP45">IF(AND(ISNUMBER(MATCH(AP$2, AsistenciaJetAdminConcatenada!$A:$A, 0)), ISNUMBER(MATCH(AP$1, AsistenciaJetAdminConcatenada!$B:$B, 0)), ISNUMBER(SEARCH($A45,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ISNUMBER(SEARCH($A45, INDEX(AsistenciaJetAdminConcatenada!$D:$D, MATCH(1, (AsistenciaJetAdminConcatenada!$A:$A=AP$2)*(AsistenciaJetAdminConcatenada!$B:$B=AP$1), 0)), 1))),  0.5, 0))</f>
        <v>0</v>
      </c>
      <c r="AQ45" s="47">
        <f t="array" ref="AQ45">IF(AND(ISNUMBER(MATCH(AQ$2, AsistenciaJetAdminConcatenada!$A:$A, 0)), ISNUMBER(MATCH(AQ$1, AsistenciaJetAdminConcatenada!$B:$B, 0)), ISNUMBER(SEARCH($A45,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ISNUMBER(SEARCH($A45, INDEX(AsistenciaJetAdminConcatenada!$D:$D, MATCH(1, (AsistenciaJetAdminConcatenada!$A:$A=AQ$2)*(AsistenciaJetAdminConcatenada!$B:$B=AQ$1), 0)), 1))),  0.5, 0))</f>
        <v>0</v>
      </c>
      <c r="AR45" s="47">
        <f t="array" ref="AR45">IF(AND(ISNUMBER(MATCH(AR$2, AsistenciaJetAdminConcatenada!$A:$A, 0)), ISNUMBER(MATCH(AR$1, AsistenciaJetAdminConcatenada!$B:$B, 0)), ISNUMBER(SEARCH($A45,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ISNUMBER(SEARCH($A45, INDEX(AsistenciaJetAdminConcatenada!$D:$D, MATCH(1, (AsistenciaJetAdminConcatenada!$A:$A=AR$2)*(AsistenciaJetAdminConcatenada!$B:$B=AR$1), 0)), 1))),  0.5, 0))</f>
        <v>1</v>
      </c>
      <c r="AS45" s="47">
        <f t="array" ref="AS45">IF(AND(ISNUMBER(MATCH(AS$2, AsistenciaJetAdminConcatenada!$A:$A, 0)), ISNUMBER(MATCH(AS$1, AsistenciaJetAdminConcatenada!$B:$B, 0)), ISNUMBER(SEARCH($A45,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ISNUMBER(SEARCH($A45, INDEX(AsistenciaJetAdminConcatenada!$D:$D, MATCH(1, (AsistenciaJetAdminConcatenada!$A:$A=AS$2)*(AsistenciaJetAdminConcatenada!$B:$B=AS$1), 0)), 1))),  0.5, 0))</f>
        <v>0</v>
      </c>
      <c r="AT45" s="47">
        <f t="array" ref="AT45">IF(AND(ISNUMBER(MATCH(AT$2, AsistenciaJetAdminConcatenada!$A:$A, 0)), ISNUMBER(MATCH(AT$1, AsistenciaJetAdminConcatenada!$B:$B, 0)), ISNUMBER(SEARCH($A45,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ISNUMBER(SEARCH($A45, INDEX(AsistenciaJetAdminConcatenada!$D:$D, MATCH(1, (AsistenciaJetAdminConcatenada!$A:$A=AT$2)*(AsistenciaJetAdminConcatenada!$B:$B=AT$1), 0)), 1))),  0.5, 0))</f>
        <v>1</v>
      </c>
      <c r="AU45" s="47">
        <f t="array" ref="AU45">IF(AND(ISNUMBER(MATCH(AU$2, AsistenciaJetAdminConcatenada!$A:$A, 0)), ISNUMBER(MATCH(AU$1, AsistenciaJetAdminConcatenada!$B:$B, 0)), ISNUMBER(SEARCH($A45,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ISNUMBER(SEARCH($A45, INDEX(AsistenciaJetAdminConcatenada!$D:$D, MATCH(1, (AsistenciaJetAdminConcatenada!$A:$A=AU$2)*(AsistenciaJetAdminConcatenada!$B:$B=AU$1), 0)), 1))),  0.5, 0))</f>
        <v>1</v>
      </c>
      <c r="AV45" s="47">
        <f t="array" ref="AV45">IF(AND(ISNUMBER(MATCH(AV$2, AsistenciaJetAdminConcatenada!$A:$A, 0)), ISNUMBER(MATCH(AV$1, AsistenciaJetAdminConcatenada!$B:$B, 0)), ISNUMBER(SEARCH($A45,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ISNUMBER(SEARCH($A45, INDEX(AsistenciaJetAdminConcatenada!$D:$D, MATCH(1, (AsistenciaJetAdminConcatenada!$A:$A=AV$2)*(AsistenciaJetAdminConcatenada!$B:$B=AV$1), 0)), 1))),  0.5, 0))</f>
        <v>1</v>
      </c>
      <c r="AW45" s="47">
        <f t="array" ref="AW45">IF(AND(ISNUMBER(MATCH(AW$2, AsistenciaJetAdminConcatenada!$A:$A, 0)), ISNUMBER(MATCH(AW$1, AsistenciaJetAdminConcatenada!$B:$B, 0)), ISNUMBER(SEARCH($A45,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ISNUMBER(SEARCH($A45, INDEX(AsistenciaJetAdminConcatenada!$D:$D, MATCH(1, (AsistenciaJetAdminConcatenada!$A:$A=AW$2)*(AsistenciaJetAdminConcatenada!$B:$B=AW$1), 0)), 1))),  0.5, 0))</f>
        <v>0</v>
      </c>
      <c r="AX45" s="47">
        <f t="array" ref="AX45">IF(AND(ISNUMBER(MATCH(AX$2, AsistenciaJetAdminConcatenada!$A:$A, 0)), ISNUMBER(MATCH(AX$1, AsistenciaJetAdminConcatenada!$B:$B, 0)), ISNUMBER(SEARCH($A45,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ISNUMBER(SEARCH($A45, INDEX(AsistenciaJetAdminConcatenada!$D:$D, MATCH(1, (AsistenciaJetAdminConcatenada!$A:$A=AX$2)*(AsistenciaJetAdminConcatenada!$B:$B=AX$1), 0)), 1))),  0.5, 0))</f>
        <v>0</v>
      </c>
      <c r="AY45" s="47">
        <f t="array" ref="AY45">IF(AND(ISNUMBER(MATCH(AY$2, AsistenciaJetAdminConcatenada!$A:$A, 0)), ISNUMBER(MATCH(AY$1, AsistenciaJetAdminConcatenada!$B:$B, 0)), ISNUMBER(SEARCH($A45,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ISNUMBER(SEARCH($A45, INDEX(AsistenciaJetAdminConcatenada!$D:$D, MATCH(1, (AsistenciaJetAdminConcatenada!$A:$A=AY$2)*(AsistenciaJetAdminConcatenada!$B:$B=AY$1), 0)), 1))),  0.5, 0))</f>
        <v>1</v>
      </c>
      <c r="AZ45" s="47">
        <f t="array" ref="AZ45">IF(AND(ISNUMBER(MATCH(AZ$2, AsistenciaJetAdminConcatenada!$A:$A, 0)), ISNUMBER(MATCH(AZ$1, AsistenciaJetAdminConcatenada!$B:$B, 0)), ISNUMBER(SEARCH($A45,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ISNUMBER(SEARCH($A45, INDEX(AsistenciaJetAdminConcatenada!$D:$D, MATCH(1, (AsistenciaJetAdminConcatenada!$A:$A=AZ$2)*(AsistenciaJetAdminConcatenada!$B:$B=AZ$1), 0)), 1))),  0.5, 0))</f>
        <v>0</v>
      </c>
      <c r="BA45" s="47">
        <f t="array" ref="BA45">IF(AND(ISNUMBER(MATCH(BA$2, AsistenciaJetAdminConcatenada!$A:$A, 0)), ISNUMBER(MATCH(BA$1, AsistenciaJetAdminConcatenada!$B:$B, 0)), ISNUMBER(SEARCH($A45,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ISNUMBER(SEARCH($A45, INDEX(AsistenciaJetAdminConcatenada!$D:$D, MATCH(1, (AsistenciaJetAdminConcatenada!$A:$A=BA$2)*(AsistenciaJetAdminConcatenada!$B:$B=BA$1), 0)), 1))),  0.5, 0))</f>
        <v>1</v>
      </c>
      <c r="BB45" s="47">
        <f t="array" ref="BB45">IF(AND(ISNUMBER(MATCH(BB$2, AsistenciaJetAdminConcatenada!$A:$A, 0)), ISNUMBER(MATCH(BB$1, AsistenciaJetAdminConcatenada!$B:$B, 0)), ISNUMBER(SEARCH($A45,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ISNUMBER(SEARCH($A45, INDEX(AsistenciaJetAdminConcatenada!$D:$D, MATCH(1, (AsistenciaJetAdminConcatenada!$A:$A=BB$2)*(AsistenciaJetAdminConcatenada!$B:$B=BB$1), 0)), 1))),  0.5, 0))</f>
        <v>1</v>
      </c>
      <c r="BC45" s="47">
        <f t="array" ref="BC45">IF(AND(ISNUMBER(MATCH(BC$2, AsistenciaJetAdminConcatenada!$A:$A, 0)), ISNUMBER(MATCH(BC$1, AsistenciaJetAdminConcatenada!$B:$B, 0)), ISNUMBER(SEARCH($A45,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ISNUMBER(SEARCH($A45, INDEX(AsistenciaJetAdminConcatenada!$D:$D, MATCH(1, (AsistenciaJetAdminConcatenada!$A:$A=BC$2)*(AsistenciaJetAdminConcatenada!$B:$B=BC$1), 0)), 1))),  0.5, 0))</f>
        <v>1</v>
      </c>
      <c r="BD45" s="47">
        <f t="array" ref="BD45">IF(AND(ISNUMBER(MATCH(BD$2, AsistenciaJetAdminConcatenada!$A:$A, 0)), ISNUMBER(MATCH(BD$1, AsistenciaJetAdminConcatenada!$B:$B, 0)), ISNUMBER(SEARCH($A45,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ISNUMBER(SEARCH($A45, INDEX(AsistenciaJetAdminConcatenada!$D:$D, MATCH(1, (AsistenciaJetAdminConcatenada!$A:$A=BD$2)*(AsistenciaJetAdminConcatenada!$B:$B=BD$1), 0)), 1))),  0.5, 0))</f>
        <v>1</v>
      </c>
      <c r="BE45" s="47">
        <f t="array" ref="BE45">IF(AND(ISNUMBER(MATCH(BE$2, AsistenciaJetAdminConcatenada!$A:$A, 0)), ISNUMBER(MATCH(BE$1, AsistenciaJetAdminConcatenada!$B:$B, 0)), ISNUMBER(SEARCH($A45,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ISNUMBER(SEARCH($A45, INDEX(AsistenciaJetAdminConcatenada!$D:$D, MATCH(1, (AsistenciaJetAdminConcatenada!$A:$A=BE$2)*(AsistenciaJetAdminConcatenada!$B:$B=BE$1), 0)), 1))),  0.5, 0))</f>
        <v>1</v>
      </c>
      <c r="BF45" s="47">
        <f t="array" ref="BF45">IF(AND(ISNUMBER(MATCH(BF$2, AsistenciaJetAdminConcatenada!$A:$A, 0)), ISNUMBER(MATCH(BF$1, AsistenciaJetAdminConcatenada!$B:$B, 0)), ISNUMBER(SEARCH($A45,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ISNUMBER(SEARCH($A45, INDEX(AsistenciaJetAdminConcatenada!$D:$D, MATCH(1, (AsistenciaJetAdminConcatenada!$A:$A=BF$2)*(AsistenciaJetAdminConcatenada!$B:$B=BF$1), 0)), 1))),  0.5, 0))</f>
        <v>1</v>
      </c>
      <c r="BG45" s="47">
        <f t="array" ref="BG45">IF(AND(ISNUMBER(MATCH(BG$2, AsistenciaJetAdminConcatenada!$A:$A, 0)), ISNUMBER(MATCH(BG$1, AsistenciaJetAdminConcatenada!$B:$B, 0)), ISNUMBER(SEARCH($A45,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ISNUMBER(SEARCH($A45, INDEX(AsistenciaJetAdminConcatenada!$D:$D, MATCH(1, (AsistenciaJetAdminConcatenada!$A:$A=BG$2)*(AsistenciaJetAdminConcatenada!$B:$B=BG$1), 0)), 1))),  0.5, 0))</f>
        <v>1</v>
      </c>
      <c r="BH45" s="47">
        <f t="array" ref="BH45">IF(AND(ISNUMBER(MATCH(BH$2, AsistenciaJetAdminConcatenada!$A:$A, 0)), ISNUMBER(MATCH(BH$1, AsistenciaJetAdminConcatenada!$B:$B, 0)), ISNUMBER(SEARCH($A45,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ISNUMBER(SEARCH($A45, INDEX(AsistenciaJetAdminConcatenada!$D:$D, MATCH(1, (AsistenciaJetAdminConcatenada!$A:$A=BH$2)*(AsistenciaJetAdminConcatenada!$B:$B=BH$1), 0)), 1))),  0.5, 0))</f>
        <v>1</v>
      </c>
      <c r="BI45" s="47">
        <f t="array" ref="BI45">IF(AND(ISNUMBER(MATCH(BI$2, AsistenciaJetAdminConcatenada!$A:$A, 0)), ISNUMBER(MATCH(BI$1, AsistenciaJetAdminConcatenada!$B:$B, 0)), ISNUMBER(SEARCH($A45,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ISNUMBER(SEARCH($A45, INDEX(AsistenciaJetAdminConcatenada!$D:$D, MATCH(1, (AsistenciaJetAdminConcatenada!$A:$A=BI$2)*(AsistenciaJetAdminConcatenada!$B:$B=BI$1), 0)), 1))),  0.5, 0))</f>
        <v>1</v>
      </c>
      <c r="BJ45" s="47">
        <f t="array" ref="BJ45">IF(AND(ISNUMBER(MATCH(BJ$2, AsistenciaJetAdminConcatenada!$A:$A, 0)), ISNUMBER(MATCH(BJ$1, AsistenciaJetAdminConcatenada!$B:$B, 0)), ISNUMBER(SEARCH($A45,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ISNUMBER(SEARCH($A45, INDEX(AsistenciaJetAdminConcatenada!$D:$D, MATCH(1, (AsistenciaJetAdminConcatenada!$A:$A=BJ$2)*(AsistenciaJetAdminConcatenada!$B:$B=BJ$1), 0)), 1))),  0.5, 0))</f>
        <v>0</v>
      </c>
      <c r="BK45" s="47">
        <f t="array" ref="BK45">IF(AND(ISNUMBER(MATCH(BK$2, AsistenciaJetAdminConcatenada!$A:$A, 0)), ISNUMBER(MATCH(BK$1, AsistenciaJetAdminConcatenada!$B:$B, 0)), ISNUMBER(SEARCH($A45,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ISNUMBER(SEARCH($A45, INDEX(AsistenciaJetAdminConcatenada!$D:$D, MATCH(1, (AsistenciaJetAdminConcatenada!$A:$A=BK$2)*(AsistenciaJetAdminConcatenada!$B:$B=BK$1), 0)), 1))),  0.5, 0))</f>
        <v>1</v>
      </c>
      <c r="BL45" s="47">
        <f t="array" ref="BL45">IF(AND(ISNUMBER(MATCH(BL$2, AsistenciaJetAdminConcatenada!$A:$A, 0)), ISNUMBER(MATCH(BL$1, AsistenciaJetAdminConcatenada!$B:$B, 0)), ISNUMBER(SEARCH($A45,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ISNUMBER(SEARCH($A45, INDEX(AsistenciaJetAdminConcatenada!$D:$D, MATCH(1, (AsistenciaJetAdminConcatenada!$A:$A=BL$2)*(AsistenciaJetAdminConcatenada!$B:$B=BL$1), 0)), 1))),  0.5, 0))</f>
        <v>1</v>
      </c>
      <c r="BM45" s="47">
        <f t="array" ref="BM45">IF(AND(ISNUMBER(MATCH(BM$2, AsistenciaJetAdminConcatenada!$A:$A, 0)), ISNUMBER(MATCH(BM$1, AsistenciaJetAdminConcatenada!$B:$B, 0)), ISNUMBER(SEARCH($A45,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ISNUMBER(SEARCH($A45, INDEX(AsistenciaJetAdminConcatenada!$D:$D, MATCH(1, (AsistenciaJetAdminConcatenada!$A:$A=BM$2)*(AsistenciaJetAdminConcatenada!$B:$B=BM$1), 0)), 1))),  0.5, 0))</f>
        <v>1</v>
      </c>
      <c r="BN45" s="47">
        <f t="array" ref="BN45">IF(AND(ISNUMBER(MATCH(BN$2, AsistenciaJetAdminConcatenada!$A:$A, 0)), ISNUMBER(MATCH(BN$1, AsistenciaJetAdminConcatenada!$B:$B, 0)), ISNUMBER(SEARCH($A45,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ISNUMBER(SEARCH($A45, INDEX(AsistenciaJetAdminConcatenada!$D:$D, MATCH(1, (AsistenciaJetAdminConcatenada!$A:$A=BN$2)*(AsistenciaJetAdminConcatenada!$B:$B=BN$1), 0)), 1))),  0.5, 0))</f>
        <v>0</v>
      </c>
      <c r="BO45" s="47">
        <f t="array" ref="BO45">IF(AND(ISNUMBER(MATCH(BO$2, AsistenciaJetAdminConcatenada!$A:$A, 0)), ISNUMBER(MATCH(BO$1, AsistenciaJetAdminConcatenada!$B:$B, 0)), ISNUMBER(SEARCH($A45,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ISNUMBER(SEARCH($A45, INDEX(AsistenciaJetAdminConcatenada!$D:$D, MATCH(1, (AsistenciaJetAdminConcatenada!$A:$A=BO$2)*(AsistenciaJetAdminConcatenada!$B:$B=BO$1), 0)), 1))),  0.5, 0))</f>
        <v>1</v>
      </c>
      <c r="BP45" s="47">
        <f t="array" ref="BP45">IF(AND(ISNUMBER(MATCH(BP$2, AsistenciaJetAdminConcatenada!$A:$A, 0)), ISNUMBER(MATCH(BP$1, AsistenciaJetAdminConcatenada!$B:$B, 0)), ISNUMBER(SEARCH($A45,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ISNUMBER(SEARCH($A45, INDEX(AsistenciaJetAdminConcatenada!$D:$D, MATCH(1, (AsistenciaJetAdminConcatenada!$A:$A=BP$2)*(AsistenciaJetAdminConcatenada!$B:$B=BP$1), 0)), 1))),  0.5, 0))</f>
        <v>0</v>
      </c>
      <c r="BQ45" s="47">
        <f t="array" ref="BQ45">IF(AND(ISNUMBER(MATCH(BQ$2, AsistenciaJetAdminConcatenada!$A:$A, 0)), ISNUMBER(MATCH(BQ$1, AsistenciaJetAdminConcatenada!$B:$B, 0)), ISNUMBER(SEARCH($A45,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ISNUMBER(SEARCH($A45, INDEX(AsistenciaJetAdminConcatenada!$D:$D, MATCH(1, (AsistenciaJetAdminConcatenada!$A:$A=BQ$2)*(AsistenciaJetAdminConcatenada!$B:$B=BQ$1), 0)), 1))),  0.5, 0))</f>
        <v>0</v>
      </c>
      <c r="BR45" s="47">
        <f t="array" ref="BR45">IF(AND(ISNUMBER(MATCH(BR$2, AsistenciaJetAdminConcatenada!$A:$A, 0)), ISNUMBER(MATCH(BR$1, AsistenciaJetAdminConcatenada!$B:$B, 0)), ISNUMBER(SEARCH($A45,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ISNUMBER(SEARCH($A45, INDEX(AsistenciaJetAdminConcatenada!$D:$D, MATCH(1, (AsistenciaJetAdminConcatenada!$A:$A=BR$2)*(AsistenciaJetAdminConcatenada!$B:$B=BR$1), 0)), 1))),  0.5, 0))</f>
        <v>1</v>
      </c>
      <c r="BS45" s="47">
        <f t="array" ref="BS45">IF(AND(ISNUMBER(MATCH(BS$2, AsistenciaJetAdminConcatenada!$A:$A, 0)), ISNUMBER(MATCH(BS$1, AsistenciaJetAdminConcatenada!$B:$B, 0)), ISNUMBER(SEARCH($A45,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ISNUMBER(SEARCH($A45, INDEX(AsistenciaJetAdminConcatenada!$D:$D, MATCH(1, (AsistenciaJetAdminConcatenada!$A:$A=BS$2)*(AsistenciaJetAdminConcatenada!$B:$B=BS$1), 0)), 1))),  0.5, 0))</f>
        <v>1</v>
      </c>
      <c r="BT45" s="47">
        <f t="array" ref="BT45">IF(AND(ISNUMBER(MATCH(BT$2, AsistenciaJetAdminConcatenada!$A:$A, 0)), ISNUMBER(MATCH(BT$1, AsistenciaJetAdminConcatenada!$B:$B, 0)), ISNUMBER(SEARCH($A45,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ISNUMBER(SEARCH($A45, INDEX(AsistenciaJetAdminConcatenada!$D:$D, MATCH(1, (AsistenciaJetAdminConcatenada!$A:$A=BT$2)*(AsistenciaJetAdminConcatenada!$B:$B=BT$1), 0)), 1))),  0.5, 0))</f>
        <v>1</v>
      </c>
      <c r="BU45" s="47">
        <f t="array" ref="BU45">IF(AND(ISNUMBER(MATCH(BU$2, AsistenciaJetAdminConcatenada!$A:$A, 0)), ISNUMBER(MATCH(BU$1, AsistenciaJetAdminConcatenada!$B:$B, 0)), ISNUMBER(SEARCH($A45,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ISNUMBER(SEARCH($A45, INDEX(AsistenciaJetAdminConcatenada!$D:$D, MATCH(1, (AsistenciaJetAdminConcatenada!$A:$A=BU$2)*(AsistenciaJetAdminConcatenada!$B:$B=BU$1), 0)), 1))),  0.5, 0))</f>
        <v>0</v>
      </c>
      <c r="BV45" s="47">
        <f t="array" ref="BV45">IF(AND(ISNUMBER(MATCH(BV$2, AsistenciaJetAdminConcatenada!$A:$A, 0)), ISNUMBER(MATCH(BV$1, AsistenciaJetAdminConcatenada!$B:$B, 0)), ISNUMBER(SEARCH($A45,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ISNUMBER(SEARCH($A45, INDEX(AsistenciaJetAdminConcatenada!$D:$D, MATCH(1, (AsistenciaJetAdminConcatenada!$A:$A=BV$2)*(AsistenciaJetAdminConcatenada!$B:$B=BV$1), 0)), 1))),  0.5, 0))</f>
        <v>0</v>
      </c>
      <c r="BW45" s="47">
        <f t="array" ref="BW45">IF(AND(ISNUMBER(MATCH(BW$2, AsistenciaJetAdminConcatenada!$A:$A, 0)), ISNUMBER(MATCH(BW$1, AsistenciaJetAdminConcatenada!$B:$B, 0)), ISNUMBER(SEARCH($A45,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ISNUMBER(SEARCH($A45, INDEX(AsistenciaJetAdminConcatenada!$D:$D, MATCH(1, (AsistenciaJetAdminConcatenada!$A:$A=BW$2)*(AsistenciaJetAdminConcatenada!$B:$B=BW$1), 0)), 1))),  0.5, 0))</f>
        <v>1</v>
      </c>
      <c r="BX45" s="47">
        <f t="array" ref="BX45">IF(AND(ISNUMBER(MATCH(BX$2, AsistenciaJetAdminConcatenada!$A:$A, 0)), ISNUMBER(MATCH(BX$1, AsistenciaJetAdminConcatenada!$B:$B, 0)), ISNUMBER(SEARCH($A45,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ISNUMBER(SEARCH($A45, INDEX(AsistenciaJetAdminConcatenada!$D:$D, MATCH(1, (AsistenciaJetAdminConcatenada!$A:$A=BX$2)*(AsistenciaJetAdminConcatenada!$B:$B=BX$1), 0)), 1))),  0.5, 0))</f>
        <v>0</v>
      </c>
      <c r="BY45" s="47">
        <f t="array" ref="BY45">IF(AND(ISNUMBER(MATCH(BY$2, AsistenciaJetAdminConcatenada!$A:$A, 0)), ISNUMBER(MATCH(BY$1, AsistenciaJetAdminConcatenada!$B:$B, 0)), ISNUMBER(SEARCH($A45,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ISNUMBER(SEARCH($A45, INDEX(AsistenciaJetAdminConcatenada!$D:$D, MATCH(1, (AsistenciaJetAdminConcatenada!$A:$A=BY$2)*(AsistenciaJetAdminConcatenada!$B:$B=BY$1), 0)), 1))),  0.5, 0))</f>
        <v>1</v>
      </c>
      <c r="BZ45" s="47">
        <f t="array" ref="BZ45">IF(AND(ISNUMBER(MATCH(BZ$2, AsistenciaJetAdminConcatenada!$A:$A, 0)), ISNUMBER(MATCH(BZ$1, AsistenciaJetAdminConcatenada!$B:$B, 0)), ISNUMBER(SEARCH($A45,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ISNUMBER(SEARCH($A45, INDEX(AsistenciaJetAdminConcatenada!$D:$D, MATCH(1, (AsistenciaJetAdminConcatenada!$A:$A=BZ$2)*(AsistenciaJetAdminConcatenada!$B:$B=BZ$1), 0)), 1))),  0.5, 0))</f>
        <v>1</v>
      </c>
      <c r="CA45" s="47">
        <f t="array" ref="CA45">IF(AND(ISNUMBER(MATCH(CA$2, AsistenciaJetAdminConcatenada!$A:$A, 0)), ISNUMBER(MATCH(CA$1, AsistenciaJetAdminConcatenada!$B:$B, 0)), ISNUMBER(SEARCH($A45,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ISNUMBER(SEARCH($A45, INDEX(AsistenciaJetAdminConcatenada!$D:$D, MATCH(1, (AsistenciaJetAdminConcatenada!$A:$A=CA$2)*(AsistenciaJetAdminConcatenada!$B:$B=CA$1), 0)), 1))),  0.5, 0))</f>
        <v>1</v>
      </c>
      <c r="CB45" s="47">
        <f t="array" ref="CB45">IF(AND(ISNUMBER(MATCH(CB$2, AsistenciaJetAdminConcatenada!$A:$A, 0)), ISNUMBER(MATCH(CB$1, AsistenciaJetAdminConcatenada!$B:$B, 0)), ISNUMBER(SEARCH($A45,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ISNUMBER(SEARCH($A45, INDEX(AsistenciaJetAdminConcatenada!$D:$D, MATCH(1, (AsistenciaJetAdminConcatenada!$A:$A=CB$2)*(AsistenciaJetAdminConcatenada!$B:$B=CB$1), 0)), 1))),  0.5, 0))</f>
        <v>1</v>
      </c>
      <c r="CC45" s="47">
        <f t="array" ref="CC45">IF(AND(ISNUMBER(MATCH(CC$2, AsistenciaJetAdminConcatenada!$A:$A, 0)), ISNUMBER(MATCH(CC$1, AsistenciaJetAdminConcatenada!$B:$B, 0)), ISNUMBER(SEARCH($A45,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ISNUMBER(SEARCH($A45, INDEX(AsistenciaJetAdminConcatenada!$D:$D, MATCH(1, (AsistenciaJetAdminConcatenada!$A:$A=CC$2)*(AsistenciaJetAdminConcatenada!$B:$B=CC$1), 0)), 1))),  0.5, 0))</f>
        <v>0</v>
      </c>
      <c r="CD45" s="47">
        <f t="array" ref="CD45">IF(AND(ISNUMBER(MATCH(CD$2, AsistenciaJetAdminConcatenada!$A:$A, 0)), ISNUMBER(MATCH(CD$1, AsistenciaJetAdminConcatenada!$B:$B, 0)), ISNUMBER(SEARCH($A45,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ISNUMBER(SEARCH($A45, INDEX(AsistenciaJetAdminConcatenada!$D:$D, MATCH(1, (AsistenciaJetAdminConcatenada!$A:$A=CD$2)*(AsistenciaJetAdminConcatenada!$B:$B=CD$1), 0)), 1))),  0.5, 0))</f>
        <v>1</v>
      </c>
      <c r="CE45" s="47">
        <f t="array" ref="CE45">IF(AND(ISNUMBER(MATCH(CE$2, AsistenciaJetAdminConcatenada!$A:$A, 0)), ISNUMBER(MATCH(CE$1, AsistenciaJetAdminConcatenada!$B:$B, 0)), ISNUMBER(SEARCH($A45,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ISNUMBER(SEARCH($A45, INDEX(AsistenciaJetAdminConcatenada!$D:$D, MATCH(1, (AsistenciaJetAdminConcatenada!$A:$A=CE$2)*(AsistenciaJetAdminConcatenada!$B:$B=CE$1), 0)), 1))),  0.5, 0))</f>
        <v>1</v>
      </c>
      <c r="CF45" s="47">
        <f t="array" ref="CF45">IF(AND(ISNUMBER(MATCH(CF$2, AsistenciaJetAdminConcatenada!$A:$A, 0)), ISNUMBER(MATCH(CF$1, AsistenciaJetAdminConcatenada!$B:$B, 0)), ISNUMBER(SEARCH($A45,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ISNUMBER(SEARCH($A45, INDEX(AsistenciaJetAdminConcatenada!$D:$D, MATCH(1, (AsistenciaJetAdminConcatenada!$A:$A=CF$2)*(AsistenciaJetAdminConcatenada!$B:$B=CF$1), 0)), 1))),  0.5, 0))</f>
        <v>1</v>
      </c>
      <c r="CG45" s="47">
        <f t="array" ref="CG45">IF(AND(ISNUMBER(MATCH(CG$2, AsistenciaJetAdminConcatenada!$A:$A, 0)), ISNUMBER(MATCH(CG$1, AsistenciaJetAdminConcatenada!$B:$B, 0)), ISNUMBER(SEARCH($A45,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ISNUMBER(SEARCH($A45, INDEX(AsistenciaJetAdminConcatenada!$D:$D, MATCH(1, (AsistenciaJetAdminConcatenada!$A:$A=CG$2)*(AsistenciaJetAdminConcatenada!$B:$B=CG$1), 0)), 1))),  0.5, 0))</f>
        <v>0</v>
      </c>
      <c r="CH45" s="47">
        <f t="array" ref="CH45">IF(AND(ISNUMBER(MATCH(CH$2, AsistenciaJetAdminConcatenada!$A:$A, 0)), ISNUMBER(MATCH(CH$1, AsistenciaJetAdminConcatenada!$B:$B, 0)), ISNUMBER(SEARCH($A45,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ISNUMBER(SEARCH($A45, INDEX(AsistenciaJetAdminConcatenada!$D:$D, MATCH(1, (AsistenciaJetAdminConcatenada!$A:$A=CH$2)*(AsistenciaJetAdminConcatenada!$B:$B=CH$1), 0)), 1))),  0.5, 0))</f>
        <v>0</v>
      </c>
      <c r="CI45" s="47">
        <f t="array" ref="CI45">IF(AND(ISNUMBER(MATCH(CI$2, AsistenciaJetAdminConcatenada!$A:$A, 0)), ISNUMBER(MATCH(CI$1, AsistenciaJetAdminConcatenada!$B:$B, 0)), ISNUMBER(SEARCH($A45,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ISNUMBER(SEARCH($A45, INDEX(AsistenciaJetAdminConcatenada!$D:$D, MATCH(1, (AsistenciaJetAdminConcatenada!$A:$A=CI$2)*(AsistenciaJetAdminConcatenada!$B:$B=CI$1), 0)), 1))),  0.5, 0))</f>
        <v>0</v>
      </c>
      <c r="CJ45" s="47">
        <f t="array" ref="CJ45">IF(AND(ISNUMBER(MATCH(CJ$2, AsistenciaJetAdminConcatenada!$A:$A, 0)), ISNUMBER(MATCH(CJ$1, AsistenciaJetAdminConcatenada!$B:$B, 0)), ISNUMBER(SEARCH($A45,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ISNUMBER(SEARCH($A45, INDEX(AsistenciaJetAdminConcatenada!$D:$D, MATCH(1, (AsistenciaJetAdminConcatenada!$A:$A=CJ$2)*(AsistenciaJetAdminConcatenada!$B:$B=CJ$1), 0)), 1))),  0.5, 0))</f>
        <v>1</v>
      </c>
      <c r="CK45" s="47">
        <f t="array" ref="CK45">IF(AND(ISNUMBER(MATCH(CK$2, AsistenciaJetAdminConcatenada!$A:$A, 0)), ISNUMBER(MATCH(CK$1, AsistenciaJetAdminConcatenada!$B:$B, 0)), ISNUMBER(SEARCH($A45,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ISNUMBER(SEARCH($A45, INDEX(AsistenciaJetAdminConcatenada!$D:$D, MATCH(1, (AsistenciaJetAdminConcatenada!$A:$A=CK$2)*(AsistenciaJetAdminConcatenada!$B:$B=CK$1), 0)), 1))),  0.5, 0))</f>
        <v>1</v>
      </c>
      <c r="CL45" s="47">
        <f t="array" ref="CL45">IF(AND(ISNUMBER(MATCH(CL$2, AsistenciaJetAdminConcatenada!$A:$A, 0)), ISNUMBER(MATCH(CL$1, AsistenciaJetAdminConcatenada!$B:$B, 0)), ISNUMBER(SEARCH($A45,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ISNUMBER(SEARCH($A45, INDEX(AsistenciaJetAdminConcatenada!$D:$D, MATCH(1, (AsistenciaJetAdminConcatenada!$A:$A=CL$2)*(AsistenciaJetAdminConcatenada!$B:$B=CL$1), 0)), 1))),  0.5, 0))</f>
        <v>1</v>
      </c>
      <c r="CM45" s="47">
        <f t="array" ref="CM45">IF(AND(ISNUMBER(MATCH(CM$2, AsistenciaJetAdminConcatenada!$A:$A, 0)), ISNUMBER(MATCH(CM$1, AsistenciaJetAdminConcatenada!$B:$B, 0)), ISNUMBER(SEARCH($A45,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ISNUMBER(SEARCH($A45, INDEX(AsistenciaJetAdminConcatenada!$D:$D, MATCH(1, (AsistenciaJetAdminConcatenada!$A:$A=CM$2)*(AsistenciaJetAdminConcatenada!$B:$B=CM$1), 0)), 1))),  0.5, 0))</f>
        <v>1</v>
      </c>
      <c r="CN45" s="47">
        <f t="array" ref="CN45">IF(AND(ISNUMBER(MATCH(CN$2, AsistenciaJetAdminConcatenada!$A:$A, 0)), ISNUMBER(MATCH(CN$1, AsistenciaJetAdminConcatenada!$B:$B, 0)), ISNUMBER(SEARCH($A45,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ISNUMBER(SEARCH($A45, INDEX(AsistenciaJetAdminConcatenada!$D:$D, MATCH(1, (AsistenciaJetAdminConcatenada!$A:$A=CN$2)*(AsistenciaJetAdminConcatenada!$B:$B=CN$1), 0)), 1))),  0.5, 0))</f>
        <v>1</v>
      </c>
      <c r="CO45" s="47">
        <f t="array" ref="CO45">IF(AND(ISNUMBER(MATCH(CO$2, AsistenciaJetAdminConcatenada!$A:$A, 0)), ISNUMBER(MATCH(CO$1, AsistenciaJetAdminConcatenada!$B:$B, 0)), ISNUMBER(SEARCH($A45,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ISNUMBER(SEARCH($A45, INDEX(AsistenciaJetAdminConcatenada!$D:$D, MATCH(1, (AsistenciaJetAdminConcatenada!$A:$A=CO$2)*(AsistenciaJetAdminConcatenada!$B:$B=CO$1), 0)), 1))),  0.5, 0))</f>
        <v>0</v>
      </c>
      <c r="CP45" s="47">
        <f t="array" ref="CP45">IF(AND(ISNUMBER(MATCH(CP$2, AsistenciaJetAdminConcatenada!$A:$A, 0)), ISNUMBER(MATCH(CP$1, AsistenciaJetAdminConcatenada!$B:$B, 0)), ISNUMBER(SEARCH($A45,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ISNUMBER(SEARCH($A45, INDEX(AsistenciaJetAdminConcatenada!$D:$D, MATCH(1, (AsistenciaJetAdminConcatenada!$A:$A=CP$2)*(AsistenciaJetAdminConcatenada!$B:$B=CP$1), 0)), 1))),  0.5, 0))</f>
        <v>0</v>
      </c>
      <c r="CQ45" s="47">
        <f t="array" ref="CQ45">IF(AND(ISNUMBER(MATCH(CQ$2, AsistenciaJetAdminConcatenada!$A:$A, 0)), ISNUMBER(MATCH(CQ$1, AsistenciaJetAdminConcatenada!$B:$B, 0)), ISNUMBER(SEARCH($A45,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ISNUMBER(SEARCH($A45, INDEX(AsistenciaJetAdminConcatenada!$D:$D, MATCH(1, (AsistenciaJetAdminConcatenada!$A:$A=CQ$2)*(AsistenciaJetAdminConcatenada!$B:$B=CQ$1), 0)), 1))),  0.5, 0))</f>
        <v>0</v>
      </c>
      <c r="CR45" s="47">
        <f t="array" ref="CR45">IF(AND(ISNUMBER(MATCH(CR$2, AsistenciaJetAdminConcatenada!$A:$A, 0)), ISNUMBER(MATCH(CR$1, AsistenciaJetAdminConcatenada!$B:$B, 0)), ISNUMBER(SEARCH($A45,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ISNUMBER(SEARCH($A45, INDEX(AsistenciaJetAdminConcatenada!$D:$D, MATCH(1, (AsistenciaJetAdminConcatenada!$A:$A=CR$2)*(AsistenciaJetAdminConcatenada!$B:$B=CR$1), 0)), 1))),  0.5, 0))</f>
        <v>0</v>
      </c>
      <c r="CS45" s="47">
        <f t="array" ref="CS45">IF(AND(ISNUMBER(MATCH(CS$2, AsistenciaJetAdminConcatenada!$A:$A, 0)), ISNUMBER(MATCH(CS$1, AsistenciaJetAdminConcatenada!$B:$B, 0)), ISNUMBER(SEARCH($A45,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ISNUMBER(SEARCH($A45, INDEX(AsistenciaJetAdminConcatenada!$D:$D, MATCH(1, (AsistenciaJetAdminConcatenada!$A:$A=CS$2)*(AsistenciaJetAdminConcatenada!$B:$B=CS$1), 0)), 1))),  0.5, 0))</f>
        <v>0</v>
      </c>
      <c r="CT45" s="47">
        <f t="array" ref="CT45">IF(AND(ISNUMBER(MATCH(CT$2, AsistenciaJetAdminConcatenada!$A:$A, 0)), ISNUMBER(MATCH(CT$1, AsistenciaJetAdminConcatenada!$B:$B, 0)), ISNUMBER(SEARCH($A45,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ISNUMBER(SEARCH($A45, INDEX(AsistenciaJetAdminConcatenada!$D:$D, MATCH(1, (AsistenciaJetAdminConcatenada!$A:$A=CT$2)*(AsistenciaJetAdminConcatenada!$B:$B=CT$1), 0)), 1))),  0.5, 0))</f>
        <v>0</v>
      </c>
      <c r="CU45" s="47">
        <f t="array" ref="CU45">IF(AND(ISNUMBER(MATCH(CU$2, AsistenciaJetAdminConcatenada!$A:$A, 0)), ISNUMBER(MATCH(CU$1, AsistenciaJetAdminConcatenada!$B:$B, 0)), ISNUMBER(SEARCH($A45,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ISNUMBER(SEARCH($A45, INDEX(AsistenciaJetAdminConcatenada!$D:$D, MATCH(1, (AsistenciaJetAdminConcatenada!$A:$A=CU$2)*(AsistenciaJetAdminConcatenada!$B:$B=CU$1), 0)), 1))),  0.5, 0))</f>
        <v>0</v>
      </c>
      <c r="CV45" s="47">
        <f t="array" ref="CV45">IF(AND(ISNUMBER(MATCH(CV$2, AsistenciaJetAdminConcatenada!$A:$A, 0)), ISNUMBER(MATCH(CV$1, AsistenciaJetAdminConcatenada!$B:$B, 0)), ISNUMBER(SEARCH($A45,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ISNUMBER(SEARCH($A45, INDEX(AsistenciaJetAdminConcatenada!$D:$D, MATCH(1, (AsistenciaJetAdminConcatenada!$A:$A=CV$2)*(AsistenciaJetAdminConcatenada!$B:$B=CV$1), 0)), 1))),  0.5, 0))</f>
        <v>0</v>
      </c>
      <c r="CW45" s="47">
        <f t="array" ref="CW45">IF(AND(ISNUMBER(MATCH(CW$2, AsistenciaJetAdminConcatenada!$A:$A, 0)), ISNUMBER(MATCH(CW$1, AsistenciaJetAdminConcatenada!$B:$B, 0)), ISNUMBER(SEARCH($A45,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ISNUMBER(SEARCH($A45, INDEX(AsistenciaJetAdminConcatenada!$D:$D, MATCH(1, (AsistenciaJetAdminConcatenada!$A:$A=CW$2)*(AsistenciaJetAdminConcatenada!$B:$B=CW$1), 0)), 1))),  0.5, 0))</f>
        <v>0</v>
      </c>
      <c r="CX45" s="47">
        <f t="array" ref="CX45">IF(AND(ISNUMBER(MATCH(CX$2, AsistenciaJetAdminConcatenada!$A:$A, 0)), ISNUMBER(MATCH(CX$1, AsistenciaJetAdminConcatenada!$B:$B, 0)), ISNUMBER(SEARCH($A45,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ISNUMBER(SEARCH($A45, INDEX(AsistenciaJetAdminConcatenada!$D:$D, MATCH(1, (AsistenciaJetAdminConcatenada!$A:$A=CX$2)*(AsistenciaJetAdminConcatenada!$B:$B=CX$1), 0)), 1))),  0.5, 0))</f>
        <v>0</v>
      </c>
      <c r="CY45" s="47">
        <f t="array" ref="CY45">IF(AND(ISNUMBER(MATCH(CY$2, AsistenciaJetAdminConcatenada!$A:$A, 0)), ISNUMBER(MATCH(CY$1, AsistenciaJetAdminConcatenada!$B:$B, 0)), ISNUMBER(SEARCH($A45,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ISNUMBER(SEARCH($A45, INDEX(AsistenciaJetAdminConcatenada!$D:$D, MATCH(1, (AsistenciaJetAdminConcatenada!$A:$A=CY$2)*(AsistenciaJetAdminConcatenada!$B:$B=CY$1), 0)), 1))),  0.5, 0))</f>
        <v>0</v>
      </c>
      <c r="CZ45" s="47">
        <f t="array" ref="CZ45">IF(AND(ISNUMBER(MATCH(CZ$2, AsistenciaJetAdminConcatenada!$A:$A, 0)), ISNUMBER(MATCH(CZ$1, AsistenciaJetAdminConcatenada!$B:$B, 0)), ISNUMBER(SEARCH($A45,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ISNUMBER(SEARCH($A45, INDEX(AsistenciaJetAdminConcatenada!$D:$D, MATCH(1, (AsistenciaJetAdminConcatenada!$A:$A=CZ$2)*(AsistenciaJetAdminConcatenada!$B:$B=CZ$1), 0)), 1))),  0.5, 0))</f>
        <v>0</v>
      </c>
      <c r="DA45" s="47">
        <f t="array" ref="DA45">IF(AND(ISNUMBER(MATCH(DA$2, AsistenciaJetAdminConcatenada!$A:$A, 0)), ISNUMBER(MATCH(DA$1, AsistenciaJetAdminConcatenada!$B:$B, 0)), ISNUMBER(SEARCH($A45,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ISNUMBER(SEARCH($A45, INDEX(AsistenciaJetAdminConcatenada!$D:$D, MATCH(1, (AsistenciaJetAdminConcatenada!$A:$A=DA$2)*(AsistenciaJetAdminConcatenada!$B:$B=DA$1), 0)), 1))),  0.5, 0))</f>
        <v>0</v>
      </c>
      <c r="DB45" s="47">
        <f t="array" ref="DB45">IF(AND(ISNUMBER(MATCH(DB$2, AsistenciaJetAdminConcatenada!$A:$A, 0)), ISNUMBER(MATCH(DB$1, AsistenciaJetAdminConcatenada!$B:$B, 0)), ISNUMBER(SEARCH($A45,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ISNUMBER(SEARCH($A45, INDEX(AsistenciaJetAdminConcatenada!$D:$D, MATCH(1, (AsistenciaJetAdminConcatenada!$A:$A=DB$2)*(AsistenciaJetAdminConcatenada!$B:$B=DB$1), 0)), 1))),  0.5, 0))</f>
        <v>0</v>
      </c>
      <c r="DC45" s="47">
        <f t="array" ref="DC45">IF(AND(ISNUMBER(MATCH(DC$2, AsistenciaJetAdminConcatenada!$A:$A, 0)), ISNUMBER(MATCH(DC$1, AsistenciaJetAdminConcatenada!$B:$B, 0)), ISNUMBER(SEARCH($A45,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ISNUMBER(SEARCH($A45, INDEX(AsistenciaJetAdminConcatenada!$D:$D, MATCH(1, (AsistenciaJetAdminConcatenada!$A:$A=DC$2)*(AsistenciaJetAdminConcatenada!$B:$B=DC$1), 0)), 1))),  0.5, 0))</f>
        <v>0</v>
      </c>
      <c r="DD45" s="47">
        <f t="array" ref="DD45">IF(AND(ISNUMBER(MATCH(DD$2, AsistenciaJetAdminConcatenada!$A:$A, 0)), ISNUMBER(MATCH(DD$1, AsistenciaJetAdminConcatenada!$B:$B, 0)), ISNUMBER(SEARCH($A45,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ISNUMBER(SEARCH($A45, INDEX(AsistenciaJetAdminConcatenada!$D:$D, MATCH(1, (AsistenciaJetAdminConcatenada!$A:$A=DD$2)*(AsistenciaJetAdminConcatenada!$B:$B=DD$1), 0)), 1))),  0.5, 0))</f>
        <v>0</v>
      </c>
      <c r="DE45" s="47">
        <f t="array" ref="DE45">IF(AND(ISNUMBER(MATCH(DE$2, AsistenciaJetAdminConcatenada!$A:$A, 0)), ISNUMBER(MATCH(DE$1, AsistenciaJetAdminConcatenada!$B:$B, 0)), ISNUMBER(SEARCH($A45,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ISNUMBER(SEARCH($A45, INDEX(AsistenciaJetAdminConcatenada!$D:$D, MATCH(1, (AsistenciaJetAdminConcatenada!$A:$A=DE$2)*(AsistenciaJetAdminConcatenada!$B:$B=DE$1), 0)), 1))),  0.5, 0))</f>
        <v>0</v>
      </c>
      <c r="DF45" s="47">
        <f t="array" ref="DF45">IF(AND(ISNUMBER(MATCH(DF$2, AsistenciaJetAdminConcatenada!$A:$A, 0)), ISNUMBER(MATCH(DF$1, AsistenciaJetAdminConcatenada!$B:$B, 0)), ISNUMBER(SEARCH($A45,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ISNUMBER(SEARCH($A45, INDEX(AsistenciaJetAdminConcatenada!$D:$D, MATCH(1, (AsistenciaJetAdminConcatenada!$A:$A=DF$2)*(AsistenciaJetAdminConcatenada!$B:$B=DF$1), 0)), 1))),  0.5, 0))</f>
        <v>0</v>
      </c>
      <c r="DG45" s="47">
        <f t="array" ref="DG45">IF(AND(ISNUMBER(MATCH(DG$2, AsistenciaJetAdminConcatenada!$A:$A, 0)), ISNUMBER(MATCH(DG$1, AsistenciaJetAdminConcatenada!$B:$B, 0)), ISNUMBER(SEARCH($A45,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ISNUMBER(SEARCH($A45, INDEX(AsistenciaJetAdminConcatenada!$D:$D, MATCH(1, (AsistenciaJetAdminConcatenada!$A:$A=DG$2)*(AsistenciaJetAdminConcatenada!$B:$B=DG$1), 0)), 1))),  0.5, 0))</f>
        <v>0</v>
      </c>
      <c r="DH45" s="47">
        <f t="array" ref="DH45">IF(AND(ISNUMBER(MATCH(DH$2, AsistenciaJetAdminConcatenada!$A:$A, 0)), ISNUMBER(MATCH(DH$1, AsistenciaJetAdminConcatenada!$B:$B, 0)), ISNUMBER(SEARCH($A45,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ISNUMBER(SEARCH($A45, INDEX(AsistenciaJetAdminConcatenada!$D:$D, MATCH(1, (AsistenciaJetAdminConcatenada!$A:$A=DH$2)*(AsistenciaJetAdminConcatenada!$B:$B=DH$1), 0)), 1))),  0.5, 0))</f>
        <v>0</v>
      </c>
      <c r="DI45" s="47">
        <f t="array" ref="DI45">IF(AND(ISNUMBER(MATCH(DI$2, AsistenciaJetAdminConcatenada!$A:$A, 0)), ISNUMBER(MATCH(DI$1, AsistenciaJetAdminConcatenada!$B:$B, 0)), ISNUMBER(SEARCH($A45,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ISNUMBER(SEARCH($A45, INDEX(AsistenciaJetAdminConcatenada!$D:$D, MATCH(1, (AsistenciaJetAdminConcatenada!$A:$A=DI$2)*(AsistenciaJetAdminConcatenada!$B:$B=DI$1), 0)), 1))),  0.5, 0))</f>
        <v>0</v>
      </c>
      <c r="DJ45" s="47">
        <f t="array" ref="DJ45">IF(AND(ISNUMBER(MATCH(DJ$2, AsistenciaJetAdminConcatenada!$A:$A, 0)), ISNUMBER(MATCH(DJ$1, AsistenciaJetAdminConcatenada!$B:$B, 0)), ISNUMBER(SEARCH($A45,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ISNUMBER(SEARCH($A45, INDEX(AsistenciaJetAdminConcatenada!$D:$D, MATCH(1, (AsistenciaJetAdminConcatenada!$A:$A=DJ$2)*(AsistenciaJetAdminConcatenada!$B:$B=DJ$1), 0)), 1))),  0.5, 0))</f>
        <v>0</v>
      </c>
      <c r="DK45" s="47">
        <f t="array" ref="DK45">IF(AND(ISNUMBER(MATCH(DK$2, AsistenciaJetAdminConcatenada!$A:$A, 0)), ISNUMBER(MATCH(DK$1, AsistenciaJetAdminConcatenada!$B:$B, 0)), ISNUMBER(SEARCH($A45,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ISNUMBER(SEARCH($A45, INDEX(AsistenciaJetAdminConcatenada!$D:$D, MATCH(1, (AsistenciaJetAdminConcatenada!$A:$A=DK$2)*(AsistenciaJetAdminConcatenada!$B:$B=DK$1), 0)), 1))),  0.5, 0))</f>
        <v>0</v>
      </c>
      <c r="DL45" s="47">
        <f t="array" ref="DL45">IF(AND(ISNUMBER(MATCH(DL$2, AsistenciaJetAdminConcatenada!$A:$A, 0)), ISNUMBER(MATCH(DL$1, AsistenciaJetAdminConcatenada!$B:$B, 0)), ISNUMBER(SEARCH($A45,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ISNUMBER(SEARCH($A45, INDEX(AsistenciaJetAdminConcatenada!$D:$D, MATCH(1, (AsistenciaJetAdminConcatenada!$A:$A=DL$2)*(AsistenciaJetAdminConcatenada!$B:$B=DL$1), 0)), 1))),  0.5, 0))</f>
        <v>0</v>
      </c>
      <c r="DM45" s="47">
        <f t="array" ref="DM45">IF(AND(ISNUMBER(MATCH(DM$2, AsistenciaJetAdminConcatenada!$A:$A, 0)), ISNUMBER(MATCH(DM$1, AsistenciaJetAdminConcatenada!$B:$B, 0)), ISNUMBER(SEARCH($A45,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ISNUMBER(SEARCH($A45, INDEX(AsistenciaJetAdminConcatenada!$D:$D, MATCH(1, (AsistenciaJetAdminConcatenada!$A:$A=DM$2)*(AsistenciaJetAdminConcatenada!$B:$B=DM$1), 0)), 1))),  0.5, 0))</f>
        <v>0</v>
      </c>
      <c r="DN45" s="47">
        <f t="array" ref="DN45">IF(AND(ISNUMBER(MATCH(DN$2, AsistenciaJetAdminConcatenada!$A:$A, 0)), ISNUMBER(MATCH(DN$1, AsistenciaJetAdminConcatenada!$B:$B, 0)), ISNUMBER(SEARCH($A45,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ISNUMBER(SEARCH($A45, INDEX(AsistenciaJetAdminConcatenada!$D:$D, MATCH(1, (AsistenciaJetAdminConcatenada!$A:$A=DN$2)*(AsistenciaJetAdminConcatenada!$B:$B=DN$1), 0)), 1))),  0.5, 0))</f>
        <v>0</v>
      </c>
      <c r="DO45" s="47">
        <f t="array" ref="DO45">IF(AND(ISNUMBER(MATCH(DO$2, AsistenciaJetAdminConcatenada!$A:$A, 0)), ISNUMBER(MATCH(DO$1, AsistenciaJetAdminConcatenada!$B:$B, 0)), ISNUMBER(SEARCH($A45,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ISNUMBER(SEARCH($A45, INDEX(AsistenciaJetAdminConcatenada!$D:$D, MATCH(1, (AsistenciaJetAdminConcatenada!$A:$A=DO$2)*(AsistenciaJetAdminConcatenada!$B:$B=DO$1), 0)), 1))),  0.5, 0))</f>
        <v>0</v>
      </c>
      <c r="DP45" s="47">
        <f t="array" ref="DP45">IF(AND(ISNUMBER(MATCH(DP$2, AsistenciaJetAdminConcatenada!$A:$A, 0)), ISNUMBER(MATCH(DP$1, AsistenciaJetAdminConcatenada!$B:$B, 0)), ISNUMBER(SEARCH($A45,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ISNUMBER(SEARCH($A45, INDEX(AsistenciaJetAdminConcatenada!$D:$D, MATCH(1, (AsistenciaJetAdminConcatenada!$A:$A=DP$2)*(AsistenciaJetAdminConcatenada!$B:$B=DP$1), 0)), 1))),  0.5, 0))</f>
        <v>0</v>
      </c>
      <c r="DQ45" s="47">
        <f t="array" ref="DQ45">IF(AND(ISNUMBER(MATCH(DQ$2, AsistenciaJetAdminConcatenada!$A:$A, 0)), ISNUMBER(MATCH(DQ$1, AsistenciaJetAdminConcatenada!$B:$B, 0)), ISNUMBER(SEARCH($A45,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ISNUMBER(SEARCH($A45, INDEX(AsistenciaJetAdminConcatenada!$D:$D, MATCH(1, (AsistenciaJetAdminConcatenada!$A:$A=DQ$2)*(AsistenciaJetAdminConcatenada!$B:$B=DQ$1), 0)), 1))),  0.5, 0))</f>
        <v>0</v>
      </c>
      <c r="DR45" s="47">
        <f t="array" ref="DR45">IF(AND(ISNUMBER(MATCH(DR$2, AsistenciaJetAdminConcatenada!$A:$A, 0)), ISNUMBER(MATCH(DR$1, AsistenciaJetAdminConcatenada!$B:$B, 0)), ISNUMBER(SEARCH($A45,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ISNUMBER(SEARCH($A45, INDEX(AsistenciaJetAdminConcatenada!$D:$D, MATCH(1, (AsistenciaJetAdminConcatenada!$A:$A=DR$2)*(AsistenciaJetAdminConcatenada!$B:$B=DR$1), 0)), 1))),  0.5, 0))</f>
        <v>0</v>
      </c>
      <c r="DS45" s="47">
        <f t="array" ref="DS45">IF(AND(ISNUMBER(MATCH(DS$2, AsistenciaJetAdminConcatenada!$A:$A, 0)), ISNUMBER(MATCH(DS$1, AsistenciaJetAdminConcatenada!$B:$B, 0)), ISNUMBER(SEARCH($A45,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ISNUMBER(SEARCH($A45, INDEX(AsistenciaJetAdminConcatenada!$D:$D, MATCH(1, (AsistenciaJetAdminConcatenada!$A:$A=DS$2)*(AsistenciaJetAdminConcatenada!$B:$B=DS$1), 0)), 1))),  0.5, 0))</f>
        <v>0</v>
      </c>
      <c r="DT45" s="47">
        <f t="array" ref="DT45">IF(AND(ISNUMBER(MATCH(DT$2, AsistenciaJetAdminConcatenada!$A:$A, 0)), ISNUMBER(MATCH(DT$1, AsistenciaJetAdminConcatenada!$B:$B, 0)), ISNUMBER(SEARCH($A45,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ISNUMBER(SEARCH($A45, INDEX(AsistenciaJetAdminConcatenada!$D:$D, MATCH(1, (AsistenciaJetAdminConcatenada!$A:$A=DT$2)*(AsistenciaJetAdminConcatenada!$B:$B=DT$1), 0)), 1))),  0.5, 0))</f>
        <v>0</v>
      </c>
      <c r="DU45" s="47">
        <f t="array" ref="DU45">IF(AND(ISNUMBER(MATCH(DU$2, AsistenciaJetAdminConcatenada!$A:$A, 0)), ISNUMBER(MATCH(DU$1, AsistenciaJetAdminConcatenada!$B:$B, 0)), ISNUMBER(SEARCH($A45,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ISNUMBER(SEARCH($A45, INDEX(AsistenciaJetAdminConcatenada!$D:$D, MATCH(1, (AsistenciaJetAdminConcatenada!$A:$A=DU$2)*(AsistenciaJetAdminConcatenada!$B:$B=DU$1), 0)), 1))),  0.5, 0))</f>
        <v>0</v>
      </c>
      <c r="DV45" s="47">
        <f t="array" ref="DV45">IF(AND(ISNUMBER(MATCH(DV$2, AsistenciaJetAdminConcatenada!$A:$A, 0)), ISNUMBER(MATCH(DV$1, AsistenciaJetAdminConcatenada!$B:$B, 0)), ISNUMBER(SEARCH($A45,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ISNUMBER(SEARCH($A45, INDEX(AsistenciaJetAdminConcatenada!$D:$D, MATCH(1, (AsistenciaJetAdminConcatenada!$A:$A=DV$2)*(AsistenciaJetAdminConcatenada!$B:$B=DV$1), 0)), 1))),  0.5, 0))</f>
        <v>0</v>
      </c>
      <c r="DW45" s="47">
        <f t="array" ref="DW45">IF(AND(ISNUMBER(MATCH(DW$2, AsistenciaJetAdminConcatenada!$A:$A, 0)), ISNUMBER(MATCH(DW$1, AsistenciaJetAdminConcatenada!$B:$B, 0)), ISNUMBER(SEARCH($A45,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ISNUMBER(SEARCH($A45, INDEX(AsistenciaJetAdminConcatenada!$D:$D, MATCH(1, (AsistenciaJetAdminConcatenada!$A:$A=DW$2)*(AsistenciaJetAdminConcatenada!$B:$B=DW$1), 0)), 1))),  0.5, 0))</f>
        <v>0</v>
      </c>
      <c r="DX45" s="47">
        <f t="array" ref="DX45">IF(AND(ISNUMBER(MATCH(DX$2, AsistenciaJetAdminConcatenada!$A:$A, 0)), ISNUMBER(MATCH(DX$1, AsistenciaJetAdminConcatenada!$B:$B, 0)), ISNUMBER(SEARCH($A45,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ISNUMBER(SEARCH($A45, INDEX(AsistenciaJetAdminConcatenada!$D:$D, MATCH(1, (AsistenciaJetAdminConcatenada!$A:$A=DX$2)*(AsistenciaJetAdminConcatenada!$B:$B=DX$1), 0)), 1))),  0.5, 0))</f>
        <v>0</v>
      </c>
      <c r="DY45" s="47">
        <f t="array" ref="DY45">IF(AND(ISNUMBER(MATCH(DY$2, AsistenciaJetAdminConcatenada!$A:$A, 0)), ISNUMBER(MATCH(DY$1, AsistenciaJetAdminConcatenada!$B:$B, 0)), ISNUMBER(SEARCH($A45,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ISNUMBER(SEARCH($A45, INDEX(AsistenciaJetAdminConcatenada!$D:$D, MATCH(1, (AsistenciaJetAdminConcatenada!$A:$A=DY$2)*(AsistenciaJetAdminConcatenada!$B:$B=DY$1), 0)), 1))),  0.5, 0))</f>
        <v>0</v>
      </c>
      <c r="DZ45" s="47">
        <f t="array" ref="DZ45">IF(AND(ISNUMBER(MATCH(DZ$2, AsistenciaJetAdminConcatenada!$A:$A, 0)), ISNUMBER(MATCH(DZ$1, AsistenciaJetAdminConcatenada!$B:$B, 0)), ISNUMBER(SEARCH($A45,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ISNUMBER(SEARCH($A45, INDEX(AsistenciaJetAdminConcatenada!$D:$D, MATCH(1, (AsistenciaJetAdminConcatenada!$A:$A=DZ$2)*(AsistenciaJetAdminConcatenada!$B:$B=DZ$1), 0)), 1))),  0.5, 0))</f>
        <v>0</v>
      </c>
      <c r="EA45" s="47">
        <f t="array" ref="EA45">IF(AND(ISNUMBER(MATCH(EA$2, AsistenciaJetAdminConcatenada!$A:$A, 0)), ISNUMBER(MATCH(EA$1, AsistenciaJetAdminConcatenada!$B:$B, 0)), ISNUMBER(SEARCH($A45,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ISNUMBER(SEARCH($A45, INDEX(AsistenciaJetAdminConcatenada!$D:$D, MATCH(1, (AsistenciaJetAdminConcatenada!$A:$A=EA$2)*(AsistenciaJetAdminConcatenada!$B:$B=EA$1), 0)), 1))),  0.5, 0))</f>
        <v>0</v>
      </c>
      <c r="EB45" s="47">
        <f t="array" ref="EB45">IF(AND(ISNUMBER(MATCH(EB$2, AsistenciaJetAdminConcatenada!$A:$A, 0)), ISNUMBER(MATCH(EB$1, AsistenciaJetAdminConcatenada!$B:$B, 0)), ISNUMBER(SEARCH($A45,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ISNUMBER(SEARCH($A45, INDEX(AsistenciaJetAdminConcatenada!$D:$D, MATCH(1, (AsistenciaJetAdminConcatenada!$A:$A=EB$2)*(AsistenciaJetAdminConcatenada!$B:$B=EB$1), 0)), 1))),  0.5, 0))</f>
        <v>0</v>
      </c>
      <c r="EC45" s="47">
        <f t="array" ref="EC45">IF(AND(ISNUMBER(MATCH(EC$2, AsistenciaJetAdminConcatenada!$A:$A, 0)), ISNUMBER(MATCH(EC$1, AsistenciaJetAdminConcatenada!$B:$B, 0)), ISNUMBER(SEARCH($A45,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ISNUMBER(SEARCH($A45, INDEX(AsistenciaJetAdminConcatenada!$D:$D, MATCH(1, (AsistenciaJetAdminConcatenada!$A:$A=EC$2)*(AsistenciaJetAdminConcatenada!$B:$B=EC$1), 0)), 1))),  0.5, 0))</f>
        <v>0</v>
      </c>
      <c r="ED45" s="47">
        <f t="array" ref="ED45">IF(AND(ISNUMBER(MATCH(ED$2, AsistenciaJetAdminConcatenada!$A:$A, 0)), ISNUMBER(MATCH(ED$1, AsistenciaJetAdminConcatenada!$B:$B, 0)), ISNUMBER(SEARCH($A45,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ISNUMBER(SEARCH($A45, INDEX(AsistenciaJetAdminConcatenada!$D:$D, MATCH(1, (AsistenciaJetAdminConcatenada!$A:$A=ED$2)*(AsistenciaJetAdminConcatenada!$B:$B=ED$1), 0)), 1))),  0.5, 0))</f>
        <v>0</v>
      </c>
      <c r="EE45" s="47">
        <f t="array" ref="EE45">IF(AND(ISNUMBER(MATCH(EE$2, AsistenciaJetAdminConcatenada!$A:$A, 0)), ISNUMBER(MATCH(EE$1, AsistenciaJetAdminConcatenada!$B:$B, 0)), ISNUMBER(SEARCH($A45,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ISNUMBER(SEARCH($A45, INDEX(AsistenciaJetAdminConcatenada!$D:$D, MATCH(1, (AsistenciaJetAdminConcatenada!$A:$A=EE$2)*(AsistenciaJetAdminConcatenada!$B:$B=EE$1), 0)), 1))),  0.5, 0))</f>
        <v>0</v>
      </c>
      <c r="EF45" s="47">
        <f t="array" ref="EF45">IF(AND(ISNUMBER(MATCH(EF$2, AsistenciaJetAdminConcatenada!$A:$A, 0)), ISNUMBER(MATCH(EF$1, AsistenciaJetAdminConcatenada!$B:$B, 0)), ISNUMBER(SEARCH($A45,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ISNUMBER(SEARCH($A45, INDEX(AsistenciaJetAdminConcatenada!$D:$D, MATCH(1, (AsistenciaJetAdminConcatenada!$A:$A=EF$2)*(AsistenciaJetAdminConcatenada!$B:$B=EF$1), 0)), 1))),  0.5, 0))</f>
        <v>0</v>
      </c>
      <c r="EG45" s="47">
        <f t="array" ref="EG45">IF(AND(ISNUMBER(MATCH(EG$2, AsistenciaJetAdminConcatenada!$A:$A, 0)), ISNUMBER(MATCH(EG$1, AsistenciaJetAdminConcatenada!$B:$B, 0)), ISNUMBER(SEARCH($A45,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ISNUMBER(SEARCH($A45, INDEX(AsistenciaJetAdminConcatenada!$D:$D, MATCH(1, (AsistenciaJetAdminConcatenada!$A:$A=EG$2)*(AsistenciaJetAdminConcatenada!$B:$B=EG$1), 0)), 1))),  0.5, 0))</f>
        <v>0</v>
      </c>
      <c r="EH45" s="47">
        <f t="array" ref="EH45">IF(AND(ISNUMBER(MATCH(EH$2, AsistenciaJetAdminConcatenada!$A:$A, 0)), ISNUMBER(MATCH(EH$1, AsistenciaJetAdminConcatenada!$B:$B, 0)), ISNUMBER(SEARCH($A45,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ISNUMBER(SEARCH($A45, INDEX(AsistenciaJetAdminConcatenada!$D:$D, MATCH(1, (AsistenciaJetAdminConcatenada!$A:$A=EH$2)*(AsistenciaJetAdminConcatenada!$B:$B=EH$1), 0)), 1))),  0.5, 0))</f>
        <v>0</v>
      </c>
      <c r="EI45" s="47">
        <f t="array" ref="EI45">IF(AND(ISNUMBER(MATCH(EI$2, AsistenciaJetAdminConcatenada!$A:$A, 0)), ISNUMBER(MATCH(EI$1, AsistenciaJetAdminConcatenada!$B:$B, 0)), ISNUMBER(SEARCH($A45,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ISNUMBER(SEARCH($A45, INDEX(AsistenciaJetAdminConcatenada!$D:$D, MATCH(1, (AsistenciaJetAdminConcatenada!$A:$A=EI$2)*(AsistenciaJetAdminConcatenada!$B:$B=EI$1), 0)), 1))),  0.5, 0))</f>
        <v>0</v>
      </c>
      <c r="EJ45" s="47">
        <f t="array" ref="EJ45">IF(AND(ISNUMBER(MATCH(EJ$2, AsistenciaJetAdminConcatenada!$A:$A, 0)), ISNUMBER(MATCH(EJ$1, AsistenciaJetAdminConcatenada!$B:$B, 0)), ISNUMBER(SEARCH($A45,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ISNUMBER(SEARCH($A45, INDEX(AsistenciaJetAdminConcatenada!$D:$D, MATCH(1, (AsistenciaJetAdminConcatenada!$A:$A=EJ$2)*(AsistenciaJetAdminConcatenada!$B:$B=EJ$1), 0)), 1))),  0.5, 0))</f>
        <v>0</v>
      </c>
      <c r="EK45" s="47">
        <f t="array" ref="EK45">IF(AND(ISNUMBER(MATCH(EK$2, AsistenciaJetAdminConcatenada!$A:$A, 0)), ISNUMBER(MATCH(EK$1, AsistenciaJetAdminConcatenada!$B:$B, 0)), ISNUMBER(SEARCH($A45,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ISNUMBER(SEARCH($A45, INDEX(AsistenciaJetAdminConcatenada!$D:$D, MATCH(1, (AsistenciaJetAdminConcatenada!$A:$A=EK$2)*(AsistenciaJetAdminConcatenada!$B:$B=EK$1), 0)), 1))),  0.5, 0))</f>
        <v>0</v>
      </c>
      <c r="EL45" s="47">
        <f t="array" ref="EL45">IF(AND(ISNUMBER(MATCH(EL$2, AsistenciaJetAdminConcatenada!$A:$A, 0)), ISNUMBER(MATCH(EL$1, AsistenciaJetAdminConcatenada!$B:$B, 0)), ISNUMBER(SEARCH($A45,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ISNUMBER(SEARCH($A45, INDEX(AsistenciaJetAdminConcatenada!$D:$D, MATCH(1, (AsistenciaJetAdminConcatenada!$A:$A=EL$2)*(AsistenciaJetAdminConcatenada!$B:$B=EL$1), 0)), 1))),  0.5, 0))</f>
        <v>0</v>
      </c>
      <c r="EM45" s="47">
        <f t="array" ref="EM45">IF(AND(ISNUMBER(MATCH(EM$2, AsistenciaJetAdminConcatenada!$A:$A, 0)), ISNUMBER(MATCH(EM$1, AsistenciaJetAdminConcatenada!$B:$B, 0)), ISNUMBER(SEARCH($A45,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ISNUMBER(SEARCH($A45, INDEX(AsistenciaJetAdminConcatenada!$D:$D, MATCH(1, (AsistenciaJetAdminConcatenada!$A:$A=EM$2)*(AsistenciaJetAdminConcatenada!$B:$B=EM$1), 0)), 1))),  0.5, 0))</f>
        <v>0</v>
      </c>
      <c r="EN45" s="47">
        <f t="array" ref="EN45">IF(AND(ISNUMBER(MATCH(EN$2, AsistenciaJetAdminConcatenada!$A:$A, 0)), ISNUMBER(MATCH(EN$1, AsistenciaJetAdminConcatenada!$B:$B, 0)), ISNUMBER(SEARCH($A45,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ISNUMBER(SEARCH($A45, INDEX(AsistenciaJetAdminConcatenada!$D:$D, MATCH(1, (AsistenciaJetAdminConcatenada!$A:$A=EN$2)*(AsistenciaJetAdminConcatenada!$B:$B=EN$1), 0)), 1))),  0.5, 0))</f>
        <v>0</v>
      </c>
      <c r="EO45" s="47">
        <f t="array" ref="EO45">IF(AND(ISNUMBER(MATCH(EO$2, AsistenciaJetAdminConcatenada!$A:$A, 0)), ISNUMBER(MATCH(EO$1, AsistenciaJetAdminConcatenada!$B:$B, 0)), ISNUMBER(SEARCH($A45,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ISNUMBER(SEARCH($A45, INDEX(AsistenciaJetAdminConcatenada!$D:$D, MATCH(1, (AsistenciaJetAdminConcatenada!$A:$A=EO$2)*(AsistenciaJetAdminConcatenada!$B:$B=EO$1), 0)), 1))),  0.5, 0))</f>
        <v>0</v>
      </c>
      <c r="EP45" s="47">
        <f t="array" ref="EP45">IF(AND(ISNUMBER(MATCH(EP$2, AsistenciaJetAdminConcatenada!$A:$A, 0)), ISNUMBER(MATCH(EP$1, AsistenciaJetAdminConcatenada!$B:$B, 0)), ISNUMBER(SEARCH($A45,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ISNUMBER(SEARCH($A45, INDEX(AsistenciaJetAdminConcatenada!$D:$D, MATCH(1, (AsistenciaJetAdminConcatenada!$A:$A=EP$2)*(AsistenciaJetAdminConcatenada!$B:$B=EP$1), 0)), 1))),  0.5, 0))</f>
        <v>0</v>
      </c>
      <c r="EQ45" s="47">
        <f t="array" ref="EQ45">IF(AND(ISNUMBER(MATCH(EQ$2, AsistenciaJetAdminConcatenada!$A:$A, 0)), ISNUMBER(MATCH(EQ$1, AsistenciaJetAdminConcatenada!$B:$B, 0)), ISNUMBER(SEARCH($A45,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ISNUMBER(SEARCH($A45, INDEX(AsistenciaJetAdminConcatenada!$D:$D, MATCH(1, (AsistenciaJetAdminConcatenada!$A:$A=EQ$2)*(AsistenciaJetAdminConcatenada!$B:$B=EQ$1), 0)), 1))),  0.5, 0))</f>
        <v>0</v>
      </c>
      <c r="ER45" s="47">
        <f t="array" ref="ER45">IF(AND(ISNUMBER(MATCH(ER$2, AsistenciaJetAdminConcatenada!$A:$A, 0)), ISNUMBER(MATCH(ER$1, AsistenciaJetAdminConcatenada!$B:$B, 0)), ISNUMBER(SEARCH($A45,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ISNUMBER(SEARCH($A45, INDEX(AsistenciaJetAdminConcatenada!$D:$D, MATCH(1, (AsistenciaJetAdminConcatenada!$A:$A=ER$2)*(AsistenciaJetAdminConcatenada!$B:$B=ER$1), 0)), 1))),  0.5, 0))</f>
        <v>0</v>
      </c>
      <c r="ES45" s="47">
        <f t="array" ref="ES45">IF(AND(ISNUMBER(MATCH(ES$2, AsistenciaJetAdminConcatenada!$A:$A, 0)), ISNUMBER(MATCH(ES$1, AsistenciaJetAdminConcatenada!$B:$B, 0)), ISNUMBER(SEARCH($A45,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ISNUMBER(SEARCH($A45, INDEX(AsistenciaJetAdminConcatenada!$D:$D, MATCH(1, (AsistenciaJetAdminConcatenada!$A:$A=ES$2)*(AsistenciaJetAdminConcatenada!$B:$B=ES$1), 0)), 1))),  0.5, 0))</f>
        <v>0</v>
      </c>
      <c r="ET45" s="47">
        <f t="array" ref="ET45">IF(AND(ISNUMBER(MATCH(ET$2, AsistenciaJetAdminConcatenada!$A:$A, 0)), ISNUMBER(MATCH(ET$1, AsistenciaJetAdminConcatenada!$B:$B, 0)), ISNUMBER(SEARCH($A45,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ISNUMBER(SEARCH($A45, INDEX(AsistenciaJetAdminConcatenada!$D:$D, MATCH(1, (AsistenciaJetAdminConcatenada!$A:$A=ET$2)*(AsistenciaJetAdminConcatenada!$B:$B=ET$1), 0)), 1))),  0.5, 0))</f>
        <v>0</v>
      </c>
      <c r="EU45" s="47">
        <f t="array" ref="EU45">IF(AND(ISNUMBER(MATCH(EU$2, AsistenciaJetAdminConcatenada!$A:$A, 0)), ISNUMBER(MATCH(EU$1, AsistenciaJetAdminConcatenada!$B:$B, 0)), ISNUMBER(SEARCH($A45,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ISNUMBER(SEARCH($A45, INDEX(AsistenciaJetAdminConcatenada!$D:$D, MATCH(1, (AsistenciaJetAdminConcatenada!$A:$A=EU$2)*(AsistenciaJetAdminConcatenada!$B:$B=EU$1), 0)), 1))),  0.5, 0))</f>
        <v>0</v>
      </c>
      <c r="EV45" s="47">
        <f t="array" ref="EV45">IF(AND(ISNUMBER(MATCH(EV$2, AsistenciaJetAdminConcatenada!$A:$A, 0)), ISNUMBER(MATCH(EV$1, AsistenciaJetAdminConcatenada!$B:$B, 0)), ISNUMBER(SEARCH($A45,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ISNUMBER(SEARCH($A45, INDEX(AsistenciaJetAdminConcatenada!$D:$D, MATCH(1, (AsistenciaJetAdminConcatenada!$A:$A=EV$2)*(AsistenciaJetAdminConcatenada!$B:$B=EV$1), 0)), 1))),  0.5, 0))</f>
        <v>0</v>
      </c>
      <c r="EW45" s="47">
        <f t="array" ref="EW45">IF(AND(ISNUMBER(MATCH(EW$2, AsistenciaJetAdminConcatenada!$A:$A, 0)), ISNUMBER(MATCH(EW$1, AsistenciaJetAdminConcatenada!$B:$B, 0)), ISNUMBER(SEARCH($A45,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ISNUMBER(SEARCH($A45, INDEX(AsistenciaJetAdminConcatenada!$D:$D, MATCH(1, (AsistenciaJetAdminConcatenada!$A:$A=EW$2)*(AsistenciaJetAdminConcatenada!$B:$B=EW$1), 0)), 1))),  0.5, 0))</f>
        <v>0</v>
      </c>
      <c r="EX45" s="47">
        <f t="array" ref="EX45">IF(AND(ISNUMBER(MATCH(EX$2, AsistenciaJetAdminConcatenada!$A:$A, 0)), ISNUMBER(MATCH(EX$1, AsistenciaJetAdminConcatenada!$B:$B, 0)), ISNUMBER(SEARCH($A45,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ISNUMBER(SEARCH($A45, INDEX(AsistenciaJetAdminConcatenada!$D:$D, MATCH(1, (AsistenciaJetAdminConcatenada!$A:$A=EX$2)*(AsistenciaJetAdminConcatenada!$B:$B=EX$1), 0)), 1))),  0.5, 0))</f>
        <v>0</v>
      </c>
      <c r="EY45" s="47">
        <f t="array" ref="EY45">IF(AND(ISNUMBER(MATCH(EY$2, AsistenciaJetAdminConcatenada!$A:$A, 0)), ISNUMBER(MATCH(EY$1, AsistenciaJetAdminConcatenada!$B:$B, 0)), ISNUMBER(SEARCH($A45,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ISNUMBER(SEARCH($A45, INDEX(AsistenciaJetAdminConcatenada!$D:$D, MATCH(1, (AsistenciaJetAdminConcatenada!$A:$A=EY$2)*(AsistenciaJetAdminConcatenada!$B:$B=EY$1), 0)), 1))),  0.5, 0))</f>
        <v>0</v>
      </c>
      <c r="EZ45" s="47">
        <f t="array" ref="EZ45">IF(AND(ISNUMBER(MATCH(EZ$2, AsistenciaJetAdminConcatenada!$A:$A, 0)), ISNUMBER(MATCH(EZ$1, AsistenciaJetAdminConcatenada!$B:$B, 0)), ISNUMBER(SEARCH($A45,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ISNUMBER(SEARCH($A45, INDEX(AsistenciaJetAdminConcatenada!$D:$D, MATCH(1, (AsistenciaJetAdminConcatenada!$A:$A=EZ$2)*(AsistenciaJetAdminConcatenada!$B:$B=EZ$1), 0)), 1))),  0.5, 0))</f>
        <v>0</v>
      </c>
      <c r="FA45" s="47">
        <f t="array" ref="FA45">IF(AND(ISNUMBER(MATCH(FA$2, AsistenciaJetAdminConcatenada!$A:$A, 0)), ISNUMBER(MATCH(FA$1, AsistenciaJetAdminConcatenada!$B:$B, 0)), ISNUMBER(SEARCH($A45,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ISNUMBER(SEARCH($A45, INDEX(AsistenciaJetAdminConcatenada!$D:$D, MATCH(1, (AsistenciaJetAdminConcatenada!$A:$A=FA$2)*(AsistenciaJetAdminConcatenada!$B:$B=FA$1), 0)), 1))),  0.5, 0))</f>
        <v>0</v>
      </c>
      <c r="FB45" s="47">
        <f t="array" ref="FB45">IF(AND(ISNUMBER(MATCH(FB$2, AsistenciaJetAdminConcatenada!$A:$A, 0)), ISNUMBER(MATCH(FB$1, AsistenciaJetAdminConcatenada!$B:$B, 0)), ISNUMBER(SEARCH($A45,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ISNUMBER(SEARCH($A45, INDEX(AsistenciaJetAdminConcatenada!$D:$D, MATCH(1, (AsistenciaJetAdminConcatenada!$A:$A=FB$2)*(AsistenciaJetAdminConcatenada!$B:$B=FB$1), 0)), 1))),  0.5, 0))</f>
        <v>0</v>
      </c>
      <c r="FC45" s="47">
        <f t="array" ref="FC45">IF(AND(ISNUMBER(MATCH(FC$2, AsistenciaJetAdminConcatenada!$A:$A, 0)), ISNUMBER(MATCH(FC$1, AsistenciaJetAdminConcatenada!$B:$B, 0)), ISNUMBER(SEARCH($A45,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ISNUMBER(SEARCH($A45, INDEX(AsistenciaJetAdminConcatenada!$D:$D, MATCH(1, (AsistenciaJetAdminConcatenada!$A:$A=FC$2)*(AsistenciaJetAdminConcatenada!$B:$B=FC$1), 0)), 1))),  0.5, 0))</f>
        <v>0</v>
      </c>
      <c r="FD45" s="47">
        <f t="array" ref="FD45">IF(AND(ISNUMBER(MATCH(FD$2, AsistenciaJetAdminConcatenada!$A:$A, 0)), ISNUMBER(MATCH(FD$1, AsistenciaJetAdminConcatenada!$B:$B, 0)), ISNUMBER(SEARCH($A45,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ISNUMBER(SEARCH($A45, INDEX(AsistenciaJetAdminConcatenada!$D:$D, MATCH(1, (AsistenciaJetAdminConcatenada!$A:$A=FD$2)*(AsistenciaJetAdminConcatenada!$B:$B=FD$1), 0)), 1))),  0.5, 0))</f>
        <v>0</v>
      </c>
      <c r="FE45" s="47">
        <f t="array" ref="FE45">IF(AND(ISNUMBER(MATCH(FE$2, AsistenciaJetAdminConcatenada!$A:$A, 0)), ISNUMBER(MATCH(FE$1, AsistenciaJetAdminConcatenada!$B:$B, 0)), ISNUMBER(SEARCH($A45,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ISNUMBER(SEARCH($A45, INDEX(AsistenciaJetAdminConcatenada!$D:$D, MATCH(1, (AsistenciaJetAdminConcatenada!$A:$A=FE$2)*(AsistenciaJetAdminConcatenada!$B:$B=FE$1), 0)), 1))),  0.5, 0))</f>
        <v>0</v>
      </c>
      <c r="FF45" s="47">
        <f t="array" ref="FF45">IF(AND(ISNUMBER(MATCH(FF$2, AsistenciaJetAdminConcatenada!$A:$A, 0)), ISNUMBER(MATCH(FF$1, AsistenciaJetAdminConcatenada!$B:$B, 0)), ISNUMBER(SEARCH($A45,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ISNUMBER(SEARCH($A45, INDEX(AsistenciaJetAdminConcatenada!$D:$D, MATCH(1, (AsistenciaJetAdminConcatenada!$A:$A=FF$2)*(AsistenciaJetAdminConcatenada!$B:$B=FF$1), 0)), 1))),  0.5, 0))</f>
        <v>0</v>
      </c>
      <c r="FG45" s="47">
        <f t="array" ref="FG45">IF(AND(ISNUMBER(MATCH(FG$2, AsistenciaJetAdminConcatenada!$A:$A, 0)), ISNUMBER(MATCH(FG$1, AsistenciaJetAdminConcatenada!$B:$B, 0)), ISNUMBER(SEARCH($A45,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ISNUMBER(SEARCH($A45, INDEX(AsistenciaJetAdminConcatenada!$D:$D, MATCH(1, (AsistenciaJetAdminConcatenada!$A:$A=FG$2)*(AsistenciaJetAdminConcatenada!$B:$B=FG$1), 0)), 1))),  0.5, 0))</f>
        <v>0</v>
      </c>
      <c r="FH45" s="47">
        <f t="array" ref="FH45">IF(AND(ISNUMBER(MATCH(FH$2, AsistenciaJetAdminConcatenada!$A:$A, 0)), ISNUMBER(MATCH(FH$1, AsistenciaJetAdminConcatenada!$B:$B, 0)), ISNUMBER(SEARCH($A45,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ISNUMBER(SEARCH($A45, INDEX(AsistenciaJetAdminConcatenada!$D:$D, MATCH(1, (AsistenciaJetAdminConcatenada!$A:$A=FH$2)*(AsistenciaJetAdminConcatenada!$B:$B=FH$1), 0)), 1))),  0.5, 0))</f>
        <v>0</v>
      </c>
      <c r="FI45" s="47">
        <f t="array" ref="FI45">IF(AND(ISNUMBER(MATCH(FI$2, AsistenciaJetAdminConcatenada!$A:$A, 0)), ISNUMBER(MATCH(FI$1, AsistenciaJetAdminConcatenada!$B:$B, 0)), ISNUMBER(SEARCH($A45,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ISNUMBER(SEARCH($A45, INDEX(AsistenciaJetAdminConcatenada!$D:$D, MATCH(1, (AsistenciaJetAdminConcatenada!$A:$A=FI$2)*(AsistenciaJetAdminConcatenada!$B:$B=FI$1), 0)), 1))),  0.5, 0))</f>
        <v>0</v>
      </c>
      <c r="FJ45" s="47">
        <f t="array" ref="FJ45">IF(AND(ISNUMBER(MATCH(FJ$2, AsistenciaJetAdminConcatenada!$A:$A, 0)), ISNUMBER(MATCH(FJ$1, AsistenciaJetAdminConcatenada!$B:$B, 0)), ISNUMBER(SEARCH($A45,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ISNUMBER(SEARCH($A45, INDEX(AsistenciaJetAdminConcatenada!$D:$D, MATCH(1, (AsistenciaJetAdminConcatenada!$A:$A=FJ$2)*(AsistenciaJetAdminConcatenada!$B:$B=FJ$1), 0)), 1))),  0.5, 0))</f>
        <v>0</v>
      </c>
      <c r="FK45" s="47">
        <f t="array" ref="FK45">IF(AND(ISNUMBER(MATCH(FK$2, AsistenciaJetAdminConcatenada!$A:$A, 0)), ISNUMBER(MATCH(FK$1, AsistenciaJetAdminConcatenada!$B:$B, 0)), ISNUMBER(SEARCH($A45,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ISNUMBER(SEARCH($A45, INDEX(AsistenciaJetAdminConcatenada!$D:$D, MATCH(1, (AsistenciaJetAdminConcatenada!$A:$A=FK$2)*(AsistenciaJetAdminConcatenada!$B:$B=FK$1), 0)), 1))),  0.5, 0))</f>
        <v>0</v>
      </c>
      <c r="FL45" s="47">
        <f t="array" ref="FL45">IF(AND(ISNUMBER(MATCH(FL$2, AsistenciaJetAdminConcatenada!$A:$A, 0)), ISNUMBER(MATCH(FL$1, AsistenciaJetAdminConcatenada!$B:$B, 0)), ISNUMBER(SEARCH($A45,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ISNUMBER(SEARCH($A45, INDEX(AsistenciaJetAdminConcatenada!$D:$D, MATCH(1, (AsistenciaJetAdminConcatenada!$A:$A=FL$2)*(AsistenciaJetAdminConcatenada!$B:$B=FL$1), 0)), 1))),  0.5, 0))</f>
        <v>0</v>
      </c>
      <c r="FM45" s="47">
        <f t="array" ref="FM45">IF(AND(ISNUMBER(MATCH(FM$2, AsistenciaJetAdminConcatenada!$A:$A, 0)), ISNUMBER(MATCH(FM$1, AsistenciaJetAdminConcatenada!$B:$B, 0)), ISNUMBER(SEARCH($A45,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ISNUMBER(SEARCH($A45, INDEX(AsistenciaJetAdminConcatenada!$D:$D, MATCH(1, (AsistenciaJetAdminConcatenada!$A:$A=FM$2)*(AsistenciaJetAdminConcatenada!$B:$B=FM$1), 0)), 1))),  0.5, 0))</f>
        <v>0</v>
      </c>
      <c r="FN45" s="47">
        <f t="array" ref="FN45">IF(AND(ISNUMBER(MATCH(FN$2, AsistenciaJetAdminConcatenada!$A:$A, 0)), ISNUMBER(MATCH(FN$1, AsistenciaJetAdminConcatenada!$B:$B, 0)), ISNUMBER(SEARCH($A45,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ISNUMBER(SEARCH($A45, INDEX(AsistenciaJetAdminConcatenada!$D:$D, MATCH(1, (AsistenciaJetAdminConcatenada!$A:$A=FN$2)*(AsistenciaJetAdminConcatenada!$B:$B=FN$1), 0)), 1))),  0.5, 0))</f>
        <v>0</v>
      </c>
      <c r="FO45" s="47">
        <f t="array" ref="FO45">IF(AND(ISNUMBER(MATCH(FO$2, AsistenciaJetAdminConcatenada!$A:$A, 0)), ISNUMBER(MATCH(FO$1, AsistenciaJetAdminConcatenada!$B:$B, 0)), ISNUMBER(SEARCH($A45,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ISNUMBER(SEARCH($A45, INDEX(AsistenciaJetAdminConcatenada!$D:$D, MATCH(1, (AsistenciaJetAdminConcatenada!$A:$A=FO$2)*(AsistenciaJetAdminConcatenada!$B:$B=FO$1), 0)), 1))),  0.5, 0))</f>
        <v>0</v>
      </c>
      <c r="FP45" s="47">
        <f t="array" ref="FP45">IF(AND(ISNUMBER(MATCH(FP$2, AsistenciaJetAdminConcatenada!$A:$A, 0)), ISNUMBER(MATCH(FP$1, AsistenciaJetAdminConcatenada!$B:$B, 0)), ISNUMBER(SEARCH($A45,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ISNUMBER(SEARCH($A45, INDEX(AsistenciaJetAdminConcatenada!$D:$D, MATCH(1, (AsistenciaJetAdminConcatenada!$A:$A=FP$2)*(AsistenciaJetAdminConcatenada!$B:$B=FP$1), 0)), 1))),  0.5, 0))</f>
        <v>0</v>
      </c>
      <c r="FQ45" s="47">
        <f t="array" ref="FQ45">IF(AND(ISNUMBER(MATCH(FQ$2, AsistenciaJetAdminConcatenada!$A:$A, 0)), ISNUMBER(MATCH(FQ$1, AsistenciaJetAdminConcatenada!$B:$B, 0)), ISNUMBER(SEARCH($A45,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ISNUMBER(SEARCH($A45, INDEX(AsistenciaJetAdminConcatenada!$D:$D, MATCH(1, (AsistenciaJetAdminConcatenada!$A:$A=FQ$2)*(AsistenciaJetAdminConcatenada!$B:$B=FQ$1), 0)), 1))),  0.5, 0))</f>
        <v>0</v>
      </c>
      <c r="FR45" s="47">
        <f t="array" ref="FR45">IF(AND(ISNUMBER(MATCH(FR$2, AsistenciaJetAdminConcatenada!$A:$A, 0)), ISNUMBER(MATCH(FR$1, AsistenciaJetAdminConcatenada!$B:$B, 0)), ISNUMBER(SEARCH($A45,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ISNUMBER(SEARCH($A45, INDEX(AsistenciaJetAdminConcatenada!$D:$D, MATCH(1, (AsistenciaJetAdminConcatenada!$A:$A=FR$2)*(AsistenciaJetAdminConcatenada!$B:$B=FR$1), 0)), 1))),  0.5, 0))</f>
        <v>0</v>
      </c>
      <c r="FS45" s="47">
        <f t="array" ref="FS45">IF(AND(ISNUMBER(MATCH(FS$2, AsistenciaJetAdminConcatenada!$A:$A, 0)), ISNUMBER(MATCH(FS$1, AsistenciaJetAdminConcatenada!$B:$B, 0)), ISNUMBER(SEARCH($A45,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ISNUMBER(SEARCH($A45, INDEX(AsistenciaJetAdminConcatenada!$D:$D, MATCH(1, (AsistenciaJetAdminConcatenada!$A:$A=FS$2)*(AsistenciaJetAdminConcatenada!$B:$B=FS$1), 0)), 1))),  0.5, 0))</f>
        <v>0</v>
      </c>
      <c r="FT45" s="47">
        <f t="array" ref="FT45">IF(AND(ISNUMBER(MATCH(FT$2, AsistenciaJetAdminConcatenada!$A:$A, 0)), ISNUMBER(MATCH(FT$1, AsistenciaJetAdminConcatenada!$B:$B, 0)), ISNUMBER(SEARCH($A45,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ISNUMBER(SEARCH($A45, INDEX(AsistenciaJetAdminConcatenada!$D:$D, MATCH(1, (AsistenciaJetAdminConcatenada!$A:$A=FT$2)*(AsistenciaJetAdminConcatenada!$B:$B=FT$1), 0)), 1))),  0.5, 0))</f>
        <v>0</v>
      </c>
      <c r="FU45" s="47">
        <f t="array" ref="FU45">IF(AND(ISNUMBER(MATCH(FU$2, AsistenciaJetAdminConcatenada!$A:$A, 0)), ISNUMBER(MATCH(FU$1, AsistenciaJetAdminConcatenada!$B:$B, 0)), ISNUMBER(SEARCH($A45,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ISNUMBER(SEARCH($A45, INDEX(AsistenciaJetAdminConcatenada!$D:$D, MATCH(1, (AsistenciaJetAdminConcatenada!$A:$A=FU$2)*(AsistenciaJetAdminConcatenada!$B:$B=FU$1), 0)), 1))),  0.5, 0))</f>
        <v>0</v>
      </c>
      <c r="FV45" s="47">
        <f t="array" ref="FV45">IF(AND(ISNUMBER(MATCH(FV$2, AsistenciaJetAdminConcatenada!$A:$A, 0)), ISNUMBER(MATCH(FV$1, AsistenciaJetAdminConcatenada!$B:$B, 0)), ISNUMBER(SEARCH($A45,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ISNUMBER(SEARCH($A45, INDEX(AsistenciaJetAdminConcatenada!$D:$D, MATCH(1, (AsistenciaJetAdminConcatenada!$A:$A=FV$2)*(AsistenciaJetAdminConcatenada!$B:$B=FV$1), 0)), 1))),  0.5, 0))</f>
        <v>0</v>
      </c>
      <c r="FW45" s="47">
        <f t="array" ref="FW45">IF(AND(ISNUMBER(MATCH(FW$2, AsistenciaJetAdminConcatenada!$A:$A, 0)), ISNUMBER(MATCH(FW$1, AsistenciaJetAdminConcatenada!$B:$B, 0)), ISNUMBER(SEARCH($A45,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ISNUMBER(SEARCH($A45, INDEX(AsistenciaJetAdminConcatenada!$D:$D, MATCH(1, (AsistenciaJetAdminConcatenada!$A:$A=FW$2)*(AsistenciaJetAdminConcatenada!$B:$B=FW$1), 0)), 1))),  0.5, 0))</f>
        <v>0</v>
      </c>
      <c r="FX45" s="47">
        <f t="array" ref="FX45">IF(AND(ISNUMBER(MATCH(FX$2, AsistenciaJetAdminConcatenada!$A:$A, 0)), ISNUMBER(MATCH(FX$1, AsistenciaJetAdminConcatenada!$B:$B, 0)), ISNUMBER(SEARCH($A45,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ISNUMBER(SEARCH($A45, INDEX(AsistenciaJetAdminConcatenada!$D:$D, MATCH(1, (AsistenciaJetAdminConcatenada!$A:$A=FX$2)*(AsistenciaJetAdminConcatenada!$B:$B=FX$1), 0)), 1))),  0.5, 0))</f>
        <v>0</v>
      </c>
      <c r="FY45" s="47">
        <f t="array" ref="FY45">IF(AND(ISNUMBER(MATCH(FY$2, AsistenciaJetAdminConcatenada!$A:$A, 0)), ISNUMBER(MATCH(FY$1, AsistenciaJetAdminConcatenada!$B:$B, 0)), ISNUMBER(SEARCH($A45,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ISNUMBER(SEARCH($A45, INDEX(AsistenciaJetAdminConcatenada!$D:$D, MATCH(1, (AsistenciaJetAdminConcatenada!$A:$A=FY$2)*(AsistenciaJetAdminConcatenada!$B:$B=FY$1), 0)), 1))),  0.5, 0))</f>
        <v>0</v>
      </c>
      <c r="FZ45" s="47">
        <f t="array" ref="FZ45">IF(AND(ISNUMBER(MATCH(FZ$2, AsistenciaJetAdminConcatenada!$A:$A, 0)), ISNUMBER(MATCH(FZ$1, AsistenciaJetAdminConcatenada!$B:$B, 0)), ISNUMBER(SEARCH($A45,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ISNUMBER(SEARCH($A45, INDEX(AsistenciaJetAdminConcatenada!$D:$D, MATCH(1, (AsistenciaJetAdminConcatenada!$A:$A=FZ$2)*(AsistenciaJetAdminConcatenada!$B:$B=FZ$1), 0)), 1))),  0.5, 0))</f>
        <v>0</v>
      </c>
      <c r="GA45" s="47">
        <f t="array" ref="GA45">IF(AND(ISNUMBER(MATCH(GA$2, AsistenciaJetAdminConcatenada!$A:$A, 0)), ISNUMBER(MATCH(GA$1, AsistenciaJetAdminConcatenada!$B:$B, 0)), ISNUMBER(SEARCH($A45,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ISNUMBER(SEARCH($A45, INDEX(AsistenciaJetAdminConcatenada!$D:$D, MATCH(1, (AsistenciaJetAdminConcatenada!$A:$A=GA$2)*(AsistenciaJetAdminConcatenada!$B:$B=GA$1), 0)), 1))),  0.5, 0))</f>
        <v>0</v>
      </c>
      <c r="GB45" s="47">
        <f t="array" ref="GB45">IF(AND(ISNUMBER(MATCH(GB$2, AsistenciaJetAdminConcatenada!$A:$A, 0)), ISNUMBER(MATCH(GB$1, AsistenciaJetAdminConcatenada!$B:$B, 0)), ISNUMBER(SEARCH($A45,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ISNUMBER(SEARCH($A45, INDEX(AsistenciaJetAdminConcatenada!$D:$D, MATCH(1, (AsistenciaJetAdminConcatenada!$A:$A=GB$2)*(AsistenciaJetAdminConcatenada!$B:$B=GB$1), 0)), 1))),  0.5, 0))</f>
        <v>0</v>
      </c>
      <c r="GC45" s="47">
        <f t="array" ref="GC45">IF(AND(ISNUMBER(MATCH(GC$2, AsistenciaJetAdminConcatenada!$A:$A, 0)), ISNUMBER(MATCH(GC$1, AsistenciaJetAdminConcatenada!$B:$B, 0)), ISNUMBER(SEARCH($A45,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ISNUMBER(SEARCH($A45, INDEX(AsistenciaJetAdminConcatenada!$D:$D, MATCH(1, (AsistenciaJetAdminConcatenada!$A:$A=GC$2)*(AsistenciaJetAdminConcatenada!$B:$B=GC$1), 0)), 1))),  0.5, 0))</f>
        <v>0</v>
      </c>
      <c r="GD45" s="47">
        <f t="array" ref="GD45">IF(AND(ISNUMBER(MATCH(GD$2, AsistenciaJetAdminConcatenada!$A:$A, 0)), ISNUMBER(MATCH(GD$1, AsistenciaJetAdminConcatenada!$B:$B, 0)), ISNUMBER(SEARCH($A45,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ISNUMBER(SEARCH($A45, INDEX(AsistenciaJetAdminConcatenada!$D:$D, MATCH(1, (AsistenciaJetAdminConcatenada!$A:$A=GD$2)*(AsistenciaJetAdminConcatenada!$B:$B=GD$1), 0)), 1))),  0.5, 0))</f>
        <v>0</v>
      </c>
      <c r="GE45" s="47">
        <f t="array" ref="GE45">IF(AND(ISNUMBER(MATCH(GE$2, AsistenciaJetAdminConcatenada!$A:$A, 0)), ISNUMBER(MATCH(GE$1, AsistenciaJetAdminConcatenada!$B:$B, 0)), ISNUMBER(SEARCH($A45,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ISNUMBER(SEARCH($A45, INDEX(AsistenciaJetAdminConcatenada!$D:$D, MATCH(1, (AsistenciaJetAdminConcatenada!$A:$A=GE$2)*(AsistenciaJetAdminConcatenada!$B:$B=GE$1), 0)), 1))),  0.5, 0))</f>
        <v>0</v>
      </c>
      <c r="GF45" s="47">
        <f t="array" ref="GF45">IF(AND(ISNUMBER(MATCH(GF$2, AsistenciaJetAdminConcatenada!$A:$A, 0)), ISNUMBER(MATCH(GF$1, AsistenciaJetAdminConcatenada!$B:$B, 0)), ISNUMBER(SEARCH($A45,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ISNUMBER(SEARCH($A45, INDEX(AsistenciaJetAdminConcatenada!$D:$D, MATCH(1, (AsistenciaJetAdminConcatenada!$A:$A=GF$2)*(AsistenciaJetAdminConcatenada!$B:$B=GF$1), 0)), 1))),  0.5, 0))</f>
        <v>0</v>
      </c>
      <c r="GG45" s="47">
        <f t="array" ref="GG45">IF(AND(ISNUMBER(MATCH(GG$2, AsistenciaJetAdminConcatenada!$A:$A, 0)), ISNUMBER(MATCH(GG$1, AsistenciaJetAdminConcatenada!$B:$B, 0)), ISNUMBER(SEARCH($A45,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ISNUMBER(SEARCH($A45, INDEX(AsistenciaJetAdminConcatenada!$D:$D, MATCH(1, (AsistenciaJetAdminConcatenada!$A:$A=GG$2)*(AsistenciaJetAdminConcatenada!$B:$B=GG$1), 0)), 1))),  0.5, 0))</f>
        <v>0</v>
      </c>
      <c r="GH45" s="47">
        <f t="array" ref="GH45">IF(AND(ISNUMBER(MATCH(GH$2, AsistenciaJetAdminConcatenada!$A:$A, 0)), ISNUMBER(MATCH(GH$1, AsistenciaJetAdminConcatenada!$B:$B, 0)), ISNUMBER(SEARCH($A45,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ISNUMBER(SEARCH($A45, INDEX(AsistenciaJetAdminConcatenada!$D:$D, MATCH(1, (AsistenciaJetAdminConcatenada!$A:$A=GH$2)*(AsistenciaJetAdminConcatenada!$B:$B=GH$1), 0)), 1))),  0.5, 0))</f>
        <v>0</v>
      </c>
      <c r="GI45" s="47">
        <f t="array" ref="GI45">IF(AND(ISNUMBER(MATCH(GI$2, AsistenciaJetAdminConcatenada!$A:$A, 0)), ISNUMBER(MATCH(GI$1, AsistenciaJetAdminConcatenada!$B:$B, 0)), ISNUMBER(SEARCH($A45,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ISNUMBER(SEARCH($A45, INDEX(AsistenciaJetAdminConcatenada!$D:$D, MATCH(1, (AsistenciaJetAdminConcatenada!$A:$A=GI$2)*(AsistenciaJetAdminConcatenada!$B:$B=GI$1), 0)), 1))),  0.5, 0))</f>
        <v>0</v>
      </c>
      <c r="GJ45" s="47">
        <f t="array" ref="GJ45">IF(AND(ISNUMBER(MATCH(GJ$2, AsistenciaJetAdminConcatenada!$A:$A, 0)), ISNUMBER(MATCH(GJ$1, AsistenciaJetAdminConcatenada!$B:$B, 0)), ISNUMBER(SEARCH($A45,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ISNUMBER(SEARCH($A45, INDEX(AsistenciaJetAdminConcatenada!$D:$D, MATCH(1, (AsistenciaJetAdminConcatenada!$A:$A=GJ$2)*(AsistenciaJetAdminConcatenada!$B:$B=GJ$1), 0)), 1))),  0.5, 0))</f>
        <v>0</v>
      </c>
      <c r="GK45" s="47">
        <f t="array" ref="GK45">IF(AND(ISNUMBER(MATCH(GK$2, AsistenciaJetAdminConcatenada!$A:$A, 0)), ISNUMBER(MATCH(GK$1, AsistenciaJetAdminConcatenada!$B:$B, 0)), ISNUMBER(SEARCH($A45,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ISNUMBER(SEARCH($A45, INDEX(AsistenciaJetAdminConcatenada!$D:$D, MATCH(1, (AsistenciaJetAdminConcatenada!$A:$A=GK$2)*(AsistenciaJetAdminConcatenada!$B:$B=GK$1), 0)), 1))),  0.5, 0))</f>
        <v>0</v>
      </c>
      <c r="GL45" s="47">
        <f t="array" ref="GL45">IF(AND(ISNUMBER(MATCH(GL$2, AsistenciaJetAdminConcatenada!$A:$A, 0)), ISNUMBER(MATCH(GL$1, AsistenciaJetAdminConcatenada!$B:$B, 0)), ISNUMBER(SEARCH($A45,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ISNUMBER(SEARCH($A45, INDEX(AsistenciaJetAdminConcatenada!$D:$D, MATCH(1, (AsistenciaJetAdminConcatenada!$A:$A=GL$2)*(AsistenciaJetAdminConcatenada!$B:$B=GL$1), 0)), 1))),  0.5, 0))</f>
        <v>0</v>
      </c>
      <c r="GM45" s="47">
        <f t="array" ref="GM45">IF(AND(ISNUMBER(MATCH(GM$2, AsistenciaJetAdminConcatenada!$A:$A, 0)), ISNUMBER(MATCH(GM$1, AsistenciaJetAdminConcatenada!$B:$B, 0)), ISNUMBER(SEARCH($A45,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ISNUMBER(SEARCH($A45, INDEX(AsistenciaJetAdminConcatenada!$D:$D, MATCH(1, (AsistenciaJetAdminConcatenada!$A:$A=GM$2)*(AsistenciaJetAdminConcatenada!$B:$B=GM$1), 0)), 1))),  0.5, 0))</f>
        <v>0</v>
      </c>
      <c r="GN45" s="47">
        <f t="array" ref="GN45">IF(AND(ISNUMBER(MATCH(GN$2, AsistenciaJetAdminConcatenada!$A:$A, 0)), ISNUMBER(MATCH(GN$1, AsistenciaJetAdminConcatenada!$B:$B, 0)), ISNUMBER(SEARCH($A45,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ISNUMBER(SEARCH($A45, INDEX(AsistenciaJetAdminConcatenada!$D:$D, MATCH(1, (AsistenciaJetAdminConcatenada!$A:$A=GN$2)*(AsistenciaJetAdminConcatenada!$B:$B=GN$1), 0)), 1))),  0.5, 0))</f>
        <v>0</v>
      </c>
      <c r="GO45" s="47">
        <f t="array" ref="GO45">IF(AND(ISNUMBER(MATCH(GO$2, AsistenciaJetAdminConcatenada!$A:$A, 0)), ISNUMBER(MATCH(GO$1, AsistenciaJetAdminConcatenada!$B:$B, 0)), ISNUMBER(SEARCH($A45,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ISNUMBER(SEARCH($A45, INDEX(AsistenciaJetAdminConcatenada!$D:$D, MATCH(1, (AsistenciaJetAdminConcatenada!$A:$A=GO$2)*(AsistenciaJetAdminConcatenada!$B:$B=GO$1), 0)), 1))),  0.5, 0))</f>
        <v>0</v>
      </c>
      <c r="GP45" s="47">
        <f t="array" ref="GP45">IF(AND(ISNUMBER(MATCH(GP$2, AsistenciaJetAdminConcatenada!$A:$A, 0)), ISNUMBER(MATCH(GP$1, AsistenciaJetAdminConcatenada!$B:$B, 0)), ISNUMBER(SEARCH($A45,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ISNUMBER(SEARCH($A45, INDEX(AsistenciaJetAdminConcatenada!$D:$D, MATCH(1, (AsistenciaJetAdminConcatenada!$A:$A=GP$2)*(AsistenciaJetAdminConcatenada!$B:$B=GP$1), 0)), 1))),  0.5, 0))</f>
        <v>0</v>
      </c>
      <c r="GQ45" s="47">
        <f t="array" ref="GQ45">IF(AND(ISNUMBER(MATCH(GQ$2, AsistenciaJetAdminConcatenada!$A:$A, 0)), ISNUMBER(MATCH(GQ$1, AsistenciaJetAdminConcatenada!$B:$B, 0)), ISNUMBER(SEARCH($A45,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ISNUMBER(SEARCH($A45, INDEX(AsistenciaJetAdminConcatenada!$D:$D, MATCH(1, (AsistenciaJetAdminConcatenada!$A:$A=GQ$2)*(AsistenciaJetAdminConcatenada!$B:$B=GQ$1), 0)), 1))),  0.5, 0))</f>
        <v>0</v>
      </c>
      <c r="GR45" s="47">
        <f t="array" ref="GR45">IF(AND(ISNUMBER(MATCH(GR$2, AsistenciaJetAdminConcatenada!$A:$A, 0)), ISNUMBER(MATCH(GR$1, AsistenciaJetAdminConcatenada!$B:$B, 0)), ISNUMBER(SEARCH($A45,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ISNUMBER(SEARCH($A45, INDEX(AsistenciaJetAdminConcatenada!$D:$D, MATCH(1, (AsistenciaJetAdminConcatenada!$A:$A=GR$2)*(AsistenciaJetAdminConcatenada!$B:$B=GR$1), 0)), 1))),  0.5, 0))</f>
        <v>0</v>
      </c>
      <c r="GS45" s="47">
        <f t="array" ref="GS45">IF(AND(ISNUMBER(MATCH(GS$2, AsistenciaJetAdminConcatenada!$A:$A, 0)), ISNUMBER(MATCH(GS$1, AsistenciaJetAdminConcatenada!$B:$B, 0)), ISNUMBER(SEARCH($A45,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ISNUMBER(SEARCH($A45, INDEX(AsistenciaJetAdminConcatenada!$D:$D, MATCH(1, (AsistenciaJetAdminConcatenada!$A:$A=GS$2)*(AsistenciaJetAdminConcatenada!$B:$B=GS$1), 0)), 1))),  0.5, 0))</f>
        <v>0</v>
      </c>
      <c r="GT45" s="47">
        <f t="array" ref="GT45">IF(AND(ISNUMBER(MATCH(GT$2, AsistenciaJetAdminConcatenada!$A:$A, 0)), ISNUMBER(MATCH(GT$1, AsistenciaJetAdminConcatenada!$B:$B, 0)), ISNUMBER(SEARCH($A45,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ISNUMBER(SEARCH($A45, INDEX(AsistenciaJetAdminConcatenada!$D:$D, MATCH(1, (AsistenciaJetAdminConcatenada!$A:$A=GT$2)*(AsistenciaJetAdminConcatenada!$B:$B=GT$1), 0)), 1))),  0.5, 0))</f>
        <v>0</v>
      </c>
      <c r="GU45" s="47">
        <f t="array" ref="GU45">IF(AND(ISNUMBER(MATCH(GU$2, AsistenciaJetAdminConcatenada!$A:$A, 0)), ISNUMBER(MATCH(GU$1, AsistenciaJetAdminConcatenada!$B:$B, 0)), ISNUMBER(SEARCH($A45,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ISNUMBER(SEARCH($A45, INDEX(AsistenciaJetAdminConcatenada!$D:$D, MATCH(1, (AsistenciaJetAdminConcatenada!$A:$A=GU$2)*(AsistenciaJetAdminConcatenada!$B:$B=GU$1), 0)), 1))),  0.5, 0))</f>
        <v>0</v>
      </c>
      <c r="GV45" s="47">
        <f t="array" ref="GV45">IF(AND(ISNUMBER(MATCH(GV$2, AsistenciaJetAdminConcatenada!$A:$A, 0)), ISNUMBER(MATCH(GV$1, AsistenciaJetAdminConcatenada!$B:$B, 0)), ISNUMBER(SEARCH($A45,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ISNUMBER(SEARCH($A45, INDEX(AsistenciaJetAdminConcatenada!$D:$D, MATCH(1, (AsistenciaJetAdminConcatenada!$A:$A=GV$2)*(AsistenciaJetAdminConcatenada!$B:$B=GV$1), 0)), 1))),  0.5, 0))</f>
        <v>0</v>
      </c>
      <c r="GW45" s="47">
        <f t="array" ref="GW45">IF(AND(ISNUMBER(MATCH(GW$2, AsistenciaJetAdminConcatenada!$A:$A, 0)), ISNUMBER(MATCH(GW$1, AsistenciaJetAdminConcatenada!$B:$B, 0)), ISNUMBER(SEARCH($A45,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ISNUMBER(SEARCH($A45, INDEX(AsistenciaJetAdminConcatenada!$D:$D, MATCH(1, (AsistenciaJetAdminConcatenada!$A:$A=GW$2)*(AsistenciaJetAdminConcatenada!$B:$B=GW$1), 0)), 1))),  0.5, 0))</f>
        <v>0</v>
      </c>
      <c r="GX45" s="47">
        <f t="array" ref="GX45">IF(AND(ISNUMBER(MATCH(GX$2, AsistenciaJetAdminConcatenada!$A:$A, 0)), ISNUMBER(MATCH(GX$1, AsistenciaJetAdminConcatenada!$B:$B, 0)), ISNUMBER(SEARCH($A45,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ISNUMBER(SEARCH($A45, INDEX(AsistenciaJetAdminConcatenada!$D:$D, MATCH(1, (AsistenciaJetAdminConcatenada!$A:$A=GX$2)*(AsistenciaJetAdminConcatenada!$B:$B=GX$1), 0)), 1))),  0.5, 0))</f>
        <v>0</v>
      </c>
      <c r="GY45" s="47">
        <f t="array" ref="GY45">IF(AND(ISNUMBER(MATCH(GY$2, AsistenciaJetAdminConcatenada!$A:$A, 0)), ISNUMBER(MATCH(GY$1, AsistenciaJetAdminConcatenada!$B:$B, 0)), ISNUMBER(SEARCH($A45,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ISNUMBER(SEARCH($A45, INDEX(AsistenciaJetAdminConcatenada!$D:$D, MATCH(1, (AsistenciaJetAdminConcatenada!$A:$A=GY$2)*(AsistenciaJetAdminConcatenada!$B:$B=GY$1), 0)), 1))),  0.5, 0))</f>
        <v>0</v>
      </c>
      <c r="GZ45" s="47">
        <f t="array" ref="GZ45">IF(AND(ISNUMBER(MATCH(GZ$2, AsistenciaJetAdminConcatenada!$A:$A, 0)), ISNUMBER(MATCH(GZ$1, AsistenciaJetAdminConcatenada!$B:$B, 0)), ISNUMBER(SEARCH($A45,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ISNUMBER(SEARCH($A45, INDEX(AsistenciaJetAdminConcatenada!$D:$D, MATCH(1, (AsistenciaJetAdminConcatenada!$A:$A=GZ$2)*(AsistenciaJetAdminConcatenada!$B:$B=GZ$1), 0)), 1))),  0.5, 0))</f>
        <v>0</v>
      </c>
      <c r="HA45" s="47">
        <f t="array" ref="HA45">IF(AND(ISNUMBER(MATCH(HA$2, AsistenciaJetAdminConcatenada!$A:$A, 0)), ISNUMBER(MATCH(HA$1, AsistenciaJetAdminConcatenada!$B:$B, 0)), ISNUMBER(SEARCH($A45,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ISNUMBER(SEARCH($A45, INDEX(AsistenciaJetAdminConcatenada!$D:$D, MATCH(1, (AsistenciaJetAdminConcatenada!$A:$A=HA$2)*(AsistenciaJetAdminConcatenada!$B:$B=HA$1), 0)), 1))),  0.5, 0))</f>
        <v>0</v>
      </c>
      <c r="HB45" s="47">
        <f t="array" ref="HB45">IF(AND(ISNUMBER(MATCH(HB$2, AsistenciaJetAdminConcatenada!$A:$A, 0)), ISNUMBER(MATCH(HB$1, AsistenciaJetAdminConcatenada!$B:$B, 0)), ISNUMBER(SEARCH($A45,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ISNUMBER(SEARCH($A45, INDEX(AsistenciaJetAdminConcatenada!$D:$D, MATCH(1, (AsistenciaJetAdminConcatenada!$A:$A=HB$2)*(AsistenciaJetAdminConcatenada!$B:$B=HB$1), 0)), 1))),  0.5, 0))</f>
        <v>0</v>
      </c>
      <c r="HC45" s="47">
        <f t="array" ref="HC45">IF(AND(ISNUMBER(MATCH(HC$2, AsistenciaJetAdminConcatenada!$A:$A, 0)), ISNUMBER(MATCH(HC$1, AsistenciaJetAdminConcatenada!$B:$B, 0)), ISNUMBER(SEARCH($A45,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ISNUMBER(SEARCH($A45, INDEX(AsistenciaJetAdminConcatenada!$D:$D, MATCH(1, (AsistenciaJetAdminConcatenada!$A:$A=HC$2)*(AsistenciaJetAdminConcatenada!$B:$B=HC$1), 0)), 1))),  0.5, 0))</f>
        <v>0</v>
      </c>
    </row>
    <row r="46" ht="29.25" customHeight="1">
      <c r="A46" s="3">
        <v>184.0</v>
      </c>
      <c r="B46" s="4" t="s">
        <v>652</v>
      </c>
      <c r="C46" s="47">
        <f>SUM(D46:HC46) + ActividadesEspeciales!C46</f>
        <v>71</v>
      </c>
      <c r="D46" s="47">
        <f t="array" ref="D46">IF(AND(ISNUMBER(MATCH(D$2, AsistenciaJetAdminConcatenada!$A:$A, 0)), ISNUMBER(MATCH(D$1, AsistenciaJetAdminConcatenada!$B:$B, 0)), ISNUMBER(SEARCH($A46,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ISNUMBER(SEARCH($A46, INDEX(AsistenciaJetAdminConcatenada!$D:$D, MATCH(1, (AsistenciaJetAdminConcatenada!$A:$A=D$2)*(AsistenciaJetAdminConcatenada!$B:$B=D$1), 0)), 1))),  0.5, 0))</f>
        <v>1</v>
      </c>
      <c r="E46" s="47">
        <f t="array" ref="E46">IF(AND(ISNUMBER(MATCH(E$2, AsistenciaJetAdminConcatenada!$A:$A, 0)), ISNUMBER(MATCH(E$1, AsistenciaJetAdminConcatenada!$B:$B, 0)), ISNUMBER(SEARCH($A46,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ISNUMBER(SEARCH($A46, INDEX(AsistenciaJetAdminConcatenada!$D:$D, MATCH(1, (AsistenciaJetAdminConcatenada!$A:$A=E$2)*(AsistenciaJetAdminConcatenada!$B:$B=E$1), 0)), 1))),  0.5, 0))</f>
        <v>1</v>
      </c>
      <c r="F46" s="47">
        <f t="array" ref="F46">IF(AND(ISNUMBER(MATCH(F$2, AsistenciaJetAdminConcatenada!$A:$A, 0)), ISNUMBER(MATCH(F$1, AsistenciaJetAdminConcatenada!$B:$B, 0)), ISNUMBER(SEARCH($A46,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ISNUMBER(SEARCH($A46, INDEX(AsistenciaJetAdminConcatenada!$D:$D, MATCH(1, (AsistenciaJetAdminConcatenada!$A:$A=F$2)*(AsistenciaJetAdminConcatenada!$B:$B=F$1), 0)), 1))),  0.5, 0))</f>
        <v>1</v>
      </c>
      <c r="G46" s="47">
        <f t="array" ref="G46">IF(AND(ISNUMBER(MATCH(G$2, AsistenciaJetAdminConcatenada!$A:$A, 0)), ISNUMBER(MATCH(G$1, AsistenciaJetAdminConcatenada!$B:$B, 0)), ISNUMBER(SEARCH($A46,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ISNUMBER(SEARCH($A46, INDEX(AsistenciaJetAdminConcatenada!$D:$D, MATCH(1, (AsistenciaJetAdminConcatenada!$A:$A=G$2)*(AsistenciaJetAdminConcatenada!$B:$B=G$1), 0)), 1))),  0.5, 0))</f>
        <v>1</v>
      </c>
      <c r="H46" s="47">
        <f t="array" ref="H46">IF(AND(ISNUMBER(MATCH(H$2, AsistenciaJetAdminConcatenada!$A:$A, 0)), ISNUMBER(MATCH(H$1, AsistenciaJetAdminConcatenada!$B:$B, 0)), ISNUMBER(SEARCH($A46,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ISNUMBER(SEARCH($A46, INDEX(AsistenciaJetAdminConcatenada!$D:$D, MATCH(1, (AsistenciaJetAdminConcatenada!$A:$A=H$2)*(AsistenciaJetAdminConcatenada!$B:$B=H$1), 0)), 1))),  0.5, 0))</f>
        <v>1</v>
      </c>
      <c r="I46" s="47">
        <f t="array" ref="I46">IF(AND(ISNUMBER(MATCH(I$2, AsistenciaJetAdminConcatenada!$A:$A, 0)), ISNUMBER(MATCH(I$1, AsistenciaJetAdminConcatenada!$B:$B, 0)), ISNUMBER(SEARCH($A46,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ISNUMBER(SEARCH($A46, INDEX(AsistenciaJetAdminConcatenada!$D:$D, MATCH(1, (AsistenciaJetAdminConcatenada!$A:$A=I$2)*(AsistenciaJetAdminConcatenada!$B:$B=I$1), 0)), 1))),  0.5, 0))</f>
        <v>1</v>
      </c>
      <c r="J46" s="47">
        <f t="array" ref="J46">IF(AND(ISNUMBER(MATCH(J$2, AsistenciaJetAdminConcatenada!$A:$A, 0)), ISNUMBER(MATCH(J$1, AsistenciaJetAdminConcatenada!$B:$B, 0)), ISNUMBER(SEARCH($A46,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ISNUMBER(SEARCH($A46, INDEX(AsistenciaJetAdminConcatenada!$D:$D, MATCH(1, (AsistenciaJetAdminConcatenada!$A:$A=J$2)*(AsistenciaJetAdminConcatenada!$B:$B=J$1), 0)), 1))),  0.5, 0))</f>
        <v>1</v>
      </c>
      <c r="K46" s="47">
        <f t="array" ref="K46">IF(AND(ISNUMBER(MATCH(K$2, AsistenciaJetAdminConcatenada!$A:$A, 0)), ISNUMBER(MATCH(K$1, AsistenciaJetAdminConcatenada!$B:$B, 0)), ISNUMBER(SEARCH($A46,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ISNUMBER(SEARCH($A46, INDEX(AsistenciaJetAdminConcatenada!$D:$D, MATCH(1, (AsistenciaJetAdminConcatenada!$A:$A=K$2)*(AsistenciaJetAdminConcatenada!$B:$B=K$1), 0)), 1))),  0.5, 0))</f>
        <v>1</v>
      </c>
      <c r="L46" s="47">
        <f t="array" ref="L46">IF(AND(ISNUMBER(MATCH(L$2, AsistenciaJetAdminConcatenada!$A:$A, 0)), ISNUMBER(MATCH(L$1, AsistenciaJetAdminConcatenada!$B:$B, 0)), ISNUMBER(SEARCH($A46,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ISNUMBER(SEARCH($A46, INDEX(AsistenciaJetAdminConcatenada!$D:$D, MATCH(1, (AsistenciaJetAdminConcatenada!$A:$A=L$2)*(AsistenciaJetAdminConcatenada!$B:$B=L$1), 0)), 1))),  0.5, 0))</f>
        <v>1</v>
      </c>
      <c r="M46" s="47">
        <f t="array" ref="M46">IF(AND(ISNUMBER(MATCH(M$2, AsistenciaJetAdminConcatenada!$A:$A, 0)), ISNUMBER(MATCH(M$1, AsistenciaJetAdminConcatenada!$B:$B, 0)), ISNUMBER(SEARCH($A46,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ISNUMBER(SEARCH($A46, INDEX(AsistenciaJetAdminConcatenada!$D:$D, MATCH(1, (AsistenciaJetAdminConcatenada!$A:$A=M$2)*(AsistenciaJetAdminConcatenada!$B:$B=M$1), 0)), 1))),  0.5, 0))</f>
        <v>1</v>
      </c>
      <c r="N46" s="47">
        <f t="array" ref="N46">IF(AND(ISNUMBER(MATCH(N$2, AsistenciaJetAdminConcatenada!$A:$A, 0)), ISNUMBER(MATCH(N$1, AsistenciaJetAdminConcatenada!$B:$B, 0)), ISNUMBER(SEARCH($A46,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ISNUMBER(SEARCH($A46, INDEX(AsistenciaJetAdminConcatenada!$D:$D, MATCH(1, (AsistenciaJetAdminConcatenada!$A:$A=N$2)*(AsistenciaJetAdminConcatenada!$B:$B=N$1), 0)), 1))),  0.5, 0))</f>
        <v>0</v>
      </c>
      <c r="O46" s="47">
        <f t="array" ref="O46">IF(AND(ISNUMBER(MATCH(O$2, AsistenciaJetAdminConcatenada!$A:$A, 0)), ISNUMBER(MATCH(O$1, AsistenciaJetAdminConcatenada!$B:$B, 0)), ISNUMBER(SEARCH($A46,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ISNUMBER(SEARCH($A46, INDEX(AsistenciaJetAdminConcatenada!$D:$D, MATCH(1, (AsistenciaJetAdminConcatenada!$A:$A=O$2)*(AsistenciaJetAdminConcatenada!$B:$B=O$1), 0)), 1))),  0.5, 0))</f>
        <v>1</v>
      </c>
      <c r="P46" s="8">
        <v>0.5</v>
      </c>
      <c r="Q46" s="47">
        <f t="array" ref="Q46">IF(AND(ISNUMBER(MATCH(Q$2, AsistenciaJetAdminConcatenada!$A:$A, 0)), ISNUMBER(MATCH(Q$1, AsistenciaJetAdminConcatenada!$B:$B, 0)), ISNUMBER(SEARCH($A46, INDEX(AsistenciaJetAdminConcatenada!$C:$C, MATCH(1, (AsistenciaJetAdminConcatenada!$A:$A=Q$2)*(AsistenciaJetAdminConcatenada!$B:$B=Q$1), 0)), 1))), 1, IF(AND(ISNUMBER(MATCH(Q$2, AsistenciaJetAdminConcatenada!$A:$A, 0)), ISNUMBER(MATCH(Q$1, AsistenciaJetAdminConcatenada!$B:$B, 0)), ISNUMBER(SEARCH($A46, INDEX(AsistenciaJetAdminConcatenada!$D:$D, MATCH(1, (AsistenciaJetAdminConcatenada!$A:$A=Q$2)*(AsistenciaJetAdminConcatenada!$B:$B=Q$1), 0)), 1))),  0.5, 0))</f>
        <v>0.5</v>
      </c>
      <c r="R46" s="47">
        <f t="array" ref="R46">IF(AND(ISNUMBER(MATCH(R$2, AsistenciaJetAdminConcatenada!$A:$A, 0)), ISNUMBER(MATCH(R$1, AsistenciaJetAdminConcatenada!$B:$B, 0)), ISNUMBER(SEARCH($A46,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ISNUMBER(SEARCH($A46, INDEX(AsistenciaJetAdminConcatenada!$D:$D, MATCH(1, (AsistenciaJetAdminConcatenada!$A:$A=R$2)*(AsistenciaJetAdminConcatenada!$B:$B=R$1), 0)), 1))),  0.5, 0))</f>
        <v>1</v>
      </c>
      <c r="S46" s="47">
        <f t="array" ref="S46">IF(AND(ISNUMBER(MATCH(S$2, AsistenciaJetAdminConcatenada!$A:$A, 0)), ISNUMBER(MATCH(S$1, AsistenciaJetAdminConcatenada!$B:$B, 0)), ISNUMBER(SEARCH($A46,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ISNUMBER(SEARCH($A46, INDEX(AsistenciaJetAdminConcatenada!$D:$D, MATCH(1, (AsistenciaJetAdminConcatenada!$A:$A=S$2)*(AsistenciaJetAdminConcatenada!$B:$B=S$1), 0)), 1))),  0.5, 0))</f>
        <v>1</v>
      </c>
      <c r="T46" s="47">
        <f t="array" ref="T46">IF(AND(ISNUMBER(MATCH(T$2, AsistenciaJetAdminConcatenada!$A:$A, 0)), ISNUMBER(MATCH(T$1, AsistenciaJetAdminConcatenada!$B:$B, 0)), ISNUMBER(SEARCH($A46,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ISNUMBER(SEARCH($A46, INDEX(AsistenciaJetAdminConcatenada!$D:$D, MATCH(1, (AsistenciaJetAdminConcatenada!$A:$A=T$2)*(AsistenciaJetAdminConcatenada!$B:$B=T$1), 0)), 1))),  0.5, 0))</f>
        <v>0</v>
      </c>
      <c r="U46" s="47">
        <f t="array" ref="U46">IF(AND(ISNUMBER(MATCH(U$2, AsistenciaJetAdminConcatenada!$A:$A, 0)), ISNUMBER(MATCH(U$1, AsistenciaJetAdminConcatenada!$B:$B, 0)), ISNUMBER(SEARCH($A46,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ISNUMBER(SEARCH($A46, INDEX(AsistenciaJetAdminConcatenada!$D:$D, MATCH(1, (AsistenciaJetAdminConcatenada!$A:$A=U$2)*(AsistenciaJetAdminConcatenada!$B:$B=U$1), 0)), 1))),  0.5, 0))</f>
        <v>1</v>
      </c>
      <c r="V46" s="47">
        <f t="array" ref="V46">IF(AND(ISNUMBER(MATCH(V$2, AsistenciaJetAdminConcatenada!$A:$A, 0)), ISNUMBER(MATCH(V$1, AsistenciaJetAdminConcatenada!$B:$B, 0)), ISNUMBER(SEARCH($A46,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ISNUMBER(SEARCH($A46, INDEX(AsistenciaJetAdminConcatenada!$D:$D, MATCH(1, (AsistenciaJetAdminConcatenada!$A:$A=V$2)*(AsistenciaJetAdminConcatenada!$B:$B=V$1), 0)), 1))),  0.5, 0))</f>
        <v>1</v>
      </c>
      <c r="W46" s="47">
        <f t="array" ref="W46">IF(AND(ISNUMBER(MATCH(W$2, AsistenciaJetAdminConcatenada!$A:$A, 0)), ISNUMBER(MATCH(W$1, AsistenciaJetAdminConcatenada!$B:$B, 0)), ISNUMBER(SEARCH($A46,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ISNUMBER(SEARCH($A46, INDEX(AsistenciaJetAdminConcatenada!$D:$D, MATCH(1, (AsistenciaJetAdminConcatenada!$A:$A=W$2)*(AsistenciaJetAdminConcatenada!$B:$B=W$1), 0)), 1))),  0.5, 0))</f>
        <v>1</v>
      </c>
      <c r="X46" s="47">
        <f t="array" ref="X46">IF(AND(ISNUMBER(MATCH(X$2, AsistenciaJetAdminConcatenada!$A:$A, 0)), ISNUMBER(MATCH(X$1, AsistenciaJetAdminConcatenada!$B:$B, 0)), ISNUMBER(SEARCH($A46,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ISNUMBER(SEARCH($A46, INDEX(AsistenciaJetAdminConcatenada!$D:$D, MATCH(1, (AsistenciaJetAdminConcatenada!$A:$A=X$2)*(AsistenciaJetAdminConcatenada!$B:$B=X$1), 0)), 1))),  0.5, 0))</f>
        <v>1</v>
      </c>
      <c r="Y46" s="47">
        <f t="array" ref="Y46">IF(AND(ISNUMBER(MATCH(Y$2, AsistenciaJetAdminConcatenada!$A:$A, 0)), ISNUMBER(MATCH(Y$1, AsistenciaJetAdminConcatenada!$B:$B, 0)), ISNUMBER(SEARCH($A46,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ISNUMBER(SEARCH($A46, INDEX(AsistenciaJetAdminConcatenada!$D:$D, MATCH(1, (AsistenciaJetAdminConcatenada!$A:$A=Y$2)*(AsistenciaJetAdminConcatenada!$B:$B=Y$1), 0)), 1))),  0.5, 0))</f>
        <v>1</v>
      </c>
      <c r="Z46" s="47">
        <f t="array" ref="Z46">IF(AND(ISNUMBER(MATCH(Z$2, AsistenciaJetAdminConcatenada!$A:$A, 0)), ISNUMBER(MATCH(Z$1, AsistenciaJetAdminConcatenada!$B:$B, 0)), ISNUMBER(SEARCH($A46,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ISNUMBER(SEARCH($A46, INDEX(AsistenciaJetAdminConcatenada!$D:$D, MATCH(1, (AsistenciaJetAdminConcatenada!$A:$A=Z$2)*(AsistenciaJetAdminConcatenada!$B:$B=Z$1), 0)), 1))),  0.5, 0))</f>
        <v>1</v>
      </c>
      <c r="AA46" s="47">
        <f t="array" ref="AA46">IF(AND(ISNUMBER(MATCH(AA$2, AsistenciaJetAdminConcatenada!$A:$A, 0)), ISNUMBER(MATCH(AA$1, AsistenciaJetAdminConcatenada!$B:$B, 0)), ISNUMBER(SEARCH($A46,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ISNUMBER(SEARCH($A46, INDEX(AsistenciaJetAdminConcatenada!$D:$D, MATCH(1, (AsistenciaJetAdminConcatenada!$A:$A=AA$2)*(AsistenciaJetAdminConcatenada!$B:$B=AA$1), 0)), 1))),  0.5, 0))</f>
        <v>0</v>
      </c>
      <c r="AB46" s="47">
        <f t="array" ref="AB46">IF(AND(ISNUMBER(MATCH(AB$2, AsistenciaJetAdminConcatenada!$A:$A, 0)), ISNUMBER(MATCH(AB$1, AsistenciaJetAdminConcatenada!$B:$B, 0)), ISNUMBER(SEARCH($A46,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ISNUMBER(SEARCH($A46, INDEX(AsistenciaJetAdminConcatenada!$D:$D, MATCH(1, (AsistenciaJetAdminConcatenada!$A:$A=AB$2)*(AsistenciaJetAdminConcatenada!$B:$B=AB$1), 0)), 1))),  0.5, 0))</f>
        <v>0</v>
      </c>
      <c r="AC46" s="47">
        <f t="array" ref="AC46">IF(AND(ISNUMBER(MATCH(AC$2, AsistenciaJetAdminConcatenada!$A:$A, 0)), ISNUMBER(MATCH(AC$1, AsistenciaJetAdminConcatenada!$B:$B, 0)), ISNUMBER(SEARCH($A46,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ISNUMBER(SEARCH($A46, INDEX(AsistenciaJetAdminConcatenada!$D:$D, MATCH(1, (AsistenciaJetAdminConcatenada!$A:$A=AC$2)*(AsistenciaJetAdminConcatenada!$B:$B=AC$1), 0)), 1))),  0.5, 0))</f>
        <v>1</v>
      </c>
      <c r="AD46" s="47">
        <f t="array" ref="AD46">IF(AND(ISNUMBER(MATCH(AD$2, AsistenciaJetAdminConcatenada!$A:$A, 0)), ISNUMBER(MATCH(AD$1, AsistenciaJetAdminConcatenada!$B:$B, 0)), ISNUMBER(SEARCH($A46,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ISNUMBER(SEARCH($A46, INDEX(AsistenciaJetAdminConcatenada!$D:$D, MATCH(1, (AsistenciaJetAdminConcatenada!$A:$A=AD$2)*(AsistenciaJetAdminConcatenada!$B:$B=AD$1), 0)), 1))),  0.5, 0))</f>
        <v>1</v>
      </c>
      <c r="AE46" s="47">
        <f t="array" ref="AE46">IF(AND(ISNUMBER(MATCH(AE$2, AsistenciaJetAdminConcatenada!$A:$A, 0)), ISNUMBER(MATCH(AE$1, AsistenciaJetAdminConcatenada!$B:$B, 0)), ISNUMBER(SEARCH($A46,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ISNUMBER(SEARCH($A46, INDEX(AsistenciaJetAdminConcatenada!$D:$D, MATCH(1, (AsistenciaJetAdminConcatenada!$A:$A=AE$2)*(AsistenciaJetAdminConcatenada!$B:$B=AE$1), 0)), 1))),  0.5, 0))</f>
        <v>1</v>
      </c>
      <c r="AF46" s="47">
        <f t="array" ref="AF46">IF(AND(ISNUMBER(MATCH(AF$2, AsistenciaJetAdminConcatenada!$A:$A, 0)), ISNUMBER(MATCH(AF$1, AsistenciaJetAdminConcatenada!$B:$B, 0)), ISNUMBER(SEARCH($A46,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ISNUMBER(SEARCH($A46, INDEX(AsistenciaJetAdminConcatenada!$D:$D, MATCH(1, (AsistenciaJetAdminConcatenada!$A:$A=AF$2)*(AsistenciaJetAdminConcatenada!$B:$B=AF$1), 0)), 1))),  0.5, 0))</f>
        <v>0</v>
      </c>
      <c r="AG46" s="47">
        <f t="array" ref="AG46">IF(AND(ISNUMBER(MATCH(AG$2, AsistenciaJetAdminConcatenada!$A:$A, 0)), ISNUMBER(MATCH(AG$1, AsistenciaJetAdminConcatenada!$B:$B, 0)), ISNUMBER(SEARCH($A46,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ISNUMBER(SEARCH($A46, INDEX(AsistenciaJetAdminConcatenada!$D:$D, MATCH(1, (AsistenciaJetAdminConcatenada!$A:$A=AG$2)*(AsistenciaJetAdminConcatenada!$B:$B=AG$1), 0)), 1))),  0.5, 0))</f>
        <v>0</v>
      </c>
      <c r="AH46" s="47">
        <f t="array" ref="AH46">IF(AND(ISNUMBER(MATCH(AH$2, AsistenciaJetAdminConcatenada!$A:$A, 0)), ISNUMBER(MATCH(AH$1, AsistenciaJetAdminConcatenada!$B:$B, 0)), ISNUMBER(SEARCH($A46,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ISNUMBER(SEARCH($A46, INDEX(AsistenciaJetAdminConcatenada!$D:$D, MATCH(1, (AsistenciaJetAdminConcatenada!$A:$A=AH$2)*(AsistenciaJetAdminConcatenada!$B:$B=AH$1), 0)), 1))),  0.5, 0))</f>
        <v>0</v>
      </c>
      <c r="AI46" s="47">
        <f t="array" ref="AI46">IF(AND(ISNUMBER(MATCH(AI$2, AsistenciaJetAdminConcatenada!$A:$A, 0)), ISNUMBER(MATCH(AI$1, AsistenciaJetAdminConcatenada!$B:$B, 0)), ISNUMBER(SEARCH($A46,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ISNUMBER(SEARCH($A46, INDEX(AsistenciaJetAdminConcatenada!$D:$D, MATCH(1, (AsistenciaJetAdminConcatenada!$A:$A=AI$2)*(AsistenciaJetAdminConcatenada!$B:$B=AI$1), 0)), 1))),  0.5, 0))</f>
        <v>0</v>
      </c>
      <c r="AJ46" s="47">
        <f t="array" ref="AJ46">IF(AND(ISNUMBER(MATCH(AJ$2, AsistenciaJetAdminConcatenada!$A:$A, 0)), ISNUMBER(MATCH(AJ$1, AsistenciaJetAdminConcatenada!$B:$B, 0)), ISNUMBER(SEARCH($A46,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ISNUMBER(SEARCH($A46, INDEX(AsistenciaJetAdminConcatenada!$D:$D, MATCH(1, (AsistenciaJetAdminConcatenada!$A:$A=AJ$2)*(AsistenciaJetAdminConcatenada!$B:$B=AJ$1), 0)), 1))),  0.5, 0))</f>
        <v>0</v>
      </c>
      <c r="AK46" s="47">
        <f t="array" ref="AK46">IF(AND(ISNUMBER(MATCH(AK$2, AsistenciaJetAdminConcatenada!$A:$A, 0)), ISNUMBER(MATCH(AK$1, AsistenciaJetAdminConcatenada!$B:$B, 0)), ISNUMBER(SEARCH($A46,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ISNUMBER(SEARCH($A46, INDEX(AsistenciaJetAdminConcatenada!$D:$D, MATCH(1, (AsistenciaJetAdminConcatenada!$A:$A=AK$2)*(AsistenciaJetAdminConcatenada!$B:$B=AK$1), 0)), 1))),  0.5, 0))</f>
        <v>1</v>
      </c>
      <c r="AL46" s="47">
        <f t="array" ref="AL46">IF(AND(ISNUMBER(MATCH(AL$2, AsistenciaJetAdminConcatenada!$A:$A, 0)), ISNUMBER(MATCH(AL$1, AsistenciaJetAdminConcatenada!$B:$B, 0)), ISNUMBER(SEARCH($A46,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ISNUMBER(SEARCH($A46, INDEX(AsistenciaJetAdminConcatenada!$D:$D, MATCH(1, (AsistenciaJetAdminConcatenada!$A:$A=AL$2)*(AsistenciaJetAdminConcatenada!$B:$B=AL$1), 0)), 1))),  0.5, 0))</f>
        <v>1</v>
      </c>
      <c r="AM46" s="47">
        <f t="array" ref="AM46">IF(AND(ISNUMBER(MATCH(AM$2, AsistenciaJetAdminConcatenada!$A:$A, 0)), ISNUMBER(MATCH(AM$1, AsistenciaJetAdminConcatenada!$B:$B, 0)), ISNUMBER(SEARCH($A46,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ISNUMBER(SEARCH($A46, INDEX(AsistenciaJetAdminConcatenada!$D:$D, MATCH(1, (AsistenciaJetAdminConcatenada!$A:$A=AM$2)*(AsistenciaJetAdminConcatenada!$B:$B=AM$1), 0)), 1))),  0.5, 0))</f>
        <v>1</v>
      </c>
      <c r="AN46" s="47">
        <f t="array" ref="AN46">IF(AND(ISNUMBER(MATCH(AN$2, AsistenciaJetAdminConcatenada!$A:$A, 0)), ISNUMBER(MATCH(AN$1, AsistenciaJetAdminConcatenada!$B:$B, 0)), ISNUMBER(SEARCH($A46,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ISNUMBER(SEARCH($A46, INDEX(AsistenciaJetAdminConcatenada!$D:$D, MATCH(1, (AsistenciaJetAdminConcatenada!$A:$A=AN$2)*(AsistenciaJetAdminConcatenada!$B:$B=AN$1), 0)), 1))),  0.5, 0))</f>
        <v>0</v>
      </c>
      <c r="AO46" s="47">
        <f t="array" ref="AO46">IF(AND(ISNUMBER(MATCH(AO$2, AsistenciaJetAdminConcatenada!$A:$A, 0)), ISNUMBER(MATCH(AO$1, AsistenciaJetAdminConcatenada!$B:$B, 0)), ISNUMBER(SEARCH($A46,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ISNUMBER(SEARCH($A46, INDEX(AsistenciaJetAdminConcatenada!$D:$D, MATCH(1, (AsistenciaJetAdminConcatenada!$A:$A=AO$2)*(AsistenciaJetAdminConcatenada!$B:$B=AO$1), 0)), 1))),  0.5, 0))</f>
        <v>1</v>
      </c>
      <c r="AP46" s="47">
        <f t="array" ref="AP46">IF(AND(ISNUMBER(MATCH(AP$2, AsistenciaJetAdminConcatenada!$A:$A, 0)), ISNUMBER(MATCH(AP$1, AsistenciaJetAdminConcatenada!$B:$B, 0)), ISNUMBER(SEARCH($A46,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ISNUMBER(SEARCH($A46, INDEX(AsistenciaJetAdminConcatenada!$D:$D, MATCH(1, (AsistenciaJetAdminConcatenada!$A:$A=AP$2)*(AsistenciaJetAdminConcatenada!$B:$B=AP$1), 0)), 1))),  0.5, 0))</f>
        <v>1</v>
      </c>
      <c r="AQ46" s="47">
        <f t="array" ref="AQ46">IF(AND(ISNUMBER(MATCH(AQ$2, AsistenciaJetAdminConcatenada!$A:$A, 0)), ISNUMBER(MATCH(AQ$1, AsistenciaJetAdminConcatenada!$B:$B, 0)), ISNUMBER(SEARCH($A46,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ISNUMBER(SEARCH($A46, INDEX(AsistenciaJetAdminConcatenada!$D:$D, MATCH(1, (AsistenciaJetAdminConcatenada!$A:$A=AQ$2)*(AsistenciaJetAdminConcatenada!$B:$B=AQ$1), 0)), 1))),  0.5, 0))</f>
        <v>0</v>
      </c>
      <c r="AR46" s="47">
        <f t="array" ref="AR46">IF(AND(ISNUMBER(MATCH(AR$2, AsistenciaJetAdminConcatenada!$A:$A, 0)), ISNUMBER(MATCH(AR$1, AsistenciaJetAdminConcatenada!$B:$B, 0)), ISNUMBER(SEARCH($A46,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ISNUMBER(SEARCH($A46, INDEX(AsistenciaJetAdminConcatenada!$D:$D, MATCH(1, (AsistenciaJetAdminConcatenada!$A:$A=AR$2)*(AsistenciaJetAdminConcatenada!$B:$B=AR$1), 0)), 1))),  0.5, 0))</f>
        <v>1</v>
      </c>
      <c r="AS46" s="47">
        <f t="array" ref="AS46">IF(AND(ISNUMBER(MATCH(AS$2, AsistenciaJetAdminConcatenada!$A:$A, 0)), ISNUMBER(MATCH(AS$1, AsistenciaJetAdminConcatenada!$B:$B, 0)), ISNUMBER(SEARCH($A46,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ISNUMBER(SEARCH($A46, INDEX(AsistenciaJetAdminConcatenada!$D:$D, MATCH(1, (AsistenciaJetAdminConcatenada!$A:$A=AS$2)*(AsistenciaJetAdminConcatenada!$B:$B=AS$1), 0)), 1))),  0.5, 0))</f>
        <v>1</v>
      </c>
      <c r="AT46" s="47">
        <f t="array" ref="AT46">IF(AND(ISNUMBER(MATCH(AT$2, AsistenciaJetAdminConcatenada!$A:$A, 0)), ISNUMBER(MATCH(AT$1, AsistenciaJetAdminConcatenada!$B:$B, 0)), ISNUMBER(SEARCH($A46,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ISNUMBER(SEARCH($A46, INDEX(AsistenciaJetAdminConcatenada!$D:$D, MATCH(1, (AsistenciaJetAdminConcatenada!$A:$A=AT$2)*(AsistenciaJetAdminConcatenada!$B:$B=AT$1), 0)), 1))),  0.5, 0))</f>
        <v>0</v>
      </c>
      <c r="AU46" s="47">
        <f t="array" ref="AU46">IF(AND(ISNUMBER(MATCH(AU$2, AsistenciaJetAdminConcatenada!$A:$A, 0)), ISNUMBER(MATCH(AU$1, AsistenciaJetAdminConcatenada!$B:$B, 0)), ISNUMBER(SEARCH($A46,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ISNUMBER(SEARCH($A46, INDEX(AsistenciaJetAdminConcatenada!$D:$D, MATCH(1, (AsistenciaJetAdminConcatenada!$A:$A=AU$2)*(AsistenciaJetAdminConcatenada!$B:$B=AU$1), 0)), 1))),  0.5, 0))</f>
        <v>0.5</v>
      </c>
      <c r="AV46" s="47">
        <f t="array" ref="AV46">IF(AND(ISNUMBER(MATCH(AV$2, AsistenciaJetAdminConcatenada!$A:$A, 0)), ISNUMBER(MATCH(AV$1, AsistenciaJetAdminConcatenada!$B:$B, 0)), ISNUMBER(SEARCH($A46,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ISNUMBER(SEARCH($A46, INDEX(AsistenciaJetAdminConcatenada!$D:$D, MATCH(1, (AsistenciaJetAdminConcatenada!$A:$A=AV$2)*(AsistenciaJetAdminConcatenada!$B:$B=AV$1), 0)), 1))),  0.5, 0))</f>
        <v>1</v>
      </c>
      <c r="AW46" s="47">
        <f t="array" ref="AW46">IF(AND(ISNUMBER(MATCH(AW$2, AsistenciaJetAdminConcatenada!$A:$A, 0)), ISNUMBER(MATCH(AW$1, AsistenciaJetAdminConcatenada!$B:$B, 0)), ISNUMBER(SEARCH($A46,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ISNUMBER(SEARCH($A46, INDEX(AsistenciaJetAdminConcatenada!$D:$D, MATCH(1, (AsistenciaJetAdminConcatenada!$A:$A=AW$2)*(AsistenciaJetAdminConcatenada!$B:$B=AW$1), 0)), 1))),  0.5, 0))</f>
        <v>1</v>
      </c>
      <c r="AX46" s="47">
        <f t="array" ref="AX46">IF(AND(ISNUMBER(MATCH(AX$2, AsistenciaJetAdminConcatenada!$A:$A, 0)), ISNUMBER(MATCH(AX$1, AsistenciaJetAdminConcatenada!$B:$B, 0)), ISNUMBER(SEARCH($A46,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ISNUMBER(SEARCH($A46, INDEX(AsistenciaJetAdminConcatenada!$D:$D, MATCH(1, (AsistenciaJetAdminConcatenada!$A:$A=AX$2)*(AsistenciaJetAdminConcatenada!$B:$B=AX$1), 0)), 1))),  0.5, 0))</f>
        <v>0</v>
      </c>
      <c r="AY46" s="47">
        <f t="array" ref="AY46">IF(AND(ISNUMBER(MATCH(AY$2, AsistenciaJetAdminConcatenada!$A:$A, 0)), ISNUMBER(MATCH(AY$1, AsistenciaJetAdminConcatenada!$B:$B, 0)), ISNUMBER(SEARCH($A46,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ISNUMBER(SEARCH($A46, INDEX(AsistenciaJetAdminConcatenada!$D:$D, MATCH(1, (AsistenciaJetAdminConcatenada!$A:$A=AY$2)*(AsistenciaJetAdminConcatenada!$B:$B=AY$1), 0)), 1))),  0.5, 0))</f>
        <v>1</v>
      </c>
      <c r="AZ46" s="47">
        <f t="array" ref="AZ46">IF(AND(ISNUMBER(MATCH(AZ$2, AsistenciaJetAdminConcatenada!$A:$A, 0)), ISNUMBER(MATCH(AZ$1, AsistenciaJetAdminConcatenada!$B:$B, 0)), ISNUMBER(SEARCH($A46,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ISNUMBER(SEARCH($A46, INDEX(AsistenciaJetAdminConcatenada!$D:$D, MATCH(1, (AsistenciaJetAdminConcatenada!$A:$A=AZ$2)*(AsistenciaJetAdminConcatenada!$B:$B=AZ$1), 0)), 1))),  0.5, 0))</f>
        <v>0</v>
      </c>
      <c r="BA46" s="47">
        <f t="array" ref="BA46">IF(AND(ISNUMBER(MATCH(BA$2, AsistenciaJetAdminConcatenada!$A:$A, 0)), ISNUMBER(MATCH(BA$1, AsistenciaJetAdminConcatenada!$B:$B, 0)), ISNUMBER(SEARCH($A46,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ISNUMBER(SEARCH($A46, INDEX(AsistenciaJetAdminConcatenada!$D:$D, MATCH(1, (AsistenciaJetAdminConcatenada!$A:$A=BA$2)*(AsistenciaJetAdminConcatenada!$B:$B=BA$1), 0)), 1))),  0.5, 0))</f>
        <v>1</v>
      </c>
      <c r="BB46" s="47">
        <f t="array" ref="BB46">IF(AND(ISNUMBER(MATCH(BB$2, AsistenciaJetAdminConcatenada!$A:$A, 0)), ISNUMBER(MATCH(BB$1, AsistenciaJetAdminConcatenada!$B:$B, 0)), ISNUMBER(SEARCH($A46,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ISNUMBER(SEARCH($A46, INDEX(AsistenciaJetAdminConcatenada!$D:$D, MATCH(1, (AsistenciaJetAdminConcatenada!$A:$A=BB$2)*(AsistenciaJetAdminConcatenada!$B:$B=BB$1), 0)), 1))),  0.5, 0))</f>
        <v>1</v>
      </c>
      <c r="BC46" s="47">
        <f t="array" ref="BC46">IF(AND(ISNUMBER(MATCH(BC$2, AsistenciaJetAdminConcatenada!$A:$A, 0)), ISNUMBER(MATCH(BC$1, AsistenciaJetAdminConcatenada!$B:$B, 0)), ISNUMBER(SEARCH($A46,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ISNUMBER(SEARCH($A46, INDEX(AsistenciaJetAdminConcatenada!$D:$D, MATCH(1, (AsistenciaJetAdminConcatenada!$A:$A=BC$2)*(AsistenciaJetAdminConcatenada!$B:$B=BC$1), 0)), 1))),  0.5, 0))</f>
        <v>1</v>
      </c>
      <c r="BD46" s="47">
        <f t="array" ref="BD46">IF(AND(ISNUMBER(MATCH(BD$2, AsistenciaJetAdminConcatenada!$A:$A, 0)), ISNUMBER(MATCH(BD$1, AsistenciaJetAdminConcatenada!$B:$B, 0)), ISNUMBER(SEARCH($A46,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ISNUMBER(SEARCH($A46, INDEX(AsistenciaJetAdminConcatenada!$D:$D, MATCH(1, (AsistenciaJetAdminConcatenada!$A:$A=BD$2)*(AsistenciaJetAdminConcatenada!$B:$B=BD$1), 0)), 1))),  0.5, 0))</f>
        <v>1</v>
      </c>
      <c r="BE46" s="47">
        <f t="array" ref="BE46">IF(AND(ISNUMBER(MATCH(BE$2, AsistenciaJetAdminConcatenada!$A:$A, 0)), ISNUMBER(MATCH(BE$1, AsistenciaJetAdminConcatenada!$B:$B, 0)), ISNUMBER(SEARCH($A46,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ISNUMBER(SEARCH($A46, INDEX(AsistenciaJetAdminConcatenada!$D:$D, MATCH(1, (AsistenciaJetAdminConcatenada!$A:$A=BE$2)*(AsistenciaJetAdminConcatenada!$B:$B=BE$1), 0)), 1))),  0.5, 0))</f>
        <v>1</v>
      </c>
      <c r="BF46" s="47">
        <f t="array" ref="BF46">IF(AND(ISNUMBER(MATCH(BF$2, AsistenciaJetAdminConcatenada!$A:$A, 0)), ISNUMBER(MATCH(BF$1, AsistenciaJetAdminConcatenada!$B:$B, 0)), ISNUMBER(SEARCH($A46,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ISNUMBER(SEARCH($A46, INDEX(AsistenciaJetAdminConcatenada!$D:$D, MATCH(1, (AsistenciaJetAdminConcatenada!$A:$A=BF$2)*(AsistenciaJetAdminConcatenada!$B:$B=BF$1), 0)), 1))),  0.5, 0))</f>
        <v>1</v>
      </c>
      <c r="BG46" s="47">
        <f t="array" ref="BG46">IF(AND(ISNUMBER(MATCH(BG$2, AsistenciaJetAdminConcatenada!$A:$A, 0)), ISNUMBER(MATCH(BG$1, AsistenciaJetAdminConcatenada!$B:$B, 0)), ISNUMBER(SEARCH($A46,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ISNUMBER(SEARCH($A46, INDEX(AsistenciaJetAdminConcatenada!$D:$D, MATCH(1, (AsistenciaJetAdminConcatenada!$A:$A=BG$2)*(AsistenciaJetAdminConcatenada!$B:$B=BG$1), 0)), 1))),  0.5, 0))</f>
        <v>1</v>
      </c>
      <c r="BH46" s="47">
        <f t="array" ref="BH46">IF(AND(ISNUMBER(MATCH(BH$2, AsistenciaJetAdminConcatenada!$A:$A, 0)), ISNUMBER(MATCH(BH$1, AsistenciaJetAdminConcatenada!$B:$B, 0)), ISNUMBER(SEARCH($A46,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ISNUMBER(SEARCH($A46, INDEX(AsistenciaJetAdminConcatenada!$D:$D, MATCH(1, (AsistenciaJetAdminConcatenada!$A:$A=BH$2)*(AsistenciaJetAdminConcatenada!$B:$B=BH$1), 0)), 1))),  0.5, 0))</f>
        <v>1</v>
      </c>
      <c r="BI46" s="47">
        <f t="array" ref="BI46">IF(AND(ISNUMBER(MATCH(BI$2, AsistenciaJetAdminConcatenada!$A:$A, 0)), ISNUMBER(MATCH(BI$1, AsistenciaJetAdminConcatenada!$B:$B, 0)), ISNUMBER(SEARCH($A46,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ISNUMBER(SEARCH($A46, INDEX(AsistenciaJetAdminConcatenada!$D:$D, MATCH(1, (AsistenciaJetAdminConcatenada!$A:$A=BI$2)*(AsistenciaJetAdminConcatenada!$B:$B=BI$1), 0)), 1))),  0.5, 0))</f>
        <v>1</v>
      </c>
      <c r="BJ46" s="47">
        <f t="array" ref="BJ46">IF(AND(ISNUMBER(MATCH(BJ$2, AsistenciaJetAdminConcatenada!$A:$A, 0)), ISNUMBER(MATCH(BJ$1, AsistenciaJetAdminConcatenada!$B:$B, 0)), ISNUMBER(SEARCH($A46,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ISNUMBER(SEARCH($A46, INDEX(AsistenciaJetAdminConcatenada!$D:$D, MATCH(1, (AsistenciaJetAdminConcatenada!$A:$A=BJ$2)*(AsistenciaJetAdminConcatenada!$B:$B=BJ$1), 0)), 1))),  0.5, 0))</f>
        <v>0.5</v>
      </c>
      <c r="BK46" s="47">
        <f t="array" ref="BK46">IF(AND(ISNUMBER(MATCH(BK$2, AsistenciaJetAdminConcatenada!$A:$A, 0)), ISNUMBER(MATCH(BK$1, AsistenciaJetAdminConcatenada!$B:$B, 0)), ISNUMBER(SEARCH($A46,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ISNUMBER(SEARCH($A46, INDEX(AsistenciaJetAdminConcatenada!$D:$D, MATCH(1, (AsistenciaJetAdminConcatenada!$A:$A=BK$2)*(AsistenciaJetAdminConcatenada!$B:$B=BK$1), 0)), 1))),  0.5, 0))</f>
        <v>0.5</v>
      </c>
      <c r="BL46" s="47">
        <f t="array" ref="BL46">IF(AND(ISNUMBER(MATCH(BL$2, AsistenciaJetAdminConcatenada!$A:$A, 0)), ISNUMBER(MATCH(BL$1, AsistenciaJetAdminConcatenada!$B:$B, 0)), ISNUMBER(SEARCH($A46,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ISNUMBER(SEARCH($A46, INDEX(AsistenciaJetAdminConcatenada!$D:$D, MATCH(1, (AsistenciaJetAdminConcatenada!$A:$A=BL$2)*(AsistenciaJetAdminConcatenada!$B:$B=BL$1), 0)), 1))),  0.5, 0))</f>
        <v>0</v>
      </c>
      <c r="BM46" s="47">
        <f t="array" ref="BM46">IF(AND(ISNUMBER(MATCH(BM$2, AsistenciaJetAdminConcatenada!$A:$A, 0)), ISNUMBER(MATCH(BM$1, AsistenciaJetAdminConcatenada!$B:$B, 0)), ISNUMBER(SEARCH($A46,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ISNUMBER(SEARCH($A46, INDEX(AsistenciaJetAdminConcatenada!$D:$D, MATCH(1, (AsistenciaJetAdminConcatenada!$A:$A=BM$2)*(AsistenciaJetAdminConcatenada!$B:$B=BM$1), 0)), 1))),  0.5, 0))</f>
        <v>0.5</v>
      </c>
      <c r="BN46" s="47">
        <f t="array" ref="BN46">IF(AND(ISNUMBER(MATCH(BN$2, AsistenciaJetAdminConcatenada!$A:$A, 0)), ISNUMBER(MATCH(BN$1, AsistenciaJetAdminConcatenada!$B:$B, 0)), ISNUMBER(SEARCH($A46,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ISNUMBER(SEARCH($A46, INDEX(AsistenciaJetAdminConcatenada!$D:$D, MATCH(1, (AsistenciaJetAdminConcatenada!$A:$A=BN$2)*(AsistenciaJetAdminConcatenada!$B:$B=BN$1), 0)), 1))),  0.5, 0))</f>
        <v>0</v>
      </c>
      <c r="BO46" s="47">
        <f t="array" ref="BO46">IF(AND(ISNUMBER(MATCH(BO$2, AsistenciaJetAdminConcatenada!$A:$A, 0)), ISNUMBER(MATCH(BO$1, AsistenciaJetAdminConcatenada!$B:$B, 0)), ISNUMBER(SEARCH($A46,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ISNUMBER(SEARCH($A46, INDEX(AsistenciaJetAdminConcatenada!$D:$D, MATCH(1, (AsistenciaJetAdminConcatenada!$A:$A=BO$2)*(AsistenciaJetAdminConcatenada!$B:$B=BO$1), 0)), 1))),  0.5, 0))</f>
        <v>1</v>
      </c>
      <c r="BP46" s="47">
        <f t="array" ref="BP46">IF(AND(ISNUMBER(MATCH(BP$2, AsistenciaJetAdminConcatenada!$A:$A, 0)), ISNUMBER(MATCH(BP$1, AsistenciaJetAdminConcatenada!$B:$B, 0)), ISNUMBER(SEARCH($A46,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ISNUMBER(SEARCH($A46, INDEX(AsistenciaJetAdminConcatenada!$D:$D, MATCH(1, (AsistenciaJetAdminConcatenada!$A:$A=BP$2)*(AsistenciaJetAdminConcatenada!$B:$B=BP$1), 0)), 1))),  0.5, 0))</f>
        <v>1</v>
      </c>
      <c r="BQ46" s="47">
        <f t="array" ref="BQ46">IF(AND(ISNUMBER(MATCH(BQ$2, AsistenciaJetAdminConcatenada!$A:$A, 0)), ISNUMBER(MATCH(BQ$1, AsistenciaJetAdminConcatenada!$B:$B, 0)), ISNUMBER(SEARCH($A46,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ISNUMBER(SEARCH($A46, INDEX(AsistenciaJetAdminConcatenada!$D:$D, MATCH(1, (AsistenciaJetAdminConcatenada!$A:$A=BQ$2)*(AsistenciaJetAdminConcatenada!$B:$B=BQ$1), 0)), 1))),  0.5, 0))</f>
        <v>0</v>
      </c>
      <c r="BR46" s="47">
        <f t="array" ref="BR46">IF(AND(ISNUMBER(MATCH(BR$2, AsistenciaJetAdminConcatenada!$A:$A, 0)), ISNUMBER(MATCH(BR$1, AsistenciaJetAdminConcatenada!$B:$B, 0)), ISNUMBER(SEARCH($A46,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ISNUMBER(SEARCH($A46, INDEX(AsistenciaJetAdminConcatenada!$D:$D, MATCH(1, (AsistenciaJetAdminConcatenada!$A:$A=BR$2)*(AsistenciaJetAdminConcatenada!$B:$B=BR$1), 0)), 1))),  0.5, 0))</f>
        <v>1</v>
      </c>
      <c r="BS46" s="47">
        <f t="array" ref="BS46">IF(AND(ISNUMBER(MATCH(BS$2, AsistenciaJetAdminConcatenada!$A:$A, 0)), ISNUMBER(MATCH(BS$1, AsistenciaJetAdminConcatenada!$B:$B, 0)), ISNUMBER(SEARCH($A46,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ISNUMBER(SEARCH($A46, INDEX(AsistenciaJetAdminConcatenada!$D:$D, MATCH(1, (AsistenciaJetAdminConcatenada!$A:$A=BS$2)*(AsistenciaJetAdminConcatenada!$B:$B=BS$1), 0)), 1))),  0.5, 0))</f>
        <v>0.5</v>
      </c>
      <c r="BT46" s="47">
        <f t="array" ref="BT46">IF(AND(ISNUMBER(MATCH(BT$2, AsistenciaJetAdminConcatenada!$A:$A, 0)), ISNUMBER(MATCH(BT$1, AsistenciaJetAdminConcatenada!$B:$B, 0)), ISNUMBER(SEARCH($A46,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ISNUMBER(SEARCH($A46, INDEX(AsistenciaJetAdminConcatenada!$D:$D, MATCH(1, (AsistenciaJetAdminConcatenada!$A:$A=BT$2)*(AsistenciaJetAdminConcatenada!$B:$B=BT$1), 0)), 1))),  0.5, 0))</f>
        <v>1</v>
      </c>
      <c r="BU46" s="47">
        <f t="array" ref="BU46">IF(AND(ISNUMBER(MATCH(BU$2, AsistenciaJetAdminConcatenada!$A:$A, 0)), ISNUMBER(MATCH(BU$1, AsistenciaJetAdminConcatenada!$B:$B, 0)), ISNUMBER(SEARCH($A46,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ISNUMBER(SEARCH($A46, INDEX(AsistenciaJetAdminConcatenada!$D:$D, MATCH(1, (AsistenciaJetAdminConcatenada!$A:$A=BU$2)*(AsistenciaJetAdminConcatenada!$B:$B=BU$1), 0)), 1))),  0.5, 0))</f>
        <v>1</v>
      </c>
      <c r="BV46" s="47">
        <f t="array" ref="BV46">IF(AND(ISNUMBER(MATCH(BV$2, AsistenciaJetAdminConcatenada!$A:$A, 0)), ISNUMBER(MATCH(BV$1, AsistenciaJetAdminConcatenada!$B:$B, 0)), ISNUMBER(SEARCH($A46,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ISNUMBER(SEARCH($A46, INDEX(AsistenciaJetAdminConcatenada!$D:$D, MATCH(1, (AsistenciaJetAdminConcatenada!$A:$A=BV$2)*(AsistenciaJetAdminConcatenada!$B:$B=BV$1), 0)), 1))),  0.5, 0))</f>
        <v>0</v>
      </c>
      <c r="BW46" s="47">
        <f t="array" ref="BW46">IF(AND(ISNUMBER(MATCH(BW$2, AsistenciaJetAdminConcatenada!$A:$A, 0)), ISNUMBER(MATCH(BW$1, AsistenciaJetAdminConcatenada!$B:$B, 0)), ISNUMBER(SEARCH($A46,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ISNUMBER(SEARCH($A46, INDEX(AsistenciaJetAdminConcatenada!$D:$D, MATCH(1, (AsistenciaJetAdminConcatenada!$A:$A=BW$2)*(AsistenciaJetAdminConcatenada!$B:$B=BW$1), 0)), 1))),  0.5, 0))</f>
        <v>1</v>
      </c>
      <c r="BX46" s="47">
        <f t="array" ref="BX46">IF(AND(ISNUMBER(MATCH(BX$2, AsistenciaJetAdminConcatenada!$A:$A, 0)), ISNUMBER(MATCH(BX$1, AsistenciaJetAdminConcatenada!$B:$B, 0)), ISNUMBER(SEARCH($A46,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ISNUMBER(SEARCH($A46, INDEX(AsistenciaJetAdminConcatenada!$D:$D, MATCH(1, (AsistenciaJetAdminConcatenada!$A:$A=BX$2)*(AsistenciaJetAdminConcatenada!$B:$B=BX$1), 0)), 1))),  0.5, 0))</f>
        <v>0</v>
      </c>
      <c r="BY46" s="47">
        <f t="array" ref="BY46">IF(AND(ISNUMBER(MATCH(BY$2, AsistenciaJetAdminConcatenada!$A:$A, 0)), ISNUMBER(MATCH(BY$1, AsistenciaJetAdminConcatenada!$B:$B, 0)), ISNUMBER(SEARCH($A46,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ISNUMBER(SEARCH($A46, INDEX(AsistenciaJetAdminConcatenada!$D:$D, MATCH(1, (AsistenciaJetAdminConcatenada!$A:$A=BY$2)*(AsistenciaJetAdminConcatenada!$B:$B=BY$1), 0)), 1))),  0.5, 0))</f>
        <v>1</v>
      </c>
      <c r="BZ46" s="47">
        <f t="array" ref="BZ46">IF(AND(ISNUMBER(MATCH(BZ$2, AsistenciaJetAdminConcatenada!$A:$A, 0)), ISNUMBER(MATCH(BZ$1, AsistenciaJetAdminConcatenada!$B:$B, 0)), ISNUMBER(SEARCH($A46,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ISNUMBER(SEARCH($A46, INDEX(AsistenciaJetAdminConcatenada!$D:$D, MATCH(1, (AsistenciaJetAdminConcatenada!$A:$A=BZ$2)*(AsistenciaJetAdminConcatenada!$B:$B=BZ$1), 0)), 1))),  0.5, 0))</f>
        <v>0.5</v>
      </c>
      <c r="CA46" s="47">
        <f t="array" ref="CA46">IF(AND(ISNUMBER(MATCH(CA$2, AsistenciaJetAdminConcatenada!$A:$A, 0)), ISNUMBER(MATCH(CA$1, AsistenciaJetAdminConcatenada!$B:$B, 0)), ISNUMBER(SEARCH($A46,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ISNUMBER(SEARCH($A46, INDEX(AsistenciaJetAdminConcatenada!$D:$D, MATCH(1, (AsistenciaJetAdminConcatenada!$A:$A=CA$2)*(AsistenciaJetAdminConcatenada!$B:$B=CA$1), 0)), 1))),  0.5, 0))</f>
        <v>1</v>
      </c>
      <c r="CB46" s="47">
        <f t="array" ref="CB46">IF(AND(ISNUMBER(MATCH(CB$2, AsistenciaJetAdminConcatenada!$A:$A, 0)), ISNUMBER(MATCH(CB$1, AsistenciaJetAdminConcatenada!$B:$B, 0)), ISNUMBER(SEARCH($A46,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ISNUMBER(SEARCH($A46, INDEX(AsistenciaJetAdminConcatenada!$D:$D, MATCH(1, (AsistenciaJetAdminConcatenada!$A:$A=CB$2)*(AsistenciaJetAdminConcatenada!$B:$B=CB$1), 0)), 1))),  0.5, 0))</f>
        <v>1</v>
      </c>
      <c r="CC46" s="47">
        <f t="array" ref="CC46">IF(AND(ISNUMBER(MATCH(CC$2, AsistenciaJetAdminConcatenada!$A:$A, 0)), ISNUMBER(MATCH(CC$1, AsistenciaJetAdminConcatenada!$B:$B, 0)), ISNUMBER(SEARCH($A46,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ISNUMBER(SEARCH($A46, INDEX(AsistenciaJetAdminConcatenada!$D:$D, MATCH(1, (AsistenciaJetAdminConcatenada!$A:$A=CC$2)*(AsistenciaJetAdminConcatenada!$B:$B=CC$1), 0)), 1))),  0.5, 0))</f>
        <v>1</v>
      </c>
      <c r="CD46" s="47">
        <f t="array" ref="CD46">IF(AND(ISNUMBER(MATCH(CD$2, AsistenciaJetAdminConcatenada!$A:$A, 0)), ISNUMBER(MATCH(CD$1, AsistenciaJetAdminConcatenada!$B:$B, 0)), ISNUMBER(SEARCH($A46,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ISNUMBER(SEARCH($A46, INDEX(AsistenciaJetAdminConcatenada!$D:$D, MATCH(1, (AsistenciaJetAdminConcatenada!$A:$A=CD$2)*(AsistenciaJetAdminConcatenada!$B:$B=CD$1), 0)), 1))),  0.5, 0))</f>
        <v>1</v>
      </c>
      <c r="CE46" s="47">
        <f t="array" ref="CE46">IF(AND(ISNUMBER(MATCH(CE$2, AsistenciaJetAdminConcatenada!$A:$A, 0)), ISNUMBER(MATCH(CE$1, AsistenciaJetAdminConcatenada!$B:$B, 0)), ISNUMBER(SEARCH($A46,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ISNUMBER(SEARCH($A46, INDEX(AsistenciaJetAdminConcatenada!$D:$D, MATCH(1, (AsistenciaJetAdminConcatenada!$A:$A=CE$2)*(AsistenciaJetAdminConcatenada!$B:$B=CE$1), 0)), 1))),  0.5, 0))</f>
        <v>1</v>
      </c>
      <c r="CF46" s="47">
        <f t="array" ref="CF46">IF(AND(ISNUMBER(MATCH(CF$2, AsistenciaJetAdminConcatenada!$A:$A, 0)), ISNUMBER(MATCH(CF$1, AsistenciaJetAdminConcatenada!$B:$B, 0)), ISNUMBER(SEARCH($A46,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ISNUMBER(SEARCH($A46, INDEX(AsistenciaJetAdminConcatenada!$D:$D, MATCH(1, (AsistenciaJetAdminConcatenada!$A:$A=CF$2)*(AsistenciaJetAdminConcatenada!$B:$B=CF$1), 0)), 1))),  0.5, 0))</f>
        <v>1</v>
      </c>
      <c r="CG46" s="47">
        <f t="array" ref="CG46">IF(AND(ISNUMBER(MATCH(CG$2, AsistenciaJetAdminConcatenada!$A:$A, 0)), ISNUMBER(MATCH(CG$1, AsistenciaJetAdminConcatenada!$B:$B, 0)), ISNUMBER(SEARCH($A46,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ISNUMBER(SEARCH($A46, INDEX(AsistenciaJetAdminConcatenada!$D:$D, MATCH(1, (AsistenciaJetAdminConcatenada!$A:$A=CG$2)*(AsistenciaJetAdminConcatenada!$B:$B=CG$1), 0)), 1))),  0.5, 0))</f>
        <v>1</v>
      </c>
      <c r="CH46" s="47">
        <f t="array" ref="CH46">IF(AND(ISNUMBER(MATCH(CH$2, AsistenciaJetAdminConcatenada!$A:$A, 0)), ISNUMBER(MATCH(CH$1, AsistenciaJetAdminConcatenada!$B:$B, 0)), ISNUMBER(SEARCH($A46,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ISNUMBER(SEARCH($A46, INDEX(AsistenciaJetAdminConcatenada!$D:$D, MATCH(1, (AsistenciaJetAdminConcatenada!$A:$A=CH$2)*(AsistenciaJetAdminConcatenada!$B:$B=CH$1), 0)), 1))),  0.5, 0))</f>
        <v>1</v>
      </c>
      <c r="CI46" s="47">
        <f t="array" ref="CI46">IF(AND(ISNUMBER(MATCH(CI$2, AsistenciaJetAdminConcatenada!$A:$A, 0)), ISNUMBER(MATCH(CI$1, AsistenciaJetAdminConcatenada!$B:$B, 0)), ISNUMBER(SEARCH($A46,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ISNUMBER(SEARCH($A46, INDEX(AsistenciaJetAdminConcatenada!$D:$D, MATCH(1, (AsistenciaJetAdminConcatenada!$A:$A=CI$2)*(AsistenciaJetAdminConcatenada!$B:$B=CI$1), 0)), 1))),  0.5, 0))</f>
        <v>1</v>
      </c>
      <c r="CJ46" s="47">
        <f t="array" ref="CJ46">IF(AND(ISNUMBER(MATCH(CJ$2, AsistenciaJetAdminConcatenada!$A:$A, 0)), ISNUMBER(MATCH(CJ$1, AsistenciaJetAdminConcatenada!$B:$B, 0)), ISNUMBER(SEARCH($A46,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ISNUMBER(SEARCH($A46, INDEX(AsistenciaJetAdminConcatenada!$D:$D, MATCH(1, (AsistenciaJetAdminConcatenada!$A:$A=CJ$2)*(AsistenciaJetAdminConcatenada!$B:$B=CJ$1), 0)), 1))),  0.5, 0))</f>
        <v>1</v>
      </c>
      <c r="CK46" s="47">
        <f t="array" ref="CK46">IF(AND(ISNUMBER(MATCH(CK$2, AsistenciaJetAdminConcatenada!$A:$A, 0)), ISNUMBER(MATCH(CK$1, AsistenciaJetAdminConcatenada!$B:$B, 0)), ISNUMBER(SEARCH($A46,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ISNUMBER(SEARCH($A46, INDEX(AsistenciaJetAdminConcatenada!$D:$D, MATCH(1, (AsistenciaJetAdminConcatenada!$A:$A=CK$2)*(AsistenciaJetAdminConcatenada!$B:$B=CK$1), 0)), 1))),  0.5, 0))</f>
        <v>0</v>
      </c>
      <c r="CL46" s="47">
        <f t="array" ref="CL46">IF(AND(ISNUMBER(MATCH(CL$2, AsistenciaJetAdminConcatenada!$A:$A, 0)), ISNUMBER(MATCH(CL$1, AsistenciaJetAdminConcatenada!$B:$B, 0)), ISNUMBER(SEARCH($A46,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ISNUMBER(SEARCH($A46, INDEX(AsistenciaJetAdminConcatenada!$D:$D, MATCH(1, (AsistenciaJetAdminConcatenada!$A:$A=CL$2)*(AsistenciaJetAdminConcatenada!$B:$B=CL$1), 0)), 1))),  0.5, 0))</f>
        <v>1</v>
      </c>
      <c r="CM46" s="47">
        <f t="array" ref="CM46">IF(AND(ISNUMBER(MATCH(CM$2, AsistenciaJetAdminConcatenada!$A:$A, 0)), ISNUMBER(MATCH(CM$1, AsistenciaJetAdminConcatenada!$B:$B, 0)), ISNUMBER(SEARCH($A46,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ISNUMBER(SEARCH($A46, INDEX(AsistenciaJetAdminConcatenada!$D:$D, MATCH(1, (AsistenciaJetAdminConcatenada!$A:$A=CM$2)*(AsistenciaJetAdminConcatenada!$B:$B=CM$1), 0)), 1))),  0.5, 0))</f>
        <v>1</v>
      </c>
      <c r="CN46" s="47">
        <f t="array" ref="CN46">IF(AND(ISNUMBER(MATCH(CN$2, AsistenciaJetAdminConcatenada!$A:$A, 0)), ISNUMBER(MATCH(CN$1, AsistenciaJetAdminConcatenada!$B:$B, 0)), ISNUMBER(SEARCH($A46,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ISNUMBER(SEARCH($A46, INDEX(AsistenciaJetAdminConcatenada!$D:$D, MATCH(1, (AsistenciaJetAdminConcatenada!$A:$A=CN$2)*(AsistenciaJetAdminConcatenada!$B:$B=CN$1), 0)), 1))),  0.5, 0))</f>
        <v>0</v>
      </c>
      <c r="CO46" s="47">
        <f t="array" ref="CO46">IF(AND(ISNUMBER(MATCH(CO$2, AsistenciaJetAdminConcatenada!$A:$A, 0)), ISNUMBER(MATCH(CO$1, AsistenciaJetAdminConcatenada!$B:$B, 0)), ISNUMBER(SEARCH($A46,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ISNUMBER(SEARCH($A46, INDEX(AsistenciaJetAdminConcatenada!$D:$D, MATCH(1, (AsistenciaJetAdminConcatenada!$A:$A=CO$2)*(AsistenciaJetAdminConcatenada!$B:$B=CO$1), 0)), 1))),  0.5, 0))</f>
        <v>1</v>
      </c>
      <c r="CP46" s="47">
        <f t="array" ref="CP46">IF(AND(ISNUMBER(MATCH(CP$2, AsistenciaJetAdminConcatenada!$A:$A, 0)), ISNUMBER(MATCH(CP$1, AsistenciaJetAdminConcatenada!$B:$B, 0)), ISNUMBER(SEARCH($A46,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ISNUMBER(SEARCH($A46, INDEX(AsistenciaJetAdminConcatenada!$D:$D, MATCH(1, (AsistenciaJetAdminConcatenada!$A:$A=CP$2)*(AsistenciaJetAdminConcatenada!$B:$B=CP$1), 0)), 1))),  0.5, 0))</f>
        <v>1</v>
      </c>
      <c r="CQ46" s="47">
        <f t="array" ref="CQ46">IF(AND(ISNUMBER(MATCH(CQ$2, AsistenciaJetAdminConcatenada!$A:$A, 0)), ISNUMBER(MATCH(CQ$1, AsistenciaJetAdminConcatenada!$B:$B, 0)), ISNUMBER(SEARCH($A46,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ISNUMBER(SEARCH($A46, INDEX(AsistenciaJetAdminConcatenada!$D:$D, MATCH(1, (AsistenciaJetAdminConcatenada!$A:$A=CQ$2)*(AsistenciaJetAdminConcatenada!$B:$B=CQ$1), 0)), 1))),  0.5, 0))</f>
        <v>1</v>
      </c>
      <c r="CR46" s="47">
        <f t="array" ref="CR46">IF(AND(ISNUMBER(MATCH(CR$2, AsistenciaJetAdminConcatenada!$A:$A, 0)), ISNUMBER(MATCH(CR$1, AsistenciaJetAdminConcatenada!$B:$B, 0)), ISNUMBER(SEARCH($A46,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ISNUMBER(SEARCH($A46, INDEX(AsistenciaJetAdminConcatenada!$D:$D, MATCH(1, (AsistenciaJetAdminConcatenada!$A:$A=CR$2)*(AsistenciaJetAdminConcatenada!$B:$B=CR$1), 0)), 1))),  0.5, 0))</f>
        <v>1</v>
      </c>
      <c r="CS46" s="47">
        <f t="array" ref="CS46">IF(AND(ISNUMBER(MATCH(CS$2, AsistenciaJetAdminConcatenada!$A:$A, 0)), ISNUMBER(MATCH(CS$1, AsistenciaJetAdminConcatenada!$B:$B, 0)), ISNUMBER(SEARCH($A46,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ISNUMBER(SEARCH($A46, INDEX(AsistenciaJetAdminConcatenada!$D:$D, MATCH(1, (AsistenciaJetAdminConcatenada!$A:$A=CS$2)*(AsistenciaJetAdminConcatenada!$B:$B=CS$1), 0)), 1))),  0.5, 0))</f>
        <v>0</v>
      </c>
      <c r="CT46" s="47">
        <f t="array" ref="CT46">IF(AND(ISNUMBER(MATCH(CT$2, AsistenciaJetAdminConcatenada!$A:$A, 0)), ISNUMBER(MATCH(CT$1, AsistenciaJetAdminConcatenada!$B:$B, 0)), ISNUMBER(SEARCH($A46,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ISNUMBER(SEARCH($A46, INDEX(AsistenciaJetAdminConcatenada!$D:$D, MATCH(1, (AsistenciaJetAdminConcatenada!$A:$A=CT$2)*(AsistenciaJetAdminConcatenada!$B:$B=CT$1), 0)), 1))),  0.5, 0))</f>
        <v>0</v>
      </c>
      <c r="CU46" s="47">
        <f t="array" ref="CU46">IF(AND(ISNUMBER(MATCH(CU$2, AsistenciaJetAdminConcatenada!$A:$A, 0)), ISNUMBER(MATCH(CU$1, AsistenciaJetAdminConcatenada!$B:$B, 0)), ISNUMBER(SEARCH($A46,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ISNUMBER(SEARCH($A46, INDEX(AsistenciaJetAdminConcatenada!$D:$D, MATCH(1, (AsistenciaJetAdminConcatenada!$A:$A=CU$2)*(AsistenciaJetAdminConcatenada!$B:$B=CU$1), 0)), 1))),  0.5, 0))</f>
        <v>0</v>
      </c>
      <c r="CV46" s="47">
        <f t="array" ref="CV46">IF(AND(ISNUMBER(MATCH(CV$2, AsistenciaJetAdminConcatenada!$A:$A, 0)), ISNUMBER(MATCH(CV$1, AsistenciaJetAdminConcatenada!$B:$B, 0)), ISNUMBER(SEARCH($A46,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ISNUMBER(SEARCH($A46, INDEX(AsistenciaJetAdminConcatenada!$D:$D, MATCH(1, (AsistenciaJetAdminConcatenada!$A:$A=CV$2)*(AsistenciaJetAdminConcatenada!$B:$B=CV$1), 0)), 1))),  0.5, 0))</f>
        <v>0</v>
      </c>
      <c r="CW46" s="47">
        <f t="array" ref="CW46">IF(AND(ISNUMBER(MATCH(CW$2, AsistenciaJetAdminConcatenada!$A:$A, 0)), ISNUMBER(MATCH(CW$1, AsistenciaJetAdminConcatenada!$B:$B, 0)), ISNUMBER(SEARCH($A46,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ISNUMBER(SEARCH($A46, INDEX(AsistenciaJetAdminConcatenada!$D:$D, MATCH(1, (AsistenciaJetAdminConcatenada!$A:$A=CW$2)*(AsistenciaJetAdminConcatenada!$B:$B=CW$1), 0)), 1))),  0.5, 0))</f>
        <v>0</v>
      </c>
      <c r="CX46" s="47">
        <f t="array" ref="CX46">IF(AND(ISNUMBER(MATCH(CX$2, AsistenciaJetAdminConcatenada!$A:$A, 0)), ISNUMBER(MATCH(CX$1, AsistenciaJetAdminConcatenada!$B:$B, 0)), ISNUMBER(SEARCH($A46,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ISNUMBER(SEARCH($A46, INDEX(AsistenciaJetAdminConcatenada!$D:$D, MATCH(1, (AsistenciaJetAdminConcatenada!$A:$A=CX$2)*(AsistenciaJetAdminConcatenada!$B:$B=CX$1), 0)), 1))),  0.5, 0))</f>
        <v>0</v>
      </c>
      <c r="CY46" s="47">
        <f t="array" ref="CY46">IF(AND(ISNUMBER(MATCH(CY$2, AsistenciaJetAdminConcatenada!$A:$A, 0)), ISNUMBER(MATCH(CY$1, AsistenciaJetAdminConcatenada!$B:$B, 0)), ISNUMBER(SEARCH($A46,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ISNUMBER(SEARCH($A46, INDEX(AsistenciaJetAdminConcatenada!$D:$D, MATCH(1, (AsistenciaJetAdminConcatenada!$A:$A=CY$2)*(AsistenciaJetAdminConcatenada!$B:$B=CY$1), 0)), 1))),  0.5, 0))</f>
        <v>0</v>
      </c>
      <c r="CZ46" s="47">
        <f t="array" ref="CZ46">IF(AND(ISNUMBER(MATCH(CZ$2, AsistenciaJetAdminConcatenada!$A:$A, 0)), ISNUMBER(MATCH(CZ$1, AsistenciaJetAdminConcatenada!$B:$B, 0)), ISNUMBER(SEARCH($A46,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ISNUMBER(SEARCH($A46, INDEX(AsistenciaJetAdminConcatenada!$D:$D, MATCH(1, (AsistenciaJetAdminConcatenada!$A:$A=CZ$2)*(AsistenciaJetAdminConcatenada!$B:$B=CZ$1), 0)), 1))),  0.5, 0))</f>
        <v>0</v>
      </c>
      <c r="DA46" s="47">
        <f t="array" ref="DA46">IF(AND(ISNUMBER(MATCH(DA$2, AsistenciaJetAdminConcatenada!$A:$A, 0)), ISNUMBER(MATCH(DA$1, AsistenciaJetAdminConcatenada!$B:$B, 0)), ISNUMBER(SEARCH($A46,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ISNUMBER(SEARCH($A46, INDEX(AsistenciaJetAdminConcatenada!$D:$D, MATCH(1, (AsistenciaJetAdminConcatenada!$A:$A=DA$2)*(AsistenciaJetAdminConcatenada!$B:$B=DA$1), 0)), 1))),  0.5, 0))</f>
        <v>0</v>
      </c>
      <c r="DB46" s="47">
        <f t="array" ref="DB46">IF(AND(ISNUMBER(MATCH(DB$2, AsistenciaJetAdminConcatenada!$A:$A, 0)), ISNUMBER(MATCH(DB$1, AsistenciaJetAdminConcatenada!$B:$B, 0)), ISNUMBER(SEARCH($A46,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ISNUMBER(SEARCH($A46, INDEX(AsistenciaJetAdminConcatenada!$D:$D, MATCH(1, (AsistenciaJetAdminConcatenada!$A:$A=DB$2)*(AsistenciaJetAdminConcatenada!$B:$B=DB$1), 0)), 1))),  0.5, 0))</f>
        <v>0</v>
      </c>
      <c r="DC46" s="47">
        <f t="array" ref="DC46">IF(AND(ISNUMBER(MATCH(DC$2, AsistenciaJetAdminConcatenada!$A:$A, 0)), ISNUMBER(MATCH(DC$1, AsistenciaJetAdminConcatenada!$B:$B, 0)), ISNUMBER(SEARCH($A46,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ISNUMBER(SEARCH($A46, INDEX(AsistenciaJetAdminConcatenada!$D:$D, MATCH(1, (AsistenciaJetAdminConcatenada!$A:$A=DC$2)*(AsistenciaJetAdminConcatenada!$B:$B=DC$1), 0)), 1))),  0.5, 0))</f>
        <v>0</v>
      </c>
      <c r="DD46" s="47">
        <f t="array" ref="DD46">IF(AND(ISNUMBER(MATCH(DD$2, AsistenciaJetAdminConcatenada!$A:$A, 0)), ISNUMBER(MATCH(DD$1, AsistenciaJetAdminConcatenada!$B:$B, 0)), ISNUMBER(SEARCH($A46,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ISNUMBER(SEARCH($A46, INDEX(AsistenciaJetAdminConcatenada!$D:$D, MATCH(1, (AsistenciaJetAdminConcatenada!$A:$A=DD$2)*(AsistenciaJetAdminConcatenada!$B:$B=DD$1), 0)), 1))),  0.5, 0))</f>
        <v>0</v>
      </c>
      <c r="DE46" s="47">
        <f t="array" ref="DE46">IF(AND(ISNUMBER(MATCH(DE$2, AsistenciaJetAdminConcatenada!$A:$A, 0)), ISNUMBER(MATCH(DE$1, AsistenciaJetAdminConcatenada!$B:$B, 0)), ISNUMBER(SEARCH($A46,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ISNUMBER(SEARCH($A46, INDEX(AsistenciaJetAdminConcatenada!$D:$D, MATCH(1, (AsistenciaJetAdminConcatenada!$A:$A=DE$2)*(AsistenciaJetAdminConcatenada!$B:$B=DE$1), 0)), 1))),  0.5, 0))</f>
        <v>0</v>
      </c>
      <c r="DF46" s="47">
        <f t="array" ref="DF46">IF(AND(ISNUMBER(MATCH(DF$2, AsistenciaJetAdminConcatenada!$A:$A, 0)), ISNUMBER(MATCH(DF$1, AsistenciaJetAdminConcatenada!$B:$B, 0)), ISNUMBER(SEARCH($A46,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ISNUMBER(SEARCH($A46, INDEX(AsistenciaJetAdminConcatenada!$D:$D, MATCH(1, (AsistenciaJetAdminConcatenada!$A:$A=DF$2)*(AsistenciaJetAdminConcatenada!$B:$B=DF$1), 0)), 1))),  0.5, 0))</f>
        <v>0</v>
      </c>
      <c r="DG46" s="47">
        <f t="array" ref="DG46">IF(AND(ISNUMBER(MATCH(DG$2, AsistenciaJetAdminConcatenada!$A:$A, 0)), ISNUMBER(MATCH(DG$1, AsistenciaJetAdminConcatenada!$B:$B, 0)), ISNUMBER(SEARCH($A46,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ISNUMBER(SEARCH($A46, INDEX(AsistenciaJetAdminConcatenada!$D:$D, MATCH(1, (AsistenciaJetAdminConcatenada!$A:$A=DG$2)*(AsistenciaJetAdminConcatenada!$B:$B=DG$1), 0)), 1))),  0.5, 0))</f>
        <v>0</v>
      </c>
      <c r="DH46" s="47">
        <f t="array" ref="DH46">IF(AND(ISNUMBER(MATCH(DH$2, AsistenciaJetAdminConcatenada!$A:$A, 0)), ISNUMBER(MATCH(DH$1, AsistenciaJetAdminConcatenada!$B:$B, 0)), ISNUMBER(SEARCH($A46,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ISNUMBER(SEARCH($A46, INDEX(AsistenciaJetAdminConcatenada!$D:$D, MATCH(1, (AsistenciaJetAdminConcatenada!$A:$A=DH$2)*(AsistenciaJetAdminConcatenada!$B:$B=DH$1), 0)), 1))),  0.5, 0))</f>
        <v>0</v>
      </c>
      <c r="DI46" s="47">
        <f t="array" ref="DI46">IF(AND(ISNUMBER(MATCH(DI$2, AsistenciaJetAdminConcatenada!$A:$A, 0)), ISNUMBER(MATCH(DI$1, AsistenciaJetAdminConcatenada!$B:$B, 0)), ISNUMBER(SEARCH($A46,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ISNUMBER(SEARCH($A46, INDEX(AsistenciaJetAdminConcatenada!$D:$D, MATCH(1, (AsistenciaJetAdminConcatenada!$A:$A=DI$2)*(AsistenciaJetAdminConcatenada!$B:$B=DI$1), 0)), 1))),  0.5, 0))</f>
        <v>0</v>
      </c>
      <c r="DJ46" s="47">
        <f t="array" ref="DJ46">IF(AND(ISNUMBER(MATCH(DJ$2, AsistenciaJetAdminConcatenada!$A:$A, 0)), ISNUMBER(MATCH(DJ$1, AsistenciaJetAdminConcatenada!$B:$B, 0)), ISNUMBER(SEARCH($A46,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ISNUMBER(SEARCH($A46, INDEX(AsistenciaJetAdminConcatenada!$D:$D, MATCH(1, (AsistenciaJetAdminConcatenada!$A:$A=DJ$2)*(AsistenciaJetAdminConcatenada!$B:$B=DJ$1), 0)), 1))),  0.5, 0))</f>
        <v>0</v>
      </c>
      <c r="DK46" s="47">
        <f t="array" ref="DK46">IF(AND(ISNUMBER(MATCH(DK$2, AsistenciaJetAdminConcatenada!$A:$A, 0)), ISNUMBER(MATCH(DK$1, AsistenciaJetAdminConcatenada!$B:$B, 0)), ISNUMBER(SEARCH($A46,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ISNUMBER(SEARCH($A46, INDEX(AsistenciaJetAdminConcatenada!$D:$D, MATCH(1, (AsistenciaJetAdminConcatenada!$A:$A=DK$2)*(AsistenciaJetAdminConcatenada!$B:$B=DK$1), 0)), 1))),  0.5, 0))</f>
        <v>0</v>
      </c>
      <c r="DL46" s="47">
        <f t="array" ref="DL46">IF(AND(ISNUMBER(MATCH(DL$2, AsistenciaJetAdminConcatenada!$A:$A, 0)), ISNUMBER(MATCH(DL$1, AsistenciaJetAdminConcatenada!$B:$B, 0)), ISNUMBER(SEARCH($A46,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ISNUMBER(SEARCH($A46, INDEX(AsistenciaJetAdminConcatenada!$D:$D, MATCH(1, (AsistenciaJetAdminConcatenada!$A:$A=DL$2)*(AsistenciaJetAdminConcatenada!$B:$B=DL$1), 0)), 1))),  0.5, 0))</f>
        <v>0</v>
      </c>
      <c r="DM46" s="47">
        <f t="array" ref="DM46">IF(AND(ISNUMBER(MATCH(DM$2, AsistenciaJetAdminConcatenada!$A:$A, 0)), ISNUMBER(MATCH(DM$1, AsistenciaJetAdminConcatenada!$B:$B, 0)), ISNUMBER(SEARCH($A46,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ISNUMBER(SEARCH($A46, INDEX(AsistenciaJetAdminConcatenada!$D:$D, MATCH(1, (AsistenciaJetAdminConcatenada!$A:$A=DM$2)*(AsistenciaJetAdminConcatenada!$B:$B=DM$1), 0)), 1))),  0.5, 0))</f>
        <v>0</v>
      </c>
      <c r="DN46" s="47">
        <f t="array" ref="DN46">IF(AND(ISNUMBER(MATCH(DN$2, AsistenciaJetAdminConcatenada!$A:$A, 0)), ISNUMBER(MATCH(DN$1, AsistenciaJetAdminConcatenada!$B:$B, 0)), ISNUMBER(SEARCH($A46,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ISNUMBER(SEARCH($A46, INDEX(AsistenciaJetAdminConcatenada!$D:$D, MATCH(1, (AsistenciaJetAdminConcatenada!$A:$A=DN$2)*(AsistenciaJetAdminConcatenada!$B:$B=DN$1), 0)), 1))),  0.5, 0))</f>
        <v>0</v>
      </c>
      <c r="DO46" s="47">
        <f t="array" ref="DO46">IF(AND(ISNUMBER(MATCH(DO$2, AsistenciaJetAdminConcatenada!$A:$A, 0)), ISNUMBER(MATCH(DO$1, AsistenciaJetAdminConcatenada!$B:$B, 0)), ISNUMBER(SEARCH($A46,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ISNUMBER(SEARCH($A46, INDEX(AsistenciaJetAdminConcatenada!$D:$D, MATCH(1, (AsistenciaJetAdminConcatenada!$A:$A=DO$2)*(AsistenciaJetAdminConcatenada!$B:$B=DO$1), 0)), 1))),  0.5, 0))</f>
        <v>0</v>
      </c>
      <c r="DP46" s="47">
        <f t="array" ref="DP46">IF(AND(ISNUMBER(MATCH(DP$2, AsistenciaJetAdminConcatenada!$A:$A, 0)), ISNUMBER(MATCH(DP$1, AsistenciaJetAdminConcatenada!$B:$B, 0)), ISNUMBER(SEARCH($A46,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ISNUMBER(SEARCH($A46, INDEX(AsistenciaJetAdminConcatenada!$D:$D, MATCH(1, (AsistenciaJetAdminConcatenada!$A:$A=DP$2)*(AsistenciaJetAdminConcatenada!$B:$B=DP$1), 0)), 1))),  0.5, 0))</f>
        <v>0</v>
      </c>
      <c r="DQ46" s="47">
        <f t="array" ref="DQ46">IF(AND(ISNUMBER(MATCH(DQ$2, AsistenciaJetAdminConcatenada!$A:$A, 0)), ISNUMBER(MATCH(DQ$1, AsistenciaJetAdminConcatenada!$B:$B, 0)), ISNUMBER(SEARCH($A46,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ISNUMBER(SEARCH($A46, INDEX(AsistenciaJetAdminConcatenada!$D:$D, MATCH(1, (AsistenciaJetAdminConcatenada!$A:$A=DQ$2)*(AsistenciaJetAdminConcatenada!$B:$B=DQ$1), 0)), 1))),  0.5, 0))</f>
        <v>0</v>
      </c>
      <c r="DR46" s="47">
        <f t="array" ref="DR46">IF(AND(ISNUMBER(MATCH(DR$2, AsistenciaJetAdminConcatenada!$A:$A, 0)), ISNUMBER(MATCH(DR$1, AsistenciaJetAdminConcatenada!$B:$B, 0)), ISNUMBER(SEARCH($A46,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ISNUMBER(SEARCH($A46, INDEX(AsistenciaJetAdminConcatenada!$D:$D, MATCH(1, (AsistenciaJetAdminConcatenada!$A:$A=DR$2)*(AsistenciaJetAdminConcatenada!$B:$B=DR$1), 0)), 1))),  0.5, 0))</f>
        <v>0</v>
      </c>
      <c r="DS46" s="47">
        <f t="array" ref="DS46">IF(AND(ISNUMBER(MATCH(DS$2, AsistenciaJetAdminConcatenada!$A:$A, 0)), ISNUMBER(MATCH(DS$1, AsistenciaJetAdminConcatenada!$B:$B, 0)), ISNUMBER(SEARCH($A46,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ISNUMBER(SEARCH($A46, INDEX(AsistenciaJetAdminConcatenada!$D:$D, MATCH(1, (AsistenciaJetAdminConcatenada!$A:$A=DS$2)*(AsistenciaJetAdminConcatenada!$B:$B=DS$1), 0)), 1))),  0.5, 0))</f>
        <v>0</v>
      </c>
      <c r="DT46" s="47">
        <f t="array" ref="DT46">IF(AND(ISNUMBER(MATCH(DT$2, AsistenciaJetAdminConcatenada!$A:$A, 0)), ISNUMBER(MATCH(DT$1, AsistenciaJetAdminConcatenada!$B:$B, 0)), ISNUMBER(SEARCH($A46,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ISNUMBER(SEARCH($A46, INDEX(AsistenciaJetAdminConcatenada!$D:$D, MATCH(1, (AsistenciaJetAdminConcatenada!$A:$A=DT$2)*(AsistenciaJetAdminConcatenada!$B:$B=DT$1), 0)), 1))),  0.5, 0))</f>
        <v>0</v>
      </c>
      <c r="DU46" s="47">
        <f t="array" ref="DU46">IF(AND(ISNUMBER(MATCH(DU$2, AsistenciaJetAdminConcatenada!$A:$A, 0)), ISNUMBER(MATCH(DU$1, AsistenciaJetAdminConcatenada!$B:$B, 0)), ISNUMBER(SEARCH($A46,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ISNUMBER(SEARCH($A46, INDEX(AsistenciaJetAdminConcatenada!$D:$D, MATCH(1, (AsistenciaJetAdminConcatenada!$A:$A=DU$2)*(AsistenciaJetAdminConcatenada!$B:$B=DU$1), 0)), 1))),  0.5, 0))</f>
        <v>0</v>
      </c>
      <c r="DV46" s="47">
        <f t="array" ref="DV46">IF(AND(ISNUMBER(MATCH(DV$2, AsistenciaJetAdminConcatenada!$A:$A, 0)), ISNUMBER(MATCH(DV$1, AsistenciaJetAdminConcatenada!$B:$B, 0)), ISNUMBER(SEARCH($A46,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ISNUMBER(SEARCH($A46, INDEX(AsistenciaJetAdminConcatenada!$D:$D, MATCH(1, (AsistenciaJetAdminConcatenada!$A:$A=DV$2)*(AsistenciaJetAdminConcatenada!$B:$B=DV$1), 0)), 1))),  0.5, 0))</f>
        <v>0</v>
      </c>
      <c r="DW46" s="47">
        <f t="array" ref="DW46">IF(AND(ISNUMBER(MATCH(DW$2, AsistenciaJetAdminConcatenada!$A:$A, 0)), ISNUMBER(MATCH(DW$1, AsistenciaJetAdminConcatenada!$B:$B, 0)), ISNUMBER(SEARCH($A46,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ISNUMBER(SEARCH($A46, INDEX(AsistenciaJetAdminConcatenada!$D:$D, MATCH(1, (AsistenciaJetAdminConcatenada!$A:$A=DW$2)*(AsistenciaJetAdminConcatenada!$B:$B=DW$1), 0)), 1))),  0.5, 0))</f>
        <v>0</v>
      </c>
      <c r="DX46" s="47">
        <f t="array" ref="DX46">IF(AND(ISNUMBER(MATCH(DX$2, AsistenciaJetAdminConcatenada!$A:$A, 0)), ISNUMBER(MATCH(DX$1, AsistenciaJetAdminConcatenada!$B:$B, 0)), ISNUMBER(SEARCH($A46,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ISNUMBER(SEARCH($A46, INDEX(AsistenciaJetAdminConcatenada!$D:$D, MATCH(1, (AsistenciaJetAdminConcatenada!$A:$A=DX$2)*(AsistenciaJetAdminConcatenada!$B:$B=DX$1), 0)), 1))),  0.5, 0))</f>
        <v>0</v>
      </c>
      <c r="DY46" s="47">
        <f t="array" ref="DY46">IF(AND(ISNUMBER(MATCH(DY$2, AsistenciaJetAdminConcatenada!$A:$A, 0)), ISNUMBER(MATCH(DY$1, AsistenciaJetAdminConcatenada!$B:$B, 0)), ISNUMBER(SEARCH($A46,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ISNUMBER(SEARCH($A46, INDEX(AsistenciaJetAdminConcatenada!$D:$D, MATCH(1, (AsistenciaJetAdminConcatenada!$A:$A=DY$2)*(AsistenciaJetAdminConcatenada!$B:$B=DY$1), 0)), 1))),  0.5, 0))</f>
        <v>0</v>
      </c>
      <c r="DZ46" s="47">
        <f t="array" ref="DZ46">IF(AND(ISNUMBER(MATCH(DZ$2, AsistenciaJetAdminConcatenada!$A:$A, 0)), ISNUMBER(MATCH(DZ$1, AsistenciaJetAdminConcatenada!$B:$B, 0)), ISNUMBER(SEARCH($A46,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ISNUMBER(SEARCH($A46, INDEX(AsistenciaJetAdminConcatenada!$D:$D, MATCH(1, (AsistenciaJetAdminConcatenada!$A:$A=DZ$2)*(AsistenciaJetAdminConcatenada!$B:$B=DZ$1), 0)), 1))),  0.5, 0))</f>
        <v>0</v>
      </c>
      <c r="EA46" s="47">
        <f t="array" ref="EA46">IF(AND(ISNUMBER(MATCH(EA$2, AsistenciaJetAdminConcatenada!$A:$A, 0)), ISNUMBER(MATCH(EA$1, AsistenciaJetAdminConcatenada!$B:$B, 0)), ISNUMBER(SEARCH($A46,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ISNUMBER(SEARCH($A46, INDEX(AsistenciaJetAdminConcatenada!$D:$D, MATCH(1, (AsistenciaJetAdminConcatenada!$A:$A=EA$2)*(AsistenciaJetAdminConcatenada!$B:$B=EA$1), 0)), 1))),  0.5, 0))</f>
        <v>0</v>
      </c>
      <c r="EB46" s="47">
        <f t="array" ref="EB46">IF(AND(ISNUMBER(MATCH(EB$2, AsistenciaJetAdminConcatenada!$A:$A, 0)), ISNUMBER(MATCH(EB$1, AsistenciaJetAdminConcatenada!$B:$B, 0)), ISNUMBER(SEARCH($A46,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ISNUMBER(SEARCH($A46, INDEX(AsistenciaJetAdminConcatenada!$D:$D, MATCH(1, (AsistenciaJetAdminConcatenada!$A:$A=EB$2)*(AsistenciaJetAdminConcatenada!$B:$B=EB$1), 0)), 1))),  0.5, 0))</f>
        <v>0</v>
      </c>
      <c r="EC46" s="47">
        <f t="array" ref="EC46">IF(AND(ISNUMBER(MATCH(EC$2, AsistenciaJetAdminConcatenada!$A:$A, 0)), ISNUMBER(MATCH(EC$1, AsistenciaJetAdminConcatenada!$B:$B, 0)), ISNUMBER(SEARCH($A46,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ISNUMBER(SEARCH($A46, INDEX(AsistenciaJetAdminConcatenada!$D:$D, MATCH(1, (AsistenciaJetAdminConcatenada!$A:$A=EC$2)*(AsistenciaJetAdminConcatenada!$B:$B=EC$1), 0)), 1))),  0.5, 0))</f>
        <v>0</v>
      </c>
      <c r="ED46" s="47">
        <f t="array" ref="ED46">IF(AND(ISNUMBER(MATCH(ED$2, AsistenciaJetAdminConcatenada!$A:$A, 0)), ISNUMBER(MATCH(ED$1, AsistenciaJetAdminConcatenada!$B:$B, 0)), ISNUMBER(SEARCH($A46,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ISNUMBER(SEARCH($A46, INDEX(AsistenciaJetAdminConcatenada!$D:$D, MATCH(1, (AsistenciaJetAdminConcatenada!$A:$A=ED$2)*(AsistenciaJetAdminConcatenada!$B:$B=ED$1), 0)), 1))),  0.5, 0))</f>
        <v>0</v>
      </c>
      <c r="EE46" s="47">
        <f t="array" ref="EE46">IF(AND(ISNUMBER(MATCH(EE$2, AsistenciaJetAdminConcatenada!$A:$A, 0)), ISNUMBER(MATCH(EE$1, AsistenciaJetAdminConcatenada!$B:$B, 0)), ISNUMBER(SEARCH($A46,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ISNUMBER(SEARCH($A46, INDEX(AsistenciaJetAdminConcatenada!$D:$D, MATCH(1, (AsistenciaJetAdminConcatenada!$A:$A=EE$2)*(AsistenciaJetAdminConcatenada!$B:$B=EE$1), 0)), 1))),  0.5, 0))</f>
        <v>0</v>
      </c>
      <c r="EF46" s="47">
        <f t="array" ref="EF46">IF(AND(ISNUMBER(MATCH(EF$2, AsistenciaJetAdminConcatenada!$A:$A, 0)), ISNUMBER(MATCH(EF$1, AsistenciaJetAdminConcatenada!$B:$B, 0)), ISNUMBER(SEARCH($A46,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ISNUMBER(SEARCH($A46, INDEX(AsistenciaJetAdminConcatenada!$D:$D, MATCH(1, (AsistenciaJetAdminConcatenada!$A:$A=EF$2)*(AsistenciaJetAdminConcatenada!$B:$B=EF$1), 0)), 1))),  0.5, 0))</f>
        <v>0</v>
      </c>
      <c r="EG46" s="47">
        <f t="array" ref="EG46">IF(AND(ISNUMBER(MATCH(EG$2, AsistenciaJetAdminConcatenada!$A:$A, 0)), ISNUMBER(MATCH(EG$1, AsistenciaJetAdminConcatenada!$B:$B, 0)), ISNUMBER(SEARCH($A46,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ISNUMBER(SEARCH($A46, INDEX(AsistenciaJetAdminConcatenada!$D:$D, MATCH(1, (AsistenciaJetAdminConcatenada!$A:$A=EG$2)*(AsistenciaJetAdminConcatenada!$B:$B=EG$1), 0)), 1))),  0.5, 0))</f>
        <v>0</v>
      </c>
      <c r="EH46" s="47">
        <f t="array" ref="EH46">IF(AND(ISNUMBER(MATCH(EH$2, AsistenciaJetAdminConcatenada!$A:$A, 0)), ISNUMBER(MATCH(EH$1, AsistenciaJetAdminConcatenada!$B:$B, 0)), ISNUMBER(SEARCH($A46,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ISNUMBER(SEARCH($A46, INDEX(AsistenciaJetAdminConcatenada!$D:$D, MATCH(1, (AsistenciaJetAdminConcatenada!$A:$A=EH$2)*(AsistenciaJetAdminConcatenada!$B:$B=EH$1), 0)), 1))),  0.5, 0))</f>
        <v>0</v>
      </c>
      <c r="EI46" s="47">
        <f t="array" ref="EI46">IF(AND(ISNUMBER(MATCH(EI$2, AsistenciaJetAdminConcatenada!$A:$A, 0)), ISNUMBER(MATCH(EI$1, AsistenciaJetAdminConcatenada!$B:$B, 0)), ISNUMBER(SEARCH($A46,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ISNUMBER(SEARCH($A46, INDEX(AsistenciaJetAdminConcatenada!$D:$D, MATCH(1, (AsistenciaJetAdminConcatenada!$A:$A=EI$2)*(AsistenciaJetAdminConcatenada!$B:$B=EI$1), 0)), 1))),  0.5, 0))</f>
        <v>0</v>
      </c>
      <c r="EJ46" s="47">
        <f t="array" ref="EJ46">IF(AND(ISNUMBER(MATCH(EJ$2, AsistenciaJetAdminConcatenada!$A:$A, 0)), ISNUMBER(MATCH(EJ$1, AsistenciaJetAdminConcatenada!$B:$B, 0)), ISNUMBER(SEARCH($A46,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ISNUMBER(SEARCH($A46, INDEX(AsistenciaJetAdminConcatenada!$D:$D, MATCH(1, (AsistenciaJetAdminConcatenada!$A:$A=EJ$2)*(AsistenciaJetAdminConcatenada!$B:$B=EJ$1), 0)), 1))),  0.5, 0))</f>
        <v>0</v>
      </c>
      <c r="EK46" s="47">
        <f t="array" ref="EK46">IF(AND(ISNUMBER(MATCH(EK$2, AsistenciaJetAdminConcatenada!$A:$A, 0)), ISNUMBER(MATCH(EK$1, AsistenciaJetAdminConcatenada!$B:$B, 0)), ISNUMBER(SEARCH($A46,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ISNUMBER(SEARCH($A46, INDEX(AsistenciaJetAdminConcatenada!$D:$D, MATCH(1, (AsistenciaJetAdminConcatenada!$A:$A=EK$2)*(AsistenciaJetAdminConcatenada!$B:$B=EK$1), 0)), 1))),  0.5, 0))</f>
        <v>0</v>
      </c>
      <c r="EL46" s="47">
        <f t="array" ref="EL46">IF(AND(ISNUMBER(MATCH(EL$2, AsistenciaJetAdminConcatenada!$A:$A, 0)), ISNUMBER(MATCH(EL$1, AsistenciaJetAdminConcatenada!$B:$B, 0)), ISNUMBER(SEARCH($A46,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ISNUMBER(SEARCH($A46, INDEX(AsistenciaJetAdminConcatenada!$D:$D, MATCH(1, (AsistenciaJetAdminConcatenada!$A:$A=EL$2)*(AsistenciaJetAdminConcatenada!$B:$B=EL$1), 0)), 1))),  0.5, 0))</f>
        <v>0</v>
      </c>
      <c r="EM46" s="47">
        <f t="array" ref="EM46">IF(AND(ISNUMBER(MATCH(EM$2, AsistenciaJetAdminConcatenada!$A:$A, 0)), ISNUMBER(MATCH(EM$1, AsistenciaJetAdminConcatenada!$B:$B, 0)), ISNUMBER(SEARCH($A46,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ISNUMBER(SEARCH($A46, INDEX(AsistenciaJetAdminConcatenada!$D:$D, MATCH(1, (AsistenciaJetAdminConcatenada!$A:$A=EM$2)*(AsistenciaJetAdminConcatenada!$B:$B=EM$1), 0)), 1))),  0.5, 0))</f>
        <v>0</v>
      </c>
      <c r="EN46" s="47">
        <f t="array" ref="EN46">IF(AND(ISNUMBER(MATCH(EN$2, AsistenciaJetAdminConcatenada!$A:$A, 0)), ISNUMBER(MATCH(EN$1, AsistenciaJetAdminConcatenada!$B:$B, 0)), ISNUMBER(SEARCH($A46,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ISNUMBER(SEARCH($A46, INDEX(AsistenciaJetAdminConcatenada!$D:$D, MATCH(1, (AsistenciaJetAdminConcatenada!$A:$A=EN$2)*(AsistenciaJetAdminConcatenada!$B:$B=EN$1), 0)), 1))),  0.5, 0))</f>
        <v>0</v>
      </c>
      <c r="EO46" s="47">
        <f t="array" ref="EO46">IF(AND(ISNUMBER(MATCH(EO$2, AsistenciaJetAdminConcatenada!$A:$A, 0)), ISNUMBER(MATCH(EO$1, AsistenciaJetAdminConcatenada!$B:$B, 0)), ISNUMBER(SEARCH($A46,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ISNUMBER(SEARCH($A46, INDEX(AsistenciaJetAdminConcatenada!$D:$D, MATCH(1, (AsistenciaJetAdminConcatenada!$A:$A=EO$2)*(AsistenciaJetAdminConcatenada!$B:$B=EO$1), 0)), 1))),  0.5, 0))</f>
        <v>0</v>
      </c>
      <c r="EP46" s="47">
        <f t="array" ref="EP46">IF(AND(ISNUMBER(MATCH(EP$2, AsistenciaJetAdminConcatenada!$A:$A, 0)), ISNUMBER(MATCH(EP$1, AsistenciaJetAdminConcatenada!$B:$B, 0)), ISNUMBER(SEARCH($A46,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ISNUMBER(SEARCH($A46, INDEX(AsistenciaJetAdminConcatenada!$D:$D, MATCH(1, (AsistenciaJetAdminConcatenada!$A:$A=EP$2)*(AsistenciaJetAdminConcatenada!$B:$B=EP$1), 0)), 1))),  0.5, 0))</f>
        <v>0</v>
      </c>
      <c r="EQ46" s="47">
        <f t="array" ref="EQ46">IF(AND(ISNUMBER(MATCH(EQ$2, AsistenciaJetAdminConcatenada!$A:$A, 0)), ISNUMBER(MATCH(EQ$1, AsistenciaJetAdminConcatenada!$B:$B, 0)), ISNUMBER(SEARCH($A46,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ISNUMBER(SEARCH($A46, INDEX(AsistenciaJetAdminConcatenada!$D:$D, MATCH(1, (AsistenciaJetAdminConcatenada!$A:$A=EQ$2)*(AsistenciaJetAdminConcatenada!$B:$B=EQ$1), 0)), 1))),  0.5, 0))</f>
        <v>0</v>
      </c>
      <c r="ER46" s="47">
        <f t="array" ref="ER46">IF(AND(ISNUMBER(MATCH(ER$2, AsistenciaJetAdminConcatenada!$A:$A, 0)), ISNUMBER(MATCH(ER$1, AsistenciaJetAdminConcatenada!$B:$B, 0)), ISNUMBER(SEARCH($A46,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ISNUMBER(SEARCH($A46, INDEX(AsistenciaJetAdminConcatenada!$D:$D, MATCH(1, (AsistenciaJetAdminConcatenada!$A:$A=ER$2)*(AsistenciaJetAdminConcatenada!$B:$B=ER$1), 0)), 1))),  0.5, 0))</f>
        <v>0</v>
      </c>
      <c r="ES46" s="47">
        <f t="array" ref="ES46">IF(AND(ISNUMBER(MATCH(ES$2, AsistenciaJetAdminConcatenada!$A:$A, 0)), ISNUMBER(MATCH(ES$1, AsistenciaJetAdminConcatenada!$B:$B, 0)), ISNUMBER(SEARCH($A46,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ISNUMBER(SEARCH($A46, INDEX(AsistenciaJetAdminConcatenada!$D:$D, MATCH(1, (AsistenciaJetAdminConcatenada!$A:$A=ES$2)*(AsistenciaJetAdminConcatenada!$B:$B=ES$1), 0)), 1))),  0.5, 0))</f>
        <v>0</v>
      </c>
      <c r="ET46" s="47">
        <f t="array" ref="ET46">IF(AND(ISNUMBER(MATCH(ET$2, AsistenciaJetAdminConcatenada!$A:$A, 0)), ISNUMBER(MATCH(ET$1, AsistenciaJetAdminConcatenada!$B:$B, 0)), ISNUMBER(SEARCH($A46,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ISNUMBER(SEARCH($A46, INDEX(AsistenciaJetAdminConcatenada!$D:$D, MATCH(1, (AsistenciaJetAdminConcatenada!$A:$A=ET$2)*(AsistenciaJetAdminConcatenada!$B:$B=ET$1), 0)), 1))),  0.5, 0))</f>
        <v>0</v>
      </c>
      <c r="EU46" s="47">
        <f t="array" ref="EU46">IF(AND(ISNUMBER(MATCH(EU$2, AsistenciaJetAdminConcatenada!$A:$A, 0)), ISNUMBER(MATCH(EU$1, AsistenciaJetAdminConcatenada!$B:$B, 0)), ISNUMBER(SEARCH($A46,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ISNUMBER(SEARCH($A46, INDEX(AsistenciaJetAdminConcatenada!$D:$D, MATCH(1, (AsistenciaJetAdminConcatenada!$A:$A=EU$2)*(AsistenciaJetAdminConcatenada!$B:$B=EU$1), 0)), 1))),  0.5, 0))</f>
        <v>0</v>
      </c>
      <c r="EV46" s="47">
        <f t="array" ref="EV46">IF(AND(ISNUMBER(MATCH(EV$2, AsistenciaJetAdminConcatenada!$A:$A, 0)), ISNUMBER(MATCH(EV$1, AsistenciaJetAdminConcatenada!$B:$B, 0)), ISNUMBER(SEARCH($A46,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ISNUMBER(SEARCH($A46, INDEX(AsistenciaJetAdminConcatenada!$D:$D, MATCH(1, (AsistenciaJetAdminConcatenada!$A:$A=EV$2)*(AsistenciaJetAdminConcatenada!$B:$B=EV$1), 0)), 1))),  0.5, 0))</f>
        <v>0</v>
      </c>
      <c r="EW46" s="47">
        <f t="array" ref="EW46">IF(AND(ISNUMBER(MATCH(EW$2, AsistenciaJetAdminConcatenada!$A:$A, 0)), ISNUMBER(MATCH(EW$1, AsistenciaJetAdminConcatenada!$B:$B, 0)), ISNUMBER(SEARCH($A46,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ISNUMBER(SEARCH($A46, INDEX(AsistenciaJetAdminConcatenada!$D:$D, MATCH(1, (AsistenciaJetAdminConcatenada!$A:$A=EW$2)*(AsistenciaJetAdminConcatenada!$B:$B=EW$1), 0)), 1))),  0.5, 0))</f>
        <v>0</v>
      </c>
      <c r="EX46" s="47">
        <f t="array" ref="EX46">IF(AND(ISNUMBER(MATCH(EX$2, AsistenciaJetAdminConcatenada!$A:$A, 0)), ISNUMBER(MATCH(EX$1, AsistenciaJetAdminConcatenada!$B:$B, 0)), ISNUMBER(SEARCH($A46,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ISNUMBER(SEARCH($A46, INDEX(AsistenciaJetAdminConcatenada!$D:$D, MATCH(1, (AsistenciaJetAdminConcatenada!$A:$A=EX$2)*(AsistenciaJetAdminConcatenada!$B:$B=EX$1), 0)), 1))),  0.5, 0))</f>
        <v>0</v>
      </c>
      <c r="EY46" s="47">
        <f t="array" ref="EY46">IF(AND(ISNUMBER(MATCH(EY$2, AsistenciaJetAdminConcatenada!$A:$A, 0)), ISNUMBER(MATCH(EY$1, AsistenciaJetAdminConcatenada!$B:$B, 0)), ISNUMBER(SEARCH($A46,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ISNUMBER(SEARCH($A46, INDEX(AsistenciaJetAdminConcatenada!$D:$D, MATCH(1, (AsistenciaJetAdminConcatenada!$A:$A=EY$2)*(AsistenciaJetAdminConcatenada!$B:$B=EY$1), 0)), 1))),  0.5, 0))</f>
        <v>0</v>
      </c>
      <c r="EZ46" s="47">
        <f t="array" ref="EZ46">IF(AND(ISNUMBER(MATCH(EZ$2, AsistenciaJetAdminConcatenada!$A:$A, 0)), ISNUMBER(MATCH(EZ$1, AsistenciaJetAdminConcatenada!$B:$B, 0)), ISNUMBER(SEARCH($A46,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ISNUMBER(SEARCH($A46, INDEX(AsistenciaJetAdminConcatenada!$D:$D, MATCH(1, (AsistenciaJetAdminConcatenada!$A:$A=EZ$2)*(AsistenciaJetAdminConcatenada!$B:$B=EZ$1), 0)), 1))),  0.5, 0))</f>
        <v>0</v>
      </c>
      <c r="FA46" s="47">
        <f t="array" ref="FA46">IF(AND(ISNUMBER(MATCH(FA$2, AsistenciaJetAdminConcatenada!$A:$A, 0)), ISNUMBER(MATCH(FA$1, AsistenciaJetAdminConcatenada!$B:$B, 0)), ISNUMBER(SEARCH($A46,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ISNUMBER(SEARCH($A46, INDEX(AsistenciaJetAdminConcatenada!$D:$D, MATCH(1, (AsistenciaJetAdminConcatenada!$A:$A=FA$2)*(AsistenciaJetAdminConcatenada!$B:$B=FA$1), 0)), 1))),  0.5, 0))</f>
        <v>0</v>
      </c>
      <c r="FB46" s="47">
        <f t="array" ref="FB46">IF(AND(ISNUMBER(MATCH(FB$2, AsistenciaJetAdminConcatenada!$A:$A, 0)), ISNUMBER(MATCH(FB$1, AsistenciaJetAdminConcatenada!$B:$B, 0)), ISNUMBER(SEARCH($A46,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ISNUMBER(SEARCH($A46, INDEX(AsistenciaJetAdminConcatenada!$D:$D, MATCH(1, (AsistenciaJetAdminConcatenada!$A:$A=FB$2)*(AsistenciaJetAdminConcatenada!$B:$B=FB$1), 0)), 1))),  0.5, 0))</f>
        <v>0</v>
      </c>
      <c r="FC46" s="47">
        <f t="array" ref="FC46">IF(AND(ISNUMBER(MATCH(FC$2, AsistenciaJetAdminConcatenada!$A:$A, 0)), ISNUMBER(MATCH(FC$1, AsistenciaJetAdminConcatenada!$B:$B, 0)), ISNUMBER(SEARCH($A46,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ISNUMBER(SEARCH($A46, INDEX(AsistenciaJetAdminConcatenada!$D:$D, MATCH(1, (AsistenciaJetAdminConcatenada!$A:$A=FC$2)*(AsistenciaJetAdminConcatenada!$B:$B=FC$1), 0)), 1))),  0.5, 0))</f>
        <v>0</v>
      </c>
      <c r="FD46" s="47">
        <f t="array" ref="FD46">IF(AND(ISNUMBER(MATCH(FD$2, AsistenciaJetAdminConcatenada!$A:$A, 0)), ISNUMBER(MATCH(FD$1, AsistenciaJetAdminConcatenada!$B:$B, 0)), ISNUMBER(SEARCH($A46,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ISNUMBER(SEARCH($A46, INDEX(AsistenciaJetAdminConcatenada!$D:$D, MATCH(1, (AsistenciaJetAdminConcatenada!$A:$A=FD$2)*(AsistenciaJetAdminConcatenada!$B:$B=FD$1), 0)), 1))),  0.5, 0))</f>
        <v>0</v>
      </c>
      <c r="FE46" s="47">
        <f t="array" ref="FE46">IF(AND(ISNUMBER(MATCH(FE$2, AsistenciaJetAdminConcatenada!$A:$A, 0)), ISNUMBER(MATCH(FE$1, AsistenciaJetAdminConcatenada!$B:$B, 0)), ISNUMBER(SEARCH($A46,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ISNUMBER(SEARCH($A46, INDEX(AsistenciaJetAdminConcatenada!$D:$D, MATCH(1, (AsistenciaJetAdminConcatenada!$A:$A=FE$2)*(AsistenciaJetAdminConcatenada!$B:$B=FE$1), 0)), 1))),  0.5, 0))</f>
        <v>0</v>
      </c>
      <c r="FF46" s="47">
        <f t="array" ref="FF46">IF(AND(ISNUMBER(MATCH(FF$2, AsistenciaJetAdminConcatenada!$A:$A, 0)), ISNUMBER(MATCH(FF$1, AsistenciaJetAdminConcatenada!$B:$B, 0)), ISNUMBER(SEARCH($A46,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ISNUMBER(SEARCH($A46, INDEX(AsistenciaJetAdminConcatenada!$D:$D, MATCH(1, (AsistenciaJetAdminConcatenada!$A:$A=FF$2)*(AsistenciaJetAdminConcatenada!$B:$B=FF$1), 0)), 1))),  0.5, 0))</f>
        <v>0</v>
      </c>
      <c r="FG46" s="47">
        <f t="array" ref="FG46">IF(AND(ISNUMBER(MATCH(FG$2, AsistenciaJetAdminConcatenada!$A:$A, 0)), ISNUMBER(MATCH(FG$1, AsistenciaJetAdminConcatenada!$B:$B, 0)), ISNUMBER(SEARCH($A46,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ISNUMBER(SEARCH($A46, INDEX(AsistenciaJetAdminConcatenada!$D:$D, MATCH(1, (AsistenciaJetAdminConcatenada!$A:$A=FG$2)*(AsistenciaJetAdminConcatenada!$B:$B=FG$1), 0)), 1))),  0.5, 0))</f>
        <v>0</v>
      </c>
      <c r="FH46" s="47">
        <f t="array" ref="FH46">IF(AND(ISNUMBER(MATCH(FH$2, AsistenciaJetAdminConcatenada!$A:$A, 0)), ISNUMBER(MATCH(FH$1, AsistenciaJetAdminConcatenada!$B:$B, 0)), ISNUMBER(SEARCH($A46,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ISNUMBER(SEARCH($A46, INDEX(AsistenciaJetAdminConcatenada!$D:$D, MATCH(1, (AsistenciaJetAdminConcatenada!$A:$A=FH$2)*(AsistenciaJetAdminConcatenada!$B:$B=FH$1), 0)), 1))),  0.5, 0))</f>
        <v>0</v>
      </c>
      <c r="FI46" s="47">
        <f t="array" ref="FI46">IF(AND(ISNUMBER(MATCH(FI$2, AsistenciaJetAdminConcatenada!$A:$A, 0)), ISNUMBER(MATCH(FI$1, AsistenciaJetAdminConcatenada!$B:$B, 0)), ISNUMBER(SEARCH($A46,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ISNUMBER(SEARCH($A46, INDEX(AsistenciaJetAdminConcatenada!$D:$D, MATCH(1, (AsistenciaJetAdminConcatenada!$A:$A=FI$2)*(AsistenciaJetAdminConcatenada!$B:$B=FI$1), 0)), 1))),  0.5, 0))</f>
        <v>0</v>
      </c>
      <c r="FJ46" s="47">
        <f t="array" ref="FJ46">IF(AND(ISNUMBER(MATCH(FJ$2, AsistenciaJetAdminConcatenada!$A:$A, 0)), ISNUMBER(MATCH(FJ$1, AsistenciaJetAdminConcatenada!$B:$B, 0)), ISNUMBER(SEARCH($A46,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ISNUMBER(SEARCH($A46, INDEX(AsistenciaJetAdminConcatenada!$D:$D, MATCH(1, (AsistenciaJetAdminConcatenada!$A:$A=FJ$2)*(AsistenciaJetAdminConcatenada!$B:$B=FJ$1), 0)), 1))),  0.5, 0))</f>
        <v>0</v>
      </c>
      <c r="FK46" s="47">
        <f t="array" ref="FK46">IF(AND(ISNUMBER(MATCH(FK$2, AsistenciaJetAdminConcatenada!$A:$A, 0)), ISNUMBER(MATCH(FK$1, AsistenciaJetAdminConcatenada!$B:$B, 0)), ISNUMBER(SEARCH($A46,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ISNUMBER(SEARCH($A46, INDEX(AsistenciaJetAdminConcatenada!$D:$D, MATCH(1, (AsistenciaJetAdminConcatenada!$A:$A=FK$2)*(AsistenciaJetAdminConcatenada!$B:$B=FK$1), 0)), 1))),  0.5, 0))</f>
        <v>0</v>
      </c>
      <c r="FL46" s="47">
        <f t="array" ref="FL46">IF(AND(ISNUMBER(MATCH(FL$2, AsistenciaJetAdminConcatenada!$A:$A, 0)), ISNUMBER(MATCH(FL$1, AsistenciaJetAdminConcatenada!$B:$B, 0)), ISNUMBER(SEARCH($A46,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ISNUMBER(SEARCH($A46, INDEX(AsistenciaJetAdminConcatenada!$D:$D, MATCH(1, (AsistenciaJetAdminConcatenada!$A:$A=FL$2)*(AsistenciaJetAdminConcatenada!$B:$B=FL$1), 0)), 1))),  0.5, 0))</f>
        <v>0</v>
      </c>
      <c r="FM46" s="47">
        <f t="array" ref="FM46">IF(AND(ISNUMBER(MATCH(FM$2, AsistenciaJetAdminConcatenada!$A:$A, 0)), ISNUMBER(MATCH(FM$1, AsistenciaJetAdminConcatenada!$B:$B, 0)), ISNUMBER(SEARCH($A46,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ISNUMBER(SEARCH($A46, INDEX(AsistenciaJetAdminConcatenada!$D:$D, MATCH(1, (AsistenciaJetAdminConcatenada!$A:$A=FM$2)*(AsistenciaJetAdminConcatenada!$B:$B=FM$1), 0)), 1))),  0.5, 0))</f>
        <v>0</v>
      </c>
      <c r="FN46" s="47">
        <f t="array" ref="FN46">IF(AND(ISNUMBER(MATCH(FN$2, AsistenciaJetAdminConcatenada!$A:$A, 0)), ISNUMBER(MATCH(FN$1, AsistenciaJetAdminConcatenada!$B:$B, 0)), ISNUMBER(SEARCH($A46,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ISNUMBER(SEARCH($A46, INDEX(AsistenciaJetAdminConcatenada!$D:$D, MATCH(1, (AsistenciaJetAdminConcatenada!$A:$A=FN$2)*(AsistenciaJetAdminConcatenada!$B:$B=FN$1), 0)), 1))),  0.5, 0))</f>
        <v>0</v>
      </c>
      <c r="FO46" s="47">
        <f t="array" ref="FO46">IF(AND(ISNUMBER(MATCH(FO$2, AsistenciaJetAdminConcatenada!$A:$A, 0)), ISNUMBER(MATCH(FO$1, AsistenciaJetAdminConcatenada!$B:$B, 0)), ISNUMBER(SEARCH($A46,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ISNUMBER(SEARCH($A46, INDEX(AsistenciaJetAdminConcatenada!$D:$D, MATCH(1, (AsistenciaJetAdminConcatenada!$A:$A=FO$2)*(AsistenciaJetAdminConcatenada!$B:$B=FO$1), 0)), 1))),  0.5, 0))</f>
        <v>0</v>
      </c>
      <c r="FP46" s="47">
        <f t="array" ref="FP46">IF(AND(ISNUMBER(MATCH(FP$2, AsistenciaJetAdminConcatenada!$A:$A, 0)), ISNUMBER(MATCH(FP$1, AsistenciaJetAdminConcatenada!$B:$B, 0)), ISNUMBER(SEARCH($A46,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ISNUMBER(SEARCH($A46, INDEX(AsistenciaJetAdminConcatenada!$D:$D, MATCH(1, (AsistenciaJetAdminConcatenada!$A:$A=FP$2)*(AsistenciaJetAdminConcatenada!$B:$B=FP$1), 0)), 1))),  0.5, 0))</f>
        <v>0</v>
      </c>
      <c r="FQ46" s="47">
        <f t="array" ref="FQ46">IF(AND(ISNUMBER(MATCH(FQ$2, AsistenciaJetAdminConcatenada!$A:$A, 0)), ISNUMBER(MATCH(FQ$1, AsistenciaJetAdminConcatenada!$B:$B, 0)), ISNUMBER(SEARCH($A46,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ISNUMBER(SEARCH($A46, INDEX(AsistenciaJetAdminConcatenada!$D:$D, MATCH(1, (AsistenciaJetAdminConcatenada!$A:$A=FQ$2)*(AsistenciaJetAdminConcatenada!$B:$B=FQ$1), 0)), 1))),  0.5, 0))</f>
        <v>0</v>
      </c>
      <c r="FR46" s="47">
        <f t="array" ref="FR46">IF(AND(ISNUMBER(MATCH(FR$2, AsistenciaJetAdminConcatenada!$A:$A, 0)), ISNUMBER(MATCH(FR$1, AsistenciaJetAdminConcatenada!$B:$B, 0)), ISNUMBER(SEARCH($A46,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ISNUMBER(SEARCH($A46, INDEX(AsistenciaJetAdminConcatenada!$D:$D, MATCH(1, (AsistenciaJetAdminConcatenada!$A:$A=FR$2)*(AsistenciaJetAdminConcatenada!$B:$B=FR$1), 0)), 1))),  0.5, 0))</f>
        <v>0</v>
      </c>
      <c r="FS46" s="47">
        <f t="array" ref="FS46">IF(AND(ISNUMBER(MATCH(FS$2, AsistenciaJetAdminConcatenada!$A:$A, 0)), ISNUMBER(MATCH(FS$1, AsistenciaJetAdminConcatenada!$B:$B, 0)), ISNUMBER(SEARCH($A46,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ISNUMBER(SEARCH($A46, INDEX(AsistenciaJetAdminConcatenada!$D:$D, MATCH(1, (AsistenciaJetAdminConcatenada!$A:$A=FS$2)*(AsistenciaJetAdminConcatenada!$B:$B=FS$1), 0)), 1))),  0.5, 0))</f>
        <v>0</v>
      </c>
      <c r="FT46" s="47">
        <f t="array" ref="FT46">IF(AND(ISNUMBER(MATCH(FT$2, AsistenciaJetAdminConcatenada!$A:$A, 0)), ISNUMBER(MATCH(FT$1, AsistenciaJetAdminConcatenada!$B:$B, 0)), ISNUMBER(SEARCH($A46,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ISNUMBER(SEARCH($A46, INDEX(AsistenciaJetAdminConcatenada!$D:$D, MATCH(1, (AsistenciaJetAdminConcatenada!$A:$A=FT$2)*(AsistenciaJetAdminConcatenada!$B:$B=FT$1), 0)), 1))),  0.5, 0))</f>
        <v>0</v>
      </c>
      <c r="FU46" s="47">
        <f t="array" ref="FU46">IF(AND(ISNUMBER(MATCH(FU$2, AsistenciaJetAdminConcatenada!$A:$A, 0)), ISNUMBER(MATCH(FU$1, AsistenciaJetAdminConcatenada!$B:$B, 0)), ISNUMBER(SEARCH($A46,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ISNUMBER(SEARCH($A46, INDEX(AsistenciaJetAdminConcatenada!$D:$D, MATCH(1, (AsistenciaJetAdminConcatenada!$A:$A=FU$2)*(AsistenciaJetAdminConcatenada!$B:$B=FU$1), 0)), 1))),  0.5, 0))</f>
        <v>0</v>
      </c>
      <c r="FV46" s="47">
        <f t="array" ref="FV46">IF(AND(ISNUMBER(MATCH(FV$2, AsistenciaJetAdminConcatenada!$A:$A, 0)), ISNUMBER(MATCH(FV$1, AsistenciaJetAdminConcatenada!$B:$B, 0)), ISNUMBER(SEARCH($A46,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ISNUMBER(SEARCH($A46, INDEX(AsistenciaJetAdminConcatenada!$D:$D, MATCH(1, (AsistenciaJetAdminConcatenada!$A:$A=FV$2)*(AsistenciaJetAdminConcatenada!$B:$B=FV$1), 0)), 1))),  0.5, 0))</f>
        <v>0</v>
      </c>
      <c r="FW46" s="47">
        <f t="array" ref="FW46">IF(AND(ISNUMBER(MATCH(FW$2, AsistenciaJetAdminConcatenada!$A:$A, 0)), ISNUMBER(MATCH(FW$1, AsistenciaJetAdminConcatenada!$B:$B, 0)), ISNUMBER(SEARCH($A46,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ISNUMBER(SEARCH($A46, INDEX(AsistenciaJetAdminConcatenada!$D:$D, MATCH(1, (AsistenciaJetAdminConcatenada!$A:$A=FW$2)*(AsistenciaJetAdminConcatenada!$B:$B=FW$1), 0)), 1))),  0.5, 0))</f>
        <v>0</v>
      </c>
      <c r="FX46" s="47">
        <f t="array" ref="FX46">IF(AND(ISNUMBER(MATCH(FX$2, AsistenciaJetAdminConcatenada!$A:$A, 0)), ISNUMBER(MATCH(FX$1, AsistenciaJetAdminConcatenada!$B:$B, 0)), ISNUMBER(SEARCH($A46,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ISNUMBER(SEARCH($A46, INDEX(AsistenciaJetAdminConcatenada!$D:$D, MATCH(1, (AsistenciaJetAdminConcatenada!$A:$A=FX$2)*(AsistenciaJetAdminConcatenada!$B:$B=FX$1), 0)), 1))),  0.5, 0))</f>
        <v>0</v>
      </c>
      <c r="FY46" s="47">
        <f t="array" ref="FY46">IF(AND(ISNUMBER(MATCH(FY$2, AsistenciaJetAdminConcatenada!$A:$A, 0)), ISNUMBER(MATCH(FY$1, AsistenciaJetAdminConcatenada!$B:$B, 0)), ISNUMBER(SEARCH($A46,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ISNUMBER(SEARCH($A46, INDEX(AsistenciaJetAdminConcatenada!$D:$D, MATCH(1, (AsistenciaJetAdminConcatenada!$A:$A=FY$2)*(AsistenciaJetAdminConcatenada!$B:$B=FY$1), 0)), 1))),  0.5, 0))</f>
        <v>0</v>
      </c>
      <c r="FZ46" s="47">
        <f t="array" ref="FZ46">IF(AND(ISNUMBER(MATCH(FZ$2, AsistenciaJetAdminConcatenada!$A:$A, 0)), ISNUMBER(MATCH(FZ$1, AsistenciaJetAdminConcatenada!$B:$B, 0)), ISNUMBER(SEARCH($A46,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ISNUMBER(SEARCH($A46, INDEX(AsistenciaJetAdminConcatenada!$D:$D, MATCH(1, (AsistenciaJetAdminConcatenada!$A:$A=FZ$2)*(AsistenciaJetAdminConcatenada!$B:$B=FZ$1), 0)), 1))),  0.5, 0))</f>
        <v>0</v>
      </c>
      <c r="GA46" s="47">
        <f t="array" ref="GA46">IF(AND(ISNUMBER(MATCH(GA$2, AsistenciaJetAdminConcatenada!$A:$A, 0)), ISNUMBER(MATCH(GA$1, AsistenciaJetAdminConcatenada!$B:$B, 0)), ISNUMBER(SEARCH($A46,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ISNUMBER(SEARCH($A46, INDEX(AsistenciaJetAdminConcatenada!$D:$D, MATCH(1, (AsistenciaJetAdminConcatenada!$A:$A=GA$2)*(AsistenciaJetAdminConcatenada!$B:$B=GA$1), 0)), 1))),  0.5, 0))</f>
        <v>0</v>
      </c>
      <c r="GB46" s="47">
        <f t="array" ref="GB46">IF(AND(ISNUMBER(MATCH(GB$2, AsistenciaJetAdminConcatenada!$A:$A, 0)), ISNUMBER(MATCH(GB$1, AsistenciaJetAdminConcatenada!$B:$B, 0)), ISNUMBER(SEARCH($A46,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ISNUMBER(SEARCH($A46, INDEX(AsistenciaJetAdminConcatenada!$D:$D, MATCH(1, (AsistenciaJetAdminConcatenada!$A:$A=GB$2)*(AsistenciaJetAdminConcatenada!$B:$B=GB$1), 0)), 1))),  0.5, 0))</f>
        <v>0</v>
      </c>
      <c r="GC46" s="47">
        <f t="array" ref="GC46">IF(AND(ISNUMBER(MATCH(GC$2, AsistenciaJetAdminConcatenada!$A:$A, 0)), ISNUMBER(MATCH(GC$1, AsistenciaJetAdminConcatenada!$B:$B, 0)), ISNUMBER(SEARCH($A46,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ISNUMBER(SEARCH($A46, INDEX(AsistenciaJetAdminConcatenada!$D:$D, MATCH(1, (AsistenciaJetAdminConcatenada!$A:$A=GC$2)*(AsistenciaJetAdminConcatenada!$B:$B=GC$1), 0)), 1))),  0.5, 0))</f>
        <v>0</v>
      </c>
      <c r="GD46" s="47">
        <f t="array" ref="GD46">IF(AND(ISNUMBER(MATCH(GD$2, AsistenciaJetAdminConcatenada!$A:$A, 0)), ISNUMBER(MATCH(GD$1, AsistenciaJetAdminConcatenada!$B:$B, 0)), ISNUMBER(SEARCH($A46,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ISNUMBER(SEARCH($A46, INDEX(AsistenciaJetAdminConcatenada!$D:$D, MATCH(1, (AsistenciaJetAdminConcatenada!$A:$A=GD$2)*(AsistenciaJetAdminConcatenada!$B:$B=GD$1), 0)), 1))),  0.5, 0))</f>
        <v>0</v>
      </c>
      <c r="GE46" s="47">
        <f t="array" ref="GE46">IF(AND(ISNUMBER(MATCH(GE$2, AsistenciaJetAdminConcatenada!$A:$A, 0)), ISNUMBER(MATCH(GE$1, AsistenciaJetAdminConcatenada!$B:$B, 0)), ISNUMBER(SEARCH($A46,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ISNUMBER(SEARCH($A46, INDEX(AsistenciaJetAdminConcatenada!$D:$D, MATCH(1, (AsistenciaJetAdminConcatenada!$A:$A=GE$2)*(AsistenciaJetAdminConcatenada!$B:$B=GE$1), 0)), 1))),  0.5, 0))</f>
        <v>0</v>
      </c>
      <c r="GF46" s="47">
        <f t="array" ref="GF46">IF(AND(ISNUMBER(MATCH(GF$2, AsistenciaJetAdminConcatenada!$A:$A, 0)), ISNUMBER(MATCH(GF$1, AsistenciaJetAdminConcatenada!$B:$B, 0)), ISNUMBER(SEARCH($A46,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ISNUMBER(SEARCH($A46, INDEX(AsistenciaJetAdminConcatenada!$D:$D, MATCH(1, (AsistenciaJetAdminConcatenada!$A:$A=GF$2)*(AsistenciaJetAdminConcatenada!$B:$B=GF$1), 0)), 1))),  0.5, 0))</f>
        <v>0</v>
      </c>
      <c r="GG46" s="47">
        <f t="array" ref="GG46">IF(AND(ISNUMBER(MATCH(GG$2, AsistenciaJetAdminConcatenada!$A:$A, 0)), ISNUMBER(MATCH(GG$1, AsistenciaJetAdminConcatenada!$B:$B, 0)), ISNUMBER(SEARCH($A46,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ISNUMBER(SEARCH($A46, INDEX(AsistenciaJetAdminConcatenada!$D:$D, MATCH(1, (AsistenciaJetAdminConcatenada!$A:$A=GG$2)*(AsistenciaJetAdminConcatenada!$B:$B=GG$1), 0)), 1))),  0.5, 0))</f>
        <v>0</v>
      </c>
      <c r="GH46" s="47">
        <f t="array" ref="GH46">IF(AND(ISNUMBER(MATCH(GH$2, AsistenciaJetAdminConcatenada!$A:$A, 0)), ISNUMBER(MATCH(GH$1, AsistenciaJetAdminConcatenada!$B:$B, 0)), ISNUMBER(SEARCH($A46,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ISNUMBER(SEARCH($A46, INDEX(AsistenciaJetAdminConcatenada!$D:$D, MATCH(1, (AsistenciaJetAdminConcatenada!$A:$A=GH$2)*(AsistenciaJetAdminConcatenada!$B:$B=GH$1), 0)), 1))),  0.5, 0))</f>
        <v>0</v>
      </c>
      <c r="GI46" s="47">
        <f t="array" ref="GI46">IF(AND(ISNUMBER(MATCH(GI$2, AsistenciaJetAdminConcatenada!$A:$A, 0)), ISNUMBER(MATCH(GI$1, AsistenciaJetAdminConcatenada!$B:$B, 0)), ISNUMBER(SEARCH($A46,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ISNUMBER(SEARCH($A46, INDEX(AsistenciaJetAdminConcatenada!$D:$D, MATCH(1, (AsistenciaJetAdminConcatenada!$A:$A=GI$2)*(AsistenciaJetAdminConcatenada!$B:$B=GI$1), 0)), 1))),  0.5, 0))</f>
        <v>0</v>
      </c>
      <c r="GJ46" s="47">
        <f t="array" ref="GJ46">IF(AND(ISNUMBER(MATCH(GJ$2, AsistenciaJetAdminConcatenada!$A:$A, 0)), ISNUMBER(MATCH(GJ$1, AsistenciaJetAdminConcatenada!$B:$B, 0)), ISNUMBER(SEARCH($A46,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ISNUMBER(SEARCH($A46, INDEX(AsistenciaJetAdminConcatenada!$D:$D, MATCH(1, (AsistenciaJetAdminConcatenada!$A:$A=GJ$2)*(AsistenciaJetAdminConcatenada!$B:$B=GJ$1), 0)), 1))),  0.5, 0))</f>
        <v>0</v>
      </c>
      <c r="GK46" s="47">
        <f t="array" ref="GK46">IF(AND(ISNUMBER(MATCH(GK$2, AsistenciaJetAdminConcatenada!$A:$A, 0)), ISNUMBER(MATCH(GK$1, AsistenciaJetAdminConcatenada!$B:$B, 0)), ISNUMBER(SEARCH($A46,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ISNUMBER(SEARCH($A46, INDEX(AsistenciaJetAdminConcatenada!$D:$D, MATCH(1, (AsistenciaJetAdminConcatenada!$A:$A=GK$2)*(AsistenciaJetAdminConcatenada!$B:$B=GK$1), 0)), 1))),  0.5, 0))</f>
        <v>0</v>
      </c>
      <c r="GL46" s="47">
        <f t="array" ref="GL46">IF(AND(ISNUMBER(MATCH(GL$2, AsistenciaJetAdminConcatenada!$A:$A, 0)), ISNUMBER(MATCH(GL$1, AsistenciaJetAdminConcatenada!$B:$B, 0)), ISNUMBER(SEARCH($A46,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ISNUMBER(SEARCH($A46, INDEX(AsistenciaJetAdminConcatenada!$D:$D, MATCH(1, (AsistenciaJetAdminConcatenada!$A:$A=GL$2)*(AsistenciaJetAdminConcatenada!$B:$B=GL$1), 0)), 1))),  0.5, 0))</f>
        <v>0</v>
      </c>
      <c r="GM46" s="47">
        <f t="array" ref="GM46">IF(AND(ISNUMBER(MATCH(GM$2, AsistenciaJetAdminConcatenada!$A:$A, 0)), ISNUMBER(MATCH(GM$1, AsistenciaJetAdminConcatenada!$B:$B, 0)), ISNUMBER(SEARCH($A46,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ISNUMBER(SEARCH($A46, INDEX(AsistenciaJetAdminConcatenada!$D:$D, MATCH(1, (AsistenciaJetAdminConcatenada!$A:$A=GM$2)*(AsistenciaJetAdminConcatenada!$B:$B=GM$1), 0)), 1))),  0.5, 0))</f>
        <v>0</v>
      </c>
      <c r="GN46" s="47">
        <f t="array" ref="GN46">IF(AND(ISNUMBER(MATCH(GN$2, AsistenciaJetAdminConcatenada!$A:$A, 0)), ISNUMBER(MATCH(GN$1, AsistenciaJetAdminConcatenada!$B:$B, 0)), ISNUMBER(SEARCH($A46,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ISNUMBER(SEARCH($A46, INDEX(AsistenciaJetAdminConcatenada!$D:$D, MATCH(1, (AsistenciaJetAdminConcatenada!$A:$A=GN$2)*(AsistenciaJetAdminConcatenada!$B:$B=GN$1), 0)), 1))),  0.5, 0))</f>
        <v>0</v>
      </c>
      <c r="GO46" s="47">
        <f t="array" ref="GO46">IF(AND(ISNUMBER(MATCH(GO$2, AsistenciaJetAdminConcatenada!$A:$A, 0)), ISNUMBER(MATCH(GO$1, AsistenciaJetAdminConcatenada!$B:$B, 0)), ISNUMBER(SEARCH($A46,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ISNUMBER(SEARCH($A46, INDEX(AsistenciaJetAdminConcatenada!$D:$D, MATCH(1, (AsistenciaJetAdminConcatenada!$A:$A=GO$2)*(AsistenciaJetAdminConcatenada!$B:$B=GO$1), 0)), 1))),  0.5, 0))</f>
        <v>0</v>
      </c>
      <c r="GP46" s="47">
        <f t="array" ref="GP46">IF(AND(ISNUMBER(MATCH(GP$2, AsistenciaJetAdminConcatenada!$A:$A, 0)), ISNUMBER(MATCH(GP$1, AsistenciaJetAdminConcatenada!$B:$B, 0)), ISNUMBER(SEARCH($A46,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ISNUMBER(SEARCH($A46, INDEX(AsistenciaJetAdminConcatenada!$D:$D, MATCH(1, (AsistenciaJetAdminConcatenada!$A:$A=GP$2)*(AsistenciaJetAdminConcatenada!$B:$B=GP$1), 0)), 1))),  0.5, 0))</f>
        <v>0</v>
      </c>
      <c r="GQ46" s="47">
        <f t="array" ref="GQ46">IF(AND(ISNUMBER(MATCH(GQ$2, AsistenciaJetAdminConcatenada!$A:$A, 0)), ISNUMBER(MATCH(GQ$1, AsistenciaJetAdminConcatenada!$B:$B, 0)), ISNUMBER(SEARCH($A46,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ISNUMBER(SEARCH($A46, INDEX(AsistenciaJetAdminConcatenada!$D:$D, MATCH(1, (AsistenciaJetAdminConcatenada!$A:$A=GQ$2)*(AsistenciaJetAdminConcatenada!$B:$B=GQ$1), 0)), 1))),  0.5, 0))</f>
        <v>0</v>
      </c>
      <c r="GR46" s="47">
        <f t="array" ref="GR46">IF(AND(ISNUMBER(MATCH(GR$2, AsistenciaJetAdminConcatenada!$A:$A, 0)), ISNUMBER(MATCH(GR$1, AsistenciaJetAdminConcatenada!$B:$B, 0)), ISNUMBER(SEARCH($A46,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ISNUMBER(SEARCH($A46, INDEX(AsistenciaJetAdminConcatenada!$D:$D, MATCH(1, (AsistenciaJetAdminConcatenada!$A:$A=GR$2)*(AsistenciaJetAdminConcatenada!$B:$B=GR$1), 0)), 1))),  0.5, 0))</f>
        <v>0</v>
      </c>
      <c r="GS46" s="47">
        <f t="array" ref="GS46">IF(AND(ISNUMBER(MATCH(GS$2, AsistenciaJetAdminConcatenada!$A:$A, 0)), ISNUMBER(MATCH(GS$1, AsistenciaJetAdminConcatenada!$B:$B, 0)), ISNUMBER(SEARCH($A46,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ISNUMBER(SEARCH($A46, INDEX(AsistenciaJetAdminConcatenada!$D:$D, MATCH(1, (AsistenciaJetAdminConcatenada!$A:$A=GS$2)*(AsistenciaJetAdminConcatenada!$B:$B=GS$1), 0)), 1))),  0.5, 0))</f>
        <v>0</v>
      </c>
      <c r="GT46" s="47">
        <f t="array" ref="GT46">IF(AND(ISNUMBER(MATCH(GT$2, AsistenciaJetAdminConcatenada!$A:$A, 0)), ISNUMBER(MATCH(GT$1, AsistenciaJetAdminConcatenada!$B:$B, 0)), ISNUMBER(SEARCH($A46,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ISNUMBER(SEARCH($A46, INDEX(AsistenciaJetAdminConcatenada!$D:$D, MATCH(1, (AsistenciaJetAdminConcatenada!$A:$A=GT$2)*(AsistenciaJetAdminConcatenada!$B:$B=GT$1), 0)), 1))),  0.5, 0))</f>
        <v>0</v>
      </c>
      <c r="GU46" s="47">
        <f t="array" ref="GU46">IF(AND(ISNUMBER(MATCH(GU$2, AsistenciaJetAdminConcatenada!$A:$A, 0)), ISNUMBER(MATCH(GU$1, AsistenciaJetAdminConcatenada!$B:$B, 0)), ISNUMBER(SEARCH($A46,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ISNUMBER(SEARCH($A46, INDEX(AsistenciaJetAdminConcatenada!$D:$D, MATCH(1, (AsistenciaJetAdminConcatenada!$A:$A=GU$2)*(AsistenciaJetAdminConcatenada!$B:$B=GU$1), 0)), 1))),  0.5, 0))</f>
        <v>0</v>
      </c>
      <c r="GV46" s="47">
        <f t="array" ref="GV46">IF(AND(ISNUMBER(MATCH(GV$2, AsistenciaJetAdminConcatenada!$A:$A, 0)), ISNUMBER(MATCH(GV$1, AsistenciaJetAdminConcatenada!$B:$B, 0)), ISNUMBER(SEARCH($A46,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ISNUMBER(SEARCH($A46, INDEX(AsistenciaJetAdminConcatenada!$D:$D, MATCH(1, (AsistenciaJetAdminConcatenada!$A:$A=GV$2)*(AsistenciaJetAdminConcatenada!$B:$B=GV$1), 0)), 1))),  0.5, 0))</f>
        <v>0</v>
      </c>
      <c r="GW46" s="47">
        <f t="array" ref="GW46">IF(AND(ISNUMBER(MATCH(GW$2, AsistenciaJetAdminConcatenada!$A:$A, 0)), ISNUMBER(MATCH(GW$1, AsistenciaJetAdminConcatenada!$B:$B, 0)), ISNUMBER(SEARCH($A46,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ISNUMBER(SEARCH($A46, INDEX(AsistenciaJetAdminConcatenada!$D:$D, MATCH(1, (AsistenciaJetAdminConcatenada!$A:$A=GW$2)*(AsistenciaJetAdminConcatenada!$B:$B=GW$1), 0)), 1))),  0.5, 0))</f>
        <v>0</v>
      </c>
      <c r="GX46" s="47">
        <f t="array" ref="GX46">IF(AND(ISNUMBER(MATCH(GX$2, AsistenciaJetAdminConcatenada!$A:$A, 0)), ISNUMBER(MATCH(GX$1, AsistenciaJetAdminConcatenada!$B:$B, 0)), ISNUMBER(SEARCH($A46,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ISNUMBER(SEARCH($A46, INDEX(AsistenciaJetAdminConcatenada!$D:$D, MATCH(1, (AsistenciaJetAdminConcatenada!$A:$A=GX$2)*(AsistenciaJetAdminConcatenada!$B:$B=GX$1), 0)), 1))),  0.5, 0))</f>
        <v>0</v>
      </c>
      <c r="GY46" s="47">
        <f t="array" ref="GY46">IF(AND(ISNUMBER(MATCH(GY$2, AsistenciaJetAdminConcatenada!$A:$A, 0)), ISNUMBER(MATCH(GY$1, AsistenciaJetAdminConcatenada!$B:$B, 0)), ISNUMBER(SEARCH($A46,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ISNUMBER(SEARCH($A46, INDEX(AsistenciaJetAdminConcatenada!$D:$D, MATCH(1, (AsistenciaJetAdminConcatenada!$A:$A=GY$2)*(AsistenciaJetAdminConcatenada!$B:$B=GY$1), 0)), 1))),  0.5, 0))</f>
        <v>0</v>
      </c>
      <c r="GZ46" s="47">
        <f t="array" ref="GZ46">IF(AND(ISNUMBER(MATCH(GZ$2, AsistenciaJetAdminConcatenada!$A:$A, 0)), ISNUMBER(MATCH(GZ$1, AsistenciaJetAdminConcatenada!$B:$B, 0)), ISNUMBER(SEARCH($A46,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ISNUMBER(SEARCH($A46, INDEX(AsistenciaJetAdminConcatenada!$D:$D, MATCH(1, (AsistenciaJetAdminConcatenada!$A:$A=GZ$2)*(AsistenciaJetAdminConcatenada!$B:$B=GZ$1), 0)), 1))),  0.5, 0))</f>
        <v>0</v>
      </c>
      <c r="HA46" s="47">
        <f t="array" ref="HA46">IF(AND(ISNUMBER(MATCH(HA$2, AsistenciaJetAdminConcatenada!$A:$A, 0)), ISNUMBER(MATCH(HA$1, AsistenciaJetAdminConcatenada!$B:$B, 0)), ISNUMBER(SEARCH($A46,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ISNUMBER(SEARCH($A46, INDEX(AsistenciaJetAdminConcatenada!$D:$D, MATCH(1, (AsistenciaJetAdminConcatenada!$A:$A=HA$2)*(AsistenciaJetAdminConcatenada!$B:$B=HA$1), 0)), 1))),  0.5, 0))</f>
        <v>0</v>
      </c>
      <c r="HB46" s="47">
        <f t="array" ref="HB46">IF(AND(ISNUMBER(MATCH(HB$2, AsistenciaJetAdminConcatenada!$A:$A, 0)), ISNUMBER(MATCH(HB$1, AsistenciaJetAdminConcatenada!$B:$B, 0)), ISNUMBER(SEARCH($A46,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ISNUMBER(SEARCH($A46, INDEX(AsistenciaJetAdminConcatenada!$D:$D, MATCH(1, (AsistenciaJetAdminConcatenada!$A:$A=HB$2)*(AsistenciaJetAdminConcatenada!$B:$B=HB$1), 0)), 1))),  0.5, 0))</f>
        <v>0</v>
      </c>
      <c r="HC46" s="47">
        <f t="array" ref="HC46">IF(AND(ISNUMBER(MATCH(HC$2, AsistenciaJetAdminConcatenada!$A:$A, 0)), ISNUMBER(MATCH(HC$1, AsistenciaJetAdminConcatenada!$B:$B, 0)), ISNUMBER(SEARCH($A46,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ISNUMBER(SEARCH($A46, INDEX(AsistenciaJetAdminConcatenada!$D:$D, MATCH(1, (AsistenciaJetAdminConcatenada!$A:$A=HC$2)*(AsistenciaJetAdminConcatenada!$B:$B=HC$1), 0)), 1))),  0.5, 0))</f>
        <v>0</v>
      </c>
    </row>
    <row r="47" ht="29.25" customHeight="1">
      <c r="A47" s="3">
        <v>120.0</v>
      </c>
      <c r="B47" s="4" t="s">
        <v>637</v>
      </c>
      <c r="C47" s="47">
        <f>SUM(D47:HC47) + ActividadesEspeciales!C47</f>
        <v>39.5</v>
      </c>
      <c r="D47" s="47">
        <f t="array" ref="D47">IF(AND(ISNUMBER(MATCH(D$2, AsistenciaJetAdminConcatenada!$A:$A, 0)), ISNUMBER(MATCH(D$1, AsistenciaJetAdminConcatenada!$B:$B, 0)), ISNUMBER(SEARCH($A47,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ISNUMBER(SEARCH($A47, INDEX(AsistenciaJetAdminConcatenada!$D:$D, MATCH(1, (AsistenciaJetAdminConcatenada!$A:$A=D$2)*(AsistenciaJetAdminConcatenada!$B:$B=D$1), 0)), 1))),  0.5, 0))</f>
        <v>0</v>
      </c>
      <c r="E47" s="47">
        <f t="array" ref="E47">IF(AND(ISNUMBER(MATCH(E$2, AsistenciaJetAdminConcatenada!$A:$A, 0)), ISNUMBER(MATCH(E$1, AsistenciaJetAdminConcatenada!$B:$B, 0)), ISNUMBER(SEARCH($A47,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ISNUMBER(SEARCH($A47, INDEX(AsistenciaJetAdminConcatenada!$D:$D, MATCH(1, (AsistenciaJetAdminConcatenada!$A:$A=E$2)*(AsistenciaJetAdminConcatenada!$B:$B=E$1), 0)), 1))),  0.5, 0))</f>
        <v>1</v>
      </c>
      <c r="F47" s="47">
        <f t="array" ref="F47">IF(AND(ISNUMBER(MATCH(F$2, AsistenciaJetAdminConcatenada!$A:$A, 0)), ISNUMBER(MATCH(F$1, AsistenciaJetAdminConcatenada!$B:$B, 0)), ISNUMBER(SEARCH($A47,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ISNUMBER(SEARCH($A47, INDEX(AsistenciaJetAdminConcatenada!$D:$D, MATCH(1, (AsistenciaJetAdminConcatenada!$A:$A=F$2)*(AsistenciaJetAdminConcatenada!$B:$B=F$1), 0)), 1))),  0.5, 0))</f>
        <v>1</v>
      </c>
      <c r="G47" s="47">
        <f t="array" ref="G47">IF(AND(ISNUMBER(MATCH(G$2, AsistenciaJetAdminConcatenada!$A:$A, 0)), ISNUMBER(MATCH(G$1, AsistenciaJetAdminConcatenada!$B:$B, 0)), ISNUMBER(SEARCH($A47,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ISNUMBER(SEARCH($A47, INDEX(AsistenciaJetAdminConcatenada!$D:$D, MATCH(1, (AsistenciaJetAdminConcatenada!$A:$A=G$2)*(AsistenciaJetAdminConcatenada!$B:$B=G$1), 0)), 1))),  0.5, 0))</f>
        <v>1</v>
      </c>
      <c r="H47" s="47">
        <f t="array" ref="H47">IF(AND(ISNUMBER(MATCH(H$2, AsistenciaJetAdminConcatenada!$A:$A, 0)), ISNUMBER(MATCH(H$1, AsistenciaJetAdminConcatenada!$B:$B, 0)), ISNUMBER(SEARCH($A47,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ISNUMBER(SEARCH($A47, INDEX(AsistenciaJetAdminConcatenada!$D:$D, MATCH(1, (AsistenciaJetAdminConcatenada!$A:$A=H$2)*(AsistenciaJetAdminConcatenada!$B:$B=H$1), 0)), 1))),  0.5, 0))</f>
        <v>1</v>
      </c>
      <c r="I47" s="47">
        <f t="array" ref="I47">IF(AND(ISNUMBER(MATCH(I$2, AsistenciaJetAdminConcatenada!$A:$A, 0)), ISNUMBER(MATCH(I$1, AsistenciaJetAdminConcatenada!$B:$B, 0)), ISNUMBER(SEARCH($A47,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ISNUMBER(SEARCH($A47, INDEX(AsistenciaJetAdminConcatenada!$D:$D, MATCH(1, (AsistenciaJetAdminConcatenada!$A:$A=I$2)*(AsistenciaJetAdminConcatenada!$B:$B=I$1), 0)), 1))),  0.5, 0))</f>
        <v>0</v>
      </c>
      <c r="J47" s="47">
        <f t="array" ref="J47">IF(AND(ISNUMBER(MATCH(J$2, AsistenciaJetAdminConcatenada!$A:$A, 0)), ISNUMBER(MATCH(J$1, AsistenciaJetAdminConcatenada!$B:$B, 0)), ISNUMBER(SEARCH($A47,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ISNUMBER(SEARCH($A47, INDEX(AsistenciaJetAdminConcatenada!$D:$D, MATCH(1, (AsistenciaJetAdminConcatenada!$A:$A=J$2)*(AsistenciaJetAdminConcatenada!$B:$B=J$1), 0)), 1))),  0.5, 0))</f>
        <v>1</v>
      </c>
      <c r="K47" s="47">
        <f t="array" ref="K47">IF(AND(ISNUMBER(MATCH(K$2, AsistenciaJetAdminConcatenada!$A:$A, 0)), ISNUMBER(MATCH(K$1, AsistenciaJetAdminConcatenada!$B:$B, 0)), ISNUMBER(SEARCH($A47,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ISNUMBER(SEARCH($A47, INDEX(AsistenciaJetAdminConcatenada!$D:$D, MATCH(1, (AsistenciaJetAdminConcatenada!$A:$A=K$2)*(AsistenciaJetAdminConcatenada!$B:$B=K$1), 0)), 1))),  0.5, 0))</f>
        <v>1</v>
      </c>
      <c r="L47" s="47">
        <f t="array" ref="L47">IF(AND(ISNUMBER(MATCH(L$2, AsistenciaJetAdminConcatenada!$A:$A, 0)), ISNUMBER(MATCH(L$1, AsistenciaJetAdminConcatenada!$B:$B, 0)), ISNUMBER(SEARCH($A47,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ISNUMBER(SEARCH($A47, INDEX(AsistenciaJetAdminConcatenada!$D:$D, MATCH(1, (AsistenciaJetAdminConcatenada!$A:$A=L$2)*(AsistenciaJetAdminConcatenada!$B:$B=L$1), 0)), 1))),  0.5, 0))</f>
        <v>1</v>
      </c>
      <c r="M47" s="47">
        <f t="array" ref="M47">IF(AND(ISNUMBER(MATCH(M$2, AsistenciaJetAdminConcatenada!$A:$A, 0)), ISNUMBER(MATCH(M$1, AsistenciaJetAdminConcatenada!$B:$B, 0)), ISNUMBER(SEARCH($A47,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ISNUMBER(SEARCH($A47, INDEX(AsistenciaJetAdminConcatenada!$D:$D, MATCH(1, (AsistenciaJetAdminConcatenada!$A:$A=M$2)*(AsistenciaJetAdminConcatenada!$B:$B=M$1), 0)), 1))),  0.5, 0))</f>
        <v>1</v>
      </c>
      <c r="N47" s="47">
        <f t="array" ref="N47">IF(AND(ISNUMBER(MATCH(N$2, AsistenciaJetAdminConcatenada!$A:$A, 0)), ISNUMBER(MATCH(N$1, AsistenciaJetAdminConcatenada!$B:$B, 0)), ISNUMBER(SEARCH($A47,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ISNUMBER(SEARCH($A47, INDEX(AsistenciaJetAdminConcatenada!$D:$D, MATCH(1, (AsistenciaJetAdminConcatenada!$A:$A=N$2)*(AsistenciaJetAdminConcatenada!$B:$B=N$1), 0)), 1))),  0.5, 0))</f>
        <v>0</v>
      </c>
      <c r="O47" s="47">
        <f t="array" ref="O47">IF(AND(ISNUMBER(MATCH(O$2, AsistenciaJetAdminConcatenada!$A:$A, 0)), ISNUMBER(MATCH(O$1, AsistenciaJetAdminConcatenada!$B:$B, 0)), ISNUMBER(SEARCH($A47,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ISNUMBER(SEARCH($A47, INDEX(AsistenciaJetAdminConcatenada!$D:$D, MATCH(1, (AsistenciaJetAdminConcatenada!$A:$A=O$2)*(AsistenciaJetAdminConcatenada!$B:$B=O$1), 0)), 1))),  0.5, 0))</f>
        <v>0</v>
      </c>
      <c r="P47" s="47">
        <f t="array" ref="P47">IF(AND(ISNUMBER(MATCH(P$2, AsistenciaJetAdminConcatenada!$A:$A, 0)), ISNUMBER(MATCH(P$1, AsistenciaJetAdminConcatenada!$B:$B, 0)), ISNUMBER(SEARCH($A47, INDEX(AsistenciaJetAdminConcatenada!$C:$C, MATCH(1, (AsistenciaJetAdminConcatenada!$A:$A=P$2)*(AsistenciaJetAdminConcatenada!$B:$B=P$1), 0)), 1))), 1, IF(AND(ISNUMBER(MATCH(P$2, AsistenciaJetAdminConcatenada!$A:$A, 0)), ISNUMBER(MATCH(P$1, AsistenciaJetAdminConcatenada!$B:$B, 0)), ISNUMBER(SEARCH($A47, INDEX(AsistenciaJetAdminConcatenada!$D:$D, MATCH(1, (AsistenciaJetAdminConcatenada!$A:$A=P$2)*(AsistenciaJetAdminConcatenada!$B:$B=P$1), 0)), 1))),  0.5, 0))</f>
        <v>0</v>
      </c>
      <c r="Q47" s="47">
        <f t="array" ref="Q47">IF(AND(ISNUMBER(MATCH(Q$2, AsistenciaJetAdminConcatenada!$A:$A, 0)), ISNUMBER(MATCH(Q$1, AsistenciaJetAdminConcatenada!$B:$B, 0)), ISNUMBER(SEARCH($A47, INDEX(AsistenciaJetAdminConcatenada!$C:$C, MATCH(1, (AsistenciaJetAdminConcatenada!$A:$A=Q$2)*(AsistenciaJetAdminConcatenada!$B:$B=Q$1), 0)), 1))), 1, IF(AND(ISNUMBER(MATCH(Q$2, AsistenciaJetAdminConcatenada!$A:$A, 0)), ISNUMBER(MATCH(Q$1, AsistenciaJetAdminConcatenada!$B:$B, 0)), ISNUMBER(SEARCH($A47, INDEX(AsistenciaJetAdminConcatenada!$D:$D, MATCH(1, (AsistenciaJetAdminConcatenada!$A:$A=Q$2)*(AsistenciaJetAdminConcatenada!$B:$B=Q$1), 0)), 1))),  0.5, 0))</f>
        <v>0</v>
      </c>
      <c r="R47" s="47">
        <f t="array" ref="R47">IF(AND(ISNUMBER(MATCH(R$2, AsistenciaJetAdminConcatenada!$A:$A, 0)), ISNUMBER(MATCH(R$1, AsistenciaJetAdminConcatenada!$B:$B, 0)), ISNUMBER(SEARCH($A47,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ISNUMBER(SEARCH($A47, INDEX(AsistenciaJetAdminConcatenada!$D:$D, MATCH(1, (AsistenciaJetAdminConcatenada!$A:$A=R$2)*(AsistenciaJetAdminConcatenada!$B:$B=R$1), 0)), 1))),  0.5, 0))</f>
        <v>1</v>
      </c>
      <c r="S47" s="47">
        <f t="array" ref="S47">IF(AND(ISNUMBER(MATCH(S$2, AsistenciaJetAdminConcatenada!$A:$A, 0)), ISNUMBER(MATCH(S$1, AsistenciaJetAdminConcatenada!$B:$B, 0)), ISNUMBER(SEARCH($A47,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ISNUMBER(SEARCH($A47, INDEX(AsistenciaJetAdminConcatenada!$D:$D, MATCH(1, (AsistenciaJetAdminConcatenada!$A:$A=S$2)*(AsistenciaJetAdminConcatenada!$B:$B=S$1), 0)), 1))),  0.5, 0))</f>
        <v>0</v>
      </c>
      <c r="T47" s="47">
        <f t="array" ref="T47">IF(AND(ISNUMBER(MATCH(T$2, AsistenciaJetAdminConcatenada!$A:$A, 0)), ISNUMBER(MATCH(T$1, AsistenciaJetAdminConcatenada!$B:$B, 0)), ISNUMBER(SEARCH($A47,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ISNUMBER(SEARCH($A47, INDEX(AsistenciaJetAdminConcatenada!$D:$D, MATCH(1, (AsistenciaJetAdminConcatenada!$A:$A=T$2)*(AsistenciaJetAdminConcatenada!$B:$B=T$1), 0)), 1))),  0.5, 0))</f>
        <v>0</v>
      </c>
      <c r="U47" s="47">
        <f t="array" ref="U47">IF(AND(ISNUMBER(MATCH(U$2, AsistenciaJetAdminConcatenada!$A:$A, 0)), ISNUMBER(MATCH(U$1, AsistenciaJetAdminConcatenada!$B:$B, 0)), ISNUMBER(SEARCH($A47,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ISNUMBER(SEARCH($A47, INDEX(AsistenciaJetAdminConcatenada!$D:$D, MATCH(1, (AsistenciaJetAdminConcatenada!$A:$A=U$2)*(AsistenciaJetAdminConcatenada!$B:$B=U$1), 0)), 1))),  0.5, 0))</f>
        <v>0.5</v>
      </c>
      <c r="V47" s="47">
        <f t="array" ref="V47">IF(AND(ISNUMBER(MATCH(V$2, AsistenciaJetAdminConcatenada!$A:$A, 0)), ISNUMBER(MATCH(V$1, AsistenciaJetAdminConcatenada!$B:$B, 0)), ISNUMBER(SEARCH($A47,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ISNUMBER(SEARCH($A47, INDEX(AsistenciaJetAdminConcatenada!$D:$D, MATCH(1, (AsistenciaJetAdminConcatenada!$A:$A=V$2)*(AsistenciaJetAdminConcatenada!$B:$B=V$1), 0)), 1))),  0.5, 0))</f>
        <v>0.5</v>
      </c>
      <c r="W47" s="47">
        <f t="array" ref="W47">IF(AND(ISNUMBER(MATCH(W$2, AsistenciaJetAdminConcatenada!$A:$A, 0)), ISNUMBER(MATCH(W$1, AsistenciaJetAdminConcatenada!$B:$B, 0)), ISNUMBER(SEARCH($A47,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ISNUMBER(SEARCH($A47, INDEX(AsistenciaJetAdminConcatenada!$D:$D, MATCH(1, (AsistenciaJetAdminConcatenada!$A:$A=W$2)*(AsistenciaJetAdminConcatenada!$B:$B=W$1), 0)), 1))),  0.5, 0))</f>
        <v>1</v>
      </c>
      <c r="X47" s="47">
        <f t="array" ref="X47">IF(AND(ISNUMBER(MATCH(X$2, AsistenciaJetAdminConcatenada!$A:$A, 0)), ISNUMBER(MATCH(X$1, AsistenciaJetAdminConcatenada!$B:$B, 0)), ISNUMBER(SEARCH($A47,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ISNUMBER(SEARCH($A47, INDEX(AsistenciaJetAdminConcatenada!$D:$D, MATCH(1, (AsistenciaJetAdminConcatenada!$A:$A=X$2)*(AsistenciaJetAdminConcatenada!$B:$B=X$1), 0)), 1))),  0.5, 0))</f>
        <v>0</v>
      </c>
      <c r="Y47" s="47">
        <f t="array" ref="Y47">IF(AND(ISNUMBER(MATCH(Y$2, AsistenciaJetAdminConcatenada!$A:$A, 0)), ISNUMBER(MATCH(Y$1, AsistenciaJetAdminConcatenada!$B:$B, 0)), ISNUMBER(SEARCH($A47,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ISNUMBER(SEARCH($A47, INDEX(AsistenciaJetAdminConcatenada!$D:$D, MATCH(1, (AsistenciaJetAdminConcatenada!$A:$A=Y$2)*(AsistenciaJetAdminConcatenada!$B:$B=Y$1), 0)), 1))),  0.5, 0))</f>
        <v>0</v>
      </c>
      <c r="Z47" s="47">
        <f t="array" ref="Z47">IF(AND(ISNUMBER(MATCH(Z$2, AsistenciaJetAdminConcatenada!$A:$A, 0)), ISNUMBER(MATCH(Z$1, AsistenciaJetAdminConcatenada!$B:$B, 0)), ISNUMBER(SEARCH($A47,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ISNUMBER(SEARCH($A47, INDEX(AsistenciaJetAdminConcatenada!$D:$D, MATCH(1, (AsistenciaJetAdminConcatenada!$A:$A=Z$2)*(AsistenciaJetAdminConcatenada!$B:$B=Z$1), 0)), 1))),  0.5, 0))</f>
        <v>1</v>
      </c>
      <c r="AA47" s="47">
        <f t="array" ref="AA47">IF(AND(ISNUMBER(MATCH(AA$2, AsistenciaJetAdminConcatenada!$A:$A, 0)), ISNUMBER(MATCH(AA$1, AsistenciaJetAdminConcatenada!$B:$B, 0)), ISNUMBER(SEARCH($A47,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ISNUMBER(SEARCH($A47, INDEX(AsistenciaJetAdminConcatenada!$D:$D, MATCH(1, (AsistenciaJetAdminConcatenada!$A:$A=AA$2)*(AsistenciaJetAdminConcatenada!$B:$B=AA$1), 0)), 1))),  0.5, 0))</f>
        <v>1</v>
      </c>
      <c r="AB47" s="47">
        <f t="array" ref="AB47">IF(AND(ISNUMBER(MATCH(AB$2, AsistenciaJetAdminConcatenada!$A:$A, 0)), ISNUMBER(MATCH(AB$1, AsistenciaJetAdminConcatenada!$B:$B, 0)), ISNUMBER(SEARCH($A47,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ISNUMBER(SEARCH($A47, INDEX(AsistenciaJetAdminConcatenada!$D:$D, MATCH(1, (AsistenciaJetAdminConcatenada!$A:$A=AB$2)*(AsistenciaJetAdminConcatenada!$B:$B=AB$1), 0)), 1))),  0.5, 0))</f>
        <v>0</v>
      </c>
      <c r="AC47" s="47">
        <f t="array" ref="AC47">IF(AND(ISNUMBER(MATCH(AC$2, AsistenciaJetAdminConcatenada!$A:$A, 0)), ISNUMBER(MATCH(AC$1, AsistenciaJetAdminConcatenada!$B:$B, 0)), ISNUMBER(SEARCH($A47,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ISNUMBER(SEARCH($A47, INDEX(AsistenciaJetAdminConcatenada!$D:$D, MATCH(1, (AsistenciaJetAdminConcatenada!$A:$A=AC$2)*(AsistenciaJetAdminConcatenada!$B:$B=AC$1), 0)), 1))),  0.5, 0))</f>
        <v>1</v>
      </c>
      <c r="AD47" s="47">
        <f t="array" ref="AD47">IF(AND(ISNUMBER(MATCH(AD$2, AsistenciaJetAdminConcatenada!$A:$A, 0)), ISNUMBER(MATCH(AD$1, AsistenciaJetAdminConcatenada!$B:$B, 0)), ISNUMBER(SEARCH($A47,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ISNUMBER(SEARCH($A47, INDEX(AsistenciaJetAdminConcatenada!$D:$D, MATCH(1, (AsistenciaJetAdminConcatenada!$A:$A=AD$2)*(AsistenciaJetAdminConcatenada!$B:$B=AD$1), 0)), 1))),  0.5, 0))</f>
        <v>1</v>
      </c>
      <c r="AE47" s="47">
        <f t="array" ref="AE47">IF(AND(ISNUMBER(MATCH(AE$2, AsistenciaJetAdminConcatenada!$A:$A, 0)), ISNUMBER(MATCH(AE$1, AsistenciaJetAdminConcatenada!$B:$B, 0)), ISNUMBER(SEARCH($A47,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ISNUMBER(SEARCH($A47, INDEX(AsistenciaJetAdminConcatenada!$D:$D, MATCH(1, (AsistenciaJetAdminConcatenada!$A:$A=AE$2)*(AsistenciaJetAdminConcatenada!$B:$B=AE$1), 0)), 1))),  0.5, 0))</f>
        <v>0</v>
      </c>
      <c r="AF47" s="47">
        <f t="array" ref="AF47">IF(AND(ISNUMBER(MATCH(AF$2, AsistenciaJetAdminConcatenada!$A:$A, 0)), ISNUMBER(MATCH(AF$1, AsistenciaJetAdminConcatenada!$B:$B, 0)), ISNUMBER(SEARCH($A47,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ISNUMBER(SEARCH($A47, INDEX(AsistenciaJetAdminConcatenada!$D:$D, MATCH(1, (AsistenciaJetAdminConcatenada!$A:$A=AF$2)*(AsistenciaJetAdminConcatenada!$B:$B=AF$1), 0)), 1))),  0.5, 0))</f>
        <v>0</v>
      </c>
      <c r="AG47" s="47">
        <f t="array" ref="AG47">IF(AND(ISNUMBER(MATCH(AG$2, AsistenciaJetAdminConcatenada!$A:$A, 0)), ISNUMBER(MATCH(AG$1, AsistenciaJetAdminConcatenada!$B:$B, 0)), ISNUMBER(SEARCH($A47,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ISNUMBER(SEARCH($A47, INDEX(AsistenciaJetAdminConcatenada!$D:$D, MATCH(1, (AsistenciaJetAdminConcatenada!$A:$A=AG$2)*(AsistenciaJetAdminConcatenada!$B:$B=AG$1), 0)), 1))),  0.5, 0))</f>
        <v>0</v>
      </c>
      <c r="AH47" s="47">
        <f t="array" ref="AH47">IF(AND(ISNUMBER(MATCH(AH$2, AsistenciaJetAdminConcatenada!$A:$A, 0)), ISNUMBER(MATCH(AH$1, AsistenciaJetAdminConcatenada!$B:$B, 0)), ISNUMBER(SEARCH($A47,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ISNUMBER(SEARCH($A47, INDEX(AsistenciaJetAdminConcatenada!$D:$D, MATCH(1, (AsistenciaJetAdminConcatenada!$A:$A=AH$2)*(AsistenciaJetAdminConcatenada!$B:$B=AH$1), 0)), 1))),  0.5, 0))</f>
        <v>0</v>
      </c>
      <c r="AI47" s="47">
        <f t="array" ref="AI47">IF(AND(ISNUMBER(MATCH(AI$2, AsistenciaJetAdminConcatenada!$A:$A, 0)), ISNUMBER(MATCH(AI$1, AsistenciaJetAdminConcatenada!$B:$B, 0)), ISNUMBER(SEARCH($A47,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ISNUMBER(SEARCH($A47, INDEX(AsistenciaJetAdminConcatenada!$D:$D, MATCH(1, (AsistenciaJetAdminConcatenada!$A:$A=AI$2)*(AsistenciaJetAdminConcatenada!$B:$B=AI$1), 0)), 1))),  0.5, 0))</f>
        <v>0</v>
      </c>
      <c r="AJ47" s="47">
        <f t="array" ref="AJ47">IF(AND(ISNUMBER(MATCH(AJ$2, AsistenciaJetAdminConcatenada!$A:$A, 0)), ISNUMBER(MATCH(AJ$1, AsistenciaJetAdminConcatenada!$B:$B, 0)), ISNUMBER(SEARCH($A47,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ISNUMBER(SEARCH($A47, INDEX(AsistenciaJetAdminConcatenada!$D:$D, MATCH(1, (AsistenciaJetAdminConcatenada!$A:$A=AJ$2)*(AsistenciaJetAdminConcatenada!$B:$B=AJ$1), 0)), 1))),  0.5, 0))</f>
        <v>1</v>
      </c>
      <c r="AK47" s="47">
        <f t="array" ref="AK47">IF(AND(ISNUMBER(MATCH(AK$2, AsistenciaJetAdminConcatenada!$A:$A, 0)), ISNUMBER(MATCH(AK$1, AsistenciaJetAdminConcatenada!$B:$B, 0)), ISNUMBER(SEARCH($A47,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ISNUMBER(SEARCH($A47, INDEX(AsistenciaJetAdminConcatenada!$D:$D, MATCH(1, (AsistenciaJetAdminConcatenada!$A:$A=AK$2)*(AsistenciaJetAdminConcatenada!$B:$B=AK$1), 0)), 1))),  0.5, 0))</f>
        <v>1</v>
      </c>
      <c r="AL47" s="47">
        <f t="array" ref="AL47">IF(AND(ISNUMBER(MATCH(AL$2, AsistenciaJetAdminConcatenada!$A:$A, 0)), ISNUMBER(MATCH(AL$1, AsistenciaJetAdminConcatenada!$B:$B, 0)), ISNUMBER(SEARCH($A47,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ISNUMBER(SEARCH($A47, INDEX(AsistenciaJetAdminConcatenada!$D:$D, MATCH(1, (AsistenciaJetAdminConcatenada!$A:$A=AL$2)*(AsistenciaJetAdminConcatenada!$B:$B=AL$1), 0)), 1))),  0.5, 0))</f>
        <v>1</v>
      </c>
      <c r="AM47" s="47">
        <f t="array" ref="AM47">IF(AND(ISNUMBER(MATCH(AM$2, AsistenciaJetAdminConcatenada!$A:$A, 0)), ISNUMBER(MATCH(AM$1, AsistenciaJetAdminConcatenada!$B:$B, 0)), ISNUMBER(SEARCH($A47,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ISNUMBER(SEARCH($A47, INDEX(AsistenciaJetAdminConcatenada!$D:$D, MATCH(1, (AsistenciaJetAdminConcatenada!$A:$A=AM$2)*(AsistenciaJetAdminConcatenada!$B:$B=AM$1), 0)), 1))),  0.5, 0))</f>
        <v>1</v>
      </c>
      <c r="AN47" s="47">
        <f t="array" ref="AN47">IF(AND(ISNUMBER(MATCH(AN$2, AsistenciaJetAdminConcatenada!$A:$A, 0)), ISNUMBER(MATCH(AN$1, AsistenciaJetAdminConcatenada!$B:$B, 0)), ISNUMBER(SEARCH($A47,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ISNUMBER(SEARCH($A47, INDEX(AsistenciaJetAdminConcatenada!$D:$D, MATCH(1, (AsistenciaJetAdminConcatenada!$A:$A=AN$2)*(AsistenciaJetAdminConcatenada!$B:$B=AN$1), 0)), 1))),  0.5, 0))</f>
        <v>1</v>
      </c>
      <c r="AO47" s="47">
        <f t="array" ref="AO47">IF(AND(ISNUMBER(MATCH(AO$2, AsistenciaJetAdminConcatenada!$A:$A, 0)), ISNUMBER(MATCH(AO$1, AsistenciaJetAdminConcatenada!$B:$B, 0)), ISNUMBER(SEARCH($A47,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ISNUMBER(SEARCH($A47, INDEX(AsistenciaJetAdminConcatenada!$D:$D, MATCH(1, (AsistenciaJetAdminConcatenada!$A:$A=AO$2)*(AsistenciaJetAdminConcatenada!$B:$B=AO$1), 0)), 1))),  0.5, 0))</f>
        <v>0</v>
      </c>
      <c r="AP47" s="47">
        <f t="array" ref="AP47">IF(AND(ISNUMBER(MATCH(AP$2, AsistenciaJetAdminConcatenada!$A:$A, 0)), ISNUMBER(MATCH(AP$1, AsistenciaJetAdminConcatenada!$B:$B, 0)), ISNUMBER(SEARCH($A47,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ISNUMBER(SEARCH($A47, INDEX(AsistenciaJetAdminConcatenada!$D:$D, MATCH(1, (AsistenciaJetAdminConcatenada!$A:$A=AP$2)*(AsistenciaJetAdminConcatenada!$B:$B=AP$1), 0)), 1))),  0.5, 0))</f>
        <v>0</v>
      </c>
      <c r="AQ47" s="47">
        <f t="array" ref="AQ47">IF(AND(ISNUMBER(MATCH(AQ$2, AsistenciaJetAdminConcatenada!$A:$A, 0)), ISNUMBER(MATCH(AQ$1, AsistenciaJetAdminConcatenada!$B:$B, 0)), ISNUMBER(SEARCH($A47,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ISNUMBER(SEARCH($A47, INDEX(AsistenciaJetAdminConcatenada!$D:$D, MATCH(1, (AsistenciaJetAdminConcatenada!$A:$A=AQ$2)*(AsistenciaJetAdminConcatenada!$B:$B=AQ$1), 0)), 1))),  0.5, 0))</f>
        <v>0</v>
      </c>
      <c r="AR47" s="47">
        <f t="array" ref="AR47">IF(AND(ISNUMBER(MATCH(AR$2, AsistenciaJetAdminConcatenada!$A:$A, 0)), ISNUMBER(MATCH(AR$1, AsistenciaJetAdminConcatenada!$B:$B, 0)), ISNUMBER(SEARCH($A47,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ISNUMBER(SEARCH($A47, INDEX(AsistenciaJetAdminConcatenada!$D:$D, MATCH(1, (AsistenciaJetAdminConcatenada!$A:$A=AR$2)*(AsistenciaJetAdminConcatenada!$B:$B=AR$1), 0)), 1))),  0.5, 0))</f>
        <v>0</v>
      </c>
      <c r="AS47" s="47">
        <f t="array" ref="AS47">IF(AND(ISNUMBER(MATCH(AS$2, AsistenciaJetAdminConcatenada!$A:$A, 0)), ISNUMBER(MATCH(AS$1, AsistenciaJetAdminConcatenada!$B:$B, 0)), ISNUMBER(SEARCH($A47,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ISNUMBER(SEARCH($A47, INDEX(AsistenciaJetAdminConcatenada!$D:$D, MATCH(1, (AsistenciaJetAdminConcatenada!$A:$A=AS$2)*(AsistenciaJetAdminConcatenada!$B:$B=AS$1), 0)), 1))),  0.5, 0))</f>
        <v>0.5</v>
      </c>
      <c r="AT47" s="47">
        <f t="array" ref="AT47">IF(AND(ISNUMBER(MATCH(AT$2, AsistenciaJetAdminConcatenada!$A:$A, 0)), ISNUMBER(MATCH(AT$1, AsistenciaJetAdminConcatenada!$B:$B, 0)), ISNUMBER(SEARCH($A47,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ISNUMBER(SEARCH($A47, INDEX(AsistenciaJetAdminConcatenada!$D:$D, MATCH(1, (AsistenciaJetAdminConcatenada!$A:$A=AT$2)*(AsistenciaJetAdminConcatenada!$B:$B=AT$1), 0)), 1))),  0.5, 0))</f>
        <v>0</v>
      </c>
      <c r="AU47" s="47">
        <f t="array" ref="AU47">IF(AND(ISNUMBER(MATCH(AU$2, AsistenciaJetAdminConcatenada!$A:$A, 0)), ISNUMBER(MATCH(AU$1, AsistenciaJetAdminConcatenada!$B:$B, 0)), ISNUMBER(SEARCH($A47,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ISNUMBER(SEARCH($A47, INDEX(AsistenciaJetAdminConcatenada!$D:$D, MATCH(1, (AsistenciaJetAdminConcatenada!$A:$A=AU$2)*(AsistenciaJetAdminConcatenada!$B:$B=AU$1), 0)), 1))),  0.5, 0))</f>
        <v>0</v>
      </c>
      <c r="AV47" s="47">
        <f t="array" ref="AV47">IF(AND(ISNUMBER(MATCH(AV$2, AsistenciaJetAdminConcatenada!$A:$A, 0)), ISNUMBER(MATCH(AV$1, AsistenciaJetAdminConcatenada!$B:$B, 0)), ISNUMBER(SEARCH($A47,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ISNUMBER(SEARCH($A47, INDEX(AsistenciaJetAdminConcatenada!$D:$D, MATCH(1, (AsistenciaJetAdminConcatenada!$A:$A=AV$2)*(AsistenciaJetAdminConcatenada!$B:$B=AV$1), 0)), 1))),  0.5, 0))</f>
        <v>1</v>
      </c>
      <c r="AW47" s="47">
        <f t="array" ref="AW47">IF(AND(ISNUMBER(MATCH(AW$2, AsistenciaJetAdminConcatenada!$A:$A, 0)), ISNUMBER(MATCH(AW$1, AsistenciaJetAdminConcatenada!$B:$B, 0)), ISNUMBER(SEARCH($A47,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ISNUMBER(SEARCH($A47, INDEX(AsistenciaJetAdminConcatenada!$D:$D, MATCH(1, (AsistenciaJetAdminConcatenada!$A:$A=AW$2)*(AsistenciaJetAdminConcatenada!$B:$B=AW$1), 0)), 1))),  0.5, 0))</f>
        <v>0</v>
      </c>
      <c r="AX47" s="47">
        <f t="array" ref="AX47">IF(AND(ISNUMBER(MATCH(AX$2, AsistenciaJetAdminConcatenada!$A:$A, 0)), ISNUMBER(MATCH(AX$1, AsistenciaJetAdminConcatenada!$B:$B, 0)), ISNUMBER(SEARCH($A47,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ISNUMBER(SEARCH($A47, INDEX(AsistenciaJetAdminConcatenada!$D:$D, MATCH(1, (AsistenciaJetAdminConcatenada!$A:$A=AX$2)*(AsistenciaJetAdminConcatenada!$B:$B=AX$1), 0)), 1))),  0.5, 0))</f>
        <v>0</v>
      </c>
      <c r="AY47" s="47">
        <f t="array" ref="AY47">IF(AND(ISNUMBER(MATCH(AY$2, AsistenciaJetAdminConcatenada!$A:$A, 0)), ISNUMBER(MATCH(AY$1, AsistenciaJetAdminConcatenada!$B:$B, 0)), ISNUMBER(SEARCH($A47,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ISNUMBER(SEARCH($A47, INDEX(AsistenciaJetAdminConcatenada!$D:$D, MATCH(1, (AsistenciaJetAdminConcatenada!$A:$A=AY$2)*(AsistenciaJetAdminConcatenada!$B:$B=AY$1), 0)), 1))),  0.5, 0))</f>
        <v>1</v>
      </c>
      <c r="AZ47" s="47">
        <f t="array" ref="AZ47">IF(AND(ISNUMBER(MATCH(AZ$2, AsistenciaJetAdminConcatenada!$A:$A, 0)), ISNUMBER(MATCH(AZ$1, AsistenciaJetAdminConcatenada!$B:$B, 0)), ISNUMBER(SEARCH($A47,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ISNUMBER(SEARCH($A47, INDEX(AsistenciaJetAdminConcatenada!$D:$D, MATCH(1, (AsistenciaJetAdminConcatenada!$A:$A=AZ$2)*(AsistenciaJetAdminConcatenada!$B:$B=AZ$1), 0)), 1))),  0.5, 0))</f>
        <v>1</v>
      </c>
      <c r="BA47" s="47">
        <f t="array" ref="BA47">IF(AND(ISNUMBER(MATCH(BA$2, AsistenciaJetAdminConcatenada!$A:$A, 0)), ISNUMBER(MATCH(BA$1, AsistenciaJetAdminConcatenada!$B:$B, 0)), ISNUMBER(SEARCH($A47,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ISNUMBER(SEARCH($A47, INDEX(AsistenciaJetAdminConcatenada!$D:$D, MATCH(1, (AsistenciaJetAdminConcatenada!$A:$A=BA$2)*(AsistenciaJetAdminConcatenada!$B:$B=BA$1), 0)), 1))),  0.5, 0))</f>
        <v>0</v>
      </c>
      <c r="BB47" s="47">
        <f t="array" ref="BB47">IF(AND(ISNUMBER(MATCH(BB$2, AsistenciaJetAdminConcatenada!$A:$A, 0)), ISNUMBER(MATCH(BB$1, AsistenciaJetAdminConcatenada!$B:$B, 0)), ISNUMBER(SEARCH($A47,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ISNUMBER(SEARCH($A47, INDEX(AsistenciaJetAdminConcatenada!$D:$D, MATCH(1, (AsistenciaJetAdminConcatenada!$A:$A=BB$2)*(AsistenciaJetAdminConcatenada!$B:$B=BB$1), 0)), 1))),  0.5, 0))</f>
        <v>0</v>
      </c>
      <c r="BC47" s="47">
        <f t="array" ref="BC47">IF(AND(ISNUMBER(MATCH(BC$2, AsistenciaJetAdminConcatenada!$A:$A, 0)), ISNUMBER(MATCH(BC$1, AsistenciaJetAdminConcatenada!$B:$B, 0)), ISNUMBER(SEARCH($A47,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ISNUMBER(SEARCH($A47, INDEX(AsistenciaJetAdminConcatenada!$D:$D, MATCH(1, (AsistenciaJetAdminConcatenada!$A:$A=BC$2)*(AsistenciaJetAdminConcatenada!$B:$B=BC$1), 0)), 1))),  0.5, 0))</f>
        <v>1</v>
      </c>
      <c r="BD47" s="47">
        <f t="array" ref="BD47">IF(AND(ISNUMBER(MATCH(BD$2, AsistenciaJetAdminConcatenada!$A:$A, 0)), ISNUMBER(MATCH(BD$1, AsistenciaJetAdminConcatenada!$B:$B, 0)), ISNUMBER(SEARCH($A47,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ISNUMBER(SEARCH($A47, INDEX(AsistenciaJetAdminConcatenada!$D:$D, MATCH(1, (AsistenciaJetAdminConcatenada!$A:$A=BD$2)*(AsistenciaJetAdminConcatenada!$B:$B=BD$1), 0)), 1))),  0.5, 0))</f>
        <v>0</v>
      </c>
      <c r="BE47" s="47">
        <f t="array" ref="BE47">IF(AND(ISNUMBER(MATCH(BE$2, AsistenciaJetAdminConcatenada!$A:$A, 0)), ISNUMBER(MATCH(BE$1, AsistenciaJetAdminConcatenada!$B:$B, 0)), ISNUMBER(SEARCH($A47,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ISNUMBER(SEARCH($A47, INDEX(AsistenciaJetAdminConcatenada!$D:$D, MATCH(1, (AsistenciaJetAdminConcatenada!$A:$A=BE$2)*(AsistenciaJetAdminConcatenada!$B:$B=BE$1), 0)), 1))),  0.5, 0))</f>
        <v>0</v>
      </c>
      <c r="BF47" s="47">
        <f t="array" ref="BF47">IF(AND(ISNUMBER(MATCH(BF$2, AsistenciaJetAdminConcatenada!$A:$A, 0)), ISNUMBER(MATCH(BF$1, AsistenciaJetAdminConcatenada!$B:$B, 0)), ISNUMBER(SEARCH($A47,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ISNUMBER(SEARCH($A47, INDEX(AsistenciaJetAdminConcatenada!$D:$D, MATCH(1, (AsistenciaJetAdminConcatenada!$A:$A=BF$2)*(AsistenciaJetAdminConcatenada!$B:$B=BF$1), 0)), 1))),  0.5, 0))</f>
        <v>0</v>
      </c>
      <c r="BG47" s="47">
        <f t="array" ref="BG47">IF(AND(ISNUMBER(MATCH(BG$2, AsistenciaJetAdminConcatenada!$A:$A, 0)), ISNUMBER(MATCH(BG$1, AsistenciaJetAdminConcatenada!$B:$B, 0)), ISNUMBER(SEARCH($A47,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ISNUMBER(SEARCH($A47, INDEX(AsistenciaJetAdminConcatenada!$D:$D, MATCH(1, (AsistenciaJetAdminConcatenada!$A:$A=BG$2)*(AsistenciaJetAdminConcatenada!$B:$B=BG$1), 0)), 1))),  0.5, 0))</f>
        <v>0.5</v>
      </c>
      <c r="BH47" s="47">
        <f t="array" ref="BH47">IF(AND(ISNUMBER(MATCH(BH$2, AsistenciaJetAdminConcatenada!$A:$A, 0)), ISNUMBER(MATCH(BH$1, AsistenciaJetAdminConcatenada!$B:$B, 0)), ISNUMBER(SEARCH($A47,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ISNUMBER(SEARCH($A47, INDEX(AsistenciaJetAdminConcatenada!$D:$D, MATCH(1, (AsistenciaJetAdminConcatenada!$A:$A=BH$2)*(AsistenciaJetAdminConcatenada!$B:$B=BH$1), 0)), 1))),  0.5, 0))</f>
        <v>0</v>
      </c>
      <c r="BI47" s="47">
        <f t="array" ref="BI47">IF(AND(ISNUMBER(MATCH(BI$2, AsistenciaJetAdminConcatenada!$A:$A, 0)), ISNUMBER(MATCH(BI$1, AsistenciaJetAdminConcatenada!$B:$B, 0)), ISNUMBER(SEARCH($A47,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ISNUMBER(SEARCH($A47, INDEX(AsistenciaJetAdminConcatenada!$D:$D, MATCH(1, (AsistenciaJetAdminConcatenada!$A:$A=BI$2)*(AsistenciaJetAdminConcatenada!$B:$B=BI$1), 0)), 1))),  0.5, 0))</f>
        <v>0</v>
      </c>
      <c r="BJ47" s="47">
        <f t="array" ref="BJ47">IF(AND(ISNUMBER(MATCH(BJ$2, AsistenciaJetAdminConcatenada!$A:$A, 0)), ISNUMBER(MATCH(BJ$1, AsistenciaJetAdminConcatenada!$B:$B, 0)), ISNUMBER(SEARCH($A47,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ISNUMBER(SEARCH($A47, INDEX(AsistenciaJetAdminConcatenada!$D:$D, MATCH(1, (AsistenciaJetAdminConcatenada!$A:$A=BJ$2)*(AsistenciaJetAdminConcatenada!$B:$B=BJ$1), 0)), 1))),  0.5, 0))</f>
        <v>0</v>
      </c>
      <c r="BK47" s="47">
        <f t="array" ref="BK47">IF(AND(ISNUMBER(MATCH(BK$2, AsistenciaJetAdminConcatenada!$A:$A, 0)), ISNUMBER(MATCH(BK$1, AsistenciaJetAdminConcatenada!$B:$B, 0)), ISNUMBER(SEARCH($A47,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ISNUMBER(SEARCH($A47, INDEX(AsistenciaJetAdminConcatenada!$D:$D, MATCH(1, (AsistenciaJetAdminConcatenada!$A:$A=BK$2)*(AsistenciaJetAdminConcatenada!$B:$B=BK$1), 0)), 1))),  0.5, 0))</f>
        <v>0</v>
      </c>
      <c r="BL47" s="47">
        <f t="array" ref="BL47">IF(AND(ISNUMBER(MATCH(BL$2, AsistenciaJetAdminConcatenada!$A:$A, 0)), ISNUMBER(MATCH(BL$1, AsistenciaJetAdminConcatenada!$B:$B, 0)), ISNUMBER(SEARCH($A47,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ISNUMBER(SEARCH($A47, INDEX(AsistenciaJetAdminConcatenada!$D:$D, MATCH(1, (AsistenciaJetAdminConcatenada!$A:$A=BL$2)*(AsistenciaJetAdminConcatenada!$B:$B=BL$1), 0)), 1))),  0.5, 0))</f>
        <v>0</v>
      </c>
      <c r="BM47" s="47">
        <f t="array" ref="BM47">IF(AND(ISNUMBER(MATCH(BM$2, AsistenciaJetAdminConcatenada!$A:$A, 0)), ISNUMBER(MATCH(BM$1, AsistenciaJetAdminConcatenada!$B:$B, 0)), ISNUMBER(SEARCH($A47,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ISNUMBER(SEARCH($A47, INDEX(AsistenciaJetAdminConcatenada!$D:$D, MATCH(1, (AsistenciaJetAdminConcatenada!$A:$A=BM$2)*(AsistenciaJetAdminConcatenada!$B:$B=BM$1), 0)), 1))),  0.5, 0))</f>
        <v>0.5</v>
      </c>
      <c r="BN47" s="47">
        <f t="array" ref="BN47">IF(AND(ISNUMBER(MATCH(BN$2, AsistenciaJetAdminConcatenada!$A:$A, 0)), ISNUMBER(MATCH(BN$1, AsistenciaJetAdminConcatenada!$B:$B, 0)), ISNUMBER(SEARCH($A47,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ISNUMBER(SEARCH($A47, INDEX(AsistenciaJetAdminConcatenada!$D:$D, MATCH(1, (AsistenciaJetAdminConcatenada!$A:$A=BN$2)*(AsistenciaJetAdminConcatenada!$B:$B=BN$1), 0)), 1))),  0.5, 0))</f>
        <v>1</v>
      </c>
      <c r="BO47" s="47">
        <f t="array" ref="BO47">IF(AND(ISNUMBER(MATCH(BO$2, AsistenciaJetAdminConcatenada!$A:$A, 0)), ISNUMBER(MATCH(BO$1, AsistenciaJetAdminConcatenada!$B:$B, 0)), ISNUMBER(SEARCH($A47,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ISNUMBER(SEARCH($A47, INDEX(AsistenciaJetAdminConcatenada!$D:$D, MATCH(1, (AsistenciaJetAdminConcatenada!$A:$A=BO$2)*(AsistenciaJetAdminConcatenada!$B:$B=BO$1), 0)), 1))),  0.5, 0))</f>
        <v>1</v>
      </c>
      <c r="BP47" s="47">
        <f t="array" ref="BP47">IF(AND(ISNUMBER(MATCH(BP$2, AsistenciaJetAdminConcatenada!$A:$A, 0)), ISNUMBER(MATCH(BP$1, AsistenciaJetAdminConcatenada!$B:$B, 0)), ISNUMBER(SEARCH($A47,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ISNUMBER(SEARCH($A47, INDEX(AsistenciaJetAdminConcatenada!$D:$D, MATCH(1, (AsistenciaJetAdminConcatenada!$A:$A=BP$2)*(AsistenciaJetAdminConcatenada!$B:$B=BP$1), 0)), 1))),  0.5, 0))</f>
        <v>0</v>
      </c>
      <c r="BQ47" s="47">
        <f t="array" ref="BQ47">IF(AND(ISNUMBER(MATCH(BQ$2, AsistenciaJetAdminConcatenada!$A:$A, 0)), ISNUMBER(MATCH(BQ$1, AsistenciaJetAdminConcatenada!$B:$B, 0)), ISNUMBER(SEARCH($A47,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ISNUMBER(SEARCH($A47, INDEX(AsistenciaJetAdminConcatenada!$D:$D, MATCH(1, (AsistenciaJetAdminConcatenada!$A:$A=BQ$2)*(AsistenciaJetAdminConcatenada!$B:$B=BQ$1), 0)), 1))),  0.5, 0))</f>
        <v>0</v>
      </c>
      <c r="BR47" s="47">
        <f t="array" ref="BR47">IF(AND(ISNUMBER(MATCH(BR$2, AsistenciaJetAdminConcatenada!$A:$A, 0)), ISNUMBER(MATCH(BR$1, AsistenciaJetAdminConcatenada!$B:$B, 0)), ISNUMBER(SEARCH($A47,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ISNUMBER(SEARCH($A47, INDEX(AsistenciaJetAdminConcatenada!$D:$D, MATCH(1, (AsistenciaJetAdminConcatenada!$A:$A=BR$2)*(AsistenciaJetAdminConcatenada!$B:$B=BR$1), 0)), 1))),  0.5, 0))</f>
        <v>0</v>
      </c>
      <c r="BS47" s="47">
        <f t="array" ref="BS47">IF(AND(ISNUMBER(MATCH(BS$2, AsistenciaJetAdminConcatenada!$A:$A, 0)), ISNUMBER(MATCH(BS$1, AsistenciaJetAdminConcatenada!$B:$B, 0)), ISNUMBER(SEARCH($A47,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ISNUMBER(SEARCH($A47, INDEX(AsistenciaJetAdminConcatenada!$D:$D, MATCH(1, (AsistenciaJetAdminConcatenada!$A:$A=BS$2)*(AsistenciaJetAdminConcatenada!$B:$B=BS$1), 0)), 1))),  0.5, 0))</f>
        <v>0</v>
      </c>
      <c r="BT47" s="47">
        <f t="array" ref="BT47">IF(AND(ISNUMBER(MATCH(BT$2, AsistenciaJetAdminConcatenada!$A:$A, 0)), ISNUMBER(MATCH(BT$1, AsistenciaJetAdminConcatenada!$B:$B, 0)), ISNUMBER(SEARCH($A47,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ISNUMBER(SEARCH($A47, INDEX(AsistenciaJetAdminConcatenada!$D:$D, MATCH(1, (AsistenciaJetAdminConcatenada!$A:$A=BT$2)*(AsistenciaJetAdminConcatenada!$B:$B=BT$1), 0)), 1))),  0.5, 0))</f>
        <v>1</v>
      </c>
      <c r="BU47" s="47">
        <f t="array" ref="BU47">IF(AND(ISNUMBER(MATCH(BU$2, AsistenciaJetAdminConcatenada!$A:$A, 0)), ISNUMBER(MATCH(BU$1, AsistenciaJetAdminConcatenada!$B:$B, 0)), ISNUMBER(SEARCH($A47,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ISNUMBER(SEARCH($A47, INDEX(AsistenciaJetAdminConcatenada!$D:$D, MATCH(1, (AsistenciaJetAdminConcatenada!$A:$A=BU$2)*(AsistenciaJetAdminConcatenada!$B:$B=BU$1), 0)), 1))),  0.5, 0))</f>
        <v>1</v>
      </c>
      <c r="BV47" s="47">
        <f t="array" ref="BV47">IF(AND(ISNUMBER(MATCH(BV$2, AsistenciaJetAdminConcatenada!$A:$A, 0)), ISNUMBER(MATCH(BV$1, AsistenciaJetAdminConcatenada!$B:$B, 0)), ISNUMBER(SEARCH($A47,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ISNUMBER(SEARCH($A47, INDEX(AsistenciaJetAdminConcatenada!$D:$D, MATCH(1, (AsistenciaJetAdminConcatenada!$A:$A=BV$2)*(AsistenciaJetAdminConcatenada!$B:$B=BV$1), 0)), 1))),  0.5, 0))</f>
        <v>0</v>
      </c>
      <c r="BW47" s="47">
        <f t="array" ref="BW47">IF(AND(ISNUMBER(MATCH(BW$2, AsistenciaJetAdminConcatenada!$A:$A, 0)), ISNUMBER(MATCH(BW$1, AsistenciaJetAdminConcatenada!$B:$B, 0)), ISNUMBER(SEARCH($A47,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ISNUMBER(SEARCH($A47, INDEX(AsistenciaJetAdminConcatenada!$D:$D, MATCH(1, (AsistenciaJetAdminConcatenada!$A:$A=BW$2)*(AsistenciaJetAdminConcatenada!$B:$B=BW$1), 0)), 1))),  0.5, 0))</f>
        <v>1</v>
      </c>
      <c r="BX47" s="47">
        <f t="array" ref="BX47">IF(AND(ISNUMBER(MATCH(BX$2, AsistenciaJetAdminConcatenada!$A:$A, 0)), ISNUMBER(MATCH(BX$1, AsistenciaJetAdminConcatenada!$B:$B, 0)), ISNUMBER(SEARCH($A47,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ISNUMBER(SEARCH($A47, INDEX(AsistenciaJetAdminConcatenada!$D:$D, MATCH(1, (AsistenciaJetAdminConcatenada!$A:$A=BX$2)*(AsistenciaJetAdminConcatenada!$B:$B=BX$1), 0)), 1))),  0.5, 0))</f>
        <v>0</v>
      </c>
      <c r="BY47" s="47">
        <f t="array" ref="BY47">IF(AND(ISNUMBER(MATCH(BY$2, AsistenciaJetAdminConcatenada!$A:$A, 0)), ISNUMBER(MATCH(BY$1, AsistenciaJetAdminConcatenada!$B:$B, 0)), ISNUMBER(SEARCH($A47,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ISNUMBER(SEARCH($A47, INDEX(AsistenciaJetAdminConcatenada!$D:$D, MATCH(1, (AsistenciaJetAdminConcatenada!$A:$A=BY$2)*(AsistenciaJetAdminConcatenada!$B:$B=BY$1), 0)), 1))),  0.5, 0))</f>
        <v>0</v>
      </c>
      <c r="BZ47" s="47">
        <f t="array" ref="BZ47">IF(AND(ISNUMBER(MATCH(BZ$2, AsistenciaJetAdminConcatenada!$A:$A, 0)), ISNUMBER(MATCH(BZ$1, AsistenciaJetAdminConcatenada!$B:$B, 0)), ISNUMBER(SEARCH($A47,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ISNUMBER(SEARCH($A47, INDEX(AsistenciaJetAdminConcatenada!$D:$D, MATCH(1, (AsistenciaJetAdminConcatenada!$A:$A=BZ$2)*(AsistenciaJetAdminConcatenada!$B:$B=BZ$1), 0)), 1))),  0.5, 0))</f>
        <v>0</v>
      </c>
      <c r="CA47" s="47">
        <f t="array" ref="CA47">IF(AND(ISNUMBER(MATCH(CA$2, AsistenciaJetAdminConcatenada!$A:$A, 0)), ISNUMBER(MATCH(CA$1, AsistenciaJetAdminConcatenada!$B:$B, 0)), ISNUMBER(SEARCH($A47,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ISNUMBER(SEARCH($A47, INDEX(AsistenciaJetAdminConcatenada!$D:$D, MATCH(1, (AsistenciaJetAdminConcatenada!$A:$A=CA$2)*(AsistenciaJetAdminConcatenada!$B:$B=CA$1), 0)), 1))),  0.5, 0))</f>
        <v>0</v>
      </c>
      <c r="CB47" s="47">
        <f t="array" ref="CB47">IF(AND(ISNUMBER(MATCH(CB$2, AsistenciaJetAdminConcatenada!$A:$A, 0)), ISNUMBER(MATCH(CB$1, AsistenciaJetAdminConcatenada!$B:$B, 0)), ISNUMBER(SEARCH($A47,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ISNUMBER(SEARCH($A47, INDEX(AsistenciaJetAdminConcatenada!$D:$D, MATCH(1, (AsistenciaJetAdminConcatenada!$A:$A=CB$2)*(AsistenciaJetAdminConcatenada!$B:$B=CB$1), 0)), 1))),  0.5, 0))</f>
        <v>0</v>
      </c>
      <c r="CC47" s="47">
        <f t="array" ref="CC47">IF(AND(ISNUMBER(MATCH(CC$2, AsistenciaJetAdminConcatenada!$A:$A, 0)), ISNUMBER(MATCH(CC$1, AsistenciaJetAdminConcatenada!$B:$B, 0)), ISNUMBER(SEARCH($A47,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ISNUMBER(SEARCH($A47, INDEX(AsistenciaJetAdminConcatenada!$D:$D, MATCH(1, (AsistenciaJetAdminConcatenada!$A:$A=CC$2)*(AsistenciaJetAdminConcatenada!$B:$B=CC$1), 0)), 1))),  0.5, 0))</f>
        <v>0</v>
      </c>
      <c r="CD47" s="47">
        <f t="array" ref="CD47">IF(AND(ISNUMBER(MATCH(CD$2, AsistenciaJetAdminConcatenada!$A:$A, 0)), ISNUMBER(MATCH(CD$1, AsistenciaJetAdminConcatenada!$B:$B, 0)), ISNUMBER(SEARCH($A47,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ISNUMBER(SEARCH($A47, INDEX(AsistenciaJetAdminConcatenada!$D:$D, MATCH(1, (AsistenciaJetAdminConcatenada!$A:$A=CD$2)*(AsistenciaJetAdminConcatenada!$B:$B=CD$1), 0)), 1))),  0.5, 0))</f>
        <v>0</v>
      </c>
      <c r="CE47" s="47">
        <f t="array" ref="CE47">IF(AND(ISNUMBER(MATCH(CE$2, AsistenciaJetAdminConcatenada!$A:$A, 0)), ISNUMBER(MATCH(CE$1, AsistenciaJetAdminConcatenada!$B:$B, 0)), ISNUMBER(SEARCH($A47,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ISNUMBER(SEARCH($A47, INDEX(AsistenciaJetAdminConcatenada!$D:$D, MATCH(1, (AsistenciaJetAdminConcatenada!$A:$A=CE$2)*(AsistenciaJetAdminConcatenada!$B:$B=CE$1), 0)), 1))),  0.5, 0))</f>
        <v>0</v>
      </c>
      <c r="CF47" s="47">
        <f t="array" ref="CF47">IF(AND(ISNUMBER(MATCH(CF$2, AsistenciaJetAdminConcatenada!$A:$A, 0)), ISNUMBER(MATCH(CF$1, AsistenciaJetAdminConcatenada!$B:$B, 0)), ISNUMBER(SEARCH($A47,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ISNUMBER(SEARCH($A47, INDEX(AsistenciaJetAdminConcatenada!$D:$D, MATCH(1, (AsistenciaJetAdminConcatenada!$A:$A=CF$2)*(AsistenciaJetAdminConcatenada!$B:$B=CF$1), 0)), 1))),  0.5, 0))</f>
        <v>0</v>
      </c>
      <c r="CG47" s="47">
        <f t="array" ref="CG47">IF(AND(ISNUMBER(MATCH(CG$2, AsistenciaJetAdminConcatenada!$A:$A, 0)), ISNUMBER(MATCH(CG$1, AsistenciaJetAdminConcatenada!$B:$B, 0)), ISNUMBER(SEARCH($A47,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ISNUMBER(SEARCH($A47, INDEX(AsistenciaJetAdminConcatenada!$D:$D, MATCH(1, (AsistenciaJetAdminConcatenada!$A:$A=CG$2)*(AsistenciaJetAdminConcatenada!$B:$B=CG$1), 0)), 1))),  0.5, 0))</f>
        <v>0</v>
      </c>
      <c r="CH47" s="47">
        <f t="array" ref="CH47">IF(AND(ISNUMBER(MATCH(CH$2, AsistenciaJetAdminConcatenada!$A:$A, 0)), ISNUMBER(MATCH(CH$1, AsistenciaJetAdminConcatenada!$B:$B, 0)), ISNUMBER(SEARCH($A47,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ISNUMBER(SEARCH($A47, INDEX(AsistenciaJetAdminConcatenada!$D:$D, MATCH(1, (AsistenciaJetAdminConcatenada!$A:$A=CH$2)*(AsistenciaJetAdminConcatenada!$B:$B=CH$1), 0)), 1))),  0.5, 0))</f>
        <v>0</v>
      </c>
      <c r="CI47" s="47">
        <f t="array" ref="CI47">IF(AND(ISNUMBER(MATCH(CI$2, AsistenciaJetAdminConcatenada!$A:$A, 0)), ISNUMBER(MATCH(CI$1, AsistenciaJetAdminConcatenada!$B:$B, 0)), ISNUMBER(SEARCH($A47,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ISNUMBER(SEARCH($A47, INDEX(AsistenciaJetAdminConcatenada!$D:$D, MATCH(1, (AsistenciaJetAdminConcatenada!$A:$A=CI$2)*(AsistenciaJetAdminConcatenada!$B:$B=CI$1), 0)), 1))),  0.5, 0))</f>
        <v>0</v>
      </c>
      <c r="CJ47" s="47">
        <f t="array" ref="CJ47">IF(AND(ISNUMBER(MATCH(CJ$2, AsistenciaJetAdminConcatenada!$A:$A, 0)), ISNUMBER(MATCH(CJ$1, AsistenciaJetAdminConcatenada!$B:$B, 0)), ISNUMBER(SEARCH($A47,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ISNUMBER(SEARCH($A47, INDEX(AsistenciaJetAdminConcatenada!$D:$D, MATCH(1, (AsistenciaJetAdminConcatenada!$A:$A=CJ$2)*(AsistenciaJetAdminConcatenada!$B:$B=CJ$1), 0)), 1))),  0.5, 0))</f>
        <v>1</v>
      </c>
      <c r="CK47" s="47">
        <f t="array" ref="CK47">IF(AND(ISNUMBER(MATCH(CK$2, AsistenciaJetAdminConcatenada!$A:$A, 0)), ISNUMBER(MATCH(CK$1, AsistenciaJetAdminConcatenada!$B:$B, 0)), ISNUMBER(SEARCH($A47,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ISNUMBER(SEARCH($A47, INDEX(AsistenciaJetAdminConcatenada!$D:$D, MATCH(1, (AsistenciaJetAdminConcatenada!$A:$A=CK$2)*(AsistenciaJetAdminConcatenada!$B:$B=CK$1), 0)), 1))),  0.5, 0))</f>
        <v>0</v>
      </c>
      <c r="CL47" s="47">
        <f t="array" ref="CL47">IF(AND(ISNUMBER(MATCH(CL$2, AsistenciaJetAdminConcatenada!$A:$A, 0)), ISNUMBER(MATCH(CL$1, AsistenciaJetAdminConcatenada!$B:$B, 0)), ISNUMBER(SEARCH($A47,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ISNUMBER(SEARCH($A47, INDEX(AsistenciaJetAdminConcatenada!$D:$D, MATCH(1, (AsistenciaJetAdminConcatenada!$A:$A=CL$2)*(AsistenciaJetAdminConcatenada!$B:$B=CL$1), 0)), 1))),  0.5, 0))</f>
        <v>1</v>
      </c>
      <c r="CM47" s="47">
        <f t="array" ref="CM47">IF(AND(ISNUMBER(MATCH(CM$2, AsistenciaJetAdminConcatenada!$A:$A, 0)), ISNUMBER(MATCH(CM$1, AsistenciaJetAdminConcatenada!$B:$B, 0)), ISNUMBER(SEARCH($A47,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ISNUMBER(SEARCH($A47, INDEX(AsistenciaJetAdminConcatenada!$D:$D, MATCH(1, (AsistenciaJetAdminConcatenada!$A:$A=CM$2)*(AsistenciaJetAdminConcatenada!$B:$B=CM$1), 0)), 1))),  0.5, 0))</f>
        <v>1</v>
      </c>
      <c r="CN47" s="47">
        <f t="array" ref="CN47">IF(AND(ISNUMBER(MATCH(CN$2, AsistenciaJetAdminConcatenada!$A:$A, 0)), ISNUMBER(MATCH(CN$1, AsistenciaJetAdminConcatenada!$B:$B, 0)), ISNUMBER(SEARCH($A47,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ISNUMBER(SEARCH($A47, INDEX(AsistenciaJetAdminConcatenada!$D:$D, MATCH(1, (AsistenciaJetAdminConcatenada!$A:$A=CN$2)*(AsistenciaJetAdminConcatenada!$B:$B=CN$1), 0)), 1))),  0.5, 0))</f>
        <v>0</v>
      </c>
      <c r="CO47" s="47">
        <f t="array" ref="CO47">IF(AND(ISNUMBER(MATCH(CO$2, AsistenciaJetAdminConcatenada!$A:$A, 0)), ISNUMBER(MATCH(CO$1, AsistenciaJetAdminConcatenada!$B:$B, 0)), ISNUMBER(SEARCH($A47,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ISNUMBER(SEARCH($A47, INDEX(AsistenciaJetAdminConcatenada!$D:$D, MATCH(1, (AsistenciaJetAdminConcatenada!$A:$A=CO$2)*(AsistenciaJetAdminConcatenada!$B:$B=CO$1), 0)), 1))),  0.5, 0))</f>
        <v>1</v>
      </c>
      <c r="CP47" s="47">
        <f t="array" ref="CP47">IF(AND(ISNUMBER(MATCH(CP$2, AsistenciaJetAdminConcatenada!$A:$A, 0)), ISNUMBER(MATCH(CP$1, AsistenciaJetAdminConcatenada!$B:$B, 0)), ISNUMBER(SEARCH($A47,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ISNUMBER(SEARCH($A47, INDEX(AsistenciaJetAdminConcatenada!$D:$D, MATCH(1, (AsistenciaJetAdminConcatenada!$A:$A=CP$2)*(AsistenciaJetAdminConcatenada!$B:$B=CP$1), 0)), 1))),  0.5, 0))</f>
        <v>1</v>
      </c>
      <c r="CQ47" s="47">
        <f t="array" ref="CQ47">IF(AND(ISNUMBER(MATCH(CQ$2, AsistenciaJetAdminConcatenada!$A:$A, 0)), ISNUMBER(MATCH(CQ$1, AsistenciaJetAdminConcatenada!$B:$B, 0)), ISNUMBER(SEARCH($A47,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ISNUMBER(SEARCH($A47, INDEX(AsistenciaJetAdminConcatenada!$D:$D, MATCH(1, (AsistenciaJetAdminConcatenada!$A:$A=CQ$2)*(AsistenciaJetAdminConcatenada!$B:$B=CQ$1), 0)), 1))),  0.5, 0))</f>
        <v>1</v>
      </c>
      <c r="CR47" s="47">
        <f t="array" ref="CR47">IF(AND(ISNUMBER(MATCH(CR$2, AsistenciaJetAdminConcatenada!$A:$A, 0)), ISNUMBER(MATCH(CR$1, AsistenciaJetAdminConcatenada!$B:$B, 0)), ISNUMBER(SEARCH($A47,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ISNUMBER(SEARCH($A47, INDEX(AsistenciaJetAdminConcatenada!$D:$D, MATCH(1, (AsistenciaJetAdminConcatenada!$A:$A=CR$2)*(AsistenciaJetAdminConcatenada!$B:$B=CR$1), 0)), 1))),  0.5, 0))</f>
        <v>1</v>
      </c>
      <c r="CS47" s="47">
        <f t="array" ref="CS47">IF(AND(ISNUMBER(MATCH(CS$2, AsistenciaJetAdminConcatenada!$A:$A, 0)), ISNUMBER(MATCH(CS$1, AsistenciaJetAdminConcatenada!$B:$B, 0)), ISNUMBER(SEARCH($A47,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ISNUMBER(SEARCH($A47, INDEX(AsistenciaJetAdminConcatenada!$D:$D, MATCH(1, (AsistenciaJetAdminConcatenada!$A:$A=CS$2)*(AsistenciaJetAdminConcatenada!$B:$B=CS$1), 0)), 1))),  0.5, 0))</f>
        <v>0</v>
      </c>
      <c r="CT47" s="47">
        <f t="array" ref="CT47">IF(AND(ISNUMBER(MATCH(CT$2, AsistenciaJetAdminConcatenada!$A:$A, 0)), ISNUMBER(MATCH(CT$1, AsistenciaJetAdminConcatenada!$B:$B, 0)), ISNUMBER(SEARCH($A47,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ISNUMBER(SEARCH($A47, INDEX(AsistenciaJetAdminConcatenada!$D:$D, MATCH(1, (AsistenciaJetAdminConcatenada!$A:$A=CT$2)*(AsistenciaJetAdminConcatenada!$B:$B=CT$1), 0)), 1))),  0.5, 0))</f>
        <v>0</v>
      </c>
      <c r="CU47" s="47">
        <f t="array" ref="CU47">IF(AND(ISNUMBER(MATCH(CU$2, AsistenciaJetAdminConcatenada!$A:$A, 0)), ISNUMBER(MATCH(CU$1, AsistenciaJetAdminConcatenada!$B:$B, 0)), ISNUMBER(SEARCH($A47,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ISNUMBER(SEARCH($A47, INDEX(AsistenciaJetAdminConcatenada!$D:$D, MATCH(1, (AsistenciaJetAdminConcatenada!$A:$A=CU$2)*(AsistenciaJetAdminConcatenada!$B:$B=CU$1), 0)), 1))),  0.5, 0))</f>
        <v>0</v>
      </c>
      <c r="CV47" s="47">
        <f t="array" ref="CV47">IF(AND(ISNUMBER(MATCH(CV$2, AsistenciaJetAdminConcatenada!$A:$A, 0)), ISNUMBER(MATCH(CV$1, AsistenciaJetAdminConcatenada!$B:$B, 0)), ISNUMBER(SEARCH($A47,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ISNUMBER(SEARCH($A47, INDEX(AsistenciaJetAdminConcatenada!$D:$D, MATCH(1, (AsistenciaJetAdminConcatenada!$A:$A=CV$2)*(AsistenciaJetAdminConcatenada!$B:$B=CV$1), 0)), 1))),  0.5, 0))</f>
        <v>0</v>
      </c>
      <c r="CW47" s="47">
        <f t="array" ref="CW47">IF(AND(ISNUMBER(MATCH(CW$2, AsistenciaJetAdminConcatenada!$A:$A, 0)), ISNUMBER(MATCH(CW$1, AsistenciaJetAdminConcatenada!$B:$B, 0)), ISNUMBER(SEARCH($A47,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ISNUMBER(SEARCH($A47, INDEX(AsistenciaJetAdminConcatenada!$D:$D, MATCH(1, (AsistenciaJetAdminConcatenada!$A:$A=CW$2)*(AsistenciaJetAdminConcatenada!$B:$B=CW$1), 0)), 1))),  0.5, 0))</f>
        <v>0</v>
      </c>
      <c r="CX47" s="47">
        <f t="array" ref="CX47">IF(AND(ISNUMBER(MATCH(CX$2, AsistenciaJetAdminConcatenada!$A:$A, 0)), ISNUMBER(MATCH(CX$1, AsistenciaJetAdminConcatenada!$B:$B, 0)), ISNUMBER(SEARCH($A47,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ISNUMBER(SEARCH($A47, INDEX(AsistenciaJetAdminConcatenada!$D:$D, MATCH(1, (AsistenciaJetAdminConcatenada!$A:$A=CX$2)*(AsistenciaJetAdminConcatenada!$B:$B=CX$1), 0)), 1))),  0.5, 0))</f>
        <v>0</v>
      </c>
      <c r="CY47" s="47">
        <f t="array" ref="CY47">IF(AND(ISNUMBER(MATCH(CY$2, AsistenciaJetAdminConcatenada!$A:$A, 0)), ISNUMBER(MATCH(CY$1, AsistenciaJetAdminConcatenada!$B:$B, 0)), ISNUMBER(SEARCH($A47,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ISNUMBER(SEARCH($A47, INDEX(AsistenciaJetAdminConcatenada!$D:$D, MATCH(1, (AsistenciaJetAdminConcatenada!$A:$A=CY$2)*(AsistenciaJetAdminConcatenada!$B:$B=CY$1), 0)), 1))),  0.5, 0))</f>
        <v>0</v>
      </c>
      <c r="CZ47" s="47">
        <f t="array" ref="CZ47">IF(AND(ISNUMBER(MATCH(CZ$2, AsistenciaJetAdminConcatenada!$A:$A, 0)), ISNUMBER(MATCH(CZ$1, AsistenciaJetAdminConcatenada!$B:$B, 0)), ISNUMBER(SEARCH($A47,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ISNUMBER(SEARCH($A47, INDEX(AsistenciaJetAdminConcatenada!$D:$D, MATCH(1, (AsistenciaJetAdminConcatenada!$A:$A=CZ$2)*(AsistenciaJetAdminConcatenada!$B:$B=CZ$1), 0)), 1))),  0.5, 0))</f>
        <v>0</v>
      </c>
      <c r="DA47" s="47">
        <f t="array" ref="DA47">IF(AND(ISNUMBER(MATCH(DA$2, AsistenciaJetAdminConcatenada!$A:$A, 0)), ISNUMBER(MATCH(DA$1, AsistenciaJetAdminConcatenada!$B:$B, 0)), ISNUMBER(SEARCH($A47,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ISNUMBER(SEARCH($A47, INDEX(AsistenciaJetAdminConcatenada!$D:$D, MATCH(1, (AsistenciaJetAdminConcatenada!$A:$A=DA$2)*(AsistenciaJetAdminConcatenada!$B:$B=DA$1), 0)), 1))),  0.5, 0))</f>
        <v>0</v>
      </c>
      <c r="DB47" s="47">
        <f t="array" ref="DB47">IF(AND(ISNUMBER(MATCH(DB$2, AsistenciaJetAdminConcatenada!$A:$A, 0)), ISNUMBER(MATCH(DB$1, AsistenciaJetAdminConcatenada!$B:$B, 0)), ISNUMBER(SEARCH($A47,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ISNUMBER(SEARCH($A47, INDEX(AsistenciaJetAdminConcatenada!$D:$D, MATCH(1, (AsistenciaJetAdminConcatenada!$A:$A=DB$2)*(AsistenciaJetAdminConcatenada!$B:$B=DB$1), 0)), 1))),  0.5, 0))</f>
        <v>0</v>
      </c>
      <c r="DC47" s="47">
        <f t="array" ref="DC47">IF(AND(ISNUMBER(MATCH(DC$2, AsistenciaJetAdminConcatenada!$A:$A, 0)), ISNUMBER(MATCH(DC$1, AsistenciaJetAdminConcatenada!$B:$B, 0)), ISNUMBER(SEARCH($A47,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ISNUMBER(SEARCH($A47, INDEX(AsistenciaJetAdminConcatenada!$D:$D, MATCH(1, (AsistenciaJetAdminConcatenada!$A:$A=DC$2)*(AsistenciaJetAdminConcatenada!$B:$B=DC$1), 0)), 1))),  0.5, 0))</f>
        <v>0</v>
      </c>
      <c r="DD47" s="47">
        <f t="array" ref="DD47">IF(AND(ISNUMBER(MATCH(DD$2, AsistenciaJetAdminConcatenada!$A:$A, 0)), ISNUMBER(MATCH(DD$1, AsistenciaJetAdminConcatenada!$B:$B, 0)), ISNUMBER(SEARCH($A47,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ISNUMBER(SEARCH($A47, INDEX(AsistenciaJetAdminConcatenada!$D:$D, MATCH(1, (AsistenciaJetAdminConcatenada!$A:$A=DD$2)*(AsistenciaJetAdminConcatenada!$B:$B=DD$1), 0)), 1))),  0.5, 0))</f>
        <v>0</v>
      </c>
      <c r="DE47" s="47">
        <f t="array" ref="DE47">IF(AND(ISNUMBER(MATCH(DE$2, AsistenciaJetAdminConcatenada!$A:$A, 0)), ISNUMBER(MATCH(DE$1, AsistenciaJetAdminConcatenada!$B:$B, 0)), ISNUMBER(SEARCH($A47,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ISNUMBER(SEARCH($A47, INDEX(AsistenciaJetAdminConcatenada!$D:$D, MATCH(1, (AsistenciaJetAdminConcatenada!$A:$A=DE$2)*(AsistenciaJetAdminConcatenada!$B:$B=DE$1), 0)), 1))),  0.5, 0))</f>
        <v>0</v>
      </c>
      <c r="DF47" s="47">
        <f t="array" ref="DF47">IF(AND(ISNUMBER(MATCH(DF$2, AsistenciaJetAdminConcatenada!$A:$A, 0)), ISNUMBER(MATCH(DF$1, AsistenciaJetAdminConcatenada!$B:$B, 0)), ISNUMBER(SEARCH($A47,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ISNUMBER(SEARCH($A47, INDEX(AsistenciaJetAdminConcatenada!$D:$D, MATCH(1, (AsistenciaJetAdminConcatenada!$A:$A=DF$2)*(AsistenciaJetAdminConcatenada!$B:$B=DF$1), 0)), 1))),  0.5, 0))</f>
        <v>0</v>
      </c>
      <c r="DG47" s="47">
        <f t="array" ref="DG47">IF(AND(ISNUMBER(MATCH(DG$2, AsistenciaJetAdminConcatenada!$A:$A, 0)), ISNUMBER(MATCH(DG$1, AsistenciaJetAdminConcatenada!$B:$B, 0)), ISNUMBER(SEARCH($A47,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ISNUMBER(SEARCH($A47, INDEX(AsistenciaJetAdminConcatenada!$D:$D, MATCH(1, (AsistenciaJetAdminConcatenada!$A:$A=DG$2)*(AsistenciaJetAdminConcatenada!$B:$B=DG$1), 0)), 1))),  0.5, 0))</f>
        <v>0</v>
      </c>
      <c r="DH47" s="47">
        <f t="array" ref="DH47">IF(AND(ISNUMBER(MATCH(DH$2, AsistenciaJetAdminConcatenada!$A:$A, 0)), ISNUMBER(MATCH(DH$1, AsistenciaJetAdminConcatenada!$B:$B, 0)), ISNUMBER(SEARCH($A47,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ISNUMBER(SEARCH($A47, INDEX(AsistenciaJetAdminConcatenada!$D:$D, MATCH(1, (AsistenciaJetAdminConcatenada!$A:$A=DH$2)*(AsistenciaJetAdminConcatenada!$B:$B=DH$1), 0)), 1))),  0.5, 0))</f>
        <v>0</v>
      </c>
      <c r="DI47" s="47">
        <f t="array" ref="DI47">IF(AND(ISNUMBER(MATCH(DI$2, AsistenciaJetAdminConcatenada!$A:$A, 0)), ISNUMBER(MATCH(DI$1, AsistenciaJetAdminConcatenada!$B:$B, 0)), ISNUMBER(SEARCH($A47,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ISNUMBER(SEARCH($A47, INDEX(AsistenciaJetAdminConcatenada!$D:$D, MATCH(1, (AsistenciaJetAdminConcatenada!$A:$A=DI$2)*(AsistenciaJetAdminConcatenada!$B:$B=DI$1), 0)), 1))),  0.5, 0))</f>
        <v>0</v>
      </c>
      <c r="DJ47" s="47">
        <f t="array" ref="DJ47">IF(AND(ISNUMBER(MATCH(DJ$2, AsistenciaJetAdminConcatenada!$A:$A, 0)), ISNUMBER(MATCH(DJ$1, AsistenciaJetAdminConcatenada!$B:$B, 0)), ISNUMBER(SEARCH($A47,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ISNUMBER(SEARCH($A47, INDEX(AsistenciaJetAdminConcatenada!$D:$D, MATCH(1, (AsistenciaJetAdminConcatenada!$A:$A=DJ$2)*(AsistenciaJetAdminConcatenada!$B:$B=DJ$1), 0)), 1))),  0.5, 0))</f>
        <v>0</v>
      </c>
      <c r="DK47" s="47">
        <f t="array" ref="DK47">IF(AND(ISNUMBER(MATCH(DK$2, AsistenciaJetAdminConcatenada!$A:$A, 0)), ISNUMBER(MATCH(DK$1, AsistenciaJetAdminConcatenada!$B:$B, 0)), ISNUMBER(SEARCH($A47,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ISNUMBER(SEARCH($A47, INDEX(AsistenciaJetAdminConcatenada!$D:$D, MATCH(1, (AsistenciaJetAdminConcatenada!$A:$A=DK$2)*(AsistenciaJetAdminConcatenada!$B:$B=DK$1), 0)), 1))),  0.5, 0))</f>
        <v>0</v>
      </c>
      <c r="DL47" s="47">
        <f t="array" ref="DL47">IF(AND(ISNUMBER(MATCH(DL$2, AsistenciaJetAdminConcatenada!$A:$A, 0)), ISNUMBER(MATCH(DL$1, AsistenciaJetAdminConcatenada!$B:$B, 0)), ISNUMBER(SEARCH($A47,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ISNUMBER(SEARCH($A47, INDEX(AsistenciaJetAdminConcatenada!$D:$D, MATCH(1, (AsistenciaJetAdminConcatenada!$A:$A=DL$2)*(AsistenciaJetAdminConcatenada!$B:$B=DL$1), 0)), 1))),  0.5, 0))</f>
        <v>0</v>
      </c>
      <c r="DM47" s="47">
        <f t="array" ref="DM47">IF(AND(ISNUMBER(MATCH(DM$2, AsistenciaJetAdminConcatenada!$A:$A, 0)), ISNUMBER(MATCH(DM$1, AsistenciaJetAdminConcatenada!$B:$B, 0)), ISNUMBER(SEARCH($A47,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ISNUMBER(SEARCH($A47, INDEX(AsistenciaJetAdminConcatenada!$D:$D, MATCH(1, (AsistenciaJetAdminConcatenada!$A:$A=DM$2)*(AsistenciaJetAdminConcatenada!$B:$B=DM$1), 0)), 1))),  0.5, 0))</f>
        <v>0</v>
      </c>
      <c r="DN47" s="47">
        <f t="array" ref="DN47">IF(AND(ISNUMBER(MATCH(DN$2, AsistenciaJetAdminConcatenada!$A:$A, 0)), ISNUMBER(MATCH(DN$1, AsistenciaJetAdminConcatenada!$B:$B, 0)), ISNUMBER(SEARCH($A47,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ISNUMBER(SEARCH($A47, INDEX(AsistenciaJetAdminConcatenada!$D:$D, MATCH(1, (AsistenciaJetAdminConcatenada!$A:$A=DN$2)*(AsistenciaJetAdminConcatenada!$B:$B=DN$1), 0)), 1))),  0.5, 0))</f>
        <v>0</v>
      </c>
      <c r="DO47" s="47">
        <f t="array" ref="DO47">IF(AND(ISNUMBER(MATCH(DO$2, AsistenciaJetAdminConcatenada!$A:$A, 0)), ISNUMBER(MATCH(DO$1, AsistenciaJetAdminConcatenada!$B:$B, 0)), ISNUMBER(SEARCH($A47,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ISNUMBER(SEARCH($A47, INDEX(AsistenciaJetAdminConcatenada!$D:$D, MATCH(1, (AsistenciaJetAdminConcatenada!$A:$A=DO$2)*(AsistenciaJetAdminConcatenada!$B:$B=DO$1), 0)), 1))),  0.5, 0))</f>
        <v>0</v>
      </c>
      <c r="DP47" s="47">
        <f t="array" ref="DP47">IF(AND(ISNUMBER(MATCH(DP$2, AsistenciaJetAdminConcatenada!$A:$A, 0)), ISNUMBER(MATCH(DP$1, AsistenciaJetAdminConcatenada!$B:$B, 0)), ISNUMBER(SEARCH($A47,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ISNUMBER(SEARCH($A47, INDEX(AsistenciaJetAdminConcatenada!$D:$D, MATCH(1, (AsistenciaJetAdminConcatenada!$A:$A=DP$2)*(AsistenciaJetAdminConcatenada!$B:$B=DP$1), 0)), 1))),  0.5, 0))</f>
        <v>0</v>
      </c>
      <c r="DQ47" s="47">
        <f t="array" ref="DQ47">IF(AND(ISNUMBER(MATCH(DQ$2, AsistenciaJetAdminConcatenada!$A:$A, 0)), ISNUMBER(MATCH(DQ$1, AsistenciaJetAdminConcatenada!$B:$B, 0)), ISNUMBER(SEARCH($A47,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ISNUMBER(SEARCH($A47, INDEX(AsistenciaJetAdminConcatenada!$D:$D, MATCH(1, (AsistenciaJetAdminConcatenada!$A:$A=DQ$2)*(AsistenciaJetAdminConcatenada!$B:$B=DQ$1), 0)), 1))),  0.5, 0))</f>
        <v>0</v>
      </c>
      <c r="DR47" s="47">
        <f t="array" ref="DR47">IF(AND(ISNUMBER(MATCH(DR$2, AsistenciaJetAdminConcatenada!$A:$A, 0)), ISNUMBER(MATCH(DR$1, AsistenciaJetAdminConcatenada!$B:$B, 0)), ISNUMBER(SEARCH($A47,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ISNUMBER(SEARCH($A47, INDEX(AsistenciaJetAdminConcatenada!$D:$D, MATCH(1, (AsistenciaJetAdminConcatenada!$A:$A=DR$2)*(AsistenciaJetAdminConcatenada!$B:$B=DR$1), 0)), 1))),  0.5, 0))</f>
        <v>0</v>
      </c>
      <c r="DS47" s="47">
        <f t="array" ref="DS47">IF(AND(ISNUMBER(MATCH(DS$2, AsistenciaJetAdminConcatenada!$A:$A, 0)), ISNUMBER(MATCH(DS$1, AsistenciaJetAdminConcatenada!$B:$B, 0)), ISNUMBER(SEARCH($A47,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ISNUMBER(SEARCH($A47, INDEX(AsistenciaJetAdminConcatenada!$D:$D, MATCH(1, (AsistenciaJetAdminConcatenada!$A:$A=DS$2)*(AsistenciaJetAdminConcatenada!$B:$B=DS$1), 0)), 1))),  0.5, 0))</f>
        <v>0</v>
      </c>
      <c r="DT47" s="47">
        <f t="array" ref="DT47">IF(AND(ISNUMBER(MATCH(DT$2, AsistenciaJetAdminConcatenada!$A:$A, 0)), ISNUMBER(MATCH(DT$1, AsistenciaJetAdminConcatenada!$B:$B, 0)), ISNUMBER(SEARCH($A47,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ISNUMBER(SEARCH($A47, INDEX(AsistenciaJetAdminConcatenada!$D:$D, MATCH(1, (AsistenciaJetAdminConcatenada!$A:$A=DT$2)*(AsistenciaJetAdminConcatenada!$B:$B=DT$1), 0)), 1))),  0.5, 0))</f>
        <v>0</v>
      </c>
      <c r="DU47" s="47">
        <f t="array" ref="DU47">IF(AND(ISNUMBER(MATCH(DU$2, AsistenciaJetAdminConcatenada!$A:$A, 0)), ISNUMBER(MATCH(DU$1, AsistenciaJetAdminConcatenada!$B:$B, 0)), ISNUMBER(SEARCH($A47,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ISNUMBER(SEARCH($A47, INDEX(AsistenciaJetAdminConcatenada!$D:$D, MATCH(1, (AsistenciaJetAdminConcatenada!$A:$A=DU$2)*(AsistenciaJetAdminConcatenada!$B:$B=DU$1), 0)), 1))),  0.5, 0))</f>
        <v>0</v>
      </c>
      <c r="DV47" s="47">
        <f t="array" ref="DV47">IF(AND(ISNUMBER(MATCH(DV$2, AsistenciaJetAdminConcatenada!$A:$A, 0)), ISNUMBER(MATCH(DV$1, AsistenciaJetAdminConcatenada!$B:$B, 0)), ISNUMBER(SEARCH($A47,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ISNUMBER(SEARCH($A47, INDEX(AsistenciaJetAdminConcatenada!$D:$D, MATCH(1, (AsistenciaJetAdminConcatenada!$A:$A=DV$2)*(AsistenciaJetAdminConcatenada!$B:$B=DV$1), 0)), 1))),  0.5, 0))</f>
        <v>0</v>
      </c>
      <c r="DW47" s="47">
        <f t="array" ref="DW47">IF(AND(ISNUMBER(MATCH(DW$2, AsistenciaJetAdminConcatenada!$A:$A, 0)), ISNUMBER(MATCH(DW$1, AsistenciaJetAdminConcatenada!$B:$B, 0)), ISNUMBER(SEARCH($A47,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ISNUMBER(SEARCH($A47, INDEX(AsistenciaJetAdminConcatenada!$D:$D, MATCH(1, (AsistenciaJetAdminConcatenada!$A:$A=DW$2)*(AsistenciaJetAdminConcatenada!$B:$B=DW$1), 0)), 1))),  0.5, 0))</f>
        <v>0</v>
      </c>
      <c r="DX47" s="47">
        <f t="array" ref="DX47">IF(AND(ISNUMBER(MATCH(DX$2, AsistenciaJetAdminConcatenada!$A:$A, 0)), ISNUMBER(MATCH(DX$1, AsistenciaJetAdminConcatenada!$B:$B, 0)), ISNUMBER(SEARCH($A47,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ISNUMBER(SEARCH($A47, INDEX(AsistenciaJetAdminConcatenada!$D:$D, MATCH(1, (AsistenciaJetAdminConcatenada!$A:$A=DX$2)*(AsistenciaJetAdminConcatenada!$B:$B=DX$1), 0)), 1))),  0.5, 0))</f>
        <v>0</v>
      </c>
      <c r="DY47" s="47">
        <f t="array" ref="DY47">IF(AND(ISNUMBER(MATCH(DY$2, AsistenciaJetAdminConcatenada!$A:$A, 0)), ISNUMBER(MATCH(DY$1, AsistenciaJetAdminConcatenada!$B:$B, 0)), ISNUMBER(SEARCH($A47,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ISNUMBER(SEARCH($A47, INDEX(AsistenciaJetAdminConcatenada!$D:$D, MATCH(1, (AsistenciaJetAdminConcatenada!$A:$A=DY$2)*(AsistenciaJetAdminConcatenada!$B:$B=DY$1), 0)), 1))),  0.5, 0))</f>
        <v>0</v>
      </c>
      <c r="DZ47" s="47">
        <f t="array" ref="DZ47">IF(AND(ISNUMBER(MATCH(DZ$2, AsistenciaJetAdminConcatenada!$A:$A, 0)), ISNUMBER(MATCH(DZ$1, AsistenciaJetAdminConcatenada!$B:$B, 0)), ISNUMBER(SEARCH($A47,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ISNUMBER(SEARCH($A47, INDEX(AsistenciaJetAdminConcatenada!$D:$D, MATCH(1, (AsistenciaJetAdminConcatenada!$A:$A=DZ$2)*(AsistenciaJetAdminConcatenada!$B:$B=DZ$1), 0)), 1))),  0.5, 0))</f>
        <v>0</v>
      </c>
      <c r="EA47" s="47">
        <f t="array" ref="EA47">IF(AND(ISNUMBER(MATCH(EA$2, AsistenciaJetAdminConcatenada!$A:$A, 0)), ISNUMBER(MATCH(EA$1, AsistenciaJetAdminConcatenada!$B:$B, 0)), ISNUMBER(SEARCH($A47,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ISNUMBER(SEARCH($A47, INDEX(AsistenciaJetAdminConcatenada!$D:$D, MATCH(1, (AsistenciaJetAdminConcatenada!$A:$A=EA$2)*(AsistenciaJetAdminConcatenada!$B:$B=EA$1), 0)), 1))),  0.5, 0))</f>
        <v>0</v>
      </c>
      <c r="EB47" s="47">
        <f t="array" ref="EB47">IF(AND(ISNUMBER(MATCH(EB$2, AsistenciaJetAdminConcatenada!$A:$A, 0)), ISNUMBER(MATCH(EB$1, AsistenciaJetAdminConcatenada!$B:$B, 0)), ISNUMBER(SEARCH($A47,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ISNUMBER(SEARCH($A47, INDEX(AsistenciaJetAdminConcatenada!$D:$D, MATCH(1, (AsistenciaJetAdminConcatenada!$A:$A=EB$2)*(AsistenciaJetAdminConcatenada!$B:$B=EB$1), 0)), 1))),  0.5, 0))</f>
        <v>0</v>
      </c>
      <c r="EC47" s="47">
        <f t="array" ref="EC47">IF(AND(ISNUMBER(MATCH(EC$2, AsistenciaJetAdminConcatenada!$A:$A, 0)), ISNUMBER(MATCH(EC$1, AsistenciaJetAdminConcatenada!$B:$B, 0)), ISNUMBER(SEARCH($A47,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ISNUMBER(SEARCH($A47, INDEX(AsistenciaJetAdminConcatenada!$D:$D, MATCH(1, (AsistenciaJetAdminConcatenada!$A:$A=EC$2)*(AsistenciaJetAdminConcatenada!$B:$B=EC$1), 0)), 1))),  0.5, 0))</f>
        <v>0</v>
      </c>
      <c r="ED47" s="47">
        <f t="array" ref="ED47">IF(AND(ISNUMBER(MATCH(ED$2, AsistenciaJetAdminConcatenada!$A:$A, 0)), ISNUMBER(MATCH(ED$1, AsistenciaJetAdminConcatenada!$B:$B, 0)), ISNUMBER(SEARCH($A47,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ISNUMBER(SEARCH($A47, INDEX(AsistenciaJetAdminConcatenada!$D:$D, MATCH(1, (AsistenciaJetAdminConcatenada!$A:$A=ED$2)*(AsistenciaJetAdminConcatenada!$B:$B=ED$1), 0)), 1))),  0.5, 0))</f>
        <v>0</v>
      </c>
      <c r="EE47" s="47">
        <f t="array" ref="EE47">IF(AND(ISNUMBER(MATCH(EE$2, AsistenciaJetAdminConcatenada!$A:$A, 0)), ISNUMBER(MATCH(EE$1, AsistenciaJetAdminConcatenada!$B:$B, 0)), ISNUMBER(SEARCH($A47,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ISNUMBER(SEARCH($A47, INDEX(AsistenciaJetAdminConcatenada!$D:$D, MATCH(1, (AsistenciaJetAdminConcatenada!$A:$A=EE$2)*(AsistenciaJetAdminConcatenada!$B:$B=EE$1), 0)), 1))),  0.5, 0))</f>
        <v>0</v>
      </c>
      <c r="EF47" s="47">
        <f t="array" ref="EF47">IF(AND(ISNUMBER(MATCH(EF$2, AsistenciaJetAdminConcatenada!$A:$A, 0)), ISNUMBER(MATCH(EF$1, AsistenciaJetAdminConcatenada!$B:$B, 0)), ISNUMBER(SEARCH($A47,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ISNUMBER(SEARCH($A47, INDEX(AsistenciaJetAdminConcatenada!$D:$D, MATCH(1, (AsistenciaJetAdminConcatenada!$A:$A=EF$2)*(AsistenciaJetAdminConcatenada!$B:$B=EF$1), 0)), 1))),  0.5, 0))</f>
        <v>0</v>
      </c>
      <c r="EG47" s="47">
        <f t="array" ref="EG47">IF(AND(ISNUMBER(MATCH(EG$2, AsistenciaJetAdminConcatenada!$A:$A, 0)), ISNUMBER(MATCH(EG$1, AsistenciaJetAdminConcatenada!$B:$B, 0)), ISNUMBER(SEARCH($A47,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ISNUMBER(SEARCH($A47, INDEX(AsistenciaJetAdminConcatenada!$D:$D, MATCH(1, (AsistenciaJetAdminConcatenada!$A:$A=EG$2)*(AsistenciaJetAdminConcatenada!$B:$B=EG$1), 0)), 1))),  0.5, 0))</f>
        <v>0</v>
      </c>
      <c r="EH47" s="47">
        <f t="array" ref="EH47">IF(AND(ISNUMBER(MATCH(EH$2, AsistenciaJetAdminConcatenada!$A:$A, 0)), ISNUMBER(MATCH(EH$1, AsistenciaJetAdminConcatenada!$B:$B, 0)), ISNUMBER(SEARCH($A47,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ISNUMBER(SEARCH($A47, INDEX(AsistenciaJetAdminConcatenada!$D:$D, MATCH(1, (AsistenciaJetAdminConcatenada!$A:$A=EH$2)*(AsistenciaJetAdminConcatenada!$B:$B=EH$1), 0)), 1))),  0.5, 0))</f>
        <v>0</v>
      </c>
      <c r="EI47" s="47">
        <f t="array" ref="EI47">IF(AND(ISNUMBER(MATCH(EI$2, AsistenciaJetAdminConcatenada!$A:$A, 0)), ISNUMBER(MATCH(EI$1, AsistenciaJetAdminConcatenada!$B:$B, 0)), ISNUMBER(SEARCH($A47,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ISNUMBER(SEARCH($A47, INDEX(AsistenciaJetAdminConcatenada!$D:$D, MATCH(1, (AsistenciaJetAdminConcatenada!$A:$A=EI$2)*(AsistenciaJetAdminConcatenada!$B:$B=EI$1), 0)), 1))),  0.5, 0))</f>
        <v>0</v>
      </c>
      <c r="EJ47" s="47">
        <f t="array" ref="EJ47">IF(AND(ISNUMBER(MATCH(EJ$2, AsistenciaJetAdminConcatenada!$A:$A, 0)), ISNUMBER(MATCH(EJ$1, AsistenciaJetAdminConcatenada!$B:$B, 0)), ISNUMBER(SEARCH($A47,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ISNUMBER(SEARCH($A47, INDEX(AsistenciaJetAdminConcatenada!$D:$D, MATCH(1, (AsistenciaJetAdminConcatenada!$A:$A=EJ$2)*(AsistenciaJetAdminConcatenada!$B:$B=EJ$1), 0)), 1))),  0.5, 0))</f>
        <v>0</v>
      </c>
      <c r="EK47" s="47">
        <f t="array" ref="EK47">IF(AND(ISNUMBER(MATCH(EK$2, AsistenciaJetAdminConcatenada!$A:$A, 0)), ISNUMBER(MATCH(EK$1, AsistenciaJetAdminConcatenada!$B:$B, 0)), ISNUMBER(SEARCH($A47,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ISNUMBER(SEARCH($A47, INDEX(AsistenciaJetAdminConcatenada!$D:$D, MATCH(1, (AsistenciaJetAdminConcatenada!$A:$A=EK$2)*(AsistenciaJetAdminConcatenada!$B:$B=EK$1), 0)), 1))),  0.5, 0))</f>
        <v>0</v>
      </c>
      <c r="EL47" s="47">
        <f t="array" ref="EL47">IF(AND(ISNUMBER(MATCH(EL$2, AsistenciaJetAdminConcatenada!$A:$A, 0)), ISNUMBER(MATCH(EL$1, AsistenciaJetAdminConcatenada!$B:$B, 0)), ISNUMBER(SEARCH($A47,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ISNUMBER(SEARCH($A47, INDEX(AsistenciaJetAdminConcatenada!$D:$D, MATCH(1, (AsistenciaJetAdminConcatenada!$A:$A=EL$2)*(AsistenciaJetAdminConcatenada!$B:$B=EL$1), 0)), 1))),  0.5, 0))</f>
        <v>0</v>
      </c>
      <c r="EM47" s="47">
        <f t="array" ref="EM47">IF(AND(ISNUMBER(MATCH(EM$2, AsistenciaJetAdminConcatenada!$A:$A, 0)), ISNUMBER(MATCH(EM$1, AsistenciaJetAdminConcatenada!$B:$B, 0)), ISNUMBER(SEARCH($A47,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ISNUMBER(SEARCH($A47, INDEX(AsistenciaJetAdminConcatenada!$D:$D, MATCH(1, (AsistenciaJetAdminConcatenada!$A:$A=EM$2)*(AsistenciaJetAdminConcatenada!$B:$B=EM$1), 0)), 1))),  0.5, 0))</f>
        <v>0</v>
      </c>
      <c r="EN47" s="47">
        <f t="array" ref="EN47">IF(AND(ISNUMBER(MATCH(EN$2, AsistenciaJetAdminConcatenada!$A:$A, 0)), ISNUMBER(MATCH(EN$1, AsistenciaJetAdminConcatenada!$B:$B, 0)), ISNUMBER(SEARCH($A47,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ISNUMBER(SEARCH($A47, INDEX(AsistenciaJetAdminConcatenada!$D:$D, MATCH(1, (AsistenciaJetAdminConcatenada!$A:$A=EN$2)*(AsistenciaJetAdminConcatenada!$B:$B=EN$1), 0)), 1))),  0.5, 0))</f>
        <v>0</v>
      </c>
      <c r="EO47" s="47">
        <f t="array" ref="EO47">IF(AND(ISNUMBER(MATCH(EO$2, AsistenciaJetAdminConcatenada!$A:$A, 0)), ISNUMBER(MATCH(EO$1, AsistenciaJetAdminConcatenada!$B:$B, 0)), ISNUMBER(SEARCH($A47,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ISNUMBER(SEARCH($A47, INDEX(AsistenciaJetAdminConcatenada!$D:$D, MATCH(1, (AsistenciaJetAdminConcatenada!$A:$A=EO$2)*(AsistenciaJetAdminConcatenada!$B:$B=EO$1), 0)), 1))),  0.5, 0))</f>
        <v>0</v>
      </c>
      <c r="EP47" s="47">
        <f t="array" ref="EP47">IF(AND(ISNUMBER(MATCH(EP$2, AsistenciaJetAdminConcatenada!$A:$A, 0)), ISNUMBER(MATCH(EP$1, AsistenciaJetAdminConcatenada!$B:$B, 0)), ISNUMBER(SEARCH($A47,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ISNUMBER(SEARCH($A47, INDEX(AsistenciaJetAdminConcatenada!$D:$D, MATCH(1, (AsistenciaJetAdminConcatenada!$A:$A=EP$2)*(AsistenciaJetAdminConcatenada!$B:$B=EP$1), 0)), 1))),  0.5, 0))</f>
        <v>0</v>
      </c>
      <c r="EQ47" s="47">
        <f t="array" ref="EQ47">IF(AND(ISNUMBER(MATCH(EQ$2, AsistenciaJetAdminConcatenada!$A:$A, 0)), ISNUMBER(MATCH(EQ$1, AsistenciaJetAdminConcatenada!$B:$B, 0)), ISNUMBER(SEARCH($A47,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ISNUMBER(SEARCH($A47, INDEX(AsistenciaJetAdminConcatenada!$D:$D, MATCH(1, (AsistenciaJetAdminConcatenada!$A:$A=EQ$2)*(AsistenciaJetAdminConcatenada!$B:$B=EQ$1), 0)), 1))),  0.5, 0))</f>
        <v>0</v>
      </c>
      <c r="ER47" s="47">
        <f t="array" ref="ER47">IF(AND(ISNUMBER(MATCH(ER$2, AsistenciaJetAdminConcatenada!$A:$A, 0)), ISNUMBER(MATCH(ER$1, AsistenciaJetAdminConcatenada!$B:$B, 0)), ISNUMBER(SEARCH($A47,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ISNUMBER(SEARCH($A47, INDEX(AsistenciaJetAdminConcatenada!$D:$D, MATCH(1, (AsistenciaJetAdminConcatenada!$A:$A=ER$2)*(AsistenciaJetAdminConcatenada!$B:$B=ER$1), 0)), 1))),  0.5, 0))</f>
        <v>0</v>
      </c>
      <c r="ES47" s="47">
        <f t="array" ref="ES47">IF(AND(ISNUMBER(MATCH(ES$2, AsistenciaJetAdminConcatenada!$A:$A, 0)), ISNUMBER(MATCH(ES$1, AsistenciaJetAdminConcatenada!$B:$B, 0)), ISNUMBER(SEARCH($A47,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ISNUMBER(SEARCH($A47, INDEX(AsistenciaJetAdminConcatenada!$D:$D, MATCH(1, (AsistenciaJetAdminConcatenada!$A:$A=ES$2)*(AsistenciaJetAdminConcatenada!$B:$B=ES$1), 0)), 1))),  0.5, 0))</f>
        <v>0</v>
      </c>
      <c r="ET47" s="47">
        <f t="array" ref="ET47">IF(AND(ISNUMBER(MATCH(ET$2, AsistenciaJetAdminConcatenada!$A:$A, 0)), ISNUMBER(MATCH(ET$1, AsistenciaJetAdminConcatenada!$B:$B, 0)), ISNUMBER(SEARCH($A47,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ISNUMBER(SEARCH($A47, INDEX(AsistenciaJetAdminConcatenada!$D:$D, MATCH(1, (AsistenciaJetAdminConcatenada!$A:$A=ET$2)*(AsistenciaJetAdminConcatenada!$B:$B=ET$1), 0)), 1))),  0.5, 0))</f>
        <v>0</v>
      </c>
      <c r="EU47" s="47">
        <f t="array" ref="EU47">IF(AND(ISNUMBER(MATCH(EU$2, AsistenciaJetAdminConcatenada!$A:$A, 0)), ISNUMBER(MATCH(EU$1, AsistenciaJetAdminConcatenada!$B:$B, 0)), ISNUMBER(SEARCH($A47,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ISNUMBER(SEARCH($A47, INDEX(AsistenciaJetAdminConcatenada!$D:$D, MATCH(1, (AsistenciaJetAdminConcatenada!$A:$A=EU$2)*(AsistenciaJetAdminConcatenada!$B:$B=EU$1), 0)), 1))),  0.5, 0))</f>
        <v>0</v>
      </c>
      <c r="EV47" s="47">
        <f t="array" ref="EV47">IF(AND(ISNUMBER(MATCH(EV$2, AsistenciaJetAdminConcatenada!$A:$A, 0)), ISNUMBER(MATCH(EV$1, AsistenciaJetAdminConcatenada!$B:$B, 0)), ISNUMBER(SEARCH($A47,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ISNUMBER(SEARCH($A47, INDEX(AsistenciaJetAdminConcatenada!$D:$D, MATCH(1, (AsistenciaJetAdminConcatenada!$A:$A=EV$2)*(AsistenciaJetAdminConcatenada!$B:$B=EV$1), 0)), 1))),  0.5, 0))</f>
        <v>0</v>
      </c>
      <c r="EW47" s="47">
        <f t="array" ref="EW47">IF(AND(ISNUMBER(MATCH(EW$2, AsistenciaJetAdminConcatenada!$A:$A, 0)), ISNUMBER(MATCH(EW$1, AsistenciaJetAdminConcatenada!$B:$B, 0)), ISNUMBER(SEARCH($A47,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ISNUMBER(SEARCH($A47, INDEX(AsistenciaJetAdminConcatenada!$D:$D, MATCH(1, (AsistenciaJetAdminConcatenada!$A:$A=EW$2)*(AsistenciaJetAdminConcatenada!$B:$B=EW$1), 0)), 1))),  0.5, 0))</f>
        <v>0</v>
      </c>
      <c r="EX47" s="47">
        <f t="array" ref="EX47">IF(AND(ISNUMBER(MATCH(EX$2, AsistenciaJetAdminConcatenada!$A:$A, 0)), ISNUMBER(MATCH(EX$1, AsistenciaJetAdminConcatenada!$B:$B, 0)), ISNUMBER(SEARCH($A47,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ISNUMBER(SEARCH($A47, INDEX(AsistenciaJetAdminConcatenada!$D:$D, MATCH(1, (AsistenciaJetAdminConcatenada!$A:$A=EX$2)*(AsistenciaJetAdminConcatenada!$B:$B=EX$1), 0)), 1))),  0.5, 0))</f>
        <v>0</v>
      </c>
      <c r="EY47" s="47">
        <f t="array" ref="EY47">IF(AND(ISNUMBER(MATCH(EY$2, AsistenciaJetAdminConcatenada!$A:$A, 0)), ISNUMBER(MATCH(EY$1, AsistenciaJetAdminConcatenada!$B:$B, 0)), ISNUMBER(SEARCH($A47,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ISNUMBER(SEARCH($A47, INDEX(AsistenciaJetAdminConcatenada!$D:$D, MATCH(1, (AsistenciaJetAdminConcatenada!$A:$A=EY$2)*(AsistenciaJetAdminConcatenada!$B:$B=EY$1), 0)), 1))),  0.5, 0))</f>
        <v>0</v>
      </c>
      <c r="EZ47" s="47">
        <f t="array" ref="EZ47">IF(AND(ISNUMBER(MATCH(EZ$2, AsistenciaJetAdminConcatenada!$A:$A, 0)), ISNUMBER(MATCH(EZ$1, AsistenciaJetAdminConcatenada!$B:$B, 0)), ISNUMBER(SEARCH($A47,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ISNUMBER(SEARCH($A47, INDEX(AsistenciaJetAdminConcatenada!$D:$D, MATCH(1, (AsistenciaJetAdminConcatenada!$A:$A=EZ$2)*(AsistenciaJetAdminConcatenada!$B:$B=EZ$1), 0)), 1))),  0.5, 0))</f>
        <v>0</v>
      </c>
      <c r="FA47" s="47">
        <f t="array" ref="FA47">IF(AND(ISNUMBER(MATCH(FA$2, AsistenciaJetAdminConcatenada!$A:$A, 0)), ISNUMBER(MATCH(FA$1, AsistenciaJetAdminConcatenada!$B:$B, 0)), ISNUMBER(SEARCH($A47,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ISNUMBER(SEARCH($A47, INDEX(AsistenciaJetAdminConcatenada!$D:$D, MATCH(1, (AsistenciaJetAdminConcatenada!$A:$A=FA$2)*(AsistenciaJetAdminConcatenada!$B:$B=FA$1), 0)), 1))),  0.5, 0))</f>
        <v>0</v>
      </c>
      <c r="FB47" s="47">
        <f t="array" ref="FB47">IF(AND(ISNUMBER(MATCH(FB$2, AsistenciaJetAdminConcatenada!$A:$A, 0)), ISNUMBER(MATCH(FB$1, AsistenciaJetAdminConcatenada!$B:$B, 0)), ISNUMBER(SEARCH($A47,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ISNUMBER(SEARCH($A47, INDEX(AsistenciaJetAdminConcatenada!$D:$D, MATCH(1, (AsistenciaJetAdminConcatenada!$A:$A=FB$2)*(AsistenciaJetAdminConcatenada!$B:$B=FB$1), 0)), 1))),  0.5, 0))</f>
        <v>0</v>
      </c>
      <c r="FC47" s="47">
        <f t="array" ref="FC47">IF(AND(ISNUMBER(MATCH(FC$2, AsistenciaJetAdminConcatenada!$A:$A, 0)), ISNUMBER(MATCH(FC$1, AsistenciaJetAdminConcatenada!$B:$B, 0)), ISNUMBER(SEARCH($A47,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ISNUMBER(SEARCH($A47, INDEX(AsistenciaJetAdminConcatenada!$D:$D, MATCH(1, (AsistenciaJetAdminConcatenada!$A:$A=FC$2)*(AsistenciaJetAdminConcatenada!$B:$B=FC$1), 0)), 1))),  0.5, 0))</f>
        <v>0</v>
      </c>
      <c r="FD47" s="47">
        <f t="array" ref="FD47">IF(AND(ISNUMBER(MATCH(FD$2, AsistenciaJetAdminConcatenada!$A:$A, 0)), ISNUMBER(MATCH(FD$1, AsistenciaJetAdminConcatenada!$B:$B, 0)), ISNUMBER(SEARCH($A47,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ISNUMBER(SEARCH($A47, INDEX(AsistenciaJetAdminConcatenada!$D:$D, MATCH(1, (AsistenciaJetAdminConcatenada!$A:$A=FD$2)*(AsistenciaJetAdminConcatenada!$B:$B=FD$1), 0)), 1))),  0.5, 0))</f>
        <v>0</v>
      </c>
      <c r="FE47" s="47">
        <f t="array" ref="FE47">IF(AND(ISNUMBER(MATCH(FE$2, AsistenciaJetAdminConcatenada!$A:$A, 0)), ISNUMBER(MATCH(FE$1, AsistenciaJetAdminConcatenada!$B:$B, 0)), ISNUMBER(SEARCH($A47,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ISNUMBER(SEARCH($A47, INDEX(AsistenciaJetAdminConcatenada!$D:$D, MATCH(1, (AsistenciaJetAdminConcatenada!$A:$A=FE$2)*(AsistenciaJetAdminConcatenada!$B:$B=FE$1), 0)), 1))),  0.5, 0))</f>
        <v>0</v>
      </c>
      <c r="FF47" s="47">
        <f t="array" ref="FF47">IF(AND(ISNUMBER(MATCH(FF$2, AsistenciaJetAdminConcatenada!$A:$A, 0)), ISNUMBER(MATCH(FF$1, AsistenciaJetAdminConcatenada!$B:$B, 0)), ISNUMBER(SEARCH($A47,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ISNUMBER(SEARCH($A47, INDEX(AsistenciaJetAdminConcatenada!$D:$D, MATCH(1, (AsistenciaJetAdminConcatenada!$A:$A=FF$2)*(AsistenciaJetAdminConcatenada!$B:$B=FF$1), 0)), 1))),  0.5, 0))</f>
        <v>0</v>
      </c>
      <c r="FG47" s="47">
        <f t="array" ref="FG47">IF(AND(ISNUMBER(MATCH(FG$2, AsistenciaJetAdminConcatenada!$A:$A, 0)), ISNUMBER(MATCH(FG$1, AsistenciaJetAdminConcatenada!$B:$B, 0)), ISNUMBER(SEARCH($A47,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ISNUMBER(SEARCH($A47, INDEX(AsistenciaJetAdminConcatenada!$D:$D, MATCH(1, (AsistenciaJetAdminConcatenada!$A:$A=FG$2)*(AsistenciaJetAdminConcatenada!$B:$B=FG$1), 0)), 1))),  0.5, 0))</f>
        <v>0</v>
      </c>
      <c r="FH47" s="47">
        <f t="array" ref="FH47">IF(AND(ISNUMBER(MATCH(FH$2, AsistenciaJetAdminConcatenada!$A:$A, 0)), ISNUMBER(MATCH(FH$1, AsistenciaJetAdminConcatenada!$B:$B, 0)), ISNUMBER(SEARCH($A47,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ISNUMBER(SEARCH($A47, INDEX(AsistenciaJetAdminConcatenada!$D:$D, MATCH(1, (AsistenciaJetAdminConcatenada!$A:$A=FH$2)*(AsistenciaJetAdminConcatenada!$B:$B=FH$1), 0)), 1))),  0.5, 0))</f>
        <v>0</v>
      </c>
      <c r="FI47" s="47">
        <f t="array" ref="FI47">IF(AND(ISNUMBER(MATCH(FI$2, AsistenciaJetAdminConcatenada!$A:$A, 0)), ISNUMBER(MATCH(FI$1, AsistenciaJetAdminConcatenada!$B:$B, 0)), ISNUMBER(SEARCH($A47,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ISNUMBER(SEARCH($A47, INDEX(AsistenciaJetAdminConcatenada!$D:$D, MATCH(1, (AsistenciaJetAdminConcatenada!$A:$A=FI$2)*(AsistenciaJetAdminConcatenada!$B:$B=FI$1), 0)), 1))),  0.5, 0))</f>
        <v>0</v>
      </c>
      <c r="FJ47" s="47">
        <f t="array" ref="FJ47">IF(AND(ISNUMBER(MATCH(FJ$2, AsistenciaJetAdminConcatenada!$A:$A, 0)), ISNUMBER(MATCH(FJ$1, AsistenciaJetAdminConcatenada!$B:$B, 0)), ISNUMBER(SEARCH($A47,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ISNUMBER(SEARCH($A47, INDEX(AsistenciaJetAdminConcatenada!$D:$D, MATCH(1, (AsistenciaJetAdminConcatenada!$A:$A=FJ$2)*(AsistenciaJetAdminConcatenada!$B:$B=FJ$1), 0)), 1))),  0.5, 0))</f>
        <v>0</v>
      </c>
      <c r="FK47" s="47">
        <f t="array" ref="FK47">IF(AND(ISNUMBER(MATCH(FK$2, AsistenciaJetAdminConcatenada!$A:$A, 0)), ISNUMBER(MATCH(FK$1, AsistenciaJetAdminConcatenada!$B:$B, 0)), ISNUMBER(SEARCH($A47,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ISNUMBER(SEARCH($A47, INDEX(AsistenciaJetAdminConcatenada!$D:$D, MATCH(1, (AsistenciaJetAdminConcatenada!$A:$A=FK$2)*(AsistenciaJetAdminConcatenada!$B:$B=FK$1), 0)), 1))),  0.5, 0))</f>
        <v>0</v>
      </c>
      <c r="FL47" s="47">
        <f t="array" ref="FL47">IF(AND(ISNUMBER(MATCH(FL$2, AsistenciaJetAdminConcatenada!$A:$A, 0)), ISNUMBER(MATCH(FL$1, AsistenciaJetAdminConcatenada!$B:$B, 0)), ISNUMBER(SEARCH($A47,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ISNUMBER(SEARCH($A47, INDEX(AsistenciaJetAdminConcatenada!$D:$D, MATCH(1, (AsistenciaJetAdminConcatenada!$A:$A=FL$2)*(AsistenciaJetAdminConcatenada!$B:$B=FL$1), 0)), 1))),  0.5, 0))</f>
        <v>0</v>
      </c>
      <c r="FM47" s="47">
        <f t="array" ref="FM47">IF(AND(ISNUMBER(MATCH(FM$2, AsistenciaJetAdminConcatenada!$A:$A, 0)), ISNUMBER(MATCH(FM$1, AsistenciaJetAdminConcatenada!$B:$B, 0)), ISNUMBER(SEARCH($A47,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ISNUMBER(SEARCH($A47, INDEX(AsistenciaJetAdminConcatenada!$D:$D, MATCH(1, (AsistenciaJetAdminConcatenada!$A:$A=FM$2)*(AsistenciaJetAdminConcatenada!$B:$B=FM$1), 0)), 1))),  0.5, 0))</f>
        <v>0</v>
      </c>
      <c r="FN47" s="47">
        <f t="array" ref="FN47">IF(AND(ISNUMBER(MATCH(FN$2, AsistenciaJetAdminConcatenada!$A:$A, 0)), ISNUMBER(MATCH(FN$1, AsistenciaJetAdminConcatenada!$B:$B, 0)), ISNUMBER(SEARCH($A47,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ISNUMBER(SEARCH($A47, INDEX(AsistenciaJetAdminConcatenada!$D:$D, MATCH(1, (AsistenciaJetAdminConcatenada!$A:$A=FN$2)*(AsistenciaJetAdminConcatenada!$B:$B=FN$1), 0)), 1))),  0.5, 0))</f>
        <v>0</v>
      </c>
      <c r="FO47" s="47">
        <f t="array" ref="FO47">IF(AND(ISNUMBER(MATCH(FO$2, AsistenciaJetAdminConcatenada!$A:$A, 0)), ISNUMBER(MATCH(FO$1, AsistenciaJetAdminConcatenada!$B:$B, 0)), ISNUMBER(SEARCH($A47,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ISNUMBER(SEARCH($A47, INDEX(AsistenciaJetAdminConcatenada!$D:$D, MATCH(1, (AsistenciaJetAdminConcatenada!$A:$A=FO$2)*(AsistenciaJetAdminConcatenada!$B:$B=FO$1), 0)), 1))),  0.5, 0))</f>
        <v>0</v>
      </c>
      <c r="FP47" s="47">
        <f t="array" ref="FP47">IF(AND(ISNUMBER(MATCH(FP$2, AsistenciaJetAdminConcatenada!$A:$A, 0)), ISNUMBER(MATCH(FP$1, AsistenciaJetAdminConcatenada!$B:$B, 0)), ISNUMBER(SEARCH($A47,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ISNUMBER(SEARCH($A47, INDEX(AsistenciaJetAdminConcatenada!$D:$D, MATCH(1, (AsistenciaJetAdminConcatenada!$A:$A=FP$2)*(AsistenciaJetAdminConcatenada!$B:$B=FP$1), 0)), 1))),  0.5, 0))</f>
        <v>0</v>
      </c>
      <c r="FQ47" s="47">
        <f t="array" ref="FQ47">IF(AND(ISNUMBER(MATCH(FQ$2, AsistenciaJetAdminConcatenada!$A:$A, 0)), ISNUMBER(MATCH(FQ$1, AsistenciaJetAdminConcatenada!$B:$B, 0)), ISNUMBER(SEARCH($A47,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ISNUMBER(SEARCH($A47, INDEX(AsistenciaJetAdminConcatenada!$D:$D, MATCH(1, (AsistenciaJetAdminConcatenada!$A:$A=FQ$2)*(AsistenciaJetAdminConcatenada!$B:$B=FQ$1), 0)), 1))),  0.5, 0))</f>
        <v>0</v>
      </c>
      <c r="FR47" s="47">
        <f t="array" ref="FR47">IF(AND(ISNUMBER(MATCH(FR$2, AsistenciaJetAdminConcatenada!$A:$A, 0)), ISNUMBER(MATCH(FR$1, AsistenciaJetAdminConcatenada!$B:$B, 0)), ISNUMBER(SEARCH($A47,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ISNUMBER(SEARCH($A47, INDEX(AsistenciaJetAdminConcatenada!$D:$D, MATCH(1, (AsistenciaJetAdminConcatenada!$A:$A=FR$2)*(AsistenciaJetAdminConcatenada!$B:$B=FR$1), 0)), 1))),  0.5, 0))</f>
        <v>0</v>
      </c>
      <c r="FS47" s="47">
        <f t="array" ref="FS47">IF(AND(ISNUMBER(MATCH(FS$2, AsistenciaJetAdminConcatenada!$A:$A, 0)), ISNUMBER(MATCH(FS$1, AsistenciaJetAdminConcatenada!$B:$B, 0)), ISNUMBER(SEARCH($A47,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ISNUMBER(SEARCH($A47, INDEX(AsistenciaJetAdminConcatenada!$D:$D, MATCH(1, (AsistenciaJetAdminConcatenada!$A:$A=FS$2)*(AsistenciaJetAdminConcatenada!$B:$B=FS$1), 0)), 1))),  0.5, 0))</f>
        <v>0</v>
      </c>
      <c r="FT47" s="47">
        <f t="array" ref="FT47">IF(AND(ISNUMBER(MATCH(FT$2, AsistenciaJetAdminConcatenada!$A:$A, 0)), ISNUMBER(MATCH(FT$1, AsistenciaJetAdminConcatenada!$B:$B, 0)), ISNUMBER(SEARCH($A47,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ISNUMBER(SEARCH($A47, INDEX(AsistenciaJetAdminConcatenada!$D:$D, MATCH(1, (AsistenciaJetAdminConcatenada!$A:$A=FT$2)*(AsistenciaJetAdminConcatenada!$B:$B=FT$1), 0)), 1))),  0.5, 0))</f>
        <v>0</v>
      </c>
      <c r="FU47" s="47">
        <f t="array" ref="FU47">IF(AND(ISNUMBER(MATCH(FU$2, AsistenciaJetAdminConcatenada!$A:$A, 0)), ISNUMBER(MATCH(FU$1, AsistenciaJetAdminConcatenada!$B:$B, 0)), ISNUMBER(SEARCH($A47,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ISNUMBER(SEARCH($A47, INDEX(AsistenciaJetAdminConcatenada!$D:$D, MATCH(1, (AsistenciaJetAdminConcatenada!$A:$A=FU$2)*(AsistenciaJetAdminConcatenada!$B:$B=FU$1), 0)), 1))),  0.5, 0))</f>
        <v>0</v>
      </c>
      <c r="FV47" s="47">
        <f t="array" ref="FV47">IF(AND(ISNUMBER(MATCH(FV$2, AsistenciaJetAdminConcatenada!$A:$A, 0)), ISNUMBER(MATCH(FV$1, AsistenciaJetAdminConcatenada!$B:$B, 0)), ISNUMBER(SEARCH($A47,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ISNUMBER(SEARCH($A47, INDEX(AsistenciaJetAdminConcatenada!$D:$D, MATCH(1, (AsistenciaJetAdminConcatenada!$A:$A=FV$2)*(AsistenciaJetAdminConcatenada!$B:$B=FV$1), 0)), 1))),  0.5, 0))</f>
        <v>0</v>
      </c>
      <c r="FW47" s="47">
        <f t="array" ref="FW47">IF(AND(ISNUMBER(MATCH(FW$2, AsistenciaJetAdminConcatenada!$A:$A, 0)), ISNUMBER(MATCH(FW$1, AsistenciaJetAdminConcatenada!$B:$B, 0)), ISNUMBER(SEARCH($A47,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ISNUMBER(SEARCH($A47, INDEX(AsistenciaJetAdminConcatenada!$D:$D, MATCH(1, (AsistenciaJetAdminConcatenada!$A:$A=FW$2)*(AsistenciaJetAdminConcatenada!$B:$B=FW$1), 0)), 1))),  0.5, 0))</f>
        <v>0</v>
      </c>
      <c r="FX47" s="47">
        <f t="array" ref="FX47">IF(AND(ISNUMBER(MATCH(FX$2, AsistenciaJetAdminConcatenada!$A:$A, 0)), ISNUMBER(MATCH(FX$1, AsistenciaJetAdminConcatenada!$B:$B, 0)), ISNUMBER(SEARCH($A47,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ISNUMBER(SEARCH($A47, INDEX(AsistenciaJetAdminConcatenada!$D:$D, MATCH(1, (AsistenciaJetAdminConcatenada!$A:$A=FX$2)*(AsistenciaJetAdminConcatenada!$B:$B=FX$1), 0)), 1))),  0.5, 0))</f>
        <v>0</v>
      </c>
      <c r="FY47" s="47">
        <f t="array" ref="FY47">IF(AND(ISNUMBER(MATCH(FY$2, AsistenciaJetAdminConcatenada!$A:$A, 0)), ISNUMBER(MATCH(FY$1, AsistenciaJetAdminConcatenada!$B:$B, 0)), ISNUMBER(SEARCH($A47,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ISNUMBER(SEARCH($A47, INDEX(AsistenciaJetAdminConcatenada!$D:$D, MATCH(1, (AsistenciaJetAdminConcatenada!$A:$A=FY$2)*(AsistenciaJetAdminConcatenada!$B:$B=FY$1), 0)), 1))),  0.5, 0))</f>
        <v>0</v>
      </c>
      <c r="FZ47" s="47">
        <f t="array" ref="FZ47">IF(AND(ISNUMBER(MATCH(FZ$2, AsistenciaJetAdminConcatenada!$A:$A, 0)), ISNUMBER(MATCH(FZ$1, AsistenciaJetAdminConcatenada!$B:$B, 0)), ISNUMBER(SEARCH($A47,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ISNUMBER(SEARCH($A47, INDEX(AsistenciaJetAdminConcatenada!$D:$D, MATCH(1, (AsistenciaJetAdminConcatenada!$A:$A=FZ$2)*(AsistenciaJetAdminConcatenada!$B:$B=FZ$1), 0)), 1))),  0.5, 0))</f>
        <v>0</v>
      </c>
      <c r="GA47" s="47">
        <f t="array" ref="GA47">IF(AND(ISNUMBER(MATCH(GA$2, AsistenciaJetAdminConcatenada!$A:$A, 0)), ISNUMBER(MATCH(GA$1, AsistenciaJetAdminConcatenada!$B:$B, 0)), ISNUMBER(SEARCH($A47,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ISNUMBER(SEARCH($A47, INDEX(AsistenciaJetAdminConcatenada!$D:$D, MATCH(1, (AsistenciaJetAdminConcatenada!$A:$A=GA$2)*(AsistenciaJetAdminConcatenada!$B:$B=GA$1), 0)), 1))),  0.5, 0))</f>
        <v>0</v>
      </c>
      <c r="GB47" s="47">
        <f t="array" ref="GB47">IF(AND(ISNUMBER(MATCH(GB$2, AsistenciaJetAdminConcatenada!$A:$A, 0)), ISNUMBER(MATCH(GB$1, AsistenciaJetAdminConcatenada!$B:$B, 0)), ISNUMBER(SEARCH($A47,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ISNUMBER(SEARCH($A47, INDEX(AsistenciaJetAdminConcatenada!$D:$D, MATCH(1, (AsistenciaJetAdminConcatenada!$A:$A=GB$2)*(AsistenciaJetAdminConcatenada!$B:$B=GB$1), 0)), 1))),  0.5, 0))</f>
        <v>0</v>
      </c>
      <c r="GC47" s="47">
        <f t="array" ref="GC47">IF(AND(ISNUMBER(MATCH(GC$2, AsistenciaJetAdminConcatenada!$A:$A, 0)), ISNUMBER(MATCH(GC$1, AsistenciaJetAdminConcatenada!$B:$B, 0)), ISNUMBER(SEARCH($A47,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ISNUMBER(SEARCH($A47, INDEX(AsistenciaJetAdminConcatenada!$D:$D, MATCH(1, (AsistenciaJetAdminConcatenada!$A:$A=GC$2)*(AsistenciaJetAdminConcatenada!$B:$B=GC$1), 0)), 1))),  0.5, 0))</f>
        <v>0</v>
      </c>
      <c r="GD47" s="47">
        <f t="array" ref="GD47">IF(AND(ISNUMBER(MATCH(GD$2, AsistenciaJetAdminConcatenada!$A:$A, 0)), ISNUMBER(MATCH(GD$1, AsistenciaJetAdminConcatenada!$B:$B, 0)), ISNUMBER(SEARCH($A47,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ISNUMBER(SEARCH($A47, INDEX(AsistenciaJetAdminConcatenada!$D:$D, MATCH(1, (AsistenciaJetAdminConcatenada!$A:$A=GD$2)*(AsistenciaJetAdminConcatenada!$B:$B=GD$1), 0)), 1))),  0.5, 0))</f>
        <v>0</v>
      </c>
      <c r="GE47" s="47">
        <f t="array" ref="GE47">IF(AND(ISNUMBER(MATCH(GE$2, AsistenciaJetAdminConcatenada!$A:$A, 0)), ISNUMBER(MATCH(GE$1, AsistenciaJetAdminConcatenada!$B:$B, 0)), ISNUMBER(SEARCH($A47,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ISNUMBER(SEARCH($A47, INDEX(AsistenciaJetAdminConcatenada!$D:$D, MATCH(1, (AsistenciaJetAdminConcatenada!$A:$A=GE$2)*(AsistenciaJetAdminConcatenada!$B:$B=GE$1), 0)), 1))),  0.5, 0))</f>
        <v>0</v>
      </c>
      <c r="GF47" s="47">
        <f t="array" ref="GF47">IF(AND(ISNUMBER(MATCH(GF$2, AsistenciaJetAdminConcatenada!$A:$A, 0)), ISNUMBER(MATCH(GF$1, AsistenciaJetAdminConcatenada!$B:$B, 0)), ISNUMBER(SEARCH($A47,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ISNUMBER(SEARCH($A47, INDEX(AsistenciaJetAdminConcatenada!$D:$D, MATCH(1, (AsistenciaJetAdminConcatenada!$A:$A=GF$2)*(AsistenciaJetAdminConcatenada!$B:$B=GF$1), 0)), 1))),  0.5, 0))</f>
        <v>0</v>
      </c>
      <c r="GG47" s="47">
        <f t="array" ref="GG47">IF(AND(ISNUMBER(MATCH(GG$2, AsistenciaJetAdminConcatenada!$A:$A, 0)), ISNUMBER(MATCH(GG$1, AsistenciaJetAdminConcatenada!$B:$B, 0)), ISNUMBER(SEARCH($A47,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ISNUMBER(SEARCH($A47, INDEX(AsistenciaJetAdminConcatenada!$D:$D, MATCH(1, (AsistenciaJetAdminConcatenada!$A:$A=GG$2)*(AsistenciaJetAdminConcatenada!$B:$B=GG$1), 0)), 1))),  0.5, 0))</f>
        <v>0</v>
      </c>
      <c r="GH47" s="47">
        <f t="array" ref="GH47">IF(AND(ISNUMBER(MATCH(GH$2, AsistenciaJetAdminConcatenada!$A:$A, 0)), ISNUMBER(MATCH(GH$1, AsistenciaJetAdminConcatenada!$B:$B, 0)), ISNUMBER(SEARCH($A47,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ISNUMBER(SEARCH($A47, INDEX(AsistenciaJetAdminConcatenada!$D:$D, MATCH(1, (AsistenciaJetAdminConcatenada!$A:$A=GH$2)*(AsistenciaJetAdminConcatenada!$B:$B=GH$1), 0)), 1))),  0.5, 0))</f>
        <v>0</v>
      </c>
      <c r="GI47" s="47">
        <f t="array" ref="GI47">IF(AND(ISNUMBER(MATCH(GI$2, AsistenciaJetAdminConcatenada!$A:$A, 0)), ISNUMBER(MATCH(GI$1, AsistenciaJetAdminConcatenada!$B:$B, 0)), ISNUMBER(SEARCH($A47,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ISNUMBER(SEARCH($A47, INDEX(AsistenciaJetAdminConcatenada!$D:$D, MATCH(1, (AsistenciaJetAdminConcatenada!$A:$A=GI$2)*(AsistenciaJetAdminConcatenada!$B:$B=GI$1), 0)), 1))),  0.5, 0))</f>
        <v>0</v>
      </c>
      <c r="GJ47" s="47">
        <f t="array" ref="GJ47">IF(AND(ISNUMBER(MATCH(GJ$2, AsistenciaJetAdminConcatenada!$A:$A, 0)), ISNUMBER(MATCH(GJ$1, AsistenciaJetAdminConcatenada!$B:$B, 0)), ISNUMBER(SEARCH($A47,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ISNUMBER(SEARCH($A47, INDEX(AsistenciaJetAdminConcatenada!$D:$D, MATCH(1, (AsistenciaJetAdminConcatenada!$A:$A=GJ$2)*(AsistenciaJetAdminConcatenada!$B:$B=GJ$1), 0)), 1))),  0.5, 0))</f>
        <v>0</v>
      </c>
      <c r="GK47" s="47">
        <f t="array" ref="GK47">IF(AND(ISNUMBER(MATCH(GK$2, AsistenciaJetAdminConcatenada!$A:$A, 0)), ISNUMBER(MATCH(GK$1, AsistenciaJetAdminConcatenada!$B:$B, 0)), ISNUMBER(SEARCH($A47,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ISNUMBER(SEARCH($A47, INDEX(AsistenciaJetAdminConcatenada!$D:$D, MATCH(1, (AsistenciaJetAdminConcatenada!$A:$A=GK$2)*(AsistenciaJetAdminConcatenada!$B:$B=GK$1), 0)), 1))),  0.5, 0))</f>
        <v>0</v>
      </c>
      <c r="GL47" s="47">
        <f t="array" ref="GL47">IF(AND(ISNUMBER(MATCH(GL$2, AsistenciaJetAdminConcatenada!$A:$A, 0)), ISNUMBER(MATCH(GL$1, AsistenciaJetAdminConcatenada!$B:$B, 0)), ISNUMBER(SEARCH($A47,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ISNUMBER(SEARCH($A47, INDEX(AsistenciaJetAdminConcatenada!$D:$D, MATCH(1, (AsistenciaJetAdminConcatenada!$A:$A=GL$2)*(AsistenciaJetAdminConcatenada!$B:$B=GL$1), 0)), 1))),  0.5, 0))</f>
        <v>0</v>
      </c>
      <c r="GM47" s="47">
        <f t="array" ref="GM47">IF(AND(ISNUMBER(MATCH(GM$2, AsistenciaJetAdminConcatenada!$A:$A, 0)), ISNUMBER(MATCH(GM$1, AsistenciaJetAdminConcatenada!$B:$B, 0)), ISNUMBER(SEARCH($A47,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ISNUMBER(SEARCH($A47, INDEX(AsistenciaJetAdminConcatenada!$D:$D, MATCH(1, (AsistenciaJetAdminConcatenada!$A:$A=GM$2)*(AsistenciaJetAdminConcatenada!$B:$B=GM$1), 0)), 1))),  0.5, 0))</f>
        <v>0</v>
      </c>
      <c r="GN47" s="47">
        <f t="array" ref="GN47">IF(AND(ISNUMBER(MATCH(GN$2, AsistenciaJetAdminConcatenada!$A:$A, 0)), ISNUMBER(MATCH(GN$1, AsistenciaJetAdminConcatenada!$B:$B, 0)), ISNUMBER(SEARCH($A47,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ISNUMBER(SEARCH($A47, INDEX(AsistenciaJetAdminConcatenada!$D:$D, MATCH(1, (AsistenciaJetAdminConcatenada!$A:$A=GN$2)*(AsistenciaJetAdminConcatenada!$B:$B=GN$1), 0)), 1))),  0.5, 0))</f>
        <v>0</v>
      </c>
      <c r="GO47" s="47">
        <f t="array" ref="GO47">IF(AND(ISNUMBER(MATCH(GO$2, AsistenciaJetAdminConcatenada!$A:$A, 0)), ISNUMBER(MATCH(GO$1, AsistenciaJetAdminConcatenada!$B:$B, 0)), ISNUMBER(SEARCH($A47,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ISNUMBER(SEARCH($A47, INDEX(AsistenciaJetAdminConcatenada!$D:$D, MATCH(1, (AsistenciaJetAdminConcatenada!$A:$A=GO$2)*(AsistenciaJetAdminConcatenada!$B:$B=GO$1), 0)), 1))),  0.5, 0))</f>
        <v>0</v>
      </c>
      <c r="GP47" s="47">
        <f t="array" ref="GP47">IF(AND(ISNUMBER(MATCH(GP$2, AsistenciaJetAdminConcatenada!$A:$A, 0)), ISNUMBER(MATCH(GP$1, AsistenciaJetAdminConcatenada!$B:$B, 0)), ISNUMBER(SEARCH($A47,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ISNUMBER(SEARCH($A47, INDEX(AsistenciaJetAdminConcatenada!$D:$D, MATCH(1, (AsistenciaJetAdminConcatenada!$A:$A=GP$2)*(AsistenciaJetAdminConcatenada!$B:$B=GP$1), 0)), 1))),  0.5, 0))</f>
        <v>0</v>
      </c>
      <c r="GQ47" s="47">
        <f t="array" ref="GQ47">IF(AND(ISNUMBER(MATCH(GQ$2, AsistenciaJetAdminConcatenada!$A:$A, 0)), ISNUMBER(MATCH(GQ$1, AsistenciaJetAdminConcatenada!$B:$B, 0)), ISNUMBER(SEARCH($A47,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ISNUMBER(SEARCH($A47, INDEX(AsistenciaJetAdminConcatenada!$D:$D, MATCH(1, (AsistenciaJetAdminConcatenada!$A:$A=GQ$2)*(AsistenciaJetAdminConcatenada!$B:$B=GQ$1), 0)), 1))),  0.5, 0))</f>
        <v>0</v>
      </c>
      <c r="GR47" s="47">
        <f t="array" ref="GR47">IF(AND(ISNUMBER(MATCH(GR$2, AsistenciaJetAdminConcatenada!$A:$A, 0)), ISNUMBER(MATCH(GR$1, AsistenciaJetAdminConcatenada!$B:$B, 0)), ISNUMBER(SEARCH($A47,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ISNUMBER(SEARCH($A47, INDEX(AsistenciaJetAdminConcatenada!$D:$D, MATCH(1, (AsistenciaJetAdminConcatenada!$A:$A=GR$2)*(AsistenciaJetAdminConcatenada!$B:$B=GR$1), 0)), 1))),  0.5, 0))</f>
        <v>0</v>
      </c>
      <c r="GS47" s="47">
        <f t="array" ref="GS47">IF(AND(ISNUMBER(MATCH(GS$2, AsistenciaJetAdminConcatenada!$A:$A, 0)), ISNUMBER(MATCH(GS$1, AsistenciaJetAdminConcatenada!$B:$B, 0)), ISNUMBER(SEARCH($A47,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ISNUMBER(SEARCH($A47, INDEX(AsistenciaJetAdminConcatenada!$D:$D, MATCH(1, (AsistenciaJetAdminConcatenada!$A:$A=GS$2)*(AsistenciaJetAdminConcatenada!$B:$B=GS$1), 0)), 1))),  0.5, 0))</f>
        <v>0</v>
      </c>
      <c r="GT47" s="47">
        <f t="array" ref="GT47">IF(AND(ISNUMBER(MATCH(GT$2, AsistenciaJetAdminConcatenada!$A:$A, 0)), ISNUMBER(MATCH(GT$1, AsistenciaJetAdminConcatenada!$B:$B, 0)), ISNUMBER(SEARCH($A47,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ISNUMBER(SEARCH($A47, INDEX(AsistenciaJetAdminConcatenada!$D:$D, MATCH(1, (AsistenciaJetAdminConcatenada!$A:$A=GT$2)*(AsistenciaJetAdminConcatenada!$B:$B=GT$1), 0)), 1))),  0.5, 0))</f>
        <v>0</v>
      </c>
      <c r="GU47" s="47">
        <f t="array" ref="GU47">IF(AND(ISNUMBER(MATCH(GU$2, AsistenciaJetAdminConcatenada!$A:$A, 0)), ISNUMBER(MATCH(GU$1, AsistenciaJetAdminConcatenada!$B:$B, 0)), ISNUMBER(SEARCH($A47,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ISNUMBER(SEARCH($A47, INDEX(AsistenciaJetAdminConcatenada!$D:$D, MATCH(1, (AsistenciaJetAdminConcatenada!$A:$A=GU$2)*(AsistenciaJetAdminConcatenada!$B:$B=GU$1), 0)), 1))),  0.5, 0))</f>
        <v>0</v>
      </c>
      <c r="GV47" s="47">
        <f t="array" ref="GV47">IF(AND(ISNUMBER(MATCH(GV$2, AsistenciaJetAdminConcatenada!$A:$A, 0)), ISNUMBER(MATCH(GV$1, AsistenciaJetAdminConcatenada!$B:$B, 0)), ISNUMBER(SEARCH($A47,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ISNUMBER(SEARCH($A47, INDEX(AsistenciaJetAdminConcatenada!$D:$D, MATCH(1, (AsistenciaJetAdminConcatenada!$A:$A=GV$2)*(AsistenciaJetAdminConcatenada!$B:$B=GV$1), 0)), 1))),  0.5, 0))</f>
        <v>0</v>
      </c>
      <c r="GW47" s="47">
        <f t="array" ref="GW47">IF(AND(ISNUMBER(MATCH(GW$2, AsistenciaJetAdminConcatenada!$A:$A, 0)), ISNUMBER(MATCH(GW$1, AsistenciaJetAdminConcatenada!$B:$B, 0)), ISNUMBER(SEARCH($A47,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ISNUMBER(SEARCH($A47, INDEX(AsistenciaJetAdminConcatenada!$D:$D, MATCH(1, (AsistenciaJetAdminConcatenada!$A:$A=GW$2)*(AsistenciaJetAdminConcatenada!$B:$B=GW$1), 0)), 1))),  0.5, 0))</f>
        <v>0</v>
      </c>
      <c r="GX47" s="47">
        <f t="array" ref="GX47">IF(AND(ISNUMBER(MATCH(GX$2, AsistenciaJetAdminConcatenada!$A:$A, 0)), ISNUMBER(MATCH(GX$1, AsistenciaJetAdminConcatenada!$B:$B, 0)), ISNUMBER(SEARCH($A47,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ISNUMBER(SEARCH($A47, INDEX(AsistenciaJetAdminConcatenada!$D:$D, MATCH(1, (AsistenciaJetAdminConcatenada!$A:$A=GX$2)*(AsistenciaJetAdminConcatenada!$B:$B=GX$1), 0)), 1))),  0.5, 0))</f>
        <v>0</v>
      </c>
      <c r="GY47" s="47">
        <f t="array" ref="GY47">IF(AND(ISNUMBER(MATCH(GY$2, AsistenciaJetAdminConcatenada!$A:$A, 0)), ISNUMBER(MATCH(GY$1, AsistenciaJetAdminConcatenada!$B:$B, 0)), ISNUMBER(SEARCH($A47,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ISNUMBER(SEARCH($A47, INDEX(AsistenciaJetAdminConcatenada!$D:$D, MATCH(1, (AsistenciaJetAdminConcatenada!$A:$A=GY$2)*(AsistenciaJetAdminConcatenada!$B:$B=GY$1), 0)), 1))),  0.5, 0))</f>
        <v>0</v>
      </c>
      <c r="GZ47" s="47">
        <f t="array" ref="GZ47">IF(AND(ISNUMBER(MATCH(GZ$2, AsistenciaJetAdminConcatenada!$A:$A, 0)), ISNUMBER(MATCH(GZ$1, AsistenciaJetAdminConcatenada!$B:$B, 0)), ISNUMBER(SEARCH($A47,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ISNUMBER(SEARCH($A47, INDEX(AsistenciaJetAdminConcatenada!$D:$D, MATCH(1, (AsistenciaJetAdminConcatenada!$A:$A=GZ$2)*(AsistenciaJetAdminConcatenada!$B:$B=GZ$1), 0)), 1))),  0.5, 0))</f>
        <v>0</v>
      </c>
      <c r="HA47" s="47">
        <f t="array" ref="HA47">IF(AND(ISNUMBER(MATCH(HA$2, AsistenciaJetAdminConcatenada!$A:$A, 0)), ISNUMBER(MATCH(HA$1, AsistenciaJetAdminConcatenada!$B:$B, 0)), ISNUMBER(SEARCH($A47,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ISNUMBER(SEARCH($A47, INDEX(AsistenciaJetAdminConcatenada!$D:$D, MATCH(1, (AsistenciaJetAdminConcatenada!$A:$A=HA$2)*(AsistenciaJetAdminConcatenada!$B:$B=HA$1), 0)), 1))),  0.5, 0))</f>
        <v>0</v>
      </c>
      <c r="HB47" s="47">
        <f t="array" ref="HB47">IF(AND(ISNUMBER(MATCH(HB$2, AsistenciaJetAdminConcatenada!$A:$A, 0)), ISNUMBER(MATCH(HB$1, AsistenciaJetAdminConcatenada!$B:$B, 0)), ISNUMBER(SEARCH($A47,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ISNUMBER(SEARCH($A47, INDEX(AsistenciaJetAdminConcatenada!$D:$D, MATCH(1, (AsistenciaJetAdminConcatenada!$A:$A=HB$2)*(AsistenciaJetAdminConcatenada!$B:$B=HB$1), 0)), 1))),  0.5, 0))</f>
        <v>0</v>
      </c>
      <c r="HC47" s="47">
        <f t="array" ref="HC47">IF(AND(ISNUMBER(MATCH(HC$2, AsistenciaJetAdminConcatenada!$A:$A, 0)), ISNUMBER(MATCH(HC$1, AsistenciaJetAdminConcatenada!$B:$B, 0)), ISNUMBER(SEARCH($A47,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ISNUMBER(SEARCH($A47, INDEX(AsistenciaJetAdminConcatenada!$D:$D, MATCH(1, (AsistenciaJetAdminConcatenada!$A:$A=HC$2)*(AsistenciaJetAdminConcatenada!$B:$B=HC$1), 0)), 1))),  0.5, 0))</f>
        <v>0</v>
      </c>
    </row>
    <row r="48" ht="29.25" customHeight="1">
      <c r="A48" s="3">
        <v>204.0</v>
      </c>
      <c r="B48" s="4" t="s">
        <v>623</v>
      </c>
      <c r="C48" s="47">
        <f>SUM(D48:HC48) + ActividadesEspeciales!C48</f>
        <v>54</v>
      </c>
      <c r="D48" s="47">
        <f t="array" ref="D48">IF(AND(ISNUMBER(MATCH(D$2, AsistenciaJetAdminConcatenada!$A:$A, 0)), ISNUMBER(MATCH(D$1, AsistenciaJetAdminConcatenada!$B:$B, 0)), ISNUMBER(SEARCH($A48,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ISNUMBER(SEARCH($A48, INDEX(AsistenciaJetAdminConcatenada!$D:$D, MATCH(1, (AsistenciaJetAdminConcatenada!$A:$A=D$2)*(AsistenciaJetAdminConcatenada!$B:$B=D$1), 0)), 1))),  0.5, 0))</f>
        <v>1</v>
      </c>
      <c r="E48" s="47">
        <f t="array" ref="E48">IF(AND(ISNUMBER(MATCH(E$2, AsistenciaJetAdminConcatenada!$A:$A, 0)), ISNUMBER(MATCH(E$1, AsistenciaJetAdminConcatenada!$B:$B, 0)), ISNUMBER(SEARCH($A48,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ISNUMBER(SEARCH($A48, INDEX(AsistenciaJetAdminConcatenada!$D:$D, MATCH(1, (AsistenciaJetAdminConcatenada!$A:$A=E$2)*(AsistenciaJetAdminConcatenada!$B:$B=E$1), 0)), 1))),  0.5, 0))</f>
        <v>1</v>
      </c>
      <c r="F48" s="47">
        <f t="array" ref="F48">IF(AND(ISNUMBER(MATCH(F$2, AsistenciaJetAdminConcatenada!$A:$A, 0)), ISNUMBER(MATCH(F$1, AsistenciaJetAdminConcatenada!$B:$B, 0)), ISNUMBER(SEARCH($A48,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ISNUMBER(SEARCH($A48, INDEX(AsistenciaJetAdminConcatenada!$D:$D, MATCH(1, (AsistenciaJetAdminConcatenada!$A:$A=F$2)*(AsistenciaJetAdminConcatenada!$B:$B=F$1), 0)), 1))),  0.5, 0))</f>
        <v>1</v>
      </c>
      <c r="G48" s="47">
        <f t="array" ref="G48">IF(AND(ISNUMBER(MATCH(G$2, AsistenciaJetAdminConcatenada!$A:$A, 0)), ISNUMBER(MATCH(G$1, AsistenciaJetAdminConcatenada!$B:$B, 0)), ISNUMBER(SEARCH($A48,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ISNUMBER(SEARCH($A48, INDEX(AsistenciaJetAdminConcatenada!$D:$D, MATCH(1, (AsistenciaJetAdminConcatenada!$A:$A=G$2)*(AsistenciaJetAdminConcatenada!$B:$B=G$1), 0)), 1))),  0.5, 0))</f>
        <v>1</v>
      </c>
      <c r="H48" s="47">
        <f t="array" ref="H48">IF(AND(ISNUMBER(MATCH(H$2, AsistenciaJetAdminConcatenada!$A:$A, 0)), ISNUMBER(MATCH(H$1, AsistenciaJetAdminConcatenada!$B:$B, 0)), ISNUMBER(SEARCH($A48,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ISNUMBER(SEARCH($A48, INDEX(AsistenciaJetAdminConcatenada!$D:$D, MATCH(1, (AsistenciaJetAdminConcatenada!$A:$A=H$2)*(AsistenciaJetAdminConcatenada!$B:$B=H$1), 0)), 1))),  0.5, 0))</f>
        <v>0</v>
      </c>
      <c r="I48" s="47">
        <f t="array" ref="I48">IF(AND(ISNUMBER(MATCH(I$2, AsistenciaJetAdminConcatenada!$A:$A, 0)), ISNUMBER(MATCH(I$1, AsistenciaJetAdminConcatenada!$B:$B, 0)), ISNUMBER(SEARCH($A48,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ISNUMBER(SEARCH($A48, INDEX(AsistenciaJetAdminConcatenada!$D:$D, MATCH(1, (AsistenciaJetAdminConcatenada!$A:$A=I$2)*(AsistenciaJetAdminConcatenada!$B:$B=I$1), 0)), 1))),  0.5, 0))</f>
        <v>1</v>
      </c>
      <c r="J48" s="47">
        <f t="array" ref="J48">IF(AND(ISNUMBER(MATCH(J$2, AsistenciaJetAdminConcatenada!$A:$A, 0)), ISNUMBER(MATCH(J$1, AsistenciaJetAdminConcatenada!$B:$B, 0)), ISNUMBER(SEARCH($A48,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ISNUMBER(SEARCH($A48, INDEX(AsistenciaJetAdminConcatenada!$D:$D, MATCH(1, (AsistenciaJetAdminConcatenada!$A:$A=J$2)*(AsistenciaJetAdminConcatenada!$B:$B=J$1), 0)), 1))),  0.5, 0))</f>
        <v>0</v>
      </c>
      <c r="K48" s="47">
        <f t="array" ref="K48">IF(AND(ISNUMBER(MATCH(K$2, AsistenciaJetAdminConcatenada!$A:$A, 0)), ISNUMBER(MATCH(K$1, AsistenciaJetAdminConcatenada!$B:$B, 0)), ISNUMBER(SEARCH($A48,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ISNUMBER(SEARCH($A48, INDEX(AsistenciaJetAdminConcatenada!$D:$D, MATCH(1, (AsistenciaJetAdminConcatenada!$A:$A=K$2)*(AsistenciaJetAdminConcatenada!$B:$B=K$1), 0)), 1))),  0.5, 0))</f>
        <v>1</v>
      </c>
      <c r="L48" s="47">
        <f t="array" ref="L48">IF(AND(ISNUMBER(MATCH(L$2, AsistenciaJetAdminConcatenada!$A:$A, 0)), ISNUMBER(MATCH(L$1, AsistenciaJetAdminConcatenada!$B:$B, 0)), ISNUMBER(SEARCH($A48,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ISNUMBER(SEARCH($A48, INDEX(AsistenciaJetAdminConcatenada!$D:$D, MATCH(1, (AsistenciaJetAdminConcatenada!$A:$A=L$2)*(AsistenciaJetAdminConcatenada!$B:$B=L$1), 0)), 1))),  0.5, 0))</f>
        <v>0</v>
      </c>
      <c r="M48" s="47">
        <f t="array" ref="M48">IF(AND(ISNUMBER(MATCH(M$2, AsistenciaJetAdminConcatenada!$A:$A, 0)), ISNUMBER(MATCH(M$1, AsistenciaJetAdminConcatenada!$B:$B, 0)), ISNUMBER(SEARCH($A48,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ISNUMBER(SEARCH($A48, INDEX(AsistenciaJetAdminConcatenada!$D:$D, MATCH(1, (AsistenciaJetAdminConcatenada!$A:$A=M$2)*(AsistenciaJetAdminConcatenada!$B:$B=M$1), 0)), 1))),  0.5, 0))</f>
        <v>1</v>
      </c>
      <c r="N48" s="47">
        <f t="array" ref="N48">IF(AND(ISNUMBER(MATCH(N$2, AsistenciaJetAdminConcatenada!$A:$A, 0)), ISNUMBER(MATCH(N$1, AsistenciaJetAdminConcatenada!$B:$B, 0)), ISNUMBER(SEARCH($A48,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ISNUMBER(SEARCH($A48, INDEX(AsistenciaJetAdminConcatenada!$D:$D, MATCH(1, (AsistenciaJetAdminConcatenada!$A:$A=N$2)*(AsistenciaJetAdminConcatenada!$B:$B=N$1), 0)), 1))),  0.5, 0))</f>
        <v>0</v>
      </c>
      <c r="O48" s="47">
        <f t="array" ref="O48">IF(AND(ISNUMBER(MATCH(O$2, AsistenciaJetAdminConcatenada!$A:$A, 0)), ISNUMBER(MATCH(O$1, AsistenciaJetAdminConcatenada!$B:$B, 0)), ISNUMBER(SEARCH($A48,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ISNUMBER(SEARCH($A48, INDEX(AsistenciaJetAdminConcatenada!$D:$D, MATCH(1, (AsistenciaJetAdminConcatenada!$A:$A=O$2)*(AsistenciaJetAdminConcatenada!$B:$B=O$1), 0)), 1))),  0.5, 0))</f>
        <v>1</v>
      </c>
      <c r="P48" s="47">
        <f t="array" ref="P48">IF(AND(ISNUMBER(MATCH(P$2, AsistenciaJetAdminConcatenada!$A:$A, 0)), ISNUMBER(MATCH(P$1, AsistenciaJetAdminConcatenada!$B:$B, 0)), ISNUMBER(SEARCH($A48, INDEX(AsistenciaJetAdminConcatenada!$C:$C, MATCH(1, (AsistenciaJetAdminConcatenada!$A:$A=P$2)*(AsistenciaJetAdminConcatenada!$B:$B=P$1), 0)), 1))), 1, IF(AND(ISNUMBER(MATCH(P$2, AsistenciaJetAdminConcatenada!$A:$A, 0)), ISNUMBER(MATCH(P$1, AsistenciaJetAdminConcatenada!$B:$B, 0)), ISNUMBER(SEARCH($A48, INDEX(AsistenciaJetAdminConcatenada!$D:$D, MATCH(1, (AsistenciaJetAdminConcatenada!$A:$A=P$2)*(AsistenciaJetAdminConcatenada!$B:$B=P$1), 0)), 1))),  0.5, 0))</f>
        <v>1</v>
      </c>
      <c r="Q48" s="47">
        <f t="array" ref="Q48">IF(AND(ISNUMBER(MATCH(Q$2, AsistenciaJetAdminConcatenada!$A:$A, 0)), ISNUMBER(MATCH(Q$1, AsistenciaJetAdminConcatenada!$B:$B, 0)), ISNUMBER(SEARCH($A48, INDEX(AsistenciaJetAdminConcatenada!$C:$C, MATCH(1, (AsistenciaJetAdminConcatenada!$A:$A=Q$2)*(AsistenciaJetAdminConcatenada!$B:$B=Q$1), 0)), 1))), 1, IF(AND(ISNUMBER(MATCH(Q$2, AsistenciaJetAdminConcatenada!$A:$A, 0)), ISNUMBER(MATCH(Q$1, AsistenciaJetAdminConcatenada!$B:$B, 0)), ISNUMBER(SEARCH($A48, INDEX(AsistenciaJetAdminConcatenada!$D:$D, MATCH(1, (AsistenciaJetAdminConcatenada!$A:$A=Q$2)*(AsistenciaJetAdminConcatenada!$B:$B=Q$1), 0)), 1))),  0.5, 0))</f>
        <v>1</v>
      </c>
      <c r="R48" s="47">
        <f t="array" ref="R48">IF(AND(ISNUMBER(MATCH(R$2, AsistenciaJetAdminConcatenada!$A:$A, 0)), ISNUMBER(MATCH(R$1, AsistenciaJetAdminConcatenada!$B:$B, 0)), ISNUMBER(SEARCH($A48,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ISNUMBER(SEARCH($A48, INDEX(AsistenciaJetAdminConcatenada!$D:$D, MATCH(1, (AsistenciaJetAdminConcatenada!$A:$A=R$2)*(AsistenciaJetAdminConcatenada!$B:$B=R$1), 0)), 1))),  0.5, 0))</f>
        <v>1</v>
      </c>
      <c r="S48" s="47">
        <f t="array" ref="S48">IF(AND(ISNUMBER(MATCH(S$2, AsistenciaJetAdminConcatenada!$A:$A, 0)), ISNUMBER(MATCH(S$1, AsistenciaJetAdminConcatenada!$B:$B, 0)), ISNUMBER(SEARCH($A48,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ISNUMBER(SEARCH($A48, INDEX(AsistenciaJetAdminConcatenada!$D:$D, MATCH(1, (AsistenciaJetAdminConcatenada!$A:$A=S$2)*(AsistenciaJetAdminConcatenada!$B:$B=S$1), 0)), 1))),  0.5, 0))</f>
        <v>1</v>
      </c>
      <c r="T48" s="47">
        <f t="array" ref="T48">IF(AND(ISNUMBER(MATCH(T$2, AsistenciaJetAdminConcatenada!$A:$A, 0)), ISNUMBER(MATCH(T$1, AsistenciaJetAdminConcatenada!$B:$B, 0)), ISNUMBER(SEARCH($A48,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ISNUMBER(SEARCH($A48, INDEX(AsistenciaJetAdminConcatenada!$D:$D, MATCH(1, (AsistenciaJetAdminConcatenada!$A:$A=T$2)*(AsistenciaJetAdminConcatenada!$B:$B=T$1), 0)), 1))),  0.5, 0))</f>
        <v>0</v>
      </c>
      <c r="U48" s="47">
        <f t="array" ref="U48">IF(AND(ISNUMBER(MATCH(U$2, AsistenciaJetAdminConcatenada!$A:$A, 0)), ISNUMBER(MATCH(U$1, AsistenciaJetAdminConcatenada!$B:$B, 0)), ISNUMBER(SEARCH($A48,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ISNUMBER(SEARCH($A48, INDEX(AsistenciaJetAdminConcatenada!$D:$D, MATCH(1, (AsistenciaJetAdminConcatenada!$A:$A=U$2)*(AsistenciaJetAdminConcatenada!$B:$B=U$1), 0)), 1))),  0.5, 0))</f>
        <v>0</v>
      </c>
      <c r="V48" s="47">
        <f t="array" ref="V48">IF(AND(ISNUMBER(MATCH(V$2, AsistenciaJetAdminConcatenada!$A:$A, 0)), ISNUMBER(MATCH(V$1, AsistenciaJetAdminConcatenada!$B:$B, 0)), ISNUMBER(SEARCH($A48,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ISNUMBER(SEARCH($A48, INDEX(AsistenciaJetAdminConcatenada!$D:$D, MATCH(1, (AsistenciaJetAdminConcatenada!$A:$A=V$2)*(AsistenciaJetAdminConcatenada!$B:$B=V$1), 0)), 1))),  0.5, 0))</f>
        <v>0.5</v>
      </c>
      <c r="W48" s="47">
        <f t="array" ref="W48">IF(AND(ISNUMBER(MATCH(W$2, AsistenciaJetAdminConcatenada!$A:$A, 0)), ISNUMBER(MATCH(W$1, AsistenciaJetAdminConcatenada!$B:$B, 0)), ISNUMBER(SEARCH($A48,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ISNUMBER(SEARCH($A48, INDEX(AsistenciaJetAdminConcatenada!$D:$D, MATCH(1, (AsistenciaJetAdminConcatenada!$A:$A=W$2)*(AsistenciaJetAdminConcatenada!$B:$B=W$1), 0)), 1))),  0.5, 0))</f>
        <v>1</v>
      </c>
      <c r="X48" s="47">
        <f t="array" ref="X48">IF(AND(ISNUMBER(MATCH(X$2, AsistenciaJetAdminConcatenada!$A:$A, 0)), ISNUMBER(MATCH(X$1, AsistenciaJetAdminConcatenada!$B:$B, 0)), ISNUMBER(SEARCH($A48,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ISNUMBER(SEARCH($A48, INDEX(AsistenciaJetAdminConcatenada!$D:$D, MATCH(1, (AsistenciaJetAdminConcatenada!$A:$A=X$2)*(AsistenciaJetAdminConcatenada!$B:$B=X$1), 0)), 1))),  0.5, 0))</f>
        <v>1</v>
      </c>
      <c r="Y48" s="47">
        <f t="array" ref="Y48">IF(AND(ISNUMBER(MATCH(Y$2, AsistenciaJetAdminConcatenada!$A:$A, 0)), ISNUMBER(MATCH(Y$1, AsistenciaJetAdminConcatenada!$B:$B, 0)), ISNUMBER(SEARCH($A48,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ISNUMBER(SEARCH($A48, INDEX(AsistenciaJetAdminConcatenada!$D:$D, MATCH(1, (AsistenciaJetAdminConcatenada!$A:$A=Y$2)*(AsistenciaJetAdminConcatenada!$B:$B=Y$1), 0)), 1))),  0.5, 0))</f>
        <v>0.5</v>
      </c>
      <c r="Z48" s="47">
        <f t="array" ref="Z48">IF(AND(ISNUMBER(MATCH(Z$2, AsistenciaJetAdminConcatenada!$A:$A, 0)), ISNUMBER(MATCH(Z$1, AsistenciaJetAdminConcatenada!$B:$B, 0)), ISNUMBER(SEARCH($A48,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ISNUMBER(SEARCH($A48, INDEX(AsistenciaJetAdminConcatenada!$D:$D, MATCH(1, (AsistenciaJetAdminConcatenada!$A:$A=Z$2)*(AsistenciaJetAdminConcatenada!$B:$B=Z$1), 0)), 1))),  0.5, 0))</f>
        <v>0</v>
      </c>
      <c r="AA48" s="47">
        <f t="array" ref="AA48">IF(AND(ISNUMBER(MATCH(AA$2, AsistenciaJetAdminConcatenada!$A:$A, 0)), ISNUMBER(MATCH(AA$1, AsistenciaJetAdminConcatenada!$B:$B, 0)), ISNUMBER(SEARCH($A48,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ISNUMBER(SEARCH($A48, INDEX(AsistenciaJetAdminConcatenada!$D:$D, MATCH(1, (AsistenciaJetAdminConcatenada!$A:$A=AA$2)*(AsistenciaJetAdminConcatenada!$B:$B=AA$1), 0)), 1))),  0.5, 0))</f>
        <v>0</v>
      </c>
      <c r="AB48" s="47">
        <f t="array" ref="AB48">IF(AND(ISNUMBER(MATCH(AB$2, AsistenciaJetAdminConcatenada!$A:$A, 0)), ISNUMBER(MATCH(AB$1, AsistenciaJetAdminConcatenada!$B:$B, 0)), ISNUMBER(SEARCH($A48,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ISNUMBER(SEARCH($A48, INDEX(AsistenciaJetAdminConcatenada!$D:$D, MATCH(1, (AsistenciaJetAdminConcatenada!$A:$A=AB$2)*(AsistenciaJetAdminConcatenada!$B:$B=AB$1), 0)), 1))),  0.5, 0))</f>
        <v>1</v>
      </c>
      <c r="AC48" s="47">
        <f t="array" ref="AC48">IF(AND(ISNUMBER(MATCH(AC$2, AsistenciaJetAdminConcatenada!$A:$A, 0)), ISNUMBER(MATCH(AC$1, AsistenciaJetAdminConcatenada!$B:$B, 0)), ISNUMBER(SEARCH($A48,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ISNUMBER(SEARCH($A48, INDEX(AsistenciaJetAdminConcatenada!$D:$D, MATCH(1, (AsistenciaJetAdminConcatenada!$A:$A=AC$2)*(AsistenciaJetAdminConcatenada!$B:$B=AC$1), 0)), 1))),  0.5, 0))</f>
        <v>1</v>
      </c>
      <c r="AD48" s="47">
        <f t="array" ref="AD48">IF(AND(ISNUMBER(MATCH(AD$2, AsistenciaJetAdminConcatenada!$A:$A, 0)), ISNUMBER(MATCH(AD$1, AsistenciaJetAdminConcatenada!$B:$B, 0)), ISNUMBER(SEARCH($A48,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ISNUMBER(SEARCH($A48, INDEX(AsistenciaJetAdminConcatenada!$D:$D, MATCH(1, (AsistenciaJetAdminConcatenada!$A:$A=AD$2)*(AsistenciaJetAdminConcatenada!$B:$B=AD$1), 0)), 1))),  0.5, 0))</f>
        <v>0.5</v>
      </c>
      <c r="AE48" s="47">
        <f t="array" ref="AE48">IF(AND(ISNUMBER(MATCH(AE$2, AsistenciaJetAdminConcatenada!$A:$A, 0)), ISNUMBER(MATCH(AE$1, AsistenciaJetAdminConcatenada!$B:$B, 0)), ISNUMBER(SEARCH($A48,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ISNUMBER(SEARCH($A48, INDEX(AsistenciaJetAdminConcatenada!$D:$D, MATCH(1, (AsistenciaJetAdminConcatenada!$A:$A=AE$2)*(AsistenciaJetAdminConcatenada!$B:$B=AE$1), 0)), 1))),  0.5, 0))</f>
        <v>0</v>
      </c>
      <c r="AF48" s="47">
        <f t="array" ref="AF48">IF(AND(ISNUMBER(MATCH(AF$2, AsistenciaJetAdminConcatenada!$A:$A, 0)), ISNUMBER(MATCH(AF$1, AsistenciaJetAdminConcatenada!$B:$B, 0)), ISNUMBER(SEARCH($A48,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ISNUMBER(SEARCH($A48, INDEX(AsistenciaJetAdminConcatenada!$D:$D, MATCH(1, (AsistenciaJetAdminConcatenada!$A:$A=AF$2)*(AsistenciaJetAdminConcatenada!$B:$B=AF$1), 0)), 1))),  0.5, 0))</f>
        <v>0</v>
      </c>
      <c r="AG48" s="47">
        <f t="array" ref="AG48">IF(AND(ISNUMBER(MATCH(AG$2, AsistenciaJetAdminConcatenada!$A:$A, 0)), ISNUMBER(MATCH(AG$1, AsistenciaJetAdminConcatenada!$B:$B, 0)), ISNUMBER(SEARCH($A48,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ISNUMBER(SEARCH($A48, INDEX(AsistenciaJetAdminConcatenada!$D:$D, MATCH(1, (AsistenciaJetAdminConcatenada!$A:$A=AG$2)*(AsistenciaJetAdminConcatenada!$B:$B=AG$1), 0)), 1))),  0.5, 0))</f>
        <v>0</v>
      </c>
      <c r="AH48" s="47">
        <f t="array" ref="AH48">IF(AND(ISNUMBER(MATCH(AH$2, AsistenciaJetAdminConcatenada!$A:$A, 0)), ISNUMBER(MATCH(AH$1, AsistenciaJetAdminConcatenada!$B:$B, 0)), ISNUMBER(SEARCH($A48,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ISNUMBER(SEARCH($A48, INDEX(AsistenciaJetAdminConcatenada!$D:$D, MATCH(1, (AsistenciaJetAdminConcatenada!$A:$A=AH$2)*(AsistenciaJetAdminConcatenada!$B:$B=AH$1), 0)), 1))),  0.5, 0))</f>
        <v>0</v>
      </c>
      <c r="AI48" s="47">
        <f t="array" ref="AI48">IF(AND(ISNUMBER(MATCH(AI$2, AsistenciaJetAdminConcatenada!$A:$A, 0)), ISNUMBER(MATCH(AI$1, AsistenciaJetAdminConcatenada!$B:$B, 0)), ISNUMBER(SEARCH($A48,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ISNUMBER(SEARCH($A48, INDEX(AsistenciaJetAdminConcatenada!$D:$D, MATCH(1, (AsistenciaJetAdminConcatenada!$A:$A=AI$2)*(AsistenciaJetAdminConcatenada!$B:$B=AI$1), 0)), 1))),  0.5, 0))</f>
        <v>0</v>
      </c>
      <c r="AJ48" s="47">
        <f t="array" ref="AJ48">IF(AND(ISNUMBER(MATCH(AJ$2, AsistenciaJetAdminConcatenada!$A:$A, 0)), ISNUMBER(MATCH(AJ$1, AsistenciaJetAdminConcatenada!$B:$B, 0)), ISNUMBER(SEARCH($A48,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ISNUMBER(SEARCH($A48, INDEX(AsistenciaJetAdminConcatenada!$D:$D, MATCH(1, (AsistenciaJetAdminConcatenada!$A:$A=AJ$2)*(AsistenciaJetAdminConcatenada!$B:$B=AJ$1), 0)), 1))),  0.5, 0))</f>
        <v>0</v>
      </c>
      <c r="AK48" s="47">
        <f t="array" ref="AK48">IF(AND(ISNUMBER(MATCH(AK$2, AsistenciaJetAdminConcatenada!$A:$A, 0)), ISNUMBER(MATCH(AK$1, AsistenciaJetAdminConcatenada!$B:$B, 0)), ISNUMBER(SEARCH($A48,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ISNUMBER(SEARCH($A48, INDEX(AsistenciaJetAdminConcatenada!$D:$D, MATCH(1, (AsistenciaJetAdminConcatenada!$A:$A=AK$2)*(AsistenciaJetAdminConcatenada!$B:$B=AK$1), 0)), 1))),  0.5, 0))</f>
        <v>1</v>
      </c>
      <c r="AL48" s="47">
        <f t="array" ref="AL48">IF(AND(ISNUMBER(MATCH(AL$2, AsistenciaJetAdminConcatenada!$A:$A, 0)), ISNUMBER(MATCH(AL$1, AsistenciaJetAdminConcatenada!$B:$B, 0)), ISNUMBER(SEARCH($A48,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ISNUMBER(SEARCH($A48, INDEX(AsistenciaJetAdminConcatenada!$D:$D, MATCH(1, (AsistenciaJetAdminConcatenada!$A:$A=AL$2)*(AsistenciaJetAdminConcatenada!$B:$B=AL$1), 0)), 1))),  0.5, 0))</f>
        <v>0.5</v>
      </c>
      <c r="AM48" s="47">
        <f t="array" ref="AM48">IF(AND(ISNUMBER(MATCH(AM$2, AsistenciaJetAdminConcatenada!$A:$A, 0)), ISNUMBER(MATCH(AM$1, AsistenciaJetAdminConcatenada!$B:$B, 0)), ISNUMBER(SEARCH($A48,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ISNUMBER(SEARCH($A48, INDEX(AsistenciaJetAdminConcatenada!$D:$D, MATCH(1, (AsistenciaJetAdminConcatenada!$A:$A=AM$2)*(AsistenciaJetAdminConcatenada!$B:$B=AM$1), 0)), 1))),  0.5, 0))</f>
        <v>0</v>
      </c>
      <c r="AN48" s="47">
        <f t="array" ref="AN48">IF(AND(ISNUMBER(MATCH(AN$2, AsistenciaJetAdminConcatenada!$A:$A, 0)), ISNUMBER(MATCH(AN$1, AsistenciaJetAdminConcatenada!$B:$B, 0)), ISNUMBER(SEARCH($A48,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ISNUMBER(SEARCH($A48, INDEX(AsistenciaJetAdminConcatenada!$D:$D, MATCH(1, (AsistenciaJetAdminConcatenada!$A:$A=AN$2)*(AsistenciaJetAdminConcatenada!$B:$B=AN$1), 0)), 1))),  0.5, 0))</f>
        <v>0</v>
      </c>
      <c r="AO48" s="47">
        <f t="array" ref="AO48">IF(AND(ISNUMBER(MATCH(AO$2, AsistenciaJetAdminConcatenada!$A:$A, 0)), ISNUMBER(MATCH(AO$1, AsistenciaJetAdminConcatenada!$B:$B, 0)), ISNUMBER(SEARCH($A48,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ISNUMBER(SEARCH($A48, INDEX(AsistenciaJetAdminConcatenada!$D:$D, MATCH(1, (AsistenciaJetAdminConcatenada!$A:$A=AO$2)*(AsistenciaJetAdminConcatenada!$B:$B=AO$1), 0)), 1))),  0.5, 0))</f>
        <v>1</v>
      </c>
      <c r="AP48" s="47">
        <f t="array" ref="AP48">IF(AND(ISNUMBER(MATCH(AP$2, AsistenciaJetAdminConcatenada!$A:$A, 0)), ISNUMBER(MATCH(AP$1, AsistenciaJetAdminConcatenada!$B:$B, 0)), ISNUMBER(SEARCH($A48,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ISNUMBER(SEARCH($A48, INDEX(AsistenciaJetAdminConcatenada!$D:$D, MATCH(1, (AsistenciaJetAdminConcatenada!$A:$A=AP$2)*(AsistenciaJetAdminConcatenada!$B:$B=AP$1), 0)), 1))),  0.5, 0))</f>
        <v>0.5</v>
      </c>
      <c r="AQ48" s="47">
        <f t="array" ref="AQ48">IF(AND(ISNUMBER(MATCH(AQ$2, AsistenciaJetAdminConcatenada!$A:$A, 0)), ISNUMBER(MATCH(AQ$1, AsistenciaJetAdminConcatenada!$B:$B, 0)), ISNUMBER(SEARCH($A48,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ISNUMBER(SEARCH($A48, INDEX(AsistenciaJetAdminConcatenada!$D:$D, MATCH(1, (AsistenciaJetAdminConcatenada!$A:$A=AQ$2)*(AsistenciaJetAdminConcatenada!$B:$B=AQ$1), 0)), 1))),  0.5, 0))</f>
        <v>0</v>
      </c>
      <c r="AR48" s="47">
        <f t="array" ref="AR48">IF(AND(ISNUMBER(MATCH(AR$2, AsistenciaJetAdminConcatenada!$A:$A, 0)), ISNUMBER(MATCH(AR$1, AsistenciaJetAdminConcatenada!$B:$B, 0)), ISNUMBER(SEARCH($A48,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ISNUMBER(SEARCH($A48, INDEX(AsistenciaJetAdminConcatenada!$D:$D, MATCH(1, (AsistenciaJetAdminConcatenada!$A:$A=AR$2)*(AsistenciaJetAdminConcatenada!$B:$B=AR$1), 0)), 1))),  0.5, 0))</f>
        <v>1</v>
      </c>
      <c r="AS48" s="47">
        <f t="array" ref="AS48">IF(AND(ISNUMBER(MATCH(AS$2, AsistenciaJetAdminConcatenada!$A:$A, 0)), ISNUMBER(MATCH(AS$1, AsistenciaJetAdminConcatenada!$B:$B, 0)), ISNUMBER(SEARCH($A48,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ISNUMBER(SEARCH($A48, INDEX(AsistenciaJetAdminConcatenada!$D:$D, MATCH(1, (AsistenciaJetAdminConcatenada!$A:$A=AS$2)*(AsistenciaJetAdminConcatenada!$B:$B=AS$1), 0)), 1))),  0.5, 0))</f>
        <v>0</v>
      </c>
      <c r="AT48" s="47">
        <f t="array" ref="AT48">IF(AND(ISNUMBER(MATCH(AT$2, AsistenciaJetAdminConcatenada!$A:$A, 0)), ISNUMBER(MATCH(AT$1, AsistenciaJetAdminConcatenada!$B:$B, 0)), ISNUMBER(SEARCH($A48,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ISNUMBER(SEARCH($A48, INDEX(AsistenciaJetAdminConcatenada!$D:$D, MATCH(1, (AsistenciaJetAdminConcatenada!$A:$A=AT$2)*(AsistenciaJetAdminConcatenada!$B:$B=AT$1), 0)), 1))),  0.5, 0))</f>
        <v>0</v>
      </c>
      <c r="AU48" s="47">
        <f t="array" ref="AU48">IF(AND(ISNUMBER(MATCH(AU$2, AsistenciaJetAdminConcatenada!$A:$A, 0)), ISNUMBER(MATCH(AU$1, AsistenciaJetAdminConcatenada!$B:$B, 0)), ISNUMBER(SEARCH($A48,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ISNUMBER(SEARCH($A48, INDEX(AsistenciaJetAdminConcatenada!$D:$D, MATCH(1, (AsistenciaJetAdminConcatenada!$A:$A=AU$2)*(AsistenciaJetAdminConcatenada!$B:$B=AU$1), 0)), 1))),  0.5, 0))</f>
        <v>0</v>
      </c>
      <c r="AV48" s="47">
        <f t="array" ref="AV48">IF(AND(ISNUMBER(MATCH(AV$2, AsistenciaJetAdminConcatenada!$A:$A, 0)), ISNUMBER(MATCH(AV$1, AsistenciaJetAdminConcatenada!$B:$B, 0)), ISNUMBER(SEARCH($A48,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ISNUMBER(SEARCH($A48, INDEX(AsistenciaJetAdminConcatenada!$D:$D, MATCH(1, (AsistenciaJetAdminConcatenada!$A:$A=AV$2)*(AsistenciaJetAdminConcatenada!$B:$B=AV$1), 0)), 1))),  0.5, 0))</f>
        <v>1</v>
      </c>
      <c r="AW48" s="47">
        <f t="array" ref="AW48">IF(AND(ISNUMBER(MATCH(AW$2, AsistenciaJetAdminConcatenada!$A:$A, 0)), ISNUMBER(MATCH(AW$1, AsistenciaJetAdminConcatenada!$B:$B, 0)), ISNUMBER(SEARCH($A48,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ISNUMBER(SEARCH($A48, INDEX(AsistenciaJetAdminConcatenada!$D:$D, MATCH(1, (AsistenciaJetAdminConcatenada!$A:$A=AW$2)*(AsistenciaJetAdminConcatenada!$B:$B=AW$1), 0)), 1))),  0.5, 0))</f>
        <v>0</v>
      </c>
      <c r="AX48" s="47">
        <f t="array" ref="AX48">IF(AND(ISNUMBER(MATCH(AX$2, AsistenciaJetAdminConcatenada!$A:$A, 0)), ISNUMBER(MATCH(AX$1, AsistenciaJetAdminConcatenada!$B:$B, 0)), ISNUMBER(SEARCH($A48,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ISNUMBER(SEARCH($A48, INDEX(AsistenciaJetAdminConcatenada!$D:$D, MATCH(1, (AsistenciaJetAdminConcatenada!$A:$A=AX$2)*(AsistenciaJetAdminConcatenada!$B:$B=AX$1), 0)), 1))),  0.5, 0))</f>
        <v>0</v>
      </c>
      <c r="AY48" s="47">
        <f t="array" ref="AY48">IF(AND(ISNUMBER(MATCH(AY$2, AsistenciaJetAdminConcatenada!$A:$A, 0)), ISNUMBER(MATCH(AY$1, AsistenciaJetAdminConcatenada!$B:$B, 0)), ISNUMBER(SEARCH($A48,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ISNUMBER(SEARCH($A48, INDEX(AsistenciaJetAdminConcatenada!$D:$D, MATCH(1, (AsistenciaJetAdminConcatenada!$A:$A=AY$2)*(AsistenciaJetAdminConcatenada!$B:$B=AY$1), 0)), 1))),  0.5, 0))</f>
        <v>1</v>
      </c>
      <c r="AZ48" s="47">
        <f t="array" ref="AZ48">IF(AND(ISNUMBER(MATCH(AZ$2, AsistenciaJetAdminConcatenada!$A:$A, 0)), ISNUMBER(MATCH(AZ$1, AsistenciaJetAdminConcatenada!$B:$B, 0)), ISNUMBER(SEARCH($A48,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ISNUMBER(SEARCH($A48, INDEX(AsistenciaJetAdminConcatenada!$D:$D, MATCH(1, (AsistenciaJetAdminConcatenada!$A:$A=AZ$2)*(AsistenciaJetAdminConcatenada!$B:$B=AZ$1), 0)), 1))),  0.5, 0))</f>
        <v>0</v>
      </c>
      <c r="BA48" s="47">
        <f t="array" ref="BA48">IF(AND(ISNUMBER(MATCH(BA$2, AsistenciaJetAdminConcatenada!$A:$A, 0)), ISNUMBER(MATCH(BA$1, AsistenciaJetAdminConcatenada!$B:$B, 0)), ISNUMBER(SEARCH($A48,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ISNUMBER(SEARCH($A48, INDEX(AsistenciaJetAdminConcatenada!$D:$D, MATCH(1, (AsistenciaJetAdminConcatenada!$A:$A=BA$2)*(AsistenciaJetAdminConcatenada!$B:$B=BA$1), 0)), 1))),  0.5, 0))</f>
        <v>1</v>
      </c>
      <c r="BB48" s="47">
        <f t="array" ref="BB48">IF(AND(ISNUMBER(MATCH(BB$2, AsistenciaJetAdminConcatenada!$A:$A, 0)), ISNUMBER(MATCH(BB$1, AsistenciaJetAdminConcatenada!$B:$B, 0)), ISNUMBER(SEARCH($A48,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ISNUMBER(SEARCH($A48, INDEX(AsistenciaJetAdminConcatenada!$D:$D, MATCH(1, (AsistenciaJetAdminConcatenada!$A:$A=BB$2)*(AsistenciaJetAdminConcatenada!$B:$B=BB$1), 0)), 1))),  0.5, 0))</f>
        <v>0</v>
      </c>
      <c r="BC48" s="47">
        <f t="array" ref="BC48">IF(AND(ISNUMBER(MATCH(BC$2, AsistenciaJetAdminConcatenada!$A:$A, 0)), ISNUMBER(MATCH(BC$1, AsistenciaJetAdminConcatenada!$B:$B, 0)), ISNUMBER(SEARCH($A48,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ISNUMBER(SEARCH($A48, INDEX(AsistenciaJetAdminConcatenada!$D:$D, MATCH(1, (AsistenciaJetAdminConcatenada!$A:$A=BC$2)*(AsistenciaJetAdminConcatenada!$B:$B=BC$1), 0)), 1))),  0.5, 0))</f>
        <v>1</v>
      </c>
      <c r="BD48" s="47">
        <f t="array" ref="BD48">IF(AND(ISNUMBER(MATCH(BD$2, AsistenciaJetAdminConcatenada!$A:$A, 0)), ISNUMBER(MATCH(BD$1, AsistenciaJetAdminConcatenada!$B:$B, 0)), ISNUMBER(SEARCH($A48,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ISNUMBER(SEARCH($A48, INDEX(AsistenciaJetAdminConcatenada!$D:$D, MATCH(1, (AsistenciaJetAdminConcatenada!$A:$A=BD$2)*(AsistenciaJetAdminConcatenada!$B:$B=BD$1), 0)), 1))),  0.5, 0))</f>
        <v>1</v>
      </c>
      <c r="BE48" s="47">
        <f t="array" ref="BE48">IF(AND(ISNUMBER(MATCH(BE$2, AsistenciaJetAdminConcatenada!$A:$A, 0)), ISNUMBER(MATCH(BE$1, AsistenciaJetAdminConcatenada!$B:$B, 0)), ISNUMBER(SEARCH($A48,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ISNUMBER(SEARCH($A48, INDEX(AsistenciaJetAdminConcatenada!$D:$D, MATCH(1, (AsistenciaJetAdminConcatenada!$A:$A=BE$2)*(AsistenciaJetAdminConcatenada!$B:$B=BE$1), 0)), 1))),  0.5, 0))</f>
        <v>1</v>
      </c>
      <c r="BF48" s="47">
        <f t="array" ref="BF48">IF(AND(ISNUMBER(MATCH(BF$2, AsistenciaJetAdminConcatenada!$A:$A, 0)), ISNUMBER(MATCH(BF$1, AsistenciaJetAdminConcatenada!$B:$B, 0)), ISNUMBER(SEARCH($A48,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ISNUMBER(SEARCH($A48, INDEX(AsistenciaJetAdminConcatenada!$D:$D, MATCH(1, (AsistenciaJetAdminConcatenada!$A:$A=BF$2)*(AsistenciaJetAdminConcatenada!$B:$B=BF$1), 0)), 1))),  0.5, 0))</f>
        <v>0.5</v>
      </c>
      <c r="BG48" s="47">
        <f t="array" ref="BG48">IF(AND(ISNUMBER(MATCH(BG$2, AsistenciaJetAdminConcatenada!$A:$A, 0)), ISNUMBER(MATCH(BG$1, AsistenciaJetAdminConcatenada!$B:$B, 0)), ISNUMBER(SEARCH($A48,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ISNUMBER(SEARCH($A48, INDEX(AsistenciaJetAdminConcatenada!$D:$D, MATCH(1, (AsistenciaJetAdminConcatenada!$A:$A=BG$2)*(AsistenciaJetAdminConcatenada!$B:$B=BG$1), 0)), 1))),  0.5, 0))</f>
        <v>1</v>
      </c>
      <c r="BH48" s="47">
        <f t="array" ref="BH48">IF(AND(ISNUMBER(MATCH(BH$2, AsistenciaJetAdminConcatenada!$A:$A, 0)), ISNUMBER(MATCH(BH$1, AsistenciaJetAdminConcatenada!$B:$B, 0)), ISNUMBER(SEARCH($A48,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ISNUMBER(SEARCH($A48, INDEX(AsistenciaJetAdminConcatenada!$D:$D, MATCH(1, (AsistenciaJetAdminConcatenada!$A:$A=BH$2)*(AsistenciaJetAdminConcatenada!$B:$B=BH$1), 0)), 1))),  0.5, 0))</f>
        <v>1</v>
      </c>
      <c r="BI48" s="47">
        <f t="array" ref="BI48">IF(AND(ISNUMBER(MATCH(BI$2, AsistenciaJetAdminConcatenada!$A:$A, 0)), ISNUMBER(MATCH(BI$1, AsistenciaJetAdminConcatenada!$B:$B, 0)), ISNUMBER(SEARCH($A48,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ISNUMBER(SEARCH($A48, INDEX(AsistenciaJetAdminConcatenada!$D:$D, MATCH(1, (AsistenciaJetAdminConcatenada!$A:$A=BI$2)*(AsistenciaJetAdminConcatenada!$B:$B=BI$1), 0)), 1))),  0.5, 0))</f>
        <v>1</v>
      </c>
      <c r="BJ48" s="47">
        <f t="array" ref="BJ48">IF(AND(ISNUMBER(MATCH(BJ$2, AsistenciaJetAdminConcatenada!$A:$A, 0)), ISNUMBER(MATCH(BJ$1, AsistenciaJetAdminConcatenada!$B:$B, 0)), ISNUMBER(SEARCH($A48,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ISNUMBER(SEARCH($A48, INDEX(AsistenciaJetAdminConcatenada!$D:$D, MATCH(1, (AsistenciaJetAdminConcatenada!$A:$A=BJ$2)*(AsistenciaJetAdminConcatenada!$B:$B=BJ$1), 0)), 1))),  0.5, 0))</f>
        <v>1</v>
      </c>
      <c r="BK48" s="47">
        <f t="array" ref="BK48">IF(AND(ISNUMBER(MATCH(BK$2, AsistenciaJetAdminConcatenada!$A:$A, 0)), ISNUMBER(MATCH(BK$1, AsistenciaJetAdminConcatenada!$B:$B, 0)), ISNUMBER(SEARCH($A48,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ISNUMBER(SEARCH($A48, INDEX(AsistenciaJetAdminConcatenada!$D:$D, MATCH(1, (AsistenciaJetAdminConcatenada!$A:$A=BK$2)*(AsistenciaJetAdminConcatenada!$B:$B=BK$1), 0)), 1))),  0.5, 0))</f>
        <v>1</v>
      </c>
      <c r="BL48" s="47">
        <f t="array" ref="BL48">IF(AND(ISNUMBER(MATCH(BL$2, AsistenciaJetAdminConcatenada!$A:$A, 0)), ISNUMBER(MATCH(BL$1, AsistenciaJetAdminConcatenada!$B:$B, 0)), ISNUMBER(SEARCH($A48,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ISNUMBER(SEARCH($A48, INDEX(AsistenciaJetAdminConcatenada!$D:$D, MATCH(1, (AsistenciaJetAdminConcatenada!$A:$A=BL$2)*(AsistenciaJetAdminConcatenada!$B:$B=BL$1), 0)), 1))),  0.5, 0))</f>
        <v>1</v>
      </c>
      <c r="BM48" s="47">
        <f t="array" ref="BM48">IF(AND(ISNUMBER(MATCH(BM$2, AsistenciaJetAdminConcatenada!$A:$A, 0)), ISNUMBER(MATCH(BM$1, AsistenciaJetAdminConcatenada!$B:$B, 0)), ISNUMBER(SEARCH($A48,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ISNUMBER(SEARCH($A48, INDEX(AsistenciaJetAdminConcatenada!$D:$D, MATCH(1, (AsistenciaJetAdminConcatenada!$A:$A=BM$2)*(AsistenciaJetAdminConcatenada!$B:$B=BM$1), 0)), 1))),  0.5, 0))</f>
        <v>1</v>
      </c>
      <c r="BN48" s="47">
        <f t="array" ref="BN48">IF(AND(ISNUMBER(MATCH(BN$2, AsistenciaJetAdminConcatenada!$A:$A, 0)), ISNUMBER(MATCH(BN$1, AsistenciaJetAdminConcatenada!$B:$B, 0)), ISNUMBER(SEARCH($A48,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ISNUMBER(SEARCH($A48, INDEX(AsistenciaJetAdminConcatenada!$D:$D, MATCH(1, (AsistenciaJetAdminConcatenada!$A:$A=BN$2)*(AsistenciaJetAdminConcatenada!$B:$B=BN$1), 0)), 1))),  0.5, 0))</f>
        <v>0</v>
      </c>
      <c r="BO48" s="47">
        <f t="array" ref="BO48">IF(AND(ISNUMBER(MATCH(BO$2, AsistenciaJetAdminConcatenada!$A:$A, 0)), ISNUMBER(MATCH(BO$1, AsistenciaJetAdminConcatenada!$B:$B, 0)), ISNUMBER(SEARCH($A48,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ISNUMBER(SEARCH($A48, INDEX(AsistenciaJetAdminConcatenada!$D:$D, MATCH(1, (AsistenciaJetAdminConcatenada!$A:$A=BO$2)*(AsistenciaJetAdminConcatenada!$B:$B=BO$1), 0)), 1))),  0.5, 0))</f>
        <v>1</v>
      </c>
      <c r="BP48" s="47">
        <f t="array" ref="BP48">IF(AND(ISNUMBER(MATCH(BP$2, AsistenciaJetAdminConcatenada!$A:$A, 0)), ISNUMBER(MATCH(BP$1, AsistenciaJetAdminConcatenada!$B:$B, 0)), ISNUMBER(SEARCH($A48,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ISNUMBER(SEARCH($A48, INDEX(AsistenciaJetAdminConcatenada!$D:$D, MATCH(1, (AsistenciaJetAdminConcatenada!$A:$A=BP$2)*(AsistenciaJetAdminConcatenada!$B:$B=BP$1), 0)), 1))),  0.5, 0))</f>
        <v>0</v>
      </c>
      <c r="BQ48" s="47">
        <f t="array" ref="BQ48">IF(AND(ISNUMBER(MATCH(BQ$2, AsistenciaJetAdminConcatenada!$A:$A, 0)), ISNUMBER(MATCH(BQ$1, AsistenciaJetAdminConcatenada!$B:$B, 0)), ISNUMBER(SEARCH($A48,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ISNUMBER(SEARCH($A48, INDEX(AsistenciaJetAdminConcatenada!$D:$D, MATCH(1, (AsistenciaJetAdminConcatenada!$A:$A=BQ$2)*(AsistenciaJetAdminConcatenada!$B:$B=BQ$1), 0)), 1))),  0.5, 0))</f>
        <v>1</v>
      </c>
      <c r="BR48" s="47">
        <f t="array" ref="BR48">IF(AND(ISNUMBER(MATCH(BR$2, AsistenciaJetAdminConcatenada!$A:$A, 0)), ISNUMBER(MATCH(BR$1, AsistenciaJetAdminConcatenada!$B:$B, 0)), ISNUMBER(SEARCH($A48,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ISNUMBER(SEARCH($A48, INDEX(AsistenciaJetAdminConcatenada!$D:$D, MATCH(1, (AsistenciaJetAdminConcatenada!$A:$A=BR$2)*(AsistenciaJetAdminConcatenada!$B:$B=BR$1), 0)), 1))),  0.5, 0))</f>
        <v>1</v>
      </c>
      <c r="BS48" s="47">
        <f t="array" ref="BS48">IF(AND(ISNUMBER(MATCH(BS$2, AsistenciaJetAdminConcatenada!$A:$A, 0)), ISNUMBER(MATCH(BS$1, AsistenciaJetAdminConcatenada!$B:$B, 0)), ISNUMBER(SEARCH($A48,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ISNUMBER(SEARCH($A48, INDEX(AsistenciaJetAdminConcatenada!$D:$D, MATCH(1, (AsistenciaJetAdminConcatenada!$A:$A=BS$2)*(AsistenciaJetAdminConcatenada!$B:$B=BS$1), 0)), 1))),  0.5, 0))</f>
        <v>1</v>
      </c>
      <c r="BT48" s="47">
        <f t="array" ref="BT48">IF(AND(ISNUMBER(MATCH(BT$2, AsistenciaJetAdminConcatenada!$A:$A, 0)), ISNUMBER(MATCH(BT$1, AsistenciaJetAdminConcatenada!$B:$B, 0)), ISNUMBER(SEARCH($A48,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ISNUMBER(SEARCH($A48, INDEX(AsistenciaJetAdminConcatenada!$D:$D, MATCH(1, (AsistenciaJetAdminConcatenada!$A:$A=BT$2)*(AsistenciaJetAdminConcatenada!$B:$B=BT$1), 0)), 1))),  0.5, 0))</f>
        <v>1</v>
      </c>
      <c r="BU48" s="47">
        <f t="array" ref="BU48">IF(AND(ISNUMBER(MATCH(BU$2, AsistenciaJetAdminConcatenada!$A:$A, 0)), ISNUMBER(MATCH(BU$1, AsistenciaJetAdminConcatenada!$B:$B, 0)), ISNUMBER(SEARCH($A48,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ISNUMBER(SEARCH($A48, INDEX(AsistenciaJetAdminConcatenada!$D:$D, MATCH(1, (AsistenciaJetAdminConcatenada!$A:$A=BU$2)*(AsistenciaJetAdminConcatenada!$B:$B=BU$1), 0)), 1))),  0.5, 0))</f>
        <v>1</v>
      </c>
      <c r="BV48" s="47">
        <f t="array" ref="BV48">IF(AND(ISNUMBER(MATCH(BV$2, AsistenciaJetAdminConcatenada!$A:$A, 0)), ISNUMBER(MATCH(BV$1, AsistenciaJetAdminConcatenada!$B:$B, 0)), ISNUMBER(SEARCH($A48,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ISNUMBER(SEARCH($A48, INDEX(AsistenciaJetAdminConcatenada!$D:$D, MATCH(1, (AsistenciaJetAdminConcatenada!$A:$A=BV$2)*(AsistenciaJetAdminConcatenada!$B:$B=BV$1), 0)), 1))),  0.5, 0))</f>
        <v>0</v>
      </c>
      <c r="BW48" s="47">
        <f t="array" ref="BW48">IF(AND(ISNUMBER(MATCH(BW$2, AsistenciaJetAdminConcatenada!$A:$A, 0)), ISNUMBER(MATCH(BW$1, AsistenciaJetAdminConcatenada!$B:$B, 0)), ISNUMBER(SEARCH($A48,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ISNUMBER(SEARCH($A48, INDEX(AsistenciaJetAdminConcatenada!$D:$D, MATCH(1, (AsistenciaJetAdminConcatenada!$A:$A=BW$2)*(AsistenciaJetAdminConcatenada!$B:$B=BW$1), 0)), 1))),  0.5, 0))</f>
        <v>1</v>
      </c>
      <c r="BX48" s="47">
        <f t="array" ref="BX48">IF(AND(ISNUMBER(MATCH(BX$2, AsistenciaJetAdminConcatenada!$A:$A, 0)), ISNUMBER(MATCH(BX$1, AsistenciaJetAdminConcatenada!$B:$B, 0)), ISNUMBER(SEARCH($A48,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ISNUMBER(SEARCH($A48, INDEX(AsistenciaJetAdminConcatenada!$D:$D, MATCH(1, (AsistenciaJetAdminConcatenada!$A:$A=BX$2)*(AsistenciaJetAdminConcatenada!$B:$B=BX$1), 0)), 1))),  0.5, 0))</f>
        <v>0</v>
      </c>
      <c r="BY48" s="47">
        <f t="array" ref="BY48">IF(AND(ISNUMBER(MATCH(BY$2, AsistenciaJetAdminConcatenada!$A:$A, 0)), ISNUMBER(MATCH(BY$1, AsistenciaJetAdminConcatenada!$B:$B, 0)), ISNUMBER(SEARCH($A48,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ISNUMBER(SEARCH($A48, INDEX(AsistenciaJetAdminConcatenada!$D:$D, MATCH(1, (AsistenciaJetAdminConcatenada!$A:$A=BY$2)*(AsistenciaJetAdminConcatenada!$B:$B=BY$1), 0)), 1))),  0.5, 0))</f>
        <v>1</v>
      </c>
      <c r="BZ48" s="47">
        <f t="array" ref="BZ48">IF(AND(ISNUMBER(MATCH(BZ$2, AsistenciaJetAdminConcatenada!$A:$A, 0)), ISNUMBER(MATCH(BZ$1, AsistenciaJetAdminConcatenada!$B:$B, 0)), ISNUMBER(SEARCH($A48,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ISNUMBER(SEARCH($A48, INDEX(AsistenciaJetAdminConcatenada!$D:$D, MATCH(1, (AsistenciaJetAdminConcatenada!$A:$A=BZ$2)*(AsistenciaJetAdminConcatenada!$B:$B=BZ$1), 0)), 1))),  0.5, 0))</f>
        <v>1</v>
      </c>
      <c r="CA48" s="47">
        <f t="array" ref="CA48">IF(AND(ISNUMBER(MATCH(CA$2, AsistenciaJetAdminConcatenada!$A:$A, 0)), ISNUMBER(MATCH(CA$1, AsistenciaJetAdminConcatenada!$B:$B, 0)), ISNUMBER(SEARCH($A48,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ISNUMBER(SEARCH($A48, INDEX(AsistenciaJetAdminConcatenada!$D:$D, MATCH(1, (AsistenciaJetAdminConcatenada!$A:$A=CA$2)*(AsistenciaJetAdminConcatenada!$B:$B=CA$1), 0)), 1))),  0.5, 0))</f>
        <v>1</v>
      </c>
      <c r="CB48" s="47">
        <f t="array" ref="CB48">IF(AND(ISNUMBER(MATCH(CB$2, AsistenciaJetAdminConcatenada!$A:$A, 0)), ISNUMBER(MATCH(CB$1, AsistenciaJetAdminConcatenada!$B:$B, 0)), ISNUMBER(SEARCH($A48,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ISNUMBER(SEARCH($A48, INDEX(AsistenciaJetAdminConcatenada!$D:$D, MATCH(1, (AsistenciaJetAdminConcatenada!$A:$A=CB$2)*(AsistenciaJetAdminConcatenada!$B:$B=CB$1), 0)), 1))),  0.5, 0))</f>
        <v>0</v>
      </c>
      <c r="CC48" s="47">
        <f t="array" ref="CC48">IF(AND(ISNUMBER(MATCH(CC$2, AsistenciaJetAdminConcatenada!$A:$A, 0)), ISNUMBER(MATCH(CC$1, AsistenciaJetAdminConcatenada!$B:$B, 0)), ISNUMBER(SEARCH($A48,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ISNUMBER(SEARCH($A48, INDEX(AsistenciaJetAdminConcatenada!$D:$D, MATCH(1, (AsistenciaJetAdminConcatenada!$A:$A=CC$2)*(AsistenciaJetAdminConcatenada!$B:$B=CC$1), 0)), 1))),  0.5, 0))</f>
        <v>0</v>
      </c>
      <c r="CD48" s="47">
        <f t="array" ref="CD48">IF(AND(ISNUMBER(MATCH(CD$2, AsistenciaJetAdminConcatenada!$A:$A, 0)), ISNUMBER(MATCH(CD$1, AsistenciaJetAdminConcatenada!$B:$B, 0)), ISNUMBER(SEARCH($A48,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ISNUMBER(SEARCH($A48, INDEX(AsistenciaJetAdminConcatenada!$D:$D, MATCH(1, (AsistenciaJetAdminConcatenada!$A:$A=CD$2)*(AsistenciaJetAdminConcatenada!$B:$B=CD$1), 0)), 1))),  0.5, 0))</f>
        <v>1</v>
      </c>
      <c r="CE48" s="47">
        <f t="array" ref="CE48">IF(AND(ISNUMBER(MATCH(CE$2, AsistenciaJetAdminConcatenada!$A:$A, 0)), ISNUMBER(MATCH(CE$1, AsistenciaJetAdminConcatenada!$B:$B, 0)), ISNUMBER(SEARCH($A48,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ISNUMBER(SEARCH($A48, INDEX(AsistenciaJetAdminConcatenada!$D:$D, MATCH(1, (AsistenciaJetAdminConcatenada!$A:$A=CE$2)*(AsistenciaJetAdminConcatenada!$B:$B=CE$1), 0)), 1))),  0.5, 0))</f>
        <v>0</v>
      </c>
      <c r="CF48" s="47">
        <f t="array" ref="CF48">IF(AND(ISNUMBER(MATCH(CF$2, AsistenciaJetAdminConcatenada!$A:$A, 0)), ISNUMBER(MATCH(CF$1, AsistenciaJetAdminConcatenada!$B:$B, 0)), ISNUMBER(SEARCH($A48,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ISNUMBER(SEARCH($A48, INDEX(AsistenciaJetAdminConcatenada!$D:$D, MATCH(1, (AsistenciaJetAdminConcatenada!$A:$A=CF$2)*(AsistenciaJetAdminConcatenada!$B:$B=CF$1), 0)), 1))),  0.5, 0))</f>
        <v>0</v>
      </c>
      <c r="CG48" s="47">
        <f t="array" ref="CG48">IF(AND(ISNUMBER(MATCH(CG$2, AsistenciaJetAdminConcatenada!$A:$A, 0)), ISNUMBER(MATCH(CG$1, AsistenciaJetAdminConcatenada!$B:$B, 0)), ISNUMBER(SEARCH($A48,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ISNUMBER(SEARCH($A48, INDEX(AsistenciaJetAdminConcatenada!$D:$D, MATCH(1, (AsistenciaJetAdminConcatenada!$A:$A=CG$2)*(AsistenciaJetAdminConcatenada!$B:$B=CG$1), 0)), 1))),  0.5, 0))</f>
        <v>0</v>
      </c>
      <c r="CH48" s="47">
        <f t="array" ref="CH48">IF(AND(ISNUMBER(MATCH(CH$2, AsistenciaJetAdminConcatenada!$A:$A, 0)), ISNUMBER(MATCH(CH$1, AsistenciaJetAdminConcatenada!$B:$B, 0)), ISNUMBER(SEARCH($A48,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ISNUMBER(SEARCH($A48, INDEX(AsistenciaJetAdminConcatenada!$D:$D, MATCH(1, (AsistenciaJetAdminConcatenada!$A:$A=CH$2)*(AsistenciaJetAdminConcatenada!$B:$B=CH$1), 0)), 1))),  0.5, 0))</f>
        <v>0</v>
      </c>
      <c r="CI48" s="47">
        <f t="array" ref="CI48">IF(AND(ISNUMBER(MATCH(CI$2, AsistenciaJetAdminConcatenada!$A:$A, 0)), ISNUMBER(MATCH(CI$1, AsistenciaJetAdminConcatenada!$B:$B, 0)), ISNUMBER(SEARCH($A48,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ISNUMBER(SEARCH($A48, INDEX(AsistenciaJetAdminConcatenada!$D:$D, MATCH(1, (AsistenciaJetAdminConcatenada!$A:$A=CI$2)*(AsistenciaJetAdminConcatenada!$B:$B=CI$1), 0)), 1))),  0.5, 0))</f>
        <v>0</v>
      </c>
      <c r="CJ48" s="47">
        <f t="array" ref="CJ48">IF(AND(ISNUMBER(MATCH(CJ$2, AsistenciaJetAdminConcatenada!$A:$A, 0)), ISNUMBER(MATCH(CJ$1, AsistenciaJetAdminConcatenada!$B:$B, 0)), ISNUMBER(SEARCH($A48,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ISNUMBER(SEARCH($A48, INDEX(AsistenciaJetAdminConcatenada!$D:$D, MATCH(1, (AsistenciaJetAdminConcatenada!$A:$A=CJ$2)*(AsistenciaJetAdminConcatenada!$B:$B=CJ$1), 0)), 1))),  0.5, 0))</f>
        <v>1</v>
      </c>
      <c r="CK48" s="47">
        <f t="array" ref="CK48">IF(AND(ISNUMBER(MATCH(CK$2, AsistenciaJetAdminConcatenada!$A:$A, 0)), ISNUMBER(MATCH(CK$1, AsistenciaJetAdminConcatenada!$B:$B, 0)), ISNUMBER(SEARCH($A48,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ISNUMBER(SEARCH($A48, INDEX(AsistenciaJetAdminConcatenada!$D:$D, MATCH(1, (AsistenciaJetAdminConcatenada!$A:$A=CK$2)*(AsistenciaJetAdminConcatenada!$B:$B=CK$1), 0)), 1))),  0.5, 0))</f>
        <v>1</v>
      </c>
      <c r="CL48" s="47">
        <f t="array" ref="CL48">IF(AND(ISNUMBER(MATCH(CL$2, AsistenciaJetAdminConcatenada!$A:$A, 0)), ISNUMBER(MATCH(CL$1, AsistenciaJetAdminConcatenada!$B:$B, 0)), ISNUMBER(SEARCH($A48,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ISNUMBER(SEARCH($A48, INDEX(AsistenciaJetAdminConcatenada!$D:$D, MATCH(1, (AsistenciaJetAdminConcatenada!$A:$A=CL$2)*(AsistenciaJetAdminConcatenada!$B:$B=CL$1), 0)), 1))),  0.5, 0))</f>
        <v>1</v>
      </c>
      <c r="CM48" s="47">
        <f t="array" ref="CM48">IF(AND(ISNUMBER(MATCH(CM$2, AsistenciaJetAdminConcatenada!$A:$A, 0)), ISNUMBER(MATCH(CM$1, AsistenciaJetAdminConcatenada!$B:$B, 0)), ISNUMBER(SEARCH($A48,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ISNUMBER(SEARCH($A48, INDEX(AsistenciaJetAdminConcatenada!$D:$D, MATCH(1, (AsistenciaJetAdminConcatenada!$A:$A=CM$2)*(AsistenciaJetAdminConcatenada!$B:$B=CM$1), 0)), 1))),  0.5, 0))</f>
        <v>0</v>
      </c>
      <c r="CN48" s="47">
        <f t="array" ref="CN48">IF(AND(ISNUMBER(MATCH(CN$2, AsistenciaJetAdminConcatenada!$A:$A, 0)), ISNUMBER(MATCH(CN$1, AsistenciaJetAdminConcatenada!$B:$B, 0)), ISNUMBER(SEARCH($A48,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ISNUMBER(SEARCH($A48, INDEX(AsistenciaJetAdminConcatenada!$D:$D, MATCH(1, (AsistenciaJetAdminConcatenada!$A:$A=CN$2)*(AsistenciaJetAdminConcatenada!$B:$B=CN$1), 0)), 1))),  0.5, 0))</f>
        <v>1</v>
      </c>
      <c r="CO48" s="47">
        <f t="array" ref="CO48">IF(AND(ISNUMBER(MATCH(CO$2, AsistenciaJetAdminConcatenada!$A:$A, 0)), ISNUMBER(MATCH(CO$1, AsistenciaJetAdminConcatenada!$B:$B, 0)), ISNUMBER(SEARCH($A48,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ISNUMBER(SEARCH($A48, INDEX(AsistenciaJetAdminConcatenada!$D:$D, MATCH(1, (AsistenciaJetAdminConcatenada!$A:$A=CO$2)*(AsistenciaJetAdminConcatenada!$B:$B=CO$1), 0)), 1))),  0.5, 0))</f>
        <v>1</v>
      </c>
      <c r="CP48" s="47">
        <f t="array" ref="CP48">IF(AND(ISNUMBER(MATCH(CP$2, AsistenciaJetAdminConcatenada!$A:$A, 0)), ISNUMBER(MATCH(CP$1, AsistenciaJetAdminConcatenada!$B:$B, 0)), ISNUMBER(SEARCH($A48,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ISNUMBER(SEARCH($A48, INDEX(AsistenciaJetAdminConcatenada!$D:$D, MATCH(1, (AsistenciaJetAdminConcatenada!$A:$A=CP$2)*(AsistenciaJetAdminConcatenada!$B:$B=CP$1), 0)), 1))),  0.5, 0))</f>
        <v>0</v>
      </c>
      <c r="CQ48" s="47">
        <f t="array" ref="CQ48">IF(AND(ISNUMBER(MATCH(CQ$2, AsistenciaJetAdminConcatenada!$A:$A, 0)), ISNUMBER(MATCH(CQ$1, AsistenciaJetAdminConcatenada!$B:$B, 0)), ISNUMBER(SEARCH($A48,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ISNUMBER(SEARCH($A48, INDEX(AsistenciaJetAdminConcatenada!$D:$D, MATCH(1, (AsistenciaJetAdminConcatenada!$A:$A=CQ$2)*(AsistenciaJetAdminConcatenada!$B:$B=CQ$1), 0)), 1))),  0.5, 0))</f>
        <v>0</v>
      </c>
      <c r="CR48" s="47">
        <f t="array" ref="CR48">IF(AND(ISNUMBER(MATCH(CR$2, AsistenciaJetAdminConcatenada!$A:$A, 0)), ISNUMBER(MATCH(CR$1, AsistenciaJetAdminConcatenada!$B:$B, 0)), ISNUMBER(SEARCH($A48,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ISNUMBER(SEARCH($A48, INDEX(AsistenciaJetAdminConcatenada!$D:$D, MATCH(1, (AsistenciaJetAdminConcatenada!$A:$A=CR$2)*(AsistenciaJetAdminConcatenada!$B:$B=CR$1), 0)), 1))),  0.5, 0))</f>
        <v>1</v>
      </c>
      <c r="CS48" s="47">
        <f t="array" ref="CS48">IF(AND(ISNUMBER(MATCH(CS$2, AsistenciaJetAdminConcatenada!$A:$A, 0)), ISNUMBER(MATCH(CS$1, AsistenciaJetAdminConcatenada!$B:$B, 0)), ISNUMBER(SEARCH($A48,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ISNUMBER(SEARCH($A48, INDEX(AsistenciaJetAdminConcatenada!$D:$D, MATCH(1, (AsistenciaJetAdminConcatenada!$A:$A=CS$2)*(AsistenciaJetAdminConcatenada!$B:$B=CS$1), 0)), 1))),  0.5, 0))</f>
        <v>0</v>
      </c>
      <c r="CT48" s="47">
        <f t="array" ref="CT48">IF(AND(ISNUMBER(MATCH(CT$2, AsistenciaJetAdminConcatenada!$A:$A, 0)), ISNUMBER(MATCH(CT$1, AsistenciaJetAdminConcatenada!$B:$B, 0)), ISNUMBER(SEARCH($A48,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ISNUMBER(SEARCH($A48, INDEX(AsistenciaJetAdminConcatenada!$D:$D, MATCH(1, (AsistenciaJetAdminConcatenada!$A:$A=CT$2)*(AsistenciaJetAdminConcatenada!$B:$B=CT$1), 0)), 1))),  0.5, 0))</f>
        <v>0</v>
      </c>
      <c r="CU48" s="47">
        <f t="array" ref="CU48">IF(AND(ISNUMBER(MATCH(CU$2, AsistenciaJetAdminConcatenada!$A:$A, 0)), ISNUMBER(MATCH(CU$1, AsistenciaJetAdminConcatenada!$B:$B, 0)), ISNUMBER(SEARCH($A48,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ISNUMBER(SEARCH($A48, INDEX(AsistenciaJetAdminConcatenada!$D:$D, MATCH(1, (AsistenciaJetAdminConcatenada!$A:$A=CU$2)*(AsistenciaJetAdminConcatenada!$B:$B=CU$1), 0)), 1))),  0.5, 0))</f>
        <v>0</v>
      </c>
      <c r="CV48" s="47">
        <f t="array" ref="CV48">IF(AND(ISNUMBER(MATCH(CV$2, AsistenciaJetAdminConcatenada!$A:$A, 0)), ISNUMBER(MATCH(CV$1, AsistenciaJetAdminConcatenada!$B:$B, 0)), ISNUMBER(SEARCH($A48,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ISNUMBER(SEARCH($A48, INDEX(AsistenciaJetAdminConcatenada!$D:$D, MATCH(1, (AsistenciaJetAdminConcatenada!$A:$A=CV$2)*(AsistenciaJetAdminConcatenada!$B:$B=CV$1), 0)), 1))),  0.5, 0))</f>
        <v>0</v>
      </c>
      <c r="CW48" s="47">
        <f t="array" ref="CW48">IF(AND(ISNUMBER(MATCH(CW$2, AsistenciaJetAdminConcatenada!$A:$A, 0)), ISNUMBER(MATCH(CW$1, AsistenciaJetAdminConcatenada!$B:$B, 0)), ISNUMBER(SEARCH($A48,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ISNUMBER(SEARCH($A48, INDEX(AsistenciaJetAdminConcatenada!$D:$D, MATCH(1, (AsistenciaJetAdminConcatenada!$A:$A=CW$2)*(AsistenciaJetAdminConcatenada!$B:$B=CW$1), 0)), 1))),  0.5, 0))</f>
        <v>0</v>
      </c>
      <c r="CX48" s="47">
        <f t="array" ref="CX48">IF(AND(ISNUMBER(MATCH(CX$2, AsistenciaJetAdminConcatenada!$A:$A, 0)), ISNUMBER(MATCH(CX$1, AsistenciaJetAdminConcatenada!$B:$B, 0)), ISNUMBER(SEARCH($A48,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ISNUMBER(SEARCH($A48, INDEX(AsistenciaJetAdminConcatenada!$D:$D, MATCH(1, (AsistenciaJetAdminConcatenada!$A:$A=CX$2)*(AsistenciaJetAdminConcatenada!$B:$B=CX$1), 0)), 1))),  0.5, 0))</f>
        <v>0</v>
      </c>
      <c r="CY48" s="47">
        <f t="array" ref="CY48">IF(AND(ISNUMBER(MATCH(CY$2, AsistenciaJetAdminConcatenada!$A:$A, 0)), ISNUMBER(MATCH(CY$1, AsistenciaJetAdminConcatenada!$B:$B, 0)), ISNUMBER(SEARCH($A48,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ISNUMBER(SEARCH($A48, INDEX(AsistenciaJetAdminConcatenada!$D:$D, MATCH(1, (AsistenciaJetAdminConcatenada!$A:$A=CY$2)*(AsistenciaJetAdminConcatenada!$B:$B=CY$1), 0)), 1))),  0.5, 0))</f>
        <v>0</v>
      </c>
      <c r="CZ48" s="47">
        <f t="array" ref="CZ48">IF(AND(ISNUMBER(MATCH(CZ$2, AsistenciaJetAdminConcatenada!$A:$A, 0)), ISNUMBER(MATCH(CZ$1, AsistenciaJetAdminConcatenada!$B:$B, 0)), ISNUMBER(SEARCH($A48,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ISNUMBER(SEARCH($A48, INDEX(AsistenciaJetAdminConcatenada!$D:$D, MATCH(1, (AsistenciaJetAdminConcatenada!$A:$A=CZ$2)*(AsistenciaJetAdminConcatenada!$B:$B=CZ$1), 0)), 1))),  0.5, 0))</f>
        <v>0</v>
      </c>
      <c r="DA48" s="47">
        <f t="array" ref="DA48">IF(AND(ISNUMBER(MATCH(DA$2, AsistenciaJetAdminConcatenada!$A:$A, 0)), ISNUMBER(MATCH(DA$1, AsistenciaJetAdminConcatenada!$B:$B, 0)), ISNUMBER(SEARCH($A48,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ISNUMBER(SEARCH($A48, INDEX(AsistenciaJetAdminConcatenada!$D:$D, MATCH(1, (AsistenciaJetAdminConcatenada!$A:$A=DA$2)*(AsistenciaJetAdminConcatenada!$B:$B=DA$1), 0)), 1))),  0.5, 0))</f>
        <v>0</v>
      </c>
      <c r="DB48" s="47">
        <f t="array" ref="DB48">IF(AND(ISNUMBER(MATCH(DB$2, AsistenciaJetAdminConcatenada!$A:$A, 0)), ISNUMBER(MATCH(DB$1, AsistenciaJetAdminConcatenada!$B:$B, 0)), ISNUMBER(SEARCH($A48,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ISNUMBER(SEARCH($A48, INDEX(AsistenciaJetAdminConcatenada!$D:$D, MATCH(1, (AsistenciaJetAdminConcatenada!$A:$A=DB$2)*(AsistenciaJetAdminConcatenada!$B:$B=DB$1), 0)), 1))),  0.5, 0))</f>
        <v>0</v>
      </c>
      <c r="DC48" s="47">
        <f t="array" ref="DC48">IF(AND(ISNUMBER(MATCH(DC$2, AsistenciaJetAdminConcatenada!$A:$A, 0)), ISNUMBER(MATCH(DC$1, AsistenciaJetAdminConcatenada!$B:$B, 0)), ISNUMBER(SEARCH($A48,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ISNUMBER(SEARCH($A48, INDEX(AsistenciaJetAdminConcatenada!$D:$D, MATCH(1, (AsistenciaJetAdminConcatenada!$A:$A=DC$2)*(AsistenciaJetAdminConcatenada!$B:$B=DC$1), 0)), 1))),  0.5, 0))</f>
        <v>0</v>
      </c>
      <c r="DD48" s="47">
        <f t="array" ref="DD48">IF(AND(ISNUMBER(MATCH(DD$2, AsistenciaJetAdminConcatenada!$A:$A, 0)), ISNUMBER(MATCH(DD$1, AsistenciaJetAdminConcatenada!$B:$B, 0)), ISNUMBER(SEARCH($A48,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ISNUMBER(SEARCH($A48, INDEX(AsistenciaJetAdminConcatenada!$D:$D, MATCH(1, (AsistenciaJetAdminConcatenada!$A:$A=DD$2)*(AsistenciaJetAdminConcatenada!$B:$B=DD$1), 0)), 1))),  0.5, 0))</f>
        <v>0</v>
      </c>
      <c r="DE48" s="47">
        <f t="array" ref="DE48">IF(AND(ISNUMBER(MATCH(DE$2, AsistenciaJetAdminConcatenada!$A:$A, 0)), ISNUMBER(MATCH(DE$1, AsistenciaJetAdminConcatenada!$B:$B, 0)), ISNUMBER(SEARCH($A48,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ISNUMBER(SEARCH($A48, INDEX(AsistenciaJetAdminConcatenada!$D:$D, MATCH(1, (AsistenciaJetAdminConcatenada!$A:$A=DE$2)*(AsistenciaJetAdminConcatenada!$B:$B=DE$1), 0)), 1))),  0.5, 0))</f>
        <v>0</v>
      </c>
      <c r="DF48" s="47">
        <f t="array" ref="DF48">IF(AND(ISNUMBER(MATCH(DF$2, AsistenciaJetAdminConcatenada!$A:$A, 0)), ISNUMBER(MATCH(DF$1, AsistenciaJetAdminConcatenada!$B:$B, 0)), ISNUMBER(SEARCH($A48,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ISNUMBER(SEARCH($A48, INDEX(AsistenciaJetAdminConcatenada!$D:$D, MATCH(1, (AsistenciaJetAdminConcatenada!$A:$A=DF$2)*(AsistenciaJetAdminConcatenada!$B:$B=DF$1), 0)), 1))),  0.5, 0))</f>
        <v>0</v>
      </c>
      <c r="DG48" s="47">
        <f t="array" ref="DG48">IF(AND(ISNUMBER(MATCH(DG$2, AsistenciaJetAdminConcatenada!$A:$A, 0)), ISNUMBER(MATCH(DG$1, AsistenciaJetAdminConcatenada!$B:$B, 0)), ISNUMBER(SEARCH($A48,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ISNUMBER(SEARCH($A48, INDEX(AsistenciaJetAdminConcatenada!$D:$D, MATCH(1, (AsistenciaJetAdminConcatenada!$A:$A=DG$2)*(AsistenciaJetAdminConcatenada!$B:$B=DG$1), 0)), 1))),  0.5, 0))</f>
        <v>0</v>
      </c>
      <c r="DH48" s="47">
        <f t="array" ref="DH48">IF(AND(ISNUMBER(MATCH(DH$2, AsistenciaJetAdminConcatenada!$A:$A, 0)), ISNUMBER(MATCH(DH$1, AsistenciaJetAdminConcatenada!$B:$B, 0)), ISNUMBER(SEARCH($A48,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ISNUMBER(SEARCH($A48, INDEX(AsistenciaJetAdminConcatenada!$D:$D, MATCH(1, (AsistenciaJetAdminConcatenada!$A:$A=DH$2)*(AsistenciaJetAdminConcatenada!$B:$B=DH$1), 0)), 1))),  0.5, 0))</f>
        <v>0</v>
      </c>
      <c r="DI48" s="47">
        <f t="array" ref="DI48">IF(AND(ISNUMBER(MATCH(DI$2, AsistenciaJetAdminConcatenada!$A:$A, 0)), ISNUMBER(MATCH(DI$1, AsistenciaJetAdminConcatenada!$B:$B, 0)), ISNUMBER(SEARCH($A48,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ISNUMBER(SEARCH($A48, INDEX(AsistenciaJetAdminConcatenada!$D:$D, MATCH(1, (AsistenciaJetAdminConcatenada!$A:$A=DI$2)*(AsistenciaJetAdminConcatenada!$B:$B=DI$1), 0)), 1))),  0.5, 0))</f>
        <v>0</v>
      </c>
      <c r="DJ48" s="47">
        <f t="array" ref="DJ48">IF(AND(ISNUMBER(MATCH(DJ$2, AsistenciaJetAdminConcatenada!$A:$A, 0)), ISNUMBER(MATCH(DJ$1, AsistenciaJetAdminConcatenada!$B:$B, 0)), ISNUMBER(SEARCH($A48,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ISNUMBER(SEARCH($A48, INDEX(AsistenciaJetAdminConcatenada!$D:$D, MATCH(1, (AsistenciaJetAdminConcatenada!$A:$A=DJ$2)*(AsistenciaJetAdminConcatenada!$B:$B=DJ$1), 0)), 1))),  0.5, 0))</f>
        <v>0</v>
      </c>
      <c r="DK48" s="47">
        <f t="array" ref="DK48">IF(AND(ISNUMBER(MATCH(DK$2, AsistenciaJetAdminConcatenada!$A:$A, 0)), ISNUMBER(MATCH(DK$1, AsistenciaJetAdminConcatenada!$B:$B, 0)), ISNUMBER(SEARCH($A48,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ISNUMBER(SEARCH($A48, INDEX(AsistenciaJetAdminConcatenada!$D:$D, MATCH(1, (AsistenciaJetAdminConcatenada!$A:$A=DK$2)*(AsistenciaJetAdminConcatenada!$B:$B=DK$1), 0)), 1))),  0.5, 0))</f>
        <v>0</v>
      </c>
      <c r="DL48" s="47">
        <f t="array" ref="DL48">IF(AND(ISNUMBER(MATCH(DL$2, AsistenciaJetAdminConcatenada!$A:$A, 0)), ISNUMBER(MATCH(DL$1, AsistenciaJetAdminConcatenada!$B:$B, 0)), ISNUMBER(SEARCH($A48,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ISNUMBER(SEARCH($A48, INDEX(AsistenciaJetAdminConcatenada!$D:$D, MATCH(1, (AsistenciaJetAdminConcatenada!$A:$A=DL$2)*(AsistenciaJetAdminConcatenada!$B:$B=DL$1), 0)), 1))),  0.5, 0))</f>
        <v>0</v>
      </c>
      <c r="DM48" s="47">
        <f t="array" ref="DM48">IF(AND(ISNUMBER(MATCH(DM$2, AsistenciaJetAdminConcatenada!$A:$A, 0)), ISNUMBER(MATCH(DM$1, AsistenciaJetAdminConcatenada!$B:$B, 0)), ISNUMBER(SEARCH($A48,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ISNUMBER(SEARCH($A48, INDEX(AsistenciaJetAdminConcatenada!$D:$D, MATCH(1, (AsistenciaJetAdminConcatenada!$A:$A=DM$2)*(AsistenciaJetAdminConcatenada!$B:$B=DM$1), 0)), 1))),  0.5, 0))</f>
        <v>0</v>
      </c>
      <c r="DN48" s="47">
        <f t="array" ref="DN48">IF(AND(ISNUMBER(MATCH(DN$2, AsistenciaJetAdminConcatenada!$A:$A, 0)), ISNUMBER(MATCH(DN$1, AsistenciaJetAdminConcatenada!$B:$B, 0)), ISNUMBER(SEARCH($A48,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ISNUMBER(SEARCH($A48, INDEX(AsistenciaJetAdminConcatenada!$D:$D, MATCH(1, (AsistenciaJetAdminConcatenada!$A:$A=DN$2)*(AsistenciaJetAdminConcatenada!$B:$B=DN$1), 0)), 1))),  0.5, 0))</f>
        <v>0</v>
      </c>
      <c r="DO48" s="47">
        <f t="array" ref="DO48">IF(AND(ISNUMBER(MATCH(DO$2, AsistenciaJetAdminConcatenada!$A:$A, 0)), ISNUMBER(MATCH(DO$1, AsistenciaJetAdminConcatenada!$B:$B, 0)), ISNUMBER(SEARCH($A48,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ISNUMBER(SEARCH($A48, INDEX(AsistenciaJetAdminConcatenada!$D:$D, MATCH(1, (AsistenciaJetAdminConcatenada!$A:$A=DO$2)*(AsistenciaJetAdminConcatenada!$B:$B=DO$1), 0)), 1))),  0.5, 0))</f>
        <v>0</v>
      </c>
      <c r="DP48" s="47">
        <f t="array" ref="DP48">IF(AND(ISNUMBER(MATCH(DP$2, AsistenciaJetAdminConcatenada!$A:$A, 0)), ISNUMBER(MATCH(DP$1, AsistenciaJetAdminConcatenada!$B:$B, 0)), ISNUMBER(SEARCH($A48,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ISNUMBER(SEARCH($A48, INDEX(AsistenciaJetAdminConcatenada!$D:$D, MATCH(1, (AsistenciaJetAdminConcatenada!$A:$A=DP$2)*(AsistenciaJetAdminConcatenada!$B:$B=DP$1), 0)), 1))),  0.5, 0))</f>
        <v>0</v>
      </c>
      <c r="DQ48" s="47">
        <f t="array" ref="DQ48">IF(AND(ISNUMBER(MATCH(DQ$2, AsistenciaJetAdminConcatenada!$A:$A, 0)), ISNUMBER(MATCH(DQ$1, AsistenciaJetAdminConcatenada!$B:$B, 0)), ISNUMBER(SEARCH($A48,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ISNUMBER(SEARCH($A48, INDEX(AsistenciaJetAdminConcatenada!$D:$D, MATCH(1, (AsistenciaJetAdminConcatenada!$A:$A=DQ$2)*(AsistenciaJetAdminConcatenada!$B:$B=DQ$1), 0)), 1))),  0.5, 0))</f>
        <v>0</v>
      </c>
      <c r="DR48" s="47">
        <f t="array" ref="DR48">IF(AND(ISNUMBER(MATCH(DR$2, AsistenciaJetAdminConcatenada!$A:$A, 0)), ISNUMBER(MATCH(DR$1, AsistenciaJetAdminConcatenada!$B:$B, 0)), ISNUMBER(SEARCH($A48,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ISNUMBER(SEARCH($A48, INDEX(AsistenciaJetAdminConcatenada!$D:$D, MATCH(1, (AsistenciaJetAdminConcatenada!$A:$A=DR$2)*(AsistenciaJetAdminConcatenada!$B:$B=DR$1), 0)), 1))),  0.5, 0))</f>
        <v>0</v>
      </c>
      <c r="DS48" s="47">
        <f t="array" ref="DS48">IF(AND(ISNUMBER(MATCH(DS$2, AsistenciaJetAdminConcatenada!$A:$A, 0)), ISNUMBER(MATCH(DS$1, AsistenciaJetAdminConcatenada!$B:$B, 0)), ISNUMBER(SEARCH($A48,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ISNUMBER(SEARCH($A48, INDEX(AsistenciaJetAdminConcatenada!$D:$D, MATCH(1, (AsistenciaJetAdminConcatenada!$A:$A=DS$2)*(AsistenciaJetAdminConcatenada!$B:$B=DS$1), 0)), 1))),  0.5, 0))</f>
        <v>0</v>
      </c>
      <c r="DT48" s="47">
        <f t="array" ref="DT48">IF(AND(ISNUMBER(MATCH(DT$2, AsistenciaJetAdminConcatenada!$A:$A, 0)), ISNUMBER(MATCH(DT$1, AsistenciaJetAdminConcatenada!$B:$B, 0)), ISNUMBER(SEARCH($A48,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ISNUMBER(SEARCH($A48, INDEX(AsistenciaJetAdminConcatenada!$D:$D, MATCH(1, (AsistenciaJetAdminConcatenada!$A:$A=DT$2)*(AsistenciaJetAdminConcatenada!$B:$B=DT$1), 0)), 1))),  0.5, 0))</f>
        <v>0</v>
      </c>
      <c r="DU48" s="47">
        <f t="array" ref="DU48">IF(AND(ISNUMBER(MATCH(DU$2, AsistenciaJetAdminConcatenada!$A:$A, 0)), ISNUMBER(MATCH(DU$1, AsistenciaJetAdminConcatenada!$B:$B, 0)), ISNUMBER(SEARCH($A48,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ISNUMBER(SEARCH($A48, INDEX(AsistenciaJetAdminConcatenada!$D:$D, MATCH(1, (AsistenciaJetAdminConcatenada!$A:$A=DU$2)*(AsistenciaJetAdminConcatenada!$B:$B=DU$1), 0)), 1))),  0.5, 0))</f>
        <v>0</v>
      </c>
      <c r="DV48" s="47">
        <f t="array" ref="DV48">IF(AND(ISNUMBER(MATCH(DV$2, AsistenciaJetAdminConcatenada!$A:$A, 0)), ISNUMBER(MATCH(DV$1, AsistenciaJetAdminConcatenada!$B:$B, 0)), ISNUMBER(SEARCH($A48,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ISNUMBER(SEARCH($A48, INDEX(AsistenciaJetAdminConcatenada!$D:$D, MATCH(1, (AsistenciaJetAdminConcatenada!$A:$A=DV$2)*(AsistenciaJetAdminConcatenada!$B:$B=DV$1), 0)), 1))),  0.5, 0))</f>
        <v>0</v>
      </c>
      <c r="DW48" s="47">
        <f t="array" ref="DW48">IF(AND(ISNUMBER(MATCH(DW$2, AsistenciaJetAdminConcatenada!$A:$A, 0)), ISNUMBER(MATCH(DW$1, AsistenciaJetAdminConcatenada!$B:$B, 0)), ISNUMBER(SEARCH($A48,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ISNUMBER(SEARCH($A48, INDEX(AsistenciaJetAdminConcatenada!$D:$D, MATCH(1, (AsistenciaJetAdminConcatenada!$A:$A=DW$2)*(AsistenciaJetAdminConcatenada!$B:$B=DW$1), 0)), 1))),  0.5, 0))</f>
        <v>0</v>
      </c>
      <c r="DX48" s="47">
        <f t="array" ref="DX48">IF(AND(ISNUMBER(MATCH(DX$2, AsistenciaJetAdminConcatenada!$A:$A, 0)), ISNUMBER(MATCH(DX$1, AsistenciaJetAdminConcatenada!$B:$B, 0)), ISNUMBER(SEARCH($A48,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ISNUMBER(SEARCH($A48, INDEX(AsistenciaJetAdminConcatenada!$D:$D, MATCH(1, (AsistenciaJetAdminConcatenada!$A:$A=DX$2)*(AsistenciaJetAdminConcatenada!$B:$B=DX$1), 0)), 1))),  0.5, 0))</f>
        <v>0</v>
      </c>
      <c r="DY48" s="47">
        <f t="array" ref="DY48">IF(AND(ISNUMBER(MATCH(DY$2, AsistenciaJetAdminConcatenada!$A:$A, 0)), ISNUMBER(MATCH(DY$1, AsistenciaJetAdminConcatenada!$B:$B, 0)), ISNUMBER(SEARCH($A48,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ISNUMBER(SEARCH($A48, INDEX(AsistenciaJetAdminConcatenada!$D:$D, MATCH(1, (AsistenciaJetAdminConcatenada!$A:$A=DY$2)*(AsistenciaJetAdminConcatenada!$B:$B=DY$1), 0)), 1))),  0.5, 0))</f>
        <v>0</v>
      </c>
      <c r="DZ48" s="47">
        <f t="array" ref="DZ48">IF(AND(ISNUMBER(MATCH(DZ$2, AsistenciaJetAdminConcatenada!$A:$A, 0)), ISNUMBER(MATCH(DZ$1, AsistenciaJetAdminConcatenada!$B:$B, 0)), ISNUMBER(SEARCH($A48,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ISNUMBER(SEARCH($A48, INDEX(AsistenciaJetAdminConcatenada!$D:$D, MATCH(1, (AsistenciaJetAdminConcatenada!$A:$A=DZ$2)*(AsistenciaJetAdminConcatenada!$B:$B=DZ$1), 0)), 1))),  0.5, 0))</f>
        <v>0</v>
      </c>
      <c r="EA48" s="47">
        <f t="array" ref="EA48">IF(AND(ISNUMBER(MATCH(EA$2, AsistenciaJetAdminConcatenada!$A:$A, 0)), ISNUMBER(MATCH(EA$1, AsistenciaJetAdminConcatenada!$B:$B, 0)), ISNUMBER(SEARCH($A48,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ISNUMBER(SEARCH($A48, INDEX(AsistenciaJetAdminConcatenada!$D:$D, MATCH(1, (AsistenciaJetAdminConcatenada!$A:$A=EA$2)*(AsistenciaJetAdminConcatenada!$B:$B=EA$1), 0)), 1))),  0.5, 0))</f>
        <v>0</v>
      </c>
      <c r="EB48" s="47">
        <f t="array" ref="EB48">IF(AND(ISNUMBER(MATCH(EB$2, AsistenciaJetAdminConcatenada!$A:$A, 0)), ISNUMBER(MATCH(EB$1, AsistenciaJetAdminConcatenada!$B:$B, 0)), ISNUMBER(SEARCH($A48,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ISNUMBER(SEARCH($A48, INDEX(AsistenciaJetAdminConcatenada!$D:$D, MATCH(1, (AsistenciaJetAdminConcatenada!$A:$A=EB$2)*(AsistenciaJetAdminConcatenada!$B:$B=EB$1), 0)), 1))),  0.5, 0))</f>
        <v>0</v>
      </c>
      <c r="EC48" s="47">
        <f t="array" ref="EC48">IF(AND(ISNUMBER(MATCH(EC$2, AsistenciaJetAdminConcatenada!$A:$A, 0)), ISNUMBER(MATCH(EC$1, AsistenciaJetAdminConcatenada!$B:$B, 0)), ISNUMBER(SEARCH($A48,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ISNUMBER(SEARCH($A48, INDEX(AsistenciaJetAdminConcatenada!$D:$D, MATCH(1, (AsistenciaJetAdminConcatenada!$A:$A=EC$2)*(AsistenciaJetAdminConcatenada!$B:$B=EC$1), 0)), 1))),  0.5, 0))</f>
        <v>0</v>
      </c>
      <c r="ED48" s="47">
        <f t="array" ref="ED48">IF(AND(ISNUMBER(MATCH(ED$2, AsistenciaJetAdminConcatenada!$A:$A, 0)), ISNUMBER(MATCH(ED$1, AsistenciaJetAdminConcatenada!$B:$B, 0)), ISNUMBER(SEARCH($A48,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ISNUMBER(SEARCH($A48, INDEX(AsistenciaJetAdminConcatenada!$D:$D, MATCH(1, (AsistenciaJetAdminConcatenada!$A:$A=ED$2)*(AsistenciaJetAdminConcatenada!$B:$B=ED$1), 0)), 1))),  0.5, 0))</f>
        <v>0</v>
      </c>
      <c r="EE48" s="47">
        <f t="array" ref="EE48">IF(AND(ISNUMBER(MATCH(EE$2, AsistenciaJetAdminConcatenada!$A:$A, 0)), ISNUMBER(MATCH(EE$1, AsistenciaJetAdminConcatenada!$B:$B, 0)), ISNUMBER(SEARCH($A48,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ISNUMBER(SEARCH($A48, INDEX(AsistenciaJetAdminConcatenada!$D:$D, MATCH(1, (AsistenciaJetAdminConcatenada!$A:$A=EE$2)*(AsistenciaJetAdminConcatenada!$B:$B=EE$1), 0)), 1))),  0.5, 0))</f>
        <v>0</v>
      </c>
      <c r="EF48" s="47">
        <f t="array" ref="EF48">IF(AND(ISNUMBER(MATCH(EF$2, AsistenciaJetAdminConcatenada!$A:$A, 0)), ISNUMBER(MATCH(EF$1, AsistenciaJetAdminConcatenada!$B:$B, 0)), ISNUMBER(SEARCH($A48,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ISNUMBER(SEARCH($A48, INDEX(AsistenciaJetAdminConcatenada!$D:$D, MATCH(1, (AsistenciaJetAdminConcatenada!$A:$A=EF$2)*(AsistenciaJetAdminConcatenada!$B:$B=EF$1), 0)), 1))),  0.5, 0))</f>
        <v>0</v>
      </c>
      <c r="EG48" s="47">
        <f t="array" ref="EG48">IF(AND(ISNUMBER(MATCH(EG$2, AsistenciaJetAdminConcatenada!$A:$A, 0)), ISNUMBER(MATCH(EG$1, AsistenciaJetAdminConcatenada!$B:$B, 0)), ISNUMBER(SEARCH($A48,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ISNUMBER(SEARCH($A48, INDEX(AsistenciaJetAdminConcatenada!$D:$D, MATCH(1, (AsistenciaJetAdminConcatenada!$A:$A=EG$2)*(AsistenciaJetAdminConcatenada!$B:$B=EG$1), 0)), 1))),  0.5, 0))</f>
        <v>0</v>
      </c>
      <c r="EH48" s="47">
        <f t="array" ref="EH48">IF(AND(ISNUMBER(MATCH(EH$2, AsistenciaJetAdminConcatenada!$A:$A, 0)), ISNUMBER(MATCH(EH$1, AsistenciaJetAdminConcatenada!$B:$B, 0)), ISNUMBER(SEARCH($A48,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ISNUMBER(SEARCH($A48, INDEX(AsistenciaJetAdminConcatenada!$D:$D, MATCH(1, (AsistenciaJetAdminConcatenada!$A:$A=EH$2)*(AsistenciaJetAdminConcatenada!$B:$B=EH$1), 0)), 1))),  0.5, 0))</f>
        <v>0</v>
      </c>
      <c r="EI48" s="47">
        <f t="array" ref="EI48">IF(AND(ISNUMBER(MATCH(EI$2, AsistenciaJetAdminConcatenada!$A:$A, 0)), ISNUMBER(MATCH(EI$1, AsistenciaJetAdminConcatenada!$B:$B, 0)), ISNUMBER(SEARCH($A48,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ISNUMBER(SEARCH($A48, INDEX(AsistenciaJetAdminConcatenada!$D:$D, MATCH(1, (AsistenciaJetAdminConcatenada!$A:$A=EI$2)*(AsistenciaJetAdminConcatenada!$B:$B=EI$1), 0)), 1))),  0.5, 0))</f>
        <v>0</v>
      </c>
      <c r="EJ48" s="47">
        <f t="array" ref="EJ48">IF(AND(ISNUMBER(MATCH(EJ$2, AsistenciaJetAdminConcatenada!$A:$A, 0)), ISNUMBER(MATCH(EJ$1, AsistenciaJetAdminConcatenada!$B:$B, 0)), ISNUMBER(SEARCH($A48,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ISNUMBER(SEARCH($A48, INDEX(AsistenciaJetAdminConcatenada!$D:$D, MATCH(1, (AsistenciaJetAdminConcatenada!$A:$A=EJ$2)*(AsistenciaJetAdminConcatenada!$B:$B=EJ$1), 0)), 1))),  0.5, 0))</f>
        <v>0</v>
      </c>
      <c r="EK48" s="47">
        <f t="array" ref="EK48">IF(AND(ISNUMBER(MATCH(EK$2, AsistenciaJetAdminConcatenada!$A:$A, 0)), ISNUMBER(MATCH(EK$1, AsistenciaJetAdminConcatenada!$B:$B, 0)), ISNUMBER(SEARCH($A48,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ISNUMBER(SEARCH($A48, INDEX(AsistenciaJetAdminConcatenada!$D:$D, MATCH(1, (AsistenciaJetAdminConcatenada!$A:$A=EK$2)*(AsistenciaJetAdminConcatenada!$B:$B=EK$1), 0)), 1))),  0.5, 0))</f>
        <v>0</v>
      </c>
      <c r="EL48" s="47">
        <f t="array" ref="EL48">IF(AND(ISNUMBER(MATCH(EL$2, AsistenciaJetAdminConcatenada!$A:$A, 0)), ISNUMBER(MATCH(EL$1, AsistenciaJetAdminConcatenada!$B:$B, 0)), ISNUMBER(SEARCH($A48,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ISNUMBER(SEARCH($A48, INDEX(AsistenciaJetAdminConcatenada!$D:$D, MATCH(1, (AsistenciaJetAdminConcatenada!$A:$A=EL$2)*(AsistenciaJetAdminConcatenada!$B:$B=EL$1), 0)), 1))),  0.5, 0))</f>
        <v>0</v>
      </c>
      <c r="EM48" s="47">
        <f t="array" ref="EM48">IF(AND(ISNUMBER(MATCH(EM$2, AsistenciaJetAdminConcatenada!$A:$A, 0)), ISNUMBER(MATCH(EM$1, AsistenciaJetAdminConcatenada!$B:$B, 0)), ISNUMBER(SEARCH($A48,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ISNUMBER(SEARCH($A48, INDEX(AsistenciaJetAdminConcatenada!$D:$D, MATCH(1, (AsistenciaJetAdminConcatenada!$A:$A=EM$2)*(AsistenciaJetAdminConcatenada!$B:$B=EM$1), 0)), 1))),  0.5, 0))</f>
        <v>0</v>
      </c>
      <c r="EN48" s="47">
        <f t="array" ref="EN48">IF(AND(ISNUMBER(MATCH(EN$2, AsistenciaJetAdminConcatenada!$A:$A, 0)), ISNUMBER(MATCH(EN$1, AsistenciaJetAdminConcatenada!$B:$B, 0)), ISNUMBER(SEARCH($A48,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ISNUMBER(SEARCH($A48, INDEX(AsistenciaJetAdminConcatenada!$D:$D, MATCH(1, (AsistenciaJetAdminConcatenada!$A:$A=EN$2)*(AsistenciaJetAdminConcatenada!$B:$B=EN$1), 0)), 1))),  0.5, 0))</f>
        <v>0</v>
      </c>
      <c r="EO48" s="47">
        <f t="array" ref="EO48">IF(AND(ISNUMBER(MATCH(EO$2, AsistenciaJetAdminConcatenada!$A:$A, 0)), ISNUMBER(MATCH(EO$1, AsistenciaJetAdminConcatenada!$B:$B, 0)), ISNUMBER(SEARCH($A48,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ISNUMBER(SEARCH($A48, INDEX(AsistenciaJetAdminConcatenada!$D:$D, MATCH(1, (AsistenciaJetAdminConcatenada!$A:$A=EO$2)*(AsistenciaJetAdminConcatenada!$B:$B=EO$1), 0)), 1))),  0.5, 0))</f>
        <v>0</v>
      </c>
      <c r="EP48" s="47">
        <f t="array" ref="EP48">IF(AND(ISNUMBER(MATCH(EP$2, AsistenciaJetAdminConcatenada!$A:$A, 0)), ISNUMBER(MATCH(EP$1, AsistenciaJetAdminConcatenada!$B:$B, 0)), ISNUMBER(SEARCH($A48,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ISNUMBER(SEARCH($A48, INDEX(AsistenciaJetAdminConcatenada!$D:$D, MATCH(1, (AsistenciaJetAdminConcatenada!$A:$A=EP$2)*(AsistenciaJetAdminConcatenada!$B:$B=EP$1), 0)), 1))),  0.5, 0))</f>
        <v>0</v>
      </c>
      <c r="EQ48" s="47">
        <f t="array" ref="EQ48">IF(AND(ISNUMBER(MATCH(EQ$2, AsistenciaJetAdminConcatenada!$A:$A, 0)), ISNUMBER(MATCH(EQ$1, AsistenciaJetAdminConcatenada!$B:$B, 0)), ISNUMBER(SEARCH($A48,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ISNUMBER(SEARCH($A48, INDEX(AsistenciaJetAdminConcatenada!$D:$D, MATCH(1, (AsistenciaJetAdminConcatenada!$A:$A=EQ$2)*(AsistenciaJetAdminConcatenada!$B:$B=EQ$1), 0)), 1))),  0.5, 0))</f>
        <v>0</v>
      </c>
      <c r="ER48" s="47">
        <f t="array" ref="ER48">IF(AND(ISNUMBER(MATCH(ER$2, AsistenciaJetAdminConcatenada!$A:$A, 0)), ISNUMBER(MATCH(ER$1, AsistenciaJetAdminConcatenada!$B:$B, 0)), ISNUMBER(SEARCH($A48,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ISNUMBER(SEARCH($A48, INDEX(AsistenciaJetAdminConcatenada!$D:$D, MATCH(1, (AsistenciaJetAdminConcatenada!$A:$A=ER$2)*(AsistenciaJetAdminConcatenada!$B:$B=ER$1), 0)), 1))),  0.5, 0))</f>
        <v>0</v>
      </c>
      <c r="ES48" s="47">
        <f t="array" ref="ES48">IF(AND(ISNUMBER(MATCH(ES$2, AsistenciaJetAdminConcatenada!$A:$A, 0)), ISNUMBER(MATCH(ES$1, AsistenciaJetAdminConcatenada!$B:$B, 0)), ISNUMBER(SEARCH($A48,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ISNUMBER(SEARCH($A48, INDEX(AsistenciaJetAdminConcatenada!$D:$D, MATCH(1, (AsistenciaJetAdminConcatenada!$A:$A=ES$2)*(AsistenciaJetAdminConcatenada!$B:$B=ES$1), 0)), 1))),  0.5, 0))</f>
        <v>0</v>
      </c>
      <c r="ET48" s="47">
        <f t="array" ref="ET48">IF(AND(ISNUMBER(MATCH(ET$2, AsistenciaJetAdminConcatenada!$A:$A, 0)), ISNUMBER(MATCH(ET$1, AsistenciaJetAdminConcatenada!$B:$B, 0)), ISNUMBER(SEARCH($A48,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ISNUMBER(SEARCH($A48, INDEX(AsistenciaJetAdminConcatenada!$D:$D, MATCH(1, (AsistenciaJetAdminConcatenada!$A:$A=ET$2)*(AsistenciaJetAdminConcatenada!$B:$B=ET$1), 0)), 1))),  0.5, 0))</f>
        <v>0</v>
      </c>
      <c r="EU48" s="47">
        <f t="array" ref="EU48">IF(AND(ISNUMBER(MATCH(EU$2, AsistenciaJetAdminConcatenada!$A:$A, 0)), ISNUMBER(MATCH(EU$1, AsistenciaJetAdminConcatenada!$B:$B, 0)), ISNUMBER(SEARCH($A48,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ISNUMBER(SEARCH($A48, INDEX(AsistenciaJetAdminConcatenada!$D:$D, MATCH(1, (AsistenciaJetAdminConcatenada!$A:$A=EU$2)*(AsistenciaJetAdminConcatenada!$B:$B=EU$1), 0)), 1))),  0.5, 0))</f>
        <v>0</v>
      </c>
      <c r="EV48" s="47">
        <f t="array" ref="EV48">IF(AND(ISNUMBER(MATCH(EV$2, AsistenciaJetAdminConcatenada!$A:$A, 0)), ISNUMBER(MATCH(EV$1, AsistenciaJetAdminConcatenada!$B:$B, 0)), ISNUMBER(SEARCH($A48,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ISNUMBER(SEARCH($A48, INDEX(AsistenciaJetAdminConcatenada!$D:$D, MATCH(1, (AsistenciaJetAdminConcatenada!$A:$A=EV$2)*(AsistenciaJetAdminConcatenada!$B:$B=EV$1), 0)), 1))),  0.5, 0))</f>
        <v>0</v>
      </c>
      <c r="EW48" s="47">
        <f t="array" ref="EW48">IF(AND(ISNUMBER(MATCH(EW$2, AsistenciaJetAdminConcatenada!$A:$A, 0)), ISNUMBER(MATCH(EW$1, AsistenciaJetAdminConcatenada!$B:$B, 0)), ISNUMBER(SEARCH($A48,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ISNUMBER(SEARCH($A48, INDEX(AsistenciaJetAdminConcatenada!$D:$D, MATCH(1, (AsistenciaJetAdminConcatenada!$A:$A=EW$2)*(AsistenciaJetAdminConcatenada!$B:$B=EW$1), 0)), 1))),  0.5, 0))</f>
        <v>0</v>
      </c>
      <c r="EX48" s="47">
        <f t="array" ref="EX48">IF(AND(ISNUMBER(MATCH(EX$2, AsistenciaJetAdminConcatenada!$A:$A, 0)), ISNUMBER(MATCH(EX$1, AsistenciaJetAdminConcatenada!$B:$B, 0)), ISNUMBER(SEARCH($A48,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ISNUMBER(SEARCH($A48, INDEX(AsistenciaJetAdminConcatenada!$D:$D, MATCH(1, (AsistenciaJetAdminConcatenada!$A:$A=EX$2)*(AsistenciaJetAdminConcatenada!$B:$B=EX$1), 0)), 1))),  0.5, 0))</f>
        <v>0</v>
      </c>
      <c r="EY48" s="47">
        <f t="array" ref="EY48">IF(AND(ISNUMBER(MATCH(EY$2, AsistenciaJetAdminConcatenada!$A:$A, 0)), ISNUMBER(MATCH(EY$1, AsistenciaJetAdminConcatenada!$B:$B, 0)), ISNUMBER(SEARCH($A48,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ISNUMBER(SEARCH($A48, INDEX(AsistenciaJetAdminConcatenada!$D:$D, MATCH(1, (AsistenciaJetAdminConcatenada!$A:$A=EY$2)*(AsistenciaJetAdminConcatenada!$B:$B=EY$1), 0)), 1))),  0.5, 0))</f>
        <v>0</v>
      </c>
      <c r="EZ48" s="47">
        <f t="array" ref="EZ48">IF(AND(ISNUMBER(MATCH(EZ$2, AsistenciaJetAdminConcatenada!$A:$A, 0)), ISNUMBER(MATCH(EZ$1, AsistenciaJetAdminConcatenada!$B:$B, 0)), ISNUMBER(SEARCH($A48,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ISNUMBER(SEARCH($A48, INDEX(AsistenciaJetAdminConcatenada!$D:$D, MATCH(1, (AsistenciaJetAdminConcatenada!$A:$A=EZ$2)*(AsistenciaJetAdminConcatenada!$B:$B=EZ$1), 0)), 1))),  0.5, 0))</f>
        <v>0</v>
      </c>
      <c r="FA48" s="47">
        <f t="array" ref="FA48">IF(AND(ISNUMBER(MATCH(FA$2, AsistenciaJetAdminConcatenada!$A:$A, 0)), ISNUMBER(MATCH(FA$1, AsistenciaJetAdminConcatenada!$B:$B, 0)), ISNUMBER(SEARCH($A48,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ISNUMBER(SEARCH($A48, INDEX(AsistenciaJetAdminConcatenada!$D:$D, MATCH(1, (AsistenciaJetAdminConcatenada!$A:$A=FA$2)*(AsistenciaJetAdminConcatenada!$B:$B=FA$1), 0)), 1))),  0.5, 0))</f>
        <v>0</v>
      </c>
      <c r="FB48" s="47">
        <f t="array" ref="FB48">IF(AND(ISNUMBER(MATCH(FB$2, AsistenciaJetAdminConcatenada!$A:$A, 0)), ISNUMBER(MATCH(FB$1, AsistenciaJetAdminConcatenada!$B:$B, 0)), ISNUMBER(SEARCH($A48,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ISNUMBER(SEARCH($A48, INDEX(AsistenciaJetAdminConcatenada!$D:$D, MATCH(1, (AsistenciaJetAdminConcatenada!$A:$A=FB$2)*(AsistenciaJetAdminConcatenada!$B:$B=FB$1), 0)), 1))),  0.5, 0))</f>
        <v>0</v>
      </c>
      <c r="FC48" s="47">
        <f t="array" ref="FC48">IF(AND(ISNUMBER(MATCH(FC$2, AsistenciaJetAdminConcatenada!$A:$A, 0)), ISNUMBER(MATCH(FC$1, AsistenciaJetAdminConcatenada!$B:$B, 0)), ISNUMBER(SEARCH($A48,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ISNUMBER(SEARCH($A48, INDEX(AsistenciaJetAdminConcatenada!$D:$D, MATCH(1, (AsistenciaJetAdminConcatenada!$A:$A=FC$2)*(AsistenciaJetAdminConcatenada!$B:$B=FC$1), 0)), 1))),  0.5, 0))</f>
        <v>0</v>
      </c>
      <c r="FD48" s="47">
        <f t="array" ref="FD48">IF(AND(ISNUMBER(MATCH(FD$2, AsistenciaJetAdminConcatenada!$A:$A, 0)), ISNUMBER(MATCH(FD$1, AsistenciaJetAdminConcatenada!$B:$B, 0)), ISNUMBER(SEARCH($A48,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ISNUMBER(SEARCH($A48, INDEX(AsistenciaJetAdminConcatenada!$D:$D, MATCH(1, (AsistenciaJetAdminConcatenada!$A:$A=FD$2)*(AsistenciaJetAdminConcatenada!$B:$B=FD$1), 0)), 1))),  0.5, 0))</f>
        <v>0</v>
      </c>
      <c r="FE48" s="47">
        <f t="array" ref="FE48">IF(AND(ISNUMBER(MATCH(FE$2, AsistenciaJetAdminConcatenada!$A:$A, 0)), ISNUMBER(MATCH(FE$1, AsistenciaJetAdminConcatenada!$B:$B, 0)), ISNUMBER(SEARCH($A48,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ISNUMBER(SEARCH($A48, INDEX(AsistenciaJetAdminConcatenada!$D:$D, MATCH(1, (AsistenciaJetAdminConcatenada!$A:$A=FE$2)*(AsistenciaJetAdminConcatenada!$B:$B=FE$1), 0)), 1))),  0.5, 0))</f>
        <v>0</v>
      </c>
      <c r="FF48" s="47">
        <f t="array" ref="FF48">IF(AND(ISNUMBER(MATCH(FF$2, AsistenciaJetAdminConcatenada!$A:$A, 0)), ISNUMBER(MATCH(FF$1, AsistenciaJetAdminConcatenada!$B:$B, 0)), ISNUMBER(SEARCH($A48,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ISNUMBER(SEARCH($A48, INDEX(AsistenciaJetAdminConcatenada!$D:$D, MATCH(1, (AsistenciaJetAdminConcatenada!$A:$A=FF$2)*(AsistenciaJetAdminConcatenada!$B:$B=FF$1), 0)), 1))),  0.5, 0))</f>
        <v>0</v>
      </c>
      <c r="FG48" s="47">
        <f t="array" ref="FG48">IF(AND(ISNUMBER(MATCH(FG$2, AsistenciaJetAdminConcatenada!$A:$A, 0)), ISNUMBER(MATCH(FG$1, AsistenciaJetAdminConcatenada!$B:$B, 0)), ISNUMBER(SEARCH($A48,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ISNUMBER(SEARCH($A48, INDEX(AsistenciaJetAdminConcatenada!$D:$D, MATCH(1, (AsistenciaJetAdminConcatenada!$A:$A=FG$2)*(AsistenciaJetAdminConcatenada!$B:$B=FG$1), 0)), 1))),  0.5, 0))</f>
        <v>0</v>
      </c>
      <c r="FH48" s="47">
        <f t="array" ref="FH48">IF(AND(ISNUMBER(MATCH(FH$2, AsistenciaJetAdminConcatenada!$A:$A, 0)), ISNUMBER(MATCH(FH$1, AsistenciaJetAdminConcatenada!$B:$B, 0)), ISNUMBER(SEARCH($A48,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ISNUMBER(SEARCH($A48, INDEX(AsistenciaJetAdminConcatenada!$D:$D, MATCH(1, (AsistenciaJetAdminConcatenada!$A:$A=FH$2)*(AsistenciaJetAdminConcatenada!$B:$B=FH$1), 0)), 1))),  0.5, 0))</f>
        <v>0</v>
      </c>
      <c r="FI48" s="47">
        <f t="array" ref="FI48">IF(AND(ISNUMBER(MATCH(FI$2, AsistenciaJetAdminConcatenada!$A:$A, 0)), ISNUMBER(MATCH(FI$1, AsistenciaJetAdminConcatenada!$B:$B, 0)), ISNUMBER(SEARCH($A48,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ISNUMBER(SEARCH($A48, INDEX(AsistenciaJetAdminConcatenada!$D:$D, MATCH(1, (AsistenciaJetAdminConcatenada!$A:$A=FI$2)*(AsistenciaJetAdminConcatenada!$B:$B=FI$1), 0)), 1))),  0.5, 0))</f>
        <v>0</v>
      </c>
      <c r="FJ48" s="47">
        <f t="array" ref="FJ48">IF(AND(ISNUMBER(MATCH(FJ$2, AsistenciaJetAdminConcatenada!$A:$A, 0)), ISNUMBER(MATCH(FJ$1, AsistenciaJetAdminConcatenada!$B:$B, 0)), ISNUMBER(SEARCH($A48,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ISNUMBER(SEARCH($A48, INDEX(AsistenciaJetAdminConcatenada!$D:$D, MATCH(1, (AsistenciaJetAdminConcatenada!$A:$A=FJ$2)*(AsistenciaJetAdminConcatenada!$B:$B=FJ$1), 0)), 1))),  0.5, 0))</f>
        <v>0</v>
      </c>
      <c r="FK48" s="47">
        <f t="array" ref="FK48">IF(AND(ISNUMBER(MATCH(FK$2, AsistenciaJetAdminConcatenada!$A:$A, 0)), ISNUMBER(MATCH(FK$1, AsistenciaJetAdminConcatenada!$B:$B, 0)), ISNUMBER(SEARCH($A48,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ISNUMBER(SEARCH($A48, INDEX(AsistenciaJetAdminConcatenada!$D:$D, MATCH(1, (AsistenciaJetAdminConcatenada!$A:$A=FK$2)*(AsistenciaJetAdminConcatenada!$B:$B=FK$1), 0)), 1))),  0.5, 0))</f>
        <v>0</v>
      </c>
      <c r="FL48" s="47">
        <f t="array" ref="FL48">IF(AND(ISNUMBER(MATCH(FL$2, AsistenciaJetAdminConcatenada!$A:$A, 0)), ISNUMBER(MATCH(FL$1, AsistenciaJetAdminConcatenada!$B:$B, 0)), ISNUMBER(SEARCH($A48,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ISNUMBER(SEARCH($A48, INDEX(AsistenciaJetAdminConcatenada!$D:$D, MATCH(1, (AsistenciaJetAdminConcatenada!$A:$A=FL$2)*(AsistenciaJetAdminConcatenada!$B:$B=FL$1), 0)), 1))),  0.5, 0))</f>
        <v>0</v>
      </c>
      <c r="FM48" s="47">
        <f t="array" ref="FM48">IF(AND(ISNUMBER(MATCH(FM$2, AsistenciaJetAdminConcatenada!$A:$A, 0)), ISNUMBER(MATCH(FM$1, AsistenciaJetAdminConcatenada!$B:$B, 0)), ISNUMBER(SEARCH($A48,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ISNUMBER(SEARCH($A48, INDEX(AsistenciaJetAdminConcatenada!$D:$D, MATCH(1, (AsistenciaJetAdminConcatenada!$A:$A=FM$2)*(AsistenciaJetAdminConcatenada!$B:$B=FM$1), 0)), 1))),  0.5, 0))</f>
        <v>0</v>
      </c>
      <c r="FN48" s="47">
        <f t="array" ref="FN48">IF(AND(ISNUMBER(MATCH(FN$2, AsistenciaJetAdminConcatenada!$A:$A, 0)), ISNUMBER(MATCH(FN$1, AsistenciaJetAdminConcatenada!$B:$B, 0)), ISNUMBER(SEARCH($A48,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ISNUMBER(SEARCH($A48, INDEX(AsistenciaJetAdminConcatenada!$D:$D, MATCH(1, (AsistenciaJetAdminConcatenada!$A:$A=FN$2)*(AsistenciaJetAdminConcatenada!$B:$B=FN$1), 0)), 1))),  0.5, 0))</f>
        <v>0</v>
      </c>
      <c r="FO48" s="47">
        <f t="array" ref="FO48">IF(AND(ISNUMBER(MATCH(FO$2, AsistenciaJetAdminConcatenada!$A:$A, 0)), ISNUMBER(MATCH(FO$1, AsistenciaJetAdminConcatenada!$B:$B, 0)), ISNUMBER(SEARCH($A48,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ISNUMBER(SEARCH($A48, INDEX(AsistenciaJetAdminConcatenada!$D:$D, MATCH(1, (AsistenciaJetAdminConcatenada!$A:$A=FO$2)*(AsistenciaJetAdminConcatenada!$B:$B=FO$1), 0)), 1))),  0.5, 0))</f>
        <v>0</v>
      </c>
      <c r="FP48" s="47">
        <f t="array" ref="FP48">IF(AND(ISNUMBER(MATCH(FP$2, AsistenciaJetAdminConcatenada!$A:$A, 0)), ISNUMBER(MATCH(FP$1, AsistenciaJetAdminConcatenada!$B:$B, 0)), ISNUMBER(SEARCH($A48,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ISNUMBER(SEARCH($A48, INDEX(AsistenciaJetAdminConcatenada!$D:$D, MATCH(1, (AsistenciaJetAdminConcatenada!$A:$A=FP$2)*(AsistenciaJetAdminConcatenada!$B:$B=FP$1), 0)), 1))),  0.5, 0))</f>
        <v>0</v>
      </c>
      <c r="FQ48" s="47">
        <f t="array" ref="FQ48">IF(AND(ISNUMBER(MATCH(FQ$2, AsistenciaJetAdminConcatenada!$A:$A, 0)), ISNUMBER(MATCH(FQ$1, AsistenciaJetAdminConcatenada!$B:$B, 0)), ISNUMBER(SEARCH($A48,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ISNUMBER(SEARCH($A48, INDEX(AsistenciaJetAdminConcatenada!$D:$D, MATCH(1, (AsistenciaJetAdminConcatenada!$A:$A=FQ$2)*(AsistenciaJetAdminConcatenada!$B:$B=FQ$1), 0)), 1))),  0.5, 0))</f>
        <v>0</v>
      </c>
      <c r="FR48" s="47">
        <f t="array" ref="FR48">IF(AND(ISNUMBER(MATCH(FR$2, AsistenciaJetAdminConcatenada!$A:$A, 0)), ISNUMBER(MATCH(FR$1, AsistenciaJetAdminConcatenada!$B:$B, 0)), ISNUMBER(SEARCH($A48,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ISNUMBER(SEARCH($A48, INDEX(AsistenciaJetAdminConcatenada!$D:$D, MATCH(1, (AsistenciaJetAdminConcatenada!$A:$A=FR$2)*(AsistenciaJetAdminConcatenada!$B:$B=FR$1), 0)), 1))),  0.5, 0))</f>
        <v>0</v>
      </c>
      <c r="FS48" s="47">
        <f t="array" ref="FS48">IF(AND(ISNUMBER(MATCH(FS$2, AsistenciaJetAdminConcatenada!$A:$A, 0)), ISNUMBER(MATCH(FS$1, AsistenciaJetAdminConcatenada!$B:$B, 0)), ISNUMBER(SEARCH($A48,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ISNUMBER(SEARCH($A48, INDEX(AsistenciaJetAdminConcatenada!$D:$D, MATCH(1, (AsistenciaJetAdminConcatenada!$A:$A=FS$2)*(AsistenciaJetAdminConcatenada!$B:$B=FS$1), 0)), 1))),  0.5, 0))</f>
        <v>0</v>
      </c>
      <c r="FT48" s="47">
        <f t="array" ref="FT48">IF(AND(ISNUMBER(MATCH(FT$2, AsistenciaJetAdminConcatenada!$A:$A, 0)), ISNUMBER(MATCH(FT$1, AsistenciaJetAdminConcatenada!$B:$B, 0)), ISNUMBER(SEARCH($A48,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ISNUMBER(SEARCH($A48, INDEX(AsistenciaJetAdminConcatenada!$D:$D, MATCH(1, (AsistenciaJetAdminConcatenada!$A:$A=FT$2)*(AsistenciaJetAdminConcatenada!$B:$B=FT$1), 0)), 1))),  0.5, 0))</f>
        <v>0</v>
      </c>
      <c r="FU48" s="47">
        <f t="array" ref="FU48">IF(AND(ISNUMBER(MATCH(FU$2, AsistenciaJetAdminConcatenada!$A:$A, 0)), ISNUMBER(MATCH(FU$1, AsistenciaJetAdminConcatenada!$B:$B, 0)), ISNUMBER(SEARCH($A48,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ISNUMBER(SEARCH($A48, INDEX(AsistenciaJetAdminConcatenada!$D:$D, MATCH(1, (AsistenciaJetAdminConcatenada!$A:$A=FU$2)*(AsistenciaJetAdminConcatenada!$B:$B=FU$1), 0)), 1))),  0.5, 0))</f>
        <v>0</v>
      </c>
      <c r="FV48" s="47">
        <f t="array" ref="FV48">IF(AND(ISNUMBER(MATCH(FV$2, AsistenciaJetAdminConcatenada!$A:$A, 0)), ISNUMBER(MATCH(FV$1, AsistenciaJetAdminConcatenada!$B:$B, 0)), ISNUMBER(SEARCH($A48,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ISNUMBER(SEARCH($A48, INDEX(AsistenciaJetAdminConcatenada!$D:$D, MATCH(1, (AsistenciaJetAdminConcatenada!$A:$A=FV$2)*(AsistenciaJetAdminConcatenada!$B:$B=FV$1), 0)), 1))),  0.5, 0))</f>
        <v>0</v>
      </c>
      <c r="FW48" s="47">
        <f t="array" ref="FW48">IF(AND(ISNUMBER(MATCH(FW$2, AsistenciaJetAdminConcatenada!$A:$A, 0)), ISNUMBER(MATCH(FW$1, AsistenciaJetAdminConcatenada!$B:$B, 0)), ISNUMBER(SEARCH($A48,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ISNUMBER(SEARCH($A48, INDEX(AsistenciaJetAdminConcatenada!$D:$D, MATCH(1, (AsistenciaJetAdminConcatenada!$A:$A=FW$2)*(AsistenciaJetAdminConcatenada!$B:$B=FW$1), 0)), 1))),  0.5, 0))</f>
        <v>0</v>
      </c>
      <c r="FX48" s="47">
        <f t="array" ref="FX48">IF(AND(ISNUMBER(MATCH(FX$2, AsistenciaJetAdminConcatenada!$A:$A, 0)), ISNUMBER(MATCH(FX$1, AsistenciaJetAdminConcatenada!$B:$B, 0)), ISNUMBER(SEARCH($A48,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ISNUMBER(SEARCH($A48, INDEX(AsistenciaJetAdminConcatenada!$D:$D, MATCH(1, (AsistenciaJetAdminConcatenada!$A:$A=FX$2)*(AsistenciaJetAdminConcatenada!$B:$B=FX$1), 0)), 1))),  0.5, 0))</f>
        <v>0</v>
      </c>
      <c r="FY48" s="47">
        <f t="array" ref="FY48">IF(AND(ISNUMBER(MATCH(FY$2, AsistenciaJetAdminConcatenada!$A:$A, 0)), ISNUMBER(MATCH(FY$1, AsistenciaJetAdminConcatenada!$B:$B, 0)), ISNUMBER(SEARCH($A48,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ISNUMBER(SEARCH($A48, INDEX(AsistenciaJetAdminConcatenada!$D:$D, MATCH(1, (AsistenciaJetAdminConcatenada!$A:$A=FY$2)*(AsistenciaJetAdminConcatenada!$B:$B=FY$1), 0)), 1))),  0.5, 0))</f>
        <v>0</v>
      </c>
      <c r="FZ48" s="47">
        <f t="array" ref="FZ48">IF(AND(ISNUMBER(MATCH(FZ$2, AsistenciaJetAdminConcatenada!$A:$A, 0)), ISNUMBER(MATCH(FZ$1, AsistenciaJetAdminConcatenada!$B:$B, 0)), ISNUMBER(SEARCH($A48,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ISNUMBER(SEARCH($A48, INDEX(AsistenciaJetAdminConcatenada!$D:$D, MATCH(1, (AsistenciaJetAdminConcatenada!$A:$A=FZ$2)*(AsistenciaJetAdminConcatenada!$B:$B=FZ$1), 0)), 1))),  0.5, 0))</f>
        <v>0</v>
      </c>
      <c r="GA48" s="47">
        <f t="array" ref="GA48">IF(AND(ISNUMBER(MATCH(GA$2, AsistenciaJetAdminConcatenada!$A:$A, 0)), ISNUMBER(MATCH(GA$1, AsistenciaJetAdminConcatenada!$B:$B, 0)), ISNUMBER(SEARCH($A48,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ISNUMBER(SEARCH($A48, INDEX(AsistenciaJetAdminConcatenada!$D:$D, MATCH(1, (AsistenciaJetAdminConcatenada!$A:$A=GA$2)*(AsistenciaJetAdminConcatenada!$B:$B=GA$1), 0)), 1))),  0.5, 0))</f>
        <v>0</v>
      </c>
      <c r="GB48" s="47">
        <f t="array" ref="GB48">IF(AND(ISNUMBER(MATCH(GB$2, AsistenciaJetAdminConcatenada!$A:$A, 0)), ISNUMBER(MATCH(GB$1, AsistenciaJetAdminConcatenada!$B:$B, 0)), ISNUMBER(SEARCH($A48,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ISNUMBER(SEARCH($A48, INDEX(AsistenciaJetAdminConcatenada!$D:$D, MATCH(1, (AsistenciaJetAdminConcatenada!$A:$A=GB$2)*(AsistenciaJetAdminConcatenada!$B:$B=GB$1), 0)), 1))),  0.5, 0))</f>
        <v>0</v>
      </c>
      <c r="GC48" s="47">
        <f t="array" ref="GC48">IF(AND(ISNUMBER(MATCH(GC$2, AsistenciaJetAdminConcatenada!$A:$A, 0)), ISNUMBER(MATCH(GC$1, AsistenciaJetAdminConcatenada!$B:$B, 0)), ISNUMBER(SEARCH($A48,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ISNUMBER(SEARCH($A48, INDEX(AsistenciaJetAdminConcatenada!$D:$D, MATCH(1, (AsistenciaJetAdminConcatenada!$A:$A=GC$2)*(AsistenciaJetAdminConcatenada!$B:$B=GC$1), 0)), 1))),  0.5, 0))</f>
        <v>0</v>
      </c>
      <c r="GD48" s="47">
        <f t="array" ref="GD48">IF(AND(ISNUMBER(MATCH(GD$2, AsistenciaJetAdminConcatenada!$A:$A, 0)), ISNUMBER(MATCH(GD$1, AsistenciaJetAdminConcatenada!$B:$B, 0)), ISNUMBER(SEARCH($A48,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ISNUMBER(SEARCH($A48, INDEX(AsistenciaJetAdminConcatenada!$D:$D, MATCH(1, (AsistenciaJetAdminConcatenada!$A:$A=GD$2)*(AsistenciaJetAdminConcatenada!$B:$B=GD$1), 0)), 1))),  0.5, 0))</f>
        <v>0</v>
      </c>
      <c r="GE48" s="47">
        <f t="array" ref="GE48">IF(AND(ISNUMBER(MATCH(GE$2, AsistenciaJetAdminConcatenada!$A:$A, 0)), ISNUMBER(MATCH(GE$1, AsistenciaJetAdminConcatenada!$B:$B, 0)), ISNUMBER(SEARCH($A48,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ISNUMBER(SEARCH($A48, INDEX(AsistenciaJetAdminConcatenada!$D:$D, MATCH(1, (AsistenciaJetAdminConcatenada!$A:$A=GE$2)*(AsistenciaJetAdminConcatenada!$B:$B=GE$1), 0)), 1))),  0.5, 0))</f>
        <v>0</v>
      </c>
      <c r="GF48" s="47">
        <f t="array" ref="GF48">IF(AND(ISNUMBER(MATCH(GF$2, AsistenciaJetAdminConcatenada!$A:$A, 0)), ISNUMBER(MATCH(GF$1, AsistenciaJetAdminConcatenada!$B:$B, 0)), ISNUMBER(SEARCH($A48,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ISNUMBER(SEARCH($A48, INDEX(AsistenciaJetAdminConcatenada!$D:$D, MATCH(1, (AsistenciaJetAdminConcatenada!$A:$A=GF$2)*(AsistenciaJetAdminConcatenada!$B:$B=GF$1), 0)), 1))),  0.5, 0))</f>
        <v>0</v>
      </c>
      <c r="GG48" s="47">
        <f t="array" ref="GG48">IF(AND(ISNUMBER(MATCH(GG$2, AsistenciaJetAdminConcatenada!$A:$A, 0)), ISNUMBER(MATCH(GG$1, AsistenciaJetAdminConcatenada!$B:$B, 0)), ISNUMBER(SEARCH($A48,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ISNUMBER(SEARCH($A48, INDEX(AsistenciaJetAdminConcatenada!$D:$D, MATCH(1, (AsistenciaJetAdminConcatenada!$A:$A=GG$2)*(AsistenciaJetAdminConcatenada!$B:$B=GG$1), 0)), 1))),  0.5, 0))</f>
        <v>0</v>
      </c>
      <c r="GH48" s="47">
        <f t="array" ref="GH48">IF(AND(ISNUMBER(MATCH(GH$2, AsistenciaJetAdminConcatenada!$A:$A, 0)), ISNUMBER(MATCH(GH$1, AsistenciaJetAdminConcatenada!$B:$B, 0)), ISNUMBER(SEARCH($A48,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ISNUMBER(SEARCH($A48, INDEX(AsistenciaJetAdminConcatenada!$D:$D, MATCH(1, (AsistenciaJetAdminConcatenada!$A:$A=GH$2)*(AsistenciaJetAdminConcatenada!$B:$B=GH$1), 0)), 1))),  0.5, 0))</f>
        <v>0</v>
      </c>
      <c r="GI48" s="47">
        <f t="array" ref="GI48">IF(AND(ISNUMBER(MATCH(GI$2, AsistenciaJetAdminConcatenada!$A:$A, 0)), ISNUMBER(MATCH(GI$1, AsistenciaJetAdminConcatenada!$B:$B, 0)), ISNUMBER(SEARCH($A48,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ISNUMBER(SEARCH($A48, INDEX(AsistenciaJetAdminConcatenada!$D:$D, MATCH(1, (AsistenciaJetAdminConcatenada!$A:$A=GI$2)*(AsistenciaJetAdminConcatenada!$B:$B=GI$1), 0)), 1))),  0.5, 0))</f>
        <v>0</v>
      </c>
      <c r="GJ48" s="47">
        <f t="array" ref="GJ48">IF(AND(ISNUMBER(MATCH(GJ$2, AsistenciaJetAdminConcatenada!$A:$A, 0)), ISNUMBER(MATCH(GJ$1, AsistenciaJetAdminConcatenada!$B:$B, 0)), ISNUMBER(SEARCH($A48,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ISNUMBER(SEARCH($A48, INDEX(AsistenciaJetAdminConcatenada!$D:$D, MATCH(1, (AsistenciaJetAdminConcatenada!$A:$A=GJ$2)*(AsistenciaJetAdminConcatenada!$B:$B=GJ$1), 0)), 1))),  0.5, 0))</f>
        <v>0</v>
      </c>
      <c r="GK48" s="47">
        <f t="array" ref="GK48">IF(AND(ISNUMBER(MATCH(GK$2, AsistenciaJetAdminConcatenada!$A:$A, 0)), ISNUMBER(MATCH(GK$1, AsistenciaJetAdminConcatenada!$B:$B, 0)), ISNUMBER(SEARCH($A48,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ISNUMBER(SEARCH($A48, INDEX(AsistenciaJetAdminConcatenada!$D:$D, MATCH(1, (AsistenciaJetAdminConcatenada!$A:$A=GK$2)*(AsistenciaJetAdminConcatenada!$B:$B=GK$1), 0)), 1))),  0.5, 0))</f>
        <v>0</v>
      </c>
      <c r="GL48" s="47">
        <f t="array" ref="GL48">IF(AND(ISNUMBER(MATCH(GL$2, AsistenciaJetAdminConcatenada!$A:$A, 0)), ISNUMBER(MATCH(GL$1, AsistenciaJetAdminConcatenada!$B:$B, 0)), ISNUMBER(SEARCH($A48,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ISNUMBER(SEARCH($A48, INDEX(AsistenciaJetAdminConcatenada!$D:$D, MATCH(1, (AsistenciaJetAdminConcatenada!$A:$A=GL$2)*(AsistenciaJetAdminConcatenada!$B:$B=GL$1), 0)), 1))),  0.5, 0))</f>
        <v>0</v>
      </c>
      <c r="GM48" s="47">
        <f t="array" ref="GM48">IF(AND(ISNUMBER(MATCH(GM$2, AsistenciaJetAdminConcatenada!$A:$A, 0)), ISNUMBER(MATCH(GM$1, AsistenciaJetAdminConcatenada!$B:$B, 0)), ISNUMBER(SEARCH($A48,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ISNUMBER(SEARCH($A48, INDEX(AsistenciaJetAdminConcatenada!$D:$D, MATCH(1, (AsistenciaJetAdminConcatenada!$A:$A=GM$2)*(AsistenciaJetAdminConcatenada!$B:$B=GM$1), 0)), 1))),  0.5, 0))</f>
        <v>0</v>
      </c>
      <c r="GN48" s="47">
        <f t="array" ref="GN48">IF(AND(ISNUMBER(MATCH(GN$2, AsistenciaJetAdminConcatenada!$A:$A, 0)), ISNUMBER(MATCH(GN$1, AsistenciaJetAdminConcatenada!$B:$B, 0)), ISNUMBER(SEARCH($A48,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ISNUMBER(SEARCH($A48, INDEX(AsistenciaJetAdminConcatenada!$D:$D, MATCH(1, (AsistenciaJetAdminConcatenada!$A:$A=GN$2)*(AsistenciaJetAdminConcatenada!$B:$B=GN$1), 0)), 1))),  0.5, 0))</f>
        <v>0</v>
      </c>
      <c r="GO48" s="47">
        <f t="array" ref="GO48">IF(AND(ISNUMBER(MATCH(GO$2, AsistenciaJetAdminConcatenada!$A:$A, 0)), ISNUMBER(MATCH(GO$1, AsistenciaJetAdminConcatenada!$B:$B, 0)), ISNUMBER(SEARCH($A48,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ISNUMBER(SEARCH($A48, INDEX(AsistenciaJetAdminConcatenada!$D:$D, MATCH(1, (AsistenciaJetAdminConcatenada!$A:$A=GO$2)*(AsistenciaJetAdminConcatenada!$B:$B=GO$1), 0)), 1))),  0.5, 0))</f>
        <v>0</v>
      </c>
      <c r="GP48" s="47">
        <f t="array" ref="GP48">IF(AND(ISNUMBER(MATCH(GP$2, AsistenciaJetAdminConcatenada!$A:$A, 0)), ISNUMBER(MATCH(GP$1, AsistenciaJetAdminConcatenada!$B:$B, 0)), ISNUMBER(SEARCH($A48,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ISNUMBER(SEARCH($A48, INDEX(AsistenciaJetAdminConcatenada!$D:$D, MATCH(1, (AsistenciaJetAdminConcatenada!$A:$A=GP$2)*(AsistenciaJetAdminConcatenada!$B:$B=GP$1), 0)), 1))),  0.5, 0))</f>
        <v>0</v>
      </c>
      <c r="GQ48" s="47">
        <f t="array" ref="GQ48">IF(AND(ISNUMBER(MATCH(GQ$2, AsistenciaJetAdminConcatenada!$A:$A, 0)), ISNUMBER(MATCH(GQ$1, AsistenciaJetAdminConcatenada!$B:$B, 0)), ISNUMBER(SEARCH($A48,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ISNUMBER(SEARCH($A48, INDEX(AsistenciaJetAdminConcatenada!$D:$D, MATCH(1, (AsistenciaJetAdminConcatenada!$A:$A=GQ$2)*(AsistenciaJetAdminConcatenada!$B:$B=GQ$1), 0)), 1))),  0.5, 0))</f>
        <v>0</v>
      </c>
      <c r="GR48" s="47">
        <f t="array" ref="GR48">IF(AND(ISNUMBER(MATCH(GR$2, AsistenciaJetAdminConcatenada!$A:$A, 0)), ISNUMBER(MATCH(GR$1, AsistenciaJetAdminConcatenada!$B:$B, 0)), ISNUMBER(SEARCH($A48,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ISNUMBER(SEARCH($A48, INDEX(AsistenciaJetAdminConcatenada!$D:$D, MATCH(1, (AsistenciaJetAdminConcatenada!$A:$A=GR$2)*(AsistenciaJetAdminConcatenada!$B:$B=GR$1), 0)), 1))),  0.5, 0))</f>
        <v>0</v>
      </c>
      <c r="GS48" s="47">
        <f t="array" ref="GS48">IF(AND(ISNUMBER(MATCH(GS$2, AsistenciaJetAdminConcatenada!$A:$A, 0)), ISNUMBER(MATCH(GS$1, AsistenciaJetAdminConcatenada!$B:$B, 0)), ISNUMBER(SEARCH($A48,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ISNUMBER(SEARCH($A48, INDEX(AsistenciaJetAdminConcatenada!$D:$D, MATCH(1, (AsistenciaJetAdminConcatenada!$A:$A=GS$2)*(AsistenciaJetAdminConcatenada!$B:$B=GS$1), 0)), 1))),  0.5, 0))</f>
        <v>0</v>
      </c>
      <c r="GT48" s="47">
        <f t="array" ref="GT48">IF(AND(ISNUMBER(MATCH(GT$2, AsistenciaJetAdminConcatenada!$A:$A, 0)), ISNUMBER(MATCH(GT$1, AsistenciaJetAdminConcatenada!$B:$B, 0)), ISNUMBER(SEARCH($A48,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ISNUMBER(SEARCH($A48, INDEX(AsistenciaJetAdminConcatenada!$D:$D, MATCH(1, (AsistenciaJetAdminConcatenada!$A:$A=GT$2)*(AsistenciaJetAdminConcatenada!$B:$B=GT$1), 0)), 1))),  0.5, 0))</f>
        <v>0</v>
      </c>
      <c r="GU48" s="47">
        <f t="array" ref="GU48">IF(AND(ISNUMBER(MATCH(GU$2, AsistenciaJetAdminConcatenada!$A:$A, 0)), ISNUMBER(MATCH(GU$1, AsistenciaJetAdminConcatenada!$B:$B, 0)), ISNUMBER(SEARCH($A48,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ISNUMBER(SEARCH($A48, INDEX(AsistenciaJetAdminConcatenada!$D:$D, MATCH(1, (AsistenciaJetAdminConcatenada!$A:$A=GU$2)*(AsistenciaJetAdminConcatenada!$B:$B=GU$1), 0)), 1))),  0.5, 0))</f>
        <v>0</v>
      </c>
      <c r="GV48" s="47">
        <f t="array" ref="GV48">IF(AND(ISNUMBER(MATCH(GV$2, AsistenciaJetAdminConcatenada!$A:$A, 0)), ISNUMBER(MATCH(GV$1, AsistenciaJetAdminConcatenada!$B:$B, 0)), ISNUMBER(SEARCH($A48,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ISNUMBER(SEARCH($A48, INDEX(AsistenciaJetAdminConcatenada!$D:$D, MATCH(1, (AsistenciaJetAdminConcatenada!$A:$A=GV$2)*(AsistenciaJetAdminConcatenada!$B:$B=GV$1), 0)), 1))),  0.5, 0))</f>
        <v>0</v>
      </c>
      <c r="GW48" s="47">
        <f t="array" ref="GW48">IF(AND(ISNUMBER(MATCH(GW$2, AsistenciaJetAdminConcatenada!$A:$A, 0)), ISNUMBER(MATCH(GW$1, AsistenciaJetAdminConcatenada!$B:$B, 0)), ISNUMBER(SEARCH($A48,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ISNUMBER(SEARCH($A48, INDEX(AsistenciaJetAdminConcatenada!$D:$D, MATCH(1, (AsistenciaJetAdminConcatenada!$A:$A=GW$2)*(AsistenciaJetAdminConcatenada!$B:$B=GW$1), 0)), 1))),  0.5, 0))</f>
        <v>0</v>
      </c>
      <c r="GX48" s="47">
        <f t="array" ref="GX48">IF(AND(ISNUMBER(MATCH(GX$2, AsistenciaJetAdminConcatenada!$A:$A, 0)), ISNUMBER(MATCH(GX$1, AsistenciaJetAdminConcatenada!$B:$B, 0)), ISNUMBER(SEARCH($A48,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ISNUMBER(SEARCH($A48, INDEX(AsistenciaJetAdminConcatenada!$D:$D, MATCH(1, (AsistenciaJetAdminConcatenada!$A:$A=GX$2)*(AsistenciaJetAdminConcatenada!$B:$B=GX$1), 0)), 1))),  0.5, 0))</f>
        <v>0</v>
      </c>
      <c r="GY48" s="47">
        <f t="array" ref="GY48">IF(AND(ISNUMBER(MATCH(GY$2, AsistenciaJetAdminConcatenada!$A:$A, 0)), ISNUMBER(MATCH(GY$1, AsistenciaJetAdminConcatenada!$B:$B, 0)), ISNUMBER(SEARCH($A48,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ISNUMBER(SEARCH($A48, INDEX(AsistenciaJetAdminConcatenada!$D:$D, MATCH(1, (AsistenciaJetAdminConcatenada!$A:$A=GY$2)*(AsistenciaJetAdminConcatenada!$B:$B=GY$1), 0)), 1))),  0.5, 0))</f>
        <v>0</v>
      </c>
      <c r="GZ48" s="47">
        <f t="array" ref="GZ48">IF(AND(ISNUMBER(MATCH(GZ$2, AsistenciaJetAdminConcatenada!$A:$A, 0)), ISNUMBER(MATCH(GZ$1, AsistenciaJetAdminConcatenada!$B:$B, 0)), ISNUMBER(SEARCH($A48,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ISNUMBER(SEARCH($A48, INDEX(AsistenciaJetAdminConcatenada!$D:$D, MATCH(1, (AsistenciaJetAdminConcatenada!$A:$A=GZ$2)*(AsistenciaJetAdminConcatenada!$B:$B=GZ$1), 0)), 1))),  0.5, 0))</f>
        <v>0</v>
      </c>
      <c r="HA48" s="47">
        <f t="array" ref="HA48">IF(AND(ISNUMBER(MATCH(HA$2, AsistenciaJetAdminConcatenada!$A:$A, 0)), ISNUMBER(MATCH(HA$1, AsistenciaJetAdminConcatenada!$B:$B, 0)), ISNUMBER(SEARCH($A48,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ISNUMBER(SEARCH($A48, INDEX(AsistenciaJetAdminConcatenada!$D:$D, MATCH(1, (AsistenciaJetAdminConcatenada!$A:$A=HA$2)*(AsistenciaJetAdminConcatenada!$B:$B=HA$1), 0)), 1))),  0.5, 0))</f>
        <v>0</v>
      </c>
      <c r="HB48" s="47">
        <f t="array" ref="HB48">IF(AND(ISNUMBER(MATCH(HB$2, AsistenciaJetAdminConcatenada!$A:$A, 0)), ISNUMBER(MATCH(HB$1, AsistenciaJetAdminConcatenada!$B:$B, 0)), ISNUMBER(SEARCH($A48,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ISNUMBER(SEARCH($A48, INDEX(AsistenciaJetAdminConcatenada!$D:$D, MATCH(1, (AsistenciaJetAdminConcatenada!$A:$A=HB$2)*(AsistenciaJetAdminConcatenada!$B:$B=HB$1), 0)), 1))),  0.5, 0))</f>
        <v>0</v>
      </c>
      <c r="HC48" s="47">
        <f t="array" ref="HC48">IF(AND(ISNUMBER(MATCH(HC$2, AsistenciaJetAdminConcatenada!$A:$A, 0)), ISNUMBER(MATCH(HC$1, AsistenciaJetAdminConcatenada!$B:$B, 0)), ISNUMBER(SEARCH($A48,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ISNUMBER(SEARCH($A48, INDEX(AsistenciaJetAdminConcatenada!$D:$D, MATCH(1, (AsistenciaJetAdminConcatenada!$A:$A=HC$2)*(AsistenciaJetAdminConcatenada!$B:$B=HC$1), 0)), 1))),  0.5, 0))</f>
        <v>0</v>
      </c>
    </row>
    <row r="49" ht="29.25" customHeight="1">
      <c r="A49" s="3">
        <v>221.0</v>
      </c>
      <c r="B49" s="4" t="s">
        <v>593</v>
      </c>
      <c r="C49" s="47">
        <f>SUM(D49:HC49) + ActividadesEspeciales!C49</f>
        <v>61</v>
      </c>
      <c r="D49" s="47">
        <f t="array" ref="D49">IF(AND(ISNUMBER(MATCH(D$2, AsistenciaJetAdminConcatenada!$A:$A, 0)), ISNUMBER(MATCH(D$1, AsistenciaJetAdminConcatenada!$B:$B, 0)), ISNUMBER(SEARCH($A49,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ISNUMBER(SEARCH($A49, INDEX(AsistenciaJetAdminConcatenada!$D:$D, MATCH(1, (AsistenciaJetAdminConcatenada!$A:$A=D$2)*(AsistenciaJetAdminConcatenada!$B:$B=D$1), 0)), 1))),  0.5, 0))</f>
        <v>1</v>
      </c>
      <c r="E49" s="47">
        <f t="array" ref="E49">IF(AND(ISNUMBER(MATCH(E$2, AsistenciaJetAdminConcatenada!$A:$A, 0)), ISNUMBER(MATCH(E$1, AsistenciaJetAdminConcatenada!$B:$B, 0)), ISNUMBER(SEARCH($A49,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ISNUMBER(SEARCH($A49, INDEX(AsistenciaJetAdminConcatenada!$D:$D, MATCH(1, (AsistenciaJetAdminConcatenada!$A:$A=E$2)*(AsistenciaJetAdminConcatenada!$B:$B=E$1), 0)), 1))),  0.5, 0))</f>
        <v>1</v>
      </c>
      <c r="F49" s="47">
        <f t="array" ref="F49">IF(AND(ISNUMBER(MATCH(F$2, AsistenciaJetAdminConcatenada!$A:$A, 0)), ISNUMBER(MATCH(F$1, AsistenciaJetAdminConcatenada!$B:$B, 0)), ISNUMBER(SEARCH($A49,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ISNUMBER(SEARCH($A49, INDEX(AsistenciaJetAdminConcatenada!$D:$D, MATCH(1, (AsistenciaJetAdminConcatenada!$A:$A=F$2)*(AsistenciaJetAdminConcatenada!$B:$B=F$1), 0)), 1))),  0.5, 0))</f>
        <v>1</v>
      </c>
      <c r="G49" s="47">
        <f t="array" ref="G49">IF(AND(ISNUMBER(MATCH(G$2, AsistenciaJetAdminConcatenada!$A:$A, 0)), ISNUMBER(MATCH(G$1, AsistenciaJetAdminConcatenada!$B:$B, 0)), ISNUMBER(SEARCH($A49,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ISNUMBER(SEARCH($A49, INDEX(AsistenciaJetAdminConcatenada!$D:$D, MATCH(1, (AsistenciaJetAdminConcatenada!$A:$A=G$2)*(AsistenciaJetAdminConcatenada!$B:$B=G$1), 0)), 1))),  0.5, 0))</f>
        <v>1</v>
      </c>
      <c r="H49" s="47">
        <f t="array" ref="H49">IF(AND(ISNUMBER(MATCH(H$2, AsistenciaJetAdminConcatenada!$A:$A, 0)), ISNUMBER(MATCH(H$1, AsistenciaJetAdminConcatenada!$B:$B, 0)), ISNUMBER(SEARCH($A49,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ISNUMBER(SEARCH($A49, INDEX(AsistenciaJetAdminConcatenada!$D:$D, MATCH(1, (AsistenciaJetAdminConcatenada!$A:$A=H$2)*(AsistenciaJetAdminConcatenada!$B:$B=H$1), 0)), 1))),  0.5, 0))</f>
        <v>1</v>
      </c>
      <c r="I49" s="47">
        <f t="array" ref="I49">IF(AND(ISNUMBER(MATCH(I$2, AsistenciaJetAdminConcatenada!$A:$A, 0)), ISNUMBER(MATCH(I$1, AsistenciaJetAdminConcatenada!$B:$B, 0)), ISNUMBER(SEARCH($A49,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ISNUMBER(SEARCH($A49, INDEX(AsistenciaJetAdminConcatenada!$D:$D, MATCH(1, (AsistenciaJetAdminConcatenada!$A:$A=I$2)*(AsistenciaJetAdminConcatenada!$B:$B=I$1), 0)), 1))),  0.5, 0))</f>
        <v>1</v>
      </c>
      <c r="J49" s="8">
        <v>1.0</v>
      </c>
      <c r="K49" s="47">
        <f t="array" ref="K49">IF(AND(ISNUMBER(MATCH(K$2, AsistenciaJetAdminConcatenada!$A:$A, 0)), ISNUMBER(MATCH(K$1, AsistenciaJetAdminConcatenada!$B:$B, 0)), ISNUMBER(SEARCH($A49,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ISNUMBER(SEARCH($A49, INDEX(AsistenciaJetAdminConcatenada!$D:$D, MATCH(1, (AsistenciaJetAdminConcatenada!$A:$A=K$2)*(AsistenciaJetAdminConcatenada!$B:$B=K$1), 0)), 1))),  0.5, 0))</f>
        <v>1</v>
      </c>
      <c r="L49" s="47">
        <f t="array" ref="L49">IF(AND(ISNUMBER(MATCH(L$2, AsistenciaJetAdminConcatenada!$A:$A, 0)), ISNUMBER(MATCH(L$1, AsistenciaJetAdminConcatenada!$B:$B, 0)), ISNUMBER(SEARCH($A49,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ISNUMBER(SEARCH($A49, INDEX(AsistenciaJetAdminConcatenada!$D:$D, MATCH(1, (AsistenciaJetAdminConcatenada!$A:$A=L$2)*(AsistenciaJetAdminConcatenada!$B:$B=L$1), 0)), 1))),  0.5, 0))</f>
        <v>1</v>
      </c>
      <c r="M49" s="47">
        <f t="array" ref="M49">IF(AND(ISNUMBER(MATCH(M$2, AsistenciaJetAdminConcatenada!$A:$A, 0)), ISNUMBER(MATCH(M$1, AsistenciaJetAdminConcatenada!$B:$B, 0)), ISNUMBER(SEARCH($A49,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ISNUMBER(SEARCH($A49, INDEX(AsistenciaJetAdminConcatenada!$D:$D, MATCH(1, (AsistenciaJetAdminConcatenada!$A:$A=M$2)*(AsistenciaJetAdminConcatenada!$B:$B=M$1), 0)), 1))),  0.5, 0))</f>
        <v>1</v>
      </c>
      <c r="N49" s="47">
        <f t="array" ref="N49">IF(AND(ISNUMBER(MATCH(N$2, AsistenciaJetAdminConcatenada!$A:$A, 0)), ISNUMBER(MATCH(N$1, AsistenciaJetAdminConcatenada!$B:$B, 0)), ISNUMBER(SEARCH($A49,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ISNUMBER(SEARCH($A49, INDEX(AsistenciaJetAdminConcatenada!$D:$D, MATCH(1, (AsistenciaJetAdminConcatenada!$A:$A=N$2)*(AsistenciaJetAdminConcatenada!$B:$B=N$1), 0)), 1))),  0.5, 0))</f>
        <v>1</v>
      </c>
      <c r="O49" s="47">
        <f t="array" ref="O49">IF(AND(ISNUMBER(MATCH(O$2, AsistenciaJetAdminConcatenada!$A:$A, 0)), ISNUMBER(MATCH(O$1, AsistenciaJetAdminConcatenada!$B:$B, 0)), ISNUMBER(SEARCH($A49,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ISNUMBER(SEARCH($A49, INDEX(AsistenciaJetAdminConcatenada!$D:$D, MATCH(1, (AsistenciaJetAdminConcatenada!$A:$A=O$2)*(AsistenciaJetAdminConcatenada!$B:$B=O$1), 0)), 1))),  0.5, 0))</f>
        <v>1</v>
      </c>
      <c r="P49" s="8">
        <v>0.0</v>
      </c>
      <c r="Q49" s="47">
        <f t="array" ref="Q49">IF(AND(ISNUMBER(MATCH(Q$2, AsistenciaJetAdminConcatenada!$A:$A, 0)), ISNUMBER(MATCH(Q$1, AsistenciaJetAdminConcatenada!$B:$B, 0)), ISNUMBER(SEARCH($A49, INDEX(AsistenciaJetAdminConcatenada!$C:$C, MATCH(1, (AsistenciaJetAdminConcatenada!$A:$A=Q$2)*(AsistenciaJetAdminConcatenada!$B:$B=Q$1), 0)), 1))), 1, IF(AND(ISNUMBER(MATCH(Q$2, AsistenciaJetAdminConcatenada!$A:$A, 0)), ISNUMBER(MATCH(Q$1, AsistenciaJetAdminConcatenada!$B:$B, 0)), ISNUMBER(SEARCH($A49, INDEX(AsistenciaJetAdminConcatenada!$D:$D, MATCH(1, (AsistenciaJetAdminConcatenada!$A:$A=Q$2)*(AsistenciaJetAdminConcatenada!$B:$B=Q$1), 0)), 1))),  0.5, 0))</f>
        <v>1</v>
      </c>
      <c r="R49" s="47">
        <f t="array" ref="R49">IF(AND(ISNUMBER(MATCH(R$2, AsistenciaJetAdminConcatenada!$A:$A, 0)), ISNUMBER(MATCH(R$1, AsistenciaJetAdminConcatenada!$B:$B, 0)), ISNUMBER(SEARCH($A49,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ISNUMBER(SEARCH($A49, INDEX(AsistenciaJetAdminConcatenada!$D:$D, MATCH(1, (AsistenciaJetAdminConcatenada!$A:$A=R$2)*(AsistenciaJetAdminConcatenada!$B:$B=R$1), 0)), 1))),  0.5, 0))</f>
        <v>1</v>
      </c>
      <c r="S49" s="47">
        <f t="array" ref="S49">IF(AND(ISNUMBER(MATCH(S$2, AsistenciaJetAdminConcatenada!$A:$A, 0)), ISNUMBER(MATCH(S$1, AsistenciaJetAdminConcatenada!$B:$B, 0)), ISNUMBER(SEARCH($A49,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ISNUMBER(SEARCH($A49, INDEX(AsistenciaJetAdminConcatenada!$D:$D, MATCH(1, (AsistenciaJetAdminConcatenada!$A:$A=S$2)*(AsistenciaJetAdminConcatenada!$B:$B=S$1), 0)), 1))),  0.5, 0))</f>
        <v>1</v>
      </c>
      <c r="T49" s="47">
        <f t="array" ref="T49">IF(AND(ISNUMBER(MATCH(T$2, AsistenciaJetAdminConcatenada!$A:$A, 0)), ISNUMBER(MATCH(T$1, AsistenciaJetAdminConcatenada!$B:$B, 0)), ISNUMBER(SEARCH($A49,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ISNUMBER(SEARCH($A49, INDEX(AsistenciaJetAdminConcatenada!$D:$D, MATCH(1, (AsistenciaJetAdminConcatenada!$A:$A=T$2)*(AsistenciaJetAdminConcatenada!$B:$B=T$1), 0)), 1))),  0.5, 0))</f>
        <v>1</v>
      </c>
      <c r="U49" s="47">
        <f t="array" ref="U49">IF(AND(ISNUMBER(MATCH(U$2, AsistenciaJetAdminConcatenada!$A:$A, 0)), ISNUMBER(MATCH(U$1, AsistenciaJetAdminConcatenada!$B:$B, 0)), ISNUMBER(SEARCH($A49,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ISNUMBER(SEARCH($A49, INDEX(AsistenciaJetAdminConcatenada!$D:$D, MATCH(1, (AsistenciaJetAdminConcatenada!$A:$A=U$2)*(AsistenciaJetAdminConcatenada!$B:$B=U$1), 0)), 1))),  0.5, 0))</f>
        <v>0</v>
      </c>
      <c r="V49" s="47">
        <f t="array" ref="V49">IF(AND(ISNUMBER(MATCH(V$2, AsistenciaJetAdminConcatenada!$A:$A, 0)), ISNUMBER(MATCH(V$1, AsistenciaJetAdminConcatenada!$B:$B, 0)), ISNUMBER(SEARCH($A49,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ISNUMBER(SEARCH($A49, INDEX(AsistenciaJetAdminConcatenada!$D:$D, MATCH(1, (AsistenciaJetAdminConcatenada!$A:$A=V$2)*(AsistenciaJetAdminConcatenada!$B:$B=V$1), 0)), 1))),  0.5, 0))</f>
        <v>0</v>
      </c>
      <c r="W49" s="47">
        <f t="array" ref="W49">IF(AND(ISNUMBER(MATCH(W$2, AsistenciaJetAdminConcatenada!$A:$A, 0)), ISNUMBER(MATCH(W$1, AsistenciaJetAdminConcatenada!$B:$B, 0)), ISNUMBER(SEARCH($A49,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ISNUMBER(SEARCH($A49, INDEX(AsistenciaJetAdminConcatenada!$D:$D, MATCH(1, (AsistenciaJetAdminConcatenada!$A:$A=W$2)*(AsistenciaJetAdminConcatenada!$B:$B=W$1), 0)), 1))),  0.5, 0))</f>
        <v>1</v>
      </c>
      <c r="X49" s="47">
        <f t="array" ref="X49">IF(AND(ISNUMBER(MATCH(X$2, AsistenciaJetAdminConcatenada!$A:$A, 0)), ISNUMBER(MATCH(X$1, AsistenciaJetAdminConcatenada!$B:$B, 0)), ISNUMBER(SEARCH($A49,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ISNUMBER(SEARCH($A49, INDEX(AsistenciaJetAdminConcatenada!$D:$D, MATCH(1, (AsistenciaJetAdminConcatenada!$A:$A=X$2)*(AsistenciaJetAdminConcatenada!$B:$B=X$1), 0)), 1))),  0.5, 0))</f>
        <v>1</v>
      </c>
      <c r="Y49" s="47">
        <f t="array" ref="Y49">IF(AND(ISNUMBER(MATCH(Y$2, AsistenciaJetAdminConcatenada!$A:$A, 0)), ISNUMBER(MATCH(Y$1, AsistenciaJetAdminConcatenada!$B:$B, 0)), ISNUMBER(SEARCH($A49,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ISNUMBER(SEARCH($A49, INDEX(AsistenciaJetAdminConcatenada!$D:$D, MATCH(1, (AsistenciaJetAdminConcatenada!$A:$A=Y$2)*(AsistenciaJetAdminConcatenada!$B:$B=Y$1), 0)), 1))),  0.5, 0))</f>
        <v>1</v>
      </c>
      <c r="Z49" s="47">
        <f t="array" ref="Z49">IF(AND(ISNUMBER(MATCH(Z$2, AsistenciaJetAdminConcatenada!$A:$A, 0)), ISNUMBER(MATCH(Z$1, AsistenciaJetAdminConcatenada!$B:$B, 0)), ISNUMBER(SEARCH($A49,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ISNUMBER(SEARCH($A49, INDEX(AsistenciaJetAdminConcatenada!$D:$D, MATCH(1, (AsistenciaJetAdminConcatenada!$A:$A=Z$2)*(AsistenciaJetAdminConcatenada!$B:$B=Z$1), 0)), 1))),  0.5, 0))</f>
        <v>1</v>
      </c>
      <c r="AA49" s="47">
        <f t="array" ref="AA49">IF(AND(ISNUMBER(MATCH(AA$2, AsistenciaJetAdminConcatenada!$A:$A, 0)), ISNUMBER(MATCH(AA$1, AsistenciaJetAdminConcatenada!$B:$B, 0)), ISNUMBER(SEARCH($A49,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ISNUMBER(SEARCH($A49, INDEX(AsistenciaJetAdminConcatenada!$D:$D, MATCH(1, (AsistenciaJetAdminConcatenada!$A:$A=AA$2)*(AsistenciaJetAdminConcatenada!$B:$B=AA$1), 0)), 1))),  0.5, 0))</f>
        <v>1</v>
      </c>
      <c r="AB49" s="47">
        <f t="array" ref="AB49">IF(AND(ISNUMBER(MATCH(AB$2, AsistenciaJetAdminConcatenada!$A:$A, 0)), ISNUMBER(MATCH(AB$1, AsistenciaJetAdminConcatenada!$B:$B, 0)), ISNUMBER(SEARCH($A49,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ISNUMBER(SEARCH($A49, INDEX(AsistenciaJetAdminConcatenada!$D:$D, MATCH(1, (AsistenciaJetAdminConcatenada!$A:$A=AB$2)*(AsistenciaJetAdminConcatenada!$B:$B=AB$1), 0)), 1))),  0.5, 0))</f>
        <v>0</v>
      </c>
      <c r="AC49" s="47">
        <f t="array" ref="AC49">IF(AND(ISNUMBER(MATCH(AC$2, AsistenciaJetAdminConcatenada!$A:$A, 0)), ISNUMBER(MATCH(AC$1, AsistenciaJetAdminConcatenada!$B:$B, 0)), ISNUMBER(SEARCH($A49,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ISNUMBER(SEARCH($A49, INDEX(AsistenciaJetAdminConcatenada!$D:$D, MATCH(1, (AsistenciaJetAdminConcatenada!$A:$A=AC$2)*(AsistenciaJetAdminConcatenada!$B:$B=AC$1), 0)), 1))),  0.5, 0))</f>
        <v>1</v>
      </c>
      <c r="AD49" s="47">
        <f t="array" ref="AD49">IF(AND(ISNUMBER(MATCH(AD$2, AsistenciaJetAdminConcatenada!$A:$A, 0)), ISNUMBER(MATCH(AD$1, AsistenciaJetAdminConcatenada!$B:$B, 0)), ISNUMBER(SEARCH($A49,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ISNUMBER(SEARCH($A49, INDEX(AsistenciaJetAdminConcatenada!$D:$D, MATCH(1, (AsistenciaJetAdminConcatenada!$A:$A=AD$2)*(AsistenciaJetAdminConcatenada!$B:$B=AD$1), 0)), 1))),  0.5, 0))</f>
        <v>1</v>
      </c>
      <c r="AE49" s="47">
        <f t="array" ref="AE49">IF(AND(ISNUMBER(MATCH(AE$2, AsistenciaJetAdminConcatenada!$A:$A, 0)), ISNUMBER(MATCH(AE$1, AsistenciaJetAdminConcatenada!$B:$B, 0)), ISNUMBER(SEARCH($A49,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ISNUMBER(SEARCH($A49, INDEX(AsistenciaJetAdminConcatenada!$D:$D, MATCH(1, (AsistenciaJetAdminConcatenada!$A:$A=AE$2)*(AsistenciaJetAdminConcatenada!$B:$B=AE$1), 0)), 1))),  0.5, 0))</f>
        <v>0</v>
      </c>
      <c r="AF49" s="47">
        <f t="array" ref="AF49">IF(AND(ISNUMBER(MATCH(AF$2, AsistenciaJetAdminConcatenada!$A:$A, 0)), ISNUMBER(MATCH(AF$1, AsistenciaJetAdminConcatenada!$B:$B, 0)), ISNUMBER(SEARCH($A49,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ISNUMBER(SEARCH($A49, INDEX(AsistenciaJetAdminConcatenada!$D:$D, MATCH(1, (AsistenciaJetAdminConcatenada!$A:$A=AF$2)*(AsistenciaJetAdminConcatenada!$B:$B=AF$1), 0)), 1))),  0.5, 0))</f>
        <v>1</v>
      </c>
      <c r="AG49" s="47">
        <f t="array" ref="AG49">IF(AND(ISNUMBER(MATCH(AG$2, AsistenciaJetAdminConcatenada!$A:$A, 0)), ISNUMBER(MATCH(AG$1, AsistenciaJetAdminConcatenada!$B:$B, 0)), ISNUMBER(SEARCH($A49,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ISNUMBER(SEARCH($A49, INDEX(AsistenciaJetAdminConcatenada!$D:$D, MATCH(1, (AsistenciaJetAdminConcatenada!$A:$A=AG$2)*(AsistenciaJetAdminConcatenada!$B:$B=AG$1), 0)), 1))),  0.5, 0))</f>
        <v>1</v>
      </c>
      <c r="AH49" s="47">
        <f t="array" ref="AH49">IF(AND(ISNUMBER(MATCH(AH$2, AsistenciaJetAdminConcatenada!$A:$A, 0)), ISNUMBER(MATCH(AH$1, AsistenciaJetAdminConcatenada!$B:$B, 0)), ISNUMBER(SEARCH($A49,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ISNUMBER(SEARCH($A49, INDEX(AsistenciaJetAdminConcatenada!$D:$D, MATCH(1, (AsistenciaJetAdminConcatenada!$A:$A=AH$2)*(AsistenciaJetAdminConcatenada!$B:$B=AH$1), 0)), 1))),  0.5, 0))</f>
        <v>0</v>
      </c>
      <c r="AI49" s="47">
        <f t="array" ref="AI49">IF(AND(ISNUMBER(MATCH(AI$2, AsistenciaJetAdminConcatenada!$A:$A, 0)), ISNUMBER(MATCH(AI$1, AsistenciaJetAdminConcatenada!$B:$B, 0)), ISNUMBER(SEARCH($A49,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ISNUMBER(SEARCH($A49, INDEX(AsistenciaJetAdminConcatenada!$D:$D, MATCH(1, (AsistenciaJetAdminConcatenada!$A:$A=AI$2)*(AsistenciaJetAdminConcatenada!$B:$B=AI$1), 0)), 1))),  0.5, 0))</f>
        <v>1</v>
      </c>
      <c r="AJ49" s="47">
        <f t="array" ref="AJ49">IF(AND(ISNUMBER(MATCH(AJ$2, AsistenciaJetAdminConcatenada!$A:$A, 0)), ISNUMBER(MATCH(AJ$1, AsistenciaJetAdminConcatenada!$B:$B, 0)), ISNUMBER(SEARCH($A49,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ISNUMBER(SEARCH($A49, INDEX(AsistenciaJetAdminConcatenada!$D:$D, MATCH(1, (AsistenciaJetAdminConcatenada!$A:$A=AJ$2)*(AsistenciaJetAdminConcatenada!$B:$B=AJ$1), 0)), 1))),  0.5, 0))</f>
        <v>1</v>
      </c>
      <c r="AK49" s="47">
        <f t="array" ref="AK49">IF(AND(ISNUMBER(MATCH(AK$2, AsistenciaJetAdminConcatenada!$A:$A, 0)), ISNUMBER(MATCH(AK$1, AsistenciaJetAdminConcatenada!$B:$B, 0)), ISNUMBER(SEARCH($A49,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ISNUMBER(SEARCH($A49, INDEX(AsistenciaJetAdminConcatenada!$D:$D, MATCH(1, (AsistenciaJetAdminConcatenada!$A:$A=AK$2)*(AsistenciaJetAdminConcatenada!$B:$B=AK$1), 0)), 1))),  0.5, 0))</f>
        <v>1</v>
      </c>
      <c r="AL49" s="47">
        <f t="array" ref="AL49">IF(AND(ISNUMBER(MATCH(AL$2, AsistenciaJetAdminConcatenada!$A:$A, 0)), ISNUMBER(MATCH(AL$1, AsistenciaJetAdminConcatenada!$B:$B, 0)), ISNUMBER(SEARCH($A49,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ISNUMBER(SEARCH($A49, INDEX(AsistenciaJetAdminConcatenada!$D:$D, MATCH(1, (AsistenciaJetAdminConcatenada!$A:$A=AL$2)*(AsistenciaJetAdminConcatenada!$B:$B=AL$1), 0)), 1))),  0.5, 0))</f>
        <v>0</v>
      </c>
      <c r="AM49" s="47">
        <f t="array" ref="AM49">IF(AND(ISNUMBER(MATCH(AM$2, AsistenciaJetAdminConcatenada!$A:$A, 0)), ISNUMBER(MATCH(AM$1, AsistenciaJetAdminConcatenada!$B:$B, 0)), ISNUMBER(SEARCH($A49,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ISNUMBER(SEARCH($A49, INDEX(AsistenciaJetAdminConcatenada!$D:$D, MATCH(1, (AsistenciaJetAdminConcatenada!$A:$A=AM$2)*(AsistenciaJetAdminConcatenada!$B:$B=AM$1), 0)), 1))),  0.5, 0))</f>
        <v>0</v>
      </c>
      <c r="AN49" s="47">
        <f t="array" ref="AN49">IF(AND(ISNUMBER(MATCH(AN$2, AsistenciaJetAdminConcatenada!$A:$A, 0)), ISNUMBER(MATCH(AN$1, AsistenciaJetAdminConcatenada!$B:$B, 0)), ISNUMBER(SEARCH($A49,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ISNUMBER(SEARCH($A49, INDEX(AsistenciaJetAdminConcatenada!$D:$D, MATCH(1, (AsistenciaJetAdminConcatenada!$A:$A=AN$2)*(AsistenciaJetAdminConcatenada!$B:$B=AN$1), 0)), 1))),  0.5, 0))</f>
        <v>1</v>
      </c>
      <c r="AO49" s="47">
        <f t="array" ref="AO49">IF(AND(ISNUMBER(MATCH(AO$2, AsistenciaJetAdminConcatenada!$A:$A, 0)), ISNUMBER(MATCH(AO$1, AsistenciaJetAdminConcatenada!$B:$B, 0)), ISNUMBER(SEARCH($A49,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ISNUMBER(SEARCH($A49, INDEX(AsistenciaJetAdminConcatenada!$D:$D, MATCH(1, (AsistenciaJetAdminConcatenada!$A:$A=AO$2)*(AsistenciaJetAdminConcatenada!$B:$B=AO$1), 0)), 1))),  0.5, 0))</f>
        <v>1</v>
      </c>
      <c r="AP49" s="47">
        <f t="array" ref="AP49">IF(AND(ISNUMBER(MATCH(AP$2, AsistenciaJetAdminConcatenada!$A:$A, 0)), ISNUMBER(MATCH(AP$1, AsistenciaJetAdminConcatenada!$B:$B, 0)), ISNUMBER(SEARCH($A49,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ISNUMBER(SEARCH($A49, INDEX(AsistenciaJetAdminConcatenada!$D:$D, MATCH(1, (AsistenciaJetAdminConcatenada!$A:$A=AP$2)*(AsistenciaJetAdminConcatenada!$B:$B=AP$1), 0)), 1))),  0.5, 0))</f>
        <v>1</v>
      </c>
      <c r="AQ49" s="47">
        <f t="array" ref="AQ49">IF(AND(ISNUMBER(MATCH(AQ$2, AsistenciaJetAdminConcatenada!$A:$A, 0)), ISNUMBER(MATCH(AQ$1, AsistenciaJetAdminConcatenada!$B:$B, 0)), ISNUMBER(SEARCH($A49,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ISNUMBER(SEARCH($A49, INDEX(AsistenciaJetAdminConcatenada!$D:$D, MATCH(1, (AsistenciaJetAdminConcatenada!$A:$A=AQ$2)*(AsistenciaJetAdminConcatenada!$B:$B=AQ$1), 0)), 1))),  0.5, 0))</f>
        <v>0</v>
      </c>
      <c r="AR49" s="47">
        <f t="array" ref="AR49">IF(AND(ISNUMBER(MATCH(AR$2, AsistenciaJetAdminConcatenada!$A:$A, 0)), ISNUMBER(MATCH(AR$1, AsistenciaJetAdminConcatenada!$B:$B, 0)), ISNUMBER(SEARCH($A49,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ISNUMBER(SEARCH($A49, INDEX(AsistenciaJetAdminConcatenada!$D:$D, MATCH(1, (AsistenciaJetAdminConcatenada!$A:$A=AR$2)*(AsistenciaJetAdminConcatenada!$B:$B=AR$1), 0)), 1))),  0.5, 0))</f>
        <v>0</v>
      </c>
      <c r="AS49" s="47">
        <f t="array" ref="AS49">IF(AND(ISNUMBER(MATCH(AS$2, AsistenciaJetAdminConcatenada!$A:$A, 0)), ISNUMBER(MATCH(AS$1, AsistenciaJetAdminConcatenada!$B:$B, 0)), ISNUMBER(SEARCH($A49,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ISNUMBER(SEARCH($A49, INDEX(AsistenciaJetAdminConcatenada!$D:$D, MATCH(1, (AsistenciaJetAdminConcatenada!$A:$A=AS$2)*(AsistenciaJetAdminConcatenada!$B:$B=AS$1), 0)), 1))),  0.5, 0))</f>
        <v>1</v>
      </c>
      <c r="AT49" s="47">
        <f t="array" ref="AT49">IF(AND(ISNUMBER(MATCH(AT$2, AsistenciaJetAdminConcatenada!$A:$A, 0)), ISNUMBER(MATCH(AT$1, AsistenciaJetAdminConcatenada!$B:$B, 0)), ISNUMBER(SEARCH($A49,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ISNUMBER(SEARCH($A49, INDEX(AsistenciaJetAdminConcatenada!$D:$D, MATCH(1, (AsistenciaJetAdminConcatenada!$A:$A=AT$2)*(AsistenciaJetAdminConcatenada!$B:$B=AT$1), 0)), 1))),  0.5, 0))</f>
        <v>0</v>
      </c>
      <c r="AU49" s="47">
        <f t="array" ref="AU49">IF(AND(ISNUMBER(MATCH(AU$2, AsistenciaJetAdminConcatenada!$A:$A, 0)), ISNUMBER(MATCH(AU$1, AsistenciaJetAdminConcatenada!$B:$B, 0)), ISNUMBER(SEARCH($A49,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ISNUMBER(SEARCH($A49, INDEX(AsistenciaJetAdminConcatenada!$D:$D, MATCH(1, (AsistenciaJetAdminConcatenada!$A:$A=AU$2)*(AsistenciaJetAdminConcatenada!$B:$B=AU$1), 0)), 1))),  0.5, 0))</f>
        <v>1</v>
      </c>
      <c r="AV49" s="47">
        <f t="array" ref="AV49">IF(AND(ISNUMBER(MATCH(AV$2, AsistenciaJetAdminConcatenada!$A:$A, 0)), ISNUMBER(MATCH(AV$1, AsistenciaJetAdminConcatenada!$B:$B, 0)), ISNUMBER(SEARCH($A49,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ISNUMBER(SEARCH($A49, INDEX(AsistenciaJetAdminConcatenada!$D:$D, MATCH(1, (AsistenciaJetAdminConcatenada!$A:$A=AV$2)*(AsistenciaJetAdminConcatenada!$B:$B=AV$1), 0)), 1))),  0.5, 0))</f>
        <v>1</v>
      </c>
      <c r="AW49" s="47">
        <f t="array" ref="AW49">IF(AND(ISNUMBER(MATCH(AW$2, AsistenciaJetAdminConcatenada!$A:$A, 0)), ISNUMBER(MATCH(AW$1, AsistenciaJetAdminConcatenada!$B:$B, 0)), ISNUMBER(SEARCH($A49,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ISNUMBER(SEARCH($A49, INDEX(AsistenciaJetAdminConcatenada!$D:$D, MATCH(1, (AsistenciaJetAdminConcatenada!$A:$A=AW$2)*(AsistenciaJetAdminConcatenada!$B:$B=AW$1), 0)), 1))),  0.5, 0))</f>
        <v>0</v>
      </c>
      <c r="AX49" s="47">
        <f t="array" ref="AX49">IF(AND(ISNUMBER(MATCH(AX$2, AsistenciaJetAdminConcatenada!$A:$A, 0)), ISNUMBER(MATCH(AX$1, AsistenciaJetAdminConcatenada!$B:$B, 0)), ISNUMBER(SEARCH($A49,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ISNUMBER(SEARCH($A49, INDEX(AsistenciaJetAdminConcatenada!$D:$D, MATCH(1, (AsistenciaJetAdminConcatenada!$A:$A=AX$2)*(AsistenciaJetAdminConcatenada!$B:$B=AX$1), 0)), 1))),  0.5, 0))</f>
        <v>0</v>
      </c>
      <c r="AY49" s="47">
        <f t="array" ref="AY49">IF(AND(ISNUMBER(MATCH(AY$2, AsistenciaJetAdminConcatenada!$A:$A, 0)), ISNUMBER(MATCH(AY$1, AsistenciaJetAdminConcatenada!$B:$B, 0)), ISNUMBER(SEARCH($A49,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ISNUMBER(SEARCH($A49, INDEX(AsistenciaJetAdminConcatenada!$D:$D, MATCH(1, (AsistenciaJetAdminConcatenada!$A:$A=AY$2)*(AsistenciaJetAdminConcatenada!$B:$B=AY$1), 0)), 1))),  0.5, 0))</f>
        <v>1</v>
      </c>
      <c r="AZ49" s="47">
        <f t="array" ref="AZ49">IF(AND(ISNUMBER(MATCH(AZ$2, AsistenciaJetAdminConcatenada!$A:$A, 0)), ISNUMBER(MATCH(AZ$1, AsistenciaJetAdminConcatenada!$B:$B, 0)), ISNUMBER(SEARCH($A49,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ISNUMBER(SEARCH($A49, INDEX(AsistenciaJetAdminConcatenada!$D:$D, MATCH(1, (AsistenciaJetAdminConcatenada!$A:$A=AZ$2)*(AsistenciaJetAdminConcatenada!$B:$B=AZ$1), 0)), 1))),  0.5, 0))</f>
        <v>1</v>
      </c>
      <c r="BA49" s="47">
        <f t="array" ref="BA49">IF(AND(ISNUMBER(MATCH(BA$2, AsistenciaJetAdminConcatenada!$A:$A, 0)), ISNUMBER(MATCH(BA$1, AsistenciaJetAdminConcatenada!$B:$B, 0)), ISNUMBER(SEARCH($A49,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ISNUMBER(SEARCH($A49, INDEX(AsistenciaJetAdminConcatenada!$D:$D, MATCH(1, (AsistenciaJetAdminConcatenada!$A:$A=BA$2)*(AsistenciaJetAdminConcatenada!$B:$B=BA$1), 0)), 1))),  0.5, 0))</f>
        <v>0</v>
      </c>
      <c r="BB49" s="47">
        <f t="array" ref="BB49">IF(AND(ISNUMBER(MATCH(BB$2, AsistenciaJetAdminConcatenada!$A:$A, 0)), ISNUMBER(MATCH(BB$1, AsistenciaJetAdminConcatenada!$B:$B, 0)), ISNUMBER(SEARCH($A49,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ISNUMBER(SEARCH($A49, INDEX(AsistenciaJetAdminConcatenada!$D:$D, MATCH(1, (AsistenciaJetAdminConcatenada!$A:$A=BB$2)*(AsistenciaJetAdminConcatenada!$B:$B=BB$1), 0)), 1))),  0.5, 0))</f>
        <v>1</v>
      </c>
      <c r="BC49" s="47">
        <f t="array" ref="BC49">IF(AND(ISNUMBER(MATCH(BC$2, AsistenciaJetAdminConcatenada!$A:$A, 0)), ISNUMBER(MATCH(BC$1, AsistenciaJetAdminConcatenada!$B:$B, 0)), ISNUMBER(SEARCH($A49,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ISNUMBER(SEARCH($A49, INDEX(AsistenciaJetAdminConcatenada!$D:$D, MATCH(1, (AsistenciaJetAdminConcatenada!$A:$A=BC$2)*(AsistenciaJetAdminConcatenada!$B:$B=BC$1), 0)), 1))),  0.5, 0))</f>
        <v>1</v>
      </c>
      <c r="BD49" s="47">
        <f t="array" ref="BD49">IF(AND(ISNUMBER(MATCH(BD$2, AsistenciaJetAdminConcatenada!$A:$A, 0)), ISNUMBER(MATCH(BD$1, AsistenciaJetAdminConcatenada!$B:$B, 0)), ISNUMBER(SEARCH($A49,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ISNUMBER(SEARCH($A49, INDEX(AsistenciaJetAdminConcatenada!$D:$D, MATCH(1, (AsistenciaJetAdminConcatenada!$A:$A=BD$2)*(AsistenciaJetAdminConcatenada!$B:$B=BD$1), 0)), 1))),  0.5, 0))</f>
        <v>0</v>
      </c>
      <c r="BE49" s="47">
        <f t="array" ref="BE49">IF(AND(ISNUMBER(MATCH(BE$2, AsistenciaJetAdminConcatenada!$A:$A, 0)), ISNUMBER(MATCH(BE$1, AsistenciaJetAdminConcatenada!$B:$B, 0)), ISNUMBER(SEARCH($A49,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ISNUMBER(SEARCH($A49, INDEX(AsistenciaJetAdminConcatenada!$D:$D, MATCH(1, (AsistenciaJetAdminConcatenada!$A:$A=BE$2)*(AsistenciaJetAdminConcatenada!$B:$B=BE$1), 0)), 1))),  0.5, 0))</f>
        <v>1</v>
      </c>
      <c r="BF49" s="47">
        <f t="array" ref="BF49">IF(AND(ISNUMBER(MATCH(BF$2, AsistenciaJetAdminConcatenada!$A:$A, 0)), ISNUMBER(MATCH(BF$1, AsistenciaJetAdminConcatenada!$B:$B, 0)), ISNUMBER(SEARCH($A49,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ISNUMBER(SEARCH($A49, INDEX(AsistenciaJetAdminConcatenada!$D:$D, MATCH(1, (AsistenciaJetAdminConcatenada!$A:$A=BF$2)*(AsistenciaJetAdminConcatenada!$B:$B=BF$1), 0)), 1))),  0.5, 0))</f>
        <v>0</v>
      </c>
      <c r="BG49" s="47">
        <f t="array" ref="BG49">IF(AND(ISNUMBER(MATCH(BG$2, AsistenciaJetAdminConcatenada!$A:$A, 0)), ISNUMBER(MATCH(BG$1, AsistenciaJetAdminConcatenada!$B:$B, 0)), ISNUMBER(SEARCH($A49,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ISNUMBER(SEARCH($A49, INDEX(AsistenciaJetAdminConcatenada!$D:$D, MATCH(1, (AsistenciaJetAdminConcatenada!$A:$A=BG$2)*(AsistenciaJetAdminConcatenada!$B:$B=BG$1), 0)), 1))),  0.5, 0))</f>
        <v>0</v>
      </c>
      <c r="BH49" s="47">
        <f t="array" ref="BH49">IF(AND(ISNUMBER(MATCH(BH$2, AsistenciaJetAdminConcatenada!$A:$A, 0)), ISNUMBER(MATCH(BH$1, AsistenciaJetAdminConcatenada!$B:$B, 0)), ISNUMBER(SEARCH($A49,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ISNUMBER(SEARCH($A49, INDEX(AsistenciaJetAdminConcatenada!$D:$D, MATCH(1, (AsistenciaJetAdminConcatenada!$A:$A=BH$2)*(AsistenciaJetAdminConcatenada!$B:$B=BH$1), 0)), 1))),  0.5, 0))</f>
        <v>1</v>
      </c>
      <c r="BI49" s="47">
        <f t="array" ref="BI49">IF(AND(ISNUMBER(MATCH(BI$2, AsistenciaJetAdminConcatenada!$A:$A, 0)), ISNUMBER(MATCH(BI$1, AsistenciaJetAdminConcatenada!$B:$B, 0)), ISNUMBER(SEARCH($A49,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ISNUMBER(SEARCH($A49, INDEX(AsistenciaJetAdminConcatenada!$D:$D, MATCH(1, (AsistenciaJetAdminConcatenada!$A:$A=BI$2)*(AsistenciaJetAdminConcatenada!$B:$B=BI$1), 0)), 1))),  0.5, 0))</f>
        <v>1</v>
      </c>
      <c r="BJ49" s="47">
        <f t="array" ref="BJ49">IF(AND(ISNUMBER(MATCH(BJ$2, AsistenciaJetAdminConcatenada!$A:$A, 0)), ISNUMBER(MATCH(BJ$1, AsistenciaJetAdminConcatenada!$B:$B, 0)), ISNUMBER(SEARCH($A49,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ISNUMBER(SEARCH($A49, INDEX(AsistenciaJetAdminConcatenada!$D:$D, MATCH(1, (AsistenciaJetAdminConcatenada!$A:$A=BJ$2)*(AsistenciaJetAdminConcatenada!$B:$B=BJ$1), 0)), 1))),  0.5, 0))</f>
        <v>0</v>
      </c>
      <c r="BK49" s="47">
        <f t="array" ref="BK49">IF(AND(ISNUMBER(MATCH(BK$2, AsistenciaJetAdminConcatenada!$A:$A, 0)), ISNUMBER(MATCH(BK$1, AsistenciaJetAdminConcatenada!$B:$B, 0)), ISNUMBER(SEARCH($A49,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ISNUMBER(SEARCH($A49, INDEX(AsistenciaJetAdminConcatenada!$D:$D, MATCH(1, (AsistenciaJetAdminConcatenada!$A:$A=BK$2)*(AsistenciaJetAdminConcatenada!$B:$B=BK$1), 0)), 1))),  0.5, 0))</f>
        <v>0</v>
      </c>
      <c r="BL49" s="47">
        <f t="array" ref="BL49">IF(AND(ISNUMBER(MATCH(BL$2, AsistenciaJetAdminConcatenada!$A:$A, 0)), ISNUMBER(MATCH(BL$1, AsistenciaJetAdminConcatenada!$B:$B, 0)), ISNUMBER(SEARCH($A49,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ISNUMBER(SEARCH($A49, INDEX(AsistenciaJetAdminConcatenada!$D:$D, MATCH(1, (AsistenciaJetAdminConcatenada!$A:$A=BL$2)*(AsistenciaJetAdminConcatenada!$B:$B=BL$1), 0)), 1))),  0.5, 0))</f>
        <v>1</v>
      </c>
      <c r="BM49" s="47">
        <f t="array" ref="BM49">IF(AND(ISNUMBER(MATCH(BM$2, AsistenciaJetAdminConcatenada!$A:$A, 0)), ISNUMBER(MATCH(BM$1, AsistenciaJetAdminConcatenada!$B:$B, 0)), ISNUMBER(SEARCH($A49,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ISNUMBER(SEARCH($A49, INDEX(AsistenciaJetAdminConcatenada!$D:$D, MATCH(1, (AsistenciaJetAdminConcatenada!$A:$A=BM$2)*(AsistenciaJetAdminConcatenada!$B:$B=BM$1), 0)), 1))),  0.5, 0))</f>
        <v>1</v>
      </c>
      <c r="BN49" s="47">
        <f t="array" ref="BN49">IF(AND(ISNUMBER(MATCH(BN$2, AsistenciaJetAdminConcatenada!$A:$A, 0)), ISNUMBER(MATCH(BN$1, AsistenciaJetAdminConcatenada!$B:$B, 0)), ISNUMBER(SEARCH($A49,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ISNUMBER(SEARCH($A49, INDEX(AsistenciaJetAdminConcatenada!$D:$D, MATCH(1, (AsistenciaJetAdminConcatenada!$A:$A=BN$2)*(AsistenciaJetAdminConcatenada!$B:$B=BN$1), 0)), 1))),  0.5, 0))</f>
        <v>0</v>
      </c>
      <c r="BO49" s="47">
        <f t="array" ref="BO49">IF(AND(ISNUMBER(MATCH(BO$2, AsistenciaJetAdminConcatenada!$A:$A, 0)), ISNUMBER(MATCH(BO$1, AsistenciaJetAdminConcatenada!$B:$B, 0)), ISNUMBER(SEARCH($A49,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ISNUMBER(SEARCH($A49, INDEX(AsistenciaJetAdminConcatenada!$D:$D, MATCH(1, (AsistenciaJetAdminConcatenada!$A:$A=BO$2)*(AsistenciaJetAdminConcatenada!$B:$B=BO$1), 0)), 1))),  0.5, 0))</f>
        <v>1</v>
      </c>
      <c r="BP49" s="47">
        <f t="array" ref="BP49">IF(AND(ISNUMBER(MATCH(BP$2, AsistenciaJetAdminConcatenada!$A:$A, 0)), ISNUMBER(MATCH(BP$1, AsistenciaJetAdminConcatenada!$B:$B, 0)), ISNUMBER(SEARCH($A49,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ISNUMBER(SEARCH($A49, INDEX(AsistenciaJetAdminConcatenada!$D:$D, MATCH(1, (AsistenciaJetAdminConcatenada!$A:$A=BP$2)*(AsistenciaJetAdminConcatenada!$B:$B=BP$1), 0)), 1))),  0.5, 0))</f>
        <v>0</v>
      </c>
      <c r="BQ49" s="47">
        <f t="array" ref="BQ49">IF(AND(ISNUMBER(MATCH(BQ$2, AsistenciaJetAdminConcatenada!$A:$A, 0)), ISNUMBER(MATCH(BQ$1, AsistenciaJetAdminConcatenada!$B:$B, 0)), ISNUMBER(SEARCH($A49,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ISNUMBER(SEARCH($A49, INDEX(AsistenciaJetAdminConcatenada!$D:$D, MATCH(1, (AsistenciaJetAdminConcatenada!$A:$A=BQ$2)*(AsistenciaJetAdminConcatenada!$B:$B=BQ$1), 0)), 1))),  0.5, 0))</f>
        <v>0</v>
      </c>
      <c r="BR49" s="47">
        <f t="array" ref="BR49">IF(AND(ISNUMBER(MATCH(BR$2, AsistenciaJetAdminConcatenada!$A:$A, 0)), ISNUMBER(MATCH(BR$1, AsistenciaJetAdminConcatenada!$B:$B, 0)), ISNUMBER(SEARCH($A49,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ISNUMBER(SEARCH($A49, INDEX(AsistenciaJetAdminConcatenada!$D:$D, MATCH(1, (AsistenciaJetAdminConcatenada!$A:$A=BR$2)*(AsistenciaJetAdminConcatenada!$B:$B=BR$1), 0)), 1))),  0.5, 0))</f>
        <v>0</v>
      </c>
      <c r="BS49" s="47">
        <f t="array" ref="BS49">IF(AND(ISNUMBER(MATCH(BS$2, AsistenciaJetAdminConcatenada!$A:$A, 0)), ISNUMBER(MATCH(BS$1, AsistenciaJetAdminConcatenada!$B:$B, 0)), ISNUMBER(SEARCH($A49,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ISNUMBER(SEARCH($A49, INDEX(AsistenciaJetAdminConcatenada!$D:$D, MATCH(1, (AsistenciaJetAdminConcatenada!$A:$A=BS$2)*(AsistenciaJetAdminConcatenada!$B:$B=BS$1), 0)), 1))),  0.5, 0))</f>
        <v>1</v>
      </c>
      <c r="BT49" s="47">
        <f t="array" ref="BT49">IF(AND(ISNUMBER(MATCH(BT$2, AsistenciaJetAdminConcatenada!$A:$A, 0)), ISNUMBER(MATCH(BT$1, AsistenciaJetAdminConcatenada!$B:$B, 0)), ISNUMBER(SEARCH($A49,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ISNUMBER(SEARCH($A49, INDEX(AsistenciaJetAdminConcatenada!$D:$D, MATCH(1, (AsistenciaJetAdminConcatenada!$A:$A=BT$2)*(AsistenciaJetAdminConcatenada!$B:$B=BT$1), 0)), 1))),  0.5, 0))</f>
        <v>0</v>
      </c>
      <c r="BU49" s="47">
        <f t="array" ref="BU49">IF(AND(ISNUMBER(MATCH(BU$2, AsistenciaJetAdminConcatenada!$A:$A, 0)), ISNUMBER(MATCH(BU$1, AsistenciaJetAdminConcatenada!$B:$B, 0)), ISNUMBER(SEARCH($A49,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ISNUMBER(SEARCH($A49, INDEX(AsistenciaJetAdminConcatenada!$D:$D, MATCH(1, (AsistenciaJetAdminConcatenada!$A:$A=BU$2)*(AsistenciaJetAdminConcatenada!$B:$B=BU$1), 0)), 1))),  0.5, 0))</f>
        <v>0</v>
      </c>
      <c r="BV49" s="8">
        <v>1.0</v>
      </c>
      <c r="BW49" s="47">
        <f t="array" ref="BW49">IF(AND(ISNUMBER(MATCH(BW$2, AsistenciaJetAdminConcatenada!$A:$A, 0)), ISNUMBER(MATCH(BW$1, AsistenciaJetAdminConcatenada!$B:$B, 0)), ISNUMBER(SEARCH($A49,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ISNUMBER(SEARCH($A49, INDEX(AsistenciaJetAdminConcatenada!$D:$D, MATCH(1, (AsistenciaJetAdminConcatenada!$A:$A=BW$2)*(AsistenciaJetAdminConcatenada!$B:$B=BW$1), 0)), 1))),  0.5, 0))</f>
        <v>1</v>
      </c>
      <c r="BX49" s="47">
        <f t="array" ref="BX49">IF(AND(ISNUMBER(MATCH(BX$2, AsistenciaJetAdminConcatenada!$A:$A, 0)), ISNUMBER(MATCH(BX$1, AsistenciaJetAdminConcatenada!$B:$B, 0)), ISNUMBER(SEARCH($A49,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ISNUMBER(SEARCH($A49, INDEX(AsistenciaJetAdminConcatenada!$D:$D, MATCH(1, (AsistenciaJetAdminConcatenada!$A:$A=BX$2)*(AsistenciaJetAdminConcatenada!$B:$B=BX$1), 0)), 1))),  0.5, 0))</f>
        <v>0.5</v>
      </c>
      <c r="BY49" s="47">
        <f t="array" ref="BY49">IF(AND(ISNUMBER(MATCH(BY$2, AsistenciaJetAdminConcatenada!$A:$A, 0)), ISNUMBER(MATCH(BY$1, AsistenciaJetAdminConcatenada!$B:$B, 0)), ISNUMBER(SEARCH($A49,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ISNUMBER(SEARCH($A49, INDEX(AsistenciaJetAdminConcatenada!$D:$D, MATCH(1, (AsistenciaJetAdminConcatenada!$A:$A=BY$2)*(AsistenciaJetAdminConcatenada!$B:$B=BY$1), 0)), 1))),  0.5, 0))</f>
        <v>0</v>
      </c>
      <c r="BZ49" s="47">
        <f t="array" ref="BZ49">IF(AND(ISNUMBER(MATCH(BZ$2, AsistenciaJetAdminConcatenada!$A:$A, 0)), ISNUMBER(MATCH(BZ$1, AsistenciaJetAdminConcatenada!$B:$B, 0)), ISNUMBER(SEARCH($A49,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ISNUMBER(SEARCH($A49, INDEX(AsistenciaJetAdminConcatenada!$D:$D, MATCH(1, (AsistenciaJetAdminConcatenada!$A:$A=BZ$2)*(AsistenciaJetAdminConcatenada!$B:$B=BZ$1), 0)), 1))),  0.5, 0))</f>
        <v>0</v>
      </c>
      <c r="CA49" s="47">
        <f t="array" ref="CA49">IF(AND(ISNUMBER(MATCH(CA$2, AsistenciaJetAdminConcatenada!$A:$A, 0)), ISNUMBER(MATCH(CA$1, AsistenciaJetAdminConcatenada!$B:$B, 0)), ISNUMBER(SEARCH($A49,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ISNUMBER(SEARCH($A49, INDEX(AsistenciaJetAdminConcatenada!$D:$D, MATCH(1, (AsistenciaJetAdminConcatenada!$A:$A=CA$2)*(AsistenciaJetAdminConcatenada!$B:$B=CA$1), 0)), 1))),  0.5, 0))</f>
        <v>1</v>
      </c>
      <c r="CB49" s="47">
        <f t="array" ref="CB49">IF(AND(ISNUMBER(MATCH(CB$2, AsistenciaJetAdminConcatenada!$A:$A, 0)), ISNUMBER(MATCH(CB$1, AsistenciaJetAdminConcatenada!$B:$B, 0)), ISNUMBER(SEARCH($A49,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ISNUMBER(SEARCH($A49, INDEX(AsistenciaJetAdminConcatenada!$D:$D, MATCH(1, (AsistenciaJetAdminConcatenada!$A:$A=CB$2)*(AsistenciaJetAdminConcatenada!$B:$B=CB$1), 0)), 1))),  0.5, 0))</f>
        <v>1</v>
      </c>
      <c r="CC49" s="47">
        <f t="array" ref="CC49">IF(AND(ISNUMBER(MATCH(CC$2, AsistenciaJetAdminConcatenada!$A:$A, 0)), ISNUMBER(MATCH(CC$1, AsistenciaJetAdminConcatenada!$B:$B, 0)), ISNUMBER(SEARCH($A49,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ISNUMBER(SEARCH($A49, INDEX(AsistenciaJetAdminConcatenada!$D:$D, MATCH(1, (AsistenciaJetAdminConcatenada!$A:$A=CC$2)*(AsistenciaJetAdminConcatenada!$B:$B=CC$1), 0)), 1))),  0.5, 0))</f>
        <v>1</v>
      </c>
      <c r="CD49" s="47">
        <f t="array" ref="CD49">IF(AND(ISNUMBER(MATCH(CD$2, AsistenciaJetAdminConcatenada!$A:$A, 0)), ISNUMBER(MATCH(CD$1, AsistenciaJetAdminConcatenada!$B:$B, 0)), ISNUMBER(SEARCH($A49,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ISNUMBER(SEARCH($A49, INDEX(AsistenciaJetAdminConcatenada!$D:$D, MATCH(1, (AsistenciaJetAdminConcatenada!$A:$A=CD$2)*(AsistenciaJetAdminConcatenada!$B:$B=CD$1), 0)), 1))),  0.5, 0))</f>
        <v>0</v>
      </c>
      <c r="CE49" s="47">
        <f t="array" ref="CE49">IF(AND(ISNUMBER(MATCH(CE$2, AsistenciaJetAdminConcatenada!$A:$A, 0)), ISNUMBER(MATCH(CE$1, AsistenciaJetAdminConcatenada!$B:$B, 0)), ISNUMBER(SEARCH($A49,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ISNUMBER(SEARCH($A49, INDEX(AsistenciaJetAdminConcatenada!$D:$D, MATCH(1, (AsistenciaJetAdminConcatenada!$A:$A=CE$2)*(AsistenciaJetAdminConcatenada!$B:$B=CE$1), 0)), 1))),  0.5, 0))</f>
        <v>0</v>
      </c>
      <c r="CF49" s="47">
        <f t="array" ref="CF49">IF(AND(ISNUMBER(MATCH(CF$2, AsistenciaJetAdminConcatenada!$A:$A, 0)), ISNUMBER(MATCH(CF$1, AsistenciaJetAdminConcatenada!$B:$B, 0)), ISNUMBER(SEARCH($A49,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ISNUMBER(SEARCH($A49, INDEX(AsistenciaJetAdminConcatenada!$D:$D, MATCH(1, (AsistenciaJetAdminConcatenada!$A:$A=CF$2)*(AsistenciaJetAdminConcatenada!$B:$B=CF$1), 0)), 1))),  0.5, 0))</f>
        <v>0</v>
      </c>
      <c r="CG49" s="47">
        <f t="array" ref="CG49">IF(AND(ISNUMBER(MATCH(CG$2, AsistenciaJetAdminConcatenada!$A:$A, 0)), ISNUMBER(MATCH(CG$1, AsistenciaJetAdminConcatenada!$B:$B, 0)), ISNUMBER(SEARCH($A49,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ISNUMBER(SEARCH($A49, INDEX(AsistenciaJetAdminConcatenada!$D:$D, MATCH(1, (AsistenciaJetAdminConcatenada!$A:$A=CG$2)*(AsistenciaJetAdminConcatenada!$B:$B=CG$1), 0)), 1))),  0.5, 0))</f>
        <v>0</v>
      </c>
      <c r="CH49" s="47">
        <f t="array" ref="CH49">IF(AND(ISNUMBER(MATCH(CH$2, AsistenciaJetAdminConcatenada!$A:$A, 0)), ISNUMBER(MATCH(CH$1, AsistenciaJetAdminConcatenada!$B:$B, 0)), ISNUMBER(SEARCH($A49,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ISNUMBER(SEARCH($A49, INDEX(AsistenciaJetAdminConcatenada!$D:$D, MATCH(1, (AsistenciaJetAdminConcatenada!$A:$A=CH$2)*(AsistenciaJetAdminConcatenada!$B:$B=CH$1), 0)), 1))),  0.5, 0))</f>
        <v>0</v>
      </c>
      <c r="CI49" s="47">
        <f t="array" ref="CI49">IF(AND(ISNUMBER(MATCH(CI$2, AsistenciaJetAdminConcatenada!$A:$A, 0)), ISNUMBER(MATCH(CI$1, AsistenciaJetAdminConcatenada!$B:$B, 0)), ISNUMBER(SEARCH($A49,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ISNUMBER(SEARCH($A49, INDEX(AsistenciaJetAdminConcatenada!$D:$D, MATCH(1, (AsistenciaJetAdminConcatenada!$A:$A=CI$2)*(AsistenciaJetAdminConcatenada!$B:$B=CI$1), 0)), 1))),  0.5, 0))</f>
        <v>1</v>
      </c>
      <c r="CJ49" s="47">
        <f t="array" ref="CJ49">IF(AND(ISNUMBER(MATCH(CJ$2, AsistenciaJetAdminConcatenada!$A:$A, 0)), ISNUMBER(MATCH(CJ$1, AsistenciaJetAdminConcatenada!$B:$B, 0)), ISNUMBER(SEARCH($A49,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ISNUMBER(SEARCH($A49, INDEX(AsistenciaJetAdminConcatenada!$D:$D, MATCH(1, (AsistenciaJetAdminConcatenada!$A:$A=CJ$2)*(AsistenciaJetAdminConcatenada!$B:$B=CJ$1), 0)), 1))),  0.5, 0))</f>
        <v>1</v>
      </c>
      <c r="CK49" s="47">
        <f t="array" ref="CK49">IF(AND(ISNUMBER(MATCH(CK$2, AsistenciaJetAdminConcatenada!$A:$A, 0)), ISNUMBER(MATCH(CK$1, AsistenciaJetAdminConcatenada!$B:$B, 0)), ISNUMBER(SEARCH($A49,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ISNUMBER(SEARCH($A49, INDEX(AsistenciaJetAdminConcatenada!$D:$D, MATCH(1, (AsistenciaJetAdminConcatenada!$A:$A=CK$2)*(AsistenciaJetAdminConcatenada!$B:$B=CK$1), 0)), 1))),  0.5, 0))</f>
        <v>0</v>
      </c>
      <c r="CL49" s="47">
        <f t="array" ref="CL49">IF(AND(ISNUMBER(MATCH(CL$2, AsistenciaJetAdminConcatenada!$A:$A, 0)), ISNUMBER(MATCH(CL$1, AsistenciaJetAdminConcatenada!$B:$B, 0)), ISNUMBER(SEARCH($A49,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ISNUMBER(SEARCH($A49, INDEX(AsistenciaJetAdminConcatenada!$D:$D, MATCH(1, (AsistenciaJetAdminConcatenada!$A:$A=CL$2)*(AsistenciaJetAdminConcatenada!$B:$B=CL$1), 0)), 1))),  0.5, 0))</f>
        <v>1</v>
      </c>
      <c r="CM49" s="47">
        <f t="array" ref="CM49">IF(AND(ISNUMBER(MATCH(CM$2, AsistenciaJetAdminConcatenada!$A:$A, 0)), ISNUMBER(MATCH(CM$1, AsistenciaJetAdminConcatenada!$B:$B, 0)), ISNUMBER(SEARCH($A49,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ISNUMBER(SEARCH($A49, INDEX(AsistenciaJetAdminConcatenada!$D:$D, MATCH(1, (AsistenciaJetAdminConcatenada!$A:$A=CM$2)*(AsistenciaJetAdminConcatenada!$B:$B=CM$1), 0)), 1))),  0.5, 0))</f>
        <v>1</v>
      </c>
      <c r="CN49" s="47">
        <f t="array" ref="CN49">IF(AND(ISNUMBER(MATCH(CN$2, AsistenciaJetAdminConcatenada!$A:$A, 0)), ISNUMBER(MATCH(CN$1, AsistenciaJetAdminConcatenada!$B:$B, 0)), ISNUMBER(SEARCH($A49,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ISNUMBER(SEARCH($A49, INDEX(AsistenciaJetAdminConcatenada!$D:$D, MATCH(1, (AsistenciaJetAdminConcatenada!$A:$A=CN$2)*(AsistenciaJetAdminConcatenada!$B:$B=CN$1), 0)), 1))),  0.5, 0))</f>
        <v>0</v>
      </c>
      <c r="CO49" s="47">
        <f t="array" ref="CO49">IF(AND(ISNUMBER(MATCH(CO$2, AsistenciaJetAdminConcatenada!$A:$A, 0)), ISNUMBER(MATCH(CO$1, AsistenciaJetAdminConcatenada!$B:$B, 0)), ISNUMBER(SEARCH($A49,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ISNUMBER(SEARCH($A49, INDEX(AsistenciaJetAdminConcatenada!$D:$D, MATCH(1, (AsistenciaJetAdminConcatenada!$A:$A=CO$2)*(AsistenciaJetAdminConcatenada!$B:$B=CO$1), 0)), 1))),  0.5, 0))</f>
        <v>1</v>
      </c>
      <c r="CP49" s="47">
        <f t="array" ref="CP49">IF(AND(ISNUMBER(MATCH(CP$2, AsistenciaJetAdminConcatenada!$A:$A, 0)), ISNUMBER(MATCH(CP$1, AsistenciaJetAdminConcatenada!$B:$B, 0)), ISNUMBER(SEARCH($A49,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ISNUMBER(SEARCH($A49, INDEX(AsistenciaJetAdminConcatenada!$D:$D, MATCH(1, (AsistenciaJetAdminConcatenada!$A:$A=CP$2)*(AsistenciaJetAdminConcatenada!$B:$B=CP$1), 0)), 1))),  0.5, 0))</f>
        <v>0.5</v>
      </c>
      <c r="CQ49" s="47">
        <f t="array" ref="CQ49">IF(AND(ISNUMBER(MATCH(CQ$2, AsistenciaJetAdminConcatenada!$A:$A, 0)), ISNUMBER(MATCH(CQ$1, AsistenciaJetAdminConcatenada!$B:$B, 0)), ISNUMBER(SEARCH($A49,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ISNUMBER(SEARCH($A49, INDEX(AsistenciaJetAdminConcatenada!$D:$D, MATCH(1, (AsistenciaJetAdminConcatenada!$A:$A=CQ$2)*(AsistenciaJetAdminConcatenada!$B:$B=CQ$1), 0)), 1))),  0.5, 0))</f>
        <v>1</v>
      </c>
      <c r="CR49" s="47">
        <f t="array" ref="CR49">IF(AND(ISNUMBER(MATCH(CR$2, AsistenciaJetAdminConcatenada!$A:$A, 0)), ISNUMBER(MATCH(CR$1, AsistenciaJetAdminConcatenada!$B:$B, 0)), ISNUMBER(SEARCH($A49,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ISNUMBER(SEARCH($A49, INDEX(AsistenciaJetAdminConcatenada!$D:$D, MATCH(1, (AsistenciaJetAdminConcatenada!$A:$A=CR$2)*(AsistenciaJetAdminConcatenada!$B:$B=CR$1), 0)), 1))),  0.5, 0))</f>
        <v>1</v>
      </c>
      <c r="CS49" s="47">
        <f t="array" ref="CS49">IF(AND(ISNUMBER(MATCH(CS$2, AsistenciaJetAdminConcatenada!$A:$A, 0)), ISNUMBER(MATCH(CS$1, AsistenciaJetAdminConcatenada!$B:$B, 0)), ISNUMBER(SEARCH($A49,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ISNUMBER(SEARCH($A49, INDEX(AsistenciaJetAdminConcatenada!$D:$D, MATCH(1, (AsistenciaJetAdminConcatenada!$A:$A=CS$2)*(AsistenciaJetAdminConcatenada!$B:$B=CS$1), 0)), 1))),  0.5, 0))</f>
        <v>0</v>
      </c>
      <c r="CT49" s="47">
        <f t="array" ref="CT49">IF(AND(ISNUMBER(MATCH(CT$2, AsistenciaJetAdminConcatenada!$A:$A, 0)), ISNUMBER(MATCH(CT$1, AsistenciaJetAdminConcatenada!$B:$B, 0)), ISNUMBER(SEARCH($A49,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ISNUMBER(SEARCH($A49, INDEX(AsistenciaJetAdminConcatenada!$D:$D, MATCH(1, (AsistenciaJetAdminConcatenada!$A:$A=CT$2)*(AsistenciaJetAdminConcatenada!$B:$B=CT$1), 0)), 1))),  0.5, 0))</f>
        <v>0</v>
      </c>
      <c r="CU49" s="47">
        <f t="array" ref="CU49">IF(AND(ISNUMBER(MATCH(CU$2, AsistenciaJetAdminConcatenada!$A:$A, 0)), ISNUMBER(MATCH(CU$1, AsistenciaJetAdminConcatenada!$B:$B, 0)), ISNUMBER(SEARCH($A49,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ISNUMBER(SEARCH($A49, INDEX(AsistenciaJetAdminConcatenada!$D:$D, MATCH(1, (AsistenciaJetAdminConcatenada!$A:$A=CU$2)*(AsistenciaJetAdminConcatenada!$B:$B=CU$1), 0)), 1))),  0.5, 0))</f>
        <v>0</v>
      </c>
      <c r="CV49" s="47">
        <f t="array" ref="CV49">IF(AND(ISNUMBER(MATCH(CV$2, AsistenciaJetAdminConcatenada!$A:$A, 0)), ISNUMBER(MATCH(CV$1, AsistenciaJetAdminConcatenada!$B:$B, 0)), ISNUMBER(SEARCH($A49,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ISNUMBER(SEARCH($A49, INDEX(AsistenciaJetAdminConcatenada!$D:$D, MATCH(1, (AsistenciaJetAdminConcatenada!$A:$A=CV$2)*(AsistenciaJetAdminConcatenada!$B:$B=CV$1), 0)), 1))),  0.5, 0))</f>
        <v>0</v>
      </c>
      <c r="CW49" s="47">
        <f t="array" ref="CW49">IF(AND(ISNUMBER(MATCH(CW$2, AsistenciaJetAdminConcatenada!$A:$A, 0)), ISNUMBER(MATCH(CW$1, AsistenciaJetAdminConcatenada!$B:$B, 0)), ISNUMBER(SEARCH($A49,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ISNUMBER(SEARCH($A49, INDEX(AsistenciaJetAdminConcatenada!$D:$D, MATCH(1, (AsistenciaJetAdminConcatenada!$A:$A=CW$2)*(AsistenciaJetAdminConcatenada!$B:$B=CW$1), 0)), 1))),  0.5, 0))</f>
        <v>0</v>
      </c>
      <c r="CX49" s="47">
        <f t="array" ref="CX49">IF(AND(ISNUMBER(MATCH(CX$2, AsistenciaJetAdminConcatenada!$A:$A, 0)), ISNUMBER(MATCH(CX$1, AsistenciaJetAdminConcatenada!$B:$B, 0)), ISNUMBER(SEARCH($A49,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ISNUMBER(SEARCH($A49, INDEX(AsistenciaJetAdminConcatenada!$D:$D, MATCH(1, (AsistenciaJetAdminConcatenada!$A:$A=CX$2)*(AsistenciaJetAdminConcatenada!$B:$B=CX$1), 0)), 1))),  0.5, 0))</f>
        <v>0</v>
      </c>
      <c r="CY49" s="47">
        <f t="array" ref="CY49">IF(AND(ISNUMBER(MATCH(CY$2, AsistenciaJetAdminConcatenada!$A:$A, 0)), ISNUMBER(MATCH(CY$1, AsistenciaJetAdminConcatenada!$B:$B, 0)), ISNUMBER(SEARCH($A49,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ISNUMBER(SEARCH($A49, INDEX(AsistenciaJetAdminConcatenada!$D:$D, MATCH(1, (AsistenciaJetAdminConcatenada!$A:$A=CY$2)*(AsistenciaJetAdminConcatenada!$B:$B=CY$1), 0)), 1))),  0.5, 0))</f>
        <v>0</v>
      </c>
      <c r="CZ49" s="47">
        <f t="array" ref="CZ49">IF(AND(ISNUMBER(MATCH(CZ$2, AsistenciaJetAdminConcatenada!$A:$A, 0)), ISNUMBER(MATCH(CZ$1, AsistenciaJetAdminConcatenada!$B:$B, 0)), ISNUMBER(SEARCH($A49,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ISNUMBER(SEARCH($A49, INDEX(AsistenciaJetAdminConcatenada!$D:$D, MATCH(1, (AsistenciaJetAdminConcatenada!$A:$A=CZ$2)*(AsistenciaJetAdminConcatenada!$B:$B=CZ$1), 0)), 1))),  0.5, 0))</f>
        <v>0</v>
      </c>
      <c r="DA49" s="47">
        <f t="array" ref="DA49">IF(AND(ISNUMBER(MATCH(DA$2, AsistenciaJetAdminConcatenada!$A:$A, 0)), ISNUMBER(MATCH(DA$1, AsistenciaJetAdminConcatenada!$B:$B, 0)), ISNUMBER(SEARCH($A49,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ISNUMBER(SEARCH($A49, INDEX(AsistenciaJetAdminConcatenada!$D:$D, MATCH(1, (AsistenciaJetAdminConcatenada!$A:$A=DA$2)*(AsistenciaJetAdminConcatenada!$B:$B=DA$1), 0)), 1))),  0.5, 0))</f>
        <v>0</v>
      </c>
      <c r="DB49" s="47">
        <f t="array" ref="DB49">IF(AND(ISNUMBER(MATCH(DB$2, AsistenciaJetAdminConcatenada!$A:$A, 0)), ISNUMBER(MATCH(DB$1, AsistenciaJetAdminConcatenada!$B:$B, 0)), ISNUMBER(SEARCH($A49,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ISNUMBER(SEARCH($A49, INDEX(AsistenciaJetAdminConcatenada!$D:$D, MATCH(1, (AsistenciaJetAdminConcatenada!$A:$A=DB$2)*(AsistenciaJetAdminConcatenada!$B:$B=DB$1), 0)), 1))),  0.5, 0))</f>
        <v>0</v>
      </c>
      <c r="DC49" s="47">
        <f t="array" ref="DC49">IF(AND(ISNUMBER(MATCH(DC$2, AsistenciaJetAdminConcatenada!$A:$A, 0)), ISNUMBER(MATCH(DC$1, AsistenciaJetAdminConcatenada!$B:$B, 0)), ISNUMBER(SEARCH($A49,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ISNUMBER(SEARCH($A49, INDEX(AsistenciaJetAdminConcatenada!$D:$D, MATCH(1, (AsistenciaJetAdminConcatenada!$A:$A=DC$2)*(AsistenciaJetAdminConcatenada!$B:$B=DC$1), 0)), 1))),  0.5, 0))</f>
        <v>0</v>
      </c>
      <c r="DD49" s="47">
        <f t="array" ref="DD49">IF(AND(ISNUMBER(MATCH(DD$2, AsistenciaJetAdminConcatenada!$A:$A, 0)), ISNUMBER(MATCH(DD$1, AsistenciaJetAdminConcatenada!$B:$B, 0)), ISNUMBER(SEARCH($A49,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ISNUMBER(SEARCH($A49, INDEX(AsistenciaJetAdminConcatenada!$D:$D, MATCH(1, (AsistenciaJetAdminConcatenada!$A:$A=DD$2)*(AsistenciaJetAdminConcatenada!$B:$B=DD$1), 0)), 1))),  0.5, 0))</f>
        <v>0</v>
      </c>
      <c r="DE49" s="47">
        <f t="array" ref="DE49">IF(AND(ISNUMBER(MATCH(DE$2, AsistenciaJetAdminConcatenada!$A:$A, 0)), ISNUMBER(MATCH(DE$1, AsistenciaJetAdminConcatenada!$B:$B, 0)), ISNUMBER(SEARCH($A49,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ISNUMBER(SEARCH($A49, INDEX(AsistenciaJetAdminConcatenada!$D:$D, MATCH(1, (AsistenciaJetAdminConcatenada!$A:$A=DE$2)*(AsistenciaJetAdminConcatenada!$B:$B=DE$1), 0)), 1))),  0.5, 0))</f>
        <v>0</v>
      </c>
      <c r="DF49" s="47">
        <f t="array" ref="DF49">IF(AND(ISNUMBER(MATCH(DF$2, AsistenciaJetAdminConcatenada!$A:$A, 0)), ISNUMBER(MATCH(DF$1, AsistenciaJetAdminConcatenada!$B:$B, 0)), ISNUMBER(SEARCH($A49,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ISNUMBER(SEARCH($A49, INDEX(AsistenciaJetAdminConcatenada!$D:$D, MATCH(1, (AsistenciaJetAdminConcatenada!$A:$A=DF$2)*(AsistenciaJetAdminConcatenada!$B:$B=DF$1), 0)), 1))),  0.5, 0))</f>
        <v>0</v>
      </c>
      <c r="DG49" s="47">
        <f t="array" ref="DG49">IF(AND(ISNUMBER(MATCH(DG$2, AsistenciaJetAdminConcatenada!$A:$A, 0)), ISNUMBER(MATCH(DG$1, AsistenciaJetAdminConcatenada!$B:$B, 0)), ISNUMBER(SEARCH($A49,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ISNUMBER(SEARCH($A49, INDEX(AsistenciaJetAdminConcatenada!$D:$D, MATCH(1, (AsistenciaJetAdminConcatenada!$A:$A=DG$2)*(AsistenciaJetAdminConcatenada!$B:$B=DG$1), 0)), 1))),  0.5, 0))</f>
        <v>0</v>
      </c>
      <c r="DH49" s="47">
        <f t="array" ref="DH49">IF(AND(ISNUMBER(MATCH(DH$2, AsistenciaJetAdminConcatenada!$A:$A, 0)), ISNUMBER(MATCH(DH$1, AsistenciaJetAdminConcatenada!$B:$B, 0)), ISNUMBER(SEARCH($A49,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ISNUMBER(SEARCH($A49, INDEX(AsistenciaJetAdminConcatenada!$D:$D, MATCH(1, (AsistenciaJetAdminConcatenada!$A:$A=DH$2)*(AsistenciaJetAdminConcatenada!$B:$B=DH$1), 0)), 1))),  0.5, 0))</f>
        <v>0</v>
      </c>
      <c r="DI49" s="47">
        <f t="array" ref="DI49">IF(AND(ISNUMBER(MATCH(DI$2, AsistenciaJetAdminConcatenada!$A:$A, 0)), ISNUMBER(MATCH(DI$1, AsistenciaJetAdminConcatenada!$B:$B, 0)), ISNUMBER(SEARCH($A49,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ISNUMBER(SEARCH($A49, INDEX(AsistenciaJetAdminConcatenada!$D:$D, MATCH(1, (AsistenciaJetAdminConcatenada!$A:$A=DI$2)*(AsistenciaJetAdminConcatenada!$B:$B=DI$1), 0)), 1))),  0.5, 0))</f>
        <v>0</v>
      </c>
      <c r="DJ49" s="47">
        <f t="array" ref="DJ49">IF(AND(ISNUMBER(MATCH(DJ$2, AsistenciaJetAdminConcatenada!$A:$A, 0)), ISNUMBER(MATCH(DJ$1, AsistenciaJetAdminConcatenada!$B:$B, 0)), ISNUMBER(SEARCH($A49,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ISNUMBER(SEARCH($A49, INDEX(AsistenciaJetAdminConcatenada!$D:$D, MATCH(1, (AsistenciaJetAdminConcatenada!$A:$A=DJ$2)*(AsistenciaJetAdminConcatenada!$B:$B=DJ$1), 0)), 1))),  0.5, 0))</f>
        <v>0</v>
      </c>
      <c r="DK49" s="47">
        <f t="array" ref="DK49">IF(AND(ISNUMBER(MATCH(DK$2, AsistenciaJetAdminConcatenada!$A:$A, 0)), ISNUMBER(MATCH(DK$1, AsistenciaJetAdminConcatenada!$B:$B, 0)), ISNUMBER(SEARCH($A49,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ISNUMBER(SEARCH($A49, INDEX(AsistenciaJetAdminConcatenada!$D:$D, MATCH(1, (AsistenciaJetAdminConcatenada!$A:$A=DK$2)*(AsistenciaJetAdminConcatenada!$B:$B=DK$1), 0)), 1))),  0.5, 0))</f>
        <v>0</v>
      </c>
      <c r="DL49" s="47">
        <f t="array" ref="DL49">IF(AND(ISNUMBER(MATCH(DL$2, AsistenciaJetAdminConcatenada!$A:$A, 0)), ISNUMBER(MATCH(DL$1, AsistenciaJetAdminConcatenada!$B:$B, 0)), ISNUMBER(SEARCH($A49,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ISNUMBER(SEARCH($A49, INDEX(AsistenciaJetAdminConcatenada!$D:$D, MATCH(1, (AsistenciaJetAdminConcatenada!$A:$A=DL$2)*(AsistenciaJetAdminConcatenada!$B:$B=DL$1), 0)), 1))),  0.5, 0))</f>
        <v>0</v>
      </c>
      <c r="DM49" s="47">
        <f t="array" ref="DM49">IF(AND(ISNUMBER(MATCH(DM$2, AsistenciaJetAdminConcatenada!$A:$A, 0)), ISNUMBER(MATCH(DM$1, AsistenciaJetAdminConcatenada!$B:$B, 0)), ISNUMBER(SEARCH($A49,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ISNUMBER(SEARCH($A49, INDEX(AsistenciaJetAdminConcatenada!$D:$D, MATCH(1, (AsistenciaJetAdminConcatenada!$A:$A=DM$2)*(AsistenciaJetAdminConcatenada!$B:$B=DM$1), 0)), 1))),  0.5, 0))</f>
        <v>0</v>
      </c>
      <c r="DN49" s="47">
        <f t="array" ref="DN49">IF(AND(ISNUMBER(MATCH(DN$2, AsistenciaJetAdminConcatenada!$A:$A, 0)), ISNUMBER(MATCH(DN$1, AsistenciaJetAdminConcatenada!$B:$B, 0)), ISNUMBER(SEARCH($A49,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ISNUMBER(SEARCH($A49, INDEX(AsistenciaJetAdminConcatenada!$D:$D, MATCH(1, (AsistenciaJetAdminConcatenada!$A:$A=DN$2)*(AsistenciaJetAdminConcatenada!$B:$B=DN$1), 0)), 1))),  0.5, 0))</f>
        <v>0</v>
      </c>
      <c r="DO49" s="47">
        <f t="array" ref="DO49">IF(AND(ISNUMBER(MATCH(DO$2, AsistenciaJetAdminConcatenada!$A:$A, 0)), ISNUMBER(MATCH(DO$1, AsistenciaJetAdminConcatenada!$B:$B, 0)), ISNUMBER(SEARCH($A49,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ISNUMBER(SEARCH($A49, INDEX(AsistenciaJetAdminConcatenada!$D:$D, MATCH(1, (AsistenciaJetAdminConcatenada!$A:$A=DO$2)*(AsistenciaJetAdminConcatenada!$B:$B=DO$1), 0)), 1))),  0.5, 0))</f>
        <v>0</v>
      </c>
      <c r="DP49" s="47">
        <f t="array" ref="DP49">IF(AND(ISNUMBER(MATCH(DP$2, AsistenciaJetAdminConcatenada!$A:$A, 0)), ISNUMBER(MATCH(DP$1, AsistenciaJetAdminConcatenada!$B:$B, 0)), ISNUMBER(SEARCH($A49,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ISNUMBER(SEARCH($A49, INDEX(AsistenciaJetAdminConcatenada!$D:$D, MATCH(1, (AsistenciaJetAdminConcatenada!$A:$A=DP$2)*(AsistenciaJetAdminConcatenada!$B:$B=DP$1), 0)), 1))),  0.5, 0))</f>
        <v>0</v>
      </c>
      <c r="DQ49" s="47">
        <f t="array" ref="DQ49">IF(AND(ISNUMBER(MATCH(DQ$2, AsistenciaJetAdminConcatenada!$A:$A, 0)), ISNUMBER(MATCH(DQ$1, AsistenciaJetAdminConcatenada!$B:$B, 0)), ISNUMBER(SEARCH($A49,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ISNUMBER(SEARCH($A49, INDEX(AsistenciaJetAdminConcatenada!$D:$D, MATCH(1, (AsistenciaJetAdminConcatenada!$A:$A=DQ$2)*(AsistenciaJetAdminConcatenada!$B:$B=DQ$1), 0)), 1))),  0.5, 0))</f>
        <v>0</v>
      </c>
      <c r="DR49" s="47">
        <f t="array" ref="DR49">IF(AND(ISNUMBER(MATCH(DR$2, AsistenciaJetAdminConcatenada!$A:$A, 0)), ISNUMBER(MATCH(DR$1, AsistenciaJetAdminConcatenada!$B:$B, 0)), ISNUMBER(SEARCH($A49,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ISNUMBER(SEARCH($A49, INDEX(AsistenciaJetAdminConcatenada!$D:$D, MATCH(1, (AsistenciaJetAdminConcatenada!$A:$A=DR$2)*(AsistenciaJetAdminConcatenada!$B:$B=DR$1), 0)), 1))),  0.5, 0))</f>
        <v>0</v>
      </c>
      <c r="DS49" s="47">
        <f t="array" ref="DS49">IF(AND(ISNUMBER(MATCH(DS$2, AsistenciaJetAdminConcatenada!$A:$A, 0)), ISNUMBER(MATCH(DS$1, AsistenciaJetAdminConcatenada!$B:$B, 0)), ISNUMBER(SEARCH($A49,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ISNUMBER(SEARCH($A49, INDEX(AsistenciaJetAdminConcatenada!$D:$D, MATCH(1, (AsistenciaJetAdminConcatenada!$A:$A=DS$2)*(AsistenciaJetAdminConcatenada!$B:$B=DS$1), 0)), 1))),  0.5, 0))</f>
        <v>0</v>
      </c>
      <c r="DT49" s="47">
        <f t="array" ref="DT49">IF(AND(ISNUMBER(MATCH(DT$2, AsistenciaJetAdminConcatenada!$A:$A, 0)), ISNUMBER(MATCH(DT$1, AsistenciaJetAdminConcatenada!$B:$B, 0)), ISNUMBER(SEARCH($A49,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ISNUMBER(SEARCH($A49, INDEX(AsistenciaJetAdminConcatenada!$D:$D, MATCH(1, (AsistenciaJetAdminConcatenada!$A:$A=DT$2)*(AsistenciaJetAdminConcatenada!$B:$B=DT$1), 0)), 1))),  0.5, 0))</f>
        <v>0</v>
      </c>
      <c r="DU49" s="47">
        <f t="array" ref="DU49">IF(AND(ISNUMBER(MATCH(DU$2, AsistenciaJetAdminConcatenada!$A:$A, 0)), ISNUMBER(MATCH(DU$1, AsistenciaJetAdminConcatenada!$B:$B, 0)), ISNUMBER(SEARCH($A49,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ISNUMBER(SEARCH($A49, INDEX(AsistenciaJetAdminConcatenada!$D:$D, MATCH(1, (AsistenciaJetAdminConcatenada!$A:$A=DU$2)*(AsistenciaJetAdminConcatenada!$B:$B=DU$1), 0)), 1))),  0.5, 0))</f>
        <v>0</v>
      </c>
      <c r="DV49" s="47">
        <f t="array" ref="DV49">IF(AND(ISNUMBER(MATCH(DV$2, AsistenciaJetAdminConcatenada!$A:$A, 0)), ISNUMBER(MATCH(DV$1, AsistenciaJetAdminConcatenada!$B:$B, 0)), ISNUMBER(SEARCH($A49,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ISNUMBER(SEARCH($A49, INDEX(AsistenciaJetAdminConcatenada!$D:$D, MATCH(1, (AsistenciaJetAdminConcatenada!$A:$A=DV$2)*(AsistenciaJetAdminConcatenada!$B:$B=DV$1), 0)), 1))),  0.5, 0))</f>
        <v>0</v>
      </c>
      <c r="DW49" s="47">
        <f t="array" ref="DW49">IF(AND(ISNUMBER(MATCH(DW$2, AsistenciaJetAdminConcatenada!$A:$A, 0)), ISNUMBER(MATCH(DW$1, AsistenciaJetAdminConcatenada!$B:$B, 0)), ISNUMBER(SEARCH($A49,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ISNUMBER(SEARCH($A49, INDEX(AsistenciaJetAdminConcatenada!$D:$D, MATCH(1, (AsistenciaJetAdminConcatenada!$A:$A=DW$2)*(AsistenciaJetAdminConcatenada!$B:$B=DW$1), 0)), 1))),  0.5, 0))</f>
        <v>0</v>
      </c>
      <c r="DX49" s="47">
        <f t="array" ref="DX49">IF(AND(ISNUMBER(MATCH(DX$2, AsistenciaJetAdminConcatenada!$A:$A, 0)), ISNUMBER(MATCH(DX$1, AsistenciaJetAdminConcatenada!$B:$B, 0)), ISNUMBER(SEARCH($A49,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ISNUMBER(SEARCH($A49, INDEX(AsistenciaJetAdminConcatenada!$D:$D, MATCH(1, (AsistenciaJetAdminConcatenada!$A:$A=DX$2)*(AsistenciaJetAdminConcatenada!$B:$B=DX$1), 0)), 1))),  0.5, 0))</f>
        <v>0</v>
      </c>
      <c r="DY49" s="47">
        <f t="array" ref="DY49">IF(AND(ISNUMBER(MATCH(DY$2, AsistenciaJetAdminConcatenada!$A:$A, 0)), ISNUMBER(MATCH(DY$1, AsistenciaJetAdminConcatenada!$B:$B, 0)), ISNUMBER(SEARCH($A49,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ISNUMBER(SEARCH($A49, INDEX(AsistenciaJetAdminConcatenada!$D:$D, MATCH(1, (AsistenciaJetAdminConcatenada!$A:$A=DY$2)*(AsistenciaJetAdminConcatenada!$B:$B=DY$1), 0)), 1))),  0.5, 0))</f>
        <v>0</v>
      </c>
      <c r="DZ49" s="47">
        <f t="array" ref="DZ49">IF(AND(ISNUMBER(MATCH(DZ$2, AsistenciaJetAdminConcatenada!$A:$A, 0)), ISNUMBER(MATCH(DZ$1, AsistenciaJetAdminConcatenada!$B:$B, 0)), ISNUMBER(SEARCH($A49,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ISNUMBER(SEARCH($A49, INDEX(AsistenciaJetAdminConcatenada!$D:$D, MATCH(1, (AsistenciaJetAdminConcatenada!$A:$A=DZ$2)*(AsistenciaJetAdminConcatenada!$B:$B=DZ$1), 0)), 1))),  0.5, 0))</f>
        <v>0</v>
      </c>
      <c r="EA49" s="47">
        <f t="array" ref="EA49">IF(AND(ISNUMBER(MATCH(EA$2, AsistenciaJetAdminConcatenada!$A:$A, 0)), ISNUMBER(MATCH(EA$1, AsistenciaJetAdminConcatenada!$B:$B, 0)), ISNUMBER(SEARCH($A49,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ISNUMBER(SEARCH($A49, INDEX(AsistenciaJetAdminConcatenada!$D:$D, MATCH(1, (AsistenciaJetAdminConcatenada!$A:$A=EA$2)*(AsistenciaJetAdminConcatenada!$B:$B=EA$1), 0)), 1))),  0.5, 0))</f>
        <v>0</v>
      </c>
      <c r="EB49" s="47">
        <f t="array" ref="EB49">IF(AND(ISNUMBER(MATCH(EB$2, AsistenciaJetAdminConcatenada!$A:$A, 0)), ISNUMBER(MATCH(EB$1, AsistenciaJetAdminConcatenada!$B:$B, 0)), ISNUMBER(SEARCH($A49,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ISNUMBER(SEARCH($A49, INDEX(AsistenciaJetAdminConcatenada!$D:$D, MATCH(1, (AsistenciaJetAdminConcatenada!$A:$A=EB$2)*(AsistenciaJetAdminConcatenada!$B:$B=EB$1), 0)), 1))),  0.5, 0))</f>
        <v>0</v>
      </c>
      <c r="EC49" s="47">
        <f t="array" ref="EC49">IF(AND(ISNUMBER(MATCH(EC$2, AsistenciaJetAdminConcatenada!$A:$A, 0)), ISNUMBER(MATCH(EC$1, AsistenciaJetAdminConcatenada!$B:$B, 0)), ISNUMBER(SEARCH($A49,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ISNUMBER(SEARCH($A49, INDEX(AsistenciaJetAdminConcatenada!$D:$D, MATCH(1, (AsistenciaJetAdminConcatenada!$A:$A=EC$2)*(AsistenciaJetAdminConcatenada!$B:$B=EC$1), 0)), 1))),  0.5, 0))</f>
        <v>0</v>
      </c>
      <c r="ED49" s="47">
        <f t="array" ref="ED49">IF(AND(ISNUMBER(MATCH(ED$2, AsistenciaJetAdminConcatenada!$A:$A, 0)), ISNUMBER(MATCH(ED$1, AsistenciaJetAdminConcatenada!$B:$B, 0)), ISNUMBER(SEARCH($A49,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ISNUMBER(SEARCH($A49, INDEX(AsistenciaJetAdminConcatenada!$D:$D, MATCH(1, (AsistenciaJetAdminConcatenada!$A:$A=ED$2)*(AsistenciaJetAdminConcatenada!$B:$B=ED$1), 0)), 1))),  0.5, 0))</f>
        <v>0</v>
      </c>
      <c r="EE49" s="47">
        <f t="array" ref="EE49">IF(AND(ISNUMBER(MATCH(EE$2, AsistenciaJetAdminConcatenada!$A:$A, 0)), ISNUMBER(MATCH(EE$1, AsistenciaJetAdminConcatenada!$B:$B, 0)), ISNUMBER(SEARCH($A49,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ISNUMBER(SEARCH($A49, INDEX(AsistenciaJetAdminConcatenada!$D:$D, MATCH(1, (AsistenciaJetAdminConcatenada!$A:$A=EE$2)*(AsistenciaJetAdminConcatenada!$B:$B=EE$1), 0)), 1))),  0.5, 0))</f>
        <v>0</v>
      </c>
      <c r="EF49" s="47">
        <f t="array" ref="EF49">IF(AND(ISNUMBER(MATCH(EF$2, AsistenciaJetAdminConcatenada!$A:$A, 0)), ISNUMBER(MATCH(EF$1, AsistenciaJetAdminConcatenada!$B:$B, 0)), ISNUMBER(SEARCH($A49,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ISNUMBER(SEARCH($A49, INDEX(AsistenciaJetAdminConcatenada!$D:$D, MATCH(1, (AsistenciaJetAdminConcatenada!$A:$A=EF$2)*(AsistenciaJetAdminConcatenada!$B:$B=EF$1), 0)), 1))),  0.5, 0))</f>
        <v>0</v>
      </c>
      <c r="EG49" s="47">
        <f t="array" ref="EG49">IF(AND(ISNUMBER(MATCH(EG$2, AsistenciaJetAdminConcatenada!$A:$A, 0)), ISNUMBER(MATCH(EG$1, AsistenciaJetAdminConcatenada!$B:$B, 0)), ISNUMBER(SEARCH($A49,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ISNUMBER(SEARCH($A49, INDEX(AsistenciaJetAdminConcatenada!$D:$D, MATCH(1, (AsistenciaJetAdminConcatenada!$A:$A=EG$2)*(AsistenciaJetAdminConcatenada!$B:$B=EG$1), 0)), 1))),  0.5, 0))</f>
        <v>0</v>
      </c>
      <c r="EH49" s="47">
        <f t="array" ref="EH49">IF(AND(ISNUMBER(MATCH(EH$2, AsistenciaJetAdminConcatenada!$A:$A, 0)), ISNUMBER(MATCH(EH$1, AsistenciaJetAdminConcatenada!$B:$B, 0)), ISNUMBER(SEARCH($A49,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ISNUMBER(SEARCH($A49, INDEX(AsistenciaJetAdminConcatenada!$D:$D, MATCH(1, (AsistenciaJetAdminConcatenada!$A:$A=EH$2)*(AsistenciaJetAdminConcatenada!$B:$B=EH$1), 0)), 1))),  0.5, 0))</f>
        <v>0</v>
      </c>
      <c r="EI49" s="47">
        <f t="array" ref="EI49">IF(AND(ISNUMBER(MATCH(EI$2, AsistenciaJetAdminConcatenada!$A:$A, 0)), ISNUMBER(MATCH(EI$1, AsistenciaJetAdminConcatenada!$B:$B, 0)), ISNUMBER(SEARCH($A49,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ISNUMBER(SEARCH($A49, INDEX(AsistenciaJetAdminConcatenada!$D:$D, MATCH(1, (AsistenciaJetAdminConcatenada!$A:$A=EI$2)*(AsistenciaJetAdminConcatenada!$B:$B=EI$1), 0)), 1))),  0.5, 0))</f>
        <v>0</v>
      </c>
      <c r="EJ49" s="47">
        <f t="array" ref="EJ49">IF(AND(ISNUMBER(MATCH(EJ$2, AsistenciaJetAdminConcatenada!$A:$A, 0)), ISNUMBER(MATCH(EJ$1, AsistenciaJetAdminConcatenada!$B:$B, 0)), ISNUMBER(SEARCH($A49,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ISNUMBER(SEARCH($A49, INDEX(AsistenciaJetAdminConcatenada!$D:$D, MATCH(1, (AsistenciaJetAdminConcatenada!$A:$A=EJ$2)*(AsistenciaJetAdminConcatenada!$B:$B=EJ$1), 0)), 1))),  0.5, 0))</f>
        <v>0</v>
      </c>
      <c r="EK49" s="47">
        <f t="array" ref="EK49">IF(AND(ISNUMBER(MATCH(EK$2, AsistenciaJetAdminConcatenada!$A:$A, 0)), ISNUMBER(MATCH(EK$1, AsistenciaJetAdminConcatenada!$B:$B, 0)), ISNUMBER(SEARCH($A49,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ISNUMBER(SEARCH($A49, INDEX(AsistenciaJetAdminConcatenada!$D:$D, MATCH(1, (AsistenciaJetAdminConcatenada!$A:$A=EK$2)*(AsistenciaJetAdminConcatenada!$B:$B=EK$1), 0)), 1))),  0.5, 0))</f>
        <v>0</v>
      </c>
      <c r="EL49" s="47">
        <f t="array" ref="EL49">IF(AND(ISNUMBER(MATCH(EL$2, AsistenciaJetAdminConcatenada!$A:$A, 0)), ISNUMBER(MATCH(EL$1, AsistenciaJetAdminConcatenada!$B:$B, 0)), ISNUMBER(SEARCH($A49,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ISNUMBER(SEARCH($A49, INDEX(AsistenciaJetAdminConcatenada!$D:$D, MATCH(1, (AsistenciaJetAdminConcatenada!$A:$A=EL$2)*(AsistenciaJetAdminConcatenada!$B:$B=EL$1), 0)), 1))),  0.5, 0))</f>
        <v>0</v>
      </c>
      <c r="EM49" s="47">
        <f t="array" ref="EM49">IF(AND(ISNUMBER(MATCH(EM$2, AsistenciaJetAdminConcatenada!$A:$A, 0)), ISNUMBER(MATCH(EM$1, AsistenciaJetAdminConcatenada!$B:$B, 0)), ISNUMBER(SEARCH($A49,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ISNUMBER(SEARCH($A49, INDEX(AsistenciaJetAdminConcatenada!$D:$D, MATCH(1, (AsistenciaJetAdminConcatenada!$A:$A=EM$2)*(AsistenciaJetAdminConcatenada!$B:$B=EM$1), 0)), 1))),  0.5, 0))</f>
        <v>0</v>
      </c>
      <c r="EN49" s="47">
        <f t="array" ref="EN49">IF(AND(ISNUMBER(MATCH(EN$2, AsistenciaJetAdminConcatenada!$A:$A, 0)), ISNUMBER(MATCH(EN$1, AsistenciaJetAdminConcatenada!$B:$B, 0)), ISNUMBER(SEARCH($A49,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ISNUMBER(SEARCH($A49, INDEX(AsistenciaJetAdminConcatenada!$D:$D, MATCH(1, (AsistenciaJetAdminConcatenada!$A:$A=EN$2)*(AsistenciaJetAdminConcatenada!$B:$B=EN$1), 0)), 1))),  0.5, 0))</f>
        <v>0</v>
      </c>
      <c r="EO49" s="47">
        <f t="array" ref="EO49">IF(AND(ISNUMBER(MATCH(EO$2, AsistenciaJetAdminConcatenada!$A:$A, 0)), ISNUMBER(MATCH(EO$1, AsistenciaJetAdminConcatenada!$B:$B, 0)), ISNUMBER(SEARCH($A49,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ISNUMBER(SEARCH($A49, INDEX(AsistenciaJetAdminConcatenada!$D:$D, MATCH(1, (AsistenciaJetAdminConcatenada!$A:$A=EO$2)*(AsistenciaJetAdminConcatenada!$B:$B=EO$1), 0)), 1))),  0.5, 0))</f>
        <v>0</v>
      </c>
      <c r="EP49" s="47">
        <f t="array" ref="EP49">IF(AND(ISNUMBER(MATCH(EP$2, AsistenciaJetAdminConcatenada!$A:$A, 0)), ISNUMBER(MATCH(EP$1, AsistenciaJetAdminConcatenada!$B:$B, 0)), ISNUMBER(SEARCH($A49,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ISNUMBER(SEARCH($A49, INDEX(AsistenciaJetAdminConcatenada!$D:$D, MATCH(1, (AsistenciaJetAdminConcatenada!$A:$A=EP$2)*(AsistenciaJetAdminConcatenada!$B:$B=EP$1), 0)), 1))),  0.5, 0))</f>
        <v>0</v>
      </c>
      <c r="EQ49" s="47">
        <f t="array" ref="EQ49">IF(AND(ISNUMBER(MATCH(EQ$2, AsistenciaJetAdminConcatenada!$A:$A, 0)), ISNUMBER(MATCH(EQ$1, AsistenciaJetAdminConcatenada!$B:$B, 0)), ISNUMBER(SEARCH($A49,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ISNUMBER(SEARCH($A49, INDEX(AsistenciaJetAdminConcatenada!$D:$D, MATCH(1, (AsistenciaJetAdminConcatenada!$A:$A=EQ$2)*(AsistenciaJetAdminConcatenada!$B:$B=EQ$1), 0)), 1))),  0.5, 0))</f>
        <v>0</v>
      </c>
      <c r="ER49" s="47">
        <f t="array" ref="ER49">IF(AND(ISNUMBER(MATCH(ER$2, AsistenciaJetAdminConcatenada!$A:$A, 0)), ISNUMBER(MATCH(ER$1, AsistenciaJetAdminConcatenada!$B:$B, 0)), ISNUMBER(SEARCH($A49,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ISNUMBER(SEARCH($A49, INDEX(AsistenciaJetAdminConcatenada!$D:$D, MATCH(1, (AsistenciaJetAdminConcatenada!$A:$A=ER$2)*(AsistenciaJetAdminConcatenada!$B:$B=ER$1), 0)), 1))),  0.5, 0))</f>
        <v>0</v>
      </c>
      <c r="ES49" s="47">
        <f t="array" ref="ES49">IF(AND(ISNUMBER(MATCH(ES$2, AsistenciaJetAdminConcatenada!$A:$A, 0)), ISNUMBER(MATCH(ES$1, AsistenciaJetAdminConcatenada!$B:$B, 0)), ISNUMBER(SEARCH($A49,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ISNUMBER(SEARCH($A49, INDEX(AsistenciaJetAdminConcatenada!$D:$D, MATCH(1, (AsistenciaJetAdminConcatenada!$A:$A=ES$2)*(AsistenciaJetAdminConcatenada!$B:$B=ES$1), 0)), 1))),  0.5, 0))</f>
        <v>0</v>
      </c>
      <c r="ET49" s="47">
        <f t="array" ref="ET49">IF(AND(ISNUMBER(MATCH(ET$2, AsistenciaJetAdminConcatenada!$A:$A, 0)), ISNUMBER(MATCH(ET$1, AsistenciaJetAdminConcatenada!$B:$B, 0)), ISNUMBER(SEARCH($A49,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ISNUMBER(SEARCH($A49, INDEX(AsistenciaJetAdminConcatenada!$D:$D, MATCH(1, (AsistenciaJetAdminConcatenada!$A:$A=ET$2)*(AsistenciaJetAdminConcatenada!$B:$B=ET$1), 0)), 1))),  0.5, 0))</f>
        <v>0</v>
      </c>
      <c r="EU49" s="47">
        <f t="array" ref="EU49">IF(AND(ISNUMBER(MATCH(EU$2, AsistenciaJetAdminConcatenada!$A:$A, 0)), ISNUMBER(MATCH(EU$1, AsistenciaJetAdminConcatenada!$B:$B, 0)), ISNUMBER(SEARCH($A49,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ISNUMBER(SEARCH($A49, INDEX(AsistenciaJetAdminConcatenada!$D:$D, MATCH(1, (AsistenciaJetAdminConcatenada!$A:$A=EU$2)*(AsistenciaJetAdminConcatenada!$B:$B=EU$1), 0)), 1))),  0.5, 0))</f>
        <v>0</v>
      </c>
      <c r="EV49" s="47">
        <f t="array" ref="EV49">IF(AND(ISNUMBER(MATCH(EV$2, AsistenciaJetAdminConcatenada!$A:$A, 0)), ISNUMBER(MATCH(EV$1, AsistenciaJetAdminConcatenada!$B:$B, 0)), ISNUMBER(SEARCH($A49,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ISNUMBER(SEARCH($A49, INDEX(AsistenciaJetAdminConcatenada!$D:$D, MATCH(1, (AsistenciaJetAdminConcatenada!$A:$A=EV$2)*(AsistenciaJetAdminConcatenada!$B:$B=EV$1), 0)), 1))),  0.5, 0))</f>
        <v>0</v>
      </c>
      <c r="EW49" s="47">
        <f t="array" ref="EW49">IF(AND(ISNUMBER(MATCH(EW$2, AsistenciaJetAdminConcatenada!$A:$A, 0)), ISNUMBER(MATCH(EW$1, AsistenciaJetAdminConcatenada!$B:$B, 0)), ISNUMBER(SEARCH($A49,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ISNUMBER(SEARCH($A49, INDEX(AsistenciaJetAdminConcatenada!$D:$D, MATCH(1, (AsistenciaJetAdminConcatenada!$A:$A=EW$2)*(AsistenciaJetAdminConcatenada!$B:$B=EW$1), 0)), 1))),  0.5, 0))</f>
        <v>0</v>
      </c>
      <c r="EX49" s="47">
        <f t="array" ref="EX49">IF(AND(ISNUMBER(MATCH(EX$2, AsistenciaJetAdminConcatenada!$A:$A, 0)), ISNUMBER(MATCH(EX$1, AsistenciaJetAdminConcatenada!$B:$B, 0)), ISNUMBER(SEARCH($A49,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ISNUMBER(SEARCH($A49, INDEX(AsistenciaJetAdminConcatenada!$D:$D, MATCH(1, (AsistenciaJetAdminConcatenada!$A:$A=EX$2)*(AsistenciaJetAdminConcatenada!$B:$B=EX$1), 0)), 1))),  0.5, 0))</f>
        <v>0</v>
      </c>
      <c r="EY49" s="47">
        <f t="array" ref="EY49">IF(AND(ISNUMBER(MATCH(EY$2, AsistenciaJetAdminConcatenada!$A:$A, 0)), ISNUMBER(MATCH(EY$1, AsistenciaJetAdminConcatenada!$B:$B, 0)), ISNUMBER(SEARCH($A49,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ISNUMBER(SEARCH($A49, INDEX(AsistenciaJetAdminConcatenada!$D:$D, MATCH(1, (AsistenciaJetAdminConcatenada!$A:$A=EY$2)*(AsistenciaJetAdminConcatenada!$B:$B=EY$1), 0)), 1))),  0.5, 0))</f>
        <v>0</v>
      </c>
      <c r="EZ49" s="47">
        <f t="array" ref="EZ49">IF(AND(ISNUMBER(MATCH(EZ$2, AsistenciaJetAdminConcatenada!$A:$A, 0)), ISNUMBER(MATCH(EZ$1, AsistenciaJetAdminConcatenada!$B:$B, 0)), ISNUMBER(SEARCH($A49,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ISNUMBER(SEARCH($A49, INDEX(AsistenciaJetAdminConcatenada!$D:$D, MATCH(1, (AsistenciaJetAdminConcatenada!$A:$A=EZ$2)*(AsistenciaJetAdminConcatenada!$B:$B=EZ$1), 0)), 1))),  0.5, 0))</f>
        <v>0</v>
      </c>
      <c r="FA49" s="47">
        <f t="array" ref="FA49">IF(AND(ISNUMBER(MATCH(FA$2, AsistenciaJetAdminConcatenada!$A:$A, 0)), ISNUMBER(MATCH(FA$1, AsistenciaJetAdminConcatenada!$B:$B, 0)), ISNUMBER(SEARCH($A49,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ISNUMBER(SEARCH($A49, INDEX(AsistenciaJetAdminConcatenada!$D:$D, MATCH(1, (AsistenciaJetAdminConcatenada!$A:$A=FA$2)*(AsistenciaJetAdminConcatenada!$B:$B=FA$1), 0)), 1))),  0.5, 0))</f>
        <v>0</v>
      </c>
      <c r="FB49" s="47">
        <f t="array" ref="FB49">IF(AND(ISNUMBER(MATCH(FB$2, AsistenciaJetAdminConcatenada!$A:$A, 0)), ISNUMBER(MATCH(FB$1, AsistenciaJetAdminConcatenada!$B:$B, 0)), ISNUMBER(SEARCH($A49,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ISNUMBER(SEARCH($A49, INDEX(AsistenciaJetAdminConcatenada!$D:$D, MATCH(1, (AsistenciaJetAdminConcatenada!$A:$A=FB$2)*(AsistenciaJetAdminConcatenada!$B:$B=FB$1), 0)), 1))),  0.5, 0))</f>
        <v>0</v>
      </c>
      <c r="FC49" s="47">
        <f t="array" ref="FC49">IF(AND(ISNUMBER(MATCH(FC$2, AsistenciaJetAdminConcatenada!$A:$A, 0)), ISNUMBER(MATCH(FC$1, AsistenciaJetAdminConcatenada!$B:$B, 0)), ISNUMBER(SEARCH($A49,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ISNUMBER(SEARCH($A49, INDEX(AsistenciaJetAdminConcatenada!$D:$D, MATCH(1, (AsistenciaJetAdminConcatenada!$A:$A=FC$2)*(AsistenciaJetAdminConcatenada!$B:$B=FC$1), 0)), 1))),  0.5, 0))</f>
        <v>0</v>
      </c>
      <c r="FD49" s="47">
        <f t="array" ref="FD49">IF(AND(ISNUMBER(MATCH(FD$2, AsistenciaJetAdminConcatenada!$A:$A, 0)), ISNUMBER(MATCH(FD$1, AsistenciaJetAdminConcatenada!$B:$B, 0)), ISNUMBER(SEARCH($A49,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ISNUMBER(SEARCH($A49, INDEX(AsistenciaJetAdminConcatenada!$D:$D, MATCH(1, (AsistenciaJetAdminConcatenada!$A:$A=FD$2)*(AsistenciaJetAdminConcatenada!$B:$B=FD$1), 0)), 1))),  0.5, 0))</f>
        <v>0</v>
      </c>
      <c r="FE49" s="47">
        <f t="array" ref="FE49">IF(AND(ISNUMBER(MATCH(FE$2, AsistenciaJetAdminConcatenada!$A:$A, 0)), ISNUMBER(MATCH(FE$1, AsistenciaJetAdminConcatenada!$B:$B, 0)), ISNUMBER(SEARCH($A49,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ISNUMBER(SEARCH($A49, INDEX(AsistenciaJetAdminConcatenada!$D:$D, MATCH(1, (AsistenciaJetAdminConcatenada!$A:$A=FE$2)*(AsistenciaJetAdminConcatenada!$B:$B=FE$1), 0)), 1))),  0.5, 0))</f>
        <v>0</v>
      </c>
      <c r="FF49" s="47">
        <f t="array" ref="FF49">IF(AND(ISNUMBER(MATCH(FF$2, AsistenciaJetAdminConcatenada!$A:$A, 0)), ISNUMBER(MATCH(FF$1, AsistenciaJetAdminConcatenada!$B:$B, 0)), ISNUMBER(SEARCH($A49,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ISNUMBER(SEARCH($A49, INDEX(AsistenciaJetAdminConcatenada!$D:$D, MATCH(1, (AsistenciaJetAdminConcatenada!$A:$A=FF$2)*(AsistenciaJetAdminConcatenada!$B:$B=FF$1), 0)), 1))),  0.5, 0))</f>
        <v>0</v>
      </c>
      <c r="FG49" s="47">
        <f t="array" ref="FG49">IF(AND(ISNUMBER(MATCH(FG$2, AsistenciaJetAdminConcatenada!$A:$A, 0)), ISNUMBER(MATCH(FG$1, AsistenciaJetAdminConcatenada!$B:$B, 0)), ISNUMBER(SEARCH($A49,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ISNUMBER(SEARCH($A49, INDEX(AsistenciaJetAdminConcatenada!$D:$D, MATCH(1, (AsistenciaJetAdminConcatenada!$A:$A=FG$2)*(AsistenciaJetAdminConcatenada!$B:$B=FG$1), 0)), 1))),  0.5, 0))</f>
        <v>0</v>
      </c>
      <c r="FH49" s="47">
        <f t="array" ref="FH49">IF(AND(ISNUMBER(MATCH(FH$2, AsistenciaJetAdminConcatenada!$A:$A, 0)), ISNUMBER(MATCH(FH$1, AsistenciaJetAdminConcatenada!$B:$B, 0)), ISNUMBER(SEARCH($A49,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ISNUMBER(SEARCH($A49, INDEX(AsistenciaJetAdminConcatenada!$D:$D, MATCH(1, (AsistenciaJetAdminConcatenada!$A:$A=FH$2)*(AsistenciaJetAdminConcatenada!$B:$B=FH$1), 0)), 1))),  0.5, 0))</f>
        <v>0</v>
      </c>
      <c r="FI49" s="47">
        <f t="array" ref="FI49">IF(AND(ISNUMBER(MATCH(FI$2, AsistenciaJetAdminConcatenada!$A:$A, 0)), ISNUMBER(MATCH(FI$1, AsistenciaJetAdminConcatenada!$B:$B, 0)), ISNUMBER(SEARCH($A49,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ISNUMBER(SEARCH($A49, INDEX(AsistenciaJetAdminConcatenada!$D:$D, MATCH(1, (AsistenciaJetAdminConcatenada!$A:$A=FI$2)*(AsistenciaJetAdminConcatenada!$B:$B=FI$1), 0)), 1))),  0.5, 0))</f>
        <v>0</v>
      </c>
      <c r="FJ49" s="47">
        <f t="array" ref="FJ49">IF(AND(ISNUMBER(MATCH(FJ$2, AsistenciaJetAdminConcatenada!$A:$A, 0)), ISNUMBER(MATCH(FJ$1, AsistenciaJetAdminConcatenada!$B:$B, 0)), ISNUMBER(SEARCH($A49,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ISNUMBER(SEARCH($A49, INDEX(AsistenciaJetAdminConcatenada!$D:$D, MATCH(1, (AsistenciaJetAdminConcatenada!$A:$A=FJ$2)*(AsistenciaJetAdminConcatenada!$B:$B=FJ$1), 0)), 1))),  0.5, 0))</f>
        <v>0</v>
      </c>
      <c r="FK49" s="47">
        <f t="array" ref="FK49">IF(AND(ISNUMBER(MATCH(FK$2, AsistenciaJetAdminConcatenada!$A:$A, 0)), ISNUMBER(MATCH(FK$1, AsistenciaJetAdminConcatenada!$B:$B, 0)), ISNUMBER(SEARCH($A49,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ISNUMBER(SEARCH($A49, INDEX(AsistenciaJetAdminConcatenada!$D:$D, MATCH(1, (AsistenciaJetAdminConcatenada!$A:$A=FK$2)*(AsistenciaJetAdminConcatenada!$B:$B=FK$1), 0)), 1))),  0.5, 0))</f>
        <v>0</v>
      </c>
      <c r="FL49" s="47">
        <f t="array" ref="FL49">IF(AND(ISNUMBER(MATCH(FL$2, AsistenciaJetAdminConcatenada!$A:$A, 0)), ISNUMBER(MATCH(FL$1, AsistenciaJetAdminConcatenada!$B:$B, 0)), ISNUMBER(SEARCH($A49,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ISNUMBER(SEARCH($A49, INDEX(AsistenciaJetAdminConcatenada!$D:$D, MATCH(1, (AsistenciaJetAdminConcatenada!$A:$A=FL$2)*(AsistenciaJetAdminConcatenada!$B:$B=FL$1), 0)), 1))),  0.5, 0))</f>
        <v>0</v>
      </c>
      <c r="FM49" s="47">
        <f t="array" ref="FM49">IF(AND(ISNUMBER(MATCH(FM$2, AsistenciaJetAdminConcatenada!$A:$A, 0)), ISNUMBER(MATCH(FM$1, AsistenciaJetAdminConcatenada!$B:$B, 0)), ISNUMBER(SEARCH($A49,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ISNUMBER(SEARCH($A49, INDEX(AsistenciaJetAdminConcatenada!$D:$D, MATCH(1, (AsistenciaJetAdminConcatenada!$A:$A=FM$2)*(AsistenciaJetAdminConcatenada!$B:$B=FM$1), 0)), 1))),  0.5, 0))</f>
        <v>0</v>
      </c>
      <c r="FN49" s="47">
        <f t="array" ref="FN49">IF(AND(ISNUMBER(MATCH(FN$2, AsistenciaJetAdminConcatenada!$A:$A, 0)), ISNUMBER(MATCH(FN$1, AsistenciaJetAdminConcatenada!$B:$B, 0)), ISNUMBER(SEARCH($A49,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ISNUMBER(SEARCH($A49, INDEX(AsistenciaJetAdminConcatenada!$D:$D, MATCH(1, (AsistenciaJetAdminConcatenada!$A:$A=FN$2)*(AsistenciaJetAdminConcatenada!$B:$B=FN$1), 0)), 1))),  0.5, 0))</f>
        <v>0</v>
      </c>
      <c r="FO49" s="47">
        <f t="array" ref="FO49">IF(AND(ISNUMBER(MATCH(FO$2, AsistenciaJetAdminConcatenada!$A:$A, 0)), ISNUMBER(MATCH(FO$1, AsistenciaJetAdminConcatenada!$B:$B, 0)), ISNUMBER(SEARCH($A49,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ISNUMBER(SEARCH($A49, INDEX(AsistenciaJetAdminConcatenada!$D:$D, MATCH(1, (AsistenciaJetAdminConcatenada!$A:$A=FO$2)*(AsistenciaJetAdminConcatenada!$B:$B=FO$1), 0)), 1))),  0.5, 0))</f>
        <v>0</v>
      </c>
      <c r="FP49" s="47">
        <f t="array" ref="FP49">IF(AND(ISNUMBER(MATCH(FP$2, AsistenciaJetAdminConcatenada!$A:$A, 0)), ISNUMBER(MATCH(FP$1, AsistenciaJetAdminConcatenada!$B:$B, 0)), ISNUMBER(SEARCH($A49,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ISNUMBER(SEARCH($A49, INDEX(AsistenciaJetAdminConcatenada!$D:$D, MATCH(1, (AsistenciaJetAdminConcatenada!$A:$A=FP$2)*(AsistenciaJetAdminConcatenada!$B:$B=FP$1), 0)), 1))),  0.5, 0))</f>
        <v>0</v>
      </c>
      <c r="FQ49" s="47">
        <f t="array" ref="FQ49">IF(AND(ISNUMBER(MATCH(FQ$2, AsistenciaJetAdminConcatenada!$A:$A, 0)), ISNUMBER(MATCH(FQ$1, AsistenciaJetAdminConcatenada!$B:$B, 0)), ISNUMBER(SEARCH($A49,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ISNUMBER(SEARCH($A49, INDEX(AsistenciaJetAdminConcatenada!$D:$D, MATCH(1, (AsistenciaJetAdminConcatenada!$A:$A=FQ$2)*(AsistenciaJetAdminConcatenada!$B:$B=FQ$1), 0)), 1))),  0.5, 0))</f>
        <v>0</v>
      </c>
      <c r="FR49" s="47">
        <f t="array" ref="FR49">IF(AND(ISNUMBER(MATCH(FR$2, AsistenciaJetAdminConcatenada!$A:$A, 0)), ISNUMBER(MATCH(FR$1, AsistenciaJetAdminConcatenada!$B:$B, 0)), ISNUMBER(SEARCH($A49,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ISNUMBER(SEARCH($A49, INDEX(AsistenciaJetAdminConcatenada!$D:$D, MATCH(1, (AsistenciaJetAdminConcatenada!$A:$A=FR$2)*(AsistenciaJetAdminConcatenada!$B:$B=FR$1), 0)), 1))),  0.5, 0))</f>
        <v>0</v>
      </c>
      <c r="FS49" s="47">
        <f t="array" ref="FS49">IF(AND(ISNUMBER(MATCH(FS$2, AsistenciaJetAdminConcatenada!$A:$A, 0)), ISNUMBER(MATCH(FS$1, AsistenciaJetAdminConcatenada!$B:$B, 0)), ISNUMBER(SEARCH($A49,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ISNUMBER(SEARCH($A49, INDEX(AsistenciaJetAdminConcatenada!$D:$D, MATCH(1, (AsistenciaJetAdminConcatenada!$A:$A=FS$2)*(AsistenciaJetAdminConcatenada!$B:$B=FS$1), 0)), 1))),  0.5, 0))</f>
        <v>0</v>
      </c>
      <c r="FT49" s="47">
        <f t="array" ref="FT49">IF(AND(ISNUMBER(MATCH(FT$2, AsistenciaJetAdminConcatenada!$A:$A, 0)), ISNUMBER(MATCH(FT$1, AsistenciaJetAdminConcatenada!$B:$B, 0)), ISNUMBER(SEARCH($A49,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ISNUMBER(SEARCH($A49, INDEX(AsistenciaJetAdminConcatenada!$D:$D, MATCH(1, (AsistenciaJetAdminConcatenada!$A:$A=FT$2)*(AsistenciaJetAdminConcatenada!$B:$B=FT$1), 0)), 1))),  0.5, 0))</f>
        <v>0</v>
      </c>
      <c r="FU49" s="47">
        <f t="array" ref="FU49">IF(AND(ISNUMBER(MATCH(FU$2, AsistenciaJetAdminConcatenada!$A:$A, 0)), ISNUMBER(MATCH(FU$1, AsistenciaJetAdminConcatenada!$B:$B, 0)), ISNUMBER(SEARCH($A49,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ISNUMBER(SEARCH($A49, INDEX(AsistenciaJetAdminConcatenada!$D:$D, MATCH(1, (AsistenciaJetAdminConcatenada!$A:$A=FU$2)*(AsistenciaJetAdminConcatenada!$B:$B=FU$1), 0)), 1))),  0.5, 0))</f>
        <v>0</v>
      </c>
      <c r="FV49" s="47">
        <f t="array" ref="FV49">IF(AND(ISNUMBER(MATCH(FV$2, AsistenciaJetAdminConcatenada!$A:$A, 0)), ISNUMBER(MATCH(FV$1, AsistenciaJetAdminConcatenada!$B:$B, 0)), ISNUMBER(SEARCH($A49,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ISNUMBER(SEARCH($A49, INDEX(AsistenciaJetAdminConcatenada!$D:$D, MATCH(1, (AsistenciaJetAdminConcatenada!$A:$A=FV$2)*(AsistenciaJetAdminConcatenada!$B:$B=FV$1), 0)), 1))),  0.5, 0))</f>
        <v>0</v>
      </c>
      <c r="FW49" s="47">
        <f t="array" ref="FW49">IF(AND(ISNUMBER(MATCH(FW$2, AsistenciaJetAdminConcatenada!$A:$A, 0)), ISNUMBER(MATCH(FW$1, AsistenciaJetAdminConcatenada!$B:$B, 0)), ISNUMBER(SEARCH($A49,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ISNUMBER(SEARCH($A49, INDEX(AsistenciaJetAdminConcatenada!$D:$D, MATCH(1, (AsistenciaJetAdminConcatenada!$A:$A=FW$2)*(AsistenciaJetAdminConcatenada!$B:$B=FW$1), 0)), 1))),  0.5, 0))</f>
        <v>0</v>
      </c>
      <c r="FX49" s="47">
        <f t="array" ref="FX49">IF(AND(ISNUMBER(MATCH(FX$2, AsistenciaJetAdminConcatenada!$A:$A, 0)), ISNUMBER(MATCH(FX$1, AsistenciaJetAdminConcatenada!$B:$B, 0)), ISNUMBER(SEARCH($A49,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ISNUMBER(SEARCH($A49, INDEX(AsistenciaJetAdminConcatenada!$D:$D, MATCH(1, (AsistenciaJetAdminConcatenada!$A:$A=FX$2)*(AsistenciaJetAdminConcatenada!$B:$B=FX$1), 0)), 1))),  0.5, 0))</f>
        <v>0</v>
      </c>
      <c r="FY49" s="47">
        <f t="array" ref="FY49">IF(AND(ISNUMBER(MATCH(FY$2, AsistenciaJetAdminConcatenada!$A:$A, 0)), ISNUMBER(MATCH(FY$1, AsistenciaJetAdminConcatenada!$B:$B, 0)), ISNUMBER(SEARCH($A49,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ISNUMBER(SEARCH($A49, INDEX(AsistenciaJetAdminConcatenada!$D:$D, MATCH(1, (AsistenciaJetAdminConcatenada!$A:$A=FY$2)*(AsistenciaJetAdminConcatenada!$B:$B=FY$1), 0)), 1))),  0.5, 0))</f>
        <v>0</v>
      </c>
      <c r="FZ49" s="47">
        <f t="array" ref="FZ49">IF(AND(ISNUMBER(MATCH(FZ$2, AsistenciaJetAdminConcatenada!$A:$A, 0)), ISNUMBER(MATCH(FZ$1, AsistenciaJetAdminConcatenada!$B:$B, 0)), ISNUMBER(SEARCH($A49,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ISNUMBER(SEARCH($A49, INDEX(AsistenciaJetAdminConcatenada!$D:$D, MATCH(1, (AsistenciaJetAdminConcatenada!$A:$A=FZ$2)*(AsistenciaJetAdminConcatenada!$B:$B=FZ$1), 0)), 1))),  0.5, 0))</f>
        <v>0</v>
      </c>
      <c r="GA49" s="47">
        <f t="array" ref="GA49">IF(AND(ISNUMBER(MATCH(GA$2, AsistenciaJetAdminConcatenada!$A:$A, 0)), ISNUMBER(MATCH(GA$1, AsistenciaJetAdminConcatenada!$B:$B, 0)), ISNUMBER(SEARCH($A49,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ISNUMBER(SEARCH($A49, INDEX(AsistenciaJetAdminConcatenada!$D:$D, MATCH(1, (AsistenciaJetAdminConcatenada!$A:$A=GA$2)*(AsistenciaJetAdminConcatenada!$B:$B=GA$1), 0)), 1))),  0.5, 0))</f>
        <v>0</v>
      </c>
      <c r="GB49" s="47">
        <f t="array" ref="GB49">IF(AND(ISNUMBER(MATCH(GB$2, AsistenciaJetAdminConcatenada!$A:$A, 0)), ISNUMBER(MATCH(GB$1, AsistenciaJetAdminConcatenada!$B:$B, 0)), ISNUMBER(SEARCH($A49,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ISNUMBER(SEARCH($A49, INDEX(AsistenciaJetAdminConcatenada!$D:$D, MATCH(1, (AsistenciaJetAdminConcatenada!$A:$A=GB$2)*(AsistenciaJetAdminConcatenada!$B:$B=GB$1), 0)), 1))),  0.5, 0))</f>
        <v>0</v>
      </c>
      <c r="GC49" s="47">
        <f t="array" ref="GC49">IF(AND(ISNUMBER(MATCH(GC$2, AsistenciaJetAdminConcatenada!$A:$A, 0)), ISNUMBER(MATCH(GC$1, AsistenciaJetAdminConcatenada!$B:$B, 0)), ISNUMBER(SEARCH($A49,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ISNUMBER(SEARCH($A49, INDEX(AsistenciaJetAdminConcatenada!$D:$D, MATCH(1, (AsistenciaJetAdminConcatenada!$A:$A=GC$2)*(AsistenciaJetAdminConcatenada!$B:$B=GC$1), 0)), 1))),  0.5, 0))</f>
        <v>0</v>
      </c>
      <c r="GD49" s="47">
        <f t="array" ref="GD49">IF(AND(ISNUMBER(MATCH(GD$2, AsistenciaJetAdminConcatenada!$A:$A, 0)), ISNUMBER(MATCH(GD$1, AsistenciaJetAdminConcatenada!$B:$B, 0)), ISNUMBER(SEARCH($A49,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ISNUMBER(SEARCH($A49, INDEX(AsistenciaJetAdminConcatenada!$D:$D, MATCH(1, (AsistenciaJetAdminConcatenada!$A:$A=GD$2)*(AsistenciaJetAdminConcatenada!$B:$B=GD$1), 0)), 1))),  0.5, 0))</f>
        <v>0</v>
      </c>
      <c r="GE49" s="47">
        <f t="array" ref="GE49">IF(AND(ISNUMBER(MATCH(GE$2, AsistenciaJetAdminConcatenada!$A:$A, 0)), ISNUMBER(MATCH(GE$1, AsistenciaJetAdminConcatenada!$B:$B, 0)), ISNUMBER(SEARCH($A49,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ISNUMBER(SEARCH($A49, INDEX(AsistenciaJetAdminConcatenada!$D:$D, MATCH(1, (AsistenciaJetAdminConcatenada!$A:$A=GE$2)*(AsistenciaJetAdminConcatenada!$B:$B=GE$1), 0)), 1))),  0.5, 0))</f>
        <v>0</v>
      </c>
      <c r="GF49" s="47">
        <f t="array" ref="GF49">IF(AND(ISNUMBER(MATCH(GF$2, AsistenciaJetAdminConcatenada!$A:$A, 0)), ISNUMBER(MATCH(GF$1, AsistenciaJetAdminConcatenada!$B:$B, 0)), ISNUMBER(SEARCH($A49,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ISNUMBER(SEARCH($A49, INDEX(AsistenciaJetAdminConcatenada!$D:$D, MATCH(1, (AsistenciaJetAdminConcatenada!$A:$A=GF$2)*(AsistenciaJetAdminConcatenada!$B:$B=GF$1), 0)), 1))),  0.5, 0))</f>
        <v>0</v>
      </c>
      <c r="GG49" s="47">
        <f t="array" ref="GG49">IF(AND(ISNUMBER(MATCH(GG$2, AsistenciaJetAdminConcatenada!$A:$A, 0)), ISNUMBER(MATCH(GG$1, AsistenciaJetAdminConcatenada!$B:$B, 0)), ISNUMBER(SEARCH($A49,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ISNUMBER(SEARCH($A49, INDEX(AsistenciaJetAdminConcatenada!$D:$D, MATCH(1, (AsistenciaJetAdminConcatenada!$A:$A=GG$2)*(AsistenciaJetAdminConcatenada!$B:$B=GG$1), 0)), 1))),  0.5, 0))</f>
        <v>0</v>
      </c>
      <c r="GH49" s="47">
        <f t="array" ref="GH49">IF(AND(ISNUMBER(MATCH(GH$2, AsistenciaJetAdminConcatenada!$A:$A, 0)), ISNUMBER(MATCH(GH$1, AsistenciaJetAdminConcatenada!$B:$B, 0)), ISNUMBER(SEARCH($A49,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ISNUMBER(SEARCH($A49, INDEX(AsistenciaJetAdminConcatenada!$D:$D, MATCH(1, (AsistenciaJetAdminConcatenada!$A:$A=GH$2)*(AsistenciaJetAdminConcatenada!$B:$B=GH$1), 0)), 1))),  0.5, 0))</f>
        <v>0</v>
      </c>
      <c r="GI49" s="47">
        <f t="array" ref="GI49">IF(AND(ISNUMBER(MATCH(GI$2, AsistenciaJetAdminConcatenada!$A:$A, 0)), ISNUMBER(MATCH(GI$1, AsistenciaJetAdminConcatenada!$B:$B, 0)), ISNUMBER(SEARCH($A49,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ISNUMBER(SEARCH($A49, INDEX(AsistenciaJetAdminConcatenada!$D:$D, MATCH(1, (AsistenciaJetAdminConcatenada!$A:$A=GI$2)*(AsistenciaJetAdminConcatenada!$B:$B=GI$1), 0)), 1))),  0.5, 0))</f>
        <v>0</v>
      </c>
      <c r="GJ49" s="47">
        <f t="array" ref="GJ49">IF(AND(ISNUMBER(MATCH(GJ$2, AsistenciaJetAdminConcatenada!$A:$A, 0)), ISNUMBER(MATCH(GJ$1, AsistenciaJetAdminConcatenada!$B:$B, 0)), ISNUMBER(SEARCH($A49,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ISNUMBER(SEARCH($A49, INDEX(AsistenciaJetAdminConcatenada!$D:$D, MATCH(1, (AsistenciaJetAdminConcatenada!$A:$A=GJ$2)*(AsistenciaJetAdminConcatenada!$B:$B=GJ$1), 0)), 1))),  0.5, 0))</f>
        <v>0</v>
      </c>
      <c r="GK49" s="47">
        <f t="array" ref="GK49">IF(AND(ISNUMBER(MATCH(GK$2, AsistenciaJetAdminConcatenada!$A:$A, 0)), ISNUMBER(MATCH(GK$1, AsistenciaJetAdminConcatenada!$B:$B, 0)), ISNUMBER(SEARCH($A49,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ISNUMBER(SEARCH($A49, INDEX(AsistenciaJetAdminConcatenada!$D:$D, MATCH(1, (AsistenciaJetAdminConcatenada!$A:$A=GK$2)*(AsistenciaJetAdminConcatenada!$B:$B=GK$1), 0)), 1))),  0.5, 0))</f>
        <v>0</v>
      </c>
      <c r="GL49" s="47">
        <f t="array" ref="GL49">IF(AND(ISNUMBER(MATCH(GL$2, AsistenciaJetAdminConcatenada!$A:$A, 0)), ISNUMBER(MATCH(GL$1, AsistenciaJetAdminConcatenada!$B:$B, 0)), ISNUMBER(SEARCH($A49,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ISNUMBER(SEARCH($A49, INDEX(AsistenciaJetAdminConcatenada!$D:$D, MATCH(1, (AsistenciaJetAdminConcatenada!$A:$A=GL$2)*(AsistenciaJetAdminConcatenada!$B:$B=GL$1), 0)), 1))),  0.5, 0))</f>
        <v>0</v>
      </c>
      <c r="GM49" s="47">
        <f t="array" ref="GM49">IF(AND(ISNUMBER(MATCH(GM$2, AsistenciaJetAdminConcatenada!$A:$A, 0)), ISNUMBER(MATCH(GM$1, AsistenciaJetAdminConcatenada!$B:$B, 0)), ISNUMBER(SEARCH($A49,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ISNUMBER(SEARCH($A49, INDEX(AsistenciaJetAdminConcatenada!$D:$D, MATCH(1, (AsistenciaJetAdminConcatenada!$A:$A=GM$2)*(AsistenciaJetAdminConcatenada!$B:$B=GM$1), 0)), 1))),  0.5, 0))</f>
        <v>0</v>
      </c>
      <c r="GN49" s="47">
        <f t="array" ref="GN49">IF(AND(ISNUMBER(MATCH(GN$2, AsistenciaJetAdminConcatenada!$A:$A, 0)), ISNUMBER(MATCH(GN$1, AsistenciaJetAdminConcatenada!$B:$B, 0)), ISNUMBER(SEARCH($A49,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ISNUMBER(SEARCH($A49, INDEX(AsistenciaJetAdminConcatenada!$D:$D, MATCH(1, (AsistenciaJetAdminConcatenada!$A:$A=GN$2)*(AsistenciaJetAdminConcatenada!$B:$B=GN$1), 0)), 1))),  0.5, 0))</f>
        <v>0</v>
      </c>
      <c r="GO49" s="47">
        <f t="array" ref="GO49">IF(AND(ISNUMBER(MATCH(GO$2, AsistenciaJetAdminConcatenada!$A:$A, 0)), ISNUMBER(MATCH(GO$1, AsistenciaJetAdminConcatenada!$B:$B, 0)), ISNUMBER(SEARCH($A49,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ISNUMBER(SEARCH($A49, INDEX(AsistenciaJetAdminConcatenada!$D:$D, MATCH(1, (AsistenciaJetAdminConcatenada!$A:$A=GO$2)*(AsistenciaJetAdminConcatenada!$B:$B=GO$1), 0)), 1))),  0.5, 0))</f>
        <v>0</v>
      </c>
      <c r="GP49" s="47">
        <f t="array" ref="GP49">IF(AND(ISNUMBER(MATCH(GP$2, AsistenciaJetAdminConcatenada!$A:$A, 0)), ISNUMBER(MATCH(GP$1, AsistenciaJetAdminConcatenada!$B:$B, 0)), ISNUMBER(SEARCH($A49,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ISNUMBER(SEARCH($A49, INDEX(AsistenciaJetAdminConcatenada!$D:$D, MATCH(1, (AsistenciaJetAdminConcatenada!$A:$A=GP$2)*(AsistenciaJetAdminConcatenada!$B:$B=GP$1), 0)), 1))),  0.5, 0))</f>
        <v>0</v>
      </c>
      <c r="GQ49" s="47">
        <f t="array" ref="GQ49">IF(AND(ISNUMBER(MATCH(GQ$2, AsistenciaJetAdminConcatenada!$A:$A, 0)), ISNUMBER(MATCH(GQ$1, AsistenciaJetAdminConcatenada!$B:$B, 0)), ISNUMBER(SEARCH($A49,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ISNUMBER(SEARCH($A49, INDEX(AsistenciaJetAdminConcatenada!$D:$D, MATCH(1, (AsistenciaJetAdminConcatenada!$A:$A=GQ$2)*(AsistenciaJetAdminConcatenada!$B:$B=GQ$1), 0)), 1))),  0.5, 0))</f>
        <v>0</v>
      </c>
      <c r="GR49" s="47">
        <f t="array" ref="GR49">IF(AND(ISNUMBER(MATCH(GR$2, AsistenciaJetAdminConcatenada!$A:$A, 0)), ISNUMBER(MATCH(GR$1, AsistenciaJetAdminConcatenada!$B:$B, 0)), ISNUMBER(SEARCH($A49,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ISNUMBER(SEARCH($A49, INDEX(AsistenciaJetAdminConcatenada!$D:$D, MATCH(1, (AsistenciaJetAdminConcatenada!$A:$A=GR$2)*(AsistenciaJetAdminConcatenada!$B:$B=GR$1), 0)), 1))),  0.5, 0))</f>
        <v>0</v>
      </c>
      <c r="GS49" s="47">
        <f t="array" ref="GS49">IF(AND(ISNUMBER(MATCH(GS$2, AsistenciaJetAdminConcatenada!$A:$A, 0)), ISNUMBER(MATCH(GS$1, AsistenciaJetAdminConcatenada!$B:$B, 0)), ISNUMBER(SEARCH($A49,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ISNUMBER(SEARCH($A49, INDEX(AsistenciaJetAdminConcatenada!$D:$D, MATCH(1, (AsistenciaJetAdminConcatenada!$A:$A=GS$2)*(AsistenciaJetAdminConcatenada!$B:$B=GS$1), 0)), 1))),  0.5, 0))</f>
        <v>0</v>
      </c>
      <c r="GT49" s="47">
        <f t="array" ref="GT49">IF(AND(ISNUMBER(MATCH(GT$2, AsistenciaJetAdminConcatenada!$A:$A, 0)), ISNUMBER(MATCH(GT$1, AsistenciaJetAdminConcatenada!$B:$B, 0)), ISNUMBER(SEARCH($A49,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ISNUMBER(SEARCH($A49, INDEX(AsistenciaJetAdminConcatenada!$D:$D, MATCH(1, (AsistenciaJetAdminConcatenada!$A:$A=GT$2)*(AsistenciaJetAdminConcatenada!$B:$B=GT$1), 0)), 1))),  0.5, 0))</f>
        <v>0</v>
      </c>
      <c r="GU49" s="47">
        <f t="array" ref="GU49">IF(AND(ISNUMBER(MATCH(GU$2, AsistenciaJetAdminConcatenada!$A:$A, 0)), ISNUMBER(MATCH(GU$1, AsistenciaJetAdminConcatenada!$B:$B, 0)), ISNUMBER(SEARCH($A49,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ISNUMBER(SEARCH($A49, INDEX(AsistenciaJetAdminConcatenada!$D:$D, MATCH(1, (AsistenciaJetAdminConcatenada!$A:$A=GU$2)*(AsistenciaJetAdminConcatenada!$B:$B=GU$1), 0)), 1))),  0.5, 0))</f>
        <v>0</v>
      </c>
      <c r="GV49" s="47">
        <f t="array" ref="GV49">IF(AND(ISNUMBER(MATCH(GV$2, AsistenciaJetAdminConcatenada!$A:$A, 0)), ISNUMBER(MATCH(GV$1, AsistenciaJetAdminConcatenada!$B:$B, 0)), ISNUMBER(SEARCH($A49,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ISNUMBER(SEARCH($A49, INDEX(AsistenciaJetAdminConcatenada!$D:$D, MATCH(1, (AsistenciaJetAdminConcatenada!$A:$A=GV$2)*(AsistenciaJetAdminConcatenada!$B:$B=GV$1), 0)), 1))),  0.5, 0))</f>
        <v>0</v>
      </c>
      <c r="GW49" s="47">
        <f t="array" ref="GW49">IF(AND(ISNUMBER(MATCH(GW$2, AsistenciaJetAdminConcatenada!$A:$A, 0)), ISNUMBER(MATCH(GW$1, AsistenciaJetAdminConcatenada!$B:$B, 0)), ISNUMBER(SEARCH($A49,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ISNUMBER(SEARCH($A49, INDEX(AsistenciaJetAdminConcatenada!$D:$D, MATCH(1, (AsistenciaJetAdminConcatenada!$A:$A=GW$2)*(AsistenciaJetAdminConcatenada!$B:$B=GW$1), 0)), 1))),  0.5, 0))</f>
        <v>0</v>
      </c>
      <c r="GX49" s="47">
        <f t="array" ref="GX49">IF(AND(ISNUMBER(MATCH(GX$2, AsistenciaJetAdminConcatenada!$A:$A, 0)), ISNUMBER(MATCH(GX$1, AsistenciaJetAdminConcatenada!$B:$B, 0)), ISNUMBER(SEARCH($A49,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ISNUMBER(SEARCH($A49, INDEX(AsistenciaJetAdminConcatenada!$D:$D, MATCH(1, (AsistenciaJetAdminConcatenada!$A:$A=GX$2)*(AsistenciaJetAdminConcatenada!$B:$B=GX$1), 0)), 1))),  0.5, 0))</f>
        <v>0</v>
      </c>
      <c r="GY49" s="47">
        <f t="array" ref="GY49">IF(AND(ISNUMBER(MATCH(GY$2, AsistenciaJetAdminConcatenada!$A:$A, 0)), ISNUMBER(MATCH(GY$1, AsistenciaJetAdminConcatenada!$B:$B, 0)), ISNUMBER(SEARCH($A49,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ISNUMBER(SEARCH($A49, INDEX(AsistenciaJetAdminConcatenada!$D:$D, MATCH(1, (AsistenciaJetAdminConcatenada!$A:$A=GY$2)*(AsistenciaJetAdminConcatenada!$B:$B=GY$1), 0)), 1))),  0.5, 0))</f>
        <v>0</v>
      </c>
      <c r="GZ49" s="47">
        <f t="array" ref="GZ49">IF(AND(ISNUMBER(MATCH(GZ$2, AsistenciaJetAdminConcatenada!$A:$A, 0)), ISNUMBER(MATCH(GZ$1, AsistenciaJetAdminConcatenada!$B:$B, 0)), ISNUMBER(SEARCH($A49,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ISNUMBER(SEARCH($A49, INDEX(AsistenciaJetAdminConcatenada!$D:$D, MATCH(1, (AsistenciaJetAdminConcatenada!$A:$A=GZ$2)*(AsistenciaJetAdminConcatenada!$B:$B=GZ$1), 0)), 1))),  0.5, 0))</f>
        <v>0</v>
      </c>
      <c r="HA49" s="47">
        <f t="array" ref="HA49">IF(AND(ISNUMBER(MATCH(HA$2, AsistenciaJetAdminConcatenada!$A:$A, 0)), ISNUMBER(MATCH(HA$1, AsistenciaJetAdminConcatenada!$B:$B, 0)), ISNUMBER(SEARCH($A49,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ISNUMBER(SEARCH($A49, INDEX(AsistenciaJetAdminConcatenada!$D:$D, MATCH(1, (AsistenciaJetAdminConcatenada!$A:$A=HA$2)*(AsistenciaJetAdminConcatenada!$B:$B=HA$1), 0)), 1))),  0.5, 0))</f>
        <v>0</v>
      </c>
      <c r="HB49" s="47">
        <f t="array" ref="HB49">IF(AND(ISNUMBER(MATCH(HB$2, AsistenciaJetAdminConcatenada!$A:$A, 0)), ISNUMBER(MATCH(HB$1, AsistenciaJetAdminConcatenada!$B:$B, 0)), ISNUMBER(SEARCH($A49,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ISNUMBER(SEARCH($A49, INDEX(AsistenciaJetAdminConcatenada!$D:$D, MATCH(1, (AsistenciaJetAdminConcatenada!$A:$A=HB$2)*(AsistenciaJetAdminConcatenada!$B:$B=HB$1), 0)), 1))),  0.5, 0))</f>
        <v>0</v>
      </c>
      <c r="HC49" s="47">
        <f t="array" ref="HC49">IF(AND(ISNUMBER(MATCH(HC$2, AsistenciaJetAdminConcatenada!$A:$A, 0)), ISNUMBER(MATCH(HC$1, AsistenciaJetAdminConcatenada!$B:$B, 0)), ISNUMBER(SEARCH($A49,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ISNUMBER(SEARCH($A49, INDEX(AsistenciaJetAdminConcatenada!$D:$D, MATCH(1, (AsistenciaJetAdminConcatenada!$A:$A=HC$2)*(AsistenciaJetAdminConcatenada!$B:$B=HC$1), 0)), 1))),  0.5, 0))</f>
        <v>0</v>
      </c>
    </row>
    <row r="50" ht="29.25" customHeight="1">
      <c r="A50" s="3">
        <v>219.0</v>
      </c>
      <c r="B50" s="4" t="s">
        <v>584</v>
      </c>
      <c r="C50" s="47">
        <f>SUM(D50:HC50) + ActividadesEspeciales!C50</f>
        <v>74.5</v>
      </c>
      <c r="D50" s="47">
        <f t="array" ref="D50">IF(AND(ISNUMBER(MATCH(D$2, AsistenciaJetAdminConcatenada!$A:$A, 0)), ISNUMBER(MATCH(D$1, AsistenciaJetAdminConcatenada!$B:$B, 0)), ISNUMBER(SEARCH($A50,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ISNUMBER(SEARCH($A50, INDEX(AsistenciaJetAdminConcatenada!$D:$D, MATCH(1, (AsistenciaJetAdminConcatenada!$A:$A=D$2)*(AsistenciaJetAdminConcatenada!$B:$B=D$1), 0)), 1))),  0.5, 0))</f>
        <v>0</v>
      </c>
      <c r="E50" s="47">
        <f t="array" ref="E50">IF(AND(ISNUMBER(MATCH(E$2, AsistenciaJetAdminConcatenada!$A:$A, 0)), ISNUMBER(MATCH(E$1, AsistenciaJetAdminConcatenada!$B:$B, 0)), ISNUMBER(SEARCH($A50,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ISNUMBER(SEARCH($A50, INDEX(AsistenciaJetAdminConcatenada!$D:$D, MATCH(1, (AsistenciaJetAdminConcatenada!$A:$A=E$2)*(AsistenciaJetAdminConcatenada!$B:$B=E$1), 0)), 1))),  0.5, 0))</f>
        <v>1</v>
      </c>
      <c r="F50" s="47">
        <f t="array" ref="F50">IF(AND(ISNUMBER(MATCH(F$2, AsistenciaJetAdminConcatenada!$A:$A, 0)), ISNUMBER(MATCH(F$1, AsistenciaJetAdminConcatenada!$B:$B, 0)), ISNUMBER(SEARCH($A50,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ISNUMBER(SEARCH($A50, INDEX(AsistenciaJetAdminConcatenada!$D:$D, MATCH(1, (AsistenciaJetAdminConcatenada!$A:$A=F$2)*(AsistenciaJetAdminConcatenada!$B:$B=F$1), 0)), 1))),  0.5, 0))</f>
        <v>1</v>
      </c>
      <c r="G50" s="47">
        <f t="array" ref="G50">IF(AND(ISNUMBER(MATCH(G$2, AsistenciaJetAdminConcatenada!$A:$A, 0)), ISNUMBER(MATCH(G$1, AsistenciaJetAdminConcatenada!$B:$B, 0)), ISNUMBER(SEARCH($A50,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ISNUMBER(SEARCH($A50, INDEX(AsistenciaJetAdminConcatenada!$D:$D, MATCH(1, (AsistenciaJetAdminConcatenada!$A:$A=G$2)*(AsistenciaJetAdminConcatenada!$B:$B=G$1), 0)), 1))),  0.5, 0))</f>
        <v>1</v>
      </c>
      <c r="H50" s="47">
        <f t="array" ref="H50">IF(AND(ISNUMBER(MATCH(H$2, AsistenciaJetAdminConcatenada!$A:$A, 0)), ISNUMBER(MATCH(H$1, AsistenciaJetAdminConcatenada!$B:$B, 0)), ISNUMBER(SEARCH($A50,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ISNUMBER(SEARCH($A50, INDEX(AsistenciaJetAdminConcatenada!$D:$D, MATCH(1, (AsistenciaJetAdminConcatenada!$A:$A=H$2)*(AsistenciaJetAdminConcatenada!$B:$B=H$1), 0)), 1))),  0.5, 0))</f>
        <v>1</v>
      </c>
      <c r="I50" s="47">
        <f t="array" ref="I50">IF(AND(ISNUMBER(MATCH(I$2, AsistenciaJetAdminConcatenada!$A:$A, 0)), ISNUMBER(MATCH(I$1, AsistenciaJetAdminConcatenada!$B:$B, 0)), ISNUMBER(SEARCH($A50,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ISNUMBER(SEARCH($A50, INDEX(AsistenciaJetAdminConcatenada!$D:$D, MATCH(1, (AsistenciaJetAdminConcatenada!$A:$A=I$2)*(AsistenciaJetAdminConcatenada!$B:$B=I$1), 0)), 1))),  0.5, 0))</f>
        <v>1</v>
      </c>
      <c r="J50" s="8">
        <v>1.0</v>
      </c>
      <c r="K50" s="47">
        <f t="array" ref="K50">IF(AND(ISNUMBER(MATCH(K$2, AsistenciaJetAdminConcatenada!$A:$A, 0)), ISNUMBER(MATCH(K$1, AsistenciaJetAdminConcatenada!$B:$B, 0)), ISNUMBER(SEARCH($A50,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ISNUMBER(SEARCH($A50, INDEX(AsistenciaJetAdminConcatenada!$D:$D, MATCH(1, (AsistenciaJetAdminConcatenada!$A:$A=K$2)*(AsistenciaJetAdminConcatenada!$B:$B=K$1), 0)), 1))),  0.5, 0))</f>
        <v>1</v>
      </c>
      <c r="L50" s="47">
        <f t="array" ref="L50">IF(AND(ISNUMBER(MATCH(L$2, AsistenciaJetAdminConcatenada!$A:$A, 0)), ISNUMBER(MATCH(L$1, AsistenciaJetAdminConcatenada!$B:$B, 0)), ISNUMBER(SEARCH($A50,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ISNUMBER(SEARCH($A50, INDEX(AsistenciaJetAdminConcatenada!$D:$D, MATCH(1, (AsistenciaJetAdminConcatenada!$A:$A=L$2)*(AsistenciaJetAdminConcatenada!$B:$B=L$1), 0)), 1))),  0.5, 0))</f>
        <v>1</v>
      </c>
      <c r="M50" s="47">
        <f t="array" ref="M50">IF(AND(ISNUMBER(MATCH(M$2, AsistenciaJetAdminConcatenada!$A:$A, 0)), ISNUMBER(MATCH(M$1, AsistenciaJetAdminConcatenada!$B:$B, 0)), ISNUMBER(SEARCH($A50,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ISNUMBER(SEARCH($A50, INDEX(AsistenciaJetAdminConcatenada!$D:$D, MATCH(1, (AsistenciaJetAdminConcatenada!$A:$A=M$2)*(AsistenciaJetAdminConcatenada!$B:$B=M$1), 0)), 1))),  0.5, 0))</f>
        <v>1</v>
      </c>
      <c r="N50" s="47">
        <f t="array" ref="N50">IF(AND(ISNUMBER(MATCH(N$2, AsistenciaJetAdminConcatenada!$A:$A, 0)), ISNUMBER(MATCH(N$1, AsistenciaJetAdminConcatenada!$B:$B, 0)), ISNUMBER(SEARCH($A50,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ISNUMBER(SEARCH($A50, INDEX(AsistenciaJetAdminConcatenada!$D:$D, MATCH(1, (AsistenciaJetAdminConcatenada!$A:$A=N$2)*(AsistenciaJetAdminConcatenada!$B:$B=N$1), 0)), 1))),  0.5, 0))</f>
        <v>0</v>
      </c>
      <c r="O50" s="47">
        <f t="array" ref="O50">IF(AND(ISNUMBER(MATCH(O$2, AsistenciaJetAdminConcatenada!$A:$A, 0)), ISNUMBER(MATCH(O$1, AsistenciaJetAdminConcatenada!$B:$B, 0)), ISNUMBER(SEARCH($A50,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ISNUMBER(SEARCH($A50, INDEX(AsistenciaJetAdminConcatenada!$D:$D, MATCH(1, (AsistenciaJetAdminConcatenada!$A:$A=O$2)*(AsistenciaJetAdminConcatenada!$B:$B=O$1), 0)), 1))),  0.5, 0))</f>
        <v>1</v>
      </c>
      <c r="P50" s="47">
        <f t="array" ref="P50">IF(AND(ISNUMBER(MATCH(P$2, AsistenciaJetAdminConcatenada!$A:$A, 0)), ISNUMBER(MATCH(P$1, AsistenciaJetAdminConcatenada!$B:$B, 0)), ISNUMBER(SEARCH($A50, INDEX(AsistenciaJetAdminConcatenada!$C:$C, MATCH(1, (AsistenciaJetAdminConcatenada!$A:$A=P$2)*(AsistenciaJetAdminConcatenada!$B:$B=P$1), 0)), 1))), 1, IF(AND(ISNUMBER(MATCH(P$2, AsistenciaJetAdminConcatenada!$A:$A, 0)), ISNUMBER(MATCH(P$1, AsistenciaJetAdminConcatenada!$B:$B, 0)), ISNUMBER(SEARCH($A50, INDEX(AsistenciaJetAdminConcatenada!$D:$D, MATCH(1, (AsistenciaJetAdminConcatenada!$A:$A=P$2)*(AsistenciaJetAdminConcatenada!$B:$B=P$1), 0)), 1))),  0.5, 0))</f>
        <v>1</v>
      </c>
      <c r="Q50" s="47">
        <f t="array" ref="Q50">IF(AND(ISNUMBER(MATCH(Q$2, AsistenciaJetAdminConcatenada!$A:$A, 0)), ISNUMBER(MATCH(Q$1, AsistenciaJetAdminConcatenada!$B:$B, 0)), ISNUMBER(SEARCH($A50, INDEX(AsistenciaJetAdminConcatenada!$C:$C, MATCH(1, (AsistenciaJetAdminConcatenada!$A:$A=Q$2)*(AsistenciaJetAdminConcatenada!$B:$B=Q$1), 0)), 1))), 1, IF(AND(ISNUMBER(MATCH(Q$2, AsistenciaJetAdminConcatenada!$A:$A, 0)), ISNUMBER(MATCH(Q$1, AsistenciaJetAdminConcatenada!$B:$B, 0)), ISNUMBER(SEARCH($A50, INDEX(AsistenciaJetAdminConcatenada!$D:$D, MATCH(1, (AsistenciaJetAdminConcatenada!$A:$A=Q$2)*(AsistenciaJetAdminConcatenada!$B:$B=Q$1), 0)), 1))),  0.5, 0))</f>
        <v>1</v>
      </c>
      <c r="R50" s="47">
        <f t="array" ref="R50">IF(AND(ISNUMBER(MATCH(R$2, AsistenciaJetAdminConcatenada!$A:$A, 0)), ISNUMBER(MATCH(R$1, AsistenciaJetAdminConcatenada!$B:$B, 0)), ISNUMBER(SEARCH($A50,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ISNUMBER(SEARCH($A50, INDEX(AsistenciaJetAdminConcatenada!$D:$D, MATCH(1, (AsistenciaJetAdminConcatenada!$A:$A=R$2)*(AsistenciaJetAdminConcatenada!$B:$B=R$1), 0)), 1))),  0.5, 0))</f>
        <v>1</v>
      </c>
      <c r="S50" s="47">
        <f t="array" ref="S50">IF(AND(ISNUMBER(MATCH(S$2, AsistenciaJetAdminConcatenada!$A:$A, 0)), ISNUMBER(MATCH(S$1, AsistenciaJetAdminConcatenada!$B:$B, 0)), ISNUMBER(SEARCH($A50,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ISNUMBER(SEARCH($A50, INDEX(AsistenciaJetAdminConcatenada!$D:$D, MATCH(1, (AsistenciaJetAdminConcatenada!$A:$A=S$2)*(AsistenciaJetAdminConcatenada!$B:$B=S$1), 0)), 1))),  0.5, 0))</f>
        <v>1</v>
      </c>
      <c r="T50" s="47">
        <f t="array" ref="T50">IF(AND(ISNUMBER(MATCH(T$2, AsistenciaJetAdminConcatenada!$A:$A, 0)), ISNUMBER(MATCH(T$1, AsistenciaJetAdminConcatenada!$B:$B, 0)), ISNUMBER(SEARCH($A50,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ISNUMBER(SEARCH($A50, INDEX(AsistenciaJetAdminConcatenada!$D:$D, MATCH(1, (AsistenciaJetAdminConcatenada!$A:$A=T$2)*(AsistenciaJetAdminConcatenada!$B:$B=T$1), 0)), 1))),  0.5, 0))</f>
        <v>1</v>
      </c>
      <c r="U50" s="47">
        <f t="array" ref="U50">IF(AND(ISNUMBER(MATCH(U$2, AsistenciaJetAdminConcatenada!$A:$A, 0)), ISNUMBER(MATCH(U$1, AsistenciaJetAdminConcatenada!$B:$B, 0)), ISNUMBER(SEARCH($A50,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ISNUMBER(SEARCH($A50, INDEX(AsistenciaJetAdminConcatenada!$D:$D, MATCH(1, (AsistenciaJetAdminConcatenada!$A:$A=U$2)*(AsistenciaJetAdminConcatenada!$B:$B=U$1), 0)), 1))),  0.5, 0))</f>
        <v>1</v>
      </c>
      <c r="V50" s="47">
        <f t="array" ref="V50">IF(AND(ISNUMBER(MATCH(V$2, AsistenciaJetAdminConcatenada!$A:$A, 0)), ISNUMBER(MATCH(V$1, AsistenciaJetAdminConcatenada!$B:$B, 0)), ISNUMBER(SEARCH($A50,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ISNUMBER(SEARCH($A50, INDEX(AsistenciaJetAdminConcatenada!$D:$D, MATCH(1, (AsistenciaJetAdminConcatenada!$A:$A=V$2)*(AsistenciaJetAdminConcatenada!$B:$B=V$1), 0)), 1))),  0.5, 0))</f>
        <v>0</v>
      </c>
      <c r="W50" s="47">
        <f t="array" ref="W50">IF(AND(ISNUMBER(MATCH(W$2, AsistenciaJetAdminConcatenada!$A:$A, 0)), ISNUMBER(MATCH(W$1, AsistenciaJetAdminConcatenada!$B:$B, 0)), ISNUMBER(SEARCH($A50,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ISNUMBER(SEARCH($A50, INDEX(AsistenciaJetAdminConcatenada!$D:$D, MATCH(1, (AsistenciaJetAdminConcatenada!$A:$A=W$2)*(AsistenciaJetAdminConcatenada!$B:$B=W$1), 0)), 1))),  0.5, 0))</f>
        <v>0</v>
      </c>
      <c r="X50" s="47">
        <f t="array" ref="X50">IF(AND(ISNUMBER(MATCH(X$2, AsistenciaJetAdminConcatenada!$A:$A, 0)), ISNUMBER(MATCH(X$1, AsistenciaJetAdminConcatenada!$B:$B, 0)), ISNUMBER(SEARCH($A50,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ISNUMBER(SEARCH($A50, INDEX(AsistenciaJetAdminConcatenada!$D:$D, MATCH(1, (AsistenciaJetAdminConcatenada!$A:$A=X$2)*(AsistenciaJetAdminConcatenada!$B:$B=X$1), 0)), 1))),  0.5, 0))</f>
        <v>1</v>
      </c>
      <c r="Y50" s="47">
        <f t="array" ref="Y50">IF(AND(ISNUMBER(MATCH(Y$2, AsistenciaJetAdminConcatenada!$A:$A, 0)), ISNUMBER(MATCH(Y$1, AsistenciaJetAdminConcatenada!$B:$B, 0)), ISNUMBER(SEARCH($A50,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ISNUMBER(SEARCH($A50, INDEX(AsistenciaJetAdminConcatenada!$D:$D, MATCH(1, (AsistenciaJetAdminConcatenada!$A:$A=Y$2)*(AsistenciaJetAdminConcatenada!$B:$B=Y$1), 0)), 1))),  0.5, 0))</f>
        <v>1</v>
      </c>
      <c r="Z50" s="47">
        <f t="array" ref="Z50">IF(AND(ISNUMBER(MATCH(Z$2, AsistenciaJetAdminConcatenada!$A:$A, 0)), ISNUMBER(MATCH(Z$1, AsistenciaJetAdminConcatenada!$B:$B, 0)), ISNUMBER(SEARCH($A50,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ISNUMBER(SEARCH($A50, INDEX(AsistenciaJetAdminConcatenada!$D:$D, MATCH(1, (AsistenciaJetAdminConcatenada!$A:$A=Z$2)*(AsistenciaJetAdminConcatenada!$B:$B=Z$1), 0)), 1))),  0.5, 0))</f>
        <v>0</v>
      </c>
      <c r="AA50" s="47">
        <f t="array" ref="AA50">IF(AND(ISNUMBER(MATCH(AA$2, AsistenciaJetAdminConcatenada!$A:$A, 0)), ISNUMBER(MATCH(AA$1, AsistenciaJetAdminConcatenada!$B:$B, 0)), ISNUMBER(SEARCH($A50,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ISNUMBER(SEARCH($A50, INDEX(AsistenciaJetAdminConcatenada!$D:$D, MATCH(1, (AsistenciaJetAdminConcatenada!$A:$A=AA$2)*(AsistenciaJetAdminConcatenada!$B:$B=AA$1), 0)), 1))),  0.5, 0))</f>
        <v>1</v>
      </c>
      <c r="AB50" s="47">
        <f t="array" ref="AB50">IF(AND(ISNUMBER(MATCH(AB$2, AsistenciaJetAdminConcatenada!$A:$A, 0)), ISNUMBER(MATCH(AB$1, AsistenciaJetAdminConcatenada!$B:$B, 0)), ISNUMBER(SEARCH($A50,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ISNUMBER(SEARCH($A50, INDEX(AsistenciaJetAdminConcatenada!$D:$D, MATCH(1, (AsistenciaJetAdminConcatenada!$A:$A=AB$2)*(AsistenciaJetAdminConcatenada!$B:$B=AB$1), 0)), 1))),  0.5, 0))</f>
        <v>1</v>
      </c>
      <c r="AC50" s="47">
        <f t="array" ref="AC50">IF(AND(ISNUMBER(MATCH(AC$2, AsistenciaJetAdminConcatenada!$A:$A, 0)), ISNUMBER(MATCH(AC$1, AsistenciaJetAdminConcatenada!$B:$B, 0)), ISNUMBER(SEARCH($A50,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ISNUMBER(SEARCH($A50, INDEX(AsistenciaJetAdminConcatenada!$D:$D, MATCH(1, (AsistenciaJetAdminConcatenada!$A:$A=AC$2)*(AsistenciaJetAdminConcatenada!$B:$B=AC$1), 0)), 1))),  0.5, 0))</f>
        <v>1</v>
      </c>
      <c r="AD50" s="47">
        <f t="array" ref="AD50">IF(AND(ISNUMBER(MATCH(AD$2, AsistenciaJetAdminConcatenada!$A:$A, 0)), ISNUMBER(MATCH(AD$1, AsistenciaJetAdminConcatenada!$B:$B, 0)), ISNUMBER(SEARCH($A50,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ISNUMBER(SEARCH($A50, INDEX(AsistenciaJetAdminConcatenada!$D:$D, MATCH(1, (AsistenciaJetAdminConcatenada!$A:$A=AD$2)*(AsistenciaJetAdminConcatenada!$B:$B=AD$1), 0)), 1))),  0.5, 0))</f>
        <v>0</v>
      </c>
      <c r="AE50" s="47">
        <f t="array" ref="AE50">IF(AND(ISNUMBER(MATCH(AE$2, AsistenciaJetAdminConcatenada!$A:$A, 0)), ISNUMBER(MATCH(AE$1, AsistenciaJetAdminConcatenada!$B:$B, 0)), ISNUMBER(SEARCH($A50,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ISNUMBER(SEARCH($A50, INDEX(AsistenciaJetAdminConcatenada!$D:$D, MATCH(1, (AsistenciaJetAdminConcatenada!$A:$A=AE$2)*(AsistenciaJetAdminConcatenada!$B:$B=AE$1), 0)), 1))),  0.5, 0))</f>
        <v>1</v>
      </c>
      <c r="AF50" s="47">
        <f t="array" ref="AF50">IF(AND(ISNUMBER(MATCH(AF$2, AsistenciaJetAdminConcatenada!$A:$A, 0)), ISNUMBER(MATCH(AF$1, AsistenciaJetAdminConcatenada!$B:$B, 0)), ISNUMBER(SEARCH($A50,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ISNUMBER(SEARCH($A50, INDEX(AsistenciaJetAdminConcatenada!$D:$D, MATCH(1, (AsistenciaJetAdminConcatenada!$A:$A=AF$2)*(AsistenciaJetAdminConcatenada!$B:$B=AF$1), 0)), 1))),  0.5, 0))</f>
        <v>0</v>
      </c>
      <c r="AG50" s="47">
        <f t="array" ref="AG50">IF(AND(ISNUMBER(MATCH(AG$2, AsistenciaJetAdminConcatenada!$A:$A, 0)), ISNUMBER(MATCH(AG$1, AsistenciaJetAdminConcatenada!$B:$B, 0)), ISNUMBER(SEARCH($A50,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ISNUMBER(SEARCH($A50, INDEX(AsistenciaJetAdminConcatenada!$D:$D, MATCH(1, (AsistenciaJetAdminConcatenada!$A:$A=AG$2)*(AsistenciaJetAdminConcatenada!$B:$B=AG$1), 0)), 1))),  0.5, 0))</f>
        <v>0.5</v>
      </c>
      <c r="AH50" s="47">
        <f t="array" ref="AH50">IF(AND(ISNUMBER(MATCH(AH$2, AsistenciaJetAdminConcatenada!$A:$A, 0)), ISNUMBER(MATCH(AH$1, AsistenciaJetAdminConcatenada!$B:$B, 0)), ISNUMBER(SEARCH($A50,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ISNUMBER(SEARCH($A50, INDEX(AsistenciaJetAdminConcatenada!$D:$D, MATCH(1, (AsistenciaJetAdminConcatenada!$A:$A=AH$2)*(AsistenciaJetAdminConcatenada!$B:$B=AH$1), 0)), 1))),  0.5, 0))</f>
        <v>0</v>
      </c>
      <c r="AI50" s="47">
        <f t="array" ref="AI50">IF(AND(ISNUMBER(MATCH(AI$2, AsistenciaJetAdminConcatenada!$A:$A, 0)), ISNUMBER(MATCH(AI$1, AsistenciaJetAdminConcatenada!$B:$B, 0)), ISNUMBER(SEARCH($A50,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ISNUMBER(SEARCH($A50, INDEX(AsistenciaJetAdminConcatenada!$D:$D, MATCH(1, (AsistenciaJetAdminConcatenada!$A:$A=AI$2)*(AsistenciaJetAdminConcatenada!$B:$B=AI$1), 0)), 1))),  0.5, 0))</f>
        <v>1</v>
      </c>
      <c r="AJ50" s="47">
        <f t="array" ref="AJ50">IF(AND(ISNUMBER(MATCH(AJ$2, AsistenciaJetAdminConcatenada!$A:$A, 0)), ISNUMBER(MATCH(AJ$1, AsistenciaJetAdminConcatenada!$B:$B, 0)), ISNUMBER(SEARCH($A50,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ISNUMBER(SEARCH($A50, INDEX(AsistenciaJetAdminConcatenada!$D:$D, MATCH(1, (AsistenciaJetAdminConcatenada!$A:$A=AJ$2)*(AsistenciaJetAdminConcatenada!$B:$B=AJ$1), 0)), 1))),  0.5, 0))</f>
        <v>1</v>
      </c>
      <c r="AK50" s="47">
        <f t="array" ref="AK50">IF(AND(ISNUMBER(MATCH(AK$2, AsistenciaJetAdminConcatenada!$A:$A, 0)), ISNUMBER(MATCH(AK$1, AsistenciaJetAdminConcatenada!$B:$B, 0)), ISNUMBER(SEARCH($A50,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ISNUMBER(SEARCH($A50, INDEX(AsistenciaJetAdminConcatenada!$D:$D, MATCH(1, (AsistenciaJetAdminConcatenada!$A:$A=AK$2)*(AsistenciaJetAdminConcatenada!$B:$B=AK$1), 0)), 1))),  0.5, 0))</f>
        <v>0</v>
      </c>
      <c r="AL50" s="47">
        <f t="array" ref="AL50">IF(AND(ISNUMBER(MATCH(AL$2, AsistenciaJetAdminConcatenada!$A:$A, 0)), ISNUMBER(MATCH(AL$1, AsistenciaJetAdminConcatenada!$B:$B, 0)), ISNUMBER(SEARCH($A50,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ISNUMBER(SEARCH($A50, INDEX(AsistenciaJetAdminConcatenada!$D:$D, MATCH(1, (AsistenciaJetAdminConcatenada!$A:$A=AL$2)*(AsistenciaJetAdminConcatenada!$B:$B=AL$1), 0)), 1))),  0.5, 0))</f>
        <v>0</v>
      </c>
      <c r="AM50" s="47">
        <f t="array" ref="AM50">IF(AND(ISNUMBER(MATCH(AM$2, AsistenciaJetAdminConcatenada!$A:$A, 0)), ISNUMBER(MATCH(AM$1, AsistenciaJetAdminConcatenada!$B:$B, 0)), ISNUMBER(SEARCH($A50,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ISNUMBER(SEARCH($A50, INDEX(AsistenciaJetAdminConcatenada!$D:$D, MATCH(1, (AsistenciaJetAdminConcatenada!$A:$A=AM$2)*(AsistenciaJetAdminConcatenada!$B:$B=AM$1), 0)), 1))),  0.5, 0))</f>
        <v>0</v>
      </c>
      <c r="AN50" s="47">
        <f t="array" ref="AN50">IF(AND(ISNUMBER(MATCH(AN$2, AsistenciaJetAdminConcatenada!$A:$A, 0)), ISNUMBER(MATCH(AN$1, AsistenciaJetAdminConcatenada!$B:$B, 0)), ISNUMBER(SEARCH($A50,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ISNUMBER(SEARCH($A50, INDEX(AsistenciaJetAdminConcatenada!$D:$D, MATCH(1, (AsistenciaJetAdminConcatenada!$A:$A=AN$2)*(AsistenciaJetAdminConcatenada!$B:$B=AN$1), 0)), 1))),  0.5, 0))</f>
        <v>0</v>
      </c>
      <c r="AO50" s="47">
        <f t="array" ref="AO50">IF(AND(ISNUMBER(MATCH(AO$2, AsistenciaJetAdminConcatenada!$A:$A, 0)), ISNUMBER(MATCH(AO$1, AsistenciaJetAdminConcatenada!$B:$B, 0)), ISNUMBER(SEARCH($A50,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ISNUMBER(SEARCH($A50, INDEX(AsistenciaJetAdminConcatenada!$D:$D, MATCH(1, (AsistenciaJetAdminConcatenada!$A:$A=AO$2)*(AsistenciaJetAdminConcatenada!$B:$B=AO$1), 0)), 1))),  0.5, 0))</f>
        <v>1</v>
      </c>
      <c r="AP50" s="47">
        <f t="array" ref="AP50">IF(AND(ISNUMBER(MATCH(AP$2, AsistenciaJetAdminConcatenada!$A:$A, 0)), ISNUMBER(MATCH(AP$1, AsistenciaJetAdminConcatenada!$B:$B, 0)), ISNUMBER(SEARCH($A50,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ISNUMBER(SEARCH($A50, INDEX(AsistenciaJetAdminConcatenada!$D:$D, MATCH(1, (AsistenciaJetAdminConcatenada!$A:$A=AP$2)*(AsistenciaJetAdminConcatenada!$B:$B=AP$1), 0)), 1))),  0.5, 0))</f>
        <v>1</v>
      </c>
      <c r="AQ50" s="47">
        <f t="array" ref="AQ50">IF(AND(ISNUMBER(MATCH(AQ$2, AsistenciaJetAdminConcatenada!$A:$A, 0)), ISNUMBER(MATCH(AQ$1, AsistenciaJetAdminConcatenada!$B:$B, 0)), ISNUMBER(SEARCH($A50,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ISNUMBER(SEARCH($A50, INDEX(AsistenciaJetAdminConcatenada!$D:$D, MATCH(1, (AsistenciaJetAdminConcatenada!$A:$A=AQ$2)*(AsistenciaJetAdminConcatenada!$B:$B=AQ$1), 0)), 1))),  0.5, 0))</f>
        <v>0</v>
      </c>
      <c r="AR50" s="47">
        <f t="array" ref="AR50">IF(AND(ISNUMBER(MATCH(AR$2, AsistenciaJetAdminConcatenada!$A:$A, 0)), ISNUMBER(MATCH(AR$1, AsistenciaJetAdminConcatenada!$B:$B, 0)), ISNUMBER(SEARCH($A50,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ISNUMBER(SEARCH($A50, INDEX(AsistenciaJetAdminConcatenada!$D:$D, MATCH(1, (AsistenciaJetAdminConcatenada!$A:$A=AR$2)*(AsistenciaJetAdminConcatenada!$B:$B=AR$1), 0)), 1))),  0.5, 0))</f>
        <v>1</v>
      </c>
      <c r="AS50" s="47">
        <f t="array" ref="AS50">IF(AND(ISNUMBER(MATCH(AS$2, AsistenciaJetAdminConcatenada!$A:$A, 0)), ISNUMBER(MATCH(AS$1, AsistenciaJetAdminConcatenada!$B:$B, 0)), ISNUMBER(SEARCH($A50,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ISNUMBER(SEARCH($A50, INDEX(AsistenciaJetAdminConcatenada!$D:$D, MATCH(1, (AsistenciaJetAdminConcatenada!$A:$A=AS$2)*(AsistenciaJetAdminConcatenada!$B:$B=AS$1), 0)), 1))),  0.5, 0))</f>
        <v>1</v>
      </c>
      <c r="AT50" s="47">
        <f t="array" ref="AT50">IF(AND(ISNUMBER(MATCH(AT$2, AsistenciaJetAdminConcatenada!$A:$A, 0)), ISNUMBER(MATCH(AT$1, AsistenciaJetAdminConcatenada!$B:$B, 0)), ISNUMBER(SEARCH($A50,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ISNUMBER(SEARCH($A50, INDEX(AsistenciaJetAdminConcatenada!$D:$D, MATCH(1, (AsistenciaJetAdminConcatenada!$A:$A=AT$2)*(AsistenciaJetAdminConcatenada!$B:$B=AT$1), 0)), 1))),  0.5, 0))</f>
        <v>0</v>
      </c>
      <c r="AU50" s="47">
        <f t="array" ref="AU50">IF(AND(ISNUMBER(MATCH(AU$2, AsistenciaJetAdminConcatenada!$A:$A, 0)), ISNUMBER(MATCH(AU$1, AsistenciaJetAdminConcatenada!$B:$B, 0)), ISNUMBER(SEARCH($A50,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ISNUMBER(SEARCH($A50, INDEX(AsistenciaJetAdminConcatenada!$D:$D, MATCH(1, (AsistenciaJetAdminConcatenada!$A:$A=AU$2)*(AsistenciaJetAdminConcatenada!$B:$B=AU$1), 0)), 1))),  0.5, 0))</f>
        <v>1</v>
      </c>
      <c r="AV50" s="47">
        <f t="array" ref="AV50">IF(AND(ISNUMBER(MATCH(AV$2, AsistenciaJetAdminConcatenada!$A:$A, 0)), ISNUMBER(MATCH(AV$1, AsistenciaJetAdminConcatenada!$B:$B, 0)), ISNUMBER(SEARCH($A50,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ISNUMBER(SEARCH($A50, INDEX(AsistenciaJetAdminConcatenada!$D:$D, MATCH(1, (AsistenciaJetAdminConcatenada!$A:$A=AV$2)*(AsistenciaJetAdminConcatenada!$B:$B=AV$1), 0)), 1))),  0.5, 0))</f>
        <v>0</v>
      </c>
      <c r="AW50" s="47">
        <f t="array" ref="AW50">IF(AND(ISNUMBER(MATCH(AW$2, AsistenciaJetAdminConcatenada!$A:$A, 0)), ISNUMBER(MATCH(AW$1, AsistenciaJetAdminConcatenada!$B:$B, 0)), ISNUMBER(SEARCH($A50,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ISNUMBER(SEARCH($A50, INDEX(AsistenciaJetAdminConcatenada!$D:$D, MATCH(1, (AsistenciaJetAdminConcatenada!$A:$A=AW$2)*(AsistenciaJetAdminConcatenada!$B:$B=AW$1), 0)), 1))),  0.5, 0))</f>
        <v>0</v>
      </c>
      <c r="AX50" s="47">
        <f t="array" ref="AX50">IF(AND(ISNUMBER(MATCH(AX$2, AsistenciaJetAdminConcatenada!$A:$A, 0)), ISNUMBER(MATCH(AX$1, AsistenciaJetAdminConcatenada!$B:$B, 0)), ISNUMBER(SEARCH($A50,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ISNUMBER(SEARCH($A50, INDEX(AsistenciaJetAdminConcatenada!$D:$D, MATCH(1, (AsistenciaJetAdminConcatenada!$A:$A=AX$2)*(AsistenciaJetAdminConcatenada!$B:$B=AX$1), 0)), 1))),  0.5, 0))</f>
        <v>0</v>
      </c>
      <c r="AY50" s="47">
        <f t="array" ref="AY50">IF(AND(ISNUMBER(MATCH(AY$2, AsistenciaJetAdminConcatenada!$A:$A, 0)), ISNUMBER(MATCH(AY$1, AsistenciaJetAdminConcatenada!$B:$B, 0)), ISNUMBER(SEARCH($A50,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ISNUMBER(SEARCH($A50, INDEX(AsistenciaJetAdminConcatenada!$D:$D, MATCH(1, (AsistenciaJetAdminConcatenada!$A:$A=AY$2)*(AsistenciaJetAdminConcatenada!$B:$B=AY$1), 0)), 1))),  0.5, 0))</f>
        <v>0</v>
      </c>
      <c r="AZ50" s="47">
        <f t="array" ref="AZ50">IF(AND(ISNUMBER(MATCH(AZ$2, AsistenciaJetAdminConcatenada!$A:$A, 0)), ISNUMBER(MATCH(AZ$1, AsistenciaJetAdminConcatenada!$B:$B, 0)), ISNUMBER(SEARCH($A50,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ISNUMBER(SEARCH($A50, INDEX(AsistenciaJetAdminConcatenada!$D:$D, MATCH(1, (AsistenciaJetAdminConcatenada!$A:$A=AZ$2)*(AsistenciaJetAdminConcatenada!$B:$B=AZ$1), 0)), 1))),  0.5, 0))</f>
        <v>1</v>
      </c>
      <c r="BA50" s="47">
        <f t="array" ref="BA50">IF(AND(ISNUMBER(MATCH(BA$2, AsistenciaJetAdminConcatenada!$A:$A, 0)), ISNUMBER(MATCH(BA$1, AsistenciaJetAdminConcatenada!$B:$B, 0)), ISNUMBER(SEARCH($A50,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ISNUMBER(SEARCH($A50, INDEX(AsistenciaJetAdminConcatenada!$D:$D, MATCH(1, (AsistenciaJetAdminConcatenada!$A:$A=BA$2)*(AsistenciaJetAdminConcatenada!$B:$B=BA$1), 0)), 1))),  0.5, 0))</f>
        <v>1</v>
      </c>
      <c r="BB50" s="47">
        <f t="array" ref="BB50">IF(AND(ISNUMBER(MATCH(BB$2, AsistenciaJetAdminConcatenada!$A:$A, 0)), ISNUMBER(MATCH(BB$1, AsistenciaJetAdminConcatenada!$B:$B, 0)), ISNUMBER(SEARCH($A50,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ISNUMBER(SEARCH($A50, INDEX(AsistenciaJetAdminConcatenada!$D:$D, MATCH(1, (AsistenciaJetAdminConcatenada!$A:$A=BB$2)*(AsistenciaJetAdminConcatenada!$B:$B=BB$1), 0)), 1))),  0.5, 0))</f>
        <v>1</v>
      </c>
      <c r="BC50" s="47">
        <f t="array" ref="BC50">IF(AND(ISNUMBER(MATCH(BC$2, AsistenciaJetAdminConcatenada!$A:$A, 0)), ISNUMBER(MATCH(BC$1, AsistenciaJetAdminConcatenada!$B:$B, 0)), ISNUMBER(SEARCH($A50,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ISNUMBER(SEARCH($A50, INDEX(AsistenciaJetAdminConcatenada!$D:$D, MATCH(1, (AsistenciaJetAdminConcatenada!$A:$A=BC$2)*(AsistenciaJetAdminConcatenada!$B:$B=BC$1), 0)), 1))),  0.5, 0))</f>
        <v>1</v>
      </c>
      <c r="BD50" s="47">
        <f t="array" ref="BD50">IF(AND(ISNUMBER(MATCH(BD$2, AsistenciaJetAdminConcatenada!$A:$A, 0)), ISNUMBER(MATCH(BD$1, AsistenciaJetAdminConcatenada!$B:$B, 0)), ISNUMBER(SEARCH($A50,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ISNUMBER(SEARCH($A50, INDEX(AsistenciaJetAdminConcatenada!$D:$D, MATCH(1, (AsistenciaJetAdminConcatenada!$A:$A=BD$2)*(AsistenciaJetAdminConcatenada!$B:$B=BD$1), 0)), 1))),  0.5, 0))</f>
        <v>1</v>
      </c>
      <c r="BE50" s="47">
        <f t="array" ref="BE50">IF(AND(ISNUMBER(MATCH(BE$2, AsistenciaJetAdminConcatenada!$A:$A, 0)), ISNUMBER(MATCH(BE$1, AsistenciaJetAdminConcatenada!$B:$B, 0)), ISNUMBER(SEARCH($A50,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ISNUMBER(SEARCH($A50, INDEX(AsistenciaJetAdminConcatenada!$D:$D, MATCH(1, (AsistenciaJetAdminConcatenada!$A:$A=BE$2)*(AsistenciaJetAdminConcatenada!$B:$B=BE$1), 0)), 1))),  0.5, 0))</f>
        <v>1</v>
      </c>
      <c r="BF50" s="47">
        <f t="array" ref="BF50">IF(AND(ISNUMBER(MATCH(BF$2, AsistenciaJetAdminConcatenada!$A:$A, 0)), ISNUMBER(MATCH(BF$1, AsistenciaJetAdminConcatenada!$B:$B, 0)), ISNUMBER(SEARCH($A50,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ISNUMBER(SEARCH($A50, INDEX(AsistenciaJetAdminConcatenada!$D:$D, MATCH(1, (AsistenciaJetAdminConcatenada!$A:$A=BF$2)*(AsistenciaJetAdminConcatenada!$B:$B=BF$1), 0)), 1))),  0.5, 0))</f>
        <v>1</v>
      </c>
      <c r="BG50" s="47">
        <f t="array" ref="BG50">IF(AND(ISNUMBER(MATCH(BG$2, AsistenciaJetAdminConcatenada!$A:$A, 0)), ISNUMBER(MATCH(BG$1, AsistenciaJetAdminConcatenada!$B:$B, 0)), ISNUMBER(SEARCH($A50,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ISNUMBER(SEARCH($A50, INDEX(AsistenciaJetAdminConcatenada!$D:$D, MATCH(1, (AsistenciaJetAdminConcatenada!$A:$A=BG$2)*(AsistenciaJetAdminConcatenada!$B:$B=BG$1), 0)), 1))),  0.5, 0))</f>
        <v>1</v>
      </c>
      <c r="BH50" s="47">
        <f t="array" ref="BH50">IF(AND(ISNUMBER(MATCH(BH$2, AsistenciaJetAdminConcatenada!$A:$A, 0)), ISNUMBER(MATCH(BH$1, AsistenciaJetAdminConcatenada!$B:$B, 0)), ISNUMBER(SEARCH($A50,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ISNUMBER(SEARCH($A50, INDEX(AsistenciaJetAdminConcatenada!$D:$D, MATCH(1, (AsistenciaJetAdminConcatenada!$A:$A=BH$2)*(AsistenciaJetAdminConcatenada!$B:$B=BH$1), 0)), 1))),  0.5, 0))</f>
        <v>1</v>
      </c>
      <c r="BI50" s="47">
        <f t="array" ref="BI50">IF(AND(ISNUMBER(MATCH(BI$2, AsistenciaJetAdminConcatenada!$A:$A, 0)), ISNUMBER(MATCH(BI$1, AsistenciaJetAdminConcatenada!$B:$B, 0)), ISNUMBER(SEARCH($A50,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ISNUMBER(SEARCH($A50, INDEX(AsistenciaJetAdminConcatenada!$D:$D, MATCH(1, (AsistenciaJetAdminConcatenada!$A:$A=BI$2)*(AsistenciaJetAdminConcatenada!$B:$B=BI$1), 0)), 1))),  0.5, 0))</f>
        <v>1</v>
      </c>
      <c r="BJ50" s="47">
        <f t="array" ref="BJ50">IF(AND(ISNUMBER(MATCH(BJ$2, AsistenciaJetAdminConcatenada!$A:$A, 0)), ISNUMBER(MATCH(BJ$1, AsistenciaJetAdminConcatenada!$B:$B, 0)), ISNUMBER(SEARCH($A50,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ISNUMBER(SEARCH($A50, INDEX(AsistenciaJetAdminConcatenada!$D:$D, MATCH(1, (AsistenciaJetAdminConcatenada!$A:$A=BJ$2)*(AsistenciaJetAdminConcatenada!$B:$B=BJ$1), 0)), 1))),  0.5, 0))</f>
        <v>1</v>
      </c>
      <c r="BK50" s="47">
        <f t="array" ref="BK50">IF(AND(ISNUMBER(MATCH(BK$2, AsistenciaJetAdminConcatenada!$A:$A, 0)), ISNUMBER(MATCH(BK$1, AsistenciaJetAdminConcatenada!$B:$B, 0)), ISNUMBER(SEARCH($A50,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ISNUMBER(SEARCH($A50, INDEX(AsistenciaJetAdminConcatenada!$D:$D, MATCH(1, (AsistenciaJetAdminConcatenada!$A:$A=BK$2)*(AsistenciaJetAdminConcatenada!$B:$B=BK$1), 0)), 1))),  0.5, 0))</f>
        <v>1</v>
      </c>
      <c r="BL50" s="47">
        <f t="array" ref="BL50">IF(AND(ISNUMBER(MATCH(BL$2, AsistenciaJetAdminConcatenada!$A:$A, 0)), ISNUMBER(MATCH(BL$1, AsistenciaJetAdminConcatenada!$B:$B, 0)), ISNUMBER(SEARCH($A50,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ISNUMBER(SEARCH($A50, INDEX(AsistenciaJetAdminConcatenada!$D:$D, MATCH(1, (AsistenciaJetAdminConcatenada!$A:$A=BL$2)*(AsistenciaJetAdminConcatenada!$B:$B=BL$1), 0)), 1))),  0.5, 0))</f>
        <v>1</v>
      </c>
      <c r="BM50" s="47">
        <f t="array" ref="BM50">IF(AND(ISNUMBER(MATCH(BM$2, AsistenciaJetAdminConcatenada!$A:$A, 0)), ISNUMBER(MATCH(BM$1, AsistenciaJetAdminConcatenada!$B:$B, 0)), ISNUMBER(SEARCH($A50,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ISNUMBER(SEARCH($A50, INDEX(AsistenciaJetAdminConcatenada!$D:$D, MATCH(1, (AsistenciaJetAdminConcatenada!$A:$A=BM$2)*(AsistenciaJetAdminConcatenada!$B:$B=BM$1), 0)), 1))),  0.5, 0))</f>
        <v>1</v>
      </c>
      <c r="BN50" s="47">
        <f t="array" ref="BN50">IF(AND(ISNUMBER(MATCH(BN$2, AsistenciaJetAdminConcatenada!$A:$A, 0)), ISNUMBER(MATCH(BN$1, AsistenciaJetAdminConcatenada!$B:$B, 0)), ISNUMBER(SEARCH($A50,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ISNUMBER(SEARCH($A50, INDEX(AsistenciaJetAdminConcatenada!$D:$D, MATCH(1, (AsistenciaJetAdminConcatenada!$A:$A=BN$2)*(AsistenciaJetAdminConcatenada!$B:$B=BN$1), 0)), 1))),  0.5, 0))</f>
        <v>1</v>
      </c>
      <c r="BO50" s="47">
        <f t="array" ref="BO50">IF(AND(ISNUMBER(MATCH(BO$2, AsistenciaJetAdminConcatenada!$A:$A, 0)), ISNUMBER(MATCH(BO$1, AsistenciaJetAdminConcatenada!$B:$B, 0)), ISNUMBER(SEARCH($A50,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ISNUMBER(SEARCH($A50, INDEX(AsistenciaJetAdminConcatenada!$D:$D, MATCH(1, (AsistenciaJetAdminConcatenada!$A:$A=BO$2)*(AsistenciaJetAdminConcatenada!$B:$B=BO$1), 0)), 1))),  0.5, 0))</f>
        <v>1</v>
      </c>
      <c r="BP50" s="47">
        <f t="array" ref="BP50">IF(AND(ISNUMBER(MATCH(BP$2, AsistenciaJetAdminConcatenada!$A:$A, 0)), ISNUMBER(MATCH(BP$1, AsistenciaJetAdminConcatenada!$B:$B, 0)), ISNUMBER(SEARCH($A50,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ISNUMBER(SEARCH($A50, INDEX(AsistenciaJetAdminConcatenada!$D:$D, MATCH(1, (AsistenciaJetAdminConcatenada!$A:$A=BP$2)*(AsistenciaJetAdminConcatenada!$B:$B=BP$1), 0)), 1))),  0.5, 0))</f>
        <v>1</v>
      </c>
      <c r="BQ50" s="47">
        <f t="array" ref="BQ50">IF(AND(ISNUMBER(MATCH(BQ$2, AsistenciaJetAdminConcatenada!$A:$A, 0)), ISNUMBER(MATCH(BQ$1, AsistenciaJetAdminConcatenada!$B:$B, 0)), ISNUMBER(SEARCH($A50,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ISNUMBER(SEARCH($A50, INDEX(AsistenciaJetAdminConcatenada!$D:$D, MATCH(1, (AsistenciaJetAdminConcatenada!$A:$A=BQ$2)*(AsistenciaJetAdminConcatenada!$B:$B=BQ$1), 0)), 1))),  0.5, 0))</f>
        <v>1</v>
      </c>
      <c r="BR50" s="47">
        <f t="array" ref="BR50">IF(AND(ISNUMBER(MATCH(BR$2, AsistenciaJetAdminConcatenada!$A:$A, 0)), ISNUMBER(MATCH(BR$1, AsistenciaJetAdminConcatenada!$B:$B, 0)), ISNUMBER(SEARCH($A50,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ISNUMBER(SEARCH($A50, INDEX(AsistenciaJetAdminConcatenada!$D:$D, MATCH(1, (AsistenciaJetAdminConcatenada!$A:$A=BR$2)*(AsistenciaJetAdminConcatenada!$B:$B=BR$1), 0)), 1))),  0.5, 0))</f>
        <v>1</v>
      </c>
      <c r="BS50" s="47">
        <f t="array" ref="BS50">IF(AND(ISNUMBER(MATCH(BS$2, AsistenciaJetAdminConcatenada!$A:$A, 0)), ISNUMBER(MATCH(BS$1, AsistenciaJetAdminConcatenada!$B:$B, 0)), ISNUMBER(SEARCH($A50,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ISNUMBER(SEARCH($A50, INDEX(AsistenciaJetAdminConcatenada!$D:$D, MATCH(1, (AsistenciaJetAdminConcatenada!$A:$A=BS$2)*(AsistenciaJetAdminConcatenada!$B:$B=BS$1), 0)), 1))),  0.5, 0))</f>
        <v>1</v>
      </c>
      <c r="BT50" s="47">
        <f t="array" ref="BT50">IF(AND(ISNUMBER(MATCH(BT$2, AsistenciaJetAdminConcatenada!$A:$A, 0)), ISNUMBER(MATCH(BT$1, AsistenciaJetAdminConcatenada!$B:$B, 0)), ISNUMBER(SEARCH($A50,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ISNUMBER(SEARCH($A50, INDEX(AsistenciaJetAdminConcatenada!$D:$D, MATCH(1, (AsistenciaJetAdminConcatenada!$A:$A=BT$2)*(AsistenciaJetAdminConcatenada!$B:$B=BT$1), 0)), 1))),  0.5, 0))</f>
        <v>1</v>
      </c>
      <c r="BU50" s="47">
        <f t="array" ref="BU50">IF(AND(ISNUMBER(MATCH(BU$2, AsistenciaJetAdminConcatenada!$A:$A, 0)), ISNUMBER(MATCH(BU$1, AsistenciaJetAdminConcatenada!$B:$B, 0)), ISNUMBER(SEARCH($A50,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ISNUMBER(SEARCH($A50, INDEX(AsistenciaJetAdminConcatenada!$D:$D, MATCH(1, (AsistenciaJetAdminConcatenada!$A:$A=BU$2)*(AsistenciaJetAdminConcatenada!$B:$B=BU$1), 0)), 1))),  0.5, 0))</f>
        <v>1</v>
      </c>
      <c r="BV50" s="47">
        <f t="array" ref="BV50">IF(AND(ISNUMBER(MATCH(BV$2, AsistenciaJetAdminConcatenada!$A:$A, 0)), ISNUMBER(MATCH(BV$1, AsistenciaJetAdminConcatenada!$B:$B, 0)), ISNUMBER(SEARCH($A50,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ISNUMBER(SEARCH($A50, INDEX(AsistenciaJetAdminConcatenada!$D:$D, MATCH(1, (AsistenciaJetAdminConcatenada!$A:$A=BV$2)*(AsistenciaJetAdminConcatenada!$B:$B=BV$1), 0)), 1))),  0.5, 0))</f>
        <v>0</v>
      </c>
      <c r="BW50" s="47">
        <f t="array" ref="BW50">IF(AND(ISNUMBER(MATCH(BW$2, AsistenciaJetAdminConcatenada!$A:$A, 0)), ISNUMBER(MATCH(BW$1, AsistenciaJetAdminConcatenada!$B:$B, 0)), ISNUMBER(SEARCH($A50,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ISNUMBER(SEARCH($A50, INDEX(AsistenciaJetAdminConcatenada!$D:$D, MATCH(1, (AsistenciaJetAdminConcatenada!$A:$A=BW$2)*(AsistenciaJetAdminConcatenada!$B:$B=BW$1), 0)), 1))),  0.5, 0))</f>
        <v>1</v>
      </c>
      <c r="BX50" s="47">
        <f t="array" ref="BX50">IF(AND(ISNUMBER(MATCH(BX$2, AsistenciaJetAdminConcatenada!$A:$A, 0)), ISNUMBER(MATCH(BX$1, AsistenciaJetAdminConcatenada!$B:$B, 0)), ISNUMBER(SEARCH($A50,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ISNUMBER(SEARCH($A50, INDEX(AsistenciaJetAdminConcatenada!$D:$D, MATCH(1, (AsistenciaJetAdminConcatenada!$A:$A=BX$2)*(AsistenciaJetAdminConcatenada!$B:$B=BX$1), 0)), 1))),  0.5, 0))</f>
        <v>1</v>
      </c>
      <c r="BY50" s="47">
        <f t="array" ref="BY50">IF(AND(ISNUMBER(MATCH(BY$2, AsistenciaJetAdminConcatenada!$A:$A, 0)), ISNUMBER(MATCH(BY$1, AsistenciaJetAdminConcatenada!$B:$B, 0)), ISNUMBER(SEARCH($A50,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ISNUMBER(SEARCH($A50, INDEX(AsistenciaJetAdminConcatenada!$D:$D, MATCH(1, (AsistenciaJetAdminConcatenada!$A:$A=BY$2)*(AsistenciaJetAdminConcatenada!$B:$B=BY$1), 0)), 1))),  0.5, 0))</f>
        <v>1</v>
      </c>
      <c r="BZ50" s="47">
        <f t="array" ref="BZ50">IF(AND(ISNUMBER(MATCH(BZ$2, AsistenciaJetAdminConcatenada!$A:$A, 0)), ISNUMBER(MATCH(BZ$1, AsistenciaJetAdminConcatenada!$B:$B, 0)), ISNUMBER(SEARCH($A50,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ISNUMBER(SEARCH($A50, INDEX(AsistenciaJetAdminConcatenada!$D:$D, MATCH(1, (AsistenciaJetAdminConcatenada!$A:$A=BZ$2)*(AsistenciaJetAdminConcatenada!$B:$B=BZ$1), 0)), 1))),  0.5, 0))</f>
        <v>1</v>
      </c>
      <c r="CA50" s="47">
        <f t="array" ref="CA50">IF(AND(ISNUMBER(MATCH(CA$2, AsistenciaJetAdminConcatenada!$A:$A, 0)), ISNUMBER(MATCH(CA$1, AsistenciaJetAdminConcatenada!$B:$B, 0)), ISNUMBER(SEARCH($A50,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ISNUMBER(SEARCH($A50, INDEX(AsistenciaJetAdminConcatenada!$D:$D, MATCH(1, (AsistenciaJetAdminConcatenada!$A:$A=CA$2)*(AsistenciaJetAdminConcatenada!$B:$B=CA$1), 0)), 1))),  0.5, 0))</f>
        <v>1</v>
      </c>
      <c r="CB50" s="47">
        <f t="array" ref="CB50">IF(AND(ISNUMBER(MATCH(CB$2, AsistenciaJetAdminConcatenada!$A:$A, 0)), ISNUMBER(MATCH(CB$1, AsistenciaJetAdminConcatenada!$B:$B, 0)), ISNUMBER(SEARCH($A50,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ISNUMBER(SEARCH($A50, INDEX(AsistenciaJetAdminConcatenada!$D:$D, MATCH(1, (AsistenciaJetAdminConcatenada!$A:$A=CB$2)*(AsistenciaJetAdminConcatenada!$B:$B=CB$1), 0)), 1))),  0.5, 0))</f>
        <v>0</v>
      </c>
      <c r="CC50" s="47">
        <f t="array" ref="CC50">IF(AND(ISNUMBER(MATCH(CC$2, AsistenciaJetAdminConcatenada!$A:$A, 0)), ISNUMBER(MATCH(CC$1, AsistenciaJetAdminConcatenada!$B:$B, 0)), ISNUMBER(SEARCH($A50,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ISNUMBER(SEARCH($A50, INDEX(AsistenciaJetAdminConcatenada!$D:$D, MATCH(1, (AsistenciaJetAdminConcatenada!$A:$A=CC$2)*(AsistenciaJetAdminConcatenada!$B:$B=CC$1), 0)), 1))),  0.5, 0))</f>
        <v>1</v>
      </c>
      <c r="CD50" s="47">
        <f t="array" ref="CD50">IF(AND(ISNUMBER(MATCH(CD$2, AsistenciaJetAdminConcatenada!$A:$A, 0)), ISNUMBER(MATCH(CD$1, AsistenciaJetAdminConcatenada!$B:$B, 0)), ISNUMBER(SEARCH($A50,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ISNUMBER(SEARCH($A50, INDEX(AsistenciaJetAdminConcatenada!$D:$D, MATCH(1, (AsistenciaJetAdminConcatenada!$A:$A=CD$2)*(AsistenciaJetAdminConcatenada!$B:$B=CD$1), 0)), 1))),  0.5, 0))</f>
        <v>1</v>
      </c>
      <c r="CE50" s="47">
        <f t="array" ref="CE50">IF(AND(ISNUMBER(MATCH(CE$2, AsistenciaJetAdminConcatenada!$A:$A, 0)), ISNUMBER(MATCH(CE$1, AsistenciaJetAdminConcatenada!$B:$B, 0)), ISNUMBER(SEARCH($A50,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ISNUMBER(SEARCH($A50, INDEX(AsistenciaJetAdminConcatenada!$D:$D, MATCH(1, (AsistenciaJetAdminConcatenada!$A:$A=CE$2)*(AsistenciaJetAdminConcatenada!$B:$B=CE$1), 0)), 1))),  0.5, 0))</f>
        <v>1</v>
      </c>
      <c r="CF50" s="47">
        <f t="array" ref="CF50">IF(AND(ISNUMBER(MATCH(CF$2, AsistenciaJetAdminConcatenada!$A:$A, 0)), ISNUMBER(MATCH(CF$1, AsistenciaJetAdminConcatenada!$B:$B, 0)), ISNUMBER(SEARCH($A50,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ISNUMBER(SEARCH($A50, INDEX(AsistenciaJetAdminConcatenada!$D:$D, MATCH(1, (AsistenciaJetAdminConcatenada!$A:$A=CF$2)*(AsistenciaJetAdminConcatenada!$B:$B=CF$1), 0)), 1))),  0.5, 0))</f>
        <v>0</v>
      </c>
      <c r="CG50" s="47">
        <f t="array" ref="CG50">IF(AND(ISNUMBER(MATCH(CG$2, AsistenciaJetAdminConcatenada!$A:$A, 0)), ISNUMBER(MATCH(CG$1, AsistenciaJetAdminConcatenada!$B:$B, 0)), ISNUMBER(SEARCH($A50,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ISNUMBER(SEARCH($A50, INDEX(AsistenciaJetAdminConcatenada!$D:$D, MATCH(1, (AsistenciaJetAdminConcatenada!$A:$A=CG$2)*(AsistenciaJetAdminConcatenada!$B:$B=CG$1), 0)), 1))),  0.5, 0))</f>
        <v>1</v>
      </c>
      <c r="CH50" s="47">
        <f t="array" ref="CH50">IF(AND(ISNUMBER(MATCH(CH$2, AsistenciaJetAdminConcatenada!$A:$A, 0)), ISNUMBER(MATCH(CH$1, AsistenciaJetAdminConcatenada!$B:$B, 0)), ISNUMBER(SEARCH($A50,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ISNUMBER(SEARCH($A50, INDEX(AsistenciaJetAdminConcatenada!$D:$D, MATCH(1, (AsistenciaJetAdminConcatenada!$A:$A=CH$2)*(AsistenciaJetAdminConcatenada!$B:$B=CH$1), 0)), 1))),  0.5, 0))</f>
        <v>1</v>
      </c>
      <c r="CI50" s="47">
        <f t="array" ref="CI50">IF(AND(ISNUMBER(MATCH(CI$2, AsistenciaJetAdminConcatenada!$A:$A, 0)), ISNUMBER(MATCH(CI$1, AsistenciaJetAdminConcatenada!$B:$B, 0)), ISNUMBER(SEARCH($A50,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ISNUMBER(SEARCH($A50, INDEX(AsistenciaJetAdminConcatenada!$D:$D, MATCH(1, (AsistenciaJetAdminConcatenada!$A:$A=CI$2)*(AsistenciaJetAdminConcatenada!$B:$B=CI$1), 0)), 1))),  0.5, 0))</f>
        <v>1</v>
      </c>
      <c r="CJ50" s="47">
        <f t="array" ref="CJ50">IF(AND(ISNUMBER(MATCH(CJ$2, AsistenciaJetAdminConcatenada!$A:$A, 0)), ISNUMBER(MATCH(CJ$1, AsistenciaJetAdminConcatenada!$B:$B, 0)), ISNUMBER(SEARCH($A50,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ISNUMBER(SEARCH($A50, INDEX(AsistenciaJetAdminConcatenada!$D:$D, MATCH(1, (AsistenciaJetAdminConcatenada!$A:$A=CJ$2)*(AsistenciaJetAdminConcatenada!$B:$B=CJ$1), 0)), 1))),  0.5, 0))</f>
        <v>1</v>
      </c>
      <c r="CK50" s="47">
        <f t="array" ref="CK50">IF(AND(ISNUMBER(MATCH(CK$2, AsistenciaJetAdminConcatenada!$A:$A, 0)), ISNUMBER(MATCH(CK$1, AsistenciaJetAdminConcatenada!$B:$B, 0)), ISNUMBER(SEARCH($A50,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ISNUMBER(SEARCH($A50, INDEX(AsistenciaJetAdminConcatenada!$D:$D, MATCH(1, (AsistenciaJetAdminConcatenada!$A:$A=CK$2)*(AsistenciaJetAdminConcatenada!$B:$B=CK$1), 0)), 1))),  0.5, 0))</f>
        <v>1</v>
      </c>
      <c r="CL50" s="47">
        <f t="array" ref="CL50">IF(AND(ISNUMBER(MATCH(CL$2, AsistenciaJetAdminConcatenada!$A:$A, 0)), ISNUMBER(MATCH(CL$1, AsistenciaJetAdminConcatenada!$B:$B, 0)), ISNUMBER(SEARCH($A50,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ISNUMBER(SEARCH($A50, INDEX(AsistenciaJetAdminConcatenada!$D:$D, MATCH(1, (AsistenciaJetAdminConcatenada!$A:$A=CL$2)*(AsistenciaJetAdminConcatenada!$B:$B=CL$1), 0)), 1))),  0.5, 0))</f>
        <v>1</v>
      </c>
      <c r="CM50" s="47">
        <f t="array" ref="CM50">IF(AND(ISNUMBER(MATCH(CM$2, AsistenciaJetAdminConcatenada!$A:$A, 0)), ISNUMBER(MATCH(CM$1, AsistenciaJetAdminConcatenada!$B:$B, 0)), ISNUMBER(SEARCH($A50,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ISNUMBER(SEARCH($A50, INDEX(AsistenciaJetAdminConcatenada!$D:$D, MATCH(1, (AsistenciaJetAdminConcatenada!$A:$A=CM$2)*(AsistenciaJetAdminConcatenada!$B:$B=CM$1), 0)), 1))),  0.5, 0))</f>
        <v>1</v>
      </c>
      <c r="CN50" s="47">
        <f t="array" ref="CN50">IF(AND(ISNUMBER(MATCH(CN$2, AsistenciaJetAdminConcatenada!$A:$A, 0)), ISNUMBER(MATCH(CN$1, AsistenciaJetAdminConcatenada!$B:$B, 0)), ISNUMBER(SEARCH($A50,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ISNUMBER(SEARCH($A50, INDEX(AsistenciaJetAdminConcatenada!$D:$D, MATCH(1, (AsistenciaJetAdminConcatenada!$A:$A=CN$2)*(AsistenciaJetAdminConcatenada!$B:$B=CN$1), 0)), 1))),  0.5, 0))</f>
        <v>1</v>
      </c>
      <c r="CO50" s="47">
        <f t="array" ref="CO50">IF(AND(ISNUMBER(MATCH(CO$2, AsistenciaJetAdminConcatenada!$A:$A, 0)), ISNUMBER(MATCH(CO$1, AsistenciaJetAdminConcatenada!$B:$B, 0)), ISNUMBER(SEARCH($A50,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ISNUMBER(SEARCH($A50, INDEX(AsistenciaJetAdminConcatenada!$D:$D, MATCH(1, (AsistenciaJetAdminConcatenada!$A:$A=CO$2)*(AsistenciaJetAdminConcatenada!$B:$B=CO$1), 0)), 1))),  0.5, 0))</f>
        <v>1</v>
      </c>
      <c r="CP50" s="47">
        <f t="array" ref="CP50">IF(AND(ISNUMBER(MATCH(CP$2, AsistenciaJetAdminConcatenada!$A:$A, 0)), ISNUMBER(MATCH(CP$1, AsistenciaJetAdminConcatenada!$B:$B, 0)), ISNUMBER(SEARCH($A50,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ISNUMBER(SEARCH($A50, INDEX(AsistenciaJetAdminConcatenada!$D:$D, MATCH(1, (AsistenciaJetAdminConcatenada!$A:$A=CP$2)*(AsistenciaJetAdminConcatenada!$B:$B=CP$1), 0)), 1))),  0.5, 0))</f>
        <v>1</v>
      </c>
      <c r="CQ50" s="47">
        <f t="array" ref="CQ50">IF(AND(ISNUMBER(MATCH(CQ$2, AsistenciaJetAdminConcatenada!$A:$A, 0)), ISNUMBER(MATCH(CQ$1, AsistenciaJetAdminConcatenada!$B:$B, 0)), ISNUMBER(SEARCH($A50,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ISNUMBER(SEARCH($A50, INDEX(AsistenciaJetAdminConcatenada!$D:$D, MATCH(1, (AsistenciaJetAdminConcatenada!$A:$A=CQ$2)*(AsistenciaJetAdminConcatenada!$B:$B=CQ$1), 0)), 1))),  0.5, 0))</f>
        <v>1</v>
      </c>
      <c r="CR50" s="47">
        <f t="array" ref="CR50">IF(AND(ISNUMBER(MATCH(CR$2, AsistenciaJetAdminConcatenada!$A:$A, 0)), ISNUMBER(MATCH(CR$1, AsistenciaJetAdminConcatenada!$B:$B, 0)), ISNUMBER(SEARCH($A50,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ISNUMBER(SEARCH($A50, INDEX(AsistenciaJetAdminConcatenada!$D:$D, MATCH(1, (AsistenciaJetAdminConcatenada!$A:$A=CR$2)*(AsistenciaJetAdminConcatenada!$B:$B=CR$1), 0)), 1))),  0.5, 0))</f>
        <v>1</v>
      </c>
      <c r="CS50" s="47">
        <f t="array" ref="CS50">IF(AND(ISNUMBER(MATCH(CS$2, AsistenciaJetAdminConcatenada!$A:$A, 0)), ISNUMBER(MATCH(CS$1, AsistenciaJetAdminConcatenada!$B:$B, 0)), ISNUMBER(SEARCH($A50,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ISNUMBER(SEARCH($A50, INDEX(AsistenciaJetAdminConcatenada!$D:$D, MATCH(1, (AsistenciaJetAdminConcatenada!$A:$A=CS$2)*(AsistenciaJetAdminConcatenada!$B:$B=CS$1), 0)), 1))),  0.5, 0))</f>
        <v>0</v>
      </c>
      <c r="CT50" s="47">
        <f t="array" ref="CT50">IF(AND(ISNUMBER(MATCH(CT$2, AsistenciaJetAdminConcatenada!$A:$A, 0)), ISNUMBER(MATCH(CT$1, AsistenciaJetAdminConcatenada!$B:$B, 0)), ISNUMBER(SEARCH($A50,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ISNUMBER(SEARCH($A50, INDEX(AsistenciaJetAdminConcatenada!$D:$D, MATCH(1, (AsistenciaJetAdminConcatenada!$A:$A=CT$2)*(AsistenciaJetAdminConcatenada!$B:$B=CT$1), 0)), 1))),  0.5, 0))</f>
        <v>0</v>
      </c>
      <c r="CU50" s="47">
        <f t="array" ref="CU50">IF(AND(ISNUMBER(MATCH(CU$2, AsistenciaJetAdminConcatenada!$A:$A, 0)), ISNUMBER(MATCH(CU$1, AsistenciaJetAdminConcatenada!$B:$B, 0)), ISNUMBER(SEARCH($A50,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ISNUMBER(SEARCH($A50, INDEX(AsistenciaJetAdminConcatenada!$D:$D, MATCH(1, (AsistenciaJetAdminConcatenada!$A:$A=CU$2)*(AsistenciaJetAdminConcatenada!$B:$B=CU$1), 0)), 1))),  0.5, 0))</f>
        <v>0</v>
      </c>
      <c r="CV50" s="47">
        <f t="array" ref="CV50">IF(AND(ISNUMBER(MATCH(CV$2, AsistenciaJetAdminConcatenada!$A:$A, 0)), ISNUMBER(MATCH(CV$1, AsistenciaJetAdminConcatenada!$B:$B, 0)), ISNUMBER(SEARCH($A50,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ISNUMBER(SEARCH($A50, INDEX(AsistenciaJetAdminConcatenada!$D:$D, MATCH(1, (AsistenciaJetAdminConcatenada!$A:$A=CV$2)*(AsistenciaJetAdminConcatenada!$B:$B=CV$1), 0)), 1))),  0.5, 0))</f>
        <v>0</v>
      </c>
      <c r="CW50" s="47">
        <f t="array" ref="CW50">IF(AND(ISNUMBER(MATCH(CW$2, AsistenciaJetAdminConcatenada!$A:$A, 0)), ISNUMBER(MATCH(CW$1, AsistenciaJetAdminConcatenada!$B:$B, 0)), ISNUMBER(SEARCH($A50,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ISNUMBER(SEARCH($A50, INDEX(AsistenciaJetAdminConcatenada!$D:$D, MATCH(1, (AsistenciaJetAdminConcatenada!$A:$A=CW$2)*(AsistenciaJetAdminConcatenada!$B:$B=CW$1), 0)), 1))),  0.5, 0))</f>
        <v>0</v>
      </c>
      <c r="CX50" s="47">
        <f t="array" ref="CX50">IF(AND(ISNUMBER(MATCH(CX$2, AsistenciaJetAdminConcatenada!$A:$A, 0)), ISNUMBER(MATCH(CX$1, AsistenciaJetAdminConcatenada!$B:$B, 0)), ISNUMBER(SEARCH($A50,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ISNUMBER(SEARCH($A50, INDEX(AsistenciaJetAdminConcatenada!$D:$D, MATCH(1, (AsistenciaJetAdminConcatenada!$A:$A=CX$2)*(AsistenciaJetAdminConcatenada!$B:$B=CX$1), 0)), 1))),  0.5, 0))</f>
        <v>0</v>
      </c>
      <c r="CY50" s="47">
        <f t="array" ref="CY50">IF(AND(ISNUMBER(MATCH(CY$2, AsistenciaJetAdminConcatenada!$A:$A, 0)), ISNUMBER(MATCH(CY$1, AsistenciaJetAdminConcatenada!$B:$B, 0)), ISNUMBER(SEARCH($A50,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ISNUMBER(SEARCH($A50, INDEX(AsistenciaJetAdminConcatenada!$D:$D, MATCH(1, (AsistenciaJetAdminConcatenada!$A:$A=CY$2)*(AsistenciaJetAdminConcatenada!$B:$B=CY$1), 0)), 1))),  0.5, 0))</f>
        <v>0</v>
      </c>
      <c r="CZ50" s="47">
        <f t="array" ref="CZ50">IF(AND(ISNUMBER(MATCH(CZ$2, AsistenciaJetAdminConcatenada!$A:$A, 0)), ISNUMBER(MATCH(CZ$1, AsistenciaJetAdminConcatenada!$B:$B, 0)), ISNUMBER(SEARCH($A50,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ISNUMBER(SEARCH($A50, INDEX(AsistenciaJetAdminConcatenada!$D:$D, MATCH(1, (AsistenciaJetAdminConcatenada!$A:$A=CZ$2)*(AsistenciaJetAdminConcatenada!$B:$B=CZ$1), 0)), 1))),  0.5, 0))</f>
        <v>0</v>
      </c>
      <c r="DA50" s="47">
        <f t="array" ref="DA50">IF(AND(ISNUMBER(MATCH(DA$2, AsistenciaJetAdminConcatenada!$A:$A, 0)), ISNUMBER(MATCH(DA$1, AsistenciaJetAdminConcatenada!$B:$B, 0)), ISNUMBER(SEARCH($A50,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ISNUMBER(SEARCH($A50, INDEX(AsistenciaJetAdminConcatenada!$D:$D, MATCH(1, (AsistenciaJetAdminConcatenada!$A:$A=DA$2)*(AsistenciaJetAdminConcatenada!$B:$B=DA$1), 0)), 1))),  0.5, 0))</f>
        <v>0</v>
      </c>
      <c r="DB50" s="47">
        <f t="array" ref="DB50">IF(AND(ISNUMBER(MATCH(DB$2, AsistenciaJetAdminConcatenada!$A:$A, 0)), ISNUMBER(MATCH(DB$1, AsistenciaJetAdminConcatenada!$B:$B, 0)), ISNUMBER(SEARCH($A50,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ISNUMBER(SEARCH($A50, INDEX(AsistenciaJetAdminConcatenada!$D:$D, MATCH(1, (AsistenciaJetAdminConcatenada!$A:$A=DB$2)*(AsistenciaJetAdminConcatenada!$B:$B=DB$1), 0)), 1))),  0.5, 0))</f>
        <v>0</v>
      </c>
      <c r="DC50" s="47">
        <f t="array" ref="DC50">IF(AND(ISNUMBER(MATCH(DC$2, AsistenciaJetAdminConcatenada!$A:$A, 0)), ISNUMBER(MATCH(DC$1, AsistenciaJetAdminConcatenada!$B:$B, 0)), ISNUMBER(SEARCH($A50,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ISNUMBER(SEARCH($A50, INDEX(AsistenciaJetAdminConcatenada!$D:$D, MATCH(1, (AsistenciaJetAdminConcatenada!$A:$A=DC$2)*(AsistenciaJetAdminConcatenada!$B:$B=DC$1), 0)), 1))),  0.5, 0))</f>
        <v>0</v>
      </c>
      <c r="DD50" s="47">
        <f t="array" ref="DD50">IF(AND(ISNUMBER(MATCH(DD$2, AsistenciaJetAdminConcatenada!$A:$A, 0)), ISNUMBER(MATCH(DD$1, AsistenciaJetAdminConcatenada!$B:$B, 0)), ISNUMBER(SEARCH($A50,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ISNUMBER(SEARCH($A50, INDEX(AsistenciaJetAdminConcatenada!$D:$D, MATCH(1, (AsistenciaJetAdminConcatenada!$A:$A=DD$2)*(AsistenciaJetAdminConcatenada!$B:$B=DD$1), 0)), 1))),  0.5, 0))</f>
        <v>0</v>
      </c>
      <c r="DE50" s="47">
        <f t="array" ref="DE50">IF(AND(ISNUMBER(MATCH(DE$2, AsistenciaJetAdminConcatenada!$A:$A, 0)), ISNUMBER(MATCH(DE$1, AsistenciaJetAdminConcatenada!$B:$B, 0)), ISNUMBER(SEARCH($A50,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ISNUMBER(SEARCH($A50, INDEX(AsistenciaJetAdminConcatenada!$D:$D, MATCH(1, (AsistenciaJetAdminConcatenada!$A:$A=DE$2)*(AsistenciaJetAdminConcatenada!$B:$B=DE$1), 0)), 1))),  0.5, 0))</f>
        <v>0</v>
      </c>
      <c r="DF50" s="47">
        <f t="array" ref="DF50">IF(AND(ISNUMBER(MATCH(DF$2, AsistenciaJetAdminConcatenada!$A:$A, 0)), ISNUMBER(MATCH(DF$1, AsistenciaJetAdminConcatenada!$B:$B, 0)), ISNUMBER(SEARCH($A50,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ISNUMBER(SEARCH($A50, INDEX(AsistenciaJetAdminConcatenada!$D:$D, MATCH(1, (AsistenciaJetAdminConcatenada!$A:$A=DF$2)*(AsistenciaJetAdminConcatenada!$B:$B=DF$1), 0)), 1))),  0.5, 0))</f>
        <v>0</v>
      </c>
      <c r="DG50" s="47">
        <f t="array" ref="DG50">IF(AND(ISNUMBER(MATCH(DG$2, AsistenciaJetAdminConcatenada!$A:$A, 0)), ISNUMBER(MATCH(DG$1, AsistenciaJetAdminConcatenada!$B:$B, 0)), ISNUMBER(SEARCH($A50,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ISNUMBER(SEARCH($A50, INDEX(AsistenciaJetAdminConcatenada!$D:$D, MATCH(1, (AsistenciaJetAdminConcatenada!$A:$A=DG$2)*(AsistenciaJetAdminConcatenada!$B:$B=DG$1), 0)), 1))),  0.5, 0))</f>
        <v>0</v>
      </c>
      <c r="DH50" s="47">
        <f t="array" ref="DH50">IF(AND(ISNUMBER(MATCH(DH$2, AsistenciaJetAdminConcatenada!$A:$A, 0)), ISNUMBER(MATCH(DH$1, AsistenciaJetAdminConcatenada!$B:$B, 0)), ISNUMBER(SEARCH($A50,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ISNUMBER(SEARCH($A50, INDEX(AsistenciaJetAdminConcatenada!$D:$D, MATCH(1, (AsistenciaJetAdminConcatenada!$A:$A=DH$2)*(AsistenciaJetAdminConcatenada!$B:$B=DH$1), 0)), 1))),  0.5, 0))</f>
        <v>0</v>
      </c>
      <c r="DI50" s="47">
        <f t="array" ref="DI50">IF(AND(ISNUMBER(MATCH(DI$2, AsistenciaJetAdminConcatenada!$A:$A, 0)), ISNUMBER(MATCH(DI$1, AsistenciaJetAdminConcatenada!$B:$B, 0)), ISNUMBER(SEARCH($A50,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ISNUMBER(SEARCH($A50, INDEX(AsistenciaJetAdminConcatenada!$D:$D, MATCH(1, (AsistenciaJetAdminConcatenada!$A:$A=DI$2)*(AsistenciaJetAdminConcatenada!$B:$B=DI$1), 0)), 1))),  0.5, 0))</f>
        <v>0</v>
      </c>
      <c r="DJ50" s="47">
        <f t="array" ref="DJ50">IF(AND(ISNUMBER(MATCH(DJ$2, AsistenciaJetAdminConcatenada!$A:$A, 0)), ISNUMBER(MATCH(DJ$1, AsistenciaJetAdminConcatenada!$B:$B, 0)), ISNUMBER(SEARCH($A50,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ISNUMBER(SEARCH($A50, INDEX(AsistenciaJetAdminConcatenada!$D:$D, MATCH(1, (AsistenciaJetAdminConcatenada!$A:$A=DJ$2)*(AsistenciaJetAdminConcatenada!$B:$B=DJ$1), 0)), 1))),  0.5, 0))</f>
        <v>0</v>
      </c>
      <c r="DK50" s="47">
        <f t="array" ref="DK50">IF(AND(ISNUMBER(MATCH(DK$2, AsistenciaJetAdminConcatenada!$A:$A, 0)), ISNUMBER(MATCH(DK$1, AsistenciaJetAdminConcatenada!$B:$B, 0)), ISNUMBER(SEARCH($A50,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ISNUMBER(SEARCH($A50, INDEX(AsistenciaJetAdminConcatenada!$D:$D, MATCH(1, (AsistenciaJetAdminConcatenada!$A:$A=DK$2)*(AsistenciaJetAdminConcatenada!$B:$B=DK$1), 0)), 1))),  0.5, 0))</f>
        <v>0</v>
      </c>
      <c r="DL50" s="47">
        <f t="array" ref="DL50">IF(AND(ISNUMBER(MATCH(DL$2, AsistenciaJetAdminConcatenada!$A:$A, 0)), ISNUMBER(MATCH(DL$1, AsistenciaJetAdminConcatenada!$B:$B, 0)), ISNUMBER(SEARCH($A50,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ISNUMBER(SEARCH($A50, INDEX(AsistenciaJetAdminConcatenada!$D:$D, MATCH(1, (AsistenciaJetAdminConcatenada!$A:$A=DL$2)*(AsistenciaJetAdminConcatenada!$B:$B=DL$1), 0)), 1))),  0.5, 0))</f>
        <v>0</v>
      </c>
      <c r="DM50" s="47">
        <f t="array" ref="DM50">IF(AND(ISNUMBER(MATCH(DM$2, AsistenciaJetAdminConcatenada!$A:$A, 0)), ISNUMBER(MATCH(DM$1, AsistenciaJetAdminConcatenada!$B:$B, 0)), ISNUMBER(SEARCH($A50,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ISNUMBER(SEARCH($A50, INDEX(AsistenciaJetAdminConcatenada!$D:$D, MATCH(1, (AsistenciaJetAdminConcatenada!$A:$A=DM$2)*(AsistenciaJetAdminConcatenada!$B:$B=DM$1), 0)), 1))),  0.5, 0))</f>
        <v>0</v>
      </c>
      <c r="DN50" s="47">
        <f t="array" ref="DN50">IF(AND(ISNUMBER(MATCH(DN$2, AsistenciaJetAdminConcatenada!$A:$A, 0)), ISNUMBER(MATCH(DN$1, AsistenciaJetAdminConcatenada!$B:$B, 0)), ISNUMBER(SEARCH($A50,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ISNUMBER(SEARCH($A50, INDEX(AsistenciaJetAdminConcatenada!$D:$D, MATCH(1, (AsistenciaJetAdminConcatenada!$A:$A=DN$2)*(AsistenciaJetAdminConcatenada!$B:$B=DN$1), 0)), 1))),  0.5, 0))</f>
        <v>0</v>
      </c>
      <c r="DO50" s="47">
        <f t="array" ref="DO50">IF(AND(ISNUMBER(MATCH(DO$2, AsistenciaJetAdminConcatenada!$A:$A, 0)), ISNUMBER(MATCH(DO$1, AsistenciaJetAdminConcatenada!$B:$B, 0)), ISNUMBER(SEARCH($A50,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ISNUMBER(SEARCH($A50, INDEX(AsistenciaJetAdminConcatenada!$D:$D, MATCH(1, (AsistenciaJetAdminConcatenada!$A:$A=DO$2)*(AsistenciaJetAdminConcatenada!$B:$B=DO$1), 0)), 1))),  0.5, 0))</f>
        <v>0</v>
      </c>
      <c r="DP50" s="47">
        <f t="array" ref="DP50">IF(AND(ISNUMBER(MATCH(DP$2, AsistenciaJetAdminConcatenada!$A:$A, 0)), ISNUMBER(MATCH(DP$1, AsistenciaJetAdminConcatenada!$B:$B, 0)), ISNUMBER(SEARCH($A50,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ISNUMBER(SEARCH($A50, INDEX(AsistenciaJetAdminConcatenada!$D:$D, MATCH(1, (AsistenciaJetAdminConcatenada!$A:$A=DP$2)*(AsistenciaJetAdminConcatenada!$B:$B=DP$1), 0)), 1))),  0.5, 0))</f>
        <v>0</v>
      </c>
      <c r="DQ50" s="47">
        <f t="array" ref="DQ50">IF(AND(ISNUMBER(MATCH(DQ$2, AsistenciaJetAdminConcatenada!$A:$A, 0)), ISNUMBER(MATCH(DQ$1, AsistenciaJetAdminConcatenada!$B:$B, 0)), ISNUMBER(SEARCH($A50,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ISNUMBER(SEARCH($A50, INDEX(AsistenciaJetAdminConcatenada!$D:$D, MATCH(1, (AsistenciaJetAdminConcatenada!$A:$A=DQ$2)*(AsistenciaJetAdminConcatenada!$B:$B=DQ$1), 0)), 1))),  0.5, 0))</f>
        <v>0</v>
      </c>
      <c r="DR50" s="47">
        <f t="array" ref="DR50">IF(AND(ISNUMBER(MATCH(DR$2, AsistenciaJetAdminConcatenada!$A:$A, 0)), ISNUMBER(MATCH(DR$1, AsistenciaJetAdminConcatenada!$B:$B, 0)), ISNUMBER(SEARCH($A50,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ISNUMBER(SEARCH($A50, INDEX(AsistenciaJetAdminConcatenada!$D:$D, MATCH(1, (AsistenciaJetAdminConcatenada!$A:$A=DR$2)*(AsistenciaJetAdminConcatenada!$B:$B=DR$1), 0)), 1))),  0.5, 0))</f>
        <v>0</v>
      </c>
      <c r="DS50" s="47">
        <f t="array" ref="DS50">IF(AND(ISNUMBER(MATCH(DS$2, AsistenciaJetAdminConcatenada!$A:$A, 0)), ISNUMBER(MATCH(DS$1, AsistenciaJetAdminConcatenada!$B:$B, 0)), ISNUMBER(SEARCH($A50,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ISNUMBER(SEARCH($A50, INDEX(AsistenciaJetAdminConcatenada!$D:$D, MATCH(1, (AsistenciaJetAdminConcatenada!$A:$A=DS$2)*(AsistenciaJetAdminConcatenada!$B:$B=DS$1), 0)), 1))),  0.5, 0))</f>
        <v>0</v>
      </c>
      <c r="DT50" s="47">
        <f t="array" ref="DT50">IF(AND(ISNUMBER(MATCH(DT$2, AsistenciaJetAdminConcatenada!$A:$A, 0)), ISNUMBER(MATCH(DT$1, AsistenciaJetAdminConcatenada!$B:$B, 0)), ISNUMBER(SEARCH($A50,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ISNUMBER(SEARCH($A50, INDEX(AsistenciaJetAdminConcatenada!$D:$D, MATCH(1, (AsistenciaJetAdminConcatenada!$A:$A=DT$2)*(AsistenciaJetAdminConcatenada!$B:$B=DT$1), 0)), 1))),  0.5, 0))</f>
        <v>0</v>
      </c>
      <c r="DU50" s="47">
        <f t="array" ref="DU50">IF(AND(ISNUMBER(MATCH(DU$2, AsistenciaJetAdminConcatenada!$A:$A, 0)), ISNUMBER(MATCH(DU$1, AsistenciaJetAdminConcatenada!$B:$B, 0)), ISNUMBER(SEARCH($A50,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ISNUMBER(SEARCH($A50, INDEX(AsistenciaJetAdminConcatenada!$D:$D, MATCH(1, (AsistenciaJetAdminConcatenada!$A:$A=DU$2)*(AsistenciaJetAdminConcatenada!$B:$B=DU$1), 0)), 1))),  0.5, 0))</f>
        <v>0</v>
      </c>
      <c r="DV50" s="47">
        <f t="array" ref="DV50">IF(AND(ISNUMBER(MATCH(DV$2, AsistenciaJetAdminConcatenada!$A:$A, 0)), ISNUMBER(MATCH(DV$1, AsistenciaJetAdminConcatenada!$B:$B, 0)), ISNUMBER(SEARCH($A50,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ISNUMBER(SEARCH($A50, INDEX(AsistenciaJetAdminConcatenada!$D:$D, MATCH(1, (AsistenciaJetAdminConcatenada!$A:$A=DV$2)*(AsistenciaJetAdminConcatenada!$B:$B=DV$1), 0)), 1))),  0.5, 0))</f>
        <v>0</v>
      </c>
      <c r="DW50" s="47">
        <f t="array" ref="DW50">IF(AND(ISNUMBER(MATCH(DW$2, AsistenciaJetAdminConcatenada!$A:$A, 0)), ISNUMBER(MATCH(DW$1, AsistenciaJetAdminConcatenada!$B:$B, 0)), ISNUMBER(SEARCH($A50,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ISNUMBER(SEARCH($A50, INDEX(AsistenciaJetAdminConcatenada!$D:$D, MATCH(1, (AsistenciaJetAdminConcatenada!$A:$A=DW$2)*(AsistenciaJetAdminConcatenada!$B:$B=DW$1), 0)), 1))),  0.5, 0))</f>
        <v>0</v>
      </c>
      <c r="DX50" s="47">
        <f t="array" ref="DX50">IF(AND(ISNUMBER(MATCH(DX$2, AsistenciaJetAdminConcatenada!$A:$A, 0)), ISNUMBER(MATCH(DX$1, AsistenciaJetAdminConcatenada!$B:$B, 0)), ISNUMBER(SEARCH($A50,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ISNUMBER(SEARCH($A50, INDEX(AsistenciaJetAdminConcatenada!$D:$D, MATCH(1, (AsistenciaJetAdminConcatenada!$A:$A=DX$2)*(AsistenciaJetAdminConcatenada!$B:$B=DX$1), 0)), 1))),  0.5, 0))</f>
        <v>0</v>
      </c>
      <c r="DY50" s="47">
        <f t="array" ref="DY50">IF(AND(ISNUMBER(MATCH(DY$2, AsistenciaJetAdminConcatenada!$A:$A, 0)), ISNUMBER(MATCH(DY$1, AsistenciaJetAdminConcatenada!$B:$B, 0)), ISNUMBER(SEARCH($A50,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ISNUMBER(SEARCH($A50, INDEX(AsistenciaJetAdminConcatenada!$D:$D, MATCH(1, (AsistenciaJetAdminConcatenada!$A:$A=DY$2)*(AsistenciaJetAdminConcatenada!$B:$B=DY$1), 0)), 1))),  0.5, 0))</f>
        <v>0</v>
      </c>
      <c r="DZ50" s="47">
        <f t="array" ref="DZ50">IF(AND(ISNUMBER(MATCH(DZ$2, AsistenciaJetAdminConcatenada!$A:$A, 0)), ISNUMBER(MATCH(DZ$1, AsistenciaJetAdminConcatenada!$B:$B, 0)), ISNUMBER(SEARCH($A50,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ISNUMBER(SEARCH($A50, INDEX(AsistenciaJetAdminConcatenada!$D:$D, MATCH(1, (AsistenciaJetAdminConcatenada!$A:$A=DZ$2)*(AsistenciaJetAdminConcatenada!$B:$B=DZ$1), 0)), 1))),  0.5, 0))</f>
        <v>0</v>
      </c>
      <c r="EA50" s="47">
        <f t="array" ref="EA50">IF(AND(ISNUMBER(MATCH(EA$2, AsistenciaJetAdminConcatenada!$A:$A, 0)), ISNUMBER(MATCH(EA$1, AsistenciaJetAdminConcatenada!$B:$B, 0)), ISNUMBER(SEARCH($A50,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ISNUMBER(SEARCH($A50, INDEX(AsistenciaJetAdminConcatenada!$D:$D, MATCH(1, (AsistenciaJetAdminConcatenada!$A:$A=EA$2)*(AsistenciaJetAdminConcatenada!$B:$B=EA$1), 0)), 1))),  0.5, 0))</f>
        <v>0</v>
      </c>
      <c r="EB50" s="47">
        <f t="array" ref="EB50">IF(AND(ISNUMBER(MATCH(EB$2, AsistenciaJetAdminConcatenada!$A:$A, 0)), ISNUMBER(MATCH(EB$1, AsistenciaJetAdminConcatenada!$B:$B, 0)), ISNUMBER(SEARCH($A50,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ISNUMBER(SEARCH($A50, INDEX(AsistenciaJetAdminConcatenada!$D:$D, MATCH(1, (AsistenciaJetAdminConcatenada!$A:$A=EB$2)*(AsistenciaJetAdminConcatenada!$B:$B=EB$1), 0)), 1))),  0.5, 0))</f>
        <v>0</v>
      </c>
      <c r="EC50" s="47">
        <f t="array" ref="EC50">IF(AND(ISNUMBER(MATCH(EC$2, AsistenciaJetAdminConcatenada!$A:$A, 0)), ISNUMBER(MATCH(EC$1, AsistenciaJetAdminConcatenada!$B:$B, 0)), ISNUMBER(SEARCH($A50,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ISNUMBER(SEARCH($A50, INDEX(AsistenciaJetAdminConcatenada!$D:$D, MATCH(1, (AsistenciaJetAdminConcatenada!$A:$A=EC$2)*(AsistenciaJetAdminConcatenada!$B:$B=EC$1), 0)), 1))),  0.5, 0))</f>
        <v>0</v>
      </c>
      <c r="ED50" s="47">
        <f t="array" ref="ED50">IF(AND(ISNUMBER(MATCH(ED$2, AsistenciaJetAdminConcatenada!$A:$A, 0)), ISNUMBER(MATCH(ED$1, AsistenciaJetAdminConcatenada!$B:$B, 0)), ISNUMBER(SEARCH($A50,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ISNUMBER(SEARCH($A50, INDEX(AsistenciaJetAdminConcatenada!$D:$D, MATCH(1, (AsistenciaJetAdminConcatenada!$A:$A=ED$2)*(AsistenciaJetAdminConcatenada!$B:$B=ED$1), 0)), 1))),  0.5, 0))</f>
        <v>0</v>
      </c>
      <c r="EE50" s="47">
        <f t="array" ref="EE50">IF(AND(ISNUMBER(MATCH(EE$2, AsistenciaJetAdminConcatenada!$A:$A, 0)), ISNUMBER(MATCH(EE$1, AsistenciaJetAdminConcatenada!$B:$B, 0)), ISNUMBER(SEARCH($A50,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ISNUMBER(SEARCH($A50, INDEX(AsistenciaJetAdminConcatenada!$D:$D, MATCH(1, (AsistenciaJetAdminConcatenada!$A:$A=EE$2)*(AsistenciaJetAdminConcatenada!$B:$B=EE$1), 0)), 1))),  0.5, 0))</f>
        <v>0</v>
      </c>
      <c r="EF50" s="47">
        <f t="array" ref="EF50">IF(AND(ISNUMBER(MATCH(EF$2, AsistenciaJetAdminConcatenada!$A:$A, 0)), ISNUMBER(MATCH(EF$1, AsistenciaJetAdminConcatenada!$B:$B, 0)), ISNUMBER(SEARCH($A50,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ISNUMBER(SEARCH($A50, INDEX(AsistenciaJetAdminConcatenada!$D:$D, MATCH(1, (AsistenciaJetAdminConcatenada!$A:$A=EF$2)*(AsistenciaJetAdminConcatenada!$B:$B=EF$1), 0)), 1))),  0.5, 0))</f>
        <v>0</v>
      </c>
      <c r="EG50" s="47">
        <f t="array" ref="EG50">IF(AND(ISNUMBER(MATCH(EG$2, AsistenciaJetAdminConcatenada!$A:$A, 0)), ISNUMBER(MATCH(EG$1, AsistenciaJetAdminConcatenada!$B:$B, 0)), ISNUMBER(SEARCH($A50,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ISNUMBER(SEARCH($A50, INDEX(AsistenciaJetAdminConcatenada!$D:$D, MATCH(1, (AsistenciaJetAdminConcatenada!$A:$A=EG$2)*(AsistenciaJetAdminConcatenada!$B:$B=EG$1), 0)), 1))),  0.5, 0))</f>
        <v>0</v>
      </c>
      <c r="EH50" s="47">
        <f t="array" ref="EH50">IF(AND(ISNUMBER(MATCH(EH$2, AsistenciaJetAdminConcatenada!$A:$A, 0)), ISNUMBER(MATCH(EH$1, AsistenciaJetAdminConcatenada!$B:$B, 0)), ISNUMBER(SEARCH($A50,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ISNUMBER(SEARCH($A50, INDEX(AsistenciaJetAdminConcatenada!$D:$D, MATCH(1, (AsistenciaJetAdminConcatenada!$A:$A=EH$2)*(AsistenciaJetAdminConcatenada!$B:$B=EH$1), 0)), 1))),  0.5, 0))</f>
        <v>0</v>
      </c>
      <c r="EI50" s="47">
        <f t="array" ref="EI50">IF(AND(ISNUMBER(MATCH(EI$2, AsistenciaJetAdminConcatenada!$A:$A, 0)), ISNUMBER(MATCH(EI$1, AsistenciaJetAdminConcatenada!$B:$B, 0)), ISNUMBER(SEARCH($A50,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ISNUMBER(SEARCH($A50, INDEX(AsistenciaJetAdminConcatenada!$D:$D, MATCH(1, (AsistenciaJetAdminConcatenada!$A:$A=EI$2)*(AsistenciaJetAdminConcatenada!$B:$B=EI$1), 0)), 1))),  0.5, 0))</f>
        <v>0</v>
      </c>
      <c r="EJ50" s="47">
        <f t="array" ref="EJ50">IF(AND(ISNUMBER(MATCH(EJ$2, AsistenciaJetAdminConcatenada!$A:$A, 0)), ISNUMBER(MATCH(EJ$1, AsistenciaJetAdminConcatenada!$B:$B, 0)), ISNUMBER(SEARCH($A50,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ISNUMBER(SEARCH($A50, INDEX(AsistenciaJetAdminConcatenada!$D:$D, MATCH(1, (AsistenciaJetAdminConcatenada!$A:$A=EJ$2)*(AsistenciaJetAdminConcatenada!$B:$B=EJ$1), 0)), 1))),  0.5, 0))</f>
        <v>0</v>
      </c>
      <c r="EK50" s="47">
        <f t="array" ref="EK50">IF(AND(ISNUMBER(MATCH(EK$2, AsistenciaJetAdminConcatenada!$A:$A, 0)), ISNUMBER(MATCH(EK$1, AsistenciaJetAdminConcatenada!$B:$B, 0)), ISNUMBER(SEARCH($A50,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ISNUMBER(SEARCH($A50, INDEX(AsistenciaJetAdminConcatenada!$D:$D, MATCH(1, (AsistenciaJetAdminConcatenada!$A:$A=EK$2)*(AsistenciaJetAdminConcatenada!$B:$B=EK$1), 0)), 1))),  0.5, 0))</f>
        <v>0</v>
      </c>
      <c r="EL50" s="47">
        <f t="array" ref="EL50">IF(AND(ISNUMBER(MATCH(EL$2, AsistenciaJetAdminConcatenada!$A:$A, 0)), ISNUMBER(MATCH(EL$1, AsistenciaJetAdminConcatenada!$B:$B, 0)), ISNUMBER(SEARCH($A50,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ISNUMBER(SEARCH($A50, INDEX(AsistenciaJetAdminConcatenada!$D:$D, MATCH(1, (AsistenciaJetAdminConcatenada!$A:$A=EL$2)*(AsistenciaJetAdminConcatenada!$B:$B=EL$1), 0)), 1))),  0.5, 0))</f>
        <v>0</v>
      </c>
      <c r="EM50" s="47">
        <f t="array" ref="EM50">IF(AND(ISNUMBER(MATCH(EM$2, AsistenciaJetAdminConcatenada!$A:$A, 0)), ISNUMBER(MATCH(EM$1, AsistenciaJetAdminConcatenada!$B:$B, 0)), ISNUMBER(SEARCH($A50,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ISNUMBER(SEARCH($A50, INDEX(AsistenciaJetAdminConcatenada!$D:$D, MATCH(1, (AsistenciaJetAdminConcatenada!$A:$A=EM$2)*(AsistenciaJetAdminConcatenada!$B:$B=EM$1), 0)), 1))),  0.5, 0))</f>
        <v>0</v>
      </c>
      <c r="EN50" s="47">
        <f t="array" ref="EN50">IF(AND(ISNUMBER(MATCH(EN$2, AsistenciaJetAdminConcatenada!$A:$A, 0)), ISNUMBER(MATCH(EN$1, AsistenciaJetAdminConcatenada!$B:$B, 0)), ISNUMBER(SEARCH($A50,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ISNUMBER(SEARCH($A50, INDEX(AsistenciaJetAdminConcatenada!$D:$D, MATCH(1, (AsistenciaJetAdminConcatenada!$A:$A=EN$2)*(AsistenciaJetAdminConcatenada!$B:$B=EN$1), 0)), 1))),  0.5, 0))</f>
        <v>0</v>
      </c>
      <c r="EO50" s="47">
        <f t="array" ref="EO50">IF(AND(ISNUMBER(MATCH(EO$2, AsistenciaJetAdminConcatenada!$A:$A, 0)), ISNUMBER(MATCH(EO$1, AsistenciaJetAdminConcatenada!$B:$B, 0)), ISNUMBER(SEARCH($A50,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ISNUMBER(SEARCH($A50, INDEX(AsistenciaJetAdminConcatenada!$D:$D, MATCH(1, (AsistenciaJetAdminConcatenada!$A:$A=EO$2)*(AsistenciaJetAdminConcatenada!$B:$B=EO$1), 0)), 1))),  0.5, 0))</f>
        <v>0</v>
      </c>
      <c r="EP50" s="47">
        <f t="array" ref="EP50">IF(AND(ISNUMBER(MATCH(EP$2, AsistenciaJetAdminConcatenada!$A:$A, 0)), ISNUMBER(MATCH(EP$1, AsistenciaJetAdminConcatenada!$B:$B, 0)), ISNUMBER(SEARCH($A50,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ISNUMBER(SEARCH($A50, INDEX(AsistenciaJetAdminConcatenada!$D:$D, MATCH(1, (AsistenciaJetAdminConcatenada!$A:$A=EP$2)*(AsistenciaJetAdminConcatenada!$B:$B=EP$1), 0)), 1))),  0.5, 0))</f>
        <v>0</v>
      </c>
      <c r="EQ50" s="47">
        <f t="array" ref="EQ50">IF(AND(ISNUMBER(MATCH(EQ$2, AsistenciaJetAdminConcatenada!$A:$A, 0)), ISNUMBER(MATCH(EQ$1, AsistenciaJetAdminConcatenada!$B:$B, 0)), ISNUMBER(SEARCH($A50,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ISNUMBER(SEARCH($A50, INDEX(AsistenciaJetAdminConcatenada!$D:$D, MATCH(1, (AsistenciaJetAdminConcatenada!$A:$A=EQ$2)*(AsistenciaJetAdminConcatenada!$B:$B=EQ$1), 0)), 1))),  0.5, 0))</f>
        <v>0</v>
      </c>
      <c r="ER50" s="47">
        <f t="array" ref="ER50">IF(AND(ISNUMBER(MATCH(ER$2, AsistenciaJetAdminConcatenada!$A:$A, 0)), ISNUMBER(MATCH(ER$1, AsistenciaJetAdminConcatenada!$B:$B, 0)), ISNUMBER(SEARCH($A50,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ISNUMBER(SEARCH($A50, INDEX(AsistenciaJetAdminConcatenada!$D:$D, MATCH(1, (AsistenciaJetAdminConcatenada!$A:$A=ER$2)*(AsistenciaJetAdminConcatenada!$B:$B=ER$1), 0)), 1))),  0.5, 0))</f>
        <v>0</v>
      </c>
      <c r="ES50" s="47">
        <f t="array" ref="ES50">IF(AND(ISNUMBER(MATCH(ES$2, AsistenciaJetAdminConcatenada!$A:$A, 0)), ISNUMBER(MATCH(ES$1, AsistenciaJetAdminConcatenada!$B:$B, 0)), ISNUMBER(SEARCH($A50,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ISNUMBER(SEARCH($A50, INDEX(AsistenciaJetAdminConcatenada!$D:$D, MATCH(1, (AsistenciaJetAdminConcatenada!$A:$A=ES$2)*(AsistenciaJetAdminConcatenada!$B:$B=ES$1), 0)), 1))),  0.5, 0))</f>
        <v>0</v>
      </c>
      <c r="ET50" s="47">
        <f t="array" ref="ET50">IF(AND(ISNUMBER(MATCH(ET$2, AsistenciaJetAdminConcatenada!$A:$A, 0)), ISNUMBER(MATCH(ET$1, AsistenciaJetAdminConcatenada!$B:$B, 0)), ISNUMBER(SEARCH($A50,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ISNUMBER(SEARCH($A50, INDEX(AsistenciaJetAdminConcatenada!$D:$D, MATCH(1, (AsistenciaJetAdminConcatenada!$A:$A=ET$2)*(AsistenciaJetAdminConcatenada!$B:$B=ET$1), 0)), 1))),  0.5, 0))</f>
        <v>0</v>
      </c>
      <c r="EU50" s="47">
        <f t="array" ref="EU50">IF(AND(ISNUMBER(MATCH(EU$2, AsistenciaJetAdminConcatenada!$A:$A, 0)), ISNUMBER(MATCH(EU$1, AsistenciaJetAdminConcatenada!$B:$B, 0)), ISNUMBER(SEARCH($A50,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ISNUMBER(SEARCH($A50, INDEX(AsistenciaJetAdminConcatenada!$D:$D, MATCH(1, (AsistenciaJetAdminConcatenada!$A:$A=EU$2)*(AsistenciaJetAdminConcatenada!$B:$B=EU$1), 0)), 1))),  0.5, 0))</f>
        <v>0</v>
      </c>
      <c r="EV50" s="47">
        <f t="array" ref="EV50">IF(AND(ISNUMBER(MATCH(EV$2, AsistenciaJetAdminConcatenada!$A:$A, 0)), ISNUMBER(MATCH(EV$1, AsistenciaJetAdminConcatenada!$B:$B, 0)), ISNUMBER(SEARCH($A50,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ISNUMBER(SEARCH($A50, INDEX(AsistenciaJetAdminConcatenada!$D:$D, MATCH(1, (AsistenciaJetAdminConcatenada!$A:$A=EV$2)*(AsistenciaJetAdminConcatenada!$B:$B=EV$1), 0)), 1))),  0.5, 0))</f>
        <v>0</v>
      </c>
      <c r="EW50" s="47">
        <f t="array" ref="EW50">IF(AND(ISNUMBER(MATCH(EW$2, AsistenciaJetAdminConcatenada!$A:$A, 0)), ISNUMBER(MATCH(EW$1, AsistenciaJetAdminConcatenada!$B:$B, 0)), ISNUMBER(SEARCH($A50,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ISNUMBER(SEARCH($A50, INDEX(AsistenciaJetAdminConcatenada!$D:$D, MATCH(1, (AsistenciaJetAdminConcatenada!$A:$A=EW$2)*(AsistenciaJetAdminConcatenada!$B:$B=EW$1), 0)), 1))),  0.5, 0))</f>
        <v>0</v>
      </c>
      <c r="EX50" s="47">
        <f t="array" ref="EX50">IF(AND(ISNUMBER(MATCH(EX$2, AsistenciaJetAdminConcatenada!$A:$A, 0)), ISNUMBER(MATCH(EX$1, AsistenciaJetAdminConcatenada!$B:$B, 0)), ISNUMBER(SEARCH($A50,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ISNUMBER(SEARCH($A50, INDEX(AsistenciaJetAdminConcatenada!$D:$D, MATCH(1, (AsistenciaJetAdminConcatenada!$A:$A=EX$2)*(AsistenciaJetAdminConcatenada!$B:$B=EX$1), 0)), 1))),  0.5, 0))</f>
        <v>0</v>
      </c>
      <c r="EY50" s="47">
        <f t="array" ref="EY50">IF(AND(ISNUMBER(MATCH(EY$2, AsistenciaJetAdminConcatenada!$A:$A, 0)), ISNUMBER(MATCH(EY$1, AsistenciaJetAdminConcatenada!$B:$B, 0)), ISNUMBER(SEARCH($A50,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ISNUMBER(SEARCH($A50, INDEX(AsistenciaJetAdminConcatenada!$D:$D, MATCH(1, (AsistenciaJetAdminConcatenada!$A:$A=EY$2)*(AsistenciaJetAdminConcatenada!$B:$B=EY$1), 0)), 1))),  0.5, 0))</f>
        <v>0</v>
      </c>
      <c r="EZ50" s="47">
        <f t="array" ref="EZ50">IF(AND(ISNUMBER(MATCH(EZ$2, AsistenciaJetAdminConcatenada!$A:$A, 0)), ISNUMBER(MATCH(EZ$1, AsistenciaJetAdminConcatenada!$B:$B, 0)), ISNUMBER(SEARCH($A50,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ISNUMBER(SEARCH($A50, INDEX(AsistenciaJetAdminConcatenada!$D:$D, MATCH(1, (AsistenciaJetAdminConcatenada!$A:$A=EZ$2)*(AsistenciaJetAdminConcatenada!$B:$B=EZ$1), 0)), 1))),  0.5, 0))</f>
        <v>0</v>
      </c>
      <c r="FA50" s="47">
        <f t="array" ref="FA50">IF(AND(ISNUMBER(MATCH(FA$2, AsistenciaJetAdminConcatenada!$A:$A, 0)), ISNUMBER(MATCH(FA$1, AsistenciaJetAdminConcatenada!$B:$B, 0)), ISNUMBER(SEARCH($A50,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ISNUMBER(SEARCH($A50, INDEX(AsistenciaJetAdminConcatenada!$D:$D, MATCH(1, (AsistenciaJetAdminConcatenada!$A:$A=FA$2)*(AsistenciaJetAdminConcatenada!$B:$B=FA$1), 0)), 1))),  0.5, 0))</f>
        <v>0</v>
      </c>
      <c r="FB50" s="47">
        <f t="array" ref="FB50">IF(AND(ISNUMBER(MATCH(FB$2, AsistenciaJetAdminConcatenada!$A:$A, 0)), ISNUMBER(MATCH(FB$1, AsistenciaJetAdminConcatenada!$B:$B, 0)), ISNUMBER(SEARCH($A50,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ISNUMBER(SEARCH($A50, INDEX(AsistenciaJetAdminConcatenada!$D:$D, MATCH(1, (AsistenciaJetAdminConcatenada!$A:$A=FB$2)*(AsistenciaJetAdminConcatenada!$B:$B=FB$1), 0)), 1))),  0.5, 0))</f>
        <v>0</v>
      </c>
      <c r="FC50" s="47">
        <f t="array" ref="FC50">IF(AND(ISNUMBER(MATCH(FC$2, AsistenciaJetAdminConcatenada!$A:$A, 0)), ISNUMBER(MATCH(FC$1, AsistenciaJetAdminConcatenada!$B:$B, 0)), ISNUMBER(SEARCH($A50,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ISNUMBER(SEARCH($A50, INDEX(AsistenciaJetAdminConcatenada!$D:$D, MATCH(1, (AsistenciaJetAdminConcatenada!$A:$A=FC$2)*(AsistenciaJetAdminConcatenada!$B:$B=FC$1), 0)), 1))),  0.5, 0))</f>
        <v>0</v>
      </c>
      <c r="FD50" s="47">
        <f t="array" ref="FD50">IF(AND(ISNUMBER(MATCH(FD$2, AsistenciaJetAdminConcatenada!$A:$A, 0)), ISNUMBER(MATCH(FD$1, AsistenciaJetAdminConcatenada!$B:$B, 0)), ISNUMBER(SEARCH($A50,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ISNUMBER(SEARCH($A50, INDEX(AsistenciaJetAdminConcatenada!$D:$D, MATCH(1, (AsistenciaJetAdminConcatenada!$A:$A=FD$2)*(AsistenciaJetAdminConcatenada!$B:$B=FD$1), 0)), 1))),  0.5, 0))</f>
        <v>0</v>
      </c>
      <c r="FE50" s="47">
        <f t="array" ref="FE50">IF(AND(ISNUMBER(MATCH(FE$2, AsistenciaJetAdminConcatenada!$A:$A, 0)), ISNUMBER(MATCH(FE$1, AsistenciaJetAdminConcatenada!$B:$B, 0)), ISNUMBER(SEARCH($A50,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ISNUMBER(SEARCH($A50, INDEX(AsistenciaJetAdminConcatenada!$D:$D, MATCH(1, (AsistenciaJetAdminConcatenada!$A:$A=FE$2)*(AsistenciaJetAdminConcatenada!$B:$B=FE$1), 0)), 1))),  0.5, 0))</f>
        <v>0</v>
      </c>
      <c r="FF50" s="47">
        <f t="array" ref="FF50">IF(AND(ISNUMBER(MATCH(FF$2, AsistenciaJetAdminConcatenada!$A:$A, 0)), ISNUMBER(MATCH(FF$1, AsistenciaJetAdminConcatenada!$B:$B, 0)), ISNUMBER(SEARCH($A50,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ISNUMBER(SEARCH($A50, INDEX(AsistenciaJetAdminConcatenada!$D:$D, MATCH(1, (AsistenciaJetAdminConcatenada!$A:$A=FF$2)*(AsistenciaJetAdminConcatenada!$B:$B=FF$1), 0)), 1))),  0.5, 0))</f>
        <v>0</v>
      </c>
      <c r="FG50" s="47">
        <f t="array" ref="FG50">IF(AND(ISNUMBER(MATCH(FG$2, AsistenciaJetAdminConcatenada!$A:$A, 0)), ISNUMBER(MATCH(FG$1, AsistenciaJetAdminConcatenada!$B:$B, 0)), ISNUMBER(SEARCH($A50,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ISNUMBER(SEARCH($A50, INDEX(AsistenciaJetAdminConcatenada!$D:$D, MATCH(1, (AsistenciaJetAdminConcatenada!$A:$A=FG$2)*(AsistenciaJetAdminConcatenada!$B:$B=FG$1), 0)), 1))),  0.5, 0))</f>
        <v>0</v>
      </c>
      <c r="FH50" s="47">
        <f t="array" ref="FH50">IF(AND(ISNUMBER(MATCH(FH$2, AsistenciaJetAdminConcatenada!$A:$A, 0)), ISNUMBER(MATCH(FH$1, AsistenciaJetAdminConcatenada!$B:$B, 0)), ISNUMBER(SEARCH($A50,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ISNUMBER(SEARCH($A50, INDEX(AsistenciaJetAdminConcatenada!$D:$D, MATCH(1, (AsistenciaJetAdminConcatenada!$A:$A=FH$2)*(AsistenciaJetAdminConcatenada!$B:$B=FH$1), 0)), 1))),  0.5, 0))</f>
        <v>0</v>
      </c>
      <c r="FI50" s="47">
        <f t="array" ref="FI50">IF(AND(ISNUMBER(MATCH(FI$2, AsistenciaJetAdminConcatenada!$A:$A, 0)), ISNUMBER(MATCH(FI$1, AsistenciaJetAdminConcatenada!$B:$B, 0)), ISNUMBER(SEARCH($A50,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ISNUMBER(SEARCH($A50, INDEX(AsistenciaJetAdminConcatenada!$D:$D, MATCH(1, (AsistenciaJetAdminConcatenada!$A:$A=FI$2)*(AsistenciaJetAdminConcatenada!$B:$B=FI$1), 0)), 1))),  0.5, 0))</f>
        <v>0</v>
      </c>
      <c r="FJ50" s="47">
        <f t="array" ref="FJ50">IF(AND(ISNUMBER(MATCH(FJ$2, AsistenciaJetAdminConcatenada!$A:$A, 0)), ISNUMBER(MATCH(FJ$1, AsistenciaJetAdminConcatenada!$B:$B, 0)), ISNUMBER(SEARCH($A50,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ISNUMBER(SEARCH($A50, INDEX(AsistenciaJetAdminConcatenada!$D:$D, MATCH(1, (AsistenciaJetAdminConcatenada!$A:$A=FJ$2)*(AsistenciaJetAdminConcatenada!$B:$B=FJ$1), 0)), 1))),  0.5, 0))</f>
        <v>0</v>
      </c>
      <c r="FK50" s="47">
        <f t="array" ref="FK50">IF(AND(ISNUMBER(MATCH(FK$2, AsistenciaJetAdminConcatenada!$A:$A, 0)), ISNUMBER(MATCH(FK$1, AsistenciaJetAdminConcatenada!$B:$B, 0)), ISNUMBER(SEARCH($A50,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ISNUMBER(SEARCH($A50, INDEX(AsistenciaJetAdminConcatenada!$D:$D, MATCH(1, (AsistenciaJetAdminConcatenada!$A:$A=FK$2)*(AsistenciaJetAdminConcatenada!$B:$B=FK$1), 0)), 1))),  0.5, 0))</f>
        <v>0</v>
      </c>
      <c r="FL50" s="47">
        <f t="array" ref="FL50">IF(AND(ISNUMBER(MATCH(FL$2, AsistenciaJetAdminConcatenada!$A:$A, 0)), ISNUMBER(MATCH(FL$1, AsistenciaJetAdminConcatenada!$B:$B, 0)), ISNUMBER(SEARCH($A50,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ISNUMBER(SEARCH($A50, INDEX(AsistenciaJetAdminConcatenada!$D:$D, MATCH(1, (AsistenciaJetAdminConcatenada!$A:$A=FL$2)*(AsistenciaJetAdminConcatenada!$B:$B=FL$1), 0)), 1))),  0.5, 0))</f>
        <v>0</v>
      </c>
      <c r="FM50" s="47">
        <f t="array" ref="FM50">IF(AND(ISNUMBER(MATCH(FM$2, AsistenciaJetAdminConcatenada!$A:$A, 0)), ISNUMBER(MATCH(FM$1, AsistenciaJetAdminConcatenada!$B:$B, 0)), ISNUMBER(SEARCH($A50,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ISNUMBER(SEARCH($A50, INDEX(AsistenciaJetAdminConcatenada!$D:$D, MATCH(1, (AsistenciaJetAdminConcatenada!$A:$A=FM$2)*(AsistenciaJetAdminConcatenada!$B:$B=FM$1), 0)), 1))),  0.5, 0))</f>
        <v>0</v>
      </c>
      <c r="FN50" s="47">
        <f t="array" ref="FN50">IF(AND(ISNUMBER(MATCH(FN$2, AsistenciaJetAdminConcatenada!$A:$A, 0)), ISNUMBER(MATCH(FN$1, AsistenciaJetAdminConcatenada!$B:$B, 0)), ISNUMBER(SEARCH($A50,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ISNUMBER(SEARCH($A50, INDEX(AsistenciaJetAdminConcatenada!$D:$D, MATCH(1, (AsistenciaJetAdminConcatenada!$A:$A=FN$2)*(AsistenciaJetAdminConcatenada!$B:$B=FN$1), 0)), 1))),  0.5, 0))</f>
        <v>0</v>
      </c>
      <c r="FO50" s="47">
        <f t="array" ref="FO50">IF(AND(ISNUMBER(MATCH(FO$2, AsistenciaJetAdminConcatenada!$A:$A, 0)), ISNUMBER(MATCH(FO$1, AsistenciaJetAdminConcatenada!$B:$B, 0)), ISNUMBER(SEARCH($A50,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ISNUMBER(SEARCH($A50, INDEX(AsistenciaJetAdminConcatenada!$D:$D, MATCH(1, (AsistenciaJetAdminConcatenada!$A:$A=FO$2)*(AsistenciaJetAdminConcatenada!$B:$B=FO$1), 0)), 1))),  0.5, 0))</f>
        <v>0</v>
      </c>
      <c r="FP50" s="47">
        <f t="array" ref="FP50">IF(AND(ISNUMBER(MATCH(FP$2, AsistenciaJetAdminConcatenada!$A:$A, 0)), ISNUMBER(MATCH(FP$1, AsistenciaJetAdminConcatenada!$B:$B, 0)), ISNUMBER(SEARCH($A50,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ISNUMBER(SEARCH($A50, INDEX(AsistenciaJetAdminConcatenada!$D:$D, MATCH(1, (AsistenciaJetAdminConcatenada!$A:$A=FP$2)*(AsistenciaJetAdminConcatenada!$B:$B=FP$1), 0)), 1))),  0.5, 0))</f>
        <v>0</v>
      </c>
      <c r="FQ50" s="47">
        <f t="array" ref="FQ50">IF(AND(ISNUMBER(MATCH(FQ$2, AsistenciaJetAdminConcatenada!$A:$A, 0)), ISNUMBER(MATCH(FQ$1, AsistenciaJetAdminConcatenada!$B:$B, 0)), ISNUMBER(SEARCH($A50,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ISNUMBER(SEARCH($A50, INDEX(AsistenciaJetAdminConcatenada!$D:$D, MATCH(1, (AsistenciaJetAdminConcatenada!$A:$A=FQ$2)*(AsistenciaJetAdminConcatenada!$B:$B=FQ$1), 0)), 1))),  0.5, 0))</f>
        <v>0</v>
      </c>
      <c r="FR50" s="47">
        <f t="array" ref="FR50">IF(AND(ISNUMBER(MATCH(FR$2, AsistenciaJetAdminConcatenada!$A:$A, 0)), ISNUMBER(MATCH(FR$1, AsistenciaJetAdminConcatenada!$B:$B, 0)), ISNUMBER(SEARCH($A50,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ISNUMBER(SEARCH($A50, INDEX(AsistenciaJetAdminConcatenada!$D:$D, MATCH(1, (AsistenciaJetAdminConcatenada!$A:$A=FR$2)*(AsistenciaJetAdminConcatenada!$B:$B=FR$1), 0)), 1))),  0.5, 0))</f>
        <v>0</v>
      </c>
      <c r="FS50" s="47">
        <f t="array" ref="FS50">IF(AND(ISNUMBER(MATCH(FS$2, AsistenciaJetAdminConcatenada!$A:$A, 0)), ISNUMBER(MATCH(FS$1, AsistenciaJetAdminConcatenada!$B:$B, 0)), ISNUMBER(SEARCH($A50,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ISNUMBER(SEARCH($A50, INDEX(AsistenciaJetAdminConcatenada!$D:$D, MATCH(1, (AsistenciaJetAdminConcatenada!$A:$A=FS$2)*(AsistenciaJetAdminConcatenada!$B:$B=FS$1), 0)), 1))),  0.5, 0))</f>
        <v>0</v>
      </c>
      <c r="FT50" s="47">
        <f t="array" ref="FT50">IF(AND(ISNUMBER(MATCH(FT$2, AsistenciaJetAdminConcatenada!$A:$A, 0)), ISNUMBER(MATCH(FT$1, AsistenciaJetAdminConcatenada!$B:$B, 0)), ISNUMBER(SEARCH($A50,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ISNUMBER(SEARCH($A50, INDEX(AsistenciaJetAdminConcatenada!$D:$D, MATCH(1, (AsistenciaJetAdminConcatenada!$A:$A=FT$2)*(AsistenciaJetAdminConcatenada!$B:$B=FT$1), 0)), 1))),  0.5, 0))</f>
        <v>0</v>
      </c>
      <c r="FU50" s="47">
        <f t="array" ref="FU50">IF(AND(ISNUMBER(MATCH(FU$2, AsistenciaJetAdminConcatenada!$A:$A, 0)), ISNUMBER(MATCH(FU$1, AsistenciaJetAdminConcatenada!$B:$B, 0)), ISNUMBER(SEARCH($A50,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ISNUMBER(SEARCH($A50, INDEX(AsistenciaJetAdminConcatenada!$D:$D, MATCH(1, (AsistenciaJetAdminConcatenada!$A:$A=FU$2)*(AsistenciaJetAdminConcatenada!$B:$B=FU$1), 0)), 1))),  0.5, 0))</f>
        <v>0</v>
      </c>
      <c r="FV50" s="47">
        <f t="array" ref="FV50">IF(AND(ISNUMBER(MATCH(FV$2, AsistenciaJetAdminConcatenada!$A:$A, 0)), ISNUMBER(MATCH(FV$1, AsistenciaJetAdminConcatenada!$B:$B, 0)), ISNUMBER(SEARCH($A50,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ISNUMBER(SEARCH($A50, INDEX(AsistenciaJetAdminConcatenada!$D:$D, MATCH(1, (AsistenciaJetAdminConcatenada!$A:$A=FV$2)*(AsistenciaJetAdminConcatenada!$B:$B=FV$1), 0)), 1))),  0.5, 0))</f>
        <v>0</v>
      </c>
      <c r="FW50" s="47">
        <f t="array" ref="FW50">IF(AND(ISNUMBER(MATCH(FW$2, AsistenciaJetAdminConcatenada!$A:$A, 0)), ISNUMBER(MATCH(FW$1, AsistenciaJetAdminConcatenada!$B:$B, 0)), ISNUMBER(SEARCH($A50,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ISNUMBER(SEARCH($A50, INDEX(AsistenciaJetAdminConcatenada!$D:$D, MATCH(1, (AsistenciaJetAdminConcatenada!$A:$A=FW$2)*(AsistenciaJetAdminConcatenada!$B:$B=FW$1), 0)), 1))),  0.5, 0))</f>
        <v>0</v>
      </c>
      <c r="FX50" s="47">
        <f t="array" ref="FX50">IF(AND(ISNUMBER(MATCH(FX$2, AsistenciaJetAdminConcatenada!$A:$A, 0)), ISNUMBER(MATCH(FX$1, AsistenciaJetAdminConcatenada!$B:$B, 0)), ISNUMBER(SEARCH($A50,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ISNUMBER(SEARCH($A50, INDEX(AsistenciaJetAdminConcatenada!$D:$D, MATCH(1, (AsistenciaJetAdminConcatenada!$A:$A=FX$2)*(AsistenciaJetAdminConcatenada!$B:$B=FX$1), 0)), 1))),  0.5, 0))</f>
        <v>0</v>
      </c>
      <c r="FY50" s="47">
        <f t="array" ref="FY50">IF(AND(ISNUMBER(MATCH(FY$2, AsistenciaJetAdminConcatenada!$A:$A, 0)), ISNUMBER(MATCH(FY$1, AsistenciaJetAdminConcatenada!$B:$B, 0)), ISNUMBER(SEARCH($A50,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ISNUMBER(SEARCH($A50, INDEX(AsistenciaJetAdminConcatenada!$D:$D, MATCH(1, (AsistenciaJetAdminConcatenada!$A:$A=FY$2)*(AsistenciaJetAdminConcatenada!$B:$B=FY$1), 0)), 1))),  0.5, 0))</f>
        <v>0</v>
      </c>
      <c r="FZ50" s="47">
        <f t="array" ref="FZ50">IF(AND(ISNUMBER(MATCH(FZ$2, AsistenciaJetAdminConcatenada!$A:$A, 0)), ISNUMBER(MATCH(FZ$1, AsistenciaJetAdminConcatenada!$B:$B, 0)), ISNUMBER(SEARCH($A50,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ISNUMBER(SEARCH($A50, INDEX(AsistenciaJetAdminConcatenada!$D:$D, MATCH(1, (AsistenciaJetAdminConcatenada!$A:$A=FZ$2)*(AsistenciaJetAdminConcatenada!$B:$B=FZ$1), 0)), 1))),  0.5, 0))</f>
        <v>0</v>
      </c>
      <c r="GA50" s="47">
        <f t="array" ref="GA50">IF(AND(ISNUMBER(MATCH(GA$2, AsistenciaJetAdminConcatenada!$A:$A, 0)), ISNUMBER(MATCH(GA$1, AsistenciaJetAdminConcatenada!$B:$B, 0)), ISNUMBER(SEARCH($A50,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ISNUMBER(SEARCH($A50, INDEX(AsistenciaJetAdminConcatenada!$D:$D, MATCH(1, (AsistenciaJetAdminConcatenada!$A:$A=GA$2)*(AsistenciaJetAdminConcatenada!$B:$B=GA$1), 0)), 1))),  0.5, 0))</f>
        <v>0</v>
      </c>
      <c r="GB50" s="47">
        <f t="array" ref="GB50">IF(AND(ISNUMBER(MATCH(GB$2, AsistenciaJetAdminConcatenada!$A:$A, 0)), ISNUMBER(MATCH(GB$1, AsistenciaJetAdminConcatenada!$B:$B, 0)), ISNUMBER(SEARCH($A50,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ISNUMBER(SEARCH($A50, INDEX(AsistenciaJetAdminConcatenada!$D:$D, MATCH(1, (AsistenciaJetAdminConcatenada!$A:$A=GB$2)*(AsistenciaJetAdminConcatenada!$B:$B=GB$1), 0)), 1))),  0.5, 0))</f>
        <v>0</v>
      </c>
      <c r="GC50" s="47">
        <f t="array" ref="GC50">IF(AND(ISNUMBER(MATCH(GC$2, AsistenciaJetAdminConcatenada!$A:$A, 0)), ISNUMBER(MATCH(GC$1, AsistenciaJetAdminConcatenada!$B:$B, 0)), ISNUMBER(SEARCH($A50,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ISNUMBER(SEARCH($A50, INDEX(AsistenciaJetAdminConcatenada!$D:$D, MATCH(1, (AsistenciaJetAdminConcatenada!$A:$A=GC$2)*(AsistenciaJetAdminConcatenada!$B:$B=GC$1), 0)), 1))),  0.5, 0))</f>
        <v>0</v>
      </c>
      <c r="GD50" s="47">
        <f t="array" ref="GD50">IF(AND(ISNUMBER(MATCH(GD$2, AsistenciaJetAdminConcatenada!$A:$A, 0)), ISNUMBER(MATCH(GD$1, AsistenciaJetAdminConcatenada!$B:$B, 0)), ISNUMBER(SEARCH($A50,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ISNUMBER(SEARCH($A50, INDEX(AsistenciaJetAdminConcatenada!$D:$D, MATCH(1, (AsistenciaJetAdminConcatenada!$A:$A=GD$2)*(AsistenciaJetAdminConcatenada!$B:$B=GD$1), 0)), 1))),  0.5, 0))</f>
        <v>0</v>
      </c>
      <c r="GE50" s="47">
        <f t="array" ref="GE50">IF(AND(ISNUMBER(MATCH(GE$2, AsistenciaJetAdminConcatenada!$A:$A, 0)), ISNUMBER(MATCH(GE$1, AsistenciaJetAdminConcatenada!$B:$B, 0)), ISNUMBER(SEARCH($A50,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ISNUMBER(SEARCH($A50, INDEX(AsistenciaJetAdminConcatenada!$D:$D, MATCH(1, (AsistenciaJetAdminConcatenada!$A:$A=GE$2)*(AsistenciaJetAdminConcatenada!$B:$B=GE$1), 0)), 1))),  0.5, 0))</f>
        <v>0</v>
      </c>
      <c r="GF50" s="47">
        <f t="array" ref="GF50">IF(AND(ISNUMBER(MATCH(GF$2, AsistenciaJetAdminConcatenada!$A:$A, 0)), ISNUMBER(MATCH(GF$1, AsistenciaJetAdminConcatenada!$B:$B, 0)), ISNUMBER(SEARCH($A50,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ISNUMBER(SEARCH($A50, INDEX(AsistenciaJetAdminConcatenada!$D:$D, MATCH(1, (AsistenciaJetAdminConcatenada!$A:$A=GF$2)*(AsistenciaJetAdminConcatenada!$B:$B=GF$1), 0)), 1))),  0.5, 0))</f>
        <v>0</v>
      </c>
      <c r="GG50" s="47">
        <f t="array" ref="GG50">IF(AND(ISNUMBER(MATCH(GG$2, AsistenciaJetAdminConcatenada!$A:$A, 0)), ISNUMBER(MATCH(GG$1, AsistenciaJetAdminConcatenada!$B:$B, 0)), ISNUMBER(SEARCH($A50,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ISNUMBER(SEARCH($A50, INDEX(AsistenciaJetAdminConcatenada!$D:$D, MATCH(1, (AsistenciaJetAdminConcatenada!$A:$A=GG$2)*(AsistenciaJetAdminConcatenada!$B:$B=GG$1), 0)), 1))),  0.5, 0))</f>
        <v>0</v>
      </c>
      <c r="GH50" s="47">
        <f t="array" ref="GH50">IF(AND(ISNUMBER(MATCH(GH$2, AsistenciaJetAdminConcatenada!$A:$A, 0)), ISNUMBER(MATCH(GH$1, AsistenciaJetAdminConcatenada!$B:$B, 0)), ISNUMBER(SEARCH($A50,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ISNUMBER(SEARCH($A50, INDEX(AsistenciaJetAdminConcatenada!$D:$D, MATCH(1, (AsistenciaJetAdminConcatenada!$A:$A=GH$2)*(AsistenciaJetAdminConcatenada!$B:$B=GH$1), 0)), 1))),  0.5, 0))</f>
        <v>0</v>
      </c>
      <c r="GI50" s="47">
        <f t="array" ref="GI50">IF(AND(ISNUMBER(MATCH(GI$2, AsistenciaJetAdminConcatenada!$A:$A, 0)), ISNUMBER(MATCH(GI$1, AsistenciaJetAdminConcatenada!$B:$B, 0)), ISNUMBER(SEARCH($A50,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ISNUMBER(SEARCH($A50, INDEX(AsistenciaJetAdminConcatenada!$D:$D, MATCH(1, (AsistenciaJetAdminConcatenada!$A:$A=GI$2)*(AsistenciaJetAdminConcatenada!$B:$B=GI$1), 0)), 1))),  0.5, 0))</f>
        <v>0</v>
      </c>
      <c r="GJ50" s="47">
        <f t="array" ref="GJ50">IF(AND(ISNUMBER(MATCH(GJ$2, AsistenciaJetAdminConcatenada!$A:$A, 0)), ISNUMBER(MATCH(GJ$1, AsistenciaJetAdminConcatenada!$B:$B, 0)), ISNUMBER(SEARCH($A50,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ISNUMBER(SEARCH($A50, INDEX(AsistenciaJetAdminConcatenada!$D:$D, MATCH(1, (AsistenciaJetAdminConcatenada!$A:$A=GJ$2)*(AsistenciaJetAdminConcatenada!$B:$B=GJ$1), 0)), 1))),  0.5, 0))</f>
        <v>0</v>
      </c>
      <c r="GK50" s="47">
        <f t="array" ref="GK50">IF(AND(ISNUMBER(MATCH(GK$2, AsistenciaJetAdminConcatenada!$A:$A, 0)), ISNUMBER(MATCH(GK$1, AsistenciaJetAdminConcatenada!$B:$B, 0)), ISNUMBER(SEARCH($A50,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ISNUMBER(SEARCH($A50, INDEX(AsistenciaJetAdminConcatenada!$D:$D, MATCH(1, (AsistenciaJetAdminConcatenada!$A:$A=GK$2)*(AsistenciaJetAdminConcatenada!$B:$B=GK$1), 0)), 1))),  0.5, 0))</f>
        <v>0</v>
      </c>
      <c r="GL50" s="47">
        <f t="array" ref="GL50">IF(AND(ISNUMBER(MATCH(GL$2, AsistenciaJetAdminConcatenada!$A:$A, 0)), ISNUMBER(MATCH(GL$1, AsistenciaJetAdminConcatenada!$B:$B, 0)), ISNUMBER(SEARCH($A50,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ISNUMBER(SEARCH($A50, INDEX(AsistenciaJetAdminConcatenada!$D:$D, MATCH(1, (AsistenciaJetAdminConcatenada!$A:$A=GL$2)*(AsistenciaJetAdminConcatenada!$B:$B=GL$1), 0)), 1))),  0.5, 0))</f>
        <v>0</v>
      </c>
      <c r="GM50" s="47">
        <f t="array" ref="GM50">IF(AND(ISNUMBER(MATCH(GM$2, AsistenciaJetAdminConcatenada!$A:$A, 0)), ISNUMBER(MATCH(GM$1, AsistenciaJetAdminConcatenada!$B:$B, 0)), ISNUMBER(SEARCH($A50,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ISNUMBER(SEARCH($A50, INDEX(AsistenciaJetAdminConcatenada!$D:$D, MATCH(1, (AsistenciaJetAdminConcatenada!$A:$A=GM$2)*(AsistenciaJetAdminConcatenada!$B:$B=GM$1), 0)), 1))),  0.5, 0))</f>
        <v>0</v>
      </c>
      <c r="GN50" s="47">
        <f t="array" ref="GN50">IF(AND(ISNUMBER(MATCH(GN$2, AsistenciaJetAdminConcatenada!$A:$A, 0)), ISNUMBER(MATCH(GN$1, AsistenciaJetAdminConcatenada!$B:$B, 0)), ISNUMBER(SEARCH($A50,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ISNUMBER(SEARCH($A50, INDEX(AsistenciaJetAdminConcatenada!$D:$D, MATCH(1, (AsistenciaJetAdminConcatenada!$A:$A=GN$2)*(AsistenciaJetAdminConcatenada!$B:$B=GN$1), 0)), 1))),  0.5, 0))</f>
        <v>0</v>
      </c>
      <c r="GO50" s="47">
        <f t="array" ref="GO50">IF(AND(ISNUMBER(MATCH(GO$2, AsistenciaJetAdminConcatenada!$A:$A, 0)), ISNUMBER(MATCH(GO$1, AsistenciaJetAdminConcatenada!$B:$B, 0)), ISNUMBER(SEARCH($A50,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ISNUMBER(SEARCH($A50, INDEX(AsistenciaJetAdminConcatenada!$D:$D, MATCH(1, (AsistenciaJetAdminConcatenada!$A:$A=GO$2)*(AsistenciaJetAdminConcatenada!$B:$B=GO$1), 0)), 1))),  0.5, 0))</f>
        <v>0</v>
      </c>
      <c r="GP50" s="47">
        <f t="array" ref="GP50">IF(AND(ISNUMBER(MATCH(GP$2, AsistenciaJetAdminConcatenada!$A:$A, 0)), ISNUMBER(MATCH(GP$1, AsistenciaJetAdminConcatenada!$B:$B, 0)), ISNUMBER(SEARCH($A50,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ISNUMBER(SEARCH($A50, INDEX(AsistenciaJetAdminConcatenada!$D:$D, MATCH(1, (AsistenciaJetAdminConcatenada!$A:$A=GP$2)*(AsistenciaJetAdminConcatenada!$B:$B=GP$1), 0)), 1))),  0.5, 0))</f>
        <v>0</v>
      </c>
      <c r="GQ50" s="47">
        <f t="array" ref="GQ50">IF(AND(ISNUMBER(MATCH(GQ$2, AsistenciaJetAdminConcatenada!$A:$A, 0)), ISNUMBER(MATCH(GQ$1, AsistenciaJetAdminConcatenada!$B:$B, 0)), ISNUMBER(SEARCH($A50,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ISNUMBER(SEARCH($A50, INDEX(AsistenciaJetAdminConcatenada!$D:$D, MATCH(1, (AsistenciaJetAdminConcatenada!$A:$A=GQ$2)*(AsistenciaJetAdminConcatenada!$B:$B=GQ$1), 0)), 1))),  0.5, 0))</f>
        <v>0</v>
      </c>
      <c r="GR50" s="47">
        <f t="array" ref="GR50">IF(AND(ISNUMBER(MATCH(GR$2, AsistenciaJetAdminConcatenada!$A:$A, 0)), ISNUMBER(MATCH(GR$1, AsistenciaJetAdminConcatenada!$B:$B, 0)), ISNUMBER(SEARCH($A50,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ISNUMBER(SEARCH($A50, INDEX(AsistenciaJetAdminConcatenada!$D:$D, MATCH(1, (AsistenciaJetAdminConcatenada!$A:$A=GR$2)*(AsistenciaJetAdminConcatenada!$B:$B=GR$1), 0)), 1))),  0.5, 0))</f>
        <v>0</v>
      </c>
      <c r="GS50" s="47">
        <f t="array" ref="GS50">IF(AND(ISNUMBER(MATCH(GS$2, AsistenciaJetAdminConcatenada!$A:$A, 0)), ISNUMBER(MATCH(GS$1, AsistenciaJetAdminConcatenada!$B:$B, 0)), ISNUMBER(SEARCH($A50,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ISNUMBER(SEARCH($A50, INDEX(AsistenciaJetAdminConcatenada!$D:$D, MATCH(1, (AsistenciaJetAdminConcatenada!$A:$A=GS$2)*(AsistenciaJetAdminConcatenada!$B:$B=GS$1), 0)), 1))),  0.5, 0))</f>
        <v>0</v>
      </c>
      <c r="GT50" s="47">
        <f t="array" ref="GT50">IF(AND(ISNUMBER(MATCH(GT$2, AsistenciaJetAdminConcatenada!$A:$A, 0)), ISNUMBER(MATCH(GT$1, AsistenciaJetAdminConcatenada!$B:$B, 0)), ISNUMBER(SEARCH($A50,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ISNUMBER(SEARCH($A50, INDEX(AsistenciaJetAdminConcatenada!$D:$D, MATCH(1, (AsistenciaJetAdminConcatenada!$A:$A=GT$2)*(AsistenciaJetAdminConcatenada!$B:$B=GT$1), 0)), 1))),  0.5, 0))</f>
        <v>0</v>
      </c>
      <c r="GU50" s="47">
        <f t="array" ref="GU50">IF(AND(ISNUMBER(MATCH(GU$2, AsistenciaJetAdminConcatenada!$A:$A, 0)), ISNUMBER(MATCH(GU$1, AsistenciaJetAdminConcatenada!$B:$B, 0)), ISNUMBER(SEARCH($A50,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ISNUMBER(SEARCH($A50, INDEX(AsistenciaJetAdminConcatenada!$D:$D, MATCH(1, (AsistenciaJetAdminConcatenada!$A:$A=GU$2)*(AsistenciaJetAdminConcatenada!$B:$B=GU$1), 0)), 1))),  0.5, 0))</f>
        <v>0</v>
      </c>
      <c r="GV50" s="47">
        <f t="array" ref="GV50">IF(AND(ISNUMBER(MATCH(GV$2, AsistenciaJetAdminConcatenada!$A:$A, 0)), ISNUMBER(MATCH(GV$1, AsistenciaJetAdminConcatenada!$B:$B, 0)), ISNUMBER(SEARCH($A50,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ISNUMBER(SEARCH($A50, INDEX(AsistenciaJetAdminConcatenada!$D:$D, MATCH(1, (AsistenciaJetAdminConcatenada!$A:$A=GV$2)*(AsistenciaJetAdminConcatenada!$B:$B=GV$1), 0)), 1))),  0.5, 0))</f>
        <v>0</v>
      </c>
      <c r="GW50" s="47">
        <f t="array" ref="GW50">IF(AND(ISNUMBER(MATCH(GW$2, AsistenciaJetAdminConcatenada!$A:$A, 0)), ISNUMBER(MATCH(GW$1, AsistenciaJetAdminConcatenada!$B:$B, 0)), ISNUMBER(SEARCH($A50,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ISNUMBER(SEARCH($A50, INDEX(AsistenciaJetAdminConcatenada!$D:$D, MATCH(1, (AsistenciaJetAdminConcatenada!$A:$A=GW$2)*(AsistenciaJetAdminConcatenada!$B:$B=GW$1), 0)), 1))),  0.5, 0))</f>
        <v>0</v>
      </c>
      <c r="GX50" s="47">
        <f t="array" ref="GX50">IF(AND(ISNUMBER(MATCH(GX$2, AsistenciaJetAdminConcatenada!$A:$A, 0)), ISNUMBER(MATCH(GX$1, AsistenciaJetAdminConcatenada!$B:$B, 0)), ISNUMBER(SEARCH($A50,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ISNUMBER(SEARCH($A50, INDEX(AsistenciaJetAdminConcatenada!$D:$D, MATCH(1, (AsistenciaJetAdminConcatenada!$A:$A=GX$2)*(AsistenciaJetAdminConcatenada!$B:$B=GX$1), 0)), 1))),  0.5, 0))</f>
        <v>0</v>
      </c>
      <c r="GY50" s="47">
        <f t="array" ref="GY50">IF(AND(ISNUMBER(MATCH(GY$2, AsistenciaJetAdminConcatenada!$A:$A, 0)), ISNUMBER(MATCH(GY$1, AsistenciaJetAdminConcatenada!$B:$B, 0)), ISNUMBER(SEARCH($A50,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ISNUMBER(SEARCH($A50, INDEX(AsistenciaJetAdminConcatenada!$D:$D, MATCH(1, (AsistenciaJetAdminConcatenada!$A:$A=GY$2)*(AsistenciaJetAdminConcatenada!$B:$B=GY$1), 0)), 1))),  0.5, 0))</f>
        <v>0</v>
      </c>
      <c r="GZ50" s="47">
        <f t="array" ref="GZ50">IF(AND(ISNUMBER(MATCH(GZ$2, AsistenciaJetAdminConcatenada!$A:$A, 0)), ISNUMBER(MATCH(GZ$1, AsistenciaJetAdminConcatenada!$B:$B, 0)), ISNUMBER(SEARCH($A50,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ISNUMBER(SEARCH($A50, INDEX(AsistenciaJetAdminConcatenada!$D:$D, MATCH(1, (AsistenciaJetAdminConcatenada!$A:$A=GZ$2)*(AsistenciaJetAdminConcatenada!$B:$B=GZ$1), 0)), 1))),  0.5, 0))</f>
        <v>0</v>
      </c>
      <c r="HA50" s="47">
        <f t="array" ref="HA50">IF(AND(ISNUMBER(MATCH(HA$2, AsistenciaJetAdminConcatenada!$A:$A, 0)), ISNUMBER(MATCH(HA$1, AsistenciaJetAdminConcatenada!$B:$B, 0)), ISNUMBER(SEARCH($A50,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ISNUMBER(SEARCH($A50, INDEX(AsistenciaJetAdminConcatenada!$D:$D, MATCH(1, (AsistenciaJetAdminConcatenada!$A:$A=HA$2)*(AsistenciaJetAdminConcatenada!$B:$B=HA$1), 0)), 1))),  0.5, 0))</f>
        <v>0</v>
      </c>
      <c r="HB50" s="47">
        <f t="array" ref="HB50">IF(AND(ISNUMBER(MATCH(HB$2, AsistenciaJetAdminConcatenada!$A:$A, 0)), ISNUMBER(MATCH(HB$1, AsistenciaJetAdminConcatenada!$B:$B, 0)), ISNUMBER(SEARCH($A50,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ISNUMBER(SEARCH($A50, INDEX(AsistenciaJetAdminConcatenada!$D:$D, MATCH(1, (AsistenciaJetAdminConcatenada!$A:$A=HB$2)*(AsistenciaJetAdminConcatenada!$B:$B=HB$1), 0)), 1))),  0.5, 0))</f>
        <v>0</v>
      </c>
      <c r="HC50" s="47">
        <f t="array" ref="HC50">IF(AND(ISNUMBER(MATCH(HC$2, AsistenciaJetAdminConcatenada!$A:$A, 0)), ISNUMBER(MATCH(HC$1, AsistenciaJetAdminConcatenada!$B:$B, 0)), ISNUMBER(SEARCH($A50,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ISNUMBER(SEARCH($A50, INDEX(AsistenciaJetAdminConcatenada!$D:$D, MATCH(1, (AsistenciaJetAdminConcatenada!$A:$A=HC$2)*(AsistenciaJetAdminConcatenada!$B:$B=HC$1), 0)), 1))),  0.5, 0))</f>
        <v>0</v>
      </c>
    </row>
    <row r="51" ht="29.25" customHeight="1">
      <c r="A51" s="3">
        <v>107.0</v>
      </c>
      <c r="B51" s="4" t="s">
        <v>576</v>
      </c>
      <c r="C51" s="47">
        <f>SUM(D51:HC51) + ActividadesEspeciales!C51</f>
        <v>73</v>
      </c>
      <c r="D51" s="47">
        <f t="array" ref="D51">IF(AND(ISNUMBER(MATCH(D$2, AsistenciaJetAdminConcatenada!$A:$A, 0)), ISNUMBER(MATCH(D$1, AsistenciaJetAdminConcatenada!$B:$B, 0)), ISNUMBER(SEARCH($A51,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ISNUMBER(SEARCH($A51, INDEX(AsistenciaJetAdminConcatenada!$D:$D, MATCH(1, (AsistenciaJetAdminConcatenada!$A:$A=D$2)*(AsistenciaJetAdminConcatenada!$B:$B=D$1), 0)), 1))),  0.5, 0))</f>
        <v>1</v>
      </c>
      <c r="E51" s="47">
        <f t="array" ref="E51">IF(AND(ISNUMBER(MATCH(E$2, AsistenciaJetAdminConcatenada!$A:$A, 0)), ISNUMBER(MATCH(E$1, AsistenciaJetAdminConcatenada!$B:$B, 0)), ISNUMBER(SEARCH($A51,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ISNUMBER(SEARCH($A51, INDEX(AsistenciaJetAdminConcatenada!$D:$D, MATCH(1, (AsistenciaJetAdminConcatenada!$A:$A=E$2)*(AsistenciaJetAdminConcatenada!$B:$B=E$1), 0)), 1))),  0.5, 0))</f>
        <v>1</v>
      </c>
      <c r="F51" s="47">
        <f t="array" ref="F51">IF(AND(ISNUMBER(MATCH(F$2, AsistenciaJetAdminConcatenada!$A:$A, 0)), ISNUMBER(MATCH(F$1, AsistenciaJetAdminConcatenada!$B:$B, 0)), ISNUMBER(SEARCH($A51,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ISNUMBER(SEARCH($A51, INDEX(AsistenciaJetAdminConcatenada!$D:$D, MATCH(1, (AsistenciaJetAdminConcatenada!$A:$A=F$2)*(AsistenciaJetAdminConcatenada!$B:$B=F$1), 0)), 1))),  0.5, 0))</f>
        <v>1</v>
      </c>
      <c r="G51" s="47">
        <f t="array" ref="G51">IF(AND(ISNUMBER(MATCH(G$2, AsistenciaJetAdminConcatenada!$A:$A, 0)), ISNUMBER(MATCH(G$1, AsistenciaJetAdminConcatenada!$B:$B, 0)), ISNUMBER(SEARCH($A51,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ISNUMBER(SEARCH($A51, INDEX(AsistenciaJetAdminConcatenada!$D:$D, MATCH(1, (AsistenciaJetAdminConcatenada!$A:$A=G$2)*(AsistenciaJetAdminConcatenada!$B:$B=G$1), 0)), 1))),  0.5, 0))</f>
        <v>1</v>
      </c>
      <c r="H51" s="47">
        <f t="array" ref="H51">IF(AND(ISNUMBER(MATCH(H$2, AsistenciaJetAdminConcatenada!$A:$A, 0)), ISNUMBER(MATCH(H$1, AsistenciaJetAdminConcatenada!$B:$B, 0)), ISNUMBER(SEARCH($A51,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ISNUMBER(SEARCH($A51, INDEX(AsistenciaJetAdminConcatenada!$D:$D, MATCH(1, (AsistenciaJetAdminConcatenada!$A:$A=H$2)*(AsistenciaJetAdminConcatenada!$B:$B=H$1), 0)), 1))),  0.5, 0))</f>
        <v>1</v>
      </c>
      <c r="I51" s="47">
        <f t="array" ref="I51">IF(AND(ISNUMBER(MATCH(I$2, AsistenciaJetAdminConcatenada!$A:$A, 0)), ISNUMBER(MATCH(I$1, AsistenciaJetAdminConcatenada!$B:$B, 0)), ISNUMBER(SEARCH($A51,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ISNUMBER(SEARCH($A51, INDEX(AsistenciaJetAdminConcatenada!$D:$D, MATCH(1, (AsistenciaJetAdminConcatenada!$A:$A=I$2)*(AsistenciaJetAdminConcatenada!$B:$B=I$1), 0)), 1))),  0.5, 0))</f>
        <v>1</v>
      </c>
      <c r="J51" s="47">
        <f t="array" ref="J51">IF(AND(ISNUMBER(MATCH(J$2, AsistenciaJetAdminConcatenada!$A:$A, 0)), ISNUMBER(MATCH(J$1, AsistenciaJetAdminConcatenada!$B:$B, 0)), ISNUMBER(SEARCH($A51,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ISNUMBER(SEARCH($A51, INDEX(AsistenciaJetAdminConcatenada!$D:$D, MATCH(1, (AsistenciaJetAdminConcatenada!$A:$A=J$2)*(AsistenciaJetAdminConcatenada!$B:$B=J$1), 0)), 1))),  0.5, 0))</f>
        <v>0</v>
      </c>
      <c r="K51" s="47">
        <f t="array" ref="K51">IF(AND(ISNUMBER(MATCH(K$2, AsistenciaJetAdminConcatenada!$A:$A, 0)), ISNUMBER(MATCH(K$1, AsistenciaJetAdminConcatenada!$B:$B, 0)), ISNUMBER(SEARCH($A51,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ISNUMBER(SEARCH($A51, INDEX(AsistenciaJetAdminConcatenada!$D:$D, MATCH(1, (AsistenciaJetAdminConcatenada!$A:$A=K$2)*(AsistenciaJetAdminConcatenada!$B:$B=K$1), 0)), 1))),  0.5, 0))</f>
        <v>1</v>
      </c>
      <c r="L51" s="47">
        <f t="array" ref="L51">IF(AND(ISNUMBER(MATCH(L$2, AsistenciaJetAdminConcatenada!$A:$A, 0)), ISNUMBER(MATCH(L$1, AsistenciaJetAdminConcatenada!$B:$B, 0)), ISNUMBER(SEARCH($A51,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ISNUMBER(SEARCH($A51, INDEX(AsistenciaJetAdminConcatenada!$D:$D, MATCH(1, (AsistenciaJetAdminConcatenada!$A:$A=L$2)*(AsistenciaJetAdminConcatenada!$B:$B=L$1), 0)), 1))),  0.5, 0))</f>
        <v>1</v>
      </c>
      <c r="M51" s="47">
        <f t="array" ref="M51">IF(AND(ISNUMBER(MATCH(M$2, AsistenciaJetAdminConcatenada!$A:$A, 0)), ISNUMBER(MATCH(M$1, AsistenciaJetAdminConcatenada!$B:$B, 0)), ISNUMBER(SEARCH($A51,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ISNUMBER(SEARCH($A51, INDEX(AsistenciaJetAdminConcatenada!$D:$D, MATCH(1, (AsistenciaJetAdminConcatenada!$A:$A=M$2)*(AsistenciaJetAdminConcatenada!$B:$B=M$1), 0)), 1))),  0.5, 0))</f>
        <v>1</v>
      </c>
      <c r="N51" s="47">
        <f t="array" ref="N51">IF(AND(ISNUMBER(MATCH(N$2, AsistenciaJetAdminConcatenada!$A:$A, 0)), ISNUMBER(MATCH(N$1, AsistenciaJetAdminConcatenada!$B:$B, 0)), ISNUMBER(SEARCH($A51,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ISNUMBER(SEARCH($A51, INDEX(AsistenciaJetAdminConcatenada!$D:$D, MATCH(1, (AsistenciaJetAdminConcatenada!$A:$A=N$2)*(AsistenciaJetAdminConcatenada!$B:$B=N$1), 0)), 1))),  0.5, 0))</f>
        <v>1</v>
      </c>
      <c r="O51" s="47">
        <f t="array" ref="O51">IF(AND(ISNUMBER(MATCH(O$2, AsistenciaJetAdminConcatenada!$A:$A, 0)), ISNUMBER(MATCH(O$1, AsistenciaJetAdminConcatenada!$B:$B, 0)), ISNUMBER(SEARCH($A51,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ISNUMBER(SEARCH($A51, INDEX(AsistenciaJetAdminConcatenada!$D:$D, MATCH(1, (AsistenciaJetAdminConcatenada!$A:$A=O$2)*(AsistenciaJetAdminConcatenada!$B:$B=O$1), 0)), 1))),  0.5, 0))</f>
        <v>1</v>
      </c>
      <c r="P51" s="47">
        <f t="array" ref="P51">IF(AND(ISNUMBER(MATCH(P$2, AsistenciaJetAdminConcatenada!$A:$A, 0)), ISNUMBER(MATCH(P$1, AsistenciaJetAdminConcatenada!$B:$B, 0)), ISNUMBER(SEARCH($A51, INDEX(AsistenciaJetAdminConcatenada!$C:$C, MATCH(1, (AsistenciaJetAdminConcatenada!$A:$A=P$2)*(AsistenciaJetAdminConcatenada!$B:$B=P$1), 0)), 1))), 1, IF(AND(ISNUMBER(MATCH(P$2, AsistenciaJetAdminConcatenada!$A:$A, 0)), ISNUMBER(MATCH(P$1, AsistenciaJetAdminConcatenada!$B:$B, 0)), ISNUMBER(SEARCH($A51, INDEX(AsistenciaJetAdminConcatenada!$D:$D, MATCH(1, (AsistenciaJetAdminConcatenada!$A:$A=P$2)*(AsistenciaJetAdminConcatenada!$B:$B=P$1), 0)), 1))),  0.5, 0))</f>
        <v>1</v>
      </c>
      <c r="Q51" s="47">
        <f t="array" ref="Q51">IF(AND(ISNUMBER(MATCH(Q$2, AsistenciaJetAdminConcatenada!$A:$A, 0)), ISNUMBER(MATCH(Q$1, AsistenciaJetAdminConcatenada!$B:$B, 0)), ISNUMBER(SEARCH($A51, INDEX(AsistenciaJetAdminConcatenada!$C:$C, MATCH(1, (AsistenciaJetAdminConcatenada!$A:$A=Q$2)*(AsistenciaJetAdminConcatenada!$B:$B=Q$1), 0)), 1))), 1, IF(AND(ISNUMBER(MATCH(Q$2, AsistenciaJetAdminConcatenada!$A:$A, 0)), ISNUMBER(MATCH(Q$1, AsistenciaJetAdminConcatenada!$B:$B, 0)), ISNUMBER(SEARCH($A51, INDEX(AsistenciaJetAdminConcatenada!$D:$D, MATCH(1, (AsistenciaJetAdminConcatenada!$A:$A=Q$2)*(AsistenciaJetAdminConcatenada!$B:$B=Q$1), 0)), 1))),  0.5, 0))</f>
        <v>1</v>
      </c>
      <c r="R51" s="47">
        <f t="array" ref="R51">IF(AND(ISNUMBER(MATCH(R$2, AsistenciaJetAdminConcatenada!$A:$A, 0)), ISNUMBER(MATCH(R$1, AsistenciaJetAdminConcatenada!$B:$B, 0)), ISNUMBER(SEARCH($A51,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ISNUMBER(SEARCH($A51, INDEX(AsistenciaJetAdminConcatenada!$D:$D, MATCH(1, (AsistenciaJetAdminConcatenada!$A:$A=R$2)*(AsistenciaJetAdminConcatenada!$B:$B=R$1), 0)), 1))),  0.5, 0))</f>
        <v>1</v>
      </c>
      <c r="S51" s="47">
        <f t="array" ref="S51">IF(AND(ISNUMBER(MATCH(S$2, AsistenciaJetAdminConcatenada!$A:$A, 0)), ISNUMBER(MATCH(S$1, AsistenciaJetAdminConcatenada!$B:$B, 0)), ISNUMBER(SEARCH($A51,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ISNUMBER(SEARCH($A51, INDEX(AsistenciaJetAdminConcatenada!$D:$D, MATCH(1, (AsistenciaJetAdminConcatenada!$A:$A=S$2)*(AsistenciaJetAdminConcatenada!$B:$B=S$1), 0)), 1))),  0.5, 0))</f>
        <v>1</v>
      </c>
      <c r="T51" s="47">
        <f t="array" ref="T51">IF(AND(ISNUMBER(MATCH(T$2, AsistenciaJetAdminConcatenada!$A:$A, 0)), ISNUMBER(MATCH(T$1, AsistenciaJetAdminConcatenada!$B:$B, 0)), ISNUMBER(SEARCH($A51,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ISNUMBER(SEARCH($A51, INDEX(AsistenciaJetAdminConcatenada!$D:$D, MATCH(1, (AsistenciaJetAdminConcatenada!$A:$A=T$2)*(AsistenciaJetAdminConcatenada!$B:$B=T$1), 0)), 1))),  0.5, 0))</f>
        <v>1</v>
      </c>
      <c r="U51" s="47">
        <f t="array" ref="U51">IF(AND(ISNUMBER(MATCH(U$2, AsistenciaJetAdminConcatenada!$A:$A, 0)), ISNUMBER(MATCH(U$1, AsistenciaJetAdminConcatenada!$B:$B, 0)), ISNUMBER(SEARCH($A51,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ISNUMBER(SEARCH($A51, INDEX(AsistenciaJetAdminConcatenada!$D:$D, MATCH(1, (AsistenciaJetAdminConcatenada!$A:$A=U$2)*(AsistenciaJetAdminConcatenada!$B:$B=U$1), 0)), 1))),  0.5, 0))</f>
        <v>1</v>
      </c>
      <c r="V51" s="47">
        <f t="array" ref="V51">IF(AND(ISNUMBER(MATCH(V$2, AsistenciaJetAdminConcatenada!$A:$A, 0)), ISNUMBER(MATCH(V$1, AsistenciaJetAdminConcatenada!$B:$B, 0)), ISNUMBER(SEARCH($A51,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ISNUMBER(SEARCH($A51, INDEX(AsistenciaJetAdminConcatenada!$D:$D, MATCH(1, (AsistenciaJetAdminConcatenada!$A:$A=V$2)*(AsistenciaJetAdminConcatenada!$B:$B=V$1), 0)), 1))),  0.5, 0))</f>
        <v>1</v>
      </c>
      <c r="W51" s="47">
        <f t="array" ref="W51">IF(AND(ISNUMBER(MATCH(W$2, AsistenciaJetAdminConcatenada!$A:$A, 0)), ISNUMBER(MATCH(W$1, AsistenciaJetAdminConcatenada!$B:$B, 0)), ISNUMBER(SEARCH($A51,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ISNUMBER(SEARCH($A51, INDEX(AsistenciaJetAdminConcatenada!$D:$D, MATCH(1, (AsistenciaJetAdminConcatenada!$A:$A=W$2)*(AsistenciaJetAdminConcatenada!$B:$B=W$1), 0)), 1))),  0.5, 0))</f>
        <v>1</v>
      </c>
      <c r="X51" s="47">
        <f t="array" ref="X51">IF(AND(ISNUMBER(MATCH(X$2, AsistenciaJetAdminConcatenada!$A:$A, 0)), ISNUMBER(MATCH(X$1, AsistenciaJetAdminConcatenada!$B:$B, 0)), ISNUMBER(SEARCH($A51,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ISNUMBER(SEARCH($A51, INDEX(AsistenciaJetAdminConcatenada!$D:$D, MATCH(1, (AsistenciaJetAdminConcatenada!$A:$A=X$2)*(AsistenciaJetAdminConcatenada!$B:$B=X$1), 0)), 1))),  0.5, 0))</f>
        <v>1</v>
      </c>
      <c r="Y51" s="47">
        <f t="array" ref="Y51">IF(AND(ISNUMBER(MATCH(Y$2, AsistenciaJetAdminConcatenada!$A:$A, 0)), ISNUMBER(MATCH(Y$1, AsistenciaJetAdminConcatenada!$B:$B, 0)), ISNUMBER(SEARCH($A51,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ISNUMBER(SEARCH($A51, INDEX(AsistenciaJetAdminConcatenada!$D:$D, MATCH(1, (AsistenciaJetAdminConcatenada!$A:$A=Y$2)*(AsistenciaJetAdminConcatenada!$B:$B=Y$1), 0)), 1))),  0.5, 0))</f>
        <v>1</v>
      </c>
      <c r="Z51" s="47">
        <f t="array" ref="Z51">IF(AND(ISNUMBER(MATCH(Z$2, AsistenciaJetAdminConcatenada!$A:$A, 0)), ISNUMBER(MATCH(Z$1, AsistenciaJetAdminConcatenada!$B:$B, 0)), ISNUMBER(SEARCH($A51,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ISNUMBER(SEARCH($A51, INDEX(AsistenciaJetAdminConcatenada!$D:$D, MATCH(1, (AsistenciaJetAdminConcatenada!$A:$A=Z$2)*(AsistenciaJetAdminConcatenada!$B:$B=Z$1), 0)), 1))),  0.5, 0))</f>
        <v>1</v>
      </c>
      <c r="AA51" s="47">
        <f t="array" ref="AA51">IF(AND(ISNUMBER(MATCH(AA$2, AsistenciaJetAdminConcatenada!$A:$A, 0)), ISNUMBER(MATCH(AA$1, AsistenciaJetAdminConcatenada!$B:$B, 0)), ISNUMBER(SEARCH($A51,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ISNUMBER(SEARCH($A51, INDEX(AsistenciaJetAdminConcatenada!$D:$D, MATCH(1, (AsistenciaJetAdminConcatenada!$A:$A=AA$2)*(AsistenciaJetAdminConcatenada!$B:$B=AA$1), 0)), 1))),  0.5, 0))</f>
        <v>1</v>
      </c>
      <c r="AB51" s="47">
        <f t="array" ref="AB51">IF(AND(ISNUMBER(MATCH(AB$2, AsistenciaJetAdminConcatenada!$A:$A, 0)), ISNUMBER(MATCH(AB$1, AsistenciaJetAdminConcatenada!$B:$B, 0)), ISNUMBER(SEARCH($A51,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ISNUMBER(SEARCH($A51, INDEX(AsistenciaJetAdminConcatenada!$D:$D, MATCH(1, (AsistenciaJetAdminConcatenada!$A:$A=AB$2)*(AsistenciaJetAdminConcatenada!$B:$B=AB$1), 0)), 1))),  0.5, 0))</f>
        <v>1</v>
      </c>
      <c r="AC51" s="47">
        <f t="array" ref="AC51">IF(AND(ISNUMBER(MATCH(AC$2, AsistenciaJetAdminConcatenada!$A:$A, 0)), ISNUMBER(MATCH(AC$1, AsistenciaJetAdminConcatenada!$B:$B, 0)), ISNUMBER(SEARCH($A51,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ISNUMBER(SEARCH($A51, INDEX(AsistenciaJetAdminConcatenada!$D:$D, MATCH(1, (AsistenciaJetAdminConcatenada!$A:$A=AC$2)*(AsistenciaJetAdminConcatenada!$B:$B=AC$1), 0)), 1))),  0.5, 0))</f>
        <v>1</v>
      </c>
      <c r="AD51" s="47">
        <f t="array" ref="AD51">IF(AND(ISNUMBER(MATCH(AD$2, AsistenciaJetAdminConcatenada!$A:$A, 0)), ISNUMBER(MATCH(AD$1, AsistenciaJetAdminConcatenada!$B:$B, 0)), ISNUMBER(SEARCH($A51,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ISNUMBER(SEARCH($A51, INDEX(AsistenciaJetAdminConcatenada!$D:$D, MATCH(1, (AsistenciaJetAdminConcatenada!$A:$A=AD$2)*(AsistenciaJetAdminConcatenada!$B:$B=AD$1), 0)), 1))),  0.5, 0))</f>
        <v>1</v>
      </c>
      <c r="AE51" s="47">
        <f t="array" ref="AE51">IF(AND(ISNUMBER(MATCH(AE$2, AsistenciaJetAdminConcatenada!$A:$A, 0)), ISNUMBER(MATCH(AE$1, AsistenciaJetAdminConcatenada!$B:$B, 0)), ISNUMBER(SEARCH($A51,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ISNUMBER(SEARCH($A51, INDEX(AsistenciaJetAdminConcatenada!$D:$D, MATCH(1, (AsistenciaJetAdminConcatenada!$A:$A=AE$2)*(AsistenciaJetAdminConcatenada!$B:$B=AE$1), 0)), 1))),  0.5, 0))</f>
        <v>1</v>
      </c>
      <c r="AF51" s="47">
        <f t="array" ref="AF51">IF(AND(ISNUMBER(MATCH(AF$2, AsistenciaJetAdminConcatenada!$A:$A, 0)), ISNUMBER(MATCH(AF$1, AsistenciaJetAdminConcatenada!$B:$B, 0)), ISNUMBER(SEARCH($A51,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ISNUMBER(SEARCH($A51, INDEX(AsistenciaJetAdminConcatenada!$D:$D, MATCH(1, (AsistenciaJetAdminConcatenada!$A:$A=AF$2)*(AsistenciaJetAdminConcatenada!$B:$B=AF$1), 0)), 1))),  0.5, 0))</f>
        <v>1</v>
      </c>
      <c r="AG51" s="47">
        <f t="array" ref="AG51">IF(AND(ISNUMBER(MATCH(AG$2, AsistenciaJetAdminConcatenada!$A:$A, 0)), ISNUMBER(MATCH(AG$1, AsistenciaJetAdminConcatenada!$B:$B, 0)), ISNUMBER(SEARCH($A51,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ISNUMBER(SEARCH($A51, INDEX(AsistenciaJetAdminConcatenada!$D:$D, MATCH(1, (AsistenciaJetAdminConcatenada!$A:$A=AG$2)*(AsistenciaJetAdminConcatenada!$B:$B=AG$1), 0)), 1))),  0.5, 0))</f>
        <v>1</v>
      </c>
      <c r="AH51" s="47">
        <f t="array" ref="AH51">IF(AND(ISNUMBER(MATCH(AH$2, AsistenciaJetAdminConcatenada!$A:$A, 0)), ISNUMBER(MATCH(AH$1, AsistenciaJetAdminConcatenada!$B:$B, 0)), ISNUMBER(SEARCH($A51,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ISNUMBER(SEARCH($A51, INDEX(AsistenciaJetAdminConcatenada!$D:$D, MATCH(1, (AsistenciaJetAdminConcatenada!$A:$A=AH$2)*(AsistenciaJetAdminConcatenada!$B:$B=AH$1), 0)), 1))),  0.5, 0))</f>
        <v>0</v>
      </c>
      <c r="AI51" s="47">
        <f t="array" ref="AI51">IF(AND(ISNUMBER(MATCH(AI$2, AsistenciaJetAdminConcatenada!$A:$A, 0)), ISNUMBER(MATCH(AI$1, AsistenciaJetAdminConcatenada!$B:$B, 0)), ISNUMBER(SEARCH($A51,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ISNUMBER(SEARCH($A51, INDEX(AsistenciaJetAdminConcatenada!$D:$D, MATCH(1, (AsistenciaJetAdminConcatenada!$A:$A=AI$2)*(AsistenciaJetAdminConcatenada!$B:$B=AI$1), 0)), 1))),  0.5, 0))</f>
        <v>1</v>
      </c>
      <c r="AJ51" s="47">
        <f t="array" ref="AJ51">IF(AND(ISNUMBER(MATCH(AJ$2, AsistenciaJetAdminConcatenada!$A:$A, 0)), ISNUMBER(MATCH(AJ$1, AsistenciaJetAdminConcatenada!$B:$B, 0)), ISNUMBER(SEARCH($A51,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ISNUMBER(SEARCH($A51, INDEX(AsistenciaJetAdminConcatenada!$D:$D, MATCH(1, (AsistenciaJetAdminConcatenada!$A:$A=AJ$2)*(AsistenciaJetAdminConcatenada!$B:$B=AJ$1), 0)), 1))),  0.5, 0))</f>
        <v>0</v>
      </c>
      <c r="AK51" s="47">
        <f t="array" ref="AK51">IF(AND(ISNUMBER(MATCH(AK$2, AsistenciaJetAdminConcatenada!$A:$A, 0)), ISNUMBER(MATCH(AK$1, AsistenciaJetAdminConcatenada!$B:$B, 0)), ISNUMBER(SEARCH($A51,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ISNUMBER(SEARCH($A51, INDEX(AsistenciaJetAdminConcatenada!$D:$D, MATCH(1, (AsistenciaJetAdminConcatenada!$A:$A=AK$2)*(AsistenciaJetAdminConcatenada!$B:$B=AK$1), 0)), 1))),  0.5, 0))</f>
        <v>1</v>
      </c>
      <c r="AL51" s="47">
        <f t="array" ref="AL51">IF(AND(ISNUMBER(MATCH(AL$2, AsistenciaJetAdminConcatenada!$A:$A, 0)), ISNUMBER(MATCH(AL$1, AsistenciaJetAdminConcatenada!$B:$B, 0)), ISNUMBER(SEARCH($A51,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ISNUMBER(SEARCH($A51, INDEX(AsistenciaJetAdminConcatenada!$D:$D, MATCH(1, (AsistenciaJetAdminConcatenada!$A:$A=AL$2)*(AsistenciaJetAdminConcatenada!$B:$B=AL$1), 0)), 1))),  0.5, 0))</f>
        <v>0</v>
      </c>
      <c r="AM51" s="47">
        <f t="array" ref="AM51">IF(AND(ISNUMBER(MATCH(AM$2, AsistenciaJetAdminConcatenada!$A:$A, 0)), ISNUMBER(MATCH(AM$1, AsistenciaJetAdminConcatenada!$B:$B, 0)), ISNUMBER(SEARCH($A51,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ISNUMBER(SEARCH($A51, INDEX(AsistenciaJetAdminConcatenada!$D:$D, MATCH(1, (AsistenciaJetAdminConcatenada!$A:$A=AM$2)*(AsistenciaJetAdminConcatenada!$B:$B=AM$1), 0)), 1))),  0.5, 0))</f>
        <v>0</v>
      </c>
      <c r="AN51" s="47">
        <f t="array" ref="AN51">IF(AND(ISNUMBER(MATCH(AN$2, AsistenciaJetAdminConcatenada!$A:$A, 0)), ISNUMBER(MATCH(AN$1, AsistenciaJetAdminConcatenada!$B:$B, 0)), ISNUMBER(SEARCH($A51,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ISNUMBER(SEARCH($A51, INDEX(AsistenciaJetAdminConcatenada!$D:$D, MATCH(1, (AsistenciaJetAdminConcatenada!$A:$A=AN$2)*(AsistenciaJetAdminConcatenada!$B:$B=AN$1), 0)), 1))),  0.5, 0))</f>
        <v>0</v>
      </c>
      <c r="AO51" s="47">
        <f t="array" ref="AO51">IF(AND(ISNUMBER(MATCH(AO$2, AsistenciaJetAdminConcatenada!$A:$A, 0)), ISNUMBER(MATCH(AO$1, AsistenciaJetAdminConcatenada!$B:$B, 0)), ISNUMBER(SEARCH($A51,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ISNUMBER(SEARCH($A51, INDEX(AsistenciaJetAdminConcatenada!$D:$D, MATCH(1, (AsistenciaJetAdminConcatenada!$A:$A=AO$2)*(AsistenciaJetAdminConcatenada!$B:$B=AO$1), 0)), 1))),  0.5, 0))</f>
        <v>1</v>
      </c>
      <c r="AP51" s="47">
        <f t="array" ref="AP51">IF(AND(ISNUMBER(MATCH(AP$2, AsistenciaJetAdminConcatenada!$A:$A, 0)), ISNUMBER(MATCH(AP$1, AsistenciaJetAdminConcatenada!$B:$B, 0)), ISNUMBER(SEARCH($A51,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ISNUMBER(SEARCH($A51, INDEX(AsistenciaJetAdminConcatenada!$D:$D, MATCH(1, (AsistenciaJetAdminConcatenada!$A:$A=AP$2)*(AsistenciaJetAdminConcatenada!$B:$B=AP$1), 0)), 1))),  0.5, 0))</f>
        <v>1</v>
      </c>
      <c r="AQ51" s="47">
        <f t="array" ref="AQ51">IF(AND(ISNUMBER(MATCH(AQ$2, AsistenciaJetAdminConcatenada!$A:$A, 0)), ISNUMBER(MATCH(AQ$1, AsistenciaJetAdminConcatenada!$B:$B, 0)), ISNUMBER(SEARCH($A51,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ISNUMBER(SEARCH($A51, INDEX(AsistenciaJetAdminConcatenada!$D:$D, MATCH(1, (AsistenciaJetAdminConcatenada!$A:$A=AQ$2)*(AsistenciaJetAdminConcatenada!$B:$B=AQ$1), 0)), 1))),  0.5, 0))</f>
        <v>0</v>
      </c>
      <c r="AR51" s="47">
        <f t="array" ref="AR51">IF(AND(ISNUMBER(MATCH(AR$2, AsistenciaJetAdminConcatenada!$A:$A, 0)), ISNUMBER(MATCH(AR$1, AsistenciaJetAdminConcatenada!$B:$B, 0)), ISNUMBER(SEARCH($A51,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ISNUMBER(SEARCH($A51, INDEX(AsistenciaJetAdminConcatenada!$D:$D, MATCH(1, (AsistenciaJetAdminConcatenada!$A:$A=AR$2)*(AsistenciaJetAdminConcatenada!$B:$B=AR$1), 0)), 1))),  0.5, 0))</f>
        <v>1</v>
      </c>
      <c r="AS51" s="47">
        <f t="array" ref="AS51">IF(AND(ISNUMBER(MATCH(AS$2, AsistenciaJetAdminConcatenada!$A:$A, 0)), ISNUMBER(MATCH(AS$1, AsistenciaJetAdminConcatenada!$B:$B, 0)), ISNUMBER(SEARCH($A51,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ISNUMBER(SEARCH($A51, INDEX(AsistenciaJetAdminConcatenada!$D:$D, MATCH(1, (AsistenciaJetAdminConcatenada!$A:$A=AS$2)*(AsistenciaJetAdminConcatenada!$B:$B=AS$1), 0)), 1))),  0.5, 0))</f>
        <v>1</v>
      </c>
      <c r="AT51" s="47">
        <f t="array" ref="AT51">IF(AND(ISNUMBER(MATCH(AT$2, AsistenciaJetAdminConcatenada!$A:$A, 0)), ISNUMBER(MATCH(AT$1, AsistenciaJetAdminConcatenada!$B:$B, 0)), ISNUMBER(SEARCH($A51,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ISNUMBER(SEARCH($A51, INDEX(AsistenciaJetAdminConcatenada!$D:$D, MATCH(1, (AsistenciaJetAdminConcatenada!$A:$A=AT$2)*(AsistenciaJetAdminConcatenada!$B:$B=AT$1), 0)), 1))),  0.5, 0))</f>
        <v>0</v>
      </c>
      <c r="AU51" s="47">
        <f t="array" ref="AU51">IF(AND(ISNUMBER(MATCH(AU$2, AsistenciaJetAdminConcatenada!$A:$A, 0)), ISNUMBER(MATCH(AU$1, AsistenciaJetAdminConcatenada!$B:$B, 0)), ISNUMBER(SEARCH($A51,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ISNUMBER(SEARCH($A51, INDEX(AsistenciaJetAdminConcatenada!$D:$D, MATCH(1, (AsistenciaJetAdminConcatenada!$A:$A=AU$2)*(AsistenciaJetAdminConcatenada!$B:$B=AU$1), 0)), 1))),  0.5, 0))</f>
        <v>1</v>
      </c>
      <c r="AV51" s="47">
        <f t="array" ref="AV51">IF(AND(ISNUMBER(MATCH(AV$2, AsistenciaJetAdminConcatenada!$A:$A, 0)), ISNUMBER(MATCH(AV$1, AsistenciaJetAdminConcatenada!$B:$B, 0)), ISNUMBER(SEARCH($A51,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ISNUMBER(SEARCH($A51, INDEX(AsistenciaJetAdminConcatenada!$D:$D, MATCH(1, (AsistenciaJetAdminConcatenada!$A:$A=AV$2)*(AsistenciaJetAdminConcatenada!$B:$B=AV$1), 0)), 1))),  0.5, 0))</f>
        <v>0</v>
      </c>
      <c r="AW51" s="47">
        <f t="array" ref="AW51">IF(AND(ISNUMBER(MATCH(AW$2, AsistenciaJetAdminConcatenada!$A:$A, 0)), ISNUMBER(MATCH(AW$1, AsistenciaJetAdminConcatenada!$B:$B, 0)), ISNUMBER(SEARCH($A51,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ISNUMBER(SEARCH($A51, INDEX(AsistenciaJetAdminConcatenada!$D:$D, MATCH(1, (AsistenciaJetAdminConcatenada!$A:$A=AW$2)*(AsistenciaJetAdminConcatenada!$B:$B=AW$1), 0)), 1))),  0.5, 0))</f>
        <v>1</v>
      </c>
      <c r="AX51" s="47">
        <f t="array" ref="AX51">IF(AND(ISNUMBER(MATCH(AX$2, AsistenciaJetAdminConcatenada!$A:$A, 0)), ISNUMBER(MATCH(AX$1, AsistenciaJetAdminConcatenada!$B:$B, 0)), ISNUMBER(SEARCH($A51,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ISNUMBER(SEARCH($A51, INDEX(AsistenciaJetAdminConcatenada!$D:$D, MATCH(1, (AsistenciaJetAdminConcatenada!$A:$A=AX$2)*(AsistenciaJetAdminConcatenada!$B:$B=AX$1), 0)), 1))),  0.5, 0))</f>
        <v>1</v>
      </c>
      <c r="AY51" s="47">
        <f t="array" ref="AY51">IF(AND(ISNUMBER(MATCH(AY$2, AsistenciaJetAdminConcatenada!$A:$A, 0)), ISNUMBER(MATCH(AY$1, AsistenciaJetAdminConcatenada!$B:$B, 0)), ISNUMBER(SEARCH($A51,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ISNUMBER(SEARCH($A51, INDEX(AsistenciaJetAdminConcatenada!$D:$D, MATCH(1, (AsistenciaJetAdminConcatenada!$A:$A=AY$2)*(AsistenciaJetAdminConcatenada!$B:$B=AY$1), 0)), 1))),  0.5, 0))</f>
        <v>1</v>
      </c>
      <c r="AZ51" s="47">
        <f t="array" ref="AZ51">IF(AND(ISNUMBER(MATCH(AZ$2, AsistenciaJetAdminConcatenada!$A:$A, 0)), ISNUMBER(MATCH(AZ$1, AsistenciaJetAdminConcatenada!$B:$B, 0)), ISNUMBER(SEARCH($A51,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ISNUMBER(SEARCH($A51, INDEX(AsistenciaJetAdminConcatenada!$D:$D, MATCH(1, (AsistenciaJetAdminConcatenada!$A:$A=AZ$2)*(AsistenciaJetAdminConcatenada!$B:$B=AZ$1), 0)), 1))),  0.5, 0))</f>
        <v>1</v>
      </c>
      <c r="BA51" s="47">
        <f t="array" ref="BA51">IF(AND(ISNUMBER(MATCH(BA$2, AsistenciaJetAdminConcatenada!$A:$A, 0)), ISNUMBER(MATCH(BA$1, AsistenciaJetAdminConcatenada!$B:$B, 0)), ISNUMBER(SEARCH($A51,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ISNUMBER(SEARCH($A51, INDEX(AsistenciaJetAdminConcatenada!$D:$D, MATCH(1, (AsistenciaJetAdminConcatenada!$A:$A=BA$2)*(AsistenciaJetAdminConcatenada!$B:$B=BA$1), 0)), 1))),  0.5, 0))</f>
        <v>1</v>
      </c>
      <c r="BB51" s="47">
        <f t="array" ref="BB51">IF(AND(ISNUMBER(MATCH(BB$2, AsistenciaJetAdminConcatenada!$A:$A, 0)), ISNUMBER(MATCH(BB$1, AsistenciaJetAdminConcatenada!$B:$B, 0)), ISNUMBER(SEARCH($A51,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ISNUMBER(SEARCH($A51, INDEX(AsistenciaJetAdminConcatenada!$D:$D, MATCH(1, (AsistenciaJetAdminConcatenada!$A:$A=BB$2)*(AsistenciaJetAdminConcatenada!$B:$B=BB$1), 0)), 1))),  0.5, 0))</f>
        <v>1</v>
      </c>
      <c r="BC51" s="47">
        <f t="array" ref="BC51">IF(AND(ISNUMBER(MATCH(BC$2, AsistenciaJetAdminConcatenada!$A:$A, 0)), ISNUMBER(MATCH(BC$1, AsistenciaJetAdminConcatenada!$B:$B, 0)), ISNUMBER(SEARCH($A51,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ISNUMBER(SEARCH($A51, INDEX(AsistenciaJetAdminConcatenada!$D:$D, MATCH(1, (AsistenciaJetAdminConcatenada!$A:$A=BC$2)*(AsistenciaJetAdminConcatenada!$B:$B=BC$1), 0)), 1))),  0.5, 0))</f>
        <v>1</v>
      </c>
      <c r="BD51" s="47">
        <f t="array" ref="BD51">IF(AND(ISNUMBER(MATCH(BD$2, AsistenciaJetAdminConcatenada!$A:$A, 0)), ISNUMBER(MATCH(BD$1, AsistenciaJetAdminConcatenada!$B:$B, 0)), ISNUMBER(SEARCH($A51,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ISNUMBER(SEARCH($A51, INDEX(AsistenciaJetAdminConcatenada!$D:$D, MATCH(1, (AsistenciaJetAdminConcatenada!$A:$A=BD$2)*(AsistenciaJetAdminConcatenada!$B:$B=BD$1), 0)), 1))),  0.5, 0))</f>
        <v>1</v>
      </c>
      <c r="BE51" s="47">
        <f t="array" ref="BE51">IF(AND(ISNUMBER(MATCH(BE$2, AsistenciaJetAdminConcatenada!$A:$A, 0)), ISNUMBER(MATCH(BE$1, AsistenciaJetAdminConcatenada!$B:$B, 0)), ISNUMBER(SEARCH($A51,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ISNUMBER(SEARCH($A51, INDEX(AsistenciaJetAdminConcatenada!$D:$D, MATCH(1, (AsistenciaJetAdminConcatenada!$A:$A=BE$2)*(AsistenciaJetAdminConcatenada!$B:$B=BE$1), 0)), 1))),  0.5, 0))</f>
        <v>1</v>
      </c>
      <c r="BF51" s="47">
        <f t="array" ref="BF51">IF(AND(ISNUMBER(MATCH(BF$2, AsistenciaJetAdminConcatenada!$A:$A, 0)), ISNUMBER(MATCH(BF$1, AsistenciaJetAdminConcatenada!$B:$B, 0)), ISNUMBER(SEARCH($A51,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ISNUMBER(SEARCH($A51, INDEX(AsistenciaJetAdminConcatenada!$D:$D, MATCH(1, (AsistenciaJetAdminConcatenada!$A:$A=BF$2)*(AsistenciaJetAdminConcatenada!$B:$B=BF$1), 0)), 1))),  0.5, 0))</f>
        <v>1</v>
      </c>
      <c r="BG51" s="47">
        <f t="array" ref="BG51">IF(AND(ISNUMBER(MATCH(BG$2, AsistenciaJetAdminConcatenada!$A:$A, 0)), ISNUMBER(MATCH(BG$1, AsistenciaJetAdminConcatenada!$B:$B, 0)), ISNUMBER(SEARCH($A51,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ISNUMBER(SEARCH($A51, INDEX(AsistenciaJetAdminConcatenada!$D:$D, MATCH(1, (AsistenciaJetAdminConcatenada!$A:$A=BG$2)*(AsistenciaJetAdminConcatenada!$B:$B=BG$1), 0)), 1))),  0.5, 0))</f>
        <v>1</v>
      </c>
      <c r="BH51" s="47">
        <f t="array" ref="BH51">IF(AND(ISNUMBER(MATCH(BH$2, AsistenciaJetAdminConcatenada!$A:$A, 0)), ISNUMBER(MATCH(BH$1, AsistenciaJetAdminConcatenada!$B:$B, 0)), ISNUMBER(SEARCH($A51,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ISNUMBER(SEARCH($A51, INDEX(AsistenciaJetAdminConcatenada!$D:$D, MATCH(1, (AsistenciaJetAdminConcatenada!$A:$A=BH$2)*(AsistenciaJetAdminConcatenada!$B:$B=BH$1), 0)), 1))),  0.5, 0))</f>
        <v>1</v>
      </c>
      <c r="BI51" s="47">
        <f t="array" ref="BI51">IF(AND(ISNUMBER(MATCH(BI$2, AsistenciaJetAdminConcatenada!$A:$A, 0)), ISNUMBER(MATCH(BI$1, AsistenciaJetAdminConcatenada!$B:$B, 0)), ISNUMBER(SEARCH($A51,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ISNUMBER(SEARCH($A51, INDEX(AsistenciaJetAdminConcatenada!$D:$D, MATCH(1, (AsistenciaJetAdminConcatenada!$A:$A=BI$2)*(AsistenciaJetAdminConcatenada!$B:$B=BI$1), 0)), 1))),  0.5, 0))</f>
        <v>0</v>
      </c>
      <c r="BJ51" s="47">
        <f t="array" ref="BJ51">IF(AND(ISNUMBER(MATCH(BJ$2, AsistenciaJetAdminConcatenada!$A:$A, 0)), ISNUMBER(MATCH(BJ$1, AsistenciaJetAdminConcatenada!$B:$B, 0)), ISNUMBER(SEARCH($A51,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ISNUMBER(SEARCH($A51, INDEX(AsistenciaJetAdminConcatenada!$D:$D, MATCH(1, (AsistenciaJetAdminConcatenada!$A:$A=BJ$2)*(AsistenciaJetAdminConcatenada!$B:$B=BJ$1), 0)), 1))),  0.5, 0))</f>
        <v>0</v>
      </c>
      <c r="BK51" s="47">
        <f t="array" ref="BK51">IF(AND(ISNUMBER(MATCH(BK$2, AsistenciaJetAdminConcatenada!$A:$A, 0)), ISNUMBER(MATCH(BK$1, AsistenciaJetAdminConcatenada!$B:$B, 0)), ISNUMBER(SEARCH($A51,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ISNUMBER(SEARCH($A51, INDEX(AsistenciaJetAdminConcatenada!$D:$D, MATCH(1, (AsistenciaJetAdminConcatenada!$A:$A=BK$2)*(AsistenciaJetAdminConcatenada!$B:$B=BK$1), 0)), 1))),  0.5, 0))</f>
        <v>1</v>
      </c>
      <c r="BL51" s="47">
        <f t="array" ref="BL51">IF(AND(ISNUMBER(MATCH(BL$2, AsistenciaJetAdminConcatenada!$A:$A, 0)), ISNUMBER(MATCH(BL$1, AsistenciaJetAdminConcatenada!$B:$B, 0)), ISNUMBER(SEARCH($A51,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ISNUMBER(SEARCH($A51, INDEX(AsistenciaJetAdminConcatenada!$D:$D, MATCH(1, (AsistenciaJetAdminConcatenada!$A:$A=BL$2)*(AsistenciaJetAdminConcatenada!$B:$B=BL$1), 0)), 1))),  0.5, 0))</f>
        <v>1</v>
      </c>
      <c r="BM51" s="47">
        <f t="array" ref="BM51">IF(AND(ISNUMBER(MATCH(BM$2, AsistenciaJetAdminConcatenada!$A:$A, 0)), ISNUMBER(MATCH(BM$1, AsistenciaJetAdminConcatenada!$B:$B, 0)), ISNUMBER(SEARCH($A51,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ISNUMBER(SEARCH($A51, INDEX(AsistenciaJetAdminConcatenada!$D:$D, MATCH(1, (AsistenciaJetAdminConcatenada!$A:$A=BM$2)*(AsistenciaJetAdminConcatenada!$B:$B=BM$1), 0)), 1))),  0.5, 0))</f>
        <v>1</v>
      </c>
      <c r="BN51" s="47">
        <f t="array" ref="BN51">IF(AND(ISNUMBER(MATCH(BN$2, AsistenciaJetAdminConcatenada!$A:$A, 0)), ISNUMBER(MATCH(BN$1, AsistenciaJetAdminConcatenada!$B:$B, 0)), ISNUMBER(SEARCH($A51,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ISNUMBER(SEARCH($A51, INDEX(AsistenciaJetAdminConcatenada!$D:$D, MATCH(1, (AsistenciaJetAdminConcatenada!$A:$A=BN$2)*(AsistenciaJetAdminConcatenada!$B:$B=BN$1), 0)), 1))),  0.5, 0))</f>
        <v>1</v>
      </c>
      <c r="BO51" s="47">
        <f t="array" ref="BO51">IF(AND(ISNUMBER(MATCH(BO$2, AsistenciaJetAdminConcatenada!$A:$A, 0)), ISNUMBER(MATCH(BO$1, AsistenciaJetAdminConcatenada!$B:$B, 0)), ISNUMBER(SEARCH($A51,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ISNUMBER(SEARCH($A51, INDEX(AsistenciaJetAdminConcatenada!$D:$D, MATCH(1, (AsistenciaJetAdminConcatenada!$A:$A=BO$2)*(AsistenciaJetAdminConcatenada!$B:$B=BO$1), 0)), 1))),  0.5, 0))</f>
        <v>1</v>
      </c>
      <c r="BP51" s="47">
        <f t="array" ref="BP51">IF(AND(ISNUMBER(MATCH(BP$2, AsistenciaJetAdminConcatenada!$A:$A, 0)), ISNUMBER(MATCH(BP$1, AsistenciaJetAdminConcatenada!$B:$B, 0)), ISNUMBER(SEARCH($A51,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ISNUMBER(SEARCH($A51, INDEX(AsistenciaJetAdminConcatenada!$D:$D, MATCH(1, (AsistenciaJetAdminConcatenada!$A:$A=BP$2)*(AsistenciaJetAdminConcatenada!$B:$B=BP$1), 0)), 1))),  0.5, 0))</f>
        <v>0</v>
      </c>
      <c r="BQ51" s="47">
        <f t="array" ref="BQ51">IF(AND(ISNUMBER(MATCH(BQ$2, AsistenciaJetAdminConcatenada!$A:$A, 0)), ISNUMBER(MATCH(BQ$1, AsistenciaJetAdminConcatenada!$B:$B, 0)), ISNUMBER(SEARCH($A51,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ISNUMBER(SEARCH($A51, INDEX(AsistenciaJetAdminConcatenada!$D:$D, MATCH(1, (AsistenciaJetAdminConcatenada!$A:$A=BQ$2)*(AsistenciaJetAdminConcatenada!$B:$B=BQ$1), 0)), 1))),  0.5, 0))</f>
        <v>1</v>
      </c>
      <c r="BR51" s="47">
        <f t="array" ref="BR51">IF(AND(ISNUMBER(MATCH(BR$2, AsistenciaJetAdminConcatenada!$A:$A, 0)), ISNUMBER(MATCH(BR$1, AsistenciaJetAdminConcatenada!$B:$B, 0)), ISNUMBER(SEARCH($A51,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ISNUMBER(SEARCH($A51, INDEX(AsistenciaJetAdminConcatenada!$D:$D, MATCH(1, (AsistenciaJetAdminConcatenada!$A:$A=BR$2)*(AsistenciaJetAdminConcatenada!$B:$B=BR$1), 0)), 1))),  0.5, 0))</f>
        <v>1</v>
      </c>
      <c r="BS51" s="47">
        <f t="array" ref="BS51">IF(AND(ISNUMBER(MATCH(BS$2, AsistenciaJetAdminConcatenada!$A:$A, 0)), ISNUMBER(MATCH(BS$1, AsistenciaJetAdminConcatenada!$B:$B, 0)), ISNUMBER(SEARCH($A51,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ISNUMBER(SEARCH($A51, INDEX(AsistenciaJetAdminConcatenada!$D:$D, MATCH(1, (AsistenciaJetAdminConcatenada!$A:$A=BS$2)*(AsistenciaJetAdminConcatenada!$B:$B=BS$1), 0)), 1))),  0.5, 0))</f>
        <v>1</v>
      </c>
      <c r="BT51" s="47">
        <f t="array" ref="BT51">IF(AND(ISNUMBER(MATCH(BT$2, AsistenciaJetAdminConcatenada!$A:$A, 0)), ISNUMBER(MATCH(BT$1, AsistenciaJetAdminConcatenada!$B:$B, 0)), ISNUMBER(SEARCH($A51,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ISNUMBER(SEARCH($A51, INDEX(AsistenciaJetAdminConcatenada!$D:$D, MATCH(1, (AsistenciaJetAdminConcatenada!$A:$A=BT$2)*(AsistenciaJetAdminConcatenada!$B:$B=BT$1), 0)), 1))),  0.5, 0))</f>
        <v>1</v>
      </c>
      <c r="BU51" s="47">
        <f t="array" ref="BU51">IF(AND(ISNUMBER(MATCH(BU$2, AsistenciaJetAdminConcatenada!$A:$A, 0)), ISNUMBER(MATCH(BU$1, AsistenciaJetAdminConcatenada!$B:$B, 0)), ISNUMBER(SEARCH($A51,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ISNUMBER(SEARCH($A51, INDEX(AsistenciaJetAdminConcatenada!$D:$D, MATCH(1, (AsistenciaJetAdminConcatenada!$A:$A=BU$2)*(AsistenciaJetAdminConcatenada!$B:$B=BU$1), 0)), 1))),  0.5, 0))</f>
        <v>1</v>
      </c>
      <c r="BV51" s="47">
        <f t="array" ref="BV51">IF(AND(ISNUMBER(MATCH(BV$2, AsistenciaJetAdminConcatenada!$A:$A, 0)), ISNUMBER(MATCH(BV$1, AsistenciaJetAdminConcatenada!$B:$B, 0)), ISNUMBER(SEARCH($A51,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ISNUMBER(SEARCH($A51, INDEX(AsistenciaJetAdminConcatenada!$D:$D, MATCH(1, (AsistenciaJetAdminConcatenada!$A:$A=BV$2)*(AsistenciaJetAdminConcatenada!$B:$B=BV$1), 0)), 1))),  0.5, 0))</f>
        <v>0</v>
      </c>
      <c r="BW51" s="47">
        <f t="array" ref="BW51">IF(AND(ISNUMBER(MATCH(BW$2, AsistenciaJetAdminConcatenada!$A:$A, 0)), ISNUMBER(MATCH(BW$1, AsistenciaJetAdminConcatenada!$B:$B, 0)), ISNUMBER(SEARCH($A51,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ISNUMBER(SEARCH($A51, INDEX(AsistenciaJetAdminConcatenada!$D:$D, MATCH(1, (AsistenciaJetAdminConcatenada!$A:$A=BW$2)*(AsistenciaJetAdminConcatenada!$B:$B=BW$1), 0)), 1))),  0.5, 0))</f>
        <v>1</v>
      </c>
      <c r="BX51" s="47">
        <f t="array" ref="BX51">IF(AND(ISNUMBER(MATCH(BX$2, AsistenciaJetAdminConcatenada!$A:$A, 0)), ISNUMBER(MATCH(BX$1, AsistenciaJetAdminConcatenada!$B:$B, 0)), ISNUMBER(SEARCH($A51,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ISNUMBER(SEARCH($A51, INDEX(AsistenciaJetAdminConcatenada!$D:$D, MATCH(1, (AsistenciaJetAdminConcatenada!$A:$A=BX$2)*(AsistenciaJetAdminConcatenada!$B:$B=BX$1), 0)), 1))),  0.5, 0))</f>
        <v>1</v>
      </c>
      <c r="BY51" s="47">
        <f t="array" ref="BY51">IF(AND(ISNUMBER(MATCH(BY$2, AsistenciaJetAdminConcatenada!$A:$A, 0)), ISNUMBER(MATCH(BY$1, AsistenciaJetAdminConcatenada!$B:$B, 0)), ISNUMBER(SEARCH($A51,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ISNUMBER(SEARCH($A51, INDEX(AsistenciaJetAdminConcatenada!$D:$D, MATCH(1, (AsistenciaJetAdminConcatenada!$A:$A=BY$2)*(AsistenciaJetAdminConcatenada!$B:$B=BY$1), 0)), 1))),  0.5, 0))</f>
        <v>0</v>
      </c>
      <c r="BZ51" s="47">
        <f t="array" ref="BZ51">IF(AND(ISNUMBER(MATCH(BZ$2, AsistenciaJetAdminConcatenada!$A:$A, 0)), ISNUMBER(MATCH(BZ$1, AsistenciaJetAdminConcatenada!$B:$B, 0)), ISNUMBER(SEARCH($A51,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ISNUMBER(SEARCH($A51, INDEX(AsistenciaJetAdminConcatenada!$D:$D, MATCH(1, (AsistenciaJetAdminConcatenada!$A:$A=BZ$2)*(AsistenciaJetAdminConcatenada!$B:$B=BZ$1), 0)), 1))),  0.5, 0))</f>
        <v>1</v>
      </c>
      <c r="CA51" s="47">
        <f t="array" ref="CA51">IF(AND(ISNUMBER(MATCH(CA$2, AsistenciaJetAdminConcatenada!$A:$A, 0)), ISNUMBER(MATCH(CA$1, AsistenciaJetAdminConcatenada!$B:$B, 0)), ISNUMBER(SEARCH($A51,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ISNUMBER(SEARCH($A51, INDEX(AsistenciaJetAdminConcatenada!$D:$D, MATCH(1, (AsistenciaJetAdminConcatenada!$A:$A=CA$2)*(AsistenciaJetAdminConcatenada!$B:$B=CA$1), 0)), 1))),  0.5, 0))</f>
        <v>1</v>
      </c>
      <c r="CB51" s="47">
        <f t="array" ref="CB51">IF(AND(ISNUMBER(MATCH(CB$2, AsistenciaJetAdminConcatenada!$A:$A, 0)), ISNUMBER(MATCH(CB$1, AsistenciaJetAdminConcatenada!$B:$B, 0)), ISNUMBER(SEARCH($A51,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ISNUMBER(SEARCH($A51, INDEX(AsistenciaJetAdminConcatenada!$D:$D, MATCH(1, (AsistenciaJetAdminConcatenada!$A:$A=CB$2)*(AsistenciaJetAdminConcatenada!$B:$B=CB$1), 0)), 1))),  0.5, 0))</f>
        <v>0</v>
      </c>
      <c r="CC51" s="47">
        <f t="array" ref="CC51">IF(AND(ISNUMBER(MATCH(CC$2, AsistenciaJetAdminConcatenada!$A:$A, 0)), ISNUMBER(MATCH(CC$1, AsistenciaJetAdminConcatenada!$B:$B, 0)), ISNUMBER(SEARCH($A51,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ISNUMBER(SEARCH($A51, INDEX(AsistenciaJetAdminConcatenada!$D:$D, MATCH(1, (AsistenciaJetAdminConcatenada!$A:$A=CC$2)*(AsistenciaJetAdminConcatenada!$B:$B=CC$1), 0)), 1))),  0.5, 0))</f>
        <v>1</v>
      </c>
      <c r="CD51" s="47">
        <f t="array" ref="CD51">IF(AND(ISNUMBER(MATCH(CD$2, AsistenciaJetAdminConcatenada!$A:$A, 0)), ISNUMBER(MATCH(CD$1, AsistenciaJetAdminConcatenada!$B:$B, 0)), ISNUMBER(SEARCH($A51,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ISNUMBER(SEARCH($A51, INDEX(AsistenciaJetAdminConcatenada!$D:$D, MATCH(1, (AsistenciaJetAdminConcatenada!$A:$A=CD$2)*(AsistenciaJetAdminConcatenada!$B:$B=CD$1), 0)), 1))),  0.5, 0))</f>
        <v>1</v>
      </c>
      <c r="CE51" s="47">
        <f t="array" ref="CE51">IF(AND(ISNUMBER(MATCH(CE$2, AsistenciaJetAdminConcatenada!$A:$A, 0)), ISNUMBER(MATCH(CE$1, AsistenciaJetAdminConcatenada!$B:$B, 0)), ISNUMBER(SEARCH($A51,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ISNUMBER(SEARCH($A51, INDEX(AsistenciaJetAdminConcatenada!$D:$D, MATCH(1, (AsistenciaJetAdminConcatenada!$A:$A=CE$2)*(AsistenciaJetAdminConcatenada!$B:$B=CE$1), 0)), 1))),  0.5, 0))</f>
        <v>1</v>
      </c>
      <c r="CF51" s="47">
        <f t="array" ref="CF51">IF(AND(ISNUMBER(MATCH(CF$2, AsistenciaJetAdminConcatenada!$A:$A, 0)), ISNUMBER(MATCH(CF$1, AsistenciaJetAdminConcatenada!$B:$B, 0)), ISNUMBER(SEARCH($A51,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ISNUMBER(SEARCH($A51, INDEX(AsistenciaJetAdminConcatenada!$D:$D, MATCH(1, (AsistenciaJetAdminConcatenada!$A:$A=CF$2)*(AsistenciaJetAdminConcatenada!$B:$B=CF$1), 0)), 1))),  0.5, 0))</f>
        <v>1</v>
      </c>
      <c r="CG51" s="47">
        <f t="array" ref="CG51">IF(AND(ISNUMBER(MATCH(CG$2, AsistenciaJetAdminConcatenada!$A:$A, 0)), ISNUMBER(MATCH(CG$1, AsistenciaJetAdminConcatenada!$B:$B, 0)), ISNUMBER(SEARCH($A51,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ISNUMBER(SEARCH($A51, INDEX(AsistenciaJetAdminConcatenada!$D:$D, MATCH(1, (AsistenciaJetAdminConcatenada!$A:$A=CG$2)*(AsistenciaJetAdminConcatenada!$B:$B=CG$1), 0)), 1))),  0.5, 0))</f>
        <v>0</v>
      </c>
      <c r="CH51" s="47">
        <f t="array" ref="CH51">IF(AND(ISNUMBER(MATCH(CH$2, AsistenciaJetAdminConcatenada!$A:$A, 0)), ISNUMBER(MATCH(CH$1, AsistenciaJetAdminConcatenada!$B:$B, 0)), ISNUMBER(SEARCH($A51,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ISNUMBER(SEARCH($A51, INDEX(AsistenciaJetAdminConcatenada!$D:$D, MATCH(1, (AsistenciaJetAdminConcatenada!$A:$A=CH$2)*(AsistenciaJetAdminConcatenada!$B:$B=CH$1), 0)), 1))),  0.5, 0))</f>
        <v>0</v>
      </c>
      <c r="CI51" s="47">
        <f t="array" ref="CI51">IF(AND(ISNUMBER(MATCH(CI$2, AsistenciaJetAdminConcatenada!$A:$A, 0)), ISNUMBER(MATCH(CI$1, AsistenciaJetAdminConcatenada!$B:$B, 0)), ISNUMBER(SEARCH($A51,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ISNUMBER(SEARCH($A51, INDEX(AsistenciaJetAdminConcatenada!$D:$D, MATCH(1, (AsistenciaJetAdminConcatenada!$A:$A=CI$2)*(AsistenciaJetAdminConcatenada!$B:$B=CI$1), 0)), 1))),  0.5, 0))</f>
        <v>0</v>
      </c>
      <c r="CJ51" s="47">
        <f t="array" ref="CJ51">IF(AND(ISNUMBER(MATCH(CJ$2, AsistenciaJetAdminConcatenada!$A:$A, 0)), ISNUMBER(MATCH(CJ$1, AsistenciaJetAdminConcatenada!$B:$B, 0)), ISNUMBER(SEARCH($A51,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ISNUMBER(SEARCH($A51, INDEX(AsistenciaJetAdminConcatenada!$D:$D, MATCH(1, (AsistenciaJetAdminConcatenada!$A:$A=CJ$2)*(AsistenciaJetAdminConcatenada!$B:$B=CJ$1), 0)), 1))),  0.5, 0))</f>
        <v>0</v>
      </c>
      <c r="CK51" s="47">
        <f t="array" ref="CK51">IF(AND(ISNUMBER(MATCH(CK$2, AsistenciaJetAdminConcatenada!$A:$A, 0)), ISNUMBER(MATCH(CK$1, AsistenciaJetAdminConcatenada!$B:$B, 0)), ISNUMBER(SEARCH($A51,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ISNUMBER(SEARCH($A51, INDEX(AsistenciaJetAdminConcatenada!$D:$D, MATCH(1, (AsistenciaJetAdminConcatenada!$A:$A=CK$2)*(AsistenciaJetAdminConcatenada!$B:$B=CK$1), 0)), 1))),  0.5, 0))</f>
        <v>0</v>
      </c>
      <c r="CL51" s="47">
        <f t="array" ref="CL51">IF(AND(ISNUMBER(MATCH(CL$2, AsistenciaJetAdminConcatenada!$A:$A, 0)), ISNUMBER(MATCH(CL$1, AsistenciaJetAdminConcatenada!$B:$B, 0)), ISNUMBER(SEARCH($A51,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ISNUMBER(SEARCH($A51, INDEX(AsistenciaJetAdminConcatenada!$D:$D, MATCH(1, (AsistenciaJetAdminConcatenada!$A:$A=CL$2)*(AsistenciaJetAdminConcatenada!$B:$B=CL$1), 0)), 1))),  0.5, 0))</f>
        <v>1</v>
      </c>
      <c r="CM51" s="47">
        <f t="array" ref="CM51">IF(AND(ISNUMBER(MATCH(CM$2, AsistenciaJetAdminConcatenada!$A:$A, 0)), ISNUMBER(MATCH(CM$1, AsistenciaJetAdminConcatenada!$B:$B, 0)), ISNUMBER(SEARCH($A51,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ISNUMBER(SEARCH($A51, INDEX(AsistenciaJetAdminConcatenada!$D:$D, MATCH(1, (AsistenciaJetAdminConcatenada!$A:$A=CM$2)*(AsistenciaJetAdminConcatenada!$B:$B=CM$1), 0)), 1))),  0.5, 0))</f>
        <v>1</v>
      </c>
      <c r="CN51" s="47">
        <f t="array" ref="CN51">IF(AND(ISNUMBER(MATCH(CN$2, AsistenciaJetAdminConcatenada!$A:$A, 0)), ISNUMBER(MATCH(CN$1, AsistenciaJetAdminConcatenada!$B:$B, 0)), ISNUMBER(SEARCH($A51,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ISNUMBER(SEARCH($A51, INDEX(AsistenciaJetAdminConcatenada!$D:$D, MATCH(1, (AsistenciaJetAdminConcatenada!$A:$A=CN$2)*(AsistenciaJetAdminConcatenada!$B:$B=CN$1), 0)), 1))),  0.5, 0))</f>
        <v>1</v>
      </c>
      <c r="CO51" s="47">
        <f t="array" ref="CO51">IF(AND(ISNUMBER(MATCH(CO$2, AsistenciaJetAdminConcatenada!$A:$A, 0)), ISNUMBER(MATCH(CO$1, AsistenciaJetAdminConcatenada!$B:$B, 0)), ISNUMBER(SEARCH($A51,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ISNUMBER(SEARCH($A51, INDEX(AsistenciaJetAdminConcatenada!$D:$D, MATCH(1, (AsistenciaJetAdminConcatenada!$A:$A=CO$2)*(AsistenciaJetAdminConcatenada!$B:$B=CO$1), 0)), 1))),  0.5, 0))</f>
        <v>0</v>
      </c>
      <c r="CP51" s="47">
        <f t="array" ref="CP51">IF(AND(ISNUMBER(MATCH(CP$2, AsistenciaJetAdminConcatenada!$A:$A, 0)), ISNUMBER(MATCH(CP$1, AsistenciaJetAdminConcatenada!$B:$B, 0)), ISNUMBER(SEARCH($A51,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ISNUMBER(SEARCH($A51, INDEX(AsistenciaJetAdminConcatenada!$D:$D, MATCH(1, (AsistenciaJetAdminConcatenada!$A:$A=CP$2)*(AsistenciaJetAdminConcatenada!$B:$B=CP$1), 0)), 1))),  0.5, 0))</f>
        <v>0</v>
      </c>
      <c r="CQ51" s="47">
        <f t="array" ref="CQ51">IF(AND(ISNUMBER(MATCH(CQ$2, AsistenciaJetAdminConcatenada!$A:$A, 0)), ISNUMBER(MATCH(CQ$1, AsistenciaJetAdminConcatenada!$B:$B, 0)), ISNUMBER(SEARCH($A51,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ISNUMBER(SEARCH($A51, INDEX(AsistenciaJetAdminConcatenada!$D:$D, MATCH(1, (AsistenciaJetAdminConcatenada!$A:$A=CQ$2)*(AsistenciaJetAdminConcatenada!$B:$B=CQ$1), 0)), 1))),  0.5, 0))</f>
        <v>1</v>
      </c>
      <c r="CR51" s="47">
        <f t="array" ref="CR51">IF(AND(ISNUMBER(MATCH(CR$2, AsistenciaJetAdminConcatenada!$A:$A, 0)), ISNUMBER(MATCH(CR$1, AsistenciaJetAdminConcatenada!$B:$B, 0)), ISNUMBER(SEARCH($A51,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ISNUMBER(SEARCH($A51, INDEX(AsistenciaJetAdminConcatenada!$D:$D, MATCH(1, (AsistenciaJetAdminConcatenada!$A:$A=CR$2)*(AsistenciaJetAdminConcatenada!$B:$B=CR$1), 0)), 1))),  0.5, 0))</f>
        <v>0</v>
      </c>
      <c r="CS51" s="47">
        <f t="array" ref="CS51">IF(AND(ISNUMBER(MATCH(CS$2, AsistenciaJetAdminConcatenada!$A:$A, 0)), ISNUMBER(MATCH(CS$1, AsistenciaJetAdminConcatenada!$B:$B, 0)), ISNUMBER(SEARCH($A51,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ISNUMBER(SEARCH($A51, INDEX(AsistenciaJetAdminConcatenada!$D:$D, MATCH(1, (AsistenciaJetAdminConcatenada!$A:$A=CS$2)*(AsistenciaJetAdminConcatenada!$B:$B=CS$1), 0)), 1))),  0.5, 0))</f>
        <v>0</v>
      </c>
      <c r="CT51" s="47">
        <f t="array" ref="CT51">IF(AND(ISNUMBER(MATCH(CT$2, AsistenciaJetAdminConcatenada!$A:$A, 0)), ISNUMBER(MATCH(CT$1, AsistenciaJetAdminConcatenada!$B:$B, 0)), ISNUMBER(SEARCH($A51,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ISNUMBER(SEARCH($A51, INDEX(AsistenciaJetAdminConcatenada!$D:$D, MATCH(1, (AsistenciaJetAdminConcatenada!$A:$A=CT$2)*(AsistenciaJetAdminConcatenada!$B:$B=CT$1), 0)), 1))),  0.5, 0))</f>
        <v>0</v>
      </c>
      <c r="CU51" s="47">
        <f t="array" ref="CU51">IF(AND(ISNUMBER(MATCH(CU$2, AsistenciaJetAdminConcatenada!$A:$A, 0)), ISNUMBER(MATCH(CU$1, AsistenciaJetAdminConcatenada!$B:$B, 0)), ISNUMBER(SEARCH($A51,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ISNUMBER(SEARCH($A51, INDEX(AsistenciaJetAdminConcatenada!$D:$D, MATCH(1, (AsistenciaJetAdminConcatenada!$A:$A=CU$2)*(AsistenciaJetAdminConcatenada!$B:$B=CU$1), 0)), 1))),  0.5, 0))</f>
        <v>0</v>
      </c>
      <c r="CV51" s="47">
        <f t="array" ref="CV51">IF(AND(ISNUMBER(MATCH(CV$2, AsistenciaJetAdminConcatenada!$A:$A, 0)), ISNUMBER(MATCH(CV$1, AsistenciaJetAdminConcatenada!$B:$B, 0)), ISNUMBER(SEARCH($A51,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ISNUMBER(SEARCH($A51, INDEX(AsistenciaJetAdminConcatenada!$D:$D, MATCH(1, (AsistenciaJetAdminConcatenada!$A:$A=CV$2)*(AsistenciaJetAdminConcatenada!$B:$B=CV$1), 0)), 1))),  0.5, 0))</f>
        <v>0</v>
      </c>
      <c r="CW51" s="47">
        <f t="array" ref="CW51">IF(AND(ISNUMBER(MATCH(CW$2, AsistenciaJetAdminConcatenada!$A:$A, 0)), ISNUMBER(MATCH(CW$1, AsistenciaJetAdminConcatenada!$B:$B, 0)), ISNUMBER(SEARCH($A51,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ISNUMBER(SEARCH($A51, INDEX(AsistenciaJetAdminConcatenada!$D:$D, MATCH(1, (AsistenciaJetAdminConcatenada!$A:$A=CW$2)*(AsistenciaJetAdminConcatenada!$B:$B=CW$1), 0)), 1))),  0.5, 0))</f>
        <v>0</v>
      </c>
      <c r="CX51" s="47">
        <f t="array" ref="CX51">IF(AND(ISNUMBER(MATCH(CX$2, AsistenciaJetAdminConcatenada!$A:$A, 0)), ISNUMBER(MATCH(CX$1, AsistenciaJetAdminConcatenada!$B:$B, 0)), ISNUMBER(SEARCH($A51,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ISNUMBER(SEARCH($A51, INDEX(AsistenciaJetAdminConcatenada!$D:$D, MATCH(1, (AsistenciaJetAdminConcatenada!$A:$A=CX$2)*(AsistenciaJetAdminConcatenada!$B:$B=CX$1), 0)), 1))),  0.5, 0))</f>
        <v>0</v>
      </c>
      <c r="CY51" s="47">
        <f t="array" ref="CY51">IF(AND(ISNUMBER(MATCH(CY$2, AsistenciaJetAdminConcatenada!$A:$A, 0)), ISNUMBER(MATCH(CY$1, AsistenciaJetAdminConcatenada!$B:$B, 0)), ISNUMBER(SEARCH($A51,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ISNUMBER(SEARCH($A51, INDEX(AsistenciaJetAdminConcatenada!$D:$D, MATCH(1, (AsistenciaJetAdminConcatenada!$A:$A=CY$2)*(AsistenciaJetAdminConcatenada!$B:$B=CY$1), 0)), 1))),  0.5, 0))</f>
        <v>0</v>
      </c>
      <c r="CZ51" s="47">
        <f t="array" ref="CZ51">IF(AND(ISNUMBER(MATCH(CZ$2, AsistenciaJetAdminConcatenada!$A:$A, 0)), ISNUMBER(MATCH(CZ$1, AsistenciaJetAdminConcatenada!$B:$B, 0)), ISNUMBER(SEARCH($A51,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ISNUMBER(SEARCH($A51, INDEX(AsistenciaJetAdminConcatenada!$D:$D, MATCH(1, (AsistenciaJetAdminConcatenada!$A:$A=CZ$2)*(AsistenciaJetAdminConcatenada!$B:$B=CZ$1), 0)), 1))),  0.5, 0))</f>
        <v>0</v>
      </c>
      <c r="DA51" s="47">
        <f t="array" ref="DA51">IF(AND(ISNUMBER(MATCH(DA$2, AsistenciaJetAdminConcatenada!$A:$A, 0)), ISNUMBER(MATCH(DA$1, AsistenciaJetAdminConcatenada!$B:$B, 0)), ISNUMBER(SEARCH($A51,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ISNUMBER(SEARCH($A51, INDEX(AsistenciaJetAdminConcatenada!$D:$D, MATCH(1, (AsistenciaJetAdminConcatenada!$A:$A=DA$2)*(AsistenciaJetAdminConcatenada!$B:$B=DA$1), 0)), 1))),  0.5, 0))</f>
        <v>0</v>
      </c>
      <c r="DB51" s="47">
        <f t="array" ref="DB51">IF(AND(ISNUMBER(MATCH(DB$2, AsistenciaJetAdminConcatenada!$A:$A, 0)), ISNUMBER(MATCH(DB$1, AsistenciaJetAdminConcatenada!$B:$B, 0)), ISNUMBER(SEARCH($A51,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ISNUMBER(SEARCH($A51, INDEX(AsistenciaJetAdminConcatenada!$D:$D, MATCH(1, (AsistenciaJetAdminConcatenada!$A:$A=DB$2)*(AsistenciaJetAdminConcatenada!$B:$B=DB$1), 0)), 1))),  0.5, 0))</f>
        <v>0</v>
      </c>
      <c r="DC51" s="47">
        <f t="array" ref="DC51">IF(AND(ISNUMBER(MATCH(DC$2, AsistenciaJetAdminConcatenada!$A:$A, 0)), ISNUMBER(MATCH(DC$1, AsistenciaJetAdminConcatenada!$B:$B, 0)), ISNUMBER(SEARCH($A51,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ISNUMBER(SEARCH($A51, INDEX(AsistenciaJetAdminConcatenada!$D:$D, MATCH(1, (AsistenciaJetAdminConcatenada!$A:$A=DC$2)*(AsistenciaJetAdminConcatenada!$B:$B=DC$1), 0)), 1))),  0.5, 0))</f>
        <v>0</v>
      </c>
      <c r="DD51" s="47">
        <f t="array" ref="DD51">IF(AND(ISNUMBER(MATCH(DD$2, AsistenciaJetAdminConcatenada!$A:$A, 0)), ISNUMBER(MATCH(DD$1, AsistenciaJetAdminConcatenada!$B:$B, 0)), ISNUMBER(SEARCH($A51,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ISNUMBER(SEARCH($A51, INDEX(AsistenciaJetAdminConcatenada!$D:$D, MATCH(1, (AsistenciaJetAdminConcatenada!$A:$A=DD$2)*(AsistenciaJetAdminConcatenada!$B:$B=DD$1), 0)), 1))),  0.5, 0))</f>
        <v>0</v>
      </c>
      <c r="DE51" s="47">
        <f t="array" ref="DE51">IF(AND(ISNUMBER(MATCH(DE$2, AsistenciaJetAdminConcatenada!$A:$A, 0)), ISNUMBER(MATCH(DE$1, AsistenciaJetAdminConcatenada!$B:$B, 0)), ISNUMBER(SEARCH($A51,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ISNUMBER(SEARCH($A51, INDEX(AsistenciaJetAdminConcatenada!$D:$D, MATCH(1, (AsistenciaJetAdminConcatenada!$A:$A=DE$2)*(AsistenciaJetAdminConcatenada!$B:$B=DE$1), 0)), 1))),  0.5, 0))</f>
        <v>0</v>
      </c>
      <c r="DF51" s="47">
        <f t="array" ref="DF51">IF(AND(ISNUMBER(MATCH(DF$2, AsistenciaJetAdminConcatenada!$A:$A, 0)), ISNUMBER(MATCH(DF$1, AsistenciaJetAdminConcatenada!$B:$B, 0)), ISNUMBER(SEARCH($A51,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ISNUMBER(SEARCH($A51, INDEX(AsistenciaJetAdminConcatenada!$D:$D, MATCH(1, (AsistenciaJetAdminConcatenada!$A:$A=DF$2)*(AsistenciaJetAdminConcatenada!$B:$B=DF$1), 0)), 1))),  0.5, 0))</f>
        <v>0</v>
      </c>
      <c r="DG51" s="47">
        <f t="array" ref="DG51">IF(AND(ISNUMBER(MATCH(DG$2, AsistenciaJetAdminConcatenada!$A:$A, 0)), ISNUMBER(MATCH(DG$1, AsistenciaJetAdminConcatenada!$B:$B, 0)), ISNUMBER(SEARCH($A51,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ISNUMBER(SEARCH($A51, INDEX(AsistenciaJetAdminConcatenada!$D:$D, MATCH(1, (AsistenciaJetAdminConcatenada!$A:$A=DG$2)*(AsistenciaJetAdminConcatenada!$B:$B=DG$1), 0)), 1))),  0.5, 0))</f>
        <v>0</v>
      </c>
      <c r="DH51" s="47">
        <f t="array" ref="DH51">IF(AND(ISNUMBER(MATCH(DH$2, AsistenciaJetAdminConcatenada!$A:$A, 0)), ISNUMBER(MATCH(DH$1, AsistenciaJetAdminConcatenada!$B:$B, 0)), ISNUMBER(SEARCH($A51,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ISNUMBER(SEARCH($A51, INDEX(AsistenciaJetAdminConcatenada!$D:$D, MATCH(1, (AsistenciaJetAdminConcatenada!$A:$A=DH$2)*(AsistenciaJetAdminConcatenada!$B:$B=DH$1), 0)), 1))),  0.5, 0))</f>
        <v>0</v>
      </c>
      <c r="DI51" s="47">
        <f t="array" ref="DI51">IF(AND(ISNUMBER(MATCH(DI$2, AsistenciaJetAdminConcatenada!$A:$A, 0)), ISNUMBER(MATCH(DI$1, AsistenciaJetAdminConcatenada!$B:$B, 0)), ISNUMBER(SEARCH($A51,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ISNUMBER(SEARCH($A51, INDEX(AsistenciaJetAdminConcatenada!$D:$D, MATCH(1, (AsistenciaJetAdminConcatenada!$A:$A=DI$2)*(AsistenciaJetAdminConcatenada!$B:$B=DI$1), 0)), 1))),  0.5, 0))</f>
        <v>0</v>
      </c>
      <c r="DJ51" s="47">
        <f t="array" ref="DJ51">IF(AND(ISNUMBER(MATCH(DJ$2, AsistenciaJetAdminConcatenada!$A:$A, 0)), ISNUMBER(MATCH(DJ$1, AsistenciaJetAdminConcatenada!$B:$B, 0)), ISNUMBER(SEARCH($A51,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ISNUMBER(SEARCH($A51, INDEX(AsistenciaJetAdminConcatenada!$D:$D, MATCH(1, (AsistenciaJetAdminConcatenada!$A:$A=DJ$2)*(AsistenciaJetAdminConcatenada!$B:$B=DJ$1), 0)), 1))),  0.5, 0))</f>
        <v>0</v>
      </c>
      <c r="DK51" s="47">
        <f t="array" ref="DK51">IF(AND(ISNUMBER(MATCH(DK$2, AsistenciaJetAdminConcatenada!$A:$A, 0)), ISNUMBER(MATCH(DK$1, AsistenciaJetAdminConcatenada!$B:$B, 0)), ISNUMBER(SEARCH($A51,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ISNUMBER(SEARCH($A51, INDEX(AsistenciaJetAdminConcatenada!$D:$D, MATCH(1, (AsistenciaJetAdminConcatenada!$A:$A=DK$2)*(AsistenciaJetAdminConcatenada!$B:$B=DK$1), 0)), 1))),  0.5, 0))</f>
        <v>0</v>
      </c>
      <c r="DL51" s="47">
        <f t="array" ref="DL51">IF(AND(ISNUMBER(MATCH(DL$2, AsistenciaJetAdminConcatenada!$A:$A, 0)), ISNUMBER(MATCH(DL$1, AsistenciaJetAdminConcatenada!$B:$B, 0)), ISNUMBER(SEARCH($A51,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ISNUMBER(SEARCH($A51, INDEX(AsistenciaJetAdminConcatenada!$D:$D, MATCH(1, (AsistenciaJetAdminConcatenada!$A:$A=DL$2)*(AsistenciaJetAdminConcatenada!$B:$B=DL$1), 0)), 1))),  0.5, 0))</f>
        <v>0</v>
      </c>
      <c r="DM51" s="47">
        <f t="array" ref="DM51">IF(AND(ISNUMBER(MATCH(DM$2, AsistenciaJetAdminConcatenada!$A:$A, 0)), ISNUMBER(MATCH(DM$1, AsistenciaJetAdminConcatenada!$B:$B, 0)), ISNUMBER(SEARCH($A51,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ISNUMBER(SEARCH($A51, INDEX(AsistenciaJetAdminConcatenada!$D:$D, MATCH(1, (AsistenciaJetAdminConcatenada!$A:$A=DM$2)*(AsistenciaJetAdminConcatenada!$B:$B=DM$1), 0)), 1))),  0.5, 0))</f>
        <v>0</v>
      </c>
      <c r="DN51" s="47">
        <f t="array" ref="DN51">IF(AND(ISNUMBER(MATCH(DN$2, AsistenciaJetAdminConcatenada!$A:$A, 0)), ISNUMBER(MATCH(DN$1, AsistenciaJetAdminConcatenada!$B:$B, 0)), ISNUMBER(SEARCH($A51,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ISNUMBER(SEARCH($A51, INDEX(AsistenciaJetAdminConcatenada!$D:$D, MATCH(1, (AsistenciaJetAdminConcatenada!$A:$A=DN$2)*(AsistenciaJetAdminConcatenada!$B:$B=DN$1), 0)), 1))),  0.5, 0))</f>
        <v>0</v>
      </c>
      <c r="DO51" s="47">
        <f t="array" ref="DO51">IF(AND(ISNUMBER(MATCH(DO$2, AsistenciaJetAdminConcatenada!$A:$A, 0)), ISNUMBER(MATCH(DO$1, AsistenciaJetAdminConcatenada!$B:$B, 0)), ISNUMBER(SEARCH($A51,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ISNUMBER(SEARCH($A51, INDEX(AsistenciaJetAdminConcatenada!$D:$D, MATCH(1, (AsistenciaJetAdminConcatenada!$A:$A=DO$2)*(AsistenciaJetAdminConcatenada!$B:$B=DO$1), 0)), 1))),  0.5, 0))</f>
        <v>0</v>
      </c>
      <c r="DP51" s="47">
        <f t="array" ref="DP51">IF(AND(ISNUMBER(MATCH(DP$2, AsistenciaJetAdminConcatenada!$A:$A, 0)), ISNUMBER(MATCH(DP$1, AsistenciaJetAdminConcatenada!$B:$B, 0)), ISNUMBER(SEARCH($A51,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ISNUMBER(SEARCH($A51, INDEX(AsistenciaJetAdminConcatenada!$D:$D, MATCH(1, (AsistenciaJetAdminConcatenada!$A:$A=DP$2)*(AsistenciaJetAdminConcatenada!$B:$B=DP$1), 0)), 1))),  0.5, 0))</f>
        <v>0</v>
      </c>
      <c r="DQ51" s="47">
        <f t="array" ref="DQ51">IF(AND(ISNUMBER(MATCH(DQ$2, AsistenciaJetAdminConcatenada!$A:$A, 0)), ISNUMBER(MATCH(DQ$1, AsistenciaJetAdminConcatenada!$B:$B, 0)), ISNUMBER(SEARCH($A51,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ISNUMBER(SEARCH($A51, INDEX(AsistenciaJetAdminConcatenada!$D:$D, MATCH(1, (AsistenciaJetAdminConcatenada!$A:$A=DQ$2)*(AsistenciaJetAdminConcatenada!$B:$B=DQ$1), 0)), 1))),  0.5, 0))</f>
        <v>0</v>
      </c>
      <c r="DR51" s="47">
        <f t="array" ref="DR51">IF(AND(ISNUMBER(MATCH(DR$2, AsistenciaJetAdminConcatenada!$A:$A, 0)), ISNUMBER(MATCH(DR$1, AsistenciaJetAdminConcatenada!$B:$B, 0)), ISNUMBER(SEARCH($A51,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ISNUMBER(SEARCH($A51, INDEX(AsistenciaJetAdminConcatenada!$D:$D, MATCH(1, (AsistenciaJetAdminConcatenada!$A:$A=DR$2)*(AsistenciaJetAdminConcatenada!$B:$B=DR$1), 0)), 1))),  0.5, 0))</f>
        <v>0</v>
      </c>
      <c r="DS51" s="47">
        <f t="array" ref="DS51">IF(AND(ISNUMBER(MATCH(DS$2, AsistenciaJetAdminConcatenada!$A:$A, 0)), ISNUMBER(MATCH(DS$1, AsistenciaJetAdminConcatenada!$B:$B, 0)), ISNUMBER(SEARCH($A51,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ISNUMBER(SEARCH($A51, INDEX(AsistenciaJetAdminConcatenada!$D:$D, MATCH(1, (AsistenciaJetAdminConcatenada!$A:$A=DS$2)*(AsistenciaJetAdminConcatenada!$B:$B=DS$1), 0)), 1))),  0.5, 0))</f>
        <v>0</v>
      </c>
      <c r="DT51" s="47">
        <f t="array" ref="DT51">IF(AND(ISNUMBER(MATCH(DT$2, AsistenciaJetAdminConcatenada!$A:$A, 0)), ISNUMBER(MATCH(DT$1, AsistenciaJetAdminConcatenada!$B:$B, 0)), ISNUMBER(SEARCH($A51,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ISNUMBER(SEARCH($A51, INDEX(AsistenciaJetAdminConcatenada!$D:$D, MATCH(1, (AsistenciaJetAdminConcatenada!$A:$A=DT$2)*(AsistenciaJetAdminConcatenada!$B:$B=DT$1), 0)), 1))),  0.5, 0))</f>
        <v>0</v>
      </c>
      <c r="DU51" s="47">
        <f t="array" ref="DU51">IF(AND(ISNUMBER(MATCH(DU$2, AsistenciaJetAdminConcatenada!$A:$A, 0)), ISNUMBER(MATCH(DU$1, AsistenciaJetAdminConcatenada!$B:$B, 0)), ISNUMBER(SEARCH($A51,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ISNUMBER(SEARCH($A51, INDEX(AsistenciaJetAdminConcatenada!$D:$D, MATCH(1, (AsistenciaJetAdminConcatenada!$A:$A=DU$2)*(AsistenciaJetAdminConcatenada!$B:$B=DU$1), 0)), 1))),  0.5, 0))</f>
        <v>0</v>
      </c>
      <c r="DV51" s="47">
        <f t="array" ref="DV51">IF(AND(ISNUMBER(MATCH(DV$2, AsistenciaJetAdminConcatenada!$A:$A, 0)), ISNUMBER(MATCH(DV$1, AsistenciaJetAdminConcatenada!$B:$B, 0)), ISNUMBER(SEARCH($A51,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ISNUMBER(SEARCH($A51, INDEX(AsistenciaJetAdminConcatenada!$D:$D, MATCH(1, (AsistenciaJetAdminConcatenada!$A:$A=DV$2)*(AsistenciaJetAdminConcatenada!$B:$B=DV$1), 0)), 1))),  0.5, 0))</f>
        <v>0</v>
      </c>
      <c r="DW51" s="47">
        <f t="array" ref="DW51">IF(AND(ISNUMBER(MATCH(DW$2, AsistenciaJetAdminConcatenada!$A:$A, 0)), ISNUMBER(MATCH(DW$1, AsistenciaJetAdminConcatenada!$B:$B, 0)), ISNUMBER(SEARCH($A51,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ISNUMBER(SEARCH($A51, INDEX(AsistenciaJetAdminConcatenada!$D:$D, MATCH(1, (AsistenciaJetAdminConcatenada!$A:$A=DW$2)*(AsistenciaJetAdminConcatenada!$B:$B=DW$1), 0)), 1))),  0.5, 0))</f>
        <v>0</v>
      </c>
      <c r="DX51" s="47">
        <f t="array" ref="DX51">IF(AND(ISNUMBER(MATCH(DX$2, AsistenciaJetAdminConcatenada!$A:$A, 0)), ISNUMBER(MATCH(DX$1, AsistenciaJetAdminConcatenada!$B:$B, 0)), ISNUMBER(SEARCH($A51,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ISNUMBER(SEARCH($A51, INDEX(AsistenciaJetAdminConcatenada!$D:$D, MATCH(1, (AsistenciaJetAdminConcatenada!$A:$A=DX$2)*(AsistenciaJetAdminConcatenada!$B:$B=DX$1), 0)), 1))),  0.5, 0))</f>
        <v>0</v>
      </c>
      <c r="DY51" s="47">
        <f t="array" ref="DY51">IF(AND(ISNUMBER(MATCH(DY$2, AsistenciaJetAdminConcatenada!$A:$A, 0)), ISNUMBER(MATCH(DY$1, AsistenciaJetAdminConcatenada!$B:$B, 0)), ISNUMBER(SEARCH($A51,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ISNUMBER(SEARCH($A51, INDEX(AsistenciaJetAdminConcatenada!$D:$D, MATCH(1, (AsistenciaJetAdminConcatenada!$A:$A=DY$2)*(AsistenciaJetAdminConcatenada!$B:$B=DY$1), 0)), 1))),  0.5, 0))</f>
        <v>0</v>
      </c>
      <c r="DZ51" s="47">
        <f t="array" ref="DZ51">IF(AND(ISNUMBER(MATCH(DZ$2, AsistenciaJetAdminConcatenada!$A:$A, 0)), ISNUMBER(MATCH(DZ$1, AsistenciaJetAdminConcatenada!$B:$B, 0)), ISNUMBER(SEARCH($A51,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ISNUMBER(SEARCH($A51, INDEX(AsistenciaJetAdminConcatenada!$D:$D, MATCH(1, (AsistenciaJetAdminConcatenada!$A:$A=DZ$2)*(AsistenciaJetAdminConcatenada!$B:$B=DZ$1), 0)), 1))),  0.5, 0))</f>
        <v>0</v>
      </c>
      <c r="EA51" s="47">
        <f t="array" ref="EA51">IF(AND(ISNUMBER(MATCH(EA$2, AsistenciaJetAdminConcatenada!$A:$A, 0)), ISNUMBER(MATCH(EA$1, AsistenciaJetAdminConcatenada!$B:$B, 0)), ISNUMBER(SEARCH($A51,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ISNUMBER(SEARCH($A51, INDEX(AsistenciaJetAdminConcatenada!$D:$D, MATCH(1, (AsistenciaJetAdminConcatenada!$A:$A=EA$2)*(AsistenciaJetAdminConcatenada!$B:$B=EA$1), 0)), 1))),  0.5, 0))</f>
        <v>0</v>
      </c>
      <c r="EB51" s="47">
        <f t="array" ref="EB51">IF(AND(ISNUMBER(MATCH(EB$2, AsistenciaJetAdminConcatenada!$A:$A, 0)), ISNUMBER(MATCH(EB$1, AsistenciaJetAdminConcatenada!$B:$B, 0)), ISNUMBER(SEARCH($A51,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ISNUMBER(SEARCH($A51, INDEX(AsistenciaJetAdminConcatenada!$D:$D, MATCH(1, (AsistenciaJetAdminConcatenada!$A:$A=EB$2)*(AsistenciaJetAdminConcatenada!$B:$B=EB$1), 0)), 1))),  0.5, 0))</f>
        <v>0</v>
      </c>
      <c r="EC51" s="47">
        <f t="array" ref="EC51">IF(AND(ISNUMBER(MATCH(EC$2, AsistenciaJetAdminConcatenada!$A:$A, 0)), ISNUMBER(MATCH(EC$1, AsistenciaJetAdminConcatenada!$B:$B, 0)), ISNUMBER(SEARCH($A51,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ISNUMBER(SEARCH($A51, INDEX(AsistenciaJetAdminConcatenada!$D:$D, MATCH(1, (AsistenciaJetAdminConcatenada!$A:$A=EC$2)*(AsistenciaJetAdminConcatenada!$B:$B=EC$1), 0)), 1))),  0.5, 0))</f>
        <v>0</v>
      </c>
      <c r="ED51" s="47">
        <f t="array" ref="ED51">IF(AND(ISNUMBER(MATCH(ED$2, AsistenciaJetAdminConcatenada!$A:$A, 0)), ISNUMBER(MATCH(ED$1, AsistenciaJetAdminConcatenada!$B:$B, 0)), ISNUMBER(SEARCH($A51,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ISNUMBER(SEARCH($A51, INDEX(AsistenciaJetAdminConcatenada!$D:$D, MATCH(1, (AsistenciaJetAdminConcatenada!$A:$A=ED$2)*(AsistenciaJetAdminConcatenada!$B:$B=ED$1), 0)), 1))),  0.5, 0))</f>
        <v>0</v>
      </c>
      <c r="EE51" s="47">
        <f t="array" ref="EE51">IF(AND(ISNUMBER(MATCH(EE$2, AsistenciaJetAdminConcatenada!$A:$A, 0)), ISNUMBER(MATCH(EE$1, AsistenciaJetAdminConcatenada!$B:$B, 0)), ISNUMBER(SEARCH($A51,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ISNUMBER(SEARCH($A51, INDEX(AsistenciaJetAdminConcatenada!$D:$D, MATCH(1, (AsistenciaJetAdminConcatenada!$A:$A=EE$2)*(AsistenciaJetAdminConcatenada!$B:$B=EE$1), 0)), 1))),  0.5, 0))</f>
        <v>0</v>
      </c>
      <c r="EF51" s="47">
        <f t="array" ref="EF51">IF(AND(ISNUMBER(MATCH(EF$2, AsistenciaJetAdminConcatenada!$A:$A, 0)), ISNUMBER(MATCH(EF$1, AsistenciaJetAdminConcatenada!$B:$B, 0)), ISNUMBER(SEARCH($A51,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ISNUMBER(SEARCH($A51, INDEX(AsistenciaJetAdminConcatenada!$D:$D, MATCH(1, (AsistenciaJetAdminConcatenada!$A:$A=EF$2)*(AsistenciaJetAdminConcatenada!$B:$B=EF$1), 0)), 1))),  0.5, 0))</f>
        <v>0</v>
      </c>
      <c r="EG51" s="47">
        <f t="array" ref="EG51">IF(AND(ISNUMBER(MATCH(EG$2, AsistenciaJetAdminConcatenada!$A:$A, 0)), ISNUMBER(MATCH(EG$1, AsistenciaJetAdminConcatenada!$B:$B, 0)), ISNUMBER(SEARCH($A51,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ISNUMBER(SEARCH($A51, INDEX(AsistenciaJetAdminConcatenada!$D:$D, MATCH(1, (AsistenciaJetAdminConcatenada!$A:$A=EG$2)*(AsistenciaJetAdminConcatenada!$B:$B=EG$1), 0)), 1))),  0.5, 0))</f>
        <v>0</v>
      </c>
      <c r="EH51" s="47">
        <f t="array" ref="EH51">IF(AND(ISNUMBER(MATCH(EH$2, AsistenciaJetAdminConcatenada!$A:$A, 0)), ISNUMBER(MATCH(EH$1, AsistenciaJetAdminConcatenada!$B:$B, 0)), ISNUMBER(SEARCH($A51,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ISNUMBER(SEARCH($A51, INDEX(AsistenciaJetAdminConcatenada!$D:$D, MATCH(1, (AsistenciaJetAdminConcatenada!$A:$A=EH$2)*(AsistenciaJetAdminConcatenada!$B:$B=EH$1), 0)), 1))),  0.5, 0))</f>
        <v>0</v>
      </c>
      <c r="EI51" s="47">
        <f t="array" ref="EI51">IF(AND(ISNUMBER(MATCH(EI$2, AsistenciaJetAdminConcatenada!$A:$A, 0)), ISNUMBER(MATCH(EI$1, AsistenciaJetAdminConcatenada!$B:$B, 0)), ISNUMBER(SEARCH($A51,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ISNUMBER(SEARCH($A51, INDEX(AsistenciaJetAdminConcatenada!$D:$D, MATCH(1, (AsistenciaJetAdminConcatenada!$A:$A=EI$2)*(AsistenciaJetAdminConcatenada!$B:$B=EI$1), 0)), 1))),  0.5, 0))</f>
        <v>0</v>
      </c>
      <c r="EJ51" s="47">
        <f t="array" ref="EJ51">IF(AND(ISNUMBER(MATCH(EJ$2, AsistenciaJetAdminConcatenada!$A:$A, 0)), ISNUMBER(MATCH(EJ$1, AsistenciaJetAdminConcatenada!$B:$B, 0)), ISNUMBER(SEARCH($A51,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ISNUMBER(SEARCH($A51, INDEX(AsistenciaJetAdminConcatenada!$D:$D, MATCH(1, (AsistenciaJetAdminConcatenada!$A:$A=EJ$2)*(AsistenciaJetAdminConcatenada!$B:$B=EJ$1), 0)), 1))),  0.5, 0))</f>
        <v>0</v>
      </c>
      <c r="EK51" s="47">
        <f t="array" ref="EK51">IF(AND(ISNUMBER(MATCH(EK$2, AsistenciaJetAdminConcatenada!$A:$A, 0)), ISNUMBER(MATCH(EK$1, AsistenciaJetAdminConcatenada!$B:$B, 0)), ISNUMBER(SEARCH($A51,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ISNUMBER(SEARCH($A51, INDEX(AsistenciaJetAdminConcatenada!$D:$D, MATCH(1, (AsistenciaJetAdminConcatenada!$A:$A=EK$2)*(AsistenciaJetAdminConcatenada!$B:$B=EK$1), 0)), 1))),  0.5, 0))</f>
        <v>0</v>
      </c>
      <c r="EL51" s="47">
        <f t="array" ref="EL51">IF(AND(ISNUMBER(MATCH(EL$2, AsistenciaJetAdminConcatenada!$A:$A, 0)), ISNUMBER(MATCH(EL$1, AsistenciaJetAdminConcatenada!$B:$B, 0)), ISNUMBER(SEARCH($A51,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ISNUMBER(SEARCH($A51, INDEX(AsistenciaJetAdminConcatenada!$D:$D, MATCH(1, (AsistenciaJetAdminConcatenada!$A:$A=EL$2)*(AsistenciaJetAdminConcatenada!$B:$B=EL$1), 0)), 1))),  0.5, 0))</f>
        <v>0</v>
      </c>
      <c r="EM51" s="47">
        <f t="array" ref="EM51">IF(AND(ISNUMBER(MATCH(EM$2, AsistenciaJetAdminConcatenada!$A:$A, 0)), ISNUMBER(MATCH(EM$1, AsistenciaJetAdminConcatenada!$B:$B, 0)), ISNUMBER(SEARCH($A51,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ISNUMBER(SEARCH($A51, INDEX(AsistenciaJetAdminConcatenada!$D:$D, MATCH(1, (AsistenciaJetAdminConcatenada!$A:$A=EM$2)*(AsistenciaJetAdminConcatenada!$B:$B=EM$1), 0)), 1))),  0.5, 0))</f>
        <v>0</v>
      </c>
      <c r="EN51" s="47">
        <f t="array" ref="EN51">IF(AND(ISNUMBER(MATCH(EN$2, AsistenciaJetAdminConcatenada!$A:$A, 0)), ISNUMBER(MATCH(EN$1, AsistenciaJetAdminConcatenada!$B:$B, 0)), ISNUMBER(SEARCH($A51,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ISNUMBER(SEARCH($A51, INDEX(AsistenciaJetAdminConcatenada!$D:$D, MATCH(1, (AsistenciaJetAdminConcatenada!$A:$A=EN$2)*(AsistenciaJetAdminConcatenada!$B:$B=EN$1), 0)), 1))),  0.5, 0))</f>
        <v>0</v>
      </c>
      <c r="EO51" s="47">
        <f t="array" ref="EO51">IF(AND(ISNUMBER(MATCH(EO$2, AsistenciaJetAdminConcatenada!$A:$A, 0)), ISNUMBER(MATCH(EO$1, AsistenciaJetAdminConcatenada!$B:$B, 0)), ISNUMBER(SEARCH($A51,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ISNUMBER(SEARCH($A51, INDEX(AsistenciaJetAdminConcatenada!$D:$D, MATCH(1, (AsistenciaJetAdminConcatenada!$A:$A=EO$2)*(AsistenciaJetAdminConcatenada!$B:$B=EO$1), 0)), 1))),  0.5, 0))</f>
        <v>0</v>
      </c>
      <c r="EP51" s="47">
        <f t="array" ref="EP51">IF(AND(ISNUMBER(MATCH(EP$2, AsistenciaJetAdminConcatenada!$A:$A, 0)), ISNUMBER(MATCH(EP$1, AsistenciaJetAdminConcatenada!$B:$B, 0)), ISNUMBER(SEARCH($A51,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ISNUMBER(SEARCH($A51, INDEX(AsistenciaJetAdminConcatenada!$D:$D, MATCH(1, (AsistenciaJetAdminConcatenada!$A:$A=EP$2)*(AsistenciaJetAdminConcatenada!$B:$B=EP$1), 0)), 1))),  0.5, 0))</f>
        <v>0</v>
      </c>
      <c r="EQ51" s="47">
        <f t="array" ref="EQ51">IF(AND(ISNUMBER(MATCH(EQ$2, AsistenciaJetAdminConcatenada!$A:$A, 0)), ISNUMBER(MATCH(EQ$1, AsistenciaJetAdminConcatenada!$B:$B, 0)), ISNUMBER(SEARCH($A51,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ISNUMBER(SEARCH($A51, INDEX(AsistenciaJetAdminConcatenada!$D:$D, MATCH(1, (AsistenciaJetAdminConcatenada!$A:$A=EQ$2)*(AsistenciaJetAdminConcatenada!$B:$B=EQ$1), 0)), 1))),  0.5, 0))</f>
        <v>0</v>
      </c>
      <c r="ER51" s="47">
        <f t="array" ref="ER51">IF(AND(ISNUMBER(MATCH(ER$2, AsistenciaJetAdminConcatenada!$A:$A, 0)), ISNUMBER(MATCH(ER$1, AsistenciaJetAdminConcatenada!$B:$B, 0)), ISNUMBER(SEARCH($A51,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ISNUMBER(SEARCH($A51, INDEX(AsistenciaJetAdminConcatenada!$D:$D, MATCH(1, (AsistenciaJetAdminConcatenada!$A:$A=ER$2)*(AsistenciaJetAdminConcatenada!$B:$B=ER$1), 0)), 1))),  0.5, 0))</f>
        <v>0</v>
      </c>
      <c r="ES51" s="47">
        <f t="array" ref="ES51">IF(AND(ISNUMBER(MATCH(ES$2, AsistenciaJetAdminConcatenada!$A:$A, 0)), ISNUMBER(MATCH(ES$1, AsistenciaJetAdminConcatenada!$B:$B, 0)), ISNUMBER(SEARCH($A51,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ISNUMBER(SEARCH($A51, INDEX(AsistenciaJetAdminConcatenada!$D:$D, MATCH(1, (AsistenciaJetAdminConcatenada!$A:$A=ES$2)*(AsistenciaJetAdminConcatenada!$B:$B=ES$1), 0)), 1))),  0.5, 0))</f>
        <v>0</v>
      </c>
      <c r="ET51" s="47">
        <f t="array" ref="ET51">IF(AND(ISNUMBER(MATCH(ET$2, AsistenciaJetAdminConcatenada!$A:$A, 0)), ISNUMBER(MATCH(ET$1, AsistenciaJetAdminConcatenada!$B:$B, 0)), ISNUMBER(SEARCH($A51,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ISNUMBER(SEARCH($A51, INDEX(AsistenciaJetAdminConcatenada!$D:$D, MATCH(1, (AsistenciaJetAdminConcatenada!$A:$A=ET$2)*(AsistenciaJetAdminConcatenada!$B:$B=ET$1), 0)), 1))),  0.5, 0))</f>
        <v>0</v>
      </c>
      <c r="EU51" s="47">
        <f t="array" ref="EU51">IF(AND(ISNUMBER(MATCH(EU$2, AsistenciaJetAdminConcatenada!$A:$A, 0)), ISNUMBER(MATCH(EU$1, AsistenciaJetAdminConcatenada!$B:$B, 0)), ISNUMBER(SEARCH($A51,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ISNUMBER(SEARCH($A51, INDEX(AsistenciaJetAdminConcatenada!$D:$D, MATCH(1, (AsistenciaJetAdminConcatenada!$A:$A=EU$2)*(AsistenciaJetAdminConcatenada!$B:$B=EU$1), 0)), 1))),  0.5, 0))</f>
        <v>0</v>
      </c>
      <c r="EV51" s="47">
        <f t="array" ref="EV51">IF(AND(ISNUMBER(MATCH(EV$2, AsistenciaJetAdminConcatenada!$A:$A, 0)), ISNUMBER(MATCH(EV$1, AsistenciaJetAdminConcatenada!$B:$B, 0)), ISNUMBER(SEARCH($A51,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ISNUMBER(SEARCH($A51, INDEX(AsistenciaJetAdminConcatenada!$D:$D, MATCH(1, (AsistenciaJetAdminConcatenada!$A:$A=EV$2)*(AsistenciaJetAdminConcatenada!$B:$B=EV$1), 0)), 1))),  0.5, 0))</f>
        <v>0</v>
      </c>
      <c r="EW51" s="47">
        <f t="array" ref="EW51">IF(AND(ISNUMBER(MATCH(EW$2, AsistenciaJetAdminConcatenada!$A:$A, 0)), ISNUMBER(MATCH(EW$1, AsistenciaJetAdminConcatenada!$B:$B, 0)), ISNUMBER(SEARCH($A51,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ISNUMBER(SEARCH($A51, INDEX(AsistenciaJetAdminConcatenada!$D:$D, MATCH(1, (AsistenciaJetAdminConcatenada!$A:$A=EW$2)*(AsistenciaJetAdminConcatenada!$B:$B=EW$1), 0)), 1))),  0.5, 0))</f>
        <v>0</v>
      </c>
      <c r="EX51" s="47">
        <f t="array" ref="EX51">IF(AND(ISNUMBER(MATCH(EX$2, AsistenciaJetAdminConcatenada!$A:$A, 0)), ISNUMBER(MATCH(EX$1, AsistenciaJetAdminConcatenada!$B:$B, 0)), ISNUMBER(SEARCH($A51,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ISNUMBER(SEARCH($A51, INDEX(AsistenciaJetAdminConcatenada!$D:$D, MATCH(1, (AsistenciaJetAdminConcatenada!$A:$A=EX$2)*(AsistenciaJetAdminConcatenada!$B:$B=EX$1), 0)), 1))),  0.5, 0))</f>
        <v>0</v>
      </c>
      <c r="EY51" s="47">
        <f t="array" ref="EY51">IF(AND(ISNUMBER(MATCH(EY$2, AsistenciaJetAdminConcatenada!$A:$A, 0)), ISNUMBER(MATCH(EY$1, AsistenciaJetAdminConcatenada!$B:$B, 0)), ISNUMBER(SEARCH($A51,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ISNUMBER(SEARCH($A51, INDEX(AsistenciaJetAdminConcatenada!$D:$D, MATCH(1, (AsistenciaJetAdminConcatenada!$A:$A=EY$2)*(AsistenciaJetAdminConcatenada!$B:$B=EY$1), 0)), 1))),  0.5, 0))</f>
        <v>0</v>
      </c>
      <c r="EZ51" s="47">
        <f t="array" ref="EZ51">IF(AND(ISNUMBER(MATCH(EZ$2, AsistenciaJetAdminConcatenada!$A:$A, 0)), ISNUMBER(MATCH(EZ$1, AsistenciaJetAdminConcatenada!$B:$B, 0)), ISNUMBER(SEARCH($A51,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ISNUMBER(SEARCH($A51, INDEX(AsistenciaJetAdminConcatenada!$D:$D, MATCH(1, (AsistenciaJetAdminConcatenada!$A:$A=EZ$2)*(AsistenciaJetAdminConcatenada!$B:$B=EZ$1), 0)), 1))),  0.5, 0))</f>
        <v>0</v>
      </c>
      <c r="FA51" s="47">
        <f t="array" ref="FA51">IF(AND(ISNUMBER(MATCH(FA$2, AsistenciaJetAdminConcatenada!$A:$A, 0)), ISNUMBER(MATCH(FA$1, AsistenciaJetAdminConcatenada!$B:$B, 0)), ISNUMBER(SEARCH($A51,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ISNUMBER(SEARCH($A51, INDEX(AsistenciaJetAdminConcatenada!$D:$D, MATCH(1, (AsistenciaJetAdminConcatenada!$A:$A=FA$2)*(AsistenciaJetAdminConcatenada!$B:$B=FA$1), 0)), 1))),  0.5, 0))</f>
        <v>0</v>
      </c>
      <c r="FB51" s="47">
        <f t="array" ref="FB51">IF(AND(ISNUMBER(MATCH(FB$2, AsistenciaJetAdminConcatenada!$A:$A, 0)), ISNUMBER(MATCH(FB$1, AsistenciaJetAdminConcatenada!$B:$B, 0)), ISNUMBER(SEARCH($A51,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ISNUMBER(SEARCH($A51, INDEX(AsistenciaJetAdminConcatenada!$D:$D, MATCH(1, (AsistenciaJetAdminConcatenada!$A:$A=FB$2)*(AsistenciaJetAdminConcatenada!$B:$B=FB$1), 0)), 1))),  0.5, 0))</f>
        <v>0</v>
      </c>
      <c r="FC51" s="47">
        <f t="array" ref="FC51">IF(AND(ISNUMBER(MATCH(FC$2, AsistenciaJetAdminConcatenada!$A:$A, 0)), ISNUMBER(MATCH(FC$1, AsistenciaJetAdminConcatenada!$B:$B, 0)), ISNUMBER(SEARCH($A51,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ISNUMBER(SEARCH($A51, INDEX(AsistenciaJetAdminConcatenada!$D:$D, MATCH(1, (AsistenciaJetAdminConcatenada!$A:$A=FC$2)*(AsistenciaJetAdminConcatenada!$B:$B=FC$1), 0)), 1))),  0.5, 0))</f>
        <v>0</v>
      </c>
      <c r="FD51" s="47">
        <f t="array" ref="FD51">IF(AND(ISNUMBER(MATCH(FD$2, AsistenciaJetAdminConcatenada!$A:$A, 0)), ISNUMBER(MATCH(FD$1, AsistenciaJetAdminConcatenada!$B:$B, 0)), ISNUMBER(SEARCH($A51,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ISNUMBER(SEARCH($A51, INDEX(AsistenciaJetAdminConcatenada!$D:$D, MATCH(1, (AsistenciaJetAdminConcatenada!$A:$A=FD$2)*(AsistenciaJetAdminConcatenada!$B:$B=FD$1), 0)), 1))),  0.5, 0))</f>
        <v>0</v>
      </c>
      <c r="FE51" s="47">
        <f t="array" ref="FE51">IF(AND(ISNUMBER(MATCH(FE$2, AsistenciaJetAdminConcatenada!$A:$A, 0)), ISNUMBER(MATCH(FE$1, AsistenciaJetAdminConcatenada!$B:$B, 0)), ISNUMBER(SEARCH($A51,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ISNUMBER(SEARCH($A51, INDEX(AsistenciaJetAdminConcatenada!$D:$D, MATCH(1, (AsistenciaJetAdminConcatenada!$A:$A=FE$2)*(AsistenciaJetAdminConcatenada!$B:$B=FE$1), 0)), 1))),  0.5, 0))</f>
        <v>0</v>
      </c>
      <c r="FF51" s="47">
        <f t="array" ref="FF51">IF(AND(ISNUMBER(MATCH(FF$2, AsistenciaJetAdminConcatenada!$A:$A, 0)), ISNUMBER(MATCH(FF$1, AsistenciaJetAdminConcatenada!$B:$B, 0)), ISNUMBER(SEARCH($A51,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ISNUMBER(SEARCH($A51, INDEX(AsistenciaJetAdminConcatenada!$D:$D, MATCH(1, (AsistenciaJetAdminConcatenada!$A:$A=FF$2)*(AsistenciaJetAdminConcatenada!$B:$B=FF$1), 0)), 1))),  0.5, 0))</f>
        <v>0</v>
      </c>
      <c r="FG51" s="47">
        <f t="array" ref="FG51">IF(AND(ISNUMBER(MATCH(FG$2, AsistenciaJetAdminConcatenada!$A:$A, 0)), ISNUMBER(MATCH(FG$1, AsistenciaJetAdminConcatenada!$B:$B, 0)), ISNUMBER(SEARCH($A51,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ISNUMBER(SEARCH($A51, INDEX(AsistenciaJetAdminConcatenada!$D:$D, MATCH(1, (AsistenciaJetAdminConcatenada!$A:$A=FG$2)*(AsistenciaJetAdminConcatenada!$B:$B=FG$1), 0)), 1))),  0.5, 0))</f>
        <v>0</v>
      </c>
      <c r="FH51" s="47">
        <f t="array" ref="FH51">IF(AND(ISNUMBER(MATCH(FH$2, AsistenciaJetAdminConcatenada!$A:$A, 0)), ISNUMBER(MATCH(FH$1, AsistenciaJetAdminConcatenada!$B:$B, 0)), ISNUMBER(SEARCH($A51,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ISNUMBER(SEARCH($A51, INDEX(AsistenciaJetAdminConcatenada!$D:$D, MATCH(1, (AsistenciaJetAdminConcatenada!$A:$A=FH$2)*(AsistenciaJetAdminConcatenada!$B:$B=FH$1), 0)), 1))),  0.5, 0))</f>
        <v>0</v>
      </c>
      <c r="FI51" s="47">
        <f t="array" ref="FI51">IF(AND(ISNUMBER(MATCH(FI$2, AsistenciaJetAdminConcatenada!$A:$A, 0)), ISNUMBER(MATCH(FI$1, AsistenciaJetAdminConcatenada!$B:$B, 0)), ISNUMBER(SEARCH($A51,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ISNUMBER(SEARCH($A51, INDEX(AsistenciaJetAdminConcatenada!$D:$D, MATCH(1, (AsistenciaJetAdminConcatenada!$A:$A=FI$2)*(AsistenciaJetAdminConcatenada!$B:$B=FI$1), 0)), 1))),  0.5, 0))</f>
        <v>0</v>
      </c>
      <c r="FJ51" s="47">
        <f t="array" ref="FJ51">IF(AND(ISNUMBER(MATCH(FJ$2, AsistenciaJetAdminConcatenada!$A:$A, 0)), ISNUMBER(MATCH(FJ$1, AsistenciaJetAdminConcatenada!$B:$B, 0)), ISNUMBER(SEARCH($A51,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ISNUMBER(SEARCH($A51, INDEX(AsistenciaJetAdminConcatenada!$D:$D, MATCH(1, (AsistenciaJetAdminConcatenada!$A:$A=FJ$2)*(AsistenciaJetAdminConcatenada!$B:$B=FJ$1), 0)), 1))),  0.5, 0))</f>
        <v>0</v>
      </c>
      <c r="FK51" s="47">
        <f t="array" ref="FK51">IF(AND(ISNUMBER(MATCH(FK$2, AsistenciaJetAdminConcatenada!$A:$A, 0)), ISNUMBER(MATCH(FK$1, AsistenciaJetAdminConcatenada!$B:$B, 0)), ISNUMBER(SEARCH($A51,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ISNUMBER(SEARCH($A51, INDEX(AsistenciaJetAdminConcatenada!$D:$D, MATCH(1, (AsistenciaJetAdminConcatenada!$A:$A=FK$2)*(AsistenciaJetAdminConcatenada!$B:$B=FK$1), 0)), 1))),  0.5, 0))</f>
        <v>0</v>
      </c>
      <c r="FL51" s="47">
        <f t="array" ref="FL51">IF(AND(ISNUMBER(MATCH(FL$2, AsistenciaJetAdminConcatenada!$A:$A, 0)), ISNUMBER(MATCH(FL$1, AsistenciaJetAdminConcatenada!$B:$B, 0)), ISNUMBER(SEARCH($A51,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ISNUMBER(SEARCH($A51, INDEX(AsistenciaJetAdminConcatenada!$D:$D, MATCH(1, (AsistenciaJetAdminConcatenada!$A:$A=FL$2)*(AsistenciaJetAdminConcatenada!$B:$B=FL$1), 0)), 1))),  0.5, 0))</f>
        <v>0</v>
      </c>
      <c r="FM51" s="47">
        <f t="array" ref="FM51">IF(AND(ISNUMBER(MATCH(FM$2, AsistenciaJetAdminConcatenada!$A:$A, 0)), ISNUMBER(MATCH(FM$1, AsistenciaJetAdminConcatenada!$B:$B, 0)), ISNUMBER(SEARCH($A51,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ISNUMBER(SEARCH($A51, INDEX(AsistenciaJetAdminConcatenada!$D:$D, MATCH(1, (AsistenciaJetAdminConcatenada!$A:$A=FM$2)*(AsistenciaJetAdminConcatenada!$B:$B=FM$1), 0)), 1))),  0.5, 0))</f>
        <v>0</v>
      </c>
      <c r="FN51" s="47">
        <f t="array" ref="FN51">IF(AND(ISNUMBER(MATCH(FN$2, AsistenciaJetAdminConcatenada!$A:$A, 0)), ISNUMBER(MATCH(FN$1, AsistenciaJetAdminConcatenada!$B:$B, 0)), ISNUMBER(SEARCH($A51,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ISNUMBER(SEARCH($A51, INDEX(AsistenciaJetAdminConcatenada!$D:$D, MATCH(1, (AsistenciaJetAdminConcatenada!$A:$A=FN$2)*(AsistenciaJetAdminConcatenada!$B:$B=FN$1), 0)), 1))),  0.5, 0))</f>
        <v>0</v>
      </c>
      <c r="FO51" s="47">
        <f t="array" ref="FO51">IF(AND(ISNUMBER(MATCH(FO$2, AsistenciaJetAdminConcatenada!$A:$A, 0)), ISNUMBER(MATCH(FO$1, AsistenciaJetAdminConcatenada!$B:$B, 0)), ISNUMBER(SEARCH($A51,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ISNUMBER(SEARCH($A51, INDEX(AsistenciaJetAdminConcatenada!$D:$D, MATCH(1, (AsistenciaJetAdminConcatenada!$A:$A=FO$2)*(AsistenciaJetAdminConcatenada!$B:$B=FO$1), 0)), 1))),  0.5, 0))</f>
        <v>0</v>
      </c>
      <c r="FP51" s="47">
        <f t="array" ref="FP51">IF(AND(ISNUMBER(MATCH(FP$2, AsistenciaJetAdminConcatenada!$A:$A, 0)), ISNUMBER(MATCH(FP$1, AsistenciaJetAdminConcatenada!$B:$B, 0)), ISNUMBER(SEARCH($A51,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ISNUMBER(SEARCH($A51, INDEX(AsistenciaJetAdminConcatenada!$D:$D, MATCH(1, (AsistenciaJetAdminConcatenada!$A:$A=FP$2)*(AsistenciaJetAdminConcatenada!$B:$B=FP$1), 0)), 1))),  0.5, 0))</f>
        <v>0</v>
      </c>
      <c r="FQ51" s="47">
        <f t="array" ref="FQ51">IF(AND(ISNUMBER(MATCH(FQ$2, AsistenciaJetAdminConcatenada!$A:$A, 0)), ISNUMBER(MATCH(FQ$1, AsistenciaJetAdminConcatenada!$B:$B, 0)), ISNUMBER(SEARCH($A51,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ISNUMBER(SEARCH($A51, INDEX(AsistenciaJetAdminConcatenada!$D:$D, MATCH(1, (AsistenciaJetAdminConcatenada!$A:$A=FQ$2)*(AsistenciaJetAdminConcatenada!$B:$B=FQ$1), 0)), 1))),  0.5, 0))</f>
        <v>0</v>
      </c>
      <c r="FR51" s="47">
        <f t="array" ref="FR51">IF(AND(ISNUMBER(MATCH(FR$2, AsistenciaJetAdminConcatenada!$A:$A, 0)), ISNUMBER(MATCH(FR$1, AsistenciaJetAdminConcatenada!$B:$B, 0)), ISNUMBER(SEARCH($A51,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ISNUMBER(SEARCH($A51, INDEX(AsistenciaJetAdminConcatenada!$D:$D, MATCH(1, (AsistenciaJetAdminConcatenada!$A:$A=FR$2)*(AsistenciaJetAdminConcatenada!$B:$B=FR$1), 0)), 1))),  0.5, 0))</f>
        <v>0</v>
      </c>
      <c r="FS51" s="47">
        <f t="array" ref="FS51">IF(AND(ISNUMBER(MATCH(FS$2, AsistenciaJetAdminConcatenada!$A:$A, 0)), ISNUMBER(MATCH(FS$1, AsistenciaJetAdminConcatenada!$B:$B, 0)), ISNUMBER(SEARCH($A51,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ISNUMBER(SEARCH($A51, INDEX(AsistenciaJetAdminConcatenada!$D:$D, MATCH(1, (AsistenciaJetAdminConcatenada!$A:$A=FS$2)*(AsistenciaJetAdminConcatenada!$B:$B=FS$1), 0)), 1))),  0.5, 0))</f>
        <v>0</v>
      </c>
      <c r="FT51" s="47">
        <f t="array" ref="FT51">IF(AND(ISNUMBER(MATCH(FT$2, AsistenciaJetAdminConcatenada!$A:$A, 0)), ISNUMBER(MATCH(FT$1, AsistenciaJetAdminConcatenada!$B:$B, 0)), ISNUMBER(SEARCH($A51,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ISNUMBER(SEARCH($A51, INDEX(AsistenciaJetAdminConcatenada!$D:$D, MATCH(1, (AsistenciaJetAdminConcatenada!$A:$A=FT$2)*(AsistenciaJetAdminConcatenada!$B:$B=FT$1), 0)), 1))),  0.5, 0))</f>
        <v>0</v>
      </c>
      <c r="FU51" s="47">
        <f t="array" ref="FU51">IF(AND(ISNUMBER(MATCH(FU$2, AsistenciaJetAdminConcatenada!$A:$A, 0)), ISNUMBER(MATCH(FU$1, AsistenciaJetAdminConcatenada!$B:$B, 0)), ISNUMBER(SEARCH($A51,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ISNUMBER(SEARCH($A51, INDEX(AsistenciaJetAdminConcatenada!$D:$D, MATCH(1, (AsistenciaJetAdminConcatenada!$A:$A=FU$2)*(AsistenciaJetAdminConcatenada!$B:$B=FU$1), 0)), 1))),  0.5, 0))</f>
        <v>0</v>
      </c>
      <c r="FV51" s="47">
        <f t="array" ref="FV51">IF(AND(ISNUMBER(MATCH(FV$2, AsistenciaJetAdminConcatenada!$A:$A, 0)), ISNUMBER(MATCH(FV$1, AsistenciaJetAdminConcatenada!$B:$B, 0)), ISNUMBER(SEARCH($A51,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ISNUMBER(SEARCH($A51, INDEX(AsistenciaJetAdminConcatenada!$D:$D, MATCH(1, (AsistenciaJetAdminConcatenada!$A:$A=FV$2)*(AsistenciaJetAdminConcatenada!$B:$B=FV$1), 0)), 1))),  0.5, 0))</f>
        <v>0</v>
      </c>
      <c r="FW51" s="47">
        <f t="array" ref="FW51">IF(AND(ISNUMBER(MATCH(FW$2, AsistenciaJetAdminConcatenada!$A:$A, 0)), ISNUMBER(MATCH(FW$1, AsistenciaJetAdminConcatenada!$B:$B, 0)), ISNUMBER(SEARCH($A51,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ISNUMBER(SEARCH($A51, INDEX(AsistenciaJetAdminConcatenada!$D:$D, MATCH(1, (AsistenciaJetAdminConcatenada!$A:$A=FW$2)*(AsistenciaJetAdminConcatenada!$B:$B=FW$1), 0)), 1))),  0.5, 0))</f>
        <v>0</v>
      </c>
      <c r="FX51" s="47">
        <f t="array" ref="FX51">IF(AND(ISNUMBER(MATCH(FX$2, AsistenciaJetAdminConcatenada!$A:$A, 0)), ISNUMBER(MATCH(FX$1, AsistenciaJetAdminConcatenada!$B:$B, 0)), ISNUMBER(SEARCH($A51,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ISNUMBER(SEARCH($A51, INDEX(AsistenciaJetAdminConcatenada!$D:$D, MATCH(1, (AsistenciaJetAdminConcatenada!$A:$A=FX$2)*(AsistenciaJetAdminConcatenada!$B:$B=FX$1), 0)), 1))),  0.5, 0))</f>
        <v>0</v>
      </c>
      <c r="FY51" s="47">
        <f t="array" ref="FY51">IF(AND(ISNUMBER(MATCH(FY$2, AsistenciaJetAdminConcatenada!$A:$A, 0)), ISNUMBER(MATCH(FY$1, AsistenciaJetAdminConcatenada!$B:$B, 0)), ISNUMBER(SEARCH($A51,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ISNUMBER(SEARCH($A51, INDEX(AsistenciaJetAdminConcatenada!$D:$D, MATCH(1, (AsistenciaJetAdminConcatenada!$A:$A=FY$2)*(AsistenciaJetAdminConcatenada!$B:$B=FY$1), 0)), 1))),  0.5, 0))</f>
        <v>0</v>
      </c>
      <c r="FZ51" s="47">
        <f t="array" ref="FZ51">IF(AND(ISNUMBER(MATCH(FZ$2, AsistenciaJetAdminConcatenada!$A:$A, 0)), ISNUMBER(MATCH(FZ$1, AsistenciaJetAdminConcatenada!$B:$B, 0)), ISNUMBER(SEARCH($A51,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ISNUMBER(SEARCH($A51, INDEX(AsistenciaJetAdminConcatenada!$D:$D, MATCH(1, (AsistenciaJetAdminConcatenada!$A:$A=FZ$2)*(AsistenciaJetAdminConcatenada!$B:$B=FZ$1), 0)), 1))),  0.5, 0))</f>
        <v>0</v>
      </c>
      <c r="GA51" s="47">
        <f t="array" ref="GA51">IF(AND(ISNUMBER(MATCH(GA$2, AsistenciaJetAdminConcatenada!$A:$A, 0)), ISNUMBER(MATCH(GA$1, AsistenciaJetAdminConcatenada!$B:$B, 0)), ISNUMBER(SEARCH($A51,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ISNUMBER(SEARCH($A51, INDEX(AsistenciaJetAdminConcatenada!$D:$D, MATCH(1, (AsistenciaJetAdminConcatenada!$A:$A=GA$2)*(AsistenciaJetAdminConcatenada!$B:$B=GA$1), 0)), 1))),  0.5, 0))</f>
        <v>0</v>
      </c>
      <c r="GB51" s="47">
        <f t="array" ref="GB51">IF(AND(ISNUMBER(MATCH(GB$2, AsistenciaJetAdminConcatenada!$A:$A, 0)), ISNUMBER(MATCH(GB$1, AsistenciaJetAdminConcatenada!$B:$B, 0)), ISNUMBER(SEARCH($A51,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ISNUMBER(SEARCH($A51, INDEX(AsistenciaJetAdminConcatenada!$D:$D, MATCH(1, (AsistenciaJetAdminConcatenada!$A:$A=GB$2)*(AsistenciaJetAdminConcatenada!$B:$B=GB$1), 0)), 1))),  0.5, 0))</f>
        <v>0</v>
      </c>
      <c r="GC51" s="47">
        <f t="array" ref="GC51">IF(AND(ISNUMBER(MATCH(GC$2, AsistenciaJetAdminConcatenada!$A:$A, 0)), ISNUMBER(MATCH(GC$1, AsistenciaJetAdminConcatenada!$B:$B, 0)), ISNUMBER(SEARCH($A51,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ISNUMBER(SEARCH($A51, INDEX(AsistenciaJetAdminConcatenada!$D:$D, MATCH(1, (AsistenciaJetAdminConcatenada!$A:$A=GC$2)*(AsistenciaJetAdminConcatenada!$B:$B=GC$1), 0)), 1))),  0.5, 0))</f>
        <v>0</v>
      </c>
      <c r="GD51" s="47">
        <f t="array" ref="GD51">IF(AND(ISNUMBER(MATCH(GD$2, AsistenciaJetAdminConcatenada!$A:$A, 0)), ISNUMBER(MATCH(GD$1, AsistenciaJetAdminConcatenada!$B:$B, 0)), ISNUMBER(SEARCH($A51,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ISNUMBER(SEARCH($A51, INDEX(AsistenciaJetAdminConcatenada!$D:$D, MATCH(1, (AsistenciaJetAdminConcatenada!$A:$A=GD$2)*(AsistenciaJetAdminConcatenada!$B:$B=GD$1), 0)), 1))),  0.5, 0))</f>
        <v>0</v>
      </c>
      <c r="GE51" s="47">
        <f t="array" ref="GE51">IF(AND(ISNUMBER(MATCH(GE$2, AsistenciaJetAdminConcatenada!$A:$A, 0)), ISNUMBER(MATCH(GE$1, AsistenciaJetAdminConcatenada!$B:$B, 0)), ISNUMBER(SEARCH($A51,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ISNUMBER(SEARCH($A51, INDEX(AsistenciaJetAdminConcatenada!$D:$D, MATCH(1, (AsistenciaJetAdminConcatenada!$A:$A=GE$2)*(AsistenciaJetAdminConcatenada!$B:$B=GE$1), 0)), 1))),  0.5, 0))</f>
        <v>0</v>
      </c>
      <c r="GF51" s="47">
        <f t="array" ref="GF51">IF(AND(ISNUMBER(MATCH(GF$2, AsistenciaJetAdminConcatenada!$A:$A, 0)), ISNUMBER(MATCH(GF$1, AsistenciaJetAdminConcatenada!$B:$B, 0)), ISNUMBER(SEARCH($A51,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ISNUMBER(SEARCH($A51, INDEX(AsistenciaJetAdminConcatenada!$D:$D, MATCH(1, (AsistenciaJetAdminConcatenada!$A:$A=GF$2)*(AsistenciaJetAdminConcatenada!$B:$B=GF$1), 0)), 1))),  0.5, 0))</f>
        <v>0</v>
      </c>
      <c r="GG51" s="47">
        <f t="array" ref="GG51">IF(AND(ISNUMBER(MATCH(GG$2, AsistenciaJetAdminConcatenada!$A:$A, 0)), ISNUMBER(MATCH(GG$1, AsistenciaJetAdminConcatenada!$B:$B, 0)), ISNUMBER(SEARCH($A51,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ISNUMBER(SEARCH($A51, INDEX(AsistenciaJetAdminConcatenada!$D:$D, MATCH(1, (AsistenciaJetAdminConcatenada!$A:$A=GG$2)*(AsistenciaJetAdminConcatenada!$B:$B=GG$1), 0)), 1))),  0.5, 0))</f>
        <v>0</v>
      </c>
      <c r="GH51" s="47">
        <f t="array" ref="GH51">IF(AND(ISNUMBER(MATCH(GH$2, AsistenciaJetAdminConcatenada!$A:$A, 0)), ISNUMBER(MATCH(GH$1, AsistenciaJetAdminConcatenada!$B:$B, 0)), ISNUMBER(SEARCH($A51,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ISNUMBER(SEARCH($A51, INDEX(AsistenciaJetAdminConcatenada!$D:$D, MATCH(1, (AsistenciaJetAdminConcatenada!$A:$A=GH$2)*(AsistenciaJetAdminConcatenada!$B:$B=GH$1), 0)), 1))),  0.5, 0))</f>
        <v>0</v>
      </c>
      <c r="GI51" s="47">
        <f t="array" ref="GI51">IF(AND(ISNUMBER(MATCH(GI$2, AsistenciaJetAdminConcatenada!$A:$A, 0)), ISNUMBER(MATCH(GI$1, AsistenciaJetAdminConcatenada!$B:$B, 0)), ISNUMBER(SEARCH($A51,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ISNUMBER(SEARCH($A51, INDEX(AsistenciaJetAdminConcatenada!$D:$D, MATCH(1, (AsistenciaJetAdminConcatenada!$A:$A=GI$2)*(AsistenciaJetAdminConcatenada!$B:$B=GI$1), 0)), 1))),  0.5, 0))</f>
        <v>0</v>
      </c>
      <c r="GJ51" s="47">
        <f t="array" ref="GJ51">IF(AND(ISNUMBER(MATCH(GJ$2, AsistenciaJetAdminConcatenada!$A:$A, 0)), ISNUMBER(MATCH(GJ$1, AsistenciaJetAdminConcatenada!$B:$B, 0)), ISNUMBER(SEARCH($A51,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ISNUMBER(SEARCH($A51, INDEX(AsistenciaJetAdminConcatenada!$D:$D, MATCH(1, (AsistenciaJetAdminConcatenada!$A:$A=GJ$2)*(AsistenciaJetAdminConcatenada!$B:$B=GJ$1), 0)), 1))),  0.5, 0))</f>
        <v>0</v>
      </c>
      <c r="GK51" s="47">
        <f t="array" ref="GK51">IF(AND(ISNUMBER(MATCH(GK$2, AsistenciaJetAdminConcatenada!$A:$A, 0)), ISNUMBER(MATCH(GK$1, AsistenciaJetAdminConcatenada!$B:$B, 0)), ISNUMBER(SEARCH($A51,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ISNUMBER(SEARCH($A51, INDEX(AsistenciaJetAdminConcatenada!$D:$D, MATCH(1, (AsistenciaJetAdminConcatenada!$A:$A=GK$2)*(AsistenciaJetAdminConcatenada!$B:$B=GK$1), 0)), 1))),  0.5, 0))</f>
        <v>0</v>
      </c>
      <c r="GL51" s="47">
        <f t="array" ref="GL51">IF(AND(ISNUMBER(MATCH(GL$2, AsistenciaJetAdminConcatenada!$A:$A, 0)), ISNUMBER(MATCH(GL$1, AsistenciaJetAdminConcatenada!$B:$B, 0)), ISNUMBER(SEARCH($A51,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ISNUMBER(SEARCH($A51, INDEX(AsistenciaJetAdminConcatenada!$D:$D, MATCH(1, (AsistenciaJetAdminConcatenada!$A:$A=GL$2)*(AsistenciaJetAdminConcatenada!$B:$B=GL$1), 0)), 1))),  0.5, 0))</f>
        <v>0</v>
      </c>
      <c r="GM51" s="47">
        <f t="array" ref="GM51">IF(AND(ISNUMBER(MATCH(GM$2, AsistenciaJetAdminConcatenada!$A:$A, 0)), ISNUMBER(MATCH(GM$1, AsistenciaJetAdminConcatenada!$B:$B, 0)), ISNUMBER(SEARCH($A51,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ISNUMBER(SEARCH($A51, INDEX(AsistenciaJetAdminConcatenada!$D:$D, MATCH(1, (AsistenciaJetAdminConcatenada!$A:$A=GM$2)*(AsistenciaJetAdminConcatenada!$B:$B=GM$1), 0)), 1))),  0.5, 0))</f>
        <v>0</v>
      </c>
      <c r="GN51" s="47">
        <f t="array" ref="GN51">IF(AND(ISNUMBER(MATCH(GN$2, AsistenciaJetAdminConcatenada!$A:$A, 0)), ISNUMBER(MATCH(GN$1, AsistenciaJetAdminConcatenada!$B:$B, 0)), ISNUMBER(SEARCH($A51,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ISNUMBER(SEARCH($A51, INDEX(AsistenciaJetAdminConcatenada!$D:$D, MATCH(1, (AsistenciaJetAdminConcatenada!$A:$A=GN$2)*(AsistenciaJetAdminConcatenada!$B:$B=GN$1), 0)), 1))),  0.5, 0))</f>
        <v>0</v>
      </c>
      <c r="GO51" s="47">
        <f t="array" ref="GO51">IF(AND(ISNUMBER(MATCH(GO$2, AsistenciaJetAdminConcatenada!$A:$A, 0)), ISNUMBER(MATCH(GO$1, AsistenciaJetAdminConcatenada!$B:$B, 0)), ISNUMBER(SEARCH($A51,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ISNUMBER(SEARCH($A51, INDEX(AsistenciaJetAdminConcatenada!$D:$D, MATCH(1, (AsistenciaJetAdminConcatenada!$A:$A=GO$2)*(AsistenciaJetAdminConcatenada!$B:$B=GO$1), 0)), 1))),  0.5, 0))</f>
        <v>0</v>
      </c>
      <c r="GP51" s="47">
        <f t="array" ref="GP51">IF(AND(ISNUMBER(MATCH(GP$2, AsistenciaJetAdminConcatenada!$A:$A, 0)), ISNUMBER(MATCH(GP$1, AsistenciaJetAdminConcatenada!$B:$B, 0)), ISNUMBER(SEARCH($A51,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ISNUMBER(SEARCH($A51, INDEX(AsistenciaJetAdminConcatenada!$D:$D, MATCH(1, (AsistenciaJetAdminConcatenada!$A:$A=GP$2)*(AsistenciaJetAdminConcatenada!$B:$B=GP$1), 0)), 1))),  0.5, 0))</f>
        <v>0</v>
      </c>
      <c r="GQ51" s="47">
        <f t="array" ref="GQ51">IF(AND(ISNUMBER(MATCH(GQ$2, AsistenciaJetAdminConcatenada!$A:$A, 0)), ISNUMBER(MATCH(GQ$1, AsistenciaJetAdminConcatenada!$B:$B, 0)), ISNUMBER(SEARCH($A51,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ISNUMBER(SEARCH($A51, INDEX(AsistenciaJetAdminConcatenada!$D:$D, MATCH(1, (AsistenciaJetAdminConcatenada!$A:$A=GQ$2)*(AsistenciaJetAdminConcatenada!$B:$B=GQ$1), 0)), 1))),  0.5, 0))</f>
        <v>0</v>
      </c>
      <c r="GR51" s="47">
        <f t="array" ref="GR51">IF(AND(ISNUMBER(MATCH(GR$2, AsistenciaJetAdminConcatenada!$A:$A, 0)), ISNUMBER(MATCH(GR$1, AsistenciaJetAdminConcatenada!$B:$B, 0)), ISNUMBER(SEARCH($A51,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ISNUMBER(SEARCH($A51, INDEX(AsistenciaJetAdminConcatenada!$D:$D, MATCH(1, (AsistenciaJetAdminConcatenada!$A:$A=GR$2)*(AsistenciaJetAdminConcatenada!$B:$B=GR$1), 0)), 1))),  0.5, 0))</f>
        <v>0</v>
      </c>
      <c r="GS51" s="47">
        <f t="array" ref="GS51">IF(AND(ISNUMBER(MATCH(GS$2, AsistenciaJetAdminConcatenada!$A:$A, 0)), ISNUMBER(MATCH(GS$1, AsistenciaJetAdminConcatenada!$B:$B, 0)), ISNUMBER(SEARCH($A51,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ISNUMBER(SEARCH($A51, INDEX(AsistenciaJetAdminConcatenada!$D:$D, MATCH(1, (AsistenciaJetAdminConcatenada!$A:$A=GS$2)*(AsistenciaJetAdminConcatenada!$B:$B=GS$1), 0)), 1))),  0.5, 0))</f>
        <v>0</v>
      </c>
      <c r="GT51" s="47">
        <f t="array" ref="GT51">IF(AND(ISNUMBER(MATCH(GT$2, AsistenciaJetAdminConcatenada!$A:$A, 0)), ISNUMBER(MATCH(GT$1, AsistenciaJetAdminConcatenada!$B:$B, 0)), ISNUMBER(SEARCH($A51,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ISNUMBER(SEARCH($A51, INDEX(AsistenciaJetAdminConcatenada!$D:$D, MATCH(1, (AsistenciaJetAdminConcatenada!$A:$A=GT$2)*(AsistenciaJetAdminConcatenada!$B:$B=GT$1), 0)), 1))),  0.5, 0))</f>
        <v>0</v>
      </c>
      <c r="GU51" s="47">
        <f t="array" ref="GU51">IF(AND(ISNUMBER(MATCH(GU$2, AsistenciaJetAdminConcatenada!$A:$A, 0)), ISNUMBER(MATCH(GU$1, AsistenciaJetAdminConcatenada!$B:$B, 0)), ISNUMBER(SEARCH($A51,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ISNUMBER(SEARCH($A51, INDEX(AsistenciaJetAdminConcatenada!$D:$D, MATCH(1, (AsistenciaJetAdminConcatenada!$A:$A=GU$2)*(AsistenciaJetAdminConcatenada!$B:$B=GU$1), 0)), 1))),  0.5, 0))</f>
        <v>0</v>
      </c>
      <c r="GV51" s="47">
        <f t="array" ref="GV51">IF(AND(ISNUMBER(MATCH(GV$2, AsistenciaJetAdminConcatenada!$A:$A, 0)), ISNUMBER(MATCH(GV$1, AsistenciaJetAdminConcatenada!$B:$B, 0)), ISNUMBER(SEARCH($A51,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ISNUMBER(SEARCH($A51, INDEX(AsistenciaJetAdminConcatenada!$D:$D, MATCH(1, (AsistenciaJetAdminConcatenada!$A:$A=GV$2)*(AsistenciaJetAdminConcatenada!$B:$B=GV$1), 0)), 1))),  0.5, 0))</f>
        <v>0</v>
      </c>
      <c r="GW51" s="47">
        <f t="array" ref="GW51">IF(AND(ISNUMBER(MATCH(GW$2, AsistenciaJetAdminConcatenada!$A:$A, 0)), ISNUMBER(MATCH(GW$1, AsistenciaJetAdminConcatenada!$B:$B, 0)), ISNUMBER(SEARCH($A51,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ISNUMBER(SEARCH($A51, INDEX(AsistenciaJetAdminConcatenada!$D:$D, MATCH(1, (AsistenciaJetAdminConcatenada!$A:$A=GW$2)*(AsistenciaJetAdminConcatenada!$B:$B=GW$1), 0)), 1))),  0.5, 0))</f>
        <v>0</v>
      </c>
      <c r="GX51" s="47">
        <f t="array" ref="GX51">IF(AND(ISNUMBER(MATCH(GX$2, AsistenciaJetAdminConcatenada!$A:$A, 0)), ISNUMBER(MATCH(GX$1, AsistenciaJetAdminConcatenada!$B:$B, 0)), ISNUMBER(SEARCH($A51,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ISNUMBER(SEARCH($A51, INDEX(AsistenciaJetAdminConcatenada!$D:$D, MATCH(1, (AsistenciaJetAdminConcatenada!$A:$A=GX$2)*(AsistenciaJetAdminConcatenada!$B:$B=GX$1), 0)), 1))),  0.5, 0))</f>
        <v>0</v>
      </c>
      <c r="GY51" s="47">
        <f t="array" ref="GY51">IF(AND(ISNUMBER(MATCH(GY$2, AsistenciaJetAdminConcatenada!$A:$A, 0)), ISNUMBER(MATCH(GY$1, AsistenciaJetAdminConcatenada!$B:$B, 0)), ISNUMBER(SEARCH($A51,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ISNUMBER(SEARCH($A51, INDEX(AsistenciaJetAdminConcatenada!$D:$D, MATCH(1, (AsistenciaJetAdminConcatenada!$A:$A=GY$2)*(AsistenciaJetAdminConcatenada!$B:$B=GY$1), 0)), 1))),  0.5, 0))</f>
        <v>0</v>
      </c>
      <c r="GZ51" s="47">
        <f t="array" ref="GZ51">IF(AND(ISNUMBER(MATCH(GZ$2, AsistenciaJetAdminConcatenada!$A:$A, 0)), ISNUMBER(MATCH(GZ$1, AsistenciaJetAdminConcatenada!$B:$B, 0)), ISNUMBER(SEARCH($A51,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ISNUMBER(SEARCH($A51, INDEX(AsistenciaJetAdminConcatenada!$D:$D, MATCH(1, (AsistenciaJetAdminConcatenada!$A:$A=GZ$2)*(AsistenciaJetAdminConcatenada!$B:$B=GZ$1), 0)), 1))),  0.5, 0))</f>
        <v>0</v>
      </c>
      <c r="HA51" s="47">
        <f t="array" ref="HA51">IF(AND(ISNUMBER(MATCH(HA$2, AsistenciaJetAdminConcatenada!$A:$A, 0)), ISNUMBER(MATCH(HA$1, AsistenciaJetAdminConcatenada!$B:$B, 0)), ISNUMBER(SEARCH($A51,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ISNUMBER(SEARCH($A51, INDEX(AsistenciaJetAdminConcatenada!$D:$D, MATCH(1, (AsistenciaJetAdminConcatenada!$A:$A=HA$2)*(AsistenciaJetAdminConcatenada!$B:$B=HA$1), 0)), 1))),  0.5, 0))</f>
        <v>0</v>
      </c>
      <c r="HB51" s="47">
        <f t="array" ref="HB51">IF(AND(ISNUMBER(MATCH(HB$2, AsistenciaJetAdminConcatenada!$A:$A, 0)), ISNUMBER(MATCH(HB$1, AsistenciaJetAdminConcatenada!$B:$B, 0)), ISNUMBER(SEARCH($A51,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ISNUMBER(SEARCH($A51, INDEX(AsistenciaJetAdminConcatenada!$D:$D, MATCH(1, (AsistenciaJetAdminConcatenada!$A:$A=HB$2)*(AsistenciaJetAdminConcatenada!$B:$B=HB$1), 0)), 1))),  0.5, 0))</f>
        <v>0</v>
      </c>
      <c r="HC51" s="47">
        <f t="array" ref="HC51">IF(AND(ISNUMBER(MATCH(HC$2, AsistenciaJetAdminConcatenada!$A:$A, 0)), ISNUMBER(MATCH(HC$1, AsistenciaJetAdminConcatenada!$B:$B, 0)), ISNUMBER(SEARCH($A51,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ISNUMBER(SEARCH($A51, INDEX(AsistenciaJetAdminConcatenada!$D:$D, MATCH(1, (AsistenciaJetAdminConcatenada!$A:$A=HC$2)*(AsistenciaJetAdminConcatenada!$B:$B=HC$1), 0)), 1))),  0.5, 0))</f>
        <v>0</v>
      </c>
    </row>
    <row r="52" ht="29.25" customHeight="1">
      <c r="A52" s="3">
        <v>111.0</v>
      </c>
      <c r="B52" s="4" t="s">
        <v>569</v>
      </c>
      <c r="C52" s="47">
        <f>SUM(D52:HC52) + ActividadesEspeciales!C52</f>
        <v>40.5</v>
      </c>
      <c r="D52" s="47">
        <f t="array" ref="D52">IF(AND(ISNUMBER(MATCH(D$2, AsistenciaJetAdminConcatenada!$A:$A, 0)), ISNUMBER(MATCH(D$1, AsistenciaJetAdminConcatenada!$B:$B, 0)), ISNUMBER(SEARCH($A52,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ISNUMBER(SEARCH($A52, INDEX(AsistenciaJetAdminConcatenada!$D:$D, MATCH(1, (AsistenciaJetAdminConcatenada!$A:$A=D$2)*(AsistenciaJetAdminConcatenada!$B:$B=D$1), 0)), 1))),  0.5, 0))</f>
        <v>1</v>
      </c>
      <c r="E52" s="47">
        <f t="array" ref="E52">IF(AND(ISNUMBER(MATCH(E$2, AsistenciaJetAdminConcatenada!$A:$A, 0)), ISNUMBER(MATCH(E$1, AsistenciaJetAdminConcatenada!$B:$B, 0)), ISNUMBER(SEARCH($A52,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ISNUMBER(SEARCH($A52, INDEX(AsistenciaJetAdminConcatenada!$D:$D, MATCH(1, (AsistenciaJetAdminConcatenada!$A:$A=E$2)*(AsistenciaJetAdminConcatenada!$B:$B=E$1), 0)), 1))),  0.5, 0))</f>
        <v>0.5</v>
      </c>
      <c r="F52" s="47">
        <f t="array" ref="F52">IF(AND(ISNUMBER(MATCH(F$2, AsistenciaJetAdminConcatenada!$A:$A, 0)), ISNUMBER(MATCH(F$1, AsistenciaJetAdminConcatenada!$B:$B, 0)), ISNUMBER(SEARCH($A52,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ISNUMBER(SEARCH($A52, INDEX(AsistenciaJetAdminConcatenada!$D:$D, MATCH(1, (AsistenciaJetAdminConcatenada!$A:$A=F$2)*(AsistenciaJetAdminConcatenada!$B:$B=F$1), 0)), 1))),  0.5, 0))</f>
        <v>1</v>
      </c>
      <c r="G52" s="47">
        <f t="array" ref="G52">IF(AND(ISNUMBER(MATCH(G$2, AsistenciaJetAdminConcatenada!$A:$A, 0)), ISNUMBER(MATCH(G$1, AsistenciaJetAdminConcatenada!$B:$B, 0)), ISNUMBER(SEARCH($A52,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ISNUMBER(SEARCH($A52, INDEX(AsistenciaJetAdminConcatenada!$D:$D, MATCH(1, (AsistenciaJetAdminConcatenada!$A:$A=G$2)*(AsistenciaJetAdminConcatenada!$B:$B=G$1), 0)), 1))),  0.5, 0))</f>
        <v>1</v>
      </c>
      <c r="H52" s="47">
        <f t="array" ref="H52">IF(AND(ISNUMBER(MATCH(H$2, AsistenciaJetAdminConcatenada!$A:$A, 0)), ISNUMBER(MATCH(H$1, AsistenciaJetAdminConcatenada!$B:$B, 0)), ISNUMBER(SEARCH($A52,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ISNUMBER(SEARCH($A52, INDEX(AsistenciaJetAdminConcatenada!$D:$D, MATCH(1, (AsistenciaJetAdminConcatenada!$A:$A=H$2)*(AsistenciaJetAdminConcatenada!$B:$B=H$1), 0)), 1))),  0.5, 0))</f>
        <v>0</v>
      </c>
      <c r="I52" s="47">
        <f t="array" ref="I52">IF(AND(ISNUMBER(MATCH(I$2, AsistenciaJetAdminConcatenada!$A:$A, 0)), ISNUMBER(MATCH(I$1, AsistenciaJetAdminConcatenada!$B:$B, 0)), ISNUMBER(SEARCH($A52,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ISNUMBER(SEARCH($A52, INDEX(AsistenciaJetAdminConcatenada!$D:$D, MATCH(1, (AsistenciaJetAdminConcatenada!$A:$A=I$2)*(AsistenciaJetAdminConcatenada!$B:$B=I$1), 0)), 1))),  0.5, 0))</f>
        <v>1</v>
      </c>
      <c r="J52" s="47">
        <f t="array" ref="J52">IF(AND(ISNUMBER(MATCH(J$2, AsistenciaJetAdminConcatenada!$A:$A, 0)), ISNUMBER(MATCH(J$1, AsistenciaJetAdminConcatenada!$B:$B, 0)), ISNUMBER(SEARCH($A52,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ISNUMBER(SEARCH($A52, INDEX(AsistenciaJetAdminConcatenada!$D:$D, MATCH(1, (AsistenciaJetAdminConcatenada!$A:$A=J$2)*(AsistenciaJetAdminConcatenada!$B:$B=J$1), 0)), 1))),  0.5, 0))</f>
        <v>0</v>
      </c>
      <c r="K52" s="47">
        <f t="array" ref="K52">IF(AND(ISNUMBER(MATCH(K$2, AsistenciaJetAdminConcatenada!$A:$A, 0)), ISNUMBER(MATCH(K$1, AsistenciaJetAdminConcatenada!$B:$B, 0)), ISNUMBER(SEARCH($A52,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ISNUMBER(SEARCH($A52, INDEX(AsistenciaJetAdminConcatenada!$D:$D, MATCH(1, (AsistenciaJetAdminConcatenada!$A:$A=K$2)*(AsistenciaJetAdminConcatenada!$B:$B=K$1), 0)), 1))),  0.5, 0))</f>
        <v>1</v>
      </c>
      <c r="L52" s="47">
        <f t="array" ref="L52">IF(AND(ISNUMBER(MATCH(L$2, AsistenciaJetAdminConcatenada!$A:$A, 0)), ISNUMBER(MATCH(L$1, AsistenciaJetAdminConcatenada!$B:$B, 0)), ISNUMBER(SEARCH($A52,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ISNUMBER(SEARCH($A52, INDEX(AsistenciaJetAdminConcatenada!$D:$D, MATCH(1, (AsistenciaJetAdminConcatenada!$A:$A=L$2)*(AsistenciaJetAdminConcatenada!$B:$B=L$1), 0)), 1))),  0.5, 0))</f>
        <v>1</v>
      </c>
      <c r="M52" s="47">
        <f t="array" ref="M52">IF(AND(ISNUMBER(MATCH(M$2, AsistenciaJetAdminConcatenada!$A:$A, 0)), ISNUMBER(MATCH(M$1, AsistenciaJetAdminConcatenada!$B:$B, 0)), ISNUMBER(SEARCH($A52,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ISNUMBER(SEARCH($A52, INDEX(AsistenciaJetAdminConcatenada!$D:$D, MATCH(1, (AsistenciaJetAdminConcatenada!$A:$A=M$2)*(AsistenciaJetAdminConcatenada!$B:$B=M$1), 0)), 1))),  0.5, 0))</f>
        <v>0</v>
      </c>
      <c r="N52" s="47">
        <f t="array" ref="N52">IF(AND(ISNUMBER(MATCH(N$2, AsistenciaJetAdminConcatenada!$A:$A, 0)), ISNUMBER(MATCH(N$1, AsistenciaJetAdminConcatenada!$B:$B, 0)), ISNUMBER(SEARCH($A52,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ISNUMBER(SEARCH($A52, INDEX(AsistenciaJetAdminConcatenada!$D:$D, MATCH(1, (AsistenciaJetAdminConcatenada!$A:$A=N$2)*(AsistenciaJetAdminConcatenada!$B:$B=N$1), 0)), 1))),  0.5, 0))</f>
        <v>0</v>
      </c>
      <c r="O52" s="47">
        <f t="array" ref="O52">IF(AND(ISNUMBER(MATCH(O$2, AsistenciaJetAdminConcatenada!$A:$A, 0)), ISNUMBER(MATCH(O$1, AsistenciaJetAdminConcatenada!$B:$B, 0)), ISNUMBER(SEARCH($A52,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ISNUMBER(SEARCH($A52, INDEX(AsistenciaJetAdminConcatenada!$D:$D, MATCH(1, (AsistenciaJetAdminConcatenada!$A:$A=O$2)*(AsistenciaJetAdminConcatenada!$B:$B=O$1), 0)), 1))),  0.5, 0))</f>
        <v>0</v>
      </c>
      <c r="P52" s="8">
        <v>0.0</v>
      </c>
      <c r="Q52" s="8">
        <v>1.0</v>
      </c>
      <c r="R52" s="47">
        <f t="array" ref="R52">IF(AND(ISNUMBER(MATCH(R$2, AsistenciaJetAdminConcatenada!$A:$A, 0)), ISNUMBER(MATCH(R$1, AsistenciaJetAdminConcatenada!$B:$B, 0)), ISNUMBER(SEARCH($A52,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ISNUMBER(SEARCH($A52, INDEX(AsistenciaJetAdminConcatenada!$D:$D, MATCH(1, (AsistenciaJetAdminConcatenada!$A:$A=R$2)*(AsistenciaJetAdminConcatenada!$B:$B=R$1), 0)), 1))),  0.5, 0))</f>
        <v>0</v>
      </c>
      <c r="S52" s="47">
        <f t="array" ref="S52">IF(AND(ISNUMBER(MATCH(S$2, AsistenciaJetAdminConcatenada!$A:$A, 0)), ISNUMBER(MATCH(S$1, AsistenciaJetAdminConcatenada!$B:$B, 0)), ISNUMBER(SEARCH($A52,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ISNUMBER(SEARCH($A52, INDEX(AsistenciaJetAdminConcatenada!$D:$D, MATCH(1, (AsistenciaJetAdminConcatenada!$A:$A=S$2)*(AsistenciaJetAdminConcatenada!$B:$B=S$1), 0)), 1))),  0.5, 0))</f>
        <v>1</v>
      </c>
      <c r="T52" s="47">
        <f t="array" ref="T52">IF(AND(ISNUMBER(MATCH(T$2, AsistenciaJetAdminConcatenada!$A:$A, 0)), ISNUMBER(MATCH(T$1, AsistenciaJetAdminConcatenada!$B:$B, 0)), ISNUMBER(SEARCH($A52,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ISNUMBER(SEARCH($A52, INDEX(AsistenciaJetAdminConcatenada!$D:$D, MATCH(1, (AsistenciaJetAdminConcatenada!$A:$A=T$2)*(AsistenciaJetAdminConcatenada!$B:$B=T$1), 0)), 1))),  0.5, 0))</f>
        <v>0</v>
      </c>
      <c r="U52" s="47">
        <f t="array" ref="U52">IF(AND(ISNUMBER(MATCH(U$2, AsistenciaJetAdminConcatenada!$A:$A, 0)), ISNUMBER(MATCH(U$1, AsistenciaJetAdminConcatenada!$B:$B, 0)), ISNUMBER(SEARCH($A52,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ISNUMBER(SEARCH($A52, INDEX(AsistenciaJetAdminConcatenada!$D:$D, MATCH(1, (AsistenciaJetAdminConcatenada!$A:$A=U$2)*(AsistenciaJetAdminConcatenada!$B:$B=U$1), 0)), 1))),  0.5, 0))</f>
        <v>0</v>
      </c>
      <c r="V52" s="47">
        <f t="array" ref="V52">IF(AND(ISNUMBER(MATCH(V$2, AsistenciaJetAdminConcatenada!$A:$A, 0)), ISNUMBER(MATCH(V$1, AsistenciaJetAdminConcatenada!$B:$B, 0)), ISNUMBER(SEARCH($A52,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ISNUMBER(SEARCH($A52, INDEX(AsistenciaJetAdminConcatenada!$D:$D, MATCH(1, (AsistenciaJetAdminConcatenada!$A:$A=V$2)*(AsistenciaJetAdminConcatenada!$B:$B=V$1), 0)), 1))),  0.5, 0))</f>
        <v>0.5</v>
      </c>
      <c r="W52" s="47">
        <f t="array" ref="W52">IF(AND(ISNUMBER(MATCH(W$2, AsistenciaJetAdminConcatenada!$A:$A, 0)), ISNUMBER(MATCH(W$1, AsistenciaJetAdminConcatenada!$B:$B, 0)), ISNUMBER(SEARCH($A52,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ISNUMBER(SEARCH($A52, INDEX(AsistenciaJetAdminConcatenada!$D:$D, MATCH(1, (AsistenciaJetAdminConcatenada!$A:$A=W$2)*(AsistenciaJetAdminConcatenada!$B:$B=W$1), 0)), 1))),  0.5, 0))</f>
        <v>0</v>
      </c>
      <c r="X52" s="47">
        <f t="array" ref="X52">IF(AND(ISNUMBER(MATCH(X$2, AsistenciaJetAdminConcatenada!$A:$A, 0)), ISNUMBER(MATCH(X$1, AsistenciaJetAdminConcatenada!$B:$B, 0)), ISNUMBER(SEARCH($A52,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ISNUMBER(SEARCH($A52, INDEX(AsistenciaJetAdminConcatenada!$D:$D, MATCH(1, (AsistenciaJetAdminConcatenada!$A:$A=X$2)*(AsistenciaJetAdminConcatenada!$B:$B=X$1), 0)), 1))),  0.5, 0))</f>
        <v>0</v>
      </c>
      <c r="Y52" s="47">
        <f t="array" ref="Y52">IF(AND(ISNUMBER(MATCH(Y$2, AsistenciaJetAdminConcatenada!$A:$A, 0)), ISNUMBER(MATCH(Y$1, AsistenciaJetAdminConcatenada!$B:$B, 0)), ISNUMBER(SEARCH($A52,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ISNUMBER(SEARCH($A52, INDEX(AsistenciaJetAdminConcatenada!$D:$D, MATCH(1, (AsistenciaJetAdminConcatenada!$A:$A=Y$2)*(AsistenciaJetAdminConcatenada!$B:$B=Y$1), 0)), 1))),  0.5, 0))</f>
        <v>0.5</v>
      </c>
      <c r="Z52" s="47">
        <f t="array" ref="Z52">IF(AND(ISNUMBER(MATCH(Z$2, AsistenciaJetAdminConcatenada!$A:$A, 0)), ISNUMBER(MATCH(Z$1, AsistenciaJetAdminConcatenada!$B:$B, 0)), ISNUMBER(SEARCH($A52,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ISNUMBER(SEARCH($A52, INDEX(AsistenciaJetAdminConcatenada!$D:$D, MATCH(1, (AsistenciaJetAdminConcatenada!$A:$A=Z$2)*(AsistenciaJetAdminConcatenada!$B:$B=Z$1), 0)), 1))),  0.5, 0))</f>
        <v>1</v>
      </c>
      <c r="AA52" s="47">
        <f t="array" ref="AA52">IF(AND(ISNUMBER(MATCH(AA$2, AsistenciaJetAdminConcatenada!$A:$A, 0)), ISNUMBER(MATCH(AA$1, AsistenciaJetAdminConcatenada!$B:$B, 0)), ISNUMBER(SEARCH($A52,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ISNUMBER(SEARCH($A52, INDEX(AsistenciaJetAdminConcatenada!$D:$D, MATCH(1, (AsistenciaJetAdminConcatenada!$A:$A=AA$2)*(AsistenciaJetAdminConcatenada!$B:$B=AA$1), 0)), 1))),  0.5, 0))</f>
        <v>0</v>
      </c>
      <c r="AB52" s="47">
        <f t="array" ref="AB52">IF(AND(ISNUMBER(MATCH(AB$2, AsistenciaJetAdminConcatenada!$A:$A, 0)), ISNUMBER(MATCH(AB$1, AsistenciaJetAdminConcatenada!$B:$B, 0)), ISNUMBER(SEARCH($A52,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ISNUMBER(SEARCH($A52, INDEX(AsistenciaJetAdminConcatenada!$D:$D, MATCH(1, (AsistenciaJetAdminConcatenada!$A:$A=AB$2)*(AsistenciaJetAdminConcatenada!$B:$B=AB$1), 0)), 1))),  0.5, 0))</f>
        <v>1</v>
      </c>
      <c r="AC52" s="47">
        <f t="array" ref="AC52">IF(AND(ISNUMBER(MATCH(AC$2, AsistenciaJetAdminConcatenada!$A:$A, 0)), ISNUMBER(MATCH(AC$1, AsistenciaJetAdminConcatenada!$B:$B, 0)), ISNUMBER(SEARCH($A52,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ISNUMBER(SEARCH($A52, INDEX(AsistenciaJetAdminConcatenada!$D:$D, MATCH(1, (AsistenciaJetAdminConcatenada!$A:$A=AC$2)*(AsistenciaJetAdminConcatenada!$B:$B=AC$1), 0)), 1))),  0.5, 0))</f>
        <v>1</v>
      </c>
      <c r="AD52" s="47">
        <f t="array" ref="AD52">IF(AND(ISNUMBER(MATCH(AD$2, AsistenciaJetAdminConcatenada!$A:$A, 0)), ISNUMBER(MATCH(AD$1, AsistenciaJetAdminConcatenada!$B:$B, 0)), ISNUMBER(SEARCH($A52,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ISNUMBER(SEARCH($A52, INDEX(AsistenciaJetAdminConcatenada!$D:$D, MATCH(1, (AsistenciaJetAdminConcatenada!$A:$A=AD$2)*(AsistenciaJetAdminConcatenada!$B:$B=AD$1), 0)), 1))),  0.5, 0))</f>
        <v>1</v>
      </c>
      <c r="AE52" s="47">
        <f t="array" ref="AE52">IF(AND(ISNUMBER(MATCH(AE$2, AsistenciaJetAdminConcatenada!$A:$A, 0)), ISNUMBER(MATCH(AE$1, AsistenciaJetAdminConcatenada!$B:$B, 0)), ISNUMBER(SEARCH($A52,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ISNUMBER(SEARCH($A52, INDEX(AsistenciaJetAdminConcatenada!$D:$D, MATCH(1, (AsistenciaJetAdminConcatenada!$A:$A=AE$2)*(AsistenciaJetAdminConcatenada!$B:$B=AE$1), 0)), 1))),  0.5, 0))</f>
        <v>0</v>
      </c>
      <c r="AF52" s="47">
        <f t="array" ref="AF52">IF(AND(ISNUMBER(MATCH(AF$2, AsistenciaJetAdminConcatenada!$A:$A, 0)), ISNUMBER(MATCH(AF$1, AsistenciaJetAdminConcatenada!$B:$B, 0)), ISNUMBER(SEARCH($A52,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ISNUMBER(SEARCH($A52, INDEX(AsistenciaJetAdminConcatenada!$D:$D, MATCH(1, (AsistenciaJetAdminConcatenada!$A:$A=AF$2)*(AsistenciaJetAdminConcatenada!$B:$B=AF$1), 0)), 1))),  0.5, 0))</f>
        <v>0</v>
      </c>
      <c r="AG52" s="47">
        <f t="array" ref="AG52">IF(AND(ISNUMBER(MATCH(AG$2, AsistenciaJetAdminConcatenada!$A:$A, 0)), ISNUMBER(MATCH(AG$1, AsistenciaJetAdminConcatenada!$B:$B, 0)), ISNUMBER(SEARCH($A52,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ISNUMBER(SEARCH($A52, INDEX(AsistenciaJetAdminConcatenada!$D:$D, MATCH(1, (AsistenciaJetAdminConcatenada!$A:$A=AG$2)*(AsistenciaJetAdminConcatenada!$B:$B=AG$1), 0)), 1))),  0.5, 0))</f>
        <v>0</v>
      </c>
      <c r="AH52" s="47">
        <f t="array" ref="AH52">IF(AND(ISNUMBER(MATCH(AH$2, AsistenciaJetAdminConcatenada!$A:$A, 0)), ISNUMBER(MATCH(AH$1, AsistenciaJetAdminConcatenada!$B:$B, 0)), ISNUMBER(SEARCH($A52,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ISNUMBER(SEARCH($A52, INDEX(AsistenciaJetAdminConcatenada!$D:$D, MATCH(1, (AsistenciaJetAdminConcatenada!$A:$A=AH$2)*(AsistenciaJetAdminConcatenada!$B:$B=AH$1), 0)), 1))),  0.5, 0))</f>
        <v>0</v>
      </c>
      <c r="AI52" s="47">
        <f t="array" ref="AI52">IF(AND(ISNUMBER(MATCH(AI$2, AsistenciaJetAdminConcatenada!$A:$A, 0)), ISNUMBER(MATCH(AI$1, AsistenciaJetAdminConcatenada!$B:$B, 0)), ISNUMBER(SEARCH($A52,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ISNUMBER(SEARCH($A52, INDEX(AsistenciaJetAdminConcatenada!$D:$D, MATCH(1, (AsistenciaJetAdminConcatenada!$A:$A=AI$2)*(AsistenciaJetAdminConcatenada!$B:$B=AI$1), 0)), 1))),  0.5, 0))</f>
        <v>0</v>
      </c>
      <c r="AJ52" s="47">
        <f t="array" ref="AJ52">IF(AND(ISNUMBER(MATCH(AJ$2, AsistenciaJetAdminConcatenada!$A:$A, 0)), ISNUMBER(MATCH(AJ$1, AsistenciaJetAdminConcatenada!$B:$B, 0)), ISNUMBER(SEARCH($A52,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ISNUMBER(SEARCH($A52, INDEX(AsistenciaJetAdminConcatenada!$D:$D, MATCH(1, (AsistenciaJetAdminConcatenada!$A:$A=AJ$2)*(AsistenciaJetAdminConcatenada!$B:$B=AJ$1), 0)), 1))),  0.5, 0))</f>
        <v>0</v>
      </c>
      <c r="AK52" s="47">
        <f t="array" ref="AK52">IF(AND(ISNUMBER(MATCH(AK$2, AsistenciaJetAdminConcatenada!$A:$A, 0)), ISNUMBER(MATCH(AK$1, AsistenciaJetAdminConcatenada!$B:$B, 0)), ISNUMBER(SEARCH($A52,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ISNUMBER(SEARCH($A52, INDEX(AsistenciaJetAdminConcatenada!$D:$D, MATCH(1, (AsistenciaJetAdminConcatenada!$A:$A=AK$2)*(AsistenciaJetAdminConcatenada!$B:$B=AK$1), 0)), 1))),  0.5, 0))</f>
        <v>1</v>
      </c>
      <c r="AL52" s="47">
        <f t="array" ref="AL52">IF(AND(ISNUMBER(MATCH(AL$2, AsistenciaJetAdminConcatenada!$A:$A, 0)), ISNUMBER(MATCH(AL$1, AsistenciaJetAdminConcatenada!$B:$B, 0)), ISNUMBER(SEARCH($A52,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ISNUMBER(SEARCH($A52, INDEX(AsistenciaJetAdminConcatenada!$D:$D, MATCH(1, (AsistenciaJetAdminConcatenada!$A:$A=AL$2)*(AsistenciaJetAdminConcatenada!$B:$B=AL$1), 0)), 1))),  0.5, 0))</f>
        <v>0.5</v>
      </c>
      <c r="AM52" s="47">
        <f t="array" ref="AM52">IF(AND(ISNUMBER(MATCH(AM$2, AsistenciaJetAdminConcatenada!$A:$A, 0)), ISNUMBER(MATCH(AM$1, AsistenciaJetAdminConcatenada!$B:$B, 0)), ISNUMBER(SEARCH($A52,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ISNUMBER(SEARCH($A52, INDEX(AsistenciaJetAdminConcatenada!$D:$D, MATCH(1, (AsistenciaJetAdminConcatenada!$A:$A=AM$2)*(AsistenciaJetAdminConcatenada!$B:$B=AM$1), 0)), 1))),  0.5, 0))</f>
        <v>0</v>
      </c>
      <c r="AN52" s="47">
        <f t="array" ref="AN52">IF(AND(ISNUMBER(MATCH(AN$2, AsistenciaJetAdminConcatenada!$A:$A, 0)), ISNUMBER(MATCH(AN$1, AsistenciaJetAdminConcatenada!$B:$B, 0)), ISNUMBER(SEARCH($A52,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ISNUMBER(SEARCH($A52, INDEX(AsistenciaJetAdminConcatenada!$D:$D, MATCH(1, (AsistenciaJetAdminConcatenada!$A:$A=AN$2)*(AsistenciaJetAdminConcatenada!$B:$B=AN$1), 0)), 1))),  0.5, 0))</f>
        <v>0</v>
      </c>
      <c r="AO52" s="47">
        <f t="array" ref="AO52">IF(AND(ISNUMBER(MATCH(AO$2, AsistenciaJetAdminConcatenada!$A:$A, 0)), ISNUMBER(MATCH(AO$1, AsistenciaJetAdminConcatenada!$B:$B, 0)), ISNUMBER(SEARCH($A52,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ISNUMBER(SEARCH($A52, INDEX(AsistenciaJetAdminConcatenada!$D:$D, MATCH(1, (AsistenciaJetAdminConcatenada!$A:$A=AO$2)*(AsistenciaJetAdminConcatenada!$B:$B=AO$1), 0)), 1))),  0.5, 0))</f>
        <v>1</v>
      </c>
      <c r="AP52" s="47">
        <f t="array" ref="AP52">IF(AND(ISNUMBER(MATCH(AP$2, AsistenciaJetAdminConcatenada!$A:$A, 0)), ISNUMBER(MATCH(AP$1, AsistenciaJetAdminConcatenada!$B:$B, 0)), ISNUMBER(SEARCH($A52,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ISNUMBER(SEARCH($A52, INDEX(AsistenciaJetAdminConcatenada!$D:$D, MATCH(1, (AsistenciaJetAdminConcatenada!$A:$A=AP$2)*(AsistenciaJetAdminConcatenada!$B:$B=AP$1), 0)), 1))),  0.5, 0))</f>
        <v>1</v>
      </c>
      <c r="AQ52" s="47">
        <f t="array" ref="AQ52">IF(AND(ISNUMBER(MATCH(AQ$2, AsistenciaJetAdminConcatenada!$A:$A, 0)), ISNUMBER(MATCH(AQ$1, AsistenciaJetAdminConcatenada!$B:$B, 0)), ISNUMBER(SEARCH($A52,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ISNUMBER(SEARCH($A52, INDEX(AsistenciaJetAdminConcatenada!$D:$D, MATCH(1, (AsistenciaJetAdminConcatenada!$A:$A=AQ$2)*(AsistenciaJetAdminConcatenada!$B:$B=AQ$1), 0)), 1))),  0.5, 0))</f>
        <v>0</v>
      </c>
      <c r="AR52" s="47">
        <f t="array" ref="AR52">IF(AND(ISNUMBER(MATCH(AR$2, AsistenciaJetAdminConcatenada!$A:$A, 0)), ISNUMBER(MATCH(AR$1, AsistenciaJetAdminConcatenada!$B:$B, 0)), ISNUMBER(SEARCH($A52,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ISNUMBER(SEARCH($A52, INDEX(AsistenciaJetAdminConcatenada!$D:$D, MATCH(1, (AsistenciaJetAdminConcatenada!$A:$A=AR$2)*(AsistenciaJetAdminConcatenada!$B:$B=AR$1), 0)), 1))),  0.5, 0))</f>
        <v>0</v>
      </c>
      <c r="AS52" s="47">
        <f t="array" ref="AS52">IF(AND(ISNUMBER(MATCH(AS$2, AsistenciaJetAdminConcatenada!$A:$A, 0)), ISNUMBER(MATCH(AS$1, AsistenciaJetAdminConcatenada!$B:$B, 0)), ISNUMBER(SEARCH($A52,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ISNUMBER(SEARCH($A52, INDEX(AsistenciaJetAdminConcatenada!$D:$D, MATCH(1, (AsistenciaJetAdminConcatenada!$A:$A=AS$2)*(AsistenciaJetAdminConcatenada!$B:$B=AS$1), 0)), 1))),  0.5, 0))</f>
        <v>0</v>
      </c>
      <c r="AT52" s="47">
        <f t="array" ref="AT52">IF(AND(ISNUMBER(MATCH(AT$2, AsistenciaJetAdminConcatenada!$A:$A, 0)), ISNUMBER(MATCH(AT$1, AsistenciaJetAdminConcatenada!$B:$B, 0)), ISNUMBER(SEARCH($A52,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ISNUMBER(SEARCH($A52, INDEX(AsistenciaJetAdminConcatenada!$D:$D, MATCH(1, (AsistenciaJetAdminConcatenada!$A:$A=AT$2)*(AsistenciaJetAdminConcatenada!$B:$B=AT$1), 0)), 1))),  0.5, 0))</f>
        <v>0</v>
      </c>
      <c r="AU52" s="47">
        <f t="array" ref="AU52">IF(AND(ISNUMBER(MATCH(AU$2, AsistenciaJetAdminConcatenada!$A:$A, 0)), ISNUMBER(MATCH(AU$1, AsistenciaJetAdminConcatenada!$B:$B, 0)), ISNUMBER(SEARCH($A52,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ISNUMBER(SEARCH($A52, INDEX(AsistenciaJetAdminConcatenada!$D:$D, MATCH(1, (AsistenciaJetAdminConcatenada!$A:$A=AU$2)*(AsistenciaJetAdminConcatenada!$B:$B=AU$1), 0)), 1))),  0.5, 0))</f>
        <v>1</v>
      </c>
      <c r="AV52" s="47">
        <f t="array" ref="AV52">IF(AND(ISNUMBER(MATCH(AV$2, AsistenciaJetAdminConcatenada!$A:$A, 0)), ISNUMBER(MATCH(AV$1, AsistenciaJetAdminConcatenada!$B:$B, 0)), ISNUMBER(SEARCH($A52,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ISNUMBER(SEARCH($A52, INDEX(AsistenciaJetAdminConcatenada!$D:$D, MATCH(1, (AsistenciaJetAdminConcatenada!$A:$A=AV$2)*(AsistenciaJetAdminConcatenada!$B:$B=AV$1), 0)), 1))),  0.5, 0))</f>
        <v>0</v>
      </c>
      <c r="AW52" s="47">
        <f t="array" ref="AW52">IF(AND(ISNUMBER(MATCH(AW$2, AsistenciaJetAdminConcatenada!$A:$A, 0)), ISNUMBER(MATCH(AW$1, AsistenciaJetAdminConcatenada!$B:$B, 0)), ISNUMBER(SEARCH($A52,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ISNUMBER(SEARCH($A52, INDEX(AsistenciaJetAdminConcatenada!$D:$D, MATCH(1, (AsistenciaJetAdminConcatenada!$A:$A=AW$2)*(AsistenciaJetAdminConcatenada!$B:$B=AW$1), 0)), 1))),  0.5, 0))</f>
        <v>0</v>
      </c>
      <c r="AX52" s="47">
        <f t="array" ref="AX52">IF(AND(ISNUMBER(MATCH(AX$2, AsistenciaJetAdminConcatenada!$A:$A, 0)), ISNUMBER(MATCH(AX$1, AsistenciaJetAdminConcatenada!$B:$B, 0)), ISNUMBER(SEARCH($A52,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ISNUMBER(SEARCH($A52, INDEX(AsistenciaJetAdminConcatenada!$D:$D, MATCH(1, (AsistenciaJetAdminConcatenada!$A:$A=AX$2)*(AsistenciaJetAdminConcatenada!$B:$B=AX$1), 0)), 1))),  0.5, 0))</f>
        <v>0</v>
      </c>
      <c r="AY52" s="47">
        <f t="array" ref="AY52">IF(AND(ISNUMBER(MATCH(AY$2, AsistenciaJetAdminConcatenada!$A:$A, 0)), ISNUMBER(MATCH(AY$1, AsistenciaJetAdminConcatenada!$B:$B, 0)), ISNUMBER(SEARCH($A52,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ISNUMBER(SEARCH($A52, INDEX(AsistenciaJetAdminConcatenada!$D:$D, MATCH(1, (AsistenciaJetAdminConcatenada!$A:$A=AY$2)*(AsistenciaJetAdminConcatenada!$B:$B=AY$1), 0)), 1))),  0.5, 0))</f>
        <v>0</v>
      </c>
      <c r="AZ52" s="47">
        <f t="array" ref="AZ52">IF(AND(ISNUMBER(MATCH(AZ$2, AsistenciaJetAdminConcatenada!$A:$A, 0)), ISNUMBER(MATCH(AZ$1, AsistenciaJetAdminConcatenada!$B:$B, 0)), ISNUMBER(SEARCH($A52,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ISNUMBER(SEARCH($A52, INDEX(AsistenciaJetAdminConcatenada!$D:$D, MATCH(1, (AsistenciaJetAdminConcatenada!$A:$A=AZ$2)*(AsistenciaJetAdminConcatenada!$B:$B=AZ$1), 0)), 1))),  0.5, 0))</f>
        <v>1</v>
      </c>
      <c r="BA52" s="47">
        <f t="array" ref="BA52">IF(AND(ISNUMBER(MATCH(BA$2, AsistenciaJetAdminConcatenada!$A:$A, 0)), ISNUMBER(MATCH(BA$1, AsistenciaJetAdminConcatenada!$B:$B, 0)), ISNUMBER(SEARCH($A52,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ISNUMBER(SEARCH($A52, INDEX(AsistenciaJetAdminConcatenada!$D:$D, MATCH(1, (AsistenciaJetAdminConcatenada!$A:$A=BA$2)*(AsistenciaJetAdminConcatenada!$B:$B=BA$1), 0)), 1))),  0.5, 0))</f>
        <v>0</v>
      </c>
      <c r="BB52" s="47">
        <f t="array" ref="BB52">IF(AND(ISNUMBER(MATCH(BB$2, AsistenciaJetAdminConcatenada!$A:$A, 0)), ISNUMBER(MATCH(BB$1, AsistenciaJetAdminConcatenada!$B:$B, 0)), ISNUMBER(SEARCH($A52,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ISNUMBER(SEARCH($A52, INDEX(AsistenciaJetAdminConcatenada!$D:$D, MATCH(1, (AsistenciaJetAdminConcatenada!$A:$A=BB$2)*(AsistenciaJetAdminConcatenada!$B:$B=BB$1), 0)), 1))),  0.5, 0))</f>
        <v>0</v>
      </c>
      <c r="BC52" s="47">
        <f t="array" ref="BC52">IF(AND(ISNUMBER(MATCH(BC$2, AsistenciaJetAdminConcatenada!$A:$A, 0)), ISNUMBER(MATCH(BC$1, AsistenciaJetAdminConcatenada!$B:$B, 0)), ISNUMBER(SEARCH($A52,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ISNUMBER(SEARCH($A52, INDEX(AsistenciaJetAdminConcatenada!$D:$D, MATCH(1, (AsistenciaJetAdminConcatenada!$A:$A=BC$2)*(AsistenciaJetAdminConcatenada!$B:$B=BC$1), 0)), 1))),  0.5, 0))</f>
        <v>1</v>
      </c>
      <c r="BD52" s="47">
        <f t="array" ref="BD52">IF(AND(ISNUMBER(MATCH(BD$2, AsistenciaJetAdminConcatenada!$A:$A, 0)), ISNUMBER(MATCH(BD$1, AsistenciaJetAdminConcatenada!$B:$B, 0)), ISNUMBER(SEARCH($A52,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ISNUMBER(SEARCH($A52, INDEX(AsistenciaJetAdminConcatenada!$D:$D, MATCH(1, (AsistenciaJetAdminConcatenada!$A:$A=BD$2)*(AsistenciaJetAdminConcatenada!$B:$B=BD$1), 0)), 1))),  0.5, 0))</f>
        <v>1</v>
      </c>
      <c r="BE52" s="47">
        <f t="array" ref="BE52">IF(AND(ISNUMBER(MATCH(BE$2, AsistenciaJetAdminConcatenada!$A:$A, 0)), ISNUMBER(MATCH(BE$1, AsistenciaJetAdminConcatenada!$B:$B, 0)), ISNUMBER(SEARCH($A52,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ISNUMBER(SEARCH($A52, INDEX(AsistenciaJetAdminConcatenada!$D:$D, MATCH(1, (AsistenciaJetAdminConcatenada!$A:$A=BE$2)*(AsistenciaJetAdminConcatenada!$B:$B=BE$1), 0)), 1))),  0.5, 0))</f>
        <v>0</v>
      </c>
      <c r="BF52" s="47">
        <f t="array" ref="BF52">IF(AND(ISNUMBER(MATCH(BF$2, AsistenciaJetAdminConcatenada!$A:$A, 0)), ISNUMBER(MATCH(BF$1, AsistenciaJetAdminConcatenada!$B:$B, 0)), ISNUMBER(SEARCH($A52,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ISNUMBER(SEARCH($A52, INDEX(AsistenciaJetAdminConcatenada!$D:$D, MATCH(1, (AsistenciaJetAdminConcatenada!$A:$A=BF$2)*(AsistenciaJetAdminConcatenada!$B:$B=BF$1), 0)), 1))),  0.5, 0))</f>
        <v>0</v>
      </c>
      <c r="BG52" s="47">
        <f t="array" ref="BG52">IF(AND(ISNUMBER(MATCH(BG$2, AsistenciaJetAdminConcatenada!$A:$A, 0)), ISNUMBER(MATCH(BG$1, AsistenciaJetAdminConcatenada!$B:$B, 0)), ISNUMBER(SEARCH($A52,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ISNUMBER(SEARCH($A52, INDEX(AsistenciaJetAdminConcatenada!$D:$D, MATCH(1, (AsistenciaJetAdminConcatenada!$A:$A=BG$2)*(AsistenciaJetAdminConcatenada!$B:$B=BG$1), 0)), 1))),  0.5, 0))</f>
        <v>1</v>
      </c>
      <c r="BH52" s="47">
        <f t="array" ref="BH52">IF(AND(ISNUMBER(MATCH(BH$2, AsistenciaJetAdminConcatenada!$A:$A, 0)), ISNUMBER(MATCH(BH$1, AsistenciaJetAdminConcatenada!$B:$B, 0)), ISNUMBER(SEARCH($A52,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ISNUMBER(SEARCH($A52, INDEX(AsistenciaJetAdminConcatenada!$D:$D, MATCH(1, (AsistenciaJetAdminConcatenada!$A:$A=BH$2)*(AsistenciaJetAdminConcatenada!$B:$B=BH$1), 0)), 1))),  0.5, 0))</f>
        <v>0</v>
      </c>
      <c r="BI52" s="47">
        <f t="array" ref="BI52">IF(AND(ISNUMBER(MATCH(BI$2, AsistenciaJetAdminConcatenada!$A:$A, 0)), ISNUMBER(MATCH(BI$1, AsistenciaJetAdminConcatenada!$B:$B, 0)), ISNUMBER(SEARCH($A52,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ISNUMBER(SEARCH($A52, INDEX(AsistenciaJetAdminConcatenada!$D:$D, MATCH(1, (AsistenciaJetAdminConcatenada!$A:$A=BI$2)*(AsistenciaJetAdminConcatenada!$B:$B=BI$1), 0)), 1))),  0.5, 0))</f>
        <v>1</v>
      </c>
      <c r="BJ52" s="47">
        <f t="array" ref="BJ52">IF(AND(ISNUMBER(MATCH(BJ$2, AsistenciaJetAdminConcatenada!$A:$A, 0)), ISNUMBER(MATCH(BJ$1, AsistenciaJetAdminConcatenada!$B:$B, 0)), ISNUMBER(SEARCH($A52,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ISNUMBER(SEARCH($A52, INDEX(AsistenciaJetAdminConcatenada!$D:$D, MATCH(1, (AsistenciaJetAdminConcatenada!$A:$A=BJ$2)*(AsistenciaJetAdminConcatenada!$B:$B=BJ$1), 0)), 1))),  0.5, 0))</f>
        <v>1</v>
      </c>
      <c r="BK52" s="47">
        <f t="array" ref="BK52">IF(AND(ISNUMBER(MATCH(BK$2, AsistenciaJetAdminConcatenada!$A:$A, 0)), ISNUMBER(MATCH(BK$1, AsistenciaJetAdminConcatenada!$B:$B, 0)), ISNUMBER(SEARCH($A52,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ISNUMBER(SEARCH($A52, INDEX(AsistenciaJetAdminConcatenada!$D:$D, MATCH(1, (AsistenciaJetAdminConcatenada!$A:$A=BK$2)*(AsistenciaJetAdminConcatenada!$B:$B=BK$1), 0)), 1))),  0.5, 0))</f>
        <v>1</v>
      </c>
      <c r="BL52" s="47">
        <f t="array" ref="BL52">IF(AND(ISNUMBER(MATCH(BL$2, AsistenciaJetAdminConcatenada!$A:$A, 0)), ISNUMBER(MATCH(BL$1, AsistenciaJetAdminConcatenada!$B:$B, 0)), ISNUMBER(SEARCH($A52,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ISNUMBER(SEARCH($A52, INDEX(AsistenciaJetAdminConcatenada!$D:$D, MATCH(1, (AsistenciaJetAdminConcatenada!$A:$A=BL$2)*(AsistenciaJetAdminConcatenada!$B:$B=BL$1), 0)), 1))),  0.5, 0))</f>
        <v>1</v>
      </c>
      <c r="BM52" s="47">
        <f t="array" ref="BM52">IF(AND(ISNUMBER(MATCH(BM$2, AsistenciaJetAdminConcatenada!$A:$A, 0)), ISNUMBER(MATCH(BM$1, AsistenciaJetAdminConcatenada!$B:$B, 0)), ISNUMBER(SEARCH($A52,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ISNUMBER(SEARCH($A52, INDEX(AsistenciaJetAdminConcatenada!$D:$D, MATCH(1, (AsistenciaJetAdminConcatenada!$A:$A=BM$2)*(AsistenciaJetAdminConcatenada!$B:$B=BM$1), 0)), 1))),  0.5, 0))</f>
        <v>0</v>
      </c>
      <c r="BN52" s="47">
        <f t="array" ref="BN52">IF(AND(ISNUMBER(MATCH(BN$2, AsistenciaJetAdminConcatenada!$A:$A, 0)), ISNUMBER(MATCH(BN$1, AsistenciaJetAdminConcatenada!$B:$B, 0)), ISNUMBER(SEARCH($A52,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ISNUMBER(SEARCH($A52, INDEX(AsistenciaJetAdminConcatenada!$D:$D, MATCH(1, (AsistenciaJetAdminConcatenada!$A:$A=BN$2)*(AsistenciaJetAdminConcatenada!$B:$B=BN$1), 0)), 1))),  0.5, 0))</f>
        <v>0</v>
      </c>
      <c r="BO52" s="47">
        <f t="array" ref="BO52">IF(AND(ISNUMBER(MATCH(BO$2, AsistenciaJetAdminConcatenada!$A:$A, 0)), ISNUMBER(MATCH(BO$1, AsistenciaJetAdminConcatenada!$B:$B, 0)), ISNUMBER(SEARCH($A52,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ISNUMBER(SEARCH($A52, INDEX(AsistenciaJetAdminConcatenada!$D:$D, MATCH(1, (AsistenciaJetAdminConcatenada!$A:$A=BO$2)*(AsistenciaJetAdminConcatenada!$B:$B=BO$1), 0)), 1))),  0.5, 0))</f>
        <v>1</v>
      </c>
      <c r="BP52" s="47">
        <f t="array" ref="BP52">IF(AND(ISNUMBER(MATCH(BP$2, AsistenciaJetAdminConcatenada!$A:$A, 0)), ISNUMBER(MATCH(BP$1, AsistenciaJetAdminConcatenada!$B:$B, 0)), ISNUMBER(SEARCH($A52,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ISNUMBER(SEARCH($A52, INDEX(AsistenciaJetAdminConcatenada!$D:$D, MATCH(1, (AsistenciaJetAdminConcatenada!$A:$A=BP$2)*(AsistenciaJetAdminConcatenada!$B:$B=BP$1), 0)), 1))),  0.5, 0))</f>
        <v>0</v>
      </c>
      <c r="BQ52" s="47">
        <f t="array" ref="BQ52">IF(AND(ISNUMBER(MATCH(BQ$2, AsistenciaJetAdminConcatenada!$A:$A, 0)), ISNUMBER(MATCH(BQ$1, AsistenciaJetAdminConcatenada!$B:$B, 0)), ISNUMBER(SEARCH($A52,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ISNUMBER(SEARCH($A52, INDEX(AsistenciaJetAdminConcatenada!$D:$D, MATCH(1, (AsistenciaJetAdminConcatenada!$A:$A=BQ$2)*(AsistenciaJetAdminConcatenada!$B:$B=BQ$1), 0)), 1))),  0.5, 0))</f>
        <v>1</v>
      </c>
      <c r="BR52" s="47">
        <f t="array" ref="BR52">IF(AND(ISNUMBER(MATCH(BR$2, AsistenciaJetAdminConcatenada!$A:$A, 0)), ISNUMBER(MATCH(BR$1, AsistenciaJetAdminConcatenada!$B:$B, 0)), ISNUMBER(SEARCH($A52,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ISNUMBER(SEARCH($A52, INDEX(AsistenciaJetAdminConcatenada!$D:$D, MATCH(1, (AsistenciaJetAdminConcatenada!$A:$A=BR$2)*(AsistenciaJetAdminConcatenada!$B:$B=BR$1), 0)), 1))),  0.5, 0))</f>
        <v>1</v>
      </c>
      <c r="BS52" s="47">
        <f t="array" ref="BS52">IF(AND(ISNUMBER(MATCH(BS$2, AsistenciaJetAdminConcatenada!$A:$A, 0)), ISNUMBER(MATCH(BS$1, AsistenciaJetAdminConcatenada!$B:$B, 0)), ISNUMBER(SEARCH($A52,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ISNUMBER(SEARCH($A52, INDEX(AsistenciaJetAdminConcatenada!$D:$D, MATCH(1, (AsistenciaJetAdminConcatenada!$A:$A=BS$2)*(AsistenciaJetAdminConcatenada!$B:$B=BS$1), 0)), 1))),  0.5, 0))</f>
        <v>1</v>
      </c>
      <c r="BT52" s="47">
        <f t="array" ref="BT52">IF(AND(ISNUMBER(MATCH(BT$2, AsistenciaJetAdminConcatenada!$A:$A, 0)), ISNUMBER(MATCH(BT$1, AsistenciaJetAdminConcatenada!$B:$B, 0)), ISNUMBER(SEARCH($A52,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ISNUMBER(SEARCH($A52, INDEX(AsistenciaJetAdminConcatenada!$D:$D, MATCH(1, (AsistenciaJetAdminConcatenada!$A:$A=BT$2)*(AsistenciaJetAdminConcatenada!$B:$B=BT$1), 0)), 1))),  0.5, 0))</f>
        <v>1</v>
      </c>
      <c r="BU52" s="47">
        <f t="array" ref="BU52">IF(AND(ISNUMBER(MATCH(BU$2, AsistenciaJetAdminConcatenada!$A:$A, 0)), ISNUMBER(MATCH(BU$1, AsistenciaJetAdminConcatenada!$B:$B, 0)), ISNUMBER(SEARCH($A52,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ISNUMBER(SEARCH($A52, INDEX(AsistenciaJetAdminConcatenada!$D:$D, MATCH(1, (AsistenciaJetAdminConcatenada!$A:$A=BU$2)*(AsistenciaJetAdminConcatenada!$B:$B=BU$1), 0)), 1))),  0.5, 0))</f>
        <v>0</v>
      </c>
      <c r="BV52" s="47">
        <f t="array" ref="BV52">IF(AND(ISNUMBER(MATCH(BV$2, AsistenciaJetAdminConcatenada!$A:$A, 0)), ISNUMBER(MATCH(BV$1, AsistenciaJetAdminConcatenada!$B:$B, 0)), ISNUMBER(SEARCH($A52,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ISNUMBER(SEARCH($A52, INDEX(AsistenciaJetAdminConcatenada!$D:$D, MATCH(1, (AsistenciaJetAdminConcatenada!$A:$A=BV$2)*(AsistenciaJetAdminConcatenada!$B:$B=BV$1), 0)), 1))),  0.5, 0))</f>
        <v>0</v>
      </c>
      <c r="BW52" s="47">
        <f t="array" ref="BW52">IF(AND(ISNUMBER(MATCH(BW$2, AsistenciaJetAdminConcatenada!$A:$A, 0)), ISNUMBER(MATCH(BW$1, AsistenciaJetAdminConcatenada!$B:$B, 0)), ISNUMBER(SEARCH($A52,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ISNUMBER(SEARCH($A52, INDEX(AsistenciaJetAdminConcatenada!$D:$D, MATCH(1, (AsistenciaJetAdminConcatenada!$A:$A=BW$2)*(AsistenciaJetAdminConcatenada!$B:$B=BW$1), 0)), 1))),  0.5, 0))</f>
        <v>0</v>
      </c>
      <c r="BX52" s="47">
        <f t="array" ref="BX52">IF(AND(ISNUMBER(MATCH(BX$2, AsistenciaJetAdminConcatenada!$A:$A, 0)), ISNUMBER(MATCH(BX$1, AsistenciaJetAdminConcatenada!$B:$B, 0)), ISNUMBER(SEARCH($A52,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ISNUMBER(SEARCH($A52, INDEX(AsistenciaJetAdminConcatenada!$D:$D, MATCH(1, (AsistenciaJetAdminConcatenada!$A:$A=BX$2)*(AsistenciaJetAdminConcatenada!$B:$B=BX$1), 0)), 1))),  0.5, 0))</f>
        <v>0</v>
      </c>
      <c r="BY52" s="47">
        <f t="array" ref="BY52">IF(AND(ISNUMBER(MATCH(BY$2, AsistenciaJetAdminConcatenada!$A:$A, 0)), ISNUMBER(MATCH(BY$1, AsistenciaJetAdminConcatenada!$B:$B, 0)), ISNUMBER(SEARCH($A52,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ISNUMBER(SEARCH($A52, INDEX(AsistenciaJetAdminConcatenada!$D:$D, MATCH(1, (AsistenciaJetAdminConcatenada!$A:$A=BY$2)*(AsistenciaJetAdminConcatenada!$B:$B=BY$1), 0)), 1))),  0.5, 0))</f>
        <v>0</v>
      </c>
      <c r="BZ52" s="47">
        <f t="array" ref="BZ52">IF(AND(ISNUMBER(MATCH(BZ$2, AsistenciaJetAdminConcatenada!$A:$A, 0)), ISNUMBER(MATCH(BZ$1, AsistenciaJetAdminConcatenada!$B:$B, 0)), ISNUMBER(SEARCH($A52,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ISNUMBER(SEARCH($A52, INDEX(AsistenciaJetAdminConcatenada!$D:$D, MATCH(1, (AsistenciaJetAdminConcatenada!$A:$A=BZ$2)*(AsistenciaJetAdminConcatenada!$B:$B=BZ$1), 0)), 1))),  0.5, 0))</f>
        <v>1</v>
      </c>
      <c r="CA52" s="47">
        <f t="array" ref="CA52">IF(AND(ISNUMBER(MATCH(CA$2, AsistenciaJetAdminConcatenada!$A:$A, 0)), ISNUMBER(MATCH(CA$1, AsistenciaJetAdminConcatenada!$B:$B, 0)), ISNUMBER(SEARCH($A52,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ISNUMBER(SEARCH($A52, INDEX(AsistenciaJetAdminConcatenada!$D:$D, MATCH(1, (AsistenciaJetAdminConcatenada!$A:$A=CA$2)*(AsistenciaJetAdminConcatenada!$B:$B=CA$1), 0)), 1))),  0.5, 0))</f>
        <v>1</v>
      </c>
      <c r="CB52" s="47">
        <f t="array" ref="CB52">IF(AND(ISNUMBER(MATCH(CB$2, AsistenciaJetAdminConcatenada!$A:$A, 0)), ISNUMBER(MATCH(CB$1, AsistenciaJetAdminConcatenada!$B:$B, 0)), ISNUMBER(SEARCH($A52,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ISNUMBER(SEARCH($A52, INDEX(AsistenciaJetAdminConcatenada!$D:$D, MATCH(1, (AsistenciaJetAdminConcatenada!$A:$A=CB$2)*(AsistenciaJetAdminConcatenada!$B:$B=CB$1), 0)), 1))),  0.5, 0))</f>
        <v>0</v>
      </c>
      <c r="CC52" s="47">
        <f t="array" ref="CC52">IF(AND(ISNUMBER(MATCH(CC$2, AsistenciaJetAdminConcatenada!$A:$A, 0)), ISNUMBER(MATCH(CC$1, AsistenciaJetAdminConcatenada!$B:$B, 0)), ISNUMBER(SEARCH($A52,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ISNUMBER(SEARCH($A52, INDEX(AsistenciaJetAdminConcatenada!$D:$D, MATCH(1, (AsistenciaJetAdminConcatenada!$A:$A=CC$2)*(AsistenciaJetAdminConcatenada!$B:$B=CC$1), 0)), 1))),  0.5, 0))</f>
        <v>0</v>
      </c>
      <c r="CD52" s="47">
        <f t="array" ref="CD52">IF(AND(ISNUMBER(MATCH(CD$2, AsistenciaJetAdminConcatenada!$A:$A, 0)), ISNUMBER(MATCH(CD$1, AsistenciaJetAdminConcatenada!$B:$B, 0)), ISNUMBER(SEARCH($A52,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ISNUMBER(SEARCH($A52, INDEX(AsistenciaJetAdminConcatenada!$D:$D, MATCH(1, (AsistenciaJetAdminConcatenada!$A:$A=CD$2)*(AsistenciaJetAdminConcatenada!$B:$B=CD$1), 0)), 1))),  0.5, 0))</f>
        <v>0</v>
      </c>
      <c r="CE52" s="47">
        <f t="array" ref="CE52">IF(AND(ISNUMBER(MATCH(CE$2, AsistenciaJetAdminConcatenada!$A:$A, 0)), ISNUMBER(MATCH(CE$1, AsistenciaJetAdminConcatenada!$B:$B, 0)), ISNUMBER(SEARCH($A52,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ISNUMBER(SEARCH($A52, INDEX(AsistenciaJetAdminConcatenada!$D:$D, MATCH(1, (AsistenciaJetAdminConcatenada!$A:$A=CE$2)*(AsistenciaJetAdminConcatenada!$B:$B=CE$1), 0)), 1))),  0.5, 0))</f>
        <v>0</v>
      </c>
      <c r="CF52" s="47">
        <f t="array" ref="CF52">IF(AND(ISNUMBER(MATCH(CF$2, AsistenciaJetAdminConcatenada!$A:$A, 0)), ISNUMBER(MATCH(CF$1, AsistenciaJetAdminConcatenada!$B:$B, 0)), ISNUMBER(SEARCH($A52,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ISNUMBER(SEARCH($A52, INDEX(AsistenciaJetAdminConcatenada!$D:$D, MATCH(1, (AsistenciaJetAdminConcatenada!$A:$A=CF$2)*(AsistenciaJetAdminConcatenada!$B:$B=CF$1), 0)), 1))),  0.5, 0))</f>
        <v>0</v>
      </c>
      <c r="CG52" s="47">
        <f t="array" ref="CG52">IF(AND(ISNUMBER(MATCH(CG$2, AsistenciaJetAdminConcatenada!$A:$A, 0)), ISNUMBER(MATCH(CG$1, AsistenciaJetAdminConcatenada!$B:$B, 0)), ISNUMBER(SEARCH($A52,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ISNUMBER(SEARCH($A52, INDEX(AsistenciaJetAdminConcatenada!$D:$D, MATCH(1, (AsistenciaJetAdminConcatenada!$A:$A=CG$2)*(AsistenciaJetAdminConcatenada!$B:$B=CG$1), 0)), 1))),  0.5, 0))</f>
        <v>0</v>
      </c>
      <c r="CH52" s="47">
        <f t="array" ref="CH52">IF(AND(ISNUMBER(MATCH(CH$2, AsistenciaJetAdminConcatenada!$A:$A, 0)), ISNUMBER(MATCH(CH$1, AsistenciaJetAdminConcatenada!$B:$B, 0)), ISNUMBER(SEARCH($A52,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ISNUMBER(SEARCH($A52, INDEX(AsistenciaJetAdminConcatenada!$D:$D, MATCH(1, (AsistenciaJetAdminConcatenada!$A:$A=CH$2)*(AsistenciaJetAdminConcatenada!$B:$B=CH$1), 0)), 1))),  0.5, 0))</f>
        <v>0</v>
      </c>
      <c r="CI52" s="47">
        <f t="array" ref="CI52">IF(AND(ISNUMBER(MATCH(CI$2, AsistenciaJetAdminConcatenada!$A:$A, 0)), ISNUMBER(MATCH(CI$1, AsistenciaJetAdminConcatenada!$B:$B, 0)), ISNUMBER(SEARCH($A52,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ISNUMBER(SEARCH($A52, INDEX(AsistenciaJetAdminConcatenada!$D:$D, MATCH(1, (AsistenciaJetAdminConcatenada!$A:$A=CI$2)*(AsistenciaJetAdminConcatenada!$B:$B=CI$1), 0)), 1))),  0.5, 0))</f>
        <v>0</v>
      </c>
      <c r="CJ52" s="47">
        <f t="array" ref="CJ52">IF(AND(ISNUMBER(MATCH(CJ$2, AsistenciaJetAdminConcatenada!$A:$A, 0)), ISNUMBER(MATCH(CJ$1, AsistenciaJetAdminConcatenada!$B:$B, 0)), ISNUMBER(SEARCH($A52,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ISNUMBER(SEARCH($A52, INDEX(AsistenciaJetAdminConcatenada!$D:$D, MATCH(1, (AsistenciaJetAdminConcatenada!$A:$A=CJ$2)*(AsistenciaJetAdminConcatenada!$B:$B=CJ$1), 0)), 1))),  0.5, 0))</f>
        <v>1</v>
      </c>
      <c r="CK52" s="47">
        <f t="array" ref="CK52">IF(AND(ISNUMBER(MATCH(CK$2, AsistenciaJetAdminConcatenada!$A:$A, 0)), ISNUMBER(MATCH(CK$1, AsistenciaJetAdminConcatenada!$B:$B, 0)), ISNUMBER(SEARCH($A52,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ISNUMBER(SEARCH($A52, INDEX(AsistenciaJetAdminConcatenada!$D:$D, MATCH(1, (AsistenciaJetAdminConcatenada!$A:$A=CK$2)*(AsistenciaJetAdminConcatenada!$B:$B=CK$1), 0)), 1))),  0.5, 0))</f>
        <v>0</v>
      </c>
      <c r="CL52" s="47">
        <f t="array" ref="CL52">IF(AND(ISNUMBER(MATCH(CL$2, AsistenciaJetAdminConcatenada!$A:$A, 0)), ISNUMBER(MATCH(CL$1, AsistenciaJetAdminConcatenada!$B:$B, 0)), ISNUMBER(SEARCH($A52,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ISNUMBER(SEARCH($A52, INDEX(AsistenciaJetAdminConcatenada!$D:$D, MATCH(1, (AsistenciaJetAdminConcatenada!$A:$A=CL$2)*(AsistenciaJetAdminConcatenada!$B:$B=CL$1), 0)), 1))),  0.5, 0))</f>
        <v>1</v>
      </c>
      <c r="CM52" s="47">
        <f t="array" ref="CM52">IF(AND(ISNUMBER(MATCH(CM$2, AsistenciaJetAdminConcatenada!$A:$A, 0)), ISNUMBER(MATCH(CM$1, AsistenciaJetAdminConcatenada!$B:$B, 0)), ISNUMBER(SEARCH($A52,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ISNUMBER(SEARCH($A52, INDEX(AsistenciaJetAdminConcatenada!$D:$D, MATCH(1, (AsistenciaJetAdminConcatenada!$A:$A=CM$2)*(AsistenciaJetAdminConcatenada!$B:$B=CM$1), 0)), 1))),  0.5, 0))</f>
        <v>0.5</v>
      </c>
      <c r="CN52" s="47">
        <f t="array" ref="CN52">IF(AND(ISNUMBER(MATCH(CN$2, AsistenciaJetAdminConcatenada!$A:$A, 0)), ISNUMBER(MATCH(CN$1, AsistenciaJetAdminConcatenada!$B:$B, 0)), ISNUMBER(SEARCH($A52,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ISNUMBER(SEARCH($A52, INDEX(AsistenciaJetAdminConcatenada!$D:$D, MATCH(1, (AsistenciaJetAdminConcatenada!$A:$A=CN$2)*(AsistenciaJetAdminConcatenada!$B:$B=CN$1), 0)), 1))),  0.5, 0))</f>
        <v>0</v>
      </c>
      <c r="CO52" s="47">
        <f t="array" ref="CO52">IF(AND(ISNUMBER(MATCH(CO$2, AsistenciaJetAdminConcatenada!$A:$A, 0)), ISNUMBER(MATCH(CO$1, AsistenciaJetAdminConcatenada!$B:$B, 0)), ISNUMBER(SEARCH($A52,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ISNUMBER(SEARCH($A52, INDEX(AsistenciaJetAdminConcatenada!$D:$D, MATCH(1, (AsistenciaJetAdminConcatenada!$A:$A=CO$2)*(AsistenciaJetAdminConcatenada!$B:$B=CO$1), 0)), 1))),  0.5, 0))</f>
        <v>1</v>
      </c>
      <c r="CP52" s="47">
        <f t="array" ref="CP52">IF(AND(ISNUMBER(MATCH(CP$2, AsistenciaJetAdminConcatenada!$A:$A, 0)), ISNUMBER(MATCH(CP$1, AsistenciaJetAdminConcatenada!$B:$B, 0)), ISNUMBER(SEARCH($A52,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ISNUMBER(SEARCH($A52, INDEX(AsistenciaJetAdminConcatenada!$D:$D, MATCH(1, (AsistenciaJetAdminConcatenada!$A:$A=CP$2)*(AsistenciaJetAdminConcatenada!$B:$B=CP$1), 0)), 1))),  0.5, 0))</f>
        <v>0</v>
      </c>
      <c r="CQ52" s="47">
        <f t="array" ref="CQ52">IF(AND(ISNUMBER(MATCH(CQ$2, AsistenciaJetAdminConcatenada!$A:$A, 0)), ISNUMBER(MATCH(CQ$1, AsistenciaJetAdminConcatenada!$B:$B, 0)), ISNUMBER(SEARCH($A52,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ISNUMBER(SEARCH($A52, INDEX(AsistenciaJetAdminConcatenada!$D:$D, MATCH(1, (AsistenciaJetAdminConcatenada!$A:$A=CQ$2)*(AsistenciaJetAdminConcatenada!$B:$B=CQ$1), 0)), 1))),  0.5, 0))</f>
        <v>0</v>
      </c>
      <c r="CR52" s="47">
        <f t="array" ref="CR52">IF(AND(ISNUMBER(MATCH(CR$2, AsistenciaJetAdminConcatenada!$A:$A, 0)), ISNUMBER(MATCH(CR$1, AsistenciaJetAdminConcatenada!$B:$B, 0)), ISNUMBER(SEARCH($A52,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ISNUMBER(SEARCH($A52, INDEX(AsistenciaJetAdminConcatenada!$D:$D, MATCH(1, (AsistenciaJetAdminConcatenada!$A:$A=CR$2)*(AsistenciaJetAdminConcatenada!$B:$B=CR$1), 0)), 1))),  0.5, 0))</f>
        <v>1</v>
      </c>
      <c r="CS52" s="47">
        <f t="array" ref="CS52">IF(AND(ISNUMBER(MATCH(CS$2, AsistenciaJetAdminConcatenada!$A:$A, 0)), ISNUMBER(MATCH(CS$1, AsistenciaJetAdminConcatenada!$B:$B, 0)), ISNUMBER(SEARCH($A52,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ISNUMBER(SEARCH($A52, INDEX(AsistenciaJetAdminConcatenada!$D:$D, MATCH(1, (AsistenciaJetAdminConcatenada!$A:$A=CS$2)*(AsistenciaJetAdminConcatenada!$B:$B=CS$1), 0)), 1))),  0.5, 0))</f>
        <v>0</v>
      </c>
      <c r="CT52" s="47">
        <f t="array" ref="CT52">IF(AND(ISNUMBER(MATCH(CT$2, AsistenciaJetAdminConcatenada!$A:$A, 0)), ISNUMBER(MATCH(CT$1, AsistenciaJetAdminConcatenada!$B:$B, 0)), ISNUMBER(SEARCH($A52,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ISNUMBER(SEARCH($A52, INDEX(AsistenciaJetAdminConcatenada!$D:$D, MATCH(1, (AsistenciaJetAdminConcatenada!$A:$A=CT$2)*(AsistenciaJetAdminConcatenada!$B:$B=CT$1), 0)), 1))),  0.5, 0))</f>
        <v>0</v>
      </c>
      <c r="CU52" s="47">
        <f t="array" ref="CU52">IF(AND(ISNUMBER(MATCH(CU$2, AsistenciaJetAdminConcatenada!$A:$A, 0)), ISNUMBER(MATCH(CU$1, AsistenciaJetAdminConcatenada!$B:$B, 0)), ISNUMBER(SEARCH($A52,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ISNUMBER(SEARCH($A52, INDEX(AsistenciaJetAdminConcatenada!$D:$D, MATCH(1, (AsistenciaJetAdminConcatenada!$A:$A=CU$2)*(AsistenciaJetAdminConcatenada!$B:$B=CU$1), 0)), 1))),  0.5, 0))</f>
        <v>0</v>
      </c>
      <c r="CV52" s="47">
        <f t="array" ref="CV52">IF(AND(ISNUMBER(MATCH(CV$2, AsistenciaJetAdminConcatenada!$A:$A, 0)), ISNUMBER(MATCH(CV$1, AsistenciaJetAdminConcatenada!$B:$B, 0)), ISNUMBER(SEARCH($A52,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ISNUMBER(SEARCH($A52, INDEX(AsistenciaJetAdminConcatenada!$D:$D, MATCH(1, (AsistenciaJetAdminConcatenada!$A:$A=CV$2)*(AsistenciaJetAdminConcatenada!$B:$B=CV$1), 0)), 1))),  0.5, 0))</f>
        <v>0</v>
      </c>
      <c r="CW52" s="47">
        <f t="array" ref="CW52">IF(AND(ISNUMBER(MATCH(CW$2, AsistenciaJetAdminConcatenada!$A:$A, 0)), ISNUMBER(MATCH(CW$1, AsistenciaJetAdminConcatenada!$B:$B, 0)), ISNUMBER(SEARCH($A52,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ISNUMBER(SEARCH($A52, INDEX(AsistenciaJetAdminConcatenada!$D:$D, MATCH(1, (AsistenciaJetAdminConcatenada!$A:$A=CW$2)*(AsistenciaJetAdminConcatenada!$B:$B=CW$1), 0)), 1))),  0.5, 0))</f>
        <v>0</v>
      </c>
      <c r="CX52" s="47">
        <f t="array" ref="CX52">IF(AND(ISNUMBER(MATCH(CX$2, AsistenciaJetAdminConcatenada!$A:$A, 0)), ISNUMBER(MATCH(CX$1, AsistenciaJetAdminConcatenada!$B:$B, 0)), ISNUMBER(SEARCH($A52,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ISNUMBER(SEARCH($A52, INDEX(AsistenciaJetAdminConcatenada!$D:$D, MATCH(1, (AsistenciaJetAdminConcatenada!$A:$A=CX$2)*(AsistenciaJetAdminConcatenada!$B:$B=CX$1), 0)), 1))),  0.5, 0))</f>
        <v>0</v>
      </c>
      <c r="CY52" s="47">
        <f t="array" ref="CY52">IF(AND(ISNUMBER(MATCH(CY$2, AsistenciaJetAdminConcatenada!$A:$A, 0)), ISNUMBER(MATCH(CY$1, AsistenciaJetAdminConcatenada!$B:$B, 0)), ISNUMBER(SEARCH($A52,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ISNUMBER(SEARCH($A52, INDEX(AsistenciaJetAdminConcatenada!$D:$D, MATCH(1, (AsistenciaJetAdminConcatenada!$A:$A=CY$2)*(AsistenciaJetAdminConcatenada!$B:$B=CY$1), 0)), 1))),  0.5, 0))</f>
        <v>0</v>
      </c>
      <c r="CZ52" s="47">
        <f t="array" ref="CZ52">IF(AND(ISNUMBER(MATCH(CZ$2, AsistenciaJetAdminConcatenada!$A:$A, 0)), ISNUMBER(MATCH(CZ$1, AsistenciaJetAdminConcatenada!$B:$B, 0)), ISNUMBER(SEARCH($A52,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ISNUMBER(SEARCH($A52, INDEX(AsistenciaJetAdminConcatenada!$D:$D, MATCH(1, (AsistenciaJetAdminConcatenada!$A:$A=CZ$2)*(AsistenciaJetAdminConcatenada!$B:$B=CZ$1), 0)), 1))),  0.5, 0))</f>
        <v>0</v>
      </c>
      <c r="DA52" s="47">
        <f t="array" ref="DA52">IF(AND(ISNUMBER(MATCH(DA$2, AsistenciaJetAdminConcatenada!$A:$A, 0)), ISNUMBER(MATCH(DA$1, AsistenciaJetAdminConcatenada!$B:$B, 0)), ISNUMBER(SEARCH($A52,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ISNUMBER(SEARCH($A52, INDEX(AsistenciaJetAdminConcatenada!$D:$D, MATCH(1, (AsistenciaJetAdminConcatenada!$A:$A=DA$2)*(AsistenciaJetAdminConcatenada!$B:$B=DA$1), 0)), 1))),  0.5, 0))</f>
        <v>0</v>
      </c>
      <c r="DB52" s="47">
        <f t="array" ref="DB52">IF(AND(ISNUMBER(MATCH(DB$2, AsistenciaJetAdminConcatenada!$A:$A, 0)), ISNUMBER(MATCH(DB$1, AsistenciaJetAdminConcatenada!$B:$B, 0)), ISNUMBER(SEARCH($A52,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ISNUMBER(SEARCH($A52, INDEX(AsistenciaJetAdminConcatenada!$D:$D, MATCH(1, (AsistenciaJetAdminConcatenada!$A:$A=DB$2)*(AsistenciaJetAdminConcatenada!$B:$B=DB$1), 0)), 1))),  0.5, 0))</f>
        <v>0</v>
      </c>
      <c r="DC52" s="47">
        <f t="array" ref="DC52">IF(AND(ISNUMBER(MATCH(DC$2, AsistenciaJetAdminConcatenada!$A:$A, 0)), ISNUMBER(MATCH(DC$1, AsistenciaJetAdminConcatenada!$B:$B, 0)), ISNUMBER(SEARCH($A52,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ISNUMBER(SEARCH($A52, INDEX(AsistenciaJetAdminConcatenada!$D:$D, MATCH(1, (AsistenciaJetAdminConcatenada!$A:$A=DC$2)*(AsistenciaJetAdminConcatenada!$B:$B=DC$1), 0)), 1))),  0.5, 0))</f>
        <v>0</v>
      </c>
      <c r="DD52" s="47">
        <f t="array" ref="DD52">IF(AND(ISNUMBER(MATCH(DD$2, AsistenciaJetAdminConcatenada!$A:$A, 0)), ISNUMBER(MATCH(DD$1, AsistenciaJetAdminConcatenada!$B:$B, 0)), ISNUMBER(SEARCH($A52,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ISNUMBER(SEARCH($A52, INDEX(AsistenciaJetAdminConcatenada!$D:$D, MATCH(1, (AsistenciaJetAdminConcatenada!$A:$A=DD$2)*(AsistenciaJetAdminConcatenada!$B:$B=DD$1), 0)), 1))),  0.5, 0))</f>
        <v>0</v>
      </c>
      <c r="DE52" s="47">
        <f t="array" ref="DE52">IF(AND(ISNUMBER(MATCH(DE$2, AsistenciaJetAdminConcatenada!$A:$A, 0)), ISNUMBER(MATCH(DE$1, AsistenciaJetAdminConcatenada!$B:$B, 0)), ISNUMBER(SEARCH($A52,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ISNUMBER(SEARCH($A52, INDEX(AsistenciaJetAdminConcatenada!$D:$D, MATCH(1, (AsistenciaJetAdminConcatenada!$A:$A=DE$2)*(AsistenciaJetAdminConcatenada!$B:$B=DE$1), 0)), 1))),  0.5, 0))</f>
        <v>0</v>
      </c>
      <c r="DF52" s="47">
        <f t="array" ref="DF52">IF(AND(ISNUMBER(MATCH(DF$2, AsistenciaJetAdminConcatenada!$A:$A, 0)), ISNUMBER(MATCH(DF$1, AsistenciaJetAdminConcatenada!$B:$B, 0)), ISNUMBER(SEARCH($A52,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ISNUMBER(SEARCH($A52, INDEX(AsistenciaJetAdminConcatenada!$D:$D, MATCH(1, (AsistenciaJetAdminConcatenada!$A:$A=DF$2)*(AsistenciaJetAdminConcatenada!$B:$B=DF$1), 0)), 1))),  0.5, 0))</f>
        <v>0</v>
      </c>
      <c r="DG52" s="47">
        <f t="array" ref="DG52">IF(AND(ISNUMBER(MATCH(DG$2, AsistenciaJetAdminConcatenada!$A:$A, 0)), ISNUMBER(MATCH(DG$1, AsistenciaJetAdminConcatenada!$B:$B, 0)), ISNUMBER(SEARCH($A52,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ISNUMBER(SEARCH($A52, INDEX(AsistenciaJetAdminConcatenada!$D:$D, MATCH(1, (AsistenciaJetAdminConcatenada!$A:$A=DG$2)*(AsistenciaJetAdminConcatenada!$B:$B=DG$1), 0)), 1))),  0.5, 0))</f>
        <v>0</v>
      </c>
      <c r="DH52" s="47">
        <f t="array" ref="DH52">IF(AND(ISNUMBER(MATCH(DH$2, AsistenciaJetAdminConcatenada!$A:$A, 0)), ISNUMBER(MATCH(DH$1, AsistenciaJetAdminConcatenada!$B:$B, 0)), ISNUMBER(SEARCH($A52,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ISNUMBER(SEARCH($A52, INDEX(AsistenciaJetAdminConcatenada!$D:$D, MATCH(1, (AsistenciaJetAdminConcatenada!$A:$A=DH$2)*(AsistenciaJetAdminConcatenada!$B:$B=DH$1), 0)), 1))),  0.5, 0))</f>
        <v>0</v>
      </c>
      <c r="DI52" s="47">
        <f t="array" ref="DI52">IF(AND(ISNUMBER(MATCH(DI$2, AsistenciaJetAdminConcatenada!$A:$A, 0)), ISNUMBER(MATCH(DI$1, AsistenciaJetAdminConcatenada!$B:$B, 0)), ISNUMBER(SEARCH($A52,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ISNUMBER(SEARCH($A52, INDEX(AsistenciaJetAdminConcatenada!$D:$D, MATCH(1, (AsistenciaJetAdminConcatenada!$A:$A=DI$2)*(AsistenciaJetAdminConcatenada!$B:$B=DI$1), 0)), 1))),  0.5, 0))</f>
        <v>0</v>
      </c>
      <c r="DJ52" s="47">
        <f t="array" ref="DJ52">IF(AND(ISNUMBER(MATCH(DJ$2, AsistenciaJetAdminConcatenada!$A:$A, 0)), ISNUMBER(MATCH(DJ$1, AsistenciaJetAdminConcatenada!$B:$B, 0)), ISNUMBER(SEARCH($A52,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ISNUMBER(SEARCH($A52, INDEX(AsistenciaJetAdminConcatenada!$D:$D, MATCH(1, (AsistenciaJetAdminConcatenada!$A:$A=DJ$2)*(AsistenciaJetAdminConcatenada!$B:$B=DJ$1), 0)), 1))),  0.5, 0))</f>
        <v>0</v>
      </c>
      <c r="DK52" s="47">
        <f t="array" ref="DK52">IF(AND(ISNUMBER(MATCH(DK$2, AsistenciaJetAdminConcatenada!$A:$A, 0)), ISNUMBER(MATCH(DK$1, AsistenciaJetAdminConcatenada!$B:$B, 0)), ISNUMBER(SEARCH($A52,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ISNUMBER(SEARCH($A52, INDEX(AsistenciaJetAdminConcatenada!$D:$D, MATCH(1, (AsistenciaJetAdminConcatenada!$A:$A=DK$2)*(AsistenciaJetAdminConcatenada!$B:$B=DK$1), 0)), 1))),  0.5, 0))</f>
        <v>0</v>
      </c>
      <c r="DL52" s="47">
        <f t="array" ref="DL52">IF(AND(ISNUMBER(MATCH(DL$2, AsistenciaJetAdminConcatenada!$A:$A, 0)), ISNUMBER(MATCH(DL$1, AsistenciaJetAdminConcatenada!$B:$B, 0)), ISNUMBER(SEARCH($A52,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ISNUMBER(SEARCH($A52, INDEX(AsistenciaJetAdminConcatenada!$D:$D, MATCH(1, (AsistenciaJetAdminConcatenada!$A:$A=DL$2)*(AsistenciaJetAdminConcatenada!$B:$B=DL$1), 0)), 1))),  0.5, 0))</f>
        <v>0</v>
      </c>
      <c r="DM52" s="47">
        <f t="array" ref="DM52">IF(AND(ISNUMBER(MATCH(DM$2, AsistenciaJetAdminConcatenada!$A:$A, 0)), ISNUMBER(MATCH(DM$1, AsistenciaJetAdminConcatenada!$B:$B, 0)), ISNUMBER(SEARCH($A52,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ISNUMBER(SEARCH($A52, INDEX(AsistenciaJetAdminConcatenada!$D:$D, MATCH(1, (AsistenciaJetAdminConcatenada!$A:$A=DM$2)*(AsistenciaJetAdminConcatenada!$B:$B=DM$1), 0)), 1))),  0.5, 0))</f>
        <v>0</v>
      </c>
      <c r="DN52" s="47">
        <f t="array" ref="DN52">IF(AND(ISNUMBER(MATCH(DN$2, AsistenciaJetAdminConcatenada!$A:$A, 0)), ISNUMBER(MATCH(DN$1, AsistenciaJetAdminConcatenada!$B:$B, 0)), ISNUMBER(SEARCH($A52,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ISNUMBER(SEARCH($A52, INDEX(AsistenciaJetAdminConcatenada!$D:$D, MATCH(1, (AsistenciaJetAdminConcatenada!$A:$A=DN$2)*(AsistenciaJetAdminConcatenada!$B:$B=DN$1), 0)), 1))),  0.5, 0))</f>
        <v>0</v>
      </c>
      <c r="DO52" s="47">
        <f t="array" ref="DO52">IF(AND(ISNUMBER(MATCH(DO$2, AsistenciaJetAdminConcatenada!$A:$A, 0)), ISNUMBER(MATCH(DO$1, AsistenciaJetAdminConcatenada!$B:$B, 0)), ISNUMBER(SEARCH($A52,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ISNUMBER(SEARCH($A52, INDEX(AsistenciaJetAdminConcatenada!$D:$D, MATCH(1, (AsistenciaJetAdminConcatenada!$A:$A=DO$2)*(AsistenciaJetAdminConcatenada!$B:$B=DO$1), 0)), 1))),  0.5, 0))</f>
        <v>0</v>
      </c>
      <c r="DP52" s="47">
        <f t="array" ref="DP52">IF(AND(ISNUMBER(MATCH(DP$2, AsistenciaJetAdminConcatenada!$A:$A, 0)), ISNUMBER(MATCH(DP$1, AsistenciaJetAdminConcatenada!$B:$B, 0)), ISNUMBER(SEARCH($A52,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ISNUMBER(SEARCH($A52, INDEX(AsistenciaJetAdminConcatenada!$D:$D, MATCH(1, (AsistenciaJetAdminConcatenada!$A:$A=DP$2)*(AsistenciaJetAdminConcatenada!$B:$B=DP$1), 0)), 1))),  0.5, 0))</f>
        <v>0</v>
      </c>
      <c r="DQ52" s="47">
        <f t="array" ref="DQ52">IF(AND(ISNUMBER(MATCH(DQ$2, AsistenciaJetAdminConcatenada!$A:$A, 0)), ISNUMBER(MATCH(DQ$1, AsistenciaJetAdminConcatenada!$B:$B, 0)), ISNUMBER(SEARCH($A52,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ISNUMBER(SEARCH($A52, INDEX(AsistenciaJetAdminConcatenada!$D:$D, MATCH(1, (AsistenciaJetAdminConcatenada!$A:$A=DQ$2)*(AsistenciaJetAdminConcatenada!$B:$B=DQ$1), 0)), 1))),  0.5, 0))</f>
        <v>0</v>
      </c>
      <c r="DR52" s="47">
        <f t="array" ref="DR52">IF(AND(ISNUMBER(MATCH(DR$2, AsistenciaJetAdminConcatenada!$A:$A, 0)), ISNUMBER(MATCH(DR$1, AsistenciaJetAdminConcatenada!$B:$B, 0)), ISNUMBER(SEARCH($A52,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ISNUMBER(SEARCH($A52, INDEX(AsistenciaJetAdminConcatenada!$D:$D, MATCH(1, (AsistenciaJetAdminConcatenada!$A:$A=DR$2)*(AsistenciaJetAdminConcatenada!$B:$B=DR$1), 0)), 1))),  0.5, 0))</f>
        <v>0</v>
      </c>
      <c r="DS52" s="47">
        <f t="array" ref="DS52">IF(AND(ISNUMBER(MATCH(DS$2, AsistenciaJetAdminConcatenada!$A:$A, 0)), ISNUMBER(MATCH(DS$1, AsistenciaJetAdminConcatenada!$B:$B, 0)), ISNUMBER(SEARCH($A52,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ISNUMBER(SEARCH($A52, INDEX(AsistenciaJetAdminConcatenada!$D:$D, MATCH(1, (AsistenciaJetAdminConcatenada!$A:$A=DS$2)*(AsistenciaJetAdminConcatenada!$B:$B=DS$1), 0)), 1))),  0.5, 0))</f>
        <v>0</v>
      </c>
      <c r="DT52" s="47">
        <f t="array" ref="DT52">IF(AND(ISNUMBER(MATCH(DT$2, AsistenciaJetAdminConcatenada!$A:$A, 0)), ISNUMBER(MATCH(DT$1, AsistenciaJetAdminConcatenada!$B:$B, 0)), ISNUMBER(SEARCH($A52,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ISNUMBER(SEARCH($A52, INDEX(AsistenciaJetAdminConcatenada!$D:$D, MATCH(1, (AsistenciaJetAdminConcatenada!$A:$A=DT$2)*(AsistenciaJetAdminConcatenada!$B:$B=DT$1), 0)), 1))),  0.5, 0))</f>
        <v>0</v>
      </c>
      <c r="DU52" s="47">
        <f t="array" ref="DU52">IF(AND(ISNUMBER(MATCH(DU$2, AsistenciaJetAdminConcatenada!$A:$A, 0)), ISNUMBER(MATCH(DU$1, AsistenciaJetAdminConcatenada!$B:$B, 0)), ISNUMBER(SEARCH($A52,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ISNUMBER(SEARCH($A52, INDEX(AsistenciaJetAdminConcatenada!$D:$D, MATCH(1, (AsistenciaJetAdminConcatenada!$A:$A=DU$2)*(AsistenciaJetAdminConcatenada!$B:$B=DU$1), 0)), 1))),  0.5, 0))</f>
        <v>0</v>
      </c>
      <c r="DV52" s="47">
        <f t="array" ref="DV52">IF(AND(ISNUMBER(MATCH(DV$2, AsistenciaJetAdminConcatenada!$A:$A, 0)), ISNUMBER(MATCH(DV$1, AsistenciaJetAdminConcatenada!$B:$B, 0)), ISNUMBER(SEARCH($A52,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ISNUMBER(SEARCH($A52, INDEX(AsistenciaJetAdminConcatenada!$D:$D, MATCH(1, (AsistenciaJetAdminConcatenada!$A:$A=DV$2)*(AsistenciaJetAdminConcatenada!$B:$B=DV$1), 0)), 1))),  0.5, 0))</f>
        <v>0</v>
      </c>
      <c r="DW52" s="47">
        <f t="array" ref="DW52">IF(AND(ISNUMBER(MATCH(DW$2, AsistenciaJetAdminConcatenada!$A:$A, 0)), ISNUMBER(MATCH(DW$1, AsistenciaJetAdminConcatenada!$B:$B, 0)), ISNUMBER(SEARCH($A52,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ISNUMBER(SEARCH($A52, INDEX(AsistenciaJetAdminConcatenada!$D:$D, MATCH(1, (AsistenciaJetAdminConcatenada!$A:$A=DW$2)*(AsistenciaJetAdminConcatenada!$B:$B=DW$1), 0)), 1))),  0.5, 0))</f>
        <v>0</v>
      </c>
      <c r="DX52" s="47">
        <f t="array" ref="DX52">IF(AND(ISNUMBER(MATCH(DX$2, AsistenciaJetAdminConcatenada!$A:$A, 0)), ISNUMBER(MATCH(DX$1, AsistenciaJetAdminConcatenada!$B:$B, 0)), ISNUMBER(SEARCH($A52,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ISNUMBER(SEARCH($A52, INDEX(AsistenciaJetAdminConcatenada!$D:$D, MATCH(1, (AsistenciaJetAdminConcatenada!$A:$A=DX$2)*(AsistenciaJetAdminConcatenada!$B:$B=DX$1), 0)), 1))),  0.5, 0))</f>
        <v>0</v>
      </c>
      <c r="DY52" s="47">
        <f t="array" ref="DY52">IF(AND(ISNUMBER(MATCH(DY$2, AsistenciaJetAdminConcatenada!$A:$A, 0)), ISNUMBER(MATCH(DY$1, AsistenciaJetAdminConcatenada!$B:$B, 0)), ISNUMBER(SEARCH($A52,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ISNUMBER(SEARCH($A52, INDEX(AsistenciaJetAdminConcatenada!$D:$D, MATCH(1, (AsistenciaJetAdminConcatenada!$A:$A=DY$2)*(AsistenciaJetAdminConcatenada!$B:$B=DY$1), 0)), 1))),  0.5, 0))</f>
        <v>0</v>
      </c>
      <c r="DZ52" s="47">
        <f t="array" ref="DZ52">IF(AND(ISNUMBER(MATCH(DZ$2, AsistenciaJetAdminConcatenada!$A:$A, 0)), ISNUMBER(MATCH(DZ$1, AsistenciaJetAdminConcatenada!$B:$B, 0)), ISNUMBER(SEARCH($A52,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ISNUMBER(SEARCH($A52, INDEX(AsistenciaJetAdminConcatenada!$D:$D, MATCH(1, (AsistenciaJetAdminConcatenada!$A:$A=DZ$2)*(AsistenciaJetAdminConcatenada!$B:$B=DZ$1), 0)), 1))),  0.5, 0))</f>
        <v>0</v>
      </c>
      <c r="EA52" s="47">
        <f t="array" ref="EA52">IF(AND(ISNUMBER(MATCH(EA$2, AsistenciaJetAdminConcatenada!$A:$A, 0)), ISNUMBER(MATCH(EA$1, AsistenciaJetAdminConcatenada!$B:$B, 0)), ISNUMBER(SEARCH($A52,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ISNUMBER(SEARCH($A52, INDEX(AsistenciaJetAdminConcatenada!$D:$D, MATCH(1, (AsistenciaJetAdminConcatenada!$A:$A=EA$2)*(AsistenciaJetAdminConcatenada!$B:$B=EA$1), 0)), 1))),  0.5, 0))</f>
        <v>0</v>
      </c>
      <c r="EB52" s="47">
        <f t="array" ref="EB52">IF(AND(ISNUMBER(MATCH(EB$2, AsistenciaJetAdminConcatenada!$A:$A, 0)), ISNUMBER(MATCH(EB$1, AsistenciaJetAdminConcatenada!$B:$B, 0)), ISNUMBER(SEARCH($A52,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ISNUMBER(SEARCH($A52, INDEX(AsistenciaJetAdminConcatenada!$D:$D, MATCH(1, (AsistenciaJetAdminConcatenada!$A:$A=EB$2)*(AsistenciaJetAdminConcatenada!$B:$B=EB$1), 0)), 1))),  0.5, 0))</f>
        <v>0</v>
      </c>
      <c r="EC52" s="47">
        <f t="array" ref="EC52">IF(AND(ISNUMBER(MATCH(EC$2, AsistenciaJetAdminConcatenada!$A:$A, 0)), ISNUMBER(MATCH(EC$1, AsistenciaJetAdminConcatenada!$B:$B, 0)), ISNUMBER(SEARCH($A52,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ISNUMBER(SEARCH($A52, INDEX(AsistenciaJetAdminConcatenada!$D:$D, MATCH(1, (AsistenciaJetAdminConcatenada!$A:$A=EC$2)*(AsistenciaJetAdminConcatenada!$B:$B=EC$1), 0)), 1))),  0.5, 0))</f>
        <v>0</v>
      </c>
      <c r="ED52" s="47">
        <f t="array" ref="ED52">IF(AND(ISNUMBER(MATCH(ED$2, AsistenciaJetAdminConcatenada!$A:$A, 0)), ISNUMBER(MATCH(ED$1, AsistenciaJetAdminConcatenada!$B:$B, 0)), ISNUMBER(SEARCH($A52,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ISNUMBER(SEARCH($A52, INDEX(AsistenciaJetAdminConcatenada!$D:$D, MATCH(1, (AsistenciaJetAdminConcatenada!$A:$A=ED$2)*(AsistenciaJetAdminConcatenada!$B:$B=ED$1), 0)), 1))),  0.5, 0))</f>
        <v>0</v>
      </c>
      <c r="EE52" s="47">
        <f t="array" ref="EE52">IF(AND(ISNUMBER(MATCH(EE$2, AsistenciaJetAdminConcatenada!$A:$A, 0)), ISNUMBER(MATCH(EE$1, AsistenciaJetAdminConcatenada!$B:$B, 0)), ISNUMBER(SEARCH($A52,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ISNUMBER(SEARCH($A52, INDEX(AsistenciaJetAdminConcatenada!$D:$D, MATCH(1, (AsistenciaJetAdminConcatenada!$A:$A=EE$2)*(AsistenciaJetAdminConcatenada!$B:$B=EE$1), 0)), 1))),  0.5, 0))</f>
        <v>0</v>
      </c>
      <c r="EF52" s="47">
        <f t="array" ref="EF52">IF(AND(ISNUMBER(MATCH(EF$2, AsistenciaJetAdminConcatenada!$A:$A, 0)), ISNUMBER(MATCH(EF$1, AsistenciaJetAdminConcatenada!$B:$B, 0)), ISNUMBER(SEARCH($A52,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ISNUMBER(SEARCH($A52, INDEX(AsistenciaJetAdminConcatenada!$D:$D, MATCH(1, (AsistenciaJetAdminConcatenada!$A:$A=EF$2)*(AsistenciaJetAdminConcatenada!$B:$B=EF$1), 0)), 1))),  0.5, 0))</f>
        <v>0</v>
      </c>
      <c r="EG52" s="47">
        <f t="array" ref="EG52">IF(AND(ISNUMBER(MATCH(EG$2, AsistenciaJetAdminConcatenada!$A:$A, 0)), ISNUMBER(MATCH(EG$1, AsistenciaJetAdminConcatenada!$B:$B, 0)), ISNUMBER(SEARCH($A52,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ISNUMBER(SEARCH($A52, INDEX(AsistenciaJetAdminConcatenada!$D:$D, MATCH(1, (AsistenciaJetAdminConcatenada!$A:$A=EG$2)*(AsistenciaJetAdminConcatenada!$B:$B=EG$1), 0)), 1))),  0.5, 0))</f>
        <v>0</v>
      </c>
      <c r="EH52" s="47">
        <f t="array" ref="EH52">IF(AND(ISNUMBER(MATCH(EH$2, AsistenciaJetAdminConcatenada!$A:$A, 0)), ISNUMBER(MATCH(EH$1, AsistenciaJetAdminConcatenada!$B:$B, 0)), ISNUMBER(SEARCH($A52,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ISNUMBER(SEARCH($A52, INDEX(AsistenciaJetAdminConcatenada!$D:$D, MATCH(1, (AsistenciaJetAdminConcatenada!$A:$A=EH$2)*(AsistenciaJetAdminConcatenada!$B:$B=EH$1), 0)), 1))),  0.5, 0))</f>
        <v>0</v>
      </c>
      <c r="EI52" s="47">
        <f t="array" ref="EI52">IF(AND(ISNUMBER(MATCH(EI$2, AsistenciaJetAdminConcatenada!$A:$A, 0)), ISNUMBER(MATCH(EI$1, AsistenciaJetAdminConcatenada!$B:$B, 0)), ISNUMBER(SEARCH($A52,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ISNUMBER(SEARCH($A52, INDEX(AsistenciaJetAdminConcatenada!$D:$D, MATCH(1, (AsistenciaJetAdminConcatenada!$A:$A=EI$2)*(AsistenciaJetAdminConcatenada!$B:$B=EI$1), 0)), 1))),  0.5, 0))</f>
        <v>0</v>
      </c>
      <c r="EJ52" s="47">
        <f t="array" ref="EJ52">IF(AND(ISNUMBER(MATCH(EJ$2, AsistenciaJetAdminConcatenada!$A:$A, 0)), ISNUMBER(MATCH(EJ$1, AsistenciaJetAdminConcatenada!$B:$B, 0)), ISNUMBER(SEARCH($A52,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ISNUMBER(SEARCH($A52, INDEX(AsistenciaJetAdminConcatenada!$D:$D, MATCH(1, (AsistenciaJetAdminConcatenada!$A:$A=EJ$2)*(AsistenciaJetAdminConcatenada!$B:$B=EJ$1), 0)), 1))),  0.5, 0))</f>
        <v>0</v>
      </c>
      <c r="EK52" s="47">
        <f t="array" ref="EK52">IF(AND(ISNUMBER(MATCH(EK$2, AsistenciaJetAdminConcatenada!$A:$A, 0)), ISNUMBER(MATCH(EK$1, AsistenciaJetAdminConcatenada!$B:$B, 0)), ISNUMBER(SEARCH($A52,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ISNUMBER(SEARCH($A52, INDEX(AsistenciaJetAdminConcatenada!$D:$D, MATCH(1, (AsistenciaJetAdminConcatenada!$A:$A=EK$2)*(AsistenciaJetAdminConcatenada!$B:$B=EK$1), 0)), 1))),  0.5, 0))</f>
        <v>0</v>
      </c>
      <c r="EL52" s="47">
        <f t="array" ref="EL52">IF(AND(ISNUMBER(MATCH(EL$2, AsistenciaJetAdminConcatenada!$A:$A, 0)), ISNUMBER(MATCH(EL$1, AsistenciaJetAdminConcatenada!$B:$B, 0)), ISNUMBER(SEARCH($A52,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ISNUMBER(SEARCH($A52, INDEX(AsistenciaJetAdminConcatenada!$D:$D, MATCH(1, (AsistenciaJetAdminConcatenada!$A:$A=EL$2)*(AsistenciaJetAdminConcatenada!$B:$B=EL$1), 0)), 1))),  0.5, 0))</f>
        <v>0</v>
      </c>
      <c r="EM52" s="47">
        <f t="array" ref="EM52">IF(AND(ISNUMBER(MATCH(EM$2, AsistenciaJetAdminConcatenada!$A:$A, 0)), ISNUMBER(MATCH(EM$1, AsistenciaJetAdminConcatenada!$B:$B, 0)), ISNUMBER(SEARCH($A52,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ISNUMBER(SEARCH($A52, INDEX(AsistenciaJetAdminConcatenada!$D:$D, MATCH(1, (AsistenciaJetAdminConcatenada!$A:$A=EM$2)*(AsistenciaJetAdminConcatenada!$B:$B=EM$1), 0)), 1))),  0.5, 0))</f>
        <v>0</v>
      </c>
      <c r="EN52" s="47">
        <f t="array" ref="EN52">IF(AND(ISNUMBER(MATCH(EN$2, AsistenciaJetAdminConcatenada!$A:$A, 0)), ISNUMBER(MATCH(EN$1, AsistenciaJetAdminConcatenada!$B:$B, 0)), ISNUMBER(SEARCH($A52,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ISNUMBER(SEARCH($A52, INDEX(AsistenciaJetAdminConcatenada!$D:$D, MATCH(1, (AsistenciaJetAdminConcatenada!$A:$A=EN$2)*(AsistenciaJetAdminConcatenada!$B:$B=EN$1), 0)), 1))),  0.5, 0))</f>
        <v>0</v>
      </c>
      <c r="EO52" s="47">
        <f t="array" ref="EO52">IF(AND(ISNUMBER(MATCH(EO$2, AsistenciaJetAdminConcatenada!$A:$A, 0)), ISNUMBER(MATCH(EO$1, AsistenciaJetAdminConcatenada!$B:$B, 0)), ISNUMBER(SEARCH($A52,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ISNUMBER(SEARCH($A52, INDEX(AsistenciaJetAdminConcatenada!$D:$D, MATCH(1, (AsistenciaJetAdminConcatenada!$A:$A=EO$2)*(AsistenciaJetAdminConcatenada!$B:$B=EO$1), 0)), 1))),  0.5, 0))</f>
        <v>0</v>
      </c>
      <c r="EP52" s="47">
        <f t="array" ref="EP52">IF(AND(ISNUMBER(MATCH(EP$2, AsistenciaJetAdminConcatenada!$A:$A, 0)), ISNUMBER(MATCH(EP$1, AsistenciaJetAdminConcatenada!$B:$B, 0)), ISNUMBER(SEARCH($A52,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ISNUMBER(SEARCH($A52, INDEX(AsistenciaJetAdminConcatenada!$D:$D, MATCH(1, (AsistenciaJetAdminConcatenada!$A:$A=EP$2)*(AsistenciaJetAdminConcatenada!$B:$B=EP$1), 0)), 1))),  0.5, 0))</f>
        <v>0</v>
      </c>
      <c r="EQ52" s="47">
        <f t="array" ref="EQ52">IF(AND(ISNUMBER(MATCH(EQ$2, AsistenciaJetAdminConcatenada!$A:$A, 0)), ISNUMBER(MATCH(EQ$1, AsistenciaJetAdminConcatenada!$B:$B, 0)), ISNUMBER(SEARCH($A52,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ISNUMBER(SEARCH($A52, INDEX(AsistenciaJetAdminConcatenada!$D:$D, MATCH(1, (AsistenciaJetAdminConcatenada!$A:$A=EQ$2)*(AsistenciaJetAdminConcatenada!$B:$B=EQ$1), 0)), 1))),  0.5, 0))</f>
        <v>0</v>
      </c>
      <c r="ER52" s="47">
        <f t="array" ref="ER52">IF(AND(ISNUMBER(MATCH(ER$2, AsistenciaJetAdminConcatenada!$A:$A, 0)), ISNUMBER(MATCH(ER$1, AsistenciaJetAdminConcatenada!$B:$B, 0)), ISNUMBER(SEARCH($A52,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ISNUMBER(SEARCH($A52, INDEX(AsistenciaJetAdminConcatenada!$D:$D, MATCH(1, (AsistenciaJetAdminConcatenada!$A:$A=ER$2)*(AsistenciaJetAdminConcatenada!$B:$B=ER$1), 0)), 1))),  0.5, 0))</f>
        <v>0</v>
      </c>
      <c r="ES52" s="47">
        <f t="array" ref="ES52">IF(AND(ISNUMBER(MATCH(ES$2, AsistenciaJetAdminConcatenada!$A:$A, 0)), ISNUMBER(MATCH(ES$1, AsistenciaJetAdminConcatenada!$B:$B, 0)), ISNUMBER(SEARCH($A52,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ISNUMBER(SEARCH($A52, INDEX(AsistenciaJetAdminConcatenada!$D:$D, MATCH(1, (AsistenciaJetAdminConcatenada!$A:$A=ES$2)*(AsistenciaJetAdminConcatenada!$B:$B=ES$1), 0)), 1))),  0.5, 0))</f>
        <v>0</v>
      </c>
      <c r="ET52" s="47">
        <f t="array" ref="ET52">IF(AND(ISNUMBER(MATCH(ET$2, AsistenciaJetAdminConcatenada!$A:$A, 0)), ISNUMBER(MATCH(ET$1, AsistenciaJetAdminConcatenada!$B:$B, 0)), ISNUMBER(SEARCH($A52,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ISNUMBER(SEARCH($A52, INDEX(AsistenciaJetAdminConcatenada!$D:$D, MATCH(1, (AsistenciaJetAdminConcatenada!$A:$A=ET$2)*(AsistenciaJetAdminConcatenada!$B:$B=ET$1), 0)), 1))),  0.5, 0))</f>
        <v>0</v>
      </c>
      <c r="EU52" s="47">
        <f t="array" ref="EU52">IF(AND(ISNUMBER(MATCH(EU$2, AsistenciaJetAdminConcatenada!$A:$A, 0)), ISNUMBER(MATCH(EU$1, AsistenciaJetAdminConcatenada!$B:$B, 0)), ISNUMBER(SEARCH($A52,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ISNUMBER(SEARCH($A52, INDEX(AsistenciaJetAdminConcatenada!$D:$D, MATCH(1, (AsistenciaJetAdminConcatenada!$A:$A=EU$2)*(AsistenciaJetAdminConcatenada!$B:$B=EU$1), 0)), 1))),  0.5, 0))</f>
        <v>0</v>
      </c>
      <c r="EV52" s="47">
        <f t="array" ref="EV52">IF(AND(ISNUMBER(MATCH(EV$2, AsistenciaJetAdminConcatenada!$A:$A, 0)), ISNUMBER(MATCH(EV$1, AsistenciaJetAdminConcatenada!$B:$B, 0)), ISNUMBER(SEARCH($A52,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ISNUMBER(SEARCH($A52, INDEX(AsistenciaJetAdminConcatenada!$D:$D, MATCH(1, (AsistenciaJetAdminConcatenada!$A:$A=EV$2)*(AsistenciaJetAdminConcatenada!$B:$B=EV$1), 0)), 1))),  0.5, 0))</f>
        <v>0</v>
      </c>
      <c r="EW52" s="47">
        <f t="array" ref="EW52">IF(AND(ISNUMBER(MATCH(EW$2, AsistenciaJetAdminConcatenada!$A:$A, 0)), ISNUMBER(MATCH(EW$1, AsistenciaJetAdminConcatenada!$B:$B, 0)), ISNUMBER(SEARCH($A52,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ISNUMBER(SEARCH($A52, INDEX(AsistenciaJetAdminConcatenada!$D:$D, MATCH(1, (AsistenciaJetAdminConcatenada!$A:$A=EW$2)*(AsistenciaJetAdminConcatenada!$B:$B=EW$1), 0)), 1))),  0.5, 0))</f>
        <v>0</v>
      </c>
      <c r="EX52" s="47">
        <f t="array" ref="EX52">IF(AND(ISNUMBER(MATCH(EX$2, AsistenciaJetAdminConcatenada!$A:$A, 0)), ISNUMBER(MATCH(EX$1, AsistenciaJetAdminConcatenada!$B:$B, 0)), ISNUMBER(SEARCH($A52,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ISNUMBER(SEARCH($A52, INDEX(AsistenciaJetAdminConcatenada!$D:$D, MATCH(1, (AsistenciaJetAdminConcatenada!$A:$A=EX$2)*(AsistenciaJetAdminConcatenada!$B:$B=EX$1), 0)), 1))),  0.5, 0))</f>
        <v>0</v>
      </c>
      <c r="EY52" s="47">
        <f t="array" ref="EY52">IF(AND(ISNUMBER(MATCH(EY$2, AsistenciaJetAdminConcatenada!$A:$A, 0)), ISNUMBER(MATCH(EY$1, AsistenciaJetAdminConcatenada!$B:$B, 0)), ISNUMBER(SEARCH($A52,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ISNUMBER(SEARCH($A52, INDEX(AsistenciaJetAdminConcatenada!$D:$D, MATCH(1, (AsistenciaJetAdminConcatenada!$A:$A=EY$2)*(AsistenciaJetAdminConcatenada!$B:$B=EY$1), 0)), 1))),  0.5, 0))</f>
        <v>0</v>
      </c>
      <c r="EZ52" s="47">
        <f t="array" ref="EZ52">IF(AND(ISNUMBER(MATCH(EZ$2, AsistenciaJetAdminConcatenada!$A:$A, 0)), ISNUMBER(MATCH(EZ$1, AsistenciaJetAdminConcatenada!$B:$B, 0)), ISNUMBER(SEARCH($A52,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ISNUMBER(SEARCH($A52, INDEX(AsistenciaJetAdminConcatenada!$D:$D, MATCH(1, (AsistenciaJetAdminConcatenada!$A:$A=EZ$2)*(AsistenciaJetAdminConcatenada!$B:$B=EZ$1), 0)), 1))),  0.5, 0))</f>
        <v>0</v>
      </c>
      <c r="FA52" s="47">
        <f t="array" ref="FA52">IF(AND(ISNUMBER(MATCH(FA$2, AsistenciaJetAdminConcatenada!$A:$A, 0)), ISNUMBER(MATCH(FA$1, AsistenciaJetAdminConcatenada!$B:$B, 0)), ISNUMBER(SEARCH($A52,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ISNUMBER(SEARCH($A52, INDEX(AsistenciaJetAdminConcatenada!$D:$D, MATCH(1, (AsistenciaJetAdminConcatenada!$A:$A=FA$2)*(AsistenciaJetAdminConcatenada!$B:$B=FA$1), 0)), 1))),  0.5, 0))</f>
        <v>0</v>
      </c>
      <c r="FB52" s="47">
        <f t="array" ref="FB52">IF(AND(ISNUMBER(MATCH(FB$2, AsistenciaJetAdminConcatenada!$A:$A, 0)), ISNUMBER(MATCH(FB$1, AsistenciaJetAdminConcatenada!$B:$B, 0)), ISNUMBER(SEARCH($A52,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ISNUMBER(SEARCH($A52, INDEX(AsistenciaJetAdminConcatenada!$D:$D, MATCH(1, (AsistenciaJetAdminConcatenada!$A:$A=FB$2)*(AsistenciaJetAdminConcatenada!$B:$B=FB$1), 0)), 1))),  0.5, 0))</f>
        <v>0</v>
      </c>
      <c r="FC52" s="47">
        <f t="array" ref="FC52">IF(AND(ISNUMBER(MATCH(FC$2, AsistenciaJetAdminConcatenada!$A:$A, 0)), ISNUMBER(MATCH(FC$1, AsistenciaJetAdminConcatenada!$B:$B, 0)), ISNUMBER(SEARCH($A52,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ISNUMBER(SEARCH($A52, INDEX(AsistenciaJetAdminConcatenada!$D:$D, MATCH(1, (AsistenciaJetAdminConcatenada!$A:$A=FC$2)*(AsistenciaJetAdminConcatenada!$B:$B=FC$1), 0)), 1))),  0.5, 0))</f>
        <v>0</v>
      </c>
      <c r="FD52" s="47">
        <f t="array" ref="FD52">IF(AND(ISNUMBER(MATCH(FD$2, AsistenciaJetAdminConcatenada!$A:$A, 0)), ISNUMBER(MATCH(FD$1, AsistenciaJetAdminConcatenada!$B:$B, 0)), ISNUMBER(SEARCH($A52,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ISNUMBER(SEARCH($A52, INDEX(AsistenciaJetAdminConcatenada!$D:$D, MATCH(1, (AsistenciaJetAdminConcatenada!$A:$A=FD$2)*(AsistenciaJetAdminConcatenada!$B:$B=FD$1), 0)), 1))),  0.5, 0))</f>
        <v>0</v>
      </c>
      <c r="FE52" s="47">
        <f t="array" ref="FE52">IF(AND(ISNUMBER(MATCH(FE$2, AsistenciaJetAdminConcatenada!$A:$A, 0)), ISNUMBER(MATCH(FE$1, AsistenciaJetAdminConcatenada!$B:$B, 0)), ISNUMBER(SEARCH($A52,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ISNUMBER(SEARCH($A52, INDEX(AsistenciaJetAdminConcatenada!$D:$D, MATCH(1, (AsistenciaJetAdminConcatenada!$A:$A=FE$2)*(AsistenciaJetAdminConcatenada!$B:$B=FE$1), 0)), 1))),  0.5, 0))</f>
        <v>0</v>
      </c>
      <c r="FF52" s="47">
        <f t="array" ref="FF52">IF(AND(ISNUMBER(MATCH(FF$2, AsistenciaJetAdminConcatenada!$A:$A, 0)), ISNUMBER(MATCH(FF$1, AsistenciaJetAdminConcatenada!$B:$B, 0)), ISNUMBER(SEARCH($A52,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ISNUMBER(SEARCH($A52, INDEX(AsistenciaJetAdminConcatenada!$D:$D, MATCH(1, (AsistenciaJetAdminConcatenada!$A:$A=FF$2)*(AsistenciaJetAdminConcatenada!$B:$B=FF$1), 0)), 1))),  0.5, 0))</f>
        <v>0</v>
      </c>
      <c r="FG52" s="47">
        <f t="array" ref="FG52">IF(AND(ISNUMBER(MATCH(FG$2, AsistenciaJetAdminConcatenada!$A:$A, 0)), ISNUMBER(MATCH(FG$1, AsistenciaJetAdminConcatenada!$B:$B, 0)), ISNUMBER(SEARCH($A52,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ISNUMBER(SEARCH($A52, INDEX(AsistenciaJetAdminConcatenada!$D:$D, MATCH(1, (AsistenciaJetAdminConcatenada!$A:$A=FG$2)*(AsistenciaJetAdminConcatenada!$B:$B=FG$1), 0)), 1))),  0.5, 0))</f>
        <v>0</v>
      </c>
      <c r="FH52" s="47">
        <f t="array" ref="FH52">IF(AND(ISNUMBER(MATCH(FH$2, AsistenciaJetAdminConcatenada!$A:$A, 0)), ISNUMBER(MATCH(FH$1, AsistenciaJetAdminConcatenada!$B:$B, 0)), ISNUMBER(SEARCH($A52,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ISNUMBER(SEARCH($A52, INDEX(AsistenciaJetAdminConcatenada!$D:$D, MATCH(1, (AsistenciaJetAdminConcatenada!$A:$A=FH$2)*(AsistenciaJetAdminConcatenada!$B:$B=FH$1), 0)), 1))),  0.5, 0))</f>
        <v>0</v>
      </c>
      <c r="FI52" s="47">
        <f t="array" ref="FI52">IF(AND(ISNUMBER(MATCH(FI$2, AsistenciaJetAdminConcatenada!$A:$A, 0)), ISNUMBER(MATCH(FI$1, AsistenciaJetAdminConcatenada!$B:$B, 0)), ISNUMBER(SEARCH($A52,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ISNUMBER(SEARCH($A52, INDEX(AsistenciaJetAdminConcatenada!$D:$D, MATCH(1, (AsistenciaJetAdminConcatenada!$A:$A=FI$2)*(AsistenciaJetAdminConcatenada!$B:$B=FI$1), 0)), 1))),  0.5, 0))</f>
        <v>0</v>
      </c>
      <c r="FJ52" s="47">
        <f t="array" ref="FJ52">IF(AND(ISNUMBER(MATCH(FJ$2, AsistenciaJetAdminConcatenada!$A:$A, 0)), ISNUMBER(MATCH(FJ$1, AsistenciaJetAdminConcatenada!$B:$B, 0)), ISNUMBER(SEARCH($A52,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ISNUMBER(SEARCH($A52, INDEX(AsistenciaJetAdminConcatenada!$D:$D, MATCH(1, (AsistenciaJetAdminConcatenada!$A:$A=FJ$2)*(AsistenciaJetAdminConcatenada!$B:$B=FJ$1), 0)), 1))),  0.5, 0))</f>
        <v>0</v>
      </c>
      <c r="FK52" s="47">
        <f t="array" ref="FK52">IF(AND(ISNUMBER(MATCH(FK$2, AsistenciaJetAdminConcatenada!$A:$A, 0)), ISNUMBER(MATCH(FK$1, AsistenciaJetAdminConcatenada!$B:$B, 0)), ISNUMBER(SEARCH($A52,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ISNUMBER(SEARCH($A52, INDEX(AsistenciaJetAdminConcatenada!$D:$D, MATCH(1, (AsistenciaJetAdminConcatenada!$A:$A=FK$2)*(AsistenciaJetAdminConcatenada!$B:$B=FK$1), 0)), 1))),  0.5, 0))</f>
        <v>0</v>
      </c>
      <c r="FL52" s="47">
        <f t="array" ref="FL52">IF(AND(ISNUMBER(MATCH(FL$2, AsistenciaJetAdminConcatenada!$A:$A, 0)), ISNUMBER(MATCH(FL$1, AsistenciaJetAdminConcatenada!$B:$B, 0)), ISNUMBER(SEARCH($A52,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ISNUMBER(SEARCH($A52, INDEX(AsistenciaJetAdminConcatenada!$D:$D, MATCH(1, (AsistenciaJetAdminConcatenada!$A:$A=FL$2)*(AsistenciaJetAdminConcatenada!$B:$B=FL$1), 0)), 1))),  0.5, 0))</f>
        <v>0</v>
      </c>
      <c r="FM52" s="47">
        <f t="array" ref="FM52">IF(AND(ISNUMBER(MATCH(FM$2, AsistenciaJetAdminConcatenada!$A:$A, 0)), ISNUMBER(MATCH(FM$1, AsistenciaJetAdminConcatenada!$B:$B, 0)), ISNUMBER(SEARCH($A52,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ISNUMBER(SEARCH($A52, INDEX(AsistenciaJetAdminConcatenada!$D:$D, MATCH(1, (AsistenciaJetAdminConcatenada!$A:$A=FM$2)*(AsistenciaJetAdminConcatenada!$B:$B=FM$1), 0)), 1))),  0.5, 0))</f>
        <v>0</v>
      </c>
      <c r="FN52" s="47">
        <f t="array" ref="FN52">IF(AND(ISNUMBER(MATCH(FN$2, AsistenciaJetAdminConcatenada!$A:$A, 0)), ISNUMBER(MATCH(FN$1, AsistenciaJetAdminConcatenada!$B:$B, 0)), ISNUMBER(SEARCH($A52,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ISNUMBER(SEARCH($A52, INDEX(AsistenciaJetAdminConcatenada!$D:$D, MATCH(1, (AsistenciaJetAdminConcatenada!$A:$A=FN$2)*(AsistenciaJetAdminConcatenada!$B:$B=FN$1), 0)), 1))),  0.5, 0))</f>
        <v>0</v>
      </c>
      <c r="FO52" s="47">
        <f t="array" ref="FO52">IF(AND(ISNUMBER(MATCH(FO$2, AsistenciaJetAdminConcatenada!$A:$A, 0)), ISNUMBER(MATCH(FO$1, AsistenciaJetAdminConcatenada!$B:$B, 0)), ISNUMBER(SEARCH($A52,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ISNUMBER(SEARCH($A52, INDEX(AsistenciaJetAdminConcatenada!$D:$D, MATCH(1, (AsistenciaJetAdminConcatenada!$A:$A=FO$2)*(AsistenciaJetAdminConcatenada!$B:$B=FO$1), 0)), 1))),  0.5, 0))</f>
        <v>0</v>
      </c>
      <c r="FP52" s="47">
        <f t="array" ref="FP52">IF(AND(ISNUMBER(MATCH(FP$2, AsistenciaJetAdminConcatenada!$A:$A, 0)), ISNUMBER(MATCH(FP$1, AsistenciaJetAdminConcatenada!$B:$B, 0)), ISNUMBER(SEARCH($A52,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ISNUMBER(SEARCH($A52, INDEX(AsistenciaJetAdminConcatenada!$D:$D, MATCH(1, (AsistenciaJetAdminConcatenada!$A:$A=FP$2)*(AsistenciaJetAdminConcatenada!$B:$B=FP$1), 0)), 1))),  0.5, 0))</f>
        <v>0</v>
      </c>
      <c r="FQ52" s="47">
        <f t="array" ref="FQ52">IF(AND(ISNUMBER(MATCH(FQ$2, AsistenciaJetAdminConcatenada!$A:$A, 0)), ISNUMBER(MATCH(FQ$1, AsistenciaJetAdminConcatenada!$B:$B, 0)), ISNUMBER(SEARCH($A52,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ISNUMBER(SEARCH($A52, INDEX(AsistenciaJetAdminConcatenada!$D:$D, MATCH(1, (AsistenciaJetAdminConcatenada!$A:$A=FQ$2)*(AsistenciaJetAdminConcatenada!$B:$B=FQ$1), 0)), 1))),  0.5, 0))</f>
        <v>0</v>
      </c>
      <c r="FR52" s="47">
        <f t="array" ref="FR52">IF(AND(ISNUMBER(MATCH(FR$2, AsistenciaJetAdminConcatenada!$A:$A, 0)), ISNUMBER(MATCH(FR$1, AsistenciaJetAdminConcatenada!$B:$B, 0)), ISNUMBER(SEARCH($A52,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ISNUMBER(SEARCH($A52, INDEX(AsistenciaJetAdminConcatenada!$D:$D, MATCH(1, (AsistenciaJetAdminConcatenada!$A:$A=FR$2)*(AsistenciaJetAdminConcatenada!$B:$B=FR$1), 0)), 1))),  0.5, 0))</f>
        <v>0</v>
      </c>
      <c r="FS52" s="47">
        <f t="array" ref="FS52">IF(AND(ISNUMBER(MATCH(FS$2, AsistenciaJetAdminConcatenada!$A:$A, 0)), ISNUMBER(MATCH(FS$1, AsistenciaJetAdminConcatenada!$B:$B, 0)), ISNUMBER(SEARCH($A52,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ISNUMBER(SEARCH($A52, INDEX(AsistenciaJetAdminConcatenada!$D:$D, MATCH(1, (AsistenciaJetAdminConcatenada!$A:$A=FS$2)*(AsistenciaJetAdminConcatenada!$B:$B=FS$1), 0)), 1))),  0.5, 0))</f>
        <v>0</v>
      </c>
      <c r="FT52" s="47">
        <f t="array" ref="FT52">IF(AND(ISNUMBER(MATCH(FT$2, AsistenciaJetAdminConcatenada!$A:$A, 0)), ISNUMBER(MATCH(FT$1, AsistenciaJetAdminConcatenada!$B:$B, 0)), ISNUMBER(SEARCH($A52,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ISNUMBER(SEARCH($A52, INDEX(AsistenciaJetAdminConcatenada!$D:$D, MATCH(1, (AsistenciaJetAdminConcatenada!$A:$A=FT$2)*(AsistenciaJetAdminConcatenada!$B:$B=FT$1), 0)), 1))),  0.5, 0))</f>
        <v>0</v>
      </c>
      <c r="FU52" s="47">
        <f t="array" ref="FU52">IF(AND(ISNUMBER(MATCH(FU$2, AsistenciaJetAdminConcatenada!$A:$A, 0)), ISNUMBER(MATCH(FU$1, AsistenciaJetAdminConcatenada!$B:$B, 0)), ISNUMBER(SEARCH($A52,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ISNUMBER(SEARCH($A52, INDEX(AsistenciaJetAdminConcatenada!$D:$D, MATCH(1, (AsistenciaJetAdminConcatenada!$A:$A=FU$2)*(AsistenciaJetAdminConcatenada!$B:$B=FU$1), 0)), 1))),  0.5, 0))</f>
        <v>0</v>
      </c>
      <c r="FV52" s="47">
        <f t="array" ref="FV52">IF(AND(ISNUMBER(MATCH(FV$2, AsistenciaJetAdminConcatenada!$A:$A, 0)), ISNUMBER(MATCH(FV$1, AsistenciaJetAdminConcatenada!$B:$B, 0)), ISNUMBER(SEARCH($A52,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ISNUMBER(SEARCH($A52, INDEX(AsistenciaJetAdminConcatenada!$D:$D, MATCH(1, (AsistenciaJetAdminConcatenada!$A:$A=FV$2)*(AsistenciaJetAdminConcatenada!$B:$B=FV$1), 0)), 1))),  0.5, 0))</f>
        <v>0</v>
      </c>
      <c r="FW52" s="47">
        <f t="array" ref="FW52">IF(AND(ISNUMBER(MATCH(FW$2, AsistenciaJetAdminConcatenada!$A:$A, 0)), ISNUMBER(MATCH(FW$1, AsistenciaJetAdminConcatenada!$B:$B, 0)), ISNUMBER(SEARCH($A52,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ISNUMBER(SEARCH($A52, INDEX(AsistenciaJetAdminConcatenada!$D:$D, MATCH(1, (AsistenciaJetAdminConcatenada!$A:$A=FW$2)*(AsistenciaJetAdminConcatenada!$B:$B=FW$1), 0)), 1))),  0.5, 0))</f>
        <v>0</v>
      </c>
      <c r="FX52" s="47">
        <f t="array" ref="FX52">IF(AND(ISNUMBER(MATCH(FX$2, AsistenciaJetAdminConcatenada!$A:$A, 0)), ISNUMBER(MATCH(FX$1, AsistenciaJetAdminConcatenada!$B:$B, 0)), ISNUMBER(SEARCH($A52,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ISNUMBER(SEARCH($A52, INDEX(AsistenciaJetAdminConcatenada!$D:$D, MATCH(1, (AsistenciaJetAdminConcatenada!$A:$A=FX$2)*(AsistenciaJetAdminConcatenada!$B:$B=FX$1), 0)), 1))),  0.5, 0))</f>
        <v>0</v>
      </c>
      <c r="FY52" s="47">
        <f t="array" ref="FY52">IF(AND(ISNUMBER(MATCH(FY$2, AsistenciaJetAdminConcatenada!$A:$A, 0)), ISNUMBER(MATCH(FY$1, AsistenciaJetAdminConcatenada!$B:$B, 0)), ISNUMBER(SEARCH($A52,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ISNUMBER(SEARCH($A52, INDEX(AsistenciaJetAdminConcatenada!$D:$D, MATCH(1, (AsistenciaJetAdminConcatenada!$A:$A=FY$2)*(AsistenciaJetAdminConcatenada!$B:$B=FY$1), 0)), 1))),  0.5, 0))</f>
        <v>0</v>
      </c>
      <c r="FZ52" s="47">
        <f t="array" ref="FZ52">IF(AND(ISNUMBER(MATCH(FZ$2, AsistenciaJetAdminConcatenada!$A:$A, 0)), ISNUMBER(MATCH(FZ$1, AsistenciaJetAdminConcatenada!$B:$B, 0)), ISNUMBER(SEARCH($A52,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ISNUMBER(SEARCH($A52, INDEX(AsistenciaJetAdminConcatenada!$D:$D, MATCH(1, (AsistenciaJetAdminConcatenada!$A:$A=FZ$2)*(AsistenciaJetAdminConcatenada!$B:$B=FZ$1), 0)), 1))),  0.5, 0))</f>
        <v>0</v>
      </c>
      <c r="GA52" s="47">
        <f t="array" ref="GA52">IF(AND(ISNUMBER(MATCH(GA$2, AsistenciaJetAdminConcatenada!$A:$A, 0)), ISNUMBER(MATCH(GA$1, AsistenciaJetAdminConcatenada!$B:$B, 0)), ISNUMBER(SEARCH($A52,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ISNUMBER(SEARCH($A52, INDEX(AsistenciaJetAdminConcatenada!$D:$D, MATCH(1, (AsistenciaJetAdminConcatenada!$A:$A=GA$2)*(AsistenciaJetAdminConcatenada!$B:$B=GA$1), 0)), 1))),  0.5, 0))</f>
        <v>0</v>
      </c>
      <c r="GB52" s="47">
        <f t="array" ref="GB52">IF(AND(ISNUMBER(MATCH(GB$2, AsistenciaJetAdminConcatenada!$A:$A, 0)), ISNUMBER(MATCH(GB$1, AsistenciaJetAdminConcatenada!$B:$B, 0)), ISNUMBER(SEARCH($A52,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ISNUMBER(SEARCH($A52, INDEX(AsistenciaJetAdminConcatenada!$D:$D, MATCH(1, (AsistenciaJetAdminConcatenada!$A:$A=GB$2)*(AsistenciaJetAdminConcatenada!$B:$B=GB$1), 0)), 1))),  0.5, 0))</f>
        <v>0</v>
      </c>
      <c r="GC52" s="47">
        <f t="array" ref="GC52">IF(AND(ISNUMBER(MATCH(GC$2, AsistenciaJetAdminConcatenada!$A:$A, 0)), ISNUMBER(MATCH(GC$1, AsistenciaJetAdminConcatenada!$B:$B, 0)), ISNUMBER(SEARCH($A52,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ISNUMBER(SEARCH($A52, INDEX(AsistenciaJetAdminConcatenada!$D:$D, MATCH(1, (AsistenciaJetAdminConcatenada!$A:$A=GC$2)*(AsistenciaJetAdminConcatenada!$B:$B=GC$1), 0)), 1))),  0.5, 0))</f>
        <v>0</v>
      </c>
      <c r="GD52" s="47">
        <f t="array" ref="GD52">IF(AND(ISNUMBER(MATCH(GD$2, AsistenciaJetAdminConcatenada!$A:$A, 0)), ISNUMBER(MATCH(GD$1, AsistenciaJetAdminConcatenada!$B:$B, 0)), ISNUMBER(SEARCH($A52,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ISNUMBER(SEARCH($A52, INDEX(AsistenciaJetAdminConcatenada!$D:$D, MATCH(1, (AsistenciaJetAdminConcatenada!$A:$A=GD$2)*(AsistenciaJetAdminConcatenada!$B:$B=GD$1), 0)), 1))),  0.5, 0))</f>
        <v>0</v>
      </c>
      <c r="GE52" s="47">
        <f t="array" ref="GE52">IF(AND(ISNUMBER(MATCH(GE$2, AsistenciaJetAdminConcatenada!$A:$A, 0)), ISNUMBER(MATCH(GE$1, AsistenciaJetAdminConcatenada!$B:$B, 0)), ISNUMBER(SEARCH($A52,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ISNUMBER(SEARCH($A52, INDEX(AsistenciaJetAdminConcatenada!$D:$D, MATCH(1, (AsistenciaJetAdminConcatenada!$A:$A=GE$2)*(AsistenciaJetAdminConcatenada!$B:$B=GE$1), 0)), 1))),  0.5, 0))</f>
        <v>0</v>
      </c>
      <c r="GF52" s="47">
        <f t="array" ref="GF52">IF(AND(ISNUMBER(MATCH(GF$2, AsistenciaJetAdminConcatenada!$A:$A, 0)), ISNUMBER(MATCH(GF$1, AsistenciaJetAdminConcatenada!$B:$B, 0)), ISNUMBER(SEARCH($A52,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ISNUMBER(SEARCH($A52, INDEX(AsistenciaJetAdminConcatenada!$D:$D, MATCH(1, (AsistenciaJetAdminConcatenada!$A:$A=GF$2)*(AsistenciaJetAdminConcatenada!$B:$B=GF$1), 0)), 1))),  0.5, 0))</f>
        <v>0</v>
      </c>
      <c r="GG52" s="47">
        <f t="array" ref="GG52">IF(AND(ISNUMBER(MATCH(GG$2, AsistenciaJetAdminConcatenada!$A:$A, 0)), ISNUMBER(MATCH(GG$1, AsistenciaJetAdminConcatenada!$B:$B, 0)), ISNUMBER(SEARCH($A52,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ISNUMBER(SEARCH($A52, INDEX(AsistenciaJetAdminConcatenada!$D:$D, MATCH(1, (AsistenciaJetAdminConcatenada!$A:$A=GG$2)*(AsistenciaJetAdminConcatenada!$B:$B=GG$1), 0)), 1))),  0.5, 0))</f>
        <v>0</v>
      </c>
      <c r="GH52" s="47">
        <f t="array" ref="GH52">IF(AND(ISNUMBER(MATCH(GH$2, AsistenciaJetAdminConcatenada!$A:$A, 0)), ISNUMBER(MATCH(GH$1, AsistenciaJetAdminConcatenada!$B:$B, 0)), ISNUMBER(SEARCH($A52,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ISNUMBER(SEARCH($A52, INDEX(AsistenciaJetAdminConcatenada!$D:$D, MATCH(1, (AsistenciaJetAdminConcatenada!$A:$A=GH$2)*(AsistenciaJetAdminConcatenada!$B:$B=GH$1), 0)), 1))),  0.5, 0))</f>
        <v>0</v>
      </c>
      <c r="GI52" s="47">
        <f t="array" ref="GI52">IF(AND(ISNUMBER(MATCH(GI$2, AsistenciaJetAdminConcatenada!$A:$A, 0)), ISNUMBER(MATCH(GI$1, AsistenciaJetAdminConcatenada!$B:$B, 0)), ISNUMBER(SEARCH($A52,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ISNUMBER(SEARCH($A52, INDEX(AsistenciaJetAdminConcatenada!$D:$D, MATCH(1, (AsistenciaJetAdminConcatenada!$A:$A=GI$2)*(AsistenciaJetAdminConcatenada!$B:$B=GI$1), 0)), 1))),  0.5, 0))</f>
        <v>0</v>
      </c>
      <c r="GJ52" s="47">
        <f t="array" ref="GJ52">IF(AND(ISNUMBER(MATCH(GJ$2, AsistenciaJetAdminConcatenada!$A:$A, 0)), ISNUMBER(MATCH(GJ$1, AsistenciaJetAdminConcatenada!$B:$B, 0)), ISNUMBER(SEARCH($A52,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ISNUMBER(SEARCH($A52, INDEX(AsistenciaJetAdminConcatenada!$D:$D, MATCH(1, (AsistenciaJetAdminConcatenada!$A:$A=GJ$2)*(AsistenciaJetAdminConcatenada!$B:$B=GJ$1), 0)), 1))),  0.5, 0))</f>
        <v>0</v>
      </c>
      <c r="GK52" s="47">
        <f t="array" ref="GK52">IF(AND(ISNUMBER(MATCH(GK$2, AsistenciaJetAdminConcatenada!$A:$A, 0)), ISNUMBER(MATCH(GK$1, AsistenciaJetAdminConcatenada!$B:$B, 0)), ISNUMBER(SEARCH($A52,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ISNUMBER(SEARCH($A52, INDEX(AsistenciaJetAdminConcatenada!$D:$D, MATCH(1, (AsistenciaJetAdminConcatenada!$A:$A=GK$2)*(AsistenciaJetAdminConcatenada!$B:$B=GK$1), 0)), 1))),  0.5, 0))</f>
        <v>0</v>
      </c>
      <c r="GL52" s="47">
        <f t="array" ref="GL52">IF(AND(ISNUMBER(MATCH(GL$2, AsistenciaJetAdminConcatenada!$A:$A, 0)), ISNUMBER(MATCH(GL$1, AsistenciaJetAdminConcatenada!$B:$B, 0)), ISNUMBER(SEARCH($A52,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ISNUMBER(SEARCH($A52, INDEX(AsistenciaJetAdminConcatenada!$D:$D, MATCH(1, (AsistenciaJetAdminConcatenada!$A:$A=GL$2)*(AsistenciaJetAdminConcatenada!$B:$B=GL$1), 0)), 1))),  0.5, 0))</f>
        <v>0</v>
      </c>
      <c r="GM52" s="47">
        <f t="array" ref="GM52">IF(AND(ISNUMBER(MATCH(GM$2, AsistenciaJetAdminConcatenada!$A:$A, 0)), ISNUMBER(MATCH(GM$1, AsistenciaJetAdminConcatenada!$B:$B, 0)), ISNUMBER(SEARCH($A52,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ISNUMBER(SEARCH($A52, INDEX(AsistenciaJetAdminConcatenada!$D:$D, MATCH(1, (AsistenciaJetAdminConcatenada!$A:$A=GM$2)*(AsistenciaJetAdminConcatenada!$B:$B=GM$1), 0)), 1))),  0.5, 0))</f>
        <v>0</v>
      </c>
      <c r="GN52" s="47">
        <f t="array" ref="GN52">IF(AND(ISNUMBER(MATCH(GN$2, AsistenciaJetAdminConcatenada!$A:$A, 0)), ISNUMBER(MATCH(GN$1, AsistenciaJetAdminConcatenada!$B:$B, 0)), ISNUMBER(SEARCH($A52,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ISNUMBER(SEARCH($A52, INDEX(AsistenciaJetAdminConcatenada!$D:$D, MATCH(1, (AsistenciaJetAdminConcatenada!$A:$A=GN$2)*(AsistenciaJetAdminConcatenada!$B:$B=GN$1), 0)), 1))),  0.5, 0))</f>
        <v>0</v>
      </c>
      <c r="GO52" s="47">
        <f t="array" ref="GO52">IF(AND(ISNUMBER(MATCH(GO$2, AsistenciaJetAdminConcatenada!$A:$A, 0)), ISNUMBER(MATCH(GO$1, AsistenciaJetAdminConcatenada!$B:$B, 0)), ISNUMBER(SEARCH($A52,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ISNUMBER(SEARCH($A52, INDEX(AsistenciaJetAdminConcatenada!$D:$D, MATCH(1, (AsistenciaJetAdminConcatenada!$A:$A=GO$2)*(AsistenciaJetAdminConcatenada!$B:$B=GO$1), 0)), 1))),  0.5, 0))</f>
        <v>0</v>
      </c>
      <c r="GP52" s="47">
        <f t="array" ref="GP52">IF(AND(ISNUMBER(MATCH(GP$2, AsistenciaJetAdminConcatenada!$A:$A, 0)), ISNUMBER(MATCH(GP$1, AsistenciaJetAdminConcatenada!$B:$B, 0)), ISNUMBER(SEARCH($A52,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ISNUMBER(SEARCH($A52, INDEX(AsistenciaJetAdminConcatenada!$D:$D, MATCH(1, (AsistenciaJetAdminConcatenada!$A:$A=GP$2)*(AsistenciaJetAdminConcatenada!$B:$B=GP$1), 0)), 1))),  0.5, 0))</f>
        <v>0</v>
      </c>
      <c r="GQ52" s="47">
        <f t="array" ref="GQ52">IF(AND(ISNUMBER(MATCH(GQ$2, AsistenciaJetAdminConcatenada!$A:$A, 0)), ISNUMBER(MATCH(GQ$1, AsistenciaJetAdminConcatenada!$B:$B, 0)), ISNUMBER(SEARCH($A52,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ISNUMBER(SEARCH($A52, INDEX(AsistenciaJetAdminConcatenada!$D:$D, MATCH(1, (AsistenciaJetAdminConcatenada!$A:$A=GQ$2)*(AsistenciaJetAdminConcatenada!$B:$B=GQ$1), 0)), 1))),  0.5, 0))</f>
        <v>0</v>
      </c>
      <c r="GR52" s="47">
        <f t="array" ref="GR52">IF(AND(ISNUMBER(MATCH(GR$2, AsistenciaJetAdminConcatenada!$A:$A, 0)), ISNUMBER(MATCH(GR$1, AsistenciaJetAdminConcatenada!$B:$B, 0)), ISNUMBER(SEARCH($A52,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ISNUMBER(SEARCH($A52, INDEX(AsistenciaJetAdminConcatenada!$D:$D, MATCH(1, (AsistenciaJetAdminConcatenada!$A:$A=GR$2)*(AsistenciaJetAdminConcatenada!$B:$B=GR$1), 0)), 1))),  0.5, 0))</f>
        <v>0</v>
      </c>
      <c r="GS52" s="47">
        <f t="array" ref="GS52">IF(AND(ISNUMBER(MATCH(GS$2, AsistenciaJetAdminConcatenada!$A:$A, 0)), ISNUMBER(MATCH(GS$1, AsistenciaJetAdminConcatenada!$B:$B, 0)), ISNUMBER(SEARCH($A52,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ISNUMBER(SEARCH($A52, INDEX(AsistenciaJetAdminConcatenada!$D:$D, MATCH(1, (AsistenciaJetAdminConcatenada!$A:$A=GS$2)*(AsistenciaJetAdminConcatenada!$B:$B=GS$1), 0)), 1))),  0.5, 0))</f>
        <v>0</v>
      </c>
      <c r="GT52" s="47">
        <f t="array" ref="GT52">IF(AND(ISNUMBER(MATCH(GT$2, AsistenciaJetAdminConcatenada!$A:$A, 0)), ISNUMBER(MATCH(GT$1, AsistenciaJetAdminConcatenada!$B:$B, 0)), ISNUMBER(SEARCH($A52,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ISNUMBER(SEARCH($A52, INDEX(AsistenciaJetAdminConcatenada!$D:$D, MATCH(1, (AsistenciaJetAdminConcatenada!$A:$A=GT$2)*(AsistenciaJetAdminConcatenada!$B:$B=GT$1), 0)), 1))),  0.5, 0))</f>
        <v>0</v>
      </c>
      <c r="GU52" s="47">
        <f t="array" ref="GU52">IF(AND(ISNUMBER(MATCH(GU$2, AsistenciaJetAdminConcatenada!$A:$A, 0)), ISNUMBER(MATCH(GU$1, AsistenciaJetAdminConcatenada!$B:$B, 0)), ISNUMBER(SEARCH($A52,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ISNUMBER(SEARCH($A52, INDEX(AsistenciaJetAdminConcatenada!$D:$D, MATCH(1, (AsistenciaJetAdminConcatenada!$A:$A=GU$2)*(AsistenciaJetAdminConcatenada!$B:$B=GU$1), 0)), 1))),  0.5, 0))</f>
        <v>0</v>
      </c>
      <c r="GV52" s="47">
        <f t="array" ref="GV52">IF(AND(ISNUMBER(MATCH(GV$2, AsistenciaJetAdminConcatenada!$A:$A, 0)), ISNUMBER(MATCH(GV$1, AsistenciaJetAdminConcatenada!$B:$B, 0)), ISNUMBER(SEARCH($A52,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ISNUMBER(SEARCH($A52, INDEX(AsistenciaJetAdminConcatenada!$D:$D, MATCH(1, (AsistenciaJetAdminConcatenada!$A:$A=GV$2)*(AsistenciaJetAdminConcatenada!$B:$B=GV$1), 0)), 1))),  0.5, 0))</f>
        <v>0</v>
      </c>
      <c r="GW52" s="47">
        <f t="array" ref="GW52">IF(AND(ISNUMBER(MATCH(GW$2, AsistenciaJetAdminConcatenada!$A:$A, 0)), ISNUMBER(MATCH(GW$1, AsistenciaJetAdminConcatenada!$B:$B, 0)), ISNUMBER(SEARCH($A52,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ISNUMBER(SEARCH($A52, INDEX(AsistenciaJetAdminConcatenada!$D:$D, MATCH(1, (AsistenciaJetAdminConcatenada!$A:$A=GW$2)*(AsistenciaJetAdminConcatenada!$B:$B=GW$1), 0)), 1))),  0.5, 0))</f>
        <v>0</v>
      </c>
      <c r="GX52" s="47">
        <f t="array" ref="GX52">IF(AND(ISNUMBER(MATCH(GX$2, AsistenciaJetAdminConcatenada!$A:$A, 0)), ISNUMBER(MATCH(GX$1, AsistenciaJetAdminConcatenada!$B:$B, 0)), ISNUMBER(SEARCH($A52,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ISNUMBER(SEARCH($A52, INDEX(AsistenciaJetAdminConcatenada!$D:$D, MATCH(1, (AsistenciaJetAdminConcatenada!$A:$A=GX$2)*(AsistenciaJetAdminConcatenada!$B:$B=GX$1), 0)), 1))),  0.5, 0))</f>
        <v>0</v>
      </c>
      <c r="GY52" s="47">
        <f t="array" ref="GY52">IF(AND(ISNUMBER(MATCH(GY$2, AsistenciaJetAdminConcatenada!$A:$A, 0)), ISNUMBER(MATCH(GY$1, AsistenciaJetAdminConcatenada!$B:$B, 0)), ISNUMBER(SEARCH($A52,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ISNUMBER(SEARCH($A52, INDEX(AsistenciaJetAdminConcatenada!$D:$D, MATCH(1, (AsistenciaJetAdminConcatenada!$A:$A=GY$2)*(AsistenciaJetAdminConcatenada!$B:$B=GY$1), 0)), 1))),  0.5, 0))</f>
        <v>0</v>
      </c>
      <c r="GZ52" s="47">
        <f t="array" ref="GZ52">IF(AND(ISNUMBER(MATCH(GZ$2, AsistenciaJetAdminConcatenada!$A:$A, 0)), ISNUMBER(MATCH(GZ$1, AsistenciaJetAdminConcatenada!$B:$B, 0)), ISNUMBER(SEARCH($A52,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ISNUMBER(SEARCH($A52, INDEX(AsistenciaJetAdminConcatenada!$D:$D, MATCH(1, (AsistenciaJetAdminConcatenada!$A:$A=GZ$2)*(AsistenciaJetAdminConcatenada!$B:$B=GZ$1), 0)), 1))),  0.5, 0))</f>
        <v>0</v>
      </c>
      <c r="HA52" s="47">
        <f t="array" ref="HA52">IF(AND(ISNUMBER(MATCH(HA$2, AsistenciaJetAdminConcatenada!$A:$A, 0)), ISNUMBER(MATCH(HA$1, AsistenciaJetAdminConcatenada!$B:$B, 0)), ISNUMBER(SEARCH($A52,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ISNUMBER(SEARCH($A52, INDEX(AsistenciaJetAdminConcatenada!$D:$D, MATCH(1, (AsistenciaJetAdminConcatenada!$A:$A=HA$2)*(AsistenciaJetAdminConcatenada!$B:$B=HA$1), 0)), 1))),  0.5, 0))</f>
        <v>0</v>
      </c>
      <c r="HB52" s="47">
        <f t="array" ref="HB52">IF(AND(ISNUMBER(MATCH(HB$2, AsistenciaJetAdminConcatenada!$A:$A, 0)), ISNUMBER(MATCH(HB$1, AsistenciaJetAdminConcatenada!$B:$B, 0)), ISNUMBER(SEARCH($A52,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ISNUMBER(SEARCH($A52, INDEX(AsistenciaJetAdminConcatenada!$D:$D, MATCH(1, (AsistenciaJetAdminConcatenada!$A:$A=HB$2)*(AsistenciaJetAdminConcatenada!$B:$B=HB$1), 0)), 1))),  0.5, 0))</f>
        <v>0</v>
      </c>
      <c r="HC52" s="47">
        <f t="array" ref="HC52">IF(AND(ISNUMBER(MATCH(HC$2, AsistenciaJetAdminConcatenada!$A:$A, 0)), ISNUMBER(MATCH(HC$1, AsistenciaJetAdminConcatenada!$B:$B, 0)), ISNUMBER(SEARCH($A52,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ISNUMBER(SEARCH($A52, INDEX(AsistenciaJetAdminConcatenada!$D:$D, MATCH(1, (AsistenciaJetAdminConcatenada!$A:$A=HC$2)*(AsistenciaJetAdminConcatenada!$B:$B=HC$1), 0)), 1))),  0.5, 0))</f>
        <v>0</v>
      </c>
    </row>
    <row r="53" ht="29.25" customHeight="1">
      <c r="A53" s="3">
        <v>151.0</v>
      </c>
      <c r="B53" s="4" t="s">
        <v>561</v>
      </c>
      <c r="C53" s="47">
        <f>SUM(D53:HC53) + ActividadesEspeciales!C53</f>
        <v>69</v>
      </c>
      <c r="D53" s="47">
        <f t="array" ref="D53">IF(AND(ISNUMBER(MATCH(D$2, AsistenciaJetAdminConcatenada!$A:$A, 0)), ISNUMBER(MATCH(D$1, AsistenciaJetAdminConcatenada!$B:$B, 0)), ISNUMBER(SEARCH($A53,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ISNUMBER(SEARCH($A53, INDEX(AsistenciaJetAdminConcatenada!$D:$D, MATCH(1, (AsistenciaJetAdminConcatenada!$A:$A=D$2)*(AsistenciaJetAdminConcatenada!$B:$B=D$1), 0)), 1))),  0.5, 0))</f>
        <v>1</v>
      </c>
      <c r="E53" s="47">
        <f t="array" ref="E53">IF(AND(ISNUMBER(MATCH(E$2, AsistenciaJetAdminConcatenada!$A:$A, 0)), ISNUMBER(MATCH(E$1, AsistenciaJetAdminConcatenada!$B:$B, 0)), ISNUMBER(SEARCH($A53,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ISNUMBER(SEARCH($A53, INDEX(AsistenciaJetAdminConcatenada!$D:$D, MATCH(1, (AsistenciaJetAdminConcatenada!$A:$A=E$2)*(AsistenciaJetAdminConcatenada!$B:$B=E$1), 0)), 1))),  0.5, 0))</f>
        <v>1</v>
      </c>
      <c r="F53" s="47">
        <f t="array" ref="F53">IF(AND(ISNUMBER(MATCH(F$2, AsistenciaJetAdminConcatenada!$A:$A, 0)), ISNUMBER(MATCH(F$1, AsistenciaJetAdminConcatenada!$B:$B, 0)), ISNUMBER(SEARCH($A53,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ISNUMBER(SEARCH($A53, INDEX(AsistenciaJetAdminConcatenada!$D:$D, MATCH(1, (AsistenciaJetAdminConcatenada!$A:$A=F$2)*(AsistenciaJetAdminConcatenada!$B:$B=F$1), 0)), 1))),  0.5, 0))</f>
        <v>1</v>
      </c>
      <c r="G53" s="47">
        <f t="array" ref="G53">IF(AND(ISNUMBER(MATCH(G$2, AsistenciaJetAdminConcatenada!$A:$A, 0)), ISNUMBER(MATCH(G$1, AsistenciaJetAdminConcatenada!$B:$B, 0)), ISNUMBER(SEARCH($A53,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ISNUMBER(SEARCH($A53, INDEX(AsistenciaJetAdminConcatenada!$D:$D, MATCH(1, (AsistenciaJetAdminConcatenada!$A:$A=G$2)*(AsistenciaJetAdminConcatenada!$B:$B=G$1), 0)), 1))),  0.5, 0))</f>
        <v>1</v>
      </c>
      <c r="H53" s="47">
        <f t="array" ref="H53">IF(AND(ISNUMBER(MATCH(H$2, AsistenciaJetAdminConcatenada!$A:$A, 0)), ISNUMBER(MATCH(H$1, AsistenciaJetAdminConcatenada!$B:$B, 0)), ISNUMBER(SEARCH($A53,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ISNUMBER(SEARCH($A53, INDEX(AsistenciaJetAdminConcatenada!$D:$D, MATCH(1, (AsistenciaJetAdminConcatenada!$A:$A=H$2)*(AsistenciaJetAdminConcatenada!$B:$B=H$1), 0)), 1))),  0.5, 0))</f>
        <v>1</v>
      </c>
      <c r="I53" s="47">
        <f t="array" ref="I53">IF(AND(ISNUMBER(MATCH(I$2, AsistenciaJetAdminConcatenada!$A:$A, 0)), ISNUMBER(MATCH(I$1, AsistenciaJetAdminConcatenada!$B:$B, 0)), ISNUMBER(SEARCH($A53,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ISNUMBER(SEARCH($A53, INDEX(AsistenciaJetAdminConcatenada!$D:$D, MATCH(1, (AsistenciaJetAdminConcatenada!$A:$A=I$2)*(AsistenciaJetAdminConcatenada!$B:$B=I$1), 0)), 1))),  0.5, 0))</f>
        <v>1</v>
      </c>
      <c r="J53" s="47">
        <f t="array" ref="J53">IF(AND(ISNUMBER(MATCH(J$2, AsistenciaJetAdminConcatenada!$A:$A, 0)), ISNUMBER(MATCH(J$1, AsistenciaJetAdminConcatenada!$B:$B, 0)), ISNUMBER(SEARCH($A53,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ISNUMBER(SEARCH($A53, INDEX(AsistenciaJetAdminConcatenada!$D:$D, MATCH(1, (AsistenciaJetAdminConcatenada!$A:$A=J$2)*(AsistenciaJetAdminConcatenada!$B:$B=J$1), 0)), 1))),  0.5, 0))</f>
        <v>1</v>
      </c>
      <c r="K53" s="47">
        <f t="array" ref="K53">IF(AND(ISNUMBER(MATCH(K$2, AsistenciaJetAdminConcatenada!$A:$A, 0)), ISNUMBER(MATCH(K$1, AsistenciaJetAdminConcatenada!$B:$B, 0)), ISNUMBER(SEARCH($A53,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ISNUMBER(SEARCH($A53, INDEX(AsistenciaJetAdminConcatenada!$D:$D, MATCH(1, (AsistenciaJetAdminConcatenada!$A:$A=K$2)*(AsistenciaJetAdminConcatenada!$B:$B=K$1), 0)), 1))),  0.5, 0))</f>
        <v>1</v>
      </c>
      <c r="L53" s="47">
        <f t="array" ref="L53">IF(AND(ISNUMBER(MATCH(L$2, AsistenciaJetAdminConcatenada!$A:$A, 0)), ISNUMBER(MATCH(L$1, AsistenciaJetAdminConcatenada!$B:$B, 0)), ISNUMBER(SEARCH($A53,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ISNUMBER(SEARCH($A53, INDEX(AsistenciaJetAdminConcatenada!$D:$D, MATCH(1, (AsistenciaJetAdminConcatenada!$A:$A=L$2)*(AsistenciaJetAdminConcatenada!$B:$B=L$1), 0)), 1))),  0.5, 0))</f>
        <v>1</v>
      </c>
      <c r="M53" s="47">
        <f t="array" ref="M53">IF(AND(ISNUMBER(MATCH(M$2, AsistenciaJetAdminConcatenada!$A:$A, 0)), ISNUMBER(MATCH(M$1, AsistenciaJetAdminConcatenada!$B:$B, 0)), ISNUMBER(SEARCH($A53,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ISNUMBER(SEARCH($A53, INDEX(AsistenciaJetAdminConcatenada!$D:$D, MATCH(1, (AsistenciaJetAdminConcatenada!$A:$A=M$2)*(AsistenciaJetAdminConcatenada!$B:$B=M$1), 0)), 1))),  0.5, 0))</f>
        <v>1</v>
      </c>
      <c r="N53" s="47">
        <f t="array" ref="N53">IF(AND(ISNUMBER(MATCH(N$2, AsistenciaJetAdminConcatenada!$A:$A, 0)), ISNUMBER(MATCH(N$1, AsistenciaJetAdminConcatenada!$B:$B, 0)), ISNUMBER(SEARCH($A53,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ISNUMBER(SEARCH($A53, INDEX(AsistenciaJetAdminConcatenada!$D:$D, MATCH(1, (AsistenciaJetAdminConcatenada!$A:$A=N$2)*(AsistenciaJetAdminConcatenada!$B:$B=N$1), 0)), 1))),  0.5, 0))</f>
        <v>1</v>
      </c>
      <c r="O53" s="47">
        <f t="array" ref="O53">IF(AND(ISNUMBER(MATCH(O$2, AsistenciaJetAdminConcatenada!$A:$A, 0)), ISNUMBER(MATCH(O$1, AsistenciaJetAdminConcatenada!$B:$B, 0)), ISNUMBER(SEARCH($A53,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ISNUMBER(SEARCH($A53, INDEX(AsistenciaJetAdminConcatenada!$D:$D, MATCH(1, (AsistenciaJetAdminConcatenada!$A:$A=O$2)*(AsistenciaJetAdminConcatenada!$B:$B=O$1), 0)), 1))),  0.5, 0))</f>
        <v>0</v>
      </c>
      <c r="P53" s="47">
        <f t="array" ref="P53">IF(AND(ISNUMBER(MATCH(P$2, AsistenciaJetAdminConcatenada!$A:$A, 0)), ISNUMBER(MATCH(P$1, AsistenciaJetAdminConcatenada!$B:$B, 0)), ISNUMBER(SEARCH($A53, INDEX(AsistenciaJetAdminConcatenada!$C:$C, MATCH(1, (AsistenciaJetAdminConcatenada!$A:$A=P$2)*(AsistenciaJetAdminConcatenada!$B:$B=P$1), 0)), 1))), 1, IF(AND(ISNUMBER(MATCH(P$2, AsistenciaJetAdminConcatenada!$A:$A, 0)), ISNUMBER(MATCH(P$1, AsistenciaJetAdminConcatenada!$B:$B, 0)), ISNUMBER(SEARCH($A53, INDEX(AsistenciaJetAdminConcatenada!$D:$D, MATCH(1, (AsistenciaJetAdminConcatenada!$A:$A=P$2)*(AsistenciaJetAdminConcatenada!$B:$B=P$1), 0)), 1))),  0.5, 0))</f>
        <v>0</v>
      </c>
      <c r="Q53" s="47">
        <f t="array" ref="Q53">IF(AND(ISNUMBER(MATCH(Q$2, AsistenciaJetAdminConcatenada!$A:$A, 0)), ISNUMBER(MATCH(Q$1, AsistenciaJetAdminConcatenada!$B:$B, 0)), ISNUMBER(SEARCH($A53, INDEX(AsistenciaJetAdminConcatenada!$C:$C, MATCH(1, (AsistenciaJetAdminConcatenada!$A:$A=Q$2)*(AsistenciaJetAdminConcatenada!$B:$B=Q$1), 0)), 1))), 1, IF(AND(ISNUMBER(MATCH(Q$2, AsistenciaJetAdminConcatenada!$A:$A, 0)), ISNUMBER(MATCH(Q$1, AsistenciaJetAdminConcatenada!$B:$B, 0)), ISNUMBER(SEARCH($A53, INDEX(AsistenciaJetAdminConcatenada!$D:$D, MATCH(1, (AsistenciaJetAdminConcatenada!$A:$A=Q$2)*(AsistenciaJetAdminConcatenada!$B:$B=Q$1), 0)), 1))),  0.5, 0))</f>
        <v>0</v>
      </c>
      <c r="R53" s="47">
        <f t="array" ref="R53">IF(AND(ISNUMBER(MATCH(R$2, AsistenciaJetAdminConcatenada!$A:$A, 0)), ISNUMBER(MATCH(R$1, AsistenciaJetAdminConcatenada!$B:$B, 0)), ISNUMBER(SEARCH($A53,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ISNUMBER(SEARCH($A53, INDEX(AsistenciaJetAdminConcatenada!$D:$D, MATCH(1, (AsistenciaJetAdminConcatenada!$A:$A=R$2)*(AsistenciaJetAdminConcatenada!$B:$B=R$1), 0)), 1))),  0.5, 0))</f>
        <v>1</v>
      </c>
      <c r="S53" s="47">
        <f t="array" ref="S53">IF(AND(ISNUMBER(MATCH(S$2, AsistenciaJetAdminConcatenada!$A:$A, 0)), ISNUMBER(MATCH(S$1, AsistenciaJetAdminConcatenada!$B:$B, 0)), ISNUMBER(SEARCH($A53,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ISNUMBER(SEARCH($A53, INDEX(AsistenciaJetAdminConcatenada!$D:$D, MATCH(1, (AsistenciaJetAdminConcatenada!$A:$A=S$2)*(AsistenciaJetAdminConcatenada!$B:$B=S$1), 0)), 1))),  0.5, 0))</f>
        <v>1</v>
      </c>
      <c r="T53" s="47">
        <f t="array" ref="T53">IF(AND(ISNUMBER(MATCH(T$2, AsistenciaJetAdminConcatenada!$A:$A, 0)), ISNUMBER(MATCH(T$1, AsistenciaJetAdminConcatenada!$B:$B, 0)), ISNUMBER(SEARCH($A53,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ISNUMBER(SEARCH($A53, INDEX(AsistenciaJetAdminConcatenada!$D:$D, MATCH(1, (AsistenciaJetAdminConcatenada!$A:$A=T$2)*(AsistenciaJetAdminConcatenada!$B:$B=T$1), 0)), 1))),  0.5, 0))</f>
        <v>1</v>
      </c>
      <c r="U53" s="47">
        <f t="array" ref="U53">IF(AND(ISNUMBER(MATCH(U$2, AsistenciaJetAdminConcatenada!$A:$A, 0)), ISNUMBER(MATCH(U$1, AsistenciaJetAdminConcatenada!$B:$B, 0)), ISNUMBER(SEARCH($A53,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ISNUMBER(SEARCH($A53, INDEX(AsistenciaJetAdminConcatenada!$D:$D, MATCH(1, (AsistenciaJetAdminConcatenada!$A:$A=U$2)*(AsistenciaJetAdminConcatenada!$B:$B=U$1), 0)), 1))),  0.5, 0))</f>
        <v>1</v>
      </c>
      <c r="V53" s="47">
        <f t="array" ref="V53">IF(AND(ISNUMBER(MATCH(V$2, AsistenciaJetAdminConcatenada!$A:$A, 0)), ISNUMBER(MATCH(V$1, AsistenciaJetAdminConcatenada!$B:$B, 0)), ISNUMBER(SEARCH($A53,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ISNUMBER(SEARCH($A53, INDEX(AsistenciaJetAdminConcatenada!$D:$D, MATCH(1, (AsistenciaJetAdminConcatenada!$A:$A=V$2)*(AsistenciaJetAdminConcatenada!$B:$B=V$1), 0)), 1))),  0.5, 0))</f>
        <v>1</v>
      </c>
      <c r="W53" s="47">
        <f t="array" ref="W53">IF(AND(ISNUMBER(MATCH(W$2, AsistenciaJetAdminConcatenada!$A:$A, 0)), ISNUMBER(MATCH(W$1, AsistenciaJetAdminConcatenada!$B:$B, 0)), ISNUMBER(SEARCH($A53,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ISNUMBER(SEARCH($A53, INDEX(AsistenciaJetAdminConcatenada!$D:$D, MATCH(1, (AsistenciaJetAdminConcatenada!$A:$A=W$2)*(AsistenciaJetAdminConcatenada!$B:$B=W$1), 0)), 1))),  0.5, 0))</f>
        <v>1</v>
      </c>
      <c r="X53" s="47">
        <f t="array" ref="X53">IF(AND(ISNUMBER(MATCH(X$2, AsistenciaJetAdminConcatenada!$A:$A, 0)), ISNUMBER(MATCH(X$1, AsistenciaJetAdminConcatenada!$B:$B, 0)), ISNUMBER(SEARCH($A53,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ISNUMBER(SEARCH($A53, INDEX(AsistenciaJetAdminConcatenada!$D:$D, MATCH(1, (AsistenciaJetAdminConcatenada!$A:$A=X$2)*(AsistenciaJetAdminConcatenada!$B:$B=X$1), 0)), 1))),  0.5, 0))</f>
        <v>1</v>
      </c>
      <c r="Y53" s="47">
        <f t="array" ref="Y53">IF(AND(ISNUMBER(MATCH(Y$2, AsistenciaJetAdminConcatenada!$A:$A, 0)), ISNUMBER(MATCH(Y$1, AsistenciaJetAdminConcatenada!$B:$B, 0)), ISNUMBER(SEARCH($A53,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ISNUMBER(SEARCH($A53, INDEX(AsistenciaJetAdminConcatenada!$D:$D, MATCH(1, (AsistenciaJetAdminConcatenada!$A:$A=Y$2)*(AsistenciaJetAdminConcatenada!$B:$B=Y$1), 0)), 1))),  0.5, 0))</f>
        <v>1</v>
      </c>
      <c r="Z53" s="47">
        <f t="array" ref="Z53">IF(AND(ISNUMBER(MATCH(Z$2, AsistenciaJetAdminConcatenada!$A:$A, 0)), ISNUMBER(MATCH(Z$1, AsistenciaJetAdminConcatenada!$B:$B, 0)), ISNUMBER(SEARCH($A53,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ISNUMBER(SEARCH($A53, INDEX(AsistenciaJetAdminConcatenada!$D:$D, MATCH(1, (AsistenciaJetAdminConcatenada!$A:$A=Z$2)*(AsistenciaJetAdminConcatenada!$B:$B=Z$1), 0)), 1))),  0.5, 0))</f>
        <v>0</v>
      </c>
      <c r="AA53" s="47">
        <f t="array" ref="AA53">IF(AND(ISNUMBER(MATCH(AA$2, AsistenciaJetAdminConcatenada!$A:$A, 0)), ISNUMBER(MATCH(AA$1, AsistenciaJetAdminConcatenada!$B:$B, 0)), ISNUMBER(SEARCH($A53,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ISNUMBER(SEARCH($A53, INDEX(AsistenciaJetAdminConcatenada!$D:$D, MATCH(1, (AsistenciaJetAdminConcatenada!$A:$A=AA$2)*(AsistenciaJetAdminConcatenada!$B:$B=AA$1), 0)), 1))),  0.5, 0))</f>
        <v>1</v>
      </c>
      <c r="AB53" s="47">
        <f t="array" ref="AB53">IF(AND(ISNUMBER(MATCH(AB$2, AsistenciaJetAdminConcatenada!$A:$A, 0)), ISNUMBER(MATCH(AB$1, AsistenciaJetAdminConcatenada!$B:$B, 0)), ISNUMBER(SEARCH($A53,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ISNUMBER(SEARCH($A53, INDEX(AsistenciaJetAdminConcatenada!$D:$D, MATCH(1, (AsistenciaJetAdminConcatenada!$A:$A=AB$2)*(AsistenciaJetAdminConcatenada!$B:$B=AB$1), 0)), 1))),  0.5, 0))</f>
        <v>1</v>
      </c>
      <c r="AC53" s="47">
        <f t="array" ref="AC53">IF(AND(ISNUMBER(MATCH(AC$2, AsistenciaJetAdminConcatenada!$A:$A, 0)), ISNUMBER(MATCH(AC$1, AsistenciaJetAdminConcatenada!$B:$B, 0)), ISNUMBER(SEARCH($A53,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ISNUMBER(SEARCH($A53, INDEX(AsistenciaJetAdminConcatenada!$D:$D, MATCH(1, (AsistenciaJetAdminConcatenada!$A:$A=AC$2)*(AsistenciaJetAdminConcatenada!$B:$B=AC$1), 0)), 1))),  0.5, 0))</f>
        <v>1</v>
      </c>
      <c r="AD53" s="47">
        <f t="array" ref="AD53">IF(AND(ISNUMBER(MATCH(AD$2, AsistenciaJetAdminConcatenada!$A:$A, 0)), ISNUMBER(MATCH(AD$1, AsistenciaJetAdminConcatenada!$B:$B, 0)), ISNUMBER(SEARCH($A53,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ISNUMBER(SEARCH($A53, INDEX(AsistenciaJetAdminConcatenada!$D:$D, MATCH(1, (AsistenciaJetAdminConcatenada!$A:$A=AD$2)*(AsistenciaJetAdminConcatenada!$B:$B=AD$1), 0)), 1))),  0.5, 0))</f>
        <v>1</v>
      </c>
      <c r="AE53" s="47">
        <f t="array" ref="AE53">IF(AND(ISNUMBER(MATCH(AE$2, AsistenciaJetAdminConcatenada!$A:$A, 0)), ISNUMBER(MATCH(AE$1, AsistenciaJetAdminConcatenada!$B:$B, 0)), ISNUMBER(SEARCH($A53,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ISNUMBER(SEARCH($A53, INDEX(AsistenciaJetAdminConcatenada!$D:$D, MATCH(1, (AsistenciaJetAdminConcatenada!$A:$A=AE$2)*(AsistenciaJetAdminConcatenada!$B:$B=AE$1), 0)), 1))),  0.5, 0))</f>
        <v>1</v>
      </c>
      <c r="AF53" s="47">
        <f t="array" ref="AF53">IF(AND(ISNUMBER(MATCH(AF$2, AsistenciaJetAdminConcatenada!$A:$A, 0)), ISNUMBER(MATCH(AF$1, AsistenciaJetAdminConcatenada!$B:$B, 0)), ISNUMBER(SEARCH($A53,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ISNUMBER(SEARCH($A53, INDEX(AsistenciaJetAdminConcatenada!$D:$D, MATCH(1, (AsistenciaJetAdminConcatenada!$A:$A=AF$2)*(AsistenciaJetAdminConcatenada!$B:$B=AF$1), 0)), 1))),  0.5, 0))</f>
        <v>1</v>
      </c>
      <c r="AG53" s="47">
        <f t="array" ref="AG53">IF(AND(ISNUMBER(MATCH(AG$2, AsistenciaJetAdminConcatenada!$A:$A, 0)), ISNUMBER(MATCH(AG$1, AsistenciaJetAdminConcatenada!$B:$B, 0)), ISNUMBER(SEARCH($A53,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ISNUMBER(SEARCH($A53, INDEX(AsistenciaJetAdminConcatenada!$D:$D, MATCH(1, (AsistenciaJetAdminConcatenada!$A:$A=AG$2)*(AsistenciaJetAdminConcatenada!$B:$B=AG$1), 0)), 1))),  0.5, 0))</f>
        <v>0</v>
      </c>
      <c r="AH53" s="47">
        <f t="array" ref="AH53">IF(AND(ISNUMBER(MATCH(AH$2, AsistenciaJetAdminConcatenada!$A:$A, 0)), ISNUMBER(MATCH(AH$1, AsistenciaJetAdminConcatenada!$B:$B, 0)), ISNUMBER(SEARCH($A53,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ISNUMBER(SEARCH($A53, INDEX(AsistenciaJetAdminConcatenada!$D:$D, MATCH(1, (AsistenciaJetAdminConcatenada!$A:$A=AH$2)*(AsistenciaJetAdminConcatenada!$B:$B=AH$1), 0)), 1))),  0.5, 0))</f>
        <v>0</v>
      </c>
      <c r="AI53" s="47">
        <f t="array" ref="AI53">IF(AND(ISNUMBER(MATCH(AI$2, AsistenciaJetAdminConcatenada!$A:$A, 0)), ISNUMBER(MATCH(AI$1, AsistenciaJetAdminConcatenada!$B:$B, 0)), ISNUMBER(SEARCH($A53,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ISNUMBER(SEARCH($A53, INDEX(AsistenciaJetAdminConcatenada!$D:$D, MATCH(1, (AsistenciaJetAdminConcatenada!$A:$A=AI$2)*(AsistenciaJetAdminConcatenada!$B:$B=AI$1), 0)), 1))),  0.5, 0))</f>
        <v>1</v>
      </c>
      <c r="AJ53" s="47">
        <f t="array" ref="AJ53">IF(AND(ISNUMBER(MATCH(AJ$2, AsistenciaJetAdminConcatenada!$A:$A, 0)), ISNUMBER(MATCH(AJ$1, AsistenciaJetAdminConcatenada!$B:$B, 0)), ISNUMBER(SEARCH($A53,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ISNUMBER(SEARCH($A53, INDEX(AsistenciaJetAdminConcatenada!$D:$D, MATCH(1, (AsistenciaJetAdminConcatenada!$A:$A=AJ$2)*(AsistenciaJetAdminConcatenada!$B:$B=AJ$1), 0)), 1))),  0.5, 0))</f>
        <v>0</v>
      </c>
      <c r="AK53" s="47">
        <f t="array" ref="AK53">IF(AND(ISNUMBER(MATCH(AK$2, AsistenciaJetAdminConcatenada!$A:$A, 0)), ISNUMBER(MATCH(AK$1, AsistenciaJetAdminConcatenada!$B:$B, 0)), ISNUMBER(SEARCH($A53,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ISNUMBER(SEARCH($A53, INDEX(AsistenciaJetAdminConcatenada!$D:$D, MATCH(1, (AsistenciaJetAdminConcatenada!$A:$A=AK$2)*(AsistenciaJetAdminConcatenada!$B:$B=AK$1), 0)), 1))),  0.5, 0))</f>
        <v>0</v>
      </c>
      <c r="AL53" s="47">
        <f t="array" ref="AL53">IF(AND(ISNUMBER(MATCH(AL$2, AsistenciaJetAdminConcatenada!$A:$A, 0)), ISNUMBER(MATCH(AL$1, AsistenciaJetAdminConcatenada!$B:$B, 0)), ISNUMBER(SEARCH($A53,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ISNUMBER(SEARCH($A53, INDEX(AsistenciaJetAdminConcatenada!$D:$D, MATCH(1, (AsistenciaJetAdminConcatenada!$A:$A=AL$2)*(AsistenciaJetAdminConcatenada!$B:$B=AL$1), 0)), 1))),  0.5, 0))</f>
        <v>1</v>
      </c>
      <c r="AM53" s="47">
        <f t="array" ref="AM53">IF(AND(ISNUMBER(MATCH(AM$2, AsistenciaJetAdminConcatenada!$A:$A, 0)), ISNUMBER(MATCH(AM$1, AsistenciaJetAdminConcatenada!$B:$B, 0)), ISNUMBER(SEARCH($A53,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ISNUMBER(SEARCH($A53, INDEX(AsistenciaJetAdminConcatenada!$D:$D, MATCH(1, (AsistenciaJetAdminConcatenada!$A:$A=AM$2)*(AsistenciaJetAdminConcatenada!$B:$B=AM$1), 0)), 1))),  0.5, 0))</f>
        <v>1</v>
      </c>
      <c r="AN53" s="47">
        <f t="array" ref="AN53">IF(AND(ISNUMBER(MATCH(AN$2, AsistenciaJetAdminConcatenada!$A:$A, 0)), ISNUMBER(MATCH(AN$1, AsistenciaJetAdminConcatenada!$B:$B, 0)), ISNUMBER(SEARCH($A53,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ISNUMBER(SEARCH($A53, INDEX(AsistenciaJetAdminConcatenada!$D:$D, MATCH(1, (AsistenciaJetAdminConcatenada!$A:$A=AN$2)*(AsistenciaJetAdminConcatenada!$B:$B=AN$1), 0)), 1))),  0.5, 0))</f>
        <v>0</v>
      </c>
      <c r="AO53" s="47">
        <f t="array" ref="AO53">IF(AND(ISNUMBER(MATCH(AO$2, AsistenciaJetAdminConcatenada!$A:$A, 0)), ISNUMBER(MATCH(AO$1, AsistenciaJetAdminConcatenada!$B:$B, 0)), ISNUMBER(SEARCH($A53,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ISNUMBER(SEARCH($A53, INDEX(AsistenciaJetAdminConcatenada!$D:$D, MATCH(1, (AsistenciaJetAdminConcatenada!$A:$A=AO$2)*(AsistenciaJetAdminConcatenada!$B:$B=AO$1), 0)), 1))),  0.5, 0))</f>
        <v>1</v>
      </c>
      <c r="AP53" s="47">
        <f t="array" ref="AP53">IF(AND(ISNUMBER(MATCH(AP$2, AsistenciaJetAdminConcatenada!$A:$A, 0)), ISNUMBER(MATCH(AP$1, AsistenciaJetAdminConcatenada!$B:$B, 0)), ISNUMBER(SEARCH($A53,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ISNUMBER(SEARCH($A53, INDEX(AsistenciaJetAdminConcatenada!$D:$D, MATCH(1, (AsistenciaJetAdminConcatenada!$A:$A=AP$2)*(AsistenciaJetAdminConcatenada!$B:$B=AP$1), 0)), 1))),  0.5, 0))</f>
        <v>1</v>
      </c>
      <c r="AQ53" s="47">
        <f t="array" ref="AQ53">IF(AND(ISNUMBER(MATCH(AQ$2, AsistenciaJetAdminConcatenada!$A:$A, 0)), ISNUMBER(MATCH(AQ$1, AsistenciaJetAdminConcatenada!$B:$B, 0)), ISNUMBER(SEARCH($A53,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ISNUMBER(SEARCH($A53, INDEX(AsistenciaJetAdminConcatenada!$D:$D, MATCH(1, (AsistenciaJetAdminConcatenada!$A:$A=AQ$2)*(AsistenciaJetAdminConcatenada!$B:$B=AQ$1), 0)), 1))),  0.5, 0))</f>
        <v>0</v>
      </c>
      <c r="AR53" s="47">
        <f t="array" ref="AR53">IF(AND(ISNUMBER(MATCH(AR$2, AsistenciaJetAdminConcatenada!$A:$A, 0)), ISNUMBER(MATCH(AR$1, AsistenciaJetAdminConcatenada!$B:$B, 0)), ISNUMBER(SEARCH($A53,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ISNUMBER(SEARCH($A53, INDEX(AsistenciaJetAdminConcatenada!$D:$D, MATCH(1, (AsistenciaJetAdminConcatenada!$A:$A=AR$2)*(AsistenciaJetAdminConcatenada!$B:$B=AR$1), 0)), 1))),  0.5, 0))</f>
        <v>1</v>
      </c>
      <c r="AS53" s="47">
        <f t="array" ref="AS53">IF(AND(ISNUMBER(MATCH(AS$2, AsistenciaJetAdminConcatenada!$A:$A, 0)), ISNUMBER(MATCH(AS$1, AsistenciaJetAdminConcatenada!$B:$B, 0)), ISNUMBER(SEARCH($A53,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ISNUMBER(SEARCH($A53, INDEX(AsistenciaJetAdminConcatenada!$D:$D, MATCH(1, (AsistenciaJetAdminConcatenada!$A:$A=AS$2)*(AsistenciaJetAdminConcatenada!$B:$B=AS$1), 0)), 1))),  0.5, 0))</f>
        <v>1</v>
      </c>
      <c r="AT53" s="47">
        <f t="array" ref="AT53">IF(AND(ISNUMBER(MATCH(AT$2, AsistenciaJetAdminConcatenada!$A:$A, 0)), ISNUMBER(MATCH(AT$1, AsistenciaJetAdminConcatenada!$B:$B, 0)), ISNUMBER(SEARCH($A53,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ISNUMBER(SEARCH($A53, INDEX(AsistenciaJetAdminConcatenada!$D:$D, MATCH(1, (AsistenciaJetAdminConcatenada!$A:$A=AT$2)*(AsistenciaJetAdminConcatenada!$B:$B=AT$1), 0)), 1))),  0.5, 0))</f>
        <v>1</v>
      </c>
      <c r="AU53" s="47">
        <f t="array" ref="AU53">IF(AND(ISNUMBER(MATCH(AU$2, AsistenciaJetAdminConcatenada!$A:$A, 0)), ISNUMBER(MATCH(AU$1, AsistenciaJetAdminConcatenada!$B:$B, 0)), ISNUMBER(SEARCH($A53,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ISNUMBER(SEARCH($A53, INDEX(AsistenciaJetAdminConcatenada!$D:$D, MATCH(1, (AsistenciaJetAdminConcatenada!$A:$A=AU$2)*(AsistenciaJetAdminConcatenada!$B:$B=AU$1), 0)), 1))),  0.5, 0))</f>
        <v>1</v>
      </c>
      <c r="AV53" s="47">
        <f t="array" ref="AV53">IF(AND(ISNUMBER(MATCH(AV$2, AsistenciaJetAdminConcatenada!$A:$A, 0)), ISNUMBER(MATCH(AV$1, AsistenciaJetAdminConcatenada!$B:$B, 0)), ISNUMBER(SEARCH($A53,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ISNUMBER(SEARCH($A53, INDEX(AsistenciaJetAdminConcatenada!$D:$D, MATCH(1, (AsistenciaJetAdminConcatenada!$A:$A=AV$2)*(AsistenciaJetAdminConcatenada!$B:$B=AV$1), 0)), 1))),  0.5, 0))</f>
        <v>1</v>
      </c>
      <c r="AW53" s="47">
        <f t="array" ref="AW53">IF(AND(ISNUMBER(MATCH(AW$2, AsistenciaJetAdminConcatenada!$A:$A, 0)), ISNUMBER(MATCH(AW$1, AsistenciaJetAdminConcatenada!$B:$B, 0)), ISNUMBER(SEARCH($A53,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ISNUMBER(SEARCH($A53, INDEX(AsistenciaJetAdminConcatenada!$D:$D, MATCH(1, (AsistenciaJetAdminConcatenada!$A:$A=AW$2)*(AsistenciaJetAdminConcatenada!$B:$B=AW$1), 0)), 1))),  0.5, 0))</f>
        <v>1</v>
      </c>
      <c r="AX53" s="47">
        <f t="array" ref="AX53">IF(AND(ISNUMBER(MATCH(AX$2, AsistenciaJetAdminConcatenada!$A:$A, 0)), ISNUMBER(MATCH(AX$1, AsistenciaJetAdminConcatenada!$B:$B, 0)), ISNUMBER(SEARCH($A53,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ISNUMBER(SEARCH($A53, INDEX(AsistenciaJetAdminConcatenada!$D:$D, MATCH(1, (AsistenciaJetAdminConcatenada!$A:$A=AX$2)*(AsistenciaJetAdminConcatenada!$B:$B=AX$1), 0)), 1))),  0.5, 0))</f>
        <v>0</v>
      </c>
      <c r="AY53" s="47">
        <f t="array" ref="AY53">IF(AND(ISNUMBER(MATCH(AY$2, AsistenciaJetAdminConcatenada!$A:$A, 0)), ISNUMBER(MATCH(AY$1, AsistenciaJetAdminConcatenada!$B:$B, 0)), ISNUMBER(SEARCH($A53,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ISNUMBER(SEARCH($A53, INDEX(AsistenciaJetAdminConcatenada!$D:$D, MATCH(1, (AsistenciaJetAdminConcatenada!$A:$A=AY$2)*(AsistenciaJetAdminConcatenada!$B:$B=AY$1), 0)), 1))),  0.5, 0))</f>
        <v>0</v>
      </c>
      <c r="AZ53" s="47">
        <f t="array" ref="AZ53">IF(AND(ISNUMBER(MATCH(AZ$2, AsistenciaJetAdminConcatenada!$A:$A, 0)), ISNUMBER(MATCH(AZ$1, AsistenciaJetAdminConcatenada!$B:$B, 0)), ISNUMBER(SEARCH($A53,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ISNUMBER(SEARCH($A53, INDEX(AsistenciaJetAdminConcatenada!$D:$D, MATCH(1, (AsistenciaJetAdminConcatenada!$A:$A=AZ$2)*(AsistenciaJetAdminConcatenada!$B:$B=AZ$1), 0)), 1))),  0.5, 0))</f>
        <v>1</v>
      </c>
      <c r="BA53" s="47">
        <f t="array" ref="BA53">IF(AND(ISNUMBER(MATCH(BA$2, AsistenciaJetAdminConcatenada!$A:$A, 0)), ISNUMBER(MATCH(BA$1, AsistenciaJetAdminConcatenada!$B:$B, 0)), ISNUMBER(SEARCH($A53,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ISNUMBER(SEARCH($A53, INDEX(AsistenciaJetAdminConcatenada!$D:$D, MATCH(1, (AsistenciaJetAdminConcatenada!$A:$A=BA$2)*(AsistenciaJetAdminConcatenada!$B:$B=BA$1), 0)), 1))),  0.5, 0))</f>
        <v>1</v>
      </c>
      <c r="BB53" s="47">
        <f t="array" ref="BB53">IF(AND(ISNUMBER(MATCH(BB$2, AsistenciaJetAdminConcatenada!$A:$A, 0)), ISNUMBER(MATCH(BB$1, AsistenciaJetAdminConcatenada!$B:$B, 0)), ISNUMBER(SEARCH($A53,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ISNUMBER(SEARCH($A53, INDEX(AsistenciaJetAdminConcatenada!$D:$D, MATCH(1, (AsistenciaJetAdminConcatenada!$A:$A=BB$2)*(AsistenciaJetAdminConcatenada!$B:$B=BB$1), 0)), 1))),  0.5, 0))</f>
        <v>1</v>
      </c>
      <c r="BC53" s="47">
        <f t="array" ref="BC53">IF(AND(ISNUMBER(MATCH(BC$2, AsistenciaJetAdminConcatenada!$A:$A, 0)), ISNUMBER(MATCH(BC$1, AsistenciaJetAdminConcatenada!$B:$B, 0)), ISNUMBER(SEARCH($A53,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ISNUMBER(SEARCH($A53, INDEX(AsistenciaJetAdminConcatenada!$D:$D, MATCH(1, (AsistenciaJetAdminConcatenada!$A:$A=BC$2)*(AsistenciaJetAdminConcatenada!$B:$B=BC$1), 0)), 1))),  0.5, 0))</f>
        <v>0</v>
      </c>
      <c r="BD53" s="47">
        <f t="array" ref="BD53">IF(AND(ISNUMBER(MATCH(BD$2, AsistenciaJetAdminConcatenada!$A:$A, 0)), ISNUMBER(MATCH(BD$1, AsistenciaJetAdminConcatenada!$B:$B, 0)), ISNUMBER(SEARCH($A53,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ISNUMBER(SEARCH($A53, INDEX(AsistenciaJetAdminConcatenada!$D:$D, MATCH(1, (AsistenciaJetAdminConcatenada!$A:$A=BD$2)*(AsistenciaJetAdminConcatenada!$B:$B=BD$1), 0)), 1))),  0.5, 0))</f>
        <v>0</v>
      </c>
      <c r="BE53" s="47">
        <f t="array" ref="BE53">IF(AND(ISNUMBER(MATCH(BE$2, AsistenciaJetAdminConcatenada!$A:$A, 0)), ISNUMBER(MATCH(BE$1, AsistenciaJetAdminConcatenada!$B:$B, 0)), ISNUMBER(SEARCH($A53,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ISNUMBER(SEARCH($A53, INDEX(AsistenciaJetAdminConcatenada!$D:$D, MATCH(1, (AsistenciaJetAdminConcatenada!$A:$A=BE$2)*(AsistenciaJetAdminConcatenada!$B:$B=BE$1), 0)), 1))),  0.5, 0))</f>
        <v>1</v>
      </c>
      <c r="BF53" s="47">
        <f t="array" ref="BF53">IF(AND(ISNUMBER(MATCH(BF$2, AsistenciaJetAdminConcatenada!$A:$A, 0)), ISNUMBER(MATCH(BF$1, AsistenciaJetAdminConcatenada!$B:$B, 0)), ISNUMBER(SEARCH($A53,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ISNUMBER(SEARCH($A53, INDEX(AsistenciaJetAdminConcatenada!$D:$D, MATCH(1, (AsistenciaJetAdminConcatenada!$A:$A=BF$2)*(AsistenciaJetAdminConcatenada!$B:$B=BF$1), 0)), 1))),  0.5, 0))</f>
        <v>0</v>
      </c>
      <c r="BG53" s="47">
        <f t="array" ref="BG53">IF(AND(ISNUMBER(MATCH(BG$2, AsistenciaJetAdminConcatenada!$A:$A, 0)), ISNUMBER(MATCH(BG$1, AsistenciaJetAdminConcatenada!$B:$B, 0)), ISNUMBER(SEARCH($A53,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ISNUMBER(SEARCH($A53, INDEX(AsistenciaJetAdminConcatenada!$D:$D, MATCH(1, (AsistenciaJetAdminConcatenada!$A:$A=BG$2)*(AsistenciaJetAdminConcatenada!$B:$B=BG$1), 0)), 1))),  0.5, 0))</f>
        <v>0</v>
      </c>
      <c r="BH53" s="47">
        <f t="array" ref="BH53">IF(AND(ISNUMBER(MATCH(BH$2, AsistenciaJetAdminConcatenada!$A:$A, 0)), ISNUMBER(MATCH(BH$1, AsistenciaJetAdminConcatenada!$B:$B, 0)), ISNUMBER(SEARCH($A53,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ISNUMBER(SEARCH($A53, INDEX(AsistenciaJetAdminConcatenada!$D:$D, MATCH(1, (AsistenciaJetAdminConcatenada!$A:$A=BH$2)*(AsistenciaJetAdminConcatenada!$B:$B=BH$1), 0)), 1))),  0.5, 0))</f>
        <v>1</v>
      </c>
      <c r="BI53" s="47">
        <f t="array" ref="BI53">IF(AND(ISNUMBER(MATCH(BI$2, AsistenciaJetAdminConcatenada!$A:$A, 0)), ISNUMBER(MATCH(BI$1, AsistenciaJetAdminConcatenada!$B:$B, 0)), ISNUMBER(SEARCH($A53,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ISNUMBER(SEARCH($A53, INDEX(AsistenciaJetAdminConcatenada!$D:$D, MATCH(1, (AsistenciaJetAdminConcatenada!$A:$A=BI$2)*(AsistenciaJetAdminConcatenada!$B:$B=BI$1), 0)), 1))),  0.5, 0))</f>
        <v>0</v>
      </c>
      <c r="BJ53" s="47">
        <f t="array" ref="BJ53">IF(AND(ISNUMBER(MATCH(BJ$2, AsistenciaJetAdminConcatenada!$A:$A, 0)), ISNUMBER(MATCH(BJ$1, AsistenciaJetAdminConcatenada!$B:$B, 0)), ISNUMBER(SEARCH($A53,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ISNUMBER(SEARCH($A53, INDEX(AsistenciaJetAdminConcatenada!$D:$D, MATCH(1, (AsistenciaJetAdminConcatenada!$A:$A=BJ$2)*(AsistenciaJetAdminConcatenada!$B:$B=BJ$1), 0)), 1))),  0.5, 0))</f>
        <v>1</v>
      </c>
      <c r="BK53" s="47">
        <f t="array" ref="BK53">IF(AND(ISNUMBER(MATCH(BK$2, AsistenciaJetAdminConcatenada!$A:$A, 0)), ISNUMBER(MATCH(BK$1, AsistenciaJetAdminConcatenada!$B:$B, 0)), ISNUMBER(SEARCH($A53,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ISNUMBER(SEARCH($A53, INDEX(AsistenciaJetAdminConcatenada!$D:$D, MATCH(1, (AsistenciaJetAdminConcatenada!$A:$A=BK$2)*(AsistenciaJetAdminConcatenada!$B:$B=BK$1), 0)), 1))),  0.5, 0))</f>
        <v>1</v>
      </c>
      <c r="BL53" s="47">
        <f t="array" ref="BL53">IF(AND(ISNUMBER(MATCH(BL$2, AsistenciaJetAdminConcatenada!$A:$A, 0)), ISNUMBER(MATCH(BL$1, AsistenciaJetAdminConcatenada!$B:$B, 0)), ISNUMBER(SEARCH($A53,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ISNUMBER(SEARCH($A53, INDEX(AsistenciaJetAdminConcatenada!$D:$D, MATCH(1, (AsistenciaJetAdminConcatenada!$A:$A=BL$2)*(AsistenciaJetAdminConcatenada!$B:$B=BL$1), 0)), 1))),  0.5, 0))</f>
        <v>1</v>
      </c>
      <c r="BM53" s="47">
        <f t="array" ref="BM53">IF(AND(ISNUMBER(MATCH(BM$2, AsistenciaJetAdminConcatenada!$A:$A, 0)), ISNUMBER(MATCH(BM$1, AsistenciaJetAdminConcatenada!$B:$B, 0)), ISNUMBER(SEARCH($A53,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ISNUMBER(SEARCH($A53, INDEX(AsistenciaJetAdminConcatenada!$D:$D, MATCH(1, (AsistenciaJetAdminConcatenada!$A:$A=BM$2)*(AsistenciaJetAdminConcatenada!$B:$B=BM$1), 0)), 1))),  0.5, 0))</f>
        <v>1</v>
      </c>
      <c r="BN53" s="47">
        <f t="array" ref="BN53">IF(AND(ISNUMBER(MATCH(BN$2, AsistenciaJetAdminConcatenada!$A:$A, 0)), ISNUMBER(MATCH(BN$1, AsistenciaJetAdminConcatenada!$B:$B, 0)), ISNUMBER(SEARCH($A53,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ISNUMBER(SEARCH($A53, INDEX(AsistenciaJetAdminConcatenada!$D:$D, MATCH(1, (AsistenciaJetAdminConcatenada!$A:$A=BN$2)*(AsistenciaJetAdminConcatenada!$B:$B=BN$1), 0)), 1))),  0.5, 0))</f>
        <v>1</v>
      </c>
      <c r="BO53" s="47">
        <f t="array" ref="BO53">IF(AND(ISNUMBER(MATCH(BO$2, AsistenciaJetAdminConcatenada!$A:$A, 0)), ISNUMBER(MATCH(BO$1, AsistenciaJetAdminConcatenada!$B:$B, 0)), ISNUMBER(SEARCH($A53,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ISNUMBER(SEARCH($A53, INDEX(AsistenciaJetAdminConcatenada!$D:$D, MATCH(1, (AsistenciaJetAdminConcatenada!$A:$A=BO$2)*(AsistenciaJetAdminConcatenada!$B:$B=BO$1), 0)), 1))),  0.5, 0))</f>
        <v>1</v>
      </c>
      <c r="BP53" s="47">
        <f t="array" ref="BP53">IF(AND(ISNUMBER(MATCH(BP$2, AsistenciaJetAdminConcatenada!$A:$A, 0)), ISNUMBER(MATCH(BP$1, AsistenciaJetAdminConcatenada!$B:$B, 0)), ISNUMBER(SEARCH($A53,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ISNUMBER(SEARCH($A53, INDEX(AsistenciaJetAdminConcatenada!$D:$D, MATCH(1, (AsistenciaJetAdminConcatenada!$A:$A=BP$2)*(AsistenciaJetAdminConcatenada!$B:$B=BP$1), 0)), 1))),  0.5, 0))</f>
        <v>0</v>
      </c>
      <c r="BQ53" s="47">
        <f t="array" ref="BQ53">IF(AND(ISNUMBER(MATCH(BQ$2, AsistenciaJetAdminConcatenada!$A:$A, 0)), ISNUMBER(MATCH(BQ$1, AsistenciaJetAdminConcatenada!$B:$B, 0)), ISNUMBER(SEARCH($A53,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ISNUMBER(SEARCH($A53, INDEX(AsistenciaJetAdminConcatenada!$D:$D, MATCH(1, (AsistenciaJetAdminConcatenada!$A:$A=BQ$2)*(AsistenciaJetAdminConcatenada!$B:$B=BQ$1), 0)), 1))),  0.5, 0))</f>
        <v>1</v>
      </c>
      <c r="BR53" s="47">
        <f t="array" ref="BR53">IF(AND(ISNUMBER(MATCH(BR$2, AsistenciaJetAdminConcatenada!$A:$A, 0)), ISNUMBER(MATCH(BR$1, AsistenciaJetAdminConcatenada!$B:$B, 0)), ISNUMBER(SEARCH($A53,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ISNUMBER(SEARCH($A53, INDEX(AsistenciaJetAdminConcatenada!$D:$D, MATCH(1, (AsistenciaJetAdminConcatenada!$A:$A=BR$2)*(AsistenciaJetAdminConcatenada!$B:$B=BR$1), 0)), 1))),  0.5, 0))</f>
        <v>1</v>
      </c>
      <c r="BS53" s="47">
        <f t="array" ref="BS53">IF(AND(ISNUMBER(MATCH(BS$2, AsistenciaJetAdminConcatenada!$A:$A, 0)), ISNUMBER(MATCH(BS$1, AsistenciaJetAdminConcatenada!$B:$B, 0)), ISNUMBER(SEARCH($A53,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ISNUMBER(SEARCH($A53, INDEX(AsistenciaJetAdminConcatenada!$D:$D, MATCH(1, (AsistenciaJetAdminConcatenada!$A:$A=BS$2)*(AsistenciaJetAdminConcatenada!$B:$B=BS$1), 0)), 1))),  0.5, 0))</f>
        <v>0</v>
      </c>
      <c r="BT53" s="47">
        <f t="array" ref="BT53">IF(AND(ISNUMBER(MATCH(BT$2, AsistenciaJetAdminConcatenada!$A:$A, 0)), ISNUMBER(MATCH(BT$1, AsistenciaJetAdminConcatenada!$B:$B, 0)), ISNUMBER(SEARCH($A53,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ISNUMBER(SEARCH($A53, INDEX(AsistenciaJetAdminConcatenada!$D:$D, MATCH(1, (AsistenciaJetAdminConcatenada!$A:$A=BT$2)*(AsistenciaJetAdminConcatenada!$B:$B=BT$1), 0)), 1))),  0.5, 0))</f>
        <v>0</v>
      </c>
      <c r="BU53" s="47">
        <f t="array" ref="BU53">IF(AND(ISNUMBER(MATCH(BU$2, AsistenciaJetAdminConcatenada!$A:$A, 0)), ISNUMBER(MATCH(BU$1, AsistenciaJetAdminConcatenada!$B:$B, 0)), ISNUMBER(SEARCH($A53,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ISNUMBER(SEARCH($A53, INDEX(AsistenciaJetAdminConcatenada!$D:$D, MATCH(1, (AsistenciaJetAdminConcatenada!$A:$A=BU$2)*(AsistenciaJetAdminConcatenada!$B:$B=BU$1), 0)), 1))),  0.5, 0))</f>
        <v>0</v>
      </c>
      <c r="BV53" s="47">
        <f t="array" ref="BV53">IF(AND(ISNUMBER(MATCH(BV$2, AsistenciaJetAdminConcatenada!$A:$A, 0)), ISNUMBER(MATCH(BV$1, AsistenciaJetAdminConcatenada!$B:$B, 0)), ISNUMBER(SEARCH($A53,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ISNUMBER(SEARCH($A53, INDEX(AsistenciaJetAdminConcatenada!$D:$D, MATCH(1, (AsistenciaJetAdminConcatenada!$A:$A=BV$2)*(AsistenciaJetAdminConcatenada!$B:$B=BV$1), 0)), 1))),  0.5, 0))</f>
        <v>1</v>
      </c>
      <c r="BW53" s="47">
        <f t="array" ref="BW53">IF(AND(ISNUMBER(MATCH(BW$2, AsistenciaJetAdminConcatenada!$A:$A, 0)), ISNUMBER(MATCH(BW$1, AsistenciaJetAdminConcatenada!$B:$B, 0)), ISNUMBER(SEARCH($A53,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ISNUMBER(SEARCH($A53, INDEX(AsistenciaJetAdminConcatenada!$D:$D, MATCH(1, (AsistenciaJetAdminConcatenada!$A:$A=BW$2)*(AsistenciaJetAdminConcatenada!$B:$B=BW$1), 0)), 1))),  0.5, 0))</f>
        <v>1</v>
      </c>
      <c r="BX53" s="47">
        <f t="array" ref="BX53">IF(AND(ISNUMBER(MATCH(BX$2, AsistenciaJetAdminConcatenada!$A:$A, 0)), ISNUMBER(MATCH(BX$1, AsistenciaJetAdminConcatenada!$B:$B, 0)), ISNUMBER(SEARCH($A53,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ISNUMBER(SEARCH($A53, INDEX(AsistenciaJetAdminConcatenada!$D:$D, MATCH(1, (AsistenciaJetAdminConcatenada!$A:$A=BX$2)*(AsistenciaJetAdminConcatenada!$B:$B=BX$1), 0)), 1))),  0.5, 0))</f>
        <v>1</v>
      </c>
      <c r="BY53" s="47">
        <f t="array" ref="BY53">IF(AND(ISNUMBER(MATCH(BY$2, AsistenciaJetAdminConcatenada!$A:$A, 0)), ISNUMBER(MATCH(BY$1, AsistenciaJetAdminConcatenada!$B:$B, 0)), ISNUMBER(SEARCH($A53,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ISNUMBER(SEARCH($A53, INDEX(AsistenciaJetAdminConcatenada!$D:$D, MATCH(1, (AsistenciaJetAdminConcatenada!$A:$A=BY$2)*(AsistenciaJetAdminConcatenada!$B:$B=BY$1), 0)), 1))),  0.5, 0))</f>
        <v>1</v>
      </c>
      <c r="BZ53" s="47">
        <f t="array" ref="BZ53">IF(AND(ISNUMBER(MATCH(BZ$2, AsistenciaJetAdminConcatenada!$A:$A, 0)), ISNUMBER(MATCH(BZ$1, AsistenciaJetAdminConcatenada!$B:$B, 0)), ISNUMBER(SEARCH($A53,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ISNUMBER(SEARCH($A53, INDEX(AsistenciaJetAdminConcatenada!$D:$D, MATCH(1, (AsistenciaJetAdminConcatenada!$A:$A=BZ$2)*(AsistenciaJetAdminConcatenada!$B:$B=BZ$1), 0)), 1))),  0.5, 0))</f>
        <v>1</v>
      </c>
      <c r="CA53" s="47">
        <f t="array" ref="CA53">IF(AND(ISNUMBER(MATCH(CA$2, AsistenciaJetAdminConcatenada!$A:$A, 0)), ISNUMBER(MATCH(CA$1, AsistenciaJetAdminConcatenada!$B:$B, 0)), ISNUMBER(SEARCH($A53,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ISNUMBER(SEARCH($A53, INDEX(AsistenciaJetAdminConcatenada!$D:$D, MATCH(1, (AsistenciaJetAdminConcatenada!$A:$A=CA$2)*(AsistenciaJetAdminConcatenada!$B:$B=CA$1), 0)), 1))),  0.5, 0))</f>
        <v>1</v>
      </c>
      <c r="CB53" s="47">
        <f t="array" ref="CB53">IF(AND(ISNUMBER(MATCH(CB$2, AsistenciaJetAdminConcatenada!$A:$A, 0)), ISNUMBER(MATCH(CB$1, AsistenciaJetAdminConcatenada!$B:$B, 0)), ISNUMBER(SEARCH($A53,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ISNUMBER(SEARCH($A53, INDEX(AsistenciaJetAdminConcatenada!$D:$D, MATCH(1, (AsistenciaJetAdminConcatenada!$A:$A=CB$2)*(AsistenciaJetAdminConcatenada!$B:$B=CB$1), 0)), 1))),  0.5, 0))</f>
        <v>1</v>
      </c>
      <c r="CC53" s="47">
        <f t="array" ref="CC53">IF(AND(ISNUMBER(MATCH(CC$2, AsistenciaJetAdminConcatenada!$A:$A, 0)), ISNUMBER(MATCH(CC$1, AsistenciaJetAdminConcatenada!$B:$B, 0)), ISNUMBER(SEARCH($A53,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ISNUMBER(SEARCH($A53, INDEX(AsistenciaJetAdminConcatenada!$D:$D, MATCH(1, (AsistenciaJetAdminConcatenada!$A:$A=CC$2)*(AsistenciaJetAdminConcatenada!$B:$B=CC$1), 0)), 1))),  0.5, 0))</f>
        <v>1</v>
      </c>
      <c r="CD53" s="47">
        <f t="array" ref="CD53">IF(AND(ISNUMBER(MATCH(CD$2, AsistenciaJetAdminConcatenada!$A:$A, 0)), ISNUMBER(MATCH(CD$1, AsistenciaJetAdminConcatenada!$B:$B, 0)), ISNUMBER(SEARCH($A53,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ISNUMBER(SEARCH($A53, INDEX(AsistenciaJetAdminConcatenada!$D:$D, MATCH(1, (AsistenciaJetAdminConcatenada!$A:$A=CD$2)*(AsistenciaJetAdminConcatenada!$B:$B=CD$1), 0)), 1))),  0.5, 0))</f>
        <v>0</v>
      </c>
      <c r="CE53" s="47">
        <f t="array" ref="CE53">IF(AND(ISNUMBER(MATCH(CE$2, AsistenciaJetAdminConcatenada!$A:$A, 0)), ISNUMBER(MATCH(CE$1, AsistenciaJetAdminConcatenada!$B:$B, 0)), ISNUMBER(SEARCH($A53,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ISNUMBER(SEARCH($A53, INDEX(AsistenciaJetAdminConcatenada!$D:$D, MATCH(1, (AsistenciaJetAdminConcatenada!$A:$A=CE$2)*(AsistenciaJetAdminConcatenada!$B:$B=CE$1), 0)), 1))),  0.5, 0))</f>
        <v>0</v>
      </c>
      <c r="CF53" s="47">
        <f t="array" ref="CF53">IF(AND(ISNUMBER(MATCH(CF$2, AsistenciaJetAdminConcatenada!$A:$A, 0)), ISNUMBER(MATCH(CF$1, AsistenciaJetAdminConcatenada!$B:$B, 0)), ISNUMBER(SEARCH($A53,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ISNUMBER(SEARCH($A53, INDEX(AsistenciaJetAdminConcatenada!$D:$D, MATCH(1, (AsistenciaJetAdminConcatenada!$A:$A=CF$2)*(AsistenciaJetAdminConcatenada!$B:$B=CF$1), 0)), 1))),  0.5, 0))</f>
        <v>0</v>
      </c>
      <c r="CG53" s="47">
        <f t="array" ref="CG53">IF(AND(ISNUMBER(MATCH(CG$2, AsistenciaJetAdminConcatenada!$A:$A, 0)), ISNUMBER(MATCH(CG$1, AsistenciaJetAdminConcatenada!$B:$B, 0)), ISNUMBER(SEARCH($A53,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ISNUMBER(SEARCH($A53, INDEX(AsistenciaJetAdminConcatenada!$D:$D, MATCH(1, (AsistenciaJetAdminConcatenada!$A:$A=CG$2)*(AsistenciaJetAdminConcatenada!$B:$B=CG$1), 0)), 1))),  0.5, 0))</f>
        <v>1</v>
      </c>
      <c r="CH53" s="47">
        <f t="array" ref="CH53">IF(AND(ISNUMBER(MATCH(CH$2, AsistenciaJetAdminConcatenada!$A:$A, 0)), ISNUMBER(MATCH(CH$1, AsistenciaJetAdminConcatenada!$B:$B, 0)), ISNUMBER(SEARCH($A53,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ISNUMBER(SEARCH($A53, INDEX(AsistenciaJetAdminConcatenada!$D:$D, MATCH(1, (AsistenciaJetAdminConcatenada!$A:$A=CH$2)*(AsistenciaJetAdminConcatenada!$B:$B=CH$1), 0)), 1))),  0.5, 0))</f>
        <v>0</v>
      </c>
      <c r="CI53" s="47">
        <f t="array" ref="CI53">IF(AND(ISNUMBER(MATCH(CI$2, AsistenciaJetAdminConcatenada!$A:$A, 0)), ISNUMBER(MATCH(CI$1, AsistenciaJetAdminConcatenada!$B:$B, 0)), ISNUMBER(SEARCH($A53,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ISNUMBER(SEARCH($A53, INDEX(AsistenciaJetAdminConcatenada!$D:$D, MATCH(1, (AsistenciaJetAdminConcatenada!$A:$A=CI$2)*(AsistenciaJetAdminConcatenada!$B:$B=CI$1), 0)), 1))),  0.5, 0))</f>
        <v>1</v>
      </c>
      <c r="CJ53" s="47">
        <f t="array" ref="CJ53">IF(AND(ISNUMBER(MATCH(CJ$2, AsistenciaJetAdminConcatenada!$A:$A, 0)), ISNUMBER(MATCH(CJ$1, AsistenciaJetAdminConcatenada!$B:$B, 0)), ISNUMBER(SEARCH($A53,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ISNUMBER(SEARCH($A53, INDEX(AsistenciaJetAdminConcatenada!$D:$D, MATCH(1, (AsistenciaJetAdminConcatenada!$A:$A=CJ$2)*(AsistenciaJetAdminConcatenada!$B:$B=CJ$1), 0)), 1))),  0.5, 0))</f>
        <v>1</v>
      </c>
      <c r="CK53" s="47">
        <f t="array" ref="CK53">IF(AND(ISNUMBER(MATCH(CK$2, AsistenciaJetAdminConcatenada!$A:$A, 0)), ISNUMBER(MATCH(CK$1, AsistenciaJetAdminConcatenada!$B:$B, 0)), ISNUMBER(SEARCH($A53,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ISNUMBER(SEARCH($A53, INDEX(AsistenciaJetAdminConcatenada!$D:$D, MATCH(1, (AsistenciaJetAdminConcatenada!$A:$A=CK$2)*(AsistenciaJetAdminConcatenada!$B:$B=CK$1), 0)), 1))),  0.5, 0))</f>
        <v>1</v>
      </c>
      <c r="CL53" s="47">
        <f t="array" ref="CL53">IF(AND(ISNUMBER(MATCH(CL$2, AsistenciaJetAdminConcatenada!$A:$A, 0)), ISNUMBER(MATCH(CL$1, AsistenciaJetAdminConcatenada!$B:$B, 0)), ISNUMBER(SEARCH($A53,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ISNUMBER(SEARCH($A53, INDEX(AsistenciaJetAdminConcatenada!$D:$D, MATCH(1, (AsistenciaJetAdminConcatenada!$A:$A=CL$2)*(AsistenciaJetAdminConcatenada!$B:$B=CL$1), 0)), 1))),  0.5, 0))</f>
        <v>1</v>
      </c>
      <c r="CM53" s="47">
        <f t="array" ref="CM53">IF(AND(ISNUMBER(MATCH(CM$2, AsistenciaJetAdminConcatenada!$A:$A, 0)), ISNUMBER(MATCH(CM$1, AsistenciaJetAdminConcatenada!$B:$B, 0)), ISNUMBER(SEARCH($A53,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ISNUMBER(SEARCH($A53, INDEX(AsistenciaJetAdminConcatenada!$D:$D, MATCH(1, (AsistenciaJetAdminConcatenada!$A:$A=CM$2)*(AsistenciaJetAdminConcatenada!$B:$B=CM$1), 0)), 1))),  0.5, 0))</f>
        <v>1</v>
      </c>
      <c r="CN53" s="47">
        <f t="array" ref="CN53">IF(AND(ISNUMBER(MATCH(CN$2, AsistenciaJetAdminConcatenada!$A:$A, 0)), ISNUMBER(MATCH(CN$1, AsistenciaJetAdminConcatenada!$B:$B, 0)), ISNUMBER(SEARCH($A53,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ISNUMBER(SEARCH($A53, INDEX(AsistenciaJetAdminConcatenada!$D:$D, MATCH(1, (AsistenciaJetAdminConcatenada!$A:$A=CN$2)*(AsistenciaJetAdminConcatenada!$B:$B=CN$1), 0)), 1))),  0.5, 0))</f>
        <v>1</v>
      </c>
      <c r="CO53" s="47">
        <f t="array" ref="CO53">IF(AND(ISNUMBER(MATCH(CO$2, AsistenciaJetAdminConcatenada!$A:$A, 0)), ISNUMBER(MATCH(CO$1, AsistenciaJetAdminConcatenada!$B:$B, 0)), ISNUMBER(SEARCH($A53,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ISNUMBER(SEARCH($A53, INDEX(AsistenciaJetAdminConcatenada!$D:$D, MATCH(1, (AsistenciaJetAdminConcatenada!$A:$A=CO$2)*(AsistenciaJetAdminConcatenada!$B:$B=CO$1), 0)), 1))),  0.5, 0))</f>
        <v>1</v>
      </c>
      <c r="CP53" s="47">
        <f t="array" ref="CP53">IF(AND(ISNUMBER(MATCH(CP$2, AsistenciaJetAdminConcatenada!$A:$A, 0)), ISNUMBER(MATCH(CP$1, AsistenciaJetAdminConcatenada!$B:$B, 0)), ISNUMBER(SEARCH($A53,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ISNUMBER(SEARCH($A53, INDEX(AsistenciaJetAdminConcatenada!$D:$D, MATCH(1, (AsistenciaJetAdminConcatenada!$A:$A=CP$2)*(AsistenciaJetAdminConcatenada!$B:$B=CP$1), 0)), 1))),  0.5, 0))</f>
        <v>1</v>
      </c>
      <c r="CQ53" s="47">
        <f t="array" ref="CQ53">IF(AND(ISNUMBER(MATCH(CQ$2, AsistenciaJetAdminConcatenada!$A:$A, 0)), ISNUMBER(MATCH(CQ$1, AsistenciaJetAdminConcatenada!$B:$B, 0)), ISNUMBER(SEARCH($A53,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ISNUMBER(SEARCH($A53, INDEX(AsistenciaJetAdminConcatenada!$D:$D, MATCH(1, (AsistenciaJetAdminConcatenada!$A:$A=CQ$2)*(AsistenciaJetAdminConcatenada!$B:$B=CQ$1), 0)), 1))),  0.5, 0))</f>
        <v>0</v>
      </c>
      <c r="CR53" s="47">
        <f t="array" ref="CR53">IF(AND(ISNUMBER(MATCH(CR$2, AsistenciaJetAdminConcatenada!$A:$A, 0)), ISNUMBER(MATCH(CR$1, AsistenciaJetAdminConcatenada!$B:$B, 0)), ISNUMBER(SEARCH($A53,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ISNUMBER(SEARCH($A53, INDEX(AsistenciaJetAdminConcatenada!$D:$D, MATCH(1, (AsistenciaJetAdminConcatenada!$A:$A=CR$2)*(AsistenciaJetAdminConcatenada!$B:$B=CR$1), 0)), 1))),  0.5, 0))</f>
        <v>0</v>
      </c>
      <c r="CS53" s="47">
        <f t="array" ref="CS53">IF(AND(ISNUMBER(MATCH(CS$2, AsistenciaJetAdminConcatenada!$A:$A, 0)), ISNUMBER(MATCH(CS$1, AsistenciaJetAdminConcatenada!$B:$B, 0)), ISNUMBER(SEARCH($A53,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ISNUMBER(SEARCH($A53, INDEX(AsistenciaJetAdminConcatenada!$D:$D, MATCH(1, (AsistenciaJetAdminConcatenada!$A:$A=CS$2)*(AsistenciaJetAdminConcatenada!$B:$B=CS$1), 0)), 1))),  0.5, 0))</f>
        <v>0</v>
      </c>
      <c r="CT53" s="47">
        <f t="array" ref="CT53">IF(AND(ISNUMBER(MATCH(CT$2, AsistenciaJetAdminConcatenada!$A:$A, 0)), ISNUMBER(MATCH(CT$1, AsistenciaJetAdminConcatenada!$B:$B, 0)), ISNUMBER(SEARCH($A53,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ISNUMBER(SEARCH($A53, INDEX(AsistenciaJetAdminConcatenada!$D:$D, MATCH(1, (AsistenciaJetAdminConcatenada!$A:$A=CT$2)*(AsistenciaJetAdminConcatenada!$B:$B=CT$1), 0)), 1))),  0.5, 0))</f>
        <v>0</v>
      </c>
      <c r="CU53" s="47">
        <f t="array" ref="CU53">IF(AND(ISNUMBER(MATCH(CU$2, AsistenciaJetAdminConcatenada!$A:$A, 0)), ISNUMBER(MATCH(CU$1, AsistenciaJetAdminConcatenada!$B:$B, 0)), ISNUMBER(SEARCH($A53,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ISNUMBER(SEARCH($A53, INDEX(AsistenciaJetAdminConcatenada!$D:$D, MATCH(1, (AsistenciaJetAdminConcatenada!$A:$A=CU$2)*(AsistenciaJetAdminConcatenada!$B:$B=CU$1), 0)), 1))),  0.5, 0))</f>
        <v>0</v>
      </c>
      <c r="CV53" s="47">
        <f t="array" ref="CV53">IF(AND(ISNUMBER(MATCH(CV$2, AsistenciaJetAdminConcatenada!$A:$A, 0)), ISNUMBER(MATCH(CV$1, AsistenciaJetAdminConcatenada!$B:$B, 0)), ISNUMBER(SEARCH($A53,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ISNUMBER(SEARCH($A53, INDEX(AsistenciaJetAdminConcatenada!$D:$D, MATCH(1, (AsistenciaJetAdminConcatenada!$A:$A=CV$2)*(AsistenciaJetAdminConcatenada!$B:$B=CV$1), 0)), 1))),  0.5, 0))</f>
        <v>0</v>
      </c>
      <c r="CW53" s="47">
        <f t="array" ref="CW53">IF(AND(ISNUMBER(MATCH(CW$2, AsistenciaJetAdminConcatenada!$A:$A, 0)), ISNUMBER(MATCH(CW$1, AsistenciaJetAdminConcatenada!$B:$B, 0)), ISNUMBER(SEARCH($A53,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ISNUMBER(SEARCH($A53, INDEX(AsistenciaJetAdminConcatenada!$D:$D, MATCH(1, (AsistenciaJetAdminConcatenada!$A:$A=CW$2)*(AsistenciaJetAdminConcatenada!$B:$B=CW$1), 0)), 1))),  0.5, 0))</f>
        <v>0</v>
      </c>
      <c r="CX53" s="47">
        <f t="array" ref="CX53">IF(AND(ISNUMBER(MATCH(CX$2, AsistenciaJetAdminConcatenada!$A:$A, 0)), ISNUMBER(MATCH(CX$1, AsistenciaJetAdminConcatenada!$B:$B, 0)), ISNUMBER(SEARCH($A53,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ISNUMBER(SEARCH($A53, INDEX(AsistenciaJetAdminConcatenada!$D:$D, MATCH(1, (AsistenciaJetAdminConcatenada!$A:$A=CX$2)*(AsistenciaJetAdminConcatenada!$B:$B=CX$1), 0)), 1))),  0.5, 0))</f>
        <v>0</v>
      </c>
      <c r="CY53" s="47">
        <f t="array" ref="CY53">IF(AND(ISNUMBER(MATCH(CY$2, AsistenciaJetAdminConcatenada!$A:$A, 0)), ISNUMBER(MATCH(CY$1, AsistenciaJetAdminConcatenada!$B:$B, 0)), ISNUMBER(SEARCH($A53,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ISNUMBER(SEARCH($A53, INDEX(AsistenciaJetAdminConcatenada!$D:$D, MATCH(1, (AsistenciaJetAdminConcatenada!$A:$A=CY$2)*(AsistenciaJetAdminConcatenada!$B:$B=CY$1), 0)), 1))),  0.5, 0))</f>
        <v>0</v>
      </c>
      <c r="CZ53" s="47">
        <f t="array" ref="CZ53">IF(AND(ISNUMBER(MATCH(CZ$2, AsistenciaJetAdminConcatenada!$A:$A, 0)), ISNUMBER(MATCH(CZ$1, AsistenciaJetAdminConcatenada!$B:$B, 0)), ISNUMBER(SEARCH($A53,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ISNUMBER(SEARCH($A53, INDEX(AsistenciaJetAdminConcatenada!$D:$D, MATCH(1, (AsistenciaJetAdminConcatenada!$A:$A=CZ$2)*(AsistenciaJetAdminConcatenada!$B:$B=CZ$1), 0)), 1))),  0.5, 0))</f>
        <v>0</v>
      </c>
      <c r="DA53" s="47">
        <f t="array" ref="DA53">IF(AND(ISNUMBER(MATCH(DA$2, AsistenciaJetAdminConcatenada!$A:$A, 0)), ISNUMBER(MATCH(DA$1, AsistenciaJetAdminConcatenada!$B:$B, 0)), ISNUMBER(SEARCH($A53,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ISNUMBER(SEARCH($A53, INDEX(AsistenciaJetAdminConcatenada!$D:$D, MATCH(1, (AsistenciaJetAdminConcatenada!$A:$A=DA$2)*(AsistenciaJetAdminConcatenada!$B:$B=DA$1), 0)), 1))),  0.5, 0))</f>
        <v>0</v>
      </c>
      <c r="DB53" s="47">
        <f t="array" ref="DB53">IF(AND(ISNUMBER(MATCH(DB$2, AsistenciaJetAdminConcatenada!$A:$A, 0)), ISNUMBER(MATCH(DB$1, AsistenciaJetAdminConcatenada!$B:$B, 0)), ISNUMBER(SEARCH($A53,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ISNUMBER(SEARCH($A53, INDEX(AsistenciaJetAdminConcatenada!$D:$D, MATCH(1, (AsistenciaJetAdminConcatenada!$A:$A=DB$2)*(AsistenciaJetAdminConcatenada!$B:$B=DB$1), 0)), 1))),  0.5, 0))</f>
        <v>0</v>
      </c>
      <c r="DC53" s="47">
        <f t="array" ref="DC53">IF(AND(ISNUMBER(MATCH(DC$2, AsistenciaJetAdminConcatenada!$A:$A, 0)), ISNUMBER(MATCH(DC$1, AsistenciaJetAdminConcatenada!$B:$B, 0)), ISNUMBER(SEARCH($A53,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ISNUMBER(SEARCH($A53, INDEX(AsistenciaJetAdminConcatenada!$D:$D, MATCH(1, (AsistenciaJetAdminConcatenada!$A:$A=DC$2)*(AsistenciaJetAdminConcatenada!$B:$B=DC$1), 0)), 1))),  0.5, 0))</f>
        <v>0</v>
      </c>
      <c r="DD53" s="47">
        <f t="array" ref="DD53">IF(AND(ISNUMBER(MATCH(DD$2, AsistenciaJetAdminConcatenada!$A:$A, 0)), ISNUMBER(MATCH(DD$1, AsistenciaJetAdminConcatenada!$B:$B, 0)), ISNUMBER(SEARCH($A53,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ISNUMBER(SEARCH($A53, INDEX(AsistenciaJetAdminConcatenada!$D:$D, MATCH(1, (AsistenciaJetAdminConcatenada!$A:$A=DD$2)*(AsistenciaJetAdminConcatenada!$B:$B=DD$1), 0)), 1))),  0.5, 0))</f>
        <v>0</v>
      </c>
      <c r="DE53" s="47">
        <f t="array" ref="DE53">IF(AND(ISNUMBER(MATCH(DE$2, AsistenciaJetAdminConcatenada!$A:$A, 0)), ISNUMBER(MATCH(DE$1, AsistenciaJetAdminConcatenada!$B:$B, 0)), ISNUMBER(SEARCH($A53,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ISNUMBER(SEARCH($A53, INDEX(AsistenciaJetAdminConcatenada!$D:$D, MATCH(1, (AsistenciaJetAdminConcatenada!$A:$A=DE$2)*(AsistenciaJetAdminConcatenada!$B:$B=DE$1), 0)), 1))),  0.5, 0))</f>
        <v>0</v>
      </c>
      <c r="DF53" s="47">
        <f t="array" ref="DF53">IF(AND(ISNUMBER(MATCH(DF$2, AsistenciaJetAdminConcatenada!$A:$A, 0)), ISNUMBER(MATCH(DF$1, AsistenciaJetAdminConcatenada!$B:$B, 0)), ISNUMBER(SEARCH($A53,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ISNUMBER(SEARCH($A53, INDEX(AsistenciaJetAdminConcatenada!$D:$D, MATCH(1, (AsistenciaJetAdminConcatenada!$A:$A=DF$2)*(AsistenciaJetAdminConcatenada!$B:$B=DF$1), 0)), 1))),  0.5, 0))</f>
        <v>0</v>
      </c>
      <c r="DG53" s="47">
        <f t="array" ref="DG53">IF(AND(ISNUMBER(MATCH(DG$2, AsistenciaJetAdminConcatenada!$A:$A, 0)), ISNUMBER(MATCH(DG$1, AsistenciaJetAdminConcatenada!$B:$B, 0)), ISNUMBER(SEARCH($A53,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ISNUMBER(SEARCH($A53, INDEX(AsistenciaJetAdminConcatenada!$D:$D, MATCH(1, (AsistenciaJetAdminConcatenada!$A:$A=DG$2)*(AsistenciaJetAdminConcatenada!$B:$B=DG$1), 0)), 1))),  0.5, 0))</f>
        <v>0</v>
      </c>
      <c r="DH53" s="47">
        <f t="array" ref="DH53">IF(AND(ISNUMBER(MATCH(DH$2, AsistenciaJetAdminConcatenada!$A:$A, 0)), ISNUMBER(MATCH(DH$1, AsistenciaJetAdminConcatenada!$B:$B, 0)), ISNUMBER(SEARCH($A53,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ISNUMBER(SEARCH($A53, INDEX(AsistenciaJetAdminConcatenada!$D:$D, MATCH(1, (AsistenciaJetAdminConcatenada!$A:$A=DH$2)*(AsistenciaJetAdminConcatenada!$B:$B=DH$1), 0)), 1))),  0.5, 0))</f>
        <v>0</v>
      </c>
      <c r="DI53" s="47">
        <f t="array" ref="DI53">IF(AND(ISNUMBER(MATCH(DI$2, AsistenciaJetAdminConcatenada!$A:$A, 0)), ISNUMBER(MATCH(DI$1, AsistenciaJetAdminConcatenada!$B:$B, 0)), ISNUMBER(SEARCH($A53,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ISNUMBER(SEARCH($A53, INDEX(AsistenciaJetAdminConcatenada!$D:$D, MATCH(1, (AsistenciaJetAdminConcatenada!$A:$A=DI$2)*(AsistenciaJetAdminConcatenada!$B:$B=DI$1), 0)), 1))),  0.5, 0))</f>
        <v>0</v>
      </c>
      <c r="DJ53" s="47">
        <f t="array" ref="DJ53">IF(AND(ISNUMBER(MATCH(DJ$2, AsistenciaJetAdminConcatenada!$A:$A, 0)), ISNUMBER(MATCH(DJ$1, AsistenciaJetAdminConcatenada!$B:$B, 0)), ISNUMBER(SEARCH($A53,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ISNUMBER(SEARCH($A53, INDEX(AsistenciaJetAdminConcatenada!$D:$D, MATCH(1, (AsistenciaJetAdminConcatenada!$A:$A=DJ$2)*(AsistenciaJetAdminConcatenada!$B:$B=DJ$1), 0)), 1))),  0.5, 0))</f>
        <v>0</v>
      </c>
      <c r="DK53" s="47">
        <f t="array" ref="DK53">IF(AND(ISNUMBER(MATCH(DK$2, AsistenciaJetAdminConcatenada!$A:$A, 0)), ISNUMBER(MATCH(DK$1, AsistenciaJetAdminConcatenada!$B:$B, 0)), ISNUMBER(SEARCH($A53,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ISNUMBER(SEARCH($A53, INDEX(AsistenciaJetAdminConcatenada!$D:$D, MATCH(1, (AsistenciaJetAdminConcatenada!$A:$A=DK$2)*(AsistenciaJetAdminConcatenada!$B:$B=DK$1), 0)), 1))),  0.5, 0))</f>
        <v>0</v>
      </c>
      <c r="DL53" s="47">
        <f t="array" ref="DL53">IF(AND(ISNUMBER(MATCH(DL$2, AsistenciaJetAdminConcatenada!$A:$A, 0)), ISNUMBER(MATCH(DL$1, AsistenciaJetAdminConcatenada!$B:$B, 0)), ISNUMBER(SEARCH($A53,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ISNUMBER(SEARCH($A53, INDEX(AsistenciaJetAdminConcatenada!$D:$D, MATCH(1, (AsistenciaJetAdminConcatenada!$A:$A=DL$2)*(AsistenciaJetAdminConcatenada!$B:$B=DL$1), 0)), 1))),  0.5, 0))</f>
        <v>0</v>
      </c>
      <c r="DM53" s="47">
        <f t="array" ref="DM53">IF(AND(ISNUMBER(MATCH(DM$2, AsistenciaJetAdminConcatenada!$A:$A, 0)), ISNUMBER(MATCH(DM$1, AsistenciaJetAdminConcatenada!$B:$B, 0)), ISNUMBER(SEARCH($A53,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ISNUMBER(SEARCH($A53, INDEX(AsistenciaJetAdminConcatenada!$D:$D, MATCH(1, (AsistenciaJetAdminConcatenada!$A:$A=DM$2)*(AsistenciaJetAdminConcatenada!$B:$B=DM$1), 0)), 1))),  0.5, 0))</f>
        <v>0</v>
      </c>
      <c r="DN53" s="47">
        <f t="array" ref="DN53">IF(AND(ISNUMBER(MATCH(DN$2, AsistenciaJetAdminConcatenada!$A:$A, 0)), ISNUMBER(MATCH(DN$1, AsistenciaJetAdminConcatenada!$B:$B, 0)), ISNUMBER(SEARCH($A53,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ISNUMBER(SEARCH($A53, INDEX(AsistenciaJetAdminConcatenada!$D:$D, MATCH(1, (AsistenciaJetAdminConcatenada!$A:$A=DN$2)*(AsistenciaJetAdminConcatenada!$B:$B=DN$1), 0)), 1))),  0.5, 0))</f>
        <v>0</v>
      </c>
      <c r="DO53" s="47">
        <f t="array" ref="DO53">IF(AND(ISNUMBER(MATCH(DO$2, AsistenciaJetAdminConcatenada!$A:$A, 0)), ISNUMBER(MATCH(DO$1, AsistenciaJetAdminConcatenada!$B:$B, 0)), ISNUMBER(SEARCH($A53,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ISNUMBER(SEARCH($A53, INDEX(AsistenciaJetAdminConcatenada!$D:$D, MATCH(1, (AsistenciaJetAdminConcatenada!$A:$A=DO$2)*(AsistenciaJetAdminConcatenada!$B:$B=DO$1), 0)), 1))),  0.5, 0))</f>
        <v>0</v>
      </c>
      <c r="DP53" s="47">
        <f t="array" ref="DP53">IF(AND(ISNUMBER(MATCH(DP$2, AsistenciaJetAdminConcatenada!$A:$A, 0)), ISNUMBER(MATCH(DP$1, AsistenciaJetAdminConcatenada!$B:$B, 0)), ISNUMBER(SEARCH($A53,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ISNUMBER(SEARCH($A53, INDEX(AsistenciaJetAdminConcatenada!$D:$D, MATCH(1, (AsistenciaJetAdminConcatenada!$A:$A=DP$2)*(AsistenciaJetAdminConcatenada!$B:$B=DP$1), 0)), 1))),  0.5, 0))</f>
        <v>0</v>
      </c>
      <c r="DQ53" s="47">
        <f t="array" ref="DQ53">IF(AND(ISNUMBER(MATCH(DQ$2, AsistenciaJetAdminConcatenada!$A:$A, 0)), ISNUMBER(MATCH(DQ$1, AsistenciaJetAdminConcatenada!$B:$B, 0)), ISNUMBER(SEARCH($A53,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ISNUMBER(SEARCH($A53, INDEX(AsistenciaJetAdminConcatenada!$D:$D, MATCH(1, (AsistenciaJetAdminConcatenada!$A:$A=DQ$2)*(AsistenciaJetAdminConcatenada!$B:$B=DQ$1), 0)), 1))),  0.5, 0))</f>
        <v>0</v>
      </c>
      <c r="DR53" s="47">
        <f t="array" ref="DR53">IF(AND(ISNUMBER(MATCH(DR$2, AsistenciaJetAdminConcatenada!$A:$A, 0)), ISNUMBER(MATCH(DR$1, AsistenciaJetAdminConcatenada!$B:$B, 0)), ISNUMBER(SEARCH($A53,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ISNUMBER(SEARCH($A53, INDEX(AsistenciaJetAdminConcatenada!$D:$D, MATCH(1, (AsistenciaJetAdminConcatenada!$A:$A=DR$2)*(AsistenciaJetAdminConcatenada!$B:$B=DR$1), 0)), 1))),  0.5, 0))</f>
        <v>0</v>
      </c>
      <c r="DS53" s="47">
        <f t="array" ref="DS53">IF(AND(ISNUMBER(MATCH(DS$2, AsistenciaJetAdminConcatenada!$A:$A, 0)), ISNUMBER(MATCH(DS$1, AsistenciaJetAdminConcatenada!$B:$B, 0)), ISNUMBER(SEARCH($A53,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ISNUMBER(SEARCH($A53, INDEX(AsistenciaJetAdminConcatenada!$D:$D, MATCH(1, (AsistenciaJetAdminConcatenada!$A:$A=DS$2)*(AsistenciaJetAdminConcatenada!$B:$B=DS$1), 0)), 1))),  0.5, 0))</f>
        <v>0</v>
      </c>
      <c r="DT53" s="47">
        <f t="array" ref="DT53">IF(AND(ISNUMBER(MATCH(DT$2, AsistenciaJetAdminConcatenada!$A:$A, 0)), ISNUMBER(MATCH(DT$1, AsistenciaJetAdminConcatenada!$B:$B, 0)), ISNUMBER(SEARCH($A53,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ISNUMBER(SEARCH($A53, INDEX(AsistenciaJetAdminConcatenada!$D:$D, MATCH(1, (AsistenciaJetAdminConcatenada!$A:$A=DT$2)*(AsistenciaJetAdminConcatenada!$B:$B=DT$1), 0)), 1))),  0.5, 0))</f>
        <v>0</v>
      </c>
      <c r="DU53" s="47">
        <f t="array" ref="DU53">IF(AND(ISNUMBER(MATCH(DU$2, AsistenciaJetAdminConcatenada!$A:$A, 0)), ISNUMBER(MATCH(DU$1, AsistenciaJetAdminConcatenada!$B:$B, 0)), ISNUMBER(SEARCH($A53,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ISNUMBER(SEARCH($A53, INDEX(AsistenciaJetAdminConcatenada!$D:$D, MATCH(1, (AsistenciaJetAdminConcatenada!$A:$A=DU$2)*(AsistenciaJetAdminConcatenada!$B:$B=DU$1), 0)), 1))),  0.5, 0))</f>
        <v>0</v>
      </c>
      <c r="DV53" s="47">
        <f t="array" ref="DV53">IF(AND(ISNUMBER(MATCH(DV$2, AsistenciaJetAdminConcatenada!$A:$A, 0)), ISNUMBER(MATCH(DV$1, AsistenciaJetAdminConcatenada!$B:$B, 0)), ISNUMBER(SEARCH($A53,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ISNUMBER(SEARCH($A53, INDEX(AsistenciaJetAdminConcatenada!$D:$D, MATCH(1, (AsistenciaJetAdminConcatenada!$A:$A=DV$2)*(AsistenciaJetAdminConcatenada!$B:$B=DV$1), 0)), 1))),  0.5, 0))</f>
        <v>0</v>
      </c>
      <c r="DW53" s="47">
        <f t="array" ref="DW53">IF(AND(ISNUMBER(MATCH(DW$2, AsistenciaJetAdminConcatenada!$A:$A, 0)), ISNUMBER(MATCH(DW$1, AsistenciaJetAdminConcatenada!$B:$B, 0)), ISNUMBER(SEARCH($A53,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ISNUMBER(SEARCH($A53, INDEX(AsistenciaJetAdminConcatenada!$D:$D, MATCH(1, (AsistenciaJetAdminConcatenada!$A:$A=DW$2)*(AsistenciaJetAdminConcatenada!$B:$B=DW$1), 0)), 1))),  0.5, 0))</f>
        <v>0</v>
      </c>
      <c r="DX53" s="47">
        <f t="array" ref="DX53">IF(AND(ISNUMBER(MATCH(DX$2, AsistenciaJetAdminConcatenada!$A:$A, 0)), ISNUMBER(MATCH(DX$1, AsistenciaJetAdminConcatenada!$B:$B, 0)), ISNUMBER(SEARCH($A53,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ISNUMBER(SEARCH($A53, INDEX(AsistenciaJetAdminConcatenada!$D:$D, MATCH(1, (AsistenciaJetAdminConcatenada!$A:$A=DX$2)*(AsistenciaJetAdminConcatenada!$B:$B=DX$1), 0)), 1))),  0.5, 0))</f>
        <v>0</v>
      </c>
      <c r="DY53" s="47">
        <f t="array" ref="DY53">IF(AND(ISNUMBER(MATCH(DY$2, AsistenciaJetAdminConcatenada!$A:$A, 0)), ISNUMBER(MATCH(DY$1, AsistenciaJetAdminConcatenada!$B:$B, 0)), ISNUMBER(SEARCH($A53,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ISNUMBER(SEARCH($A53, INDEX(AsistenciaJetAdminConcatenada!$D:$D, MATCH(1, (AsistenciaJetAdminConcatenada!$A:$A=DY$2)*(AsistenciaJetAdminConcatenada!$B:$B=DY$1), 0)), 1))),  0.5, 0))</f>
        <v>0</v>
      </c>
      <c r="DZ53" s="47">
        <f t="array" ref="DZ53">IF(AND(ISNUMBER(MATCH(DZ$2, AsistenciaJetAdminConcatenada!$A:$A, 0)), ISNUMBER(MATCH(DZ$1, AsistenciaJetAdminConcatenada!$B:$B, 0)), ISNUMBER(SEARCH($A53,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ISNUMBER(SEARCH($A53, INDEX(AsistenciaJetAdminConcatenada!$D:$D, MATCH(1, (AsistenciaJetAdminConcatenada!$A:$A=DZ$2)*(AsistenciaJetAdminConcatenada!$B:$B=DZ$1), 0)), 1))),  0.5, 0))</f>
        <v>0</v>
      </c>
      <c r="EA53" s="47">
        <f t="array" ref="EA53">IF(AND(ISNUMBER(MATCH(EA$2, AsistenciaJetAdminConcatenada!$A:$A, 0)), ISNUMBER(MATCH(EA$1, AsistenciaJetAdminConcatenada!$B:$B, 0)), ISNUMBER(SEARCH($A53,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ISNUMBER(SEARCH($A53, INDEX(AsistenciaJetAdminConcatenada!$D:$D, MATCH(1, (AsistenciaJetAdminConcatenada!$A:$A=EA$2)*(AsistenciaJetAdminConcatenada!$B:$B=EA$1), 0)), 1))),  0.5, 0))</f>
        <v>0</v>
      </c>
      <c r="EB53" s="47">
        <f t="array" ref="EB53">IF(AND(ISNUMBER(MATCH(EB$2, AsistenciaJetAdminConcatenada!$A:$A, 0)), ISNUMBER(MATCH(EB$1, AsistenciaJetAdminConcatenada!$B:$B, 0)), ISNUMBER(SEARCH($A53,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ISNUMBER(SEARCH($A53, INDEX(AsistenciaJetAdminConcatenada!$D:$D, MATCH(1, (AsistenciaJetAdminConcatenada!$A:$A=EB$2)*(AsistenciaJetAdminConcatenada!$B:$B=EB$1), 0)), 1))),  0.5, 0))</f>
        <v>0</v>
      </c>
      <c r="EC53" s="47">
        <f t="array" ref="EC53">IF(AND(ISNUMBER(MATCH(EC$2, AsistenciaJetAdminConcatenada!$A:$A, 0)), ISNUMBER(MATCH(EC$1, AsistenciaJetAdminConcatenada!$B:$B, 0)), ISNUMBER(SEARCH($A53,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ISNUMBER(SEARCH($A53, INDEX(AsistenciaJetAdminConcatenada!$D:$D, MATCH(1, (AsistenciaJetAdminConcatenada!$A:$A=EC$2)*(AsistenciaJetAdminConcatenada!$B:$B=EC$1), 0)), 1))),  0.5, 0))</f>
        <v>0</v>
      </c>
      <c r="ED53" s="47">
        <f t="array" ref="ED53">IF(AND(ISNUMBER(MATCH(ED$2, AsistenciaJetAdminConcatenada!$A:$A, 0)), ISNUMBER(MATCH(ED$1, AsistenciaJetAdminConcatenada!$B:$B, 0)), ISNUMBER(SEARCH($A53,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ISNUMBER(SEARCH($A53, INDEX(AsistenciaJetAdminConcatenada!$D:$D, MATCH(1, (AsistenciaJetAdminConcatenada!$A:$A=ED$2)*(AsistenciaJetAdminConcatenada!$B:$B=ED$1), 0)), 1))),  0.5, 0))</f>
        <v>0</v>
      </c>
      <c r="EE53" s="47">
        <f t="array" ref="EE53">IF(AND(ISNUMBER(MATCH(EE$2, AsistenciaJetAdminConcatenada!$A:$A, 0)), ISNUMBER(MATCH(EE$1, AsistenciaJetAdminConcatenada!$B:$B, 0)), ISNUMBER(SEARCH($A53,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ISNUMBER(SEARCH($A53, INDEX(AsistenciaJetAdminConcatenada!$D:$D, MATCH(1, (AsistenciaJetAdminConcatenada!$A:$A=EE$2)*(AsistenciaJetAdminConcatenada!$B:$B=EE$1), 0)), 1))),  0.5, 0))</f>
        <v>0</v>
      </c>
      <c r="EF53" s="47">
        <f t="array" ref="EF53">IF(AND(ISNUMBER(MATCH(EF$2, AsistenciaJetAdminConcatenada!$A:$A, 0)), ISNUMBER(MATCH(EF$1, AsistenciaJetAdminConcatenada!$B:$B, 0)), ISNUMBER(SEARCH($A53,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ISNUMBER(SEARCH($A53, INDEX(AsistenciaJetAdminConcatenada!$D:$D, MATCH(1, (AsistenciaJetAdminConcatenada!$A:$A=EF$2)*(AsistenciaJetAdminConcatenada!$B:$B=EF$1), 0)), 1))),  0.5, 0))</f>
        <v>0</v>
      </c>
      <c r="EG53" s="47">
        <f t="array" ref="EG53">IF(AND(ISNUMBER(MATCH(EG$2, AsistenciaJetAdminConcatenada!$A:$A, 0)), ISNUMBER(MATCH(EG$1, AsistenciaJetAdminConcatenada!$B:$B, 0)), ISNUMBER(SEARCH($A53,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ISNUMBER(SEARCH($A53, INDEX(AsistenciaJetAdminConcatenada!$D:$D, MATCH(1, (AsistenciaJetAdminConcatenada!$A:$A=EG$2)*(AsistenciaJetAdminConcatenada!$B:$B=EG$1), 0)), 1))),  0.5, 0))</f>
        <v>0</v>
      </c>
      <c r="EH53" s="47">
        <f t="array" ref="EH53">IF(AND(ISNUMBER(MATCH(EH$2, AsistenciaJetAdminConcatenada!$A:$A, 0)), ISNUMBER(MATCH(EH$1, AsistenciaJetAdminConcatenada!$B:$B, 0)), ISNUMBER(SEARCH($A53,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ISNUMBER(SEARCH($A53, INDEX(AsistenciaJetAdminConcatenada!$D:$D, MATCH(1, (AsistenciaJetAdminConcatenada!$A:$A=EH$2)*(AsistenciaJetAdminConcatenada!$B:$B=EH$1), 0)), 1))),  0.5, 0))</f>
        <v>0</v>
      </c>
      <c r="EI53" s="47">
        <f t="array" ref="EI53">IF(AND(ISNUMBER(MATCH(EI$2, AsistenciaJetAdminConcatenada!$A:$A, 0)), ISNUMBER(MATCH(EI$1, AsistenciaJetAdminConcatenada!$B:$B, 0)), ISNUMBER(SEARCH($A53,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ISNUMBER(SEARCH($A53, INDEX(AsistenciaJetAdminConcatenada!$D:$D, MATCH(1, (AsistenciaJetAdminConcatenada!$A:$A=EI$2)*(AsistenciaJetAdminConcatenada!$B:$B=EI$1), 0)), 1))),  0.5, 0))</f>
        <v>0</v>
      </c>
      <c r="EJ53" s="47">
        <f t="array" ref="EJ53">IF(AND(ISNUMBER(MATCH(EJ$2, AsistenciaJetAdminConcatenada!$A:$A, 0)), ISNUMBER(MATCH(EJ$1, AsistenciaJetAdminConcatenada!$B:$B, 0)), ISNUMBER(SEARCH($A53,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ISNUMBER(SEARCH($A53, INDEX(AsistenciaJetAdminConcatenada!$D:$D, MATCH(1, (AsistenciaJetAdminConcatenada!$A:$A=EJ$2)*(AsistenciaJetAdminConcatenada!$B:$B=EJ$1), 0)), 1))),  0.5, 0))</f>
        <v>0</v>
      </c>
      <c r="EK53" s="47">
        <f t="array" ref="EK53">IF(AND(ISNUMBER(MATCH(EK$2, AsistenciaJetAdminConcatenada!$A:$A, 0)), ISNUMBER(MATCH(EK$1, AsistenciaJetAdminConcatenada!$B:$B, 0)), ISNUMBER(SEARCH($A53,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ISNUMBER(SEARCH($A53, INDEX(AsistenciaJetAdminConcatenada!$D:$D, MATCH(1, (AsistenciaJetAdminConcatenada!$A:$A=EK$2)*(AsistenciaJetAdminConcatenada!$B:$B=EK$1), 0)), 1))),  0.5, 0))</f>
        <v>0</v>
      </c>
      <c r="EL53" s="47">
        <f t="array" ref="EL53">IF(AND(ISNUMBER(MATCH(EL$2, AsistenciaJetAdminConcatenada!$A:$A, 0)), ISNUMBER(MATCH(EL$1, AsistenciaJetAdminConcatenada!$B:$B, 0)), ISNUMBER(SEARCH($A53,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ISNUMBER(SEARCH($A53, INDEX(AsistenciaJetAdminConcatenada!$D:$D, MATCH(1, (AsistenciaJetAdminConcatenada!$A:$A=EL$2)*(AsistenciaJetAdminConcatenada!$B:$B=EL$1), 0)), 1))),  0.5, 0))</f>
        <v>0</v>
      </c>
      <c r="EM53" s="47">
        <f t="array" ref="EM53">IF(AND(ISNUMBER(MATCH(EM$2, AsistenciaJetAdminConcatenada!$A:$A, 0)), ISNUMBER(MATCH(EM$1, AsistenciaJetAdminConcatenada!$B:$B, 0)), ISNUMBER(SEARCH($A53,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ISNUMBER(SEARCH($A53, INDEX(AsistenciaJetAdminConcatenada!$D:$D, MATCH(1, (AsistenciaJetAdminConcatenada!$A:$A=EM$2)*(AsistenciaJetAdminConcatenada!$B:$B=EM$1), 0)), 1))),  0.5, 0))</f>
        <v>0</v>
      </c>
      <c r="EN53" s="47">
        <f t="array" ref="EN53">IF(AND(ISNUMBER(MATCH(EN$2, AsistenciaJetAdminConcatenada!$A:$A, 0)), ISNUMBER(MATCH(EN$1, AsistenciaJetAdminConcatenada!$B:$B, 0)), ISNUMBER(SEARCH($A53,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ISNUMBER(SEARCH($A53, INDEX(AsistenciaJetAdminConcatenada!$D:$D, MATCH(1, (AsistenciaJetAdminConcatenada!$A:$A=EN$2)*(AsistenciaJetAdminConcatenada!$B:$B=EN$1), 0)), 1))),  0.5, 0))</f>
        <v>0</v>
      </c>
      <c r="EO53" s="47">
        <f t="array" ref="EO53">IF(AND(ISNUMBER(MATCH(EO$2, AsistenciaJetAdminConcatenada!$A:$A, 0)), ISNUMBER(MATCH(EO$1, AsistenciaJetAdminConcatenada!$B:$B, 0)), ISNUMBER(SEARCH($A53,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ISNUMBER(SEARCH($A53, INDEX(AsistenciaJetAdminConcatenada!$D:$D, MATCH(1, (AsistenciaJetAdminConcatenada!$A:$A=EO$2)*(AsistenciaJetAdminConcatenada!$B:$B=EO$1), 0)), 1))),  0.5, 0))</f>
        <v>0</v>
      </c>
      <c r="EP53" s="47">
        <f t="array" ref="EP53">IF(AND(ISNUMBER(MATCH(EP$2, AsistenciaJetAdminConcatenada!$A:$A, 0)), ISNUMBER(MATCH(EP$1, AsistenciaJetAdminConcatenada!$B:$B, 0)), ISNUMBER(SEARCH($A53,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ISNUMBER(SEARCH($A53, INDEX(AsistenciaJetAdminConcatenada!$D:$D, MATCH(1, (AsistenciaJetAdminConcatenada!$A:$A=EP$2)*(AsistenciaJetAdminConcatenada!$B:$B=EP$1), 0)), 1))),  0.5, 0))</f>
        <v>0</v>
      </c>
      <c r="EQ53" s="47">
        <f t="array" ref="EQ53">IF(AND(ISNUMBER(MATCH(EQ$2, AsistenciaJetAdminConcatenada!$A:$A, 0)), ISNUMBER(MATCH(EQ$1, AsistenciaJetAdminConcatenada!$B:$B, 0)), ISNUMBER(SEARCH($A53,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ISNUMBER(SEARCH($A53, INDEX(AsistenciaJetAdminConcatenada!$D:$D, MATCH(1, (AsistenciaJetAdminConcatenada!$A:$A=EQ$2)*(AsistenciaJetAdminConcatenada!$B:$B=EQ$1), 0)), 1))),  0.5, 0))</f>
        <v>0</v>
      </c>
      <c r="ER53" s="47">
        <f t="array" ref="ER53">IF(AND(ISNUMBER(MATCH(ER$2, AsistenciaJetAdminConcatenada!$A:$A, 0)), ISNUMBER(MATCH(ER$1, AsistenciaJetAdminConcatenada!$B:$B, 0)), ISNUMBER(SEARCH($A53,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ISNUMBER(SEARCH($A53, INDEX(AsistenciaJetAdminConcatenada!$D:$D, MATCH(1, (AsistenciaJetAdminConcatenada!$A:$A=ER$2)*(AsistenciaJetAdminConcatenada!$B:$B=ER$1), 0)), 1))),  0.5, 0))</f>
        <v>0</v>
      </c>
      <c r="ES53" s="47">
        <f t="array" ref="ES53">IF(AND(ISNUMBER(MATCH(ES$2, AsistenciaJetAdminConcatenada!$A:$A, 0)), ISNUMBER(MATCH(ES$1, AsistenciaJetAdminConcatenada!$B:$B, 0)), ISNUMBER(SEARCH($A53,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ISNUMBER(SEARCH($A53, INDEX(AsistenciaJetAdminConcatenada!$D:$D, MATCH(1, (AsistenciaJetAdminConcatenada!$A:$A=ES$2)*(AsistenciaJetAdminConcatenada!$B:$B=ES$1), 0)), 1))),  0.5, 0))</f>
        <v>0</v>
      </c>
      <c r="ET53" s="47">
        <f t="array" ref="ET53">IF(AND(ISNUMBER(MATCH(ET$2, AsistenciaJetAdminConcatenada!$A:$A, 0)), ISNUMBER(MATCH(ET$1, AsistenciaJetAdminConcatenada!$B:$B, 0)), ISNUMBER(SEARCH($A53,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ISNUMBER(SEARCH($A53, INDEX(AsistenciaJetAdminConcatenada!$D:$D, MATCH(1, (AsistenciaJetAdminConcatenada!$A:$A=ET$2)*(AsistenciaJetAdminConcatenada!$B:$B=ET$1), 0)), 1))),  0.5, 0))</f>
        <v>0</v>
      </c>
      <c r="EU53" s="47">
        <f t="array" ref="EU53">IF(AND(ISNUMBER(MATCH(EU$2, AsistenciaJetAdminConcatenada!$A:$A, 0)), ISNUMBER(MATCH(EU$1, AsistenciaJetAdminConcatenada!$B:$B, 0)), ISNUMBER(SEARCH($A53,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ISNUMBER(SEARCH($A53, INDEX(AsistenciaJetAdminConcatenada!$D:$D, MATCH(1, (AsistenciaJetAdminConcatenada!$A:$A=EU$2)*(AsistenciaJetAdminConcatenada!$B:$B=EU$1), 0)), 1))),  0.5, 0))</f>
        <v>0</v>
      </c>
      <c r="EV53" s="47">
        <f t="array" ref="EV53">IF(AND(ISNUMBER(MATCH(EV$2, AsistenciaJetAdminConcatenada!$A:$A, 0)), ISNUMBER(MATCH(EV$1, AsistenciaJetAdminConcatenada!$B:$B, 0)), ISNUMBER(SEARCH($A53,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ISNUMBER(SEARCH($A53, INDEX(AsistenciaJetAdminConcatenada!$D:$D, MATCH(1, (AsistenciaJetAdminConcatenada!$A:$A=EV$2)*(AsistenciaJetAdminConcatenada!$B:$B=EV$1), 0)), 1))),  0.5, 0))</f>
        <v>0</v>
      </c>
      <c r="EW53" s="47">
        <f t="array" ref="EW53">IF(AND(ISNUMBER(MATCH(EW$2, AsistenciaJetAdminConcatenada!$A:$A, 0)), ISNUMBER(MATCH(EW$1, AsistenciaJetAdminConcatenada!$B:$B, 0)), ISNUMBER(SEARCH($A53,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ISNUMBER(SEARCH($A53, INDEX(AsistenciaJetAdminConcatenada!$D:$D, MATCH(1, (AsistenciaJetAdminConcatenada!$A:$A=EW$2)*(AsistenciaJetAdminConcatenada!$B:$B=EW$1), 0)), 1))),  0.5, 0))</f>
        <v>0</v>
      </c>
      <c r="EX53" s="47">
        <f t="array" ref="EX53">IF(AND(ISNUMBER(MATCH(EX$2, AsistenciaJetAdminConcatenada!$A:$A, 0)), ISNUMBER(MATCH(EX$1, AsistenciaJetAdminConcatenada!$B:$B, 0)), ISNUMBER(SEARCH($A53,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ISNUMBER(SEARCH($A53, INDEX(AsistenciaJetAdminConcatenada!$D:$D, MATCH(1, (AsistenciaJetAdminConcatenada!$A:$A=EX$2)*(AsistenciaJetAdminConcatenada!$B:$B=EX$1), 0)), 1))),  0.5, 0))</f>
        <v>0</v>
      </c>
      <c r="EY53" s="47">
        <f t="array" ref="EY53">IF(AND(ISNUMBER(MATCH(EY$2, AsistenciaJetAdminConcatenada!$A:$A, 0)), ISNUMBER(MATCH(EY$1, AsistenciaJetAdminConcatenada!$B:$B, 0)), ISNUMBER(SEARCH($A53,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ISNUMBER(SEARCH($A53, INDEX(AsistenciaJetAdminConcatenada!$D:$D, MATCH(1, (AsistenciaJetAdminConcatenada!$A:$A=EY$2)*(AsistenciaJetAdminConcatenada!$B:$B=EY$1), 0)), 1))),  0.5, 0))</f>
        <v>0</v>
      </c>
      <c r="EZ53" s="47">
        <f t="array" ref="EZ53">IF(AND(ISNUMBER(MATCH(EZ$2, AsistenciaJetAdminConcatenada!$A:$A, 0)), ISNUMBER(MATCH(EZ$1, AsistenciaJetAdminConcatenada!$B:$B, 0)), ISNUMBER(SEARCH($A53,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ISNUMBER(SEARCH($A53, INDEX(AsistenciaJetAdminConcatenada!$D:$D, MATCH(1, (AsistenciaJetAdminConcatenada!$A:$A=EZ$2)*(AsistenciaJetAdminConcatenada!$B:$B=EZ$1), 0)), 1))),  0.5, 0))</f>
        <v>0</v>
      </c>
      <c r="FA53" s="47">
        <f t="array" ref="FA53">IF(AND(ISNUMBER(MATCH(FA$2, AsistenciaJetAdminConcatenada!$A:$A, 0)), ISNUMBER(MATCH(FA$1, AsistenciaJetAdminConcatenada!$B:$B, 0)), ISNUMBER(SEARCH($A53,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ISNUMBER(SEARCH($A53, INDEX(AsistenciaJetAdminConcatenada!$D:$D, MATCH(1, (AsistenciaJetAdminConcatenada!$A:$A=FA$2)*(AsistenciaJetAdminConcatenada!$B:$B=FA$1), 0)), 1))),  0.5, 0))</f>
        <v>0</v>
      </c>
      <c r="FB53" s="47">
        <f t="array" ref="FB53">IF(AND(ISNUMBER(MATCH(FB$2, AsistenciaJetAdminConcatenada!$A:$A, 0)), ISNUMBER(MATCH(FB$1, AsistenciaJetAdminConcatenada!$B:$B, 0)), ISNUMBER(SEARCH($A53,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ISNUMBER(SEARCH($A53, INDEX(AsistenciaJetAdminConcatenada!$D:$D, MATCH(1, (AsistenciaJetAdminConcatenada!$A:$A=FB$2)*(AsistenciaJetAdminConcatenada!$B:$B=FB$1), 0)), 1))),  0.5, 0))</f>
        <v>0</v>
      </c>
      <c r="FC53" s="47">
        <f t="array" ref="FC53">IF(AND(ISNUMBER(MATCH(FC$2, AsistenciaJetAdminConcatenada!$A:$A, 0)), ISNUMBER(MATCH(FC$1, AsistenciaJetAdminConcatenada!$B:$B, 0)), ISNUMBER(SEARCH($A53,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ISNUMBER(SEARCH($A53, INDEX(AsistenciaJetAdminConcatenada!$D:$D, MATCH(1, (AsistenciaJetAdminConcatenada!$A:$A=FC$2)*(AsistenciaJetAdminConcatenada!$B:$B=FC$1), 0)), 1))),  0.5, 0))</f>
        <v>0</v>
      </c>
      <c r="FD53" s="47">
        <f t="array" ref="FD53">IF(AND(ISNUMBER(MATCH(FD$2, AsistenciaJetAdminConcatenada!$A:$A, 0)), ISNUMBER(MATCH(FD$1, AsistenciaJetAdminConcatenada!$B:$B, 0)), ISNUMBER(SEARCH($A53,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ISNUMBER(SEARCH($A53, INDEX(AsistenciaJetAdminConcatenada!$D:$D, MATCH(1, (AsistenciaJetAdminConcatenada!$A:$A=FD$2)*(AsistenciaJetAdminConcatenada!$B:$B=FD$1), 0)), 1))),  0.5, 0))</f>
        <v>0</v>
      </c>
      <c r="FE53" s="47">
        <f t="array" ref="FE53">IF(AND(ISNUMBER(MATCH(FE$2, AsistenciaJetAdminConcatenada!$A:$A, 0)), ISNUMBER(MATCH(FE$1, AsistenciaJetAdminConcatenada!$B:$B, 0)), ISNUMBER(SEARCH($A53,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ISNUMBER(SEARCH($A53, INDEX(AsistenciaJetAdminConcatenada!$D:$D, MATCH(1, (AsistenciaJetAdminConcatenada!$A:$A=FE$2)*(AsistenciaJetAdminConcatenada!$B:$B=FE$1), 0)), 1))),  0.5, 0))</f>
        <v>0</v>
      </c>
      <c r="FF53" s="47">
        <f t="array" ref="FF53">IF(AND(ISNUMBER(MATCH(FF$2, AsistenciaJetAdminConcatenada!$A:$A, 0)), ISNUMBER(MATCH(FF$1, AsistenciaJetAdminConcatenada!$B:$B, 0)), ISNUMBER(SEARCH($A53,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ISNUMBER(SEARCH($A53, INDEX(AsistenciaJetAdminConcatenada!$D:$D, MATCH(1, (AsistenciaJetAdminConcatenada!$A:$A=FF$2)*(AsistenciaJetAdminConcatenada!$B:$B=FF$1), 0)), 1))),  0.5, 0))</f>
        <v>0</v>
      </c>
      <c r="FG53" s="47">
        <f t="array" ref="FG53">IF(AND(ISNUMBER(MATCH(FG$2, AsistenciaJetAdminConcatenada!$A:$A, 0)), ISNUMBER(MATCH(FG$1, AsistenciaJetAdminConcatenada!$B:$B, 0)), ISNUMBER(SEARCH($A53,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ISNUMBER(SEARCH($A53, INDEX(AsistenciaJetAdminConcatenada!$D:$D, MATCH(1, (AsistenciaJetAdminConcatenada!$A:$A=FG$2)*(AsistenciaJetAdminConcatenada!$B:$B=FG$1), 0)), 1))),  0.5, 0))</f>
        <v>0</v>
      </c>
      <c r="FH53" s="47">
        <f t="array" ref="FH53">IF(AND(ISNUMBER(MATCH(FH$2, AsistenciaJetAdminConcatenada!$A:$A, 0)), ISNUMBER(MATCH(FH$1, AsistenciaJetAdminConcatenada!$B:$B, 0)), ISNUMBER(SEARCH($A53,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ISNUMBER(SEARCH($A53, INDEX(AsistenciaJetAdminConcatenada!$D:$D, MATCH(1, (AsistenciaJetAdminConcatenada!$A:$A=FH$2)*(AsistenciaJetAdminConcatenada!$B:$B=FH$1), 0)), 1))),  0.5, 0))</f>
        <v>0</v>
      </c>
      <c r="FI53" s="47">
        <f t="array" ref="FI53">IF(AND(ISNUMBER(MATCH(FI$2, AsistenciaJetAdminConcatenada!$A:$A, 0)), ISNUMBER(MATCH(FI$1, AsistenciaJetAdminConcatenada!$B:$B, 0)), ISNUMBER(SEARCH($A53,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ISNUMBER(SEARCH($A53, INDEX(AsistenciaJetAdminConcatenada!$D:$D, MATCH(1, (AsistenciaJetAdminConcatenada!$A:$A=FI$2)*(AsistenciaJetAdminConcatenada!$B:$B=FI$1), 0)), 1))),  0.5, 0))</f>
        <v>0</v>
      </c>
      <c r="FJ53" s="47">
        <f t="array" ref="FJ53">IF(AND(ISNUMBER(MATCH(FJ$2, AsistenciaJetAdminConcatenada!$A:$A, 0)), ISNUMBER(MATCH(FJ$1, AsistenciaJetAdminConcatenada!$B:$B, 0)), ISNUMBER(SEARCH($A53,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ISNUMBER(SEARCH($A53, INDEX(AsistenciaJetAdminConcatenada!$D:$D, MATCH(1, (AsistenciaJetAdminConcatenada!$A:$A=FJ$2)*(AsistenciaJetAdminConcatenada!$B:$B=FJ$1), 0)), 1))),  0.5, 0))</f>
        <v>0</v>
      </c>
      <c r="FK53" s="47">
        <f t="array" ref="FK53">IF(AND(ISNUMBER(MATCH(FK$2, AsistenciaJetAdminConcatenada!$A:$A, 0)), ISNUMBER(MATCH(FK$1, AsistenciaJetAdminConcatenada!$B:$B, 0)), ISNUMBER(SEARCH($A53,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ISNUMBER(SEARCH($A53, INDEX(AsistenciaJetAdminConcatenada!$D:$D, MATCH(1, (AsistenciaJetAdminConcatenada!$A:$A=FK$2)*(AsistenciaJetAdminConcatenada!$B:$B=FK$1), 0)), 1))),  0.5, 0))</f>
        <v>0</v>
      </c>
      <c r="FL53" s="47">
        <f t="array" ref="FL53">IF(AND(ISNUMBER(MATCH(FL$2, AsistenciaJetAdminConcatenada!$A:$A, 0)), ISNUMBER(MATCH(FL$1, AsistenciaJetAdminConcatenada!$B:$B, 0)), ISNUMBER(SEARCH($A53,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ISNUMBER(SEARCH($A53, INDEX(AsistenciaJetAdminConcatenada!$D:$D, MATCH(1, (AsistenciaJetAdminConcatenada!$A:$A=FL$2)*(AsistenciaJetAdminConcatenada!$B:$B=FL$1), 0)), 1))),  0.5, 0))</f>
        <v>0</v>
      </c>
      <c r="FM53" s="47">
        <f t="array" ref="FM53">IF(AND(ISNUMBER(MATCH(FM$2, AsistenciaJetAdminConcatenada!$A:$A, 0)), ISNUMBER(MATCH(FM$1, AsistenciaJetAdminConcatenada!$B:$B, 0)), ISNUMBER(SEARCH($A53,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ISNUMBER(SEARCH($A53, INDEX(AsistenciaJetAdminConcatenada!$D:$D, MATCH(1, (AsistenciaJetAdminConcatenada!$A:$A=FM$2)*(AsistenciaJetAdminConcatenada!$B:$B=FM$1), 0)), 1))),  0.5, 0))</f>
        <v>0</v>
      </c>
      <c r="FN53" s="47">
        <f t="array" ref="FN53">IF(AND(ISNUMBER(MATCH(FN$2, AsistenciaJetAdminConcatenada!$A:$A, 0)), ISNUMBER(MATCH(FN$1, AsistenciaJetAdminConcatenada!$B:$B, 0)), ISNUMBER(SEARCH($A53,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ISNUMBER(SEARCH($A53, INDEX(AsistenciaJetAdminConcatenada!$D:$D, MATCH(1, (AsistenciaJetAdminConcatenada!$A:$A=FN$2)*(AsistenciaJetAdminConcatenada!$B:$B=FN$1), 0)), 1))),  0.5, 0))</f>
        <v>0</v>
      </c>
      <c r="FO53" s="47">
        <f t="array" ref="FO53">IF(AND(ISNUMBER(MATCH(FO$2, AsistenciaJetAdminConcatenada!$A:$A, 0)), ISNUMBER(MATCH(FO$1, AsistenciaJetAdminConcatenada!$B:$B, 0)), ISNUMBER(SEARCH($A53,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ISNUMBER(SEARCH($A53, INDEX(AsistenciaJetAdminConcatenada!$D:$D, MATCH(1, (AsistenciaJetAdminConcatenada!$A:$A=FO$2)*(AsistenciaJetAdminConcatenada!$B:$B=FO$1), 0)), 1))),  0.5, 0))</f>
        <v>0</v>
      </c>
      <c r="FP53" s="47">
        <f t="array" ref="FP53">IF(AND(ISNUMBER(MATCH(FP$2, AsistenciaJetAdminConcatenada!$A:$A, 0)), ISNUMBER(MATCH(FP$1, AsistenciaJetAdminConcatenada!$B:$B, 0)), ISNUMBER(SEARCH($A53,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ISNUMBER(SEARCH($A53, INDEX(AsistenciaJetAdminConcatenada!$D:$D, MATCH(1, (AsistenciaJetAdminConcatenada!$A:$A=FP$2)*(AsistenciaJetAdminConcatenada!$B:$B=FP$1), 0)), 1))),  0.5, 0))</f>
        <v>0</v>
      </c>
      <c r="FQ53" s="47">
        <f t="array" ref="FQ53">IF(AND(ISNUMBER(MATCH(FQ$2, AsistenciaJetAdminConcatenada!$A:$A, 0)), ISNUMBER(MATCH(FQ$1, AsistenciaJetAdminConcatenada!$B:$B, 0)), ISNUMBER(SEARCH($A53,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ISNUMBER(SEARCH($A53, INDEX(AsistenciaJetAdminConcatenada!$D:$D, MATCH(1, (AsistenciaJetAdminConcatenada!$A:$A=FQ$2)*(AsistenciaJetAdminConcatenada!$B:$B=FQ$1), 0)), 1))),  0.5, 0))</f>
        <v>0</v>
      </c>
      <c r="FR53" s="47">
        <f t="array" ref="FR53">IF(AND(ISNUMBER(MATCH(FR$2, AsistenciaJetAdminConcatenada!$A:$A, 0)), ISNUMBER(MATCH(FR$1, AsistenciaJetAdminConcatenada!$B:$B, 0)), ISNUMBER(SEARCH($A53,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ISNUMBER(SEARCH($A53, INDEX(AsistenciaJetAdminConcatenada!$D:$D, MATCH(1, (AsistenciaJetAdminConcatenada!$A:$A=FR$2)*(AsistenciaJetAdminConcatenada!$B:$B=FR$1), 0)), 1))),  0.5, 0))</f>
        <v>0</v>
      </c>
      <c r="FS53" s="47">
        <f t="array" ref="FS53">IF(AND(ISNUMBER(MATCH(FS$2, AsistenciaJetAdminConcatenada!$A:$A, 0)), ISNUMBER(MATCH(FS$1, AsistenciaJetAdminConcatenada!$B:$B, 0)), ISNUMBER(SEARCH($A53,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ISNUMBER(SEARCH($A53, INDEX(AsistenciaJetAdminConcatenada!$D:$D, MATCH(1, (AsistenciaJetAdminConcatenada!$A:$A=FS$2)*(AsistenciaJetAdminConcatenada!$B:$B=FS$1), 0)), 1))),  0.5, 0))</f>
        <v>0</v>
      </c>
      <c r="FT53" s="47">
        <f t="array" ref="FT53">IF(AND(ISNUMBER(MATCH(FT$2, AsistenciaJetAdminConcatenada!$A:$A, 0)), ISNUMBER(MATCH(FT$1, AsistenciaJetAdminConcatenada!$B:$B, 0)), ISNUMBER(SEARCH($A53,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ISNUMBER(SEARCH($A53, INDEX(AsistenciaJetAdminConcatenada!$D:$D, MATCH(1, (AsistenciaJetAdminConcatenada!$A:$A=FT$2)*(AsistenciaJetAdminConcatenada!$B:$B=FT$1), 0)), 1))),  0.5, 0))</f>
        <v>0</v>
      </c>
      <c r="FU53" s="47">
        <f t="array" ref="FU53">IF(AND(ISNUMBER(MATCH(FU$2, AsistenciaJetAdminConcatenada!$A:$A, 0)), ISNUMBER(MATCH(FU$1, AsistenciaJetAdminConcatenada!$B:$B, 0)), ISNUMBER(SEARCH($A53,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ISNUMBER(SEARCH($A53, INDEX(AsistenciaJetAdminConcatenada!$D:$D, MATCH(1, (AsistenciaJetAdminConcatenada!$A:$A=FU$2)*(AsistenciaJetAdminConcatenada!$B:$B=FU$1), 0)), 1))),  0.5, 0))</f>
        <v>0</v>
      </c>
      <c r="FV53" s="47">
        <f t="array" ref="FV53">IF(AND(ISNUMBER(MATCH(FV$2, AsistenciaJetAdminConcatenada!$A:$A, 0)), ISNUMBER(MATCH(FV$1, AsistenciaJetAdminConcatenada!$B:$B, 0)), ISNUMBER(SEARCH($A53,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ISNUMBER(SEARCH($A53, INDEX(AsistenciaJetAdminConcatenada!$D:$D, MATCH(1, (AsistenciaJetAdminConcatenada!$A:$A=FV$2)*(AsistenciaJetAdminConcatenada!$B:$B=FV$1), 0)), 1))),  0.5, 0))</f>
        <v>0</v>
      </c>
      <c r="FW53" s="47">
        <f t="array" ref="FW53">IF(AND(ISNUMBER(MATCH(FW$2, AsistenciaJetAdminConcatenada!$A:$A, 0)), ISNUMBER(MATCH(FW$1, AsistenciaJetAdminConcatenada!$B:$B, 0)), ISNUMBER(SEARCH($A53,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ISNUMBER(SEARCH($A53, INDEX(AsistenciaJetAdminConcatenada!$D:$D, MATCH(1, (AsistenciaJetAdminConcatenada!$A:$A=FW$2)*(AsistenciaJetAdminConcatenada!$B:$B=FW$1), 0)), 1))),  0.5, 0))</f>
        <v>0</v>
      </c>
      <c r="FX53" s="47">
        <f t="array" ref="FX53">IF(AND(ISNUMBER(MATCH(FX$2, AsistenciaJetAdminConcatenada!$A:$A, 0)), ISNUMBER(MATCH(FX$1, AsistenciaJetAdminConcatenada!$B:$B, 0)), ISNUMBER(SEARCH($A53,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ISNUMBER(SEARCH($A53, INDEX(AsistenciaJetAdminConcatenada!$D:$D, MATCH(1, (AsistenciaJetAdminConcatenada!$A:$A=FX$2)*(AsistenciaJetAdminConcatenada!$B:$B=FX$1), 0)), 1))),  0.5, 0))</f>
        <v>0</v>
      </c>
      <c r="FY53" s="47">
        <f t="array" ref="FY53">IF(AND(ISNUMBER(MATCH(FY$2, AsistenciaJetAdminConcatenada!$A:$A, 0)), ISNUMBER(MATCH(FY$1, AsistenciaJetAdminConcatenada!$B:$B, 0)), ISNUMBER(SEARCH($A53,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ISNUMBER(SEARCH($A53, INDEX(AsistenciaJetAdminConcatenada!$D:$D, MATCH(1, (AsistenciaJetAdminConcatenada!$A:$A=FY$2)*(AsistenciaJetAdminConcatenada!$B:$B=FY$1), 0)), 1))),  0.5, 0))</f>
        <v>0</v>
      </c>
      <c r="FZ53" s="47">
        <f t="array" ref="FZ53">IF(AND(ISNUMBER(MATCH(FZ$2, AsistenciaJetAdminConcatenada!$A:$A, 0)), ISNUMBER(MATCH(FZ$1, AsistenciaJetAdminConcatenada!$B:$B, 0)), ISNUMBER(SEARCH($A53,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ISNUMBER(SEARCH($A53, INDEX(AsistenciaJetAdminConcatenada!$D:$D, MATCH(1, (AsistenciaJetAdminConcatenada!$A:$A=FZ$2)*(AsistenciaJetAdminConcatenada!$B:$B=FZ$1), 0)), 1))),  0.5, 0))</f>
        <v>0</v>
      </c>
      <c r="GA53" s="47">
        <f t="array" ref="GA53">IF(AND(ISNUMBER(MATCH(GA$2, AsistenciaJetAdminConcatenada!$A:$A, 0)), ISNUMBER(MATCH(GA$1, AsistenciaJetAdminConcatenada!$B:$B, 0)), ISNUMBER(SEARCH($A53,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ISNUMBER(SEARCH($A53, INDEX(AsistenciaJetAdminConcatenada!$D:$D, MATCH(1, (AsistenciaJetAdminConcatenada!$A:$A=GA$2)*(AsistenciaJetAdminConcatenada!$B:$B=GA$1), 0)), 1))),  0.5, 0))</f>
        <v>0</v>
      </c>
      <c r="GB53" s="47">
        <f t="array" ref="GB53">IF(AND(ISNUMBER(MATCH(GB$2, AsistenciaJetAdminConcatenada!$A:$A, 0)), ISNUMBER(MATCH(GB$1, AsistenciaJetAdminConcatenada!$B:$B, 0)), ISNUMBER(SEARCH($A53,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ISNUMBER(SEARCH($A53, INDEX(AsistenciaJetAdminConcatenada!$D:$D, MATCH(1, (AsistenciaJetAdminConcatenada!$A:$A=GB$2)*(AsistenciaJetAdminConcatenada!$B:$B=GB$1), 0)), 1))),  0.5, 0))</f>
        <v>0</v>
      </c>
      <c r="GC53" s="47">
        <f t="array" ref="GC53">IF(AND(ISNUMBER(MATCH(GC$2, AsistenciaJetAdminConcatenada!$A:$A, 0)), ISNUMBER(MATCH(GC$1, AsistenciaJetAdminConcatenada!$B:$B, 0)), ISNUMBER(SEARCH($A53,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ISNUMBER(SEARCH($A53, INDEX(AsistenciaJetAdminConcatenada!$D:$D, MATCH(1, (AsistenciaJetAdminConcatenada!$A:$A=GC$2)*(AsistenciaJetAdminConcatenada!$B:$B=GC$1), 0)), 1))),  0.5, 0))</f>
        <v>0</v>
      </c>
      <c r="GD53" s="47">
        <f t="array" ref="GD53">IF(AND(ISNUMBER(MATCH(GD$2, AsistenciaJetAdminConcatenada!$A:$A, 0)), ISNUMBER(MATCH(GD$1, AsistenciaJetAdminConcatenada!$B:$B, 0)), ISNUMBER(SEARCH($A53,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ISNUMBER(SEARCH($A53, INDEX(AsistenciaJetAdminConcatenada!$D:$D, MATCH(1, (AsistenciaJetAdminConcatenada!$A:$A=GD$2)*(AsistenciaJetAdminConcatenada!$B:$B=GD$1), 0)), 1))),  0.5, 0))</f>
        <v>0</v>
      </c>
      <c r="GE53" s="47">
        <f t="array" ref="GE53">IF(AND(ISNUMBER(MATCH(GE$2, AsistenciaJetAdminConcatenada!$A:$A, 0)), ISNUMBER(MATCH(GE$1, AsistenciaJetAdminConcatenada!$B:$B, 0)), ISNUMBER(SEARCH($A53,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ISNUMBER(SEARCH($A53, INDEX(AsistenciaJetAdminConcatenada!$D:$D, MATCH(1, (AsistenciaJetAdminConcatenada!$A:$A=GE$2)*(AsistenciaJetAdminConcatenada!$B:$B=GE$1), 0)), 1))),  0.5, 0))</f>
        <v>0</v>
      </c>
      <c r="GF53" s="47">
        <f t="array" ref="GF53">IF(AND(ISNUMBER(MATCH(GF$2, AsistenciaJetAdminConcatenada!$A:$A, 0)), ISNUMBER(MATCH(GF$1, AsistenciaJetAdminConcatenada!$B:$B, 0)), ISNUMBER(SEARCH($A53,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ISNUMBER(SEARCH($A53, INDEX(AsistenciaJetAdminConcatenada!$D:$D, MATCH(1, (AsistenciaJetAdminConcatenada!$A:$A=GF$2)*(AsistenciaJetAdminConcatenada!$B:$B=GF$1), 0)), 1))),  0.5, 0))</f>
        <v>0</v>
      </c>
      <c r="GG53" s="47">
        <f t="array" ref="GG53">IF(AND(ISNUMBER(MATCH(GG$2, AsistenciaJetAdminConcatenada!$A:$A, 0)), ISNUMBER(MATCH(GG$1, AsistenciaJetAdminConcatenada!$B:$B, 0)), ISNUMBER(SEARCH($A53,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ISNUMBER(SEARCH($A53, INDEX(AsistenciaJetAdminConcatenada!$D:$D, MATCH(1, (AsistenciaJetAdminConcatenada!$A:$A=GG$2)*(AsistenciaJetAdminConcatenada!$B:$B=GG$1), 0)), 1))),  0.5, 0))</f>
        <v>0</v>
      </c>
      <c r="GH53" s="47">
        <f t="array" ref="GH53">IF(AND(ISNUMBER(MATCH(GH$2, AsistenciaJetAdminConcatenada!$A:$A, 0)), ISNUMBER(MATCH(GH$1, AsistenciaJetAdminConcatenada!$B:$B, 0)), ISNUMBER(SEARCH($A53,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ISNUMBER(SEARCH($A53, INDEX(AsistenciaJetAdminConcatenada!$D:$D, MATCH(1, (AsistenciaJetAdminConcatenada!$A:$A=GH$2)*(AsistenciaJetAdminConcatenada!$B:$B=GH$1), 0)), 1))),  0.5, 0))</f>
        <v>0</v>
      </c>
      <c r="GI53" s="47">
        <f t="array" ref="GI53">IF(AND(ISNUMBER(MATCH(GI$2, AsistenciaJetAdminConcatenada!$A:$A, 0)), ISNUMBER(MATCH(GI$1, AsistenciaJetAdminConcatenada!$B:$B, 0)), ISNUMBER(SEARCH($A53,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ISNUMBER(SEARCH($A53, INDEX(AsistenciaJetAdminConcatenada!$D:$D, MATCH(1, (AsistenciaJetAdminConcatenada!$A:$A=GI$2)*(AsistenciaJetAdminConcatenada!$B:$B=GI$1), 0)), 1))),  0.5, 0))</f>
        <v>0</v>
      </c>
      <c r="GJ53" s="47">
        <f t="array" ref="GJ53">IF(AND(ISNUMBER(MATCH(GJ$2, AsistenciaJetAdminConcatenada!$A:$A, 0)), ISNUMBER(MATCH(GJ$1, AsistenciaJetAdminConcatenada!$B:$B, 0)), ISNUMBER(SEARCH($A53,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ISNUMBER(SEARCH($A53, INDEX(AsistenciaJetAdminConcatenada!$D:$D, MATCH(1, (AsistenciaJetAdminConcatenada!$A:$A=GJ$2)*(AsistenciaJetAdminConcatenada!$B:$B=GJ$1), 0)), 1))),  0.5, 0))</f>
        <v>0</v>
      </c>
      <c r="GK53" s="47">
        <f t="array" ref="GK53">IF(AND(ISNUMBER(MATCH(GK$2, AsistenciaJetAdminConcatenada!$A:$A, 0)), ISNUMBER(MATCH(GK$1, AsistenciaJetAdminConcatenada!$B:$B, 0)), ISNUMBER(SEARCH($A53,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ISNUMBER(SEARCH($A53, INDEX(AsistenciaJetAdminConcatenada!$D:$D, MATCH(1, (AsistenciaJetAdminConcatenada!$A:$A=GK$2)*(AsistenciaJetAdminConcatenada!$B:$B=GK$1), 0)), 1))),  0.5, 0))</f>
        <v>0</v>
      </c>
      <c r="GL53" s="47">
        <f t="array" ref="GL53">IF(AND(ISNUMBER(MATCH(GL$2, AsistenciaJetAdminConcatenada!$A:$A, 0)), ISNUMBER(MATCH(GL$1, AsistenciaJetAdminConcatenada!$B:$B, 0)), ISNUMBER(SEARCH($A53,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ISNUMBER(SEARCH($A53, INDEX(AsistenciaJetAdminConcatenada!$D:$D, MATCH(1, (AsistenciaJetAdminConcatenada!$A:$A=GL$2)*(AsistenciaJetAdminConcatenada!$B:$B=GL$1), 0)), 1))),  0.5, 0))</f>
        <v>0</v>
      </c>
      <c r="GM53" s="47">
        <f t="array" ref="GM53">IF(AND(ISNUMBER(MATCH(GM$2, AsistenciaJetAdminConcatenada!$A:$A, 0)), ISNUMBER(MATCH(GM$1, AsistenciaJetAdminConcatenada!$B:$B, 0)), ISNUMBER(SEARCH($A53,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ISNUMBER(SEARCH($A53, INDEX(AsistenciaJetAdminConcatenada!$D:$D, MATCH(1, (AsistenciaJetAdminConcatenada!$A:$A=GM$2)*(AsistenciaJetAdminConcatenada!$B:$B=GM$1), 0)), 1))),  0.5, 0))</f>
        <v>0</v>
      </c>
      <c r="GN53" s="47">
        <f t="array" ref="GN53">IF(AND(ISNUMBER(MATCH(GN$2, AsistenciaJetAdminConcatenada!$A:$A, 0)), ISNUMBER(MATCH(GN$1, AsistenciaJetAdminConcatenada!$B:$B, 0)), ISNUMBER(SEARCH($A53,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ISNUMBER(SEARCH($A53, INDEX(AsistenciaJetAdminConcatenada!$D:$D, MATCH(1, (AsistenciaJetAdminConcatenada!$A:$A=GN$2)*(AsistenciaJetAdminConcatenada!$B:$B=GN$1), 0)), 1))),  0.5, 0))</f>
        <v>0</v>
      </c>
      <c r="GO53" s="47">
        <f t="array" ref="GO53">IF(AND(ISNUMBER(MATCH(GO$2, AsistenciaJetAdminConcatenada!$A:$A, 0)), ISNUMBER(MATCH(GO$1, AsistenciaJetAdminConcatenada!$B:$B, 0)), ISNUMBER(SEARCH($A53,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ISNUMBER(SEARCH($A53, INDEX(AsistenciaJetAdminConcatenada!$D:$D, MATCH(1, (AsistenciaJetAdminConcatenada!$A:$A=GO$2)*(AsistenciaJetAdminConcatenada!$B:$B=GO$1), 0)), 1))),  0.5, 0))</f>
        <v>0</v>
      </c>
      <c r="GP53" s="47">
        <f t="array" ref="GP53">IF(AND(ISNUMBER(MATCH(GP$2, AsistenciaJetAdminConcatenada!$A:$A, 0)), ISNUMBER(MATCH(GP$1, AsistenciaJetAdminConcatenada!$B:$B, 0)), ISNUMBER(SEARCH($A53,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ISNUMBER(SEARCH($A53, INDEX(AsistenciaJetAdminConcatenada!$D:$D, MATCH(1, (AsistenciaJetAdminConcatenada!$A:$A=GP$2)*(AsistenciaJetAdminConcatenada!$B:$B=GP$1), 0)), 1))),  0.5, 0))</f>
        <v>0</v>
      </c>
      <c r="GQ53" s="47">
        <f t="array" ref="GQ53">IF(AND(ISNUMBER(MATCH(GQ$2, AsistenciaJetAdminConcatenada!$A:$A, 0)), ISNUMBER(MATCH(GQ$1, AsistenciaJetAdminConcatenada!$B:$B, 0)), ISNUMBER(SEARCH($A53,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ISNUMBER(SEARCH($A53, INDEX(AsistenciaJetAdminConcatenada!$D:$D, MATCH(1, (AsistenciaJetAdminConcatenada!$A:$A=GQ$2)*(AsistenciaJetAdminConcatenada!$B:$B=GQ$1), 0)), 1))),  0.5, 0))</f>
        <v>0</v>
      </c>
      <c r="GR53" s="47">
        <f t="array" ref="GR53">IF(AND(ISNUMBER(MATCH(GR$2, AsistenciaJetAdminConcatenada!$A:$A, 0)), ISNUMBER(MATCH(GR$1, AsistenciaJetAdminConcatenada!$B:$B, 0)), ISNUMBER(SEARCH($A53,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ISNUMBER(SEARCH($A53, INDEX(AsistenciaJetAdminConcatenada!$D:$D, MATCH(1, (AsistenciaJetAdminConcatenada!$A:$A=GR$2)*(AsistenciaJetAdminConcatenada!$B:$B=GR$1), 0)), 1))),  0.5, 0))</f>
        <v>0</v>
      </c>
      <c r="GS53" s="47">
        <f t="array" ref="GS53">IF(AND(ISNUMBER(MATCH(GS$2, AsistenciaJetAdminConcatenada!$A:$A, 0)), ISNUMBER(MATCH(GS$1, AsistenciaJetAdminConcatenada!$B:$B, 0)), ISNUMBER(SEARCH($A53,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ISNUMBER(SEARCH($A53, INDEX(AsistenciaJetAdminConcatenada!$D:$D, MATCH(1, (AsistenciaJetAdminConcatenada!$A:$A=GS$2)*(AsistenciaJetAdminConcatenada!$B:$B=GS$1), 0)), 1))),  0.5, 0))</f>
        <v>0</v>
      </c>
      <c r="GT53" s="47">
        <f t="array" ref="GT53">IF(AND(ISNUMBER(MATCH(GT$2, AsistenciaJetAdminConcatenada!$A:$A, 0)), ISNUMBER(MATCH(GT$1, AsistenciaJetAdminConcatenada!$B:$B, 0)), ISNUMBER(SEARCH($A53,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ISNUMBER(SEARCH($A53, INDEX(AsistenciaJetAdminConcatenada!$D:$D, MATCH(1, (AsistenciaJetAdminConcatenada!$A:$A=GT$2)*(AsistenciaJetAdminConcatenada!$B:$B=GT$1), 0)), 1))),  0.5, 0))</f>
        <v>0</v>
      </c>
      <c r="GU53" s="47">
        <f t="array" ref="GU53">IF(AND(ISNUMBER(MATCH(GU$2, AsistenciaJetAdminConcatenada!$A:$A, 0)), ISNUMBER(MATCH(GU$1, AsistenciaJetAdminConcatenada!$B:$B, 0)), ISNUMBER(SEARCH($A53,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ISNUMBER(SEARCH($A53, INDEX(AsistenciaJetAdminConcatenada!$D:$D, MATCH(1, (AsistenciaJetAdminConcatenada!$A:$A=GU$2)*(AsistenciaJetAdminConcatenada!$B:$B=GU$1), 0)), 1))),  0.5, 0))</f>
        <v>0</v>
      </c>
      <c r="GV53" s="47">
        <f t="array" ref="GV53">IF(AND(ISNUMBER(MATCH(GV$2, AsistenciaJetAdminConcatenada!$A:$A, 0)), ISNUMBER(MATCH(GV$1, AsistenciaJetAdminConcatenada!$B:$B, 0)), ISNUMBER(SEARCH($A53,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ISNUMBER(SEARCH($A53, INDEX(AsistenciaJetAdminConcatenada!$D:$D, MATCH(1, (AsistenciaJetAdminConcatenada!$A:$A=GV$2)*(AsistenciaJetAdminConcatenada!$B:$B=GV$1), 0)), 1))),  0.5, 0))</f>
        <v>0</v>
      </c>
      <c r="GW53" s="47">
        <f t="array" ref="GW53">IF(AND(ISNUMBER(MATCH(GW$2, AsistenciaJetAdminConcatenada!$A:$A, 0)), ISNUMBER(MATCH(GW$1, AsistenciaJetAdminConcatenada!$B:$B, 0)), ISNUMBER(SEARCH($A53,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ISNUMBER(SEARCH($A53, INDEX(AsistenciaJetAdminConcatenada!$D:$D, MATCH(1, (AsistenciaJetAdminConcatenada!$A:$A=GW$2)*(AsistenciaJetAdminConcatenada!$B:$B=GW$1), 0)), 1))),  0.5, 0))</f>
        <v>0</v>
      </c>
      <c r="GX53" s="47">
        <f t="array" ref="GX53">IF(AND(ISNUMBER(MATCH(GX$2, AsistenciaJetAdminConcatenada!$A:$A, 0)), ISNUMBER(MATCH(GX$1, AsistenciaJetAdminConcatenada!$B:$B, 0)), ISNUMBER(SEARCH($A53,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ISNUMBER(SEARCH($A53, INDEX(AsistenciaJetAdminConcatenada!$D:$D, MATCH(1, (AsistenciaJetAdminConcatenada!$A:$A=GX$2)*(AsistenciaJetAdminConcatenada!$B:$B=GX$1), 0)), 1))),  0.5, 0))</f>
        <v>0</v>
      </c>
      <c r="GY53" s="47">
        <f t="array" ref="GY53">IF(AND(ISNUMBER(MATCH(GY$2, AsistenciaJetAdminConcatenada!$A:$A, 0)), ISNUMBER(MATCH(GY$1, AsistenciaJetAdminConcatenada!$B:$B, 0)), ISNUMBER(SEARCH($A53,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ISNUMBER(SEARCH($A53, INDEX(AsistenciaJetAdminConcatenada!$D:$D, MATCH(1, (AsistenciaJetAdminConcatenada!$A:$A=GY$2)*(AsistenciaJetAdminConcatenada!$B:$B=GY$1), 0)), 1))),  0.5, 0))</f>
        <v>0</v>
      </c>
      <c r="GZ53" s="47">
        <f t="array" ref="GZ53">IF(AND(ISNUMBER(MATCH(GZ$2, AsistenciaJetAdminConcatenada!$A:$A, 0)), ISNUMBER(MATCH(GZ$1, AsistenciaJetAdminConcatenada!$B:$B, 0)), ISNUMBER(SEARCH($A53,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ISNUMBER(SEARCH($A53, INDEX(AsistenciaJetAdminConcatenada!$D:$D, MATCH(1, (AsistenciaJetAdminConcatenada!$A:$A=GZ$2)*(AsistenciaJetAdminConcatenada!$B:$B=GZ$1), 0)), 1))),  0.5, 0))</f>
        <v>0</v>
      </c>
      <c r="HA53" s="47">
        <f t="array" ref="HA53">IF(AND(ISNUMBER(MATCH(HA$2, AsistenciaJetAdminConcatenada!$A:$A, 0)), ISNUMBER(MATCH(HA$1, AsistenciaJetAdminConcatenada!$B:$B, 0)), ISNUMBER(SEARCH($A53,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ISNUMBER(SEARCH($A53, INDEX(AsistenciaJetAdminConcatenada!$D:$D, MATCH(1, (AsistenciaJetAdminConcatenada!$A:$A=HA$2)*(AsistenciaJetAdminConcatenada!$B:$B=HA$1), 0)), 1))),  0.5, 0))</f>
        <v>0</v>
      </c>
      <c r="HB53" s="47">
        <f t="array" ref="HB53">IF(AND(ISNUMBER(MATCH(HB$2, AsistenciaJetAdminConcatenada!$A:$A, 0)), ISNUMBER(MATCH(HB$1, AsistenciaJetAdminConcatenada!$B:$B, 0)), ISNUMBER(SEARCH($A53,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ISNUMBER(SEARCH($A53, INDEX(AsistenciaJetAdminConcatenada!$D:$D, MATCH(1, (AsistenciaJetAdminConcatenada!$A:$A=HB$2)*(AsistenciaJetAdminConcatenada!$B:$B=HB$1), 0)), 1))),  0.5, 0))</f>
        <v>0</v>
      </c>
      <c r="HC53" s="47">
        <f t="array" ref="HC53">IF(AND(ISNUMBER(MATCH(HC$2, AsistenciaJetAdminConcatenada!$A:$A, 0)), ISNUMBER(MATCH(HC$1, AsistenciaJetAdminConcatenada!$B:$B, 0)), ISNUMBER(SEARCH($A53,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ISNUMBER(SEARCH($A53, INDEX(AsistenciaJetAdminConcatenada!$D:$D, MATCH(1, (AsistenciaJetAdminConcatenada!$A:$A=HC$2)*(AsistenciaJetAdminConcatenada!$B:$B=HC$1), 0)), 1))),  0.5, 0))</f>
        <v>0</v>
      </c>
    </row>
    <row r="54" ht="29.25" customHeight="1">
      <c r="A54" s="3">
        <v>146.0</v>
      </c>
      <c r="B54" s="4" t="s">
        <v>552</v>
      </c>
      <c r="C54" s="47">
        <f>SUM(D54:HC54) + ActividadesEspeciales!C54</f>
        <v>73.5</v>
      </c>
      <c r="D54" s="47">
        <f t="array" ref="D54">IF(AND(ISNUMBER(MATCH(D$2, AsistenciaJetAdminConcatenada!$A:$A, 0)), ISNUMBER(MATCH(D$1, AsistenciaJetAdminConcatenada!$B:$B, 0)), ISNUMBER(SEARCH($A54,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ISNUMBER(SEARCH($A54, INDEX(AsistenciaJetAdminConcatenada!$D:$D, MATCH(1, (AsistenciaJetAdminConcatenada!$A:$A=D$2)*(AsistenciaJetAdminConcatenada!$B:$B=D$1), 0)), 1))),  0.5, 0))</f>
        <v>1</v>
      </c>
      <c r="E54" s="47">
        <f t="array" ref="E54">IF(AND(ISNUMBER(MATCH(E$2, AsistenciaJetAdminConcatenada!$A:$A, 0)), ISNUMBER(MATCH(E$1, AsistenciaJetAdminConcatenada!$B:$B, 0)), ISNUMBER(SEARCH($A54,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ISNUMBER(SEARCH($A54, INDEX(AsistenciaJetAdminConcatenada!$D:$D, MATCH(1, (AsistenciaJetAdminConcatenada!$A:$A=E$2)*(AsistenciaJetAdminConcatenada!$B:$B=E$1), 0)), 1))),  0.5, 0))</f>
        <v>1</v>
      </c>
      <c r="F54" s="47">
        <f t="array" ref="F54">IF(AND(ISNUMBER(MATCH(F$2, AsistenciaJetAdminConcatenada!$A:$A, 0)), ISNUMBER(MATCH(F$1, AsistenciaJetAdminConcatenada!$B:$B, 0)), ISNUMBER(SEARCH($A54,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ISNUMBER(SEARCH($A54, INDEX(AsistenciaJetAdminConcatenada!$D:$D, MATCH(1, (AsistenciaJetAdminConcatenada!$A:$A=F$2)*(AsistenciaJetAdminConcatenada!$B:$B=F$1), 0)), 1))),  0.5, 0))</f>
        <v>1</v>
      </c>
      <c r="G54" s="47">
        <f t="array" ref="G54">IF(AND(ISNUMBER(MATCH(G$2, AsistenciaJetAdminConcatenada!$A:$A, 0)), ISNUMBER(MATCH(G$1, AsistenciaJetAdminConcatenada!$B:$B, 0)), ISNUMBER(SEARCH($A54,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ISNUMBER(SEARCH($A54, INDEX(AsistenciaJetAdminConcatenada!$D:$D, MATCH(1, (AsistenciaJetAdminConcatenada!$A:$A=G$2)*(AsistenciaJetAdminConcatenada!$B:$B=G$1), 0)), 1))),  0.5, 0))</f>
        <v>1</v>
      </c>
      <c r="H54" s="47">
        <f t="array" ref="H54">IF(AND(ISNUMBER(MATCH(H$2, AsistenciaJetAdminConcatenada!$A:$A, 0)), ISNUMBER(MATCH(H$1, AsistenciaJetAdminConcatenada!$B:$B, 0)), ISNUMBER(SEARCH($A54,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ISNUMBER(SEARCH($A54, INDEX(AsistenciaJetAdminConcatenada!$D:$D, MATCH(1, (AsistenciaJetAdminConcatenada!$A:$A=H$2)*(AsistenciaJetAdminConcatenada!$B:$B=H$1), 0)), 1))),  0.5, 0))</f>
        <v>1</v>
      </c>
      <c r="I54" s="47">
        <f t="array" ref="I54">IF(AND(ISNUMBER(MATCH(I$2, AsistenciaJetAdminConcatenada!$A:$A, 0)), ISNUMBER(MATCH(I$1, AsistenciaJetAdminConcatenada!$B:$B, 0)), ISNUMBER(SEARCH($A54,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ISNUMBER(SEARCH($A54, INDEX(AsistenciaJetAdminConcatenada!$D:$D, MATCH(1, (AsistenciaJetAdminConcatenada!$A:$A=I$2)*(AsistenciaJetAdminConcatenada!$B:$B=I$1), 0)), 1))),  0.5, 0))</f>
        <v>1</v>
      </c>
      <c r="J54" s="47">
        <f t="array" ref="J54">IF(AND(ISNUMBER(MATCH(J$2, AsistenciaJetAdminConcatenada!$A:$A, 0)), ISNUMBER(MATCH(J$1, AsistenciaJetAdminConcatenada!$B:$B, 0)), ISNUMBER(SEARCH($A54,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ISNUMBER(SEARCH($A54, INDEX(AsistenciaJetAdminConcatenada!$D:$D, MATCH(1, (AsistenciaJetAdminConcatenada!$A:$A=J$2)*(AsistenciaJetAdminConcatenada!$B:$B=J$1), 0)), 1))),  0.5, 0))</f>
        <v>1</v>
      </c>
      <c r="K54" s="47">
        <f t="array" ref="K54">IF(AND(ISNUMBER(MATCH(K$2, AsistenciaJetAdminConcatenada!$A:$A, 0)), ISNUMBER(MATCH(K$1, AsistenciaJetAdminConcatenada!$B:$B, 0)), ISNUMBER(SEARCH($A54,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ISNUMBER(SEARCH($A54, INDEX(AsistenciaJetAdminConcatenada!$D:$D, MATCH(1, (AsistenciaJetAdminConcatenada!$A:$A=K$2)*(AsistenciaJetAdminConcatenada!$B:$B=K$1), 0)), 1))),  0.5, 0))</f>
        <v>1</v>
      </c>
      <c r="L54" s="47">
        <f t="array" ref="L54">IF(AND(ISNUMBER(MATCH(L$2, AsistenciaJetAdminConcatenada!$A:$A, 0)), ISNUMBER(MATCH(L$1, AsistenciaJetAdminConcatenada!$B:$B, 0)), ISNUMBER(SEARCH($A54,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ISNUMBER(SEARCH($A54, INDEX(AsistenciaJetAdminConcatenada!$D:$D, MATCH(1, (AsistenciaJetAdminConcatenada!$A:$A=L$2)*(AsistenciaJetAdminConcatenada!$B:$B=L$1), 0)), 1))),  0.5, 0))</f>
        <v>1</v>
      </c>
      <c r="M54" s="47">
        <f t="array" ref="M54">IF(AND(ISNUMBER(MATCH(M$2, AsistenciaJetAdminConcatenada!$A:$A, 0)), ISNUMBER(MATCH(M$1, AsistenciaJetAdminConcatenada!$B:$B, 0)), ISNUMBER(SEARCH($A54,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ISNUMBER(SEARCH($A54, INDEX(AsistenciaJetAdminConcatenada!$D:$D, MATCH(1, (AsistenciaJetAdminConcatenada!$A:$A=M$2)*(AsistenciaJetAdminConcatenada!$B:$B=M$1), 0)), 1))),  0.5, 0))</f>
        <v>1</v>
      </c>
      <c r="N54" s="47">
        <f t="array" ref="N54">IF(AND(ISNUMBER(MATCH(N$2, AsistenciaJetAdminConcatenada!$A:$A, 0)), ISNUMBER(MATCH(N$1, AsistenciaJetAdminConcatenada!$B:$B, 0)), ISNUMBER(SEARCH($A54,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ISNUMBER(SEARCH($A54, INDEX(AsistenciaJetAdminConcatenada!$D:$D, MATCH(1, (AsistenciaJetAdminConcatenada!$A:$A=N$2)*(AsistenciaJetAdminConcatenada!$B:$B=N$1), 0)), 1))),  0.5, 0))</f>
        <v>1</v>
      </c>
      <c r="O54" s="47">
        <f t="array" ref="O54">IF(AND(ISNUMBER(MATCH(O$2, AsistenciaJetAdminConcatenada!$A:$A, 0)), ISNUMBER(MATCH(O$1, AsistenciaJetAdminConcatenada!$B:$B, 0)), ISNUMBER(SEARCH($A54,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ISNUMBER(SEARCH($A54, INDEX(AsistenciaJetAdminConcatenada!$D:$D, MATCH(1, (AsistenciaJetAdminConcatenada!$A:$A=O$2)*(AsistenciaJetAdminConcatenada!$B:$B=O$1), 0)), 1))),  0.5, 0))</f>
        <v>0</v>
      </c>
      <c r="P54" s="47">
        <f t="array" ref="P54">IF(AND(ISNUMBER(MATCH(P$2, AsistenciaJetAdminConcatenada!$A:$A, 0)), ISNUMBER(MATCH(P$1, AsistenciaJetAdminConcatenada!$B:$B, 0)), ISNUMBER(SEARCH($A54, INDEX(AsistenciaJetAdminConcatenada!$C:$C, MATCH(1, (AsistenciaJetAdminConcatenada!$A:$A=P$2)*(AsistenciaJetAdminConcatenada!$B:$B=P$1), 0)), 1))), 1, IF(AND(ISNUMBER(MATCH(P$2, AsistenciaJetAdminConcatenada!$A:$A, 0)), ISNUMBER(MATCH(P$1, AsistenciaJetAdminConcatenada!$B:$B, 0)), ISNUMBER(SEARCH($A54, INDEX(AsistenciaJetAdminConcatenada!$D:$D, MATCH(1, (AsistenciaJetAdminConcatenada!$A:$A=P$2)*(AsistenciaJetAdminConcatenada!$B:$B=P$1), 0)), 1))),  0.5, 0))</f>
        <v>1</v>
      </c>
      <c r="Q54" s="47">
        <f t="array" ref="Q54">IF(AND(ISNUMBER(MATCH(Q$2, AsistenciaJetAdminConcatenada!$A:$A, 0)), ISNUMBER(MATCH(Q$1, AsistenciaJetAdminConcatenada!$B:$B, 0)), ISNUMBER(SEARCH($A54, INDEX(AsistenciaJetAdminConcatenada!$C:$C, MATCH(1, (AsistenciaJetAdminConcatenada!$A:$A=Q$2)*(AsistenciaJetAdminConcatenada!$B:$B=Q$1), 0)), 1))), 1, IF(AND(ISNUMBER(MATCH(Q$2, AsistenciaJetAdminConcatenada!$A:$A, 0)), ISNUMBER(MATCH(Q$1, AsistenciaJetAdminConcatenada!$B:$B, 0)), ISNUMBER(SEARCH($A54, INDEX(AsistenciaJetAdminConcatenada!$D:$D, MATCH(1, (AsistenciaJetAdminConcatenada!$A:$A=Q$2)*(AsistenciaJetAdminConcatenada!$B:$B=Q$1), 0)), 1))),  0.5, 0))</f>
        <v>1</v>
      </c>
      <c r="R54" s="47">
        <f t="array" ref="R54">IF(AND(ISNUMBER(MATCH(R$2, AsistenciaJetAdminConcatenada!$A:$A, 0)), ISNUMBER(MATCH(R$1, AsistenciaJetAdminConcatenada!$B:$B, 0)), ISNUMBER(SEARCH($A54,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ISNUMBER(SEARCH($A54, INDEX(AsistenciaJetAdminConcatenada!$D:$D, MATCH(1, (AsistenciaJetAdminConcatenada!$A:$A=R$2)*(AsistenciaJetAdminConcatenada!$B:$B=R$1), 0)), 1))),  0.5, 0))</f>
        <v>1</v>
      </c>
      <c r="S54" s="47">
        <f t="array" ref="S54">IF(AND(ISNUMBER(MATCH(S$2, AsistenciaJetAdminConcatenada!$A:$A, 0)), ISNUMBER(MATCH(S$1, AsistenciaJetAdminConcatenada!$B:$B, 0)), ISNUMBER(SEARCH($A54,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ISNUMBER(SEARCH($A54, INDEX(AsistenciaJetAdminConcatenada!$D:$D, MATCH(1, (AsistenciaJetAdminConcatenada!$A:$A=S$2)*(AsistenciaJetAdminConcatenada!$B:$B=S$1), 0)), 1))),  0.5, 0))</f>
        <v>1</v>
      </c>
      <c r="T54" s="47">
        <f t="array" ref="T54">IF(AND(ISNUMBER(MATCH(T$2, AsistenciaJetAdminConcatenada!$A:$A, 0)), ISNUMBER(MATCH(T$1, AsistenciaJetAdminConcatenada!$B:$B, 0)), ISNUMBER(SEARCH($A54,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ISNUMBER(SEARCH($A54, INDEX(AsistenciaJetAdminConcatenada!$D:$D, MATCH(1, (AsistenciaJetAdminConcatenada!$A:$A=T$2)*(AsistenciaJetAdminConcatenada!$B:$B=T$1), 0)), 1))),  0.5, 0))</f>
        <v>1</v>
      </c>
      <c r="U54" s="47">
        <f t="array" ref="U54">IF(AND(ISNUMBER(MATCH(U$2, AsistenciaJetAdminConcatenada!$A:$A, 0)), ISNUMBER(MATCH(U$1, AsistenciaJetAdminConcatenada!$B:$B, 0)), ISNUMBER(SEARCH($A54,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ISNUMBER(SEARCH($A54, INDEX(AsistenciaJetAdminConcatenada!$D:$D, MATCH(1, (AsistenciaJetAdminConcatenada!$A:$A=U$2)*(AsistenciaJetAdminConcatenada!$B:$B=U$1), 0)), 1))),  0.5, 0))</f>
        <v>1</v>
      </c>
      <c r="V54" s="47">
        <f t="array" ref="V54">IF(AND(ISNUMBER(MATCH(V$2, AsistenciaJetAdminConcatenada!$A:$A, 0)), ISNUMBER(MATCH(V$1, AsistenciaJetAdminConcatenada!$B:$B, 0)), ISNUMBER(SEARCH($A54,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ISNUMBER(SEARCH($A54, INDEX(AsistenciaJetAdminConcatenada!$D:$D, MATCH(1, (AsistenciaJetAdminConcatenada!$A:$A=V$2)*(AsistenciaJetAdminConcatenada!$B:$B=V$1), 0)), 1))),  0.5, 0))</f>
        <v>1</v>
      </c>
      <c r="W54" s="47">
        <f t="array" ref="W54">IF(AND(ISNUMBER(MATCH(W$2, AsistenciaJetAdminConcatenada!$A:$A, 0)), ISNUMBER(MATCH(W$1, AsistenciaJetAdminConcatenada!$B:$B, 0)), ISNUMBER(SEARCH($A54,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ISNUMBER(SEARCH($A54, INDEX(AsistenciaJetAdminConcatenada!$D:$D, MATCH(1, (AsistenciaJetAdminConcatenada!$A:$A=W$2)*(AsistenciaJetAdminConcatenada!$B:$B=W$1), 0)), 1))),  0.5, 0))</f>
        <v>1</v>
      </c>
      <c r="X54" s="47">
        <f t="array" ref="X54">IF(AND(ISNUMBER(MATCH(X$2, AsistenciaJetAdminConcatenada!$A:$A, 0)), ISNUMBER(MATCH(X$1, AsistenciaJetAdminConcatenada!$B:$B, 0)), ISNUMBER(SEARCH($A54,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ISNUMBER(SEARCH($A54, INDEX(AsistenciaJetAdminConcatenada!$D:$D, MATCH(1, (AsistenciaJetAdminConcatenada!$A:$A=X$2)*(AsistenciaJetAdminConcatenada!$B:$B=X$1), 0)), 1))),  0.5, 0))</f>
        <v>1</v>
      </c>
      <c r="Y54" s="47">
        <f t="array" ref="Y54">IF(AND(ISNUMBER(MATCH(Y$2, AsistenciaJetAdminConcatenada!$A:$A, 0)), ISNUMBER(MATCH(Y$1, AsistenciaJetAdminConcatenada!$B:$B, 0)), ISNUMBER(SEARCH($A54,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ISNUMBER(SEARCH($A54, INDEX(AsistenciaJetAdminConcatenada!$D:$D, MATCH(1, (AsistenciaJetAdminConcatenada!$A:$A=Y$2)*(AsistenciaJetAdminConcatenada!$B:$B=Y$1), 0)), 1))),  0.5, 0))</f>
        <v>1</v>
      </c>
      <c r="Z54" s="47">
        <f t="array" ref="Z54">IF(AND(ISNUMBER(MATCH(Z$2, AsistenciaJetAdminConcatenada!$A:$A, 0)), ISNUMBER(MATCH(Z$1, AsistenciaJetAdminConcatenada!$B:$B, 0)), ISNUMBER(SEARCH($A54,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ISNUMBER(SEARCH($A54, INDEX(AsistenciaJetAdminConcatenada!$D:$D, MATCH(1, (AsistenciaJetAdminConcatenada!$A:$A=Z$2)*(AsistenciaJetAdminConcatenada!$B:$B=Z$1), 0)), 1))),  0.5, 0))</f>
        <v>1</v>
      </c>
      <c r="AA54" s="47">
        <f t="array" ref="AA54">IF(AND(ISNUMBER(MATCH(AA$2, AsistenciaJetAdminConcatenada!$A:$A, 0)), ISNUMBER(MATCH(AA$1, AsistenciaJetAdminConcatenada!$B:$B, 0)), ISNUMBER(SEARCH($A54,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ISNUMBER(SEARCH($A54, INDEX(AsistenciaJetAdminConcatenada!$D:$D, MATCH(1, (AsistenciaJetAdminConcatenada!$A:$A=AA$2)*(AsistenciaJetAdminConcatenada!$B:$B=AA$1), 0)), 1))),  0.5, 0))</f>
        <v>0</v>
      </c>
      <c r="AB54" s="47">
        <f t="array" ref="AB54">IF(AND(ISNUMBER(MATCH(AB$2, AsistenciaJetAdminConcatenada!$A:$A, 0)), ISNUMBER(MATCH(AB$1, AsistenciaJetAdminConcatenada!$B:$B, 0)), ISNUMBER(SEARCH($A54,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ISNUMBER(SEARCH($A54, INDEX(AsistenciaJetAdminConcatenada!$D:$D, MATCH(1, (AsistenciaJetAdminConcatenada!$A:$A=AB$2)*(AsistenciaJetAdminConcatenada!$B:$B=AB$1), 0)), 1))),  0.5, 0))</f>
        <v>1</v>
      </c>
      <c r="AC54" s="47">
        <f t="array" ref="AC54">IF(AND(ISNUMBER(MATCH(AC$2, AsistenciaJetAdminConcatenada!$A:$A, 0)), ISNUMBER(MATCH(AC$1, AsistenciaJetAdminConcatenada!$B:$B, 0)), ISNUMBER(SEARCH($A54,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ISNUMBER(SEARCH($A54, INDEX(AsistenciaJetAdminConcatenada!$D:$D, MATCH(1, (AsistenciaJetAdminConcatenada!$A:$A=AC$2)*(AsistenciaJetAdminConcatenada!$B:$B=AC$1), 0)), 1))),  0.5, 0))</f>
        <v>1</v>
      </c>
      <c r="AD54" s="47">
        <f t="array" ref="AD54">IF(AND(ISNUMBER(MATCH(AD$2, AsistenciaJetAdminConcatenada!$A:$A, 0)), ISNUMBER(MATCH(AD$1, AsistenciaJetAdminConcatenada!$B:$B, 0)), ISNUMBER(SEARCH($A54,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ISNUMBER(SEARCH($A54, INDEX(AsistenciaJetAdminConcatenada!$D:$D, MATCH(1, (AsistenciaJetAdminConcatenada!$A:$A=AD$2)*(AsistenciaJetAdminConcatenada!$B:$B=AD$1), 0)), 1))),  0.5, 0))</f>
        <v>1</v>
      </c>
      <c r="AE54" s="47">
        <f t="array" ref="AE54">IF(AND(ISNUMBER(MATCH(AE$2, AsistenciaJetAdminConcatenada!$A:$A, 0)), ISNUMBER(MATCH(AE$1, AsistenciaJetAdminConcatenada!$B:$B, 0)), ISNUMBER(SEARCH($A54,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ISNUMBER(SEARCH($A54, INDEX(AsistenciaJetAdminConcatenada!$D:$D, MATCH(1, (AsistenciaJetAdminConcatenada!$A:$A=AE$2)*(AsistenciaJetAdminConcatenada!$B:$B=AE$1), 0)), 1))),  0.5, 0))</f>
        <v>1</v>
      </c>
      <c r="AF54" s="47">
        <f t="array" ref="AF54">IF(AND(ISNUMBER(MATCH(AF$2, AsistenciaJetAdminConcatenada!$A:$A, 0)), ISNUMBER(MATCH(AF$1, AsistenciaJetAdminConcatenada!$B:$B, 0)), ISNUMBER(SEARCH($A54,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ISNUMBER(SEARCH($A54, INDEX(AsistenciaJetAdminConcatenada!$D:$D, MATCH(1, (AsistenciaJetAdminConcatenada!$A:$A=AF$2)*(AsistenciaJetAdminConcatenada!$B:$B=AF$1), 0)), 1))),  0.5, 0))</f>
        <v>1</v>
      </c>
      <c r="AG54" s="47">
        <f t="array" ref="AG54">IF(AND(ISNUMBER(MATCH(AG$2, AsistenciaJetAdminConcatenada!$A:$A, 0)), ISNUMBER(MATCH(AG$1, AsistenciaJetAdminConcatenada!$B:$B, 0)), ISNUMBER(SEARCH($A54,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ISNUMBER(SEARCH($A54, INDEX(AsistenciaJetAdminConcatenada!$D:$D, MATCH(1, (AsistenciaJetAdminConcatenada!$A:$A=AG$2)*(AsistenciaJetAdminConcatenada!$B:$B=AG$1), 0)), 1))),  0.5, 0))</f>
        <v>0.5</v>
      </c>
      <c r="AH54" s="47">
        <f t="array" ref="AH54">IF(AND(ISNUMBER(MATCH(AH$2, AsistenciaJetAdminConcatenada!$A:$A, 0)), ISNUMBER(MATCH(AH$1, AsistenciaJetAdminConcatenada!$B:$B, 0)), ISNUMBER(SEARCH($A54,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ISNUMBER(SEARCH($A54, INDEX(AsistenciaJetAdminConcatenada!$D:$D, MATCH(1, (AsistenciaJetAdminConcatenada!$A:$A=AH$2)*(AsistenciaJetAdminConcatenada!$B:$B=AH$1), 0)), 1))),  0.5, 0))</f>
        <v>0</v>
      </c>
      <c r="AI54" s="47">
        <f t="array" ref="AI54">IF(AND(ISNUMBER(MATCH(AI$2, AsistenciaJetAdminConcatenada!$A:$A, 0)), ISNUMBER(MATCH(AI$1, AsistenciaJetAdminConcatenada!$B:$B, 0)), ISNUMBER(SEARCH($A54,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ISNUMBER(SEARCH($A54, INDEX(AsistenciaJetAdminConcatenada!$D:$D, MATCH(1, (AsistenciaJetAdminConcatenada!$A:$A=AI$2)*(AsistenciaJetAdminConcatenada!$B:$B=AI$1), 0)), 1))),  0.5, 0))</f>
        <v>1</v>
      </c>
      <c r="AJ54" s="47">
        <f t="array" ref="AJ54">IF(AND(ISNUMBER(MATCH(AJ$2, AsistenciaJetAdminConcatenada!$A:$A, 0)), ISNUMBER(MATCH(AJ$1, AsistenciaJetAdminConcatenada!$B:$B, 0)), ISNUMBER(SEARCH($A54,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ISNUMBER(SEARCH($A54, INDEX(AsistenciaJetAdminConcatenada!$D:$D, MATCH(1, (AsistenciaJetAdminConcatenada!$A:$A=AJ$2)*(AsistenciaJetAdminConcatenada!$B:$B=AJ$1), 0)), 1))),  0.5, 0))</f>
        <v>1</v>
      </c>
      <c r="AK54" s="47">
        <f t="array" ref="AK54">IF(AND(ISNUMBER(MATCH(AK$2, AsistenciaJetAdminConcatenada!$A:$A, 0)), ISNUMBER(MATCH(AK$1, AsistenciaJetAdminConcatenada!$B:$B, 0)), ISNUMBER(SEARCH($A54,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ISNUMBER(SEARCH($A54, INDEX(AsistenciaJetAdminConcatenada!$D:$D, MATCH(1, (AsistenciaJetAdminConcatenada!$A:$A=AK$2)*(AsistenciaJetAdminConcatenada!$B:$B=AK$1), 0)), 1))),  0.5, 0))</f>
        <v>0</v>
      </c>
      <c r="AL54" s="47">
        <f t="array" ref="AL54">IF(AND(ISNUMBER(MATCH(AL$2, AsistenciaJetAdminConcatenada!$A:$A, 0)), ISNUMBER(MATCH(AL$1, AsistenciaJetAdminConcatenada!$B:$B, 0)), ISNUMBER(SEARCH($A54,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ISNUMBER(SEARCH($A54, INDEX(AsistenciaJetAdminConcatenada!$D:$D, MATCH(1, (AsistenciaJetAdminConcatenada!$A:$A=AL$2)*(AsistenciaJetAdminConcatenada!$B:$B=AL$1), 0)), 1))),  0.5, 0))</f>
        <v>1</v>
      </c>
      <c r="AM54" s="47">
        <f t="array" ref="AM54">IF(AND(ISNUMBER(MATCH(AM$2, AsistenciaJetAdminConcatenada!$A:$A, 0)), ISNUMBER(MATCH(AM$1, AsistenciaJetAdminConcatenada!$B:$B, 0)), ISNUMBER(SEARCH($A54,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ISNUMBER(SEARCH($A54, INDEX(AsistenciaJetAdminConcatenada!$D:$D, MATCH(1, (AsistenciaJetAdminConcatenada!$A:$A=AM$2)*(AsistenciaJetAdminConcatenada!$B:$B=AM$1), 0)), 1))),  0.5, 0))</f>
        <v>0</v>
      </c>
      <c r="AN54" s="47">
        <f t="array" ref="AN54">IF(AND(ISNUMBER(MATCH(AN$2, AsistenciaJetAdminConcatenada!$A:$A, 0)), ISNUMBER(MATCH(AN$1, AsistenciaJetAdminConcatenada!$B:$B, 0)), ISNUMBER(SEARCH($A54,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ISNUMBER(SEARCH($A54, INDEX(AsistenciaJetAdminConcatenada!$D:$D, MATCH(1, (AsistenciaJetAdminConcatenada!$A:$A=AN$2)*(AsistenciaJetAdminConcatenada!$B:$B=AN$1), 0)), 1))),  0.5, 0))</f>
        <v>0</v>
      </c>
      <c r="AO54" s="47">
        <f t="array" ref="AO54">IF(AND(ISNUMBER(MATCH(AO$2, AsistenciaJetAdminConcatenada!$A:$A, 0)), ISNUMBER(MATCH(AO$1, AsistenciaJetAdminConcatenada!$B:$B, 0)), ISNUMBER(SEARCH($A54,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ISNUMBER(SEARCH($A54, INDEX(AsistenciaJetAdminConcatenada!$D:$D, MATCH(1, (AsistenciaJetAdminConcatenada!$A:$A=AO$2)*(AsistenciaJetAdminConcatenada!$B:$B=AO$1), 0)), 1))),  0.5, 0))</f>
        <v>1</v>
      </c>
      <c r="AP54" s="47">
        <f t="array" ref="AP54">IF(AND(ISNUMBER(MATCH(AP$2, AsistenciaJetAdminConcatenada!$A:$A, 0)), ISNUMBER(MATCH(AP$1, AsistenciaJetAdminConcatenada!$B:$B, 0)), ISNUMBER(SEARCH($A54,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ISNUMBER(SEARCH($A54, INDEX(AsistenciaJetAdminConcatenada!$D:$D, MATCH(1, (AsistenciaJetAdminConcatenada!$A:$A=AP$2)*(AsistenciaJetAdminConcatenada!$B:$B=AP$1), 0)), 1))),  0.5, 0))</f>
        <v>1</v>
      </c>
      <c r="AQ54" s="47">
        <f t="array" ref="AQ54">IF(AND(ISNUMBER(MATCH(AQ$2, AsistenciaJetAdminConcatenada!$A:$A, 0)), ISNUMBER(MATCH(AQ$1, AsistenciaJetAdminConcatenada!$B:$B, 0)), ISNUMBER(SEARCH($A54,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ISNUMBER(SEARCH($A54, INDEX(AsistenciaJetAdminConcatenada!$D:$D, MATCH(1, (AsistenciaJetAdminConcatenada!$A:$A=AQ$2)*(AsistenciaJetAdminConcatenada!$B:$B=AQ$1), 0)), 1))),  0.5, 0))</f>
        <v>0</v>
      </c>
      <c r="AR54" s="47">
        <f t="array" ref="AR54">IF(AND(ISNUMBER(MATCH(AR$2, AsistenciaJetAdminConcatenada!$A:$A, 0)), ISNUMBER(MATCH(AR$1, AsistenciaJetAdminConcatenada!$B:$B, 0)), ISNUMBER(SEARCH($A54,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ISNUMBER(SEARCH($A54, INDEX(AsistenciaJetAdminConcatenada!$D:$D, MATCH(1, (AsistenciaJetAdminConcatenada!$A:$A=AR$2)*(AsistenciaJetAdminConcatenada!$B:$B=AR$1), 0)), 1))),  0.5, 0))</f>
        <v>1</v>
      </c>
      <c r="AS54" s="47">
        <f t="array" ref="AS54">IF(AND(ISNUMBER(MATCH(AS$2, AsistenciaJetAdminConcatenada!$A:$A, 0)), ISNUMBER(MATCH(AS$1, AsistenciaJetAdminConcatenada!$B:$B, 0)), ISNUMBER(SEARCH($A54,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ISNUMBER(SEARCH($A54, INDEX(AsistenciaJetAdminConcatenada!$D:$D, MATCH(1, (AsistenciaJetAdminConcatenada!$A:$A=AS$2)*(AsistenciaJetAdminConcatenada!$B:$B=AS$1), 0)), 1))),  0.5, 0))</f>
        <v>1</v>
      </c>
      <c r="AT54" s="47">
        <f t="array" ref="AT54">IF(AND(ISNUMBER(MATCH(AT$2, AsistenciaJetAdminConcatenada!$A:$A, 0)), ISNUMBER(MATCH(AT$1, AsistenciaJetAdminConcatenada!$B:$B, 0)), ISNUMBER(SEARCH($A54,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ISNUMBER(SEARCH($A54, INDEX(AsistenciaJetAdminConcatenada!$D:$D, MATCH(1, (AsistenciaJetAdminConcatenada!$A:$A=AT$2)*(AsistenciaJetAdminConcatenada!$B:$B=AT$1), 0)), 1))),  0.5, 0))</f>
        <v>0</v>
      </c>
      <c r="AU54" s="47">
        <f t="array" ref="AU54">IF(AND(ISNUMBER(MATCH(AU$2, AsistenciaJetAdminConcatenada!$A:$A, 0)), ISNUMBER(MATCH(AU$1, AsistenciaJetAdminConcatenada!$B:$B, 0)), ISNUMBER(SEARCH($A54,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ISNUMBER(SEARCH($A54, INDEX(AsistenciaJetAdminConcatenada!$D:$D, MATCH(1, (AsistenciaJetAdminConcatenada!$A:$A=AU$2)*(AsistenciaJetAdminConcatenada!$B:$B=AU$1), 0)), 1))),  0.5, 0))</f>
        <v>1</v>
      </c>
      <c r="AV54" s="47">
        <f t="array" ref="AV54">IF(AND(ISNUMBER(MATCH(AV$2, AsistenciaJetAdminConcatenada!$A:$A, 0)), ISNUMBER(MATCH(AV$1, AsistenciaJetAdminConcatenada!$B:$B, 0)), ISNUMBER(SEARCH($A54,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ISNUMBER(SEARCH($A54, INDEX(AsistenciaJetAdminConcatenada!$D:$D, MATCH(1, (AsistenciaJetAdminConcatenada!$A:$A=AV$2)*(AsistenciaJetAdminConcatenada!$B:$B=AV$1), 0)), 1))),  0.5, 0))</f>
        <v>1</v>
      </c>
      <c r="AW54" s="47">
        <f t="array" ref="AW54">IF(AND(ISNUMBER(MATCH(AW$2, AsistenciaJetAdminConcatenada!$A:$A, 0)), ISNUMBER(MATCH(AW$1, AsistenciaJetAdminConcatenada!$B:$B, 0)), ISNUMBER(SEARCH($A54,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ISNUMBER(SEARCH($A54, INDEX(AsistenciaJetAdminConcatenada!$D:$D, MATCH(1, (AsistenciaJetAdminConcatenada!$A:$A=AW$2)*(AsistenciaJetAdminConcatenada!$B:$B=AW$1), 0)), 1))),  0.5, 0))</f>
        <v>1</v>
      </c>
      <c r="AX54" s="47">
        <f t="array" ref="AX54">IF(AND(ISNUMBER(MATCH(AX$2, AsistenciaJetAdminConcatenada!$A:$A, 0)), ISNUMBER(MATCH(AX$1, AsistenciaJetAdminConcatenada!$B:$B, 0)), ISNUMBER(SEARCH($A54,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ISNUMBER(SEARCH($A54, INDEX(AsistenciaJetAdminConcatenada!$D:$D, MATCH(1, (AsistenciaJetAdminConcatenada!$A:$A=AX$2)*(AsistenciaJetAdminConcatenada!$B:$B=AX$1), 0)), 1))),  0.5, 0))</f>
        <v>1</v>
      </c>
      <c r="AY54" s="47">
        <f t="array" ref="AY54">IF(AND(ISNUMBER(MATCH(AY$2, AsistenciaJetAdminConcatenada!$A:$A, 0)), ISNUMBER(MATCH(AY$1, AsistenciaJetAdminConcatenada!$B:$B, 0)), ISNUMBER(SEARCH($A54,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ISNUMBER(SEARCH($A54, INDEX(AsistenciaJetAdminConcatenada!$D:$D, MATCH(1, (AsistenciaJetAdminConcatenada!$A:$A=AY$2)*(AsistenciaJetAdminConcatenada!$B:$B=AY$1), 0)), 1))),  0.5, 0))</f>
        <v>1</v>
      </c>
      <c r="AZ54" s="47">
        <f t="array" ref="AZ54">IF(AND(ISNUMBER(MATCH(AZ$2, AsistenciaJetAdminConcatenada!$A:$A, 0)), ISNUMBER(MATCH(AZ$1, AsistenciaJetAdminConcatenada!$B:$B, 0)), ISNUMBER(SEARCH($A54,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ISNUMBER(SEARCH($A54, INDEX(AsistenciaJetAdminConcatenada!$D:$D, MATCH(1, (AsistenciaJetAdminConcatenada!$A:$A=AZ$2)*(AsistenciaJetAdminConcatenada!$B:$B=AZ$1), 0)), 1))),  0.5, 0))</f>
        <v>1</v>
      </c>
      <c r="BA54" s="47">
        <f t="array" ref="BA54">IF(AND(ISNUMBER(MATCH(BA$2, AsistenciaJetAdminConcatenada!$A:$A, 0)), ISNUMBER(MATCH(BA$1, AsistenciaJetAdminConcatenada!$B:$B, 0)), ISNUMBER(SEARCH($A54,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ISNUMBER(SEARCH($A54, INDEX(AsistenciaJetAdminConcatenada!$D:$D, MATCH(1, (AsistenciaJetAdminConcatenada!$A:$A=BA$2)*(AsistenciaJetAdminConcatenada!$B:$B=BA$1), 0)), 1))),  0.5, 0))</f>
        <v>1</v>
      </c>
      <c r="BB54" s="47">
        <f t="array" ref="BB54">IF(AND(ISNUMBER(MATCH(BB$2, AsistenciaJetAdminConcatenada!$A:$A, 0)), ISNUMBER(MATCH(BB$1, AsistenciaJetAdminConcatenada!$B:$B, 0)), ISNUMBER(SEARCH($A54,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ISNUMBER(SEARCH($A54, INDEX(AsistenciaJetAdminConcatenada!$D:$D, MATCH(1, (AsistenciaJetAdminConcatenada!$A:$A=BB$2)*(AsistenciaJetAdminConcatenada!$B:$B=BB$1), 0)), 1))),  0.5, 0))</f>
        <v>1</v>
      </c>
      <c r="BC54" s="47">
        <f t="array" ref="BC54">IF(AND(ISNUMBER(MATCH(BC$2, AsistenciaJetAdminConcatenada!$A:$A, 0)), ISNUMBER(MATCH(BC$1, AsistenciaJetAdminConcatenada!$B:$B, 0)), ISNUMBER(SEARCH($A54,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ISNUMBER(SEARCH($A54, INDEX(AsistenciaJetAdminConcatenada!$D:$D, MATCH(1, (AsistenciaJetAdminConcatenada!$A:$A=BC$2)*(AsistenciaJetAdminConcatenada!$B:$B=BC$1), 0)), 1))),  0.5, 0))</f>
        <v>1</v>
      </c>
      <c r="BD54" s="47">
        <f t="array" ref="BD54">IF(AND(ISNUMBER(MATCH(BD$2, AsistenciaJetAdminConcatenada!$A:$A, 0)), ISNUMBER(MATCH(BD$1, AsistenciaJetAdminConcatenada!$B:$B, 0)), ISNUMBER(SEARCH($A54,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ISNUMBER(SEARCH($A54, INDEX(AsistenciaJetAdminConcatenada!$D:$D, MATCH(1, (AsistenciaJetAdminConcatenada!$A:$A=BD$2)*(AsistenciaJetAdminConcatenada!$B:$B=BD$1), 0)), 1))),  0.5, 0))</f>
        <v>0.5</v>
      </c>
      <c r="BE54" s="47">
        <f t="array" ref="BE54">IF(AND(ISNUMBER(MATCH(BE$2, AsistenciaJetAdminConcatenada!$A:$A, 0)), ISNUMBER(MATCH(BE$1, AsistenciaJetAdminConcatenada!$B:$B, 0)), ISNUMBER(SEARCH($A54,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ISNUMBER(SEARCH($A54, INDEX(AsistenciaJetAdminConcatenada!$D:$D, MATCH(1, (AsistenciaJetAdminConcatenada!$A:$A=BE$2)*(AsistenciaJetAdminConcatenada!$B:$B=BE$1), 0)), 1))),  0.5, 0))</f>
        <v>1</v>
      </c>
      <c r="BF54" s="47">
        <f t="array" ref="BF54">IF(AND(ISNUMBER(MATCH(BF$2, AsistenciaJetAdminConcatenada!$A:$A, 0)), ISNUMBER(MATCH(BF$1, AsistenciaJetAdminConcatenada!$B:$B, 0)), ISNUMBER(SEARCH($A54,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ISNUMBER(SEARCH($A54, INDEX(AsistenciaJetAdminConcatenada!$D:$D, MATCH(1, (AsistenciaJetAdminConcatenada!$A:$A=BF$2)*(AsistenciaJetAdminConcatenada!$B:$B=BF$1), 0)), 1))),  0.5, 0))</f>
        <v>1</v>
      </c>
      <c r="BG54" s="47">
        <f t="array" ref="BG54">IF(AND(ISNUMBER(MATCH(BG$2, AsistenciaJetAdminConcatenada!$A:$A, 0)), ISNUMBER(MATCH(BG$1, AsistenciaJetAdminConcatenada!$B:$B, 0)), ISNUMBER(SEARCH($A54,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ISNUMBER(SEARCH($A54, INDEX(AsistenciaJetAdminConcatenada!$D:$D, MATCH(1, (AsistenciaJetAdminConcatenada!$A:$A=BG$2)*(AsistenciaJetAdminConcatenada!$B:$B=BG$1), 0)), 1))),  0.5, 0))</f>
        <v>1</v>
      </c>
      <c r="BH54" s="47">
        <f t="array" ref="BH54">IF(AND(ISNUMBER(MATCH(BH$2, AsistenciaJetAdminConcatenada!$A:$A, 0)), ISNUMBER(MATCH(BH$1, AsistenciaJetAdminConcatenada!$B:$B, 0)), ISNUMBER(SEARCH($A54,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ISNUMBER(SEARCH($A54, INDEX(AsistenciaJetAdminConcatenada!$D:$D, MATCH(1, (AsistenciaJetAdminConcatenada!$A:$A=BH$2)*(AsistenciaJetAdminConcatenada!$B:$B=BH$1), 0)), 1))),  0.5, 0))</f>
        <v>1</v>
      </c>
      <c r="BI54" s="47">
        <f t="array" ref="BI54">IF(AND(ISNUMBER(MATCH(BI$2, AsistenciaJetAdminConcatenada!$A:$A, 0)), ISNUMBER(MATCH(BI$1, AsistenciaJetAdminConcatenada!$B:$B, 0)), ISNUMBER(SEARCH($A54,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ISNUMBER(SEARCH($A54, INDEX(AsistenciaJetAdminConcatenada!$D:$D, MATCH(1, (AsistenciaJetAdminConcatenada!$A:$A=BI$2)*(AsistenciaJetAdminConcatenada!$B:$B=BI$1), 0)), 1))),  0.5, 0))</f>
        <v>0</v>
      </c>
      <c r="BJ54" s="47">
        <f t="array" ref="BJ54">IF(AND(ISNUMBER(MATCH(BJ$2, AsistenciaJetAdminConcatenada!$A:$A, 0)), ISNUMBER(MATCH(BJ$1, AsistenciaJetAdminConcatenada!$B:$B, 0)), ISNUMBER(SEARCH($A54,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ISNUMBER(SEARCH($A54, INDEX(AsistenciaJetAdminConcatenada!$D:$D, MATCH(1, (AsistenciaJetAdminConcatenada!$A:$A=BJ$2)*(AsistenciaJetAdminConcatenada!$B:$B=BJ$1), 0)), 1))),  0.5, 0))</f>
        <v>1</v>
      </c>
      <c r="BK54" s="47">
        <f t="array" ref="BK54">IF(AND(ISNUMBER(MATCH(BK$2, AsistenciaJetAdminConcatenada!$A:$A, 0)), ISNUMBER(MATCH(BK$1, AsistenciaJetAdminConcatenada!$B:$B, 0)), ISNUMBER(SEARCH($A54,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ISNUMBER(SEARCH($A54, INDEX(AsistenciaJetAdminConcatenada!$D:$D, MATCH(1, (AsistenciaJetAdminConcatenada!$A:$A=BK$2)*(AsistenciaJetAdminConcatenada!$B:$B=BK$1), 0)), 1))),  0.5, 0))</f>
        <v>1</v>
      </c>
      <c r="BL54" s="47">
        <f t="array" ref="BL54">IF(AND(ISNUMBER(MATCH(BL$2, AsistenciaJetAdminConcatenada!$A:$A, 0)), ISNUMBER(MATCH(BL$1, AsistenciaJetAdminConcatenada!$B:$B, 0)), ISNUMBER(SEARCH($A54,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ISNUMBER(SEARCH($A54, INDEX(AsistenciaJetAdminConcatenada!$D:$D, MATCH(1, (AsistenciaJetAdminConcatenada!$A:$A=BL$2)*(AsistenciaJetAdminConcatenada!$B:$B=BL$1), 0)), 1))),  0.5, 0))</f>
        <v>1</v>
      </c>
      <c r="BM54" s="47">
        <f t="array" ref="BM54">IF(AND(ISNUMBER(MATCH(BM$2, AsistenciaJetAdminConcatenada!$A:$A, 0)), ISNUMBER(MATCH(BM$1, AsistenciaJetAdminConcatenada!$B:$B, 0)), ISNUMBER(SEARCH($A54,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ISNUMBER(SEARCH($A54, INDEX(AsistenciaJetAdminConcatenada!$D:$D, MATCH(1, (AsistenciaJetAdminConcatenada!$A:$A=BM$2)*(AsistenciaJetAdminConcatenada!$B:$B=BM$1), 0)), 1))),  0.5, 0))</f>
        <v>1</v>
      </c>
      <c r="BN54" s="47">
        <f t="array" ref="BN54">IF(AND(ISNUMBER(MATCH(BN$2, AsistenciaJetAdminConcatenada!$A:$A, 0)), ISNUMBER(MATCH(BN$1, AsistenciaJetAdminConcatenada!$B:$B, 0)), ISNUMBER(SEARCH($A54,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ISNUMBER(SEARCH($A54, INDEX(AsistenciaJetAdminConcatenada!$D:$D, MATCH(1, (AsistenciaJetAdminConcatenada!$A:$A=BN$2)*(AsistenciaJetAdminConcatenada!$B:$B=BN$1), 0)), 1))),  0.5, 0))</f>
        <v>0</v>
      </c>
      <c r="BO54" s="47">
        <f t="array" ref="BO54">IF(AND(ISNUMBER(MATCH(BO$2, AsistenciaJetAdminConcatenada!$A:$A, 0)), ISNUMBER(MATCH(BO$1, AsistenciaJetAdminConcatenada!$B:$B, 0)), ISNUMBER(SEARCH($A54,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ISNUMBER(SEARCH($A54, INDEX(AsistenciaJetAdminConcatenada!$D:$D, MATCH(1, (AsistenciaJetAdminConcatenada!$A:$A=BO$2)*(AsistenciaJetAdminConcatenada!$B:$B=BO$1), 0)), 1))),  0.5, 0))</f>
        <v>1</v>
      </c>
      <c r="BP54" s="47">
        <f t="array" ref="BP54">IF(AND(ISNUMBER(MATCH(BP$2, AsistenciaJetAdminConcatenada!$A:$A, 0)), ISNUMBER(MATCH(BP$1, AsistenciaJetAdminConcatenada!$B:$B, 0)), ISNUMBER(SEARCH($A54,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ISNUMBER(SEARCH($A54, INDEX(AsistenciaJetAdminConcatenada!$D:$D, MATCH(1, (AsistenciaJetAdminConcatenada!$A:$A=BP$2)*(AsistenciaJetAdminConcatenada!$B:$B=BP$1), 0)), 1))),  0.5, 0))</f>
        <v>1</v>
      </c>
      <c r="BQ54" s="47">
        <f t="array" ref="BQ54">IF(AND(ISNUMBER(MATCH(BQ$2, AsistenciaJetAdminConcatenada!$A:$A, 0)), ISNUMBER(MATCH(BQ$1, AsistenciaJetAdminConcatenada!$B:$B, 0)), ISNUMBER(SEARCH($A54,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ISNUMBER(SEARCH($A54, INDEX(AsistenciaJetAdminConcatenada!$D:$D, MATCH(1, (AsistenciaJetAdminConcatenada!$A:$A=BQ$2)*(AsistenciaJetAdminConcatenada!$B:$B=BQ$1), 0)), 1))),  0.5, 0))</f>
        <v>1</v>
      </c>
      <c r="BR54" s="47">
        <f t="array" ref="BR54">IF(AND(ISNUMBER(MATCH(BR$2, AsistenciaJetAdminConcatenada!$A:$A, 0)), ISNUMBER(MATCH(BR$1, AsistenciaJetAdminConcatenada!$B:$B, 0)), ISNUMBER(SEARCH($A54,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ISNUMBER(SEARCH($A54, INDEX(AsistenciaJetAdminConcatenada!$D:$D, MATCH(1, (AsistenciaJetAdminConcatenada!$A:$A=BR$2)*(AsistenciaJetAdminConcatenada!$B:$B=BR$1), 0)), 1))),  0.5, 0))</f>
        <v>1</v>
      </c>
      <c r="BS54" s="47">
        <f t="array" ref="BS54">IF(AND(ISNUMBER(MATCH(BS$2, AsistenciaJetAdminConcatenada!$A:$A, 0)), ISNUMBER(MATCH(BS$1, AsistenciaJetAdminConcatenada!$B:$B, 0)), ISNUMBER(SEARCH($A54,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ISNUMBER(SEARCH($A54, INDEX(AsistenciaJetAdminConcatenada!$D:$D, MATCH(1, (AsistenciaJetAdminConcatenada!$A:$A=BS$2)*(AsistenciaJetAdminConcatenada!$B:$B=BS$1), 0)), 1))),  0.5, 0))</f>
        <v>0</v>
      </c>
      <c r="BT54" s="47">
        <f t="array" ref="BT54">IF(AND(ISNUMBER(MATCH(BT$2, AsistenciaJetAdminConcatenada!$A:$A, 0)), ISNUMBER(MATCH(BT$1, AsistenciaJetAdminConcatenada!$B:$B, 0)), ISNUMBER(SEARCH($A54,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ISNUMBER(SEARCH($A54, INDEX(AsistenciaJetAdminConcatenada!$D:$D, MATCH(1, (AsistenciaJetAdminConcatenada!$A:$A=BT$2)*(AsistenciaJetAdminConcatenada!$B:$B=BT$1), 0)), 1))),  0.5, 0))</f>
        <v>0</v>
      </c>
      <c r="BU54" s="47">
        <f t="array" ref="BU54">IF(AND(ISNUMBER(MATCH(BU$2, AsistenciaJetAdminConcatenada!$A:$A, 0)), ISNUMBER(MATCH(BU$1, AsistenciaJetAdminConcatenada!$B:$B, 0)), ISNUMBER(SEARCH($A54,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ISNUMBER(SEARCH($A54, INDEX(AsistenciaJetAdminConcatenada!$D:$D, MATCH(1, (AsistenciaJetAdminConcatenada!$A:$A=BU$2)*(AsistenciaJetAdminConcatenada!$B:$B=BU$1), 0)), 1))),  0.5, 0))</f>
        <v>1</v>
      </c>
      <c r="BV54" s="47">
        <f t="array" ref="BV54">IF(AND(ISNUMBER(MATCH(BV$2, AsistenciaJetAdminConcatenada!$A:$A, 0)), ISNUMBER(MATCH(BV$1, AsistenciaJetAdminConcatenada!$B:$B, 0)), ISNUMBER(SEARCH($A54,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ISNUMBER(SEARCH($A54, INDEX(AsistenciaJetAdminConcatenada!$D:$D, MATCH(1, (AsistenciaJetAdminConcatenada!$A:$A=BV$2)*(AsistenciaJetAdminConcatenada!$B:$B=BV$1), 0)), 1))),  0.5, 0))</f>
        <v>0</v>
      </c>
      <c r="BW54" s="47">
        <f t="array" ref="BW54">IF(AND(ISNUMBER(MATCH(BW$2, AsistenciaJetAdminConcatenada!$A:$A, 0)), ISNUMBER(MATCH(BW$1, AsistenciaJetAdminConcatenada!$B:$B, 0)), ISNUMBER(SEARCH($A54,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ISNUMBER(SEARCH($A54, INDEX(AsistenciaJetAdminConcatenada!$D:$D, MATCH(1, (AsistenciaJetAdminConcatenada!$A:$A=BW$2)*(AsistenciaJetAdminConcatenada!$B:$B=BW$1), 0)), 1))),  0.5, 0))</f>
        <v>0</v>
      </c>
      <c r="BX54" s="47">
        <f t="array" ref="BX54">IF(AND(ISNUMBER(MATCH(BX$2, AsistenciaJetAdminConcatenada!$A:$A, 0)), ISNUMBER(MATCH(BX$1, AsistenciaJetAdminConcatenada!$B:$B, 0)), ISNUMBER(SEARCH($A54,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ISNUMBER(SEARCH($A54, INDEX(AsistenciaJetAdminConcatenada!$D:$D, MATCH(1, (AsistenciaJetAdminConcatenada!$A:$A=BX$2)*(AsistenciaJetAdminConcatenada!$B:$B=BX$1), 0)), 1))),  0.5, 0))</f>
        <v>1</v>
      </c>
      <c r="BY54" s="47">
        <f t="array" ref="BY54">IF(AND(ISNUMBER(MATCH(BY$2, AsistenciaJetAdminConcatenada!$A:$A, 0)), ISNUMBER(MATCH(BY$1, AsistenciaJetAdminConcatenada!$B:$B, 0)), ISNUMBER(SEARCH($A54,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ISNUMBER(SEARCH($A54, INDEX(AsistenciaJetAdminConcatenada!$D:$D, MATCH(1, (AsistenciaJetAdminConcatenada!$A:$A=BY$2)*(AsistenciaJetAdminConcatenada!$B:$B=BY$1), 0)), 1))),  0.5, 0))</f>
        <v>1</v>
      </c>
      <c r="BZ54" s="47">
        <f t="array" ref="BZ54">IF(AND(ISNUMBER(MATCH(BZ$2, AsistenciaJetAdminConcatenada!$A:$A, 0)), ISNUMBER(MATCH(BZ$1, AsistenciaJetAdminConcatenada!$B:$B, 0)), ISNUMBER(SEARCH($A54,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ISNUMBER(SEARCH($A54, INDEX(AsistenciaJetAdminConcatenada!$D:$D, MATCH(1, (AsistenciaJetAdminConcatenada!$A:$A=BZ$2)*(AsistenciaJetAdminConcatenada!$B:$B=BZ$1), 0)), 1))),  0.5, 0))</f>
        <v>1</v>
      </c>
      <c r="CA54" s="47">
        <f t="array" ref="CA54">IF(AND(ISNUMBER(MATCH(CA$2, AsistenciaJetAdminConcatenada!$A:$A, 0)), ISNUMBER(MATCH(CA$1, AsistenciaJetAdminConcatenada!$B:$B, 0)), ISNUMBER(SEARCH($A54,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ISNUMBER(SEARCH($A54, INDEX(AsistenciaJetAdminConcatenada!$D:$D, MATCH(1, (AsistenciaJetAdminConcatenada!$A:$A=CA$2)*(AsistenciaJetAdminConcatenada!$B:$B=CA$1), 0)), 1))),  0.5, 0))</f>
        <v>1</v>
      </c>
      <c r="CB54" s="47">
        <f t="array" ref="CB54">IF(AND(ISNUMBER(MATCH(CB$2, AsistenciaJetAdminConcatenada!$A:$A, 0)), ISNUMBER(MATCH(CB$1, AsistenciaJetAdminConcatenada!$B:$B, 0)), ISNUMBER(SEARCH($A54,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ISNUMBER(SEARCH($A54, INDEX(AsistenciaJetAdminConcatenada!$D:$D, MATCH(1, (AsistenciaJetAdminConcatenada!$A:$A=CB$2)*(AsistenciaJetAdminConcatenada!$B:$B=CB$1), 0)), 1))),  0.5, 0))</f>
        <v>0</v>
      </c>
      <c r="CC54" s="47">
        <f t="array" ref="CC54">IF(AND(ISNUMBER(MATCH(CC$2, AsistenciaJetAdminConcatenada!$A:$A, 0)), ISNUMBER(MATCH(CC$1, AsistenciaJetAdminConcatenada!$B:$B, 0)), ISNUMBER(SEARCH($A54,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ISNUMBER(SEARCH($A54, INDEX(AsistenciaJetAdminConcatenada!$D:$D, MATCH(1, (AsistenciaJetAdminConcatenada!$A:$A=CC$2)*(AsistenciaJetAdminConcatenada!$B:$B=CC$1), 0)), 1))),  0.5, 0))</f>
        <v>0</v>
      </c>
      <c r="CD54" s="47">
        <f t="array" ref="CD54">IF(AND(ISNUMBER(MATCH(CD$2, AsistenciaJetAdminConcatenada!$A:$A, 0)), ISNUMBER(MATCH(CD$1, AsistenciaJetAdminConcatenada!$B:$B, 0)), ISNUMBER(SEARCH($A54,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ISNUMBER(SEARCH($A54, INDEX(AsistenciaJetAdminConcatenada!$D:$D, MATCH(1, (AsistenciaJetAdminConcatenada!$A:$A=CD$2)*(AsistenciaJetAdminConcatenada!$B:$B=CD$1), 0)), 1))),  0.5, 0))</f>
        <v>1</v>
      </c>
      <c r="CE54" s="47">
        <f t="array" ref="CE54">IF(AND(ISNUMBER(MATCH(CE$2, AsistenciaJetAdminConcatenada!$A:$A, 0)), ISNUMBER(MATCH(CE$1, AsistenciaJetAdminConcatenada!$B:$B, 0)), ISNUMBER(SEARCH($A54,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ISNUMBER(SEARCH($A54, INDEX(AsistenciaJetAdminConcatenada!$D:$D, MATCH(1, (AsistenciaJetAdminConcatenada!$A:$A=CE$2)*(AsistenciaJetAdminConcatenada!$B:$B=CE$1), 0)), 1))),  0.5, 0))</f>
        <v>0</v>
      </c>
      <c r="CF54" s="47">
        <f t="array" ref="CF54">IF(AND(ISNUMBER(MATCH(CF$2, AsistenciaJetAdminConcatenada!$A:$A, 0)), ISNUMBER(MATCH(CF$1, AsistenciaJetAdminConcatenada!$B:$B, 0)), ISNUMBER(SEARCH($A54,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ISNUMBER(SEARCH($A54, INDEX(AsistenciaJetAdminConcatenada!$D:$D, MATCH(1, (AsistenciaJetAdminConcatenada!$A:$A=CF$2)*(AsistenciaJetAdminConcatenada!$B:$B=CF$1), 0)), 1))),  0.5, 0))</f>
        <v>0.5</v>
      </c>
      <c r="CG54" s="47">
        <f t="array" ref="CG54">IF(AND(ISNUMBER(MATCH(CG$2, AsistenciaJetAdminConcatenada!$A:$A, 0)), ISNUMBER(MATCH(CG$1, AsistenciaJetAdminConcatenada!$B:$B, 0)), ISNUMBER(SEARCH($A54,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ISNUMBER(SEARCH($A54, INDEX(AsistenciaJetAdminConcatenada!$D:$D, MATCH(1, (AsistenciaJetAdminConcatenada!$A:$A=CG$2)*(AsistenciaJetAdminConcatenada!$B:$B=CG$1), 0)), 1))),  0.5, 0))</f>
        <v>0</v>
      </c>
      <c r="CH54" s="47">
        <f t="array" ref="CH54">IF(AND(ISNUMBER(MATCH(CH$2, AsistenciaJetAdminConcatenada!$A:$A, 0)), ISNUMBER(MATCH(CH$1, AsistenciaJetAdminConcatenada!$B:$B, 0)), ISNUMBER(SEARCH($A54,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ISNUMBER(SEARCH($A54, INDEX(AsistenciaJetAdminConcatenada!$D:$D, MATCH(1, (AsistenciaJetAdminConcatenada!$A:$A=CH$2)*(AsistenciaJetAdminConcatenada!$B:$B=CH$1), 0)), 1))),  0.5, 0))</f>
        <v>0</v>
      </c>
      <c r="CI54" s="47">
        <f t="array" ref="CI54">IF(AND(ISNUMBER(MATCH(CI$2, AsistenciaJetAdminConcatenada!$A:$A, 0)), ISNUMBER(MATCH(CI$1, AsistenciaJetAdminConcatenada!$B:$B, 0)), ISNUMBER(SEARCH($A54,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ISNUMBER(SEARCH($A54, INDEX(AsistenciaJetAdminConcatenada!$D:$D, MATCH(1, (AsistenciaJetAdminConcatenada!$A:$A=CI$2)*(AsistenciaJetAdminConcatenada!$B:$B=CI$1), 0)), 1))),  0.5, 0))</f>
        <v>1</v>
      </c>
      <c r="CJ54" s="47">
        <f t="array" ref="CJ54">IF(AND(ISNUMBER(MATCH(CJ$2, AsistenciaJetAdminConcatenada!$A:$A, 0)), ISNUMBER(MATCH(CJ$1, AsistenciaJetAdminConcatenada!$B:$B, 0)), ISNUMBER(SEARCH($A54,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ISNUMBER(SEARCH($A54, INDEX(AsistenciaJetAdminConcatenada!$D:$D, MATCH(1, (AsistenciaJetAdminConcatenada!$A:$A=CJ$2)*(AsistenciaJetAdminConcatenada!$B:$B=CJ$1), 0)), 1))),  0.5, 0))</f>
        <v>1</v>
      </c>
      <c r="CK54" s="47">
        <f t="array" ref="CK54">IF(AND(ISNUMBER(MATCH(CK$2, AsistenciaJetAdminConcatenada!$A:$A, 0)), ISNUMBER(MATCH(CK$1, AsistenciaJetAdminConcatenada!$B:$B, 0)), ISNUMBER(SEARCH($A54,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ISNUMBER(SEARCH($A54, INDEX(AsistenciaJetAdminConcatenada!$D:$D, MATCH(1, (AsistenciaJetAdminConcatenada!$A:$A=CK$2)*(AsistenciaJetAdminConcatenada!$B:$B=CK$1), 0)), 1))),  0.5, 0))</f>
        <v>0</v>
      </c>
      <c r="CL54" s="47">
        <f t="array" ref="CL54">IF(AND(ISNUMBER(MATCH(CL$2, AsistenciaJetAdminConcatenada!$A:$A, 0)), ISNUMBER(MATCH(CL$1, AsistenciaJetAdminConcatenada!$B:$B, 0)), ISNUMBER(SEARCH($A54,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ISNUMBER(SEARCH($A54, INDEX(AsistenciaJetAdminConcatenada!$D:$D, MATCH(1, (AsistenciaJetAdminConcatenada!$A:$A=CL$2)*(AsistenciaJetAdminConcatenada!$B:$B=CL$1), 0)), 1))),  0.5, 0))</f>
        <v>1</v>
      </c>
      <c r="CM54" s="47">
        <f t="array" ref="CM54">IF(AND(ISNUMBER(MATCH(CM$2, AsistenciaJetAdminConcatenada!$A:$A, 0)), ISNUMBER(MATCH(CM$1, AsistenciaJetAdminConcatenada!$B:$B, 0)), ISNUMBER(SEARCH($A54,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ISNUMBER(SEARCH($A54, INDEX(AsistenciaJetAdminConcatenada!$D:$D, MATCH(1, (AsistenciaJetAdminConcatenada!$A:$A=CM$2)*(AsistenciaJetAdminConcatenada!$B:$B=CM$1), 0)), 1))),  0.5, 0))</f>
        <v>1</v>
      </c>
      <c r="CN54" s="47">
        <f t="array" ref="CN54">IF(AND(ISNUMBER(MATCH(CN$2, AsistenciaJetAdminConcatenada!$A:$A, 0)), ISNUMBER(MATCH(CN$1, AsistenciaJetAdminConcatenada!$B:$B, 0)), ISNUMBER(SEARCH($A54,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ISNUMBER(SEARCH($A54, INDEX(AsistenciaJetAdminConcatenada!$D:$D, MATCH(1, (AsistenciaJetAdminConcatenada!$A:$A=CN$2)*(AsistenciaJetAdminConcatenada!$B:$B=CN$1), 0)), 1))),  0.5, 0))</f>
        <v>1</v>
      </c>
      <c r="CO54" s="47">
        <f t="array" ref="CO54">IF(AND(ISNUMBER(MATCH(CO$2, AsistenciaJetAdminConcatenada!$A:$A, 0)), ISNUMBER(MATCH(CO$1, AsistenciaJetAdminConcatenada!$B:$B, 0)), ISNUMBER(SEARCH($A54,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ISNUMBER(SEARCH($A54, INDEX(AsistenciaJetAdminConcatenada!$D:$D, MATCH(1, (AsistenciaJetAdminConcatenada!$A:$A=CO$2)*(AsistenciaJetAdminConcatenada!$B:$B=CO$1), 0)), 1))),  0.5, 0))</f>
        <v>1</v>
      </c>
      <c r="CP54" s="47">
        <f t="array" ref="CP54">IF(AND(ISNUMBER(MATCH(CP$2, AsistenciaJetAdminConcatenada!$A:$A, 0)), ISNUMBER(MATCH(CP$1, AsistenciaJetAdminConcatenada!$B:$B, 0)), ISNUMBER(SEARCH($A54,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ISNUMBER(SEARCH($A54, INDEX(AsistenciaJetAdminConcatenada!$D:$D, MATCH(1, (AsistenciaJetAdminConcatenada!$A:$A=CP$2)*(AsistenciaJetAdminConcatenada!$B:$B=CP$1), 0)), 1))),  0.5, 0))</f>
        <v>1</v>
      </c>
      <c r="CQ54" s="47">
        <f t="array" ref="CQ54">IF(AND(ISNUMBER(MATCH(CQ$2, AsistenciaJetAdminConcatenada!$A:$A, 0)), ISNUMBER(MATCH(CQ$1, AsistenciaJetAdminConcatenada!$B:$B, 0)), ISNUMBER(SEARCH($A54,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ISNUMBER(SEARCH($A54, INDEX(AsistenciaJetAdminConcatenada!$D:$D, MATCH(1, (AsistenciaJetAdminConcatenada!$A:$A=CQ$2)*(AsistenciaJetAdminConcatenada!$B:$B=CQ$1), 0)), 1))),  0.5, 0))</f>
        <v>1</v>
      </c>
      <c r="CR54" s="47">
        <f t="array" ref="CR54">IF(AND(ISNUMBER(MATCH(CR$2, AsistenciaJetAdminConcatenada!$A:$A, 0)), ISNUMBER(MATCH(CR$1, AsistenciaJetAdminConcatenada!$B:$B, 0)), ISNUMBER(SEARCH($A54,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ISNUMBER(SEARCH($A54, INDEX(AsistenciaJetAdminConcatenada!$D:$D, MATCH(1, (AsistenciaJetAdminConcatenada!$A:$A=CR$2)*(AsistenciaJetAdminConcatenada!$B:$B=CR$1), 0)), 1))),  0.5, 0))</f>
        <v>1</v>
      </c>
      <c r="CS54" s="47">
        <f t="array" ref="CS54">IF(AND(ISNUMBER(MATCH(CS$2, AsistenciaJetAdminConcatenada!$A:$A, 0)), ISNUMBER(MATCH(CS$1, AsistenciaJetAdminConcatenada!$B:$B, 0)), ISNUMBER(SEARCH($A54,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ISNUMBER(SEARCH($A54, INDEX(AsistenciaJetAdminConcatenada!$D:$D, MATCH(1, (AsistenciaJetAdminConcatenada!$A:$A=CS$2)*(AsistenciaJetAdminConcatenada!$B:$B=CS$1), 0)), 1))),  0.5, 0))</f>
        <v>0</v>
      </c>
      <c r="CT54" s="47">
        <f t="array" ref="CT54">IF(AND(ISNUMBER(MATCH(CT$2, AsistenciaJetAdminConcatenada!$A:$A, 0)), ISNUMBER(MATCH(CT$1, AsistenciaJetAdminConcatenada!$B:$B, 0)), ISNUMBER(SEARCH($A54,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ISNUMBER(SEARCH($A54, INDEX(AsistenciaJetAdminConcatenada!$D:$D, MATCH(1, (AsistenciaJetAdminConcatenada!$A:$A=CT$2)*(AsistenciaJetAdminConcatenada!$B:$B=CT$1), 0)), 1))),  0.5, 0))</f>
        <v>0</v>
      </c>
      <c r="CU54" s="47">
        <f t="array" ref="CU54">IF(AND(ISNUMBER(MATCH(CU$2, AsistenciaJetAdminConcatenada!$A:$A, 0)), ISNUMBER(MATCH(CU$1, AsistenciaJetAdminConcatenada!$B:$B, 0)), ISNUMBER(SEARCH($A54,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ISNUMBER(SEARCH($A54, INDEX(AsistenciaJetAdminConcatenada!$D:$D, MATCH(1, (AsistenciaJetAdminConcatenada!$A:$A=CU$2)*(AsistenciaJetAdminConcatenada!$B:$B=CU$1), 0)), 1))),  0.5, 0))</f>
        <v>0</v>
      </c>
      <c r="CV54" s="47">
        <f t="array" ref="CV54">IF(AND(ISNUMBER(MATCH(CV$2, AsistenciaJetAdminConcatenada!$A:$A, 0)), ISNUMBER(MATCH(CV$1, AsistenciaJetAdminConcatenada!$B:$B, 0)), ISNUMBER(SEARCH($A54,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ISNUMBER(SEARCH($A54, INDEX(AsistenciaJetAdminConcatenada!$D:$D, MATCH(1, (AsistenciaJetAdminConcatenada!$A:$A=CV$2)*(AsistenciaJetAdminConcatenada!$B:$B=CV$1), 0)), 1))),  0.5, 0))</f>
        <v>0</v>
      </c>
      <c r="CW54" s="47">
        <f t="array" ref="CW54">IF(AND(ISNUMBER(MATCH(CW$2, AsistenciaJetAdminConcatenada!$A:$A, 0)), ISNUMBER(MATCH(CW$1, AsistenciaJetAdminConcatenada!$B:$B, 0)), ISNUMBER(SEARCH($A54,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ISNUMBER(SEARCH($A54, INDEX(AsistenciaJetAdminConcatenada!$D:$D, MATCH(1, (AsistenciaJetAdminConcatenada!$A:$A=CW$2)*(AsistenciaJetAdminConcatenada!$B:$B=CW$1), 0)), 1))),  0.5, 0))</f>
        <v>0</v>
      </c>
      <c r="CX54" s="47">
        <f t="array" ref="CX54">IF(AND(ISNUMBER(MATCH(CX$2, AsistenciaJetAdminConcatenada!$A:$A, 0)), ISNUMBER(MATCH(CX$1, AsistenciaJetAdminConcatenada!$B:$B, 0)), ISNUMBER(SEARCH($A54,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ISNUMBER(SEARCH($A54, INDEX(AsistenciaJetAdminConcatenada!$D:$D, MATCH(1, (AsistenciaJetAdminConcatenada!$A:$A=CX$2)*(AsistenciaJetAdminConcatenada!$B:$B=CX$1), 0)), 1))),  0.5, 0))</f>
        <v>0</v>
      </c>
      <c r="CY54" s="47">
        <f t="array" ref="CY54">IF(AND(ISNUMBER(MATCH(CY$2, AsistenciaJetAdminConcatenada!$A:$A, 0)), ISNUMBER(MATCH(CY$1, AsistenciaJetAdminConcatenada!$B:$B, 0)), ISNUMBER(SEARCH($A54,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ISNUMBER(SEARCH($A54, INDEX(AsistenciaJetAdminConcatenada!$D:$D, MATCH(1, (AsistenciaJetAdminConcatenada!$A:$A=CY$2)*(AsistenciaJetAdminConcatenada!$B:$B=CY$1), 0)), 1))),  0.5, 0))</f>
        <v>0</v>
      </c>
      <c r="CZ54" s="47">
        <f t="array" ref="CZ54">IF(AND(ISNUMBER(MATCH(CZ$2, AsistenciaJetAdminConcatenada!$A:$A, 0)), ISNUMBER(MATCH(CZ$1, AsistenciaJetAdminConcatenada!$B:$B, 0)), ISNUMBER(SEARCH($A54,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ISNUMBER(SEARCH($A54, INDEX(AsistenciaJetAdminConcatenada!$D:$D, MATCH(1, (AsistenciaJetAdminConcatenada!$A:$A=CZ$2)*(AsistenciaJetAdminConcatenada!$B:$B=CZ$1), 0)), 1))),  0.5, 0))</f>
        <v>0</v>
      </c>
      <c r="DA54" s="47">
        <f t="array" ref="DA54">IF(AND(ISNUMBER(MATCH(DA$2, AsistenciaJetAdminConcatenada!$A:$A, 0)), ISNUMBER(MATCH(DA$1, AsistenciaJetAdminConcatenada!$B:$B, 0)), ISNUMBER(SEARCH($A54,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ISNUMBER(SEARCH($A54, INDEX(AsistenciaJetAdminConcatenada!$D:$D, MATCH(1, (AsistenciaJetAdminConcatenada!$A:$A=DA$2)*(AsistenciaJetAdminConcatenada!$B:$B=DA$1), 0)), 1))),  0.5, 0))</f>
        <v>0</v>
      </c>
      <c r="DB54" s="47">
        <f t="array" ref="DB54">IF(AND(ISNUMBER(MATCH(DB$2, AsistenciaJetAdminConcatenada!$A:$A, 0)), ISNUMBER(MATCH(DB$1, AsistenciaJetAdminConcatenada!$B:$B, 0)), ISNUMBER(SEARCH($A54,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ISNUMBER(SEARCH($A54, INDEX(AsistenciaJetAdminConcatenada!$D:$D, MATCH(1, (AsistenciaJetAdminConcatenada!$A:$A=DB$2)*(AsistenciaJetAdminConcatenada!$B:$B=DB$1), 0)), 1))),  0.5, 0))</f>
        <v>0</v>
      </c>
      <c r="DC54" s="47">
        <f t="array" ref="DC54">IF(AND(ISNUMBER(MATCH(DC$2, AsistenciaJetAdminConcatenada!$A:$A, 0)), ISNUMBER(MATCH(DC$1, AsistenciaJetAdminConcatenada!$B:$B, 0)), ISNUMBER(SEARCH($A54,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ISNUMBER(SEARCH($A54, INDEX(AsistenciaJetAdminConcatenada!$D:$D, MATCH(1, (AsistenciaJetAdminConcatenada!$A:$A=DC$2)*(AsistenciaJetAdminConcatenada!$B:$B=DC$1), 0)), 1))),  0.5, 0))</f>
        <v>0</v>
      </c>
      <c r="DD54" s="47">
        <f t="array" ref="DD54">IF(AND(ISNUMBER(MATCH(DD$2, AsistenciaJetAdminConcatenada!$A:$A, 0)), ISNUMBER(MATCH(DD$1, AsistenciaJetAdminConcatenada!$B:$B, 0)), ISNUMBER(SEARCH($A54,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ISNUMBER(SEARCH($A54, INDEX(AsistenciaJetAdminConcatenada!$D:$D, MATCH(1, (AsistenciaJetAdminConcatenada!$A:$A=DD$2)*(AsistenciaJetAdminConcatenada!$B:$B=DD$1), 0)), 1))),  0.5, 0))</f>
        <v>0</v>
      </c>
      <c r="DE54" s="47">
        <f t="array" ref="DE54">IF(AND(ISNUMBER(MATCH(DE$2, AsistenciaJetAdminConcatenada!$A:$A, 0)), ISNUMBER(MATCH(DE$1, AsistenciaJetAdminConcatenada!$B:$B, 0)), ISNUMBER(SEARCH($A54,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ISNUMBER(SEARCH($A54, INDEX(AsistenciaJetAdminConcatenada!$D:$D, MATCH(1, (AsistenciaJetAdminConcatenada!$A:$A=DE$2)*(AsistenciaJetAdminConcatenada!$B:$B=DE$1), 0)), 1))),  0.5, 0))</f>
        <v>0</v>
      </c>
      <c r="DF54" s="47">
        <f t="array" ref="DF54">IF(AND(ISNUMBER(MATCH(DF$2, AsistenciaJetAdminConcatenada!$A:$A, 0)), ISNUMBER(MATCH(DF$1, AsistenciaJetAdminConcatenada!$B:$B, 0)), ISNUMBER(SEARCH($A54,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ISNUMBER(SEARCH($A54, INDEX(AsistenciaJetAdminConcatenada!$D:$D, MATCH(1, (AsistenciaJetAdminConcatenada!$A:$A=DF$2)*(AsistenciaJetAdminConcatenada!$B:$B=DF$1), 0)), 1))),  0.5, 0))</f>
        <v>0</v>
      </c>
      <c r="DG54" s="47">
        <f t="array" ref="DG54">IF(AND(ISNUMBER(MATCH(DG$2, AsistenciaJetAdminConcatenada!$A:$A, 0)), ISNUMBER(MATCH(DG$1, AsistenciaJetAdminConcatenada!$B:$B, 0)), ISNUMBER(SEARCH($A54,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ISNUMBER(SEARCH($A54, INDEX(AsistenciaJetAdminConcatenada!$D:$D, MATCH(1, (AsistenciaJetAdminConcatenada!$A:$A=DG$2)*(AsistenciaJetAdminConcatenada!$B:$B=DG$1), 0)), 1))),  0.5, 0))</f>
        <v>0</v>
      </c>
      <c r="DH54" s="47">
        <f t="array" ref="DH54">IF(AND(ISNUMBER(MATCH(DH$2, AsistenciaJetAdminConcatenada!$A:$A, 0)), ISNUMBER(MATCH(DH$1, AsistenciaJetAdminConcatenada!$B:$B, 0)), ISNUMBER(SEARCH($A54,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ISNUMBER(SEARCH($A54, INDEX(AsistenciaJetAdminConcatenada!$D:$D, MATCH(1, (AsistenciaJetAdminConcatenada!$A:$A=DH$2)*(AsistenciaJetAdminConcatenada!$B:$B=DH$1), 0)), 1))),  0.5, 0))</f>
        <v>0</v>
      </c>
      <c r="DI54" s="47">
        <f t="array" ref="DI54">IF(AND(ISNUMBER(MATCH(DI$2, AsistenciaJetAdminConcatenada!$A:$A, 0)), ISNUMBER(MATCH(DI$1, AsistenciaJetAdminConcatenada!$B:$B, 0)), ISNUMBER(SEARCH($A54,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ISNUMBER(SEARCH($A54, INDEX(AsistenciaJetAdminConcatenada!$D:$D, MATCH(1, (AsistenciaJetAdminConcatenada!$A:$A=DI$2)*(AsistenciaJetAdminConcatenada!$B:$B=DI$1), 0)), 1))),  0.5, 0))</f>
        <v>0</v>
      </c>
      <c r="DJ54" s="47">
        <f t="array" ref="DJ54">IF(AND(ISNUMBER(MATCH(DJ$2, AsistenciaJetAdminConcatenada!$A:$A, 0)), ISNUMBER(MATCH(DJ$1, AsistenciaJetAdminConcatenada!$B:$B, 0)), ISNUMBER(SEARCH($A54,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ISNUMBER(SEARCH($A54, INDEX(AsistenciaJetAdminConcatenada!$D:$D, MATCH(1, (AsistenciaJetAdminConcatenada!$A:$A=DJ$2)*(AsistenciaJetAdminConcatenada!$B:$B=DJ$1), 0)), 1))),  0.5, 0))</f>
        <v>0</v>
      </c>
      <c r="DK54" s="47">
        <f t="array" ref="DK54">IF(AND(ISNUMBER(MATCH(DK$2, AsistenciaJetAdminConcatenada!$A:$A, 0)), ISNUMBER(MATCH(DK$1, AsistenciaJetAdminConcatenada!$B:$B, 0)), ISNUMBER(SEARCH($A54,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ISNUMBER(SEARCH($A54, INDEX(AsistenciaJetAdminConcatenada!$D:$D, MATCH(1, (AsistenciaJetAdminConcatenada!$A:$A=DK$2)*(AsistenciaJetAdminConcatenada!$B:$B=DK$1), 0)), 1))),  0.5, 0))</f>
        <v>0</v>
      </c>
      <c r="DL54" s="47">
        <f t="array" ref="DL54">IF(AND(ISNUMBER(MATCH(DL$2, AsistenciaJetAdminConcatenada!$A:$A, 0)), ISNUMBER(MATCH(DL$1, AsistenciaJetAdminConcatenada!$B:$B, 0)), ISNUMBER(SEARCH($A54,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ISNUMBER(SEARCH($A54, INDEX(AsistenciaJetAdminConcatenada!$D:$D, MATCH(1, (AsistenciaJetAdminConcatenada!$A:$A=DL$2)*(AsistenciaJetAdminConcatenada!$B:$B=DL$1), 0)), 1))),  0.5, 0))</f>
        <v>0</v>
      </c>
      <c r="DM54" s="47">
        <f t="array" ref="DM54">IF(AND(ISNUMBER(MATCH(DM$2, AsistenciaJetAdminConcatenada!$A:$A, 0)), ISNUMBER(MATCH(DM$1, AsistenciaJetAdminConcatenada!$B:$B, 0)), ISNUMBER(SEARCH($A54,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ISNUMBER(SEARCH($A54, INDEX(AsistenciaJetAdminConcatenada!$D:$D, MATCH(1, (AsistenciaJetAdminConcatenada!$A:$A=DM$2)*(AsistenciaJetAdminConcatenada!$B:$B=DM$1), 0)), 1))),  0.5, 0))</f>
        <v>0</v>
      </c>
      <c r="DN54" s="47">
        <f t="array" ref="DN54">IF(AND(ISNUMBER(MATCH(DN$2, AsistenciaJetAdminConcatenada!$A:$A, 0)), ISNUMBER(MATCH(DN$1, AsistenciaJetAdminConcatenada!$B:$B, 0)), ISNUMBER(SEARCH($A54,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ISNUMBER(SEARCH($A54, INDEX(AsistenciaJetAdminConcatenada!$D:$D, MATCH(1, (AsistenciaJetAdminConcatenada!$A:$A=DN$2)*(AsistenciaJetAdminConcatenada!$B:$B=DN$1), 0)), 1))),  0.5, 0))</f>
        <v>0</v>
      </c>
      <c r="DO54" s="47">
        <f t="array" ref="DO54">IF(AND(ISNUMBER(MATCH(DO$2, AsistenciaJetAdminConcatenada!$A:$A, 0)), ISNUMBER(MATCH(DO$1, AsistenciaJetAdminConcatenada!$B:$B, 0)), ISNUMBER(SEARCH($A54,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ISNUMBER(SEARCH($A54, INDEX(AsistenciaJetAdminConcatenada!$D:$D, MATCH(1, (AsistenciaJetAdminConcatenada!$A:$A=DO$2)*(AsistenciaJetAdminConcatenada!$B:$B=DO$1), 0)), 1))),  0.5, 0))</f>
        <v>0</v>
      </c>
      <c r="DP54" s="47">
        <f t="array" ref="DP54">IF(AND(ISNUMBER(MATCH(DP$2, AsistenciaJetAdminConcatenada!$A:$A, 0)), ISNUMBER(MATCH(DP$1, AsistenciaJetAdminConcatenada!$B:$B, 0)), ISNUMBER(SEARCH($A54,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ISNUMBER(SEARCH($A54, INDEX(AsistenciaJetAdminConcatenada!$D:$D, MATCH(1, (AsistenciaJetAdminConcatenada!$A:$A=DP$2)*(AsistenciaJetAdminConcatenada!$B:$B=DP$1), 0)), 1))),  0.5, 0))</f>
        <v>0</v>
      </c>
      <c r="DQ54" s="47">
        <f t="array" ref="DQ54">IF(AND(ISNUMBER(MATCH(DQ$2, AsistenciaJetAdminConcatenada!$A:$A, 0)), ISNUMBER(MATCH(DQ$1, AsistenciaJetAdminConcatenada!$B:$B, 0)), ISNUMBER(SEARCH($A54,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ISNUMBER(SEARCH($A54, INDEX(AsistenciaJetAdminConcatenada!$D:$D, MATCH(1, (AsistenciaJetAdminConcatenada!$A:$A=DQ$2)*(AsistenciaJetAdminConcatenada!$B:$B=DQ$1), 0)), 1))),  0.5, 0))</f>
        <v>0</v>
      </c>
      <c r="DR54" s="47">
        <f t="array" ref="DR54">IF(AND(ISNUMBER(MATCH(DR$2, AsistenciaJetAdminConcatenada!$A:$A, 0)), ISNUMBER(MATCH(DR$1, AsistenciaJetAdminConcatenada!$B:$B, 0)), ISNUMBER(SEARCH($A54,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ISNUMBER(SEARCH($A54, INDEX(AsistenciaJetAdminConcatenada!$D:$D, MATCH(1, (AsistenciaJetAdminConcatenada!$A:$A=DR$2)*(AsistenciaJetAdminConcatenada!$B:$B=DR$1), 0)), 1))),  0.5, 0))</f>
        <v>0</v>
      </c>
      <c r="DS54" s="47">
        <f t="array" ref="DS54">IF(AND(ISNUMBER(MATCH(DS$2, AsistenciaJetAdminConcatenada!$A:$A, 0)), ISNUMBER(MATCH(DS$1, AsistenciaJetAdminConcatenada!$B:$B, 0)), ISNUMBER(SEARCH($A54,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ISNUMBER(SEARCH($A54, INDEX(AsistenciaJetAdminConcatenada!$D:$D, MATCH(1, (AsistenciaJetAdminConcatenada!$A:$A=DS$2)*(AsistenciaJetAdminConcatenada!$B:$B=DS$1), 0)), 1))),  0.5, 0))</f>
        <v>0</v>
      </c>
      <c r="DT54" s="47">
        <f t="array" ref="DT54">IF(AND(ISNUMBER(MATCH(DT$2, AsistenciaJetAdminConcatenada!$A:$A, 0)), ISNUMBER(MATCH(DT$1, AsistenciaJetAdminConcatenada!$B:$B, 0)), ISNUMBER(SEARCH($A54,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ISNUMBER(SEARCH($A54, INDEX(AsistenciaJetAdminConcatenada!$D:$D, MATCH(1, (AsistenciaJetAdminConcatenada!$A:$A=DT$2)*(AsistenciaJetAdminConcatenada!$B:$B=DT$1), 0)), 1))),  0.5, 0))</f>
        <v>0</v>
      </c>
      <c r="DU54" s="47">
        <f t="array" ref="DU54">IF(AND(ISNUMBER(MATCH(DU$2, AsistenciaJetAdminConcatenada!$A:$A, 0)), ISNUMBER(MATCH(DU$1, AsistenciaJetAdminConcatenada!$B:$B, 0)), ISNUMBER(SEARCH($A54,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ISNUMBER(SEARCH($A54, INDEX(AsistenciaJetAdminConcatenada!$D:$D, MATCH(1, (AsistenciaJetAdminConcatenada!$A:$A=DU$2)*(AsistenciaJetAdminConcatenada!$B:$B=DU$1), 0)), 1))),  0.5, 0))</f>
        <v>0</v>
      </c>
      <c r="DV54" s="47">
        <f t="array" ref="DV54">IF(AND(ISNUMBER(MATCH(DV$2, AsistenciaJetAdminConcatenada!$A:$A, 0)), ISNUMBER(MATCH(DV$1, AsistenciaJetAdminConcatenada!$B:$B, 0)), ISNUMBER(SEARCH($A54,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ISNUMBER(SEARCH($A54, INDEX(AsistenciaJetAdminConcatenada!$D:$D, MATCH(1, (AsistenciaJetAdminConcatenada!$A:$A=DV$2)*(AsistenciaJetAdminConcatenada!$B:$B=DV$1), 0)), 1))),  0.5, 0))</f>
        <v>0</v>
      </c>
      <c r="DW54" s="47">
        <f t="array" ref="DW54">IF(AND(ISNUMBER(MATCH(DW$2, AsistenciaJetAdminConcatenada!$A:$A, 0)), ISNUMBER(MATCH(DW$1, AsistenciaJetAdminConcatenada!$B:$B, 0)), ISNUMBER(SEARCH($A54,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ISNUMBER(SEARCH($A54, INDEX(AsistenciaJetAdminConcatenada!$D:$D, MATCH(1, (AsistenciaJetAdminConcatenada!$A:$A=DW$2)*(AsistenciaJetAdminConcatenada!$B:$B=DW$1), 0)), 1))),  0.5, 0))</f>
        <v>0</v>
      </c>
      <c r="DX54" s="47">
        <f t="array" ref="DX54">IF(AND(ISNUMBER(MATCH(DX$2, AsistenciaJetAdminConcatenada!$A:$A, 0)), ISNUMBER(MATCH(DX$1, AsistenciaJetAdminConcatenada!$B:$B, 0)), ISNUMBER(SEARCH($A54,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ISNUMBER(SEARCH($A54, INDEX(AsistenciaJetAdminConcatenada!$D:$D, MATCH(1, (AsistenciaJetAdminConcatenada!$A:$A=DX$2)*(AsistenciaJetAdminConcatenada!$B:$B=DX$1), 0)), 1))),  0.5, 0))</f>
        <v>0</v>
      </c>
      <c r="DY54" s="47">
        <f t="array" ref="DY54">IF(AND(ISNUMBER(MATCH(DY$2, AsistenciaJetAdminConcatenada!$A:$A, 0)), ISNUMBER(MATCH(DY$1, AsistenciaJetAdminConcatenada!$B:$B, 0)), ISNUMBER(SEARCH($A54,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ISNUMBER(SEARCH($A54, INDEX(AsistenciaJetAdminConcatenada!$D:$D, MATCH(1, (AsistenciaJetAdminConcatenada!$A:$A=DY$2)*(AsistenciaJetAdminConcatenada!$B:$B=DY$1), 0)), 1))),  0.5, 0))</f>
        <v>0</v>
      </c>
      <c r="DZ54" s="47">
        <f t="array" ref="DZ54">IF(AND(ISNUMBER(MATCH(DZ$2, AsistenciaJetAdminConcatenada!$A:$A, 0)), ISNUMBER(MATCH(DZ$1, AsistenciaJetAdminConcatenada!$B:$B, 0)), ISNUMBER(SEARCH($A54,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ISNUMBER(SEARCH($A54, INDEX(AsistenciaJetAdminConcatenada!$D:$D, MATCH(1, (AsistenciaJetAdminConcatenada!$A:$A=DZ$2)*(AsistenciaJetAdminConcatenada!$B:$B=DZ$1), 0)), 1))),  0.5, 0))</f>
        <v>0</v>
      </c>
      <c r="EA54" s="47">
        <f t="array" ref="EA54">IF(AND(ISNUMBER(MATCH(EA$2, AsistenciaJetAdminConcatenada!$A:$A, 0)), ISNUMBER(MATCH(EA$1, AsistenciaJetAdminConcatenada!$B:$B, 0)), ISNUMBER(SEARCH($A54,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ISNUMBER(SEARCH($A54, INDEX(AsistenciaJetAdminConcatenada!$D:$D, MATCH(1, (AsistenciaJetAdminConcatenada!$A:$A=EA$2)*(AsistenciaJetAdminConcatenada!$B:$B=EA$1), 0)), 1))),  0.5, 0))</f>
        <v>0</v>
      </c>
      <c r="EB54" s="47">
        <f t="array" ref="EB54">IF(AND(ISNUMBER(MATCH(EB$2, AsistenciaJetAdminConcatenada!$A:$A, 0)), ISNUMBER(MATCH(EB$1, AsistenciaJetAdminConcatenada!$B:$B, 0)), ISNUMBER(SEARCH($A54,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ISNUMBER(SEARCH($A54, INDEX(AsistenciaJetAdminConcatenada!$D:$D, MATCH(1, (AsistenciaJetAdminConcatenada!$A:$A=EB$2)*(AsistenciaJetAdminConcatenada!$B:$B=EB$1), 0)), 1))),  0.5, 0))</f>
        <v>0</v>
      </c>
      <c r="EC54" s="47">
        <f t="array" ref="EC54">IF(AND(ISNUMBER(MATCH(EC$2, AsistenciaJetAdminConcatenada!$A:$A, 0)), ISNUMBER(MATCH(EC$1, AsistenciaJetAdminConcatenada!$B:$B, 0)), ISNUMBER(SEARCH($A54,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ISNUMBER(SEARCH($A54, INDEX(AsistenciaJetAdminConcatenada!$D:$D, MATCH(1, (AsistenciaJetAdminConcatenada!$A:$A=EC$2)*(AsistenciaJetAdminConcatenada!$B:$B=EC$1), 0)), 1))),  0.5, 0))</f>
        <v>0</v>
      </c>
      <c r="ED54" s="47">
        <f t="array" ref="ED54">IF(AND(ISNUMBER(MATCH(ED$2, AsistenciaJetAdminConcatenada!$A:$A, 0)), ISNUMBER(MATCH(ED$1, AsistenciaJetAdminConcatenada!$B:$B, 0)), ISNUMBER(SEARCH($A54,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ISNUMBER(SEARCH($A54, INDEX(AsistenciaJetAdminConcatenada!$D:$D, MATCH(1, (AsistenciaJetAdminConcatenada!$A:$A=ED$2)*(AsistenciaJetAdminConcatenada!$B:$B=ED$1), 0)), 1))),  0.5, 0))</f>
        <v>0</v>
      </c>
      <c r="EE54" s="47">
        <f t="array" ref="EE54">IF(AND(ISNUMBER(MATCH(EE$2, AsistenciaJetAdminConcatenada!$A:$A, 0)), ISNUMBER(MATCH(EE$1, AsistenciaJetAdminConcatenada!$B:$B, 0)), ISNUMBER(SEARCH($A54,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ISNUMBER(SEARCH($A54, INDEX(AsistenciaJetAdminConcatenada!$D:$D, MATCH(1, (AsistenciaJetAdminConcatenada!$A:$A=EE$2)*(AsistenciaJetAdminConcatenada!$B:$B=EE$1), 0)), 1))),  0.5, 0))</f>
        <v>0</v>
      </c>
      <c r="EF54" s="47">
        <f t="array" ref="EF54">IF(AND(ISNUMBER(MATCH(EF$2, AsistenciaJetAdminConcatenada!$A:$A, 0)), ISNUMBER(MATCH(EF$1, AsistenciaJetAdminConcatenada!$B:$B, 0)), ISNUMBER(SEARCH($A54,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ISNUMBER(SEARCH($A54, INDEX(AsistenciaJetAdminConcatenada!$D:$D, MATCH(1, (AsistenciaJetAdminConcatenada!$A:$A=EF$2)*(AsistenciaJetAdminConcatenada!$B:$B=EF$1), 0)), 1))),  0.5, 0))</f>
        <v>0</v>
      </c>
      <c r="EG54" s="47">
        <f t="array" ref="EG54">IF(AND(ISNUMBER(MATCH(EG$2, AsistenciaJetAdminConcatenada!$A:$A, 0)), ISNUMBER(MATCH(EG$1, AsistenciaJetAdminConcatenada!$B:$B, 0)), ISNUMBER(SEARCH($A54,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ISNUMBER(SEARCH($A54, INDEX(AsistenciaJetAdminConcatenada!$D:$D, MATCH(1, (AsistenciaJetAdminConcatenada!$A:$A=EG$2)*(AsistenciaJetAdminConcatenada!$B:$B=EG$1), 0)), 1))),  0.5, 0))</f>
        <v>0</v>
      </c>
      <c r="EH54" s="47">
        <f t="array" ref="EH54">IF(AND(ISNUMBER(MATCH(EH$2, AsistenciaJetAdminConcatenada!$A:$A, 0)), ISNUMBER(MATCH(EH$1, AsistenciaJetAdminConcatenada!$B:$B, 0)), ISNUMBER(SEARCH($A54,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ISNUMBER(SEARCH($A54, INDEX(AsistenciaJetAdminConcatenada!$D:$D, MATCH(1, (AsistenciaJetAdminConcatenada!$A:$A=EH$2)*(AsistenciaJetAdminConcatenada!$B:$B=EH$1), 0)), 1))),  0.5, 0))</f>
        <v>0</v>
      </c>
      <c r="EI54" s="47">
        <f t="array" ref="EI54">IF(AND(ISNUMBER(MATCH(EI$2, AsistenciaJetAdminConcatenada!$A:$A, 0)), ISNUMBER(MATCH(EI$1, AsistenciaJetAdminConcatenada!$B:$B, 0)), ISNUMBER(SEARCH($A54,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ISNUMBER(SEARCH($A54, INDEX(AsistenciaJetAdminConcatenada!$D:$D, MATCH(1, (AsistenciaJetAdminConcatenada!$A:$A=EI$2)*(AsistenciaJetAdminConcatenada!$B:$B=EI$1), 0)), 1))),  0.5, 0))</f>
        <v>0</v>
      </c>
      <c r="EJ54" s="47">
        <f t="array" ref="EJ54">IF(AND(ISNUMBER(MATCH(EJ$2, AsistenciaJetAdminConcatenada!$A:$A, 0)), ISNUMBER(MATCH(EJ$1, AsistenciaJetAdminConcatenada!$B:$B, 0)), ISNUMBER(SEARCH($A54,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ISNUMBER(SEARCH($A54, INDEX(AsistenciaJetAdminConcatenada!$D:$D, MATCH(1, (AsistenciaJetAdminConcatenada!$A:$A=EJ$2)*(AsistenciaJetAdminConcatenada!$B:$B=EJ$1), 0)), 1))),  0.5, 0))</f>
        <v>0</v>
      </c>
      <c r="EK54" s="47">
        <f t="array" ref="EK54">IF(AND(ISNUMBER(MATCH(EK$2, AsistenciaJetAdminConcatenada!$A:$A, 0)), ISNUMBER(MATCH(EK$1, AsistenciaJetAdminConcatenada!$B:$B, 0)), ISNUMBER(SEARCH($A54,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ISNUMBER(SEARCH($A54, INDEX(AsistenciaJetAdminConcatenada!$D:$D, MATCH(1, (AsistenciaJetAdminConcatenada!$A:$A=EK$2)*(AsistenciaJetAdminConcatenada!$B:$B=EK$1), 0)), 1))),  0.5, 0))</f>
        <v>0</v>
      </c>
      <c r="EL54" s="47">
        <f t="array" ref="EL54">IF(AND(ISNUMBER(MATCH(EL$2, AsistenciaJetAdminConcatenada!$A:$A, 0)), ISNUMBER(MATCH(EL$1, AsistenciaJetAdminConcatenada!$B:$B, 0)), ISNUMBER(SEARCH($A54,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ISNUMBER(SEARCH($A54, INDEX(AsistenciaJetAdminConcatenada!$D:$D, MATCH(1, (AsistenciaJetAdminConcatenada!$A:$A=EL$2)*(AsistenciaJetAdminConcatenada!$B:$B=EL$1), 0)), 1))),  0.5, 0))</f>
        <v>0</v>
      </c>
      <c r="EM54" s="47">
        <f t="array" ref="EM54">IF(AND(ISNUMBER(MATCH(EM$2, AsistenciaJetAdminConcatenada!$A:$A, 0)), ISNUMBER(MATCH(EM$1, AsistenciaJetAdminConcatenada!$B:$B, 0)), ISNUMBER(SEARCH($A54,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ISNUMBER(SEARCH($A54, INDEX(AsistenciaJetAdminConcatenada!$D:$D, MATCH(1, (AsistenciaJetAdminConcatenada!$A:$A=EM$2)*(AsistenciaJetAdminConcatenada!$B:$B=EM$1), 0)), 1))),  0.5, 0))</f>
        <v>0</v>
      </c>
      <c r="EN54" s="47">
        <f t="array" ref="EN54">IF(AND(ISNUMBER(MATCH(EN$2, AsistenciaJetAdminConcatenada!$A:$A, 0)), ISNUMBER(MATCH(EN$1, AsistenciaJetAdminConcatenada!$B:$B, 0)), ISNUMBER(SEARCH($A54,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ISNUMBER(SEARCH($A54, INDEX(AsistenciaJetAdminConcatenada!$D:$D, MATCH(1, (AsistenciaJetAdminConcatenada!$A:$A=EN$2)*(AsistenciaJetAdminConcatenada!$B:$B=EN$1), 0)), 1))),  0.5, 0))</f>
        <v>0</v>
      </c>
      <c r="EO54" s="47">
        <f t="array" ref="EO54">IF(AND(ISNUMBER(MATCH(EO$2, AsistenciaJetAdminConcatenada!$A:$A, 0)), ISNUMBER(MATCH(EO$1, AsistenciaJetAdminConcatenada!$B:$B, 0)), ISNUMBER(SEARCH($A54,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ISNUMBER(SEARCH($A54, INDEX(AsistenciaJetAdminConcatenada!$D:$D, MATCH(1, (AsistenciaJetAdminConcatenada!$A:$A=EO$2)*(AsistenciaJetAdminConcatenada!$B:$B=EO$1), 0)), 1))),  0.5, 0))</f>
        <v>0</v>
      </c>
      <c r="EP54" s="47">
        <f t="array" ref="EP54">IF(AND(ISNUMBER(MATCH(EP$2, AsistenciaJetAdminConcatenada!$A:$A, 0)), ISNUMBER(MATCH(EP$1, AsistenciaJetAdminConcatenada!$B:$B, 0)), ISNUMBER(SEARCH($A54,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ISNUMBER(SEARCH($A54, INDEX(AsistenciaJetAdminConcatenada!$D:$D, MATCH(1, (AsistenciaJetAdminConcatenada!$A:$A=EP$2)*(AsistenciaJetAdminConcatenada!$B:$B=EP$1), 0)), 1))),  0.5, 0))</f>
        <v>0</v>
      </c>
      <c r="EQ54" s="47">
        <f t="array" ref="EQ54">IF(AND(ISNUMBER(MATCH(EQ$2, AsistenciaJetAdminConcatenada!$A:$A, 0)), ISNUMBER(MATCH(EQ$1, AsistenciaJetAdminConcatenada!$B:$B, 0)), ISNUMBER(SEARCH($A54,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ISNUMBER(SEARCH($A54, INDEX(AsistenciaJetAdminConcatenada!$D:$D, MATCH(1, (AsistenciaJetAdminConcatenada!$A:$A=EQ$2)*(AsistenciaJetAdminConcatenada!$B:$B=EQ$1), 0)), 1))),  0.5, 0))</f>
        <v>0</v>
      </c>
      <c r="ER54" s="47">
        <f t="array" ref="ER54">IF(AND(ISNUMBER(MATCH(ER$2, AsistenciaJetAdminConcatenada!$A:$A, 0)), ISNUMBER(MATCH(ER$1, AsistenciaJetAdminConcatenada!$B:$B, 0)), ISNUMBER(SEARCH($A54,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ISNUMBER(SEARCH($A54, INDEX(AsistenciaJetAdminConcatenada!$D:$D, MATCH(1, (AsistenciaJetAdminConcatenada!$A:$A=ER$2)*(AsistenciaJetAdminConcatenada!$B:$B=ER$1), 0)), 1))),  0.5, 0))</f>
        <v>0</v>
      </c>
      <c r="ES54" s="47">
        <f t="array" ref="ES54">IF(AND(ISNUMBER(MATCH(ES$2, AsistenciaJetAdminConcatenada!$A:$A, 0)), ISNUMBER(MATCH(ES$1, AsistenciaJetAdminConcatenada!$B:$B, 0)), ISNUMBER(SEARCH($A54,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ISNUMBER(SEARCH($A54, INDEX(AsistenciaJetAdminConcatenada!$D:$D, MATCH(1, (AsistenciaJetAdminConcatenada!$A:$A=ES$2)*(AsistenciaJetAdminConcatenada!$B:$B=ES$1), 0)), 1))),  0.5, 0))</f>
        <v>0</v>
      </c>
      <c r="ET54" s="47">
        <f t="array" ref="ET54">IF(AND(ISNUMBER(MATCH(ET$2, AsistenciaJetAdminConcatenada!$A:$A, 0)), ISNUMBER(MATCH(ET$1, AsistenciaJetAdminConcatenada!$B:$B, 0)), ISNUMBER(SEARCH($A54,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ISNUMBER(SEARCH($A54, INDEX(AsistenciaJetAdminConcatenada!$D:$D, MATCH(1, (AsistenciaJetAdminConcatenada!$A:$A=ET$2)*(AsistenciaJetAdminConcatenada!$B:$B=ET$1), 0)), 1))),  0.5, 0))</f>
        <v>0</v>
      </c>
      <c r="EU54" s="47">
        <f t="array" ref="EU54">IF(AND(ISNUMBER(MATCH(EU$2, AsistenciaJetAdminConcatenada!$A:$A, 0)), ISNUMBER(MATCH(EU$1, AsistenciaJetAdminConcatenada!$B:$B, 0)), ISNUMBER(SEARCH($A54,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ISNUMBER(SEARCH($A54, INDEX(AsistenciaJetAdminConcatenada!$D:$D, MATCH(1, (AsistenciaJetAdminConcatenada!$A:$A=EU$2)*(AsistenciaJetAdminConcatenada!$B:$B=EU$1), 0)), 1))),  0.5, 0))</f>
        <v>0</v>
      </c>
      <c r="EV54" s="47">
        <f t="array" ref="EV54">IF(AND(ISNUMBER(MATCH(EV$2, AsistenciaJetAdminConcatenada!$A:$A, 0)), ISNUMBER(MATCH(EV$1, AsistenciaJetAdminConcatenada!$B:$B, 0)), ISNUMBER(SEARCH($A54,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ISNUMBER(SEARCH($A54, INDEX(AsistenciaJetAdminConcatenada!$D:$D, MATCH(1, (AsistenciaJetAdminConcatenada!$A:$A=EV$2)*(AsistenciaJetAdminConcatenada!$B:$B=EV$1), 0)), 1))),  0.5, 0))</f>
        <v>0</v>
      </c>
      <c r="EW54" s="47">
        <f t="array" ref="EW54">IF(AND(ISNUMBER(MATCH(EW$2, AsistenciaJetAdminConcatenada!$A:$A, 0)), ISNUMBER(MATCH(EW$1, AsistenciaJetAdminConcatenada!$B:$B, 0)), ISNUMBER(SEARCH($A54,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ISNUMBER(SEARCH($A54, INDEX(AsistenciaJetAdminConcatenada!$D:$D, MATCH(1, (AsistenciaJetAdminConcatenada!$A:$A=EW$2)*(AsistenciaJetAdminConcatenada!$B:$B=EW$1), 0)), 1))),  0.5, 0))</f>
        <v>0</v>
      </c>
      <c r="EX54" s="47">
        <f t="array" ref="EX54">IF(AND(ISNUMBER(MATCH(EX$2, AsistenciaJetAdminConcatenada!$A:$A, 0)), ISNUMBER(MATCH(EX$1, AsistenciaJetAdminConcatenada!$B:$B, 0)), ISNUMBER(SEARCH($A54,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ISNUMBER(SEARCH($A54, INDEX(AsistenciaJetAdminConcatenada!$D:$D, MATCH(1, (AsistenciaJetAdminConcatenada!$A:$A=EX$2)*(AsistenciaJetAdminConcatenada!$B:$B=EX$1), 0)), 1))),  0.5, 0))</f>
        <v>0</v>
      </c>
      <c r="EY54" s="47">
        <f t="array" ref="EY54">IF(AND(ISNUMBER(MATCH(EY$2, AsistenciaJetAdminConcatenada!$A:$A, 0)), ISNUMBER(MATCH(EY$1, AsistenciaJetAdminConcatenada!$B:$B, 0)), ISNUMBER(SEARCH($A54,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ISNUMBER(SEARCH($A54, INDEX(AsistenciaJetAdminConcatenada!$D:$D, MATCH(1, (AsistenciaJetAdminConcatenada!$A:$A=EY$2)*(AsistenciaJetAdminConcatenada!$B:$B=EY$1), 0)), 1))),  0.5, 0))</f>
        <v>0</v>
      </c>
      <c r="EZ54" s="47">
        <f t="array" ref="EZ54">IF(AND(ISNUMBER(MATCH(EZ$2, AsistenciaJetAdminConcatenada!$A:$A, 0)), ISNUMBER(MATCH(EZ$1, AsistenciaJetAdminConcatenada!$B:$B, 0)), ISNUMBER(SEARCH($A54,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ISNUMBER(SEARCH($A54, INDEX(AsistenciaJetAdminConcatenada!$D:$D, MATCH(1, (AsistenciaJetAdminConcatenada!$A:$A=EZ$2)*(AsistenciaJetAdminConcatenada!$B:$B=EZ$1), 0)), 1))),  0.5, 0))</f>
        <v>0</v>
      </c>
      <c r="FA54" s="47">
        <f t="array" ref="FA54">IF(AND(ISNUMBER(MATCH(FA$2, AsistenciaJetAdminConcatenada!$A:$A, 0)), ISNUMBER(MATCH(FA$1, AsistenciaJetAdminConcatenada!$B:$B, 0)), ISNUMBER(SEARCH($A54,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ISNUMBER(SEARCH($A54, INDEX(AsistenciaJetAdminConcatenada!$D:$D, MATCH(1, (AsistenciaJetAdminConcatenada!$A:$A=FA$2)*(AsistenciaJetAdminConcatenada!$B:$B=FA$1), 0)), 1))),  0.5, 0))</f>
        <v>0</v>
      </c>
      <c r="FB54" s="47">
        <f t="array" ref="FB54">IF(AND(ISNUMBER(MATCH(FB$2, AsistenciaJetAdminConcatenada!$A:$A, 0)), ISNUMBER(MATCH(FB$1, AsistenciaJetAdminConcatenada!$B:$B, 0)), ISNUMBER(SEARCH($A54,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ISNUMBER(SEARCH($A54, INDEX(AsistenciaJetAdminConcatenada!$D:$D, MATCH(1, (AsistenciaJetAdminConcatenada!$A:$A=FB$2)*(AsistenciaJetAdminConcatenada!$B:$B=FB$1), 0)), 1))),  0.5, 0))</f>
        <v>0</v>
      </c>
      <c r="FC54" s="47">
        <f t="array" ref="FC54">IF(AND(ISNUMBER(MATCH(FC$2, AsistenciaJetAdminConcatenada!$A:$A, 0)), ISNUMBER(MATCH(FC$1, AsistenciaJetAdminConcatenada!$B:$B, 0)), ISNUMBER(SEARCH($A54,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ISNUMBER(SEARCH($A54, INDEX(AsistenciaJetAdminConcatenada!$D:$D, MATCH(1, (AsistenciaJetAdminConcatenada!$A:$A=FC$2)*(AsistenciaJetAdminConcatenada!$B:$B=FC$1), 0)), 1))),  0.5, 0))</f>
        <v>0</v>
      </c>
      <c r="FD54" s="47">
        <f t="array" ref="FD54">IF(AND(ISNUMBER(MATCH(FD$2, AsistenciaJetAdminConcatenada!$A:$A, 0)), ISNUMBER(MATCH(FD$1, AsistenciaJetAdminConcatenada!$B:$B, 0)), ISNUMBER(SEARCH($A54,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ISNUMBER(SEARCH($A54, INDEX(AsistenciaJetAdminConcatenada!$D:$D, MATCH(1, (AsistenciaJetAdminConcatenada!$A:$A=FD$2)*(AsistenciaJetAdminConcatenada!$B:$B=FD$1), 0)), 1))),  0.5, 0))</f>
        <v>0</v>
      </c>
      <c r="FE54" s="47">
        <f t="array" ref="FE54">IF(AND(ISNUMBER(MATCH(FE$2, AsistenciaJetAdminConcatenada!$A:$A, 0)), ISNUMBER(MATCH(FE$1, AsistenciaJetAdminConcatenada!$B:$B, 0)), ISNUMBER(SEARCH($A54,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ISNUMBER(SEARCH($A54, INDEX(AsistenciaJetAdminConcatenada!$D:$D, MATCH(1, (AsistenciaJetAdminConcatenada!$A:$A=FE$2)*(AsistenciaJetAdminConcatenada!$B:$B=FE$1), 0)), 1))),  0.5, 0))</f>
        <v>0</v>
      </c>
      <c r="FF54" s="47">
        <f t="array" ref="FF54">IF(AND(ISNUMBER(MATCH(FF$2, AsistenciaJetAdminConcatenada!$A:$A, 0)), ISNUMBER(MATCH(FF$1, AsistenciaJetAdminConcatenada!$B:$B, 0)), ISNUMBER(SEARCH($A54,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ISNUMBER(SEARCH($A54, INDEX(AsistenciaJetAdminConcatenada!$D:$D, MATCH(1, (AsistenciaJetAdminConcatenada!$A:$A=FF$2)*(AsistenciaJetAdminConcatenada!$B:$B=FF$1), 0)), 1))),  0.5, 0))</f>
        <v>0</v>
      </c>
      <c r="FG54" s="47">
        <f t="array" ref="FG54">IF(AND(ISNUMBER(MATCH(FG$2, AsistenciaJetAdminConcatenada!$A:$A, 0)), ISNUMBER(MATCH(FG$1, AsistenciaJetAdminConcatenada!$B:$B, 0)), ISNUMBER(SEARCH($A54,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ISNUMBER(SEARCH($A54, INDEX(AsistenciaJetAdminConcatenada!$D:$D, MATCH(1, (AsistenciaJetAdminConcatenada!$A:$A=FG$2)*(AsistenciaJetAdminConcatenada!$B:$B=FG$1), 0)), 1))),  0.5, 0))</f>
        <v>0</v>
      </c>
      <c r="FH54" s="47">
        <f t="array" ref="FH54">IF(AND(ISNUMBER(MATCH(FH$2, AsistenciaJetAdminConcatenada!$A:$A, 0)), ISNUMBER(MATCH(FH$1, AsistenciaJetAdminConcatenada!$B:$B, 0)), ISNUMBER(SEARCH($A54,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ISNUMBER(SEARCH($A54, INDEX(AsistenciaJetAdminConcatenada!$D:$D, MATCH(1, (AsistenciaJetAdminConcatenada!$A:$A=FH$2)*(AsistenciaJetAdminConcatenada!$B:$B=FH$1), 0)), 1))),  0.5, 0))</f>
        <v>0</v>
      </c>
      <c r="FI54" s="47">
        <f t="array" ref="FI54">IF(AND(ISNUMBER(MATCH(FI$2, AsistenciaJetAdminConcatenada!$A:$A, 0)), ISNUMBER(MATCH(FI$1, AsistenciaJetAdminConcatenada!$B:$B, 0)), ISNUMBER(SEARCH($A54,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ISNUMBER(SEARCH($A54, INDEX(AsistenciaJetAdminConcatenada!$D:$D, MATCH(1, (AsistenciaJetAdminConcatenada!$A:$A=FI$2)*(AsistenciaJetAdminConcatenada!$B:$B=FI$1), 0)), 1))),  0.5, 0))</f>
        <v>0</v>
      </c>
      <c r="FJ54" s="47">
        <f t="array" ref="FJ54">IF(AND(ISNUMBER(MATCH(FJ$2, AsistenciaJetAdminConcatenada!$A:$A, 0)), ISNUMBER(MATCH(FJ$1, AsistenciaJetAdminConcatenada!$B:$B, 0)), ISNUMBER(SEARCH($A54,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ISNUMBER(SEARCH($A54, INDEX(AsistenciaJetAdminConcatenada!$D:$D, MATCH(1, (AsistenciaJetAdminConcatenada!$A:$A=FJ$2)*(AsistenciaJetAdminConcatenada!$B:$B=FJ$1), 0)), 1))),  0.5, 0))</f>
        <v>0</v>
      </c>
      <c r="FK54" s="47">
        <f t="array" ref="FK54">IF(AND(ISNUMBER(MATCH(FK$2, AsistenciaJetAdminConcatenada!$A:$A, 0)), ISNUMBER(MATCH(FK$1, AsistenciaJetAdminConcatenada!$B:$B, 0)), ISNUMBER(SEARCH($A54,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ISNUMBER(SEARCH($A54, INDEX(AsistenciaJetAdminConcatenada!$D:$D, MATCH(1, (AsistenciaJetAdminConcatenada!$A:$A=FK$2)*(AsistenciaJetAdminConcatenada!$B:$B=FK$1), 0)), 1))),  0.5, 0))</f>
        <v>0</v>
      </c>
      <c r="FL54" s="47">
        <f t="array" ref="FL54">IF(AND(ISNUMBER(MATCH(FL$2, AsistenciaJetAdminConcatenada!$A:$A, 0)), ISNUMBER(MATCH(FL$1, AsistenciaJetAdminConcatenada!$B:$B, 0)), ISNUMBER(SEARCH($A54,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ISNUMBER(SEARCH($A54, INDEX(AsistenciaJetAdminConcatenada!$D:$D, MATCH(1, (AsistenciaJetAdminConcatenada!$A:$A=FL$2)*(AsistenciaJetAdminConcatenada!$B:$B=FL$1), 0)), 1))),  0.5, 0))</f>
        <v>0</v>
      </c>
      <c r="FM54" s="47">
        <f t="array" ref="FM54">IF(AND(ISNUMBER(MATCH(FM$2, AsistenciaJetAdminConcatenada!$A:$A, 0)), ISNUMBER(MATCH(FM$1, AsistenciaJetAdminConcatenada!$B:$B, 0)), ISNUMBER(SEARCH($A54,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ISNUMBER(SEARCH($A54, INDEX(AsistenciaJetAdminConcatenada!$D:$D, MATCH(1, (AsistenciaJetAdminConcatenada!$A:$A=FM$2)*(AsistenciaJetAdminConcatenada!$B:$B=FM$1), 0)), 1))),  0.5, 0))</f>
        <v>0</v>
      </c>
      <c r="FN54" s="47">
        <f t="array" ref="FN54">IF(AND(ISNUMBER(MATCH(FN$2, AsistenciaJetAdminConcatenada!$A:$A, 0)), ISNUMBER(MATCH(FN$1, AsistenciaJetAdminConcatenada!$B:$B, 0)), ISNUMBER(SEARCH($A54,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ISNUMBER(SEARCH($A54, INDEX(AsistenciaJetAdminConcatenada!$D:$D, MATCH(1, (AsistenciaJetAdminConcatenada!$A:$A=FN$2)*(AsistenciaJetAdminConcatenada!$B:$B=FN$1), 0)), 1))),  0.5, 0))</f>
        <v>0</v>
      </c>
      <c r="FO54" s="47">
        <f t="array" ref="FO54">IF(AND(ISNUMBER(MATCH(FO$2, AsistenciaJetAdminConcatenada!$A:$A, 0)), ISNUMBER(MATCH(FO$1, AsistenciaJetAdminConcatenada!$B:$B, 0)), ISNUMBER(SEARCH($A54,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ISNUMBER(SEARCH($A54, INDEX(AsistenciaJetAdminConcatenada!$D:$D, MATCH(1, (AsistenciaJetAdminConcatenada!$A:$A=FO$2)*(AsistenciaJetAdminConcatenada!$B:$B=FO$1), 0)), 1))),  0.5, 0))</f>
        <v>0</v>
      </c>
      <c r="FP54" s="47">
        <f t="array" ref="FP54">IF(AND(ISNUMBER(MATCH(FP$2, AsistenciaJetAdminConcatenada!$A:$A, 0)), ISNUMBER(MATCH(FP$1, AsistenciaJetAdminConcatenada!$B:$B, 0)), ISNUMBER(SEARCH($A54,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ISNUMBER(SEARCH($A54, INDEX(AsistenciaJetAdminConcatenada!$D:$D, MATCH(1, (AsistenciaJetAdminConcatenada!$A:$A=FP$2)*(AsistenciaJetAdminConcatenada!$B:$B=FP$1), 0)), 1))),  0.5, 0))</f>
        <v>0</v>
      </c>
      <c r="FQ54" s="47">
        <f t="array" ref="FQ54">IF(AND(ISNUMBER(MATCH(FQ$2, AsistenciaJetAdminConcatenada!$A:$A, 0)), ISNUMBER(MATCH(FQ$1, AsistenciaJetAdminConcatenada!$B:$B, 0)), ISNUMBER(SEARCH($A54,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ISNUMBER(SEARCH($A54, INDEX(AsistenciaJetAdminConcatenada!$D:$D, MATCH(1, (AsistenciaJetAdminConcatenada!$A:$A=FQ$2)*(AsistenciaJetAdminConcatenada!$B:$B=FQ$1), 0)), 1))),  0.5, 0))</f>
        <v>0</v>
      </c>
      <c r="FR54" s="47">
        <f t="array" ref="FR54">IF(AND(ISNUMBER(MATCH(FR$2, AsistenciaJetAdminConcatenada!$A:$A, 0)), ISNUMBER(MATCH(FR$1, AsistenciaJetAdminConcatenada!$B:$B, 0)), ISNUMBER(SEARCH($A54,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ISNUMBER(SEARCH($A54, INDEX(AsistenciaJetAdminConcatenada!$D:$D, MATCH(1, (AsistenciaJetAdminConcatenada!$A:$A=FR$2)*(AsistenciaJetAdminConcatenada!$B:$B=FR$1), 0)), 1))),  0.5, 0))</f>
        <v>0</v>
      </c>
      <c r="FS54" s="47">
        <f t="array" ref="FS54">IF(AND(ISNUMBER(MATCH(FS$2, AsistenciaJetAdminConcatenada!$A:$A, 0)), ISNUMBER(MATCH(FS$1, AsistenciaJetAdminConcatenada!$B:$B, 0)), ISNUMBER(SEARCH($A54,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ISNUMBER(SEARCH($A54, INDEX(AsistenciaJetAdminConcatenada!$D:$D, MATCH(1, (AsistenciaJetAdminConcatenada!$A:$A=FS$2)*(AsistenciaJetAdminConcatenada!$B:$B=FS$1), 0)), 1))),  0.5, 0))</f>
        <v>0</v>
      </c>
      <c r="FT54" s="47">
        <f t="array" ref="FT54">IF(AND(ISNUMBER(MATCH(FT$2, AsistenciaJetAdminConcatenada!$A:$A, 0)), ISNUMBER(MATCH(FT$1, AsistenciaJetAdminConcatenada!$B:$B, 0)), ISNUMBER(SEARCH($A54,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ISNUMBER(SEARCH($A54, INDEX(AsistenciaJetAdminConcatenada!$D:$D, MATCH(1, (AsistenciaJetAdminConcatenada!$A:$A=FT$2)*(AsistenciaJetAdminConcatenada!$B:$B=FT$1), 0)), 1))),  0.5, 0))</f>
        <v>0</v>
      </c>
      <c r="FU54" s="47">
        <f t="array" ref="FU54">IF(AND(ISNUMBER(MATCH(FU$2, AsistenciaJetAdminConcatenada!$A:$A, 0)), ISNUMBER(MATCH(FU$1, AsistenciaJetAdminConcatenada!$B:$B, 0)), ISNUMBER(SEARCH($A54,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ISNUMBER(SEARCH($A54, INDEX(AsistenciaJetAdminConcatenada!$D:$D, MATCH(1, (AsistenciaJetAdminConcatenada!$A:$A=FU$2)*(AsistenciaJetAdminConcatenada!$B:$B=FU$1), 0)), 1))),  0.5, 0))</f>
        <v>0</v>
      </c>
      <c r="FV54" s="47">
        <f t="array" ref="FV54">IF(AND(ISNUMBER(MATCH(FV$2, AsistenciaJetAdminConcatenada!$A:$A, 0)), ISNUMBER(MATCH(FV$1, AsistenciaJetAdminConcatenada!$B:$B, 0)), ISNUMBER(SEARCH($A54,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ISNUMBER(SEARCH($A54, INDEX(AsistenciaJetAdminConcatenada!$D:$D, MATCH(1, (AsistenciaJetAdminConcatenada!$A:$A=FV$2)*(AsistenciaJetAdminConcatenada!$B:$B=FV$1), 0)), 1))),  0.5, 0))</f>
        <v>0</v>
      </c>
      <c r="FW54" s="47">
        <f t="array" ref="FW54">IF(AND(ISNUMBER(MATCH(FW$2, AsistenciaJetAdminConcatenada!$A:$A, 0)), ISNUMBER(MATCH(FW$1, AsistenciaJetAdminConcatenada!$B:$B, 0)), ISNUMBER(SEARCH($A54,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ISNUMBER(SEARCH($A54, INDEX(AsistenciaJetAdminConcatenada!$D:$D, MATCH(1, (AsistenciaJetAdminConcatenada!$A:$A=FW$2)*(AsistenciaJetAdminConcatenada!$B:$B=FW$1), 0)), 1))),  0.5, 0))</f>
        <v>0</v>
      </c>
      <c r="FX54" s="47">
        <f t="array" ref="FX54">IF(AND(ISNUMBER(MATCH(FX$2, AsistenciaJetAdminConcatenada!$A:$A, 0)), ISNUMBER(MATCH(FX$1, AsistenciaJetAdminConcatenada!$B:$B, 0)), ISNUMBER(SEARCH($A54,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ISNUMBER(SEARCH($A54, INDEX(AsistenciaJetAdminConcatenada!$D:$D, MATCH(1, (AsistenciaJetAdminConcatenada!$A:$A=FX$2)*(AsistenciaJetAdminConcatenada!$B:$B=FX$1), 0)), 1))),  0.5, 0))</f>
        <v>0</v>
      </c>
      <c r="FY54" s="47">
        <f t="array" ref="FY54">IF(AND(ISNUMBER(MATCH(FY$2, AsistenciaJetAdminConcatenada!$A:$A, 0)), ISNUMBER(MATCH(FY$1, AsistenciaJetAdminConcatenada!$B:$B, 0)), ISNUMBER(SEARCH($A54,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ISNUMBER(SEARCH($A54, INDEX(AsistenciaJetAdminConcatenada!$D:$D, MATCH(1, (AsistenciaJetAdminConcatenada!$A:$A=FY$2)*(AsistenciaJetAdminConcatenada!$B:$B=FY$1), 0)), 1))),  0.5, 0))</f>
        <v>0</v>
      </c>
      <c r="FZ54" s="47">
        <f t="array" ref="FZ54">IF(AND(ISNUMBER(MATCH(FZ$2, AsistenciaJetAdminConcatenada!$A:$A, 0)), ISNUMBER(MATCH(FZ$1, AsistenciaJetAdminConcatenada!$B:$B, 0)), ISNUMBER(SEARCH($A54,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ISNUMBER(SEARCH($A54, INDEX(AsistenciaJetAdminConcatenada!$D:$D, MATCH(1, (AsistenciaJetAdminConcatenada!$A:$A=FZ$2)*(AsistenciaJetAdminConcatenada!$B:$B=FZ$1), 0)), 1))),  0.5, 0))</f>
        <v>0</v>
      </c>
      <c r="GA54" s="47">
        <f t="array" ref="GA54">IF(AND(ISNUMBER(MATCH(GA$2, AsistenciaJetAdminConcatenada!$A:$A, 0)), ISNUMBER(MATCH(GA$1, AsistenciaJetAdminConcatenada!$B:$B, 0)), ISNUMBER(SEARCH($A54,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ISNUMBER(SEARCH($A54, INDEX(AsistenciaJetAdminConcatenada!$D:$D, MATCH(1, (AsistenciaJetAdminConcatenada!$A:$A=GA$2)*(AsistenciaJetAdminConcatenada!$B:$B=GA$1), 0)), 1))),  0.5, 0))</f>
        <v>0</v>
      </c>
      <c r="GB54" s="47">
        <f t="array" ref="GB54">IF(AND(ISNUMBER(MATCH(GB$2, AsistenciaJetAdminConcatenada!$A:$A, 0)), ISNUMBER(MATCH(GB$1, AsistenciaJetAdminConcatenada!$B:$B, 0)), ISNUMBER(SEARCH($A54,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ISNUMBER(SEARCH($A54, INDEX(AsistenciaJetAdminConcatenada!$D:$D, MATCH(1, (AsistenciaJetAdminConcatenada!$A:$A=GB$2)*(AsistenciaJetAdminConcatenada!$B:$B=GB$1), 0)), 1))),  0.5, 0))</f>
        <v>0</v>
      </c>
      <c r="GC54" s="47">
        <f t="array" ref="GC54">IF(AND(ISNUMBER(MATCH(GC$2, AsistenciaJetAdminConcatenada!$A:$A, 0)), ISNUMBER(MATCH(GC$1, AsistenciaJetAdminConcatenada!$B:$B, 0)), ISNUMBER(SEARCH($A54,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ISNUMBER(SEARCH($A54, INDEX(AsistenciaJetAdminConcatenada!$D:$D, MATCH(1, (AsistenciaJetAdminConcatenada!$A:$A=GC$2)*(AsistenciaJetAdminConcatenada!$B:$B=GC$1), 0)), 1))),  0.5, 0))</f>
        <v>0</v>
      </c>
      <c r="GD54" s="47">
        <f t="array" ref="GD54">IF(AND(ISNUMBER(MATCH(GD$2, AsistenciaJetAdminConcatenada!$A:$A, 0)), ISNUMBER(MATCH(GD$1, AsistenciaJetAdminConcatenada!$B:$B, 0)), ISNUMBER(SEARCH($A54,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ISNUMBER(SEARCH($A54, INDEX(AsistenciaJetAdminConcatenada!$D:$D, MATCH(1, (AsistenciaJetAdminConcatenada!$A:$A=GD$2)*(AsistenciaJetAdminConcatenada!$B:$B=GD$1), 0)), 1))),  0.5, 0))</f>
        <v>0</v>
      </c>
      <c r="GE54" s="47">
        <f t="array" ref="GE54">IF(AND(ISNUMBER(MATCH(GE$2, AsistenciaJetAdminConcatenada!$A:$A, 0)), ISNUMBER(MATCH(GE$1, AsistenciaJetAdminConcatenada!$B:$B, 0)), ISNUMBER(SEARCH($A54,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ISNUMBER(SEARCH($A54, INDEX(AsistenciaJetAdminConcatenada!$D:$D, MATCH(1, (AsistenciaJetAdminConcatenada!$A:$A=GE$2)*(AsistenciaJetAdminConcatenada!$B:$B=GE$1), 0)), 1))),  0.5, 0))</f>
        <v>0</v>
      </c>
      <c r="GF54" s="47">
        <f t="array" ref="GF54">IF(AND(ISNUMBER(MATCH(GF$2, AsistenciaJetAdminConcatenada!$A:$A, 0)), ISNUMBER(MATCH(GF$1, AsistenciaJetAdminConcatenada!$B:$B, 0)), ISNUMBER(SEARCH($A54,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ISNUMBER(SEARCH($A54, INDEX(AsistenciaJetAdminConcatenada!$D:$D, MATCH(1, (AsistenciaJetAdminConcatenada!$A:$A=GF$2)*(AsistenciaJetAdminConcatenada!$B:$B=GF$1), 0)), 1))),  0.5, 0))</f>
        <v>0</v>
      </c>
      <c r="GG54" s="47">
        <f t="array" ref="GG54">IF(AND(ISNUMBER(MATCH(GG$2, AsistenciaJetAdminConcatenada!$A:$A, 0)), ISNUMBER(MATCH(GG$1, AsistenciaJetAdminConcatenada!$B:$B, 0)), ISNUMBER(SEARCH($A54,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ISNUMBER(SEARCH($A54, INDEX(AsistenciaJetAdminConcatenada!$D:$D, MATCH(1, (AsistenciaJetAdminConcatenada!$A:$A=GG$2)*(AsistenciaJetAdminConcatenada!$B:$B=GG$1), 0)), 1))),  0.5, 0))</f>
        <v>0</v>
      </c>
      <c r="GH54" s="47">
        <f t="array" ref="GH54">IF(AND(ISNUMBER(MATCH(GH$2, AsistenciaJetAdminConcatenada!$A:$A, 0)), ISNUMBER(MATCH(GH$1, AsistenciaJetAdminConcatenada!$B:$B, 0)), ISNUMBER(SEARCH($A54,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ISNUMBER(SEARCH($A54, INDEX(AsistenciaJetAdminConcatenada!$D:$D, MATCH(1, (AsistenciaJetAdminConcatenada!$A:$A=GH$2)*(AsistenciaJetAdminConcatenada!$B:$B=GH$1), 0)), 1))),  0.5, 0))</f>
        <v>0</v>
      </c>
      <c r="GI54" s="47">
        <f t="array" ref="GI54">IF(AND(ISNUMBER(MATCH(GI$2, AsistenciaJetAdminConcatenada!$A:$A, 0)), ISNUMBER(MATCH(GI$1, AsistenciaJetAdminConcatenada!$B:$B, 0)), ISNUMBER(SEARCH($A54,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ISNUMBER(SEARCH($A54, INDEX(AsistenciaJetAdminConcatenada!$D:$D, MATCH(1, (AsistenciaJetAdminConcatenada!$A:$A=GI$2)*(AsistenciaJetAdminConcatenada!$B:$B=GI$1), 0)), 1))),  0.5, 0))</f>
        <v>0</v>
      </c>
      <c r="GJ54" s="47">
        <f t="array" ref="GJ54">IF(AND(ISNUMBER(MATCH(GJ$2, AsistenciaJetAdminConcatenada!$A:$A, 0)), ISNUMBER(MATCH(GJ$1, AsistenciaJetAdminConcatenada!$B:$B, 0)), ISNUMBER(SEARCH($A54,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ISNUMBER(SEARCH($A54, INDEX(AsistenciaJetAdminConcatenada!$D:$D, MATCH(1, (AsistenciaJetAdminConcatenada!$A:$A=GJ$2)*(AsistenciaJetAdminConcatenada!$B:$B=GJ$1), 0)), 1))),  0.5, 0))</f>
        <v>0</v>
      </c>
      <c r="GK54" s="47">
        <f t="array" ref="GK54">IF(AND(ISNUMBER(MATCH(GK$2, AsistenciaJetAdminConcatenada!$A:$A, 0)), ISNUMBER(MATCH(GK$1, AsistenciaJetAdminConcatenada!$B:$B, 0)), ISNUMBER(SEARCH($A54,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ISNUMBER(SEARCH($A54, INDEX(AsistenciaJetAdminConcatenada!$D:$D, MATCH(1, (AsistenciaJetAdminConcatenada!$A:$A=GK$2)*(AsistenciaJetAdminConcatenada!$B:$B=GK$1), 0)), 1))),  0.5, 0))</f>
        <v>0</v>
      </c>
      <c r="GL54" s="47">
        <f t="array" ref="GL54">IF(AND(ISNUMBER(MATCH(GL$2, AsistenciaJetAdminConcatenada!$A:$A, 0)), ISNUMBER(MATCH(GL$1, AsistenciaJetAdminConcatenada!$B:$B, 0)), ISNUMBER(SEARCH($A54,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ISNUMBER(SEARCH($A54, INDEX(AsistenciaJetAdminConcatenada!$D:$D, MATCH(1, (AsistenciaJetAdminConcatenada!$A:$A=GL$2)*(AsistenciaJetAdminConcatenada!$B:$B=GL$1), 0)), 1))),  0.5, 0))</f>
        <v>0</v>
      </c>
      <c r="GM54" s="47">
        <f t="array" ref="GM54">IF(AND(ISNUMBER(MATCH(GM$2, AsistenciaJetAdminConcatenada!$A:$A, 0)), ISNUMBER(MATCH(GM$1, AsistenciaJetAdminConcatenada!$B:$B, 0)), ISNUMBER(SEARCH($A54,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ISNUMBER(SEARCH($A54, INDEX(AsistenciaJetAdminConcatenada!$D:$D, MATCH(1, (AsistenciaJetAdminConcatenada!$A:$A=GM$2)*(AsistenciaJetAdminConcatenada!$B:$B=GM$1), 0)), 1))),  0.5, 0))</f>
        <v>0</v>
      </c>
      <c r="GN54" s="47">
        <f t="array" ref="GN54">IF(AND(ISNUMBER(MATCH(GN$2, AsistenciaJetAdminConcatenada!$A:$A, 0)), ISNUMBER(MATCH(GN$1, AsistenciaJetAdminConcatenada!$B:$B, 0)), ISNUMBER(SEARCH($A54,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ISNUMBER(SEARCH($A54, INDEX(AsistenciaJetAdminConcatenada!$D:$D, MATCH(1, (AsistenciaJetAdminConcatenada!$A:$A=GN$2)*(AsistenciaJetAdminConcatenada!$B:$B=GN$1), 0)), 1))),  0.5, 0))</f>
        <v>0</v>
      </c>
      <c r="GO54" s="47">
        <f t="array" ref="GO54">IF(AND(ISNUMBER(MATCH(GO$2, AsistenciaJetAdminConcatenada!$A:$A, 0)), ISNUMBER(MATCH(GO$1, AsistenciaJetAdminConcatenada!$B:$B, 0)), ISNUMBER(SEARCH($A54,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ISNUMBER(SEARCH($A54, INDEX(AsistenciaJetAdminConcatenada!$D:$D, MATCH(1, (AsistenciaJetAdminConcatenada!$A:$A=GO$2)*(AsistenciaJetAdminConcatenada!$B:$B=GO$1), 0)), 1))),  0.5, 0))</f>
        <v>0</v>
      </c>
      <c r="GP54" s="47">
        <f t="array" ref="GP54">IF(AND(ISNUMBER(MATCH(GP$2, AsistenciaJetAdminConcatenada!$A:$A, 0)), ISNUMBER(MATCH(GP$1, AsistenciaJetAdminConcatenada!$B:$B, 0)), ISNUMBER(SEARCH($A54,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ISNUMBER(SEARCH($A54, INDEX(AsistenciaJetAdminConcatenada!$D:$D, MATCH(1, (AsistenciaJetAdminConcatenada!$A:$A=GP$2)*(AsistenciaJetAdminConcatenada!$B:$B=GP$1), 0)), 1))),  0.5, 0))</f>
        <v>0</v>
      </c>
      <c r="GQ54" s="47">
        <f t="array" ref="GQ54">IF(AND(ISNUMBER(MATCH(GQ$2, AsistenciaJetAdminConcatenada!$A:$A, 0)), ISNUMBER(MATCH(GQ$1, AsistenciaJetAdminConcatenada!$B:$B, 0)), ISNUMBER(SEARCH($A54,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ISNUMBER(SEARCH($A54, INDEX(AsistenciaJetAdminConcatenada!$D:$D, MATCH(1, (AsistenciaJetAdminConcatenada!$A:$A=GQ$2)*(AsistenciaJetAdminConcatenada!$B:$B=GQ$1), 0)), 1))),  0.5, 0))</f>
        <v>0</v>
      </c>
      <c r="GR54" s="47">
        <f t="array" ref="GR54">IF(AND(ISNUMBER(MATCH(GR$2, AsistenciaJetAdminConcatenada!$A:$A, 0)), ISNUMBER(MATCH(GR$1, AsistenciaJetAdminConcatenada!$B:$B, 0)), ISNUMBER(SEARCH($A54,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ISNUMBER(SEARCH($A54, INDEX(AsistenciaJetAdminConcatenada!$D:$D, MATCH(1, (AsistenciaJetAdminConcatenada!$A:$A=GR$2)*(AsistenciaJetAdminConcatenada!$B:$B=GR$1), 0)), 1))),  0.5, 0))</f>
        <v>0</v>
      </c>
      <c r="GS54" s="47">
        <f t="array" ref="GS54">IF(AND(ISNUMBER(MATCH(GS$2, AsistenciaJetAdminConcatenada!$A:$A, 0)), ISNUMBER(MATCH(GS$1, AsistenciaJetAdminConcatenada!$B:$B, 0)), ISNUMBER(SEARCH($A54,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ISNUMBER(SEARCH($A54, INDEX(AsistenciaJetAdminConcatenada!$D:$D, MATCH(1, (AsistenciaJetAdminConcatenada!$A:$A=GS$2)*(AsistenciaJetAdminConcatenada!$B:$B=GS$1), 0)), 1))),  0.5, 0))</f>
        <v>0</v>
      </c>
      <c r="GT54" s="47">
        <f t="array" ref="GT54">IF(AND(ISNUMBER(MATCH(GT$2, AsistenciaJetAdminConcatenada!$A:$A, 0)), ISNUMBER(MATCH(GT$1, AsistenciaJetAdminConcatenada!$B:$B, 0)), ISNUMBER(SEARCH($A54,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ISNUMBER(SEARCH($A54, INDEX(AsistenciaJetAdminConcatenada!$D:$D, MATCH(1, (AsistenciaJetAdminConcatenada!$A:$A=GT$2)*(AsistenciaJetAdminConcatenada!$B:$B=GT$1), 0)), 1))),  0.5, 0))</f>
        <v>0</v>
      </c>
      <c r="GU54" s="47">
        <f t="array" ref="GU54">IF(AND(ISNUMBER(MATCH(GU$2, AsistenciaJetAdminConcatenada!$A:$A, 0)), ISNUMBER(MATCH(GU$1, AsistenciaJetAdminConcatenada!$B:$B, 0)), ISNUMBER(SEARCH($A54,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ISNUMBER(SEARCH($A54, INDEX(AsistenciaJetAdminConcatenada!$D:$D, MATCH(1, (AsistenciaJetAdminConcatenada!$A:$A=GU$2)*(AsistenciaJetAdminConcatenada!$B:$B=GU$1), 0)), 1))),  0.5, 0))</f>
        <v>0</v>
      </c>
      <c r="GV54" s="47">
        <f t="array" ref="GV54">IF(AND(ISNUMBER(MATCH(GV$2, AsistenciaJetAdminConcatenada!$A:$A, 0)), ISNUMBER(MATCH(GV$1, AsistenciaJetAdminConcatenada!$B:$B, 0)), ISNUMBER(SEARCH($A54,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ISNUMBER(SEARCH($A54, INDEX(AsistenciaJetAdminConcatenada!$D:$D, MATCH(1, (AsistenciaJetAdminConcatenada!$A:$A=GV$2)*(AsistenciaJetAdminConcatenada!$B:$B=GV$1), 0)), 1))),  0.5, 0))</f>
        <v>0</v>
      </c>
      <c r="GW54" s="47">
        <f t="array" ref="GW54">IF(AND(ISNUMBER(MATCH(GW$2, AsistenciaJetAdminConcatenada!$A:$A, 0)), ISNUMBER(MATCH(GW$1, AsistenciaJetAdminConcatenada!$B:$B, 0)), ISNUMBER(SEARCH($A54,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ISNUMBER(SEARCH($A54, INDEX(AsistenciaJetAdminConcatenada!$D:$D, MATCH(1, (AsistenciaJetAdminConcatenada!$A:$A=GW$2)*(AsistenciaJetAdminConcatenada!$B:$B=GW$1), 0)), 1))),  0.5, 0))</f>
        <v>0</v>
      </c>
      <c r="GX54" s="47">
        <f t="array" ref="GX54">IF(AND(ISNUMBER(MATCH(GX$2, AsistenciaJetAdminConcatenada!$A:$A, 0)), ISNUMBER(MATCH(GX$1, AsistenciaJetAdminConcatenada!$B:$B, 0)), ISNUMBER(SEARCH($A54,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ISNUMBER(SEARCH($A54, INDEX(AsistenciaJetAdminConcatenada!$D:$D, MATCH(1, (AsistenciaJetAdminConcatenada!$A:$A=GX$2)*(AsistenciaJetAdminConcatenada!$B:$B=GX$1), 0)), 1))),  0.5, 0))</f>
        <v>0</v>
      </c>
      <c r="GY54" s="47">
        <f t="array" ref="GY54">IF(AND(ISNUMBER(MATCH(GY$2, AsistenciaJetAdminConcatenada!$A:$A, 0)), ISNUMBER(MATCH(GY$1, AsistenciaJetAdminConcatenada!$B:$B, 0)), ISNUMBER(SEARCH($A54,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ISNUMBER(SEARCH($A54, INDEX(AsistenciaJetAdminConcatenada!$D:$D, MATCH(1, (AsistenciaJetAdminConcatenada!$A:$A=GY$2)*(AsistenciaJetAdminConcatenada!$B:$B=GY$1), 0)), 1))),  0.5, 0))</f>
        <v>0</v>
      </c>
      <c r="GZ54" s="47">
        <f t="array" ref="GZ54">IF(AND(ISNUMBER(MATCH(GZ$2, AsistenciaJetAdminConcatenada!$A:$A, 0)), ISNUMBER(MATCH(GZ$1, AsistenciaJetAdminConcatenada!$B:$B, 0)), ISNUMBER(SEARCH($A54,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ISNUMBER(SEARCH($A54, INDEX(AsistenciaJetAdminConcatenada!$D:$D, MATCH(1, (AsistenciaJetAdminConcatenada!$A:$A=GZ$2)*(AsistenciaJetAdminConcatenada!$B:$B=GZ$1), 0)), 1))),  0.5, 0))</f>
        <v>0</v>
      </c>
      <c r="HA54" s="47">
        <f t="array" ref="HA54">IF(AND(ISNUMBER(MATCH(HA$2, AsistenciaJetAdminConcatenada!$A:$A, 0)), ISNUMBER(MATCH(HA$1, AsistenciaJetAdminConcatenada!$B:$B, 0)), ISNUMBER(SEARCH($A54,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ISNUMBER(SEARCH($A54, INDEX(AsistenciaJetAdminConcatenada!$D:$D, MATCH(1, (AsistenciaJetAdminConcatenada!$A:$A=HA$2)*(AsistenciaJetAdminConcatenada!$B:$B=HA$1), 0)), 1))),  0.5, 0))</f>
        <v>0</v>
      </c>
      <c r="HB54" s="47">
        <f t="array" ref="HB54">IF(AND(ISNUMBER(MATCH(HB$2, AsistenciaJetAdminConcatenada!$A:$A, 0)), ISNUMBER(MATCH(HB$1, AsistenciaJetAdminConcatenada!$B:$B, 0)), ISNUMBER(SEARCH($A54,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ISNUMBER(SEARCH($A54, INDEX(AsistenciaJetAdminConcatenada!$D:$D, MATCH(1, (AsistenciaJetAdminConcatenada!$A:$A=HB$2)*(AsistenciaJetAdminConcatenada!$B:$B=HB$1), 0)), 1))),  0.5, 0))</f>
        <v>0</v>
      </c>
      <c r="HC54" s="47">
        <f t="array" ref="HC54">IF(AND(ISNUMBER(MATCH(HC$2, AsistenciaJetAdminConcatenada!$A:$A, 0)), ISNUMBER(MATCH(HC$1, AsistenciaJetAdminConcatenada!$B:$B, 0)), ISNUMBER(SEARCH($A54,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ISNUMBER(SEARCH($A54, INDEX(AsistenciaJetAdminConcatenada!$D:$D, MATCH(1, (AsistenciaJetAdminConcatenada!$A:$A=HC$2)*(AsistenciaJetAdminConcatenada!$B:$B=HC$1), 0)), 1))),  0.5, 0))</f>
        <v>0</v>
      </c>
    </row>
    <row r="55" ht="29.25" customHeight="1">
      <c r="A55" s="3">
        <v>168.0</v>
      </c>
      <c r="B55" s="4" t="s">
        <v>545</v>
      </c>
      <c r="C55" s="47">
        <f>SUM(D55:HC55) + ActividadesEspeciales!C55</f>
        <v>78</v>
      </c>
      <c r="D55" s="47">
        <f t="array" ref="D55">IF(AND(ISNUMBER(MATCH(D$2, AsistenciaJetAdminConcatenada!$A:$A, 0)), ISNUMBER(MATCH(D$1, AsistenciaJetAdminConcatenada!$B:$B, 0)), ISNUMBER(SEARCH($A55,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ISNUMBER(SEARCH($A55, INDEX(AsistenciaJetAdminConcatenada!$D:$D, MATCH(1, (AsistenciaJetAdminConcatenada!$A:$A=D$2)*(AsistenciaJetAdminConcatenada!$B:$B=D$1), 0)), 1))),  0.5, 0))</f>
        <v>1</v>
      </c>
      <c r="E55" s="47">
        <f t="array" ref="E55">IF(AND(ISNUMBER(MATCH(E$2, AsistenciaJetAdminConcatenada!$A:$A, 0)), ISNUMBER(MATCH(E$1, AsistenciaJetAdminConcatenada!$B:$B, 0)), ISNUMBER(SEARCH($A55,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ISNUMBER(SEARCH($A55, INDEX(AsistenciaJetAdminConcatenada!$D:$D, MATCH(1, (AsistenciaJetAdminConcatenada!$A:$A=E$2)*(AsistenciaJetAdminConcatenada!$B:$B=E$1), 0)), 1))),  0.5, 0))</f>
        <v>1</v>
      </c>
      <c r="F55" s="47">
        <f t="array" ref="F55">IF(AND(ISNUMBER(MATCH(F$2, AsistenciaJetAdminConcatenada!$A:$A, 0)), ISNUMBER(MATCH(F$1, AsistenciaJetAdminConcatenada!$B:$B, 0)), ISNUMBER(SEARCH($A55,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ISNUMBER(SEARCH($A55, INDEX(AsistenciaJetAdminConcatenada!$D:$D, MATCH(1, (AsistenciaJetAdminConcatenada!$A:$A=F$2)*(AsistenciaJetAdminConcatenada!$B:$B=F$1), 0)), 1))),  0.5, 0))</f>
        <v>1</v>
      </c>
      <c r="G55" s="47">
        <f t="array" ref="G55">IF(AND(ISNUMBER(MATCH(G$2, AsistenciaJetAdminConcatenada!$A:$A, 0)), ISNUMBER(MATCH(G$1, AsistenciaJetAdminConcatenada!$B:$B, 0)), ISNUMBER(SEARCH($A55,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ISNUMBER(SEARCH($A55, INDEX(AsistenciaJetAdminConcatenada!$D:$D, MATCH(1, (AsistenciaJetAdminConcatenada!$A:$A=G$2)*(AsistenciaJetAdminConcatenada!$B:$B=G$1), 0)), 1))),  0.5, 0))</f>
        <v>1</v>
      </c>
      <c r="H55" s="47">
        <f t="array" ref="H55">IF(AND(ISNUMBER(MATCH(H$2, AsistenciaJetAdminConcatenada!$A:$A, 0)), ISNUMBER(MATCH(H$1, AsistenciaJetAdminConcatenada!$B:$B, 0)), ISNUMBER(SEARCH($A55,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ISNUMBER(SEARCH($A55, INDEX(AsistenciaJetAdminConcatenada!$D:$D, MATCH(1, (AsistenciaJetAdminConcatenada!$A:$A=H$2)*(AsistenciaJetAdminConcatenada!$B:$B=H$1), 0)), 1))),  0.5, 0))</f>
        <v>1</v>
      </c>
      <c r="I55" s="47">
        <f t="array" ref="I55">IF(AND(ISNUMBER(MATCH(I$2, AsistenciaJetAdminConcatenada!$A:$A, 0)), ISNUMBER(MATCH(I$1, AsistenciaJetAdminConcatenada!$B:$B, 0)), ISNUMBER(SEARCH($A55,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ISNUMBER(SEARCH($A55, INDEX(AsistenciaJetAdminConcatenada!$D:$D, MATCH(1, (AsistenciaJetAdminConcatenada!$A:$A=I$2)*(AsistenciaJetAdminConcatenada!$B:$B=I$1), 0)), 1))),  0.5, 0))</f>
        <v>1</v>
      </c>
      <c r="J55" s="47">
        <f t="array" ref="J55">IF(AND(ISNUMBER(MATCH(J$2, AsistenciaJetAdminConcatenada!$A:$A, 0)), ISNUMBER(MATCH(J$1, AsistenciaJetAdminConcatenada!$B:$B, 0)), ISNUMBER(SEARCH($A55,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ISNUMBER(SEARCH($A55, INDEX(AsistenciaJetAdminConcatenada!$D:$D, MATCH(1, (AsistenciaJetAdminConcatenada!$A:$A=J$2)*(AsistenciaJetAdminConcatenada!$B:$B=J$1), 0)), 1))),  0.5, 0))</f>
        <v>1</v>
      </c>
      <c r="K55" s="47">
        <f t="array" ref="K55">IF(AND(ISNUMBER(MATCH(K$2, AsistenciaJetAdminConcatenada!$A:$A, 0)), ISNUMBER(MATCH(K$1, AsistenciaJetAdminConcatenada!$B:$B, 0)), ISNUMBER(SEARCH($A55,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ISNUMBER(SEARCH($A55, INDEX(AsistenciaJetAdminConcatenada!$D:$D, MATCH(1, (AsistenciaJetAdminConcatenada!$A:$A=K$2)*(AsistenciaJetAdminConcatenada!$B:$B=K$1), 0)), 1))),  0.5, 0))</f>
        <v>1</v>
      </c>
      <c r="L55" s="47">
        <f t="array" ref="L55">IF(AND(ISNUMBER(MATCH(L$2, AsistenciaJetAdminConcatenada!$A:$A, 0)), ISNUMBER(MATCH(L$1, AsistenciaJetAdminConcatenada!$B:$B, 0)), ISNUMBER(SEARCH($A55,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ISNUMBER(SEARCH($A55, INDEX(AsistenciaJetAdminConcatenada!$D:$D, MATCH(1, (AsistenciaJetAdminConcatenada!$A:$A=L$2)*(AsistenciaJetAdminConcatenada!$B:$B=L$1), 0)), 1))),  0.5, 0))</f>
        <v>1</v>
      </c>
      <c r="M55" s="47">
        <f t="array" ref="M55">IF(AND(ISNUMBER(MATCH(M$2, AsistenciaJetAdminConcatenada!$A:$A, 0)), ISNUMBER(MATCH(M$1, AsistenciaJetAdminConcatenada!$B:$B, 0)), ISNUMBER(SEARCH($A55,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ISNUMBER(SEARCH($A55, INDEX(AsistenciaJetAdminConcatenada!$D:$D, MATCH(1, (AsistenciaJetAdminConcatenada!$A:$A=M$2)*(AsistenciaJetAdminConcatenada!$B:$B=M$1), 0)), 1))),  0.5, 0))</f>
        <v>1</v>
      </c>
      <c r="N55" s="47">
        <f t="array" ref="N55">IF(AND(ISNUMBER(MATCH(N$2, AsistenciaJetAdminConcatenada!$A:$A, 0)), ISNUMBER(MATCH(N$1, AsistenciaJetAdminConcatenada!$B:$B, 0)), ISNUMBER(SEARCH($A55,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ISNUMBER(SEARCH($A55, INDEX(AsistenciaJetAdminConcatenada!$D:$D, MATCH(1, (AsistenciaJetAdminConcatenada!$A:$A=N$2)*(AsistenciaJetAdminConcatenada!$B:$B=N$1), 0)), 1))),  0.5, 0))</f>
        <v>1</v>
      </c>
      <c r="O55" s="47">
        <f t="array" ref="O55">IF(AND(ISNUMBER(MATCH(O$2, AsistenciaJetAdminConcatenada!$A:$A, 0)), ISNUMBER(MATCH(O$1, AsistenciaJetAdminConcatenada!$B:$B, 0)), ISNUMBER(SEARCH($A55,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ISNUMBER(SEARCH($A55, INDEX(AsistenciaJetAdminConcatenada!$D:$D, MATCH(1, (AsistenciaJetAdminConcatenada!$A:$A=O$2)*(AsistenciaJetAdminConcatenada!$B:$B=O$1), 0)), 1))),  0.5, 0))</f>
        <v>1</v>
      </c>
      <c r="P55" s="47">
        <f t="array" ref="P55">IF(AND(ISNUMBER(MATCH(P$2, AsistenciaJetAdminConcatenada!$A:$A, 0)), ISNUMBER(MATCH(P$1, AsistenciaJetAdminConcatenada!$B:$B, 0)), ISNUMBER(SEARCH($A55, INDEX(AsistenciaJetAdminConcatenada!$C:$C, MATCH(1, (AsistenciaJetAdminConcatenada!$A:$A=P$2)*(AsistenciaJetAdminConcatenada!$B:$B=P$1), 0)), 1))), 1, IF(AND(ISNUMBER(MATCH(P$2, AsistenciaJetAdminConcatenada!$A:$A, 0)), ISNUMBER(MATCH(P$1, AsistenciaJetAdminConcatenada!$B:$B, 0)), ISNUMBER(SEARCH($A55, INDEX(AsistenciaJetAdminConcatenada!$D:$D, MATCH(1, (AsistenciaJetAdminConcatenada!$A:$A=P$2)*(AsistenciaJetAdminConcatenada!$B:$B=P$1), 0)), 1))),  0.5, 0))</f>
        <v>0.5</v>
      </c>
      <c r="Q55" s="8">
        <v>0.0</v>
      </c>
      <c r="R55" s="47">
        <f t="array" ref="R55">IF(AND(ISNUMBER(MATCH(R$2, AsistenciaJetAdminConcatenada!$A:$A, 0)), ISNUMBER(MATCH(R$1, AsistenciaJetAdminConcatenada!$B:$B, 0)), ISNUMBER(SEARCH($A55,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ISNUMBER(SEARCH($A55, INDEX(AsistenciaJetAdminConcatenada!$D:$D, MATCH(1, (AsistenciaJetAdminConcatenada!$A:$A=R$2)*(AsistenciaJetAdminConcatenada!$B:$B=R$1), 0)), 1))),  0.5, 0))</f>
        <v>1</v>
      </c>
      <c r="S55" s="47">
        <f t="array" ref="S55">IF(AND(ISNUMBER(MATCH(S$2, AsistenciaJetAdminConcatenada!$A:$A, 0)), ISNUMBER(MATCH(S$1, AsistenciaJetAdminConcatenada!$B:$B, 0)), ISNUMBER(SEARCH($A55,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ISNUMBER(SEARCH($A55, INDEX(AsistenciaJetAdminConcatenada!$D:$D, MATCH(1, (AsistenciaJetAdminConcatenada!$A:$A=S$2)*(AsistenciaJetAdminConcatenada!$B:$B=S$1), 0)), 1))),  0.5, 0))</f>
        <v>1</v>
      </c>
      <c r="T55" s="47">
        <f t="array" ref="T55">IF(AND(ISNUMBER(MATCH(T$2, AsistenciaJetAdminConcatenada!$A:$A, 0)), ISNUMBER(MATCH(T$1, AsistenciaJetAdminConcatenada!$B:$B, 0)), ISNUMBER(SEARCH($A55,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ISNUMBER(SEARCH($A55, INDEX(AsistenciaJetAdminConcatenada!$D:$D, MATCH(1, (AsistenciaJetAdminConcatenada!$A:$A=T$2)*(AsistenciaJetAdminConcatenada!$B:$B=T$1), 0)), 1))),  0.5, 0))</f>
        <v>1</v>
      </c>
      <c r="U55" s="47">
        <f t="array" ref="U55">IF(AND(ISNUMBER(MATCH(U$2, AsistenciaJetAdminConcatenada!$A:$A, 0)), ISNUMBER(MATCH(U$1, AsistenciaJetAdminConcatenada!$B:$B, 0)), ISNUMBER(SEARCH($A55,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ISNUMBER(SEARCH($A55, INDEX(AsistenciaJetAdminConcatenada!$D:$D, MATCH(1, (AsistenciaJetAdminConcatenada!$A:$A=U$2)*(AsistenciaJetAdminConcatenada!$B:$B=U$1), 0)), 1))),  0.5, 0))</f>
        <v>1</v>
      </c>
      <c r="V55" s="47">
        <f t="array" ref="V55">IF(AND(ISNUMBER(MATCH(V$2, AsistenciaJetAdminConcatenada!$A:$A, 0)), ISNUMBER(MATCH(V$1, AsistenciaJetAdminConcatenada!$B:$B, 0)), ISNUMBER(SEARCH($A55,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ISNUMBER(SEARCH($A55, INDEX(AsistenciaJetAdminConcatenada!$D:$D, MATCH(1, (AsistenciaJetAdminConcatenada!$A:$A=V$2)*(AsistenciaJetAdminConcatenada!$B:$B=V$1), 0)), 1))),  0.5, 0))</f>
        <v>1</v>
      </c>
      <c r="W55" s="47">
        <f t="array" ref="W55">IF(AND(ISNUMBER(MATCH(W$2, AsistenciaJetAdminConcatenada!$A:$A, 0)), ISNUMBER(MATCH(W$1, AsistenciaJetAdminConcatenada!$B:$B, 0)), ISNUMBER(SEARCH($A55,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ISNUMBER(SEARCH($A55, INDEX(AsistenciaJetAdminConcatenada!$D:$D, MATCH(1, (AsistenciaJetAdminConcatenada!$A:$A=W$2)*(AsistenciaJetAdminConcatenada!$B:$B=W$1), 0)), 1))),  0.5, 0))</f>
        <v>1</v>
      </c>
      <c r="X55" s="47">
        <f t="array" ref="X55">IF(AND(ISNUMBER(MATCH(X$2, AsistenciaJetAdminConcatenada!$A:$A, 0)), ISNUMBER(MATCH(X$1, AsistenciaJetAdminConcatenada!$B:$B, 0)), ISNUMBER(SEARCH($A55,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ISNUMBER(SEARCH($A55, INDEX(AsistenciaJetAdminConcatenada!$D:$D, MATCH(1, (AsistenciaJetAdminConcatenada!$A:$A=X$2)*(AsistenciaJetAdminConcatenada!$B:$B=X$1), 0)), 1))),  0.5, 0))</f>
        <v>1</v>
      </c>
      <c r="Y55" s="47">
        <f t="array" ref="Y55">IF(AND(ISNUMBER(MATCH(Y$2, AsistenciaJetAdminConcatenada!$A:$A, 0)), ISNUMBER(MATCH(Y$1, AsistenciaJetAdminConcatenada!$B:$B, 0)), ISNUMBER(SEARCH($A55,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ISNUMBER(SEARCH($A55, INDEX(AsistenciaJetAdminConcatenada!$D:$D, MATCH(1, (AsistenciaJetAdminConcatenada!$A:$A=Y$2)*(AsistenciaJetAdminConcatenada!$B:$B=Y$1), 0)), 1))),  0.5, 0))</f>
        <v>1</v>
      </c>
      <c r="Z55" s="47">
        <f t="array" ref="Z55">IF(AND(ISNUMBER(MATCH(Z$2, AsistenciaJetAdminConcatenada!$A:$A, 0)), ISNUMBER(MATCH(Z$1, AsistenciaJetAdminConcatenada!$B:$B, 0)), ISNUMBER(SEARCH($A55,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ISNUMBER(SEARCH($A55, INDEX(AsistenciaJetAdminConcatenada!$D:$D, MATCH(1, (AsistenciaJetAdminConcatenada!$A:$A=Z$2)*(AsistenciaJetAdminConcatenada!$B:$B=Z$1), 0)), 1))),  0.5, 0))</f>
        <v>1</v>
      </c>
      <c r="AA55" s="47">
        <f t="array" ref="AA55">IF(AND(ISNUMBER(MATCH(AA$2, AsistenciaJetAdminConcatenada!$A:$A, 0)), ISNUMBER(MATCH(AA$1, AsistenciaJetAdminConcatenada!$B:$B, 0)), ISNUMBER(SEARCH($A55,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ISNUMBER(SEARCH($A55, INDEX(AsistenciaJetAdminConcatenada!$D:$D, MATCH(1, (AsistenciaJetAdminConcatenada!$A:$A=AA$2)*(AsistenciaJetAdminConcatenada!$B:$B=AA$1), 0)), 1))),  0.5, 0))</f>
        <v>0.5</v>
      </c>
      <c r="AB55" s="47">
        <f t="array" ref="AB55">IF(AND(ISNUMBER(MATCH(AB$2, AsistenciaJetAdminConcatenada!$A:$A, 0)), ISNUMBER(MATCH(AB$1, AsistenciaJetAdminConcatenada!$B:$B, 0)), ISNUMBER(SEARCH($A55,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ISNUMBER(SEARCH($A55, INDEX(AsistenciaJetAdminConcatenada!$D:$D, MATCH(1, (AsistenciaJetAdminConcatenada!$A:$A=AB$2)*(AsistenciaJetAdminConcatenada!$B:$B=AB$1), 0)), 1))),  0.5, 0))</f>
        <v>1</v>
      </c>
      <c r="AC55" s="47">
        <f t="array" ref="AC55">IF(AND(ISNUMBER(MATCH(AC$2, AsistenciaJetAdminConcatenada!$A:$A, 0)), ISNUMBER(MATCH(AC$1, AsistenciaJetAdminConcatenada!$B:$B, 0)), ISNUMBER(SEARCH($A55,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ISNUMBER(SEARCH($A55, INDEX(AsistenciaJetAdminConcatenada!$D:$D, MATCH(1, (AsistenciaJetAdminConcatenada!$A:$A=AC$2)*(AsistenciaJetAdminConcatenada!$B:$B=AC$1), 0)), 1))),  0.5, 0))</f>
        <v>1</v>
      </c>
      <c r="AD55" s="47">
        <f t="array" ref="AD55">IF(AND(ISNUMBER(MATCH(AD$2, AsistenciaJetAdminConcatenada!$A:$A, 0)), ISNUMBER(MATCH(AD$1, AsistenciaJetAdminConcatenada!$B:$B, 0)), ISNUMBER(SEARCH($A55,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ISNUMBER(SEARCH($A55, INDEX(AsistenciaJetAdminConcatenada!$D:$D, MATCH(1, (AsistenciaJetAdminConcatenada!$A:$A=AD$2)*(AsistenciaJetAdminConcatenada!$B:$B=AD$1), 0)), 1))),  0.5, 0))</f>
        <v>1</v>
      </c>
      <c r="AE55" s="47">
        <f t="array" ref="AE55">IF(AND(ISNUMBER(MATCH(AE$2, AsistenciaJetAdminConcatenada!$A:$A, 0)), ISNUMBER(MATCH(AE$1, AsistenciaJetAdminConcatenada!$B:$B, 0)), ISNUMBER(SEARCH($A55,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ISNUMBER(SEARCH($A55, INDEX(AsistenciaJetAdminConcatenada!$D:$D, MATCH(1, (AsistenciaJetAdminConcatenada!$A:$A=AE$2)*(AsistenciaJetAdminConcatenada!$B:$B=AE$1), 0)), 1))),  0.5, 0))</f>
        <v>1</v>
      </c>
      <c r="AF55" s="47">
        <f t="array" ref="AF55">IF(AND(ISNUMBER(MATCH(AF$2, AsistenciaJetAdminConcatenada!$A:$A, 0)), ISNUMBER(MATCH(AF$1, AsistenciaJetAdminConcatenada!$B:$B, 0)), ISNUMBER(SEARCH($A55,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ISNUMBER(SEARCH($A55, INDEX(AsistenciaJetAdminConcatenada!$D:$D, MATCH(1, (AsistenciaJetAdminConcatenada!$A:$A=AF$2)*(AsistenciaJetAdminConcatenada!$B:$B=AF$1), 0)), 1))),  0.5, 0))</f>
        <v>1</v>
      </c>
      <c r="AG55" s="47">
        <f t="array" ref="AG55">IF(AND(ISNUMBER(MATCH(AG$2, AsistenciaJetAdminConcatenada!$A:$A, 0)), ISNUMBER(MATCH(AG$1, AsistenciaJetAdminConcatenada!$B:$B, 0)), ISNUMBER(SEARCH($A55,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ISNUMBER(SEARCH($A55, INDEX(AsistenciaJetAdminConcatenada!$D:$D, MATCH(1, (AsistenciaJetAdminConcatenada!$A:$A=AG$2)*(AsistenciaJetAdminConcatenada!$B:$B=AG$1), 0)), 1))),  0.5, 0))</f>
        <v>0</v>
      </c>
      <c r="AH55" s="47">
        <f t="array" ref="AH55">IF(AND(ISNUMBER(MATCH(AH$2, AsistenciaJetAdminConcatenada!$A:$A, 0)), ISNUMBER(MATCH(AH$1, AsistenciaJetAdminConcatenada!$B:$B, 0)), ISNUMBER(SEARCH($A55,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ISNUMBER(SEARCH($A55, INDEX(AsistenciaJetAdminConcatenada!$D:$D, MATCH(1, (AsistenciaJetAdminConcatenada!$A:$A=AH$2)*(AsistenciaJetAdminConcatenada!$B:$B=AH$1), 0)), 1))),  0.5, 0))</f>
        <v>0</v>
      </c>
      <c r="AI55" s="47">
        <f t="array" ref="AI55">IF(AND(ISNUMBER(MATCH(AI$2, AsistenciaJetAdminConcatenada!$A:$A, 0)), ISNUMBER(MATCH(AI$1, AsistenciaJetAdminConcatenada!$B:$B, 0)), ISNUMBER(SEARCH($A55,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ISNUMBER(SEARCH($A55, INDEX(AsistenciaJetAdminConcatenada!$D:$D, MATCH(1, (AsistenciaJetAdminConcatenada!$A:$A=AI$2)*(AsistenciaJetAdminConcatenada!$B:$B=AI$1), 0)), 1))),  0.5, 0))</f>
        <v>1</v>
      </c>
      <c r="AJ55" s="47">
        <f t="array" ref="AJ55">IF(AND(ISNUMBER(MATCH(AJ$2, AsistenciaJetAdminConcatenada!$A:$A, 0)), ISNUMBER(MATCH(AJ$1, AsistenciaJetAdminConcatenada!$B:$B, 0)), ISNUMBER(SEARCH($A55,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ISNUMBER(SEARCH($A55, INDEX(AsistenciaJetAdminConcatenada!$D:$D, MATCH(1, (AsistenciaJetAdminConcatenada!$A:$A=AJ$2)*(AsistenciaJetAdminConcatenada!$B:$B=AJ$1), 0)), 1))),  0.5, 0))</f>
        <v>1</v>
      </c>
      <c r="AK55" s="47">
        <f t="array" ref="AK55">IF(AND(ISNUMBER(MATCH(AK$2, AsistenciaJetAdminConcatenada!$A:$A, 0)), ISNUMBER(MATCH(AK$1, AsistenciaJetAdminConcatenada!$B:$B, 0)), ISNUMBER(SEARCH($A55,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ISNUMBER(SEARCH($A55, INDEX(AsistenciaJetAdminConcatenada!$D:$D, MATCH(1, (AsistenciaJetAdminConcatenada!$A:$A=AK$2)*(AsistenciaJetAdminConcatenada!$B:$B=AK$1), 0)), 1))),  0.5, 0))</f>
        <v>0</v>
      </c>
      <c r="AL55" s="47">
        <f t="array" ref="AL55">IF(AND(ISNUMBER(MATCH(AL$2, AsistenciaJetAdminConcatenada!$A:$A, 0)), ISNUMBER(MATCH(AL$1, AsistenciaJetAdminConcatenada!$B:$B, 0)), ISNUMBER(SEARCH($A55,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ISNUMBER(SEARCH($A55, INDEX(AsistenciaJetAdminConcatenada!$D:$D, MATCH(1, (AsistenciaJetAdminConcatenada!$A:$A=AL$2)*(AsistenciaJetAdminConcatenada!$B:$B=AL$1), 0)), 1))),  0.5, 0))</f>
        <v>1</v>
      </c>
      <c r="AM55" s="47">
        <f t="array" ref="AM55">IF(AND(ISNUMBER(MATCH(AM$2, AsistenciaJetAdminConcatenada!$A:$A, 0)), ISNUMBER(MATCH(AM$1, AsistenciaJetAdminConcatenada!$B:$B, 0)), ISNUMBER(SEARCH($A55,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ISNUMBER(SEARCH($A55, INDEX(AsistenciaJetAdminConcatenada!$D:$D, MATCH(1, (AsistenciaJetAdminConcatenada!$A:$A=AM$2)*(AsistenciaJetAdminConcatenada!$B:$B=AM$1), 0)), 1))),  0.5, 0))</f>
        <v>1</v>
      </c>
      <c r="AN55" s="47">
        <f t="array" ref="AN55">IF(AND(ISNUMBER(MATCH(AN$2, AsistenciaJetAdminConcatenada!$A:$A, 0)), ISNUMBER(MATCH(AN$1, AsistenciaJetAdminConcatenada!$B:$B, 0)), ISNUMBER(SEARCH($A55,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ISNUMBER(SEARCH($A55, INDEX(AsistenciaJetAdminConcatenada!$D:$D, MATCH(1, (AsistenciaJetAdminConcatenada!$A:$A=AN$2)*(AsistenciaJetAdminConcatenada!$B:$B=AN$1), 0)), 1))),  0.5, 0))</f>
        <v>1</v>
      </c>
      <c r="AO55" s="47">
        <f t="array" ref="AO55">IF(AND(ISNUMBER(MATCH(AO$2, AsistenciaJetAdminConcatenada!$A:$A, 0)), ISNUMBER(MATCH(AO$1, AsistenciaJetAdminConcatenada!$B:$B, 0)), ISNUMBER(SEARCH($A55,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ISNUMBER(SEARCH($A55, INDEX(AsistenciaJetAdminConcatenada!$D:$D, MATCH(1, (AsistenciaJetAdminConcatenada!$A:$A=AO$2)*(AsistenciaJetAdminConcatenada!$B:$B=AO$1), 0)), 1))),  0.5, 0))</f>
        <v>1</v>
      </c>
      <c r="AP55" s="47">
        <f t="array" ref="AP55">IF(AND(ISNUMBER(MATCH(AP$2, AsistenciaJetAdminConcatenada!$A:$A, 0)), ISNUMBER(MATCH(AP$1, AsistenciaJetAdminConcatenada!$B:$B, 0)), ISNUMBER(SEARCH($A55,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ISNUMBER(SEARCH($A55, INDEX(AsistenciaJetAdminConcatenada!$D:$D, MATCH(1, (AsistenciaJetAdminConcatenada!$A:$A=AP$2)*(AsistenciaJetAdminConcatenada!$B:$B=AP$1), 0)), 1))),  0.5, 0))</f>
        <v>1</v>
      </c>
      <c r="AQ55" s="47">
        <f t="array" ref="AQ55">IF(AND(ISNUMBER(MATCH(AQ$2, AsistenciaJetAdminConcatenada!$A:$A, 0)), ISNUMBER(MATCH(AQ$1, AsistenciaJetAdminConcatenada!$B:$B, 0)), ISNUMBER(SEARCH($A55,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ISNUMBER(SEARCH($A55, INDEX(AsistenciaJetAdminConcatenada!$D:$D, MATCH(1, (AsistenciaJetAdminConcatenada!$A:$A=AQ$2)*(AsistenciaJetAdminConcatenada!$B:$B=AQ$1), 0)), 1))),  0.5, 0))</f>
        <v>0</v>
      </c>
      <c r="AR55" s="47">
        <f t="array" ref="AR55">IF(AND(ISNUMBER(MATCH(AR$2, AsistenciaJetAdminConcatenada!$A:$A, 0)), ISNUMBER(MATCH(AR$1, AsistenciaJetAdminConcatenada!$B:$B, 0)), ISNUMBER(SEARCH($A55,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ISNUMBER(SEARCH($A55, INDEX(AsistenciaJetAdminConcatenada!$D:$D, MATCH(1, (AsistenciaJetAdminConcatenada!$A:$A=AR$2)*(AsistenciaJetAdminConcatenada!$B:$B=AR$1), 0)), 1))),  0.5, 0))</f>
        <v>1</v>
      </c>
      <c r="AS55" s="47">
        <f t="array" ref="AS55">IF(AND(ISNUMBER(MATCH(AS$2, AsistenciaJetAdminConcatenada!$A:$A, 0)), ISNUMBER(MATCH(AS$1, AsistenciaJetAdminConcatenada!$B:$B, 0)), ISNUMBER(SEARCH($A55,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ISNUMBER(SEARCH($A55, INDEX(AsistenciaJetAdminConcatenada!$D:$D, MATCH(1, (AsistenciaJetAdminConcatenada!$A:$A=AS$2)*(AsistenciaJetAdminConcatenada!$B:$B=AS$1), 0)), 1))),  0.5, 0))</f>
        <v>1</v>
      </c>
      <c r="AT55" s="47">
        <f t="array" ref="AT55">IF(AND(ISNUMBER(MATCH(AT$2, AsistenciaJetAdminConcatenada!$A:$A, 0)), ISNUMBER(MATCH(AT$1, AsistenciaJetAdminConcatenada!$B:$B, 0)), ISNUMBER(SEARCH($A55,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ISNUMBER(SEARCH($A55, INDEX(AsistenciaJetAdminConcatenada!$D:$D, MATCH(1, (AsistenciaJetAdminConcatenada!$A:$A=AT$2)*(AsistenciaJetAdminConcatenada!$B:$B=AT$1), 0)), 1))),  0.5, 0))</f>
        <v>1</v>
      </c>
      <c r="AU55" s="47">
        <f t="array" ref="AU55">IF(AND(ISNUMBER(MATCH(AU$2, AsistenciaJetAdminConcatenada!$A:$A, 0)), ISNUMBER(MATCH(AU$1, AsistenciaJetAdminConcatenada!$B:$B, 0)), ISNUMBER(SEARCH($A55,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ISNUMBER(SEARCH($A55, INDEX(AsistenciaJetAdminConcatenada!$D:$D, MATCH(1, (AsistenciaJetAdminConcatenada!$A:$A=AU$2)*(AsistenciaJetAdminConcatenada!$B:$B=AU$1), 0)), 1))),  0.5, 0))</f>
        <v>1</v>
      </c>
      <c r="AV55" s="47">
        <f t="array" ref="AV55">IF(AND(ISNUMBER(MATCH(AV$2, AsistenciaJetAdminConcatenada!$A:$A, 0)), ISNUMBER(MATCH(AV$1, AsistenciaJetAdminConcatenada!$B:$B, 0)), ISNUMBER(SEARCH($A55,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ISNUMBER(SEARCH($A55, INDEX(AsistenciaJetAdminConcatenada!$D:$D, MATCH(1, (AsistenciaJetAdminConcatenada!$A:$A=AV$2)*(AsistenciaJetAdminConcatenada!$B:$B=AV$1), 0)), 1))),  0.5, 0))</f>
        <v>1</v>
      </c>
      <c r="AW55" s="47">
        <f t="array" ref="AW55">IF(AND(ISNUMBER(MATCH(AW$2, AsistenciaJetAdminConcatenada!$A:$A, 0)), ISNUMBER(MATCH(AW$1, AsistenciaJetAdminConcatenada!$B:$B, 0)), ISNUMBER(SEARCH($A55,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ISNUMBER(SEARCH($A55, INDEX(AsistenciaJetAdminConcatenada!$D:$D, MATCH(1, (AsistenciaJetAdminConcatenada!$A:$A=AW$2)*(AsistenciaJetAdminConcatenada!$B:$B=AW$1), 0)), 1))),  0.5, 0))</f>
        <v>0</v>
      </c>
      <c r="AX55" s="47">
        <f t="array" ref="AX55">IF(AND(ISNUMBER(MATCH(AX$2, AsistenciaJetAdminConcatenada!$A:$A, 0)), ISNUMBER(MATCH(AX$1, AsistenciaJetAdminConcatenada!$B:$B, 0)), ISNUMBER(SEARCH($A55,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ISNUMBER(SEARCH($A55, INDEX(AsistenciaJetAdminConcatenada!$D:$D, MATCH(1, (AsistenciaJetAdminConcatenada!$A:$A=AX$2)*(AsistenciaJetAdminConcatenada!$B:$B=AX$1), 0)), 1))),  0.5, 0))</f>
        <v>0</v>
      </c>
      <c r="AY55" s="47">
        <f t="array" ref="AY55">IF(AND(ISNUMBER(MATCH(AY$2, AsistenciaJetAdminConcatenada!$A:$A, 0)), ISNUMBER(MATCH(AY$1, AsistenciaJetAdminConcatenada!$B:$B, 0)), ISNUMBER(SEARCH($A55,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ISNUMBER(SEARCH($A55, INDEX(AsistenciaJetAdminConcatenada!$D:$D, MATCH(1, (AsistenciaJetAdminConcatenada!$A:$A=AY$2)*(AsistenciaJetAdminConcatenada!$B:$B=AY$1), 0)), 1))),  0.5, 0))</f>
        <v>1</v>
      </c>
      <c r="AZ55" s="47">
        <f t="array" ref="AZ55">IF(AND(ISNUMBER(MATCH(AZ$2, AsistenciaJetAdminConcatenada!$A:$A, 0)), ISNUMBER(MATCH(AZ$1, AsistenciaJetAdminConcatenada!$B:$B, 0)), ISNUMBER(SEARCH($A55,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ISNUMBER(SEARCH($A55, INDEX(AsistenciaJetAdminConcatenada!$D:$D, MATCH(1, (AsistenciaJetAdminConcatenada!$A:$A=AZ$2)*(AsistenciaJetAdminConcatenada!$B:$B=AZ$1), 0)), 1))),  0.5, 0))</f>
        <v>1</v>
      </c>
      <c r="BA55" s="47">
        <f t="array" ref="BA55">IF(AND(ISNUMBER(MATCH(BA$2, AsistenciaJetAdminConcatenada!$A:$A, 0)), ISNUMBER(MATCH(BA$1, AsistenciaJetAdminConcatenada!$B:$B, 0)), ISNUMBER(SEARCH($A55,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ISNUMBER(SEARCH($A55, INDEX(AsistenciaJetAdminConcatenada!$D:$D, MATCH(1, (AsistenciaJetAdminConcatenada!$A:$A=BA$2)*(AsistenciaJetAdminConcatenada!$B:$B=BA$1), 0)), 1))),  0.5, 0))</f>
        <v>1</v>
      </c>
      <c r="BB55" s="47">
        <f t="array" ref="BB55">IF(AND(ISNUMBER(MATCH(BB$2, AsistenciaJetAdminConcatenada!$A:$A, 0)), ISNUMBER(MATCH(BB$1, AsistenciaJetAdminConcatenada!$B:$B, 0)), ISNUMBER(SEARCH($A55,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ISNUMBER(SEARCH($A55, INDEX(AsistenciaJetAdminConcatenada!$D:$D, MATCH(1, (AsistenciaJetAdminConcatenada!$A:$A=BB$2)*(AsistenciaJetAdminConcatenada!$B:$B=BB$1), 0)), 1))),  0.5, 0))</f>
        <v>1</v>
      </c>
      <c r="BC55" s="47">
        <f t="array" ref="BC55">IF(AND(ISNUMBER(MATCH(BC$2, AsistenciaJetAdminConcatenada!$A:$A, 0)), ISNUMBER(MATCH(BC$1, AsistenciaJetAdminConcatenada!$B:$B, 0)), ISNUMBER(SEARCH($A55,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ISNUMBER(SEARCH($A55, INDEX(AsistenciaJetAdminConcatenada!$D:$D, MATCH(1, (AsistenciaJetAdminConcatenada!$A:$A=BC$2)*(AsistenciaJetAdminConcatenada!$B:$B=BC$1), 0)), 1))),  0.5, 0))</f>
        <v>0</v>
      </c>
      <c r="BD55" s="47">
        <f t="array" ref="BD55">IF(AND(ISNUMBER(MATCH(BD$2, AsistenciaJetAdminConcatenada!$A:$A, 0)), ISNUMBER(MATCH(BD$1, AsistenciaJetAdminConcatenada!$B:$B, 0)), ISNUMBER(SEARCH($A55,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ISNUMBER(SEARCH($A55, INDEX(AsistenciaJetAdminConcatenada!$D:$D, MATCH(1, (AsistenciaJetAdminConcatenada!$A:$A=BD$2)*(AsistenciaJetAdminConcatenada!$B:$B=BD$1), 0)), 1))),  0.5, 0))</f>
        <v>1</v>
      </c>
      <c r="BE55" s="47">
        <f t="array" ref="BE55">IF(AND(ISNUMBER(MATCH(BE$2, AsistenciaJetAdminConcatenada!$A:$A, 0)), ISNUMBER(MATCH(BE$1, AsistenciaJetAdminConcatenada!$B:$B, 0)), ISNUMBER(SEARCH($A55,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ISNUMBER(SEARCH($A55, INDEX(AsistenciaJetAdminConcatenada!$D:$D, MATCH(1, (AsistenciaJetAdminConcatenada!$A:$A=BE$2)*(AsistenciaJetAdminConcatenada!$B:$B=BE$1), 0)), 1))),  0.5, 0))</f>
        <v>1</v>
      </c>
      <c r="BF55" s="47">
        <f t="array" ref="BF55">IF(AND(ISNUMBER(MATCH(BF$2, AsistenciaJetAdminConcatenada!$A:$A, 0)), ISNUMBER(MATCH(BF$1, AsistenciaJetAdminConcatenada!$B:$B, 0)), ISNUMBER(SEARCH($A55,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ISNUMBER(SEARCH($A55, INDEX(AsistenciaJetAdminConcatenada!$D:$D, MATCH(1, (AsistenciaJetAdminConcatenada!$A:$A=BF$2)*(AsistenciaJetAdminConcatenada!$B:$B=BF$1), 0)), 1))),  0.5, 0))</f>
        <v>1</v>
      </c>
      <c r="BG55" s="47">
        <f t="array" ref="BG55">IF(AND(ISNUMBER(MATCH(BG$2, AsistenciaJetAdminConcatenada!$A:$A, 0)), ISNUMBER(MATCH(BG$1, AsistenciaJetAdminConcatenada!$B:$B, 0)), ISNUMBER(SEARCH($A55,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ISNUMBER(SEARCH($A55, INDEX(AsistenciaJetAdminConcatenada!$D:$D, MATCH(1, (AsistenciaJetAdminConcatenada!$A:$A=BG$2)*(AsistenciaJetAdminConcatenada!$B:$B=BG$1), 0)), 1))),  0.5, 0))</f>
        <v>0</v>
      </c>
      <c r="BH55" s="47">
        <f t="array" ref="BH55">IF(AND(ISNUMBER(MATCH(BH$2, AsistenciaJetAdminConcatenada!$A:$A, 0)), ISNUMBER(MATCH(BH$1, AsistenciaJetAdminConcatenada!$B:$B, 0)), ISNUMBER(SEARCH($A55,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ISNUMBER(SEARCH($A55, INDEX(AsistenciaJetAdminConcatenada!$D:$D, MATCH(1, (AsistenciaJetAdminConcatenada!$A:$A=BH$2)*(AsistenciaJetAdminConcatenada!$B:$B=BH$1), 0)), 1))),  0.5, 0))</f>
        <v>1</v>
      </c>
      <c r="BI55" s="47">
        <f t="array" ref="BI55">IF(AND(ISNUMBER(MATCH(BI$2, AsistenciaJetAdminConcatenada!$A:$A, 0)), ISNUMBER(MATCH(BI$1, AsistenciaJetAdminConcatenada!$B:$B, 0)), ISNUMBER(SEARCH($A55,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ISNUMBER(SEARCH($A55, INDEX(AsistenciaJetAdminConcatenada!$D:$D, MATCH(1, (AsistenciaJetAdminConcatenada!$A:$A=BI$2)*(AsistenciaJetAdminConcatenada!$B:$B=BI$1), 0)), 1))),  0.5, 0))</f>
        <v>1</v>
      </c>
      <c r="BJ55" s="47">
        <f t="array" ref="BJ55">IF(AND(ISNUMBER(MATCH(BJ$2, AsistenciaJetAdminConcatenada!$A:$A, 0)), ISNUMBER(MATCH(BJ$1, AsistenciaJetAdminConcatenada!$B:$B, 0)), ISNUMBER(SEARCH($A55,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ISNUMBER(SEARCH($A55, INDEX(AsistenciaJetAdminConcatenada!$D:$D, MATCH(1, (AsistenciaJetAdminConcatenada!$A:$A=BJ$2)*(AsistenciaJetAdminConcatenada!$B:$B=BJ$1), 0)), 1))),  0.5, 0))</f>
        <v>1</v>
      </c>
      <c r="BK55" s="47">
        <f t="array" ref="BK55">IF(AND(ISNUMBER(MATCH(BK$2, AsistenciaJetAdminConcatenada!$A:$A, 0)), ISNUMBER(MATCH(BK$1, AsistenciaJetAdminConcatenada!$B:$B, 0)), ISNUMBER(SEARCH($A55,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ISNUMBER(SEARCH($A55, INDEX(AsistenciaJetAdminConcatenada!$D:$D, MATCH(1, (AsistenciaJetAdminConcatenada!$A:$A=BK$2)*(AsistenciaJetAdminConcatenada!$B:$B=BK$1), 0)), 1))),  0.5, 0))</f>
        <v>1</v>
      </c>
      <c r="BL55" s="47">
        <f t="array" ref="BL55">IF(AND(ISNUMBER(MATCH(BL$2, AsistenciaJetAdminConcatenada!$A:$A, 0)), ISNUMBER(MATCH(BL$1, AsistenciaJetAdminConcatenada!$B:$B, 0)), ISNUMBER(SEARCH($A55,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ISNUMBER(SEARCH($A55, INDEX(AsistenciaJetAdminConcatenada!$D:$D, MATCH(1, (AsistenciaJetAdminConcatenada!$A:$A=BL$2)*(AsistenciaJetAdminConcatenada!$B:$B=BL$1), 0)), 1))),  0.5, 0))</f>
        <v>1</v>
      </c>
      <c r="BM55" s="47">
        <f t="array" ref="BM55">IF(AND(ISNUMBER(MATCH(BM$2, AsistenciaJetAdminConcatenada!$A:$A, 0)), ISNUMBER(MATCH(BM$1, AsistenciaJetAdminConcatenada!$B:$B, 0)), ISNUMBER(SEARCH($A55,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ISNUMBER(SEARCH($A55, INDEX(AsistenciaJetAdminConcatenada!$D:$D, MATCH(1, (AsistenciaJetAdminConcatenada!$A:$A=BM$2)*(AsistenciaJetAdminConcatenada!$B:$B=BM$1), 0)), 1))),  0.5, 0))</f>
        <v>1</v>
      </c>
      <c r="BN55" s="47">
        <f t="array" ref="BN55">IF(AND(ISNUMBER(MATCH(BN$2, AsistenciaJetAdminConcatenada!$A:$A, 0)), ISNUMBER(MATCH(BN$1, AsistenciaJetAdminConcatenada!$B:$B, 0)), ISNUMBER(SEARCH($A55,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ISNUMBER(SEARCH($A55, INDEX(AsistenciaJetAdminConcatenada!$D:$D, MATCH(1, (AsistenciaJetAdminConcatenada!$A:$A=BN$2)*(AsistenciaJetAdminConcatenada!$B:$B=BN$1), 0)), 1))),  0.5, 0))</f>
        <v>0</v>
      </c>
      <c r="BO55" s="47">
        <f t="array" ref="BO55">IF(AND(ISNUMBER(MATCH(BO$2, AsistenciaJetAdminConcatenada!$A:$A, 0)), ISNUMBER(MATCH(BO$1, AsistenciaJetAdminConcatenada!$B:$B, 0)), ISNUMBER(SEARCH($A55,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ISNUMBER(SEARCH($A55, INDEX(AsistenciaJetAdminConcatenada!$D:$D, MATCH(1, (AsistenciaJetAdminConcatenada!$A:$A=BO$2)*(AsistenciaJetAdminConcatenada!$B:$B=BO$1), 0)), 1))),  0.5, 0))</f>
        <v>0</v>
      </c>
      <c r="BP55" s="47">
        <f t="array" ref="BP55">IF(AND(ISNUMBER(MATCH(BP$2, AsistenciaJetAdminConcatenada!$A:$A, 0)), ISNUMBER(MATCH(BP$1, AsistenciaJetAdminConcatenada!$B:$B, 0)), ISNUMBER(SEARCH($A55,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ISNUMBER(SEARCH($A55, INDEX(AsistenciaJetAdminConcatenada!$D:$D, MATCH(1, (AsistenciaJetAdminConcatenada!$A:$A=BP$2)*(AsistenciaJetAdminConcatenada!$B:$B=BP$1), 0)), 1))),  0.5, 0))</f>
        <v>0</v>
      </c>
      <c r="BQ55" s="47">
        <f t="array" ref="BQ55">IF(AND(ISNUMBER(MATCH(BQ$2, AsistenciaJetAdminConcatenada!$A:$A, 0)), ISNUMBER(MATCH(BQ$1, AsistenciaJetAdminConcatenada!$B:$B, 0)), ISNUMBER(SEARCH($A55,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ISNUMBER(SEARCH($A55, INDEX(AsistenciaJetAdminConcatenada!$D:$D, MATCH(1, (AsistenciaJetAdminConcatenada!$A:$A=BQ$2)*(AsistenciaJetAdminConcatenada!$B:$B=BQ$1), 0)), 1))),  0.5, 0))</f>
        <v>1</v>
      </c>
      <c r="BR55" s="47">
        <f t="array" ref="BR55">IF(AND(ISNUMBER(MATCH(BR$2, AsistenciaJetAdminConcatenada!$A:$A, 0)), ISNUMBER(MATCH(BR$1, AsistenciaJetAdminConcatenada!$B:$B, 0)), ISNUMBER(SEARCH($A55,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ISNUMBER(SEARCH($A55, INDEX(AsistenciaJetAdminConcatenada!$D:$D, MATCH(1, (AsistenciaJetAdminConcatenada!$A:$A=BR$2)*(AsistenciaJetAdminConcatenada!$B:$B=BR$1), 0)), 1))),  0.5, 0))</f>
        <v>1</v>
      </c>
      <c r="BS55" s="47">
        <f t="array" ref="BS55">IF(AND(ISNUMBER(MATCH(BS$2, AsistenciaJetAdminConcatenada!$A:$A, 0)), ISNUMBER(MATCH(BS$1, AsistenciaJetAdminConcatenada!$B:$B, 0)), ISNUMBER(SEARCH($A55,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ISNUMBER(SEARCH($A55, INDEX(AsistenciaJetAdminConcatenada!$D:$D, MATCH(1, (AsistenciaJetAdminConcatenada!$A:$A=BS$2)*(AsistenciaJetAdminConcatenada!$B:$B=BS$1), 0)), 1))),  0.5, 0))</f>
        <v>1</v>
      </c>
      <c r="BT55" s="47">
        <f t="array" ref="BT55">IF(AND(ISNUMBER(MATCH(BT$2, AsistenciaJetAdminConcatenada!$A:$A, 0)), ISNUMBER(MATCH(BT$1, AsistenciaJetAdminConcatenada!$B:$B, 0)), ISNUMBER(SEARCH($A55,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ISNUMBER(SEARCH($A55, INDEX(AsistenciaJetAdminConcatenada!$D:$D, MATCH(1, (AsistenciaJetAdminConcatenada!$A:$A=BT$2)*(AsistenciaJetAdminConcatenada!$B:$B=BT$1), 0)), 1))),  0.5, 0))</f>
        <v>1</v>
      </c>
      <c r="BU55" s="47">
        <f t="array" ref="BU55">IF(AND(ISNUMBER(MATCH(BU$2, AsistenciaJetAdminConcatenada!$A:$A, 0)), ISNUMBER(MATCH(BU$1, AsistenciaJetAdminConcatenada!$B:$B, 0)), ISNUMBER(SEARCH($A55,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ISNUMBER(SEARCH($A55, INDEX(AsistenciaJetAdminConcatenada!$D:$D, MATCH(1, (AsistenciaJetAdminConcatenada!$A:$A=BU$2)*(AsistenciaJetAdminConcatenada!$B:$B=BU$1), 0)), 1))),  0.5, 0))</f>
        <v>1</v>
      </c>
      <c r="BV55" s="47">
        <f t="array" ref="BV55">IF(AND(ISNUMBER(MATCH(BV$2, AsistenciaJetAdminConcatenada!$A:$A, 0)), ISNUMBER(MATCH(BV$1, AsistenciaJetAdminConcatenada!$B:$B, 0)), ISNUMBER(SEARCH($A55,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ISNUMBER(SEARCH($A55, INDEX(AsistenciaJetAdminConcatenada!$D:$D, MATCH(1, (AsistenciaJetAdminConcatenada!$A:$A=BV$2)*(AsistenciaJetAdminConcatenada!$B:$B=BV$1), 0)), 1))),  0.5, 0))</f>
        <v>0</v>
      </c>
      <c r="BW55" s="47">
        <f t="array" ref="BW55">IF(AND(ISNUMBER(MATCH(BW$2, AsistenciaJetAdminConcatenada!$A:$A, 0)), ISNUMBER(MATCH(BW$1, AsistenciaJetAdminConcatenada!$B:$B, 0)), ISNUMBER(SEARCH($A55,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ISNUMBER(SEARCH($A55, INDEX(AsistenciaJetAdminConcatenada!$D:$D, MATCH(1, (AsistenciaJetAdminConcatenada!$A:$A=BW$2)*(AsistenciaJetAdminConcatenada!$B:$B=BW$1), 0)), 1))),  0.5, 0))</f>
        <v>1</v>
      </c>
      <c r="BX55" s="47">
        <f t="array" ref="BX55">IF(AND(ISNUMBER(MATCH(BX$2, AsistenciaJetAdminConcatenada!$A:$A, 0)), ISNUMBER(MATCH(BX$1, AsistenciaJetAdminConcatenada!$B:$B, 0)), ISNUMBER(SEARCH($A55,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ISNUMBER(SEARCH($A55, INDEX(AsistenciaJetAdminConcatenada!$D:$D, MATCH(1, (AsistenciaJetAdminConcatenada!$A:$A=BX$2)*(AsistenciaJetAdminConcatenada!$B:$B=BX$1), 0)), 1))),  0.5, 0))</f>
        <v>1</v>
      </c>
      <c r="BY55" s="47">
        <f t="array" ref="BY55">IF(AND(ISNUMBER(MATCH(BY$2, AsistenciaJetAdminConcatenada!$A:$A, 0)), ISNUMBER(MATCH(BY$1, AsistenciaJetAdminConcatenada!$B:$B, 0)), ISNUMBER(SEARCH($A55,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ISNUMBER(SEARCH($A55, INDEX(AsistenciaJetAdminConcatenada!$D:$D, MATCH(1, (AsistenciaJetAdminConcatenada!$A:$A=BY$2)*(AsistenciaJetAdminConcatenada!$B:$B=BY$1), 0)), 1))),  0.5, 0))</f>
        <v>1</v>
      </c>
      <c r="BZ55" s="47">
        <f t="array" ref="BZ55">IF(AND(ISNUMBER(MATCH(BZ$2, AsistenciaJetAdminConcatenada!$A:$A, 0)), ISNUMBER(MATCH(BZ$1, AsistenciaJetAdminConcatenada!$B:$B, 0)), ISNUMBER(SEARCH($A55,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ISNUMBER(SEARCH($A55, INDEX(AsistenciaJetAdminConcatenada!$D:$D, MATCH(1, (AsistenciaJetAdminConcatenada!$A:$A=BZ$2)*(AsistenciaJetAdminConcatenada!$B:$B=BZ$1), 0)), 1))),  0.5, 0))</f>
        <v>1</v>
      </c>
      <c r="CA55" s="47">
        <f t="array" ref="CA55">IF(AND(ISNUMBER(MATCH(CA$2, AsistenciaJetAdminConcatenada!$A:$A, 0)), ISNUMBER(MATCH(CA$1, AsistenciaJetAdminConcatenada!$B:$B, 0)), ISNUMBER(SEARCH($A55,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ISNUMBER(SEARCH($A55, INDEX(AsistenciaJetAdminConcatenada!$D:$D, MATCH(1, (AsistenciaJetAdminConcatenada!$A:$A=CA$2)*(AsistenciaJetAdminConcatenada!$B:$B=CA$1), 0)), 1))),  0.5, 0))</f>
        <v>1</v>
      </c>
      <c r="CB55" s="47">
        <f t="array" ref="CB55">IF(AND(ISNUMBER(MATCH(CB$2, AsistenciaJetAdminConcatenada!$A:$A, 0)), ISNUMBER(MATCH(CB$1, AsistenciaJetAdminConcatenada!$B:$B, 0)), ISNUMBER(SEARCH($A55,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ISNUMBER(SEARCH($A55, INDEX(AsistenciaJetAdminConcatenada!$D:$D, MATCH(1, (AsistenciaJetAdminConcatenada!$A:$A=CB$2)*(AsistenciaJetAdminConcatenada!$B:$B=CB$1), 0)), 1))),  0.5, 0))</f>
        <v>1</v>
      </c>
      <c r="CC55" s="47">
        <f t="array" ref="CC55">IF(AND(ISNUMBER(MATCH(CC$2, AsistenciaJetAdminConcatenada!$A:$A, 0)), ISNUMBER(MATCH(CC$1, AsistenciaJetAdminConcatenada!$B:$B, 0)), ISNUMBER(SEARCH($A55,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ISNUMBER(SEARCH($A55, INDEX(AsistenciaJetAdminConcatenada!$D:$D, MATCH(1, (AsistenciaJetAdminConcatenada!$A:$A=CC$2)*(AsistenciaJetAdminConcatenada!$B:$B=CC$1), 0)), 1))),  0.5, 0))</f>
        <v>0</v>
      </c>
      <c r="CD55" s="47">
        <f t="array" ref="CD55">IF(AND(ISNUMBER(MATCH(CD$2, AsistenciaJetAdminConcatenada!$A:$A, 0)), ISNUMBER(MATCH(CD$1, AsistenciaJetAdminConcatenada!$B:$B, 0)), ISNUMBER(SEARCH($A55,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ISNUMBER(SEARCH($A55, INDEX(AsistenciaJetAdminConcatenada!$D:$D, MATCH(1, (AsistenciaJetAdminConcatenada!$A:$A=CD$2)*(AsistenciaJetAdminConcatenada!$B:$B=CD$1), 0)), 1))),  0.5, 0))</f>
        <v>1</v>
      </c>
      <c r="CE55" s="47">
        <f t="array" ref="CE55">IF(AND(ISNUMBER(MATCH(CE$2, AsistenciaJetAdminConcatenada!$A:$A, 0)), ISNUMBER(MATCH(CE$1, AsistenciaJetAdminConcatenada!$B:$B, 0)), ISNUMBER(SEARCH($A55,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ISNUMBER(SEARCH($A55, INDEX(AsistenciaJetAdminConcatenada!$D:$D, MATCH(1, (AsistenciaJetAdminConcatenada!$A:$A=CE$2)*(AsistenciaJetAdminConcatenada!$B:$B=CE$1), 0)), 1))),  0.5, 0))</f>
        <v>1</v>
      </c>
      <c r="CF55" s="47">
        <f t="array" ref="CF55">IF(AND(ISNUMBER(MATCH(CF$2, AsistenciaJetAdminConcatenada!$A:$A, 0)), ISNUMBER(MATCH(CF$1, AsistenciaJetAdminConcatenada!$B:$B, 0)), ISNUMBER(SEARCH($A55,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ISNUMBER(SEARCH($A55, INDEX(AsistenciaJetAdminConcatenada!$D:$D, MATCH(1, (AsistenciaJetAdminConcatenada!$A:$A=CF$2)*(AsistenciaJetAdminConcatenada!$B:$B=CF$1), 0)), 1))),  0.5, 0))</f>
        <v>1</v>
      </c>
      <c r="CG55" s="47">
        <f t="array" ref="CG55">IF(AND(ISNUMBER(MATCH(CG$2, AsistenciaJetAdminConcatenada!$A:$A, 0)), ISNUMBER(MATCH(CG$1, AsistenciaJetAdminConcatenada!$B:$B, 0)), ISNUMBER(SEARCH($A55,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ISNUMBER(SEARCH($A55, INDEX(AsistenciaJetAdminConcatenada!$D:$D, MATCH(1, (AsistenciaJetAdminConcatenada!$A:$A=CG$2)*(AsistenciaJetAdminConcatenada!$B:$B=CG$1), 0)), 1))),  0.5, 0))</f>
        <v>1</v>
      </c>
      <c r="CH55" s="47">
        <f t="array" ref="CH55">IF(AND(ISNUMBER(MATCH(CH$2, AsistenciaJetAdminConcatenada!$A:$A, 0)), ISNUMBER(MATCH(CH$1, AsistenciaJetAdminConcatenada!$B:$B, 0)), ISNUMBER(SEARCH($A55,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ISNUMBER(SEARCH($A55, INDEX(AsistenciaJetAdminConcatenada!$D:$D, MATCH(1, (AsistenciaJetAdminConcatenada!$A:$A=CH$2)*(AsistenciaJetAdminConcatenada!$B:$B=CH$1), 0)), 1))),  0.5, 0))</f>
        <v>1</v>
      </c>
      <c r="CI55" s="47">
        <f t="array" ref="CI55">IF(AND(ISNUMBER(MATCH(CI$2, AsistenciaJetAdminConcatenada!$A:$A, 0)), ISNUMBER(MATCH(CI$1, AsistenciaJetAdminConcatenada!$B:$B, 0)), ISNUMBER(SEARCH($A55,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ISNUMBER(SEARCH($A55, INDEX(AsistenciaJetAdminConcatenada!$D:$D, MATCH(1, (AsistenciaJetAdminConcatenada!$A:$A=CI$2)*(AsistenciaJetAdminConcatenada!$B:$B=CI$1), 0)), 1))),  0.5, 0))</f>
        <v>1</v>
      </c>
      <c r="CJ55" s="47">
        <f t="array" ref="CJ55">IF(AND(ISNUMBER(MATCH(CJ$2, AsistenciaJetAdminConcatenada!$A:$A, 0)), ISNUMBER(MATCH(CJ$1, AsistenciaJetAdminConcatenada!$B:$B, 0)), ISNUMBER(SEARCH($A55,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ISNUMBER(SEARCH($A55, INDEX(AsistenciaJetAdminConcatenada!$D:$D, MATCH(1, (AsistenciaJetAdminConcatenada!$A:$A=CJ$2)*(AsistenciaJetAdminConcatenada!$B:$B=CJ$1), 0)), 1))),  0.5, 0))</f>
        <v>1</v>
      </c>
      <c r="CK55" s="47">
        <f t="array" ref="CK55">IF(AND(ISNUMBER(MATCH(CK$2, AsistenciaJetAdminConcatenada!$A:$A, 0)), ISNUMBER(MATCH(CK$1, AsistenciaJetAdminConcatenada!$B:$B, 0)), ISNUMBER(SEARCH($A55,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ISNUMBER(SEARCH($A55, INDEX(AsistenciaJetAdminConcatenada!$D:$D, MATCH(1, (AsistenciaJetAdminConcatenada!$A:$A=CK$2)*(AsistenciaJetAdminConcatenada!$B:$B=CK$1), 0)), 1))),  0.5, 0))</f>
        <v>0</v>
      </c>
      <c r="CL55" s="47">
        <f t="array" ref="CL55">IF(AND(ISNUMBER(MATCH(CL$2, AsistenciaJetAdminConcatenada!$A:$A, 0)), ISNUMBER(MATCH(CL$1, AsistenciaJetAdminConcatenada!$B:$B, 0)), ISNUMBER(SEARCH($A55,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ISNUMBER(SEARCH($A55, INDEX(AsistenciaJetAdminConcatenada!$D:$D, MATCH(1, (AsistenciaJetAdminConcatenada!$A:$A=CL$2)*(AsistenciaJetAdminConcatenada!$B:$B=CL$1), 0)), 1))),  0.5, 0))</f>
        <v>1</v>
      </c>
      <c r="CM55" s="47">
        <f t="array" ref="CM55">IF(AND(ISNUMBER(MATCH(CM$2, AsistenciaJetAdminConcatenada!$A:$A, 0)), ISNUMBER(MATCH(CM$1, AsistenciaJetAdminConcatenada!$B:$B, 0)), ISNUMBER(SEARCH($A55,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ISNUMBER(SEARCH($A55, INDEX(AsistenciaJetAdminConcatenada!$D:$D, MATCH(1, (AsistenciaJetAdminConcatenada!$A:$A=CM$2)*(AsistenciaJetAdminConcatenada!$B:$B=CM$1), 0)), 1))),  0.5, 0))</f>
        <v>1</v>
      </c>
      <c r="CN55" s="47">
        <f t="array" ref="CN55">IF(AND(ISNUMBER(MATCH(CN$2, AsistenciaJetAdminConcatenada!$A:$A, 0)), ISNUMBER(MATCH(CN$1, AsistenciaJetAdminConcatenada!$B:$B, 0)), ISNUMBER(SEARCH($A55,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ISNUMBER(SEARCH($A55, INDEX(AsistenciaJetAdminConcatenada!$D:$D, MATCH(1, (AsistenciaJetAdminConcatenada!$A:$A=CN$2)*(AsistenciaJetAdminConcatenada!$B:$B=CN$1), 0)), 1))),  0.5, 0))</f>
        <v>1</v>
      </c>
      <c r="CO55" s="47">
        <f t="array" ref="CO55">IF(AND(ISNUMBER(MATCH(CO$2, AsistenciaJetAdminConcatenada!$A:$A, 0)), ISNUMBER(MATCH(CO$1, AsistenciaJetAdminConcatenada!$B:$B, 0)), ISNUMBER(SEARCH($A55,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ISNUMBER(SEARCH($A55, INDEX(AsistenciaJetAdminConcatenada!$D:$D, MATCH(1, (AsistenciaJetAdminConcatenada!$A:$A=CO$2)*(AsistenciaJetAdminConcatenada!$B:$B=CO$1), 0)), 1))),  0.5, 0))</f>
        <v>0</v>
      </c>
      <c r="CP55" s="8">
        <v>0.5</v>
      </c>
      <c r="CQ55" s="47">
        <f t="array" ref="CQ55">IF(AND(ISNUMBER(MATCH(CQ$2, AsistenciaJetAdminConcatenada!$A:$A, 0)), ISNUMBER(MATCH(CQ$1, AsistenciaJetAdminConcatenada!$B:$B, 0)), ISNUMBER(SEARCH($A55,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ISNUMBER(SEARCH($A55, INDEX(AsistenciaJetAdminConcatenada!$D:$D, MATCH(1, (AsistenciaJetAdminConcatenada!$A:$A=CQ$2)*(AsistenciaJetAdminConcatenada!$B:$B=CQ$1), 0)), 1))),  0.5, 0))</f>
        <v>0.5</v>
      </c>
      <c r="CR55" s="8">
        <v>1.0</v>
      </c>
      <c r="CS55" s="47">
        <f t="array" ref="CS55">IF(AND(ISNUMBER(MATCH(CS$2, AsistenciaJetAdminConcatenada!$A:$A, 0)), ISNUMBER(MATCH(CS$1, AsistenciaJetAdminConcatenada!$B:$B, 0)), ISNUMBER(SEARCH($A55,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ISNUMBER(SEARCH($A55, INDEX(AsistenciaJetAdminConcatenada!$D:$D, MATCH(1, (AsistenciaJetAdminConcatenada!$A:$A=CS$2)*(AsistenciaJetAdminConcatenada!$B:$B=CS$1), 0)), 1))),  0.5, 0))</f>
        <v>0</v>
      </c>
      <c r="CT55" s="47">
        <f t="array" ref="CT55">IF(AND(ISNUMBER(MATCH(CT$2, AsistenciaJetAdminConcatenada!$A:$A, 0)), ISNUMBER(MATCH(CT$1, AsistenciaJetAdminConcatenada!$B:$B, 0)), ISNUMBER(SEARCH($A55,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ISNUMBER(SEARCH($A55, INDEX(AsistenciaJetAdminConcatenada!$D:$D, MATCH(1, (AsistenciaJetAdminConcatenada!$A:$A=CT$2)*(AsistenciaJetAdminConcatenada!$B:$B=CT$1), 0)), 1))),  0.5, 0))</f>
        <v>0</v>
      </c>
      <c r="CU55" s="47">
        <f t="array" ref="CU55">IF(AND(ISNUMBER(MATCH(CU$2, AsistenciaJetAdminConcatenada!$A:$A, 0)), ISNUMBER(MATCH(CU$1, AsistenciaJetAdminConcatenada!$B:$B, 0)), ISNUMBER(SEARCH($A55,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ISNUMBER(SEARCH($A55, INDEX(AsistenciaJetAdminConcatenada!$D:$D, MATCH(1, (AsistenciaJetAdminConcatenada!$A:$A=CU$2)*(AsistenciaJetAdminConcatenada!$B:$B=CU$1), 0)), 1))),  0.5, 0))</f>
        <v>0</v>
      </c>
      <c r="CV55" s="47">
        <f t="array" ref="CV55">IF(AND(ISNUMBER(MATCH(CV$2, AsistenciaJetAdminConcatenada!$A:$A, 0)), ISNUMBER(MATCH(CV$1, AsistenciaJetAdminConcatenada!$B:$B, 0)), ISNUMBER(SEARCH($A55,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ISNUMBER(SEARCH($A55, INDEX(AsistenciaJetAdminConcatenada!$D:$D, MATCH(1, (AsistenciaJetAdminConcatenada!$A:$A=CV$2)*(AsistenciaJetAdminConcatenada!$B:$B=CV$1), 0)), 1))),  0.5, 0))</f>
        <v>0</v>
      </c>
      <c r="CW55" s="47">
        <f t="array" ref="CW55">IF(AND(ISNUMBER(MATCH(CW$2, AsistenciaJetAdminConcatenada!$A:$A, 0)), ISNUMBER(MATCH(CW$1, AsistenciaJetAdminConcatenada!$B:$B, 0)), ISNUMBER(SEARCH($A55,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ISNUMBER(SEARCH($A55, INDEX(AsistenciaJetAdminConcatenada!$D:$D, MATCH(1, (AsistenciaJetAdminConcatenada!$A:$A=CW$2)*(AsistenciaJetAdminConcatenada!$B:$B=CW$1), 0)), 1))),  0.5, 0))</f>
        <v>0</v>
      </c>
      <c r="CX55" s="47">
        <f t="array" ref="CX55">IF(AND(ISNUMBER(MATCH(CX$2, AsistenciaJetAdminConcatenada!$A:$A, 0)), ISNUMBER(MATCH(CX$1, AsistenciaJetAdminConcatenada!$B:$B, 0)), ISNUMBER(SEARCH($A55,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ISNUMBER(SEARCH($A55, INDEX(AsistenciaJetAdminConcatenada!$D:$D, MATCH(1, (AsistenciaJetAdminConcatenada!$A:$A=CX$2)*(AsistenciaJetAdminConcatenada!$B:$B=CX$1), 0)), 1))),  0.5, 0))</f>
        <v>0</v>
      </c>
      <c r="CY55" s="47">
        <f t="array" ref="CY55">IF(AND(ISNUMBER(MATCH(CY$2, AsistenciaJetAdminConcatenada!$A:$A, 0)), ISNUMBER(MATCH(CY$1, AsistenciaJetAdminConcatenada!$B:$B, 0)), ISNUMBER(SEARCH($A55,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ISNUMBER(SEARCH($A55, INDEX(AsistenciaJetAdminConcatenada!$D:$D, MATCH(1, (AsistenciaJetAdminConcatenada!$A:$A=CY$2)*(AsistenciaJetAdminConcatenada!$B:$B=CY$1), 0)), 1))),  0.5, 0))</f>
        <v>0</v>
      </c>
      <c r="CZ55" s="47">
        <f t="array" ref="CZ55">IF(AND(ISNUMBER(MATCH(CZ$2, AsistenciaJetAdminConcatenada!$A:$A, 0)), ISNUMBER(MATCH(CZ$1, AsistenciaJetAdminConcatenada!$B:$B, 0)), ISNUMBER(SEARCH($A55,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ISNUMBER(SEARCH($A55, INDEX(AsistenciaJetAdminConcatenada!$D:$D, MATCH(1, (AsistenciaJetAdminConcatenada!$A:$A=CZ$2)*(AsistenciaJetAdminConcatenada!$B:$B=CZ$1), 0)), 1))),  0.5, 0))</f>
        <v>0</v>
      </c>
      <c r="DA55" s="47">
        <f t="array" ref="DA55">IF(AND(ISNUMBER(MATCH(DA$2, AsistenciaJetAdminConcatenada!$A:$A, 0)), ISNUMBER(MATCH(DA$1, AsistenciaJetAdminConcatenada!$B:$B, 0)), ISNUMBER(SEARCH($A55,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ISNUMBER(SEARCH($A55, INDEX(AsistenciaJetAdminConcatenada!$D:$D, MATCH(1, (AsistenciaJetAdminConcatenada!$A:$A=DA$2)*(AsistenciaJetAdminConcatenada!$B:$B=DA$1), 0)), 1))),  0.5, 0))</f>
        <v>0</v>
      </c>
      <c r="DB55" s="47">
        <f t="array" ref="DB55">IF(AND(ISNUMBER(MATCH(DB$2, AsistenciaJetAdminConcatenada!$A:$A, 0)), ISNUMBER(MATCH(DB$1, AsistenciaJetAdminConcatenada!$B:$B, 0)), ISNUMBER(SEARCH($A55,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ISNUMBER(SEARCH($A55, INDEX(AsistenciaJetAdminConcatenada!$D:$D, MATCH(1, (AsistenciaJetAdminConcatenada!$A:$A=DB$2)*(AsistenciaJetAdminConcatenada!$B:$B=DB$1), 0)), 1))),  0.5, 0))</f>
        <v>0</v>
      </c>
      <c r="DC55" s="47">
        <f t="array" ref="DC55">IF(AND(ISNUMBER(MATCH(DC$2, AsistenciaJetAdminConcatenada!$A:$A, 0)), ISNUMBER(MATCH(DC$1, AsistenciaJetAdminConcatenada!$B:$B, 0)), ISNUMBER(SEARCH($A55,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ISNUMBER(SEARCH($A55, INDEX(AsistenciaJetAdminConcatenada!$D:$D, MATCH(1, (AsistenciaJetAdminConcatenada!$A:$A=DC$2)*(AsistenciaJetAdminConcatenada!$B:$B=DC$1), 0)), 1))),  0.5, 0))</f>
        <v>0</v>
      </c>
      <c r="DD55" s="47">
        <f t="array" ref="DD55">IF(AND(ISNUMBER(MATCH(DD$2, AsistenciaJetAdminConcatenada!$A:$A, 0)), ISNUMBER(MATCH(DD$1, AsistenciaJetAdminConcatenada!$B:$B, 0)), ISNUMBER(SEARCH($A55,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ISNUMBER(SEARCH($A55, INDEX(AsistenciaJetAdminConcatenada!$D:$D, MATCH(1, (AsistenciaJetAdminConcatenada!$A:$A=DD$2)*(AsistenciaJetAdminConcatenada!$B:$B=DD$1), 0)), 1))),  0.5, 0))</f>
        <v>0</v>
      </c>
      <c r="DE55" s="47">
        <f t="array" ref="DE55">IF(AND(ISNUMBER(MATCH(DE$2, AsistenciaJetAdminConcatenada!$A:$A, 0)), ISNUMBER(MATCH(DE$1, AsistenciaJetAdminConcatenada!$B:$B, 0)), ISNUMBER(SEARCH($A55,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ISNUMBER(SEARCH($A55, INDEX(AsistenciaJetAdminConcatenada!$D:$D, MATCH(1, (AsistenciaJetAdminConcatenada!$A:$A=DE$2)*(AsistenciaJetAdminConcatenada!$B:$B=DE$1), 0)), 1))),  0.5, 0))</f>
        <v>0</v>
      </c>
      <c r="DF55" s="47">
        <f t="array" ref="DF55">IF(AND(ISNUMBER(MATCH(DF$2, AsistenciaJetAdminConcatenada!$A:$A, 0)), ISNUMBER(MATCH(DF$1, AsistenciaJetAdminConcatenada!$B:$B, 0)), ISNUMBER(SEARCH($A55,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ISNUMBER(SEARCH($A55, INDEX(AsistenciaJetAdminConcatenada!$D:$D, MATCH(1, (AsistenciaJetAdminConcatenada!$A:$A=DF$2)*(AsistenciaJetAdminConcatenada!$B:$B=DF$1), 0)), 1))),  0.5, 0))</f>
        <v>0</v>
      </c>
      <c r="DG55" s="47">
        <f t="array" ref="DG55">IF(AND(ISNUMBER(MATCH(DG$2, AsistenciaJetAdminConcatenada!$A:$A, 0)), ISNUMBER(MATCH(DG$1, AsistenciaJetAdminConcatenada!$B:$B, 0)), ISNUMBER(SEARCH($A55,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ISNUMBER(SEARCH($A55, INDEX(AsistenciaJetAdminConcatenada!$D:$D, MATCH(1, (AsistenciaJetAdminConcatenada!$A:$A=DG$2)*(AsistenciaJetAdminConcatenada!$B:$B=DG$1), 0)), 1))),  0.5, 0))</f>
        <v>0</v>
      </c>
      <c r="DH55" s="47">
        <f t="array" ref="DH55">IF(AND(ISNUMBER(MATCH(DH$2, AsistenciaJetAdminConcatenada!$A:$A, 0)), ISNUMBER(MATCH(DH$1, AsistenciaJetAdminConcatenada!$B:$B, 0)), ISNUMBER(SEARCH($A55,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ISNUMBER(SEARCH($A55, INDEX(AsistenciaJetAdminConcatenada!$D:$D, MATCH(1, (AsistenciaJetAdminConcatenada!$A:$A=DH$2)*(AsistenciaJetAdminConcatenada!$B:$B=DH$1), 0)), 1))),  0.5, 0))</f>
        <v>0</v>
      </c>
      <c r="DI55" s="47">
        <f t="array" ref="DI55">IF(AND(ISNUMBER(MATCH(DI$2, AsistenciaJetAdminConcatenada!$A:$A, 0)), ISNUMBER(MATCH(DI$1, AsistenciaJetAdminConcatenada!$B:$B, 0)), ISNUMBER(SEARCH($A55,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ISNUMBER(SEARCH($A55, INDEX(AsistenciaJetAdminConcatenada!$D:$D, MATCH(1, (AsistenciaJetAdminConcatenada!$A:$A=DI$2)*(AsistenciaJetAdminConcatenada!$B:$B=DI$1), 0)), 1))),  0.5, 0))</f>
        <v>0</v>
      </c>
      <c r="DJ55" s="47">
        <f t="array" ref="DJ55">IF(AND(ISNUMBER(MATCH(DJ$2, AsistenciaJetAdminConcatenada!$A:$A, 0)), ISNUMBER(MATCH(DJ$1, AsistenciaJetAdminConcatenada!$B:$B, 0)), ISNUMBER(SEARCH($A55,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ISNUMBER(SEARCH($A55, INDEX(AsistenciaJetAdminConcatenada!$D:$D, MATCH(1, (AsistenciaJetAdminConcatenada!$A:$A=DJ$2)*(AsistenciaJetAdminConcatenada!$B:$B=DJ$1), 0)), 1))),  0.5, 0))</f>
        <v>0</v>
      </c>
      <c r="DK55" s="47">
        <f t="array" ref="DK55">IF(AND(ISNUMBER(MATCH(DK$2, AsistenciaJetAdminConcatenada!$A:$A, 0)), ISNUMBER(MATCH(DK$1, AsistenciaJetAdminConcatenada!$B:$B, 0)), ISNUMBER(SEARCH($A55,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ISNUMBER(SEARCH($A55, INDEX(AsistenciaJetAdminConcatenada!$D:$D, MATCH(1, (AsistenciaJetAdminConcatenada!$A:$A=DK$2)*(AsistenciaJetAdminConcatenada!$B:$B=DK$1), 0)), 1))),  0.5, 0))</f>
        <v>0</v>
      </c>
      <c r="DL55" s="47">
        <f t="array" ref="DL55">IF(AND(ISNUMBER(MATCH(DL$2, AsistenciaJetAdminConcatenada!$A:$A, 0)), ISNUMBER(MATCH(DL$1, AsistenciaJetAdminConcatenada!$B:$B, 0)), ISNUMBER(SEARCH($A55,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ISNUMBER(SEARCH($A55, INDEX(AsistenciaJetAdminConcatenada!$D:$D, MATCH(1, (AsistenciaJetAdminConcatenada!$A:$A=DL$2)*(AsistenciaJetAdminConcatenada!$B:$B=DL$1), 0)), 1))),  0.5, 0))</f>
        <v>0</v>
      </c>
      <c r="DM55" s="47">
        <f t="array" ref="DM55">IF(AND(ISNUMBER(MATCH(DM$2, AsistenciaJetAdminConcatenada!$A:$A, 0)), ISNUMBER(MATCH(DM$1, AsistenciaJetAdminConcatenada!$B:$B, 0)), ISNUMBER(SEARCH($A55,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ISNUMBER(SEARCH($A55, INDEX(AsistenciaJetAdminConcatenada!$D:$D, MATCH(1, (AsistenciaJetAdminConcatenada!$A:$A=DM$2)*(AsistenciaJetAdminConcatenada!$B:$B=DM$1), 0)), 1))),  0.5, 0))</f>
        <v>0</v>
      </c>
      <c r="DN55" s="47">
        <f t="array" ref="DN55">IF(AND(ISNUMBER(MATCH(DN$2, AsistenciaJetAdminConcatenada!$A:$A, 0)), ISNUMBER(MATCH(DN$1, AsistenciaJetAdminConcatenada!$B:$B, 0)), ISNUMBER(SEARCH($A55,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ISNUMBER(SEARCH($A55, INDEX(AsistenciaJetAdminConcatenada!$D:$D, MATCH(1, (AsistenciaJetAdminConcatenada!$A:$A=DN$2)*(AsistenciaJetAdminConcatenada!$B:$B=DN$1), 0)), 1))),  0.5, 0))</f>
        <v>0</v>
      </c>
      <c r="DO55" s="47">
        <f t="array" ref="DO55">IF(AND(ISNUMBER(MATCH(DO$2, AsistenciaJetAdminConcatenada!$A:$A, 0)), ISNUMBER(MATCH(DO$1, AsistenciaJetAdminConcatenada!$B:$B, 0)), ISNUMBER(SEARCH($A55,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ISNUMBER(SEARCH($A55, INDEX(AsistenciaJetAdminConcatenada!$D:$D, MATCH(1, (AsistenciaJetAdminConcatenada!$A:$A=DO$2)*(AsistenciaJetAdminConcatenada!$B:$B=DO$1), 0)), 1))),  0.5, 0))</f>
        <v>0</v>
      </c>
      <c r="DP55" s="47">
        <f t="array" ref="DP55">IF(AND(ISNUMBER(MATCH(DP$2, AsistenciaJetAdminConcatenada!$A:$A, 0)), ISNUMBER(MATCH(DP$1, AsistenciaJetAdminConcatenada!$B:$B, 0)), ISNUMBER(SEARCH($A55,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ISNUMBER(SEARCH($A55, INDEX(AsistenciaJetAdminConcatenada!$D:$D, MATCH(1, (AsistenciaJetAdminConcatenada!$A:$A=DP$2)*(AsistenciaJetAdminConcatenada!$B:$B=DP$1), 0)), 1))),  0.5, 0))</f>
        <v>0</v>
      </c>
      <c r="DQ55" s="47">
        <f t="array" ref="DQ55">IF(AND(ISNUMBER(MATCH(DQ$2, AsistenciaJetAdminConcatenada!$A:$A, 0)), ISNUMBER(MATCH(DQ$1, AsistenciaJetAdminConcatenada!$B:$B, 0)), ISNUMBER(SEARCH($A55,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ISNUMBER(SEARCH($A55, INDEX(AsistenciaJetAdminConcatenada!$D:$D, MATCH(1, (AsistenciaJetAdminConcatenada!$A:$A=DQ$2)*(AsistenciaJetAdminConcatenada!$B:$B=DQ$1), 0)), 1))),  0.5, 0))</f>
        <v>0</v>
      </c>
      <c r="DR55" s="47">
        <f t="array" ref="DR55">IF(AND(ISNUMBER(MATCH(DR$2, AsistenciaJetAdminConcatenada!$A:$A, 0)), ISNUMBER(MATCH(DR$1, AsistenciaJetAdminConcatenada!$B:$B, 0)), ISNUMBER(SEARCH($A55,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ISNUMBER(SEARCH($A55, INDEX(AsistenciaJetAdminConcatenada!$D:$D, MATCH(1, (AsistenciaJetAdminConcatenada!$A:$A=DR$2)*(AsistenciaJetAdminConcatenada!$B:$B=DR$1), 0)), 1))),  0.5, 0))</f>
        <v>0</v>
      </c>
      <c r="DS55" s="47">
        <f t="array" ref="DS55">IF(AND(ISNUMBER(MATCH(DS$2, AsistenciaJetAdminConcatenada!$A:$A, 0)), ISNUMBER(MATCH(DS$1, AsistenciaJetAdminConcatenada!$B:$B, 0)), ISNUMBER(SEARCH($A55,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ISNUMBER(SEARCH($A55, INDEX(AsistenciaJetAdminConcatenada!$D:$D, MATCH(1, (AsistenciaJetAdminConcatenada!$A:$A=DS$2)*(AsistenciaJetAdminConcatenada!$B:$B=DS$1), 0)), 1))),  0.5, 0))</f>
        <v>0</v>
      </c>
      <c r="DT55" s="47">
        <f t="array" ref="DT55">IF(AND(ISNUMBER(MATCH(DT$2, AsistenciaJetAdminConcatenada!$A:$A, 0)), ISNUMBER(MATCH(DT$1, AsistenciaJetAdminConcatenada!$B:$B, 0)), ISNUMBER(SEARCH($A55,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ISNUMBER(SEARCH($A55, INDEX(AsistenciaJetAdminConcatenada!$D:$D, MATCH(1, (AsistenciaJetAdminConcatenada!$A:$A=DT$2)*(AsistenciaJetAdminConcatenada!$B:$B=DT$1), 0)), 1))),  0.5, 0))</f>
        <v>0</v>
      </c>
      <c r="DU55" s="47">
        <f t="array" ref="DU55">IF(AND(ISNUMBER(MATCH(DU$2, AsistenciaJetAdminConcatenada!$A:$A, 0)), ISNUMBER(MATCH(DU$1, AsistenciaJetAdminConcatenada!$B:$B, 0)), ISNUMBER(SEARCH($A55,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ISNUMBER(SEARCH($A55, INDEX(AsistenciaJetAdminConcatenada!$D:$D, MATCH(1, (AsistenciaJetAdminConcatenada!$A:$A=DU$2)*(AsistenciaJetAdminConcatenada!$B:$B=DU$1), 0)), 1))),  0.5, 0))</f>
        <v>0</v>
      </c>
      <c r="DV55" s="47">
        <f t="array" ref="DV55">IF(AND(ISNUMBER(MATCH(DV$2, AsistenciaJetAdminConcatenada!$A:$A, 0)), ISNUMBER(MATCH(DV$1, AsistenciaJetAdminConcatenada!$B:$B, 0)), ISNUMBER(SEARCH($A55,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ISNUMBER(SEARCH($A55, INDEX(AsistenciaJetAdminConcatenada!$D:$D, MATCH(1, (AsistenciaJetAdminConcatenada!$A:$A=DV$2)*(AsistenciaJetAdminConcatenada!$B:$B=DV$1), 0)), 1))),  0.5, 0))</f>
        <v>0</v>
      </c>
      <c r="DW55" s="47">
        <f t="array" ref="DW55">IF(AND(ISNUMBER(MATCH(DW$2, AsistenciaJetAdminConcatenada!$A:$A, 0)), ISNUMBER(MATCH(DW$1, AsistenciaJetAdminConcatenada!$B:$B, 0)), ISNUMBER(SEARCH($A55,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ISNUMBER(SEARCH($A55, INDEX(AsistenciaJetAdminConcatenada!$D:$D, MATCH(1, (AsistenciaJetAdminConcatenada!$A:$A=DW$2)*(AsistenciaJetAdminConcatenada!$B:$B=DW$1), 0)), 1))),  0.5, 0))</f>
        <v>0</v>
      </c>
      <c r="DX55" s="47">
        <f t="array" ref="DX55">IF(AND(ISNUMBER(MATCH(DX$2, AsistenciaJetAdminConcatenada!$A:$A, 0)), ISNUMBER(MATCH(DX$1, AsistenciaJetAdminConcatenada!$B:$B, 0)), ISNUMBER(SEARCH($A55,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ISNUMBER(SEARCH($A55, INDEX(AsistenciaJetAdminConcatenada!$D:$D, MATCH(1, (AsistenciaJetAdminConcatenada!$A:$A=DX$2)*(AsistenciaJetAdminConcatenada!$B:$B=DX$1), 0)), 1))),  0.5, 0))</f>
        <v>0</v>
      </c>
      <c r="DY55" s="47">
        <f t="array" ref="DY55">IF(AND(ISNUMBER(MATCH(DY$2, AsistenciaJetAdminConcatenada!$A:$A, 0)), ISNUMBER(MATCH(DY$1, AsistenciaJetAdminConcatenada!$B:$B, 0)), ISNUMBER(SEARCH($A55,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ISNUMBER(SEARCH($A55, INDEX(AsistenciaJetAdminConcatenada!$D:$D, MATCH(1, (AsistenciaJetAdminConcatenada!$A:$A=DY$2)*(AsistenciaJetAdminConcatenada!$B:$B=DY$1), 0)), 1))),  0.5, 0))</f>
        <v>0</v>
      </c>
      <c r="DZ55" s="47">
        <f t="array" ref="DZ55">IF(AND(ISNUMBER(MATCH(DZ$2, AsistenciaJetAdminConcatenada!$A:$A, 0)), ISNUMBER(MATCH(DZ$1, AsistenciaJetAdminConcatenada!$B:$B, 0)), ISNUMBER(SEARCH($A55,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ISNUMBER(SEARCH($A55, INDEX(AsistenciaJetAdminConcatenada!$D:$D, MATCH(1, (AsistenciaJetAdminConcatenada!$A:$A=DZ$2)*(AsistenciaJetAdminConcatenada!$B:$B=DZ$1), 0)), 1))),  0.5, 0))</f>
        <v>0</v>
      </c>
      <c r="EA55" s="47">
        <f t="array" ref="EA55">IF(AND(ISNUMBER(MATCH(EA$2, AsistenciaJetAdminConcatenada!$A:$A, 0)), ISNUMBER(MATCH(EA$1, AsistenciaJetAdminConcatenada!$B:$B, 0)), ISNUMBER(SEARCH($A55,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ISNUMBER(SEARCH($A55, INDEX(AsistenciaJetAdminConcatenada!$D:$D, MATCH(1, (AsistenciaJetAdminConcatenada!$A:$A=EA$2)*(AsistenciaJetAdminConcatenada!$B:$B=EA$1), 0)), 1))),  0.5, 0))</f>
        <v>0</v>
      </c>
      <c r="EB55" s="47">
        <f t="array" ref="EB55">IF(AND(ISNUMBER(MATCH(EB$2, AsistenciaJetAdminConcatenada!$A:$A, 0)), ISNUMBER(MATCH(EB$1, AsistenciaJetAdminConcatenada!$B:$B, 0)), ISNUMBER(SEARCH($A55,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ISNUMBER(SEARCH($A55, INDEX(AsistenciaJetAdminConcatenada!$D:$D, MATCH(1, (AsistenciaJetAdminConcatenada!$A:$A=EB$2)*(AsistenciaJetAdminConcatenada!$B:$B=EB$1), 0)), 1))),  0.5, 0))</f>
        <v>0</v>
      </c>
      <c r="EC55" s="47">
        <f t="array" ref="EC55">IF(AND(ISNUMBER(MATCH(EC$2, AsistenciaJetAdminConcatenada!$A:$A, 0)), ISNUMBER(MATCH(EC$1, AsistenciaJetAdminConcatenada!$B:$B, 0)), ISNUMBER(SEARCH($A55,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ISNUMBER(SEARCH($A55, INDEX(AsistenciaJetAdminConcatenada!$D:$D, MATCH(1, (AsistenciaJetAdminConcatenada!$A:$A=EC$2)*(AsistenciaJetAdminConcatenada!$B:$B=EC$1), 0)), 1))),  0.5, 0))</f>
        <v>0</v>
      </c>
      <c r="ED55" s="47">
        <f t="array" ref="ED55">IF(AND(ISNUMBER(MATCH(ED$2, AsistenciaJetAdminConcatenada!$A:$A, 0)), ISNUMBER(MATCH(ED$1, AsistenciaJetAdminConcatenada!$B:$B, 0)), ISNUMBER(SEARCH($A55,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ISNUMBER(SEARCH($A55, INDEX(AsistenciaJetAdminConcatenada!$D:$D, MATCH(1, (AsistenciaJetAdminConcatenada!$A:$A=ED$2)*(AsistenciaJetAdminConcatenada!$B:$B=ED$1), 0)), 1))),  0.5, 0))</f>
        <v>0</v>
      </c>
      <c r="EE55" s="47">
        <f t="array" ref="EE55">IF(AND(ISNUMBER(MATCH(EE$2, AsistenciaJetAdminConcatenada!$A:$A, 0)), ISNUMBER(MATCH(EE$1, AsistenciaJetAdminConcatenada!$B:$B, 0)), ISNUMBER(SEARCH($A55,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ISNUMBER(SEARCH($A55, INDEX(AsistenciaJetAdminConcatenada!$D:$D, MATCH(1, (AsistenciaJetAdminConcatenada!$A:$A=EE$2)*(AsistenciaJetAdminConcatenada!$B:$B=EE$1), 0)), 1))),  0.5, 0))</f>
        <v>0</v>
      </c>
      <c r="EF55" s="47">
        <f t="array" ref="EF55">IF(AND(ISNUMBER(MATCH(EF$2, AsistenciaJetAdminConcatenada!$A:$A, 0)), ISNUMBER(MATCH(EF$1, AsistenciaJetAdminConcatenada!$B:$B, 0)), ISNUMBER(SEARCH($A55,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ISNUMBER(SEARCH($A55, INDEX(AsistenciaJetAdminConcatenada!$D:$D, MATCH(1, (AsistenciaJetAdminConcatenada!$A:$A=EF$2)*(AsistenciaJetAdminConcatenada!$B:$B=EF$1), 0)), 1))),  0.5, 0))</f>
        <v>0</v>
      </c>
      <c r="EG55" s="47">
        <f t="array" ref="EG55">IF(AND(ISNUMBER(MATCH(EG$2, AsistenciaJetAdminConcatenada!$A:$A, 0)), ISNUMBER(MATCH(EG$1, AsistenciaJetAdminConcatenada!$B:$B, 0)), ISNUMBER(SEARCH($A55,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ISNUMBER(SEARCH($A55, INDEX(AsistenciaJetAdminConcatenada!$D:$D, MATCH(1, (AsistenciaJetAdminConcatenada!$A:$A=EG$2)*(AsistenciaJetAdminConcatenada!$B:$B=EG$1), 0)), 1))),  0.5, 0))</f>
        <v>0</v>
      </c>
      <c r="EH55" s="47">
        <f t="array" ref="EH55">IF(AND(ISNUMBER(MATCH(EH$2, AsistenciaJetAdminConcatenada!$A:$A, 0)), ISNUMBER(MATCH(EH$1, AsistenciaJetAdminConcatenada!$B:$B, 0)), ISNUMBER(SEARCH($A55,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ISNUMBER(SEARCH($A55, INDEX(AsistenciaJetAdminConcatenada!$D:$D, MATCH(1, (AsistenciaJetAdminConcatenada!$A:$A=EH$2)*(AsistenciaJetAdminConcatenada!$B:$B=EH$1), 0)), 1))),  0.5, 0))</f>
        <v>0</v>
      </c>
      <c r="EI55" s="47">
        <f t="array" ref="EI55">IF(AND(ISNUMBER(MATCH(EI$2, AsistenciaJetAdminConcatenada!$A:$A, 0)), ISNUMBER(MATCH(EI$1, AsistenciaJetAdminConcatenada!$B:$B, 0)), ISNUMBER(SEARCH($A55,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ISNUMBER(SEARCH($A55, INDEX(AsistenciaJetAdminConcatenada!$D:$D, MATCH(1, (AsistenciaJetAdminConcatenada!$A:$A=EI$2)*(AsistenciaJetAdminConcatenada!$B:$B=EI$1), 0)), 1))),  0.5, 0))</f>
        <v>0</v>
      </c>
      <c r="EJ55" s="47">
        <f t="array" ref="EJ55">IF(AND(ISNUMBER(MATCH(EJ$2, AsistenciaJetAdminConcatenada!$A:$A, 0)), ISNUMBER(MATCH(EJ$1, AsistenciaJetAdminConcatenada!$B:$B, 0)), ISNUMBER(SEARCH($A55,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ISNUMBER(SEARCH($A55, INDEX(AsistenciaJetAdminConcatenada!$D:$D, MATCH(1, (AsistenciaJetAdminConcatenada!$A:$A=EJ$2)*(AsistenciaJetAdminConcatenada!$B:$B=EJ$1), 0)), 1))),  0.5, 0))</f>
        <v>0</v>
      </c>
      <c r="EK55" s="47">
        <f t="array" ref="EK55">IF(AND(ISNUMBER(MATCH(EK$2, AsistenciaJetAdminConcatenada!$A:$A, 0)), ISNUMBER(MATCH(EK$1, AsistenciaJetAdminConcatenada!$B:$B, 0)), ISNUMBER(SEARCH($A55,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ISNUMBER(SEARCH($A55, INDEX(AsistenciaJetAdminConcatenada!$D:$D, MATCH(1, (AsistenciaJetAdminConcatenada!$A:$A=EK$2)*(AsistenciaJetAdminConcatenada!$B:$B=EK$1), 0)), 1))),  0.5, 0))</f>
        <v>0</v>
      </c>
      <c r="EL55" s="47">
        <f t="array" ref="EL55">IF(AND(ISNUMBER(MATCH(EL$2, AsistenciaJetAdminConcatenada!$A:$A, 0)), ISNUMBER(MATCH(EL$1, AsistenciaJetAdminConcatenada!$B:$B, 0)), ISNUMBER(SEARCH($A55,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ISNUMBER(SEARCH($A55, INDEX(AsistenciaJetAdminConcatenada!$D:$D, MATCH(1, (AsistenciaJetAdminConcatenada!$A:$A=EL$2)*(AsistenciaJetAdminConcatenada!$B:$B=EL$1), 0)), 1))),  0.5, 0))</f>
        <v>0</v>
      </c>
      <c r="EM55" s="47">
        <f t="array" ref="EM55">IF(AND(ISNUMBER(MATCH(EM$2, AsistenciaJetAdminConcatenada!$A:$A, 0)), ISNUMBER(MATCH(EM$1, AsistenciaJetAdminConcatenada!$B:$B, 0)), ISNUMBER(SEARCH($A55,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ISNUMBER(SEARCH($A55, INDEX(AsistenciaJetAdminConcatenada!$D:$D, MATCH(1, (AsistenciaJetAdminConcatenada!$A:$A=EM$2)*(AsistenciaJetAdminConcatenada!$B:$B=EM$1), 0)), 1))),  0.5, 0))</f>
        <v>0</v>
      </c>
      <c r="EN55" s="47">
        <f t="array" ref="EN55">IF(AND(ISNUMBER(MATCH(EN$2, AsistenciaJetAdminConcatenada!$A:$A, 0)), ISNUMBER(MATCH(EN$1, AsistenciaJetAdminConcatenada!$B:$B, 0)), ISNUMBER(SEARCH($A55,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ISNUMBER(SEARCH($A55, INDEX(AsistenciaJetAdminConcatenada!$D:$D, MATCH(1, (AsistenciaJetAdminConcatenada!$A:$A=EN$2)*(AsistenciaJetAdminConcatenada!$B:$B=EN$1), 0)), 1))),  0.5, 0))</f>
        <v>0</v>
      </c>
      <c r="EO55" s="47">
        <f t="array" ref="EO55">IF(AND(ISNUMBER(MATCH(EO$2, AsistenciaJetAdminConcatenada!$A:$A, 0)), ISNUMBER(MATCH(EO$1, AsistenciaJetAdminConcatenada!$B:$B, 0)), ISNUMBER(SEARCH($A55,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ISNUMBER(SEARCH($A55, INDEX(AsistenciaJetAdminConcatenada!$D:$D, MATCH(1, (AsistenciaJetAdminConcatenada!$A:$A=EO$2)*(AsistenciaJetAdminConcatenada!$B:$B=EO$1), 0)), 1))),  0.5, 0))</f>
        <v>0</v>
      </c>
      <c r="EP55" s="47">
        <f t="array" ref="EP55">IF(AND(ISNUMBER(MATCH(EP$2, AsistenciaJetAdminConcatenada!$A:$A, 0)), ISNUMBER(MATCH(EP$1, AsistenciaJetAdminConcatenada!$B:$B, 0)), ISNUMBER(SEARCH($A55,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ISNUMBER(SEARCH($A55, INDEX(AsistenciaJetAdminConcatenada!$D:$D, MATCH(1, (AsistenciaJetAdminConcatenada!$A:$A=EP$2)*(AsistenciaJetAdminConcatenada!$B:$B=EP$1), 0)), 1))),  0.5, 0))</f>
        <v>0</v>
      </c>
      <c r="EQ55" s="47">
        <f t="array" ref="EQ55">IF(AND(ISNUMBER(MATCH(EQ$2, AsistenciaJetAdminConcatenada!$A:$A, 0)), ISNUMBER(MATCH(EQ$1, AsistenciaJetAdminConcatenada!$B:$B, 0)), ISNUMBER(SEARCH($A55,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ISNUMBER(SEARCH($A55, INDEX(AsistenciaJetAdminConcatenada!$D:$D, MATCH(1, (AsistenciaJetAdminConcatenada!$A:$A=EQ$2)*(AsistenciaJetAdminConcatenada!$B:$B=EQ$1), 0)), 1))),  0.5, 0))</f>
        <v>0</v>
      </c>
      <c r="ER55" s="47">
        <f t="array" ref="ER55">IF(AND(ISNUMBER(MATCH(ER$2, AsistenciaJetAdminConcatenada!$A:$A, 0)), ISNUMBER(MATCH(ER$1, AsistenciaJetAdminConcatenada!$B:$B, 0)), ISNUMBER(SEARCH($A55,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ISNUMBER(SEARCH($A55, INDEX(AsistenciaJetAdminConcatenada!$D:$D, MATCH(1, (AsistenciaJetAdminConcatenada!$A:$A=ER$2)*(AsistenciaJetAdminConcatenada!$B:$B=ER$1), 0)), 1))),  0.5, 0))</f>
        <v>0</v>
      </c>
      <c r="ES55" s="47">
        <f t="array" ref="ES55">IF(AND(ISNUMBER(MATCH(ES$2, AsistenciaJetAdminConcatenada!$A:$A, 0)), ISNUMBER(MATCH(ES$1, AsistenciaJetAdminConcatenada!$B:$B, 0)), ISNUMBER(SEARCH($A55,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ISNUMBER(SEARCH($A55, INDEX(AsistenciaJetAdminConcatenada!$D:$D, MATCH(1, (AsistenciaJetAdminConcatenada!$A:$A=ES$2)*(AsistenciaJetAdminConcatenada!$B:$B=ES$1), 0)), 1))),  0.5, 0))</f>
        <v>0</v>
      </c>
      <c r="ET55" s="47">
        <f t="array" ref="ET55">IF(AND(ISNUMBER(MATCH(ET$2, AsistenciaJetAdminConcatenada!$A:$A, 0)), ISNUMBER(MATCH(ET$1, AsistenciaJetAdminConcatenada!$B:$B, 0)), ISNUMBER(SEARCH($A55,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ISNUMBER(SEARCH($A55, INDEX(AsistenciaJetAdminConcatenada!$D:$D, MATCH(1, (AsistenciaJetAdminConcatenada!$A:$A=ET$2)*(AsistenciaJetAdminConcatenada!$B:$B=ET$1), 0)), 1))),  0.5, 0))</f>
        <v>0</v>
      </c>
      <c r="EU55" s="47">
        <f t="array" ref="EU55">IF(AND(ISNUMBER(MATCH(EU$2, AsistenciaJetAdminConcatenada!$A:$A, 0)), ISNUMBER(MATCH(EU$1, AsistenciaJetAdminConcatenada!$B:$B, 0)), ISNUMBER(SEARCH($A55,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ISNUMBER(SEARCH($A55, INDEX(AsistenciaJetAdminConcatenada!$D:$D, MATCH(1, (AsistenciaJetAdminConcatenada!$A:$A=EU$2)*(AsistenciaJetAdminConcatenada!$B:$B=EU$1), 0)), 1))),  0.5, 0))</f>
        <v>0</v>
      </c>
      <c r="EV55" s="47">
        <f t="array" ref="EV55">IF(AND(ISNUMBER(MATCH(EV$2, AsistenciaJetAdminConcatenada!$A:$A, 0)), ISNUMBER(MATCH(EV$1, AsistenciaJetAdminConcatenada!$B:$B, 0)), ISNUMBER(SEARCH($A55,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ISNUMBER(SEARCH($A55, INDEX(AsistenciaJetAdminConcatenada!$D:$D, MATCH(1, (AsistenciaJetAdminConcatenada!$A:$A=EV$2)*(AsistenciaJetAdminConcatenada!$B:$B=EV$1), 0)), 1))),  0.5, 0))</f>
        <v>0</v>
      </c>
      <c r="EW55" s="47">
        <f t="array" ref="EW55">IF(AND(ISNUMBER(MATCH(EW$2, AsistenciaJetAdminConcatenada!$A:$A, 0)), ISNUMBER(MATCH(EW$1, AsistenciaJetAdminConcatenada!$B:$B, 0)), ISNUMBER(SEARCH($A55,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ISNUMBER(SEARCH($A55, INDEX(AsistenciaJetAdminConcatenada!$D:$D, MATCH(1, (AsistenciaJetAdminConcatenada!$A:$A=EW$2)*(AsistenciaJetAdminConcatenada!$B:$B=EW$1), 0)), 1))),  0.5, 0))</f>
        <v>0</v>
      </c>
      <c r="EX55" s="47">
        <f t="array" ref="EX55">IF(AND(ISNUMBER(MATCH(EX$2, AsistenciaJetAdminConcatenada!$A:$A, 0)), ISNUMBER(MATCH(EX$1, AsistenciaJetAdminConcatenada!$B:$B, 0)), ISNUMBER(SEARCH($A55,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ISNUMBER(SEARCH($A55, INDEX(AsistenciaJetAdminConcatenada!$D:$D, MATCH(1, (AsistenciaJetAdminConcatenada!$A:$A=EX$2)*(AsistenciaJetAdminConcatenada!$B:$B=EX$1), 0)), 1))),  0.5, 0))</f>
        <v>0</v>
      </c>
      <c r="EY55" s="47">
        <f t="array" ref="EY55">IF(AND(ISNUMBER(MATCH(EY$2, AsistenciaJetAdminConcatenada!$A:$A, 0)), ISNUMBER(MATCH(EY$1, AsistenciaJetAdminConcatenada!$B:$B, 0)), ISNUMBER(SEARCH($A55,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ISNUMBER(SEARCH($A55, INDEX(AsistenciaJetAdminConcatenada!$D:$D, MATCH(1, (AsistenciaJetAdminConcatenada!$A:$A=EY$2)*(AsistenciaJetAdminConcatenada!$B:$B=EY$1), 0)), 1))),  0.5, 0))</f>
        <v>0</v>
      </c>
      <c r="EZ55" s="47">
        <f t="array" ref="EZ55">IF(AND(ISNUMBER(MATCH(EZ$2, AsistenciaJetAdminConcatenada!$A:$A, 0)), ISNUMBER(MATCH(EZ$1, AsistenciaJetAdminConcatenada!$B:$B, 0)), ISNUMBER(SEARCH($A55,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ISNUMBER(SEARCH($A55, INDEX(AsistenciaJetAdminConcatenada!$D:$D, MATCH(1, (AsistenciaJetAdminConcatenada!$A:$A=EZ$2)*(AsistenciaJetAdminConcatenada!$B:$B=EZ$1), 0)), 1))),  0.5, 0))</f>
        <v>0</v>
      </c>
      <c r="FA55" s="47">
        <f t="array" ref="FA55">IF(AND(ISNUMBER(MATCH(FA$2, AsistenciaJetAdminConcatenada!$A:$A, 0)), ISNUMBER(MATCH(FA$1, AsistenciaJetAdminConcatenada!$B:$B, 0)), ISNUMBER(SEARCH($A55,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ISNUMBER(SEARCH($A55, INDEX(AsistenciaJetAdminConcatenada!$D:$D, MATCH(1, (AsistenciaJetAdminConcatenada!$A:$A=FA$2)*(AsistenciaJetAdminConcatenada!$B:$B=FA$1), 0)), 1))),  0.5, 0))</f>
        <v>0</v>
      </c>
      <c r="FB55" s="47">
        <f t="array" ref="FB55">IF(AND(ISNUMBER(MATCH(FB$2, AsistenciaJetAdminConcatenada!$A:$A, 0)), ISNUMBER(MATCH(FB$1, AsistenciaJetAdminConcatenada!$B:$B, 0)), ISNUMBER(SEARCH($A55,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ISNUMBER(SEARCH($A55, INDEX(AsistenciaJetAdminConcatenada!$D:$D, MATCH(1, (AsistenciaJetAdminConcatenada!$A:$A=FB$2)*(AsistenciaJetAdminConcatenada!$B:$B=FB$1), 0)), 1))),  0.5, 0))</f>
        <v>0</v>
      </c>
      <c r="FC55" s="47">
        <f t="array" ref="FC55">IF(AND(ISNUMBER(MATCH(FC$2, AsistenciaJetAdminConcatenada!$A:$A, 0)), ISNUMBER(MATCH(FC$1, AsistenciaJetAdminConcatenada!$B:$B, 0)), ISNUMBER(SEARCH($A55,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ISNUMBER(SEARCH($A55, INDEX(AsistenciaJetAdminConcatenada!$D:$D, MATCH(1, (AsistenciaJetAdminConcatenada!$A:$A=FC$2)*(AsistenciaJetAdminConcatenada!$B:$B=FC$1), 0)), 1))),  0.5, 0))</f>
        <v>0</v>
      </c>
      <c r="FD55" s="47">
        <f t="array" ref="FD55">IF(AND(ISNUMBER(MATCH(FD$2, AsistenciaJetAdminConcatenada!$A:$A, 0)), ISNUMBER(MATCH(FD$1, AsistenciaJetAdminConcatenada!$B:$B, 0)), ISNUMBER(SEARCH($A55,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ISNUMBER(SEARCH($A55, INDEX(AsistenciaJetAdminConcatenada!$D:$D, MATCH(1, (AsistenciaJetAdminConcatenada!$A:$A=FD$2)*(AsistenciaJetAdminConcatenada!$B:$B=FD$1), 0)), 1))),  0.5, 0))</f>
        <v>0</v>
      </c>
      <c r="FE55" s="47">
        <f t="array" ref="FE55">IF(AND(ISNUMBER(MATCH(FE$2, AsistenciaJetAdminConcatenada!$A:$A, 0)), ISNUMBER(MATCH(FE$1, AsistenciaJetAdminConcatenada!$B:$B, 0)), ISNUMBER(SEARCH($A55,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ISNUMBER(SEARCH($A55, INDEX(AsistenciaJetAdminConcatenada!$D:$D, MATCH(1, (AsistenciaJetAdminConcatenada!$A:$A=FE$2)*(AsistenciaJetAdminConcatenada!$B:$B=FE$1), 0)), 1))),  0.5, 0))</f>
        <v>0</v>
      </c>
      <c r="FF55" s="47">
        <f t="array" ref="FF55">IF(AND(ISNUMBER(MATCH(FF$2, AsistenciaJetAdminConcatenada!$A:$A, 0)), ISNUMBER(MATCH(FF$1, AsistenciaJetAdminConcatenada!$B:$B, 0)), ISNUMBER(SEARCH($A55,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ISNUMBER(SEARCH($A55, INDEX(AsistenciaJetAdminConcatenada!$D:$D, MATCH(1, (AsistenciaJetAdminConcatenada!$A:$A=FF$2)*(AsistenciaJetAdminConcatenada!$B:$B=FF$1), 0)), 1))),  0.5, 0))</f>
        <v>0</v>
      </c>
      <c r="FG55" s="47">
        <f t="array" ref="FG55">IF(AND(ISNUMBER(MATCH(FG$2, AsistenciaJetAdminConcatenada!$A:$A, 0)), ISNUMBER(MATCH(FG$1, AsistenciaJetAdminConcatenada!$B:$B, 0)), ISNUMBER(SEARCH($A55,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ISNUMBER(SEARCH($A55, INDEX(AsistenciaJetAdminConcatenada!$D:$D, MATCH(1, (AsistenciaJetAdminConcatenada!$A:$A=FG$2)*(AsistenciaJetAdminConcatenada!$B:$B=FG$1), 0)), 1))),  0.5, 0))</f>
        <v>0</v>
      </c>
      <c r="FH55" s="47">
        <f t="array" ref="FH55">IF(AND(ISNUMBER(MATCH(FH$2, AsistenciaJetAdminConcatenada!$A:$A, 0)), ISNUMBER(MATCH(FH$1, AsistenciaJetAdminConcatenada!$B:$B, 0)), ISNUMBER(SEARCH($A55,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ISNUMBER(SEARCH($A55, INDEX(AsistenciaJetAdminConcatenada!$D:$D, MATCH(1, (AsistenciaJetAdminConcatenada!$A:$A=FH$2)*(AsistenciaJetAdminConcatenada!$B:$B=FH$1), 0)), 1))),  0.5, 0))</f>
        <v>0</v>
      </c>
      <c r="FI55" s="47">
        <f t="array" ref="FI55">IF(AND(ISNUMBER(MATCH(FI$2, AsistenciaJetAdminConcatenada!$A:$A, 0)), ISNUMBER(MATCH(FI$1, AsistenciaJetAdminConcatenada!$B:$B, 0)), ISNUMBER(SEARCH($A55,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ISNUMBER(SEARCH($A55, INDEX(AsistenciaJetAdminConcatenada!$D:$D, MATCH(1, (AsistenciaJetAdminConcatenada!$A:$A=FI$2)*(AsistenciaJetAdminConcatenada!$B:$B=FI$1), 0)), 1))),  0.5, 0))</f>
        <v>0</v>
      </c>
      <c r="FJ55" s="47">
        <f t="array" ref="FJ55">IF(AND(ISNUMBER(MATCH(FJ$2, AsistenciaJetAdminConcatenada!$A:$A, 0)), ISNUMBER(MATCH(FJ$1, AsistenciaJetAdminConcatenada!$B:$B, 0)), ISNUMBER(SEARCH($A55,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ISNUMBER(SEARCH($A55, INDEX(AsistenciaJetAdminConcatenada!$D:$D, MATCH(1, (AsistenciaJetAdminConcatenada!$A:$A=FJ$2)*(AsistenciaJetAdminConcatenada!$B:$B=FJ$1), 0)), 1))),  0.5, 0))</f>
        <v>0</v>
      </c>
      <c r="FK55" s="47">
        <f t="array" ref="FK55">IF(AND(ISNUMBER(MATCH(FK$2, AsistenciaJetAdminConcatenada!$A:$A, 0)), ISNUMBER(MATCH(FK$1, AsistenciaJetAdminConcatenada!$B:$B, 0)), ISNUMBER(SEARCH($A55,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ISNUMBER(SEARCH($A55, INDEX(AsistenciaJetAdminConcatenada!$D:$D, MATCH(1, (AsistenciaJetAdminConcatenada!$A:$A=FK$2)*(AsistenciaJetAdminConcatenada!$B:$B=FK$1), 0)), 1))),  0.5, 0))</f>
        <v>0</v>
      </c>
      <c r="FL55" s="47">
        <f t="array" ref="FL55">IF(AND(ISNUMBER(MATCH(FL$2, AsistenciaJetAdminConcatenada!$A:$A, 0)), ISNUMBER(MATCH(FL$1, AsistenciaJetAdminConcatenada!$B:$B, 0)), ISNUMBER(SEARCH($A55,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ISNUMBER(SEARCH($A55, INDEX(AsistenciaJetAdminConcatenada!$D:$D, MATCH(1, (AsistenciaJetAdminConcatenada!$A:$A=FL$2)*(AsistenciaJetAdminConcatenada!$B:$B=FL$1), 0)), 1))),  0.5, 0))</f>
        <v>0</v>
      </c>
      <c r="FM55" s="47">
        <f t="array" ref="FM55">IF(AND(ISNUMBER(MATCH(FM$2, AsistenciaJetAdminConcatenada!$A:$A, 0)), ISNUMBER(MATCH(FM$1, AsistenciaJetAdminConcatenada!$B:$B, 0)), ISNUMBER(SEARCH($A55,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ISNUMBER(SEARCH($A55, INDEX(AsistenciaJetAdminConcatenada!$D:$D, MATCH(1, (AsistenciaJetAdminConcatenada!$A:$A=FM$2)*(AsistenciaJetAdminConcatenada!$B:$B=FM$1), 0)), 1))),  0.5, 0))</f>
        <v>0</v>
      </c>
      <c r="FN55" s="47">
        <f t="array" ref="FN55">IF(AND(ISNUMBER(MATCH(FN$2, AsistenciaJetAdminConcatenada!$A:$A, 0)), ISNUMBER(MATCH(FN$1, AsistenciaJetAdminConcatenada!$B:$B, 0)), ISNUMBER(SEARCH($A55,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ISNUMBER(SEARCH($A55, INDEX(AsistenciaJetAdminConcatenada!$D:$D, MATCH(1, (AsistenciaJetAdminConcatenada!$A:$A=FN$2)*(AsistenciaJetAdminConcatenada!$B:$B=FN$1), 0)), 1))),  0.5, 0))</f>
        <v>0</v>
      </c>
      <c r="FO55" s="47">
        <f t="array" ref="FO55">IF(AND(ISNUMBER(MATCH(FO$2, AsistenciaJetAdminConcatenada!$A:$A, 0)), ISNUMBER(MATCH(FO$1, AsistenciaJetAdminConcatenada!$B:$B, 0)), ISNUMBER(SEARCH($A55,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ISNUMBER(SEARCH($A55, INDEX(AsistenciaJetAdminConcatenada!$D:$D, MATCH(1, (AsistenciaJetAdminConcatenada!$A:$A=FO$2)*(AsistenciaJetAdminConcatenada!$B:$B=FO$1), 0)), 1))),  0.5, 0))</f>
        <v>0</v>
      </c>
      <c r="FP55" s="47">
        <f t="array" ref="FP55">IF(AND(ISNUMBER(MATCH(FP$2, AsistenciaJetAdminConcatenada!$A:$A, 0)), ISNUMBER(MATCH(FP$1, AsistenciaJetAdminConcatenada!$B:$B, 0)), ISNUMBER(SEARCH($A55,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ISNUMBER(SEARCH($A55, INDEX(AsistenciaJetAdminConcatenada!$D:$D, MATCH(1, (AsistenciaJetAdminConcatenada!$A:$A=FP$2)*(AsistenciaJetAdminConcatenada!$B:$B=FP$1), 0)), 1))),  0.5, 0))</f>
        <v>0</v>
      </c>
      <c r="FQ55" s="47">
        <f t="array" ref="FQ55">IF(AND(ISNUMBER(MATCH(FQ$2, AsistenciaJetAdminConcatenada!$A:$A, 0)), ISNUMBER(MATCH(FQ$1, AsistenciaJetAdminConcatenada!$B:$B, 0)), ISNUMBER(SEARCH($A55,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ISNUMBER(SEARCH($A55, INDEX(AsistenciaJetAdminConcatenada!$D:$D, MATCH(1, (AsistenciaJetAdminConcatenada!$A:$A=FQ$2)*(AsistenciaJetAdminConcatenada!$B:$B=FQ$1), 0)), 1))),  0.5, 0))</f>
        <v>0</v>
      </c>
      <c r="FR55" s="47">
        <f t="array" ref="FR55">IF(AND(ISNUMBER(MATCH(FR$2, AsistenciaJetAdminConcatenada!$A:$A, 0)), ISNUMBER(MATCH(FR$1, AsistenciaJetAdminConcatenada!$B:$B, 0)), ISNUMBER(SEARCH($A55,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ISNUMBER(SEARCH($A55, INDEX(AsistenciaJetAdminConcatenada!$D:$D, MATCH(1, (AsistenciaJetAdminConcatenada!$A:$A=FR$2)*(AsistenciaJetAdminConcatenada!$B:$B=FR$1), 0)), 1))),  0.5, 0))</f>
        <v>0</v>
      </c>
      <c r="FS55" s="47">
        <f t="array" ref="FS55">IF(AND(ISNUMBER(MATCH(FS$2, AsistenciaJetAdminConcatenada!$A:$A, 0)), ISNUMBER(MATCH(FS$1, AsistenciaJetAdminConcatenada!$B:$B, 0)), ISNUMBER(SEARCH($A55,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ISNUMBER(SEARCH($A55, INDEX(AsistenciaJetAdminConcatenada!$D:$D, MATCH(1, (AsistenciaJetAdminConcatenada!$A:$A=FS$2)*(AsistenciaJetAdminConcatenada!$B:$B=FS$1), 0)), 1))),  0.5, 0))</f>
        <v>0</v>
      </c>
      <c r="FT55" s="47">
        <f t="array" ref="FT55">IF(AND(ISNUMBER(MATCH(FT$2, AsistenciaJetAdminConcatenada!$A:$A, 0)), ISNUMBER(MATCH(FT$1, AsistenciaJetAdminConcatenada!$B:$B, 0)), ISNUMBER(SEARCH($A55,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ISNUMBER(SEARCH($A55, INDEX(AsistenciaJetAdminConcatenada!$D:$D, MATCH(1, (AsistenciaJetAdminConcatenada!$A:$A=FT$2)*(AsistenciaJetAdminConcatenada!$B:$B=FT$1), 0)), 1))),  0.5, 0))</f>
        <v>0</v>
      </c>
      <c r="FU55" s="47">
        <f t="array" ref="FU55">IF(AND(ISNUMBER(MATCH(FU$2, AsistenciaJetAdminConcatenada!$A:$A, 0)), ISNUMBER(MATCH(FU$1, AsistenciaJetAdminConcatenada!$B:$B, 0)), ISNUMBER(SEARCH($A55,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ISNUMBER(SEARCH($A55, INDEX(AsistenciaJetAdminConcatenada!$D:$D, MATCH(1, (AsistenciaJetAdminConcatenada!$A:$A=FU$2)*(AsistenciaJetAdminConcatenada!$B:$B=FU$1), 0)), 1))),  0.5, 0))</f>
        <v>0</v>
      </c>
      <c r="FV55" s="47">
        <f t="array" ref="FV55">IF(AND(ISNUMBER(MATCH(FV$2, AsistenciaJetAdminConcatenada!$A:$A, 0)), ISNUMBER(MATCH(FV$1, AsistenciaJetAdminConcatenada!$B:$B, 0)), ISNUMBER(SEARCH($A55,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ISNUMBER(SEARCH($A55, INDEX(AsistenciaJetAdminConcatenada!$D:$D, MATCH(1, (AsistenciaJetAdminConcatenada!$A:$A=FV$2)*(AsistenciaJetAdminConcatenada!$B:$B=FV$1), 0)), 1))),  0.5, 0))</f>
        <v>0</v>
      </c>
      <c r="FW55" s="47">
        <f t="array" ref="FW55">IF(AND(ISNUMBER(MATCH(FW$2, AsistenciaJetAdminConcatenada!$A:$A, 0)), ISNUMBER(MATCH(FW$1, AsistenciaJetAdminConcatenada!$B:$B, 0)), ISNUMBER(SEARCH($A55,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ISNUMBER(SEARCH($A55, INDEX(AsistenciaJetAdminConcatenada!$D:$D, MATCH(1, (AsistenciaJetAdminConcatenada!$A:$A=FW$2)*(AsistenciaJetAdminConcatenada!$B:$B=FW$1), 0)), 1))),  0.5, 0))</f>
        <v>0</v>
      </c>
      <c r="FX55" s="47">
        <f t="array" ref="FX55">IF(AND(ISNUMBER(MATCH(FX$2, AsistenciaJetAdminConcatenada!$A:$A, 0)), ISNUMBER(MATCH(FX$1, AsistenciaJetAdminConcatenada!$B:$B, 0)), ISNUMBER(SEARCH($A55,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ISNUMBER(SEARCH($A55, INDEX(AsistenciaJetAdminConcatenada!$D:$D, MATCH(1, (AsistenciaJetAdminConcatenada!$A:$A=FX$2)*(AsistenciaJetAdminConcatenada!$B:$B=FX$1), 0)), 1))),  0.5, 0))</f>
        <v>0</v>
      </c>
      <c r="FY55" s="47">
        <f t="array" ref="FY55">IF(AND(ISNUMBER(MATCH(FY$2, AsistenciaJetAdminConcatenada!$A:$A, 0)), ISNUMBER(MATCH(FY$1, AsistenciaJetAdminConcatenada!$B:$B, 0)), ISNUMBER(SEARCH($A55,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ISNUMBER(SEARCH($A55, INDEX(AsistenciaJetAdminConcatenada!$D:$D, MATCH(1, (AsistenciaJetAdminConcatenada!$A:$A=FY$2)*(AsistenciaJetAdminConcatenada!$B:$B=FY$1), 0)), 1))),  0.5, 0))</f>
        <v>0</v>
      </c>
      <c r="FZ55" s="47">
        <f t="array" ref="FZ55">IF(AND(ISNUMBER(MATCH(FZ$2, AsistenciaJetAdminConcatenada!$A:$A, 0)), ISNUMBER(MATCH(FZ$1, AsistenciaJetAdminConcatenada!$B:$B, 0)), ISNUMBER(SEARCH($A55,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ISNUMBER(SEARCH($A55, INDEX(AsistenciaJetAdminConcatenada!$D:$D, MATCH(1, (AsistenciaJetAdminConcatenada!$A:$A=FZ$2)*(AsistenciaJetAdminConcatenada!$B:$B=FZ$1), 0)), 1))),  0.5, 0))</f>
        <v>0</v>
      </c>
      <c r="GA55" s="47">
        <f t="array" ref="GA55">IF(AND(ISNUMBER(MATCH(GA$2, AsistenciaJetAdminConcatenada!$A:$A, 0)), ISNUMBER(MATCH(GA$1, AsistenciaJetAdminConcatenada!$B:$B, 0)), ISNUMBER(SEARCH($A55,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ISNUMBER(SEARCH($A55, INDEX(AsistenciaJetAdminConcatenada!$D:$D, MATCH(1, (AsistenciaJetAdminConcatenada!$A:$A=GA$2)*(AsistenciaJetAdminConcatenada!$B:$B=GA$1), 0)), 1))),  0.5, 0))</f>
        <v>0</v>
      </c>
      <c r="GB55" s="47">
        <f t="array" ref="GB55">IF(AND(ISNUMBER(MATCH(GB$2, AsistenciaJetAdminConcatenada!$A:$A, 0)), ISNUMBER(MATCH(GB$1, AsistenciaJetAdminConcatenada!$B:$B, 0)), ISNUMBER(SEARCH($A55,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ISNUMBER(SEARCH($A55, INDEX(AsistenciaJetAdminConcatenada!$D:$D, MATCH(1, (AsistenciaJetAdminConcatenada!$A:$A=GB$2)*(AsistenciaJetAdminConcatenada!$B:$B=GB$1), 0)), 1))),  0.5, 0))</f>
        <v>0</v>
      </c>
      <c r="GC55" s="47">
        <f t="array" ref="GC55">IF(AND(ISNUMBER(MATCH(GC$2, AsistenciaJetAdminConcatenada!$A:$A, 0)), ISNUMBER(MATCH(GC$1, AsistenciaJetAdminConcatenada!$B:$B, 0)), ISNUMBER(SEARCH($A55,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ISNUMBER(SEARCH($A55, INDEX(AsistenciaJetAdminConcatenada!$D:$D, MATCH(1, (AsistenciaJetAdminConcatenada!$A:$A=GC$2)*(AsistenciaJetAdminConcatenada!$B:$B=GC$1), 0)), 1))),  0.5, 0))</f>
        <v>0</v>
      </c>
      <c r="GD55" s="47">
        <f t="array" ref="GD55">IF(AND(ISNUMBER(MATCH(GD$2, AsistenciaJetAdminConcatenada!$A:$A, 0)), ISNUMBER(MATCH(GD$1, AsistenciaJetAdminConcatenada!$B:$B, 0)), ISNUMBER(SEARCH($A55,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ISNUMBER(SEARCH($A55, INDEX(AsistenciaJetAdminConcatenada!$D:$D, MATCH(1, (AsistenciaJetAdminConcatenada!$A:$A=GD$2)*(AsistenciaJetAdminConcatenada!$B:$B=GD$1), 0)), 1))),  0.5, 0))</f>
        <v>0</v>
      </c>
      <c r="GE55" s="47">
        <f t="array" ref="GE55">IF(AND(ISNUMBER(MATCH(GE$2, AsistenciaJetAdminConcatenada!$A:$A, 0)), ISNUMBER(MATCH(GE$1, AsistenciaJetAdminConcatenada!$B:$B, 0)), ISNUMBER(SEARCH($A55,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ISNUMBER(SEARCH($A55, INDEX(AsistenciaJetAdminConcatenada!$D:$D, MATCH(1, (AsistenciaJetAdminConcatenada!$A:$A=GE$2)*(AsistenciaJetAdminConcatenada!$B:$B=GE$1), 0)), 1))),  0.5, 0))</f>
        <v>0</v>
      </c>
      <c r="GF55" s="47">
        <f t="array" ref="GF55">IF(AND(ISNUMBER(MATCH(GF$2, AsistenciaJetAdminConcatenada!$A:$A, 0)), ISNUMBER(MATCH(GF$1, AsistenciaJetAdminConcatenada!$B:$B, 0)), ISNUMBER(SEARCH($A55,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ISNUMBER(SEARCH($A55, INDEX(AsistenciaJetAdminConcatenada!$D:$D, MATCH(1, (AsistenciaJetAdminConcatenada!$A:$A=GF$2)*(AsistenciaJetAdminConcatenada!$B:$B=GF$1), 0)), 1))),  0.5, 0))</f>
        <v>0</v>
      </c>
      <c r="GG55" s="47">
        <f t="array" ref="GG55">IF(AND(ISNUMBER(MATCH(GG$2, AsistenciaJetAdminConcatenada!$A:$A, 0)), ISNUMBER(MATCH(GG$1, AsistenciaJetAdminConcatenada!$B:$B, 0)), ISNUMBER(SEARCH($A55,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ISNUMBER(SEARCH($A55, INDEX(AsistenciaJetAdminConcatenada!$D:$D, MATCH(1, (AsistenciaJetAdminConcatenada!$A:$A=GG$2)*(AsistenciaJetAdminConcatenada!$B:$B=GG$1), 0)), 1))),  0.5, 0))</f>
        <v>0</v>
      </c>
      <c r="GH55" s="47">
        <f t="array" ref="GH55">IF(AND(ISNUMBER(MATCH(GH$2, AsistenciaJetAdminConcatenada!$A:$A, 0)), ISNUMBER(MATCH(GH$1, AsistenciaJetAdminConcatenada!$B:$B, 0)), ISNUMBER(SEARCH($A55,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ISNUMBER(SEARCH($A55, INDEX(AsistenciaJetAdminConcatenada!$D:$D, MATCH(1, (AsistenciaJetAdminConcatenada!$A:$A=GH$2)*(AsistenciaJetAdminConcatenada!$B:$B=GH$1), 0)), 1))),  0.5, 0))</f>
        <v>0</v>
      </c>
      <c r="GI55" s="47">
        <f t="array" ref="GI55">IF(AND(ISNUMBER(MATCH(GI$2, AsistenciaJetAdminConcatenada!$A:$A, 0)), ISNUMBER(MATCH(GI$1, AsistenciaJetAdminConcatenada!$B:$B, 0)), ISNUMBER(SEARCH($A55,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ISNUMBER(SEARCH($A55, INDEX(AsistenciaJetAdminConcatenada!$D:$D, MATCH(1, (AsistenciaJetAdminConcatenada!$A:$A=GI$2)*(AsistenciaJetAdminConcatenada!$B:$B=GI$1), 0)), 1))),  0.5, 0))</f>
        <v>0</v>
      </c>
      <c r="GJ55" s="47">
        <f t="array" ref="GJ55">IF(AND(ISNUMBER(MATCH(GJ$2, AsistenciaJetAdminConcatenada!$A:$A, 0)), ISNUMBER(MATCH(GJ$1, AsistenciaJetAdminConcatenada!$B:$B, 0)), ISNUMBER(SEARCH($A55,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ISNUMBER(SEARCH($A55, INDEX(AsistenciaJetAdminConcatenada!$D:$D, MATCH(1, (AsistenciaJetAdminConcatenada!$A:$A=GJ$2)*(AsistenciaJetAdminConcatenada!$B:$B=GJ$1), 0)), 1))),  0.5, 0))</f>
        <v>0</v>
      </c>
      <c r="GK55" s="47">
        <f t="array" ref="GK55">IF(AND(ISNUMBER(MATCH(GK$2, AsistenciaJetAdminConcatenada!$A:$A, 0)), ISNUMBER(MATCH(GK$1, AsistenciaJetAdminConcatenada!$B:$B, 0)), ISNUMBER(SEARCH($A55,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ISNUMBER(SEARCH($A55, INDEX(AsistenciaJetAdminConcatenada!$D:$D, MATCH(1, (AsistenciaJetAdminConcatenada!$A:$A=GK$2)*(AsistenciaJetAdminConcatenada!$B:$B=GK$1), 0)), 1))),  0.5, 0))</f>
        <v>0</v>
      </c>
      <c r="GL55" s="47">
        <f t="array" ref="GL55">IF(AND(ISNUMBER(MATCH(GL$2, AsistenciaJetAdminConcatenada!$A:$A, 0)), ISNUMBER(MATCH(GL$1, AsistenciaJetAdminConcatenada!$B:$B, 0)), ISNUMBER(SEARCH($A55,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ISNUMBER(SEARCH($A55, INDEX(AsistenciaJetAdminConcatenada!$D:$D, MATCH(1, (AsistenciaJetAdminConcatenada!$A:$A=GL$2)*(AsistenciaJetAdminConcatenada!$B:$B=GL$1), 0)), 1))),  0.5, 0))</f>
        <v>0</v>
      </c>
      <c r="GM55" s="47">
        <f t="array" ref="GM55">IF(AND(ISNUMBER(MATCH(GM$2, AsistenciaJetAdminConcatenada!$A:$A, 0)), ISNUMBER(MATCH(GM$1, AsistenciaJetAdminConcatenada!$B:$B, 0)), ISNUMBER(SEARCH($A55,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ISNUMBER(SEARCH($A55, INDEX(AsistenciaJetAdminConcatenada!$D:$D, MATCH(1, (AsistenciaJetAdminConcatenada!$A:$A=GM$2)*(AsistenciaJetAdminConcatenada!$B:$B=GM$1), 0)), 1))),  0.5, 0))</f>
        <v>0</v>
      </c>
      <c r="GN55" s="47">
        <f t="array" ref="GN55">IF(AND(ISNUMBER(MATCH(GN$2, AsistenciaJetAdminConcatenada!$A:$A, 0)), ISNUMBER(MATCH(GN$1, AsistenciaJetAdminConcatenada!$B:$B, 0)), ISNUMBER(SEARCH($A55,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ISNUMBER(SEARCH($A55, INDEX(AsistenciaJetAdminConcatenada!$D:$D, MATCH(1, (AsistenciaJetAdminConcatenada!$A:$A=GN$2)*(AsistenciaJetAdminConcatenada!$B:$B=GN$1), 0)), 1))),  0.5, 0))</f>
        <v>0</v>
      </c>
      <c r="GO55" s="47">
        <f t="array" ref="GO55">IF(AND(ISNUMBER(MATCH(GO$2, AsistenciaJetAdminConcatenada!$A:$A, 0)), ISNUMBER(MATCH(GO$1, AsistenciaJetAdminConcatenada!$B:$B, 0)), ISNUMBER(SEARCH($A55,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ISNUMBER(SEARCH($A55, INDEX(AsistenciaJetAdminConcatenada!$D:$D, MATCH(1, (AsistenciaJetAdminConcatenada!$A:$A=GO$2)*(AsistenciaJetAdminConcatenada!$B:$B=GO$1), 0)), 1))),  0.5, 0))</f>
        <v>0</v>
      </c>
      <c r="GP55" s="47">
        <f t="array" ref="GP55">IF(AND(ISNUMBER(MATCH(GP$2, AsistenciaJetAdminConcatenada!$A:$A, 0)), ISNUMBER(MATCH(GP$1, AsistenciaJetAdminConcatenada!$B:$B, 0)), ISNUMBER(SEARCH($A55,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ISNUMBER(SEARCH($A55, INDEX(AsistenciaJetAdminConcatenada!$D:$D, MATCH(1, (AsistenciaJetAdminConcatenada!$A:$A=GP$2)*(AsistenciaJetAdminConcatenada!$B:$B=GP$1), 0)), 1))),  0.5, 0))</f>
        <v>0</v>
      </c>
      <c r="GQ55" s="47">
        <f t="array" ref="GQ55">IF(AND(ISNUMBER(MATCH(GQ$2, AsistenciaJetAdminConcatenada!$A:$A, 0)), ISNUMBER(MATCH(GQ$1, AsistenciaJetAdminConcatenada!$B:$B, 0)), ISNUMBER(SEARCH($A55,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ISNUMBER(SEARCH($A55, INDEX(AsistenciaJetAdminConcatenada!$D:$D, MATCH(1, (AsistenciaJetAdminConcatenada!$A:$A=GQ$2)*(AsistenciaJetAdminConcatenada!$B:$B=GQ$1), 0)), 1))),  0.5, 0))</f>
        <v>0</v>
      </c>
      <c r="GR55" s="47">
        <f t="array" ref="GR55">IF(AND(ISNUMBER(MATCH(GR$2, AsistenciaJetAdminConcatenada!$A:$A, 0)), ISNUMBER(MATCH(GR$1, AsistenciaJetAdminConcatenada!$B:$B, 0)), ISNUMBER(SEARCH($A55,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ISNUMBER(SEARCH($A55, INDEX(AsistenciaJetAdminConcatenada!$D:$D, MATCH(1, (AsistenciaJetAdminConcatenada!$A:$A=GR$2)*(AsistenciaJetAdminConcatenada!$B:$B=GR$1), 0)), 1))),  0.5, 0))</f>
        <v>0</v>
      </c>
      <c r="GS55" s="47">
        <f t="array" ref="GS55">IF(AND(ISNUMBER(MATCH(GS$2, AsistenciaJetAdminConcatenada!$A:$A, 0)), ISNUMBER(MATCH(GS$1, AsistenciaJetAdminConcatenada!$B:$B, 0)), ISNUMBER(SEARCH($A55,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ISNUMBER(SEARCH($A55, INDEX(AsistenciaJetAdminConcatenada!$D:$D, MATCH(1, (AsistenciaJetAdminConcatenada!$A:$A=GS$2)*(AsistenciaJetAdminConcatenada!$B:$B=GS$1), 0)), 1))),  0.5, 0))</f>
        <v>0</v>
      </c>
      <c r="GT55" s="47">
        <f t="array" ref="GT55">IF(AND(ISNUMBER(MATCH(GT$2, AsistenciaJetAdminConcatenada!$A:$A, 0)), ISNUMBER(MATCH(GT$1, AsistenciaJetAdminConcatenada!$B:$B, 0)), ISNUMBER(SEARCH($A55,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ISNUMBER(SEARCH($A55, INDEX(AsistenciaJetAdminConcatenada!$D:$D, MATCH(1, (AsistenciaJetAdminConcatenada!$A:$A=GT$2)*(AsistenciaJetAdminConcatenada!$B:$B=GT$1), 0)), 1))),  0.5, 0))</f>
        <v>0</v>
      </c>
      <c r="GU55" s="47">
        <f t="array" ref="GU55">IF(AND(ISNUMBER(MATCH(GU$2, AsistenciaJetAdminConcatenada!$A:$A, 0)), ISNUMBER(MATCH(GU$1, AsistenciaJetAdminConcatenada!$B:$B, 0)), ISNUMBER(SEARCH($A55,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ISNUMBER(SEARCH($A55, INDEX(AsistenciaJetAdminConcatenada!$D:$D, MATCH(1, (AsistenciaJetAdminConcatenada!$A:$A=GU$2)*(AsistenciaJetAdminConcatenada!$B:$B=GU$1), 0)), 1))),  0.5, 0))</f>
        <v>0</v>
      </c>
      <c r="GV55" s="47">
        <f t="array" ref="GV55">IF(AND(ISNUMBER(MATCH(GV$2, AsistenciaJetAdminConcatenada!$A:$A, 0)), ISNUMBER(MATCH(GV$1, AsistenciaJetAdminConcatenada!$B:$B, 0)), ISNUMBER(SEARCH($A55,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ISNUMBER(SEARCH($A55, INDEX(AsistenciaJetAdminConcatenada!$D:$D, MATCH(1, (AsistenciaJetAdminConcatenada!$A:$A=GV$2)*(AsistenciaJetAdminConcatenada!$B:$B=GV$1), 0)), 1))),  0.5, 0))</f>
        <v>0</v>
      </c>
      <c r="GW55" s="47">
        <f t="array" ref="GW55">IF(AND(ISNUMBER(MATCH(GW$2, AsistenciaJetAdminConcatenada!$A:$A, 0)), ISNUMBER(MATCH(GW$1, AsistenciaJetAdminConcatenada!$B:$B, 0)), ISNUMBER(SEARCH($A55,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ISNUMBER(SEARCH($A55, INDEX(AsistenciaJetAdminConcatenada!$D:$D, MATCH(1, (AsistenciaJetAdminConcatenada!$A:$A=GW$2)*(AsistenciaJetAdminConcatenada!$B:$B=GW$1), 0)), 1))),  0.5, 0))</f>
        <v>0</v>
      </c>
      <c r="GX55" s="47">
        <f t="array" ref="GX55">IF(AND(ISNUMBER(MATCH(GX$2, AsistenciaJetAdminConcatenada!$A:$A, 0)), ISNUMBER(MATCH(GX$1, AsistenciaJetAdminConcatenada!$B:$B, 0)), ISNUMBER(SEARCH($A55,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ISNUMBER(SEARCH($A55, INDEX(AsistenciaJetAdminConcatenada!$D:$D, MATCH(1, (AsistenciaJetAdminConcatenada!$A:$A=GX$2)*(AsistenciaJetAdminConcatenada!$B:$B=GX$1), 0)), 1))),  0.5, 0))</f>
        <v>0</v>
      </c>
      <c r="GY55" s="47">
        <f t="array" ref="GY55">IF(AND(ISNUMBER(MATCH(GY$2, AsistenciaJetAdminConcatenada!$A:$A, 0)), ISNUMBER(MATCH(GY$1, AsistenciaJetAdminConcatenada!$B:$B, 0)), ISNUMBER(SEARCH($A55,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ISNUMBER(SEARCH($A55, INDEX(AsistenciaJetAdminConcatenada!$D:$D, MATCH(1, (AsistenciaJetAdminConcatenada!$A:$A=GY$2)*(AsistenciaJetAdminConcatenada!$B:$B=GY$1), 0)), 1))),  0.5, 0))</f>
        <v>0</v>
      </c>
      <c r="GZ55" s="47">
        <f t="array" ref="GZ55">IF(AND(ISNUMBER(MATCH(GZ$2, AsistenciaJetAdminConcatenada!$A:$A, 0)), ISNUMBER(MATCH(GZ$1, AsistenciaJetAdminConcatenada!$B:$B, 0)), ISNUMBER(SEARCH($A55,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ISNUMBER(SEARCH($A55, INDEX(AsistenciaJetAdminConcatenada!$D:$D, MATCH(1, (AsistenciaJetAdminConcatenada!$A:$A=GZ$2)*(AsistenciaJetAdminConcatenada!$B:$B=GZ$1), 0)), 1))),  0.5, 0))</f>
        <v>0</v>
      </c>
      <c r="HA55" s="47">
        <f t="array" ref="HA55">IF(AND(ISNUMBER(MATCH(HA$2, AsistenciaJetAdminConcatenada!$A:$A, 0)), ISNUMBER(MATCH(HA$1, AsistenciaJetAdminConcatenada!$B:$B, 0)), ISNUMBER(SEARCH($A55,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ISNUMBER(SEARCH($A55, INDEX(AsistenciaJetAdminConcatenada!$D:$D, MATCH(1, (AsistenciaJetAdminConcatenada!$A:$A=HA$2)*(AsistenciaJetAdminConcatenada!$B:$B=HA$1), 0)), 1))),  0.5, 0))</f>
        <v>0</v>
      </c>
      <c r="HB55" s="47">
        <f t="array" ref="HB55">IF(AND(ISNUMBER(MATCH(HB$2, AsistenciaJetAdminConcatenada!$A:$A, 0)), ISNUMBER(MATCH(HB$1, AsistenciaJetAdminConcatenada!$B:$B, 0)), ISNUMBER(SEARCH($A55,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ISNUMBER(SEARCH($A55, INDEX(AsistenciaJetAdminConcatenada!$D:$D, MATCH(1, (AsistenciaJetAdminConcatenada!$A:$A=HB$2)*(AsistenciaJetAdminConcatenada!$B:$B=HB$1), 0)), 1))),  0.5, 0))</f>
        <v>0</v>
      </c>
      <c r="HC55" s="47">
        <f t="array" ref="HC55">IF(AND(ISNUMBER(MATCH(HC$2, AsistenciaJetAdminConcatenada!$A:$A, 0)), ISNUMBER(MATCH(HC$1, AsistenciaJetAdminConcatenada!$B:$B, 0)), ISNUMBER(SEARCH($A55,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ISNUMBER(SEARCH($A55, INDEX(AsistenciaJetAdminConcatenada!$D:$D, MATCH(1, (AsistenciaJetAdminConcatenada!$A:$A=HC$2)*(AsistenciaJetAdminConcatenada!$B:$B=HC$1), 0)), 1))),  0.5, 0))</f>
        <v>0</v>
      </c>
    </row>
    <row r="56" ht="29.25" customHeight="1">
      <c r="A56" s="3">
        <v>178.0</v>
      </c>
      <c r="B56" s="4" t="s">
        <v>539</v>
      </c>
      <c r="C56" s="47">
        <f>SUM(D56:HC56) + ActividadesEspeciales!C56</f>
        <v>89</v>
      </c>
      <c r="D56" s="47">
        <f t="array" ref="D56">IF(AND(ISNUMBER(MATCH(D$2, AsistenciaJetAdminConcatenada!$A:$A, 0)), ISNUMBER(MATCH(D$1, AsistenciaJetAdminConcatenada!$B:$B, 0)), ISNUMBER(SEARCH($A56,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ISNUMBER(SEARCH($A56, INDEX(AsistenciaJetAdminConcatenada!$D:$D, MATCH(1, (AsistenciaJetAdminConcatenada!$A:$A=D$2)*(AsistenciaJetAdminConcatenada!$B:$B=D$1), 0)), 1))),  0.5, 0))</f>
        <v>1</v>
      </c>
      <c r="E56" s="47">
        <f t="array" ref="E56">IF(AND(ISNUMBER(MATCH(E$2, AsistenciaJetAdminConcatenada!$A:$A, 0)), ISNUMBER(MATCH(E$1, AsistenciaJetAdminConcatenada!$B:$B, 0)), ISNUMBER(SEARCH($A56,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ISNUMBER(SEARCH($A56, INDEX(AsistenciaJetAdminConcatenada!$D:$D, MATCH(1, (AsistenciaJetAdminConcatenada!$A:$A=E$2)*(AsistenciaJetAdminConcatenada!$B:$B=E$1), 0)), 1))),  0.5, 0))</f>
        <v>1</v>
      </c>
      <c r="F56" s="47">
        <f t="array" ref="F56">IF(AND(ISNUMBER(MATCH(F$2, AsistenciaJetAdminConcatenada!$A:$A, 0)), ISNUMBER(MATCH(F$1, AsistenciaJetAdminConcatenada!$B:$B, 0)), ISNUMBER(SEARCH($A56,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ISNUMBER(SEARCH($A56, INDEX(AsistenciaJetAdminConcatenada!$D:$D, MATCH(1, (AsistenciaJetAdminConcatenada!$A:$A=F$2)*(AsistenciaJetAdminConcatenada!$B:$B=F$1), 0)), 1))),  0.5, 0))</f>
        <v>1</v>
      </c>
      <c r="G56" s="47">
        <f t="array" ref="G56">IF(AND(ISNUMBER(MATCH(G$2, AsistenciaJetAdminConcatenada!$A:$A, 0)), ISNUMBER(MATCH(G$1, AsistenciaJetAdminConcatenada!$B:$B, 0)), ISNUMBER(SEARCH($A56,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ISNUMBER(SEARCH($A56, INDEX(AsistenciaJetAdminConcatenada!$D:$D, MATCH(1, (AsistenciaJetAdminConcatenada!$A:$A=G$2)*(AsistenciaJetAdminConcatenada!$B:$B=G$1), 0)), 1))),  0.5, 0))</f>
        <v>1</v>
      </c>
      <c r="H56" s="47">
        <f t="array" ref="H56">IF(AND(ISNUMBER(MATCH(H$2, AsistenciaJetAdminConcatenada!$A:$A, 0)), ISNUMBER(MATCH(H$1, AsistenciaJetAdminConcatenada!$B:$B, 0)), ISNUMBER(SEARCH($A56,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ISNUMBER(SEARCH($A56, INDEX(AsistenciaJetAdminConcatenada!$D:$D, MATCH(1, (AsistenciaJetAdminConcatenada!$A:$A=H$2)*(AsistenciaJetAdminConcatenada!$B:$B=H$1), 0)), 1))),  0.5, 0))</f>
        <v>1</v>
      </c>
      <c r="I56" s="47">
        <f t="array" ref="I56">IF(AND(ISNUMBER(MATCH(I$2, AsistenciaJetAdminConcatenada!$A:$A, 0)), ISNUMBER(MATCH(I$1, AsistenciaJetAdminConcatenada!$B:$B, 0)), ISNUMBER(SEARCH($A56,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ISNUMBER(SEARCH($A56, INDEX(AsistenciaJetAdminConcatenada!$D:$D, MATCH(1, (AsistenciaJetAdminConcatenada!$A:$A=I$2)*(AsistenciaJetAdminConcatenada!$B:$B=I$1), 0)), 1))),  0.5, 0))</f>
        <v>1</v>
      </c>
      <c r="J56" s="47">
        <f t="array" ref="J56">IF(AND(ISNUMBER(MATCH(J$2, AsistenciaJetAdminConcatenada!$A:$A, 0)), ISNUMBER(MATCH(J$1, AsistenciaJetAdminConcatenada!$B:$B, 0)), ISNUMBER(SEARCH($A56,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ISNUMBER(SEARCH($A56, INDEX(AsistenciaJetAdminConcatenada!$D:$D, MATCH(1, (AsistenciaJetAdminConcatenada!$A:$A=J$2)*(AsistenciaJetAdminConcatenada!$B:$B=J$1), 0)), 1))),  0.5, 0))</f>
        <v>1</v>
      </c>
      <c r="K56" s="47">
        <f t="array" ref="K56">IF(AND(ISNUMBER(MATCH(K$2, AsistenciaJetAdminConcatenada!$A:$A, 0)), ISNUMBER(MATCH(K$1, AsistenciaJetAdminConcatenada!$B:$B, 0)), ISNUMBER(SEARCH($A56,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ISNUMBER(SEARCH($A56, INDEX(AsistenciaJetAdminConcatenada!$D:$D, MATCH(1, (AsistenciaJetAdminConcatenada!$A:$A=K$2)*(AsistenciaJetAdminConcatenada!$B:$B=K$1), 0)), 1))),  0.5, 0))</f>
        <v>1</v>
      </c>
      <c r="L56" s="47">
        <f t="array" ref="L56">IF(AND(ISNUMBER(MATCH(L$2, AsistenciaJetAdminConcatenada!$A:$A, 0)), ISNUMBER(MATCH(L$1, AsistenciaJetAdminConcatenada!$B:$B, 0)), ISNUMBER(SEARCH($A56,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ISNUMBER(SEARCH($A56, INDEX(AsistenciaJetAdminConcatenada!$D:$D, MATCH(1, (AsistenciaJetAdminConcatenada!$A:$A=L$2)*(AsistenciaJetAdminConcatenada!$B:$B=L$1), 0)), 1))),  0.5, 0))</f>
        <v>1</v>
      </c>
      <c r="M56" s="47">
        <f t="array" ref="M56">IF(AND(ISNUMBER(MATCH(M$2, AsistenciaJetAdminConcatenada!$A:$A, 0)), ISNUMBER(MATCH(M$1, AsistenciaJetAdminConcatenada!$B:$B, 0)), ISNUMBER(SEARCH($A56,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ISNUMBER(SEARCH($A56, INDEX(AsistenciaJetAdminConcatenada!$D:$D, MATCH(1, (AsistenciaJetAdminConcatenada!$A:$A=M$2)*(AsistenciaJetAdminConcatenada!$B:$B=M$1), 0)), 1))),  0.5, 0))</f>
        <v>1</v>
      </c>
      <c r="N56" s="47">
        <f t="array" ref="N56">IF(AND(ISNUMBER(MATCH(N$2, AsistenciaJetAdminConcatenada!$A:$A, 0)), ISNUMBER(MATCH(N$1, AsistenciaJetAdminConcatenada!$B:$B, 0)), ISNUMBER(SEARCH($A56,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ISNUMBER(SEARCH($A56, INDEX(AsistenciaJetAdminConcatenada!$D:$D, MATCH(1, (AsistenciaJetAdminConcatenada!$A:$A=N$2)*(AsistenciaJetAdminConcatenada!$B:$B=N$1), 0)), 1))),  0.5, 0))</f>
        <v>1</v>
      </c>
      <c r="O56" s="47">
        <f t="array" ref="O56">IF(AND(ISNUMBER(MATCH(O$2, AsistenciaJetAdminConcatenada!$A:$A, 0)), ISNUMBER(MATCH(O$1, AsistenciaJetAdminConcatenada!$B:$B, 0)), ISNUMBER(SEARCH($A56,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ISNUMBER(SEARCH($A56, INDEX(AsistenciaJetAdminConcatenada!$D:$D, MATCH(1, (AsistenciaJetAdminConcatenada!$A:$A=O$2)*(AsistenciaJetAdminConcatenada!$B:$B=O$1), 0)), 1))),  0.5, 0))</f>
        <v>1</v>
      </c>
      <c r="P56" s="8">
        <v>0.5</v>
      </c>
      <c r="Q56" s="8">
        <v>1.0</v>
      </c>
      <c r="R56" s="47">
        <f t="array" ref="R56">IF(AND(ISNUMBER(MATCH(R$2, AsistenciaJetAdminConcatenada!$A:$A, 0)), ISNUMBER(MATCH(R$1, AsistenciaJetAdminConcatenada!$B:$B, 0)), ISNUMBER(SEARCH($A56,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ISNUMBER(SEARCH($A56, INDEX(AsistenciaJetAdminConcatenada!$D:$D, MATCH(1, (AsistenciaJetAdminConcatenada!$A:$A=R$2)*(AsistenciaJetAdminConcatenada!$B:$B=R$1), 0)), 1))),  0.5, 0))</f>
        <v>1</v>
      </c>
      <c r="S56" s="47">
        <f t="array" ref="S56">IF(AND(ISNUMBER(MATCH(S$2, AsistenciaJetAdminConcatenada!$A:$A, 0)), ISNUMBER(MATCH(S$1, AsistenciaJetAdminConcatenada!$B:$B, 0)), ISNUMBER(SEARCH($A56,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ISNUMBER(SEARCH($A56, INDEX(AsistenciaJetAdminConcatenada!$D:$D, MATCH(1, (AsistenciaJetAdminConcatenada!$A:$A=S$2)*(AsistenciaJetAdminConcatenada!$B:$B=S$1), 0)), 1))),  0.5, 0))</f>
        <v>1</v>
      </c>
      <c r="T56" s="47">
        <f t="array" ref="T56">IF(AND(ISNUMBER(MATCH(T$2, AsistenciaJetAdminConcatenada!$A:$A, 0)), ISNUMBER(MATCH(T$1, AsistenciaJetAdminConcatenada!$B:$B, 0)), ISNUMBER(SEARCH($A56,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ISNUMBER(SEARCH($A56, INDEX(AsistenciaJetAdminConcatenada!$D:$D, MATCH(1, (AsistenciaJetAdminConcatenada!$A:$A=T$2)*(AsistenciaJetAdminConcatenada!$B:$B=T$1), 0)), 1))),  0.5, 0))</f>
        <v>1</v>
      </c>
      <c r="U56" s="47">
        <f t="array" ref="U56">IF(AND(ISNUMBER(MATCH(U$2, AsistenciaJetAdminConcatenada!$A:$A, 0)), ISNUMBER(MATCH(U$1, AsistenciaJetAdminConcatenada!$B:$B, 0)), ISNUMBER(SEARCH($A56,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ISNUMBER(SEARCH($A56, INDEX(AsistenciaJetAdminConcatenada!$D:$D, MATCH(1, (AsistenciaJetAdminConcatenada!$A:$A=U$2)*(AsistenciaJetAdminConcatenada!$B:$B=U$1), 0)), 1))),  0.5, 0))</f>
        <v>1</v>
      </c>
      <c r="V56" s="47">
        <f t="array" ref="V56">IF(AND(ISNUMBER(MATCH(V$2, AsistenciaJetAdminConcatenada!$A:$A, 0)), ISNUMBER(MATCH(V$1, AsistenciaJetAdminConcatenada!$B:$B, 0)), ISNUMBER(SEARCH($A56,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ISNUMBER(SEARCH($A56, INDEX(AsistenciaJetAdminConcatenada!$D:$D, MATCH(1, (AsistenciaJetAdminConcatenada!$A:$A=V$2)*(AsistenciaJetAdminConcatenada!$B:$B=V$1), 0)), 1))),  0.5, 0))</f>
        <v>1</v>
      </c>
      <c r="W56" s="47">
        <f t="array" ref="W56">IF(AND(ISNUMBER(MATCH(W$2, AsistenciaJetAdminConcatenada!$A:$A, 0)), ISNUMBER(MATCH(W$1, AsistenciaJetAdminConcatenada!$B:$B, 0)), ISNUMBER(SEARCH($A56,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ISNUMBER(SEARCH($A56, INDEX(AsistenciaJetAdminConcatenada!$D:$D, MATCH(1, (AsistenciaJetAdminConcatenada!$A:$A=W$2)*(AsistenciaJetAdminConcatenada!$B:$B=W$1), 0)), 1))),  0.5, 0))</f>
        <v>1</v>
      </c>
      <c r="X56" s="47">
        <f t="array" ref="X56">IF(AND(ISNUMBER(MATCH(X$2, AsistenciaJetAdminConcatenada!$A:$A, 0)), ISNUMBER(MATCH(X$1, AsistenciaJetAdminConcatenada!$B:$B, 0)), ISNUMBER(SEARCH($A56,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ISNUMBER(SEARCH($A56, INDEX(AsistenciaJetAdminConcatenada!$D:$D, MATCH(1, (AsistenciaJetAdminConcatenada!$A:$A=X$2)*(AsistenciaJetAdminConcatenada!$B:$B=X$1), 0)), 1))),  0.5, 0))</f>
        <v>1</v>
      </c>
      <c r="Y56" s="47">
        <f t="array" ref="Y56">IF(AND(ISNUMBER(MATCH(Y$2, AsistenciaJetAdminConcatenada!$A:$A, 0)), ISNUMBER(MATCH(Y$1, AsistenciaJetAdminConcatenada!$B:$B, 0)), ISNUMBER(SEARCH($A56,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ISNUMBER(SEARCH($A56, INDEX(AsistenciaJetAdminConcatenada!$D:$D, MATCH(1, (AsistenciaJetAdminConcatenada!$A:$A=Y$2)*(AsistenciaJetAdminConcatenada!$B:$B=Y$1), 0)), 1))),  0.5, 0))</f>
        <v>1</v>
      </c>
      <c r="Z56" s="47">
        <f t="array" ref="Z56">IF(AND(ISNUMBER(MATCH(Z$2, AsistenciaJetAdminConcatenada!$A:$A, 0)), ISNUMBER(MATCH(Z$1, AsistenciaJetAdminConcatenada!$B:$B, 0)), ISNUMBER(SEARCH($A56,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ISNUMBER(SEARCH($A56, INDEX(AsistenciaJetAdminConcatenada!$D:$D, MATCH(1, (AsistenciaJetAdminConcatenada!$A:$A=Z$2)*(AsistenciaJetAdminConcatenada!$B:$B=Z$1), 0)), 1))),  0.5, 0))</f>
        <v>1</v>
      </c>
      <c r="AA56" s="47">
        <f t="array" ref="AA56">IF(AND(ISNUMBER(MATCH(AA$2, AsistenciaJetAdminConcatenada!$A:$A, 0)), ISNUMBER(MATCH(AA$1, AsistenciaJetAdminConcatenada!$B:$B, 0)), ISNUMBER(SEARCH($A56,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ISNUMBER(SEARCH($A56, INDEX(AsistenciaJetAdminConcatenada!$D:$D, MATCH(1, (AsistenciaJetAdminConcatenada!$A:$A=AA$2)*(AsistenciaJetAdminConcatenada!$B:$B=AA$1), 0)), 1))),  0.5, 0))</f>
        <v>0.5</v>
      </c>
      <c r="AB56" s="47">
        <f t="array" ref="AB56">IF(AND(ISNUMBER(MATCH(AB$2, AsistenciaJetAdminConcatenada!$A:$A, 0)), ISNUMBER(MATCH(AB$1, AsistenciaJetAdminConcatenada!$B:$B, 0)), ISNUMBER(SEARCH($A56,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ISNUMBER(SEARCH($A56, INDEX(AsistenciaJetAdminConcatenada!$D:$D, MATCH(1, (AsistenciaJetAdminConcatenada!$A:$A=AB$2)*(AsistenciaJetAdminConcatenada!$B:$B=AB$1), 0)), 1))),  0.5, 0))</f>
        <v>1</v>
      </c>
      <c r="AC56" s="47">
        <f t="array" ref="AC56">IF(AND(ISNUMBER(MATCH(AC$2, AsistenciaJetAdminConcatenada!$A:$A, 0)), ISNUMBER(MATCH(AC$1, AsistenciaJetAdminConcatenada!$B:$B, 0)), ISNUMBER(SEARCH($A56,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ISNUMBER(SEARCH($A56, INDEX(AsistenciaJetAdminConcatenada!$D:$D, MATCH(1, (AsistenciaJetAdminConcatenada!$A:$A=AC$2)*(AsistenciaJetAdminConcatenada!$B:$B=AC$1), 0)), 1))),  0.5, 0))</f>
        <v>1</v>
      </c>
      <c r="AD56" s="47">
        <f t="array" ref="AD56">IF(AND(ISNUMBER(MATCH(AD$2, AsistenciaJetAdminConcatenada!$A:$A, 0)), ISNUMBER(MATCH(AD$1, AsistenciaJetAdminConcatenada!$B:$B, 0)), ISNUMBER(SEARCH($A56,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ISNUMBER(SEARCH($A56, INDEX(AsistenciaJetAdminConcatenada!$D:$D, MATCH(1, (AsistenciaJetAdminConcatenada!$A:$A=AD$2)*(AsistenciaJetAdminConcatenada!$B:$B=AD$1), 0)), 1))),  0.5, 0))</f>
        <v>1</v>
      </c>
      <c r="AE56" s="47">
        <f t="array" ref="AE56">IF(AND(ISNUMBER(MATCH(AE$2, AsistenciaJetAdminConcatenada!$A:$A, 0)), ISNUMBER(MATCH(AE$1, AsistenciaJetAdminConcatenada!$B:$B, 0)), ISNUMBER(SEARCH($A56,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ISNUMBER(SEARCH($A56, INDEX(AsistenciaJetAdminConcatenada!$D:$D, MATCH(1, (AsistenciaJetAdminConcatenada!$A:$A=AE$2)*(AsistenciaJetAdminConcatenada!$B:$B=AE$1), 0)), 1))),  0.5, 0))</f>
        <v>1</v>
      </c>
      <c r="AF56" s="47">
        <f t="array" ref="AF56">IF(AND(ISNUMBER(MATCH(AF$2, AsistenciaJetAdminConcatenada!$A:$A, 0)), ISNUMBER(MATCH(AF$1, AsistenciaJetAdminConcatenada!$B:$B, 0)), ISNUMBER(SEARCH($A56,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ISNUMBER(SEARCH($A56, INDEX(AsistenciaJetAdminConcatenada!$D:$D, MATCH(1, (AsistenciaJetAdminConcatenada!$A:$A=AF$2)*(AsistenciaJetAdminConcatenada!$B:$B=AF$1), 0)), 1))),  0.5, 0))</f>
        <v>1</v>
      </c>
      <c r="AG56" s="47">
        <f t="array" ref="AG56">IF(AND(ISNUMBER(MATCH(AG$2, AsistenciaJetAdminConcatenada!$A:$A, 0)), ISNUMBER(MATCH(AG$1, AsistenciaJetAdminConcatenada!$B:$B, 0)), ISNUMBER(SEARCH($A56,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ISNUMBER(SEARCH($A56, INDEX(AsistenciaJetAdminConcatenada!$D:$D, MATCH(1, (AsistenciaJetAdminConcatenada!$A:$A=AG$2)*(AsistenciaJetAdminConcatenada!$B:$B=AG$1), 0)), 1))),  0.5, 0))</f>
        <v>1</v>
      </c>
      <c r="AH56" s="47">
        <f t="array" ref="AH56">IF(AND(ISNUMBER(MATCH(AH$2, AsistenciaJetAdminConcatenada!$A:$A, 0)), ISNUMBER(MATCH(AH$1, AsistenciaJetAdminConcatenada!$B:$B, 0)), ISNUMBER(SEARCH($A56,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ISNUMBER(SEARCH($A56, INDEX(AsistenciaJetAdminConcatenada!$D:$D, MATCH(1, (AsistenciaJetAdminConcatenada!$A:$A=AH$2)*(AsistenciaJetAdminConcatenada!$B:$B=AH$1), 0)), 1))),  0.5, 0))</f>
        <v>0</v>
      </c>
      <c r="AI56" s="47">
        <f t="array" ref="AI56">IF(AND(ISNUMBER(MATCH(AI$2, AsistenciaJetAdminConcatenada!$A:$A, 0)), ISNUMBER(MATCH(AI$1, AsistenciaJetAdminConcatenada!$B:$B, 0)), ISNUMBER(SEARCH($A56,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ISNUMBER(SEARCH($A56, INDEX(AsistenciaJetAdminConcatenada!$D:$D, MATCH(1, (AsistenciaJetAdminConcatenada!$A:$A=AI$2)*(AsistenciaJetAdminConcatenada!$B:$B=AI$1), 0)), 1))),  0.5, 0))</f>
        <v>1</v>
      </c>
      <c r="AJ56" s="47">
        <f t="array" ref="AJ56">IF(AND(ISNUMBER(MATCH(AJ$2, AsistenciaJetAdminConcatenada!$A:$A, 0)), ISNUMBER(MATCH(AJ$1, AsistenciaJetAdminConcatenada!$B:$B, 0)), ISNUMBER(SEARCH($A56,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ISNUMBER(SEARCH($A56, INDEX(AsistenciaJetAdminConcatenada!$D:$D, MATCH(1, (AsistenciaJetAdminConcatenada!$A:$A=AJ$2)*(AsistenciaJetAdminConcatenada!$B:$B=AJ$1), 0)), 1))),  0.5, 0))</f>
        <v>1</v>
      </c>
      <c r="AK56" s="47">
        <f t="array" ref="AK56">IF(AND(ISNUMBER(MATCH(AK$2, AsistenciaJetAdminConcatenada!$A:$A, 0)), ISNUMBER(MATCH(AK$1, AsistenciaJetAdminConcatenada!$B:$B, 0)), ISNUMBER(SEARCH($A56,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ISNUMBER(SEARCH($A56, INDEX(AsistenciaJetAdminConcatenada!$D:$D, MATCH(1, (AsistenciaJetAdminConcatenada!$A:$A=AK$2)*(AsistenciaJetAdminConcatenada!$B:$B=AK$1), 0)), 1))),  0.5, 0))</f>
        <v>1</v>
      </c>
      <c r="AL56" s="47">
        <f t="array" ref="AL56">IF(AND(ISNUMBER(MATCH(AL$2, AsistenciaJetAdminConcatenada!$A:$A, 0)), ISNUMBER(MATCH(AL$1, AsistenciaJetAdminConcatenada!$B:$B, 0)), ISNUMBER(SEARCH($A56,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ISNUMBER(SEARCH($A56, INDEX(AsistenciaJetAdminConcatenada!$D:$D, MATCH(1, (AsistenciaJetAdminConcatenada!$A:$A=AL$2)*(AsistenciaJetAdminConcatenada!$B:$B=AL$1), 0)), 1))),  0.5, 0))</f>
        <v>1</v>
      </c>
      <c r="AM56" s="47">
        <f t="array" ref="AM56">IF(AND(ISNUMBER(MATCH(AM$2, AsistenciaJetAdminConcatenada!$A:$A, 0)), ISNUMBER(MATCH(AM$1, AsistenciaJetAdminConcatenada!$B:$B, 0)), ISNUMBER(SEARCH($A56,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ISNUMBER(SEARCH($A56, INDEX(AsistenciaJetAdminConcatenada!$D:$D, MATCH(1, (AsistenciaJetAdminConcatenada!$A:$A=AM$2)*(AsistenciaJetAdminConcatenada!$B:$B=AM$1), 0)), 1))),  0.5, 0))</f>
        <v>1</v>
      </c>
      <c r="AN56" s="47">
        <f t="array" ref="AN56">IF(AND(ISNUMBER(MATCH(AN$2, AsistenciaJetAdminConcatenada!$A:$A, 0)), ISNUMBER(MATCH(AN$1, AsistenciaJetAdminConcatenada!$B:$B, 0)), ISNUMBER(SEARCH($A56,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ISNUMBER(SEARCH($A56, INDEX(AsistenciaJetAdminConcatenada!$D:$D, MATCH(1, (AsistenciaJetAdminConcatenada!$A:$A=AN$2)*(AsistenciaJetAdminConcatenada!$B:$B=AN$1), 0)), 1))),  0.5, 0))</f>
        <v>1</v>
      </c>
      <c r="AO56" s="47">
        <f t="array" ref="AO56">IF(AND(ISNUMBER(MATCH(AO$2, AsistenciaJetAdminConcatenada!$A:$A, 0)), ISNUMBER(MATCH(AO$1, AsistenciaJetAdminConcatenada!$B:$B, 0)), ISNUMBER(SEARCH($A56,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ISNUMBER(SEARCH($A56, INDEX(AsistenciaJetAdminConcatenada!$D:$D, MATCH(1, (AsistenciaJetAdminConcatenada!$A:$A=AO$2)*(AsistenciaJetAdminConcatenada!$B:$B=AO$1), 0)), 1))),  0.5, 0))</f>
        <v>1</v>
      </c>
      <c r="AP56" s="47">
        <f t="array" ref="AP56">IF(AND(ISNUMBER(MATCH(AP$2, AsistenciaJetAdminConcatenada!$A:$A, 0)), ISNUMBER(MATCH(AP$1, AsistenciaJetAdminConcatenada!$B:$B, 0)), ISNUMBER(SEARCH($A56,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ISNUMBER(SEARCH($A56, INDEX(AsistenciaJetAdminConcatenada!$D:$D, MATCH(1, (AsistenciaJetAdminConcatenada!$A:$A=AP$2)*(AsistenciaJetAdminConcatenada!$B:$B=AP$1), 0)), 1))),  0.5, 0))</f>
        <v>1</v>
      </c>
      <c r="AQ56" s="47">
        <f t="array" ref="AQ56">IF(AND(ISNUMBER(MATCH(AQ$2, AsistenciaJetAdminConcatenada!$A:$A, 0)), ISNUMBER(MATCH(AQ$1, AsistenciaJetAdminConcatenada!$B:$B, 0)), ISNUMBER(SEARCH($A56,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ISNUMBER(SEARCH($A56, INDEX(AsistenciaJetAdminConcatenada!$D:$D, MATCH(1, (AsistenciaJetAdminConcatenada!$A:$A=AQ$2)*(AsistenciaJetAdminConcatenada!$B:$B=AQ$1), 0)), 1))),  0.5, 0))</f>
        <v>0</v>
      </c>
      <c r="AR56" s="47">
        <f t="array" ref="AR56">IF(AND(ISNUMBER(MATCH(AR$2, AsistenciaJetAdminConcatenada!$A:$A, 0)), ISNUMBER(MATCH(AR$1, AsistenciaJetAdminConcatenada!$B:$B, 0)), ISNUMBER(SEARCH($A56,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ISNUMBER(SEARCH($A56, INDEX(AsistenciaJetAdminConcatenada!$D:$D, MATCH(1, (AsistenciaJetAdminConcatenada!$A:$A=AR$2)*(AsistenciaJetAdminConcatenada!$B:$B=AR$1), 0)), 1))),  0.5, 0))</f>
        <v>1</v>
      </c>
      <c r="AS56" s="47">
        <f t="array" ref="AS56">IF(AND(ISNUMBER(MATCH(AS$2, AsistenciaJetAdminConcatenada!$A:$A, 0)), ISNUMBER(MATCH(AS$1, AsistenciaJetAdminConcatenada!$B:$B, 0)), ISNUMBER(SEARCH($A56,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ISNUMBER(SEARCH($A56, INDEX(AsistenciaJetAdminConcatenada!$D:$D, MATCH(1, (AsistenciaJetAdminConcatenada!$A:$A=AS$2)*(AsistenciaJetAdminConcatenada!$B:$B=AS$1), 0)), 1))),  0.5, 0))</f>
        <v>1</v>
      </c>
      <c r="AT56" s="47">
        <f t="array" ref="AT56">IF(AND(ISNUMBER(MATCH(AT$2, AsistenciaJetAdminConcatenada!$A:$A, 0)), ISNUMBER(MATCH(AT$1, AsistenciaJetAdminConcatenada!$B:$B, 0)), ISNUMBER(SEARCH($A56,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ISNUMBER(SEARCH($A56, INDEX(AsistenciaJetAdminConcatenada!$D:$D, MATCH(1, (AsistenciaJetAdminConcatenada!$A:$A=AT$2)*(AsistenciaJetAdminConcatenada!$B:$B=AT$1), 0)), 1))),  0.5, 0))</f>
        <v>0</v>
      </c>
      <c r="AU56" s="47">
        <f t="array" ref="AU56">IF(AND(ISNUMBER(MATCH(AU$2, AsistenciaJetAdminConcatenada!$A:$A, 0)), ISNUMBER(MATCH(AU$1, AsistenciaJetAdminConcatenada!$B:$B, 0)), ISNUMBER(SEARCH($A56,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ISNUMBER(SEARCH($A56, INDEX(AsistenciaJetAdminConcatenada!$D:$D, MATCH(1, (AsistenciaJetAdminConcatenada!$A:$A=AU$2)*(AsistenciaJetAdminConcatenada!$B:$B=AU$1), 0)), 1))),  0.5, 0))</f>
        <v>1</v>
      </c>
      <c r="AV56" s="47">
        <f t="array" ref="AV56">IF(AND(ISNUMBER(MATCH(AV$2, AsistenciaJetAdminConcatenada!$A:$A, 0)), ISNUMBER(MATCH(AV$1, AsistenciaJetAdminConcatenada!$B:$B, 0)), ISNUMBER(SEARCH($A56,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ISNUMBER(SEARCH($A56, INDEX(AsistenciaJetAdminConcatenada!$D:$D, MATCH(1, (AsistenciaJetAdminConcatenada!$A:$A=AV$2)*(AsistenciaJetAdminConcatenada!$B:$B=AV$1), 0)), 1))),  0.5, 0))</f>
        <v>1</v>
      </c>
      <c r="AW56" s="47">
        <f t="array" ref="AW56">IF(AND(ISNUMBER(MATCH(AW$2, AsistenciaJetAdminConcatenada!$A:$A, 0)), ISNUMBER(MATCH(AW$1, AsistenciaJetAdminConcatenada!$B:$B, 0)), ISNUMBER(SEARCH($A56,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ISNUMBER(SEARCH($A56, INDEX(AsistenciaJetAdminConcatenada!$D:$D, MATCH(1, (AsistenciaJetAdminConcatenada!$A:$A=AW$2)*(AsistenciaJetAdminConcatenada!$B:$B=AW$1), 0)), 1))),  0.5, 0))</f>
        <v>1</v>
      </c>
      <c r="AX56" s="47">
        <f t="array" ref="AX56">IF(AND(ISNUMBER(MATCH(AX$2, AsistenciaJetAdminConcatenada!$A:$A, 0)), ISNUMBER(MATCH(AX$1, AsistenciaJetAdminConcatenada!$B:$B, 0)), ISNUMBER(SEARCH($A56,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ISNUMBER(SEARCH($A56, INDEX(AsistenciaJetAdminConcatenada!$D:$D, MATCH(1, (AsistenciaJetAdminConcatenada!$A:$A=AX$2)*(AsistenciaJetAdminConcatenada!$B:$B=AX$1), 0)), 1))),  0.5, 0))</f>
        <v>1</v>
      </c>
      <c r="AY56" s="47">
        <f t="array" ref="AY56">IF(AND(ISNUMBER(MATCH(AY$2, AsistenciaJetAdminConcatenada!$A:$A, 0)), ISNUMBER(MATCH(AY$1, AsistenciaJetAdminConcatenada!$B:$B, 0)), ISNUMBER(SEARCH($A56,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ISNUMBER(SEARCH($A56, INDEX(AsistenciaJetAdminConcatenada!$D:$D, MATCH(1, (AsistenciaJetAdminConcatenada!$A:$A=AY$2)*(AsistenciaJetAdminConcatenada!$B:$B=AY$1), 0)), 1))),  0.5, 0))</f>
        <v>1</v>
      </c>
      <c r="AZ56" s="47">
        <f t="array" ref="AZ56">IF(AND(ISNUMBER(MATCH(AZ$2, AsistenciaJetAdminConcatenada!$A:$A, 0)), ISNUMBER(MATCH(AZ$1, AsistenciaJetAdminConcatenada!$B:$B, 0)), ISNUMBER(SEARCH($A56,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ISNUMBER(SEARCH($A56, INDEX(AsistenciaJetAdminConcatenada!$D:$D, MATCH(1, (AsistenciaJetAdminConcatenada!$A:$A=AZ$2)*(AsistenciaJetAdminConcatenada!$B:$B=AZ$1), 0)), 1))),  0.5, 0))</f>
        <v>1</v>
      </c>
      <c r="BA56" s="47">
        <f t="array" ref="BA56">IF(AND(ISNUMBER(MATCH(BA$2, AsistenciaJetAdminConcatenada!$A:$A, 0)), ISNUMBER(MATCH(BA$1, AsistenciaJetAdminConcatenada!$B:$B, 0)), ISNUMBER(SEARCH($A56,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ISNUMBER(SEARCH($A56, INDEX(AsistenciaJetAdminConcatenada!$D:$D, MATCH(1, (AsistenciaJetAdminConcatenada!$A:$A=BA$2)*(AsistenciaJetAdminConcatenada!$B:$B=BA$1), 0)), 1))),  0.5, 0))</f>
        <v>1</v>
      </c>
      <c r="BB56" s="47">
        <f t="array" ref="BB56">IF(AND(ISNUMBER(MATCH(BB$2, AsistenciaJetAdminConcatenada!$A:$A, 0)), ISNUMBER(MATCH(BB$1, AsistenciaJetAdminConcatenada!$B:$B, 0)), ISNUMBER(SEARCH($A56,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ISNUMBER(SEARCH($A56, INDEX(AsistenciaJetAdminConcatenada!$D:$D, MATCH(1, (AsistenciaJetAdminConcatenada!$A:$A=BB$2)*(AsistenciaJetAdminConcatenada!$B:$B=BB$1), 0)), 1))),  0.5, 0))</f>
        <v>1</v>
      </c>
      <c r="BC56" s="47">
        <f t="array" ref="BC56">IF(AND(ISNUMBER(MATCH(BC$2, AsistenciaJetAdminConcatenada!$A:$A, 0)), ISNUMBER(MATCH(BC$1, AsistenciaJetAdminConcatenada!$B:$B, 0)), ISNUMBER(SEARCH($A56,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ISNUMBER(SEARCH($A56, INDEX(AsistenciaJetAdminConcatenada!$D:$D, MATCH(1, (AsistenciaJetAdminConcatenada!$A:$A=BC$2)*(AsistenciaJetAdminConcatenada!$B:$B=BC$1), 0)), 1))),  0.5, 0))</f>
        <v>1</v>
      </c>
      <c r="BD56" s="47">
        <f t="array" ref="BD56">IF(AND(ISNUMBER(MATCH(BD$2, AsistenciaJetAdminConcatenada!$A:$A, 0)), ISNUMBER(MATCH(BD$1, AsistenciaJetAdminConcatenada!$B:$B, 0)), ISNUMBER(SEARCH($A56,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ISNUMBER(SEARCH($A56, INDEX(AsistenciaJetAdminConcatenada!$D:$D, MATCH(1, (AsistenciaJetAdminConcatenada!$A:$A=BD$2)*(AsistenciaJetAdminConcatenada!$B:$B=BD$1), 0)), 1))),  0.5, 0))</f>
        <v>1</v>
      </c>
      <c r="BE56" s="47">
        <f t="array" ref="BE56">IF(AND(ISNUMBER(MATCH(BE$2, AsistenciaJetAdminConcatenada!$A:$A, 0)), ISNUMBER(MATCH(BE$1, AsistenciaJetAdminConcatenada!$B:$B, 0)), ISNUMBER(SEARCH($A56,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ISNUMBER(SEARCH($A56, INDEX(AsistenciaJetAdminConcatenada!$D:$D, MATCH(1, (AsistenciaJetAdminConcatenada!$A:$A=BE$2)*(AsistenciaJetAdminConcatenada!$B:$B=BE$1), 0)), 1))),  0.5, 0))</f>
        <v>1</v>
      </c>
      <c r="BF56" s="47">
        <f t="array" ref="BF56">IF(AND(ISNUMBER(MATCH(BF$2, AsistenciaJetAdminConcatenada!$A:$A, 0)), ISNUMBER(MATCH(BF$1, AsistenciaJetAdminConcatenada!$B:$B, 0)), ISNUMBER(SEARCH($A56,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ISNUMBER(SEARCH($A56, INDEX(AsistenciaJetAdminConcatenada!$D:$D, MATCH(1, (AsistenciaJetAdminConcatenada!$A:$A=BF$2)*(AsistenciaJetAdminConcatenada!$B:$B=BF$1), 0)), 1))),  0.5, 0))</f>
        <v>1</v>
      </c>
      <c r="BG56" s="47">
        <f t="array" ref="BG56">IF(AND(ISNUMBER(MATCH(BG$2, AsistenciaJetAdminConcatenada!$A:$A, 0)), ISNUMBER(MATCH(BG$1, AsistenciaJetAdminConcatenada!$B:$B, 0)), ISNUMBER(SEARCH($A56,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ISNUMBER(SEARCH($A56, INDEX(AsistenciaJetAdminConcatenada!$D:$D, MATCH(1, (AsistenciaJetAdminConcatenada!$A:$A=BG$2)*(AsistenciaJetAdminConcatenada!$B:$B=BG$1), 0)), 1))),  0.5, 0))</f>
        <v>1</v>
      </c>
      <c r="BH56" s="47">
        <f t="array" ref="BH56">IF(AND(ISNUMBER(MATCH(BH$2, AsistenciaJetAdminConcatenada!$A:$A, 0)), ISNUMBER(MATCH(BH$1, AsistenciaJetAdminConcatenada!$B:$B, 0)), ISNUMBER(SEARCH($A56,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ISNUMBER(SEARCH($A56, INDEX(AsistenciaJetAdminConcatenada!$D:$D, MATCH(1, (AsistenciaJetAdminConcatenada!$A:$A=BH$2)*(AsistenciaJetAdminConcatenada!$B:$B=BH$1), 0)), 1))),  0.5, 0))</f>
        <v>1</v>
      </c>
      <c r="BI56" s="47">
        <f t="array" ref="BI56">IF(AND(ISNUMBER(MATCH(BI$2, AsistenciaJetAdminConcatenada!$A:$A, 0)), ISNUMBER(MATCH(BI$1, AsistenciaJetAdminConcatenada!$B:$B, 0)), ISNUMBER(SEARCH($A56,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ISNUMBER(SEARCH($A56, INDEX(AsistenciaJetAdminConcatenada!$D:$D, MATCH(1, (AsistenciaJetAdminConcatenada!$A:$A=BI$2)*(AsistenciaJetAdminConcatenada!$B:$B=BI$1), 0)), 1))),  0.5, 0))</f>
        <v>1</v>
      </c>
      <c r="BJ56" s="47">
        <f t="array" ref="BJ56">IF(AND(ISNUMBER(MATCH(BJ$2, AsistenciaJetAdminConcatenada!$A:$A, 0)), ISNUMBER(MATCH(BJ$1, AsistenciaJetAdminConcatenada!$B:$B, 0)), ISNUMBER(SEARCH($A56,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ISNUMBER(SEARCH($A56, INDEX(AsistenciaJetAdminConcatenada!$D:$D, MATCH(1, (AsistenciaJetAdminConcatenada!$A:$A=BJ$2)*(AsistenciaJetAdminConcatenada!$B:$B=BJ$1), 0)), 1))),  0.5, 0))</f>
        <v>1</v>
      </c>
      <c r="BK56" s="47">
        <f t="array" ref="BK56">IF(AND(ISNUMBER(MATCH(BK$2, AsistenciaJetAdminConcatenada!$A:$A, 0)), ISNUMBER(MATCH(BK$1, AsistenciaJetAdminConcatenada!$B:$B, 0)), ISNUMBER(SEARCH($A56,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ISNUMBER(SEARCH($A56, INDEX(AsistenciaJetAdminConcatenada!$D:$D, MATCH(1, (AsistenciaJetAdminConcatenada!$A:$A=BK$2)*(AsistenciaJetAdminConcatenada!$B:$B=BK$1), 0)), 1))),  0.5, 0))</f>
        <v>1</v>
      </c>
      <c r="BL56" s="47">
        <f t="array" ref="BL56">IF(AND(ISNUMBER(MATCH(BL$2, AsistenciaJetAdminConcatenada!$A:$A, 0)), ISNUMBER(MATCH(BL$1, AsistenciaJetAdminConcatenada!$B:$B, 0)), ISNUMBER(SEARCH($A56,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ISNUMBER(SEARCH($A56, INDEX(AsistenciaJetAdminConcatenada!$D:$D, MATCH(1, (AsistenciaJetAdminConcatenada!$A:$A=BL$2)*(AsistenciaJetAdminConcatenada!$B:$B=BL$1), 0)), 1))),  0.5, 0))</f>
        <v>1</v>
      </c>
      <c r="BM56" s="47">
        <f t="array" ref="BM56">IF(AND(ISNUMBER(MATCH(BM$2, AsistenciaJetAdminConcatenada!$A:$A, 0)), ISNUMBER(MATCH(BM$1, AsistenciaJetAdminConcatenada!$B:$B, 0)), ISNUMBER(SEARCH($A56,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ISNUMBER(SEARCH($A56, INDEX(AsistenciaJetAdminConcatenada!$D:$D, MATCH(1, (AsistenciaJetAdminConcatenada!$A:$A=BM$2)*(AsistenciaJetAdminConcatenada!$B:$B=BM$1), 0)), 1))),  0.5, 0))</f>
        <v>1</v>
      </c>
      <c r="BN56" s="47">
        <f t="array" ref="BN56">IF(AND(ISNUMBER(MATCH(BN$2, AsistenciaJetAdminConcatenada!$A:$A, 0)), ISNUMBER(MATCH(BN$1, AsistenciaJetAdminConcatenada!$B:$B, 0)), ISNUMBER(SEARCH($A56,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ISNUMBER(SEARCH($A56, INDEX(AsistenciaJetAdminConcatenada!$D:$D, MATCH(1, (AsistenciaJetAdminConcatenada!$A:$A=BN$2)*(AsistenciaJetAdminConcatenada!$B:$B=BN$1), 0)), 1))),  0.5, 0))</f>
        <v>1</v>
      </c>
      <c r="BO56" s="47">
        <f t="array" ref="BO56">IF(AND(ISNUMBER(MATCH(BO$2, AsistenciaJetAdminConcatenada!$A:$A, 0)), ISNUMBER(MATCH(BO$1, AsistenciaJetAdminConcatenada!$B:$B, 0)), ISNUMBER(SEARCH($A56,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ISNUMBER(SEARCH($A56, INDEX(AsistenciaJetAdminConcatenada!$D:$D, MATCH(1, (AsistenciaJetAdminConcatenada!$A:$A=BO$2)*(AsistenciaJetAdminConcatenada!$B:$B=BO$1), 0)), 1))),  0.5, 0))</f>
        <v>1</v>
      </c>
      <c r="BP56" s="47">
        <f t="array" ref="BP56">IF(AND(ISNUMBER(MATCH(BP$2, AsistenciaJetAdminConcatenada!$A:$A, 0)), ISNUMBER(MATCH(BP$1, AsistenciaJetAdminConcatenada!$B:$B, 0)), ISNUMBER(SEARCH($A56,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ISNUMBER(SEARCH($A56, INDEX(AsistenciaJetAdminConcatenada!$D:$D, MATCH(1, (AsistenciaJetAdminConcatenada!$A:$A=BP$2)*(AsistenciaJetAdminConcatenada!$B:$B=BP$1), 0)), 1))),  0.5, 0))</f>
        <v>1</v>
      </c>
      <c r="BQ56" s="47">
        <f t="array" ref="BQ56">IF(AND(ISNUMBER(MATCH(BQ$2, AsistenciaJetAdminConcatenada!$A:$A, 0)), ISNUMBER(MATCH(BQ$1, AsistenciaJetAdminConcatenada!$B:$B, 0)), ISNUMBER(SEARCH($A56,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ISNUMBER(SEARCH($A56, INDEX(AsistenciaJetAdminConcatenada!$D:$D, MATCH(1, (AsistenciaJetAdminConcatenada!$A:$A=BQ$2)*(AsistenciaJetAdminConcatenada!$B:$B=BQ$1), 0)), 1))),  0.5, 0))</f>
        <v>0</v>
      </c>
      <c r="BR56" s="47">
        <f t="array" ref="BR56">IF(AND(ISNUMBER(MATCH(BR$2, AsistenciaJetAdminConcatenada!$A:$A, 0)), ISNUMBER(MATCH(BR$1, AsistenciaJetAdminConcatenada!$B:$B, 0)), ISNUMBER(SEARCH($A56,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ISNUMBER(SEARCH($A56, INDEX(AsistenciaJetAdminConcatenada!$D:$D, MATCH(1, (AsistenciaJetAdminConcatenada!$A:$A=BR$2)*(AsistenciaJetAdminConcatenada!$B:$B=BR$1), 0)), 1))),  0.5, 0))</f>
        <v>1</v>
      </c>
      <c r="BS56" s="47">
        <f t="array" ref="BS56">IF(AND(ISNUMBER(MATCH(BS$2, AsistenciaJetAdminConcatenada!$A:$A, 0)), ISNUMBER(MATCH(BS$1, AsistenciaJetAdminConcatenada!$B:$B, 0)), ISNUMBER(SEARCH($A56,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ISNUMBER(SEARCH($A56, INDEX(AsistenciaJetAdminConcatenada!$D:$D, MATCH(1, (AsistenciaJetAdminConcatenada!$A:$A=BS$2)*(AsistenciaJetAdminConcatenada!$B:$B=BS$1), 0)), 1))),  0.5, 0))</f>
        <v>1</v>
      </c>
      <c r="BT56" s="47">
        <f t="array" ref="BT56">IF(AND(ISNUMBER(MATCH(BT$2, AsistenciaJetAdminConcatenada!$A:$A, 0)), ISNUMBER(MATCH(BT$1, AsistenciaJetAdminConcatenada!$B:$B, 0)), ISNUMBER(SEARCH($A56,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ISNUMBER(SEARCH($A56, INDEX(AsistenciaJetAdminConcatenada!$D:$D, MATCH(1, (AsistenciaJetAdminConcatenada!$A:$A=BT$2)*(AsistenciaJetAdminConcatenada!$B:$B=BT$1), 0)), 1))),  0.5, 0))</f>
        <v>1</v>
      </c>
      <c r="BU56" s="47">
        <f t="array" ref="BU56">IF(AND(ISNUMBER(MATCH(BU$2, AsistenciaJetAdminConcatenada!$A:$A, 0)), ISNUMBER(MATCH(BU$1, AsistenciaJetAdminConcatenada!$B:$B, 0)), ISNUMBER(SEARCH($A56,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ISNUMBER(SEARCH($A56, INDEX(AsistenciaJetAdminConcatenada!$D:$D, MATCH(1, (AsistenciaJetAdminConcatenada!$A:$A=BU$2)*(AsistenciaJetAdminConcatenada!$B:$B=BU$1), 0)), 1))),  0.5, 0))</f>
        <v>1</v>
      </c>
      <c r="BV56" s="47">
        <f t="array" ref="BV56">IF(AND(ISNUMBER(MATCH(BV$2, AsistenciaJetAdminConcatenada!$A:$A, 0)), ISNUMBER(MATCH(BV$1, AsistenciaJetAdminConcatenada!$B:$B, 0)), ISNUMBER(SEARCH($A56,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ISNUMBER(SEARCH($A56, INDEX(AsistenciaJetAdminConcatenada!$D:$D, MATCH(1, (AsistenciaJetAdminConcatenada!$A:$A=BV$2)*(AsistenciaJetAdminConcatenada!$B:$B=BV$1), 0)), 1))),  0.5, 0))</f>
        <v>1</v>
      </c>
      <c r="BW56" s="47">
        <f t="array" ref="BW56">IF(AND(ISNUMBER(MATCH(BW$2, AsistenciaJetAdminConcatenada!$A:$A, 0)), ISNUMBER(MATCH(BW$1, AsistenciaJetAdminConcatenada!$B:$B, 0)), ISNUMBER(SEARCH($A56,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ISNUMBER(SEARCH($A56, INDEX(AsistenciaJetAdminConcatenada!$D:$D, MATCH(1, (AsistenciaJetAdminConcatenada!$A:$A=BW$2)*(AsistenciaJetAdminConcatenada!$B:$B=BW$1), 0)), 1))),  0.5, 0))</f>
        <v>1</v>
      </c>
      <c r="BX56" s="47">
        <f t="array" ref="BX56">IF(AND(ISNUMBER(MATCH(BX$2, AsistenciaJetAdminConcatenada!$A:$A, 0)), ISNUMBER(MATCH(BX$1, AsistenciaJetAdminConcatenada!$B:$B, 0)), ISNUMBER(SEARCH($A56,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ISNUMBER(SEARCH($A56, INDEX(AsistenciaJetAdminConcatenada!$D:$D, MATCH(1, (AsistenciaJetAdminConcatenada!$A:$A=BX$2)*(AsistenciaJetAdminConcatenada!$B:$B=BX$1), 0)), 1))),  0.5, 0))</f>
        <v>1</v>
      </c>
      <c r="BY56" s="47">
        <f t="array" ref="BY56">IF(AND(ISNUMBER(MATCH(BY$2, AsistenciaJetAdminConcatenada!$A:$A, 0)), ISNUMBER(MATCH(BY$1, AsistenciaJetAdminConcatenada!$B:$B, 0)), ISNUMBER(SEARCH($A56,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ISNUMBER(SEARCH($A56, INDEX(AsistenciaJetAdminConcatenada!$D:$D, MATCH(1, (AsistenciaJetAdminConcatenada!$A:$A=BY$2)*(AsistenciaJetAdminConcatenada!$B:$B=BY$1), 0)), 1))),  0.5, 0))</f>
        <v>1</v>
      </c>
      <c r="BZ56" s="47">
        <f t="array" ref="BZ56">IF(AND(ISNUMBER(MATCH(BZ$2, AsistenciaJetAdminConcatenada!$A:$A, 0)), ISNUMBER(MATCH(BZ$1, AsistenciaJetAdminConcatenada!$B:$B, 0)), ISNUMBER(SEARCH($A56,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ISNUMBER(SEARCH($A56, INDEX(AsistenciaJetAdminConcatenada!$D:$D, MATCH(1, (AsistenciaJetAdminConcatenada!$A:$A=BZ$2)*(AsistenciaJetAdminConcatenada!$B:$B=BZ$1), 0)), 1))),  0.5, 0))</f>
        <v>1</v>
      </c>
      <c r="CA56" s="47">
        <f t="array" ref="CA56">IF(AND(ISNUMBER(MATCH(CA$2, AsistenciaJetAdminConcatenada!$A:$A, 0)), ISNUMBER(MATCH(CA$1, AsistenciaJetAdminConcatenada!$B:$B, 0)), ISNUMBER(SEARCH($A56,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ISNUMBER(SEARCH($A56, INDEX(AsistenciaJetAdminConcatenada!$D:$D, MATCH(1, (AsistenciaJetAdminConcatenada!$A:$A=CA$2)*(AsistenciaJetAdminConcatenada!$B:$B=CA$1), 0)), 1))),  0.5, 0))</f>
        <v>1</v>
      </c>
      <c r="CB56" s="47">
        <f t="array" ref="CB56">IF(AND(ISNUMBER(MATCH(CB$2, AsistenciaJetAdminConcatenada!$A:$A, 0)), ISNUMBER(MATCH(CB$1, AsistenciaJetAdminConcatenada!$B:$B, 0)), ISNUMBER(SEARCH($A56,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ISNUMBER(SEARCH($A56, INDEX(AsistenciaJetAdminConcatenada!$D:$D, MATCH(1, (AsistenciaJetAdminConcatenada!$A:$A=CB$2)*(AsistenciaJetAdminConcatenada!$B:$B=CB$1), 0)), 1))),  0.5, 0))</f>
        <v>1</v>
      </c>
      <c r="CC56" s="47">
        <f t="array" ref="CC56">IF(AND(ISNUMBER(MATCH(CC$2, AsistenciaJetAdminConcatenada!$A:$A, 0)), ISNUMBER(MATCH(CC$1, AsistenciaJetAdminConcatenada!$B:$B, 0)), ISNUMBER(SEARCH($A56,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ISNUMBER(SEARCH($A56, INDEX(AsistenciaJetAdminConcatenada!$D:$D, MATCH(1, (AsistenciaJetAdminConcatenada!$A:$A=CC$2)*(AsistenciaJetAdminConcatenada!$B:$B=CC$1), 0)), 1))),  0.5, 0))</f>
        <v>1</v>
      </c>
      <c r="CD56" s="47">
        <f t="array" ref="CD56">IF(AND(ISNUMBER(MATCH(CD$2, AsistenciaJetAdminConcatenada!$A:$A, 0)), ISNUMBER(MATCH(CD$1, AsistenciaJetAdminConcatenada!$B:$B, 0)), ISNUMBER(SEARCH($A56,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ISNUMBER(SEARCH($A56, INDEX(AsistenciaJetAdminConcatenada!$D:$D, MATCH(1, (AsistenciaJetAdminConcatenada!$A:$A=CD$2)*(AsistenciaJetAdminConcatenada!$B:$B=CD$1), 0)), 1))),  0.5, 0))</f>
        <v>1</v>
      </c>
      <c r="CE56" s="47">
        <f t="array" ref="CE56">IF(AND(ISNUMBER(MATCH(CE$2, AsistenciaJetAdminConcatenada!$A:$A, 0)), ISNUMBER(MATCH(CE$1, AsistenciaJetAdminConcatenada!$B:$B, 0)), ISNUMBER(SEARCH($A56,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ISNUMBER(SEARCH($A56, INDEX(AsistenciaJetAdminConcatenada!$D:$D, MATCH(1, (AsistenciaJetAdminConcatenada!$A:$A=CE$2)*(AsistenciaJetAdminConcatenada!$B:$B=CE$1), 0)), 1))),  0.5, 0))</f>
        <v>1</v>
      </c>
      <c r="CF56" s="47">
        <f t="array" ref="CF56">IF(AND(ISNUMBER(MATCH(CF$2, AsistenciaJetAdminConcatenada!$A:$A, 0)), ISNUMBER(MATCH(CF$1, AsistenciaJetAdminConcatenada!$B:$B, 0)), ISNUMBER(SEARCH($A56,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ISNUMBER(SEARCH($A56, INDEX(AsistenciaJetAdminConcatenada!$D:$D, MATCH(1, (AsistenciaJetAdminConcatenada!$A:$A=CF$2)*(AsistenciaJetAdminConcatenada!$B:$B=CF$1), 0)), 1))),  0.5, 0))</f>
        <v>1</v>
      </c>
      <c r="CG56" s="47">
        <f t="array" ref="CG56">IF(AND(ISNUMBER(MATCH(CG$2, AsistenciaJetAdminConcatenada!$A:$A, 0)), ISNUMBER(MATCH(CG$1, AsistenciaJetAdminConcatenada!$B:$B, 0)), ISNUMBER(SEARCH($A56,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ISNUMBER(SEARCH($A56, INDEX(AsistenciaJetAdminConcatenada!$D:$D, MATCH(1, (AsistenciaJetAdminConcatenada!$A:$A=CG$2)*(AsistenciaJetAdminConcatenada!$B:$B=CG$1), 0)), 1))),  0.5, 0))</f>
        <v>1</v>
      </c>
      <c r="CH56" s="47">
        <f t="array" ref="CH56">IF(AND(ISNUMBER(MATCH(CH$2, AsistenciaJetAdminConcatenada!$A:$A, 0)), ISNUMBER(MATCH(CH$1, AsistenciaJetAdminConcatenada!$B:$B, 0)), ISNUMBER(SEARCH($A56,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ISNUMBER(SEARCH($A56, INDEX(AsistenciaJetAdminConcatenada!$D:$D, MATCH(1, (AsistenciaJetAdminConcatenada!$A:$A=CH$2)*(AsistenciaJetAdminConcatenada!$B:$B=CH$1), 0)), 1))),  0.5, 0))</f>
        <v>1</v>
      </c>
      <c r="CI56" s="47">
        <f t="array" ref="CI56">IF(AND(ISNUMBER(MATCH(CI$2, AsistenciaJetAdminConcatenada!$A:$A, 0)), ISNUMBER(MATCH(CI$1, AsistenciaJetAdminConcatenada!$B:$B, 0)), ISNUMBER(SEARCH($A56,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ISNUMBER(SEARCH($A56, INDEX(AsistenciaJetAdminConcatenada!$D:$D, MATCH(1, (AsistenciaJetAdminConcatenada!$A:$A=CI$2)*(AsistenciaJetAdminConcatenada!$B:$B=CI$1), 0)), 1))),  0.5, 0))</f>
        <v>1</v>
      </c>
      <c r="CJ56" s="47">
        <f t="array" ref="CJ56">IF(AND(ISNUMBER(MATCH(CJ$2, AsistenciaJetAdminConcatenada!$A:$A, 0)), ISNUMBER(MATCH(CJ$1, AsistenciaJetAdminConcatenada!$B:$B, 0)), ISNUMBER(SEARCH($A56,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ISNUMBER(SEARCH($A56, INDEX(AsistenciaJetAdminConcatenada!$D:$D, MATCH(1, (AsistenciaJetAdminConcatenada!$A:$A=CJ$2)*(AsistenciaJetAdminConcatenada!$B:$B=CJ$1), 0)), 1))),  0.5, 0))</f>
        <v>1</v>
      </c>
      <c r="CK56" s="47">
        <f t="array" ref="CK56">IF(AND(ISNUMBER(MATCH(CK$2, AsistenciaJetAdminConcatenada!$A:$A, 0)), ISNUMBER(MATCH(CK$1, AsistenciaJetAdminConcatenada!$B:$B, 0)), ISNUMBER(SEARCH($A56,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ISNUMBER(SEARCH($A56, INDEX(AsistenciaJetAdminConcatenada!$D:$D, MATCH(1, (AsistenciaJetAdminConcatenada!$A:$A=CK$2)*(AsistenciaJetAdminConcatenada!$B:$B=CK$1), 0)), 1))),  0.5, 0))</f>
        <v>0</v>
      </c>
      <c r="CL56" s="47">
        <f t="array" ref="CL56">IF(AND(ISNUMBER(MATCH(CL$2, AsistenciaJetAdminConcatenada!$A:$A, 0)), ISNUMBER(MATCH(CL$1, AsistenciaJetAdminConcatenada!$B:$B, 0)), ISNUMBER(SEARCH($A56,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ISNUMBER(SEARCH($A56, INDEX(AsistenciaJetAdminConcatenada!$D:$D, MATCH(1, (AsistenciaJetAdminConcatenada!$A:$A=CL$2)*(AsistenciaJetAdminConcatenada!$B:$B=CL$1), 0)), 1))),  0.5, 0))</f>
        <v>1</v>
      </c>
      <c r="CM56" s="47">
        <f t="array" ref="CM56">IF(AND(ISNUMBER(MATCH(CM$2, AsistenciaJetAdminConcatenada!$A:$A, 0)), ISNUMBER(MATCH(CM$1, AsistenciaJetAdminConcatenada!$B:$B, 0)), ISNUMBER(SEARCH($A56,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ISNUMBER(SEARCH($A56, INDEX(AsistenciaJetAdminConcatenada!$D:$D, MATCH(1, (AsistenciaJetAdminConcatenada!$A:$A=CM$2)*(AsistenciaJetAdminConcatenada!$B:$B=CM$1), 0)), 1))),  0.5, 0))</f>
        <v>1</v>
      </c>
      <c r="CN56" s="47">
        <f t="array" ref="CN56">IF(AND(ISNUMBER(MATCH(CN$2, AsistenciaJetAdminConcatenada!$A:$A, 0)), ISNUMBER(MATCH(CN$1, AsistenciaJetAdminConcatenada!$B:$B, 0)), ISNUMBER(SEARCH($A56,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ISNUMBER(SEARCH($A56, INDEX(AsistenciaJetAdminConcatenada!$D:$D, MATCH(1, (AsistenciaJetAdminConcatenada!$A:$A=CN$2)*(AsistenciaJetAdminConcatenada!$B:$B=CN$1), 0)), 1))),  0.5, 0))</f>
        <v>1</v>
      </c>
      <c r="CO56" s="47">
        <f t="array" ref="CO56">IF(AND(ISNUMBER(MATCH(CO$2, AsistenciaJetAdminConcatenada!$A:$A, 0)), ISNUMBER(MATCH(CO$1, AsistenciaJetAdminConcatenada!$B:$B, 0)), ISNUMBER(SEARCH($A56,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ISNUMBER(SEARCH($A56, INDEX(AsistenciaJetAdminConcatenada!$D:$D, MATCH(1, (AsistenciaJetAdminConcatenada!$A:$A=CO$2)*(AsistenciaJetAdminConcatenada!$B:$B=CO$1), 0)), 1))),  0.5, 0))</f>
        <v>1</v>
      </c>
      <c r="CP56" s="47">
        <f t="array" ref="CP56">IF(AND(ISNUMBER(MATCH(CP$2, AsistenciaJetAdminConcatenada!$A:$A, 0)), ISNUMBER(MATCH(CP$1, AsistenciaJetAdminConcatenada!$B:$B, 0)), ISNUMBER(SEARCH($A56,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ISNUMBER(SEARCH($A56, INDEX(AsistenciaJetAdminConcatenada!$D:$D, MATCH(1, (AsistenciaJetAdminConcatenada!$A:$A=CP$2)*(AsistenciaJetAdminConcatenada!$B:$B=CP$1), 0)), 1))),  0.5, 0))</f>
        <v>1</v>
      </c>
      <c r="CQ56" s="47">
        <f t="array" ref="CQ56">IF(AND(ISNUMBER(MATCH(CQ$2, AsistenciaJetAdminConcatenada!$A:$A, 0)), ISNUMBER(MATCH(CQ$1, AsistenciaJetAdminConcatenada!$B:$B, 0)), ISNUMBER(SEARCH($A56,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ISNUMBER(SEARCH($A56, INDEX(AsistenciaJetAdminConcatenada!$D:$D, MATCH(1, (AsistenciaJetAdminConcatenada!$A:$A=CQ$2)*(AsistenciaJetAdminConcatenada!$B:$B=CQ$1), 0)), 1))),  0.5, 0))</f>
        <v>1</v>
      </c>
      <c r="CR56" s="47">
        <f t="array" ref="CR56">IF(AND(ISNUMBER(MATCH(CR$2, AsistenciaJetAdminConcatenada!$A:$A, 0)), ISNUMBER(MATCH(CR$1, AsistenciaJetAdminConcatenada!$B:$B, 0)), ISNUMBER(SEARCH($A56,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ISNUMBER(SEARCH($A56, INDEX(AsistenciaJetAdminConcatenada!$D:$D, MATCH(1, (AsistenciaJetAdminConcatenada!$A:$A=CR$2)*(AsistenciaJetAdminConcatenada!$B:$B=CR$1), 0)), 1))),  0.5, 0))</f>
        <v>1</v>
      </c>
      <c r="CS56" s="47">
        <f t="array" ref="CS56">IF(AND(ISNUMBER(MATCH(CS$2, AsistenciaJetAdminConcatenada!$A:$A, 0)), ISNUMBER(MATCH(CS$1, AsistenciaJetAdminConcatenada!$B:$B, 0)), ISNUMBER(SEARCH($A56,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ISNUMBER(SEARCH($A56, INDEX(AsistenciaJetAdminConcatenada!$D:$D, MATCH(1, (AsistenciaJetAdminConcatenada!$A:$A=CS$2)*(AsistenciaJetAdminConcatenada!$B:$B=CS$1), 0)), 1))),  0.5, 0))</f>
        <v>0</v>
      </c>
      <c r="CT56" s="47">
        <f t="array" ref="CT56">IF(AND(ISNUMBER(MATCH(CT$2, AsistenciaJetAdminConcatenada!$A:$A, 0)), ISNUMBER(MATCH(CT$1, AsistenciaJetAdminConcatenada!$B:$B, 0)), ISNUMBER(SEARCH($A56,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ISNUMBER(SEARCH($A56, INDEX(AsistenciaJetAdminConcatenada!$D:$D, MATCH(1, (AsistenciaJetAdminConcatenada!$A:$A=CT$2)*(AsistenciaJetAdminConcatenada!$B:$B=CT$1), 0)), 1))),  0.5, 0))</f>
        <v>0</v>
      </c>
      <c r="CU56" s="47">
        <f t="array" ref="CU56">IF(AND(ISNUMBER(MATCH(CU$2, AsistenciaJetAdminConcatenada!$A:$A, 0)), ISNUMBER(MATCH(CU$1, AsistenciaJetAdminConcatenada!$B:$B, 0)), ISNUMBER(SEARCH($A56,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ISNUMBER(SEARCH($A56, INDEX(AsistenciaJetAdminConcatenada!$D:$D, MATCH(1, (AsistenciaJetAdminConcatenada!$A:$A=CU$2)*(AsistenciaJetAdminConcatenada!$B:$B=CU$1), 0)), 1))),  0.5, 0))</f>
        <v>0</v>
      </c>
      <c r="CV56" s="47">
        <f t="array" ref="CV56">IF(AND(ISNUMBER(MATCH(CV$2, AsistenciaJetAdminConcatenada!$A:$A, 0)), ISNUMBER(MATCH(CV$1, AsistenciaJetAdminConcatenada!$B:$B, 0)), ISNUMBER(SEARCH($A56,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ISNUMBER(SEARCH($A56, INDEX(AsistenciaJetAdminConcatenada!$D:$D, MATCH(1, (AsistenciaJetAdminConcatenada!$A:$A=CV$2)*(AsistenciaJetAdminConcatenada!$B:$B=CV$1), 0)), 1))),  0.5, 0))</f>
        <v>0</v>
      </c>
      <c r="CW56" s="47">
        <f t="array" ref="CW56">IF(AND(ISNUMBER(MATCH(CW$2, AsistenciaJetAdminConcatenada!$A:$A, 0)), ISNUMBER(MATCH(CW$1, AsistenciaJetAdminConcatenada!$B:$B, 0)), ISNUMBER(SEARCH($A56,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ISNUMBER(SEARCH($A56, INDEX(AsistenciaJetAdminConcatenada!$D:$D, MATCH(1, (AsistenciaJetAdminConcatenada!$A:$A=CW$2)*(AsistenciaJetAdminConcatenada!$B:$B=CW$1), 0)), 1))),  0.5, 0))</f>
        <v>0</v>
      </c>
      <c r="CX56" s="47">
        <f t="array" ref="CX56">IF(AND(ISNUMBER(MATCH(CX$2, AsistenciaJetAdminConcatenada!$A:$A, 0)), ISNUMBER(MATCH(CX$1, AsistenciaJetAdminConcatenada!$B:$B, 0)), ISNUMBER(SEARCH($A56,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ISNUMBER(SEARCH($A56, INDEX(AsistenciaJetAdminConcatenada!$D:$D, MATCH(1, (AsistenciaJetAdminConcatenada!$A:$A=CX$2)*(AsistenciaJetAdminConcatenada!$B:$B=CX$1), 0)), 1))),  0.5, 0))</f>
        <v>0</v>
      </c>
      <c r="CY56" s="47">
        <f t="array" ref="CY56">IF(AND(ISNUMBER(MATCH(CY$2, AsistenciaJetAdminConcatenada!$A:$A, 0)), ISNUMBER(MATCH(CY$1, AsistenciaJetAdminConcatenada!$B:$B, 0)), ISNUMBER(SEARCH($A56,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ISNUMBER(SEARCH($A56, INDEX(AsistenciaJetAdminConcatenada!$D:$D, MATCH(1, (AsistenciaJetAdminConcatenada!$A:$A=CY$2)*(AsistenciaJetAdminConcatenada!$B:$B=CY$1), 0)), 1))),  0.5, 0))</f>
        <v>0</v>
      </c>
      <c r="CZ56" s="47">
        <f t="array" ref="CZ56">IF(AND(ISNUMBER(MATCH(CZ$2, AsistenciaJetAdminConcatenada!$A:$A, 0)), ISNUMBER(MATCH(CZ$1, AsistenciaJetAdminConcatenada!$B:$B, 0)), ISNUMBER(SEARCH($A56,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ISNUMBER(SEARCH($A56, INDEX(AsistenciaJetAdminConcatenada!$D:$D, MATCH(1, (AsistenciaJetAdminConcatenada!$A:$A=CZ$2)*(AsistenciaJetAdminConcatenada!$B:$B=CZ$1), 0)), 1))),  0.5, 0))</f>
        <v>0</v>
      </c>
      <c r="DA56" s="47">
        <f t="array" ref="DA56">IF(AND(ISNUMBER(MATCH(DA$2, AsistenciaJetAdminConcatenada!$A:$A, 0)), ISNUMBER(MATCH(DA$1, AsistenciaJetAdminConcatenada!$B:$B, 0)), ISNUMBER(SEARCH($A56,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ISNUMBER(SEARCH($A56, INDEX(AsistenciaJetAdminConcatenada!$D:$D, MATCH(1, (AsistenciaJetAdminConcatenada!$A:$A=DA$2)*(AsistenciaJetAdminConcatenada!$B:$B=DA$1), 0)), 1))),  0.5, 0))</f>
        <v>0</v>
      </c>
      <c r="DB56" s="47">
        <f t="array" ref="DB56">IF(AND(ISNUMBER(MATCH(DB$2, AsistenciaJetAdminConcatenada!$A:$A, 0)), ISNUMBER(MATCH(DB$1, AsistenciaJetAdminConcatenada!$B:$B, 0)), ISNUMBER(SEARCH($A56,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ISNUMBER(SEARCH($A56, INDEX(AsistenciaJetAdminConcatenada!$D:$D, MATCH(1, (AsistenciaJetAdminConcatenada!$A:$A=DB$2)*(AsistenciaJetAdminConcatenada!$B:$B=DB$1), 0)), 1))),  0.5, 0))</f>
        <v>0</v>
      </c>
      <c r="DC56" s="47">
        <f t="array" ref="DC56">IF(AND(ISNUMBER(MATCH(DC$2, AsistenciaJetAdminConcatenada!$A:$A, 0)), ISNUMBER(MATCH(DC$1, AsistenciaJetAdminConcatenada!$B:$B, 0)), ISNUMBER(SEARCH($A56,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ISNUMBER(SEARCH($A56, INDEX(AsistenciaJetAdminConcatenada!$D:$D, MATCH(1, (AsistenciaJetAdminConcatenada!$A:$A=DC$2)*(AsistenciaJetAdminConcatenada!$B:$B=DC$1), 0)), 1))),  0.5, 0))</f>
        <v>0</v>
      </c>
      <c r="DD56" s="47">
        <f t="array" ref="DD56">IF(AND(ISNUMBER(MATCH(DD$2, AsistenciaJetAdminConcatenada!$A:$A, 0)), ISNUMBER(MATCH(DD$1, AsistenciaJetAdminConcatenada!$B:$B, 0)), ISNUMBER(SEARCH($A56,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ISNUMBER(SEARCH($A56, INDEX(AsistenciaJetAdminConcatenada!$D:$D, MATCH(1, (AsistenciaJetAdminConcatenada!$A:$A=DD$2)*(AsistenciaJetAdminConcatenada!$B:$B=DD$1), 0)), 1))),  0.5, 0))</f>
        <v>0</v>
      </c>
      <c r="DE56" s="47">
        <f t="array" ref="DE56">IF(AND(ISNUMBER(MATCH(DE$2, AsistenciaJetAdminConcatenada!$A:$A, 0)), ISNUMBER(MATCH(DE$1, AsistenciaJetAdminConcatenada!$B:$B, 0)), ISNUMBER(SEARCH($A56,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ISNUMBER(SEARCH($A56, INDEX(AsistenciaJetAdminConcatenada!$D:$D, MATCH(1, (AsistenciaJetAdminConcatenada!$A:$A=DE$2)*(AsistenciaJetAdminConcatenada!$B:$B=DE$1), 0)), 1))),  0.5, 0))</f>
        <v>0</v>
      </c>
      <c r="DF56" s="47">
        <f t="array" ref="DF56">IF(AND(ISNUMBER(MATCH(DF$2, AsistenciaJetAdminConcatenada!$A:$A, 0)), ISNUMBER(MATCH(DF$1, AsistenciaJetAdminConcatenada!$B:$B, 0)), ISNUMBER(SEARCH($A56,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ISNUMBER(SEARCH($A56, INDEX(AsistenciaJetAdminConcatenada!$D:$D, MATCH(1, (AsistenciaJetAdminConcatenada!$A:$A=DF$2)*(AsistenciaJetAdminConcatenada!$B:$B=DF$1), 0)), 1))),  0.5, 0))</f>
        <v>0</v>
      </c>
      <c r="DG56" s="47">
        <f t="array" ref="DG56">IF(AND(ISNUMBER(MATCH(DG$2, AsistenciaJetAdminConcatenada!$A:$A, 0)), ISNUMBER(MATCH(DG$1, AsistenciaJetAdminConcatenada!$B:$B, 0)), ISNUMBER(SEARCH($A56,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ISNUMBER(SEARCH($A56, INDEX(AsistenciaJetAdminConcatenada!$D:$D, MATCH(1, (AsistenciaJetAdminConcatenada!$A:$A=DG$2)*(AsistenciaJetAdminConcatenada!$B:$B=DG$1), 0)), 1))),  0.5, 0))</f>
        <v>0</v>
      </c>
      <c r="DH56" s="47">
        <f t="array" ref="DH56">IF(AND(ISNUMBER(MATCH(DH$2, AsistenciaJetAdminConcatenada!$A:$A, 0)), ISNUMBER(MATCH(DH$1, AsistenciaJetAdminConcatenada!$B:$B, 0)), ISNUMBER(SEARCH($A56,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ISNUMBER(SEARCH($A56, INDEX(AsistenciaJetAdminConcatenada!$D:$D, MATCH(1, (AsistenciaJetAdminConcatenada!$A:$A=DH$2)*(AsistenciaJetAdminConcatenada!$B:$B=DH$1), 0)), 1))),  0.5, 0))</f>
        <v>0</v>
      </c>
      <c r="DI56" s="47">
        <f t="array" ref="DI56">IF(AND(ISNUMBER(MATCH(DI$2, AsistenciaJetAdminConcatenada!$A:$A, 0)), ISNUMBER(MATCH(DI$1, AsistenciaJetAdminConcatenada!$B:$B, 0)), ISNUMBER(SEARCH($A56,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ISNUMBER(SEARCH($A56, INDEX(AsistenciaJetAdminConcatenada!$D:$D, MATCH(1, (AsistenciaJetAdminConcatenada!$A:$A=DI$2)*(AsistenciaJetAdminConcatenada!$B:$B=DI$1), 0)), 1))),  0.5, 0))</f>
        <v>0</v>
      </c>
      <c r="DJ56" s="47">
        <f t="array" ref="DJ56">IF(AND(ISNUMBER(MATCH(DJ$2, AsistenciaJetAdminConcatenada!$A:$A, 0)), ISNUMBER(MATCH(DJ$1, AsistenciaJetAdminConcatenada!$B:$B, 0)), ISNUMBER(SEARCH($A56,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ISNUMBER(SEARCH($A56, INDEX(AsistenciaJetAdminConcatenada!$D:$D, MATCH(1, (AsistenciaJetAdminConcatenada!$A:$A=DJ$2)*(AsistenciaJetAdminConcatenada!$B:$B=DJ$1), 0)), 1))),  0.5, 0))</f>
        <v>0</v>
      </c>
      <c r="DK56" s="47">
        <f t="array" ref="DK56">IF(AND(ISNUMBER(MATCH(DK$2, AsistenciaJetAdminConcatenada!$A:$A, 0)), ISNUMBER(MATCH(DK$1, AsistenciaJetAdminConcatenada!$B:$B, 0)), ISNUMBER(SEARCH($A56,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ISNUMBER(SEARCH($A56, INDEX(AsistenciaJetAdminConcatenada!$D:$D, MATCH(1, (AsistenciaJetAdminConcatenada!$A:$A=DK$2)*(AsistenciaJetAdminConcatenada!$B:$B=DK$1), 0)), 1))),  0.5, 0))</f>
        <v>0</v>
      </c>
      <c r="DL56" s="47">
        <f t="array" ref="DL56">IF(AND(ISNUMBER(MATCH(DL$2, AsistenciaJetAdminConcatenada!$A:$A, 0)), ISNUMBER(MATCH(DL$1, AsistenciaJetAdminConcatenada!$B:$B, 0)), ISNUMBER(SEARCH($A56,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ISNUMBER(SEARCH($A56, INDEX(AsistenciaJetAdminConcatenada!$D:$D, MATCH(1, (AsistenciaJetAdminConcatenada!$A:$A=DL$2)*(AsistenciaJetAdminConcatenada!$B:$B=DL$1), 0)), 1))),  0.5, 0))</f>
        <v>0</v>
      </c>
      <c r="DM56" s="47">
        <f t="array" ref="DM56">IF(AND(ISNUMBER(MATCH(DM$2, AsistenciaJetAdminConcatenada!$A:$A, 0)), ISNUMBER(MATCH(DM$1, AsistenciaJetAdminConcatenada!$B:$B, 0)), ISNUMBER(SEARCH($A56,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ISNUMBER(SEARCH($A56, INDEX(AsistenciaJetAdminConcatenada!$D:$D, MATCH(1, (AsistenciaJetAdminConcatenada!$A:$A=DM$2)*(AsistenciaJetAdminConcatenada!$B:$B=DM$1), 0)), 1))),  0.5, 0))</f>
        <v>0</v>
      </c>
      <c r="DN56" s="47">
        <f t="array" ref="DN56">IF(AND(ISNUMBER(MATCH(DN$2, AsistenciaJetAdminConcatenada!$A:$A, 0)), ISNUMBER(MATCH(DN$1, AsistenciaJetAdminConcatenada!$B:$B, 0)), ISNUMBER(SEARCH($A56,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ISNUMBER(SEARCH($A56, INDEX(AsistenciaJetAdminConcatenada!$D:$D, MATCH(1, (AsistenciaJetAdminConcatenada!$A:$A=DN$2)*(AsistenciaJetAdminConcatenada!$B:$B=DN$1), 0)), 1))),  0.5, 0))</f>
        <v>0</v>
      </c>
      <c r="DO56" s="47">
        <f t="array" ref="DO56">IF(AND(ISNUMBER(MATCH(DO$2, AsistenciaJetAdminConcatenada!$A:$A, 0)), ISNUMBER(MATCH(DO$1, AsistenciaJetAdminConcatenada!$B:$B, 0)), ISNUMBER(SEARCH($A56,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ISNUMBER(SEARCH($A56, INDEX(AsistenciaJetAdminConcatenada!$D:$D, MATCH(1, (AsistenciaJetAdminConcatenada!$A:$A=DO$2)*(AsistenciaJetAdminConcatenada!$B:$B=DO$1), 0)), 1))),  0.5, 0))</f>
        <v>0</v>
      </c>
      <c r="DP56" s="47">
        <f t="array" ref="DP56">IF(AND(ISNUMBER(MATCH(DP$2, AsistenciaJetAdminConcatenada!$A:$A, 0)), ISNUMBER(MATCH(DP$1, AsistenciaJetAdminConcatenada!$B:$B, 0)), ISNUMBER(SEARCH($A56,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ISNUMBER(SEARCH($A56, INDEX(AsistenciaJetAdminConcatenada!$D:$D, MATCH(1, (AsistenciaJetAdminConcatenada!$A:$A=DP$2)*(AsistenciaJetAdminConcatenada!$B:$B=DP$1), 0)), 1))),  0.5, 0))</f>
        <v>0</v>
      </c>
      <c r="DQ56" s="47">
        <f t="array" ref="DQ56">IF(AND(ISNUMBER(MATCH(DQ$2, AsistenciaJetAdminConcatenada!$A:$A, 0)), ISNUMBER(MATCH(DQ$1, AsistenciaJetAdminConcatenada!$B:$B, 0)), ISNUMBER(SEARCH($A56,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ISNUMBER(SEARCH($A56, INDEX(AsistenciaJetAdminConcatenada!$D:$D, MATCH(1, (AsistenciaJetAdminConcatenada!$A:$A=DQ$2)*(AsistenciaJetAdminConcatenada!$B:$B=DQ$1), 0)), 1))),  0.5, 0))</f>
        <v>0</v>
      </c>
      <c r="DR56" s="47">
        <f t="array" ref="DR56">IF(AND(ISNUMBER(MATCH(DR$2, AsistenciaJetAdminConcatenada!$A:$A, 0)), ISNUMBER(MATCH(DR$1, AsistenciaJetAdminConcatenada!$B:$B, 0)), ISNUMBER(SEARCH($A56,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ISNUMBER(SEARCH($A56, INDEX(AsistenciaJetAdminConcatenada!$D:$D, MATCH(1, (AsistenciaJetAdminConcatenada!$A:$A=DR$2)*(AsistenciaJetAdminConcatenada!$B:$B=DR$1), 0)), 1))),  0.5, 0))</f>
        <v>0</v>
      </c>
      <c r="DS56" s="47">
        <f t="array" ref="DS56">IF(AND(ISNUMBER(MATCH(DS$2, AsistenciaJetAdminConcatenada!$A:$A, 0)), ISNUMBER(MATCH(DS$1, AsistenciaJetAdminConcatenada!$B:$B, 0)), ISNUMBER(SEARCH($A56,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ISNUMBER(SEARCH($A56, INDEX(AsistenciaJetAdminConcatenada!$D:$D, MATCH(1, (AsistenciaJetAdminConcatenada!$A:$A=DS$2)*(AsistenciaJetAdminConcatenada!$B:$B=DS$1), 0)), 1))),  0.5, 0))</f>
        <v>0</v>
      </c>
      <c r="DT56" s="47">
        <f t="array" ref="DT56">IF(AND(ISNUMBER(MATCH(DT$2, AsistenciaJetAdminConcatenada!$A:$A, 0)), ISNUMBER(MATCH(DT$1, AsistenciaJetAdminConcatenada!$B:$B, 0)), ISNUMBER(SEARCH($A56,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ISNUMBER(SEARCH($A56, INDEX(AsistenciaJetAdminConcatenada!$D:$D, MATCH(1, (AsistenciaJetAdminConcatenada!$A:$A=DT$2)*(AsistenciaJetAdminConcatenada!$B:$B=DT$1), 0)), 1))),  0.5, 0))</f>
        <v>0</v>
      </c>
      <c r="DU56" s="47">
        <f t="array" ref="DU56">IF(AND(ISNUMBER(MATCH(DU$2, AsistenciaJetAdminConcatenada!$A:$A, 0)), ISNUMBER(MATCH(DU$1, AsistenciaJetAdminConcatenada!$B:$B, 0)), ISNUMBER(SEARCH($A56,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ISNUMBER(SEARCH($A56, INDEX(AsistenciaJetAdminConcatenada!$D:$D, MATCH(1, (AsistenciaJetAdminConcatenada!$A:$A=DU$2)*(AsistenciaJetAdminConcatenada!$B:$B=DU$1), 0)), 1))),  0.5, 0))</f>
        <v>0</v>
      </c>
      <c r="DV56" s="47">
        <f t="array" ref="DV56">IF(AND(ISNUMBER(MATCH(DV$2, AsistenciaJetAdminConcatenada!$A:$A, 0)), ISNUMBER(MATCH(DV$1, AsistenciaJetAdminConcatenada!$B:$B, 0)), ISNUMBER(SEARCH($A56,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ISNUMBER(SEARCH($A56, INDEX(AsistenciaJetAdminConcatenada!$D:$D, MATCH(1, (AsistenciaJetAdminConcatenada!$A:$A=DV$2)*(AsistenciaJetAdminConcatenada!$B:$B=DV$1), 0)), 1))),  0.5, 0))</f>
        <v>0</v>
      </c>
      <c r="DW56" s="47">
        <f t="array" ref="DW56">IF(AND(ISNUMBER(MATCH(DW$2, AsistenciaJetAdminConcatenada!$A:$A, 0)), ISNUMBER(MATCH(DW$1, AsistenciaJetAdminConcatenada!$B:$B, 0)), ISNUMBER(SEARCH($A56,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ISNUMBER(SEARCH($A56, INDEX(AsistenciaJetAdminConcatenada!$D:$D, MATCH(1, (AsistenciaJetAdminConcatenada!$A:$A=DW$2)*(AsistenciaJetAdminConcatenada!$B:$B=DW$1), 0)), 1))),  0.5, 0))</f>
        <v>0</v>
      </c>
      <c r="DX56" s="47">
        <f t="array" ref="DX56">IF(AND(ISNUMBER(MATCH(DX$2, AsistenciaJetAdminConcatenada!$A:$A, 0)), ISNUMBER(MATCH(DX$1, AsistenciaJetAdminConcatenada!$B:$B, 0)), ISNUMBER(SEARCH($A56,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ISNUMBER(SEARCH($A56, INDEX(AsistenciaJetAdminConcatenada!$D:$D, MATCH(1, (AsistenciaJetAdminConcatenada!$A:$A=DX$2)*(AsistenciaJetAdminConcatenada!$B:$B=DX$1), 0)), 1))),  0.5, 0))</f>
        <v>0</v>
      </c>
      <c r="DY56" s="47">
        <f t="array" ref="DY56">IF(AND(ISNUMBER(MATCH(DY$2, AsistenciaJetAdminConcatenada!$A:$A, 0)), ISNUMBER(MATCH(DY$1, AsistenciaJetAdminConcatenada!$B:$B, 0)), ISNUMBER(SEARCH($A56,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ISNUMBER(SEARCH($A56, INDEX(AsistenciaJetAdminConcatenada!$D:$D, MATCH(1, (AsistenciaJetAdminConcatenada!$A:$A=DY$2)*(AsistenciaJetAdminConcatenada!$B:$B=DY$1), 0)), 1))),  0.5, 0))</f>
        <v>0</v>
      </c>
      <c r="DZ56" s="47">
        <f t="array" ref="DZ56">IF(AND(ISNUMBER(MATCH(DZ$2, AsistenciaJetAdminConcatenada!$A:$A, 0)), ISNUMBER(MATCH(DZ$1, AsistenciaJetAdminConcatenada!$B:$B, 0)), ISNUMBER(SEARCH($A56,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ISNUMBER(SEARCH($A56, INDEX(AsistenciaJetAdminConcatenada!$D:$D, MATCH(1, (AsistenciaJetAdminConcatenada!$A:$A=DZ$2)*(AsistenciaJetAdminConcatenada!$B:$B=DZ$1), 0)), 1))),  0.5, 0))</f>
        <v>0</v>
      </c>
      <c r="EA56" s="47">
        <f t="array" ref="EA56">IF(AND(ISNUMBER(MATCH(EA$2, AsistenciaJetAdminConcatenada!$A:$A, 0)), ISNUMBER(MATCH(EA$1, AsistenciaJetAdminConcatenada!$B:$B, 0)), ISNUMBER(SEARCH($A56,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ISNUMBER(SEARCH($A56, INDEX(AsistenciaJetAdminConcatenada!$D:$D, MATCH(1, (AsistenciaJetAdminConcatenada!$A:$A=EA$2)*(AsistenciaJetAdminConcatenada!$B:$B=EA$1), 0)), 1))),  0.5, 0))</f>
        <v>0</v>
      </c>
      <c r="EB56" s="47">
        <f t="array" ref="EB56">IF(AND(ISNUMBER(MATCH(EB$2, AsistenciaJetAdminConcatenada!$A:$A, 0)), ISNUMBER(MATCH(EB$1, AsistenciaJetAdminConcatenada!$B:$B, 0)), ISNUMBER(SEARCH($A56,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ISNUMBER(SEARCH($A56, INDEX(AsistenciaJetAdminConcatenada!$D:$D, MATCH(1, (AsistenciaJetAdminConcatenada!$A:$A=EB$2)*(AsistenciaJetAdminConcatenada!$B:$B=EB$1), 0)), 1))),  0.5, 0))</f>
        <v>0</v>
      </c>
      <c r="EC56" s="47">
        <f t="array" ref="EC56">IF(AND(ISNUMBER(MATCH(EC$2, AsistenciaJetAdminConcatenada!$A:$A, 0)), ISNUMBER(MATCH(EC$1, AsistenciaJetAdminConcatenada!$B:$B, 0)), ISNUMBER(SEARCH($A56,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ISNUMBER(SEARCH($A56, INDEX(AsistenciaJetAdminConcatenada!$D:$D, MATCH(1, (AsistenciaJetAdminConcatenada!$A:$A=EC$2)*(AsistenciaJetAdminConcatenada!$B:$B=EC$1), 0)), 1))),  0.5, 0))</f>
        <v>0</v>
      </c>
      <c r="ED56" s="47">
        <f t="array" ref="ED56">IF(AND(ISNUMBER(MATCH(ED$2, AsistenciaJetAdminConcatenada!$A:$A, 0)), ISNUMBER(MATCH(ED$1, AsistenciaJetAdminConcatenada!$B:$B, 0)), ISNUMBER(SEARCH($A56,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ISNUMBER(SEARCH($A56, INDEX(AsistenciaJetAdminConcatenada!$D:$D, MATCH(1, (AsistenciaJetAdminConcatenada!$A:$A=ED$2)*(AsistenciaJetAdminConcatenada!$B:$B=ED$1), 0)), 1))),  0.5, 0))</f>
        <v>0</v>
      </c>
      <c r="EE56" s="47">
        <f t="array" ref="EE56">IF(AND(ISNUMBER(MATCH(EE$2, AsistenciaJetAdminConcatenada!$A:$A, 0)), ISNUMBER(MATCH(EE$1, AsistenciaJetAdminConcatenada!$B:$B, 0)), ISNUMBER(SEARCH($A56,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ISNUMBER(SEARCH($A56, INDEX(AsistenciaJetAdminConcatenada!$D:$D, MATCH(1, (AsistenciaJetAdminConcatenada!$A:$A=EE$2)*(AsistenciaJetAdminConcatenada!$B:$B=EE$1), 0)), 1))),  0.5, 0))</f>
        <v>0</v>
      </c>
      <c r="EF56" s="47">
        <f t="array" ref="EF56">IF(AND(ISNUMBER(MATCH(EF$2, AsistenciaJetAdminConcatenada!$A:$A, 0)), ISNUMBER(MATCH(EF$1, AsistenciaJetAdminConcatenada!$B:$B, 0)), ISNUMBER(SEARCH($A56,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ISNUMBER(SEARCH($A56, INDEX(AsistenciaJetAdminConcatenada!$D:$D, MATCH(1, (AsistenciaJetAdminConcatenada!$A:$A=EF$2)*(AsistenciaJetAdminConcatenada!$B:$B=EF$1), 0)), 1))),  0.5, 0))</f>
        <v>0</v>
      </c>
      <c r="EG56" s="47">
        <f t="array" ref="EG56">IF(AND(ISNUMBER(MATCH(EG$2, AsistenciaJetAdminConcatenada!$A:$A, 0)), ISNUMBER(MATCH(EG$1, AsistenciaJetAdminConcatenada!$B:$B, 0)), ISNUMBER(SEARCH($A56,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ISNUMBER(SEARCH($A56, INDEX(AsistenciaJetAdminConcatenada!$D:$D, MATCH(1, (AsistenciaJetAdminConcatenada!$A:$A=EG$2)*(AsistenciaJetAdminConcatenada!$B:$B=EG$1), 0)), 1))),  0.5, 0))</f>
        <v>0</v>
      </c>
      <c r="EH56" s="47">
        <f t="array" ref="EH56">IF(AND(ISNUMBER(MATCH(EH$2, AsistenciaJetAdminConcatenada!$A:$A, 0)), ISNUMBER(MATCH(EH$1, AsistenciaJetAdminConcatenada!$B:$B, 0)), ISNUMBER(SEARCH($A56,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ISNUMBER(SEARCH($A56, INDEX(AsistenciaJetAdminConcatenada!$D:$D, MATCH(1, (AsistenciaJetAdminConcatenada!$A:$A=EH$2)*(AsistenciaJetAdminConcatenada!$B:$B=EH$1), 0)), 1))),  0.5, 0))</f>
        <v>0</v>
      </c>
      <c r="EI56" s="47">
        <f t="array" ref="EI56">IF(AND(ISNUMBER(MATCH(EI$2, AsistenciaJetAdminConcatenada!$A:$A, 0)), ISNUMBER(MATCH(EI$1, AsistenciaJetAdminConcatenada!$B:$B, 0)), ISNUMBER(SEARCH($A56,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ISNUMBER(SEARCH($A56, INDEX(AsistenciaJetAdminConcatenada!$D:$D, MATCH(1, (AsistenciaJetAdminConcatenada!$A:$A=EI$2)*(AsistenciaJetAdminConcatenada!$B:$B=EI$1), 0)), 1))),  0.5, 0))</f>
        <v>0</v>
      </c>
      <c r="EJ56" s="47">
        <f t="array" ref="EJ56">IF(AND(ISNUMBER(MATCH(EJ$2, AsistenciaJetAdminConcatenada!$A:$A, 0)), ISNUMBER(MATCH(EJ$1, AsistenciaJetAdminConcatenada!$B:$B, 0)), ISNUMBER(SEARCH($A56,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ISNUMBER(SEARCH($A56, INDEX(AsistenciaJetAdminConcatenada!$D:$D, MATCH(1, (AsistenciaJetAdminConcatenada!$A:$A=EJ$2)*(AsistenciaJetAdminConcatenada!$B:$B=EJ$1), 0)), 1))),  0.5, 0))</f>
        <v>0</v>
      </c>
      <c r="EK56" s="47">
        <f t="array" ref="EK56">IF(AND(ISNUMBER(MATCH(EK$2, AsistenciaJetAdminConcatenada!$A:$A, 0)), ISNUMBER(MATCH(EK$1, AsistenciaJetAdminConcatenada!$B:$B, 0)), ISNUMBER(SEARCH($A56,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ISNUMBER(SEARCH($A56, INDEX(AsistenciaJetAdminConcatenada!$D:$D, MATCH(1, (AsistenciaJetAdminConcatenada!$A:$A=EK$2)*(AsistenciaJetAdminConcatenada!$B:$B=EK$1), 0)), 1))),  0.5, 0))</f>
        <v>0</v>
      </c>
      <c r="EL56" s="47">
        <f t="array" ref="EL56">IF(AND(ISNUMBER(MATCH(EL$2, AsistenciaJetAdminConcatenada!$A:$A, 0)), ISNUMBER(MATCH(EL$1, AsistenciaJetAdminConcatenada!$B:$B, 0)), ISNUMBER(SEARCH($A56,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ISNUMBER(SEARCH($A56, INDEX(AsistenciaJetAdminConcatenada!$D:$D, MATCH(1, (AsistenciaJetAdminConcatenada!$A:$A=EL$2)*(AsistenciaJetAdminConcatenada!$B:$B=EL$1), 0)), 1))),  0.5, 0))</f>
        <v>0</v>
      </c>
      <c r="EM56" s="47">
        <f t="array" ref="EM56">IF(AND(ISNUMBER(MATCH(EM$2, AsistenciaJetAdminConcatenada!$A:$A, 0)), ISNUMBER(MATCH(EM$1, AsistenciaJetAdminConcatenada!$B:$B, 0)), ISNUMBER(SEARCH($A56,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ISNUMBER(SEARCH($A56, INDEX(AsistenciaJetAdminConcatenada!$D:$D, MATCH(1, (AsistenciaJetAdminConcatenada!$A:$A=EM$2)*(AsistenciaJetAdminConcatenada!$B:$B=EM$1), 0)), 1))),  0.5, 0))</f>
        <v>0</v>
      </c>
      <c r="EN56" s="47">
        <f t="array" ref="EN56">IF(AND(ISNUMBER(MATCH(EN$2, AsistenciaJetAdminConcatenada!$A:$A, 0)), ISNUMBER(MATCH(EN$1, AsistenciaJetAdminConcatenada!$B:$B, 0)), ISNUMBER(SEARCH($A56,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ISNUMBER(SEARCH($A56, INDEX(AsistenciaJetAdminConcatenada!$D:$D, MATCH(1, (AsistenciaJetAdminConcatenada!$A:$A=EN$2)*(AsistenciaJetAdminConcatenada!$B:$B=EN$1), 0)), 1))),  0.5, 0))</f>
        <v>0</v>
      </c>
      <c r="EO56" s="47">
        <f t="array" ref="EO56">IF(AND(ISNUMBER(MATCH(EO$2, AsistenciaJetAdminConcatenada!$A:$A, 0)), ISNUMBER(MATCH(EO$1, AsistenciaJetAdminConcatenada!$B:$B, 0)), ISNUMBER(SEARCH($A56,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ISNUMBER(SEARCH($A56, INDEX(AsistenciaJetAdminConcatenada!$D:$D, MATCH(1, (AsistenciaJetAdminConcatenada!$A:$A=EO$2)*(AsistenciaJetAdminConcatenada!$B:$B=EO$1), 0)), 1))),  0.5, 0))</f>
        <v>0</v>
      </c>
      <c r="EP56" s="47">
        <f t="array" ref="EP56">IF(AND(ISNUMBER(MATCH(EP$2, AsistenciaJetAdminConcatenada!$A:$A, 0)), ISNUMBER(MATCH(EP$1, AsistenciaJetAdminConcatenada!$B:$B, 0)), ISNUMBER(SEARCH($A56,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ISNUMBER(SEARCH($A56, INDEX(AsistenciaJetAdminConcatenada!$D:$D, MATCH(1, (AsistenciaJetAdminConcatenada!$A:$A=EP$2)*(AsistenciaJetAdminConcatenada!$B:$B=EP$1), 0)), 1))),  0.5, 0))</f>
        <v>0</v>
      </c>
      <c r="EQ56" s="47">
        <f t="array" ref="EQ56">IF(AND(ISNUMBER(MATCH(EQ$2, AsistenciaJetAdminConcatenada!$A:$A, 0)), ISNUMBER(MATCH(EQ$1, AsistenciaJetAdminConcatenada!$B:$B, 0)), ISNUMBER(SEARCH($A56,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ISNUMBER(SEARCH($A56, INDEX(AsistenciaJetAdminConcatenada!$D:$D, MATCH(1, (AsistenciaJetAdminConcatenada!$A:$A=EQ$2)*(AsistenciaJetAdminConcatenada!$B:$B=EQ$1), 0)), 1))),  0.5, 0))</f>
        <v>0</v>
      </c>
      <c r="ER56" s="47">
        <f t="array" ref="ER56">IF(AND(ISNUMBER(MATCH(ER$2, AsistenciaJetAdminConcatenada!$A:$A, 0)), ISNUMBER(MATCH(ER$1, AsistenciaJetAdminConcatenada!$B:$B, 0)), ISNUMBER(SEARCH($A56,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ISNUMBER(SEARCH($A56, INDEX(AsistenciaJetAdminConcatenada!$D:$D, MATCH(1, (AsistenciaJetAdminConcatenada!$A:$A=ER$2)*(AsistenciaJetAdminConcatenada!$B:$B=ER$1), 0)), 1))),  0.5, 0))</f>
        <v>0</v>
      </c>
      <c r="ES56" s="47">
        <f t="array" ref="ES56">IF(AND(ISNUMBER(MATCH(ES$2, AsistenciaJetAdminConcatenada!$A:$A, 0)), ISNUMBER(MATCH(ES$1, AsistenciaJetAdminConcatenada!$B:$B, 0)), ISNUMBER(SEARCH($A56,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ISNUMBER(SEARCH($A56, INDEX(AsistenciaJetAdminConcatenada!$D:$D, MATCH(1, (AsistenciaJetAdminConcatenada!$A:$A=ES$2)*(AsistenciaJetAdminConcatenada!$B:$B=ES$1), 0)), 1))),  0.5, 0))</f>
        <v>0</v>
      </c>
      <c r="ET56" s="47">
        <f t="array" ref="ET56">IF(AND(ISNUMBER(MATCH(ET$2, AsistenciaJetAdminConcatenada!$A:$A, 0)), ISNUMBER(MATCH(ET$1, AsistenciaJetAdminConcatenada!$B:$B, 0)), ISNUMBER(SEARCH($A56,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ISNUMBER(SEARCH($A56, INDEX(AsistenciaJetAdminConcatenada!$D:$D, MATCH(1, (AsistenciaJetAdminConcatenada!$A:$A=ET$2)*(AsistenciaJetAdminConcatenada!$B:$B=ET$1), 0)), 1))),  0.5, 0))</f>
        <v>0</v>
      </c>
      <c r="EU56" s="47">
        <f t="array" ref="EU56">IF(AND(ISNUMBER(MATCH(EU$2, AsistenciaJetAdminConcatenada!$A:$A, 0)), ISNUMBER(MATCH(EU$1, AsistenciaJetAdminConcatenada!$B:$B, 0)), ISNUMBER(SEARCH($A56,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ISNUMBER(SEARCH($A56, INDEX(AsistenciaJetAdminConcatenada!$D:$D, MATCH(1, (AsistenciaJetAdminConcatenada!$A:$A=EU$2)*(AsistenciaJetAdminConcatenada!$B:$B=EU$1), 0)), 1))),  0.5, 0))</f>
        <v>0</v>
      </c>
      <c r="EV56" s="47">
        <f t="array" ref="EV56">IF(AND(ISNUMBER(MATCH(EV$2, AsistenciaJetAdminConcatenada!$A:$A, 0)), ISNUMBER(MATCH(EV$1, AsistenciaJetAdminConcatenada!$B:$B, 0)), ISNUMBER(SEARCH($A56,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ISNUMBER(SEARCH($A56, INDEX(AsistenciaJetAdminConcatenada!$D:$D, MATCH(1, (AsistenciaJetAdminConcatenada!$A:$A=EV$2)*(AsistenciaJetAdminConcatenada!$B:$B=EV$1), 0)), 1))),  0.5, 0))</f>
        <v>0</v>
      </c>
      <c r="EW56" s="47">
        <f t="array" ref="EW56">IF(AND(ISNUMBER(MATCH(EW$2, AsistenciaJetAdminConcatenada!$A:$A, 0)), ISNUMBER(MATCH(EW$1, AsistenciaJetAdminConcatenada!$B:$B, 0)), ISNUMBER(SEARCH($A56,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ISNUMBER(SEARCH($A56, INDEX(AsistenciaJetAdminConcatenada!$D:$D, MATCH(1, (AsistenciaJetAdminConcatenada!$A:$A=EW$2)*(AsistenciaJetAdminConcatenada!$B:$B=EW$1), 0)), 1))),  0.5, 0))</f>
        <v>0</v>
      </c>
      <c r="EX56" s="47">
        <f t="array" ref="EX56">IF(AND(ISNUMBER(MATCH(EX$2, AsistenciaJetAdminConcatenada!$A:$A, 0)), ISNUMBER(MATCH(EX$1, AsistenciaJetAdminConcatenada!$B:$B, 0)), ISNUMBER(SEARCH($A56,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ISNUMBER(SEARCH($A56, INDEX(AsistenciaJetAdminConcatenada!$D:$D, MATCH(1, (AsistenciaJetAdminConcatenada!$A:$A=EX$2)*(AsistenciaJetAdminConcatenada!$B:$B=EX$1), 0)), 1))),  0.5, 0))</f>
        <v>0</v>
      </c>
      <c r="EY56" s="47">
        <f t="array" ref="EY56">IF(AND(ISNUMBER(MATCH(EY$2, AsistenciaJetAdminConcatenada!$A:$A, 0)), ISNUMBER(MATCH(EY$1, AsistenciaJetAdminConcatenada!$B:$B, 0)), ISNUMBER(SEARCH($A56,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ISNUMBER(SEARCH($A56, INDEX(AsistenciaJetAdminConcatenada!$D:$D, MATCH(1, (AsistenciaJetAdminConcatenada!$A:$A=EY$2)*(AsistenciaJetAdminConcatenada!$B:$B=EY$1), 0)), 1))),  0.5, 0))</f>
        <v>0</v>
      </c>
      <c r="EZ56" s="47">
        <f t="array" ref="EZ56">IF(AND(ISNUMBER(MATCH(EZ$2, AsistenciaJetAdminConcatenada!$A:$A, 0)), ISNUMBER(MATCH(EZ$1, AsistenciaJetAdminConcatenada!$B:$B, 0)), ISNUMBER(SEARCH($A56,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ISNUMBER(SEARCH($A56, INDEX(AsistenciaJetAdminConcatenada!$D:$D, MATCH(1, (AsistenciaJetAdminConcatenada!$A:$A=EZ$2)*(AsistenciaJetAdminConcatenada!$B:$B=EZ$1), 0)), 1))),  0.5, 0))</f>
        <v>0</v>
      </c>
      <c r="FA56" s="47">
        <f t="array" ref="FA56">IF(AND(ISNUMBER(MATCH(FA$2, AsistenciaJetAdminConcatenada!$A:$A, 0)), ISNUMBER(MATCH(FA$1, AsistenciaJetAdminConcatenada!$B:$B, 0)), ISNUMBER(SEARCH($A56,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ISNUMBER(SEARCH($A56, INDEX(AsistenciaJetAdminConcatenada!$D:$D, MATCH(1, (AsistenciaJetAdminConcatenada!$A:$A=FA$2)*(AsistenciaJetAdminConcatenada!$B:$B=FA$1), 0)), 1))),  0.5, 0))</f>
        <v>0</v>
      </c>
      <c r="FB56" s="47">
        <f t="array" ref="FB56">IF(AND(ISNUMBER(MATCH(FB$2, AsistenciaJetAdminConcatenada!$A:$A, 0)), ISNUMBER(MATCH(FB$1, AsistenciaJetAdminConcatenada!$B:$B, 0)), ISNUMBER(SEARCH($A56,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ISNUMBER(SEARCH($A56, INDEX(AsistenciaJetAdminConcatenada!$D:$D, MATCH(1, (AsistenciaJetAdminConcatenada!$A:$A=FB$2)*(AsistenciaJetAdminConcatenada!$B:$B=FB$1), 0)), 1))),  0.5, 0))</f>
        <v>0</v>
      </c>
      <c r="FC56" s="47">
        <f t="array" ref="FC56">IF(AND(ISNUMBER(MATCH(FC$2, AsistenciaJetAdminConcatenada!$A:$A, 0)), ISNUMBER(MATCH(FC$1, AsistenciaJetAdminConcatenada!$B:$B, 0)), ISNUMBER(SEARCH($A56,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ISNUMBER(SEARCH($A56, INDEX(AsistenciaJetAdminConcatenada!$D:$D, MATCH(1, (AsistenciaJetAdminConcatenada!$A:$A=FC$2)*(AsistenciaJetAdminConcatenada!$B:$B=FC$1), 0)), 1))),  0.5, 0))</f>
        <v>0</v>
      </c>
      <c r="FD56" s="47">
        <f t="array" ref="FD56">IF(AND(ISNUMBER(MATCH(FD$2, AsistenciaJetAdminConcatenada!$A:$A, 0)), ISNUMBER(MATCH(FD$1, AsistenciaJetAdminConcatenada!$B:$B, 0)), ISNUMBER(SEARCH($A56,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ISNUMBER(SEARCH($A56, INDEX(AsistenciaJetAdminConcatenada!$D:$D, MATCH(1, (AsistenciaJetAdminConcatenada!$A:$A=FD$2)*(AsistenciaJetAdminConcatenada!$B:$B=FD$1), 0)), 1))),  0.5, 0))</f>
        <v>0</v>
      </c>
      <c r="FE56" s="47">
        <f t="array" ref="FE56">IF(AND(ISNUMBER(MATCH(FE$2, AsistenciaJetAdminConcatenada!$A:$A, 0)), ISNUMBER(MATCH(FE$1, AsistenciaJetAdminConcatenada!$B:$B, 0)), ISNUMBER(SEARCH($A56,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ISNUMBER(SEARCH($A56, INDEX(AsistenciaJetAdminConcatenada!$D:$D, MATCH(1, (AsistenciaJetAdminConcatenada!$A:$A=FE$2)*(AsistenciaJetAdminConcatenada!$B:$B=FE$1), 0)), 1))),  0.5, 0))</f>
        <v>0</v>
      </c>
      <c r="FF56" s="47">
        <f t="array" ref="FF56">IF(AND(ISNUMBER(MATCH(FF$2, AsistenciaJetAdminConcatenada!$A:$A, 0)), ISNUMBER(MATCH(FF$1, AsistenciaJetAdminConcatenada!$B:$B, 0)), ISNUMBER(SEARCH($A56,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ISNUMBER(SEARCH($A56, INDEX(AsistenciaJetAdminConcatenada!$D:$D, MATCH(1, (AsistenciaJetAdminConcatenada!$A:$A=FF$2)*(AsistenciaJetAdminConcatenada!$B:$B=FF$1), 0)), 1))),  0.5, 0))</f>
        <v>0</v>
      </c>
      <c r="FG56" s="47">
        <f t="array" ref="FG56">IF(AND(ISNUMBER(MATCH(FG$2, AsistenciaJetAdminConcatenada!$A:$A, 0)), ISNUMBER(MATCH(FG$1, AsistenciaJetAdminConcatenada!$B:$B, 0)), ISNUMBER(SEARCH($A56,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ISNUMBER(SEARCH($A56, INDEX(AsistenciaJetAdminConcatenada!$D:$D, MATCH(1, (AsistenciaJetAdminConcatenada!$A:$A=FG$2)*(AsistenciaJetAdminConcatenada!$B:$B=FG$1), 0)), 1))),  0.5, 0))</f>
        <v>0</v>
      </c>
      <c r="FH56" s="47">
        <f t="array" ref="FH56">IF(AND(ISNUMBER(MATCH(FH$2, AsistenciaJetAdminConcatenada!$A:$A, 0)), ISNUMBER(MATCH(FH$1, AsistenciaJetAdminConcatenada!$B:$B, 0)), ISNUMBER(SEARCH($A56,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ISNUMBER(SEARCH($A56, INDEX(AsistenciaJetAdminConcatenada!$D:$D, MATCH(1, (AsistenciaJetAdminConcatenada!$A:$A=FH$2)*(AsistenciaJetAdminConcatenada!$B:$B=FH$1), 0)), 1))),  0.5, 0))</f>
        <v>0</v>
      </c>
      <c r="FI56" s="47">
        <f t="array" ref="FI56">IF(AND(ISNUMBER(MATCH(FI$2, AsistenciaJetAdminConcatenada!$A:$A, 0)), ISNUMBER(MATCH(FI$1, AsistenciaJetAdminConcatenada!$B:$B, 0)), ISNUMBER(SEARCH($A56,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ISNUMBER(SEARCH($A56, INDEX(AsistenciaJetAdminConcatenada!$D:$D, MATCH(1, (AsistenciaJetAdminConcatenada!$A:$A=FI$2)*(AsistenciaJetAdminConcatenada!$B:$B=FI$1), 0)), 1))),  0.5, 0))</f>
        <v>0</v>
      </c>
      <c r="FJ56" s="47">
        <f t="array" ref="FJ56">IF(AND(ISNUMBER(MATCH(FJ$2, AsistenciaJetAdminConcatenada!$A:$A, 0)), ISNUMBER(MATCH(FJ$1, AsistenciaJetAdminConcatenada!$B:$B, 0)), ISNUMBER(SEARCH($A56,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ISNUMBER(SEARCH($A56, INDEX(AsistenciaJetAdminConcatenada!$D:$D, MATCH(1, (AsistenciaJetAdminConcatenada!$A:$A=FJ$2)*(AsistenciaJetAdminConcatenada!$B:$B=FJ$1), 0)), 1))),  0.5, 0))</f>
        <v>0</v>
      </c>
      <c r="FK56" s="47">
        <f t="array" ref="FK56">IF(AND(ISNUMBER(MATCH(FK$2, AsistenciaJetAdminConcatenada!$A:$A, 0)), ISNUMBER(MATCH(FK$1, AsistenciaJetAdminConcatenada!$B:$B, 0)), ISNUMBER(SEARCH($A56,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ISNUMBER(SEARCH($A56, INDEX(AsistenciaJetAdminConcatenada!$D:$D, MATCH(1, (AsistenciaJetAdminConcatenada!$A:$A=FK$2)*(AsistenciaJetAdminConcatenada!$B:$B=FK$1), 0)), 1))),  0.5, 0))</f>
        <v>0</v>
      </c>
      <c r="FL56" s="47">
        <f t="array" ref="FL56">IF(AND(ISNUMBER(MATCH(FL$2, AsistenciaJetAdminConcatenada!$A:$A, 0)), ISNUMBER(MATCH(FL$1, AsistenciaJetAdminConcatenada!$B:$B, 0)), ISNUMBER(SEARCH($A56,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ISNUMBER(SEARCH($A56, INDEX(AsistenciaJetAdminConcatenada!$D:$D, MATCH(1, (AsistenciaJetAdminConcatenada!$A:$A=FL$2)*(AsistenciaJetAdminConcatenada!$B:$B=FL$1), 0)), 1))),  0.5, 0))</f>
        <v>0</v>
      </c>
      <c r="FM56" s="47">
        <f t="array" ref="FM56">IF(AND(ISNUMBER(MATCH(FM$2, AsistenciaJetAdminConcatenada!$A:$A, 0)), ISNUMBER(MATCH(FM$1, AsistenciaJetAdminConcatenada!$B:$B, 0)), ISNUMBER(SEARCH($A56,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ISNUMBER(SEARCH($A56, INDEX(AsistenciaJetAdminConcatenada!$D:$D, MATCH(1, (AsistenciaJetAdminConcatenada!$A:$A=FM$2)*(AsistenciaJetAdminConcatenada!$B:$B=FM$1), 0)), 1))),  0.5, 0))</f>
        <v>0</v>
      </c>
      <c r="FN56" s="47">
        <f t="array" ref="FN56">IF(AND(ISNUMBER(MATCH(FN$2, AsistenciaJetAdminConcatenada!$A:$A, 0)), ISNUMBER(MATCH(FN$1, AsistenciaJetAdminConcatenada!$B:$B, 0)), ISNUMBER(SEARCH($A56,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ISNUMBER(SEARCH($A56, INDEX(AsistenciaJetAdminConcatenada!$D:$D, MATCH(1, (AsistenciaJetAdminConcatenada!$A:$A=FN$2)*(AsistenciaJetAdminConcatenada!$B:$B=FN$1), 0)), 1))),  0.5, 0))</f>
        <v>0</v>
      </c>
      <c r="FO56" s="47">
        <f t="array" ref="FO56">IF(AND(ISNUMBER(MATCH(FO$2, AsistenciaJetAdminConcatenada!$A:$A, 0)), ISNUMBER(MATCH(FO$1, AsistenciaJetAdminConcatenada!$B:$B, 0)), ISNUMBER(SEARCH($A56,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ISNUMBER(SEARCH($A56, INDEX(AsistenciaJetAdminConcatenada!$D:$D, MATCH(1, (AsistenciaJetAdminConcatenada!$A:$A=FO$2)*(AsistenciaJetAdminConcatenada!$B:$B=FO$1), 0)), 1))),  0.5, 0))</f>
        <v>0</v>
      </c>
      <c r="FP56" s="47">
        <f t="array" ref="FP56">IF(AND(ISNUMBER(MATCH(FP$2, AsistenciaJetAdminConcatenada!$A:$A, 0)), ISNUMBER(MATCH(FP$1, AsistenciaJetAdminConcatenada!$B:$B, 0)), ISNUMBER(SEARCH($A56,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ISNUMBER(SEARCH($A56, INDEX(AsistenciaJetAdminConcatenada!$D:$D, MATCH(1, (AsistenciaJetAdminConcatenada!$A:$A=FP$2)*(AsistenciaJetAdminConcatenada!$B:$B=FP$1), 0)), 1))),  0.5, 0))</f>
        <v>0</v>
      </c>
      <c r="FQ56" s="47">
        <f t="array" ref="FQ56">IF(AND(ISNUMBER(MATCH(FQ$2, AsistenciaJetAdminConcatenada!$A:$A, 0)), ISNUMBER(MATCH(FQ$1, AsistenciaJetAdminConcatenada!$B:$B, 0)), ISNUMBER(SEARCH($A56,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ISNUMBER(SEARCH($A56, INDEX(AsistenciaJetAdminConcatenada!$D:$D, MATCH(1, (AsistenciaJetAdminConcatenada!$A:$A=FQ$2)*(AsistenciaJetAdminConcatenada!$B:$B=FQ$1), 0)), 1))),  0.5, 0))</f>
        <v>0</v>
      </c>
      <c r="FR56" s="47">
        <f t="array" ref="FR56">IF(AND(ISNUMBER(MATCH(FR$2, AsistenciaJetAdminConcatenada!$A:$A, 0)), ISNUMBER(MATCH(FR$1, AsistenciaJetAdminConcatenada!$B:$B, 0)), ISNUMBER(SEARCH($A56,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ISNUMBER(SEARCH($A56, INDEX(AsistenciaJetAdminConcatenada!$D:$D, MATCH(1, (AsistenciaJetAdminConcatenada!$A:$A=FR$2)*(AsistenciaJetAdminConcatenada!$B:$B=FR$1), 0)), 1))),  0.5, 0))</f>
        <v>0</v>
      </c>
      <c r="FS56" s="47">
        <f t="array" ref="FS56">IF(AND(ISNUMBER(MATCH(FS$2, AsistenciaJetAdminConcatenada!$A:$A, 0)), ISNUMBER(MATCH(FS$1, AsistenciaJetAdminConcatenada!$B:$B, 0)), ISNUMBER(SEARCH($A56,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ISNUMBER(SEARCH($A56, INDEX(AsistenciaJetAdminConcatenada!$D:$D, MATCH(1, (AsistenciaJetAdminConcatenada!$A:$A=FS$2)*(AsistenciaJetAdminConcatenada!$B:$B=FS$1), 0)), 1))),  0.5, 0))</f>
        <v>0</v>
      </c>
      <c r="FT56" s="47">
        <f t="array" ref="FT56">IF(AND(ISNUMBER(MATCH(FT$2, AsistenciaJetAdminConcatenada!$A:$A, 0)), ISNUMBER(MATCH(FT$1, AsistenciaJetAdminConcatenada!$B:$B, 0)), ISNUMBER(SEARCH($A56,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ISNUMBER(SEARCH($A56, INDEX(AsistenciaJetAdminConcatenada!$D:$D, MATCH(1, (AsistenciaJetAdminConcatenada!$A:$A=FT$2)*(AsistenciaJetAdminConcatenada!$B:$B=FT$1), 0)), 1))),  0.5, 0))</f>
        <v>0</v>
      </c>
      <c r="FU56" s="47">
        <f t="array" ref="FU56">IF(AND(ISNUMBER(MATCH(FU$2, AsistenciaJetAdminConcatenada!$A:$A, 0)), ISNUMBER(MATCH(FU$1, AsistenciaJetAdminConcatenada!$B:$B, 0)), ISNUMBER(SEARCH($A56,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ISNUMBER(SEARCH($A56, INDEX(AsistenciaJetAdminConcatenada!$D:$D, MATCH(1, (AsistenciaJetAdminConcatenada!$A:$A=FU$2)*(AsistenciaJetAdminConcatenada!$B:$B=FU$1), 0)), 1))),  0.5, 0))</f>
        <v>0</v>
      </c>
      <c r="FV56" s="47">
        <f t="array" ref="FV56">IF(AND(ISNUMBER(MATCH(FV$2, AsistenciaJetAdminConcatenada!$A:$A, 0)), ISNUMBER(MATCH(FV$1, AsistenciaJetAdminConcatenada!$B:$B, 0)), ISNUMBER(SEARCH($A56,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ISNUMBER(SEARCH($A56, INDEX(AsistenciaJetAdminConcatenada!$D:$D, MATCH(1, (AsistenciaJetAdminConcatenada!$A:$A=FV$2)*(AsistenciaJetAdminConcatenada!$B:$B=FV$1), 0)), 1))),  0.5, 0))</f>
        <v>0</v>
      </c>
      <c r="FW56" s="47">
        <f t="array" ref="FW56">IF(AND(ISNUMBER(MATCH(FW$2, AsistenciaJetAdminConcatenada!$A:$A, 0)), ISNUMBER(MATCH(FW$1, AsistenciaJetAdminConcatenada!$B:$B, 0)), ISNUMBER(SEARCH($A56,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ISNUMBER(SEARCH($A56, INDEX(AsistenciaJetAdminConcatenada!$D:$D, MATCH(1, (AsistenciaJetAdminConcatenada!$A:$A=FW$2)*(AsistenciaJetAdminConcatenada!$B:$B=FW$1), 0)), 1))),  0.5, 0))</f>
        <v>0</v>
      </c>
      <c r="FX56" s="47">
        <f t="array" ref="FX56">IF(AND(ISNUMBER(MATCH(FX$2, AsistenciaJetAdminConcatenada!$A:$A, 0)), ISNUMBER(MATCH(FX$1, AsistenciaJetAdminConcatenada!$B:$B, 0)), ISNUMBER(SEARCH($A56,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ISNUMBER(SEARCH($A56, INDEX(AsistenciaJetAdminConcatenada!$D:$D, MATCH(1, (AsistenciaJetAdminConcatenada!$A:$A=FX$2)*(AsistenciaJetAdminConcatenada!$B:$B=FX$1), 0)), 1))),  0.5, 0))</f>
        <v>0</v>
      </c>
      <c r="FY56" s="47">
        <f t="array" ref="FY56">IF(AND(ISNUMBER(MATCH(FY$2, AsistenciaJetAdminConcatenada!$A:$A, 0)), ISNUMBER(MATCH(FY$1, AsistenciaJetAdminConcatenada!$B:$B, 0)), ISNUMBER(SEARCH($A56,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ISNUMBER(SEARCH($A56, INDEX(AsistenciaJetAdminConcatenada!$D:$D, MATCH(1, (AsistenciaJetAdminConcatenada!$A:$A=FY$2)*(AsistenciaJetAdminConcatenada!$B:$B=FY$1), 0)), 1))),  0.5, 0))</f>
        <v>0</v>
      </c>
      <c r="FZ56" s="47">
        <f t="array" ref="FZ56">IF(AND(ISNUMBER(MATCH(FZ$2, AsistenciaJetAdminConcatenada!$A:$A, 0)), ISNUMBER(MATCH(FZ$1, AsistenciaJetAdminConcatenada!$B:$B, 0)), ISNUMBER(SEARCH($A56,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ISNUMBER(SEARCH($A56, INDEX(AsistenciaJetAdminConcatenada!$D:$D, MATCH(1, (AsistenciaJetAdminConcatenada!$A:$A=FZ$2)*(AsistenciaJetAdminConcatenada!$B:$B=FZ$1), 0)), 1))),  0.5, 0))</f>
        <v>0</v>
      </c>
      <c r="GA56" s="47">
        <f t="array" ref="GA56">IF(AND(ISNUMBER(MATCH(GA$2, AsistenciaJetAdminConcatenada!$A:$A, 0)), ISNUMBER(MATCH(GA$1, AsistenciaJetAdminConcatenada!$B:$B, 0)), ISNUMBER(SEARCH($A56,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ISNUMBER(SEARCH($A56, INDEX(AsistenciaJetAdminConcatenada!$D:$D, MATCH(1, (AsistenciaJetAdminConcatenada!$A:$A=GA$2)*(AsistenciaJetAdminConcatenada!$B:$B=GA$1), 0)), 1))),  0.5, 0))</f>
        <v>0</v>
      </c>
      <c r="GB56" s="47">
        <f t="array" ref="GB56">IF(AND(ISNUMBER(MATCH(GB$2, AsistenciaJetAdminConcatenada!$A:$A, 0)), ISNUMBER(MATCH(GB$1, AsistenciaJetAdminConcatenada!$B:$B, 0)), ISNUMBER(SEARCH($A56,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ISNUMBER(SEARCH($A56, INDEX(AsistenciaJetAdminConcatenada!$D:$D, MATCH(1, (AsistenciaJetAdminConcatenada!$A:$A=GB$2)*(AsistenciaJetAdminConcatenada!$B:$B=GB$1), 0)), 1))),  0.5, 0))</f>
        <v>0</v>
      </c>
      <c r="GC56" s="47">
        <f t="array" ref="GC56">IF(AND(ISNUMBER(MATCH(GC$2, AsistenciaJetAdminConcatenada!$A:$A, 0)), ISNUMBER(MATCH(GC$1, AsistenciaJetAdminConcatenada!$B:$B, 0)), ISNUMBER(SEARCH($A56,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ISNUMBER(SEARCH($A56, INDEX(AsistenciaJetAdminConcatenada!$D:$D, MATCH(1, (AsistenciaJetAdminConcatenada!$A:$A=GC$2)*(AsistenciaJetAdminConcatenada!$B:$B=GC$1), 0)), 1))),  0.5, 0))</f>
        <v>0</v>
      </c>
      <c r="GD56" s="47">
        <f t="array" ref="GD56">IF(AND(ISNUMBER(MATCH(GD$2, AsistenciaJetAdminConcatenada!$A:$A, 0)), ISNUMBER(MATCH(GD$1, AsistenciaJetAdminConcatenada!$B:$B, 0)), ISNUMBER(SEARCH($A56,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ISNUMBER(SEARCH($A56, INDEX(AsistenciaJetAdminConcatenada!$D:$D, MATCH(1, (AsistenciaJetAdminConcatenada!$A:$A=GD$2)*(AsistenciaJetAdminConcatenada!$B:$B=GD$1), 0)), 1))),  0.5, 0))</f>
        <v>0</v>
      </c>
      <c r="GE56" s="47">
        <f t="array" ref="GE56">IF(AND(ISNUMBER(MATCH(GE$2, AsistenciaJetAdminConcatenada!$A:$A, 0)), ISNUMBER(MATCH(GE$1, AsistenciaJetAdminConcatenada!$B:$B, 0)), ISNUMBER(SEARCH($A56,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ISNUMBER(SEARCH($A56, INDEX(AsistenciaJetAdminConcatenada!$D:$D, MATCH(1, (AsistenciaJetAdminConcatenada!$A:$A=GE$2)*(AsistenciaJetAdminConcatenada!$B:$B=GE$1), 0)), 1))),  0.5, 0))</f>
        <v>0</v>
      </c>
      <c r="GF56" s="47">
        <f t="array" ref="GF56">IF(AND(ISNUMBER(MATCH(GF$2, AsistenciaJetAdminConcatenada!$A:$A, 0)), ISNUMBER(MATCH(GF$1, AsistenciaJetAdminConcatenada!$B:$B, 0)), ISNUMBER(SEARCH($A56,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ISNUMBER(SEARCH($A56, INDEX(AsistenciaJetAdminConcatenada!$D:$D, MATCH(1, (AsistenciaJetAdminConcatenada!$A:$A=GF$2)*(AsistenciaJetAdminConcatenada!$B:$B=GF$1), 0)), 1))),  0.5, 0))</f>
        <v>0</v>
      </c>
      <c r="GG56" s="47">
        <f t="array" ref="GG56">IF(AND(ISNUMBER(MATCH(GG$2, AsistenciaJetAdminConcatenada!$A:$A, 0)), ISNUMBER(MATCH(GG$1, AsistenciaJetAdminConcatenada!$B:$B, 0)), ISNUMBER(SEARCH($A56,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ISNUMBER(SEARCH($A56, INDEX(AsistenciaJetAdminConcatenada!$D:$D, MATCH(1, (AsistenciaJetAdminConcatenada!$A:$A=GG$2)*(AsistenciaJetAdminConcatenada!$B:$B=GG$1), 0)), 1))),  0.5, 0))</f>
        <v>0</v>
      </c>
      <c r="GH56" s="47">
        <f t="array" ref="GH56">IF(AND(ISNUMBER(MATCH(GH$2, AsistenciaJetAdminConcatenada!$A:$A, 0)), ISNUMBER(MATCH(GH$1, AsistenciaJetAdminConcatenada!$B:$B, 0)), ISNUMBER(SEARCH($A56,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ISNUMBER(SEARCH($A56, INDEX(AsistenciaJetAdminConcatenada!$D:$D, MATCH(1, (AsistenciaJetAdminConcatenada!$A:$A=GH$2)*(AsistenciaJetAdminConcatenada!$B:$B=GH$1), 0)), 1))),  0.5, 0))</f>
        <v>0</v>
      </c>
      <c r="GI56" s="47">
        <f t="array" ref="GI56">IF(AND(ISNUMBER(MATCH(GI$2, AsistenciaJetAdminConcatenada!$A:$A, 0)), ISNUMBER(MATCH(GI$1, AsistenciaJetAdminConcatenada!$B:$B, 0)), ISNUMBER(SEARCH($A56,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ISNUMBER(SEARCH($A56, INDEX(AsistenciaJetAdminConcatenada!$D:$D, MATCH(1, (AsistenciaJetAdminConcatenada!$A:$A=GI$2)*(AsistenciaJetAdminConcatenada!$B:$B=GI$1), 0)), 1))),  0.5, 0))</f>
        <v>0</v>
      </c>
      <c r="GJ56" s="47">
        <f t="array" ref="GJ56">IF(AND(ISNUMBER(MATCH(GJ$2, AsistenciaJetAdminConcatenada!$A:$A, 0)), ISNUMBER(MATCH(GJ$1, AsistenciaJetAdminConcatenada!$B:$B, 0)), ISNUMBER(SEARCH($A56,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ISNUMBER(SEARCH($A56, INDEX(AsistenciaJetAdminConcatenada!$D:$D, MATCH(1, (AsistenciaJetAdminConcatenada!$A:$A=GJ$2)*(AsistenciaJetAdminConcatenada!$B:$B=GJ$1), 0)), 1))),  0.5, 0))</f>
        <v>0</v>
      </c>
      <c r="GK56" s="47">
        <f t="array" ref="GK56">IF(AND(ISNUMBER(MATCH(GK$2, AsistenciaJetAdminConcatenada!$A:$A, 0)), ISNUMBER(MATCH(GK$1, AsistenciaJetAdminConcatenada!$B:$B, 0)), ISNUMBER(SEARCH($A56,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ISNUMBER(SEARCH($A56, INDEX(AsistenciaJetAdminConcatenada!$D:$D, MATCH(1, (AsistenciaJetAdminConcatenada!$A:$A=GK$2)*(AsistenciaJetAdminConcatenada!$B:$B=GK$1), 0)), 1))),  0.5, 0))</f>
        <v>0</v>
      </c>
      <c r="GL56" s="47">
        <f t="array" ref="GL56">IF(AND(ISNUMBER(MATCH(GL$2, AsistenciaJetAdminConcatenada!$A:$A, 0)), ISNUMBER(MATCH(GL$1, AsistenciaJetAdminConcatenada!$B:$B, 0)), ISNUMBER(SEARCH($A56,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ISNUMBER(SEARCH($A56, INDEX(AsistenciaJetAdminConcatenada!$D:$D, MATCH(1, (AsistenciaJetAdminConcatenada!$A:$A=GL$2)*(AsistenciaJetAdminConcatenada!$B:$B=GL$1), 0)), 1))),  0.5, 0))</f>
        <v>0</v>
      </c>
      <c r="GM56" s="47">
        <f t="array" ref="GM56">IF(AND(ISNUMBER(MATCH(GM$2, AsistenciaJetAdminConcatenada!$A:$A, 0)), ISNUMBER(MATCH(GM$1, AsistenciaJetAdminConcatenada!$B:$B, 0)), ISNUMBER(SEARCH($A56,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ISNUMBER(SEARCH($A56, INDEX(AsistenciaJetAdminConcatenada!$D:$D, MATCH(1, (AsistenciaJetAdminConcatenada!$A:$A=GM$2)*(AsistenciaJetAdminConcatenada!$B:$B=GM$1), 0)), 1))),  0.5, 0))</f>
        <v>0</v>
      </c>
      <c r="GN56" s="47">
        <f t="array" ref="GN56">IF(AND(ISNUMBER(MATCH(GN$2, AsistenciaJetAdminConcatenada!$A:$A, 0)), ISNUMBER(MATCH(GN$1, AsistenciaJetAdminConcatenada!$B:$B, 0)), ISNUMBER(SEARCH($A56,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ISNUMBER(SEARCH($A56, INDEX(AsistenciaJetAdminConcatenada!$D:$D, MATCH(1, (AsistenciaJetAdminConcatenada!$A:$A=GN$2)*(AsistenciaJetAdminConcatenada!$B:$B=GN$1), 0)), 1))),  0.5, 0))</f>
        <v>0</v>
      </c>
      <c r="GO56" s="47">
        <f t="array" ref="GO56">IF(AND(ISNUMBER(MATCH(GO$2, AsistenciaJetAdminConcatenada!$A:$A, 0)), ISNUMBER(MATCH(GO$1, AsistenciaJetAdminConcatenada!$B:$B, 0)), ISNUMBER(SEARCH($A56,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ISNUMBER(SEARCH($A56, INDEX(AsistenciaJetAdminConcatenada!$D:$D, MATCH(1, (AsistenciaJetAdminConcatenada!$A:$A=GO$2)*(AsistenciaJetAdminConcatenada!$B:$B=GO$1), 0)), 1))),  0.5, 0))</f>
        <v>0</v>
      </c>
      <c r="GP56" s="47">
        <f t="array" ref="GP56">IF(AND(ISNUMBER(MATCH(GP$2, AsistenciaJetAdminConcatenada!$A:$A, 0)), ISNUMBER(MATCH(GP$1, AsistenciaJetAdminConcatenada!$B:$B, 0)), ISNUMBER(SEARCH($A56,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ISNUMBER(SEARCH($A56, INDEX(AsistenciaJetAdminConcatenada!$D:$D, MATCH(1, (AsistenciaJetAdminConcatenada!$A:$A=GP$2)*(AsistenciaJetAdminConcatenada!$B:$B=GP$1), 0)), 1))),  0.5, 0))</f>
        <v>0</v>
      </c>
      <c r="GQ56" s="47">
        <f t="array" ref="GQ56">IF(AND(ISNUMBER(MATCH(GQ$2, AsistenciaJetAdminConcatenada!$A:$A, 0)), ISNUMBER(MATCH(GQ$1, AsistenciaJetAdminConcatenada!$B:$B, 0)), ISNUMBER(SEARCH($A56,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ISNUMBER(SEARCH($A56, INDEX(AsistenciaJetAdminConcatenada!$D:$D, MATCH(1, (AsistenciaJetAdminConcatenada!$A:$A=GQ$2)*(AsistenciaJetAdminConcatenada!$B:$B=GQ$1), 0)), 1))),  0.5, 0))</f>
        <v>0</v>
      </c>
      <c r="GR56" s="47">
        <f t="array" ref="GR56">IF(AND(ISNUMBER(MATCH(GR$2, AsistenciaJetAdminConcatenada!$A:$A, 0)), ISNUMBER(MATCH(GR$1, AsistenciaJetAdminConcatenada!$B:$B, 0)), ISNUMBER(SEARCH($A56,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ISNUMBER(SEARCH($A56, INDEX(AsistenciaJetAdminConcatenada!$D:$D, MATCH(1, (AsistenciaJetAdminConcatenada!$A:$A=GR$2)*(AsistenciaJetAdminConcatenada!$B:$B=GR$1), 0)), 1))),  0.5, 0))</f>
        <v>0</v>
      </c>
      <c r="GS56" s="47">
        <f t="array" ref="GS56">IF(AND(ISNUMBER(MATCH(GS$2, AsistenciaJetAdminConcatenada!$A:$A, 0)), ISNUMBER(MATCH(GS$1, AsistenciaJetAdminConcatenada!$B:$B, 0)), ISNUMBER(SEARCH($A56,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ISNUMBER(SEARCH($A56, INDEX(AsistenciaJetAdminConcatenada!$D:$D, MATCH(1, (AsistenciaJetAdminConcatenada!$A:$A=GS$2)*(AsistenciaJetAdminConcatenada!$B:$B=GS$1), 0)), 1))),  0.5, 0))</f>
        <v>0</v>
      </c>
      <c r="GT56" s="47">
        <f t="array" ref="GT56">IF(AND(ISNUMBER(MATCH(GT$2, AsistenciaJetAdminConcatenada!$A:$A, 0)), ISNUMBER(MATCH(GT$1, AsistenciaJetAdminConcatenada!$B:$B, 0)), ISNUMBER(SEARCH($A56,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ISNUMBER(SEARCH($A56, INDEX(AsistenciaJetAdminConcatenada!$D:$D, MATCH(1, (AsistenciaJetAdminConcatenada!$A:$A=GT$2)*(AsistenciaJetAdminConcatenada!$B:$B=GT$1), 0)), 1))),  0.5, 0))</f>
        <v>0</v>
      </c>
      <c r="GU56" s="47">
        <f t="array" ref="GU56">IF(AND(ISNUMBER(MATCH(GU$2, AsistenciaJetAdminConcatenada!$A:$A, 0)), ISNUMBER(MATCH(GU$1, AsistenciaJetAdminConcatenada!$B:$B, 0)), ISNUMBER(SEARCH($A56,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ISNUMBER(SEARCH($A56, INDEX(AsistenciaJetAdminConcatenada!$D:$D, MATCH(1, (AsistenciaJetAdminConcatenada!$A:$A=GU$2)*(AsistenciaJetAdminConcatenada!$B:$B=GU$1), 0)), 1))),  0.5, 0))</f>
        <v>0</v>
      </c>
      <c r="GV56" s="47">
        <f t="array" ref="GV56">IF(AND(ISNUMBER(MATCH(GV$2, AsistenciaJetAdminConcatenada!$A:$A, 0)), ISNUMBER(MATCH(GV$1, AsistenciaJetAdminConcatenada!$B:$B, 0)), ISNUMBER(SEARCH($A56,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ISNUMBER(SEARCH($A56, INDEX(AsistenciaJetAdminConcatenada!$D:$D, MATCH(1, (AsistenciaJetAdminConcatenada!$A:$A=GV$2)*(AsistenciaJetAdminConcatenada!$B:$B=GV$1), 0)), 1))),  0.5, 0))</f>
        <v>0</v>
      </c>
      <c r="GW56" s="47">
        <f t="array" ref="GW56">IF(AND(ISNUMBER(MATCH(GW$2, AsistenciaJetAdminConcatenada!$A:$A, 0)), ISNUMBER(MATCH(GW$1, AsistenciaJetAdminConcatenada!$B:$B, 0)), ISNUMBER(SEARCH($A56,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ISNUMBER(SEARCH($A56, INDEX(AsistenciaJetAdminConcatenada!$D:$D, MATCH(1, (AsistenciaJetAdminConcatenada!$A:$A=GW$2)*(AsistenciaJetAdminConcatenada!$B:$B=GW$1), 0)), 1))),  0.5, 0))</f>
        <v>0</v>
      </c>
      <c r="GX56" s="47">
        <f t="array" ref="GX56">IF(AND(ISNUMBER(MATCH(GX$2, AsistenciaJetAdminConcatenada!$A:$A, 0)), ISNUMBER(MATCH(GX$1, AsistenciaJetAdminConcatenada!$B:$B, 0)), ISNUMBER(SEARCH($A56,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ISNUMBER(SEARCH($A56, INDEX(AsistenciaJetAdminConcatenada!$D:$D, MATCH(1, (AsistenciaJetAdminConcatenada!$A:$A=GX$2)*(AsistenciaJetAdminConcatenada!$B:$B=GX$1), 0)), 1))),  0.5, 0))</f>
        <v>0</v>
      </c>
      <c r="GY56" s="47">
        <f t="array" ref="GY56">IF(AND(ISNUMBER(MATCH(GY$2, AsistenciaJetAdminConcatenada!$A:$A, 0)), ISNUMBER(MATCH(GY$1, AsistenciaJetAdminConcatenada!$B:$B, 0)), ISNUMBER(SEARCH($A56,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ISNUMBER(SEARCH($A56, INDEX(AsistenciaJetAdminConcatenada!$D:$D, MATCH(1, (AsistenciaJetAdminConcatenada!$A:$A=GY$2)*(AsistenciaJetAdminConcatenada!$B:$B=GY$1), 0)), 1))),  0.5, 0))</f>
        <v>0</v>
      </c>
      <c r="GZ56" s="47">
        <f t="array" ref="GZ56">IF(AND(ISNUMBER(MATCH(GZ$2, AsistenciaJetAdminConcatenada!$A:$A, 0)), ISNUMBER(MATCH(GZ$1, AsistenciaJetAdminConcatenada!$B:$B, 0)), ISNUMBER(SEARCH($A56,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ISNUMBER(SEARCH($A56, INDEX(AsistenciaJetAdminConcatenada!$D:$D, MATCH(1, (AsistenciaJetAdminConcatenada!$A:$A=GZ$2)*(AsistenciaJetAdminConcatenada!$B:$B=GZ$1), 0)), 1))),  0.5, 0))</f>
        <v>0</v>
      </c>
      <c r="HA56" s="47">
        <f t="array" ref="HA56">IF(AND(ISNUMBER(MATCH(HA$2, AsistenciaJetAdminConcatenada!$A:$A, 0)), ISNUMBER(MATCH(HA$1, AsistenciaJetAdminConcatenada!$B:$B, 0)), ISNUMBER(SEARCH($A56,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ISNUMBER(SEARCH($A56, INDEX(AsistenciaJetAdminConcatenada!$D:$D, MATCH(1, (AsistenciaJetAdminConcatenada!$A:$A=HA$2)*(AsistenciaJetAdminConcatenada!$B:$B=HA$1), 0)), 1))),  0.5, 0))</f>
        <v>0</v>
      </c>
      <c r="HB56" s="47">
        <f t="array" ref="HB56">IF(AND(ISNUMBER(MATCH(HB$2, AsistenciaJetAdminConcatenada!$A:$A, 0)), ISNUMBER(MATCH(HB$1, AsistenciaJetAdminConcatenada!$B:$B, 0)), ISNUMBER(SEARCH($A56,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ISNUMBER(SEARCH($A56, INDEX(AsistenciaJetAdminConcatenada!$D:$D, MATCH(1, (AsistenciaJetAdminConcatenada!$A:$A=HB$2)*(AsistenciaJetAdminConcatenada!$B:$B=HB$1), 0)), 1))),  0.5, 0))</f>
        <v>0</v>
      </c>
      <c r="HC56" s="47">
        <f t="array" ref="HC56">IF(AND(ISNUMBER(MATCH(HC$2, AsistenciaJetAdminConcatenada!$A:$A, 0)), ISNUMBER(MATCH(HC$1, AsistenciaJetAdminConcatenada!$B:$B, 0)), ISNUMBER(SEARCH($A56,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ISNUMBER(SEARCH($A56, INDEX(AsistenciaJetAdminConcatenada!$D:$D, MATCH(1, (AsistenciaJetAdminConcatenada!$A:$A=HC$2)*(AsistenciaJetAdminConcatenada!$B:$B=HC$1), 0)), 1))),  0.5, 0))</f>
        <v>0</v>
      </c>
    </row>
    <row r="57" ht="29.25" customHeight="1">
      <c r="A57" s="3">
        <v>198.0</v>
      </c>
      <c r="B57" s="4" t="s">
        <v>523</v>
      </c>
      <c r="C57" s="47">
        <f>SUM(D57:HC57) + ActividadesEspeciales!C57</f>
        <v>76</v>
      </c>
      <c r="D57" s="47">
        <f t="array" ref="D57">IF(AND(ISNUMBER(MATCH(D$2, AsistenciaJetAdminConcatenada!$A:$A, 0)), ISNUMBER(MATCH(D$1, AsistenciaJetAdminConcatenada!$B:$B, 0)), ISNUMBER(SEARCH($A57,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ISNUMBER(SEARCH($A57, INDEX(AsistenciaJetAdminConcatenada!$D:$D, MATCH(1, (AsistenciaJetAdminConcatenada!$A:$A=D$2)*(AsistenciaJetAdminConcatenada!$B:$B=D$1), 0)), 1))),  0.5, 0))</f>
        <v>1</v>
      </c>
      <c r="E57" s="47">
        <f t="array" ref="E57">IF(AND(ISNUMBER(MATCH(E$2, AsistenciaJetAdminConcatenada!$A:$A, 0)), ISNUMBER(MATCH(E$1, AsistenciaJetAdminConcatenada!$B:$B, 0)), ISNUMBER(SEARCH($A57,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ISNUMBER(SEARCH($A57, INDEX(AsistenciaJetAdminConcatenada!$D:$D, MATCH(1, (AsistenciaJetAdminConcatenada!$A:$A=E$2)*(AsistenciaJetAdminConcatenada!$B:$B=E$1), 0)), 1))),  0.5, 0))</f>
        <v>1</v>
      </c>
      <c r="F57" s="47">
        <f t="array" ref="F57">IF(AND(ISNUMBER(MATCH(F$2, AsistenciaJetAdminConcatenada!$A:$A, 0)), ISNUMBER(MATCH(F$1, AsistenciaJetAdminConcatenada!$B:$B, 0)), ISNUMBER(SEARCH($A57,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ISNUMBER(SEARCH($A57, INDEX(AsistenciaJetAdminConcatenada!$D:$D, MATCH(1, (AsistenciaJetAdminConcatenada!$A:$A=F$2)*(AsistenciaJetAdminConcatenada!$B:$B=F$1), 0)), 1))),  0.5, 0))</f>
        <v>1</v>
      </c>
      <c r="G57" s="47">
        <f t="array" ref="G57">IF(AND(ISNUMBER(MATCH(G$2, AsistenciaJetAdminConcatenada!$A:$A, 0)), ISNUMBER(MATCH(G$1, AsistenciaJetAdminConcatenada!$B:$B, 0)), ISNUMBER(SEARCH($A57,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ISNUMBER(SEARCH($A57, INDEX(AsistenciaJetAdminConcatenada!$D:$D, MATCH(1, (AsistenciaJetAdminConcatenada!$A:$A=G$2)*(AsistenciaJetAdminConcatenada!$B:$B=G$1), 0)), 1))),  0.5, 0))</f>
        <v>1</v>
      </c>
      <c r="H57" s="47">
        <f t="array" ref="H57">IF(AND(ISNUMBER(MATCH(H$2, AsistenciaJetAdminConcatenada!$A:$A, 0)), ISNUMBER(MATCH(H$1, AsistenciaJetAdminConcatenada!$B:$B, 0)), ISNUMBER(SEARCH($A57,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ISNUMBER(SEARCH($A57, INDEX(AsistenciaJetAdminConcatenada!$D:$D, MATCH(1, (AsistenciaJetAdminConcatenada!$A:$A=H$2)*(AsistenciaJetAdminConcatenada!$B:$B=H$1), 0)), 1))),  0.5, 0))</f>
        <v>1</v>
      </c>
      <c r="I57" s="47">
        <f t="array" ref="I57">IF(AND(ISNUMBER(MATCH(I$2, AsistenciaJetAdminConcatenada!$A:$A, 0)), ISNUMBER(MATCH(I$1, AsistenciaJetAdminConcatenada!$B:$B, 0)), ISNUMBER(SEARCH($A57,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ISNUMBER(SEARCH($A57, INDEX(AsistenciaJetAdminConcatenada!$D:$D, MATCH(1, (AsistenciaJetAdminConcatenada!$A:$A=I$2)*(AsistenciaJetAdminConcatenada!$B:$B=I$1), 0)), 1))),  0.5, 0))</f>
        <v>1</v>
      </c>
      <c r="J57" s="47">
        <f t="array" ref="J57">IF(AND(ISNUMBER(MATCH(J$2, AsistenciaJetAdminConcatenada!$A:$A, 0)), ISNUMBER(MATCH(J$1, AsistenciaJetAdminConcatenada!$B:$B, 0)), ISNUMBER(SEARCH($A57,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ISNUMBER(SEARCH($A57, INDEX(AsistenciaJetAdminConcatenada!$D:$D, MATCH(1, (AsistenciaJetAdminConcatenada!$A:$A=J$2)*(AsistenciaJetAdminConcatenada!$B:$B=J$1), 0)), 1))),  0.5, 0))</f>
        <v>0</v>
      </c>
      <c r="K57" s="47">
        <f t="array" ref="K57">IF(AND(ISNUMBER(MATCH(K$2, AsistenciaJetAdminConcatenada!$A:$A, 0)), ISNUMBER(MATCH(K$1, AsistenciaJetAdminConcatenada!$B:$B, 0)), ISNUMBER(SEARCH($A57,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ISNUMBER(SEARCH($A57, INDEX(AsistenciaJetAdminConcatenada!$D:$D, MATCH(1, (AsistenciaJetAdminConcatenada!$A:$A=K$2)*(AsistenciaJetAdminConcatenada!$B:$B=K$1), 0)), 1))),  0.5, 0))</f>
        <v>1</v>
      </c>
      <c r="L57" s="47">
        <f t="array" ref="L57">IF(AND(ISNUMBER(MATCH(L$2, AsistenciaJetAdminConcatenada!$A:$A, 0)), ISNUMBER(MATCH(L$1, AsistenciaJetAdminConcatenada!$B:$B, 0)), ISNUMBER(SEARCH($A57,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ISNUMBER(SEARCH($A57, INDEX(AsistenciaJetAdminConcatenada!$D:$D, MATCH(1, (AsistenciaJetAdminConcatenada!$A:$A=L$2)*(AsistenciaJetAdminConcatenada!$B:$B=L$1), 0)), 1))),  0.5, 0))</f>
        <v>1</v>
      </c>
      <c r="M57" s="47">
        <f t="array" ref="M57">IF(AND(ISNUMBER(MATCH(M$2, AsistenciaJetAdminConcatenada!$A:$A, 0)), ISNUMBER(MATCH(M$1, AsistenciaJetAdminConcatenada!$B:$B, 0)), ISNUMBER(SEARCH($A57,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ISNUMBER(SEARCH($A57, INDEX(AsistenciaJetAdminConcatenada!$D:$D, MATCH(1, (AsistenciaJetAdminConcatenada!$A:$A=M$2)*(AsistenciaJetAdminConcatenada!$B:$B=M$1), 0)), 1))),  0.5, 0))</f>
        <v>1</v>
      </c>
      <c r="N57" s="47">
        <f t="array" ref="N57">IF(AND(ISNUMBER(MATCH(N$2, AsistenciaJetAdminConcatenada!$A:$A, 0)), ISNUMBER(MATCH(N$1, AsistenciaJetAdminConcatenada!$B:$B, 0)), ISNUMBER(SEARCH($A57,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ISNUMBER(SEARCH($A57, INDEX(AsistenciaJetAdminConcatenada!$D:$D, MATCH(1, (AsistenciaJetAdminConcatenada!$A:$A=N$2)*(AsistenciaJetAdminConcatenada!$B:$B=N$1), 0)), 1))),  0.5, 0))</f>
        <v>1</v>
      </c>
      <c r="O57" s="47">
        <f t="array" ref="O57">IF(AND(ISNUMBER(MATCH(O$2, AsistenciaJetAdminConcatenada!$A:$A, 0)), ISNUMBER(MATCH(O$1, AsistenciaJetAdminConcatenada!$B:$B, 0)), ISNUMBER(SEARCH($A57,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ISNUMBER(SEARCH($A57, INDEX(AsistenciaJetAdminConcatenada!$D:$D, MATCH(1, (AsistenciaJetAdminConcatenada!$A:$A=O$2)*(AsistenciaJetAdminConcatenada!$B:$B=O$1), 0)), 1))),  0.5, 0))</f>
        <v>0</v>
      </c>
      <c r="P57" s="47">
        <f t="array" ref="P57">IF(AND(ISNUMBER(MATCH(P$2, AsistenciaJetAdminConcatenada!$A:$A, 0)), ISNUMBER(MATCH(P$1, AsistenciaJetAdminConcatenada!$B:$B, 0)), ISNUMBER(SEARCH($A57, INDEX(AsistenciaJetAdminConcatenada!$C:$C, MATCH(1, (AsistenciaJetAdminConcatenada!$A:$A=P$2)*(AsistenciaJetAdminConcatenada!$B:$B=P$1), 0)), 1))), 1, IF(AND(ISNUMBER(MATCH(P$2, AsistenciaJetAdminConcatenada!$A:$A, 0)), ISNUMBER(MATCH(P$1, AsistenciaJetAdminConcatenada!$B:$B, 0)), ISNUMBER(SEARCH($A57, INDEX(AsistenciaJetAdminConcatenada!$D:$D, MATCH(1, (AsistenciaJetAdminConcatenada!$A:$A=P$2)*(AsistenciaJetAdminConcatenada!$B:$B=P$1), 0)), 1))),  0.5, 0))</f>
        <v>1</v>
      </c>
      <c r="Q57" s="47">
        <f t="array" ref="Q57">IF(AND(ISNUMBER(MATCH(Q$2, AsistenciaJetAdminConcatenada!$A:$A, 0)), ISNUMBER(MATCH(Q$1, AsistenciaJetAdminConcatenada!$B:$B, 0)), ISNUMBER(SEARCH($A57, INDEX(AsistenciaJetAdminConcatenada!$C:$C, MATCH(1, (AsistenciaJetAdminConcatenada!$A:$A=Q$2)*(AsistenciaJetAdminConcatenada!$B:$B=Q$1), 0)), 1))), 1, IF(AND(ISNUMBER(MATCH(Q$2, AsistenciaJetAdminConcatenada!$A:$A, 0)), ISNUMBER(MATCH(Q$1, AsistenciaJetAdminConcatenada!$B:$B, 0)), ISNUMBER(SEARCH($A57, INDEX(AsistenciaJetAdminConcatenada!$D:$D, MATCH(1, (AsistenciaJetAdminConcatenada!$A:$A=Q$2)*(AsistenciaJetAdminConcatenada!$B:$B=Q$1), 0)), 1))),  0.5, 0))</f>
        <v>1</v>
      </c>
      <c r="R57" s="47">
        <f t="array" ref="R57">IF(AND(ISNUMBER(MATCH(R$2, AsistenciaJetAdminConcatenada!$A:$A, 0)), ISNUMBER(MATCH(R$1, AsistenciaJetAdminConcatenada!$B:$B, 0)), ISNUMBER(SEARCH($A57,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ISNUMBER(SEARCH($A57, INDEX(AsistenciaJetAdminConcatenada!$D:$D, MATCH(1, (AsistenciaJetAdminConcatenada!$A:$A=R$2)*(AsistenciaJetAdminConcatenada!$B:$B=R$1), 0)), 1))),  0.5, 0))</f>
        <v>0</v>
      </c>
      <c r="S57" s="47">
        <f t="array" ref="S57">IF(AND(ISNUMBER(MATCH(S$2, AsistenciaJetAdminConcatenada!$A:$A, 0)), ISNUMBER(MATCH(S$1, AsistenciaJetAdminConcatenada!$B:$B, 0)), ISNUMBER(SEARCH($A57,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ISNUMBER(SEARCH($A57, INDEX(AsistenciaJetAdminConcatenada!$D:$D, MATCH(1, (AsistenciaJetAdminConcatenada!$A:$A=S$2)*(AsistenciaJetAdminConcatenada!$B:$B=S$1), 0)), 1))),  0.5, 0))</f>
        <v>1</v>
      </c>
      <c r="T57" s="47">
        <f t="array" ref="T57">IF(AND(ISNUMBER(MATCH(T$2, AsistenciaJetAdminConcatenada!$A:$A, 0)), ISNUMBER(MATCH(T$1, AsistenciaJetAdminConcatenada!$B:$B, 0)), ISNUMBER(SEARCH($A57,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ISNUMBER(SEARCH($A57, INDEX(AsistenciaJetAdminConcatenada!$D:$D, MATCH(1, (AsistenciaJetAdminConcatenada!$A:$A=T$2)*(AsistenciaJetAdminConcatenada!$B:$B=T$1), 0)), 1))),  0.5, 0))</f>
        <v>1</v>
      </c>
      <c r="U57" s="47">
        <f t="array" ref="U57">IF(AND(ISNUMBER(MATCH(U$2, AsistenciaJetAdminConcatenada!$A:$A, 0)), ISNUMBER(MATCH(U$1, AsistenciaJetAdminConcatenada!$B:$B, 0)), ISNUMBER(SEARCH($A57,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ISNUMBER(SEARCH($A57, INDEX(AsistenciaJetAdminConcatenada!$D:$D, MATCH(1, (AsistenciaJetAdminConcatenada!$A:$A=U$2)*(AsistenciaJetAdminConcatenada!$B:$B=U$1), 0)), 1))),  0.5, 0))</f>
        <v>1</v>
      </c>
      <c r="V57" s="47">
        <f t="array" ref="V57">IF(AND(ISNUMBER(MATCH(V$2, AsistenciaJetAdminConcatenada!$A:$A, 0)), ISNUMBER(MATCH(V$1, AsistenciaJetAdminConcatenada!$B:$B, 0)), ISNUMBER(SEARCH($A57,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ISNUMBER(SEARCH($A57, INDEX(AsistenciaJetAdminConcatenada!$D:$D, MATCH(1, (AsistenciaJetAdminConcatenada!$A:$A=V$2)*(AsistenciaJetAdminConcatenada!$B:$B=V$1), 0)), 1))),  0.5, 0))</f>
        <v>1</v>
      </c>
      <c r="W57" s="47">
        <f t="array" ref="W57">IF(AND(ISNUMBER(MATCH(W$2, AsistenciaJetAdminConcatenada!$A:$A, 0)), ISNUMBER(MATCH(W$1, AsistenciaJetAdminConcatenada!$B:$B, 0)), ISNUMBER(SEARCH($A57,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ISNUMBER(SEARCH($A57, INDEX(AsistenciaJetAdminConcatenada!$D:$D, MATCH(1, (AsistenciaJetAdminConcatenada!$A:$A=W$2)*(AsistenciaJetAdminConcatenada!$B:$B=W$1), 0)), 1))),  0.5, 0))</f>
        <v>1</v>
      </c>
      <c r="X57" s="47">
        <f t="array" ref="X57">IF(AND(ISNUMBER(MATCH(X$2, AsistenciaJetAdminConcatenada!$A:$A, 0)), ISNUMBER(MATCH(X$1, AsistenciaJetAdminConcatenada!$B:$B, 0)), ISNUMBER(SEARCH($A57,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ISNUMBER(SEARCH($A57, INDEX(AsistenciaJetAdminConcatenada!$D:$D, MATCH(1, (AsistenciaJetAdminConcatenada!$A:$A=X$2)*(AsistenciaJetAdminConcatenada!$B:$B=X$1), 0)), 1))),  0.5, 0))</f>
        <v>1</v>
      </c>
      <c r="Y57" s="47">
        <f t="array" ref="Y57">IF(AND(ISNUMBER(MATCH(Y$2, AsistenciaJetAdminConcatenada!$A:$A, 0)), ISNUMBER(MATCH(Y$1, AsistenciaJetAdminConcatenada!$B:$B, 0)), ISNUMBER(SEARCH($A57,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ISNUMBER(SEARCH($A57, INDEX(AsistenciaJetAdminConcatenada!$D:$D, MATCH(1, (AsistenciaJetAdminConcatenada!$A:$A=Y$2)*(AsistenciaJetAdminConcatenada!$B:$B=Y$1), 0)), 1))),  0.5, 0))</f>
        <v>1</v>
      </c>
      <c r="Z57" s="47">
        <f t="array" ref="Z57">IF(AND(ISNUMBER(MATCH(Z$2, AsistenciaJetAdminConcatenada!$A:$A, 0)), ISNUMBER(MATCH(Z$1, AsistenciaJetAdminConcatenada!$B:$B, 0)), ISNUMBER(SEARCH($A57,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ISNUMBER(SEARCH($A57, INDEX(AsistenciaJetAdminConcatenada!$D:$D, MATCH(1, (AsistenciaJetAdminConcatenada!$A:$A=Z$2)*(AsistenciaJetAdminConcatenada!$B:$B=Z$1), 0)), 1))),  0.5, 0))</f>
        <v>0</v>
      </c>
      <c r="AA57" s="47">
        <f t="array" ref="AA57">IF(AND(ISNUMBER(MATCH(AA$2, AsistenciaJetAdminConcatenada!$A:$A, 0)), ISNUMBER(MATCH(AA$1, AsistenciaJetAdminConcatenada!$B:$B, 0)), ISNUMBER(SEARCH($A57,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ISNUMBER(SEARCH($A57, INDEX(AsistenciaJetAdminConcatenada!$D:$D, MATCH(1, (AsistenciaJetAdminConcatenada!$A:$A=AA$2)*(AsistenciaJetAdminConcatenada!$B:$B=AA$1), 0)), 1))),  0.5, 0))</f>
        <v>1</v>
      </c>
      <c r="AB57" s="47">
        <f t="array" ref="AB57">IF(AND(ISNUMBER(MATCH(AB$2, AsistenciaJetAdminConcatenada!$A:$A, 0)), ISNUMBER(MATCH(AB$1, AsistenciaJetAdminConcatenada!$B:$B, 0)), ISNUMBER(SEARCH($A57,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ISNUMBER(SEARCH($A57, INDEX(AsistenciaJetAdminConcatenada!$D:$D, MATCH(1, (AsistenciaJetAdminConcatenada!$A:$A=AB$2)*(AsistenciaJetAdminConcatenada!$B:$B=AB$1), 0)), 1))),  0.5, 0))</f>
        <v>1</v>
      </c>
      <c r="AC57" s="47">
        <f t="array" ref="AC57">IF(AND(ISNUMBER(MATCH(AC$2, AsistenciaJetAdminConcatenada!$A:$A, 0)), ISNUMBER(MATCH(AC$1, AsistenciaJetAdminConcatenada!$B:$B, 0)), ISNUMBER(SEARCH($A57,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ISNUMBER(SEARCH($A57, INDEX(AsistenciaJetAdminConcatenada!$D:$D, MATCH(1, (AsistenciaJetAdminConcatenada!$A:$A=AC$2)*(AsistenciaJetAdminConcatenada!$B:$B=AC$1), 0)), 1))),  0.5, 0))</f>
        <v>1</v>
      </c>
      <c r="AD57" s="47">
        <f t="array" ref="AD57">IF(AND(ISNUMBER(MATCH(AD$2, AsistenciaJetAdminConcatenada!$A:$A, 0)), ISNUMBER(MATCH(AD$1, AsistenciaJetAdminConcatenada!$B:$B, 0)), ISNUMBER(SEARCH($A57,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ISNUMBER(SEARCH($A57, INDEX(AsistenciaJetAdminConcatenada!$D:$D, MATCH(1, (AsistenciaJetAdminConcatenada!$A:$A=AD$2)*(AsistenciaJetAdminConcatenada!$B:$B=AD$1), 0)), 1))),  0.5, 0))</f>
        <v>1</v>
      </c>
      <c r="AE57" s="47">
        <f t="array" ref="AE57">IF(AND(ISNUMBER(MATCH(AE$2, AsistenciaJetAdminConcatenada!$A:$A, 0)), ISNUMBER(MATCH(AE$1, AsistenciaJetAdminConcatenada!$B:$B, 0)), ISNUMBER(SEARCH($A57,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ISNUMBER(SEARCH($A57, INDEX(AsistenciaJetAdminConcatenada!$D:$D, MATCH(1, (AsistenciaJetAdminConcatenada!$A:$A=AE$2)*(AsistenciaJetAdminConcatenada!$B:$B=AE$1), 0)), 1))),  0.5, 0))</f>
        <v>1</v>
      </c>
      <c r="AF57" s="47">
        <f t="array" ref="AF57">IF(AND(ISNUMBER(MATCH(AF$2, AsistenciaJetAdminConcatenada!$A:$A, 0)), ISNUMBER(MATCH(AF$1, AsistenciaJetAdminConcatenada!$B:$B, 0)), ISNUMBER(SEARCH($A57,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ISNUMBER(SEARCH($A57, INDEX(AsistenciaJetAdminConcatenada!$D:$D, MATCH(1, (AsistenciaJetAdminConcatenada!$A:$A=AF$2)*(AsistenciaJetAdminConcatenada!$B:$B=AF$1), 0)), 1))),  0.5, 0))</f>
        <v>1</v>
      </c>
      <c r="AG57" s="47">
        <f t="array" ref="AG57">IF(AND(ISNUMBER(MATCH(AG$2, AsistenciaJetAdminConcatenada!$A:$A, 0)), ISNUMBER(MATCH(AG$1, AsistenciaJetAdminConcatenada!$B:$B, 0)), ISNUMBER(SEARCH($A57,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ISNUMBER(SEARCH($A57, INDEX(AsistenciaJetAdminConcatenada!$D:$D, MATCH(1, (AsistenciaJetAdminConcatenada!$A:$A=AG$2)*(AsistenciaJetAdminConcatenada!$B:$B=AG$1), 0)), 1))),  0.5, 0))</f>
        <v>0</v>
      </c>
      <c r="AH57" s="47">
        <f t="array" ref="AH57">IF(AND(ISNUMBER(MATCH(AH$2, AsistenciaJetAdminConcatenada!$A:$A, 0)), ISNUMBER(MATCH(AH$1, AsistenciaJetAdminConcatenada!$B:$B, 0)), ISNUMBER(SEARCH($A57,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ISNUMBER(SEARCH($A57, INDEX(AsistenciaJetAdminConcatenada!$D:$D, MATCH(1, (AsistenciaJetAdminConcatenada!$A:$A=AH$2)*(AsistenciaJetAdminConcatenada!$B:$B=AH$1), 0)), 1))),  0.5, 0))</f>
        <v>0</v>
      </c>
      <c r="AI57" s="47">
        <f t="array" ref="AI57">IF(AND(ISNUMBER(MATCH(AI$2, AsistenciaJetAdminConcatenada!$A:$A, 0)), ISNUMBER(MATCH(AI$1, AsistenciaJetAdminConcatenada!$B:$B, 0)), ISNUMBER(SEARCH($A57,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ISNUMBER(SEARCH($A57, INDEX(AsistenciaJetAdminConcatenada!$D:$D, MATCH(1, (AsistenciaJetAdminConcatenada!$A:$A=AI$2)*(AsistenciaJetAdminConcatenada!$B:$B=AI$1), 0)), 1))),  0.5, 0))</f>
        <v>1</v>
      </c>
      <c r="AJ57" s="47">
        <f t="array" ref="AJ57">IF(AND(ISNUMBER(MATCH(AJ$2, AsistenciaJetAdminConcatenada!$A:$A, 0)), ISNUMBER(MATCH(AJ$1, AsistenciaJetAdminConcatenada!$B:$B, 0)), ISNUMBER(SEARCH($A57,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ISNUMBER(SEARCH($A57, INDEX(AsistenciaJetAdminConcatenada!$D:$D, MATCH(1, (AsistenciaJetAdminConcatenada!$A:$A=AJ$2)*(AsistenciaJetAdminConcatenada!$B:$B=AJ$1), 0)), 1))),  0.5, 0))</f>
        <v>1</v>
      </c>
      <c r="AK57" s="47">
        <f t="array" ref="AK57">IF(AND(ISNUMBER(MATCH(AK$2, AsistenciaJetAdminConcatenada!$A:$A, 0)), ISNUMBER(MATCH(AK$1, AsistenciaJetAdminConcatenada!$B:$B, 0)), ISNUMBER(SEARCH($A57,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ISNUMBER(SEARCH($A57, INDEX(AsistenciaJetAdminConcatenada!$D:$D, MATCH(1, (AsistenciaJetAdminConcatenada!$A:$A=AK$2)*(AsistenciaJetAdminConcatenada!$B:$B=AK$1), 0)), 1))),  0.5, 0))</f>
        <v>0</v>
      </c>
      <c r="AL57" s="47">
        <f t="array" ref="AL57">IF(AND(ISNUMBER(MATCH(AL$2, AsistenciaJetAdminConcatenada!$A:$A, 0)), ISNUMBER(MATCH(AL$1, AsistenciaJetAdminConcatenada!$B:$B, 0)), ISNUMBER(SEARCH($A57,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ISNUMBER(SEARCH($A57, INDEX(AsistenciaJetAdminConcatenada!$D:$D, MATCH(1, (AsistenciaJetAdminConcatenada!$A:$A=AL$2)*(AsistenciaJetAdminConcatenada!$B:$B=AL$1), 0)), 1))),  0.5, 0))</f>
        <v>0</v>
      </c>
      <c r="AM57" s="47">
        <f t="array" ref="AM57">IF(AND(ISNUMBER(MATCH(AM$2, AsistenciaJetAdminConcatenada!$A:$A, 0)), ISNUMBER(MATCH(AM$1, AsistenciaJetAdminConcatenada!$B:$B, 0)), ISNUMBER(SEARCH($A57,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ISNUMBER(SEARCH($A57, INDEX(AsistenciaJetAdminConcatenada!$D:$D, MATCH(1, (AsistenciaJetAdminConcatenada!$A:$A=AM$2)*(AsistenciaJetAdminConcatenada!$B:$B=AM$1), 0)), 1))),  0.5, 0))</f>
        <v>0</v>
      </c>
      <c r="AN57" s="47">
        <f t="array" ref="AN57">IF(AND(ISNUMBER(MATCH(AN$2, AsistenciaJetAdminConcatenada!$A:$A, 0)), ISNUMBER(MATCH(AN$1, AsistenciaJetAdminConcatenada!$B:$B, 0)), ISNUMBER(SEARCH($A57,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ISNUMBER(SEARCH($A57, INDEX(AsistenciaJetAdminConcatenada!$D:$D, MATCH(1, (AsistenciaJetAdminConcatenada!$A:$A=AN$2)*(AsistenciaJetAdminConcatenada!$B:$B=AN$1), 0)), 1))),  0.5, 0))</f>
        <v>1</v>
      </c>
      <c r="AO57" s="47">
        <f t="array" ref="AO57">IF(AND(ISNUMBER(MATCH(AO$2, AsistenciaJetAdminConcatenada!$A:$A, 0)), ISNUMBER(MATCH(AO$1, AsistenciaJetAdminConcatenada!$B:$B, 0)), ISNUMBER(SEARCH($A57,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ISNUMBER(SEARCH($A57, INDEX(AsistenciaJetAdminConcatenada!$D:$D, MATCH(1, (AsistenciaJetAdminConcatenada!$A:$A=AO$2)*(AsistenciaJetAdminConcatenada!$B:$B=AO$1), 0)), 1))),  0.5, 0))</f>
        <v>1</v>
      </c>
      <c r="AP57" s="47">
        <f t="array" ref="AP57">IF(AND(ISNUMBER(MATCH(AP$2, AsistenciaJetAdminConcatenada!$A:$A, 0)), ISNUMBER(MATCH(AP$1, AsistenciaJetAdminConcatenada!$B:$B, 0)), ISNUMBER(SEARCH($A57,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ISNUMBER(SEARCH($A57, INDEX(AsistenciaJetAdminConcatenada!$D:$D, MATCH(1, (AsistenciaJetAdminConcatenada!$A:$A=AP$2)*(AsistenciaJetAdminConcatenada!$B:$B=AP$1), 0)), 1))),  0.5, 0))</f>
        <v>1</v>
      </c>
      <c r="AQ57" s="47">
        <f t="array" ref="AQ57">IF(AND(ISNUMBER(MATCH(AQ$2, AsistenciaJetAdminConcatenada!$A:$A, 0)), ISNUMBER(MATCH(AQ$1, AsistenciaJetAdminConcatenada!$B:$B, 0)), ISNUMBER(SEARCH($A57,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ISNUMBER(SEARCH($A57, INDEX(AsistenciaJetAdminConcatenada!$D:$D, MATCH(1, (AsistenciaJetAdminConcatenada!$A:$A=AQ$2)*(AsistenciaJetAdminConcatenada!$B:$B=AQ$1), 0)), 1))),  0.5, 0))</f>
        <v>0</v>
      </c>
      <c r="AR57" s="47">
        <f t="array" ref="AR57">IF(AND(ISNUMBER(MATCH(AR$2, AsistenciaJetAdminConcatenada!$A:$A, 0)), ISNUMBER(MATCH(AR$1, AsistenciaJetAdminConcatenada!$B:$B, 0)), ISNUMBER(SEARCH($A57,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ISNUMBER(SEARCH($A57, INDEX(AsistenciaJetAdminConcatenada!$D:$D, MATCH(1, (AsistenciaJetAdminConcatenada!$A:$A=AR$2)*(AsistenciaJetAdminConcatenada!$B:$B=AR$1), 0)), 1))),  0.5, 0))</f>
        <v>1</v>
      </c>
      <c r="AS57" s="47">
        <f t="array" ref="AS57">IF(AND(ISNUMBER(MATCH(AS$2, AsistenciaJetAdminConcatenada!$A:$A, 0)), ISNUMBER(MATCH(AS$1, AsistenciaJetAdminConcatenada!$B:$B, 0)), ISNUMBER(SEARCH($A57,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ISNUMBER(SEARCH($A57, INDEX(AsistenciaJetAdminConcatenada!$D:$D, MATCH(1, (AsistenciaJetAdminConcatenada!$A:$A=AS$2)*(AsistenciaJetAdminConcatenada!$B:$B=AS$1), 0)), 1))),  0.5, 0))</f>
        <v>1</v>
      </c>
      <c r="AT57" s="47">
        <f t="array" ref="AT57">IF(AND(ISNUMBER(MATCH(AT$2, AsistenciaJetAdminConcatenada!$A:$A, 0)), ISNUMBER(MATCH(AT$1, AsistenciaJetAdminConcatenada!$B:$B, 0)), ISNUMBER(SEARCH($A57,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ISNUMBER(SEARCH($A57, INDEX(AsistenciaJetAdminConcatenada!$D:$D, MATCH(1, (AsistenciaJetAdminConcatenada!$A:$A=AT$2)*(AsistenciaJetAdminConcatenada!$B:$B=AT$1), 0)), 1))),  0.5, 0))</f>
        <v>0</v>
      </c>
      <c r="AU57" s="47">
        <f t="array" ref="AU57">IF(AND(ISNUMBER(MATCH(AU$2, AsistenciaJetAdminConcatenada!$A:$A, 0)), ISNUMBER(MATCH(AU$1, AsistenciaJetAdminConcatenada!$B:$B, 0)), ISNUMBER(SEARCH($A57,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ISNUMBER(SEARCH($A57, INDEX(AsistenciaJetAdminConcatenada!$D:$D, MATCH(1, (AsistenciaJetAdminConcatenada!$A:$A=AU$2)*(AsistenciaJetAdminConcatenada!$B:$B=AU$1), 0)), 1))),  0.5, 0))</f>
        <v>1</v>
      </c>
      <c r="AV57" s="47">
        <f t="array" ref="AV57">IF(AND(ISNUMBER(MATCH(AV$2, AsistenciaJetAdminConcatenada!$A:$A, 0)), ISNUMBER(MATCH(AV$1, AsistenciaJetAdminConcatenada!$B:$B, 0)), ISNUMBER(SEARCH($A57,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ISNUMBER(SEARCH($A57, INDEX(AsistenciaJetAdminConcatenada!$D:$D, MATCH(1, (AsistenciaJetAdminConcatenada!$A:$A=AV$2)*(AsistenciaJetAdminConcatenada!$B:$B=AV$1), 0)), 1))),  0.5, 0))</f>
        <v>1</v>
      </c>
      <c r="AW57" s="47">
        <f t="array" ref="AW57">IF(AND(ISNUMBER(MATCH(AW$2, AsistenciaJetAdminConcatenada!$A:$A, 0)), ISNUMBER(MATCH(AW$1, AsistenciaJetAdminConcatenada!$B:$B, 0)), ISNUMBER(SEARCH($A57,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ISNUMBER(SEARCH($A57, INDEX(AsistenciaJetAdminConcatenada!$D:$D, MATCH(1, (AsistenciaJetAdminConcatenada!$A:$A=AW$2)*(AsistenciaJetAdminConcatenada!$B:$B=AW$1), 0)), 1))),  0.5, 0))</f>
        <v>0</v>
      </c>
      <c r="AX57" s="47">
        <f t="array" ref="AX57">IF(AND(ISNUMBER(MATCH(AX$2, AsistenciaJetAdminConcatenada!$A:$A, 0)), ISNUMBER(MATCH(AX$1, AsistenciaJetAdminConcatenada!$B:$B, 0)), ISNUMBER(SEARCH($A57,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ISNUMBER(SEARCH($A57, INDEX(AsistenciaJetAdminConcatenada!$D:$D, MATCH(1, (AsistenciaJetAdminConcatenada!$A:$A=AX$2)*(AsistenciaJetAdminConcatenada!$B:$B=AX$1), 0)), 1))),  0.5, 0))</f>
        <v>0</v>
      </c>
      <c r="AY57" s="47">
        <f t="array" ref="AY57">IF(AND(ISNUMBER(MATCH(AY$2, AsistenciaJetAdminConcatenada!$A:$A, 0)), ISNUMBER(MATCH(AY$1, AsistenciaJetAdminConcatenada!$B:$B, 0)), ISNUMBER(SEARCH($A57,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ISNUMBER(SEARCH($A57, INDEX(AsistenciaJetAdminConcatenada!$D:$D, MATCH(1, (AsistenciaJetAdminConcatenada!$A:$A=AY$2)*(AsistenciaJetAdminConcatenada!$B:$B=AY$1), 0)), 1))),  0.5, 0))</f>
        <v>1</v>
      </c>
      <c r="AZ57" s="47">
        <f t="array" ref="AZ57">IF(AND(ISNUMBER(MATCH(AZ$2, AsistenciaJetAdminConcatenada!$A:$A, 0)), ISNUMBER(MATCH(AZ$1, AsistenciaJetAdminConcatenada!$B:$B, 0)), ISNUMBER(SEARCH($A57,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ISNUMBER(SEARCH($A57, INDEX(AsistenciaJetAdminConcatenada!$D:$D, MATCH(1, (AsistenciaJetAdminConcatenada!$A:$A=AZ$2)*(AsistenciaJetAdminConcatenada!$B:$B=AZ$1), 0)), 1))),  0.5, 0))</f>
        <v>1</v>
      </c>
      <c r="BA57" s="47">
        <f t="array" ref="BA57">IF(AND(ISNUMBER(MATCH(BA$2, AsistenciaJetAdminConcatenada!$A:$A, 0)), ISNUMBER(MATCH(BA$1, AsistenciaJetAdminConcatenada!$B:$B, 0)), ISNUMBER(SEARCH($A57,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ISNUMBER(SEARCH($A57, INDEX(AsistenciaJetAdminConcatenada!$D:$D, MATCH(1, (AsistenciaJetAdminConcatenada!$A:$A=BA$2)*(AsistenciaJetAdminConcatenada!$B:$B=BA$1), 0)), 1))),  0.5, 0))</f>
        <v>1</v>
      </c>
      <c r="BB57" s="47">
        <f t="array" ref="BB57">IF(AND(ISNUMBER(MATCH(BB$2, AsistenciaJetAdminConcatenada!$A:$A, 0)), ISNUMBER(MATCH(BB$1, AsistenciaJetAdminConcatenada!$B:$B, 0)), ISNUMBER(SEARCH($A57,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ISNUMBER(SEARCH($A57, INDEX(AsistenciaJetAdminConcatenada!$D:$D, MATCH(1, (AsistenciaJetAdminConcatenada!$A:$A=BB$2)*(AsistenciaJetAdminConcatenada!$B:$B=BB$1), 0)), 1))),  0.5, 0))</f>
        <v>1</v>
      </c>
      <c r="BC57" s="47">
        <f t="array" ref="BC57">IF(AND(ISNUMBER(MATCH(BC$2, AsistenciaJetAdminConcatenada!$A:$A, 0)), ISNUMBER(MATCH(BC$1, AsistenciaJetAdminConcatenada!$B:$B, 0)), ISNUMBER(SEARCH($A57,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ISNUMBER(SEARCH($A57, INDEX(AsistenciaJetAdminConcatenada!$D:$D, MATCH(1, (AsistenciaJetAdminConcatenada!$A:$A=BC$2)*(AsistenciaJetAdminConcatenada!$B:$B=BC$1), 0)), 1))),  0.5, 0))</f>
        <v>1</v>
      </c>
      <c r="BD57" s="47">
        <f t="array" ref="BD57">IF(AND(ISNUMBER(MATCH(BD$2, AsistenciaJetAdminConcatenada!$A:$A, 0)), ISNUMBER(MATCH(BD$1, AsistenciaJetAdminConcatenada!$B:$B, 0)), ISNUMBER(SEARCH($A57,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ISNUMBER(SEARCH($A57, INDEX(AsistenciaJetAdminConcatenada!$D:$D, MATCH(1, (AsistenciaJetAdminConcatenada!$A:$A=BD$2)*(AsistenciaJetAdminConcatenada!$B:$B=BD$1), 0)), 1))),  0.5, 0))</f>
        <v>0</v>
      </c>
      <c r="BE57" s="47">
        <f t="array" ref="BE57">IF(AND(ISNUMBER(MATCH(BE$2, AsistenciaJetAdminConcatenada!$A:$A, 0)), ISNUMBER(MATCH(BE$1, AsistenciaJetAdminConcatenada!$B:$B, 0)), ISNUMBER(SEARCH($A57,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ISNUMBER(SEARCH($A57, INDEX(AsistenciaJetAdminConcatenada!$D:$D, MATCH(1, (AsistenciaJetAdminConcatenada!$A:$A=BE$2)*(AsistenciaJetAdminConcatenada!$B:$B=BE$1), 0)), 1))),  0.5, 0))</f>
        <v>1</v>
      </c>
      <c r="BF57" s="47">
        <f t="array" ref="BF57">IF(AND(ISNUMBER(MATCH(BF$2, AsistenciaJetAdminConcatenada!$A:$A, 0)), ISNUMBER(MATCH(BF$1, AsistenciaJetAdminConcatenada!$B:$B, 0)), ISNUMBER(SEARCH($A57,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ISNUMBER(SEARCH($A57, INDEX(AsistenciaJetAdminConcatenada!$D:$D, MATCH(1, (AsistenciaJetAdminConcatenada!$A:$A=BF$2)*(AsistenciaJetAdminConcatenada!$B:$B=BF$1), 0)), 1))),  0.5, 0))</f>
        <v>1</v>
      </c>
      <c r="BG57" s="47">
        <f t="array" ref="BG57">IF(AND(ISNUMBER(MATCH(BG$2, AsistenciaJetAdminConcatenada!$A:$A, 0)), ISNUMBER(MATCH(BG$1, AsistenciaJetAdminConcatenada!$B:$B, 0)), ISNUMBER(SEARCH($A57,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ISNUMBER(SEARCH($A57, INDEX(AsistenciaJetAdminConcatenada!$D:$D, MATCH(1, (AsistenciaJetAdminConcatenada!$A:$A=BG$2)*(AsistenciaJetAdminConcatenada!$B:$B=BG$1), 0)), 1))),  0.5, 0))</f>
        <v>1</v>
      </c>
      <c r="BH57" s="47">
        <f t="array" ref="BH57">IF(AND(ISNUMBER(MATCH(BH$2, AsistenciaJetAdminConcatenada!$A:$A, 0)), ISNUMBER(MATCH(BH$1, AsistenciaJetAdminConcatenada!$B:$B, 0)), ISNUMBER(SEARCH($A57,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ISNUMBER(SEARCH($A57, INDEX(AsistenciaJetAdminConcatenada!$D:$D, MATCH(1, (AsistenciaJetAdminConcatenada!$A:$A=BH$2)*(AsistenciaJetAdminConcatenada!$B:$B=BH$1), 0)), 1))),  0.5, 0))</f>
        <v>1</v>
      </c>
      <c r="BI57" s="47">
        <f t="array" ref="BI57">IF(AND(ISNUMBER(MATCH(BI$2, AsistenciaJetAdminConcatenada!$A:$A, 0)), ISNUMBER(MATCH(BI$1, AsistenciaJetAdminConcatenada!$B:$B, 0)), ISNUMBER(SEARCH($A57,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ISNUMBER(SEARCH($A57, INDEX(AsistenciaJetAdminConcatenada!$D:$D, MATCH(1, (AsistenciaJetAdminConcatenada!$A:$A=BI$2)*(AsistenciaJetAdminConcatenada!$B:$B=BI$1), 0)), 1))),  0.5, 0))</f>
        <v>1</v>
      </c>
      <c r="BJ57" s="47">
        <f t="array" ref="BJ57">IF(AND(ISNUMBER(MATCH(BJ$2, AsistenciaJetAdminConcatenada!$A:$A, 0)), ISNUMBER(MATCH(BJ$1, AsistenciaJetAdminConcatenada!$B:$B, 0)), ISNUMBER(SEARCH($A57,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ISNUMBER(SEARCH($A57, INDEX(AsistenciaJetAdminConcatenada!$D:$D, MATCH(1, (AsistenciaJetAdminConcatenada!$A:$A=BJ$2)*(AsistenciaJetAdminConcatenada!$B:$B=BJ$1), 0)), 1))),  0.5, 0))</f>
        <v>1</v>
      </c>
      <c r="BK57" s="47">
        <f t="array" ref="BK57">IF(AND(ISNUMBER(MATCH(BK$2, AsistenciaJetAdminConcatenada!$A:$A, 0)), ISNUMBER(MATCH(BK$1, AsistenciaJetAdminConcatenada!$B:$B, 0)), ISNUMBER(SEARCH($A57,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ISNUMBER(SEARCH($A57, INDEX(AsistenciaJetAdminConcatenada!$D:$D, MATCH(1, (AsistenciaJetAdminConcatenada!$A:$A=BK$2)*(AsistenciaJetAdminConcatenada!$B:$B=BK$1), 0)), 1))),  0.5, 0))</f>
        <v>1</v>
      </c>
      <c r="BL57" s="47">
        <f t="array" ref="BL57">IF(AND(ISNUMBER(MATCH(BL$2, AsistenciaJetAdminConcatenada!$A:$A, 0)), ISNUMBER(MATCH(BL$1, AsistenciaJetAdminConcatenada!$B:$B, 0)), ISNUMBER(SEARCH($A57,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ISNUMBER(SEARCH($A57, INDEX(AsistenciaJetAdminConcatenada!$D:$D, MATCH(1, (AsistenciaJetAdminConcatenada!$A:$A=BL$2)*(AsistenciaJetAdminConcatenada!$B:$B=BL$1), 0)), 1))),  0.5, 0))</f>
        <v>1</v>
      </c>
      <c r="BM57" s="47">
        <f t="array" ref="BM57">IF(AND(ISNUMBER(MATCH(BM$2, AsistenciaJetAdminConcatenada!$A:$A, 0)), ISNUMBER(MATCH(BM$1, AsistenciaJetAdminConcatenada!$B:$B, 0)), ISNUMBER(SEARCH($A57,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ISNUMBER(SEARCH($A57, INDEX(AsistenciaJetAdminConcatenada!$D:$D, MATCH(1, (AsistenciaJetAdminConcatenada!$A:$A=BM$2)*(AsistenciaJetAdminConcatenada!$B:$B=BM$1), 0)), 1))),  0.5, 0))</f>
        <v>1</v>
      </c>
      <c r="BN57" s="47">
        <f t="array" ref="BN57">IF(AND(ISNUMBER(MATCH(BN$2, AsistenciaJetAdminConcatenada!$A:$A, 0)), ISNUMBER(MATCH(BN$1, AsistenciaJetAdminConcatenada!$B:$B, 0)), ISNUMBER(SEARCH($A57,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ISNUMBER(SEARCH($A57, INDEX(AsistenciaJetAdminConcatenada!$D:$D, MATCH(1, (AsistenciaJetAdminConcatenada!$A:$A=BN$2)*(AsistenciaJetAdminConcatenada!$B:$B=BN$1), 0)), 1))),  0.5, 0))</f>
        <v>1</v>
      </c>
      <c r="BO57" s="47">
        <f t="array" ref="BO57">IF(AND(ISNUMBER(MATCH(BO$2, AsistenciaJetAdminConcatenada!$A:$A, 0)), ISNUMBER(MATCH(BO$1, AsistenciaJetAdminConcatenada!$B:$B, 0)), ISNUMBER(SEARCH($A57,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ISNUMBER(SEARCH($A57, INDEX(AsistenciaJetAdminConcatenada!$D:$D, MATCH(1, (AsistenciaJetAdminConcatenada!$A:$A=BO$2)*(AsistenciaJetAdminConcatenada!$B:$B=BO$1), 0)), 1))),  0.5, 0))</f>
        <v>1</v>
      </c>
      <c r="BP57" s="47">
        <f t="array" ref="BP57">IF(AND(ISNUMBER(MATCH(BP$2, AsistenciaJetAdminConcatenada!$A:$A, 0)), ISNUMBER(MATCH(BP$1, AsistenciaJetAdminConcatenada!$B:$B, 0)), ISNUMBER(SEARCH($A57,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ISNUMBER(SEARCH($A57, INDEX(AsistenciaJetAdminConcatenada!$D:$D, MATCH(1, (AsistenciaJetAdminConcatenada!$A:$A=BP$2)*(AsistenciaJetAdminConcatenada!$B:$B=BP$1), 0)), 1))),  0.5, 0))</f>
        <v>1</v>
      </c>
      <c r="BQ57" s="47">
        <f t="array" ref="BQ57">IF(AND(ISNUMBER(MATCH(BQ$2, AsistenciaJetAdminConcatenada!$A:$A, 0)), ISNUMBER(MATCH(BQ$1, AsistenciaJetAdminConcatenada!$B:$B, 0)), ISNUMBER(SEARCH($A57,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ISNUMBER(SEARCH($A57, INDEX(AsistenciaJetAdminConcatenada!$D:$D, MATCH(1, (AsistenciaJetAdminConcatenada!$A:$A=BQ$2)*(AsistenciaJetAdminConcatenada!$B:$B=BQ$1), 0)), 1))),  0.5, 0))</f>
        <v>0</v>
      </c>
      <c r="BR57" s="47">
        <f t="array" ref="BR57">IF(AND(ISNUMBER(MATCH(BR$2, AsistenciaJetAdminConcatenada!$A:$A, 0)), ISNUMBER(MATCH(BR$1, AsistenciaJetAdminConcatenada!$B:$B, 0)), ISNUMBER(SEARCH($A57,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ISNUMBER(SEARCH($A57, INDEX(AsistenciaJetAdminConcatenada!$D:$D, MATCH(1, (AsistenciaJetAdminConcatenada!$A:$A=BR$2)*(AsistenciaJetAdminConcatenada!$B:$B=BR$1), 0)), 1))),  0.5, 0))</f>
        <v>0</v>
      </c>
      <c r="BS57" s="47">
        <f t="array" ref="BS57">IF(AND(ISNUMBER(MATCH(BS$2, AsistenciaJetAdminConcatenada!$A:$A, 0)), ISNUMBER(MATCH(BS$1, AsistenciaJetAdminConcatenada!$B:$B, 0)), ISNUMBER(SEARCH($A57,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ISNUMBER(SEARCH($A57, INDEX(AsistenciaJetAdminConcatenada!$D:$D, MATCH(1, (AsistenciaJetAdminConcatenada!$A:$A=BS$2)*(AsistenciaJetAdminConcatenada!$B:$B=BS$1), 0)), 1))),  0.5, 0))</f>
        <v>1</v>
      </c>
      <c r="BT57" s="47">
        <f t="array" ref="BT57">IF(AND(ISNUMBER(MATCH(BT$2, AsistenciaJetAdminConcatenada!$A:$A, 0)), ISNUMBER(MATCH(BT$1, AsistenciaJetAdminConcatenada!$B:$B, 0)), ISNUMBER(SEARCH($A57,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ISNUMBER(SEARCH($A57, INDEX(AsistenciaJetAdminConcatenada!$D:$D, MATCH(1, (AsistenciaJetAdminConcatenada!$A:$A=BT$2)*(AsistenciaJetAdminConcatenada!$B:$B=BT$1), 0)), 1))),  0.5, 0))</f>
        <v>1</v>
      </c>
      <c r="BU57" s="47">
        <f t="array" ref="BU57">IF(AND(ISNUMBER(MATCH(BU$2, AsistenciaJetAdminConcatenada!$A:$A, 0)), ISNUMBER(MATCH(BU$1, AsistenciaJetAdminConcatenada!$B:$B, 0)), ISNUMBER(SEARCH($A57,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ISNUMBER(SEARCH($A57, INDEX(AsistenciaJetAdminConcatenada!$D:$D, MATCH(1, (AsistenciaJetAdminConcatenada!$A:$A=BU$2)*(AsistenciaJetAdminConcatenada!$B:$B=BU$1), 0)), 1))),  0.5, 0))</f>
        <v>1</v>
      </c>
      <c r="BV57" s="47">
        <f t="array" ref="BV57">IF(AND(ISNUMBER(MATCH(BV$2, AsistenciaJetAdminConcatenada!$A:$A, 0)), ISNUMBER(MATCH(BV$1, AsistenciaJetAdminConcatenada!$B:$B, 0)), ISNUMBER(SEARCH($A57,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ISNUMBER(SEARCH($A57, INDEX(AsistenciaJetAdminConcatenada!$D:$D, MATCH(1, (AsistenciaJetAdminConcatenada!$A:$A=BV$2)*(AsistenciaJetAdminConcatenada!$B:$B=BV$1), 0)), 1))),  0.5, 0))</f>
        <v>0</v>
      </c>
      <c r="BW57" s="47">
        <f t="array" ref="BW57">IF(AND(ISNUMBER(MATCH(BW$2, AsistenciaJetAdminConcatenada!$A:$A, 0)), ISNUMBER(MATCH(BW$1, AsistenciaJetAdminConcatenada!$B:$B, 0)), ISNUMBER(SEARCH($A57,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ISNUMBER(SEARCH($A57, INDEX(AsistenciaJetAdminConcatenada!$D:$D, MATCH(1, (AsistenciaJetAdminConcatenada!$A:$A=BW$2)*(AsistenciaJetAdminConcatenada!$B:$B=BW$1), 0)), 1))),  0.5, 0))</f>
        <v>1</v>
      </c>
      <c r="BX57" s="47">
        <f t="array" ref="BX57">IF(AND(ISNUMBER(MATCH(BX$2, AsistenciaJetAdminConcatenada!$A:$A, 0)), ISNUMBER(MATCH(BX$1, AsistenciaJetAdminConcatenada!$B:$B, 0)), ISNUMBER(SEARCH($A57,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ISNUMBER(SEARCH($A57, INDEX(AsistenciaJetAdminConcatenada!$D:$D, MATCH(1, (AsistenciaJetAdminConcatenada!$A:$A=BX$2)*(AsistenciaJetAdminConcatenada!$B:$B=BX$1), 0)), 1))),  0.5, 0))</f>
        <v>1</v>
      </c>
      <c r="BY57" s="47">
        <f t="array" ref="BY57">IF(AND(ISNUMBER(MATCH(BY$2, AsistenciaJetAdminConcatenada!$A:$A, 0)), ISNUMBER(MATCH(BY$1, AsistenciaJetAdminConcatenada!$B:$B, 0)), ISNUMBER(SEARCH($A57,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ISNUMBER(SEARCH($A57, INDEX(AsistenciaJetAdminConcatenada!$D:$D, MATCH(1, (AsistenciaJetAdminConcatenada!$A:$A=BY$2)*(AsistenciaJetAdminConcatenada!$B:$B=BY$1), 0)), 1))),  0.5, 0))</f>
        <v>0</v>
      </c>
      <c r="BZ57" s="47">
        <f t="array" ref="BZ57">IF(AND(ISNUMBER(MATCH(BZ$2, AsistenciaJetAdminConcatenada!$A:$A, 0)), ISNUMBER(MATCH(BZ$1, AsistenciaJetAdminConcatenada!$B:$B, 0)), ISNUMBER(SEARCH($A57,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ISNUMBER(SEARCH($A57, INDEX(AsistenciaJetAdminConcatenada!$D:$D, MATCH(1, (AsistenciaJetAdminConcatenada!$A:$A=BZ$2)*(AsistenciaJetAdminConcatenada!$B:$B=BZ$1), 0)), 1))),  0.5, 0))</f>
        <v>1</v>
      </c>
      <c r="CA57" s="47">
        <f t="array" ref="CA57">IF(AND(ISNUMBER(MATCH(CA$2, AsistenciaJetAdminConcatenada!$A:$A, 0)), ISNUMBER(MATCH(CA$1, AsistenciaJetAdminConcatenada!$B:$B, 0)), ISNUMBER(SEARCH($A57,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ISNUMBER(SEARCH($A57, INDEX(AsistenciaJetAdminConcatenada!$D:$D, MATCH(1, (AsistenciaJetAdminConcatenada!$A:$A=CA$2)*(AsistenciaJetAdminConcatenada!$B:$B=CA$1), 0)), 1))),  0.5, 0))</f>
        <v>1</v>
      </c>
      <c r="CB57" s="47">
        <f t="array" ref="CB57">IF(AND(ISNUMBER(MATCH(CB$2, AsistenciaJetAdminConcatenada!$A:$A, 0)), ISNUMBER(MATCH(CB$1, AsistenciaJetAdminConcatenada!$B:$B, 0)), ISNUMBER(SEARCH($A57,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ISNUMBER(SEARCH($A57, INDEX(AsistenciaJetAdminConcatenada!$D:$D, MATCH(1, (AsistenciaJetAdminConcatenada!$A:$A=CB$2)*(AsistenciaJetAdminConcatenada!$B:$B=CB$1), 0)), 1))),  0.5, 0))</f>
        <v>1</v>
      </c>
      <c r="CC57" s="47">
        <f t="array" ref="CC57">IF(AND(ISNUMBER(MATCH(CC$2, AsistenciaJetAdminConcatenada!$A:$A, 0)), ISNUMBER(MATCH(CC$1, AsistenciaJetAdminConcatenada!$B:$B, 0)), ISNUMBER(SEARCH($A57,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ISNUMBER(SEARCH($A57, INDEX(AsistenciaJetAdminConcatenada!$D:$D, MATCH(1, (AsistenciaJetAdminConcatenada!$A:$A=CC$2)*(AsistenciaJetAdminConcatenada!$B:$B=CC$1), 0)), 1))),  0.5, 0))</f>
        <v>1</v>
      </c>
      <c r="CD57" s="47">
        <f t="array" ref="CD57">IF(AND(ISNUMBER(MATCH(CD$2, AsistenciaJetAdminConcatenada!$A:$A, 0)), ISNUMBER(MATCH(CD$1, AsistenciaJetAdminConcatenada!$B:$B, 0)), ISNUMBER(SEARCH($A57,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ISNUMBER(SEARCH($A57, INDEX(AsistenciaJetAdminConcatenada!$D:$D, MATCH(1, (AsistenciaJetAdminConcatenada!$A:$A=CD$2)*(AsistenciaJetAdminConcatenada!$B:$B=CD$1), 0)), 1))),  0.5, 0))</f>
        <v>0</v>
      </c>
      <c r="CE57" s="47">
        <f t="array" ref="CE57">IF(AND(ISNUMBER(MATCH(CE$2, AsistenciaJetAdminConcatenada!$A:$A, 0)), ISNUMBER(MATCH(CE$1, AsistenciaJetAdminConcatenada!$B:$B, 0)), ISNUMBER(SEARCH($A57,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ISNUMBER(SEARCH($A57, INDEX(AsistenciaJetAdminConcatenada!$D:$D, MATCH(1, (AsistenciaJetAdminConcatenada!$A:$A=CE$2)*(AsistenciaJetAdminConcatenada!$B:$B=CE$1), 0)), 1))),  0.5, 0))</f>
        <v>1</v>
      </c>
      <c r="CF57" s="47">
        <f t="array" ref="CF57">IF(AND(ISNUMBER(MATCH(CF$2, AsistenciaJetAdminConcatenada!$A:$A, 0)), ISNUMBER(MATCH(CF$1, AsistenciaJetAdminConcatenada!$B:$B, 0)), ISNUMBER(SEARCH($A57,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ISNUMBER(SEARCH($A57, INDEX(AsistenciaJetAdminConcatenada!$D:$D, MATCH(1, (AsistenciaJetAdminConcatenada!$A:$A=CF$2)*(AsistenciaJetAdminConcatenada!$B:$B=CF$1), 0)), 1))),  0.5, 0))</f>
        <v>1</v>
      </c>
      <c r="CG57" s="47">
        <f t="array" ref="CG57">IF(AND(ISNUMBER(MATCH(CG$2, AsistenciaJetAdminConcatenada!$A:$A, 0)), ISNUMBER(MATCH(CG$1, AsistenciaJetAdminConcatenada!$B:$B, 0)), ISNUMBER(SEARCH($A57,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ISNUMBER(SEARCH($A57, INDEX(AsistenciaJetAdminConcatenada!$D:$D, MATCH(1, (AsistenciaJetAdminConcatenada!$A:$A=CG$2)*(AsistenciaJetAdminConcatenada!$B:$B=CG$1), 0)), 1))),  0.5, 0))</f>
        <v>1</v>
      </c>
      <c r="CH57" s="47">
        <f t="array" ref="CH57">IF(AND(ISNUMBER(MATCH(CH$2, AsistenciaJetAdminConcatenada!$A:$A, 0)), ISNUMBER(MATCH(CH$1, AsistenciaJetAdminConcatenada!$B:$B, 0)), ISNUMBER(SEARCH($A57,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ISNUMBER(SEARCH($A57, INDEX(AsistenciaJetAdminConcatenada!$D:$D, MATCH(1, (AsistenciaJetAdminConcatenada!$A:$A=CH$2)*(AsistenciaJetAdminConcatenada!$B:$B=CH$1), 0)), 1))),  0.5, 0))</f>
        <v>1</v>
      </c>
      <c r="CI57" s="47">
        <f t="array" ref="CI57">IF(AND(ISNUMBER(MATCH(CI$2, AsistenciaJetAdminConcatenada!$A:$A, 0)), ISNUMBER(MATCH(CI$1, AsistenciaJetAdminConcatenada!$B:$B, 0)), ISNUMBER(SEARCH($A57,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ISNUMBER(SEARCH($A57, INDEX(AsistenciaJetAdminConcatenada!$D:$D, MATCH(1, (AsistenciaJetAdminConcatenada!$A:$A=CI$2)*(AsistenciaJetAdminConcatenada!$B:$B=CI$1), 0)), 1))),  0.5, 0))</f>
        <v>1</v>
      </c>
      <c r="CJ57" s="47">
        <f t="array" ref="CJ57">IF(AND(ISNUMBER(MATCH(CJ$2, AsistenciaJetAdminConcatenada!$A:$A, 0)), ISNUMBER(MATCH(CJ$1, AsistenciaJetAdminConcatenada!$B:$B, 0)), ISNUMBER(SEARCH($A57,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ISNUMBER(SEARCH($A57, INDEX(AsistenciaJetAdminConcatenada!$D:$D, MATCH(1, (AsistenciaJetAdminConcatenada!$A:$A=CJ$2)*(AsistenciaJetAdminConcatenada!$B:$B=CJ$1), 0)), 1))),  0.5, 0))</f>
        <v>1</v>
      </c>
      <c r="CK57" s="47">
        <f t="array" ref="CK57">IF(AND(ISNUMBER(MATCH(CK$2, AsistenciaJetAdminConcatenada!$A:$A, 0)), ISNUMBER(MATCH(CK$1, AsistenciaJetAdminConcatenada!$B:$B, 0)), ISNUMBER(SEARCH($A57,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ISNUMBER(SEARCH($A57, INDEX(AsistenciaJetAdminConcatenada!$D:$D, MATCH(1, (AsistenciaJetAdminConcatenada!$A:$A=CK$2)*(AsistenciaJetAdminConcatenada!$B:$B=CK$1), 0)), 1))),  0.5, 0))</f>
        <v>1</v>
      </c>
      <c r="CL57" s="47">
        <f t="array" ref="CL57">IF(AND(ISNUMBER(MATCH(CL$2, AsistenciaJetAdminConcatenada!$A:$A, 0)), ISNUMBER(MATCH(CL$1, AsistenciaJetAdminConcatenada!$B:$B, 0)), ISNUMBER(SEARCH($A57,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ISNUMBER(SEARCH($A57, INDEX(AsistenciaJetAdminConcatenada!$D:$D, MATCH(1, (AsistenciaJetAdminConcatenada!$A:$A=CL$2)*(AsistenciaJetAdminConcatenada!$B:$B=CL$1), 0)), 1))),  0.5, 0))</f>
        <v>1</v>
      </c>
      <c r="CM57" s="47">
        <f t="array" ref="CM57">IF(AND(ISNUMBER(MATCH(CM$2, AsistenciaJetAdminConcatenada!$A:$A, 0)), ISNUMBER(MATCH(CM$1, AsistenciaJetAdminConcatenada!$B:$B, 0)), ISNUMBER(SEARCH($A57,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ISNUMBER(SEARCH($A57, INDEX(AsistenciaJetAdminConcatenada!$D:$D, MATCH(1, (AsistenciaJetAdminConcatenada!$A:$A=CM$2)*(AsistenciaJetAdminConcatenada!$B:$B=CM$1), 0)), 1))),  0.5, 0))</f>
        <v>1</v>
      </c>
      <c r="CN57" s="47">
        <f t="array" ref="CN57">IF(AND(ISNUMBER(MATCH(CN$2, AsistenciaJetAdminConcatenada!$A:$A, 0)), ISNUMBER(MATCH(CN$1, AsistenciaJetAdminConcatenada!$B:$B, 0)), ISNUMBER(SEARCH($A57,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ISNUMBER(SEARCH($A57, INDEX(AsistenciaJetAdminConcatenada!$D:$D, MATCH(1, (AsistenciaJetAdminConcatenada!$A:$A=CN$2)*(AsistenciaJetAdminConcatenada!$B:$B=CN$1), 0)), 1))),  0.5, 0))</f>
        <v>1</v>
      </c>
      <c r="CO57" s="47">
        <f t="array" ref="CO57">IF(AND(ISNUMBER(MATCH(CO$2, AsistenciaJetAdminConcatenada!$A:$A, 0)), ISNUMBER(MATCH(CO$1, AsistenciaJetAdminConcatenada!$B:$B, 0)), ISNUMBER(SEARCH($A57,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ISNUMBER(SEARCH($A57, INDEX(AsistenciaJetAdminConcatenada!$D:$D, MATCH(1, (AsistenciaJetAdminConcatenada!$A:$A=CO$2)*(AsistenciaJetAdminConcatenada!$B:$B=CO$1), 0)), 1))),  0.5, 0))</f>
        <v>1</v>
      </c>
      <c r="CP57" s="47">
        <f t="array" ref="CP57">IF(AND(ISNUMBER(MATCH(CP$2, AsistenciaJetAdminConcatenada!$A:$A, 0)), ISNUMBER(MATCH(CP$1, AsistenciaJetAdminConcatenada!$B:$B, 0)), ISNUMBER(SEARCH($A57,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ISNUMBER(SEARCH($A57, INDEX(AsistenciaJetAdminConcatenada!$D:$D, MATCH(1, (AsistenciaJetAdminConcatenada!$A:$A=CP$2)*(AsistenciaJetAdminConcatenada!$B:$B=CP$1), 0)), 1))),  0.5, 0))</f>
        <v>1</v>
      </c>
      <c r="CQ57" s="47">
        <f t="array" ref="CQ57">IF(AND(ISNUMBER(MATCH(CQ$2, AsistenciaJetAdminConcatenada!$A:$A, 0)), ISNUMBER(MATCH(CQ$1, AsistenciaJetAdminConcatenada!$B:$B, 0)), ISNUMBER(SEARCH($A57,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ISNUMBER(SEARCH($A57, INDEX(AsistenciaJetAdminConcatenada!$D:$D, MATCH(1, (AsistenciaJetAdminConcatenada!$A:$A=CQ$2)*(AsistenciaJetAdminConcatenada!$B:$B=CQ$1), 0)), 1))),  0.5, 0))</f>
        <v>1</v>
      </c>
      <c r="CR57" s="47">
        <f t="array" ref="CR57">IF(AND(ISNUMBER(MATCH(CR$2, AsistenciaJetAdminConcatenada!$A:$A, 0)), ISNUMBER(MATCH(CR$1, AsistenciaJetAdminConcatenada!$B:$B, 0)), ISNUMBER(SEARCH($A57,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ISNUMBER(SEARCH($A57, INDEX(AsistenciaJetAdminConcatenada!$D:$D, MATCH(1, (AsistenciaJetAdminConcatenada!$A:$A=CR$2)*(AsistenciaJetAdminConcatenada!$B:$B=CR$1), 0)), 1))),  0.5, 0))</f>
        <v>1</v>
      </c>
      <c r="CS57" s="47">
        <f t="array" ref="CS57">IF(AND(ISNUMBER(MATCH(CS$2, AsistenciaJetAdminConcatenada!$A:$A, 0)), ISNUMBER(MATCH(CS$1, AsistenciaJetAdminConcatenada!$B:$B, 0)), ISNUMBER(SEARCH($A57,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ISNUMBER(SEARCH($A57, INDEX(AsistenciaJetAdminConcatenada!$D:$D, MATCH(1, (AsistenciaJetAdminConcatenada!$A:$A=CS$2)*(AsistenciaJetAdminConcatenada!$B:$B=CS$1), 0)), 1))),  0.5, 0))</f>
        <v>0</v>
      </c>
      <c r="CT57" s="47">
        <f t="array" ref="CT57">IF(AND(ISNUMBER(MATCH(CT$2, AsistenciaJetAdminConcatenada!$A:$A, 0)), ISNUMBER(MATCH(CT$1, AsistenciaJetAdminConcatenada!$B:$B, 0)), ISNUMBER(SEARCH($A57,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ISNUMBER(SEARCH($A57, INDEX(AsistenciaJetAdminConcatenada!$D:$D, MATCH(1, (AsistenciaJetAdminConcatenada!$A:$A=CT$2)*(AsistenciaJetAdminConcatenada!$B:$B=CT$1), 0)), 1))),  0.5, 0))</f>
        <v>0</v>
      </c>
      <c r="CU57" s="47">
        <f t="array" ref="CU57">IF(AND(ISNUMBER(MATCH(CU$2, AsistenciaJetAdminConcatenada!$A:$A, 0)), ISNUMBER(MATCH(CU$1, AsistenciaJetAdminConcatenada!$B:$B, 0)), ISNUMBER(SEARCH($A57,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ISNUMBER(SEARCH($A57, INDEX(AsistenciaJetAdminConcatenada!$D:$D, MATCH(1, (AsistenciaJetAdminConcatenada!$A:$A=CU$2)*(AsistenciaJetAdminConcatenada!$B:$B=CU$1), 0)), 1))),  0.5, 0))</f>
        <v>0</v>
      </c>
      <c r="CV57" s="47">
        <f t="array" ref="CV57">IF(AND(ISNUMBER(MATCH(CV$2, AsistenciaJetAdminConcatenada!$A:$A, 0)), ISNUMBER(MATCH(CV$1, AsistenciaJetAdminConcatenada!$B:$B, 0)), ISNUMBER(SEARCH($A57,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ISNUMBER(SEARCH($A57, INDEX(AsistenciaJetAdminConcatenada!$D:$D, MATCH(1, (AsistenciaJetAdminConcatenada!$A:$A=CV$2)*(AsistenciaJetAdminConcatenada!$B:$B=CV$1), 0)), 1))),  0.5, 0))</f>
        <v>0</v>
      </c>
      <c r="CW57" s="47">
        <f t="array" ref="CW57">IF(AND(ISNUMBER(MATCH(CW$2, AsistenciaJetAdminConcatenada!$A:$A, 0)), ISNUMBER(MATCH(CW$1, AsistenciaJetAdminConcatenada!$B:$B, 0)), ISNUMBER(SEARCH($A57,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ISNUMBER(SEARCH($A57, INDEX(AsistenciaJetAdminConcatenada!$D:$D, MATCH(1, (AsistenciaJetAdminConcatenada!$A:$A=CW$2)*(AsistenciaJetAdminConcatenada!$B:$B=CW$1), 0)), 1))),  0.5, 0))</f>
        <v>0</v>
      </c>
      <c r="CX57" s="47">
        <f t="array" ref="CX57">IF(AND(ISNUMBER(MATCH(CX$2, AsistenciaJetAdminConcatenada!$A:$A, 0)), ISNUMBER(MATCH(CX$1, AsistenciaJetAdminConcatenada!$B:$B, 0)), ISNUMBER(SEARCH($A57,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ISNUMBER(SEARCH($A57, INDEX(AsistenciaJetAdminConcatenada!$D:$D, MATCH(1, (AsistenciaJetAdminConcatenada!$A:$A=CX$2)*(AsistenciaJetAdminConcatenada!$B:$B=CX$1), 0)), 1))),  0.5, 0))</f>
        <v>0</v>
      </c>
      <c r="CY57" s="47">
        <f t="array" ref="CY57">IF(AND(ISNUMBER(MATCH(CY$2, AsistenciaJetAdminConcatenada!$A:$A, 0)), ISNUMBER(MATCH(CY$1, AsistenciaJetAdminConcatenada!$B:$B, 0)), ISNUMBER(SEARCH($A57,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ISNUMBER(SEARCH($A57, INDEX(AsistenciaJetAdminConcatenada!$D:$D, MATCH(1, (AsistenciaJetAdminConcatenada!$A:$A=CY$2)*(AsistenciaJetAdminConcatenada!$B:$B=CY$1), 0)), 1))),  0.5, 0))</f>
        <v>0</v>
      </c>
      <c r="CZ57" s="47">
        <f t="array" ref="CZ57">IF(AND(ISNUMBER(MATCH(CZ$2, AsistenciaJetAdminConcatenada!$A:$A, 0)), ISNUMBER(MATCH(CZ$1, AsistenciaJetAdminConcatenada!$B:$B, 0)), ISNUMBER(SEARCH($A57,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ISNUMBER(SEARCH($A57, INDEX(AsistenciaJetAdminConcatenada!$D:$D, MATCH(1, (AsistenciaJetAdminConcatenada!$A:$A=CZ$2)*(AsistenciaJetAdminConcatenada!$B:$B=CZ$1), 0)), 1))),  0.5, 0))</f>
        <v>0</v>
      </c>
      <c r="DA57" s="47">
        <f t="array" ref="DA57">IF(AND(ISNUMBER(MATCH(DA$2, AsistenciaJetAdminConcatenada!$A:$A, 0)), ISNUMBER(MATCH(DA$1, AsistenciaJetAdminConcatenada!$B:$B, 0)), ISNUMBER(SEARCH($A57,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ISNUMBER(SEARCH($A57, INDEX(AsistenciaJetAdminConcatenada!$D:$D, MATCH(1, (AsistenciaJetAdminConcatenada!$A:$A=DA$2)*(AsistenciaJetAdminConcatenada!$B:$B=DA$1), 0)), 1))),  0.5, 0))</f>
        <v>0</v>
      </c>
      <c r="DB57" s="47">
        <f t="array" ref="DB57">IF(AND(ISNUMBER(MATCH(DB$2, AsistenciaJetAdminConcatenada!$A:$A, 0)), ISNUMBER(MATCH(DB$1, AsistenciaJetAdminConcatenada!$B:$B, 0)), ISNUMBER(SEARCH($A57,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ISNUMBER(SEARCH($A57, INDEX(AsistenciaJetAdminConcatenada!$D:$D, MATCH(1, (AsistenciaJetAdminConcatenada!$A:$A=DB$2)*(AsistenciaJetAdminConcatenada!$B:$B=DB$1), 0)), 1))),  0.5, 0))</f>
        <v>0</v>
      </c>
      <c r="DC57" s="47">
        <f t="array" ref="DC57">IF(AND(ISNUMBER(MATCH(DC$2, AsistenciaJetAdminConcatenada!$A:$A, 0)), ISNUMBER(MATCH(DC$1, AsistenciaJetAdminConcatenada!$B:$B, 0)), ISNUMBER(SEARCH($A57,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ISNUMBER(SEARCH($A57, INDEX(AsistenciaJetAdminConcatenada!$D:$D, MATCH(1, (AsistenciaJetAdminConcatenada!$A:$A=DC$2)*(AsistenciaJetAdminConcatenada!$B:$B=DC$1), 0)), 1))),  0.5, 0))</f>
        <v>0</v>
      </c>
      <c r="DD57" s="47">
        <f t="array" ref="DD57">IF(AND(ISNUMBER(MATCH(DD$2, AsistenciaJetAdminConcatenada!$A:$A, 0)), ISNUMBER(MATCH(DD$1, AsistenciaJetAdminConcatenada!$B:$B, 0)), ISNUMBER(SEARCH($A57,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ISNUMBER(SEARCH($A57, INDEX(AsistenciaJetAdminConcatenada!$D:$D, MATCH(1, (AsistenciaJetAdminConcatenada!$A:$A=DD$2)*(AsistenciaJetAdminConcatenada!$B:$B=DD$1), 0)), 1))),  0.5, 0))</f>
        <v>0</v>
      </c>
      <c r="DE57" s="47">
        <f t="array" ref="DE57">IF(AND(ISNUMBER(MATCH(DE$2, AsistenciaJetAdminConcatenada!$A:$A, 0)), ISNUMBER(MATCH(DE$1, AsistenciaJetAdminConcatenada!$B:$B, 0)), ISNUMBER(SEARCH($A57,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ISNUMBER(SEARCH($A57, INDEX(AsistenciaJetAdminConcatenada!$D:$D, MATCH(1, (AsistenciaJetAdminConcatenada!$A:$A=DE$2)*(AsistenciaJetAdminConcatenada!$B:$B=DE$1), 0)), 1))),  0.5, 0))</f>
        <v>0</v>
      </c>
      <c r="DF57" s="47">
        <f t="array" ref="DF57">IF(AND(ISNUMBER(MATCH(DF$2, AsistenciaJetAdminConcatenada!$A:$A, 0)), ISNUMBER(MATCH(DF$1, AsistenciaJetAdminConcatenada!$B:$B, 0)), ISNUMBER(SEARCH($A57,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ISNUMBER(SEARCH($A57, INDEX(AsistenciaJetAdminConcatenada!$D:$D, MATCH(1, (AsistenciaJetAdminConcatenada!$A:$A=DF$2)*(AsistenciaJetAdminConcatenada!$B:$B=DF$1), 0)), 1))),  0.5, 0))</f>
        <v>0</v>
      </c>
      <c r="DG57" s="47">
        <f t="array" ref="DG57">IF(AND(ISNUMBER(MATCH(DG$2, AsistenciaJetAdminConcatenada!$A:$A, 0)), ISNUMBER(MATCH(DG$1, AsistenciaJetAdminConcatenada!$B:$B, 0)), ISNUMBER(SEARCH($A57,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ISNUMBER(SEARCH($A57, INDEX(AsistenciaJetAdminConcatenada!$D:$D, MATCH(1, (AsistenciaJetAdminConcatenada!$A:$A=DG$2)*(AsistenciaJetAdminConcatenada!$B:$B=DG$1), 0)), 1))),  0.5, 0))</f>
        <v>0</v>
      </c>
      <c r="DH57" s="47">
        <f t="array" ref="DH57">IF(AND(ISNUMBER(MATCH(DH$2, AsistenciaJetAdminConcatenada!$A:$A, 0)), ISNUMBER(MATCH(DH$1, AsistenciaJetAdminConcatenada!$B:$B, 0)), ISNUMBER(SEARCH($A57,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ISNUMBER(SEARCH($A57, INDEX(AsistenciaJetAdminConcatenada!$D:$D, MATCH(1, (AsistenciaJetAdminConcatenada!$A:$A=DH$2)*(AsistenciaJetAdminConcatenada!$B:$B=DH$1), 0)), 1))),  0.5, 0))</f>
        <v>0</v>
      </c>
      <c r="DI57" s="47">
        <f t="array" ref="DI57">IF(AND(ISNUMBER(MATCH(DI$2, AsistenciaJetAdminConcatenada!$A:$A, 0)), ISNUMBER(MATCH(DI$1, AsistenciaJetAdminConcatenada!$B:$B, 0)), ISNUMBER(SEARCH($A57,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ISNUMBER(SEARCH($A57, INDEX(AsistenciaJetAdminConcatenada!$D:$D, MATCH(1, (AsistenciaJetAdminConcatenada!$A:$A=DI$2)*(AsistenciaJetAdminConcatenada!$B:$B=DI$1), 0)), 1))),  0.5, 0))</f>
        <v>0</v>
      </c>
      <c r="DJ57" s="47">
        <f t="array" ref="DJ57">IF(AND(ISNUMBER(MATCH(DJ$2, AsistenciaJetAdminConcatenada!$A:$A, 0)), ISNUMBER(MATCH(DJ$1, AsistenciaJetAdminConcatenada!$B:$B, 0)), ISNUMBER(SEARCH($A57,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ISNUMBER(SEARCH($A57, INDEX(AsistenciaJetAdminConcatenada!$D:$D, MATCH(1, (AsistenciaJetAdminConcatenada!$A:$A=DJ$2)*(AsistenciaJetAdminConcatenada!$B:$B=DJ$1), 0)), 1))),  0.5, 0))</f>
        <v>0</v>
      </c>
      <c r="DK57" s="47">
        <f t="array" ref="DK57">IF(AND(ISNUMBER(MATCH(DK$2, AsistenciaJetAdminConcatenada!$A:$A, 0)), ISNUMBER(MATCH(DK$1, AsistenciaJetAdminConcatenada!$B:$B, 0)), ISNUMBER(SEARCH($A57,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ISNUMBER(SEARCH($A57, INDEX(AsistenciaJetAdminConcatenada!$D:$D, MATCH(1, (AsistenciaJetAdminConcatenada!$A:$A=DK$2)*(AsistenciaJetAdminConcatenada!$B:$B=DK$1), 0)), 1))),  0.5, 0))</f>
        <v>0</v>
      </c>
      <c r="DL57" s="47">
        <f t="array" ref="DL57">IF(AND(ISNUMBER(MATCH(DL$2, AsistenciaJetAdminConcatenada!$A:$A, 0)), ISNUMBER(MATCH(DL$1, AsistenciaJetAdminConcatenada!$B:$B, 0)), ISNUMBER(SEARCH($A57,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ISNUMBER(SEARCH($A57, INDEX(AsistenciaJetAdminConcatenada!$D:$D, MATCH(1, (AsistenciaJetAdminConcatenada!$A:$A=DL$2)*(AsistenciaJetAdminConcatenada!$B:$B=DL$1), 0)), 1))),  0.5, 0))</f>
        <v>0</v>
      </c>
      <c r="DM57" s="47">
        <f t="array" ref="DM57">IF(AND(ISNUMBER(MATCH(DM$2, AsistenciaJetAdminConcatenada!$A:$A, 0)), ISNUMBER(MATCH(DM$1, AsistenciaJetAdminConcatenada!$B:$B, 0)), ISNUMBER(SEARCH($A57,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ISNUMBER(SEARCH($A57, INDEX(AsistenciaJetAdminConcatenada!$D:$D, MATCH(1, (AsistenciaJetAdminConcatenada!$A:$A=DM$2)*(AsistenciaJetAdminConcatenada!$B:$B=DM$1), 0)), 1))),  0.5, 0))</f>
        <v>0</v>
      </c>
      <c r="DN57" s="47">
        <f t="array" ref="DN57">IF(AND(ISNUMBER(MATCH(DN$2, AsistenciaJetAdminConcatenada!$A:$A, 0)), ISNUMBER(MATCH(DN$1, AsistenciaJetAdminConcatenada!$B:$B, 0)), ISNUMBER(SEARCH($A57,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ISNUMBER(SEARCH($A57, INDEX(AsistenciaJetAdminConcatenada!$D:$D, MATCH(1, (AsistenciaJetAdminConcatenada!$A:$A=DN$2)*(AsistenciaJetAdminConcatenada!$B:$B=DN$1), 0)), 1))),  0.5, 0))</f>
        <v>0</v>
      </c>
      <c r="DO57" s="47">
        <f t="array" ref="DO57">IF(AND(ISNUMBER(MATCH(DO$2, AsistenciaJetAdminConcatenada!$A:$A, 0)), ISNUMBER(MATCH(DO$1, AsistenciaJetAdminConcatenada!$B:$B, 0)), ISNUMBER(SEARCH($A57,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ISNUMBER(SEARCH($A57, INDEX(AsistenciaJetAdminConcatenada!$D:$D, MATCH(1, (AsistenciaJetAdminConcatenada!$A:$A=DO$2)*(AsistenciaJetAdminConcatenada!$B:$B=DO$1), 0)), 1))),  0.5, 0))</f>
        <v>0</v>
      </c>
      <c r="DP57" s="47">
        <f t="array" ref="DP57">IF(AND(ISNUMBER(MATCH(DP$2, AsistenciaJetAdminConcatenada!$A:$A, 0)), ISNUMBER(MATCH(DP$1, AsistenciaJetAdminConcatenada!$B:$B, 0)), ISNUMBER(SEARCH($A57,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ISNUMBER(SEARCH($A57, INDEX(AsistenciaJetAdminConcatenada!$D:$D, MATCH(1, (AsistenciaJetAdminConcatenada!$A:$A=DP$2)*(AsistenciaJetAdminConcatenada!$B:$B=DP$1), 0)), 1))),  0.5, 0))</f>
        <v>0</v>
      </c>
      <c r="DQ57" s="47">
        <f t="array" ref="DQ57">IF(AND(ISNUMBER(MATCH(DQ$2, AsistenciaJetAdminConcatenada!$A:$A, 0)), ISNUMBER(MATCH(DQ$1, AsistenciaJetAdminConcatenada!$B:$B, 0)), ISNUMBER(SEARCH($A57,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ISNUMBER(SEARCH($A57, INDEX(AsistenciaJetAdminConcatenada!$D:$D, MATCH(1, (AsistenciaJetAdminConcatenada!$A:$A=DQ$2)*(AsistenciaJetAdminConcatenada!$B:$B=DQ$1), 0)), 1))),  0.5, 0))</f>
        <v>0</v>
      </c>
      <c r="DR57" s="47">
        <f t="array" ref="DR57">IF(AND(ISNUMBER(MATCH(DR$2, AsistenciaJetAdminConcatenada!$A:$A, 0)), ISNUMBER(MATCH(DR$1, AsistenciaJetAdminConcatenada!$B:$B, 0)), ISNUMBER(SEARCH($A57,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ISNUMBER(SEARCH($A57, INDEX(AsistenciaJetAdminConcatenada!$D:$D, MATCH(1, (AsistenciaJetAdminConcatenada!$A:$A=DR$2)*(AsistenciaJetAdminConcatenada!$B:$B=DR$1), 0)), 1))),  0.5, 0))</f>
        <v>0</v>
      </c>
      <c r="DS57" s="47">
        <f t="array" ref="DS57">IF(AND(ISNUMBER(MATCH(DS$2, AsistenciaJetAdminConcatenada!$A:$A, 0)), ISNUMBER(MATCH(DS$1, AsistenciaJetAdminConcatenada!$B:$B, 0)), ISNUMBER(SEARCH($A57,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ISNUMBER(SEARCH($A57, INDEX(AsistenciaJetAdminConcatenada!$D:$D, MATCH(1, (AsistenciaJetAdminConcatenada!$A:$A=DS$2)*(AsistenciaJetAdminConcatenada!$B:$B=DS$1), 0)), 1))),  0.5, 0))</f>
        <v>0</v>
      </c>
      <c r="DT57" s="47">
        <f t="array" ref="DT57">IF(AND(ISNUMBER(MATCH(DT$2, AsistenciaJetAdminConcatenada!$A:$A, 0)), ISNUMBER(MATCH(DT$1, AsistenciaJetAdminConcatenada!$B:$B, 0)), ISNUMBER(SEARCH($A57,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ISNUMBER(SEARCH($A57, INDEX(AsistenciaJetAdminConcatenada!$D:$D, MATCH(1, (AsistenciaJetAdminConcatenada!$A:$A=DT$2)*(AsistenciaJetAdminConcatenada!$B:$B=DT$1), 0)), 1))),  0.5, 0))</f>
        <v>0</v>
      </c>
      <c r="DU57" s="47">
        <f t="array" ref="DU57">IF(AND(ISNUMBER(MATCH(DU$2, AsistenciaJetAdminConcatenada!$A:$A, 0)), ISNUMBER(MATCH(DU$1, AsistenciaJetAdminConcatenada!$B:$B, 0)), ISNUMBER(SEARCH($A57,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ISNUMBER(SEARCH($A57, INDEX(AsistenciaJetAdminConcatenada!$D:$D, MATCH(1, (AsistenciaJetAdminConcatenada!$A:$A=DU$2)*(AsistenciaJetAdminConcatenada!$B:$B=DU$1), 0)), 1))),  0.5, 0))</f>
        <v>0</v>
      </c>
      <c r="DV57" s="47">
        <f t="array" ref="DV57">IF(AND(ISNUMBER(MATCH(DV$2, AsistenciaJetAdminConcatenada!$A:$A, 0)), ISNUMBER(MATCH(DV$1, AsistenciaJetAdminConcatenada!$B:$B, 0)), ISNUMBER(SEARCH($A57,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ISNUMBER(SEARCH($A57, INDEX(AsistenciaJetAdminConcatenada!$D:$D, MATCH(1, (AsistenciaJetAdminConcatenada!$A:$A=DV$2)*(AsistenciaJetAdminConcatenada!$B:$B=DV$1), 0)), 1))),  0.5, 0))</f>
        <v>0</v>
      </c>
      <c r="DW57" s="47">
        <f t="array" ref="DW57">IF(AND(ISNUMBER(MATCH(DW$2, AsistenciaJetAdminConcatenada!$A:$A, 0)), ISNUMBER(MATCH(DW$1, AsistenciaJetAdminConcatenada!$B:$B, 0)), ISNUMBER(SEARCH($A57,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ISNUMBER(SEARCH($A57, INDEX(AsistenciaJetAdminConcatenada!$D:$D, MATCH(1, (AsistenciaJetAdminConcatenada!$A:$A=DW$2)*(AsistenciaJetAdminConcatenada!$B:$B=DW$1), 0)), 1))),  0.5, 0))</f>
        <v>0</v>
      </c>
      <c r="DX57" s="47">
        <f t="array" ref="DX57">IF(AND(ISNUMBER(MATCH(DX$2, AsistenciaJetAdminConcatenada!$A:$A, 0)), ISNUMBER(MATCH(DX$1, AsistenciaJetAdminConcatenada!$B:$B, 0)), ISNUMBER(SEARCH($A57,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ISNUMBER(SEARCH($A57, INDEX(AsistenciaJetAdminConcatenada!$D:$D, MATCH(1, (AsistenciaJetAdminConcatenada!$A:$A=DX$2)*(AsistenciaJetAdminConcatenada!$B:$B=DX$1), 0)), 1))),  0.5, 0))</f>
        <v>0</v>
      </c>
      <c r="DY57" s="47">
        <f t="array" ref="DY57">IF(AND(ISNUMBER(MATCH(DY$2, AsistenciaJetAdminConcatenada!$A:$A, 0)), ISNUMBER(MATCH(DY$1, AsistenciaJetAdminConcatenada!$B:$B, 0)), ISNUMBER(SEARCH($A57,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ISNUMBER(SEARCH($A57, INDEX(AsistenciaJetAdminConcatenada!$D:$D, MATCH(1, (AsistenciaJetAdminConcatenada!$A:$A=DY$2)*(AsistenciaJetAdminConcatenada!$B:$B=DY$1), 0)), 1))),  0.5, 0))</f>
        <v>0</v>
      </c>
      <c r="DZ57" s="47">
        <f t="array" ref="DZ57">IF(AND(ISNUMBER(MATCH(DZ$2, AsistenciaJetAdminConcatenada!$A:$A, 0)), ISNUMBER(MATCH(DZ$1, AsistenciaJetAdminConcatenada!$B:$B, 0)), ISNUMBER(SEARCH($A57,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ISNUMBER(SEARCH($A57, INDEX(AsistenciaJetAdminConcatenada!$D:$D, MATCH(1, (AsistenciaJetAdminConcatenada!$A:$A=DZ$2)*(AsistenciaJetAdminConcatenada!$B:$B=DZ$1), 0)), 1))),  0.5, 0))</f>
        <v>0</v>
      </c>
      <c r="EA57" s="47">
        <f t="array" ref="EA57">IF(AND(ISNUMBER(MATCH(EA$2, AsistenciaJetAdminConcatenada!$A:$A, 0)), ISNUMBER(MATCH(EA$1, AsistenciaJetAdminConcatenada!$B:$B, 0)), ISNUMBER(SEARCH($A57,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ISNUMBER(SEARCH($A57, INDEX(AsistenciaJetAdminConcatenada!$D:$D, MATCH(1, (AsistenciaJetAdminConcatenada!$A:$A=EA$2)*(AsistenciaJetAdminConcatenada!$B:$B=EA$1), 0)), 1))),  0.5, 0))</f>
        <v>0</v>
      </c>
      <c r="EB57" s="47">
        <f t="array" ref="EB57">IF(AND(ISNUMBER(MATCH(EB$2, AsistenciaJetAdminConcatenada!$A:$A, 0)), ISNUMBER(MATCH(EB$1, AsistenciaJetAdminConcatenada!$B:$B, 0)), ISNUMBER(SEARCH($A57,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ISNUMBER(SEARCH($A57, INDEX(AsistenciaJetAdminConcatenada!$D:$D, MATCH(1, (AsistenciaJetAdminConcatenada!$A:$A=EB$2)*(AsistenciaJetAdminConcatenada!$B:$B=EB$1), 0)), 1))),  0.5, 0))</f>
        <v>0</v>
      </c>
      <c r="EC57" s="47">
        <f t="array" ref="EC57">IF(AND(ISNUMBER(MATCH(EC$2, AsistenciaJetAdminConcatenada!$A:$A, 0)), ISNUMBER(MATCH(EC$1, AsistenciaJetAdminConcatenada!$B:$B, 0)), ISNUMBER(SEARCH($A57,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ISNUMBER(SEARCH($A57, INDEX(AsistenciaJetAdminConcatenada!$D:$D, MATCH(1, (AsistenciaJetAdminConcatenada!$A:$A=EC$2)*(AsistenciaJetAdminConcatenada!$B:$B=EC$1), 0)), 1))),  0.5, 0))</f>
        <v>0</v>
      </c>
      <c r="ED57" s="47">
        <f t="array" ref="ED57">IF(AND(ISNUMBER(MATCH(ED$2, AsistenciaJetAdminConcatenada!$A:$A, 0)), ISNUMBER(MATCH(ED$1, AsistenciaJetAdminConcatenada!$B:$B, 0)), ISNUMBER(SEARCH($A57,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ISNUMBER(SEARCH($A57, INDEX(AsistenciaJetAdminConcatenada!$D:$D, MATCH(1, (AsistenciaJetAdminConcatenada!$A:$A=ED$2)*(AsistenciaJetAdminConcatenada!$B:$B=ED$1), 0)), 1))),  0.5, 0))</f>
        <v>0</v>
      </c>
      <c r="EE57" s="47">
        <f t="array" ref="EE57">IF(AND(ISNUMBER(MATCH(EE$2, AsistenciaJetAdminConcatenada!$A:$A, 0)), ISNUMBER(MATCH(EE$1, AsistenciaJetAdminConcatenada!$B:$B, 0)), ISNUMBER(SEARCH($A57,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ISNUMBER(SEARCH($A57, INDEX(AsistenciaJetAdminConcatenada!$D:$D, MATCH(1, (AsistenciaJetAdminConcatenada!$A:$A=EE$2)*(AsistenciaJetAdminConcatenada!$B:$B=EE$1), 0)), 1))),  0.5, 0))</f>
        <v>0</v>
      </c>
      <c r="EF57" s="47">
        <f t="array" ref="EF57">IF(AND(ISNUMBER(MATCH(EF$2, AsistenciaJetAdminConcatenada!$A:$A, 0)), ISNUMBER(MATCH(EF$1, AsistenciaJetAdminConcatenada!$B:$B, 0)), ISNUMBER(SEARCH($A57,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ISNUMBER(SEARCH($A57, INDEX(AsistenciaJetAdminConcatenada!$D:$D, MATCH(1, (AsistenciaJetAdminConcatenada!$A:$A=EF$2)*(AsistenciaJetAdminConcatenada!$B:$B=EF$1), 0)), 1))),  0.5, 0))</f>
        <v>0</v>
      </c>
      <c r="EG57" s="47">
        <f t="array" ref="EG57">IF(AND(ISNUMBER(MATCH(EG$2, AsistenciaJetAdminConcatenada!$A:$A, 0)), ISNUMBER(MATCH(EG$1, AsistenciaJetAdminConcatenada!$B:$B, 0)), ISNUMBER(SEARCH($A57,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ISNUMBER(SEARCH($A57, INDEX(AsistenciaJetAdminConcatenada!$D:$D, MATCH(1, (AsistenciaJetAdminConcatenada!$A:$A=EG$2)*(AsistenciaJetAdminConcatenada!$B:$B=EG$1), 0)), 1))),  0.5, 0))</f>
        <v>0</v>
      </c>
      <c r="EH57" s="47">
        <f t="array" ref="EH57">IF(AND(ISNUMBER(MATCH(EH$2, AsistenciaJetAdminConcatenada!$A:$A, 0)), ISNUMBER(MATCH(EH$1, AsistenciaJetAdminConcatenada!$B:$B, 0)), ISNUMBER(SEARCH($A57,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ISNUMBER(SEARCH($A57, INDEX(AsistenciaJetAdminConcatenada!$D:$D, MATCH(1, (AsistenciaJetAdminConcatenada!$A:$A=EH$2)*(AsistenciaJetAdminConcatenada!$B:$B=EH$1), 0)), 1))),  0.5, 0))</f>
        <v>0</v>
      </c>
      <c r="EI57" s="47">
        <f t="array" ref="EI57">IF(AND(ISNUMBER(MATCH(EI$2, AsistenciaJetAdminConcatenada!$A:$A, 0)), ISNUMBER(MATCH(EI$1, AsistenciaJetAdminConcatenada!$B:$B, 0)), ISNUMBER(SEARCH($A57,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ISNUMBER(SEARCH($A57, INDEX(AsistenciaJetAdminConcatenada!$D:$D, MATCH(1, (AsistenciaJetAdminConcatenada!$A:$A=EI$2)*(AsistenciaJetAdminConcatenada!$B:$B=EI$1), 0)), 1))),  0.5, 0))</f>
        <v>0</v>
      </c>
      <c r="EJ57" s="47">
        <f t="array" ref="EJ57">IF(AND(ISNUMBER(MATCH(EJ$2, AsistenciaJetAdminConcatenada!$A:$A, 0)), ISNUMBER(MATCH(EJ$1, AsistenciaJetAdminConcatenada!$B:$B, 0)), ISNUMBER(SEARCH($A57,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ISNUMBER(SEARCH($A57, INDEX(AsistenciaJetAdminConcatenada!$D:$D, MATCH(1, (AsistenciaJetAdminConcatenada!$A:$A=EJ$2)*(AsistenciaJetAdminConcatenada!$B:$B=EJ$1), 0)), 1))),  0.5, 0))</f>
        <v>0</v>
      </c>
      <c r="EK57" s="47">
        <f t="array" ref="EK57">IF(AND(ISNUMBER(MATCH(EK$2, AsistenciaJetAdminConcatenada!$A:$A, 0)), ISNUMBER(MATCH(EK$1, AsistenciaJetAdminConcatenada!$B:$B, 0)), ISNUMBER(SEARCH($A57,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ISNUMBER(SEARCH($A57, INDEX(AsistenciaJetAdminConcatenada!$D:$D, MATCH(1, (AsistenciaJetAdminConcatenada!$A:$A=EK$2)*(AsistenciaJetAdminConcatenada!$B:$B=EK$1), 0)), 1))),  0.5, 0))</f>
        <v>0</v>
      </c>
      <c r="EL57" s="47">
        <f t="array" ref="EL57">IF(AND(ISNUMBER(MATCH(EL$2, AsistenciaJetAdminConcatenada!$A:$A, 0)), ISNUMBER(MATCH(EL$1, AsistenciaJetAdminConcatenada!$B:$B, 0)), ISNUMBER(SEARCH($A57,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ISNUMBER(SEARCH($A57, INDEX(AsistenciaJetAdminConcatenada!$D:$D, MATCH(1, (AsistenciaJetAdminConcatenada!$A:$A=EL$2)*(AsistenciaJetAdminConcatenada!$B:$B=EL$1), 0)), 1))),  0.5, 0))</f>
        <v>0</v>
      </c>
      <c r="EM57" s="47">
        <f t="array" ref="EM57">IF(AND(ISNUMBER(MATCH(EM$2, AsistenciaJetAdminConcatenada!$A:$A, 0)), ISNUMBER(MATCH(EM$1, AsistenciaJetAdminConcatenada!$B:$B, 0)), ISNUMBER(SEARCH($A57,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ISNUMBER(SEARCH($A57, INDEX(AsistenciaJetAdminConcatenada!$D:$D, MATCH(1, (AsistenciaJetAdminConcatenada!$A:$A=EM$2)*(AsistenciaJetAdminConcatenada!$B:$B=EM$1), 0)), 1))),  0.5, 0))</f>
        <v>0</v>
      </c>
      <c r="EN57" s="47">
        <f t="array" ref="EN57">IF(AND(ISNUMBER(MATCH(EN$2, AsistenciaJetAdminConcatenada!$A:$A, 0)), ISNUMBER(MATCH(EN$1, AsistenciaJetAdminConcatenada!$B:$B, 0)), ISNUMBER(SEARCH($A57,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ISNUMBER(SEARCH($A57, INDEX(AsistenciaJetAdminConcatenada!$D:$D, MATCH(1, (AsistenciaJetAdminConcatenada!$A:$A=EN$2)*(AsistenciaJetAdminConcatenada!$B:$B=EN$1), 0)), 1))),  0.5, 0))</f>
        <v>0</v>
      </c>
      <c r="EO57" s="47">
        <f t="array" ref="EO57">IF(AND(ISNUMBER(MATCH(EO$2, AsistenciaJetAdminConcatenada!$A:$A, 0)), ISNUMBER(MATCH(EO$1, AsistenciaJetAdminConcatenada!$B:$B, 0)), ISNUMBER(SEARCH($A57,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ISNUMBER(SEARCH($A57, INDEX(AsistenciaJetAdminConcatenada!$D:$D, MATCH(1, (AsistenciaJetAdminConcatenada!$A:$A=EO$2)*(AsistenciaJetAdminConcatenada!$B:$B=EO$1), 0)), 1))),  0.5, 0))</f>
        <v>0</v>
      </c>
      <c r="EP57" s="47">
        <f t="array" ref="EP57">IF(AND(ISNUMBER(MATCH(EP$2, AsistenciaJetAdminConcatenada!$A:$A, 0)), ISNUMBER(MATCH(EP$1, AsistenciaJetAdminConcatenada!$B:$B, 0)), ISNUMBER(SEARCH($A57,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ISNUMBER(SEARCH($A57, INDEX(AsistenciaJetAdminConcatenada!$D:$D, MATCH(1, (AsistenciaJetAdminConcatenada!$A:$A=EP$2)*(AsistenciaJetAdminConcatenada!$B:$B=EP$1), 0)), 1))),  0.5, 0))</f>
        <v>0</v>
      </c>
      <c r="EQ57" s="47">
        <f t="array" ref="EQ57">IF(AND(ISNUMBER(MATCH(EQ$2, AsistenciaJetAdminConcatenada!$A:$A, 0)), ISNUMBER(MATCH(EQ$1, AsistenciaJetAdminConcatenada!$B:$B, 0)), ISNUMBER(SEARCH($A57,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ISNUMBER(SEARCH($A57, INDEX(AsistenciaJetAdminConcatenada!$D:$D, MATCH(1, (AsistenciaJetAdminConcatenada!$A:$A=EQ$2)*(AsistenciaJetAdminConcatenada!$B:$B=EQ$1), 0)), 1))),  0.5, 0))</f>
        <v>0</v>
      </c>
      <c r="ER57" s="47">
        <f t="array" ref="ER57">IF(AND(ISNUMBER(MATCH(ER$2, AsistenciaJetAdminConcatenada!$A:$A, 0)), ISNUMBER(MATCH(ER$1, AsistenciaJetAdminConcatenada!$B:$B, 0)), ISNUMBER(SEARCH($A57,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ISNUMBER(SEARCH($A57, INDEX(AsistenciaJetAdminConcatenada!$D:$D, MATCH(1, (AsistenciaJetAdminConcatenada!$A:$A=ER$2)*(AsistenciaJetAdminConcatenada!$B:$B=ER$1), 0)), 1))),  0.5, 0))</f>
        <v>0</v>
      </c>
      <c r="ES57" s="47">
        <f t="array" ref="ES57">IF(AND(ISNUMBER(MATCH(ES$2, AsistenciaJetAdminConcatenada!$A:$A, 0)), ISNUMBER(MATCH(ES$1, AsistenciaJetAdminConcatenada!$B:$B, 0)), ISNUMBER(SEARCH($A57,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ISNUMBER(SEARCH($A57, INDEX(AsistenciaJetAdminConcatenada!$D:$D, MATCH(1, (AsistenciaJetAdminConcatenada!$A:$A=ES$2)*(AsistenciaJetAdminConcatenada!$B:$B=ES$1), 0)), 1))),  0.5, 0))</f>
        <v>0</v>
      </c>
      <c r="ET57" s="47">
        <f t="array" ref="ET57">IF(AND(ISNUMBER(MATCH(ET$2, AsistenciaJetAdminConcatenada!$A:$A, 0)), ISNUMBER(MATCH(ET$1, AsistenciaJetAdminConcatenada!$B:$B, 0)), ISNUMBER(SEARCH($A57,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ISNUMBER(SEARCH($A57, INDEX(AsistenciaJetAdminConcatenada!$D:$D, MATCH(1, (AsistenciaJetAdminConcatenada!$A:$A=ET$2)*(AsistenciaJetAdminConcatenada!$B:$B=ET$1), 0)), 1))),  0.5, 0))</f>
        <v>0</v>
      </c>
      <c r="EU57" s="47">
        <f t="array" ref="EU57">IF(AND(ISNUMBER(MATCH(EU$2, AsistenciaJetAdminConcatenada!$A:$A, 0)), ISNUMBER(MATCH(EU$1, AsistenciaJetAdminConcatenada!$B:$B, 0)), ISNUMBER(SEARCH($A57,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ISNUMBER(SEARCH($A57, INDEX(AsistenciaJetAdminConcatenada!$D:$D, MATCH(1, (AsistenciaJetAdminConcatenada!$A:$A=EU$2)*(AsistenciaJetAdminConcatenada!$B:$B=EU$1), 0)), 1))),  0.5, 0))</f>
        <v>0</v>
      </c>
      <c r="EV57" s="47">
        <f t="array" ref="EV57">IF(AND(ISNUMBER(MATCH(EV$2, AsistenciaJetAdminConcatenada!$A:$A, 0)), ISNUMBER(MATCH(EV$1, AsistenciaJetAdminConcatenada!$B:$B, 0)), ISNUMBER(SEARCH($A57,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ISNUMBER(SEARCH($A57, INDEX(AsistenciaJetAdminConcatenada!$D:$D, MATCH(1, (AsistenciaJetAdminConcatenada!$A:$A=EV$2)*(AsistenciaJetAdminConcatenada!$B:$B=EV$1), 0)), 1))),  0.5, 0))</f>
        <v>0</v>
      </c>
      <c r="EW57" s="47">
        <f t="array" ref="EW57">IF(AND(ISNUMBER(MATCH(EW$2, AsistenciaJetAdminConcatenada!$A:$A, 0)), ISNUMBER(MATCH(EW$1, AsistenciaJetAdminConcatenada!$B:$B, 0)), ISNUMBER(SEARCH($A57,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ISNUMBER(SEARCH($A57, INDEX(AsistenciaJetAdminConcatenada!$D:$D, MATCH(1, (AsistenciaJetAdminConcatenada!$A:$A=EW$2)*(AsistenciaJetAdminConcatenada!$B:$B=EW$1), 0)), 1))),  0.5, 0))</f>
        <v>0</v>
      </c>
      <c r="EX57" s="47">
        <f t="array" ref="EX57">IF(AND(ISNUMBER(MATCH(EX$2, AsistenciaJetAdminConcatenada!$A:$A, 0)), ISNUMBER(MATCH(EX$1, AsistenciaJetAdminConcatenada!$B:$B, 0)), ISNUMBER(SEARCH($A57,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ISNUMBER(SEARCH($A57, INDEX(AsistenciaJetAdminConcatenada!$D:$D, MATCH(1, (AsistenciaJetAdminConcatenada!$A:$A=EX$2)*(AsistenciaJetAdminConcatenada!$B:$B=EX$1), 0)), 1))),  0.5, 0))</f>
        <v>0</v>
      </c>
      <c r="EY57" s="47">
        <f t="array" ref="EY57">IF(AND(ISNUMBER(MATCH(EY$2, AsistenciaJetAdminConcatenada!$A:$A, 0)), ISNUMBER(MATCH(EY$1, AsistenciaJetAdminConcatenada!$B:$B, 0)), ISNUMBER(SEARCH($A57,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ISNUMBER(SEARCH($A57, INDEX(AsistenciaJetAdminConcatenada!$D:$D, MATCH(1, (AsistenciaJetAdminConcatenada!$A:$A=EY$2)*(AsistenciaJetAdminConcatenada!$B:$B=EY$1), 0)), 1))),  0.5, 0))</f>
        <v>0</v>
      </c>
      <c r="EZ57" s="47">
        <f t="array" ref="EZ57">IF(AND(ISNUMBER(MATCH(EZ$2, AsistenciaJetAdminConcatenada!$A:$A, 0)), ISNUMBER(MATCH(EZ$1, AsistenciaJetAdminConcatenada!$B:$B, 0)), ISNUMBER(SEARCH($A57,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ISNUMBER(SEARCH($A57, INDEX(AsistenciaJetAdminConcatenada!$D:$D, MATCH(1, (AsistenciaJetAdminConcatenada!$A:$A=EZ$2)*(AsistenciaJetAdminConcatenada!$B:$B=EZ$1), 0)), 1))),  0.5, 0))</f>
        <v>0</v>
      </c>
      <c r="FA57" s="47">
        <f t="array" ref="FA57">IF(AND(ISNUMBER(MATCH(FA$2, AsistenciaJetAdminConcatenada!$A:$A, 0)), ISNUMBER(MATCH(FA$1, AsistenciaJetAdminConcatenada!$B:$B, 0)), ISNUMBER(SEARCH($A57,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ISNUMBER(SEARCH($A57, INDEX(AsistenciaJetAdminConcatenada!$D:$D, MATCH(1, (AsistenciaJetAdminConcatenada!$A:$A=FA$2)*(AsistenciaJetAdminConcatenada!$B:$B=FA$1), 0)), 1))),  0.5, 0))</f>
        <v>0</v>
      </c>
      <c r="FB57" s="47">
        <f t="array" ref="FB57">IF(AND(ISNUMBER(MATCH(FB$2, AsistenciaJetAdminConcatenada!$A:$A, 0)), ISNUMBER(MATCH(FB$1, AsistenciaJetAdminConcatenada!$B:$B, 0)), ISNUMBER(SEARCH($A57,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ISNUMBER(SEARCH($A57, INDEX(AsistenciaJetAdminConcatenada!$D:$D, MATCH(1, (AsistenciaJetAdminConcatenada!$A:$A=FB$2)*(AsistenciaJetAdminConcatenada!$B:$B=FB$1), 0)), 1))),  0.5, 0))</f>
        <v>0</v>
      </c>
      <c r="FC57" s="47">
        <f t="array" ref="FC57">IF(AND(ISNUMBER(MATCH(FC$2, AsistenciaJetAdminConcatenada!$A:$A, 0)), ISNUMBER(MATCH(FC$1, AsistenciaJetAdminConcatenada!$B:$B, 0)), ISNUMBER(SEARCH($A57,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ISNUMBER(SEARCH($A57, INDEX(AsistenciaJetAdminConcatenada!$D:$D, MATCH(1, (AsistenciaJetAdminConcatenada!$A:$A=FC$2)*(AsistenciaJetAdminConcatenada!$B:$B=FC$1), 0)), 1))),  0.5, 0))</f>
        <v>0</v>
      </c>
      <c r="FD57" s="47">
        <f t="array" ref="FD57">IF(AND(ISNUMBER(MATCH(FD$2, AsistenciaJetAdminConcatenada!$A:$A, 0)), ISNUMBER(MATCH(FD$1, AsistenciaJetAdminConcatenada!$B:$B, 0)), ISNUMBER(SEARCH($A57,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ISNUMBER(SEARCH($A57, INDEX(AsistenciaJetAdminConcatenada!$D:$D, MATCH(1, (AsistenciaJetAdminConcatenada!$A:$A=FD$2)*(AsistenciaJetAdminConcatenada!$B:$B=FD$1), 0)), 1))),  0.5, 0))</f>
        <v>0</v>
      </c>
      <c r="FE57" s="47">
        <f t="array" ref="FE57">IF(AND(ISNUMBER(MATCH(FE$2, AsistenciaJetAdminConcatenada!$A:$A, 0)), ISNUMBER(MATCH(FE$1, AsistenciaJetAdminConcatenada!$B:$B, 0)), ISNUMBER(SEARCH($A57,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ISNUMBER(SEARCH($A57, INDEX(AsistenciaJetAdminConcatenada!$D:$D, MATCH(1, (AsistenciaJetAdminConcatenada!$A:$A=FE$2)*(AsistenciaJetAdminConcatenada!$B:$B=FE$1), 0)), 1))),  0.5, 0))</f>
        <v>0</v>
      </c>
      <c r="FF57" s="47">
        <f t="array" ref="FF57">IF(AND(ISNUMBER(MATCH(FF$2, AsistenciaJetAdminConcatenada!$A:$A, 0)), ISNUMBER(MATCH(FF$1, AsistenciaJetAdminConcatenada!$B:$B, 0)), ISNUMBER(SEARCH($A57,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ISNUMBER(SEARCH($A57, INDEX(AsistenciaJetAdminConcatenada!$D:$D, MATCH(1, (AsistenciaJetAdminConcatenada!$A:$A=FF$2)*(AsistenciaJetAdminConcatenada!$B:$B=FF$1), 0)), 1))),  0.5, 0))</f>
        <v>0</v>
      </c>
      <c r="FG57" s="47">
        <f t="array" ref="FG57">IF(AND(ISNUMBER(MATCH(FG$2, AsistenciaJetAdminConcatenada!$A:$A, 0)), ISNUMBER(MATCH(FG$1, AsistenciaJetAdminConcatenada!$B:$B, 0)), ISNUMBER(SEARCH($A57,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ISNUMBER(SEARCH($A57, INDEX(AsistenciaJetAdminConcatenada!$D:$D, MATCH(1, (AsistenciaJetAdminConcatenada!$A:$A=FG$2)*(AsistenciaJetAdminConcatenada!$B:$B=FG$1), 0)), 1))),  0.5, 0))</f>
        <v>0</v>
      </c>
      <c r="FH57" s="47">
        <f t="array" ref="FH57">IF(AND(ISNUMBER(MATCH(FH$2, AsistenciaJetAdminConcatenada!$A:$A, 0)), ISNUMBER(MATCH(FH$1, AsistenciaJetAdminConcatenada!$B:$B, 0)), ISNUMBER(SEARCH($A57,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ISNUMBER(SEARCH($A57, INDEX(AsistenciaJetAdminConcatenada!$D:$D, MATCH(1, (AsistenciaJetAdminConcatenada!$A:$A=FH$2)*(AsistenciaJetAdminConcatenada!$B:$B=FH$1), 0)), 1))),  0.5, 0))</f>
        <v>0</v>
      </c>
      <c r="FI57" s="47">
        <f t="array" ref="FI57">IF(AND(ISNUMBER(MATCH(FI$2, AsistenciaJetAdminConcatenada!$A:$A, 0)), ISNUMBER(MATCH(FI$1, AsistenciaJetAdminConcatenada!$B:$B, 0)), ISNUMBER(SEARCH($A57,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ISNUMBER(SEARCH($A57, INDEX(AsistenciaJetAdminConcatenada!$D:$D, MATCH(1, (AsistenciaJetAdminConcatenada!$A:$A=FI$2)*(AsistenciaJetAdminConcatenada!$B:$B=FI$1), 0)), 1))),  0.5, 0))</f>
        <v>0</v>
      </c>
      <c r="FJ57" s="47">
        <f t="array" ref="FJ57">IF(AND(ISNUMBER(MATCH(FJ$2, AsistenciaJetAdminConcatenada!$A:$A, 0)), ISNUMBER(MATCH(FJ$1, AsistenciaJetAdminConcatenada!$B:$B, 0)), ISNUMBER(SEARCH($A57,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ISNUMBER(SEARCH($A57, INDEX(AsistenciaJetAdminConcatenada!$D:$D, MATCH(1, (AsistenciaJetAdminConcatenada!$A:$A=FJ$2)*(AsistenciaJetAdminConcatenada!$B:$B=FJ$1), 0)), 1))),  0.5, 0))</f>
        <v>0</v>
      </c>
      <c r="FK57" s="47">
        <f t="array" ref="FK57">IF(AND(ISNUMBER(MATCH(FK$2, AsistenciaJetAdminConcatenada!$A:$A, 0)), ISNUMBER(MATCH(FK$1, AsistenciaJetAdminConcatenada!$B:$B, 0)), ISNUMBER(SEARCH($A57,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ISNUMBER(SEARCH($A57, INDEX(AsistenciaJetAdminConcatenada!$D:$D, MATCH(1, (AsistenciaJetAdminConcatenada!$A:$A=FK$2)*(AsistenciaJetAdminConcatenada!$B:$B=FK$1), 0)), 1))),  0.5, 0))</f>
        <v>0</v>
      </c>
      <c r="FL57" s="47">
        <f t="array" ref="FL57">IF(AND(ISNUMBER(MATCH(FL$2, AsistenciaJetAdminConcatenada!$A:$A, 0)), ISNUMBER(MATCH(FL$1, AsistenciaJetAdminConcatenada!$B:$B, 0)), ISNUMBER(SEARCH($A57,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ISNUMBER(SEARCH($A57, INDEX(AsistenciaJetAdminConcatenada!$D:$D, MATCH(1, (AsistenciaJetAdminConcatenada!$A:$A=FL$2)*(AsistenciaJetAdminConcatenada!$B:$B=FL$1), 0)), 1))),  0.5, 0))</f>
        <v>0</v>
      </c>
      <c r="FM57" s="47">
        <f t="array" ref="FM57">IF(AND(ISNUMBER(MATCH(FM$2, AsistenciaJetAdminConcatenada!$A:$A, 0)), ISNUMBER(MATCH(FM$1, AsistenciaJetAdminConcatenada!$B:$B, 0)), ISNUMBER(SEARCH($A57,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ISNUMBER(SEARCH($A57, INDEX(AsistenciaJetAdminConcatenada!$D:$D, MATCH(1, (AsistenciaJetAdminConcatenada!$A:$A=FM$2)*(AsistenciaJetAdminConcatenada!$B:$B=FM$1), 0)), 1))),  0.5, 0))</f>
        <v>0</v>
      </c>
      <c r="FN57" s="47">
        <f t="array" ref="FN57">IF(AND(ISNUMBER(MATCH(FN$2, AsistenciaJetAdminConcatenada!$A:$A, 0)), ISNUMBER(MATCH(FN$1, AsistenciaJetAdminConcatenada!$B:$B, 0)), ISNUMBER(SEARCH($A57,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ISNUMBER(SEARCH($A57, INDEX(AsistenciaJetAdminConcatenada!$D:$D, MATCH(1, (AsistenciaJetAdminConcatenada!$A:$A=FN$2)*(AsistenciaJetAdminConcatenada!$B:$B=FN$1), 0)), 1))),  0.5, 0))</f>
        <v>0</v>
      </c>
      <c r="FO57" s="47">
        <f t="array" ref="FO57">IF(AND(ISNUMBER(MATCH(FO$2, AsistenciaJetAdminConcatenada!$A:$A, 0)), ISNUMBER(MATCH(FO$1, AsistenciaJetAdminConcatenada!$B:$B, 0)), ISNUMBER(SEARCH($A57,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ISNUMBER(SEARCH($A57, INDEX(AsistenciaJetAdminConcatenada!$D:$D, MATCH(1, (AsistenciaJetAdminConcatenada!$A:$A=FO$2)*(AsistenciaJetAdminConcatenada!$B:$B=FO$1), 0)), 1))),  0.5, 0))</f>
        <v>0</v>
      </c>
      <c r="FP57" s="47">
        <f t="array" ref="FP57">IF(AND(ISNUMBER(MATCH(FP$2, AsistenciaJetAdminConcatenada!$A:$A, 0)), ISNUMBER(MATCH(FP$1, AsistenciaJetAdminConcatenada!$B:$B, 0)), ISNUMBER(SEARCH($A57,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ISNUMBER(SEARCH($A57, INDEX(AsistenciaJetAdminConcatenada!$D:$D, MATCH(1, (AsistenciaJetAdminConcatenada!$A:$A=FP$2)*(AsistenciaJetAdminConcatenada!$B:$B=FP$1), 0)), 1))),  0.5, 0))</f>
        <v>0</v>
      </c>
      <c r="FQ57" s="47">
        <f t="array" ref="FQ57">IF(AND(ISNUMBER(MATCH(FQ$2, AsistenciaJetAdminConcatenada!$A:$A, 0)), ISNUMBER(MATCH(FQ$1, AsistenciaJetAdminConcatenada!$B:$B, 0)), ISNUMBER(SEARCH($A57,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ISNUMBER(SEARCH($A57, INDEX(AsistenciaJetAdminConcatenada!$D:$D, MATCH(1, (AsistenciaJetAdminConcatenada!$A:$A=FQ$2)*(AsistenciaJetAdminConcatenada!$B:$B=FQ$1), 0)), 1))),  0.5, 0))</f>
        <v>0</v>
      </c>
      <c r="FR57" s="47">
        <f t="array" ref="FR57">IF(AND(ISNUMBER(MATCH(FR$2, AsistenciaJetAdminConcatenada!$A:$A, 0)), ISNUMBER(MATCH(FR$1, AsistenciaJetAdminConcatenada!$B:$B, 0)), ISNUMBER(SEARCH($A57,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ISNUMBER(SEARCH($A57, INDEX(AsistenciaJetAdminConcatenada!$D:$D, MATCH(1, (AsistenciaJetAdminConcatenada!$A:$A=FR$2)*(AsistenciaJetAdminConcatenada!$B:$B=FR$1), 0)), 1))),  0.5, 0))</f>
        <v>0</v>
      </c>
      <c r="FS57" s="47">
        <f t="array" ref="FS57">IF(AND(ISNUMBER(MATCH(FS$2, AsistenciaJetAdminConcatenada!$A:$A, 0)), ISNUMBER(MATCH(FS$1, AsistenciaJetAdminConcatenada!$B:$B, 0)), ISNUMBER(SEARCH($A57,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ISNUMBER(SEARCH($A57, INDEX(AsistenciaJetAdminConcatenada!$D:$D, MATCH(1, (AsistenciaJetAdminConcatenada!$A:$A=FS$2)*(AsistenciaJetAdminConcatenada!$B:$B=FS$1), 0)), 1))),  0.5, 0))</f>
        <v>0</v>
      </c>
      <c r="FT57" s="47">
        <f t="array" ref="FT57">IF(AND(ISNUMBER(MATCH(FT$2, AsistenciaJetAdminConcatenada!$A:$A, 0)), ISNUMBER(MATCH(FT$1, AsistenciaJetAdminConcatenada!$B:$B, 0)), ISNUMBER(SEARCH($A57,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ISNUMBER(SEARCH($A57, INDEX(AsistenciaJetAdminConcatenada!$D:$D, MATCH(1, (AsistenciaJetAdminConcatenada!$A:$A=FT$2)*(AsistenciaJetAdminConcatenada!$B:$B=FT$1), 0)), 1))),  0.5, 0))</f>
        <v>0</v>
      </c>
      <c r="FU57" s="47">
        <f t="array" ref="FU57">IF(AND(ISNUMBER(MATCH(FU$2, AsistenciaJetAdminConcatenada!$A:$A, 0)), ISNUMBER(MATCH(FU$1, AsistenciaJetAdminConcatenada!$B:$B, 0)), ISNUMBER(SEARCH($A57,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ISNUMBER(SEARCH($A57, INDEX(AsistenciaJetAdminConcatenada!$D:$D, MATCH(1, (AsistenciaJetAdminConcatenada!$A:$A=FU$2)*(AsistenciaJetAdminConcatenada!$B:$B=FU$1), 0)), 1))),  0.5, 0))</f>
        <v>0</v>
      </c>
      <c r="FV57" s="47">
        <f t="array" ref="FV57">IF(AND(ISNUMBER(MATCH(FV$2, AsistenciaJetAdminConcatenada!$A:$A, 0)), ISNUMBER(MATCH(FV$1, AsistenciaJetAdminConcatenada!$B:$B, 0)), ISNUMBER(SEARCH($A57,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ISNUMBER(SEARCH($A57, INDEX(AsistenciaJetAdminConcatenada!$D:$D, MATCH(1, (AsistenciaJetAdminConcatenada!$A:$A=FV$2)*(AsistenciaJetAdminConcatenada!$B:$B=FV$1), 0)), 1))),  0.5, 0))</f>
        <v>0</v>
      </c>
      <c r="FW57" s="47">
        <f t="array" ref="FW57">IF(AND(ISNUMBER(MATCH(FW$2, AsistenciaJetAdminConcatenada!$A:$A, 0)), ISNUMBER(MATCH(FW$1, AsistenciaJetAdminConcatenada!$B:$B, 0)), ISNUMBER(SEARCH($A57,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ISNUMBER(SEARCH($A57, INDEX(AsistenciaJetAdminConcatenada!$D:$D, MATCH(1, (AsistenciaJetAdminConcatenada!$A:$A=FW$2)*(AsistenciaJetAdminConcatenada!$B:$B=FW$1), 0)), 1))),  0.5, 0))</f>
        <v>0</v>
      </c>
      <c r="FX57" s="47">
        <f t="array" ref="FX57">IF(AND(ISNUMBER(MATCH(FX$2, AsistenciaJetAdminConcatenada!$A:$A, 0)), ISNUMBER(MATCH(FX$1, AsistenciaJetAdminConcatenada!$B:$B, 0)), ISNUMBER(SEARCH($A57,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ISNUMBER(SEARCH($A57, INDEX(AsistenciaJetAdminConcatenada!$D:$D, MATCH(1, (AsistenciaJetAdminConcatenada!$A:$A=FX$2)*(AsistenciaJetAdminConcatenada!$B:$B=FX$1), 0)), 1))),  0.5, 0))</f>
        <v>0</v>
      </c>
      <c r="FY57" s="47">
        <f t="array" ref="FY57">IF(AND(ISNUMBER(MATCH(FY$2, AsistenciaJetAdminConcatenada!$A:$A, 0)), ISNUMBER(MATCH(FY$1, AsistenciaJetAdminConcatenada!$B:$B, 0)), ISNUMBER(SEARCH($A57,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ISNUMBER(SEARCH($A57, INDEX(AsistenciaJetAdminConcatenada!$D:$D, MATCH(1, (AsistenciaJetAdminConcatenada!$A:$A=FY$2)*(AsistenciaJetAdminConcatenada!$B:$B=FY$1), 0)), 1))),  0.5, 0))</f>
        <v>0</v>
      </c>
      <c r="FZ57" s="47">
        <f t="array" ref="FZ57">IF(AND(ISNUMBER(MATCH(FZ$2, AsistenciaJetAdminConcatenada!$A:$A, 0)), ISNUMBER(MATCH(FZ$1, AsistenciaJetAdminConcatenada!$B:$B, 0)), ISNUMBER(SEARCH($A57,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ISNUMBER(SEARCH($A57, INDEX(AsistenciaJetAdminConcatenada!$D:$D, MATCH(1, (AsistenciaJetAdminConcatenada!$A:$A=FZ$2)*(AsistenciaJetAdminConcatenada!$B:$B=FZ$1), 0)), 1))),  0.5, 0))</f>
        <v>0</v>
      </c>
      <c r="GA57" s="47">
        <f t="array" ref="GA57">IF(AND(ISNUMBER(MATCH(GA$2, AsistenciaJetAdminConcatenada!$A:$A, 0)), ISNUMBER(MATCH(GA$1, AsistenciaJetAdminConcatenada!$B:$B, 0)), ISNUMBER(SEARCH($A57,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ISNUMBER(SEARCH($A57, INDEX(AsistenciaJetAdminConcatenada!$D:$D, MATCH(1, (AsistenciaJetAdminConcatenada!$A:$A=GA$2)*(AsistenciaJetAdminConcatenada!$B:$B=GA$1), 0)), 1))),  0.5, 0))</f>
        <v>0</v>
      </c>
      <c r="GB57" s="47">
        <f t="array" ref="GB57">IF(AND(ISNUMBER(MATCH(GB$2, AsistenciaJetAdminConcatenada!$A:$A, 0)), ISNUMBER(MATCH(GB$1, AsistenciaJetAdminConcatenada!$B:$B, 0)), ISNUMBER(SEARCH($A57,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ISNUMBER(SEARCH($A57, INDEX(AsistenciaJetAdminConcatenada!$D:$D, MATCH(1, (AsistenciaJetAdminConcatenada!$A:$A=GB$2)*(AsistenciaJetAdminConcatenada!$B:$B=GB$1), 0)), 1))),  0.5, 0))</f>
        <v>0</v>
      </c>
      <c r="GC57" s="47">
        <f t="array" ref="GC57">IF(AND(ISNUMBER(MATCH(GC$2, AsistenciaJetAdminConcatenada!$A:$A, 0)), ISNUMBER(MATCH(GC$1, AsistenciaJetAdminConcatenada!$B:$B, 0)), ISNUMBER(SEARCH($A57,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ISNUMBER(SEARCH($A57, INDEX(AsistenciaJetAdminConcatenada!$D:$D, MATCH(1, (AsistenciaJetAdminConcatenada!$A:$A=GC$2)*(AsistenciaJetAdminConcatenada!$B:$B=GC$1), 0)), 1))),  0.5, 0))</f>
        <v>0</v>
      </c>
      <c r="GD57" s="47">
        <f t="array" ref="GD57">IF(AND(ISNUMBER(MATCH(GD$2, AsistenciaJetAdminConcatenada!$A:$A, 0)), ISNUMBER(MATCH(GD$1, AsistenciaJetAdminConcatenada!$B:$B, 0)), ISNUMBER(SEARCH($A57,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ISNUMBER(SEARCH($A57, INDEX(AsistenciaJetAdminConcatenada!$D:$D, MATCH(1, (AsistenciaJetAdminConcatenada!$A:$A=GD$2)*(AsistenciaJetAdminConcatenada!$B:$B=GD$1), 0)), 1))),  0.5, 0))</f>
        <v>0</v>
      </c>
      <c r="GE57" s="47">
        <f t="array" ref="GE57">IF(AND(ISNUMBER(MATCH(GE$2, AsistenciaJetAdminConcatenada!$A:$A, 0)), ISNUMBER(MATCH(GE$1, AsistenciaJetAdminConcatenada!$B:$B, 0)), ISNUMBER(SEARCH($A57,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ISNUMBER(SEARCH($A57, INDEX(AsistenciaJetAdminConcatenada!$D:$D, MATCH(1, (AsistenciaJetAdminConcatenada!$A:$A=GE$2)*(AsistenciaJetAdminConcatenada!$B:$B=GE$1), 0)), 1))),  0.5, 0))</f>
        <v>0</v>
      </c>
      <c r="GF57" s="47">
        <f t="array" ref="GF57">IF(AND(ISNUMBER(MATCH(GF$2, AsistenciaJetAdminConcatenada!$A:$A, 0)), ISNUMBER(MATCH(GF$1, AsistenciaJetAdminConcatenada!$B:$B, 0)), ISNUMBER(SEARCH($A57,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ISNUMBER(SEARCH($A57, INDEX(AsistenciaJetAdminConcatenada!$D:$D, MATCH(1, (AsistenciaJetAdminConcatenada!$A:$A=GF$2)*(AsistenciaJetAdminConcatenada!$B:$B=GF$1), 0)), 1))),  0.5, 0))</f>
        <v>0</v>
      </c>
      <c r="GG57" s="47">
        <f t="array" ref="GG57">IF(AND(ISNUMBER(MATCH(GG$2, AsistenciaJetAdminConcatenada!$A:$A, 0)), ISNUMBER(MATCH(GG$1, AsistenciaJetAdminConcatenada!$B:$B, 0)), ISNUMBER(SEARCH($A57,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ISNUMBER(SEARCH($A57, INDEX(AsistenciaJetAdminConcatenada!$D:$D, MATCH(1, (AsistenciaJetAdminConcatenada!$A:$A=GG$2)*(AsistenciaJetAdminConcatenada!$B:$B=GG$1), 0)), 1))),  0.5, 0))</f>
        <v>0</v>
      </c>
      <c r="GH57" s="47">
        <f t="array" ref="GH57">IF(AND(ISNUMBER(MATCH(GH$2, AsistenciaJetAdminConcatenada!$A:$A, 0)), ISNUMBER(MATCH(GH$1, AsistenciaJetAdminConcatenada!$B:$B, 0)), ISNUMBER(SEARCH($A57,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ISNUMBER(SEARCH($A57, INDEX(AsistenciaJetAdminConcatenada!$D:$D, MATCH(1, (AsistenciaJetAdminConcatenada!$A:$A=GH$2)*(AsistenciaJetAdminConcatenada!$B:$B=GH$1), 0)), 1))),  0.5, 0))</f>
        <v>0</v>
      </c>
      <c r="GI57" s="47">
        <f t="array" ref="GI57">IF(AND(ISNUMBER(MATCH(GI$2, AsistenciaJetAdminConcatenada!$A:$A, 0)), ISNUMBER(MATCH(GI$1, AsistenciaJetAdminConcatenada!$B:$B, 0)), ISNUMBER(SEARCH($A57,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ISNUMBER(SEARCH($A57, INDEX(AsistenciaJetAdminConcatenada!$D:$D, MATCH(1, (AsistenciaJetAdminConcatenada!$A:$A=GI$2)*(AsistenciaJetAdminConcatenada!$B:$B=GI$1), 0)), 1))),  0.5, 0))</f>
        <v>0</v>
      </c>
      <c r="GJ57" s="47">
        <f t="array" ref="GJ57">IF(AND(ISNUMBER(MATCH(GJ$2, AsistenciaJetAdminConcatenada!$A:$A, 0)), ISNUMBER(MATCH(GJ$1, AsistenciaJetAdminConcatenada!$B:$B, 0)), ISNUMBER(SEARCH($A57,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ISNUMBER(SEARCH($A57, INDEX(AsistenciaJetAdminConcatenada!$D:$D, MATCH(1, (AsistenciaJetAdminConcatenada!$A:$A=GJ$2)*(AsistenciaJetAdminConcatenada!$B:$B=GJ$1), 0)), 1))),  0.5, 0))</f>
        <v>0</v>
      </c>
      <c r="GK57" s="47">
        <f t="array" ref="GK57">IF(AND(ISNUMBER(MATCH(GK$2, AsistenciaJetAdminConcatenada!$A:$A, 0)), ISNUMBER(MATCH(GK$1, AsistenciaJetAdminConcatenada!$B:$B, 0)), ISNUMBER(SEARCH($A57,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ISNUMBER(SEARCH($A57, INDEX(AsistenciaJetAdminConcatenada!$D:$D, MATCH(1, (AsistenciaJetAdminConcatenada!$A:$A=GK$2)*(AsistenciaJetAdminConcatenada!$B:$B=GK$1), 0)), 1))),  0.5, 0))</f>
        <v>0</v>
      </c>
      <c r="GL57" s="47">
        <f t="array" ref="GL57">IF(AND(ISNUMBER(MATCH(GL$2, AsistenciaJetAdminConcatenada!$A:$A, 0)), ISNUMBER(MATCH(GL$1, AsistenciaJetAdminConcatenada!$B:$B, 0)), ISNUMBER(SEARCH($A57,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ISNUMBER(SEARCH($A57, INDEX(AsistenciaJetAdminConcatenada!$D:$D, MATCH(1, (AsistenciaJetAdminConcatenada!$A:$A=GL$2)*(AsistenciaJetAdminConcatenada!$B:$B=GL$1), 0)), 1))),  0.5, 0))</f>
        <v>0</v>
      </c>
      <c r="GM57" s="47">
        <f t="array" ref="GM57">IF(AND(ISNUMBER(MATCH(GM$2, AsistenciaJetAdminConcatenada!$A:$A, 0)), ISNUMBER(MATCH(GM$1, AsistenciaJetAdminConcatenada!$B:$B, 0)), ISNUMBER(SEARCH($A57,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ISNUMBER(SEARCH($A57, INDEX(AsistenciaJetAdminConcatenada!$D:$D, MATCH(1, (AsistenciaJetAdminConcatenada!$A:$A=GM$2)*(AsistenciaJetAdminConcatenada!$B:$B=GM$1), 0)), 1))),  0.5, 0))</f>
        <v>0</v>
      </c>
      <c r="GN57" s="47">
        <f t="array" ref="GN57">IF(AND(ISNUMBER(MATCH(GN$2, AsistenciaJetAdminConcatenada!$A:$A, 0)), ISNUMBER(MATCH(GN$1, AsistenciaJetAdminConcatenada!$B:$B, 0)), ISNUMBER(SEARCH($A57,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ISNUMBER(SEARCH($A57, INDEX(AsistenciaJetAdminConcatenada!$D:$D, MATCH(1, (AsistenciaJetAdminConcatenada!$A:$A=GN$2)*(AsistenciaJetAdminConcatenada!$B:$B=GN$1), 0)), 1))),  0.5, 0))</f>
        <v>0</v>
      </c>
      <c r="GO57" s="47">
        <f t="array" ref="GO57">IF(AND(ISNUMBER(MATCH(GO$2, AsistenciaJetAdminConcatenada!$A:$A, 0)), ISNUMBER(MATCH(GO$1, AsistenciaJetAdminConcatenada!$B:$B, 0)), ISNUMBER(SEARCH($A57,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ISNUMBER(SEARCH($A57, INDEX(AsistenciaJetAdminConcatenada!$D:$D, MATCH(1, (AsistenciaJetAdminConcatenada!$A:$A=GO$2)*(AsistenciaJetAdminConcatenada!$B:$B=GO$1), 0)), 1))),  0.5, 0))</f>
        <v>0</v>
      </c>
      <c r="GP57" s="47">
        <f t="array" ref="GP57">IF(AND(ISNUMBER(MATCH(GP$2, AsistenciaJetAdminConcatenada!$A:$A, 0)), ISNUMBER(MATCH(GP$1, AsistenciaJetAdminConcatenada!$B:$B, 0)), ISNUMBER(SEARCH($A57,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ISNUMBER(SEARCH($A57, INDEX(AsistenciaJetAdminConcatenada!$D:$D, MATCH(1, (AsistenciaJetAdminConcatenada!$A:$A=GP$2)*(AsistenciaJetAdminConcatenada!$B:$B=GP$1), 0)), 1))),  0.5, 0))</f>
        <v>0</v>
      </c>
      <c r="GQ57" s="47">
        <f t="array" ref="GQ57">IF(AND(ISNUMBER(MATCH(GQ$2, AsistenciaJetAdminConcatenada!$A:$A, 0)), ISNUMBER(MATCH(GQ$1, AsistenciaJetAdminConcatenada!$B:$B, 0)), ISNUMBER(SEARCH($A57,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ISNUMBER(SEARCH($A57, INDEX(AsistenciaJetAdminConcatenada!$D:$D, MATCH(1, (AsistenciaJetAdminConcatenada!$A:$A=GQ$2)*(AsistenciaJetAdminConcatenada!$B:$B=GQ$1), 0)), 1))),  0.5, 0))</f>
        <v>0</v>
      </c>
      <c r="GR57" s="47">
        <f t="array" ref="GR57">IF(AND(ISNUMBER(MATCH(GR$2, AsistenciaJetAdminConcatenada!$A:$A, 0)), ISNUMBER(MATCH(GR$1, AsistenciaJetAdminConcatenada!$B:$B, 0)), ISNUMBER(SEARCH($A57,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ISNUMBER(SEARCH($A57, INDEX(AsistenciaJetAdminConcatenada!$D:$D, MATCH(1, (AsistenciaJetAdminConcatenada!$A:$A=GR$2)*(AsistenciaJetAdminConcatenada!$B:$B=GR$1), 0)), 1))),  0.5, 0))</f>
        <v>0</v>
      </c>
      <c r="GS57" s="47">
        <f t="array" ref="GS57">IF(AND(ISNUMBER(MATCH(GS$2, AsistenciaJetAdminConcatenada!$A:$A, 0)), ISNUMBER(MATCH(GS$1, AsistenciaJetAdminConcatenada!$B:$B, 0)), ISNUMBER(SEARCH($A57,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ISNUMBER(SEARCH($A57, INDEX(AsistenciaJetAdminConcatenada!$D:$D, MATCH(1, (AsistenciaJetAdminConcatenada!$A:$A=GS$2)*(AsistenciaJetAdminConcatenada!$B:$B=GS$1), 0)), 1))),  0.5, 0))</f>
        <v>0</v>
      </c>
      <c r="GT57" s="47">
        <f t="array" ref="GT57">IF(AND(ISNUMBER(MATCH(GT$2, AsistenciaJetAdminConcatenada!$A:$A, 0)), ISNUMBER(MATCH(GT$1, AsistenciaJetAdminConcatenada!$B:$B, 0)), ISNUMBER(SEARCH($A57,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ISNUMBER(SEARCH($A57, INDEX(AsistenciaJetAdminConcatenada!$D:$D, MATCH(1, (AsistenciaJetAdminConcatenada!$A:$A=GT$2)*(AsistenciaJetAdminConcatenada!$B:$B=GT$1), 0)), 1))),  0.5, 0))</f>
        <v>0</v>
      </c>
      <c r="GU57" s="47">
        <f t="array" ref="GU57">IF(AND(ISNUMBER(MATCH(GU$2, AsistenciaJetAdminConcatenada!$A:$A, 0)), ISNUMBER(MATCH(GU$1, AsistenciaJetAdminConcatenada!$B:$B, 0)), ISNUMBER(SEARCH($A57,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ISNUMBER(SEARCH($A57, INDEX(AsistenciaJetAdminConcatenada!$D:$D, MATCH(1, (AsistenciaJetAdminConcatenada!$A:$A=GU$2)*(AsistenciaJetAdminConcatenada!$B:$B=GU$1), 0)), 1))),  0.5, 0))</f>
        <v>0</v>
      </c>
      <c r="GV57" s="47">
        <f t="array" ref="GV57">IF(AND(ISNUMBER(MATCH(GV$2, AsistenciaJetAdminConcatenada!$A:$A, 0)), ISNUMBER(MATCH(GV$1, AsistenciaJetAdminConcatenada!$B:$B, 0)), ISNUMBER(SEARCH($A57,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ISNUMBER(SEARCH($A57, INDEX(AsistenciaJetAdminConcatenada!$D:$D, MATCH(1, (AsistenciaJetAdminConcatenada!$A:$A=GV$2)*(AsistenciaJetAdminConcatenada!$B:$B=GV$1), 0)), 1))),  0.5, 0))</f>
        <v>0</v>
      </c>
      <c r="GW57" s="47">
        <f t="array" ref="GW57">IF(AND(ISNUMBER(MATCH(GW$2, AsistenciaJetAdminConcatenada!$A:$A, 0)), ISNUMBER(MATCH(GW$1, AsistenciaJetAdminConcatenada!$B:$B, 0)), ISNUMBER(SEARCH($A57,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ISNUMBER(SEARCH($A57, INDEX(AsistenciaJetAdminConcatenada!$D:$D, MATCH(1, (AsistenciaJetAdminConcatenada!$A:$A=GW$2)*(AsistenciaJetAdminConcatenada!$B:$B=GW$1), 0)), 1))),  0.5, 0))</f>
        <v>0</v>
      </c>
      <c r="GX57" s="47">
        <f t="array" ref="GX57">IF(AND(ISNUMBER(MATCH(GX$2, AsistenciaJetAdminConcatenada!$A:$A, 0)), ISNUMBER(MATCH(GX$1, AsistenciaJetAdminConcatenada!$B:$B, 0)), ISNUMBER(SEARCH($A57,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ISNUMBER(SEARCH($A57, INDEX(AsistenciaJetAdminConcatenada!$D:$D, MATCH(1, (AsistenciaJetAdminConcatenada!$A:$A=GX$2)*(AsistenciaJetAdminConcatenada!$B:$B=GX$1), 0)), 1))),  0.5, 0))</f>
        <v>0</v>
      </c>
      <c r="GY57" s="47">
        <f t="array" ref="GY57">IF(AND(ISNUMBER(MATCH(GY$2, AsistenciaJetAdminConcatenada!$A:$A, 0)), ISNUMBER(MATCH(GY$1, AsistenciaJetAdminConcatenada!$B:$B, 0)), ISNUMBER(SEARCH($A57,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ISNUMBER(SEARCH($A57, INDEX(AsistenciaJetAdminConcatenada!$D:$D, MATCH(1, (AsistenciaJetAdminConcatenada!$A:$A=GY$2)*(AsistenciaJetAdminConcatenada!$B:$B=GY$1), 0)), 1))),  0.5, 0))</f>
        <v>0</v>
      </c>
      <c r="GZ57" s="47">
        <f t="array" ref="GZ57">IF(AND(ISNUMBER(MATCH(GZ$2, AsistenciaJetAdminConcatenada!$A:$A, 0)), ISNUMBER(MATCH(GZ$1, AsistenciaJetAdminConcatenada!$B:$B, 0)), ISNUMBER(SEARCH($A57,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ISNUMBER(SEARCH($A57, INDEX(AsistenciaJetAdminConcatenada!$D:$D, MATCH(1, (AsistenciaJetAdminConcatenada!$A:$A=GZ$2)*(AsistenciaJetAdminConcatenada!$B:$B=GZ$1), 0)), 1))),  0.5, 0))</f>
        <v>0</v>
      </c>
      <c r="HA57" s="47">
        <f t="array" ref="HA57">IF(AND(ISNUMBER(MATCH(HA$2, AsistenciaJetAdminConcatenada!$A:$A, 0)), ISNUMBER(MATCH(HA$1, AsistenciaJetAdminConcatenada!$B:$B, 0)), ISNUMBER(SEARCH($A57,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ISNUMBER(SEARCH($A57, INDEX(AsistenciaJetAdminConcatenada!$D:$D, MATCH(1, (AsistenciaJetAdminConcatenada!$A:$A=HA$2)*(AsistenciaJetAdminConcatenada!$B:$B=HA$1), 0)), 1))),  0.5, 0))</f>
        <v>0</v>
      </c>
      <c r="HB57" s="47">
        <f t="array" ref="HB57">IF(AND(ISNUMBER(MATCH(HB$2, AsistenciaJetAdminConcatenada!$A:$A, 0)), ISNUMBER(MATCH(HB$1, AsistenciaJetAdminConcatenada!$B:$B, 0)), ISNUMBER(SEARCH($A57,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ISNUMBER(SEARCH($A57, INDEX(AsistenciaJetAdminConcatenada!$D:$D, MATCH(1, (AsistenciaJetAdminConcatenada!$A:$A=HB$2)*(AsistenciaJetAdminConcatenada!$B:$B=HB$1), 0)), 1))),  0.5, 0))</f>
        <v>0</v>
      </c>
      <c r="HC57" s="47">
        <f t="array" ref="HC57">IF(AND(ISNUMBER(MATCH(HC$2, AsistenciaJetAdminConcatenada!$A:$A, 0)), ISNUMBER(MATCH(HC$1, AsistenciaJetAdminConcatenada!$B:$B, 0)), ISNUMBER(SEARCH($A57,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ISNUMBER(SEARCH($A57, INDEX(AsistenciaJetAdminConcatenada!$D:$D, MATCH(1, (AsistenciaJetAdminConcatenada!$A:$A=HC$2)*(AsistenciaJetAdminConcatenada!$B:$B=HC$1), 0)), 1))),  0.5, 0))</f>
        <v>0</v>
      </c>
    </row>
    <row r="58" ht="29.25" customHeight="1">
      <c r="A58" s="3">
        <v>128.0</v>
      </c>
      <c r="B58" s="4" t="s">
        <v>516</v>
      </c>
      <c r="C58" s="47">
        <f>SUM(D58:HC58) + ActividadesEspeciales!C58</f>
        <v>76.5</v>
      </c>
      <c r="D58" s="47">
        <f t="array" ref="D58">IF(AND(ISNUMBER(MATCH(D$2, AsistenciaJetAdminConcatenada!$A:$A, 0)), ISNUMBER(MATCH(D$1, AsistenciaJetAdminConcatenada!$B:$B, 0)), ISNUMBER(SEARCH($A58,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ISNUMBER(SEARCH($A58, INDEX(AsistenciaJetAdminConcatenada!$D:$D, MATCH(1, (AsistenciaJetAdminConcatenada!$A:$A=D$2)*(AsistenciaJetAdminConcatenada!$B:$B=D$1), 0)), 1))),  0.5, 0))</f>
        <v>1</v>
      </c>
      <c r="E58" s="47">
        <f t="array" ref="E58">IF(AND(ISNUMBER(MATCH(E$2, AsistenciaJetAdminConcatenada!$A:$A, 0)), ISNUMBER(MATCH(E$1, AsistenciaJetAdminConcatenada!$B:$B, 0)), ISNUMBER(SEARCH($A58,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ISNUMBER(SEARCH($A58, INDEX(AsistenciaJetAdminConcatenada!$D:$D, MATCH(1, (AsistenciaJetAdminConcatenada!$A:$A=E$2)*(AsistenciaJetAdminConcatenada!$B:$B=E$1), 0)), 1))),  0.5, 0))</f>
        <v>1</v>
      </c>
      <c r="F58" s="47">
        <f t="array" ref="F58">IF(AND(ISNUMBER(MATCH(F$2, AsistenciaJetAdminConcatenada!$A:$A, 0)), ISNUMBER(MATCH(F$1, AsistenciaJetAdminConcatenada!$B:$B, 0)), ISNUMBER(SEARCH($A58,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ISNUMBER(SEARCH($A58, INDEX(AsistenciaJetAdminConcatenada!$D:$D, MATCH(1, (AsistenciaJetAdminConcatenada!$A:$A=F$2)*(AsistenciaJetAdminConcatenada!$B:$B=F$1), 0)), 1))),  0.5, 0))</f>
        <v>0</v>
      </c>
      <c r="G58" s="47">
        <f t="array" ref="G58">IF(AND(ISNUMBER(MATCH(G$2, AsistenciaJetAdminConcatenada!$A:$A, 0)), ISNUMBER(MATCH(G$1, AsistenciaJetAdminConcatenada!$B:$B, 0)), ISNUMBER(SEARCH($A58,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ISNUMBER(SEARCH($A58, INDEX(AsistenciaJetAdminConcatenada!$D:$D, MATCH(1, (AsistenciaJetAdminConcatenada!$A:$A=G$2)*(AsistenciaJetAdminConcatenada!$B:$B=G$1), 0)), 1))),  0.5, 0))</f>
        <v>1</v>
      </c>
      <c r="H58" s="47">
        <f t="array" ref="H58">IF(AND(ISNUMBER(MATCH(H$2, AsistenciaJetAdminConcatenada!$A:$A, 0)), ISNUMBER(MATCH(H$1, AsistenciaJetAdminConcatenada!$B:$B, 0)), ISNUMBER(SEARCH($A58,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ISNUMBER(SEARCH($A58, INDEX(AsistenciaJetAdminConcatenada!$D:$D, MATCH(1, (AsistenciaJetAdminConcatenada!$A:$A=H$2)*(AsistenciaJetAdminConcatenada!$B:$B=H$1), 0)), 1))),  0.5, 0))</f>
        <v>1</v>
      </c>
      <c r="I58" s="47">
        <f t="array" ref="I58">IF(AND(ISNUMBER(MATCH(I$2, AsistenciaJetAdminConcatenada!$A:$A, 0)), ISNUMBER(MATCH(I$1, AsistenciaJetAdminConcatenada!$B:$B, 0)), ISNUMBER(SEARCH($A58,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ISNUMBER(SEARCH($A58, INDEX(AsistenciaJetAdminConcatenada!$D:$D, MATCH(1, (AsistenciaJetAdminConcatenada!$A:$A=I$2)*(AsistenciaJetAdminConcatenada!$B:$B=I$1), 0)), 1))),  0.5, 0))</f>
        <v>1</v>
      </c>
      <c r="J58" s="47">
        <f t="array" ref="J58">IF(AND(ISNUMBER(MATCH(J$2, AsistenciaJetAdminConcatenada!$A:$A, 0)), ISNUMBER(MATCH(J$1, AsistenciaJetAdminConcatenada!$B:$B, 0)), ISNUMBER(SEARCH($A58,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ISNUMBER(SEARCH($A58, INDEX(AsistenciaJetAdminConcatenada!$D:$D, MATCH(1, (AsistenciaJetAdminConcatenada!$A:$A=J$2)*(AsistenciaJetAdminConcatenada!$B:$B=J$1), 0)), 1))),  0.5, 0))</f>
        <v>1</v>
      </c>
      <c r="K58" s="47">
        <f t="array" ref="K58">IF(AND(ISNUMBER(MATCH(K$2, AsistenciaJetAdminConcatenada!$A:$A, 0)), ISNUMBER(MATCH(K$1, AsistenciaJetAdminConcatenada!$B:$B, 0)), ISNUMBER(SEARCH($A58,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ISNUMBER(SEARCH($A58, INDEX(AsistenciaJetAdminConcatenada!$D:$D, MATCH(1, (AsistenciaJetAdminConcatenada!$A:$A=K$2)*(AsistenciaJetAdminConcatenada!$B:$B=K$1), 0)), 1))),  0.5, 0))</f>
        <v>0.5</v>
      </c>
      <c r="L58" s="47">
        <f t="array" ref="L58">IF(AND(ISNUMBER(MATCH(L$2, AsistenciaJetAdminConcatenada!$A:$A, 0)), ISNUMBER(MATCH(L$1, AsistenciaJetAdminConcatenada!$B:$B, 0)), ISNUMBER(SEARCH($A58,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ISNUMBER(SEARCH($A58, INDEX(AsistenciaJetAdminConcatenada!$D:$D, MATCH(1, (AsistenciaJetAdminConcatenada!$A:$A=L$2)*(AsistenciaJetAdminConcatenada!$B:$B=L$1), 0)), 1))),  0.5, 0))</f>
        <v>0</v>
      </c>
      <c r="M58" s="47">
        <f t="array" ref="M58">IF(AND(ISNUMBER(MATCH(M$2, AsistenciaJetAdminConcatenada!$A:$A, 0)), ISNUMBER(MATCH(M$1, AsistenciaJetAdminConcatenada!$B:$B, 0)), ISNUMBER(SEARCH($A58,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ISNUMBER(SEARCH($A58, INDEX(AsistenciaJetAdminConcatenada!$D:$D, MATCH(1, (AsistenciaJetAdminConcatenada!$A:$A=M$2)*(AsistenciaJetAdminConcatenada!$B:$B=M$1), 0)), 1))),  0.5, 0))</f>
        <v>0</v>
      </c>
      <c r="N58" s="47">
        <f t="array" ref="N58">IF(AND(ISNUMBER(MATCH(N$2, AsistenciaJetAdminConcatenada!$A:$A, 0)), ISNUMBER(MATCH(N$1, AsistenciaJetAdminConcatenada!$B:$B, 0)), ISNUMBER(SEARCH($A58,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ISNUMBER(SEARCH($A58, INDEX(AsistenciaJetAdminConcatenada!$D:$D, MATCH(1, (AsistenciaJetAdminConcatenada!$A:$A=N$2)*(AsistenciaJetAdminConcatenada!$B:$B=N$1), 0)), 1))),  0.5, 0))</f>
        <v>0</v>
      </c>
      <c r="O58" s="47">
        <f t="array" ref="O58">IF(AND(ISNUMBER(MATCH(O$2, AsistenciaJetAdminConcatenada!$A:$A, 0)), ISNUMBER(MATCH(O$1, AsistenciaJetAdminConcatenada!$B:$B, 0)), ISNUMBER(SEARCH($A58,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ISNUMBER(SEARCH($A58, INDEX(AsistenciaJetAdminConcatenada!$D:$D, MATCH(1, (AsistenciaJetAdminConcatenada!$A:$A=O$2)*(AsistenciaJetAdminConcatenada!$B:$B=O$1), 0)), 1))),  0.5, 0))</f>
        <v>1</v>
      </c>
      <c r="P58" s="47">
        <f t="array" ref="P58">IF(AND(ISNUMBER(MATCH(P$2, AsistenciaJetAdminConcatenada!$A:$A, 0)), ISNUMBER(MATCH(P$1, AsistenciaJetAdminConcatenada!$B:$B, 0)), ISNUMBER(SEARCH($A58, INDEX(AsistenciaJetAdminConcatenada!$C:$C, MATCH(1, (AsistenciaJetAdminConcatenada!$A:$A=P$2)*(AsistenciaJetAdminConcatenada!$B:$B=P$1), 0)), 1))), 1, IF(AND(ISNUMBER(MATCH(P$2, AsistenciaJetAdminConcatenada!$A:$A, 0)), ISNUMBER(MATCH(P$1, AsistenciaJetAdminConcatenada!$B:$B, 0)), ISNUMBER(SEARCH($A58, INDEX(AsistenciaJetAdminConcatenada!$D:$D, MATCH(1, (AsistenciaJetAdminConcatenada!$A:$A=P$2)*(AsistenciaJetAdminConcatenada!$B:$B=P$1), 0)), 1))),  0.5, 0))</f>
        <v>1</v>
      </c>
      <c r="Q58" s="47">
        <f t="array" ref="Q58">IF(AND(ISNUMBER(MATCH(Q$2, AsistenciaJetAdminConcatenada!$A:$A, 0)), ISNUMBER(MATCH(Q$1, AsistenciaJetAdminConcatenada!$B:$B, 0)), ISNUMBER(SEARCH($A58, INDEX(AsistenciaJetAdminConcatenada!$C:$C, MATCH(1, (AsistenciaJetAdminConcatenada!$A:$A=Q$2)*(AsistenciaJetAdminConcatenada!$B:$B=Q$1), 0)), 1))), 1, IF(AND(ISNUMBER(MATCH(Q$2, AsistenciaJetAdminConcatenada!$A:$A, 0)), ISNUMBER(MATCH(Q$1, AsistenciaJetAdminConcatenada!$B:$B, 0)), ISNUMBER(SEARCH($A58, INDEX(AsistenciaJetAdminConcatenada!$D:$D, MATCH(1, (AsistenciaJetAdminConcatenada!$A:$A=Q$2)*(AsistenciaJetAdminConcatenada!$B:$B=Q$1), 0)), 1))),  0.5, 0))</f>
        <v>1</v>
      </c>
      <c r="R58" s="47">
        <f t="array" ref="R58">IF(AND(ISNUMBER(MATCH(R$2, AsistenciaJetAdminConcatenada!$A:$A, 0)), ISNUMBER(MATCH(R$1, AsistenciaJetAdminConcatenada!$B:$B, 0)), ISNUMBER(SEARCH($A58,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ISNUMBER(SEARCH($A58, INDEX(AsistenciaJetAdminConcatenada!$D:$D, MATCH(1, (AsistenciaJetAdminConcatenada!$A:$A=R$2)*(AsistenciaJetAdminConcatenada!$B:$B=R$1), 0)), 1))),  0.5, 0))</f>
        <v>1</v>
      </c>
      <c r="S58" s="47">
        <f t="array" ref="S58">IF(AND(ISNUMBER(MATCH(S$2, AsistenciaJetAdminConcatenada!$A:$A, 0)), ISNUMBER(MATCH(S$1, AsistenciaJetAdminConcatenada!$B:$B, 0)), ISNUMBER(SEARCH($A58,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ISNUMBER(SEARCH($A58, INDEX(AsistenciaJetAdminConcatenada!$D:$D, MATCH(1, (AsistenciaJetAdminConcatenada!$A:$A=S$2)*(AsistenciaJetAdminConcatenada!$B:$B=S$1), 0)), 1))),  0.5, 0))</f>
        <v>1</v>
      </c>
      <c r="T58" s="47">
        <f t="array" ref="T58">IF(AND(ISNUMBER(MATCH(T$2, AsistenciaJetAdminConcatenada!$A:$A, 0)), ISNUMBER(MATCH(T$1, AsistenciaJetAdminConcatenada!$B:$B, 0)), ISNUMBER(SEARCH($A58,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ISNUMBER(SEARCH($A58, INDEX(AsistenciaJetAdminConcatenada!$D:$D, MATCH(1, (AsistenciaJetAdminConcatenada!$A:$A=T$2)*(AsistenciaJetAdminConcatenada!$B:$B=T$1), 0)), 1))),  0.5, 0))</f>
        <v>1</v>
      </c>
      <c r="U58" s="47">
        <f t="array" ref="U58">IF(AND(ISNUMBER(MATCH(U$2, AsistenciaJetAdminConcatenada!$A:$A, 0)), ISNUMBER(MATCH(U$1, AsistenciaJetAdminConcatenada!$B:$B, 0)), ISNUMBER(SEARCH($A58,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ISNUMBER(SEARCH($A58, INDEX(AsistenciaJetAdminConcatenada!$D:$D, MATCH(1, (AsistenciaJetAdminConcatenada!$A:$A=U$2)*(AsistenciaJetAdminConcatenada!$B:$B=U$1), 0)), 1))),  0.5, 0))</f>
        <v>0</v>
      </c>
      <c r="V58" s="47">
        <f t="array" ref="V58">IF(AND(ISNUMBER(MATCH(V$2, AsistenciaJetAdminConcatenada!$A:$A, 0)), ISNUMBER(MATCH(V$1, AsistenciaJetAdminConcatenada!$B:$B, 0)), ISNUMBER(SEARCH($A58,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ISNUMBER(SEARCH($A58, INDEX(AsistenciaJetAdminConcatenada!$D:$D, MATCH(1, (AsistenciaJetAdminConcatenada!$A:$A=V$2)*(AsistenciaJetAdminConcatenada!$B:$B=V$1), 0)), 1))),  0.5, 0))</f>
        <v>0</v>
      </c>
      <c r="W58" s="47">
        <f t="array" ref="W58">IF(AND(ISNUMBER(MATCH(W$2, AsistenciaJetAdminConcatenada!$A:$A, 0)), ISNUMBER(MATCH(W$1, AsistenciaJetAdminConcatenada!$B:$B, 0)), ISNUMBER(SEARCH($A58,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ISNUMBER(SEARCH($A58, INDEX(AsistenciaJetAdminConcatenada!$D:$D, MATCH(1, (AsistenciaJetAdminConcatenada!$A:$A=W$2)*(AsistenciaJetAdminConcatenada!$B:$B=W$1), 0)), 1))),  0.5, 0))</f>
        <v>1</v>
      </c>
      <c r="X58" s="47">
        <f t="array" ref="X58">IF(AND(ISNUMBER(MATCH(X$2, AsistenciaJetAdminConcatenada!$A:$A, 0)), ISNUMBER(MATCH(X$1, AsistenciaJetAdminConcatenada!$B:$B, 0)), ISNUMBER(SEARCH($A58,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ISNUMBER(SEARCH($A58, INDEX(AsistenciaJetAdminConcatenada!$D:$D, MATCH(1, (AsistenciaJetAdminConcatenada!$A:$A=X$2)*(AsistenciaJetAdminConcatenada!$B:$B=X$1), 0)), 1))),  0.5, 0))</f>
        <v>1</v>
      </c>
      <c r="Y58" s="47">
        <f t="array" ref="Y58">IF(AND(ISNUMBER(MATCH(Y$2, AsistenciaJetAdminConcatenada!$A:$A, 0)), ISNUMBER(MATCH(Y$1, AsistenciaJetAdminConcatenada!$B:$B, 0)), ISNUMBER(SEARCH($A58,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ISNUMBER(SEARCH($A58, INDEX(AsistenciaJetAdminConcatenada!$D:$D, MATCH(1, (AsistenciaJetAdminConcatenada!$A:$A=Y$2)*(AsistenciaJetAdminConcatenada!$B:$B=Y$1), 0)), 1))),  0.5, 0))</f>
        <v>1</v>
      </c>
      <c r="Z58" s="47">
        <f t="array" ref="Z58">IF(AND(ISNUMBER(MATCH(Z$2, AsistenciaJetAdminConcatenada!$A:$A, 0)), ISNUMBER(MATCH(Z$1, AsistenciaJetAdminConcatenada!$B:$B, 0)), ISNUMBER(SEARCH($A58,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ISNUMBER(SEARCH($A58, INDEX(AsistenciaJetAdminConcatenada!$D:$D, MATCH(1, (AsistenciaJetAdminConcatenada!$A:$A=Z$2)*(AsistenciaJetAdminConcatenada!$B:$B=Z$1), 0)), 1))),  0.5, 0))</f>
        <v>1</v>
      </c>
      <c r="AA58" s="47">
        <f t="array" ref="AA58">IF(AND(ISNUMBER(MATCH(AA$2, AsistenciaJetAdminConcatenada!$A:$A, 0)), ISNUMBER(MATCH(AA$1, AsistenciaJetAdminConcatenada!$B:$B, 0)), ISNUMBER(SEARCH($A58,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ISNUMBER(SEARCH($A58, INDEX(AsistenciaJetAdminConcatenada!$D:$D, MATCH(1, (AsistenciaJetAdminConcatenada!$A:$A=AA$2)*(AsistenciaJetAdminConcatenada!$B:$B=AA$1), 0)), 1))),  0.5, 0))</f>
        <v>1</v>
      </c>
      <c r="AB58" s="47">
        <f t="array" ref="AB58">IF(AND(ISNUMBER(MATCH(AB$2, AsistenciaJetAdminConcatenada!$A:$A, 0)), ISNUMBER(MATCH(AB$1, AsistenciaJetAdminConcatenada!$B:$B, 0)), ISNUMBER(SEARCH($A58,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ISNUMBER(SEARCH($A58, INDEX(AsistenciaJetAdminConcatenada!$D:$D, MATCH(1, (AsistenciaJetAdminConcatenada!$A:$A=AB$2)*(AsistenciaJetAdminConcatenada!$B:$B=AB$1), 0)), 1))),  0.5, 0))</f>
        <v>1</v>
      </c>
      <c r="AC58" s="47">
        <f t="array" ref="AC58">IF(AND(ISNUMBER(MATCH(AC$2, AsistenciaJetAdminConcatenada!$A:$A, 0)), ISNUMBER(MATCH(AC$1, AsistenciaJetAdminConcatenada!$B:$B, 0)), ISNUMBER(SEARCH($A58,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ISNUMBER(SEARCH($A58, INDEX(AsistenciaJetAdminConcatenada!$D:$D, MATCH(1, (AsistenciaJetAdminConcatenada!$A:$A=AC$2)*(AsistenciaJetAdminConcatenada!$B:$B=AC$1), 0)), 1))),  0.5, 0))</f>
        <v>1</v>
      </c>
      <c r="AD58" s="47">
        <f t="array" ref="AD58">IF(AND(ISNUMBER(MATCH(AD$2, AsistenciaJetAdminConcatenada!$A:$A, 0)), ISNUMBER(MATCH(AD$1, AsistenciaJetAdminConcatenada!$B:$B, 0)), ISNUMBER(SEARCH($A58,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ISNUMBER(SEARCH($A58, INDEX(AsistenciaJetAdminConcatenada!$D:$D, MATCH(1, (AsistenciaJetAdminConcatenada!$A:$A=AD$2)*(AsistenciaJetAdminConcatenada!$B:$B=AD$1), 0)), 1))),  0.5, 0))</f>
        <v>1</v>
      </c>
      <c r="AE58" s="47">
        <f t="array" ref="AE58">IF(AND(ISNUMBER(MATCH(AE$2, AsistenciaJetAdminConcatenada!$A:$A, 0)), ISNUMBER(MATCH(AE$1, AsistenciaJetAdminConcatenada!$B:$B, 0)), ISNUMBER(SEARCH($A58,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ISNUMBER(SEARCH($A58, INDEX(AsistenciaJetAdminConcatenada!$D:$D, MATCH(1, (AsistenciaJetAdminConcatenada!$A:$A=AE$2)*(AsistenciaJetAdminConcatenada!$B:$B=AE$1), 0)), 1))),  0.5, 0))</f>
        <v>1</v>
      </c>
      <c r="AF58" s="47">
        <f t="array" ref="AF58">IF(AND(ISNUMBER(MATCH(AF$2, AsistenciaJetAdminConcatenada!$A:$A, 0)), ISNUMBER(MATCH(AF$1, AsistenciaJetAdminConcatenada!$B:$B, 0)), ISNUMBER(SEARCH($A58,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ISNUMBER(SEARCH($A58, INDEX(AsistenciaJetAdminConcatenada!$D:$D, MATCH(1, (AsistenciaJetAdminConcatenada!$A:$A=AF$2)*(AsistenciaJetAdminConcatenada!$B:$B=AF$1), 0)), 1))),  0.5, 0))</f>
        <v>1</v>
      </c>
      <c r="AG58" s="47">
        <f t="array" ref="AG58">IF(AND(ISNUMBER(MATCH(AG$2, AsistenciaJetAdminConcatenada!$A:$A, 0)), ISNUMBER(MATCH(AG$1, AsistenciaJetAdminConcatenada!$B:$B, 0)), ISNUMBER(SEARCH($A58,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ISNUMBER(SEARCH($A58, INDEX(AsistenciaJetAdminConcatenada!$D:$D, MATCH(1, (AsistenciaJetAdminConcatenada!$A:$A=AG$2)*(AsistenciaJetAdminConcatenada!$B:$B=AG$1), 0)), 1))),  0.5, 0))</f>
        <v>1</v>
      </c>
      <c r="AH58" s="47">
        <f t="array" ref="AH58">IF(AND(ISNUMBER(MATCH(AH$2, AsistenciaJetAdminConcatenada!$A:$A, 0)), ISNUMBER(MATCH(AH$1, AsistenciaJetAdminConcatenada!$B:$B, 0)), ISNUMBER(SEARCH($A58,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ISNUMBER(SEARCH($A58, INDEX(AsistenciaJetAdminConcatenada!$D:$D, MATCH(1, (AsistenciaJetAdminConcatenada!$A:$A=AH$2)*(AsistenciaJetAdminConcatenada!$B:$B=AH$1), 0)), 1))),  0.5, 0))</f>
        <v>0</v>
      </c>
      <c r="AI58" s="47">
        <f t="array" ref="AI58">IF(AND(ISNUMBER(MATCH(AI$2, AsistenciaJetAdminConcatenada!$A:$A, 0)), ISNUMBER(MATCH(AI$1, AsistenciaJetAdminConcatenada!$B:$B, 0)), ISNUMBER(SEARCH($A58,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ISNUMBER(SEARCH($A58, INDEX(AsistenciaJetAdminConcatenada!$D:$D, MATCH(1, (AsistenciaJetAdminConcatenada!$A:$A=AI$2)*(AsistenciaJetAdminConcatenada!$B:$B=AI$1), 0)), 1))),  0.5, 0))</f>
        <v>1</v>
      </c>
      <c r="AJ58" s="47">
        <f t="array" ref="AJ58">IF(AND(ISNUMBER(MATCH(AJ$2, AsistenciaJetAdminConcatenada!$A:$A, 0)), ISNUMBER(MATCH(AJ$1, AsistenciaJetAdminConcatenada!$B:$B, 0)), ISNUMBER(SEARCH($A58,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ISNUMBER(SEARCH($A58, INDEX(AsistenciaJetAdminConcatenada!$D:$D, MATCH(1, (AsistenciaJetAdminConcatenada!$A:$A=AJ$2)*(AsistenciaJetAdminConcatenada!$B:$B=AJ$1), 0)), 1))),  0.5, 0))</f>
        <v>1</v>
      </c>
      <c r="AK58" s="47">
        <f t="array" ref="AK58">IF(AND(ISNUMBER(MATCH(AK$2, AsistenciaJetAdminConcatenada!$A:$A, 0)), ISNUMBER(MATCH(AK$1, AsistenciaJetAdminConcatenada!$B:$B, 0)), ISNUMBER(SEARCH($A58,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ISNUMBER(SEARCH($A58, INDEX(AsistenciaJetAdminConcatenada!$D:$D, MATCH(1, (AsistenciaJetAdminConcatenada!$A:$A=AK$2)*(AsistenciaJetAdminConcatenada!$B:$B=AK$1), 0)), 1))),  0.5, 0))</f>
        <v>1</v>
      </c>
      <c r="AL58" s="47">
        <f t="array" ref="AL58">IF(AND(ISNUMBER(MATCH(AL$2, AsistenciaJetAdminConcatenada!$A:$A, 0)), ISNUMBER(MATCH(AL$1, AsistenciaJetAdminConcatenada!$B:$B, 0)), ISNUMBER(SEARCH($A58,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ISNUMBER(SEARCH($A58, INDEX(AsistenciaJetAdminConcatenada!$D:$D, MATCH(1, (AsistenciaJetAdminConcatenada!$A:$A=AL$2)*(AsistenciaJetAdminConcatenada!$B:$B=AL$1), 0)), 1))),  0.5, 0))</f>
        <v>1</v>
      </c>
      <c r="AM58" s="47">
        <f t="array" ref="AM58">IF(AND(ISNUMBER(MATCH(AM$2, AsistenciaJetAdminConcatenada!$A:$A, 0)), ISNUMBER(MATCH(AM$1, AsistenciaJetAdminConcatenada!$B:$B, 0)), ISNUMBER(SEARCH($A58,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ISNUMBER(SEARCH($A58, INDEX(AsistenciaJetAdminConcatenada!$D:$D, MATCH(1, (AsistenciaJetAdminConcatenada!$A:$A=AM$2)*(AsistenciaJetAdminConcatenada!$B:$B=AM$1), 0)), 1))),  0.5, 0))</f>
        <v>1</v>
      </c>
      <c r="AN58" s="47">
        <f t="array" ref="AN58">IF(AND(ISNUMBER(MATCH(AN$2, AsistenciaJetAdminConcatenada!$A:$A, 0)), ISNUMBER(MATCH(AN$1, AsistenciaJetAdminConcatenada!$B:$B, 0)), ISNUMBER(SEARCH($A58,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ISNUMBER(SEARCH($A58, INDEX(AsistenciaJetAdminConcatenada!$D:$D, MATCH(1, (AsistenciaJetAdminConcatenada!$A:$A=AN$2)*(AsistenciaJetAdminConcatenada!$B:$B=AN$1), 0)), 1))),  0.5, 0))</f>
        <v>0</v>
      </c>
      <c r="AO58" s="47">
        <f t="array" ref="AO58">IF(AND(ISNUMBER(MATCH(AO$2, AsistenciaJetAdminConcatenada!$A:$A, 0)), ISNUMBER(MATCH(AO$1, AsistenciaJetAdminConcatenada!$B:$B, 0)), ISNUMBER(SEARCH($A58,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ISNUMBER(SEARCH($A58, INDEX(AsistenciaJetAdminConcatenada!$D:$D, MATCH(1, (AsistenciaJetAdminConcatenada!$A:$A=AO$2)*(AsistenciaJetAdminConcatenada!$B:$B=AO$1), 0)), 1))),  0.5, 0))</f>
        <v>1</v>
      </c>
      <c r="AP58" s="47">
        <f t="array" ref="AP58">IF(AND(ISNUMBER(MATCH(AP$2, AsistenciaJetAdminConcatenada!$A:$A, 0)), ISNUMBER(MATCH(AP$1, AsistenciaJetAdminConcatenada!$B:$B, 0)), ISNUMBER(SEARCH($A58,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ISNUMBER(SEARCH($A58, INDEX(AsistenciaJetAdminConcatenada!$D:$D, MATCH(1, (AsistenciaJetAdminConcatenada!$A:$A=AP$2)*(AsistenciaJetAdminConcatenada!$B:$B=AP$1), 0)), 1))),  0.5, 0))</f>
        <v>1</v>
      </c>
      <c r="AQ58" s="47">
        <f t="array" ref="AQ58">IF(AND(ISNUMBER(MATCH(AQ$2, AsistenciaJetAdminConcatenada!$A:$A, 0)), ISNUMBER(MATCH(AQ$1, AsistenciaJetAdminConcatenada!$B:$B, 0)), ISNUMBER(SEARCH($A58,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ISNUMBER(SEARCH($A58, INDEX(AsistenciaJetAdminConcatenada!$D:$D, MATCH(1, (AsistenciaJetAdminConcatenada!$A:$A=AQ$2)*(AsistenciaJetAdminConcatenada!$B:$B=AQ$1), 0)), 1))),  0.5, 0))</f>
        <v>0</v>
      </c>
      <c r="AR58" s="47">
        <f t="array" ref="AR58">IF(AND(ISNUMBER(MATCH(AR$2, AsistenciaJetAdminConcatenada!$A:$A, 0)), ISNUMBER(MATCH(AR$1, AsistenciaJetAdminConcatenada!$B:$B, 0)), ISNUMBER(SEARCH($A58,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ISNUMBER(SEARCH($A58, INDEX(AsistenciaJetAdminConcatenada!$D:$D, MATCH(1, (AsistenciaJetAdminConcatenada!$A:$A=AR$2)*(AsistenciaJetAdminConcatenada!$B:$B=AR$1), 0)), 1))),  0.5, 0))</f>
        <v>1</v>
      </c>
      <c r="AS58" s="47">
        <f t="array" ref="AS58">IF(AND(ISNUMBER(MATCH(AS$2, AsistenciaJetAdminConcatenada!$A:$A, 0)), ISNUMBER(MATCH(AS$1, AsistenciaJetAdminConcatenada!$B:$B, 0)), ISNUMBER(SEARCH($A58,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ISNUMBER(SEARCH($A58, INDEX(AsistenciaJetAdminConcatenada!$D:$D, MATCH(1, (AsistenciaJetAdminConcatenada!$A:$A=AS$2)*(AsistenciaJetAdminConcatenada!$B:$B=AS$1), 0)), 1))),  0.5, 0))</f>
        <v>1</v>
      </c>
      <c r="AT58" s="47">
        <f t="array" ref="AT58">IF(AND(ISNUMBER(MATCH(AT$2, AsistenciaJetAdminConcatenada!$A:$A, 0)), ISNUMBER(MATCH(AT$1, AsistenciaJetAdminConcatenada!$B:$B, 0)), ISNUMBER(SEARCH($A58,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ISNUMBER(SEARCH($A58, INDEX(AsistenciaJetAdminConcatenada!$D:$D, MATCH(1, (AsistenciaJetAdminConcatenada!$A:$A=AT$2)*(AsistenciaJetAdminConcatenada!$B:$B=AT$1), 0)), 1))),  0.5, 0))</f>
        <v>0</v>
      </c>
      <c r="AU58" s="47">
        <f t="array" ref="AU58">IF(AND(ISNUMBER(MATCH(AU$2, AsistenciaJetAdminConcatenada!$A:$A, 0)), ISNUMBER(MATCH(AU$1, AsistenciaJetAdminConcatenada!$B:$B, 0)), ISNUMBER(SEARCH($A58,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ISNUMBER(SEARCH($A58, INDEX(AsistenciaJetAdminConcatenada!$D:$D, MATCH(1, (AsistenciaJetAdminConcatenada!$A:$A=AU$2)*(AsistenciaJetAdminConcatenada!$B:$B=AU$1), 0)), 1))),  0.5, 0))</f>
        <v>1</v>
      </c>
      <c r="AV58" s="47">
        <f t="array" ref="AV58">IF(AND(ISNUMBER(MATCH(AV$2, AsistenciaJetAdminConcatenada!$A:$A, 0)), ISNUMBER(MATCH(AV$1, AsistenciaJetAdminConcatenada!$B:$B, 0)), ISNUMBER(SEARCH($A58,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ISNUMBER(SEARCH($A58, INDEX(AsistenciaJetAdminConcatenada!$D:$D, MATCH(1, (AsistenciaJetAdminConcatenada!$A:$A=AV$2)*(AsistenciaJetAdminConcatenada!$B:$B=AV$1), 0)), 1))),  0.5, 0))</f>
        <v>1</v>
      </c>
      <c r="AW58" s="47">
        <f t="array" ref="AW58">IF(AND(ISNUMBER(MATCH(AW$2, AsistenciaJetAdminConcatenada!$A:$A, 0)), ISNUMBER(MATCH(AW$1, AsistenciaJetAdminConcatenada!$B:$B, 0)), ISNUMBER(SEARCH($A58,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ISNUMBER(SEARCH($A58, INDEX(AsistenciaJetAdminConcatenada!$D:$D, MATCH(1, (AsistenciaJetAdminConcatenada!$A:$A=AW$2)*(AsistenciaJetAdminConcatenada!$B:$B=AW$1), 0)), 1))),  0.5, 0))</f>
        <v>1</v>
      </c>
      <c r="AX58" s="47">
        <f t="array" ref="AX58">IF(AND(ISNUMBER(MATCH(AX$2, AsistenciaJetAdminConcatenada!$A:$A, 0)), ISNUMBER(MATCH(AX$1, AsistenciaJetAdminConcatenada!$B:$B, 0)), ISNUMBER(SEARCH($A58,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ISNUMBER(SEARCH($A58, INDEX(AsistenciaJetAdminConcatenada!$D:$D, MATCH(1, (AsistenciaJetAdminConcatenada!$A:$A=AX$2)*(AsistenciaJetAdminConcatenada!$B:$B=AX$1), 0)), 1))),  0.5, 0))</f>
        <v>0</v>
      </c>
      <c r="AY58" s="47">
        <f t="array" ref="AY58">IF(AND(ISNUMBER(MATCH(AY$2, AsistenciaJetAdminConcatenada!$A:$A, 0)), ISNUMBER(MATCH(AY$1, AsistenciaJetAdminConcatenada!$B:$B, 0)), ISNUMBER(SEARCH($A58,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ISNUMBER(SEARCH($A58, INDEX(AsistenciaJetAdminConcatenada!$D:$D, MATCH(1, (AsistenciaJetAdminConcatenada!$A:$A=AY$2)*(AsistenciaJetAdminConcatenada!$B:$B=AY$1), 0)), 1))),  0.5, 0))</f>
        <v>1</v>
      </c>
      <c r="AZ58" s="47">
        <f t="array" ref="AZ58">IF(AND(ISNUMBER(MATCH(AZ$2, AsistenciaJetAdminConcatenada!$A:$A, 0)), ISNUMBER(MATCH(AZ$1, AsistenciaJetAdminConcatenada!$B:$B, 0)), ISNUMBER(SEARCH($A58,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ISNUMBER(SEARCH($A58, INDEX(AsistenciaJetAdminConcatenada!$D:$D, MATCH(1, (AsistenciaJetAdminConcatenada!$A:$A=AZ$2)*(AsistenciaJetAdminConcatenada!$B:$B=AZ$1), 0)), 1))),  0.5, 0))</f>
        <v>0</v>
      </c>
      <c r="BA58" s="47">
        <f t="array" ref="BA58">IF(AND(ISNUMBER(MATCH(BA$2, AsistenciaJetAdminConcatenada!$A:$A, 0)), ISNUMBER(MATCH(BA$1, AsistenciaJetAdminConcatenada!$B:$B, 0)), ISNUMBER(SEARCH($A58,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ISNUMBER(SEARCH($A58, INDEX(AsistenciaJetAdminConcatenada!$D:$D, MATCH(1, (AsistenciaJetAdminConcatenada!$A:$A=BA$2)*(AsistenciaJetAdminConcatenada!$B:$B=BA$1), 0)), 1))),  0.5, 0))</f>
        <v>1</v>
      </c>
      <c r="BB58" s="47">
        <f t="array" ref="BB58">IF(AND(ISNUMBER(MATCH(BB$2, AsistenciaJetAdminConcatenada!$A:$A, 0)), ISNUMBER(MATCH(BB$1, AsistenciaJetAdminConcatenada!$B:$B, 0)), ISNUMBER(SEARCH($A58,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ISNUMBER(SEARCH($A58, INDEX(AsistenciaJetAdminConcatenada!$D:$D, MATCH(1, (AsistenciaJetAdminConcatenada!$A:$A=BB$2)*(AsistenciaJetAdminConcatenada!$B:$B=BB$1), 0)), 1))),  0.5, 0))</f>
        <v>0.5</v>
      </c>
      <c r="BC58" s="47">
        <f t="array" ref="BC58">IF(AND(ISNUMBER(MATCH(BC$2, AsistenciaJetAdminConcatenada!$A:$A, 0)), ISNUMBER(MATCH(BC$1, AsistenciaJetAdminConcatenada!$B:$B, 0)), ISNUMBER(SEARCH($A58,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ISNUMBER(SEARCH($A58, INDEX(AsistenciaJetAdminConcatenada!$D:$D, MATCH(1, (AsistenciaJetAdminConcatenada!$A:$A=BC$2)*(AsistenciaJetAdminConcatenada!$B:$B=BC$1), 0)), 1))),  0.5, 0))</f>
        <v>1</v>
      </c>
      <c r="BD58" s="47">
        <f t="array" ref="BD58">IF(AND(ISNUMBER(MATCH(BD$2, AsistenciaJetAdminConcatenada!$A:$A, 0)), ISNUMBER(MATCH(BD$1, AsistenciaJetAdminConcatenada!$B:$B, 0)), ISNUMBER(SEARCH($A58,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ISNUMBER(SEARCH($A58, INDEX(AsistenciaJetAdminConcatenada!$D:$D, MATCH(1, (AsistenciaJetAdminConcatenada!$A:$A=BD$2)*(AsistenciaJetAdminConcatenada!$B:$B=BD$1), 0)), 1))),  0.5, 0))</f>
        <v>0</v>
      </c>
      <c r="BE58" s="47">
        <f t="array" ref="BE58">IF(AND(ISNUMBER(MATCH(BE$2, AsistenciaJetAdminConcatenada!$A:$A, 0)), ISNUMBER(MATCH(BE$1, AsistenciaJetAdminConcatenada!$B:$B, 0)), ISNUMBER(SEARCH($A58,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ISNUMBER(SEARCH($A58, INDEX(AsistenciaJetAdminConcatenada!$D:$D, MATCH(1, (AsistenciaJetAdminConcatenada!$A:$A=BE$2)*(AsistenciaJetAdminConcatenada!$B:$B=BE$1), 0)), 1))),  0.5, 0))</f>
        <v>1</v>
      </c>
      <c r="BF58" s="47">
        <f t="array" ref="BF58">IF(AND(ISNUMBER(MATCH(BF$2, AsistenciaJetAdminConcatenada!$A:$A, 0)), ISNUMBER(MATCH(BF$1, AsistenciaJetAdminConcatenada!$B:$B, 0)), ISNUMBER(SEARCH($A58,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ISNUMBER(SEARCH($A58, INDEX(AsistenciaJetAdminConcatenada!$D:$D, MATCH(1, (AsistenciaJetAdminConcatenada!$A:$A=BF$2)*(AsistenciaJetAdminConcatenada!$B:$B=BF$1), 0)), 1))),  0.5, 0))</f>
        <v>1</v>
      </c>
      <c r="BG58" s="47">
        <f t="array" ref="BG58">IF(AND(ISNUMBER(MATCH(BG$2, AsistenciaJetAdminConcatenada!$A:$A, 0)), ISNUMBER(MATCH(BG$1, AsistenciaJetAdminConcatenada!$B:$B, 0)), ISNUMBER(SEARCH($A58,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ISNUMBER(SEARCH($A58, INDEX(AsistenciaJetAdminConcatenada!$D:$D, MATCH(1, (AsistenciaJetAdminConcatenada!$A:$A=BG$2)*(AsistenciaJetAdminConcatenada!$B:$B=BG$1), 0)), 1))),  0.5, 0))</f>
        <v>0.5</v>
      </c>
      <c r="BH58" s="47">
        <f t="array" ref="BH58">IF(AND(ISNUMBER(MATCH(BH$2, AsistenciaJetAdminConcatenada!$A:$A, 0)), ISNUMBER(MATCH(BH$1, AsistenciaJetAdminConcatenada!$B:$B, 0)), ISNUMBER(SEARCH($A58,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ISNUMBER(SEARCH($A58, INDEX(AsistenciaJetAdminConcatenada!$D:$D, MATCH(1, (AsistenciaJetAdminConcatenada!$A:$A=BH$2)*(AsistenciaJetAdminConcatenada!$B:$B=BH$1), 0)), 1))),  0.5, 0))</f>
        <v>1</v>
      </c>
      <c r="BI58" s="47">
        <f t="array" ref="BI58">IF(AND(ISNUMBER(MATCH(BI$2, AsistenciaJetAdminConcatenada!$A:$A, 0)), ISNUMBER(MATCH(BI$1, AsistenciaJetAdminConcatenada!$B:$B, 0)), ISNUMBER(SEARCH($A58,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ISNUMBER(SEARCH($A58, INDEX(AsistenciaJetAdminConcatenada!$D:$D, MATCH(1, (AsistenciaJetAdminConcatenada!$A:$A=BI$2)*(AsistenciaJetAdminConcatenada!$B:$B=BI$1), 0)), 1))),  0.5, 0))</f>
        <v>0</v>
      </c>
      <c r="BJ58" s="47">
        <f t="array" ref="BJ58">IF(AND(ISNUMBER(MATCH(BJ$2, AsistenciaJetAdminConcatenada!$A:$A, 0)), ISNUMBER(MATCH(BJ$1, AsistenciaJetAdminConcatenada!$B:$B, 0)), ISNUMBER(SEARCH($A58,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ISNUMBER(SEARCH($A58, INDEX(AsistenciaJetAdminConcatenada!$D:$D, MATCH(1, (AsistenciaJetAdminConcatenada!$A:$A=BJ$2)*(AsistenciaJetAdminConcatenada!$B:$B=BJ$1), 0)), 1))),  0.5, 0))</f>
        <v>1</v>
      </c>
      <c r="BK58" s="47">
        <f t="array" ref="BK58">IF(AND(ISNUMBER(MATCH(BK$2, AsistenciaJetAdminConcatenada!$A:$A, 0)), ISNUMBER(MATCH(BK$1, AsistenciaJetAdminConcatenada!$B:$B, 0)), ISNUMBER(SEARCH($A58,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ISNUMBER(SEARCH($A58, INDEX(AsistenciaJetAdminConcatenada!$D:$D, MATCH(1, (AsistenciaJetAdminConcatenada!$A:$A=BK$2)*(AsistenciaJetAdminConcatenada!$B:$B=BK$1), 0)), 1))),  0.5, 0))</f>
        <v>0.5</v>
      </c>
      <c r="BL58" s="47">
        <f t="array" ref="BL58">IF(AND(ISNUMBER(MATCH(BL$2, AsistenciaJetAdminConcatenada!$A:$A, 0)), ISNUMBER(MATCH(BL$1, AsistenciaJetAdminConcatenada!$B:$B, 0)), ISNUMBER(SEARCH($A58,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ISNUMBER(SEARCH($A58, INDEX(AsistenciaJetAdminConcatenada!$D:$D, MATCH(1, (AsistenciaJetAdminConcatenada!$A:$A=BL$2)*(AsistenciaJetAdminConcatenada!$B:$B=BL$1), 0)), 1))),  0.5, 0))</f>
        <v>1</v>
      </c>
      <c r="BM58" s="47">
        <f t="array" ref="BM58">IF(AND(ISNUMBER(MATCH(BM$2, AsistenciaJetAdminConcatenada!$A:$A, 0)), ISNUMBER(MATCH(BM$1, AsistenciaJetAdminConcatenada!$B:$B, 0)), ISNUMBER(SEARCH($A58,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ISNUMBER(SEARCH($A58, INDEX(AsistenciaJetAdminConcatenada!$D:$D, MATCH(1, (AsistenciaJetAdminConcatenada!$A:$A=BM$2)*(AsistenciaJetAdminConcatenada!$B:$B=BM$1), 0)), 1))),  0.5, 0))</f>
        <v>1</v>
      </c>
      <c r="BN58" s="47">
        <f t="array" ref="BN58">IF(AND(ISNUMBER(MATCH(BN$2, AsistenciaJetAdminConcatenada!$A:$A, 0)), ISNUMBER(MATCH(BN$1, AsistenciaJetAdminConcatenada!$B:$B, 0)), ISNUMBER(SEARCH($A58,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ISNUMBER(SEARCH($A58, INDEX(AsistenciaJetAdminConcatenada!$D:$D, MATCH(1, (AsistenciaJetAdminConcatenada!$A:$A=BN$2)*(AsistenciaJetAdminConcatenada!$B:$B=BN$1), 0)), 1))),  0.5, 0))</f>
        <v>1</v>
      </c>
      <c r="BO58" s="47">
        <f t="array" ref="BO58">IF(AND(ISNUMBER(MATCH(BO$2, AsistenciaJetAdminConcatenada!$A:$A, 0)), ISNUMBER(MATCH(BO$1, AsistenciaJetAdminConcatenada!$B:$B, 0)), ISNUMBER(SEARCH($A58,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ISNUMBER(SEARCH($A58, INDEX(AsistenciaJetAdminConcatenada!$D:$D, MATCH(1, (AsistenciaJetAdminConcatenada!$A:$A=BO$2)*(AsistenciaJetAdminConcatenada!$B:$B=BO$1), 0)), 1))),  0.5, 0))</f>
        <v>1</v>
      </c>
      <c r="BP58" s="47">
        <f t="array" ref="BP58">IF(AND(ISNUMBER(MATCH(BP$2, AsistenciaJetAdminConcatenada!$A:$A, 0)), ISNUMBER(MATCH(BP$1, AsistenciaJetAdminConcatenada!$B:$B, 0)), ISNUMBER(SEARCH($A58,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ISNUMBER(SEARCH($A58, INDEX(AsistenciaJetAdminConcatenada!$D:$D, MATCH(1, (AsistenciaJetAdminConcatenada!$A:$A=BP$2)*(AsistenciaJetAdminConcatenada!$B:$B=BP$1), 0)), 1))),  0.5, 0))</f>
        <v>1</v>
      </c>
      <c r="BQ58" s="47">
        <f t="array" ref="BQ58">IF(AND(ISNUMBER(MATCH(BQ$2, AsistenciaJetAdminConcatenada!$A:$A, 0)), ISNUMBER(MATCH(BQ$1, AsistenciaJetAdminConcatenada!$B:$B, 0)), ISNUMBER(SEARCH($A58,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ISNUMBER(SEARCH($A58, INDEX(AsistenciaJetAdminConcatenada!$D:$D, MATCH(1, (AsistenciaJetAdminConcatenada!$A:$A=BQ$2)*(AsistenciaJetAdminConcatenada!$B:$B=BQ$1), 0)), 1))),  0.5, 0))</f>
        <v>1</v>
      </c>
      <c r="BR58" s="47">
        <f t="array" ref="BR58">IF(AND(ISNUMBER(MATCH(BR$2, AsistenciaJetAdminConcatenada!$A:$A, 0)), ISNUMBER(MATCH(BR$1, AsistenciaJetAdminConcatenada!$B:$B, 0)), ISNUMBER(SEARCH($A58,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ISNUMBER(SEARCH($A58, INDEX(AsistenciaJetAdminConcatenada!$D:$D, MATCH(1, (AsistenciaJetAdminConcatenada!$A:$A=BR$2)*(AsistenciaJetAdminConcatenada!$B:$B=BR$1), 0)), 1))),  0.5, 0))</f>
        <v>1</v>
      </c>
      <c r="BS58" s="47">
        <f t="array" ref="BS58">IF(AND(ISNUMBER(MATCH(BS$2, AsistenciaJetAdminConcatenada!$A:$A, 0)), ISNUMBER(MATCH(BS$1, AsistenciaJetAdminConcatenada!$B:$B, 0)), ISNUMBER(SEARCH($A58,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ISNUMBER(SEARCH($A58, INDEX(AsistenciaJetAdminConcatenada!$D:$D, MATCH(1, (AsistenciaJetAdminConcatenada!$A:$A=BS$2)*(AsistenciaJetAdminConcatenada!$B:$B=BS$1), 0)), 1))),  0.5, 0))</f>
        <v>0</v>
      </c>
      <c r="BT58" s="47">
        <f t="array" ref="BT58">IF(AND(ISNUMBER(MATCH(BT$2, AsistenciaJetAdminConcatenada!$A:$A, 0)), ISNUMBER(MATCH(BT$1, AsistenciaJetAdminConcatenada!$B:$B, 0)), ISNUMBER(SEARCH($A58,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ISNUMBER(SEARCH($A58, INDEX(AsistenciaJetAdminConcatenada!$D:$D, MATCH(1, (AsistenciaJetAdminConcatenada!$A:$A=BT$2)*(AsistenciaJetAdminConcatenada!$B:$B=BT$1), 0)), 1))),  0.5, 0))</f>
        <v>1</v>
      </c>
      <c r="BU58" s="47">
        <f t="array" ref="BU58">IF(AND(ISNUMBER(MATCH(BU$2, AsistenciaJetAdminConcatenada!$A:$A, 0)), ISNUMBER(MATCH(BU$1, AsistenciaJetAdminConcatenada!$B:$B, 0)), ISNUMBER(SEARCH($A58,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ISNUMBER(SEARCH($A58, INDEX(AsistenciaJetAdminConcatenada!$D:$D, MATCH(1, (AsistenciaJetAdminConcatenada!$A:$A=BU$2)*(AsistenciaJetAdminConcatenada!$B:$B=BU$1), 0)), 1))),  0.5, 0))</f>
        <v>1</v>
      </c>
      <c r="BV58" s="47">
        <f t="array" ref="BV58">IF(AND(ISNUMBER(MATCH(BV$2, AsistenciaJetAdminConcatenada!$A:$A, 0)), ISNUMBER(MATCH(BV$1, AsistenciaJetAdminConcatenada!$B:$B, 0)), ISNUMBER(SEARCH($A58,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ISNUMBER(SEARCH($A58, INDEX(AsistenciaJetAdminConcatenada!$D:$D, MATCH(1, (AsistenciaJetAdminConcatenada!$A:$A=BV$2)*(AsistenciaJetAdminConcatenada!$B:$B=BV$1), 0)), 1))),  0.5, 0))</f>
        <v>1</v>
      </c>
      <c r="BW58" s="47">
        <f t="array" ref="BW58">IF(AND(ISNUMBER(MATCH(BW$2, AsistenciaJetAdminConcatenada!$A:$A, 0)), ISNUMBER(MATCH(BW$1, AsistenciaJetAdminConcatenada!$B:$B, 0)), ISNUMBER(SEARCH($A58,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ISNUMBER(SEARCH($A58, INDEX(AsistenciaJetAdminConcatenada!$D:$D, MATCH(1, (AsistenciaJetAdminConcatenada!$A:$A=BW$2)*(AsistenciaJetAdminConcatenada!$B:$B=BW$1), 0)), 1))),  0.5, 0))</f>
        <v>1</v>
      </c>
      <c r="BX58" s="47">
        <f t="array" ref="BX58">IF(AND(ISNUMBER(MATCH(BX$2, AsistenciaJetAdminConcatenada!$A:$A, 0)), ISNUMBER(MATCH(BX$1, AsistenciaJetAdminConcatenada!$B:$B, 0)), ISNUMBER(SEARCH($A58,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ISNUMBER(SEARCH($A58, INDEX(AsistenciaJetAdminConcatenada!$D:$D, MATCH(1, (AsistenciaJetAdminConcatenada!$A:$A=BX$2)*(AsistenciaJetAdminConcatenada!$B:$B=BX$1), 0)), 1))),  0.5, 0))</f>
        <v>0</v>
      </c>
      <c r="BY58" s="47">
        <f t="array" ref="BY58">IF(AND(ISNUMBER(MATCH(BY$2, AsistenciaJetAdminConcatenada!$A:$A, 0)), ISNUMBER(MATCH(BY$1, AsistenciaJetAdminConcatenada!$B:$B, 0)), ISNUMBER(SEARCH($A58,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ISNUMBER(SEARCH($A58, INDEX(AsistenciaJetAdminConcatenada!$D:$D, MATCH(1, (AsistenciaJetAdminConcatenada!$A:$A=BY$2)*(AsistenciaJetAdminConcatenada!$B:$B=BY$1), 0)), 1))),  0.5, 0))</f>
        <v>0.5</v>
      </c>
      <c r="BZ58" s="47">
        <f t="array" ref="BZ58">IF(AND(ISNUMBER(MATCH(BZ$2, AsistenciaJetAdminConcatenada!$A:$A, 0)), ISNUMBER(MATCH(BZ$1, AsistenciaJetAdminConcatenada!$B:$B, 0)), ISNUMBER(SEARCH($A58,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ISNUMBER(SEARCH($A58, INDEX(AsistenciaJetAdminConcatenada!$D:$D, MATCH(1, (AsistenciaJetAdminConcatenada!$A:$A=BZ$2)*(AsistenciaJetAdminConcatenada!$B:$B=BZ$1), 0)), 1))),  0.5, 0))</f>
        <v>0.5</v>
      </c>
      <c r="CA58" s="47">
        <f t="array" ref="CA58">IF(AND(ISNUMBER(MATCH(CA$2, AsistenciaJetAdminConcatenada!$A:$A, 0)), ISNUMBER(MATCH(CA$1, AsistenciaJetAdminConcatenada!$B:$B, 0)), ISNUMBER(SEARCH($A58,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ISNUMBER(SEARCH($A58, INDEX(AsistenciaJetAdminConcatenada!$D:$D, MATCH(1, (AsistenciaJetAdminConcatenada!$A:$A=CA$2)*(AsistenciaJetAdminConcatenada!$B:$B=CA$1), 0)), 1))),  0.5, 0))</f>
        <v>1</v>
      </c>
      <c r="CB58" s="47">
        <f t="array" ref="CB58">IF(AND(ISNUMBER(MATCH(CB$2, AsistenciaJetAdminConcatenada!$A:$A, 0)), ISNUMBER(MATCH(CB$1, AsistenciaJetAdminConcatenada!$B:$B, 0)), ISNUMBER(SEARCH($A58,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ISNUMBER(SEARCH($A58, INDEX(AsistenciaJetAdminConcatenada!$D:$D, MATCH(1, (AsistenciaJetAdminConcatenada!$A:$A=CB$2)*(AsistenciaJetAdminConcatenada!$B:$B=CB$1), 0)), 1))),  0.5, 0))</f>
        <v>1</v>
      </c>
      <c r="CC58" s="47">
        <f t="array" ref="CC58">IF(AND(ISNUMBER(MATCH(CC$2, AsistenciaJetAdminConcatenada!$A:$A, 0)), ISNUMBER(MATCH(CC$1, AsistenciaJetAdminConcatenada!$B:$B, 0)), ISNUMBER(SEARCH($A58,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ISNUMBER(SEARCH($A58, INDEX(AsistenciaJetAdminConcatenada!$D:$D, MATCH(1, (AsistenciaJetAdminConcatenada!$A:$A=CC$2)*(AsistenciaJetAdminConcatenada!$B:$B=CC$1), 0)), 1))),  0.5, 0))</f>
        <v>1</v>
      </c>
      <c r="CD58" s="47">
        <f t="array" ref="CD58">IF(AND(ISNUMBER(MATCH(CD$2, AsistenciaJetAdminConcatenada!$A:$A, 0)), ISNUMBER(MATCH(CD$1, AsistenciaJetAdminConcatenada!$B:$B, 0)), ISNUMBER(SEARCH($A58,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ISNUMBER(SEARCH($A58, INDEX(AsistenciaJetAdminConcatenada!$D:$D, MATCH(1, (AsistenciaJetAdminConcatenada!$A:$A=CD$2)*(AsistenciaJetAdminConcatenada!$B:$B=CD$1), 0)), 1))),  0.5, 0))</f>
        <v>1</v>
      </c>
      <c r="CE58" s="47">
        <f t="array" ref="CE58">IF(AND(ISNUMBER(MATCH(CE$2, AsistenciaJetAdminConcatenada!$A:$A, 0)), ISNUMBER(MATCH(CE$1, AsistenciaJetAdminConcatenada!$B:$B, 0)), ISNUMBER(SEARCH($A58,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ISNUMBER(SEARCH($A58, INDEX(AsistenciaJetAdminConcatenada!$D:$D, MATCH(1, (AsistenciaJetAdminConcatenada!$A:$A=CE$2)*(AsistenciaJetAdminConcatenada!$B:$B=CE$1), 0)), 1))),  0.5, 0))</f>
        <v>1</v>
      </c>
      <c r="CF58" s="47">
        <f t="array" ref="CF58">IF(AND(ISNUMBER(MATCH(CF$2, AsistenciaJetAdminConcatenada!$A:$A, 0)), ISNUMBER(MATCH(CF$1, AsistenciaJetAdminConcatenada!$B:$B, 0)), ISNUMBER(SEARCH($A58,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ISNUMBER(SEARCH($A58, INDEX(AsistenciaJetAdminConcatenada!$D:$D, MATCH(1, (AsistenciaJetAdminConcatenada!$A:$A=CF$2)*(AsistenciaJetAdminConcatenada!$B:$B=CF$1), 0)), 1))),  0.5, 0))</f>
        <v>1</v>
      </c>
      <c r="CG58" s="47">
        <f t="array" ref="CG58">IF(AND(ISNUMBER(MATCH(CG$2, AsistenciaJetAdminConcatenada!$A:$A, 0)), ISNUMBER(MATCH(CG$1, AsistenciaJetAdminConcatenada!$B:$B, 0)), ISNUMBER(SEARCH($A58,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ISNUMBER(SEARCH($A58, INDEX(AsistenciaJetAdminConcatenada!$D:$D, MATCH(1, (AsistenciaJetAdminConcatenada!$A:$A=CG$2)*(AsistenciaJetAdminConcatenada!$B:$B=CG$1), 0)), 1))),  0.5, 0))</f>
        <v>0.5</v>
      </c>
      <c r="CH58" s="47">
        <f t="array" ref="CH58">IF(AND(ISNUMBER(MATCH(CH$2, AsistenciaJetAdminConcatenada!$A:$A, 0)), ISNUMBER(MATCH(CH$1, AsistenciaJetAdminConcatenada!$B:$B, 0)), ISNUMBER(SEARCH($A58,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ISNUMBER(SEARCH($A58, INDEX(AsistenciaJetAdminConcatenada!$D:$D, MATCH(1, (AsistenciaJetAdminConcatenada!$A:$A=CH$2)*(AsistenciaJetAdminConcatenada!$B:$B=CH$1), 0)), 1))),  0.5, 0))</f>
        <v>1</v>
      </c>
      <c r="CI58" s="47">
        <f t="array" ref="CI58">IF(AND(ISNUMBER(MATCH(CI$2, AsistenciaJetAdminConcatenada!$A:$A, 0)), ISNUMBER(MATCH(CI$1, AsistenciaJetAdminConcatenada!$B:$B, 0)), ISNUMBER(SEARCH($A58,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ISNUMBER(SEARCH($A58, INDEX(AsistenciaJetAdminConcatenada!$D:$D, MATCH(1, (AsistenciaJetAdminConcatenada!$A:$A=CI$2)*(AsistenciaJetAdminConcatenada!$B:$B=CI$1), 0)), 1))),  0.5, 0))</f>
        <v>1</v>
      </c>
      <c r="CJ58" s="47">
        <f t="array" ref="CJ58">IF(AND(ISNUMBER(MATCH(CJ$2, AsistenciaJetAdminConcatenada!$A:$A, 0)), ISNUMBER(MATCH(CJ$1, AsistenciaJetAdminConcatenada!$B:$B, 0)), ISNUMBER(SEARCH($A58,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ISNUMBER(SEARCH($A58, INDEX(AsistenciaJetAdminConcatenada!$D:$D, MATCH(1, (AsistenciaJetAdminConcatenada!$A:$A=CJ$2)*(AsistenciaJetAdminConcatenada!$B:$B=CJ$1), 0)), 1))),  0.5, 0))</f>
        <v>1</v>
      </c>
      <c r="CK58" s="47">
        <f t="array" ref="CK58">IF(AND(ISNUMBER(MATCH(CK$2, AsistenciaJetAdminConcatenada!$A:$A, 0)), ISNUMBER(MATCH(CK$1, AsistenciaJetAdminConcatenada!$B:$B, 0)), ISNUMBER(SEARCH($A58,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ISNUMBER(SEARCH($A58, INDEX(AsistenciaJetAdminConcatenada!$D:$D, MATCH(1, (AsistenciaJetAdminConcatenada!$A:$A=CK$2)*(AsistenciaJetAdminConcatenada!$B:$B=CK$1), 0)), 1))),  0.5, 0))</f>
        <v>1</v>
      </c>
      <c r="CL58" s="47">
        <f t="array" ref="CL58">IF(AND(ISNUMBER(MATCH(CL$2, AsistenciaJetAdminConcatenada!$A:$A, 0)), ISNUMBER(MATCH(CL$1, AsistenciaJetAdminConcatenada!$B:$B, 0)), ISNUMBER(SEARCH($A58,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ISNUMBER(SEARCH($A58, INDEX(AsistenciaJetAdminConcatenada!$D:$D, MATCH(1, (AsistenciaJetAdminConcatenada!$A:$A=CL$2)*(AsistenciaJetAdminConcatenada!$B:$B=CL$1), 0)), 1))),  0.5, 0))</f>
        <v>1</v>
      </c>
      <c r="CM58" s="47">
        <f t="array" ref="CM58">IF(AND(ISNUMBER(MATCH(CM$2, AsistenciaJetAdminConcatenada!$A:$A, 0)), ISNUMBER(MATCH(CM$1, AsistenciaJetAdminConcatenada!$B:$B, 0)), ISNUMBER(SEARCH($A58,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ISNUMBER(SEARCH($A58, INDEX(AsistenciaJetAdminConcatenada!$D:$D, MATCH(1, (AsistenciaJetAdminConcatenada!$A:$A=CM$2)*(AsistenciaJetAdminConcatenada!$B:$B=CM$1), 0)), 1))),  0.5, 0))</f>
        <v>1</v>
      </c>
      <c r="CN58" s="47">
        <f t="array" ref="CN58">IF(AND(ISNUMBER(MATCH(CN$2, AsistenciaJetAdminConcatenada!$A:$A, 0)), ISNUMBER(MATCH(CN$1, AsistenciaJetAdminConcatenada!$B:$B, 0)), ISNUMBER(SEARCH($A58,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ISNUMBER(SEARCH($A58, INDEX(AsistenciaJetAdminConcatenada!$D:$D, MATCH(1, (AsistenciaJetAdminConcatenada!$A:$A=CN$2)*(AsistenciaJetAdminConcatenada!$B:$B=CN$1), 0)), 1))),  0.5, 0))</f>
        <v>1</v>
      </c>
      <c r="CO58" s="47">
        <f t="array" ref="CO58">IF(AND(ISNUMBER(MATCH(CO$2, AsistenciaJetAdminConcatenada!$A:$A, 0)), ISNUMBER(MATCH(CO$1, AsistenciaJetAdminConcatenada!$B:$B, 0)), ISNUMBER(SEARCH($A58,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ISNUMBER(SEARCH($A58, INDEX(AsistenciaJetAdminConcatenada!$D:$D, MATCH(1, (AsistenciaJetAdminConcatenada!$A:$A=CO$2)*(AsistenciaJetAdminConcatenada!$B:$B=CO$1), 0)), 1))),  0.5, 0))</f>
        <v>1</v>
      </c>
      <c r="CP58" s="47">
        <f t="array" ref="CP58">IF(AND(ISNUMBER(MATCH(CP$2, AsistenciaJetAdminConcatenada!$A:$A, 0)), ISNUMBER(MATCH(CP$1, AsistenciaJetAdminConcatenada!$B:$B, 0)), ISNUMBER(SEARCH($A58,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ISNUMBER(SEARCH($A58, INDEX(AsistenciaJetAdminConcatenada!$D:$D, MATCH(1, (AsistenciaJetAdminConcatenada!$A:$A=CP$2)*(AsistenciaJetAdminConcatenada!$B:$B=CP$1), 0)), 1))),  0.5, 0))</f>
        <v>1</v>
      </c>
      <c r="CQ58" s="47">
        <f t="array" ref="CQ58">IF(AND(ISNUMBER(MATCH(CQ$2, AsistenciaJetAdminConcatenada!$A:$A, 0)), ISNUMBER(MATCH(CQ$1, AsistenciaJetAdminConcatenada!$B:$B, 0)), ISNUMBER(SEARCH($A58,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ISNUMBER(SEARCH($A58, INDEX(AsistenciaJetAdminConcatenada!$D:$D, MATCH(1, (AsistenciaJetAdminConcatenada!$A:$A=CQ$2)*(AsistenciaJetAdminConcatenada!$B:$B=CQ$1), 0)), 1))),  0.5, 0))</f>
        <v>1</v>
      </c>
      <c r="CR58" s="47">
        <f t="array" ref="CR58">IF(AND(ISNUMBER(MATCH(CR$2, AsistenciaJetAdminConcatenada!$A:$A, 0)), ISNUMBER(MATCH(CR$1, AsistenciaJetAdminConcatenada!$B:$B, 0)), ISNUMBER(SEARCH($A58,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ISNUMBER(SEARCH($A58, INDEX(AsistenciaJetAdminConcatenada!$D:$D, MATCH(1, (AsistenciaJetAdminConcatenada!$A:$A=CR$2)*(AsistenciaJetAdminConcatenada!$B:$B=CR$1), 0)), 1))),  0.5, 0))</f>
        <v>1</v>
      </c>
      <c r="CS58" s="47">
        <f t="array" ref="CS58">IF(AND(ISNUMBER(MATCH(CS$2, AsistenciaJetAdminConcatenada!$A:$A, 0)), ISNUMBER(MATCH(CS$1, AsistenciaJetAdminConcatenada!$B:$B, 0)), ISNUMBER(SEARCH($A58,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ISNUMBER(SEARCH($A58, INDEX(AsistenciaJetAdminConcatenada!$D:$D, MATCH(1, (AsistenciaJetAdminConcatenada!$A:$A=CS$2)*(AsistenciaJetAdminConcatenada!$B:$B=CS$1), 0)), 1))),  0.5, 0))</f>
        <v>0</v>
      </c>
      <c r="CT58" s="47">
        <f t="array" ref="CT58">IF(AND(ISNUMBER(MATCH(CT$2, AsistenciaJetAdminConcatenada!$A:$A, 0)), ISNUMBER(MATCH(CT$1, AsistenciaJetAdminConcatenada!$B:$B, 0)), ISNUMBER(SEARCH($A58,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ISNUMBER(SEARCH($A58, INDEX(AsistenciaJetAdminConcatenada!$D:$D, MATCH(1, (AsistenciaJetAdminConcatenada!$A:$A=CT$2)*(AsistenciaJetAdminConcatenada!$B:$B=CT$1), 0)), 1))),  0.5, 0))</f>
        <v>0</v>
      </c>
      <c r="CU58" s="47">
        <f t="array" ref="CU58">IF(AND(ISNUMBER(MATCH(CU$2, AsistenciaJetAdminConcatenada!$A:$A, 0)), ISNUMBER(MATCH(CU$1, AsistenciaJetAdminConcatenada!$B:$B, 0)), ISNUMBER(SEARCH($A58,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ISNUMBER(SEARCH($A58, INDEX(AsistenciaJetAdminConcatenada!$D:$D, MATCH(1, (AsistenciaJetAdminConcatenada!$A:$A=CU$2)*(AsistenciaJetAdminConcatenada!$B:$B=CU$1), 0)), 1))),  0.5, 0))</f>
        <v>0</v>
      </c>
      <c r="CV58" s="47">
        <f t="array" ref="CV58">IF(AND(ISNUMBER(MATCH(CV$2, AsistenciaJetAdminConcatenada!$A:$A, 0)), ISNUMBER(MATCH(CV$1, AsistenciaJetAdminConcatenada!$B:$B, 0)), ISNUMBER(SEARCH($A58,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ISNUMBER(SEARCH($A58, INDEX(AsistenciaJetAdminConcatenada!$D:$D, MATCH(1, (AsistenciaJetAdminConcatenada!$A:$A=CV$2)*(AsistenciaJetAdminConcatenada!$B:$B=CV$1), 0)), 1))),  0.5, 0))</f>
        <v>0</v>
      </c>
      <c r="CW58" s="47">
        <f t="array" ref="CW58">IF(AND(ISNUMBER(MATCH(CW$2, AsistenciaJetAdminConcatenada!$A:$A, 0)), ISNUMBER(MATCH(CW$1, AsistenciaJetAdminConcatenada!$B:$B, 0)), ISNUMBER(SEARCH($A58,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ISNUMBER(SEARCH($A58, INDEX(AsistenciaJetAdminConcatenada!$D:$D, MATCH(1, (AsistenciaJetAdminConcatenada!$A:$A=CW$2)*(AsistenciaJetAdminConcatenada!$B:$B=CW$1), 0)), 1))),  0.5, 0))</f>
        <v>0</v>
      </c>
      <c r="CX58" s="47">
        <f t="array" ref="CX58">IF(AND(ISNUMBER(MATCH(CX$2, AsistenciaJetAdminConcatenada!$A:$A, 0)), ISNUMBER(MATCH(CX$1, AsistenciaJetAdminConcatenada!$B:$B, 0)), ISNUMBER(SEARCH($A58,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ISNUMBER(SEARCH($A58, INDEX(AsistenciaJetAdminConcatenada!$D:$D, MATCH(1, (AsistenciaJetAdminConcatenada!$A:$A=CX$2)*(AsistenciaJetAdminConcatenada!$B:$B=CX$1), 0)), 1))),  0.5, 0))</f>
        <v>0</v>
      </c>
      <c r="CY58" s="47">
        <f t="array" ref="CY58">IF(AND(ISNUMBER(MATCH(CY$2, AsistenciaJetAdminConcatenada!$A:$A, 0)), ISNUMBER(MATCH(CY$1, AsistenciaJetAdminConcatenada!$B:$B, 0)), ISNUMBER(SEARCH($A58,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ISNUMBER(SEARCH($A58, INDEX(AsistenciaJetAdminConcatenada!$D:$D, MATCH(1, (AsistenciaJetAdminConcatenada!$A:$A=CY$2)*(AsistenciaJetAdminConcatenada!$B:$B=CY$1), 0)), 1))),  0.5, 0))</f>
        <v>0</v>
      </c>
      <c r="CZ58" s="47">
        <f t="array" ref="CZ58">IF(AND(ISNUMBER(MATCH(CZ$2, AsistenciaJetAdminConcatenada!$A:$A, 0)), ISNUMBER(MATCH(CZ$1, AsistenciaJetAdminConcatenada!$B:$B, 0)), ISNUMBER(SEARCH($A58,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ISNUMBER(SEARCH($A58, INDEX(AsistenciaJetAdminConcatenada!$D:$D, MATCH(1, (AsistenciaJetAdminConcatenada!$A:$A=CZ$2)*(AsistenciaJetAdminConcatenada!$B:$B=CZ$1), 0)), 1))),  0.5, 0))</f>
        <v>0</v>
      </c>
      <c r="DA58" s="47">
        <f t="array" ref="DA58">IF(AND(ISNUMBER(MATCH(DA$2, AsistenciaJetAdminConcatenada!$A:$A, 0)), ISNUMBER(MATCH(DA$1, AsistenciaJetAdminConcatenada!$B:$B, 0)), ISNUMBER(SEARCH($A58,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ISNUMBER(SEARCH($A58, INDEX(AsistenciaJetAdminConcatenada!$D:$D, MATCH(1, (AsistenciaJetAdminConcatenada!$A:$A=DA$2)*(AsistenciaJetAdminConcatenada!$B:$B=DA$1), 0)), 1))),  0.5, 0))</f>
        <v>0</v>
      </c>
      <c r="DB58" s="47">
        <f t="array" ref="DB58">IF(AND(ISNUMBER(MATCH(DB$2, AsistenciaJetAdminConcatenada!$A:$A, 0)), ISNUMBER(MATCH(DB$1, AsistenciaJetAdminConcatenada!$B:$B, 0)), ISNUMBER(SEARCH($A58,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ISNUMBER(SEARCH($A58, INDEX(AsistenciaJetAdminConcatenada!$D:$D, MATCH(1, (AsistenciaJetAdminConcatenada!$A:$A=DB$2)*(AsistenciaJetAdminConcatenada!$B:$B=DB$1), 0)), 1))),  0.5, 0))</f>
        <v>0</v>
      </c>
      <c r="DC58" s="47">
        <f t="array" ref="DC58">IF(AND(ISNUMBER(MATCH(DC$2, AsistenciaJetAdminConcatenada!$A:$A, 0)), ISNUMBER(MATCH(DC$1, AsistenciaJetAdminConcatenada!$B:$B, 0)), ISNUMBER(SEARCH($A58,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ISNUMBER(SEARCH($A58, INDEX(AsistenciaJetAdminConcatenada!$D:$D, MATCH(1, (AsistenciaJetAdminConcatenada!$A:$A=DC$2)*(AsistenciaJetAdminConcatenada!$B:$B=DC$1), 0)), 1))),  0.5, 0))</f>
        <v>0</v>
      </c>
      <c r="DD58" s="47">
        <f t="array" ref="DD58">IF(AND(ISNUMBER(MATCH(DD$2, AsistenciaJetAdminConcatenada!$A:$A, 0)), ISNUMBER(MATCH(DD$1, AsistenciaJetAdminConcatenada!$B:$B, 0)), ISNUMBER(SEARCH($A58,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ISNUMBER(SEARCH($A58, INDEX(AsistenciaJetAdminConcatenada!$D:$D, MATCH(1, (AsistenciaJetAdminConcatenada!$A:$A=DD$2)*(AsistenciaJetAdminConcatenada!$B:$B=DD$1), 0)), 1))),  0.5, 0))</f>
        <v>0</v>
      </c>
      <c r="DE58" s="47">
        <f t="array" ref="DE58">IF(AND(ISNUMBER(MATCH(DE$2, AsistenciaJetAdminConcatenada!$A:$A, 0)), ISNUMBER(MATCH(DE$1, AsistenciaJetAdminConcatenada!$B:$B, 0)), ISNUMBER(SEARCH($A58,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ISNUMBER(SEARCH($A58, INDEX(AsistenciaJetAdminConcatenada!$D:$D, MATCH(1, (AsistenciaJetAdminConcatenada!$A:$A=DE$2)*(AsistenciaJetAdminConcatenada!$B:$B=DE$1), 0)), 1))),  0.5, 0))</f>
        <v>0</v>
      </c>
      <c r="DF58" s="47">
        <f t="array" ref="DF58">IF(AND(ISNUMBER(MATCH(DF$2, AsistenciaJetAdminConcatenada!$A:$A, 0)), ISNUMBER(MATCH(DF$1, AsistenciaJetAdminConcatenada!$B:$B, 0)), ISNUMBER(SEARCH($A58,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ISNUMBER(SEARCH($A58, INDEX(AsistenciaJetAdminConcatenada!$D:$D, MATCH(1, (AsistenciaJetAdminConcatenada!$A:$A=DF$2)*(AsistenciaJetAdminConcatenada!$B:$B=DF$1), 0)), 1))),  0.5, 0))</f>
        <v>0</v>
      </c>
      <c r="DG58" s="47">
        <f t="array" ref="DG58">IF(AND(ISNUMBER(MATCH(DG$2, AsistenciaJetAdminConcatenada!$A:$A, 0)), ISNUMBER(MATCH(DG$1, AsistenciaJetAdminConcatenada!$B:$B, 0)), ISNUMBER(SEARCH($A58,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ISNUMBER(SEARCH($A58, INDEX(AsistenciaJetAdminConcatenada!$D:$D, MATCH(1, (AsistenciaJetAdminConcatenada!$A:$A=DG$2)*(AsistenciaJetAdminConcatenada!$B:$B=DG$1), 0)), 1))),  0.5, 0))</f>
        <v>0</v>
      </c>
      <c r="DH58" s="47">
        <f t="array" ref="DH58">IF(AND(ISNUMBER(MATCH(DH$2, AsistenciaJetAdminConcatenada!$A:$A, 0)), ISNUMBER(MATCH(DH$1, AsistenciaJetAdminConcatenada!$B:$B, 0)), ISNUMBER(SEARCH($A58,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ISNUMBER(SEARCH($A58, INDEX(AsistenciaJetAdminConcatenada!$D:$D, MATCH(1, (AsistenciaJetAdminConcatenada!$A:$A=DH$2)*(AsistenciaJetAdminConcatenada!$B:$B=DH$1), 0)), 1))),  0.5, 0))</f>
        <v>0</v>
      </c>
      <c r="DI58" s="47">
        <f t="array" ref="DI58">IF(AND(ISNUMBER(MATCH(DI$2, AsistenciaJetAdminConcatenada!$A:$A, 0)), ISNUMBER(MATCH(DI$1, AsistenciaJetAdminConcatenada!$B:$B, 0)), ISNUMBER(SEARCH($A58,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ISNUMBER(SEARCH($A58, INDEX(AsistenciaJetAdminConcatenada!$D:$D, MATCH(1, (AsistenciaJetAdminConcatenada!$A:$A=DI$2)*(AsistenciaJetAdminConcatenada!$B:$B=DI$1), 0)), 1))),  0.5, 0))</f>
        <v>0</v>
      </c>
      <c r="DJ58" s="47">
        <f t="array" ref="DJ58">IF(AND(ISNUMBER(MATCH(DJ$2, AsistenciaJetAdminConcatenada!$A:$A, 0)), ISNUMBER(MATCH(DJ$1, AsistenciaJetAdminConcatenada!$B:$B, 0)), ISNUMBER(SEARCH($A58,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ISNUMBER(SEARCH($A58, INDEX(AsistenciaJetAdminConcatenada!$D:$D, MATCH(1, (AsistenciaJetAdminConcatenada!$A:$A=DJ$2)*(AsistenciaJetAdminConcatenada!$B:$B=DJ$1), 0)), 1))),  0.5, 0))</f>
        <v>0</v>
      </c>
      <c r="DK58" s="47">
        <f t="array" ref="DK58">IF(AND(ISNUMBER(MATCH(DK$2, AsistenciaJetAdminConcatenada!$A:$A, 0)), ISNUMBER(MATCH(DK$1, AsistenciaJetAdminConcatenada!$B:$B, 0)), ISNUMBER(SEARCH($A58,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ISNUMBER(SEARCH($A58, INDEX(AsistenciaJetAdminConcatenada!$D:$D, MATCH(1, (AsistenciaJetAdminConcatenada!$A:$A=DK$2)*(AsistenciaJetAdminConcatenada!$B:$B=DK$1), 0)), 1))),  0.5, 0))</f>
        <v>0</v>
      </c>
      <c r="DL58" s="47">
        <f t="array" ref="DL58">IF(AND(ISNUMBER(MATCH(DL$2, AsistenciaJetAdminConcatenada!$A:$A, 0)), ISNUMBER(MATCH(DL$1, AsistenciaJetAdminConcatenada!$B:$B, 0)), ISNUMBER(SEARCH($A58,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ISNUMBER(SEARCH($A58, INDEX(AsistenciaJetAdminConcatenada!$D:$D, MATCH(1, (AsistenciaJetAdminConcatenada!$A:$A=DL$2)*(AsistenciaJetAdminConcatenada!$B:$B=DL$1), 0)), 1))),  0.5, 0))</f>
        <v>0</v>
      </c>
      <c r="DM58" s="47">
        <f t="array" ref="DM58">IF(AND(ISNUMBER(MATCH(DM$2, AsistenciaJetAdminConcatenada!$A:$A, 0)), ISNUMBER(MATCH(DM$1, AsistenciaJetAdminConcatenada!$B:$B, 0)), ISNUMBER(SEARCH($A58,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ISNUMBER(SEARCH($A58, INDEX(AsistenciaJetAdminConcatenada!$D:$D, MATCH(1, (AsistenciaJetAdminConcatenada!$A:$A=DM$2)*(AsistenciaJetAdminConcatenada!$B:$B=DM$1), 0)), 1))),  0.5, 0))</f>
        <v>0</v>
      </c>
      <c r="DN58" s="47">
        <f t="array" ref="DN58">IF(AND(ISNUMBER(MATCH(DN$2, AsistenciaJetAdminConcatenada!$A:$A, 0)), ISNUMBER(MATCH(DN$1, AsistenciaJetAdminConcatenada!$B:$B, 0)), ISNUMBER(SEARCH($A58,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ISNUMBER(SEARCH($A58, INDEX(AsistenciaJetAdminConcatenada!$D:$D, MATCH(1, (AsistenciaJetAdminConcatenada!$A:$A=DN$2)*(AsistenciaJetAdminConcatenada!$B:$B=DN$1), 0)), 1))),  0.5, 0))</f>
        <v>0</v>
      </c>
      <c r="DO58" s="47">
        <f t="array" ref="DO58">IF(AND(ISNUMBER(MATCH(DO$2, AsistenciaJetAdminConcatenada!$A:$A, 0)), ISNUMBER(MATCH(DO$1, AsistenciaJetAdminConcatenada!$B:$B, 0)), ISNUMBER(SEARCH($A58,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ISNUMBER(SEARCH($A58, INDEX(AsistenciaJetAdminConcatenada!$D:$D, MATCH(1, (AsistenciaJetAdminConcatenada!$A:$A=DO$2)*(AsistenciaJetAdminConcatenada!$B:$B=DO$1), 0)), 1))),  0.5, 0))</f>
        <v>0</v>
      </c>
      <c r="DP58" s="47">
        <f t="array" ref="DP58">IF(AND(ISNUMBER(MATCH(DP$2, AsistenciaJetAdminConcatenada!$A:$A, 0)), ISNUMBER(MATCH(DP$1, AsistenciaJetAdminConcatenada!$B:$B, 0)), ISNUMBER(SEARCH($A58,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ISNUMBER(SEARCH($A58, INDEX(AsistenciaJetAdminConcatenada!$D:$D, MATCH(1, (AsistenciaJetAdminConcatenada!$A:$A=DP$2)*(AsistenciaJetAdminConcatenada!$B:$B=DP$1), 0)), 1))),  0.5, 0))</f>
        <v>0</v>
      </c>
      <c r="DQ58" s="47">
        <f t="array" ref="DQ58">IF(AND(ISNUMBER(MATCH(DQ$2, AsistenciaJetAdminConcatenada!$A:$A, 0)), ISNUMBER(MATCH(DQ$1, AsistenciaJetAdminConcatenada!$B:$B, 0)), ISNUMBER(SEARCH($A58,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ISNUMBER(SEARCH($A58, INDEX(AsistenciaJetAdminConcatenada!$D:$D, MATCH(1, (AsistenciaJetAdminConcatenada!$A:$A=DQ$2)*(AsistenciaJetAdminConcatenada!$B:$B=DQ$1), 0)), 1))),  0.5, 0))</f>
        <v>0</v>
      </c>
      <c r="DR58" s="47">
        <f t="array" ref="DR58">IF(AND(ISNUMBER(MATCH(DR$2, AsistenciaJetAdminConcatenada!$A:$A, 0)), ISNUMBER(MATCH(DR$1, AsistenciaJetAdminConcatenada!$B:$B, 0)), ISNUMBER(SEARCH($A58,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ISNUMBER(SEARCH($A58, INDEX(AsistenciaJetAdminConcatenada!$D:$D, MATCH(1, (AsistenciaJetAdminConcatenada!$A:$A=DR$2)*(AsistenciaJetAdminConcatenada!$B:$B=DR$1), 0)), 1))),  0.5, 0))</f>
        <v>0</v>
      </c>
      <c r="DS58" s="47">
        <f t="array" ref="DS58">IF(AND(ISNUMBER(MATCH(DS$2, AsistenciaJetAdminConcatenada!$A:$A, 0)), ISNUMBER(MATCH(DS$1, AsistenciaJetAdminConcatenada!$B:$B, 0)), ISNUMBER(SEARCH($A58,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ISNUMBER(SEARCH($A58, INDEX(AsistenciaJetAdminConcatenada!$D:$D, MATCH(1, (AsistenciaJetAdminConcatenada!$A:$A=DS$2)*(AsistenciaJetAdminConcatenada!$B:$B=DS$1), 0)), 1))),  0.5, 0))</f>
        <v>0</v>
      </c>
      <c r="DT58" s="47">
        <f t="array" ref="DT58">IF(AND(ISNUMBER(MATCH(DT$2, AsistenciaJetAdminConcatenada!$A:$A, 0)), ISNUMBER(MATCH(DT$1, AsistenciaJetAdminConcatenada!$B:$B, 0)), ISNUMBER(SEARCH($A58,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ISNUMBER(SEARCH($A58, INDEX(AsistenciaJetAdminConcatenada!$D:$D, MATCH(1, (AsistenciaJetAdminConcatenada!$A:$A=DT$2)*(AsistenciaJetAdminConcatenada!$B:$B=DT$1), 0)), 1))),  0.5, 0))</f>
        <v>0</v>
      </c>
      <c r="DU58" s="47">
        <f t="array" ref="DU58">IF(AND(ISNUMBER(MATCH(DU$2, AsistenciaJetAdminConcatenada!$A:$A, 0)), ISNUMBER(MATCH(DU$1, AsistenciaJetAdminConcatenada!$B:$B, 0)), ISNUMBER(SEARCH($A58,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ISNUMBER(SEARCH($A58, INDEX(AsistenciaJetAdminConcatenada!$D:$D, MATCH(1, (AsistenciaJetAdminConcatenada!$A:$A=DU$2)*(AsistenciaJetAdminConcatenada!$B:$B=DU$1), 0)), 1))),  0.5, 0))</f>
        <v>0</v>
      </c>
      <c r="DV58" s="47">
        <f t="array" ref="DV58">IF(AND(ISNUMBER(MATCH(DV$2, AsistenciaJetAdminConcatenada!$A:$A, 0)), ISNUMBER(MATCH(DV$1, AsistenciaJetAdminConcatenada!$B:$B, 0)), ISNUMBER(SEARCH($A58,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ISNUMBER(SEARCH($A58, INDEX(AsistenciaJetAdminConcatenada!$D:$D, MATCH(1, (AsistenciaJetAdminConcatenada!$A:$A=DV$2)*(AsistenciaJetAdminConcatenada!$B:$B=DV$1), 0)), 1))),  0.5, 0))</f>
        <v>0</v>
      </c>
      <c r="DW58" s="47">
        <f t="array" ref="DW58">IF(AND(ISNUMBER(MATCH(DW$2, AsistenciaJetAdminConcatenada!$A:$A, 0)), ISNUMBER(MATCH(DW$1, AsistenciaJetAdminConcatenada!$B:$B, 0)), ISNUMBER(SEARCH($A58,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ISNUMBER(SEARCH($A58, INDEX(AsistenciaJetAdminConcatenada!$D:$D, MATCH(1, (AsistenciaJetAdminConcatenada!$A:$A=DW$2)*(AsistenciaJetAdminConcatenada!$B:$B=DW$1), 0)), 1))),  0.5, 0))</f>
        <v>0</v>
      </c>
      <c r="DX58" s="47">
        <f t="array" ref="DX58">IF(AND(ISNUMBER(MATCH(DX$2, AsistenciaJetAdminConcatenada!$A:$A, 0)), ISNUMBER(MATCH(DX$1, AsistenciaJetAdminConcatenada!$B:$B, 0)), ISNUMBER(SEARCH($A58,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ISNUMBER(SEARCH($A58, INDEX(AsistenciaJetAdminConcatenada!$D:$D, MATCH(1, (AsistenciaJetAdminConcatenada!$A:$A=DX$2)*(AsistenciaJetAdminConcatenada!$B:$B=DX$1), 0)), 1))),  0.5, 0))</f>
        <v>0</v>
      </c>
      <c r="DY58" s="47">
        <f t="array" ref="DY58">IF(AND(ISNUMBER(MATCH(DY$2, AsistenciaJetAdminConcatenada!$A:$A, 0)), ISNUMBER(MATCH(DY$1, AsistenciaJetAdminConcatenada!$B:$B, 0)), ISNUMBER(SEARCH($A58,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ISNUMBER(SEARCH($A58, INDEX(AsistenciaJetAdminConcatenada!$D:$D, MATCH(1, (AsistenciaJetAdminConcatenada!$A:$A=DY$2)*(AsistenciaJetAdminConcatenada!$B:$B=DY$1), 0)), 1))),  0.5, 0))</f>
        <v>0</v>
      </c>
      <c r="DZ58" s="47">
        <f t="array" ref="DZ58">IF(AND(ISNUMBER(MATCH(DZ$2, AsistenciaJetAdminConcatenada!$A:$A, 0)), ISNUMBER(MATCH(DZ$1, AsistenciaJetAdminConcatenada!$B:$B, 0)), ISNUMBER(SEARCH($A58,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ISNUMBER(SEARCH($A58, INDEX(AsistenciaJetAdminConcatenada!$D:$D, MATCH(1, (AsistenciaJetAdminConcatenada!$A:$A=DZ$2)*(AsistenciaJetAdminConcatenada!$B:$B=DZ$1), 0)), 1))),  0.5, 0))</f>
        <v>0</v>
      </c>
      <c r="EA58" s="47">
        <f t="array" ref="EA58">IF(AND(ISNUMBER(MATCH(EA$2, AsistenciaJetAdminConcatenada!$A:$A, 0)), ISNUMBER(MATCH(EA$1, AsistenciaJetAdminConcatenada!$B:$B, 0)), ISNUMBER(SEARCH($A58,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ISNUMBER(SEARCH($A58, INDEX(AsistenciaJetAdminConcatenada!$D:$D, MATCH(1, (AsistenciaJetAdminConcatenada!$A:$A=EA$2)*(AsistenciaJetAdminConcatenada!$B:$B=EA$1), 0)), 1))),  0.5, 0))</f>
        <v>0</v>
      </c>
      <c r="EB58" s="47">
        <f t="array" ref="EB58">IF(AND(ISNUMBER(MATCH(EB$2, AsistenciaJetAdminConcatenada!$A:$A, 0)), ISNUMBER(MATCH(EB$1, AsistenciaJetAdminConcatenada!$B:$B, 0)), ISNUMBER(SEARCH($A58,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ISNUMBER(SEARCH($A58, INDEX(AsistenciaJetAdminConcatenada!$D:$D, MATCH(1, (AsistenciaJetAdminConcatenada!$A:$A=EB$2)*(AsistenciaJetAdminConcatenada!$B:$B=EB$1), 0)), 1))),  0.5, 0))</f>
        <v>0</v>
      </c>
      <c r="EC58" s="47">
        <f t="array" ref="EC58">IF(AND(ISNUMBER(MATCH(EC$2, AsistenciaJetAdminConcatenada!$A:$A, 0)), ISNUMBER(MATCH(EC$1, AsistenciaJetAdminConcatenada!$B:$B, 0)), ISNUMBER(SEARCH($A58,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ISNUMBER(SEARCH($A58, INDEX(AsistenciaJetAdminConcatenada!$D:$D, MATCH(1, (AsistenciaJetAdminConcatenada!$A:$A=EC$2)*(AsistenciaJetAdminConcatenada!$B:$B=EC$1), 0)), 1))),  0.5, 0))</f>
        <v>0</v>
      </c>
      <c r="ED58" s="47">
        <f t="array" ref="ED58">IF(AND(ISNUMBER(MATCH(ED$2, AsistenciaJetAdminConcatenada!$A:$A, 0)), ISNUMBER(MATCH(ED$1, AsistenciaJetAdminConcatenada!$B:$B, 0)), ISNUMBER(SEARCH($A58,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ISNUMBER(SEARCH($A58, INDEX(AsistenciaJetAdminConcatenada!$D:$D, MATCH(1, (AsistenciaJetAdminConcatenada!$A:$A=ED$2)*(AsistenciaJetAdminConcatenada!$B:$B=ED$1), 0)), 1))),  0.5, 0))</f>
        <v>0</v>
      </c>
      <c r="EE58" s="47">
        <f t="array" ref="EE58">IF(AND(ISNUMBER(MATCH(EE$2, AsistenciaJetAdminConcatenada!$A:$A, 0)), ISNUMBER(MATCH(EE$1, AsistenciaJetAdminConcatenada!$B:$B, 0)), ISNUMBER(SEARCH($A58,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ISNUMBER(SEARCH($A58, INDEX(AsistenciaJetAdminConcatenada!$D:$D, MATCH(1, (AsistenciaJetAdminConcatenada!$A:$A=EE$2)*(AsistenciaJetAdminConcatenada!$B:$B=EE$1), 0)), 1))),  0.5, 0))</f>
        <v>0</v>
      </c>
      <c r="EF58" s="47">
        <f t="array" ref="EF58">IF(AND(ISNUMBER(MATCH(EF$2, AsistenciaJetAdminConcatenada!$A:$A, 0)), ISNUMBER(MATCH(EF$1, AsistenciaJetAdminConcatenada!$B:$B, 0)), ISNUMBER(SEARCH($A58,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ISNUMBER(SEARCH($A58, INDEX(AsistenciaJetAdminConcatenada!$D:$D, MATCH(1, (AsistenciaJetAdminConcatenada!$A:$A=EF$2)*(AsistenciaJetAdminConcatenada!$B:$B=EF$1), 0)), 1))),  0.5, 0))</f>
        <v>0</v>
      </c>
      <c r="EG58" s="47">
        <f t="array" ref="EG58">IF(AND(ISNUMBER(MATCH(EG$2, AsistenciaJetAdminConcatenada!$A:$A, 0)), ISNUMBER(MATCH(EG$1, AsistenciaJetAdminConcatenada!$B:$B, 0)), ISNUMBER(SEARCH($A58,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ISNUMBER(SEARCH($A58, INDEX(AsistenciaJetAdminConcatenada!$D:$D, MATCH(1, (AsistenciaJetAdminConcatenada!$A:$A=EG$2)*(AsistenciaJetAdminConcatenada!$B:$B=EG$1), 0)), 1))),  0.5, 0))</f>
        <v>0</v>
      </c>
      <c r="EH58" s="47">
        <f t="array" ref="EH58">IF(AND(ISNUMBER(MATCH(EH$2, AsistenciaJetAdminConcatenada!$A:$A, 0)), ISNUMBER(MATCH(EH$1, AsistenciaJetAdminConcatenada!$B:$B, 0)), ISNUMBER(SEARCH($A58,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ISNUMBER(SEARCH($A58, INDEX(AsistenciaJetAdminConcatenada!$D:$D, MATCH(1, (AsistenciaJetAdminConcatenada!$A:$A=EH$2)*(AsistenciaJetAdminConcatenada!$B:$B=EH$1), 0)), 1))),  0.5, 0))</f>
        <v>0</v>
      </c>
      <c r="EI58" s="47">
        <f t="array" ref="EI58">IF(AND(ISNUMBER(MATCH(EI$2, AsistenciaJetAdminConcatenada!$A:$A, 0)), ISNUMBER(MATCH(EI$1, AsistenciaJetAdminConcatenada!$B:$B, 0)), ISNUMBER(SEARCH($A58,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ISNUMBER(SEARCH($A58, INDEX(AsistenciaJetAdminConcatenada!$D:$D, MATCH(1, (AsistenciaJetAdminConcatenada!$A:$A=EI$2)*(AsistenciaJetAdminConcatenada!$B:$B=EI$1), 0)), 1))),  0.5, 0))</f>
        <v>0</v>
      </c>
      <c r="EJ58" s="47">
        <f t="array" ref="EJ58">IF(AND(ISNUMBER(MATCH(EJ$2, AsistenciaJetAdminConcatenada!$A:$A, 0)), ISNUMBER(MATCH(EJ$1, AsistenciaJetAdminConcatenada!$B:$B, 0)), ISNUMBER(SEARCH($A58,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ISNUMBER(SEARCH($A58, INDEX(AsistenciaJetAdminConcatenada!$D:$D, MATCH(1, (AsistenciaJetAdminConcatenada!$A:$A=EJ$2)*(AsistenciaJetAdminConcatenada!$B:$B=EJ$1), 0)), 1))),  0.5, 0))</f>
        <v>0</v>
      </c>
      <c r="EK58" s="47">
        <f t="array" ref="EK58">IF(AND(ISNUMBER(MATCH(EK$2, AsistenciaJetAdminConcatenada!$A:$A, 0)), ISNUMBER(MATCH(EK$1, AsistenciaJetAdminConcatenada!$B:$B, 0)), ISNUMBER(SEARCH($A58,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ISNUMBER(SEARCH($A58, INDEX(AsistenciaJetAdminConcatenada!$D:$D, MATCH(1, (AsistenciaJetAdminConcatenada!$A:$A=EK$2)*(AsistenciaJetAdminConcatenada!$B:$B=EK$1), 0)), 1))),  0.5, 0))</f>
        <v>0</v>
      </c>
      <c r="EL58" s="47">
        <f t="array" ref="EL58">IF(AND(ISNUMBER(MATCH(EL$2, AsistenciaJetAdminConcatenada!$A:$A, 0)), ISNUMBER(MATCH(EL$1, AsistenciaJetAdminConcatenada!$B:$B, 0)), ISNUMBER(SEARCH($A58,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ISNUMBER(SEARCH($A58, INDEX(AsistenciaJetAdminConcatenada!$D:$D, MATCH(1, (AsistenciaJetAdminConcatenada!$A:$A=EL$2)*(AsistenciaJetAdminConcatenada!$B:$B=EL$1), 0)), 1))),  0.5, 0))</f>
        <v>0</v>
      </c>
      <c r="EM58" s="47">
        <f t="array" ref="EM58">IF(AND(ISNUMBER(MATCH(EM$2, AsistenciaJetAdminConcatenada!$A:$A, 0)), ISNUMBER(MATCH(EM$1, AsistenciaJetAdminConcatenada!$B:$B, 0)), ISNUMBER(SEARCH($A58,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ISNUMBER(SEARCH($A58, INDEX(AsistenciaJetAdminConcatenada!$D:$D, MATCH(1, (AsistenciaJetAdminConcatenada!$A:$A=EM$2)*(AsistenciaJetAdminConcatenada!$B:$B=EM$1), 0)), 1))),  0.5, 0))</f>
        <v>0</v>
      </c>
      <c r="EN58" s="47">
        <f t="array" ref="EN58">IF(AND(ISNUMBER(MATCH(EN$2, AsistenciaJetAdminConcatenada!$A:$A, 0)), ISNUMBER(MATCH(EN$1, AsistenciaJetAdminConcatenada!$B:$B, 0)), ISNUMBER(SEARCH($A58,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ISNUMBER(SEARCH($A58, INDEX(AsistenciaJetAdminConcatenada!$D:$D, MATCH(1, (AsistenciaJetAdminConcatenada!$A:$A=EN$2)*(AsistenciaJetAdminConcatenada!$B:$B=EN$1), 0)), 1))),  0.5, 0))</f>
        <v>0</v>
      </c>
      <c r="EO58" s="47">
        <f t="array" ref="EO58">IF(AND(ISNUMBER(MATCH(EO$2, AsistenciaJetAdminConcatenada!$A:$A, 0)), ISNUMBER(MATCH(EO$1, AsistenciaJetAdminConcatenada!$B:$B, 0)), ISNUMBER(SEARCH($A58,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ISNUMBER(SEARCH($A58, INDEX(AsistenciaJetAdminConcatenada!$D:$D, MATCH(1, (AsistenciaJetAdminConcatenada!$A:$A=EO$2)*(AsistenciaJetAdminConcatenada!$B:$B=EO$1), 0)), 1))),  0.5, 0))</f>
        <v>0</v>
      </c>
      <c r="EP58" s="47">
        <f t="array" ref="EP58">IF(AND(ISNUMBER(MATCH(EP$2, AsistenciaJetAdminConcatenada!$A:$A, 0)), ISNUMBER(MATCH(EP$1, AsistenciaJetAdminConcatenada!$B:$B, 0)), ISNUMBER(SEARCH($A58,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ISNUMBER(SEARCH($A58, INDEX(AsistenciaJetAdminConcatenada!$D:$D, MATCH(1, (AsistenciaJetAdminConcatenada!$A:$A=EP$2)*(AsistenciaJetAdminConcatenada!$B:$B=EP$1), 0)), 1))),  0.5, 0))</f>
        <v>0</v>
      </c>
      <c r="EQ58" s="47">
        <f t="array" ref="EQ58">IF(AND(ISNUMBER(MATCH(EQ$2, AsistenciaJetAdminConcatenada!$A:$A, 0)), ISNUMBER(MATCH(EQ$1, AsistenciaJetAdminConcatenada!$B:$B, 0)), ISNUMBER(SEARCH($A58,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ISNUMBER(SEARCH($A58, INDEX(AsistenciaJetAdminConcatenada!$D:$D, MATCH(1, (AsistenciaJetAdminConcatenada!$A:$A=EQ$2)*(AsistenciaJetAdminConcatenada!$B:$B=EQ$1), 0)), 1))),  0.5, 0))</f>
        <v>0</v>
      </c>
      <c r="ER58" s="47">
        <f t="array" ref="ER58">IF(AND(ISNUMBER(MATCH(ER$2, AsistenciaJetAdminConcatenada!$A:$A, 0)), ISNUMBER(MATCH(ER$1, AsistenciaJetAdminConcatenada!$B:$B, 0)), ISNUMBER(SEARCH($A58,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ISNUMBER(SEARCH($A58, INDEX(AsistenciaJetAdminConcatenada!$D:$D, MATCH(1, (AsistenciaJetAdminConcatenada!$A:$A=ER$2)*(AsistenciaJetAdminConcatenada!$B:$B=ER$1), 0)), 1))),  0.5, 0))</f>
        <v>0</v>
      </c>
      <c r="ES58" s="47">
        <f t="array" ref="ES58">IF(AND(ISNUMBER(MATCH(ES$2, AsistenciaJetAdminConcatenada!$A:$A, 0)), ISNUMBER(MATCH(ES$1, AsistenciaJetAdminConcatenada!$B:$B, 0)), ISNUMBER(SEARCH($A58,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ISNUMBER(SEARCH($A58, INDEX(AsistenciaJetAdminConcatenada!$D:$D, MATCH(1, (AsistenciaJetAdminConcatenada!$A:$A=ES$2)*(AsistenciaJetAdminConcatenada!$B:$B=ES$1), 0)), 1))),  0.5, 0))</f>
        <v>0</v>
      </c>
      <c r="ET58" s="47">
        <f t="array" ref="ET58">IF(AND(ISNUMBER(MATCH(ET$2, AsistenciaJetAdminConcatenada!$A:$A, 0)), ISNUMBER(MATCH(ET$1, AsistenciaJetAdminConcatenada!$B:$B, 0)), ISNUMBER(SEARCH($A58,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ISNUMBER(SEARCH($A58, INDEX(AsistenciaJetAdminConcatenada!$D:$D, MATCH(1, (AsistenciaJetAdminConcatenada!$A:$A=ET$2)*(AsistenciaJetAdminConcatenada!$B:$B=ET$1), 0)), 1))),  0.5, 0))</f>
        <v>0</v>
      </c>
      <c r="EU58" s="47">
        <f t="array" ref="EU58">IF(AND(ISNUMBER(MATCH(EU$2, AsistenciaJetAdminConcatenada!$A:$A, 0)), ISNUMBER(MATCH(EU$1, AsistenciaJetAdminConcatenada!$B:$B, 0)), ISNUMBER(SEARCH($A58,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ISNUMBER(SEARCH($A58, INDEX(AsistenciaJetAdminConcatenada!$D:$D, MATCH(1, (AsistenciaJetAdminConcatenada!$A:$A=EU$2)*(AsistenciaJetAdminConcatenada!$B:$B=EU$1), 0)), 1))),  0.5, 0))</f>
        <v>0</v>
      </c>
      <c r="EV58" s="47">
        <f t="array" ref="EV58">IF(AND(ISNUMBER(MATCH(EV$2, AsistenciaJetAdminConcatenada!$A:$A, 0)), ISNUMBER(MATCH(EV$1, AsistenciaJetAdminConcatenada!$B:$B, 0)), ISNUMBER(SEARCH($A58,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ISNUMBER(SEARCH($A58, INDEX(AsistenciaJetAdminConcatenada!$D:$D, MATCH(1, (AsistenciaJetAdminConcatenada!$A:$A=EV$2)*(AsistenciaJetAdminConcatenada!$B:$B=EV$1), 0)), 1))),  0.5, 0))</f>
        <v>0</v>
      </c>
      <c r="EW58" s="47">
        <f t="array" ref="EW58">IF(AND(ISNUMBER(MATCH(EW$2, AsistenciaJetAdminConcatenada!$A:$A, 0)), ISNUMBER(MATCH(EW$1, AsistenciaJetAdminConcatenada!$B:$B, 0)), ISNUMBER(SEARCH($A58,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ISNUMBER(SEARCH($A58, INDEX(AsistenciaJetAdminConcatenada!$D:$D, MATCH(1, (AsistenciaJetAdminConcatenada!$A:$A=EW$2)*(AsistenciaJetAdminConcatenada!$B:$B=EW$1), 0)), 1))),  0.5, 0))</f>
        <v>0</v>
      </c>
      <c r="EX58" s="47">
        <f t="array" ref="EX58">IF(AND(ISNUMBER(MATCH(EX$2, AsistenciaJetAdminConcatenada!$A:$A, 0)), ISNUMBER(MATCH(EX$1, AsistenciaJetAdminConcatenada!$B:$B, 0)), ISNUMBER(SEARCH($A58,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ISNUMBER(SEARCH($A58, INDEX(AsistenciaJetAdminConcatenada!$D:$D, MATCH(1, (AsistenciaJetAdminConcatenada!$A:$A=EX$2)*(AsistenciaJetAdminConcatenada!$B:$B=EX$1), 0)), 1))),  0.5, 0))</f>
        <v>0</v>
      </c>
      <c r="EY58" s="47">
        <f t="array" ref="EY58">IF(AND(ISNUMBER(MATCH(EY$2, AsistenciaJetAdminConcatenada!$A:$A, 0)), ISNUMBER(MATCH(EY$1, AsistenciaJetAdminConcatenada!$B:$B, 0)), ISNUMBER(SEARCH($A58,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ISNUMBER(SEARCH($A58, INDEX(AsistenciaJetAdminConcatenada!$D:$D, MATCH(1, (AsistenciaJetAdminConcatenada!$A:$A=EY$2)*(AsistenciaJetAdminConcatenada!$B:$B=EY$1), 0)), 1))),  0.5, 0))</f>
        <v>0</v>
      </c>
      <c r="EZ58" s="47">
        <f t="array" ref="EZ58">IF(AND(ISNUMBER(MATCH(EZ$2, AsistenciaJetAdminConcatenada!$A:$A, 0)), ISNUMBER(MATCH(EZ$1, AsistenciaJetAdminConcatenada!$B:$B, 0)), ISNUMBER(SEARCH($A58,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ISNUMBER(SEARCH($A58, INDEX(AsistenciaJetAdminConcatenada!$D:$D, MATCH(1, (AsistenciaJetAdminConcatenada!$A:$A=EZ$2)*(AsistenciaJetAdminConcatenada!$B:$B=EZ$1), 0)), 1))),  0.5, 0))</f>
        <v>0</v>
      </c>
      <c r="FA58" s="47">
        <f t="array" ref="FA58">IF(AND(ISNUMBER(MATCH(FA$2, AsistenciaJetAdminConcatenada!$A:$A, 0)), ISNUMBER(MATCH(FA$1, AsistenciaJetAdminConcatenada!$B:$B, 0)), ISNUMBER(SEARCH($A58,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ISNUMBER(SEARCH($A58, INDEX(AsistenciaJetAdminConcatenada!$D:$D, MATCH(1, (AsistenciaJetAdminConcatenada!$A:$A=FA$2)*(AsistenciaJetAdminConcatenada!$B:$B=FA$1), 0)), 1))),  0.5, 0))</f>
        <v>0</v>
      </c>
      <c r="FB58" s="47">
        <f t="array" ref="FB58">IF(AND(ISNUMBER(MATCH(FB$2, AsistenciaJetAdminConcatenada!$A:$A, 0)), ISNUMBER(MATCH(FB$1, AsistenciaJetAdminConcatenada!$B:$B, 0)), ISNUMBER(SEARCH($A58,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ISNUMBER(SEARCH($A58, INDEX(AsistenciaJetAdminConcatenada!$D:$D, MATCH(1, (AsistenciaJetAdminConcatenada!$A:$A=FB$2)*(AsistenciaJetAdminConcatenada!$B:$B=FB$1), 0)), 1))),  0.5, 0))</f>
        <v>0</v>
      </c>
      <c r="FC58" s="47">
        <f t="array" ref="FC58">IF(AND(ISNUMBER(MATCH(FC$2, AsistenciaJetAdminConcatenada!$A:$A, 0)), ISNUMBER(MATCH(FC$1, AsistenciaJetAdminConcatenada!$B:$B, 0)), ISNUMBER(SEARCH($A58,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ISNUMBER(SEARCH($A58, INDEX(AsistenciaJetAdminConcatenada!$D:$D, MATCH(1, (AsistenciaJetAdminConcatenada!$A:$A=FC$2)*(AsistenciaJetAdminConcatenada!$B:$B=FC$1), 0)), 1))),  0.5, 0))</f>
        <v>0</v>
      </c>
      <c r="FD58" s="47">
        <f t="array" ref="FD58">IF(AND(ISNUMBER(MATCH(FD$2, AsistenciaJetAdminConcatenada!$A:$A, 0)), ISNUMBER(MATCH(FD$1, AsistenciaJetAdminConcatenada!$B:$B, 0)), ISNUMBER(SEARCH($A58,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ISNUMBER(SEARCH($A58, INDEX(AsistenciaJetAdminConcatenada!$D:$D, MATCH(1, (AsistenciaJetAdminConcatenada!$A:$A=FD$2)*(AsistenciaJetAdminConcatenada!$B:$B=FD$1), 0)), 1))),  0.5, 0))</f>
        <v>0</v>
      </c>
      <c r="FE58" s="47">
        <f t="array" ref="FE58">IF(AND(ISNUMBER(MATCH(FE$2, AsistenciaJetAdminConcatenada!$A:$A, 0)), ISNUMBER(MATCH(FE$1, AsistenciaJetAdminConcatenada!$B:$B, 0)), ISNUMBER(SEARCH($A58,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ISNUMBER(SEARCH($A58, INDEX(AsistenciaJetAdminConcatenada!$D:$D, MATCH(1, (AsistenciaJetAdminConcatenada!$A:$A=FE$2)*(AsistenciaJetAdminConcatenada!$B:$B=FE$1), 0)), 1))),  0.5, 0))</f>
        <v>0</v>
      </c>
      <c r="FF58" s="47">
        <f t="array" ref="FF58">IF(AND(ISNUMBER(MATCH(FF$2, AsistenciaJetAdminConcatenada!$A:$A, 0)), ISNUMBER(MATCH(FF$1, AsistenciaJetAdminConcatenada!$B:$B, 0)), ISNUMBER(SEARCH($A58,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ISNUMBER(SEARCH($A58, INDEX(AsistenciaJetAdminConcatenada!$D:$D, MATCH(1, (AsistenciaJetAdminConcatenada!$A:$A=FF$2)*(AsistenciaJetAdminConcatenada!$B:$B=FF$1), 0)), 1))),  0.5, 0))</f>
        <v>0</v>
      </c>
      <c r="FG58" s="47">
        <f t="array" ref="FG58">IF(AND(ISNUMBER(MATCH(FG$2, AsistenciaJetAdminConcatenada!$A:$A, 0)), ISNUMBER(MATCH(FG$1, AsistenciaJetAdminConcatenada!$B:$B, 0)), ISNUMBER(SEARCH($A58,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ISNUMBER(SEARCH($A58, INDEX(AsistenciaJetAdminConcatenada!$D:$D, MATCH(1, (AsistenciaJetAdminConcatenada!$A:$A=FG$2)*(AsistenciaJetAdminConcatenada!$B:$B=FG$1), 0)), 1))),  0.5, 0))</f>
        <v>0</v>
      </c>
      <c r="FH58" s="47">
        <f t="array" ref="FH58">IF(AND(ISNUMBER(MATCH(FH$2, AsistenciaJetAdminConcatenada!$A:$A, 0)), ISNUMBER(MATCH(FH$1, AsistenciaJetAdminConcatenada!$B:$B, 0)), ISNUMBER(SEARCH($A58,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ISNUMBER(SEARCH($A58, INDEX(AsistenciaJetAdminConcatenada!$D:$D, MATCH(1, (AsistenciaJetAdminConcatenada!$A:$A=FH$2)*(AsistenciaJetAdminConcatenada!$B:$B=FH$1), 0)), 1))),  0.5, 0))</f>
        <v>0</v>
      </c>
      <c r="FI58" s="47">
        <f t="array" ref="FI58">IF(AND(ISNUMBER(MATCH(FI$2, AsistenciaJetAdminConcatenada!$A:$A, 0)), ISNUMBER(MATCH(FI$1, AsistenciaJetAdminConcatenada!$B:$B, 0)), ISNUMBER(SEARCH($A58,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ISNUMBER(SEARCH($A58, INDEX(AsistenciaJetAdminConcatenada!$D:$D, MATCH(1, (AsistenciaJetAdminConcatenada!$A:$A=FI$2)*(AsistenciaJetAdminConcatenada!$B:$B=FI$1), 0)), 1))),  0.5, 0))</f>
        <v>0</v>
      </c>
      <c r="FJ58" s="47">
        <f t="array" ref="FJ58">IF(AND(ISNUMBER(MATCH(FJ$2, AsistenciaJetAdminConcatenada!$A:$A, 0)), ISNUMBER(MATCH(FJ$1, AsistenciaJetAdminConcatenada!$B:$B, 0)), ISNUMBER(SEARCH($A58,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ISNUMBER(SEARCH($A58, INDEX(AsistenciaJetAdminConcatenada!$D:$D, MATCH(1, (AsistenciaJetAdminConcatenada!$A:$A=FJ$2)*(AsistenciaJetAdminConcatenada!$B:$B=FJ$1), 0)), 1))),  0.5, 0))</f>
        <v>0</v>
      </c>
      <c r="FK58" s="47">
        <f t="array" ref="FK58">IF(AND(ISNUMBER(MATCH(FK$2, AsistenciaJetAdminConcatenada!$A:$A, 0)), ISNUMBER(MATCH(FK$1, AsistenciaJetAdminConcatenada!$B:$B, 0)), ISNUMBER(SEARCH($A58,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ISNUMBER(SEARCH($A58, INDEX(AsistenciaJetAdminConcatenada!$D:$D, MATCH(1, (AsistenciaJetAdminConcatenada!$A:$A=FK$2)*(AsistenciaJetAdminConcatenada!$B:$B=FK$1), 0)), 1))),  0.5, 0))</f>
        <v>0</v>
      </c>
      <c r="FL58" s="47">
        <f t="array" ref="FL58">IF(AND(ISNUMBER(MATCH(FL$2, AsistenciaJetAdminConcatenada!$A:$A, 0)), ISNUMBER(MATCH(FL$1, AsistenciaJetAdminConcatenada!$B:$B, 0)), ISNUMBER(SEARCH($A58,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ISNUMBER(SEARCH($A58, INDEX(AsistenciaJetAdminConcatenada!$D:$D, MATCH(1, (AsistenciaJetAdminConcatenada!$A:$A=FL$2)*(AsistenciaJetAdminConcatenada!$B:$B=FL$1), 0)), 1))),  0.5, 0))</f>
        <v>0</v>
      </c>
      <c r="FM58" s="47">
        <f t="array" ref="FM58">IF(AND(ISNUMBER(MATCH(FM$2, AsistenciaJetAdminConcatenada!$A:$A, 0)), ISNUMBER(MATCH(FM$1, AsistenciaJetAdminConcatenada!$B:$B, 0)), ISNUMBER(SEARCH($A58,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ISNUMBER(SEARCH($A58, INDEX(AsistenciaJetAdminConcatenada!$D:$D, MATCH(1, (AsistenciaJetAdminConcatenada!$A:$A=FM$2)*(AsistenciaJetAdminConcatenada!$B:$B=FM$1), 0)), 1))),  0.5, 0))</f>
        <v>0</v>
      </c>
      <c r="FN58" s="47">
        <f t="array" ref="FN58">IF(AND(ISNUMBER(MATCH(FN$2, AsistenciaJetAdminConcatenada!$A:$A, 0)), ISNUMBER(MATCH(FN$1, AsistenciaJetAdminConcatenada!$B:$B, 0)), ISNUMBER(SEARCH($A58,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ISNUMBER(SEARCH($A58, INDEX(AsistenciaJetAdminConcatenada!$D:$D, MATCH(1, (AsistenciaJetAdminConcatenada!$A:$A=FN$2)*(AsistenciaJetAdminConcatenada!$B:$B=FN$1), 0)), 1))),  0.5, 0))</f>
        <v>0</v>
      </c>
      <c r="FO58" s="47">
        <f t="array" ref="FO58">IF(AND(ISNUMBER(MATCH(FO$2, AsistenciaJetAdminConcatenada!$A:$A, 0)), ISNUMBER(MATCH(FO$1, AsistenciaJetAdminConcatenada!$B:$B, 0)), ISNUMBER(SEARCH($A58,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ISNUMBER(SEARCH($A58, INDEX(AsistenciaJetAdminConcatenada!$D:$D, MATCH(1, (AsistenciaJetAdminConcatenada!$A:$A=FO$2)*(AsistenciaJetAdminConcatenada!$B:$B=FO$1), 0)), 1))),  0.5, 0))</f>
        <v>0</v>
      </c>
      <c r="FP58" s="47">
        <f t="array" ref="FP58">IF(AND(ISNUMBER(MATCH(FP$2, AsistenciaJetAdminConcatenada!$A:$A, 0)), ISNUMBER(MATCH(FP$1, AsistenciaJetAdminConcatenada!$B:$B, 0)), ISNUMBER(SEARCH($A58,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ISNUMBER(SEARCH($A58, INDEX(AsistenciaJetAdminConcatenada!$D:$D, MATCH(1, (AsistenciaJetAdminConcatenada!$A:$A=FP$2)*(AsistenciaJetAdminConcatenada!$B:$B=FP$1), 0)), 1))),  0.5, 0))</f>
        <v>0</v>
      </c>
      <c r="FQ58" s="47">
        <f t="array" ref="FQ58">IF(AND(ISNUMBER(MATCH(FQ$2, AsistenciaJetAdminConcatenada!$A:$A, 0)), ISNUMBER(MATCH(FQ$1, AsistenciaJetAdminConcatenada!$B:$B, 0)), ISNUMBER(SEARCH($A58,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ISNUMBER(SEARCH($A58, INDEX(AsistenciaJetAdminConcatenada!$D:$D, MATCH(1, (AsistenciaJetAdminConcatenada!$A:$A=FQ$2)*(AsistenciaJetAdminConcatenada!$B:$B=FQ$1), 0)), 1))),  0.5, 0))</f>
        <v>0</v>
      </c>
      <c r="FR58" s="47">
        <f t="array" ref="FR58">IF(AND(ISNUMBER(MATCH(FR$2, AsistenciaJetAdminConcatenada!$A:$A, 0)), ISNUMBER(MATCH(FR$1, AsistenciaJetAdminConcatenada!$B:$B, 0)), ISNUMBER(SEARCH($A58,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ISNUMBER(SEARCH($A58, INDEX(AsistenciaJetAdminConcatenada!$D:$D, MATCH(1, (AsistenciaJetAdminConcatenada!$A:$A=FR$2)*(AsistenciaJetAdminConcatenada!$B:$B=FR$1), 0)), 1))),  0.5, 0))</f>
        <v>0</v>
      </c>
      <c r="FS58" s="47">
        <f t="array" ref="FS58">IF(AND(ISNUMBER(MATCH(FS$2, AsistenciaJetAdminConcatenada!$A:$A, 0)), ISNUMBER(MATCH(FS$1, AsistenciaJetAdminConcatenada!$B:$B, 0)), ISNUMBER(SEARCH($A58,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ISNUMBER(SEARCH($A58, INDEX(AsistenciaJetAdminConcatenada!$D:$D, MATCH(1, (AsistenciaJetAdminConcatenada!$A:$A=FS$2)*(AsistenciaJetAdminConcatenada!$B:$B=FS$1), 0)), 1))),  0.5, 0))</f>
        <v>0</v>
      </c>
      <c r="FT58" s="47">
        <f t="array" ref="FT58">IF(AND(ISNUMBER(MATCH(FT$2, AsistenciaJetAdminConcatenada!$A:$A, 0)), ISNUMBER(MATCH(FT$1, AsistenciaJetAdminConcatenada!$B:$B, 0)), ISNUMBER(SEARCH($A58,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ISNUMBER(SEARCH($A58, INDEX(AsistenciaJetAdminConcatenada!$D:$D, MATCH(1, (AsistenciaJetAdminConcatenada!$A:$A=FT$2)*(AsistenciaJetAdminConcatenada!$B:$B=FT$1), 0)), 1))),  0.5, 0))</f>
        <v>0</v>
      </c>
      <c r="FU58" s="47">
        <f t="array" ref="FU58">IF(AND(ISNUMBER(MATCH(FU$2, AsistenciaJetAdminConcatenada!$A:$A, 0)), ISNUMBER(MATCH(FU$1, AsistenciaJetAdminConcatenada!$B:$B, 0)), ISNUMBER(SEARCH($A58,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ISNUMBER(SEARCH($A58, INDEX(AsistenciaJetAdminConcatenada!$D:$D, MATCH(1, (AsistenciaJetAdminConcatenada!$A:$A=FU$2)*(AsistenciaJetAdminConcatenada!$B:$B=FU$1), 0)), 1))),  0.5, 0))</f>
        <v>0</v>
      </c>
      <c r="FV58" s="47">
        <f t="array" ref="FV58">IF(AND(ISNUMBER(MATCH(FV$2, AsistenciaJetAdminConcatenada!$A:$A, 0)), ISNUMBER(MATCH(FV$1, AsistenciaJetAdminConcatenada!$B:$B, 0)), ISNUMBER(SEARCH($A58,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ISNUMBER(SEARCH($A58, INDEX(AsistenciaJetAdminConcatenada!$D:$D, MATCH(1, (AsistenciaJetAdminConcatenada!$A:$A=FV$2)*(AsistenciaJetAdminConcatenada!$B:$B=FV$1), 0)), 1))),  0.5, 0))</f>
        <v>0</v>
      </c>
      <c r="FW58" s="47">
        <f t="array" ref="FW58">IF(AND(ISNUMBER(MATCH(FW$2, AsistenciaJetAdminConcatenada!$A:$A, 0)), ISNUMBER(MATCH(FW$1, AsistenciaJetAdminConcatenada!$B:$B, 0)), ISNUMBER(SEARCH($A58,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ISNUMBER(SEARCH($A58, INDEX(AsistenciaJetAdminConcatenada!$D:$D, MATCH(1, (AsistenciaJetAdminConcatenada!$A:$A=FW$2)*(AsistenciaJetAdminConcatenada!$B:$B=FW$1), 0)), 1))),  0.5, 0))</f>
        <v>0</v>
      </c>
      <c r="FX58" s="47">
        <f t="array" ref="FX58">IF(AND(ISNUMBER(MATCH(FX$2, AsistenciaJetAdminConcatenada!$A:$A, 0)), ISNUMBER(MATCH(FX$1, AsistenciaJetAdminConcatenada!$B:$B, 0)), ISNUMBER(SEARCH($A58,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ISNUMBER(SEARCH($A58, INDEX(AsistenciaJetAdminConcatenada!$D:$D, MATCH(1, (AsistenciaJetAdminConcatenada!$A:$A=FX$2)*(AsistenciaJetAdminConcatenada!$B:$B=FX$1), 0)), 1))),  0.5, 0))</f>
        <v>0</v>
      </c>
      <c r="FY58" s="47">
        <f t="array" ref="FY58">IF(AND(ISNUMBER(MATCH(FY$2, AsistenciaJetAdminConcatenada!$A:$A, 0)), ISNUMBER(MATCH(FY$1, AsistenciaJetAdminConcatenada!$B:$B, 0)), ISNUMBER(SEARCH($A58,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ISNUMBER(SEARCH($A58, INDEX(AsistenciaJetAdminConcatenada!$D:$D, MATCH(1, (AsistenciaJetAdminConcatenada!$A:$A=FY$2)*(AsistenciaJetAdminConcatenada!$B:$B=FY$1), 0)), 1))),  0.5, 0))</f>
        <v>0</v>
      </c>
      <c r="FZ58" s="47">
        <f t="array" ref="FZ58">IF(AND(ISNUMBER(MATCH(FZ$2, AsistenciaJetAdminConcatenada!$A:$A, 0)), ISNUMBER(MATCH(FZ$1, AsistenciaJetAdminConcatenada!$B:$B, 0)), ISNUMBER(SEARCH($A58,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ISNUMBER(SEARCH($A58, INDEX(AsistenciaJetAdminConcatenada!$D:$D, MATCH(1, (AsistenciaJetAdminConcatenada!$A:$A=FZ$2)*(AsistenciaJetAdminConcatenada!$B:$B=FZ$1), 0)), 1))),  0.5, 0))</f>
        <v>0</v>
      </c>
      <c r="GA58" s="47">
        <f t="array" ref="GA58">IF(AND(ISNUMBER(MATCH(GA$2, AsistenciaJetAdminConcatenada!$A:$A, 0)), ISNUMBER(MATCH(GA$1, AsistenciaJetAdminConcatenada!$B:$B, 0)), ISNUMBER(SEARCH($A58,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ISNUMBER(SEARCH($A58, INDEX(AsistenciaJetAdminConcatenada!$D:$D, MATCH(1, (AsistenciaJetAdminConcatenada!$A:$A=GA$2)*(AsistenciaJetAdminConcatenada!$B:$B=GA$1), 0)), 1))),  0.5, 0))</f>
        <v>0</v>
      </c>
      <c r="GB58" s="47">
        <f t="array" ref="GB58">IF(AND(ISNUMBER(MATCH(GB$2, AsistenciaJetAdminConcatenada!$A:$A, 0)), ISNUMBER(MATCH(GB$1, AsistenciaJetAdminConcatenada!$B:$B, 0)), ISNUMBER(SEARCH($A58,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ISNUMBER(SEARCH($A58, INDEX(AsistenciaJetAdminConcatenada!$D:$D, MATCH(1, (AsistenciaJetAdminConcatenada!$A:$A=GB$2)*(AsistenciaJetAdminConcatenada!$B:$B=GB$1), 0)), 1))),  0.5, 0))</f>
        <v>0</v>
      </c>
      <c r="GC58" s="47">
        <f t="array" ref="GC58">IF(AND(ISNUMBER(MATCH(GC$2, AsistenciaJetAdminConcatenada!$A:$A, 0)), ISNUMBER(MATCH(GC$1, AsistenciaJetAdminConcatenada!$B:$B, 0)), ISNUMBER(SEARCH($A58,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ISNUMBER(SEARCH($A58, INDEX(AsistenciaJetAdminConcatenada!$D:$D, MATCH(1, (AsistenciaJetAdminConcatenada!$A:$A=GC$2)*(AsistenciaJetAdminConcatenada!$B:$B=GC$1), 0)), 1))),  0.5, 0))</f>
        <v>0</v>
      </c>
      <c r="GD58" s="47">
        <f t="array" ref="GD58">IF(AND(ISNUMBER(MATCH(GD$2, AsistenciaJetAdminConcatenada!$A:$A, 0)), ISNUMBER(MATCH(GD$1, AsistenciaJetAdminConcatenada!$B:$B, 0)), ISNUMBER(SEARCH($A58,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ISNUMBER(SEARCH($A58, INDEX(AsistenciaJetAdminConcatenada!$D:$D, MATCH(1, (AsistenciaJetAdminConcatenada!$A:$A=GD$2)*(AsistenciaJetAdminConcatenada!$B:$B=GD$1), 0)), 1))),  0.5, 0))</f>
        <v>0</v>
      </c>
      <c r="GE58" s="47">
        <f t="array" ref="GE58">IF(AND(ISNUMBER(MATCH(GE$2, AsistenciaJetAdminConcatenada!$A:$A, 0)), ISNUMBER(MATCH(GE$1, AsistenciaJetAdminConcatenada!$B:$B, 0)), ISNUMBER(SEARCH($A58,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ISNUMBER(SEARCH($A58, INDEX(AsistenciaJetAdminConcatenada!$D:$D, MATCH(1, (AsistenciaJetAdminConcatenada!$A:$A=GE$2)*(AsistenciaJetAdminConcatenada!$B:$B=GE$1), 0)), 1))),  0.5, 0))</f>
        <v>0</v>
      </c>
      <c r="GF58" s="47">
        <f t="array" ref="GF58">IF(AND(ISNUMBER(MATCH(GF$2, AsistenciaJetAdminConcatenada!$A:$A, 0)), ISNUMBER(MATCH(GF$1, AsistenciaJetAdminConcatenada!$B:$B, 0)), ISNUMBER(SEARCH($A58,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ISNUMBER(SEARCH($A58, INDEX(AsistenciaJetAdminConcatenada!$D:$D, MATCH(1, (AsistenciaJetAdminConcatenada!$A:$A=GF$2)*(AsistenciaJetAdminConcatenada!$B:$B=GF$1), 0)), 1))),  0.5, 0))</f>
        <v>0</v>
      </c>
      <c r="GG58" s="47">
        <f t="array" ref="GG58">IF(AND(ISNUMBER(MATCH(GG$2, AsistenciaJetAdminConcatenada!$A:$A, 0)), ISNUMBER(MATCH(GG$1, AsistenciaJetAdminConcatenada!$B:$B, 0)), ISNUMBER(SEARCH($A58,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ISNUMBER(SEARCH($A58, INDEX(AsistenciaJetAdminConcatenada!$D:$D, MATCH(1, (AsistenciaJetAdminConcatenada!$A:$A=GG$2)*(AsistenciaJetAdminConcatenada!$B:$B=GG$1), 0)), 1))),  0.5, 0))</f>
        <v>0</v>
      </c>
      <c r="GH58" s="47">
        <f t="array" ref="GH58">IF(AND(ISNUMBER(MATCH(GH$2, AsistenciaJetAdminConcatenada!$A:$A, 0)), ISNUMBER(MATCH(GH$1, AsistenciaJetAdminConcatenada!$B:$B, 0)), ISNUMBER(SEARCH($A58,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ISNUMBER(SEARCH($A58, INDEX(AsistenciaJetAdminConcatenada!$D:$D, MATCH(1, (AsistenciaJetAdminConcatenada!$A:$A=GH$2)*(AsistenciaJetAdminConcatenada!$B:$B=GH$1), 0)), 1))),  0.5, 0))</f>
        <v>0</v>
      </c>
      <c r="GI58" s="47">
        <f t="array" ref="GI58">IF(AND(ISNUMBER(MATCH(GI$2, AsistenciaJetAdminConcatenada!$A:$A, 0)), ISNUMBER(MATCH(GI$1, AsistenciaJetAdminConcatenada!$B:$B, 0)), ISNUMBER(SEARCH($A58,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ISNUMBER(SEARCH($A58, INDEX(AsistenciaJetAdminConcatenada!$D:$D, MATCH(1, (AsistenciaJetAdminConcatenada!$A:$A=GI$2)*(AsistenciaJetAdminConcatenada!$B:$B=GI$1), 0)), 1))),  0.5, 0))</f>
        <v>0</v>
      </c>
      <c r="GJ58" s="47">
        <f t="array" ref="GJ58">IF(AND(ISNUMBER(MATCH(GJ$2, AsistenciaJetAdminConcatenada!$A:$A, 0)), ISNUMBER(MATCH(GJ$1, AsistenciaJetAdminConcatenada!$B:$B, 0)), ISNUMBER(SEARCH($A58,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ISNUMBER(SEARCH($A58, INDEX(AsistenciaJetAdminConcatenada!$D:$D, MATCH(1, (AsistenciaJetAdminConcatenada!$A:$A=GJ$2)*(AsistenciaJetAdminConcatenada!$B:$B=GJ$1), 0)), 1))),  0.5, 0))</f>
        <v>0</v>
      </c>
      <c r="GK58" s="47">
        <f t="array" ref="GK58">IF(AND(ISNUMBER(MATCH(GK$2, AsistenciaJetAdminConcatenada!$A:$A, 0)), ISNUMBER(MATCH(GK$1, AsistenciaJetAdminConcatenada!$B:$B, 0)), ISNUMBER(SEARCH($A58,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ISNUMBER(SEARCH($A58, INDEX(AsistenciaJetAdminConcatenada!$D:$D, MATCH(1, (AsistenciaJetAdminConcatenada!$A:$A=GK$2)*(AsistenciaJetAdminConcatenada!$B:$B=GK$1), 0)), 1))),  0.5, 0))</f>
        <v>0</v>
      </c>
      <c r="GL58" s="47">
        <f t="array" ref="GL58">IF(AND(ISNUMBER(MATCH(GL$2, AsistenciaJetAdminConcatenada!$A:$A, 0)), ISNUMBER(MATCH(GL$1, AsistenciaJetAdminConcatenada!$B:$B, 0)), ISNUMBER(SEARCH($A58,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ISNUMBER(SEARCH($A58, INDEX(AsistenciaJetAdminConcatenada!$D:$D, MATCH(1, (AsistenciaJetAdminConcatenada!$A:$A=GL$2)*(AsistenciaJetAdminConcatenada!$B:$B=GL$1), 0)), 1))),  0.5, 0))</f>
        <v>0</v>
      </c>
      <c r="GM58" s="47">
        <f t="array" ref="GM58">IF(AND(ISNUMBER(MATCH(GM$2, AsistenciaJetAdminConcatenada!$A:$A, 0)), ISNUMBER(MATCH(GM$1, AsistenciaJetAdminConcatenada!$B:$B, 0)), ISNUMBER(SEARCH($A58,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ISNUMBER(SEARCH($A58, INDEX(AsistenciaJetAdminConcatenada!$D:$D, MATCH(1, (AsistenciaJetAdminConcatenada!$A:$A=GM$2)*(AsistenciaJetAdminConcatenada!$B:$B=GM$1), 0)), 1))),  0.5, 0))</f>
        <v>0</v>
      </c>
      <c r="GN58" s="47">
        <f t="array" ref="GN58">IF(AND(ISNUMBER(MATCH(GN$2, AsistenciaJetAdminConcatenada!$A:$A, 0)), ISNUMBER(MATCH(GN$1, AsistenciaJetAdminConcatenada!$B:$B, 0)), ISNUMBER(SEARCH($A58,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ISNUMBER(SEARCH($A58, INDEX(AsistenciaJetAdminConcatenada!$D:$D, MATCH(1, (AsistenciaJetAdminConcatenada!$A:$A=GN$2)*(AsistenciaJetAdminConcatenada!$B:$B=GN$1), 0)), 1))),  0.5, 0))</f>
        <v>0</v>
      </c>
      <c r="GO58" s="47">
        <f t="array" ref="GO58">IF(AND(ISNUMBER(MATCH(GO$2, AsistenciaJetAdminConcatenada!$A:$A, 0)), ISNUMBER(MATCH(GO$1, AsistenciaJetAdminConcatenada!$B:$B, 0)), ISNUMBER(SEARCH($A58,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ISNUMBER(SEARCH($A58, INDEX(AsistenciaJetAdminConcatenada!$D:$D, MATCH(1, (AsistenciaJetAdminConcatenada!$A:$A=GO$2)*(AsistenciaJetAdminConcatenada!$B:$B=GO$1), 0)), 1))),  0.5, 0))</f>
        <v>0</v>
      </c>
      <c r="GP58" s="47">
        <f t="array" ref="GP58">IF(AND(ISNUMBER(MATCH(GP$2, AsistenciaJetAdminConcatenada!$A:$A, 0)), ISNUMBER(MATCH(GP$1, AsistenciaJetAdminConcatenada!$B:$B, 0)), ISNUMBER(SEARCH($A58,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ISNUMBER(SEARCH($A58, INDEX(AsistenciaJetAdminConcatenada!$D:$D, MATCH(1, (AsistenciaJetAdminConcatenada!$A:$A=GP$2)*(AsistenciaJetAdminConcatenada!$B:$B=GP$1), 0)), 1))),  0.5, 0))</f>
        <v>0</v>
      </c>
      <c r="GQ58" s="47">
        <f t="array" ref="GQ58">IF(AND(ISNUMBER(MATCH(GQ$2, AsistenciaJetAdminConcatenada!$A:$A, 0)), ISNUMBER(MATCH(GQ$1, AsistenciaJetAdminConcatenada!$B:$B, 0)), ISNUMBER(SEARCH($A58,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ISNUMBER(SEARCH($A58, INDEX(AsistenciaJetAdminConcatenada!$D:$D, MATCH(1, (AsistenciaJetAdminConcatenada!$A:$A=GQ$2)*(AsistenciaJetAdminConcatenada!$B:$B=GQ$1), 0)), 1))),  0.5, 0))</f>
        <v>0</v>
      </c>
      <c r="GR58" s="47">
        <f t="array" ref="GR58">IF(AND(ISNUMBER(MATCH(GR$2, AsistenciaJetAdminConcatenada!$A:$A, 0)), ISNUMBER(MATCH(GR$1, AsistenciaJetAdminConcatenada!$B:$B, 0)), ISNUMBER(SEARCH($A58,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ISNUMBER(SEARCH($A58, INDEX(AsistenciaJetAdminConcatenada!$D:$D, MATCH(1, (AsistenciaJetAdminConcatenada!$A:$A=GR$2)*(AsistenciaJetAdminConcatenada!$B:$B=GR$1), 0)), 1))),  0.5, 0))</f>
        <v>0</v>
      </c>
      <c r="GS58" s="47">
        <f t="array" ref="GS58">IF(AND(ISNUMBER(MATCH(GS$2, AsistenciaJetAdminConcatenada!$A:$A, 0)), ISNUMBER(MATCH(GS$1, AsistenciaJetAdminConcatenada!$B:$B, 0)), ISNUMBER(SEARCH($A58,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ISNUMBER(SEARCH($A58, INDEX(AsistenciaJetAdminConcatenada!$D:$D, MATCH(1, (AsistenciaJetAdminConcatenada!$A:$A=GS$2)*(AsistenciaJetAdminConcatenada!$B:$B=GS$1), 0)), 1))),  0.5, 0))</f>
        <v>0</v>
      </c>
      <c r="GT58" s="47">
        <f t="array" ref="GT58">IF(AND(ISNUMBER(MATCH(GT$2, AsistenciaJetAdminConcatenada!$A:$A, 0)), ISNUMBER(MATCH(GT$1, AsistenciaJetAdminConcatenada!$B:$B, 0)), ISNUMBER(SEARCH($A58,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ISNUMBER(SEARCH($A58, INDEX(AsistenciaJetAdminConcatenada!$D:$D, MATCH(1, (AsistenciaJetAdminConcatenada!$A:$A=GT$2)*(AsistenciaJetAdminConcatenada!$B:$B=GT$1), 0)), 1))),  0.5, 0))</f>
        <v>0</v>
      </c>
      <c r="GU58" s="47">
        <f t="array" ref="GU58">IF(AND(ISNUMBER(MATCH(GU$2, AsistenciaJetAdminConcatenada!$A:$A, 0)), ISNUMBER(MATCH(GU$1, AsistenciaJetAdminConcatenada!$B:$B, 0)), ISNUMBER(SEARCH($A58,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ISNUMBER(SEARCH($A58, INDEX(AsistenciaJetAdminConcatenada!$D:$D, MATCH(1, (AsistenciaJetAdminConcatenada!$A:$A=GU$2)*(AsistenciaJetAdminConcatenada!$B:$B=GU$1), 0)), 1))),  0.5, 0))</f>
        <v>0</v>
      </c>
      <c r="GV58" s="47">
        <f t="array" ref="GV58">IF(AND(ISNUMBER(MATCH(GV$2, AsistenciaJetAdminConcatenada!$A:$A, 0)), ISNUMBER(MATCH(GV$1, AsistenciaJetAdminConcatenada!$B:$B, 0)), ISNUMBER(SEARCH($A58,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ISNUMBER(SEARCH($A58, INDEX(AsistenciaJetAdminConcatenada!$D:$D, MATCH(1, (AsistenciaJetAdminConcatenada!$A:$A=GV$2)*(AsistenciaJetAdminConcatenada!$B:$B=GV$1), 0)), 1))),  0.5, 0))</f>
        <v>0</v>
      </c>
      <c r="GW58" s="47">
        <f t="array" ref="GW58">IF(AND(ISNUMBER(MATCH(GW$2, AsistenciaJetAdminConcatenada!$A:$A, 0)), ISNUMBER(MATCH(GW$1, AsistenciaJetAdminConcatenada!$B:$B, 0)), ISNUMBER(SEARCH($A58,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ISNUMBER(SEARCH($A58, INDEX(AsistenciaJetAdminConcatenada!$D:$D, MATCH(1, (AsistenciaJetAdminConcatenada!$A:$A=GW$2)*(AsistenciaJetAdminConcatenada!$B:$B=GW$1), 0)), 1))),  0.5, 0))</f>
        <v>0</v>
      </c>
      <c r="GX58" s="47">
        <f t="array" ref="GX58">IF(AND(ISNUMBER(MATCH(GX$2, AsistenciaJetAdminConcatenada!$A:$A, 0)), ISNUMBER(MATCH(GX$1, AsistenciaJetAdminConcatenada!$B:$B, 0)), ISNUMBER(SEARCH($A58,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ISNUMBER(SEARCH($A58, INDEX(AsistenciaJetAdminConcatenada!$D:$D, MATCH(1, (AsistenciaJetAdminConcatenada!$A:$A=GX$2)*(AsistenciaJetAdminConcatenada!$B:$B=GX$1), 0)), 1))),  0.5, 0))</f>
        <v>0</v>
      </c>
      <c r="GY58" s="47">
        <f t="array" ref="GY58">IF(AND(ISNUMBER(MATCH(GY$2, AsistenciaJetAdminConcatenada!$A:$A, 0)), ISNUMBER(MATCH(GY$1, AsistenciaJetAdminConcatenada!$B:$B, 0)), ISNUMBER(SEARCH($A58,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ISNUMBER(SEARCH($A58, INDEX(AsistenciaJetAdminConcatenada!$D:$D, MATCH(1, (AsistenciaJetAdminConcatenada!$A:$A=GY$2)*(AsistenciaJetAdminConcatenada!$B:$B=GY$1), 0)), 1))),  0.5, 0))</f>
        <v>0</v>
      </c>
      <c r="GZ58" s="47">
        <f t="array" ref="GZ58">IF(AND(ISNUMBER(MATCH(GZ$2, AsistenciaJetAdminConcatenada!$A:$A, 0)), ISNUMBER(MATCH(GZ$1, AsistenciaJetAdminConcatenada!$B:$B, 0)), ISNUMBER(SEARCH($A58,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ISNUMBER(SEARCH($A58, INDEX(AsistenciaJetAdminConcatenada!$D:$D, MATCH(1, (AsistenciaJetAdminConcatenada!$A:$A=GZ$2)*(AsistenciaJetAdminConcatenada!$B:$B=GZ$1), 0)), 1))),  0.5, 0))</f>
        <v>0</v>
      </c>
      <c r="HA58" s="47">
        <f t="array" ref="HA58">IF(AND(ISNUMBER(MATCH(HA$2, AsistenciaJetAdminConcatenada!$A:$A, 0)), ISNUMBER(MATCH(HA$1, AsistenciaJetAdminConcatenada!$B:$B, 0)), ISNUMBER(SEARCH($A58,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ISNUMBER(SEARCH($A58, INDEX(AsistenciaJetAdminConcatenada!$D:$D, MATCH(1, (AsistenciaJetAdminConcatenada!$A:$A=HA$2)*(AsistenciaJetAdminConcatenada!$B:$B=HA$1), 0)), 1))),  0.5, 0))</f>
        <v>0</v>
      </c>
      <c r="HB58" s="47">
        <f t="array" ref="HB58">IF(AND(ISNUMBER(MATCH(HB$2, AsistenciaJetAdminConcatenada!$A:$A, 0)), ISNUMBER(MATCH(HB$1, AsistenciaJetAdminConcatenada!$B:$B, 0)), ISNUMBER(SEARCH($A58,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ISNUMBER(SEARCH($A58, INDEX(AsistenciaJetAdminConcatenada!$D:$D, MATCH(1, (AsistenciaJetAdminConcatenada!$A:$A=HB$2)*(AsistenciaJetAdminConcatenada!$B:$B=HB$1), 0)), 1))),  0.5, 0))</f>
        <v>0</v>
      </c>
      <c r="HC58" s="47">
        <f t="array" ref="HC58">IF(AND(ISNUMBER(MATCH(HC$2, AsistenciaJetAdminConcatenada!$A:$A, 0)), ISNUMBER(MATCH(HC$1, AsistenciaJetAdminConcatenada!$B:$B, 0)), ISNUMBER(SEARCH($A58,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ISNUMBER(SEARCH($A58, INDEX(AsistenciaJetAdminConcatenada!$D:$D, MATCH(1, (AsistenciaJetAdminConcatenada!$A:$A=HC$2)*(AsistenciaJetAdminConcatenada!$B:$B=HC$1), 0)), 1))),  0.5, 0))</f>
        <v>0</v>
      </c>
    </row>
    <row r="59" ht="29.25" customHeight="1">
      <c r="A59" s="3">
        <v>103.0</v>
      </c>
      <c r="B59" s="4" t="s">
        <v>503</v>
      </c>
      <c r="C59" s="47">
        <f>SUM(D59:HC59) + ActividadesEspeciales!C59</f>
        <v>60</v>
      </c>
      <c r="D59" s="47">
        <f t="array" ref="D59">IF(AND(ISNUMBER(MATCH(D$2, AsistenciaJetAdminConcatenada!$A:$A, 0)), ISNUMBER(MATCH(D$1, AsistenciaJetAdminConcatenada!$B:$B, 0)), ISNUMBER(SEARCH($A59,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ISNUMBER(SEARCH($A59, INDEX(AsistenciaJetAdminConcatenada!$D:$D, MATCH(1, (AsistenciaJetAdminConcatenada!$A:$A=D$2)*(AsistenciaJetAdminConcatenada!$B:$B=D$1), 0)), 1))),  0.5, 0))</f>
        <v>1</v>
      </c>
      <c r="E59" s="47">
        <f t="array" ref="E59">IF(AND(ISNUMBER(MATCH(E$2, AsistenciaJetAdminConcatenada!$A:$A, 0)), ISNUMBER(MATCH(E$1, AsistenciaJetAdminConcatenada!$B:$B, 0)), ISNUMBER(SEARCH($A59,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ISNUMBER(SEARCH($A59, INDEX(AsistenciaJetAdminConcatenada!$D:$D, MATCH(1, (AsistenciaJetAdminConcatenada!$A:$A=E$2)*(AsistenciaJetAdminConcatenada!$B:$B=E$1), 0)), 1))),  0.5, 0))</f>
        <v>1</v>
      </c>
      <c r="F59" s="47">
        <f t="array" ref="F59">IF(AND(ISNUMBER(MATCH(F$2, AsistenciaJetAdminConcatenada!$A:$A, 0)), ISNUMBER(MATCH(F$1, AsistenciaJetAdminConcatenada!$B:$B, 0)), ISNUMBER(SEARCH($A59,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ISNUMBER(SEARCH($A59, INDEX(AsistenciaJetAdminConcatenada!$D:$D, MATCH(1, (AsistenciaJetAdminConcatenada!$A:$A=F$2)*(AsistenciaJetAdminConcatenada!$B:$B=F$1), 0)), 1))),  0.5, 0))</f>
        <v>1</v>
      </c>
      <c r="G59" s="47">
        <f t="array" ref="G59">IF(AND(ISNUMBER(MATCH(G$2, AsistenciaJetAdminConcatenada!$A:$A, 0)), ISNUMBER(MATCH(G$1, AsistenciaJetAdminConcatenada!$B:$B, 0)), ISNUMBER(SEARCH($A59,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ISNUMBER(SEARCH($A59, INDEX(AsistenciaJetAdminConcatenada!$D:$D, MATCH(1, (AsistenciaJetAdminConcatenada!$A:$A=G$2)*(AsistenciaJetAdminConcatenada!$B:$B=G$1), 0)), 1))),  0.5, 0))</f>
        <v>1</v>
      </c>
      <c r="H59" s="47">
        <f t="array" ref="H59">IF(AND(ISNUMBER(MATCH(H$2, AsistenciaJetAdminConcatenada!$A:$A, 0)), ISNUMBER(MATCH(H$1, AsistenciaJetAdminConcatenada!$B:$B, 0)), ISNUMBER(SEARCH($A59,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ISNUMBER(SEARCH($A59, INDEX(AsistenciaJetAdminConcatenada!$D:$D, MATCH(1, (AsistenciaJetAdminConcatenada!$A:$A=H$2)*(AsistenciaJetAdminConcatenada!$B:$B=H$1), 0)), 1))),  0.5, 0))</f>
        <v>1</v>
      </c>
      <c r="I59" s="47">
        <f t="array" ref="I59">IF(AND(ISNUMBER(MATCH(I$2, AsistenciaJetAdminConcatenada!$A:$A, 0)), ISNUMBER(MATCH(I$1, AsistenciaJetAdminConcatenada!$B:$B, 0)), ISNUMBER(SEARCH($A59,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ISNUMBER(SEARCH($A59, INDEX(AsistenciaJetAdminConcatenada!$D:$D, MATCH(1, (AsistenciaJetAdminConcatenada!$A:$A=I$2)*(AsistenciaJetAdminConcatenada!$B:$B=I$1), 0)), 1))),  0.5, 0))</f>
        <v>1</v>
      </c>
      <c r="J59" s="47">
        <f t="array" ref="J59">IF(AND(ISNUMBER(MATCH(J$2, AsistenciaJetAdminConcatenada!$A:$A, 0)), ISNUMBER(MATCH(J$1, AsistenciaJetAdminConcatenada!$B:$B, 0)), ISNUMBER(SEARCH($A59,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ISNUMBER(SEARCH($A59, INDEX(AsistenciaJetAdminConcatenada!$D:$D, MATCH(1, (AsistenciaJetAdminConcatenada!$A:$A=J$2)*(AsistenciaJetAdminConcatenada!$B:$B=J$1), 0)), 1))),  0.5, 0))</f>
        <v>0</v>
      </c>
      <c r="K59" s="47">
        <f t="array" ref="K59">IF(AND(ISNUMBER(MATCH(K$2, AsistenciaJetAdminConcatenada!$A:$A, 0)), ISNUMBER(MATCH(K$1, AsistenciaJetAdminConcatenada!$B:$B, 0)), ISNUMBER(SEARCH($A59,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ISNUMBER(SEARCH($A59, INDEX(AsistenciaJetAdminConcatenada!$D:$D, MATCH(1, (AsistenciaJetAdminConcatenada!$A:$A=K$2)*(AsistenciaJetAdminConcatenada!$B:$B=K$1), 0)), 1))),  0.5, 0))</f>
        <v>1</v>
      </c>
      <c r="L59" s="47">
        <f t="array" ref="L59">IF(AND(ISNUMBER(MATCH(L$2, AsistenciaJetAdminConcatenada!$A:$A, 0)), ISNUMBER(MATCH(L$1, AsistenciaJetAdminConcatenada!$B:$B, 0)), ISNUMBER(SEARCH($A59,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ISNUMBER(SEARCH($A59, INDEX(AsistenciaJetAdminConcatenada!$D:$D, MATCH(1, (AsistenciaJetAdminConcatenada!$A:$A=L$2)*(AsistenciaJetAdminConcatenada!$B:$B=L$1), 0)), 1))),  0.5, 0))</f>
        <v>0</v>
      </c>
      <c r="M59" s="47">
        <f t="array" ref="M59">IF(AND(ISNUMBER(MATCH(M$2, AsistenciaJetAdminConcatenada!$A:$A, 0)), ISNUMBER(MATCH(M$1, AsistenciaJetAdminConcatenada!$B:$B, 0)), ISNUMBER(SEARCH($A59,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ISNUMBER(SEARCH($A59, INDEX(AsistenciaJetAdminConcatenada!$D:$D, MATCH(1, (AsistenciaJetAdminConcatenada!$A:$A=M$2)*(AsistenciaJetAdminConcatenada!$B:$B=M$1), 0)), 1))),  0.5, 0))</f>
        <v>0</v>
      </c>
      <c r="N59" s="47">
        <f t="array" ref="N59">IF(AND(ISNUMBER(MATCH(N$2, AsistenciaJetAdminConcatenada!$A:$A, 0)), ISNUMBER(MATCH(N$1, AsistenciaJetAdminConcatenada!$B:$B, 0)), ISNUMBER(SEARCH($A59,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ISNUMBER(SEARCH($A59, INDEX(AsistenciaJetAdminConcatenada!$D:$D, MATCH(1, (AsistenciaJetAdminConcatenada!$A:$A=N$2)*(AsistenciaJetAdminConcatenada!$B:$B=N$1), 0)), 1))),  0.5, 0))</f>
        <v>0</v>
      </c>
      <c r="O59" s="47">
        <f t="array" ref="O59">IF(AND(ISNUMBER(MATCH(O$2, AsistenciaJetAdminConcatenada!$A:$A, 0)), ISNUMBER(MATCH(O$1, AsistenciaJetAdminConcatenada!$B:$B, 0)), ISNUMBER(SEARCH($A59,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ISNUMBER(SEARCH($A59, INDEX(AsistenciaJetAdminConcatenada!$D:$D, MATCH(1, (AsistenciaJetAdminConcatenada!$A:$A=O$2)*(AsistenciaJetAdminConcatenada!$B:$B=O$1), 0)), 1))),  0.5, 0))</f>
        <v>0</v>
      </c>
      <c r="P59" s="47">
        <f t="array" ref="P59">IF(AND(ISNUMBER(MATCH(P$2, AsistenciaJetAdminConcatenada!$A:$A, 0)), ISNUMBER(MATCH(P$1, AsistenciaJetAdminConcatenada!$B:$B, 0)), ISNUMBER(SEARCH($A59, INDEX(AsistenciaJetAdminConcatenada!$C:$C, MATCH(1, (AsistenciaJetAdminConcatenada!$A:$A=P$2)*(AsistenciaJetAdminConcatenada!$B:$B=P$1), 0)), 1))), 1, IF(AND(ISNUMBER(MATCH(P$2, AsistenciaJetAdminConcatenada!$A:$A, 0)), ISNUMBER(MATCH(P$1, AsistenciaJetAdminConcatenada!$B:$B, 0)), ISNUMBER(SEARCH($A59, INDEX(AsistenciaJetAdminConcatenada!$D:$D, MATCH(1, (AsistenciaJetAdminConcatenada!$A:$A=P$2)*(AsistenciaJetAdminConcatenada!$B:$B=P$1), 0)), 1))),  0.5, 0))</f>
        <v>1</v>
      </c>
      <c r="Q59" s="47">
        <f t="array" ref="Q59">IF(AND(ISNUMBER(MATCH(Q$2, AsistenciaJetAdminConcatenada!$A:$A, 0)), ISNUMBER(MATCH(Q$1, AsistenciaJetAdminConcatenada!$B:$B, 0)), ISNUMBER(SEARCH($A59, INDEX(AsistenciaJetAdminConcatenada!$C:$C, MATCH(1, (AsistenciaJetAdminConcatenada!$A:$A=Q$2)*(AsistenciaJetAdminConcatenada!$B:$B=Q$1), 0)), 1))), 1, IF(AND(ISNUMBER(MATCH(Q$2, AsistenciaJetAdminConcatenada!$A:$A, 0)), ISNUMBER(MATCH(Q$1, AsistenciaJetAdminConcatenada!$B:$B, 0)), ISNUMBER(SEARCH($A59, INDEX(AsistenciaJetAdminConcatenada!$D:$D, MATCH(1, (AsistenciaJetAdminConcatenada!$A:$A=Q$2)*(AsistenciaJetAdminConcatenada!$B:$B=Q$1), 0)), 1))),  0.5, 0))</f>
        <v>1</v>
      </c>
      <c r="R59" s="47">
        <f t="array" ref="R59">IF(AND(ISNUMBER(MATCH(R$2, AsistenciaJetAdminConcatenada!$A:$A, 0)), ISNUMBER(MATCH(R$1, AsistenciaJetAdminConcatenada!$B:$B, 0)), ISNUMBER(SEARCH($A59,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ISNUMBER(SEARCH($A59, INDEX(AsistenciaJetAdminConcatenada!$D:$D, MATCH(1, (AsistenciaJetAdminConcatenada!$A:$A=R$2)*(AsistenciaJetAdminConcatenada!$B:$B=R$1), 0)), 1))),  0.5, 0))</f>
        <v>0</v>
      </c>
      <c r="S59" s="47">
        <f t="array" ref="S59">IF(AND(ISNUMBER(MATCH(S$2, AsistenciaJetAdminConcatenada!$A:$A, 0)), ISNUMBER(MATCH(S$1, AsistenciaJetAdminConcatenada!$B:$B, 0)), ISNUMBER(SEARCH($A59,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ISNUMBER(SEARCH($A59, INDEX(AsistenciaJetAdminConcatenada!$D:$D, MATCH(1, (AsistenciaJetAdminConcatenada!$A:$A=S$2)*(AsistenciaJetAdminConcatenada!$B:$B=S$1), 0)), 1))),  0.5, 0))</f>
        <v>1</v>
      </c>
      <c r="T59" s="47">
        <f t="array" ref="T59">IF(AND(ISNUMBER(MATCH(T$2, AsistenciaJetAdminConcatenada!$A:$A, 0)), ISNUMBER(MATCH(T$1, AsistenciaJetAdminConcatenada!$B:$B, 0)), ISNUMBER(SEARCH($A59,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ISNUMBER(SEARCH($A59, INDEX(AsistenciaJetAdminConcatenada!$D:$D, MATCH(1, (AsistenciaJetAdminConcatenada!$A:$A=T$2)*(AsistenciaJetAdminConcatenada!$B:$B=T$1), 0)), 1))),  0.5, 0))</f>
        <v>1</v>
      </c>
      <c r="U59" s="47">
        <f t="array" ref="U59">IF(AND(ISNUMBER(MATCH(U$2, AsistenciaJetAdminConcatenada!$A:$A, 0)), ISNUMBER(MATCH(U$1, AsistenciaJetAdminConcatenada!$B:$B, 0)), ISNUMBER(SEARCH($A59,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ISNUMBER(SEARCH($A59, INDEX(AsistenciaJetAdminConcatenada!$D:$D, MATCH(1, (AsistenciaJetAdminConcatenada!$A:$A=U$2)*(AsistenciaJetAdminConcatenada!$B:$B=U$1), 0)), 1))),  0.5, 0))</f>
        <v>1</v>
      </c>
      <c r="V59" s="47">
        <f t="array" ref="V59">IF(AND(ISNUMBER(MATCH(V$2, AsistenciaJetAdminConcatenada!$A:$A, 0)), ISNUMBER(MATCH(V$1, AsistenciaJetAdminConcatenada!$B:$B, 0)), ISNUMBER(SEARCH($A59,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ISNUMBER(SEARCH($A59, INDEX(AsistenciaJetAdminConcatenada!$D:$D, MATCH(1, (AsistenciaJetAdminConcatenada!$A:$A=V$2)*(AsistenciaJetAdminConcatenada!$B:$B=V$1), 0)), 1))),  0.5, 0))</f>
        <v>0</v>
      </c>
      <c r="W59" s="47">
        <f t="array" ref="W59">IF(AND(ISNUMBER(MATCH(W$2, AsistenciaJetAdminConcatenada!$A:$A, 0)), ISNUMBER(MATCH(W$1, AsistenciaJetAdminConcatenada!$B:$B, 0)), ISNUMBER(SEARCH($A59,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ISNUMBER(SEARCH($A59, INDEX(AsistenciaJetAdminConcatenada!$D:$D, MATCH(1, (AsistenciaJetAdminConcatenada!$A:$A=W$2)*(AsistenciaJetAdminConcatenada!$B:$B=W$1), 0)), 1))),  0.5, 0))</f>
        <v>1</v>
      </c>
      <c r="X59" s="47">
        <f t="array" ref="X59">IF(AND(ISNUMBER(MATCH(X$2, AsistenciaJetAdminConcatenada!$A:$A, 0)), ISNUMBER(MATCH(X$1, AsistenciaJetAdminConcatenada!$B:$B, 0)), ISNUMBER(SEARCH($A59,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ISNUMBER(SEARCH($A59, INDEX(AsistenciaJetAdminConcatenada!$D:$D, MATCH(1, (AsistenciaJetAdminConcatenada!$A:$A=X$2)*(AsistenciaJetAdminConcatenada!$B:$B=X$1), 0)), 1))),  0.5, 0))</f>
        <v>1</v>
      </c>
      <c r="Y59" s="47">
        <f t="array" ref="Y59">IF(AND(ISNUMBER(MATCH(Y$2, AsistenciaJetAdminConcatenada!$A:$A, 0)), ISNUMBER(MATCH(Y$1, AsistenciaJetAdminConcatenada!$B:$B, 0)), ISNUMBER(SEARCH($A59,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ISNUMBER(SEARCH($A59, INDEX(AsistenciaJetAdminConcatenada!$D:$D, MATCH(1, (AsistenciaJetAdminConcatenada!$A:$A=Y$2)*(AsistenciaJetAdminConcatenada!$B:$B=Y$1), 0)), 1))),  0.5, 0))</f>
        <v>1</v>
      </c>
      <c r="Z59" s="47">
        <f t="array" ref="Z59">IF(AND(ISNUMBER(MATCH(Z$2, AsistenciaJetAdminConcatenada!$A:$A, 0)), ISNUMBER(MATCH(Z$1, AsistenciaJetAdminConcatenada!$B:$B, 0)), ISNUMBER(SEARCH($A59,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ISNUMBER(SEARCH($A59, INDEX(AsistenciaJetAdminConcatenada!$D:$D, MATCH(1, (AsistenciaJetAdminConcatenada!$A:$A=Z$2)*(AsistenciaJetAdminConcatenada!$B:$B=Z$1), 0)), 1))),  0.5, 0))</f>
        <v>0</v>
      </c>
      <c r="AA59" s="47">
        <f t="array" ref="AA59">IF(AND(ISNUMBER(MATCH(AA$2, AsistenciaJetAdminConcatenada!$A:$A, 0)), ISNUMBER(MATCH(AA$1, AsistenciaJetAdminConcatenada!$B:$B, 0)), ISNUMBER(SEARCH($A59,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ISNUMBER(SEARCH($A59, INDEX(AsistenciaJetAdminConcatenada!$D:$D, MATCH(1, (AsistenciaJetAdminConcatenada!$A:$A=AA$2)*(AsistenciaJetAdminConcatenada!$B:$B=AA$1), 0)), 1))),  0.5, 0))</f>
        <v>1</v>
      </c>
      <c r="AB59" s="47">
        <f t="array" ref="AB59">IF(AND(ISNUMBER(MATCH(AB$2, AsistenciaJetAdminConcatenada!$A:$A, 0)), ISNUMBER(MATCH(AB$1, AsistenciaJetAdminConcatenada!$B:$B, 0)), ISNUMBER(SEARCH($A59,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ISNUMBER(SEARCH($A59, INDEX(AsistenciaJetAdminConcatenada!$D:$D, MATCH(1, (AsistenciaJetAdminConcatenada!$A:$A=AB$2)*(AsistenciaJetAdminConcatenada!$B:$B=AB$1), 0)), 1))),  0.5, 0))</f>
        <v>1</v>
      </c>
      <c r="AC59" s="47">
        <f t="array" ref="AC59">IF(AND(ISNUMBER(MATCH(AC$2, AsistenciaJetAdminConcatenada!$A:$A, 0)), ISNUMBER(MATCH(AC$1, AsistenciaJetAdminConcatenada!$B:$B, 0)), ISNUMBER(SEARCH($A59,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ISNUMBER(SEARCH($A59, INDEX(AsistenciaJetAdminConcatenada!$D:$D, MATCH(1, (AsistenciaJetAdminConcatenada!$A:$A=AC$2)*(AsistenciaJetAdminConcatenada!$B:$B=AC$1), 0)), 1))),  0.5, 0))</f>
        <v>1</v>
      </c>
      <c r="AD59" s="47">
        <f t="array" ref="AD59">IF(AND(ISNUMBER(MATCH(AD$2, AsistenciaJetAdminConcatenada!$A:$A, 0)), ISNUMBER(MATCH(AD$1, AsistenciaJetAdminConcatenada!$B:$B, 0)), ISNUMBER(SEARCH($A59,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ISNUMBER(SEARCH($A59, INDEX(AsistenciaJetAdminConcatenada!$D:$D, MATCH(1, (AsistenciaJetAdminConcatenada!$A:$A=AD$2)*(AsistenciaJetAdminConcatenada!$B:$B=AD$1), 0)), 1))),  0.5, 0))</f>
        <v>1</v>
      </c>
      <c r="AE59" s="47">
        <f t="array" ref="AE59">IF(AND(ISNUMBER(MATCH(AE$2, AsistenciaJetAdminConcatenada!$A:$A, 0)), ISNUMBER(MATCH(AE$1, AsistenciaJetAdminConcatenada!$B:$B, 0)), ISNUMBER(SEARCH($A59,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ISNUMBER(SEARCH($A59, INDEX(AsistenciaJetAdminConcatenada!$D:$D, MATCH(1, (AsistenciaJetAdminConcatenada!$A:$A=AE$2)*(AsistenciaJetAdminConcatenada!$B:$B=AE$1), 0)), 1))),  0.5, 0))</f>
        <v>1</v>
      </c>
      <c r="AF59" s="47">
        <f t="array" ref="AF59">IF(AND(ISNUMBER(MATCH(AF$2, AsistenciaJetAdminConcatenada!$A:$A, 0)), ISNUMBER(MATCH(AF$1, AsistenciaJetAdminConcatenada!$B:$B, 0)), ISNUMBER(SEARCH($A59,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ISNUMBER(SEARCH($A59, INDEX(AsistenciaJetAdminConcatenada!$D:$D, MATCH(1, (AsistenciaJetAdminConcatenada!$A:$A=AF$2)*(AsistenciaJetAdminConcatenada!$B:$B=AF$1), 0)), 1))),  0.5, 0))</f>
        <v>1</v>
      </c>
      <c r="AG59" s="47">
        <f t="array" ref="AG59">IF(AND(ISNUMBER(MATCH(AG$2, AsistenciaJetAdminConcatenada!$A:$A, 0)), ISNUMBER(MATCH(AG$1, AsistenciaJetAdminConcatenada!$B:$B, 0)), ISNUMBER(SEARCH($A59,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ISNUMBER(SEARCH($A59, INDEX(AsistenciaJetAdminConcatenada!$D:$D, MATCH(1, (AsistenciaJetAdminConcatenada!$A:$A=AG$2)*(AsistenciaJetAdminConcatenada!$B:$B=AG$1), 0)), 1))),  0.5, 0))</f>
        <v>0</v>
      </c>
      <c r="AH59" s="47">
        <f t="array" ref="AH59">IF(AND(ISNUMBER(MATCH(AH$2, AsistenciaJetAdminConcatenada!$A:$A, 0)), ISNUMBER(MATCH(AH$1, AsistenciaJetAdminConcatenada!$B:$B, 0)), ISNUMBER(SEARCH($A59,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ISNUMBER(SEARCH($A59, INDEX(AsistenciaJetAdminConcatenada!$D:$D, MATCH(1, (AsistenciaJetAdminConcatenada!$A:$A=AH$2)*(AsistenciaJetAdminConcatenada!$B:$B=AH$1), 0)), 1))),  0.5, 0))</f>
        <v>0</v>
      </c>
      <c r="AI59" s="47">
        <f t="array" ref="AI59">IF(AND(ISNUMBER(MATCH(AI$2, AsistenciaJetAdminConcatenada!$A:$A, 0)), ISNUMBER(MATCH(AI$1, AsistenciaJetAdminConcatenada!$B:$B, 0)), ISNUMBER(SEARCH($A59,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ISNUMBER(SEARCH($A59, INDEX(AsistenciaJetAdminConcatenada!$D:$D, MATCH(1, (AsistenciaJetAdminConcatenada!$A:$A=AI$2)*(AsistenciaJetAdminConcatenada!$B:$B=AI$1), 0)), 1))),  0.5, 0))</f>
        <v>1</v>
      </c>
      <c r="AJ59" s="47">
        <f t="array" ref="AJ59">IF(AND(ISNUMBER(MATCH(AJ$2, AsistenciaJetAdminConcatenada!$A:$A, 0)), ISNUMBER(MATCH(AJ$1, AsistenciaJetAdminConcatenada!$B:$B, 0)), ISNUMBER(SEARCH($A59,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ISNUMBER(SEARCH($A59, INDEX(AsistenciaJetAdminConcatenada!$D:$D, MATCH(1, (AsistenciaJetAdminConcatenada!$A:$A=AJ$2)*(AsistenciaJetAdminConcatenada!$B:$B=AJ$1), 0)), 1))),  0.5, 0))</f>
        <v>1</v>
      </c>
      <c r="AK59" s="47">
        <f t="array" ref="AK59">IF(AND(ISNUMBER(MATCH(AK$2, AsistenciaJetAdminConcatenada!$A:$A, 0)), ISNUMBER(MATCH(AK$1, AsistenciaJetAdminConcatenada!$B:$B, 0)), ISNUMBER(SEARCH($A59,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ISNUMBER(SEARCH($A59, INDEX(AsistenciaJetAdminConcatenada!$D:$D, MATCH(1, (AsistenciaJetAdminConcatenada!$A:$A=AK$2)*(AsistenciaJetAdminConcatenada!$B:$B=AK$1), 0)), 1))),  0.5, 0))</f>
        <v>0</v>
      </c>
      <c r="AL59" s="47">
        <f t="array" ref="AL59">IF(AND(ISNUMBER(MATCH(AL$2, AsistenciaJetAdminConcatenada!$A:$A, 0)), ISNUMBER(MATCH(AL$1, AsistenciaJetAdminConcatenada!$B:$B, 0)), ISNUMBER(SEARCH($A59,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ISNUMBER(SEARCH($A59, INDEX(AsistenciaJetAdminConcatenada!$D:$D, MATCH(1, (AsistenciaJetAdminConcatenada!$A:$A=AL$2)*(AsistenciaJetAdminConcatenada!$B:$B=AL$1), 0)), 1))),  0.5, 0))</f>
        <v>0</v>
      </c>
      <c r="AM59" s="47">
        <f t="array" ref="AM59">IF(AND(ISNUMBER(MATCH(AM$2, AsistenciaJetAdminConcatenada!$A:$A, 0)), ISNUMBER(MATCH(AM$1, AsistenciaJetAdminConcatenada!$B:$B, 0)), ISNUMBER(SEARCH($A59,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ISNUMBER(SEARCH($A59, INDEX(AsistenciaJetAdminConcatenada!$D:$D, MATCH(1, (AsistenciaJetAdminConcatenada!$A:$A=AM$2)*(AsistenciaJetAdminConcatenada!$B:$B=AM$1), 0)), 1))),  0.5, 0))</f>
        <v>0</v>
      </c>
      <c r="AN59" s="47">
        <f t="array" ref="AN59">IF(AND(ISNUMBER(MATCH(AN$2, AsistenciaJetAdminConcatenada!$A:$A, 0)), ISNUMBER(MATCH(AN$1, AsistenciaJetAdminConcatenada!$B:$B, 0)), ISNUMBER(SEARCH($A59,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ISNUMBER(SEARCH($A59, INDEX(AsistenciaJetAdminConcatenada!$D:$D, MATCH(1, (AsistenciaJetAdminConcatenada!$A:$A=AN$2)*(AsistenciaJetAdminConcatenada!$B:$B=AN$1), 0)), 1))),  0.5, 0))</f>
        <v>0</v>
      </c>
      <c r="AO59" s="47">
        <f t="array" ref="AO59">IF(AND(ISNUMBER(MATCH(AO$2, AsistenciaJetAdminConcatenada!$A:$A, 0)), ISNUMBER(MATCH(AO$1, AsistenciaJetAdminConcatenada!$B:$B, 0)), ISNUMBER(SEARCH($A59,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ISNUMBER(SEARCH($A59, INDEX(AsistenciaJetAdminConcatenada!$D:$D, MATCH(1, (AsistenciaJetAdminConcatenada!$A:$A=AO$2)*(AsistenciaJetAdminConcatenada!$B:$B=AO$1), 0)), 1))),  0.5, 0))</f>
        <v>0</v>
      </c>
      <c r="AP59" s="47">
        <f t="array" ref="AP59">IF(AND(ISNUMBER(MATCH(AP$2, AsistenciaJetAdminConcatenada!$A:$A, 0)), ISNUMBER(MATCH(AP$1, AsistenciaJetAdminConcatenada!$B:$B, 0)), ISNUMBER(SEARCH($A59,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ISNUMBER(SEARCH($A59, INDEX(AsistenciaJetAdminConcatenada!$D:$D, MATCH(1, (AsistenciaJetAdminConcatenada!$A:$A=AP$2)*(AsistenciaJetAdminConcatenada!$B:$B=AP$1), 0)), 1))),  0.5, 0))</f>
        <v>1</v>
      </c>
      <c r="AQ59" s="47">
        <f t="array" ref="AQ59">IF(AND(ISNUMBER(MATCH(AQ$2, AsistenciaJetAdminConcatenada!$A:$A, 0)), ISNUMBER(MATCH(AQ$1, AsistenciaJetAdminConcatenada!$B:$B, 0)), ISNUMBER(SEARCH($A59,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ISNUMBER(SEARCH($A59, INDEX(AsistenciaJetAdminConcatenada!$D:$D, MATCH(1, (AsistenciaJetAdminConcatenada!$A:$A=AQ$2)*(AsistenciaJetAdminConcatenada!$B:$B=AQ$1), 0)), 1))),  0.5, 0))</f>
        <v>0</v>
      </c>
      <c r="AR59" s="47">
        <f t="array" ref="AR59">IF(AND(ISNUMBER(MATCH(AR$2, AsistenciaJetAdminConcatenada!$A:$A, 0)), ISNUMBER(MATCH(AR$1, AsistenciaJetAdminConcatenada!$B:$B, 0)), ISNUMBER(SEARCH($A59,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ISNUMBER(SEARCH($A59, INDEX(AsistenciaJetAdminConcatenada!$D:$D, MATCH(1, (AsistenciaJetAdminConcatenada!$A:$A=AR$2)*(AsistenciaJetAdminConcatenada!$B:$B=AR$1), 0)), 1))),  0.5, 0))</f>
        <v>1</v>
      </c>
      <c r="AS59" s="47">
        <f t="array" ref="AS59">IF(AND(ISNUMBER(MATCH(AS$2, AsistenciaJetAdminConcatenada!$A:$A, 0)), ISNUMBER(MATCH(AS$1, AsistenciaJetAdminConcatenada!$B:$B, 0)), ISNUMBER(SEARCH($A59,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ISNUMBER(SEARCH($A59, INDEX(AsistenciaJetAdminConcatenada!$D:$D, MATCH(1, (AsistenciaJetAdminConcatenada!$A:$A=AS$2)*(AsistenciaJetAdminConcatenada!$B:$B=AS$1), 0)), 1))),  0.5, 0))</f>
        <v>1</v>
      </c>
      <c r="AT59" s="47">
        <f t="array" ref="AT59">IF(AND(ISNUMBER(MATCH(AT$2, AsistenciaJetAdminConcatenada!$A:$A, 0)), ISNUMBER(MATCH(AT$1, AsistenciaJetAdminConcatenada!$B:$B, 0)), ISNUMBER(SEARCH($A59,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ISNUMBER(SEARCH($A59, INDEX(AsistenciaJetAdminConcatenada!$D:$D, MATCH(1, (AsistenciaJetAdminConcatenada!$A:$A=AT$2)*(AsistenciaJetAdminConcatenada!$B:$B=AT$1), 0)), 1))),  0.5, 0))</f>
        <v>0</v>
      </c>
      <c r="AU59" s="47">
        <f t="array" ref="AU59">IF(AND(ISNUMBER(MATCH(AU$2, AsistenciaJetAdminConcatenada!$A:$A, 0)), ISNUMBER(MATCH(AU$1, AsistenciaJetAdminConcatenada!$B:$B, 0)), ISNUMBER(SEARCH($A59,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ISNUMBER(SEARCH($A59, INDEX(AsistenciaJetAdminConcatenada!$D:$D, MATCH(1, (AsistenciaJetAdminConcatenada!$A:$A=AU$2)*(AsistenciaJetAdminConcatenada!$B:$B=AU$1), 0)), 1))),  0.5, 0))</f>
        <v>1</v>
      </c>
      <c r="AV59" s="47">
        <f t="array" ref="AV59">IF(AND(ISNUMBER(MATCH(AV$2, AsistenciaJetAdminConcatenada!$A:$A, 0)), ISNUMBER(MATCH(AV$1, AsistenciaJetAdminConcatenada!$B:$B, 0)), ISNUMBER(SEARCH($A59,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ISNUMBER(SEARCH($A59, INDEX(AsistenciaJetAdminConcatenada!$D:$D, MATCH(1, (AsistenciaJetAdminConcatenada!$A:$A=AV$2)*(AsistenciaJetAdminConcatenada!$B:$B=AV$1), 0)), 1))),  0.5, 0))</f>
        <v>1</v>
      </c>
      <c r="AW59" s="47">
        <f t="array" ref="AW59">IF(AND(ISNUMBER(MATCH(AW$2, AsistenciaJetAdminConcatenada!$A:$A, 0)), ISNUMBER(MATCH(AW$1, AsistenciaJetAdminConcatenada!$B:$B, 0)), ISNUMBER(SEARCH($A59,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ISNUMBER(SEARCH($A59, INDEX(AsistenciaJetAdminConcatenada!$D:$D, MATCH(1, (AsistenciaJetAdminConcatenada!$A:$A=AW$2)*(AsistenciaJetAdminConcatenada!$B:$B=AW$1), 0)), 1))),  0.5, 0))</f>
        <v>0</v>
      </c>
      <c r="AX59" s="47">
        <f t="array" ref="AX59">IF(AND(ISNUMBER(MATCH(AX$2, AsistenciaJetAdminConcatenada!$A:$A, 0)), ISNUMBER(MATCH(AX$1, AsistenciaJetAdminConcatenada!$B:$B, 0)), ISNUMBER(SEARCH($A59,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ISNUMBER(SEARCH($A59, INDEX(AsistenciaJetAdminConcatenada!$D:$D, MATCH(1, (AsistenciaJetAdminConcatenada!$A:$A=AX$2)*(AsistenciaJetAdminConcatenada!$B:$B=AX$1), 0)), 1))),  0.5, 0))</f>
        <v>0</v>
      </c>
      <c r="AY59" s="47">
        <f t="array" ref="AY59">IF(AND(ISNUMBER(MATCH(AY$2, AsistenciaJetAdminConcatenada!$A:$A, 0)), ISNUMBER(MATCH(AY$1, AsistenciaJetAdminConcatenada!$B:$B, 0)), ISNUMBER(SEARCH($A59,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ISNUMBER(SEARCH($A59, INDEX(AsistenciaJetAdminConcatenada!$D:$D, MATCH(1, (AsistenciaJetAdminConcatenada!$A:$A=AY$2)*(AsistenciaJetAdminConcatenada!$B:$B=AY$1), 0)), 1))),  0.5, 0))</f>
        <v>1</v>
      </c>
      <c r="AZ59" s="47">
        <f t="array" ref="AZ59">IF(AND(ISNUMBER(MATCH(AZ$2, AsistenciaJetAdminConcatenada!$A:$A, 0)), ISNUMBER(MATCH(AZ$1, AsistenciaJetAdminConcatenada!$B:$B, 0)), ISNUMBER(SEARCH($A59,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ISNUMBER(SEARCH($A59, INDEX(AsistenciaJetAdminConcatenada!$D:$D, MATCH(1, (AsistenciaJetAdminConcatenada!$A:$A=AZ$2)*(AsistenciaJetAdminConcatenada!$B:$B=AZ$1), 0)), 1))),  0.5, 0))</f>
        <v>1</v>
      </c>
      <c r="BA59" s="47">
        <f t="array" ref="BA59">IF(AND(ISNUMBER(MATCH(BA$2, AsistenciaJetAdminConcatenada!$A:$A, 0)), ISNUMBER(MATCH(BA$1, AsistenciaJetAdminConcatenada!$B:$B, 0)), ISNUMBER(SEARCH($A59,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ISNUMBER(SEARCH($A59, INDEX(AsistenciaJetAdminConcatenada!$D:$D, MATCH(1, (AsistenciaJetAdminConcatenada!$A:$A=BA$2)*(AsistenciaJetAdminConcatenada!$B:$B=BA$1), 0)), 1))),  0.5, 0))</f>
        <v>1</v>
      </c>
      <c r="BB59" s="47">
        <f t="array" ref="BB59">IF(AND(ISNUMBER(MATCH(BB$2, AsistenciaJetAdminConcatenada!$A:$A, 0)), ISNUMBER(MATCH(BB$1, AsistenciaJetAdminConcatenada!$B:$B, 0)), ISNUMBER(SEARCH($A59,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ISNUMBER(SEARCH($A59, INDEX(AsistenciaJetAdminConcatenada!$D:$D, MATCH(1, (AsistenciaJetAdminConcatenada!$A:$A=BB$2)*(AsistenciaJetAdminConcatenada!$B:$B=BB$1), 0)), 1))),  0.5, 0))</f>
        <v>0</v>
      </c>
      <c r="BC59" s="47">
        <f t="array" ref="BC59">IF(AND(ISNUMBER(MATCH(BC$2, AsistenciaJetAdminConcatenada!$A:$A, 0)), ISNUMBER(MATCH(BC$1, AsistenciaJetAdminConcatenada!$B:$B, 0)), ISNUMBER(SEARCH($A59,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ISNUMBER(SEARCH($A59, INDEX(AsistenciaJetAdminConcatenada!$D:$D, MATCH(1, (AsistenciaJetAdminConcatenada!$A:$A=BC$2)*(AsistenciaJetAdminConcatenada!$B:$B=BC$1), 0)), 1))),  0.5, 0))</f>
        <v>1</v>
      </c>
      <c r="BD59" s="47">
        <f t="array" ref="BD59">IF(AND(ISNUMBER(MATCH(BD$2, AsistenciaJetAdminConcatenada!$A:$A, 0)), ISNUMBER(MATCH(BD$1, AsistenciaJetAdminConcatenada!$B:$B, 0)), ISNUMBER(SEARCH($A59,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ISNUMBER(SEARCH($A59, INDEX(AsistenciaJetAdminConcatenada!$D:$D, MATCH(1, (AsistenciaJetAdminConcatenada!$A:$A=BD$2)*(AsistenciaJetAdminConcatenada!$B:$B=BD$1), 0)), 1))),  0.5, 0))</f>
        <v>0</v>
      </c>
      <c r="BE59" s="47">
        <f t="array" ref="BE59">IF(AND(ISNUMBER(MATCH(BE$2, AsistenciaJetAdminConcatenada!$A:$A, 0)), ISNUMBER(MATCH(BE$1, AsistenciaJetAdminConcatenada!$B:$B, 0)), ISNUMBER(SEARCH($A59,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ISNUMBER(SEARCH($A59, INDEX(AsistenciaJetAdminConcatenada!$D:$D, MATCH(1, (AsistenciaJetAdminConcatenada!$A:$A=BE$2)*(AsistenciaJetAdminConcatenada!$B:$B=BE$1), 0)), 1))),  0.5, 0))</f>
        <v>1</v>
      </c>
      <c r="BF59" s="47">
        <f t="array" ref="BF59">IF(AND(ISNUMBER(MATCH(BF$2, AsistenciaJetAdminConcatenada!$A:$A, 0)), ISNUMBER(MATCH(BF$1, AsistenciaJetAdminConcatenada!$B:$B, 0)), ISNUMBER(SEARCH($A59,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ISNUMBER(SEARCH($A59, INDEX(AsistenciaJetAdminConcatenada!$D:$D, MATCH(1, (AsistenciaJetAdminConcatenada!$A:$A=BF$2)*(AsistenciaJetAdminConcatenada!$B:$B=BF$1), 0)), 1))),  0.5, 0))</f>
        <v>1</v>
      </c>
      <c r="BG59" s="47">
        <f t="array" ref="BG59">IF(AND(ISNUMBER(MATCH(BG$2, AsistenciaJetAdminConcatenada!$A:$A, 0)), ISNUMBER(MATCH(BG$1, AsistenciaJetAdminConcatenada!$B:$B, 0)), ISNUMBER(SEARCH($A59,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ISNUMBER(SEARCH($A59, INDEX(AsistenciaJetAdminConcatenada!$D:$D, MATCH(1, (AsistenciaJetAdminConcatenada!$A:$A=BG$2)*(AsistenciaJetAdminConcatenada!$B:$B=BG$1), 0)), 1))),  0.5, 0))</f>
        <v>1</v>
      </c>
      <c r="BH59" s="47">
        <f t="array" ref="BH59">IF(AND(ISNUMBER(MATCH(BH$2, AsistenciaJetAdminConcatenada!$A:$A, 0)), ISNUMBER(MATCH(BH$1, AsistenciaJetAdminConcatenada!$B:$B, 0)), ISNUMBER(SEARCH($A59,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ISNUMBER(SEARCH($A59, INDEX(AsistenciaJetAdminConcatenada!$D:$D, MATCH(1, (AsistenciaJetAdminConcatenada!$A:$A=BH$2)*(AsistenciaJetAdminConcatenada!$B:$B=BH$1), 0)), 1))),  0.5, 0))</f>
        <v>0</v>
      </c>
      <c r="BI59" s="47">
        <f t="array" ref="BI59">IF(AND(ISNUMBER(MATCH(BI$2, AsistenciaJetAdminConcatenada!$A:$A, 0)), ISNUMBER(MATCH(BI$1, AsistenciaJetAdminConcatenada!$B:$B, 0)), ISNUMBER(SEARCH($A59,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ISNUMBER(SEARCH($A59, INDEX(AsistenciaJetAdminConcatenada!$D:$D, MATCH(1, (AsistenciaJetAdminConcatenada!$A:$A=BI$2)*(AsistenciaJetAdminConcatenada!$B:$B=BI$1), 0)), 1))),  0.5, 0))</f>
        <v>0</v>
      </c>
      <c r="BJ59" s="47">
        <f t="array" ref="BJ59">IF(AND(ISNUMBER(MATCH(BJ$2, AsistenciaJetAdminConcatenada!$A:$A, 0)), ISNUMBER(MATCH(BJ$1, AsistenciaJetAdminConcatenada!$B:$B, 0)), ISNUMBER(SEARCH($A59,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ISNUMBER(SEARCH($A59, INDEX(AsistenciaJetAdminConcatenada!$D:$D, MATCH(1, (AsistenciaJetAdminConcatenada!$A:$A=BJ$2)*(AsistenciaJetAdminConcatenada!$B:$B=BJ$1), 0)), 1))),  0.5, 0))</f>
        <v>1</v>
      </c>
      <c r="BK59" s="47">
        <f t="array" ref="BK59">IF(AND(ISNUMBER(MATCH(BK$2, AsistenciaJetAdminConcatenada!$A:$A, 0)), ISNUMBER(MATCH(BK$1, AsistenciaJetAdminConcatenada!$B:$B, 0)), ISNUMBER(SEARCH($A59,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ISNUMBER(SEARCH($A59, INDEX(AsistenciaJetAdminConcatenada!$D:$D, MATCH(1, (AsistenciaJetAdminConcatenada!$A:$A=BK$2)*(AsistenciaJetAdminConcatenada!$B:$B=BK$1), 0)), 1))),  0.5, 0))</f>
        <v>1</v>
      </c>
      <c r="BL59" s="47">
        <f t="array" ref="BL59">IF(AND(ISNUMBER(MATCH(BL$2, AsistenciaJetAdminConcatenada!$A:$A, 0)), ISNUMBER(MATCH(BL$1, AsistenciaJetAdminConcatenada!$B:$B, 0)), ISNUMBER(SEARCH($A59,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ISNUMBER(SEARCH($A59, INDEX(AsistenciaJetAdminConcatenada!$D:$D, MATCH(1, (AsistenciaJetAdminConcatenada!$A:$A=BL$2)*(AsistenciaJetAdminConcatenada!$B:$B=BL$1), 0)), 1))),  0.5, 0))</f>
        <v>1</v>
      </c>
      <c r="BM59" s="47">
        <f t="array" ref="BM59">IF(AND(ISNUMBER(MATCH(BM$2, AsistenciaJetAdminConcatenada!$A:$A, 0)), ISNUMBER(MATCH(BM$1, AsistenciaJetAdminConcatenada!$B:$B, 0)), ISNUMBER(SEARCH($A59,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ISNUMBER(SEARCH($A59, INDEX(AsistenciaJetAdminConcatenada!$D:$D, MATCH(1, (AsistenciaJetAdminConcatenada!$A:$A=BM$2)*(AsistenciaJetAdminConcatenada!$B:$B=BM$1), 0)), 1))),  0.5, 0))</f>
        <v>1</v>
      </c>
      <c r="BN59" s="47">
        <f t="array" ref="BN59">IF(AND(ISNUMBER(MATCH(BN$2, AsistenciaJetAdminConcatenada!$A:$A, 0)), ISNUMBER(MATCH(BN$1, AsistenciaJetAdminConcatenada!$B:$B, 0)), ISNUMBER(SEARCH($A59,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ISNUMBER(SEARCH($A59, INDEX(AsistenciaJetAdminConcatenada!$D:$D, MATCH(1, (AsistenciaJetAdminConcatenada!$A:$A=BN$2)*(AsistenciaJetAdminConcatenada!$B:$B=BN$1), 0)), 1))),  0.5, 0))</f>
        <v>1</v>
      </c>
      <c r="BO59" s="47">
        <f t="array" ref="BO59">IF(AND(ISNUMBER(MATCH(BO$2, AsistenciaJetAdminConcatenada!$A:$A, 0)), ISNUMBER(MATCH(BO$1, AsistenciaJetAdminConcatenada!$B:$B, 0)), ISNUMBER(SEARCH($A59,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ISNUMBER(SEARCH($A59, INDEX(AsistenciaJetAdminConcatenada!$D:$D, MATCH(1, (AsistenciaJetAdminConcatenada!$A:$A=BO$2)*(AsistenciaJetAdminConcatenada!$B:$B=BO$1), 0)), 1))),  0.5, 0))</f>
        <v>1</v>
      </c>
      <c r="BP59" s="47">
        <f t="array" ref="BP59">IF(AND(ISNUMBER(MATCH(BP$2, AsistenciaJetAdminConcatenada!$A:$A, 0)), ISNUMBER(MATCH(BP$1, AsistenciaJetAdminConcatenada!$B:$B, 0)), ISNUMBER(SEARCH($A59,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ISNUMBER(SEARCH($A59, INDEX(AsistenciaJetAdminConcatenada!$D:$D, MATCH(1, (AsistenciaJetAdminConcatenada!$A:$A=BP$2)*(AsistenciaJetAdminConcatenada!$B:$B=BP$1), 0)), 1))),  0.5, 0))</f>
        <v>0</v>
      </c>
      <c r="BQ59" s="47">
        <f t="array" ref="BQ59">IF(AND(ISNUMBER(MATCH(BQ$2, AsistenciaJetAdminConcatenada!$A:$A, 0)), ISNUMBER(MATCH(BQ$1, AsistenciaJetAdminConcatenada!$B:$B, 0)), ISNUMBER(SEARCH($A59,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ISNUMBER(SEARCH($A59, INDEX(AsistenciaJetAdminConcatenada!$D:$D, MATCH(1, (AsistenciaJetAdminConcatenada!$A:$A=BQ$2)*(AsistenciaJetAdminConcatenada!$B:$B=BQ$1), 0)), 1))),  0.5, 0))</f>
        <v>1</v>
      </c>
      <c r="BR59" s="47">
        <f t="array" ref="BR59">IF(AND(ISNUMBER(MATCH(BR$2, AsistenciaJetAdminConcatenada!$A:$A, 0)), ISNUMBER(MATCH(BR$1, AsistenciaJetAdminConcatenada!$B:$B, 0)), ISNUMBER(SEARCH($A59,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ISNUMBER(SEARCH($A59, INDEX(AsistenciaJetAdminConcatenada!$D:$D, MATCH(1, (AsistenciaJetAdminConcatenada!$A:$A=BR$2)*(AsistenciaJetAdminConcatenada!$B:$B=BR$1), 0)), 1))),  0.5, 0))</f>
        <v>0</v>
      </c>
      <c r="BS59" s="47">
        <f t="array" ref="BS59">IF(AND(ISNUMBER(MATCH(BS$2, AsistenciaJetAdminConcatenada!$A:$A, 0)), ISNUMBER(MATCH(BS$1, AsistenciaJetAdminConcatenada!$B:$B, 0)), ISNUMBER(SEARCH($A59,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ISNUMBER(SEARCH($A59, INDEX(AsistenciaJetAdminConcatenada!$D:$D, MATCH(1, (AsistenciaJetAdminConcatenada!$A:$A=BS$2)*(AsistenciaJetAdminConcatenada!$B:$B=BS$1), 0)), 1))),  0.5, 0))</f>
        <v>0.5</v>
      </c>
      <c r="BT59" s="47">
        <f t="array" ref="BT59">IF(AND(ISNUMBER(MATCH(BT$2, AsistenciaJetAdminConcatenada!$A:$A, 0)), ISNUMBER(MATCH(BT$1, AsistenciaJetAdminConcatenada!$B:$B, 0)), ISNUMBER(SEARCH($A59,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ISNUMBER(SEARCH($A59, INDEX(AsistenciaJetAdminConcatenada!$D:$D, MATCH(1, (AsistenciaJetAdminConcatenada!$A:$A=BT$2)*(AsistenciaJetAdminConcatenada!$B:$B=BT$1), 0)), 1))),  0.5, 0))</f>
        <v>1</v>
      </c>
      <c r="BU59" s="47">
        <f t="array" ref="BU59">IF(AND(ISNUMBER(MATCH(BU$2, AsistenciaJetAdminConcatenada!$A:$A, 0)), ISNUMBER(MATCH(BU$1, AsistenciaJetAdminConcatenada!$B:$B, 0)), ISNUMBER(SEARCH($A59,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ISNUMBER(SEARCH($A59, INDEX(AsistenciaJetAdminConcatenada!$D:$D, MATCH(1, (AsistenciaJetAdminConcatenada!$A:$A=BU$2)*(AsistenciaJetAdminConcatenada!$B:$B=BU$1), 0)), 1))),  0.5, 0))</f>
        <v>1</v>
      </c>
      <c r="BV59" s="47">
        <f t="array" ref="BV59">IF(AND(ISNUMBER(MATCH(BV$2, AsistenciaJetAdminConcatenada!$A:$A, 0)), ISNUMBER(MATCH(BV$1, AsistenciaJetAdminConcatenada!$B:$B, 0)), ISNUMBER(SEARCH($A59,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ISNUMBER(SEARCH($A59, INDEX(AsistenciaJetAdminConcatenada!$D:$D, MATCH(1, (AsistenciaJetAdminConcatenada!$A:$A=BV$2)*(AsistenciaJetAdminConcatenada!$B:$B=BV$1), 0)), 1))),  0.5, 0))</f>
        <v>0</v>
      </c>
      <c r="BW59" s="8">
        <v>0.0</v>
      </c>
      <c r="BX59" s="47">
        <f t="array" ref="BX59">IF(AND(ISNUMBER(MATCH(BX$2, AsistenciaJetAdminConcatenada!$A:$A, 0)), ISNUMBER(MATCH(BX$1, AsistenciaJetAdminConcatenada!$B:$B, 0)), ISNUMBER(SEARCH($A59,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ISNUMBER(SEARCH($A59, INDEX(AsistenciaJetAdminConcatenada!$D:$D, MATCH(1, (AsistenciaJetAdminConcatenada!$A:$A=BX$2)*(AsistenciaJetAdminConcatenada!$B:$B=BX$1), 0)), 1))),  0.5, 0))</f>
        <v>1</v>
      </c>
      <c r="BY59" s="47">
        <f t="array" ref="BY59">IF(AND(ISNUMBER(MATCH(BY$2, AsistenciaJetAdminConcatenada!$A:$A, 0)), ISNUMBER(MATCH(BY$1, AsistenciaJetAdminConcatenada!$B:$B, 0)), ISNUMBER(SEARCH($A59,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ISNUMBER(SEARCH($A59, INDEX(AsistenciaJetAdminConcatenada!$D:$D, MATCH(1, (AsistenciaJetAdminConcatenada!$A:$A=BY$2)*(AsistenciaJetAdminConcatenada!$B:$B=BY$1), 0)), 1))),  0.5, 0))</f>
        <v>0</v>
      </c>
      <c r="BZ59" s="47">
        <f t="array" ref="BZ59">IF(AND(ISNUMBER(MATCH(BZ$2, AsistenciaJetAdminConcatenada!$A:$A, 0)), ISNUMBER(MATCH(BZ$1, AsistenciaJetAdminConcatenada!$B:$B, 0)), ISNUMBER(SEARCH($A59,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ISNUMBER(SEARCH($A59, INDEX(AsistenciaJetAdminConcatenada!$D:$D, MATCH(1, (AsistenciaJetAdminConcatenada!$A:$A=BZ$2)*(AsistenciaJetAdminConcatenada!$B:$B=BZ$1), 0)), 1))),  0.5, 0))</f>
        <v>1</v>
      </c>
      <c r="CA59" s="47">
        <f t="array" ref="CA59">IF(AND(ISNUMBER(MATCH(CA$2, AsistenciaJetAdminConcatenada!$A:$A, 0)), ISNUMBER(MATCH(CA$1, AsistenciaJetAdminConcatenada!$B:$B, 0)), ISNUMBER(SEARCH($A59,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ISNUMBER(SEARCH($A59, INDEX(AsistenciaJetAdminConcatenada!$D:$D, MATCH(1, (AsistenciaJetAdminConcatenada!$A:$A=CA$2)*(AsistenciaJetAdminConcatenada!$B:$B=CA$1), 0)), 1))),  0.5, 0))</f>
        <v>1</v>
      </c>
      <c r="CB59" s="47">
        <f t="array" ref="CB59">IF(AND(ISNUMBER(MATCH(CB$2, AsistenciaJetAdminConcatenada!$A:$A, 0)), ISNUMBER(MATCH(CB$1, AsistenciaJetAdminConcatenada!$B:$B, 0)), ISNUMBER(SEARCH($A59,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ISNUMBER(SEARCH($A59, INDEX(AsistenciaJetAdminConcatenada!$D:$D, MATCH(1, (AsistenciaJetAdminConcatenada!$A:$A=CB$2)*(AsistenciaJetAdminConcatenada!$B:$B=CB$1), 0)), 1))),  0.5, 0))</f>
        <v>0</v>
      </c>
      <c r="CC59" s="47">
        <f t="array" ref="CC59">IF(AND(ISNUMBER(MATCH(CC$2, AsistenciaJetAdminConcatenada!$A:$A, 0)), ISNUMBER(MATCH(CC$1, AsistenciaJetAdminConcatenada!$B:$B, 0)), ISNUMBER(SEARCH($A59,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ISNUMBER(SEARCH($A59, INDEX(AsistenciaJetAdminConcatenada!$D:$D, MATCH(1, (AsistenciaJetAdminConcatenada!$A:$A=CC$2)*(AsistenciaJetAdminConcatenada!$B:$B=CC$1), 0)), 1))),  0.5, 0))</f>
        <v>0.5</v>
      </c>
      <c r="CD59" s="47">
        <f t="array" ref="CD59">IF(AND(ISNUMBER(MATCH(CD$2, AsistenciaJetAdminConcatenada!$A:$A, 0)), ISNUMBER(MATCH(CD$1, AsistenciaJetAdminConcatenada!$B:$B, 0)), ISNUMBER(SEARCH($A59,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ISNUMBER(SEARCH($A59, INDEX(AsistenciaJetAdminConcatenada!$D:$D, MATCH(1, (AsistenciaJetAdminConcatenada!$A:$A=CD$2)*(AsistenciaJetAdminConcatenada!$B:$B=CD$1), 0)), 1))),  0.5, 0))</f>
        <v>0</v>
      </c>
      <c r="CE59" s="47">
        <f t="array" ref="CE59">IF(AND(ISNUMBER(MATCH(CE$2, AsistenciaJetAdminConcatenada!$A:$A, 0)), ISNUMBER(MATCH(CE$1, AsistenciaJetAdminConcatenada!$B:$B, 0)), ISNUMBER(SEARCH($A59,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ISNUMBER(SEARCH($A59, INDEX(AsistenciaJetAdminConcatenada!$D:$D, MATCH(1, (AsistenciaJetAdminConcatenada!$A:$A=CE$2)*(AsistenciaJetAdminConcatenada!$B:$B=CE$1), 0)), 1))),  0.5, 0))</f>
        <v>1</v>
      </c>
      <c r="CF59" s="47">
        <f t="array" ref="CF59">IF(AND(ISNUMBER(MATCH(CF$2, AsistenciaJetAdminConcatenada!$A:$A, 0)), ISNUMBER(MATCH(CF$1, AsistenciaJetAdminConcatenada!$B:$B, 0)), ISNUMBER(SEARCH($A59,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ISNUMBER(SEARCH($A59, INDEX(AsistenciaJetAdminConcatenada!$D:$D, MATCH(1, (AsistenciaJetAdminConcatenada!$A:$A=CF$2)*(AsistenciaJetAdminConcatenada!$B:$B=CF$1), 0)), 1))),  0.5, 0))</f>
        <v>1</v>
      </c>
      <c r="CG59" s="47">
        <f t="array" ref="CG59">IF(AND(ISNUMBER(MATCH(CG$2, AsistenciaJetAdminConcatenada!$A:$A, 0)), ISNUMBER(MATCH(CG$1, AsistenciaJetAdminConcatenada!$B:$B, 0)), ISNUMBER(SEARCH($A59,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ISNUMBER(SEARCH($A59, INDEX(AsistenciaJetAdminConcatenada!$D:$D, MATCH(1, (AsistenciaJetAdminConcatenada!$A:$A=CG$2)*(AsistenciaJetAdminConcatenada!$B:$B=CG$1), 0)), 1))),  0.5, 0))</f>
        <v>0</v>
      </c>
      <c r="CH59" s="47">
        <f t="array" ref="CH59">IF(AND(ISNUMBER(MATCH(CH$2, AsistenciaJetAdminConcatenada!$A:$A, 0)), ISNUMBER(MATCH(CH$1, AsistenciaJetAdminConcatenada!$B:$B, 0)), ISNUMBER(SEARCH($A59,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ISNUMBER(SEARCH($A59, INDEX(AsistenciaJetAdminConcatenada!$D:$D, MATCH(1, (AsistenciaJetAdminConcatenada!$A:$A=CH$2)*(AsistenciaJetAdminConcatenada!$B:$B=CH$1), 0)), 1))),  0.5, 0))</f>
        <v>0</v>
      </c>
      <c r="CI59" s="47">
        <f t="array" ref="CI59">IF(AND(ISNUMBER(MATCH(CI$2, AsistenciaJetAdminConcatenada!$A:$A, 0)), ISNUMBER(MATCH(CI$1, AsistenciaJetAdminConcatenada!$B:$B, 0)), ISNUMBER(SEARCH($A59,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ISNUMBER(SEARCH($A59, INDEX(AsistenciaJetAdminConcatenada!$D:$D, MATCH(1, (AsistenciaJetAdminConcatenada!$A:$A=CI$2)*(AsistenciaJetAdminConcatenada!$B:$B=CI$1), 0)), 1))),  0.5, 0))</f>
        <v>1</v>
      </c>
      <c r="CJ59" s="47">
        <f t="array" ref="CJ59">IF(AND(ISNUMBER(MATCH(CJ$2, AsistenciaJetAdminConcatenada!$A:$A, 0)), ISNUMBER(MATCH(CJ$1, AsistenciaJetAdminConcatenada!$B:$B, 0)), ISNUMBER(SEARCH($A59,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ISNUMBER(SEARCH($A59, INDEX(AsistenciaJetAdminConcatenada!$D:$D, MATCH(1, (AsistenciaJetAdminConcatenada!$A:$A=CJ$2)*(AsistenciaJetAdminConcatenada!$B:$B=CJ$1), 0)), 1))),  0.5, 0))</f>
        <v>1</v>
      </c>
      <c r="CK59" s="47">
        <f t="array" ref="CK59">IF(AND(ISNUMBER(MATCH(CK$2, AsistenciaJetAdminConcatenada!$A:$A, 0)), ISNUMBER(MATCH(CK$1, AsistenciaJetAdminConcatenada!$B:$B, 0)), ISNUMBER(SEARCH($A59,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ISNUMBER(SEARCH($A59, INDEX(AsistenciaJetAdminConcatenada!$D:$D, MATCH(1, (AsistenciaJetAdminConcatenada!$A:$A=CK$2)*(AsistenciaJetAdminConcatenada!$B:$B=CK$1), 0)), 1))),  0.5, 0))</f>
        <v>0</v>
      </c>
      <c r="CL59" s="47">
        <f t="array" ref="CL59">IF(AND(ISNUMBER(MATCH(CL$2, AsistenciaJetAdminConcatenada!$A:$A, 0)), ISNUMBER(MATCH(CL$1, AsistenciaJetAdminConcatenada!$B:$B, 0)), ISNUMBER(SEARCH($A59,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ISNUMBER(SEARCH($A59, INDEX(AsistenciaJetAdminConcatenada!$D:$D, MATCH(1, (AsistenciaJetAdminConcatenada!$A:$A=CL$2)*(AsistenciaJetAdminConcatenada!$B:$B=CL$1), 0)), 1))),  0.5, 0))</f>
        <v>1</v>
      </c>
      <c r="CM59" s="47">
        <f t="array" ref="CM59">IF(AND(ISNUMBER(MATCH(CM$2, AsistenciaJetAdminConcatenada!$A:$A, 0)), ISNUMBER(MATCH(CM$1, AsistenciaJetAdminConcatenada!$B:$B, 0)), ISNUMBER(SEARCH($A59,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ISNUMBER(SEARCH($A59, INDEX(AsistenciaJetAdminConcatenada!$D:$D, MATCH(1, (AsistenciaJetAdminConcatenada!$A:$A=CM$2)*(AsistenciaJetAdminConcatenada!$B:$B=CM$1), 0)), 1))),  0.5, 0))</f>
        <v>1</v>
      </c>
      <c r="CN59" s="47">
        <f t="array" ref="CN59">IF(AND(ISNUMBER(MATCH(CN$2, AsistenciaJetAdminConcatenada!$A:$A, 0)), ISNUMBER(MATCH(CN$1, AsistenciaJetAdminConcatenada!$B:$B, 0)), ISNUMBER(SEARCH($A59,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ISNUMBER(SEARCH($A59, INDEX(AsistenciaJetAdminConcatenada!$D:$D, MATCH(1, (AsistenciaJetAdminConcatenada!$A:$A=CN$2)*(AsistenciaJetAdminConcatenada!$B:$B=CN$1), 0)), 1))),  0.5, 0))</f>
        <v>1</v>
      </c>
      <c r="CO59" s="47">
        <f t="array" ref="CO59">IF(AND(ISNUMBER(MATCH(CO$2, AsistenciaJetAdminConcatenada!$A:$A, 0)), ISNUMBER(MATCH(CO$1, AsistenciaJetAdminConcatenada!$B:$B, 0)), ISNUMBER(SEARCH($A59,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ISNUMBER(SEARCH($A59, INDEX(AsistenciaJetAdminConcatenada!$D:$D, MATCH(1, (AsistenciaJetAdminConcatenada!$A:$A=CO$2)*(AsistenciaJetAdminConcatenada!$B:$B=CO$1), 0)), 1))),  0.5, 0))</f>
        <v>1</v>
      </c>
      <c r="CP59" s="47">
        <f t="array" ref="CP59">IF(AND(ISNUMBER(MATCH(CP$2, AsistenciaJetAdminConcatenada!$A:$A, 0)), ISNUMBER(MATCH(CP$1, AsistenciaJetAdminConcatenada!$B:$B, 0)), ISNUMBER(SEARCH($A59,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ISNUMBER(SEARCH($A59, INDEX(AsistenciaJetAdminConcatenada!$D:$D, MATCH(1, (AsistenciaJetAdminConcatenada!$A:$A=CP$2)*(AsistenciaJetAdminConcatenada!$B:$B=CP$1), 0)), 1))),  0.5, 0))</f>
        <v>1</v>
      </c>
      <c r="CQ59" s="47">
        <f t="array" ref="CQ59">IF(AND(ISNUMBER(MATCH(CQ$2, AsistenciaJetAdminConcatenada!$A:$A, 0)), ISNUMBER(MATCH(CQ$1, AsistenciaJetAdminConcatenada!$B:$B, 0)), ISNUMBER(SEARCH($A59,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ISNUMBER(SEARCH($A59, INDEX(AsistenciaJetAdminConcatenada!$D:$D, MATCH(1, (AsistenciaJetAdminConcatenada!$A:$A=CQ$2)*(AsistenciaJetAdminConcatenada!$B:$B=CQ$1), 0)), 1))),  0.5, 0))</f>
        <v>1</v>
      </c>
      <c r="CR59" s="47">
        <f t="array" ref="CR59">IF(AND(ISNUMBER(MATCH(CR$2, AsistenciaJetAdminConcatenada!$A:$A, 0)), ISNUMBER(MATCH(CR$1, AsistenciaJetAdminConcatenada!$B:$B, 0)), ISNUMBER(SEARCH($A59,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ISNUMBER(SEARCH($A59, INDEX(AsistenciaJetAdminConcatenada!$D:$D, MATCH(1, (AsistenciaJetAdminConcatenada!$A:$A=CR$2)*(AsistenciaJetAdminConcatenada!$B:$B=CR$1), 0)), 1))),  0.5, 0))</f>
        <v>1</v>
      </c>
      <c r="CS59" s="47">
        <f t="array" ref="CS59">IF(AND(ISNUMBER(MATCH(CS$2, AsistenciaJetAdminConcatenada!$A:$A, 0)), ISNUMBER(MATCH(CS$1, AsistenciaJetAdminConcatenada!$B:$B, 0)), ISNUMBER(SEARCH($A59,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ISNUMBER(SEARCH($A59, INDEX(AsistenciaJetAdminConcatenada!$D:$D, MATCH(1, (AsistenciaJetAdminConcatenada!$A:$A=CS$2)*(AsistenciaJetAdminConcatenada!$B:$B=CS$1), 0)), 1))),  0.5, 0))</f>
        <v>0</v>
      </c>
      <c r="CT59" s="47">
        <f t="array" ref="CT59">IF(AND(ISNUMBER(MATCH(CT$2, AsistenciaJetAdminConcatenada!$A:$A, 0)), ISNUMBER(MATCH(CT$1, AsistenciaJetAdminConcatenada!$B:$B, 0)), ISNUMBER(SEARCH($A59,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ISNUMBER(SEARCH($A59, INDEX(AsistenciaJetAdminConcatenada!$D:$D, MATCH(1, (AsistenciaJetAdminConcatenada!$A:$A=CT$2)*(AsistenciaJetAdminConcatenada!$B:$B=CT$1), 0)), 1))),  0.5, 0))</f>
        <v>0</v>
      </c>
      <c r="CU59" s="47">
        <f t="array" ref="CU59">IF(AND(ISNUMBER(MATCH(CU$2, AsistenciaJetAdminConcatenada!$A:$A, 0)), ISNUMBER(MATCH(CU$1, AsistenciaJetAdminConcatenada!$B:$B, 0)), ISNUMBER(SEARCH($A59,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ISNUMBER(SEARCH($A59, INDEX(AsistenciaJetAdminConcatenada!$D:$D, MATCH(1, (AsistenciaJetAdminConcatenada!$A:$A=CU$2)*(AsistenciaJetAdminConcatenada!$B:$B=CU$1), 0)), 1))),  0.5, 0))</f>
        <v>0</v>
      </c>
      <c r="CV59" s="47">
        <f t="array" ref="CV59">IF(AND(ISNUMBER(MATCH(CV$2, AsistenciaJetAdminConcatenada!$A:$A, 0)), ISNUMBER(MATCH(CV$1, AsistenciaJetAdminConcatenada!$B:$B, 0)), ISNUMBER(SEARCH($A59,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ISNUMBER(SEARCH($A59, INDEX(AsistenciaJetAdminConcatenada!$D:$D, MATCH(1, (AsistenciaJetAdminConcatenada!$A:$A=CV$2)*(AsistenciaJetAdminConcatenada!$B:$B=CV$1), 0)), 1))),  0.5, 0))</f>
        <v>0</v>
      </c>
      <c r="CW59" s="47">
        <f t="array" ref="CW59">IF(AND(ISNUMBER(MATCH(CW$2, AsistenciaJetAdminConcatenada!$A:$A, 0)), ISNUMBER(MATCH(CW$1, AsistenciaJetAdminConcatenada!$B:$B, 0)), ISNUMBER(SEARCH($A59,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ISNUMBER(SEARCH($A59, INDEX(AsistenciaJetAdminConcatenada!$D:$D, MATCH(1, (AsistenciaJetAdminConcatenada!$A:$A=CW$2)*(AsistenciaJetAdminConcatenada!$B:$B=CW$1), 0)), 1))),  0.5, 0))</f>
        <v>0</v>
      </c>
      <c r="CX59" s="47">
        <f t="array" ref="CX59">IF(AND(ISNUMBER(MATCH(CX$2, AsistenciaJetAdminConcatenada!$A:$A, 0)), ISNUMBER(MATCH(CX$1, AsistenciaJetAdminConcatenada!$B:$B, 0)), ISNUMBER(SEARCH($A59,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ISNUMBER(SEARCH($A59, INDEX(AsistenciaJetAdminConcatenada!$D:$D, MATCH(1, (AsistenciaJetAdminConcatenada!$A:$A=CX$2)*(AsistenciaJetAdminConcatenada!$B:$B=CX$1), 0)), 1))),  0.5, 0))</f>
        <v>0</v>
      </c>
      <c r="CY59" s="47">
        <f t="array" ref="CY59">IF(AND(ISNUMBER(MATCH(CY$2, AsistenciaJetAdminConcatenada!$A:$A, 0)), ISNUMBER(MATCH(CY$1, AsistenciaJetAdminConcatenada!$B:$B, 0)), ISNUMBER(SEARCH($A59,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ISNUMBER(SEARCH($A59, INDEX(AsistenciaJetAdminConcatenada!$D:$D, MATCH(1, (AsistenciaJetAdminConcatenada!$A:$A=CY$2)*(AsistenciaJetAdminConcatenada!$B:$B=CY$1), 0)), 1))),  0.5, 0))</f>
        <v>0</v>
      </c>
      <c r="CZ59" s="47">
        <f t="array" ref="CZ59">IF(AND(ISNUMBER(MATCH(CZ$2, AsistenciaJetAdminConcatenada!$A:$A, 0)), ISNUMBER(MATCH(CZ$1, AsistenciaJetAdminConcatenada!$B:$B, 0)), ISNUMBER(SEARCH($A59,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ISNUMBER(SEARCH($A59, INDEX(AsistenciaJetAdminConcatenada!$D:$D, MATCH(1, (AsistenciaJetAdminConcatenada!$A:$A=CZ$2)*(AsistenciaJetAdminConcatenada!$B:$B=CZ$1), 0)), 1))),  0.5, 0))</f>
        <v>0</v>
      </c>
      <c r="DA59" s="47">
        <f t="array" ref="DA59">IF(AND(ISNUMBER(MATCH(DA$2, AsistenciaJetAdminConcatenada!$A:$A, 0)), ISNUMBER(MATCH(DA$1, AsistenciaJetAdminConcatenada!$B:$B, 0)), ISNUMBER(SEARCH($A59,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ISNUMBER(SEARCH($A59, INDEX(AsistenciaJetAdminConcatenada!$D:$D, MATCH(1, (AsistenciaJetAdminConcatenada!$A:$A=DA$2)*(AsistenciaJetAdminConcatenada!$B:$B=DA$1), 0)), 1))),  0.5, 0))</f>
        <v>0</v>
      </c>
      <c r="DB59" s="47">
        <f t="array" ref="DB59">IF(AND(ISNUMBER(MATCH(DB$2, AsistenciaJetAdminConcatenada!$A:$A, 0)), ISNUMBER(MATCH(DB$1, AsistenciaJetAdminConcatenada!$B:$B, 0)), ISNUMBER(SEARCH($A59,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ISNUMBER(SEARCH($A59, INDEX(AsistenciaJetAdminConcatenada!$D:$D, MATCH(1, (AsistenciaJetAdminConcatenada!$A:$A=DB$2)*(AsistenciaJetAdminConcatenada!$B:$B=DB$1), 0)), 1))),  0.5, 0))</f>
        <v>0</v>
      </c>
      <c r="DC59" s="47">
        <f t="array" ref="DC59">IF(AND(ISNUMBER(MATCH(DC$2, AsistenciaJetAdminConcatenada!$A:$A, 0)), ISNUMBER(MATCH(DC$1, AsistenciaJetAdminConcatenada!$B:$B, 0)), ISNUMBER(SEARCH($A59,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ISNUMBER(SEARCH($A59, INDEX(AsistenciaJetAdminConcatenada!$D:$D, MATCH(1, (AsistenciaJetAdminConcatenada!$A:$A=DC$2)*(AsistenciaJetAdminConcatenada!$B:$B=DC$1), 0)), 1))),  0.5, 0))</f>
        <v>0</v>
      </c>
      <c r="DD59" s="47">
        <f t="array" ref="DD59">IF(AND(ISNUMBER(MATCH(DD$2, AsistenciaJetAdminConcatenada!$A:$A, 0)), ISNUMBER(MATCH(DD$1, AsistenciaJetAdminConcatenada!$B:$B, 0)), ISNUMBER(SEARCH($A59,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ISNUMBER(SEARCH($A59, INDEX(AsistenciaJetAdminConcatenada!$D:$D, MATCH(1, (AsistenciaJetAdminConcatenada!$A:$A=DD$2)*(AsistenciaJetAdminConcatenada!$B:$B=DD$1), 0)), 1))),  0.5, 0))</f>
        <v>0</v>
      </c>
      <c r="DE59" s="47">
        <f t="array" ref="DE59">IF(AND(ISNUMBER(MATCH(DE$2, AsistenciaJetAdminConcatenada!$A:$A, 0)), ISNUMBER(MATCH(DE$1, AsistenciaJetAdminConcatenada!$B:$B, 0)), ISNUMBER(SEARCH($A59,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ISNUMBER(SEARCH($A59, INDEX(AsistenciaJetAdminConcatenada!$D:$D, MATCH(1, (AsistenciaJetAdminConcatenada!$A:$A=DE$2)*(AsistenciaJetAdminConcatenada!$B:$B=DE$1), 0)), 1))),  0.5, 0))</f>
        <v>0</v>
      </c>
      <c r="DF59" s="47">
        <f t="array" ref="DF59">IF(AND(ISNUMBER(MATCH(DF$2, AsistenciaJetAdminConcatenada!$A:$A, 0)), ISNUMBER(MATCH(DF$1, AsistenciaJetAdminConcatenada!$B:$B, 0)), ISNUMBER(SEARCH($A59,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ISNUMBER(SEARCH($A59, INDEX(AsistenciaJetAdminConcatenada!$D:$D, MATCH(1, (AsistenciaJetAdminConcatenada!$A:$A=DF$2)*(AsistenciaJetAdminConcatenada!$B:$B=DF$1), 0)), 1))),  0.5, 0))</f>
        <v>0</v>
      </c>
      <c r="DG59" s="47">
        <f t="array" ref="DG59">IF(AND(ISNUMBER(MATCH(DG$2, AsistenciaJetAdminConcatenada!$A:$A, 0)), ISNUMBER(MATCH(DG$1, AsistenciaJetAdminConcatenada!$B:$B, 0)), ISNUMBER(SEARCH($A59,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ISNUMBER(SEARCH($A59, INDEX(AsistenciaJetAdminConcatenada!$D:$D, MATCH(1, (AsistenciaJetAdminConcatenada!$A:$A=DG$2)*(AsistenciaJetAdminConcatenada!$B:$B=DG$1), 0)), 1))),  0.5, 0))</f>
        <v>0</v>
      </c>
      <c r="DH59" s="47">
        <f t="array" ref="DH59">IF(AND(ISNUMBER(MATCH(DH$2, AsistenciaJetAdminConcatenada!$A:$A, 0)), ISNUMBER(MATCH(DH$1, AsistenciaJetAdminConcatenada!$B:$B, 0)), ISNUMBER(SEARCH($A59,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ISNUMBER(SEARCH($A59, INDEX(AsistenciaJetAdminConcatenada!$D:$D, MATCH(1, (AsistenciaJetAdminConcatenada!$A:$A=DH$2)*(AsistenciaJetAdminConcatenada!$B:$B=DH$1), 0)), 1))),  0.5, 0))</f>
        <v>0</v>
      </c>
      <c r="DI59" s="47">
        <f t="array" ref="DI59">IF(AND(ISNUMBER(MATCH(DI$2, AsistenciaJetAdminConcatenada!$A:$A, 0)), ISNUMBER(MATCH(DI$1, AsistenciaJetAdminConcatenada!$B:$B, 0)), ISNUMBER(SEARCH($A59,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ISNUMBER(SEARCH($A59, INDEX(AsistenciaJetAdminConcatenada!$D:$D, MATCH(1, (AsistenciaJetAdminConcatenada!$A:$A=DI$2)*(AsistenciaJetAdminConcatenada!$B:$B=DI$1), 0)), 1))),  0.5, 0))</f>
        <v>0</v>
      </c>
      <c r="DJ59" s="47">
        <f t="array" ref="DJ59">IF(AND(ISNUMBER(MATCH(DJ$2, AsistenciaJetAdminConcatenada!$A:$A, 0)), ISNUMBER(MATCH(DJ$1, AsistenciaJetAdminConcatenada!$B:$B, 0)), ISNUMBER(SEARCH($A59,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ISNUMBER(SEARCH($A59, INDEX(AsistenciaJetAdminConcatenada!$D:$D, MATCH(1, (AsistenciaJetAdminConcatenada!$A:$A=DJ$2)*(AsistenciaJetAdminConcatenada!$B:$B=DJ$1), 0)), 1))),  0.5, 0))</f>
        <v>0</v>
      </c>
      <c r="DK59" s="47">
        <f t="array" ref="DK59">IF(AND(ISNUMBER(MATCH(DK$2, AsistenciaJetAdminConcatenada!$A:$A, 0)), ISNUMBER(MATCH(DK$1, AsistenciaJetAdminConcatenada!$B:$B, 0)), ISNUMBER(SEARCH($A59,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ISNUMBER(SEARCH($A59, INDEX(AsistenciaJetAdminConcatenada!$D:$D, MATCH(1, (AsistenciaJetAdminConcatenada!$A:$A=DK$2)*(AsistenciaJetAdminConcatenada!$B:$B=DK$1), 0)), 1))),  0.5, 0))</f>
        <v>0</v>
      </c>
      <c r="DL59" s="47">
        <f t="array" ref="DL59">IF(AND(ISNUMBER(MATCH(DL$2, AsistenciaJetAdminConcatenada!$A:$A, 0)), ISNUMBER(MATCH(DL$1, AsistenciaJetAdminConcatenada!$B:$B, 0)), ISNUMBER(SEARCH($A59,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ISNUMBER(SEARCH($A59, INDEX(AsistenciaJetAdminConcatenada!$D:$D, MATCH(1, (AsistenciaJetAdminConcatenada!$A:$A=DL$2)*(AsistenciaJetAdminConcatenada!$B:$B=DL$1), 0)), 1))),  0.5, 0))</f>
        <v>0</v>
      </c>
      <c r="DM59" s="47">
        <f t="array" ref="DM59">IF(AND(ISNUMBER(MATCH(DM$2, AsistenciaJetAdminConcatenada!$A:$A, 0)), ISNUMBER(MATCH(DM$1, AsistenciaJetAdminConcatenada!$B:$B, 0)), ISNUMBER(SEARCH($A59,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ISNUMBER(SEARCH($A59, INDEX(AsistenciaJetAdminConcatenada!$D:$D, MATCH(1, (AsistenciaJetAdminConcatenada!$A:$A=DM$2)*(AsistenciaJetAdminConcatenada!$B:$B=DM$1), 0)), 1))),  0.5, 0))</f>
        <v>0</v>
      </c>
      <c r="DN59" s="47">
        <f t="array" ref="DN59">IF(AND(ISNUMBER(MATCH(DN$2, AsistenciaJetAdminConcatenada!$A:$A, 0)), ISNUMBER(MATCH(DN$1, AsistenciaJetAdminConcatenada!$B:$B, 0)), ISNUMBER(SEARCH($A59,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ISNUMBER(SEARCH($A59, INDEX(AsistenciaJetAdminConcatenada!$D:$D, MATCH(1, (AsistenciaJetAdminConcatenada!$A:$A=DN$2)*(AsistenciaJetAdminConcatenada!$B:$B=DN$1), 0)), 1))),  0.5, 0))</f>
        <v>0</v>
      </c>
      <c r="DO59" s="47">
        <f t="array" ref="DO59">IF(AND(ISNUMBER(MATCH(DO$2, AsistenciaJetAdminConcatenada!$A:$A, 0)), ISNUMBER(MATCH(DO$1, AsistenciaJetAdminConcatenada!$B:$B, 0)), ISNUMBER(SEARCH($A59,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ISNUMBER(SEARCH($A59, INDEX(AsistenciaJetAdminConcatenada!$D:$D, MATCH(1, (AsistenciaJetAdminConcatenada!$A:$A=DO$2)*(AsistenciaJetAdminConcatenada!$B:$B=DO$1), 0)), 1))),  0.5, 0))</f>
        <v>0</v>
      </c>
      <c r="DP59" s="47">
        <f t="array" ref="DP59">IF(AND(ISNUMBER(MATCH(DP$2, AsistenciaJetAdminConcatenada!$A:$A, 0)), ISNUMBER(MATCH(DP$1, AsistenciaJetAdminConcatenada!$B:$B, 0)), ISNUMBER(SEARCH($A59,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ISNUMBER(SEARCH($A59, INDEX(AsistenciaJetAdminConcatenada!$D:$D, MATCH(1, (AsistenciaJetAdminConcatenada!$A:$A=DP$2)*(AsistenciaJetAdminConcatenada!$B:$B=DP$1), 0)), 1))),  0.5, 0))</f>
        <v>0</v>
      </c>
      <c r="DQ59" s="47">
        <f t="array" ref="DQ59">IF(AND(ISNUMBER(MATCH(DQ$2, AsistenciaJetAdminConcatenada!$A:$A, 0)), ISNUMBER(MATCH(DQ$1, AsistenciaJetAdminConcatenada!$B:$B, 0)), ISNUMBER(SEARCH($A59,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ISNUMBER(SEARCH($A59, INDEX(AsistenciaJetAdminConcatenada!$D:$D, MATCH(1, (AsistenciaJetAdminConcatenada!$A:$A=DQ$2)*(AsistenciaJetAdminConcatenada!$B:$B=DQ$1), 0)), 1))),  0.5, 0))</f>
        <v>0</v>
      </c>
      <c r="DR59" s="47">
        <f t="array" ref="DR59">IF(AND(ISNUMBER(MATCH(DR$2, AsistenciaJetAdminConcatenada!$A:$A, 0)), ISNUMBER(MATCH(DR$1, AsistenciaJetAdminConcatenada!$B:$B, 0)), ISNUMBER(SEARCH($A59,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ISNUMBER(SEARCH($A59, INDEX(AsistenciaJetAdminConcatenada!$D:$D, MATCH(1, (AsistenciaJetAdminConcatenada!$A:$A=DR$2)*(AsistenciaJetAdminConcatenada!$B:$B=DR$1), 0)), 1))),  0.5, 0))</f>
        <v>0</v>
      </c>
      <c r="DS59" s="47">
        <f t="array" ref="DS59">IF(AND(ISNUMBER(MATCH(DS$2, AsistenciaJetAdminConcatenada!$A:$A, 0)), ISNUMBER(MATCH(DS$1, AsistenciaJetAdminConcatenada!$B:$B, 0)), ISNUMBER(SEARCH($A59,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ISNUMBER(SEARCH($A59, INDEX(AsistenciaJetAdminConcatenada!$D:$D, MATCH(1, (AsistenciaJetAdminConcatenada!$A:$A=DS$2)*(AsistenciaJetAdminConcatenada!$B:$B=DS$1), 0)), 1))),  0.5, 0))</f>
        <v>0</v>
      </c>
      <c r="DT59" s="47">
        <f t="array" ref="DT59">IF(AND(ISNUMBER(MATCH(DT$2, AsistenciaJetAdminConcatenada!$A:$A, 0)), ISNUMBER(MATCH(DT$1, AsistenciaJetAdminConcatenada!$B:$B, 0)), ISNUMBER(SEARCH($A59,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ISNUMBER(SEARCH($A59, INDEX(AsistenciaJetAdminConcatenada!$D:$D, MATCH(1, (AsistenciaJetAdminConcatenada!$A:$A=DT$2)*(AsistenciaJetAdminConcatenada!$B:$B=DT$1), 0)), 1))),  0.5, 0))</f>
        <v>0</v>
      </c>
      <c r="DU59" s="47">
        <f t="array" ref="DU59">IF(AND(ISNUMBER(MATCH(DU$2, AsistenciaJetAdminConcatenada!$A:$A, 0)), ISNUMBER(MATCH(DU$1, AsistenciaJetAdminConcatenada!$B:$B, 0)), ISNUMBER(SEARCH($A59,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ISNUMBER(SEARCH($A59, INDEX(AsistenciaJetAdminConcatenada!$D:$D, MATCH(1, (AsistenciaJetAdminConcatenada!$A:$A=DU$2)*(AsistenciaJetAdminConcatenada!$B:$B=DU$1), 0)), 1))),  0.5, 0))</f>
        <v>0</v>
      </c>
      <c r="DV59" s="47">
        <f t="array" ref="DV59">IF(AND(ISNUMBER(MATCH(DV$2, AsistenciaJetAdminConcatenada!$A:$A, 0)), ISNUMBER(MATCH(DV$1, AsistenciaJetAdminConcatenada!$B:$B, 0)), ISNUMBER(SEARCH($A59,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ISNUMBER(SEARCH($A59, INDEX(AsistenciaJetAdminConcatenada!$D:$D, MATCH(1, (AsistenciaJetAdminConcatenada!$A:$A=DV$2)*(AsistenciaJetAdminConcatenada!$B:$B=DV$1), 0)), 1))),  0.5, 0))</f>
        <v>0</v>
      </c>
      <c r="DW59" s="47">
        <f t="array" ref="DW59">IF(AND(ISNUMBER(MATCH(DW$2, AsistenciaJetAdminConcatenada!$A:$A, 0)), ISNUMBER(MATCH(DW$1, AsistenciaJetAdminConcatenada!$B:$B, 0)), ISNUMBER(SEARCH($A59,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ISNUMBER(SEARCH($A59, INDEX(AsistenciaJetAdminConcatenada!$D:$D, MATCH(1, (AsistenciaJetAdminConcatenada!$A:$A=DW$2)*(AsistenciaJetAdminConcatenada!$B:$B=DW$1), 0)), 1))),  0.5, 0))</f>
        <v>0</v>
      </c>
      <c r="DX59" s="47">
        <f t="array" ref="DX59">IF(AND(ISNUMBER(MATCH(DX$2, AsistenciaJetAdminConcatenada!$A:$A, 0)), ISNUMBER(MATCH(DX$1, AsistenciaJetAdminConcatenada!$B:$B, 0)), ISNUMBER(SEARCH($A59,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ISNUMBER(SEARCH($A59, INDEX(AsistenciaJetAdminConcatenada!$D:$D, MATCH(1, (AsistenciaJetAdminConcatenada!$A:$A=DX$2)*(AsistenciaJetAdminConcatenada!$B:$B=DX$1), 0)), 1))),  0.5, 0))</f>
        <v>0</v>
      </c>
      <c r="DY59" s="47">
        <f t="array" ref="DY59">IF(AND(ISNUMBER(MATCH(DY$2, AsistenciaJetAdminConcatenada!$A:$A, 0)), ISNUMBER(MATCH(DY$1, AsistenciaJetAdminConcatenada!$B:$B, 0)), ISNUMBER(SEARCH($A59,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ISNUMBER(SEARCH($A59, INDEX(AsistenciaJetAdminConcatenada!$D:$D, MATCH(1, (AsistenciaJetAdminConcatenada!$A:$A=DY$2)*(AsistenciaJetAdminConcatenada!$B:$B=DY$1), 0)), 1))),  0.5, 0))</f>
        <v>0</v>
      </c>
      <c r="DZ59" s="47">
        <f t="array" ref="DZ59">IF(AND(ISNUMBER(MATCH(DZ$2, AsistenciaJetAdminConcatenada!$A:$A, 0)), ISNUMBER(MATCH(DZ$1, AsistenciaJetAdminConcatenada!$B:$B, 0)), ISNUMBER(SEARCH($A59,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ISNUMBER(SEARCH($A59, INDEX(AsistenciaJetAdminConcatenada!$D:$D, MATCH(1, (AsistenciaJetAdminConcatenada!$A:$A=DZ$2)*(AsistenciaJetAdminConcatenada!$B:$B=DZ$1), 0)), 1))),  0.5, 0))</f>
        <v>0</v>
      </c>
      <c r="EA59" s="47">
        <f t="array" ref="EA59">IF(AND(ISNUMBER(MATCH(EA$2, AsistenciaJetAdminConcatenada!$A:$A, 0)), ISNUMBER(MATCH(EA$1, AsistenciaJetAdminConcatenada!$B:$B, 0)), ISNUMBER(SEARCH($A59,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ISNUMBER(SEARCH($A59, INDEX(AsistenciaJetAdminConcatenada!$D:$D, MATCH(1, (AsistenciaJetAdminConcatenada!$A:$A=EA$2)*(AsistenciaJetAdminConcatenada!$B:$B=EA$1), 0)), 1))),  0.5, 0))</f>
        <v>0</v>
      </c>
      <c r="EB59" s="47">
        <f t="array" ref="EB59">IF(AND(ISNUMBER(MATCH(EB$2, AsistenciaJetAdminConcatenada!$A:$A, 0)), ISNUMBER(MATCH(EB$1, AsistenciaJetAdminConcatenada!$B:$B, 0)), ISNUMBER(SEARCH($A59,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ISNUMBER(SEARCH($A59, INDEX(AsistenciaJetAdminConcatenada!$D:$D, MATCH(1, (AsistenciaJetAdminConcatenada!$A:$A=EB$2)*(AsistenciaJetAdminConcatenada!$B:$B=EB$1), 0)), 1))),  0.5, 0))</f>
        <v>0</v>
      </c>
      <c r="EC59" s="47">
        <f t="array" ref="EC59">IF(AND(ISNUMBER(MATCH(EC$2, AsistenciaJetAdminConcatenada!$A:$A, 0)), ISNUMBER(MATCH(EC$1, AsistenciaJetAdminConcatenada!$B:$B, 0)), ISNUMBER(SEARCH($A59,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ISNUMBER(SEARCH($A59, INDEX(AsistenciaJetAdminConcatenada!$D:$D, MATCH(1, (AsistenciaJetAdminConcatenada!$A:$A=EC$2)*(AsistenciaJetAdminConcatenada!$B:$B=EC$1), 0)), 1))),  0.5, 0))</f>
        <v>0</v>
      </c>
      <c r="ED59" s="47">
        <f t="array" ref="ED59">IF(AND(ISNUMBER(MATCH(ED$2, AsistenciaJetAdminConcatenada!$A:$A, 0)), ISNUMBER(MATCH(ED$1, AsistenciaJetAdminConcatenada!$B:$B, 0)), ISNUMBER(SEARCH($A59,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ISNUMBER(SEARCH($A59, INDEX(AsistenciaJetAdminConcatenada!$D:$D, MATCH(1, (AsistenciaJetAdminConcatenada!$A:$A=ED$2)*(AsistenciaJetAdminConcatenada!$B:$B=ED$1), 0)), 1))),  0.5, 0))</f>
        <v>0</v>
      </c>
      <c r="EE59" s="47">
        <f t="array" ref="EE59">IF(AND(ISNUMBER(MATCH(EE$2, AsistenciaJetAdminConcatenada!$A:$A, 0)), ISNUMBER(MATCH(EE$1, AsistenciaJetAdminConcatenada!$B:$B, 0)), ISNUMBER(SEARCH($A59,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ISNUMBER(SEARCH($A59, INDEX(AsistenciaJetAdminConcatenada!$D:$D, MATCH(1, (AsistenciaJetAdminConcatenada!$A:$A=EE$2)*(AsistenciaJetAdminConcatenada!$B:$B=EE$1), 0)), 1))),  0.5, 0))</f>
        <v>0</v>
      </c>
      <c r="EF59" s="47">
        <f t="array" ref="EF59">IF(AND(ISNUMBER(MATCH(EF$2, AsistenciaJetAdminConcatenada!$A:$A, 0)), ISNUMBER(MATCH(EF$1, AsistenciaJetAdminConcatenada!$B:$B, 0)), ISNUMBER(SEARCH($A59,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ISNUMBER(SEARCH($A59, INDEX(AsistenciaJetAdminConcatenada!$D:$D, MATCH(1, (AsistenciaJetAdminConcatenada!$A:$A=EF$2)*(AsistenciaJetAdminConcatenada!$B:$B=EF$1), 0)), 1))),  0.5, 0))</f>
        <v>0</v>
      </c>
      <c r="EG59" s="47">
        <f t="array" ref="EG59">IF(AND(ISNUMBER(MATCH(EG$2, AsistenciaJetAdminConcatenada!$A:$A, 0)), ISNUMBER(MATCH(EG$1, AsistenciaJetAdminConcatenada!$B:$B, 0)), ISNUMBER(SEARCH($A59,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ISNUMBER(SEARCH($A59, INDEX(AsistenciaJetAdminConcatenada!$D:$D, MATCH(1, (AsistenciaJetAdminConcatenada!$A:$A=EG$2)*(AsistenciaJetAdminConcatenada!$B:$B=EG$1), 0)), 1))),  0.5, 0))</f>
        <v>0</v>
      </c>
      <c r="EH59" s="47">
        <f t="array" ref="EH59">IF(AND(ISNUMBER(MATCH(EH$2, AsistenciaJetAdminConcatenada!$A:$A, 0)), ISNUMBER(MATCH(EH$1, AsistenciaJetAdminConcatenada!$B:$B, 0)), ISNUMBER(SEARCH($A59,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ISNUMBER(SEARCH($A59, INDEX(AsistenciaJetAdminConcatenada!$D:$D, MATCH(1, (AsistenciaJetAdminConcatenada!$A:$A=EH$2)*(AsistenciaJetAdminConcatenada!$B:$B=EH$1), 0)), 1))),  0.5, 0))</f>
        <v>0</v>
      </c>
      <c r="EI59" s="47">
        <f t="array" ref="EI59">IF(AND(ISNUMBER(MATCH(EI$2, AsistenciaJetAdminConcatenada!$A:$A, 0)), ISNUMBER(MATCH(EI$1, AsistenciaJetAdminConcatenada!$B:$B, 0)), ISNUMBER(SEARCH($A59,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ISNUMBER(SEARCH($A59, INDEX(AsistenciaJetAdminConcatenada!$D:$D, MATCH(1, (AsistenciaJetAdminConcatenada!$A:$A=EI$2)*(AsistenciaJetAdminConcatenada!$B:$B=EI$1), 0)), 1))),  0.5, 0))</f>
        <v>0</v>
      </c>
      <c r="EJ59" s="47">
        <f t="array" ref="EJ59">IF(AND(ISNUMBER(MATCH(EJ$2, AsistenciaJetAdminConcatenada!$A:$A, 0)), ISNUMBER(MATCH(EJ$1, AsistenciaJetAdminConcatenada!$B:$B, 0)), ISNUMBER(SEARCH($A59,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ISNUMBER(SEARCH($A59, INDEX(AsistenciaJetAdminConcatenada!$D:$D, MATCH(1, (AsistenciaJetAdminConcatenada!$A:$A=EJ$2)*(AsistenciaJetAdminConcatenada!$B:$B=EJ$1), 0)), 1))),  0.5, 0))</f>
        <v>0</v>
      </c>
      <c r="EK59" s="47">
        <f t="array" ref="EK59">IF(AND(ISNUMBER(MATCH(EK$2, AsistenciaJetAdminConcatenada!$A:$A, 0)), ISNUMBER(MATCH(EK$1, AsistenciaJetAdminConcatenada!$B:$B, 0)), ISNUMBER(SEARCH($A59,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ISNUMBER(SEARCH($A59, INDEX(AsistenciaJetAdminConcatenada!$D:$D, MATCH(1, (AsistenciaJetAdminConcatenada!$A:$A=EK$2)*(AsistenciaJetAdminConcatenada!$B:$B=EK$1), 0)), 1))),  0.5, 0))</f>
        <v>0</v>
      </c>
      <c r="EL59" s="47">
        <f t="array" ref="EL59">IF(AND(ISNUMBER(MATCH(EL$2, AsistenciaJetAdminConcatenada!$A:$A, 0)), ISNUMBER(MATCH(EL$1, AsistenciaJetAdminConcatenada!$B:$B, 0)), ISNUMBER(SEARCH($A59,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ISNUMBER(SEARCH($A59, INDEX(AsistenciaJetAdminConcatenada!$D:$D, MATCH(1, (AsistenciaJetAdminConcatenada!$A:$A=EL$2)*(AsistenciaJetAdminConcatenada!$B:$B=EL$1), 0)), 1))),  0.5, 0))</f>
        <v>0</v>
      </c>
      <c r="EM59" s="47">
        <f t="array" ref="EM59">IF(AND(ISNUMBER(MATCH(EM$2, AsistenciaJetAdminConcatenada!$A:$A, 0)), ISNUMBER(MATCH(EM$1, AsistenciaJetAdminConcatenada!$B:$B, 0)), ISNUMBER(SEARCH($A59,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ISNUMBER(SEARCH($A59, INDEX(AsistenciaJetAdminConcatenada!$D:$D, MATCH(1, (AsistenciaJetAdminConcatenada!$A:$A=EM$2)*(AsistenciaJetAdminConcatenada!$B:$B=EM$1), 0)), 1))),  0.5, 0))</f>
        <v>0</v>
      </c>
      <c r="EN59" s="47">
        <f t="array" ref="EN59">IF(AND(ISNUMBER(MATCH(EN$2, AsistenciaJetAdminConcatenada!$A:$A, 0)), ISNUMBER(MATCH(EN$1, AsistenciaJetAdminConcatenada!$B:$B, 0)), ISNUMBER(SEARCH($A59,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ISNUMBER(SEARCH($A59, INDEX(AsistenciaJetAdminConcatenada!$D:$D, MATCH(1, (AsistenciaJetAdminConcatenada!$A:$A=EN$2)*(AsistenciaJetAdminConcatenada!$B:$B=EN$1), 0)), 1))),  0.5, 0))</f>
        <v>0</v>
      </c>
      <c r="EO59" s="47">
        <f t="array" ref="EO59">IF(AND(ISNUMBER(MATCH(EO$2, AsistenciaJetAdminConcatenada!$A:$A, 0)), ISNUMBER(MATCH(EO$1, AsistenciaJetAdminConcatenada!$B:$B, 0)), ISNUMBER(SEARCH($A59,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ISNUMBER(SEARCH($A59, INDEX(AsistenciaJetAdminConcatenada!$D:$D, MATCH(1, (AsistenciaJetAdminConcatenada!$A:$A=EO$2)*(AsistenciaJetAdminConcatenada!$B:$B=EO$1), 0)), 1))),  0.5, 0))</f>
        <v>0</v>
      </c>
      <c r="EP59" s="47">
        <f t="array" ref="EP59">IF(AND(ISNUMBER(MATCH(EP$2, AsistenciaJetAdminConcatenada!$A:$A, 0)), ISNUMBER(MATCH(EP$1, AsistenciaJetAdminConcatenada!$B:$B, 0)), ISNUMBER(SEARCH($A59,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ISNUMBER(SEARCH($A59, INDEX(AsistenciaJetAdminConcatenada!$D:$D, MATCH(1, (AsistenciaJetAdminConcatenada!$A:$A=EP$2)*(AsistenciaJetAdminConcatenada!$B:$B=EP$1), 0)), 1))),  0.5, 0))</f>
        <v>0</v>
      </c>
      <c r="EQ59" s="47">
        <f t="array" ref="EQ59">IF(AND(ISNUMBER(MATCH(EQ$2, AsistenciaJetAdminConcatenada!$A:$A, 0)), ISNUMBER(MATCH(EQ$1, AsistenciaJetAdminConcatenada!$B:$B, 0)), ISNUMBER(SEARCH($A59,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ISNUMBER(SEARCH($A59, INDEX(AsistenciaJetAdminConcatenada!$D:$D, MATCH(1, (AsistenciaJetAdminConcatenada!$A:$A=EQ$2)*(AsistenciaJetAdminConcatenada!$B:$B=EQ$1), 0)), 1))),  0.5, 0))</f>
        <v>0</v>
      </c>
      <c r="ER59" s="47">
        <f t="array" ref="ER59">IF(AND(ISNUMBER(MATCH(ER$2, AsistenciaJetAdminConcatenada!$A:$A, 0)), ISNUMBER(MATCH(ER$1, AsistenciaJetAdminConcatenada!$B:$B, 0)), ISNUMBER(SEARCH($A59,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ISNUMBER(SEARCH($A59, INDEX(AsistenciaJetAdminConcatenada!$D:$D, MATCH(1, (AsistenciaJetAdminConcatenada!$A:$A=ER$2)*(AsistenciaJetAdminConcatenada!$B:$B=ER$1), 0)), 1))),  0.5, 0))</f>
        <v>0</v>
      </c>
      <c r="ES59" s="47">
        <f t="array" ref="ES59">IF(AND(ISNUMBER(MATCH(ES$2, AsistenciaJetAdminConcatenada!$A:$A, 0)), ISNUMBER(MATCH(ES$1, AsistenciaJetAdminConcatenada!$B:$B, 0)), ISNUMBER(SEARCH($A59,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ISNUMBER(SEARCH($A59, INDEX(AsistenciaJetAdminConcatenada!$D:$D, MATCH(1, (AsistenciaJetAdminConcatenada!$A:$A=ES$2)*(AsistenciaJetAdminConcatenada!$B:$B=ES$1), 0)), 1))),  0.5, 0))</f>
        <v>0</v>
      </c>
      <c r="ET59" s="47">
        <f t="array" ref="ET59">IF(AND(ISNUMBER(MATCH(ET$2, AsistenciaJetAdminConcatenada!$A:$A, 0)), ISNUMBER(MATCH(ET$1, AsistenciaJetAdminConcatenada!$B:$B, 0)), ISNUMBER(SEARCH($A59,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ISNUMBER(SEARCH($A59, INDEX(AsistenciaJetAdminConcatenada!$D:$D, MATCH(1, (AsistenciaJetAdminConcatenada!$A:$A=ET$2)*(AsistenciaJetAdminConcatenada!$B:$B=ET$1), 0)), 1))),  0.5, 0))</f>
        <v>0</v>
      </c>
      <c r="EU59" s="47">
        <f t="array" ref="EU59">IF(AND(ISNUMBER(MATCH(EU$2, AsistenciaJetAdminConcatenada!$A:$A, 0)), ISNUMBER(MATCH(EU$1, AsistenciaJetAdminConcatenada!$B:$B, 0)), ISNUMBER(SEARCH($A59,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ISNUMBER(SEARCH($A59, INDEX(AsistenciaJetAdminConcatenada!$D:$D, MATCH(1, (AsistenciaJetAdminConcatenada!$A:$A=EU$2)*(AsistenciaJetAdminConcatenada!$B:$B=EU$1), 0)), 1))),  0.5, 0))</f>
        <v>0</v>
      </c>
      <c r="EV59" s="47">
        <f t="array" ref="EV59">IF(AND(ISNUMBER(MATCH(EV$2, AsistenciaJetAdminConcatenada!$A:$A, 0)), ISNUMBER(MATCH(EV$1, AsistenciaJetAdminConcatenada!$B:$B, 0)), ISNUMBER(SEARCH($A59,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ISNUMBER(SEARCH($A59, INDEX(AsistenciaJetAdminConcatenada!$D:$D, MATCH(1, (AsistenciaJetAdminConcatenada!$A:$A=EV$2)*(AsistenciaJetAdminConcatenada!$B:$B=EV$1), 0)), 1))),  0.5, 0))</f>
        <v>0</v>
      </c>
      <c r="EW59" s="47">
        <f t="array" ref="EW59">IF(AND(ISNUMBER(MATCH(EW$2, AsistenciaJetAdminConcatenada!$A:$A, 0)), ISNUMBER(MATCH(EW$1, AsistenciaJetAdminConcatenada!$B:$B, 0)), ISNUMBER(SEARCH($A59,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ISNUMBER(SEARCH($A59, INDEX(AsistenciaJetAdminConcatenada!$D:$D, MATCH(1, (AsistenciaJetAdminConcatenada!$A:$A=EW$2)*(AsistenciaJetAdminConcatenada!$B:$B=EW$1), 0)), 1))),  0.5, 0))</f>
        <v>0</v>
      </c>
      <c r="EX59" s="47">
        <f t="array" ref="EX59">IF(AND(ISNUMBER(MATCH(EX$2, AsistenciaJetAdminConcatenada!$A:$A, 0)), ISNUMBER(MATCH(EX$1, AsistenciaJetAdminConcatenada!$B:$B, 0)), ISNUMBER(SEARCH($A59,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ISNUMBER(SEARCH($A59, INDEX(AsistenciaJetAdminConcatenada!$D:$D, MATCH(1, (AsistenciaJetAdminConcatenada!$A:$A=EX$2)*(AsistenciaJetAdminConcatenada!$B:$B=EX$1), 0)), 1))),  0.5, 0))</f>
        <v>0</v>
      </c>
      <c r="EY59" s="47">
        <f t="array" ref="EY59">IF(AND(ISNUMBER(MATCH(EY$2, AsistenciaJetAdminConcatenada!$A:$A, 0)), ISNUMBER(MATCH(EY$1, AsistenciaJetAdminConcatenada!$B:$B, 0)), ISNUMBER(SEARCH($A59,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ISNUMBER(SEARCH($A59, INDEX(AsistenciaJetAdminConcatenada!$D:$D, MATCH(1, (AsistenciaJetAdminConcatenada!$A:$A=EY$2)*(AsistenciaJetAdminConcatenada!$B:$B=EY$1), 0)), 1))),  0.5, 0))</f>
        <v>0</v>
      </c>
      <c r="EZ59" s="47">
        <f t="array" ref="EZ59">IF(AND(ISNUMBER(MATCH(EZ$2, AsistenciaJetAdminConcatenada!$A:$A, 0)), ISNUMBER(MATCH(EZ$1, AsistenciaJetAdminConcatenada!$B:$B, 0)), ISNUMBER(SEARCH($A59,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ISNUMBER(SEARCH($A59, INDEX(AsistenciaJetAdminConcatenada!$D:$D, MATCH(1, (AsistenciaJetAdminConcatenada!$A:$A=EZ$2)*(AsistenciaJetAdminConcatenada!$B:$B=EZ$1), 0)), 1))),  0.5, 0))</f>
        <v>0</v>
      </c>
      <c r="FA59" s="47">
        <f t="array" ref="FA59">IF(AND(ISNUMBER(MATCH(FA$2, AsistenciaJetAdminConcatenada!$A:$A, 0)), ISNUMBER(MATCH(FA$1, AsistenciaJetAdminConcatenada!$B:$B, 0)), ISNUMBER(SEARCH($A59,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ISNUMBER(SEARCH($A59, INDEX(AsistenciaJetAdminConcatenada!$D:$D, MATCH(1, (AsistenciaJetAdminConcatenada!$A:$A=FA$2)*(AsistenciaJetAdminConcatenada!$B:$B=FA$1), 0)), 1))),  0.5, 0))</f>
        <v>0</v>
      </c>
      <c r="FB59" s="47">
        <f t="array" ref="FB59">IF(AND(ISNUMBER(MATCH(FB$2, AsistenciaJetAdminConcatenada!$A:$A, 0)), ISNUMBER(MATCH(FB$1, AsistenciaJetAdminConcatenada!$B:$B, 0)), ISNUMBER(SEARCH($A59,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ISNUMBER(SEARCH($A59, INDEX(AsistenciaJetAdminConcatenada!$D:$D, MATCH(1, (AsistenciaJetAdminConcatenada!$A:$A=FB$2)*(AsistenciaJetAdminConcatenada!$B:$B=FB$1), 0)), 1))),  0.5, 0))</f>
        <v>0</v>
      </c>
      <c r="FC59" s="47">
        <f t="array" ref="FC59">IF(AND(ISNUMBER(MATCH(FC$2, AsistenciaJetAdminConcatenada!$A:$A, 0)), ISNUMBER(MATCH(FC$1, AsistenciaJetAdminConcatenada!$B:$B, 0)), ISNUMBER(SEARCH($A59,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ISNUMBER(SEARCH($A59, INDEX(AsistenciaJetAdminConcatenada!$D:$D, MATCH(1, (AsistenciaJetAdminConcatenada!$A:$A=FC$2)*(AsistenciaJetAdminConcatenada!$B:$B=FC$1), 0)), 1))),  0.5, 0))</f>
        <v>0</v>
      </c>
      <c r="FD59" s="47">
        <f t="array" ref="FD59">IF(AND(ISNUMBER(MATCH(FD$2, AsistenciaJetAdminConcatenada!$A:$A, 0)), ISNUMBER(MATCH(FD$1, AsistenciaJetAdminConcatenada!$B:$B, 0)), ISNUMBER(SEARCH($A59,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ISNUMBER(SEARCH($A59, INDEX(AsistenciaJetAdminConcatenada!$D:$D, MATCH(1, (AsistenciaJetAdminConcatenada!$A:$A=FD$2)*(AsistenciaJetAdminConcatenada!$B:$B=FD$1), 0)), 1))),  0.5, 0))</f>
        <v>0</v>
      </c>
      <c r="FE59" s="47">
        <f t="array" ref="FE59">IF(AND(ISNUMBER(MATCH(FE$2, AsistenciaJetAdminConcatenada!$A:$A, 0)), ISNUMBER(MATCH(FE$1, AsistenciaJetAdminConcatenada!$B:$B, 0)), ISNUMBER(SEARCH($A59,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ISNUMBER(SEARCH($A59, INDEX(AsistenciaJetAdminConcatenada!$D:$D, MATCH(1, (AsistenciaJetAdminConcatenada!$A:$A=FE$2)*(AsistenciaJetAdminConcatenada!$B:$B=FE$1), 0)), 1))),  0.5, 0))</f>
        <v>0</v>
      </c>
      <c r="FF59" s="47">
        <f t="array" ref="FF59">IF(AND(ISNUMBER(MATCH(FF$2, AsistenciaJetAdminConcatenada!$A:$A, 0)), ISNUMBER(MATCH(FF$1, AsistenciaJetAdminConcatenada!$B:$B, 0)), ISNUMBER(SEARCH($A59,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ISNUMBER(SEARCH($A59, INDEX(AsistenciaJetAdminConcatenada!$D:$D, MATCH(1, (AsistenciaJetAdminConcatenada!$A:$A=FF$2)*(AsistenciaJetAdminConcatenada!$B:$B=FF$1), 0)), 1))),  0.5, 0))</f>
        <v>0</v>
      </c>
      <c r="FG59" s="47">
        <f t="array" ref="FG59">IF(AND(ISNUMBER(MATCH(FG$2, AsistenciaJetAdminConcatenada!$A:$A, 0)), ISNUMBER(MATCH(FG$1, AsistenciaJetAdminConcatenada!$B:$B, 0)), ISNUMBER(SEARCH($A59,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ISNUMBER(SEARCH($A59, INDEX(AsistenciaJetAdminConcatenada!$D:$D, MATCH(1, (AsistenciaJetAdminConcatenada!$A:$A=FG$2)*(AsistenciaJetAdminConcatenada!$B:$B=FG$1), 0)), 1))),  0.5, 0))</f>
        <v>0</v>
      </c>
      <c r="FH59" s="47">
        <f t="array" ref="FH59">IF(AND(ISNUMBER(MATCH(FH$2, AsistenciaJetAdminConcatenada!$A:$A, 0)), ISNUMBER(MATCH(FH$1, AsistenciaJetAdminConcatenada!$B:$B, 0)), ISNUMBER(SEARCH($A59,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ISNUMBER(SEARCH($A59, INDEX(AsistenciaJetAdminConcatenada!$D:$D, MATCH(1, (AsistenciaJetAdminConcatenada!$A:$A=FH$2)*(AsistenciaJetAdminConcatenada!$B:$B=FH$1), 0)), 1))),  0.5, 0))</f>
        <v>0</v>
      </c>
      <c r="FI59" s="47">
        <f t="array" ref="FI59">IF(AND(ISNUMBER(MATCH(FI$2, AsistenciaJetAdminConcatenada!$A:$A, 0)), ISNUMBER(MATCH(FI$1, AsistenciaJetAdminConcatenada!$B:$B, 0)), ISNUMBER(SEARCH($A59,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ISNUMBER(SEARCH($A59, INDEX(AsistenciaJetAdminConcatenada!$D:$D, MATCH(1, (AsistenciaJetAdminConcatenada!$A:$A=FI$2)*(AsistenciaJetAdminConcatenada!$B:$B=FI$1), 0)), 1))),  0.5, 0))</f>
        <v>0</v>
      </c>
      <c r="FJ59" s="47">
        <f t="array" ref="FJ59">IF(AND(ISNUMBER(MATCH(FJ$2, AsistenciaJetAdminConcatenada!$A:$A, 0)), ISNUMBER(MATCH(FJ$1, AsistenciaJetAdminConcatenada!$B:$B, 0)), ISNUMBER(SEARCH($A59,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ISNUMBER(SEARCH($A59, INDEX(AsistenciaJetAdminConcatenada!$D:$D, MATCH(1, (AsistenciaJetAdminConcatenada!$A:$A=FJ$2)*(AsistenciaJetAdminConcatenada!$B:$B=FJ$1), 0)), 1))),  0.5, 0))</f>
        <v>0</v>
      </c>
      <c r="FK59" s="47">
        <f t="array" ref="FK59">IF(AND(ISNUMBER(MATCH(FK$2, AsistenciaJetAdminConcatenada!$A:$A, 0)), ISNUMBER(MATCH(FK$1, AsistenciaJetAdminConcatenada!$B:$B, 0)), ISNUMBER(SEARCH($A59,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ISNUMBER(SEARCH($A59, INDEX(AsistenciaJetAdminConcatenada!$D:$D, MATCH(1, (AsistenciaJetAdminConcatenada!$A:$A=FK$2)*(AsistenciaJetAdminConcatenada!$B:$B=FK$1), 0)), 1))),  0.5, 0))</f>
        <v>0</v>
      </c>
      <c r="FL59" s="47">
        <f t="array" ref="FL59">IF(AND(ISNUMBER(MATCH(FL$2, AsistenciaJetAdminConcatenada!$A:$A, 0)), ISNUMBER(MATCH(FL$1, AsistenciaJetAdminConcatenada!$B:$B, 0)), ISNUMBER(SEARCH($A59,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ISNUMBER(SEARCH($A59, INDEX(AsistenciaJetAdminConcatenada!$D:$D, MATCH(1, (AsistenciaJetAdminConcatenada!$A:$A=FL$2)*(AsistenciaJetAdminConcatenada!$B:$B=FL$1), 0)), 1))),  0.5, 0))</f>
        <v>0</v>
      </c>
      <c r="FM59" s="47">
        <f t="array" ref="FM59">IF(AND(ISNUMBER(MATCH(FM$2, AsistenciaJetAdminConcatenada!$A:$A, 0)), ISNUMBER(MATCH(FM$1, AsistenciaJetAdminConcatenada!$B:$B, 0)), ISNUMBER(SEARCH($A59,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ISNUMBER(SEARCH($A59, INDEX(AsistenciaJetAdminConcatenada!$D:$D, MATCH(1, (AsistenciaJetAdminConcatenada!$A:$A=FM$2)*(AsistenciaJetAdminConcatenada!$B:$B=FM$1), 0)), 1))),  0.5, 0))</f>
        <v>0</v>
      </c>
      <c r="FN59" s="47">
        <f t="array" ref="FN59">IF(AND(ISNUMBER(MATCH(FN$2, AsistenciaJetAdminConcatenada!$A:$A, 0)), ISNUMBER(MATCH(FN$1, AsistenciaJetAdminConcatenada!$B:$B, 0)), ISNUMBER(SEARCH($A59,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ISNUMBER(SEARCH($A59, INDEX(AsistenciaJetAdminConcatenada!$D:$D, MATCH(1, (AsistenciaJetAdminConcatenada!$A:$A=FN$2)*(AsistenciaJetAdminConcatenada!$B:$B=FN$1), 0)), 1))),  0.5, 0))</f>
        <v>0</v>
      </c>
      <c r="FO59" s="47">
        <f t="array" ref="FO59">IF(AND(ISNUMBER(MATCH(FO$2, AsistenciaJetAdminConcatenada!$A:$A, 0)), ISNUMBER(MATCH(FO$1, AsistenciaJetAdminConcatenada!$B:$B, 0)), ISNUMBER(SEARCH($A59,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ISNUMBER(SEARCH($A59, INDEX(AsistenciaJetAdminConcatenada!$D:$D, MATCH(1, (AsistenciaJetAdminConcatenada!$A:$A=FO$2)*(AsistenciaJetAdminConcatenada!$B:$B=FO$1), 0)), 1))),  0.5, 0))</f>
        <v>0</v>
      </c>
      <c r="FP59" s="47">
        <f t="array" ref="FP59">IF(AND(ISNUMBER(MATCH(FP$2, AsistenciaJetAdminConcatenada!$A:$A, 0)), ISNUMBER(MATCH(FP$1, AsistenciaJetAdminConcatenada!$B:$B, 0)), ISNUMBER(SEARCH($A59,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ISNUMBER(SEARCH($A59, INDEX(AsistenciaJetAdminConcatenada!$D:$D, MATCH(1, (AsistenciaJetAdminConcatenada!$A:$A=FP$2)*(AsistenciaJetAdminConcatenada!$B:$B=FP$1), 0)), 1))),  0.5, 0))</f>
        <v>0</v>
      </c>
      <c r="FQ59" s="47">
        <f t="array" ref="FQ59">IF(AND(ISNUMBER(MATCH(FQ$2, AsistenciaJetAdminConcatenada!$A:$A, 0)), ISNUMBER(MATCH(FQ$1, AsistenciaJetAdminConcatenada!$B:$B, 0)), ISNUMBER(SEARCH($A59,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ISNUMBER(SEARCH($A59, INDEX(AsistenciaJetAdminConcatenada!$D:$D, MATCH(1, (AsistenciaJetAdminConcatenada!$A:$A=FQ$2)*(AsistenciaJetAdminConcatenada!$B:$B=FQ$1), 0)), 1))),  0.5, 0))</f>
        <v>0</v>
      </c>
      <c r="FR59" s="47">
        <f t="array" ref="FR59">IF(AND(ISNUMBER(MATCH(FR$2, AsistenciaJetAdminConcatenada!$A:$A, 0)), ISNUMBER(MATCH(FR$1, AsistenciaJetAdminConcatenada!$B:$B, 0)), ISNUMBER(SEARCH($A59,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ISNUMBER(SEARCH($A59, INDEX(AsistenciaJetAdminConcatenada!$D:$D, MATCH(1, (AsistenciaJetAdminConcatenada!$A:$A=FR$2)*(AsistenciaJetAdminConcatenada!$B:$B=FR$1), 0)), 1))),  0.5, 0))</f>
        <v>0</v>
      </c>
      <c r="FS59" s="47">
        <f t="array" ref="FS59">IF(AND(ISNUMBER(MATCH(FS$2, AsistenciaJetAdminConcatenada!$A:$A, 0)), ISNUMBER(MATCH(FS$1, AsistenciaJetAdminConcatenada!$B:$B, 0)), ISNUMBER(SEARCH($A59,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ISNUMBER(SEARCH($A59, INDEX(AsistenciaJetAdminConcatenada!$D:$D, MATCH(1, (AsistenciaJetAdminConcatenada!$A:$A=FS$2)*(AsistenciaJetAdminConcatenada!$B:$B=FS$1), 0)), 1))),  0.5, 0))</f>
        <v>0</v>
      </c>
      <c r="FT59" s="47">
        <f t="array" ref="FT59">IF(AND(ISNUMBER(MATCH(FT$2, AsistenciaJetAdminConcatenada!$A:$A, 0)), ISNUMBER(MATCH(FT$1, AsistenciaJetAdminConcatenada!$B:$B, 0)), ISNUMBER(SEARCH($A59,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ISNUMBER(SEARCH($A59, INDEX(AsistenciaJetAdminConcatenada!$D:$D, MATCH(1, (AsistenciaJetAdminConcatenada!$A:$A=FT$2)*(AsistenciaJetAdminConcatenada!$B:$B=FT$1), 0)), 1))),  0.5, 0))</f>
        <v>0</v>
      </c>
      <c r="FU59" s="47">
        <f t="array" ref="FU59">IF(AND(ISNUMBER(MATCH(FU$2, AsistenciaJetAdminConcatenada!$A:$A, 0)), ISNUMBER(MATCH(FU$1, AsistenciaJetAdminConcatenada!$B:$B, 0)), ISNUMBER(SEARCH($A59,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ISNUMBER(SEARCH($A59, INDEX(AsistenciaJetAdminConcatenada!$D:$D, MATCH(1, (AsistenciaJetAdminConcatenada!$A:$A=FU$2)*(AsistenciaJetAdminConcatenada!$B:$B=FU$1), 0)), 1))),  0.5, 0))</f>
        <v>0</v>
      </c>
      <c r="FV59" s="47">
        <f t="array" ref="FV59">IF(AND(ISNUMBER(MATCH(FV$2, AsistenciaJetAdminConcatenada!$A:$A, 0)), ISNUMBER(MATCH(FV$1, AsistenciaJetAdminConcatenada!$B:$B, 0)), ISNUMBER(SEARCH($A59,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ISNUMBER(SEARCH($A59, INDEX(AsistenciaJetAdminConcatenada!$D:$D, MATCH(1, (AsistenciaJetAdminConcatenada!$A:$A=FV$2)*(AsistenciaJetAdminConcatenada!$B:$B=FV$1), 0)), 1))),  0.5, 0))</f>
        <v>0</v>
      </c>
      <c r="FW59" s="47">
        <f t="array" ref="FW59">IF(AND(ISNUMBER(MATCH(FW$2, AsistenciaJetAdminConcatenada!$A:$A, 0)), ISNUMBER(MATCH(FW$1, AsistenciaJetAdminConcatenada!$B:$B, 0)), ISNUMBER(SEARCH($A59,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ISNUMBER(SEARCH($A59, INDEX(AsistenciaJetAdminConcatenada!$D:$D, MATCH(1, (AsistenciaJetAdminConcatenada!$A:$A=FW$2)*(AsistenciaJetAdminConcatenada!$B:$B=FW$1), 0)), 1))),  0.5, 0))</f>
        <v>0</v>
      </c>
      <c r="FX59" s="47">
        <f t="array" ref="FX59">IF(AND(ISNUMBER(MATCH(FX$2, AsistenciaJetAdminConcatenada!$A:$A, 0)), ISNUMBER(MATCH(FX$1, AsistenciaJetAdminConcatenada!$B:$B, 0)), ISNUMBER(SEARCH($A59,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ISNUMBER(SEARCH($A59, INDEX(AsistenciaJetAdminConcatenada!$D:$D, MATCH(1, (AsistenciaJetAdminConcatenada!$A:$A=FX$2)*(AsistenciaJetAdminConcatenada!$B:$B=FX$1), 0)), 1))),  0.5, 0))</f>
        <v>0</v>
      </c>
      <c r="FY59" s="47">
        <f t="array" ref="FY59">IF(AND(ISNUMBER(MATCH(FY$2, AsistenciaJetAdminConcatenada!$A:$A, 0)), ISNUMBER(MATCH(FY$1, AsistenciaJetAdminConcatenada!$B:$B, 0)), ISNUMBER(SEARCH($A59,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ISNUMBER(SEARCH($A59, INDEX(AsistenciaJetAdminConcatenada!$D:$D, MATCH(1, (AsistenciaJetAdminConcatenada!$A:$A=FY$2)*(AsistenciaJetAdminConcatenada!$B:$B=FY$1), 0)), 1))),  0.5, 0))</f>
        <v>0</v>
      </c>
      <c r="FZ59" s="47">
        <f t="array" ref="FZ59">IF(AND(ISNUMBER(MATCH(FZ$2, AsistenciaJetAdminConcatenada!$A:$A, 0)), ISNUMBER(MATCH(FZ$1, AsistenciaJetAdminConcatenada!$B:$B, 0)), ISNUMBER(SEARCH($A59,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ISNUMBER(SEARCH($A59, INDEX(AsistenciaJetAdminConcatenada!$D:$D, MATCH(1, (AsistenciaJetAdminConcatenada!$A:$A=FZ$2)*(AsistenciaJetAdminConcatenada!$B:$B=FZ$1), 0)), 1))),  0.5, 0))</f>
        <v>0</v>
      </c>
      <c r="GA59" s="47">
        <f t="array" ref="GA59">IF(AND(ISNUMBER(MATCH(GA$2, AsistenciaJetAdminConcatenada!$A:$A, 0)), ISNUMBER(MATCH(GA$1, AsistenciaJetAdminConcatenada!$B:$B, 0)), ISNUMBER(SEARCH($A59,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ISNUMBER(SEARCH($A59, INDEX(AsistenciaJetAdminConcatenada!$D:$D, MATCH(1, (AsistenciaJetAdminConcatenada!$A:$A=GA$2)*(AsistenciaJetAdminConcatenada!$B:$B=GA$1), 0)), 1))),  0.5, 0))</f>
        <v>0</v>
      </c>
      <c r="GB59" s="47">
        <f t="array" ref="GB59">IF(AND(ISNUMBER(MATCH(GB$2, AsistenciaJetAdminConcatenada!$A:$A, 0)), ISNUMBER(MATCH(GB$1, AsistenciaJetAdminConcatenada!$B:$B, 0)), ISNUMBER(SEARCH($A59,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ISNUMBER(SEARCH($A59, INDEX(AsistenciaJetAdminConcatenada!$D:$D, MATCH(1, (AsistenciaJetAdminConcatenada!$A:$A=GB$2)*(AsistenciaJetAdminConcatenada!$B:$B=GB$1), 0)), 1))),  0.5, 0))</f>
        <v>0</v>
      </c>
      <c r="GC59" s="47">
        <f t="array" ref="GC59">IF(AND(ISNUMBER(MATCH(GC$2, AsistenciaJetAdminConcatenada!$A:$A, 0)), ISNUMBER(MATCH(GC$1, AsistenciaJetAdminConcatenada!$B:$B, 0)), ISNUMBER(SEARCH($A59,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ISNUMBER(SEARCH($A59, INDEX(AsistenciaJetAdminConcatenada!$D:$D, MATCH(1, (AsistenciaJetAdminConcatenada!$A:$A=GC$2)*(AsistenciaJetAdminConcatenada!$B:$B=GC$1), 0)), 1))),  0.5, 0))</f>
        <v>0</v>
      </c>
      <c r="GD59" s="47">
        <f t="array" ref="GD59">IF(AND(ISNUMBER(MATCH(GD$2, AsistenciaJetAdminConcatenada!$A:$A, 0)), ISNUMBER(MATCH(GD$1, AsistenciaJetAdminConcatenada!$B:$B, 0)), ISNUMBER(SEARCH($A59,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ISNUMBER(SEARCH($A59, INDEX(AsistenciaJetAdminConcatenada!$D:$D, MATCH(1, (AsistenciaJetAdminConcatenada!$A:$A=GD$2)*(AsistenciaJetAdminConcatenada!$B:$B=GD$1), 0)), 1))),  0.5, 0))</f>
        <v>0</v>
      </c>
      <c r="GE59" s="47">
        <f t="array" ref="GE59">IF(AND(ISNUMBER(MATCH(GE$2, AsistenciaJetAdminConcatenada!$A:$A, 0)), ISNUMBER(MATCH(GE$1, AsistenciaJetAdminConcatenada!$B:$B, 0)), ISNUMBER(SEARCH($A59,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ISNUMBER(SEARCH($A59, INDEX(AsistenciaJetAdminConcatenada!$D:$D, MATCH(1, (AsistenciaJetAdminConcatenada!$A:$A=GE$2)*(AsistenciaJetAdminConcatenada!$B:$B=GE$1), 0)), 1))),  0.5, 0))</f>
        <v>0</v>
      </c>
      <c r="GF59" s="47">
        <f t="array" ref="GF59">IF(AND(ISNUMBER(MATCH(GF$2, AsistenciaJetAdminConcatenada!$A:$A, 0)), ISNUMBER(MATCH(GF$1, AsistenciaJetAdminConcatenada!$B:$B, 0)), ISNUMBER(SEARCH($A59,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ISNUMBER(SEARCH($A59, INDEX(AsistenciaJetAdminConcatenada!$D:$D, MATCH(1, (AsistenciaJetAdminConcatenada!$A:$A=GF$2)*(AsistenciaJetAdminConcatenada!$B:$B=GF$1), 0)), 1))),  0.5, 0))</f>
        <v>0</v>
      </c>
      <c r="GG59" s="47">
        <f t="array" ref="GG59">IF(AND(ISNUMBER(MATCH(GG$2, AsistenciaJetAdminConcatenada!$A:$A, 0)), ISNUMBER(MATCH(GG$1, AsistenciaJetAdminConcatenada!$B:$B, 0)), ISNUMBER(SEARCH($A59,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ISNUMBER(SEARCH($A59, INDEX(AsistenciaJetAdminConcatenada!$D:$D, MATCH(1, (AsistenciaJetAdminConcatenada!$A:$A=GG$2)*(AsistenciaJetAdminConcatenada!$B:$B=GG$1), 0)), 1))),  0.5, 0))</f>
        <v>0</v>
      </c>
      <c r="GH59" s="47">
        <f t="array" ref="GH59">IF(AND(ISNUMBER(MATCH(GH$2, AsistenciaJetAdminConcatenada!$A:$A, 0)), ISNUMBER(MATCH(GH$1, AsistenciaJetAdminConcatenada!$B:$B, 0)), ISNUMBER(SEARCH($A59,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ISNUMBER(SEARCH($A59, INDEX(AsistenciaJetAdminConcatenada!$D:$D, MATCH(1, (AsistenciaJetAdminConcatenada!$A:$A=GH$2)*(AsistenciaJetAdminConcatenada!$B:$B=GH$1), 0)), 1))),  0.5, 0))</f>
        <v>0</v>
      </c>
      <c r="GI59" s="47">
        <f t="array" ref="GI59">IF(AND(ISNUMBER(MATCH(GI$2, AsistenciaJetAdminConcatenada!$A:$A, 0)), ISNUMBER(MATCH(GI$1, AsistenciaJetAdminConcatenada!$B:$B, 0)), ISNUMBER(SEARCH($A59,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ISNUMBER(SEARCH($A59, INDEX(AsistenciaJetAdminConcatenada!$D:$D, MATCH(1, (AsistenciaJetAdminConcatenada!$A:$A=GI$2)*(AsistenciaJetAdminConcatenada!$B:$B=GI$1), 0)), 1))),  0.5, 0))</f>
        <v>0</v>
      </c>
      <c r="GJ59" s="47">
        <f t="array" ref="GJ59">IF(AND(ISNUMBER(MATCH(GJ$2, AsistenciaJetAdminConcatenada!$A:$A, 0)), ISNUMBER(MATCH(GJ$1, AsistenciaJetAdminConcatenada!$B:$B, 0)), ISNUMBER(SEARCH($A59,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ISNUMBER(SEARCH($A59, INDEX(AsistenciaJetAdminConcatenada!$D:$D, MATCH(1, (AsistenciaJetAdminConcatenada!$A:$A=GJ$2)*(AsistenciaJetAdminConcatenada!$B:$B=GJ$1), 0)), 1))),  0.5, 0))</f>
        <v>0</v>
      </c>
      <c r="GK59" s="47">
        <f t="array" ref="GK59">IF(AND(ISNUMBER(MATCH(GK$2, AsistenciaJetAdminConcatenada!$A:$A, 0)), ISNUMBER(MATCH(GK$1, AsistenciaJetAdminConcatenada!$B:$B, 0)), ISNUMBER(SEARCH($A59,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ISNUMBER(SEARCH($A59, INDEX(AsistenciaJetAdminConcatenada!$D:$D, MATCH(1, (AsistenciaJetAdminConcatenada!$A:$A=GK$2)*(AsistenciaJetAdminConcatenada!$B:$B=GK$1), 0)), 1))),  0.5, 0))</f>
        <v>0</v>
      </c>
      <c r="GL59" s="47">
        <f t="array" ref="GL59">IF(AND(ISNUMBER(MATCH(GL$2, AsistenciaJetAdminConcatenada!$A:$A, 0)), ISNUMBER(MATCH(GL$1, AsistenciaJetAdminConcatenada!$B:$B, 0)), ISNUMBER(SEARCH($A59,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ISNUMBER(SEARCH($A59, INDEX(AsistenciaJetAdminConcatenada!$D:$D, MATCH(1, (AsistenciaJetAdminConcatenada!$A:$A=GL$2)*(AsistenciaJetAdminConcatenada!$B:$B=GL$1), 0)), 1))),  0.5, 0))</f>
        <v>0</v>
      </c>
      <c r="GM59" s="47">
        <f t="array" ref="GM59">IF(AND(ISNUMBER(MATCH(GM$2, AsistenciaJetAdminConcatenada!$A:$A, 0)), ISNUMBER(MATCH(GM$1, AsistenciaJetAdminConcatenada!$B:$B, 0)), ISNUMBER(SEARCH($A59,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ISNUMBER(SEARCH($A59, INDEX(AsistenciaJetAdminConcatenada!$D:$D, MATCH(1, (AsistenciaJetAdminConcatenada!$A:$A=GM$2)*(AsistenciaJetAdminConcatenada!$B:$B=GM$1), 0)), 1))),  0.5, 0))</f>
        <v>0</v>
      </c>
      <c r="GN59" s="47">
        <f t="array" ref="GN59">IF(AND(ISNUMBER(MATCH(GN$2, AsistenciaJetAdminConcatenada!$A:$A, 0)), ISNUMBER(MATCH(GN$1, AsistenciaJetAdminConcatenada!$B:$B, 0)), ISNUMBER(SEARCH($A59,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ISNUMBER(SEARCH($A59, INDEX(AsistenciaJetAdminConcatenada!$D:$D, MATCH(1, (AsistenciaJetAdminConcatenada!$A:$A=GN$2)*(AsistenciaJetAdminConcatenada!$B:$B=GN$1), 0)), 1))),  0.5, 0))</f>
        <v>0</v>
      </c>
      <c r="GO59" s="47">
        <f t="array" ref="GO59">IF(AND(ISNUMBER(MATCH(GO$2, AsistenciaJetAdminConcatenada!$A:$A, 0)), ISNUMBER(MATCH(GO$1, AsistenciaJetAdminConcatenada!$B:$B, 0)), ISNUMBER(SEARCH($A59,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ISNUMBER(SEARCH($A59, INDEX(AsistenciaJetAdminConcatenada!$D:$D, MATCH(1, (AsistenciaJetAdminConcatenada!$A:$A=GO$2)*(AsistenciaJetAdminConcatenada!$B:$B=GO$1), 0)), 1))),  0.5, 0))</f>
        <v>0</v>
      </c>
      <c r="GP59" s="47">
        <f t="array" ref="GP59">IF(AND(ISNUMBER(MATCH(GP$2, AsistenciaJetAdminConcatenada!$A:$A, 0)), ISNUMBER(MATCH(GP$1, AsistenciaJetAdminConcatenada!$B:$B, 0)), ISNUMBER(SEARCH($A59,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ISNUMBER(SEARCH($A59, INDEX(AsistenciaJetAdminConcatenada!$D:$D, MATCH(1, (AsistenciaJetAdminConcatenada!$A:$A=GP$2)*(AsistenciaJetAdminConcatenada!$B:$B=GP$1), 0)), 1))),  0.5, 0))</f>
        <v>0</v>
      </c>
      <c r="GQ59" s="47">
        <f t="array" ref="GQ59">IF(AND(ISNUMBER(MATCH(GQ$2, AsistenciaJetAdminConcatenada!$A:$A, 0)), ISNUMBER(MATCH(GQ$1, AsistenciaJetAdminConcatenada!$B:$B, 0)), ISNUMBER(SEARCH($A59,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ISNUMBER(SEARCH($A59, INDEX(AsistenciaJetAdminConcatenada!$D:$D, MATCH(1, (AsistenciaJetAdminConcatenada!$A:$A=GQ$2)*(AsistenciaJetAdminConcatenada!$B:$B=GQ$1), 0)), 1))),  0.5, 0))</f>
        <v>0</v>
      </c>
      <c r="GR59" s="47">
        <f t="array" ref="GR59">IF(AND(ISNUMBER(MATCH(GR$2, AsistenciaJetAdminConcatenada!$A:$A, 0)), ISNUMBER(MATCH(GR$1, AsistenciaJetAdminConcatenada!$B:$B, 0)), ISNUMBER(SEARCH($A59,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ISNUMBER(SEARCH($A59, INDEX(AsistenciaJetAdminConcatenada!$D:$D, MATCH(1, (AsistenciaJetAdminConcatenada!$A:$A=GR$2)*(AsistenciaJetAdminConcatenada!$B:$B=GR$1), 0)), 1))),  0.5, 0))</f>
        <v>0</v>
      </c>
      <c r="GS59" s="47">
        <f t="array" ref="GS59">IF(AND(ISNUMBER(MATCH(GS$2, AsistenciaJetAdminConcatenada!$A:$A, 0)), ISNUMBER(MATCH(GS$1, AsistenciaJetAdminConcatenada!$B:$B, 0)), ISNUMBER(SEARCH($A59,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ISNUMBER(SEARCH($A59, INDEX(AsistenciaJetAdminConcatenada!$D:$D, MATCH(1, (AsistenciaJetAdminConcatenada!$A:$A=GS$2)*(AsistenciaJetAdminConcatenada!$B:$B=GS$1), 0)), 1))),  0.5, 0))</f>
        <v>0</v>
      </c>
      <c r="GT59" s="47">
        <f t="array" ref="GT59">IF(AND(ISNUMBER(MATCH(GT$2, AsistenciaJetAdminConcatenada!$A:$A, 0)), ISNUMBER(MATCH(GT$1, AsistenciaJetAdminConcatenada!$B:$B, 0)), ISNUMBER(SEARCH($A59,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ISNUMBER(SEARCH($A59, INDEX(AsistenciaJetAdminConcatenada!$D:$D, MATCH(1, (AsistenciaJetAdminConcatenada!$A:$A=GT$2)*(AsistenciaJetAdminConcatenada!$B:$B=GT$1), 0)), 1))),  0.5, 0))</f>
        <v>0</v>
      </c>
      <c r="GU59" s="47">
        <f t="array" ref="GU59">IF(AND(ISNUMBER(MATCH(GU$2, AsistenciaJetAdminConcatenada!$A:$A, 0)), ISNUMBER(MATCH(GU$1, AsistenciaJetAdminConcatenada!$B:$B, 0)), ISNUMBER(SEARCH($A59,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ISNUMBER(SEARCH($A59, INDEX(AsistenciaJetAdminConcatenada!$D:$D, MATCH(1, (AsistenciaJetAdminConcatenada!$A:$A=GU$2)*(AsistenciaJetAdminConcatenada!$B:$B=GU$1), 0)), 1))),  0.5, 0))</f>
        <v>0</v>
      </c>
      <c r="GV59" s="47">
        <f t="array" ref="GV59">IF(AND(ISNUMBER(MATCH(GV$2, AsistenciaJetAdminConcatenada!$A:$A, 0)), ISNUMBER(MATCH(GV$1, AsistenciaJetAdminConcatenada!$B:$B, 0)), ISNUMBER(SEARCH($A59,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ISNUMBER(SEARCH($A59, INDEX(AsistenciaJetAdminConcatenada!$D:$D, MATCH(1, (AsistenciaJetAdminConcatenada!$A:$A=GV$2)*(AsistenciaJetAdminConcatenada!$B:$B=GV$1), 0)), 1))),  0.5, 0))</f>
        <v>0</v>
      </c>
      <c r="GW59" s="47">
        <f t="array" ref="GW59">IF(AND(ISNUMBER(MATCH(GW$2, AsistenciaJetAdminConcatenada!$A:$A, 0)), ISNUMBER(MATCH(GW$1, AsistenciaJetAdminConcatenada!$B:$B, 0)), ISNUMBER(SEARCH($A59,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ISNUMBER(SEARCH($A59, INDEX(AsistenciaJetAdminConcatenada!$D:$D, MATCH(1, (AsistenciaJetAdminConcatenada!$A:$A=GW$2)*(AsistenciaJetAdminConcatenada!$B:$B=GW$1), 0)), 1))),  0.5, 0))</f>
        <v>0</v>
      </c>
      <c r="GX59" s="47">
        <f t="array" ref="GX59">IF(AND(ISNUMBER(MATCH(GX$2, AsistenciaJetAdminConcatenada!$A:$A, 0)), ISNUMBER(MATCH(GX$1, AsistenciaJetAdminConcatenada!$B:$B, 0)), ISNUMBER(SEARCH($A59,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ISNUMBER(SEARCH($A59, INDEX(AsistenciaJetAdminConcatenada!$D:$D, MATCH(1, (AsistenciaJetAdminConcatenada!$A:$A=GX$2)*(AsistenciaJetAdminConcatenada!$B:$B=GX$1), 0)), 1))),  0.5, 0))</f>
        <v>0</v>
      </c>
      <c r="GY59" s="47">
        <f t="array" ref="GY59">IF(AND(ISNUMBER(MATCH(GY$2, AsistenciaJetAdminConcatenada!$A:$A, 0)), ISNUMBER(MATCH(GY$1, AsistenciaJetAdminConcatenada!$B:$B, 0)), ISNUMBER(SEARCH($A59,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ISNUMBER(SEARCH($A59, INDEX(AsistenciaJetAdminConcatenada!$D:$D, MATCH(1, (AsistenciaJetAdminConcatenada!$A:$A=GY$2)*(AsistenciaJetAdminConcatenada!$B:$B=GY$1), 0)), 1))),  0.5, 0))</f>
        <v>0</v>
      </c>
      <c r="GZ59" s="47">
        <f t="array" ref="GZ59">IF(AND(ISNUMBER(MATCH(GZ$2, AsistenciaJetAdminConcatenada!$A:$A, 0)), ISNUMBER(MATCH(GZ$1, AsistenciaJetAdminConcatenada!$B:$B, 0)), ISNUMBER(SEARCH($A59,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ISNUMBER(SEARCH($A59, INDEX(AsistenciaJetAdminConcatenada!$D:$D, MATCH(1, (AsistenciaJetAdminConcatenada!$A:$A=GZ$2)*(AsistenciaJetAdminConcatenada!$B:$B=GZ$1), 0)), 1))),  0.5, 0))</f>
        <v>0</v>
      </c>
      <c r="HA59" s="47">
        <f t="array" ref="HA59">IF(AND(ISNUMBER(MATCH(HA$2, AsistenciaJetAdminConcatenada!$A:$A, 0)), ISNUMBER(MATCH(HA$1, AsistenciaJetAdminConcatenada!$B:$B, 0)), ISNUMBER(SEARCH($A59,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ISNUMBER(SEARCH($A59, INDEX(AsistenciaJetAdminConcatenada!$D:$D, MATCH(1, (AsistenciaJetAdminConcatenada!$A:$A=HA$2)*(AsistenciaJetAdminConcatenada!$B:$B=HA$1), 0)), 1))),  0.5, 0))</f>
        <v>0</v>
      </c>
      <c r="HB59" s="47">
        <f t="array" ref="HB59">IF(AND(ISNUMBER(MATCH(HB$2, AsistenciaJetAdminConcatenada!$A:$A, 0)), ISNUMBER(MATCH(HB$1, AsistenciaJetAdminConcatenada!$B:$B, 0)), ISNUMBER(SEARCH($A59,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ISNUMBER(SEARCH($A59, INDEX(AsistenciaJetAdminConcatenada!$D:$D, MATCH(1, (AsistenciaJetAdminConcatenada!$A:$A=HB$2)*(AsistenciaJetAdminConcatenada!$B:$B=HB$1), 0)), 1))),  0.5, 0))</f>
        <v>0</v>
      </c>
      <c r="HC59" s="47">
        <f t="array" ref="HC59">IF(AND(ISNUMBER(MATCH(HC$2, AsistenciaJetAdminConcatenada!$A:$A, 0)), ISNUMBER(MATCH(HC$1, AsistenciaJetAdminConcatenada!$B:$B, 0)), ISNUMBER(SEARCH($A59,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ISNUMBER(SEARCH($A59, INDEX(AsistenciaJetAdminConcatenada!$D:$D, MATCH(1, (AsistenciaJetAdminConcatenada!$A:$A=HC$2)*(AsistenciaJetAdminConcatenada!$B:$B=HC$1), 0)), 1))),  0.5, 0))</f>
        <v>0</v>
      </c>
    </row>
    <row r="60" ht="29.25" customHeight="1">
      <c r="A60" s="3">
        <v>121.0</v>
      </c>
      <c r="B60" s="4" t="s">
        <v>496</v>
      </c>
      <c r="C60" s="47">
        <f>SUM(D60:HC60) + ActividadesEspeciales!C60</f>
        <v>51</v>
      </c>
      <c r="D60" s="47">
        <f t="array" ref="D60">IF(AND(ISNUMBER(MATCH(D$2, AsistenciaJetAdminConcatenada!$A:$A, 0)), ISNUMBER(MATCH(D$1, AsistenciaJetAdminConcatenada!$B:$B, 0)), ISNUMBER(SEARCH($A60,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ISNUMBER(SEARCH($A60, INDEX(AsistenciaJetAdminConcatenada!$D:$D, MATCH(1, (AsistenciaJetAdminConcatenada!$A:$A=D$2)*(AsistenciaJetAdminConcatenada!$B:$B=D$1), 0)), 1))),  0.5, 0))</f>
        <v>1</v>
      </c>
      <c r="E60" s="47">
        <f t="array" ref="E60">IF(AND(ISNUMBER(MATCH(E$2, AsistenciaJetAdminConcatenada!$A:$A, 0)), ISNUMBER(MATCH(E$1, AsistenciaJetAdminConcatenada!$B:$B, 0)), ISNUMBER(SEARCH($A60,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ISNUMBER(SEARCH($A60, INDEX(AsistenciaJetAdminConcatenada!$D:$D, MATCH(1, (AsistenciaJetAdminConcatenada!$A:$A=E$2)*(AsistenciaJetAdminConcatenada!$B:$B=E$1), 0)), 1))),  0.5, 0))</f>
        <v>1</v>
      </c>
      <c r="F60" s="47">
        <f t="array" ref="F60">IF(AND(ISNUMBER(MATCH(F$2, AsistenciaJetAdminConcatenada!$A:$A, 0)), ISNUMBER(MATCH(F$1, AsistenciaJetAdminConcatenada!$B:$B, 0)), ISNUMBER(SEARCH($A60,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ISNUMBER(SEARCH($A60, INDEX(AsistenciaJetAdminConcatenada!$D:$D, MATCH(1, (AsistenciaJetAdminConcatenada!$A:$A=F$2)*(AsistenciaJetAdminConcatenada!$B:$B=F$1), 0)), 1))),  0.5, 0))</f>
        <v>1</v>
      </c>
      <c r="G60" s="47">
        <f t="array" ref="G60">IF(AND(ISNUMBER(MATCH(G$2, AsistenciaJetAdminConcatenada!$A:$A, 0)), ISNUMBER(MATCH(G$1, AsistenciaJetAdminConcatenada!$B:$B, 0)), ISNUMBER(SEARCH($A60,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ISNUMBER(SEARCH($A60, INDEX(AsistenciaJetAdminConcatenada!$D:$D, MATCH(1, (AsistenciaJetAdminConcatenada!$A:$A=G$2)*(AsistenciaJetAdminConcatenada!$B:$B=G$1), 0)), 1))),  0.5, 0))</f>
        <v>1</v>
      </c>
      <c r="H60" s="47">
        <f t="array" ref="H60">IF(AND(ISNUMBER(MATCH(H$2, AsistenciaJetAdminConcatenada!$A:$A, 0)), ISNUMBER(MATCH(H$1, AsistenciaJetAdminConcatenada!$B:$B, 0)), ISNUMBER(SEARCH($A60,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ISNUMBER(SEARCH($A60, INDEX(AsistenciaJetAdminConcatenada!$D:$D, MATCH(1, (AsistenciaJetAdminConcatenada!$A:$A=H$2)*(AsistenciaJetAdminConcatenada!$B:$B=H$1), 0)), 1))),  0.5, 0))</f>
        <v>1</v>
      </c>
      <c r="I60" s="47">
        <f t="array" ref="I60">IF(AND(ISNUMBER(MATCH(I$2, AsistenciaJetAdminConcatenada!$A:$A, 0)), ISNUMBER(MATCH(I$1, AsistenciaJetAdminConcatenada!$B:$B, 0)), ISNUMBER(SEARCH($A60,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ISNUMBER(SEARCH($A60, INDEX(AsistenciaJetAdminConcatenada!$D:$D, MATCH(1, (AsistenciaJetAdminConcatenada!$A:$A=I$2)*(AsistenciaJetAdminConcatenada!$B:$B=I$1), 0)), 1))),  0.5, 0))</f>
        <v>1</v>
      </c>
      <c r="J60" s="47">
        <f t="array" ref="J60">IF(AND(ISNUMBER(MATCH(J$2, AsistenciaJetAdminConcatenada!$A:$A, 0)), ISNUMBER(MATCH(J$1, AsistenciaJetAdminConcatenada!$B:$B, 0)), ISNUMBER(SEARCH($A60,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ISNUMBER(SEARCH($A60, INDEX(AsistenciaJetAdminConcatenada!$D:$D, MATCH(1, (AsistenciaJetAdminConcatenada!$A:$A=J$2)*(AsistenciaJetAdminConcatenada!$B:$B=J$1), 0)), 1))),  0.5, 0))</f>
        <v>1</v>
      </c>
      <c r="K60" s="47">
        <f t="array" ref="K60">IF(AND(ISNUMBER(MATCH(K$2, AsistenciaJetAdminConcatenada!$A:$A, 0)), ISNUMBER(MATCH(K$1, AsistenciaJetAdminConcatenada!$B:$B, 0)), ISNUMBER(SEARCH($A60,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ISNUMBER(SEARCH($A60, INDEX(AsistenciaJetAdminConcatenada!$D:$D, MATCH(1, (AsistenciaJetAdminConcatenada!$A:$A=K$2)*(AsistenciaJetAdminConcatenada!$B:$B=K$1), 0)), 1))),  0.5, 0))</f>
        <v>1</v>
      </c>
      <c r="L60" s="47">
        <f t="array" ref="L60">IF(AND(ISNUMBER(MATCH(L$2, AsistenciaJetAdminConcatenada!$A:$A, 0)), ISNUMBER(MATCH(L$1, AsistenciaJetAdminConcatenada!$B:$B, 0)), ISNUMBER(SEARCH($A60,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ISNUMBER(SEARCH($A60, INDEX(AsistenciaJetAdminConcatenada!$D:$D, MATCH(1, (AsistenciaJetAdminConcatenada!$A:$A=L$2)*(AsistenciaJetAdminConcatenada!$B:$B=L$1), 0)), 1))),  0.5, 0))</f>
        <v>1</v>
      </c>
      <c r="M60" s="47">
        <f t="array" ref="M60">IF(AND(ISNUMBER(MATCH(M$2, AsistenciaJetAdminConcatenada!$A:$A, 0)), ISNUMBER(MATCH(M$1, AsistenciaJetAdminConcatenada!$B:$B, 0)), ISNUMBER(SEARCH($A60,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ISNUMBER(SEARCH($A60, INDEX(AsistenciaJetAdminConcatenada!$D:$D, MATCH(1, (AsistenciaJetAdminConcatenada!$A:$A=M$2)*(AsistenciaJetAdminConcatenada!$B:$B=M$1), 0)), 1))),  0.5, 0))</f>
        <v>1</v>
      </c>
      <c r="N60" s="47">
        <f t="array" ref="N60">IF(AND(ISNUMBER(MATCH(N$2, AsistenciaJetAdminConcatenada!$A:$A, 0)), ISNUMBER(MATCH(N$1, AsistenciaJetAdminConcatenada!$B:$B, 0)), ISNUMBER(SEARCH($A60,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ISNUMBER(SEARCH($A60, INDEX(AsistenciaJetAdminConcatenada!$D:$D, MATCH(1, (AsistenciaJetAdminConcatenada!$A:$A=N$2)*(AsistenciaJetAdminConcatenada!$B:$B=N$1), 0)), 1))),  0.5, 0))</f>
        <v>0</v>
      </c>
      <c r="O60" s="47">
        <f t="array" ref="O60">IF(AND(ISNUMBER(MATCH(O$2, AsistenciaJetAdminConcatenada!$A:$A, 0)), ISNUMBER(MATCH(O$1, AsistenciaJetAdminConcatenada!$B:$B, 0)), ISNUMBER(SEARCH($A60,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ISNUMBER(SEARCH($A60, INDEX(AsistenciaJetAdminConcatenada!$D:$D, MATCH(1, (AsistenciaJetAdminConcatenada!$A:$A=O$2)*(AsistenciaJetAdminConcatenada!$B:$B=O$1), 0)), 1))),  0.5, 0))</f>
        <v>1</v>
      </c>
      <c r="P60" s="47">
        <f t="array" ref="P60">IF(AND(ISNUMBER(MATCH(P$2, AsistenciaJetAdminConcatenada!$A:$A, 0)), ISNUMBER(MATCH(P$1, AsistenciaJetAdminConcatenada!$B:$B, 0)), ISNUMBER(SEARCH($A60, INDEX(AsistenciaJetAdminConcatenada!$C:$C, MATCH(1, (AsistenciaJetAdminConcatenada!$A:$A=P$2)*(AsistenciaJetAdminConcatenada!$B:$B=P$1), 0)), 1))), 1, IF(AND(ISNUMBER(MATCH(P$2, AsistenciaJetAdminConcatenada!$A:$A, 0)), ISNUMBER(MATCH(P$1, AsistenciaJetAdminConcatenada!$B:$B, 0)), ISNUMBER(SEARCH($A60, INDEX(AsistenciaJetAdminConcatenada!$D:$D, MATCH(1, (AsistenciaJetAdminConcatenada!$A:$A=P$2)*(AsistenciaJetAdminConcatenada!$B:$B=P$1), 0)), 1))),  0.5, 0))</f>
        <v>1</v>
      </c>
      <c r="Q60" s="47">
        <f t="array" ref="Q60">IF(AND(ISNUMBER(MATCH(Q$2, AsistenciaJetAdminConcatenada!$A:$A, 0)), ISNUMBER(MATCH(Q$1, AsistenciaJetAdminConcatenada!$B:$B, 0)), ISNUMBER(SEARCH($A60, INDEX(AsistenciaJetAdminConcatenada!$C:$C, MATCH(1, (AsistenciaJetAdminConcatenada!$A:$A=Q$2)*(AsistenciaJetAdminConcatenada!$B:$B=Q$1), 0)), 1))), 1, IF(AND(ISNUMBER(MATCH(Q$2, AsistenciaJetAdminConcatenada!$A:$A, 0)), ISNUMBER(MATCH(Q$1, AsistenciaJetAdminConcatenada!$B:$B, 0)), ISNUMBER(SEARCH($A60, INDEX(AsistenciaJetAdminConcatenada!$D:$D, MATCH(1, (AsistenciaJetAdminConcatenada!$A:$A=Q$2)*(AsistenciaJetAdminConcatenada!$B:$B=Q$1), 0)), 1))),  0.5, 0))</f>
        <v>1</v>
      </c>
      <c r="R60" s="47">
        <f t="array" ref="R60">IF(AND(ISNUMBER(MATCH(R$2, AsistenciaJetAdminConcatenada!$A:$A, 0)), ISNUMBER(MATCH(R$1, AsistenciaJetAdminConcatenada!$B:$B, 0)), ISNUMBER(SEARCH($A60,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ISNUMBER(SEARCH($A60, INDEX(AsistenciaJetAdminConcatenada!$D:$D, MATCH(1, (AsistenciaJetAdminConcatenada!$A:$A=R$2)*(AsistenciaJetAdminConcatenada!$B:$B=R$1), 0)), 1))),  0.5, 0))</f>
        <v>0.5</v>
      </c>
      <c r="S60" s="47">
        <f t="array" ref="S60">IF(AND(ISNUMBER(MATCH(S$2, AsistenciaJetAdminConcatenada!$A:$A, 0)), ISNUMBER(MATCH(S$1, AsistenciaJetAdminConcatenada!$B:$B, 0)), ISNUMBER(SEARCH($A60,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ISNUMBER(SEARCH($A60, INDEX(AsistenciaJetAdminConcatenada!$D:$D, MATCH(1, (AsistenciaJetAdminConcatenada!$A:$A=S$2)*(AsistenciaJetAdminConcatenada!$B:$B=S$1), 0)), 1))),  0.5, 0))</f>
        <v>1</v>
      </c>
      <c r="T60" s="8">
        <v>0.0</v>
      </c>
      <c r="U60" s="47">
        <f t="array" ref="U60">IF(AND(ISNUMBER(MATCH(U$2, AsistenciaJetAdminConcatenada!$A:$A, 0)), ISNUMBER(MATCH(U$1, AsistenciaJetAdminConcatenada!$B:$B, 0)), ISNUMBER(SEARCH($A60,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ISNUMBER(SEARCH($A60, INDEX(AsistenciaJetAdminConcatenada!$D:$D, MATCH(1, (AsistenciaJetAdminConcatenada!$A:$A=U$2)*(AsistenciaJetAdminConcatenada!$B:$B=U$1), 0)), 1))),  0.5, 0))</f>
        <v>0</v>
      </c>
      <c r="V60" s="47">
        <f t="array" ref="V60">IF(AND(ISNUMBER(MATCH(V$2, AsistenciaJetAdminConcatenada!$A:$A, 0)), ISNUMBER(MATCH(V$1, AsistenciaJetAdminConcatenada!$B:$B, 0)), ISNUMBER(SEARCH($A60,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ISNUMBER(SEARCH($A60, INDEX(AsistenciaJetAdminConcatenada!$D:$D, MATCH(1, (AsistenciaJetAdminConcatenada!$A:$A=V$2)*(AsistenciaJetAdminConcatenada!$B:$B=V$1), 0)), 1))),  0.5, 0))</f>
        <v>1</v>
      </c>
      <c r="W60" s="47">
        <f t="array" ref="W60">IF(AND(ISNUMBER(MATCH(W$2, AsistenciaJetAdminConcatenada!$A:$A, 0)), ISNUMBER(MATCH(W$1, AsistenciaJetAdminConcatenada!$B:$B, 0)), ISNUMBER(SEARCH($A60,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ISNUMBER(SEARCH($A60, INDEX(AsistenciaJetAdminConcatenada!$D:$D, MATCH(1, (AsistenciaJetAdminConcatenada!$A:$A=W$2)*(AsistenciaJetAdminConcatenada!$B:$B=W$1), 0)), 1))),  0.5, 0))</f>
        <v>1</v>
      </c>
      <c r="X60" s="47">
        <f t="array" ref="X60">IF(AND(ISNUMBER(MATCH(X$2, AsistenciaJetAdminConcatenada!$A:$A, 0)), ISNUMBER(MATCH(X$1, AsistenciaJetAdminConcatenada!$B:$B, 0)), ISNUMBER(SEARCH($A60,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ISNUMBER(SEARCH($A60, INDEX(AsistenciaJetAdminConcatenada!$D:$D, MATCH(1, (AsistenciaJetAdminConcatenada!$A:$A=X$2)*(AsistenciaJetAdminConcatenada!$B:$B=X$1), 0)), 1))),  0.5, 0))</f>
        <v>1</v>
      </c>
      <c r="Y60" s="47">
        <f t="array" ref="Y60">IF(AND(ISNUMBER(MATCH(Y$2, AsistenciaJetAdminConcatenada!$A:$A, 0)), ISNUMBER(MATCH(Y$1, AsistenciaJetAdminConcatenada!$B:$B, 0)), ISNUMBER(SEARCH($A60,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ISNUMBER(SEARCH($A60, INDEX(AsistenciaJetAdminConcatenada!$D:$D, MATCH(1, (AsistenciaJetAdminConcatenada!$A:$A=Y$2)*(AsistenciaJetAdminConcatenada!$B:$B=Y$1), 0)), 1))),  0.5, 0))</f>
        <v>0.5</v>
      </c>
      <c r="Z60" s="47">
        <f t="array" ref="Z60">IF(AND(ISNUMBER(MATCH(Z$2, AsistenciaJetAdminConcatenada!$A:$A, 0)), ISNUMBER(MATCH(Z$1, AsistenciaJetAdminConcatenada!$B:$B, 0)), ISNUMBER(SEARCH($A60,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ISNUMBER(SEARCH($A60, INDEX(AsistenciaJetAdminConcatenada!$D:$D, MATCH(1, (AsistenciaJetAdminConcatenada!$A:$A=Z$2)*(AsistenciaJetAdminConcatenada!$B:$B=Z$1), 0)), 1))),  0.5, 0))</f>
        <v>1</v>
      </c>
      <c r="AA60" s="47">
        <f t="array" ref="AA60">IF(AND(ISNUMBER(MATCH(AA$2, AsistenciaJetAdminConcatenada!$A:$A, 0)), ISNUMBER(MATCH(AA$1, AsistenciaJetAdminConcatenada!$B:$B, 0)), ISNUMBER(SEARCH($A60,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ISNUMBER(SEARCH($A60, INDEX(AsistenciaJetAdminConcatenada!$D:$D, MATCH(1, (AsistenciaJetAdminConcatenada!$A:$A=AA$2)*(AsistenciaJetAdminConcatenada!$B:$B=AA$1), 0)), 1))),  0.5, 0))</f>
        <v>1</v>
      </c>
      <c r="AB60" s="47">
        <f t="array" ref="AB60">IF(AND(ISNUMBER(MATCH(AB$2, AsistenciaJetAdminConcatenada!$A:$A, 0)), ISNUMBER(MATCH(AB$1, AsistenciaJetAdminConcatenada!$B:$B, 0)), ISNUMBER(SEARCH($A60,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ISNUMBER(SEARCH($A60, INDEX(AsistenciaJetAdminConcatenada!$D:$D, MATCH(1, (AsistenciaJetAdminConcatenada!$A:$A=AB$2)*(AsistenciaJetAdminConcatenada!$B:$B=AB$1), 0)), 1))),  0.5, 0))</f>
        <v>0</v>
      </c>
      <c r="AC60" s="47">
        <f t="array" ref="AC60">IF(AND(ISNUMBER(MATCH(AC$2, AsistenciaJetAdminConcatenada!$A:$A, 0)), ISNUMBER(MATCH(AC$1, AsistenciaJetAdminConcatenada!$B:$B, 0)), ISNUMBER(SEARCH($A60,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ISNUMBER(SEARCH($A60, INDEX(AsistenciaJetAdminConcatenada!$D:$D, MATCH(1, (AsistenciaJetAdminConcatenada!$A:$A=AC$2)*(AsistenciaJetAdminConcatenada!$B:$B=AC$1), 0)), 1))),  0.5, 0))</f>
        <v>1</v>
      </c>
      <c r="AD60" s="47">
        <f t="array" ref="AD60">IF(AND(ISNUMBER(MATCH(AD$2, AsistenciaJetAdminConcatenada!$A:$A, 0)), ISNUMBER(MATCH(AD$1, AsistenciaJetAdminConcatenada!$B:$B, 0)), ISNUMBER(SEARCH($A60,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ISNUMBER(SEARCH($A60, INDEX(AsistenciaJetAdminConcatenada!$D:$D, MATCH(1, (AsistenciaJetAdminConcatenada!$A:$A=AD$2)*(AsistenciaJetAdminConcatenada!$B:$B=AD$1), 0)), 1))),  0.5, 0))</f>
        <v>1</v>
      </c>
      <c r="AE60" s="47">
        <f t="array" ref="AE60">IF(AND(ISNUMBER(MATCH(AE$2, AsistenciaJetAdminConcatenada!$A:$A, 0)), ISNUMBER(MATCH(AE$1, AsistenciaJetAdminConcatenada!$B:$B, 0)), ISNUMBER(SEARCH($A60,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ISNUMBER(SEARCH($A60, INDEX(AsistenciaJetAdminConcatenada!$D:$D, MATCH(1, (AsistenciaJetAdminConcatenada!$A:$A=AE$2)*(AsistenciaJetAdminConcatenada!$B:$B=AE$1), 0)), 1))),  0.5, 0))</f>
        <v>0</v>
      </c>
      <c r="AF60" s="47">
        <f t="array" ref="AF60">IF(AND(ISNUMBER(MATCH(AF$2, AsistenciaJetAdminConcatenada!$A:$A, 0)), ISNUMBER(MATCH(AF$1, AsistenciaJetAdminConcatenada!$B:$B, 0)), ISNUMBER(SEARCH($A60,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ISNUMBER(SEARCH($A60, INDEX(AsistenciaJetAdminConcatenada!$D:$D, MATCH(1, (AsistenciaJetAdminConcatenada!$A:$A=AF$2)*(AsistenciaJetAdminConcatenada!$B:$B=AF$1), 0)), 1))),  0.5, 0))</f>
        <v>1</v>
      </c>
      <c r="AG60" s="47">
        <f t="array" ref="AG60">IF(AND(ISNUMBER(MATCH(AG$2, AsistenciaJetAdminConcatenada!$A:$A, 0)), ISNUMBER(MATCH(AG$1, AsistenciaJetAdminConcatenada!$B:$B, 0)), ISNUMBER(SEARCH($A60,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ISNUMBER(SEARCH($A60, INDEX(AsistenciaJetAdminConcatenada!$D:$D, MATCH(1, (AsistenciaJetAdminConcatenada!$A:$A=AG$2)*(AsistenciaJetAdminConcatenada!$B:$B=AG$1), 0)), 1))),  0.5, 0))</f>
        <v>1</v>
      </c>
      <c r="AH60" s="47">
        <f t="array" ref="AH60">IF(AND(ISNUMBER(MATCH(AH$2, AsistenciaJetAdminConcatenada!$A:$A, 0)), ISNUMBER(MATCH(AH$1, AsistenciaJetAdminConcatenada!$B:$B, 0)), ISNUMBER(SEARCH($A60,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ISNUMBER(SEARCH($A60, INDEX(AsistenciaJetAdminConcatenada!$D:$D, MATCH(1, (AsistenciaJetAdminConcatenada!$A:$A=AH$2)*(AsistenciaJetAdminConcatenada!$B:$B=AH$1), 0)), 1))),  0.5, 0))</f>
        <v>0</v>
      </c>
      <c r="AI60" s="47">
        <f t="array" ref="AI60">IF(AND(ISNUMBER(MATCH(AI$2, AsistenciaJetAdminConcatenada!$A:$A, 0)), ISNUMBER(MATCH(AI$1, AsistenciaJetAdminConcatenada!$B:$B, 0)), ISNUMBER(SEARCH($A60,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ISNUMBER(SEARCH($A60, INDEX(AsistenciaJetAdminConcatenada!$D:$D, MATCH(1, (AsistenciaJetAdminConcatenada!$A:$A=AI$2)*(AsistenciaJetAdminConcatenada!$B:$B=AI$1), 0)), 1))),  0.5, 0))</f>
        <v>0</v>
      </c>
      <c r="AJ60" s="47">
        <f t="array" ref="AJ60">IF(AND(ISNUMBER(MATCH(AJ$2, AsistenciaJetAdminConcatenada!$A:$A, 0)), ISNUMBER(MATCH(AJ$1, AsistenciaJetAdminConcatenada!$B:$B, 0)), ISNUMBER(SEARCH($A60,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ISNUMBER(SEARCH($A60, INDEX(AsistenciaJetAdminConcatenada!$D:$D, MATCH(1, (AsistenciaJetAdminConcatenada!$A:$A=AJ$2)*(AsistenciaJetAdminConcatenada!$B:$B=AJ$1), 0)), 1))),  0.5, 0))</f>
        <v>0</v>
      </c>
      <c r="AK60" s="47">
        <f t="array" ref="AK60">IF(AND(ISNUMBER(MATCH(AK$2, AsistenciaJetAdminConcatenada!$A:$A, 0)), ISNUMBER(MATCH(AK$1, AsistenciaJetAdminConcatenada!$B:$B, 0)), ISNUMBER(SEARCH($A60,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ISNUMBER(SEARCH($A60, INDEX(AsistenciaJetAdminConcatenada!$D:$D, MATCH(1, (AsistenciaJetAdminConcatenada!$A:$A=AK$2)*(AsistenciaJetAdminConcatenada!$B:$B=AK$1), 0)), 1))),  0.5, 0))</f>
        <v>0</v>
      </c>
      <c r="AL60" s="47">
        <f t="array" ref="AL60">IF(AND(ISNUMBER(MATCH(AL$2, AsistenciaJetAdminConcatenada!$A:$A, 0)), ISNUMBER(MATCH(AL$1, AsistenciaJetAdminConcatenada!$B:$B, 0)), ISNUMBER(SEARCH($A60,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ISNUMBER(SEARCH($A60, INDEX(AsistenciaJetAdminConcatenada!$D:$D, MATCH(1, (AsistenciaJetAdminConcatenada!$A:$A=AL$2)*(AsistenciaJetAdminConcatenada!$B:$B=AL$1), 0)), 1))),  0.5, 0))</f>
        <v>1</v>
      </c>
      <c r="AM60" s="47">
        <f t="array" ref="AM60">IF(AND(ISNUMBER(MATCH(AM$2, AsistenciaJetAdminConcatenada!$A:$A, 0)), ISNUMBER(MATCH(AM$1, AsistenciaJetAdminConcatenada!$B:$B, 0)), ISNUMBER(SEARCH($A60,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ISNUMBER(SEARCH($A60, INDEX(AsistenciaJetAdminConcatenada!$D:$D, MATCH(1, (AsistenciaJetAdminConcatenada!$A:$A=AM$2)*(AsistenciaJetAdminConcatenada!$B:$B=AM$1), 0)), 1))),  0.5, 0))</f>
        <v>0</v>
      </c>
      <c r="AN60" s="47">
        <f t="array" ref="AN60">IF(AND(ISNUMBER(MATCH(AN$2, AsistenciaJetAdminConcatenada!$A:$A, 0)), ISNUMBER(MATCH(AN$1, AsistenciaJetAdminConcatenada!$B:$B, 0)), ISNUMBER(SEARCH($A60,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ISNUMBER(SEARCH($A60, INDEX(AsistenciaJetAdminConcatenada!$D:$D, MATCH(1, (AsistenciaJetAdminConcatenada!$A:$A=AN$2)*(AsistenciaJetAdminConcatenada!$B:$B=AN$1), 0)), 1))),  0.5, 0))</f>
        <v>1</v>
      </c>
      <c r="AO60" s="47">
        <f t="array" ref="AO60">IF(AND(ISNUMBER(MATCH(AO$2, AsistenciaJetAdminConcatenada!$A:$A, 0)), ISNUMBER(MATCH(AO$1, AsistenciaJetAdminConcatenada!$B:$B, 0)), ISNUMBER(SEARCH($A60,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ISNUMBER(SEARCH($A60, INDEX(AsistenciaJetAdminConcatenada!$D:$D, MATCH(1, (AsistenciaJetAdminConcatenada!$A:$A=AO$2)*(AsistenciaJetAdminConcatenada!$B:$B=AO$1), 0)), 1))),  0.5, 0))</f>
        <v>1</v>
      </c>
      <c r="AP60" s="47">
        <f t="array" ref="AP60">IF(AND(ISNUMBER(MATCH(AP$2, AsistenciaJetAdminConcatenada!$A:$A, 0)), ISNUMBER(MATCH(AP$1, AsistenciaJetAdminConcatenada!$B:$B, 0)), ISNUMBER(SEARCH($A60,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ISNUMBER(SEARCH($A60, INDEX(AsistenciaJetAdminConcatenada!$D:$D, MATCH(1, (AsistenciaJetAdminConcatenada!$A:$A=AP$2)*(AsistenciaJetAdminConcatenada!$B:$B=AP$1), 0)), 1))),  0.5, 0))</f>
        <v>1</v>
      </c>
      <c r="AQ60" s="47">
        <f t="array" ref="AQ60">IF(AND(ISNUMBER(MATCH(AQ$2, AsistenciaJetAdminConcatenada!$A:$A, 0)), ISNUMBER(MATCH(AQ$1, AsistenciaJetAdminConcatenada!$B:$B, 0)), ISNUMBER(SEARCH($A60,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ISNUMBER(SEARCH($A60, INDEX(AsistenciaJetAdminConcatenada!$D:$D, MATCH(1, (AsistenciaJetAdminConcatenada!$A:$A=AQ$2)*(AsistenciaJetAdminConcatenada!$B:$B=AQ$1), 0)), 1))),  0.5, 0))</f>
        <v>0</v>
      </c>
      <c r="AR60" s="47">
        <f t="array" ref="AR60">IF(AND(ISNUMBER(MATCH(AR$2, AsistenciaJetAdminConcatenada!$A:$A, 0)), ISNUMBER(MATCH(AR$1, AsistenciaJetAdminConcatenada!$B:$B, 0)), ISNUMBER(SEARCH($A60,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ISNUMBER(SEARCH($A60, INDEX(AsistenciaJetAdminConcatenada!$D:$D, MATCH(1, (AsistenciaJetAdminConcatenada!$A:$A=AR$2)*(AsistenciaJetAdminConcatenada!$B:$B=AR$1), 0)), 1))),  0.5, 0))</f>
        <v>1</v>
      </c>
      <c r="AS60" s="47">
        <f t="array" ref="AS60">IF(AND(ISNUMBER(MATCH(AS$2, AsistenciaJetAdminConcatenada!$A:$A, 0)), ISNUMBER(MATCH(AS$1, AsistenciaJetAdminConcatenada!$B:$B, 0)), ISNUMBER(SEARCH($A60,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ISNUMBER(SEARCH($A60, INDEX(AsistenciaJetAdminConcatenada!$D:$D, MATCH(1, (AsistenciaJetAdminConcatenada!$A:$A=AS$2)*(AsistenciaJetAdminConcatenada!$B:$B=AS$1), 0)), 1))),  0.5, 0))</f>
        <v>1</v>
      </c>
      <c r="AT60" s="47">
        <f t="array" ref="AT60">IF(AND(ISNUMBER(MATCH(AT$2, AsistenciaJetAdminConcatenada!$A:$A, 0)), ISNUMBER(MATCH(AT$1, AsistenciaJetAdminConcatenada!$B:$B, 0)), ISNUMBER(SEARCH($A60,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ISNUMBER(SEARCH($A60, INDEX(AsistenciaJetAdminConcatenada!$D:$D, MATCH(1, (AsistenciaJetAdminConcatenada!$A:$A=AT$2)*(AsistenciaJetAdminConcatenada!$B:$B=AT$1), 0)), 1))),  0.5, 0))</f>
        <v>0</v>
      </c>
      <c r="AU60" s="47">
        <f t="array" ref="AU60">IF(AND(ISNUMBER(MATCH(AU$2, AsistenciaJetAdminConcatenada!$A:$A, 0)), ISNUMBER(MATCH(AU$1, AsistenciaJetAdminConcatenada!$B:$B, 0)), ISNUMBER(SEARCH($A60,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ISNUMBER(SEARCH($A60, INDEX(AsistenciaJetAdminConcatenada!$D:$D, MATCH(1, (AsistenciaJetAdminConcatenada!$A:$A=AU$2)*(AsistenciaJetAdminConcatenada!$B:$B=AU$1), 0)), 1))),  0.5, 0))</f>
        <v>1</v>
      </c>
      <c r="AV60" s="47">
        <f t="array" ref="AV60">IF(AND(ISNUMBER(MATCH(AV$2, AsistenciaJetAdminConcatenada!$A:$A, 0)), ISNUMBER(MATCH(AV$1, AsistenciaJetAdminConcatenada!$B:$B, 0)), ISNUMBER(SEARCH($A60,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ISNUMBER(SEARCH($A60, INDEX(AsistenciaJetAdminConcatenada!$D:$D, MATCH(1, (AsistenciaJetAdminConcatenada!$A:$A=AV$2)*(AsistenciaJetAdminConcatenada!$B:$B=AV$1), 0)), 1))),  0.5, 0))</f>
        <v>1</v>
      </c>
      <c r="AW60" s="47">
        <f t="array" ref="AW60">IF(AND(ISNUMBER(MATCH(AW$2, AsistenciaJetAdminConcatenada!$A:$A, 0)), ISNUMBER(MATCH(AW$1, AsistenciaJetAdminConcatenada!$B:$B, 0)), ISNUMBER(SEARCH($A60,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ISNUMBER(SEARCH($A60, INDEX(AsistenciaJetAdminConcatenada!$D:$D, MATCH(1, (AsistenciaJetAdminConcatenada!$A:$A=AW$2)*(AsistenciaJetAdminConcatenada!$B:$B=AW$1), 0)), 1))),  0.5, 0))</f>
        <v>0</v>
      </c>
      <c r="AX60" s="47">
        <f t="array" ref="AX60">IF(AND(ISNUMBER(MATCH(AX$2, AsistenciaJetAdminConcatenada!$A:$A, 0)), ISNUMBER(MATCH(AX$1, AsistenciaJetAdminConcatenada!$B:$B, 0)), ISNUMBER(SEARCH($A60,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ISNUMBER(SEARCH($A60, INDEX(AsistenciaJetAdminConcatenada!$D:$D, MATCH(1, (AsistenciaJetAdminConcatenada!$A:$A=AX$2)*(AsistenciaJetAdminConcatenada!$B:$B=AX$1), 0)), 1))),  0.5, 0))</f>
        <v>0</v>
      </c>
      <c r="AY60" s="47">
        <f t="array" ref="AY60">IF(AND(ISNUMBER(MATCH(AY$2, AsistenciaJetAdminConcatenada!$A:$A, 0)), ISNUMBER(MATCH(AY$1, AsistenciaJetAdminConcatenada!$B:$B, 0)), ISNUMBER(SEARCH($A60,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ISNUMBER(SEARCH($A60, INDEX(AsistenciaJetAdminConcatenada!$D:$D, MATCH(1, (AsistenciaJetAdminConcatenada!$A:$A=AY$2)*(AsistenciaJetAdminConcatenada!$B:$B=AY$1), 0)), 1))),  0.5, 0))</f>
        <v>1</v>
      </c>
      <c r="AZ60" s="47">
        <f t="array" ref="AZ60">IF(AND(ISNUMBER(MATCH(AZ$2, AsistenciaJetAdminConcatenada!$A:$A, 0)), ISNUMBER(MATCH(AZ$1, AsistenciaJetAdminConcatenada!$B:$B, 0)), ISNUMBER(SEARCH($A60,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ISNUMBER(SEARCH($A60, INDEX(AsistenciaJetAdminConcatenada!$D:$D, MATCH(1, (AsistenciaJetAdminConcatenada!$A:$A=AZ$2)*(AsistenciaJetAdminConcatenada!$B:$B=AZ$1), 0)), 1))),  0.5, 0))</f>
        <v>1</v>
      </c>
      <c r="BA60" s="47">
        <f t="array" ref="BA60">IF(AND(ISNUMBER(MATCH(BA$2, AsistenciaJetAdminConcatenada!$A:$A, 0)), ISNUMBER(MATCH(BA$1, AsistenciaJetAdminConcatenada!$B:$B, 0)), ISNUMBER(SEARCH($A60,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ISNUMBER(SEARCH($A60, INDEX(AsistenciaJetAdminConcatenada!$D:$D, MATCH(1, (AsistenciaJetAdminConcatenada!$A:$A=BA$2)*(AsistenciaJetAdminConcatenada!$B:$B=BA$1), 0)), 1))),  0.5, 0))</f>
        <v>1</v>
      </c>
      <c r="BB60" s="47">
        <f t="array" ref="BB60">IF(AND(ISNUMBER(MATCH(BB$2, AsistenciaJetAdminConcatenada!$A:$A, 0)), ISNUMBER(MATCH(BB$1, AsistenciaJetAdminConcatenada!$B:$B, 0)), ISNUMBER(SEARCH($A60,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ISNUMBER(SEARCH($A60, INDEX(AsistenciaJetAdminConcatenada!$D:$D, MATCH(1, (AsistenciaJetAdminConcatenada!$A:$A=BB$2)*(AsistenciaJetAdminConcatenada!$B:$B=BB$1), 0)), 1))),  0.5, 0))</f>
        <v>1</v>
      </c>
      <c r="BC60" s="47">
        <f t="array" ref="BC60">IF(AND(ISNUMBER(MATCH(BC$2, AsistenciaJetAdminConcatenada!$A:$A, 0)), ISNUMBER(MATCH(BC$1, AsistenciaJetAdminConcatenada!$B:$B, 0)), ISNUMBER(SEARCH($A60,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ISNUMBER(SEARCH($A60, INDEX(AsistenciaJetAdminConcatenada!$D:$D, MATCH(1, (AsistenciaJetAdminConcatenada!$A:$A=BC$2)*(AsistenciaJetAdminConcatenada!$B:$B=BC$1), 0)), 1))),  0.5, 0))</f>
        <v>1</v>
      </c>
      <c r="BD60" s="47">
        <f t="array" ref="BD60">IF(AND(ISNUMBER(MATCH(BD$2, AsistenciaJetAdminConcatenada!$A:$A, 0)), ISNUMBER(MATCH(BD$1, AsistenciaJetAdminConcatenada!$B:$B, 0)), ISNUMBER(SEARCH($A60,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ISNUMBER(SEARCH($A60, INDEX(AsistenciaJetAdminConcatenada!$D:$D, MATCH(1, (AsistenciaJetAdminConcatenada!$A:$A=BD$2)*(AsistenciaJetAdminConcatenada!$B:$B=BD$1), 0)), 1))),  0.5, 0))</f>
        <v>0</v>
      </c>
      <c r="BE60" s="47">
        <f t="array" ref="BE60">IF(AND(ISNUMBER(MATCH(BE$2, AsistenciaJetAdminConcatenada!$A:$A, 0)), ISNUMBER(MATCH(BE$1, AsistenciaJetAdminConcatenada!$B:$B, 0)), ISNUMBER(SEARCH($A60,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ISNUMBER(SEARCH($A60, INDEX(AsistenciaJetAdminConcatenada!$D:$D, MATCH(1, (AsistenciaJetAdminConcatenada!$A:$A=BE$2)*(AsistenciaJetAdminConcatenada!$B:$B=BE$1), 0)), 1))),  0.5, 0))</f>
        <v>1</v>
      </c>
      <c r="BF60" s="47">
        <f t="array" ref="BF60">IF(AND(ISNUMBER(MATCH(BF$2, AsistenciaJetAdminConcatenada!$A:$A, 0)), ISNUMBER(MATCH(BF$1, AsistenciaJetAdminConcatenada!$B:$B, 0)), ISNUMBER(SEARCH($A60,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ISNUMBER(SEARCH($A60, INDEX(AsistenciaJetAdminConcatenada!$D:$D, MATCH(1, (AsistenciaJetAdminConcatenada!$A:$A=BF$2)*(AsistenciaJetAdminConcatenada!$B:$B=BF$1), 0)), 1))),  0.5, 0))</f>
        <v>1</v>
      </c>
      <c r="BG60" s="47">
        <f t="array" ref="BG60">IF(AND(ISNUMBER(MATCH(BG$2, AsistenciaJetAdminConcatenada!$A:$A, 0)), ISNUMBER(MATCH(BG$1, AsistenciaJetAdminConcatenada!$B:$B, 0)), ISNUMBER(SEARCH($A60,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ISNUMBER(SEARCH($A60, INDEX(AsistenciaJetAdminConcatenada!$D:$D, MATCH(1, (AsistenciaJetAdminConcatenada!$A:$A=BG$2)*(AsistenciaJetAdminConcatenada!$B:$B=BG$1), 0)), 1))),  0.5, 0))</f>
        <v>1</v>
      </c>
      <c r="BH60" s="47">
        <f t="array" ref="BH60">IF(AND(ISNUMBER(MATCH(BH$2, AsistenciaJetAdminConcatenada!$A:$A, 0)), ISNUMBER(MATCH(BH$1, AsistenciaJetAdminConcatenada!$B:$B, 0)), ISNUMBER(SEARCH($A60,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ISNUMBER(SEARCH($A60, INDEX(AsistenciaJetAdminConcatenada!$D:$D, MATCH(1, (AsistenciaJetAdminConcatenada!$A:$A=BH$2)*(AsistenciaJetAdminConcatenada!$B:$B=BH$1), 0)), 1))),  0.5, 0))</f>
        <v>0</v>
      </c>
      <c r="BI60" s="47">
        <f t="array" ref="BI60">IF(AND(ISNUMBER(MATCH(BI$2, AsistenciaJetAdminConcatenada!$A:$A, 0)), ISNUMBER(MATCH(BI$1, AsistenciaJetAdminConcatenada!$B:$B, 0)), ISNUMBER(SEARCH($A60,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ISNUMBER(SEARCH($A60, INDEX(AsistenciaJetAdminConcatenada!$D:$D, MATCH(1, (AsistenciaJetAdminConcatenada!$A:$A=BI$2)*(AsistenciaJetAdminConcatenada!$B:$B=BI$1), 0)), 1))),  0.5, 0))</f>
        <v>1</v>
      </c>
      <c r="BJ60" s="47">
        <f t="array" ref="BJ60">IF(AND(ISNUMBER(MATCH(BJ$2, AsistenciaJetAdminConcatenada!$A:$A, 0)), ISNUMBER(MATCH(BJ$1, AsistenciaJetAdminConcatenada!$B:$B, 0)), ISNUMBER(SEARCH($A60,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ISNUMBER(SEARCH($A60, INDEX(AsistenciaJetAdminConcatenada!$D:$D, MATCH(1, (AsistenciaJetAdminConcatenada!$A:$A=BJ$2)*(AsistenciaJetAdminConcatenada!$B:$B=BJ$1), 0)), 1))),  0.5, 0))</f>
        <v>0</v>
      </c>
      <c r="BK60" s="47">
        <f t="array" ref="BK60">IF(AND(ISNUMBER(MATCH(BK$2, AsistenciaJetAdminConcatenada!$A:$A, 0)), ISNUMBER(MATCH(BK$1, AsistenciaJetAdminConcatenada!$B:$B, 0)), ISNUMBER(SEARCH($A60,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ISNUMBER(SEARCH($A60, INDEX(AsistenciaJetAdminConcatenada!$D:$D, MATCH(1, (AsistenciaJetAdminConcatenada!$A:$A=BK$2)*(AsistenciaJetAdminConcatenada!$B:$B=BK$1), 0)), 1))),  0.5, 0))</f>
        <v>0</v>
      </c>
      <c r="BL60" s="47">
        <f t="array" ref="BL60">IF(AND(ISNUMBER(MATCH(BL$2, AsistenciaJetAdminConcatenada!$A:$A, 0)), ISNUMBER(MATCH(BL$1, AsistenciaJetAdminConcatenada!$B:$B, 0)), ISNUMBER(SEARCH($A60,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ISNUMBER(SEARCH($A60, INDEX(AsistenciaJetAdminConcatenada!$D:$D, MATCH(1, (AsistenciaJetAdminConcatenada!$A:$A=BL$2)*(AsistenciaJetAdminConcatenada!$B:$B=BL$1), 0)), 1))),  0.5, 0))</f>
        <v>0</v>
      </c>
      <c r="BM60" s="47">
        <f t="array" ref="BM60">IF(AND(ISNUMBER(MATCH(BM$2, AsistenciaJetAdminConcatenada!$A:$A, 0)), ISNUMBER(MATCH(BM$1, AsistenciaJetAdminConcatenada!$B:$B, 0)), ISNUMBER(SEARCH($A60,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ISNUMBER(SEARCH($A60, INDEX(AsistenciaJetAdminConcatenada!$D:$D, MATCH(1, (AsistenciaJetAdminConcatenada!$A:$A=BM$2)*(AsistenciaJetAdminConcatenada!$B:$B=BM$1), 0)), 1))),  0.5, 0))</f>
        <v>0</v>
      </c>
      <c r="BN60" s="47">
        <f t="array" ref="BN60">IF(AND(ISNUMBER(MATCH(BN$2, AsistenciaJetAdminConcatenada!$A:$A, 0)), ISNUMBER(MATCH(BN$1, AsistenciaJetAdminConcatenada!$B:$B, 0)), ISNUMBER(SEARCH($A60,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ISNUMBER(SEARCH($A60, INDEX(AsistenciaJetAdminConcatenada!$D:$D, MATCH(1, (AsistenciaJetAdminConcatenada!$A:$A=BN$2)*(AsistenciaJetAdminConcatenada!$B:$B=BN$1), 0)), 1))),  0.5, 0))</f>
        <v>0</v>
      </c>
      <c r="BO60" s="47">
        <f t="array" ref="BO60">IF(AND(ISNUMBER(MATCH(BO$2, AsistenciaJetAdminConcatenada!$A:$A, 0)), ISNUMBER(MATCH(BO$1, AsistenciaJetAdminConcatenada!$B:$B, 0)), ISNUMBER(SEARCH($A60,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ISNUMBER(SEARCH($A60, INDEX(AsistenciaJetAdminConcatenada!$D:$D, MATCH(1, (AsistenciaJetAdminConcatenada!$A:$A=BO$2)*(AsistenciaJetAdminConcatenada!$B:$B=BO$1), 0)), 1))),  0.5, 0))</f>
        <v>0</v>
      </c>
      <c r="BP60" s="47">
        <f t="array" ref="BP60">IF(AND(ISNUMBER(MATCH(BP$2, AsistenciaJetAdminConcatenada!$A:$A, 0)), ISNUMBER(MATCH(BP$1, AsistenciaJetAdminConcatenada!$B:$B, 0)), ISNUMBER(SEARCH($A60,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ISNUMBER(SEARCH($A60, INDEX(AsistenciaJetAdminConcatenada!$D:$D, MATCH(1, (AsistenciaJetAdminConcatenada!$A:$A=BP$2)*(AsistenciaJetAdminConcatenada!$B:$B=BP$1), 0)), 1))),  0.5, 0))</f>
        <v>0</v>
      </c>
      <c r="BQ60" s="47">
        <f t="array" ref="BQ60">IF(AND(ISNUMBER(MATCH(BQ$2, AsistenciaJetAdminConcatenada!$A:$A, 0)), ISNUMBER(MATCH(BQ$1, AsistenciaJetAdminConcatenada!$B:$B, 0)), ISNUMBER(SEARCH($A60,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ISNUMBER(SEARCH($A60, INDEX(AsistenciaJetAdminConcatenada!$D:$D, MATCH(1, (AsistenciaJetAdminConcatenada!$A:$A=BQ$2)*(AsistenciaJetAdminConcatenada!$B:$B=BQ$1), 0)), 1))),  0.5, 0))</f>
        <v>0</v>
      </c>
      <c r="BR60" s="47">
        <f t="array" ref="BR60">IF(AND(ISNUMBER(MATCH(BR$2, AsistenciaJetAdminConcatenada!$A:$A, 0)), ISNUMBER(MATCH(BR$1, AsistenciaJetAdminConcatenada!$B:$B, 0)), ISNUMBER(SEARCH($A60,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ISNUMBER(SEARCH($A60, INDEX(AsistenciaJetAdminConcatenada!$D:$D, MATCH(1, (AsistenciaJetAdminConcatenada!$A:$A=BR$2)*(AsistenciaJetAdminConcatenada!$B:$B=BR$1), 0)), 1))),  0.5, 0))</f>
        <v>0</v>
      </c>
      <c r="BS60" s="47">
        <f t="array" ref="BS60">IF(AND(ISNUMBER(MATCH(BS$2, AsistenciaJetAdminConcatenada!$A:$A, 0)), ISNUMBER(MATCH(BS$1, AsistenciaJetAdminConcatenada!$B:$B, 0)), ISNUMBER(SEARCH($A60,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ISNUMBER(SEARCH($A60, INDEX(AsistenciaJetAdminConcatenada!$D:$D, MATCH(1, (AsistenciaJetAdminConcatenada!$A:$A=BS$2)*(AsistenciaJetAdminConcatenada!$B:$B=BS$1), 0)), 1))),  0.5, 0))</f>
        <v>0</v>
      </c>
      <c r="BT60" s="47">
        <f t="array" ref="BT60">IF(AND(ISNUMBER(MATCH(BT$2, AsistenciaJetAdminConcatenada!$A:$A, 0)), ISNUMBER(MATCH(BT$1, AsistenciaJetAdminConcatenada!$B:$B, 0)), ISNUMBER(SEARCH($A60,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ISNUMBER(SEARCH($A60, INDEX(AsistenciaJetAdminConcatenada!$D:$D, MATCH(1, (AsistenciaJetAdminConcatenada!$A:$A=BT$2)*(AsistenciaJetAdminConcatenada!$B:$B=BT$1), 0)), 1))),  0.5, 0))</f>
        <v>1</v>
      </c>
      <c r="BU60" s="47">
        <f t="array" ref="BU60">IF(AND(ISNUMBER(MATCH(BU$2, AsistenciaJetAdminConcatenada!$A:$A, 0)), ISNUMBER(MATCH(BU$1, AsistenciaJetAdminConcatenada!$B:$B, 0)), ISNUMBER(SEARCH($A60,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ISNUMBER(SEARCH($A60, INDEX(AsistenciaJetAdminConcatenada!$D:$D, MATCH(1, (AsistenciaJetAdminConcatenada!$A:$A=BU$2)*(AsistenciaJetAdminConcatenada!$B:$B=BU$1), 0)), 1))),  0.5, 0))</f>
        <v>1</v>
      </c>
      <c r="BV60" s="47">
        <f t="array" ref="BV60">IF(AND(ISNUMBER(MATCH(BV$2, AsistenciaJetAdminConcatenada!$A:$A, 0)), ISNUMBER(MATCH(BV$1, AsistenciaJetAdminConcatenada!$B:$B, 0)), ISNUMBER(SEARCH($A60,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ISNUMBER(SEARCH($A60, INDEX(AsistenciaJetAdminConcatenada!$D:$D, MATCH(1, (AsistenciaJetAdminConcatenada!$A:$A=BV$2)*(AsistenciaJetAdminConcatenada!$B:$B=BV$1), 0)), 1))),  0.5, 0))</f>
        <v>0</v>
      </c>
      <c r="BW60" s="47">
        <f t="array" ref="BW60">IF(AND(ISNUMBER(MATCH(BW$2, AsistenciaJetAdminConcatenada!$A:$A, 0)), ISNUMBER(MATCH(BW$1, AsistenciaJetAdminConcatenada!$B:$B, 0)), ISNUMBER(SEARCH($A60,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ISNUMBER(SEARCH($A60, INDEX(AsistenciaJetAdminConcatenada!$D:$D, MATCH(1, (AsistenciaJetAdminConcatenada!$A:$A=BW$2)*(AsistenciaJetAdminConcatenada!$B:$B=BW$1), 0)), 1))),  0.5, 0))</f>
        <v>1</v>
      </c>
      <c r="BX60" s="47">
        <f t="array" ref="BX60">IF(AND(ISNUMBER(MATCH(BX$2, AsistenciaJetAdminConcatenada!$A:$A, 0)), ISNUMBER(MATCH(BX$1, AsistenciaJetAdminConcatenada!$B:$B, 0)), ISNUMBER(SEARCH($A60,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ISNUMBER(SEARCH($A60, INDEX(AsistenciaJetAdminConcatenada!$D:$D, MATCH(1, (AsistenciaJetAdminConcatenada!$A:$A=BX$2)*(AsistenciaJetAdminConcatenada!$B:$B=BX$1), 0)), 1))),  0.5, 0))</f>
        <v>0</v>
      </c>
      <c r="BY60" s="47">
        <f t="array" ref="BY60">IF(AND(ISNUMBER(MATCH(BY$2, AsistenciaJetAdminConcatenada!$A:$A, 0)), ISNUMBER(MATCH(BY$1, AsistenciaJetAdminConcatenada!$B:$B, 0)), ISNUMBER(SEARCH($A60,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ISNUMBER(SEARCH($A60, INDEX(AsistenciaJetAdminConcatenada!$D:$D, MATCH(1, (AsistenciaJetAdminConcatenada!$A:$A=BY$2)*(AsistenciaJetAdminConcatenada!$B:$B=BY$1), 0)), 1))),  0.5, 0))</f>
        <v>0</v>
      </c>
      <c r="BZ60" s="47">
        <f t="array" ref="BZ60">IF(AND(ISNUMBER(MATCH(BZ$2, AsistenciaJetAdminConcatenada!$A:$A, 0)), ISNUMBER(MATCH(BZ$1, AsistenciaJetAdminConcatenada!$B:$B, 0)), ISNUMBER(SEARCH($A60,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ISNUMBER(SEARCH($A60, INDEX(AsistenciaJetAdminConcatenada!$D:$D, MATCH(1, (AsistenciaJetAdminConcatenada!$A:$A=BZ$2)*(AsistenciaJetAdminConcatenada!$B:$B=BZ$1), 0)), 1))),  0.5, 0))</f>
        <v>0</v>
      </c>
      <c r="CA60" s="47">
        <f t="array" ref="CA60">IF(AND(ISNUMBER(MATCH(CA$2, AsistenciaJetAdminConcatenada!$A:$A, 0)), ISNUMBER(MATCH(CA$1, AsistenciaJetAdminConcatenada!$B:$B, 0)), ISNUMBER(SEARCH($A60,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ISNUMBER(SEARCH($A60, INDEX(AsistenciaJetAdminConcatenada!$D:$D, MATCH(1, (AsistenciaJetAdminConcatenada!$A:$A=CA$2)*(AsistenciaJetAdminConcatenada!$B:$B=CA$1), 0)), 1))),  0.5, 0))</f>
        <v>0</v>
      </c>
      <c r="CB60" s="47">
        <f t="array" ref="CB60">IF(AND(ISNUMBER(MATCH(CB$2, AsistenciaJetAdminConcatenada!$A:$A, 0)), ISNUMBER(MATCH(CB$1, AsistenciaJetAdminConcatenada!$B:$B, 0)), ISNUMBER(SEARCH($A60,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ISNUMBER(SEARCH($A60, INDEX(AsistenciaJetAdminConcatenada!$D:$D, MATCH(1, (AsistenciaJetAdminConcatenada!$A:$A=CB$2)*(AsistenciaJetAdminConcatenada!$B:$B=CB$1), 0)), 1))),  0.5, 0))</f>
        <v>0</v>
      </c>
      <c r="CC60" s="47">
        <f t="array" ref="CC60">IF(AND(ISNUMBER(MATCH(CC$2, AsistenciaJetAdminConcatenada!$A:$A, 0)), ISNUMBER(MATCH(CC$1, AsistenciaJetAdminConcatenada!$B:$B, 0)), ISNUMBER(SEARCH($A60,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ISNUMBER(SEARCH($A60, INDEX(AsistenciaJetAdminConcatenada!$D:$D, MATCH(1, (AsistenciaJetAdminConcatenada!$A:$A=CC$2)*(AsistenciaJetAdminConcatenada!$B:$B=CC$1), 0)), 1))),  0.5, 0))</f>
        <v>0</v>
      </c>
      <c r="CD60" s="47">
        <f t="array" ref="CD60">IF(AND(ISNUMBER(MATCH(CD$2, AsistenciaJetAdminConcatenada!$A:$A, 0)), ISNUMBER(MATCH(CD$1, AsistenciaJetAdminConcatenada!$B:$B, 0)), ISNUMBER(SEARCH($A60,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ISNUMBER(SEARCH($A60, INDEX(AsistenciaJetAdminConcatenada!$D:$D, MATCH(1, (AsistenciaJetAdminConcatenada!$A:$A=CD$2)*(AsistenciaJetAdminConcatenada!$B:$B=CD$1), 0)), 1))),  0.5, 0))</f>
        <v>0</v>
      </c>
      <c r="CE60" s="47">
        <f t="array" ref="CE60">IF(AND(ISNUMBER(MATCH(CE$2, AsistenciaJetAdminConcatenada!$A:$A, 0)), ISNUMBER(MATCH(CE$1, AsistenciaJetAdminConcatenada!$B:$B, 0)), ISNUMBER(SEARCH($A60,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ISNUMBER(SEARCH($A60, INDEX(AsistenciaJetAdminConcatenada!$D:$D, MATCH(1, (AsistenciaJetAdminConcatenada!$A:$A=CE$2)*(AsistenciaJetAdminConcatenada!$B:$B=CE$1), 0)), 1))),  0.5, 0))</f>
        <v>0</v>
      </c>
      <c r="CF60" s="47">
        <f t="array" ref="CF60">IF(AND(ISNUMBER(MATCH(CF$2, AsistenciaJetAdminConcatenada!$A:$A, 0)), ISNUMBER(MATCH(CF$1, AsistenciaJetAdminConcatenada!$B:$B, 0)), ISNUMBER(SEARCH($A60,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ISNUMBER(SEARCH($A60, INDEX(AsistenciaJetAdminConcatenada!$D:$D, MATCH(1, (AsistenciaJetAdminConcatenada!$A:$A=CF$2)*(AsistenciaJetAdminConcatenada!$B:$B=CF$1), 0)), 1))),  0.5, 0))</f>
        <v>0</v>
      </c>
      <c r="CG60" s="47">
        <f t="array" ref="CG60">IF(AND(ISNUMBER(MATCH(CG$2, AsistenciaJetAdminConcatenada!$A:$A, 0)), ISNUMBER(MATCH(CG$1, AsistenciaJetAdminConcatenada!$B:$B, 0)), ISNUMBER(SEARCH($A60,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ISNUMBER(SEARCH($A60, INDEX(AsistenciaJetAdminConcatenada!$D:$D, MATCH(1, (AsistenciaJetAdminConcatenada!$A:$A=CG$2)*(AsistenciaJetAdminConcatenada!$B:$B=CG$1), 0)), 1))),  0.5, 0))</f>
        <v>1</v>
      </c>
      <c r="CH60" s="47">
        <f t="array" ref="CH60">IF(AND(ISNUMBER(MATCH(CH$2, AsistenciaJetAdminConcatenada!$A:$A, 0)), ISNUMBER(MATCH(CH$1, AsistenciaJetAdminConcatenada!$B:$B, 0)), ISNUMBER(SEARCH($A60,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ISNUMBER(SEARCH($A60, INDEX(AsistenciaJetAdminConcatenada!$D:$D, MATCH(1, (AsistenciaJetAdminConcatenada!$A:$A=CH$2)*(AsistenciaJetAdminConcatenada!$B:$B=CH$1), 0)), 1))),  0.5, 0))</f>
        <v>1</v>
      </c>
      <c r="CI60" s="47">
        <f t="array" ref="CI60">IF(AND(ISNUMBER(MATCH(CI$2, AsistenciaJetAdminConcatenada!$A:$A, 0)), ISNUMBER(MATCH(CI$1, AsistenciaJetAdminConcatenada!$B:$B, 0)), ISNUMBER(SEARCH($A60,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ISNUMBER(SEARCH($A60, INDEX(AsistenciaJetAdminConcatenada!$D:$D, MATCH(1, (AsistenciaJetAdminConcatenada!$A:$A=CI$2)*(AsistenciaJetAdminConcatenada!$B:$B=CI$1), 0)), 1))),  0.5, 0))</f>
        <v>0</v>
      </c>
      <c r="CJ60" s="47">
        <f t="array" ref="CJ60">IF(AND(ISNUMBER(MATCH(CJ$2, AsistenciaJetAdminConcatenada!$A:$A, 0)), ISNUMBER(MATCH(CJ$1, AsistenciaJetAdminConcatenada!$B:$B, 0)), ISNUMBER(SEARCH($A60,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ISNUMBER(SEARCH($A60, INDEX(AsistenciaJetAdminConcatenada!$D:$D, MATCH(1, (AsistenciaJetAdminConcatenada!$A:$A=CJ$2)*(AsistenciaJetAdminConcatenada!$B:$B=CJ$1), 0)), 1))),  0.5, 0))</f>
        <v>0</v>
      </c>
      <c r="CK60" s="47">
        <f t="array" ref="CK60">IF(AND(ISNUMBER(MATCH(CK$2, AsistenciaJetAdminConcatenada!$A:$A, 0)), ISNUMBER(MATCH(CK$1, AsistenciaJetAdminConcatenada!$B:$B, 0)), ISNUMBER(SEARCH($A60,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ISNUMBER(SEARCH($A60, INDEX(AsistenciaJetAdminConcatenada!$D:$D, MATCH(1, (AsistenciaJetAdminConcatenada!$A:$A=CK$2)*(AsistenciaJetAdminConcatenada!$B:$B=CK$1), 0)), 1))),  0.5, 0))</f>
        <v>0</v>
      </c>
      <c r="CL60" s="47">
        <f t="array" ref="CL60">IF(AND(ISNUMBER(MATCH(CL$2, AsistenciaJetAdminConcatenada!$A:$A, 0)), ISNUMBER(MATCH(CL$1, AsistenciaJetAdminConcatenada!$B:$B, 0)), ISNUMBER(SEARCH($A60,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ISNUMBER(SEARCH($A60, INDEX(AsistenciaJetAdminConcatenada!$D:$D, MATCH(1, (AsistenciaJetAdminConcatenada!$A:$A=CL$2)*(AsistenciaJetAdminConcatenada!$B:$B=CL$1), 0)), 1))),  0.5, 0))</f>
        <v>1</v>
      </c>
      <c r="CM60" s="47">
        <f t="array" ref="CM60">IF(AND(ISNUMBER(MATCH(CM$2, AsistenciaJetAdminConcatenada!$A:$A, 0)), ISNUMBER(MATCH(CM$1, AsistenciaJetAdminConcatenada!$B:$B, 0)), ISNUMBER(SEARCH($A60,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ISNUMBER(SEARCH($A60, INDEX(AsistenciaJetAdminConcatenada!$D:$D, MATCH(1, (AsistenciaJetAdminConcatenada!$A:$A=CM$2)*(AsistenciaJetAdminConcatenada!$B:$B=CM$1), 0)), 1))),  0.5, 0))</f>
        <v>1</v>
      </c>
      <c r="CN60" s="47">
        <f t="array" ref="CN60">IF(AND(ISNUMBER(MATCH(CN$2, AsistenciaJetAdminConcatenada!$A:$A, 0)), ISNUMBER(MATCH(CN$1, AsistenciaJetAdminConcatenada!$B:$B, 0)), ISNUMBER(SEARCH($A60,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ISNUMBER(SEARCH($A60, INDEX(AsistenciaJetAdminConcatenada!$D:$D, MATCH(1, (AsistenciaJetAdminConcatenada!$A:$A=CN$2)*(AsistenciaJetAdminConcatenada!$B:$B=CN$1), 0)), 1))),  0.5, 0))</f>
        <v>0</v>
      </c>
      <c r="CO60" s="47">
        <f t="array" ref="CO60">IF(AND(ISNUMBER(MATCH(CO$2, AsistenciaJetAdminConcatenada!$A:$A, 0)), ISNUMBER(MATCH(CO$1, AsistenciaJetAdminConcatenada!$B:$B, 0)), ISNUMBER(SEARCH($A60,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ISNUMBER(SEARCH($A60, INDEX(AsistenciaJetAdminConcatenada!$D:$D, MATCH(1, (AsistenciaJetAdminConcatenada!$A:$A=CO$2)*(AsistenciaJetAdminConcatenada!$B:$B=CO$1), 0)), 1))),  0.5, 0))</f>
        <v>0</v>
      </c>
      <c r="CP60" s="47">
        <f t="array" ref="CP60">IF(AND(ISNUMBER(MATCH(CP$2, AsistenciaJetAdminConcatenada!$A:$A, 0)), ISNUMBER(MATCH(CP$1, AsistenciaJetAdminConcatenada!$B:$B, 0)), ISNUMBER(SEARCH($A60,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ISNUMBER(SEARCH($A60, INDEX(AsistenciaJetAdminConcatenada!$D:$D, MATCH(1, (AsistenciaJetAdminConcatenada!$A:$A=CP$2)*(AsistenciaJetAdminConcatenada!$B:$B=CP$1), 0)), 1))),  0.5, 0))</f>
        <v>0</v>
      </c>
      <c r="CQ60" s="47">
        <f t="array" ref="CQ60">IF(AND(ISNUMBER(MATCH(CQ$2, AsistenciaJetAdminConcatenada!$A:$A, 0)), ISNUMBER(MATCH(CQ$1, AsistenciaJetAdminConcatenada!$B:$B, 0)), ISNUMBER(SEARCH($A60,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ISNUMBER(SEARCH($A60, INDEX(AsistenciaJetAdminConcatenada!$D:$D, MATCH(1, (AsistenciaJetAdminConcatenada!$A:$A=CQ$2)*(AsistenciaJetAdminConcatenada!$B:$B=CQ$1), 0)), 1))),  0.5, 0))</f>
        <v>0</v>
      </c>
      <c r="CR60" s="47">
        <f t="array" ref="CR60">IF(AND(ISNUMBER(MATCH(CR$2, AsistenciaJetAdminConcatenada!$A:$A, 0)), ISNUMBER(MATCH(CR$1, AsistenciaJetAdminConcatenada!$B:$B, 0)), ISNUMBER(SEARCH($A60,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ISNUMBER(SEARCH($A60, INDEX(AsistenciaJetAdminConcatenada!$D:$D, MATCH(1, (AsistenciaJetAdminConcatenada!$A:$A=CR$2)*(AsistenciaJetAdminConcatenada!$B:$B=CR$1), 0)), 1))),  0.5, 0))</f>
        <v>0</v>
      </c>
      <c r="CS60" s="47">
        <f t="array" ref="CS60">IF(AND(ISNUMBER(MATCH(CS$2, AsistenciaJetAdminConcatenada!$A:$A, 0)), ISNUMBER(MATCH(CS$1, AsistenciaJetAdminConcatenada!$B:$B, 0)), ISNUMBER(SEARCH($A60,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ISNUMBER(SEARCH($A60, INDEX(AsistenciaJetAdminConcatenada!$D:$D, MATCH(1, (AsistenciaJetAdminConcatenada!$A:$A=CS$2)*(AsistenciaJetAdminConcatenada!$B:$B=CS$1), 0)), 1))),  0.5, 0))</f>
        <v>0</v>
      </c>
      <c r="CT60" s="47">
        <f t="array" ref="CT60">IF(AND(ISNUMBER(MATCH(CT$2, AsistenciaJetAdminConcatenada!$A:$A, 0)), ISNUMBER(MATCH(CT$1, AsistenciaJetAdminConcatenada!$B:$B, 0)), ISNUMBER(SEARCH($A60,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ISNUMBER(SEARCH($A60, INDEX(AsistenciaJetAdminConcatenada!$D:$D, MATCH(1, (AsistenciaJetAdminConcatenada!$A:$A=CT$2)*(AsistenciaJetAdminConcatenada!$B:$B=CT$1), 0)), 1))),  0.5, 0))</f>
        <v>0</v>
      </c>
      <c r="CU60" s="47">
        <f t="array" ref="CU60">IF(AND(ISNUMBER(MATCH(CU$2, AsistenciaJetAdminConcatenada!$A:$A, 0)), ISNUMBER(MATCH(CU$1, AsistenciaJetAdminConcatenada!$B:$B, 0)), ISNUMBER(SEARCH($A60,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ISNUMBER(SEARCH($A60, INDEX(AsistenciaJetAdminConcatenada!$D:$D, MATCH(1, (AsistenciaJetAdminConcatenada!$A:$A=CU$2)*(AsistenciaJetAdminConcatenada!$B:$B=CU$1), 0)), 1))),  0.5, 0))</f>
        <v>0</v>
      </c>
      <c r="CV60" s="47">
        <f t="array" ref="CV60">IF(AND(ISNUMBER(MATCH(CV$2, AsistenciaJetAdminConcatenada!$A:$A, 0)), ISNUMBER(MATCH(CV$1, AsistenciaJetAdminConcatenada!$B:$B, 0)), ISNUMBER(SEARCH($A60,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ISNUMBER(SEARCH($A60, INDEX(AsistenciaJetAdminConcatenada!$D:$D, MATCH(1, (AsistenciaJetAdminConcatenada!$A:$A=CV$2)*(AsistenciaJetAdminConcatenada!$B:$B=CV$1), 0)), 1))),  0.5, 0))</f>
        <v>0</v>
      </c>
      <c r="CW60" s="47">
        <f t="array" ref="CW60">IF(AND(ISNUMBER(MATCH(CW$2, AsistenciaJetAdminConcatenada!$A:$A, 0)), ISNUMBER(MATCH(CW$1, AsistenciaJetAdminConcatenada!$B:$B, 0)), ISNUMBER(SEARCH($A60,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ISNUMBER(SEARCH($A60, INDEX(AsistenciaJetAdminConcatenada!$D:$D, MATCH(1, (AsistenciaJetAdminConcatenada!$A:$A=CW$2)*(AsistenciaJetAdminConcatenada!$B:$B=CW$1), 0)), 1))),  0.5, 0))</f>
        <v>0</v>
      </c>
      <c r="CX60" s="47">
        <f t="array" ref="CX60">IF(AND(ISNUMBER(MATCH(CX$2, AsistenciaJetAdminConcatenada!$A:$A, 0)), ISNUMBER(MATCH(CX$1, AsistenciaJetAdminConcatenada!$B:$B, 0)), ISNUMBER(SEARCH($A60,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ISNUMBER(SEARCH($A60, INDEX(AsistenciaJetAdminConcatenada!$D:$D, MATCH(1, (AsistenciaJetAdminConcatenada!$A:$A=CX$2)*(AsistenciaJetAdminConcatenada!$B:$B=CX$1), 0)), 1))),  0.5, 0))</f>
        <v>0</v>
      </c>
      <c r="CY60" s="47">
        <f t="array" ref="CY60">IF(AND(ISNUMBER(MATCH(CY$2, AsistenciaJetAdminConcatenada!$A:$A, 0)), ISNUMBER(MATCH(CY$1, AsistenciaJetAdminConcatenada!$B:$B, 0)), ISNUMBER(SEARCH($A60,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ISNUMBER(SEARCH($A60, INDEX(AsistenciaJetAdminConcatenada!$D:$D, MATCH(1, (AsistenciaJetAdminConcatenada!$A:$A=CY$2)*(AsistenciaJetAdminConcatenada!$B:$B=CY$1), 0)), 1))),  0.5, 0))</f>
        <v>0</v>
      </c>
      <c r="CZ60" s="47">
        <f t="array" ref="CZ60">IF(AND(ISNUMBER(MATCH(CZ$2, AsistenciaJetAdminConcatenada!$A:$A, 0)), ISNUMBER(MATCH(CZ$1, AsistenciaJetAdminConcatenada!$B:$B, 0)), ISNUMBER(SEARCH($A60,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ISNUMBER(SEARCH($A60, INDEX(AsistenciaJetAdminConcatenada!$D:$D, MATCH(1, (AsistenciaJetAdminConcatenada!$A:$A=CZ$2)*(AsistenciaJetAdminConcatenada!$B:$B=CZ$1), 0)), 1))),  0.5, 0))</f>
        <v>0</v>
      </c>
      <c r="DA60" s="47">
        <f t="array" ref="DA60">IF(AND(ISNUMBER(MATCH(DA$2, AsistenciaJetAdminConcatenada!$A:$A, 0)), ISNUMBER(MATCH(DA$1, AsistenciaJetAdminConcatenada!$B:$B, 0)), ISNUMBER(SEARCH($A60,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ISNUMBER(SEARCH($A60, INDEX(AsistenciaJetAdminConcatenada!$D:$D, MATCH(1, (AsistenciaJetAdminConcatenada!$A:$A=DA$2)*(AsistenciaJetAdminConcatenada!$B:$B=DA$1), 0)), 1))),  0.5, 0))</f>
        <v>0</v>
      </c>
      <c r="DB60" s="47">
        <f t="array" ref="DB60">IF(AND(ISNUMBER(MATCH(DB$2, AsistenciaJetAdminConcatenada!$A:$A, 0)), ISNUMBER(MATCH(DB$1, AsistenciaJetAdminConcatenada!$B:$B, 0)), ISNUMBER(SEARCH($A60,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ISNUMBER(SEARCH($A60, INDEX(AsistenciaJetAdminConcatenada!$D:$D, MATCH(1, (AsistenciaJetAdminConcatenada!$A:$A=DB$2)*(AsistenciaJetAdminConcatenada!$B:$B=DB$1), 0)), 1))),  0.5, 0))</f>
        <v>0</v>
      </c>
      <c r="DC60" s="47">
        <f t="array" ref="DC60">IF(AND(ISNUMBER(MATCH(DC$2, AsistenciaJetAdminConcatenada!$A:$A, 0)), ISNUMBER(MATCH(DC$1, AsistenciaJetAdminConcatenada!$B:$B, 0)), ISNUMBER(SEARCH($A60,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ISNUMBER(SEARCH($A60, INDEX(AsistenciaJetAdminConcatenada!$D:$D, MATCH(1, (AsistenciaJetAdminConcatenada!$A:$A=DC$2)*(AsistenciaJetAdminConcatenada!$B:$B=DC$1), 0)), 1))),  0.5, 0))</f>
        <v>0</v>
      </c>
      <c r="DD60" s="47">
        <f t="array" ref="DD60">IF(AND(ISNUMBER(MATCH(DD$2, AsistenciaJetAdminConcatenada!$A:$A, 0)), ISNUMBER(MATCH(DD$1, AsistenciaJetAdminConcatenada!$B:$B, 0)), ISNUMBER(SEARCH($A60,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ISNUMBER(SEARCH($A60, INDEX(AsistenciaJetAdminConcatenada!$D:$D, MATCH(1, (AsistenciaJetAdminConcatenada!$A:$A=DD$2)*(AsistenciaJetAdminConcatenada!$B:$B=DD$1), 0)), 1))),  0.5, 0))</f>
        <v>0</v>
      </c>
      <c r="DE60" s="47">
        <f t="array" ref="DE60">IF(AND(ISNUMBER(MATCH(DE$2, AsistenciaJetAdminConcatenada!$A:$A, 0)), ISNUMBER(MATCH(DE$1, AsistenciaJetAdminConcatenada!$B:$B, 0)), ISNUMBER(SEARCH($A60,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ISNUMBER(SEARCH($A60, INDEX(AsistenciaJetAdminConcatenada!$D:$D, MATCH(1, (AsistenciaJetAdminConcatenada!$A:$A=DE$2)*(AsistenciaJetAdminConcatenada!$B:$B=DE$1), 0)), 1))),  0.5, 0))</f>
        <v>0</v>
      </c>
      <c r="DF60" s="47">
        <f t="array" ref="DF60">IF(AND(ISNUMBER(MATCH(DF$2, AsistenciaJetAdminConcatenada!$A:$A, 0)), ISNUMBER(MATCH(DF$1, AsistenciaJetAdminConcatenada!$B:$B, 0)), ISNUMBER(SEARCH($A60,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ISNUMBER(SEARCH($A60, INDEX(AsistenciaJetAdminConcatenada!$D:$D, MATCH(1, (AsistenciaJetAdminConcatenada!$A:$A=DF$2)*(AsistenciaJetAdminConcatenada!$B:$B=DF$1), 0)), 1))),  0.5, 0))</f>
        <v>0</v>
      </c>
      <c r="DG60" s="47">
        <f t="array" ref="DG60">IF(AND(ISNUMBER(MATCH(DG$2, AsistenciaJetAdminConcatenada!$A:$A, 0)), ISNUMBER(MATCH(DG$1, AsistenciaJetAdminConcatenada!$B:$B, 0)), ISNUMBER(SEARCH($A60,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ISNUMBER(SEARCH($A60, INDEX(AsistenciaJetAdminConcatenada!$D:$D, MATCH(1, (AsistenciaJetAdminConcatenada!$A:$A=DG$2)*(AsistenciaJetAdminConcatenada!$B:$B=DG$1), 0)), 1))),  0.5, 0))</f>
        <v>0</v>
      </c>
      <c r="DH60" s="47">
        <f t="array" ref="DH60">IF(AND(ISNUMBER(MATCH(DH$2, AsistenciaJetAdminConcatenada!$A:$A, 0)), ISNUMBER(MATCH(DH$1, AsistenciaJetAdminConcatenada!$B:$B, 0)), ISNUMBER(SEARCH($A60,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ISNUMBER(SEARCH($A60, INDEX(AsistenciaJetAdminConcatenada!$D:$D, MATCH(1, (AsistenciaJetAdminConcatenada!$A:$A=DH$2)*(AsistenciaJetAdminConcatenada!$B:$B=DH$1), 0)), 1))),  0.5, 0))</f>
        <v>0</v>
      </c>
      <c r="DI60" s="47">
        <f t="array" ref="DI60">IF(AND(ISNUMBER(MATCH(DI$2, AsistenciaJetAdminConcatenada!$A:$A, 0)), ISNUMBER(MATCH(DI$1, AsistenciaJetAdminConcatenada!$B:$B, 0)), ISNUMBER(SEARCH($A60,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ISNUMBER(SEARCH($A60, INDEX(AsistenciaJetAdminConcatenada!$D:$D, MATCH(1, (AsistenciaJetAdminConcatenada!$A:$A=DI$2)*(AsistenciaJetAdminConcatenada!$B:$B=DI$1), 0)), 1))),  0.5, 0))</f>
        <v>0</v>
      </c>
      <c r="DJ60" s="47">
        <f t="array" ref="DJ60">IF(AND(ISNUMBER(MATCH(DJ$2, AsistenciaJetAdminConcatenada!$A:$A, 0)), ISNUMBER(MATCH(DJ$1, AsistenciaJetAdminConcatenada!$B:$B, 0)), ISNUMBER(SEARCH($A60,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ISNUMBER(SEARCH($A60, INDEX(AsistenciaJetAdminConcatenada!$D:$D, MATCH(1, (AsistenciaJetAdminConcatenada!$A:$A=DJ$2)*(AsistenciaJetAdminConcatenada!$B:$B=DJ$1), 0)), 1))),  0.5, 0))</f>
        <v>0</v>
      </c>
      <c r="DK60" s="47">
        <f t="array" ref="DK60">IF(AND(ISNUMBER(MATCH(DK$2, AsistenciaJetAdminConcatenada!$A:$A, 0)), ISNUMBER(MATCH(DK$1, AsistenciaJetAdminConcatenada!$B:$B, 0)), ISNUMBER(SEARCH($A60,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ISNUMBER(SEARCH($A60, INDEX(AsistenciaJetAdminConcatenada!$D:$D, MATCH(1, (AsistenciaJetAdminConcatenada!$A:$A=DK$2)*(AsistenciaJetAdminConcatenada!$B:$B=DK$1), 0)), 1))),  0.5, 0))</f>
        <v>0</v>
      </c>
      <c r="DL60" s="47">
        <f t="array" ref="DL60">IF(AND(ISNUMBER(MATCH(DL$2, AsistenciaJetAdminConcatenada!$A:$A, 0)), ISNUMBER(MATCH(DL$1, AsistenciaJetAdminConcatenada!$B:$B, 0)), ISNUMBER(SEARCH($A60,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ISNUMBER(SEARCH($A60, INDEX(AsistenciaJetAdminConcatenada!$D:$D, MATCH(1, (AsistenciaJetAdminConcatenada!$A:$A=DL$2)*(AsistenciaJetAdminConcatenada!$B:$B=DL$1), 0)), 1))),  0.5, 0))</f>
        <v>0</v>
      </c>
      <c r="DM60" s="47">
        <f t="array" ref="DM60">IF(AND(ISNUMBER(MATCH(DM$2, AsistenciaJetAdminConcatenada!$A:$A, 0)), ISNUMBER(MATCH(DM$1, AsistenciaJetAdminConcatenada!$B:$B, 0)), ISNUMBER(SEARCH($A60,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ISNUMBER(SEARCH($A60, INDEX(AsistenciaJetAdminConcatenada!$D:$D, MATCH(1, (AsistenciaJetAdminConcatenada!$A:$A=DM$2)*(AsistenciaJetAdminConcatenada!$B:$B=DM$1), 0)), 1))),  0.5, 0))</f>
        <v>0</v>
      </c>
      <c r="DN60" s="47">
        <f t="array" ref="DN60">IF(AND(ISNUMBER(MATCH(DN$2, AsistenciaJetAdminConcatenada!$A:$A, 0)), ISNUMBER(MATCH(DN$1, AsistenciaJetAdminConcatenada!$B:$B, 0)), ISNUMBER(SEARCH($A60,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ISNUMBER(SEARCH($A60, INDEX(AsistenciaJetAdminConcatenada!$D:$D, MATCH(1, (AsistenciaJetAdminConcatenada!$A:$A=DN$2)*(AsistenciaJetAdminConcatenada!$B:$B=DN$1), 0)), 1))),  0.5, 0))</f>
        <v>0</v>
      </c>
      <c r="DO60" s="47">
        <f t="array" ref="DO60">IF(AND(ISNUMBER(MATCH(DO$2, AsistenciaJetAdminConcatenada!$A:$A, 0)), ISNUMBER(MATCH(DO$1, AsistenciaJetAdminConcatenada!$B:$B, 0)), ISNUMBER(SEARCH($A60,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ISNUMBER(SEARCH($A60, INDEX(AsistenciaJetAdminConcatenada!$D:$D, MATCH(1, (AsistenciaJetAdminConcatenada!$A:$A=DO$2)*(AsistenciaJetAdminConcatenada!$B:$B=DO$1), 0)), 1))),  0.5, 0))</f>
        <v>0</v>
      </c>
      <c r="DP60" s="47">
        <f t="array" ref="DP60">IF(AND(ISNUMBER(MATCH(DP$2, AsistenciaJetAdminConcatenada!$A:$A, 0)), ISNUMBER(MATCH(DP$1, AsistenciaJetAdminConcatenada!$B:$B, 0)), ISNUMBER(SEARCH($A60,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ISNUMBER(SEARCH($A60, INDEX(AsistenciaJetAdminConcatenada!$D:$D, MATCH(1, (AsistenciaJetAdminConcatenada!$A:$A=DP$2)*(AsistenciaJetAdminConcatenada!$B:$B=DP$1), 0)), 1))),  0.5, 0))</f>
        <v>0</v>
      </c>
      <c r="DQ60" s="47">
        <f t="array" ref="DQ60">IF(AND(ISNUMBER(MATCH(DQ$2, AsistenciaJetAdminConcatenada!$A:$A, 0)), ISNUMBER(MATCH(DQ$1, AsistenciaJetAdminConcatenada!$B:$B, 0)), ISNUMBER(SEARCH($A60,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ISNUMBER(SEARCH($A60, INDEX(AsistenciaJetAdminConcatenada!$D:$D, MATCH(1, (AsistenciaJetAdminConcatenada!$A:$A=DQ$2)*(AsistenciaJetAdminConcatenada!$B:$B=DQ$1), 0)), 1))),  0.5, 0))</f>
        <v>0</v>
      </c>
      <c r="DR60" s="47">
        <f t="array" ref="DR60">IF(AND(ISNUMBER(MATCH(DR$2, AsistenciaJetAdminConcatenada!$A:$A, 0)), ISNUMBER(MATCH(DR$1, AsistenciaJetAdminConcatenada!$B:$B, 0)), ISNUMBER(SEARCH($A60,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ISNUMBER(SEARCH($A60, INDEX(AsistenciaJetAdminConcatenada!$D:$D, MATCH(1, (AsistenciaJetAdminConcatenada!$A:$A=DR$2)*(AsistenciaJetAdminConcatenada!$B:$B=DR$1), 0)), 1))),  0.5, 0))</f>
        <v>0</v>
      </c>
      <c r="DS60" s="47">
        <f t="array" ref="DS60">IF(AND(ISNUMBER(MATCH(DS$2, AsistenciaJetAdminConcatenada!$A:$A, 0)), ISNUMBER(MATCH(DS$1, AsistenciaJetAdminConcatenada!$B:$B, 0)), ISNUMBER(SEARCH($A60,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ISNUMBER(SEARCH($A60, INDEX(AsistenciaJetAdminConcatenada!$D:$D, MATCH(1, (AsistenciaJetAdminConcatenada!$A:$A=DS$2)*(AsistenciaJetAdminConcatenada!$B:$B=DS$1), 0)), 1))),  0.5, 0))</f>
        <v>0</v>
      </c>
      <c r="DT60" s="47">
        <f t="array" ref="DT60">IF(AND(ISNUMBER(MATCH(DT$2, AsistenciaJetAdminConcatenada!$A:$A, 0)), ISNUMBER(MATCH(DT$1, AsistenciaJetAdminConcatenada!$B:$B, 0)), ISNUMBER(SEARCH($A60,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ISNUMBER(SEARCH($A60, INDEX(AsistenciaJetAdminConcatenada!$D:$D, MATCH(1, (AsistenciaJetAdminConcatenada!$A:$A=DT$2)*(AsistenciaJetAdminConcatenada!$B:$B=DT$1), 0)), 1))),  0.5, 0))</f>
        <v>0</v>
      </c>
      <c r="DU60" s="47">
        <f t="array" ref="DU60">IF(AND(ISNUMBER(MATCH(DU$2, AsistenciaJetAdminConcatenada!$A:$A, 0)), ISNUMBER(MATCH(DU$1, AsistenciaJetAdminConcatenada!$B:$B, 0)), ISNUMBER(SEARCH($A60,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ISNUMBER(SEARCH($A60, INDEX(AsistenciaJetAdminConcatenada!$D:$D, MATCH(1, (AsistenciaJetAdminConcatenada!$A:$A=DU$2)*(AsistenciaJetAdminConcatenada!$B:$B=DU$1), 0)), 1))),  0.5, 0))</f>
        <v>0</v>
      </c>
      <c r="DV60" s="47">
        <f t="array" ref="DV60">IF(AND(ISNUMBER(MATCH(DV$2, AsistenciaJetAdminConcatenada!$A:$A, 0)), ISNUMBER(MATCH(DV$1, AsistenciaJetAdminConcatenada!$B:$B, 0)), ISNUMBER(SEARCH($A60,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ISNUMBER(SEARCH($A60, INDEX(AsistenciaJetAdminConcatenada!$D:$D, MATCH(1, (AsistenciaJetAdminConcatenada!$A:$A=DV$2)*(AsistenciaJetAdminConcatenada!$B:$B=DV$1), 0)), 1))),  0.5, 0))</f>
        <v>0</v>
      </c>
      <c r="DW60" s="47">
        <f t="array" ref="DW60">IF(AND(ISNUMBER(MATCH(DW$2, AsistenciaJetAdminConcatenada!$A:$A, 0)), ISNUMBER(MATCH(DW$1, AsistenciaJetAdminConcatenada!$B:$B, 0)), ISNUMBER(SEARCH($A60,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ISNUMBER(SEARCH($A60, INDEX(AsistenciaJetAdminConcatenada!$D:$D, MATCH(1, (AsistenciaJetAdminConcatenada!$A:$A=DW$2)*(AsistenciaJetAdminConcatenada!$B:$B=DW$1), 0)), 1))),  0.5, 0))</f>
        <v>0</v>
      </c>
      <c r="DX60" s="47">
        <f t="array" ref="DX60">IF(AND(ISNUMBER(MATCH(DX$2, AsistenciaJetAdminConcatenada!$A:$A, 0)), ISNUMBER(MATCH(DX$1, AsistenciaJetAdminConcatenada!$B:$B, 0)), ISNUMBER(SEARCH($A60,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ISNUMBER(SEARCH($A60, INDEX(AsistenciaJetAdminConcatenada!$D:$D, MATCH(1, (AsistenciaJetAdminConcatenada!$A:$A=DX$2)*(AsistenciaJetAdminConcatenada!$B:$B=DX$1), 0)), 1))),  0.5, 0))</f>
        <v>0</v>
      </c>
      <c r="DY60" s="47">
        <f t="array" ref="DY60">IF(AND(ISNUMBER(MATCH(DY$2, AsistenciaJetAdminConcatenada!$A:$A, 0)), ISNUMBER(MATCH(DY$1, AsistenciaJetAdminConcatenada!$B:$B, 0)), ISNUMBER(SEARCH($A60,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ISNUMBER(SEARCH($A60, INDEX(AsistenciaJetAdminConcatenada!$D:$D, MATCH(1, (AsistenciaJetAdminConcatenada!$A:$A=DY$2)*(AsistenciaJetAdminConcatenada!$B:$B=DY$1), 0)), 1))),  0.5, 0))</f>
        <v>0</v>
      </c>
      <c r="DZ60" s="47">
        <f t="array" ref="DZ60">IF(AND(ISNUMBER(MATCH(DZ$2, AsistenciaJetAdminConcatenada!$A:$A, 0)), ISNUMBER(MATCH(DZ$1, AsistenciaJetAdminConcatenada!$B:$B, 0)), ISNUMBER(SEARCH($A60,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ISNUMBER(SEARCH($A60, INDEX(AsistenciaJetAdminConcatenada!$D:$D, MATCH(1, (AsistenciaJetAdminConcatenada!$A:$A=DZ$2)*(AsistenciaJetAdminConcatenada!$B:$B=DZ$1), 0)), 1))),  0.5, 0))</f>
        <v>0</v>
      </c>
      <c r="EA60" s="47">
        <f t="array" ref="EA60">IF(AND(ISNUMBER(MATCH(EA$2, AsistenciaJetAdminConcatenada!$A:$A, 0)), ISNUMBER(MATCH(EA$1, AsistenciaJetAdminConcatenada!$B:$B, 0)), ISNUMBER(SEARCH($A60,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ISNUMBER(SEARCH($A60, INDEX(AsistenciaJetAdminConcatenada!$D:$D, MATCH(1, (AsistenciaJetAdminConcatenada!$A:$A=EA$2)*(AsistenciaJetAdminConcatenada!$B:$B=EA$1), 0)), 1))),  0.5, 0))</f>
        <v>0</v>
      </c>
      <c r="EB60" s="47">
        <f t="array" ref="EB60">IF(AND(ISNUMBER(MATCH(EB$2, AsistenciaJetAdminConcatenada!$A:$A, 0)), ISNUMBER(MATCH(EB$1, AsistenciaJetAdminConcatenada!$B:$B, 0)), ISNUMBER(SEARCH($A60,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ISNUMBER(SEARCH($A60, INDEX(AsistenciaJetAdminConcatenada!$D:$D, MATCH(1, (AsistenciaJetAdminConcatenada!$A:$A=EB$2)*(AsistenciaJetAdminConcatenada!$B:$B=EB$1), 0)), 1))),  0.5, 0))</f>
        <v>0</v>
      </c>
      <c r="EC60" s="47">
        <f t="array" ref="EC60">IF(AND(ISNUMBER(MATCH(EC$2, AsistenciaJetAdminConcatenada!$A:$A, 0)), ISNUMBER(MATCH(EC$1, AsistenciaJetAdminConcatenada!$B:$B, 0)), ISNUMBER(SEARCH($A60,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ISNUMBER(SEARCH($A60, INDEX(AsistenciaJetAdminConcatenada!$D:$D, MATCH(1, (AsistenciaJetAdminConcatenada!$A:$A=EC$2)*(AsistenciaJetAdminConcatenada!$B:$B=EC$1), 0)), 1))),  0.5, 0))</f>
        <v>0</v>
      </c>
      <c r="ED60" s="47">
        <f t="array" ref="ED60">IF(AND(ISNUMBER(MATCH(ED$2, AsistenciaJetAdminConcatenada!$A:$A, 0)), ISNUMBER(MATCH(ED$1, AsistenciaJetAdminConcatenada!$B:$B, 0)), ISNUMBER(SEARCH($A60,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ISNUMBER(SEARCH($A60, INDEX(AsistenciaJetAdminConcatenada!$D:$D, MATCH(1, (AsistenciaJetAdminConcatenada!$A:$A=ED$2)*(AsistenciaJetAdminConcatenada!$B:$B=ED$1), 0)), 1))),  0.5, 0))</f>
        <v>0</v>
      </c>
      <c r="EE60" s="47">
        <f t="array" ref="EE60">IF(AND(ISNUMBER(MATCH(EE$2, AsistenciaJetAdminConcatenada!$A:$A, 0)), ISNUMBER(MATCH(EE$1, AsistenciaJetAdminConcatenada!$B:$B, 0)), ISNUMBER(SEARCH($A60,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ISNUMBER(SEARCH($A60, INDEX(AsistenciaJetAdminConcatenada!$D:$D, MATCH(1, (AsistenciaJetAdminConcatenada!$A:$A=EE$2)*(AsistenciaJetAdminConcatenada!$B:$B=EE$1), 0)), 1))),  0.5, 0))</f>
        <v>0</v>
      </c>
      <c r="EF60" s="47">
        <f t="array" ref="EF60">IF(AND(ISNUMBER(MATCH(EF$2, AsistenciaJetAdminConcatenada!$A:$A, 0)), ISNUMBER(MATCH(EF$1, AsistenciaJetAdminConcatenada!$B:$B, 0)), ISNUMBER(SEARCH($A60,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ISNUMBER(SEARCH($A60, INDEX(AsistenciaJetAdminConcatenada!$D:$D, MATCH(1, (AsistenciaJetAdminConcatenada!$A:$A=EF$2)*(AsistenciaJetAdminConcatenada!$B:$B=EF$1), 0)), 1))),  0.5, 0))</f>
        <v>0</v>
      </c>
      <c r="EG60" s="47">
        <f t="array" ref="EG60">IF(AND(ISNUMBER(MATCH(EG$2, AsistenciaJetAdminConcatenada!$A:$A, 0)), ISNUMBER(MATCH(EG$1, AsistenciaJetAdminConcatenada!$B:$B, 0)), ISNUMBER(SEARCH($A60,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ISNUMBER(SEARCH($A60, INDEX(AsistenciaJetAdminConcatenada!$D:$D, MATCH(1, (AsistenciaJetAdminConcatenada!$A:$A=EG$2)*(AsistenciaJetAdminConcatenada!$B:$B=EG$1), 0)), 1))),  0.5, 0))</f>
        <v>0</v>
      </c>
      <c r="EH60" s="47">
        <f t="array" ref="EH60">IF(AND(ISNUMBER(MATCH(EH$2, AsistenciaJetAdminConcatenada!$A:$A, 0)), ISNUMBER(MATCH(EH$1, AsistenciaJetAdminConcatenada!$B:$B, 0)), ISNUMBER(SEARCH($A60,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ISNUMBER(SEARCH($A60, INDEX(AsistenciaJetAdminConcatenada!$D:$D, MATCH(1, (AsistenciaJetAdminConcatenada!$A:$A=EH$2)*(AsistenciaJetAdminConcatenada!$B:$B=EH$1), 0)), 1))),  0.5, 0))</f>
        <v>0</v>
      </c>
      <c r="EI60" s="47">
        <f t="array" ref="EI60">IF(AND(ISNUMBER(MATCH(EI$2, AsistenciaJetAdminConcatenada!$A:$A, 0)), ISNUMBER(MATCH(EI$1, AsistenciaJetAdminConcatenada!$B:$B, 0)), ISNUMBER(SEARCH($A60,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ISNUMBER(SEARCH($A60, INDEX(AsistenciaJetAdminConcatenada!$D:$D, MATCH(1, (AsistenciaJetAdminConcatenada!$A:$A=EI$2)*(AsistenciaJetAdminConcatenada!$B:$B=EI$1), 0)), 1))),  0.5, 0))</f>
        <v>0</v>
      </c>
      <c r="EJ60" s="47">
        <f t="array" ref="EJ60">IF(AND(ISNUMBER(MATCH(EJ$2, AsistenciaJetAdminConcatenada!$A:$A, 0)), ISNUMBER(MATCH(EJ$1, AsistenciaJetAdminConcatenada!$B:$B, 0)), ISNUMBER(SEARCH($A60,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ISNUMBER(SEARCH($A60, INDEX(AsistenciaJetAdminConcatenada!$D:$D, MATCH(1, (AsistenciaJetAdminConcatenada!$A:$A=EJ$2)*(AsistenciaJetAdminConcatenada!$B:$B=EJ$1), 0)), 1))),  0.5, 0))</f>
        <v>0</v>
      </c>
      <c r="EK60" s="47">
        <f t="array" ref="EK60">IF(AND(ISNUMBER(MATCH(EK$2, AsistenciaJetAdminConcatenada!$A:$A, 0)), ISNUMBER(MATCH(EK$1, AsistenciaJetAdminConcatenada!$B:$B, 0)), ISNUMBER(SEARCH($A60,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ISNUMBER(SEARCH($A60, INDEX(AsistenciaJetAdminConcatenada!$D:$D, MATCH(1, (AsistenciaJetAdminConcatenada!$A:$A=EK$2)*(AsistenciaJetAdminConcatenada!$B:$B=EK$1), 0)), 1))),  0.5, 0))</f>
        <v>0</v>
      </c>
      <c r="EL60" s="47">
        <f t="array" ref="EL60">IF(AND(ISNUMBER(MATCH(EL$2, AsistenciaJetAdminConcatenada!$A:$A, 0)), ISNUMBER(MATCH(EL$1, AsistenciaJetAdminConcatenada!$B:$B, 0)), ISNUMBER(SEARCH($A60,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ISNUMBER(SEARCH($A60, INDEX(AsistenciaJetAdminConcatenada!$D:$D, MATCH(1, (AsistenciaJetAdminConcatenada!$A:$A=EL$2)*(AsistenciaJetAdminConcatenada!$B:$B=EL$1), 0)), 1))),  0.5, 0))</f>
        <v>0</v>
      </c>
      <c r="EM60" s="47">
        <f t="array" ref="EM60">IF(AND(ISNUMBER(MATCH(EM$2, AsistenciaJetAdminConcatenada!$A:$A, 0)), ISNUMBER(MATCH(EM$1, AsistenciaJetAdminConcatenada!$B:$B, 0)), ISNUMBER(SEARCH($A60,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ISNUMBER(SEARCH($A60, INDEX(AsistenciaJetAdminConcatenada!$D:$D, MATCH(1, (AsistenciaJetAdminConcatenada!$A:$A=EM$2)*(AsistenciaJetAdminConcatenada!$B:$B=EM$1), 0)), 1))),  0.5, 0))</f>
        <v>0</v>
      </c>
      <c r="EN60" s="47">
        <f t="array" ref="EN60">IF(AND(ISNUMBER(MATCH(EN$2, AsistenciaJetAdminConcatenada!$A:$A, 0)), ISNUMBER(MATCH(EN$1, AsistenciaJetAdminConcatenada!$B:$B, 0)), ISNUMBER(SEARCH($A60,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ISNUMBER(SEARCH($A60, INDEX(AsistenciaJetAdminConcatenada!$D:$D, MATCH(1, (AsistenciaJetAdminConcatenada!$A:$A=EN$2)*(AsistenciaJetAdminConcatenada!$B:$B=EN$1), 0)), 1))),  0.5, 0))</f>
        <v>0</v>
      </c>
      <c r="EO60" s="47">
        <f t="array" ref="EO60">IF(AND(ISNUMBER(MATCH(EO$2, AsistenciaJetAdminConcatenada!$A:$A, 0)), ISNUMBER(MATCH(EO$1, AsistenciaJetAdminConcatenada!$B:$B, 0)), ISNUMBER(SEARCH($A60,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ISNUMBER(SEARCH($A60, INDEX(AsistenciaJetAdminConcatenada!$D:$D, MATCH(1, (AsistenciaJetAdminConcatenada!$A:$A=EO$2)*(AsistenciaJetAdminConcatenada!$B:$B=EO$1), 0)), 1))),  0.5, 0))</f>
        <v>0</v>
      </c>
      <c r="EP60" s="47">
        <f t="array" ref="EP60">IF(AND(ISNUMBER(MATCH(EP$2, AsistenciaJetAdminConcatenada!$A:$A, 0)), ISNUMBER(MATCH(EP$1, AsistenciaJetAdminConcatenada!$B:$B, 0)), ISNUMBER(SEARCH($A60,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ISNUMBER(SEARCH($A60, INDEX(AsistenciaJetAdminConcatenada!$D:$D, MATCH(1, (AsistenciaJetAdminConcatenada!$A:$A=EP$2)*(AsistenciaJetAdminConcatenada!$B:$B=EP$1), 0)), 1))),  0.5, 0))</f>
        <v>0</v>
      </c>
      <c r="EQ60" s="47">
        <f t="array" ref="EQ60">IF(AND(ISNUMBER(MATCH(EQ$2, AsistenciaJetAdminConcatenada!$A:$A, 0)), ISNUMBER(MATCH(EQ$1, AsistenciaJetAdminConcatenada!$B:$B, 0)), ISNUMBER(SEARCH($A60,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ISNUMBER(SEARCH($A60, INDEX(AsistenciaJetAdminConcatenada!$D:$D, MATCH(1, (AsistenciaJetAdminConcatenada!$A:$A=EQ$2)*(AsistenciaJetAdminConcatenada!$B:$B=EQ$1), 0)), 1))),  0.5, 0))</f>
        <v>0</v>
      </c>
      <c r="ER60" s="47">
        <f t="array" ref="ER60">IF(AND(ISNUMBER(MATCH(ER$2, AsistenciaJetAdminConcatenada!$A:$A, 0)), ISNUMBER(MATCH(ER$1, AsistenciaJetAdminConcatenada!$B:$B, 0)), ISNUMBER(SEARCH($A60,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ISNUMBER(SEARCH($A60, INDEX(AsistenciaJetAdminConcatenada!$D:$D, MATCH(1, (AsistenciaJetAdminConcatenada!$A:$A=ER$2)*(AsistenciaJetAdminConcatenada!$B:$B=ER$1), 0)), 1))),  0.5, 0))</f>
        <v>0</v>
      </c>
      <c r="ES60" s="47">
        <f t="array" ref="ES60">IF(AND(ISNUMBER(MATCH(ES$2, AsistenciaJetAdminConcatenada!$A:$A, 0)), ISNUMBER(MATCH(ES$1, AsistenciaJetAdminConcatenada!$B:$B, 0)), ISNUMBER(SEARCH($A60,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ISNUMBER(SEARCH($A60, INDEX(AsistenciaJetAdminConcatenada!$D:$D, MATCH(1, (AsistenciaJetAdminConcatenada!$A:$A=ES$2)*(AsistenciaJetAdminConcatenada!$B:$B=ES$1), 0)), 1))),  0.5, 0))</f>
        <v>0</v>
      </c>
      <c r="ET60" s="47">
        <f t="array" ref="ET60">IF(AND(ISNUMBER(MATCH(ET$2, AsistenciaJetAdminConcatenada!$A:$A, 0)), ISNUMBER(MATCH(ET$1, AsistenciaJetAdminConcatenada!$B:$B, 0)), ISNUMBER(SEARCH($A60,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ISNUMBER(SEARCH($A60, INDEX(AsistenciaJetAdminConcatenada!$D:$D, MATCH(1, (AsistenciaJetAdminConcatenada!$A:$A=ET$2)*(AsistenciaJetAdminConcatenada!$B:$B=ET$1), 0)), 1))),  0.5, 0))</f>
        <v>0</v>
      </c>
      <c r="EU60" s="47">
        <f t="array" ref="EU60">IF(AND(ISNUMBER(MATCH(EU$2, AsistenciaJetAdminConcatenada!$A:$A, 0)), ISNUMBER(MATCH(EU$1, AsistenciaJetAdminConcatenada!$B:$B, 0)), ISNUMBER(SEARCH($A60,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ISNUMBER(SEARCH($A60, INDEX(AsistenciaJetAdminConcatenada!$D:$D, MATCH(1, (AsistenciaJetAdminConcatenada!$A:$A=EU$2)*(AsistenciaJetAdminConcatenada!$B:$B=EU$1), 0)), 1))),  0.5, 0))</f>
        <v>0</v>
      </c>
      <c r="EV60" s="47">
        <f t="array" ref="EV60">IF(AND(ISNUMBER(MATCH(EV$2, AsistenciaJetAdminConcatenada!$A:$A, 0)), ISNUMBER(MATCH(EV$1, AsistenciaJetAdminConcatenada!$B:$B, 0)), ISNUMBER(SEARCH($A60,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ISNUMBER(SEARCH($A60, INDEX(AsistenciaJetAdminConcatenada!$D:$D, MATCH(1, (AsistenciaJetAdminConcatenada!$A:$A=EV$2)*(AsistenciaJetAdminConcatenada!$B:$B=EV$1), 0)), 1))),  0.5, 0))</f>
        <v>0</v>
      </c>
      <c r="EW60" s="47">
        <f t="array" ref="EW60">IF(AND(ISNUMBER(MATCH(EW$2, AsistenciaJetAdminConcatenada!$A:$A, 0)), ISNUMBER(MATCH(EW$1, AsistenciaJetAdminConcatenada!$B:$B, 0)), ISNUMBER(SEARCH($A60,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ISNUMBER(SEARCH($A60, INDEX(AsistenciaJetAdminConcatenada!$D:$D, MATCH(1, (AsistenciaJetAdminConcatenada!$A:$A=EW$2)*(AsistenciaJetAdminConcatenada!$B:$B=EW$1), 0)), 1))),  0.5, 0))</f>
        <v>0</v>
      </c>
      <c r="EX60" s="47">
        <f t="array" ref="EX60">IF(AND(ISNUMBER(MATCH(EX$2, AsistenciaJetAdminConcatenada!$A:$A, 0)), ISNUMBER(MATCH(EX$1, AsistenciaJetAdminConcatenada!$B:$B, 0)), ISNUMBER(SEARCH($A60,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ISNUMBER(SEARCH($A60, INDEX(AsistenciaJetAdminConcatenada!$D:$D, MATCH(1, (AsistenciaJetAdminConcatenada!$A:$A=EX$2)*(AsistenciaJetAdminConcatenada!$B:$B=EX$1), 0)), 1))),  0.5, 0))</f>
        <v>0</v>
      </c>
      <c r="EY60" s="47">
        <f t="array" ref="EY60">IF(AND(ISNUMBER(MATCH(EY$2, AsistenciaJetAdminConcatenada!$A:$A, 0)), ISNUMBER(MATCH(EY$1, AsistenciaJetAdminConcatenada!$B:$B, 0)), ISNUMBER(SEARCH($A60,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ISNUMBER(SEARCH($A60, INDEX(AsistenciaJetAdminConcatenada!$D:$D, MATCH(1, (AsistenciaJetAdminConcatenada!$A:$A=EY$2)*(AsistenciaJetAdminConcatenada!$B:$B=EY$1), 0)), 1))),  0.5, 0))</f>
        <v>0</v>
      </c>
      <c r="EZ60" s="47">
        <f t="array" ref="EZ60">IF(AND(ISNUMBER(MATCH(EZ$2, AsistenciaJetAdminConcatenada!$A:$A, 0)), ISNUMBER(MATCH(EZ$1, AsistenciaJetAdminConcatenada!$B:$B, 0)), ISNUMBER(SEARCH($A60,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ISNUMBER(SEARCH($A60, INDEX(AsistenciaJetAdminConcatenada!$D:$D, MATCH(1, (AsistenciaJetAdminConcatenada!$A:$A=EZ$2)*(AsistenciaJetAdminConcatenada!$B:$B=EZ$1), 0)), 1))),  0.5, 0))</f>
        <v>0</v>
      </c>
      <c r="FA60" s="47">
        <f t="array" ref="FA60">IF(AND(ISNUMBER(MATCH(FA$2, AsistenciaJetAdminConcatenada!$A:$A, 0)), ISNUMBER(MATCH(FA$1, AsistenciaJetAdminConcatenada!$B:$B, 0)), ISNUMBER(SEARCH($A60,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ISNUMBER(SEARCH($A60, INDEX(AsistenciaJetAdminConcatenada!$D:$D, MATCH(1, (AsistenciaJetAdminConcatenada!$A:$A=FA$2)*(AsistenciaJetAdminConcatenada!$B:$B=FA$1), 0)), 1))),  0.5, 0))</f>
        <v>0</v>
      </c>
      <c r="FB60" s="47">
        <f t="array" ref="FB60">IF(AND(ISNUMBER(MATCH(FB$2, AsistenciaJetAdminConcatenada!$A:$A, 0)), ISNUMBER(MATCH(FB$1, AsistenciaJetAdminConcatenada!$B:$B, 0)), ISNUMBER(SEARCH($A60,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ISNUMBER(SEARCH($A60, INDEX(AsistenciaJetAdminConcatenada!$D:$D, MATCH(1, (AsistenciaJetAdminConcatenada!$A:$A=FB$2)*(AsistenciaJetAdminConcatenada!$B:$B=FB$1), 0)), 1))),  0.5, 0))</f>
        <v>0</v>
      </c>
      <c r="FC60" s="47">
        <f t="array" ref="FC60">IF(AND(ISNUMBER(MATCH(FC$2, AsistenciaJetAdminConcatenada!$A:$A, 0)), ISNUMBER(MATCH(FC$1, AsistenciaJetAdminConcatenada!$B:$B, 0)), ISNUMBER(SEARCH($A60,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ISNUMBER(SEARCH($A60, INDEX(AsistenciaJetAdminConcatenada!$D:$D, MATCH(1, (AsistenciaJetAdminConcatenada!$A:$A=FC$2)*(AsistenciaJetAdminConcatenada!$B:$B=FC$1), 0)), 1))),  0.5, 0))</f>
        <v>0</v>
      </c>
      <c r="FD60" s="47">
        <f t="array" ref="FD60">IF(AND(ISNUMBER(MATCH(FD$2, AsistenciaJetAdminConcatenada!$A:$A, 0)), ISNUMBER(MATCH(FD$1, AsistenciaJetAdminConcatenada!$B:$B, 0)), ISNUMBER(SEARCH($A60,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ISNUMBER(SEARCH($A60, INDEX(AsistenciaJetAdminConcatenada!$D:$D, MATCH(1, (AsistenciaJetAdminConcatenada!$A:$A=FD$2)*(AsistenciaJetAdminConcatenada!$B:$B=FD$1), 0)), 1))),  0.5, 0))</f>
        <v>0</v>
      </c>
      <c r="FE60" s="47">
        <f t="array" ref="FE60">IF(AND(ISNUMBER(MATCH(FE$2, AsistenciaJetAdminConcatenada!$A:$A, 0)), ISNUMBER(MATCH(FE$1, AsistenciaJetAdminConcatenada!$B:$B, 0)), ISNUMBER(SEARCH($A60,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ISNUMBER(SEARCH($A60, INDEX(AsistenciaJetAdminConcatenada!$D:$D, MATCH(1, (AsistenciaJetAdminConcatenada!$A:$A=FE$2)*(AsistenciaJetAdminConcatenada!$B:$B=FE$1), 0)), 1))),  0.5, 0))</f>
        <v>0</v>
      </c>
      <c r="FF60" s="47">
        <f t="array" ref="FF60">IF(AND(ISNUMBER(MATCH(FF$2, AsistenciaJetAdminConcatenada!$A:$A, 0)), ISNUMBER(MATCH(FF$1, AsistenciaJetAdminConcatenada!$B:$B, 0)), ISNUMBER(SEARCH($A60,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ISNUMBER(SEARCH($A60, INDEX(AsistenciaJetAdminConcatenada!$D:$D, MATCH(1, (AsistenciaJetAdminConcatenada!$A:$A=FF$2)*(AsistenciaJetAdminConcatenada!$B:$B=FF$1), 0)), 1))),  0.5, 0))</f>
        <v>0</v>
      </c>
      <c r="FG60" s="47">
        <f t="array" ref="FG60">IF(AND(ISNUMBER(MATCH(FG$2, AsistenciaJetAdminConcatenada!$A:$A, 0)), ISNUMBER(MATCH(FG$1, AsistenciaJetAdminConcatenada!$B:$B, 0)), ISNUMBER(SEARCH($A60,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ISNUMBER(SEARCH($A60, INDEX(AsistenciaJetAdminConcatenada!$D:$D, MATCH(1, (AsistenciaJetAdminConcatenada!$A:$A=FG$2)*(AsistenciaJetAdminConcatenada!$B:$B=FG$1), 0)), 1))),  0.5, 0))</f>
        <v>0</v>
      </c>
      <c r="FH60" s="47">
        <f t="array" ref="FH60">IF(AND(ISNUMBER(MATCH(FH$2, AsistenciaJetAdminConcatenada!$A:$A, 0)), ISNUMBER(MATCH(FH$1, AsistenciaJetAdminConcatenada!$B:$B, 0)), ISNUMBER(SEARCH($A60,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ISNUMBER(SEARCH($A60, INDEX(AsistenciaJetAdminConcatenada!$D:$D, MATCH(1, (AsistenciaJetAdminConcatenada!$A:$A=FH$2)*(AsistenciaJetAdminConcatenada!$B:$B=FH$1), 0)), 1))),  0.5, 0))</f>
        <v>0</v>
      </c>
      <c r="FI60" s="47">
        <f t="array" ref="FI60">IF(AND(ISNUMBER(MATCH(FI$2, AsistenciaJetAdminConcatenada!$A:$A, 0)), ISNUMBER(MATCH(FI$1, AsistenciaJetAdminConcatenada!$B:$B, 0)), ISNUMBER(SEARCH($A60,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ISNUMBER(SEARCH($A60, INDEX(AsistenciaJetAdminConcatenada!$D:$D, MATCH(1, (AsistenciaJetAdminConcatenada!$A:$A=FI$2)*(AsistenciaJetAdminConcatenada!$B:$B=FI$1), 0)), 1))),  0.5, 0))</f>
        <v>0</v>
      </c>
      <c r="FJ60" s="47">
        <f t="array" ref="FJ60">IF(AND(ISNUMBER(MATCH(FJ$2, AsistenciaJetAdminConcatenada!$A:$A, 0)), ISNUMBER(MATCH(FJ$1, AsistenciaJetAdminConcatenada!$B:$B, 0)), ISNUMBER(SEARCH($A60,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ISNUMBER(SEARCH($A60, INDEX(AsistenciaJetAdminConcatenada!$D:$D, MATCH(1, (AsistenciaJetAdminConcatenada!$A:$A=FJ$2)*(AsistenciaJetAdminConcatenada!$B:$B=FJ$1), 0)), 1))),  0.5, 0))</f>
        <v>0</v>
      </c>
      <c r="FK60" s="47">
        <f t="array" ref="FK60">IF(AND(ISNUMBER(MATCH(FK$2, AsistenciaJetAdminConcatenada!$A:$A, 0)), ISNUMBER(MATCH(FK$1, AsistenciaJetAdminConcatenada!$B:$B, 0)), ISNUMBER(SEARCH($A60,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ISNUMBER(SEARCH($A60, INDEX(AsistenciaJetAdminConcatenada!$D:$D, MATCH(1, (AsistenciaJetAdminConcatenada!$A:$A=FK$2)*(AsistenciaJetAdminConcatenada!$B:$B=FK$1), 0)), 1))),  0.5, 0))</f>
        <v>0</v>
      </c>
      <c r="FL60" s="47">
        <f t="array" ref="FL60">IF(AND(ISNUMBER(MATCH(FL$2, AsistenciaJetAdminConcatenada!$A:$A, 0)), ISNUMBER(MATCH(FL$1, AsistenciaJetAdminConcatenada!$B:$B, 0)), ISNUMBER(SEARCH($A60,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ISNUMBER(SEARCH($A60, INDEX(AsistenciaJetAdminConcatenada!$D:$D, MATCH(1, (AsistenciaJetAdminConcatenada!$A:$A=FL$2)*(AsistenciaJetAdminConcatenada!$B:$B=FL$1), 0)), 1))),  0.5, 0))</f>
        <v>0</v>
      </c>
      <c r="FM60" s="47">
        <f t="array" ref="FM60">IF(AND(ISNUMBER(MATCH(FM$2, AsistenciaJetAdminConcatenada!$A:$A, 0)), ISNUMBER(MATCH(FM$1, AsistenciaJetAdminConcatenada!$B:$B, 0)), ISNUMBER(SEARCH($A60,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ISNUMBER(SEARCH($A60, INDEX(AsistenciaJetAdminConcatenada!$D:$D, MATCH(1, (AsistenciaJetAdminConcatenada!$A:$A=FM$2)*(AsistenciaJetAdminConcatenada!$B:$B=FM$1), 0)), 1))),  0.5, 0))</f>
        <v>0</v>
      </c>
      <c r="FN60" s="47">
        <f t="array" ref="FN60">IF(AND(ISNUMBER(MATCH(FN$2, AsistenciaJetAdminConcatenada!$A:$A, 0)), ISNUMBER(MATCH(FN$1, AsistenciaJetAdminConcatenada!$B:$B, 0)), ISNUMBER(SEARCH($A60,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ISNUMBER(SEARCH($A60, INDEX(AsistenciaJetAdminConcatenada!$D:$D, MATCH(1, (AsistenciaJetAdminConcatenada!$A:$A=FN$2)*(AsistenciaJetAdminConcatenada!$B:$B=FN$1), 0)), 1))),  0.5, 0))</f>
        <v>0</v>
      </c>
      <c r="FO60" s="47">
        <f t="array" ref="FO60">IF(AND(ISNUMBER(MATCH(FO$2, AsistenciaJetAdminConcatenada!$A:$A, 0)), ISNUMBER(MATCH(FO$1, AsistenciaJetAdminConcatenada!$B:$B, 0)), ISNUMBER(SEARCH($A60,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ISNUMBER(SEARCH($A60, INDEX(AsistenciaJetAdminConcatenada!$D:$D, MATCH(1, (AsistenciaJetAdminConcatenada!$A:$A=FO$2)*(AsistenciaJetAdminConcatenada!$B:$B=FO$1), 0)), 1))),  0.5, 0))</f>
        <v>0</v>
      </c>
      <c r="FP60" s="47">
        <f t="array" ref="FP60">IF(AND(ISNUMBER(MATCH(FP$2, AsistenciaJetAdminConcatenada!$A:$A, 0)), ISNUMBER(MATCH(FP$1, AsistenciaJetAdminConcatenada!$B:$B, 0)), ISNUMBER(SEARCH($A60,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ISNUMBER(SEARCH($A60, INDEX(AsistenciaJetAdminConcatenada!$D:$D, MATCH(1, (AsistenciaJetAdminConcatenada!$A:$A=FP$2)*(AsistenciaJetAdminConcatenada!$B:$B=FP$1), 0)), 1))),  0.5, 0))</f>
        <v>0</v>
      </c>
      <c r="FQ60" s="47">
        <f t="array" ref="FQ60">IF(AND(ISNUMBER(MATCH(FQ$2, AsistenciaJetAdminConcatenada!$A:$A, 0)), ISNUMBER(MATCH(FQ$1, AsistenciaJetAdminConcatenada!$B:$B, 0)), ISNUMBER(SEARCH($A60,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ISNUMBER(SEARCH($A60, INDEX(AsistenciaJetAdminConcatenada!$D:$D, MATCH(1, (AsistenciaJetAdminConcatenada!$A:$A=FQ$2)*(AsistenciaJetAdminConcatenada!$B:$B=FQ$1), 0)), 1))),  0.5, 0))</f>
        <v>0</v>
      </c>
      <c r="FR60" s="47">
        <f t="array" ref="FR60">IF(AND(ISNUMBER(MATCH(FR$2, AsistenciaJetAdminConcatenada!$A:$A, 0)), ISNUMBER(MATCH(FR$1, AsistenciaJetAdminConcatenada!$B:$B, 0)), ISNUMBER(SEARCH($A60,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ISNUMBER(SEARCH($A60, INDEX(AsistenciaJetAdminConcatenada!$D:$D, MATCH(1, (AsistenciaJetAdminConcatenada!$A:$A=FR$2)*(AsistenciaJetAdminConcatenada!$B:$B=FR$1), 0)), 1))),  0.5, 0))</f>
        <v>0</v>
      </c>
      <c r="FS60" s="47">
        <f t="array" ref="FS60">IF(AND(ISNUMBER(MATCH(FS$2, AsistenciaJetAdminConcatenada!$A:$A, 0)), ISNUMBER(MATCH(FS$1, AsistenciaJetAdminConcatenada!$B:$B, 0)), ISNUMBER(SEARCH($A60,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ISNUMBER(SEARCH($A60, INDEX(AsistenciaJetAdminConcatenada!$D:$D, MATCH(1, (AsistenciaJetAdminConcatenada!$A:$A=FS$2)*(AsistenciaJetAdminConcatenada!$B:$B=FS$1), 0)), 1))),  0.5, 0))</f>
        <v>0</v>
      </c>
      <c r="FT60" s="47">
        <f t="array" ref="FT60">IF(AND(ISNUMBER(MATCH(FT$2, AsistenciaJetAdminConcatenada!$A:$A, 0)), ISNUMBER(MATCH(FT$1, AsistenciaJetAdminConcatenada!$B:$B, 0)), ISNUMBER(SEARCH($A60,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ISNUMBER(SEARCH($A60, INDEX(AsistenciaJetAdminConcatenada!$D:$D, MATCH(1, (AsistenciaJetAdminConcatenada!$A:$A=FT$2)*(AsistenciaJetAdminConcatenada!$B:$B=FT$1), 0)), 1))),  0.5, 0))</f>
        <v>0</v>
      </c>
      <c r="FU60" s="47">
        <f t="array" ref="FU60">IF(AND(ISNUMBER(MATCH(FU$2, AsistenciaJetAdminConcatenada!$A:$A, 0)), ISNUMBER(MATCH(FU$1, AsistenciaJetAdminConcatenada!$B:$B, 0)), ISNUMBER(SEARCH($A60,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ISNUMBER(SEARCH($A60, INDEX(AsistenciaJetAdminConcatenada!$D:$D, MATCH(1, (AsistenciaJetAdminConcatenada!$A:$A=FU$2)*(AsistenciaJetAdminConcatenada!$B:$B=FU$1), 0)), 1))),  0.5, 0))</f>
        <v>0</v>
      </c>
      <c r="FV60" s="47">
        <f t="array" ref="FV60">IF(AND(ISNUMBER(MATCH(FV$2, AsistenciaJetAdminConcatenada!$A:$A, 0)), ISNUMBER(MATCH(FV$1, AsistenciaJetAdminConcatenada!$B:$B, 0)), ISNUMBER(SEARCH($A60,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ISNUMBER(SEARCH($A60, INDEX(AsistenciaJetAdminConcatenada!$D:$D, MATCH(1, (AsistenciaJetAdminConcatenada!$A:$A=FV$2)*(AsistenciaJetAdminConcatenada!$B:$B=FV$1), 0)), 1))),  0.5, 0))</f>
        <v>0</v>
      </c>
      <c r="FW60" s="47">
        <f t="array" ref="FW60">IF(AND(ISNUMBER(MATCH(FW$2, AsistenciaJetAdminConcatenada!$A:$A, 0)), ISNUMBER(MATCH(FW$1, AsistenciaJetAdminConcatenada!$B:$B, 0)), ISNUMBER(SEARCH($A60,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ISNUMBER(SEARCH($A60, INDEX(AsistenciaJetAdminConcatenada!$D:$D, MATCH(1, (AsistenciaJetAdminConcatenada!$A:$A=FW$2)*(AsistenciaJetAdminConcatenada!$B:$B=FW$1), 0)), 1))),  0.5, 0))</f>
        <v>0</v>
      </c>
      <c r="FX60" s="47">
        <f t="array" ref="FX60">IF(AND(ISNUMBER(MATCH(FX$2, AsistenciaJetAdminConcatenada!$A:$A, 0)), ISNUMBER(MATCH(FX$1, AsistenciaJetAdminConcatenada!$B:$B, 0)), ISNUMBER(SEARCH($A60,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ISNUMBER(SEARCH($A60, INDEX(AsistenciaJetAdminConcatenada!$D:$D, MATCH(1, (AsistenciaJetAdminConcatenada!$A:$A=FX$2)*(AsistenciaJetAdminConcatenada!$B:$B=FX$1), 0)), 1))),  0.5, 0))</f>
        <v>0</v>
      </c>
      <c r="FY60" s="47">
        <f t="array" ref="FY60">IF(AND(ISNUMBER(MATCH(FY$2, AsistenciaJetAdminConcatenada!$A:$A, 0)), ISNUMBER(MATCH(FY$1, AsistenciaJetAdminConcatenada!$B:$B, 0)), ISNUMBER(SEARCH($A60,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ISNUMBER(SEARCH($A60, INDEX(AsistenciaJetAdminConcatenada!$D:$D, MATCH(1, (AsistenciaJetAdminConcatenada!$A:$A=FY$2)*(AsistenciaJetAdminConcatenada!$B:$B=FY$1), 0)), 1))),  0.5, 0))</f>
        <v>0</v>
      </c>
      <c r="FZ60" s="47">
        <f t="array" ref="FZ60">IF(AND(ISNUMBER(MATCH(FZ$2, AsistenciaJetAdminConcatenada!$A:$A, 0)), ISNUMBER(MATCH(FZ$1, AsistenciaJetAdminConcatenada!$B:$B, 0)), ISNUMBER(SEARCH($A60,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ISNUMBER(SEARCH($A60, INDEX(AsistenciaJetAdminConcatenada!$D:$D, MATCH(1, (AsistenciaJetAdminConcatenada!$A:$A=FZ$2)*(AsistenciaJetAdminConcatenada!$B:$B=FZ$1), 0)), 1))),  0.5, 0))</f>
        <v>0</v>
      </c>
      <c r="GA60" s="47">
        <f t="array" ref="GA60">IF(AND(ISNUMBER(MATCH(GA$2, AsistenciaJetAdminConcatenada!$A:$A, 0)), ISNUMBER(MATCH(GA$1, AsistenciaJetAdminConcatenada!$B:$B, 0)), ISNUMBER(SEARCH($A60,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ISNUMBER(SEARCH($A60, INDEX(AsistenciaJetAdminConcatenada!$D:$D, MATCH(1, (AsistenciaJetAdminConcatenada!$A:$A=GA$2)*(AsistenciaJetAdminConcatenada!$B:$B=GA$1), 0)), 1))),  0.5, 0))</f>
        <v>0</v>
      </c>
      <c r="GB60" s="47">
        <f t="array" ref="GB60">IF(AND(ISNUMBER(MATCH(GB$2, AsistenciaJetAdminConcatenada!$A:$A, 0)), ISNUMBER(MATCH(GB$1, AsistenciaJetAdminConcatenada!$B:$B, 0)), ISNUMBER(SEARCH($A60,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ISNUMBER(SEARCH($A60, INDEX(AsistenciaJetAdminConcatenada!$D:$D, MATCH(1, (AsistenciaJetAdminConcatenada!$A:$A=GB$2)*(AsistenciaJetAdminConcatenada!$B:$B=GB$1), 0)), 1))),  0.5, 0))</f>
        <v>0</v>
      </c>
      <c r="GC60" s="47">
        <f t="array" ref="GC60">IF(AND(ISNUMBER(MATCH(GC$2, AsistenciaJetAdminConcatenada!$A:$A, 0)), ISNUMBER(MATCH(GC$1, AsistenciaJetAdminConcatenada!$B:$B, 0)), ISNUMBER(SEARCH($A60,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ISNUMBER(SEARCH($A60, INDEX(AsistenciaJetAdminConcatenada!$D:$D, MATCH(1, (AsistenciaJetAdminConcatenada!$A:$A=GC$2)*(AsistenciaJetAdminConcatenada!$B:$B=GC$1), 0)), 1))),  0.5, 0))</f>
        <v>0</v>
      </c>
      <c r="GD60" s="47">
        <f t="array" ref="GD60">IF(AND(ISNUMBER(MATCH(GD$2, AsistenciaJetAdminConcatenada!$A:$A, 0)), ISNUMBER(MATCH(GD$1, AsistenciaJetAdminConcatenada!$B:$B, 0)), ISNUMBER(SEARCH($A60,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ISNUMBER(SEARCH($A60, INDEX(AsistenciaJetAdminConcatenada!$D:$D, MATCH(1, (AsistenciaJetAdminConcatenada!$A:$A=GD$2)*(AsistenciaJetAdminConcatenada!$B:$B=GD$1), 0)), 1))),  0.5, 0))</f>
        <v>0</v>
      </c>
      <c r="GE60" s="47">
        <f t="array" ref="GE60">IF(AND(ISNUMBER(MATCH(GE$2, AsistenciaJetAdminConcatenada!$A:$A, 0)), ISNUMBER(MATCH(GE$1, AsistenciaJetAdminConcatenada!$B:$B, 0)), ISNUMBER(SEARCH($A60,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ISNUMBER(SEARCH($A60, INDEX(AsistenciaJetAdminConcatenada!$D:$D, MATCH(1, (AsistenciaJetAdminConcatenada!$A:$A=GE$2)*(AsistenciaJetAdminConcatenada!$B:$B=GE$1), 0)), 1))),  0.5, 0))</f>
        <v>0</v>
      </c>
      <c r="GF60" s="47">
        <f t="array" ref="GF60">IF(AND(ISNUMBER(MATCH(GF$2, AsistenciaJetAdminConcatenada!$A:$A, 0)), ISNUMBER(MATCH(GF$1, AsistenciaJetAdminConcatenada!$B:$B, 0)), ISNUMBER(SEARCH($A60,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ISNUMBER(SEARCH($A60, INDEX(AsistenciaJetAdminConcatenada!$D:$D, MATCH(1, (AsistenciaJetAdminConcatenada!$A:$A=GF$2)*(AsistenciaJetAdminConcatenada!$B:$B=GF$1), 0)), 1))),  0.5, 0))</f>
        <v>0</v>
      </c>
      <c r="GG60" s="47">
        <f t="array" ref="GG60">IF(AND(ISNUMBER(MATCH(GG$2, AsistenciaJetAdminConcatenada!$A:$A, 0)), ISNUMBER(MATCH(GG$1, AsistenciaJetAdminConcatenada!$B:$B, 0)), ISNUMBER(SEARCH($A60,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ISNUMBER(SEARCH($A60, INDEX(AsistenciaJetAdminConcatenada!$D:$D, MATCH(1, (AsistenciaJetAdminConcatenada!$A:$A=GG$2)*(AsistenciaJetAdminConcatenada!$B:$B=GG$1), 0)), 1))),  0.5, 0))</f>
        <v>0</v>
      </c>
      <c r="GH60" s="47">
        <f t="array" ref="GH60">IF(AND(ISNUMBER(MATCH(GH$2, AsistenciaJetAdminConcatenada!$A:$A, 0)), ISNUMBER(MATCH(GH$1, AsistenciaJetAdminConcatenada!$B:$B, 0)), ISNUMBER(SEARCH($A60,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ISNUMBER(SEARCH($A60, INDEX(AsistenciaJetAdminConcatenada!$D:$D, MATCH(1, (AsistenciaJetAdminConcatenada!$A:$A=GH$2)*(AsistenciaJetAdminConcatenada!$B:$B=GH$1), 0)), 1))),  0.5, 0))</f>
        <v>0</v>
      </c>
      <c r="GI60" s="47">
        <f t="array" ref="GI60">IF(AND(ISNUMBER(MATCH(GI$2, AsistenciaJetAdminConcatenada!$A:$A, 0)), ISNUMBER(MATCH(GI$1, AsistenciaJetAdminConcatenada!$B:$B, 0)), ISNUMBER(SEARCH($A60,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ISNUMBER(SEARCH($A60, INDEX(AsistenciaJetAdminConcatenada!$D:$D, MATCH(1, (AsistenciaJetAdminConcatenada!$A:$A=GI$2)*(AsistenciaJetAdminConcatenada!$B:$B=GI$1), 0)), 1))),  0.5, 0))</f>
        <v>0</v>
      </c>
      <c r="GJ60" s="47">
        <f t="array" ref="GJ60">IF(AND(ISNUMBER(MATCH(GJ$2, AsistenciaJetAdminConcatenada!$A:$A, 0)), ISNUMBER(MATCH(GJ$1, AsistenciaJetAdminConcatenada!$B:$B, 0)), ISNUMBER(SEARCH($A60,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ISNUMBER(SEARCH($A60, INDEX(AsistenciaJetAdminConcatenada!$D:$D, MATCH(1, (AsistenciaJetAdminConcatenada!$A:$A=GJ$2)*(AsistenciaJetAdminConcatenada!$B:$B=GJ$1), 0)), 1))),  0.5, 0))</f>
        <v>0</v>
      </c>
      <c r="GK60" s="47">
        <f t="array" ref="GK60">IF(AND(ISNUMBER(MATCH(GK$2, AsistenciaJetAdminConcatenada!$A:$A, 0)), ISNUMBER(MATCH(GK$1, AsistenciaJetAdminConcatenada!$B:$B, 0)), ISNUMBER(SEARCH($A60,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ISNUMBER(SEARCH($A60, INDEX(AsistenciaJetAdminConcatenada!$D:$D, MATCH(1, (AsistenciaJetAdminConcatenada!$A:$A=GK$2)*(AsistenciaJetAdminConcatenada!$B:$B=GK$1), 0)), 1))),  0.5, 0))</f>
        <v>0</v>
      </c>
      <c r="GL60" s="47">
        <f t="array" ref="GL60">IF(AND(ISNUMBER(MATCH(GL$2, AsistenciaJetAdminConcatenada!$A:$A, 0)), ISNUMBER(MATCH(GL$1, AsistenciaJetAdminConcatenada!$B:$B, 0)), ISNUMBER(SEARCH($A60,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ISNUMBER(SEARCH($A60, INDEX(AsistenciaJetAdminConcatenada!$D:$D, MATCH(1, (AsistenciaJetAdminConcatenada!$A:$A=GL$2)*(AsistenciaJetAdminConcatenada!$B:$B=GL$1), 0)), 1))),  0.5, 0))</f>
        <v>0</v>
      </c>
      <c r="GM60" s="47">
        <f t="array" ref="GM60">IF(AND(ISNUMBER(MATCH(GM$2, AsistenciaJetAdminConcatenada!$A:$A, 0)), ISNUMBER(MATCH(GM$1, AsistenciaJetAdminConcatenada!$B:$B, 0)), ISNUMBER(SEARCH($A60,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ISNUMBER(SEARCH($A60, INDEX(AsistenciaJetAdminConcatenada!$D:$D, MATCH(1, (AsistenciaJetAdminConcatenada!$A:$A=GM$2)*(AsistenciaJetAdminConcatenada!$B:$B=GM$1), 0)), 1))),  0.5, 0))</f>
        <v>0</v>
      </c>
      <c r="GN60" s="47">
        <f t="array" ref="GN60">IF(AND(ISNUMBER(MATCH(GN$2, AsistenciaJetAdminConcatenada!$A:$A, 0)), ISNUMBER(MATCH(GN$1, AsistenciaJetAdminConcatenada!$B:$B, 0)), ISNUMBER(SEARCH($A60,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ISNUMBER(SEARCH($A60, INDEX(AsistenciaJetAdminConcatenada!$D:$D, MATCH(1, (AsistenciaJetAdminConcatenada!$A:$A=GN$2)*(AsistenciaJetAdminConcatenada!$B:$B=GN$1), 0)), 1))),  0.5, 0))</f>
        <v>0</v>
      </c>
      <c r="GO60" s="47">
        <f t="array" ref="GO60">IF(AND(ISNUMBER(MATCH(GO$2, AsistenciaJetAdminConcatenada!$A:$A, 0)), ISNUMBER(MATCH(GO$1, AsistenciaJetAdminConcatenada!$B:$B, 0)), ISNUMBER(SEARCH($A60,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ISNUMBER(SEARCH($A60, INDEX(AsistenciaJetAdminConcatenada!$D:$D, MATCH(1, (AsistenciaJetAdminConcatenada!$A:$A=GO$2)*(AsistenciaJetAdminConcatenada!$B:$B=GO$1), 0)), 1))),  0.5, 0))</f>
        <v>0</v>
      </c>
      <c r="GP60" s="47">
        <f t="array" ref="GP60">IF(AND(ISNUMBER(MATCH(GP$2, AsistenciaJetAdminConcatenada!$A:$A, 0)), ISNUMBER(MATCH(GP$1, AsistenciaJetAdminConcatenada!$B:$B, 0)), ISNUMBER(SEARCH($A60,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ISNUMBER(SEARCH($A60, INDEX(AsistenciaJetAdminConcatenada!$D:$D, MATCH(1, (AsistenciaJetAdminConcatenada!$A:$A=GP$2)*(AsistenciaJetAdminConcatenada!$B:$B=GP$1), 0)), 1))),  0.5, 0))</f>
        <v>0</v>
      </c>
      <c r="GQ60" s="47">
        <f t="array" ref="GQ60">IF(AND(ISNUMBER(MATCH(GQ$2, AsistenciaJetAdminConcatenada!$A:$A, 0)), ISNUMBER(MATCH(GQ$1, AsistenciaJetAdminConcatenada!$B:$B, 0)), ISNUMBER(SEARCH($A60,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ISNUMBER(SEARCH($A60, INDEX(AsistenciaJetAdminConcatenada!$D:$D, MATCH(1, (AsistenciaJetAdminConcatenada!$A:$A=GQ$2)*(AsistenciaJetAdminConcatenada!$B:$B=GQ$1), 0)), 1))),  0.5, 0))</f>
        <v>0</v>
      </c>
      <c r="GR60" s="47">
        <f t="array" ref="GR60">IF(AND(ISNUMBER(MATCH(GR$2, AsistenciaJetAdminConcatenada!$A:$A, 0)), ISNUMBER(MATCH(GR$1, AsistenciaJetAdminConcatenada!$B:$B, 0)), ISNUMBER(SEARCH($A60,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ISNUMBER(SEARCH($A60, INDEX(AsistenciaJetAdminConcatenada!$D:$D, MATCH(1, (AsistenciaJetAdminConcatenada!$A:$A=GR$2)*(AsistenciaJetAdminConcatenada!$B:$B=GR$1), 0)), 1))),  0.5, 0))</f>
        <v>0</v>
      </c>
      <c r="GS60" s="47">
        <f t="array" ref="GS60">IF(AND(ISNUMBER(MATCH(GS$2, AsistenciaJetAdminConcatenada!$A:$A, 0)), ISNUMBER(MATCH(GS$1, AsistenciaJetAdminConcatenada!$B:$B, 0)), ISNUMBER(SEARCH($A60,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ISNUMBER(SEARCH($A60, INDEX(AsistenciaJetAdminConcatenada!$D:$D, MATCH(1, (AsistenciaJetAdminConcatenada!$A:$A=GS$2)*(AsistenciaJetAdminConcatenada!$B:$B=GS$1), 0)), 1))),  0.5, 0))</f>
        <v>0</v>
      </c>
      <c r="GT60" s="47">
        <f t="array" ref="GT60">IF(AND(ISNUMBER(MATCH(GT$2, AsistenciaJetAdminConcatenada!$A:$A, 0)), ISNUMBER(MATCH(GT$1, AsistenciaJetAdminConcatenada!$B:$B, 0)), ISNUMBER(SEARCH($A60,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ISNUMBER(SEARCH($A60, INDEX(AsistenciaJetAdminConcatenada!$D:$D, MATCH(1, (AsistenciaJetAdminConcatenada!$A:$A=GT$2)*(AsistenciaJetAdminConcatenada!$B:$B=GT$1), 0)), 1))),  0.5, 0))</f>
        <v>0</v>
      </c>
      <c r="GU60" s="47">
        <f t="array" ref="GU60">IF(AND(ISNUMBER(MATCH(GU$2, AsistenciaJetAdminConcatenada!$A:$A, 0)), ISNUMBER(MATCH(GU$1, AsistenciaJetAdminConcatenada!$B:$B, 0)), ISNUMBER(SEARCH($A60,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ISNUMBER(SEARCH($A60, INDEX(AsistenciaJetAdminConcatenada!$D:$D, MATCH(1, (AsistenciaJetAdminConcatenada!$A:$A=GU$2)*(AsistenciaJetAdminConcatenada!$B:$B=GU$1), 0)), 1))),  0.5, 0))</f>
        <v>0</v>
      </c>
      <c r="GV60" s="47">
        <f t="array" ref="GV60">IF(AND(ISNUMBER(MATCH(GV$2, AsistenciaJetAdminConcatenada!$A:$A, 0)), ISNUMBER(MATCH(GV$1, AsistenciaJetAdminConcatenada!$B:$B, 0)), ISNUMBER(SEARCH($A60,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ISNUMBER(SEARCH($A60, INDEX(AsistenciaJetAdminConcatenada!$D:$D, MATCH(1, (AsistenciaJetAdminConcatenada!$A:$A=GV$2)*(AsistenciaJetAdminConcatenada!$B:$B=GV$1), 0)), 1))),  0.5, 0))</f>
        <v>0</v>
      </c>
      <c r="GW60" s="47">
        <f t="array" ref="GW60">IF(AND(ISNUMBER(MATCH(GW$2, AsistenciaJetAdminConcatenada!$A:$A, 0)), ISNUMBER(MATCH(GW$1, AsistenciaJetAdminConcatenada!$B:$B, 0)), ISNUMBER(SEARCH($A60,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ISNUMBER(SEARCH($A60, INDEX(AsistenciaJetAdminConcatenada!$D:$D, MATCH(1, (AsistenciaJetAdminConcatenada!$A:$A=GW$2)*(AsistenciaJetAdminConcatenada!$B:$B=GW$1), 0)), 1))),  0.5, 0))</f>
        <v>0</v>
      </c>
      <c r="GX60" s="47">
        <f t="array" ref="GX60">IF(AND(ISNUMBER(MATCH(GX$2, AsistenciaJetAdminConcatenada!$A:$A, 0)), ISNUMBER(MATCH(GX$1, AsistenciaJetAdminConcatenada!$B:$B, 0)), ISNUMBER(SEARCH($A60,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ISNUMBER(SEARCH($A60, INDEX(AsistenciaJetAdminConcatenada!$D:$D, MATCH(1, (AsistenciaJetAdminConcatenada!$A:$A=GX$2)*(AsistenciaJetAdminConcatenada!$B:$B=GX$1), 0)), 1))),  0.5, 0))</f>
        <v>0</v>
      </c>
      <c r="GY60" s="47">
        <f t="array" ref="GY60">IF(AND(ISNUMBER(MATCH(GY$2, AsistenciaJetAdminConcatenada!$A:$A, 0)), ISNUMBER(MATCH(GY$1, AsistenciaJetAdminConcatenada!$B:$B, 0)), ISNUMBER(SEARCH($A60,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ISNUMBER(SEARCH($A60, INDEX(AsistenciaJetAdminConcatenada!$D:$D, MATCH(1, (AsistenciaJetAdminConcatenada!$A:$A=GY$2)*(AsistenciaJetAdminConcatenada!$B:$B=GY$1), 0)), 1))),  0.5, 0))</f>
        <v>0</v>
      </c>
      <c r="GZ60" s="47">
        <f t="array" ref="GZ60">IF(AND(ISNUMBER(MATCH(GZ$2, AsistenciaJetAdminConcatenada!$A:$A, 0)), ISNUMBER(MATCH(GZ$1, AsistenciaJetAdminConcatenada!$B:$B, 0)), ISNUMBER(SEARCH($A60,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ISNUMBER(SEARCH($A60, INDEX(AsistenciaJetAdminConcatenada!$D:$D, MATCH(1, (AsistenciaJetAdminConcatenada!$A:$A=GZ$2)*(AsistenciaJetAdminConcatenada!$B:$B=GZ$1), 0)), 1))),  0.5, 0))</f>
        <v>0</v>
      </c>
      <c r="HA60" s="47">
        <f t="array" ref="HA60">IF(AND(ISNUMBER(MATCH(HA$2, AsistenciaJetAdminConcatenada!$A:$A, 0)), ISNUMBER(MATCH(HA$1, AsistenciaJetAdminConcatenada!$B:$B, 0)), ISNUMBER(SEARCH($A60,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ISNUMBER(SEARCH($A60, INDEX(AsistenciaJetAdminConcatenada!$D:$D, MATCH(1, (AsistenciaJetAdminConcatenada!$A:$A=HA$2)*(AsistenciaJetAdminConcatenada!$B:$B=HA$1), 0)), 1))),  0.5, 0))</f>
        <v>0</v>
      </c>
      <c r="HB60" s="47">
        <f t="array" ref="HB60">IF(AND(ISNUMBER(MATCH(HB$2, AsistenciaJetAdminConcatenada!$A:$A, 0)), ISNUMBER(MATCH(HB$1, AsistenciaJetAdminConcatenada!$B:$B, 0)), ISNUMBER(SEARCH($A60,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ISNUMBER(SEARCH($A60, INDEX(AsistenciaJetAdminConcatenada!$D:$D, MATCH(1, (AsistenciaJetAdminConcatenada!$A:$A=HB$2)*(AsistenciaJetAdminConcatenada!$B:$B=HB$1), 0)), 1))),  0.5, 0))</f>
        <v>0</v>
      </c>
      <c r="HC60" s="47">
        <f t="array" ref="HC60">IF(AND(ISNUMBER(MATCH(HC$2, AsistenciaJetAdminConcatenada!$A:$A, 0)), ISNUMBER(MATCH(HC$1, AsistenciaJetAdminConcatenada!$B:$B, 0)), ISNUMBER(SEARCH($A60,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ISNUMBER(SEARCH($A60, INDEX(AsistenciaJetAdminConcatenada!$D:$D, MATCH(1, (AsistenciaJetAdminConcatenada!$A:$A=HC$2)*(AsistenciaJetAdminConcatenada!$B:$B=HC$1), 0)), 1))),  0.5, 0))</f>
        <v>0</v>
      </c>
    </row>
    <row r="61" ht="29.25" customHeight="1">
      <c r="A61" s="3">
        <v>144.0</v>
      </c>
      <c r="B61" s="4" t="s">
        <v>448</v>
      </c>
      <c r="C61" s="47">
        <f>SUM(D61:HC61) + ActividadesEspeciales!C61</f>
        <v>65.5</v>
      </c>
      <c r="D61" s="47">
        <f t="array" ref="D61">IF(AND(ISNUMBER(MATCH(D$2, AsistenciaJetAdminConcatenada!$A:$A, 0)), ISNUMBER(MATCH(D$1, AsistenciaJetAdminConcatenada!$B:$B, 0)), ISNUMBER(SEARCH($A61,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ISNUMBER(SEARCH($A61, INDEX(AsistenciaJetAdminConcatenada!$D:$D, MATCH(1, (AsistenciaJetAdminConcatenada!$A:$A=D$2)*(AsistenciaJetAdminConcatenada!$B:$B=D$1), 0)), 1))),  0.5, 0))</f>
        <v>1</v>
      </c>
      <c r="E61" s="47">
        <f t="array" ref="E61">IF(AND(ISNUMBER(MATCH(E$2, AsistenciaJetAdminConcatenada!$A:$A, 0)), ISNUMBER(MATCH(E$1, AsistenciaJetAdminConcatenada!$B:$B, 0)), ISNUMBER(SEARCH($A61,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ISNUMBER(SEARCH($A61, INDEX(AsistenciaJetAdminConcatenada!$D:$D, MATCH(1, (AsistenciaJetAdminConcatenada!$A:$A=E$2)*(AsistenciaJetAdminConcatenada!$B:$B=E$1), 0)), 1))),  0.5, 0))</f>
        <v>1</v>
      </c>
      <c r="F61" s="47">
        <f t="array" ref="F61">IF(AND(ISNUMBER(MATCH(F$2, AsistenciaJetAdminConcatenada!$A:$A, 0)), ISNUMBER(MATCH(F$1, AsistenciaJetAdminConcatenada!$B:$B, 0)), ISNUMBER(SEARCH($A61,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ISNUMBER(SEARCH($A61, INDEX(AsistenciaJetAdminConcatenada!$D:$D, MATCH(1, (AsistenciaJetAdminConcatenada!$A:$A=F$2)*(AsistenciaJetAdminConcatenada!$B:$B=F$1), 0)), 1))),  0.5, 0))</f>
        <v>0</v>
      </c>
      <c r="G61" s="47">
        <f t="array" ref="G61">IF(AND(ISNUMBER(MATCH(G$2, AsistenciaJetAdminConcatenada!$A:$A, 0)), ISNUMBER(MATCH(G$1, AsistenciaJetAdminConcatenada!$B:$B, 0)), ISNUMBER(SEARCH($A61,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ISNUMBER(SEARCH($A61, INDEX(AsistenciaJetAdminConcatenada!$D:$D, MATCH(1, (AsistenciaJetAdminConcatenada!$A:$A=G$2)*(AsistenciaJetAdminConcatenada!$B:$B=G$1), 0)), 1))),  0.5, 0))</f>
        <v>1</v>
      </c>
      <c r="H61" s="47">
        <f t="array" ref="H61">IF(AND(ISNUMBER(MATCH(H$2, AsistenciaJetAdminConcatenada!$A:$A, 0)), ISNUMBER(MATCH(H$1, AsistenciaJetAdminConcatenada!$B:$B, 0)), ISNUMBER(SEARCH($A61,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ISNUMBER(SEARCH($A61, INDEX(AsistenciaJetAdminConcatenada!$D:$D, MATCH(1, (AsistenciaJetAdminConcatenada!$A:$A=H$2)*(AsistenciaJetAdminConcatenada!$B:$B=H$1), 0)), 1))),  0.5, 0))</f>
        <v>1</v>
      </c>
      <c r="I61" s="47">
        <f t="array" ref="I61">IF(AND(ISNUMBER(MATCH(I$2, AsistenciaJetAdminConcatenada!$A:$A, 0)), ISNUMBER(MATCH(I$1, AsistenciaJetAdminConcatenada!$B:$B, 0)), ISNUMBER(SEARCH($A61,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ISNUMBER(SEARCH($A61, INDEX(AsistenciaJetAdminConcatenada!$D:$D, MATCH(1, (AsistenciaJetAdminConcatenada!$A:$A=I$2)*(AsistenciaJetAdminConcatenada!$B:$B=I$1), 0)), 1))),  0.5, 0))</f>
        <v>1</v>
      </c>
      <c r="J61" s="47">
        <f t="array" ref="J61">IF(AND(ISNUMBER(MATCH(J$2, AsistenciaJetAdminConcatenada!$A:$A, 0)), ISNUMBER(MATCH(J$1, AsistenciaJetAdminConcatenada!$B:$B, 0)), ISNUMBER(SEARCH($A61,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ISNUMBER(SEARCH($A61, INDEX(AsistenciaJetAdminConcatenada!$D:$D, MATCH(1, (AsistenciaJetAdminConcatenada!$A:$A=J$2)*(AsistenciaJetAdminConcatenada!$B:$B=J$1), 0)), 1))),  0.5, 0))</f>
        <v>1</v>
      </c>
      <c r="K61" s="47">
        <f t="array" ref="K61">IF(AND(ISNUMBER(MATCH(K$2, AsistenciaJetAdminConcatenada!$A:$A, 0)), ISNUMBER(MATCH(K$1, AsistenciaJetAdminConcatenada!$B:$B, 0)), ISNUMBER(SEARCH($A61,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ISNUMBER(SEARCH($A61, INDEX(AsistenciaJetAdminConcatenada!$D:$D, MATCH(1, (AsistenciaJetAdminConcatenada!$A:$A=K$2)*(AsistenciaJetAdminConcatenada!$B:$B=K$1), 0)), 1))),  0.5, 0))</f>
        <v>1</v>
      </c>
      <c r="L61" s="47">
        <f t="array" ref="L61">IF(AND(ISNUMBER(MATCH(L$2, AsistenciaJetAdminConcatenada!$A:$A, 0)), ISNUMBER(MATCH(L$1, AsistenciaJetAdminConcatenada!$B:$B, 0)), ISNUMBER(SEARCH($A61,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ISNUMBER(SEARCH($A61, INDEX(AsistenciaJetAdminConcatenada!$D:$D, MATCH(1, (AsistenciaJetAdminConcatenada!$A:$A=L$2)*(AsistenciaJetAdminConcatenada!$B:$B=L$1), 0)), 1))),  0.5, 0))</f>
        <v>1</v>
      </c>
      <c r="M61" s="47">
        <f t="array" ref="M61">IF(AND(ISNUMBER(MATCH(M$2, AsistenciaJetAdminConcatenada!$A:$A, 0)), ISNUMBER(MATCH(M$1, AsistenciaJetAdminConcatenada!$B:$B, 0)), ISNUMBER(SEARCH($A61,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ISNUMBER(SEARCH($A61, INDEX(AsistenciaJetAdminConcatenada!$D:$D, MATCH(1, (AsistenciaJetAdminConcatenada!$A:$A=M$2)*(AsistenciaJetAdminConcatenada!$B:$B=M$1), 0)), 1))),  0.5, 0))</f>
        <v>1</v>
      </c>
      <c r="N61" s="47">
        <f t="array" ref="N61">IF(AND(ISNUMBER(MATCH(N$2, AsistenciaJetAdminConcatenada!$A:$A, 0)), ISNUMBER(MATCH(N$1, AsistenciaJetAdminConcatenada!$B:$B, 0)), ISNUMBER(SEARCH($A61,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ISNUMBER(SEARCH($A61, INDEX(AsistenciaJetAdminConcatenada!$D:$D, MATCH(1, (AsistenciaJetAdminConcatenada!$A:$A=N$2)*(AsistenciaJetAdminConcatenada!$B:$B=N$1), 0)), 1))),  0.5, 0))</f>
        <v>1</v>
      </c>
      <c r="O61" s="47">
        <f t="array" ref="O61">IF(AND(ISNUMBER(MATCH(O$2, AsistenciaJetAdminConcatenada!$A:$A, 0)), ISNUMBER(MATCH(O$1, AsistenciaJetAdminConcatenada!$B:$B, 0)), ISNUMBER(SEARCH($A61,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ISNUMBER(SEARCH($A61, INDEX(AsistenciaJetAdminConcatenada!$D:$D, MATCH(1, (AsistenciaJetAdminConcatenada!$A:$A=O$2)*(AsistenciaJetAdminConcatenada!$B:$B=O$1), 0)), 1))),  0.5, 0))</f>
        <v>1</v>
      </c>
      <c r="P61" s="8">
        <v>0.5</v>
      </c>
      <c r="Q61" s="47">
        <f t="array" ref="Q61">IF(AND(ISNUMBER(MATCH(Q$2, AsistenciaJetAdminConcatenada!$A:$A, 0)), ISNUMBER(MATCH(Q$1, AsistenciaJetAdminConcatenada!$B:$B, 0)), ISNUMBER(SEARCH($A61, INDEX(AsistenciaJetAdminConcatenada!$C:$C, MATCH(1, (AsistenciaJetAdminConcatenada!$A:$A=Q$2)*(AsistenciaJetAdminConcatenada!$B:$B=Q$1), 0)), 1))), 1, IF(AND(ISNUMBER(MATCH(Q$2, AsistenciaJetAdminConcatenada!$A:$A, 0)), ISNUMBER(MATCH(Q$1, AsistenciaJetAdminConcatenada!$B:$B, 0)), ISNUMBER(SEARCH($A61, INDEX(AsistenciaJetAdminConcatenada!$D:$D, MATCH(1, (AsistenciaJetAdminConcatenada!$A:$A=Q$2)*(AsistenciaJetAdminConcatenada!$B:$B=Q$1), 0)), 1))),  0.5, 0))</f>
        <v>1</v>
      </c>
      <c r="R61" s="47">
        <f t="array" ref="R61">IF(AND(ISNUMBER(MATCH(R$2, AsistenciaJetAdminConcatenada!$A:$A, 0)), ISNUMBER(MATCH(R$1, AsistenciaJetAdminConcatenada!$B:$B, 0)), ISNUMBER(SEARCH($A61,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ISNUMBER(SEARCH($A61, INDEX(AsistenciaJetAdminConcatenada!$D:$D, MATCH(1, (AsistenciaJetAdminConcatenada!$A:$A=R$2)*(AsistenciaJetAdminConcatenada!$B:$B=R$1), 0)), 1))),  0.5, 0))</f>
        <v>1</v>
      </c>
      <c r="S61" s="47">
        <f t="array" ref="S61">IF(AND(ISNUMBER(MATCH(S$2, AsistenciaJetAdminConcatenada!$A:$A, 0)), ISNUMBER(MATCH(S$1, AsistenciaJetAdminConcatenada!$B:$B, 0)), ISNUMBER(SEARCH($A61,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ISNUMBER(SEARCH($A61, INDEX(AsistenciaJetAdminConcatenada!$D:$D, MATCH(1, (AsistenciaJetAdminConcatenada!$A:$A=S$2)*(AsistenciaJetAdminConcatenada!$B:$B=S$1), 0)), 1))),  0.5, 0))</f>
        <v>1</v>
      </c>
      <c r="T61" s="47">
        <f t="array" ref="T61">IF(AND(ISNUMBER(MATCH(T$2, AsistenciaJetAdminConcatenada!$A:$A, 0)), ISNUMBER(MATCH(T$1, AsistenciaJetAdminConcatenada!$B:$B, 0)), ISNUMBER(SEARCH($A61,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ISNUMBER(SEARCH($A61, INDEX(AsistenciaJetAdminConcatenada!$D:$D, MATCH(1, (AsistenciaJetAdminConcatenada!$A:$A=T$2)*(AsistenciaJetAdminConcatenada!$B:$B=T$1), 0)), 1))),  0.5, 0))</f>
        <v>0</v>
      </c>
      <c r="U61" s="47">
        <f t="array" ref="U61">IF(AND(ISNUMBER(MATCH(U$2, AsistenciaJetAdminConcatenada!$A:$A, 0)), ISNUMBER(MATCH(U$1, AsistenciaJetAdminConcatenada!$B:$B, 0)), ISNUMBER(SEARCH($A61,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ISNUMBER(SEARCH($A61, INDEX(AsistenciaJetAdminConcatenada!$D:$D, MATCH(1, (AsistenciaJetAdminConcatenada!$A:$A=U$2)*(AsistenciaJetAdminConcatenada!$B:$B=U$1), 0)), 1))),  0.5, 0))</f>
        <v>1</v>
      </c>
      <c r="V61" s="47">
        <f t="array" ref="V61">IF(AND(ISNUMBER(MATCH(V$2, AsistenciaJetAdminConcatenada!$A:$A, 0)), ISNUMBER(MATCH(V$1, AsistenciaJetAdminConcatenada!$B:$B, 0)), ISNUMBER(SEARCH($A61,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ISNUMBER(SEARCH($A61, INDEX(AsistenciaJetAdminConcatenada!$D:$D, MATCH(1, (AsistenciaJetAdminConcatenada!$A:$A=V$2)*(AsistenciaJetAdminConcatenada!$B:$B=V$1), 0)), 1))),  0.5, 0))</f>
        <v>1</v>
      </c>
      <c r="W61" s="47">
        <f t="array" ref="W61">IF(AND(ISNUMBER(MATCH(W$2, AsistenciaJetAdminConcatenada!$A:$A, 0)), ISNUMBER(MATCH(W$1, AsistenciaJetAdminConcatenada!$B:$B, 0)), ISNUMBER(SEARCH($A61,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ISNUMBER(SEARCH($A61, INDEX(AsistenciaJetAdminConcatenada!$D:$D, MATCH(1, (AsistenciaJetAdminConcatenada!$A:$A=W$2)*(AsistenciaJetAdminConcatenada!$B:$B=W$1), 0)), 1))),  0.5, 0))</f>
        <v>1</v>
      </c>
      <c r="X61" s="47">
        <f t="array" ref="X61">IF(AND(ISNUMBER(MATCH(X$2, AsistenciaJetAdminConcatenada!$A:$A, 0)), ISNUMBER(MATCH(X$1, AsistenciaJetAdminConcatenada!$B:$B, 0)), ISNUMBER(SEARCH($A61,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ISNUMBER(SEARCH($A61, INDEX(AsistenciaJetAdminConcatenada!$D:$D, MATCH(1, (AsistenciaJetAdminConcatenada!$A:$A=X$2)*(AsistenciaJetAdminConcatenada!$B:$B=X$1), 0)), 1))),  0.5, 0))</f>
        <v>0</v>
      </c>
      <c r="Y61" s="47">
        <f t="array" ref="Y61">IF(AND(ISNUMBER(MATCH(Y$2, AsistenciaJetAdminConcatenada!$A:$A, 0)), ISNUMBER(MATCH(Y$1, AsistenciaJetAdminConcatenada!$B:$B, 0)), ISNUMBER(SEARCH($A61,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ISNUMBER(SEARCH($A61, INDEX(AsistenciaJetAdminConcatenada!$D:$D, MATCH(1, (AsistenciaJetAdminConcatenada!$A:$A=Y$2)*(AsistenciaJetAdminConcatenada!$B:$B=Y$1), 0)), 1))),  0.5, 0))</f>
        <v>1</v>
      </c>
      <c r="Z61" s="47">
        <f t="array" ref="Z61">IF(AND(ISNUMBER(MATCH(Z$2, AsistenciaJetAdminConcatenada!$A:$A, 0)), ISNUMBER(MATCH(Z$1, AsistenciaJetAdminConcatenada!$B:$B, 0)), ISNUMBER(SEARCH($A61,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ISNUMBER(SEARCH($A61, INDEX(AsistenciaJetAdminConcatenada!$D:$D, MATCH(1, (AsistenciaJetAdminConcatenada!$A:$A=Z$2)*(AsistenciaJetAdminConcatenada!$B:$B=Z$1), 0)), 1))),  0.5, 0))</f>
        <v>1</v>
      </c>
      <c r="AA61" s="47">
        <f t="array" ref="AA61">IF(AND(ISNUMBER(MATCH(AA$2, AsistenciaJetAdminConcatenada!$A:$A, 0)), ISNUMBER(MATCH(AA$1, AsistenciaJetAdminConcatenada!$B:$B, 0)), ISNUMBER(SEARCH($A61,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ISNUMBER(SEARCH($A61, INDEX(AsistenciaJetAdminConcatenada!$D:$D, MATCH(1, (AsistenciaJetAdminConcatenada!$A:$A=AA$2)*(AsistenciaJetAdminConcatenada!$B:$B=AA$1), 0)), 1))),  0.5, 0))</f>
        <v>1</v>
      </c>
      <c r="AB61" s="47">
        <f t="array" ref="AB61">IF(AND(ISNUMBER(MATCH(AB$2, AsistenciaJetAdminConcatenada!$A:$A, 0)), ISNUMBER(MATCH(AB$1, AsistenciaJetAdminConcatenada!$B:$B, 0)), ISNUMBER(SEARCH($A61,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ISNUMBER(SEARCH($A61, INDEX(AsistenciaJetAdminConcatenada!$D:$D, MATCH(1, (AsistenciaJetAdminConcatenada!$A:$A=AB$2)*(AsistenciaJetAdminConcatenada!$B:$B=AB$1), 0)), 1))),  0.5, 0))</f>
        <v>1</v>
      </c>
      <c r="AC61" s="47">
        <f t="array" ref="AC61">IF(AND(ISNUMBER(MATCH(AC$2, AsistenciaJetAdminConcatenada!$A:$A, 0)), ISNUMBER(MATCH(AC$1, AsistenciaJetAdminConcatenada!$B:$B, 0)), ISNUMBER(SEARCH($A61,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ISNUMBER(SEARCH($A61, INDEX(AsistenciaJetAdminConcatenada!$D:$D, MATCH(1, (AsistenciaJetAdminConcatenada!$A:$A=AC$2)*(AsistenciaJetAdminConcatenada!$B:$B=AC$1), 0)), 1))),  0.5, 0))</f>
        <v>1</v>
      </c>
      <c r="AD61" s="47">
        <f t="array" ref="AD61">IF(AND(ISNUMBER(MATCH(AD$2, AsistenciaJetAdminConcatenada!$A:$A, 0)), ISNUMBER(MATCH(AD$1, AsistenciaJetAdminConcatenada!$B:$B, 0)), ISNUMBER(SEARCH($A61,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ISNUMBER(SEARCH($A61, INDEX(AsistenciaJetAdminConcatenada!$D:$D, MATCH(1, (AsistenciaJetAdminConcatenada!$A:$A=AD$2)*(AsistenciaJetAdminConcatenada!$B:$B=AD$1), 0)), 1))),  0.5, 0))</f>
        <v>1</v>
      </c>
      <c r="AE61" s="47">
        <f t="array" ref="AE61">IF(AND(ISNUMBER(MATCH(AE$2, AsistenciaJetAdminConcatenada!$A:$A, 0)), ISNUMBER(MATCH(AE$1, AsistenciaJetAdminConcatenada!$B:$B, 0)), ISNUMBER(SEARCH($A61,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ISNUMBER(SEARCH($A61, INDEX(AsistenciaJetAdminConcatenada!$D:$D, MATCH(1, (AsistenciaJetAdminConcatenada!$A:$A=AE$2)*(AsistenciaJetAdminConcatenada!$B:$B=AE$1), 0)), 1))),  0.5, 0))</f>
        <v>1</v>
      </c>
      <c r="AF61" s="47">
        <f t="array" ref="AF61">IF(AND(ISNUMBER(MATCH(AF$2, AsistenciaJetAdminConcatenada!$A:$A, 0)), ISNUMBER(MATCH(AF$1, AsistenciaJetAdminConcatenada!$B:$B, 0)), ISNUMBER(SEARCH($A61,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ISNUMBER(SEARCH($A61, INDEX(AsistenciaJetAdminConcatenada!$D:$D, MATCH(1, (AsistenciaJetAdminConcatenada!$A:$A=AF$2)*(AsistenciaJetAdminConcatenada!$B:$B=AF$1), 0)), 1))),  0.5, 0))</f>
        <v>1</v>
      </c>
      <c r="AG61" s="47">
        <f t="array" ref="AG61">IF(AND(ISNUMBER(MATCH(AG$2, AsistenciaJetAdminConcatenada!$A:$A, 0)), ISNUMBER(MATCH(AG$1, AsistenciaJetAdminConcatenada!$B:$B, 0)), ISNUMBER(SEARCH($A61,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ISNUMBER(SEARCH($A61, INDEX(AsistenciaJetAdminConcatenada!$D:$D, MATCH(1, (AsistenciaJetAdminConcatenada!$A:$A=AG$2)*(AsistenciaJetAdminConcatenada!$B:$B=AG$1), 0)), 1))),  0.5, 0))</f>
        <v>0</v>
      </c>
      <c r="AH61" s="47">
        <f t="array" ref="AH61">IF(AND(ISNUMBER(MATCH(AH$2, AsistenciaJetAdminConcatenada!$A:$A, 0)), ISNUMBER(MATCH(AH$1, AsistenciaJetAdminConcatenada!$B:$B, 0)), ISNUMBER(SEARCH($A61,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ISNUMBER(SEARCH($A61, INDEX(AsistenciaJetAdminConcatenada!$D:$D, MATCH(1, (AsistenciaJetAdminConcatenada!$A:$A=AH$2)*(AsistenciaJetAdminConcatenada!$B:$B=AH$1), 0)), 1))),  0.5, 0))</f>
        <v>0</v>
      </c>
      <c r="AI61" s="47">
        <f t="array" ref="AI61">IF(AND(ISNUMBER(MATCH(AI$2, AsistenciaJetAdminConcatenada!$A:$A, 0)), ISNUMBER(MATCH(AI$1, AsistenciaJetAdminConcatenada!$B:$B, 0)), ISNUMBER(SEARCH($A61,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ISNUMBER(SEARCH($A61, INDEX(AsistenciaJetAdminConcatenada!$D:$D, MATCH(1, (AsistenciaJetAdminConcatenada!$A:$A=AI$2)*(AsistenciaJetAdminConcatenada!$B:$B=AI$1), 0)), 1))),  0.5, 0))</f>
        <v>0</v>
      </c>
      <c r="AJ61" s="47">
        <f t="array" ref="AJ61">IF(AND(ISNUMBER(MATCH(AJ$2, AsistenciaJetAdminConcatenada!$A:$A, 0)), ISNUMBER(MATCH(AJ$1, AsistenciaJetAdminConcatenada!$B:$B, 0)), ISNUMBER(SEARCH($A61,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ISNUMBER(SEARCH($A61, INDEX(AsistenciaJetAdminConcatenada!$D:$D, MATCH(1, (AsistenciaJetAdminConcatenada!$A:$A=AJ$2)*(AsistenciaJetAdminConcatenada!$B:$B=AJ$1), 0)), 1))),  0.5, 0))</f>
        <v>0</v>
      </c>
      <c r="AK61" s="47">
        <f t="array" ref="AK61">IF(AND(ISNUMBER(MATCH(AK$2, AsistenciaJetAdminConcatenada!$A:$A, 0)), ISNUMBER(MATCH(AK$1, AsistenciaJetAdminConcatenada!$B:$B, 0)), ISNUMBER(SEARCH($A61,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ISNUMBER(SEARCH($A61, INDEX(AsistenciaJetAdminConcatenada!$D:$D, MATCH(1, (AsistenciaJetAdminConcatenada!$A:$A=AK$2)*(AsistenciaJetAdminConcatenada!$B:$B=AK$1), 0)), 1))),  0.5, 0))</f>
        <v>0</v>
      </c>
      <c r="AL61" s="47">
        <f t="array" ref="AL61">IF(AND(ISNUMBER(MATCH(AL$2, AsistenciaJetAdminConcatenada!$A:$A, 0)), ISNUMBER(MATCH(AL$1, AsistenciaJetAdminConcatenada!$B:$B, 0)), ISNUMBER(SEARCH($A61,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ISNUMBER(SEARCH($A61, INDEX(AsistenciaJetAdminConcatenada!$D:$D, MATCH(1, (AsistenciaJetAdminConcatenada!$A:$A=AL$2)*(AsistenciaJetAdminConcatenada!$B:$B=AL$1), 0)), 1))),  0.5, 0))</f>
        <v>0</v>
      </c>
      <c r="AM61" s="47">
        <f t="array" ref="AM61">IF(AND(ISNUMBER(MATCH(AM$2, AsistenciaJetAdminConcatenada!$A:$A, 0)), ISNUMBER(MATCH(AM$1, AsistenciaJetAdminConcatenada!$B:$B, 0)), ISNUMBER(SEARCH($A61,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ISNUMBER(SEARCH($A61, INDEX(AsistenciaJetAdminConcatenada!$D:$D, MATCH(1, (AsistenciaJetAdminConcatenada!$A:$A=AM$2)*(AsistenciaJetAdminConcatenada!$B:$B=AM$1), 0)), 1))),  0.5, 0))</f>
        <v>0</v>
      </c>
      <c r="AN61" s="47">
        <f t="array" ref="AN61">IF(AND(ISNUMBER(MATCH(AN$2, AsistenciaJetAdminConcatenada!$A:$A, 0)), ISNUMBER(MATCH(AN$1, AsistenciaJetAdminConcatenada!$B:$B, 0)), ISNUMBER(SEARCH($A61,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ISNUMBER(SEARCH($A61, INDEX(AsistenciaJetAdminConcatenada!$D:$D, MATCH(1, (AsistenciaJetAdminConcatenada!$A:$A=AN$2)*(AsistenciaJetAdminConcatenada!$B:$B=AN$1), 0)), 1))),  0.5, 0))</f>
        <v>0</v>
      </c>
      <c r="AO61" s="47">
        <f t="array" ref="AO61">IF(AND(ISNUMBER(MATCH(AO$2, AsistenciaJetAdminConcatenada!$A:$A, 0)), ISNUMBER(MATCH(AO$1, AsistenciaJetAdminConcatenada!$B:$B, 0)), ISNUMBER(SEARCH($A61,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ISNUMBER(SEARCH($A61, INDEX(AsistenciaJetAdminConcatenada!$D:$D, MATCH(1, (AsistenciaJetAdminConcatenada!$A:$A=AO$2)*(AsistenciaJetAdminConcatenada!$B:$B=AO$1), 0)), 1))),  0.5, 0))</f>
        <v>0</v>
      </c>
      <c r="AP61" s="47">
        <f t="array" ref="AP61">IF(AND(ISNUMBER(MATCH(AP$2, AsistenciaJetAdminConcatenada!$A:$A, 0)), ISNUMBER(MATCH(AP$1, AsistenciaJetAdminConcatenada!$B:$B, 0)), ISNUMBER(SEARCH($A61,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ISNUMBER(SEARCH($A61, INDEX(AsistenciaJetAdminConcatenada!$D:$D, MATCH(1, (AsistenciaJetAdminConcatenada!$A:$A=AP$2)*(AsistenciaJetAdminConcatenada!$B:$B=AP$1), 0)), 1))),  0.5, 0))</f>
        <v>0</v>
      </c>
      <c r="AQ61" s="47">
        <f t="array" ref="AQ61">IF(AND(ISNUMBER(MATCH(AQ$2, AsistenciaJetAdminConcatenada!$A:$A, 0)), ISNUMBER(MATCH(AQ$1, AsistenciaJetAdminConcatenada!$B:$B, 0)), ISNUMBER(SEARCH($A61,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ISNUMBER(SEARCH($A61, INDEX(AsistenciaJetAdminConcatenada!$D:$D, MATCH(1, (AsistenciaJetAdminConcatenada!$A:$A=AQ$2)*(AsistenciaJetAdminConcatenada!$B:$B=AQ$1), 0)), 1))),  0.5, 0))</f>
        <v>0</v>
      </c>
      <c r="AR61" s="47">
        <f t="array" ref="AR61">IF(AND(ISNUMBER(MATCH(AR$2, AsistenciaJetAdminConcatenada!$A:$A, 0)), ISNUMBER(MATCH(AR$1, AsistenciaJetAdminConcatenada!$B:$B, 0)), ISNUMBER(SEARCH($A61,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ISNUMBER(SEARCH($A61, INDEX(AsistenciaJetAdminConcatenada!$D:$D, MATCH(1, (AsistenciaJetAdminConcatenada!$A:$A=AR$2)*(AsistenciaJetAdminConcatenada!$B:$B=AR$1), 0)), 1))),  0.5, 0))</f>
        <v>1</v>
      </c>
      <c r="AS61" s="47">
        <f t="array" ref="AS61">IF(AND(ISNUMBER(MATCH(AS$2, AsistenciaJetAdminConcatenada!$A:$A, 0)), ISNUMBER(MATCH(AS$1, AsistenciaJetAdminConcatenada!$B:$B, 0)), ISNUMBER(SEARCH($A61,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ISNUMBER(SEARCH($A61, INDEX(AsistenciaJetAdminConcatenada!$D:$D, MATCH(1, (AsistenciaJetAdminConcatenada!$A:$A=AS$2)*(AsistenciaJetAdminConcatenada!$B:$B=AS$1), 0)), 1))),  0.5, 0))</f>
        <v>1</v>
      </c>
      <c r="AT61" s="47">
        <f t="array" ref="AT61">IF(AND(ISNUMBER(MATCH(AT$2, AsistenciaJetAdminConcatenada!$A:$A, 0)), ISNUMBER(MATCH(AT$1, AsistenciaJetAdminConcatenada!$B:$B, 0)), ISNUMBER(SEARCH($A61,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ISNUMBER(SEARCH($A61, INDEX(AsistenciaJetAdminConcatenada!$D:$D, MATCH(1, (AsistenciaJetAdminConcatenada!$A:$A=AT$2)*(AsistenciaJetAdminConcatenada!$B:$B=AT$1), 0)), 1))),  0.5, 0))</f>
        <v>0</v>
      </c>
      <c r="AU61" s="47">
        <f t="array" ref="AU61">IF(AND(ISNUMBER(MATCH(AU$2, AsistenciaJetAdminConcatenada!$A:$A, 0)), ISNUMBER(MATCH(AU$1, AsistenciaJetAdminConcatenada!$B:$B, 0)), ISNUMBER(SEARCH($A61,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ISNUMBER(SEARCH($A61, INDEX(AsistenciaJetAdminConcatenada!$D:$D, MATCH(1, (AsistenciaJetAdminConcatenada!$A:$A=AU$2)*(AsistenciaJetAdminConcatenada!$B:$B=AU$1), 0)), 1))),  0.5, 0))</f>
        <v>1</v>
      </c>
      <c r="AV61" s="47">
        <f t="array" ref="AV61">IF(AND(ISNUMBER(MATCH(AV$2, AsistenciaJetAdminConcatenada!$A:$A, 0)), ISNUMBER(MATCH(AV$1, AsistenciaJetAdminConcatenada!$B:$B, 0)), ISNUMBER(SEARCH($A61,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ISNUMBER(SEARCH($A61, INDEX(AsistenciaJetAdminConcatenada!$D:$D, MATCH(1, (AsistenciaJetAdminConcatenada!$A:$A=AV$2)*(AsistenciaJetAdminConcatenada!$B:$B=AV$1), 0)), 1))),  0.5, 0))</f>
        <v>1</v>
      </c>
      <c r="AW61" s="47">
        <f t="array" ref="AW61">IF(AND(ISNUMBER(MATCH(AW$2, AsistenciaJetAdminConcatenada!$A:$A, 0)), ISNUMBER(MATCH(AW$1, AsistenciaJetAdminConcatenada!$B:$B, 0)), ISNUMBER(SEARCH($A61,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ISNUMBER(SEARCH($A61, INDEX(AsistenciaJetAdminConcatenada!$D:$D, MATCH(1, (AsistenciaJetAdminConcatenada!$A:$A=AW$2)*(AsistenciaJetAdminConcatenada!$B:$B=AW$1), 0)), 1))),  0.5, 0))</f>
        <v>1</v>
      </c>
      <c r="AX61" s="47">
        <f t="array" ref="AX61">IF(AND(ISNUMBER(MATCH(AX$2, AsistenciaJetAdminConcatenada!$A:$A, 0)), ISNUMBER(MATCH(AX$1, AsistenciaJetAdminConcatenada!$B:$B, 0)), ISNUMBER(SEARCH($A61,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ISNUMBER(SEARCH($A61, INDEX(AsistenciaJetAdminConcatenada!$D:$D, MATCH(1, (AsistenciaJetAdminConcatenada!$A:$A=AX$2)*(AsistenciaJetAdminConcatenada!$B:$B=AX$1), 0)), 1))),  0.5, 0))</f>
        <v>0</v>
      </c>
      <c r="AY61" s="47">
        <f t="array" ref="AY61">IF(AND(ISNUMBER(MATCH(AY$2, AsistenciaJetAdminConcatenada!$A:$A, 0)), ISNUMBER(MATCH(AY$1, AsistenciaJetAdminConcatenada!$B:$B, 0)), ISNUMBER(SEARCH($A61,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ISNUMBER(SEARCH($A61, INDEX(AsistenciaJetAdminConcatenada!$D:$D, MATCH(1, (AsistenciaJetAdminConcatenada!$A:$A=AY$2)*(AsistenciaJetAdminConcatenada!$B:$B=AY$1), 0)), 1))),  0.5, 0))</f>
        <v>0.5</v>
      </c>
      <c r="AZ61" s="47">
        <f t="array" ref="AZ61">IF(AND(ISNUMBER(MATCH(AZ$2, AsistenciaJetAdminConcatenada!$A:$A, 0)), ISNUMBER(MATCH(AZ$1, AsistenciaJetAdminConcatenada!$B:$B, 0)), ISNUMBER(SEARCH($A61,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ISNUMBER(SEARCH($A61, INDEX(AsistenciaJetAdminConcatenada!$D:$D, MATCH(1, (AsistenciaJetAdminConcatenada!$A:$A=AZ$2)*(AsistenciaJetAdminConcatenada!$B:$B=AZ$1), 0)), 1))),  0.5, 0))</f>
        <v>1</v>
      </c>
      <c r="BA61" s="47">
        <f t="array" ref="BA61">IF(AND(ISNUMBER(MATCH(BA$2, AsistenciaJetAdminConcatenada!$A:$A, 0)), ISNUMBER(MATCH(BA$1, AsistenciaJetAdminConcatenada!$B:$B, 0)), ISNUMBER(SEARCH($A61,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ISNUMBER(SEARCH($A61, INDEX(AsistenciaJetAdminConcatenada!$D:$D, MATCH(1, (AsistenciaJetAdminConcatenada!$A:$A=BA$2)*(AsistenciaJetAdminConcatenada!$B:$B=BA$1), 0)), 1))),  0.5, 0))</f>
        <v>1</v>
      </c>
      <c r="BB61" s="47">
        <f t="array" ref="BB61">IF(AND(ISNUMBER(MATCH(BB$2, AsistenciaJetAdminConcatenada!$A:$A, 0)), ISNUMBER(MATCH(BB$1, AsistenciaJetAdminConcatenada!$B:$B, 0)), ISNUMBER(SEARCH($A61,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ISNUMBER(SEARCH($A61, INDEX(AsistenciaJetAdminConcatenada!$D:$D, MATCH(1, (AsistenciaJetAdminConcatenada!$A:$A=BB$2)*(AsistenciaJetAdminConcatenada!$B:$B=BB$1), 0)), 1))),  0.5, 0))</f>
        <v>1</v>
      </c>
      <c r="BC61" s="47">
        <f t="array" ref="BC61">IF(AND(ISNUMBER(MATCH(BC$2, AsistenciaJetAdminConcatenada!$A:$A, 0)), ISNUMBER(MATCH(BC$1, AsistenciaJetAdminConcatenada!$B:$B, 0)), ISNUMBER(SEARCH($A61,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ISNUMBER(SEARCH($A61, INDEX(AsistenciaJetAdminConcatenada!$D:$D, MATCH(1, (AsistenciaJetAdminConcatenada!$A:$A=BC$2)*(AsistenciaJetAdminConcatenada!$B:$B=BC$1), 0)), 1))),  0.5, 0))</f>
        <v>0.5</v>
      </c>
      <c r="BD61" s="47">
        <f t="array" ref="BD61">IF(AND(ISNUMBER(MATCH(BD$2, AsistenciaJetAdminConcatenada!$A:$A, 0)), ISNUMBER(MATCH(BD$1, AsistenciaJetAdminConcatenada!$B:$B, 0)), ISNUMBER(SEARCH($A61,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ISNUMBER(SEARCH($A61, INDEX(AsistenciaJetAdminConcatenada!$D:$D, MATCH(1, (AsistenciaJetAdminConcatenada!$A:$A=BD$2)*(AsistenciaJetAdminConcatenada!$B:$B=BD$1), 0)), 1))),  0.5, 0))</f>
        <v>0</v>
      </c>
      <c r="BE61" s="47">
        <f t="array" ref="BE61">IF(AND(ISNUMBER(MATCH(BE$2, AsistenciaJetAdminConcatenada!$A:$A, 0)), ISNUMBER(MATCH(BE$1, AsistenciaJetAdminConcatenada!$B:$B, 0)), ISNUMBER(SEARCH($A61,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ISNUMBER(SEARCH($A61, INDEX(AsistenciaJetAdminConcatenada!$D:$D, MATCH(1, (AsistenciaJetAdminConcatenada!$A:$A=BE$2)*(AsistenciaJetAdminConcatenada!$B:$B=BE$1), 0)), 1))),  0.5, 0))</f>
        <v>1</v>
      </c>
      <c r="BF61" s="47">
        <f t="array" ref="BF61">IF(AND(ISNUMBER(MATCH(BF$2, AsistenciaJetAdminConcatenada!$A:$A, 0)), ISNUMBER(MATCH(BF$1, AsistenciaJetAdminConcatenada!$B:$B, 0)), ISNUMBER(SEARCH($A61,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ISNUMBER(SEARCH($A61, INDEX(AsistenciaJetAdminConcatenada!$D:$D, MATCH(1, (AsistenciaJetAdminConcatenada!$A:$A=BF$2)*(AsistenciaJetAdminConcatenada!$B:$B=BF$1), 0)), 1))),  0.5, 0))</f>
        <v>1</v>
      </c>
      <c r="BG61" s="47">
        <f t="array" ref="BG61">IF(AND(ISNUMBER(MATCH(BG$2, AsistenciaJetAdminConcatenada!$A:$A, 0)), ISNUMBER(MATCH(BG$1, AsistenciaJetAdminConcatenada!$B:$B, 0)), ISNUMBER(SEARCH($A61,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ISNUMBER(SEARCH($A61, INDEX(AsistenciaJetAdminConcatenada!$D:$D, MATCH(1, (AsistenciaJetAdminConcatenada!$A:$A=BG$2)*(AsistenciaJetAdminConcatenada!$B:$B=BG$1), 0)), 1))),  0.5, 0))</f>
        <v>0</v>
      </c>
      <c r="BH61" s="47">
        <f t="array" ref="BH61">IF(AND(ISNUMBER(MATCH(BH$2, AsistenciaJetAdminConcatenada!$A:$A, 0)), ISNUMBER(MATCH(BH$1, AsistenciaJetAdminConcatenada!$B:$B, 0)), ISNUMBER(SEARCH($A61,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ISNUMBER(SEARCH($A61, INDEX(AsistenciaJetAdminConcatenada!$D:$D, MATCH(1, (AsistenciaJetAdminConcatenada!$A:$A=BH$2)*(AsistenciaJetAdminConcatenada!$B:$B=BH$1), 0)), 1))),  0.5, 0))</f>
        <v>0</v>
      </c>
      <c r="BI61" s="47">
        <f t="array" ref="BI61">IF(AND(ISNUMBER(MATCH(BI$2, AsistenciaJetAdminConcatenada!$A:$A, 0)), ISNUMBER(MATCH(BI$1, AsistenciaJetAdminConcatenada!$B:$B, 0)), ISNUMBER(SEARCH($A61,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ISNUMBER(SEARCH($A61, INDEX(AsistenciaJetAdminConcatenada!$D:$D, MATCH(1, (AsistenciaJetAdminConcatenada!$A:$A=BI$2)*(AsistenciaJetAdminConcatenada!$B:$B=BI$1), 0)), 1))),  0.5, 0))</f>
        <v>0</v>
      </c>
      <c r="BJ61" s="47">
        <f t="array" ref="BJ61">IF(AND(ISNUMBER(MATCH(BJ$2, AsistenciaJetAdminConcatenada!$A:$A, 0)), ISNUMBER(MATCH(BJ$1, AsistenciaJetAdminConcatenada!$B:$B, 0)), ISNUMBER(SEARCH($A61,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ISNUMBER(SEARCH($A61, INDEX(AsistenciaJetAdminConcatenada!$D:$D, MATCH(1, (AsistenciaJetAdminConcatenada!$A:$A=BJ$2)*(AsistenciaJetAdminConcatenada!$B:$B=BJ$1), 0)), 1))),  0.5, 0))</f>
        <v>0</v>
      </c>
      <c r="BK61" s="47">
        <f t="array" ref="BK61">IF(AND(ISNUMBER(MATCH(BK$2, AsistenciaJetAdminConcatenada!$A:$A, 0)), ISNUMBER(MATCH(BK$1, AsistenciaJetAdminConcatenada!$B:$B, 0)), ISNUMBER(SEARCH($A61,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ISNUMBER(SEARCH($A61, INDEX(AsistenciaJetAdminConcatenada!$D:$D, MATCH(1, (AsistenciaJetAdminConcatenada!$A:$A=BK$2)*(AsistenciaJetAdminConcatenada!$B:$B=BK$1), 0)), 1))),  0.5, 0))</f>
        <v>1</v>
      </c>
      <c r="BL61" s="47">
        <f t="array" ref="BL61">IF(AND(ISNUMBER(MATCH(BL$2, AsistenciaJetAdminConcatenada!$A:$A, 0)), ISNUMBER(MATCH(BL$1, AsistenciaJetAdminConcatenada!$B:$B, 0)), ISNUMBER(SEARCH($A61,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ISNUMBER(SEARCH($A61, INDEX(AsistenciaJetAdminConcatenada!$D:$D, MATCH(1, (AsistenciaJetAdminConcatenada!$A:$A=BL$2)*(AsistenciaJetAdminConcatenada!$B:$B=BL$1), 0)), 1))),  0.5, 0))</f>
        <v>1</v>
      </c>
      <c r="BM61" s="47">
        <f t="array" ref="BM61">IF(AND(ISNUMBER(MATCH(BM$2, AsistenciaJetAdminConcatenada!$A:$A, 0)), ISNUMBER(MATCH(BM$1, AsistenciaJetAdminConcatenada!$B:$B, 0)), ISNUMBER(SEARCH($A61,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ISNUMBER(SEARCH($A61, INDEX(AsistenciaJetAdminConcatenada!$D:$D, MATCH(1, (AsistenciaJetAdminConcatenada!$A:$A=BM$2)*(AsistenciaJetAdminConcatenada!$B:$B=BM$1), 0)), 1))),  0.5, 0))</f>
        <v>0</v>
      </c>
      <c r="BN61" s="47">
        <f t="array" ref="BN61">IF(AND(ISNUMBER(MATCH(BN$2, AsistenciaJetAdminConcatenada!$A:$A, 0)), ISNUMBER(MATCH(BN$1, AsistenciaJetAdminConcatenada!$B:$B, 0)), ISNUMBER(SEARCH($A61,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ISNUMBER(SEARCH($A61, INDEX(AsistenciaJetAdminConcatenada!$D:$D, MATCH(1, (AsistenciaJetAdminConcatenada!$A:$A=BN$2)*(AsistenciaJetAdminConcatenada!$B:$B=BN$1), 0)), 1))),  0.5, 0))</f>
        <v>1</v>
      </c>
      <c r="BO61" s="47">
        <f t="array" ref="BO61">IF(AND(ISNUMBER(MATCH(BO$2, AsistenciaJetAdminConcatenada!$A:$A, 0)), ISNUMBER(MATCH(BO$1, AsistenciaJetAdminConcatenada!$B:$B, 0)), ISNUMBER(SEARCH($A61,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ISNUMBER(SEARCH($A61, INDEX(AsistenciaJetAdminConcatenada!$D:$D, MATCH(1, (AsistenciaJetAdminConcatenada!$A:$A=BO$2)*(AsistenciaJetAdminConcatenada!$B:$B=BO$1), 0)), 1))),  0.5, 0))</f>
        <v>1</v>
      </c>
      <c r="BP61" s="47">
        <f t="array" ref="BP61">IF(AND(ISNUMBER(MATCH(BP$2, AsistenciaJetAdminConcatenada!$A:$A, 0)), ISNUMBER(MATCH(BP$1, AsistenciaJetAdminConcatenada!$B:$B, 0)), ISNUMBER(SEARCH($A61,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ISNUMBER(SEARCH($A61, INDEX(AsistenciaJetAdminConcatenada!$D:$D, MATCH(1, (AsistenciaJetAdminConcatenada!$A:$A=BP$2)*(AsistenciaJetAdminConcatenada!$B:$B=BP$1), 0)), 1))),  0.5, 0))</f>
        <v>1</v>
      </c>
      <c r="BQ61" s="47">
        <f t="array" ref="BQ61">IF(AND(ISNUMBER(MATCH(BQ$2, AsistenciaJetAdminConcatenada!$A:$A, 0)), ISNUMBER(MATCH(BQ$1, AsistenciaJetAdminConcatenada!$B:$B, 0)), ISNUMBER(SEARCH($A61,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ISNUMBER(SEARCH($A61, INDEX(AsistenciaJetAdminConcatenada!$D:$D, MATCH(1, (AsistenciaJetAdminConcatenada!$A:$A=BQ$2)*(AsistenciaJetAdminConcatenada!$B:$B=BQ$1), 0)), 1))),  0.5, 0))</f>
        <v>1</v>
      </c>
      <c r="BR61" s="47">
        <f t="array" ref="BR61">IF(AND(ISNUMBER(MATCH(BR$2, AsistenciaJetAdminConcatenada!$A:$A, 0)), ISNUMBER(MATCH(BR$1, AsistenciaJetAdminConcatenada!$B:$B, 0)), ISNUMBER(SEARCH($A61,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ISNUMBER(SEARCH($A61, INDEX(AsistenciaJetAdminConcatenada!$D:$D, MATCH(1, (AsistenciaJetAdminConcatenada!$A:$A=BR$2)*(AsistenciaJetAdminConcatenada!$B:$B=BR$1), 0)), 1))),  0.5, 0))</f>
        <v>1</v>
      </c>
      <c r="BS61" s="47">
        <f t="array" ref="BS61">IF(AND(ISNUMBER(MATCH(BS$2, AsistenciaJetAdminConcatenada!$A:$A, 0)), ISNUMBER(MATCH(BS$1, AsistenciaJetAdminConcatenada!$B:$B, 0)), ISNUMBER(SEARCH($A61,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ISNUMBER(SEARCH($A61, INDEX(AsistenciaJetAdminConcatenada!$D:$D, MATCH(1, (AsistenciaJetAdminConcatenada!$A:$A=BS$2)*(AsistenciaJetAdminConcatenada!$B:$B=BS$1), 0)), 1))),  0.5, 0))</f>
        <v>0</v>
      </c>
      <c r="BT61" s="47">
        <f t="array" ref="BT61">IF(AND(ISNUMBER(MATCH(BT$2, AsistenciaJetAdminConcatenada!$A:$A, 0)), ISNUMBER(MATCH(BT$1, AsistenciaJetAdminConcatenada!$B:$B, 0)), ISNUMBER(SEARCH($A61,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ISNUMBER(SEARCH($A61, INDEX(AsistenciaJetAdminConcatenada!$D:$D, MATCH(1, (AsistenciaJetAdminConcatenada!$A:$A=BT$2)*(AsistenciaJetAdminConcatenada!$B:$B=BT$1), 0)), 1))),  0.5, 0))</f>
        <v>1</v>
      </c>
      <c r="BU61" s="47">
        <f t="array" ref="BU61">IF(AND(ISNUMBER(MATCH(BU$2, AsistenciaJetAdminConcatenada!$A:$A, 0)), ISNUMBER(MATCH(BU$1, AsistenciaJetAdminConcatenada!$B:$B, 0)), ISNUMBER(SEARCH($A61,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ISNUMBER(SEARCH($A61, INDEX(AsistenciaJetAdminConcatenada!$D:$D, MATCH(1, (AsistenciaJetAdminConcatenada!$A:$A=BU$2)*(AsistenciaJetAdminConcatenada!$B:$B=BU$1), 0)), 1))),  0.5, 0))</f>
        <v>1</v>
      </c>
      <c r="BV61" s="47">
        <f t="array" ref="BV61">IF(AND(ISNUMBER(MATCH(BV$2, AsistenciaJetAdminConcatenada!$A:$A, 0)), ISNUMBER(MATCH(BV$1, AsistenciaJetAdminConcatenada!$B:$B, 0)), ISNUMBER(SEARCH($A61,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ISNUMBER(SEARCH($A61, INDEX(AsistenciaJetAdminConcatenada!$D:$D, MATCH(1, (AsistenciaJetAdminConcatenada!$A:$A=BV$2)*(AsistenciaJetAdminConcatenada!$B:$B=BV$1), 0)), 1))),  0.5, 0))</f>
        <v>1</v>
      </c>
      <c r="BW61" s="47">
        <f t="array" ref="BW61">IF(AND(ISNUMBER(MATCH(BW$2, AsistenciaJetAdminConcatenada!$A:$A, 0)), ISNUMBER(MATCH(BW$1, AsistenciaJetAdminConcatenada!$B:$B, 0)), ISNUMBER(SEARCH($A61,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ISNUMBER(SEARCH($A61, INDEX(AsistenciaJetAdminConcatenada!$D:$D, MATCH(1, (AsistenciaJetAdminConcatenada!$A:$A=BW$2)*(AsistenciaJetAdminConcatenada!$B:$B=BW$1), 0)), 1))),  0.5, 0))</f>
        <v>0</v>
      </c>
      <c r="BX61" s="47">
        <f t="array" ref="BX61">IF(AND(ISNUMBER(MATCH(BX$2, AsistenciaJetAdminConcatenada!$A:$A, 0)), ISNUMBER(MATCH(BX$1, AsistenciaJetAdminConcatenada!$B:$B, 0)), ISNUMBER(SEARCH($A61,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ISNUMBER(SEARCH($A61, INDEX(AsistenciaJetAdminConcatenada!$D:$D, MATCH(1, (AsistenciaJetAdminConcatenada!$A:$A=BX$2)*(AsistenciaJetAdminConcatenada!$B:$B=BX$1), 0)), 1))),  0.5, 0))</f>
        <v>0.5</v>
      </c>
      <c r="BY61" s="47">
        <f t="array" ref="BY61">IF(AND(ISNUMBER(MATCH(BY$2, AsistenciaJetAdminConcatenada!$A:$A, 0)), ISNUMBER(MATCH(BY$1, AsistenciaJetAdminConcatenada!$B:$B, 0)), ISNUMBER(SEARCH($A61,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ISNUMBER(SEARCH($A61, INDEX(AsistenciaJetAdminConcatenada!$D:$D, MATCH(1, (AsistenciaJetAdminConcatenada!$A:$A=BY$2)*(AsistenciaJetAdminConcatenada!$B:$B=BY$1), 0)), 1))),  0.5, 0))</f>
        <v>1</v>
      </c>
      <c r="BZ61" s="47">
        <f t="array" ref="BZ61">IF(AND(ISNUMBER(MATCH(BZ$2, AsistenciaJetAdminConcatenada!$A:$A, 0)), ISNUMBER(MATCH(BZ$1, AsistenciaJetAdminConcatenada!$B:$B, 0)), ISNUMBER(SEARCH($A61,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ISNUMBER(SEARCH($A61, INDEX(AsistenciaJetAdminConcatenada!$D:$D, MATCH(1, (AsistenciaJetAdminConcatenada!$A:$A=BZ$2)*(AsistenciaJetAdminConcatenada!$B:$B=BZ$1), 0)), 1))),  0.5, 0))</f>
        <v>0</v>
      </c>
      <c r="CA61" s="47">
        <f t="array" ref="CA61">IF(AND(ISNUMBER(MATCH(CA$2, AsistenciaJetAdminConcatenada!$A:$A, 0)), ISNUMBER(MATCH(CA$1, AsistenciaJetAdminConcatenada!$B:$B, 0)), ISNUMBER(SEARCH($A61,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ISNUMBER(SEARCH($A61, INDEX(AsistenciaJetAdminConcatenada!$D:$D, MATCH(1, (AsistenciaJetAdminConcatenada!$A:$A=CA$2)*(AsistenciaJetAdminConcatenada!$B:$B=CA$1), 0)), 1))),  0.5, 0))</f>
        <v>1</v>
      </c>
      <c r="CB61" s="47">
        <f t="array" ref="CB61">IF(AND(ISNUMBER(MATCH(CB$2, AsistenciaJetAdminConcatenada!$A:$A, 0)), ISNUMBER(MATCH(CB$1, AsistenciaJetAdminConcatenada!$B:$B, 0)), ISNUMBER(SEARCH($A61,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ISNUMBER(SEARCH($A61, INDEX(AsistenciaJetAdminConcatenada!$D:$D, MATCH(1, (AsistenciaJetAdminConcatenada!$A:$A=CB$2)*(AsistenciaJetAdminConcatenada!$B:$B=CB$1), 0)), 1))),  0.5, 0))</f>
        <v>0</v>
      </c>
      <c r="CC61" s="47">
        <f t="array" ref="CC61">IF(AND(ISNUMBER(MATCH(CC$2, AsistenciaJetAdminConcatenada!$A:$A, 0)), ISNUMBER(MATCH(CC$1, AsistenciaJetAdminConcatenada!$B:$B, 0)), ISNUMBER(SEARCH($A61,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ISNUMBER(SEARCH($A61, INDEX(AsistenciaJetAdminConcatenada!$D:$D, MATCH(1, (AsistenciaJetAdminConcatenada!$A:$A=CC$2)*(AsistenciaJetAdminConcatenada!$B:$B=CC$1), 0)), 1))),  0.5, 0))</f>
        <v>1</v>
      </c>
      <c r="CD61" s="47">
        <f t="array" ref="CD61">IF(AND(ISNUMBER(MATCH(CD$2, AsistenciaJetAdminConcatenada!$A:$A, 0)), ISNUMBER(MATCH(CD$1, AsistenciaJetAdminConcatenada!$B:$B, 0)), ISNUMBER(SEARCH($A61,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ISNUMBER(SEARCH($A61, INDEX(AsistenciaJetAdminConcatenada!$D:$D, MATCH(1, (AsistenciaJetAdminConcatenada!$A:$A=CD$2)*(AsistenciaJetAdminConcatenada!$B:$B=CD$1), 0)), 1))),  0.5, 0))</f>
        <v>0</v>
      </c>
      <c r="CE61" s="47">
        <f t="array" ref="CE61">IF(AND(ISNUMBER(MATCH(CE$2, AsistenciaJetAdminConcatenada!$A:$A, 0)), ISNUMBER(MATCH(CE$1, AsistenciaJetAdminConcatenada!$B:$B, 0)), ISNUMBER(SEARCH($A61,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ISNUMBER(SEARCH($A61, INDEX(AsistenciaJetAdminConcatenada!$D:$D, MATCH(1, (AsistenciaJetAdminConcatenada!$A:$A=CE$2)*(AsistenciaJetAdminConcatenada!$B:$B=CE$1), 0)), 1))),  0.5, 0))</f>
        <v>0</v>
      </c>
      <c r="CF61" s="47">
        <f t="array" ref="CF61">IF(AND(ISNUMBER(MATCH(CF$2, AsistenciaJetAdminConcatenada!$A:$A, 0)), ISNUMBER(MATCH(CF$1, AsistenciaJetAdminConcatenada!$B:$B, 0)), ISNUMBER(SEARCH($A61,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ISNUMBER(SEARCH($A61, INDEX(AsistenciaJetAdminConcatenada!$D:$D, MATCH(1, (AsistenciaJetAdminConcatenada!$A:$A=CF$2)*(AsistenciaJetAdminConcatenada!$B:$B=CF$1), 0)), 1))),  0.5, 0))</f>
        <v>1</v>
      </c>
      <c r="CG61" s="47">
        <f t="array" ref="CG61">IF(AND(ISNUMBER(MATCH(CG$2, AsistenciaJetAdminConcatenada!$A:$A, 0)), ISNUMBER(MATCH(CG$1, AsistenciaJetAdminConcatenada!$B:$B, 0)), ISNUMBER(SEARCH($A61,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ISNUMBER(SEARCH($A61, INDEX(AsistenciaJetAdminConcatenada!$D:$D, MATCH(1, (AsistenciaJetAdminConcatenada!$A:$A=CG$2)*(AsistenciaJetAdminConcatenada!$B:$B=CG$1), 0)), 1))),  0.5, 0))</f>
        <v>1</v>
      </c>
      <c r="CH61" s="47">
        <f t="array" ref="CH61">IF(AND(ISNUMBER(MATCH(CH$2, AsistenciaJetAdminConcatenada!$A:$A, 0)), ISNUMBER(MATCH(CH$1, AsistenciaJetAdminConcatenada!$B:$B, 0)), ISNUMBER(SEARCH($A61,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ISNUMBER(SEARCH($A61, INDEX(AsistenciaJetAdminConcatenada!$D:$D, MATCH(1, (AsistenciaJetAdminConcatenada!$A:$A=CH$2)*(AsistenciaJetAdminConcatenada!$B:$B=CH$1), 0)), 1))),  0.5, 0))</f>
        <v>0.5</v>
      </c>
      <c r="CI61" s="47">
        <f t="array" ref="CI61">IF(AND(ISNUMBER(MATCH(CI$2, AsistenciaJetAdminConcatenada!$A:$A, 0)), ISNUMBER(MATCH(CI$1, AsistenciaJetAdminConcatenada!$B:$B, 0)), ISNUMBER(SEARCH($A61,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ISNUMBER(SEARCH($A61, INDEX(AsistenciaJetAdminConcatenada!$D:$D, MATCH(1, (AsistenciaJetAdminConcatenada!$A:$A=CI$2)*(AsistenciaJetAdminConcatenada!$B:$B=CI$1), 0)), 1))),  0.5, 0))</f>
        <v>1</v>
      </c>
      <c r="CJ61" s="47">
        <f t="array" ref="CJ61">IF(AND(ISNUMBER(MATCH(CJ$2, AsistenciaJetAdminConcatenada!$A:$A, 0)), ISNUMBER(MATCH(CJ$1, AsistenciaJetAdminConcatenada!$B:$B, 0)), ISNUMBER(SEARCH($A61,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ISNUMBER(SEARCH($A61, INDEX(AsistenciaJetAdminConcatenada!$D:$D, MATCH(1, (AsistenciaJetAdminConcatenada!$A:$A=CJ$2)*(AsistenciaJetAdminConcatenada!$B:$B=CJ$1), 0)), 1))),  0.5, 0))</f>
        <v>1</v>
      </c>
      <c r="CK61" s="47">
        <f t="array" ref="CK61">IF(AND(ISNUMBER(MATCH(CK$2, AsistenciaJetAdminConcatenada!$A:$A, 0)), ISNUMBER(MATCH(CK$1, AsistenciaJetAdminConcatenada!$B:$B, 0)), ISNUMBER(SEARCH($A61,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ISNUMBER(SEARCH($A61, INDEX(AsistenciaJetAdminConcatenada!$D:$D, MATCH(1, (AsistenciaJetAdminConcatenada!$A:$A=CK$2)*(AsistenciaJetAdminConcatenada!$B:$B=CK$1), 0)), 1))),  0.5, 0))</f>
        <v>1</v>
      </c>
      <c r="CL61" s="47">
        <f t="array" ref="CL61">IF(AND(ISNUMBER(MATCH(CL$2, AsistenciaJetAdminConcatenada!$A:$A, 0)), ISNUMBER(MATCH(CL$1, AsistenciaJetAdminConcatenada!$B:$B, 0)), ISNUMBER(SEARCH($A61,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ISNUMBER(SEARCH($A61, INDEX(AsistenciaJetAdminConcatenada!$D:$D, MATCH(1, (AsistenciaJetAdminConcatenada!$A:$A=CL$2)*(AsistenciaJetAdminConcatenada!$B:$B=CL$1), 0)), 1))),  0.5, 0))</f>
        <v>1</v>
      </c>
      <c r="CM61" s="47">
        <f t="array" ref="CM61">IF(AND(ISNUMBER(MATCH(CM$2, AsistenciaJetAdminConcatenada!$A:$A, 0)), ISNUMBER(MATCH(CM$1, AsistenciaJetAdminConcatenada!$B:$B, 0)), ISNUMBER(SEARCH($A61,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ISNUMBER(SEARCH($A61, INDEX(AsistenciaJetAdminConcatenada!$D:$D, MATCH(1, (AsistenciaJetAdminConcatenada!$A:$A=CM$2)*(AsistenciaJetAdminConcatenada!$B:$B=CM$1), 0)), 1))),  0.5, 0))</f>
        <v>1</v>
      </c>
      <c r="CN61" s="47">
        <f t="array" ref="CN61">IF(AND(ISNUMBER(MATCH(CN$2, AsistenciaJetAdminConcatenada!$A:$A, 0)), ISNUMBER(MATCH(CN$1, AsistenciaJetAdminConcatenada!$B:$B, 0)), ISNUMBER(SEARCH($A61,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ISNUMBER(SEARCH($A61, INDEX(AsistenciaJetAdminConcatenada!$D:$D, MATCH(1, (AsistenciaJetAdminConcatenada!$A:$A=CN$2)*(AsistenciaJetAdminConcatenada!$B:$B=CN$1), 0)), 1))),  0.5, 0))</f>
        <v>1</v>
      </c>
      <c r="CO61" s="47">
        <f t="array" ref="CO61">IF(AND(ISNUMBER(MATCH(CO$2, AsistenciaJetAdminConcatenada!$A:$A, 0)), ISNUMBER(MATCH(CO$1, AsistenciaJetAdminConcatenada!$B:$B, 0)), ISNUMBER(SEARCH($A61,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ISNUMBER(SEARCH($A61, INDEX(AsistenciaJetAdminConcatenada!$D:$D, MATCH(1, (AsistenciaJetAdminConcatenada!$A:$A=CO$2)*(AsistenciaJetAdminConcatenada!$B:$B=CO$1), 0)), 1))),  0.5, 0))</f>
        <v>1</v>
      </c>
      <c r="CP61" s="47">
        <f t="array" ref="CP61">IF(AND(ISNUMBER(MATCH(CP$2, AsistenciaJetAdminConcatenada!$A:$A, 0)), ISNUMBER(MATCH(CP$1, AsistenciaJetAdminConcatenada!$B:$B, 0)), ISNUMBER(SEARCH($A61,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ISNUMBER(SEARCH($A61, INDEX(AsistenciaJetAdminConcatenada!$D:$D, MATCH(1, (AsistenciaJetAdminConcatenada!$A:$A=CP$2)*(AsistenciaJetAdminConcatenada!$B:$B=CP$1), 0)), 1))),  0.5, 0))</f>
        <v>1</v>
      </c>
      <c r="CQ61" s="47">
        <f t="array" ref="CQ61">IF(AND(ISNUMBER(MATCH(CQ$2, AsistenciaJetAdminConcatenada!$A:$A, 0)), ISNUMBER(MATCH(CQ$1, AsistenciaJetAdminConcatenada!$B:$B, 0)), ISNUMBER(SEARCH($A61,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ISNUMBER(SEARCH($A61, INDEX(AsistenciaJetAdminConcatenada!$D:$D, MATCH(1, (AsistenciaJetAdminConcatenada!$A:$A=CQ$2)*(AsistenciaJetAdminConcatenada!$B:$B=CQ$1), 0)), 1))),  0.5, 0))</f>
        <v>1</v>
      </c>
      <c r="CR61" s="47">
        <f t="array" ref="CR61">IF(AND(ISNUMBER(MATCH(CR$2, AsistenciaJetAdminConcatenada!$A:$A, 0)), ISNUMBER(MATCH(CR$1, AsistenciaJetAdminConcatenada!$B:$B, 0)), ISNUMBER(SEARCH($A61,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ISNUMBER(SEARCH($A61, INDEX(AsistenciaJetAdminConcatenada!$D:$D, MATCH(1, (AsistenciaJetAdminConcatenada!$A:$A=CR$2)*(AsistenciaJetAdminConcatenada!$B:$B=CR$1), 0)), 1))),  0.5, 0))</f>
        <v>1</v>
      </c>
      <c r="CS61" s="47">
        <f t="array" ref="CS61">IF(AND(ISNUMBER(MATCH(CS$2, AsistenciaJetAdminConcatenada!$A:$A, 0)), ISNUMBER(MATCH(CS$1, AsistenciaJetAdminConcatenada!$B:$B, 0)), ISNUMBER(SEARCH($A61,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ISNUMBER(SEARCH($A61, INDEX(AsistenciaJetAdminConcatenada!$D:$D, MATCH(1, (AsistenciaJetAdminConcatenada!$A:$A=CS$2)*(AsistenciaJetAdminConcatenada!$B:$B=CS$1), 0)), 1))),  0.5, 0))</f>
        <v>0</v>
      </c>
      <c r="CT61" s="47">
        <f t="array" ref="CT61">IF(AND(ISNUMBER(MATCH(CT$2, AsistenciaJetAdminConcatenada!$A:$A, 0)), ISNUMBER(MATCH(CT$1, AsistenciaJetAdminConcatenada!$B:$B, 0)), ISNUMBER(SEARCH($A61,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ISNUMBER(SEARCH($A61, INDEX(AsistenciaJetAdminConcatenada!$D:$D, MATCH(1, (AsistenciaJetAdminConcatenada!$A:$A=CT$2)*(AsistenciaJetAdminConcatenada!$B:$B=CT$1), 0)), 1))),  0.5, 0))</f>
        <v>0</v>
      </c>
      <c r="CU61" s="47">
        <f t="array" ref="CU61">IF(AND(ISNUMBER(MATCH(CU$2, AsistenciaJetAdminConcatenada!$A:$A, 0)), ISNUMBER(MATCH(CU$1, AsistenciaJetAdminConcatenada!$B:$B, 0)), ISNUMBER(SEARCH($A61,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ISNUMBER(SEARCH($A61, INDEX(AsistenciaJetAdminConcatenada!$D:$D, MATCH(1, (AsistenciaJetAdminConcatenada!$A:$A=CU$2)*(AsistenciaJetAdminConcatenada!$B:$B=CU$1), 0)), 1))),  0.5, 0))</f>
        <v>0</v>
      </c>
      <c r="CV61" s="47">
        <f t="array" ref="CV61">IF(AND(ISNUMBER(MATCH(CV$2, AsistenciaJetAdminConcatenada!$A:$A, 0)), ISNUMBER(MATCH(CV$1, AsistenciaJetAdminConcatenada!$B:$B, 0)), ISNUMBER(SEARCH($A61,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ISNUMBER(SEARCH($A61, INDEX(AsistenciaJetAdminConcatenada!$D:$D, MATCH(1, (AsistenciaJetAdminConcatenada!$A:$A=CV$2)*(AsistenciaJetAdminConcatenada!$B:$B=CV$1), 0)), 1))),  0.5, 0))</f>
        <v>0</v>
      </c>
      <c r="CW61" s="47">
        <f t="array" ref="CW61">IF(AND(ISNUMBER(MATCH(CW$2, AsistenciaJetAdminConcatenada!$A:$A, 0)), ISNUMBER(MATCH(CW$1, AsistenciaJetAdminConcatenada!$B:$B, 0)), ISNUMBER(SEARCH($A61,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ISNUMBER(SEARCH($A61, INDEX(AsistenciaJetAdminConcatenada!$D:$D, MATCH(1, (AsistenciaJetAdminConcatenada!$A:$A=CW$2)*(AsistenciaJetAdminConcatenada!$B:$B=CW$1), 0)), 1))),  0.5, 0))</f>
        <v>0</v>
      </c>
      <c r="CX61" s="47">
        <f t="array" ref="CX61">IF(AND(ISNUMBER(MATCH(CX$2, AsistenciaJetAdminConcatenada!$A:$A, 0)), ISNUMBER(MATCH(CX$1, AsistenciaJetAdminConcatenada!$B:$B, 0)), ISNUMBER(SEARCH($A61,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ISNUMBER(SEARCH($A61, INDEX(AsistenciaJetAdminConcatenada!$D:$D, MATCH(1, (AsistenciaJetAdminConcatenada!$A:$A=CX$2)*(AsistenciaJetAdminConcatenada!$B:$B=CX$1), 0)), 1))),  0.5, 0))</f>
        <v>0</v>
      </c>
      <c r="CY61" s="47">
        <f t="array" ref="CY61">IF(AND(ISNUMBER(MATCH(CY$2, AsistenciaJetAdminConcatenada!$A:$A, 0)), ISNUMBER(MATCH(CY$1, AsistenciaJetAdminConcatenada!$B:$B, 0)), ISNUMBER(SEARCH($A61,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ISNUMBER(SEARCH($A61, INDEX(AsistenciaJetAdminConcatenada!$D:$D, MATCH(1, (AsistenciaJetAdminConcatenada!$A:$A=CY$2)*(AsistenciaJetAdminConcatenada!$B:$B=CY$1), 0)), 1))),  0.5, 0))</f>
        <v>0</v>
      </c>
      <c r="CZ61" s="47">
        <f t="array" ref="CZ61">IF(AND(ISNUMBER(MATCH(CZ$2, AsistenciaJetAdminConcatenada!$A:$A, 0)), ISNUMBER(MATCH(CZ$1, AsistenciaJetAdminConcatenada!$B:$B, 0)), ISNUMBER(SEARCH($A61,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ISNUMBER(SEARCH($A61, INDEX(AsistenciaJetAdminConcatenada!$D:$D, MATCH(1, (AsistenciaJetAdminConcatenada!$A:$A=CZ$2)*(AsistenciaJetAdminConcatenada!$B:$B=CZ$1), 0)), 1))),  0.5, 0))</f>
        <v>0</v>
      </c>
      <c r="DA61" s="47">
        <f t="array" ref="DA61">IF(AND(ISNUMBER(MATCH(DA$2, AsistenciaJetAdminConcatenada!$A:$A, 0)), ISNUMBER(MATCH(DA$1, AsistenciaJetAdminConcatenada!$B:$B, 0)), ISNUMBER(SEARCH($A61,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ISNUMBER(SEARCH($A61, INDEX(AsistenciaJetAdminConcatenada!$D:$D, MATCH(1, (AsistenciaJetAdminConcatenada!$A:$A=DA$2)*(AsistenciaJetAdminConcatenada!$B:$B=DA$1), 0)), 1))),  0.5, 0))</f>
        <v>0</v>
      </c>
      <c r="DB61" s="47">
        <f t="array" ref="DB61">IF(AND(ISNUMBER(MATCH(DB$2, AsistenciaJetAdminConcatenada!$A:$A, 0)), ISNUMBER(MATCH(DB$1, AsistenciaJetAdminConcatenada!$B:$B, 0)), ISNUMBER(SEARCH($A61,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ISNUMBER(SEARCH($A61, INDEX(AsistenciaJetAdminConcatenada!$D:$D, MATCH(1, (AsistenciaJetAdminConcatenada!$A:$A=DB$2)*(AsistenciaJetAdminConcatenada!$B:$B=DB$1), 0)), 1))),  0.5, 0))</f>
        <v>0</v>
      </c>
      <c r="DC61" s="47">
        <f t="array" ref="DC61">IF(AND(ISNUMBER(MATCH(DC$2, AsistenciaJetAdminConcatenada!$A:$A, 0)), ISNUMBER(MATCH(DC$1, AsistenciaJetAdminConcatenada!$B:$B, 0)), ISNUMBER(SEARCH($A61,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ISNUMBER(SEARCH($A61, INDEX(AsistenciaJetAdminConcatenada!$D:$D, MATCH(1, (AsistenciaJetAdminConcatenada!$A:$A=DC$2)*(AsistenciaJetAdminConcatenada!$B:$B=DC$1), 0)), 1))),  0.5, 0))</f>
        <v>0</v>
      </c>
      <c r="DD61" s="47">
        <f t="array" ref="DD61">IF(AND(ISNUMBER(MATCH(DD$2, AsistenciaJetAdminConcatenada!$A:$A, 0)), ISNUMBER(MATCH(DD$1, AsistenciaJetAdminConcatenada!$B:$B, 0)), ISNUMBER(SEARCH($A61,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ISNUMBER(SEARCH($A61, INDEX(AsistenciaJetAdminConcatenada!$D:$D, MATCH(1, (AsistenciaJetAdminConcatenada!$A:$A=DD$2)*(AsistenciaJetAdminConcatenada!$B:$B=DD$1), 0)), 1))),  0.5, 0))</f>
        <v>0</v>
      </c>
      <c r="DE61" s="47">
        <f t="array" ref="DE61">IF(AND(ISNUMBER(MATCH(DE$2, AsistenciaJetAdminConcatenada!$A:$A, 0)), ISNUMBER(MATCH(DE$1, AsistenciaJetAdminConcatenada!$B:$B, 0)), ISNUMBER(SEARCH($A61,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ISNUMBER(SEARCH($A61, INDEX(AsistenciaJetAdminConcatenada!$D:$D, MATCH(1, (AsistenciaJetAdminConcatenada!$A:$A=DE$2)*(AsistenciaJetAdminConcatenada!$B:$B=DE$1), 0)), 1))),  0.5, 0))</f>
        <v>0</v>
      </c>
      <c r="DF61" s="47">
        <f t="array" ref="DF61">IF(AND(ISNUMBER(MATCH(DF$2, AsistenciaJetAdminConcatenada!$A:$A, 0)), ISNUMBER(MATCH(DF$1, AsistenciaJetAdminConcatenada!$B:$B, 0)), ISNUMBER(SEARCH($A61,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ISNUMBER(SEARCH($A61, INDEX(AsistenciaJetAdminConcatenada!$D:$D, MATCH(1, (AsistenciaJetAdminConcatenada!$A:$A=DF$2)*(AsistenciaJetAdminConcatenada!$B:$B=DF$1), 0)), 1))),  0.5, 0))</f>
        <v>0</v>
      </c>
      <c r="DG61" s="47">
        <f t="array" ref="DG61">IF(AND(ISNUMBER(MATCH(DG$2, AsistenciaJetAdminConcatenada!$A:$A, 0)), ISNUMBER(MATCH(DG$1, AsistenciaJetAdminConcatenada!$B:$B, 0)), ISNUMBER(SEARCH($A61,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ISNUMBER(SEARCH($A61, INDEX(AsistenciaJetAdminConcatenada!$D:$D, MATCH(1, (AsistenciaJetAdminConcatenada!$A:$A=DG$2)*(AsistenciaJetAdminConcatenada!$B:$B=DG$1), 0)), 1))),  0.5, 0))</f>
        <v>0</v>
      </c>
      <c r="DH61" s="47">
        <f t="array" ref="DH61">IF(AND(ISNUMBER(MATCH(DH$2, AsistenciaJetAdminConcatenada!$A:$A, 0)), ISNUMBER(MATCH(DH$1, AsistenciaJetAdminConcatenada!$B:$B, 0)), ISNUMBER(SEARCH($A61,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ISNUMBER(SEARCH($A61, INDEX(AsistenciaJetAdminConcatenada!$D:$D, MATCH(1, (AsistenciaJetAdminConcatenada!$A:$A=DH$2)*(AsistenciaJetAdminConcatenada!$B:$B=DH$1), 0)), 1))),  0.5, 0))</f>
        <v>0</v>
      </c>
      <c r="DI61" s="47">
        <f t="array" ref="DI61">IF(AND(ISNUMBER(MATCH(DI$2, AsistenciaJetAdminConcatenada!$A:$A, 0)), ISNUMBER(MATCH(DI$1, AsistenciaJetAdminConcatenada!$B:$B, 0)), ISNUMBER(SEARCH($A61,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ISNUMBER(SEARCH($A61, INDEX(AsistenciaJetAdminConcatenada!$D:$D, MATCH(1, (AsistenciaJetAdminConcatenada!$A:$A=DI$2)*(AsistenciaJetAdminConcatenada!$B:$B=DI$1), 0)), 1))),  0.5, 0))</f>
        <v>0</v>
      </c>
      <c r="DJ61" s="47">
        <f t="array" ref="DJ61">IF(AND(ISNUMBER(MATCH(DJ$2, AsistenciaJetAdminConcatenada!$A:$A, 0)), ISNUMBER(MATCH(DJ$1, AsistenciaJetAdminConcatenada!$B:$B, 0)), ISNUMBER(SEARCH($A61,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ISNUMBER(SEARCH($A61, INDEX(AsistenciaJetAdminConcatenada!$D:$D, MATCH(1, (AsistenciaJetAdminConcatenada!$A:$A=DJ$2)*(AsistenciaJetAdminConcatenada!$B:$B=DJ$1), 0)), 1))),  0.5, 0))</f>
        <v>0</v>
      </c>
      <c r="DK61" s="47">
        <f t="array" ref="DK61">IF(AND(ISNUMBER(MATCH(DK$2, AsistenciaJetAdminConcatenada!$A:$A, 0)), ISNUMBER(MATCH(DK$1, AsistenciaJetAdminConcatenada!$B:$B, 0)), ISNUMBER(SEARCH($A61,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ISNUMBER(SEARCH($A61, INDEX(AsistenciaJetAdminConcatenada!$D:$D, MATCH(1, (AsistenciaJetAdminConcatenada!$A:$A=DK$2)*(AsistenciaJetAdminConcatenada!$B:$B=DK$1), 0)), 1))),  0.5, 0))</f>
        <v>0</v>
      </c>
      <c r="DL61" s="47">
        <f t="array" ref="DL61">IF(AND(ISNUMBER(MATCH(DL$2, AsistenciaJetAdminConcatenada!$A:$A, 0)), ISNUMBER(MATCH(DL$1, AsistenciaJetAdminConcatenada!$B:$B, 0)), ISNUMBER(SEARCH($A61,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ISNUMBER(SEARCH($A61, INDEX(AsistenciaJetAdminConcatenada!$D:$D, MATCH(1, (AsistenciaJetAdminConcatenada!$A:$A=DL$2)*(AsistenciaJetAdminConcatenada!$B:$B=DL$1), 0)), 1))),  0.5, 0))</f>
        <v>0</v>
      </c>
      <c r="DM61" s="47">
        <f t="array" ref="DM61">IF(AND(ISNUMBER(MATCH(DM$2, AsistenciaJetAdminConcatenada!$A:$A, 0)), ISNUMBER(MATCH(DM$1, AsistenciaJetAdminConcatenada!$B:$B, 0)), ISNUMBER(SEARCH($A61,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ISNUMBER(SEARCH($A61, INDEX(AsistenciaJetAdminConcatenada!$D:$D, MATCH(1, (AsistenciaJetAdminConcatenada!$A:$A=DM$2)*(AsistenciaJetAdminConcatenada!$B:$B=DM$1), 0)), 1))),  0.5, 0))</f>
        <v>0</v>
      </c>
      <c r="DN61" s="47">
        <f t="array" ref="DN61">IF(AND(ISNUMBER(MATCH(DN$2, AsistenciaJetAdminConcatenada!$A:$A, 0)), ISNUMBER(MATCH(DN$1, AsistenciaJetAdminConcatenada!$B:$B, 0)), ISNUMBER(SEARCH($A61,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ISNUMBER(SEARCH($A61, INDEX(AsistenciaJetAdminConcatenada!$D:$D, MATCH(1, (AsistenciaJetAdminConcatenada!$A:$A=DN$2)*(AsistenciaJetAdminConcatenada!$B:$B=DN$1), 0)), 1))),  0.5, 0))</f>
        <v>0</v>
      </c>
      <c r="DO61" s="47">
        <f t="array" ref="DO61">IF(AND(ISNUMBER(MATCH(DO$2, AsistenciaJetAdminConcatenada!$A:$A, 0)), ISNUMBER(MATCH(DO$1, AsistenciaJetAdminConcatenada!$B:$B, 0)), ISNUMBER(SEARCH($A61,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ISNUMBER(SEARCH($A61, INDEX(AsistenciaJetAdminConcatenada!$D:$D, MATCH(1, (AsistenciaJetAdminConcatenada!$A:$A=DO$2)*(AsistenciaJetAdminConcatenada!$B:$B=DO$1), 0)), 1))),  0.5, 0))</f>
        <v>0</v>
      </c>
      <c r="DP61" s="47">
        <f t="array" ref="DP61">IF(AND(ISNUMBER(MATCH(DP$2, AsistenciaJetAdminConcatenada!$A:$A, 0)), ISNUMBER(MATCH(DP$1, AsistenciaJetAdminConcatenada!$B:$B, 0)), ISNUMBER(SEARCH($A61,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ISNUMBER(SEARCH($A61, INDEX(AsistenciaJetAdminConcatenada!$D:$D, MATCH(1, (AsistenciaJetAdminConcatenada!$A:$A=DP$2)*(AsistenciaJetAdminConcatenada!$B:$B=DP$1), 0)), 1))),  0.5, 0))</f>
        <v>0</v>
      </c>
      <c r="DQ61" s="47">
        <f t="array" ref="DQ61">IF(AND(ISNUMBER(MATCH(DQ$2, AsistenciaJetAdminConcatenada!$A:$A, 0)), ISNUMBER(MATCH(DQ$1, AsistenciaJetAdminConcatenada!$B:$B, 0)), ISNUMBER(SEARCH($A61,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ISNUMBER(SEARCH($A61, INDEX(AsistenciaJetAdminConcatenada!$D:$D, MATCH(1, (AsistenciaJetAdminConcatenada!$A:$A=DQ$2)*(AsistenciaJetAdminConcatenada!$B:$B=DQ$1), 0)), 1))),  0.5, 0))</f>
        <v>0</v>
      </c>
      <c r="DR61" s="47">
        <f t="array" ref="DR61">IF(AND(ISNUMBER(MATCH(DR$2, AsistenciaJetAdminConcatenada!$A:$A, 0)), ISNUMBER(MATCH(DR$1, AsistenciaJetAdminConcatenada!$B:$B, 0)), ISNUMBER(SEARCH($A61,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ISNUMBER(SEARCH($A61, INDEX(AsistenciaJetAdminConcatenada!$D:$D, MATCH(1, (AsistenciaJetAdminConcatenada!$A:$A=DR$2)*(AsistenciaJetAdminConcatenada!$B:$B=DR$1), 0)), 1))),  0.5, 0))</f>
        <v>0</v>
      </c>
      <c r="DS61" s="47">
        <f t="array" ref="DS61">IF(AND(ISNUMBER(MATCH(DS$2, AsistenciaJetAdminConcatenada!$A:$A, 0)), ISNUMBER(MATCH(DS$1, AsistenciaJetAdminConcatenada!$B:$B, 0)), ISNUMBER(SEARCH($A61,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ISNUMBER(SEARCH($A61, INDEX(AsistenciaJetAdminConcatenada!$D:$D, MATCH(1, (AsistenciaJetAdminConcatenada!$A:$A=DS$2)*(AsistenciaJetAdminConcatenada!$B:$B=DS$1), 0)), 1))),  0.5, 0))</f>
        <v>0</v>
      </c>
      <c r="DT61" s="47">
        <f t="array" ref="DT61">IF(AND(ISNUMBER(MATCH(DT$2, AsistenciaJetAdminConcatenada!$A:$A, 0)), ISNUMBER(MATCH(DT$1, AsistenciaJetAdminConcatenada!$B:$B, 0)), ISNUMBER(SEARCH($A61,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ISNUMBER(SEARCH($A61, INDEX(AsistenciaJetAdminConcatenada!$D:$D, MATCH(1, (AsistenciaJetAdminConcatenada!$A:$A=DT$2)*(AsistenciaJetAdminConcatenada!$B:$B=DT$1), 0)), 1))),  0.5, 0))</f>
        <v>0</v>
      </c>
      <c r="DU61" s="47">
        <f t="array" ref="DU61">IF(AND(ISNUMBER(MATCH(DU$2, AsistenciaJetAdminConcatenada!$A:$A, 0)), ISNUMBER(MATCH(DU$1, AsistenciaJetAdminConcatenada!$B:$B, 0)), ISNUMBER(SEARCH($A61,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ISNUMBER(SEARCH($A61, INDEX(AsistenciaJetAdminConcatenada!$D:$D, MATCH(1, (AsistenciaJetAdminConcatenada!$A:$A=DU$2)*(AsistenciaJetAdminConcatenada!$B:$B=DU$1), 0)), 1))),  0.5, 0))</f>
        <v>0</v>
      </c>
      <c r="DV61" s="47">
        <f t="array" ref="DV61">IF(AND(ISNUMBER(MATCH(DV$2, AsistenciaJetAdminConcatenada!$A:$A, 0)), ISNUMBER(MATCH(DV$1, AsistenciaJetAdminConcatenada!$B:$B, 0)), ISNUMBER(SEARCH($A61,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ISNUMBER(SEARCH($A61, INDEX(AsistenciaJetAdminConcatenada!$D:$D, MATCH(1, (AsistenciaJetAdminConcatenada!$A:$A=DV$2)*(AsistenciaJetAdminConcatenada!$B:$B=DV$1), 0)), 1))),  0.5, 0))</f>
        <v>0</v>
      </c>
      <c r="DW61" s="47">
        <f t="array" ref="DW61">IF(AND(ISNUMBER(MATCH(DW$2, AsistenciaJetAdminConcatenada!$A:$A, 0)), ISNUMBER(MATCH(DW$1, AsistenciaJetAdminConcatenada!$B:$B, 0)), ISNUMBER(SEARCH($A61,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ISNUMBER(SEARCH($A61, INDEX(AsistenciaJetAdminConcatenada!$D:$D, MATCH(1, (AsistenciaJetAdminConcatenada!$A:$A=DW$2)*(AsistenciaJetAdminConcatenada!$B:$B=DW$1), 0)), 1))),  0.5, 0))</f>
        <v>0</v>
      </c>
      <c r="DX61" s="47">
        <f t="array" ref="DX61">IF(AND(ISNUMBER(MATCH(DX$2, AsistenciaJetAdminConcatenada!$A:$A, 0)), ISNUMBER(MATCH(DX$1, AsistenciaJetAdminConcatenada!$B:$B, 0)), ISNUMBER(SEARCH($A61,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ISNUMBER(SEARCH($A61, INDEX(AsistenciaJetAdminConcatenada!$D:$D, MATCH(1, (AsistenciaJetAdminConcatenada!$A:$A=DX$2)*(AsistenciaJetAdminConcatenada!$B:$B=DX$1), 0)), 1))),  0.5, 0))</f>
        <v>0</v>
      </c>
      <c r="DY61" s="47">
        <f t="array" ref="DY61">IF(AND(ISNUMBER(MATCH(DY$2, AsistenciaJetAdminConcatenada!$A:$A, 0)), ISNUMBER(MATCH(DY$1, AsistenciaJetAdminConcatenada!$B:$B, 0)), ISNUMBER(SEARCH($A61,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ISNUMBER(SEARCH($A61, INDEX(AsistenciaJetAdminConcatenada!$D:$D, MATCH(1, (AsistenciaJetAdminConcatenada!$A:$A=DY$2)*(AsistenciaJetAdminConcatenada!$B:$B=DY$1), 0)), 1))),  0.5, 0))</f>
        <v>0</v>
      </c>
      <c r="DZ61" s="47">
        <f t="array" ref="DZ61">IF(AND(ISNUMBER(MATCH(DZ$2, AsistenciaJetAdminConcatenada!$A:$A, 0)), ISNUMBER(MATCH(DZ$1, AsistenciaJetAdminConcatenada!$B:$B, 0)), ISNUMBER(SEARCH($A61,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ISNUMBER(SEARCH($A61, INDEX(AsistenciaJetAdminConcatenada!$D:$D, MATCH(1, (AsistenciaJetAdminConcatenada!$A:$A=DZ$2)*(AsistenciaJetAdminConcatenada!$B:$B=DZ$1), 0)), 1))),  0.5, 0))</f>
        <v>0</v>
      </c>
      <c r="EA61" s="47">
        <f t="array" ref="EA61">IF(AND(ISNUMBER(MATCH(EA$2, AsistenciaJetAdminConcatenada!$A:$A, 0)), ISNUMBER(MATCH(EA$1, AsistenciaJetAdminConcatenada!$B:$B, 0)), ISNUMBER(SEARCH($A61,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ISNUMBER(SEARCH($A61, INDEX(AsistenciaJetAdminConcatenada!$D:$D, MATCH(1, (AsistenciaJetAdminConcatenada!$A:$A=EA$2)*(AsistenciaJetAdminConcatenada!$B:$B=EA$1), 0)), 1))),  0.5, 0))</f>
        <v>0</v>
      </c>
      <c r="EB61" s="47">
        <f t="array" ref="EB61">IF(AND(ISNUMBER(MATCH(EB$2, AsistenciaJetAdminConcatenada!$A:$A, 0)), ISNUMBER(MATCH(EB$1, AsistenciaJetAdminConcatenada!$B:$B, 0)), ISNUMBER(SEARCH($A61,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ISNUMBER(SEARCH($A61, INDEX(AsistenciaJetAdminConcatenada!$D:$D, MATCH(1, (AsistenciaJetAdminConcatenada!$A:$A=EB$2)*(AsistenciaJetAdminConcatenada!$B:$B=EB$1), 0)), 1))),  0.5, 0))</f>
        <v>0</v>
      </c>
      <c r="EC61" s="47">
        <f t="array" ref="EC61">IF(AND(ISNUMBER(MATCH(EC$2, AsistenciaJetAdminConcatenada!$A:$A, 0)), ISNUMBER(MATCH(EC$1, AsistenciaJetAdminConcatenada!$B:$B, 0)), ISNUMBER(SEARCH($A61,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ISNUMBER(SEARCH($A61, INDEX(AsistenciaJetAdminConcatenada!$D:$D, MATCH(1, (AsistenciaJetAdminConcatenada!$A:$A=EC$2)*(AsistenciaJetAdminConcatenada!$B:$B=EC$1), 0)), 1))),  0.5, 0))</f>
        <v>0</v>
      </c>
      <c r="ED61" s="47">
        <f t="array" ref="ED61">IF(AND(ISNUMBER(MATCH(ED$2, AsistenciaJetAdminConcatenada!$A:$A, 0)), ISNUMBER(MATCH(ED$1, AsistenciaJetAdminConcatenada!$B:$B, 0)), ISNUMBER(SEARCH($A61,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ISNUMBER(SEARCH($A61, INDEX(AsistenciaJetAdminConcatenada!$D:$D, MATCH(1, (AsistenciaJetAdminConcatenada!$A:$A=ED$2)*(AsistenciaJetAdminConcatenada!$B:$B=ED$1), 0)), 1))),  0.5, 0))</f>
        <v>0</v>
      </c>
      <c r="EE61" s="47">
        <f t="array" ref="EE61">IF(AND(ISNUMBER(MATCH(EE$2, AsistenciaJetAdminConcatenada!$A:$A, 0)), ISNUMBER(MATCH(EE$1, AsistenciaJetAdminConcatenada!$B:$B, 0)), ISNUMBER(SEARCH($A61,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ISNUMBER(SEARCH($A61, INDEX(AsistenciaJetAdminConcatenada!$D:$D, MATCH(1, (AsistenciaJetAdminConcatenada!$A:$A=EE$2)*(AsistenciaJetAdminConcatenada!$B:$B=EE$1), 0)), 1))),  0.5, 0))</f>
        <v>0</v>
      </c>
      <c r="EF61" s="47">
        <f t="array" ref="EF61">IF(AND(ISNUMBER(MATCH(EF$2, AsistenciaJetAdminConcatenada!$A:$A, 0)), ISNUMBER(MATCH(EF$1, AsistenciaJetAdminConcatenada!$B:$B, 0)), ISNUMBER(SEARCH($A61,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ISNUMBER(SEARCH($A61, INDEX(AsistenciaJetAdminConcatenada!$D:$D, MATCH(1, (AsistenciaJetAdminConcatenada!$A:$A=EF$2)*(AsistenciaJetAdminConcatenada!$B:$B=EF$1), 0)), 1))),  0.5, 0))</f>
        <v>0</v>
      </c>
      <c r="EG61" s="47">
        <f t="array" ref="EG61">IF(AND(ISNUMBER(MATCH(EG$2, AsistenciaJetAdminConcatenada!$A:$A, 0)), ISNUMBER(MATCH(EG$1, AsistenciaJetAdminConcatenada!$B:$B, 0)), ISNUMBER(SEARCH($A61,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ISNUMBER(SEARCH($A61, INDEX(AsistenciaJetAdminConcatenada!$D:$D, MATCH(1, (AsistenciaJetAdminConcatenada!$A:$A=EG$2)*(AsistenciaJetAdminConcatenada!$B:$B=EG$1), 0)), 1))),  0.5, 0))</f>
        <v>0</v>
      </c>
      <c r="EH61" s="47">
        <f t="array" ref="EH61">IF(AND(ISNUMBER(MATCH(EH$2, AsistenciaJetAdminConcatenada!$A:$A, 0)), ISNUMBER(MATCH(EH$1, AsistenciaJetAdminConcatenada!$B:$B, 0)), ISNUMBER(SEARCH($A61,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ISNUMBER(SEARCH($A61, INDEX(AsistenciaJetAdminConcatenada!$D:$D, MATCH(1, (AsistenciaJetAdminConcatenada!$A:$A=EH$2)*(AsistenciaJetAdminConcatenada!$B:$B=EH$1), 0)), 1))),  0.5, 0))</f>
        <v>0</v>
      </c>
      <c r="EI61" s="47">
        <f t="array" ref="EI61">IF(AND(ISNUMBER(MATCH(EI$2, AsistenciaJetAdminConcatenada!$A:$A, 0)), ISNUMBER(MATCH(EI$1, AsistenciaJetAdminConcatenada!$B:$B, 0)), ISNUMBER(SEARCH($A61,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ISNUMBER(SEARCH($A61, INDEX(AsistenciaJetAdminConcatenada!$D:$D, MATCH(1, (AsistenciaJetAdminConcatenada!$A:$A=EI$2)*(AsistenciaJetAdminConcatenada!$B:$B=EI$1), 0)), 1))),  0.5, 0))</f>
        <v>0</v>
      </c>
      <c r="EJ61" s="47">
        <f t="array" ref="EJ61">IF(AND(ISNUMBER(MATCH(EJ$2, AsistenciaJetAdminConcatenada!$A:$A, 0)), ISNUMBER(MATCH(EJ$1, AsistenciaJetAdminConcatenada!$B:$B, 0)), ISNUMBER(SEARCH($A61,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ISNUMBER(SEARCH($A61, INDEX(AsistenciaJetAdminConcatenada!$D:$D, MATCH(1, (AsistenciaJetAdminConcatenada!$A:$A=EJ$2)*(AsistenciaJetAdminConcatenada!$B:$B=EJ$1), 0)), 1))),  0.5, 0))</f>
        <v>0</v>
      </c>
      <c r="EK61" s="47">
        <f t="array" ref="EK61">IF(AND(ISNUMBER(MATCH(EK$2, AsistenciaJetAdminConcatenada!$A:$A, 0)), ISNUMBER(MATCH(EK$1, AsistenciaJetAdminConcatenada!$B:$B, 0)), ISNUMBER(SEARCH($A61,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ISNUMBER(SEARCH($A61, INDEX(AsistenciaJetAdminConcatenada!$D:$D, MATCH(1, (AsistenciaJetAdminConcatenada!$A:$A=EK$2)*(AsistenciaJetAdminConcatenada!$B:$B=EK$1), 0)), 1))),  0.5, 0))</f>
        <v>0</v>
      </c>
      <c r="EL61" s="47">
        <f t="array" ref="EL61">IF(AND(ISNUMBER(MATCH(EL$2, AsistenciaJetAdminConcatenada!$A:$A, 0)), ISNUMBER(MATCH(EL$1, AsistenciaJetAdminConcatenada!$B:$B, 0)), ISNUMBER(SEARCH($A61,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ISNUMBER(SEARCH($A61, INDEX(AsistenciaJetAdminConcatenada!$D:$D, MATCH(1, (AsistenciaJetAdminConcatenada!$A:$A=EL$2)*(AsistenciaJetAdminConcatenada!$B:$B=EL$1), 0)), 1))),  0.5, 0))</f>
        <v>0</v>
      </c>
      <c r="EM61" s="47">
        <f t="array" ref="EM61">IF(AND(ISNUMBER(MATCH(EM$2, AsistenciaJetAdminConcatenada!$A:$A, 0)), ISNUMBER(MATCH(EM$1, AsistenciaJetAdminConcatenada!$B:$B, 0)), ISNUMBER(SEARCH($A61,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ISNUMBER(SEARCH($A61, INDEX(AsistenciaJetAdminConcatenada!$D:$D, MATCH(1, (AsistenciaJetAdminConcatenada!$A:$A=EM$2)*(AsistenciaJetAdminConcatenada!$B:$B=EM$1), 0)), 1))),  0.5, 0))</f>
        <v>0</v>
      </c>
      <c r="EN61" s="47">
        <f t="array" ref="EN61">IF(AND(ISNUMBER(MATCH(EN$2, AsistenciaJetAdminConcatenada!$A:$A, 0)), ISNUMBER(MATCH(EN$1, AsistenciaJetAdminConcatenada!$B:$B, 0)), ISNUMBER(SEARCH($A61,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ISNUMBER(SEARCH($A61, INDEX(AsistenciaJetAdminConcatenada!$D:$D, MATCH(1, (AsistenciaJetAdminConcatenada!$A:$A=EN$2)*(AsistenciaJetAdminConcatenada!$B:$B=EN$1), 0)), 1))),  0.5, 0))</f>
        <v>0</v>
      </c>
      <c r="EO61" s="47">
        <f t="array" ref="EO61">IF(AND(ISNUMBER(MATCH(EO$2, AsistenciaJetAdminConcatenada!$A:$A, 0)), ISNUMBER(MATCH(EO$1, AsistenciaJetAdminConcatenada!$B:$B, 0)), ISNUMBER(SEARCH($A61,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ISNUMBER(SEARCH($A61, INDEX(AsistenciaJetAdminConcatenada!$D:$D, MATCH(1, (AsistenciaJetAdminConcatenada!$A:$A=EO$2)*(AsistenciaJetAdminConcatenada!$B:$B=EO$1), 0)), 1))),  0.5, 0))</f>
        <v>0</v>
      </c>
      <c r="EP61" s="47">
        <f t="array" ref="EP61">IF(AND(ISNUMBER(MATCH(EP$2, AsistenciaJetAdminConcatenada!$A:$A, 0)), ISNUMBER(MATCH(EP$1, AsistenciaJetAdminConcatenada!$B:$B, 0)), ISNUMBER(SEARCH($A61,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ISNUMBER(SEARCH($A61, INDEX(AsistenciaJetAdminConcatenada!$D:$D, MATCH(1, (AsistenciaJetAdminConcatenada!$A:$A=EP$2)*(AsistenciaJetAdminConcatenada!$B:$B=EP$1), 0)), 1))),  0.5, 0))</f>
        <v>0</v>
      </c>
      <c r="EQ61" s="47">
        <f t="array" ref="EQ61">IF(AND(ISNUMBER(MATCH(EQ$2, AsistenciaJetAdminConcatenada!$A:$A, 0)), ISNUMBER(MATCH(EQ$1, AsistenciaJetAdminConcatenada!$B:$B, 0)), ISNUMBER(SEARCH($A61,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ISNUMBER(SEARCH($A61, INDEX(AsistenciaJetAdminConcatenada!$D:$D, MATCH(1, (AsistenciaJetAdminConcatenada!$A:$A=EQ$2)*(AsistenciaJetAdminConcatenada!$B:$B=EQ$1), 0)), 1))),  0.5, 0))</f>
        <v>0</v>
      </c>
      <c r="ER61" s="47">
        <f t="array" ref="ER61">IF(AND(ISNUMBER(MATCH(ER$2, AsistenciaJetAdminConcatenada!$A:$A, 0)), ISNUMBER(MATCH(ER$1, AsistenciaJetAdminConcatenada!$B:$B, 0)), ISNUMBER(SEARCH($A61,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ISNUMBER(SEARCH($A61, INDEX(AsistenciaJetAdminConcatenada!$D:$D, MATCH(1, (AsistenciaJetAdminConcatenada!$A:$A=ER$2)*(AsistenciaJetAdminConcatenada!$B:$B=ER$1), 0)), 1))),  0.5, 0))</f>
        <v>0</v>
      </c>
      <c r="ES61" s="47">
        <f t="array" ref="ES61">IF(AND(ISNUMBER(MATCH(ES$2, AsistenciaJetAdminConcatenada!$A:$A, 0)), ISNUMBER(MATCH(ES$1, AsistenciaJetAdminConcatenada!$B:$B, 0)), ISNUMBER(SEARCH($A61,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ISNUMBER(SEARCH($A61, INDEX(AsistenciaJetAdminConcatenada!$D:$D, MATCH(1, (AsistenciaJetAdminConcatenada!$A:$A=ES$2)*(AsistenciaJetAdminConcatenada!$B:$B=ES$1), 0)), 1))),  0.5, 0))</f>
        <v>0</v>
      </c>
      <c r="ET61" s="47">
        <f t="array" ref="ET61">IF(AND(ISNUMBER(MATCH(ET$2, AsistenciaJetAdminConcatenada!$A:$A, 0)), ISNUMBER(MATCH(ET$1, AsistenciaJetAdminConcatenada!$B:$B, 0)), ISNUMBER(SEARCH($A61,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ISNUMBER(SEARCH($A61, INDEX(AsistenciaJetAdminConcatenada!$D:$D, MATCH(1, (AsistenciaJetAdminConcatenada!$A:$A=ET$2)*(AsistenciaJetAdminConcatenada!$B:$B=ET$1), 0)), 1))),  0.5, 0))</f>
        <v>0</v>
      </c>
      <c r="EU61" s="47">
        <f t="array" ref="EU61">IF(AND(ISNUMBER(MATCH(EU$2, AsistenciaJetAdminConcatenada!$A:$A, 0)), ISNUMBER(MATCH(EU$1, AsistenciaJetAdminConcatenada!$B:$B, 0)), ISNUMBER(SEARCH($A61,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ISNUMBER(SEARCH($A61, INDEX(AsistenciaJetAdminConcatenada!$D:$D, MATCH(1, (AsistenciaJetAdminConcatenada!$A:$A=EU$2)*(AsistenciaJetAdminConcatenada!$B:$B=EU$1), 0)), 1))),  0.5, 0))</f>
        <v>0</v>
      </c>
      <c r="EV61" s="47">
        <f t="array" ref="EV61">IF(AND(ISNUMBER(MATCH(EV$2, AsistenciaJetAdminConcatenada!$A:$A, 0)), ISNUMBER(MATCH(EV$1, AsistenciaJetAdminConcatenada!$B:$B, 0)), ISNUMBER(SEARCH($A61,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ISNUMBER(SEARCH($A61, INDEX(AsistenciaJetAdminConcatenada!$D:$D, MATCH(1, (AsistenciaJetAdminConcatenada!$A:$A=EV$2)*(AsistenciaJetAdminConcatenada!$B:$B=EV$1), 0)), 1))),  0.5, 0))</f>
        <v>0</v>
      </c>
      <c r="EW61" s="47">
        <f t="array" ref="EW61">IF(AND(ISNUMBER(MATCH(EW$2, AsistenciaJetAdminConcatenada!$A:$A, 0)), ISNUMBER(MATCH(EW$1, AsistenciaJetAdminConcatenada!$B:$B, 0)), ISNUMBER(SEARCH($A61,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ISNUMBER(SEARCH($A61, INDEX(AsistenciaJetAdminConcatenada!$D:$D, MATCH(1, (AsistenciaJetAdminConcatenada!$A:$A=EW$2)*(AsistenciaJetAdminConcatenada!$B:$B=EW$1), 0)), 1))),  0.5, 0))</f>
        <v>0</v>
      </c>
      <c r="EX61" s="47">
        <f t="array" ref="EX61">IF(AND(ISNUMBER(MATCH(EX$2, AsistenciaJetAdminConcatenada!$A:$A, 0)), ISNUMBER(MATCH(EX$1, AsistenciaJetAdminConcatenada!$B:$B, 0)), ISNUMBER(SEARCH($A61,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ISNUMBER(SEARCH($A61, INDEX(AsistenciaJetAdminConcatenada!$D:$D, MATCH(1, (AsistenciaJetAdminConcatenada!$A:$A=EX$2)*(AsistenciaJetAdminConcatenada!$B:$B=EX$1), 0)), 1))),  0.5, 0))</f>
        <v>0</v>
      </c>
      <c r="EY61" s="47">
        <f t="array" ref="EY61">IF(AND(ISNUMBER(MATCH(EY$2, AsistenciaJetAdminConcatenada!$A:$A, 0)), ISNUMBER(MATCH(EY$1, AsistenciaJetAdminConcatenada!$B:$B, 0)), ISNUMBER(SEARCH($A61,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ISNUMBER(SEARCH($A61, INDEX(AsistenciaJetAdminConcatenada!$D:$D, MATCH(1, (AsistenciaJetAdminConcatenada!$A:$A=EY$2)*(AsistenciaJetAdminConcatenada!$B:$B=EY$1), 0)), 1))),  0.5, 0))</f>
        <v>0</v>
      </c>
      <c r="EZ61" s="47">
        <f t="array" ref="EZ61">IF(AND(ISNUMBER(MATCH(EZ$2, AsistenciaJetAdminConcatenada!$A:$A, 0)), ISNUMBER(MATCH(EZ$1, AsistenciaJetAdminConcatenada!$B:$B, 0)), ISNUMBER(SEARCH($A61,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ISNUMBER(SEARCH($A61, INDEX(AsistenciaJetAdminConcatenada!$D:$D, MATCH(1, (AsistenciaJetAdminConcatenada!$A:$A=EZ$2)*(AsistenciaJetAdminConcatenada!$B:$B=EZ$1), 0)), 1))),  0.5, 0))</f>
        <v>0</v>
      </c>
      <c r="FA61" s="47">
        <f t="array" ref="FA61">IF(AND(ISNUMBER(MATCH(FA$2, AsistenciaJetAdminConcatenada!$A:$A, 0)), ISNUMBER(MATCH(FA$1, AsistenciaJetAdminConcatenada!$B:$B, 0)), ISNUMBER(SEARCH($A61,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ISNUMBER(SEARCH($A61, INDEX(AsistenciaJetAdminConcatenada!$D:$D, MATCH(1, (AsistenciaJetAdminConcatenada!$A:$A=FA$2)*(AsistenciaJetAdminConcatenada!$B:$B=FA$1), 0)), 1))),  0.5, 0))</f>
        <v>0</v>
      </c>
      <c r="FB61" s="47">
        <f t="array" ref="FB61">IF(AND(ISNUMBER(MATCH(FB$2, AsistenciaJetAdminConcatenada!$A:$A, 0)), ISNUMBER(MATCH(FB$1, AsistenciaJetAdminConcatenada!$B:$B, 0)), ISNUMBER(SEARCH($A61,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ISNUMBER(SEARCH($A61, INDEX(AsistenciaJetAdminConcatenada!$D:$D, MATCH(1, (AsistenciaJetAdminConcatenada!$A:$A=FB$2)*(AsistenciaJetAdminConcatenada!$B:$B=FB$1), 0)), 1))),  0.5, 0))</f>
        <v>0</v>
      </c>
      <c r="FC61" s="47">
        <f t="array" ref="FC61">IF(AND(ISNUMBER(MATCH(FC$2, AsistenciaJetAdminConcatenada!$A:$A, 0)), ISNUMBER(MATCH(FC$1, AsistenciaJetAdminConcatenada!$B:$B, 0)), ISNUMBER(SEARCH($A61,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ISNUMBER(SEARCH($A61, INDEX(AsistenciaJetAdminConcatenada!$D:$D, MATCH(1, (AsistenciaJetAdminConcatenada!$A:$A=FC$2)*(AsistenciaJetAdminConcatenada!$B:$B=FC$1), 0)), 1))),  0.5, 0))</f>
        <v>0</v>
      </c>
      <c r="FD61" s="47">
        <f t="array" ref="FD61">IF(AND(ISNUMBER(MATCH(FD$2, AsistenciaJetAdminConcatenada!$A:$A, 0)), ISNUMBER(MATCH(FD$1, AsistenciaJetAdminConcatenada!$B:$B, 0)), ISNUMBER(SEARCH($A61,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ISNUMBER(SEARCH($A61, INDEX(AsistenciaJetAdminConcatenada!$D:$D, MATCH(1, (AsistenciaJetAdminConcatenada!$A:$A=FD$2)*(AsistenciaJetAdminConcatenada!$B:$B=FD$1), 0)), 1))),  0.5, 0))</f>
        <v>0</v>
      </c>
      <c r="FE61" s="47">
        <f t="array" ref="FE61">IF(AND(ISNUMBER(MATCH(FE$2, AsistenciaJetAdminConcatenada!$A:$A, 0)), ISNUMBER(MATCH(FE$1, AsistenciaJetAdminConcatenada!$B:$B, 0)), ISNUMBER(SEARCH($A61,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ISNUMBER(SEARCH($A61, INDEX(AsistenciaJetAdminConcatenada!$D:$D, MATCH(1, (AsistenciaJetAdminConcatenada!$A:$A=FE$2)*(AsistenciaJetAdminConcatenada!$B:$B=FE$1), 0)), 1))),  0.5, 0))</f>
        <v>0</v>
      </c>
      <c r="FF61" s="47">
        <f t="array" ref="FF61">IF(AND(ISNUMBER(MATCH(FF$2, AsistenciaJetAdminConcatenada!$A:$A, 0)), ISNUMBER(MATCH(FF$1, AsistenciaJetAdminConcatenada!$B:$B, 0)), ISNUMBER(SEARCH($A61,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ISNUMBER(SEARCH($A61, INDEX(AsistenciaJetAdminConcatenada!$D:$D, MATCH(1, (AsistenciaJetAdminConcatenada!$A:$A=FF$2)*(AsistenciaJetAdminConcatenada!$B:$B=FF$1), 0)), 1))),  0.5, 0))</f>
        <v>0</v>
      </c>
      <c r="FG61" s="47">
        <f t="array" ref="FG61">IF(AND(ISNUMBER(MATCH(FG$2, AsistenciaJetAdminConcatenada!$A:$A, 0)), ISNUMBER(MATCH(FG$1, AsistenciaJetAdminConcatenada!$B:$B, 0)), ISNUMBER(SEARCH($A61,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ISNUMBER(SEARCH($A61, INDEX(AsistenciaJetAdminConcatenada!$D:$D, MATCH(1, (AsistenciaJetAdminConcatenada!$A:$A=FG$2)*(AsistenciaJetAdminConcatenada!$B:$B=FG$1), 0)), 1))),  0.5, 0))</f>
        <v>0</v>
      </c>
      <c r="FH61" s="47">
        <f t="array" ref="FH61">IF(AND(ISNUMBER(MATCH(FH$2, AsistenciaJetAdminConcatenada!$A:$A, 0)), ISNUMBER(MATCH(FH$1, AsistenciaJetAdminConcatenada!$B:$B, 0)), ISNUMBER(SEARCH($A61,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ISNUMBER(SEARCH($A61, INDEX(AsistenciaJetAdminConcatenada!$D:$D, MATCH(1, (AsistenciaJetAdminConcatenada!$A:$A=FH$2)*(AsistenciaJetAdminConcatenada!$B:$B=FH$1), 0)), 1))),  0.5, 0))</f>
        <v>0</v>
      </c>
      <c r="FI61" s="47">
        <f t="array" ref="FI61">IF(AND(ISNUMBER(MATCH(FI$2, AsistenciaJetAdminConcatenada!$A:$A, 0)), ISNUMBER(MATCH(FI$1, AsistenciaJetAdminConcatenada!$B:$B, 0)), ISNUMBER(SEARCH($A61,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ISNUMBER(SEARCH($A61, INDEX(AsistenciaJetAdminConcatenada!$D:$D, MATCH(1, (AsistenciaJetAdminConcatenada!$A:$A=FI$2)*(AsistenciaJetAdminConcatenada!$B:$B=FI$1), 0)), 1))),  0.5, 0))</f>
        <v>0</v>
      </c>
      <c r="FJ61" s="47">
        <f t="array" ref="FJ61">IF(AND(ISNUMBER(MATCH(FJ$2, AsistenciaJetAdminConcatenada!$A:$A, 0)), ISNUMBER(MATCH(FJ$1, AsistenciaJetAdminConcatenada!$B:$B, 0)), ISNUMBER(SEARCH($A61,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ISNUMBER(SEARCH($A61, INDEX(AsistenciaJetAdminConcatenada!$D:$D, MATCH(1, (AsistenciaJetAdminConcatenada!$A:$A=FJ$2)*(AsistenciaJetAdminConcatenada!$B:$B=FJ$1), 0)), 1))),  0.5, 0))</f>
        <v>0</v>
      </c>
      <c r="FK61" s="47">
        <f t="array" ref="FK61">IF(AND(ISNUMBER(MATCH(FK$2, AsistenciaJetAdminConcatenada!$A:$A, 0)), ISNUMBER(MATCH(FK$1, AsistenciaJetAdminConcatenada!$B:$B, 0)), ISNUMBER(SEARCH($A61,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ISNUMBER(SEARCH($A61, INDEX(AsistenciaJetAdminConcatenada!$D:$D, MATCH(1, (AsistenciaJetAdminConcatenada!$A:$A=FK$2)*(AsistenciaJetAdminConcatenada!$B:$B=FK$1), 0)), 1))),  0.5, 0))</f>
        <v>0</v>
      </c>
      <c r="FL61" s="47">
        <f t="array" ref="FL61">IF(AND(ISNUMBER(MATCH(FL$2, AsistenciaJetAdminConcatenada!$A:$A, 0)), ISNUMBER(MATCH(FL$1, AsistenciaJetAdminConcatenada!$B:$B, 0)), ISNUMBER(SEARCH($A61,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ISNUMBER(SEARCH($A61, INDEX(AsistenciaJetAdminConcatenada!$D:$D, MATCH(1, (AsistenciaJetAdminConcatenada!$A:$A=FL$2)*(AsistenciaJetAdminConcatenada!$B:$B=FL$1), 0)), 1))),  0.5, 0))</f>
        <v>0</v>
      </c>
      <c r="FM61" s="47">
        <f t="array" ref="FM61">IF(AND(ISNUMBER(MATCH(FM$2, AsistenciaJetAdminConcatenada!$A:$A, 0)), ISNUMBER(MATCH(FM$1, AsistenciaJetAdminConcatenada!$B:$B, 0)), ISNUMBER(SEARCH($A61,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ISNUMBER(SEARCH($A61, INDEX(AsistenciaJetAdminConcatenada!$D:$D, MATCH(1, (AsistenciaJetAdminConcatenada!$A:$A=FM$2)*(AsistenciaJetAdminConcatenada!$B:$B=FM$1), 0)), 1))),  0.5, 0))</f>
        <v>0</v>
      </c>
      <c r="FN61" s="47">
        <f t="array" ref="FN61">IF(AND(ISNUMBER(MATCH(FN$2, AsistenciaJetAdminConcatenada!$A:$A, 0)), ISNUMBER(MATCH(FN$1, AsistenciaJetAdminConcatenada!$B:$B, 0)), ISNUMBER(SEARCH($A61,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ISNUMBER(SEARCH($A61, INDEX(AsistenciaJetAdminConcatenada!$D:$D, MATCH(1, (AsistenciaJetAdminConcatenada!$A:$A=FN$2)*(AsistenciaJetAdminConcatenada!$B:$B=FN$1), 0)), 1))),  0.5, 0))</f>
        <v>0</v>
      </c>
      <c r="FO61" s="47">
        <f t="array" ref="FO61">IF(AND(ISNUMBER(MATCH(FO$2, AsistenciaJetAdminConcatenada!$A:$A, 0)), ISNUMBER(MATCH(FO$1, AsistenciaJetAdminConcatenada!$B:$B, 0)), ISNUMBER(SEARCH($A61,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ISNUMBER(SEARCH($A61, INDEX(AsistenciaJetAdminConcatenada!$D:$D, MATCH(1, (AsistenciaJetAdminConcatenada!$A:$A=FO$2)*(AsistenciaJetAdminConcatenada!$B:$B=FO$1), 0)), 1))),  0.5, 0))</f>
        <v>0</v>
      </c>
      <c r="FP61" s="47">
        <f t="array" ref="FP61">IF(AND(ISNUMBER(MATCH(FP$2, AsistenciaJetAdminConcatenada!$A:$A, 0)), ISNUMBER(MATCH(FP$1, AsistenciaJetAdminConcatenada!$B:$B, 0)), ISNUMBER(SEARCH($A61,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ISNUMBER(SEARCH($A61, INDEX(AsistenciaJetAdminConcatenada!$D:$D, MATCH(1, (AsistenciaJetAdminConcatenada!$A:$A=FP$2)*(AsistenciaJetAdminConcatenada!$B:$B=FP$1), 0)), 1))),  0.5, 0))</f>
        <v>0</v>
      </c>
      <c r="FQ61" s="47">
        <f t="array" ref="FQ61">IF(AND(ISNUMBER(MATCH(FQ$2, AsistenciaJetAdminConcatenada!$A:$A, 0)), ISNUMBER(MATCH(FQ$1, AsistenciaJetAdminConcatenada!$B:$B, 0)), ISNUMBER(SEARCH($A61,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ISNUMBER(SEARCH($A61, INDEX(AsistenciaJetAdminConcatenada!$D:$D, MATCH(1, (AsistenciaJetAdminConcatenada!$A:$A=FQ$2)*(AsistenciaJetAdminConcatenada!$B:$B=FQ$1), 0)), 1))),  0.5, 0))</f>
        <v>0</v>
      </c>
      <c r="FR61" s="47">
        <f t="array" ref="FR61">IF(AND(ISNUMBER(MATCH(FR$2, AsistenciaJetAdminConcatenada!$A:$A, 0)), ISNUMBER(MATCH(FR$1, AsistenciaJetAdminConcatenada!$B:$B, 0)), ISNUMBER(SEARCH($A61,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ISNUMBER(SEARCH($A61, INDEX(AsistenciaJetAdminConcatenada!$D:$D, MATCH(1, (AsistenciaJetAdminConcatenada!$A:$A=FR$2)*(AsistenciaJetAdminConcatenada!$B:$B=FR$1), 0)), 1))),  0.5, 0))</f>
        <v>0</v>
      </c>
      <c r="FS61" s="47">
        <f t="array" ref="FS61">IF(AND(ISNUMBER(MATCH(FS$2, AsistenciaJetAdminConcatenada!$A:$A, 0)), ISNUMBER(MATCH(FS$1, AsistenciaJetAdminConcatenada!$B:$B, 0)), ISNUMBER(SEARCH($A61,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ISNUMBER(SEARCH($A61, INDEX(AsistenciaJetAdminConcatenada!$D:$D, MATCH(1, (AsistenciaJetAdminConcatenada!$A:$A=FS$2)*(AsistenciaJetAdminConcatenada!$B:$B=FS$1), 0)), 1))),  0.5, 0))</f>
        <v>0</v>
      </c>
      <c r="FT61" s="47">
        <f t="array" ref="FT61">IF(AND(ISNUMBER(MATCH(FT$2, AsistenciaJetAdminConcatenada!$A:$A, 0)), ISNUMBER(MATCH(FT$1, AsistenciaJetAdminConcatenada!$B:$B, 0)), ISNUMBER(SEARCH($A61,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ISNUMBER(SEARCH($A61, INDEX(AsistenciaJetAdminConcatenada!$D:$D, MATCH(1, (AsistenciaJetAdminConcatenada!$A:$A=FT$2)*(AsistenciaJetAdminConcatenada!$B:$B=FT$1), 0)), 1))),  0.5, 0))</f>
        <v>0</v>
      </c>
      <c r="FU61" s="47">
        <f t="array" ref="FU61">IF(AND(ISNUMBER(MATCH(FU$2, AsistenciaJetAdminConcatenada!$A:$A, 0)), ISNUMBER(MATCH(FU$1, AsistenciaJetAdminConcatenada!$B:$B, 0)), ISNUMBER(SEARCH($A61,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ISNUMBER(SEARCH($A61, INDEX(AsistenciaJetAdminConcatenada!$D:$D, MATCH(1, (AsistenciaJetAdminConcatenada!$A:$A=FU$2)*(AsistenciaJetAdminConcatenada!$B:$B=FU$1), 0)), 1))),  0.5, 0))</f>
        <v>0</v>
      </c>
      <c r="FV61" s="47">
        <f t="array" ref="FV61">IF(AND(ISNUMBER(MATCH(FV$2, AsistenciaJetAdminConcatenada!$A:$A, 0)), ISNUMBER(MATCH(FV$1, AsistenciaJetAdminConcatenada!$B:$B, 0)), ISNUMBER(SEARCH($A61,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ISNUMBER(SEARCH($A61, INDEX(AsistenciaJetAdminConcatenada!$D:$D, MATCH(1, (AsistenciaJetAdminConcatenada!$A:$A=FV$2)*(AsistenciaJetAdminConcatenada!$B:$B=FV$1), 0)), 1))),  0.5, 0))</f>
        <v>0</v>
      </c>
      <c r="FW61" s="47">
        <f t="array" ref="FW61">IF(AND(ISNUMBER(MATCH(FW$2, AsistenciaJetAdminConcatenada!$A:$A, 0)), ISNUMBER(MATCH(FW$1, AsistenciaJetAdminConcatenada!$B:$B, 0)), ISNUMBER(SEARCH($A61,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ISNUMBER(SEARCH($A61, INDEX(AsistenciaJetAdminConcatenada!$D:$D, MATCH(1, (AsistenciaJetAdminConcatenada!$A:$A=FW$2)*(AsistenciaJetAdminConcatenada!$B:$B=FW$1), 0)), 1))),  0.5, 0))</f>
        <v>0</v>
      </c>
      <c r="FX61" s="47">
        <f t="array" ref="FX61">IF(AND(ISNUMBER(MATCH(FX$2, AsistenciaJetAdminConcatenada!$A:$A, 0)), ISNUMBER(MATCH(FX$1, AsistenciaJetAdminConcatenada!$B:$B, 0)), ISNUMBER(SEARCH($A61,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ISNUMBER(SEARCH($A61, INDEX(AsistenciaJetAdminConcatenada!$D:$D, MATCH(1, (AsistenciaJetAdminConcatenada!$A:$A=FX$2)*(AsistenciaJetAdminConcatenada!$B:$B=FX$1), 0)), 1))),  0.5, 0))</f>
        <v>0</v>
      </c>
      <c r="FY61" s="47">
        <f t="array" ref="FY61">IF(AND(ISNUMBER(MATCH(FY$2, AsistenciaJetAdminConcatenada!$A:$A, 0)), ISNUMBER(MATCH(FY$1, AsistenciaJetAdminConcatenada!$B:$B, 0)), ISNUMBER(SEARCH($A61,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ISNUMBER(SEARCH($A61, INDEX(AsistenciaJetAdminConcatenada!$D:$D, MATCH(1, (AsistenciaJetAdminConcatenada!$A:$A=FY$2)*(AsistenciaJetAdminConcatenada!$B:$B=FY$1), 0)), 1))),  0.5, 0))</f>
        <v>0</v>
      </c>
      <c r="FZ61" s="47">
        <f t="array" ref="FZ61">IF(AND(ISNUMBER(MATCH(FZ$2, AsistenciaJetAdminConcatenada!$A:$A, 0)), ISNUMBER(MATCH(FZ$1, AsistenciaJetAdminConcatenada!$B:$B, 0)), ISNUMBER(SEARCH($A61,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ISNUMBER(SEARCH($A61, INDEX(AsistenciaJetAdminConcatenada!$D:$D, MATCH(1, (AsistenciaJetAdminConcatenada!$A:$A=FZ$2)*(AsistenciaJetAdminConcatenada!$B:$B=FZ$1), 0)), 1))),  0.5, 0))</f>
        <v>0</v>
      </c>
      <c r="GA61" s="47">
        <f t="array" ref="GA61">IF(AND(ISNUMBER(MATCH(GA$2, AsistenciaJetAdminConcatenada!$A:$A, 0)), ISNUMBER(MATCH(GA$1, AsistenciaJetAdminConcatenada!$B:$B, 0)), ISNUMBER(SEARCH($A61,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ISNUMBER(SEARCH($A61, INDEX(AsistenciaJetAdminConcatenada!$D:$D, MATCH(1, (AsistenciaJetAdminConcatenada!$A:$A=GA$2)*(AsistenciaJetAdminConcatenada!$B:$B=GA$1), 0)), 1))),  0.5, 0))</f>
        <v>0</v>
      </c>
      <c r="GB61" s="47">
        <f t="array" ref="GB61">IF(AND(ISNUMBER(MATCH(GB$2, AsistenciaJetAdminConcatenada!$A:$A, 0)), ISNUMBER(MATCH(GB$1, AsistenciaJetAdminConcatenada!$B:$B, 0)), ISNUMBER(SEARCH($A61,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ISNUMBER(SEARCH($A61, INDEX(AsistenciaJetAdminConcatenada!$D:$D, MATCH(1, (AsistenciaJetAdminConcatenada!$A:$A=GB$2)*(AsistenciaJetAdminConcatenada!$B:$B=GB$1), 0)), 1))),  0.5, 0))</f>
        <v>0</v>
      </c>
      <c r="GC61" s="47">
        <f t="array" ref="GC61">IF(AND(ISNUMBER(MATCH(GC$2, AsistenciaJetAdminConcatenada!$A:$A, 0)), ISNUMBER(MATCH(GC$1, AsistenciaJetAdminConcatenada!$B:$B, 0)), ISNUMBER(SEARCH($A61,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ISNUMBER(SEARCH($A61, INDEX(AsistenciaJetAdminConcatenada!$D:$D, MATCH(1, (AsistenciaJetAdminConcatenada!$A:$A=GC$2)*(AsistenciaJetAdminConcatenada!$B:$B=GC$1), 0)), 1))),  0.5, 0))</f>
        <v>0</v>
      </c>
      <c r="GD61" s="47">
        <f t="array" ref="GD61">IF(AND(ISNUMBER(MATCH(GD$2, AsistenciaJetAdminConcatenada!$A:$A, 0)), ISNUMBER(MATCH(GD$1, AsistenciaJetAdminConcatenada!$B:$B, 0)), ISNUMBER(SEARCH($A61,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ISNUMBER(SEARCH($A61, INDEX(AsistenciaJetAdminConcatenada!$D:$D, MATCH(1, (AsistenciaJetAdminConcatenada!$A:$A=GD$2)*(AsistenciaJetAdminConcatenada!$B:$B=GD$1), 0)), 1))),  0.5, 0))</f>
        <v>0</v>
      </c>
      <c r="GE61" s="47">
        <f t="array" ref="GE61">IF(AND(ISNUMBER(MATCH(GE$2, AsistenciaJetAdminConcatenada!$A:$A, 0)), ISNUMBER(MATCH(GE$1, AsistenciaJetAdminConcatenada!$B:$B, 0)), ISNUMBER(SEARCH($A61,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ISNUMBER(SEARCH($A61, INDEX(AsistenciaJetAdminConcatenada!$D:$D, MATCH(1, (AsistenciaJetAdminConcatenada!$A:$A=GE$2)*(AsistenciaJetAdminConcatenada!$B:$B=GE$1), 0)), 1))),  0.5, 0))</f>
        <v>0</v>
      </c>
      <c r="GF61" s="47">
        <f t="array" ref="GF61">IF(AND(ISNUMBER(MATCH(GF$2, AsistenciaJetAdminConcatenada!$A:$A, 0)), ISNUMBER(MATCH(GF$1, AsistenciaJetAdminConcatenada!$B:$B, 0)), ISNUMBER(SEARCH($A61,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ISNUMBER(SEARCH($A61, INDEX(AsistenciaJetAdminConcatenada!$D:$D, MATCH(1, (AsistenciaJetAdminConcatenada!$A:$A=GF$2)*(AsistenciaJetAdminConcatenada!$B:$B=GF$1), 0)), 1))),  0.5, 0))</f>
        <v>0</v>
      </c>
      <c r="GG61" s="47">
        <f t="array" ref="GG61">IF(AND(ISNUMBER(MATCH(GG$2, AsistenciaJetAdminConcatenada!$A:$A, 0)), ISNUMBER(MATCH(GG$1, AsistenciaJetAdminConcatenada!$B:$B, 0)), ISNUMBER(SEARCH($A61,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ISNUMBER(SEARCH($A61, INDEX(AsistenciaJetAdminConcatenada!$D:$D, MATCH(1, (AsistenciaJetAdminConcatenada!$A:$A=GG$2)*(AsistenciaJetAdminConcatenada!$B:$B=GG$1), 0)), 1))),  0.5, 0))</f>
        <v>0</v>
      </c>
      <c r="GH61" s="47">
        <f t="array" ref="GH61">IF(AND(ISNUMBER(MATCH(GH$2, AsistenciaJetAdminConcatenada!$A:$A, 0)), ISNUMBER(MATCH(GH$1, AsistenciaJetAdminConcatenada!$B:$B, 0)), ISNUMBER(SEARCH($A61,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ISNUMBER(SEARCH($A61, INDEX(AsistenciaJetAdminConcatenada!$D:$D, MATCH(1, (AsistenciaJetAdminConcatenada!$A:$A=GH$2)*(AsistenciaJetAdminConcatenada!$B:$B=GH$1), 0)), 1))),  0.5, 0))</f>
        <v>0</v>
      </c>
      <c r="GI61" s="47">
        <f t="array" ref="GI61">IF(AND(ISNUMBER(MATCH(GI$2, AsistenciaJetAdminConcatenada!$A:$A, 0)), ISNUMBER(MATCH(GI$1, AsistenciaJetAdminConcatenada!$B:$B, 0)), ISNUMBER(SEARCH($A61,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ISNUMBER(SEARCH($A61, INDEX(AsistenciaJetAdminConcatenada!$D:$D, MATCH(1, (AsistenciaJetAdminConcatenada!$A:$A=GI$2)*(AsistenciaJetAdminConcatenada!$B:$B=GI$1), 0)), 1))),  0.5, 0))</f>
        <v>0</v>
      </c>
      <c r="GJ61" s="47">
        <f t="array" ref="GJ61">IF(AND(ISNUMBER(MATCH(GJ$2, AsistenciaJetAdminConcatenada!$A:$A, 0)), ISNUMBER(MATCH(GJ$1, AsistenciaJetAdminConcatenada!$B:$B, 0)), ISNUMBER(SEARCH($A61,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ISNUMBER(SEARCH($A61, INDEX(AsistenciaJetAdminConcatenada!$D:$D, MATCH(1, (AsistenciaJetAdminConcatenada!$A:$A=GJ$2)*(AsistenciaJetAdminConcatenada!$B:$B=GJ$1), 0)), 1))),  0.5, 0))</f>
        <v>0</v>
      </c>
      <c r="GK61" s="47">
        <f t="array" ref="GK61">IF(AND(ISNUMBER(MATCH(GK$2, AsistenciaJetAdminConcatenada!$A:$A, 0)), ISNUMBER(MATCH(GK$1, AsistenciaJetAdminConcatenada!$B:$B, 0)), ISNUMBER(SEARCH($A61,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ISNUMBER(SEARCH($A61, INDEX(AsistenciaJetAdminConcatenada!$D:$D, MATCH(1, (AsistenciaJetAdminConcatenada!$A:$A=GK$2)*(AsistenciaJetAdminConcatenada!$B:$B=GK$1), 0)), 1))),  0.5, 0))</f>
        <v>0</v>
      </c>
      <c r="GL61" s="47">
        <f t="array" ref="GL61">IF(AND(ISNUMBER(MATCH(GL$2, AsistenciaJetAdminConcatenada!$A:$A, 0)), ISNUMBER(MATCH(GL$1, AsistenciaJetAdminConcatenada!$B:$B, 0)), ISNUMBER(SEARCH($A61,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ISNUMBER(SEARCH($A61, INDEX(AsistenciaJetAdminConcatenada!$D:$D, MATCH(1, (AsistenciaJetAdminConcatenada!$A:$A=GL$2)*(AsistenciaJetAdminConcatenada!$B:$B=GL$1), 0)), 1))),  0.5, 0))</f>
        <v>0</v>
      </c>
      <c r="GM61" s="47">
        <f t="array" ref="GM61">IF(AND(ISNUMBER(MATCH(GM$2, AsistenciaJetAdminConcatenada!$A:$A, 0)), ISNUMBER(MATCH(GM$1, AsistenciaJetAdminConcatenada!$B:$B, 0)), ISNUMBER(SEARCH($A61,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ISNUMBER(SEARCH($A61, INDEX(AsistenciaJetAdminConcatenada!$D:$D, MATCH(1, (AsistenciaJetAdminConcatenada!$A:$A=GM$2)*(AsistenciaJetAdminConcatenada!$B:$B=GM$1), 0)), 1))),  0.5, 0))</f>
        <v>0</v>
      </c>
      <c r="GN61" s="47">
        <f t="array" ref="GN61">IF(AND(ISNUMBER(MATCH(GN$2, AsistenciaJetAdminConcatenada!$A:$A, 0)), ISNUMBER(MATCH(GN$1, AsistenciaJetAdminConcatenada!$B:$B, 0)), ISNUMBER(SEARCH($A61,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ISNUMBER(SEARCH($A61, INDEX(AsistenciaJetAdminConcatenada!$D:$D, MATCH(1, (AsistenciaJetAdminConcatenada!$A:$A=GN$2)*(AsistenciaJetAdminConcatenada!$B:$B=GN$1), 0)), 1))),  0.5, 0))</f>
        <v>0</v>
      </c>
      <c r="GO61" s="47">
        <f t="array" ref="GO61">IF(AND(ISNUMBER(MATCH(GO$2, AsistenciaJetAdminConcatenada!$A:$A, 0)), ISNUMBER(MATCH(GO$1, AsistenciaJetAdminConcatenada!$B:$B, 0)), ISNUMBER(SEARCH($A61,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ISNUMBER(SEARCH($A61, INDEX(AsistenciaJetAdminConcatenada!$D:$D, MATCH(1, (AsistenciaJetAdminConcatenada!$A:$A=GO$2)*(AsistenciaJetAdminConcatenada!$B:$B=GO$1), 0)), 1))),  0.5, 0))</f>
        <v>0</v>
      </c>
      <c r="GP61" s="47">
        <f t="array" ref="GP61">IF(AND(ISNUMBER(MATCH(GP$2, AsistenciaJetAdminConcatenada!$A:$A, 0)), ISNUMBER(MATCH(GP$1, AsistenciaJetAdminConcatenada!$B:$B, 0)), ISNUMBER(SEARCH($A61,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ISNUMBER(SEARCH($A61, INDEX(AsistenciaJetAdminConcatenada!$D:$D, MATCH(1, (AsistenciaJetAdminConcatenada!$A:$A=GP$2)*(AsistenciaJetAdminConcatenada!$B:$B=GP$1), 0)), 1))),  0.5, 0))</f>
        <v>0</v>
      </c>
      <c r="GQ61" s="47">
        <f t="array" ref="GQ61">IF(AND(ISNUMBER(MATCH(GQ$2, AsistenciaJetAdminConcatenada!$A:$A, 0)), ISNUMBER(MATCH(GQ$1, AsistenciaJetAdminConcatenada!$B:$B, 0)), ISNUMBER(SEARCH($A61,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ISNUMBER(SEARCH($A61, INDEX(AsistenciaJetAdminConcatenada!$D:$D, MATCH(1, (AsistenciaJetAdminConcatenada!$A:$A=GQ$2)*(AsistenciaJetAdminConcatenada!$B:$B=GQ$1), 0)), 1))),  0.5, 0))</f>
        <v>0</v>
      </c>
      <c r="GR61" s="47">
        <f t="array" ref="GR61">IF(AND(ISNUMBER(MATCH(GR$2, AsistenciaJetAdminConcatenada!$A:$A, 0)), ISNUMBER(MATCH(GR$1, AsistenciaJetAdminConcatenada!$B:$B, 0)), ISNUMBER(SEARCH($A61,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ISNUMBER(SEARCH($A61, INDEX(AsistenciaJetAdminConcatenada!$D:$D, MATCH(1, (AsistenciaJetAdminConcatenada!$A:$A=GR$2)*(AsistenciaJetAdminConcatenada!$B:$B=GR$1), 0)), 1))),  0.5, 0))</f>
        <v>0</v>
      </c>
      <c r="GS61" s="47">
        <f t="array" ref="GS61">IF(AND(ISNUMBER(MATCH(GS$2, AsistenciaJetAdminConcatenada!$A:$A, 0)), ISNUMBER(MATCH(GS$1, AsistenciaJetAdminConcatenada!$B:$B, 0)), ISNUMBER(SEARCH($A61,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ISNUMBER(SEARCH($A61, INDEX(AsistenciaJetAdminConcatenada!$D:$D, MATCH(1, (AsistenciaJetAdminConcatenada!$A:$A=GS$2)*(AsistenciaJetAdminConcatenada!$B:$B=GS$1), 0)), 1))),  0.5, 0))</f>
        <v>0</v>
      </c>
      <c r="GT61" s="47">
        <f t="array" ref="GT61">IF(AND(ISNUMBER(MATCH(GT$2, AsistenciaJetAdminConcatenada!$A:$A, 0)), ISNUMBER(MATCH(GT$1, AsistenciaJetAdminConcatenada!$B:$B, 0)), ISNUMBER(SEARCH($A61,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ISNUMBER(SEARCH($A61, INDEX(AsistenciaJetAdminConcatenada!$D:$D, MATCH(1, (AsistenciaJetAdminConcatenada!$A:$A=GT$2)*(AsistenciaJetAdminConcatenada!$B:$B=GT$1), 0)), 1))),  0.5, 0))</f>
        <v>0</v>
      </c>
      <c r="GU61" s="47">
        <f t="array" ref="GU61">IF(AND(ISNUMBER(MATCH(GU$2, AsistenciaJetAdminConcatenada!$A:$A, 0)), ISNUMBER(MATCH(GU$1, AsistenciaJetAdminConcatenada!$B:$B, 0)), ISNUMBER(SEARCH($A61,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ISNUMBER(SEARCH($A61, INDEX(AsistenciaJetAdminConcatenada!$D:$D, MATCH(1, (AsistenciaJetAdminConcatenada!$A:$A=GU$2)*(AsistenciaJetAdminConcatenada!$B:$B=GU$1), 0)), 1))),  0.5, 0))</f>
        <v>0</v>
      </c>
      <c r="GV61" s="47">
        <f t="array" ref="GV61">IF(AND(ISNUMBER(MATCH(GV$2, AsistenciaJetAdminConcatenada!$A:$A, 0)), ISNUMBER(MATCH(GV$1, AsistenciaJetAdminConcatenada!$B:$B, 0)), ISNUMBER(SEARCH($A61,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ISNUMBER(SEARCH($A61, INDEX(AsistenciaJetAdminConcatenada!$D:$D, MATCH(1, (AsistenciaJetAdminConcatenada!$A:$A=GV$2)*(AsistenciaJetAdminConcatenada!$B:$B=GV$1), 0)), 1))),  0.5, 0))</f>
        <v>0</v>
      </c>
      <c r="GW61" s="47">
        <f t="array" ref="GW61">IF(AND(ISNUMBER(MATCH(GW$2, AsistenciaJetAdminConcatenada!$A:$A, 0)), ISNUMBER(MATCH(GW$1, AsistenciaJetAdminConcatenada!$B:$B, 0)), ISNUMBER(SEARCH($A61,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ISNUMBER(SEARCH($A61, INDEX(AsistenciaJetAdminConcatenada!$D:$D, MATCH(1, (AsistenciaJetAdminConcatenada!$A:$A=GW$2)*(AsistenciaJetAdminConcatenada!$B:$B=GW$1), 0)), 1))),  0.5, 0))</f>
        <v>0</v>
      </c>
      <c r="GX61" s="47">
        <f t="array" ref="GX61">IF(AND(ISNUMBER(MATCH(GX$2, AsistenciaJetAdminConcatenada!$A:$A, 0)), ISNUMBER(MATCH(GX$1, AsistenciaJetAdminConcatenada!$B:$B, 0)), ISNUMBER(SEARCH($A61,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ISNUMBER(SEARCH($A61, INDEX(AsistenciaJetAdminConcatenada!$D:$D, MATCH(1, (AsistenciaJetAdminConcatenada!$A:$A=GX$2)*(AsistenciaJetAdminConcatenada!$B:$B=GX$1), 0)), 1))),  0.5, 0))</f>
        <v>0</v>
      </c>
      <c r="GY61" s="47">
        <f t="array" ref="GY61">IF(AND(ISNUMBER(MATCH(GY$2, AsistenciaJetAdminConcatenada!$A:$A, 0)), ISNUMBER(MATCH(GY$1, AsistenciaJetAdminConcatenada!$B:$B, 0)), ISNUMBER(SEARCH($A61,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ISNUMBER(SEARCH($A61, INDEX(AsistenciaJetAdminConcatenada!$D:$D, MATCH(1, (AsistenciaJetAdminConcatenada!$A:$A=GY$2)*(AsistenciaJetAdminConcatenada!$B:$B=GY$1), 0)), 1))),  0.5, 0))</f>
        <v>0</v>
      </c>
      <c r="GZ61" s="47">
        <f t="array" ref="GZ61">IF(AND(ISNUMBER(MATCH(GZ$2, AsistenciaJetAdminConcatenada!$A:$A, 0)), ISNUMBER(MATCH(GZ$1, AsistenciaJetAdminConcatenada!$B:$B, 0)), ISNUMBER(SEARCH($A61,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ISNUMBER(SEARCH($A61, INDEX(AsistenciaJetAdminConcatenada!$D:$D, MATCH(1, (AsistenciaJetAdminConcatenada!$A:$A=GZ$2)*(AsistenciaJetAdminConcatenada!$B:$B=GZ$1), 0)), 1))),  0.5, 0))</f>
        <v>0</v>
      </c>
      <c r="HA61" s="47">
        <f t="array" ref="HA61">IF(AND(ISNUMBER(MATCH(HA$2, AsistenciaJetAdminConcatenada!$A:$A, 0)), ISNUMBER(MATCH(HA$1, AsistenciaJetAdminConcatenada!$B:$B, 0)), ISNUMBER(SEARCH($A61,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ISNUMBER(SEARCH($A61, INDEX(AsistenciaJetAdminConcatenada!$D:$D, MATCH(1, (AsistenciaJetAdminConcatenada!$A:$A=HA$2)*(AsistenciaJetAdminConcatenada!$B:$B=HA$1), 0)), 1))),  0.5, 0))</f>
        <v>0</v>
      </c>
      <c r="HB61" s="47">
        <f t="array" ref="HB61">IF(AND(ISNUMBER(MATCH(HB$2, AsistenciaJetAdminConcatenada!$A:$A, 0)), ISNUMBER(MATCH(HB$1, AsistenciaJetAdminConcatenada!$B:$B, 0)), ISNUMBER(SEARCH($A61,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ISNUMBER(SEARCH($A61, INDEX(AsistenciaJetAdminConcatenada!$D:$D, MATCH(1, (AsistenciaJetAdminConcatenada!$A:$A=HB$2)*(AsistenciaJetAdminConcatenada!$B:$B=HB$1), 0)), 1))),  0.5, 0))</f>
        <v>0</v>
      </c>
      <c r="HC61" s="47">
        <f t="array" ref="HC61">IF(AND(ISNUMBER(MATCH(HC$2, AsistenciaJetAdminConcatenada!$A:$A, 0)), ISNUMBER(MATCH(HC$1, AsistenciaJetAdminConcatenada!$B:$B, 0)), ISNUMBER(SEARCH($A61,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ISNUMBER(SEARCH($A61, INDEX(AsistenciaJetAdminConcatenada!$D:$D, MATCH(1, (AsistenciaJetAdminConcatenada!$A:$A=HC$2)*(AsistenciaJetAdminConcatenada!$B:$B=HC$1), 0)), 1))),  0.5, 0))</f>
        <v>0</v>
      </c>
    </row>
    <row r="62" ht="29.25" customHeight="1">
      <c r="A62" s="3">
        <v>102.0</v>
      </c>
      <c r="B62" s="4" t="s">
        <v>488</v>
      </c>
      <c r="C62" s="47">
        <f>SUM(D62:HC62) + ActividadesEspeciales!C62</f>
        <v>66.5</v>
      </c>
      <c r="D62" s="47">
        <f t="array" ref="D62">IF(AND(ISNUMBER(MATCH(D$2, AsistenciaJetAdminConcatenada!$A:$A, 0)), ISNUMBER(MATCH(D$1, AsistenciaJetAdminConcatenada!$B:$B, 0)), ISNUMBER(SEARCH($A62,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ISNUMBER(SEARCH($A62, INDEX(AsistenciaJetAdminConcatenada!$D:$D, MATCH(1, (AsistenciaJetAdminConcatenada!$A:$A=D$2)*(AsistenciaJetAdminConcatenada!$B:$B=D$1), 0)), 1))),  0.5, 0))</f>
        <v>0</v>
      </c>
      <c r="E62" s="47">
        <f t="array" ref="E62">IF(AND(ISNUMBER(MATCH(E$2, AsistenciaJetAdminConcatenada!$A:$A, 0)), ISNUMBER(MATCH(E$1, AsistenciaJetAdminConcatenada!$B:$B, 0)), ISNUMBER(SEARCH($A62,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ISNUMBER(SEARCH($A62, INDEX(AsistenciaJetAdminConcatenada!$D:$D, MATCH(1, (AsistenciaJetAdminConcatenada!$A:$A=E$2)*(AsistenciaJetAdminConcatenada!$B:$B=E$1), 0)), 1))),  0.5, 0))</f>
        <v>1</v>
      </c>
      <c r="F62" s="47">
        <f t="array" ref="F62">IF(AND(ISNUMBER(MATCH(F$2, AsistenciaJetAdminConcatenada!$A:$A, 0)), ISNUMBER(MATCH(F$1, AsistenciaJetAdminConcatenada!$B:$B, 0)), ISNUMBER(SEARCH($A62,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ISNUMBER(SEARCH($A62, INDEX(AsistenciaJetAdminConcatenada!$D:$D, MATCH(1, (AsistenciaJetAdminConcatenada!$A:$A=F$2)*(AsistenciaJetAdminConcatenada!$B:$B=F$1), 0)), 1))),  0.5, 0))</f>
        <v>0</v>
      </c>
      <c r="G62" s="47">
        <f t="array" ref="G62">IF(AND(ISNUMBER(MATCH(G$2, AsistenciaJetAdminConcatenada!$A:$A, 0)), ISNUMBER(MATCH(G$1, AsistenciaJetAdminConcatenada!$B:$B, 0)), ISNUMBER(SEARCH($A62,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ISNUMBER(SEARCH($A62, INDEX(AsistenciaJetAdminConcatenada!$D:$D, MATCH(1, (AsistenciaJetAdminConcatenada!$A:$A=G$2)*(AsistenciaJetAdminConcatenada!$B:$B=G$1), 0)), 1))),  0.5, 0))</f>
        <v>1</v>
      </c>
      <c r="H62" s="47">
        <f t="array" ref="H62">IF(AND(ISNUMBER(MATCH(H$2, AsistenciaJetAdminConcatenada!$A:$A, 0)), ISNUMBER(MATCH(H$1, AsistenciaJetAdminConcatenada!$B:$B, 0)), ISNUMBER(SEARCH($A62,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ISNUMBER(SEARCH($A62, INDEX(AsistenciaJetAdminConcatenada!$D:$D, MATCH(1, (AsistenciaJetAdminConcatenada!$A:$A=H$2)*(AsistenciaJetAdminConcatenada!$B:$B=H$1), 0)), 1))),  0.5, 0))</f>
        <v>1</v>
      </c>
      <c r="I62" s="47">
        <f t="array" ref="I62">IF(AND(ISNUMBER(MATCH(I$2, AsistenciaJetAdminConcatenada!$A:$A, 0)), ISNUMBER(MATCH(I$1, AsistenciaJetAdminConcatenada!$B:$B, 0)), ISNUMBER(SEARCH($A62,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ISNUMBER(SEARCH($A62, INDEX(AsistenciaJetAdminConcatenada!$D:$D, MATCH(1, (AsistenciaJetAdminConcatenada!$A:$A=I$2)*(AsistenciaJetAdminConcatenada!$B:$B=I$1), 0)), 1))),  0.5, 0))</f>
        <v>1</v>
      </c>
      <c r="J62" s="47">
        <f t="array" ref="J62">IF(AND(ISNUMBER(MATCH(J$2, AsistenciaJetAdminConcatenada!$A:$A, 0)), ISNUMBER(MATCH(J$1, AsistenciaJetAdminConcatenada!$B:$B, 0)), ISNUMBER(SEARCH($A62,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ISNUMBER(SEARCH($A62, INDEX(AsistenciaJetAdminConcatenada!$D:$D, MATCH(1, (AsistenciaJetAdminConcatenada!$A:$A=J$2)*(AsistenciaJetAdminConcatenada!$B:$B=J$1), 0)), 1))),  0.5, 0))</f>
        <v>0</v>
      </c>
      <c r="K62" s="47">
        <f t="array" ref="K62">IF(AND(ISNUMBER(MATCH(K$2, AsistenciaJetAdminConcatenada!$A:$A, 0)), ISNUMBER(MATCH(K$1, AsistenciaJetAdminConcatenada!$B:$B, 0)), ISNUMBER(SEARCH($A62,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ISNUMBER(SEARCH($A62, INDEX(AsistenciaJetAdminConcatenada!$D:$D, MATCH(1, (AsistenciaJetAdminConcatenada!$A:$A=K$2)*(AsistenciaJetAdminConcatenada!$B:$B=K$1), 0)), 1))),  0.5, 0))</f>
        <v>1</v>
      </c>
      <c r="L62" s="47">
        <f t="array" ref="L62">IF(AND(ISNUMBER(MATCH(L$2, AsistenciaJetAdminConcatenada!$A:$A, 0)), ISNUMBER(MATCH(L$1, AsistenciaJetAdminConcatenada!$B:$B, 0)), ISNUMBER(SEARCH($A62,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ISNUMBER(SEARCH($A62, INDEX(AsistenciaJetAdminConcatenada!$D:$D, MATCH(1, (AsistenciaJetAdminConcatenada!$A:$A=L$2)*(AsistenciaJetAdminConcatenada!$B:$B=L$1), 0)), 1))),  0.5, 0))</f>
        <v>1</v>
      </c>
      <c r="M62" s="47">
        <f t="array" ref="M62">IF(AND(ISNUMBER(MATCH(M$2, AsistenciaJetAdminConcatenada!$A:$A, 0)), ISNUMBER(MATCH(M$1, AsistenciaJetAdminConcatenada!$B:$B, 0)), ISNUMBER(SEARCH($A62,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ISNUMBER(SEARCH($A62, INDEX(AsistenciaJetAdminConcatenada!$D:$D, MATCH(1, (AsistenciaJetAdminConcatenada!$A:$A=M$2)*(AsistenciaJetAdminConcatenada!$B:$B=M$1), 0)), 1))),  0.5, 0))</f>
        <v>1</v>
      </c>
      <c r="N62" s="47">
        <f t="array" ref="N62">IF(AND(ISNUMBER(MATCH(N$2, AsistenciaJetAdminConcatenada!$A:$A, 0)), ISNUMBER(MATCH(N$1, AsistenciaJetAdminConcatenada!$B:$B, 0)), ISNUMBER(SEARCH($A62,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ISNUMBER(SEARCH($A62, INDEX(AsistenciaJetAdminConcatenada!$D:$D, MATCH(1, (AsistenciaJetAdminConcatenada!$A:$A=N$2)*(AsistenciaJetAdminConcatenada!$B:$B=N$1), 0)), 1))),  0.5, 0))</f>
        <v>0</v>
      </c>
      <c r="O62" s="47">
        <f t="array" ref="O62">IF(AND(ISNUMBER(MATCH(O$2, AsistenciaJetAdminConcatenada!$A:$A, 0)), ISNUMBER(MATCH(O$1, AsistenciaJetAdminConcatenada!$B:$B, 0)), ISNUMBER(SEARCH($A62,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ISNUMBER(SEARCH($A62, INDEX(AsistenciaJetAdminConcatenada!$D:$D, MATCH(1, (AsistenciaJetAdminConcatenada!$A:$A=O$2)*(AsistenciaJetAdminConcatenada!$B:$B=O$1), 0)), 1))),  0.5, 0))</f>
        <v>1</v>
      </c>
      <c r="P62" s="47">
        <f t="array" ref="P62">IF(AND(ISNUMBER(MATCH(P$2, AsistenciaJetAdminConcatenada!$A:$A, 0)), ISNUMBER(MATCH(P$1, AsistenciaJetAdminConcatenada!$B:$B, 0)), ISNUMBER(SEARCH($A62, INDEX(AsistenciaJetAdminConcatenada!$C:$C, MATCH(1, (AsistenciaJetAdminConcatenada!$A:$A=P$2)*(AsistenciaJetAdminConcatenada!$B:$B=P$1), 0)), 1))), 1, IF(AND(ISNUMBER(MATCH(P$2, AsistenciaJetAdminConcatenada!$A:$A, 0)), ISNUMBER(MATCH(P$1, AsistenciaJetAdminConcatenada!$B:$B, 0)), ISNUMBER(SEARCH($A62, INDEX(AsistenciaJetAdminConcatenada!$D:$D, MATCH(1, (AsistenciaJetAdminConcatenada!$A:$A=P$2)*(AsistenciaJetAdminConcatenada!$B:$B=P$1), 0)), 1))),  0.5, 0))</f>
        <v>1</v>
      </c>
      <c r="Q62" s="47">
        <f t="array" ref="Q62">IF(AND(ISNUMBER(MATCH(Q$2, AsistenciaJetAdminConcatenada!$A:$A, 0)), ISNUMBER(MATCH(Q$1, AsistenciaJetAdminConcatenada!$B:$B, 0)), ISNUMBER(SEARCH($A62, INDEX(AsistenciaJetAdminConcatenada!$C:$C, MATCH(1, (AsistenciaJetAdminConcatenada!$A:$A=Q$2)*(AsistenciaJetAdminConcatenada!$B:$B=Q$1), 0)), 1))), 1, IF(AND(ISNUMBER(MATCH(Q$2, AsistenciaJetAdminConcatenada!$A:$A, 0)), ISNUMBER(MATCH(Q$1, AsistenciaJetAdminConcatenada!$B:$B, 0)), ISNUMBER(SEARCH($A62, INDEX(AsistenciaJetAdminConcatenada!$D:$D, MATCH(1, (AsistenciaJetAdminConcatenada!$A:$A=Q$2)*(AsistenciaJetAdminConcatenada!$B:$B=Q$1), 0)), 1))),  0.5, 0))</f>
        <v>1</v>
      </c>
      <c r="R62" s="47">
        <f t="array" ref="R62">IF(AND(ISNUMBER(MATCH(R$2, AsistenciaJetAdminConcatenada!$A:$A, 0)), ISNUMBER(MATCH(R$1, AsistenciaJetAdminConcatenada!$B:$B, 0)), ISNUMBER(SEARCH($A62,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ISNUMBER(SEARCH($A62, INDEX(AsistenciaJetAdminConcatenada!$D:$D, MATCH(1, (AsistenciaJetAdminConcatenada!$A:$A=R$2)*(AsistenciaJetAdminConcatenada!$B:$B=R$1), 0)), 1))),  0.5, 0))</f>
        <v>1</v>
      </c>
      <c r="S62" s="47">
        <f t="array" ref="S62">IF(AND(ISNUMBER(MATCH(S$2, AsistenciaJetAdminConcatenada!$A:$A, 0)), ISNUMBER(MATCH(S$1, AsistenciaJetAdminConcatenada!$B:$B, 0)), ISNUMBER(SEARCH($A62,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ISNUMBER(SEARCH($A62, INDEX(AsistenciaJetAdminConcatenada!$D:$D, MATCH(1, (AsistenciaJetAdminConcatenada!$A:$A=S$2)*(AsistenciaJetAdminConcatenada!$B:$B=S$1), 0)), 1))),  0.5, 0))</f>
        <v>1</v>
      </c>
      <c r="T62" s="47">
        <f t="array" ref="T62">IF(AND(ISNUMBER(MATCH(T$2, AsistenciaJetAdminConcatenada!$A:$A, 0)), ISNUMBER(MATCH(T$1, AsistenciaJetAdminConcatenada!$B:$B, 0)), ISNUMBER(SEARCH($A62,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ISNUMBER(SEARCH($A62, INDEX(AsistenciaJetAdminConcatenada!$D:$D, MATCH(1, (AsistenciaJetAdminConcatenada!$A:$A=T$2)*(AsistenciaJetAdminConcatenada!$B:$B=T$1), 0)), 1))),  0.5, 0))</f>
        <v>0</v>
      </c>
      <c r="U62" s="47">
        <f t="array" ref="U62">IF(AND(ISNUMBER(MATCH(U$2, AsistenciaJetAdminConcatenada!$A:$A, 0)), ISNUMBER(MATCH(U$1, AsistenciaJetAdminConcatenada!$B:$B, 0)), ISNUMBER(SEARCH($A62,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ISNUMBER(SEARCH($A62, INDEX(AsistenciaJetAdminConcatenada!$D:$D, MATCH(1, (AsistenciaJetAdminConcatenada!$A:$A=U$2)*(AsistenciaJetAdminConcatenada!$B:$B=U$1), 0)), 1))),  0.5, 0))</f>
        <v>0</v>
      </c>
      <c r="V62" s="47">
        <f t="array" ref="V62">IF(AND(ISNUMBER(MATCH(V$2, AsistenciaJetAdminConcatenada!$A:$A, 0)), ISNUMBER(MATCH(V$1, AsistenciaJetAdminConcatenada!$B:$B, 0)), ISNUMBER(SEARCH($A62,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ISNUMBER(SEARCH($A62, INDEX(AsistenciaJetAdminConcatenada!$D:$D, MATCH(1, (AsistenciaJetAdminConcatenada!$A:$A=V$2)*(AsistenciaJetAdminConcatenada!$B:$B=V$1), 0)), 1))),  0.5, 0))</f>
        <v>1</v>
      </c>
      <c r="W62" s="47">
        <f t="array" ref="W62">IF(AND(ISNUMBER(MATCH(W$2, AsistenciaJetAdminConcatenada!$A:$A, 0)), ISNUMBER(MATCH(W$1, AsistenciaJetAdminConcatenada!$B:$B, 0)), ISNUMBER(SEARCH($A62,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ISNUMBER(SEARCH($A62, INDEX(AsistenciaJetAdminConcatenada!$D:$D, MATCH(1, (AsistenciaJetAdminConcatenada!$A:$A=W$2)*(AsistenciaJetAdminConcatenada!$B:$B=W$1), 0)), 1))),  0.5, 0))</f>
        <v>1</v>
      </c>
      <c r="X62" s="47">
        <f t="array" ref="X62">IF(AND(ISNUMBER(MATCH(X$2, AsistenciaJetAdminConcatenada!$A:$A, 0)), ISNUMBER(MATCH(X$1, AsistenciaJetAdminConcatenada!$B:$B, 0)), ISNUMBER(SEARCH($A62,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ISNUMBER(SEARCH($A62, INDEX(AsistenciaJetAdminConcatenada!$D:$D, MATCH(1, (AsistenciaJetAdminConcatenada!$A:$A=X$2)*(AsistenciaJetAdminConcatenada!$B:$B=X$1), 0)), 1))),  0.5, 0))</f>
        <v>1</v>
      </c>
      <c r="Y62" s="47">
        <f t="array" ref="Y62">IF(AND(ISNUMBER(MATCH(Y$2, AsistenciaJetAdminConcatenada!$A:$A, 0)), ISNUMBER(MATCH(Y$1, AsistenciaJetAdminConcatenada!$B:$B, 0)), ISNUMBER(SEARCH($A62,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ISNUMBER(SEARCH($A62, INDEX(AsistenciaJetAdminConcatenada!$D:$D, MATCH(1, (AsistenciaJetAdminConcatenada!$A:$A=Y$2)*(AsistenciaJetAdminConcatenada!$B:$B=Y$1), 0)), 1))),  0.5, 0))</f>
        <v>1</v>
      </c>
      <c r="Z62" s="47">
        <f t="array" ref="Z62">IF(AND(ISNUMBER(MATCH(Z$2, AsistenciaJetAdminConcatenada!$A:$A, 0)), ISNUMBER(MATCH(Z$1, AsistenciaJetAdminConcatenada!$B:$B, 0)), ISNUMBER(SEARCH($A62,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ISNUMBER(SEARCH($A62, INDEX(AsistenciaJetAdminConcatenada!$D:$D, MATCH(1, (AsistenciaJetAdminConcatenada!$A:$A=Z$2)*(AsistenciaJetAdminConcatenada!$B:$B=Z$1), 0)), 1))),  0.5, 0))</f>
        <v>0</v>
      </c>
      <c r="AA62" s="47">
        <f t="array" ref="AA62">IF(AND(ISNUMBER(MATCH(AA$2, AsistenciaJetAdminConcatenada!$A:$A, 0)), ISNUMBER(MATCH(AA$1, AsistenciaJetAdminConcatenada!$B:$B, 0)), ISNUMBER(SEARCH($A62,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ISNUMBER(SEARCH($A62, INDEX(AsistenciaJetAdminConcatenada!$D:$D, MATCH(1, (AsistenciaJetAdminConcatenada!$A:$A=AA$2)*(AsistenciaJetAdminConcatenada!$B:$B=AA$1), 0)), 1))),  0.5, 0))</f>
        <v>1</v>
      </c>
      <c r="AB62" s="47">
        <f t="array" ref="AB62">IF(AND(ISNUMBER(MATCH(AB$2, AsistenciaJetAdminConcatenada!$A:$A, 0)), ISNUMBER(MATCH(AB$1, AsistenciaJetAdminConcatenada!$B:$B, 0)), ISNUMBER(SEARCH($A62,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ISNUMBER(SEARCH($A62, INDEX(AsistenciaJetAdminConcatenada!$D:$D, MATCH(1, (AsistenciaJetAdminConcatenada!$A:$A=AB$2)*(AsistenciaJetAdminConcatenada!$B:$B=AB$1), 0)), 1))),  0.5, 0))</f>
        <v>0.5</v>
      </c>
      <c r="AC62" s="47">
        <f t="array" ref="AC62">IF(AND(ISNUMBER(MATCH(AC$2, AsistenciaJetAdminConcatenada!$A:$A, 0)), ISNUMBER(MATCH(AC$1, AsistenciaJetAdminConcatenada!$B:$B, 0)), ISNUMBER(SEARCH($A62,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ISNUMBER(SEARCH($A62, INDEX(AsistenciaJetAdminConcatenada!$D:$D, MATCH(1, (AsistenciaJetAdminConcatenada!$A:$A=AC$2)*(AsistenciaJetAdminConcatenada!$B:$B=AC$1), 0)), 1))),  0.5, 0))</f>
        <v>1</v>
      </c>
      <c r="AD62" s="47">
        <f t="array" ref="AD62">IF(AND(ISNUMBER(MATCH(AD$2, AsistenciaJetAdminConcatenada!$A:$A, 0)), ISNUMBER(MATCH(AD$1, AsistenciaJetAdminConcatenada!$B:$B, 0)), ISNUMBER(SEARCH($A62,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ISNUMBER(SEARCH($A62, INDEX(AsistenciaJetAdminConcatenada!$D:$D, MATCH(1, (AsistenciaJetAdminConcatenada!$A:$A=AD$2)*(AsistenciaJetAdminConcatenada!$B:$B=AD$1), 0)), 1))),  0.5, 0))</f>
        <v>1</v>
      </c>
      <c r="AE62" s="47">
        <f t="array" ref="AE62">IF(AND(ISNUMBER(MATCH(AE$2, AsistenciaJetAdminConcatenada!$A:$A, 0)), ISNUMBER(MATCH(AE$1, AsistenciaJetAdminConcatenada!$B:$B, 0)), ISNUMBER(SEARCH($A62,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ISNUMBER(SEARCH($A62, INDEX(AsistenciaJetAdminConcatenada!$D:$D, MATCH(1, (AsistenciaJetAdminConcatenada!$A:$A=AE$2)*(AsistenciaJetAdminConcatenada!$B:$B=AE$1), 0)), 1))),  0.5, 0))</f>
        <v>1</v>
      </c>
      <c r="AF62" s="47">
        <f t="array" ref="AF62">IF(AND(ISNUMBER(MATCH(AF$2, AsistenciaJetAdminConcatenada!$A:$A, 0)), ISNUMBER(MATCH(AF$1, AsistenciaJetAdminConcatenada!$B:$B, 0)), ISNUMBER(SEARCH($A62,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ISNUMBER(SEARCH($A62, INDEX(AsistenciaJetAdminConcatenada!$D:$D, MATCH(1, (AsistenciaJetAdminConcatenada!$A:$A=AF$2)*(AsistenciaJetAdminConcatenada!$B:$B=AF$1), 0)), 1))),  0.5, 0))</f>
        <v>1</v>
      </c>
      <c r="AG62" s="47">
        <f t="array" ref="AG62">IF(AND(ISNUMBER(MATCH(AG$2, AsistenciaJetAdminConcatenada!$A:$A, 0)), ISNUMBER(MATCH(AG$1, AsistenciaJetAdminConcatenada!$B:$B, 0)), ISNUMBER(SEARCH($A62,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ISNUMBER(SEARCH($A62, INDEX(AsistenciaJetAdminConcatenada!$D:$D, MATCH(1, (AsistenciaJetAdminConcatenada!$A:$A=AG$2)*(AsistenciaJetAdminConcatenada!$B:$B=AG$1), 0)), 1))),  0.5, 0))</f>
        <v>0</v>
      </c>
      <c r="AH62" s="47">
        <f t="array" ref="AH62">IF(AND(ISNUMBER(MATCH(AH$2, AsistenciaJetAdminConcatenada!$A:$A, 0)), ISNUMBER(MATCH(AH$1, AsistenciaJetAdminConcatenada!$B:$B, 0)), ISNUMBER(SEARCH($A62,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ISNUMBER(SEARCH($A62, INDEX(AsistenciaJetAdminConcatenada!$D:$D, MATCH(1, (AsistenciaJetAdminConcatenada!$A:$A=AH$2)*(AsistenciaJetAdminConcatenada!$B:$B=AH$1), 0)), 1))),  0.5, 0))</f>
        <v>0</v>
      </c>
      <c r="AI62" s="47">
        <f t="array" ref="AI62">IF(AND(ISNUMBER(MATCH(AI$2, AsistenciaJetAdminConcatenada!$A:$A, 0)), ISNUMBER(MATCH(AI$1, AsistenciaJetAdminConcatenada!$B:$B, 0)), ISNUMBER(SEARCH($A62,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ISNUMBER(SEARCH($A62, INDEX(AsistenciaJetAdminConcatenada!$D:$D, MATCH(1, (AsistenciaJetAdminConcatenada!$A:$A=AI$2)*(AsistenciaJetAdminConcatenada!$B:$B=AI$1), 0)), 1))),  0.5, 0))</f>
        <v>0</v>
      </c>
      <c r="AJ62" s="47">
        <f t="array" ref="AJ62">IF(AND(ISNUMBER(MATCH(AJ$2, AsistenciaJetAdminConcatenada!$A:$A, 0)), ISNUMBER(MATCH(AJ$1, AsistenciaJetAdminConcatenada!$B:$B, 0)), ISNUMBER(SEARCH($A62,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ISNUMBER(SEARCH($A62, INDEX(AsistenciaJetAdminConcatenada!$D:$D, MATCH(1, (AsistenciaJetAdminConcatenada!$A:$A=AJ$2)*(AsistenciaJetAdminConcatenada!$B:$B=AJ$1), 0)), 1))),  0.5, 0))</f>
        <v>0</v>
      </c>
      <c r="AK62" s="47">
        <f t="array" ref="AK62">IF(AND(ISNUMBER(MATCH(AK$2, AsistenciaJetAdminConcatenada!$A:$A, 0)), ISNUMBER(MATCH(AK$1, AsistenciaJetAdminConcatenada!$B:$B, 0)), ISNUMBER(SEARCH($A62,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ISNUMBER(SEARCH($A62, INDEX(AsistenciaJetAdminConcatenada!$D:$D, MATCH(1, (AsistenciaJetAdminConcatenada!$A:$A=AK$2)*(AsistenciaJetAdminConcatenada!$B:$B=AK$1), 0)), 1))),  0.5, 0))</f>
        <v>1</v>
      </c>
      <c r="AL62" s="47">
        <f t="array" ref="AL62">IF(AND(ISNUMBER(MATCH(AL$2, AsistenciaJetAdminConcatenada!$A:$A, 0)), ISNUMBER(MATCH(AL$1, AsistenciaJetAdminConcatenada!$B:$B, 0)), ISNUMBER(SEARCH($A62,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ISNUMBER(SEARCH($A62, INDEX(AsistenciaJetAdminConcatenada!$D:$D, MATCH(1, (AsistenciaJetAdminConcatenada!$A:$A=AL$2)*(AsistenciaJetAdminConcatenada!$B:$B=AL$1), 0)), 1))),  0.5, 0))</f>
        <v>1</v>
      </c>
      <c r="AM62" s="47">
        <f t="array" ref="AM62">IF(AND(ISNUMBER(MATCH(AM$2, AsistenciaJetAdminConcatenada!$A:$A, 0)), ISNUMBER(MATCH(AM$1, AsistenciaJetAdminConcatenada!$B:$B, 0)), ISNUMBER(SEARCH($A62,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ISNUMBER(SEARCH($A62, INDEX(AsistenciaJetAdminConcatenada!$D:$D, MATCH(1, (AsistenciaJetAdminConcatenada!$A:$A=AM$2)*(AsistenciaJetAdminConcatenada!$B:$B=AM$1), 0)), 1))),  0.5, 0))</f>
        <v>1</v>
      </c>
      <c r="AN62" s="47">
        <f t="array" ref="AN62">IF(AND(ISNUMBER(MATCH(AN$2, AsistenciaJetAdminConcatenada!$A:$A, 0)), ISNUMBER(MATCH(AN$1, AsistenciaJetAdminConcatenada!$B:$B, 0)), ISNUMBER(SEARCH($A62,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ISNUMBER(SEARCH($A62, INDEX(AsistenciaJetAdminConcatenada!$D:$D, MATCH(1, (AsistenciaJetAdminConcatenada!$A:$A=AN$2)*(AsistenciaJetAdminConcatenada!$B:$B=AN$1), 0)), 1))),  0.5, 0))</f>
        <v>0</v>
      </c>
      <c r="AO62" s="47">
        <f t="array" ref="AO62">IF(AND(ISNUMBER(MATCH(AO$2, AsistenciaJetAdminConcatenada!$A:$A, 0)), ISNUMBER(MATCH(AO$1, AsistenciaJetAdminConcatenada!$B:$B, 0)), ISNUMBER(SEARCH($A62,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ISNUMBER(SEARCH($A62, INDEX(AsistenciaJetAdminConcatenada!$D:$D, MATCH(1, (AsistenciaJetAdminConcatenada!$A:$A=AO$2)*(AsistenciaJetAdminConcatenada!$B:$B=AO$1), 0)), 1))),  0.5, 0))</f>
        <v>1</v>
      </c>
      <c r="AP62" s="47">
        <f t="array" ref="AP62">IF(AND(ISNUMBER(MATCH(AP$2, AsistenciaJetAdminConcatenada!$A:$A, 0)), ISNUMBER(MATCH(AP$1, AsistenciaJetAdminConcatenada!$B:$B, 0)), ISNUMBER(SEARCH($A62,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ISNUMBER(SEARCH($A62, INDEX(AsistenciaJetAdminConcatenada!$D:$D, MATCH(1, (AsistenciaJetAdminConcatenada!$A:$A=AP$2)*(AsistenciaJetAdminConcatenada!$B:$B=AP$1), 0)), 1))),  0.5, 0))</f>
        <v>1</v>
      </c>
      <c r="AQ62" s="47">
        <f t="array" ref="AQ62">IF(AND(ISNUMBER(MATCH(AQ$2, AsistenciaJetAdminConcatenada!$A:$A, 0)), ISNUMBER(MATCH(AQ$1, AsistenciaJetAdminConcatenada!$B:$B, 0)), ISNUMBER(SEARCH($A62,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ISNUMBER(SEARCH($A62, INDEX(AsistenciaJetAdminConcatenada!$D:$D, MATCH(1, (AsistenciaJetAdminConcatenada!$A:$A=AQ$2)*(AsistenciaJetAdminConcatenada!$B:$B=AQ$1), 0)), 1))),  0.5, 0))</f>
        <v>0</v>
      </c>
      <c r="AR62" s="47">
        <f t="array" ref="AR62">IF(AND(ISNUMBER(MATCH(AR$2, AsistenciaJetAdminConcatenada!$A:$A, 0)), ISNUMBER(MATCH(AR$1, AsistenciaJetAdminConcatenada!$B:$B, 0)), ISNUMBER(SEARCH($A62,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ISNUMBER(SEARCH($A62, INDEX(AsistenciaJetAdminConcatenada!$D:$D, MATCH(1, (AsistenciaJetAdminConcatenada!$A:$A=AR$2)*(AsistenciaJetAdminConcatenada!$B:$B=AR$1), 0)), 1))),  0.5, 0))</f>
        <v>1</v>
      </c>
      <c r="AS62" s="47">
        <f t="array" ref="AS62">IF(AND(ISNUMBER(MATCH(AS$2, AsistenciaJetAdminConcatenada!$A:$A, 0)), ISNUMBER(MATCH(AS$1, AsistenciaJetAdminConcatenada!$B:$B, 0)), ISNUMBER(SEARCH($A62,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ISNUMBER(SEARCH($A62, INDEX(AsistenciaJetAdminConcatenada!$D:$D, MATCH(1, (AsistenciaJetAdminConcatenada!$A:$A=AS$2)*(AsistenciaJetAdminConcatenada!$B:$B=AS$1), 0)), 1))),  0.5, 0))</f>
        <v>0.5</v>
      </c>
      <c r="AT62" s="47">
        <f t="array" ref="AT62">IF(AND(ISNUMBER(MATCH(AT$2, AsistenciaJetAdminConcatenada!$A:$A, 0)), ISNUMBER(MATCH(AT$1, AsistenciaJetAdminConcatenada!$B:$B, 0)), ISNUMBER(SEARCH($A62,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ISNUMBER(SEARCH($A62, INDEX(AsistenciaJetAdminConcatenada!$D:$D, MATCH(1, (AsistenciaJetAdminConcatenada!$A:$A=AT$2)*(AsistenciaJetAdminConcatenada!$B:$B=AT$1), 0)), 1))),  0.5, 0))</f>
        <v>0</v>
      </c>
      <c r="AU62" s="47">
        <f t="array" ref="AU62">IF(AND(ISNUMBER(MATCH(AU$2, AsistenciaJetAdminConcatenada!$A:$A, 0)), ISNUMBER(MATCH(AU$1, AsistenciaJetAdminConcatenada!$B:$B, 0)), ISNUMBER(SEARCH($A62,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ISNUMBER(SEARCH($A62, INDEX(AsistenciaJetAdminConcatenada!$D:$D, MATCH(1, (AsistenciaJetAdminConcatenada!$A:$A=AU$2)*(AsistenciaJetAdminConcatenada!$B:$B=AU$1), 0)), 1))),  0.5, 0))</f>
        <v>0</v>
      </c>
      <c r="AV62" s="47">
        <f t="array" ref="AV62">IF(AND(ISNUMBER(MATCH(AV$2, AsistenciaJetAdminConcatenada!$A:$A, 0)), ISNUMBER(MATCH(AV$1, AsistenciaJetAdminConcatenada!$B:$B, 0)), ISNUMBER(SEARCH($A62,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ISNUMBER(SEARCH($A62, INDEX(AsistenciaJetAdminConcatenada!$D:$D, MATCH(1, (AsistenciaJetAdminConcatenada!$A:$A=AV$2)*(AsistenciaJetAdminConcatenada!$B:$B=AV$1), 0)), 1))),  0.5, 0))</f>
        <v>0</v>
      </c>
      <c r="AW62" s="47">
        <f t="array" ref="AW62">IF(AND(ISNUMBER(MATCH(AW$2, AsistenciaJetAdminConcatenada!$A:$A, 0)), ISNUMBER(MATCH(AW$1, AsistenciaJetAdminConcatenada!$B:$B, 0)), ISNUMBER(SEARCH($A62,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ISNUMBER(SEARCH($A62, INDEX(AsistenciaJetAdminConcatenada!$D:$D, MATCH(1, (AsistenciaJetAdminConcatenada!$A:$A=AW$2)*(AsistenciaJetAdminConcatenada!$B:$B=AW$1), 0)), 1))),  0.5, 0))</f>
        <v>1</v>
      </c>
      <c r="AX62" s="47">
        <f t="array" ref="AX62">IF(AND(ISNUMBER(MATCH(AX$2, AsistenciaJetAdminConcatenada!$A:$A, 0)), ISNUMBER(MATCH(AX$1, AsistenciaJetAdminConcatenada!$B:$B, 0)), ISNUMBER(SEARCH($A62,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ISNUMBER(SEARCH($A62, INDEX(AsistenciaJetAdminConcatenada!$D:$D, MATCH(1, (AsistenciaJetAdminConcatenada!$A:$A=AX$2)*(AsistenciaJetAdminConcatenada!$B:$B=AX$1), 0)), 1))),  0.5, 0))</f>
        <v>0</v>
      </c>
      <c r="AY62" s="47">
        <f t="array" ref="AY62">IF(AND(ISNUMBER(MATCH(AY$2, AsistenciaJetAdminConcatenada!$A:$A, 0)), ISNUMBER(MATCH(AY$1, AsistenciaJetAdminConcatenada!$B:$B, 0)), ISNUMBER(SEARCH($A62,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ISNUMBER(SEARCH($A62, INDEX(AsistenciaJetAdminConcatenada!$D:$D, MATCH(1, (AsistenciaJetAdminConcatenada!$A:$A=AY$2)*(AsistenciaJetAdminConcatenada!$B:$B=AY$1), 0)), 1))),  0.5, 0))</f>
        <v>1</v>
      </c>
      <c r="AZ62" s="47">
        <f t="array" ref="AZ62">IF(AND(ISNUMBER(MATCH(AZ$2, AsistenciaJetAdminConcatenada!$A:$A, 0)), ISNUMBER(MATCH(AZ$1, AsistenciaJetAdminConcatenada!$B:$B, 0)), ISNUMBER(SEARCH($A62,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ISNUMBER(SEARCH($A62, INDEX(AsistenciaJetAdminConcatenada!$D:$D, MATCH(1, (AsistenciaJetAdminConcatenada!$A:$A=AZ$2)*(AsistenciaJetAdminConcatenada!$B:$B=AZ$1), 0)), 1))),  0.5, 0))</f>
        <v>0</v>
      </c>
      <c r="BA62" s="47">
        <f t="array" ref="BA62">IF(AND(ISNUMBER(MATCH(BA$2, AsistenciaJetAdminConcatenada!$A:$A, 0)), ISNUMBER(MATCH(BA$1, AsistenciaJetAdminConcatenada!$B:$B, 0)), ISNUMBER(SEARCH($A62,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ISNUMBER(SEARCH($A62, INDEX(AsistenciaJetAdminConcatenada!$D:$D, MATCH(1, (AsistenciaJetAdminConcatenada!$A:$A=BA$2)*(AsistenciaJetAdminConcatenada!$B:$B=BA$1), 0)), 1))),  0.5, 0))</f>
        <v>1</v>
      </c>
      <c r="BB62" s="47">
        <f t="array" ref="BB62">IF(AND(ISNUMBER(MATCH(BB$2, AsistenciaJetAdminConcatenada!$A:$A, 0)), ISNUMBER(MATCH(BB$1, AsistenciaJetAdminConcatenada!$B:$B, 0)), ISNUMBER(SEARCH($A62,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ISNUMBER(SEARCH($A62, INDEX(AsistenciaJetAdminConcatenada!$D:$D, MATCH(1, (AsistenciaJetAdminConcatenada!$A:$A=BB$2)*(AsistenciaJetAdminConcatenada!$B:$B=BB$1), 0)), 1))),  0.5, 0))</f>
        <v>0</v>
      </c>
      <c r="BC62" s="47">
        <f t="array" ref="BC62">IF(AND(ISNUMBER(MATCH(BC$2, AsistenciaJetAdminConcatenada!$A:$A, 0)), ISNUMBER(MATCH(BC$1, AsistenciaJetAdminConcatenada!$B:$B, 0)), ISNUMBER(SEARCH($A62,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ISNUMBER(SEARCH($A62, INDEX(AsistenciaJetAdminConcatenada!$D:$D, MATCH(1, (AsistenciaJetAdminConcatenada!$A:$A=BC$2)*(AsistenciaJetAdminConcatenada!$B:$B=BC$1), 0)), 1))),  0.5, 0))</f>
        <v>0.5</v>
      </c>
      <c r="BD62" s="47">
        <f t="array" ref="BD62">IF(AND(ISNUMBER(MATCH(BD$2, AsistenciaJetAdminConcatenada!$A:$A, 0)), ISNUMBER(MATCH(BD$1, AsistenciaJetAdminConcatenada!$B:$B, 0)), ISNUMBER(SEARCH($A62,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ISNUMBER(SEARCH($A62, INDEX(AsistenciaJetAdminConcatenada!$D:$D, MATCH(1, (AsistenciaJetAdminConcatenada!$A:$A=BD$2)*(AsistenciaJetAdminConcatenada!$B:$B=BD$1), 0)), 1))),  0.5, 0))</f>
        <v>1</v>
      </c>
      <c r="BE62" s="47">
        <f t="array" ref="BE62">IF(AND(ISNUMBER(MATCH(BE$2, AsistenciaJetAdminConcatenada!$A:$A, 0)), ISNUMBER(MATCH(BE$1, AsistenciaJetAdminConcatenada!$B:$B, 0)), ISNUMBER(SEARCH($A62,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ISNUMBER(SEARCH($A62, INDEX(AsistenciaJetAdminConcatenada!$D:$D, MATCH(1, (AsistenciaJetAdminConcatenada!$A:$A=BE$2)*(AsistenciaJetAdminConcatenada!$B:$B=BE$1), 0)), 1))),  0.5, 0))</f>
        <v>1</v>
      </c>
      <c r="BF62" s="47">
        <f t="array" ref="BF62">IF(AND(ISNUMBER(MATCH(BF$2, AsistenciaJetAdminConcatenada!$A:$A, 0)), ISNUMBER(MATCH(BF$1, AsistenciaJetAdminConcatenada!$B:$B, 0)), ISNUMBER(SEARCH($A62,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ISNUMBER(SEARCH($A62, INDEX(AsistenciaJetAdminConcatenada!$D:$D, MATCH(1, (AsistenciaJetAdminConcatenada!$A:$A=BF$2)*(AsistenciaJetAdminConcatenada!$B:$B=BF$1), 0)), 1))),  0.5, 0))</f>
        <v>1</v>
      </c>
      <c r="BG62" s="47">
        <f t="array" ref="BG62">IF(AND(ISNUMBER(MATCH(BG$2, AsistenciaJetAdminConcatenada!$A:$A, 0)), ISNUMBER(MATCH(BG$1, AsistenciaJetAdminConcatenada!$B:$B, 0)), ISNUMBER(SEARCH($A62,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ISNUMBER(SEARCH($A62, INDEX(AsistenciaJetAdminConcatenada!$D:$D, MATCH(1, (AsistenciaJetAdminConcatenada!$A:$A=BG$2)*(AsistenciaJetAdminConcatenada!$B:$B=BG$1), 0)), 1))),  0.5, 0))</f>
        <v>0</v>
      </c>
      <c r="BH62" s="47">
        <f t="array" ref="BH62">IF(AND(ISNUMBER(MATCH(BH$2, AsistenciaJetAdminConcatenada!$A:$A, 0)), ISNUMBER(MATCH(BH$1, AsistenciaJetAdminConcatenada!$B:$B, 0)), ISNUMBER(SEARCH($A62,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ISNUMBER(SEARCH($A62, INDEX(AsistenciaJetAdminConcatenada!$D:$D, MATCH(1, (AsistenciaJetAdminConcatenada!$A:$A=BH$2)*(AsistenciaJetAdminConcatenada!$B:$B=BH$1), 0)), 1))),  0.5, 0))</f>
        <v>1</v>
      </c>
      <c r="BI62" s="47">
        <f t="array" ref="BI62">IF(AND(ISNUMBER(MATCH(BI$2, AsistenciaJetAdminConcatenada!$A:$A, 0)), ISNUMBER(MATCH(BI$1, AsistenciaJetAdminConcatenada!$B:$B, 0)), ISNUMBER(SEARCH($A62,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ISNUMBER(SEARCH($A62, INDEX(AsistenciaJetAdminConcatenada!$D:$D, MATCH(1, (AsistenciaJetAdminConcatenada!$A:$A=BI$2)*(AsistenciaJetAdminConcatenada!$B:$B=BI$1), 0)), 1))),  0.5, 0))</f>
        <v>0</v>
      </c>
      <c r="BJ62" s="47">
        <f t="array" ref="BJ62">IF(AND(ISNUMBER(MATCH(BJ$2, AsistenciaJetAdminConcatenada!$A:$A, 0)), ISNUMBER(MATCH(BJ$1, AsistenciaJetAdminConcatenada!$B:$B, 0)), ISNUMBER(SEARCH($A62,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ISNUMBER(SEARCH($A62, INDEX(AsistenciaJetAdminConcatenada!$D:$D, MATCH(1, (AsistenciaJetAdminConcatenada!$A:$A=BJ$2)*(AsistenciaJetAdminConcatenada!$B:$B=BJ$1), 0)), 1))),  0.5, 0))</f>
        <v>1</v>
      </c>
      <c r="BK62" s="47">
        <f t="array" ref="BK62">IF(AND(ISNUMBER(MATCH(BK$2, AsistenciaJetAdminConcatenada!$A:$A, 0)), ISNUMBER(MATCH(BK$1, AsistenciaJetAdminConcatenada!$B:$B, 0)), ISNUMBER(SEARCH($A62,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ISNUMBER(SEARCH($A62, INDEX(AsistenciaJetAdminConcatenada!$D:$D, MATCH(1, (AsistenciaJetAdminConcatenada!$A:$A=BK$2)*(AsistenciaJetAdminConcatenada!$B:$B=BK$1), 0)), 1))),  0.5, 0))</f>
        <v>1</v>
      </c>
      <c r="BL62" s="47">
        <f t="array" ref="BL62">IF(AND(ISNUMBER(MATCH(BL$2, AsistenciaJetAdminConcatenada!$A:$A, 0)), ISNUMBER(MATCH(BL$1, AsistenciaJetAdminConcatenada!$B:$B, 0)), ISNUMBER(SEARCH($A62,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ISNUMBER(SEARCH($A62, INDEX(AsistenciaJetAdminConcatenada!$D:$D, MATCH(1, (AsistenciaJetAdminConcatenada!$A:$A=BL$2)*(AsistenciaJetAdminConcatenada!$B:$B=BL$1), 0)), 1))),  0.5, 0))</f>
        <v>1</v>
      </c>
      <c r="BM62" s="47">
        <f t="array" ref="BM62">IF(AND(ISNUMBER(MATCH(BM$2, AsistenciaJetAdminConcatenada!$A:$A, 0)), ISNUMBER(MATCH(BM$1, AsistenciaJetAdminConcatenada!$B:$B, 0)), ISNUMBER(SEARCH($A62,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ISNUMBER(SEARCH($A62, INDEX(AsistenciaJetAdminConcatenada!$D:$D, MATCH(1, (AsistenciaJetAdminConcatenada!$A:$A=BM$2)*(AsistenciaJetAdminConcatenada!$B:$B=BM$1), 0)), 1))),  0.5, 0))</f>
        <v>1</v>
      </c>
      <c r="BN62" s="47">
        <f t="array" ref="BN62">IF(AND(ISNUMBER(MATCH(BN$2, AsistenciaJetAdminConcatenada!$A:$A, 0)), ISNUMBER(MATCH(BN$1, AsistenciaJetAdminConcatenada!$B:$B, 0)), ISNUMBER(SEARCH($A62,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ISNUMBER(SEARCH($A62, INDEX(AsistenciaJetAdminConcatenada!$D:$D, MATCH(1, (AsistenciaJetAdminConcatenada!$A:$A=BN$2)*(AsistenciaJetAdminConcatenada!$B:$B=BN$1), 0)), 1))),  0.5, 0))</f>
        <v>0</v>
      </c>
      <c r="BO62" s="47">
        <f t="array" ref="BO62">IF(AND(ISNUMBER(MATCH(BO$2, AsistenciaJetAdminConcatenada!$A:$A, 0)), ISNUMBER(MATCH(BO$1, AsistenciaJetAdminConcatenada!$B:$B, 0)), ISNUMBER(SEARCH($A62,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ISNUMBER(SEARCH($A62, INDEX(AsistenciaJetAdminConcatenada!$D:$D, MATCH(1, (AsistenciaJetAdminConcatenada!$A:$A=BO$2)*(AsistenciaJetAdminConcatenada!$B:$B=BO$1), 0)), 1))),  0.5, 0))</f>
        <v>1</v>
      </c>
      <c r="BP62" s="47">
        <f t="array" ref="BP62">IF(AND(ISNUMBER(MATCH(BP$2, AsistenciaJetAdminConcatenada!$A:$A, 0)), ISNUMBER(MATCH(BP$1, AsistenciaJetAdminConcatenada!$B:$B, 0)), ISNUMBER(SEARCH($A62,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ISNUMBER(SEARCH($A62, INDEX(AsistenciaJetAdminConcatenada!$D:$D, MATCH(1, (AsistenciaJetAdminConcatenada!$A:$A=BP$2)*(AsistenciaJetAdminConcatenada!$B:$B=BP$1), 0)), 1))),  0.5, 0))</f>
        <v>1</v>
      </c>
      <c r="BQ62" s="47">
        <f t="array" ref="BQ62">IF(AND(ISNUMBER(MATCH(BQ$2, AsistenciaJetAdminConcatenada!$A:$A, 0)), ISNUMBER(MATCH(BQ$1, AsistenciaJetAdminConcatenada!$B:$B, 0)), ISNUMBER(SEARCH($A62,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ISNUMBER(SEARCH($A62, INDEX(AsistenciaJetAdminConcatenada!$D:$D, MATCH(1, (AsistenciaJetAdminConcatenada!$A:$A=BQ$2)*(AsistenciaJetAdminConcatenada!$B:$B=BQ$1), 0)), 1))),  0.5, 0))</f>
        <v>1</v>
      </c>
      <c r="BR62" s="47">
        <f t="array" ref="BR62">IF(AND(ISNUMBER(MATCH(BR$2, AsistenciaJetAdminConcatenada!$A:$A, 0)), ISNUMBER(MATCH(BR$1, AsistenciaJetAdminConcatenada!$B:$B, 0)), ISNUMBER(SEARCH($A62,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ISNUMBER(SEARCH($A62, INDEX(AsistenciaJetAdminConcatenada!$D:$D, MATCH(1, (AsistenciaJetAdminConcatenada!$A:$A=BR$2)*(AsistenciaJetAdminConcatenada!$B:$B=BR$1), 0)), 1))),  0.5, 0))</f>
        <v>1</v>
      </c>
      <c r="BS62" s="47">
        <f t="array" ref="BS62">IF(AND(ISNUMBER(MATCH(BS$2, AsistenciaJetAdminConcatenada!$A:$A, 0)), ISNUMBER(MATCH(BS$1, AsistenciaJetAdminConcatenada!$B:$B, 0)), ISNUMBER(SEARCH($A62,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ISNUMBER(SEARCH($A62, INDEX(AsistenciaJetAdminConcatenada!$D:$D, MATCH(1, (AsistenciaJetAdminConcatenada!$A:$A=BS$2)*(AsistenciaJetAdminConcatenada!$B:$B=BS$1), 0)), 1))),  0.5, 0))</f>
        <v>0</v>
      </c>
      <c r="BT62" s="47">
        <f t="array" ref="BT62">IF(AND(ISNUMBER(MATCH(BT$2, AsistenciaJetAdminConcatenada!$A:$A, 0)), ISNUMBER(MATCH(BT$1, AsistenciaJetAdminConcatenada!$B:$B, 0)), ISNUMBER(SEARCH($A62,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ISNUMBER(SEARCH($A62, INDEX(AsistenciaJetAdminConcatenada!$D:$D, MATCH(1, (AsistenciaJetAdminConcatenada!$A:$A=BT$2)*(AsistenciaJetAdminConcatenada!$B:$B=BT$1), 0)), 1))),  0.5, 0))</f>
        <v>1</v>
      </c>
      <c r="BU62" s="47">
        <f t="array" ref="BU62">IF(AND(ISNUMBER(MATCH(BU$2, AsistenciaJetAdminConcatenada!$A:$A, 0)), ISNUMBER(MATCH(BU$1, AsistenciaJetAdminConcatenada!$B:$B, 0)), ISNUMBER(SEARCH($A62,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ISNUMBER(SEARCH($A62, INDEX(AsistenciaJetAdminConcatenada!$D:$D, MATCH(1, (AsistenciaJetAdminConcatenada!$A:$A=BU$2)*(AsistenciaJetAdminConcatenada!$B:$B=BU$1), 0)), 1))),  0.5, 0))</f>
        <v>1</v>
      </c>
      <c r="BV62" s="47">
        <f t="array" ref="BV62">IF(AND(ISNUMBER(MATCH(BV$2, AsistenciaJetAdminConcatenada!$A:$A, 0)), ISNUMBER(MATCH(BV$1, AsistenciaJetAdminConcatenada!$B:$B, 0)), ISNUMBER(SEARCH($A62,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ISNUMBER(SEARCH($A62, INDEX(AsistenciaJetAdminConcatenada!$D:$D, MATCH(1, (AsistenciaJetAdminConcatenada!$A:$A=BV$2)*(AsistenciaJetAdminConcatenada!$B:$B=BV$1), 0)), 1))),  0.5, 0))</f>
        <v>1</v>
      </c>
      <c r="BW62" s="47">
        <f t="array" ref="BW62">IF(AND(ISNUMBER(MATCH(BW$2, AsistenciaJetAdminConcatenada!$A:$A, 0)), ISNUMBER(MATCH(BW$1, AsistenciaJetAdminConcatenada!$B:$B, 0)), ISNUMBER(SEARCH($A62,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ISNUMBER(SEARCH($A62, INDEX(AsistenciaJetAdminConcatenada!$D:$D, MATCH(1, (AsistenciaJetAdminConcatenada!$A:$A=BW$2)*(AsistenciaJetAdminConcatenada!$B:$B=BW$1), 0)), 1))),  0.5, 0))</f>
        <v>1</v>
      </c>
      <c r="BX62" s="47">
        <f t="array" ref="BX62">IF(AND(ISNUMBER(MATCH(BX$2, AsistenciaJetAdminConcatenada!$A:$A, 0)), ISNUMBER(MATCH(BX$1, AsistenciaJetAdminConcatenada!$B:$B, 0)), ISNUMBER(SEARCH($A62,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ISNUMBER(SEARCH($A62, INDEX(AsistenciaJetAdminConcatenada!$D:$D, MATCH(1, (AsistenciaJetAdminConcatenada!$A:$A=BX$2)*(AsistenciaJetAdminConcatenada!$B:$B=BX$1), 0)), 1))),  0.5, 0))</f>
        <v>1</v>
      </c>
      <c r="BY62" s="47">
        <f t="array" ref="BY62">IF(AND(ISNUMBER(MATCH(BY$2, AsistenciaJetAdminConcatenada!$A:$A, 0)), ISNUMBER(MATCH(BY$1, AsistenciaJetAdminConcatenada!$B:$B, 0)), ISNUMBER(SEARCH($A62,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ISNUMBER(SEARCH($A62, INDEX(AsistenciaJetAdminConcatenada!$D:$D, MATCH(1, (AsistenciaJetAdminConcatenada!$A:$A=BY$2)*(AsistenciaJetAdminConcatenada!$B:$B=BY$1), 0)), 1))),  0.5, 0))</f>
        <v>1</v>
      </c>
      <c r="BZ62" s="47">
        <f t="array" ref="BZ62">IF(AND(ISNUMBER(MATCH(BZ$2, AsistenciaJetAdminConcatenada!$A:$A, 0)), ISNUMBER(MATCH(BZ$1, AsistenciaJetAdminConcatenada!$B:$B, 0)), ISNUMBER(SEARCH($A62,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ISNUMBER(SEARCH($A62, INDEX(AsistenciaJetAdminConcatenada!$D:$D, MATCH(1, (AsistenciaJetAdminConcatenada!$A:$A=BZ$2)*(AsistenciaJetAdminConcatenada!$B:$B=BZ$1), 0)), 1))),  0.5, 0))</f>
        <v>0.5</v>
      </c>
      <c r="CA62" s="47">
        <f t="array" ref="CA62">IF(AND(ISNUMBER(MATCH(CA$2, AsistenciaJetAdminConcatenada!$A:$A, 0)), ISNUMBER(MATCH(CA$1, AsistenciaJetAdminConcatenada!$B:$B, 0)), ISNUMBER(SEARCH($A62,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ISNUMBER(SEARCH($A62, INDEX(AsistenciaJetAdminConcatenada!$D:$D, MATCH(1, (AsistenciaJetAdminConcatenada!$A:$A=CA$2)*(AsistenciaJetAdminConcatenada!$B:$B=CA$1), 0)), 1))),  0.5, 0))</f>
        <v>1</v>
      </c>
      <c r="CB62" s="47">
        <f t="array" ref="CB62">IF(AND(ISNUMBER(MATCH(CB$2, AsistenciaJetAdminConcatenada!$A:$A, 0)), ISNUMBER(MATCH(CB$1, AsistenciaJetAdminConcatenada!$B:$B, 0)), ISNUMBER(SEARCH($A62,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ISNUMBER(SEARCH($A62, INDEX(AsistenciaJetAdminConcatenada!$D:$D, MATCH(1, (AsistenciaJetAdminConcatenada!$A:$A=CB$2)*(AsistenciaJetAdminConcatenada!$B:$B=CB$1), 0)), 1))),  0.5, 0))</f>
        <v>0</v>
      </c>
      <c r="CC62" s="47">
        <f t="array" ref="CC62">IF(AND(ISNUMBER(MATCH(CC$2, AsistenciaJetAdminConcatenada!$A:$A, 0)), ISNUMBER(MATCH(CC$1, AsistenciaJetAdminConcatenada!$B:$B, 0)), ISNUMBER(SEARCH($A62,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ISNUMBER(SEARCH($A62, INDEX(AsistenciaJetAdminConcatenada!$D:$D, MATCH(1, (AsistenciaJetAdminConcatenada!$A:$A=CC$2)*(AsistenciaJetAdminConcatenada!$B:$B=CC$1), 0)), 1))),  0.5, 0))</f>
        <v>1</v>
      </c>
      <c r="CD62" s="47">
        <f t="array" ref="CD62">IF(AND(ISNUMBER(MATCH(CD$2, AsistenciaJetAdminConcatenada!$A:$A, 0)), ISNUMBER(MATCH(CD$1, AsistenciaJetAdminConcatenada!$B:$B, 0)), ISNUMBER(SEARCH($A62,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ISNUMBER(SEARCH($A62, INDEX(AsistenciaJetAdminConcatenada!$D:$D, MATCH(1, (AsistenciaJetAdminConcatenada!$A:$A=CD$2)*(AsistenciaJetAdminConcatenada!$B:$B=CD$1), 0)), 1))),  0.5, 0))</f>
        <v>1</v>
      </c>
      <c r="CE62" s="47">
        <f t="array" ref="CE62">IF(AND(ISNUMBER(MATCH(CE$2, AsistenciaJetAdminConcatenada!$A:$A, 0)), ISNUMBER(MATCH(CE$1, AsistenciaJetAdminConcatenada!$B:$B, 0)), ISNUMBER(SEARCH($A62,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ISNUMBER(SEARCH($A62, INDEX(AsistenciaJetAdminConcatenada!$D:$D, MATCH(1, (AsistenciaJetAdminConcatenada!$A:$A=CE$2)*(AsistenciaJetAdminConcatenada!$B:$B=CE$1), 0)), 1))),  0.5, 0))</f>
        <v>1</v>
      </c>
      <c r="CF62" s="47">
        <f t="array" ref="CF62">IF(AND(ISNUMBER(MATCH(CF$2, AsistenciaJetAdminConcatenada!$A:$A, 0)), ISNUMBER(MATCH(CF$1, AsistenciaJetAdminConcatenada!$B:$B, 0)), ISNUMBER(SEARCH($A62,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ISNUMBER(SEARCH($A62, INDEX(AsistenciaJetAdminConcatenada!$D:$D, MATCH(1, (AsistenciaJetAdminConcatenada!$A:$A=CF$2)*(AsistenciaJetAdminConcatenada!$B:$B=CF$1), 0)), 1))),  0.5, 0))</f>
        <v>1</v>
      </c>
      <c r="CG62" s="47">
        <f t="array" ref="CG62">IF(AND(ISNUMBER(MATCH(CG$2, AsistenciaJetAdminConcatenada!$A:$A, 0)), ISNUMBER(MATCH(CG$1, AsistenciaJetAdminConcatenada!$B:$B, 0)), ISNUMBER(SEARCH($A62,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ISNUMBER(SEARCH($A62, INDEX(AsistenciaJetAdminConcatenada!$D:$D, MATCH(1, (AsistenciaJetAdminConcatenada!$A:$A=CG$2)*(AsistenciaJetAdminConcatenada!$B:$B=CG$1), 0)), 1))),  0.5, 0))</f>
        <v>0.5</v>
      </c>
      <c r="CH62" s="47">
        <f t="array" ref="CH62">IF(AND(ISNUMBER(MATCH(CH$2, AsistenciaJetAdminConcatenada!$A:$A, 0)), ISNUMBER(MATCH(CH$1, AsistenciaJetAdminConcatenada!$B:$B, 0)), ISNUMBER(SEARCH($A62,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ISNUMBER(SEARCH($A62, INDEX(AsistenciaJetAdminConcatenada!$D:$D, MATCH(1, (AsistenciaJetAdminConcatenada!$A:$A=CH$2)*(AsistenciaJetAdminConcatenada!$B:$B=CH$1), 0)), 1))),  0.5, 0))</f>
        <v>0</v>
      </c>
      <c r="CI62" s="47">
        <f t="array" ref="CI62">IF(AND(ISNUMBER(MATCH(CI$2, AsistenciaJetAdminConcatenada!$A:$A, 0)), ISNUMBER(MATCH(CI$1, AsistenciaJetAdminConcatenada!$B:$B, 0)), ISNUMBER(SEARCH($A62,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ISNUMBER(SEARCH($A62, INDEX(AsistenciaJetAdminConcatenada!$D:$D, MATCH(1, (AsistenciaJetAdminConcatenada!$A:$A=CI$2)*(AsistenciaJetAdminConcatenada!$B:$B=CI$1), 0)), 1))),  0.5, 0))</f>
        <v>1</v>
      </c>
      <c r="CJ62" s="47">
        <f t="array" ref="CJ62">IF(AND(ISNUMBER(MATCH(CJ$2, AsistenciaJetAdminConcatenada!$A:$A, 0)), ISNUMBER(MATCH(CJ$1, AsistenciaJetAdminConcatenada!$B:$B, 0)), ISNUMBER(SEARCH($A62,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ISNUMBER(SEARCH($A62, INDEX(AsistenciaJetAdminConcatenada!$D:$D, MATCH(1, (AsistenciaJetAdminConcatenada!$A:$A=CJ$2)*(AsistenciaJetAdminConcatenada!$B:$B=CJ$1), 0)), 1))),  0.5, 0))</f>
        <v>1</v>
      </c>
      <c r="CK62" s="47">
        <f t="array" ref="CK62">IF(AND(ISNUMBER(MATCH(CK$2, AsistenciaJetAdminConcatenada!$A:$A, 0)), ISNUMBER(MATCH(CK$1, AsistenciaJetAdminConcatenada!$B:$B, 0)), ISNUMBER(SEARCH($A62,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ISNUMBER(SEARCH($A62, INDEX(AsistenciaJetAdminConcatenada!$D:$D, MATCH(1, (AsistenciaJetAdminConcatenada!$A:$A=CK$2)*(AsistenciaJetAdminConcatenada!$B:$B=CK$1), 0)), 1))),  0.5, 0))</f>
        <v>0</v>
      </c>
      <c r="CL62" s="47">
        <f t="array" ref="CL62">IF(AND(ISNUMBER(MATCH(CL$2, AsistenciaJetAdminConcatenada!$A:$A, 0)), ISNUMBER(MATCH(CL$1, AsistenciaJetAdminConcatenada!$B:$B, 0)), ISNUMBER(SEARCH($A62,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ISNUMBER(SEARCH($A62, INDEX(AsistenciaJetAdminConcatenada!$D:$D, MATCH(1, (AsistenciaJetAdminConcatenada!$A:$A=CL$2)*(AsistenciaJetAdminConcatenada!$B:$B=CL$1), 0)), 1))),  0.5, 0))</f>
        <v>1</v>
      </c>
      <c r="CM62" s="47">
        <f t="array" ref="CM62">IF(AND(ISNUMBER(MATCH(CM$2, AsistenciaJetAdminConcatenada!$A:$A, 0)), ISNUMBER(MATCH(CM$1, AsistenciaJetAdminConcatenada!$B:$B, 0)), ISNUMBER(SEARCH($A62,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ISNUMBER(SEARCH($A62, INDEX(AsistenciaJetAdminConcatenada!$D:$D, MATCH(1, (AsistenciaJetAdminConcatenada!$A:$A=CM$2)*(AsistenciaJetAdminConcatenada!$B:$B=CM$1), 0)), 1))),  0.5, 0))</f>
        <v>1</v>
      </c>
      <c r="CN62" s="47">
        <f t="array" ref="CN62">IF(AND(ISNUMBER(MATCH(CN$2, AsistenciaJetAdminConcatenada!$A:$A, 0)), ISNUMBER(MATCH(CN$1, AsistenciaJetAdminConcatenada!$B:$B, 0)), ISNUMBER(SEARCH($A62,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ISNUMBER(SEARCH($A62, INDEX(AsistenciaJetAdminConcatenada!$D:$D, MATCH(1, (AsistenciaJetAdminConcatenada!$A:$A=CN$2)*(AsistenciaJetAdminConcatenada!$B:$B=CN$1), 0)), 1))),  0.5, 0))</f>
        <v>1</v>
      </c>
      <c r="CO62" s="47">
        <f t="array" ref="CO62">IF(AND(ISNUMBER(MATCH(CO$2, AsistenciaJetAdminConcatenada!$A:$A, 0)), ISNUMBER(MATCH(CO$1, AsistenciaJetAdminConcatenada!$B:$B, 0)), ISNUMBER(SEARCH($A62,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ISNUMBER(SEARCH($A62, INDEX(AsistenciaJetAdminConcatenada!$D:$D, MATCH(1, (AsistenciaJetAdminConcatenada!$A:$A=CO$2)*(AsistenciaJetAdminConcatenada!$B:$B=CO$1), 0)), 1))),  0.5, 0))</f>
        <v>1</v>
      </c>
      <c r="CP62" s="47">
        <f t="array" ref="CP62">IF(AND(ISNUMBER(MATCH(CP$2, AsistenciaJetAdminConcatenada!$A:$A, 0)), ISNUMBER(MATCH(CP$1, AsistenciaJetAdminConcatenada!$B:$B, 0)), ISNUMBER(SEARCH($A62,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ISNUMBER(SEARCH($A62, INDEX(AsistenciaJetAdminConcatenada!$D:$D, MATCH(1, (AsistenciaJetAdminConcatenada!$A:$A=CP$2)*(AsistenciaJetAdminConcatenada!$B:$B=CP$1), 0)), 1))),  0.5, 0))</f>
        <v>1</v>
      </c>
      <c r="CQ62" s="47">
        <f t="array" ref="CQ62">IF(AND(ISNUMBER(MATCH(CQ$2, AsistenciaJetAdminConcatenada!$A:$A, 0)), ISNUMBER(MATCH(CQ$1, AsistenciaJetAdminConcatenada!$B:$B, 0)), ISNUMBER(SEARCH($A62,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ISNUMBER(SEARCH($A62, INDEX(AsistenciaJetAdminConcatenada!$D:$D, MATCH(1, (AsistenciaJetAdminConcatenada!$A:$A=CQ$2)*(AsistenciaJetAdminConcatenada!$B:$B=CQ$1), 0)), 1))),  0.5, 0))</f>
        <v>1</v>
      </c>
      <c r="CR62" s="47">
        <f t="array" ref="CR62">IF(AND(ISNUMBER(MATCH(CR$2, AsistenciaJetAdminConcatenada!$A:$A, 0)), ISNUMBER(MATCH(CR$1, AsistenciaJetAdminConcatenada!$B:$B, 0)), ISNUMBER(SEARCH($A62,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ISNUMBER(SEARCH($A62, INDEX(AsistenciaJetAdminConcatenada!$D:$D, MATCH(1, (AsistenciaJetAdminConcatenada!$A:$A=CR$2)*(AsistenciaJetAdminConcatenada!$B:$B=CR$1), 0)), 1))),  0.5, 0))</f>
        <v>1</v>
      </c>
      <c r="CS62" s="47">
        <f t="array" ref="CS62">IF(AND(ISNUMBER(MATCH(CS$2, AsistenciaJetAdminConcatenada!$A:$A, 0)), ISNUMBER(MATCH(CS$1, AsistenciaJetAdminConcatenada!$B:$B, 0)), ISNUMBER(SEARCH($A62,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ISNUMBER(SEARCH($A62, INDEX(AsistenciaJetAdminConcatenada!$D:$D, MATCH(1, (AsistenciaJetAdminConcatenada!$A:$A=CS$2)*(AsistenciaJetAdminConcatenada!$B:$B=CS$1), 0)), 1))),  0.5, 0))</f>
        <v>0</v>
      </c>
      <c r="CT62" s="47">
        <f t="array" ref="CT62">IF(AND(ISNUMBER(MATCH(CT$2, AsistenciaJetAdminConcatenada!$A:$A, 0)), ISNUMBER(MATCH(CT$1, AsistenciaJetAdminConcatenada!$B:$B, 0)), ISNUMBER(SEARCH($A62,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ISNUMBER(SEARCH($A62, INDEX(AsistenciaJetAdminConcatenada!$D:$D, MATCH(1, (AsistenciaJetAdminConcatenada!$A:$A=CT$2)*(AsistenciaJetAdminConcatenada!$B:$B=CT$1), 0)), 1))),  0.5, 0))</f>
        <v>0</v>
      </c>
      <c r="CU62" s="47">
        <f t="array" ref="CU62">IF(AND(ISNUMBER(MATCH(CU$2, AsistenciaJetAdminConcatenada!$A:$A, 0)), ISNUMBER(MATCH(CU$1, AsistenciaJetAdminConcatenada!$B:$B, 0)), ISNUMBER(SEARCH($A62,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ISNUMBER(SEARCH($A62, INDEX(AsistenciaJetAdminConcatenada!$D:$D, MATCH(1, (AsistenciaJetAdminConcatenada!$A:$A=CU$2)*(AsistenciaJetAdminConcatenada!$B:$B=CU$1), 0)), 1))),  0.5, 0))</f>
        <v>0</v>
      </c>
      <c r="CV62" s="47">
        <f t="array" ref="CV62">IF(AND(ISNUMBER(MATCH(CV$2, AsistenciaJetAdminConcatenada!$A:$A, 0)), ISNUMBER(MATCH(CV$1, AsistenciaJetAdminConcatenada!$B:$B, 0)), ISNUMBER(SEARCH($A62,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ISNUMBER(SEARCH($A62, INDEX(AsistenciaJetAdminConcatenada!$D:$D, MATCH(1, (AsistenciaJetAdminConcatenada!$A:$A=CV$2)*(AsistenciaJetAdminConcatenada!$B:$B=CV$1), 0)), 1))),  0.5, 0))</f>
        <v>0</v>
      </c>
      <c r="CW62" s="47">
        <f t="array" ref="CW62">IF(AND(ISNUMBER(MATCH(CW$2, AsistenciaJetAdminConcatenada!$A:$A, 0)), ISNUMBER(MATCH(CW$1, AsistenciaJetAdminConcatenada!$B:$B, 0)), ISNUMBER(SEARCH($A62,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ISNUMBER(SEARCH($A62, INDEX(AsistenciaJetAdminConcatenada!$D:$D, MATCH(1, (AsistenciaJetAdminConcatenada!$A:$A=CW$2)*(AsistenciaJetAdminConcatenada!$B:$B=CW$1), 0)), 1))),  0.5, 0))</f>
        <v>0</v>
      </c>
      <c r="CX62" s="47">
        <f t="array" ref="CX62">IF(AND(ISNUMBER(MATCH(CX$2, AsistenciaJetAdminConcatenada!$A:$A, 0)), ISNUMBER(MATCH(CX$1, AsistenciaJetAdminConcatenada!$B:$B, 0)), ISNUMBER(SEARCH($A62,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ISNUMBER(SEARCH($A62, INDEX(AsistenciaJetAdminConcatenada!$D:$D, MATCH(1, (AsistenciaJetAdminConcatenada!$A:$A=CX$2)*(AsistenciaJetAdminConcatenada!$B:$B=CX$1), 0)), 1))),  0.5, 0))</f>
        <v>0</v>
      </c>
      <c r="CY62" s="47">
        <f t="array" ref="CY62">IF(AND(ISNUMBER(MATCH(CY$2, AsistenciaJetAdminConcatenada!$A:$A, 0)), ISNUMBER(MATCH(CY$1, AsistenciaJetAdminConcatenada!$B:$B, 0)), ISNUMBER(SEARCH($A62,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ISNUMBER(SEARCH($A62, INDEX(AsistenciaJetAdminConcatenada!$D:$D, MATCH(1, (AsistenciaJetAdminConcatenada!$A:$A=CY$2)*(AsistenciaJetAdminConcatenada!$B:$B=CY$1), 0)), 1))),  0.5, 0))</f>
        <v>0</v>
      </c>
      <c r="CZ62" s="47">
        <f t="array" ref="CZ62">IF(AND(ISNUMBER(MATCH(CZ$2, AsistenciaJetAdminConcatenada!$A:$A, 0)), ISNUMBER(MATCH(CZ$1, AsistenciaJetAdminConcatenada!$B:$B, 0)), ISNUMBER(SEARCH($A62,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ISNUMBER(SEARCH($A62, INDEX(AsistenciaJetAdminConcatenada!$D:$D, MATCH(1, (AsistenciaJetAdminConcatenada!$A:$A=CZ$2)*(AsistenciaJetAdminConcatenada!$B:$B=CZ$1), 0)), 1))),  0.5, 0))</f>
        <v>0</v>
      </c>
      <c r="DA62" s="47">
        <f t="array" ref="DA62">IF(AND(ISNUMBER(MATCH(DA$2, AsistenciaJetAdminConcatenada!$A:$A, 0)), ISNUMBER(MATCH(DA$1, AsistenciaJetAdminConcatenada!$B:$B, 0)), ISNUMBER(SEARCH($A62,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ISNUMBER(SEARCH($A62, INDEX(AsistenciaJetAdminConcatenada!$D:$D, MATCH(1, (AsistenciaJetAdminConcatenada!$A:$A=DA$2)*(AsistenciaJetAdminConcatenada!$B:$B=DA$1), 0)), 1))),  0.5, 0))</f>
        <v>0</v>
      </c>
      <c r="DB62" s="47">
        <f t="array" ref="DB62">IF(AND(ISNUMBER(MATCH(DB$2, AsistenciaJetAdminConcatenada!$A:$A, 0)), ISNUMBER(MATCH(DB$1, AsistenciaJetAdminConcatenada!$B:$B, 0)), ISNUMBER(SEARCH($A62,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ISNUMBER(SEARCH($A62, INDEX(AsistenciaJetAdminConcatenada!$D:$D, MATCH(1, (AsistenciaJetAdminConcatenada!$A:$A=DB$2)*(AsistenciaJetAdminConcatenada!$B:$B=DB$1), 0)), 1))),  0.5, 0))</f>
        <v>0</v>
      </c>
      <c r="DC62" s="47">
        <f t="array" ref="DC62">IF(AND(ISNUMBER(MATCH(DC$2, AsistenciaJetAdminConcatenada!$A:$A, 0)), ISNUMBER(MATCH(DC$1, AsistenciaJetAdminConcatenada!$B:$B, 0)), ISNUMBER(SEARCH($A62,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ISNUMBER(SEARCH($A62, INDEX(AsistenciaJetAdminConcatenada!$D:$D, MATCH(1, (AsistenciaJetAdminConcatenada!$A:$A=DC$2)*(AsistenciaJetAdminConcatenada!$B:$B=DC$1), 0)), 1))),  0.5, 0))</f>
        <v>0</v>
      </c>
      <c r="DD62" s="47">
        <f t="array" ref="DD62">IF(AND(ISNUMBER(MATCH(DD$2, AsistenciaJetAdminConcatenada!$A:$A, 0)), ISNUMBER(MATCH(DD$1, AsistenciaJetAdminConcatenada!$B:$B, 0)), ISNUMBER(SEARCH($A62,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ISNUMBER(SEARCH($A62, INDEX(AsistenciaJetAdminConcatenada!$D:$D, MATCH(1, (AsistenciaJetAdminConcatenada!$A:$A=DD$2)*(AsistenciaJetAdminConcatenada!$B:$B=DD$1), 0)), 1))),  0.5, 0))</f>
        <v>0</v>
      </c>
      <c r="DE62" s="47">
        <f t="array" ref="DE62">IF(AND(ISNUMBER(MATCH(DE$2, AsistenciaJetAdminConcatenada!$A:$A, 0)), ISNUMBER(MATCH(DE$1, AsistenciaJetAdminConcatenada!$B:$B, 0)), ISNUMBER(SEARCH($A62,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ISNUMBER(SEARCH($A62, INDEX(AsistenciaJetAdminConcatenada!$D:$D, MATCH(1, (AsistenciaJetAdminConcatenada!$A:$A=DE$2)*(AsistenciaJetAdminConcatenada!$B:$B=DE$1), 0)), 1))),  0.5, 0))</f>
        <v>0</v>
      </c>
      <c r="DF62" s="47">
        <f t="array" ref="DF62">IF(AND(ISNUMBER(MATCH(DF$2, AsistenciaJetAdminConcatenada!$A:$A, 0)), ISNUMBER(MATCH(DF$1, AsistenciaJetAdminConcatenada!$B:$B, 0)), ISNUMBER(SEARCH($A62,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ISNUMBER(SEARCH($A62, INDEX(AsistenciaJetAdminConcatenada!$D:$D, MATCH(1, (AsistenciaJetAdminConcatenada!$A:$A=DF$2)*(AsistenciaJetAdminConcatenada!$B:$B=DF$1), 0)), 1))),  0.5, 0))</f>
        <v>0</v>
      </c>
      <c r="DG62" s="47">
        <f t="array" ref="DG62">IF(AND(ISNUMBER(MATCH(DG$2, AsistenciaJetAdminConcatenada!$A:$A, 0)), ISNUMBER(MATCH(DG$1, AsistenciaJetAdminConcatenada!$B:$B, 0)), ISNUMBER(SEARCH($A62,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ISNUMBER(SEARCH($A62, INDEX(AsistenciaJetAdminConcatenada!$D:$D, MATCH(1, (AsistenciaJetAdminConcatenada!$A:$A=DG$2)*(AsistenciaJetAdminConcatenada!$B:$B=DG$1), 0)), 1))),  0.5, 0))</f>
        <v>0</v>
      </c>
      <c r="DH62" s="47">
        <f t="array" ref="DH62">IF(AND(ISNUMBER(MATCH(DH$2, AsistenciaJetAdminConcatenada!$A:$A, 0)), ISNUMBER(MATCH(DH$1, AsistenciaJetAdminConcatenada!$B:$B, 0)), ISNUMBER(SEARCH($A62,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ISNUMBER(SEARCH($A62, INDEX(AsistenciaJetAdminConcatenada!$D:$D, MATCH(1, (AsistenciaJetAdminConcatenada!$A:$A=DH$2)*(AsistenciaJetAdminConcatenada!$B:$B=DH$1), 0)), 1))),  0.5, 0))</f>
        <v>0</v>
      </c>
      <c r="DI62" s="47">
        <f t="array" ref="DI62">IF(AND(ISNUMBER(MATCH(DI$2, AsistenciaJetAdminConcatenada!$A:$A, 0)), ISNUMBER(MATCH(DI$1, AsistenciaJetAdminConcatenada!$B:$B, 0)), ISNUMBER(SEARCH($A62,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ISNUMBER(SEARCH($A62, INDEX(AsistenciaJetAdminConcatenada!$D:$D, MATCH(1, (AsistenciaJetAdminConcatenada!$A:$A=DI$2)*(AsistenciaJetAdminConcatenada!$B:$B=DI$1), 0)), 1))),  0.5, 0))</f>
        <v>0</v>
      </c>
      <c r="DJ62" s="47">
        <f t="array" ref="DJ62">IF(AND(ISNUMBER(MATCH(DJ$2, AsistenciaJetAdminConcatenada!$A:$A, 0)), ISNUMBER(MATCH(DJ$1, AsistenciaJetAdminConcatenada!$B:$B, 0)), ISNUMBER(SEARCH($A62,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ISNUMBER(SEARCH($A62, INDEX(AsistenciaJetAdminConcatenada!$D:$D, MATCH(1, (AsistenciaJetAdminConcatenada!$A:$A=DJ$2)*(AsistenciaJetAdminConcatenada!$B:$B=DJ$1), 0)), 1))),  0.5, 0))</f>
        <v>0</v>
      </c>
      <c r="DK62" s="47">
        <f t="array" ref="DK62">IF(AND(ISNUMBER(MATCH(DK$2, AsistenciaJetAdminConcatenada!$A:$A, 0)), ISNUMBER(MATCH(DK$1, AsistenciaJetAdminConcatenada!$B:$B, 0)), ISNUMBER(SEARCH($A62,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ISNUMBER(SEARCH($A62, INDEX(AsistenciaJetAdminConcatenada!$D:$D, MATCH(1, (AsistenciaJetAdminConcatenada!$A:$A=DK$2)*(AsistenciaJetAdminConcatenada!$B:$B=DK$1), 0)), 1))),  0.5, 0))</f>
        <v>0</v>
      </c>
      <c r="DL62" s="47">
        <f t="array" ref="DL62">IF(AND(ISNUMBER(MATCH(DL$2, AsistenciaJetAdminConcatenada!$A:$A, 0)), ISNUMBER(MATCH(DL$1, AsistenciaJetAdminConcatenada!$B:$B, 0)), ISNUMBER(SEARCH($A62,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ISNUMBER(SEARCH($A62, INDEX(AsistenciaJetAdminConcatenada!$D:$D, MATCH(1, (AsistenciaJetAdminConcatenada!$A:$A=DL$2)*(AsistenciaJetAdminConcatenada!$B:$B=DL$1), 0)), 1))),  0.5, 0))</f>
        <v>0</v>
      </c>
      <c r="DM62" s="47">
        <f t="array" ref="DM62">IF(AND(ISNUMBER(MATCH(DM$2, AsistenciaJetAdminConcatenada!$A:$A, 0)), ISNUMBER(MATCH(DM$1, AsistenciaJetAdminConcatenada!$B:$B, 0)), ISNUMBER(SEARCH($A62,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ISNUMBER(SEARCH($A62, INDEX(AsistenciaJetAdminConcatenada!$D:$D, MATCH(1, (AsistenciaJetAdminConcatenada!$A:$A=DM$2)*(AsistenciaJetAdminConcatenada!$B:$B=DM$1), 0)), 1))),  0.5, 0))</f>
        <v>0</v>
      </c>
      <c r="DN62" s="47">
        <f t="array" ref="DN62">IF(AND(ISNUMBER(MATCH(DN$2, AsistenciaJetAdminConcatenada!$A:$A, 0)), ISNUMBER(MATCH(DN$1, AsistenciaJetAdminConcatenada!$B:$B, 0)), ISNUMBER(SEARCH($A62,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ISNUMBER(SEARCH($A62, INDEX(AsistenciaJetAdminConcatenada!$D:$D, MATCH(1, (AsistenciaJetAdminConcatenada!$A:$A=DN$2)*(AsistenciaJetAdminConcatenada!$B:$B=DN$1), 0)), 1))),  0.5, 0))</f>
        <v>0</v>
      </c>
      <c r="DO62" s="47">
        <f t="array" ref="DO62">IF(AND(ISNUMBER(MATCH(DO$2, AsistenciaJetAdminConcatenada!$A:$A, 0)), ISNUMBER(MATCH(DO$1, AsistenciaJetAdminConcatenada!$B:$B, 0)), ISNUMBER(SEARCH($A62,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ISNUMBER(SEARCH($A62, INDEX(AsistenciaJetAdminConcatenada!$D:$D, MATCH(1, (AsistenciaJetAdminConcatenada!$A:$A=DO$2)*(AsistenciaJetAdminConcatenada!$B:$B=DO$1), 0)), 1))),  0.5, 0))</f>
        <v>0</v>
      </c>
      <c r="DP62" s="47">
        <f t="array" ref="DP62">IF(AND(ISNUMBER(MATCH(DP$2, AsistenciaJetAdminConcatenada!$A:$A, 0)), ISNUMBER(MATCH(DP$1, AsistenciaJetAdminConcatenada!$B:$B, 0)), ISNUMBER(SEARCH($A62,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ISNUMBER(SEARCH($A62, INDEX(AsistenciaJetAdminConcatenada!$D:$D, MATCH(1, (AsistenciaJetAdminConcatenada!$A:$A=DP$2)*(AsistenciaJetAdminConcatenada!$B:$B=DP$1), 0)), 1))),  0.5, 0))</f>
        <v>0</v>
      </c>
      <c r="DQ62" s="47">
        <f t="array" ref="DQ62">IF(AND(ISNUMBER(MATCH(DQ$2, AsistenciaJetAdminConcatenada!$A:$A, 0)), ISNUMBER(MATCH(DQ$1, AsistenciaJetAdminConcatenada!$B:$B, 0)), ISNUMBER(SEARCH($A62,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ISNUMBER(SEARCH($A62, INDEX(AsistenciaJetAdminConcatenada!$D:$D, MATCH(1, (AsistenciaJetAdminConcatenada!$A:$A=DQ$2)*(AsistenciaJetAdminConcatenada!$B:$B=DQ$1), 0)), 1))),  0.5, 0))</f>
        <v>0</v>
      </c>
      <c r="DR62" s="47">
        <f t="array" ref="DR62">IF(AND(ISNUMBER(MATCH(DR$2, AsistenciaJetAdminConcatenada!$A:$A, 0)), ISNUMBER(MATCH(DR$1, AsistenciaJetAdminConcatenada!$B:$B, 0)), ISNUMBER(SEARCH($A62,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ISNUMBER(SEARCH($A62, INDEX(AsistenciaJetAdminConcatenada!$D:$D, MATCH(1, (AsistenciaJetAdminConcatenada!$A:$A=DR$2)*(AsistenciaJetAdminConcatenada!$B:$B=DR$1), 0)), 1))),  0.5, 0))</f>
        <v>0</v>
      </c>
      <c r="DS62" s="47">
        <f t="array" ref="DS62">IF(AND(ISNUMBER(MATCH(DS$2, AsistenciaJetAdminConcatenada!$A:$A, 0)), ISNUMBER(MATCH(DS$1, AsistenciaJetAdminConcatenada!$B:$B, 0)), ISNUMBER(SEARCH($A62,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ISNUMBER(SEARCH($A62, INDEX(AsistenciaJetAdminConcatenada!$D:$D, MATCH(1, (AsistenciaJetAdminConcatenada!$A:$A=DS$2)*(AsistenciaJetAdminConcatenada!$B:$B=DS$1), 0)), 1))),  0.5, 0))</f>
        <v>0</v>
      </c>
      <c r="DT62" s="47">
        <f t="array" ref="DT62">IF(AND(ISNUMBER(MATCH(DT$2, AsistenciaJetAdminConcatenada!$A:$A, 0)), ISNUMBER(MATCH(DT$1, AsistenciaJetAdminConcatenada!$B:$B, 0)), ISNUMBER(SEARCH($A62,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ISNUMBER(SEARCH($A62, INDEX(AsistenciaJetAdminConcatenada!$D:$D, MATCH(1, (AsistenciaJetAdminConcatenada!$A:$A=DT$2)*(AsistenciaJetAdminConcatenada!$B:$B=DT$1), 0)), 1))),  0.5, 0))</f>
        <v>0</v>
      </c>
      <c r="DU62" s="47">
        <f t="array" ref="DU62">IF(AND(ISNUMBER(MATCH(DU$2, AsistenciaJetAdminConcatenada!$A:$A, 0)), ISNUMBER(MATCH(DU$1, AsistenciaJetAdminConcatenada!$B:$B, 0)), ISNUMBER(SEARCH($A62,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ISNUMBER(SEARCH($A62, INDEX(AsistenciaJetAdminConcatenada!$D:$D, MATCH(1, (AsistenciaJetAdminConcatenada!$A:$A=DU$2)*(AsistenciaJetAdminConcatenada!$B:$B=DU$1), 0)), 1))),  0.5, 0))</f>
        <v>0</v>
      </c>
      <c r="DV62" s="47">
        <f t="array" ref="DV62">IF(AND(ISNUMBER(MATCH(DV$2, AsistenciaJetAdminConcatenada!$A:$A, 0)), ISNUMBER(MATCH(DV$1, AsistenciaJetAdminConcatenada!$B:$B, 0)), ISNUMBER(SEARCH($A62,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ISNUMBER(SEARCH($A62, INDEX(AsistenciaJetAdminConcatenada!$D:$D, MATCH(1, (AsistenciaJetAdminConcatenada!$A:$A=DV$2)*(AsistenciaJetAdminConcatenada!$B:$B=DV$1), 0)), 1))),  0.5, 0))</f>
        <v>0</v>
      </c>
      <c r="DW62" s="47">
        <f t="array" ref="DW62">IF(AND(ISNUMBER(MATCH(DW$2, AsistenciaJetAdminConcatenada!$A:$A, 0)), ISNUMBER(MATCH(DW$1, AsistenciaJetAdminConcatenada!$B:$B, 0)), ISNUMBER(SEARCH($A62,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ISNUMBER(SEARCH($A62, INDEX(AsistenciaJetAdminConcatenada!$D:$D, MATCH(1, (AsistenciaJetAdminConcatenada!$A:$A=DW$2)*(AsistenciaJetAdminConcatenada!$B:$B=DW$1), 0)), 1))),  0.5, 0))</f>
        <v>0</v>
      </c>
      <c r="DX62" s="47">
        <f t="array" ref="DX62">IF(AND(ISNUMBER(MATCH(DX$2, AsistenciaJetAdminConcatenada!$A:$A, 0)), ISNUMBER(MATCH(DX$1, AsistenciaJetAdminConcatenada!$B:$B, 0)), ISNUMBER(SEARCH($A62,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ISNUMBER(SEARCH($A62, INDEX(AsistenciaJetAdminConcatenada!$D:$D, MATCH(1, (AsistenciaJetAdminConcatenada!$A:$A=DX$2)*(AsistenciaJetAdminConcatenada!$B:$B=DX$1), 0)), 1))),  0.5, 0))</f>
        <v>0</v>
      </c>
      <c r="DY62" s="47">
        <f t="array" ref="DY62">IF(AND(ISNUMBER(MATCH(DY$2, AsistenciaJetAdminConcatenada!$A:$A, 0)), ISNUMBER(MATCH(DY$1, AsistenciaJetAdminConcatenada!$B:$B, 0)), ISNUMBER(SEARCH($A62,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ISNUMBER(SEARCH($A62, INDEX(AsistenciaJetAdminConcatenada!$D:$D, MATCH(1, (AsistenciaJetAdminConcatenada!$A:$A=DY$2)*(AsistenciaJetAdminConcatenada!$B:$B=DY$1), 0)), 1))),  0.5, 0))</f>
        <v>0</v>
      </c>
      <c r="DZ62" s="47">
        <f t="array" ref="DZ62">IF(AND(ISNUMBER(MATCH(DZ$2, AsistenciaJetAdminConcatenada!$A:$A, 0)), ISNUMBER(MATCH(DZ$1, AsistenciaJetAdminConcatenada!$B:$B, 0)), ISNUMBER(SEARCH($A62,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ISNUMBER(SEARCH($A62, INDEX(AsistenciaJetAdminConcatenada!$D:$D, MATCH(1, (AsistenciaJetAdminConcatenada!$A:$A=DZ$2)*(AsistenciaJetAdminConcatenada!$B:$B=DZ$1), 0)), 1))),  0.5, 0))</f>
        <v>0</v>
      </c>
      <c r="EA62" s="47">
        <f t="array" ref="EA62">IF(AND(ISNUMBER(MATCH(EA$2, AsistenciaJetAdminConcatenada!$A:$A, 0)), ISNUMBER(MATCH(EA$1, AsistenciaJetAdminConcatenada!$B:$B, 0)), ISNUMBER(SEARCH($A62,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ISNUMBER(SEARCH($A62, INDEX(AsistenciaJetAdminConcatenada!$D:$D, MATCH(1, (AsistenciaJetAdminConcatenada!$A:$A=EA$2)*(AsistenciaJetAdminConcatenada!$B:$B=EA$1), 0)), 1))),  0.5, 0))</f>
        <v>0</v>
      </c>
      <c r="EB62" s="47">
        <f t="array" ref="EB62">IF(AND(ISNUMBER(MATCH(EB$2, AsistenciaJetAdminConcatenada!$A:$A, 0)), ISNUMBER(MATCH(EB$1, AsistenciaJetAdminConcatenada!$B:$B, 0)), ISNUMBER(SEARCH($A62,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ISNUMBER(SEARCH($A62, INDEX(AsistenciaJetAdminConcatenada!$D:$D, MATCH(1, (AsistenciaJetAdminConcatenada!$A:$A=EB$2)*(AsistenciaJetAdminConcatenada!$B:$B=EB$1), 0)), 1))),  0.5, 0))</f>
        <v>0</v>
      </c>
      <c r="EC62" s="47">
        <f t="array" ref="EC62">IF(AND(ISNUMBER(MATCH(EC$2, AsistenciaJetAdminConcatenada!$A:$A, 0)), ISNUMBER(MATCH(EC$1, AsistenciaJetAdminConcatenada!$B:$B, 0)), ISNUMBER(SEARCH($A62,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ISNUMBER(SEARCH($A62, INDEX(AsistenciaJetAdminConcatenada!$D:$D, MATCH(1, (AsistenciaJetAdminConcatenada!$A:$A=EC$2)*(AsistenciaJetAdminConcatenada!$B:$B=EC$1), 0)), 1))),  0.5, 0))</f>
        <v>0</v>
      </c>
      <c r="ED62" s="47">
        <f t="array" ref="ED62">IF(AND(ISNUMBER(MATCH(ED$2, AsistenciaJetAdminConcatenada!$A:$A, 0)), ISNUMBER(MATCH(ED$1, AsistenciaJetAdminConcatenada!$B:$B, 0)), ISNUMBER(SEARCH($A62,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ISNUMBER(SEARCH($A62, INDEX(AsistenciaJetAdminConcatenada!$D:$D, MATCH(1, (AsistenciaJetAdminConcatenada!$A:$A=ED$2)*(AsistenciaJetAdminConcatenada!$B:$B=ED$1), 0)), 1))),  0.5, 0))</f>
        <v>0</v>
      </c>
      <c r="EE62" s="47">
        <f t="array" ref="EE62">IF(AND(ISNUMBER(MATCH(EE$2, AsistenciaJetAdminConcatenada!$A:$A, 0)), ISNUMBER(MATCH(EE$1, AsistenciaJetAdminConcatenada!$B:$B, 0)), ISNUMBER(SEARCH($A62,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ISNUMBER(SEARCH($A62, INDEX(AsistenciaJetAdminConcatenada!$D:$D, MATCH(1, (AsistenciaJetAdminConcatenada!$A:$A=EE$2)*(AsistenciaJetAdminConcatenada!$B:$B=EE$1), 0)), 1))),  0.5, 0))</f>
        <v>0</v>
      </c>
      <c r="EF62" s="47">
        <f t="array" ref="EF62">IF(AND(ISNUMBER(MATCH(EF$2, AsistenciaJetAdminConcatenada!$A:$A, 0)), ISNUMBER(MATCH(EF$1, AsistenciaJetAdminConcatenada!$B:$B, 0)), ISNUMBER(SEARCH($A62,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ISNUMBER(SEARCH($A62, INDEX(AsistenciaJetAdminConcatenada!$D:$D, MATCH(1, (AsistenciaJetAdminConcatenada!$A:$A=EF$2)*(AsistenciaJetAdminConcatenada!$B:$B=EF$1), 0)), 1))),  0.5, 0))</f>
        <v>0</v>
      </c>
      <c r="EG62" s="47">
        <f t="array" ref="EG62">IF(AND(ISNUMBER(MATCH(EG$2, AsistenciaJetAdminConcatenada!$A:$A, 0)), ISNUMBER(MATCH(EG$1, AsistenciaJetAdminConcatenada!$B:$B, 0)), ISNUMBER(SEARCH($A62,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ISNUMBER(SEARCH($A62, INDEX(AsistenciaJetAdminConcatenada!$D:$D, MATCH(1, (AsistenciaJetAdminConcatenada!$A:$A=EG$2)*(AsistenciaJetAdminConcatenada!$B:$B=EG$1), 0)), 1))),  0.5, 0))</f>
        <v>0</v>
      </c>
      <c r="EH62" s="47">
        <f t="array" ref="EH62">IF(AND(ISNUMBER(MATCH(EH$2, AsistenciaJetAdminConcatenada!$A:$A, 0)), ISNUMBER(MATCH(EH$1, AsistenciaJetAdminConcatenada!$B:$B, 0)), ISNUMBER(SEARCH($A62,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ISNUMBER(SEARCH($A62, INDEX(AsistenciaJetAdminConcatenada!$D:$D, MATCH(1, (AsistenciaJetAdminConcatenada!$A:$A=EH$2)*(AsistenciaJetAdminConcatenada!$B:$B=EH$1), 0)), 1))),  0.5, 0))</f>
        <v>0</v>
      </c>
      <c r="EI62" s="47">
        <f t="array" ref="EI62">IF(AND(ISNUMBER(MATCH(EI$2, AsistenciaJetAdminConcatenada!$A:$A, 0)), ISNUMBER(MATCH(EI$1, AsistenciaJetAdminConcatenada!$B:$B, 0)), ISNUMBER(SEARCH($A62,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ISNUMBER(SEARCH($A62, INDEX(AsistenciaJetAdminConcatenada!$D:$D, MATCH(1, (AsistenciaJetAdminConcatenada!$A:$A=EI$2)*(AsistenciaJetAdminConcatenada!$B:$B=EI$1), 0)), 1))),  0.5, 0))</f>
        <v>0</v>
      </c>
      <c r="EJ62" s="47">
        <f t="array" ref="EJ62">IF(AND(ISNUMBER(MATCH(EJ$2, AsistenciaJetAdminConcatenada!$A:$A, 0)), ISNUMBER(MATCH(EJ$1, AsistenciaJetAdminConcatenada!$B:$B, 0)), ISNUMBER(SEARCH($A62,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ISNUMBER(SEARCH($A62, INDEX(AsistenciaJetAdminConcatenada!$D:$D, MATCH(1, (AsistenciaJetAdminConcatenada!$A:$A=EJ$2)*(AsistenciaJetAdminConcatenada!$B:$B=EJ$1), 0)), 1))),  0.5, 0))</f>
        <v>0</v>
      </c>
      <c r="EK62" s="47">
        <f t="array" ref="EK62">IF(AND(ISNUMBER(MATCH(EK$2, AsistenciaJetAdminConcatenada!$A:$A, 0)), ISNUMBER(MATCH(EK$1, AsistenciaJetAdminConcatenada!$B:$B, 0)), ISNUMBER(SEARCH($A62,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ISNUMBER(SEARCH($A62, INDEX(AsistenciaJetAdminConcatenada!$D:$D, MATCH(1, (AsistenciaJetAdminConcatenada!$A:$A=EK$2)*(AsistenciaJetAdminConcatenada!$B:$B=EK$1), 0)), 1))),  0.5, 0))</f>
        <v>0</v>
      </c>
      <c r="EL62" s="47">
        <f t="array" ref="EL62">IF(AND(ISNUMBER(MATCH(EL$2, AsistenciaJetAdminConcatenada!$A:$A, 0)), ISNUMBER(MATCH(EL$1, AsistenciaJetAdminConcatenada!$B:$B, 0)), ISNUMBER(SEARCH($A62,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ISNUMBER(SEARCH($A62, INDEX(AsistenciaJetAdminConcatenada!$D:$D, MATCH(1, (AsistenciaJetAdminConcatenada!$A:$A=EL$2)*(AsistenciaJetAdminConcatenada!$B:$B=EL$1), 0)), 1))),  0.5, 0))</f>
        <v>0</v>
      </c>
      <c r="EM62" s="47">
        <f t="array" ref="EM62">IF(AND(ISNUMBER(MATCH(EM$2, AsistenciaJetAdminConcatenada!$A:$A, 0)), ISNUMBER(MATCH(EM$1, AsistenciaJetAdminConcatenada!$B:$B, 0)), ISNUMBER(SEARCH($A62,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ISNUMBER(SEARCH($A62, INDEX(AsistenciaJetAdminConcatenada!$D:$D, MATCH(1, (AsistenciaJetAdminConcatenada!$A:$A=EM$2)*(AsistenciaJetAdminConcatenada!$B:$B=EM$1), 0)), 1))),  0.5, 0))</f>
        <v>0</v>
      </c>
      <c r="EN62" s="47">
        <f t="array" ref="EN62">IF(AND(ISNUMBER(MATCH(EN$2, AsistenciaJetAdminConcatenada!$A:$A, 0)), ISNUMBER(MATCH(EN$1, AsistenciaJetAdminConcatenada!$B:$B, 0)), ISNUMBER(SEARCH($A62,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ISNUMBER(SEARCH($A62, INDEX(AsistenciaJetAdminConcatenada!$D:$D, MATCH(1, (AsistenciaJetAdminConcatenada!$A:$A=EN$2)*(AsistenciaJetAdminConcatenada!$B:$B=EN$1), 0)), 1))),  0.5, 0))</f>
        <v>0</v>
      </c>
      <c r="EO62" s="47">
        <f t="array" ref="EO62">IF(AND(ISNUMBER(MATCH(EO$2, AsistenciaJetAdminConcatenada!$A:$A, 0)), ISNUMBER(MATCH(EO$1, AsistenciaJetAdminConcatenada!$B:$B, 0)), ISNUMBER(SEARCH($A62,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ISNUMBER(SEARCH($A62, INDEX(AsistenciaJetAdminConcatenada!$D:$D, MATCH(1, (AsistenciaJetAdminConcatenada!$A:$A=EO$2)*(AsistenciaJetAdminConcatenada!$B:$B=EO$1), 0)), 1))),  0.5, 0))</f>
        <v>0</v>
      </c>
      <c r="EP62" s="47">
        <f t="array" ref="EP62">IF(AND(ISNUMBER(MATCH(EP$2, AsistenciaJetAdminConcatenada!$A:$A, 0)), ISNUMBER(MATCH(EP$1, AsistenciaJetAdminConcatenada!$B:$B, 0)), ISNUMBER(SEARCH($A62,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ISNUMBER(SEARCH($A62, INDEX(AsistenciaJetAdminConcatenada!$D:$D, MATCH(1, (AsistenciaJetAdminConcatenada!$A:$A=EP$2)*(AsistenciaJetAdminConcatenada!$B:$B=EP$1), 0)), 1))),  0.5, 0))</f>
        <v>0</v>
      </c>
      <c r="EQ62" s="47">
        <f t="array" ref="EQ62">IF(AND(ISNUMBER(MATCH(EQ$2, AsistenciaJetAdminConcatenada!$A:$A, 0)), ISNUMBER(MATCH(EQ$1, AsistenciaJetAdminConcatenada!$B:$B, 0)), ISNUMBER(SEARCH($A62,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ISNUMBER(SEARCH($A62, INDEX(AsistenciaJetAdminConcatenada!$D:$D, MATCH(1, (AsistenciaJetAdminConcatenada!$A:$A=EQ$2)*(AsistenciaJetAdminConcatenada!$B:$B=EQ$1), 0)), 1))),  0.5, 0))</f>
        <v>0</v>
      </c>
      <c r="ER62" s="47">
        <f t="array" ref="ER62">IF(AND(ISNUMBER(MATCH(ER$2, AsistenciaJetAdminConcatenada!$A:$A, 0)), ISNUMBER(MATCH(ER$1, AsistenciaJetAdminConcatenada!$B:$B, 0)), ISNUMBER(SEARCH($A62,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ISNUMBER(SEARCH($A62, INDEX(AsistenciaJetAdminConcatenada!$D:$D, MATCH(1, (AsistenciaJetAdminConcatenada!$A:$A=ER$2)*(AsistenciaJetAdminConcatenada!$B:$B=ER$1), 0)), 1))),  0.5, 0))</f>
        <v>0</v>
      </c>
      <c r="ES62" s="47">
        <f t="array" ref="ES62">IF(AND(ISNUMBER(MATCH(ES$2, AsistenciaJetAdminConcatenada!$A:$A, 0)), ISNUMBER(MATCH(ES$1, AsistenciaJetAdminConcatenada!$B:$B, 0)), ISNUMBER(SEARCH($A62,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ISNUMBER(SEARCH($A62, INDEX(AsistenciaJetAdminConcatenada!$D:$D, MATCH(1, (AsistenciaJetAdminConcatenada!$A:$A=ES$2)*(AsistenciaJetAdminConcatenada!$B:$B=ES$1), 0)), 1))),  0.5, 0))</f>
        <v>0</v>
      </c>
      <c r="ET62" s="47">
        <f t="array" ref="ET62">IF(AND(ISNUMBER(MATCH(ET$2, AsistenciaJetAdminConcatenada!$A:$A, 0)), ISNUMBER(MATCH(ET$1, AsistenciaJetAdminConcatenada!$B:$B, 0)), ISNUMBER(SEARCH($A62,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ISNUMBER(SEARCH($A62, INDEX(AsistenciaJetAdminConcatenada!$D:$D, MATCH(1, (AsistenciaJetAdminConcatenada!$A:$A=ET$2)*(AsistenciaJetAdminConcatenada!$B:$B=ET$1), 0)), 1))),  0.5, 0))</f>
        <v>0</v>
      </c>
      <c r="EU62" s="47">
        <f t="array" ref="EU62">IF(AND(ISNUMBER(MATCH(EU$2, AsistenciaJetAdminConcatenada!$A:$A, 0)), ISNUMBER(MATCH(EU$1, AsistenciaJetAdminConcatenada!$B:$B, 0)), ISNUMBER(SEARCH($A62,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ISNUMBER(SEARCH($A62, INDEX(AsistenciaJetAdminConcatenada!$D:$D, MATCH(1, (AsistenciaJetAdminConcatenada!$A:$A=EU$2)*(AsistenciaJetAdminConcatenada!$B:$B=EU$1), 0)), 1))),  0.5, 0))</f>
        <v>0</v>
      </c>
      <c r="EV62" s="47">
        <f t="array" ref="EV62">IF(AND(ISNUMBER(MATCH(EV$2, AsistenciaJetAdminConcatenada!$A:$A, 0)), ISNUMBER(MATCH(EV$1, AsistenciaJetAdminConcatenada!$B:$B, 0)), ISNUMBER(SEARCH($A62,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ISNUMBER(SEARCH($A62, INDEX(AsistenciaJetAdminConcatenada!$D:$D, MATCH(1, (AsistenciaJetAdminConcatenada!$A:$A=EV$2)*(AsistenciaJetAdminConcatenada!$B:$B=EV$1), 0)), 1))),  0.5, 0))</f>
        <v>0</v>
      </c>
      <c r="EW62" s="47">
        <f t="array" ref="EW62">IF(AND(ISNUMBER(MATCH(EW$2, AsistenciaJetAdminConcatenada!$A:$A, 0)), ISNUMBER(MATCH(EW$1, AsistenciaJetAdminConcatenada!$B:$B, 0)), ISNUMBER(SEARCH($A62,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ISNUMBER(SEARCH($A62, INDEX(AsistenciaJetAdminConcatenada!$D:$D, MATCH(1, (AsistenciaJetAdminConcatenada!$A:$A=EW$2)*(AsistenciaJetAdminConcatenada!$B:$B=EW$1), 0)), 1))),  0.5, 0))</f>
        <v>0</v>
      </c>
      <c r="EX62" s="47">
        <f t="array" ref="EX62">IF(AND(ISNUMBER(MATCH(EX$2, AsistenciaJetAdminConcatenada!$A:$A, 0)), ISNUMBER(MATCH(EX$1, AsistenciaJetAdminConcatenada!$B:$B, 0)), ISNUMBER(SEARCH($A62,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ISNUMBER(SEARCH($A62, INDEX(AsistenciaJetAdminConcatenada!$D:$D, MATCH(1, (AsistenciaJetAdminConcatenada!$A:$A=EX$2)*(AsistenciaJetAdminConcatenada!$B:$B=EX$1), 0)), 1))),  0.5, 0))</f>
        <v>0</v>
      </c>
      <c r="EY62" s="47">
        <f t="array" ref="EY62">IF(AND(ISNUMBER(MATCH(EY$2, AsistenciaJetAdminConcatenada!$A:$A, 0)), ISNUMBER(MATCH(EY$1, AsistenciaJetAdminConcatenada!$B:$B, 0)), ISNUMBER(SEARCH($A62,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ISNUMBER(SEARCH($A62, INDEX(AsistenciaJetAdminConcatenada!$D:$D, MATCH(1, (AsistenciaJetAdminConcatenada!$A:$A=EY$2)*(AsistenciaJetAdminConcatenada!$B:$B=EY$1), 0)), 1))),  0.5, 0))</f>
        <v>0</v>
      </c>
      <c r="EZ62" s="47">
        <f t="array" ref="EZ62">IF(AND(ISNUMBER(MATCH(EZ$2, AsistenciaJetAdminConcatenada!$A:$A, 0)), ISNUMBER(MATCH(EZ$1, AsistenciaJetAdminConcatenada!$B:$B, 0)), ISNUMBER(SEARCH($A62,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ISNUMBER(SEARCH($A62, INDEX(AsistenciaJetAdminConcatenada!$D:$D, MATCH(1, (AsistenciaJetAdminConcatenada!$A:$A=EZ$2)*(AsistenciaJetAdminConcatenada!$B:$B=EZ$1), 0)), 1))),  0.5, 0))</f>
        <v>0</v>
      </c>
      <c r="FA62" s="47">
        <f t="array" ref="FA62">IF(AND(ISNUMBER(MATCH(FA$2, AsistenciaJetAdminConcatenada!$A:$A, 0)), ISNUMBER(MATCH(FA$1, AsistenciaJetAdminConcatenada!$B:$B, 0)), ISNUMBER(SEARCH($A62,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ISNUMBER(SEARCH($A62, INDEX(AsistenciaJetAdminConcatenada!$D:$D, MATCH(1, (AsistenciaJetAdminConcatenada!$A:$A=FA$2)*(AsistenciaJetAdminConcatenada!$B:$B=FA$1), 0)), 1))),  0.5, 0))</f>
        <v>0</v>
      </c>
      <c r="FB62" s="47">
        <f t="array" ref="FB62">IF(AND(ISNUMBER(MATCH(FB$2, AsistenciaJetAdminConcatenada!$A:$A, 0)), ISNUMBER(MATCH(FB$1, AsistenciaJetAdminConcatenada!$B:$B, 0)), ISNUMBER(SEARCH($A62,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ISNUMBER(SEARCH($A62, INDEX(AsistenciaJetAdminConcatenada!$D:$D, MATCH(1, (AsistenciaJetAdminConcatenada!$A:$A=FB$2)*(AsistenciaJetAdminConcatenada!$B:$B=FB$1), 0)), 1))),  0.5, 0))</f>
        <v>0</v>
      </c>
      <c r="FC62" s="47">
        <f t="array" ref="FC62">IF(AND(ISNUMBER(MATCH(FC$2, AsistenciaJetAdminConcatenada!$A:$A, 0)), ISNUMBER(MATCH(FC$1, AsistenciaJetAdminConcatenada!$B:$B, 0)), ISNUMBER(SEARCH($A62,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ISNUMBER(SEARCH($A62, INDEX(AsistenciaJetAdminConcatenada!$D:$D, MATCH(1, (AsistenciaJetAdminConcatenada!$A:$A=FC$2)*(AsistenciaJetAdminConcatenada!$B:$B=FC$1), 0)), 1))),  0.5, 0))</f>
        <v>0</v>
      </c>
      <c r="FD62" s="47">
        <f t="array" ref="FD62">IF(AND(ISNUMBER(MATCH(FD$2, AsistenciaJetAdminConcatenada!$A:$A, 0)), ISNUMBER(MATCH(FD$1, AsistenciaJetAdminConcatenada!$B:$B, 0)), ISNUMBER(SEARCH($A62,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ISNUMBER(SEARCH($A62, INDEX(AsistenciaJetAdminConcatenada!$D:$D, MATCH(1, (AsistenciaJetAdminConcatenada!$A:$A=FD$2)*(AsistenciaJetAdminConcatenada!$B:$B=FD$1), 0)), 1))),  0.5, 0))</f>
        <v>0</v>
      </c>
      <c r="FE62" s="47">
        <f t="array" ref="FE62">IF(AND(ISNUMBER(MATCH(FE$2, AsistenciaJetAdminConcatenada!$A:$A, 0)), ISNUMBER(MATCH(FE$1, AsistenciaJetAdminConcatenada!$B:$B, 0)), ISNUMBER(SEARCH($A62,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ISNUMBER(SEARCH($A62, INDEX(AsistenciaJetAdminConcatenada!$D:$D, MATCH(1, (AsistenciaJetAdminConcatenada!$A:$A=FE$2)*(AsistenciaJetAdminConcatenada!$B:$B=FE$1), 0)), 1))),  0.5, 0))</f>
        <v>0</v>
      </c>
      <c r="FF62" s="47">
        <f t="array" ref="FF62">IF(AND(ISNUMBER(MATCH(FF$2, AsistenciaJetAdminConcatenada!$A:$A, 0)), ISNUMBER(MATCH(FF$1, AsistenciaJetAdminConcatenada!$B:$B, 0)), ISNUMBER(SEARCH($A62,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ISNUMBER(SEARCH($A62, INDEX(AsistenciaJetAdminConcatenada!$D:$D, MATCH(1, (AsistenciaJetAdminConcatenada!$A:$A=FF$2)*(AsistenciaJetAdminConcatenada!$B:$B=FF$1), 0)), 1))),  0.5, 0))</f>
        <v>0</v>
      </c>
      <c r="FG62" s="47">
        <f t="array" ref="FG62">IF(AND(ISNUMBER(MATCH(FG$2, AsistenciaJetAdminConcatenada!$A:$A, 0)), ISNUMBER(MATCH(FG$1, AsistenciaJetAdminConcatenada!$B:$B, 0)), ISNUMBER(SEARCH($A62,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ISNUMBER(SEARCH($A62, INDEX(AsistenciaJetAdminConcatenada!$D:$D, MATCH(1, (AsistenciaJetAdminConcatenada!$A:$A=FG$2)*(AsistenciaJetAdminConcatenada!$B:$B=FG$1), 0)), 1))),  0.5, 0))</f>
        <v>0</v>
      </c>
      <c r="FH62" s="47">
        <f t="array" ref="FH62">IF(AND(ISNUMBER(MATCH(FH$2, AsistenciaJetAdminConcatenada!$A:$A, 0)), ISNUMBER(MATCH(FH$1, AsistenciaJetAdminConcatenada!$B:$B, 0)), ISNUMBER(SEARCH($A62,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ISNUMBER(SEARCH($A62, INDEX(AsistenciaJetAdminConcatenada!$D:$D, MATCH(1, (AsistenciaJetAdminConcatenada!$A:$A=FH$2)*(AsistenciaJetAdminConcatenada!$B:$B=FH$1), 0)), 1))),  0.5, 0))</f>
        <v>0</v>
      </c>
      <c r="FI62" s="47">
        <f t="array" ref="FI62">IF(AND(ISNUMBER(MATCH(FI$2, AsistenciaJetAdminConcatenada!$A:$A, 0)), ISNUMBER(MATCH(FI$1, AsistenciaJetAdminConcatenada!$B:$B, 0)), ISNUMBER(SEARCH($A62,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ISNUMBER(SEARCH($A62, INDEX(AsistenciaJetAdminConcatenada!$D:$D, MATCH(1, (AsistenciaJetAdminConcatenada!$A:$A=FI$2)*(AsistenciaJetAdminConcatenada!$B:$B=FI$1), 0)), 1))),  0.5, 0))</f>
        <v>0</v>
      </c>
      <c r="FJ62" s="47">
        <f t="array" ref="FJ62">IF(AND(ISNUMBER(MATCH(FJ$2, AsistenciaJetAdminConcatenada!$A:$A, 0)), ISNUMBER(MATCH(FJ$1, AsistenciaJetAdminConcatenada!$B:$B, 0)), ISNUMBER(SEARCH($A62,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ISNUMBER(SEARCH($A62, INDEX(AsistenciaJetAdminConcatenada!$D:$D, MATCH(1, (AsistenciaJetAdminConcatenada!$A:$A=FJ$2)*(AsistenciaJetAdminConcatenada!$B:$B=FJ$1), 0)), 1))),  0.5, 0))</f>
        <v>0</v>
      </c>
      <c r="FK62" s="47">
        <f t="array" ref="FK62">IF(AND(ISNUMBER(MATCH(FK$2, AsistenciaJetAdminConcatenada!$A:$A, 0)), ISNUMBER(MATCH(FK$1, AsistenciaJetAdminConcatenada!$B:$B, 0)), ISNUMBER(SEARCH($A62,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ISNUMBER(SEARCH($A62, INDEX(AsistenciaJetAdminConcatenada!$D:$D, MATCH(1, (AsistenciaJetAdminConcatenada!$A:$A=FK$2)*(AsistenciaJetAdminConcatenada!$B:$B=FK$1), 0)), 1))),  0.5, 0))</f>
        <v>0</v>
      </c>
      <c r="FL62" s="47">
        <f t="array" ref="FL62">IF(AND(ISNUMBER(MATCH(FL$2, AsistenciaJetAdminConcatenada!$A:$A, 0)), ISNUMBER(MATCH(FL$1, AsistenciaJetAdminConcatenada!$B:$B, 0)), ISNUMBER(SEARCH($A62,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ISNUMBER(SEARCH($A62, INDEX(AsistenciaJetAdminConcatenada!$D:$D, MATCH(1, (AsistenciaJetAdminConcatenada!$A:$A=FL$2)*(AsistenciaJetAdminConcatenada!$B:$B=FL$1), 0)), 1))),  0.5, 0))</f>
        <v>0</v>
      </c>
      <c r="FM62" s="47">
        <f t="array" ref="FM62">IF(AND(ISNUMBER(MATCH(FM$2, AsistenciaJetAdminConcatenada!$A:$A, 0)), ISNUMBER(MATCH(FM$1, AsistenciaJetAdminConcatenada!$B:$B, 0)), ISNUMBER(SEARCH($A62,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ISNUMBER(SEARCH($A62, INDEX(AsistenciaJetAdminConcatenada!$D:$D, MATCH(1, (AsistenciaJetAdminConcatenada!$A:$A=FM$2)*(AsistenciaJetAdminConcatenada!$B:$B=FM$1), 0)), 1))),  0.5, 0))</f>
        <v>0</v>
      </c>
      <c r="FN62" s="47">
        <f t="array" ref="FN62">IF(AND(ISNUMBER(MATCH(FN$2, AsistenciaJetAdminConcatenada!$A:$A, 0)), ISNUMBER(MATCH(FN$1, AsistenciaJetAdminConcatenada!$B:$B, 0)), ISNUMBER(SEARCH($A62,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ISNUMBER(SEARCH($A62, INDEX(AsistenciaJetAdminConcatenada!$D:$D, MATCH(1, (AsistenciaJetAdminConcatenada!$A:$A=FN$2)*(AsistenciaJetAdminConcatenada!$B:$B=FN$1), 0)), 1))),  0.5, 0))</f>
        <v>0</v>
      </c>
      <c r="FO62" s="47">
        <f t="array" ref="FO62">IF(AND(ISNUMBER(MATCH(FO$2, AsistenciaJetAdminConcatenada!$A:$A, 0)), ISNUMBER(MATCH(FO$1, AsistenciaJetAdminConcatenada!$B:$B, 0)), ISNUMBER(SEARCH($A62,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ISNUMBER(SEARCH($A62, INDEX(AsistenciaJetAdminConcatenada!$D:$D, MATCH(1, (AsistenciaJetAdminConcatenada!$A:$A=FO$2)*(AsistenciaJetAdminConcatenada!$B:$B=FO$1), 0)), 1))),  0.5, 0))</f>
        <v>0</v>
      </c>
      <c r="FP62" s="47">
        <f t="array" ref="FP62">IF(AND(ISNUMBER(MATCH(FP$2, AsistenciaJetAdminConcatenada!$A:$A, 0)), ISNUMBER(MATCH(FP$1, AsistenciaJetAdminConcatenada!$B:$B, 0)), ISNUMBER(SEARCH($A62,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ISNUMBER(SEARCH($A62, INDEX(AsistenciaJetAdminConcatenada!$D:$D, MATCH(1, (AsistenciaJetAdminConcatenada!$A:$A=FP$2)*(AsistenciaJetAdminConcatenada!$B:$B=FP$1), 0)), 1))),  0.5, 0))</f>
        <v>0</v>
      </c>
      <c r="FQ62" s="47">
        <f t="array" ref="FQ62">IF(AND(ISNUMBER(MATCH(FQ$2, AsistenciaJetAdminConcatenada!$A:$A, 0)), ISNUMBER(MATCH(FQ$1, AsistenciaJetAdminConcatenada!$B:$B, 0)), ISNUMBER(SEARCH($A62,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ISNUMBER(SEARCH($A62, INDEX(AsistenciaJetAdminConcatenada!$D:$D, MATCH(1, (AsistenciaJetAdminConcatenada!$A:$A=FQ$2)*(AsistenciaJetAdminConcatenada!$B:$B=FQ$1), 0)), 1))),  0.5, 0))</f>
        <v>0</v>
      </c>
      <c r="FR62" s="47">
        <f t="array" ref="FR62">IF(AND(ISNUMBER(MATCH(FR$2, AsistenciaJetAdminConcatenada!$A:$A, 0)), ISNUMBER(MATCH(FR$1, AsistenciaJetAdminConcatenada!$B:$B, 0)), ISNUMBER(SEARCH($A62,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ISNUMBER(SEARCH($A62, INDEX(AsistenciaJetAdminConcatenada!$D:$D, MATCH(1, (AsistenciaJetAdminConcatenada!$A:$A=FR$2)*(AsistenciaJetAdminConcatenada!$B:$B=FR$1), 0)), 1))),  0.5, 0))</f>
        <v>0</v>
      </c>
      <c r="FS62" s="47">
        <f t="array" ref="FS62">IF(AND(ISNUMBER(MATCH(FS$2, AsistenciaJetAdminConcatenada!$A:$A, 0)), ISNUMBER(MATCH(FS$1, AsistenciaJetAdminConcatenada!$B:$B, 0)), ISNUMBER(SEARCH($A62,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ISNUMBER(SEARCH($A62, INDEX(AsistenciaJetAdminConcatenada!$D:$D, MATCH(1, (AsistenciaJetAdminConcatenada!$A:$A=FS$2)*(AsistenciaJetAdminConcatenada!$B:$B=FS$1), 0)), 1))),  0.5, 0))</f>
        <v>0</v>
      </c>
      <c r="FT62" s="47">
        <f t="array" ref="FT62">IF(AND(ISNUMBER(MATCH(FT$2, AsistenciaJetAdminConcatenada!$A:$A, 0)), ISNUMBER(MATCH(FT$1, AsistenciaJetAdminConcatenada!$B:$B, 0)), ISNUMBER(SEARCH($A62,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ISNUMBER(SEARCH($A62, INDEX(AsistenciaJetAdminConcatenada!$D:$D, MATCH(1, (AsistenciaJetAdminConcatenada!$A:$A=FT$2)*(AsistenciaJetAdminConcatenada!$B:$B=FT$1), 0)), 1))),  0.5, 0))</f>
        <v>0</v>
      </c>
      <c r="FU62" s="47">
        <f t="array" ref="FU62">IF(AND(ISNUMBER(MATCH(FU$2, AsistenciaJetAdminConcatenada!$A:$A, 0)), ISNUMBER(MATCH(FU$1, AsistenciaJetAdminConcatenada!$B:$B, 0)), ISNUMBER(SEARCH($A62,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ISNUMBER(SEARCH($A62, INDEX(AsistenciaJetAdminConcatenada!$D:$D, MATCH(1, (AsistenciaJetAdminConcatenada!$A:$A=FU$2)*(AsistenciaJetAdminConcatenada!$B:$B=FU$1), 0)), 1))),  0.5, 0))</f>
        <v>0</v>
      </c>
      <c r="FV62" s="47">
        <f t="array" ref="FV62">IF(AND(ISNUMBER(MATCH(FV$2, AsistenciaJetAdminConcatenada!$A:$A, 0)), ISNUMBER(MATCH(FV$1, AsistenciaJetAdminConcatenada!$B:$B, 0)), ISNUMBER(SEARCH($A62,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ISNUMBER(SEARCH($A62, INDEX(AsistenciaJetAdminConcatenada!$D:$D, MATCH(1, (AsistenciaJetAdminConcatenada!$A:$A=FV$2)*(AsistenciaJetAdminConcatenada!$B:$B=FV$1), 0)), 1))),  0.5, 0))</f>
        <v>0</v>
      </c>
      <c r="FW62" s="47">
        <f t="array" ref="FW62">IF(AND(ISNUMBER(MATCH(FW$2, AsistenciaJetAdminConcatenada!$A:$A, 0)), ISNUMBER(MATCH(FW$1, AsistenciaJetAdminConcatenada!$B:$B, 0)), ISNUMBER(SEARCH($A62,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ISNUMBER(SEARCH($A62, INDEX(AsistenciaJetAdminConcatenada!$D:$D, MATCH(1, (AsistenciaJetAdminConcatenada!$A:$A=FW$2)*(AsistenciaJetAdminConcatenada!$B:$B=FW$1), 0)), 1))),  0.5, 0))</f>
        <v>0</v>
      </c>
      <c r="FX62" s="47">
        <f t="array" ref="FX62">IF(AND(ISNUMBER(MATCH(FX$2, AsistenciaJetAdminConcatenada!$A:$A, 0)), ISNUMBER(MATCH(FX$1, AsistenciaJetAdminConcatenada!$B:$B, 0)), ISNUMBER(SEARCH($A62,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ISNUMBER(SEARCH($A62, INDEX(AsistenciaJetAdminConcatenada!$D:$D, MATCH(1, (AsistenciaJetAdminConcatenada!$A:$A=FX$2)*(AsistenciaJetAdminConcatenada!$B:$B=FX$1), 0)), 1))),  0.5, 0))</f>
        <v>0</v>
      </c>
      <c r="FY62" s="47">
        <f t="array" ref="FY62">IF(AND(ISNUMBER(MATCH(FY$2, AsistenciaJetAdminConcatenada!$A:$A, 0)), ISNUMBER(MATCH(FY$1, AsistenciaJetAdminConcatenada!$B:$B, 0)), ISNUMBER(SEARCH($A62,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ISNUMBER(SEARCH($A62, INDEX(AsistenciaJetAdminConcatenada!$D:$D, MATCH(1, (AsistenciaJetAdminConcatenada!$A:$A=FY$2)*(AsistenciaJetAdminConcatenada!$B:$B=FY$1), 0)), 1))),  0.5, 0))</f>
        <v>0</v>
      </c>
      <c r="FZ62" s="47">
        <f t="array" ref="FZ62">IF(AND(ISNUMBER(MATCH(FZ$2, AsistenciaJetAdminConcatenada!$A:$A, 0)), ISNUMBER(MATCH(FZ$1, AsistenciaJetAdminConcatenada!$B:$B, 0)), ISNUMBER(SEARCH($A62,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ISNUMBER(SEARCH($A62, INDEX(AsistenciaJetAdminConcatenada!$D:$D, MATCH(1, (AsistenciaJetAdminConcatenada!$A:$A=FZ$2)*(AsistenciaJetAdminConcatenada!$B:$B=FZ$1), 0)), 1))),  0.5, 0))</f>
        <v>0</v>
      </c>
      <c r="GA62" s="47">
        <f t="array" ref="GA62">IF(AND(ISNUMBER(MATCH(GA$2, AsistenciaJetAdminConcatenada!$A:$A, 0)), ISNUMBER(MATCH(GA$1, AsistenciaJetAdminConcatenada!$B:$B, 0)), ISNUMBER(SEARCH($A62,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ISNUMBER(SEARCH($A62, INDEX(AsistenciaJetAdminConcatenada!$D:$D, MATCH(1, (AsistenciaJetAdminConcatenada!$A:$A=GA$2)*(AsistenciaJetAdminConcatenada!$B:$B=GA$1), 0)), 1))),  0.5, 0))</f>
        <v>0</v>
      </c>
      <c r="GB62" s="47">
        <f t="array" ref="GB62">IF(AND(ISNUMBER(MATCH(GB$2, AsistenciaJetAdminConcatenada!$A:$A, 0)), ISNUMBER(MATCH(GB$1, AsistenciaJetAdminConcatenada!$B:$B, 0)), ISNUMBER(SEARCH($A62,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ISNUMBER(SEARCH($A62, INDEX(AsistenciaJetAdminConcatenada!$D:$D, MATCH(1, (AsistenciaJetAdminConcatenada!$A:$A=GB$2)*(AsistenciaJetAdminConcatenada!$B:$B=GB$1), 0)), 1))),  0.5, 0))</f>
        <v>0</v>
      </c>
      <c r="GC62" s="47">
        <f t="array" ref="GC62">IF(AND(ISNUMBER(MATCH(GC$2, AsistenciaJetAdminConcatenada!$A:$A, 0)), ISNUMBER(MATCH(GC$1, AsistenciaJetAdminConcatenada!$B:$B, 0)), ISNUMBER(SEARCH($A62,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ISNUMBER(SEARCH($A62, INDEX(AsistenciaJetAdminConcatenada!$D:$D, MATCH(1, (AsistenciaJetAdminConcatenada!$A:$A=GC$2)*(AsistenciaJetAdminConcatenada!$B:$B=GC$1), 0)), 1))),  0.5, 0))</f>
        <v>0</v>
      </c>
      <c r="GD62" s="47">
        <f t="array" ref="GD62">IF(AND(ISNUMBER(MATCH(GD$2, AsistenciaJetAdminConcatenada!$A:$A, 0)), ISNUMBER(MATCH(GD$1, AsistenciaJetAdminConcatenada!$B:$B, 0)), ISNUMBER(SEARCH($A62,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ISNUMBER(SEARCH($A62, INDEX(AsistenciaJetAdminConcatenada!$D:$D, MATCH(1, (AsistenciaJetAdminConcatenada!$A:$A=GD$2)*(AsistenciaJetAdminConcatenada!$B:$B=GD$1), 0)), 1))),  0.5, 0))</f>
        <v>0</v>
      </c>
      <c r="GE62" s="47">
        <f t="array" ref="GE62">IF(AND(ISNUMBER(MATCH(GE$2, AsistenciaJetAdminConcatenada!$A:$A, 0)), ISNUMBER(MATCH(GE$1, AsistenciaJetAdminConcatenada!$B:$B, 0)), ISNUMBER(SEARCH($A62,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ISNUMBER(SEARCH($A62, INDEX(AsistenciaJetAdminConcatenada!$D:$D, MATCH(1, (AsistenciaJetAdminConcatenada!$A:$A=GE$2)*(AsistenciaJetAdminConcatenada!$B:$B=GE$1), 0)), 1))),  0.5, 0))</f>
        <v>0</v>
      </c>
      <c r="GF62" s="47">
        <f t="array" ref="GF62">IF(AND(ISNUMBER(MATCH(GF$2, AsistenciaJetAdminConcatenada!$A:$A, 0)), ISNUMBER(MATCH(GF$1, AsistenciaJetAdminConcatenada!$B:$B, 0)), ISNUMBER(SEARCH($A62,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ISNUMBER(SEARCH($A62, INDEX(AsistenciaJetAdminConcatenada!$D:$D, MATCH(1, (AsistenciaJetAdminConcatenada!$A:$A=GF$2)*(AsistenciaJetAdminConcatenada!$B:$B=GF$1), 0)), 1))),  0.5, 0))</f>
        <v>0</v>
      </c>
      <c r="GG62" s="47">
        <f t="array" ref="GG62">IF(AND(ISNUMBER(MATCH(GG$2, AsistenciaJetAdminConcatenada!$A:$A, 0)), ISNUMBER(MATCH(GG$1, AsistenciaJetAdminConcatenada!$B:$B, 0)), ISNUMBER(SEARCH($A62,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ISNUMBER(SEARCH($A62, INDEX(AsistenciaJetAdminConcatenada!$D:$D, MATCH(1, (AsistenciaJetAdminConcatenada!$A:$A=GG$2)*(AsistenciaJetAdminConcatenada!$B:$B=GG$1), 0)), 1))),  0.5, 0))</f>
        <v>0</v>
      </c>
      <c r="GH62" s="47">
        <f t="array" ref="GH62">IF(AND(ISNUMBER(MATCH(GH$2, AsistenciaJetAdminConcatenada!$A:$A, 0)), ISNUMBER(MATCH(GH$1, AsistenciaJetAdminConcatenada!$B:$B, 0)), ISNUMBER(SEARCH($A62,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ISNUMBER(SEARCH($A62, INDEX(AsistenciaJetAdminConcatenada!$D:$D, MATCH(1, (AsistenciaJetAdminConcatenada!$A:$A=GH$2)*(AsistenciaJetAdminConcatenada!$B:$B=GH$1), 0)), 1))),  0.5, 0))</f>
        <v>0</v>
      </c>
      <c r="GI62" s="47">
        <f t="array" ref="GI62">IF(AND(ISNUMBER(MATCH(GI$2, AsistenciaJetAdminConcatenada!$A:$A, 0)), ISNUMBER(MATCH(GI$1, AsistenciaJetAdminConcatenada!$B:$B, 0)), ISNUMBER(SEARCH($A62,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ISNUMBER(SEARCH($A62, INDEX(AsistenciaJetAdminConcatenada!$D:$D, MATCH(1, (AsistenciaJetAdminConcatenada!$A:$A=GI$2)*(AsistenciaJetAdminConcatenada!$B:$B=GI$1), 0)), 1))),  0.5, 0))</f>
        <v>0</v>
      </c>
      <c r="GJ62" s="47">
        <f t="array" ref="GJ62">IF(AND(ISNUMBER(MATCH(GJ$2, AsistenciaJetAdminConcatenada!$A:$A, 0)), ISNUMBER(MATCH(GJ$1, AsistenciaJetAdminConcatenada!$B:$B, 0)), ISNUMBER(SEARCH($A62,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ISNUMBER(SEARCH($A62, INDEX(AsistenciaJetAdminConcatenada!$D:$D, MATCH(1, (AsistenciaJetAdminConcatenada!$A:$A=GJ$2)*(AsistenciaJetAdminConcatenada!$B:$B=GJ$1), 0)), 1))),  0.5, 0))</f>
        <v>0</v>
      </c>
      <c r="GK62" s="47">
        <f t="array" ref="GK62">IF(AND(ISNUMBER(MATCH(GK$2, AsistenciaJetAdminConcatenada!$A:$A, 0)), ISNUMBER(MATCH(GK$1, AsistenciaJetAdminConcatenada!$B:$B, 0)), ISNUMBER(SEARCH($A62,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ISNUMBER(SEARCH($A62, INDEX(AsistenciaJetAdminConcatenada!$D:$D, MATCH(1, (AsistenciaJetAdminConcatenada!$A:$A=GK$2)*(AsistenciaJetAdminConcatenada!$B:$B=GK$1), 0)), 1))),  0.5, 0))</f>
        <v>0</v>
      </c>
      <c r="GL62" s="47">
        <f t="array" ref="GL62">IF(AND(ISNUMBER(MATCH(GL$2, AsistenciaJetAdminConcatenada!$A:$A, 0)), ISNUMBER(MATCH(GL$1, AsistenciaJetAdminConcatenada!$B:$B, 0)), ISNUMBER(SEARCH($A62,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ISNUMBER(SEARCH($A62, INDEX(AsistenciaJetAdminConcatenada!$D:$D, MATCH(1, (AsistenciaJetAdminConcatenada!$A:$A=GL$2)*(AsistenciaJetAdminConcatenada!$B:$B=GL$1), 0)), 1))),  0.5, 0))</f>
        <v>0</v>
      </c>
      <c r="GM62" s="47">
        <f t="array" ref="GM62">IF(AND(ISNUMBER(MATCH(GM$2, AsistenciaJetAdminConcatenada!$A:$A, 0)), ISNUMBER(MATCH(GM$1, AsistenciaJetAdminConcatenada!$B:$B, 0)), ISNUMBER(SEARCH($A62,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ISNUMBER(SEARCH($A62, INDEX(AsistenciaJetAdminConcatenada!$D:$D, MATCH(1, (AsistenciaJetAdminConcatenada!$A:$A=GM$2)*(AsistenciaJetAdminConcatenada!$B:$B=GM$1), 0)), 1))),  0.5, 0))</f>
        <v>0</v>
      </c>
      <c r="GN62" s="47">
        <f t="array" ref="GN62">IF(AND(ISNUMBER(MATCH(GN$2, AsistenciaJetAdminConcatenada!$A:$A, 0)), ISNUMBER(MATCH(GN$1, AsistenciaJetAdminConcatenada!$B:$B, 0)), ISNUMBER(SEARCH($A62,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ISNUMBER(SEARCH($A62, INDEX(AsistenciaJetAdminConcatenada!$D:$D, MATCH(1, (AsistenciaJetAdminConcatenada!$A:$A=GN$2)*(AsistenciaJetAdminConcatenada!$B:$B=GN$1), 0)), 1))),  0.5, 0))</f>
        <v>0</v>
      </c>
      <c r="GO62" s="47">
        <f t="array" ref="GO62">IF(AND(ISNUMBER(MATCH(GO$2, AsistenciaJetAdminConcatenada!$A:$A, 0)), ISNUMBER(MATCH(GO$1, AsistenciaJetAdminConcatenada!$B:$B, 0)), ISNUMBER(SEARCH($A62,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ISNUMBER(SEARCH($A62, INDEX(AsistenciaJetAdminConcatenada!$D:$D, MATCH(1, (AsistenciaJetAdminConcatenada!$A:$A=GO$2)*(AsistenciaJetAdminConcatenada!$B:$B=GO$1), 0)), 1))),  0.5, 0))</f>
        <v>0</v>
      </c>
      <c r="GP62" s="47">
        <f t="array" ref="GP62">IF(AND(ISNUMBER(MATCH(GP$2, AsistenciaJetAdminConcatenada!$A:$A, 0)), ISNUMBER(MATCH(GP$1, AsistenciaJetAdminConcatenada!$B:$B, 0)), ISNUMBER(SEARCH($A62,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ISNUMBER(SEARCH($A62, INDEX(AsistenciaJetAdminConcatenada!$D:$D, MATCH(1, (AsistenciaJetAdminConcatenada!$A:$A=GP$2)*(AsistenciaJetAdminConcatenada!$B:$B=GP$1), 0)), 1))),  0.5, 0))</f>
        <v>0</v>
      </c>
      <c r="GQ62" s="47">
        <f t="array" ref="GQ62">IF(AND(ISNUMBER(MATCH(GQ$2, AsistenciaJetAdminConcatenada!$A:$A, 0)), ISNUMBER(MATCH(GQ$1, AsistenciaJetAdminConcatenada!$B:$B, 0)), ISNUMBER(SEARCH($A62,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ISNUMBER(SEARCH($A62, INDEX(AsistenciaJetAdminConcatenada!$D:$D, MATCH(1, (AsistenciaJetAdminConcatenada!$A:$A=GQ$2)*(AsistenciaJetAdminConcatenada!$B:$B=GQ$1), 0)), 1))),  0.5, 0))</f>
        <v>0</v>
      </c>
      <c r="GR62" s="47">
        <f t="array" ref="GR62">IF(AND(ISNUMBER(MATCH(GR$2, AsistenciaJetAdminConcatenada!$A:$A, 0)), ISNUMBER(MATCH(GR$1, AsistenciaJetAdminConcatenada!$B:$B, 0)), ISNUMBER(SEARCH($A62,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ISNUMBER(SEARCH($A62, INDEX(AsistenciaJetAdminConcatenada!$D:$D, MATCH(1, (AsistenciaJetAdminConcatenada!$A:$A=GR$2)*(AsistenciaJetAdminConcatenada!$B:$B=GR$1), 0)), 1))),  0.5, 0))</f>
        <v>0</v>
      </c>
      <c r="GS62" s="47">
        <f t="array" ref="GS62">IF(AND(ISNUMBER(MATCH(GS$2, AsistenciaJetAdminConcatenada!$A:$A, 0)), ISNUMBER(MATCH(GS$1, AsistenciaJetAdminConcatenada!$B:$B, 0)), ISNUMBER(SEARCH($A62,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ISNUMBER(SEARCH($A62, INDEX(AsistenciaJetAdminConcatenada!$D:$D, MATCH(1, (AsistenciaJetAdminConcatenada!$A:$A=GS$2)*(AsistenciaJetAdminConcatenada!$B:$B=GS$1), 0)), 1))),  0.5, 0))</f>
        <v>0</v>
      </c>
      <c r="GT62" s="47">
        <f t="array" ref="GT62">IF(AND(ISNUMBER(MATCH(GT$2, AsistenciaJetAdminConcatenada!$A:$A, 0)), ISNUMBER(MATCH(GT$1, AsistenciaJetAdminConcatenada!$B:$B, 0)), ISNUMBER(SEARCH($A62,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ISNUMBER(SEARCH($A62, INDEX(AsistenciaJetAdminConcatenada!$D:$D, MATCH(1, (AsistenciaJetAdminConcatenada!$A:$A=GT$2)*(AsistenciaJetAdminConcatenada!$B:$B=GT$1), 0)), 1))),  0.5, 0))</f>
        <v>0</v>
      </c>
      <c r="GU62" s="47">
        <f t="array" ref="GU62">IF(AND(ISNUMBER(MATCH(GU$2, AsistenciaJetAdminConcatenada!$A:$A, 0)), ISNUMBER(MATCH(GU$1, AsistenciaJetAdminConcatenada!$B:$B, 0)), ISNUMBER(SEARCH($A62,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ISNUMBER(SEARCH($A62, INDEX(AsistenciaJetAdminConcatenada!$D:$D, MATCH(1, (AsistenciaJetAdminConcatenada!$A:$A=GU$2)*(AsistenciaJetAdminConcatenada!$B:$B=GU$1), 0)), 1))),  0.5, 0))</f>
        <v>0</v>
      </c>
      <c r="GV62" s="47">
        <f t="array" ref="GV62">IF(AND(ISNUMBER(MATCH(GV$2, AsistenciaJetAdminConcatenada!$A:$A, 0)), ISNUMBER(MATCH(GV$1, AsistenciaJetAdminConcatenada!$B:$B, 0)), ISNUMBER(SEARCH($A62,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ISNUMBER(SEARCH($A62, INDEX(AsistenciaJetAdminConcatenada!$D:$D, MATCH(1, (AsistenciaJetAdminConcatenada!$A:$A=GV$2)*(AsistenciaJetAdminConcatenada!$B:$B=GV$1), 0)), 1))),  0.5, 0))</f>
        <v>0</v>
      </c>
      <c r="GW62" s="47">
        <f t="array" ref="GW62">IF(AND(ISNUMBER(MATCH(GW$2, AsistenciaJetAdminConcatenada!$A:$A, 0)), ISNUMBER(MATCH(GW$1, AsistenciaJetAdminConcatenada!$B:$B, 0)), ISNUMBER(SEARCH($A62,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ISNUMBER(SEARCH($A62, INDEX(AsistenciaJetAdminConcatenada!$D:$D, MATCH(1, (AsistenciaJetAdminConcatenada!$A:$A=GW$2)*(AsistenciaJetAdminConcatenada!$B:$B=GW$1), 0)), 1))),  0.5, 0))</f>
        <v>0</v>
      </c>
      <c r="GX62" s="47">
        <f t="array" ref="GX62">IF(AND(ISNUMBER(MATCH(GX$2, AsistenciaJetAdminConcatenada!$A:$A, 0)), ISNUMBER(MATCH(GX$1, AsistenciaJetAdminConcatenada!$B:$B, 0)), ISNUMBER(SEARCH($A62,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ISNUMBER(SEARCH($A62, INDEX(AsistenciaJetAdminConcatenada!$D:$D, MATCH(1, (AsistenciaJetAdminConcatenada!$A:$A=GX$2)*(AsistenciaJetAdminConcatenada!$B:$B=GX$1), 0)), 1))),  0.5, 0))</f>
        <v>0</v>
      </c>
      <c r="GY62" s="47">
        <f t="array" ref="GY62">IF(AND(ISNUMBER(MATCH(GY$2, AsistenciaJetAdminConcatenada!$A:$A, 0)), ISNUMBER(MATCH(GY$1, AsistenciaJetAdminConcatenada!$B:$B, 0)), ISNUMBER(SEARCH($A62,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ISNUMBER(SEARCH($A62, INDEX(AsistenciaJetAdminConcatenada!$D:$D, MATCH(1, (AsistenciaJetAdminConcatenada!$A:$A=GY$2)*(AsistenciaJetAdminConcatenada!$B:$B=GY$1), 0)), 1))),  0.5, 0))</f>
        <v>0</v>
      </c>
      <c r="GZ62" s="47">
        <f t="array" ref="GZ62">IF(AND(ISNUMBER(MATCH(GZ$2, AsistenciaJetAdminConcatenada!$A:$A, 0)), ISNUMBER(MATCH(GZ$1, AsistenciaJetAdminConcatenada!$B:$B, 0)), ISNUMBER(SEARCH($A62,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ISNUMBER(SEARCH($A62, INDEX(AsistenciaJetAdminConcatenada!$D:$D, MATCH(1, (AsistenciaJetAdminConcatenada!$A:$A=GZ$2)*(AsistenciaJetAdminConcatenada!$B:$B=GZ$1), 0)), 1))),  0.5, 0))</f>
        <v>0</v>
      </c>
      <c r="HA62" s="47">
        <f t="array" ref="HA62">IF(AND(ISNUMBER(MATCH(HA$2, AsistenciaJetAdminConcatenada!$A:$A, 0)), ISNUMBER(MATCH(HA$1, AsistenciaJetAdminConcatenada!$B:$B, 0)), ISNUMBER(SEARCH($A62,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ISNUMBER(SEARCH($A62, INDEX(AsistenciaJetAdminConcatenada!$D:$D, MATCH(1, (AsistenciaJetAdminConcatenada!$A:$A=HA$2)*(AsistenciaJetAdminConcatenada!$B:$B=HA$1), 0)), 1))),  0.5, 0))</f>
        <v>0</v>
      </c>
      <c r="HB62" s="47">
        <f t="array" ref="HB62">IF(AND(ISNUMBER(MATCH(HB$2, AsistenciaJetAdminConcatenada!$A:$A, 0)), ISNUMBER(MATCH(HB$1, AsistenciaJetAdminConcatenada!$B:$B, 0)), ISNUMBER(SEARCH($A62,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ISNUMBER(SEARCH($A62, INDEX(AsistenciaJetAdminConcatenada!$D:$D, MATCH(1, (AsistenciaJetAdminConcatenada!$A:$A=HB$2)*(AsistenciaJetAdminConcatenada!$B:$B=HB$1), 0)), 1))),  0.5, 0))</f>
        <v>0</v>
      </c>
      <c r="HC62" s="47">
        <f t="array" ref="HC62">IF(AND(ISNUMBER(MATCH(HC$2, AsistenciaJetAdminConcatenada!$A:$A, 0)), ISNUMBER(MATCH(HC$1, AsistenciaJetAdminConcatenada!$B:$B, 0)), ISNUMBER(SEARCH($A62,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ISNUMBER(SEARCH($A62, INDEX(AsistenciaJetAdminConcatenada!$D:$D, MATCH(1, (AsistenciaJetAdminConcatenada!$A:$A=HC$2)*(AsistenciaJetAdminConcatenada!$B:$B=HC$1), 0)), 1))),  0.5, 0))</f>
        <v>0</v>
      </c>
    </row>
    <row r="63" ht="29.25" customHeight="1">
      <c r="A63" s="3">
        <v>132.0</v>
      </c>
      <c r="B63" s="4" t="s">
        <v>480</v>
      </c>
      <c r="C63" s="47">
        <f>SUM(D63:HC63) + ActividadesEspeciales!C63</f>
        <v>69</v>
      </c>
      <c r="D63" s="47">
        <f t="array" ref="D63">IF(AND(ISNUMBER(MATCH(D$2, AsistenciaJetAdminConcatenada!$A:$A, 0)), ISNUMBER(MATCH(D$1, AsistenciaJetAdminConcatenada!$B:$B, 0)), ISNUMBER(SEARCH($A63,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ISNUMBER(SEARCH($A63, INDEX(AsistenciaJetAdminConcatenada!$D:$D, MATCH(1, (AsistenciaJetAdminConcatenada!$A:$A=D$2)*(AsistenciaJetAdminConcatenada!$B:$B=D$1), 0)), 1))),  0.5, 0))</f>
        <v>0</v>
      </c>
      <c r="E63" s="47">
        <f t="array" ref="E63">IF(AND(ISNUMBER(MATCH(E$2, AsistenciaJetAdminConcatenada!$A:$A, 0)), ISNUMBER(MATCH(E$1, AsistenciaJetAdminConcatenada!$B:$B, 0)), ISNUMBER(SEARCH($A63,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ISNUMBER(SEARCH($A63, INDEX(AsistenciaJetAdminConcatenada!$D:$D, MATCH(1, (AsistenciaJetAdminConcatenada!$A:$A=E$2)*(AsistenciaJetAdminConcatenada!$B:$B=E$1), 0)), 1))),  0.5, 0))</f>
        <v>1</v>
      </c>
      <c r="F63" s="47">
        <f t="array" ref="F63">IF(AND(ISNUMBER(MATCH(F$2, AsistenciaJetAdminConcatenada!$A:$A, 0)), ISNUMBER(MATCH(F$1, AsistenciaJetAdminConcatenada!$B:$B, 0)), ISNUMBER(SEARCH($A63,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ISNUMBER(SEARCH($A63, INDEX(AsistenciaJetAdminConcatenada!$D:$D, MATCH(1, (AsistenciaJetAdminConcatenada!$A:$A=F$2)*(AsistenciaJetAdminConcatenada!$B:$B=F$1), 0)), 1))),  0.5, 0))</f>
        <v>0</v>
      </c>
      <c r="G63" s="47">
        <f t="array" ref="G63">IF(AND(ISNUMBER(MATCH(G$2, AsistenciaJetAdminConcatenada!$A:$A, 0)), ISNUMBER(MATCH(G$1, AsistenciaJetAdminConcatenada!$B:$B, 0)), ISNUMBER(SEARCH($A63,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ISNUMBER(SEARCH($A63, INDEX(AsistenciaJetAdminConcatenada!$D:$D, MATCH(1, (AsistenciaJetAdminConcatenada!$A:$A=G$2)*(AsistenciaJetAdminConcatenada!$B:$B=G$1), 0)), 1))),  0.5, 0))</f>
        <v>1</v>
      </c>
      <c r="H63" s="47">
        <f t="array" ref="H63">IF(AND(ISNUMBER(MATCH(H$2, AsistenciaJetAdminConcatenada!$A:$A, 0)), ISNUMBER(MATCH(H$1, AsistenciaJetAdminConcatenada!$B:$B, 0)), ISNUMBER(SEARCH($A63,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ISNUMBER(SEARCH($A63, INDEX(AsistenciaJetAdminConcatenada!$D:$D, MATCH(1, (AsistenciaJetAdminConcatenada!$A:$A=H$2)*(AsistenciaJetAdminConcatenada!$B:$B=H$1), 0)), 1))),  0.5, 0))</f>
        <v>1</v>
      </c>
      <c r="I63" s="47">
        <f t="array" ref="I63">IF(AND(ISNUMBER(MATCH(I$2, AsistenciaJetAdminConcatenada!$A:$A, 0)), ISNUMBER(MATCH(I$1, AsistenciaJetAdminConcatenada!$B:$B, 0)), ISNUMBER(SEARCH($A63,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ISNUMBER(SEARCH($A63, INDEX(AsistenciaJetAdminConcatenada!$D:$D, MATCH(1, (AsistenciaJetAdminConcatenada!$A:$A=I$2)*(AsistenciaJetAdminConcatenada!$B:$B=I$1), 0)), 1))),  0.5, 0))</f>
        <v>1</v>
      </c>
      <c r="J63" s="47">
        <f t="array" ref="J63">IF(AND(ISNUMBER(MATCH(J$2, AsistenciaJetAdminConcatenada!$A:$A, 0)), ISNUMBER(MATCH(J$1, AsistenciaJetAdminConcatenada!$B:$B, 0)), ISNUMBER(SEARCH($A63,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ISNUMBER(SEARCH($A63, INDEX(AsistenciaJetAdminConcatenada!$D:$D, MATCH(1, (AsistenciaJetAdminConcatenada!$A:$A=J$2)*(AsistenciaJetAdminConcatenada!$B:$B=J$1), 0)), 1))),  0.5, 0))</f>
        <v>1</v>
      </c>
      <c r="K63" s="47">
        <f t="array" ref="K63">IF(AND(ISNUMBER(MATCH(K$2, AsistenciaJetAdminConcatenada!$A:$A, 0)), ISNUMBER(MATCH(K$1, AsistenciaJetAdminConcatenada!$B:$B, 0)), ISNUMBER(SEARCH($A63,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ISNUMBER(SEARCH($A63, INDEX(AsistenciaJetAdminConcatenada!$D:$D, MATCH(1, (AsistenciaJetAdminConcatenada!$A:$A=K$2)*(AsistenciaJetAdminConcatenada!$B:$B=K$1), 0)), 1))),  0.5, 0))</f>
        <v>1</v>
      </c>
      <c r="L63" s="47">
        <f t="array" ref="L63">IF(AND(ISNUMBER(MATCH(L$2, AsistenciaJetAdminConcatenada!$A:$A, 0)), ISNUMBER(MATCH(L$1, AsistenciaJetAdminConcatenada!$B:$B, 0)), ISNUMBER(SEARCH($A63,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ISNUMBER(SEARCH($A63, INDEX(AsistenciaJetAdminConcatenada!$D:$D, MATCH(1, (AsistenciaJetAdminConcatenada!$A:$A=L$2)*(AsistenciaJetAdminConcatenada!$B:$B=L$1), 0)), 1))),  0.5, 0))</f>
        <v>1</v>
      </c>
      <c r="M63" s="47">
        <f t="array" ref="M63">IF(AND(ISNUMBER(MATCH(M$2, AsistenciaJetAdminConcatenada!$A:$A, 0)), ISNUMBER(MATCH(M$1, AsistenciaJetAdminConcatenada!$B:$B, 0)), ISNUMBER(SEARCH($A63,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ISNUMBER(SEARCH($A63, INDEX(AsistenciaJetAdminConcatenada!$D:$D, MATCH(1, (AsistenciaJetAdminConcatenada!$A:$A=M$2)*(AsistenciaJetAdminConcatenada!$B:$B=M$1), 0)), 1))),  0.5, 0))</f>
        <v>1</v>
      </c>
      <c r="N63" s="47">
        <f t="array" ref="N63">IF(AND(ISNUMBER(MATCH(N$2, AsistenciaJetAdminConcatenada!$A:$A, 0)), ISNUMBER(MATCH(N$1, AsistenciaJetAdminConcatenada!$B:$B, 0)), ISNUMBER(SEARCH($A63,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ISNUMBER(SEARCH($A63, INDEX(AsistenciaJetAdminConcatenada!$D:$D, MATCH(1, (AsistenciaJetAdminConcatenada!$A:$A=N$2)*(AsistenciaJetAdminConcatenada!$B:$B=N$1), 0)), 1))),  0.5, 0))</f>
        <v>1</v>
      </c>
      <c r="O63" s="47">
        <f t="array" ref="O63">IF(AND(ISNUMBER(MATCH(O$2, AsistenciaJetAdminConcatenada!$A:$A, 0)), ISNUMBER(MATCH(O$1, AsistenciaJetAdminConcatenada!$B:$B, 0)), ISNUMBER(SEARCH($A63,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ISNUMBER(SEARCH($A63, INDEX(AsistenciaJetAdminConcatenada!$D:$D, MATCH(1, (AsistenciaJetAdminConcatenada!$A:$A=O$2)*(AsistenciaJetAdminConcatenada!$B:$B=O$1), 0)), 1))),  0.5, 0))</f>
        <v>0</v>
      </c>
      <c r="P63" s="47">
        <f t="array" ref="P63">IF(AND(ISNUMBER(MATCH(P$2, AsistenciaJetAdminConcatenada!$A:$A, 0)), ISNUMBER(MATCH(P$1, AsistenciaJetAdminConcatenada!$B:$B, 0)), ISNUMBER(SEARCH($A63, INDEX(AsistenciaJetAdminConcatenada!$C:$C, MATCH(1, (AsistenciaJetAdminConcatenada!$A:$A=P$2)*(AsistenciaJetAdminConcatenada!$B:$B=P$1), 0)), 1))), 1, IF(AND(ISNUMBER(MATCH(P$2, AsistenciaJetAdminConcatenada!$A:$A, 0)), ISNUMBER(MATCH(P$1, AsistenciaJetAdminConcatenada!$B:$B, 0)), ISNUMBER(SEARCH($A63, INDEX(AsistenciaJetAdminConcatenada!$D:$D, MATCH(1, (AsistenciaJetAdminConcatenada!$A:$A=P$2)*(AsistenciaJetAdminConcatenada!$B:$B=P$1), 0)), 1))),  0.5, 0))</f>
        <v>1</v>
      </c>
      <c r="Q63" s="47">
        <f t="array" ref="Q63">IF(AND(ISNUMBER(MATCH(Q$2, AsistenciaJetAdminConcatenada!$A:$A, 0)), ISNUMBER(MATCH(Q$1, AsistenciaJetAdminConcatenada!$B:$B, 0)), ISNUMBER(SEARCH($A63, INDEX(AsistenciaJetAdminConcatenada!$C:$C, MATCH(1, (AsistenciaJetAdminConcatenada!$A:$A=Q$2)*(AsistenciaJetAdminConcatenada!$B:$B=Q$1), 0)), 1))), 1, IF(AND(ISNUMBER(MATCH(Q$2, AsistenciaJetAdminConcatenada!$A:$A, 0)), ISNUMBER(MATCH(Q$1, AsistenciaJetAdminConcatenada!$B:$B, 0)), ISNUMBER(SEARCH($A63, INDEX(AsistenciaJetAdminConcatenada!$D:$D, MATCH(1, (AsistenciaJetAdminConcatenada!$A:$A=Q$2)*(AsistenciaJetAdminConcatenada!$B:$B=Q$1), 0)), 1))),  0.5, 0))</f>
        <v>1</v>
      </c>
      <c r="R63" s="47">
        <f t="array" ref="R63">IF(AND(ISNUMBER(MATCH(R$2, AsistenciaJetAdminConcatenada!$A:$A, 0)), ISNUMBER(MATCH(R$1, AsistenciaJetAdminConcatenada!$B:$B, 0)), ISNUMBER(SEARCH($A63,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ISNUMBER(SEARCH($A63, INDEX(AsistenciaJetAdminConcatenada!$D:$D, MATCH(1, (AsistenciaJetAdminConcatenada!$A:$A=R$2)*(AsistenciaJetAdminConcatenada!$B:$B=R$1), 0)), 1))),  0.5, 0))</f>
        <v>1</v>
      </c>
      <c r="S63" s="47">
        <f t="array" ref="S63">IF(AND(ISNUMBER(MATCH(S$2, AsistenciaJetAdminConcatenada!$A:$A, 0)), ISNUMBER(MATCH(S$1, AsistenciaJetAdminConcatenada!$B:$B, 0)), ISNUMBER(SEARCH($A63,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ISNUMBER(SEARCH($A63, INDEX(AsistenciaJetAdminConcatenada!$D:$D, MATCH(1, (AsistenciaJetAdminConcatenada!$A:$A=S$2)*(AsistenciaJetAdminConcatenada!$B:$B=S$1), 0)), 1))),  0.5, 0))</f>
        <v>1</v>
      </c>
      <c r="T63" s="47">
        <f t="array" ref="T63">IF(AND(ISNUMBER(MATCH(T$2, AsistenciaJetAdminConcatenada!$A:$A, 0)), ISNUMBER(MATCH(T$1, AsistenciaJetAdminConcatenada!$B:$B, 0)), ISNUMBER(SEARCH($A63,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ISNUMBER(SEARCH($A63, INDEX(AsistenciaJetAdminConcatenada!$D:$D, MATCH(1, (AsistenciaJetAdminConcatenada!$A:$A=T$2)*(AsistenciaJetAdminConcatenada!$B:$B=T$1), 0)), 1))),  0.5, 0))</f>
        <v>0</v>
      </c>
      <c r="U63" s="47">
        <f t="array" ref="U63">IF(AND(ISNUMBER(MATCH(U$2, AsistenciaJetAdminConcatenada!$A:$A, 0)), ISNUMBER(MATCH(U$1, AsistenciaJetAdminConcatenada!$B:$B, 0)), ISNUMBER(SEARCH($A63,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ISNUMBER(SEARCH($A63, INDEX(AsistenciaJetAdminConcatenada!$D:$D, MATCH(1, (AsistenciaJetAdminConcatenada!$A:$A=U$2)*(AsistenciaJetAdminConcatenada!$B:$B=U$1), 0)), 1))),  0.5, 0))</f>
        <v>1</v>
      </c>
      <c r="V63" s="47">
        <f t="array" ref="V63">IF(AND(ISNUMBER(MATCH(V$2, AsistenciaJetAdminConcatenada!$A:$A, 0)), ISNUMBER(MATCH(V$1, AsistenciaJetAdminConcatenada!$B:$B, 0)), ISNUMBER(SEARCH($A63,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ISNUMBER(SEARCH($A63, INDEX(AsistenciaJetAdminConcatenada!$D:$D, MATCH(1, (AsistenciaJetAdminConcatenada!$A:$A=V$2)*(AsistenciaJetAdminConcatenada!$B:$B=V$1), 0)), 1))),  0.5, 0))</f>
        <v>1</v>
      </c>
      <c r="W63" s="47">
        <f t="array" ref="W63">IF(AND(ISNUMBER(MATCH(W$2, AsistenciaJetAdminConcatenada!$A:$A, 0)), ISNUMBER(MATCH(W$1, AsistenciaJetAdminConcatenada!$B:$B, 0)), ISNUMBER(SEARCH($A63,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ISNUMBER(SEARCH($A63, INDEX(AsistenciaJetAdminConcatenada!$D:$D, MATCH(1, (AsistenciaJetAdminConcatenada!$A:$A=W$2)*(AsistenciaJetAdminConcatenada!$B:$B=W$1), 0)), 1))),  0.5, 0))</f>
        <v>1</v>
      </c>
      <c r="X63" s="47">
        <f t="array" ref="X63">IF(AND(ISNUMBER(MATCH(X$2, AsistenciaJetAdminConcatenada!$A:$A, 0)), ISNUMBER(MATCH(X$1, AsistenciaJetAdminConcatenada!$B:$B, 0)), ISNUMBER(SEARCH($A63,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ISNUMBER(SEARCH($A63, INDEX(AsistenciaJetAdminConcatenada!$D:$D, MATCH(1, (AsistenciaJetAdminConcatenada!$A:$A=X$2)*(AsistenciaJetAdminConcatenada!$B:$B=X$1), 0)), 1))),  0.5, 0))</f>
        <v>1</v>
      </c>
      <c r="Y63" s="47">
        <f t="array" ref="Y63">IF(AND(ISNUMBER(MATCH(Y$2, AsistenciaJetAdminConcatenada!$A:$A, 0)), ISNUMBER(MATCH(Y$1, AsistenciaJetAdminConcatenada!$B:$B, 0)), ISNUMBER(SEARCH($A63,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ISNUMBER(SEARCH($A63, INDEX(AsistenciaJetAdminConcatenada!$D:$D, MATCH(1, (AsistenciaJetAdminConcatenada!$A:$A=Y$2)*(AsistenciaJetAdminConcatenada!$B:$B=Y$1), 0)), 1))),  0.5, 0))</f>
        <v>1</v>
      </c>
      <c r="Z63" s="47">
        <f t="array" ref="Z63">IF(AND(ISNUMBER(MATCH(Z$2, AsistenciaJetAdminConcatenada!$A:$A, 0)), ISNUMBER(MATCH(Z$1, AsistenciaJetAdminConcatenada!$B:$B, 0)), ISNUMBER(SEARCH($A63,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ISNUMBER(SEARCH($A63, INDEX(AsistenciaJetAdminConcatenada!$D:$D, MATCH(1, (AsistenciaJetAdminConcatenada!$A:$A=Z$2)*(AsistenciaJetAdminConcatenada!$B:$B=Z$1), 0)), 1))),  0.5, 0))</f>
        <v>1</v>
      </c>
      <c r="AA63" s="47">
        <f t="array" ref="AA63">IF(AND(ISNUMBER(MATCH(AA$2, AsistenciaJetAdminConcatenada!$A:$A, 0)), ISNUMBER(MATCH(AA$1, AsistenciaJetAdminConcatenada!$B:$B, 0)), ISNUMBER(SEARCH($A63,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ISNUMBER(SEARCH($A63, INDEX(AsistenciaJetAdminConcatenada!$D:$D, MATCH(1, (AsistenciaJetAdminConcatenada!$A:$A=AA$2)*(AsistenciaJetAdminConcatenada!$B:$B=AA$1), 0)), 1))),  0.5, 0))</f>
        <v>1</v>
      </c>
      <c r="AB63" s="47">
        <f t="array" ref="AB63">IF(AND(ISNUMBER(MATCH(AB$2, AsistenciaJetAdminConcatenada!$A:$A, 0)), ISNUMBER(MATCH(AB$1, AsistenciaJetAdminConcatenada!$B:$B, 0)), ISNUMBER(SEARCH($A63,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ISNUMBER(SEARCH($A63, INDEX(AsistenciaJetAdminConcatenada!$D:$D, MATCH(1, (AsistenciaJetAdminConcatenada!$A:$A=AB$2)*(AsistenciaJetAdminConcatenada!$B:$B=AB$1), 0)), 1))),  0.5, 0))</f>
        <v>1</v>
      </c>
      <c r="AC63" s="47">
        <f t="array" ref="AC63">IF(AND(ISNUMBER(MATCH(AC$2, AsistenciaJetAdminConcatenada!$A:$A, 0)), ISNUMBER(MATCH(AC$1, AsistenciaJetAdminConcatenada!$B:$B, 0)), ISNUMBER(SEARCH($A63,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ISNUMBER(SEARCH($A63, INDEX(AsistenciaJetAdminConcatenada!$D:$D, MATCH(1, (AsistenciaJetAdminConcatenada!$A:$A=AC$2)*(AsistenciaJetAdminConcatenada!$B:$B=AC$1), 0)), 1))),  0.5, 0))</f>
        <v>1</v>
      </c>
      <c r="AD63" s="47">
        <f t="array" ref="AD63">IF(AND(ISNUMBER(MATCH(AD$2, AsistenciaJetAdminConcatenada!$A:$A, 0)), ISNUMBER(MATCH(AD$1, AsistenciaJetAdminConcatenada!$B:$B, 0)), ISNUMBER(SEARCH($A63,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ISNUMBER(SEARCH($A63, INDEX(AsistenciaJetAdminConcatenada!$D:$D, MATCH(1, (AsistenciaJetAdminConcatenada!$A:$A=AD$2)*(AsistenciaJetAdminConcatenada!$B:$B=AD$1), 0)), 1))),  0.5, 0))</f>
        <v>1</v>
      </c>
      <c r="AE63" s="47">
        <f t="array" ref="AE63">IF(AND(ISNUMBER(MATCH(AE$2, AsistenciaJetAdminConcatenada!$A:$A, 0)), ISNUMBER(MATCH(AE$1, AsistenciaJetAdminConcatenada!$B:$B, 0)), ISNUMBER(SEARCH($A63,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ISNUMBER(SEARCH($A63, INDEX(AsistenciaJetAdminConcatenada!$D:$D, MATCH(1, (AsistenciaJetAdminConcatenada!$A:$A=AE$2)*(AsistenciaJetAdminConcatenada!$B:$B=AE$1), 0)), 1))),  0.5, 0))</f>
        <v>1</v>
      </c>
      <c r="AF63" s="47">
        <f t="array" ref="AF63">IF(AND(ISNUMBER(MATCH(AF$2, AsistenciaJetAdminConcatenada!$A:$A, 0)), ISNUMBER(MATCH(AF$1, AsistenciaJetAdminConcatenada!$B:$B, 0)), ISNUMBER(SEARCH($A63,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ISNUMBER(SEARCH($A63, INDEX(AsistenciaJetAdminConcatenada!$D:$D, MATCH(1, (AsistenciaJetAdminConcatenada!$A:$A=AF$2)*(AsistenciaJetAdminConcatenada!$B:$B=AF$1), 0)), 1))),  0.5, 0))</f>
        <v>1</v>
      </c>
      <c r="AG63" s="47">
        <f t="array" ref="AG63">IF(AND(ISNUMBER(MATCH(AG$2, AsistenciaJetAdminConcatenada!$A:$A, 0)), ISNUMBER(MATCH(AG$1, AsistenciaJetAdminConcatenada!$B:$B, 0)), ISNUMBER(SEARCH($A63,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ISNUMBER(SEARCH($A63, INDEX(AsistenciaJetAdminConcatenada!$D:$D, MATCH(1, (AsistenciaJetAdminConcatenada!$A:$A=AG$2)*(AsistenciaJetAdminConcatenada!$B:$B=AG$1), 0)), 1))),  0.5, 0))</f>
        <v>1</v>
      </c>
      <c r="AH63" s="47">
        <f t="array" ref="AH63">IF(AND(ISNUMBER(MATCH(AH$2, AsistenciaJetAdminConcatenada!$A:$A, 0)), ISNUMBER(MATCH(AH$1, AsistenciaJetAdminConcatenada!$B:$B, 0)), ISNUMBER(SEARCH($A63,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ISNUMBER(SEARCH($A63, INDEX(AsistenciaJetAdminConcatenada!$D:$D, MATCH(1, (AsistenciaJetAdminConcatenada!$A:$A=AH$2)*(AsistenciaJetAdminConcatenada!$B:$B=AH$1), 0)), 1))),  0.5, 0))</f>
        <v>0</v>
      </c>
      <c r="AI63" s="47">
        <f t="array" ref="AI63">IF(AND(ISNUMBER(MATCH(AI$2, AsistenciaJetAdminConcatenada!$A:$A, 0)), ISNUMBER(MATCH(AI$1, AsistenciaJetAdminConcatenada!$B:$B, 0)), ISNUMBER(SEARCH($A63,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ISNUMBER(SEARCH($A63, INDEX(AsistenciaJetAdminConcatenada!$D:$D, MATCH(1, (AsistenciaJetAdminConcatenada!$A:$A=AI$2)*(AsistenciaJetAdminConcatenada!$B:$B=AI$1), 0)), 1))),  0.5, 0))</f>
        <v>0</v>
      </c>
      <c r="AJ63" s="47">
        <f t="array" ref="AJ63">IF(AND(ISNUMBER(MATCH(AJ$2, AsistenciaJetAdminConcatenada!$A:$A, 0)), ISNUMBER(MATCH(AJ$1, AsistenciaJetAdminConcatenada!$B:$B, 0)), ISNUMBER(SEARCH($A63,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ISNUMBER(SEARCH($A63, INDEX(AsistenciaJetAdminConcatenada!$D:$D, MATCH(1, (AsistenciaJetAdminConcatenada!$A:$A=AJ$2)*(AsistenciaJetAdminConcatenada!$B:$B=AJ$1), 0)), 1))),  0.5, 0))</f>
        <v>1</v>
      </c>
      <c r="AK63" s="47">
        <f t="array" ref="AK63">IF(AND(ISNUMBER(MATCH(AK$2, AsistenciaJetAdminConcatenada!$A:$A, 0)), ISNUMBER(MATCH(AK$1, AsistenciaJetAdminConcatenada!$B:$B, 0)), ISNUMBER(SEARCH($A63,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ISNUMBER(SEARCH($A63, INDEX(AsistenciaJetAdminConcatenada!$D:$D, MATCH(1, (AsistenciaJetAdminConcatenada!$A:$A=AK$2)*(AsistenciaJetAdminConcatenada!$B:$B=AK$1), 0)), 1))),  0.5, 0))</f>
        <v>0</v>
      </c>
      <c r="AL63" s="47">
        <f t="array" ref="AL63">IF(AND(ISNUMBER(MATCH(AL$2, AsistenciaJetAdminConcatenada!$A:$A, 0)), ISNUMBER(MATCH(AL$1, AsistenciaJetAdminConcatenada!$B:$B, 0)), ISNUMBER(SEARCH($A63,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ISNUMBER(SEARCH($A63, INDEX(AsistenciaJetAdminConcatenada!$D:$D, MATCH(1, (AsistenciaJetAdminConcatenada!$A:$A=AL$2)*(AsistenciaJetAdminConcatenada!$B:$B=AL$1), 0)), 1))),  0.5, 0))</f>
        <v>0</v>
      </c>
      <c r="AM63" s="47">
        <f t="array" ref="AM63">IF(AND(ISNUMBER(MATCH(AM$2, AsistenciaJetAdminConcatenada!$A:$A, 0)), ISNUMBER(MATCH(AM$1, AsistenciaJetAdminConcatenada!$B:$B, 0)), ISNUMBER(SEARCH($A63,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ISNUMBER(SEARCH($A63, INDEX(AsistenciaJetAdminConcatenada!$D:$D, MATCH(1, (AsistenciaJetAdminConcatenada!$A:$A=AM$2)*(AsistenciaJetAdminConcatenada!$B:$B=AM$1), 0)), 1))),  0.5, 0))</f>
        <v>0</v>
      </c>
      <c r="AN63" s="47">
        <f t="array" ref="AN63">IF(AND(ISNUMBER(MATCH(AN$2, AsistenciaJetAdminConcatenada!$A:$A, 0)), ISNUMBER(MATCH(AN$1, AsistenciaJetAdminConcatenada!$B:$B, 0)), ISNUMBER(SEARCH($A63,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ISNUMBER(SEARCH($A63, INDEX(AsistenciaJetAdminConcatenada!$D:$D, MATCH(1, (AsistenciaJetAdminConcatenada!$A:$A=AN$2)*(AsistenciaJetAdminConcatenada!$B:$B=AN$1), 0)), 1))),  0.5, 0))</f>
        <v>0</v>
      </c>
      <c r="AO63" s="47">
        <f t="array" ref="AO63">IF(AND(ISNUMBER(MATCH(AO$2, AsistenciaJetAdminConcatenada!$A:$A, 0)), ISNUMBER(MATCH(AO$1, AsistenciaJetAdminConcatenada!$B:$B, 0)), ISNUMBER(SEARCH($A63,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ISNUMBER(SEARCH($A63, INDEX(AsistenciaJetAdminConcatenada!$D:$D, MATCH(1, (AsistenciaJetAdminConcatenada!$A:$A=AO$2)*(AsistenciaJetAdminConcatenada!$B:$B=AO$1), 0)), 1))),  0.5, 0))</f>
        <v>0</v>
      </c>
      <c r="AP63" s="47">
        <f t="array" ref="AP63">IF(AND(ISNUMBER(MATCH(AP$2, AsistenciaJetAdminConcatenada!$A:$A, 0)), ISNUMBER(MATCH(AP$1, AsistenciaJetAdminConcatenada!$B:$B, 0)), ISNUMBER(SEARCH($A63,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ISNUMBER(SEARCH($A63, INDEX(AsistenciaJetAdminConcatenada!$D:$D, MATCH(1, (AsistenciaJetAdminConcatenada!$A:$A=AP$2)*(AsistenciaJetAdminConcatenada!$B:$B=AP$1), 0)), 1))),  0.5, 0))</f>
        <v>0</v>
      </c>
      <c r="AQ63" s="47">
        <f t="array" ref="AQ63">IF(AND(ISNUMBER(MATCH(AQ$2, AsistenciaJetAdminConcatenada!$A:$A, 0)), ISNUMBER(MATCH(AQ$1, AsistenciaJetAdminConcatenada!$B:$B, 0)), ISNUMBER(SEARCH($A63,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ISNUMBER(SEARCH($A63, INDEX(AsistenciaJetAdminConcatenada!$D:$D, MATCH(1, (AsistenciaJetAdminConcatenada!$A:$A=AQ$2)*(AsistenciaJetAdminConcatenada!$B:$B=AQ$1), 0)), 1))),  0.5, 0))</f>
        <v>0</v>
      </c>
      <c r="AR63" s="47">
        <f t="array" ref="AR63">IF(AND(ISNUMBER(MATCH(AR$2, AsistenciaJetAdminConcatenada!$A:$A, 0)), ISNUMBER(MATCH(AR$1, AsistenciaJetAdminConcatenada!$B:$B, 0)), ISNUMBER(SEARCH($A63,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ISNUMBER(SEARCH($A63, INDEX(AsistenciaJetAdminConcatenada!$D:$D, MATCH(1, (AsistenciaJetAdminConcatenada!$A:$A=AR$2)*(AsistenciaJetAdminConcatenada!$B:$B=AR$1), 0)), 1))),  0.5, 0))</f>
        <v>1</v>
      </c>
      <c r="AS63" s="47">
        <f t="array" ref="AS63">IF(AND(ISNUMBER(MATCH(AS$2, AsistenciaJetAdminConcatenada!$A:$A, 0)), ISNUMBER(MATCH(AS$1, AsistenciaJetAdminConcatenada!$B:$B, 0)), ISNUMBER(SEARCH($A63,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ISNUMBER(SEARCH($A63, INDEX(AsistenciaJetAdminConcatenada!$D:$D, MATCH(1, (AsistenciaJetAdminConcatenada!$A:$A=AS$2)*(AsistenciaJetAdminConcatenada!$B:$B=AS$1), 0)), 1))),  0.5, 0))</f>
        <v>1</v>
      </c>
      <c r="AT63" s="47">
        <f t="array" ref="AT63">IF(AND(ISNUMBER(MATCH(AT$2, AsistenciaJetAdminConcatenada!$A:$A, 0)), ISNUMBER(MATCH(AT$1, AsistenciaJetAdminConcatenada!$B:$B, 0)), ISNUMBER(SEARCH($A63,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ISNUMBER(SEARCH($A63, INDEX(AsistenciaJetAdminConcatenada!$D:$D, MATCH(1, (AsistenciaJetAdminConcatenada!$A:$A=AT$2)*(AsistenciaJetAdminConcatenada!$B:$B=AT$1), 0)), 1))),  0.5, 0))</f>
        <v>1</v>
      </c>
      <c r="AU63" s="47">
        <f t="array" ref="AU63">IF(AND(ISNUMBER(MATCH(AU$2, AsistenciaJetAdminConcatenada!$A:$A, 0)), ISNUMBER(MATCH(AU$1, AsistenciaJetAdminConcatenada!$B:$B, 0)), ISNUMBER(SEARCH($A63,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ISNUMBER(SEARCH($A63, INDEX(AsistenciaJetAdminConcatenada!$D:$D, MATCH(1, (AsistenciaJetAdminConcatenada!$A:$A=AU$2)*(AsistenciaJetAdminConcatenada!$B:$B=AU$1), 0)), 1))),  0.5, 0))</f>
        <v>0</v>
      </c>
      <c r="AV63" s="47">
        <f t="array" ref="AV63">IF(AND(ISNUMBER(MATCH(AV$2, AsistenciaJetAdminConcatenada!$A:$A, 0)), ISNUMBER(MATCH(AV$1, AsistenciaJetAdminConcatenada!$B:$B, 0)), ISNUMBER(SEARCH($A63,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ISNUMBER(SEARCH($A63, INDEX(AsistenciaJetAdminConcatenada!$D:$D, MATCH(1, (AsistenciaJetAdminConcatenada!$A:$A=AV$2)*(AsistenciaJetAdminConcatenada!$B:$B=AV$1), 0)), 1))),  0.5, 0))</f>
        <v>1</v>
      </c>
      <c r="AW63" s="47">
        <f t="array" ref="AW63">IF(AND(ISNUMBER(MATCH(AW$2, AsistenciaJetAdminConcatenada!$A:$A, 0)), ISNUMBER(MATCH(AW$1, AsistenciaJetAdminConcatenada!$B:$B, 0)), ISNUMBER(SEARCH($A63,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ISNUMBER(SEARCH($A63, INDEX(AsistenciaJetAdminConcatenada!$D:$D, MATCH(1, (AsistenciaJetAdminConcatenada!$A:$A=AW$2)*(AsistenciaJetAdminConcatenada!$B:$B=AW$1), 0)), 1))),  0.5, 0))</f>
        <v>1</v>
      </c>
      <c r="AX63" s="47">
        <f t="array" ref="AX63">IF(AND(ISNUMBER(MATCH(AX$2, AsistenciaJetAdminConcatenada!$A:$A, 0)), ISNUMBER(MATCH(AX$1, AsistenciaJetAdminConcatenada!$B:$B, 0)), ISNUMBER(SEARCH($A63,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ISNUMBER(SEARCH($A63, INDEX(AsistenciaJetAdminConcatenada!$D:$D, MATCH(1, (AsistenciaJetAdminConcatenada!$A:$A=AX$2)*(AsistenciaJetAdminConcatenada!$B:$B=AX$1), 0)), 1))),  0.5, 0))</f>
        <v>0</v>
      </c>
      <c r="AY63" s="47">
        <f t="array" ref="AY63">IF(AND(ISNUMBER(MATCH(AY$2, AsistenciaJetAdminConcatenada!$A:$A, 0)), ISNUMBER(MATCH(AY$1, AsistenciaJetAdminConcatenada!$B:$B, 0)), ISNUMBER(SEARCH($A63,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ISNUMBER(SEARCH($A63, INDEX(AsistenciaJetAdminConcatenada!$D:$D, MATCH(1, (AsistenciaJetAdminConcatenada!$A:$A=AY$2)*(AsistenciaJetAdminConcatenada!$B:$B=AY$1), 0)), 1))),  0.5, 0))</f>
        <v>1</v>
      </c>
      <c r="AZ63" s="47">
        <f t="array" ref="AZ63">IF(AND(ISNUMBER(MATCH(AZ$2, AsistenciaJetAdminConcatenada!$A:$A, 0)), ISNUMBER(MATCH(AZ$1, AsistenciaJetAdminConcatenada!$B:$B, 0)), ISNUMBER(SEARCH($A63,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ISNUMBER(SEARCH($A63, INDEX(AsistenciaJetAdminConcatenada!$D:$D, MATCH(1, (AsistenciaJetAdminConcatenada!$A:$A=AZ$2)*(AsistenciaJetAdminConcatenada!$B:$B=AZ$1), 0)), 1))),  0.5, 0))</f>
        <v>0.5</v>
      </c>
      <c r="BA63" s="47">
        <f t="array" ref="BA63">IF(AND(ISNUMBER(MATCH(BA$2, AsistenciaJetAdminConcatenada!$A:$A, 0)), ISNUMBER(MATCH(BA$1, AsistenciaJetAdminConcatenada!$B:$B, 0)), ISNUMBER(SEARCH($A63,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ISNUMBER(SEARCH($A63, INDEX(AsistenciaJetAdminConcatenada!$D:$D, MATCH(1, (AsistenciaJetAdminConcatenada!$A:$A=BA$2)*(AsistenciaJetAdminConcatenada!$B:$B=BA$1), 0)), 1))),  0.5, 0))</f>
        <v>1</v>
      </c>
      <c r="BB63" s="47">
        <f t="array" ref="BB63">IF(AND(ISNUMBER(MATCH(BB$2, AsistenciaJetAdminConcatenada!$A:$A, 0)), ISNUMBER(MATCH(BB$1, AsistenciaJetAdminConcatenada!$B:$B, 0)), ISNUMBER(SEARCH($A63,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ISNUMBER(SEARCH($A63, INDEX(AsistenciaJetAdminConcatenada!$D:$D, MATCH(1, (AsistenciaJetAdminConcatenada!$A:$A=BB$2)*(AsistenciaJetAdminConcatenada!$B:$B=BB$1), 0)), 1))),  0.5, 0))</f>
        <v>1</v>
      </c>
      <c r="BC63" s="47">
        <f t="array" ref="BC63">IF(AND(ISNUMBER(MATCH(BC$2, AsistenciaJetAdminConcatenada!$A:$A, 0)), ISNUMBER(MATCH(BC$1, AsistenciaJetAdminConcatenada!$B:$B, 0)), ISNUMBER(SEARCH($A63,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ISNUMBER(SEARCH($A63, INDEX(AsistenciaJetAdminConcatenada!$D:$D, MATCH(1, (AsistenciaJetAdminConcatenada!$A:$A=BC$2)*(AsistenciaJetAdminConcatenada!$B:$B=BC$1), 0)), 1))),  0.5, 0))</f>
        <v>1</v>
      </c>
      <c r="BD63" s="47">
        <f t="array" ref="BD63">IF(AND(ISNUMBER(MATCH(BD$2, AsistenciaJetAdminConcatenada!$A:$A, 0)), ISNUMBER(MATCH(BD$1, AsistenciaJetAdminConcatenada!$B:$B, 0)), ISNUMBER(SEARCH($A63,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ISNUMBER(SEARCH($A63, INDEX(AsistenciaJetAdminConcatenada!$D:$D, MATCH(1, (AsistenciaJetAdminConcatenada!$A:$A=BD$2)*(AsistenciaJetAdminConcatenada!$B:$B=BD$1), 0)), 1))),  0.5, 0))</f>
        <v>1</v>
      </c>
      <c r="BE63" s="47">
        <f t="array" ref="BE63">IF(AND(ISNUMBER(MATCH(BE$2, AsistenciaJetAdminConcatenada!$A:$A, 0)), ISNUMBER(MATCH(BE$1, AsistenciaJetAdminConcatenada!$B:$B, 0)), ISNUMBER(SEARCH($A63,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ISNUMBER(SEARCH($A63, INDEX(AsistenciaJetAdminConcatenada!$D:$D, MATCH(1, (AsistenciaJetAdminConcatenada!$A:$A=BE$2)*(AsistenciaJetAdminConcatenada!$B:$B=BE$1), 0)), 1))),  0.5, 0))</f>
        <v>1</v>
      </c>
      <c r="BF63" s="47">
        <f t="array" ref="BF63">IF(AND(ISNUMBER(MATCH(BF$2, AsistenciaJetAdminConcatenada!$A:$A, 0)), ISNUMBER(MATCH(BF$1, AsistenciaJetAdminConcatenada!$B:$B, 0)), ISNUMBER(SEARCH($A63,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ISNUMBER(SEARCH($A63, INDEX(AsistenciaJetAdminConcatenada!$D:$D, MATCH(1, (AsistenciaJetAdminConcatenada!$A:$A=BF$2)*(AsistenciaJetAdminConcatenada!$B:$B=BF$1), 0)), 1))),  0.5, 0))</f>
        <v>1</v>
      </c>
      <c r="BG63" s="47">
        <f t="array" ref="BG63">IF(AND(ISNUMBER(MATCH(BG$2, AsistenciaJetAdminConcatenada!$A:$A, 0)), ISNUMBER(MATCH(BG$1, AsistenciaJetAdminConcatenada!$B:$B, 0)), ISNUMBER(SEARCH($A63,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ISNUMBER(SEARCH($A63, INDEX(AsistenciaJetAdminConcatenada!$D:$D, MATCH(1, (AsistenciaJetAdminConcatenada!$A:$A=BG$2)*(AsistenciaJetAdminConcatenada!$B:$B=BG$1), 0)), 1))),  0.5, 0))</f>
        <v>0</v>
      </c>
      <c r="BH63" s="47">
        <f t="array" ref="BH63">IF(AND(ISNUMBER(MATCH(BH$2, AsistenciaJetAdminConcatenada!$A:$A, 0)), ISNUMBER(MATCH(BH$1, AsistenciaJetAdminConcatenada!$B:$B, 0)), ISNUMBER(SEARCH($A63,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ISNUMBER(SEARCH($A63, INDEX(AsistenciaJetAdminConcatenada!$D:$D, MATCH(1, (AsistenciaJetAdminConcatenada!$A:$A=BH$2)*(AsistenciaJetAdminConcatenada!$B:$B=BH$1), 0)), 1))),  0.5, 0))</f>
        <v>0</v>
      </c>
      <c r="BI63" s="47">
        <f t="array" ref="BI63">IF(AND(ISNUMBER(MATCH(BI$2, AsistenciaJetAdminConcatenada!$A:$A, 0)), ISNUMBER(MATCH(BI$1, AsistenciaJetAdminConcatenada!$B:$B, 0)), ISNUMBER(SEARCH($A63,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ISNUMBER(SEARCH($A63, INDEX(AsistenciaJetAdminConcatenada!$D:$D, MATCH(1, (AsistenciaJetAdminConcatenada!$A:$A=BI$2)*(AsistenciaJetAdminConcatenada!$B:$B=BI$1), 0)), 1))),  0.5, 0))</f>
        <v>0</v>
      </c>
      <c r="BJ63" s="47">
        <f t="array" ref="BJ63">IF(AND(ISNUMBER(MATCH(BJ$2, AsistenciaJetAdminConcatenada!$A:$A, 0)), ISNUMBER(MATCH(BJ$1, AsistenciaJetAdminConcatenada!$B:$B, 0)), ISNUMBER(SEARCH($A63,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ISNUMBER(SEARCH($A63, INDEX(AsistenciaJetAdminConcatenada!$D:$D, MATCH(1, (AsistenciaJetAdminConcatenada!$A:$A=BJ$2)*(AsistenciaJetAdminConcatenada!$B:$B=BJ$1), 0)), 1))),  0.5, 0))</f>
        <v>0</v>
      </c>
      <c r="BK63" s="47">
        <f t="array" ref="BK63">IF(AND(ISNUMBER(MATCH(BK$2, AsistenciaJetAdminConcatenada!$A:$A, 0)), ISNUMBER(MATCH(BK$1, AsistenciaJetAdminConcatenada!$B:$B, 0)), ISNUMBER(SEARCH($A63,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ISNUMBER(SEARCH($A63, INDEX(AsistenciaJetAdminConcatenada!$D:$D, MATCH(1, (AsistenciaJetAdminConcatenada!$A:$A=BK$2)*(AsistenciaJetAdminConcatenada!$B:$B=BK$1), 0)), 1))),  0.5, 0))</f>
        <v>0.5</v>
      </c>
      <c r="BL63" s="47">
        <f t="array" ref="BL63">IF(AND(ISNUMBER(MATCH(BL$2, AsistenciaJetAdminConcatenada!$A:$A, 0)), ISNUMBER(MATCH(BL$1, AsistenciaJetAdminConcatenada!$B:$B, 0)), ISNUMBER(SEARCH($A63,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ISNUMBER(SEARCH($A63, INDEX(AsistenciaJetAdminConcatenada!$D:$D, MATCH(1, (AsistenciaJetAdminConcatenada!$A:$A=BL$2)*(AsistenciaJetAdminConcatenada!$B:$B=BL$1), 0)), 1))),  0.5, 0))</f>
        <v>1</v>
      </c>
      <c r="BM63" s="47">
        <f t="array" ref="BM63">IF(AND(ISNUMBER(MATCH(BM$2, AsistenciaJetAdminConcatenada!$A:$A, 0)), ISNUMBER(MATCH(BM$1, AsistenciaJetAdminConcatenada!$B:$B, 0)), ISNUMBER(SEARCH($A63,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ISNUMBER(SEARCH($A63, INDEX(AsistenciaJetAdminConcatenada!$D:$D, MATCH(1, (AsistenciaJetAdminConcatenada!$A:$A=BM$2)*(AsistenciaJetAdminConcatenada!$B:$B=BM$1), 0)), 1))),  0.5, 0))</f>
        <v>1</v>
      </c>
      <c r="BN63" s="47">
        <f t="array" ref="BN63">IF(AND(ISNUMBER(MATCH(BN$2, AsistenciaJetAdminConcatenada!$A:$A, 0)), ISNUMBER(MATCH(BN$1, AsistenciaJetAdminConcatenada!$B:$B, 0)), ISNUMBER(SEARCH($A63,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ISNUMBER(SEARCH($A63, INDEX(AsistenciaJetAdminConcatenada!$D:$D, MATCH(1, (AsistenciaJetAdminConcatenada!$A:$A=BN$2)*(AsistenciaJetAdminConcatenada!$B:$B=BN$1), 0)), 1))),  0.5, 0))</f>
        <v>1</v>
      </c>
      <c r="BO63" s="47">
        <f t="array" ref="BO63">IF(AND(ISNUMBER(MATCH(BO$2, AsistenciaJetAdminConcatenada!$A:$A, 0)), ISNUMBER(MATCH(BO$1, AsistenciaJetAdminConcatenada!$B:$B, 0)), ISNUMBER(SEARCH($A63,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ISNUMBER(SEARCH($A63, INDEX(AsistenciaJetAdminConcatenada!$D:$D, MATCH(1, (AsistenciaJetAdminConcatenada!$A:$A=BO$2)*(AsistenciaJetAdminConcatenada!$B:$B=BO$1), 0)), 1))),  0.5, 0))</f>
        <v>1</v>
      </c>
      <c r="BP63" s="47">
        <f t="array" ref="BP63">IF(AND(ISNUMBER(MATCH(BP$2, AsistenciaJetAdminConcatenada!$A:$A, 0)), ISNUMBER(MATCH(BP$1, AsistenciaJetAdminConcatenada!$B:$B, 0)), ISNUMBER(SEARCH($A63,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ISNUMBER(SEARCH($A63, INDEX(AsistenciaJetAdminConcatenada!$D:$D, MATCH(1, (AsistenciaJetAdminConcatenada!$A:$A=BP$2)*(AsistenciaJetAdminConcatenada!$B:$B=BP$1), 0)), 1))),  0.5, 0))</f>
        <v>1</v>
      </c>
      <c r="BQ63" s="47">
        <f t="array" ref="BQ63">IF(AND(ISNUMBER(MATCH(BQ$2, AsistenciaJetAdminConcatenada!$A:$A, 0)), ISNUMBER(MATCH(BQ$1, AsistenciaJetAdminConcatenada!$B:$B, 0)), ISNUMBER(SEARCH($A63,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ISNUMBER(SEARCH($A63, INDEX(AsistenciaJetAdminConcatenada!$D:$D, MATCH(1, (AsistenciaJetAdminConcatenada!$A:$A=BQ$2)*(AsistenciaJetAdminConcatenada!$B:$B=BQ$1), 0)), 1))),  0.5, 0))</f>
        <v>1</v>
      </c>
      <c r="BR63" s="47">
        <f t="array" ref="BR63">IF(AND(ISNUMBER(MATCH(BR$2, AsistenciaJetAdminConcatenada!$A:$A, 0)), ISNUMBER(MATCH(BR$1, AsistenciaJetAdminConcatenada!$B:$B, 0)), ISNUMBER(SEARCH($A63,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ISNUMBER(SEARCH($A63, INDEX(AsistenciaJetAdminConcatenada!$D:$D, MATCH(1, (AsistenciaJetAdminConcatenada!$A:$A=BR$2)*(AsistenciaJetAdminConcatenada!$B:$B=BR$1), 0)), 1))),  0.5, 0))</f>
        <v>1</v>
      </c>
      <c r="BS63" s="47">
        <f t="array" ref="BS63">IF(AND(ISNUMBER(MATCH(BS$2, AsistenciaJetAdminConcatenada!$A:$A, 0)), ISNUMBER(MATCH(BS$1, AsistenciaJetAdminConcatenada!$B:$B, 0)), ISNUMBER(SEARCH($A63,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ISNUMBER(SEARCH($A63, INDEX(AsistenciaJetAdminConcatenada!$D:$D, MATCH(1, (AsistenciaJetAdminConcatenada!$A:$A=BS$2)*(AsistenciaJetAdminConcatenada!$B:$B=BS$1), 0)), 1))),  0.5, 0))</f>
        <v>1</v>
      </c>
      <c r="BT63" s="47">
        <f t="array" ref="BT63">IF(AND(ISNUMBER(MATCH(BT$2, AsistenciaJetAdminConcatenada!$A:$A, 0)), ISNUMBER(MATCH(BT$1, AsistenciaJetAdminConcatenada!$B:$B, 0)), ISNUMBER(SEARCH($A63,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ISNUMBER(SEARCH($A63, INDEX(AsistenciaJetAdminConcatenada!$D:$D, MATCH(1, (AsistenciaJetAdminConcatenada!$A:$A=BT$2)*(AsistenciaJetAdminConcatenada!$B:$B=BT$1), 0)), 1))),  0.5, 0))</f>
        <v>1</v>
      </c>
      <c r="BU63" s="47">
        <f t="array" ref="BU63">IF(AND(ISNUMBER(MATCH(BU$2, AsistenciaJetAdminConcatenada!$A:$A, 0)), ISNUMBER(MATCH(BU$1, AsistenciaJetAdminConcatenada!$B:$B, 0)), ISNUMBER(SEARCH($A63,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ISNUMBER(SEARCH($A63, INDEX(AsistenciaJetAdminConcatenada!$D:$D, MATCH(1, (AsistenciaJetAdminConcatenada!$A:$A=BU$2)*(AsistenciaJetAdminConcatenada!$B:$B=BU$1), 0)), 1))),  0.5, 0))</f>
        <v>0.5</v>
      </c>
      <c r="BV63" s="47">
        <f t="array" ref="BV63">IF(AND(ISNUMBER(MATCH(BV$2, AsistenciaJetAdminConcatenada!$A:$A, 0)), ISNUMBER(MATCH(BV$1, AsistenciaJetAdminConcatenada!$B:$B, 0)), ISNUMBER(SEARCH($A63,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ISNUMBER(SEARCH($A63, INDEX(AsistenciaJetAdminConcatenada!$D:$D, MATCH(1, (AsistenciaJetAdminConcatenada!$A:$A=BV$2)*(AsistenciaJetAdminConcatenada!$B:$B=BV$1), 0)), 1))),  0.5, 0))</f>
        <v>1</v>
      </c>
      <c r="BW63" s="47">
        <f t="array" ref="BW63">IF(AND(ISNUMBER(MATCH(BW$2, AsistenciaJetAdminConcatenada!$A:$A, 0)), ISNUMBER(MATCH(BW$1, AsistenciaJetAdminConcatenada!$B:$B, 0)), ISNUMBER(SEARCH($A63,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ISNUMBER(SEARCH($A63, INDEX(AsistenciaJetAdminConcatenada!$D:$D, MATCH(1, (AsistenciaJetAdminConcatenada!$A:$A=BW$2)*(AsistenciaJetAdminConcatenada!$B:$B=BW$1), 0)), 1))),  0.5, 0))</f>
        <v>0</v>
      </c>
      <c r="BX63" s="47">
        <f t="array" ref="BX63">IF(AND(ISNUMBER(MATCH(BX$2, AsistenciaJetAdminConcatenada!$A:$A, 0)), ISNUMBER(MATCH(BX$1, AsistenciaJetAdminConcatenada!$B:$B, 0)), ISNUMBER(SEARCH($A63,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ISNUMBER(SEARCH($A63, INDEX(AsistenciaJetAdminConcatenada!$D:$D, MATCH(1, (AsistenciaJetAdminConcatenada!$A:$A=BX$2)*(AsistenciaJetAdminConcatenada!$B:$B=BX$1), 0)), 1))),  0.5, 0))</f>
        <v>1</v>
      </c>
      <c r="BY63" s="47">
        <f t="array" ref="BY63">IF(AND(ISNUMBER(MATCH(BY$2, AsistenciaJetAdminConcatenada!$A:$A, 0)), ISNUMBER(MATCH(BY$1, AsistenciaJetAdminConcatenada!$B:$B, 0)), ISNUMBER(SEARCH($A63,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ISNUMBER(SEARCH($A63, INDEX(AsistenciaJetAdminConcatenada!$D:$D, MATCH(1, (AsistenciaJetAdminConcatenada!$A:$A=BY$2)*(AsistenciaJetAdminConcatenada!$B:$B=BY$1), 0)), 1))),  0.5, 0))</f>
        <v>1</v>
      </c>
      <c r="BZ63" s="47">
        <f t="array" ref="BZ63">IF(AND(ISNUMBER(MATCH(BZ$2, AsistenciaJetAdminConcatenada!$A:$A, 0)), ISNUMBER(MATCH(BZ$1, AsistenciaJetAdminConcatenada!$B:$B, 0)), ISNUMBER(SEARCH($A63,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ISNUMBER(SEARCH($A63, INDEX(AsistenciaJetAdminConcatenada!$D:$D, MATCH(1, (AsistenciaJetAdminConcatenada!$A:$A=BZ$2)*(AsistenciaJetAdminConcatenada!$B:$B=BZ$1), 0)), 1))),  0.5, 0))</f>
        <v>1</v>
      </c>
      <c r="CA63" s="47">
        <f t="array" ref="CA63">IF(AND(ISNUMBER(MATCH(CA$2, AsistenciaJetAdminConcatenada!$A:$A, 0)), ISNUMBER(MATCH(CA$1, AsistenciaJetAdminConcatenada!$B:$B, 0)), ISNUMBER(SEARCH($A63,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ISNUMBER(SEARCH($A63, INDEX(AsistenciaJetAdminConcatenada!$D:$D, MATCH(1, (AsistenciaJetAdminConcatenada!$A:$A=CA$2)*(AsistenciaJetAdminConcatenada!$B:$B=CA$1), 0)), 1))),  0.5, 0))</f>
        <v>1</v>
      </c>
      <c r="CB63" s="47">
        <f t="array" ref="CB63">IF(AND(ISNUMBER(MATCH(CB$2, AsistenciaJetAdminConcatenada!$A:$A, 0)), ISNUMBER(MATCH(CB$1, AsistenciaJetAdminConcatenada!$B:$B, 0)), ISNUMBER(SEARCH($A63,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ISNUMBER(SEARCH($A63, INDEX(AsistenciaJetAdminConcatenada!$D:$D, MATCH(1, (AsistenciaJetAdminConcatenada!$A:$A=CB$2)*(AsistenciaJetAdminConcatenada!$B:$B=CB$1), 0)), 1))),  0.5, 0))</f>
        <v>1</v>
      </c>
      <c r="CC63" s="47">
        <f t="array" ref="CC63">IF(AND(ISNUMBER(MATCH(CC$2, AsistenciaJetAdminConcatenada!$A:$A, 0)), ISNUMBER(MATCH(CC$1, AsistenciaJetAdminConcatenada!$B:$B, 0)), ISNUMBER(SEARCH($A63,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ISNUMBER(SEARCH($A63, INDEX(AsistenciaJetAdminConcatenada!$D:$D, MATCH(1, (AsistenciaJetAdminConcatenada!$A:$A=CC$2)*(AsistenciaJetAdminConcatenada!$B:$B=CC$1), 0)), 1))),  0.5, 0))</f>
        <v>0</v>
      </c>
      <c r="CD63" s="47">
        <f t="array" ref="CD63">IF(AND(ISNUMBER(MATCH(CD$2, AsistenciaJetAdminConcatenada!$A:$A, 0)), ISNUMBER(MATCH(CD$1, AsistenciaJetAdminConcatenada!$B:$B, 0)), ISNUMBER(SEARCH($A63,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ISNUMBER(SEARCH($A63, INDEX(AsistenciaJetAdminConcatenada!$D:$D, MATCH(1, (AsistenciaJetAdminConcatenada!$A:$A=CD$2)*(AsistenciaJetAdminConcatenada!$B:$B=CD$1), 0)), 1))),  0.5, 0))</f>
        <v>1</v>
      </c>
      <c r="CE63" s="47">
        <f t="array" ref="CE63">IF(AND(ISNUMBER(MATCH(CE$2, AsistenciaJetAdminConcatenada!$A:$A, 0)), ISNUMBER(MATCH(CE$1, AsistenciaJetAdminConcatenada!$B:$B, 0)), ISNUMBER(SEARCH($A63,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ISNUMBER(SEARCH($A63, INDEX(AsistenciaJetAdminConcatenada!$D:$D, MATCH(1, (AsistenciaJetAdminConcatenada!$A:$A=CE$2)*(AsistenciaJetAdminConcatenada!$B:$B=CE$1), 0)), 1))),  0.5, 0))</f>
        <v>1</v>
      </c>
      <c r="CF63" s="47">
        <f t="array" ref="CF63">IF(AND(ISNUMBER(MATCH(CF$2, AsistenciaJetAdminConcatenada!$A:$A, 0)), ISNUMBER(MATCH(CF$1, AsistenciaJetAdminConcatenada!$B:$B, 0)), ISNUMBER(SEARCH($A63,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ISNUMBER(SEARCH($A63, INDEX(AsistenciaJetAdminConcatenada!$D:$D, MATCH(1, (AsistenciaJetAdminConcatenada!$A:$A=CF$2)*(AsistenciaJetAdminConcatenada!$B:$B=CF$1), 0)), 1))),  0.5, 0))</f>
        <v>1</v>
      </c>
      <c r="CG63" s="47">
        <f t="array" ref="CG63">IF(AND(ISNUMBER(MATCH(CG$2, AsistenciaJetAdminConcatenada!$A:$A, 0)), ISNUMBER(MATCH(CG$1, AsistenciaJetAdminConcatenada!$B:$B, 0)), ISNUMBER(SEARCH($A63,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ISNUMBER(SEARCH($A63, INDEX(AsistenciaJetAdminConcatenada!$D:$D, MATCH(1, (AsistenciaJetAdminConcatenada!$A:$A=CG$2)*(AsistenciaJetAdminConcatenada!$B:$B=CG$1), 0)), 1))),  0.5, 0))</f>
        <v>0.5</v>
      </c>
      <c r="CH63" s="47">
        <f t="array" ref="CH63">IF(AND(ISNUMBER(MATCH(CH$2, AsistenciaJetAdminConcatenada!$A:$A, 0)), ISNUMBER(MATCH(CH$1, AsistenciaJetAdminConcatenada!$B:$B, 0)), ISNUMBER(SEARCH($A63,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ISNUMBER(SEARCH($A63, INDEX(AsistenciaJetAdminConcatenada!$D:$D, MATCH(1, (AsistenciaJetAdminConcatenada!$A:$A=CH$2)*(AsistenciaJetAdminConcatenada!$B:$B=CH$1), 0)), 1))),  0.5, 0))</f>
        <v>1</v>
      </c>
      <c r="CI63" s="47">
        <f t="array" ref="CI63">IF(AND(ISNUMBER(MATCH(CI$2, AsistenciaJetAdminConcatenada!$A:$A, 0)), ISNUMBER(MATCH(CI$1, AsistenciaJetAdminConcatenada!$B:$B, 0)), ISNUMBER(SEARCH($A63,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ISNUMBER(SEARCH($A63, INDEX(AsistenciaJetAdminConcatenada!$D:$D, MATCH(1, (AsistenciaJetAdminConcatenada!$A:$A=CI$2)*(AsistenciaJetAdminConcatenada!$B:$B=CI$1), 0)), 1))),  0.5, 0))</f>
        <v>1</v>
      </c>
      <c r="CJ63" s="47">
        <f t="array" ref="CJ63">IF(AND(ISNUMBER(MATCH(CJ$2, AsistenciaJetAdminConcatenada!$A:$A, 0)), ISNUMBER(MATCH(CJ$1, AsistenciaJetAdminConcatenada!$B:$B, 0)), ISNUMBER(SEARCH($A63,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ISNUMBER(SEARCH($A63, INDEX(AsistenciaJetAdminConcatenada!$D:$D, MATCH(1, (AsistenciaJetAdminConcatenada!$A:$A=CJ$2)*(AsistenciaJetAdminConcatenada!$B:$B=CJ$1), 0)), 1))),  0.5, 0))</f>
        <v>1</v>
      </c>
      <c r="CK63" s="47">
        <f t="array" ref="CK63">IF(AND(ISNUMBER(MATCH(CK$2, AsistenciaJetAdminConcatenada!$A:$A, 0)), ISNUMBER(MATCH(CK$1, AsistenciaJetAdminConcatenada!$B:$B, 0)), ISNUMBER(SEARCH($A63,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ISNUMBER(SEARCH($A63, INDEX(AsistenciaJetAdminConcatenada!$D:$D, MATCH(1, (AsistenciaJetAdminConcatenada!$A:$A=CK$2)*(AsistenciaJetAdminConcatenada!$B:$B=CK$1), 0)), 1))),  0.5, 0))</f>
        <v>0</v>
      </c>
      <c r="CL63" s="47">
        <f t="array" ref="CL63">IF(AND(ISNUMBER(MATCH(CL$2, AsistenciaJetAdminConcatenada!$A:$A, 0)), ISNUMBER(MATCH(CL$1, AsistenciaJetAdminConcatenada!$B:$B, 0)), ISNUMBER(SEARCH($A63,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ISNUMBER(SEARCH($A63, INDEX(AsistenciaJetAdminConcatenada!$D:$D, MATCH(1, (AsistenciaJetAdminConcatenada!$A:$A=CL$2)*(AsistenciaJetAdminConcatenada!$B:$B=CL$1), 0)), 1))),  0.5, 0))</f>
        <v>1</v>
      </c>
      <c r="CM63" s="47">
        <f t="array" ref="CM63">IF(AND(ISNUMBER(MATCH(CM$2, AsistenciaJetAdminConcatenada!$A:$A, 0)), ISNUMBER(MATCH(CM$1, AsistenciaJetAdminConcatenada!$B:$B, 0)), ISNUMBER(SEARCH($A63,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ISNUMBER(SEARCH($A63, INDEX(AsistenciaJetAdminConcatenada!$D:$D, MATCH(1, (AsistenciaJetAdminConcatenada!$A:$A=CM$2)*(AsistenciaJetAdminConcatenada!$B:$B=CM$1), 0)), 1))),  0.5, 0))</f>
        <v>0</v>
      </c>
      <c r="CN63" s="47">
        <f t="array" ref="CN63">IF(AND(ISNUMBER(MATCH(CN$2, AsistenciaJetAdminConcatenada!$A:$A, 0)), ISNUMBER(MATCH(CN$1, AsistenciaJetAdminConcatenada!$B:$B, 0)), ISNUMBER(SEARCH($A63,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ISNUMBER(SEARCH($A63, INDEX(AsistenciaJetAdminConcatenada!$D:$D, MATCH(1, (AsistenciaJetAdminConcatenada!$A:$A=CN$2)*(AsistenciaJetAdminConcatenada!$B:$B=CN$1), 0)), 1))),  0.5, 0))</f>
        <v>0</v>
      </c>
      <c r="CO63" s="47">
        <f t="array" ref="CO63">IF(AND(ISNUMBER(MATCH(CO$2, AsistenciaJetAdminConcatenada!$A:$A, 0)), ISNUMBER(MATCH(CO$1, AsistenciaJetAdminConcatenada!$B:$B, 0)), ISNUMBER(SEARCH($A63,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ISNUMBER(SEARCH($A63, INDEX(AsistenciaJetAdminConcatenada!$D:$D, MATCH(1, (AsistenciaJetAdminConcatenada!$A:$A=CO$2)*(AsistenciaJetAdminConcatenada!$B:$B=CO$1), 0)), 1))),  0.5, 0))</f>
        <v>1</v>
      </c>
      <c r="CP63" s="47">
        <f t="array" ref="CP63">IF(AND(ISNUMBER(MATCH(CP$2, AsistenciaJetAdminConcatenada!$A:$A, 0)), ISNUMBER(MATCH(CP$1, AsistenciaJetAdminConcatenada!$B:$B, 0)), ISNUMBER(SEARCH($A63,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ISNUMBER(SEARCH($A63, INDEX(AsistenciaJetAdminConcatenada!$D:$D, MATCH(1, (AsistenciaJetAdminConcatenada!$A:$A=CP$2)*(AsistenciaJetAdminConcatenada!$B:$B=CP$1), 0)), 1))),  0.5, 0))</f>
        <v>1</v>
      </c>
      <c r="CQ63" s="47">
        <f t="array" ref="CQ63">IF(AND(ISNUMBER(MATCH(CQ$2, AsistenciaJetAdminConcatenada!$A:$A, 0)), ISNUMBER(MATCH(CQ$1, AsistenciaJetAdminConcatenada!$B:$B, 0)), ISNUMBER(SEARCH($A63,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ISNUMBER(SEARCH($A63, INDEX(AsistenciaJetAdminConcatenada!$D:$D, MATCH(1, (AsistenciaJetAdminConcatenada!$A:$A=CQ$2)*(AsistenciaJetAdminConcatenada!$B:$B=CQ$1), 0)), 1))),  0.5, 0))</f>
        <v>1</v>
      </c>
      <c r="CR63" s="47">
        <f t="array" ref="CR63">IF(AND(ISNUMBER(MATCH(CR$2, AsistenciaJetAdminConcatenada!$A:$A, 0)), ISNUMBER(MATCH(CR$1, AsistenciaJetAdminConcatenada!$B:$B, 0)), ISNUMBER(SEARCH($A63,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ISNUMBER(SEARCH($A63, INDEX(AsistenciaJetAdminConcatenada!$D:$D, MATCH(1, (AsistenciaJetAdminConcatenada!$A:$A=CR$2)*(AsistenciaJetAdminConcatenada!$B:$B=CR$1), 0)), 1))),  0.5, 0))</f>
        <v>1</v>
      </c>
      <c r="CS63" s="47">
        <f t="array" ref="CS63">IF(AND(ISNUMBER(MATCH(CS$2, AsistenciaJetAdminConcatenada!$A:$A, 0)), ISNUMBER(MATCH(CS$1, AsistenciaJetAdminConcatenada!$B:$B, 0)), ISNUMBER(SEARCH($A63,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ISNUMBER(SEARCH($A63, INDEX(AsistenciaJetAdminConcatenada!$D:$D, MATCH(1, (AsistenciaJetAdminConcatenada!$A:$A=CS$2)*(AsistenciaJetAdminConcatenada!$B:$B=CS$1), 0)), 1))),  0.5, 0))</f>
        <v>0</v>
      </c>
      <c r="CT63" s="47">
        <f t="array" ref="CT63">IF(AND(ISNUMBER(MATCH(CT$2, AsistenciaJetAdminConcatenada!$A:$A, 0)), ISNUMBER(MATCH(CT$1, AsistenciaJetAdminConcatenada!$B:$B, 0)), ISNUMBER(SEARCH($A63,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ISNUMBER(SEARCH($A63, INDEX(AsistenciaJetAdminConcatenada!$D:$D, MATCH(1, (AsistenciaJetAdminConcatenada!$A:$A=CT$2)*(AsistenciaJetAdminConcatenada!$B:$B=CT$1), 0)), 1))),  0.5, 0))</f>
        <v>0</v>
      </c>
      <c r="CU63" s="47">
        <f t="array" ref="CU63">IF(AND(ISNUMBER(MATCH(CU$2, AsistenciaJetAdminConcatenada!$A:$A, 0)), ISNUMBER(MATCH(CU$1, AsistenciaJetAdminConcatenada!$B:$B, 0)), ISNUMBER(SEARCH($A63,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ISNUMBER(SEARCH($A63, INDEX(AsistenciaJetAdminConcatenada!$D:$D, MATCH(1, (AsistenciaJetAdminConcatenada!$A:$A=CU$2)*(AsistenciaJetAdminConcatenada!$B:$B=CU$1), 0)), 1))),  0.5, 0))</f>
        <v>0</v>
      </c>
      <c r="CV63" s="47">
        <f t="array" ref="CV63">IF(AND(ISNUMBER(MATCH(CV$2, AsistenciaJetAdminConcatenada!$A:$A, 0)), ISNUMBER(MATCH(CV$1, AsistenciaJetAdminConcatenada!$B:$B, 0)), ISNUMBER(SEARCH($A63,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ISNUMBER(SEARCH($A63, INDEX(AsistenciaJetAdminConcatenada!$D:$D, MATCH(1, (AsistenciaJetAdminConcatenada!$A:$A=CV$2)*(AsistenciaJetAdminConcatenada!$B:$B=CV$1), 0)), 1))),  0.5, 0))</f>
        <v>0</v>
      </c>
      <c r="CW63" s="47">
        <f t="array" ref="CW63">IF(AND(ISNUMBER(MATCH(CW$2, AsistenciaJetAdminConcatenada!$A:$A, 0)), ISNUMBER(MATCH(CW$1, AsistenciaJetAdminConcatenada!$B:$B, 0)), ISNUMBER(SEARCH($A63,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ISNUMBER(SEARCH($A63, INDEX(AsistenciaJetAdminConcatenada!$D:$D, MATCH(1, (AsistenciaJetAdminConcatenada!$A:$A=CW$2)*(AsistenciaJetAdminConcatenada!$B:$B=CW$1), 0)), 1))),  0.5, 0))</f>
        <v>0</v>
      </c>
      <c r="CX63" s="47">
        <f t="array" ref="CX63">IF(AND(ISNUMBER(MATCH(CX$2, AsistenciaJetAdminConcatenada!$A:$A, 0)), ISNUMBER(MATCH(CX$1, AsistenciaJetAdminConcatenada!$B:$B, 0)), ISNUMBER(SEARCH($A63,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ISNUMBER(SEARCH($A63, INDEX(AsistenciaJetAdminConcatenada!$D:$D, MATCH(1, (AsistenciaJetAdminConcatenada!$A:$A=CX$2)*(AsistenciaJetAdminConcatenada!$B:$B=CX$1), 0)), 1))),  0.5, 0))</f>
        <v>0</v>
      </c>
      <c r="CY63" s="47">
        <f t="array" ref="CY63">IF(AND(ISNUMBER(MATCH(CY$2, AsistenciaJetAdminConcatenada!$A:$A, 0)), ISNUMBER(MATCH(CY$1, AsistenciaJetAdminConcatenada!$B:$B, 0)), ISNUMBER(SEARCH($A63,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ISNUMBER(SEARCH($A63, INDEX(AsistenciaJetAdminConcatenada!$D:$D, MATCH(1, (AsistenciaJetAdminConcatenada!$A:$A=CY$2)*(AsistenciaJetAdminConcatenada!$B:$B=CY$1), 0)), 1))),  0.5, 0))</f>
        <v>0</v>
      </c>
      <c r="CZ63" s="47">
        <f t="array" ref="CZ63">IF(AND(ISNUMBER(MATCH(CZ$2, AsistenciaJetAdminConcatenada!$A:$A, 0)), ISNUMBER(MATCH(CZ$1, AsistenciaJetAdminConcatenada!$B:$B, 0)), ISNUMBER(SEARCH($A63,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ISNUMBER(SEARCH($A63, INDEX(AsistenciaJetAdminConcatenada!$D:$D, MATCH(1, (AsistenciaJetAdminConcatenada!$A:$A=CZ$2)*(AsistenciaJetAdminConcatenada!$B:$B=CZ$1), 0)), 1))),  0.5, 0))</f>
        <v>0</v>
      </c>
      <c r="DA63" s="47">
        <f t="array" ref="DA63">IF(AND(ISNUMBER(MATCH(DA$2, AsistenciaJetAdminConcatenada!$A:$A, 0)), ISNUMBER(MATCH(DA$1, AsistenciaJetAdminConcatenada!$B:$B, 0)), ISNUMBER(SEARCH($A63,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ISNUMBER(SEARCH($A63, INDEX(AsistenciaJetAdminConcatenada!$D:$D, MATCH(1, (AsistenciaJetAdminConcatenada!$A:$A=DA$2)*(AsistenciaJetAdminConcatenada!$B:$B=DA$1), 0)), 1))),  0.5, 0))</f>
        <v>0</v>
      </c>
      <c r="DB63" s="47">
        <f t="array" ref="DB63">IF(AND(ISNUMBER(MATCH(DB$2, AsistenciaJetAdminConcatenada!$A:$A, 0)), ISNUMBER(MATCH(DB$1, AsistenciaJetAdminConcatenada!$B:$B, 0)), ISNUMBER(SEARCH($A63,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ISNUMBER(SEARCH($A63, INDEX(AsistenciaJetAdminConcatenada!$D:$D, MATCH(1, (AsistenciaJetAdminConcatenada!$A:$A=DB$2)*(AsistenciaJetAdminConcatenada!$B:$B=DB$1), 0)), 1))),  0.5, 0))</f>
        <v>0</v>
      </c>
      <c r="DC63" s="47">
        <f t="array" ref="DC63">IF(AND(ISNUMBER(MATCH(DC$2, AsistenciaJetAdminConcatenada!$A:$A, 0)), ISNUMBER(MATCH(DC$1, AsistenciaJetAdminConcatenada!$B:$B, 0)), ISNUMBER(SEARCH($A63,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ISNUMBER(SEARCH($A63, INDEX(AsistenciaJetAdminConcatenada!$D:$D, MATCH(1, (AsistenciaJetAdminConcatenada!$A:$A=DC$2)*(AsistenciaJetAdminConcatenada!$B:$B=DC$1), 0)), 1))),  0.5, 0))</f>
        <v>0</v>
      </c>
      <c r="DD63" s="47">
        <f t="array" ref="DD63">IF(AND(ISNUMBER(MATCH(DD$2, AsistenciaJetAdminConcatenada!$A:$A, 0)), ISNUMBER(MATCH(DD$1, AsistenciaJetAdminConcatenada!$B:$B, 0)), ISNUMBER(SEARCH($A63,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ISNUMBER(SEARCH($A63, INDEX(AsistenciaJetAdminConcatenada!$D:$D, MATCH(1, (AsistenciaJetAdminConcatenada!$A:$A=DD$2)*(AsistenciaJetAdminConcatenada!$B:$B=DD$1), 0)), 1))),  0.5, 0))</f>
        <v>0</v>
      </c>
      <c r="DE63" s="47">
        <f t="array" ref="DE63">IF(AND(ISNUMBER(MATCH(DE$2, AsistenciaJetAdminConcatenada!$A:$A, 0)), ISNUMBER(MATCH(DE$1, AsistenciaJetAdminConcatenada!$B:$B, 0)), ISNUMBER(SEARCH($A63,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ISNUMBER(SEARCH($A63, INDEX(AsistenciaJetAdminConcatenada!$D:$D, MATCH(1, (AsistenciaJetAdminConcatenada!$A:$A=DE$2)*(AsistenciaJetAdminConcatenada!$B:$B=DE$1), 0)), 1))),  0.5, 0))</f>
        <v>0</v>
      </c>
      <c r="DF63" s="47">
        <f t="array" ref="DF63">IF(AND(ISNUMBER(MATCH(DF$2, AsistenciaJetAdminConcatenada!$A:$A, 0)), ISNUMBER(MATCH(DF$1, AsistenciaJetAdminConcatenada!$B:$B, 0)), ISNUMBER(SEARCH($A63,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ISNUMBER(SEARCH($A63, INDEX(AsistenciaJetAdminConcatenada!$D:$D, MATCH(1, (AsistenciaJetAdminConcatenada!$A:$A=DF$2)*(AsistenciaJetAdminConcatenada!$B:$B=DF$1), 0)), 1))),  0.5, 0))</f>
        <v>0</v>
      </c>
      <c r="DG63" s="47">
        <f t="array" ref="DG63">IF(AND(ISNUMBER(MATCH(DG$2, AsistenciaJetAdminConcatenada!$A:$A, 0)), ISNUMBER(MATCH(DG$1, AsistenciaJetAdminConcatenada!$B:$B, 0)), ISNUMBER(SEARCH($A63,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ISNUMBER(SEARCH($A63, INDEX(AsistenciaJetAdminConcatenada!$D:$D, MATCH(1, (AsistenciaJetAdminConcatenada!$A:$A=DG$2)*(AsistenciaJetAdminConcatenada!$B:$B=DG$1), 0)), 1))),  0.5, 0))</f>
        <v>0</v>
      </c>
      <c r="DH63" s="47">
        <f t="array" ref="DH63">IF(AND(ISNUMBER(MATCH(DH$2, AsistenciaJetAdminConcatenada!$A:$A, 0)), ISNUMBER(MATCH(DH$1, AsistenciaJetAdminConcatenada!$B:$B, 0)), ISNUMBER(SEARCH($A63,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ISNUMBER(SEARCH($A63, INDEX(AsistenciaJetAdminConcatenada!$D:$D, MATCH(1, (AsistenciaJetAdminConcatenada!$A:$A=DH$2)*(AsistenciaJetAdminConcatenada!$B:$B=DH$1), 0)), 1))),  0.5, 0))</f>
        <v>0</v>
      </c>
      <c r="DI63" s="47">
        <f t="array" ref="DI63">IF(AND(ISNUMBER(MATCH(DI$2, AsistenciaJetAdminConcatenada!$A:$A, 0)), ISNUMBER(MATCH(DI$1, AsistenciaJetAdminConcatenada!$B:$B, 0)), ISNUMBER(SEARCH($A63,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ISNUMBER(SEARCH($A63, INDEX(AsistenciaJetAdminConcatenada!$D:$D, MATCH(1, (AsistenciaJetAdminConcatenada!$A:$A=DI$2)*(AsistenciaJetAdminConcatenada!$B:$B=DI$1), 0)), 1))),  0.5, 0))</f>
        <v>0</v>
      </c>
      <c r="DJ63" s="47">
        <f t="array" ref="DJ63">IF(AND(ISNUMBER(MATCH(DJ$2, AsistenciaJetAdminConcatenada!$A:$A, 0)), ISNUMBER(MATCH(DJ$1, AsistenciaJetAdminConcatenada!$B:$B, 0)), ISNUMBER(SEARCH($A63,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ISNUMBER(SEARCH($A63, INDEX(AsistenciaJetAdminConcatenada!$D:$D, MATCH(1, (AsistenciaJetAdminConcatenada!$A:$A=DJ$2)*(AsistenciaJetAdminConcatenada!$B:$B=DJ$1), 0)), 1))),  0.5, 0))</f>
        <v>0</v>
      </c>
      <c r="DK63" s="47">
        <f t="array" ref="DK63">IF(AND(ISNUMBER(MATCH(DK$2, AsistenciaJetAdminConcatenada!$A:$A, 0)), ISNUMBER(MATCH(DK$1, AsistenciaJetAdminConcatenada!$B:$B, 0)), ISNUMBER(SEARCH($A63,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ISNUMBER(SEARCH($A63, INDEX(AsistenciaJetAdminConcatenada!$D:$D, MATCH(1, (AsistenciaJetAdminConcatenada!$A:$A=DK$2)*(AsistenciaJetAdminConcatenada!$B:$B=DK$1), 0)), 1))),  0.5, 0))</f>
        <v>0</v>
      </c>
      <c r="DL63" s="47">
        <f t="array" ref="DL63">IF(AND(ISNUMBER(MATCH(DL$2, AsistenciaJetAdminConcatenada!$A:$A, 0)), ISNUMBER(MATCH(DL$1, AsistenciaJetAdminConcatenada!$B:$B, 0)), ISNUMBER(SEARCH($A63,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ISNUMBER(SEARCH($A63, INDEX(AsistenciaJetAdminConcatenada!$D:$D, MATCH(1, (AsistenciaJetAdminConcatenada!$A:$A=DL$2)*(AsistenciaJetAdminConcatenada!$B:$B=DL$1), 0)), 1))),  0.5, 0))</f>
        <v>0</v>
      </c>
      <c r="DM63" s="47">
        <f t="array" ref="DM63">IF(AND(ISNUMBER(MATCH(DM$2, AsistenciaJetAdminConcatenada!$A:$A, 0)), ISNUMBER(MATCH(DM$1, AsistenciaJetAdminConcatenada!$B:$B, 0)), ISNUMBER(SEARCH($A63,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ISNUMBER(SEARCH($A63, INDEX(AsistenciaJetAdminConcatenada!$D:$D, MATCH(1, (AsistenciaJetAdminConcatenada!$A:$A=DM$2)*(AsistenciaJetAdminConcatenada!$B:$B=DM$1), 0)), 1))),  0.5, 0))</f>
        <v>0</v>
      </c>
      <c r="DN63" s="47">
        <f t="array" ref="DN63">IF(AND(ISNUMBER(MATCH(DN$2, AsistenciaJetAdminConcatenada!$A:$A, 0)), ISNUMBER(MATCH(DN$1, AsistenciaJetAdminConcatenada!$B:$B, 0)), ISNUMBER(SEARCH($A63,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ISNUMBER(SEARCH($A63, INDEX(AsistenciaJetAdminConcatenada!$D:$D, MATCH(1, (AsistenciaJetAdminConcatenada!$A:$A=DN$2)*(AsistenciaJetAdminConcatenada!$B:$B=DN$1), 0)), 1))),  0.5, 0))</f>
        <v>0</v>
      </c>
      <c r="DO63" s="47">
        <f t="array" ref="DO63">IF(AND(ISNUMBER(MATCH(DO$2, AsistenciaJetAdminConcatenada!$A:$A, 0)), ISNUMBER(MATCH(DO$1, AsistenciaJetAdminConcatenada!$B:$B, 0)), ISNUMBER(SEARCH($A63,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ISNUMBER(SEARCH($A63, INDEX(AsistenciaJetAdminConcatenada!$D:$D, MATCH(1, (AsistenciaJetAdminConcatenada!$A:$A=DO$2)*(AsistenciaJetAdminConcatenada!$B:$B=DO$1), 0)), 1))),  0.5, 0))</f>
        <v>0</v>
      </c>
      <c r="DP63" s="47">
        <f t="array" ref="DP63">IF(AND(ISNUMBER(MATCH(DP$2, AsistenciaJetAdminConcatenada!$A:$A, 0)), ISNUMBER(MATCH(DP$1, AsistenciaJetAdminConcatenada!$B:$B, 0)), ISNUMBER(SEARCH($A63,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ISNUMBER(SEARCH($A63, INDEX(AsistenciaJetAdminConcatenada!$D:$D, MATCH(1, (AsistenciaJetAdminConcatenada!$A:$A=DP$2)*(AsistenciaJetAdminConcatenada!$B:$B=DP$1), 0)), 1))),  0.5, 0))</f>
        <v>0</v>
      </c>
      <c r="DQ63" s="47">
        <f t="array" ref="DQ63">IF(AND(ISNUMBER(MATCH(DQ$2, AsistenciaJetAdminConcatenada!$A:$A, 0)), ISNUMBER(MATCH(DQ$1, AsistenciaJetAdminConcatenada!$B:$B, 0)), ISNUMBER(SEARCH($A63,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ISNUMBER(SEARCH($A63, INDEX(AsistenciaJetAdminConcatenada!$D:$D, MATCH(1, (AsistenciaJetAdminConcatenada!$A:$A=DQ$2)*(AsistenciaJetAdminConcatenada!$B:$B=DQ$1), 0)), 1))),  0.5, 0))</f>
        <v>0</v>
      </c>
      <c r="DR63" s="47">
        <f t="array" ref="DR63">IF(AND(ISNUMBER(MATCH(DR$2, AsistenciaJetAdminConcatenada!$A:$A, 0)), ISNUMBER(MATCH(DR$1, AsistenciaJetAdminConcatenada!$B:$B, 0)), ISNUMBER(SEARCH($A63,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ISNUMBER(SEARCH($A63, INDEX(AsistenciaJetAdminConcatenada!$D:$D, MATCH(1, (AsistenciaJetAdminConcatenada!$A:$A=DR$2)*(AsistenciaJetAdminConcatenada!$B:$B=DR$1), 0)), 1))),  0.5, 0))</f>
        <v>0</v>
      </c>
      <c r="DS63" s="47">
        <f t="array" ref="DS63">IF(AND(ISNUMBER(MATCH(DS$2, AsistenciaJetAdminConcatenada!$A:$A, 0)), ISNUMBER(MATCH(DS$1, AsistenciaJetAdminConcatenada!$B:$B, 0)), ISNUMBER(SEARCH($A63,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ISNUMBER(SEARCH($A63, INDEX(AsistenciaJetAdminConcatenada!$D:$D, MATCH(1, (AsistenciaJetAdminConcatenada!$A:$A=DS$2)*(AsistenciaJetAdminConcatenada!$B:$B=DS$1), 0)), 1))),  0.5, 0))</f>
        <v>0</v>
      </c>
      <c r="DT63" s="47">
        <f t="array" ref="DT63">IF(AND(ISNUMBER(MATCH(DT$2, AsistenciaJetAdminConcatenada!$A:$A, 0)), ISNUMBER(MATCH(DT$1, AsistenciaJetAdminConcatenada!$B:$B, 0)), ISNUMBER(SEARCH($A63,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ISNUMBER(SEARCH($A63, INDEX(AsistenciaJetAdminConcatenada!$D:$D, MATCH(1, (AsistenciaJetAdminConcatenada!$A:$A=DT$2)*(AsistenciaJetAdminConcatenada!$B:$B=DT$1), 0)), 1))),  0.5, 0))</f>
        <v>0</v>
      </c>
      <c r="DU63" s="47">
        <f t="array" ref="DU63">IF(AND(ISNUMBER(MATCH(DU$2, AsistenciaJetAdminConcatenada!$A:$A, 0)), ISNUMBER(MATCH(DU$1, AsistenciaJetAdminConcatenada!$B:$B, 0)), ISNUMBER(SEARCH($A63,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ISNUMBER(SEARCH($A63, INDEX(AsistenciaJetAdminConcatenada!$D:$D, MATCH(1, (AsistenciaJetAdminConcatenada!$A:$A=DU$2)*(AsistenciaJetAdminConcatenada!$B:$B=DU$1), 0)), 1))),  0.5, 0))</f>
        <v>0</v>
      </c>
      <c r="DV63" s="47">
        <f t="array" ref="DV63">IF(AND(ISNUMBER(MATCH(DV$2, AsistenciaJetAdminConcatenada!$A:$A, 0)), ISNUMBER(MATCH(DV$1, AsistenciaJetAdminConcatenada!$B:$B, 0)), ISNUMBER(SEARCH($A63,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ISNUMBER(SEARCH($A63, INDEX(AsistenciaJetAdminConcatenada!$D:$D, MATCH(1, (AsistenciaJetAdminConcatenada!$A:$A=DV$2)*(AsistenciaJetAdminConcatenada!$B:$B=DV$1), 0)), 1))),  0.5, 0))</f>
        <v>0</v>
      </c>
      <c r="DW63" s="47">
        <f t="array" ref="DW63">IF(AND(ISNUMBER(MATCH(DW$2, AsistenciaJetAdminConcatenada!$A:$A, 0)), ISNUMBER(MATCH(DW$1, AsistenciaJetAdminConcatenada!$B:$B, 0)), ISNUMBER(SEARCH($A63,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ISNUMBER(SEARCH($A63, INDEX(AsistenciaJetAdminConcatenada!$D:$D, MATCH(1, (AsistenciaJetAdminConcatenada!$A:$A=DW$2)*(AsistenciaJetAdminConcatenada!$B:$B=DW$1), 0)), 1))),  0.5, 0))</f>
        <v>0</v>
      </c>
      <c r="DX63" s="47">
        <f t="array" ref="DX63">IF(AND(ISNUMBER(MATCH(DX$2, AsistenciaJetAdminConcatenada!$A:$A, 0)), ISNUMBER(MATCH(DX$1, AsistenciaJetAdminConcatenada!$B:$B, 0)), ISNUMBER(SEARCH($A63,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ISNUMBER(SEARCH($A63, INDEX(AsistenciaJetAdminConcatenada!$D:$D, MATCH(1, (AsistenciaJetAdminConcatenada!$A:$A=DX$2)*(AsistenciaJetAdminConcatenada!$B:$B=DX$1), 0)), 1))),  0.5, 0))</f>
        <v>0</v>
      </c>
      <c r="DY63" s="47">
        <f t="array" ref="DY63">IF(AND(ISNUMBER(MATCH(DY$2, AsistenciaJetAdminConcatenada!$A:$A, 0)), ISNUMBER(MATCH(DY$1, AsistenciaJetAdminConcatenada!$B:$B, 0)), ISNUMBER(SEARCH($A63,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ISNUMBER(SEARCH($A63, INDEX(AsistenciaJetAdminConcatenada!$D:$D, MATCH(1, (AsistenciaJetAdminConcatenada!$A:$A=DY$2)*(AsistenciaJetAdminConcatenada!$B:$B=DY$1), 0)), 1))),  0.5, 0))</f>
        <v>0</v>
      </c>
      <c r="DZ63" s="47">
        <f t="array" ref="DZ63">IF(AND(ISNUMBER(MATCH(DZ$2, AsistenciaJetAdminConcatenada!$A:$A, 0)), ISNUMBER(MATCH(DZ$1, AsistenciaJetAdminConcatenada!$B:$B, 0)), ISNUMBER(SEARCH($A63,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ISNUMBER(SEARCH($A63, INDEX(AsistenciaJetAdminConcatenada!$D:$D, MATCH(1, (AsistenciaJetAdminConcatenada!$A:$A=DZ$2)*(AsistenciaJetAdminConcatenada!$B:$B=DZ$1), 0)), 1))),  0.5, 0))</f>
        <v>0</v>
      </c>
      <c r="EA63" s="47">
        <f t="array" ref="EA63">IF(AND(ISNUMBER(MATCH(EA$2, AsistenciaJetAdminConcatenada!$A:$A, 0)), ISNUMBER(MATCH(EA$1, AsistenciaJetAdminConcatenada!$B:$B, 0)), ISNUMBER(SEARCH($A63,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ISNUMBER(SEARCH($A63, INDEX(AsistenciaJetAdminConcatenada!$D:$D, MATCH(1, (AsistenciaJetAdminConcatenada!$A:$A=EA$2)*(AsistenciaJetAdminConcatenada!$B:$B=EA$1), 0)), 1))),  0.5, 0))</f>
        <v>0</v>
      </c>
      <c r="EB63" s="47">
        <f t="array" ref="EB63">IF(AND(ISNUMBER(MATCH(EB$2, AsistenciaJetAdminConcatenada!$A:$A, 0)), ISNUMBER(MATCH(EB$1, AsistenciaJetAdminConcatenada!$B:$B, 0)), ISNUMBER(SEARCH($A63,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ISNUMBER(SEARCH($A63, INDEX(AsistenciaJetAdminConcatenada!$D:$D, MATCH(1, (AsistenciaJetAdminConcatenada!$A:$A=EB$2)*(AsistenciaJetAdminConcatenada!$B:$B=EB$1), 0)), 1))),  0.5, 0))</f>
        <v>0</v>
      </c>
      <c r="EC63" s="47">
        <f t="array" ref="EC63">IF(AND(ISNUMBER(MATCH(EC$2, AsistenciaJetAdminConcatenada!$A:$A, 0)), ISNUMBER(MATCH(EC$1, AsistenciaJetAdminConcatenada!$B:$B, 0)), ISNUMBER(SEARCH($A63,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ISNUMBER(SEARCH($A63, INDEX(AsistenciaJetAdminConcatenada!$D:$D, MATCH(1, (AsistenciaJetAdminConcatenada!$A:$A=EC$2)*(AsistenciaJetAdminConcatenada!$B:$B=EC$1), 0)), 1))),  0.5, 0))</f>
        <v>0</v>
      </c>
      <c r="ED63" s="47">
        <f t="array" ref="ED63">IF(AND(ISNUMBER(MATCH(ED$2, AsistenciaJetAdminConcatenada!$A:$A, 0)), ISNUMBER(MATCH(ED$1, AsistenciaJetAdminConcatenada!$B:$B, 0)), ISNUMBER(SEARCH($A63,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ISNUMBER(SEARCH($A63, INDEX(AsistenciaJetAdminConcatenada!$D:$D, MATCH(1, (AsistenciaJetAdminConcatenada!$A:$A=ED$2)*(AsistenciaJetAdminConcatenada!$B:$B=ED$1), 0)), 1))),  0.5, 0))</f>
        <v>0</v>
      </c>
      <c r="EE63" s="47">
        <f t="array" ref="EE63">IF(AND(ISNUMBER(MATCH(EE$2, AsistenciaJetAdminConcatenada!$A:$A, 0)), ISNUMBER(MATCH(EE$1, AsistenciaJetAdminConcatenada!$B:$B, 0)), ISNUMBER(SEARCH($A63,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ISNUMBER(SEARCH($A63, INDEX(AsistenciaJetAdminConcatenada!$D:$D, MATCH(1, (AsistenciaJetAdminConcatenada!$A:$A=EE$2)*(AsistenciaJetAdminConcatenada!$B:$B=EE$1), 0)), 1))),  0.5, 0))</f>
        <v>0</v>
      </c>
      <c r="EF63" s="47">
        <f t="array" ref="EF63">IF(AND(ISNUMBER(MATCH(EF$2, AsistenciaJetAdminConcatenada!$A:$A, 0)), ISNUMBER(MATCH(EF$1, AsistenciaJetAdminConcatenada!$B:$B, 0)), ISNUMBER(SEARCH($A63,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ISNUMBER(SEARCH($A63, INDEX(AsistenciaJetAdminConcatenada!$D:$D, MATCH(1, (AsistenciaJetAdminConcatenada!$A:$A=EF$2)*(AsistenciaJetAdminConcatenada!$B:$B=EF$1), 0)), 1))),  0.5, 0))</f>
        <v>0</v>
      </c>
      <c r="EG63" s="47">
        <f t="array" ref="EG63">IF(AND(ISNUMBER(MATCH(EG$2, AsistenciaJetAdminConcatenada!$A:$A, 0)), ISNUMBER(MATCH(EG$1, AsistenciaJetAdminConcatenada!$B:$B, 0)), ISNUMBER(SEARCH($A63,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ISNUMBER(SEARCH($A63, INDEX(AsistenciaJetAdminConcatenada!$D:$D, MATCH(1, (AsistenciaJetAdminConcatenada!$A:$A=EG$2)*(AsistenciaJetAdminConcatenada!$B:$B=EG$1), 0)), 1))),  0.5, 0))</f>
        <v>0</v>
      </c>
      <c r="EH63" s="47">
        <f t="array" ref="EH63">IF(AND(ISNUMBER(MATCH(EH$2, AsistenciaJetAdminConcatenada!$A:$A, 0)), ISNUMBER(MATCH(EH$1, AsistenciaJetAdminConcatenada!$B:$B, 0)), ISNUMBER(SEARCH($A63,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ISNUMBER(SEARCH($A63, INDEX(AsistenciaJetAdminConcatenada!$D:$D, MATCH(1, (AsistenciaJetAdminConcatenada!$A:$A=EH$2)*(AsistenciaJetAdminConcatenada!$B:$B=EH$1), 0)), 1))),  0.5, 0))</f>
        <v>0</v>
      </c>
      <c r="EI63" s="47">
        <f t="array" ref="EI63">IF(AND(ISNUMBER(MATCH(EI$2, AsistenciaJetAdminConcatenada!$A:$A, 0)), ISNUMBER(MATCH(EI$1, AsistenciaJetAdminConcatenada!$B:$B, 0)), ISNUMBER(SEARCH($A63,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ISNUMBER(SEARCH($A63, INDEX(AsistenciaJetAdminConcatenada!$D:$D, MATCH(1, (AsistenciaJetAdminConcatenada!$A:$A=EI$2)*(AsistenciaJetAdminConcatenada!$B:$B=EI$1), 0)), 1))),  0.5, 0))</f>
        <v>0</v>
      </c>
      <c r="EJ63" s="47">
        <f t="array" ref="EJ63">IF(AND(ISNUMBER(MATCH(EJ$2, AsistenciaJetAdminConcatenada!$A:$A, 0)), ISNUMBER(MATCH(EJ$1, AsistenciaJetAdminConcatenada!$B:$B, 0)), ISNUMBER(SEARCH($A63,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ISNUMBER(SEARCH($A63, INDEX(AsistenciaJetAdminConcatenada!$D:$D, MATCH(1, (AsistenciaJetAdminConcatenada!$A:$A=EJ$2)*(AsistenciaJetAdminConcatenada!$B:$B=EJ$1), 0)), 1))),  0.5, 0))</f>
        <v>0</v>
      </c>
      <c r="EK63" s="47">
        <f t="array" ref="EK63">IF(AND(ISNUMBER(MATCH(EK$2, AsistenciaJetAdminConcatenada!$A:$A, 0)), ISNUMBER(MATCH(EK$1, AsistenciaJetAdminConcatenada!$B:$B, 0)), ISNUMBER(SEARCH($A63,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ISNUMBER(SEARCH($A63, INDEX(AsistenciaJetAdminConcatenada!$D:$D, MATCH(1, (AsistenciaJetAdminConcatenada!$A:$A=EK$2)*(AsistenciaJetAdminConcatenada!$B:$B=EK$1), 0)), 1))),  0.5, 0))</f>
        <v>0</v>
      </c>
      <c r="EL63" s="47">
        <f t="array" ref="EL63">IF(AND(ISNUMBER(MATCH(EL$2, AsistenciaJetAdminConcatenada!$A:$A, 0)), ISNUMBER(MATCH(EL$1, AsistenciaJetAdminConcatenada!$B:$B, 0)), ISNUMBER(SEARCH($A63,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ISNUMBER(SEARCH($A63, INDEX(AsistenciaJetAdminConcatenada!$D:$D, MATCH(1, (AsistenciaJetAdminConcatenada!$A:$A=EL$2)*(AsistenciaJetAdminConcatenada!$B:$B=EL$1), 0)), 1))),  0.5, 0))</f>
        <v>0</v>
      </c>
      <c r="EM63" s="47">
        <f t="array" ref="EM63">IF(AND(ISNUMBER(MATCH(EM$2, AsistenciaJetAdminConcatenada!$A:$A, 0)), ISNUMBER(MATCH(EM$1, AsistenciaJetAdminConcatenada!$B:$B, 0)), ISNUMBER(SEARCH($A63,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ISNUMBER(SEARCH($A63, INDEX(AsistenciaJetAdminConcatenada!$D:$D, MATCH(1, (AsistenciaJetAdminConcatenada!$A:$A=EM$2)*(AsistenciaJetAdminConcatenada!$B:$B=EM$1), 0)), 1))),  0.5, 0))</f>
        <v>0</v>
      </c>
      <c r="EN63" s="47">
        <f t="array" ref="EN63">IF(AND(ISNUMBER(MATCH(EN$2, AsistenciaJetAdminConcatenada!$A:$A, 0)), ISNUMBER(MATCH(EN$1, AsistenciaJetAdminConcatenada!$B:$B, 0)), ISNUMBER(SEARCH($A63,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ISNUMBER(SEARCH($A63, INDEX(AsistenciaJetAdminConcatenada!$D:$D, MATCH(1, (AsistenciaJetAdminConcatenada!$A:$A=EN$2)*(AsistenciaJetAdminConcatenada!$B:$B=EN$1), 0)), 1))),  0.5, 0))</f>
        <v>0</v>
      </c>
      <c r="EO63" s="47">
        <f t="array" ref="EO63">IF(AND(ISNUMBER(MATCH(EO$2, AsistenciaJetAdminConcatenada!$A:$A, 0)), ISNUMBER(MATCH(EO$1, AsistenciaJetAdminConcatenada!$B:$B, 0)), ISNUMBER(SEARCH($A63,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ISNUMBER(SEARCH($A63, INDEX(AsistenciaJetAdminConcatenada!$D:$D, MATCH(1, (AsistenciaJetAdminConcatenada!$A:$A=EO$2)*(AsistenciaJetAdminConcatenada!$B:$B=EO$1), 0)), 1))),  0.5, 0))</f>
        <v>0</v>
      </c>
      <c r="EP63" s="47">
        <f t="array" ref="EP63">IF(AND(ISNUMBER(MATCH(EP$2, AsistenciaJetAdminConcatenada!$A:$A, 0)), ISNUMBER(MATCH(EP$1, AsistenciaJetAdminConcatenada!$B:$B, 0)), ISNUMBER(SEARCH($A63,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ISNUMBER(SEARCH($A63, INDEX(AsistenciaJetAdminConcatenada!$D:$D, MATCH(1, (AsistenciaJetAdminConcatenada!$A:$A=EP$2)*(AsistenciaJetAdminConcatenada!$B:$B=EP$1), 0)), 1))),  0.5, 0))</f>
        <v>0</v>
      </c>
      <c r="EQ63" s="47">
        <f t="array" ref="EQ63">IF(AND(ISNUMBER(MATCH(EQ$2, AsistenciaJetAdminConcatenada!$A:$A, 0)), ISNUMBER(MATCH(EQ$1, AsistenciaJetAdminConcatenada!$B:$B, 0)), ISNUMBER(SEARCH($A63,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ISNUMBER(SEARCH($A63, INDEX(AsistenciaJetAdminConcatenada!$D:$D, MATCH(1, (AsistenciaJetAdminConcatenada!$A:$A=EQ$2)*(AsistenciaJetAdminConcatenada!$B:$B=EQ$1), 0)), 1))),  0.5, 0))</f>
        <v>0</v>
      </c>
      <c r="ER63" s="47">
        <f t="array" ref="ER63">IF(AND(ISNUMBER(MATCH(ER$2, AsistenciaJetAdminConcatenada!$A:$A, 0)), ISNUMBER(MATCH(ER$1, AsistenciaJetAdminConcatenada!$B:$B, 0)), ISNUMBER(SEARCH($A63,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ISNUMBER(SEARCH($A63, INDEX(AsistenciaJetAdminConcatenada!$D:$D, MATCH(1, (AsistenciaJetAdminConcatenada!$A:$A=ER$2)*(AsistenciaJetAdminConcatenada!$B:$B=ER$1), 0)), 1))),  0.5, 0))</f>
        <v>0</v>
      </c>
      <c r="ES63" s="47">
        <f t="array" ref="ES63">IF(AND(ISNUMBER(MATCH(ES$2, AsistenciaJetAdminConcatenada!$A:$A, 0)), ISNUMBER(MATCH(ES$1, AsistenciaJetAdminConcatenada!$B:$B, 0)), ISNUMBER(SEARCH($A63,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ISNUMBER(SEARCH($A63, INDEX(AsistenciaJetAdminConcatenada!$D:$D, MATCH(1, (AsistenciaJetAdminConcatenada!$A:$A=ES$2)*(AsistenciaJetAdminConcatenada!$B:$B=ES$1), 0)), 1))),  0.5, 0))</f>
        <v>0</v>
      </c>
      <c r="ET63" s="47">
        <f t="array" ref="ET63">IF(AND(ISNUMBER(MATCH(ET$2, AsistenciaJetAdminConcatenada!$A:$A, 0)), ISNUMBER(MATCH(ET$1, AsistenciaJetAdminConcatenada!$B:$B, 0)), ISNUMBER(SEARCH($A63,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ISNUMBER(SEARCH($A63, INDEX(AsistenciaJetAdminConcatenada!$D:$D, MATCH(1, (AsistenciaJetAdminConcatenada!$A:$A=ET$2)*(AsistenciaJetAdminConcatenada!$B:$B=ET$1), 0)), 1))),  0.5, 0))</f>
        <v>0</v>
      </c>
      <c r="EU63" s="47">
        <f t="array" ref="EU63">IF(AND(ISNUMBER(MATCH(EU$2, AsistenciaJetAdminConcatenada!$A:$A, 0)), ISNUMBER(MATCH(EU$1, AsistenciaJetAdminConcatenada!$B:$B, 0)), ISNUMBER(SEARCH($A63,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ISNUMBER(SEARCH($A63, INDEX(AsistenciaJetAdminConcatenada!$D:$D, MATCH(1, (AsistenciaJetAdminConcatenada!$A:$A=EU$2)*(AsistenciaJetAdminConcatenada!$B:$B=EU$1), 0)), 1))),  0.5, 0))</f>
        <v>0</v>
      </c>
      <c r="EV63" s="47">
        <f t="array" ref="EV63">IF(AND(ISNUMBER(MATCH(EV$2, AsistenciaJetAdminConcatenada!$A:$A, 0)), ISNUMBER(MATCH(EV$1, AsistenciaJetAdminConcatenada!$B:$B, 0)), ISNUMBER(SEARCH($A63,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ISNUMBER(SEARCH($A63, INDEX(AsistenciaJetAdminConcatenada!$D:$D, MATCH(1, (AsistenciaJetAdminConcatenada!$A:$A=EV$2)*(AsistenciaJetAdminConcatenada!$B:$B=EV$1), 0)), 1))),  0.5, 0))</f>
        <v>0</v>
      </c>
      <c r="EW63" s="47">
        <f t="array" ref="EW63">IF(AND(ISNUMBER(MATCH(EW$2, AsistenciaJetAdminConcatenada!$A:$A, 0)), ISNUMBER(MATCH(EW$1, AsistenciaJetAdminConcatenada!$B:$B, 0)), ISNUMBER(SEARCH($A63,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ISNUMBER(SEARCH($A63, INDEX(AsistenciaJetAdminConcatenada!$D:$D, MATCH(1, (AsistenciaJetAdminConcatenada!$A:$A=EW$2)*(AsistenciaJetAdminConcatenada!$B:$B=EW$1), 0)), 1))),  0.5, 0))</f>
        <v>0</v>
      </c>
      <c r="EX63" s="47">
        <f t="array" ref="EX63">IF(AND(ISNUMBER(MATCH(EX$2, AsistenciaJetAdminConcatenada!$A:$A, 0)), ISNUMBER(MATCH(EX$1, AsistenciaJetAdminConcatenada!$B:$B, 0)), ISNUMBER(SEARCH($A63,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ISNUMBER(SEARCH($A63, INDEX(AsistenciaJetAdminConcatenada!$D:$D, MATCH(1, (AsistenciaJetAdminConcatenada!$A:$A=EX$2)*(AsistenciaJetAdminConcatenada!$B:$B=EX$1), 0)), 1))),  0.5, 0))</f>
        <v>0</v>
      </c>
      <c r="EY63" s="47">
        <f t="array" ref="EY63">IF(AND(ISNUMBER(MATCH(EY$2, AsistenciaJetAdminConcatenada!$A:$A, 0)), ISNUMBER(MATCH(EY$1, AsistenciaJetAdminConcatenada!$B:$B, 0)), ISNUMBER(SEARCH($A63,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ISNUMBER(SEARCH($A63, INDEX(AsistenciaJetAdminConcatenada!$D:$D, MATCH(1, (AsistenciaJetAdminConcatenada!$A:$A=EY$2)*(AsistenciaJetAdminConcatenada!$B:$B=EY$1), 0)), 1))),  0.5, 0))</f>
        <v>0</v>
      </c>
      <c r="EZ63" s="47">
        <f t="array" ref="EZ63">IF(AND(ISNUMBER(MATCH(EZ$2, AsistenciaJetAdminConcatenada!$A:$A, 0)), ISNUMBER(MATCH(EZ$1, AsistenciaJetAdminConcatenada!$B:$B, 0)), ISNUMBER(SEARCH($A63,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ISNUMBER(SEARCH($A63, INDEX(AsistenciaJetAdminConcatenada!$D:$D, MATCH(1, (AsistenciaJetAdminConcatenada!$A:$A=EZ$2)*(AsistenciaJetAdminConcatenada!$B:$B=EZ$1), 0)), 1))),  0.5, 0))</f>
        <v>0</v>
      </c>
      <c r="FA63" s="47">
        <f t="array" ref="FA63">IF(AND(ISNUMBER(MATCH(FA$2, AsistenciaJetAdminConcatenada!$A:$A, 0)), ISNUMBER(MATCH(FA$1, AsistenciaJetAdminConcatenada!$B:$B, 0)), ISNUMBER(SEARCH($A63,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ISNUMBER(SEARCH($A63, INDEX(AsistenciaJetAdminConcatenada!$D:$D, MATCH(1, (AsistenciaJetAdminConcatenada!$A:$A=FA$2)*(AsistenciaJetAdminConcatenada!$B:$B=FA$1), 0)), 1))),  0.5, 0))</f>
        <v>0</v>
      </c>
      <c r="FB63" s="47">
        <f t="array" ref="FB63">IF(AND(ISNUMBER(MATCH(FB$2, AsistenciaJetAdminConcatenada!$A:$A, 0)), ISNUMBER(MATCH(FB$1, AsistenciaJetAdminConcatenada!$B:$B, 0)), ISNUMBER(SEARCH($A63,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ISNUMBER(SEARCH($A63, INDEX(AsistenciaJetAdminConcatenada!$D:$D, MATCH(1, (AsistenciaJetAdminConcatenada!$A:$A=FB$2)*(AsistenciaJetAdminConcatenada!$B:$B=FB$1), 0)), 1))),  0.5, 0))</f>
        <v>0</v>
      </c>
      <c r="FC63" s="47">
        <f t="array" ref="FC63">IF(AND(ISNUMBER(MATCH(FC$2, AsistenciaJetAdminConcatenada!$A:$A, 0)), ISNUMBER(MATCH(FC$1, AsistenciaJetAdminConcatenada!$B:$B, 0)), ISNUMBER(SEARCH($A63,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ISNUMBER(SEARCH($A63, INDEX(AsistenciaJetAdminConcatenada!$D:$D, MATCH(1, (AsistenciaJetAdminConcatenada!$A:$A=FC$2)*(AsistenciaJetAdminConcatenada!$B:$B=FC$1), 0)), 1))),  0.5, 0))</f>
        <v>0</v>
      </c>
      <c r="FD63" s="47">
        <f t="array" ref="FD63">IF(AND(ISNUMBER(MATCH(FD$2, AsistenciaJetAdminConcatenada!$A:$A, 0)), ISNUMBER(MATCH(FD$1, AsistenciaJetAdminConcatenada!$B:$B, 0)), ISNUMBER(SEARCH($A63,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ISNUMBER(SEARCH($A63, INDEX(AsistenciaJetAdminConcatenada!$D:$D, MATCH(1, (AsistenciaJetAdminConcatenada!$A:$A=FD$2)*(AsistenciaJetAdminConcatenada!$B:$B=FD$1), 0)), 1))),  0.5, 0))</f>
        <v>0</v>
      </c>
      <c r="FE63" s="47">
        <f t="array" ref="FE63">IF(AND(ISNUMBER(MATCH(FE$2, AsistenciaJetAdminConcatenada!$A:$A, 0)), ISNUMBER(MATCH(FE$1, AsistenciaJetAdminConcatenada!$B:$B, 0)), ISNUMBER(SEARCH($A63,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ISNUMBER(SEARCH($A63, INDEX(AsistenciaJetAdminConcatenada!$D:$D, MATCH(1, (AsistenciaJetAdminConcatenada!$A:$A=FE$2)*(AsistenciaJetAdminConcatenada!$B:$B=FE$1), 0)), 1))),  0.5, 0))</f>
        <v>0</v>
      </c>
      <c r="FF63" s="47">
        <f t="array" ref="FF63">IF(AND(ISNUMBER(MATCH(FF$2, AsistenciaJetAdminConcatenada!$A:$A, 0)), ISNUMBER(MATCH(FF$1, AsistenciaJetAdminConcatenada!$B:$B, 0)), ISNUMBER(SEARCH($A63,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ISNUMBER(SEARCH($A63, INDEX(AsistenciaJetAdminConcatenada!$D:$D, MATCH(1, (AsistenciaJetAdminConcatenada!$A:$A=FF$2)*(AsistenciaJetAdminConcatenada!$B:$B=FF$1), 0)), 1))),  0.5, 0))</f>
        <v>0</v>
      </c>
      <c r="FG63" s="47">
        <f t="array" ref="FG63">IF(AND(ISNUMBER(MATCH(FG$2, AsistenciaJetAdminConcatenada!$A:$A, 0)), ISNUMBER(MATCH(FG$1, AsistenciaJetAdminConcatenada!$B:$B, 0)), ISNUMBER(SEARCH($A63,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ISNUMBER(SEARCH($A63, INDEX(AsistenciaJetAdminConcatenada!$D:$D, MATCH(1, (AsistenciaJetAdminConcatenada!$A:$A=FG$2)*(AsistenciaJetAdminConcatenada!$B:$B=FG$1), 0)), 1))),  0.5, 0))</f>
        <v>0</v>
      </c>
      <c r="FH63" s="47">
        <f t="array" ref="FH63">IF(AND(ISNUMBER(MATCH(FH$2, AsistenciaJetAdminConcatenada!$A:$A, 0)), ISNUMBER(MATCH(FH$1, AsistenciaJetAdminConcatenada!$B:$B, 0)), ISNUMBER(SEARCH($A63,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ISNUMBER(SEARCH($A63, INDEX(AsistenciaJetAdminConcatenada!$D:$D, MATCH(1, (AsistenciaJetAdminConcatenada!$A:$A=FH$2)*(AsistenciaJetAdminConcatenada!$B:$B=FH$1), 0)), 1))),  0.5, 0))</f>
        <v>0</v>
      </c>
      <c r="FI63" s="47">
        <f t="array" ref="FI63">IF(AND(ISNUMBER(MATCH(FI$2, AsistenciaJetAdminConcatenada!$A:$A, 0)), ISNUMBER(MATCH(FI$1, AsistenciaJetAdminConcatenada!$B:$B, 0)), ISNUMBER(SEARCH($A63,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ISNUMBER(SEARCH($A63, INDEX(AsistenciaJetAdminConcatenada!$D:$D, MATCH(1, (AsistenciaJetAdminConcatenada!$A:$A=FI$2)*(AsistenciaJetAdminConcatenada!$B:$B=FI$1), 0)), 1))),  0.5, 0))</f>
        <v>0</v>
      </c>
      <c r="FJ63" s="47">
        <f t="array" ref="FJ63">IF(AND(ISNUMBER(MATCH(FJ$2, AsistenciaJetAdminConcatenada!$A:$A, 0)), ISNUMBER(MATCH(FJ$1, AsistenciaJetAdminConcatenada!$B:$B, 0)), ISNUMBER(SEARCH($A63,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ISNUMBER(SEARCH($A63, INDEX(AsistenciaJetAdminConcatenada!$D:$D, MATCH(1, (AsistenciaJetAdminConcatenada!$A:$A=FJ$2)*(AsistenciaJetAdminConcatenada!$B:$B=FJ$1), 0)), 1))),  0.5, 0))</f>
        <v>0</v>
      </c>
      <c r="FK63" s="47">
        <f t="array" ref="FK63">IF(AND(ISNUMBER(MATCH(FK$2, AsistenciaJetAdminConcatenada!$A:$A, 0)), ISNUMBER(MATCH(FK$1, AsistenciaJetAdminConcatenada!$B:$B, 0)), ISNUMBER(SEARCH($A63,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ISNUMBER(SEARCH($A63, INDEX(AsistenciaJetAdminConcatenada!$D:$D, MATCH(1, (AsistenciaJetAdminConcatenada!$A:$A=FK$2)*(AsistenciaJetAdminConcatenada!$B:$B=FK$1), 0)), 1))),  0.5, 0))</f>
        <v>0</v>
      </c>
      <c r="FL63" s="47">
        <f t="array" ref="FL63">IF(AND(ISNUMBER(MATCH(FL$2, AsistenciaJetAdminConcatenada!$A:$A, 0)), ISNUMBER(MATCH(FL$1, AsistenciaJetAdminConcatenada!$B:$B, 0)), ISNUMBER(SEARCH($A63,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ISNUMBER(SEARCH($A63, INDEX(AsistenciaJetAdminConcatenada!$D:$D, MATCH(1, (AsistenciaJetAdminConcatenada!$A:$A=FL$2)*(AsistenciaJetAdminConcatenada!$B:$B=FL$1), 0)), 1))),  0.5, 0))</f>
        <v>0</v>
      </c>
      <c r="FM63" s="47">
        <f t="array" ref="FM63">IF(AND(ISNUMBER(MATCH(FM$2, AsistenciaJetAdminConcatenada!$A:$A, 0)), ISNUMBER(MATCH(FM$1, AsistenciaJetAdminConcatenada!$B:$B, 0)), ISNUMBER(SEARCH($A63,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ISNUMBER(SEARCH($A63, INDEX(AsistenciaJetAdminConcatenada!$D:$D, MATCH(1, (AsistenciaJetAdminConcatenada!$A:$A=FM$2)*(AsistenciaJetAdminConcatenada!$B:$B=FM$1), 0)), 1))),  0.5, 0))</f>
        <v>0</v>
      </c>
      <c r="FN63" s="47">
        <f t="array" ref="FN63">IF(AND(ISNUMBER(MATCH(FN$2, AsistenciaJetAdminConcatenada!$A:$A, 0)), ISNUMBER(MATCH(FN$1, AsistenciaJetAdminConcatenada!$B:$B, 0)), ISNUMBER(SEARCH($A63,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ISNUMBER(SEARCH($A63, INDEX(AsistenciaJetAdminConcatenada!$D:$D, MATCH(1, (AsistenciaJetAdminConcatenada!$A:$A=FN$2)*(AsistenciaJetAdminConcatenada!$B:$B=FN$1), 0)), 1))),  0.5, 0))</f>
        <v>0</v>
      </c>
      <c r="FO63" s="47">
        <f t="array" ref="FO63">IF(AND(ISNUMBER(MATCH(FO$2, AsistenciaJetAdminConcatenada!$A:$A, 0)), ISNUMBER(MATCH(FO$1, AsistenciaJetAdminConcatenada!$B:$B, 0)), ISNUMBER(SEARCH($A63,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ISNUMBER(SEARCH($A63, INDEX(AsistenciaJetAdminConcatenada!$D:$D, MATCH(1, (AsistenciaJetAdminConcatenada!$A:$A=FO$2)*(AsistenciaJetAdminConcatenada!$B:$B=FO$1), 0)), 1))),  0.5, 0))</f>
        <v>0</v>
      </c>
      <c r="FP63" s="47">
        <f t="array" ref="FP63">IF(AND(ISNUMBER(MATCH(FP$2, AsistenciaJetAdminConcatenada!$A:$A, 0)), ISNUMBER(MATCH(FP$1, AsistenciaJetAdminConcatenada!$B:$B, 0)), ISNUMBER(SEARCH($A63,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ISNUMBER(SEARCH($A63, INDEX(AsistenciaJetAdminConcatenada!$D:$D, MATCH(1, (AsistenciaJetAdminConcatenada!$A:$A=FP$2)*(AsistenciaJetAdminConcatenada!$B:$B=FP$1), 0)), 1))),  0.5, 0))</f>
        <v>0</v>
      </c>
      <c r="FQ63" s="47">
        <f t="array" ref="FQ63">IF(AND(ISNUMBER(MATCH(FQ$2, AsistenciaJetAdminConcatenada!$A:$A, 0)), ISNUMBER(MATCH(FQ$1, AsistenciaJetAdminConcatenada!$B:$B, 0)), ISNUMBER(SEARCH($A63,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ISNUMBER(SEARCH($A63, INDEX(AsistenciaJetAdminConcatenada!$D:$D, MATCH(1, (AsistenciaJetAdminConcatenada!$A:$A=FQ$2)*(AsistenciaJetAdminConcatenada!$B:$B=FQ$1), 0)), 1))),  0.5, 0))</f>
        <v>0</v>
      </c>
      <c r="FR63" s="47">
        <f t="array" ref="FR63">IF(AND(ISNUMBER(MATCH(FR$2, AsistenciaJetAdminConcatenada!$A:$A, 0)), ISNUMBER(MATCH(FR$1, AsistenciaJetAdminConcatenada!$B:$B, 0)), ISNUMBER(SEARCH($A63,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ISNUMBER(SEARCH($A63, INDEX(AsistenciaJetAdminConcatenada!$D:$D, MATCH(1, (AsistenciaJetAdminConcatenada!$A:$A=FR$2)*(AsistenciaJetAdminConcatenada!$B:$B=FR$1), 0)), 1))),  0.5, 0))</f>
        <v>0</v>
      </c>
      <c r="FS63" s="47">
        <f t="array" ref="FS63">IF(AND(ISNUMBER(MATCH(FS$2, AsistenciaJetAdminConcatenada!$A:$A, 0)), ISNUMBER(MATCH(FS$1, AsistenciaJetAdminConcatenada!$B:$B, 0)), ISNUMBER(SEARCH($A63,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ISNUMBER(SEARCH($A63, INDEX(AsistenciaJetAdminConcatenada!$D:$D, MATCH(1, (AsistenciaJetAdminConcatenada!$A:$A=FS$2)*(AsistenciaJetAdminConcatenada!$B:$B=FS$1), 0)), 1))),  0.5, 0))</f>
        <v>0</v>
      </c>
      <c r="FT63" s="47">
        <f t="array" ref="FT63">IF(AND(ISNUMBER(MATCH(FT$2, AsistenciaJetAdminConcatenada!$A:$A, 0)), ISNUMBER(MATCH(FT$1, AsistenciaJetAdminConcatenada!$B:$B, 0)), ISNUMBER(SEARCH($A63,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ISNUMBER(SEARCH($A63, INDEX(AsistenciaJetAdminConcatenada!$D:$D, MATCH(1, (AsistenciaJetAdminConcatenada!$A:$A=FT$2)*(AsistenciaJetAdminConcatenada!$B:$B=FT$1), 0)), 1))),  0.5, 0))</f>
        <v>0</v>
      </c>
      <c r="FU63" s="47">
        <f t="array" ref="FU63">IF(AND(ISNUMBER(MATCH(FU$2, AsistenciaJetAdminConcatenada!$A:$A, 0)), ISNUMBER(MATCH(FU$1, AsistenciaJetAdminConcatenada!$B:$B, 0)), ISNUMBER(SEARCH($A63,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ISNUMBER(SEARCH($A63, INDEX(AsistenciaJetAdminConcatenada!$D:$D, MATCH(1, (AsistenciaJetAdminConcatenada!$A:$A=FU$2)*(AsistenciaJetAdminConcatenada!$B:$B=FU$1), 0)), 1))),  0.5, 0))</f>
        <v>0</v>
      </c>
      <c r="FV63" s="47">
        <f t="array" ref="FV63">IF(AND(ISNUMBER(MATCH(FV$2, AsistenciaJetAdminConcatenada!$A:$A, 0)), ISNUMBER(MATCH(FV$1, AsistenciaJetAdminConcatenada!$B:$B, 0)), ISNUMBER(SEARCH($A63,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ISNUMBER(SEARCH($A63, INDEX(AsistenciaJetAdminConcatenada!$D:$D, MATCH(1, (AsistenciaJetAdminConcatenada!$A:$A=FV$2)*(AsistenciaJetAdminConcatenada!$B:$B=FV$1), 0)), 1))),  0.5, 0))</f>
        <v>0</v>
      </c>
      <c r="FW63" s="47">
        <f t="array" ref="FW63">IF(AND(ISNUMBER(MATCH(FW$2, AsistenciaJetAdminConcatenada!$A:$A, 0)), ISNUMBER(MATCH(FW$1, AsistenciaJetAdminConcatenada!$B:$B, 0)), ISNUMBER(SEARCH($A63,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ISNUMBER(SEARCH($A63, INDEX(AsistenciaJetAdminConcatenada!$D:$D, MATCH(1, (AsistenciaJetAdminConcatenada!$A:$A=FW$2)*(AsistenciaJetAdminConcatenada!$B:$B=FW$1), 0)), 1))),  0.5, 0))</f>
        <v>0</v>
      </c>
      <c r="FX63" s="47">
        <f t="array" ref="FX63">IF(AND(ISNUMBER(MATCH(FX$2, AsistenciaJetAdminConcatenada!$A:$A, 0)), ISNUMBER(MATCH(FX$1, AsistenciaJetAdminConcatenada!$B:$B, 0)), ISNUMBER(SEARCH($A63,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ISNUMBER(SEARCH($A63, INDEX(AsistenciaJetAdminConcatenada!$D:$D, MATCH(1, (AsistenciaJetAdminConcatenada!$A:$A=FX$2)*(AsistenciaJetAdminConcatenada!$B:$B=FX$1), 0)), 1))),  0.5, 0))</f>
        <v>0</v>
      </c>
      <c r="FY63" s="47">
        <f t="array" ref="FY63">IF(AND(ISNUMBER(MATCH(FY$2, AsistenciaJetAdminConcatenada!$A:$A, 0)), ISNUMBER(MATCH(FY$1, AsistenciaJetAdminConcatenada!$B:$B, 0)), ISNUMBER(SEARCH($A63,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ISNUMBER(SEARCH($A63, INDEX(AsistenciaJetAdminConcatenada!$D:$D, MATCH(1, (AsistenciaJetAdminConcatenada!$A:$A=FY$2)*(AsistenciaJetAdminConcatenada!$B:$B=FY$1), 0)), 1))),  0.5, 0))</f>
        <v>0</v>
      </c>
      <c r="FZ63" s="47">
        <f t="array" ref="FZ63">IF(AND(ISNUMBER(MATCH(FZ$2, AsistenciaJetAdminConcatenada!$A:$A, 0)), ISNUMBER(MATCH(FZ$1, AsistenciaJetAdminConcatenada!$B:$B, 0)), ISNUMBER(SEARCH($A63,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ISNUMBER(SEARCH($A63, INDEX(AsistenciaJetAdminConcatenada!$D:$D, MATCH(1, (AsistenciaJetAdminConcatenada!$A:$A=FZ$2)*(AsistenciaJetAdminConcatenada!$B:$B=FZ$1), 0)), 1))),  0.5, 0))</f>
        <v>0</v>
      </c>
      <c r="GA63" s="47">
        <f t="array" ref="GA63">IF(AND(ISNUMBER(MATCH(GA$2, AsistenciaJetAdminConcatenada!$A:$A, 0)), ISNUMBER(MATCH(GA$1, AsistenciaJetAdminConcatenada!$B:$B, 0)), ISNUMBER(SEARCH($A63,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ISNUMBER(SEARCH($A63, INDEX(AsistenciaJetAdminConcatenada!$D:$D, MATCH(1, (AsistenciaJetAdminConcatenada!$A:$A=GA$2)*(AsistenciaJetAdminConcatenada!$B:$B=GA$1), 0)), 1))),  0.5, 0))</f>
        <v>0</v>
      </c>
      <c r="GB63" s="47">
        <f t="array" ref="GB63">IF(AND(ISNUMBER(MATCH(GB$2, AsistenciaJetAdminConcatenada!$A:$A, 0)), ISNUMBER(MATCH(GB$1, AsistenciaJetAdminConcatenada!$B:$B, 0)), ISNUMBER(SEARCH($A63,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ISNUMBER(SEARCH($A63, INDEX(AsistenciaJetAdminConcatenada!$D:$D, MATCH(1, (AsistenciaJetAdminConcatenada!$A:$A=GB$2)*(AsistenciaJetAdminConcatenada!$B:$B=GB$1), 0)), 1))),  0.5, 0))</f>
        <v>0</v>
      </c>
      <c r="GC63" s="47">
        <f t="array" ref="GC63">IF(AND(ISNUMBER(MATCH(GC$2, AsistenciaJetAdminConcatenada!$A:$A, 0)), ISNUMBER(MATCH(GC$1, AsistenciaJetAdminConcatenada!$B:$B, 0)), ISNUMBER(SEARCH($A63,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ISNUMBER(SEARCH($A63, INDEX(AsistenciaJetAdminConcatenada!$D:$D, MATCH(1, (AsistenciaJetAdminConcatenada!$A:$A=GC$2)*(AsistenciaJetAdminConcatenada!$B:$B=GC$1), 0)), 1))),  0.5, 0))</f>
        <v>0</v>
      </c>
      <c r="GD63" s="47">
        <f t="array" ref="GD63">IF(AND(ISNUMBER(MATCH(GD$2, AsistenciaJetAdminConcatenada!$A:$A, 0)), ISNUMBER(MATCH(GD$1, AsistenciaJetAdminConcatenada!$B:$B, 0)), ISNUMBER(SEARCH($A63,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ISNUMBER(SEARCH($A63, INDEX(AsistenciaJetAdminConcatenada!$D:$D, MATCH(1, (AsistenciaJetAdminConcatenada!$A:$A=GD$2)*(AsistenciaJetAdminConcatenada!$B:$B=GD$1), 0)), 1))),  0.5, 0))</f>
        <v>0</v>
      </c>
      <c r="GE63" s="47">
        <f t="array" ref="GE63">IF(AND(ISNUMBER(MATCH(GE$2, AsistenciaJetAdminConcatenada!$A:$A, 0)), ISNUMBER(MATCH(GE$1, AsistenciaJetAdminConcatenada!$B:$B, 0)), ISNUMBER(SEARCH($A63,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ISNUMBER(SEARCH($A63, INDEX(AsistenciaJetAdminConcatenada!$D:$D, MATCH(1, (AsistenciaJetAdminConcatenada!$A:$A=GE$2)*(AsistenciaJetAdminConcatenada!$B:$B=GE$1), 0)), 1))),  0.5, 0))</f>
        <v>0</v>
      </c>
      <c r="GF63" s="47">
        <f t="array" ref="GF63">IF(AND(ISNUMBER(MATCH(GF$2, AsistenciaJetAdminConcatenada!$A:$A, 0)), ISNUMBER(MATCH(GF$1, AsistenciaJetAdminConcatenada!$B:$B, 0)), ISNUMBER(SEARCH($A63,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ISNUMBER(SEARCH($A63, INDEX(AsistenciaJetAdminConcatenada!$D:$D, MATCH(1, (AsistenciaJetAdminConcatenada!$A:$A=GF$2)*(AsistenciaJetAdminConcatenada!$B:$B=GF$1), 0)), 1))),  0.5, 0))</f>
        <v>0</v>
      </c>
      <c r="GG63" s="47">
        <f t="array" ref="GG63">IF(AND(ISNUMBER(MATCH(GG$2, AsistenciaJetAdminConcatenada!$A:$A, 0)), ISNUMBER(MATCH(GG$1, AsistenciaJetAdminConcatenada!$B:$B, 0)), ISNUMBER(SEARCH($A63,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ISNUMBER(SEARCH($A63, INDEX(AsistenciaJetAdminConcatenada!$D:$D, MATCH(1, (AsistenciaJetAdminConcatenada!$A:$A=GG$2)*(AsistenciaJetAdminConcatenada!$B:$B=GG$1), 0)), 1))),  0.5, 0))</f>
        <v>0</v>
      </c>
      <c r="GH63" s="47">
        <f t="array" ref="GH63">IF(AND(ISNUMBER(MATCH(GH$2, AsistenciaJetAdminConcatenada!$A:$A, 0)), ISNUMBER(MATCH(GH$1, AsistenciaJetAdminConcatenada!$B:$B, 0)), ISNUMBER(SEARCH($A63,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ISNUMBER(SEARCH($A63, INDEX(AsistenciaJetAdminConcatenada!$D:$D, MATCH(1, (AsistenciaJetAdminConcatenada!$A:$A=GH$2)*(AsistenciaJetAdminConcatenada!$B:$B=GH$1), 0)), 1))),  0.5, 0))</f>
        <v>0</v>
      </c>
      <c r="GI63" s="47">
        <f t="array" ref="GI63">IF(AND(ISNUMBER(MATCH(GI$2, AsistenciaJetAdminConcatenada!$A:$A, 0)), ISNUMBER(MATCH(GI$1, AsistenciaJetAdminConcatenada!$B:$B, 0)), ISNUMBER(SEARCH($A63,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ISNUMBER(SEARCH($A63, INDEX(AsistenciaJetAdminConcatenada!$D:$D, MATCH(1, (AsistenciaJetAdminConcatenada!$A:$A=GI$2)*(AsistenciaJetAdminConcatenada!$B:$B=GI$1), 0)), 1))),  0.5, 0))</f>
        <v>0</v>
      </c>
      <c r="GJ63" s="47">
        <f t="array" ref="GJ63">IF(AND(ISNUMBER(MATCH(GJ$2, AsistenciaJetAdminConcatenada!$A:$A, 0)), ISNUMBER(MATCH(GJ$1, AsistenciaJetAdminConcatenada!$B:$B, 0)), ISNUMBER(SEARCH($A63,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ISNUMBER(SEARCH($A63, INDEX(AsistenciaJetAdminConcatenada!$D:$D, MATCH(1, (AsistenciaJetAdminConcatenada!$A:$A=GJ$2)*(AsistenciaJetAdminConcatenada!$B:$B=GJ$1), 0)), 1))),  0.5, 0))</f>
        <v>0</v>
      </c>
      <c r="GK63" s="47">
        <f t="array" ref="GK63">IF(AND(ISNUMBER(MATCH(GK$2, AsistenciaJetAdminConcatenada!$A:$A, 0)), ISNUMBER(MATCH(GK$1, AsistenciaJetAdminConcatenada!$B:$B, 0)), ISNUMBER(SEARCH($A63,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ISNUMBER(SEARCH($A63, INDEX(AsistenciaJetAdminConcatenada!$D:$D, MATCH(1, (AsistenciaJetAdminConcatenada!$A:$A=GK$2)*(AsistenciaJetAdminConcatenada!$B:$B=GK$1), 0)), 1))),  0.5, 0))</f>
        <v>0</v>
      </c>
      <c r="GL63" s="47">
        <f t="array" ref="GL63">IF(AND(ISNUMBER(MATCH(GL$2, AsistenciaJetAdminConcatenada!$A:$A, 0)), ISNUMBER(MATCH(GL$1, AsistenciaJetAdminConcatenada!$B:$B, 0)), ISNUMBER(SEARCH($A63,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ISNUMBER(SEARCH($A63, INDEX(AsistenciaJetAdminConcatenada!$D:$D, MATCH(1, (AsistenciaJetAdminConcatenada!$A:$A=GL$2)*(AsistenciaJetAdminConcatenada!$B:$B=GL$1), 0)), 1))),  0.5, 0))</f>
        <v>0</v>
      </c>
      <c r="GM63" s="47">
        <f t="array" ref="GM63">IF(AND(ISNUMBER(MATCH(GM$2, AsistenciaJetAdminConcatenada!$A:$A, 0)), ISNUMBER(MATCH(GM$1, AsistenciaJetAdminConcatenada!$B:$B, 0)), ISNUMBER(SEARCH($A63,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ISNUMBER(SEARCH($A63, INDEX(AsistenciaJetAdminConcatenada!$D:$D, MATCH(1, (AsistenciaJetAdminConcatenada!$A:$A=GM$2)*(AsistenciaJetAdminConcatenada!$B:$B=GM$1), 0)), 1))),  0.5, 0))</f>
        <v>0</v>
      </c>
      <c r="GN63" s="47">
        <f t="array" ref="GN63">IF(AND(ISNUMBER(MATCH(GN$2, AsistenciaJetAdminConcatenada!$A:$A, 0)), ISNUMBER(MATCH(GN$1, AsistenciaJetAdminConcatenada!$B:$B, 0)), ISNUMBER(SEARCH($A63,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ISNUMBER(SEARCH($A63, INDEX(AsistenciaJetAdminConcatenada!$D:$D, MATCH(1, (AsistenciaJetAdminConcatenada!$A:$A=GN$2)*(AsistenciaJetAdminConcatenada!$B:$B=GN$1), 0)), 1))),  0.5, 0))</f>
        <v>0</v>
      </c>
      <c r="GO63" s="47">
        <f t="array" ref="GO63">IF(AND(ISNUMBER(MATCH(GO$2, AsistenciaJetAdminConcatenada!$A:$A, 0)), ISNUMBER(MATCH(GO$1, AsistenciaJetAdminConcatenada!$B:$B, 0)), ISNUMBER(SEARCH($A63,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ISNUMBER(SEARCH($A63, INDEX(AsistenciaJetAdminConcatenada!$D:$D, MATCH(1, (AsistenciaJetAdminConcatenada!$A:$A=GO$2)*(AsistenciaJetAdminConcatenada!$B:$B=GO$1), 0)), 1))),  0.5, 0))</f>
        <v>0</v>
      </c>
      <c r="GP63" s="47">
        <f t="array" ref="GP63">IF(AND(ISNUMBER(MATCH(GP$2, AsistenciaJetAdminConcatenada!$A:$A, 0)), ISNUMBER(MATCH(GP$1, AsistenciaJetAdminConcatenada!$B:$B, 0)), ISNUMBER(SEARCH($A63,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ISNUMBER(SEARCH($A63, INDEX(AsistenciaJetAdminConcatenada!$D:$D, MATCH(1, (AsistenciaJetAdminConcatenada!$A:$A=GP$2)*(AsistenciaJetAdminConcatenada!$B:$B=GP$1), 0)), 1))),  0.5, 0))</f>
        <v>0</v>
      </c>
      <c r="GQ63" s="47">
        <f t="array" ref="GQ63">IF(AND(ISNUMBER(MATCH(GQ$2, AsistenciaJetAdminConcatenada!$A:$A, 0)), ISNUMBER(MATCH(GQ$1, AsistenciaJetAdminConcatenada!$B:$B, 0)), ISNUMBER(SEARCH($A63,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ISNUMBER(SEARCH($A63, INDEX(AsistenciaJetAdminConcatenada!$D:$D, MATCH(1, (AsistenciaJetAdminConcatenada!$A:$A=GQ$2)*(AsistenciaJetAdminConcatenada!$B:$B=GQ$1), 0)), 1))),  0.5, 0))</f>
        <v>0</v>
      </c>
      <c r="GR63" s="47">
        <f t="array" ref="GR63">IF(AND(ISNUMBER(MATCH(GR$2, AsistenciaJetAdminConcatenada!$A:$A, 0)), ISNUMBER(MATCH(GR$1, AsistenciaJetAdminConcatenada!$B:$B, 0)), ISNUMBER(SEARCH($A63,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ISNUMBER(SEARCH($A63, INDEX(AsistenciaJetAdminConcatenada!$D:$D, MATCH(1, (AsistenciaJetAdminConcatenada!$A:$A=GR$2)*(AsistenciaJetAdminConcatenada!$B:$B=GR$1), 0)), 1))),  0.5, 0))</f>
        <v>0</v>
      </c>
      <c r="GS63" s="47">
        <f t="array" ref="GS63">IF(AND(ISNUMBER(MATCH(GS$2, AsistenciaJetAdminConcatenada!$A:$A, 0)), ISNUMBER(MATCH(GS$1, AsistenciaJetAdminConcatenada!$B:$B, 0)), ISNUMBER(SEARCH($A63,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ISNUMBER(SEARCH($A63, INDEX(AsistenciaJetAdminConcatenada!$D:$D, MATCH(1, (AsistenciaJetAdminConcatenada!$A:$A=GS$2)*(AsistenciaJetAdminConcatenada!$B:$B=GS$1), 0)), 1))),  0.5, 0))</f>
        <v>0</v>
      </c>
      <c r="GT63" s="47">
        <f t="array" ref="GT63">IF(AND(ISNUMBER(MATCH(GT$2, AsistenciaJetAdminConcatenada!$A:$A, 0)), ISNUMBER(MATCH(GT$1, AsistenciaJetAdminConcatenada!$B:$B, 0)), ISNUMBER(SEARCH($A63,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ISNUMBER(SEARCH($A63, INDEX(AsistenciaJetAdminConcatenada!$D:$D, MATCH(1, (AsistenciaJetAdminConcatenada!$A:$A=GT$2)*(AsistenciaJetAdminConcatenada!$B:$B=GT$1), 0)), 1))),  0.5, 0))</f>
        <v>0</v>
      </c>
      <c r="GU63" s="47">
        <f t="array" ref="GU63">IF(AND(ISNUMBER(MATCH(GU$2, AsistenciaJetAdminConcatenada!$A:$A, 0)), ISNUMBER(MATCH(GU$1, AsistenciaJetAdminConcatenada!$B:$B, 0)), ISNUMBER(SEARCH($A63,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ISNUMBER(SEARCH($A63, INDEX(AsistenciaJetAdminConcatenada!$D:$D, MATCH(1, (AsistenciaJetAdminConcatenada!$A:$A=GU$2)*(AsistenciaJetAdminConcatenada!$B:$B=GU$1), 0)), 1))),  0.5, 0))</f>
        <v>0</v>
      </c>
      <c r="GV63" s="47">
        <f t="array" ref="GV63">IF(AND(ISNUMBER(MATCH(GV$2, AsistenciaJetAdminConcatenada!$A:$A, 0)), ISNUMBER(MATCH(GV$1, AsistenciaJetAdminConcatenada!$B:$B, 0)), ISNUMBER(SEARCH($A63,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ISNUMBER(SEARCH($A63, INDEX(AsistenciaJetAdminConcatenada!$D:$D, MATCH(1, (AsistenciaJetAdminConcatenada!$A:$A=GV$2)*(AsistenciaJetAdminConcatenada!$B:$B=GV$1), 0)), 1))),  0.5, 0))</f>
        <v>0</v>
      </c>
      <c r="GW63" s="47">
        <f t="array" ref="GW63">IF(AND(ISNUMBER(MATCH(GW$2, AsistenciaJetAdminConcatenada!$A:$A, 0)), ISNUMBER(MATCH(GW$1, AsistenciaJetAdminConcatenada!$B:$B, 0)), ISNUMBER(SEARCH($A63,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ISNUMBER(SEARCH($A63, INDEX(AsistenciaJetAdminConcatenada!$D:$D, MATCH(1, (AsistenciaJetAdminConcatenada!$A:$A=GW$2)*(AsistenciaJetAdminConcatenada!$B:$B=GW$1), 0)), 1))),  0.5, 0))</f>
        <v>0</v>
      </c>
      <c r="GX63" s="47">
        <f t="array" ref="GX63">IF(AND(ISNUMBER(MATCH(GX$2, AsistenciaJetAdminConcatenada!$A:$A, 0)), ISNUMBER(MATCH(GX$1, AsistenciaJetAdminConcatenada!$B:$B, 0)), ISNUMBER(SEARCH($A63,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ISNUMBER(SEARCH($A63, INDEX(AsistenciaJetAdminConcatenada!$D:$D, MATCH(1, (AsistenciaJetAdminConcatenada!$A:$A=GX$2)*(AsistenciaJetAdminConcatenada!$B:$B=GX$1), 0)), 1))),  0.5, 0))</f>
        <v>0</v>
      </c>
      <c r="GY63" s="47">
        <f t="array" ref="GY63">IF(AND(ISNUMBER(MATCH(GY$2, AsistenciaJetAdminConcatenada!$A:$A, 0)), ISNUMBER(MATCH(GY$1, AsistenciaJetAdminConcatenada!$B:$B, 0)), ISNUMBER(SEARCH($A63,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ISNUMBER(SEARCH($A63, INDEX(AsistenciaJetAdminConcatenada!$D:$D, MATCH(1, (AsistenciaJetAdminConcatenada!$A:$A=GY$2)*(AsistenciaJetAdminConcatenada!$B:$B=GY$1), 0)), 1))),  0.5, 0))</f>
        <v>0</v>
      </c>
      <c r="GZ63" s="47">
        <f t="array" ref="GZ63">IF(AND(ISNUMBER(MATCH(GZ$2, AsistenciaJetAdminConcatenada!$A:$A, 0)), ISNUMBER(MATCH(GZ$1, AsistenciaJetAdminConcatenada!$B:$B, 0)), ISNUMBER(SEARCH($A63,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ISNUMBER(SEARCH($A63, INDEX(AsistenciaJetAdminConcatenada!$D:$D, MATCH(1, (AsistenciaJetAdminConcatenada!$A:$A=GZ$2)*(AsistenciaJetAdminConcatenada!$B:$B=GZ$1), 0)), 1))),  0.5, 0))</f>
        <v>0</v>
      </c>
      <c r="HA63" s="47">
        <f t="array" ref="HA63">IF(AND(ISNUMBER(MATCH(HA$2, AsistenciaJetAdminConcatenada!$A:$A, 0)), ISNUMBER(MATCH(HA$1, AsistenciaJetAdminConcatenada!$B:$B, 0)), ISNUMBER(SEARCH($A63,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ISNUMBER(SEARCH($A63, INDEX(AsistenciaJetAdminConcatenada!$D:$D, MATCH(1, (AsistenciaJetAdminConcatenada!$A:$A=HA$2)*(AsistenciaJetAdminConcatenada!$B:$B=HA$1), 0)), 1))),  0.5, 0))</f>
        <v>0</v>
      </c>
      <c r="HB63" s="47">
        <f t="array" ref="HB63">IF(AND(ISNUMBER(MATCH(HB$2, AsistenciaJetAdminConcatenada!$A:$A, 0)), ISNUMBER(MATCH(HB$1, AsistenciaJetAdminConcatenada!$B:$B, 0)), ISNUMBER(SEARCH($A63,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ISNUMBER(SEARCH($A63, INDEX(AsistenciaJetAdminConcatenada!$D:$D, MATCH(1, (AsistenciaJetAdminConcatenada!$A:$A=HB$2)*(AsistenciaJetAdminConcatenada!$B:$B=HB$1), 0)), 1))),  0.5, 0))</f>
        <v>0</v>
      </c>
      <c r="HC63" s="47">
        <f t="array" ref="HC63">IF(AND(ISNUMBER(MATCH(HC$2, AsistenciaJetAdminConcatenada!$A:$A, 0)), ISNUMBER(MATCH(HC$1, AsistenciaJetAdminConcatenada!$B:$B, 0)), ISNUMBER(SEARCH($A63,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ISNUMBER(SEARCH($A63, INDEX(AsistenciaJetAdminConcatenada!$D:$D, MATCH(1, (AsistenciaJetAdminConcatenada!$A:$A=HC$2)*(AsistenciaJetAdminConcatenada!$B:$B=HC$1), 0)), 1))),  0.5, 0))</f>
        <v>0</v>
      </c>
    </row>
    <row r="64" ht="29.25" customHeight="1">
      <c r="A64" s="3">
        <v>136.0</v>
      </c>
      <c r="B64" s="4" t="s">
        <v>426</v>
      </c>
      <c r="C64" s="47">
        <f>SUM(D64:HC64) + ActividadesEspeciales!C64</f>
        <v>67.5</v>
      </c>
      <c r="D64" s="47">
        <f t="array" ref="D64">IF(AND(ISNUMBER(MATCH(D$2, AsistenciaJetAdminConcatenada!$A:$A, 0)), ISNUMBER(MATCH(D$1, AsistenciaJetAdminConcatenada!$B:$B, 0)), ISNUMBER(SEARCH($A64,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ISNUMBER(SEARCH($A64, INDEX(AsistenciaJetAdminConcatenada!$D:$D, MATCH(1, (AsistenciaJetAdminConcatenada!$A:$A=D$2)*(AsistenciaJetAdminConcatenada!$B:$B=D$1), 0)), 1))),  0.5, 0))</f>
        <v>1</v>
      </c>
      <c r="E64" s="47">
        <f t="array" ref="E64">IF(AND(ISNUMBER(MATCH(E$2, AsistenciaJetAdminConcatenada!$A:$A, 0)), ISNUMBER(MATCH(E$1, AsistenciaJetAdminConcatenada!$B:$B, 0)), ISNUMBER(SEARCH($A64,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ISNUMBER(SEARCH($A64, INDEX(AsistenciaJetAdminConcatenada!$D:$D, MATCH(1, (AsistenciaJetAdminConcatenada!$A:$A=E$2)*(AsistenciaJetAdminConcatenada!$B:$B=E$1), 0)), 1))),  0.5, 0))</f>
        <v>1</v>
      </c>
      <c r="F64" s="47">
        <f t="array" ref="F64">IF(AND(ISNUMBER(MATCH(F$2, AsistenciaJetAdminConcatenada!$A:$A, 0)), ISNUMBER(MATCH(F$1, AsistenciaJetAdminConcatenada!$B:$B, 0)), ISNUMBER(SEARCH($A64,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ISNUMBER(SEARCH($A64, INDEX(AsistenciaJetAdminConcatenada!$D:$D, MATCH(1, (AsistenciaJetAdminConcatenada!$A:$A=F$2)*(AsistenciaJetAdminConcatenada!$B:$B=F$1), 0)), 1))),  0.5, 0))</f>
        <v>1</v>
      </c>
      <c r="G64" s="47">
        <f t="array" ref="G64">IF(AND(ISNUMBER(MATCH(G$2, AsistenciaJetAdminConcatenada!$A:$A, 0)), ISNUMBER(MATCH(G$1, AsistenciaJetAdminConcatenada!$B:$B, 0)), ISNUMBER(SEARCH($A64,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ISNUMBER(SEARCH($A64, INDEX(AsistenciaJetAdminConcatenada!$D:$D, MATCH(1, (AsistenciaJetAdminConcatenada!$A:$A=G$2)*(AsistenciaJetAdminConcatenada!$B:$B=G$1), 0)), 1))),  0.5, 0))</f>
        <v>1</v>
      </c>
      <c r="H64" s="47">
        <f t="array" ref="H64">IF(AND(ISNUMBER(MATCH(H$2, AsistenciaJetAdminConcatenada!$A:$A, 0)), ISNUMBER(MATCH(H$1, AsistenciaJetAdminConcatenada!$B:$B, 0)), ISNUMBER(SEARCH($A64,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ISNUMBER(SEARCH($A64, INDEX(AsistenciaJetAdminConcatenada!$D:$D, MATCH(1, (AsistenciaJetAdminConcatenada!$A:$A=H$2)*(AsistenciaJetAdminConcatenada!$B:$B=H$1), 0)), 1))),  0.5, 0))</f>
        <v>0</v>
      </c>
      <c r="I64" s="47">
        <f t="array" ref="I64">IF(AND(ISNUMBER(MATCH(I$2, AsistenciaJetAdminConcatenada!$A:$A, 0)), ISNUMBER(MATCH(I$1, AsistenciaJetAdminConcatenada!$B:$B, 0)), ISNUMBER(SEARCH($A64,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ISNUMBER(SEARCH($A64, INDEX(AsistenciaJetAdminConcatenada!$D:$D, MATCH(1, (AsistenciaJetAdminConcatenada!$A:$A=I$2)*(AsistenciaJetAdminConcatenada!$B:$B=I$1), 0)), 1))),  0.5, 0))</f>
        <v>1</v>
      </c>
      <c r="J64" s="47">
        <f t="array" ref="J64">IF(AND(ISNUMBER(MATCH(J$2, AsistenciaJetAdminConcatenada!$A:$A, 0)), ISNUMBER(MATCH(J$1, AsistenciaJetAdminConcatenada!$B:$B, 0)), ISNUMBER(SEARCH($A64,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ISNUMBER(SEARCH($A64, INDEX(AsistenciaJetAdminConcatenada!$D:$D, MATCH(1, (AsistenciaJetAdminConcatenada!$A:$A=J$2)*(AsistenciaJetAdminConcatenada!$B:$B=J$1), 0)), 1))),  0.5, 0))</f>
        <v>1</v>
      </c>
      <c r="K64" s="47">
        <f t="array" ref="K64">IF(AND(ISNUMBER(MATCH(K$2, AsistenciaJetAdminConcatenada!$A:$A, 0)), ISNUMBER(MATCH(K$1, AsistenciaJetAdminConcatenada!$B:$B, 0)), ISNUMBER(SEARCH($A64,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ISNUMBER(SEARCH($A64, INDEX(AsistenciaJetAdminConcatenada!$D:$D, MATCH(1, (AsistenciaJetAdminConcatenada!$A:$A=K$2)*(AsistenciaJetAdminConcatenada!$B:$B=K$1), 0)), 1))),  0.5, 0))</f>
        <v>1</v>
      </c>
      <c r="L64" s="47">
        <f t="array" ref="L64">IF(AND(ISNUMBER(MATCH(L$2, AsistenciaJetAdminConcatenada!$A:$A, 0)), ISNUMBER(MATCH(L$1, AsistenciaJetAdminConcatenada!$B:$B, 0)), ISNUMBER(SEARCH($A64,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ISNUMBER(SEARCH($A64, INDEX(AsistenciaJetAdminConcatenada!$D:$D, MATCH(1, (AsistenciaJetAdminConcatenada!$A:$A=L$2)*(AsistenciaJetAdminConcatenada!$B:$B=L$1), 0)), 1))),  0.5, 0))</f>
        <v>1</v>
      </c>
      <c r="M64" s="47">
        <f t="array" ref="M64">IF(AND(ISNUMBER(MATCH(M$2, AsistenciaJetAdminConcatenada!$A:$A, 0)), ISNUMBER(MATCH(M$1, AsistenciaJetAdminConcatenada!$B:$B, 0)), ISNUMBER(SEARCH($A64,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ISNUMBER(SEARCH($A64, INDEX(AsistenciaJetAdminConcatenada!$D:$D, MATCH(1, (AsistenciaJetAdminConcatenada!$A:$A=M$2)*(AsistenciaJetAdminConcatenada!$B:$B=M$1), 0)), 1))),  0.5, 0))</f>
        <v>0.5</v>
      </c>
      <c r="N64" s="47">
        <f t="array" ref="N64">IF(AND(ISNUMBER(MATCH(N$2, AsistenciaJetAdminConcatenada!$A:$A, 0)), ISNUMBER(MATCH(N$1, AsistenciaJetAdminConcatenada!$B:$B, 0)), ISNUMBER(SEARCH($A64,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ISNUMBER(SEARCH($A64, INDEX(AsistenciaJetAdminConcatenada!$D:$D, MATCH(1, (AsistenciaJetAdminConcatenada!$A:$A=N$2)*(AsistenciaJetAdminConcatenada!$B:$B=N$1), 0)), 1))),  0.5, 0))</f>
        <v>0</v>
      </c>
      <c r="O64" s="47">
        <f t="array" ref="O64">IF(AND(ISNUMBER(MATCH(O$2, AsistenciaJetAdminConcatenada!$A:$A, 0)), ISNUMBER(MATCH(O$1, AsistenciaJetAdminConcatenada!$B:$B, 0)), ISNUMBER(SEARCH($A64,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ISNUMBER(SEARCH($A64, INDEX(AsistenciaJetAdminConcatenada!$D:$D, MATCH(1, (AsistenciaJetAdminConcatenada!$A:$A=O$2)*(AsistenciaJetAdminConcatenada!$B:$B=O$1), 0)), 1))),  0.5, 0))</f>
        <v>0</v>
      </c>
      <c r="P64" s="47">
        <f t="array" ref="P64">IF(AND(ISNUMBER(MATCH(P$2, AsistenciaJetAdminConcatenada!$A:$A, 0)), ISNUMBER(MATCH(P$1, AsistenciaJetAdminConcatenada!$B:$B, 0)), ISNUMBER(SEARCH($A64, INDEX(AsistenciaJetAdminConcatenada!$C:$C, MATCH(1, (AsistenciaJetAdminConcatenada!$A:$A=P$2)*(AsistenciaJetAdminConcatenada!$B:$B=P$1), 0)), 1))), 1, IF(AND(ISNUMBER(MATCH(P$2, AsistenciaJetAdminConcatenada!$A:$A, 0)), ISNUMBER(MATCH(P$1, AsistenciaJetAdminConcatenada!$B:$B, 0)), ISNUMBER(SEARCH($A64, INDEX(AsistenciaJetAdminConcatenada!$D:$D, MATCH(1, (AsistenciaJetAdminConcatenada!$A:$A=P$2)*(AsistenciaJetAdminConcatenada!$B:$B=P$1), 0)), 1))),  0.5, 0))</f>
        <v>1</v>
      </c>
      <c r="Q64" s="47">
        <f t="array" ref="Q64">IF(AND(ISNUMBER(MATCH(Q$2, AsistenciaJetAdminConcatenada!$A:$A, 0)), ISNUMBER(MATCH(Q$1, AsistenciaJetAdminConcatenada!$B:$B, 0)), ISNUMBER(SEARCH($A64, INDEX(AsistenciaJetAdminConcatenada!$C:$C, MATCH(1, (AsistenciaJetAdminConcatenada!$A:$A=Q$2)*(AsistenciaJetAdminConcatenada!$B:$B=Q$1), 0)), 1))), 1, IF(AND(ISNUMBER(MATCH(Q$2, AsistenciaJetAdminConcatenada!$A:$A, 0)), ISNUMBER(MATCH(Q$1, AsistenciaJetAdminConcatenada!$B:$B, 0)), ISNUMBER(SEARCH($A64, INDEX(AsistenciaJetAdminConcatenada!$D:$D, MATCH(1, (AsistenciaJetAdminConcatenada!$A:$A=Q$2)*(AsistenciaJetAdminConcatenada!$B:$B=Q$1), 0)), 1))),  0.5, 0))</f>
        <v>1</v>
      </c>
      <c r="R64" s="47">
        <f t="array" ref="R64">IF(AND(ISNUMBER(MATCH(R$2, AsistenciaJetAdminConcatenada!$A:$A, 0)), ISNUMBER(MATCH(R$1, AsistenciaJetAdminConcatenada!$B:$B, 0)), ISNUMBER(SEARCH($A64,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ISNUMBER(SEARCH($A64, INDEX(AsistenciaJetAdminConcatenada!$D:$D, MATCH(1, (AsistenciaJetAdminConcatenada!$A:$A=R$2)*(AsistenciaJetAdminConcatenada!$B:$B=R$1), 0)), 1))),  0.5, 0))</f>
        <v>1</v>
      </c>
      <c r="S64" s="47">
        <f t="array" ref="S64">IF(AND(ISNUMBER(MATCH(S$2, AsistenciaJetAdminConcatenada!$A:$A, 0)), ISNUMBER(MATCH(S$1, AsistenciaJetAdminConcatenada!$B:$B, 0)), ISNUMBER(SEARCH($A64,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ISNUMBER(SEARCH($A64, INDEX(AsistenciaJetAdminConcatenada!$D:$D, MATCH(1, (AsistenciaJetAdminConcatenada!$A:$A=S$2)*(AsistenciaJetAdminConcatenada!$B:$B=S$1), 0)), 1))),  0.5, 0))</f>
        <v>0.5</v>
      </c>
      <c r="T64" s="47">
        <f t="array" ref="T64">IF(AND(ISNUMBER(MATCH(T$2, AsistenciaJetAdminConcatenada!$A:$A, 0)), ISNUMBER(MATCH(T$1, AsistenciaJetAdminConcatenada!$B:$B, 0)), ISNUMBER(SEARCH($A64,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ISNUMBER(SEARCH($A64, INDEX(AsistenciaJetAdminConcatenada!$D:$D, MATCH(1, (AsistenciaJetAdminConcatenada!$A:$A=T$2)*(AsistenciaJetAdminConcatenada!$B:$B=T$1), 0)), 1))),  0.5, 0))</f>
        <v>0</v>
      </c>
      <c r="U64" s="47">
        <f t="array" ref="U64">IF(AND(ISNUMBER(MATCH(U$2, AsistenciaJetAdminConcatenada!$A:$A, 0)), ISNUMBER(MATCH(U$1, AsistenciaJetAdminConcatenada!$B:$B, 0)), ISNUMBER(SEARCH($A64,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ISNUMBER(SEARCH($A64, INDEX(AsistenciaJetAdminConcatenada!$D:$D, MATCH(1, (AsistenciaJetAdminConcatenada!$A:$A=U$2)*(AsistenciaJetAdminConcatenada!$B:$B=U$1), 0)), 1))),  0.5, 0))</f>
        <v>1</v>
      </c>
      <c r="V64" s="47">
        <f t="array" ref="V64">IF(AND(ISNUMBER(MATCH(V$2, AsistenciaJetAdminConcatenada!$A:$A, 0)), ISNUMBER(MATCH(V$1, AsistenciaJetAdminConcatenada!$B:$B, 0)), ISNUMBER(SEARCH($A64,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ISNUMBER(SEARCH($A64, INDEX(AsistenciaJetAdminConcatenada!$D:$D, MATCH(1, (AsistenciaJetAdminConcatenada!$A:$A=V$2)*(AsistenciaJetAdminConcatenada!$B:$B=V$1), 0)), 1))),  0.5, 0))</f>
        <v>1</v>
      </c>
      <c r="W64" s="47">
        <f t="array" ref="W64">IF(AND(ISNUMBER(MATCH(W$2, AsistenciaJetAdminConcatenada!$A:$A, 0)), ISNUMBER(MATCH(W$1, AsistenciaJetAdminConcatenada!$B:$B, 0)), ISNUMBER(SEARCH($A64,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ISNUMBER(SEARCH($A64, INDEX(AsistenciaJetAdminConcatenada!$D:$D, MATCH(1, (AsistenciaJetAdminConcatenada!$A:$A=W$2)*(AsistenciaJetAdminConcatenada!$B:$B=W$1), 0)), 1))),  0.5, 0))</f>
        <v>1</v>
      </c>
      <c r="X64" s="47">
        <f t="array" ref="X64">IF(AND(ISNUMBER(MATCH(X$2, AsistenciaJetAdminConcatenada!$A:$A, 0)), ISNUMBER(MATCH(X$1, AsistenciaJetAdminConcatenada!$B:$B, 0)), ISNUMBER(SEARCH($A64,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ISNUMBER(SEARCH($A64, INDEX(AsistenciaJetAdminConcatenada!$D:$D, MATCH(1, (AsistenciaJetAdminConcatenada!$A:$A=X$2)*(AsistenciaJetAdminConcatenada!$B:$B=X$1), 0)), 1))),  0.5, 0))</f>
        <v>1</v>
      </c>
      <c r="Y64" s="47">
        <f t="array" ref="Y64">IF(AND(ISNUMBER(MATCH(Y$2, AsistenciaJetAdminConcatenada!$A:$A, 0)), ISNUMBER(MATCH(Y$1, AsistenciaJetAdminConcatenada!$B:$B, 0)), ISNUMBER(SEARCH($A64,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ISNUMBER(SEARCH($A64, INDEX(AsistenciaJetAdminConcatenada!$D:$D, MATCH(1, (AsistenciaJetAdminConcatenada!$A:$A=Y$2)*(AsistenciaJetAdminConcatenada!$B:$B=Y$1), 0)), 1))),  0.5, 0))</f>
        <v>0.5</v>
      </c>
      <c r="Z64" s="47">
        <f t="array" ref="Z64">IF(AND(ISNUMBER(MATCH(Z$2, AsistenciaJetAdminConcatenada!$A:$A, 0)), ISNUMBER(MATCH(Z$1, AsistenciaJetAdminConcatenada!$B:$B, 0)), ISNUMBER(SEARCH($A64,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ISNUMBER(SEARCH($A64, INDEX(AsistenciaJetAdminConcatenada!$D:$D, MATCH(1, (AsistenciaJetAdminConcatenada!$A:$A=Z$2)*(AsistenciaJetAdminConcatenada!$B:$B=Z$1), 0)), 1))),  0.5, 0))</f>
        <v>1</v>
      </c>
      <c r="AA64" s="47">
        <f t="array" ref="AA64">IF(AND(ISNUMBER(MATCH(AA$2, AsistenciaJetAdminConcatenada!$A:$A, 0)), ISNUMBER(MATCH(AA$1, AsistenciaJetAdminConcatenada!$B:$B, 0)), ISNUMBER(SEARCH($A64,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ISNUMBER(SEARCH($A64, INDEX(AsistenciaJetAdminConcatenada!$D:$D, MATCH(1, (AsistenciaJetAdminConcatenada!$A:$A=AA$2)*(AsistenciaJetAdminConcatenada!$B:$B=AA$1), 0)), 1))),  0.5, 0))</f>
        <v>0</v>
      </c>
      <c r="AB64" s="47">
        <f t="array" ref="AB64">IF(AND(ISNUMBER(MATCH(AB$2, AsistenciaJetAdminConcatenada!$A:$A, 0)), ISNUMBER(MATCH(AB$1, AsistenciaJetAdminConcatenada!$B:$B, 0)), ISNUMBER(SEARCH($A64,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ISNUMBER(SEARCH($A64, INDEX(AsistenciaJetAdminConcatenada!$D:$D, MATCH(1, (AsistenciaJetAdminConcatenada!$A:$A=AB$2)*(AsistenciaJetAdminConcatenada!$B:$B=AB$1), 0)), 1))),  0.5, 0))</f>
        <v>1</v>
      </c>
      <c r="AC64" s="47">
        <f t="array" ref="AC64">IF(AND(ISNUMBER(MATCH(AC$2, AsistenciaJetAdminConcatenada!$A:$A, 0)), ISNUMBER(MATCH(AC$1, AsistenciaJetAdminConcatenada!$B:$B, 0)), ISNUMBER(SEARCH($A64,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ISNUMBER(SEARCH($A64, INDEX(AsistenciaJetAdminConcatenada!$D:$D, MATCH(1, (AsistenciaJetAdminConcatenada!$A:$A=AC$2)*(AsistenciaJetAdminConcatenada!$B:$B=AC$1), 0)), 1))),  0.5, 0))</f>
        <v>0</v>
      </c>
      <c r="AD64" s="47">
        <f t="array" ref="AD64">IF(AND(ISNUMBER(MATCH(AD$2, AsistenciaJetAdminConcatenada!$A:$A, 0)), ISNUMBER(MATCH(AD$1, AsistenciaJetAdminConcatenada!$B:$B, 0)), ISNUMBER(SEARCH($A64,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ISNUMBER(SEARCH($A64, INDEX(AsistenciaJetAdminConcatenada!$D:$D, MATCH(1, (AsistenciaJetAdminConcatenada!$A:$A=AD$2)*(AsistenciaJetAdminConcatenada!$B:$B=AD$1), 0)), 1))),  0.5, 0))</f>
        <v>1</v>
      </c>
      <c r="AE64" s="47">
        <f t="array" ref="AE64">IF(AND(ISNUMBER(MATCH(AE$2, AsistenciaJetAdminConcatenada!$A:$A, 0)), ISNUMBER(MATCH(AE$1, AsistenciaJetAdminConcatenada!$B:$B, 0)), ISNUMBER(SEARCH($A64,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ISNUMBER(SEARCH($A64, INDEX(AsistenciaJetAdminConcatenada!$D:$D, MATCH(1, (AsistenciaJetAdminConcatenada!$A:$A=AE$2)*(AsistenciaJetAdminConcatenada!$B:$B=AE$1), 0)), 1))),  0.5, 0))</f>
        <v>0</v>
      </c>
      <c r="AF64" s="47">
        <f t="array" ref="AF64">IF(AND(ISNUMBER(MATCH(AF$2, AsistenciaJetAdminConcatenada!$A:$A, 0)), ISNUMBER(MATCH(AF$1, AsistenciaJetAdminConcatenada!$B:$B, 0)), ISNUMBER(SEARCH($A64,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ISNUMBER(SEARCH($A64, INDEX(AsistenciaJetAdminConcatenada!$D:$D, MATCH(1, (AsistenciaJetAdminConcatenada!$A:$A=AF$2)*(AsistenciaJetAdminConcatenada!$B:$B=AF$1), 0)), 1))),  0.5, 0))</f>
        <v>0</v>
      </c>
      <c r="AG64" s="47">
        <f t="array" ref="AG64">IF(AND(ISNUMBER(MATCH(AG$2, AsistenciaJetAdminConcatenada!$A:$A, 0)), ISNUMBER(MATCH(AG$1, AsistenciaJetAdminConcatenada!$B:$B, 0)), ISNUMBER(SEARCH($A64,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ISNUMBER(SEARCH($A64, INDEX(AsistenciaJetAdminConcatenada!$D:$D, MATCH(1, (AsistenciaJetAdminConcatenada!$A:$A=AG$2)*(AsistenciaJetAdminConcatenada!$B:$B=AG$1), 0)), 1))),  0.5, 0))</f>
        <v>0</v>
      </c>
      <c r="AH64" s="47">
        <f t="array" ref="AH64">IF(AND(ISNUMBER(MATCH(AH$2, AsistenciaJetAdminConcatenada!$A:$A, 0)), ISNUMBER(MATCH(AH$1, AsistenciaJetAdminConcatenada!$B:$B, 0)), ISNUMBER(SEARCH($A64,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ISNUMBER(SEARCH($A64, INDEX(AsistenciaJetAdminConcatenada!$D:$D, MATCH(1, (AsistenciaJetAdminConcatenada!$A:$A=AH$2)*(AsistenciaJetAdminConcatenada!$B:$B=AH$1), 0)), 1))),  0.5, 0))</f>
        <v>0</v>
      </c>
      <c r="AI64" s="47">
        <f t="array" ref="AI64">IF(AND(ISNUMBER(MATCH(AI$2, AsistenciaJetAdminConcatenada!$A:$A, 0)), ISNUMBER(MATCH(AI$1, AsistenciaJetAdminConcatenada!$B:$B, 0)), ISNUMBER(SEARCH($A64,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ISNUMBER(SEARCH($A64, INDEX(AsistenciaJetAdminConcatenada!$D:$D, MATCH(1, (AsistenciaJetAdminConcatenada!$A:$A=AI$2)*(AsistenciaJetAdminConcatenada!$B:$B=AI$1), 0)), 1))),  0.5, 0))</f>
        <v>0</v>
      </c>
      <c r="AJ64" s="47">
        <f t="array" ref="AJ64">IF(AND(ISNUMBER(MATCH(AJ$2, AsistenciaJetAdminConcatenada!$A:$A, 0)), ISNUMBER(MATCH(AJ$1, AsistenciaJetAdminConcatenada!$B:$B, 0)), ISNUMBER(SEARCH($A64,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ISNUMBER(SEARCH($A64, INDEX(AsistenciaJetAdminConcatenada!$D:$D, MATCH(1, (AsistenciaJetAdminConcatenada!$A:$A=AJ$2)*(AsistenciaJetAdminConcatenada!$B:$B=AJ$1), 0)), 1))),  0.5, 0))</f>
        <v>1</v>
      </c>
      <c r="AK64" s="47">
        <f t="array" ref="AK64">IF(AND(ISNUMBER(MATCH(AK$2, AsistenciaJetAdminConcatenada!$A:$A, 0)), ISNUMBER(MATCH(AK$1, AsistenciaJetAdminConcatenada!$B:$B, 0)), ISNUMBER(SEARCH($A64,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ISNUMBER(SEARCH($A64, INDEX(AsistenciaJetAdminConcatenada!$D:$D, MATCH(1, (AsistenciaJetAdminConcatenada!$A:$A=AK$2)*(AsistenciaJetAdminConcatenada!$B:$B=AK$1), 0)), 1))),  0.5, 0))</f>
        <v>1</v>
      </c>
      <c r="AL64" s="47">
        <f t="array" ref="AL64">IF(AND(ISNUMBER(MATCH(AL$2, AsistenciaJetAdminConcatenada!$A:$A, 0)), ISNUMBER(MATCH(AL$1, AsistenciaJetAdminConcatenada!$B:$B, 0)), ISNUMBER(SEARCH($A64,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ISNUMBER(SEARCH($A64, INDEX(AsistenciaJetAdminConcatenada!$D:$D, MATCH(1, (AsistenciaJetAdminConcatenada!$A:$A=AL$2)*(AsistenciaJetAdminConcatenada!$B:$B=AL$1), 0)), 1))),  0.5, 0))</f>
        <v>1</v>
      </c>
      <c r="AM64" s="47">
        <f t="array" ref="AM64">IF(AND(ISNUMBER(MATCH(AM$2, AsistenciaJetAdminConcatenada!$A:$A, 0)), ISNUMBER(MATCH(AM$1, AsistenciaJetAdminConcatenada!$B:$B, 0)), ISNUMBER(SEARCH($A64,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ISNUMBER(SEARCH($A64, INDEX(AsistenciaJetAdminConcatenada!$D:$D, MATCH(1, (AsistenciaJetAdminConcatenada!$A:$A=AM$2)*(AsistenciaJetAdminConcatenada!$B:$B=AM$1), 0)), 1))),  0.5, 0))</f>
        <v>1</v>
      </c>
      <c r="AN64" s="47">
        <f t="array" ref="AN64">IF(AND(ISNUMBER(MATCH(AN$2, AsistenciaJetAdminConcatenada!$A:$A, 0)), ISNUMBER(MATCH(AN$1, AsistenciaJetAdminConcatenada!$B:$B, 0)), ISNUMBER(SEARCH($A64,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ISNUMBER(SEARCH($A64, INDEX(AsistenciaJetAdminConcatenada!$D:$D, MATCH(1, (AsistenciaJetAdminConcatenada!$A:$A=AN$2)*(AsistenciaJetAdminConcatenada!$B:$B=AN$1), 0)), 1))),  0.5, 0))</f>
        <v>0</v>
      </c>
      <c r="AO64" s="47">
        <f t="array" ref="AO64">IF(AND(ISNUMBER(MATCH(AO$2, AsistenciaJetAdminConcatenada!$A:$A, 0)), ISNUMBER(MATCH(AO$1, AsistenciaJetAdminConcatenada!$B:$B, 0)), ISNUMBER(SEARCH($A64,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ISNUMBER(SEARCH($A64, INDEX(AsistenciaJetAdminConcatenada!$D:$D, MATCH(1, (AsistenciaJetAdminConcatenada!$A:$A=AO$2)*(AsistenciaJetAdminConcatenada!$B:$B=AO$1), 0)), 1))),  0.5, 0))</f>
        <v>1</v>
      </c>
      <c r="AP64" s="47">
        <f t="array" ref="AP64">IF(AND(ISNUMBER(MATCH(AP$2, AsistenciaJetAdminConcatenada!$A:$A, 0)), ISNUMBER(MATCH(AP$1, AsistenciaJetAdminConcatenada!$B:$B, 0)), ISNUMBER(SEARCH($A64,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ISNUMBER(SEARCH($A64, INDEX(AsistenciaJetAdminConcatenada!$D:$D, MATCH(1, (AsistenciaJetAdminConcatenada!$A:$A=AP$2)*(AsistenciaJetAdminConcatenada!$B:$B=AP$1), 0)), 1))),  0.5, 0))</f>
        <v>1</v>
      </c>
      <c r="AQ64" s="47">
        <f t="array" ref="AQ64">IF(AND(ISNUMBER(MATCH(AQ$2, AsistenciaJetAdminConcatenada!$A:$A, 0)), ISNUMBER(MATCH(AQ$1, AsistenciaJetAdminConcatenada!$B:$B, 0)), ISNUMBER(SEARCH($A64,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ISNUMBER(SEARCH($A64, INDEX(AsistenciaJetAdminConcatenada!$D:$D, MATCH(1, (AsistenciaJetAdminConcatenada!$A:$A=AQ$2)*(AsistenciaJetAdminConcatenada!$B:$B=AQ$1), 0)), 1))),  0.5, 0))</f>
        <v>0</v>
      </c>
      <c r="AR64" s="47">
        <f t="array" ref="AR64">IF(AND(ISNUMBER(MATCH(AR$2, AsistenciaJetAdminConcatenada!$A:$A, 0)), ISNUMBER(MATCH(AR$1, AsistenciaJetAdminConcatenada!$B:$B, 0)), ISNUMBER(SEARCH($A64,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ISNUMBER(SEARCH($A64, INDEX(AsistenciaJetAdminConcatenada!$D:$D, MATCH(1, (AsistenciaJetAdminConcatenada!$A:$A=AR$2)*(AsistenciaJetAdminConcatenada!$B:$B=AR$1), 0)), 1))),  0.5, 0))</f>
        <v>1</v>
      </c>
      <c r="AS64" s="47">
        <f t="array" ref="AS64">IF(AND(ISNUMBER(MATCH(AS$2, AsistenciaJetAdminConcatenada!$A:$A, 0)), ISNUMBER(MATCH(AS$1, AsistenciaJetAdminConcatenada!$B:$B, 0)), ISNUMBER(SEARCH($A64,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ISNUMBER(SEARCH($A64, INDEX(AsistenciaJetAdminConcatenada!$D:$D, MATCH(1, (AsistenciaJetAdminConcatenada!$A:$A=AS$2)*(AsistenciaJetAdminConcatenada!$B:$B=AS$1), 0)), 1))),  0.5, 0))</f>
        <v>0.5</v>
      </c>
      <c r="AT64" s="47">
        <f t="array" ref="AT64">IF(AND(ISNUMBER(MATCH(AT$2, AsistenciaJetAdminConcatenada!$A:$A, 0)), ISNUMBER(MATCH(AT$1, AsistenciaJetAdminConcatenada!$B:$B, 0)), ISNUMBER(SEARCH($A64,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ISNUMBER(SEARCH($A64, INDEX(AsistenciaJetAdminConcatenada!$D:$D, MATCH(1, (AsistenciaJetAdminConcatenada!$A:$A=AT$2)*(AsistenciaJetAdminConcatenada!$B:$B=AT$1), 0)), 1))),  0.5, 0))</f>
        <v>0</v>
      </c>
      <c r="AU64" s="47">
        <f t="array" ref="AU64">IF(AND(ISNUMBER(MATCH(AU$2, AsistenciaJetAdminConcatenada!$A:$A, 0)), ISNUMBER(MATCH(AU$1, AsistenciaJetAdminConcatenada!$B:$B, 0)), ISNUMBER(SEARCH($A64,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ISNUMBER(SEARCH($A64, INDEX(AsistenciaJetAdminConcatenada!$D:$D, MATCH(1, (AsistenciaJetAdminConcatenada!$A:$A=AU$2)*(AsistenciaJetAdminConcatenada!$B:$B=AU$1), 0)), 1))),  0.5, 0))</f>
        <v>0</v>
      </c>
      <c r="AV64" s="47">
        <f t="array" ref="AV64">IF(AND(ISNUMBER(MATCH(AV$2, AsistenciaJetAdminConcatenada!$A:$A, 0)), ISNUMBER(MATCH(AV$1, AsistenciaJetAdminConcatenada!$B:$B, 0)), ISNUMBER(SEARCH($A64,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ISNUMBER(SEARCH($A64, INDEX(AsistenciaJetAdminConcatenada!$D:$D, MATCH(1, (AsistenciaJetAdminConcatenada!$A:$A=AV$2)*(AsistenciaJetAdminConcatenada!$B:$B=AV$1), 0)), 1))),  0.5, 0))</f>
        <v>1</v>
      </c>
      <c r="AW64" s="47">
        <f t="array" ref="AW64">IF(AND(ISNUMBER(MATCH(AW$2, AsistenciaJetAdminConcatenada!$A:$A, 0)), ISNUMBER(MATCH(AW$1, AsistenciaJetAdminConcatenada!$B:$B, 0)), ISNUMBER(SEARCH($A64,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ISNUMBER(SEARCH($A64, INDEX(AsistenciaJetAdminConcatenada!$D:$D, MATCH(1, (AsistenciaJetAdminConcatenada!$A:$A=AW$2)*(AsistenciaJetAdminConcatenada!$B:$B=AW$1), 0)), 1))),  0.5, 0))</f>
        <v>0</v>
      </c>
      <c r="AX64" s="47">
        <f t="array" ref="AX64">IF(AND(ISNUMBER(MATCH(AX$2, AsistenciaJetAdminConcatenada!$A:$A, 0)), ISNUMBER(MATCH(AX$1, AsistenciaJetAdminConcatenada!$B:$B, 0)), ISNUMBER(SEARCH($A64,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ISNUMBER(SEARCH($A64, INDEX(AsistenciaJetAdminConcatenada!$D:$D, MATCH(1, (AsistenciaJetAdminConcatenada!$A:$A=AX$2)*(AsistenciaJetAdminConcatenada!$B:$B=AX$1), 0)), 1))),  0.5, 0))</f>
        <v>1</v>
      </c>
      <c r="AY64" s="47">
        <f t="array" ref="AY64">IF(AND(ISNUMBER(MATCH(AY$2, AsistenciaJetAdminConcatenada!$A:$A, 0)), ISNUMBER(MATCH(AY$1, AsistenciaJetAdminConcatenada!$B:$B, 0)), ISNUMBER(SEARCH($A64,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ISNUMBER(SEARCH($A64, INDEX(AsistenciaJetAdminConcatenada!$D:$D, MATCH(1, (AsistenciaJetAdminConcatenada!$A:$A=AY$2)*(AsistenciaJetAdminConcatenada!$B:$B=AY$1), 0)), 1))),  0.5, 0))</f>
        <v>1</v>
      </c>
      <c r="AZ64" s="47">
        <f t="array" ref="AZ64">IF(AND(ISNUMBER(MATCH(AZ$2, AsistenciaJetAdminConcatenada!$A:$A, 0)), ISNUMBER(MATCH(AZ$1, AsistenciaJetAdminConcatenada!$B:$B, 0)), ISNUMBER(SEARCH($A64,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ISNUMBER(SEARCH($A64, INDEX(AsistenciaJetAdminConcatenada!$D:$D, MATCH(1, (AsistenciaJetAdminConcatenada!$A:$A=AZ$2)*(AsistenciaJetAdminConcatenada!$B:$B=AZ$1), 0)), 1))),  0.5, 0))</f>
        <v>1</v>
      </c>
      <c r="BA64" s="47">
        <f t="array" ref="BA64">IF(AND(ISNUMBER(MATCH(BA$2, AsistenciaJetAdminConcatenada!$A:$A, 0)), ISNUMBER(MATCH(BA$1, AsistenciaJetAdminConcatenada!$B:$B, 0)), ISNUMBER(SEARCH($A64,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ISNUMBER(SEARCH($A64, INDEX(AsistenciaJetAdminConcatenada!$D:$D, MATCH(1, (AsistenciaJetAdminConcatenada!$A:$A=BA$2)*(AsistenciaJetAdminConcatenada!$B:$B=BA$1), 0)), 1))),  0.5, 0))</f>
        <v>1</v>
      </c>
      <c r="BB64" s="47">
        <f t="array" ref="BB64">IF(AND(ISNUMBER(MATCH(BB$2, AsistenciaJetAdminConcatenada!$A:$A, 0)), ISNUMBER(MATCH(BB$1, AsistenciaJetAdminConcatenada!$B:$B, 0)), ISNUMBER(SEARCH($A64,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ISNUMBER(SEARCH($A64, INDEX(AsistenciaJetAdminConcatenada!$D:$D, MATCH(1, (AsistenciaJetAdminConcatenada!$A:$A=BB$2)*(AsistenciaJetAdminConcatenada!$B:$B=BB$1), 0)), 1))),  0.5, 0))</f>
        <v>0.5</v>
      </c>
      <c r="BC64" s="47">
        <f t="array" ref="BC64">IF(AND(ISNUMBER(MATCH(BC$2, AsistenciaJetAdminConcatenada!$A:$A, 0)), ISNUMBER(MATCH(BC$1, AsistenciaJetAdminConcatenada!$B:$B, 0)), ISNUMBER(SEARCH($A64,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ISNUMBER(SEARCH($A64, INDEX(AsistenciaJetAdminConcatenada!$D:$D, MATCH(1, (AsistenciaJetAdminConcatenada!$A:$A=BC$2)*(AsistenciaJetAdminConcatenada!$B:$B=BC$1), 0)), 1))),  0.5, 0))</f>
        <v>0</v>
      </c>
      <c r="BD64" s="47">
        <f t="array" ref="BD64">IF(AND(ISNUMBER(MATCH(BD$2, AsistenciaJetAdminConcatenada!$A:$A, 0)), ISNUMBER(MATCH(BD$1, AsistenciaJetAdminConcatenada!$B:$B, 0)), ISNUMBER(SEARCH($A64,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ISNUMBER(SEARCH($A64, INDEX(AsistenciaJetAdminConcatenada!$D:$D, MATCH(1, (AsistenciaJetAdminConcatenada!$A:$A=BD$2)*(AsistenciaJetAdminConcatenada!$B:$B=BD$1), 0)), 1))),  0.5, 0))</f>
        <v>0</v>
      </c>
      <c r="BE64" s="47">
        <f t="array" ref="BE64">IF(AND(ISNUMBER(MATCH(BE$2, AsistenciaJetAdminConcatenada!$A:$A, 0)), ISNUMBER(MATCH(BE$1, AsistenciaJetAdminConcatenada!$B:$B, 0)), ISNUMBER(SEARCH($A64,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ISNUMBER(SEARCH($A64, INDEX(AsistenciaJetAdminConcatenada!$D:$D, MATCH(1, (AsistenciaJetAdminConcatenada!$A:$A=BE$2)*(AsistenciaJetAdminConcatenada!$B:$B=BE$1), 0)), 1))),  0.5, 0))</f>
        <v>0</v>
      </c>
      <c r="BF64" s="47">
        <f t="array" ref="BF64">IF(AND(ISNUMBER(MATCH(BF$2, AsistenciaJetAdminConcatenada!$A:$A, 0)), ISNUMBER(MATCH(BF$1, AsistenciaJetAdminConcatenada!$B:$B, 0)), ISNUMBER(SEARCH($A64,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ISNUMBER(SEARCH($A64, INDEX(AsistenciaJetAdminConcatenada!$D:$D, MATCH(1, (AsistenciaJetAdminConcatenada!$A:$A=BF$2)*(AsistenciaJetAdminConcatenada!$B:$B=BF$1), 0)), 1))),  0.5, 0))</f>
        <v>1</v>
      </c>
      <c r="BG64" s="47">
        <f t="array" ref="BG64">IF(AND(ISNUMBER(MATCH(BG$2, AsistenciaJetAdminConcatenada!$A:$A, 0)), ISNUMBER(MATCH(BG$1, AsistenciaJetAdminConcatenada!$B:$B, 0)), ISNUMBER(SEARCH($A64,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ISNUMBER(SEARCH($A64, INDEX(AsistenciaJetAdminConcatenada!$D:$D, MATCH(1, (AsistenciaJetAdminConcatenada!$A:$A=BG$2)*(AsistenciaJetAdminConcatenada!$B:$B=BG$1), 0)), 1))),  0.5, 0))</f>
        <v>1</v>
      </c>
      <c r="BH64" s="47">
        <f t="array" ref="BH64">IF(AND(ISNUMBER(MATCH(BH$2, AsistenciaJetAdminConcatenada!$A:$A, 0)), ISNUMBER(MATCH(BH$1, AsistenciaJetAdminConcatenada!$B:$B, 0)), ISNUMBER(SEARCH($A64,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ISNUMBER(SEARCH($A64, INDEX(AsistenciaJetAdminConcatenada!$D:$D, MATCH(1, (AsistenciaJetAdminConcatenada!$A:$A=BH$2)*(AsistenciaJetAdminConcatenada!$B:$B=BH$1), 0)), 1))),  0.5, 0))</f>
        <v>1</v>
      </c>
      <c r="BI64" s="47">
        <f t="array" ref="BI64">IF(AND(ISNUMBER(MATCH(BI$2, AsistenciaJetAdminConcatenada!$A:$A, 0)), ISNUMBER(MATCH(BI$1, AsistenciaJetAdminConcatenada!$B:$B, 0)), ISNUMBER(SEARCH($A64,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ISNUMBER(SEARCH($A64, INDEX(AsistenciaJetAdminConcatenada!$D:$D, MATCH(1, (AsistenciaJetAdminConcatenada!$A:$A=BI$2)*(AsistenciaJetAdminConcatenada!$B:$B=BI$1), 0)), 1))),  0.5, 0))</f>
        <v>1</v>
      </c>
      <c r="BJ64" s="47">
        <f t="array" ref="BJ64">IF(AND(ISNUMBER(MATCH(BJ$2, AsistenciaJetAdminConcatenada!$A:$A, 0)), ISNUMBER(MATCH(BJ$1, AsistenciaJetAdminConcatenada!$B:$B, 0)), ISNUMBER(SEARCH($A64,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ISNUMBER(SEARCH($A64, INDEX(AsistenciaJetAdminConcatenada!$D:$D, MATCH(1, (AsistenciaJetAdminConcatenada!$A:$A=BJ$2)*(AsistenciaJetAdminConcatenada!$B:$B=BJ$1), 0)), 1))),  0.5, 0))</f>
        <v>1</v>
      </c>
      <c r="BK64" s="47">
        <f t="array" ref="BK64">IF(AND(ISNUMBER(MATCH(BK$2, AsistenciaJetAdminConcatenada!$A:$A, 0)), ISNUMBER(MATCH(BK$1, AsistenciaJetAdminConcatenada!$B:$B, 0)), ISNUMBER(SEARCH($A64,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ISNUMBER(SEARCH($A64, INDEX(AsistenciaJetAdminConcatenada!$D:$D, MATCH(1, (AsistenciaJetAdminConcatenada!$A:$A=BK$2)*(AsistenciaJetAdminConcatenada!$B:$B=BK$1), 0)), 1))),  0.5, 0))</f>
        <v>1</v>
      </c>
      <c r="BL64" s="47">
        <f t="array" ref="BL64">IF(AND(ISNUMBER(MATCH(BL$2, AsistenciaJetAdminConcatenada!$A:$A, 0)), ISNUMBER(MATCH(BL$1, AsistenciaJetAdminConcatenada!$B:$B, 0)), ISNUMBER(SEARCH($A64,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ISNUMBER(SEARCH($A64, INDEX(AsistenciaJetAdminConcatenada!$D:$D, MATCH(1, (AsistenciaJetAdminConcatenada!$A:$A=BL$2)*(AsistenciaJetAdminConcatenada!$B:$B=BL$1), 0)), 1))),  0.5, 0))</f>
        <v>1</v>
      </c>
      <c r="BM64" s="47">
        <f t="array" ref="BM64">IF(AND(ISNUMBER(MATCH(BM$2, AsistenciaJetAdminConcatenada!$A:$A, 0)), ISNUMBER(MATCH(BM$1, AsistenciaJetAdminConcatenada!$B:$B, 0)), ISNUMBER(SEARCH($A64,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ISNUMBER(SEARCH($A64, INDEX(AsistenciaJetAdminConcatenada!$D:$D, MATCH(1, (AsistenciaJetAdminConcatenada!$A:$A=BM$2)*(AsistenciaJetAdminConcatenada!$B:$B=BM$1), 0)), 1))),  0.5, 0))</f>
        <v>1</v>
      </c>
      <c r="BN64" s="47">
        <f t="array" ref="BN64">IF(AND(ISNUMBER(MATCH(BN$2, AsistenciaJetAdminConcatenada!$A:$A, 0)), ISNUMBER(MATCH(BN$1, AsistenciaJetAdminConcatenada!$B:$B, 0)), ISNUMBER(SEARCH($A64,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ISNUMBER(SEARCH($A64, INDEX(AsistenciaJetAdminConcatenada!$D:$D, MATCH(1, (AsistenciaJetAdminConcatenada!$A:$A=BN$2)*(AsistenciaJetAdminConcatenada!$B:$B=BN$1), 0)), 1))),  0.5, 0))</f>
        <v>0</v>
      </c>
      <c r="BO64" s="47">
        <f t="array" ref="BO64">IF(AND(ISNUMBER(MATCH(BO$2, AsistenciaJetAdminConcatenada!$A:$A, 0)), ISNUMBER(MATCH(BO$1, AsistenciaJetAdminConcatenada!$B:$B, 0)), ISNUMBER(SEARCH($A64,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ISNUMBER(SEARCH($A64, INDEX(AsistenciaJetAdminConcatenada!$D:$D, MATCH(1, (AsistenciaJetAdminConcatenada!$A:$A=BO$2)*(AsistenciaJetAdminConcatenada!$B:$B=BO$1), 0)), 1))),  0.5, 0))</f>
        <v>1</v>
      </c>
      <c r="BP64" s="47">
        <f t="array" ref="BP64">IF(AND(ISNUMBER(MATCH(BP$2, AsistenciaJetAdminConcatenada!$A:$A, 0)), ISNUMBER(MATCH(BP$1, AsistenciaJetAdminConcatenada!$B:$B, 0)), ISNUMBER(SEARCH($A64,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ISNUMBER(SEARCH($A64, INDEX(AsistenciaJetAdminConcatenada!$D:$D, MATCH(1, (AsistenciaJetAdminConcatenada!$A:$A=BP$2)*(AsistenciaJetAdminConcatenada!$B:$B=BP$1), 0)), 1))),  0.5, 0))</f>
        <v>0</v>
      </c>
      <c r="BQ64" s="47">
        <f t="array" ref="BQ64">IF(AND(ISNUMBER(MATCH(BQ$2, AsistenciaJetAdminConcatenada!$A:$A, 0)), ISNUMBER(MATCH(BQ$1, AsistenciaJetAdminConcatenada!$B:$B, 0)), ISNUMBER(SEARCH($A64,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ISNUMBER(SEARCH($A64, INDEX(AsistenciaJetAdminConcatenada!$D:$D, MATCH(1, (AsistenciaJetAdminConcatenada!$A:$A=BQ$2)*(AsistenciaJetAdminConcatenada!$B:$B=BQ$1), 0)), 1))),  0.5, 0))</f>
        <v>1</v>
      </c>
      <c r="BR64" s="47">
        <f t="array" ref="BR64">IF(AND(ISNUMBER(MATCH(BR$2, AsistenciaJetAdminConcatenada!$A:$A, 0)), ISNUMBER(MATCH(BR$1, AsistenciaJetAdminConcatenada!$B:$B, 0)), ISNUMBER(SEARCH($A64,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ISNUMBER(SEARCH($A64, INDEX(AsistenciaJetAdminConcatenada!$D:$D, MATCH(1, (AsistenciaJetAdminConcatenada!$A:$A=BR$2)*(AsistenciaJetAdminConcatenada!$B:$B=BR$1), 0)), 1))),  0.5, 0))</f>
        <v>1</v>
      </c>
      <c r="BS64" s="47">
        <f t="array" ref="BS64">IF(AND(ISNUMBER(MATCH(BS$2, AsistenciaJetAdminConcatenada!$A:$A, 0)), ISNUMBER(MATCH(BS$1, AsistenciaJetAdminConcatenada!$B:$B, 0)), ISNUMBER(SEARCH($A64,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ISNUMBER(SEARCH($A64, INDEX(AsistenciaJetAdminConcatenada!$D:$D, MATCH(1, (AsistenciaJetAdminConcatenada!$A:$A=BS$2)*(AsistenciaJetAdminConcatenada!$B:$B=BS$1), 0)), 1))),  0.5, 0))</f>
        <v>1</v>
      </c>
      <c r="BT64" s="47">
        <f t="array" ref="BT64">IF(AND(ISNUMBER(MATCH(BT$2, AsistenciaJetAdminConcatenada!$A:$A, 0)), ISNUMBER(MATCH(BT$1, AsistenciaJetAdminConcatenada!$B:$B, 0)), ISNUMBER(SEARCH($A64,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ISNUMBER(SEARCH($A64, INDEX(AsistenciaJetAdminConcatenada!$D:$D, MATCH(1, (AsistenciaJetAdminConcatenada!$A:$A=BT$2)*(AsistenciaJetAdminConcatenada!$B:$B=BT$1), 0)), 1))),  0.5, 0))</f>
        <v>1</v>
      </c>
      <c r="BU64" s="47">
        <f t="array" ref="BU64">IF(AND(ISNUMBER(MATCH(BU$2, AsistenciaJetAdminConcatenada!$A:$A, 0)), ISNUMBER(MATCH(BU$1, AsistenciaJetAdminConcatenada!$B:$B, 0)), ISNUMBER(SEARCH($A64,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ISNUMBER(SEARCH($A64, INDEX(AsistenciaJetAdminConcatenada!$D:$D, MATCH(1, (AsistenciaJetAdminConcatenada!$A:$A=BU$2)*(AsistenciaJetAdminConcatenada!$B:$B=BU$1), 0)), 1))),  0.5, 0))</f>
        <v>0</v>
      </c>
      <c r="BV64" s="47">
        <f t="array" ref="BV64">IF(AND(ISNUMBER(MATCH(BV$2, AsistenciaJetAdminConcatenada!$A:$A, 0)), ISNUMBER(MATCH(BV$1, AsistenciaJetAdminConcatenada!$B:$B, 0)), ISNUMBER(SEARCH($A64,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ISNUMBER(SEARCH($A64, INDEX(AsistenciaJetAdminConcatenada!$D:$D, MATCH(1, (AsistenciaJetAdminConcatenada!$A:$A=BV$2)*(AsistenciaJetAdminConcatenada!$B:$B=BV$1), 0)), 1))),  0.5, 0))</f>
        <v>0</v>
      </c>
      <c r="BW64" s="47">
        <f t="array" ref="BW64">IF(AND(ISNUMBER(MATCH(BW$2, AsistenciaJetAdminConcatenada!$A:$A, 0)), ISNUMBER(MATCH(BW$1, AsistenciaJetAdminConcatenada!$B:$B, 0)), ISNUMBER(SEARCH($A64,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ISNUMBER(SEARCH($A64, INDEX(AsistenciaJetAdminConcatenada!$D:$D, MATCH(1, (AsistenciaJetAdminConcatenada!$A:$A=BW$2)*(AsistenciaJetAdminConcatenada!$B:$B=BW$1), 0)), 1))),  0.5, 0))</f>
        <v>1</v>
      </c>
      <c r="BX64" s="47">
        <f t="array" ref="BX64">IF(AND(ISNUMBER(MATCH(BX$2, AsistenciaJetAdminConcatenada!$A:$A, 0)), ISNUMBER(MATCH(BX$1, AsistenciaJetAdminConcatenada!$B:$B, 0)), ISNUMBER(SEARCH($A64,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ISNUMBER(SEARCH($A64, INDEX(AsistenciaJetAdminConcatenada!$D:$D, MATCH(1, (AsistenciaJetAdminConcatenada!$A:$A=BX$2)*(AsistenciaJetAdminConcatenada!$B:$B=BX$1), 0)), 1))),  0.5, 0))</f>
        <v>1</v>
      </c>
      <c r="BY64" s="47">
        <f t="array" ref="BY64">IF(AND(ISNUMBER(MATCH(BY$2, AsistenciaJetAdminConcatenada!$A:$A, 0)), ISNUMBER(MATCH(BY$1, AsistenciaJetAdminConcatenada!$B:$B, 0)), ISNUMBER(SEARCH($A64,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ISNUMBER(SEARCH($A64, INDEX(AsistenciaJetAdminConcatenada!$D:$D, MATCH(1, (AsistenciaJetAdminConcatenada!$A:$A=BY$2)*(AsistenciaJetAdminConcatenada!$B:$B=BY$1), 0)), 1))),  0.5, 0))</f>
        <v>1</v>
      </c>
      <c r="BZ64" s="47">
        <f t="array" ref="BZ64">IF(AND(ISNUMBER(MATCH(BZ$2, AsistenciaJetAdminConcatenada!$A:$A, 0)), ISNUMBER(MATCH(BZ$1, AsistenciaJetAdminConcatenada!$B:$B, 0)), ISNUMBER(SEARCH($A64,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ISNUMBER(SEARCH($A64, INDEX(AsistenciaJetAdminConcatenada!$D:$D, MATCH(1, (AsistenciaJetAdminConcatenada!$A:$A=BZ$2)*(AsistenciaJetAdminConcatenada!$B:$B=BZ$1), 0)), 1))),  0.5, 0))</f>
        <v>1</v>
      </c>
      <c r="CA64" s="47">
        <f t="array" ref="CA64">IF(AND(ISNUMBER(MATCH(CA$2, AsistenciaJetAdminConcatenada!$A:$A, 0)), ISNUMBER(MATCH(CA$1, AsistenciaJetAdminConcatenada!$B:$B, 0)), ISNUMBER(SEARCH($A64,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ISNUMBER(SEARCH($A64, INDEX(AsistenciaJetAdminConcatenada!$D:$D, MATCH(1, (AsistenciaJetAdminConcatenada!$A:$A=CA$2)*(AsistenciaJetAdminConcatenada!$B:$B=CA$1), 0)), 1))),  0.5, 0))</f>
        <v>1</v>
      </c>
      <c r="CB64" s="47">
        <f t="array" ref="CB64">IF(AND(ISNUMBER(MATCH(CB$2, AsistenciaJetAdminConcatenada!$A:$A, 0)), ISNUMBER(MATCH(CB$1, AsistenciaJetAdminConcatenada!$B:$B, 0)), ISNUMBER(SEARCH($A64,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ISNUMBER(SEARCH($A64, INDEX(AsistenciaJetAdminConcatenada!$D:$D, MATCH(1, (AsistenciaJetAdminConcatenada!$A:$A=CB$2)*(AsistenciaJetAdminConcatenada!$B:$B=CB$1), 0)), 1))),  0.5, 0))</f>
        <v>1</v>
      </c>
      <c r="CC64" s="47">
        <f t="array" ref="CC64">IF(AND(ISNUMBER(MATCH(CC$2, AsistenciaJetAdminConcatenada!$A:$A, 0)), ISNUMBER(MATCH(CC$1, AsistenciaJetAdminConcatenada!$B:$B, 0)), ISNUMBER(SEARCH($A64,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ISNUMBER(SEARCH($A64, INDEX(AsistenciaJetAdminConcatenada!$D:$D, MATCH(1, (AsistenciaJetAdminConcatenada!$A:$A=CC$2)*(AsistenciaJetAdminConcatenada!$B:$B=CC$1), 0)), 1))),  0.5, 0))</f>
        <v>1</v>
      </c>
      <c r="CD64" s="47">
        <f t="array" ref="CD64">IF(AND(ISNUMBER(MATCH(CD$2, AsistenciaJetAdminConcatenada!$A:$A, 0)), ISNUMBER(MATCH(CD$1, AsistenciaJetAdminConcatenada!$B:$B, 0)), ISNUMBER(SEARCH($A64,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ISNUMBER(SEARCH($A64, INDEX(AsistenciaJetAdminConcatenada!$D:$D, MATCH(1, (AsistenciaJetAdminConcatenada!$A:$A=CD$2)*(AsistenciaJetAdminConcatenada!$B:$B=CD$1), 0)), 1))),  0.5, 0))</f>
        <v>1</v>
      </c>
      <c r="CE64" s="47">
        <f t="array" ref="CE64">IF(AND(ISNUMBER(MATCH(CE$2, AsistenciaJetAdminConcatenada!$A:$A, 0)), ISNUMBER(MATCH(CE$1, AsistenciaJetAdminConcatenada!$B:$B, 0)), ISNUMBER(SEARCH($A64,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ISNUMBER(SEARCH($A64, INDEX(AsistenciaJetAdminConcatenada!$D:$D, MATCH(1, (AsistenciaJetAdminConcatenada!$A:$A=CE$2)*(AsistenciaJetAdminConcatenada!$B:$B=CE$1), 0)), 1))),  0.5, 0))</f>
        <v>0</v>
      </c>
      <c r="CF64" s="47">
        <f t="array" ref="CF64">IF(AND(ISNUMBER(MATCH(CF$2, AsistenciaJetAdminConcatenada!$A:$A, 0)), ISNUMBER(MATCH(CF$1, AsistenciaJetAdminConcatenada!$B:$B, 0)), ISNUMBER(SEARCH($A64,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ISNUMBER(SEARCH($A64, INDEX(AsistenciaJetAdminConcatenada!$D:$D, MATCH(1, (AsistenciaJetAdminConcatenada!$A:$A=CF$2)*(AsistenciaJetAdminConcatenada!$B:$B=CF$1), 0)), 1))),  0.5, 0))</f>
        <v>1</v>
      </c>
      <c r="CG64" s="47">
        <f t="array" ref="CG64">IF(AND(ISNUMBER(MATCH(CG$2, AsistenciaJetAdminConcatenada!$A:$A, 0)), ISNUMBER(MATCH(CG$1, AsistenciaJetAdminConcatenada!$B:$B, 0)), ISNUMBER(SEARCH($A64,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ISNUMBER(SEARCH($A64, INDEX(AsistenciaJetAdminConcatenada!$D:$D, MATCH(1, (AsistenciaJetAdminConcatenada!$A:$A=CG$2)*(AsistenciaJetAdminConcatenada!$B:$B=CG$1), 0)), 1))),  0.5, 0))</f>
        <v>1</v>
      </c>
      <c r="CH64" s="47">
        <f t="array" ref="CH64">IF(AND(ISNUMBER(MATCH(CH$2, AsistenciaJetAdminConcatenada!$A:$A, 0)), ISNUMBER(MATCH(CH$1, AsistenciaJetAdminConcatenada!$B:$B, 0)), ISNUMBER(SEARCH($A64,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ISNUMBER(SEARCH($A64, INDEX(AsistenciaJetAdminConcatenada!$D:$D, MATCH(1, (AsistenciaJetAdminConcatenada!$A:$A=CH$2)*(AsistenciaJetAdminConcatenada!$B:$B=CH$1), 0)), 1))),  0.5, 0))</f>
        <v>0</v>
      </c>
      <c r="CI64" s="47">
        <f t="array" ref="CI64">IF(AND(ISNUMBER(MATCH(CI$2, AsistenciaJetAdminConcatenada!$A:$A, 0)), ISNUMBER(MATCH(CI$1, AsistenciaJetAdminConcatenada!$B:$B, 0)), ISNUMBER(SEARCH($A64,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ISNUMBER(SEARCH($A64, INDEX(AsistenciaJetAdminConcatenada!$D:$D, MATCH(1, (AsistenciaJetAdminConcatenada!$A:$A=CI$2)*(AsistenciaJetAdminConcatenada!$B:$B=CI$1), 0)), 1))),  0.5, 0))</f>
        <v>1</v>
      </c>
      <c r="CJ64" s="47">
        <f t="array" ref="CJ64">IF(AND(ISNUMBER(MATCH(CJ$2, AsistenciaJetAdminConcatenada!$A:$A, 0)), ISNUMBER(MATCH(CJ$1, AsistenciaJetAdminConcatenada!$B:$B, 0)), ISNUMBER(SEARCH($A64,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ISNUMBER(SEARCH($A64, INDEX(AsistenciaJetAdminConcatenada!$D:$D, MATCH(1, (AsistenciaJetAdminConcatenada!$A:$A=CJ$2)*(AsistenciaJetAdminConcatenada!$B:$B=CJ$1), 0)), 1))),  0.5, 0))</f>
        <v>1</v>
      </c>
      <c r="CK64" s="47">
        <f t="array" ref="CK64">IF(AND(ISNUMBER(MATCH(CK$2, AsistenciaJetAdminConcatenada!$A:$A, 0)), ISNUMBER(MATCH(CK$1, AsistenciaJetAdminConcatenada!$B:$B, 0)), ISNUMBER(SEARCH($A64,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ISNUMBER(SEARCH($A64, INDEX(AsistenciaJetAdminConcatenada!$D:$D, MATCH(1, (AsistenciaJetAdminConcatenada!$A:$A=CK$2)*(AsistenciaJetAdminConcatenada!$B:$B=CK$1), 0)), 1))),  0.5, 0))</f>
        <v>1</v>
      </c>
      <c r="CL64" s="47">
        <f t="array" ref="CL64">IF(AND(ISNUMBER(MATCH(CL$2, AsistenciaJetAdminConcatenada!$A:$A, 0)), ISNUMBER(MATCH(CL$1, AsistenciaJetAdminConcatenada!$B:$B, 0)), ISNUMBER(SEARCH($A64,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ISNUMBER(SEARCH($A64, INDEX(AsistenciaJetAdminConcatenada!$D:$D, MATCH(1, (AsistenciaJetAdminConcatenada!$A:$A=CL$2)*(AsistenciaJetAdminConcatenada!$B:$B=CL$1), 0)), 1))),  0.5, 0))</f>
        <v>1</v>
      </c>
      <c r="CM64" s="47">
        <f t="array" ref="CM64">IF(AND(ISNUMBER(MATCH(CM$2, AsistenciaJetAdminConcatenada!$A:$A, 0)), ISNUMBER(MATCH(CM$1, AsistenciaJetAdminConcatenada!$B:$B, 0)), ISNUMBER(SEARCH($A64,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ISNUMBER(SEARCH($A64, INDEX(AsistenciaJetAdminConcatenada!$D:$D, MATCH(1, (AsistenciaJetAdminConcatenada!$A:$A=CM$2)*(AsistenciaJetAdminConcatenada!$B:$B=CM$1), 0)), 1))),  0.5, 0))</f>
        <v>1</v>
      </c>
      <c r="CN64" s="47">
        <f t="array" ref="CN64">IF(AND(ISNUMBER(MATCH(CN$2, AsistenciaJetAdminConcatenada!$A:$A, 0)), ISNUMBER(MATCH(CN$1, AsistenciaJetAdminConcatenada!$B:$B, 0)), ISNUMBER(SEARCH($A64,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ISNUMBER(SEARCH($A64, INDEX(AsistenciaJetAdminConcatenada!$D:$D, MATCH(1, (AsistenciaJetAdminConcatenada!$A:$A=CN$2)*(AsistenciaJetAdminConcatenada!$B:$B=CN$1), 0)), 1))),  0.5, 0))</f>
        <v>1</v>
      </c>
      <c r="CO64" s="47">
        <f t="array" ref="CO64">IF(AND(ISNUMBER(MATCH(CO$2, AsistenciaJetAdminConcatenada!$A:$A, 0)), ISNUMBER(MATCH(CO$1, AsistenciaJetAdminConcatenada!$B:$B, 0)), ISNUMBER(SEARCH($A64,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ISNUMBER(SEARCH($A64, INDEX(AsistenciaJetAdminConcatenada!$D:$D, MATCH(1, (AsistenciaJetAdminConcatenada!$A:$A=CO$2)*(AsistenciaJetAdminConcatenada!$B:$B=CO$1), 0)), 1))),  0.5, 0))</f>
        <v>1</v>
      </c>
      <c r="CP64" s="47">
        <f t="array" ref="CP64">IF(AND(ISNUMBER(MATCH(CP$2, AsistenciaJetAdminConcatenada!$A:$A, 0)), ISNUMBER(MATCH(CP$1, AsistenciaJetAdminConcatenada!$B:$B, 0)), ISNUMBER(SEARCH($A64,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ISNUMBER(SEARCH($A64, INDEX(AsistenciaJetAdminConcatenada!$D:$D, MATCH(1, (AsistenciaJetAdminConcatenada!$A:$A=CP$2)*(AsistenciaJetAdminConcatenada!$B:$B=CP$1), 0)), 1))),  0.5, 0))</f>
        <v>1</v>
      </c>
      <c r="CQ64" s="47">
        <f t="array" ref="CQ64">IF(AND(ISNUMBER(MATCH(CQ$2, AsistenciaJetAdminConcatenada!$A:$A, 0)), ISNUMBER(MATCH(CQ$1, AsistenciaJetAdminConcatenada!$B:$B, 0)), ISNUMBER(SEARCH($A64,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ISNUMBER(SEARCH($A64, INDEX(AsistenciaJetAdminConcatenada!$D:$D, MATCH(1, (AsistenciaJetAdminConcatenada!$A:$A=CQ$2)*(AsistenciaJetAdminConcatenada!$B:$B=CQ$1), 0)), 1))),  0.5, 0))</f>
        <v>1</v>
      </c>
      <c r="CR64" s="47">
        <f t="array" ref="CR64">IF(AND(ISNUMBER(MATCH(CR$2, AsistenciaJetAdminConcatenada!$A:$A, 0)), ISNUMBER(MATCH(CR$1, AsistenciaJetAdminConcatenada!$B:$B, 0)), ISNUMBER(SEARCH($A64,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ISNUMBER(SEARCH($A64, INDEX(AsistenciaJetAdminConcatenada!$D:$D, MATCH(1, (AsistenciaJetAdminConcatenada!$A:$A=CR$2)*(AsistenciaJetAdminConcatenada!$B:$B=CR$1), 0)), 1))),  0.5, 0))</f>
        <v>1</v>
      </c>
      <c r="CS64" s="47">
        <f t="array" ref="CS64">IF(AND(ISNUMBER(MATCH(CS$2, AsistenciaJetAdminConcatenada!$A:$A, 0)), ISNUMBER(MATCH(CS$1, AsistenciaJetAdminConcatenada!$B:$B, 0)), ISNUMBER(SEARCH($A64,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ISNUMBER(SEARCH($A64, INDEX(AsistenciaJetAdminConcatenada!$D:$D, MATCH(1, (AsistenciaJetAdminConcatenada!$A:$A=CS$2)*(AsistenciaJetAdminConcatenada!$B:$B=CS$1), 0)), 1))),  0.5, 0))</f>
        <v>0</v>
      </c>
      <c r="CT64" s="47">
        <f t="array" ref="CT64">IF(AND(ISNUMBER(MATCH(CT$2, AsistenciaJetAdminConcatenada!$A:$A, 0)), ISNUMBER(MATCH(CT$1, AsistenciaJetAdminConcatenada!$B:$B, 0)), ISNUMBER(SEARCH($A64,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ISNUMBER(SEARCH($A64, INDEX(AsistenciaJetAdminConcatenada!$D:$D, MATCH(1, (AsistenciaJetAdminConcatenada!$A:$A=CT$2)*(AsistenciaJetAdminConcatenada!$B:$B=CT$1), 0)), 1))),  0.5, 0))</f>
        <v>0</v>
      </c>
      <c r="CU64" s="47">
        <f t="array" ref="CU64">IF(AND(ISNUMBER(MATCH(CU$2, AsistenciaJetAdminConcatenada!$A:$A, 0)), ISNUMBER(MATCH(CU$1, AsistenciaJetAdminConcatenada!$B:$B, 0)), ISNUMBER(SEARCH($A64,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ISNUMBER(SEARCH($A64, INDEX(AsistenciaJetAdminConcatenada!$D:$D, MATCH(1, (AsistenciaJetAdminConcatenada!$A:$A=CU$2)*(AsistenciaJetAdminConcatenada!$B:$B=CU$1), 0)), 1))),  0.5, 0))</f>
        <v>0</v>
      </c>
      <c r="CV64" s="47">
        <f t="array" ref="CV64">IF(AND(ISNUMBER(MATCH(CV$2, AsistenciaJetAdminConcatenada!$A:$A, 0)), ISNUMBER(MATCH(CV$1, AsistenciaJetAdminConcatenada!$B:$B, 0)), ISNUMBER(SEARCH($A64,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ISNUMBER(SEARCH($A64, INDEX(AsistenciaJetAdminConcatenada!$D:$D, MATCH(1, (AsistenciaJetAdminConcatenada!$A:$A=CV$2)*(AsistenciaJetAdminConcatenada!$B:$B=CV$1), 0)), 1))),  0.5, 0))</f>
        <v>0</v>
      </c>
      <c r="CW64" s="47">
        <f t="array" ref="CW64">IF(AND(ISNUMBER(MATCH(CW$2, AsistenciaJetAdminConcatenada!$A:$A, 0)), ISNUMBER(MATCH(CW$1, AsistenciaJetAdminConcatenada!$B:$B, 0)), ISNUMBER(SEARCH($A64,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ISNUMBER(SEARCH($A64, INDEX(AsistenciaJetAdminConcatenada!$D:$D, MATCH(1, (AsistenciaJetAdminConcatenada!$A:$A=CW$2)*(AsistenciaJetAdminConcatenada!$B:$B=CW$1), 0)), 1))),  0.5, 0))</f>
        <v>0</v>
      </c>
      <c r="CX64" s="47">
        <f t="array" ref="CX64">IF(AND(ISNUMBER(MATCH(CX$2, AsistenciaJetAdminConcatenada!$A:$A, 0)), ISNUMBER(MATCH(CX$1, AsistenciaJetAdminConcatenada!$B:$B, 0)), ISNUMBER(SEARCH($A64,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ISNUMBER(SEARCH($A64, INDEX(AsistenciaJetAdminConcatenada!$D:$D, MATCH(1, (AsistenciaJetAdminConcatenada!$A:$A=CX$2)*(AsistenciaJetAdminConcatenada!$B:$B=CX$1), 0)), 1))),  0.5, 0))</f>
        <v>0</v>
      </c>
      <c r="CY64" s="47">
        <f t="array" ref="CY64">IF(AND(ISNUMBER(MATCH(CY$2, AsistenciaJetAdminConcatenada!$A:$A, 0)), ISNUMBER(MATCH(CY$1, AsistenciaJetAdminConcatenada!$B:$B, 0)), ISNUMBER(SEARCH($A64,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ISNUMBER(SEARCH($A64, INDEX(AsistenciaJetAdminConcatenada!$D:$D, MATCH(1, (AsistenciaJetAdminConcatenada!$A:$A=CY$2)*(AsistenciaJetAdminConcatenada!$B:$B=CY$1), 0)), 1))),  0.5, 0))</f>
        <v>0</v>
      </c>
      <c r="CZ64" s="47">
        <f t="array" ref="CZ64">IF(AND(ISNUMBER(MATCH(CZ$2, AsistenciaJetAdminConcatenada!$A:$A, 0)), ISNUMBER(MATCH(CZ$1, AsistenciaJetAdminConcatenada!$B:$B, 0)), ISNUMBER(SEARCH($A64,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ISNUMBER(SEARCH($A64, INDEX(AsistenciaJetAdminConcatenada!$D:$D, MATCH(1, (AsistenciaJetAdminConcatenada!$A:$A=CZ$2)*(AsistenciaJetAdminConcatenada!$B:$B=CZ$1), 0)), 1))),  0.5, 0))</f>
        <v>0</v>
      </c>
      <c r="DA64" s="47">
        <f t="array" ref="DA64">IF(AND(ISNUMBER(MATCH(DA$2, AsistenciaJetAdminConcatenada!$A:$A, 0)), ISNUMBER(MATCH(DA$1, AsistenciaJetAdminConcatenada!$B:$B, 0)), ISNUMBER(SEARCH($A64,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ISNUMBER(SEARCH($A64, INDEX(AsistenciaJetAdminConcatenada!$D:$D, MATCH(1, (AsistenciaJetAdminConcatenada!$A:$A=DA$2)*(AsistenciaJetAdminConcatenada!$B:$B=DA$1), 0)), 1))),  0.5, 0))</f>
        <v>0</v>
      </c>
      <c r="DB64" s="47">
        <f t="array" ref="DB64">IF(AND(ISNUMBER(MATCH(DB$2, AsistenciaJetAdminConcatenada!$A:$A, 0)), ISNUMBER(MATCH(DB$1, AsistenciaJetAdminConcatenada!$B:$B, 0)), ISNUMBER(SEARCH($A64,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ISNUMBER(SEARCH($A64, INDEX(AsistenciaJetAdminConcatenada!$D:$D, MATCH(1, (AsistenciaJetAdminConcatenada!$A:$A=DB$2)*(AsistenciaJetAdminConcatenada!$B:$B=DB$1), 0)), 1))),  0.5, 0))</f>
        <v>0</v>
      </c>
      <c r="DC64" s="47">
        <f t="array" ref="DC64">IF(AND(ISNUMBER(MATCH(DC$2, AsistenciaJetAdminConcatenada!$A:$A, 0)), ISNUMBER(MATCH(DC$1, AsistenciaJetAdminConcatenada!$B:$B, 0)), ISNUMBER(SEARCH($A64,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ISNUMBER(SEARCH($A64, INDEX(AsistenciaJetAdminConcatenada!$D:$D, MATCH(1, (AsistenciaJetAdminConcatenada!$A:$A=DC$2)*(AsistenciaJetAdminConcatenada!$B:$B=DC$1), 0)), 1))),  0.5, 0))</f>
        <v>0</v>
      </c>
      <c r="DD64" s="47">
        <f t="array" ref="DD64">IF(AND(ISNUMBER(MATCH(DD$2, AsistenciaJetAdminConcatenada!$A:$A, 0)), ISNUMBER(MATCH(DD$1, AsistenciaJetAdminConcatenada!$B:$B, 0)), ISNUMBER(SEARCH($A64,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ISNUMBER(SEARCH($A64, INDEX(AsistenciaJetAdminConcatenada!$D:$D, MATCH(1, (AsistenciaJetAdminConcatenada!$A:$A=DD$2)*(AsistenciaJetAdminConcatenada!$B:$B=DD$1), 0)), 1))),  0.5, 0))</f>
        <v>0</v>
      </c>
      <c r="DE64" s="47">
        <f t="array" ref="DE64">IF(AND(ISNUMBER(MATCH(DE$2, AsistenciaJetAdminConcatenada!$A:$A, 0)), ISNUMBER(MATCH(DE$1, AsistenciaJetAdminConcatenada!$B:$B, 0)), ISNUMBER(SEARCH($A64,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ISNUMBER(SEARCH($A64, INDEX(AsistenciaJetAdminConcatenada!$D:$D, MATCH(1, (AsistenciaJetAdminConcatenada!$A:$A=DE$2)*(AsistenciaJetAdminConcatenada!$B:$B=DE$1), 0)), 1))),  0.5, 0))</f>
        <v>0</v>
      </c>
      <c r="DF64" s="47">
        <f t="array" ref="DF64">IF(AND(ISNUMBER(MATCH(DF$2, AsistenciaJetAdminConcatenada!$A:$A, 0)), ISNUMBER(MATCH(DF$1, AsistenciaJetAdminConcatenada!$B:$B, 0)), ISNUMBER(SEARCH($A64,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ISNUMBER(SEARCH($A64, INDEX(AsistenciaJetAdminConcatenada!$D:$D, MATCH(1, (AsistenciaJetAdminConcatenada!$A:$A=DF$2)*(AsistenciaJetAdminConcatenada!$B:$B=DF$1), 0)), 1))),  0.5, 0))</f>
        <v>0</v>
      </c>
      <c r="DG64" s="47">
        <f t="array" ref="DG64">IF(AND(ISNUMBER(MATCH(DG$2, AsistenciaJetAdminConcatenada!$A:$A, 0)), ISNUMBER(MATCH(DG$1, AsistenciaJetAdminConcatenada!$B:$B, 0)), ISNUMBER(SEARCH($A64,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ISNUMBER(SEARCH($A64, INDEX(AsistenciaJetAdminConcatenada!$D:$D, MATCH(1, (AsistenciaJetAdminConcatenada!$A:$A=DG$2)*(AsistenciaJetAdminConcatenada!$B:$B=DG$1), 0)), 1))),  0.5, 0))</f>
        <v>0</v>
      </c>
      <c r="DH64" s="47">
        <f t="array" ref="DH64">IF(AND(ISNUMBER(MATCH(DH$2, AsistenciaJetAdminConcatenada!$A:$A, 0)), ISNUMBER(MATCH(DH$1, AsistenciaJetAdminConcatenada!$B:$B, 0)), ISNUMBER(SEARCH($A64,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ISNUMBER(SEARCH($A64, INDEX(AsistenciaJetAdminConcatenada!$D:$D, MATCH(1, (AsistenciaJetAdminConcatenada!$A:$A=DH$2)*(AsistenciaJetAdminConcatenada!$B:$B=DH$1), 0)), 1))),  0.5, 0))</f>
        <v>0</v>
      </c>
      <c r="DI64" s="47">
        <f t="array" ref="DI64">IF(AND(ISNUMBER(MATCH(DI$2, AsistenciaJetAdminConcatenada!$A:$A, 0)), ISNUMBER(MATCH(DI$1, AsistenciaJetAdminConcatenada!$B:$B, 0)), ISNUMBER(SEARCH($A64,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ISNUMBER(SEARCH($A64, INDEX(AsistenciaJetAdminConcatenada!$D:$D, MATCH(1, (AsistenciaJetAdminConcatenada!$A:$A=DI$2)*(AsistenciaJetAdminConcatenada!$B:$B=DI$1), 0)), 1))),  0.5, 0))</f>
        <v>0</v>
      </c>
      <c r="DJ64" s="47">
        <f t="array" ref="DJ64">IF(AND(ISNUMBER(MATCH(DJ$2, AsistenciaJetAdminConcatenada!$A:$A, 0)), ISNUMBER(MATCH(DJ$1, AsistenciaJetAdminConcatenada!$B:$B, 0)), ISNUMBER(SEARCH($A64,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ISNUMBER(SEARCH($A64, INDEX(AsistenciaJetAdminConcatenada!$D:$D, MATCH(1, (AsistenciaJetAdminConcatenada!$A:$A=DJ$2)*(AsistenciaJetAdminConcatenada!$B:$B=DJ$1), 0)), 1))),  0.5, 0))</f>
        <v>0</v>
      </c>
      <c r="DK64" s="47">
        <f t="array" ref="DK64">IF(AND(ISNUMBER(MATCH(DK$2, AsistenciaJetAdminConcatenada!$A:$A, 0)), ISNUMBER(MATCH(DK$1, AsistenciaJetAdminConcatenada!$B:$B, 0)), ISNUMBER(SEARCH($A64,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ISNUMBER(SEARCH($A64, INDEX(AsistenciaJetAdminConcatenada!$D:$D, MATCH(1, (AsistenciaJetAdminConcatenada!$A:$A=DK$2)*(AsistenciaJetAdminConcatenada!$B:$B=DK$1), 0)), 1))),  0.5, 0))</f>
        <v>0</v>
      </c>
      <c r="DL64" s="47">
        <f t="array" ref="DL64">IF(AND(ISNUMBER(MATCH(DL$2, AsistenciaJetAdminConcatenada!$A:$A, 0)), ISNUMBER(MATCH(DL$1, AsistenciaJetAdminConcatenada!$B:$B, 0)), ISNUMBER(SEARCH($A64,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ISNUMBER(SEARCH($A64, INDEX(AsistenciaJetAdminConcatenada!$D:$D, MATCH(1, (AsistenciaJetAdminConcatenada!$A:$A=DL$2)*(AsistenciaJetAdminConcatenada!$B:$B=DL$1), 0)), 1))),  0.5, 0))</f>
        <v>0</v>
      </c>
      <c r="DM64" s="47">
        <f t="array" ref="DM64">IF(AND(ISNUMBER(MATCH(DM$2, AsistenciaJetAdminConcatenada!$A:$A, 0)), ISNUMBER(MATCH(DM$1, AsistenciaJetAdminConcatenada!$B:$B, 0)), ISNUMBER(SEARCH($A64,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ISNUMBER(SEARCH($A64, INDEX(AsistenciaJetAdminConcatenada!$D:$D, MATCH(1, (AsistenciaJetAdminConcatenada!$A:$A=DM$2)*(AsistenciaJetAdminConcatenada!$B:$B=DM$1), 0)), 1))),  0.5, 0))</f>
        <v>0</v>
      </c>
      <c r="DN64" s="47">
        <f t="array" ref="DN64">IF(AND(ISNUMBER(MATCH(DN$2, AsistenciaJetAdminConcatenada!$A:$A, 0)), ISNUMBER(MATCH(DN$1, AsistenciaJetAdminConcatenada!$B:$B, 0)), ISNUMBER(SEARCH($A64,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ISNUMBER(SEARCH($A64, INDEX(AsistenciaJetAdminConcatenada!$D:$D, MATCH(1, (AsistenciaJetAdminConcatenada!$A:$A=DN$2)*(AsistenciaJetAdminConcatenada!$B:$B=DN$1), 0)), 1))),  0.5, 0))</f>
        <v>0</v>
      </c>
      <c r="DO64" s="47">
        <f t="array" ref="DO64">IF(AND(ISNUMBER(MATCH(DO$2, AsistenciaJetAdminConcatenada!$A:$A, 0)), ISNUMBER(MATCH(DO$1, AsistenciaJetAdminConcatenada!$B:$B, 0)), ISNUMBER(SEARCH($A64,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ISNUMBER(SEARCH($A64, INDEX(AsistenciaJetAdminConcatenada!$D:$D, MATCH(1, (AsistenciaJetAdminConcatenada!$A:$A=DO$2)*(AsistenciaJetAdminConcatenada!$B:$B=DO$1), 0)), 1))),  0.5, 0))</f>
        <v>0</v>
      </c>
      <c r="DP64" s="47">
        <f t="array" ref="DP64">IF(AND(ISNUMBER(MATCH(DP$2, AsistenciaJetAdminConcatenada!$A:$A, 0)), ISNUMBER(MATCH(DP$1, AsistenciaJetAdminConcatenada!$B:$B, 0)), ISNUMBER(SEARCH($A64,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ISNUMBER(SEARCH($A64, INDEX(AsistenciaJetAdminConcatenada!$D:$D, MATCH(1, (AsistenciaJetAdminConcatenada!$A:$A=DP$2)*(AsistenciaJetAdminConcatenada!$B:$B=DP$1), 0)), 1))),  0.5, 0))</f>
        <v>0</v>
      </c>
      <c r="DQ64" s="47">
        <f t="array" ref="DQ64">IF(AND(ISNUMBER(MATCH(DQ$2, AsistenciaJetAdminConcatenada!$A:$A, 0)), ISNUMBER(MATCH(DQ$1, AsistenciaJetAdminConcatenada!$B:$B, 0)), ISNUMBER(SEARCH($A64,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ISNUMBER(SEARCH($A64, INDEX(AsistenciaJetAdminConcatenada!$D:$D, MATCH(1, (AsistenciaJetAdminConcatenada!$A:$A=DQ$2)*(AsistenciaJetAdminConcatenada!$B:$B=DQ$1), 0)), 1))),  0.5, 0))</f>
        <v>0</v>
      </c>
      <c r="DR64" s="47">
        <f t="array" ref="DR64">IF(AND(ISNUMBER(MATCH(DR$2, AsistenciaJetAdminConcatenada!$A:$A, 0)), ISNUMBER(MATCH(DR$1, AsistenciaJetAdminConcatenada!$B:$B, 0)), ISNUMBER(SEARCH($A64,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ISNUMBER(SEARCH($A64, INDEX(AsistenciaJetAdminConcatenada!$D:$D, MATCH(1, (AsistenciaJetAdminConcatenada!$A:$A=DR$2)*(AsistenciaJetAdminConcatenada!$B:$B=DR$1), 0)), 1))),  0.5, 0))</f>
        <v>0</v>
      </c>
      <c r="DS64" s="47">
        <f t="array" ref="DS64">IF(AND(ISNUMBER(MATCH(DS$2, AsistenciaJetAdminConcatenada!$A:$A, 0)), ISNUMBER(MATCH(DS$1, AsistenciaJetAdminConcatenada!$B:$B, 0)), ISNUMBER(SEARCH($A64,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ISNUMBER(SEARCH($A64, INDEX(AsistenciaJetAdminConcatenada!$D:$D, MATCH(1, (AsistenciaJetAdminConcatenada!$A:$A=DS$2)*(AsistenciaJetAdminConcatenada!$B:$B=DS$1), 0)), 1))),  0.5, 0))</f>
        <v>0</v>
      </c>
      <c r="DT64" s="47">
        <f t="array" ref="DT64">IF(AND(ISNUMBER(MATCH(DT$2, AsistenciaJetAdminConcatenada!$A:$A, 0)), ISNUMBER(MATCH(DT$1, AsistenciaJetAdminConcatenada!$B:$B, 0)), ISNUMBER(SEARCH($A64,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ISNUMBER(SEARCH($A64, INDEX(AsistenciaJetAdminConcatenada!$D:$D, MATCH(1, (AsistenciaJetAdminConcatenada!$A:$A=DT$2)*(AsistenciaJetAdminConcatenada!$B:$B=DT$1), 0)), 1))),  0.5, 0))</f>
        <v>0</v>
      </c>
      <c r="DU64" s="47">
        <f t="array" ref="DU64">IF(AND(ISNUMBER(MATCH(DU$2, AsistenciaJetAdminConcatenada!$A:$A, 0)), ISNUMBER(MATCH(DU$1, AsistenciaJetAdminConcatenada!$B:$B, 0)), ISNUMBER(SEARCH($A64,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ISNUMBER(SEARCH($A64, INDEX(AsistenciaJetAdminConcatenada!$D:$D, MATCH(1, (AsistenciaJetAdminConcatenada!$A:$A=DU$2)*(AsistenciaJetAdminConcatenada!$B:$B=DU$1), 0)), 1))),  0.5, 0))</f>
        <v>0</v>
      </c>
      <c r="DV64" s="47">
        <f t="array" ref="DV64">IF(AND(ISNUMBER(MATCH(DV$2, AsistenciaJetAdminConcatenada!$A:$A, 0)), ISNUMBER(MATCH(DV$1, AsistenciaJetAdminConcatenada!$B:$B, 0)), ISNUMBER(SEARCH($A64,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ISNUMBER(SEARCH($A64, INDEX(AsistenciaJetAdminConcatenada!$D:$D, MATCH(1, (AsistenciaJetAdminConcatenada!$A:$A=DV$2)*(AsistenciaJetAdminConcatenada!$B:$B=DV$1), 0)), 1))),  0.5, 0))</f>
        <v>0</v>
      </c>
      <c r="DW64" s="47">
        <f t="array" ref="DW64">IF(AND(ISNUMBER(MATCH(DW$2, AsistenciaJetAdminConcatenada!$A:$A, 0)), ISNUMBER(MATCH(DW$1, AsistenciaJetAdminConcatenada!$B:$B, 0)), ISNUMBER(SEARCH($A64,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ISNUMBER(SEARCH($A64, INDEX(AsistenciaJetAdminConcatenada!$D:$D, MATCH(1, (AsistenciaJetAdminConcatenada!$A:$A=DW$2)*(AsistenciaJetAdminConcatenada!$B:$B=DW$1), 0)), 1))),  0.5, 0))</f>
        <v>0</v>
      </c>
      <c r="DX64" s="47">
        <f t="array" ref="DX64">IF(AND(ISNUMBER(MATCH(DX$2, AsistenciaJetAdminConcatenada!$A:$A, 0)), ISNUMBER(MATCH(DX$1, AsistenciaJetAdminConcatenada!$B:$B, 0)), ISNUMBER(SEARCH($A64,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ISNUMBER(SEARCH($A64, INDEX(AsistenciaJetAdminConcatenada!$D:$D, MATCH(1, (AsistenciaJetAdminConcatenada!$A:$A=DX$2)*(AsistenciaJetAdminConcatenada!$B:$B=DX$1), 0)), 1))),  0.5, 0))</f>
        <v>0</v>
      </c>
      <c r="DY64" s="47">
        <f t="array" ref="DY64">IF(AND(ISNUMBER(MATCH(DY$2, AsistenciaJetAdminConcatenada!$A:$A, 0)), ISNUMBER(MATCH(DY$1, AsistenciaJetAdminConcatenada!$B:$B, 0)), ISNUMBER(SEARCH($A64,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ISNUMBER(SEARCH($A64, INDEX(AsistenciaJetAdminConcatenada!$D:$D, MATCH(1, (AsistenciaJetAdminConcatenada!$A:$A=DY$2)*(AsistenciaJetAdminConcatenada!$B:$B=DY$1), 0)), 1))),  0.5, 0))</f>
        <v>0</v>
      </c>
      <c r="DZ64" s="47">
        <f t="array" ref="DZ64">IF(AND(ISNUMBER(MATCH(DZ$2, AsistenciaJetAdminConcatenada!$A:$A, 0)), ISNUMBER(MATCH(DZ$1, AsistenciaJetAdminConcatenada!$B:$B, 0)), ISNUMBER(SEARCH($A64,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ISNUMBER(SEARCH($A64, INDEX(AsistenciaJetAdminConcatenada!$D:$D, MATCH(1, (AsistenciaJetAdminConcatenada!$A:$A=DZ$2)*(AsistenciaJetAdminConcatenada!$B:$B=DZ$1), 0)), 1))),  0.5, 0))</f>
        <v>0</v>
      </c>
      <c r="EA64" s="47">
        <f t="array" ref="EA64">IF(AND(ISNUMBER(MATCH(EA$2, AsistenciaJetAdminConcatenada!$A:$A, 0)), ISNUMBER(MATCH(EA$1, AsistenciaJetAdminConcatenada!$B:$B, 0)), ISNUMBER(SEARCH($A64,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ISNUMBER(SEARCH($A64, INDEX(AsistenciaJetAdminConcatenada!$D:$D, MATCH(1, (AsistenciaJetAdminConcatenada!$A:$A=EA$2)*(AsistenciaJetAdminConcatenada!$B:$B=EA$1), 0)), 1))),  0.5, 0))</f>
        <v>0</v>
      </c>
      <c r="EB64" s="47">
        <f t="array" ref="EB64">IF(AND(ISNUMBER(MATCH(EB$2, AsistenciaJetAdminConcatenada!$A:$A, 0)), ISNUMBER(MATCH(EB$1, AsistenciaJetAdminConcatenada!$B:$B, 0)), ISNUMBER(SEARCH($A64,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ISNUMBER(SEARCH($A64, INDEX(AsistenciaJetAdminConcatenada!$D:$D, MATCH(1, (AsistenciaJetAdminConcatenada!$A:$A=EB$2)*(AsistenciaJetAdminConcatenada!$B:$B=EB$1), 0)), 1))),  0.5, 0))</f>
        <v>0</v>
      </c>
      <c r="EC64" s="47">
        <f t="array" ref="EC64">IF(AND(ISNUMBER(MATCH(EC$2, AsistenciaJetAdminConcatenada!$A:$A, 0)), ISNUMBER(MATCH(EC$1, AsistenciaJetAdminConcatenada!$B:$B, 0)), ISNUMBER(SEARCH($A64,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ISNUMBER(SEARCH($A64, INDEX(AsistenciaJetAdminConcatenada!$D:$D, MATCH(1, (AsistenciaJetAdminConcatenada!$A:$A=EC$2)*(AsistenciaJetAdminConcatenada!$B:$B=EC$1), 0)), 1))),  0.5, 0))</f>
        <v>0</v>
      </c>
      <c r="ED64" s="47">
        <f t="array" ref="ED64">IF(AND(ISNUMBER(MATCH(ED$2, AsistenciaJetAdminConcatenada!$A:$A, 0)), ISNUMBER(MATCH(ED$1, AsistenciaJetAdminConcatenada!$B:$B, 0)), ISNUMBER(SEARCH($A64,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ISNUMBER(SEARCH($A64, INDEX(AsistenciaJetAdminConcatenada!$D:$D, MATCH(1, (AsistenciaJetAdminConcatenada!$A:$A=ED$2)*(AsistenciaJetAdminConcatenada!$B:$B=ED$1), 0)), 1))),  0.5, 0))</f>
        <v>0</v>
      </c>
      <c r="EE64" s="47">
        <f t="array" ref="EE64">IF(AND(ISNUMBER(MATCH(EE$2, AsistenciaJetAdminConcatenada!$A:$A, 0)), ISNUMBER(MATCH(EE$1, AsistenciaJetAdminConcatenada!$B:$B, 0)), ISNUMBER(SEARCH($A64,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ISNUMBER(SEARCH($A64, INDEX(AsistenciaJetAdminConcatenada!$D:$D, MATCH(1, (AsistenciaJetAdminConcatenada!$A:$A=EE$2)*(AsistenciaJetAdminConcatenada!$B:$B=EE$1), 0)), 1))),  0.5, 0))</f>
        <v>0</v>
      </c>
      <c r="EF64" s="47">
        <f t="array" ref="EF64">IF(AND(ISNUMBER(MATCH(EF$2, AsistenciaJetAdminConcatenada!$A:$A, 0)), ISNUMBER(MATCH(EF$1, AsistenciaJetAdminConcatenada!$B:$B, 0)), ISNUMBER(SEARCH($A64,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ISNUMBER(SEARCH($A64, INDEX(AsistenciaJetAdminConcatenada!$D:$D, MATCH(1, (AsistenciaJetAdminConcatenada!$A:$A=EF$2)*(AsistenciaJetAdminConcatenada!$B:$B=EF$1), 0)), 1))),  0.5, 0))</f>
        <v>0</v>
      </c>
      <c r="EG64" s="47">
        <f t="array" ref="EG64">IF(AND(ISNUMBER(MATCH(EG$2, AsistenciaJetAdminConcatenada!$A:$A, 0)), ISNUMBER(MATCH(EG$1, AsistenciaJetAdminConcatenada!$B:$B, 0)), ISNUMBER(SEARCH($A64,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ISNUMBER(SEARCH($A64, INDEX(AsistenciaJetAdminConcatenada!$D:$D, MATCH(1, (AsistenciaJetAdminConcatenada!$A:$A=EG$2)*(AsistenciaJetAdminConcatenada!$B:$B=EG$1), 0)), 1))),  0.5, 0))</f>
        <v>0</v>
      </c>
      <c r="EH64" s="47">
        <f t="array" ref="EH64">IF(AND(ISNUMBER(MATCH(EH$2, AsistenciaJetAdminConcatenada!$A:$A, 0)), ISNUMBER(MATCH(EH$1, AsistenciaJetAdminConcatenada!$B:$B, 0)), ISNUMBER(SEARCH($A64,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ISNUMBER(SEARCH($A64, INDEX(AsistenciaJetAdminConcatenada!$D:$D, MATCH(1, (AsistenciaJetAdminConcatenada!$A:$A=EH$2)*(AsistenciaJetAdminConcatenada!$B:$B=EH$1), 0)), 1))),  0.5, 0))</f>
        <v>0</v>
      </c>
      <c r="EI64" s="47">
        <f t="array" ref="EI64">IF(AND(ISNUMBER(MATCH(EI$2, AsistenciaJetAdminConcatenada!$A:$A, 0)), ISNUMBER(MATCH(EI$1, AsistenciaJetAdminConcatenada!$B:$B, 0)), ISNUMBER(SEARCH($A64,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ISNUMBER(SEARCH($A64, INDEX(AsistenciaJetAdminConcatenada!$D:$D, MATCH(1, (AsistenciaJetAdminConcatenada!$A:$A=EI$2)*(AsistenciaJetAdminConcatenada!$B:$B=EI$1), 0)), 1))),  0.5, 0))</f>
        <v>0</v>
      </c>
      <c r="EJ64" s="47">
        <f t="array" ref="EJ64">IF(AND(ISNUMBER(MATCH(EJ$2, AsistenciaJetAdminConcatenada!$A:$A, 0)), ISNUMBER(MATCH(EJ$1, AsistenciaJetAdminConcatenada!$B:$B, 0)), ISNUMBER(SEARCH($A64,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ISNUMBER(SEARCH($A64, INDEX(AsistenciaJetAdminConcatenada!$D:$D, MATCH(1, (AsistenciaJetAdminConcatenada!$A:$A=EJ$2)*(AsistenciaJetAdminConcatenada!$B:$B=EJ$1), 0)), 1))),  0.5, 0))</f>
        <v>0</v>
      </c>
      <c r="EK64" s="47">
        <f t="array" ref="EK64">IF(AND(ISNUMBER(MATCH(EK$2, AsistenciaJetAdminConcatenada!$A:$A, 0)), ISNUMBER(MATCH(EK$1, AsistenciaJetAdminConcatenada!$B:$B, 0)), ISNUMBER(SEARCH($A64,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ISNUMBER(SEARCH($A64, INDEX(AsistenciaJetAdminConcatenada!$D:$D, MATCH(1, (AsistenciaJetAdminConcatenada!$A:$A=EK$2)*(AsistenciaJetAdminConcatenada!$B:$B=EK$1), 0)), 1))),  0.5, 0))</f>
        <v>0</v>
      </c>
      <c r="EL64" s="47">
        <f t="array" ref="EL64">IF(AND(ISNUMBER(MATCH(EL$2, AsistenciaJetAdminConcatenada!$A:$A, 0)), ISNUMBER(MATCH(EL$1, AsistenciaJetAdminConcatenada!$B:$B, 0)), ISNUMBER(SEARCH($A64,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ISNUMBER(SEARCH($A64, INDEX(AsistenciaJetAdminConcatenada!$D:$D, MATCH(1, (AsistenciaJetAdminConcatenada!$A:$A=EL$2)*(AsistenciaJetAdminConcatenada!$B:$B=EL$1), 0)), 1))),  0.5, 0))</f>
        <v>0</v>
      </c>
      <c r="EM64" s="47">
        <f t="array" ref="EM64">IF(AND(ISNUMBER(MATCH(EM$2, AsistenciaJetAdminConcatenada!$A:$A, 0)), ISNUMBER(MATCH(EM$1, AsistenciaJetAdminConcatenada!$B:$B, 0)), ISNUMBER(SEARCH($A64,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ISNUMBER(SEARCH($A64, INDEX(AsistenciaJetAdminConcatenada!$D:$D, MATCH(1, (AsistenciaJetAdminConcatenada!$A:$A=EM$2)*(AsistenciaJetAdminConcatenada!$B:$B=EM$1), 0)), 1))),  0.5, 0))</f>
        <v>0</v>
      </c>
      <c r="EN64" s="47">
        <f t="array" ref="EN64">IF(AND(ISNUMBER(MATCH(EN$2, AsistenciaJetAdminConcatenada!$A:$A, 0)), ISNUMBER(MATCH(EN$1, AsistenciaJetAdminConcatenada!$B:$B, 0)), ISNUMBER(SEARCH($A64,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ISNUMBER(SEARCH($A64, INDEX(AsistenciaJetAdminConcatenada!$D:$D, MATCH(1, (AsistenciaJetAdminConcatenada!$A:$A=EN$2)*(AsistenciaJetAdminConcatenada!$B:$B=EN$1), 0)), 1))),  0.5, 0))</f>
        <v>0</v>
      </c>
      <c r="EO64" s="47">
        <f t="array" ref="EO64">IF(AND(ISNUMBER(MATCH(EO$2, AsistenciaJetAdminConcatenada!$A:$A, 0)), ISNUMBER(MATCH(EO$1, AsistenciaJetAdminConcatenada!$B:$B, 0)), ISNUMBER(SEARCH($A64,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ISNUMBER(SEARCH($A64, INDEX(AsistenciaJetAdminConcatenada!$D:$D, MATCH(1, (AsistenciaJetAdminConcatenada!$A:$A=EO$2)*(AsistenciaJetAdminConcatenada!$B:$B=EO$1), 0)), 1))),  0.5, 0))</f>
        <v>0</v>
      </c>
      <c r="EP64" s="47">
        <f t="array" ref="EP64">IF(AND(ISNUMBER(MATCH(EP$2, AsistenciaJetAdminConcatenada!$A:$A, 0)), ISNUMBER(MATCH(EP$1, AsistenciaJetAdminConcatenada!$B:$B, 0)), ISNUMBER(SEARCH($A64,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ISNUMBER(SEARCH($A64, INDEX(AsistenciaJetAdminConcatenada!$D:$D, MATCH(1, (AsistenciaJetAdminConcatenada!$A:$A=EP$2)*(AsistenciaJetAdminConcatenada!$B:$B=EP$1), 0)), 1))),  0.5, 0))</f>
        <v>0</v>
      </c>
      <c r="EQ64" s="47">
        <f t="array" ref="EQ64">IF(AND(ISNUMBER(MATCH(EQ$2, AsistenciaJetAdminConcatenada!$A:$A, 0)), ISNUMBER(MATCH(EQ$1, AsistenciaJetAdminConcatenada!$B:$B, 0)), ISNUMBER(SEARCH($A64,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ISNUMBER(SEARCH($A64, INDEX(AsistenciaJetAdminConcatenada!$D:$D, MATCH(1, (AsistenciaJetAdminConcatenada!$A:$A=EQ$2)*(AsistenciaJetAdminConcatenada!$B:$B=EQ$1), 0)), 1))),  0.5, 0))</f>
        <v>0</v>
      </c>
      <c r="ER64" s="47">
        <f t="array" ref="ER64">IF(AND(ISNUMBER(MATCH(ER$2, AsistenciaJetAdminConcatenada!$A:$A, 0)), ISNUMBER(MATCH(ER$1, AsistenciaJetAdminConcatenada!$B:$B, 0)), ISNUMBER(SEARCH($A64,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ISNUMBER(SEARCH($A64, INDEX(AsistenciaJetAdminConcatenada!$D:$D, MATCH(1, (AsistenciaJetAdminConcatenada!$A:$A=ER$2)*(AsistenciaJetAdminConcatenada!$B:$B=ER$1), 0)), 1))),  0.5, 0))</f>
        <v>0</v>
      </c>
      <c r="ES64" s="47">
        <f t="array" ref="ES64">IF(AND(ISNUMBER(MATCH(ES$2, AsistenciaJetAdminConcatenada!$A:$A, 0)), ISNUMBER(MATCH(ES$1, AsistenciaJetAdminConcatenada!$B:$B, 0)), ISNUMBER(SEARCH($A64,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ISNUMBER(SEARCH($A64, INDEX(AsistenciaJetAdminConcatenada!$D:$D, MATCH(1, (AsistenciaJetAdminConcatenada!$A:$A=ES$2)*(AsistenciaJetAdminConcatenada!$B:$B=ES$1), 0)), 1))),  0.5, 0))</f>
        <v>0</v>
      </c>
      <c r="ET64" s="47">
        <f t="array" ref="ET64">IF(AND(ISNUMBER(MATCH(ET$2, AsistenciaJetAdminConcatenada!$A:$A, 0)), ISNUMBER(MATCH(ET$1, AsistenciaJetAdminConcatenada!$B:$B, 0)), ISNUMBER(SEARCH($A64,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ISNUMBER(SEARCH($A64, INDEX(AsistenciaJetAdminConcatenada!$D:$D, MATCH(1, (AsistenciaJetAdminConcatenada!$A:$A=ET$2)*(AsistenciaJetAdminConcatenada!$B:$B=ET$1), 0)), 1))),  0.5, 0))</f>
        <v>0</v>
      </c>
      <c r="EU64" s="47">
        <f t="array" ref="EU64">IF(AND(ISNUMBER(MATCH(EU$2, AsistenciaJetAdminConcatenada!$A:$A, 0)), ISNUMBER(MATCH(EU$1, AsistenciaJetAdminConcatenada!$B:$B, 0)), ISNUMBER(SEARCH($A64,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ISNUMBER(SEARCH($A64, INDEX(AsistenciaJetAdminConcatenada!$D:$D, MATCH(1, (AsistenciaJetAdminConcatenada!$A:$A=EU$2)*(AsistenciaJetAdminConcatenada!$B:$B=EU$1), 0)), 1))),  0.5, 0))</f>
        <v>0</v>
      </c>
      <c r="EV64" s="47">
        <f t="array" ref="EV64">IF(AND(ISNUMBER(MATCH(EV$2, AsistenciaJetAdminConcatenada!$A:$A, 0)), ISNUMBER(MATCH(EV$1, AsistenciaJetAdminConcatenada!$B:$B, 0)), ISNUMBER(SEARCH($A64,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ISNUMBER(SEARCH($A64, INDEX(AsistenciaJetAdminConcatenada!$D:$D, MATCH(1, (AsistenciaJetAdminConcatenada!$A:$A=EV$2)*(AsistenciaJetAdminConcatenada!$B:$B=EV$1), 0)), 1))),  0.5, 0))</f>
        <v>0</v>
      </c>
      <c r="EW64" s="47">
        <f t="array" ref="EW64">IF(AND(ISNUMBER(MATCH(EW$2, AsistenciaJetAdminConcatenada!$A:$A, 0)), ISNUMBER(MATCH(EW$1, AsistenciaJetAdminConcatenada!$B:$B, 0)), ISNUMBER(SEARCH($A64,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ISNUMBER(SEARCH($A64, INDEX(AsistenciaJetAdminConcatenada!$D:$D, MATCH(1, (AsistenciaJetAdminConcatenada!$A:$A=EW$2)*(AsistenciaJetAdminConcatenada!$B:$B=EW$1), 0)), 1))),  0.5, 0))</f>
        <v>0</v>
      </c>
      <c r="EX64" s="47">
        <f t="array" ref="EX64">IF(AND(ISNUMBER(MATCH(EX$2, AsistenciaJetAdminConcatenada!$A:$A, 0)), ISNUMBER(MATCH(EX$1, AsistenciaJetAdminConcatenada!$B:$B, 0)), ISNUMBER(SEARCH($A64,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ISNUMBER(SEARCH($A64, INDEX(AsistenciaJetAdminConcatenada!$D:$D, MATCH(1, (AsistenciaJetAdminConcatenada!$A:$A=EX$2)*(AsistenciaJetAdminConcatenada!$B:$B=EX$1), 0)), 1))),  0.5, 0))</f>
        <v>0</v>
      </c>
      <c r="EY64" s="47">
        <f t="array" ref="EY64">IF(AND(ISNUMBER(MATCH(EY$2, AsistenciaJetAdminConcatenada!$A:$A, 0)), ISNUMBER(MATCH(EY$1, AsistenciaJetAdminConcatenada!$B:$B, 0)), ISNUMBER(SEARCH($A64,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ISNUMBER(SEARCH($A64, INDEX(AsistenciaJetAdminConcatenada!$D:$D, MATCH(1, (AsistenciaJetAdminConcatenada!$A:$A=EY$2)*(AsistenciaJetAdminConcatenada!$B:$B=EY$1), 0)), 1))),  0.5, 0))</f>
        <v>0</v>
      </c>
      <c r="EZ64" s="47">
        <f t="array" ref="EZ64">IF(AND(ISNUMBER(MATCH(EZ$2, AsistenciaJetAdminConcatenada!$A:$A, 0)), ISNUMBER(MATCH(EZ$1, AsistenciaJetAdminConcatenada!$B:$B, 0)), ISNUMBER(SEARCH($A64,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ISNUMBER(SEARCH($A64, INDEX(AsistenciaJetAdminConcatenada!$D:$D, MATCH(1, (AsistenciaJetAdminConcatenada!$A:$A=EZ$2)*(AsistenciaJetAdminConcatenada!$B:$B=EZ$1), 0)), 1))),  0.5, 0))</f>
        <v>0</v>
      </c>
      <c r="FA64" s="47">
        <f t="array" ref="FA64">IF(AND(ISNUMBER(MATCH(FA$2, AsistenciaJetAdminConcatenada!$A:$A, 0)), ISNUMBER(MATCH(FA$1, AsistenciaJetAdminConcatenada!$B:$B, 0)), ISNUMBER(SEARCH($A64,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ISNUMBER(SEARCH($A64, INDEX(AsistenciaJetAdminConcatenada!$D:$D, MATCH(1, (AsistenciaJetAdminConcatenada!$A:$A=FA$2)*(AsistenciaJetAdminConcatenada!$B:$B=FA$1), 0)), 1))),  0.5, 0))</f>
        <v>0</v>
      </c>
      <c r="FB64" s="47">
        <f t="array" ref="FB64">IF(AND(ISNUMBER(MATCH(FB$2, AsistenciaJetAdminConcatenada!$A:$A, 0)), ISNUMBER(MATCH(FB$1, AsistenciaJetAdminConcatenada!$B:$B, 0)), ISNUMBER(SEARCH($A64,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ISNUMBER(SEARCH($A64, INDEX(AsistenciaJetAdminConcatenada!$D:$D, MATCH(1, (AsistenciaJetAdminConcatenada!$A:$A=FB$2)*(AsistenciaJetAdminConcatenada!$B:$B=FB$1), 0)), 1))),  0.5, 0))</f>
        <v>0</v>
      </c>
      <c r="FC64" s="47">
        <f t="array" ref="FC64">IF(AND(ISNUMBER(MATCH(FC$2, AsistenciaJetAdminConcatenada!$A:$A, 0)), ISNUMBER(MATCH(FC$1, AsistenciaJetAdminConcatenada!$B:$B, 0)), ISNUMBER(SEARCH($A64,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ISNUMBER(SEARCH($A64, INDEX(AsistenciaJetAdminConcatenada!$D:$D, MATCH(1, (AsistenciaJetAdminConcatenada!$A:$A=FC$2)*(AsistenciaJetAdminConcatenada!$B:$B=FC$1), 0)), 1))),  0.5, 0))</f>
        <v>0</v>
      </c>
      <c r="FD64" s="47">
        <f t="array" ref="FD64">IF(AND(ISNUMBER(MATCH(FD$2, AsistenciaJetAdminConcatenada!$A:$A, 0)), ISNUMBER(MATCH(FD$1, AsistenciaJetAdminConcatenada!$B:$B, 0)), ISNUMBER(SEARCH($A64,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ISNUMBER(SEARCH($A64, INDEX(AsistenciaJetAdminConcatenada!$D:$D, MATCH(1, (AsistenciaJetAdminConcatenada!$A:$A=FD$2)*(AsistenciaJetAdminConcatenada!$B:$B=FD$1), 0)), 1))),  0.5, 0))</f>
        <v>0</v>
      </c>
      <c r="FE64" s="47">
        <f t="array" ref="FE64">IF(AND(ISNUMBER(MATCH(FE$2, AsistenciaJetAdminConcatenada!$A:$A, 0)), ISNUMBER(MATCH(FE$1, AsistenciaJetAdminConcatenada!$B:$B, 0)), ISNUMBER(SEARCH($A64,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ISNUMBER(SEARCH($A64, INDEX(AsistenciaJetAdminConcatenada!$D:$D, MATCH(1, (AsistenciaJetAdminConcatenada!$A:$A=FE$2)*(AsistenciaJetAdminConcatenada!$B:$B=FE$1), 0)), 1))),  0.5, 0))</f>
        <v>0</v>
      </c>
      <c r="FF64" s="47">
        <f t="array" ref="FF64">IF(AND(ISNUMBER(MATCH(FF$2, AsistenciaJetAdminConcatenada!$A:$A, 0)), ISNUMBER(MATCH(FF$1, AsistenciaJetAdminConcatenada!$B:$B, 0)), ISNUMBER(SEARCH($A64,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ISNUMBER(SEARCH($A64, INDEX(AsistenciaJetAdminConcatenada!$D:$D, MATCH(1, (AsistenciaJetAdminConcatenada!$A:$A=FF$2)*(AsistenciaJetAdminConcatenada!$B:$B=FF$1), 0)), 1))),  0.5, 0))</f>
        <v>0</v>
      </c>
      <c r="FG64" s="47">
        <f t="array" ref="FG64">IF(AND(ISNUMBER(MATCH(FG$2, AsistenciaJetAdminConcatenada!$A:$A, 0)), ISNUMBER(MATCH(FG$1, AsistenciaJetAdminConcatenada!$B:$B, 0)), ISNUMBER(SEARCH($A64,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ISNUMBER(SEARCH($A64, INDEX(AsistenciaJetAdminConcatenada!$D:$D, MATCH(1, (AsistenciaJetAdminConcatenada!$A:$A=FG$2)*(AsistenciaJetAdminConcatenada!$B:$B=FG$1), 0)), 1))),  0.5, 0))</f>
        <v>0</v>
      </c>
      <c r="FH64" s="47">
        <f t="array" ref="FH64">IF(AND(ISNUMBER(MATCH(FH$2, AsistenciaJetAdminConcatenada!$A:$A, 0)), ISNUMBER(MATCH(FH$1, AsistenciaJetAdminConcatenada!$B:$B, 0)), ISNUMBER(SEARCH($A64,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ISNUMBER(SEARCH($A64, INDEX(AsistenciaJetAdminConcatenada!$D:$D, MATCH(1, (AsistenciaJetAdminConcatenada!$A:$A=FH$2)*(AsistenciaJetAdminConcatenada!$B:$B=FH$1), 0)), 1))),  0.5, 0))</f>
        <v>0</v>
      </c>
      <c r="FI64" s="47">
        <f t="array" ref="FI64">IF(AND(ISNUMBER(MATCH(FI$2, AsistenciaJetAdminConcatenada!$A:$A, 0)), ISNUMBER(MATCH(FI$1, AsistenciaJetAdminConcatenada!$B:$B, 0)), ISNUMBER(SEARCH($A64,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ISNUMBER(SEARCH($A64, INDEX(AsistenciaJetAdminConcatenada!$D:$D, MATCH(1, (AsistenciaJetAdminConcatenada!$A:$A=FI$2)*(AsistenciaJetAdminConcatenada!$B:$B=FI$1), 0)), 1))),  0.5, 0))</f>
        <v>0</v>
      </c>
      <c r="FJ64" s="47">
        <f t="array" ref="FJ64">IF(AND(ISNUMBER(MATCH(FJ$2, AsistenciaJetAdminConcatenada!$A:$A, 0)), ISNUMBER(MATCH(FJ$1, AsistenciaJetAdminConcatenada!$B:$B, 0)), ISNUMBER(SEARCH($A64,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ISNUMBER(SEARCH($A64, INDEX(AsistenciaJetAdminConcatenada!$D:$D, MATCH(1, (AsistenciaJetAdminConcatenada!$A:$A=FJ$2)*(AsistenciaJetAdminConcatenada!$B:$B=FJ$1), 0)), 1))),  0.5, 0))</f>
        <v>0</v>
      </c>
      <c r="FK64" s="47">
        <f t="array" ref="FK64">IF(AND(ISNUMBER(MATCH(FK$2, AsistenciaJetAdminConcatenada!$A:$A, 0)), ISNUMBER(MATCH(FK$1, AsistenciaJetAdminConcatenada!$B:$B, 0)), ISNUMBER(SEARCH($A64,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ISNUMBER(SEARCH($A64, INDEX(AsistenciaJetAdminConcatenada!$D:$D, MATCH(1, (AsistenciaJetAdminConcatenada!$A:$A=FK$2)*(AsistenciaJetAdminConcatenada!$B:$B=FK$1), 0)), 1))),  0.5, 0))</f>
        <v>0</v>
      </c>
      <c r="FL64" s="47">
        <f t="array" ref="FL64">IF(AND(ISNUMBER(MATCH(FL$2, AsistenciaJetAdminConcatenada!$A:$A, 0)), ISNUMBER(MATCH(FL$1, AsistenciaJetAdminConcatenada!$B:$B, 0)), ISNUMBER(SEARCH($A64,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ISNUMBER(SEARCH($A64, INDEX(AsistenciaJetAdminConcatenada!$D:$D, MATCH(1, (AsistenciaJetAdminConcatenada!$A:$A=FL$2)*(AsistenciaJetAdminConcatenada!$B:$B=FL$1), 0)), 1))),  0.5, 0))</f>
        <v>0</v>
      </c>
      <c r="FM64" s="47">
        <f t="array" ref="FM64">IF(AND(ISNUMBER(MATCH(FM$2, AsistenciaJetAdminConcatenada!$A:$A, 0)), ISNUMBER(MATCH(FM$1, AsistenciaJetAdminConcatenada!$B:$B, 0)), ISNUMBER(SEARCH($A64,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ISNUMBER(SEARCH($A64, INDEX(AsistenciaJetAdminConcatenada!$D:$D, MATCH(1, (AsistenciaJetAdminConcatenada!$A:$A=FM$2)*(AsistenciaJetAdminConcatenada!$B:$B=FM$1), 0)), 1))),  0.5, 0))</f>
        <v>0</v>
      </c>
      <c r="FN64" s="47">
        <f t="array" ref="FN64">IF(AND(ISNUMBER(MATCH(FN$2, AsistenciaJetAdminConcatenada!$A:$A, 0)), ISNUMBER(MATCH(FN$1, AsistenciaJetAdminConcatenada!$B:$B, 0)), ISNUMBER(SEARCH($A64,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ISNUMBER(SEARCH($A64, INDEX(AsistenciaJetAdminConcatenada!$D:$D, MATCH(1, (AsistenciaJetAdminConcatenada!$A:$A=FN$2)*(AsistenciaJetAdminConcatenada!$B:$B=FN$1), 0)), 1))),  0.5, 0))</f>
        <v>0</v>
      </c>
      <c r="FO64" s="47">
        <f t="array" ref="FO64">IF(AND(ISNUMBER(MATCH(FO$2, AsistenciaJetAdminConcatenada!$A:$A, 0)), ISNUMBER(MATCH(FO$1, AsistenciaJetAdminConcatenada!$B:$B, 0)), ISNUMBER(SEARCH($A64,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ISNUMBER(SEARCH($A64, INDEX(AsistenciaJetAdminConcatenada!$D:$D, MATCH(1, (AsistenciaJetAdminConcatenada!$A:$A=FO$2)*(AsistenciaJetAdminConcatenada!$B:$B=FO$1), 0)), 1))),  0.5, 0))</f>
        <v>0</v>
      </c>
      <c r="FP64" s="47">
        <f t="array" ref="FP64">IF(AND(ISNUMBER(MATCH(FP$2, AsistenciaJetAdminConcatenada!$A:$A, 0)), ISNUMBER(MATCH(FP$1, AsistenciaJetAdminConcatenada!$B:$B, 0)), ISNUMBER(SEARCH($A64,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ISNUMBER(SEARCH($A64, INDEX(AsistenciaJetAdminConcatenada!$D:$D, MATCH(1, (AsistenciaJetAdminConcatenada!$A:$A=FP$2)*(AsistenciaJetAdminConcatenada!$B:$B=FP$1), 0)), 1))),  0.5, 0))</f>
        <v>0</v>
      </c>
      <c r="FQ64" s="47">
        <f t="array" ref="FQ64">IF(AND(ISNUMBER(MATCH(FQ$2, AsistenciaJetAdminConcatenada!$A:$A, 0)), ISNUMBER(MATCH(FQ$1, AsistenciaJetAdminConcatenada!$B:$B, 0)), ISNUMBER(SEARCH($A64,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ISNUMBER(SEARCH($A64, INDEX(AsistenciaJetAdminConcatenada!$D:$D, MATCH(1, (AsistenciaJetAdminConcatenada!$A:$A=FQ$2)*(AsistenciaJetAdminConcatenada!$B:$B=FQ$1), 0)), 1))),  0.5, 0))</f>
        <v>0</v>
      </c>
      <c r="FR64" s="47">
        <f t="array" ref="FR64">IF(AND(ISNUMBER(MATCH(FR$2, AsistenciaJetAdminConcatenada!$A:$A, 0)), ISNUMBER(MATCH(FR$1, AsistenciaJetAdminConcatenada!$B:$B, 0)), ISNUMBER(SEARCH($A64,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ISNUMBER(SEARCH($A64, INDEX(AsistenciaJetAdminConcatenada!$D:$D, MATCH(1, (AsistenciaJetAdminConcatenada!$A:$A=FR$2)*(AsistenciaJetAdminConcatenada!$B:$B=FR$1), 0)), 1))),  0.5, 0))</f>
        <v>0</v>
      </c>
      <c r="FS64" s="47">
        <f t="array" ref="FS64">IF(AND(ISNUMBER(MATCH(FS$2, AsistenciaJetAdminConcatenada!$A:$A, 0)), ISNUMBER(MATCH(FS$1, AsistenciaJetAdminConcatenada!$B:$B, 0)), ISNUMBER(SEARCH($A64,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ISNUMBER(SEARCH($A64, INDEX(AsistenciaJetAdminConcatenada!$D:$D, MATCH(1, (AsistenciaJetAdminConcatenada!$A:$A=FS$2)*(AsistenciaJetAdminConcatenada!$B:$B=FS$1), 0)), 1))),  0.5, 0))</f>
        <v>0</v>
      </c>
      <c r="FT64" s="47">
        <f t="array" ref="FT64">IF(AND(ISNUMBER(MATCH(FT$2, AsistenciaJetAdminConcatenada!$A:$A, 0)), ISNUMBER(MATCH(FT$1, AsistenciaJetAdminConcatenada!$B:$B, 0)), ISNUMBER(SEARCH($A64,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ISNUMBER(SEARCH($A64, INDEX(AsistenciaJetAdminConcatenada!$D:$D, MATCH(1, (AsistenciaJetAdminConcatenada!$A:$A=FT$2)*(AsistenciaJetAdminConcatenada!$B:$B=FT$1), 0)), 1))),  0.5, 0))</f>
        <v>0</v>
      </c>
      <c r="FU64" s="47">
        <f t="array" ref="FU64">IF(AND(ISNUMBER(MATCH(FU$2, AsistenciaJetAdminConcatenada!$A:$A, 0)), ISNUMBER(MATCH(FU$1, AsistenciaJetAdminConcatenada!$B:$B, 0)), ISNUMBER(SEARCH($A64,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ISNUMBER(SEARCH($A64, INDEX(AsistenciaJetAdminConcatenada!$D:$D, MATCH(1, (AsistenciaJetAdminConcatenada!$A:$A=FU$2)*(AsistenciaJetAdminConcatenada!$B:$B=FU$1), 0)), 1))),  0.5, 0))</f>
        <v>0</v>
      </c>
      <c r="FV64" s="47">
        <f t="array" ref="FV64">IF(AND(ISNUMBER(MATCH(FV$2, AsistenciaJetAdminConcatenada!$A:$A, 0)), ISNUMBER(MATCH(FV$1, AsistenciaJetAdminConcatenada!$B:$B, 0)), ISNUMBER(SEARCH($A64,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ISNUMBER(SEARCH($A64, INDEX(AsistenciaJetAdminConcatenada!$D:$D, MATCH(1, (AsistenciaJetAdminConcatenada!$A:$A=FV$2)*(AsistenciaJetAdminConcatenada!$B:$B=FV$1), 0)), 1))),  0.5, 0))</f>
        <v>0</v>
      </c>
      <c r="FW64" s="47">
        <f t="array" ref="FW64">IF(AND(ISNUMBER(MATCH(FW$2, AsistenciaJetAdminConcatenada!$A:$A, 0)), ISNUMBER(MATCH(FW$1, AsistenciaJetAdminConcatenada!$B:$B, 0)), ISNUMBER(SEARCH($A64,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ISNUMBER(SEARCH($A64, INDEX(AsistenciaJetAdminConcatenada!$D:$D, MATCH(1, (AsistenciaJetAdminConcatenada!$A:$A=FW$2)*(AsistenciaJetAdminConcatenada!$B:$B=FW$1), 0)), 1))),  0.5, 0))</f>
        <v>0</v>
      </c>
      <c r="FX64" s="47">
        <f t="array" ref="FX64">IF(AND(ISNUMBER(MATCH(FX$2, AsistenciaJetAdminConcatenada!$A:$A, 0)), ISNUMBER(MATCH(FX$1, AsistenciaJetAdminConcatenada!$B:$B, 0)), ISNUMBER(SEARCH($A64,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ISNUMBER(SEARCH($A64, INDEX(AsistenciaJetAdminConcatenada!$D:$D, MATCH(1, (AsistenciaJetAdminConcatenada!$A:$A=FX$2)*(AsistenciaJetAdminConcatenada!$B:$B=FX$1), 0)), 1))),  0.5, 0))</f>
        <v>0</v>
      </c>
      <c r="FY64" s="47">
        <f t="array" ref="FY64">IF(AND(ISNUMBER(MATCH(FY$2, AsistenciaJetAdminConcatenada!$A:$A, 0)), ISNUMBER(MATCH(FY$1, AsistenciaJetAdminConcatenada!$B:$B, 0)), ISNUMBER(SEARCH($A64,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ISNUMBER(SEARCH($A64, INDEX(AsistenciaJetAdminConcatenada!$D:$D, MATCH(1, (AsistenciaJetAdminConcatenada!$A:$A=FY$2)*(AsistenciaJetAdminConcatenada!$B:$B=FY$1), 0)), 1))),  0.5, 0))</f>
        <v>0</v>
      </c>
      <c r="FZ64" s="47">
        <f t="array" ref="FZ64">IF(AND(ISNUMBER(MATCH(FZ$2, AsistenciaJetAdminConcatenada!$A:$A, 0)), ISNUMBER(MATCH(FZ$1, AsistenciaJetAdminConcatenada!$B:$B, 0)), ISNUMBER(SEARCH($A64,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ISNUMBER(SEARCH($A64, INDEX(AsistenciaJetAdminConcatenada!$D:$D, MATCH(1, (AsistenciaJetAdminConcatenada!$A:$A=FZ$2)*(AsistenciaJetAdminConcatenada!$B:$B=FZ$1), 0)), 1))),  0.5, 0))</f>
        <v>0</v>
      </c>
      <c r="GA64" s="47">
        <f t="array" ref="GA64">IF(AND(ISNUMBER(MATCH(GA$2, AsistenciaJetAdminConcatenada!$A:$A, 0)), ISNUMBER(MATCH(GA$1, AsistenciaJetAdminConcatenada!$B:$B, 0)), ISNUMBER(SEARCH($A64,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ISNUMBER(SEARCH($A64, INDEX(AsistenciaJetAdminConcatenada!$D:$D, MATCH(1, (AsistenciaJetAdminConcatenada!$A:$A=GA$2)*(AsistenciaJetAdminConcatenada!$B:$B=GA$1), 0)), 1))),  0.5, 0))</f>
        <v>0</v>
      </c>
      <c r="GB64" s="47">
        <f t="array" ref="GB64">IF(AND(ISNUMBER(MATCH(GB$2, AsistenciaJetAdminConcatenada!$A:$A, 0)), ISNUMBER(MATCH(GB$1, AsistenciaJetAdminConcatenada!$B:$B, 0)), ISNUMBER(SEARCH($A64,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ISNUMBER(SEARCH($A64, INDEX(AsistenciaJetAdminConcatenada!$D:$D, MATCH(1, (AsistenciaJetAdminConcatenada!$A:$A=GB$2)*(AsistenciaJetAdminConcatenada!$B:$B=GB$1), 0)), 1))),  0.5, 0))</f>
        <v>0</v>
      </c>
      <c r="GC64" s="47">
        <f t="array" ref="GC64">IF(AND(ISNUMBER(MATCH(GC$2, AsistenciaJetAdminConcatenada!$A:$A, 0)), ISNUMBER(MATCH(GC$1, AsistenciaJetAdminConcatenada!$B:$B, 0)), ISNUMBER(SEARCH($A64,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ISNUMBER(SEARCH($A64, INDEX(AsistenciaJetAdminConcatenada!$D:$D, MATCH(1, (AsistenciaJetAdminConcatenada!$A:$A=GC$2)*(AsistenciaJetAdminConcatenada!$B:$B=GC$1), 0)), 1))),  0.5, 0))</f>
        <v>0</v>
      </c>
      <c r="GD64" s="47">
        <f t="array" ref="GD64">IF(AND(ISNUMBER(MATCH(GD$2, AsistenciaJetAdminConcatenada!$A:$A, 0)), ISNUMBER(MATCH(GD$1, AsistenciaJetAdminConcatenada!$B:$B, 0)), ISNUMBER(SEARCH($A64,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ISNUMBER(SEARCH($A64, INDEX(AsistenciaJetAdminConcatenada!$D:$D, MATCH(1, (AsistenciaJetAdminConcatenada!$A:$A=GD$2)*(AsistenciaJetAdminConcatenada!$B:$B=GD$1), 0)), 1))),  0.5, 0))</f>
        <v>0</v>
      </c>
      <c r="GE64" s="47">
        <f t="array" ref="GE64">IF(AND(ISNUMBER(MATCH(GE$2, AsistenciaJetAdminConcatenada!$A:$A, 0)), ISNUMBER(MATCH(GE$1, AsistenciaJetAdminConcatenada!$B:$B, 0)), ISNUMBER(SEARCH($A64,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ISNUMBER(SEARCH($A64, INDEX(AsistenciaJetAdminConcatenada!$D:$D, MATCH(1, (AsistenciaJetAdminConcatenada!$A:$A=GE$2)*(AsistenciaJetAdminConcatenada!$B:$B=GE$1), 0)), 1))),  0.5, 0))</f>
        <v>0</v>
      </c>
      <c r="GF64" s="47">
        <f t="array" ref="GF64">IF(AND(ISNUMBER(MATCH(GF$2, AsistenciaJetAdminConcatenada!$A:$A, 0)), ISNUMBER(MATCH(GF$1, AsistenciaJetAdminConcatenada!$B:$B, 0)), ISNUMBER(SEARCH($A64,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ISNUMBER(SEARCH($A64, INDEX(AsistenciaJetAdminConcatenada!$D:$D, MATCH(1, (AsistenciaJetAdminConcatenada!$A:$A=GF$2)*(AsistenciaJetAdminConcatenada!$B:$B=GF$1), 0)), 1))),  0.5, 0))</f>
        <v>0</v>
      </c>
      <c r="GG64" s="47">
        <f t="array" ref="GG64">IF(AND(ISNUMBER(MATCH(GG$2, AsistenciaJetAdminConcatenada!$A:$A, 0)), ISNUMBER(MATCH(GG$1, AsistenciaJetAdminConcatenada!$B:$B, 0)), ISNUMBER(SEARCH($A64,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ISNUMBER(SEARCH($A64, INDEX(AsistenciaJetAdminConcatenada!$D:$D, MATCH(1, (AsistenciaJetAdminConcatenada!$A:$A=GG$2)*(AsistenciaJetAdminConcatenada!$B:$B=GG$1), 0)), 1))),  0.5, 0))</f>
        <v>0</v>
      </c>
      <c r="GH64" s="47">
        <f t="array" ref="GH64">IF(AND(ISNUMBER(MATCH(GH$2, AsistenciaJetAdminConcatenada!$A:$A, 0)), ISNUMBER(MATCH(GH$1, AsistenciaJetAdminConcatenada!$B:$B, 0)), ISNUMBER(SEARCH($A64,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ISNUMBER(SEARCH($A64, INDEX(AsistenciaJetAdminConcatenada!$D:$D, MATCH(1, (AsistenciaJetAdminConcatenada!$A:$A=GH$2)*(AsistenciaJetAdminConcatenada!$B:$B=GH$1), 0)), 1))),  0.5, 0))</f>
        <v>0</v>
      </c>
      <c r="GI64" s="47">
        <f t="array" ref="GI64">IF(AND(ISNUMBER(MATCH(GI$2, AsistenciaJetAdminConcatenada!$A:$A, 0)), ISNUMBER(MATCH(GI$1, AsistenciaJetAdminConcatenada!$B:$B, 0)), ISNUMBER(SEARCH($A64,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ISNUMBER(SEARCH($A64, INDEX(AsistenciaJetAdminConcatenada!$D:$D, MATCH(1, (AsistenciaJetAdminConcatenada!$A:$A=GI$2)*(AsistenciaJetAdminConcatenada!$B:$B=GI$1), 0)), 1))),  0.5, 0))</f>
        <v>0</v>
      </c>
      <c r="GJ64" s="47">
        <f t="array" ref="GJ64">IF(AND(ISNUMBER(MATCH(GJ$2, AsistenciaJetAdminConcatenada!$A:$A, 0)), ISNUMBER(MATCH(GJ$1, AsistenciaJetAdminConcatenada!$B:$B, 0)), ISNUMBER(SEARCH($A64,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ISNUMBER(SEARCH($A64, INDEX(AsistenciaJetAdminConcatenada!$D:$D, MATCH(1, (AsistenciaJetAdminConcatenada!$A:$A=GJ$2)*(AsistenciaJetAdminConcatenada!$B:$B=GJ$1), 0)), 1))),  0.5, 0))</f>
        <v>0</v>
      </c>
      <c r="GK64" s="47">
        <f t="array" ref="GK64">IF(AND(ISNUMBER(MATCH(GK$2, AsistenciaJetAdminConcatenada!$A:$A, 0)), ISNUMBER(MATCH(GK$1, AsistenciaJetAdminConcatenada!$B:$B, 0)), ISNUMBER(SEARCH($A64,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ISNUMBER(SEARCH($A64, INDEX(AsistenciaJetAdminConcatenada!$D:$D, MATCH(1, (AsistenciaJetAdminConcatenada!$A:$A=GK$2)*(AsistenciaJetAdminConcatenada!$B:$B=GK$1), 0)), 1))),  0.5, 0))</f>
        <v>0</v>
      </c>
      <c r="GL64" s="47">
        <f t="array" ref="GL64">IF(AND(ISNUMBER(MATCH(GL$2, AsistenciaJetAdminConcatenada!$A:$A, 0)), ISNUMBER(MATCH(GL$1, AsistenciaJetAdminConcatenada!$B:$B, 0)), ISNUMBER(SEARCH($A64,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ISNUMBER(SEARCH($A64, INDEX(AsistenciaJetAdminConcatenada!$D:$D, MATCH(1, (AsistenciaJetAdminConcatenada!$A:$A=GL$2)*(AsistenciaJetAdminConcatenada!$B:$B=GL$1), 0)), 1))),  0.5, 0))</f>
        <v>0</v>
      </c>
      <c r="GM64" s="47">
        <f t="array" ref="GM64">IF(AND(ISNUMBER(MATCH(GM$2, AsistenciaJetAdminConcatenada!$A:$A, 0)), ISNUMBER(MATCH(GM$1, AsistenciaJetAdminConcatenada!$B:$B, 0)), ISNUMBER(SEARCH($A64,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ISNUMBER(SEARCH($A64, INDEX(AsistenciaJetAdminConcatenada!$D:$D, MATCH(1, (AsistenciaJetAdminConcatenada!$A:$A=GM$2)*(AsistenciaJetAdminConcatenada!$B:$B=GM$1), 0)), 1))),  0.5, 0))</f>
        <v>0</v>
      </c>
      <c r="GN64" s="47">
        <f t="array" ref="GN64">IF(AND(ISNUMBER(MATCH(GN$2, AsistenciaJetAdminConcatenada!$A:$A, 0)), ISNUMBER(MATCH(GN$1, AsistenciaJetAdminConcatenada!$B:$B, 0)), ISNUMBER(SEARCH($A64,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ISNUMBER(SEARCH($A64, INDEX(AsistenciaJetAdminConcatenada!$D:$D, MATCH(1, (AsistenciaJetAdminConcatenada!$A:$A=GN$2)*(AsistenciaJetAdminConcatenada!$B:$B=GN$1), 0)), 1))),  0.5, 0))</f>
        <v>0</v>
      </c>
      <c r="GO64" s="47">
        <f t="array" ref="GO64">IF(AND(ISNUMBER(MATCH(GO$2, AsistenciaJetAdminConcatenada!$A:$A, 0)), ISNUMBER(MATCH(GO$1, AsistenciaJetAdminConcatenada!$B:$B, 0)), ISNUMBER(SEARCH($A64,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ISNUMBER(SEARCH($A64, INDEX(AsistenciaJetAdminConcatenada!$D:$D, MATCH(1, (AsistenciaJetAdminConcatenada!$A:$A=GO$2)*(AsistenciaJetAdminConcatenada!$B:$B=GO$1), 0)), 1))),  0.5, 0))</f>
        <v>0</v>
      </c>
      <c r="GP64" s="47">
        <f t="array" ref="GP64">IF(AND(ISNUMBER(MATCH(GP$2, AsistenciaJetAdminConcatenada!$A:$A, 0)), ISNUMBER(MATCH(GP$1, AsistenciaJetAdminConcatenada!$B:$B, 0)), ISNUMBER(SEARCH($A64,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ISNUMBER(SEARCH($A64, INDEX(AsistenciaJetAdminConcatenada!$D:$D, MATCH(1, (AsistenciaJetAdminConcatenada!$A:$A=GP$2)*(AsistenciaJetAdminConcatenada!$B:$B=GP$1), 0)), 1))),  0.5, 0))</f>
        <v>0</v>
      </c>
      <c r="GQ64" s="47">
        <f t="array" ref="GQ64">IF(AND(ISNUMBER(MATCH(GQ$2, AsistenciaJetAdminConcatenada!$A:$A, 0)), ISNUMBER(MATCH(GQ$1, AsistenciaJetAdminConcatenada!$B:$B, 0)), ISNUMBER(SEARCH($A64,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ISNUMBER(SEARCH($A64, INDEX(AsistenciaJetAdminConcatenada!$D:$D, MATCH(1, (AsistenciaJetAdminConcatenada!$A:$A=GQ$2)*(AsistenciaJetAdminConcatenada!$B:$B=GQ$1), 0)), 1))),  0.5, 0))</f>
        <v>0</v>
      </c>
      <c r="GR64" s="47">
        <f t="array" ref="GR64">IF(AND(ISNUMBER(MATCH(GR$2, AsistenciaJetAdminConcatenada!$A:$A, 0)), ISNUMBER(MATCH(GR$1, AsistenciaJetAdminConcatenada!$B:$B, 0)), ISNUMBER(SEARCH($A64,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ISNUMBER(SEARCH($A64, INDEX(AsistenciaJetAdminConcatenada!$D:$D, MATCH(1, (AsistenciaJetAdminConcatenada!$A:$A=GR$2)*(AsistenciaJetAdminConcatenada!$B:$B=GR$1), 0)), 1))),  0.5, 0))</f>
        <v>0</v>
      </c>
      <c r="GS64" s="47">
        <f t="array" ref="GS64">IF(AND(ISNUMBER(MATCH(GS$2, AsistenciaJetAdminConcatenada!$A:$A, 0)), ISNUMBER(MATCH(GS$1, AsistenciaJetAdminConcatenada!$B:$B, 0)), ISNUMBER(SEARCH($A64,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ISNUMBER(SEARCH($A64, INDEX(AsistenciaJetAdminConcatenada!$D:$D, MATCH(1, (AsistenciaJetAdminConcatenada!$A:$A=GS$2)*(AsistenciaJetAdminConcatenada!$B:$B=GS$1), 0)), 1))),  0.5, 0))</f>
        <v>0</v>
      </c>
      <c r="GT64" s="47">
        <f t="array" ref="GT64">IF(AND(ISNUMBER(MATCH(GT$2, AsistenciaJetAdminConcatenada!$A:$A, 0)), ISNUMBER(MATCH(GT$1, AsistenciaJetAdminConcatenada!$B:$B, 0)), ISNUMBER(SEARCH($A64,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ISNUMBER(SEARCH($A64, INDEX(AsistenciaJetAdminConcatenada!$D:$D, MATCH(1, (AsistenciaJetAdminConcatenada!$A:$A=GT$2)*(AsistenciaJetAdminConcatenada!$B:$B=GT$1), 0)), 1))),  0.5, 0))</f>
        <v>0</v>
      </c>
      <c r="GU64" s="47">
        <f t="array" ref="GU64">IF(AND(ISNUMBER(MATCH(GU$2, AsistenciaJetAdminConcatenada!$A:$A, 0)), ISNUMBER(MATCH(GU$1, AsistenciaJetAdminConcatenada!$B:$B, 0)), ISNUMBER(SEARCH($A64,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ISNUMBER(SEARCH($A64, INDEX(AsistenciaJetAdminConcatenada!$D:$D, MATCH(1, (AsistenciaJetAdminConcatenada!$A:$A=GU$2)*(AsistenciaJetAdminConcatenada!$B:$B=GU$1), 0)), 1))),  0.5, 0))</f>
        <v>0</v>
      </c>
      <c r="GV64" s="47">
        <f t="array" ref="GV64">IF(AND(ISNUMBER(MATCH(GV$2, AsistenciaJetAdminConcatenada!$A:$A, 0)), ISNUMBER(MATCH(GV$1, AsistenciaJetAdminConcatenada!$B:$B, 0)), ISNUMBER(SEARCH($A64,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ISNUMBER(SEARCH($A64, INDEX(AsistenciaJetAdminConcatenada!$D:$D, MATCH(1, (AsistenciaJetAdminConcatenada!$A:$A=GV$2)*(AsistenciaJetAdminConcatenada!$B:$B=GV$1), 0)), 1))),  0.5, 0))</f>
        <v>0</v>
      </c>
      <c r="GW64" s="47">
        <f t="array" ref="GW64">IF(AND(ISNUMBER(MATCH(GW$2, AsistenciaJetAdminConcatenada!$A:$A, 0)), ISNUMBER(MATCH(GW$1, AsistenciaJetAdminConcatenada!$B:$B, 0)), ISNUMBER(SEARCH($A64,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ISNUMBER(SEARCH($A64, INDEX(AsistenciaJetAdminConcatenada!$D:$D, MATCH(1, (AsistenciaJetAdminConcatenada!$A:$A=GW$2)*(AsistenciaJetAdminConcatenada!$B:$B=GW$1), 0)), 1))),  0.5, 0))</f>
        <v>0</v>
      </c>
      <c r="GX64" s="47">
        <f t="array" ref="GX64">IF(AND(ISNUMBER(MATCH(GX$2, AsistenciaJetAdminConcatenada!$A:$A, 0)), ISNUMBER(MATCH(GX$1, AsistenciaJetAdminConcatenada!$B:$B, 0)), ISNUMBER(SEARCH($A64,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ISNUMBER(SEARCH($A64, INDEX(AsistenciaJetAdminConcatenada!$D:$D, MATCH(1, (AsistenciaJetAdminConcatenada!$A:$A=GX$2)*(AsistenciaJetAdminConcatenada!$B:$B=GX$1), 0)), 1))),  0.5, 0))</f>
        <v>0</v>
      </c>
      <c r="GY64" s="47">
        <f t="array" ref="GY64">IF(AND(ISNUMBER(MATCH(GY$2, AsistenciaJetAdminConcatenada!$A:$A, 0)), ISNUMBER(MATCH(GY$1, AsistenciaJetAdminConcatenada!$B:$B, 0)), ISNUMBER(SEARCH($A64,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ISNUMBER(SEARCH($A64, INDEX(AsistenciaJetAdminConcatenada!$D:$D, MATCH(1, (AsistenciaJetAdminConcatenada!$A:$A=GY$2)*(AsistenciaJetAdminConcatenada!$B:$B=GY$1), 0)), 1))),  0.5, 0))</f>
        <v>0</v>
      </c>
      <c r="GZ64" s="47">
        <f t="array" ref="GZ64">IF(AND(ISNUMBER(MATCH(GZ$2, AsistenciaJetAdminConcatenada!$A:$A, 0)), ISNUMBER(MATCH(GZ$1, AsistenciaJetAdminConcatenada!$B:$B, 0)), ISNUMBER(SEARCH($A64,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ISNUMBER(SEARCH($A64, INDEX(AsistenciaJetAdminConcatenada!$D:$D, MATCH(1, (AsistenciaJetAdminConcatenada!$A:$A=GZ$2)*(AsistenciaJetAdminConcatenada!$B:$B=GZ$1), 0)), 1))),  0.5, 0))</f>
        <v>0</v>
      </c>
      <c r="HA64" s="47">
        <f t="array" ref="HA64">IF(AND(ISNUMBER(MATCH(HA$2, AsistenciaJetAdminConcatenada!$A:$A, 0)), ISNUMBER(MATCH(HA$1, AsistenciaJetAdminConcatenada!$B:$B, 0)), ISNUMBER(SEARCH($A64,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ISNUMBER(SEARCH($A64, INDEX(AsistenciaJetAdminConcatenada!$D:$D, MATCH(1, (AsistenciaJetAdminConcatenada!$A:$A=HA$2)*(AsistenciaJetAdminConcatenada!$B:$B=HA$1), 0)), 1))),  0.5, 0))</f>
        <v>0</v>
      </c>
      <c r="HB64" s="47">
        <f t="array" ref="HB64">IF(AND(ISNUMBER(MATCH(HB$2, AsistenciaJetAdminConcatenada!$A:$A, 0)), ISNUMBER(MATCH(HB$1, AsistenciaJetAdminConcatenada!$B:$B, 0)), ISNUMBER(SEARCH($A64,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ISNUMBER(SEARCH($A64, INDEX(AsistenciaJetAdminConcatenada!$D:$D, MATCH(1, (AsistenciaJetAdminConcatenada!$A:$A=HB$2)*(AsistenciaJetAdminConcatenada!$B:$B=HB$1), 0)), 1))),  0.5, 0))</f>
        <v>0</v>
      </c>
      <c r="HC64" s="47">
        <f t="array" ref="HC64">IF(AND(ISNUMBER(MATCH(HC$2, AsistenciaJetAdminConcatenada!$A:$A, 0)), ISNUMBER(MATCH(HC$1, AsistenciaJetAdminConcatenada!$B:$B, 0)), ISNUMBER(SEARCH($A64,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ISNUMBER(SEARCH($A64, INDEX(AsistenciaJetAdminConcatenada!$D:$D, MATCH(1, (AsistenciaJetAdminConcatenada!$A:$A=HC$2)*(AsistenciaJetAdminConcatenada!$B:$B=HC$1), 0)), 1))),  0.5, 0))</f>
        <v>0</v>
      </c>
    </row>
    <row r="65" ht="29.25" customHeight="1">
      <c r="A65" s="3">
        <v>153.0</v>
      </c>
      <c r="B65" s="4" t="s">
        <v>409</v>
      </c>
      <c r="C65" s="47">
        <f>SUM(D65:HC65) + ActividadesEspeciales!C65</f>
        <v>52</v>
      </c>
      <c r="D65" s="47">
        <f t="array" ref="D65">IF(AND(ISNUMBER(MATCH(D$2, AsistenciaJetAdminConcatenada!$A:$A, 0)), ISNUMBER(MATCH(D$1, AsistenciaJetAdminConcatenada!$B:$B, 0)), ISNUMBER(SEARCH($A65,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ISNUMBER(SEARCH($A65, INDEX(AsistenciaJetAdminConcatenada!$D:$D, MATCH(1, (AsistenciaJetAdminConcatenada!$A:$A=D$2)*(AsistenciaJetAdminConcatenada!$B:$B=D$1), 0)), 1))),  0.5, 0))</f>
        <v>1</v>
      </c>
      <c r="E65" s="47">
        <f t="array" ref="E65">IF(AND(ISNUMBER(MATCH(E$2, AsistenciaJetAdminConcatenada!$A:$A, 0)), ISNUMBER(MATCH(E$1, AsistenciaJetAdminConcatenada!$B:$B, 0)), ISNUMBER(SEARCH($A65,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ISNUMBER(SEARCH($A65, INDEX(AsistenciaJetAdminConcatenada!$D:$D, MATCH(1, (AsistenciaJetAdminConcatenada!$A:$A=E$2)*(AsistenciaJetAdminConcatenada!$B:$B=E$1), 0)), 1))),  0.5, 0))</f>
        <v>1</v>
      </c>
      <c r="F65" s="47">
        <f t="array" ref="F65">IF(AND(ISNUMBER(MATCH(F$2, AsistenciaJetAdminConcatenada!$A:$A, 0)), ISNUMBER(MATCH(F$1, AsistenciaJetAdminConcatenada!$B:$B, 0)), ISNUMBER(SEARCH($A65,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ISNUMBER(SEARCH($A65, INDEX(AsistenciaJetAdminConcatenada!$D:$D, MATCH(1, (AsistenciaJetAdminConcatenada!$A:$A=F$2)*(AsistenciaJetAdminConcatenada!$B:$B=F$1), 0)), 1))),  0.5, 0))</f>
        <v>1</v>
      </c>
      <c r="G65" s="47">
        <f t="array" ref="G65">IF(AND(ISNUMBER(MATCH(G$2, AsistenciaJetAdminConcatenada!$A:$A, 0)), ISNUMBER(MATCH(G$1, AsistenciaJetAdminConcatenada!$B:$B, 0)), ISNUMBER(SEARCH($A65,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ISNUMBER(SEARCH($A65, INDEX(AsistenciaJetAdminConcatenada!$D:$D, MATCH(1, (AsistenciaJetAdminConcatenada!$A:$A=G$2)*(AsistenciaJetAdminConcatenada!$B:$B=G$1), 0)), 1))),  0.5, 0))</f>
        <v>1</v>
      </c>
      <c r="H65" s="47">
        <f t="array" ref="H65">IF(AND(ISNUMBER(MATCH(H$2, AsistenciaJetAdminConcatenada!$A:$A, 0)), ISNUMBER(MATCH(H$1, AsistenciaJetAdminConcatenada!$B:$B, 0)), ISNUMBER(SEARCH($A65,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ISNUMBER(SEARCH($A65, INDEX(AsistenciaJetAdminConcatenada!$D:$D, MATCH(1, (AsistenciaJetAdminConcatenada!$A:$A=H$2)*(AsistenciaJetAdminConcatenada!$B:$B=H$1), 0)), 1))),  0.5, 0))</f>
        <v>1</v>
      </c>
      <c r="I65" s="47">
        <f t="array" ref="I65">IF(AND(ISNUMBER(MATCH(I$2, AsistenciaJetAdminConcatenada!$A:$A, 0)), ISNUMBER(MATCH(I$1, AsistenciaJetAdminConcatenada!$B:$B, 0)), ISNUMBER(SEARCH($A65,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ISNUMBER(SEARCH($A65, INDEX(AsistenciaJetAdminConcatenada!$D:$D, MATCH(1, (AsistenciaJetAdminConcatenada!$A:$A=I$2)*(AsistenciaJetAdminConcatenada!$B:$B=I$1), 0)), 1))),  0.5, 0))</f>
        <v>1</v>
      </c>
      <c r="J65" s="47">
        <f t="array" ref="J65">IF(AND(ISNUMBER(MATCH(J$2, AsistenciaJetAdminConcatenada!$A:$A, 0)), ISNUMBER(MATCH(J$1, AsistenciaJetAdminConcatenada!$B:$B, 0)), ISNUMBER(SEARCH($A65,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ISNUMBER(SEARCH($A65, INDEX(AsistenciaJetAdminConcatenada!$D:$D, MATCH(1, (AsistenciaJetAdminConcatenada!$A:$A=J$2)*(AsistenciaJetAdminConcatenada!$B:$B=J$1), 0)), 1))),  0.5, 0))</f>
        <v>0</v>
      </c>
      <c r="K65" s="47">
        <f t="array" ref="K65">IF(AND(ISNUMBER(MATCH(K$2, AsistenciaJetAdminConcatenada!$A:$A, 0)), ISNUMBER(MATCH(K$1, AsistenciaJetAdminConcatenada!$B:$B, 0)), ISNUMBER(SEARCH($A65,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ISNUMBER(SEARCH($A65, INDEX(AsistenciaJetAdminConcatenada!$D:$D, MATCH(1, (AsistenciaJetAdminConcatenada!$A:$A=K$2)*(AsistenciaJetAdminConcatenada!$B:$B=K$1), 0)), 1))),  0.5, 0))</f>
        <v>1</v>
      </c>
      <c r="L65" s="47">
        <f t="array" ref="L65">IF(AND(ISNUMBER(MATCH(L$2, AsistenciaJetAdminConcatenada!$A:$A, 0)), ISNUMBER(MATCH(L$1, AsistenciaJetAdminConcatenada!$B:$B, 0)), ISNUMBER(SEARCH($A65,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ISNUMBER(SEARCH($A65, INDEX(AsistenciaJetAdminConcatenada!$D:$D, MATCH(1, (AsistenciaJetAdminConcatenada!$A:$A=L$2)*(AsistenciaJetAdminConcatenada!$B:$B=L$1), 0)), 1))),  0.5, 0))</f>
        <v>1</v>
      </c>
      <c r="M65" s="47">
        <f t="array" ref="M65">IF(AND(ISNUMBER(MATCH(M$2, AsistenciaJetAdminConcatenada!$A:$A, 0)), ISNUMBER(MATCH(M$1, AsistenciaJetAdminConcatenada!$B:$B, 0)), ISNUMBER(SEARCH($A65,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ISNUMBER(SEARCH($A65, INDEX(AsistenciaJetAdminConcatenada!$D:$D, MATCH(1, (AsistenciaJetAdminConcatenada!$A:$A=M$2)*(AsistenciaJetAdminConcatenada!$B:$B=M$1), 0)), 1))),  0.5, 0))</f>
        <v>0</v>
      </c>
      <c r="N65" s="47">
        <f t="array" ref="N65">IF(AND(ISNUMBER(MATCH(N$2, AsistenciaJetAdminConcatenada!$A:$A, 0)), ISNUMBER(MATCH(N$1, AsistenciaJetAdminConcatenada!$B:$B, 0)), ISNUMBER(SEARCH($A65,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ISNUMBER(SEARCH($A65, INDEX(AsistenciaJetAdminConcatenada!$D:$D, MATCH(1, (AsistenciaJetAdminConcatenada!$A:$A=N$2)*(AsistenciaJetAdminConcatenada!$B:$B=N$1), 0)), 1))),  0.5, 0))</f>
        <v>0</v>
      </c>
      <c r="O65" s="47">
        <f t="array" ref="O65">IF(AND(ISNUMBER(MATCH(O$2, AsistenciaJetAdminConcatenada!$A:$A, 0)), ISNUMBER(MATCH(O$1, AsistenciaJetAdminConcatenada!$B:$B, 0)), ISNUMBER(SEARCH($A65,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ISNUMBER(SEARCH($A65, INDEX(AsistenciaJetAdminConcatenada!$D:$D, MATCH(1, (AsistenciaJetAdminConcatenada!$A:$A=O$2)*(AsistenciaJetAdminConcatenada!$B:$B=O$1), 0)), 1))),  0.5, 0))</f>
        <v>0</v>
      </c>
      <c r="P65" s="47">
        <f t="array" ref="P65">IF(AND(ISNUMBER(MATCH(P$2, AsistenciaJetAdminConcatenada!$A:$A, 0)), ISNUMBER(MATCH(P$1, AsistenciaJetAdminConcatenada!$B:$B, 0)), ISNUMBER(SEARCH($A65, INDEX(AsistenciaJetAdminConcatenada!$C:$C, MATCH(1, (AsistenciaJetAdminConcatenada!$A:$A=P$2)*(AsistenciaJetAdminConcatenada!$B:$B=P$1), 0)), 1))), 1, IF(AND(ISNUMBER(MATCH(P$2, AsistenciaJetAdminConcatenada!$A:$A, 0)), ISNUMBER(MATCH(P$1, AsistenciaJetAdminConcatenada!$B:$B, 0)), ISNUMBER(SEARCH($A65, INDEX(AsistenciaJetAdminConcatenada!$D:$D, MATCH(1, (AsistenciaJetAdminConcatenada!$A:$A=P$2)*(AsistenciaJetAdminConcatenada!$B:$B=P$1), 0)), 1))),  0.5, 0))</f>
        <v>1</v>
      </c>
      <c r="Q65" s="47">
        <f t="array" ref="Q65">IF(AND(ISNUMBER(MATCH(Q$2, AsistenciaJetAdminConcatenada!$A:$A, 0)), ISNUMBER(MATCH(Q$1, AsistenciaJetAdminConcatenada!$B:$B, 0)), ISNUMBER(SEARCH($A65, INDEX(AsistenciaJetAdminConcatenada!$C:$C, MATCH(1, (AsistenciaJetAdminConcatenada!$A:$A=Q$2)*(AsistenciaJetAdminConcatenada!$B:$B=Q$1), 0)), 1))), 1, IF(AND(ISNUMBER(MATCH(Q$2, AsistenciaJetAdminConcatenada!$A:$A, 0)), ISNUMBER(MATCH(Q$1, AsistenciaJetAdminConcatenada!$B:$B, 0)), ISNUMBER(SEARCH($A65, INDEX(AsistenciaJetAdminConcatenada!$D:$D, MATCH(1, (AsistenciaJetAdminConcatenada!$A:$A=Q$2)*(AsistenciaJetAdminConcatenada!$B:$B=Q$1), 0)), 1))),  0.5, 0))</f>
        <v>1</v>
      </c>
      <c r="R65" s="47">
        <f t="array" ref="R65">IF(AND(ISNUMBER(MATCH(R$2, AsistenciaJetAdminConcatenada!$A:$A, 0)), ISNUMBER(MATCH(R$1, AsistenciaJetAdminConcatenada!$B:$B, 0)), ISNUMBER(SEARCH($A65,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ISNUMBER(SEARCH($A65, INDEX(AsistenciaJetAdminConcatenada!$D:$D, MATCH(1, (AsistenciaJetAdminConcatenada!$A:$A=R$2)*(AsistenciaJetAdminConcatenada!$B:$B=R$1), 0)), 1))),  0.5, 0))</f>
        <v>1</v>
      </c>
      <c r="S65" s="47">
        <f t="array" ref="S65">IF(AND(ISNUMBER(MATCH(S$2, AsistenciaJetAdminConcatenada!$A:$A, 0)), ISNUMBER(MATCH(S$1, AsistenciaJetAdminConcatenada!$B:$B, 0)), ISNUMBER(SEARCH($A65,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ISNUMBER(SEARCH($A65, INDEX(AsistenciaJetAdminConcatenada!$D:$D, MATCH(1, (AsistenciaJetAdminConcatenada!$A:$A=S$2)*(AsistenciaJetAdminConcatenada!$B:$B=S$1), 0)), 1))),  0.5, 0))</f>
        <v>1</v>
      </c>
      <c r="T65" s="47">
        <f t="array" ref="T65">IF(AND(ISNUMBER(MATCH(T$2, AsistenciaJetAdminConcatenada!$A:$A, 0)), ISNUMBER(MATCH(T$1, AsistenciaJetAdminConcatenada!$B:$B, 0)), ISNUMBER(SEARCH($A65,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ISNUMBER(SEARCH($A65, INDEX(AsistenciaJetAdminConcatenada!$D:$D, MATCH(1, (AsistenciaJetAdminConcatenada!$A:$A=T$2)*(AsistenciaJetAdminConcatenada!$B:$B=T$1), 0)), 1))),  0.5, 0))</f>
        <v>1</v>
      </c>
      <c r="U65" s="47">
        <f t="array" ref="U65">IF(AND(ISNUMBER(MATCH(U$2, AsistenciaJetAdminConcatenada!$A:$A, 0)), ISNUMBER(MATCH(U$1, AsistenciaJetAdminConcatenada!$B:$B, 0)), ISNUMBER(SEARCH($A65,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ISNUMBER(SEARCH($A65, INDEX(AsistenciaJetAdminConcatenada!$D:$D, MATCH(1, (AsistenciaJetAdminConcatenada!$A:$A=U$2)*(AsistenciaJetAdminConcatenada!$B:$B=U$1), 0)), 1))),  0.5, 0))</f>
        <v>0</v>
      </c>
      <c r="V65" s="47">
        <f t="array" ref="V65">IF(AND(ISNUMBER(MATCH(V$2, AsistenciaJetAdminConcatenada!$A:$A, 0)), ISNUMBER(MATCH(V$1, AsistenciaJetAdminConcatenada!$B:$B, 0)), ISNUMBER(SEARCH($A65,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ISNUMBER(SEARCH($A65, INDEX(AsistenciaJetAdminConcatenada!$D:$D, MATCH(1, (AsistenciaJetAdminConcatenada!$A:$A=V$2)*(AsistenciaJetAdminConcatenada!$B:$B=V$1), 0)), 1))),  0.5, 0))</f>
        <v>0.5</v>
      </c>
      <c r="W65" s="47">
        <f t="array" ref="W65">IF(AND(ISNUMBER(MATCH(W$2, AsistenciaJetAdminConcatenada!$A:$A, 0)), ISNUMBER(MATCH(W$1, AsistenciaJetAdminConcatenada!$B:$B, 0)), ISNUMBER(SEARCH($A65,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ISNUMBER(SEARCH($A65, INDEX(AsistenciaJetAdminConcatenada!$D:$D, MATCH(1, (AsistenciaJetAdminConcatenada!$A:$A=W$2)*(AsistenciaJetAdminConcatenada!$B:$B=W$1), 0)), 1))),  0.5, 0))</f>
        <v>1</v>
      </c>
      <c r="X65" s="47">
        <f t="array" ref="X65">IF(AND(ISNUMBER(MATCH(X$2, AsistenciaJetAdminConcatenada!$A:$A, 0)), ISNUMBER(MATCH(X$1, AsistenciaJetAdminConcatenada!$B:$B, 0)), ISNUMBER(SEARCH($A65,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ISNUMBER(SEARCH($A65, INDEX(AsistenciaJetAdminConcatenada!$D:$D, MATCH(1, (AsistenciaJetAdminConcatenada!$A:$A=X$2)*(AsistenciaJetAdminConcatenada!$B:$B=X$1), 0)), 1))),  0.5, 0))</f>
        <v>1</v>
      </c>
      <c r="Y65" s="47">
        <f t="array" ref="Y65">IF(AND(ISNUMBER(MATCH(Y$2, AsistenciaJetAdminConcatenada!$A:$A, 0)), ISNUMBER(MATCH(Y$1, AsistenciaJetAdminConcatenada!$B:$B, 0)), ISNUMBER(SEARCH($A65,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ISNUMBER(SEARCH($A65, INDEX(AsistenciaJetAdminConcatenada!$D:$D, MATCH(1, (AsistenciaJetAdminConcatenada!$A:$A=Y$2)*(AsistenciaJetAdminConcatenada!$B:$B=Y$1), 0)), 1))),  0.5, 0))</f>
        <v>0.5</v>
      </c>
      <c r="Z65" s="47">
        <f t="array" ref="Z65">IF(AND(ISNUMBER(MATCH(Z$2, AsistenciaJetAdminConcatenada!$A:$A, 0)), ISNUMBER(MATCH(Z$1, AsistenciaJetAdminConcatenada!$B:$B, 0)), ISNUMBER(SEARCH($A65,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ISNUMBER(SEARCH($A65, INDEX(AsistenciaJetAdminConcatenada!$D:$D, MATCH(1, (AsistenciaJetAdminConcatenada!$A:$A=Z$2)*(AsistenciaJetAdminConcatenada!$B:$B=Z$1), 0)), 1))),  0.5, 0))</f>
        <v>1</v>
      </c>
      <c r="AA65" s="47">
        <f t="array" ref="AA65">IF(AND(ISNUMBER(MATCH(AA$2, AsistenciaJetAdminConcatenada!$A:$A, 0)), ISNUMBER(MATCH(AA$1, AsistenciaJetAdminConcatenada!$B:$B, 0)), ISNUMBER(SEARCH($A65,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ISNUMBER(SEARCH($A65, INDEX(AsistenciaJetAdminConcatenada!$D:$D, MATCH(1, (AsistenciaJetAdminConcatenada!$A:$A=AA$2)*(AsistenciaJetAdminConcatenada!$B:$B=AA$1), 0)), 1))),  0.5, 0))</f>
        <v>1</v>
      </c>
      <c r="AB65" s="47">
        <f t="array" ref="AB65">IF(AND(ISNUMBER(MATCH(AB$2, AsistenciaJetAdminConcatenada!$A:$A, 0)), ISNUMBER(MATCH(AB$1, AsistenciaJetAdminConcatenada!$B:$B, 0)), ISNUMBER(SEARCH($A65,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ISNUMBER(SEARCH($A65, INDEX(AsistenciaJetAdminConcatenada!$D:$D, MATCH(1, (AsistenciaJetAdminConcatenada!$A:$A=AB$2)*(AsistenciaJetAdminConcatenada!$B:$B=AB$1), 0)), 1))),  0.5, 0))</f>
        <v>0</v>
      </c>
      <c r="AC65" s="47">
        <f t="array" ref="AC65">IF(AND(ISNUMBER(MATCH(AC$2, AsistenciaJetAdminConcatenada!$A:$A, 0)), ISNUMBER(MATCH(AC$1, AsistenciaJetAdminConcatenada!$B:$B, 0)), ISNUMBER(SEARCH($A65,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ISNUMBER(SEARCH($A65, INDEX(AsistenciaJetAdminConcatenada!$D:$D, MATCH(1, (AsistenciaJetAdminConcatenada!$A:$A=AC$2)*(AsistenciaJetAdminConcatenada!$B:$B=AC$1), 0)), 1))),  0.5, 0))</f>
        <v>1</v>
      </c>
      <c r="AD65" s="47">
        <f t="array" ref="AD65">IF(AND(ISNUMBER(MATCH(AD$2, AsistenciaJetAdminConcatenada!$A:$A, 0)), ISNUMBER(MATCH(AD$1, AsistenciaJetAdminConcatenada!$B:$B, 0)), ISNUMBER(SEARCH($A65,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ISNUMBER(SEARCH($A65, INDEX(AsistenciaJetAdminConcatenada!$D:$D, MATCH(1, (AsistenciaJetAdminConcatenada!$A:$A=AD$2)*(AsistenciaJetAdminConcatenada!$B:$B=AD$1), 0)), 1))),  0.5, 0))</f>
        <v>1</v>
      </c>
      <c r="AE65" s="47">
        <f t="array" ref="AE65">IF(AND(ISNUMBER(MATCH(AE$2, AsistenciaJetAdminConcatenada!$A:$A, 0)), ISNUMBER(MATCH(AE$1, AsistenciaJetAdminConcatenada!$B:$B, 0)), ISNUMBER(SEARCH($A65,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ISNUMBER(SEARCH($A65, INDEX(AsistenciaJetAdminConcatenada!$D:$D, MATCH(1, (AsistenciaJetAdminConcatenada!$A:$A=AE$2)*(AsistenciaJetAdminConcatenada!$B:$B=AE$1), 0)), 1))),  0.5, 0))</f>
        <v>0</v>
      </c>
      <c r="AF65" s="47">
        <f t="array" ref="AF65">IF(AND(ISNUMBER(MATCH(AF$2, AsistenciaJetAdminConcatenada!$A:$A, 0)), ISNUMBER(MATCH(AF$1, AsistenciaJetAdminConcatenada!$B:$B, 0)), ISNUMBER(SEARCH($A65,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ISNUMBER(SEARCH($A65, INDEX(AsistenciaJetAdminConcatenada!$D:$D, MATCH(1, (AsistenciaJetAdminConcatenada!$A:$A=AF$2)*(AsistenciaJetAdminConcatenada!$B:$B=AF$1), 0)), 1))),  0.5, 0))</f>
        <v>1</v>
      </c>
      <c r="AG65" s="47">
        <f t="array" ref="AG65">IF(AND(ISNUMBER(MATCH(AG$2, AsistenciaJetAdminConcatenada!$A:$A, 0)), ISNUMBER(MATCH(AG$1, AsistenciaJetAdminConcatenada!$B:$B, 0)), ISNUMBER(SEARCH($A65,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ISNUMBER(SEARCH($A65, INDEX(AsistenciaJetAdminConcatenada!$D:$D, MATCH(1, (AsistenciaJetAdminConcatenada!$A:$A=AG$2)*(AsistenciaJetAdminConcatenada!$B:$B=AG$1), 0)), 1))),  0.5, 0))</f>
        <v>1</v>
      </c>
      <c r="AH65" s="47">
        <f t="array" ref="AH65">IF(AND(ISNUMBER(MATCH(AH$2, AsistenciaJetAdminConcatenada!$A:$A, 0)), ISNUMBER(MATCH(AH$1, AsistenciaJetAdminConcatenada!$B:$B, 0)), ISNUMBER(SEARCH($A65,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ISNUMBER(SEARCH($A65, INDEX(AsistenciaJetAdminConcatenada!$D:$D, MATCH(1, (AsistenciaJetAdminConcatenada!$A:$A=AH$2)*(AsistenciaJetAdminConcatenada!$B:$B=AH$1), 0)), 1))),  0.5, 0))</f>
        <v>0</v>
      </c>
      <c r="AI65" s="47">
        <f t="array" ref="AI65">IF(AND(ISNUMBER(MATCH(AI$2, AsistenciaJetAdminConcatenada!$A:$A, 0)), ISNUMBER(MATCH(AI$1, AsistenciaJetAdminConcatenada!$B:$B, 0)), ISNUMBER(SEARCH($A65,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ISNUMBER(SEARCH($A65, INDEX(AsistenciaJetAdminConcatenada!$D:$D, MATCH(1, (AsistenciaJetAdminConcatenada!$A:$A=AI$2)*(AsistenciaJetAdminConcatenada!$B:$B=AI$1), 0)), 1))),  0.5, 0))</f>
        <v>1</v>
      </c>
      <c r="AJ65" s="47">
        <f t="array" ref="AJ65">IF(AND(ISNUMBER(MATCH(AJ$2, AsistenciaJetAdminConcatenada!$A:$A, 0)), ISNUMBER(MATCH(AJ$1, AsistenciaJetAdminConcatenada!$B:$B, 0)), ISNUMBER(SEARCH($A65,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ISNUMBER(SEARCH($A65, INDEX(AsistenciaJetAdminConcatenada!$D:$D, MATCH(1, (AsistenciaJetAdminConcatenada!$A:$A=AJ$2)*(AsistenciaJetAdminConcatenada!$B:$B=AJ$1), 0)), 1))),  0.5, 0))</f>
        <v>1</v>
      </c>
      <c r="AK65" s="47">
        <f t="array" ref="AK65">IF(AND(ISNUMBER(MATCH(AK$2, AsistenciaJetAdminConcatenada!$A:$A, 0)), ISNUMBER(MATCH(AK$1, AsistenciaJetAdminConcatenada!$B:$B, 0)), ISNUMBER(SEARCH($A65,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ISNUMBER(SEARCH($A65, INDEX(AsistenciaJetAdminConcatenada!$D:$D, MATCH(1, (AsistenciaJetAdminConcatenada!$A:$A=AK$2)*(AsistenciaJetAdminConcatenada!$B:$B=AK$1), 0)), 1))),  0.5, 0))</f>
        <v>1</v>
      </c>
      <c r="AL65" s="47">
        <f t="array" ref="AL65">IF(AND(ISNUMBER(MATCH(AL$2, AsistenciaJetAdminConcatenada!$A:$A, 0)), ISNUMBER(MATCH(AL$1, AsistenciaJetAdminConcatenada!$B:$B, 0)), ISNUMBER(SEARCH($A65,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ISNUMBER(SEARCH($A65, INDEX(AsistenciaJetAdminConcatenada!$D:$D, MATCH(1, (AsistenciaJetAdminConcatenada!$A:$A=AL$2)*(AsistenciaJetAdminConcatenada!$B:$B=AL$1), 0)), 1))),  0.5, 0))</f>
        <v>0</v>
      </c>
      <c r="AM65" s="47">
        <f t="array" ref="AM65">IF(AND(ISNUMBER(MATCH(AM$2, AsistenciaJetAdminConcatenada!$A:$A, 0)), ISNUMBER(MATCH(AM$1, AsistenciaJetAdminConcatenada!$B:$B, 0)), ISNUMBER(SEARCH($A65,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ISNUMBER(SEARCH($A65, INDEX(AsistenciaJetAdminConcatenada!$D:$D, MATCH(1, (AsistenciaJetAdminConcatenada!$A:$A=AM$2)*(AsistenciaJetAdminConcatenada!$B:$B=AM$1), 0)), 1))),  0.5, 0))</f>
        <v>0</v>
      </c>
      <c r="AN65" s="47">
        <f t="array" ref="AN65">IF(AND(ISNUMBER(MATCH(AN$2, AsistenciaJetAdminConcatenada!$A:$A, 0)), ISNUMBER(MATCH(AN$1, AsistenciaJetAdminConcatenada!$B:$B, 0)), ISNUMBER(SEARCH($A65,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ISNUMBER(SEARCH($A65, INDEX(AsistenciaJetAdminConcatenada!$D:$D, MATCH(1, (AsistenciaJetAdminConcatenada!$A:$A=AN$2)*(AsistenciaJetAdminConcatenada!$B:$B=AN$1), 0)), 1))),  0.5, 0))</f>
        <v>0</v>
      </c>
      <c r="AO65" s="47">
        <f t="array" ref="AO65">IF(AND(ISNUMBER(MATCH(AO$2, AsistenciaJetAdminConcatenada!$A:$A, 0)), ISNUMBER(MATCH(AO$1, AsistenciaJetAdminConcatenada!$B:$B, 0)), ISNUMBER(SEARCH($A65,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ISNUMBER(SEARCH($A65, INDEX(AsistenciaJetAdminConcatenada!$D:$D, MATCH(1, (AsistenciaJetAdminConcatenada!$A:$A=AO$2)*(AsistenciaJetAdminConcatenada!$B:$B=AO$1), 0)), 1))),  0.5, 0))</f>
        <v>1</v>
      </c>
      <c r="AP65" s="47">
        <f t="array" ref="AP65">IF(AND(ISNUMBER(MATCH(AP$2, AsistenciaJetAdminConcatenada!$A:$A, 0)), ISNUMBER(MATCH(AP$1, AsistenciaJetAdminConcatenada!$B:$B, 0)), ISNUMBER(SEARCH($A65,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ISNUMBER(SEARCH($A65, INDEX(AsistenciaJetAdminConcatenada!$D:$D, MATCH(1, (AsistenciaJetAdminConcatenada!$A:$A=AP$2)*(AsistenciaJetAdminConcatenada!$B:$B=AP$1), 0)), 1))),  0.5, 0))</f>
        <v>1</v>
      </c>
      <c r="AQ65" s="47">
        <f t="array" ref="AQ65">IF(AND(ISNUMBER(MATCH(AQ$2, AsistenciaJetAdminConcatenada!$A:$A, 0)), ISNUMBER(MATCH(AQ$1, AsistenciaJetAdminConcatenada!$B:$B, 0)), ISNUMBER(SEARCH($A65,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ISNUMBER(SEARCH($A65, INDEX(AsistenciaJetAdminConcatenada!$D:$D, MATCH(1, (AsistenciaJetAdminConcatenada!$A:$A=AQ$2)*(AsistenciaJetAdminConcatenada!$B:$B=AQ$1), 0)), 1))),  0.5, 0))</f>
        <v>0</v>
      </c>
      <c r="AR65" s="47">
        <f t="array" ref="AR65">IF(AND(ISNUMBER(MATCH(AR$2, AsistenciaJetAdminConcatenada!$A:$A, 0)), ISNUMBER(MATCH(AR$1, AsistenciaJetAdminConcatenada!$B:$B, 0)), ISNUMBER(SEARCH($A65,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ISNUMBER(SEARCH($A65, INDEX(AsistenciaJetAdminConcatenada!$D:$D, MATCH(1, (AsistenciaJetAdminConcatenada!$A:$A=AR$2)*(AsistenciaJetAdminConcatenada!$B:$B=AR$1), 0)), 1))),  0.5, 0))</f>
        <v>1</v>
      </c>
      <c r="AS65" s="47">
        <f t="array" ref="AS65">IF(AND(ISNUMBER(MATCH(AS$2, AsistenciaJetAdminConcatenada!$A:$A, 0)), ISNUMBER(MATCH(AS$1, AsistenciaJetAdminConcatenada!$B:$B, 0)), ISNUMBER(SEARCH($A65,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ISNUMBER(SEARCH($A65, INDEX(AsistenciaJetAdminConcatenada!$D:$D, MATCH(1, (AsistenciaJetAdminConcatenada!$A:$A=AS$2)*(AsistenciaJetAdminConcatenada!$B:$B=AS$1), 0)), 1))),  0.5, 0))</f>
        <v>1</v>
      </c>
      <c r="AT65" s="47">
        <f t="array" ref="AT65">IF(AND(ISNUMBER(MATCH(AT$2, AsistenciaJetAdminConcatenada!$A:$A, 0)), ISNUMBER(MATCH(AT$1, AsistenciaJetAdminConcatenada!$B:$B, 0)), ISNUMBER(SEARCH($A65,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ISNUMBER(SEARCH($A65, INDEX(AsistenciaJetAdminConcatenada!$D:$D, MATCH(1, (AsistenciaJetAdminConcatenada!$A:$A=AT$2)*(AsistenciaJetAdminConcatenada!$B:$B=AT$1), 0)), 1))),  0.5, 0))</f>
        <v>1</v>
      </c>
      <c r="AU65" s="47">
        <f t="array" ref="AU65">IF(AND(ISNUMBER(MATCH(AU$2, AsistenciaJetAdminConcatenada!$A:$A, 0)), ISNUMBER(MATCH(AU$1, AsistenciaJetAdminConcatenada!$B:$B, 0)), ISNUMBER(SEARCH($A65,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ISNUMBER(SEARCH($A65, INDEX(AsistenciaJetAdminConcatenada!$D:$D, MATCH(1, (AsistenciaJetAdminConcatenada!$A:$A=AU$2)*(AsistenciaJetAdminConcatenada!$B:$B=AU$1), 0)), 1))),  0.5, 0))</f>
        <v>1</v>
      </c>
      <c r="AV65" s="47">
        <f t="array" ref="AV65">IF(AND(ISNUMBER(MATCH(AV$2, AsistenciaJetAdminConcatenada!$A:$A, 0)), ISNUMBER(MATCH(AV$1, AsistenciaJetAdminConcatenada!$B:$B, 0)), ISNUMBER(SEARCH($A65,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ISNUMBER(SEARCH($A65, INDEX(AsistenciaJetAdminConcatenada!$D:$D, MATCH(1, (AsistenciaJetAdminConcatenada!$A:$A=AV$2)*(AsistenciaJetAdminConcatenada!$B:$B=AV$1), 0)), 1))),  0.5, 0))</f>
        <v>1</v>
      </c>
      <c r="AW65" s="47">
        <f t="array" ref="AW65">IF(AND(ISNUMBER(MATCH(AW$2, AsistenciaJetAdminConcatenada!$A:$A, 0)), ISNUMBER(MATCH(AW$1, AsistenciaJetAdminConcatenada!$B:$B, 0)), ISNUMBER(SEARCH($A65,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ISNUMBER(SEARCH($A65, INDEX(AsistenciaJetAdminConcatenada!$D:$D, MATCH(1, (AsistenciaJetAdminConcatenada!$A:$A=AW$2)*(AsistenciaJetAdminConcatenada!$B:$B=AW$1), 0)), 1))),  0.5, 0))</f>
        <v>0</v>
      </c>
      <c r="AX65" s="47">
        <f t="array" ref="AX65">IF(AND(ISNUMBER(MATCH(AX$2, AsistenciaJetAdminConcatenada!$A:$A, 0)), ISNUMBER(MATCH(AX$1, AsistenciaJetAdminConcatenada!$B:$B, 0)), ISNUMBER(SEARCH($A65,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ISNUMBER(SEARCH($A65, INDEX(AsistenciaJetAdminConcatenada!$D:$D, MATCH(1, (AsistenciaJetAdminConcatenada!$A:$A=AX$2)*(AsistenciaJetAdminConcatenada!$B:$B=AX$1), 0)), 1))),  0.5, 0))</f>
        <v>0</v>
      </c>
      <c r="AY65" s="47">
        <f t="array" ref="AY65">IF(AND(ISNUMBER(MATCH(AY$2, AsistenciaJetAdminConcatenada!$A:$A, 0)), ISNUMBER(MATCH(AY$1, AsistenciaJetAdminConcatenada!$B:$B, 0)), ISNUMBER(SEARCH($A65,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ISNUMBER(SEARCH($A65, INDEX(AsistenciaJetAdminConcatenada!$D:$D, MATCH(1, (AsistenciaJetAdminConcatenada!$A:$A=AY$2)*(AsistenciaJetAdminConcatenada!$B:$B=AY$1), 0)), 1))),  0.5, 0))</f>
        <v>0</v>
      </c>
      <c r="AZ65" s="47">
        <f t="array" ref="AZ65">IF(AND(ISNUMBER(MATCH(AZ$2, AsistenciaJetAdminConcatenada!$A:$A, 0)), ISNUMBER(MATCH(AZ$1, AsistenciaJetAdminConcatenada!$B:$B, 0)), ISNUMBER(SEARCH($A65,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ISNUMBER(SEARCH($A65, INDEX(AsistenciaJetAdminConcatenada!$D:$D, MATCH(1, (AsistenciaJetAdminConcatenada!$A:$A=AZ$2)*(AsistenciaJetAdminConcatenada!$B:$B=AZ$1), 0)), 1))),  0.5, 0))</f>
        <v>1</v>
      </c>
      <c r="BA65" s="47">
        <f t="array" ref="BA65">IF(AND(ISNUMBER(MATCH(BA$2, AsistenciaJetAdminConcatenada!$A:$A, 0)), ISNUMBER(MATCH(BA$1, AsistenciaJetAdminConcatenada!$B:$B, 0)), ISNUMBER(SEARCH($A65,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ISNUMBER(SEARCH($A65, INDEX(AsistenciaJetAdminConcatenada!$D:$D, MATCH(1, (AsistenciaJetAdminConcatenada!$A:$A=BA$2)*(AsistenciaJetAdminConcatenada!$B:$B=BA$1), 0)), 1))),  0.5, 0))</f>
        <v>1</v>
      </c>
      <c r="BB65" s="47">
        <f t="array" ref="BB65">IF(AND(ISNUMBER(MATCH(BB$2, AsistenciaJetAdminConcatenada!$A:$A, 0)), ISNUMBER(MATCH(BB$1, AsistenciaJetAdminConcatenada!$B:$B, 0)), ISNUMBER(SEARCH($A65,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ISNUMBER(SEARCH($A65, INDEX(AsistenciaJetAdminConcatenada!$D:$D, MATCH(1, (AsistenciaJetAdminConcatenada!$A:$A=BB$2)*(AsistenciaJetAdminConcatenada!$B:$B=BB$1), 0)), 1))),  0.5, 0))</f>
        <v>1</v>
      </c>
      <c r="BC65" s="47">
        <f t="array" ref="BC65">IF(AND(ISNUMBER(MATCH(BC$2, AsistenciaJetAdminConcatenada!$A:$A, 0)), ISNUMBER(MATCH(BC$1, AsistenciaJetAdminConcatenada!$B:$B, 0)), ISNUMBER(SEARCH($A65,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ISNUMBER(SEARCH($A65, INDEX(AsistenciaJetAdminConcatenada!$D:$D, MATCH(1, (AsistenciaJetAdminConcatenada!$A:$A=BC$2)*(AsistenciaJetAdminConcatenada!$B:$B=BC$1), 0)), 1))),  0.5, 0))</f>
        <v>1</v>
      </c>
      <c r="BD65" s="47">
        <f t="array" ref="BD65">IF(AND(ISNUMBER(MATCH(BD$2, AsistenciaJetAdminConcatenada!$A:$A, 0)), ISNUMBER(MATCH(BD$1, AsistenciaJetAdminConcatenada!$B:$B, 0)), ISNUMBER(SEARCH($A65,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ISNUMBER(SEARCH($A65, INDEX(AsistenciaJetAdminConcatenada!$D:$D, MATCH(1, (AsistenciaJetAdminConcatenada!$A:$A=BD$2)*(AsistenciaJetAdminConcatenada!$B:$B=BD$1), 0)), 1))),  0.5, 0))</f>
        <v>0</v>
      </c>
      <c r="BE65" s="47">
        <f t="array" ref="BE65">IF(AND(ISNUMBER(MATCH(BE$2, AsistenciaJetAdminConcatenada!$A:$A, 0)), ISNUMBER(MATCH(BE$1, AsistenciaJetAdminConcatenada!$B:$B, 0)), ISNUMBER(SEARCH($A65,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ISNUMBER(SEARCH($A65, INDEX(AsistenciaJetAdminConcatenada!$D:$D, MATCH(1, (AsistenciaJetAdminConcatenada!$A:$A=BE$2)*(AsistenciaJetAdminConcatenada!$B:$B=BE$1), 0)), 1))),  0.5, 0))</f>
        <v>1</v>
      </c>
      <c r="BF65" s="47">
        <f t="array" ref="BF65">IF(AND(ISNUMBER(MATCH(BF$2, AsistenciaJetAdminConcatenada!$A:$A, 0)), ISNUMBER(MATCH(BF$1, AsistenciaJetAdminConcatenada!$B:$B, 0)), ISNUMBER(SEARCH($A65,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ISNUMBER(SEARCH($A65, INDEX(AsistenciaJetAdminConcatenada!$D:$D, MATCH(1, (AsistenciaJetAdminConcatenada!$A:$A=BF$2)*(AsistenciaJetAdminConcatenada!$B:$B=BF$1), 0)), 1))),  0.5, 0))</f>
        <v>0</v>
      </c>
      <c r="BG65" s="47">
        <f t="array" ref="BG65">IF(AND(ISNUMBER(MATCH(BG$2, AsistenciaJetAdminConcatenada!$A:$A, 0)), ISNUMBER(MATCH(BG$1, AsistenciaJetAdminConcatenada!$B:$B, 0)), ISNUMBER(SEARCH($A65,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ISNUMBER(SEARCH($A65, INDEX(AsistenciaJetAdminConcatenada!$D:$D, MATCH(1, (AsistenciaJetAdminConcatenada!$A:$A=BG$2)*(AsistenciaJetAdminConcatenada!$B:$B=BG$1), 0)), 1))),  0.5, 0))</f>
        <v>0</v>
      </c>
      <c r="BH65" s="47">
        <f t="array" ref="BH65">IF(AND(ISNUMBER(MATCH(BH$2, AsistenciaJetAdminConcatenada!$A:$A, 0)), ISNUMBER(MATCH(BH$1, AsistenciaJetAdminConcatenada!$B:$B, 0)), ISNUMBER(SEARCH($A65,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ISNUMBER(SEARCH($A65, INDEX(AsistenciaJetAdminConcatenada!$D:$D, MATCH(1, (AsistenciaJetAdminConcatenada!$A:$A=BH$2)*(AsistenciaJetAdminConcatenada!$B:$B=BH$1), 0)), 1))),  0.5, 0))</f>
        <v>1</v>
      </c>
      <c r="BI65" s="47">
        <f t="array" ref="BI65">IF(AND(ISNUMBER(MATCH(BI$2, AsistenciaJetAdminConcatenada!$A:$A, 0)), ISNUMBER(MATCH(BI$1, AsistenciaJetAdminConcatenada!$B:$B, 0)), ISNUMBER(SEARCH($A65,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ISNUMBER(SEARCH($A65, INDEX(AsistenciaJetAdminConcatenada!$D:$D, MATCH(1, (AsistenciaJetAdminConcatenada!$A:$A=BI$2)*(AsistenciaJetAdminConcatenada!$B:$B=BI$1), 0)), 1))),  0.5, 0))</f>
        <v>1</v>
      </c>
      <c r="BJ65" s="47">
        <f t="array" ref="BJ65">IF(AND(ISNUMBER(MATCH(BJ$2, AsistenciaJetAdminConcatenada!$A:$A, 0)), ISNUMBER(MATCH(BJ$1, AsistenciaJetAdminConcatenada!$B:$B, 0)), ISNUMBER(SEARCH($A65,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ISNUMBER(SEARCH($A65, INDEX(AsistenciaJetAdminConcatenada!$D:$D, MATCH(1, (AsistenciaJetAdminConcatenada!$A:$A=BJ$2)*(AsistenciaJetAdminConcatenada!$B:$B=BJ$1), 0)), 1))),  0.5, 0))</f>
        <v>1</v>
      </c>
      <c r="BK65" s="47">
        <f t="array" ref="BK65">IF(AND(ISNUMBER(MATCH(BK$2, AsistenciaJetAdminConcatenada!$A:$A, 0)), ISNUMBER(MATCH(BK$1, AsistenciaJetAdminConcatenada!$B:$B, 0)), ISNUMBER(SEARCH($A65,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ISNUMBER(SEARCH($A65, INDEX(AsistenciaJetAdminConcatenada!$D:$D, MATCH(1, (AsistenciaJetAdminConcatenada!$A:$A=BK$2)*(AsistenciaJetAdminConcatenada!$B:$B=BK$1), 0)), 1))),  0.5, 0))</f>
        <v>0</v>
      </c>
      <c r="BL65" s="47">
        <f t="array" ref="BL65">IF(AND(ISNUMBER(MATCH(BL$2, AsistenciaJetAdminConcatenada!$A:$A, 0)), ISNUMBER(MATCH(BL$1, AsistenciaJetAdminConcatenada!$B:$B, 0)), ISNUMBER(SEARCH($A65,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ISNUMBER(SEARCH($A65, INDEX(AsistenciaJetAdminConcatenada!$D:$D, MATCH(1, (AsistenciaJetAdminConcatenada!$A:$A=BL$2)*(AsistenciaJetAdminConcatenada!$B:$B=BL$1), 0)), 1))),  0.5, 0))</f>
        <v>1</v>
      </c>
      <c r="BM65" s="47">
        <f t="array" ref="BM65">IF(AND(ISNUMBER(MATCH(BM$2, AsistenciaJetAdminConcatenada!$A:$A, 0)), ISNUMBER(MATCH(BM$1, AsistenciaJetAdminConcatenada!$B:$B, 0)), ISNUMBER(SEARCH($A65,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ISNUMBER(SEARCH($A65, INDEX(AsistenciaJetAdminConcatenada!$D:$D, MATCH(1, (AsistenciaJetAdminConcatenada!$A:$A=BM$2)*(AsistenciaJetAdminConcatenada!$B:$B=BM$1), 0)), 1))),  0.5, 0))</f>
        <v>0</v>
      </c>
      <c r="BN65" s="47">
        <f t="array" ref="BN65">IF(AND(ISNUMBER(MATCH(BN$2, AsistenciaJetAdminConcatenada!$A:$A, 0)), ISNUMBER(MATCH(BN$1, AsistenciaJetAdminConcatenada!$B:$B, 0)), ISNUMBER(SEARCH($A65,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ISNUMBER(SEARCH($A65, INDEX(AsistenciaJetAdminConcatenada!$D:$D, MATCH(1, (AsistenciaJetAdminConcatenada!$A:$A=BN$2)*(AsistenciaJetAdminConcatenada!$B:$B=BN$1), 0)), 1))),  0.5, 0))</f>
        <v>0</v>
      </c>
      <c r="BO65" s="47">
        <f t="array" ref="BO65">IF(AND(ISNUMBER(MATCH(BO$2, AsistenciaJetAdminConcatenada!$A:$A, 0)), ISNUMBER(MATCH(BO$1, AsistenciaJetAdminConcatenada!$B:$B, 0)), ISNUMBER(SEARCH($A65,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ISNUMBER(SEARCH($A65, INDEX(AsistenciaJetAdminConcatenada!$D:$D, MATCH(1, (AsistenciaJetAdminConcatenada!$A:$A=BO$2)*(AsistenciaJetAdminConcatenada!$B:$B=BO$1), 0)), 1))),  0.5, 0))</f>
        <v>1</v>
      </c>
      <c r="BP65" s="47">
        <f t="array" ref="BP65">IF(AND(ISNUMBER(MATCH(BP$2, AsistenciaJetAdminConcatenada!$A:$A, 0)), ISNUMBER(MATCH(BP$1, AsistenciaJetAdminConcatenada!$B:$B, 0)), ISNUMBER(SEARCH($A65,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ISNUMBER(SEARCH($A65, INDEX(AsistenciaJetAdminConcatenada!$D:$D, MATCH(1, (AsistenciaJetAdminConcatenada!$A:$A=BP$2)*(AsistenciaJetAdminConcatenada!$B:$B=BP$1), 0)), 1))),  0.5, 0))</f>
        <v>0</v>
      </c>
      <c r="BQ65" s="47">
        <f t="array" ref="BQ65">IF(AND(ISNUMBER(MATCH(BQ$2, AsistenciaJetAdminConcatenada!$A:$A, 0)), ISNUMBER(MATCH(BQ$1, AsistenciaJetAdminConcatenada!$B:$B, 0)), ISNUMBER(SEARCH($A65,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ISNUMBER(SEARCH($A65, INDEX(AsistenciaJetAdminConcatenada!$D:$D, MATCH(1, (AsistenciaJetAdminConcatenada!$A:$A=BQ$2)*(AsistenciaJetAdminConcatenada!$B:$B=BQ$1), 0)), 1))),  0.5, 0))</f>
        <v>0</v>
      </c>
      <c r="BR65" s="47">
        <f t="array" ref="BR65">IF(AND(ISNUMBER(MATCH(BR$2, AsistenciaJetAdminConcatenada!$A:$A, 0)), ISNUMBER(MATCH(BR$1, AsistenciaJetAdminConcatenada!$B:$B, 0)), ISNUMBER(SEARCH($A65,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ISNUMBER(SEARCH($A65, INDEX(AsistenciaJetAdminConcatenada!$D:$D, MATCH(1, (AsistenciaJetAdminConcatenada!$A:$A=BR$2)*(AsistenciaJetAdminConcatenada!$B:$B=BR$1), 0)), 1))),  0.5, 0))</f>
        <v>0</v>
      </c>
      <c r="BS65" s="47">
        <f t="array" ref="BS65">IF(AND(ISNUMBER(MATCH(BS$2, AsistenciaJetAdminConcatenada!$A:$A, 0)), ISNUMBER(MATCH(BS$1, AsistenciaJetAdminConcatenada!$B:$B, 0)), ISNUMBER(SEARCH($A65,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ISNUMBER(SEARCH($A65, INDEX(AsistenciaJetAdminConcatenada!$D:$D, MATCH(1, (AsistenciaJetAdminConcatenada!$A:$A=BS$2)*(AsistenciaJetAdminConcatenada!$B:$B=BS$1), 0)), 1))),  0.5, 0))</f>
        <v>0</v>
      </c>
      <c r="BT65" s="47">
        <f t="array" ref="BT65">IF(AND(ISNUMBER(MATCH(BT$2, AsistenciaJetAdminConcatenada!$A:$A, 0)), ISNUMBER(MATCH(BT$1, AsistenciaJetAdminConcatenada!$B:$B, 0)), ISNUMBER(SEARCH($A65,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ISNUMBER(SEARCH($A65, INDEX(AsistenciaJetAdminConcatenada!$D:$D, MATCH(1, (AsistenciaJetAdminConcatenada!$A:$A=BT$2)*(AsistenciaJetAdminConcatenada!$B:$B=BT$1), 0)), 1))),  0.5, 0))</f>
        <v>0</v>
      </c>
      <c r="BU65" s="47">
        <f t="array" ref="BU65">IF(AND(ISNUMBER(MATCH(BU$2, AsistenciaJetAdminConcatenada!$A:$A, 0)), ISNUMBER(MATCH(BU$1, AsistenciaJetAdminConcatenada!$B:$B, 0)), ISNUMBER(SEARCH($A65,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ISNUMBER(SEARCH($A65, INDEX(AsistenciaJetAdminConcatenada!$D:$D, MATCH(1, (AsistenciaJetAdminConcatenada!$A:$A=BU$2)*(AsistenciaJetAdminConcatenada!$B:$B=BU$1), 0)), 1))),  0.5, 0))</f>
        <v>0.5</v>
      </c>
      <c r="BV65" s="47">
        <f t="array" ref="BV65">IF(AND(ISNUMBER(MATCH(BV$2, AsistenciaJetAdminConcatenada!$A:$A, 0)), ISNUMBER(MATCH(BV$1, AsistenciaJetAdminConcatenada!$B:$B, 0)), ISNUMBER(SEARCH($A65,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ISNUMBER(SEARCH($A65, INDEX(AsistenciaJetAdminConcatenada!$D:$D, MATCH(1, (AsistenciaJetAdminConcatenada!$A:$A=BV$2)*(AsistenciaJetAdminConcatenada!$B:$B=BV$1), 0)), 1))),  0.5, 0))</f>
        <v>0</v>
      </c>
      <c r="BW65" s="47">
        <f t="array" ref="BW65">IF(AND(ISNUMBER(MATCH(BW$2, AsistenciaJetAdminConcatenada!$A:$A, 0)), ISNUMBER(MATCH(BW$1, AsistenciaJetAdminConcatenada!$B:$B, 0)), ISNUMBER(SEARCH($A65,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ISNUMBER(SEARCH($A65, INDEX(AsistenciaJetAdminConcatenada!$D:$D, MATCH(1, (AsistenciaJetAdminConcatenada!$A:$A=BW$2)*(AsistenciaJetAdminConcatenada!$B:$B=BW$1), 0)), 1))),  0.5, 0))</f>
        <v>0</v>
      </c>
      <c r="BX65" s="47">
        <f t="array" ref="BX65">IF(AND(ISNUMBER(MATCH(BX$2, AsistenciaJetAdminConcatenada!$A:$A, 0)), ISNUMBER(MATCH(BX$1, AsistenciaJetAdminConcatenada!$B:$B, 0)), ISNUMBER(SEARCH($A65,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ISNUMBER(SEARCH($A65, INDEX(AsistenciaJetAdminConcatenada!$D:$D, MATCH(1, (AsistenciaJetAdminConcatenada!$A:$A=BX$2)*(AsistenciaJetAdminConcatenada!$B:$B=BX$1), 0)), 1))),  0.5, 0))</f>
        <v>0.5</v>
      </c>
      <c r="BY65" s="47">
        <f t="array" ref="BY65">IF(AND(ISNUMBER(MATCH(BY$2, AsistenciaJetAdminConcatenada!$A:$A, 0)), ISNUMBER(MATCH(BY$1, AsistenciaJetAdminConcatenada!$B:$B, 0)), ISNUMBER(SEARCH($A65,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ISNUMBER(SEARCH($A65, INDEX(AsistenciaJetAdminConcatenada!$D:$D, MATCH(1, (AsistenciaJetAdminConcatenada!$A:$A=BY$2)*(AsistenciaJetAdminConcatenada!$B:$B=BY$1), 0)), 1))),  0.5, 0))</f>
        <v>1</v>
      </c>
      <c r="BZ65" s="47">
        <f t="array" ref="BZ65">IF(AND(ISNUMBER(MATCH(BZ$2, AsistenciaJetAdminConcatenada!$A:$A, 0)), ISNUMBER(MATCH(BZ$1, AsistenciaJetAdminConcatenada!$B:$B, 0)), ISNUMBER(SEARCH($A65,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ISNUMBER(SEARCH($A65, INDEX(AsistenciaJetAdminConcatenada!$D:$D, MATCH(1, (AsistenciaJetAdminConcatenada!$A:$A=BZ$2)*(AsistenciaJetAdminConcatenada!$B:$B=BZ$1), 0)), 1))),  0.5, 0))</f>
        <v>0</v>
      </c>
      <c r="CA65" s="47">
        <f t="array" ref="CA65">IF(AND(ISNUMBER(MATCH(CA$2, AsistenciaJetAdminConcatenada!$A:$A, 0)), ISNUMBER(MATCH(CA$1, AsistenciaJetAdminConcatenada!$B:$B, 0)), ISNUMBER(SEARCH($A65,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ISNUMBER(SEARCH($A65, INDEX(AsistenciaJetAdminConcatenada!$D:$D, MATCH(1, (AsistenciaJetAdminConcatenada!$A:$A=CA$2)*(AsistenciaJetAdminConcatenada!$B:$B=CA$1), 0)), 1))),  0.5, 0))</f>
        <v>0</v>
      </c>
      <c r="CB65" s="47">
        <f t="array" ref="CB65">IF(AND(ISNUMBER(MATCH(CB$2, AsistenciaJetAdminConcatenada!$A:$A, 0)), ISNUMBER(MATCH(CB$1, AsistenciaJetAdminConcatenada!$B:$B, 0)), ISNUMBER(SEARCH($A65,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ISNUMBER(SEARCH($A65, INDEX(AsistenciaJetAdminConcatenada!$D:$D, MATCH(1, (AsistenciaJetAdminConcatenada!$A:$A=CB$2)*(AsistenciaJetAdminConcatenada!$B:$B=CB$1), 0)), 1))),  0.5, 0))</f>
        <v>0</v>
      </c>
      <c r="CC65" s="47">
        <f t="array" ref="CC65">IF(AND(ISNUMBER(MATCH(CC$2, AsistenciaJetAdminConcatenada!$A:$A, 0)), ISNUMBER(MATCH(CC$1, AsistenciaJetAdminConcatenada!$B:$B, 0)), ISNUMBER(SEARCH($A65,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ISNUMBER(SEARCH($A65, INDEX(AsistenciaJetAdminConcatenada!$D:$D, MATCH(1, (AsistenciaJetAdminConcatenada!$A:$A=CC$2)*(AsistenciaJetAdminConcatenada!$B:$B=CC$1), 0)), 1))),  0.5, 0))</f>
        <v>0</v>
      </c>
      <c r="CD65" s="47">
        <f t="array" ref="CD65">IF(AND(ISNUMBER(MATCH(CD$2, AsistenciaJetAdminConcatenada!$A:$A, 0)), ISNUMBER(MATCH(CD$1, AsistenciaJetAdminConcatenada!$B:$B, 0)), ISNUMBER(SEARCH($A65,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ISNUMBER(SEARCH($A65, INDEX(AsistenciaJetAdminConcatenada!$D:$D, MATCH(1, (AsistenciaJetAdminConcatenada!$A:$A=CD$2)*(AsistenciaJetAdminConcatenada!$B:$B=CD$1), 0)), 1))),  0.5, 0))</f>
        <v>0</v>
      </c>
      <c r="CE65" s="47">
        <f t="array" ref="CE65">IF(AND(ISNUMBER(MATCH(CE$2, AsistenciaJetAdminConcatenada!$A:$A, 0)), ISNUMBER(MATCH(CE$1, AsistenciaJetAdminConcatenada!$B:$B, 0)), ISNUMBER(SEARCH($A65,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ISNUMBER(SEARCH($A65, INDEX(AsistenciaJetAdminConcatenada!$D:$D, MATCH(1, (AsistenciaJetAdminConcatenada!$A:$A=CE$2)*(AsistenciaJetAdminConcatenada!$B:$B=CE$1), 0)), 1))),  0.5, 0))</f>
        <v>1</v>
      </c>
      <c r="CF65" s="47">
        <f t="array" ref="CF65">IF(AND(ISNUMBER(MATCH(CF$2, AsistenciaJetAdminConcatenada!$A:$A, 0)), ISNUMBER(MATCH(CF$1, AsistenciaJetAdminConcatenada!$B:$B, 0)), ISNUMBER(SEARCH($A65,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ISNUMBER(SEARCH($A65, INDEX(AsistenciaJetAdminConcatenada!$D:$D, MATCH(1, (AsistenciaJetAdminConcatenada!$A:$A=CF$2)*(AsistenciaJetAdminConcatenada!$B:$B=CF$1), 0)), 1))),  0.5, 0))</f>
        <v>0</v>
      </c>
      <c r="CG65" s="47">
        <f t="array" ref="CG65">IF(AND(ISNUMBER(MATCH(CG$2, AsistenciaJetAdminConcatenada!$A:$A, 0)), ISNUMBER(MATCH(CG$1, AsistenciaJetAdminConcatenada!$B:$B, 0)), ISNUMBER(SEARCH($A65,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ISNUMBER(SEARCH($A65, INDEX(AsistenciaJetAdminConcatenada!$D:$D, MATCH(1, (AsistenciaJetAdminConcatenada!$A:$A=CG$2)*(AsistenciaJetAdminConcatenada!$B:$B=CG$1), 0)), 1))),  0.5, 0))</f>
        <v>0</v>
      </c>
      <c r="CH65" s="47">
        <f t="array" ref="CH65">IF(AND(ISNUMBER(MATCH(CH$2, AsistenciaJetAdminConcatenada!$A:$A, 0)), ISNUMBER(MATCH(CH$1, AsistenciaJetAdminConcatenada!$B:$B, 0)), ISNUMBER(SEARCH($A65,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ISNUMBER(SEARCH($A65, INDEX(AsistenciaJetAdminConcatenada!$D:$D, MATCH(1, (AsistenciaJetAdminConcatenada!$A:$A=CH$2)*(AsistenciaJetAdminConcatenada!$B:$B=CH$1), 0)), 1))),  0.5, 0))</f>
        <v>0</v>
      </c>
      <c r="CI65" s="47">
        <f t="array" ref="CI65">IF(AND(ISNUMBER(MATCH(CI$2, AsistenciaJetAdminConcatenada!$A:$A, 0)), ISNUMBER(MATCH(CI$1, AsistenciaJetAdminConcatenada!$B:$B, 0)), ISNUMBER(SEARCH($A65,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ISNUMBER(SEARCH($A65, INDEX(AsistenciaJetAdminConcatenada!$D:$D, MATCH(1, (AsistenciaJetAdminConcatenada!$A:$A=CI$2)*(AsistenciaJetAdminConcatenada!$B:$B=CI$1), 0)), 1))),  0.5, 0))</f>
        <v>1</v>
      </c>
      <c r="CJ65" s="47">
        <f t="array" ref="CJ65">IF(AND(ISNUMBER(MATCH(CJ$2, AsistenciaJetAdminConcatenada!$A:$A, 0)), ISNUMBER(MATCH(CJ$1, AsistenciaJetAdminConcatenada!$B:$B, 0)), ISNUMBER(SEARCH($A65,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ISNUMBER(SEARCH($A65, INDEX(AsistenciaJetAdminConcatenada!$D:$D, MATCH(1, (AsistenciaJetAdminConcatenada!$A:$A=CJ$2)*(AsistenciaJetAdminConcatenada!$B:$B=CJ$1), 0)), 1))),  0.5, 0))</f>
        <v>1</v>
      </c>
      <c r="CK65" s="47">
        <f t="array" ref="CK65">IF(AND(ISNUMBER(MATCH(CK$2, AsistenciaJetAdminConcatenada!$A:$A, 0)), ISNUMBER(MATCH(CK$1, AsistenciaJetAdminConcatenada!$B:$B, 0)), ISNUMBER(SEARCH($A65,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ISNUMBER(SEARCH($A65, INDEX(AsistenciaJetAdminConcatenada!$D:$D, MATCH(1, (AsistenciaJetAdminConcatenada!$A:$A=CK$2)*(AsistenciaJetAdminConcatenada!$B:$B=CK$1), 0)), 1))),  0.5, 0))</f>
        <v>1</v>
      </c>
      <c r="CL65" s="47">
        <f t="array" ref="CL65">IF(AND(ISNUMBER(MATCH(CL$2, AsistenciaJetAdminConcatenada!$A:$A, 0)), ISNUMBER(MATCH(CL$1, AsistenciaJetAdminConcatenada!$B:$B, 0)), ISNUMBER(SEARCH($A65,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ISNUMBER(SEARCH($A65, INDEX(AsistenciaJetAdminConcatenada!$D:$D, MATCH(1, (AsistenciaJetAdminConcatenada!$A:$A=CL$2)*(AsistenciaJetAdminConcatenada!$B:$B=CL$1), 0)), 1))),  0.5, 0))</f>
        <v>0</v>
      </c>
      <c r="CM65" s="47">
        <f t="array" ref="CM65">IF(AND(ISNUMBER(MATCH(CM$2, AsistenciaJetAdminConcatenada!$A:$A, 0)), ISNUMBER(MATCH(CM$1, AsistenciaJetAdminConcatenada!$B:$B, 0)), ISNUMBER(SEARCH($A65,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ISNUMBER(SEARCH($A65, INDEX(AsistenciaJetAdminConcatenada!$D:$D, MATCH(1, (AsistenciaJetAdminConcatenada!$A:$A=CM$2)*(AsistenciaJetAdminConcatenada!$B:$B=CM$1), 0)), 1))),  0.5, 0))</f>
        <v>1</v>
      </c>
      <c r="CN65" s="47">
        <f t="array" ref="CN65">IF(AND(ISNUMBER(MATCH(CN$2, AsistenciaJetAdminConcatenada!$A:$A, 0)), ISNUMBER(MATCH(CN$1, AsistenciaJetAdminConcatenada!$B:$B, 0)), ISNUMBER(SEARCH($A65,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ISNUMBER(SEARCH($A65, INDEX(AsistenciaJetAdminConcatenada!$D:$D, MATCH(1, (AsistenciaJetAdminConcatenada!$A:$A=CN$2)*(AsistenciaJetAdminConcatenada!$B:$B=CN$1), 0)), 1))),  0.5, 0))</f>
        <v>0</v>
      </c>
      <c r="CO65" s="47">
        <f t="array" ref="CO65">IF(AND(ISNUMBER(MATCH(CO$2, AsistenciaJetAdminConcatenada!$A:$A, 0)), ISNUMBER(MATCH(CO$1, AsistenciaJetAdminConcatenada!$B:$B, 0)), ISNUMBER(SEARCH($A65,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ISNUMBER(SEARCH($A65, INDEX(AsistenciaJetAdminConcatenada!$D:$D, MATCH(1, (AsistenciaJetAdminConcatenada!$A:$A=CO$2)*(AsistenciaJetAdminConcatenada!$B:$B=CO$1), 0)), 1))),  0.5, 0))</f>
        <v>1</v>
      </c>
      <c r="CP65" s="47">
        <f t="array" ref="CP65">IF(AND(ISNUMBER(MATCH(CP$2, AsistenciaJetAdminConcatenada!$A:$A, 0)), ISNUMBER(MATCH(CP$1, AsistenciaJetAdminConcatenada!$B:$B, 0)), ISNUMBER(SEARCH($A65,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ISNUMBER(SEARCH($A65, INDEX(AsistenciaJetAdminConcatenada!$D:$D, MATCH(1, (AsistenciaJetAdminConcatenada!$A:$A=CP$2)*(AsistenciaJetAdminConcatenada!$B:$B=CP$1), 0)), 1))),  0.5, 0))</f>
        <v>1</v>
      </c>
      <c r="CQ65" s="47">
        <f t="array" ref="CQ65">IF(AND(ISNUMBER(MATCH(CQ$2, AsistenciaJetAdminConcatenada!$A:$A, 0)), ISNUMBER(MATCH(CQ$1, AsistenciaJetAdminConcatenada!$B:$B, 0)), ISNUMBER(SEARCH($A65,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ISNUMBER(SEARCH($A65, INDEX(AsistenciaJetAdminConcatenada!$D:$D, MATCH(1, (AsistenciaJetAdminConcatenada!$A:$A=CQ$2)*(AsistenciaJetAdminConcatenada!$B:$B=CQ$1), 0)), 1))),  0.5, 0))</f>
        <v>0</v>
      </c>
      <c r="CR65" s="47">
        <f t="array" ref="CR65">IF(AND(ISNUMBER(MATCH(CR$2, AsistenciaJetAdminConcatenada!$A:$A, 0)), ISNUMBER(MATCH(CR$1, AsistenciaJetAdminConcatenada!$B:$B, 0)), ISNUMBER(SEARCH($A65,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ISNUMBER(SEARCH($A65, INDEX(AsistenciaJetAdminConcatenada!$D:$D, MATCH(1, (AsistenciaJetAdminConcatenada!$A:$A=CR$2)*(AsistenciaJetAdminConcatenada!$B:$B=CR$1), 0)), 1))),  0.5, 0))</f>
        <v>0</v>
      </c>
      <c r="CS65" s="47">
        <f t="array" ref="CS65">IF(AND(ISNUMBER(MATCH(CS$2, AsistenciaJetAdminConcatenada!$A:$A, 0)), ISNUMBER(MATCH(CS$1, AsistenciaJetAdminConcatenada!$B:$B, 0)), ISNUMBER(SEARCH($A65,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ISNUMBER(SEARCH($A65, INDEX(AsistenciaJetAdminConcatenada!$D:$D, MATCH(1, (AsistenciaJetAdminConcatenada!$A:$A=CS$2)*(AsistenciaJetAdminConcatenada!$B:$B=CS$1), 0)), 1))),  0.5, 0))</f>
        <v>0</v>
      </c>
      <c r="CT65" s="47">
        <f t="array" ref="CT65">IF(AND(ISNUMBER(MATCH(CT$2, AsistenciaJetAdminConcatenada!$A:$A, 0)), ISNUMBER(MATCH(CT$1, AsistenciaJetAdminConcatenada!$B:$B, 0)), ISNUMBER(SEARCH($A65,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ISNUMBER(SEARCH($A65, INDEX(AsistenciaJetAdminConcatenada!$D:$D, MATCH(1, (AsistenciaJetAdminConcatenada!$A:$A=CT$2)*(AsistenciaJetAdminConcatenada!$B:$B=CT$1), 0)), 1))),  0.5, 0))</f>
        <v>0</v>
      </c>
      <c r="CU65" s="47">
        <f t="array" ref="CU65">IF(AND(ISNUMBER(MATCH(CU$2, AsistenciaJetAdminConcatenada!$A:$A, 0)), ISNUMBER(MATCH(CU$1, AsistenciaJetAdminConcatenada!$B:$B, 0)), ISNUMBER(SEARCH($A65,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ISNUMBER(SEARCH($A65, INDEX(AsistenciaJetAdminConcatenada!$D:$D, MATCH(1, (AsistenciaJetAdminConcatenada!$A:$A=CU$2)*(AsistenciaJetAdminConcatenada!$B:$B=CU$1), 0)), 1))),  0.5, 0))</f>
        <v>0</v>
      </c>
      <c r="CV65" s="47">
        <f t="array" ref="CV65">IF(AND(ISNUMBER(MATCH(CV$2, AsistenciaJetAdminConcatenada!$A:$A, 0)), ISNUMBER(MATCH(CV$1, AsistenciaJetAdminConcatenada!$B:$B, 0)), ISNUMBER(SEARCH($A65,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ISNUMBER(SEARCH($A65, INDEX(AsistenciaJetAdminConcatenada!$D:$D, MATCH(1, (AsistenciaJetAdminConcatenada!$A:$A=CV$2)*(AsistenciaJetAdminConcatenada!$B:$B=CV$1), 0)), 1))),  0.5, 0))</f>
        <v>0</v>
      </c>
      <c r="CW65" s="47">
        <f t="array" ref="CW65">IF(AND(ISNUMBER(MATCH(CW$2, AsistenciaJetAdminConcatenada!$A:$A, 0)), ISNUMBER(MATCH(CW$1, AsistenciaJetAdminConcatenada!$B:$B, 0)), ISNUMBER(SEARCH($A65,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ISNUMBER(SEARCH($A65, INDEX(AsistenciaJetAdminConcatenada!$D:$D, MATCH(1, (AsistenciaJetAdminConcatenada!$A:$A=CW$2)*(AsistenciaJetAdminConcatenada!$B:$B=CW$1), 0)), 1))),  0.5, 0))</f>
        <v>0</v>
      </c>
      <c r="CX65" s="47">
        <f t="array" ref="CX65">IF(AND(ISNUMBER(MATCH(CX$2, AsistenciaJetAdminConcatenada!$A:$A, 0)), ISNUMBER(MATCH(CX$1, AsistenciaJetAdminConcatenada!$B:$B, 0)), ISNUMBER(SEARCH($A65,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ISNUMBER(SEARCH($A65, INDEX(AsistenciaJetAdminConcatenada!$D:$D, MATCH(1, (AsistenciaJetAdminConcatenada!$A:$A=CX$2)*(AsistenciaJetAdminConcatenada!$B:$B=CX$1), 0)), 1))),  0.5, 0))</f>
        <v>0</v>
      </c>
      <c r="CY65" s="47">
        <f t="array" ref="CY65">IF(AND(ISNUMBER(MATCH(CY$2, AsistenciaJetAdminConcatenada!$A:$A, 0)), ISNUMBER(MATCH(CY$1, AsistenciaJetAdminConcatenada!$B:$B, 0)), ISNUMBER(SEARCH($A65,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ISNUMBER(SEARCH($A65, INDEX(AsistenciaJetAdminConcatenada!$D:$D, MATCH(1, (AsistenciaJetAdminConcatenada!$A:$A=CY$2)*(AsistenciaJetAdminConcatenada!$B:$B=CY$1), 0)), 1))),  0.5, 0))</f>
        <v>0</v>
      </c>
      <c r="CZ65" s="47">
        <f t="array" ref="CZ65">IF(AND(ISNUMBER(MATCH(CZ$2, AsistenciaJetAdminConcatenada!$A:$A, 0)), ISNUMBER(MATCH(CZ$1, AsistenciaJetAdminConcatenada!$B:$B, 0)), ISNUMBER(SEARCH($A65,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ISNUMBER(SEARCH($A65, INDEX(AsistenciaJetAdminConcatenada!$D:$D, MATCH(1, (AsistenciaJetAdminConcatenada!$A:$A=CZ$2)*(AsistenciaJetAdminConcatenada!$B:$B=CZ$1), 0)), 1))),  0.5, 0))</f>
        <v>0</v>
      </c>
      <c r="DA65" s="47">
        <f t="array" ref="DA65">IF(AND(ISNUMBER(MATCH(DA$2, AsistenciaJetAdminConcatenada!$A:$A, 0)), ISNUMBER(MATCH(DA$1, AsistenciaJetAdminConcatenada!$B:$B, 0)), ISNUMBER(SEARCH($A65,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ISNUMBER(SEARCH($A65, INDEX(AsistenciaJetAdminConcatenada!$D:$D, MATCH(1, (AsistenciaJetAdminConcatenada!$A:$A=DA$2)*(AsistenciaJetAdminConcatenada!$B:$B=DA$1), 0)), 1))),  0.5, 0))</f>
        <v>0</v>
      </c>
      <c r="DB65" s="47">
        <f t="array" ref="DB65">IF(AND(ISNUMBER(MATCH(DB$2, AsistenciaJetAdminConcatenada!$A:$A, 0)), ISNUMBER(MATCH(DB$1, AsistenciaJetAdminConcatenada!$B:$B, 0)), ISNUMBER(SEARCH($A65,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ISNUMBER(SEARCH($A65, INDEX(AsistenciaJetAdminConcatenada!$D:$D, MATCH(1, (AsistenciaJetAdminConcatenada!$A:$A=DB$2)*(AsistenciaJetAdminConcatenada!$B:$B=DB$1), 0)), 1))),  0.5, 0))</f>
        <v>0</v>
      </c>
      <c r="DC65" s="47">
        <f t="array" ref="DC65">IF(AND(ISNUMBER(MATCH(DC$2, AsistenciaJetAdminConcatenada!$A:$A, 0)), ISNUMBER(MATCH(DC$1, AsistenciaJetAdminConcatenada!$B:$B, 0)), ISNUMBER(SEARCH($A65,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ISNUMBER(SEARCH($A65, INDEX(AsistenciaJetAdminConcatenada!$D:$D, MATCH(1, (AsistenciaJetAdminConcatenada!$A:$A=DC$2)*(AsistenciaJetAdminConcatenada!$B:$B=DC$1), 0)), 1))),  0.5, 0))</f>
        <v>0</v>
      </c>
      <c r="DD65" s="47">
        <f t="array" ref="DD65">IF(AND(ISNUMBER(MATCH(DD$2, AsistenciaJetAdminConcatenada!$A:$A, 0)), ISNUMBER(MATCH(DD$1, AsistenciaJetAdminConcatenada!$B:$B, 0)), ISNUMBER(SEARCH($A65,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ISNUMBER(SEARCH($A65, INDEX(AsistenciaJetAdminConcatenada!$D:$D, MATCH(1, (AsistenciaJetAdminConcatenada!$A:$A=DD$2)*(AsistenciaJetAdminConcatenada!$B:$B=DD$1), 0)), 1))),  0.5, 0))</f>
        <v>0</v>
      </c>
      <c r="DE65" s="47">
        <f t="array" ref="DE65">IF(AND(ISNUMBER(MATCH(DE$2, AsistenciaJetAdminConcatenada!$A:$A, 0)), ISNUMBER(MATCH(DE$1, AsistenciaJetAdminConcatenada!$B:$B, 0)), ISNUMBER(SEARCH($A65,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ISNUMBER(SEARCH($A65, INDEX(AsistenciaJetAdminConcatenada!$D:$D, MATCH(1, (AsistenciaJetAdminConcatenada!$A:$A=DE$2)*(AsistenciaJetAdminConcatenada!$B:$B=DE$1), 0)), 1))),  0.5, 0))</f>
        <v>0</v>
      </c>
      <c r="DF65" s="47">
        <f t="array" ref="DF65">IF(AND(ISNUMBER(MATCH(DF$2, AsistenciaJetAdminConcatenada!$A:$A, 0)), ISNUMBER(MATCH(DF$1, AsistenciaJetAdminConcatenada!$B:$B, 0)), ISNUMBER(SEARCH($A65,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ISNUMBER(SEARCH($A65, INDEX(AsistenciaJetAdminConcatenada!$D:$D, MATCH(1, (AsistenciaJetAdminConcatenada!$A:$A=DF$2)*(AsistenciaJetAdminConcatenada!$B:$B=DF$1), 0)), 1))),  0.5, 0))</f>
        <v>0</v>
      </c>
      <c r="DG65" s="47">
        <f t="array" ref="DG65">IF(AND(ISNUMBER(MATCH(DG$2, AsistenciaJetAdminConcatenada!$A:$A, 0)), ISNUMBER(MATCH(DG$1, AsistenciaJetAdminConcatenada!$B:$B, 0)), ISNUMBER(SEARCH($A65,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ISNUMBER(SEARCH($A65, INDEX(AsistenciaJetAdminConcatenada!$D:$D, MATCH(1, (AsistenciaJetAdminConcatenada!$A:$A=DG$2)*(AsistenciaJetAdminConcatenada!$B:$B=DG$1), 0)), 1))),  0.5, 0))</f>
        <v>0</v>
      </c>
      <c r="DH65" s="47">
        <f t="array" ref="DH65">IF(AND(ISNUMBER(MATCH(DH$2, AsistenciaJetAdminConcatenada!$A:$A, 0)), ISNUMBER(MATCH(DH$1, AsistenciaJetAdminConcatenada!$B:$B, 0)), ISNUMBER(SEARCH($A65,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ISNUMBER(SEARCH($A65, INDEX(AsistenciaJetAdminConcatenada!$D:$D, MATCH(1, (AsistenciaJetAdminConcatenada!$A:$A=DH$2)*(AsistenciaJetAdminConcatenada!$B:$B=DH$1), 0)), 1))),  0.5, 0))</f>
        <v>0</v>
      </c>
      <c r="DI65" s="47">
        <f t="array" ref="DI65">IF(AND(ISNUMBER(MATCH(DI$2, AsistenciaJetAdminConcatenada!$A:$A, 0)), ISNUMBER(MATCH(DI$1, AsistenciaJetAdminConcatenada!$B:$B, 0)), ISNUMBER(SEARCH($A65,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ISNUMBER(SEARCH($A65, INDEX(AsistenciaJetAdminConcatenada!$D:$D, MATCH(1, (AsistenciaJetAdminConcatenada!$A:$A=DI$2)*(AsistenciaJetAdminConcatenada!$B:$B=DI$1), 0)), 1))),  0.5, 0))</f>
        <v>0</v>
      </c>
      <c r="DJ65" s="47">
        <f t="array" ref="DJ65">IF(AND(ISNUMBER(MATCH(DJ$2, AsistenciaJetAdminConcatenada!$A:$A, 0)), ISNUMBER(MATCH(DJ$1, AsistenciaJetAdminConcatenada!$B:$B, 0)), ISNUMBER(SEARCH($A65,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ISNUMBER(SEARCH($A65, INDEX(AsistenciaJetAdminConcatenada!$D:$D, MATCH(1, (AsistenciaJetAdminConcatenada!$A:$A=DJ$2)*(AsistenciaJetAdminConcatenada!$B:$B=DJ$1), 0)), 1))),  0.5, 0))</f>
        <v>0</v>
      </c>
      <c r="DK65" s="47">
        <f t="array" ref="DK65">IF(AND(ISNUMBER(MATCH(DK$2, AsistenciaJetAdminConcatenada!$A:$A, 0)), ISNUMBER(MATCH(DK$1, AsistenciaJetAdminConcatenada!$B:$B, 0)), ISNUMBER(SEARCH($A65,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ISNUMBER(SEARCH($A65, INDEX(AsistenciaJetAdminConcatenada!$D:$D, MATCH(1, (AsistenciaJetAdminConcatenada!$A:$A=DK$2)*(AsistenciaJetAdminConcatenada!$B:$B=DK$1), 0)), 1))),  0.5, 0))</f>
        <v>0</v>
      </c>
      <c r="DL65" s="47">
        <f t="array" ref="DL65">IF(AND(ISNUMBER(MATCH(DL$2, AsistenciaJetAdminConcatenada!$A:$A, 0)), ISNUMBER(MATCH(DL$1, AsistenciaJetAdminConcatenada!$B:$B, 0)), ISNUMBER(SEARCH($A65,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ISNUMBER(SEARCH($A65, INDEX(AsistenciaJetAdminConcatenada!$D:$D, MATCH(1, (AsistenciaJetAdminConcatenada!$A:$A=DL$2)*(AsistenciaJetAdminConcatenada!$B:$B=DL$1), 0)), 1))),  0.5, 0))</f>
        <v>0</v>
      </c>
      <c r="DM65" s="47">
        <f t="array" ref="DM65">IF(AND(ISNUMBER(MATCH(DM$2, AsistenciaJetAdminConcatenada!$A:$A, 0)), ISNUMBER(MATCH(DM$1, AsistenciaJetAdminConcatenada!$B:$B, 0)), ISNUMBER(SEARCH($A65,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ISNUMBER(SEARCH($A65, INDEX(AsistenciaJetAdminConcatenada!$D:$D, MATCH(1, (AsistenciaJetAdminConcatenada!$A:$A=DM$2)*(AsistenciaJetAdminConcatenada!$B:$B=DM$1), 0)), 1))),  0.5, 0))</f>
        <v>0</v>
      </c>
      <c r="DN65" s="47">
        <f t="array" ref="DN65">IF(AND(ISNUMBER(MATCH(DN$2, AsistenciaJetAdminConcatenada!$A:$A, 0)), ISNUMBER(MATCH(DN$1, AsistenciaJetAdminConcatenada!$B:$B, 0)), ISNUMBER(SEARCH($A65,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ISNUMBER(SEARCH($A65, INDEX(AsistenciaJetAdminConcatenada!$D:$D, MATCH(1, (AsistenciaJetAdminConcatenada!$A:$A=DN$2)*(AsistenciaJetAdminConcatenada!$B:$B=DN$1), 0)), 1))),  0.5, 0))</f>
        <v>0</v>
      </c>
      <c r="DO65" s="47">
        <f t="array" ref="DO65">IF(AND(ISNUMBER(MATCH(DO$2, AsistenciaJetAdminConcatenada!$A:$A, 0)), ISNUMBER(MATCH(DO$1, AsistenciaJetAdminConcatenada!$B:$B, 0)), ISNUMBER(SEARCH($A65,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ISNUMBER(SEARCH($A65, INDEX(AsistenciaJetAdminConcatenada!$D:$D, MATCH(1, (AsistenciaJetAdminConcatenada!$A:$A=DO$2)*(AsistenciaJetAdminConcatenada!$B:$B=DO$1), 0)), 1))),  0.5, 0))</f>
        <v>0</v>
      </c>
      <c r="DP65" s="47">
        <f t="array" ref="DP65">IF(AND(ISNUMBER(MATCH(DP$2, AsistenciaJetAdminConcatenada!$A:$A, 0)), ISNUMBER(MATCH(DP$1, AsistenciaJetAdminConcatenada!$B:$B, 0)), ISNUMBER(SEARCH($A65,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ISNUMBER(SEARCH($A65, INDEX(AsistenciaJetAdminConcatenada!$D:$D, MATCH(1, (AsistenciaJetAdminConcatenada!$A:$A=DP$2)*(AsistenciaJetAdminConcatenada!$B:$B=DP$1), 0)), 1))),  0.5, 0))</f>
        <v>0</v>
      </c>
      <c r="DQ65" s="47">
        <f t="array" ref="DQ65">IF(AND(ISNUMBER(MATCH(DQ$2, AsistenciaJetAdminConcatenada!$A:$A, 0)), ISNUMBER(MATCH(DQ$1, AsistenciaJetAdminConcatenada!$B:$B, 0)), ISNUMBER(SEARCH($A65,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ISNUMBER(SEARCH($A65, INDEX(AsistenciaJetAdminConcatenada!$D:$D, MATCH(1, (AsistenciaJetAdminConcatenada!$A:$A=DQ$2)*(AsistenciaJetAdminConcatenada!$B:$B=DQ$1), 0)), 1))),  0.5, 0))</f>
        <v>0</v>
      </c>
      <c r="DR65" s="47">
        <f t="array" ref="DR65">IF(AND(ISNUMBER(MATCH(DR$2, AsistenciaJetAdminConcatenada!$A:$A, 0)), ISNUMBER(MATCH(DR$1, AsistenciaJetAdminConcatenada!$B:$B, 0)), ISNUMBER(SEARCH($A65,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ISNUMBER(SEARCH($A65, INDEX(AsistenciaJetAdminConcatenada!$D:$D, MATCH(1, (AsistenciaJetAdminConcatenada!$A:$A=DR$2)*(AsistenciaJetAdminConcatenada!$B:$B=DR$1), 0)), 1))),  0.5, 0))</f>
        <v>0</v>
      </c>
      <c r="DS65" s="47">
        <f t="array" ref="DS65">IF(AND(ISNUMBER(MATCH(DS$2, AsistenciaJetAdminConcatenada!$A:$A, 0)), ISNUMBER(MATCH(DS$1, AsistenciaJetAdminConcatenada!$B:$B, 0)), ISNUMBER(SEARCH($A65,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ISNUMBER(SEARCH($A65, INDEX(AsistenciaJetAdminConcatenada!$D:$D, MATCH(1, (AsistenciaJetAdminConcatenada!$A:$A=DS$2)*(AsistenciaJetAdminConcatenada!$B:$B=DS$1), 0)), 1))),  0.5, 0))</f>
        <v>0</v>
      </c>
      <c r="DT65" s="47">
        <f t="array" ref="DT65">IF(AND(ISNUMBER(MATCH(DT$2, AsistenciaJetAdminConcatenada!$A:$A, 0)), ISNUMBER(MATCH(DT$1, AsistenciaJetAdminConcatenada!$B:$B, 0)), ISNUMBER(SEARCH($A65,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ISNUMBER(SEARCH($A65, INDEX(AsistenciaJetAdminConcatenada!$D:$D, MATCH(1, (AsistenciaJetAdminConcatenada!$A:$A=DT$2)*(AsistenciaJetAdminConcatenada!$B:$B=DT$1), 0)), 1))),  0.5, 0))</f>
        <v>0</v>
      </c>
      <c r="DU65" s="47">
        <f t="array" ref="DU65">IF(AND(ISNUMBER(MATCH(DU$2, AsistenciaJetAdminConcatenada!$A:$A, 0)), ISNUMBER(MATCH(DU$1, AsistenciaJetAdminConcatenada!$B:$B, 0)), ISNUMBER(SEARCH($A65,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ISNUMBER(SEARCH($A65, INDEX(AsistenciaJetAdminConcatenada!$D:$D, MATCH(1, (AsistenciaJetAdminConcatenada!$A:$A=DU$2)*(AsistenciaJetAdminConcatenada!$B:$B=DU$1), 0)), 1))),  0.5, 0))</f>
        <v>0</v>
      </c>
      <c r="DV65" s="47">
        <f t="array" ref="DV65">IF(AND(ISNUMBER(MATCH(DV$2, AsistenciaJetAdminConcatenada!$A:$A, 0)), ISNUMBER(MATCH(DV$1, AsistenciaJetAdminConcatenada!$B:$B, 0)), ISNUMBER(SEARCH($A65,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ISNUMBER(SEARCH($A65, INDEX(AsistenciaJetAdminConcatenada!$D:$D, MATCH(1, (AsistenciaJetAdminConcatenada!$A:$A=DV$2)*(AsistenciaJetAdminConcatenada!$B:$B=DV$1), 0)), 1))),  0.5, 0))</f>
        <v>0</v>
      </c>
      <c r="DW65" s="47">
        <f t="array" ref="DW65">IF(AND(ISNUMBER(MATCH(DW$2, AsistenciaJetAdminConcatenada!$A:$A, 0)), ISNUMBER(MATCH(DW$1, AsistenciaJetAdminConcatenada!$B:$B, 0)), ISNUMBER(SEARCH($A65,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ISNUMBER(SEARCH($A65, INDEX(AsistenciaJetAdminConcatenada!$D:$D, MATCH(1, (AsistenciaJetAdminConcatenada!$A:$A=DW$2)*(AsistenciaJetAdminConcatenada!$B:$B=DW$1), 0)), 1))),  0.5, 0))</f>
        <v>0</v>
      </c>
      <c r="DX65" s="47">
        <f t="array" ref="DX65">IF(AND(ISNUMBER(MATCH(DX$2, AsistenciaJetAdminConcatenada!$A:$A, 0)), ISNUMBER(MATCH(DX$1, AsistenciaJetAdminConcatenada!$B:$B, 0)), ISNUMBER(SEARCH($A65,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ISNUMBER(SEARCH($A65, INDEX(AsistenciaJetAdminConcatenada!$D:$D, MATCH(1, (AsistenciaJetAdminConcatenada!$A:$A=DX$2)*(AsistenciaJetAdminConcatenada!$B:$B=DX$1), 0)), 1))),  0.5, 0))</f>
        <v>0</v>
      </c>
      <c r="DY65" s="47">
        <f t="array" ref="DY65">IF(AND(ISNUMBER(MATCH(DY$2, AsistenciaJetAdminConcatenada!$A:$A, 0)), ISNUMBER(MATCH(DY$1, AsistenciaJetAdminConcatenada!$B:$B, 0)), ISNUMBER(SEARCH($A65,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ISNUMBER(SEARCH($A65, INDEX(AsistenciaJetAdminConcatenada!$D:$D, MATCH(1, (AsistenciaJetAdminConcatenada!$A:$A=DY$2)*(AsistenciaJetAdminConcatenada!$B:$B=DY$1), 0)), 1))),  0.5, 0))</f>
        <v>0</v>
      </c>
      <c r="DZ65" s="47">
        <f t="array" ref="DZ65">IF(AND(ISNUMBER(MATCH(DZ$2, AsistenciaJetAdminConcatenada!$A:$A, 0)), ISNUMBER(MATCH(DZ$1, AsistenciaJetAdminConcatenada!$B:$B, 0)), ISNUMBER(SEARCH($A65,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ISNUMBER(SEARCH($A65, INDEX(AsistenciaJetAdminConcatenada!$D:$D, MATCH(1, (AsistenciaJetAdminConcatenada!$A:$A=DZ$2)*(AsistenciaJetAdminConcatenada!$B:$B=DZ$1), 0)), 1))),  0.5, 0))</f>
        <v>0</v>
      </c>
      <c r="EA65" s="47">
        <f t="array" ref="EA65">IF(AND(ISNUMBER(MATCH(EA$2, AsistenciaJetAdminConcatenada!$A:$A, 0)), ISNUMBER(MATCH(EA$1, AsistenciaJetAdminConcatenada!$B:$B, 0)), ISNUMBER(SEARCH($A65,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ISNUMBER(SEARCH($A65, INDEX(AsistenciaJetAdminConcatenada!$D:$D, MATCH(1, (AsistenciaJetAdminConcatenada!$A:$A=EA$2)*(AsistenciaJetAdminConcatenada!$B:$B=EA$1), 0)), 1))),  0.5, 0))</f>
        <v>0</v>
      </c>
      <c r="EB65" s="47">
        <f t="array" ref="EB65">IF(AND(ISNUMBER(MATCH(EB$2, AsistenciaJetAdminConcatenada!$A:$A, 0)), ISNUMBER(MATCH(EB$1, AsistenciaJetAdminConcatenada!$B:$B, 0)), ISNUMBER(SEARCH($A65,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ISNUMBER(SEARCH($A65, INDEX(AsistenciaJetAdminConcatenada!$D:$D, MATCH(1, (AsistenciaJetAdminConcatenada!$A:$A=EB$2)*(AsistenciaJetAdminConcatenada!$B:$B=EB$1), 0)), 1))),  0.5, 0))</f>
        <v>0</v>
      </c>
      <c r="EC65" s="47">
        <f t="array" ref="EC65">IF(AND(ISNUMBER(MATCH(EC$2, AsistenciaJetAdminConcatenada!$A:$A, 0)), ISNUMBER(MATCH(EC$1, AsistenciaJetAdminConcatenada!$B:$B, 0)), ISNUMBER(SEARCH($A65,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ISNUMBER(SEARCH($A65, INDEX(AsistenciaJetAdminConcatenada!$D:$D, MATCH(1, (AsistenciaJetAdminConcatenada!$A:$A=EC$2)*(AsistenciaJetAdminConcatenada!$B:$B=EC$1), 0)), 1))),  0.5, 0))</f>
        <v>0</v>
      </c>
      <c r="ED65" s="47">
        <f t="array" ref="ED65">IF(AND(ISNUMBER(MATCH(ED$2, AsistenciaJetAdminConcatenada!$A:$A, 0)), ISNUMBER(MATCH(ED$1, AsistenciaJetAdminConcatenada!$B:$B, 0)), ISNUMBER(SEARCH($A65,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ISNUMBER(SEARCH($A65, INDEX(AsistenciaJetAdminConcatenada!$D:$D, MATCH(1, (AsistenciaJetAdminConcatenada!$A:$A=ED$2)*(AsistenciaJetAdminConcatenada!$B:$B=ED$1), 0)), 1))),  0.5, 0))</f>
        <v>0</v>
      </c>
      <c r="EE65" s="47">
        <f t="array" ref="EE65">IF(AND(ISNUMBER(MATCH(EE$2, AsistenciaJetAdminConcatenada!$A:$A, 0)), ISNUMBER(MATCH(EE$1, AsistenciaJetAdminConcatenada!$B:$B, 0)), ISNUMBER(SEARCH($A65,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ISNUMBER(SEARCH($A65, INDEX(AsistenciaJetAdminConcatenada!$D:$D, MATCH(1, (AsistenciaJetAdminConcatenada!$A:$A=EE$2)*(AsistenciaJetAdminConcatenada!$B:$B=EE$1), 0)), 1))),  0.5, 0))</f>
        <v>0</v>
      </c>
      <c r="EF65" s="47">
        <f t="array" ref="EF65">IF(AND(ISNUMBER(MATCH(EF$2, AsistenciaJetAdminConcatenada!$A:$A, 0)), ISNUMBER(MATCH(EF$1, AsistenciaJetAdminConcatenada!$B:$B, 0)), ISNUMBER(SEARCH($A65,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ISNUMBER(SEARCH($A65, INDEX(AsistenciaJetAdminConcatenada!$D:$D, MATCH(1, (AsistenciaJetAdminConcatenada!$A:$A=EF$2)*(AsistenciaJetAdminConcatenada!$B:$B=EF$1), 0)), 1))),  0.5, 0))</f>
        <v>0</v>
      </c>
      <c r="EG65" s="47">
        <f t="array" ref="EG65">IF(AND(ISNUMBER(MATCH(EG$2, AsistenciaJetAdminConcatenada!$A:$A, 0)), ISNUMBER(MATCH(EG$1, AsistenciaJetAdminConcatenada!$B:$B, 0)), ISNUMBER(SEARCH($A65,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ISNUMBER(SEARCH($A65, INDEX(AsistenciaJetAdminConcatenada!$D:$D, MATCH(1, (AsistenciaJetAdminConcatenada!$A:$A=EG$2)*(AsistenciaJetAdminConcatenada!$B:$B=EG$1), 0)), 1))),  0.5, 0))</f>
        <v>0</v>
      </c>
      <c r="EH65" s="47">
        <f t="array" ref="EH65">IF(AND(ISNUMBER(MATCH(EH$2, AsistenciaJetAdminConcatenada!$A:$A, 0)), ISNUMBER(MATCH(EH$1, AsistenciaJetAdminConcatenada!$B:$B, 0)), ISNUMBER(SEARCH($A65,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ISNUMBER(SEARCH($A65, INDEX(AsistenciaJetAdminConcatenada!$D:$D, MATCH(1, (AsistenciaJetAdminConcatenada!$A:$A=EH$2)*(AsistenciaJetAdminConcatenada!$B:$B=EH$1), 0)), 1))),  0.5, 0))</f>
        <v>0</v>
      </c>
      <c r="EI65" s="47">
        <f t="array" ref="EI65">IF(AND(ISNUMBER(MATCH(EI$2, AsistenciaJetAdminConcatenada!$A:$A, 0)), ISNUMBER(MATCH(EI$1, AsistenciaJetAdminConcatenada!$B:$B, 0)), ISNUMBER(SEARCH($A65,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ISNUMBER(SEARCH($A65, INDEX(AsistenciaJetAdminConcatenada!$D:$D, MATCH(1, (AsistenciaJetAdminConcatenada!$A:$A=EI$2)*(AsistenciaJetAdminConcatenada!$B:$B=EI$1), 0)), 1))),  0.5, 0))</f>
        <v>0</v>
      </c>
      <c r="EJ65" s="47">
        <f t="array" ref="EJ65">IF(AND(ISNUMBER(MATCH(EJ$2, AsistenciaJetAdminConcatenada!$A:$A, 0)), ISNUMBER(MATCH(EJ$1, AsistenciaJetAdminConcatenada!$B:$B, 0)), ISNUMBER(SEARCH($A65,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ISNUMBER(SEARCH($A65, INDEX(AsistenciaJetAdminConcatenada!$D:$D, MATCH(1, (AsistenciaJetAdminConcatenada!$A:$A=EJ$2)*(AsistenciaJetAdminConcatenada!$B:$B=EJ$1), 0)), 1))),  0.5, 0))</f>
        <v>0</v>
      </c>
      <c r="EK65" s="47">
        <f t="array" ref="EK65">IF(AND(ISNUMBER(MATCH(EK$2, AsistenciaJetAdminConcatenada!$A:$A, 0)), ISNUMBER(MATCH(EK$1, AsistenciaJetAdminConcatenada!$B:$B, 0)), ISNUMBER(SEARCH($A65,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ISNUMBER(SEARCH($A65, INDEX(AsistenciaJetAdminConcatenada!$D:$D, MATCH(1, (AsistenciaJetAdminConcatenada!$A:$A=EK$2)*(AsistenciaJetAdminConcatenada!$B:$B=EK$1), 0)), 1))),  0.5, 0))</f>
        <v>0</v>
      </c>
      <c r="EL65" s="47">
        <f t="array" ref="EL65">IF(AND(ISNUMBER(MATCH(EL$2, AsistenciaJetAdminConcatenada!$A:$A, 0)), ISNUMBER(MATCH(EL$1, AsistenciaJetAdminConcatenada!$B:$B, 0)), ISNUMBER(SEARCH($A65,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ISNUMBER(SEARCH($A65, INDEX(AsistenciaJetAdminConcatenada!$D:$D, MATCH(1, (AsistenciaJetAdminConcatenada!$A:$A=EL$2)*(AsistenciaJetAdminConcatenada!$B:$B=EL$1), 0)), 1))),  0.5, 0))</f>
        <v>0</v>
      </c>
      <c r="EM65" s="47">
        <f t="array" ref="EM65">IF(AND(ISNUMBER(MATCH(EM$2, AsistenciaJetAdminConcatenada!$A:$A, 0)), ISNUMBER(MATCH(EM$1, AsistenciaJetAdminConcatenada!$B:$B, 0)), ISNUMBER(SEARCH($A65,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ISNUMBER(SEARCH($A65, INDEX(AsistenciaJetAdminConcatenada!$D:$D, MATCH(1, (AsistenciaJetAdminConcatenada!$A:$A=EM$2)*(AsistenciaJetAdminConcatenada!$B:$B=EM$1), 0)), 1))),  0.5, 0))</f>
        <v>0</v>
      </c>
      <c r="EN65" s="47">
        <f t="array" ref="EN65">IF(AND(ISNUMBER(MATCH(EN$2, AsistenciaJetAdminConcatenada!$A:$A, 0)), ISNUMBER(MATCH(EN$1, AsistenciaJetAdminConcatenada!$B:$B, 0)), ISNUMBER(SEARCH($A65,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ISNUMBER(SEARCH($A65, INDEX(AsistenciaJetAdminConcatenada!$D:$D, MATCH(1, (AsistenciaJetAdminConcatenada!$A:$A=EN$2)*(AsistenciaJetAdminConcatenada!$B:$B=EN$1), 0)), 1))),  0.5, 0))</f>
        <v>0</v>
      </c>
      <c r="EO65" s="47">
        <f t="array" ref="EO65">IF(AND(ISNUMBER(MATCH(EO$2, AsistenciaJetAdminConcatenada!$A:$A, 0)), ISNUMBER(MATCH(EO$1, AsistenciaJetAdminConcatenada!$B:$B, 0)), ISNUMBER(SEARCH($A65,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ISNUMBER(SEARCH($A65, INDEX(AsistenciaJetAdminConcatenada!$D:$D, MATCH(1, (AsistenciaJetAdminConcatenada!$A:$A=EO$2)*(AsistenciaJetAdminConcatenada!$B:$B=EO$1), 0)), 1))),  0.5, 0))</f>
        <v>0</v>
      </c>
      <c r="EP65" s="47">
        <f t="array" ref="EP65">IF(AND(ISNUMBER(MATCH(EP$2, AsistenciaJetAdminConcatenada!$A:$A, 0)), ISNUMBER(MATCH(EP$1, AsistenciaJetAdminConcatenada!$B:$B, 0)), ISNUMBER(SEARCH($A65,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ISNUMBER(SEARCH($A65, INDEX(AsistenciaJetAdminConcatenada!$D:$D, MATCH(1, (AsistenciaJetAdminConcatenada!$A:$A=EP$2)*(AsistenciaJetAdminConcatenada!$B:$B=EP$1), 0)), 1))),  0.5, 0))</f>
        <v>0</v>
      </c>
      <c r="EQ65" s="47">
        <f t="array" ref="EQ65">IF(AND(ISNUMBER(MATCH(EQ$2, AsistenciaJetAdminConcatenada!$A:$A, 0)), ISNUMBER(MATCH(EQ$1, AsistenciaJetAdminConcatenada!$B:$B, 0)), ISNUMBER(SEARCH($A65,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ISNUMBER(SEARCH($A65, INDEX(AsistenciaJetAdminConcatenada!$D:$D, MATCH(1, (AsistenciaJetAdminConcatenada!$A:$A=EQ$2)*(AsistenciaJetAdminConcatenada!$B:$B=EQ$1), 0)), 1))),  0.5, 0))</f>
        <v>0</v>
      </c>
      <c r="ER65" s="47">
        <f t="array" ref="ER65">IF(AND(ISNUMBER(MATCH(ER$2, AsistenciaJetAdminConcatenada!$A:$A, 0)), ISNUMBER(MATCH(ER$1, AsistenciaJetAdminConcatenada!$B:$B, 0)), ISNUMBER(SEARCH($A65,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ISNUMBER(SEARCH($A65, INDEX(AsistenciaJetAdminConcatenada!$D:$D, MATCH(1, (AsistenciaJetAdminConcatenada!$A:$A=ER$2)*(AsistenciaJetAdminConcatenada!$B:$B=ER$1), 0)), 1))),  0.5, 0))</f>
        <v>0</v>
      </c>
      <c r="ES65" s="47">
        <f t="array" ref="ES65">IF(AND(ISNUMBER(MATCH(ES$2, AsistenciaJetAdminConcatenada!$A:$A, 0)), ISNUMBER(MATCH(ES$1, AsistenciaJetAdminConcatenada!$B:$B, 0)), ISNUMBER(SEARCH($A65,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ISNUMBER(SEARCH($A65, INDEX(AsistenciaJetAdminConcatenada!$D:$D, MATCH(1, (AsistenciaJetAdminConcatenada!$A:$A=ES$2)*(AsistenciaJetAdminConcatenada!$B:$B=ES$1), 0)), 1))),  0.5, 0))</f>
        <v>0</v>
      </c>
      <c r="ET65" s="47">
        <f t="array" ref="ET65">IF(AND(ISNUMBER(MATCH(ET$2, AsistenciaJetAdminConcatenada!$A:$A, 0)), ISNUMBER(MATCH(ET$1, AsistenciaJetAdminConcatenada!$B:$B, 0)), ISNUMBER(SEARCH($A65,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ISNUMBER(SEARCH($A65, INDEX(AsistenciaJetAdminConcatenada!$D:$D, MATCH(1, (AsistenciaJetAdminConcatenada!$A:$A=ET$2)*(AsistenciaJetAdminConcatenada!$B:$B=ET$1), 0)), 1))),  0.5, 0))</f>
        <v>0</v>
      </c>
      <c r="EU65" s="47">
        <f t="array" ref="EU65">IF(AND(ISNUMBER(MATCH(EU$2, AsistenciaJetAdminConcatenada!$A:$A, 0)), ISNUMBER(MATCH(EU$1, AsistenciaJetAdminConcatenada!$B:$B, 0)), ISNUMBER(SEARCH($A65,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ISNUMBER(SEARCH($A65, INDEX(AsistenciaJetAdminConcatenada!$D:$D, MATCH(1, (AsistenciaJetAdminConcatenada!$A:$A=EU$2)*(AsistenciaJetAdminConcatenada!$B:$B=EU$1), 0)), 1))),  0.5, 0))</f>
        <v>0</v>
      </c>
      <c r="EV65" s="47">
        <f t="array" ref="EV65">IF(AND(ISNUMBER(MATCH(EV$2, AsistenciaJetAdminConcatenada!$A:$A, 0)), ISNUMBER(MATCH(EV$1, AsistenciaJetAdminConcatenada!$B:$B, 0)), ISNUMBER(SEARCH($A65,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ISNUMBER(SEARCH($A65, INDEX(AsistenciaJetAdminConcatenada!$D:$D, MATCH(1, (AsistenciaJetAdminConcatenada!$A:$A=EV$2)*(AsistenciaJetAdminConcatenada!$B:$B=EV$1), 0)), 1))),  0.5, 0))</f>
        <v>0</v>
      </c>
      <c r="EW65" s="47">
        <f t="array" ref="EW65">IF(AND(ISNUMBER(MATCH(EW$2, AsistenciaJetAdminConcatenada!$A:$A, 0)), ISNUMBER(MATCH(EW$1, AsistenciaJetAdminConcatenada!$B:$B, 0)), ISNUMBER(SEARCH($A65,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ISNUMBER(SEARCH($A65, INDEX(AsistenciaJetAdminConcatenada!$D:$D, MATCH(1, (AsistenciaJetAdminConcatenada!$A:$A=EW$2)*(AsistenciaJetAdminConcatenada!$B:$B=EW$1), 0)), 1))),  0.5, 0))</f>
        <v>0</v>
      </c>
      <c r="EX65" s="47">
        <f t="array" ref="EX65">IF(AND(ISNUMBER(MATCH(EX$2, AsistenciaJetAdminConcatenada!$A:$A, 0)), ISNUMBER(MATCH(EX$1, AsistenciaJetAdminConcatenada!$B:$B, 0)), ISNUMBER(SEARCH($A65,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ISNUMBER(SEARCH($A65, INDEX(AsistenciaJetAdminConcatenada!$D:$D, MATCH(1, (AsistenciaJetAdminConcatenada!$A:$A=EX$2)*(AsistenciaJetAdminConcatenada!$B:$B=EX$1), 0)), 1))),  0.5, 0))</f>
        <v>0</v>
      </c>
      <c r="EY65" s="47">
        <f t="array" ref="EY65">IF(AND(ISNUMBER(MATCH(EY$2, AsistenciaJetAdminConcatenada!$A:$A, 0)), ISNUMBER(MATCH(EY$1, AsistenciaJetAdminConcatenada!$B:$B, 0)), ISNUMBER(SEARCH($A65,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ISNUMBER(SEARCH($A65, INDEX(AsistenciaJetAdminConcatenada!$D:$D, MATCH(1, (AsistenciaJetAdminConcatenada!$A:$A=EY$2)*(AsistenciaJetAdminConcatenada!$B:$B=EY$1), 0)), 1))),  0.5, 0))</f>
        <v>0</v>
      </c>
      <c r="EZ65" s="47">
        <f t="array" ref="EZ65">IF(AND(ISNUMBER(MATCH(EZ$2, AsistenciaJetAdminConcatenada!$A:$A, 0)), ISNUMBER(MATCH(EZ$1, AsistenciaJetAdminConcatenada!$B:$B, 0)), ISNUMBER(SEARCH($A65,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ISNUMBER(SEARCH($A65, INDEX(AsistenciaJetAdminConcatenada!$D:$D, MATCH(1, (AsistenciaJetAdminConcatenada!$A:$A=EZ$2)*(AsistenciaJetAdminConcatenada!$B:$B=EZ$1), 0)), 1))),  0.5, 0))</f>
        <v>0</v>
      </c>
      <c r="FA65" s="47">
        <f t="array" ref="FA65">IF(AND(ISNUMBER(MATCH(FA$2, AsistenciaJetAdminConcatenada!$A:$A, 0)), ISNUMBER(MATCH(FA$1, AsistenciaJetAdminConcatenada!$B:$B, 0)), ISNUMBER(SEARCH($A65,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ISNUMBER(SEARCH($A65, INDEX(AsistenciaJetAdminConcatenada!$D:$D, MATCH(1, (AsistenciaJetAdminConcatenada!$A:$A=FA$2)*(AsistenciaJetAdminConcatenada!$B:$B=FA$1), 0)), 1))),  0.5, 0))</f>
        <v>0</v>
      </c>
      <c r="FB65" s="47">
        <f t="array" ref="FB65">IF(AND(ISNUMBER(MATCH(FB$2, AsistenciaJetAdminConcatenada!$A:$A, 0)), ISNUMBER(MATCH(FB$1, AsistenciaJetAdminConcatenada!$B:$B, 0)), ISNUMBER(SEARCH($A65,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ISNUMBER(SEARCH($A65, INDEX(AsistenciaJetAdminConcatenada!$D:$D, MATCH(1, (AsistenciaJetAdminConcatenada!$A:$A=FB$2)*(AsistenciaJetAdminConcatenada!$B:$B=FB$1), 0)), 1))),  0.5, 0))</f>
        <v>0</v>
      </c>
      <c r="FC65" s="47">
        <f t="array" ref="FC65">IF(AND(ISNUMBER(MATCH(FC$2, AsistenciaJetAdminConcatenada!$A:$A, 0)), ISNUMBER(MATCH(FC$1, AsistenciaJetAdminConcatenada!$B:$B, 0)), ISNUMBER(SEARCH($A65,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ISNUMBER(SEARCH($A65, INDEX(AsistenciaJetAdminConcatenada!$D:$D, MATCH(1, (AsistenciaJetAdminConcatenada!$A:$A=FC$2)*(AsistenciaJetAdminConcatenada!$B:$B=FC$1), 0)), 1))),  0.5, 0))</f>
        <v>0</v>
      </c>
      <c r="FD65" s="47">
        <f t="array" ref="FD65">IF(AND(ISNUMBER(MATCH(FD$2, AsistenciaJetAdminConcatenada!$A:$A, 0)), ISNUMBER(MATCH(FD$1, AsistenciaJetAdminConcatenada!$B:$B, 0)), ISNUMBER(SEARCH($A65,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ISNUMBER(SEARCH($A65, INDEX(AsistenciaJetAdminConcatenada!$D:$D, MATCH(1, (AsistenciaJetAdminConcatenada!$A:$A=FD$2)*(AsistenciaJetAdminConcatenada!$B:$B=FD$1), 0)), 1))),  0.5, 0))</f>
        <v>0</v>
      </c>
      <c r="FE65" s="47">
        <f t="array" ref="FE65">IF(AND(ISNUMBER(MATCH(FE$2, AsistenciaJetAdminConcatenada!$A:$A, 0)), ISNUMBER(MATCH(FE$1, AsistenciaJetAdminConcatenada!$B:$B, 0)), ISNUMBER(SEARCH($A65,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ISNUMBER(SEARCH($A65, INDEX(AsistenciaJetAdminConcatenada!$D:$D, MATCH(1, (AsistenciaJetAdminConcatenada!$A:$A=FE$2)*(AsistenciaJetAdminConcatenada!$B:$B=FE$1), 0)), 1))),  0.5, 0))</f>
        <v>0</v>
      </c>
      <c r="FF65" s="47">
        <f t="array" ref="FF65">IF(AND(ISNUMBER(MATCH(FF$2, AsistenciaJetAdminConcatenada!$A:$A, 0)), ISNUMBER(MATCH(FF$1, AsistenciaJetAdminConcatenada!$B:$B, 0)), ISNUMBER(SEARCH($A65,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ISNUMBER(SEARCH($A65, INDEX(AsistenciaJetAdminConcatenada!$D:$D, MATCH(1, (AsistenciaJetAdminConcatenada!$A:$A=FF$2)*(AsistenciaJetAdminConcatenada!$B:$B=FF$1), 0)), 1))),  0.5, 0))</f>
        <v>0</v>
      </c>
      <c r="FG65" s="47">
        <f t="array" ref="FG65">IF(AND(ISNUMBER(MATCH(FG$2, AsistenciaJetAdminConcatenada!$A:$A, 0)), ISNUMBER(MATCH(FG$1, AsistenciaJetAdminConcatenada!$B:$B, 0)), ISNUMBER(SEARCH($A65,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ISNUMBER(SEARCH($A65, INDEX(AsistenciaJetAdminConcatenada!$D:$D, MATCH(1, (AsistenciaJetAdminConcatenada!$A:$A=FG$2)*(AsistenciaJetAdminConcatenada!$B:$B=FG$1), 0)), 1))),  0.5, 0))</f>
        <v>0</v>
      </c>
      <c r="FH65" s="47">
        <f t="array" ref="FH65">IF(AND(ISNUMBER(MATCH(FH$2, AsistenciaJetAdminConcatenada!$A:$A, 0)), ISNUMBER(MATCH(FH$1, AsistenciaJetAdminConcatenada!$B:$B, 0)), ISNUMBER(SEARCH($A65,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ISNUMBER(SEARCH($A65, INDEX(AsistenciaJetAdminConcatenada!$D:$D, MATCH(1, (AsistenciaJetAdminConcatenada!$A:$A=FH$2)*(AsistenciaJetAdminConcatenada!$B:$B=FH$1), 0)), 1))),  0.5, 0))</f>
        <v>0</v>
      </c>
      <c r="FI65" s="47">
        <f t="array" ref="FI65">IF(AND(ISNUMBER(MATCH(FI$2, AsistenciaJetAdminConcatenada!$A:$A, 0)), ISNUMBER(MATCH(FI$1, AsistenciaJetAdminConcatenada!$B:$B, 0)), ISNUMBER(SEARCH($A65,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ISNUMBER(SEARCH($A65, INDEX(AsistenciaJetAdminConcatenada!$D:$D, MATCH(1, (AsistenciaJetAdminConcatenada!$A:$A=FI$2)*(AsistenciaJetAdminConcatenada!$B:$B=FI$1), 0)), 1))),  0.5, 0))</f>
        <v>0</v>
      </c>
      <c r="FJ65" s="47">
        <f t="array" ref="FJ65">IF(AND(ISNUMBER(MATCH(FJ$2, AsistenciaJetAdminConcatenada!$A:$A, 0)), ISNUMBER(MATCH(FJ$1, AsistenciaJetAdminConcatenada!$B:$B, 0)), ISNUMBER(SEARCH($A65,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ISNUMBER(SEARCH($A65, INDEX(AsistenciaJetAdminConcatenada!$D:$D, MATCH(1, (AsistenciaJetAdminConcatenada!$A:$A=FJ$2)*(AsistenciaJetAdminConcatenada!$B:$B=FJ$1), 0)), 1))),  0.5, 0))</f>
        <v>0</v>
      </c>
      <c r="FK65" s="47">
        <f t="array" ref="FK65">IF(AND(ISNUMBER(MATCH(FK$2, AsistenciaJetAdminConcatenada!$A:$A, 0)), ISNUMBER(MATCH(FK$1, AsistenciaJetAdminConcatenada!$B:$B, 0)), ISNUMBER(SEARCH($A65,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ISNUMBER(SEARCH($A65, INDEX(AsistenciaJetAdminConcatenada!$D:$D, MATCH(1, (AsistenciaJetAdminConcatenada!$A:$A=FK$2)*(AsistenciaJetAdminConcatenada!$B:$B=FK$1), 0)), 1))),  0.5, 0))</f>
        <v>0</v>
      </c>
      <c r="FL65" s="47">
        <f t="array" ref="FL65">IF(AND(ISNUMBER(MATCH(FL$2, AsistenciaJetAdminConcatenada!$A:$A, 0)), ISNUMBER(MATCH(FL$1, AsistenciaJetAdminConcatenada!$B:$B, 0)), ISNUMBER(SEARCH($A65,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ISNUMBER(SEARCH($A65, INDEX(AsistenciaJetAdminConcatenada!$D:$D, MATCH(1, (AsistenciaJetAdminConcatenada!$A:$A=FL$2)*(AsistenciaJetAdminConcatenada!$B:$B=FL$1), 0)), 1))),  0.5, 0))</f>
        <v>0</v>
      </c>
      <c r="FM65" s="47">
        <f t="array" ref="FM65">IF(AND(ISNUMBER(MATCH(FM$2, AsistenciaJetAdminConcatenada!$A:$A, 0)), ISNUMBER(MATCH(FM$1, AsistenciaJetAdminConcatenada!$B:$B, 0)), ISNUMBER(SEARCH($A65,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ISNUMBER(SEARCH($A65, INDEX(AsistenciaJetAdminConcatenada!$D:$D, MATCH(1, (AsistenciaJetAdminConcatenada!$A:$A=FM$2)*(AsistenciaJetAdminConcatenada!$B:$B=FM$1), 0)), 1))),  0.5, 0))</f>
        <v>0</v>
      </c>
      <c r="FN65" s="47">
        <f t="array" ref="FN65">IF(AND(ISNUMBER(MATCH(FN$2, AsistenciaJetAdminConcatenada!$A:$A, 0)), ISNUMBER(MATCH(FN$1, AsistenciaJetAdminConcatenada!$B:$B, 0)), ISNUMBER(SEARCH($A65,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ISNUMBER(SEARCH($A65, INDEX(AsistenciaJetAdminConcatenada!$D:$D, MATCH(1, (AsistenciaJetAdminConcatenada!$A:$A=FN$2)*(AsistenciaJetAdminConcatenada!$B:$B=FN$1), 0)), 1))),  0.5, 0))</f>
        <v>0</v>
      </c>
      <c r="FO65" s="47">
        <f t="array" ref="FO65">IF(AND(ISNUMBER(MATCH(FO$2, AsistenciaJetAdminConcatenada!$A:$A, 0)), ISNUMBER(MATCH(FO$1, AsistenciaJetAdminConcatenada!$B:$B, 0)), ISNUMBER(SEARCH($A65,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ISNUMBER(SEARCH($A65, INDEX(AsistenciaJetAdminConcatenada!$D:$D, MATCH(1, (AsistenciaJetAdminConcatenada!$A:$A=FO$2)*(AsistenciaJetAdminConcatenada!$B:$B=FO$1), 0)), 1))),  0.5, 0))</f>
        <v>0</v>
      </c>
      <c r="FP65" s="47">
        <f t="array" ref="FP65">IF(AND(ISNUMBER(MATCH(FP$2, AsistenciaJetAdminConcatenada!$A:$A, 0)), ISNUMBER(MATCH(FP$1, AsistenciaJetAdminConcatenada!$B:$B, 0)), ISNUMBER(SEARCH($A65,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ISNUMBER(SEARCH($A65, INDEX(AsistenciaJetAdminConcatenada!$D:$D, MATCH(1, (AsistenciaJetAdminConcatenada!$A:$A=FP$2)*(AsistenciaJetAdminConcatenada!$B:$B=FP$1), 0)), 1))),  0.5, 0))</f>
        <v>0</v>
      </c>
      <c r="FQ65" s="47">
        <f t="array" ref="FQ65">IF(AND(ISNUMBER(MATCH(FQ$2, AsistenciaJetAdminConcatenada!$A:$A, 0)), ISNUMBER(MATCH(FQ$1, AsistenciaJetAdminConcatenada!$B:$B, 0)), ISNUMBER(SEARCH($A65,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ISNUMBER(SEARCH($A65, INDEX(AsistenciaJetAdminConcatenada!$D:$D, MATCH(1, (AsistenciaJetAdminConcatenada!$A:$A=FQ$2)*(AsistenciaJetAdminConcatenada!$B:$B=FQ$1), 0)), 1))),  0.5, 0))</f>
        <v>0</v>
      </c>
      <c r="FR65" s="47">
        <f t="array" ref="FR65">IF(AND(ISNUMBER(MATCH(FR$2, AsistenciaJetAdminConcatenada!$A:$A, 0)), ISNUMBER(MATCH(FR$1, AsistenciaJetAdminConcatenada!$B:$B, 0)), ISNUMBER(SEARCH($A65,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ISNUMBER(SEARCH($A65, INDEX(AsistenciaJetAdminConcatenada!$D:$D, MATCH(1, (AsistenciaJetAdminConcatenada!$A:$A=FR$2)*(AsistenciaJetAdminConcatenada!$B:$B=FR$1), 0)), 1))),  0.5, 0))</f>
        <v>0</v>
      </c>
      <c r="FS65" s="47">
        <f t="array" ref="FS65">IF(AND(ISNUMBER(MATCH(FS$2, AsistenciaJetAdminConcatenada!$A:$A, 0)), ISNUMBER(MATCH(FS$1, AsistenciaJetAdminConcatenada!$B:$B, 0)), ISNUMBER(SEARCH($A65,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ISNUMBER(SEARCH($A65, INDEX(AsistenciaJetAdminConcatenada!$D:$D, MATCH(1, (AsistenciaJetAdminConcatenada!$A:$A=FS$2)*(AsistenciaJetAdminConcatenada!$B:$B=FS$1), 0)), 1))),  0.5, 0))</f>
        <v>0</v>
      </c>
      <c r="FT65" s="47">
        <f t="array" ref="FT65">IF(AND(ISNUMBER(MATCH(FT$2, AsistenciaJetAdminConcatenada!$A:$A, 0)), ISNUMBER(MATCH(FT$1, AsistenciaJetAdminConcatenada!$B:$B, 0)), ISNUMBER(SEARCH($A65,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ISNUMBER(SEARCH($A65, INDEX(AsistenciaJetAdminConcatenada!$D:$D, MATCH(1, (AsistenciaJetAdminConcatenada!$A:$A=FT$2)*(AsistenciaJetAdminConcatenada!$B:$B=FT$1), 0)), 1))),  0.5, 0))</f>
        <v>0</v>
      </c>
      <c r="FU65" s="47">
        <f t="array" ref="FU65">IF(AND(ISNUMBER(MATCH(FU$2, AsistenciaJetAdminConcatenada!$A:$A, 0)), ISNUMBER(MATCH(FU$1, AsistenciaJetAdminConcatenada!$B:$B, 0)), ISNUMBER(SEARCH($A65,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ISNUMBER(SEARCH($A65, INDEX(AsistenciaJetAdminConcatenada!$D:$D, MATCH(1, (AsistenciaJetAdminConcatenada!$A:$A=FU$2)*(AsistenciaJetAdminConcatenada!$B:$B=FU$1), 0)), 1))),  0.5, 0))</f>
        <v>0</v>
      </c>
      <c r="FV65" s="47">
        <f t="array" ref="FV65">IF(AND(ISNUMBER(MATCH(FV$2, AsistenciaJetAdminConcatenada!$A:$A, 0)), ISNUMBER(MATCH(FV$1, AsistenciaJetAdminConcatenada!$B:$B, 0)), ISNUMBER(SEARCH($A65,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ISNUMBER(SEARCH($A65, INDEX(AsistenciaJetAdminConcatenada!$D:$D, MATCH(1, (AsistenciaJetAdminConcatenada!$A:$A=FV$2)*(AsistenciaJetAdminConcatenada!$B:$B=FV$1), 0)), 1))),  0.5, 0))</f>
        <v>0</v>
      </c>
      <c r="FW65" s="47">
        <f t="array" ref="FW65">IF(AND(ISNUMBER(MATCH(FW$2, AsistenciaJetAdminConcatenada!$A:$A, 0)), ISNUMBER(MATCH(FW$1, AsistenciaJetAdminConcatenada!$B:$B, 0)), ISNUMBER(SEARCH($A65,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ISNUMBER(SEARCH($A65, INDEX(AsistenciaJetAdminConcatenada!$D:$D, MATCH(1, (AsistenciaJetAdminConcatenada!$A:$A=FW$2)*(AsistenciaJetAdminConcatenada!$B:$B=FW$1), 0)), 1))),  0.5, 0))</f>
        <v>0</v>
      </c>
      <c r="FX65" s="47">
        <f t="array" ref="FX65">IF(AND(ISNUMBER(MATCH(FX$2, AsistenciaJetAdminConcatenada!$A:$A, 0)), ISNUMBER(MATCH(FX$1, AsistenciaJetAdminConcatenada!$B:$B, 0)), ISNUMBER(SEARCH($A65,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ISNUMBER(SEARCH($A65, INDEX(AsistenciaJetAdminConcatenada!$D:$D, MATCH(1, (AsistenciaJetAdminConcatenada!$A:$A=FX$2)*(AsistenciaJetAdminConcatenada!$B:$B=FX$1), 0)), 1))),  0.5, 0))</f>
        <v>0</v>
      </c>
      <c r="FY65" s="47">
        <f t="array" ref="FY65">IF(AND(ISNUMBER(MATCH(FY$2, AsistenciaJetAdminConcatenada!$A:$A, 0)), ISNUMBER(MATCH(FY$1, AsistenciaJetAdminConcatenada!$B:$B, 0)), ISNUMBER(SEARCH($A65,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ISNUMBER(SEARCH($A65, INDEX(AsistenciaJetAdminConcatenada!$D:$D, MATCH(1, (AsistenciaJetAdminConcatenada!$A:$A=FY$2)*(AsistenciaJetAdminConcatenada!$B:$B=FY$1), 0)), 1))),  0.5, 0))</f>
        <v>0</v>
      </c>
      <c r="FZ65" s="47">
        <f t="array" ref="FZ65">IF(AND(ISNUMBER(MATCH(FZ$2, AsistenciaJetAdminConcatenada!$A:$A, 0)), ISNUMBER(MATCH(FZ$1, AsistenciaJetAdminConcatenada!$B:$B, 0)), ISNUMBER(SEARCH($A65,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ISNUMBER(SEARCH($A65, INDEX(AsistenciaJetAdminConcatenada!$D:$D, MATCH(1, (AsistenciaJetAdminConcatenada!$A:$A=FZ$2)*(AsistenciaJetAdminConcatenada!$B:$B=FZ$1), 0)), 1))),  0.5, 0))</f>
        <v>0</v>
      </c>
      <c r="GA65" s="47">
        <f t="array" ref="GA65">IF(AND(ISNUMBER(MATCH(GA$2, AsistenciaJetAdminConcatenada!$A:$A, 0)), ISNUMBER(MATCH(GA$1, AsistenciaJetAdminConcatenada!$B:$B, 0)), ISNUMBER(SEARCH($A65,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ISNUMBER(SEARCH($A65, INDEX(AsistenciaJetAdminConcatenada!$D:$D, MATCH(1, (AsistenciaJetAdminConcatenada!$A:$A=GA$2)*(AsistenciaJetAdminConcatenada!$B:$B=GA$1), 0)), 1))),  0.5, 0))</f>
        <v>0</v>
      </c>
      <c r="GB65" s="47">
        <f t="array" ref="GB65">IF(AND(ISNUMBER(MATCH(GB$2, AsistenciaJetAdminConcatenada!$A:$A, 0)), ISNUMBER(MATCH(GB$1, AsistenciaJetAdminConcatenada!$B:$B, 0)), ISNUMBER(SEARCH($A65,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ISNUMBER(SEARCH($A65, INDEX(AsistenciaJetAdminConcatenada!$D:$D, MATCH(1, (AsistenciaJetAdminConcatenada!$A:$A=GB$2)*(AsistenciaJetAdminConcatenada!$B:$B=GB$1), 0)), 1))),  0.5, 0))</f>
        <v>0</v>
      </c>
      <c r="GC65" s="47">
        <f t="array" ref="GC65">IF(AND(ISNUMBER(MATCH(GC$2, AsistenciaJetAdminConcatenada!$A:$A, 0)), ISNUMBER(MATCH(GC$1, AsistenciaJetAdminConcatenada!$B:$B, 0)), ISNUMBER(SEARCH($A65,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ISNUMBER(SEARCH($A65, INDEX(AsistenciaJetAdminConcatenada!$D:$D, MATCH(1, (AsistenciaJetAdminConcatenada!$A:$A=GC$2)*(AsistenciaJetAdminConcatenada!$B:$B=GC$1), 0)), 1))),  0.5, 0))</f>
        <v>0</v>
      </c>
      <c r="GD65" s="47">
        <f t="array" ref="GD65">IF(AND(ISNUMBER(MATCH(GD$2, AsistenciaJetAdminConcatenada!$A:$A, 0)), ISNUMBER(MATCH(GD$1, AsistenciaJetAdminConcatenada!$B:$B, 0)), ISNUMBER(SEARCH($A65,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ISNUMBER(SEARCH($A65, INDEX(AsistenciaJetAdminConcatenada!$D:$D, MATCH(1, (AsistenciaJetAdminConcatenada!$A:$A=GD$2)*(AsistenciaJetAdminConcatenada!$B:$B=GD$1), 0)), 1))),  0.5, 0))</f>
        <v>0</v>
      </c>
      <c r="GE65" s="47">
        <f t="array" ref="GE65">IF(AND(ISNUMBER(MATCH(GE$2, AsistenciaJetAdminConcatenada!$A:$A, 0)), ISNUMBER(MATCH(GE$1, AsistenciaJetAdminConcatenada!$B:$B, 0)), ISNUMBER(SEARCH($A65,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ISNUMBER(SEARCH($A65, INDEX(AsistenciaJetAdminConcatenada!$D:$D, MATCH(1, (AsistenciaJetAdminConcatenada!$A:$A=GE$2)*(AsistenciaJetAdminConcatenada!$B:$B=GE$1), 0)), 1))),  0.5, 0))</f>
        <v>0</v>
      </c>
      <c r="GF65" s="47">
        <f t="array" ref="GF65">IF(AND(ISNUMBER(MATCH(GF$2, AsistenciaJetAdminConcatenada!$A:$A, 0)), ISNUMBER(MATCH(GF$1, AsistenciaJetAdminConcatenada!$B:$B, 0)), ISNUMBER(SEARCH($A65,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ISNUMBER(SEARCH($A65, INDEX(AsistenciaJetAdminConcatenada!$D:$D, MATCH(1, (AsistenciaJetAdminConcatenada!$A:$A=GF$2)*(AsistenciaJetAdminConcatenada!$B:$B=GF$1), 0)), 1))),  0.5, 0))</f>
        <v>0</v>
      </c>
      <c r="GG65" s="47">
        <f t="array" ref="GG65">IF(AND(ISNUMBER(MATCH(GG$2, AsistenciaJetAdminConcatenada!$A:$A, 0)), ISNUMBER(MATCH(GG$1, AsistenciaJetAdminConcatenada!$B:$B, 0)), ISNUMBER(SEARCH($A65,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ISNUMBER(SEARCH($A65, INDEX(AsistenciaJetAdminConcatenada!$D:$D, MATCH(1, (AsistenciaJetAdminConcatenada!$A:$A=GG$2)*(AsistenciaJetAdminConcatenada!$B:$B=GG$1), 0)), 1))),  0.5, 0))</f>
        <v>0</v>
      </c>
      <c r="GH65" s="47">
        <f t="array" ref="GH65">IF(AND(ISNUMBER(MATCH(GH$2, AsistenciaJetAdminConcatenada!$A:$A, 0)), ISNUMBER(MATCH(GH$1, AsistenciaJetAdminConcatenada!$B:$B, 0)), ISNUMBER(SEARCH($A65,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ISNUMBER(SEARCH($A65, INDEX(AsistenciaJetAdminConcatenada!$D:$D, MATCH(1, (AsistenciaJetAdminConcatenada!$A:$A=GH$2)*(AsistenciaJetAdminConcatenada!$B:$B=GH$1), 0)), 1))),  0.5, 0))</f>
        <v>0</v>
      </c>
      <c r="GI65" s="47">
        <f t="array" ref="GI65">IF(AND(ISNUMBER(MATCH(GI$2, AsistenciaJetAdminConcatenada!$A:$A, 0)), ISNUMBER(MATCH(GI$1, AsistenciaJetAdminConcatenada!$B:$B, 0)), ISNUMBER(SEARCH($A65,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ISNUMBER(SEARCH($A65, INDEX(AsistenciaJetAdminConcatenada!$D:$D, MATCH(1, (AsistenciaJetAdminConcatenada!$A:$A=GI$2)*(AsistenciaJetAdminConcatenada!$B:$B=GI$1), 0)), 1))),  0.5, 0))</f>
        <v>0</v>
      </c>
      <c r="GJ65" s="47">
        <f t="array" ref="GJ65">IF(AND(ISNUMBER(MATCH(GJ$2, AsistenciaJetAdminConcatenada!$A:$A, 0)), ISNUMBER(MATCH(GJ$1, AsistenciaJetAdminConcatenada!$B:$B, 0)), ISNUMBER(SEARCH($A65,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ISNUMBER(SEARCH($A65, INDEX(AsistenciaJetAdminConcatenada!$D:$D, MATCH(1, (AsistenciaJetAdminConcatenada!$A:$A=GJ$2)*(AsistenciaJetAdminConcatenada!$B:$B=GJ$1), 0)), 1))),  0.5, 0))</f>
        <v>0</v>
      </c>
      <c r="GK65" s="47">
        <f t="array" ref="GK65">IF(AND(ISNUMBER(MATCH(GK$2, AsistenciaJetAdminConcatenada!$A:$A, 0)), ISNUMBER(MATCH(GK$1, AsistenciaJetAdminConcatenada!$B:$B, 0)), ISNUMBER(SEARCH($A65,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ISNUMBER(SEARCH($A65, INDEX(AsistenciaJetAdminConcatenada!$D:$D, MATCH(1, (AsistenciaJetAdminConcatenada!$A:$A=GK$2)*(AsistenciaJetAdminConcatenada!$B:$B=GK$1), 0)), 1))),  0.5, 0))</f>
        <v>0</v>
      </c>
      <c r="GL65" s="47">
        <f t="array" ref="GL65">IF(AND(ISNUMBER(MATCH(GL$2, AsistenciaJetAdminConcatenada!$A:$A, 0)), ISNUMBER(MATCH(GL$1, AsistenciaJetAdminConcatenada!$B:$B, 0)), ISNUMBER(SEARCH($A65,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ISNUMBER(SEARCH($A65, INDEX(AsistenciaJetAdminConcatenada!$D:$D, MATCH(1, (AsistenciaJetAdminConcatenada!$A:$A=GL$2)*(AsistenciaJetAdminConcatenada!$B:$B=GL$1), 0)), 1))),  0.5, 0))</f>
        <v>0</v>
      </c>
      <c r="GM65" s="47">
        <f t="array" ref="GM65">IF(AND(ISNUMBER(MATCH(GM$2, AsistenciaJetAdminConcatenada!$A:$A, 0)), ISNUMBER(MATCH(GM$1, AsistenciaJetAdminConcatenada!$B:$B, 0)), ISNUMBER(SEARCH($A65,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ISNUMBER(SEARCH($A65, INDEX(AsistenciaJetAdminConcatenada!$D:$D, MATCH(1, (AsistenciaJetAdminConcatenada!$A:$A=GM$2)*(AsistenciaJetAdminConcatenada!$B:$B=GM$1), 0)), 1))),  0.5, 0))</f>
        <v>0</v>
      </c>
      <c r="GN65" s="47">
        <f t="array" ref="GN65">IF(AND(ISNUMBER(MATCH(GN$2, AsistenciaJetAdminConcatenada!$A:$A, 0)), ISNUMBER(MATCH(GN$1, AsistenciaJetAdminConcatenada!$B:$B, 0)), ISNUMBER(SEARCH($A65,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ISNUMBER(SEARCH($A65, INDEX(AsistenciaJetAdminConcatenada!$D:$D, MATCH(1, (AsistenciaJetAdminConcatenada!$A:$A=GN$2)*(AsistenciaJetAdminConcatenada!$B:$B=GN$1), 0)), 1))),  0.5, 0))</f>
        <v>0</v>
      </c>
      <c r="GO65" s="47">
        <f t="array" ref="GO65">IF(AND(ISNUMBER(MATCH(GO$2, AsistenciaJetAdminConcatenada!$A:$A, 0)), ISNUMBER(MATCH(GO$1, AsistenciaJetAdminConcatenada!$B:$B, 0)), ISNUMBER(SEARCH($A65,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ISNUMBER(SEARCH($A65, INDEX(AsistenciaJetAdminConcatenada!$D:$D, MATCH(1, (AsistenciaJetAdminConcatenada!$A:$A=GO$2)*(AsistenciaJetAdminConcatenada!$B:$B=GO$1), 0)), 1))),  0.5, 0))</f>
        <v>0</v>
      </c>
      <c r="GP65" s="47">
        <f t="array" ref="GP65">IF(AND(ISNUMBER(MATCH(GP$2, AsistenciaJetAdminConcatenada!$A:$A, 0)), ISNUMBER(MATCH(GP$1, AsistenciaJetAdminConcatenada!$B:$B, 0)), ISNUMBER(SEARCH($A65,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ISNUMBER(SEARCH($A65, INDEX(AsistenciaJetAdminConcatenada!$D:$D, MATCH(1, (AsistenciaJetAdminConcatenada!$A:$A=GP$2)*(AsistenciaJetAdminConcatenada!$B:$B=GP$1), 0)), 1))),  0.5, 0))</f>
        <v>0</v>
      </c>
      <c r="GQ65" s="47">
        <f t="array" ref="GQ65">IF(AND(ISNUMBER(MATCH(GQ$2, AsistenciaJetAdminConcatenada!$A:$A, 0)), ISNUMBER(MATCH(GQ$1, AsistenciaJetAdminConcatenada!$B:$B, 0)), ISNUMBER(SEARCH($A65,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ISNUMBER(SEARCH($A65, INDEX(AsistenciaJetAdminConcatenada!$D:$D, MATCH(1, (AsistenciaJetAdminConcatenada!$A:$A=GQ$2)*(AsistenciaJetAdminConcatenada!$B:$B=GQ$1), 0)), 1))),  0.5, 0))</f>
        <v>0</v>
      </c>
      <c r="GR65" s="47">
        <f t="array" ref="GR65">IF(AND(ISNUMBER(MATCH(GR$2, AsistenciaJetAdminConcatenada!$A:$A, 0)), ISNUMBER(MATCH(GR$1, AsistenciaJetAdminConcatenada!$B:$B, 0)), ISNUMBER(SEARCH($A65,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ISNUMBER(SEARCH($A65, INDEX(AsistenciaJetAdminConcatenada!$D:$D, MATCH(1, (AsistenciaJetAdminConcatenada!$A:$A=GR$2)*(AsistenciaJetAdminConcatenada!$B:$B=GR$1), 0)), 1))),  0.5, 0))</f>
        <v>0</v>
      </c>
      <c r="GS65" s="47">
        <f t="array" ref="GS65">IF(AND(ISNUMBER(MATCH(GS$2, AsistenciaJetAdminConcatenada!$A:$A, 0)), ISNUMBER(MATCH(GS$1, AsistenciaJetAdminConcatenada!$B:$B, 0)), ISNUMBER(SEARCH($A65,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ISNUMBER(SEARCH($A65, INDEX(AsistenciaJetAdminConcatenada!$D:$D, MATCH(1, (AsistenciaJetAdminConcatenada!$A:$A=GS$2)*(AsistenciaJetAdminConcatenada!$B:$B=GS$1), 0)), 1))),  0.5, 0))</f>
        <v>0</v>
      </c>
      <c r="GT65" s="47">
        <f t="array" ref="GT65">IF(AND(ISNUMBER(MATCH(GT$2, AsistenciaJetAdminConcatenada!$A:$A, 0)), ISNUMBER(MATCH(GT$1, AsistenciaJetAdminConcatenada!$B:$B, 0)), ISNUMBER(SEARCH($A65,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ISNUMBER(SEARCH($A65, INDEX(AsistenciaJetAdminConcatenada!$D:$D, MATCH(1, (AsistenciaJetAdminConcatenada!$A:$A=GT$2)*(AsistenciaJetAdminConcatenada!$B:$B=GT$1), 0)), 1))),  0.5, 0))</f>
        <v>0</v>
      </c>
      <c r="GU65" s="47">
        <f t="array" ref="GU65">IF(AND(ISNUMBER(MATCH(GU$2, AsistenciaJetAdminConcatenada!$A:$A, 0)), ISNUMBER(MATCH(GU$1, AsistenciaJetAdminConcatenada!$B:$B, 0)), ISNUMBER(SEARCH($A65,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ISNUMBER(SEARCH($A65, INDEX(AsistenciaJetAdminConcatenada!$D:$D, MATCH(1, (AsistenciaJetAdminConcatenada!$A:$A=GU$2)*(AsistenciaJetAdminConcatenada!$B:$B=GU$1), 0)), 1))),  0.5, 0))</f>
        <v>0</v>
      </c>
      <c r="GV65" s="47">
        <f t="array" ref="GV65">IF(AND(ISNUMBER(MATCH(GV$2, AsistenciaJetAdminConcatenada!$A:$A, 0)), ISNUMBER(MATCH(GV$1, AsistenciaJetAdminConcatenada!$B:$B, 0)), ISNUMBER(SEARCH($A65,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ISNUMBER(SEARCH($A65, INDEX(AsistenciaJetAdminConcatenada!$D:$D, MATCH(1, (AsistenciaJetAdminConcatenada!$A:$A=GV$2)*(AsistenciaJetAdminConcatenada!$B:$B=GV$1), 0)), 1))),  0.5, 0))</f>
        <v>0</v>
      </c>
      <c r="GW65" s="47">
        <f t="array" ref="GW65">IF(AND(ISNUMBER(MATCH(GW$2, AsistenciaJetAdminConcatenada!$A:$A, 0)), ISNUMBER(MATCH(GW$1, AsistenciaJetAdminConcatenada!$B:$B, 0)), ISNUMBER(SEARCH($A65,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ISNUMBER(SEARCH($A65, INDEX(AsistenciaJetAdminConcatenada!$D:$D, MATCH(1, (AsistenciaJetAdminConcatenada!$A:$A=GW$2)*(AsistenciaJetAdminConcatenada!$B:$B=GW$1), 0)), 1))),  0.5, 0))</f>
        <v>0</v>
      </c>
      <c r="GX65" s="47">
        <f t="array" ref="GX65">IF(AND(ISNUMBER(MATCH(GX$2, AsistenciaJetAdminConcatenada!$A:$A, 0)), ISNUMBER(MATCH(GX$1, AsistenciaJetAdminConcatenada!$B:$B, 0)), ISNUMBER(SEARCH($A65,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ISNUMBER(SEARCH($A65, INDEX(AsistenciaJetAdminConcatenada!$D:$D, MATCH(1, (AsistenciaJetAdminConcatenada!$A:$A=GX$2)*(AsistenciaJetAdminConcatenada!$B:$B=GX$1), 0)), 1))),  0.5, 0))</f>
        <v>0</v>
      </c>
      <c r="GY65" s="47">
        <f t="array" ref="GY65">IF(AND(ISNUMBER(MATCH(GY$2, AsistenciaJetAdminConcatenada!$A:$A, 0)), ISNUMBER(MATCH(GY$1, AsistenciaJetAdminConcatenada!$B:$B, 0)), ISNUMBER(SEARCH($A65,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ISNUMBER(SEARCH($A65, INDEX(AsistenciaJetAdminConcatenada!$D:$D, MATCH(1, (AsistenciaJetAdminConcatenada!$A:$A=GY$2)*(AsistenciaJetAdminConcatenada!$B:$B=GY$1), 0)), 1))),  0.5, 0))</f>
        <v>0</v>
      </c>
      <c r="GZ65" s="47">
        <f t="array" ref="GZ65">IF(AND(ISNUMBER(MATCH(GZ$2, AsistenciaJetAdminConcatenada!$A:$A, 0)), ISNUMBER(MATCH(GZ$1, AsistenciaJetAdminConcatenada!$B:$B, 0)), ISNUMBER(SEARCH($A65,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ISNUMBER(SEARCH($A65, INDEX(AsistenciaJetAdminConcatenada!$D:$D, MATCH(1, (AsistenciaJetAdminConcatenada!$A:$A=GZ$2)*(AsistenciaJetAdminConcatenada!$B:$B=GZ$1), 0)), 1))),  0.5, 0))</f>
        <v>0</v>
      </c>
      <c r="HA65" s="47">
        <f t="array" ref="HA65">IF(AND(ISNUMBER(MATCH(HA$2, AsistenciaJetAdminConcatenada!$A:$A, 0)), ISNUMBER(MATCH(HA$1, AsistenciaJetAdminConcatenada!$B:$B, 0)), ISNUMBER(SEARCH($A65,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ISNUMBER(SEARCH($A65, INDEX(AsistenciaJetAdminConcatenada!$D:$D, MATCH(1, (AsistenciaJetAdminConcatenada!$A:$A=HA$2)*(AsistenciaJetAdminConcatenada!$B:$B=HA$1), 0)), 1))),  0.5, 0))</f>
        <v>0</v>
      </c>
      <c r="HB65" s="47">
        <f t="array" ref="HB65">IF(AND(ISNUMBER(MATCH(HB$2, AsistenciaJetAdminConcatenada!$A:$A, 0)), ISNUMBER(MATCH(HB$1, AsistenciaJetAdminConcatenada!$B:$B, 0)), ISNUMBER(SEARCH($A65,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ISNUMBER(SEARCH($A65, INDEX(AsistenciaJetAdminConcatenada!$D:$D, MATCH(1, (AsistenciaJetAdminConcatenada!$A:$A=HB$2)*(AsistenciaJetAdminConcatenada!$B:$B=HB$1), 0)), 1))),  0.5, 0))</f>
        <v>0</v>
      </c>
      <c r="HC65" s="47">
        <f t="array" ref="HC65">IF(AND(ISNUMBER(MATCH(HC$2, AsistenciaJetAdminConcatenada!$A:$A, 0)), ISNUMBER(MATCH(HC$1, AsistenciaJetAdminConcatenada!$B:$B, 0)), ISNUMBER(SEARCH($A65,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ISNUMBER(SEARCH($A65, INDEX(AsistenciaJetAdminConcatenada!$D:$D, MATCH(1, (AsistenciaJetAdminConcatenada!$A:$A=HC$2)*(AsistenciaJetAdminConcatenada!$B:$B=HC$1), 0)), 1))),  0.5, 0))</f>
        <v>0</v>
      </c>
    </row>
    <row r="66" ht="29.25" customHeight="1">
      <c r="A66" s="3">
        <v>171.0</v>
      </c>
      <c r="B66" s="4" t="s">
        <v>368</v>
      </c>
      <c r="C66" s="47">
        <f>SUM(D66:HC66) + ActividadesEspeciales!C66</f>
        <v>66.5</v>
      </c>
      <c r="D66" s="47">
        <f t="array" ref="D66">IF(AND(ISNUMBER(MATCH(D$2, AsistenciaJetAdminConcatenada!$A:$A, 0)), ISNUMBER(MATCH(D$1, AsistenciaJetAdminConcatenada!$B:$B, 0)), ISNUMBER(SEARCH($A66,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ISNUMBER(SEARCH($A66, INDEX(AsistenciaJetAdminConcatenada!$D:$D, MATCH(1, (AsistenciaJetAdminConcatenada!$A:$A=D$2)*(AsistenciaJetAdminConcatenada!$B:$B=D$1), 0)), 1))),  0.5, 0))</f>
        <v>1</v>
      </c>
      <c r="E66" s="47">
        <f t="array" ref="E66">IF(AND(ISNUMBER(MATCH(E$2, AsistenciaJetAdminConcatenada!$A:$A, 0)), ISNUMBER(MATCH(E$1, AsistenciaJetAdminConcatenada!$B:$B, 0)), ISNUMBER(SEARCH($A66,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ISNUMBER(SEARCH($A66, INDEX(AsistenciaJetAdminConcatenada!$D:$D, MATCH(1, (AsistenciaJetAdminConcatenada!$A:$A=E$2)*(AsistenciaJetAdminConcatenada!$B:$B=E$1), 0)), 1))),  0.5, 0))</f>
        <v>1</v>
      </c>
      <c r="F66" s="47">
        <f t="array" ref="F66">IF(AND(ISNUMBER(MATCH(F$2, AsistenciaJetAdminConcatenada!$A:$A, 0)), ISNUMBER(MATCH(F$1, AsistenciaJetAdminConcatenada!$B:$B, 0)), ISNUMBER(SEARCH($A66,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ISNUMBER(SEARCH($A66, INDEX(AsistenciaJetAdminConcatenada!$D:$D, MATCH(1, (AsistenciaJetAdminConcatenada!$A:$A=F$2)*(AsistenciaJetAdminConcatenada!$B:$B=F$1), 0)), 1))),  0.5, 0))</f>
        <v>1</v>
      </c>
      <c r="G66" s="47">
        <f t="array" ref="G66">IF(AND(ISNUMBER(MATCH(G$2, AsistenciaJetAdminConcatenada!$A:$A, 0)), ISNUMBER(MATCH(G$1, AsistenciaJetAdminConcatenada!$B:$B, 0)), ISNUMBER(SEARCH($A66,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ISNUMBER(SEARCH($A66, INDEX(AsistenciaJetAdminConcatenada!$D:$D, MATCH(1, (AsistenciaJetAdminConcatenada!$A:$A=G$2)*(AsistenciaJetAdminConcatenada!$B:$B=G$1), 0)), 1))),  0.5, 0))</f>
        <v>1</v>
      </c>
      <c r="H66" s="47">
        <f t="array" ref="H66">IF(AND(ISNUMBER(MATCH(H$2, AsistenciaJetAdminConcatenada!$A:$A, 0)), ISNUMBER(MATCH(H$1, AsistenciaJetAdminConcatenada!$B:$B, 0)), ISNUMBER(SEARCH($A66,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ISNUMBER(SEARCH($A66, INDEX(AsistenciaJetAdminConcatenada!$D:$D, MATCH(1, (AsistenciaJetAdminConcatenada!$A:$A=H$2)*(AsistenciaJetAdminConcatenada!$B:$B=H$1), 0)), 1))),  0.5, 0))</f>
        <v>1</v>
      </c>
      <c r="I66" s="47">
        <f t="array" ref="I66">IF(AND(ISNUMBER(MATCH(I$2, AsistenciaJetAdminConcatenada!$A:$A, 0)), ISNUMBER(MATCH(I$1, AsistenciaJetAdminConcatenada!$B:$B, 0)), ISNUMBER(SEARCH($A66,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ISNUMBER(SEARCH($A66, INDEX(AsistenciaJetAdminConcatenada!$D:$D, MATCH(1, (AsistenciaJetAdminConcatenada!$A:$A=I$2)*(AsistenciaJetAdminConcatenada!$B:$B=I$1), 0)), 1))),  0.5, 0))</f>
        <v>1</v>
      </c>
      <c r="J66" s="47">
        <f t="array" ref="J66">IF(AND(ISNUMBER(MATCH(J$2, AsistenciaJetAdminConcatenada!$A:$A, 0)), ISNUMBER(MATCH(J$1, AsistenciaJetAdminConcatenada!$B:$B, 0)), ISNUMBER(SEARCH($A66,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ISNUMBER(SEARCH($A66, INDEX(AsistenciaJetAdminConcatenada!$D:$D, MATCH(1, (AsistenciaJetAdminConcatenada!$A:$A=J$2)*(AsistenciaJetAdminConcatenada!$B:$B=J$1), 0)), 1))),  0.5, 0))</f>
        <v>1</v>
      </c>
      <c r="K66" s="47">
        <f t="array" ref="K66">IF(AND(ISNUMBER(MATCH(K$2, AsistenciaJetAdminConcatenada!$A:$A, 0)), ISNUMBER(MATCH(K$1, AsistenciaJetAdminConcatenada!$B:$B, 0)), ISNUMBER(SEARCH($A66,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ISNUMBER(SEARCH($A66, INDEX(AsistenciaJetAdminConcatenada!$D:$D, MATCH(1, (AsistenciaJetAdminConcatenada!$A:$A=K$2)*(AsistenciaJetAdminConcatenada!$B:$B=K$1), 0)), 1))),  0.5, 0))</f>
        <v>1</v>
      </c>
      <c r="L66" s="47">
        <f t="array" ref="L66">IF(AND(ISNUMBER(MATCH(L$2, AsistenciaJetAdminConcatenada!$A:$A, 0)), ISNUMBER(MATCH(L$1, AsistenciaJetAdminConcatenada!$B:$B, 0)), ISNUMBER(SEARCH($A66,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ISNUMBER(SEARCH($A66, INDEX(AsistenciaJetAdminConcatenada!$D:$D, MATCH(1, (AsistenciaJetAdminConcatenada!$A:$A=L$2)*(AsistenciaJetAdminConcatenada!$B:$B=L$1), 0)), 1))),  0.5, 0))</f>
        <v>0</v>
      </c>
      <c r="M66" s="47">
        <f t="array" ref="M66">IF(AND(ISNUMBER(MATCH(M$2, AsistenciaJetAdminConcatenada!$A:$A, 0)), ISNUMBER(MATCH(M$1, AsistenciaJetAdminConcatenada!$B:$B, 0)), ISNUMBER(SEARCH($A66,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ISNUMBER(SEARCH($A66, INDEX(AsistenciaJetAdminConcatenada!$D:$D, MATCH(1, (AsistenciaJetAdminConcatenada!$A:$A=M$2)*(AsistenciaJetAdminConcatenada!$B:$B=M$1), 0)), 1))),  0.5, 0))</f>
        <v>1</v>
      </c>
      <c r="N66" s="47">
        <f t="array" ref="N66">IF(AND(ISNUMBER(MATCH(N$2, AsistenciaJetAdminConcatenada!$A:$A, 0)), ISNUMBER(MATCH(N$1, AsistenciaJetAdminConcatenada!$B:$B, 0)), ISNUMBER(SEARCH($A66,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ISNUMBER(SEARCH($A66, INDEX(AsistenciaJetAdminConcatenada!$D:$D, MATCH(1, (AsistenciaJetAdminConcatenada!$A:$A=N$2)*(AsistenciaJetAdminConcatenada!$B:$B=N$1), 0)), 1))),  0.5, 0))</f>
        <v>1</v>
      </c>
      <c r="O66" s="47">
        <f t="array" ref="O66">IF(AND(ISNUMBER(MATCH(O$2, AsistenciaJetAdminConcatenada!$A:$A, 0)), ISNUMBER(MATCH(O$1, AsistenciaJetAdminConcatenada!$B:$B, 0)), ISNUMBER(SEARCH($A66,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ISNUMBER(SEARCH($A66, INDEX(AsistenciaJetAdminConcatenada!$D:$D, MATCH(1, (AsistenciaJetAdminConcatenada!$A:$A=O$2)*(AsistenciaJetAdminConcatenada!$B:$B=O$1), 0)), 1))),  0.5, 0))</f>
        <v>1</v>
      </c>
      <c r="P66" s="47">
        <f t="array" ref="P66">IF(AND(ISNUMBER(MATCH(P$2, AsistenciaJetAdminConcatenada!$A:$A, 0)), ISNUMBER(MATCH(P$1, AsistenciaJetAdminConcatenada!$B:$B, 0)), ISNUMBER(SEARCH($A66, INDEX(AsistenciaJetAdminConcatenada!$C:$C, MATCH(1, (AsistenciaJetAdminConcatenada!$A:$A=P$2)*(AsistenciaJetAdminConcatenada!$B:$B=P$1), 0)), 1))), 1, IF(AND(ISNUMBER(MATCH(P$2, AsistenciaJetAdminConcatenada!$A:$A, 0)), ISNUMBER(MATCH(P$1, AsistenciaJetAdminConcatenada!$B:$B, 0)), ISNUMBER(SEARCH($A66, INDEX(AsistenciaJetAdminConcatenada!$D:$D, MATCH(1, (AsistenciaJetAdminConcatenada!$A:$A=P$2)*(AsistenciaJetAdminConcatenada!$B:$B=P$1), 0)), 1))),  0.5, 0))</f>
        <v>1</v>
      </c>
      <c r="Q66" s="8">
        <v>1.0</v>
      </c>
      <c r="R66" s="47">
        <f t="array" ref="R66">IF(AND(ISNUMBER(MATCH(R$2, AsistenciaJetAdminConcatenada!$A:$A, 0)), ISNUMBER(MATCH(R$1, AsistenciaJetAdminConcatenada!$B:$B, 0)), ISNUMBER(SEARCH($A66,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ISNUMBER(SEARCH($A66, INDEX(AsistenciaJetAdminConcatenada!$D:$D, MATCH(1, (AsistenciaJetAdminConcatenada!$A:$A=R$2)*(AsistenciaJetAdminConcatenada!$B:$B=R$1), 0)), 1))),  0.5, 0))</f>
        <v>1</v>
      </c>
      <c r="S66" s="47">
        <f t="array" ref="S66">IF(AND(ISNUMBER(MATCH(S$2, AsistenciaJetAdminConcatenada!$A:$A, 0)), ISNUMBER(MATCH(S$1, AsistenciaJetAdminConcatenada!$B:$B, 0)), ISNUMBER(SEARCH($A66,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ISNUMBER(SEARCH($A66, INDEX(AsistenciaJetAdminConcatenada!$D:$D, MATCH(1, (AsistenciaJetAdminConcatenada!$A:$A=S$2)*(AsistenciaJetAdminConcatenada!$B:$B=S$1), 0)), 1))),  0.5, 0))</f>
        <v>1</v>
      </c>
      <c r="T66" s="47">
        <f t="array" ref="T66">IF(AND(ISNUMBER(MATCH(T$2, AsistenciaJetAdminConcatenada!$A:$A, 0)), ISNUMBER(MATCH(T$1, AsistenciaJetAdminConcatenada!$B:$B, 0)), ISNUMBER(SEARCH($A66,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ISNUMBER(SEARCH($A66, INDEX(AsistenciaJetAdminConcatenada!$D:$D, MATCH(1, (AsistenciaJetAdminConcatenada!$A:$A=T$2)*(AsistenciaJetAdminConcatenada!$B:$B=T$1), 0)), 1))),  0.5, 0))</f>
        <v>0</v>
      </c>
      <c r="U66" s="47">
        <f t="array" ref="U66">IF(AND(ISNUMBER(MATCH(U$2, AsistenciaJetAdminConcatenada!$A:$A, 0)), ISNUMBER(MATCH(U$1, AsistenciaJetAdminConcatenada!$B:$B, 0)), ISNUMBER(SEARCH($A66,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ISNUMBER(SEARCH($A66, INDEX(AsistenciaJetAdminConcatenada!$D:$D, MATCH(1, (AsistenciaJetAdminConcatenada!$A:$A=U$2)*(AsistenciaJetAdminConcatenada!$B:$B=U$1), 0)), 1))),  0.5, 0))</f>
        <v>0</v>
      </c>
      <c r="V66" s="47">
        <f t="array" ref="V66">IF(AND(ISNUMBER(MATCH(V$2, AsistenciaJetAdminConcatenada!$A:$A, 0)), ISNUMBER(MATCH(V$1, AsistenciaJetAdminConcatenada!$B:$B, 0)), ISNUMBER(SEARCH($A66,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ISNUMBER(SEARCH($A66, INDEX(AsistenciaJetAdminConcatenada!$D:$D, MATCH(1, (AsistenciaJetAdminConcatenada!$A:$A=V$2)*(AsistenciaJetAdminConcatenada!$B:$B=V$1), 0)), 1))),  0.5, 0))</f>
        <v>0</v>
      </c>
      <c r="W66" s="47">
        <f t="array" ref="W66">IF(AND(ISNUMBER(MATCH(W$2, AsistenciaJetAdminConcatenada!$A:$A, 0)), ISNUMBER(MATCH(W$1, AsistenciaJetAdminConcatenada!$B:$B, 0)), ISNUMBER(SEARCH($A66,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ISNUMBER(SEARCH($A66, INDEX(AsistenciaJetAdminConcatenada!$D:$D, MATCH(1, (AsistenciaJetAdminConcatenada!$A:$A=W$2)*(AsistenciaJetAdminConcatenada!$B:$B=W$1), 0)), 1))),  0.5, 0))</f>
        <v>1</v>
      </c>
      <c r="X66" s="47">
        <f t="array" ref="X66">IF(AND(ISNUMBER(MATCH(X$2, AsistenciaJetAdminConcatenada!$A:$A, 0)), ISNUMBER(MATCH(X$1, AsistenciaJetAdminConcatenada!$B:$B, 0)), ISNUMBER(SEARCH($A66,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ISNUMBER(SEARCH($A66, INDEX(AsistenciaJetAdminConcatenada!$D:$D, MATCH(1, (AsistenciaJetAdminConcatenada!$A:$A=X$2)*(AsistenciaJetAdminConcatenada!$B:$B=X$1), 0)), 1))),  0.5, 0))</f>
        <v>1</v>
      </c>
      <c r="Y66" s="47">
        <f t="array" ref="Y66">IF(AND(ISNUMBER(MATCH(Y$2, AsistenciaJetAdminConcatenada!$A:$A, 0)), ISNUMBER(MATCH(Y$1, AsistenciaJetAdminConcatenada!$B:$B, 0)), ISNUMBER(SEARCH($A66,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ISNUMBER(SEARCH($A66, INDEX(AsistenciaJetAdminConcatenada!$D:$D, MATCH(1, (AsistenciaJetAdminConcatenada!$A:$A=Y$2)*(AsistenciaJetAdminConcatenada!$B:$B=Y$1), 0)), 1))),  0.5, 0))</f>
        <v>0.5</v>
      </c>
      <c r="Z66" s="47">
        <f t="array" ref="Z66">IF(AND(ISNUMBER(MATCH(Z$2, AsistenciaJetAdminConcatenada!$A:$A, 0)), ISNUMBER(MATCH(Z$1, AsistenciaJetAdminConcatenada!$B:$B, 0)), ISNUMBER(SEARCH($A66,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ISNUMBER(SEARCH($A66, INDEX(AsistenciaJetAdminConcatenada!$D:$D, MATCH(1, (AsistenciaJetAdminConcatenada!$A:$A=Z$2)*(AsistenciaJetAdminConcatenada!$B:$B=Z$1), 0)), 1))),  0.5, 0))</f>
        <v>1</v>
      </c>
      <c r="AA66" s="47">
        <f t="array" ref="AA66">IF(AND(ISNUMBER(MATCH(AA$2, AsistenciaJetAdminConcatenada!$A:$A, 0)), ISNUMBER(MATCH(AA$1, AsistenciaJetAdminConcatenada!$B:$B, 0)), ISNUMBER(SEARCH($A66,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ISNUMBER(SEARCH($A66, INDEX(AsistenciaJetAdminConcatenada!$D:$D, MATCH(1, (AsistenciaJetAdminConcatenada!$A:$A=AA$2)*(AsistenciaJetAdminConcatenada!$B:$B=AA$1), 0)), 1))),  0.5, 0))</f>
        <v>1</v>
      </c>
      <c r="AB66" s="47">
        <f t="array" ref="AB66">IF(AND(ISNUMBER(MATCH(AB$2, AsistenciaJetAdminConcatenada!$A:$A, 0)), ISNUMBER(MATCH(AB$1, AsistenciaJetAdminConcatenada!$B:$B, 0)), ISNUMBER(SEARCH($A66,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ISNUMBER(SEARCH($A66, INDEX(AsistenciaJetAdminConcatenada!$D:$D, MATCH(1, (AsistenciaJetAdminConcatenada!$A:$A=AB$2)*(AsistenciaJetAdminConcatenada!$B:$B=AB$1), 0)), 1))),  0.5, 0))</f>
        <v>0</v>
      </c>
      <c r="AC66" s="47">
        <f t="array" ref="AC66">IF(AND(ISNUMBER(MATCH(AC$2, AsistenciaJetAdminConcatenada!$A:$A, 0)), ISNUMBER(MATCH(AC$1, AsistenciaJetAdminConcatenada!$B:$B, 0)), ISNUMBER(SEARCH($A66,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ISNUMBER(SEARCH($A66, INDEX(AsistenciaJetAdminConcatenada!$D:$D, MATCH(1, (AsistenciaJetAdminConcatenada!$A:$A=AC$2)*(AsistenciaJetAdminConcatenada!$B:$B=AC$1), 0)), 1))),  0.5, 0))</f>
        <v>1</v>
      </c>
      <c r="AD66" s="47">
        <f t="array" ref="AD66">IF(AND(ISNUMBER(MATCH(AD$2, AsistenciaJetAdminConcatenada!$A:$A, 0)), ISNUMBER(MATCH(AD$1, AsistenciaJetAdminConcatenada!$B:$B, 0)), ISNUMBER(SEARCH($A66,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ISNUMBER(SEARCH($A66, INDEX(AsistenciaJetAdminConcatenada!$D:$D, MATCH(1, (AsistenciaJetAdminConcatenada!$A:$A=AD$2)*(AsistenciaJetAdminConcatenada!$B:$B=AD$1), 0)), 1))),  0.5, 0))</f>
        <v>1</v>
      </c>
      <c r="AE66" s="47">
        <f t="array" ref="AE66">IF(AND(ISNUMBER(MATCH(AE$2, AsistenciaJetAdminConcatenada!$A:$A, 0)), ISNUMBER(MATCH(AE$1, AsistenciaJetAdminConcatenada!$B:$B, 0)), ISNUMBER(SEARCH($A66,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ISNUMBER(SEARCH($A66, INDEX(AsistenciaJetAdminConcatenada!$D:$D, MATCH(1, (AsistenciaJetAdminConcatenada!$A:$A=AE$2)*(AsistenciaJetAdminConcatenada!$B:$B=AE$1), 0)), 1))),  0.5, 0))</f>
        <v>0</v>
      </c>
      <c r="AF66" s="47">
        <f t="array" ref="AF66">IF(AND(ISNUMBER(MATCH(AF$2, AsistenciaJetAdminConcatenada!$A:$A, 0)), ISNUMBER(MATCH(AF$1, AsistenciaJetAdminConcatenada!$B:$B, 0)), ISNUMBER(SEARCH($A66,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ISNUMBER(SEARCH($A66, INDEX(AsistenciaJetAdminConcatenada!$D:$D, MATCH(1, (AsistenciaJetAdminConcatenada!$A:$A=AF$2)*(AsistenciaJetAdminConcatenada!$B:$B=AF$1), 0)), 1))),  0.5, 0))</f>
        <v>0</v>
      </c>
      <c r="AG66" s="47">
        <f t="array" ref="AG66">IF(AND(ISNUMBER(MATCH(AG$2, AsistenciaJetAdminConcatenada!$A:$A, 0)), ISNUMBER(MATCH(AG$1, AsistenciaJetAdminConcatenada!$B:$B, 0)), ISNUMBER(SEARCH($A66,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ISNUMBER(SEARCH($A66, INDEX(AsistenciaJetAdminConcatenada!$D:$D, MATCH(1, (AsistenciaJetAdminConcatenada!$A:$A=AG$2)*(AsistenciaJetAdminConcatenada!$B:$B=AG$1), 0)), 1))),  0.5, 0))</f>
        <v>1</v>
      </c>
      <c r="AH66" s="47">
        <f t="array" ref="AH66">IF(AND(ISNUMBER(MATCH(AH$2, AsistenciaJetAdminConcatenada!$A:$A, 0)), ISNUMBER(MATCH(AH$1, AsistenciaJetAdminConcatenada!$B:$B, 0)), ISNUMBER(SEARCH($A66,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ISNUMBER(SEARCH($A66, INDEX(AsistenciaJetAdminConcatenada!$D:$D, MATCH(1, (AsistenciaJetAdminConcatenada!$A:$A=AH$2)*(AsistenciaJetAdminConcatenada!$B:$B=AH$1), 0)), 1))),  0.5, 0))</f>
        <v>0</v>
      </c>
      <c r="AI66" s="47">
        <f t="array" ref="AI66">IF(AND(ISNUMBER(MATCH(AI$2, AsistenciaJetAdminConcatenada!$A:$A, 0)), ISNUMBER(MATCH(AI$1, AsistenciaJetAdminConcatenada!$B:$B, 0)), ISNUMBER(SEARCH($A66,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ISNUMBER(SEARCH($A66, INDEX(AsistenciaJetAdminConcatenada!$D:$D, MATCH(1, (AsistenciaJetAdminConcatenada!$A:$A=AI$2)*(AsistenciaJetAdminConcatenada!$B:$B=AI$1), 0)), 1))),  0.5, 0))</f>
        <v>1</v>
      </c>
      <c r="AJ66" s="47">
        <f t="array" ref="AJ66">IF(AND(ISNUMBER(MATCH(AJ$2, AsistenciaJetAdminConcatenada!$A:$A, 0)), ISNUMBER(MATCH(AJ$1, AsistenciaJetAdminConcatenada!$B:$B, 0)), ISNUMBER(SEARCH($A66,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ISNUMBER(SEARCH($A66, INDEX(AsistenciaJetAdminConcatenada!$D:$D, MATCH(1, (AsistenciaJetAdminConcatenada!$A:$A=AJ$2)*(AsistenciaJetAdminConcatenada!$B:$B=AJ$1), 0)), 1))),  0.5, 0))</f>
        <v>1</v>
      </c>
      <c r="AK66" s="47">
        <f t="array" ref="AK66">IF(AND(ISNUMBER(MATCH(AK$2, AsistenciaJetAdminConcatenada!$A:$A, 0)), ISNUMBER(MATCH(AK$1, AsistenciaJetAdminConcatenada!$B:$B, 0)), ISNUMBER(SEARCH($A66,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ISNUMBER(SEARCH($A66, INDEX(AsistenciaJetAdminConcatenada!$D:$D, MATCH(1, (AsistenciaJetAdminConcatenada!$A:$A=AK$2)*(AsistenciaJetAdminConcatenada!$B:$B=AK$1), 0)), 1))),  0.5, 0))</f>
        <v>1</v>
      </c>
      <c r="AL66" s="47">
        <f t="array" ref="AL66">IF(AND(ISNUMBER(MATCH(AL$2, AsistenciaJetAdminConcatenada!$A:$A, 0)), ISNUMBER(MATCH(AL$1, AsistenciaJetAdminConcatenada!$B:$B, 0)), ISNUMBER(SEARCH($A66,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ISNUMBER(SEARCH($A66, INDEX(AsistenciaJetAdminConcatenada!$D:$D, MATCH(1, (AsistenciaJetAdminConcatenada!$A:$A=AL$2)*(AsistenciaJetAdminConcatenada!$B:$B=AL$1), 0)), 1))),  0.5, 0))</f>
        <v>0</v>
      </c>
      <c r="AM66" s="47">
        <f t="array" ref="AM66">IF(AND(ISNUMBER(MATCH(AM$2, AsistenciaJetAdminConcatenada!$A:$A, 0)), ISNUMBER(MATCH(AM$1, AsistenciaJetAdminConcatenada!$B:$B, 0)), ISNUMBER(SEARCH($A66,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ISNUMBER(SEARCH($A66, INDEX(AsistenciaJetAdminConcatenada!$D:$D, MATCH(1, (AsistenciaJetAdminConcatenada!$A:$A=AM$2)*(AsistenciaJetAdminConcatenada!$B:$B=AM$1), 0)), 1))),  0.5, 0))</f>
        <v>0</v>
      </c>
      <c r="AN66" s="47">
        <f t="array" ref="AN66">IF(AND(ISNUMBER(MATCH(AN$2, AsistenciaJetAdminConcatenada!$A:$A, 0)), ISNUMBER(MATCH(AN$1, AsistenciaJetAdminConcatenada!$B:$B, 0)), ISNUMBER(SEARCH($A66,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ISNUMBER(SEARCH($A66, INDEX(AsistenciaJetAdminConcatenada!$D:$D, MATCH(1, (AsistenciaJetAdminConcatenada!$A:$A=AN$2)*(AsistenciaJetAdminConcatenada!$B:$B=AN$1), 0)), 1))),  0.5, 0))</f>
        <v>0</v>
      </c>
      <c r="AO66" s="47">
        <f t="array" ref="AO66">IF(AND(ISNUMBER(MATCH(AO$2, AsistenciaJetAdminConcatenada!$A:$A, 0)), ISNUMBER(MATCH(AO$1, AsistenciaJetAdminConcatenada!$B:$B, 0)), ISNUMBER(SEARCH($A66,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ISNUMBER(SEARCH($A66, INDEX(AsistenciaJetAdminConcatenada!$D:$D, MATCH(1, (AsistenciaJetAdminConcatenada!$A:$A=AO$2)*(AsistenciaJetAdminConcatenada!$B:$B=AO$1), 0)), 1))),  0.5, 0))</f>
        <v>1</v>
      </c>
      <c r="AP66" s="47">
        <f t="array" ref="AP66">IF(AND(ISNUMBER(MATCH(AP$2, AsistenciaJetAdminConcatenada!$A:$A, 0)), ISNUMBER(MATCH(AP$1, AsistenciaJetAdminConcatenada!$B:$B, 0)), ISNUMBER(SEARCH($A66,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ISNUMBER(SEARCH($A66, INDEX(AsistenciaJetAdminConcatenada!$D:$D, MATCH(1, (AsistenciaJetAdminConcatenada!$A:$A=AP$2)*(AsistenciaJetAdminConcatenada!$B:$B=AP$1), 0)), 1))),  0.5, 0))</f>
        <v>1</v>
      </c>
      <c r="AQ66" s="47">
        <f t="array" ref="AQ66">IF(AND(ISNUMBER(MATCH(AQ$2, AsistenciaJetAdminConcatenada!$A:$A, 0)), ISNUMBER(MATCH(AQ$1, AsistenciaJetAdminConcatenada!$B:$B, 0)), ISNUMBER(SEARCH($A66,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ISNUMBER(SEARCH($A66, INDEX(AsistenciaJetAdminConcatenada!$D:$D, MATCH(1, (AsistenciaJetAdminConcatenada!$A:$A=AQ$2)*(AsistenciaJetAdminConcatenada!$B:$B=AQ$1), 0)), 1))),  0.5, 0))</f>
        <v>0</v>
      </c>
      <c r="AR66" s="47">
        <f t="array" ref="AR66">IF(AND(ISNUMBER(MATCH(AR$2, AsistenciaJetAdminConcatenada!$A:$A, 0)), ISNUMBER(MATCH(AR$1, AsistenciaJetAdminConcatenada!$B:$B, 0)), ISNUMBER(SEARCH($A66,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ISNUMBER(SEARCH($A66, INDEX(AsistenciaJetAdminConcatenada!$D:$D, MATCH(1, (AsistenciaJetAdminConcatenada!$A:$A=AR$2)*(AsistenciaJetAdminConcatenada!$B:$B=AR$1), 0)), 1))),  0.5, 0))</f>
        <v>1</v>
      </c>
      <c r="AS66" s="47">
        <f t="array" ref="AS66">IF(AND(ISNUMBER(MATCH(AS$2, AsistenciaJetAdminConcatenada!$A:$A, 0)), ISNUMBER(MATCH(AS$1, AsistenciaJetAdminConcatenada!$B:$B, 0)), ISNUMBER(SEARCH($A66,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ISNUMBER(SEARCH($A66, INDEX(AsistenciaJetAdminConcatenada!$D:$D, MATCH(1, (AsistenciaJetAdminConcatenada!$A:$A=AS$2)*(AsistenciaJetAdminConcatenada!$B:$B=AS$1), 0)), 1))),  0.5, 0))</f>
        <v>1</v>
      </c>
      <c r="AT66" s="47">
        <f t="array" ref="AT66">IF(AND(ISNUMBER(MATCH(AT$2, AsistenciaJetAdminConcatenada!$A:$A, 0)), ISNUMBER(MATCH(AT$1, AsistenciaJetAdminConcatenada!$B:$B, 0)), ISNUMBER(SEARCH($A66,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ISNUMBER(SEARCH($A66, INDEX(AsistenciaJetAdminConcatenada!$D:$D, MATCH(1, (AsistenciaJetAdminConcatenada!$A:$A=AT$2)*(AsistenciaJetAdminConcatenada!$B:$B=AT$1), 0)), 1))),  0.5, 0))</f>
        <v>1</v>
      </c>
      <c r="AU66" s="47">
        <f t="array" ref="AU66">IF(AND(ISNUMBER(MATCH(AU$2, AsistenciaJetAdminConcatenada!$A:$A, 0)), ISNUMBER(MATCH(AU$1, AsistenciaJetAdminConcatenada!$B:$B, 0)), ISNUMBER(SEARCH($A66,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ISNUMBER(SEARCH($A66, INDEX(AsistenciaJetAdminConcatenada!$D:$D, MATCH(1, (AsistenciaJetAdminConcatenada!$A:$A=AU$2)*(AsistenciaJetAdminConcatenada!$B:$B=AU$1), 0)), 1))),  0.5, 0))</f>
        <v>1</v>
      </c>
      <c r="AV66" s="47">
        <f t="array" ref="AV66">IF(AND(ISNUMBER(MATCH(AV$2, AsistenciaJetAdminConcatenada!$A:$A, 0)), ISNUMBER(MATCH(AV$1, AsistenciaJetAdminConcatenada!$B:$B, 0)), ISNUMBER(SEARCH($A66,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ISNUMBER(SEARCH($A66, INDEX(AsistenciaJetAdminConcatenada!$D:$D, MATCH(1, (AsistenciaJetAdminConcatenada!$A:$A=AV$2)*(AsistenciaJetAdminConcatenada!$B:$B=AV$1), 0)), 1))),  0.5, 0))</f>
        <v>1</v>
      </c>
      <c r="AW66" s="47">
        <f t="array" ref="AW66">IF(AND(ISNUMBER(MATCH(AW$2, AsistenciaJetAdminConcatenada!$A:$A, 0)), ISNUMBER(MATCH(AW$1, AsistenciaJetAdminConcatenada!$B:$B, 0)), ISNUMBER(SEARCH($A66,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ISNUMBER(SEARCH($A66, INDEX(AsistenciaJetAdminConcatenada!$D:$D, MATCH(1, (AsistenciaJetAdminConcatenada!$A:$A=AW$2)*(AsistenciaJetAdminConcatenada!$B:$B=AW$1), 0)), 1))),  0.5, 0))</f>
        <v>0</v>
      </c>
      <c r="AX66" s="47">
        <f t="array" ref="AX66">IF(AND(ISNUMBER(MATCH(AX$2, AsistenciaJetAdminConcatenada!$A:$A, 0)), ISNUMBER(MATCH(AX$1, AsistenciaJetAdminConcatenada!$B:$B, 0)), ISNUMBER(SEARCH($A66,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ISNUMBER(SEARCH($A66, INDEX(AsistenciaJetAdminConcatenada!$D:$D, MATCH(1, (AsistenciaJetAdminConcatenada!$A:$A=AX$2)*(AsistenciaJetAdminConcatenada!$B:$B=AX$1), 0)), 1))),  0.5, 0))</f>
        <v>0</v>
      </c>
      <c r="AY66" s="47">
        <f t="array" ref="AY66">IF(AND(ISNUMBER(MATCH(AY$2, AsistenciaJetAdminConcatenada!$A:$A, 0)), ISNUMBER(MATCH(AY$1, AsistenciaJetAdminConcatenada!$B:$B, 0)), ISNUMBER(SEARCH($A66,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ISNUMBER(SEARCH($A66, INDEX(AsistenciaJetAdminConcatenada!$D:$D, MATCH(1, (AsistenciaJetAdminConcatenada!$A:$A=AY$2)*(AsistenciaJetAdminConcatenada!$B:$B=AY$1), 0)), 1))),  0.5, 0))</f>
        <v>1</v>
      </c>
      <c r="AZ66" s="47">
        <f t="array" ref="AZ66">IF(AND(ISNUMBER(MATCH(AZ$2, AsistenciaJetAdminConcatenada!$A:$A, 0)), ISNUMBER(MATCH(AZ$1, AsistenciaJetAdminConcatenada!$B:$B, 0)), ISNUMBER(SEARCH($A66,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ISNUMBER(SEARCH($A66, INDEX(AsistenciaJetAdminConcatenada!$D:$D, MATCH(1, (AsistenciaJetAdminConcatenada!$A:$A=AZ$2)*(AsistenciaJetAdminConcatenada!$B:$B=AZ$1), 0)), 1))),  0.5, 0))</f>
        <v>1</v>
      </c>
      <c r="BA66" s="47">
        <f t="array" ref="BA66">IF(AND(ISNUMBER(MATCH(BA$2, AsistenciaJetAdminConcatenada!$A:$A, 0)), ISNUMBER(MATCH(BA$1, AsistenciaJetAdminConcatenada!$B:$B, 0)), ISNUMBER(SEARCH($A66,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ISNUMBER(SEARCH($A66, INDEX(AsistenciaJetAdminConcatenada!$D:$D, MATCH(1, (AsistenciaJetAdminConcatenada!$A:$A=BA$2)*(AsistenciaJetAdminConcatenada!$B:$B=BA$1), 0)), 1))),  0.5, 0))</f>
        <v>1</v>
      </c>
      <c r="BB66" s="47">
        <f t="array" ref="BB66">IF(AND(ISNUMBER(MATCH(BB$2, AsistenciaJetAdminConcatenada!$A:$A, 0)), ISNUMBER(MATCH(BB$1, AsistenciaJetAdminConcatenada!$B:$B, 0)), ISNUMBER(SEARCH($A66,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ISNUMBER(SEARCH($A66, INDEX(AsistenciaJetAdminConcatenada!$D:$D, MATCH(1, (AsistenciaJetAdminConcatenada!$A:$A=BB$2)*(AsistenciaJetAdminConcatenada!$B:$B=BB$1), 0)), 1))),  0.5, 0))</f>
        <v>1</v>
      </c>
      <c r="BC66" s="47">
        <f t="array" ref="BC66">IF(AND(ISNUMBER(MATCH(BC$2, AsistenciaJetAdminConcatenada!$A:$A, 0)), ISNUMBER(MATCH(BC$1, AsistenciaJetAdminConcatenada!$B:$B, 0)), ISNUMBER(SEARCH($A66,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ISNUMBER(SEARCH($A66, INDEX(AsistenciaJetAdminConcatenada!$D:$D, MATCH(1, (AsistenciaJetAdminConcatenada!$A:$A=BC$2)*(AsistenciaJetAdminConcatenada!$B:$B=BC$1), 0)), 1))),  0.5, 0))</f>
        <v>1</v>
      </c>
      <c r="BD66" s="47">
        <f t="array" ref="BD66">IF(AND(ISNUMBER(MATCH(BD$2, AsistenciaJetAdminConcatenada!$A:$A, 0)), ISNUMBER(MATCH(BD$1, AsistenciaJetAdminConcatenada!$B:$B, 0)), ISNUMBER(SEARCH($A66,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ISNUMBER(SEARCH($A66, INDEX(AsistenciaJetAdminConcatenada!$D:$D, MATCH(1, (AsistenciaJetAdminConcatenada!$A:$A=BD$2)*(AsistenciaJetAdminConcatenada!$B:$B=BD$1), 0)), 1))),  0.5, 0))</f>
        <v>0</v>
      </c>
      <c r="BE66" s="47">
        <f t="array" ref="BE66">IF(AND(ISNUMBER(MATCH(BE$2, AsistenciaJetAdminConcatenada!$A:$A, 0)), ISNUMBER(MATCH(BE$1, AsistenciaJetAdminConcatenada!$B:$B, 0)), ISNUMBER(SEARCH($A66,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ISNUMBER(SEARCH($A66, INDEX(AsistenciaJetAdminConcatenada!$D:$D, MATCH(1, (AsistenciaJetAdminConcatenada!$A:$A=BE$2)*(AsistenciaJetAdminConcatenada!$B:$B=BE$1), 0)), 1))),  0.5, 0))</f>
        <v>1</v>
      </c>
      <c r="BF66" s="47">
        <f t="array" ref="BF66">IF(AND(ISNUMBER(MATCH(BF$2, AsistenciaJetAdminConcatenada!$A:$A, 0)), ISNUMBER(MATCH(BF$1, AsistenciaJetAdminConcatenada!$B:$B, 0)), ISNUMBER(SEARCH($A66,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ISNUMBER(SEARCH($A66, INDEX(AsistenciaJetAdminConcatenada!$D:$D, MATCH(1, (AsistenciaJetAdminConcatenada!$A:$A=BF$2)*(AsistenciaJetAdminConcatenada!$B:$B=BF$1), 0)), 1))),  0.5, 0))</f>
        <v>1</v>
      </c>
      <c r="BG66" s="47">
        <f t="array" ref="BG66">IF(AND(ISNUMBER(MATCH(BG$2, AsistenciaJetAdminConcatenada!$A:$A, 0)), ISNUMBER(MATCH(BG$1, AsistenciaJetAdminConcatenada!$B:$B, 0)), ISNUMBER(SEARCH($A66,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ISNUMBER(SEARCH($A66, INDEX(AsistenciaJetAdminConcatenada!$D:$D, MATCH(1, (AsistenciaJetAdminConcatenada!$A:$A=BG$2)*(AsistenciaJetAdminConcatenada!$B:$B=BG$1), 0)), 1))),  0.5, 0))</f>
        <v>0.5</v>
      </c>
      <c r="BH66" s="47">
        <f t="array" ref="BH66">IF(AND(ISNUMBER(MATCH(BH$2, AsistenciaJetAdminConcatenada!$A:$A, 0)), ISNUMBER(MATCH(BH$1, AsistenciaJetAdminConcatenada!$B:$B, 0)), ISNUMBER(SEARCH($A66,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ISNUMBER(SEARCH($A66, INDEX(AsistenciaJetAdminConcatenada!$D:$D, MATCH(1, (AsistenciaJetAdminConcatenada!$A:$A=BH$2)*(AsistenciaJetAdminConcatenada!$B:$B=BH$1), 0)), 1))),  0.5, 0))</f>
        <v>1</v>
      </c>
      <c r="BI66" s="47">
        <f t="array" ref="BI66">IF(AND(ISNUMBER(MATCH(BI$2, AsistenciaJetAdminConcatenada!$A:$A, 0)), ISNUMBER(MATCH(BI$1, AsistenciaJetAdminConcatenada!$B:$B, 0)), ISNUMBER(SEARCH($A66,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ISNUMBER(SEARCH($A66, INDEX(AsistenciaJetAdminConcatenada!$D:$D, MATCH(1, (AsistenciaJetAdminConcatenada!$A:$A=BI$2)*(AsistenciaJetAdminConcatenada!$B:$B=BI$1), 0)), 1))),  0.5, 0))</f>
        <v>1</v>
      </c>
      <c r="BJ66" s="47">
        <f t="array" ref="BJ66">IF(AND(ISNUMBER(MATCH(BJ$2, AsistenciaJetAdminConcatenada!$A:$A, 0)), ISNUMBER(MATCH(BJ$1, AsistenciaJetAdminConcatenada!$B:$B, 0)), ISNUMBER(SEARCH($A66,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ISNUMBER(SEARCH($A66, INDEX(AsistenciaJetAdminConcatenada!$D:$D, MATCH(1, (AsistenciaJetAdminConcatenada!$A:$A=BJ$2)*(AsistenciaJetAdminConcatenada!$B:$B=BJ$1), 0)), 1))),  0.5, 0))</f>
        <v>1</v>
      </c>
      <c r="BK66" s="47">
        <f t="array" ref="BK66">IF(AND(ISNUMBER(MATCH(BK$2, AsistenciaJetAdminConcatenada!$A:$A, 0)), ISNUMBER(MATCH(BK$1, AsistenciaJetAdminConcatenada!$B:$B, 0)), ISNUMBER(SEARCH($A66,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ISNUMBER(SEARCH($A66, INDEX(AsistenciaJetAdminConcatenada!$D:$D, MATCH(1, (AsistenciaJetAdminConcatenada!$A:$A=BK$2)*(AsistenciaJetAdminConcatenada!$B:$B=BK$1), 0)), 1))),  0.5, 0))</f>
        <v>1</v>
      </c>
      <c r="BL66" s="47">
        <f t="array" ref="BL66">IF(AND(ISNUMBER(MATCH(BL$2, AsistenciaJetAdminConcatenada!$A:$A, 0)), ISNUMBER(MATCH(BL$1, AsistenciaJetAdminConcatenada!$B:$B, 0)), ISNUMBER(SEARCH($A66,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ISNUMBER(SEARCH($A66, INDEX(AsistenciaJetAdminConcatenada!$D:$D, MATCH(1, (AsistenciaJetAdminConcatenada!$A:$A=BL$2)*(AsistenciaJetAdminConcatenada!$B:$B=BL$1), 0)), 1))),  0.5, 0))</f>
        <v>1</v>
      </c>
      <c r="BM66" s="47">
        <f t="array" ref="BM66">IF(AND(ISNUMBER(MATCH(BM$2, AsistenciaJetAdminConcatenada!$A:$A, 0)), ISNUMBER(MATCH(BM$1, AsistenciaJetAdminConcatenada!$B:$B, 0)), ISNUMBER(SEARCH($A66,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ISNUMBER(SEARCH($A66, INDEX(AsistenciaJetAdminConcatenada!$D:$D, MATCH(1, (AsistenciaJetAdminConcatenada!$A:$A=BM$2)*(AsistenciaJetAdminConcatenada!$B:$B=BM$1), 0)), 1))),  0.5, 0))</f>
        <v>1</v>
      </c>
      <c r="BN66" s="47">
        <f t="array" ref="BN66">IF(AND(ISNUMBER(MATCH(BN$2, AsistenciaJetAdminConcatenada!$A:$A, 0)), ISNUMBER(MATCH(BN$1, AsistenciaJetAdminConcatenada!$B:$B, 0)), ISNUMBER(SEARCH($A66,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ISNUMBER(SEARCH($A66, INDEX(AsistenciaJetAdminConcatenada!$D:$D, MATCH(1, (AsistenciaJetAdminConcatenada!$A:$A=BN$2)*(AsistenciaJetAdminConcatenada!$B:$B=BN$1), 0)), 1))),  0.5, 0))</f>
        <v>0</v>
      </c>
      <c r="BO66" s="47">
        <f t="array" ref="BO66">IF(AND(ISNUMBER(MATCH(BO$2, AsistenciaJetAdminConcatenada!$A:$A, 0)), ISNUMBER(MATCH(BO$1, AsistenciaJetAdminConcatenada!$B:$B, 0)), ISNUMBER(SEARCH($A66,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ISNUMBER(SEARCH($A66, INDEX(AsistenciaJetAdminConcatenada!$D:$D, MATCH(1, (AsistenciaJetAdminConcatenada!$A:$A=BO$2)*(AsistenciaJetAdminConcatenada!$B:$B=BO$1), 0)), 1))),  0.5, 0))</f>
        <v>0</v>
      </c>
      <c r="BP66" s="47">
        <f t="array" ref="BP66">IF(AND(ISNUMBER(MATCH(BP$2, AsistenciaJetAdminConcatenada!$A:$A, 0)), ISNUMBER(MATCH(BP$1, AsistenciaJetAdminConcatenada!$B:$B, 0)), ISNUMBER(SEARCH($A66,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ISNUMBER(SEARCH($A66, INDEX(AsistenciaJetAdminConcatenada!$D:$D, MATCH(1, (AsistenciaJetAdminConcatenada!$A:$A=BP$2)*(AsistenciaJetAdminConcatenada!$B:$B=BP$1), 0)), 1))),  0.5, 0))</f>
        <v>0</v>
      </c>
      <c r="BQ66" s="47">
        <f t="array" ref="BQ66">IF(AND(ISNUMBER(MATCH(BQ$2, AsistenciaJetAdminConcatenada!$A:$A, 0)), ISNUMBER(MATCH(BQ$1, AsistenciaJetAdminConcatenada!$B:$B, 0)), ISNUMBER(SEARCH($A66,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ISNUMBER(SEARCH($A66, INDEX(AsistenciaJetAdminConcatenada!$D:$D, MATCH(1, (AsistenciaJetAdminConcatenada!$A:$A=BQ$2)*(AsistenciaJetAdminConcatenada!$B:$B=BQ$1), 0)), 1))),  0.5, 0))</f>
        <v>1</v>
      </c>
      <c r="BR66" s="47">
        <f t="array" ref="BR66">IF(AND(ISNUMBER(MATCH(BR$2, AsistenciaJetAdminConcatenada!$A:$A, 0)), ISNUMBER(MATCH(BR$1, AsistenciaJetAdminConcatenada!$B:$B, 0)), ISNUMBER(SEARCH($A66,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ISNUMBER(SEARCH($A66, INDEX(AsistenciaJetAdminConcatenada!$D:$D, MATCH(1, (AsistenciaJetAdminConcatenada!$A:$A=BR$2)*(AsistenciaJetAdminConcatenada!$B:$B=BR$1), 0)), 1))),  0.5, 0))</f>
        <v>0</v>
      </c>
      <c r="BS66" s="47">
        <f t="array" ref="BS66">IF(AND(ISNUMBER(MATCH(BS$2, AsistenciaJetAdminConcatenada!$A:$A, 0)), ISNUMBER(MATCH(BS$1, AsistenciaJetAdminConcatenada!$B:$B, 0)), ISNUMBER(SEARCH($A66,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ISNUMBER(SEARCH($A66, INDEX(AsistenciaJetAdminConcatenada!$D:$D, MATCH(1, (AsistenciaJetAdminConcatenada!$A:$A=BS$2)*(AsistenciaJetAdminConcatenada!$B:$B=BS$1), 0)), 1))),  0.5, 0))</f>
        <v>0</v>
      </c>
      <c r="BT66" s="47">
        <f t="array" ref="BT66">IF(AND(ISNUMBER(MATCH(BT$2, AsistenciaJetAdminConcatenada!$A:$A, 0)), ISNUMBER(MATCH(BT$1, AsistenciaJetAdminConcatenada!$B:$B, 0)), ISNUMBER(SEARCH($A66,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ISNUMBER(SEARCH($A66, INDEX(AsistenciaJetAdminConcatenada!$D:$D, MATCH(1, (AsistenciaJetAdminConcatenada!$A:$A=BT$2)*(AsistenciaJetAdminConcatenada!$B:$B=BT$1), 0)), 1))),  0.5, 0))</f>
        <v>1</v>
      </c>
      <c r="BU66" s="47">
        <f t="array" ref="BU66">IF(AND(ISNUMBER(MATCH(BU$2, AsistenciaJetAdminConcatenada!$A:$A, 0)), ISNUMBER(MATCH(BU$1, AsistenciaJetAdminConcatenada!$B:$B, 0)), ISNUMBER(SEARCH($A66,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ISNUMBER(SEARCH($A66, INDEX(AsistenciaJetAdminConcatenada!$D:$D, MATCH(1, (AsistenciaJetAdminConcatenada!$A:$A=BU$2)*(AsistenciaJetAdminConcatenada!$B:$B=BU$1), 0)), 1))),  0.5, 0))</f>
        <v>1</v>
      </c>
      <c r="BV66" s="47">
        <f t="array" ref="BV66">IF(AND(ISNUMBER(MATCH(BV$2, AsistenciaJetAdminConcatenada!$A:$A, 0)), ISNUMBER(MATCH(BV$1, AsistenciaJetAdminConcatenada!$B:$B, 0)), ISNUMBER(SEARCH($A66,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ISNUMBER(SEARCH($A66, INDEX(AsistenciaJetAdminConcatenada!$D:$D, MATCH(1, (AsistenciaJetAdminConcatenada!$A:$A=BV$2)*(AsistenciaJetAdminConcatenada!$B:$B=BV$1), 0)), 1))),  0.5, 0))</f>
        <v>1</v>
      </c>
      <c r="BW66" s="47">
        <f t="array" ref="BW66">IF(AND(ISNUMBER(MATCH(BW$2, AsistenciaJetAdminConcatenada!$A:$A, 0)), ISNUMBER(MATCH(BW$1, AsistenciaJetAdminConcatenada!$B:$B, 0)), ISNUMBER(SEARCH($A66,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ISNUMBER(SEARCH($A66, INDEX(AsistenciaJetAdminConcatenada!$D:$D, MATCH(1, (AsistenciaJetAdminConcatenada!$A:$A=BW$2)*(AsistenciaJetAdminConcatenada!$B:$B=BW$1), 0)), 1))),  0.5, 0))</f>
        <v>1</v>
      </c>
      <c r="BX66" s="47">
        <f t="array" ref="BX66">IF(AND(ISNUMBER(MATCH(BX$2, AsistenciaJetAdminConcatenada!$A:$A, 0)), ISNUMBER(MATCH(BX$1, AsistenciaJetAdminConcatenada!$B:$B, 0)), ISNUMBER(SEARCH($A66,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ISNUMBER(SEARCH($A66, INDEX(AsistenciaJetAdminConcatenada!$D:$D, MATCH(1, (AsistenciaJetAdminConcatenada!$A:$A=BX$2)*(AsistenciaJetAdminConcatenada!$B:$B=BX$1), 0)), 1))),  0.5, 0))</f>
        <v>1</v>
      </c>
      <c r="BY66" s="47">
        <f t="array" ref="BY66">IF(AND(ISNUMBER(MATCH(BY$2, AsistenciaJetAdminConcatenada!$A:$A, 0)), ISNUMBER(MATCH(BY$1, AsistenciaJetAdminConcatenada!$B:$B, 0)), ISNUMBER(SEARCH($A66,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ISNUMBER(SEARCH($A66, INDEX(AsistenciaJetAdminConcatenada!$D:$D, MATCH(1, (AsistenciaJetAdminConcatenada!$A:$A=BY$2)*(AsistenciaJetAdminConcatenada!$B:$B=BY$1), 0)), 1))),  0.5, 0))</f>
        <v>0</v>
      </c>
      <c r="BZ66" s="47">
        <f t="array" ref="BZ66">IF(AND(ISNUMBER(MATCH(BZ$2, AsistenciaJetAdminConcatenada!$A:$A, 0)), ISNUMBER(MATCH(BZ$1, AsistenciaJetAdminConcatenada!$B:$B, 0)), ISNUMBER(SEARCH($A66,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ISNUMBER(SEARCH($A66, INDEX(AsistenciaJetAdminConcatenada!$D:$D, MATCH(1, (AsistenciaJetAdminConcatenada!$A:$A=BZ$2)*(AsistenciaJetAdminConcatenada!$B:$B=BZ$1), 0)), 1))),  0.5, 0))</f>
        <v>0</v>
      </c>
      <c r="CA66" s="47">
        <f t="array" ref="CA66">IF(AND(ISNUMBER(MATCH(CA$2, AsistenciaJetAdminConcatenada!$A:$A, 0)), ISNUMBER(MATCH(CA$1, AsistenciaJetAdminConcatenada!$B:$B, 0)), ISNUMBER(SEARCH($A66,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ISNUMBER(SEARCH($A66, INDEX(AsistenciaJetAdminConcatenada!$D:$D, MATCH(1, (AsistenciaJetAdminConcatenada!$A:$A=CA$2)*(AsistenciaJetAdminConcatenada!$B:$B=CA$1), 0)), 1))),  0.5, 0))</f>
        <v>1</v>
      </c>
      <c r="CB66" s="47">
        <f t="array" ref="CB66">IF(AND(ISNUMBER(MATCH(CB$2, AsistenciaJetAdminConcatenada!$A:$A, 0)), ISNUMBER(MATCH(CB$1, AsistenciaJetAdminConcatenada!$B:$B, 0)), ISNUMBER(SEARCH($A66,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ISNUMBER(SEARCH($A66, INDEX(AsistenciaJetAdminConcatenada!$D:$D, MATCH(1, (AsistenciaJetAdminConcatenada!$A:$A=CB$2)*(AsistenciaJetAdminConcatenada!$B:$B=CB$1), 0)), 1))),  0.5, 0))</f>
        <v>0</v>
      </c>
      <c r="CC66" s="47">
        <f t="array" ref="CC66">IF(AND(ISNUMBER(MATCH(CC$2, AsistenciaJetAdminConcatenada!$A:$A, 0)), ISNUMBER(MATCH(CC$1, AsistenciaJetAdminConcatenada!$B:$B, 0)), ISNUMBER(SEARCH($A66,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ISNUMBER(SEARCH($A66, INDEX(AsistenciaJetAdminConcatenada!$D:$D, MATCH(1, (AsistenciaJetAdminConcatenada!$A:$A=CC$2)*(AsistenciaJetAdminConcatenada!$B:$B=CC$1), 0)), 1))),  0.5, 0))</f>
        <v>1</v>
      </c>
      <c r="CD66" s="47">
        <f t="array" ref="CD66">IF(AND(ISNUMBER(MATCH(CD$2, AsistenciaJetAdminConcatenada!$A:$A, 0)), ISNUMBER(MATCH(CD$1, AsistenciaJetAdminConcatenada!$B:$B, 0)), ISNUMBER(SEARCH($A66,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ISNUMBER(SEARCH($A66, INDEX(AsistenciaJetAdminConcatenada!$D:$D, MATCH(1, (AsistenciaJetAdminConcatenada!$A:$A=CD$2)*(AsistenciaJetAdminConcatenada!$B:$B=CD$1), 0)), 1))),  0.5, 0))</f>
        <v>1</v>
      </c>
      <c r="CE66" s="47">
        <f t="array" ref="CE66">IF(AND(ISNUMBER(MATCH(CE$2, AsistenciaJetAdminConcatenada!$A:$A, 0)), ISNUMBER(MATCH(CE$1, AsistenciaJetAdminConcatenada!$B:$B, 0)), ISNUMBER(SEARCH($A66,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ISNUMBER(SEARCH($A66, INDEX(AsistenciaJetAdminConcatenada!$D:$D, MATCH(1, (AsistenciaJetAdminConcatenada!$A:$A=CE$2)*(AsistenciaJetAdminConcatenada!$B:$B=CE$1), 0)), 1))),  0.5, 0))</f>
        <v>1</v>
      </c>
      <c r="CF66" s="47">
        <f t="array" ref="CF66">IF(AND(ISNUMBER(MATCH(CF$2, AsistenciaJetAdminConcatenada!$A:$A, 0)), ISNUMBER(MATCH(CF$1, AsistenciaJetAdminConcatenada!$B:$B, 0)), ISNUMBER(SEARCH($A66,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ISNUMBER(SEARCH($A66, INDEX(AsistenciaJetAdminConcatenada!$D:$D, MATCH(1, (AsistenciaJetAdminConcatenada!$A:$A=CF$2)*(AsistenciaJetAdminConcatenada!$B:$B=CF$1), 0)), 1))),  0.5, 0))</f>
        <v>0</v>
      </c>
      <c r="CG66" s="47">
        <f t="array" ref="CG66">IF(AND(ISNUMBER(MATCH(CG$2, AsistenciaJetAdminConcatenada!$A:$A, 0)), ISNUMBER(MATCH(CG$1, AsistenciaJetAdminConcatenada!$B:$B, 0)), ISNUMBER(SEARCH($A66,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ISNUMBER(SEARCH($A66, INDEX(AsistenciaJetAdminConcatenada!$D:$D, MATCH(1, (AsistenciaJetAdminConcatenada!$A:$A=CG$2)*(AsistenciaJetAdminConcatenada!$B:$B=CG$1), 0)), 1))),  0.5, 0))</f>
        <v>1</v>
      </c>
      <c r="CH66" s="47">
        <f t="array" ref="CH66">IF(AND(ISNUMBER(MATCH(CH$2, AsistenciaJetAdminConcatenada!$A:$A, 0)), ISNUMBER(MATCH(CH$1, AsistenciaJetAdminConcatenada!$B:$B, 0)), ISNUMBER(SEARCH($A66,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ISNUMBER(SEARCH($A66, INDEX(AsistenciaJetAdminConcatenada!$D:$D, MATCH(1, (AsistenciaJetAdminConcatenada!$A:$A=CH$2)*(AsistenciaJetAdminConcatenada!$B:$B=CH$1), 0)), 1))),  0.5, 0))</f>
        <v>0.5</v>
      </c>
      <c r="CI66" s="47">
        <f t="array" ref="CI66">IF(AND(ISNUMBER(MATCH(CI$2, AsistenciaJetAdminConcatenada!$A:$A, 0)), ISNUMBER(MATCH(CI$1, AsistenciaJetAdminConcatenada!$B:$B, 0)), ISNUMBER(SEARCH($A66,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ISNUMBER(SEARCH($A66, INDEX(AsistenciaJetAdminConcatenada!$D:$D, MATCH(1, (AsistenciaJetAdminConcatenada!$A:$A=CI$2)*(AsistenciaJetAdminConcatenada!$B:$B=CI$1), 0)), 1))),  0.5, 0))</f>
        <v>1</v>
      </c>
      <c r="CJ66" s="47">
        <f t="array" ref="CJ66">IF(AND(ISNUMBER(MATCH(CJ$2, AsistenciaJetAdminConcatenada!$A:$A, 0)), ISNUMBER(MATCH(CJ$1, AsistenciaJetAdminConcatenada!$B:$B, 0)), ISNUMBER(SEARCH($A66,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ISNUMBER(SEARCH($A66, INDEX(AsistenciaJetAdminConcatenada!$D:$D, MATCH(1, (AsistenciaJetAdminConcatenada!$A:$A=CJ$2)*(AsistenciaJetAdminConcatenada!$B:$B=CJ$1), 0)), 1))),  0.5, 0))</f>
        <v>1</v>
      </c>
      <c r="CK66" s="47">
        <f t="array" ref="CK66">IF(AND(ISNUMBER(MATCH(CK$2, AsistenciaJetAdminConcatenada!$A:$A, 0)), ISNUMBER(MATCH(CK$1, AsistenciaJetAdminConcatenada!$B:$B, 0)), ISNUMBER(SEARCH($A66,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ISNUMBER(SEARCH($A66, INDEX(AsistenciaJetAdminConcatenada!$D:$D, MATCH(1, (AsistenciaJetAdminConcatenada!$A:$A=CK$2)*(AsistenciaJetAdminConcatenada!$B:$B=CK$1), 0)), 1))),  0.5, 0))</f>
        <v>1</v>
      </c>
      <c r="CL66" s="47">
        <f t="array" ref="CL66">IF(AND(ISNUMBER(MATCH(CL$2, AsistenciaJetAdminConcatenada!$A:$A, 0)), ISNUMBER(MATCH(CL$1, AsistenciaJetAdminConcatenada!$B:$B, 0)), ISNUMBER(SEARCH($A66,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ISNUMBER(SEARCH($A66, INDEX(AsistenciaJetAdminConcatenada!$D:$D, MATCH(1, (AsistenciaJetAdminConcatenada!$A:$A=CL$2)*(AsistenciaJetAdminConcatenada!$B:$B=CL$1), 0)), 1))),  0.5, 0))</f>
        <v>1</v>
      </c>
      <c r="CM66" s="47">
        <f t="array" ref="CM66">IF(AND(ISNUMBER(MATCH(CM$2, AsistenciaJetAdminConcatenada!$A:$A, 0)), ISNUMBER(MATCH(CM$1, AsistenciaJetAdminConcatenada!$B:$B, 0)), ISNUMBER(SEARCH($A66,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ISNUMBER(SEARCH($A66, INDEX(AsistenciaJetAdminConcatenada!$D:$D, MATCH(1, (AsistenciaJetAdminConcatenada!$A:$A=CM$2)*(AsistenciaJetAdminConcatenada!$B:$B=CM$1), 0)), 1))),  0.5, 0))</f>
        <v>1</v>
      </c>
      <c r="CN66" s="47">
        <f t="array" ref="CN66">IF(AND(ISNUMBER(MATCH(CN$2, AsistenciaJetAdminConcatenada!$A:$A, 0)), ISNUMBER(MATCH(CN$1, AsistenciaJetAdminConcatenada!$B:$B, 0)), ISNUMBER(SEARCH($A66,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ISNUMBER(SEARCH($A66, INDEX(AsistenciaJetAdminConcatenada!$D:$D, MATCH(1, (AsistenciaJetAdminConcatenada!$A:$A=CN$2)*(AsistenciaJetAdminConcatenada!$B:$B=CN$1), 0)), 1))),  0.5, 0))</f>
        <v>0</v>
      </c>
      <c r="CO66" s="47">
        <f t="array" ref="CO66">IF(AND(ISNUMBER(MATCH(CO$2, AsistenciaJetAdminConcatenada!$A:$A, 0)), ISNUMBER(MATCH(CO$1, AsistenciaJetAdminConcatenada!$B:$B, 0)), ISNUMBER(SEARCH($A66,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ISNUMBER(SEARCH($A66, INDEX(AsistenciaJetAdminConcatenada!$D:$D, MATCH(1, (AsistenciaJetAdminConcatenada!$A:$A=CO$2)*(AsistenciaJetAdminConcatenada!$B:$B=CO$1), 0)), 1))),  0.5, 0))</f>
        <v>1</v>
      </c>
      <c r="CP66" s="47">
        <f t="array" ref="CP66">IF(AND(ISNUMBER(MATCH(CP$2, AsistenciaJetAdminConcatenada!$A:$A, 0)), ISNUMBER(MATCH(CP$1, AsistenciaJetAdminConcatenada!$B:$B, 0)), ISNUMBER(SEARCH($A66,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ISNUMBER(SEARCH($A66, INDEX(AsistenciaJetAdminConcatenada!$D:$D, MATCH(1, (AsistenciaJetAdminConcatenada!$A:$A=CP$2)*(AsistenciaJetAdminConcatenada!$B:$B=CP$1), 0)), 1))),  0.5, 0))</f>
        <v>0</v>
      </c>
      <c r="CQ66" s="47">
        <f t="array" ref="CQ66">IF(AND(ISNUMBER(MATCH(CQ$2, AsistenciaJetAdminConcatenada!$A:$A, 0)), ISNUMBER(MATCH(CQ$1, AsistenciaJetAdminConcatenada!$B:$B, 0)), ISNUMBER(SEARCH($A66,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ISNUMBER(SEARCH($A66, INDEX(AsistenciaJetAdminConcatenada!$D:$D, MATCH(1, (AsistenciaJetAdminConcatenada!$A:$A=CQ$2)*(AsistenciaJetAdminConcatenada!$B:$B=CQ$1), 0)), 1))),  0.5, 0))</f>
        <v>0</v>
      </c>
      <c r="CR66" s="47">
        <f t="array" ref="CR66">IF(AND(ISNUMBER(MATCH(CR$2, AsistenciaJetAdminConcatenada!$A:$A, 0)), ISNUMBER(MATCH(CR$1, AsistenciaJetAdminConcatenada!$B:$B, 0)), ISNUMBER(SEARCH($A66,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ISNUMBER(SEARCH($A66, INDEX(AsistenciaJetAdminConcatenada!$D:$D, MATCH(1, (AsistenciaJetAdminConcatenada!$A:$A=CR$2)*(AsistenciaJetAdminConcatenada!$B:$B=CR$1), 0)), 1))),  0.5, 0))</f>
        <v>0</v>
      </c>
      <c r="CS66" s="47">
        <f t="array" ref="CS66">IF(AND(ISNUMBER(MATCH(CS$2, AsistenciaJetAdminConcatenada!$A:$A, 0)), ISNUMBER(MATCH(CS$1, AsistenciaJetAdminConcatenada!$B:$B, 0)), ISNUMBER(SEARCH($A66,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ISNUMBER(SEARCH($A66, INDEX(AsistenciaJetAdminConcatenada!$D:$D, MATCH(1, (AsistenciaJetAdminConcatenada!$A:$A=CS$2)*(AsistenciaJetAdminConcatenada!$B:$B=CS$1), 0)), 1))),  0.5, 0))</f>
        <v>0</v>
      </c>
      <c r="CT66" s="47">
        <f t="array" ref="CT66">IF(AND(ISNUMBER(MATCH(CT$2, AsistenciaJetAdminConcatenada!$A:$A, 0)), ISNUMBER(MATCH(CT$1, AsistenciaJetAdminConcatenada!$B:$B, 0)), ISNUMBER(SEARCH($A66,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ISNUMBER(SEARCH($A66, INDEX(AsistenciaJetAdminConcatenada!$D:$D, MATCH(1, (AsistenciaJetAdminConcatenada!$A:$A=CT$2)*(AsistenciaJetAdminConcatenada!$B:$B=CT$1), 0)), 1))),  0.5, 0))</f>
        <v>0</v>
      </c>
      <c r="CU66" s="47">
        <f t="array" ref="CU66">IF(AND(ISNUMBER(MATCH(CU$2, AsistenciaJetAdminConcatenada!$A:$A, 0)), ISNUMBER(MATCH(CU$1, AsistenciaJetAdminConcatenada!$B:$B, 0)), ISNUMBER(SEARCH($A66,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ISNUMBER(SEARCH($A66, INDEX(AsistenciaJetAdminConcatenada!$D:$D, MATCH(1, (AsistenciaJetAdminConcatenada!$A:$A=CU$2)*(AsistenciaJetAdminConcatenada!$B:$B=CU$1), 0)), 1))),  0.5, 0))</f>
        <v>0</v>
      </c>
      <c r="CV66" s="47">
        <f t="array" ref="CV66">IF(AND(ISNUMBER(MATCH(CV$2, AsistenciaJetAdminConcatenada!$A:$A, 0)), ISNUMBER(MATCH(CV$1, AsistenciaJetAdminConcatenada!$B:$B, 0)), ISNUMBER(SEARCH($A66,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ISNUMBER(SEARCH($A66, INDEX(AsistenciaJetAdminConcatenada!$D:$D, MATCH(1, (AsistenciaJetAdminConcatenada!$A:$A=CV$2)*(AsistenciaJetAdminConcatenada!$B:$B=CV$1), 0)), 1))),  0.5, 0))</f>
        <v>0</v>
      </c>
      <c r="CW66" s="47">
        <f t="array" ref="CW66">IF(AND(ISNUMBER(MATCH(CW$2, AsistenciaJetAdminConcatenada!$A:$A, 0)), ISNUMBER(MATCH(CW$1, AsistenciaJetAdminConcatenada!$B:$B, 0)), ISNUMBER(SEARCH($A66,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ISNUMBER(SEARCH($A66, INDEX(AsistenciaJetAdminConcatenada!$D:$D, MATCH(1, (AsistenciaJetAdminConcatenada!$A:$A=CW$2)*(AsistenciaJetAdminConcatenada!$B:$B=CW$1), 0)), 1))),  0.5, 0))</f>
        <v>0</v>
      </c>
      <c r="CX66" s="47">
        <f t="array" ref="CX66">IF(AND(ISNUMBER(MATCH(CX$2, AsistenciaJetAdminConcatenada!$A:$A, 0)), ISNUMBER(MATCH(CX$1, AsistenciaJetAdminConcatenada!$B:$B, 0)), ISNUMBER(SEARCH($A66,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ISNUMBER(SEARCH($A66, INDEX(AsistenciaJetAdminConcatenada!$D:$D, MATCH(1, (AsistenciaJetAdminConcatenada!$A:$A=CX$2)*(AsistenciaJetAdminConcatenada!$B:$B=CX$1), 0)), 1))),  0.5, 0))</f>
        <v>0</v>
      </c>
      <c r="CY66" s="47">
        <f t="array" ref="CY66">IF(AND(ISNUMBER(MATCH(CY$2, AsistenciaJetAdminConcatenada!$A:$A, 0)), ISNUMBER(MATCH(CY$1, AsistenciaJetAdminConcatenada!$B:$B, 0)), ISNUMBER(SEARCH($A66,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ISNUMBER(SEARCH($A66, INDEX(AsistenciaJetAdminConcatenada!$D:$D, MATCH(1, (AsistenciaJetAdminConcatenada!$A:$A=CY$2)*(AsistenciaJetAdminConcatenada!$B:$B=CY$1), 0)), 1))),  0.5, 0))</f>
        <v>0</v>
      </c>
      <c r="CZ66" s="47">
        <f t="array" ref="CZ66">IF(AND(ISNUMBER(MATCH(CZ$2, AsistenciaJetAdminConcatenada!$A:$A, 0)), ISNUMBER(MATCH(CZ$1, AsistenciaJetAdminConcatenada!$B:$B, 0)), ISNUMBER(SEARCH($A66,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ISNUMBER(SEARCH($A66, INDEX(AsistenciaJetAdminConcatenada!$D:$D, MATCH(1, (AsistenciaJetAdminConcatenada!$A:$A=CZ$2)*(AsistenciaJetAdminConcatenada!$B:$B=CZ$1), 0)), 1))),  0.5, 0))</f>
        <v>0</v>
      </c>
      <c r="DA66" s="47">
        <f t="array" ref="DA66">IF(AND(ISNUMBER(MATCH(DA$2, AsistenciaJetAdminConcatenada!$A:$A, 0)), ISNUMBER(MATCH(DA$1, AsistenciaJetAdminConcatenada!$B:$B, 0)), ISNUMBER(SEARCH($A66,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ISNUMBER(SEARCH($A66, INDEX(AsistenciaJetAdminConcatenada!$D:$D, MATCH(1, (AsistenciaJetAdminConcatenada!$A:$A=DA$2)*(AsistenciaJetAdminConcatenada!$B:$B=DA$1), 0)), 1))),  0.5, 0))</f>
        <v>0</v>
      </c>
      <c r="DB66" s="47">
        <f t="array" ref="DB66">IF(AND(ISNUMBER(MATCH(DB$2, AsistenciaJetAdminConcatenada!$A:$A, 0)), ISNUMBER(MATCH(DB$1, AsistenciaJetAdminConcatenada!$B:$B, 0)), ISNUMBER(SEARCH($A66,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ISNUMBER(SEARCH($A66, INDEX(AsistenciaJetAdminConcatenada!$D:$D, MATCH(1, (AsistenciaJetAdminConcatenada!$A:$A=DB$2)*(AsistenciaJetAdminConcatenada!$B:$B=DB$1), 0)), 1))),  0.5, 0))</f>
        <v>0</v>
      </c>
      <c r="DC66" s="47">
        <f t="array" ref="DC66">IF(AND(ISNUMBER(MATCH(DC$2, AsistenciaJetAdminConcatenada!$A:$A, 0)), ISNUMBER(MATCH(DC$1, AsistenciaJetAdminConcatenada!$B:$B, 0)), ISNUMBER(SEARCH($A66,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ISNUMBER(SEARCH($A66, INDEX(AsistenciaJetAdminConcatenada!$D:$D, MATCH(1, (AsistenciaJetAdminConcatenada!$A:$A=DC$2)*(AsistenciaJetAdminConcatenada!$B:$B=DC$1), 0)), 1))),  0.5, 0))</f>
        <v>0</v>
      </c>
      <c r="DD66" s="47">
        <f t="array" ref="DD66">IF(AND(ISNUMBER(MATCH(DD$2, AsistenciaJetAdminConcatenada!$A:$A, 0)), ISNUMBER(MATCH(DD$1, AsistenciaJetAdminConcatenada!$B:$B, 0)), ISNUMBER(SEARCH($A66,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ISNUMBER(SEARCH($A66, INDEX(AsistenciaJetAdminConcatenada!$D:$D, MATCH(1, (AsistenciaJetAdminConcatenada!$A:$A=DD$2)*(AsistenciaJetAdminConcatenada!$B:$B=DD$1), 0)), 1))),  0.5, 0))</f>
        <v>0</v>
      </c>
      <c r="DE66" s="47">
        <f t="array" ref="DE66">IF(AND(ISNUMBER(MATCH(DE$2, AsistenciaJetAdminConcatenada!$A:$A, 0)), ISNUMBER(MATCH(DE$1, AsistenciaJetAdminConcatenada!$B:$B, 0)), ISNUMBER(SEARCH($A66,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ISNUMBER(SEARCH($A66, INDEX(AsistenciaJetAdminConcatenada!$D:$D, MATCH(1, (AsistenciaJetAdminConcatenada!$A:$A=DE$2)*(AsistenciaJetAdminConcatenada!$B:$B=DE$1), 0)), 1))),  0.5, 0))</f>
        <v>0</v>
      </c>
      <c r="DF66" s="47">
        <f t="array" ref="DF66">IF(AND(ISNUMBER(MATCH(DF$2, AsistenciaJetAdminConcatenada!$A:$A, 0)), ISNUMBER(MATCH(DF$1, AsistenciaJetAdminConcatenada!$B:$B, 0)), ISNUMBER(SEARCH($A66,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ISNUMBER(SEARCH($A66, INDEX(AsistenciaJetAdminConcatenada!$D:$D, MATCH(1, (AsistenciaJetAdminConcatenada!$A:$A=DF$2)*(AsistenciaJetAdminConcatenada!$B:$B=DF$1), 0)), 1))),  0.5, 0))</f>
        <v>0</v>
      </c>
      <c r="DG66" s="47">
        <f t="array" ref="DG66">IF(AND(ISNUMBER(MATCH(DG$2, AsistenciaJetAdminConcatenada!$A:$A, 0)), ISNUMBER(MATCH(DG$1, AsistenciaJetAdminConcatenada!$B:$B, 0)), ISNUMBER(SEARCH($A66,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ISNUMBER(SEARCH($A66, INDEX(AsistenciaJetAdminConcatenada!$D:$D, MATCH(1, (AsistenciaJetAdminConcatenada!$A:$A=DG$2)*(AsistenciaJetAdminConcatenada!$B:$B=DG$1), 0)), 1))),  0.5, 0))</f>
        <v>0</v>
      </c>
      <c r="DH66" s="47">
        <f t="array" ref="DH66">IF(AND(ISNUMBER(MATCH(DH$2, AsistenciaJetAdminConcatenada!$A:$A, 0)), ISNUMBER(MATCH(DH$1, AsistenciaJetAdminConcatenada!$B:$B, 0)), ISNUMBER(SEARCH($A66,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ISNUMBER(SEARCH($A66, INDEX(AsistenciaJetAdminConcatenada!$D:$D, MATCH(1, (AsistenciaJetAdminConcatenada!$A:$A=DH$2)*(AsistenciaJetAdminConcatenada!$B:$B=DH$1), 0)), 1))),  0.5, 0))</f>
        <v>0</v>
      </c>
      <c r="DI66" s="47">
        <f t="array" ref="DI66">IF(AND(ISNUMBER(MATCH(DI$2, AsistenciaJetAdminConcatenada!$A:$A, 0)), ISNUMBER(MATCH(DI$1, AsistenciaJetAdminConcatenada!$B:$B, 0)), ISNUMBER(SEARCH($A66,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ISNUMBER(SEARCH($A66, INDEX(AsistenciaJetAdminConcatenada!$D:$D, MATCH(1, (AsistenciaJetAdminConcatenada!$A:$A=DI$2)*(AsistenciaJetAdminConcatenada!$B:$B=DI$1), 0)), 1))),  0.5, 0))</f>
        <v>0</v>
      </c>
      <c r="DJ66" s="47">
        <f t="array" ref="DJ66">IF(AND(ISNUMBER(MATCH(DJ$2, AsistenciaJetAdminConcatenada!$A:$A, 0)), ISNUMBER(MATCH(DJ$1, AsistenciaJetAdminConcatenada!$B:$B, 0)), ISNUMBER(SEARCH($A66,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ISNUMBER(SEARCH($A66, INDEX(AsistenciaJetAdminConcatenada!$D:$D, MATCH(1, (AsistenciaJetAdminConcatenada!$A:$A=DJ$2)*(AsistenciaJetAdminConcatenada!$B:$B=DJ$1), 0)), 1))),  0.5, 0))</f>
        <v>0</v>
      </c>
      <c r="DK66" s="47">
        <f t="array" ref="DK66">IF(AND(ISNUMBER(MATCH(DK$2, AsistenciaJetAdminConcatenada!$A:$A, 0)), ISNUMBER(MATCH(DK$1, AsistenciaJetAdminConcatenada!$B:$B, 0)), ISNUMBER(SEARCH($A66,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ISNUMBER(SEARCH($A66, INDEX(AsistenciaJetAdminConcatenada!$D:$D, MATCH(1, (AsistenciaJetAdminConcatenada!$A:$A=DK$2)*(AsistenciaJetAdminConcatenada!$B:$B=DK$1), 0)), 1))),  0.5, 0))</f>
        <v>0</v>
      </c>
      <c r="DL66" s="47">
        <f t="array" ref="DL66">IF(AND(ISNUMBER(MATCH(DL$2, AsistenciaJetAdminConcatenada!$A:$A, 0)), ISNUMBER(MATCH(DL$1, AsistenciaJetAdminConcatenada!$B:$B, 0)), ISNUMBER(SEARCH($A66,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ISNUMBER(SEARCH($A66, INDEX(AsistenciaJetAdminConcatenada!$D:$D, MATCH(1, (AsistenciaJetAdminConcatenada!$A:$A=DL$2)*(AsistenciaJetAdminConcatenada!$B:$B=DL$1), 0)), 1))),  0.5, 0))</f>
        <v>0</v>
      </c>
      <c r="DM66" s="47">
        <f t="array" ref="DM66">IF(AND(ISNUMBER(MATCH(DM$2, AsistenciaJetAdminConcatenada!$A:$A, 0)), ISNUMBER(MATCH(DM$1, AsistenciaJetAdminConcatenada!$B:$B, 0)), ISNUMBER(SEARCH($A66,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ISNUMBER(SEARCH($A66, INDEX(AsistenciaJetAdminConcatenada!$D:$D, MATCH(1, (AsistenciaJetAdminConcatenada!$A:$A=DM$2)*(AsistenciaJetAdminConcatenada!$B:$B=DM$1), 0)), 1))),  0.5, 0))</f>
        <v>0</v>
      </c>
      <c r="DN66" s="47">
        <f t="array" ref="DN66">IF(AND(ISNUMBER(MATCH(DN$2, AsistenciaJetAdminConcatenada!$A:$A, 0)), ISNUMBER(MATCH(DN$1, AsistenciaJetAdminConcatenada!$B:$B, 0)), ISNUMBER(SEARCH($A66,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ISNUMBER(SEARCH($A66, INDEX(AsistenciaJetAdminConcatenada!$D:$D, MATCH(1, (AsistenciaJetAdminConcatenada!$A:$A=DN$2)*(AsistenciaJetAdminConcatenada!$B:$B=DN$1), 0)), 1))),  0.5, 0))</f>
        <v>0</v>
      </c>
      <c r="DO66" s="47">
        <f t="array" ref="DO66">IF(AND(ISNUMBER(MATCH(DO$2, AsistenciaJetAdminConcatenada!$A:$A, 0)), ISNUMBER(MATCH(DO$1, AsistenciaJetAdminConcatenada!$B:$B, 0)), ISNUMBER(SEARCH($A66,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ISNUMBER(SEARCH($A66, INDEX(AsistenciaJetAdminConcatenada!$D:$D, MATCH(1, (AsistenciaJetAdminConcatenada!$A:$A=DO$2)*(AsistenciaJetAdminConcatenada!$B:$B=DO$1), 0)), 1))),  0.5, 0))</f>
        <v>0</v>
      </c>
      <c r="DP66" s="47">
        <f t="array" ref="DP66">IF(AND(ISNUMBER(MATCH(DP$2, AsistenciaJetAdminConcatenada!$A:$A, 0)), ISNUMBER(MATCH(DP$1, AsistenciaJetAdminConcatenada!$B:$B, 0)), ISNUMBER(SEARCH($A66,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ISNUMBER(SEARCH($A66, INDEX(AsistenciaJetAdminConcatenada!$D:$D, MATCH(1, (AsistenciaJetAdminConcatenada!$A:$A=DP$2)*(AsistenciaJetAdminConcatenada!$B:$B=DP$1), 0)), 1))),  0.5, 0))</f>
        <v>0</v>
      </c>
      <c r="DQ66" s="47">
        <f t="array" ref="DQ66">IF(AND(ISNUMBER(MATCH(DQ$2, AsistenciaJetAdminConcatenada!$A:$A, 0)), ISNUMBER(MATCH(DQ$1, AsistenciaJetAdminConcatenada!$B:$B, 0)), ISNUMBER(SEARCH($A66,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ISNUMBER(SEARCH($A66, INDEX(AsistenciaJetAdminConcatenada!$D:$D, MATCH(1, (AsistenciaJetAdminConcatenada!$A:$A=DQ$2)*(AsistenciaJetAdminConcatenada!$B:$B=DQ$1), 0)), 1))),  0.5, 0))</f>
        <v>0</v>
      </c>
      <c r="DR66" s="47">
        <f t="array" ref="DR66">IF(AND(ISNUMBER(MATCH(DR$2, AsistenciaJetAdminConcatenada!$A:$A, 0)), ISNUMBER(MATCH(DR$1, AsistenciaJetAdminConcatenada!$B:$B, 0)), ISNUMBER(SEARCH($A66,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ISNUMBER(SEARCH($A66, INDEX(AsistenciaJetAdminConcatenada!$D:$D, MATCH(1, (AsistenciaJetAdminConcatenada!$A:$A=DR$2)*(AsistenciaJetAdminConcatenada!$B:$B=DR$1), 0)), 1))),  0.5, 0))</f>
        <v>0</v>
      </c>
      <c r="DS66" s="47">
        <f t="array" ref="DS66">IF(AND(ISNUMBER(MATCH(DS$2, AsistenciaJetAdminConcatenada!$A:$A, 0)), ISNUMBER(MATCH(DS$1, AsistenciaJetAdminConcatenada!$B:$B, 0)), ISNUMBER(SEARCH($A66,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ISNUMBER(SEARCH($A66, INDEX(AsistenciaJetAdminConcatenada!$D:$D, MATCH(1, (AsistenciaJetAdminConcatenada!$A:$A=DS$2)*(AsistenciaJetAdminConcatenada!$B:$B=DS$1), 0)), 1))),  0.5, 0))</f>
        <v>0</v>
      </c>
      <c r="DT66" s="47">
        <f t="array" ref="DT66">IF(AND(ISNUMBER(MATCH(DT$2, AsistenciaJetAdminConcatenada!$A:$A, 0)), ISNUMBER(MATCH(DT$1, AsistenciaJetAdminConcatenada!$B:$B, 0)), ISNUMBER(SEARCH($A66,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ISNUMBER(SEARCH($A66, INDEX(AsistenciaJetAdminConcatenada!$D:$D, MATCH(1, (AsistenciaJetAdminConcatenada!$A:$A=DT$2)*(AsistenciaJetAdminConcatenada!$B:$B=DT$1), 0)), 1))),  0.5, 0))</f>
        <v>0</v>
      </c>
      <c r="DU66" s="47">
        <f t="array" ref="DU66">IF(AND(ISNUMBER(MATCH(DU$2, AsistenciaJetAdminConcatenada!$A:$A, 0)), ISNUMBER(MATCH(DU$1, AsistenciaJetAdminConcatenada!$B:$B, 0)), ISNUMBER(SEARCH($A66,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ISNUMBER(SEARCH($A66, INDEX(AsistenciaJetAdminConcatenada!$D:$D, MATCH(1, (AsistenciaJetAdminConcatenada!$A:$A=DU$2)*(AsistenciaJetAdminConcatenada!$B:$B=DU$1), 0)), 1))),  0.5, 0))</f>
        <v>0</v>
      </c>
      <c r="DV66" s="47">
        <f t="array" ref="DV66">IF(AND(ISNUMBER(MATCH(DV$2, AsistenciaJetAdminConcatenada!$A:$A, 0)), ISNUMBER(MATCH(DV$1, AsistenciaJetAdminConcatenada!$B:$B, 0)), ISNUMBER(SEARCH($A66,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ISNUMBER(SEARCH($A66, INDEX(AsistenciaJetAdminConcatenada!$D:$D, MATCH(1, (AsistenciaJetAdminConcatenada!$A:$A=DV$2)*(AsistenciaJetAdminConcatenada!$B:$B=DV$1), 0)), 1))),  0.5, 0))</f>
        <v>0</v>
      </c>
      <c r="DW66" s="47">
        <f t="array" ref="DW66">IF(AND(ISNUMBER(MATCH(DW$2, AsistenciaJetAdminConcatenada!$A:$A, 0)), ISNUMBER(MATCH(DW$1, AsistenciaJetAdminConcatenada!$B:$B, 0)), ISNUMBER(SEARCH($A66,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ISNUMBER(SEARCH($A66, INDEX(AsistenciaJetAdminConcatenada!$D:$D, MATCH(1, (AsistenciaJetAdminConcatenada!$A:$A=DW$2)*(AsistenciaJetAdminConcatenada!$B:$B=DW$1), 0)), 1))),  0.5, 0))</f>
        <v>0</v>
      </c>
      <c r="DX66" s="47">
        <f t="array" ref="DX66">IF(AND(ISNUMBER(MATCH(DX$2, AsistenciaJetAdminConcatenada!$A:$A, 0)), ISNUMBER(MATCH(DX$1, AsistenciaJetAdminConcatenada!$B:$B, 0)), ISNUMBER(SEARCH($A66,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ISNUMBER(SEARCH($A66, INDEX(AsistenciaJetAdminConcatenada!$D:$D, MATCH(1, (AsistenciaJetAdminConcatenada!$A:$A=DX$2)*(AsistenciaJetAdminConcatenada!$B:$B=DX$1), 0)), 1))),  0.5, 0))</f>
        <v>0</v>
      </c>
      <c r="DY66" s="47">
        <f t="array" ref="DY66">IF(AND(ISNUMBER(MATCH(DY$2, AsistenciaJetAdminConcatenada!$A:$A, 0)), ISNUMBER(MATCH(DY$1, AsistenciaJetAdminConcatenada!$B:$B, 0)), ISNUMBER(SEARCH($A66,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ISNUMBER(SEARCH($A66, INDEX(AsistenciaJetAdminConcatenada!$D:$D, MATCH(1, (AsistenciaJetAdminConcatenada!$A:$A=DY$2)*(AsistenciaJetAdminConcatenada!$B:$B=DY$1), 0)), 1))),  0.5, 0))</f>
        <v>0</v>
      </c>
      <c r="DZ66" s="47">
        <f t="array" ref="DZ66">IF(AND(ISNUMBER(MATCH(DZ$2, AsistenciaJetAdminConcatenada!$A:$A, 0)), ISNUMBER(MATCH(DZ$1, AsistenciaJetAdminConcatenada!$B:$B, 0)), ISNUMBER(SEARCH($A66,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ISNUMBER(SEARCH($A66, INDEX(AsistenciaJetAdminConcatenada!$D:$D, MATCH(1, (AsistenciaJetAdminConcatenada!$A:$A=DZ$2)*(AsistenciaJetAdminConcatenada!$B:$B=DZ$1), 0)), 1))),  0.5, 0))</f>
        <v>0</v>
      </c>
      <c r="EA66" s="47">
        <f t="array" ref="EA66">IF(AND(ISNUMBER(MATCH(EA$2, AsistenciaJetAdminConcatenada!$A:$A, 0)), ISNUMBER(MATCH(EA$1, AsistenciaJetAdminConcatenada!$B:$B, 0)), ISNUMBER(SEARCH($A66,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ISNUMBER(SEARCH($A66, INDEX(AsistenciaJetAdminConcatenada!$D:$D, MATCH(1, (AsistenciaJetAdminConcatenada!$A:$A=EA$2)*(AsistenciaJetAdminConcatenada!$B:$B=EA$1), 0)), 1))),  0.5, 0))</f>
        <v>0</v>
      </c>
      <c r="EB66" s="47">
        <f t="array" ref="EB66">IF(AND(ISNUMBER(MATCH(EB$2, AsistenciaJetAdminConcatenada!$A:$A, 0)), ISNUMBER(MATCH(EB$1, AsistenciaJetAdminConcatenada!$B:$B, 0)), ISNUMBER(SEARCH($A66,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ISNUMBER(SEARCH($A66, INDEX(AsistenciaJetAdminConcatenada!$D:$D, MATCH(1, (AsistenciaJetAdminConcatenada!$A:$A=EB$2)*(AsistenciaJetAdminConcatenada!$B:$B=EB$1), 0)), 1))),  0.5, 0))</f>
        <v>0</v>
      </c>
      <c r="EC66" s="47">
        <f t="array" ref="EC66">IF(AND(ISNUMBER(MATCH(EC$2, AsistenciaJetAdminConcatenada!$A:$A, 0)), ISNUMBER(MATCH(EC$1, AsistenciaJetAdminConcatenada!$B:$B, 0)), ISNUMBER(SEARCH($A66,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ISNUMBER(SEARCH($A66, INDEX(AsistenciaJetAdminConcatenada!$D:$D, MATCH(1, (AsistenciaJetAdminConcatenada!$A:$A=EC$2)*(AsistenciaJetAdminConcatenada!$B:$B=EC$1), 0)), 1))),  0.5, 0))</f>
        <v>0</v>
      </c>
      <c r="ED66" s="47">
        <f t="array" ref="ED66">IF(AND(ISNUMBER(MATCH(ED$2, AsistenciaJetAdminConcatenada!$A:$A, 0)), ISNUMBER(MATCH(ED$1, AsistenciaJetAdminConcatenada!$B:$B, 0)), ISNUMBER(SEARCH($A66,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ISNUMBER(SEARCH($A66, INDEX(AsistenciaJetAdminConcatenada!$D:$D, MATCH(1, (AsistenciaJetAdminConcatenada!$A:$A=ED$2)*(AsistenciaJetAdminConcatenada!$B:$B=ED$1), 0)), 1))),  0.5, 0))</f>
        <v>0</v>
      </c>
      <c r="EE66" s="47">
        <f t="array" ref="EE66">IF(AND(ISNUMBER(MATCH(EE$2, AsistenciaJetAdminConcatenada!$A:$A, 0)), ISNUMBER(MATCH(EE$1, AsistenciaJetAdminConcatenada!$B:$B, 0)), ISNUMBER(SEARCH($A66,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ISNUMBER(SEARCH($A66, INDEX(AsistenciaJetAdminConcatenada!$D:$D, MATCH(1, (AsistenciaJetAdminConcatenada!$A:$A=EE$2)*(AsistenciaJetAdminConcatenada!$B:$B=EE$1), 0)), 1))),  0.5, 0))</f>
        <v>0</v>
      </c>
      <c r="EF66" s="47">
        <f t="array" ref="EF66">IF(AND(ISNUMBER(MATCH(EF$2, AsistenciaJetAdminConcatenada!$A:$A, 0)), ISNUMBER(MATCH(EF$1, AsistenciaJetAdminConcatenada!$B:$B, 0)), ISNUMBER(SEARCH($A66,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ISNUMBER(SEARCH($A66, INDEX(AsistenciaJetAdminConcatenada!$D:$D, MATCH(1, (AsistenciaJetAdminConcatenada!$A:$A=EF$2)*(AsistenciaJetAdminConcatenada!$B:$B=EF$1), 0)), 1))),  0.5, 0))</f>
        <v>0</v>
      </c>
      <c r="EG66" s="47">
        <f t="array" ref="EG66">IF(AND(ISNUMBER(MATCH(EG$2, AsistenciaJetAdminConcatenada!$A:$A, 0)), ISNUMBER(MATCH(EG$1, AsistenciaJetAdminConcatenada!$B:$B, 0)), ISNUMBER(SEARCH($A66,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ISNUMBER(SEARCH($A66, INDEX(AsistenciaJetAdminConcatenada!$D:$D, MATCH(1, (AsistenciaJetAdminConcatenada!$A:$A=EG$2)*(AsistenciaJetAdminConcatenada!$B:$B=EG$1), 0)), 1))),  0.5, 0))</f>
        <v>0</v>
      </c>
      <c r="EH66" s="47">
        <f t="array" ref="EH66">IF(AND(ISNUMBER(MATCH(EH$2, AsistenciaJetAdminConcatenada!$A:$A, 0)), ISNUMBER(MATCH(EH$1, AsistenciaJetAdminConcatenada!$B:$B, 0)), ISNUMBER(SEARCH($A66,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ISNUMBER(SEARCH($A66, INDEX(AsistenciaJetAdminConcatenada!$D:$D, MATCH(1, (AsistenciaJetAdminConcatenada!$A:$A=EH$2)*(AsistenciaJetAdminConcatenada!$B:$B=EH$1), 0)), 1))),  0.5, 0))</f>
        <v>0</v>
      </c>
      <c r="EI66" s="47">
        <f t="array" ref="EI66">IF(AND(ISNUMBER(MATCH(EI$2, AsistenciaJetAdminConcatenada!$A:$A, 0)), ISNUMBER(MATCH(EI$1, AsistenciaJetAdminConcatenada!$B:$B, 0)), ISNUMBER(SEARCH($A66,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ISNUMBER(SEARCH($A66, INDEX(AsistenciaJetAdminConcatenada!$D:$D, MATCH(1, (AsistenciaJetAdminConcatenada!$A:$A=EI$2)*(AsistenciaJetAdminConcatenada!$B:$B=EI$1), 0)), 1))),  0.5, 0))</f>
        <v>0</v>
      </c>
      <c r="EJ66" s="47">
        <f t="array" ref="EJ66">IF(AND(ISNUMBER(MATCH(EJ$2, AsistenciaJetAdminConcatenada!$A:$A, 0)), ISNUMBER(MATCH(EJ$1, AsistenciaJetAdminConcatenada!$B:$B, 0)), ISNUMBER(SEARCH($A66,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ISNUMBER(SEARCH($A66, INDEX(AsistenciaJetAdminConcatenada!$D:$D, MATCH(1, (AsistenciaJetAdminConcatenada!$A:$A=EJ$2)*(AsistenciaJetAdminConcatenada!$B:$B=EJ$1), 0)), 1))),  0.5, 0))</f>
        <v>0</v>
      </c>
      <c r="EK66" s="47">
        <f t="array" ref="EK66">IF(AND(ISNUMBER(MATCH(EK$2, AsistenciaJetAdminConcatenada!$A:$A, 0)), ISNUMBER(MATCH(EK$1, AsistenciaJetAdminConcatenada!$B:$B, 0)), ISNUMBER(SEARCH($A66,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ISNUMBER(SEARCH($A66, INDEX(AsistenciaJetAdminConcatenada!$D:$D, MATCH(1, (AsistenciaJetAdminConcatenada!$A:$A=EK$2)*(AsistenciaJetAdminConcatenada!$B:$B=EK$1), 0)), 1))),  0.5, 0))</f>
        <v>0</v>
      </c>
      <c r="EL66" s="47">
        <f t="array" ref="EL66">IF(AND(ISNUMBER(MATCH(EL$2, AsistenciaJetAdminConcatenada!$A:$A, 0)), ISNUMBER(MATCH(EL$1, AsistenciaJetAdminConcatenada!$B:$B, 0)), ISNUMBER(SEARCH($A66,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ISNUMBER(SEARCH($A66, INDEX(AsistenciaJetAdminConcatenada!$D:$D, MATCH(1, (AsistenciaJetAdminConcatenada!$A:$A=EL$2)*(AsistenciaJetAdminConcatenada!$B:$B=EL$1), 0)), 1))),  0.5, 0))</f>
        <v>0</v>
      </c>
      <c r="EM66" s="47">
        <f t="array" ref="EM66">IF(AND(ISNUMBER(MATCH(EM$2, AsistenciaJetAdminConcatenada!$A:$A, 0)), ISNUMBER(MATCH(EM$1, AsistenciaJetAdminConcatenada!$B:$B, 0)), ISNUMBER(SEARCH($A66,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ISNUMBER(SEARCH($A66, INDEX(AsistenciaJetAdminConcatenada!$D:$D, MATCH(1, (AsistenciaJetAdminConcatenada!$A:$A=EM$2)*(AsistenciaJetAdminConcatenada!$B:$B=EM$1), 0)), 1))),  0.5, 0))</f>
        <v>0</v>
      </c>
      <c r="EN66" s="47">
        <f t="array" ref="EN66">IF(AND(ISNUMBER(MATCH(EN$2, AsistenciaJetAdminConcatenada!$A:$A, 0)), ISNUMBER(MATCH(EN$1, AsistenciaJetAdminConcatenada!$B:$B, 0)), ISNUMBER(SEARCH($A66,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ISNUMBER(SEARCH($A66, INDEX(AsistenciaJetAdminConcatenada!$D:$D, MATCH(1, (AsistenciaJetAdminConcatenada!$A:$A=EN$2)*(AsistenciaJetAdminConcatenada!$B:$B=EN$1), 0)), 1))),  0.5, 0))</f>
        <v>0</v>
      </c>
      <c r="EO66" s="47">
        <f t="array" ref="EO66">IF(AND(ISNUMBER(MATCH(EO$2, AsistenciaJetAdminConcatenada!$A:$A, 0)), ISNUMBER(MATCH(EO$1, AsistenciaJetAdminConcatenada!$B:$B, 0)), ISNUMBER(SEARCH($A66,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ISNUMBER(SEARCH($A66, INDEX(AsistenciaJetAdminConcatenada!$D:$D, MATCH(1, (AsistenciaJetAdminConcatenada!$A:$A=EO$2)*(AsistenciaJetAdminConcatenada!$B:$B=EO$1), 0)), 1))),  0.5, 0))</f>
        <v>0</v>
      </c>
      <c r="EP66" s="47">
        <f t="array" ref="EP66">IF(AND(ISNUMBER(MATCH(EP$2, AsistenciaJetAdminConcatenada!$A:$A, 0)), ISNUMBER(MATCH(EP$1, AsistenciaJetAdminConcatenada!$B:$B, 0)), ISNUMBER(SEARCH($A66,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ISNUMBER(SEARCH($A66, INDEX(AsistenciaJetAdminConcatenada!$D:$D, MATCH(1, (AsistenciaJetAdminConcatenada!$A:$A=EP$2)*(AsistenciaJetAdminConcatenada!$B:$B=EP$1), 0)), 1))),  0.5, 0))</f>
        <v>0</v>
      </c>
      <c r="EQ66" s="47">
        <f t="array" ref="EQ66">IF(AND(ISNUMBER(MATCH(EQ$2, AsistenciaJetAdminConcatenada!$A:$A, 0)), ISNUMBER(MATCH(EQ$1, AsistenciaJetAdminConcatenada!$B:$B, 0)), ISNUMBER(SEARCH($A66,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ISNUMBER(SEARCH($A66, INDEX(AsistenciaJetAdminConcatenada!$D:$D, MATCH(1, (AsistenciaJetAdminConcatenada!$A:$A=EQ$2)*(AsistenciaJetAdminConcatenada!$B:$B=EQ$1), 0)), 1))),  0.5, 0))</f>
        <v>0</v>
      </c>
      <c r="ER66" s="47">
        <f t="array" ref="ER66">IF(AND(ISNUMBER(MATCH(ER$2, AsistenciaJetAdminConcatenada!$A:$A, 0)), ISNUMBER(MATCH(ER$1, AsistenciaJetAdminConcatenada!$B:$B, 0)), ISNUMBER(SEARCH($A66,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ISNUMBER(SEARCH($A66, INDEX(AsistenciaJetAdminConcatenada!$D:$D, MATCH(1, (AsistenciaJetAdminConcatenada!$A:$A=ER$2)*(AsistenciaJetAdminConcatenada!$B:$B=ER$1), 0)), 1))),  0.5, 0))</f>
        <v>0</v>
      </c>
      <c r="ES66" s="47">
        <f t="array" ref="ES66">IF(AND(ISNUMBER(MATCH(ES$2, AsistenciaJetAdminConcatenada!$A:$A, 0)), ISNUMBER(MATCH(ES$1, AsistenciaJetAdminConcatenada!$B:$B, 0)), ISNUMBER(SEARCH($A66,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ISNUMBER(SEARCH($A66, INDEX(AsistenciaJetAdminConcatenada!$D:$D, MATCH(1, (AsistenciaJetAdminConcatenada!$A:$A=ES$2)*(AsistenciaJetAdminConcatenada!$B:$B=ES$1), 0)), 1))),  0.5, 0))</f>
        <v>0</v>
      </c>
      <c r="ET66" s="47">
        <f t="array" ref="ET66">IF(AND(ISNUMBER(MATCH(ET$2, AsistenciaJetAdminConcatenada!$A:$A, 0)), ISNUMBER(MATCH(ET$1, AsistenciaJetAdminConcatenada!$B:$B, 0)), ISNUMBER(SEARCH($A66,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ISNUMBER(SEARCH($A66, INDEX(AsistenciaJetAdminConcatenada!$D:$D, MATCH(1, (AsistenciaJetAdminConcatenada!$A:$A=ET$2)*(AsistenciaJetAdminConcatenada!$B:$B=ET$1), 0)), 1))),  0.5, 0))</f>
        <v>0</v>
      </c>
      <c r="EU66" s="47">
        <f t="array" ref="EU66">IF(AND(ISNUMBER(MATCH(EU$2, AsistenciaJetAdminConcatenada!$A:$A, 0)), ISNUMBER(MATCH(EU$1, AsistenciaJetAdminConcatenada!$B:$B, 0)), ISNUMBER(SEARCH($A66,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ISNUMBER(SEARCH($A66, INDEX(AsistenciaJetAdminConcatenada!$D:$D, MATCH(1, (AsistenciaJetAdminConcatenada!$A:$A=EU$2)*(AsistenciaJetAdminConcatenada!$B:$B=EU$1), 0)), 1))),  0.5, 0))</f>
        <v>0</v>
      </c>
      <c r="EV66" s="47">
        <f t="array" ref="EV66">IF(AND(ISNUMBER(MATCH(EV$2, AsistenciaJetAdminConcatenada!$A:$A, 0)), ISNUMBER(MATCH(EV$1, AsistenciaJetAdminConcatenada!$B:$B, 0)), ISNUMBER(SEARCH($A66,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ISNUMBER(SEARCH($A66, INDEX(AsistenciaJetAdminConcatenada!$D:$D, MATCH(1, (AsistenciaJetAdminConcatenada!$A:$A=EV$2)*(AsistenciaJetAdminConcatenada!$B:$B=EV$1), 0)), 1))),  0.5, 0))</f>
        <v>0</v>
      </c>
      <c r="EW66" s="47">
        <f t="array" ref="EW66">IF(AND(ISNUMBER(MATCH(EW$2, AsistenciaJetAdminConcatenada!$A:$A, 0)), ISNUMBER(MATCH(EW$1, AsistenciaJetAdminConcatenada!$B:$B, 0)), ISNUMBER(SEARCH($A66,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ISNUMBER(SEARCH($A66, INDEX(AsistenciaJetAdminConcatenada!$D:$D, MATCH(1, (AsistenciaJetAdminConcatenada!$A:$A=EW$2)*(AsistenciaJetAdminConcatenada!$B:$B=EW$1), 0)), 1))),  0.5, 0))</f>
        <v>0</v>
      </c>
      <c r="EX66" s="47">
        <f t="array" ref="EX66">IF(AND(ISNUMBER(MATCH(EX$2, AsistenciaJetAdminConcatenada!$A:$A, 0)), ISNUMBER(MATCH(EX$1, AsistenciaJetAdminConcatenada!$B:$B, 0)), ISNUMBER(SEARCH($A66,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ISNUMBER(SEARCH($A66, INDEX(AsistenciaJetAdminConcatenada!$D:$D, MATCH(1, (AsistenciaJetAdminConcatenada!$A:$A=EX$2)*(AsistenciaJetAdminConcatenada!$B:$B=EX$1), 0)), 1))),  0.5, 0))</f>
        <v>0</v>
      </c>
      <c r="EY66" s="47">
        <f t="array" ref="EY66">IF(AND(ISNUMBER(MATCH(EY$2, AsistenciaJetAdminConcatenada!$A:$A, 0)), ISNUMBER(MATCH(EY$1, AsistenciaJetAdminConcatenada!$B:$B, 0)), ISNUMBER(SEARCH($A66,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ISNUMBER(SEARCH($A66, INDEX(AsistenciaJetAdminConcatenada!$D:$D, MATCH(1, (AsistenciaJetAdminConcatenada!$A:$A=EY$2)*(AsistenciaJetAdminConcatenada!$B:$B=EY$1), 0)), 1))),  0.5, 0))</f>
        <v>0</v>
      </c>
      <c r="EZ66" s="47">
        <f t="array" ref="EZ66">IF(AND(ISNUMBER(MATCH(EZ$2, AsistenciaJetAdminConcatenada!$A:$A, 0)), ISNUMBER(MATCH(EZ$1, AsistenciaJetAdminConcatenada!$B:$B, 0)), ISNUMBER(SEARCH($A66,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ISNUMBER(SEARCH($A66, INDEX(AsistenciaJetAdminConcatenada!$D:$D, MATCH(1, (AsistenciaJetAdminConcatenada!$A:$A=EZ$2)*(AsistenciaJetAdminConcatenada!$B:$B=EZ$1), 0)), 1))),  0.5, 0))</f>
        <v>0</v>
      </c>
      <c r="FA66" s="47">
        <f t="array" ref="FA66">IF(AND(ISNUMBER(MATCH(FA$2, AsistenciaJetAdminConcatenada!$A:$A, 0)), ISNUMBER(MATCH(FA$1, AsistenciaJetAdminConcatenada!$B:$B, 0)), ISNUMBER(SEARCH($A66,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ISNUMBER(SEARCH($A66, INDEX(AsistenciaJetAdminConcatenada!$D:$D, MATCH(1, (AsistenciaJetAdminConcatenada!$A:$A=FA$2)*(AsistenciaJetAdminConcatenada!$B:$B=FA$1), 0)), 1))),  0.5, 0))</f>
        <v>0</v>
      </c>
      <c r="FB66" s="47">
        <f t="array" ref="FB66">IF(AND(ISNUMBER(MATCH(FB$2, AsistenciaJetAdminConcatenada!$A:$A, 0)), ISNUMBER(MATCH(FB$1, AsistenciaJetAdminConcatenada!$B:$B, 0)), ISNUMBER(SEARCH($A66,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ISNUMBER(SEARCH($A66, INDEX(AsistenciaJetAdminConcatenada!$D:$D, MATCH(1, (AsistenciaJetAdminConcatenada!$A:$A=FB$2)*(AsistenciaJetAdminConcatenada!$B:$B=FB$1), 0)), 1))),  0.5, 0))</f>
        <v>0</v>
      </c>
      <c r="FC66" s="47">
        <f t="array" ref="FC66">IF(AND(ISNUMBER(MATCH(FC$2, AsistenciaJetAdminConcatenada!$A:$A, 0)), ISNUMBER(MATCH(FC$1, AsistenciaJetAdminConcatenada!$B:$B, 0)), ISNUMBER(SEARCH($A66,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ISNUMBER(SEARCH($A66, INDEX(AsistenciaJetAdminConcatenada!$D:$D, MATCH(1, (AsistenciaJetAdminConcatenada!$A:$A=FC$2)*(AsistenciaJetAdminConcatenada!$B:$B=FC$1), 0)), 1))),  0.5, 0))</f>
        <v>0</v>
      </c>
      <c r="FD66" s="47">
        <f t="array" ref="FD66">IF(AND(ISNUMBER(MATCH(FD$2, AsistenciaJetAdminConcatenada!$A:$A, 0)), ISNUMBER(MATCH(FD$1, AsistenciaJetAdminConcatenada!$B:$B, 0)), ISNUMBER(SEARCH($A66,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ISNUMBER(SEARCH($A66, INDEX(AsistenciaJetAdminConcatenada!$D:$D, MATCH(1, (AsistenciaJetAdminConcatenada!$A:$A=FD$2)*(AsistenciaJetAdminConcatenada!$B:$B=FD$1), 0)), 1))),  0.5, 0))</f>
        <v>0</v>
      </c>
      <c r="FE66" s="47">
        <f t="array" ref="FE66">IF(AND(ISNUMBER(MATCH(FE$2, AsistenciaJetAdminConcatenada!$A:$A, 0)), ISNUMBER(MATCH(FE$1, AsistenciaJetAdminConcatenada!$B:$B, 0)), ISNUMBER(SEARCH($A66,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ISNUMBER(SEARCH($A66, INDEX(AsistenciaJetAdminConcatenada!$D:$D, MATCH(1, (AsistenciaJetAdminConcatenada!$A:$A=FE$2)*(AsistenciaJetAdminConcatenada!$B:$B=FE$1), 0)), 1))),  0.5, 0))</f>
        <v>0</v>
      </c>
      <c r="FF66" s="47">
        <f t="array" ref="FF66">IF(AND(ISNUMBER(MATCH(FF$2, AsistenciaJetAdminConcatenada!$A:$A, 0)), ISNUMBER(MATCH(FF$1, AsistenciaJetAdminConcatenada!$B:$B, 0)), ISNUMBER(SEARCH($A66,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ISNUMBER(SEARCH($A66, INDEX(AsistenciaJetAdminConcatenada!$D:$D, MATCH(1, (AsistenciaJetAdminConcatenada!$A:$A=FF$2)*(AsistenciaJetAdminConcatenada!$B:$B=FF$1), 0)), 1))),  0.5, 0))</f>
        <v>0</v>
      </c>
      <c r="FG66" s="47">
        <f t="array" ref="FG66">IF(AND(ISNUMBER(MATCH(FG$2, AsistenciaJetAdminConcatenada!$A:$A, 0)), ISNUMBER(MATCH(FG$1, AsistenciaJetAdminConcatenada!$B:$B, 0)), ISNUMBER(SEARCH($A66,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ISNUMBER(SEARCH($A66, INDEX(AsistenciaJetAdminConcatenada!$D:$D, MATCH(1, (AsistenciaJetAdminConcatenada!$A:$A=FG$2)*(AsistenciaJetAdminConcatenada!$B:$B=FG$1), 0)), 1))),  0.5, 0))</f>
        <v>0</v>
      </c>
      <c r="FH66" s="47">
        <f t="array" ref="FH66">IF(AND(ISNUMBER(MATCH(FH$2, AsistenciaJetAdminConcatenada!$A:$A, 0)), ISNUMBER(MATCH(FH$1, AsistenciaJetAdminConcatenada!$B:$B, 0)), ISNUMBER(SEARCH($A66,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ISNUMBER(SEARCH($A66, INDEX(AsistenciaJetAdminConcatenada!$D:$D, MATCH(1, (AsistenciaJetAdminConcatenada!$A:$A=FH$2)*(AsistenciaJetAdminConcatenada!$B:$B=FH$1), 0)), 1))),  0.5, 0))</f>
        <v>0</v>
      </c>
      <c r="FI66" s="47">
        <f t="array" ref="FI66">IF(AND(ISNUMBER(MATCH(FI$2, AsistenciaJetAdminConcatenada!$A:$A, 0)), ISNUMBER(MATCH(FI$1, AsistenciaJetAdminConcatenada!$B:$B, 0)), ISNUMBER(SEARCH($A66,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ISNUMBER(SEARCH($A66, INDEX(AsistenciaJetAdminConcatenada!$D:$D, MATCH(1, (AsistenciaJetAdminConcatenada!$A:$A=FI$2)*(AsistenciaJetAdminConcatenada!$B:$B=FI$1), 0)), 1))),  0.5, 0))</f>
        <v>0</v>
      </c>
      <c r="FJ66" s="47">
        <f t="array" ref="FJ66">IF(AND(ISNUMBER(MATCH(FJ$2, AsistenciaJetAdminConcatenada!$A:$A, 0)), ISNUMBER(MATCH(FJ$1, AsistenciaJetAdminConcatenada!$B:$B, 0)), ISNUMBER(SEARCH($A66,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ISNUMBER(SEARCH($A66, INDEX(AsistenciaJetAdminConcatenada!$D:$D, MATCH(1, (AsistenciaJetAdminConcatenada!$A:$A=FJ$2)*(AsistenciaJetAdminConcatenada!$B:$B=FJ$1), 0)), 1))),  0.5, 0))</f>
        <v>0</v>
      </c>
      <c r="FK66" s="47">
        <f t="array" ref="FK66">IF(AND(ISNUMBER(MATCH(FK$2, AsistenciaJetAdminConcatenada!$A:$A, 0)), ISNUMBER(MATCH(FK$1, AsistenciaJetAdminConcatenada!$B:$B, 0)), ISNUMBER(SEARCH($A66,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ISNUMBER(SEARCH($A66, INDEX(AsistenciaJetAdminConcatenada!$D:$D, MATCH(1, (AsistenciaJetAdminConcatenada!$A:$A=FK$2)*(AsistenciaJetAdminConcatenada!$B:$B=FK$1), 0)), 1))),  0.5, 0))</f>
        <v>0</v>
      </c>
      <c r="FL66" s="47">
        <f t="array" ref="FL66">IF(AND(ISNUMBER(MATCH(FL$2, AsistenciaJetAdminConcatenada!$A:$A, 0)), ISNUMBER(MATCH(FL$1, AsistenciaJetAdminConcatenada!$B:$B, 0)), ISNUMBER(SEARCH($A66,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ISNUMBER(SEARCH($A66, INDEX(AsistenciaJetAdminConcatenada!$D:$D, MATCH(1, (AsistenciaJetAdminConcatenada!$A:$A=FL$2)*(AsistenciaJetAdminConcatenada!$B:$B=FL$1), 0)), 1))),  0.5, 0))</f>
        <v>0</v>
      </c>
      <c r="FM66" s="47">
        <f t="array" ref="FM66">IF(AND(ISNUMBER(MATCH(FM$2, AsistenciaJetAdminConcatenada!$A:$A, 0)), ISNUMBER(MATCH(FM$1, AsistenciaJetAdminConcatenada!$B:$B, 0)), ISNUMBER(SEARCH($A66,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ISNUMBER(SEARCH($A66, INDEX(AsistenciaJetAdminConcatenada!$D:$D, MATCH(1, (AsistenciaJetAdminConcatenada!$A:$A=FM$2)*(AsistenciaJetAdminConcatenada!$B:$B=FM$1), 0)), 1))),  0.5, 0))</f>
        <v>0</v>
      </c>
      <c r="FN66" s="47">
        <f t="array" ref="FN66">IF(AND(ISNUMBER(MATCH(FN$2, AsistenciaJetAdminConcatenada!$A:$A, 0)), ISNUMBER(MATCH(FN$1, AsistenciaJetAdminConcatenada!$B:$B, 0)), ISNUMBER(SEARCH($A66,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ISNUMBER(SEARCH($A66, INDEX(AsistenciaJetAdminConcatenada!$D:$D, MATCH(1, (AsistenciaJetAdminConcatenada!$A:$A=FN$2)*(AsistenciaJetAdminConcatenada!$B:$B=FN$1), 0)), 1))),  0.5, 0))</f>
        <v>0</v>
      </c>
      <c r="FO66" s="47">
        <f t="array" ref="FO66">IF(AND(ISNUMBER(MATCH(FO$2, AsistenciaJetAdminConcatenada!$A:$A, 0)), ISNUMBER(MATCH(FO$1, AsistenciaJetAdminConcatenada!$B:$B, 0)), ISNUMBER(SEARCH($A66,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ISNUMBER(SEARCH($A66, INDEX(AsistenciaJetAdminConcatenada!$D:$D, MATCH(1, (AsistenciaJetAdminConcatenada!$A:$A=FO$2)*(AsistenciaJetAdminConcatenada!$B:$B=FO$1), 0)), 1))),  0.5, 0))</f>
        <v>0</v>
      </c>
      <c r="FP66" s="47">
        <f t="array" ref="FP66">IF(AND(ISNUMBER(MATCH(FP$2, AsistenciaJetAdminConcatenada!$A:$A, 0)), ISNUMBER(MATCH(FP$1, AsistenciaJetAdminConcatenada!$B:$B, 0)), ISNUMBER(SEARCH($A66,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ISNUMBER(SEARCH($A66, INDEX(AsistenciaJetAdminConcatenada!$D:$D, MATCH(1, (AsistenciaJetAdminConcatenada!$A:$A=FP$2)*(AsistenciaJetAdminConcatenada!$B:$B=FP$1), 0)), 1))),  0.5, 0))</f>
        <v>0</v>
      </c>
      <c r="FQ66" s="47">
        <f t="array" ref="FQ66">IF(AND(ISNUMBER(MATCH(FQ$2, AsistenciaJetAdminConcatenada!$A:$A, 0)), ISNUMBER(MATCH(FQ$1, AsistenciaJetAdminConcatenada!$B:$B, 0)), ISNUMBER(SEARCH($A66,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ISNUMBER(SEARCH($A66, INDEX(AsistenciaJetAdminConcatenada!$D:$D, MATCH(1, (AsistenciaJetAdminConcatenada!$A:$A=FQ$2)*(AsistenciaJetAdminConcatenada!$B:$B=FQ$1), 0)), 1))),  0.5, 0))</f>
        <v>0</v>
      </c>
      <c r="FR66" s="47">
        <f t="array" ref="FR66">IF(AND(ISNUMBER(MATCH(FR$2, AsistenciaJetAdminConcatenada!$A:$A, 0)), ISNUMBER(MATCH(FR$1, AsistenciaJetAdminConcatenada!$B:$B, 0)), ISNUMBER(SEARCH($A66,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ISNUMBER(SEARCH($A66, INDEX(AsistenciaJetAdminConcatenada!$D:$D, MATCH(1, (AsistenciaJetAdminConcatenada!$A:$A=FR$2)*(AsistenciaJetAdminConcatenada!$B:$B=FR$1), 0)), 1))),  0.5, 0))</f>
        <v>0</v>
      </c>
      <c r="FS66" s="47">
        <f t="array" ref="FS66">IF(AND(ISNUMBER(MATCH(FS$2, AsistenciaJetAdminConcatenada!$A:$A, 0)), ISNUMBER(MATCH(FS$1, AsistenciaJetAdminConcatenada!$B:$B, 0)), ISNUMBER(SEARCH($A66,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ISNUMBER(SEARCH($A66, INDEX(AsistenciaJetAdminConcatenada!$D:$D, MATCH(1, (AsistenciaJetAdminConcatenada!$A:$A=FS$2)*(AsistenciaJetAdminConcatenada!$B:$B=FS$1), 0)), 1))),  0.5, 0))</f>
        <v>0</v>
      </c>
      <c r="FT66" s="47">
        <f t="array" ref="FT66">IF(AND(ISNUMBER(MATCH(FT$2, AsistenciaJetAdminConcatenada!$A:$A, 0)), ISNUMBER(MATCH(FT$1, AsistenciaJetAdminConcatenada!$B:$B, 0)), ISNUMBER(SEARCH($A66,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ISNUMBER(SEARCH($A66, INDEX(AsistenciaJetAdminConcatenada!$D:$D, MATCH(1, (AsistenciaJetAdminConcatenada!$A:$A=FT$2)*(AsistenciaJetAdminConcatenada!$B:$B=FT$1), 0)), 1))),  0.5, 0))</f>
        <v>0</v>
      </c>
      <c r="FU66" s="47">
        <f t="array" ref="FU66">IF(AND(ISNUMBER(MATCH(FU$2, AsistenciaJetAdminConcatenada!$A:$A, 0)), ISNUMBER(MATCH(FU$1, AsistenciaJetAdminConcatenada!$B:$B, 0)), ISNUMBER(SEARCH($A66,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ISNUMBER(SEARCH($A66, INDEX(AsistenciaJetAdminConcatenada!$D:$D, MATCH(1, (AsistenciaJetAdminConcatenada!$A:$A=FU$2)*(AsistenciaJetAdminConcatenada!$B:$B=FU$1), 0)), 1))),  0.5, 0))</f>
        <v>0</v>
      </c>
      <c r="FV66" s="47">
        <f t="array" ref="FV66">IF(AND(ISNUMBER(MATCH(FV$2, AsistenciaJetAdminConcatenada!$A:$A, 0)), ISNUMBER(MATCH(FV$1, AsistenciaJetAdminConcatenada!$B:$B, 0)), ISNUMBER(SEARCH($A66,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ISNUMBER(SEARCH($A66, INDEX(AsistenciaJetAdminConcatenada!$D:$D, MATCH(1, (AsistenciaJetAdminConcatenada!$A:$A=FV$2)*(AsistenciaJetAdminConcatenada!$B:$B=FV$1), 0)), 1))),  0.5, 0))</f>
        <v>0</v>
      </c>
      <c r="FW66" s="47">
        <f t="array" ref="FW66">IF(AND(ISNUMBER(MATCH(FW$2, AsistenciaJetAdminConcatenada!$A:$A, 0)), ISNUMBER(MATCH(FW$1, AsistenciaJetAdminConcatenada!$B:$B, 0)), ISNUMBER(SEARCH($A66,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ISNUMBER(SEARCH($A66, INDEX(AsistenciaJetAdminConcatenada!$D:$D, MATCH(1, (AsistenciaJetAdminConcatenada!$A:$A=FW$2)*(AsistenciaJetAdminConcatenada!$B:$B=FW$1), 0)), 1))),  0.5, 0))</f>
        <v>0</v>
      </c>
      <c r="FX66" s="47">
        <f t="array" ref="FX66">IF(AND(ISNUMBER(MATCH(FX$2, AsistenciaJetAdminConcatenada!$A:$A, 0)), ISNUMBER(MATCH(FX$1, AsistenciaJetAdminConcatenada!$B:$B, 0)), ISNUMBER(SEARCH($A66,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ISNUMBER(SEARCH($A66, INDEX(AsistenciaJetAdminConcatenada!$D:$D, MATCH(1, (AsistenciaJetAdminConcatenada!$A:$A=FX$2)*(AsistenciaJetAdminConcatenada!$B:$B=FX$1), 0)), 1))),  0.5, 0))</f>
        <v>0</v>
      </c>
      <c r="FY66" s="47">
        <f t="array" ref="FY66">IF(AND(ISNUMBER(MATCH(FY$2, AsistenciaJetAdminConcatenada!$A:$A, 0)), ISNUMBER(MATCH(FY$1, AsistenciaJetAdminConcatenada!$B:$B, 0)), ISNUMBER(SEARCH($A66,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ISNUMBER(SEARCH($A66, INDEX(AsistenciaJetAdminConcatenada!$D:$D, MATCH(1, (AsistenciaJetAdminConcatenada!$A:$A=FY$2)*(AsistenciaJetAdminConcatenada!$B:$B=FY$1), 0)), 1))),  0.5, 0))</f>
        <v>0</v>
      </c>
      <c r="FZ66" s="47">
        <f t="array" ref="FZ66">IF(AND(ISNUMBER(MATCH(FZ$2, AsistenciaJetAdminConcatenada!$A:$A, 0)), ISNUMBER(MATCH(FZ$1, AsistenciaJetAdminConcatenada!$B:$B, 0)), ISNUMBER(SEARCH($A66,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ISNUMBER(SEARCH($A66, INDEX(AsistenciaJetAdminConcatenada!$D:$D, MATCH(1, (AsistenciaJetAdminConcatenada!$A:$A=FZ$2)*(AsistenciaJetAdminConcatenada!$B:$B=FZ$1), 0)), 1))),  0.5, 0))</f>
        <v>0</v>
      </c>
      <c r="GA66" s="47">
        <f t="array" ref="GA66">IF(AND(ISNUMBER(MATCH(GA$2, AsistenciaJetAdminConcatenada!$A:$A, 0)), ISNUMBER(MATCH(GA$1, AsistenciaJetAdminConcatenada!$B:$B, 0)), ISNUMBER(SEARCH($A66,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ISNUMBER(SEARCH($A66, INDEX(AsistenciaJetAdminConcatenada!$D:$D, MATCH(1, (AsistenciaJetAdminConcatenada!$A:$A=GA$2)*(AsistenciaJetAdminConcatenada!$B:$B=GA$1), 0)), 1))),  0.5, 0))</f>
        <v>0</v>
      </c>
      <c r="GB66" s="47">
        <f t="array" ref="GB66">IF(AND(ISNUMBER(MATCH(GB$2, AsistenciaJetAdminConcatenada!$A:$A, 0)), ISNUMBER(MATCH(GB$1, AsistenciaJetAdminConcatenada!$B:$B, 0)), ISNUMBER(SEARCH($A66,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ISNUMBER(SEARCH($A66, INDEX(AsistenciaJetAdminConcatenada!$D:$D, MATCH(1, (AsistenciaJetAdminConcatenada!$A:$A=GB$2)*(AsistenciaJetAdminConcatenada!$B:$B=GB$1), 0)), 1))),  0.5, 0))</f>
        <v>0</v>
      </c>
      <c r="GC66" s="47">
        <f t="array" ref="GC66">IF(AND(ISNUMBER(MATCH(GC$2, AsistenciaJetAdminConcatenada!$A:$A, 0)), ISNUMBER(MATCH(GC$1, AsistenciaJetAdminConcatenada!$B:$B, 0)), ISNUMBER(SEARCH($A66,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ISNUMBER(SEARCH($A66, INDEX(AsistenciaJetAdminConcatenada!$D:$D, MATCH(1, (AsistenciaJetAdminConcatenada!$A:$A=GC$2)*(AsistenciaJetAdminConcatenada!$B:$B=GC$1), 0)), 1))),  0.5, 0))</f>
        <v>0</v>
      </c>
      <c r="GD66" s="47">
        <f t="array" ref="GD66">IF(AND(ISNUMBER(MATCH(GD$2, AsistenciaJetAdminConcatenada!$A:$A, 0)), ISNUMBER(MATCH(GD$1, AsistenciaJetAdminConcatenada!$B:$B, 0)), ISNUMBER(SEARCH($A66,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ISNUMBER(SEARCH($A66, INDEX(AsistenciaJetAdminConcatenada!$D:$D, MATCH(1, (AsistenciaJetAdminConcatenada!$A:$A=GD$2)*(AsistenciaJetAdminConcatenada!$B:$B=GD$1), 0)), 1))),  0.5, 0))</f>
        <v>0</v>
      </c>
      <c r="GE66" s="47">
        <f t="array" ref="GE66">IF(AND(ISNUMBER(MATCH(GE$2, AsistenciaJetAdminConcatenada!$A:$A, 0)), ISNUMBER(MATCH(GE$1, AsistenciaJetAdminConcatenada!$B:$B, 0)), ISNUMBER(SEARCH($A66,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ISNUMBER(SEARCH($A66, INDEX(AsistenciaJetAdminConcatenada!$D:$D, MATCH(1, (AsistenciaJetAdminConcatenada!$A:$A=GE$2)*(AsistenciaJetAdminConcatenada!$B:$B=GE$1), 0)), 1))),  0.5, 0))</f>
        <v>0</v>
      </c>
      <c r="GF66" s="47">
        <f t="array" ref="GF66">IF(AND(ISNUMBER(MATCH(GF$2, AsistenciaJetAdminConcatenada!$A:$A, 0)), ISNUMBER(MATCH(GF$1, AsistenciaJetAdminConcatenada!$B:$B, 0)), ISNUMBER(SEARCH($A66,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ISNUMBER(SEARCH($A66, INDEX(AsistenciaJetAdminConcatenada!$D:$D, MATCH(1, (AsistenciaJetAdminConcatenada!$A:$A=GF$2)*(AsistenciaJetAdminConcatenada!$B:$B=GF$1), 0)), 1))),  0.5, 0))</f>
        <v>0</v>
      </c>
      <c r="GG66" s="47">
        <f t="array" ref="GG66">IF(AND(ISNUMBER(MATCH(GG$2, AsistenciaJetAdminConcatenada!$A:$A, 0)), ISNUMBER(MATCH(GG$1, AsistenciaJetAdminConcatenada!$B:$B, 0)), ISNUMBER(SEARCH($A66,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ISNUMBER(SEARCH($A66, INDEX(AsistenciaJetAdminConcatenada!$D:$D, MATCH(1, (AsistenciaJetAdminConcatenada!$A:$A=GG$2)*(AsistenciaJetAdminConcatenada!$B:$B=GG$1), 0)), 1))),  0.5, 0))</f>
        <v>0</v>
      </c>
      <c r="GH66" s="47">
        <f t="array" ref="GH66">IF(AND(ISNUMBER(MATCH(GH$2, AsistenciaJetAdminConcatenada!$A:$A, 0)), ISNUMBER(MATCH(GH$1, AsistenciaJetAdminConcatenada!$B:$B, 0)), ISNUMBER(SEARCH($A66,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ISNUMBER(SEARCH($A66, INDEX(AsistenciaJetAdminConcatenada!$D:$D, MATCH(1, (AsistenciaJetAdminConcatenada!$A:$A=GH$2)*(AsistenciaJetAdminConcatenada!$B:$B=GH$1), 0)), 1))),  0.5, 0))</f>
        <v>0</v>
      </c>
      <c r="GI66" s="47">
        <f t="array" ref="GI66">IF(AND(ISNUMBER(MATCH(GI$2, AsistenciaJetAdminConcatenada!$A:$A, 0)), ISNUMBER(MATCH(GI$1, AsistenciaJetAdminConcatenada!$B:$B, 0)), ISNUMBER(SEARCH($A66,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ISNUMBER(SEARCH($A66, INDEX(AsistenciaJetAdminConcatenada!$D:$D, MATCH(1, (AsistenciaJetAdminConcatenada!$A:$A=GI$2)*(AsistenciaJetAdminConcatenada!$B:$B=GI$1), 0)), 1))),  0.5, 0))</f>
        <v>0</v>
      </c>
      <c r="GJ66" s="47">
        <f t="array" ref="GJ66">IF(AND(ISNUMBER(MATCH(GJ$2, AsistenciaJetAdminConcatenada!$A:$A, 0)), ISNUMBER(MATCH(GJ$1, AsistenciaJetAdminConcatenada!$B:$B, 0)), ISNUMBER(SEARCH($A66,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ISNUMBER(SEARCH($A66, INDEX(AsistenciaJetAdminConcatenada!$D:$D, MATCH(1, (AsistenciaJetAdminConcatenada!$A:$A=GJ$2)*(AsistenciaJetAdminConcatenada!$B:$B=GJ$1), 0)), 1))),  0.5, 0))</f>
        <v>0</v>
      </c>
      <c r="GK66" s="47">
        <f t="array" ref="GK66">IF(AND(ISNUMBER(MATCH(GK$2, AsistenciaJetAdminConcatenada!$A:$A, 0)), ISNUMBER(MATCH(GK$1, AsistenciaJetAdminConcatenada!$B:$B, 0)), ISNUMBER(SEARCH($A66,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ISNUMBER(SEARCH($A66, INDEX(AsistenciaJetAdminConcatenada!$D:$D, MATCH(1, (AsistenciaJetAdminConcatenada!$A:$A=GK$2)*(AsistenciaJetAdminConcatenada!$B:$B=GK$1), 0)), 1))),  0.5, 0))</f>
        <v>0</v>
      </c>
      <c r="GL66" s="47">
        <f t="array" ref="GL66">IF(AND(ISNUMBER(MATCH(GL$2, AsistenciaJetAdminConcatenada!$A:$A, 0)), ISNUMBER(MATCH(GL$1, AsistenciaJetAdminConcatenada!$B:$B, 0)), ISNUMBER(SEARCH($A66,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ISNUMBER(SEARCH($A66, INDEX(AsistenciaJetAdminConcatenada!$D:$D, MATCH(1, (AsistenciaJetAdminConcatenada!$A:$A=GL$2)*(AsistenciaJetAdminConcatenada!$B:$B=GL$1), 0)), 1))),  0.5, 0))</f>
        <v>0</v>
      </c>
      <c r="GM66" s="47">
        <f t="array" ref="GM66">IF(AND(ISNUMBER(MATCH(GM$2, AsistenciaJetAdminConcatenada!$A:$A, 0)), ISNUMBER(MATCH(GM$1, AsistenciaJetAdminConcatenada!$B:$B, 0)), ISNUMBER(SEARCH($A66,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ISNUMBER(SEARCH($A66, INDEX(AsistenciaJetAdminConcatenada!$D:$D, MATCH(1, (AsistenciaJetAdminConcatenada!$A:$A=GM$2)*(AsistenciaJetAdminConcatenada!$B:$B=GM$1), 0)), 1))),  0.5, 0))</f>
        <v>0</v>
      </c>
      <c r="GN66" s="47">
        <f t="array" ref="GN66">IF(AND(ISNUMBER(MATCH(GN$2, AsistenciaJetAdminConcatenada!$A:$A, 0)), ISNUMBER(MATCH(GN$1, AsistenciaJetAdminConcatenada!$B:$B, 0)), ISNUMBER(SEARCH($A66,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ISNUMBER(SEARCH($A66, INDEX(AsistenciaJetAdminConcatenada!$D:$D, MATCH(1, (AsistenciaJetAdminConcatenada!$A:$A=GN$2)*(AsistenciaJetAdminConcatenada!$B:$B=GN$1), 0)), 1))),  0.5, 0))</f>
        <v>0</v>
      </c>
      <c r="GO66" s="47">
        <f t="array" ref="GO66">IF(AND(ISNUMBER(MATCH(GO$2, AsistenciaJetAdminConcatenada!$A:$A, 0)), ISNUMBER(MATCH(GO$1, AsistenciaJetAdminConcatenada!$B:$B, 0)), ISNUMBER(SEARCH($A66,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ISNUMBER(SEARCH($A66, INDEX(AsistenciaJetAdminConcatenada!$D:$D, MATCH(1, (AsistenciaJetAdminConcatenada!$A:$A=GO$2)*(AsistenciaJetAdminConcatenada!$B:$B=GO$1), 0)), 1))),  0.5, 0))</f>
        <v>0</v>
      </c>
      <c r="GP66" s="47">
        <f t="array" ref="GP66">IF(AND(ISNUMBER(MATCH(GP$2, AsistenciaJetAdminConcatenada!$A:$A, 0)), ISNUMBER(MATCH(GP$1, AsistenciaJetAdminConcatenada!$B:$B, 0)), ISNUMBER(SEARCH($A66,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ISNUMBER(SEARCH($A66, INDEX(AsistenciaJetAdminConcatenada!$D:$D, MATCH(1, (AsistenciaJetAdminConcatenada!$A:$A=GP$2)*(AsistenciaJetAdminConcatenada!$B:$B=GP$1), 0)), 1))),  0.5, 0))</f>
        <v>0</v>
      </c>
      <c r="GQ66" s="47">
        <f t="array" ref="GQ66">IF(AND(ISNUMBER(MATCH(GQ$2, AsistenciaJetAdminConcatenada!$A:$A, 0)), ISNUMBER(MATCH(GQ$1, AsistenciaJetAdminConcatenada!$B:$B, 0)), ISNUMBER(SEARCH($A66,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ISNUMBER(SEARCH($A66, INDEX(AsistenciaJetAdminConcatenada!$D:$D, MATCH(1, (AsistenciaJetAdminConcatenada!$A:$A=GQ$2)*(AsistenciaJetAdminConcatenada!$B:$B=GQ$1), 0)), 1))),  0.5, 0))</f>
        <v>0</v>
      </c>
      <c r="GR66" s="47">
        <f t="array" ref="GR66">IF(AND(ISNUMBER(MATCH(GR$2, AsistenciaJetAdminConcatenada!$A:$A, 0)), ISNUMBER(MATCH(GR$1, AsistenciaJetAdminConcatenada!$B:$B, 0)), ISNUMBER(SEARCH($A66,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ISNUMBER(SEARCH($A66, INDEX(AsistenciaJetAdminConcatenada!$D:$D, MATCH(1, (AsistenciaJetAdminConcatenada!$A:$A=GR$2)*(AsistenciaJetAdminConcatenada!$B:$B=GR$1), 0)), 1))),  0.5, 0))</f>
        <v>0</v>
      </c>
      <c r="GS66" s="47">
        <f t="array" ref="GS66">IF(AND(ISNUMBER(MATCH(GS$2, AsistenciaJetAdminConcatenada!$A:$A, 0)), ISNUMBER(MATCH(GS$1, AsistenciaJetAdminConcatenada!$B:$B, 0)), ISNUMBER(SEARCH($A66,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ISNUMBER(SEARCH($A66, INDEX(AsistenciaJetAdminConcatenada!$D:$D, MATCH(1, (AsistenciaJetAdminConcatenada!$A:$A=GS$2)*(AsistenciaJetAdminConcatenada!$B:$B=GS$1), 0)), 1))),  0.5, 0))</f>
        <v>0</v>
      </c>
      <c r="GT66" s="47">
        <f t="array" ref="GT66">IF(AND(ISNUMBER(MATCH(GT$2, AsistenciaJetAdminConcatenada!$A:$A, 0)), ISNUMBER(MATCH(GT$1, AsistenciaJetAdminConcatenada!$B:$B, 0)), ISNUMBER(SEARCH($A66,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ISNUMBER(SEARCH($A66, INDEX(AsistenciaJetAdminConcatenada!$D:$D, MATCH(1, (AsistenciaJetAdminConcatenada!$A:$A=GT$2)*(AsistenciaJetAdminConcatenada!$B:$B=GT$1), 0)), 1))),  0.5, 0))</f>
        <v>0</v>
      </c>
      <c r="GU66" s="47">
        <f t="array" ref="GU66">IF(AND(ISNUMBER(MATCH(GU$2, AsistenciaJetAdminConcatenada!$A:$A, 0)), ISNUMBER(MATCH(GU$1, AsistenciaJetAdminConcatenada!$B:$B, 0)), ISNUMBER(SEARCH($A66,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ISNUMBER(SEARCH($A66, INDEX(AsistenciaJetAdminConcatenada!$D:$D, MATCH(1, (AsistenciaJetAdminConcatenada!$A:$A=GU$2)*(AsistenciaJetAdminConcatenada!$B:$B=GU$1), 0)), 1))),  0.5, 0))</f>
        <v>0</v>
      </c>
      <c r="GV66" s="47">
        <f t="array" ref="GV66">IF(AND(ISNUMBER(MATCH(GV$2, AsistenciaJetAdminConcatenada!$A:$A, 0)), ISNUMBER(MATCH(GV$1, AsistenciaJetAdminConcatenada!$B:$B, 0)), ISNUMBER(SEARCH($A66,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ISNUMBER(SEARCH($A66, INDEX(AsistenciaJetAdminConcatenada!$D:$D, MATCH(1, (AsistenciaJetAdminConcatenada!$A:$A=GV$2)*(AsistenciaJetAdminConcatenada!$B:$B=GV$1), 0)), 1))),  0.5, 0))</f>
        <v>0</v>
      </c>
      <c r="GW66" s="47">
        <f t="array" ref="GW66">IF(AND(ISNUMBER(MATCH(GW$2, AsistenciaJetAdminConcatenada!$A:$A, 0)), ISNUMBER(MATCH(GW$1, AsistenciaJetAdminConcatenada!$B:$B, 0)), ISNUMBER(SEARCH($A66,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ISNUMBER(SEARCH($A66, INDEX(AsistenciaJetAdminConcatenada!$D:$D, MATCH(1, (AsistenciaJetAdminConcatenada!$A:$A=GW$2)*(AsistenciaJetAdminConcatenada!$B:$B=GW$1), 0)), 1))),  0.5, 0))</f>
        <v>0</v>
      </c>
      <c r="GX66" s="47">
        <f t="array" ref="GX66">IF(AND(ISNUMBER(MATCH(GX$2, AsistenciaJetAdminConcatenada!$A:$A, 0)), ISNUMBER(MATCH(GX$1, AsistenciaJetAdminConcatenada!$B:$B, 0)), ISNUMBER(SEARCH($A66,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ISNUMBER(SEARCH($A66, INDEX(AsistenciaJetAdminConcatenada!$D:$D, MATCH(1, (AsistenciaJetAdminConcatenada!$A:$A=GX$2)*(AsistenciaJetAdminConcatenada!$B:$B=GX$1), 0)), 1))),  0.5, 0))</f>
        <v>0</v>
      </c>
      <c r="GY66" s="47">
        <f t="array" ref="GY66">IF(AND(ISNUMBER(MATCH(GY$2, AsistenciaJetAdminConcatenada!$A:$A, 0)), ISNUMBER(MATCH(GY$1, AsistenciaJetAdminConcatenada!$B:$B, 0)), ISNUMBER(SEARCH($A66,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ISNUMBER(SEARCH($A66, INDEX(AsistenciaJetAdminConcatenada!$D:$D, MATCH(1, (AsistenciaJetAdminConcatenada!$A:$A=GY$2)*(AsistenciaJetAdminConcatenada!$B:$B=GY$1), 0)), 1))),  0.5, 0))</f>
        <v>0</v>
      </c>
      <c r="GZ66" s="47">
        <f t="array" ref="GZ66">IF(AND(ISNUMBER(MATCH(GZ$2, AsistenciaJetAdminConcatenada!$A:$A, 0)), ISNUMBER(MATCH(GZ$1, AsistenciaJetAdminConcatenada!$B:$B, 0)), ISNUMBER(SEARCH($A66,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ISNUMBER(SEARCH($A66, INDEX(AsistenciaJetAdminConcatenada!$D:$D, MATCH(1, (AsistenciaJetAdminConcatenada!$A:$A=GZ$2)*(AsistenciaJetAdminConcatenada!$B:$B=GZ$1), 0)), 1))),  0.5, 0))</f>
        <v>0</v>
      </c>
      <c r="HA66" s="47">
        <f t="array" ref="HA66">IF(AND(ISNUMBER(MATCH(HA$2, AsistenciaJetAdminConcatenada!$A:$A, 0)), ISNUMBER(MATCH(HA$1, AsistenciaJetAdminConcatenada!$B:$B, 0)), ISNUMBER(SEARCH($A66,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ISNUMBER(SEARCH($A66, INDEX(AsistenciaJetAdminConcatenada!$D:$D, MATCH(1, (AsistenciaJetAdminConcatenada!$A:$A=HA$2)*(AsistenciaJetAdminConcatenada!$B:$B=HA$1), 0)), 1))),  0.5, 0))</f>
        <v>0</v>
      </c>
      <c r="HB66" s="47">
        <f t="array" ref="HB66">IF(AND(ISNUMBER(MATCH(HB$2, AsistenciaJetAdminConcatenada!$A:$A, 0)), ISNUMBER(MATCH(HB$1, AsistenciaJetAdminConcatenada!$B:$B, 0)), ISNUMBER(SEARCH($A66,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ISNUMBER(SEARCH($A66, INDEX(AsistenciaJetAdminConcatenada!$D:$D, MATCH(1, (AsistenciaJetAdminConcatenada!$A:$A=HB$2)*(AsistenciaJetAdminConcatenada!$B:$B=HB$1), 0)), 1))),  0.5, 0))</f>
        <v>0</v>
      </c>
      <c r="HC66" s="47">
        <f t="array" ref="HC66">IF(AND(ISNUMBER(MATCH(HC$2, AsistenciaJetAdminConcatenada!$A:$A, 0)), ISNUMBER(MATCH(HC$1, AsistenciaJetAdminConcatenada!$B:$B, 0)), ISNUMBER(SEARCH($A66,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ISNUMBER(SEARCH($A66, INDEX(AsistenciaJetAdminConcatenada!$D:$D, MATCH(1, (AsistenciaJetAdminConcatenada!$A:$A=HC$2)*(AsistenciaJetAdminConcatenada!$B:$B=HC$1), 0)), 1))),  0.5, 0))</f>
        <v>0</v>
      </c>
    </row>
    <row r="67" ht="29.25" customHeight="1">
      <c r="A67" s="3">
        <v>189.0</v>
      </c>
      <c r="B67" s="4" t="s">
        <v>353</v>
      </c>
      <c r="C67" s="47">
        <f>SUM(D67:HC67) + ActividadesEspeciales!C67</f>
        <v>71.5</v>
      </c>
      <c r="D67" s="47">
        <f t="array" ref="D67">IF(AND(ISNUMBER(MATCH(D$2, AsistenciaJetAdminConcatenada!$A:$A, 0)), ISNUMBER(MATCH(D$1, AsistenciaJetAdminConcatenada!$B:$B, 0)), ISNUMBER(SEARCH($A67,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ISNUMBER(SEARCH($A67, INDEX(AsistenciaJetAdminConcatenada!$D:$D, MATCH(1, (AsistenciaJetAdminConcatenada!$A:$A=D$2)*(AsistenciaJetAdminConcatenada!$B:$B=D$1), 0)), 1))),  0.5, 0))</f>
        <v>1</v>
      </c>
      <c r="E67" s="47">
        <f t="array" ref="E67">IF(AND(ISNUMBER(MATCH(E$2, AsistenciaJetAdminConcatenada!$A:$A, 0)), ISNUMBER(MATCH(E$1, AsistenciaJetAdminConcatenada!$B:$B, 0)), ISNUMBER(SEARCH($A67,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ISNUMBER(SEARCH($A67, INDEX(AsistenciaJetAdminConcatenada!$D:$D, MATCH(1, (AsistenciaJetAdminConcatenada!$A:$A=E$2)*(AsistenciaJetAdminConcatenada!$B:$B=E$1), 0)), 1))),  0.5, 0))</f>
        <v>1</v>
      </c>
      <c r="F67" s="47">
        <f t="array" ref="F67">IF(AND(ISNUMBER(MATCH(F$2, AsistenciaJetAdminConcatenada!$A:$A, 0)), ISNUMBER(MATCH(F$1, AsistenciaJetAdminConcatenada!$B:$B, 0)), ISNUMBER(SEARCH($A67,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ISNUMBER(SEARCH($A67, INDEX(AsistenciaJetAdminConcatenada!$D:$D, MATCH(1, (AsistenciaJetAdminConcatenada!$A:$A=F$2)*(AsistenciaJetAdminConcatenada!$B:$B=F$1), 0)), 1))),  0.5, 0))</f>
        <v>1</v>
      </c>
      <c r="G67" s="47">
        <f t="array" ref="G67">IF(AND(ISNUMBER(MATCH(G$2, AsistenciaJetAdminConcatenada!$A:$A, 0)), ISNUMBER(MATCH(G$1, AsistenciaJetAdminConcatenada!$B:$B, 0)), ISNUMBER(SEARCH($A67,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ISNUMBER(SEARCH($A67, INDEX(AsistenciaJetAdminConcatenada!$D:$D, MATCH(1, (AsistenciaJetAdminConcatenada!$A:$A=G$2)*(AsistenciaJetAdminConcatenada!$B:$B=G$1), 0)), 1))),  0.5, 0))</f>
        <v>1</v>
      </c>
      <c r="H67" s="47">
        <f t="array" ref="H67">IF(AND(ISNUMBER(MATCH(H$2, AsistenciaJetAdminConcatenada!$A:$A, 0)), ISNUMBER(MATCH(H$1, AsistenciaJetAdminConcatenada!$B:$B, 0)), ISNUMBER(SEARCH($A67,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ISNUMBER(SEARCH($A67, INDEX(AsistenciaJetAdminConcatenada!$D:$D, MATCH(1, (AsistenciaJetAdminConcatenada!$A:$A=H$2)*(AsistenciaJetAdminConcatenada!$B:$B=H$1), 0)), 1))),  0.5, 0))</f>
        <v>0</v>
      </c>
      <c r="I67" s="47">
        <f t="array" ref="I67">IF(AND(ISNUMBER(MATCH(I$2, AsistenciaJetAdminConcatenada!$A:$A, 0)), ISNUMBER(MATCH(I$1, AsistenciaJetAdminConcatenada!$B:$B, 0)), ISNUMBER(SEARCH($A67,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ISNUMBER(SEARCH($A67, INDEX(AsistenciaJetAdminConcatenada!$D:$D, MATCH(1, (AsistenciaJetAdminConcatenada!$A:$A=I$2)*(AsistenciaJetAdminConcatenada!$B:$B=I$1), 0)), 1))),  0.5, 0))</f>
        <v>1</v>
      </c>
      <c r="J67" s="47">
        <f t="array" ref="J67">IF(AND(ISNUMBER(MATCH(J$2, AsistenciaJetAdminConcatenada!$A:$A, 0)), ISNUMBER(MATCH(J$1, AsistenciaJetAdminConcatenada!$B:$B, 0)), ISNUMBER(SEARCH($A67,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ISNUMBER(SEARCH($A67, INDEX(AsistenciaJetAdminConcatenada!$D:$D, MATCH(1, (AsistenciaJetAdminConcatenada!$A:$A=J$2)*(AsistenciaJetAdminConcatenada!$B:$B=J$1), 0)), 1))),  0.5, 0))</f>
        <v>1</v>
      </c>
      <c r="K67" s="47">
        <f t="array" ref="K67">IF(AND(ISNUMBER(MATCH(K$2, AsistenciaJetAdminConcatenada!$A:$A, 0)), ISNUMBER(MATCH(K$1, AsistenciaJetAdminConcatenada!$B:$B, 0)), ISNUMBER(SEARCH($A67,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ISNUMBER(SEARCH($A67, INDEX(AsistenciaJetAdminConcatenada!$D:$D, MATCH(1, (AsistenciaJetAdminConcatenada!$A:$A=K$2)*(AsistenciaJetAdminConcatenada!$B:$B=K$1), 0)), 1))),  0.5, 0))</f>
        <v>0</v>
      </c>
      <c r="L67" s="47">
        <f t="array" ref="L67">IF(AND(ISNUMBER(MATCH(L$2, AsistenciaJetAdminConcatenada!$A:$A, 0)), ISNUMBER(MATCH(L$1, AsistenciaJetAdminConcatenada!$B:$B, 0)), ISNUMBER(SEARCH($A67,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ISNUMBER(SEARCH($A67, INDEX(AsistenciaJetAdminConcatenada!$D:$D, MATCH(1, (AsistenciaJetAdminConcatenada!$A:$A=L$2)*(AsistenciaJetAdminConcatenada!$B:$B=L$1), 0)), 1))),  0.5, 0))</f>
        <v>1</v>
      </c>
      <c r="M67" s="47">
        <f t="array" ref="M67">IF(AND(ISNUMBER(MATCH(M$2, AsistenciaJetAdminConcatenada!$A:$A, 0)), ISNUMBER(MATCH(M$1, AsistenciaJetAdminConcatenada!$B:$B, 0)), ISNUMBER(SEARCH($A67,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ISNUMBER(SEARCH($A67, INDEX(AsistenciaJetAdminConcatenada!$D:$D, MATCH(1, (AsistenciaJetAdminConcatenada!$A:$A=M$2)*(AsistenciaJetAdminConcatenada!$B:$B=M$1), 0)), 1))),  0.5, 0))</f>
        <v>1</v>
      </c>
      <c r="N67" s="47">
        <f t="array" ref="N67">IF(AND(ISNUMBER(MATCH(N$2, AsistenciaJetAdminConcatenada!$A:$A, 0)), ISNUMBER(MATCH(N$1, AsistenciaJetAdminConcatenada!$B:$B, 0)), ISNUMBER(SEARCH($A67,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ISNUMBER(SEARCH($A67, INDEX(AsistenciaJetAdminConcatenada!$D:$D, MATCH(1, (AsistenciaJetAdminConcatenada!$A:$A=N$2)*(AsistenciaJetAdminConcatenada!$B:$B=N$1), 0)), 1))),  0.5, 0))</f>
        <v>0</v>
      </c>
      <c r="O67" s="47">
        <f t="array" ref="O67">IF(AND(ISNUMBER(MATCH(O$2, AsistenciaJetAdminConcatenada!$A:$A, 0)), ISNUMBER(MATCH(O$1, AsistenciaJetAdminConcatenada!$B:$B, 0)), ISNUMBER(SEARCH($A67,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ISNUMBER(SEARCH($A67, INDEX(AsistenciaJetAdminConcatenada!$D:$D, MATCH(1, (AsistenciaJetAdminConcatenada!$A:$A=O$2)*(AsistenciaJetAdminConcatenada!$B:$B=O$1), 0)), 1))),  0.5, 0))</f>
        <v>0</v>
      </c>
      <c r="P67" s="47">
        <f t="array" ref="P67">IF(AND(ISNUMBER(MATCH(P$2, AsistenciaJetAdminConcatenada!$A:$A, 0)), ISNUMBER(MATCH(P$1, AsistenciaJetAdminConcatenada!$B:$B, 0)), ISNUMBER(SEARCH($A67, INDEX(AsistenciaJetAdminConcatenada!$C:$C, MATCH(1, (AsistenciaJetAdminConcatenada!$A:$A=P$2)*(AsistenciaJetAdminConcatenada!$B:$B=P$1), 0)), 1))), 1, IF(AND(ISNUMBER(MATCH(P$2, AsistenciaJetAdminConcatenada!$A:$A, 0)), ISNUMBER(MATCH(P$1, AsistenciaJetAdminConcatenada!$B:$B, 0)), ISNUMBER(SEARCH($A67, INDEX(AsistenciaJetAdminConcatenada!$D:$D, MATCH(1, (AsistenciaJetAdminConcatenada!$A:$A=P$2)*(AsistenciaJetAdminConcatenada!$B:$B=P$1), 0)), 1))),  0.5, 0))</f>
        <v>1</v>
      </c>
      <c r="Q67" s="47">
        <f t="array" ref="Q67">IF(AND(ISNUMBER(MATCH(Q$2, AsistenciaJetAdminConcatenada!$A:$A, 0)), ISNUMBER(MATCH(Q$1, AsistenciaJetAdminConcatenada!$B:$B, 0)), ISNUMBER(SEARCH($A67, INDEX(AsistenciaJetAdminConcatenada!$C:$C, MATCH(1, (AsistenciaJetAdminConcatenada!$A:$A=Q$2)*(AsistenciaJetAdminConcatenada!$B:$B=Q$1), 0)), 1))), 1, IF(AND(ISNUMBER(MATCH(Q$2, AsistenciaJetAdminConcatenada!$A:$A, 0)), ISNUMBER(MATCH(Q$1, AsistenciaJetAdminConcatenada!$B:$B, 0)), ISNUMBER(SEARCH($A67, INDEX(AsistenciaJetAdminConcatenada!$D:$D, MATCH(1, (AsistenciaJetAdminConcatenada!$A:$A=Q$2)*(AsistenciaJetAdminConcatenada!$B:$B=Q$1), 0)), 1))),  0.5, 0))</f>
        <v>1</v>
      </c>
      <c r="R67" s="47">
        <f t="array" ref="R67">IF(AND(ISNUMBER(MATCH(R$2, AsistenciaJetAdminConcatenada!$A:$A, 0)), ISNUMBER(MATCH(R$1, AsistenciaJetAdminConcatenada!$B:$B, 0)), ISNUMBER(SEARCH($A67,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ISNUMBER(SEARCH($A67, INDEX(AsistenciaJetAdminConcatenada!$D:$D, MATCH(1, (AsistenciaJetAdminConcatenada!$A:$A=R$2)*(AsistenciaJetAdminConcatenada!$B:$B=R$1), 0)), 1))),  0.5, 0))</f>
        <v>1</v>
      </c>
      <c r="S67" s="47">
        <f t="array" ref="S67">IF(AND(ISNUMBER(MATCH(S$2, AsistenciaJetAdminConcatenada!$A:$A, 0)), ISNUMBER(MATCH(S$1, AsistenciaJetAdminConcatenada!$B:$B, 0)), ISNUMBER(SEARCH($A67,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ISNUMBER(SEARCH($A67, INDEX(AsistenciaJetAdminConcatenada!$D:$D, MATCH(1, (AsistenciaJetAdminConcatenada!$A:$A=S$2)*(AsistenciaJetAdminConcatenada!$B:$B=S$1), 0)), 1))),  0.5, 0))</f>
        <v>0.5</v>
      </c>
      <c r="T67" s="47">
        <f t="array" ref="T67">IF(AND(ISNUMBER(MATCH(T$2, AsistenciaJetAdminConcatenada!$A:$A, 0)), ISNUMBER(MATCH(T$1, AsistenciaJetAdminConcatenada!$B:$B, 0)), ISNUMBER(SEARCH($A67,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ISNUMBER(SEARCH($A67, INDEX(AsistenciaJetAdminConcatenada!$D:$D, MATCH(1, (AsistenciaJetAdminConcatenada!$A:$A=T$2)*(AsistenciaJetAdminConcatenada!$B:$B=T$1), 0)), 1))),  0.5, 0))</f>
        <v>0</v>
      </c>
      <c r="U67" s="47">
        <f t="array" ref="U67">IF(AND(ISNUMBER(MATCH(U$2, AsistenciaJetAdminConcatenada!$A:$A, 0)), ISNUMBER(MATCH(U$1, AsistenciaJetAdminConcatenada!$B:$B, 0)), ISNUMBER(SEARCH($A67,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ISNUMBER(SEARCH($A67, INDEX(AsistenciaJetAdminConcatenada!$D:$D, MATCH(1, (AsistenciaJetAdminConcatenada!$A:$A=U$2)*(AsistenciaJetAdminConcatenada!$B:$B=U$1), 0)), 1))),  0.5, 0))</f>
        <v>1</v>
      </c>
      <c r="V67" s="47">
        <f t="array" ref="V67">IF(AND(ISNUMBER(MATCH(V$2, AsistenciaJetAdminConcatenada!$A:$A, 0)), ISNUMBER(MATCH(V$1, AsistenciaJetAdminConcatenada!$B:$B, 0)), ISNUMBER(SEARCH($A67,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ISNUMBER(SEARCH($A67, INDEX(AsistenciaJetAdminConcatenada!$D:$D, MATCH(1, (AsistenciaJetAdminConcatenada!$A:$A=V$2)*(AsistenciaJetAdminConcatenada!$B:$B=V$1), 0)), 1))),  0.5, 0))</f>
        <v>0.5</v>
      </c>
      <c r="W67" s="47">
        <f t="array" ref="W67">IF(AND(ISNUMBER(MATCH(W$2, AsistenciaJetAdminConcatenada!$A:$A, 0)), ISNUMBER(MATCH(W$1, AsistenciaJetAdminConcatenada!$B:$B, 0)), ISNUMBER(SEARCH($A67,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ISNUMBER(SEARCH($A67, INDEX(AsistenciaJetAdminConcatenada!$D:$D, MATCH(1, (AsistenciaJetAdminConcatenada!$A:$A=W$2)*(AsistenciaJetAdminConcatenada!$B:$B=W$1), 0)), 1))),  0.5, 0))</f>
        <v>1</v>
      </c>
      <c r="X67" s="47">
        <f t="array" ref="X67">IF(AND(ISNUMBER(MATCH(X$2, AsistenciaJetAdminConcatenada!$A:$A, 0)), ISNUMBER(MATCH(X$1, AsistenciaJetAdminConcatenada!$B:$B, 0)), ISNUMBER(SEARCH($A67,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ISNUMBER(SEARCH($A67, INDEX(AsistenciaJetAdminConcatenada!$D:$D, MATCH(1, (AsistenciaJetAdminConcatenada!$A:$A=X$2)*(AsistenciaJetAdminConcatenada!$B:$B=X$1), 0)), 1))),  0.5, 0))</f>
        <v>0</v>
      </c>
      <c r="Y67" s="8">
        <v>0.5</v>
      </c>
      <c r="Z67" s="47">
        <f t="array" ref="Z67">IF(AND(ISNUMBER(MATCH(Z$2, AsistenciaJetAdminConcatenada!$A:$A, 0)), ISNUMBER(MATCH(Z$1, AsistenciaJetAdminConcatenada!$B:$B, 0)), ISNUMBER(SEARCH($A67,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ISNUMBER(SEARCH($A67, INDEX(AsistenciaJetAdminConcatenada!$D:$D, MATCH(1, (AsistenciaJetAdminConcatenada!$A:$A=Z$2)*(AsistenciaJetAdminConcatenada!$B:$B=Z$1), 0)), 1))),  0.5, 0))</f>
        <v>1</v>
      </c>
      <c r="AA67" s="47">
        <f t="array" ref="AA67">IF(AND(ISNUMBER(MATCH(AA$2, AsistenciaJetAdminConcatenada!$A:$A, 0)), ISNUMBER(MATCH(AA$1, AsistenciaJetAdminConcatenada!$B:$B, 0)), ISNUMBER(SEARCH($A67,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ISNUMBER(SEARCH($A67, INDEX(AsistenciaJetAdminConcatenada!$D:$D, MATCH(1, (AsistenciaJetAdminConcatenada!$A:$A=AA$2)*(AsistenciaJetAdminConcatenada!$B:$B=AA$1), 0)), 1))),  0.5, 0))</f>
        <v>0</v>
      </c>
      <c r="AB67" s="47">
        <f t="array" ref="AB67">IF(AND(ISNUMBER(MATCH(AB$2, AsistenciaJetAdminConcatenada!$A:$A, 0)), ISNUMBER(MATCH(AB$1, AsistenciaJetAdminConcatenada!$B:$B, 0)), ISNUMBER(SEARCH($A67,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ISNUMBER(SEARCH($A67, INDEX(AsistenciaJetAdminConcatenada!$D:$D, MATCH(1, (AsistenciaJetAdminConcatenada!$A:$A=AB$2)*(AsistenciaJetAdminConcatenada!$B:$B=AB$1), 0)), 1))),  0.5, 0))</f>
        <v>1</v>
      </c>
      <c r="AC67" s="47">
        <f t="array" ref="AC67">IF(AND(ISNUMBER(MATCH(AC$2, AsistenciaJetAdminConcatenada!$A:$A, 0)), ISNUMBER(MATCH(AC$1, AsistenciaJetAdminConcatenada!$B:$B, 0)), ISNUMBER(SEARCH($A67,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ISNUMBER(SEARCH($A67, INDEX(AsistenciaJetAdminConcatenada!$D:$D, MATCH(1, (AsistenciaJetAdminConcatenada!$A:$A=AC$2)*(AsistenciaJetAdminConcatenada!$B:$B=AC$1), 0)), 1))),  0.5, 0))</f>
        <v>1</v>
      </c>
      <c r="AD67" s="47">
        <f t="array" ref="AD67">IF(AND(ISNUMBER(MATCH(AD$2, AsistenciaJetAdminConcatenada!$A:$A, 0)), ISNUMBER(MATCH(AD$1, AsistenciaJetAdminConcatenada!$B:$B, 0)), ISNUMBER(SEARCH($A67,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ISNUMBER(SEARCH($A67, INDEX(AsistenciaJetAdminConcatenada!$D:$D, MATCH(1, (AsistenciaJetAdminConcatenada!$A:$A=AD$2)*(AsistenciaJetAdminConcatenada!$B:$B=AD$1), 0)), 1))),  0.5, 0))</f>
        <v>1</v>
      </c>
      <c r="AE67" s="47">
        <f t="array" ref="AE67">IF(AND(ISNUMBER(MATCH(AE$2, AsistenciaJetAdminConcatenada!$A:$A, 0)), ISNUMBER(MATCH(AE$1, AsistenciaJetAdminConcatenada!$B:$B, 0)), ISNUMBER(SEARCH($A67,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ISNUMBER(SEARCH($A67, INDEX(AsistenciaJetAdminConcatenada!$D:$D, MATCH(1, (AsistenciaJetAdminConcatenada!$A:$A=AE$2)*(AsistenciaJetAdminConcatenada!$B:$B=AE$1), 0)), 1))),  0.5, 0))</f>
        <v>0</v>
      </c>
      <c r="AF67" s="47">
        <f t="array" ref="AF67">IF(AND(ISNUMBER(MATCH(AF$2, AsistenciaJetAdminConcatenada!$A:$A, 0)), ISNUMBER(MATCH(AF$1, AsistenciaJetAdminConcatenada!$B:$B, 0)), ISNUMBER(SEARCH($A67,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ISNUMBER(SEARCH($A67, INDEX(AsistenciaJetAdminConcatenada!$D:$D, MATCH(1, (AsistenciaJetAdminConcatenada!$A:$A=AF$2)*(AsistenciaJetAdminConcatenada!$B:$B=AF$1), 0)), 1))),  0.5, 0))</f>
        <v>1</v>
      </c>
      <c r="AG67" s="47">
        <f t="array" ref="AG67">IF(AND(ISNUMBER(MATCH(AG$2, AsistenciaJetAdminConcatenada!$A:$A, 0)), ISNUMBER(MATCH(AG$1, AsistenciaJetAdminConcatenada!$B:$B, 0)), ISNUMBER(SEARCH($A67,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ISNUMBER(SEARCH($A67, INDEX(AsistenciaJetAdminConcatenada!$D:$D, MATCH(1, (AsistenciaJetAdminConcatenada!$A:$A=AG$2)*(AsistenciaJetAdminConcatenada!$B:$B=AG$1), 0)), 1))),  0.5, 0))</f>
        <v>1</v>
      </c>
      <c r="AH67" s="47">
        <f t="array" ref="AH67">IF(AND(ISNUMBER(MATCH(AH$2, AsistenciaJetAdminConcatenada!$A:$A, 0)), ISNUMBER(MATCH(AH$1, AsistenciaJetAdminConcatenada!$B:$B, 0)), ISNUMBER(SEARCH($A67,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ISNUMBER(SEARCH($A67, INDEX(AsistenciaJetAdminConcatenada!$D:$D, MATCH(1, (AsistenciaJetAdminConcatenada!$A:$A=AH$2)*(AsistenciaJetAdminConcatenada!$B:$B=AH$1), 0)), 1))),  0.5, 0))</f>
        <v>0</v>
      </c>
      <c r="AI67" s="47">
        <f t="array" ref="AI67">IF(AND(ISNUMBER(MATCH(AI$2, AsistenciaJetAdminConcatenada!$A:$A, 0)), ISNUMBER(MATCH(AI$1, AsistenciaJetAdminConcatenada!$B:$B, 0)), ISNUMBER(SEARCH($A67,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ISNUMBER(SEARCH($A67, INDEX(AsistenciaJetAdminConcatenada!$D:$D, MATCH(1, (AsistenciaJetAdminConcatenada!$A:$A=AI$2)*(AsistenciaJetAdminConcatenada!$B:$B=AI$1), 0)), 1))),  0.5, 0))</f>
        <v>0</v>
      </c>
      <c r="AJ67" s="47">
        <f t="array" ref="AJ67">IF(AND(ISNUMBER(MATCH(AJ$2, AsistenciaJetAdminConcatenada!$A:$A, 0)), ISNUMBER(MATCH(AJ$1, AsistenciaJetAdminConcatenada!$B:$B, 0)), ISNUMBER(SEARCH($A67,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ISNUMBER(SEARCH($A67, INDEX(AsistenciaJetAdminConcatenada!$D:$D, MATCH(1, (AsistenciaJetAdminConcatenada!$A:$A=AJ$2)*(AsistenciaJetAdminConcatenada!$B:$B=AJ$1), 0)), 1))),  0.5, 0))</f>
        <v>1</v>
      </c>
      <c r="AK67" s="47">
        <f t="array" ref="AK67">IF(AND(ISNUMBER(MATCH(AK$2, AsistenciaJetAdminConcatenada!$A:$A, 0)), ISNUMBER(MATCH(AK$1, AsistenciaJetAdminConcatenada!$B:$B, 0)), ISNUMBER(SEARCH($A67,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ISNUMBER(SEARCH($A67, INDEX(AsistenciaJetAdminConcatenada!$D:$D, MATCH(1, (AsistenciaJetAdminConcatenada!$A:$A=AK$2)*(AsistenciaJetAdminConcatenada!$B:$B=AK$1), 0)), 1))),  0.5, 0))</f>
        <v>1</v>
      </c>
      <c r="AL67" s="47">
        <f t="array" ref="AL67">IF(AND(ISNUMBER(MATCH(AL$2, AsistenciaJetAdminConcatenada!$A:$A, 0)), ISNUMBER(MATCH(AL$1, AsistenciaJetAdminConcatenada!$B:$B, 0)), ISNUMBER(SEARCH($A67,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ISNUMBER(SEARCH($A67, INDEX(AsistenciaJetAdminConcatenada!$D:$D, MATCH(1, (AsistenciaJetAdminConcatenada!$A:$A=AL$2)*(AsistenciaJetAdminConcatenada!$B:$B=AL$1), 0)), 1))),  0.5, 0))</f>
        <v>1</v>
      </c>
      <c r="AM67" s="47">
        <f t="array" ref="AM67">IF(AND(ISNUMBER(MATCH(AM$2, AsistenciaJetAdminConcatenada!$A:$A, 0)), ISNUMBER(MATCH(AM$1, AsistenciaJetAdminConcatenada!$B:$B, 0)), ISNUMBER(SEARCH($A67,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ISNUMBER(SEARCH($A67, INDEX(AsistenciaJetAdminConcatenada!$D:$D, MATCH(1, (AsistenciaJetAdminConcatenada!$A:$A=AM$2)*(AsistenciaJetAdminConcatenada!$B:$B=AM$1), 0)), 1))),  0.5, 0))</f>
        <v>1</v>
      </c>
      <c r="AN67" s="47">
        <f t="array" ref="AN67">IF(AND(ISNUMBER(MATCH(AN$2, AsistenciaJetAdminConcatenada!$A:$A, 0)), ISNUMBER(MATCH(AN$1, AsistenciaJetAdminConcatenada!$B:$B, 0)), ISNUMBER(SEARCH($A67,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ISNUMBER(SEARCH($A67, INDEX(AsistenciaJetAdminConcatenada!$D:$D, MATCH(1, (AsistenciaJetAdminConcatenada!$A:$A=AN$2)*(AsistenciaJetAdminConcatenada!$B:$B=AN$1), 0)), 1))),  0.5, 0))</f>
        <v>0</v>
      </c>
      <c r="AO67" s="47">
        <f t="array" ref="AO67">IF(AND(ISNUMBER(MATCH(AO$2, AsistenciaJetAdminConcatenada!$A:$A, 0)), ISNUMBER(MATCH(AO$1, AsistenciaJetAdminConcatenada!$B:$B, 0)), ISNUMBER(SEARCH($A67,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ISNUMBER(SEARCH($A67, INDEX(AsistenciaJetAdminConcatenada!$D:$D, MATCH(1, (AsistenciaJetAdminConcatenada!$A:$A=AO$2)*(AsistenciaJetAdminConcatenada!$B:$B=AO$1), 0)), 1))),  0.5, 0))</f>
        <v>1</v>
      </c>
      <c r="AP67" s="47">
        <f t="array" ref="AP67">IF(AND(ISNUMBER(MATCH(AP$2, AsistenciaJetAdminConcatenada!$A:$A, 0)), ISNUMBER(MATCH(AP$1, AsistenciaJetAdminConcatenada!$B:$B, 0)), ISNUMBER(SEARCH($A67,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ISNUMBER(SEARCH($A67, INDEX(AsistenciaJetAdminConcatenada!$D:$D, MATCH(1, (AsistenciaJetAdminConcatenada!$A:$A=AP$2)*(AsistenciaJetAdminConcatenada!$B:$B=AP$1), 0)), 1))),  0.5, 0))</f>
        <v>0.5</v>
      </c>
      <c r="AQ67" s="47">
        <f t="array" ref="AQ67">IF(AND(ISNUMBER(MATCH(AQ$2, AsistenciaJetAdminConcatenada!$A:$A, 0)), ISNUMBER(MATCH(AQ$1, AsistenciaJetAdminConcatenada!$B:$B, 0)), ISNUMBER(SEARCH($A67,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ISNUMBER(SEARCH($A67, INDEX(AsistenciaJetAdminConcatenada!$D:$D, MATCH(1, (AsistenciaJetAdminConcatenada!$A:$A=AQ$2)*(AsistenciaJetAdminConcatenada!$B:$B=AQ$1), 0)), 1))),  0.5, 0))</f>
        <v>0</v>
      </c>
      <c r="AR67" s="47">
        <f t="array" ref="AR67">IF(AND(ISNUMBER(MATCH(AR$2, AsistenciaJetAdminConcatenada!$A:$A, 0)), ISNUMBER(MATCH(AR$1, AsistenciaJetAdminConcatenada!$B:$B, 0)), ISNUMBER(SEARCH($A67,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ISNUMBER(SEARCH($A67, INDEX(AsistenciaJetAdminConcatenada!$D:$D, MATCH(1, (AsistenciaJetAdminConcatenada!$A:$A=AR$2)*(AsistenciaJetAdminConcatenada!$B:$B=AR$1), 0)), 1))),  0.5, 0))</f>
        <v>0</v>
      </c>
      <c r="AS67" s="47">
        <f t="array" ref="AS67">IF(AND(ISNUMBER(MATCH(AS$2, AsistenciaJetAdminConcatenada!$A:$A, 0)), ISNUMBER(MATCH(AS$1, AsistenciaJetAdminConcatenada!$B:$B, 0)), ISNUMBER(SEARCH($A67,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ISNUMBER(SEARCH($A67, INDEX(AsistenciaJetAdminConcatenada!$D:$D, MATCH(1, (AsistenciaJetAdminConcatenada!$A:$A=AS$2)*(AsistenciaJetAdminConcatenada!$B:$B=AS$1), 0)), 1))),  0.5, 0))</f>
        <v>1</v>
      </c>
      <c r="AT67" s="47">
        <f t="array" ref="AT67">IF(AND(ISNUMBER(MATCH(AT$2, AsistenciaJetAdminConcatenada!$A:$A, 0)), ISNUMBER(MATCH(AT$1, AsistenciaJetAdminConcatenada!$B:$B, 0)), ISNUMBER(SEARCH($A67,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ISNUMBER(SEARCH($A67, INDEX(AsistenciaJetAdminConcatenada!$D:$D, MATCH(1, (AsistenciaJetAdminConcatenada!$A:$A=AT$2)*(AsistenciaJetAdminConcatenada!$B:$B=AT$1), 0)), 1))),  0.5, 0))</f>
        <v>0</v>
      </c>
      <c r="AU67" s="47">
        <f t="array" ref="AU67">IF(AND(ISNUMBER(MATCH(AU$2, AsistenciaJetAdminConcatenada!$A:$A, 0)), ISNUMBER(MATCH(AU$1, AsistenciaJetAdminConcatenada!$B:$B, 0)), ISNUMBER(SEARCH($A67,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ISNUMBER(SEARCH($A67, INDEX(AsistenciaJetAdminConcatenada!$D:$D, MATCH(1, (AsistenciaJetAdminConcatenada!$A:$A=AU$2)*(AsistenciaJetAdminConcatenada!$B:$B=AU$1), 0)), 1))),  0.5, 0))</f>
        <v>1</v>
      </c>
      <c r="AV67" s="47">
        <f t="array" ref="AV67">IF(AND(ISNUMBER(MATCH(AV$2, AsistenciaJetAdminConcatenada!$A:$A, 0)), ISNUMBER(MATCH(AV$1, AsistenciaJetAdminConcatenada!$B:$B, 0)), ISNUMBER(SEARCH($A67,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ISNUMBER(SEARCH($A67, INDEX(AsistenciaJetAdminConcatenada!$D:$D, MATCH(1, (AsistenciaJetAdminConcatenada!$A:$A=AV$2)*(AsistenciaJetAdminConcatenada!$B:$B=AV$1), 0)), 1))),  0.5, 0))</f>
        <v>1</v>
      </c>
      <c r="AW67" s="47">
        <f t="array" ref="AW67">IF(AND(ISNUMBER(MATCH(AW$2, AsistenciaJetAdminConcatenada!$A:$A, 0)), ISNUMBER(MATCH(AW$1, AsistenciaJetAdminConcatenada!$B:$B, 0)), ISNUMBER(SEARCH($A67,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ISNUMBER(SEARCH($A67, INDEX(AsistenciaJetAdminConcatenada!$D:$D, MATCH(1, (AsistenciaJetAdminConcatenada!$A:$A=AW$2)*(AsistenciaJetAdminConcatenada!$B:$B=AW$1), 0)), 1))),  0.5, 0))</f>
        <v>0</v>
      </c>
      <c r="AX67" s="47">
        <f t="array" ref="AX67">IF(AND(ISNUMBER(MATCH(AX$2, AsistenciaJetAdminConcatenada!$A:$A, 0)), ISNUMBER(MATCH(AX$1, AsistenciaJetAdminConcatenada!$B:$B, 0)), ISNUMBER(SEARCH($A67,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ISNUMBER(SEARCH($A67, INDEX(AsistenciaJetAdminConcatenada!$D:$D, MATCH(1, (AsistenciaJetAdminConcatenada!$A:$A=AX$2)*(AsistenciaJetAdminConcatenada!$B:$B=AX$1), 0)), 1))),  0.5, 0))</f>
        <v>1</v>
      </c>
      <c r="AY67" s="47">
        <f t="array" ref="AY67">IF(AND(ISNUMBER(MATCH(AY$2, AsistenciaJetAdminConcatenada!$A:$A, 0)), ISNUMBER(MATCH(AY$1, AsistenciaJetAdminConcatenada!$B:$B, 0)), ISNUMBER(SEARCH($A67,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ISNUMBER(SEARCH($A67, INDEX(AsistenciaJetAdminConcatenada!$D:$D, MATCH(1, (AsistenciaJetAdminConcatenada!$A:$A=AY$2)*(AsistenciaJetAdminConcatenada!$B:$B=AY$1), 0)), 1))),  0.5, 0))</f>
        <v>1</v>
      </c>
      <c r="AZ67" s="47">
        <f t="array" ref="AZ67">IF(AND(ISNUMBER(MATCH(AZ$2, AsistenciaJetAdminConcatenada!$A:$A, 0)), ISNUMBER(MATCH(AZ$1, AsistenciaJetAdminConcatenada!$B:$B, 0)), ISNUMBER(SEARCH($A67,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ISNUMBER(SEARCH($A67, INDEX(AsistenciaJetAdminConcatenada!$D:$D, MATCH(1, (AsistenciaJetAdminConcatenada!$A:$A=AZ$2)*(AsistenciaJetAdminConcatenada!$B:$B=AZ$1), 0)), 1))),  0.5, 0))</f>
        <v>1</v>
      </c>
      <c r="BA67" s="47">
        <f t="array" ref="BA67">IF(AND(ISNUMBER(MATCH(BA$2, AsistenciaJetAdminConcatenada!$A:$A, 0)), ISNUMBER(MATCH(BA$1, AsistenciaJetAdminConcatenada!$B:$B, 0)), ISNUMBER(SEARCH($A67,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ISNUMBER(SEARCH($A67, INDEX(AsistenciaJetAdminConcatenada!$D:$D, MATCH(1, (AsistenciaJetAdminConcatenada!$A:$A=BA$2)*(AsistenciaJetAdminConcatenada!$B:$B=BA$1), 0)), 1))),  0.5, 0))</f>
        <v>1</v>
      </c>
      <c r="BB67" s="47">
        <f t="array" ref="BB67">IF(AND(ISNUMBER(MATCH(BB$2, AsistenciaJetAdminConcatenada!$A:$A, 0)), ISNUMBER(MATCH(BB$1, AsistenciaJetAdminConcatenada!$B:$B, 0)), ISNUMBER(SEARCH($A67,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ISNUMBER(SEARCH($A67, INDEX(AsistenciaJetAdminConcatenada!$D:$D, MATCH(1, (AsistenciaJetAdminConcatenada!$A:$A=BB$2)*(AsistenciaJetAdminConcatenada!$B:$B=BB$1), 0)), 1))),  0.5, 0))</f>
        <v>1</v>
      </c>
      <c r="BC67" s="47">
        <f t="array" ref="BC67">IF(AND(ISNUMBER(MATCH(BC$2, AsistenciaJetAdminConcatenada!$A:$A, 0)), ISNUMBER(MATCH(BC$1, AsistenciaJetAdminConcatenada!$B:$B, 0)), ISNUMBER(SEARCH($A67,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ISNUMBER(SEARCH($A67, INDEX(AsistenciaJetAdminConcatenada!$D:$D, MATCH(1, (AsistenciaJetAdminConcatenada!$A:$A=BC$2)*(AsistenciaJetAdminConcatenada!$B:$B=BC$1), 0)), 1))),  0.5, 0))</f>
        <v>0</v>
      </c>
      <c r="BD67" s="47">
        <f t="array" ref="BD67">IF(AND(ISNUMBER(MATCH(BD$2, AsistenciaJetAdminConcatenada!$A:$A, 0)), ISNUMBER(MATCH(BD$1, AsistenciaJetAdminConcatenada!$B:$B, 0)), ISNUMBER(SEARCH($A67,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ISNUMBER(SEARCH($A67, INDEX(AsistenciaJetAdminConcatenada!$D:$D, MATCH(1, (AsistenciaJetAdminConcatenada!$A:$A=BD$2)*(AsistenciaJetAdminConcatenada!$B:$B=BD$1), 0)), 1))),  0.5, 0))</f>
        <v>0</v>
      </c>
      <c r="BE67" s="47">
        <f t="array" ref="BE67">IF(AND(ISNUMBER(MATCH(BE$2, AsistenciaJetAdminConcatenada!$A:$A, 0)), ISNUMBER(MATCH(BE$1, AsistenciaJetAdminConcatenada!$B:$B, 0)), ISNUMBER(SEARCH($A67,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ISNUMBER(SEARCH($A67, INDEX(AsistenciaJetAdminConcatenada!$D:$D, MATCH(1, (AsistenciaJetAdminConcatenada!$A:$A=BE$2)*(AsistenciaJetAdminConcatenada!$B:$B=BE$1), 0)), 1))),  0.5, 0))</f>
        <v>1</v>
      </c>
      <c r="BF67" s="47">
        <f t="array" ref="BF67">IF(AND(ISNUMBER(MATCH(BF$2, AsistenciaJetAdminConcatenada!$A:$A, 0)), ISNUMBER(MATCH(BF$1, AsistenciaJetAdminConcatenada!$B:$B, 0)), ISNUMBER(SEARCH($A67,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ISNUMBER(SEARCH($A67, INDEX(AsistenciaJetAdminConcatenada!$D:$D, MATCH(1, (AsistenciaJetAdminConcatenada!$A:$A=BF$2)*(AsistenciaJetAdminConcatenada!$B:$B=BF$1), 0)), 1))),  0.5, 0))</f>
        <v>1</v>
      </c>
      <c r="BG67" s="47">
        <f t="array" ref="BG67">IF(AND(ISNUMBER(MATCH(BG$2, AsistenciaJetAdminConcatenada!$A:$A, 0)), ISNUMBER(MATCH(BG$1, AsistenciaJetAdminConcatenada!$B:$B, 0)), ISNUMBER(SEARCH($A67,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ISNUMBER(SEARCH($A67, INDEX(AsistenciaJetAdminConcatenada!$D:$D, MATCH(1, (AsistenciaJetAdminConcatenada!$A:$A=BG$2)*(AsistenciaJetAdminConcatenada!$B:$B=BG$1), 0)), 1))),  0.5, 0))</f>
        <v>1</v>
      </c>
      <c r="BH67" s="47">
        <f t="array" ref="BH67">IF(AND(ISNUMBER(MATCH(BH$2, AsistenciaJetAdminConcatenada!$A:$A, 0)), ISNUMBER(MATCH(BH$1, AsistenciaJetAdminConcatenada!$B:$B, 0)), ISNUMBER(SEARCH($A67,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ISNUMBER(SEARCH($A67, INDEX(AsistenciaJetAdminConcatenada!$D:$D, MATCH(1, (AsistenciaJetAdminConcatenada!$A:$A=BH$2)*(AsistenciaJetAdminConcatenada!$B:$B=BH$1), 0)), 1))),  0.5, 0))</f>
        <v>1</v>
      </c>
      <c r="BI67" s="47">
        <f t="array" ref="BI67">IF(AND(ISNUMBER(MATCH(BI$2, AsistenciaJetAdminConcatenada!$A:$A, 0)), ISNUMBER(MATCH(BI$1, AsistenciaJetAdminConcatenada!$B:$B, 0)), ISNUMBER(SEARCH($A67,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ISNUMBER(SEARCH($A67, INDEX(AsistenciaJetAdminConcatenada!$D:$D, MATCH(1, (AsistenciaJetAdminConcatenada!$A:$A=BI$2)*(AsistenciaJetAdminConcatenada!$B:$B=BI$1), 0)), 1))),  0.5, 0))</f>
        <v>1</v>
      </c>
      <c r="BJ67" s="47">
        <f t="array" ref="BJ67">IF(AND(ISNUMBER(MATCH(BJ$2, AsistenciaJetAdminConcatenada!$A:$A, 0)), ISNUMBER(MATCH(BJ$1, AsistenciaJetAdminConcatenada!$B:$B, 0)), ISNUMBER(SEARCH($A67,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ISNUMBER(SEARCH($A67, INDEX(AsistenciaJetAdminConcatenada!$D:$D, MATCH(1, (AsistenciaJetAdminConcatenada!$A:$A=BJ$2)*(AsistenciaJetAdminConcatenada!$B:$B=BJ$1), 0)), 1))),  0.5, 0))</f>
        <v>1</v>
      </c>
      <c r="BK67" s="47">
        <f t="array" ref="BK67">IF(AND(ISNUMBER(MATCH(BK$2, AsistenciaJetAdminConcatenada!$A:$A, 0)), ISNUMBER(MATCH(BK$1, AsistenciaJetAdminConcatenada!$B:$B, 0)), ISNUMBER(SEARCH($A67,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ISNUMBER(SEARCH($A67, INDEX(AsistenciaJetAdminConcatenada!$D:$D, MATCH(1, (AsistenciaJetAdminConcatenada!$A:$A=BK$2)*(AsistenciaJetAdminConcatenada!$B:$B=BK$1), 0)), 1))),  0.5, 0))</f>
        <v>1</v>
      </c>
      <c r="BL67" s="47">
        <f t="array" ref="BL67">IF(AND(ISNUMBER(MATCH(BL$2, AsistenciaJetAdminConcatenada!$A:$A, 0)), ISNUMBER(MATCH(BL$1, AsistenciaJetAdminConcatenada!$B:$B, 0)), ISNUMBER(SEARCH($A67,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ISNUMBER(SEARCH($A67, INDEX(AsistenciaJetAdminConcatenada!$D:$D, MATCH(1, (AsistenciaJetAdminConcatenada!$A:$A=BL$2)*(AsistenciaJetAdminConcatenada!$B:$B=BL$1), 0)), 1))),  0.5, 0))</f>
        <v>1</v>
      </c>
      <c r="BM67" s="47">
        <f t="array" ref="BM67">IF(AND(ISNUMBER(MATCH(BM$2, AsistenciaJetAdminConcatenada!$A:$A, 0)), ISNUMBER(MATCH(BM$1, AsistenciaJetAdminConcatenada!$B:$B, 0)), ISNUMBER(SEARCH($A67,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ISNUMBER(SEARCH($A67, INDEX(AsistenciaJetAdminConcatenada!$D:$D, MATCH(1, (AsistenciaJetAdminConcatenada!$A:$A=BM$2)*(AsistenciaJetAdminConcatenada!$B:$B=BM$1), 0)), 1))),  0.5, 0))</f>
        <v>1</v>
      </c>
      <c r="BN67" s="47">
        <f t="array" ref="BN67">IF(AND(ISNUMBER(MATCH(BN$2, AsistenciaJetAdminConcatenada!$A:$A, 0)), ISNUMBER(MATCH(BN$1, AsistenciaJetAdminConcatenada!$B:$B, 0)), ISNUMBER(SEARCH($A67,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ISNUMBER(SEARCH($A67, INDEX(AsistenciaJetAdminConcatenada!$D:$D, MATCH(1, (AsistenciaJetAdminConcatenada!$A:$A=BN$2)*(AsistenciaJetAdminConcatenada!$B:$B=BN$1), 0)), 1))),  0.5, 0))</f>
        <v>1</v>
      </c>
      <c r="BO67" s="47">
        <f t="array" ref="BO67">IF(AND(ISNUMBER(MATCH(BO$2, AsistenciaJetAdminConcatenada!$A:$A, 0)), ISNUMBER(MATCH(BO$1, AsistenciaJetAdminConcatenada!$B:$B, 0)), ISNUMBER(SEARCH($A67,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ISNUMBER(SEARCH($A67, INDEX(AsistenciaJetAdminConcatenada!$D:$D, MATCH(1, (AsistenciaJetAdminConcatenada!$A:$A=BO$2)*(AsistenciaJetAdminConcatenada!$B:$B=BO$1), 0)), 1))),  0.5, 0))</f>
        <v>1</v>
      </c>
      <c r="BP67" s="47">
        <f t="array" ref="BP67">IF(AND(ISNUMBER(MATCH(BP$2, AsistenciaJetAdminConcatenada!$A:$A, 0)), ISNUMBER(MATCH(BP$1, AsistenciaJetAdminConcatenada!$B:$B, 0)), ISNUMBER(SEARCH($A67,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ISNUMBER(SEARCH($A67, INDEX(AsistenciaJetAdminConcatenada!$D:$D, MATCH(1, (AsistenciaJetAdminConcatenada!$A:$A=BP$2)*(AsistenciaJetAdminConcatenada!$B:$B=BP$1), 0)), 1))),  0.5, 0))</f>
        <v>1</v>
      </c>
      <c r="BQ67" s="47">
        <f t="array" ref="BQ67">IF(AND(ISNUMBER(MATCH(BQ$2, AsistenciaJetAdminConcatenada!$A:$A, 0)), ISNUMBER(MATCH(BQ$1, AsistenciaJetAdminConcatenada!$B:$B, 0)), ISNUMBER(SEARCH($A67,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ISNUMBER(SEARCH($A67, INDEX(AsistenciaJetAdminConcatenada!$D:$D, MATCH(1, (AsistenciaJetAdminConcatenada!$A:$A=BQ$2)*(AsistenciaJetAdminConcatenada!$B:$B=BQ$1), 0)), 1))),  0.5, 0))</f>
        <v>1</v>
      </c>
      <c r="BR67" s="47">
        <f t="array" ref="BR67">IF(AND(ISNUMBER(MATCH(BR$2, AsistenciaJetAdminConcatenada!$A:$A, 0)), ISNUMBER(MATCH(BR$1, AsistenciaJetAdminConcatenada!$B:$B, 0)), ISNUMBER(SEARCH($A67,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ISNUMBER(SEARCH($A67, INDEX(AsistenciaJetAdminConcatenada!$D:$D, MATCH(1, (AsistenciaJetAdminConcatenada!$A:$A=BR$2)*(AsistenciaJetAdminConcatenada!$B:$B=BR$1), 0)), 1))),  0.5, 0))</f>
        <v>1</v>
      </c>
      <c r="BS67" s="47">
        <f t="array" ref="BS67">IF(AND(ISNUMBER(MATCH(BS$2, AsistenciaJetAdminConcatenada!$A:$A, 0)), ISNUMBER(MATCH(BS$1, AsistenciaJetAdminConcatenada!$B:$B, 0)), ISNUMBER(SEARCH($A67,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ISNUMBER(SEARCH($A67, INDEX(AsistenciaJetAdminConcatenada!$D:$D, MATCH(1, (AsistenciaJetAdminConcatenada!$A:$A=BS$2)*(AsistenciaJetAdminConcatenada!$B:$B=BS$1), 0)), 1))),  0.5, 0))</f>
        <v>1</v>
      </c>
      <c r="BT67" s="47">
        <f t="array" ref="BT67">IF(AND(ISNUMBER(MATCH(BT$2, AsistenciaJetAdminConcatenada!$A:$A, 0)), ISNUMBER(MATCH(BT$1, AsistenciaJetAdminConcatenada!$B:$B, 0)), ISNUMBER(SEARCH($A67,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ISNUMBER(SEARCH($A67, INDEX(AsistenciaJetAdminConcatenada!$D:$D, MATCH(1, (AsistenciaJetAdminConcatenada!$A:$A=BT$2)*(AsistenciaJetAdminConcatenada!$B:$B=BT$1), 0)), 1))),  0.5, 0))</f>
        <v>1</v>
      </c>
      <c r="BU67" s="47">
        <f t="array" ref="BU67">IF(AND(ISNUMBER(MATCH(BU$2, AsistenciaJetAdminConcatenada!$A:$A, 0)), ISNUMBER(MATCH(BU$1, AsistenciaJetAdminConcatenada!$B:$B, 0)), ISNUMBER(SEARCH($A67,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ISNUMBER(SEARCH($A67, INDEX(AsistenciaJetAdminConcatenada!$D:$D, MATCH(1, (AsistenciaJetAdminConcatenada!$A:$A=BU$2)*(AsistenciaJetAdminConcatenada!$B:$B=BU$1), 0)), 1))),  0.5, 0))</f>
        <v>1</v>
      </c>
      <c r="BV67" s="47">
        <f t="array" ref="BV67">IF(AND(ISNUMBER(MATCH(BV$2, AsistenciaJetAdminConcatenada!$A:$A, 0)), ISNUMBER(MATCH(BV$1, AsistenciaJetAdminConcatenada!$B:$B, 0)), ISNUMBER(SEARCH($A67,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ISNUMBER(SEARCH($A67, INDEX(AsistenciaJetAdminConcatenada!$D:$D, MATCH(1, (AsistenciaJetAdminConcatenada!$A:$A=BV$2)*(AsistenciaJetAdminConcatenada!$B:$B=BV$1), 0)), 1))),  0.5, 0))</f>
        <v>0</v>
      </c>
      <c r="BW67" s="47">
        <f t="array" ref="BW67">IF(AND(ISNUMBER(MATCH(BW$2, AsistenciaJetAdminConcatenada!$A:$A, 0)), ISNUMBER(MATCH(BW$1, AsistenciaJetAdminConcatenada!$B:$B, 0)), ISNUMBER(SEARCH($A67,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ISNUMBER(SEARCH($A67, INDEX(AsistenciaJetAdminConcatenada!$D:$D, MATCH(1, (AsistenciaJetAdminConcatenada!$A:$A=BW$2)*(AsistenciaJetAdminConcatenada!$B:$B=BW$1), 0)), 1))),  0.5, 0))</f>
        <v>0</v>
      </c>
      <c r="BX67" s="47">
        <f t="array" ref="BX67">IF(AND(ISNUMBER(MATCH(BX$2, AsistenciaJetAdminConcatenada!$A:$A, 0)), ISNUMBER(MATCH(BX$1, AsistenciaJetAdminConcatenada!$B:$B, 0)), ISNUMBER(SEARCH($A67,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ISNUMBER(SEARCH($A67, INDEX(AsistenciaJetAdminConcatenada!$D:$D, MATCH(1, (AsistenciaJetAdminConcatenada!$A:$A=BX$2)*(AsistenciaJetAdminConcatenada!$B:$B=BX$1), 0)), 1))),  0.5, 0))</f>
        <v>1</v>
      </c>
      <c r="BY67" s="47">
        <f t="array" ref="BY67">IF(AND(ISNUMBER(MATCH(BY$2, AsistenciaJetAdminConcatenada!$A:$A, 0)), ISNUMBER(MATCH(BY$1, AsistenciaJetAdminConcatenada!$B:$B, 0)), ISNUMBER(SEARCH($A67,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ISNUMBER(SEARCH($A67, INDEX(AsistenciaJetAdminConcatenada!$D:$D, MATCH(1, (AsistenciaJetAdminConcatenada!$A:$A=BY$2)*(AsistenciaJetAdminConcatenada!$B:$B=BY$1), 0)), 1))),  0.5, 0))</f>
        <v>0</v>
      </c>
      <c r="BZ67" s="47">
        <f t="array" ref="BZ67">IF(AND(ISNUMBER(MATCH(BZ$2, AsistenciaJetAdminConcatenada!$A:$A, 0)), ISNUMBER(MATCH(BZ$1, AsistenciaJetAdminConcatenada!$B:$B, 0)), ISNUMBER(SEARCH($A67,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ISNUMBER(SEARCH($A67, INDEX(AsistenciaJetAdminConcatenada!$D:$D, MATCH(1, (AsistenciaJetAdminConcatenada!$A:$A=BZ$2)*(AsistenciaJetAdminConcatenada!$B:$B=BZ$1), 0)), 1))),  0.5, 0))</f>
        <v>1</v>
      </c>
      <c r="CA67" s="47">
        <f t="array" ref="CA67">IF(AND(ISNUMBER(MATCH(CA$2, AsistenciaJetAdminConcatenada!$A:$A, 0)), ISNUMBER(MATCH(CA$1, AsistenciaJetAdminConcatenada!$B:$B, 0)), ISNUMBER(SEARCH($A67,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ISNUMBER(SEARCH($A67, INDEX(AsistenciaJetAdminConcatenada!$D:$D, MATCH(1, (AsistenciaJetAdminConcatenada!$A:$A=CA$2)*(AsistenciaJetAdminConcatenada!$B:$B=CA$1), 0)), 1))),  0.5, 0))</f>
        <v>1</v>
      </c>
      <c r="CB67" s="47">
        <f t="array" ref="CB67">IF(AND(ISNUMBER(MATCH(CB$2, AsistenciaJetAdminConcatenada!$A:$A, 0)), ISNUMBER(MATCH(CB$1, AsistenciaJetAdminConcatenada!$B:$B, 0)), ISNUMBER(SEARCH($A67,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ISNUMBER(SEARCH($A67, INDEX(AsistenciaJetAdminConcatenada!$D:$D, MATCH(1, (AsistenciaJetAdminConcatenada!$A:$A=CB$2)*(AsistenciaJetAdminConcatenada!$B:$B=CB$1), 0)), 1))),  0.5, 0))</f>
        <v>1</v>
      </c>
      <c r="CC67" s="47">
        <f t="array" ref="CC67">IF(AND(ISNUMBER(MATCH(CC$2, AsistenciaJetAdminConcatenada!$A:$A, 0)), ISNUMBER(MATCH(CC$1, AsistenciaJetAdminConcatenada!$B:$B, 0)), ISNUMBER(SEARCH($A67,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ISNUMBER(SEARCH($A67, INDEX(AsistenciaJetAdminConcatenada!$D:$D, MATCH(1, (AsistenciaJetAdminConcatenada!$A:$A=CC$2)*(AsistenciaJetAdminConcatenada!$B:$B=CC$1), 0)), 1))),  0.5, 0))</f>
        <v>1</v>
      </c>
      <c r="CD67" s="47">
        <f t="array" ref="CD67">IF(AND(ISNUMBER(MATCH(CD$2, AsistenciaJetAdminConcatenada!$A:$A, 0)), ISNUMBER(MATCH(CD$1, AsistenciaJetAdminConcatenada!$B:$B, 0)), ISNUMBER(SEARCH($A67,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ISNUMBER(SEARCH($A67, INDEX(AsistenciaJetAdminConcatenada!$D:$D, MATCH(1, (AsistenciaJetAdminConcatenada!$A:$A=CD$2)*(AsistenciaJetAdminConcatenada!$B:$B=CD$1), 0)), 1))),  0.5, 0))</f>
        <v>1</v>
      </c>
      <c r="CE67" s="47">
        <f t="array" ref="CE67">IF(AND(ISNUMBER(MATCH(CE$2, AsistenciaJetAdminConcatenada!$A:$A, 0)), ISNUMBER(MATCH(CE$1, AsistenciaJetAdminConcatenada!$B:$B, 0)), ISNUMBER(SEARCH($A67,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ISNUMBER(SEARCH($A67, INDEX(AsistenciaJetAdminConcatenada!$D:$D, MATCH(1, (AsistenciaJetAdminConcatenada!$A:$A=CE$2)*(AsistenciaJetAdminConcatenada!$B:$B=CE$1), 0)), 1))),  0.5, 0))</f>
        <v>0</v>
      </c>
      <c r="CF67" s="47">
        <f t="array" ref="CF67">IF(AND(ISNUMBER(MATCH(CF$2, AsistenciaJetAdminConcatenada!$A:$A, 0)), ISNUMBER(MATCH(CF$1, AsistenciaJetAdminConcatenada!$B:$B, 0)), ISNUMBER(SEARCH($A67,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ISNUMBER(SEARCH($A67, INDEX(AsistenciaJetAdminConcatenada!$D:$D, MATCH(1, (AsistenciaJetAdminConcatenada!$A:$A=CF$2)*(AsistenciaJetAdminConcatenada!$B:$B=CF$1), 0)), 1))),  0.5, 0))</f>
        <v>1</v>
      </c>
      <c r="CG67" s="47">
        <f t="array" ref="CG67">IF(AND(ISNUMBER(MATCH(CG$2, AsistenciaJetAdminConcatenada!$A:$A, 0)), ISNUMBER(MATCH(CG$1, AsistenciaJetAdminConcatenada!$B:$B, 0)), ISNUMBER(SEARCH($A67,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ISNUMBER(SEARCH($A67, INDEX(AsistenciaJetAdminConcatenada!$D:$D, MATCH(1, (AsistenciaJetAdminConcatenada!$A:$A=CG$2)*(AsistenciaJetAdminConcatenada!$B:$B=CG$1), 0)), 1))),  0.5, 0))</f>
        <v>1</v>
      </c>
      <c r="CH67" s="47">
        <f t="array" ref="CH67">IF(AND(ISNUMBER(MATCH(CH$2, AsistenciaJetAdminConcatenada!$A:$A, 0)), ISNUMBER(MATCH(CH$1, AsistenciaJetAdminConcatenada!$B:$B, 0)), ISNUMBER(SEARCH($A67,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ISNUMBER(SEARCH($A67, INDEX(AsistenciaJetAdminConcatenada!$D:$D, MATCH(1, (AsistenciaJetAdminConcatenada!$A:$A=CH$2)*(AsistenciaJetAdminConcatenada!$B:$B=CH$1), 0)), 1))),  0.5, 0))</f>
        <v>1</v>
      </c>
      <c r="CI67" s="47">
        <f t="array" ref="CI67">IF(AND(ISNUMBER(MATCH(CI$2, AsistenciaJetAdminConcatenada!$A:$A, 0)), ISNUMBER(MATCH(CI$1, AsistenciaJetAdminConcatenada!$B:$B, 0)), ISNUMBER(SEARCH($A67,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ISNUMBER(SEARCH($A67, INDEX(AsistenciaJetAdminConcatenada!$D:$D, MATCH(1, (AsistenciaJetAdminConcatenada!$A:$A=CI$2)*(AsistenciaJetAdminConcatenada!$B:$B=CI$1), 0)), 1))),  0.5, 0))</f>
        <v>0.5</v>
      </c>
      <c r="CJ67" s="47">
        <f t="array" ref="CJ67">IF(AND(ISNUMBER(MATCH(CJ$2, AsistenciaJetAdminConcatenada!$A:$A, 0)), ISNUMBER(MATCH(CJ$1, AsistenciaJetAdminConcatenada!$B:$B, 0)), ISNUMBER(SEARCH($A67,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ISNUMBER(SEARCH($A67, INDEX(AsistenciaJetAdminConcatenada!$D:$D, MATCH(1, (AsistenciaJetAdminConcatenada!$A:$A=CJ$2)*(AsistenciaJetAdminConcatenada!$B:$B=CJ$1), 0)), 1))),  0.5, 0))</f>
        <v>1</v>
      </c>
      <c r="CK67" s="47">
        <f t="array" ref="CK67">IF(AND(ISNUMBER(MATCH(CK$2, AsistenciaJetAdminConcatenada!$A:$A, 0)), ISNUMBER(MATCH(CK$1, AsistenciaJetAdminConcatenada!$B:$B, 0)), ISNUMBER(SEARCH($A67,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ISNUMBER(SEARCH($A67, INDEX(AsistenciaJetAdminConcatenada!$D:$D, MATCH(1, (AsistenciaJetAdminConcatenada!$A:$A=CK$2)*(AsistenciaJetAdminConcatenada!$B:$B=CK$1), 0)), 1))),  0.5, 0))</f>
        <v>1</v>
      </c>
      <c r="CL67" s="47">
        <f t="array" ref="CL67">IF(AND(ISNUMBER(MATCH(CL$2, AsistenciaJetAdminConcatenada!$A:$A, 0)), ISNUMBER(MATCH(CL$1, AsistenciaJetAdminConcatenada!$B:$B, 0)), ISNUMBER(SEARCH($A67,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ISNUMBER(SEARCH($A67, INDEX(AsistenciaJetAdminConcatenada!$D:$D, MATCH(1, (AsistenciaJetAdminConcatenada!$A:$A=CL$2)*(AsistenciaJetAdminConcatenada!$B:$B=CL$1), 0)), 1))),  0.5, 0))</f>
        <v>1</v>
      </c>
      <c r="CM67" s="47">
        <f t="array" ref="CM67">IF(AND(ISNUMBER(MATCH(CM$2, AsistenciaJetAdminConcatenada!$A:$A, 0)), ISNUMBER(MATCH(CM$1, AsistenciaJetAdminConcatenada!$B:$B, 0)), ISNUMBER(SEARCH($A67,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ISNUMBER(SEARCH($A67, INDEX(AsistenciaJetAdminConcatenada!$D:$D, MATCH(1, (AsistenciaJetAdminConcatenada!$A:$A=CM$2)*(AsistenciaJetAdminConcatenada!$B:$B=CM$1), 0)), 1))),  0.5, 0))</f>
        <v>1</v>
      </c>
      <c r="CN67" s="47">
        <f t="array" ref="CN67">IF(AND(ISNUMBER(MATCH(CN$2, AsistenciaJetAdminConcatenada!$A:$A, 0)), ISNUMBER(MATCH(CN$1, AsistenciaJetAdminConcatenada!$B:$B, 0)), ISNUMBER(SEARCH($A67,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ISNUMBER(SEARCH($A67, INDEX(AsistenciaJetAdminConcatenada!$D:$D, MATCH(1, (AsistenciaJetAdminConcatenada!$A:$A=CN$2)*(AsistenciaJetAdminConcatenada!$B:$B=CN$1), 0)), 1))),  0.5, 0))</f>
        <v>1</v>
      </c>
      <c r="CO67" s="47">
        <f t="array" ref="CO67">IF(AND(ISNUMBER(MATCH(CO$2, AsistenciaJetAdminConcatenada!$A:$A, 0)), ISNUMBER(MATCH(CO$1, AsistenciaJetAdminConcatenada!$B:$B, 0)), ISNUMBER(SEARCH($A67,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ISNUMBER(SEARCH($A67, INDEX(AsistenciaJetAdminConcatenada!$D:$D, MATCH(1, (AsistenciaJetAdminConcatenada!$A:$A=CO$2)*(AsistenciaJetAdminConcatenada!$B:$B=CO$1), 0)), 1))),  0.5, 0))</f>
        <v>1</v>
      </c>
      <c r="CP67" s="47">
        <f t="array" ref="CP67">IF(AND(ISNUMBER(MATCH(CP$2, AsistenciaJetAdminConcatenada!$A:$A, 0)), ISNUMBER(MATCH(CP$1, AsistenciaJetAdminConcatenada!$B:$B, 0)), ISNUMBER(SEARCH($A67,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ISNUMBER(SEARCH($A67, INDEX(AsistenciaJetAdminConcatenada!$D:$D, MATCH(1, (AsistenciaJetAdminConcatenada!$A:$A=CP$2)*(AsistenciaJetAdminConcatenada!$B:$B=CP$1), 0)), 1))),  0.5, 0))</f>
        <v>1</v>
      </c>
      <c r="CQ67" s="47">
        <f t="array" ref="CQ67">IF(AND(ISNUMBER(MATCH(CQ$2, AsistenciaJetAdminConcatenada!$A:$A, 0)), ISNUMBER(MATCH(CQ$1, AsistenciaJetAdminConcatenada!$B:$B, 0)), ISNUMBER(SEARCH($A67,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ISNUMBER(SEARCH($A67, INDEX(AsistenciaJetAdminConcatenada!$D:$D, MATCH(1, (AsistenciaJetAdminConcatenada!$A:$A=CQ$2)*(AsistenciaJetAdminConcatenada!$B:$B=CQ$1), 0)), 1))),  0.5, 0))</f>
        <v>0</v>
      </c>
      <c r="CR67" s="47">
        <f t="array" ref="CR67">IF(AND(ISNUMBER(MATCH(CR$2, AsistenciaJetAdminConcatenada!$A:$A, 0)), ISNUMBER(MATCH(CR$1, AsistenciaJetAdminConcatenada!$B:$B, 0)), ISNUMBER(SEARCH($A67,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ISNUMBER(SEARCH($A67, INDEX(AsistenciaJetAdminConcatenada!$D:$D, MATCH(1, (AsistenciaJetAdminConcatenada!$A:$A=CR$2)*(AsistenciaJetAdminConcatenada!$B:$B=CR$1), 0)), 1))),  0.5, 0))</f>
        <v>1</v>
      </c>
      <c r="CS67" s="47">
        <f t="array" ref="CS67">IF(AND(ISNUMBER(MATCH(CS$2, AsistenciaJetAdminConcatenada!$A:$A, 0)), ISNUMBER(MATCH(CS$1, AsistenciaJetAdminConcatenada!$B:$B, 0)), ISNUMBER(SEARCH($A67,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ISNUMBER(SEARCH($A67, INDEX(AsistenciaJetAdminConcatenada!$D:$D, MATCH(1, (AsistenciaJetAdminConcatenada!$A:$A=CS$2)*(AsistenciaJetAdminConcatenada!$B:$B=CS$1), 0)), 1))),  0.5, 0))</f>
        <v>0</v>
      </c>
      <c r="CT67" s="47">
        <f t="array" ref="CT67">IF(AND(ISNUMBER(MATCH(CT$2, AsistenciaJetAdminConcatenada!$A:$A, 0)), ISNUMBER(MATCH(CT$1, AsistenciaJetAdminConcatenada!$B:$B, 0)), ISNUMBER(SEARCH($A67,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ISNUMBER(SEARCH($A67, INDEX(AsistenciaJetAdminConcatenada!$D:$D, MATCH(1, (AsistenciaJetAdminConcatenada!$A:$A=CT$2)*(AsistenciaJetAdminConcatenada!$B:$B=CT$1), 0)), 1))),  0.5, 0))</f>
        <v>0</v>
      </c>
      <c r="CU67" s="47">
        <f t="array" ref="CU67">IF(AND(ISNUMBER(MATCH(CU$2, AsistenciaJetAdminConcatenada!$A:$A, 0)), ISNUMBER(MATCH(CU$1, AsistenciaJetAdminConcatenada!$B:$B, 0)), ISNUMBER(SEARCH($A67,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ISNUMBER(SEARCH($A67, INDEX(AsistenciaJetAdminConcatenada!$D:$D, MATCH(1, (AsistenciaJetAdminConcatenada!$A:$A=CU$2)*(AsistenciaJetAdminConcatenada!$B:$B=CU$1), 0)), 1))),  0.5, 0))</f>
        <v>0</v>
      </c>
      <c r="CV67" s="47">
        <f t="array" ref="CV67">IF(AND(ISNUMBER(MATCH(CV$2, AsistenciaJetAdminConcatenada!$A:$A, 0)), ISNUMBER(MATCH(CV$1, AsistenciaJetAdminConcatenada!$B:$B, 0)), ISNUMBER(SEARCH($A67,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ISNUMBER(SEARCH($A67, INDEX(AsistenciaJetAdminConcatenada!$D:$D, MATCH(1, (AsistenciaJetAdminConcatenada!$A:$A=CV$2)*(AsistenciaJetAdminConcatenada!$B:$B=CV$1), 0)), 1))),  0.5, 0))</f>
        <v>0</v>
      </c>
      <c r="CW67" s="47">
        <f t="array" ref="CW67">IF(AND(ISNUMBER(MATCH(CW$2, AsistenciaJetAdminConcatenada!$A:$A, 0)), ISNUMBER(MATCH(CW$1, AsistenciaJetAdminConcatenada!$B:$B, 0)), ISNUMBER(SEARCH($A67,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ISNUMBER(SEARCH($A67, INDEX(AsistenciaJetAdminConcatenada!$D:$D, MATCH(1, (AsistenciaJetAdminConcatenada!$A:$A=CW$2)*(AsistenciaJetAdminConcatenada!$B:$B=CW$1), 0)), 1))),  0.5, 0))</f>
        <v>0</v>
      </c>
      <c r="CX67" s="47">
        <f t="array" ref="CX67">IF(AND(ISNUMBER(MATCH(CX$2, AsistenciaJetAdminConcatenada!$A:$A, 0)), ISNUMBER(MATCH(CX$1, AsistenciaJetAdminConcatenada!$B:$B, 0)), ISNUMBER(SEARCH($A67,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ISNUMBER(SEARCH($A67, INDEX(AsistenciaJetAdminConcatenada!$D:$D, MATCH(1, (AsistenciaJetAdminConcatenada!$A:$A=CX$2)*(AsistenciaJetAdminConcatenada!$B:$B=CX$1), 0)), 1))),  0.5, 0))</f>
        <v>0</v>
      </c>
      <c r="CY67" s="47">
        <f t="array" ref="CY67">IF(AND(ISNUMBER(MATCH(CY$2, AsistenciaJetAdminConcatenada!$A:$A, 0)), ISNUMBER(MATCH(CY$1, AsistenciaJetAdminConcatenada!$B:$B, 0)), ISNUMBER(SEARCH($A67,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ISNUMBER(SEARCH($A67, INDEX(AsistenciaJetAdminConcatenada!$D:$D, MATCH(1, (AsistenciaJetAdminConcatenada!$A:$A=CY$2)*(AsistenciaJetAdminConcatenada!$B:$B=CY$1), 0)), 1))),  0.5, 0))</f>
        <v>0</v>
      </c>
      <c r="CZ67" s="47">
        <f t="array" ref="CZ67">IF(AND(ISNUMBER(MATCH(CZ$2, AsistenciaJetAdminConcatenada!$A:$A, 0)), ISNUMBER(MATCH(CZ$1, AsistenciaJetAdminConcatenada!$B:$B, 0)), ISNUMBER(SEARCH($A67,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ISNUMBER(SEARCH($A67, INDEX(AsistenciaJetAdminConcatenada!$D:$D, MATCH(1, (AsistenciaJetAdminConcatenada!$A:$A=CZ$2)*(AsistenciaJetAdminConcatenada!$B:$B=CZ$1), 0)), 1))),  0.5, 0))</f>
        <v>0</v>
      </c>
      <c r="DA67" s="47">
        <f t="array" ref="DA67">IF(AND(ISNUMBER(MATCH(DA$2, AsistenciaJetAdminConcatenada!$A:$A, 0)), ISNUMBER(MATCH(DA$1, AsistenciaJetAdminConcatenada!$B:$B, 0)), ISNUMBER(SEARCH($A67,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ISNUMBER(SEARCH($A67, INDEX(AsistenciaJetAdminConcatenada!$D:$D, MATCH(1, (AsistenciaJetAdminConcatenada!$A:$A=DA$2)*(AsistenciaJetAdminConcatenada!$B:$B=DA$1), 0)), 1))),  0.5, 0))</f>
        <v>0</v>
      </c>
      <c r="DB67" s="47">
        <f t="array" ref="DB67">IF(AND(ISNUMBER(MATCH(DB$2, AsistenciaJetAdminConcatenada!$A:$A, 0)), ISNUMBER(MATCH(DB$1, AsistenciaJetAdminConcatenada!$B:$B, 0)), ISNUMBER(SEARCH($A67,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ISNUMBER(SEARCH($A67, INDEX(AsistenciaJetAdminConcatenada!$D:$D, MATCH(1, (AsistenciaJetAdminConcatenada!$A:$A=DB$2)*(AsistenciaJetAdminConcatenada!$B:$B=DB$1), 0)), 1))),  0.5, 0))</f>
        <v>0</v>
      </c>
      <c r="DC67" s="47">
        <f t="array" ref="DC67">IF(AND(ISNUMBER(MATCH(DC$2, AsistenciaJetAdminConcatenada!$A:$A, 0)), ISNUMBER(MATCH(DC$1, AsistenciaJetAdminConcatenada!$B:$B, 0)), ISNUMBER(SEARCH($A67,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ISNUMBER(SEARCH($A67, INDEX(AsistenciaJetAdminConcatenada!$D:$D, MATCH(1, (AsistenciaJetAdminConcatenada!$A:$A=DC$2)*(AsistenciaJetAdminConcatenada!$B:$B=DC$1), 0)), 1))),  0.5, 0))</f>
        <v>0</v>
      </c>
      <c r="DD67" s="47">
        <f t="array" ref="DD67">IF(AND(ISNUMBER(MATCH(DD$2, AsistenciaJetAdminConcatenada!$A:$A, 0)), ISNUMBER(MATCH(DD$1, AsistenciaJetAdminConcatenada!$B:$B, 0)), ISNUMBER(SEARCH($A67,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ISNUMBER(SEARCH($A67, INDEX(AsistenciaJetAdminConcatenada!$D:$D, MATCH(1, (AsistenciaJetAdminConcatenada!$A:$A=DD$2)*(AsistenciaJetAdminConcatenada!$B:$B=DD$1), 0)), 1))),  0.5, 0))</f>
        <v>0</v>
      </c>
      <c r="DE67" s="47">
        <f t="array" ref="DE67">IF(AND(ISNUMBER(MATCH(DE$2, AsistenciaJetAdminConcatenada!$A:$A, 0)), ISNUMBER(MATCH(DE$1, AsistenciaJetAdminConcatenada!$B:$B, 0)), ISNUMBER(SEARCH($A67,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ISNUMBER(SEARCH($A67, INDEX(AsistenciaJetAdminConcatenada!$D:$D, MATCH(1, (AsistenciaJetAdminConcatenada!$A:$A=DE$2)*(AsistenciaJetAdminConcatenada!$B:$B=DE$1), 0)), 1))),  0.5, 0))</f>
        <v>0</v>
      </c>
      <c r="DF67" s="47">
        <f t="array" ref="DF67">IF(AND(ISNUMBER(MATCH(DF$2, AsistenciaJetAdminConcatenada!$A:$A, 0)), ISNUMBER(MATCH(DF$1, AsistenciaJetAdminConcatenada!$B:$B, 0)), ISNUMBER(SEARCH($A67,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ISNUMBER(SEARCH($A67, INDEX(AsistenciaJetAdminConcatenada!$D:$D, MATCH(1, (AsistenciaJetAdminConcatenada!$A:$A=DF$2)*(AsistenciaJetAdminConcatenada!$B:$B=DF$1), 0)), 1))),  0.5, 0))</f>
        <v>0</v>
      </c>
      <c r="DG67" s="47">
        <f t="array" ref="DG67">IF(AND(ISNUMBER(MATCH(DG$2, AsistenciaJetAdminConcatenada!$A:$A, 0)), ISNUMBER(MATCH(DG$1, AsistenciaJetAdminConcatenada!$B:$B, 0)), ISNUMBER(SEARCH($A67,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ISNUMBER(SEARCH($A67, INDEX(AsistenciaJetAdminConcatenada!$D:$D, MATCH(1, (AsistenciaJetAdminConcatenada!$A:$A=DG$2)*(AsistenciaJetAdminConcatenada!$B:$B=DG$1), 0)), 1))),  0.5, 0))</f>
        <v>0</v>
      </c>
      <c r="DH67" s="47">
        <f t="array" ref="DH67">IF(AND(ISNUMBER(MATCH(DH$2, AsistenciaJetAdminConcatenada!$A:$A, 0)), ISNUMBER(MATCH(DH$1, AsistenciaJetAdminConcatenada!$B:$B, 0)), ISNUMBER(SEARCH($A67,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ISNUMBER(SEARCH($A67, INDEX(AsistenciaJetAdminConcatenada!$D:$D, MATCH(1, (AsistenciaJetAdminConcatenada!$A:$A=DH$2)*(AsistenciaJetAdminConcatenada!$B:$B=DH$1), 0)), 1))),  0.5, 0))</f>
        <v>0</v>
      </c>
      <c r="DI67" s="47">
        <f t="array" ref="DI67">IF(AND(ISNUMBER(MATCH(DI$2, AsistenciaJetAdminConcatenada!$A:$A, 0)), ISNUMBER(MATCH(DI$1, AsistenciaJetAdminConcatenada!$B:$B, 0)), ISNUMBER(SEARCH($A67,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ISNUMBER(SEARCH($A67, INDEX(AsistenciaJetAdminConcatenada!$D:$D, MATCH(1, (AsistenciaJetAdminConcatenada!$A:$A=DI$2)*(AsistenciaJetAdminConcatenada!$B:$B=DI$1), 0)), 1))),  0.5, 0))</f>
        <v>0</v>
      </c>
      <c r="DJ67" s="47">
        <f t="array" ref="DJ67">IF(AND(ISNUMBER(MATCH(DJ$2, AsistenciaJetAdminConcatenada!$A:$A, 0)), ISNUMBER(MATCH(DJ$1, AsistenciaJetAdminConcatenada!$B:$B, 0)), ISNUMBER(SEARCH($A67,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ISNUMBER(SEARCH($A67, INDEX(AsistenciaJetAdminConcatenada!$D:$D, MATCH(1, (AsistenciaJetAdminConcatenada!$A:$A=DJ$2)*(AsistenciaJetAdminConcatenada!$B:$B=DJ$1), 0)), 1))),  0.5, 0))</f>
        <v>0</v>
      </c>
      <c r="DK67" s="47">
        <f t="array" ref="DK67">IF(AND(ISNUMBER(MATCH(DK$2, AsistenciaJetAdminConcatenada!$A:$A, 0)), ISNUMBER(MATCH(DK$1, AsistenciaJetAdminConcatenada!$B:$B, 0)), ISNUMBER(SEARCH($A67,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ISNUMBER(SEARCH($A67, INDEX(AsistenciaJetAdminConcatenada!$D:$D, MATCH(1, (AsistenciaJetAdminConcatenada!$A:$A=DK$2)*(AsistenciaJetAdminConcatenada!$B:$B=DK$1), 0)), 1))),  0.5, 0))</f>
        <v>0</v>
      </c>
      <c r="DL67" s="47">
        <f t="array" ref="DL67">IF(AND(ISNUMBER(MATCH(DL$2, AsistenciaJetAdminConcatenada!$A:$A, 0)), ISNUMBER(MATCH(DL$1, AsistenciaJetAdminConcatenada!$B:$B, 0)), ISNUMBER(SEARCH($A67,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ISNUMBER(SEARCH($A67, INDEX(AsistenciaJetAdminConcatenada!$D:$D, MATCH(1, (AsistenciaJetAdminConcatenada!$A:$A=DL$2)*(AsistenciaJetAdminConcatenada!$B:$B=DL$1), 0)), 1))),  0.5, 0))</f>
        <v>0</v>
      </c>
      <c r="DM67" s="47">
        <f t="array" ref="DM67">IF(AND(ISNUMBER(MATCH(DM$2, AsistenciaJetAdminConcatenada!$A:$A, 0)), ISNUMBER(MATCH(DM$1, AsistenciaJetAdminConcatenada!$B:$B, 0)), ISNUMBER(SEARCH($A67,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ISNUMBER(SEARCH($A67, INDEX(AsistenciaJetAdminConcatenada!$D:$D, MATCH(1, (AsistenciaJetAdminConcatenada!$A:$A=DM$2)*(AsistenciaJetAdminConcatenada!$B:$B=DM$1), 0)), 1))),  0.5, 0))</f>
        <v>0</v>
      </c>
      <c r="DN67" s="47">
        <f t="array" ref="DN67">IF(AND(ISNUMBER(MATCH(DN$2, AsistenciaJetAdminConcatenada!$A:$A, 0)), ISNUMBER(MATCH(DN$1, AsistenciaJetAdminConcatenada!$B:$B, 0)), ISNUMBER(SEARCH($A67,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ISNUMBER(SEARCH($A67, INDEX(AsistenciaJetAdminConcatenada!$D:$D, MATCH(1, (AsistenciaJetAdminConcatenada!$A:$A=DN$2)*(AsistenciaJetAdminConcatenada!$B:$B=DN$1), 0)), 1))),  0.5, 0))</f>
        <v>0</v>
      </c>
      <c r="DO67" s="47">
        <f t="array" ref="DO67">IF(AND(ISNUMBER(MATCH(DO$2, AsistenciaJetAdminConcatenada!$A:$A, 0)), ISNUMBER(MATCH(DO$1, AsistenciaJetAdminConcatenada!$B:$B, 0)), ISNUMBER(SEARCH($A67,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ISNUMBER(SEARCH($A67, INDEX(AsistenciaJetAdminConcatenada!$D:$D, MATCH(1, (AsistenciaJetAdminConcatenada!$A:$A=DO$2)*(AsistenciaJetAdminConcatenada!$B:$B=DO$1), 0)), 1))),  0.5, 0))</f>
        <v>0</v>
      </c>
      <c r="DP67" s="47">
        <f t="array" ref="DP67">IF(AND(ISNUMBER(MATCH(DP$2, AsistenciaJetAdminConcatenada!$A:$A, 0)), ISNUMBER(MATCH(DP$1, AsistenciaJetAdminConcatenada!$B:$B, 0)), ISNUMBER(SEARCH($A67,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ISNUMBER(SEARCH($A67, INDEX(AsistenciaJetAdminConcatenada!$D:$D, MATCH(1, (AsistenciaJetAdminConcatenada!$A:$A=DP$2)*(AsistenciaJetAdminConcatenada!$B:$B=DP$1), 0)), 1))),  0.5, 0))</f>
        <v>0</v>
      </c>
      <c r="DQ67" s="47">
        <f t="array" ref="DQ67">IF(AND(ISNUMBER(MATCH(DQ$2, AsistenciaJetAdminConcatenada!$A:$A, 0)), ISNUMBER(MATCH(DQ$1, AsistenciaJetAdminConcatenada!$B:$B, 0)), ISNUMBER(SEARCH($A67,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ISNUMBER(SEARCH($A67, INDEX(AsistenciaJetAdminConcatenada!$D:$D, MATCH(1, (AsistenciaJetAdminConcatenada!$A:$A=DQ$2)*(AsistenciaJetAdminConcatenada!$B:$B=DQ$1), 0)), 1))),  0.5, 0))</f>
        <v>0</v>
      </c>
      <c r="DR67" s="47">
        <f t="array" ref="DR67">IF(AND(ISNUMBER(MATCH(DR$2, AsistenciaJetAdminConcatenada!$A:$A, 0)), ISNUMBER(MATCH(DR$1, AsistenciaJetAdminConcatenada!$B:$B, 0)), ISNUMBER(SEARCH($A67,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ISNUMBER(SEARCH($A67, INDEX(AsistenciaJetAdminConcatenada!$D:$D, MATCH(1, (AsistenciaJetAdminConcatenada!$A:$A=DR$2)*(AsistenciaJetAdminConcatenada!$B:$B=DR$1), 0)), 1))),  0.5, 0))</f>
        <v>0</v>
      </c>
      <c r="DS67" s="47">
        <f t="array" ref="DS67">IF(AND(ISNUMBER(MATCH(DS$2, AsistenciaJetAdminConcatenada!$A:$A, 0)), ISNUMBER(MATCH(DS$1, AsistenciaJetAdminConcatenada!$B:$B, 0)), ISNUMBER(SEARCH($A67,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ISNUMBER(SEARCH($A67, INDEX(AsistenciaJetAdminConcatenada!$D:$D, MATCH(1, (AsistenciaJetAdminConcatenada!$A:$A=DS$2)*(AsistenciaJetAdminConcatenada!$B:$B=DS$1), 0)), 1))),  0.5, 0))</f>
        <v>0</v>
      </c>
      <c r="DT67" s="47">
        <f t="array" ref="DT67">IF(AND(ISNUMBER(MATCH(DT$2, AsistenciaJetAdminConcatenada!$A:$A, 0)), ISNUMBER(MATCH(DT$1, AsistenciaJetAdminConcatenada!$B:$B, 0)), ISNUMBER(SEARCH($A67,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ISNUMBER(SEARCH($A67, INDEX(AsistenciaJetAdminConcatenada!$D:$D, MATCH(1, (AsistenciaJetAdminConcatenada!$A:$A=DT$2)*(AsistenciaJetAdminConcatenada!$B:$B=DT$1), 0)), 1))),  0.5, 0))</f>
        <v>0</v>
      </c>
      <c r="DU67" s="47">
        <f t="array" ref="DU67">IF(AND(ISNUMBER(MATCH(DU$2, AsistenciaJetAdminConcatenada!$A:$A, 0)), ISNUMBER(MATCH(DU$1, AsistenciaJetAdminConcatenada!$B:$B, 0)), ISNUMBER(SEARCH($A67,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ISNUMBER(SEARCH($A67, INDEX(AsistenciaJetAdminConcatenada!$D:$D, MATCH(1, (AsistenciaJetAdminConcatenada!$A:$A=DU$2)*(AsistenciaJetAdminConcatenada!$B:$B=DU$1), 0)), 1))),  0.5, 0))</f>
        <v>0</v>
      </c>
      <c r="DV67" s="47">
        <f t="array" ref="DV67">IF(AND(ISNUMBER(MATCH(DV$2, AsistenciaJetAdminConcatenada!$A:$A, 0)), ISNUMBER(MATCH(DV$1, AsistenciaJetAdminConcatenada!$B:$B, 0)), ISNUMBER(SEARCH($A67,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ISNUMBER(SEARCH($A67, INDEX(AsistenciaJetAdminConcatenada!$D:$D, MATCH(1, (AsistenciaJetAdminConcatenada!$A:$A=DV$2)*(AsistenciaJetAdminConcatenada!$B:$B=DV$1), 0)), 1))),  0.5, 0))</f>
        <v>0</v>
      </c>
      <c r="DW67" s="47">
        <f t="array" ref="DW67">IF(AND(ISNUMBER(MATCH(DW$2, AsistenciaJetAdminConcatenada!$A:$A, 0)), ISNUMBER(MATCH(DW$1, AsistenciaJetAdminConcatenada!$B:$B, 0)), ISNUMBER(SEARCH($A67,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ISNUMBER(SEARCH($A67, INDEX(AsistenciaJetAdminConcatenada!$D:$D, MATCH(1, (AsistenciaJetAdminConcatenada!$A:$A=DW$2)*(AsistenciaJetAdminConcatenada!$B:$B=DW$1), 0)), 1))),  0.5, 0))</f>
        <v>0</v>
      </c>
      <c r="DX67" s="47">
        <f t="array" ref="DX67">IF(AND(ISNUMBER(MATCH(DX$2, AsistenciaJetAdminConcatenada!$A:$A, 0)), ISNUMBER(MATCH(DX$1, AsistenciaJetAdminConcatenada!$B:$B, 0)), ISNUMBER(SEARCH($A67,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ISNUMBER(SEARCH($A67, INDEX(AsistenciaJetAdminConcatenada!$D:$D, MATCH(1, (AsistenciaJetAdminConcatenada!$A:$A=DX$2)*(AsistenciaJetAdminConcatenada!$B:$B=DX$1), 0)), 1))),  0.5, 0))</f>
        <v>0</v>
      </c>
      <c r="DY67" s="47">
        <f t="array" ref="DY67">IF(AND(ISNUMBER(MATCH(DY$2, AsistenciaJetAdminConcatenada!$A:$A, 0)), ISNUMBER(MATCH(DY$1, AsistenciaJetAdminConcatenada!$B:$B, 0)), ISNUMBER(SEARCH($A67,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ISNUMBER(SEARCH($A67, INDEX(AsistenciaJetAdminConcatenada!$D:$D, MATCH(1, (AsistenciaJetAdminConcatenada!$A:$A=DY$2)*(AsistenciaJetAdminConcatenada!$B:$B=DY$1), 0)), 1))),  0.5, 0))</f>
        <v>0</v>
      </c>
      <c r="DZ67" s="47">
        <f t="array" ref="DZ67">IF(AND(ISNUMBER(MATCH(DZ$2, AsistenciaJetAdminConcatenada!$A:$A, 0)), ISNUMBER(MATCH(DZ$1, AsistenciaJetAdminConcatenada!$B:$B, 0)), ISNUMBER(SEARCH($A67,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ISNUMBER(SEARCH($A67, INDEX(AsistenciaJetAdminConcatenada!$D:$D, MATCH(1, (AsistenciaJetAdminConcatenada!$A:$A=DZ$2)*(AsistenciaJetAdminConcatenada!$B:$B=DZ$1), 0)), 1))),  0.5, 0))</f>
        <v>0</v>
      </c>
      <c r="EA67" s="47">
        <f t="array" ref="EA67">IF(AND(ISNUMBER(MATCH(EA$2, AsistenciaJetAdminConcatenada!$A:$A, 0)), ISNUMBER(MATCH(EA$1, AsistenciaJetAdminConcatenada!$B:$B, 0)), ISNUMBER(SEARCH($A67,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ISNUMBER(SEARCH($A67, INDEX(AsistenciaJetAdminConcatenada!$D:$D, MATCH(1, (AsistenciaJetAdminConcatenada!$A:$A=EA$2)*(AsistenciaJetAdminConcatenada!$B:$B=EA$1), 0)), 1))),  0.5, 0))</f>
        <v>0</v>
      </c>
      <c r="EB67" s="47">
        <f t="array" ref="EB67">IF(AND(ISNUMBER(MATCH(EB$2, AsistenciaJetAdminConcatenada!$A:$A, 0)), ISNUMBER(MATCH(EB$1, AsistenciaJetAdminConcatenada!$B:$B, 0)), ISNUMBER(SEARCH($A67,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ISNUMBER(SEARCH($A67, INDEX(AsistenciaJetAdminConcatenada!$D:$D, MATCH(1, (AsistenciaJetAdminConcatenada!$A:$A=EB$2)*(AsistenciaJetAdminConcatenada!$B:$B=EB$1), 0)), 1))),  0.5, 0))</f>
        <v>0</v>
      </c>
      <c r="EC67" s="47">
        <f t="array" ref="EC67">IF(AND(ISNUMBER(MATCH(EC$2, AsistenciaJetAdminConcatenada!$A:$A, 0)), ISNUMBER(MATCH(EC$1, AsistenciaJetAdminConcatenada!$B:$B, 0)), ISNUMBER(SEARCH($A67,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ISNUMBER(SEARCH($A67, INDEX(AsistenciaJetAdminConcatenada!$D:$D, MATCH(1, (AsistenciaJetAdminConcatenada!$A:$A=EC$2)*(AsistenciaJetAdminConcatenada!$B:$B=EC$1), 0)), 1))),  0.5, 0))</f>
        <v>0</v>
      </c>
      <c r="ED67" s="47">
        <f t="array" ref="ED67">IF(AND(ISNUMBER(MATCH(ED$2, AsistenciaJetAdminConcatenada!$A:$A, 0)), ISNUMBER(MATCH(ED$1, AsistenciaJetAdminConcatenada!$B:$B, 0)), ISNUMBER(SEARCH($A67,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ISNUMBER(SEARCH($A67, INDEX(AsistenciaJetAdminConcatenada!$D:$D, MATCH(1, (AsistenciaJetAdminConcatenada!$A:$A=ED$2)*(AsistenciaJetAdminConcatenada!$B:$B=ED$1), 0)), 1))),  0.5, 0))</f>
        <v>0</v>
      </c>
      <c r="EE67" s="47">
        <f t="array" ref="EE67">IF(AND(ISNUMBER(MATCH(EE$2, AsistenciaJetAdminConcatenada!$A:$A, 0)), ISNUMBER(MATCH(EE$1, AsistenciaJetAdminConcatenada!$B:$B, 0)), ISNUMBER(SEARCH($A67,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ISNUMBER(SEARCH($A67, INDEX(AsistenciaJetAdminConcatenada!$D:$D, MATCH(1, (AsistenciaJetAdminConcatenada!$A:$A=EE$2)*(AsistenciaJetAdminConcatenada!$B:$B=EE$1), 0)), 1))),  0.5, 0))</f>
        <v>0</v>
      </c>
      <c r="EF67" s="47">
        <f t="array" ref="EF67">IF(AND(ISNUMBER(MATCH(EF$2, AsistenciaJetAdminConcatenada!$A:$A, 0)), ISNUMBER(MATCH(EF$1, AsistenciaJetAdminConcatenada!$B:$B, 0)), ISNUMBER(SEARCH($A67,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ISNUMBER(SEARCH($A67, INDEX(AsistenciaJetAdminConcatenada!$D:$D, MATCH(1, (AsistenciaJetAdminConcatenada!$A:$A=EF$2)*(AsistenciaJetAdminConcatenada!$B:$B=EF$1), 0)), 1))),  0.5, 0))</f>
        <v>0</v>
      </c>
      <c r="EG67" s="47">
        <f t="array" ref="EG67">IF(AND(ISNUMBER(MATCH(EG$2, AsistenciaJetAdminConcatenada!$A:$A, 0)), ISNUMBER(MATCH(EG$1, AsistenciaJetAdminConcatenada!$B:$B, 0)), ISNUMBER(SEARCH($A67,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ISNUMBER(SEARCH($A67, INDEX(AsistenciaJetAdminConcatenada!$D:$D, MATCH(1, (AsistenciaJetAdminConcatenada!$A:$A=EG$2)*(AsistenciaJetAdminConcatenada!$B:$B=EG$1), 0)), 1))),  0.5, 0))</f>
        <v>0</v>
      </c>
      <c r="EH67" s="47">
        <f t="array" ref="EH67">IF(AND(ISNUMBER(MATCH(EH$2, AsistenciaJetAdminConcatenada!$A:$A, 0)), ISNUMBER(MATCH(EH$1, AsistenciaJetAdminConcatenada!$B:$B, 0)), ISNUMBER(SEARCH($A67,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ISNUMBER(SEARCH($A67, INDEX(AsistenciaJetAdminConcatenada!$D:$D, MATCH(1, (AsistenciaJetAdminConcatenada!$A:$A=EH$2)*(AsistenciaJetAdminConcatenada!$B:$B=EH$1), 0)), 1))),  0.5, 0))</f>
        <v>0</v>
      </c>
      <c r="EI67" s="47">
        <f t="array" ref="EI67">IF(AND(ISNUMBER(MATCH(EI$2, AsistenciaJetAdminConcatenada!$A:$A, 0)), ISNUMBER(MATCH(EI$1, AsistenciaJetAdminConcatenada!$B:$B, 0)), ISNUMBER(SEARCH($A67,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ISNUMBER(SEARCH($A67, INDEX(AsistenciaJetAdminConcatenada!$D:$D, MATCH(1, (AsistenciaJetAdminConcatenada!$A:$A=EI$2)*(AsistenciaJetAdminConcatenada!$B:$B=EI$1), 0)), 1))),  0.5, 0))</f>
        <v>0</v>
      </c>
      <c r="EJ67" s="47">
        <f t="array" ref="EJ67">IF(AND(ISNUMBER(MATCH(EJ$2, AsistenciaJetAdminConcatenada!$A:$A, 0)), ISNUMBER(MATCH(EJ$1, AsistenciaJetAdminConcatenada!$B:$B, 0)), ISNUMBER(SEARCH($A67,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ISNUMBER(SEARCH($A67, INDEX(AsistenciaJetAdminConcatenada!$D:$D, MATCH(1, (AsistenciaJetAdminConcatenada!$A:$A=EJ$2)*(AsistenciaJetAdminConcatenada!$B:$B=EJ$1), 0)), 1))),  0.5, 0))</f>
        <v>0</v>
      </c>
      <c r="EK67" s="47">
        <f t="array" ref="EK67">IF(AND(ISNUMBER(MATCH(EK$2, AsistenciaJetAdminConcatenada!$A:$A, 0)), ISNUMBER(MATCH(EK$1, AsistenciaJetAdminConcatenada!$B:$B, 0)), ISNUMBER(SEARCH($A67,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ISNUMBER(SEARCH($A67, INDEX(AsistenciaJetAdminConcatenada!$D:$D, MATCH(1, (AsistenciaJetAdminConcatenada!$A:$A=EK$2)*(AsistenciaJetAdminConcatenada!$B:$B=EK$1), 0)), 1))),  0.5, 0))</f>
        <v>0</v>
      </c>
      <c r="EL67" s="47">
        <f t="array" ref="EL67">IF(AND(ISNUMBER(MATCH(EL$2, AsistenciaJetAdminConcatenada!$A:$A, 0)), ISNUMBER(MATCH(EL$1, AsistenciaJetAdminConcatenada!$B:$B, 0)), ISNUMBER(SEARCH($A67,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ISNUMBER(SEARCH($A67, INDEX(AsistenciaJetAdminConcatenada!$D:$D, MATCH(1, (AsistenciaJetAdminConcatenada!$A:$A=EL$2)*(AsistenciaJetAdminConcatenada!$B:$B=EL$1), 0)), 1))),  0.5, 0))</f>
        <v>0</v>
      </c>
      <c r="EM67" s="47">
        <f t="array" ref="EM67">IF(AND(ISNUMBER(MATCH(EM$2, AsistenciaJetAdminConcatenada!$A:$A, 0)), ISNUMBER(MATCH(EM$1, AsistenciaJetAdminConcatenada!$B:$B, 0)), ISNUMBER(SEARCH($A67,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ISNUMBER(SEARCH($A67, INDEX(AsistenciaJetAdminConcatenada!$D:$D, MATCH(1, (AsistenciaJetAdminConcatenada!$A:$A=EM$2)*(AsistenciaJetAdminConcatenada!$B:$B=EM$1), 0)), 1))),  0.5, 0))</f>
        <v>0</v>
      </c>
      <c r="EN67" s="47">
        <f t="array" ref="EN67">IF(AND(ISNUMBER(MATCH(EN$2, AsistenciaJetAdminConcatenada!$A:$A, 0)), ISNUMBER(MATCH(EN$1, AsistenciaJetAdminConcatenada!$B:$B, 0)), ISNUMBER(SEARCH($A67,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ISNUMBER(SEARCH($A67, INDEX(AsistenciaJetAdminConcatenada!$D:$D, MATCH(1, (AsistenciaJetAdminConcatenada!$A:$A=EN$2)*(AsistenciaJetAdminConcatenada!$B:$B=EN$1), 0)), 1))),  0.5, 0))</f>
        <v>0</v>
      </c>
      <c r="EO67" s="47">
        <f t="array" ref="EO67">IF(AND(ISNUMBER(MATCH(EO$2, AsistenciaJetAdminConcatenada!$A:$A, 0)), ISNUMBER(MATCH(EO$1, AsistenciaJetAdminConcatenada!$B:$B, 0)), ISNUMBER(SEARCH($A67,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ISNUMBER(SEARCH($A67, INDEX(AsistenciaJetAdminConcatenada!$D:$D, MATCH(1, (AsistenciaJetAdminConcatenada!$A:$A=EO$2)*(AsistenciaJetAdminConcatenada!$B:$B=EO$1), 0)), 1))),  0.5, 0))</f>
        <v>0</v>
      </c>
      <c r="EP67" s="47">
        <f t="array" ref="EP67">IF(AND(ISNUMBER(MATCH(EP$2, AsistenciaJetAdminConcatenada!$A:$A, 0)), ISNUMBER(MATCH(EP$1, AsistenciaJetAdminConcatenada!$B:$B, 0)), ISNUMBER(SEARCH($A67,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ISNUMBER(SEARCH($A67, INDEX(AsistenciaJetAdminConcatenada!$D:$D, MATCH(1, (AsistenciaJetAdminConcatenada!$A:$A=EP$2)*(AsistenciaJetAdminConcatenada!$B:$B=EP$1), 0)), 1))),  0.5, 0))</f>
        <v>0</v>
      </c>
      <c r="EQ67" s="47">
        <f t="array" ref="EQ67">IF(AND(ISNUMBER(MATCH(EQ$2, AsistenciaJetAdminConcatenada!$A:$A, 0)), ISNUMBER(MATCH(EQ$1, AsistenciaJetAdminConcatenada!$B:$B, 0)), ISNUMBER(SEARCH($A67,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ISNUMBER(SEARCH($A67, INDEX(AsistenciaJetAdminConcatenada!$D:$D, MATCH(1, (AsistenciaJetAdminConcatenada!$A:$A=EQ$2)*(AsistenciaJetAdminConcatenada!$B:$B=EQ$1), 0)), 1))),  0.5, 0))</f>
        <v>0</v>
      </c>
      <c r="ER67" s="47">
        <f t="array" ref="ER67">IF(AND(ISNUMBER(MATCH(ER$2, AsistenciaJetAdminConcatenada!$A:$A, 0)), ISNUMBER(MATCH(ER$1, AsistenciaJetAdminConcatenada!$B:$B, 0)), ISNUMBER(SEARCH($A67,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ISNUMBER(SEARCH($A67, INDEX(AsistenciaJetAdminConcatenada!$D:$D, MATCH(1, (AsistenciaJetAdminConcatenada!$A:$A=ER$2)*(AsistenciaJetAdminConcatenada!$B:$B=ER$1), 0)), 1))),  0.5, 0))</f>
        <v>0</v>
      </c>
      <c r="ES67" s="47">
        <f t="array" ref="ES67">IF(AND(ISNUMBER(MATCH(ES$2, AsistenciaJetAdminConcatenada!$A:$A, 0)), ISNUMBER(MATCH(ES$1, AsistenciaJetAdminConcatenada!$B:$B, 0)), ISNUMBER(SEARCH($A67,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ISNUMBER(SEARCH($A67, INDEX(AsistenciaJetAdminConcatenada!$D:$D, MATCH(1, (AsistenciaJetAdminConcatenada!$A:$A=ES$2)*(AsistenciaJetAdminConcatenada!$B:$B=ES$1), 0)), 1))),  0.5, 0))</f>
        <v>0</v>
      </c>
      <c r="ET67" s="47">
        <f t="array" ref="ET67">IF(AND(ISNUMBER(MATCH(ET$2, AsistenciaJetAdminConcatenada!$A:$A, 0)), ISNUMBER(MATCH(ET$1, AsistenciaJetAdminConcatenada!$B:$B, 0)), ISNUMBER(SEARCH($A67,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ISNUMBER(SEARCH($A67, INDEX(AsistenciaJetAdminConcatenada!$D:$D, MATCH(1, (AsistenciaJetAdminConcatenada!$A:$A=ET$2)*(AsistenciaJetAdminConcatenada!$B:$B=ET$1), 0)), 1))),  0.5, 0))</f>
        <v>0</v>
      </c>
      <c r="EU67" s="47">
        <f t="array" ref="EU67">IF(AND(ISNUMBER(MATCH(EU$2, AsistenciaJetAdminConcatenada!$A:$A, 0)), ISNUMBER(MATCH(EU$1, AsistenciaJetAdminConcatenada!$B:$B, 0)), ISNUMBER(SEARCH($A67,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ISNUMBER(SEARCH($A67, INDEX(AsistenciaJetAdminConcatenada!$D:$D, MATCH(1, (AsistenciaJetAdminConcatenada!$A:$A=EU$2)*(AsistenciaJetAdminConcatenada!$B:$B=EU$1), 0)), 1))),  0.5, 0))</f>
        <v>0</v>
      </c>
      <c r="EV67" s="47">
        <f t="array" ref="EV67">IF(AND(ISNUMBER(MATCH(EV$2, AsistenciaJetAdminConcatenada!$A:$A, 0)), ISNUMBER(MATCH(EV$1, AsistenciaJetAdminConcatenada!$B:$B, 0)), ISNUMBER(SEARCH($A67,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ISNUMBER(SEARCH($A67, INDEX(AsistenciaJetAdminConcatenada!$D:$D, MATCH(1, (AsistenciaJetAdminConcatenada!$A:$A=EV$2)*(AsistenciaJetAdminConcatenada!$B:$B=EV$1), 0)), 1))),  0.5, 0))</f>
        <v>0</v>
      </c>
      <c r="EW67" s="47">
        <f t="array" ref="EW67">IF(AND(ISNUMBER(MATCH(EW$2, AsistenciaJetAdminConcatenada!$A:$A, 0)), ISNUMBER(MATCH(EW$1, AsistenciaJetAdminConcatenada!$B:$B, 0)), ISNUMBER(SEARCH($A67,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ISNUMBER(SEARCH($A67, INDEX(AsistenciaJetAdminConcatenada!$D:$D, MATCH(1, (AsistenciaJetAdminConcatenada!$A:$A=EW$2)*(AsistenciaJetAdminConcatenada!$B:$B=EW$1), 0)), 1))),  0.5, 0))</f>
        <v>0</v>
      </c>
      <c r="EX67" s="47">
        <f t="array" ref="EX67">IF(AND(ISNUMBER(MATCH(EX$2, AsistenciaJetAdminConcatenada!$A:$A, 0)), ISNUMBER(MATCH(EX$1, AsistenciaJetAdminConcatenada!$B:$B, 0)), ISNUMBER(SEARCH($A67,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ISNUMBER(SEARCH($A67, INDEX(AsistenciaJetAdminConcatenada!$D:$D, MATCH(1, (AsistenciaJetAdminConcatenada!$A:$A=EX$2)*(AsistenciaJetAdminConcatenada!$B:$B=EX$1), 0)), 1))),  0.5, 0))</f>
        <v>0</v>
      </c>
      <c r="EY67" s="47">
        <f t="array" ref="EY67">IF(AND(ISNUMBER(MATCH(EY$2, AsistenciaJetAdminConcatenada!$A:$A, 0)), ISNUMBER(MATCH(EY$1, AsistenciaJetAdminConcatenada!$B:$B, 0)), ISNUMBER(SEARCH($A67,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ISNUMBER(SEARCH($A67, INDEX(AsistenciaJetAdminConcatenada!$D:$D, MATCH(1, (AsistenciaJetAdminConcatenada!$A:$A=EY$2)*(AsistenciaJetAdminConcatenada!$B:$B=EY$1), 0)), 1))),  0.5, 0))</f>
        <v>0</v>
      </c>
      <c r="EZ67" s="47">
        <f t="array" ref="EZ67">IF(AND(ISNUMBER(MATCH(EZ$2, AsistenciaJetAdminConcatenada!$A:$A, 0)), ISNUMBER(MATCH(EZ$1, AsistenciaJetAdminConcatenada!$B:$B, 0)), ISNUMBER(SEARCH($A67,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ISNUMBER(SEARCH($A67, INDEX(AsistenciaJetAdminConcatenada!$D:$D, MATCH(1, (AsistenciaJetAdminConcatenada!$A:$A=EZ$2)*(AsistenciaJetAdminConcatenada!$B:$B=EZ$1), 0)), 1))),  0.5, 0))</f>
        <v>0</v>
      </c>
      <c r="FA67" s="47">
        <f t="array" ref="FA67">IF(AND(ISNUMBER(MATCH(FA$2, AsistenciaJetAdminConcatenada!$A:$A, 0)), ISNUMBER(MATCH(FA$1, AsistenciaJetAdminConcatenada!$B:$B, 0)), ISNUMBER(SEARCH($A67,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ISNUMBER(SEARCH($A67, INDEX(AsistenciaJetAdminConcatenada!$D:$D, MATCH(1, (AsistenciaJetAdminConcatenada!$A:$A=FA$2)*(AsistenciaJetAdminConcatenada!$B:$B=FA$1), 0)), 1))),  0.5, 0))</f>
        <v>0</v>
      </c>
      <c r="FB67" s="47">
        <f t="array" ref="FB67">IF(AND(ISNUMBER(MATCH(FB$2, AsistenciaJetAdminConcatenada!$A:$A, 0)), ISNUMBER(MATCH(FB$1, AsistenciaJetAdminConcatenada!$B:$B, 0)), ISNUMBER(SEARCH($A67,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ISNUMBER(SEARCH($A67, INDEX(AsistenciaJetAdminConcatenada!$D:$D, MATCH(1, (AsistenciaJetAdminConcatenada!$A:$A=FB$2)*(AsistenciaJetAdminConcatenada!$B:$B=FB$1), 0)), 1))),  0.5, 0))</f>
        <v>0</v>
      </c>
      <c r="FC67" s="47">
        <f t="array" ref="FC67">IF(AND(ISNUMBER(MATCH(FC$2, AsistenciaJetAdminConcatenada!$A:$A, 0)), ISNUMBER(MATCH(FC$1, AsistenciaJetAdminConcatenada!$B:$B, 0)), ISNUMBER(SEARCH($A67,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ISNUMBER(SEARCH($A67, INDEX(AsistenciaJetAdminConcatenada!$D:$D, MATCH(1, (AsistenciaJetAdminConcatenada!$A:$A=FC$2)*(AsistenciaJetAdminConcatenada!$B:$B=FC$1), 0)), 1))),  0.5, 0))</f>
        <v>0</v>
      </c>
      <c r="FD67" s="47">
        <f t="array" ref="FD67">IF(AND(ISNUMBER(MATCH(FD$2, AsistenciaJetAdminConcatenada!$A:$A, 0)), ISNUMBER(MATCH(FD$1, AsistenciaJetAdminConcatenada!$B:$B, 0)), ISNUMBER(SEARCH($A67,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ISNUMBER(SEARCH($A67, INDEX(AsistenciaJetAdminConcatenada!$D:$D, MATCH(1, (AsistenciaJetAdminConcatenada!$A:$A=FD$2)*(AsistenciaJetAdminConcatenada!$B:$B=FD$1), 0)), 1))),  0.5, 0))</f>
        <v>0</v>
      </c>
      <c r="FE67" s="47">
        <f t="array" ref="FE67">IF(AND(ISNUMBER(MATCH(FE$2, AsistenciaJetAdminConcatenada!$A:$A, 0)), ISNUMBER(MATCH(FE$1, AsistenciaJetAdminConcatenada!$B:$B, 0)), ISNUMBER(SEARCH($A67,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ISNUMBER(SEARCH($A67, INDEX(AsistenciaJetAdminConcatenada!$D:$D, MATCH(1, (AsistenciaJetAdminConcatenada!$A:$A=FE$2)*(AsistenciaJetAdminConcatenada!$B:$B=FE$1), 0)), 1))),  0.5, 0))</f>
        <v>0</v>
      </c>
      <c r="FF67" s="47">
        <f t="array" ref="FF67">IF(AND(ISNUMBER(MATCH(FF$2, AsistenciaJetAdminConcatenada!$A:$A, 0)), ISNUMBER(MATCH(FF$1, AsistenciaJetAdminConcatenada!$B:$B, 0)), ISNUMBER(SEARCH($A67,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ISNUMBER(SEARCH($A67, INDEX(AsistenciaJetAdminConcatenada!$D:$D, MATCH(1, (AsistenciaJetAdminConcatenada!$A:$A=FF$2)*(AsistenciaJetAdminConcatenada!$B:$B=FF$1), 0)), 1))),  0.5, 0))</f>
        <v>0</v>
      </c>
      <c r="FG67" s="47">
        <f t="array" ref="FG67">IF(AND(ISNUMBER(MATCH(FG$2, AsistenciaJetAdminConcatenada!$A:$A, 0)), ISNUMBER(MATCH(FG$1, AsistenciaJetAdminConcatenada!$B:$B, 0)), ISNUMBER(SEARCH($A67,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ISNUMBER(SEARCH($A67, INDEX(AsistenciaJetAdminConcatenada!$D:$D, MATCH(1, (AsistenciaJetAdminConcatenada!$A:$A=FG$2)*(AsistenciaJetAdminConcatenada!$B:$B=FG$1), 0)), 1))),  0.5, 0))</f>
        <v>0</v>
      </c>
      <c r="FH67" s="47">
        <f t="array" ref="FH67">IF(AND(ISNUMBER(MATCH(FH$2, AsistenciaJetAdminConcatenada!$A:$A, 0)), ISNUMBER(MATCH(FH$1, AsistenciaJetAdminConcatenada!$B:$B, 0)), ISNUMBER(SEARCH($A67,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ISNUMBER(SEARCH($A67, INDEX(AsistenciaJetAdminConcatenada!$D:$D, MATCH(1, (AsistenciaJetAdminConcatenada!$A:$A=FH$2)*(AsistenciaJetAdminConcatenada!$B:$B=FH$1), 0)), 1))),  0.5, 0))</f>
        <v>0</v>
      </c>
      <c r="FI67" s="47">
        <f t="array" ref="FI67">IF(AND(ISNUMBER(MATCH(FI$2, AsistenciaJetAdminConcatenada!$A:$A, 0)), ISNUMBER(MATCH(FI$1, AsistenciaJetAdminConcatenada!$B:$B, 0)), ISNUMBER(SEARCH($A67,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ISNUMBER(SEARCH($A67, INDEX(AsistenciaJetAdminConcatenada!$D:$D, MATCH(1, (AsistenciaJetAdminConcatenada!$A:$A=FI$2)*(AsistenciaJetAdminConcatenada!$B:$B=FI$1), 0)), 1))),  0.5, 0))</f>
        <v>0</v>
      </c>
      <c r="FJ67" s="47">
        <f t="array" ref="FJ67">IF(AND(ISNUMBER(MATCH(FJ$2, AsistenciaJetAdminConcatenada!$A:$A, 0)), ISNUMBER(MATCH(FJ$1, AsistenciaJetAdminConcatenada!$B:$B, 0)), ISNUMBER(SEARCH($A67,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ISNUMBER(SEARCH($A67, INDEX(AsistenciaJetAdminConcatenada!$D:$D, MATCH(1, (AsistenciaJetAdminConcatenada!$A:$A=FJ$2)*(AsistenciaJetAdminConcatenada!$B:$B=FJ$1), 0)), 1))),  0.5, 0))</f>
        <v>0</v>
      </c>
      <c r="FK67" s="47">
        <f t="array" ref="FK67">IF(AND(ISNUMBER(MATCH(FK$2, AsistenciaJetAdminConcatenada!$A:$A, 0)), ISNUMBER(MATCH(FK$1, AsistenciaJetAdminConcatenada!$B:$B, 0)), ISNUMBER(SEARCH($A67,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ISNUMBER(SEARCH($A67, INDEX(AsistenciaJetAdminConcatenada!$D:$D, MATCH(1, (AsistenciaJetAdminConcatenada!$A:$A=FK$2)*(AsistenciaJetAdminConcatenada!$B:$B=FK$1), 0)), 1))),  0.5, 0))</f>
        <v>0</v>
      </c>
      <c r="FL67" s="47">
        <f t="array" ref="FL67">IF(AND(ISNUMBER(MATCH(FL$2, AsistenciaJetAdminConcatenada!$A:$A, 0)), ISNUMBER(MATCH(FL$1, AsistenciaJetAdminConcatenada!$B:$B, 0)), ISNUMBER(SEARCH($A67,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ISNUMBER(SEARCH($A67, INDEX(AsistenciaJetAdminConcatenada!$D:$D, MATCH(1, (AsistenciaJetAdminConcatenada!$A:$A=FL$2)*(AsistenciaJetAdminConcatenada!$B:$B=FL$1), 0)), 1))),  0.5, 0))</f>
        <v>0</v>
      </c>
      <c r="FM67" s="47">
        <f t="array" ref="FM67">IF(AND(ISNUMBER(MATCH(FM$2, AsistenciaJetAdminConcatenada!$A:$A, 0)), ISNUMBER(MATCH(FM$1, AsistenciaJetAdminConcatenada!$B:$B, 0)), ISNUMBER(SEARCH($A67,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ISNUMBER(SEARCH($A67, INDEX(AsistenciaJetAdminConcatenada!$D:$D, MATCH(1, (AsistenciaJetAdminConcatenada!$A:$A=FM$2)*(AsistenciaJetAdminConcatenada!$B:$B=FM$1), 0)), 1))),  0.5, 0))</f>
        <v>0</v>
      </c>
      <c r="FN67" s="47">
        <f t="array" ref="FN67">IF(AND(ISNUMBER(MATCH(FN$2, AsistenciaJetAdminConcatenada!$A:$A, 0)), ISNUMBER(MATCH(FN$1, AsistenciaJetAdminConcatenada!$B:$B, 0)), ISNUMBER(SEARCH($A67,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ISNUMBER(SEARCH($A67, INDEX(AsistenciaJetAdminConcatenada!$D:$D, MATCH(1, (AsistenciaJetAdminConcatenada!$A:$A=FN$2)*(AsistenciaJetAdminConcatenada!$B:$B=FN$1), 0)), 1))),  0.5, 0))</f>
        <v>0</v>
      </c>
      <c r="FO67" s="47">
        <f t="array" ref="FO67">IF(AND(ISNUMBER(MATCH(FO$2, AsistenciaJetAdminConcatenada!$A:$A, 0)), ISNUMBER(MATCH(FO$1, AsistenciaJetAdminConcatenada!$B:$B, 0)), ISNUMBER(SEARCH($A67,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ISNUMBER(SEARCH($A67, INDEX(AsistenciaJetAdminConcatenada!$D:$D, MATCH(1, (AsistenciaJetAdminConcatenada!$A:$A=FO$2)*(AsistenciaJetAdminConcatenada!$B:$B=FO$1), 0)), 1))),  0.5, 0))</f>
        <v>0</v>
      </c>
      <c r="FP67" s="47">
        <f t="array" ref="FP67">IF(AND(ISNUMBER(MATCH(FP$2, AsistenciaJetAdminConcatenada!$A:$A, 0)), ISNUMBER(MATCH(FP$1, AsistenciaJetAdminConcatenada!$B:$B, 0)), ISNUMBER(SEARCH($A67,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ISNUMBER(SEARCH($A67, INDEX(AsistenciaJetAdminConcatenada!$D:$D, MATCH(1, (AsistenciaJetAdminConcatenada!$A:$A=FP$2)*(AsistenciaJetAdminConcatenada!$B:$B=FP$1), 0)), 1))),  0.5, 0))</f>
        <v>0</v>
      </c>
      <c r="FQ67" s="47">
        <f t="array" ref="FQ67">IF(AND(ISNUMBER(MATCH(FQ$2, AsistenciaJetAdminConcatenada!$A:$A, 0)), ISNUMBER(MATCH(FQ$1, AsistenciaJetAdminConcatenada!$B:$B, 0)), ISNUMBER(SEARCH($A67,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ISNUMBER(SEARCH($A67, INDEX(AsistenciaJetAdminConcatenada!$D:$D, MATCH(1, (AsistenciaJetAdminConcatenada!$A:$A=FQ$2)*(AsistenciaJetAdminConcatenada!$B:$B=FQ$1), 0)), 1))),  0.5, 0))</f>
        <v>0</v>
      </c>
      <c r="FR67" s="47">
        <f t="array" ref="FR67">IF(AND(ISNUMBER(MATCH(FR$2, AsistenciaJetAdminConcatenada!$A:$A, 0)), ISNUMBER(MATCH(FR$1, AsistenciaJetAdminConcatenada!$B:$B, 0)), ISNUMBER(SEARCH($A67,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ISNUMBER(SEARCH($A67, INDEX(AsistenciaJetAdminConcatenada!$D:$D, MATCH(1, (AsistenciaJetAdminConcatenada!$A:$A=FR$2)*(AsistenciaJetAdminConcatenada!$B:$B=FR$1), 0)), 1))),  0.5, 0))</f>
        <v>0</v>
      </c>
      <c r="FS67" s="47">
        <f t="array" ref="FS67">IF(AND(ISNUMBER(MATCH(FS$2, AsistenciaJetAdminConcatenada!$A:$A, 0)), ISNUMBER(MATCH(FS$1, AsistenciaJetAdminConcatenada!$B:$B, 0)), ISNUMBER(SEARCH($A67,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ISNUMBER(SEARCH($A67, INDEX(AsistenciaJetAdminConcatenada!$D:$D, MATCH(1, (AsistenciaJetAdminConcatenada!$A:$A=FS$2)*(AsistenciaJetAdminConcatenada!$B:$B=FS$1), 0)), 1))),  0.5, 0))</f>
        <v>0</v>
      </c>
      <c r="FT67" s="47">
        <f t="array" ref="FT67">IF(AND(ISNUMBER(MATCH(FT$2, AsistenciaJetAdminConcatenada!$A:$A, 0)), ISNUMBER(MATCH(FT$1, AsistenciaJetAdminConcatenada!$B:$B, 0)), ISNUMBER(SEARCH($A67,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ISNUMBER(SEARCH($A67, INDEX(AsistenciaJetAdminConcatenada!$D:$D, MATCH(1, (AsistenciaJetAdminConcatenada!$A:$A=FT$2)*(AsistenciaJetAdminConcatenada!$B:$B=FT$1), 0)), 1))),  0.5, 0))</f>
        <v>0</v>
      </c>
      <c r="FU67" s="47">
        <f t="array" ref="FU67">IF(AND(ISNUMBER(MATCH(FU$2, AsistenciaJetAdminConcatenada!$A:$A, 0)), ISNUMBER(MATCH(FU$1, AsistenciaJetAdminConcatenada!$B:$B, 0)), ISNUMBER(SEARCH($A67,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ISNUMBER(SEARCH($A67, INDEX(AsistenciaJetAdminConcatenada!$D:$D, MATCH(1, (AsistenciaJetAdminConcatenada!$A:$A=FU$2)*(AsistenciaJetAdminConcatenada!$B:$B=FU$1), 0)), 1))),  0.5, 0))</f>
        <v>0</v>
      </c>
      <c r="FV67" s="47">
        <f t="array" ref="FV67">IF(AND(ISNUMBER(MATCH(FV$2, AsistenciaJetAdminConcatenada!$A:$A, 0)), ISNUMBER(MATCH(FV$1, AsistenciaJetAdminConcatenada!$B:$B, 0)), ISNUMBER(SEARCH($A67,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ISNUMBER(SEARCH($A67, INDEX(AsistenciaJetAdminConcatenada!$D:$D, MATCH(1, (AsistenciaJetAdminConcatenada!$A:$A=FV$2)*(AsistenciaJetAdminConcatenada!$B:$B=FV$1), 0)), 1))),  0.5, 0))</f>
        <v>0</v>
      </c>
      <c r="FW67" s="47">
        <f t="array" ref="FW67">IF(AND(ISNUMBER(MATCH(FW$2, AsistenciaJetAdminConcatenada!$A:$A, 0)), ISNUMBER(MATCH(FW$1, AsistenciaJetAdminConcatenada!$B:$B, 0)), ISNUMBER(SEARCH($A67,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ISNUMBER(SEARCH($A67, INDEX(AsistenciaJetAdminConcatenada!$D:$D, MATCH(1, (AsistenciaJetAdminConcatenada!$A:$A=FW$2)*(AsistenciaJetAdminConcatenada!$B:$B=FW$1), 0)), 1))),  0.5, 0))</f>
        <v>0</v>
      </c>
      <c r="FX67" s="47">
        <f t="array" ref="FX67">IF(AND(ISNUMBER(MATCH(FX$2, AsistenciaJetAdminConcatenada!$A:$A, 0)), ISNUMBER(MATCH(FX$1, AsistenciaJetAdminConcatenada!$B:$B, 0)), ISNUMBER(SEARCH($A67,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ISNUMBER(SEARCH($A67, INDEX(AsistenciaJetAdminConcatenada!$D:$D, MATCH(1, (AsistenciaJetAdminConcatenada!$A:$A=FX$2)*(AsistenciaJetAdminConcatenada!$B:$B=FX$1), 0)), 1))),  0.5, 0))</f>
        <v>0</v>
      </c>
      <c r="FY67" s="47">
        <f t="array" ref="FY67">IF(AND(ISNUMBER(MATCH(FY$2, AsistenciaJetAdminConcatenada!$A:$A, 0)), ISNUMBER(MATCH(FY$1, AsistenciaJetAdminConcatenada!$B:$B, 0)), ISNUMBER(SEARCH($A67,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ISNUMBER(SEARCH($A67, INDEX(AsistenciaJetAdminConcatenada!$D:$D, MATCH(1, (AsistenciaJetAdminConcatenada!$A:$A=FY$2)*(AsistenciaJetAdminConcatenada!$B:$B=FY$1), 0)), 1))),  0.5, 0))</f>
        <v>0</v>
      </c>
      <c r="FZ67" s="47">
        <f t="array" ref="FZ67">IF(AND(ISNUMBER(MATCH(FZ$2, AsistenciaJetAdminConcatenada!$A:$A, 0)), ISNUMBER(MATCH(FZ$1, AsistenciaJetAdminConcatenada!$B:$B, 0)), ISNUMBER(SEARCH($A67,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ISNUMBER(SEARCH($A67, INDEX(AsistenciaJetAdminConcatenada!$D:$D, MATCH(1, (AsistenciaJetAdminConcatenada!$A:$A=FZ$2)*(AsistenciaJetAdminConcatenada!$B:$B=FZ$1), 0)), 1))),  0.5, 0))</f>
        <v>0</v>
      </c>
      <c r="GA67" s="47">
        <f t="array" ref="GA67">IF(AND(ISNUMBER(MATCH(GA$2, AsistenciaJetAdminConcatenada!$A:$A, 0)), ISNUMBER(MATCH(GA$1, AsistenciaJetAdminConcatenada!$B:$B, 0)), ISNUMBER(SEARCH($A67,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ISNUMBER(SEARCH($A67, INDEX(AsistenciaJetAdminConcatenada!$D:$D, MATCH(1, (AsistenciaJetAdminConcatenada!$A:$A=GA$2)*(AsistenciaJetAdminConcatenada!$B:$B=GA$1), 0)), 1))),  0.5, 0))</f>
        <v>0</v>
      </c>
      <c r="GB67" s="47">
        <f t="array" ref="GB67">IF(AND(ISNUMBER(MATCH(GB$2, AsistenciaJetAdminConcatenada!$A:$A, 0)), ISNUMBER(MATCH(GB$1, AsistenciaJetAdminConcatenada!$B:$B, 0)), ISNUMBER(SEARCH($A67,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ISNUMBER(SEARCH($A67, INDEX(AsistenciaJetAdminConcatenada!$D:$D, MATCH(1, (AsistenciaJetAdminConcatenada!$A:$A=GB$2)*(AsistenciaJetAdminConcatenada!$B:$B=GB$1), 0)), 1))),  0.5, 0))</f>
        <v>0</v>
      </c>
      <c r="GC67" s="47">
        <f t="array" ref="GC67">IF(AND(ISNUMBER(MATCH(GC$2, AsistenciaJetAdminConcatenada!$A:$A, 0)), ISNUMBER(MATCH(GC$1, AsistenciaJetAdminConcatenada!$B:$B, 0)), ISNUMBER(SEARCH($A67,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ISNUMBER(SEARCH($A67, INDEX(AsistenciaJetAdminConcatenada!$D:$D, MATCH(1, (AsistenciaJetAdminConcatenada!$A:$A=GC$2)*(AsistenciaJetAdminConcatenada!$B:$B=GC$1), 0)), 1))),  0.5, 0))</f>
        <v>0</v>
      </c>
      <c r="GD67" s="47">
        <f t="array" ref="GD67">IF(AND(ISNUMBER(MATCH(GD$2, AsistenciaJetAdminConcatenada!$A:$A, 0)), ISNUMBER(MATCH(GD$1, AsistenciaJetAdminConcatenada!$B:$B, 0)), ISNUMBER(SEARCH($A67,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ISNUMBER(SEARCH($A67, INDEX(AsistenciaJetAdminConcatenada!$D:$D, MATCH(1, (AsistenciaJetAdminConcatenada!$A:$A=GD$2)*(AsistenciaJetAdminConcatenada!$B:$B=GD$1), 0)), 1))),  0.5, 0))</f>
        <v>0</v>
      </c>
      <c r="GE67" s="47">
        <f t="array" ref="GE67">IF(AND(ISNUMBER(MATCH(GE$2, AsistenciaJetAdminConcatenada!$A:$A, 0)), ISNUMBER(MATCH(GE$1, AsistenciaJetAdminConcatenada!$B:$B, 0)), ISNUMBER(SEARCH($A67,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ISNUMBER(SEARCH($A67, INDEX(AsistenciaJetAdminConcatenada!$D:$D, MATCH(1, (AsistenciaJetAdminConcatenada!$A:$A=GE$2)*(AsistenciaJetAdminConcatenada!$B:$B=GE$1), 0)), 1))),  0.5, 0))</f>
        <v>0</v>
      </c>
      <c r="GF67" s="47">
        <f t="array" ref="GF67">IF(AND(ISNUMBER(MATCH(GF$2, AsistenciaJetAdminConcatenada!$A:$A, 0)), ISNUMBER(MATCH(GF$1, AsistenciaJetAdminConcatenada!$B:$B, 0)), ISNUMBER(SEARCH($A67,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ISNUMBER(SEARCH($A67, INDEX(AsistenciaJetAdminConcatenada!$D:$D, MATCH(1, (AsistenciaJetAdminConcatenada!$A:$A=GF$2)*(AsistenciaJetAdminConcatenada!$B:$B=GF$1), 0)), 1))),  0.5, 0))</f>
        <v>0</v>
      </c>
      <c r="GG67" s="47">
        <f t="array" ref="GG67">IF(AND(ISNUMBER(MATCH(GG$2, AsistenciaJetAdminConcatenada!$A:$A, 0)), ISNUMBER(MATCH(GG$1, AsistenciaJetAdminConcatenada!$B:$B, 0)), ISNUMBER(SEARCH($A67,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ISNUMBER(SEARCH($A67, INDEX(AsistenciaJetAdminConcatenada!$D:$D, MATCH(1, (AsistenciaJetAdminConcatenada!$A:$A=GG$2)*(AsistenciaJetAdminConcatenada!$B:$B=GG$1), 0)), 1))),  0.5, 0))</f>
        <v>0</v>
      </c>
      <c r="GH67" s="47">
        <f t="array" ref="GH67">IF(AND(ISNUMBER(MATCH(GH$2, AsistenciaJetAdminConcatenada!$A:$A, 0)), ISNUMBER(MATCH(GH$1, AsistenciaJetAdminConcatenada!$B:$B, 0)), ISNUMBER(SEARCH($A67,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ISNUMBER(SEARCH($A67, INDEX(AsistenciaJetAdminConcatenada!$D:$D, MATCH(1, (AsistenciaJetAdminConcatenada!$A:$A=GH$2)*(AsistenciaJetAdminConcatenada!$B:$B=GH$1), 0)), 1))),  0.5, 0))</f>
        <v>0</v>
      </c>
      <c r="GI67" s="47">
        <f t="array" ref="GI67">IF(AND(ISNUMBER(MATCH(GI$2, AsistenciaJetAdminConcatenada!$A:$A, 0)), ISNUMBER(MATCH(GI$1, AsistenciaJetAdminConcatenada!$B:$B, 0)), ISNUMBER(SEARCH($A67,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ISNUMBER(SEARCH($A67, INDEX(AsistenciaJetAdminConcatenada!$D:$D, MATCH(1, (AsistenciaJetAdminConcatenada!$A:$A=GI$2)*(AsistenciaJetAdminConcatenada!$B:$B=GI$1), 0)), 1))),  0.5, 0))</f>
        <v>0</v>
      </c>
      <c r="GJ67" s="47">
        <f t="array" ref="GJ67">IF(AND(ISNUMBER(MATCH(GJ$2, AsistenciaJetAdminConcatenada!$A:$A, 0)), ISNUMBER(MATCH(GJ$1, AsistenciaJetAdminConcatenada!$B:$B, 0)), ISNUMBER(SEARCH($A67,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ISNUMBER(SEARCH($A67, INDEX(AsistenciaJetAdminConcatenada!$D:$D, MATCH(1, (AsistenciaJetAdminConcatenada!$A:$A=GJ$2)*(AsistenciaJetAdminConcatenada!$B:$B=GJ$1), 0)), 1))),  0.5, 0))</f>
        <v>0</v>
      </c>
      <c r="GK67" s="47">
        <f t="array" ref="GK67">IF(AND(ISNUMBER(MATCH(GK$2, AsistenciaJetAdminConcatenada!$A:$A, 0)), ISNUMBER(MATCH(GK$1, AsistenciaJetAdminConcatenada!$B:$B, 0)), ISNUMBER(SEARCH($A67,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ISNUMBER(SEARCH($A67, INDEX(AsistenciaJetAdminConcatenada!$D:$D, MATCH(1, (AsistenciaJetAdminConcatenada!$A:$A=GK$2)*(AsistenciaJetAdminConcatenada!$B:$B=GK$1), 0)), 1))),  0.5, 0))</f>
        <v>0</v>
      </c>
      <c r="GL67" s="47">
        <f t="array" ref="GL67">IF(AND(ISNUMBER(MATCH(GL$2, AsistenciaJetAdminConcatenada!$A:$A, 0)), ISNUMBER(MATCH(GL$1, AsistenciaJetAdminConcatenada!$B:$B, 0)), ISNUMBER(SEARCH($A67,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ISNUMBER(SEARCH($A67, INDEX(AsistenciaJetAdminConcatenada!$D:$D, MATCH(1, (AsistenciaJetAdminConcatenada!$A:$A=GL$2)*(AsistenciaJetAdminConcatenada!$B:$B=GL$1), 0)), 1))),  0.5, 0))</f>
        <v>0</v>
      </c>
      <c r="GM67" s="47">
        <f t="array" ref="GM67">IF(AND(ISNUMBER(MATCH(GM$2, AsistenciaJetAdminConcatenada!$A:$A, 0)), ISNUMBER(MATCH(GM$1, AsistenciaJetAdminConcatenada!$B:$B, 0)), ISNUMBER(SEARCH($A67,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ISNUMBER(SEARCH($A67, INDEX(AsistenciaJetAdminConcatenada!$D:$D, MATCH(1, (AsistenciaJetAdminConcatenada!$A:$A=GM$2)*(AsistenciaJetAdminConcatenada!$B:$B=GM$1), 0)), 1))),  0.5, 0))</f>
        <v>0</v>
      </c>
      <c r="GN67" s="47">
        <f t="array" ref="GN67">IF(AND(ISNUMBER(MATCH(GN$2, AsistenciaJetAdminConcatenada!$A:$A, 0)), ISNUMBER(MATCH(GN$1, AsistenciaJetAdminConcatenada!$B:$B, 0)), ISNUMBER(SEARCH($A67,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ISNUMBER(SEARCH($A67, INDEX(AsistenciaJetAdminConcatenada!$D:$D, MATCH(1, (AsistenciaJetAdminConcatenada!$A:$A=GN$2)*(AsistenciaJetAdminConcatenada!$B:$B=GN$1), 0)), 1))),  0.5, 0))</f>
        <v>0</v>
      </c>
      <c r="GO67" s="47">
        <f t="array" ref="GO67">IF(AND(ISNUMBER(MATCH(GO$2, AsistenciaJetAdminConcatenada!$A:$A, 0)), ISNUMBER(MATCH(GO$1, AsistenciaJetAdminConcatenada!$B:$B, 0)), ISNUMBER(SEARCH($A67,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ISNUMBER(SEARCH($A67, INDEX(AsistenciaJetAdminConcatenada!$D:$D, MATCH(1, (AsistenciaJetAdminConcatenada!$A:$A=GO$2)*(AsistenciaJetAdminConcatenada!$B:$B=GO$1), 0)), 1))),  0.5, 0))</f>
        <v>0</v>
      </c>
      <c r="GP67" s="47">
        <f t="array" ref="GP67">IF(AND(ISNUMBER(MATCH(GP$2, AsistenciaJetAdminConcatenada!$A:$A, 0)), ISNUMBER(MATCH(GP$1, AsistenciaJetAdminConcatenada!$B:$B, 0)), ISNUMBER(SEARCH($A67,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ISNUMBER(SEARCH($A67, INDEX(AsistenciaJetAdminConcatenada!$D:$D, MATCH(1, (AsistenciaJetAdminConcatenada!$A:$A=GP$2)*(AsistenciaJetAdminConcatenada!$B:$B=GP$1), 0)), 1))),  0.5, 0))</f>
        <v>0</v>
      </c>
      <c r="GQ67" s="47">
        <f t="array" ref="GQ67">IF(AND(ISNUMBER(MATCH(GQ$2, AsistenciaJetAdminConcatenada!$A:$A, 0)), ISNUMBER(MATCH(GQ$1, AsistenciaJetAdminConcatenada!$B:$B, 0)), ISNUMBER(SEARCH($A67,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ISNUMBER(SEARCH($A67, INDEX(AsistenciaJetAdminConcatenada!$D:$D, MATCH(1, (AsistenciaJetAdminConcatenada!$A:$A=GQ$2)*(AsistenciaJetAdminConcatenada!$B:$B=GQ$1), 0)), 1))),  0.5, 0))</f>
        <v>0</v>
      </c>
      <c r="GR67" s="47">
        <f t="array" ref="GR67">IF(AND(ISNUMBER(MATCH(GR$2, AsistenciaJetAdminConcatenada!$A:$A, 0)), ISNUMBER(MATCH(GR$1, AsistenciaJetAdminConcatenada!$B:$B, 0)), ISNUMBER(SEARCH($A67,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ISNUMBER(SEARCH($A67, INDEX(AsistenciaJetAdminConcatenada!$D:$D, MATCH(1, (AsistenciaJetAdminConcatenada!$A:$A=GR$2)*(AsistenciaJetAdminConcatenada!$B:$B=GR$1), 0)), 1))),  0.5, 0))</f>
        <v>0</v>
      </c>
      <c r="GS67" s="47">
        <f t="array" ref="GS67">IF(AND(ISNUMBER(MATCH(GS$2, AsistenciaJetAdminConcatenada!$A:$A, 0)), ISNUMBER(MATCH(GS$1, AsistenciaJetAdminConcatenada!$B:$B, 0)), ISNUMBER(SEARCH($A67,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ISNUMBER(SEARCH($A67, INDEX(AsistenciaJetAdminConcatenada!$D:$D, MATCH(1, (AsistenciaJetAdminConcatenada!$A:$A=GS$2)*(AsistenciaJetAdminConcatenada!$B:$B=GS$1), 0)), 1))),  0.5, 0))</f>
        <v>0</v>
      </c>
      <c r="GT67" s="47">
        <f t="array" ref="GT67">IF(AND(ISNUMBER(MATCH(GT$2, AsistenciaJetAdminConcatenada!$A:$A, 0)), ISNUMBER(MATCH(GT$1, AsistenciaJetAdminConcatenada!$B:$B, 0)), ISNUMBER(SEARCH($A67,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ISNUMBER(SEARCH($A67, INDEX(AsistenciaJetAdminConcatenada!$D:$D, MATCH(1, (AsistenciaJetAdminConcatenada!$A:$A=GT$2)*(AsistenciaJetAdminConcatenada!$B:$B=GT$1), 0)), 1))),  0.5, 0))</f>
        <v>0</v>
      </c>
      <c r="GU67" s="47">
        <f t="array" ref="GU67">IF(AND(ISNUMBER(MATCH(GU$2, AsistenciaJetAdminConcatenada!$A:$A, 0)), ISNUMBER(MATCH(GU$1, AsistenciaJetAdminConcatenada!$B:$B, 0)), ISNUMBER(SEARCH($A67,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ISNUMBER(SEARCH($A67, INDEX(AsistenciaJetAdminConcatenada!$D:$D, MATCH(1, (AsistenciaJetAdminConcatenada!$A:$A=GU$2)*(AsistenciaJetAdminConcatenada!$B:$B=GU$1), 0)), 1))),  0.5, 0))</f>
        <v>0</v>
      </c>
      <c r="GV67" s="47">
        <f t="array" ref="GV67">IF(AND(ISNUMBER(MATCH(GV$2, AsistenciaJetAdminConcatenada!$A:$A, 0)), ISNUMBER(MATCH(GV$1, AsistenciaJetAdminConcatenada!$B:$B, 0)), ISNUMBER(SEARCH($A67,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ISNUMBER(SEARCH($A67, INDEX(AsistenciaJetAdminConcatenada!$D:$D, MATCH(1, (AsistenciaJetAdminConcatenada!$A:$A=GV$2)*(AsistenciaJetAdminConcatenada!$B:$B=GV$1), 0)), 1))),  0.5, 0))</f>
        <v>0</v>
      </c>
      <c r="GW67" s="47">
        <f t="array" ref="GW67">IF(AND(ISNUMBER(MATCH(GW$2, AsistenciaJetAdminConcatenada!$A:$A, 0)), ISNUMBER(MATCH(GW$1, AsistenciaJetAdminConcatenada!$B:$B, 0)), ISNUMBER(SEARCH($A67,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ISNUMBER(SEARCH($A67, INDEX(AsistenciaJetAdminConcatenada!$D:$D, MATCH(1, (AsistenciaJetAdminConcatenada!$A:$A=GW$2)*(AsistenciaJetAdminConcatenada!$B:$B=GW$1), 0)), 1))),  0.5, 0))</f>
        <v>0</v>
      </c>
      <c r="GX67" s="47">
        <f t="array" ref="GX67">IF(AND(ISNUMBER(MATCH(GX$2, AsistenciaJetAdminConcatenada!$A:$A, 0)), ISNUMBER(MATCH(GX$1, AsistenciaJetAdminConcatenada!$B:$B, 0)), ISNUMBER(SEARCH($A67,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ISNUMBER(SEARCH($A67, INDEX(AsistenciaJetAdminConcatenada!$D:$D, MATCH(1, (AsistenciaJetAdminConcatenada!$A:$A=GX$2)*(AsistenciaJetAdminConcatenada!$B:$B=GX$1), 0)), 1))),  0.5, 0))</f>
        <v>0</v>
      </c>
      <c r="GY67" s="47">
        <f t="array" ref="GY67">IF(AND(ISNUMBER(MATCH(GY$2, AsistenciaJetAdminConcatenada!$A:$A, 0)), ISNUMBER(MATCH(GY$1, AsistenciaJetAdminConcatenada!$B:$B, 0)), ISNUMBER(SEARCH($A67,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ISNUMBER(SEARCH($A67, INDEX(AsistenciaJetAdminConcatenada!$D:$D, MATCH(1, (AsistenciaJetAdminConcatenada!$A:$A=GY$2)*(AsistenciaJetAdminConcatenada!$B:$B=GY$1), 0)), 1))),  0.5, 0))</f>
        <v>0</v>
      </c>
      <c r="GZ67" s="47">
        <f t="array" ref="GZ67">IF(AND(ISNUMBER(MATCH(GZ$2, AsistenciaJetAdminConcatenada!$A:$A, 0)), ISNUMBER(MATCH(GZ$1, AsistenciaJetAdminConcatenada!$B:$B, 0)), ISNUMBER(SEARCH($A67,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ISNUMBER(SEARCH($A67, INDEX(AsistenciaJetAdminConcatenada!$D:$D, MATCH(1, (AsistenciaJetAdminConcatenada!$A:$A=GZ$2)*(AsistenciaJetAdminConcatenada!$B:$B=GZ$1), 0)), 1))),  0.5, 0))</f>
        <v>0</v>
      </c>
      <c r="HA67" s="47">
        <f t="array" ref="HA67">IF(AND(ISNUMBER(MATCH(HA$2, AsistenciaJetAdminConcatenada!$A:$A, 0)), ISNUMBER(MATCH(HA$1, AsistenciaJetAdminConcatenada!$B:$B, 0)), ISNUMBER(SEARCH($A67,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ISNUMBER(SEARCH($A67, INDEX(AsistenciaJetAdminConcatenada!$D:$D, MATCH(1, (AsistenciaJetAdminConcatenada!$A:$A=HA$2)*(AsistenciaJetAdminConcatenada!$B:$B=HA$1), 0)), 1))),  0.5, 0))</f>
        <v>0</v>
      </c>
      <c r="HB67" s="47">
        <f t="array" ref="HB67">IF(AND(ISNUMBER(MATCH(HB$2, AsistenciaJetAdminConcatenada!$A:$A, 0)), ISNUMBER(MATCH(HB$1, AsistenciaJetAdminConcatenada!$B:$B, 0)), ISNUMBER(SEARCH($A67,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ISNUMBER(SEARCH($A67, INDEX(AsistenciaJetAdminConcatenada!$D:$D, MATCH(1, (AsistenciaJetAdminConcatenada!$A:$A=HB$2)*(AsistenciaJetAdminConcatenada!$B:$B=HB$1), 0)), 1))),  0.5, 0))</f>
        <v>0</v>
      </c>
      <c r="HC67" s="47">
        <f t="array" ref="HC67">IF(AND(ISNUMBER(MATCH(HC$2, AsistenciaJetAdminConcatenada!$A:$A, 0)), ISNUMBER(MATCH(HC$1, AsistenciaJetAdminConcatenada!$B:$B, 0)), ISNUMBER(SEARCH($A67,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ISNUMBER(SEARCH($A67, INDEX(AsistenciaJetAdminConcatenada!$D:$D, MATCH(1, (AsistenciaJetAdminConcatenada!$A:$A=HC$2)*(AsistenciaJetAdminConcatenada!$B:$B=HC$1), 0)), 1))),  0.5, 0))</f>
        <v>0</v>
      </c>
    </row>
    <row r="68" ht="29.25" customHeight="1">
      <c r="A68" s="3">
        <v>152.0</v>
      </c>
      <c r="B68" s="4" t="s">
        <v>344</v>
      </c>
      <c r="C68" s="47">
        <f>SUM(D68:HC68) + ActividadesEspeciales!C68</f>
        <v>63</v>
      </c>
      <c r="D68" s="47">
        <f t="array" ref="D68">IF(AND(ISNUMBER(MATCH(D$2, AsistenciaJetAdminConcatenada!$A:$A, 0)), ISNUMBER(MATCH(D$1, AsistenciaJetAdminConcatenada!$B:$B, 0)), ISNUMBER(SEARCH($A68,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ISNUMBER(SEARCH($A68, INDEX(AsistenciaJetAdminConcatenada!$D:$D, MATCH(1, (AsistenciaJetAdminConcatenada!$A:$A=D$2)*(AsistenciaJetAdminConcatenada!$B:$B=D$1), 0)), 1))),  0.5, 0))</f>
        <v>1</v>
      </c>
      <c r="E68" s="47">
        <f t="array" ref="E68">IF(AND(ISNUMBER(MATCH(E$2, AsistenciaJetAdminConcatenada!$A:$A, 0)), ISNUMBER(MATCH(E$1, AsistenciaJetAdminConcatenada!$B:$B, 0)), ISNUMBER(SEARCH($A68,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ISNUMBER(SEARCH($A68, INDEX(AsistenciaJetAdminConcatenada!$D:$D, MATCH(1, (AsistenciaJetAdminConcatenada!$A:$A=E$2)*(AsistenciaJetAdminConcatenada!$B:$B=E$1), 0)), 1))),  0.5, 0))</f>
        <v>1</v>
      </c>
      <c r="F68" s="47">
        <f t="array" ref="F68">IF(AND(ISNUMBER(MATCH(F$2, AsistenciaJetAdminConcatenada!$A:$A, 0)), ISNUMBER(MATCH(F$1, AsistenciaJetAdminConcatenada!$B:$B, 0)), ISNUMBER(SEARCH($A68,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ISNUMBER(SEARCH($A68, INDEX(AsistenciaJetAdminConcatenada!$D:$D, MATCH(1, (AsistenciaJetAdminConcatenada!$A:$A=F$2)*(AsistenciaJetAdminConcatenada!$B:$B=F$1), 0)), 1))),  0.5, 0))</f>
        <v>1</v>
      </c>
      <c r="G68" s="47">
        <f t="array" ref="G68">IF(AND(ISNUMBER(MATCH(G$2, AsistenciaJetAdminConcatenada!$A:$A, 0)), ISNUMBER(MATCH(G$1, AsistenciaJetAdminConcatenada!$B:$B, 0)), ISNUMBER(SEARCH($A68,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ISNUMBER(SEARCH($A68, INDEX(AsistenciaJetAdminConcatenada!$D:$D, MATCH(1, (AsistenciaJetAdminConcatenada!$A:$A=G$2)*(AsistenciaJetAdminConcatenada!$B:$B=G$1), 0)), 1))),  0.5, 0))</f>
        <v>1</v>
      </c>
      <c r="H68" s="47">
        <f t="array" ref="H68">IF(AND(ISNUMBER(MATCH(H$2, AsistenciaJetAdminConcatenada!$A:$A, 0)), ISNUMBER(MATCH(H$1, AsistenciaJetAdminConcatenada!$B:$B, 0)), ISNUMBER(SEARCH($A68,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ISNUMBER(SEARCH($A68, INDEX(AsistenciaJetAdminConcatenada!$D:$D, MATCH(1, (AsistenciaJetAdminConcatenada!$A:$A=H$2)*(AsistenciaJetAdminConcatenada!$B:$B=H$1), 0)), 1))),  0.5, 0))</f>
        <v>0</v>
      </c>
      <c r="I68" s="47">
        <f t="array" ref="I68">IF(AND(ISNUMBER(MATCH(I$2, AsistenciaJetAdminConcatenada!$A:$A, 0)), ISNUMBER(MATCH(I$1, AsistenciaJetAdminConcatenada!$B:$B, 0)), ISNUMBER(SEARCH($A68,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ISNUMBER(SEARCH($A68, INDEX(AsistenciaJetAdminConcatenada!$D:$D, MATCH(1, (AsistenciaJetAdminConcatenada!$A:$A=I$2)*(AsistenciaJetAdminConcatenada!$B:$B=I$1), 0)), 1))),  0.5, 0))</f>
        <v>1</v>
      </c>
      <c r="J68" s="47">
        <f t="array" ref="J68">IF(AND(ISNUMBER(MATCH(J$2, AsistenciaJetAdminConcatenada!$A:$A, 0)), ISNUMBER(MATCH(J$1, AsistenciaJetAdminConcatenada!$B:$B, 0)), ISNUMBER(SEARCH($A68,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ISNUMBER(SEARCH($A68, INDEX(AsistenciaJetAdminConcatenada!$D:$D, MATCH(1, (AsistenciaJetAdminConcatenada!$A:$A=J$2)*(AsistenciaJetAdminConcatenada!$B:$B=J$1), 0)), 1))),  0.5, 0))</f>
        <v>0</v>
      </c>
      <c r="K68" s="47">
        <f t="array" ref="K68">IF(AND(ISNUMBER(MATCH(K$2, AsistenciaJetAdminConcatenada!$A:$A, 0)), ISNUMBER(MATCH(K$1, AsistenciaJetAdminConcatenada!$B:$B, 0)), ISNUMBER(SEARCH($A68,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ISNUMBER(SEARCH($A68, INDEX(AsistenciaJetAdminConcatenada!$D:$D, MATCH(1, (AsistenciaJetAdminConcatenada!$A:$A=K$2)*(AsistenciaJetAdminConcatenada!$B:$B=K$1), 0)), 1))),  0.5, 0))</f>
        <v>0</v>
      </c>
      <c r="L68" s="47">
        <f t="array" ref="L68">IF(AND(ISNUMBER(MATCH(L$2, AsistenciaJetAdminConcatenada!$A:$A, 0)), ISNUMBER(MATCH(L$1, AsistenciaJetAdminConcatenada!$B:$B, 0)), ISNUMBER(SEARCH($A68,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ISNUMBER(SEARCH($A68, INDEX(AsistenciaJetAdminConcatenada!$D:$D, MATCH(1, (AsistenciaJetAdminConcatenada!$A:$A=L$2)*(AsistenciaJetAdminConcatenada!$B:$B=L$1), 0)), 1))),  0.5, 0))</f>
        <v>1</v>
      </c>
      <c r="M68" s="47">
        <f t="array" ref="M68">IF(AND(ISNUMBER(MATCH(M$2, AsistenciaJetAdminConcatenada!$A:$A, 0)), ISNUMBER(MATCH(M$1, AsistenciaJetAdminConcatenada!$B:$B, 0)), ISNUMBER(SEARCH($A68,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ISNUMBER(SEARCH($A68, INDEX(AsistenciaJetAdminConcatenada!$D:$D, MATCH(1, (AsistenciaJetAdminConcatenada!$A:$A=M$2)*(AsistenciaJetAdminConcatenada!$B:$B=M$1), 0)), 1))),  0.5, 0))</f>
        <v>0</v>
      </c>
      <c r="N68" s="47">
        <f t="array" ref="N68">IF(AND(ISNUMBER(MATCH(N$2, AsistenciaJetAdminConcatenada!$A:$A, 0)), ISNUMBER(MATCH(N$1, AsistenciaJetAdminConcatenada!$B:$B, 0)), ISNUMBER(SEARCH($A68,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ISNUMBER(SEARCH($A68, INDEX(AsistenciaJetAdminConcatenada!$D:$D, MATCH(1, (AsistenciaJetAdminConcatenada!$A:$A=N$2)*(AsistenciaJetAdminConcatenada!$B:$B=N$1), 0)), 1))),  0.5, 0))</f>
        <v>0</v>
      </c>
      <c r="O68" s="47">
        <f t="array" ref="O68">IF(AND(ISNUMBER(MATCH(O$2, AsistenciaJetAdminConcatenada!$A:$A, 0)), ISNUMBER(MATCH(O$1, AsistenciaJetAdminConcatenada!$B:$B, 0)), ISNUMBER(SEARCH($A68,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ISNUMBER(SEARCH($A68, INDEX(AsistenciaJetAdminConcatenada!$D:$D, MATCH(1, (AsistenciaJetAdminConcatenada!$A:$A=O$2)*(AsistenciaJetAdminConcatenada!$B:$B=O$1), 0)), 1))),  0.5, 0))</f>
        <v>1</v>
      </c>
      <c r="P68" s="47">
        <f t="array" ref="P68">IF(AND(ISNUMBER(MATCH(P$2, AsistenciaJetAdminConcatenada!$A:$A, 0)), ISNUMBER(MATCH(P$1, AsistenciaJetAdminConcatenada!$B:$B, 0)), ISNUMBER(SEARCH($A68, INDEX(AsistenciaJetAdminConcatenada!$C:$C, MATCH(1, (AsistenciaJetAdminConcatenada!$A:$A=P$2)*(AsistenciaJetAdminConcatenada!$B:$B=P$1), 0)), 1))), 1, IF(AND(ISNUMBER(MATCH(P$2, AsistenciaJetAdminConcatenada!$A:$A, 0)), ISNUMBER(MATCH(P$1, AsistenciaJetAdminConcatenada!$B:$B, 0)), ISNUMBER(SEARCH($A68, INDEX(AsistenciaJetAdminConcatenada!$D:$D, MATCH(1, (AsistenciaJetAdminConcatenada!$A:$A=P$2)*(AsistenciaJetAdminConcatenada!$B:$B=P$1), 0)), 1))),  0.5, 0))</f>
        <v>0</v>
      </c>
      <c r="Q68" s="47">
        <f t="array" ref="Q68">IF(AND(ISNUMBER(MATCH(Q$2, AsistenciaJetAdminConcatenada!$A:$A, 0)), ISNUMBER(MATCH(Q$1, AsistenciaJetAdminConcatenada!$B:$B, 0)), ISNUMBER(SEARCH($A68, INDEX(AsistenciaJetAdminConcatenada!$C:$C, MATCH(1, (AsistenciaJetAdminConcatenada!$A:$A=Q$2)*(AsistenciaJetAdminConcatenada!$B:$B=Q$1), 0)), 1))), 1, IF(AND(ISNUMBER(MATCH(Q$2, AsistenciaJetAdminConcatenada!$A:$A, 0)), ISNUMBER(MATCH(Q$1, AsistenciaJetAdminConcatenada!$B:$B, 0)), ISNUMBER(SEARCH($A68, INDEX(AsistenciaJetAdminConcatenada!$D:$D, MATCH(1, (AsistenciaJetAdminConcatenada!$A:$A=Q$2)*(AsistenciaJetAdminConcatenada!$B:$B=Q$1), 0)), 1))),  0.5, 0))</f>
        <v>0</v>
      </c>
      <c r="R68" s="47">
        <f t="array" ref="R68">IF(AND(ISNUMBER(MATCH(R$2, AsistenciaJetAdminConcatenada!$A:$A, 0)), ISNUMBER(MATCH(R$1, AsistenciaJetAdminConcatenada!$B:$B, 0)), ISNUMBER(SEARCH($A68,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ISNUMBER(SEARCH($A68, INDEX(AsistenciaJetAdminConcatenada!$D:$D, MATCH(1, (AsistenciaJetAdminConcatenada!$A:$A=R$2)*(AsistenciaJetAdminConcatenada!$B:$B=R$1), 0)), 1))),  0.5, 0))</f>
        <v>1</v>
      </c>
      <c r="S68" s="47">
        <f t="array" ref="S68">IF(AND(ISNUMBER(MATCH(S$2, AsistenciaJetAdminConcatenada!$A:$A, 0)), ISNUMBER(MATCH(S$1, AsistenciaJetAdminConcatenada!$B:$B, 0)), ISNUMBER(SEARCH($A68,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ISNUMBER(SEARCH($A68, INDEX(AsistenciaJetAdminConcatenada!$D:$D, MATCH(1, (AsistenciaJetAdminConcatenada!$A:$A=S$2)*(AsistenciaJetAdminConcatenada!$B:$B=S$1), 0)), 1))),  0.5, 0))</f>
        <v>1</v>
      </c>
      <c r="T68" s="47">
        <f t="array" ref="T68">IF(AND(ISNUMBER(MATCH(T$2, AsistenciaJetAdminConcatenada!$A:$A, 0)), ISNUMBER(MATCH(T$1, AsistenciaJetAdminConcatenada!$B:$B, 0)), ISNUMBER(SEARCH($A68,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ISNUMBER(SEARCH($A68, INDEX(AsistenciaJetAdminConcatenada!$D:$D, MATCH(1, (AsistenciaJetAdminConcatenada!$A:$A=T$2)*(AsistenciaJetAdminConcatenada!$B:$B=T$1), 0)), 1))),  0.5, 0))</f>
        <v>1</v>
      </c>
      <c r="U68" s="47">
        <f t="array" ref="U68">IF(AND(ISNUMBER(MATCH(U$2, AsistenciaJetAdminConcatenada!$A:$A, 0)), ISNUMBER(MATCH(U$1, AsistenciaJetAdminConcatenada!$B:$B, 0)), ISNUMBER(SEARCH($A68,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ISNUMBER(SEARCH($A68, INDEX(AsistenciaJetAdminConcatenada!$D:$D, MATCH(1, (AsistenciaJetAdminConcatenada!$A:$A=U$2)*(AsistenciaJetAdminConcatenada!$B:$B=U$1), 0)), 1))),  0.5, 0))</f>
        <v>1</v>
      </c>
      <c r="V68" s="47">
        <f t="array" ref="V68">IF(AND(ISNUMBER(MATCH(V$2, AsistenciaJetAdminConcatenada!$A:$A, 0)), ISNUMBER(MATCH(V$1, AsistenciaJetAdminConcatenada!$B:$B, 0)), ISNUMBER(SEARCH($A68,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ISNUMBER(SEARCH($A68, INDEX(AsistenciaJetAdminConcatenada!$D:$D, MATCH(1, (AsistenciaJetAdminConcatenada!$A:$A=V$2)*(AsistenciaJetAdminConcatenada!$B:$B=V$1), 0)), 1))),  0.5, 0))</f>
        <v>1</v>
      </c>
      <c r="W68" s="47">
        <f t="array" ref="W68">IF(AND(ISNUMBER(MATCH(W$2, AsistenciaJetAdminConcatenada!$A:$A, 0)), ISNUMBER(MATCH(W$1, AsistenciaJetAdminConcatenada!$B:$B, 0)), ISNUMBER(SEARCH($A68,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ISNUMBER(SEARCH($A68, INDEX(AsistenciaJetAdminConcatenada!$D:$D, MATCH(1, (AsistenciaJetAdminConcatenada!$A:$A=W$2)*(AsistenciaJetAdminConcatenada!$B:$B=W$1), 0)), 1))),  0.5, 0))</f>
        <v>1</v>
      </c>
      <c r="X68" s="47">
        <f t="array" ref="X68">IF(AND(ISNUMBER(MATCH(X$2, AsistenciaJetAdminConcatenada!$A:$A, 0)), ISNUMBER(MATCH(X$1, AsistenciaJetAdminConcatenada!$B:$B, 0)), ISNUMBER(SEARCH($A68,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ISNUMBER(SEARCH($A68, INDEX(AsistenciaJetAdminConcatenada!$D:$D, MATCH(1, (AsistenciaJetAdminConcatenada!$A:$A=X$2)*(AsistenciaJetAdminConcatenada!$B:$B=X$1), 0)), 1))),  0.5, 0))</f>
        <v>1</v>
      </c>
      <c r="Y68" s="47">
        <f t="array" ref="Y68">IF(AND(ISNUMBER(MATCH(Y$2, AsistenciaJetAdminConcatenada!$A:$A, 0)), ISNUMBER(MATCH(Y$1, AsistenciaJetAdminConcatenada!$B:$B, 0)), ISNUMBER(SEARCH($A68,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ISNUMBER(SEARCH($A68, INDEX(AsistenciaJetAdminConcatenada!$D:$D, MATCH(1, (AsistenciaJetAdminConcatenada!$A:$A=Y$2)*(AsistenciaJetAdminConcatenada!$B:$B=Y$1), 0)), 1))),  0.5, 0))</f>
        <v>1</v>
      </c>
      <c r="Z68" s="47">
        <f t="array" ref="Z68">IF(AND(ISNUMBER(MATCH(Z$2, AsistenciaJetAdminConcatenada!$A:$A, 0)), ISNUMBER(MATCH(Z$1, AsistenciaJetAdminConcatenada!$B:$B, 0)), ISNUMBER(SEARCH($A68,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ISNUMBER(SEARCH($A68, INDEX(AsistenciaJetAdminConcatenada!$D:$D, MATCH(1, (AsistenciaJetAdminConcatenada!$A:$A=Z$2)*(AsistenciaJetAdminConcatenada!$B:$B=Z$1), 0)), 1))),  0.5, 0))</f>
        <v>0</v>
      </c>
      <c r="AA68" s="47">
        <f t="array" ref="AA68">IF(AND(ISNUMBER(MATCH(AA$2, AsistenciaJetAdminConcatenada!$A:$A, 0)), ISNUMBER(MATCH(AA$1, AsistenciaJetAdminConcatenada!$B:$B, 0)), ISNUMBER(SEARCH($A68,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ISNUMBER(SEARCH($A68, INDEX(AsistenciaJetAdminConcatenada!$D:$D, MATCH(1, (AsistenciaJetAdminConcatenada!$A:$A=AA$2)*(AsistenciaJetAdminConcatenada!$B:$B=AA$1), 0)), 1))),  0.5, 0))</f>
        <v>0</v>
      </c>
      <c r="AB68" s="47">
        <f t="array" ref="AB68">IF(AND(ISNUMBER(MATCH(AB$2, AsistenciaJetAdminConcatenada!$A:$A, 0)), ISNUMBER(MATCH(AB$1, AsistenciaJetAdminConcatenada!$B:$B, 0)), ISNUMBER(SEARCH($A68,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ISNUMBER(SEARCH($A68, INDEX(AsistenciaJetAdminConcatenada!$D:$D, MATCH(1, (AsistenciaJetAdminConcatenada!$A:$A=AB$2)*(AsistenciaJetAdminConcatenada!$B:$B=AB$1), 0)), 1))),  0.5, 0))</f>
        <v>0</v>
      </c>
      <c r="AC68" s="47">
        <f t="array" ref="AC68">IF(AND(ISNUMBER(MATCH(AC$2, AsistenciaJetAdminConcatenada!$A:$A, 0)), ISNUMBER(MATCH(AC$1, AsistenciaJetAdminConcatenada!$B:$B, 0)), ISNUMBER(SEARCH($A68,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ISNUMBER(SEARCH($A68, INDEX(AsistenciaJetAdminConcatenada!$D:$D, MATCH(1, (AsistenciaJetAdminConcatenada!$A:$A=AC$2)*(AsistenciaJetAdminConcatenada!$B:$B=AC$1), 0)), 1))),  0.5, 0))</f>
        <v>1</v>
      </c>
      <c r="AD68" s="47">
        <f t="array" ref="AD68">IF(AND(ISNUMBER(MATCH(AD$2, AsistenciaJetAdminConcatenada!$A:$A, 0)), ISNUMBER(MATCH(AD$1, AsistenciaJetAdminConcatenada!$B:$B, 0)), ISNUMBER(SEARCH($A68,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ISNUMBER(SEARCH($A68, INDEX(AsistenciaJetAdminConcatenada!$D:$D, MATCH(1, (AsistenciaJetAdminConcatenada!$A:$A=AD$2)*(AsistenciaJetAdminConcatenada!$B:$B=AD$1), 0)), 1))),  0.5, 0))</f>
        <v>1</v>
      </c>
      <c r="AE68" s="47">
        <f t="array" ref="AE68">IF(AND(ISNUMBER(MATCH(AE$2, AsistenciaJetAdminConcatenada!$A:$A, 0)), ISNUMBER(MATCH(AE$1, AsistenciaJetAdminConcatenada!$B:$B, 0)), ISNUMBER(SEARCH($A68,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ISNUMBER(SEARCH($A68, INDEX(AsistenciaJetAdminConcatenada!$D:$D, MATCH(1, (AsistenciaJetAdminConcatenada!$A:$A=AE$2)*(AsistenciaJetAdminConcatenada!$B:$B=AE$1), 0)), 1))),  0.5, 0))</f>
        <v>0</v>
      </c>
      <c r="AF68" s="47">
        <f t="array" ref="AF68">IF(AND(ISNUMBER(MATCH(AF$2, AsistenciaJetAdminConcatenada!$A:$A, 0)), ISNUMBER(MATCH(AF$1, AsistenciaJetAdminConcatenada!$B:$B, 0)), ISNUMBER(SEARCH($A68,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ISNUMBER(SEARCH($A68, INDEX(AsistenciaJetAdminConcatenada!$D:$D, MATCH(1, (AsistenciaJetAdminConcatenada!$A:$A=AF$2)*(AsistenciaJetAdminConcatenada!$B:$B=AF$1), 0)), 1))),  0.5, 0))</f>
        <v>1</v>
      </c>
      <c r="AG68" s="47">
        <f t="array" ref="AG68">IF(AND(ISNUMBER(MATCH(AG$2, AsistenciaJetAdminConcatenada!$A:$A, 0)), ISNUMBER(MATCH(AG$1, AsistenciaJetAdminConcatenada!$B:$B, 0)), ISNUMBER(SEARCH($A68,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ISNUMBER(SEARCH($A68, INDEX(AsistenciaJetAdminConcatenada!$D:$D, MATCH(1, (AsistenciaJetAdminConcatenada!$A:$A=AG$2)*(AsistenciaJetAdminConcatenada!$B:$B=AG$1), 0)), 1))),  0.5, 0))</f>
        <v>0</v>
      </c>
      <c r="AH68" s="47">
        <f t="array" ref="AH68">IF(AND(ISNUMBER(MATCH(AH$2, AsistenciaJetAdminConcatenada!$A:$A, 0)), ISNUMBER(MATCH(AH$1, AsistenciaJetAdminConcatenada!$B:$B, 0)), ISNUMBER(SEARCH($A68,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ISNUMBER(SEARCH($A68, INDEX(AsistenciaJetAdminConcatenada!$D:$D, MATCH(1, (AsistenciaJetAdminConcatenada!$A:$A=AH$2)*(AsistenciaJetAdminConcatenada!$B:$B=AH$1), 0)), 1))),  0.5, 0))</f>
        <v>0</v>
      </c>
      <c r="AI68" s="47">
        <f t="array" ref="AI68">IF(AND(ISNUMBER(MATCH(AI$2, AsistenciaJetAdminConcatenada!$A:$A, 0)), ISNUMBER(MATCH(AI$1, AsistenciaJetAdminConcatenada!$B:$B, 0)), ISNUMBER(SEARCH($A68,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ISNUMBER(SEARCH($A68, INDEX(AsistenciaJetAdminConcatenada!$D:$D, MATCH(1, (AsistenciaJetAdminConcatenada!$A:$A=AI$2)*(AsistenciaJetAdminConcatenada!$B:$B=AI$1), 0)), 1))),  0.5, 0))</f>
        <v>1</v>
      </c>
      <c r="AJ68" s="47">
        <f t="array" ref="AJ68">IF(AND(ISNUMBER(MATCH(AJ$2, AsistenciaJetAdminConcatenada!$A:$A, 0)), ISNUMBER(MATCH(AJ$1, AsistenciaJetAdminConcatenada!$B:$B, 0)), ISNUMBER(SEARCH($A68,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ISNUMBER(SEARCH($A68, INDEX(AsistenciaJetAdminConcatenada!$D:$D, MATCH(1, (AsistenciaJetAdminConcatenada!$A:$A=AJ$2)*(AsistenciaJetAdminConcatenada!$B:$B=AJ$1), 0)), 1))),  0.5, 0))</f>
        <v>1</v>
      </c>
      <c r="AK68" s="47">
        <f t="array" ref="AK68">IF(AND(ISNUMBER(MATCH(AK$2, AsistenciaJetAdminConcatenada!$A:$A, 0)), ISNUMBER(MATCH(AK$1, AsistenciaJetAdminConcatenada!$B:$B, 0)), ISNUMBER(SEARCH($A68,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ISNUMBER(SEARCH($A68, INDEX(AsistenciaJetAdminConcatenada!$D:$D, MATCH(1, (AsistenciaJetAdminConcatenada!$A:$A=AK$2)*(AsistenciaJetAdminConcatenada!$B:$B=AK$1), 0)), 1))),  0.5, 0))</f>
        <v>0</v>
      </c>
      <c r="AL68" s="47">
        <f t="array" ref="AL68">IF(AND(ISNUMBER(MATCH(AL$2, AsistenciaJetAdminConcatenada!$A:$A, 0)), ISNUMBER(MATCH(AL$1, AsistenciaJetAdminConcatenada!$B:$B, 0)), ISNUMBER(SEARCH($A68,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ISNUMBER(SEARCH($A68, INDEX(AsistenciaJetAdminConcatenada!$D:$D, MATCH(1, (AsistenciaJetAdminConcatenada!$A:$A=AL$2)*(AsistenciaJetAdminConcatenada!$B:$B=AL$1), 0)), 1))),  0.5, 0))</f>
        <v>0</v>
      </c>
      <c r="AM68" s="47">
        <f t="array" ref="AM68">IF(AND(ISNUMBER(MATCH(AM$2, AsistenciaJetAdminConcatenada!$A:$A, 0)), ISNUMBER(MATCH(AM$1, AsistenciaJetAdminConcatenada!$B:$B, 0)), ISNUMBER(SEARCH($A68,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ISNUMBER(SEARCH($A68, INDEX(AsistenciaJetAdminConcatenada!$D:$D, MATCH(1, (AsistenciaJetAdminConcatenada!$A:$A=AM$2)*(AsistenciaJetAdminConcatenada!$B:$B=AM$1), 0)), 1))),  0.5, 0))</f>
        <v>0</v>
      </c>
      <c r="AN68" s="47">
        <f t="array" ref="AN68">IF(AND(ISNUMBER(MATCH(AN$2, AsistenciaJetAdminConcatenada!$A:$A, 0)), ISNUMBER(MATCH(AN$1, AsistenciaJetAdminConcatenada!$B:$B, 0)), ISNUMBER(SEARCH($A68,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ISNUMBER(SEARCH($A68, INDEX(AsistenciaJetAdminConcatenada!$D:$D, MATCH(1, (AsistenciaJetAdminConcatenada!$A:$A=AN$2)*(AsistenciaJetAdminConcatenada!$B:$B=AN$1), 0)), 1))),  0.5, 0))</f>
        <v>1</v>
      </c>
      <c r="AO68" s="47">
        <f t="array" ref="AO68">IF(AND(ISNUMBER(MATCH(AO$2, AsistenciaJetAdminConcatenada!$A:$A, 0)), ISNUMBER(MATCH(AO$1, AsistenciaJetAdminConcatenada!$B:$B, 0)), ISNUMBER(SEARCH($A68,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ISNUMBER(SEARCH($A68, INDEX(AsistenciaJetAdminConcatenada!$D:$D, MATCH(1, (AsistenciaJetAdminConcatenada!$A:$A=AO$2)*(AsistenciaJetAdminConcatenada!$B:$B=AO$1), 0)), 1))),  0.5, 0))</f>
        <v>1</v>
      </c>
      <c r="AP68" s="47">
        <f t="array" ref="AP68">IF(AND(ISNUMBER(MATCH(AP$2, AsistenciaJetAdminConcatenada!$A:$A, 0)), ISNUMBER(MATCH(AP$1, AsistenciaJetAdminConcatenada!$B:$B, 0)), ISNUMBER(SEARCH($A68,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ISNUMBER(SEARCH($A68, INDEX(AsistenciaJetAdminConcatenada!$D:$D, MATCH(1, (AsistenciaJetAdminConcatenada!$A:$A=AP$2)*(AsistenciaJetAdminConcatenada!$B:$B=AP$1), 0)), 1))),  0.5, 0))</f>
        <v>1</v>
      </c>
      <c r="AQ68" s="47">
        <f t="array" ref="AQ68">IF(AND(ISNUMBER(MATCH(AQ$2, AsistenciaJetAdminConcatenada!$A:$A, 0)), ISNUMBER(MATCH(AQ$1, AsistenciaJetAdminConcatenada!$B:$B, 0)), ISNUMBER(SEARCH($A68,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ISNUMBER(SEARCH($A68, INDEX(AsistenciaJetAdminConcatenada!$D:$D, MATCH(1, (AsistenciaJetAdminConcatenada!$A:$A=AQ$2)*(AsistenciaJetAdminConcatenada!$B:$B=AQ$1), 0)), 1))),  0.5, 0))</f>
        <v>0</v>
      </c>
      <c r="AR68" s="47">
        <f t="array" ref="AR68">IF(AND(ISNUMBER(MATCH(AR$2, AsistenciaJetAdminConcatenada!$A:$A, 0)), ISNUMBER(MATCH(AR$1, AsistenciaJetAdminConcatenada!$B:$B, 0)), ISNUMBER(SEARCH($A68,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ISNUMBER(SEARCH($A68, INDEX(AsistenciaJetAdminConcatenada!$D:$D, MATCH(1, (AsistenciaJetAdminConcatenada!$A:$A=AR$2)*(AsistenciaJetAdminConcatenada!$B:$B=AR$1), 0)), 1))),  0.5, 0))</f>
        <v>1</v>
      </c>
      <c r="AS68" s="47">
        <f t="array" ref="AS68">IF(AND(ISNUMBER(MATCH(AS$2, AsistenciaJetAdminConcatenada!$A:$A, 0)), ISNUMBER(MATCH(AS$1, AsistenciaJetAdminConcatenada!$B:$B, 0)), ISNUMBER(SEARCH($A68,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ISNUMBER(SEARCH($A68, INDEX(AsistenciaJetAdminConcatenada!$D:$D, MATCH(1, (AsistenciaJetAdminConcatenada!$A:$A=AS$2)*(AsistenciaJetAdminConcatenada!$B:$B=AS$1), 0)), 1))),  0.5, 0))</f>
        <v>0</v>
      </c>
      <c r="AT68" s="47">
        <f t="array" ref="AT68">IF(AND(ISNUMBER(MATCH(AT$2, AsistenciaJetAdminConcatenada!$A:$A, 0)), ISNUMBER(MATCH(AT$1, AsistenciaJetAdminConcatenada!$B:$B, 0)), ISNUMBER(SEARCH($A68,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ISNUMBER(SEARCH($A68, INDEX(AsistenciaJetAdminConcatenada!$D:$D, MATCH(1, (AsistenciaJetAdminConcatenada!$A:$A=AT$2)*(AsistenciaJetAdminConcatenada!$B:$B=AT$1), 0)), 1))),  0.5, 0))</f>
        <v>0</v>
      </c>
      <c r="AU68" s="47">
        <f t="array" ref="AU68">IF(AND(ISNUMBER(MATCH(AU$2, AsistenciaJetAdminConcatenada!$A:$A, 0)), ISNUMBER(MATCH(AU$1, AsistenciaJetAdminConcatenada!$B:$B, 0)), ISNUMBER(SEARCH($A68,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ISNUMBER(SEARCH($A68, INDEX(AsistenciaJetAdminConcatenada!$D:$D, MATCH(1, (AsistenciaJetAdminConcatenada!$A:$A=AU$2)*(AsistenciaJetAdminConcatenada!$B:$B=AU$1), 0)), 1))),  0.5, 0))</f>
        <v>1</v>
      </c>
      <c r="AV68" s="47">
        <f t="array" ref="AV68">IF(AND(ISNUMBER(MATCH(AV$2, AsistenciaJetAdminConcatenada!$A:$A, 0)), ISNUMBER(MATCH(AV$1, AsistenciaJetAdminConcatenada!$B:$B, 0)), ISNUMBER(SEARCH($A68,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ISNUMBER(SEARCH($A68, INDEX(AsistenciaJetAdminConcatenada!$D:$D, MATCH(1, (AsistenciaJetAdminConcatenada!$A:$A=AV$2)*(AsistenciaJetAdminConcatenada!$B:$B=AV$1), 0)), 1))),  0.5, 0))</f>
        <v>1</v>
      </c>
      <c r="AW68" s="47">
        <f t="array" ref="AW68">IF(AND(ISNUMBER(MATCH(AW$2, AsistenciaJetAdminConcatenada!$A:$A, 0)), ISNUMBER(MATCH(AW$1, AsistenciaJetAdminConcatenada!$B:$B, 0)), ISNUMBER(SEARCH($A68,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ISNUMBER(SEARCH($A68, INDEX(AsistenciaJetAdminConcatenada!$D:$D, MATCH(1, (AsistenciaJetAdminConcatenada!$A:$A=AW$2)*(AsistenciaJetAdminConcatenada!$B:$B=AW$1), 0)), 1))),  0.5, 0))</f>
        <v>1</v>
      </c>
      <c r="AX68" s="47">
        <f t="array" ref="AX68">IF(AND(ISNUMBER(MATCH(AX$2, AsistenciaJetAdminConcatenada!$A:$A, 0)), ISNUMBER(MATCH(AX$1, AsistenciaJetAdminConcatenada!$B:$B, 0)), ISNUMBER(SEARCH($A68,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ISNUMBER(SEARCH($A68, INDEX(AsistenciaJetAdminConcatenada!$D:$D, MATCH(1, (AsistenciaJetAdminConcatenada!$A:$A=AX$2)*(AsistenciaJetAdminConcatenada!$B:$B=AX$1), 0)), 1))),  0.5, 0))</f>
        <v>0</v>
      </c>
      <c r="AY68" s="47">
        <f t="array" ref="AY68">IF(AND(ISNUMBER(MATCH(AY$2, AsistenciaJetAdminConcatenada!$A:$A, 0)), ISNUMBER(MATCH(AY$1, AsistenciaJetAdminConcatenada!$B:$B, 0)), ISNUMBER(SEARCH($A68,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ISNUMBER(SEARCH($A68, INDEX(AsistenciaJetAdminConcatenada!$D:$D, MATCH(1, (AsistenciaJetAdminConcatenada!$A:$A=AY$2)*(AsistenciaJetAdminConcatenada!$B:$B=AY$1), 0)), 1))),  0.5, 0))</f>
        <v>1</v>
      </c>
      <c r="AZ68" s="47">
        <f t="array" ref="AZ68">IF(AND(ISNUMBER(MATCH(AZ$2, AsistenciaJetAdminConcatenada!$A:$A, 0)), ISNUMBER(MATCH(AZ$1, AsistenciaJetAdminConcatenada!$B:$B, 0)), ISNUMBER(SEARCH($A68,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ISNUMBER(SEARCH($A68, INDEX(AsistenciaJetAdminConcatenada!$D:$D, MATCH(1, (AsistenciaJetAdminConcatenada!$A:$A=AZ$2)*(AsistenciaJetAdminConcatenada!$B:$B=AZ$1), 0)), 1))),  0.5, 0))</f>
        <v>1</v>
      </c>
      <c r="BA68" s="47">
        <f t="array" ref="BA68">IF(AND(ISNUMBER(MATCH(BA$2, AsistenciaJetAdminConcatenada!$A:$A, 0)), ISNUMBER(MATCH(BA$1, AsistenciaJetAdminConcatenada!$B:$B, 0)), ISNUMBER(SEARCH($A68,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ISNUMBER(SEARCH($A68, INDEX(AsistenciaJetAdminConcatenada!$D:$D, MATCH(1, (AsistenciaJetAdminConcatenada!$A:$A=BA$2)*(AsistenciaJetAdminConcatenada!$B:$B=BA$1), 0)), 1))),  0.5, 0))</f>
        <v>1</v>
      </c>
      <c r="BB68" s="47">
        <f t="array" ref="BB68">IF(AND(ISNUMBER(MATCH(BB$2, AsistenciaJetAdminConcatenada!$A:$A, 0)), ISNUMBER(MATCH(BB$1, AsistenciaJetAdminConcatenada!$B:$B, 0)), ISNUMBER(SEARCH($A68,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ISNUMBER(SEARCH($A68, INDEX(AsistenciaJetAdminConcatenada!$D:$D, MATCH(1, (AsistenciaJetAdminConcatenada!$A:$A=BB$2)*(AsistenciaJetAdminConcatenada!$B:$B=BB$1), 0)), 1))),  0.5, 0))</f>
        <v>1</v>
      </c>
      <c r="BC68" s="47">
        <f t="array" ref="BC68">IF(AND(ISNUMBER(MATCH(BC$2, AsistenciaJetAdminConcatenada!$A:$A, 0)), ISNUMBER(MATCH(BC$1, AsistenciaJetAdminConcatenada!$B:$B, 0)), ISNUMBER(SEARCH($A68,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ISNUMBER(SEARCH($A68, INDEX(AsistenciaJetAdminConcatenada!$D:$D, MATCH(1, (AsistenciaJetAdminConcatenada!$A:$A=BC$2)*(AsistenciaJetAdminConcatenada!$B:$B=BC$1), 0)), 1))),  0.5, 0))</f>
        <v>1</v>
      </c>
      <c r="BD68" s="47">
        <f t="array" ref="BD68">IF(AND(ISNUMBER(MATCH(BD$2, AsistenciaJetAdminConcatenada!$A:$A, 0)), ISNUMBER(MATCH(BD$1, AsistenciaJetAdminConcatenada!$B:$B, 0)), ISNUMBER(SEARCH($A68,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ISNUMBER(SEARCH($A68, INDEX(AsistenciaJetAdminConcatenada!$D:$D, MATCH(1, (AsistenciaJetAdminConcatenada!$A:$A=BD$2)*(AsistenciaJetAdminConcatenada!$B:$B=BD$1), 0)), 1))),  0.5, 0))</f>
        <v>0</v>
      </c>
      <c r="BE68" s="47">
        <f t="array" ref="BE68">IF(AND(ISNUMBER(MATCH(BE$2, AsistenciaJetAdminConcatenada!$A:$A, 0)), ISNUMBER(MATCH(BE$1, AsistenciaJetAdminConcatenada!$B:$B, 0)), ISNUMBER(SEARCH($A68,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ISNUMBER(SEARCH($A68, INDEX(AsistenciaJetAdminConcatenada!$D:$D, MATCH(1, (AsistenciaJetAdminConcatenada!$A:$A=BE$2)*(AsistenciaJetAdminConcatenada!$B:$B=BE$1), 0)), 1))),  0.5, 0))</f>
        <v>1</v>
      </c>
      <c r="BF68" s="47">
        <f t="array" ref="BF68">IF(AND(ISNUMBER(MATCH(BF$2, AsistenciaJetAdminConcatenada!$A:$A, 0)), ISNUMBER(MATCH(BF$1, AsistenciaJetAdminConcatenada!$B:$B, 0)), ISNUMBER(SEARCH($A68,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ISNUMBER(SEARCH($A68, INDEX(AsistenciaJetAdminConcatenada!$D:$D, MATCH(1, (AsistenciaJetAdminConcatenada!$A:$A=BF$2)*(AsistenciaJetAdminConcatenada!$B:$B=BF$1), 0)), 1))),  0.5, 0))</f>
        <v>1</v>
      </c>
      <c r="BG68" s="47">
        <f t="array" ref="BG68">IF(AND(ISNUMBER(MATCH(BG$2, AsistenciaJetAdminConcatenada!$A:$A, 0)), ISNUMBER(MATCH(BG$1, AsistenciaJetAdminConcatenada!$B:$B, 0)), ISNUMBER(SEARCH($A68,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ISNUMBER(SEARCH($A68, INDEX(AsistenciaJetAdminConcatenada!$D:$D, MATCH(1, (AsistenciaJetAdminConcatenada!$A:$A=BG$2)*(AsistenciaJetAdminConcatenada!$B:$B=BG$1), 0)), 1))),  0.5, 0))</f>
        <v>1</v>
      </c>
      <c r="BH68" s="47">
        <f t="array" ref="BH68">IF(AND(ISNUMBER(MATCH(BH$2, AsistenciaJetAdminConcatenada!$A:$A, 0)), ISNUMBER(MATCH(BH$1, AsistenciaJetAdminConcatenada!$B:$B, 0)), ISNUMBER(SEARCH($A68,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ISNUMBER(SEARCH($A68, INDEX(AsistenciaJetAdminConcatenada!$D:$D, MATCH(1, (AsistenciaJetAdminConcatenada!$A:$A=BH$2)*(AsistenciaJetAdminConcatenada!$B:$B=BH$1), 0)), 1))),  0.5, 0))</f>
        <v>1</v>
      </c>
      <c r="BI68" s="47">
        <f t="array" ref="BI68">IF(AND(ISNUMBER(MATCH(BI$2, AsistenciaJetAdminConcatenada!$A:$A, 0)), ISNUMBER(MATCH(BI$1, AsistenciaJetAdminConcatenada!$B:$B, 0)), ISNUMBER(SEARCH($A68,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ISNUMBER(SEARCH($A68, INDEX(AsistenciaJetAdminConcatenada!$D:$D, MATCH(1, (AsistenciaJetAdminConcatenada!$A:$A=BI$2)*(AsistenciaJetAdminConcatenada!$B:$B=BI$1), 0)), 1))),  0.5, 0))</f>
        <v>0</v>
      </c>
      <c r="BJ68" s="47">
        <f t="array" ref="BJ68">IF(AND(ISNUMBER(MATCH(BJ$2, AsistenciaJetAdminConcatenada!$A:$A, 0)), ISNUMBER(MATCH(BJ$1, AsistenciaJetAdminConcatenada!$B:$B, 0)), ISNUMBER(SEARCH($A68,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ISNUMBER(SEARCH($A68, INDEX(AsistenciaJetAdminConcatenada!$D:$D, MATCH(1, (AsistenciaJetAdminConcatenada!$A:$A=BJ$2)*(AsistenciaJetAdminConcatenada!$B:$B=BJ$1), 0)), 1))),  0.5, 0))</f>
        <v>1</v>
      </c>
      <c r="BK68" s="47">
        <f t="array" ref="BK68">IF(AND(ISNUMBER(MATCH(BK$2, AsistenciaJetAdminConcatenada!$A:$A, 0)), ISNUMBER(MATCH(BK$1, AsistenciaJetAdminConcatenada!$B:$B, 0)), ISNUMBER(SEARCH($A68,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ISNUMBER(SEARCH($A68, INDEX(AsistenciaJetAdminConcatenada!$D:$D, MATCH(1, (AsistenciaJetAdminConcatenada!$A:$A=BK$2)*(AsistenciaJetAdminConcatenada!$B:$B=BK$1), 0)), 1))),  0.5, 0))</f>
        <v>1</v>
      </c>
      <c r="BL68" s="47">
        <f t="array" ref="BL68">IF(AND(ISNUMBER(MATCH(BL$2, AsistenciaJetAdminConcatenada!$A:$A, 0)), ISNUMBER(MATCH(BL$1, AsistenciaJetAdminConcatenada!$B:$B, 0)), ISNUMBER(SEARCH($A68,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ISNUMBER(SEARCH($A68, INDEX(AsistenciaJetAdminConcatenada!$D:$D, MATCH(1, (AsistenciaJetAdminConcatenada!$A:$A=BL$2)*(AsistenciaJetAdminConcatenada!$B:$B=BL$1), 0)), 1))),  0.5, 0))</f>
        <v>1</v>
      </c>
      <c r="BM68" s="47">
        <f t="array" ref="BM68">IF(AND(ISNUMBER(MATCH(BM$2, AsistenciaJetAdminConcatenada!$A:$A, 0)), ISNUMBER(MATCH(BM$1, AsistenciaJetAdminConcatenada!$B:$B, 0)), ISNUMBER(SEARCH($A68,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ISNUMBER(SEARCH($A68, INDEX(AsistenciaJetAdminConcatenada!$D:$D, MATCH(1, (AsistenciaJetAdminConcatenada!$A:$A=BM$2)*(AsistenciaJetAdminConcatenada!$B:$B=BM$1), 0)), 1))),  0.5, 0))</f>
        <v>1</v>
      </c>
      <c r="BN68" s="47">
        <f t="array" ref="BN68">IF(AND(ISNUMBER(MATCH(BN$2, AsistenciaJetAdminConcatenada!$A:$A, 0)), ISNUMBER(MATCH(BN$1, AsistenciaJetAdminConcatenada!$B:$B, 0)), ISNUMBER(SEARCH($A68,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ISNUMBER(SEARCH($A68, INDEX(AsistenciaJetAdminConcatenada!$D:$D, MATCH(1, (AsistenciaJetAdminConcatenada!$A:$A=BN$2)*(AsistenciaJetAdminConcatenada!$B:$B=BN$1), 0)), 1))),  0.5, 0))</f>
        <v>0</v>
      </c>
      <c r="BO68" s="47">
        <f t="array" ref="BO68">IF(AND(ISNUMBER(MATCH(BO$2, AsistenciaJetAdminConcatenada!$A:$A, 0)), ISNUMBER(MATCH(BO$1, AsistenciaJetAdminConcatenada!$B:$B, 0)), ISNUMBER(SEARCH($A68,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ISNUMBER(SEARCH($A68, INDEX(AsistenciaJetAdminConcatenada!$D:$D, MATCH(1, (AsistenciaJetAdminConcatenada!$A:$A=BO$2)*(AsistenciaJetAdminConcatenada!$B:$B=BO$1), 0)), 1))),  0.5, 0))</f>
        <v>1</v>
      </c>
      <c r="BP68" s="47">
        <f t="array" ref="BP68">IF(AND(ISNUMBER(MATCH(BP$2, AsistenciaJetAdminConcatenada!$A:$A, 0)), ISNUMBER(MATCH(BP$1, AsistenciaJetAdminConcatenada!$B:$B, 0)), ISNUMBER(SEARCH($A68,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ISNUMBER(SEARCH($A68, INDEX(AsistenciaJetAdminConcatenada!$D:$D, MATCH(1, (AsistenciaJetAdminConcatenada!$A:$A=BP$2)*(AsistenciaJetAdminConcatenada!$B:$B=BP$1), 0)), 1))),  0.5, 0))</f>
        <v>0</v>
      </c>
      <c r="BQ68" s="47">
        <f t="array" ref="BQ68">IF(AND(ISNUMBER(MATCH(BQ$2, AsistenciaJetAdminConcatenada!$A:$A, 0)), ISNUMBER(MATCH(BQ$1, AsistenciaJetAdminConcatenada!$B:$B, 0)), ISNUMBER(SEARCH($A68,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ISNUMBER(SEARCH($A68, INDEX(AsistenciaJetAdminConcatenada!$D:$D, MATCH(1, (AsistenciaJetAdminConcatenada!$A:$A=BQ$2)*(AsistenciaJetAdminConcatenada!$B:$B=BQ$1), 0)), 1))),  0.5, 0))</f>
        <v>1</v>
      </c>
      <c r="BR68" s="47">
        <f t="array" ref="BR68">IF(AND(ISNUMBER(MATCH(BR$2, AsistenciaJetAdminConcatenada!$A:$A, 0)), ISNUMBER(MATCH(BR$1, AsistenciaJetAdminConcatenada!$B:$B, 0)), ISNUMBER(SEARCH($A68,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ISNUMBER(SEARCH($A68, INDEX(AsistenciaJetAdminConcatenada!$D:$D, MATCH(1, (AsistenciaJetAdminConcatenada!$A:$A=BR$2)*(AsistenciaJetAdminConcatenada!$B:$B=BR$1), 0)), 1))),  0.5, 0))</f>
        <v>0</v>
      </c>
      <c r="BS68" s="47">
        <f t="array" ref="BS68">IF(AND(ISNUMBER(MATCH(BS$2, AsistenciaJetAdminConcatenada!$A:$A, 0)), ISNUMBER(MATCH(BS$1, AsistenciaJetAdminConcatenada!$B:$B, 0)), ISNUMBER(SEARCH($A68,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ISNUMBER(SEARCH($A68, INDEX(AsistenciaJetAdminConcatenada!$D:$D, MATCH(1, (AsistenciaJetAdminConcatenada!$A:$A=BS$2)*(AsistenciaJetAdminConcatenada!$B:$B=BS$1), 0)), 1))),  0.5, 0))</f>
        <v>1</v>
      </c>
      <c r="BT68" s="47">
        <f t="array" ref="BT68">IF(AND(ISNUMBER(MATCH(BT$2, AsistenciaJetAdminConcatenada!$A:$A, 0)), ISNUMBER(MATCH(BT$1, AsistenciaJetAdminConcatenada!$B:$B, 0)), ISNUMBER(SEARCH($A68,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ISNUMBER(SEARCH($A68, INDEX(AsistenciaJetAdminConcatenada!$D:$D, MATCH(1, (AsistenciaJetAdminConcatenada!$A:$A=BT$2)*(AsistenciaJetAdminConcatenada!$B:$B=BT$1), 0)), 1))),  0.5, 0))</f>
        <v>1</v>
      </c>
      <c r="BU68" s="47">
        <f t="array" ref="BU68">IF(AND(ISNUMBER(MATCH(BU$2, AsistenciaJetAdminConcatenada!$A:$A, 0)), ISNUMBER(MATCH(BU$1, AsistenciaJetAdminConcatenada!$B:$B, 0)), ISNUMBER(SEARCH($A68,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ISNUMBER(SEARCH($A68, INDEX(AsistenciaJetAdminConcatenada!$D:$D, MATCH(1, (AsistenciaJetAdminConcatenada!$A:$A=BU$2)*(AsistenciaJetAdminConcatenada!$B:$B=BU$1), 0)), 1))),  0.5, 0))</f>
        <v>1</v>
      </c>
      <c r="BV68" s="8">
        <v>1.0</v>
      </c>
      <c r="BW68" s="47">
        <f t="array" ref="BW68">IF(AND(ISNUMBER(MATCH(BW$2, AsistenciaJetAdminConcatenada!$A:$A, 0)), ISNUMBER(MATCH(BW$1, AsistenciaJetAdminConcatenada!$B:$B, 0)), ISNUMBER(SEARCH($A68,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ISNUMBER(SEARCH($A68, INDEX(AsistenciaJetAdminConcatenada!$D:$D, MATCH(1, (AsistenciaJetAdminConcatenada!$A:$A=BW$2)*(AsistenciaJetAdminConcatenada!$B:$B=BW$1), 0)), 1))),  0.5, 0))</f>
        <v>1</v>
      </c>
      <c r="BX68" s="47">
        <f t="array" ref="BX68">IF(AND(ISNUMBER(MATCH(BX$2, AsistenciaJetAdminConcatenada!$A:$A, 0)), ISNUMBER(MATCH(BX$1, AsistenciaJetAdminConcatenada!$B:$B, 0)), ISNUMBER(SEARCH($A68,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ISNUMBER(SEARCH($A68, INDEX(AsistenciaJetAdminConcatenada!$D:$D, MATCH(1, (AsistenciaJetAdminConcatenada!$A:$A=BX$2)*(AsistenciaJetAdminConcatenada!$B:$B=BX$1), 0)), 1))),  0.5, 0))</f>
        <v>1</v>
      </c>
      <c r="BY68" s="47">
        <f t="array" ref="BY68">IF(AND(ISNUMBER(MATCH(BY$2, AsistenciaJetAdminConcatenada!$A:$A, 0)), ISNUMBER(MATCH(BY$1, AsistenciaJetAdminConcatenada!$B:$B, 0)), ISNUMBER(SEARCH($A68,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ISNUMBER(SEARCH($A68, INDEX(AsistenciaJetAdminConcatenada!$D:$D, MATCH(1, (AsistenciaJetAdminConcatenada!$A:$A=BY$2)*(AsistenciaJetAdminConcatenada!$B:$B=BY$1), 0)), 1))),  0.5, 0))</f>
        <v>0</v>
      </c>
      <c r="BZ68" s="47">
        <f t="array" ref="BZ68">IF(AND(ISNUMBER(MATCH(BZ$2, AsistenciaJetAdminConcatenada!$A:$A, 0)), ISNUMBER(MATCH(BZ$1, AsistenciaJetAdminConcatenada!$B:$B, 0)), ISNUMBER(SEARCH($A68,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ISNUMBER(SEARCH($A68, INDEX(AsistenciaJetAdminConcatenada!$D:$D, MATCH(1, (AsistenciaJetAdminConcatenada!$A:$A=BZ$2)*(AsistenciaJetAdminConcatenada!$B:$B=BZ$1), 0)), 1))),  0.5, 0))</f>
        <v>1</v>
      </c>
      <c r="CA68" s="47">
        <f t="array" ref="CA68">IF(AND(ISNUMBER(MATCH(CA$2, AsistenciaJetAdminConcatenada!$A:$A, 0)), ISNUMBER(MATCH(CA$1, AsistenciaJetAdminConcatenada!$B:$B, 0)), ISNUMBER(SEARCH($A68,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ISNUMBER(SEARCH($A68, INDEX(AsistenciaJetAdminConcatenada!$D:$D, MATCH(1, (AsistenciaJetAdminConcatenada!$A:$A=CA$2)*(AsistenciaJetAdminConcatenada!$B:$B=CA$1), 0)), 1))),  0.5, 0))</f>
        <v>0</v>
      </c>
      <c r="CB68" s="47">
        <f t="array" ref="CB68">IF(AND(ISNUMBER(MATCH(CB$2, AsistenciaJetAdminConcatenada!$A:$A, 0)), ISNUMBER(MATCH(CB$1, AsistenciaJetAdminConcatenada!$B:$B, 0)), ISNUMBER(SEARCH($A68,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ISNUMBER(SEARCH($A68, INDEX(AsistenciaJetAdminConcatenada!$D:$D, MATCH(1, (AsistenciaJetAdminConcatenada!$A:$A=CB$2)*(AsistenciaJetAdminConcatenada!$B:$B=CB$1), 0)), 1))),  0.5, 0))</f>
        <v>0</v>
      </c>
      <c r="CC68" s="47">
        <f t="array" ref="CC68">IF(AND(ISNUMBER(MATCH(CC$2, AsistenciaJetAdminConcatenada!$A:$A, 0)), ISNUMBER(MATCH(CC$1, AsistenciaJetAdminConcatenada!$B:$B, 0)), ISNUMBER(SEARCH($A68,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ISNUMBER(SEARCH($A68, INDEX(AsistenciaJetAdminConcatenada!$D:$D, MATCH(1, (AsistenciaJetAdminConcatenada!$A:$A=CC$2)*(AsistenciaJetAdminConcatenada!$B:$B=CC$1), 0)), 1))),  0.5, 0))</f>
        <v>1</v>
      </c>
      <c r="CD68" s="47">
        <f t="array" ref="CD68">IF(AND(ISNUMBER(MATCH(CD$2, AsistenciaJetAdminConcatenada!$A:$A, 0)), ISNUMBER(MATCH(CD$1, AsistenciaJetAdminConcatenada!$B:$B, 0)), ISNUMBER(SEARCH($A68,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ISNUMBER(SEARCH($A68, INDEX(AsistenciaJetAdminConcatenada!$D:$D, MATCH(1, (AsistenciaJetAdminConcatenada!$A:$A=CD$2)*(AsistenciaJetAdminConcatenada!$B:$B=CD$1), 0)), 1))),  0.5, 0))</f>
        <v>0</v>
      </c>
      <c r="CE68" s="47">
        <f t="array" ref="CE68">IF(AND(ISNUMBER(MATCH(CE$2, AsistenciaJetAdminConcatenada!$A:$A, 0)), ISNUMBER(MATCH(CE$1, AsistenciaJetAdminConcatenada!$B:$B, 0)), ISNUMBER(SEARCH($A68,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ISNUMBER(SEARCH($A68, INDEX(AsistenciaJetAdminConcatenada!$D:$D, MATCH(1, (AsistenciaJetAdminConcatenada!$A:$A=CE$2)*(AsistenciaJetAdminConcatenada!$B:$B=CE$1), 0)), 1))),  0.5, 0))</f>
        <v>0</v>
      </c>
      <c r="CF68" s="47">
        <f t="array" ref="CF68">IF(AND(ISNUMBER(MATCH(CF$2, AsistenciaJetAdminConcatenada!$A:$A, 0)), ISNUMBER(MATCH(CF$1, AsistenciaJetAdminConcatenada!$B:$B, 0)), ISNUMBER(SEARCH($A68,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ISNUMBER(SEARCH($A68, INDEX(AsistenciaJetAdminConcatenada!$D:$D, MATCH(1, (AsistenciaJetAdminConcatenada!$A:$A=CF$2)*(AsistenciaJetAdminConcatenada!$B:$B=CF$1), 0)), 1))),  0.5, 0))</f>
        <v>1</v>
      </c>
      <c r="CG68" s="47">
        <f t="array" ref="CG68">IF(AND(ISNUMBER(MATCH(CG$2, AsistenciaJetAdminConcatenada!$A:$A, 0)), ISNUMBER(MATCH(CG$1, AsistenciaJetAdminConcatenada!$B:$B, 0)), ISNUMBER(SEARCH($A68,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ISNUMBER(SEARCH($A68, INDEX(AsistenciaJetAdminConcatenada!$D:$D, MATCH(1, (AsistenciaJetAdminConcatenada!$A:$A=CG$2)*(AsistenciaJetAdminConcatenada!$B:$B=CG$1), 0)), 1))),  0.5, 0))</f>
        <v>1</v>
      </c>
      <c r="CH68" s="47">
        <f t="array" ref="CH68">IF(AND(ISNUMBER(MATCH(CH$2, AsistenciaJetAdminConcatenada!$A:$A, 0)), ISNUMBER(MATCH(CH$1, AsistenciaJetAdminConcatenada!$B:$B, 0)), ISNUMBER(SEARCH($A68,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ISNUMBER(SEARCH($A68, INDEX(AsistenciaJetAdminConcatenada!$D:$D, MATCH(1, (AsistenciaJetAdminConcatenada!$A:$A=CH$2)*(AsistenciaJetAdminConcatenada!$B:$B=CH$1), 0)), 1))),  0.5, 0))</f>
        <v>0</v>
      </c>
      <c r="CI68" s="47">
        <f t="array" ref="CI68">IF(AND(ISNUMBER(MATCH(CI$2, AsistenciaJetAdminConcatenada!$A:$A, 0)), ISNUMBER(MATCH(CI$1, AsistenciaJetAdminConcatenada!$B:$B, 0)), ISNUMBER(SEARCH($A68,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ISNUMBER(SEARCH($A68, INDEX(AsistenciaJetAdminConcatenada!$D:$D, MATCH(1, (AsistenciaJetAdminConcatenada!$A:$A=CI$2)*(AsistenciaJetAdminConcatenada!$B:$B=CI$1), 0)), 1))),  0.5, 0))</f>
        <v>1</v>
      </c>
      <c r="CJ68" s="47">
        <f t="array" ref="CJ68">IF(AND(ISNUMBER(MATCH(CJ$2, AsistenciaJetAdminConcatenada!$A:$A, 0)), ISNUMBER(MATCH(CJ$1, AsistenciaJetAdminConcatenada!$B:$B, 0)), ISNUMBER(SEARCH($A68,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ISNUMBER(SEARCH($A68, INDEX(AsistenciaJetAdminConcatenada!$D:$D, MATCH(1, (AsistenciaJetAdminConcatenada!$A:$A=CJ$2)*(AsistenciaJetAdminConcatenada!$B:$B=CJ$1), 0)), 1))),  0.5, 0))</f>
        <v>1</v>
      </c>
      <c r="CK68" s="47">
        <f t="array" ref="CK68">IF(AND(ISNUMBER(MATCH(CK$2, AsistenciaJetAdminConcatenada!$A:$A, 0)), ISNUMBER(MATCH(CK$1, AsistenciaJetAdminConcatenada!$B:$B, 0)), ISNUMBER(SEARCH($A68,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ISNUMBER(SEARCH($A68, INDEX(AsistenciaJetAdminConcatenada!$D:$D, MATCH(1, (AsistenciaJetAdminConcatenada!$A:$A=CK$2)*(AsistenciaJetAdminConcatenada!$B:$B=CK$1), 0)), 1))),  0.5, 0))</f>
        <v>0</v>
      </c>
      <c r="CL68" s="47">
        <f t="array" ref="CL68">IF(AND(ISNUMBER(MATCH(CL$2, AsistenciaJetAdminConcatenada!$A:$A, 0)), ISNUMBER(MATCH(CL$1, AsistenciaJetAdminConcatenada!$B:$B, 0)), ISNUMBER(SEARCH($A68,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ISNUMBER(SEARCH($A68, INDEX(AsistenciaJetAdminConcatenada!$D:$D, MATCH(1, (AsistenciaJetAdminConcatenada!$A:$A=CL$2)*(AsistenciaJetAdminConcatenada!$B:$B=CL$1), 0)), 1))),  0.5, 0))</f>
        <v>1</v>
      </c>
      <c r="CM68" s="47">
        <f t="array" ref="CM68">IF(AND(ISNUMBER(MATCH(CM$2, AsistenciaJetAdminConcatenada!$A:$A, 0)), ISNUMBER(MATCH(CM$1, AsistenciaJetAdminConcatenada!$B:$B, 0)), ISNUMBER(SEARCH($A68,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ISNUMBER(SEARCH($A68, INDEX(AsistenciaJetAdminConcatenada!$D:$D, MATCH(1, (AsistenciaJetAdminConcatenada!$A:$A=CM$2)*(AsistenciaJetAdminConcatenada!$B:$B=CM$1), 0)), 1))),  0.5, 0))</f>
        <v>1</v>
      </c>
      <c r="CN68" s="47">
        <f t="array" ref="CN68">IF(AND(ISNUMBER(MATCH(CN$2, AsistenciaJetAdminConcatenada!$A:$A, 0)), ISNUMBER(MATCH(CN$1, AsistenciaJetAdminConcatenada!$B:$B, 0)), ISNUMBER(SEARCH($A68,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ISNUMBER(SEARCH($A68, INDEX(AsistenciaJetAdminConcatenada!$D:$D, MATCH(1, (AsistenciaJetAdminConcatenada!$A:$A=CN$2)*(AsistenciaJetAdminConcatenada!$B:$B=CN$1), 0)), 1))),  0.5, 0))</f>
        <v>1</v>
      </c>
      <c r="CO68" s="47">
        <f t="array" ref="CO68">IF(AND(ISNUMBER(MATCH(CO$2, AsistenciaJetAdminConcatenada!$A:$A, 0)), ISNUMBER(MATCH(CO$1, AsistenciaJetAdminConcatenada!$B:$B, 0)), ISNUMBER(SEARCH($A68,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ISNUMBER(SEARCH($A68, INDEX(AsistenciaJetAdminConcatenada!$D:$D, MATCH(1, (AsistenciaJetAdminConcatenada!$A:$A=CO$2)*(AsistenciaJetAdminConcatenada!$B:$B=CO$1), 0)), 1))),  0.5, 0))</f>
        <v>1</v>
      </c>
      <c r="CP68" s="47">
        <f t="array" ref="CP68">IF(AND(ISNUMBER(MATCH(CP$2, AsistenciaJetAdminConcatenada!$A:$A, 0)), ISNUMBER(MATCH(CP$1, AsistenciaJetAdminConcatenada!$B:$B, 0)), ISNUMBER(SEARCH($A68,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ISNUMBER(SEARCH($A68, INDEX(AsistenciaJetAdminConcatenada!$D:$D, MATCH(1, (AsistenciaJetAdminConcatenada!$A:$A=CP$2)*(AsistenciaJetAdminConcatenada!$B:$B=CP$1), 0)), 1))),  0.5, 0))</f>
        <v>0</v>
      </c>
      <c r="CQ68" s="47">
        <f t="array" ref="CQ68">IF(AND(ISNUMBER(MATCH(CQ$2, AsistenciaJetAdminConcatenada!$A:$A, 0)), ISNUMBER(MATCH(CQ$1, AsistenciaJetAdminConcatenada!$B:$B, 0)), ISNUMBER(SEARCH($A68,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ISNUMBER(SEARCH($A68, INDEX(AsistenciaJetAdminConcatenada!$D:$D, MATCH(1, (AsistenciaJetAdminConcatenada!$A:$A=CQ$2)*(AsistenciaJetAdminConcatenada!$B:$B=CQ$1), 0)), 1))),  0.5, 0))</f>
        <v>1</v>
      </c>
      <c r="CR68" s="47">
        <f t="array" ref="CR68">IF(AND(ISNUMBER(MATCH(CR$2, AsistenciaJetAdminConcatenada!$A:$A, 0)), ISNUMBER(MATCH(CR$1, AsistenciaJetAdminConcatenada!$B:$B, 0)), ISNUMBER(SEARCH($A68,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ISNUMBER(SEARCH($A68, INDEX(AsistenciaJetAdminConcatenada!$D:$D, MATCH(1, (AsistenciaJetAdminConcatenada!$A:$A=CR$2)*(AsistenciaJetAdminConcatenada!$B:$B=CR$1), 0)), 1))),  0.5, 0))</f>
        <v>1</v>
      </c>
      <c r="CS68" s="47">
        <f t="array" ref="CS68">IF(AND(ISNUMBER(MATCH(CS$2, AsistenciaJetAdminConcatenada!$A:$A, 0)), ISNUMBER(MATCH(CS$1, AsistenciaJetAdminConcatenada!$B:$B, 0)), ISNUMBER(SEARCH($A68,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ISNUMBER(SEARCH($A68, INDEX(AsistenciaJetAdminConcatenada!$D:$D, MATCH(1, (AsistenciaJetAdminConcatenada!$A:$A=CS$2)*(AsistenciaJetAdminConcatenada!$B:$B=CS$1), 0)), 1))),  0.5, 0))</f>
        <v>0</v>
      </c>
      <c r="CT68" s="47">
        <f t="array" ref="CT68">IF(AND(ISNUMBER(MATCH(CT$2, AsistenciaJetAdminConcatenada!$A:$A, 0)), ISNUMBER(MATCH(CT$1, AsistenciaJetAdminConcatenada!$B:$B, 0)), ISNUMBER(SEARCH($A68,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ISNUMBER(SEARCH($A68, INDEX(AsistenciaJetAdminConcatenada!$D:$D, MATCH(1, (AsistenciaJetAdminConcatenada!$A:$A=CT$2)*(AsistenciaJetAdminConcatenada!$B:$B=CT$1), 0)), 1))),  0.5, 0))</f>
        <v>0</v>
      </c>
      <c r="CU68" s="47">
        <f t="array" ref="CU68">IF(AND(ISNUMBER(MATCH(CU$2, AsistenciaJetAdminConcatenada!$A:$A, 0)), ISNUMBER(MATCH(CU$1, AsistenciaJetAdminConcatenada!$B:$B, 0)), ISNUMBER(SEARCH($A68,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ISNUMBER(SEARCH($A68, INDEX(AsistenciaJetAdminConcatenada!$D:$D, MATCH(1, (AsistenciaJetAdminConcatenada!$A:$A=CU$2)*(AsistenciaJetAdminConcatenada!$B:$B=CU$1), 0)), 1))),  0.5, 0))</f>
        <v>0</v>
      </c>
      <c r="CV68" s="47">
        <f t="array" ref="CV68">IF(AND(ISNUMBER(MATCH(CV$2, AsistenciaJetAdminConcatenada!$A:$A, 0)), ISNUMBER(MATCH(CV$1, AsistenciaJetAdminConcatenada!$B:$B, 0)), ISNUMBER(SEARCH($A68,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ISNUMBER(SEARCH($A68, INDEX(AsistenciaJetAdminConcatenada!$D:$D, MATCH(1, (AsistenciaJetAdminConcatenada!$A:$A=CV$2)*(AsistenciaJetAdminConcatenada!$B:$B=CV$1), 0)), 1))),  0.5, 0))</f>
        <v>0</v>
      </c>
      <c r="CW68" s="47">
        <f t="array" ref="CW68">IF(AND(ISNUMBER(MATCH(CW$2, AsistenciaJetAdminConcatenada!$A:$A, 0)), ISNUMBER(MATCH(CW$1, AsistenciaJetAdminConcatenada!$B:$B, 0)), ISNUMBER(SEARCH($A68,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ISNUMBER(SEARCH($A68, INDEX(AsistenciaJetAdminConcatenada!$D:$D, MATCH(1, (AsistenciaJetAdminConcatenada!$A:$A=CW$2)*(AsistenciaJetAdminConcatenada!$B:$B=CW$1), 0)), 1))),  0.5, 0))</f>
        <v>0</v>
      </c>
      <c r="CX68" s="47">
        <f t="array" ref="CX68">IF(AND(ISNUMBER(MATCH(CX$2, AsistenciaJetAdminConcatenada!$A:$A, 0)), ISNUMBER(MATCH(CX$1, AsistenciaJetAdminConcatenada!$B:$B, 0)), ISNUMBER(SEARCH($A68,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ISNUMBER(SEARCH($A68, INDEX(AsistenciaJetAdminConcatenada!$D:$D, MATCH(1, (AsistenciaJetAdminConcatenada!$A:$A=CX$2)*(AsistenciaJetAdminConcatenada!$B:$B=CX$1), 0)), 1))),  0.5, 0))</f>
        <v>0</v>
      </c>
      <c r="CY68" s="47">
        <f t="array" ref="CY68">IF(AND(ISNUMBER(MATCH(CY$2, AsistenciaJetAdminConcatenada!$A:$A, 0)), ISNUMBER(MATCH(CY$1, AsistenciaJetAdminConcatenada!$B:$B, 0)), ISNUMBER(SEARCH($A68,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ISNUMBER(SEARCH($A68, INDEX(AsistenciaJetAdminConcatenada!$D:$D, MATCH(1, (AsistenciaJetAdminConcatenada!$A:$A=CY$2)*(AsistenciaJetAdminConcatenada!$B:$B=CY$1), 0)), 1))),  0.5, 0))</f>
        <v>0</v>
      </c>
      <c r="CZ68" s="47">
        <f t="array" ref="CZ68">IF(AND(ISNUMBER(MATCH(CZ$2, AsistenciaJetAdminConcatenada!$A:$A, 0)), ISNUMBER(MATCH(CZ$1, AsistenciaJetAdminConcatenada!$B:$B, 0)), ISNUMBER(SEARCH($A68,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ISNUMBER(SEARCH($A68, INDEX(AsistenciaJetAdminConcatenada!$D:$D, MATCH(1, (AsistenciaJetAdminConcatenada!$A:$A=CZ$2)*(AsistenciaJetAdminConcatenada!$B:$B=CZ$1), 0)), 1))),  0.5, 0))</f>
        <v>0</v>
      </c>
      <c r="DA68" s="47">
        <f t="array" ref="DA68">IF(AND(ISNUMBER(MATCH(DA$2, AsistenciaJetAdminConcatenada!$A:$A, 0)), ISNUMBER(MATCH(DA$1, AsistenciaJetAdminConcatenada!$B:$B, 0)), ISNUMBER(SEARCH($A68,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ISNUMBER(SEARCH($A68, INDEX(AsistenciaJetAdminConcatenada!$D:$D, MATCH(1, (AsistenciaJetAdminConcatenada!$A:$A=DA$2)*(AsistenciaJetAdminConcatenada!$B:$B=DA$1), 0)), 1))),  0.5, 0))</f>
        <v>0</v>
      </c>
      <c r="DB68" s="47">
        <f t="array" ref="DB68">IF(AND(ISNUMBER(MATCH(DB$2, AsistenciaJetAdminConcatenada!$A:$A, 0)), ISNUMBER(MATCH(DB$1, AsistenciaJetAdminConcatenada!$B:$B, 0)), ISNUMBER(SEARCH($A68,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ISNUMBER(SEARCH($A68, INDEX(AsistenciaJetAdminConcatenada!$D:$D, MATCH(1, (AsistenciaJetAdminConcatenada!$A:$A=DB$2)*(AsistenciaJetAdminConcatenada!$B:$B=DB$1), 0)), 1))),  0.5, 0))</f>
        <v>0</v>
      </c>
      <c r="DC68" s="47">
        <f t="array" ref="DC68">IF(AND(ISNUMBER(MATCH(DC$2, AsistenciaJetAdminConcatenada!$A:$A, 0)), ISNUMBER(MATCH(DC$1, AsistenciaJetAdminConcatenada!$B:$B, 0)), ISNUMBER(SEARCH($A68,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ISNUMBER(SEARCH($A68, INDEX(AsistenciaJetAdminConcatenada!$D:$D, MATCH(1, (AsistenciaJetAdminConcatenada!$A:$A=DC$2)*(AsistenciaJetAdminConcatenada!$B:$B=DC$1), 0)), 1))),  0.5, 0))</f>
        <v>0</v>
      </c>
      <c r="DD68" s="47">
        <f t="array" ref="DD68">IF(AND(ISNUMBER(MATCH(DD$2, AsistenciaJetAdminConcatenada!$A:$A, 0)), ISNUMBER(MATCH(DD$1, AsistenciaJetAdminConcatenada!$B:$B, 0)), ISNUMBER(SEARCH($A68,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ISNUMBER(SEARCH($A68, INDEX(AsistenciaJetAdminConcatenada!$D:$D, MATCH(1, (AsistenciaJetAdminConcatenada!$A:$A=DD$2)*(AsistenciaJetAdminConcatenada!$B:$B=DD$1), 0)), 1))),  0.5, 0))</f>
        <v>0</v>
      </c>
      <c r="DE68" s="47">
        <f t="array" ref="DE68">IF(AND(ISNUMBER(MATCH(DE$2, AsistenciaJetAdminConcatenada!$A:$A, 0)), ISNUMBER(MATCH(DE$1, AsistenciaJetAdminConcatenada!$B:$B, 0)), ISNUMBER(SEARCH($A68,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ISNUMBER(SEARCH($A68, INDEX(AsistenciaJetAdminConcatenada!$D:$D, MATCH(1, (AsistenciaJetAdminConcatenada!$A:$A=DE$2)*(AsistenciaJetAdminConcatenada!$B:$B=DE$1), 0)), 1))),  0.5, 0))</f>
        <v>0</v>
      </c>
      <c r="DF68" s="47">
        <f t="array" ref="DF68">IF(AND(ISNUMBER(MATCH(DF$2, AsistenciaJetAdminConcatenada!$A:$A, 0)), ISNUMBER(MATCH(DF$1, AsistenciaJetAdminConcatenada!$B:$B, 0)), ISNUMBER(SEARCH($A68,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ISNUMBER(SEARCH($A68, INDEX(AsistenciaJetAdminConcatenada!$D:$D, MATCH(1, (AsistenciaJetAdminConcatenada!$A:$A=DF$2)*(AsistenciaJetAdminConcatenada!$B:$B=DF$1), 0)), 1))),  0.5, 0))</f>
        <v>0</v>
      </c>
      <c r="DG68" s="47">
        <f t="array" ref="DG68">IF(AND(ISNUMBER(MATCH(DG$2, AsistenciaJetAdminConcatenada!$A:$A, 0)), ISNUMBER(MATCH(DG$1, AsistenciaJetAdminConcatenada!$B:$B, 0)), ISNUMBER(SEARCH($A68,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ISNUMBER(SEARCH($A68, INDEX(AsistenciaJetAdminConcatenada!$D:$D, MATCH(1, (AsistenciaJetAdminConcatenada!$A:$A=DG$2)*(AsistenciaJetAdminConcatenada!$B:$B=DG$1), 0)), 1))),  0.5, 0))</f>
        <v>0</v>
      </c>
      <c r="DH68" s="47">
        <f t="array" ref="DH68">IF(AND(ISNUMBER(MATCH(DH$2, AsistenciaJetAdminConcatenada!$A:$A, 0)), ISNUMBER(MATCH(DH$1, AsistenciaJetAdminConcatenada!$B:$B, 0)), ISNUMBER(SEARCH($A68,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ISNUMBER(SEARCH($A68, INDEX(AsistenciaJetAdminConcatenada!$D:$D, MATCH(1, (AsistenciaJetAdminConcatenada!$A:$A=DH$2)*(AsistenciaJetAdminConcatenada!$B:$B=DH$1), 0)), 1))),  0.5, 0))</f>
        <v>0</v>
      </c>
      <c r="DI68" s="47">
        <f t="array" ref="DI68">IF(AND(ISNUMBER(MATCH(DI$2, AsistenciaJetAdminConcatenada!$A:$A, 0)), ISNUMBER(MATCH(DI$1, AsistenciaJetAdminConcatenada!$B:$B, 0)), ISNUMBER(SEARCH($A68,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ISNUMBER(SEARCH($A68, INDEX(AsistenciaJetAdminConcatenada!$D:$D, MATCH(1, (AsistenciaJetAdminConcatenada!$A:$A=DI$2)*(AsistenciaJetAdminConcatenada!$B:$B=DI$1), 0)), 1))),  0.5, 0))</f>
        <v>0</v>
      </c>
      <c r="DJ68" s="47">
        <f t="array" ref="DJ68">IF(AND(ISNUMBER(MATCH(DJ$2, AsistenciaJetAdminConcatenada!$A:$A, 0)), ISNUMBER(MATCH(DJ$1, AsistenciaJetAdminConcatenada!$B:$B, 0)), ISNUMBER(SEARCH($A68,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ISNUMBER(SEARCH($A68, INDEX(AsistenciaJetAdminConcatenada!$D:$D, MATCH(1, (AsistenciaJetAdminConcatenada!$A:$A=DJ$2)*(AsistenciaJetAdminConcatenada!$B:$B=DJ$1), 0)), 1))),  0.5, 0))</f>
        <v>0</v>
      </c>
      <c r="DK68" s="47">
        <f t="array" ref="DK68">IF(AND(ISNUMBER(MATCH(DK$2, AsistenciaJetAdminConcatenada!$A:$A, 0)), ISNUMBER(MATCH(DK$1, AsistenciaJetAdminConcatenada!$B:$B, 0)), ISNUMBER(SEARCH($A68,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ISNUMBER(SEARCH($A68, INDEX(AsistenciaJetAdminConcatenada!$D:$D, MATCH(1, (AsistenciaJetAdminConcatenada!$A:$A=DK$2)*(AsistenciaJetAdminConcatenada!$B:$B=DK$1), 0)), 1))),  0.5, 0))</f>
        <v>0</v>
      </c>
      <c r="DL68" s="47">
        <f t="array" ref="DL68">IF(AND(ISNUMBER(MATCH(DL$2, AsistenciaJetAdminConcatenada!$A:$A, 0)), ISNUMBER(MATCH(DL$1, AsistenciaJetAdminConcatenada!$B:$B, 0)), ISNUMBER(SEARCH($A68,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ISNUMBER(SEARCH($A68, INDEX(AsistenciaJetAdminConcatenada!$D:$D, MATCH(1, (AsistenciaJetAdminConcatenada!$A:$A=DL$2)*(AsistenciaJetAdminConcatenada!$B:$B=DL$1), 0)), 1))),  0.5, 0))</f>
        <v>0</v>
      </c>
      <c r="DM68" s="47">
        <f t="array" ref="DM68">IF(AND(ISNUMBER(MATCH(DM$2, AsistenciaJetAdminConcatenada!$A:$A, 0)), ISNUMBER(MATCH(DM$1, AsistenciaJetAdminConcatenada!$B:$B, 0)), ISNUMBER(SEARCH($A68,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ISNUMBER(SEARCH($A68, INDEX(AsistenciaJetAdminConcatenada!$D:$D, MATCH(1, (AsistenciaJetAdminConcatenada!$A:$A=DM$2)*(AsistenciaJetAdminConcatenada!$B:$B=DM$1), 0)), 1))),  0.5, 0))</f>
        <v>0</v>
      </c>
      <c r="DN68" s="47">
        <f t="array" ref="DN68">IF(AND(ISNUMBER(MATCH(DN$2, AsistenciaJetAdminConcatenada!$A:$A, 0)), ISNUMBER(MATCH(DN$1, AsistenciaJetAdminConcatenada!$B:$B, 0)), ISNUMBER(SEARCH($A68,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ISNUMBER(SEARCH($A68, INDEX(AsistenciaJetAdminConcatenada!$D:$D, MATCH(1, (AsistenciaJetAdminConcatenada!$A:$A=DN$2)*(AsistenciaJetAdminConcatenada!$B:$B=DN$1), 0)), 1))),  0.5, 0))</f>
        <v>0</v>
      </c>
      <c r="DO68" s="47">
        <f t="array" ref="DO68">IF(AND(ISNUMBER(MATCH(DO$2, AsistenciaJetAdminConcatenada!$A:$A, 0)), ISNUMBER(MATCH(DO$1, AsistenciaJetAdminConcatenada!$B:$B, 0)), ISNUMBER(SEARCH($A68,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ISNUMBER(SEARCH($A68, INDEX(AsistenciaJetAdminConcatenada!$D:$D, MATCH(1, (AsistenciaJetAdminConcatenada!$A:$A=DO$2)*(AsistenciaJetAdminConcatenada!$B:$B=DO$1), 0)), 1))),  0.5, 0))</f>
        <v>0</v>
      </c>
      <c r="DP68" s="47">
        <f t="array" ref="DP68">IF(AND(ISNUMBER(MATCH(DP$2, AsistenciaJetAdminConcatenada!$A:$A, 0)), ISNUMBER(MATCH(DP$1, AsistenciaJetAdminConcatenada!$B:$B, 0)), ISNUMBER(SEARCH($A68,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ISNUMBER(SEARCH($A68, INDEX(AsistenciaJetAdminConcatenada!$D:$D, MATCH(1, (AsistenciaJetAdminConcatenada!$A:$A=DP$2)*(AsistenciaJetAdminConcatenada!$B:$B=DP$1), 0)), 1))),  0.5, 0))</f>
        <v>0</v>
      </c>
      <c r="DQ68" s="47">
        <f t="array" ref="DQ68">IF(AND(ISNUMBER(MATCH(DQ$2, AsistenciaJetAdminConcatenada!$A:$A, 0)), ISNUMBER(MATCH(DQ$1, AsistenciaJetAdminConcatenada!$B:$B, 0)), ISNUMBER(SEARCH($A68,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ISNUMBER(SEARCH($A68, INDEX(AsistenciaJetAdminConcatenada!$D:$D, MATCH(1, (AsistenciaJetAdminConcatenada!$A:$A=DQ$2)*(AsistenciaJetAdminConcatenada!$B:$B=DQ$1), 0)), 1))),  0.5, 0))</f>
        <v>0</v>
      </c>
      <c r="DR68" s="47">
        <f t="array" ref="DR68">IF(AND(ISNUMBER(MATCH(DR$2, AsistenciaJetAdminConcatenada!$A:$A, 0)), ISNUMBER(MATCH(DR$1, AsistenciaJetAdminConcatenada!$B:$B, 0)), ISNUMBER(SEARCH($A68,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ISNUMBER(SEARCH($A68, INDEX(AsistenciaJetAdminConcatenada!$D:$D, MATCH(1, (AsistenciaJetAdminConcatenada!$A:$A=DR$2)*(AsistenciaJetAdminConcatenada!$B:$B=DR$1), 0)), 1))),  0.5, 0))</f>
        <v>0</v>
      </c>
      <c r="DS68" s="47">
        <f t="array" ref="DS68">IF(AND(ISNUMBER(MATCH(DS$2, AsistenciaJetAdminConcatenada!$A:$A, 0)), ISNUMBER(MATCH(DS$1, AsistenciaJetAdminConcatenada!$B:$B, 0)), ISNUMBER(SEARCH($A68,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ISNUMBER(SEARCH($A68, INDEX(AsistenciaJetAdminConcatenada!$D:$D, MATCH(1, (AsistenciaJetAdminConcatenada!$A:$A=DS$2)*(AsistenciaJetAdminConcatenada!$B:$B=DS$1), 0)), 1))),  0.5, 0))</f>
        <v>0</v>
      </c>
      <c r="DT68" s="47">
        <f t="array" ref="DT68">IF(AND(ISNUMBER(MATCH(DT$2, AsistenciaJetAdminConcatenada!$A:$A, 0)), ISNUMBER(MATCH(DT$1, AsistenciaJetAdminConcatenada!$B:$B, 0)), ISNUMBER(SEARCH($A68,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ISNUMBER(SEARCH($A68, INDEX(AsistenciaJetAdminConcatenada!$D:$D, MATCH(1, (AsistenciaJetAdminConcatenada!$A:$A=DT$2)*(AsistenciaJetAdminConcatenada!$B:$B=DT$1), 0)), 1))),  0.5, 0))</f>
        <v>0</v>
      </c>
      <c r="DU68" s="47">
        <f t="array" ref="DU68">IF(AND(ISNUMBER(MATCH(DU$2, AsistenciaJetAdminConcatenada!$A:$A, 0)), ISNUMBER(MATCH(DU$1, AsistenciaJetAdminConcatenada!$B:$B, 0)), ISNUMBER(SEARCH($A68,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ISNUMBER(SEARCH($A68, INDEX(AsistenciaJetAdminConcatenada!$D:$D, MATCH(1, (AsistenciaJetAdminConcatenada!$A:$A=DU$2)*(AsistenciaJetAdminConcatenada!$B:$B=DU$1), 0)), 1))),  0.5, 0))</f>
        <v>0</v>
      </c>
      <c r="DV68" s="47">
        <f t="array" ref="DV68">IF(AND(ISNUMBER(MATCH(DV$2, AsistenciaJetAdminConcatenada!$A:$A, 0)), ISNUMBER(MATCH(DV$1, AsistenciaJetAdminConcatenada!$B:$B, 0)), ISNUMBER(SEARCH($A68,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ISNUMBER(SEARCH($A68, INDEX(AsistenciaJetAdminConcatenada!$D:$D, MATCH(1, (AsistenciaJetAdminConcatenada!$A:$A=DV$2)*(AsistenciaJetAdminConcatenada!$B:$B=DV$1), 0)), 1))),  0.5, 0))</f>
        <v>0</v>
      </c>
      <c r="DW68" s="47">
        <f t="array" ref="DW68">IF(AND(ISNUMBER(MATCH(DW$2, AsistenciaJetAdminConcatenada!$A:$A, 0)), ISNUMBER(MATCH(DW$1, AsistenciaJetAdminConcatenada!$B:$B, 0)), ISNUMBER(SEARCH($A68,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ISNUMBER(SEARCH($A68, INDEX(AsistenciaJetAdminConcatenada!$D:$D, MATCH(1, (AsistenciaJetAdminConcatenada!$A:$A=DW$2)*(AsistenciaJetAdminConcatenada!$B:$B=DW$1), 0)), 1))),  0.5, 0))</f>
        <v>0</v>
      </c>
      <c r="DX68" s="47">
        <f t="array" ref="DX68">IF(AND(ISNUMBER(MATCH(DX$2, AsistenciaJetAdminConcatenada!$A:$A, 0)), ISNUMBER(MATCH(DX$1, AsistenciaJetAdminConcatenada!$B:$B, 0)), ISNUMBER(SEARCH($A68,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ISNUMBER(SEARCH($A68, INDEX(AsistenciaJetAdminConcatenada!$D:$D, MATCH(1, (AsistenciaJetAdminConcatenada!$A:$A=DX$2)*(AsistenciaJetAdminConcatenada!$B:$B=DX$1), 0)), 1))),  0.5, 0))</f>
        <v>0</v>
      </c>
      <c r="DY68" s="47">
        <f t="array" ref="DY68">IF(AND(ISNUMBER(MATCH(DY$2, AsistenciaJetAdminConcatenada!$A:$A, 0)), ISNUMBER(MATCH(DY$1, AsistenciaJetAdminConcatenada!$B:$B, 0)), ISNUMBER(SEARCH($A68,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ISNUMBER(SEARCH($A68, INDEX(AsistenciaJetAdminConcatenada!$D:$D, MATCH(1, (AsistenciaJetAdminConcatenada!$A:$A=DY$2)*(AsistenciaJetAdminConcatenada!$B:$B=DY$1), 0)), 1))),  0.5, 0))</f>
        <v>0</v>
      </c>
      <c r="DZ68" s="47">
        <f t="array" ref="DZ68">IF(AND(ISNUMBER(MATCH(DZ$2, AsistenciaJetAdminConcatenada!$A:$A, 0)), ISNUMBER(MATCH(DZ$1, AsistenciaJetAdminConcatenada!$B:$B, 0)), ISNUMBER(SEARCH($A68,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ISNUMBER(SEARCH($A68, INDEX(AsistenciaJetAdminConcatenada!$D:$D, MATCH(1, (AsistenciaJetAdminConcatenada!$A:$A=DZ$2)*(AsistenciaJetAdminConcatenada!$B:$B=DZ$1), 0)), 1))),  0.5, 0))</f>
        <v>0</v>
      </c>
      <c r="EA68" s="47">
        <f t="array" ref="EA68">IF(AND(ISNUMBER(MATCH(EA$2, AsistenciaJetAdminConcatenada!$A:$A, 0)), ISNUMBER(MATCH(EA$1, AsistenciaJetAdminConcatenada!$B:$B, 0)), ISNUMBER(SEARCH($A68,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ISNUMBER(SEARCH($A68, INDEX(AsistenciaJetAdminConcatenada!$D:$D, MATCH(1, (AsistenciaJetAdminConcatenada!$A:$A=EA$2)*(AsistenciaJetAdminConcatenada!$B:$B=EA$1), 0)), 1))),  0.5, 0))</f>
        <v>0</v>
      </c>
      <c r="EB68" s="47">
        <f t="array" ref="EB68">IF(AND(ISNUMBER(MATCH(EB$2, AsistenciaJetAdminConcatenada!$A:$A, 0)), ISNUMBER(MATCH(EB$1, AsistenciaJetAdminConcatenada!$B:$B, 0)), ISNUMBER(SEARCH($A68,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ISNUMBER(SEARCH($A68, INDEX(AsistenciaJetAdminConcatenada!$D:$D, MATCH(1, (AsistenciaJetAdminConcatenada!$A:$A=EB$2)*(AsistenciaJetAdminConcatenada!$B:$B=EB$1), 0)), 1))),  0.5, 0))</f>
        <v>0</v>
      </c>
      <c r="EC68" s="47">
        <f t="array" ref="EC68">IF(AND(ISNUMBER(MATCH(EC$2, AsistenciaJetAdminConcatenada!$A:$A, 0)), ISNUMBER(MATCH(EC$1, AsistenciaJetAdminConcatenada!$B:$B, 0)), ISNUMBER(SEARCH($A68,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ISNUMBER(SEARCH($A68, INDEX(AsistenciaJetAdminConcatenada!$D:$D, MATCH(1, (AsistenciaJetAdminConcatenada!$A:$A=EC$2)*(AsistenciaJetAdminConcatenada!$B:$B=EC$1), 0)), 1))),  0.5, 0))</f>
        <v>0</v>
      </c>
      <c r="ED68" s="47">
        <f t="array" ref="ED68">IF(AND(ISNUMBER(MATCH(ED$2, AsistenciaJetAdminConcatenada!$A:$A, 0)), ISNUMBER(MATCH(ED$1, AsistenciaJetAdminConcatenada!$B:$B, 0)), ISNUMBER(SEARCH($A68,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ISNUMBER(SEARCH($A68, INDEX(AsistenciaJetAdminConcatenada!$D:$D, MATCH(1, (AsistenciaJetAdminConcatenada!$A:$A=ED$2)*(AsistenciaJetAdminConcatenada!$B:$B=ED$1), 0)), 1))),  0.5, 0))</f>
        <v>0</v>
      </c>
      <c r="EE68" s="47">
        <f t="array" ref="EE68">IF(AND(ISNUMBER(MATCH(EE$2, AsistenciaJetAdminConcatenada!$A:$A, 0)), ISNUMBER(MATCH(EE$1, AsistenciaJetAdminConcatenada!$B:$B, 0)), ISNUMBER(SEARCH($A68,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ISNUMBER(SEARCH($A68, INDEX(AsistenciaJetAdminConcatenada!$D:$D, MATCH(1, (AsistenciaJetAdminConcatenada!$A:$A=EE$2)*(AsistenciaJetAdminConcatenada!$B:$B=EE$1), 0)), 1))),  0.5, 0))</f>
        <v>0</v>
      </c>
      <c r="EF68" s="47">
        <f t="array" ref="EF68">IF(AND(ISNUMBER(MATCH(EF$2, AsistenciaJetAdminConcatenada!$A:$A, 0)), ISNUMBER(MATCH(EF$1, AsistenciaJetAdminConcatenada!$B:$B, 0)), ISNUMBER(SEARCH($A68,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ISNUMBER(SEARCH($A68, INDEX(AsistenciaJetAdminConcatenada!$D:$D, MATCH(1, (AsistenciaJetAdminConcatenada!$A:$A=EF$2)*(AsistenciaJetAdminConcatenada!$B:$B=EF$1), 0)), 1))),  0.5, 0))</f>
        <v>0</v>
      </c>
      <c r="EG68" s="47">
        <f t="array" ref="EG68">IF(AND(ISNUMBER(MATCH(EG$2, AsistenciaJetAdminConcatenada!$A:$A, 0)), ISNUMBER(MATCH(EG$1, AsistenciaJetAdminConcatenada!$B:$B, 0)), ISNUMBER(SEARCH($A68,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ISNUMBER(SEARCH($A68, INDEX(AsistenciaJetAdminConcatenada!$D:$D, MATCH(1, (AsistenciaJetAdminConcatenada!$A:$A=EG$2)*(AsistenciaJetAdminConcatenada!$B:$B=EG$1), 0)), 1))),  0.5, 0))</f>
        <v>0</v>
      </c>
      <c r="EH68" s="47">
        <f t="array" ref="EH68">IF(AND(ISNUMBER(MATCH(EH$2, AsistenciaJetAdminConcatenada!$A:$A, 0)), ISNUMBER(MATCH(EH$1, AsistenciaJetAdminConcatenada!$B:$B, 0)), ISNUMBER(SEARCH($A68,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ISNUMBER(SEARCH($A68, INDEX(AsistenciaJetAdminConcatenada!$D:$D, MATCH(1, (AsistenciaJetAdminConcatenada!$A:$A=EH$2)*(AsistenciaJetAdminConcatenada!$B:$B=EH$1), 0)), 1))),  0.5, 0))</f>
        <v>0</v>
      </c>
      <c r="EI68" s="47">
        <f t="array" ref="EI68">IF(AND(ISNUMBER(MATCH(EI$2, AsistenciaJetAdminConcatenada!$A:$A, 0)), ISNUMBER(MATCH(EI$1, AsistenciaJetAdminConcatenada!$B:$B, 0)), ISNUMBER(SEARCH($A68,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ISNUMBER(SEARCH($A68, INDEX(AsistenciaJetAdminConcatenada!$D:$D, MATCH(1, (AsistenciaJetAdminConcatenada!$A:$A=EI$2)*(AsistenciaJetAdminConcatenada!$B:$B=EI$1), 0)), 1))),  0.5, 0))</f>
        <v>0</v>
      </c>
      <c r="EJ68" s="47">
        <f t="array" ref="EJ68">IF(AND(ISNUMBER(MATCH(EJ$2, AsistenciaJetAdminConcatenada!$A:$A, 0)), ISNUMBER(MATCH(EJ$1, AsistenciaJetAdminConcatenada!$B:$B, 0)), ISNUMBER(SEARCH($A68,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ISNUMBER(SEARCH($A68, INDEX(AsistenciaJetAdminConcatenada!$D:$D, MATCH(1, (AsistenciaJetAdminConcatenada!$A:$A=EJ$2)*(AsistenciaJetAdminConcatenada!$B:$B=EJ$1), 0)), 1))),  0.5, 0))</f>
        <v>0</v>
      </c>
      <c r="EK68" s="47">
        <f t="array" ref="EK68">IF(AND(ISNUMBER(MATCH(EK$2, AsistenciaJetAdminConcatenada!$A:$A, 0)), ISNUMBER(MATCH(EK$1, AsistenciaJetAdminConcatenada!$B:$B, 0)), ISNUMBER(SEARCH($A68,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ISNUMBER(SEARCH($A68, INDEX(AsistenciaJetAdminConcatenada!$D:$D, MATCH(1, (AsistenciaJetAdminConcatenada!$A:$A=EK$2)*(AsistenciaJetAdminConcatenada!$B:$B=EK$1), 0)), 1))),  0.5, 0))</f>
        <v>0</v>
      </c>
      <c r="EL68" s="47">
        <f t="array" ref="EL68">IF(AND(ISNUMBER(MATCH(EL$2, AsistenciaJetAdminConcatenada!$A:$A, 0)), ISNUMBER(MATCH(EL$1, AsistenciaJetAdminConcatenada!$B:$B, 0)), ISNUMBER(SEARCH($A68,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ISNUMBER(SEARCH($A68, INDEX(AsistenciaJetAdminConcatenada!$D:$D, MATCH(1, (AsistenciaJetAdminConcatenada!$A:$A=EL$2)*(AsistenciaJetAdminConcatenada!$B:$B=EL$1), 0)), 1))),  0.5, 0))</f>
        <v>0</v>
      </c>
      <c r="EM68" s="47">
        <f t="array" ref="EM68">IF(AND(ISNUMBER(MATCH(EM$2, AsistenciaJetAdminConcatenada!$A:$A, 0)), ISNUMBER(MATCH(EM$1, AsistenciaJetAdminConcatenada!$B:$B, 0)), ISNUMBER(SEARCH($A68,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ISNUMBER(SEARCH($A68, INDEX(AsistenciaJetAdminConcatenada!$D:$D, MATCH(1, (AsistenciaJetAdminConcatenada!$A:$A=EM$2)*(AsistenciaJetAdminConcatenada!$B:$B=EM$1), 0)), 1))),  0.5, 0))</f>
        <v>0</v>
      </c>
      <c r="EN68" s="47">
        <f t="array" ref="EN68">IF(AND(ISNUMBER(MATCH(EN$2, AsistenciaJetAdminConcatenada!$A:$A, 0)), ISNUMBER(MATCH(EN$1, AsistenciaJetAdminConcatenada!$B:$B, 0)), ISNUMBER(SEARCH($A68,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ISNUMBER(SEARCH($A68, INDEX(AsistenciaJetAdminConcatenada!$D:$D, MATCH(1, (AsistenciaJetAdminConcatenada!$A:$A=EN$2)*(AsistenciaJetAdminConcatenada!$B:$B=EN$1), 0)), 1))),  0.5, 0))</f>
        <v>0</v>
      </c>
      <c r="EO68" s="47">
        <f t="array" ref="EO68">IF(AND(ISNUMBER(MATCH(EO$2, AsistenciaJetAdminConcatenada!$A:$A, 0)), ISNUMBER(MATCH(EO$1, AsistenciaJetAdminConcatenada!$B:$B, 0)), ISNUMBER(SEARCH($A68,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ISNUMBER(SEARCH($A68, INDEX(AsistenciaJetAdminConcatenada!$D:$D, MATCH(1, (AsistenciaJetAdminConcatenada!$A:$A=EO$2)*(AsistenciaJetAdminConcatenada!$B:$B=EO$1), 0)), 1))),  0.5, 0))</f>
        <v>0</v>
      </c>
      <c r="EP68" s="47">
        <f t="array" ref="EP68">IF(AND(ISNUMBER(MATCH(EP$2, AsistenciaJetAdminConcatenada!$A:$A, 0)), ISNUMBER(MATCH(EP$1, AsistenciaJetAdminConcatenada!$B:$B, 0)), ISNUMBER(SEARCH($A68,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ISNUMBER(SEARCH($A68, INDEX(AsistenciaJetAdminConcatenada!$D:$D, MATCH(1, (AsistenciaJetAdminConcatenada!$A:$A=EP$2)*(AsistenciaJetAdminConcatenada!$B:$B=EP$1), 0)), 1))),  0.5, 0))</f>
        <v>0</v>
      </c>
      <c r="EQ68" s="47">
        <f t="array" ref="EQ68">IF(AND(ISNUMBER(MATCH(EQ$2, AsistenciaJetAdminConcatenada!$A:$A, 0)), ISNUMBER(MATCH(EQ$1, AsistenciaJetAdminConcatenada!$B:$B, 0)), ISNUMBER(SEARCH($A68,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ISNUMBER(SEARCH($A68, INDEX(AsistenciaJetAdminConcatenada!$D:$D, MATCH(1, (AsistenciaJetAdminConcatenada!$A:$A=EQ$2)*(AsistenciaJetAdminConcatenada!$B:$B=EQ$1), 0)), 1))),  0.5, 0))</f>
        <v>0</v>
      </c>
      <c r="ER68" s="47">
        <f t="array" ref="ER68">IF(AND(ISNUMBER(MATCH(ER$2, AsistenciaJetAdminConcatenada!$A:$A, 0)), ISNUMBER(MATCH(ER$1, AsistenciaJetAdminConcatenada!$B:$B, 0)), ISNUMBER(SEARCH($A68,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ISNUMBER(SEARCH($A68, INDEX(AsistenciaJetAdminConcatenada!$D:$D, MATCH(1, (AsistenciaJetAdminConcatenada!$A:$A=ER$2)*(AsistenciaJetAdminConcatenada!$B:$B=ER$1), 0)), 1))),  0.5, 0))</f>
        <v>0</v>
      </c>
      <c r="ES68" s="47">
        <f t="array" ref="ES68">IF(AND(ISNUMBER(MATCH(ES$2, AsistenciaJetAdminConcatenada!$A:$A, 0)), ISNUMBER(MATCH(ES$1, AsistenciaJetAdminConcatenada!$B:$B, 0)), ISNUMBER(SEARCH($A68,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ISNUMBER(SEARCH($A68, INDEX(AsistenciaJetAdminConcatenada!$D:$D, MATCH(1, (AsistenciaJetAdminConcatenada!$A:$A=ES$2)*(AsistenciaJetAdminConcatenada!$B:$B=ES$1), 0)), 1))),  0.5, 0))</f>
        <v>0</v>
      </c>
      <c r="ET68" s="47">
        <f t="array" ref="ET68">IF(AND(ISNUMBER(MATCH(ET$2, AsistenciaJetAdminConcatenada!$A:$A, 0)), ISNUMBER(MATCH(ET$1, AsistenciaJetAdminConcatenada!$B:$B, 0)), ISNUMBER(SEARCH($A68,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ISNUMBER(SEARCH($A68, INDEX(AsistenciaJetAdminConcatenada!$D:$D, MATCH(1, (AsistenciaJetAdminConcatenada!$A:$A=ET$2)*(AsistenciaJetAdminConcatenada!$B:$B=ET$1), 0)), 1))),  0.5, 0))</f>
        <v>0</v>
      </c>
      <c r="EU68" s="47">
        <f t="array" ref="EU68">IF(AND(ISNUMBER(MATCH(EU$2, AsistenciaJetAdminConcatenada!$A:$A, 0)), ISNUMBER(MATCH(EU$1, AsistenciaJetAdminConcatenada!$B:$B, 0)), ISNUMBER(SEARCH($A68,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ISNUMBER(SEARCH($A68, INDEX(AsistenciaJetAdminConcatenada!$D:$D, MATCH(1, (AsistenciaJetAdminConcatenada!$A:$A=EU$2)*(AsistenciaJetAdminConcatenada!$B:$B=EU$1), 0)), 1))),  0.5, 0))</f>
        <v>0</v>
      </c>
      <c r="EV68" s="47">
        <f t="array" ref="EV68">IF(AND(ISNUMBER(MATCH(EV$2, AsistenciaJetAdminConcatenada!$A:$A, 0)), ISNUMBER(MATCH(EV$1, AsistenciaJetAdminConcatenada!$B:$B, 0)), ISNUMBER(SEARCH($A68,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ISNUMBER(SEARCH($A68, INDEX(AsistenciaJetAdminConcatenada!$D:$D, MATCH(1, (AsistenciaJetAdminConcatenada!$A:$A=EV$2)*(AsistenciaJetAdminConcatenada!$B:$B=EV$1), 0)), 1))),  0.5, 0))</f>
        <v>0</v>
      </c>
      <c r="EW68" s="47">
        <f t="array" ref="EW68">IF(AND(ISNUMBER(MATCH(EW$2, AsistenciaJetAdminConcatenada!$A:$A, 0)), ISNUMBER(MATCH(EW$1, AsistenciaJetAdminConcatenada!$B:$B, 0)), ISNUMBER(SEARCH($A68,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ISNUMBER(SEARCH($A68, INDEX(AsistenciaJetAdminConcatenada!$D:$D, MATCH(1, (AsistenciaJetAdminConcatenada!$A:$A=EW$2)*(AsistenciaJetAdminConcatenada!$B:$B=EW$1), 0)), 1))),  0.5, 0))</f>
        <v>0</v>
      </c>
      <c r="EX68" s="47">
        <f t="array" ref="EX68">IF(AND(ISNUMBER(MATCH(EX$2, AsistenciaJetAdminConcatenada!$A:$A, 0)), ISNUMBER(MATCH(EX$1, AsistenciaJetAdminConcatenada!$B:$B, 0)), ISNUMBER(SEARCH($A68,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ISNUMBER(SEARCH($A68, INDEX(AsistenciaJetAdminConcatenada!$D:$D, MATCH(1, (AsistenciaJetAdminConcatenada!$A:$A=EX$2)*(AsistenciaJetAdminConcatenada!$B:$B=EX$1), 0)), 1))),  0.5, 0))</f>
        <v>0</v>
      </c>
      <c r="EY68" s="47">
        <f t="array" ref="EY68">IF(AND(ISNUMBER(MATCH(EY$2, AsistenciaJetAdminConcatenada!$A:$A, 0)), ISNUMBER(MATCH(EY$1, AsistenciaJetAdminConcatenada!$B:$B, 0)), ISNUMBER(SEARCH($A68,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ISNUMBER(SEARCH($A68, INDEX(AsistenciaJetAdminConcatenada!$D:$D, MATCH(1, (AsistenciaJetAdminConcatenada!$A:$A=EY$2)*(AsistenciaJetAdminConcatenada!$B:$B=EY$1), 0)), 1))),  0.5, 0))</f>
        <v>0</v>
      </c>
      <c r="EZ68" s="47">
        <f t="array" ref="EZ68">IF(AND(ISNUMBER(MATCH(EZ$2, AsistenciaJetAdminConcatenada!$A:$A, 0)), ISNUMBER(MATCH(EZ$1, AsistenciaJetAdminConcatenada!$B:$B, 0)), ISNUMBER(SEARCH($A68,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ISNUMBER(SEARCH($A68, INDEX(AsistenciaJetAdminConcatenada!$D:$D, MATCH(1, (AsistenciaJetAdminConcatenada!$A:$A=EZ$2)*(AsistenciaJetAdminConcatenada!$B:$B=EZ$1), 0)), 1))),  0.5, 0))</f>
        <v>0</v>
      </c>
      <c r="FA68" s="47">
        <f t="array" ref="FA68">IF(AND(ISNUMBER(MATCH(FA$2, AsistenciaJetAdminConcatenada!$A:$A, 0)), ISNUMBER(MATCH(FA$1, AsistenciaJetAdminConcatenada!$B:$B, 0)), ISNUMBER(SEARCH($A68,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ISNUMBER(SEARCH($A68, INDEX(AsistenciaJetAdminConcatenada!$D:$D, MATCH(1, (AsistenciaJetAdminConcatenada!$A:$A=FA$2)*(AsistenciaJetAdminConcatenada!$B:$B=FA$1), 0)), 1))),  0.5, 0))</f>
        <v>0</v>
      </c>
      <c r="FB68" s="47">
        <f t="array" ref="FB68">IF(AND(ISNUMBER(MATCH(FB$2, AsistenciaJetAdminConcatenada!$A:$A, 0)), ISNUMBER(MATCH(FB$1, AsistenciaJetAdminConcatenada!$B:$B, 0)), ISNUMBER(SEARCH($A68,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ISNUMBER(SEARCH($A68, INDEX(AsistenciaJetAdminConcatenada!$D:$D, MATCH(1, (AsistenciaJetAdminConcatenada!$A:$A=FB$2)*(AsistenciaJetAdminConcatenada!$B:$B=FB$1), 0)), 1))),  0.5, 0))</f>
        <v>0</v>
      </c>
      <c r="FC68" s="47">
        <f t="array" ref="FC68">IF(AND(ISNUMBER(MATCH(FC$2, AsistenciaJetAdminConcatenada!$A:$A, 0)), ISNUMBER(MATCH(FC$1, AsistenciaJetAdminConcatenada!$B:$B, 0)), ISNUMBER(SEARCH($A68,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ISNUMBER(SEARCH($A68, INDEX(AsistenciaJetAdminConcatenada!$D:$D, MATCH(1, (AsistenciaJetAdminConcatenada!$A:$A=FC$2)*(AsistenciaJetAdminConcatenada!$B:$B=FC$1), 0)), 1))),  0.5, 0))</f>
        <v>0</v>
      </c>
      <c r="FD68" s="47">
        <f t="array" ref="FD68">IF(AND(ISNUMBER(MATCH(FD$2, AsistenciaJetAdminConcatenada!$A:$A, 0)), ISNUMBER(MATCH(FD$1, AsistenciaJetAdminConcatenada!$B:$B, 0)), ISNUMBER(SEARCH($A68,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ISNUMBER(SEARCH($A68, INDEX(AsistenciaJetAdminConcatenada!$D:$D, MATCH(1, (AsistenciaJetAdminConcatenada!$A:$A=FD$2)*(AsistenciaJetAdminConcatenada!$B:$B=FD$1), 0)), 1))),  0.5, 0))</f>
        <v>0</v>
      </c>
      <c r="FE68" s="47">
        <f t="array" ref="FE68">IF(AND(ISNUMBER(MATCH(FE$2, AsistenciaJetAdminConcatenada!$A:$A, 0)), ISNUMBER(MATCH(FE$1, AsistenciaJetAdminConcatenada!$B:$B, 0)), ISNUMBER(SEARCH($A68,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ISNUMBER(SEARCH($A68, INDEX(AsistenciaJetAdminConcatenada!$D:$D, MATCH(1, (AsistenciaJetAdminConcatenada!$A:$A=FE$2)*(AsistenciaJetAdminConcatenada!$B:$B=FE$1), 0)), 1))),  0.5, 0))</f>
        <v>0</v>
      </c>
      <c r="FF68" s="47">
        <f t="array" ref="FF68">IF(AND(ISNUMBER(MATCH(FF$2, AsistenciaJetAdminConcatenada!$A:$A, 0)), ISNUMBER(MATCH(FF$1, AsistenciaJetAdminConcatenada!$B:$B, 0)), ISNUMBER(SEARCH($A68,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ISNUMBER(SEARCH($A68, INDEX(AsistenciaJetAdminConcatenada!$D:$D, MATCH(1, (AsistenciaJetAdminConcatenada!$A:$A=FF$2)*(AsistenciaJetAdminConcatenada!$B:$B=FF$1), 0)), 1))),  0.5, 0))</f>
        <v>0</v>
      </c>
      <c r="FG68" s="47">
        <f t="array" ref="FG68">IF(AND(ISNUMBER(MATCH(FG$2, AsistenciaJetAdminConcatenada!$A:$A, 0)), ISNUMBER(MATCH(FG$1, AsistenciaJetAdminConcatenada!$B:$B, 0)), ISNUMBER(SEARCH($A68,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ISNUMBER(SEARCH($A68, INDEX(AsistenciaJetAdminConcatenada!$D:$D, MATCH(1, (AsistenciaJetAdminConcatenada!$A:$A=FG$2)*(AsistenciaJetAdminConcatenada!$B:$B=FG$1), 0)), 1))),  0.5, 0))</f>
        <v>0</v>
      </c>
      <c r="FH68" s="47">
        <f t="array" ref="FH68">IF(AND(ISNUMBER(MATCH(FH$2, AsistenciaJetAdminConcatenada!$A:$A, 0)), ISNUMBER(MATCH(FH$1, AsistenciaJetAdminConcatenada!$B:$B, 0)), ISNUMBER(SEARCH($A68,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ISNUMBER(SEARCH($A68, INDEX(AsistenciaJetAdminConcatenada!$D:$D, MATCH(1, (AsistenciaJetAdminConcatenada!$A:$A=FH$2)*(AsistenciaJetAdminConcatenada!$B:$B=FH$1), 0)), 1))),  0.5, 0))</f>
        <v>0</v>
      </c>
      <c r="FI68" s="47">
        <f t="array" ref="FI68">IF(AND(ISNUMBER(MATCH(FI$2, AsistenciaJetAdminConcatenada!$A:$A, 0)), ISNUMBER(MATCH(FI$1, AsistenciaJetAdminConcatenada!$B:$B, 0)), ISNUMBER(SEARCH($A68,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ISNUMBER(SEARCH($A68, INDEX(AsistenciaJetAdminConcatenada!$D:$D, MATCH(1, (AsistenciaJetAdminConcatenada!$A:$A=FI$2)*(AsistenciaJetAdminConcatenada!$B:$B=FI$1), 0)), 1))),  0.5, 0))</f>
        <v>0</v>
      </c>
      <c r="FJ68" s="47">
        <f t="array" ref="FJ68">IF(AND(ISNUMBER(MATCH(FJ$2, AsistenciaJetAdminConcatenada!$A:$A, 0)), ISNUMBER(MATCH(FJ$1, AsistenciaJetAdminConcatenada!$B:$B, 0)), ISNUMBER(SEARCH($A68,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ISNUMBER(SEARCH($A68, INDEX(AsistenciaJetAdminConcatenada!$D:$D, MATCH(1, (AsistenciaJetAdminConcatenada!$A:$A=FJ$2)*(AsistenciaJetAdminConcatenada!$B:$B=FJ$1), 0)), 1))),  0.5, 0))</f>
        <v>0</v>
      </c>
      <c r="FK68" s="47">
        <f t="array" ref="FK68">IF(AND(ISNUMBER(MATCH(FK$2, AsistenciaJetAdminConcatenada!$A:$A, 0)), ISNUMBER(MATCH(FK$1, AsistenciaJetAdminConcatenada!$B:$B, 0)), ISNUMBER(SEARCH($A68,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ISNUMBER(SEARCH($A68, INDEX(AsistenciaJetAdminConcatenada!$D:$D, MATCH(1, (AsistenciaJetAdminConcatenada!$A:$A=FK$2)*(AsistenciaJetAdminConcatenada!$B:$B=FK$1), 0)), 1))),  0.5, 0))</f>
        <v>0</v>
      </c>
      <c r="FL68" s="47">
        <f t="array" ref="FL68">IF(AND(ISNUMBER(MATCH(FL$2, AsistenciaJetAdminConcatenada!$A:$A, 0)), ISNUMBER(MATCH(FL$1, AsistenciaJetAdminConcatenada!$B:$B, 0)), ISNUMBER(SEARCH($A68,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ISNUMBER(SEARCH($A68, INDEX(AsistenciaJetAdminConcatenada!$D:$D, MATCH(1, (AsistenciaJetAdminConcatenada!$A:$A=FL$2)*(AsistenciaJetAdminConcatenada!$B:$B=FL$1), 0)), 1))),  0.5, 0))</f>
        <v>0</v>
      </c>
      <c r="FM68" s="47">
        <f t="array" ref="FM68">IF(AND(ISNUMBER(MATCH(FM$2, AsistenciaJetAdminConcatenada!$A:$A, 0)), ISNUMBER(MATCH(FM$1, AsistenciaJetAdminConcatenada!$B:$B, 0)), ISNUMBER(SEARCH($A68,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ISNUMBER(SEARCH($A68, INDEX(AsistenciaJetAdminConcatenada!$D:$D, MATCH(1, (AsistenciaJetAdminConcatenada!$A:$A=FM$2)*(AsistenciaJetAdminConcatenada!$B:$B=FM$1), 0)), 1))),  0.5, 0))</f>
        <v>0</v>
      </c>
      <c r="FN68" s="47">
        <f t="array" ref="FN68">IF(AND(ISNUMBER(MATCH(FN$2, AsistenciaJetAdminConcatenada!$A:$A, 0)), ISNUMBER(MATCH(FN$1, AsistenciaJetAdminConcatenada!$B:$B, 0)), ISNUMBER(SEARCH($A68,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ISNUMBER(SEARCH($A68, INDEX(AsistenciaJetAdminConcatenada!$D:$D, MATCH(1, (AsistenciaJetAdminConcatenada!$A:$A=FN$2)*(AsistenciaJetAdminConcatenada!$B:$B=FN$1), 0)), 1))),  0.5, 0))</f>
        <v>0</v>
      </c>
      <c r="FO68" s="47">
        <f t="array" ref="FO68">IF(AND(ISNUMBER(MATCH(FO$2, AsistenciaJetAdminConcatenada!$A:$A, 0)), ISNUMBER(MATCH(FO$1, AsistenciaJetAdminConcatenada!$B:$B, 0)), ISNUMBER(SEARCH($A68,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ISNUMBER(SEARCH($A68, INDEX(AsistenciaJetAdminConcatenada!$D:$D, MATCH(1, (AsistenciaJetAdminConcatenada!$A:$A=FO$2)*(AsistenciaJetAdminConcatenada!$B:$B=FO$1), 0)), 1))),  0.5, 0))</f>
        <v>0</v>
      </c>
      <c r="FP68" s="47">
        <f t="array" ref="FP68">IF(AND(ISNUMBER(MATCH(FP$2, AsistenciaJetAdminConcatenada!$A:$A, 0)), ISNUMBER(MATCH(FP$1, AsistenciaJetAdminConcatenada!$B:$B, 0)), ISNUMBER(SEARCH($A68,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ISNUMBER(SEARCH($A68, INDEX(AsistenciaJetAdminConcatenada!$D:$D, MATCH(1, (AsistenciaJetAdminConcatenada!$A:$A=FP$2)*(AsistenciaJetAdminConcatenada!$B:$B=FP$1), 0)), 1))),  0.5, 0))</f>
        <v>0</v>
      </c>
      <c r="FQ68" s="47">
        <f t="array" ref="FQ68">IF(AND(ISNUMBER(MATCH(FQ$2, AsistenciaJetAdminConcatenada!$A:$A, 0)), ISNUMBER(MATCH(FQ$1, AsistenciaJetAdminConcatenada!$B:$B, 0)), ISNUMBER(SEARCH($A68,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ISNUMBER(SEARCH($A68, INDEX(AsistenciaJetAdminConcatenada!$D:$D, MATCH(1, (AsistenciaJetAdminConcatenada!$A:$A=FQ$2)*(AsistenciaJetAdminConcatenada!$B:$B=FQ$1), 0)), 1))),  0.5, 0))</f>
        <v>0</v>
      </c>
      <c r="FR68" s="47">
        <f t="array" ref="FR68">IF(AND(ISNUMBER(MATCH(FR$2, AsistenciaJetAdminConcatenada!$A:$A, 0)), ISNUMBER(MATCH(FR$1, AsistenciaJetAdminConcatenada!$B:$B, 0)), ISNUMBER(SEARCH($A68,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ISNUMBER(SEARCH($A68, INDEX(AsistenciaJetAdminConcatenada!$D:$D, MATCH(1, (AsistenciaJetAdminConcatenada!$A:$A=FR$2)*(AsistenciaJetAdminConcatenada!$B:$B=FR$1), 0)), 1))),  0.5, 0))</f>
        <v>0</v>
      </c>
      <c r="FS68" s="47">
        <f t="array" ref="FS68">IF(AND(ISNUMBER(MATCH(FS$2, AsistenciaJetAdminConcatenada!$A:$A, 0)), ISNUMBER(MATCH(FS$1, AsistenciaJetAdminConcatenada!$B:$B, 0)), ISNUMBER(SEARCH($A68,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ISNUMBER(SEARCH($A68, INDEX(AsistenciaJetAdminConcatenada!$D:$D, MATCH(1, (AsistenciaJetAdminConcatenada!$A:$A=FS$2)*(AsistenciaJetAdminConcatenada!$B:$B=FS$1), 0)), 1))),  0.5, 0))</f>
        <v>0</v>
      </c>
      <c r="FT68" s="47">
        <f t="array" ref="FT68">IF(AND(ISNUMBER(MATCH(FT$2, AsistenciaJetAdminConcatenada!$A:$A, 0)), ISNUMBER(MATCH(FT$1, AsistenciaJetAdminConcatenada!$B:$B, 0)), ISNUMBER(SEARCH($A68,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ISNUMBER(SEARCH($A68, INDEX(AsistenciaJetAdminConcatenada!$D:$D, MATCH(1, (AsistenciaJetAdminConcatenada!$A:$A=FT$2)*(AsistenciaJetAdminConcatenada!$B:$B=FT$1), 0)), 1))),  0.5, 0))</f>
        <v>0</v>
      </c>
      <c r="FU68" s="47">
        <f t="array" ref="FU68">IF(AND(ISNUMBER(MATCH(FU$2, AsistenciaJetAdminConcatenada!$A:$A, 0)), ISNUMBER(MATCH(FU$1, AsistenciaJetAdminConcatenada!$B:$B, 0)), ISNUMBER(SEARCH($A68,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ISNUMBER(SEARCH($A68, INDEX(AsistenciaJetAdminConcatenada!$D:$D, MATCH(1, (AsistenciaJetAdminConcatenada!$A:$A=FU$2)*(AsistenciaJetAdminConcatenada!$B:$B=FU$1), 0)), 1))),  0.5, 0))</f>
        <v>0</v>
      </c>
      <c r="FV68" s="47">
        <f t="array" ref="FV68">IF(AND(ISNUMBER(MATCH(FV$2, AsistenciaJetAdminConcatenada!$A:$A, 0)), ISNUMBER(MATCH(FV$1, AsistenciaJetAdminConcatenada!$B:$B, 0)), ISNUMBER(SEARCH($A68,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ISNUMBER(SEARCH($A68, INDEX(AsistenciaJetAdminConcatenada!$D:$D, MATCH(1, (AsistenciaJetAdminConcatenada!$A:$A=FV$2)*(AsistenciaJetAdminConcatenada!$B:$B=FV$1), 0)), 1))),  0.5, 0))</f>
        <v>0</v>
      </c>
      <c r="FW68" s="47">
        <f t="array" ref="FW68">IF(AND(ISNUMBER(MATCH(FW$2, AsistenciaJetAdminConcatenada!$A:$A, 0)), ISNUMBER(MATCH(FW$1, AsistenciaJetAdminConcatenada!$B:$B, 0)), ISNUMBER(SEARCH($A68,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ISNUMBER(SEARCH($A68, INDEX(AsistenciaJetAdminConcatenada!$D:$D, MATCH(1, (AsistenciaJetAdminConcatenada!$A:$A=FW$2)*(AsistenciaJetAdminConcatenada!$B:$B=FW$1), 0)), 1))),  0.5, 0))</f>
        <v>0</v>
      </c>
      <c r="FX68" s="47">
        <f t="array" ref="FX68">IF(AND(ISNUMBER(MATCH(FX$2, AsistenciaJetAdminConcatenada!$A:$A, 0)), ISNUMBER(MATCH(FX$1, AsistenciaJetAdminConcatenada!$B:$B, 0)), ISNUMBER(SEARCH($A68,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ISNUMBER(SEARCH($A68, INDEX(AsistenciaJetAdminConcatenada!$D:$D, MATCH(1, (AsistenciaJetAdminConcatenada!$A:$A=FX$2)*(AsistenciaJetAdminConcatenada!$B:$B=FX$1), 0)), 1))),  0.5, 0))</f>
        <v>0</v>
      </c>
      <c r="FY68" s="47">
        <f t="array" ref="FY68">IF(AND(ISNUMBER(MATCH(FY$2, AsistenciaJetAdminConcatenada!$A:$A, 0)), ISNUMBER(MATCH(FY$1, AsistenciaJetAdminConcatenada!$B:$B, 0)), ISNUMBER(SEARCH($A68,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ISNUMBER(SEARCH($A68, INDEX(AsistenciaJetAdminConcatenada!$D:$D, MATCH(1, (AsistenciaJetAdminConcatenada!$A:$A=FY$2)*(AsistenciaJetAdminConcatenada!$B:$B=FY$1), 0)), 1))),  0.5, 0))</f>
        <v>0</v>
      </c>
      <c r="FZ68" s="47">
        <f t="array" ref="FZ68">IF(AND(ISNUMBER(MATCH(FZ$2, AsistenciaJetAdminConcatenada!$A:$A, 0)), ISNUMBER(MATCH(FZ$1, AsistenciaJetAdminConcatenada!$B:$B, 0)), ISNUMBER(SEARCH($A68,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ISNUMBER(SEARCH($A68, INDEX(AsistenciaJetAdminConcatenada!$D:$D, MATCH(1, (AsistenciaJetAdminConcatenada!$A:$A=FZ$2)*(AsistenciaJetAdminConcatenada!$B:$B=FZ$1), 0)), 1))),  0.5, 0))</f>
        <v>0</v>
      </c>
      <c r="GA68" s="47">
        <f t="array" ref="GA68">IF(AND(ISNUMBER(MATCH(GA$2, AsistenciaJetAdminConcatenada!$A:$A, 0)), ISNUMBER(MATCH(GA$1, AsistenciaJetAdminConcatenada!$B:$B, 0)), ISNUMBER(SEARCH($A68,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ISNUMBER(SEARCH($A68, INDEX(AsistenciaJetAdminConcatenada!$D:$D, MATCH(1, (AsistenciaJetAdminConcatenada!$A:$A=GA$2)*(AsistenciaJetAdminConcatenada!$B:$B=GA$1), 0)), 1))),  0.5, 0))</f>
        <v>0</v>
      </c>
      <c r="GB68" s="47">
        <f t="array" ref="GB68">IF(AND(ISNUMBER(MATCH(GB$2, AsistenciaJetAdminConcatenada!$A:$A, 0)), ISNUMBER(MATCH(GB$1, AsistenciaJetAdminConcatenada!$B:$B, 0)), ISNUMBER(SEARCH($A68,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ISNUMBER(SEARCH($A68, INDEX(AsistenciaJetAdminConcatenada!$D:$D, MATCH(1, (AsistenciaJetAdminConcatenada!$A:$A=GB$2)*(AsistenciaJetAdminConcatenada!$B:$B=GB$1), 0)), 1))),  0.5, 0))</f>
        <v>0</v>
      </c>
      <c r="GC68" s="47">
        <f t="array" ref="GC68">IF(AND(ISNUMBER(MATCH(GC$2, AsistenciaJetAdminConcatenada!$A:$A, 0)), ISNUMBER(MATCH(GC$1, AsistenciaJetAdminConcatenada!$B:$B, 0)), ISNUMBER(SEARCH($A68,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ISNUMBER(SEARCH($A68, INDEX(AsistenciaJetAdminConcatenada!$D:$D, MATCH(1, (AsistenciaJetAdminConcatenada!$A:$A=GC$2)*(AsistenciaJetAdminConcatenada!$B:$B=GC$1), 0)), 1))),  0.5, 0))</f>
        <v>0</v>
      </c>
      <c r="GD68" s="47">
        <f t="array" ref="GD68">IF(AND(ISNUMBER(MATCH(GD$2, AsistenciaJetAdminConcatenada!$A:$A, 0)), ISNUMBER(MATCH(GD$1, AsistenciaJetAdminConcatenada!$B:$B, 0)), ISNUMBER(SEARCH($A68,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ISNUMBER(SEARCH($A68, INDEX(AsistenciaJetAdminConcatenada!$D:$D, MATCH(1, (AsistenciaJetAdminConcatenada!$A:$A=GD$2)*(AsistenciaJetAdminConcatenada!$B:$B=GD$1), 0)), 1))),  0.5, 0))</f>
        <v>0</v>
      </c>
      <c r="GE68" s="47">
        <f t="array" ref="GE68">IF(AND(ISNUMBER(MATCH(GE$2, AsistenciaJetAdminConcatenada!$A:$A, 0)), ISNUMBER(MATCH(GE$1, AsistenciaJetAdminConcatenada!$B:$B, 0)), ISNUMBER(SEARCH($A68,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ISNUMBER(SEARCH($A68, INDEX(AsistenciaJetAdminConcatenada!$D:$D, MATCH(1, (AsistenciaJetAdminConcatenada!$A:$A=GE$2)*(AsistenciaJetAdminConcatenada!$B:$B=GE$1), 0)), 1))),  0.5, 0))</f>
        <v>0</v>
      </c>
      <c r="GF68" s="47">
        <f t="array" ref="GF68">IF(AND(ISNUMBER(MATCH(GF$2, AsistenciaJetAdminConcatenada!$A:$A, 0)), ISNUMBER(MATCH(GF$1, AsistenciaJetAdminConcatenada!$B:$B, 0)), ISNUMBER(SEARCH($A68,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ISNUMBER(SEARCH($A68, INDEX(AsistenciaJetAdminConcatenada!$D:$D, MATCH(1, (AsistenciaJetAdminConcatenada!$A:$A=GF$2)*(AsistenciaJetAdminConcatenada!$B:$B=GF$1), 0)), 1))),  0.5, 0))</f>
        <v>0</v>
      </c>
      <c r="GG68" s="47">
        <f t="array" ref="GG68">IF(AND(ISNUMBER(MATCH(GG$2, AsistenciaJetAdminConcatenada!$A:$A, 0)), ISNUMBER(MATCH(GG$1, AsistenciaJetAdminConcatenada!$B:$B, 0)), ISNUMBER(SEARCH($A68,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ISNUMBER(SEARCH($A68, INDEX(AsistenciaJetAdminConcatenada!$D:$D, MATCH(1, (AsistenciaJetAdminConcatenada!$A:$A=GG$2)*(AsistenciaJetAdminConcatenada!$B:$B=GG$1), 0)), 1))),  0.5, 0))</f>
        <v>0</v>
      </c>
      <c r="GH68" s="47">
        <f t="array" ref="GH68">IF(AND(ISNUMBER(MATCH(GH$2, AsistenciaJetAdminConcatenada!$A:$A, 0)), ISNUMBER(MATCH(GH$1, AsistenciaJetAdminConcatenada!$B:$B, 0)), ISNUMBER(SEARCH($A68,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ISNUMBER(SEARCH($A68, INDEX(AsistenciaJetAdminConcatenada!$D:$D, MATCH(1, (AsistenciaJetAdminConcatenada!$A:$A=GH$2)*(AsistenciaJetAdminConcatenada!$B:$B=GH$1), 0)), 1))),  0.5, 0))</f>
        <v>0</v>
      </c>
      <c r="GI68" s="47">
        <f t="array" ref="GI68">IF(AND(ISNUMBER(MATCH(GI$2, AsistenciaJetAdminConcatenada!$A:$A, 0)), ISNUMBER(MATCH(GI$1, AsistenciaJetAdminConcatenada!$B:$B, 0)), ISNUMBER(SEARCH($A68,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ISNUMBER(SEARCH($A68, INDEX(AsistenciaJetAdminConcatenada!$D:$D, MATCH(1, (AsistenciaJetAdminConcatenada!$A:$A=GI$2)*(AsistenciaJetAdminConcatenada!$B:$B=GI$1), 0)), 1))),  0.5, 0))</f>
        <v>0</v>
      </c>
      <c r="GJ68" s="47">
        <f t="array" ref="GJ68">IF(AND(ISNUMBER(MATCH(GJ$2, AsistenciaJetAdminConcatenada!$A:$A, 0)), ISNUMBER(MATCH(GJ$1, AsistenciaJetAdminConcatenada!$B:$B, 0)), ISNUMBER(SEARCH($A68,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ISNUMBER(SEARCH($A68, INDEX(AsistenciaJetAdminConcatenada!$D:$D, MATCH(1, (AsistenciaJetAdminConcatenada!$A:$A=GJ$2)*(AsistenciaJetAdminConcatenada!$B:$B=GJ$1), 0)), 1))),  0.5, 0))</f>
        <v>0</v>
      </c>
      <c r="GK68" s="47">
        <f t="array" ref="GK68">IF(AND(ISNUMBER(MATCH(GK$2, AsistenciaJetAdminConcatenada!$A:$A, 0)), ISNUMBER(MATCH(GK$1, AsistenciaJetAdminConcatenada!$B:$B, 0)), ISNUMBER(SEARCH($A68,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ISNUMBER(SEARCH($A68, INDEX(AsistenciaJetAdminConcatenada!$D:$D, MATCH(1, (AsistenciaJetAdminConcatenada!$A:$A=GK$2)*(AsistenciaJetAdminConcatenada!$B:$B=GK$1), 0)), 1))),  0.5, 0))</f>
        <v>0</v>
      </c>
      <c r="GL68" s="47">
        <f t="array" ref="GL68">IF(AND(ISNUMBER(MATCH(GL$2, AsistenciaJetAdminConcatenada!$A:$A, 0)), ISNUMBER(MATCH(GL$1, AsistenciaJetAdminConcatenada!$B:$B, 0)), ISNUMBER(SEARCH($A68,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ISNUMBER(SEARCH($A68, INDEX(AsistenciaJetAdminConcatenada!$D:$D, MATCH(1, (AsistenciaJetAdminConcatenada!$A:$A=GL$2)*(AsistenciaJetAdminConcatenada!$B:$B=GL$1), 0)), 1))),  0.5, 0))</f>
        <v>0</v>
      </c>
      <c r="GM68" s="47">
        <f t="array" ref="GM68">IF(AND(ISNUMBER(MATCH(GM$2, AsistenciaJetAdminConcatenada!$A:$A, 0)), ISNUMBER(MATCH(GM$1, AsistenciaJetAdminConcatenada!$B:$B, 0)), ISNUMBER(SEARCH($A68,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ISNUMBER(SEARCH($A68, INDEX(AsistenciaJetAdminConcatenada!$D:$D, MATCH(1, (AsistenciaJetAdminConcatenada!$A:$A=GM$2)*(AsistenciaJetAdminConcatenada!$B:$B=GM$1), 0)), 1))),  0.5, 0))</f>
        <v>0</v>
      </c>
      <c r="GN68" s="47">
        <f t="array" ref="GN68">IF(AND(ISNUMBER(MATCH(GN$2, AsistenciaJetAdminConcatenada!$A:$A, 0)), ISNUMBER(MATCH(GN$1, AsistenciaJetAdminConcatenada!$B:$B, 0)), ISNUMBER(SEARCH($A68,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ISNUMBER(SEARCH($A68, INDEX(AsistenciaJetAdminConcatenada!$D:$D, MATCH(1, (AsistenciaJetAdminConcatenada!$A:$A=GN$2)*(AsistenciaJetAdminConcatenada!$B:$B=GN$1), 0)), 1))),  0.5, 0))</f>
        <v>0</v>
      </c>
      <c r="GO68" s="47">
        <f t="array" ref="GO68">IF(AND(ISNUMBER(MATCH(GO$2, AsistenciaJetAdminConcatenada!$A:$A, 0)), ISNUMBER(MATCH(GO$1, AsistenciaJetAdminConcatenada!$B:$B, 0)), ISNUMBER(SEARCH($A68,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ISNUMBER(SEARCH($A68, INDEX(AsistenciaJetAdminConcatenada!$D:$D, MATCH(1, (AsistenciaJetAdminConcatenada!$A:$A=GO$2)*(AsistenciaJetAdminConcatenada!$B:$B=GO$1), 0)), 1))),  0.5, 0))</f>
        <v>0</v>
      </c>
      <c r="GP68" s="47">
        <f t="array" ref="GP68">IF(AND(ISNUMBER(MATCH(GP$2, AsistenciaJetAdminConcatenada!$A:$A, 0)), ISNUMBER(MATCH(GP$1, AsistenciaJetAdminConcatenada!$B:$B, 0)), ISNUMBER(SEARCH($A68,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ISNUMBER(SEARCH($A68, INDEX(AsistenciaJetAdminConcatenada!$D:$D, MATCH(1, (AsistenciaJetAdminConcatenada!$A:$A=GP$2)*(AsistenciaJetAdminConcatenada!$B:$B=GP$1), 0)), 1))),  0.5, 0))</f>
        <v>0</v>
      </c>
      <c r="GQ68" s="47">
        <f t="array" ref="GQ68">IF(AND(ISNUMBER(MATCH(GQ$2, AsistenciaJetAdminConcatenada!$A:$A, 0)), ISNUMBER(MATCH(GQ$1, AsistenciaJetAdminConcatenada!$B:$B, 0)), ISNUMBER(SEARCH($A68,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ISNUMBER(SEARCH($A68, INDEX(AsistenciaJetAdminConcatenada!$D:$D, MATCH(1, (AsistenciaJetAdminConcatenada!$A:$A=GQ$2)*(AsistenciaJetAdminConcatenada!$B:$B=GQ$1), 0)), 1))),  0.5, 0))</f>
        <v>0</v>
      </c>
      <c r="GR68" s="47">
        <f t="array" ref="GR68">IF(AND(ISNUMBER(MATCH(GR$2, AsistenciaJetAdminConcatenada!$A:$A, 0)), ISNUMBER(MATCH(GR$1, AsistenciaJetAdminConcatenada!$B:$B, 0)), ISNUMBER(SEARCH($A68,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ISNUMBER(SEARCH($A68, INDEX(AsistenciaJetAdminConcatenada!$D:$D, MATCH(1, (AsistenciaJetAdminConcatenada!$A:$A=GR$2)*(AsistenciaJetAdminConcatenada!$B:$B=GR$1), 0)), 1))),  0.5, 0))</f>
        <v>0</v>
      </c>
      <c r="GS68" s="47">
        <f t="array" ref="GS68">IF(AND(ISNUMBER(MATCH(GS$2, AsistenciaJetAdminConcatenada!$A:$A, 0)), ISNUMBER(MATCH(GS$1, AsistenciaJetAdminConcatenada!$B:$B, 0)), ISNUMBER(SEARCH($A68,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ISNUMBER(SEARCH($A68, INDEX(AsistenciaJetAdminConcatenada!$D:$D, MATCH(1, (AsistenciaJetAdminConcatenada!$A:$A=GS$2)*(AsistenciaJetAdminConcatenada!$B:$B=GS$1), 0)), 1))),  0.5, 0))</f>
        <v>0</v>
      </c>
      <c r="GT68" s="47">
        <f t="array" ref="GT68">IF(AND(ISNUMBER(MATCH(GT$2, AsistenciaJetAdminConcatenada!$A:$A, 0)), ISNUMBER(MATCH(GT$1, AsistenciaJetAdminConcatenada!$B:$B, 0)), ISNUMBER(SEARCH($A68,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ISNUMBER(SEARCH($A68, INDEX(AsistenciaJetAdminConcatenada!$D:$D, MATCH(1, (AsistenciaJetAdminConcatenada!$A:$A=GT$2)*(AsistenciaJetAdminConcatenada!$B:$B=GT$1), 0)), 1))),  0.5, 0))</f>
        <v>0</v>
      </c>
      <c r="GU68" s="47">
        <f t="array" ref="GU68">IF(AND(ISNUMBER(MATCH(GU$2, AsistenciaJetAdminConcatenada!$A:$A, 0)), ISNUMBER(MATCH(GU$1, AsistenciaJetAdminConcatenada!$B:$B, 0)), ISNUMBER(SEARCH($A68,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ISNUMBER(SEARCH($A68, INDEX(AsistenciaJetAdminConcatenada!$D:$D, MATCH(1, (AsistenciaJetAdminConcatenada!$A:$A=GU$2)*(AsistenciaJetAdminConcatenada!$B:$B=GU$1), 0)), 1))),  0.5, 0))</f>
        <v>0</v>
      </c>
      <c r="GV68" s="47">
        <f t="array" ref="GV68">IF(AND(ISNUMBER(MATCH(GV$2, AsistenciaJetAdminConcatenada!$A:$A, 0)), ISNUMBER(MATCH(GV$1, AsistenciaJetAdminConcatenada!$B:$B, 0)), ISNUMBER(SEARCH($A68,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ISNUMBER(SEARCH($A68, INDEX(AsistenciaJetAdminConcatenada!$D:$D, MATCH(1, (AsistenciaJetAdminConcatenada!$A:$A=GV$2)*(AsistenciaJetAdminConcatenada!$B:$B=GV$1), 0)), 1))),  0.5, 0))</f>
        <v>0</v>
      </c>
      <c r="GW68" s="47">
        <f t="array" ref="GW68">IF(AND(ISNUMBER(MATCH(GW$2, AsistenciaJetAdminConcatenada!$A:$A, 0)), ISNUMBER(MATCH(GW$1, AsistenciaJetAdminConcatenada!$B:$B, 0)), ISNUMBER(SEARCH($A68,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ISNUMBER(SEARCH($A68, INDEX(AsistenciaJetAdminConcatenada!$D:$D, MATCH(1, (AsistenciaJetAdminConcatenada!$A:$A=GW$2)*(AsistenciaJetAdminConcatenada!$B:$B=GW$1), 0)), 1))),  0.5, 0))</f>
        <v>0</v>
      </c>
      <c r="GX68" s="47">
        <f t="array" ref="GX68">IF(AND(ISNUMBER(MATCH(GX$2, AsistenciaJetAdminConcatenada!$A:$A, 0)), ISNUMBER(MATCH(GX$1, AsistenciaJetAdminConcatenada!$B:$B, 0)), ISNUMBER(SEARCH($A68,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ISNUMBER(SEARCH($A68, INDEX(AsistenciaJetAdminConcatenada!$D:$D, MATCH(1, (AsistenciaJetAdminConcatenada!$A:$A=GX$2)*(AsistenciaJetAdminConcatenada!$B:$B=GX$1), 0)), 1))),  0.5, 0))</f>
        <v>0</v>
      </c>
      <c r="GY68" s="47">
        <f t="array" ref="GY68">IF(AND(ISNUMBER(MATCH(GY$2, AsistenciaJetAdminConcatenada!$A:$A, 0)), ISNUMBER(MATCH(GY$1, AsistenciaJetAdminConcatenada!$B:$B, 0)), ISNUMBER(SEARCH($A68,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ISNUMBER(SEARCH($A68, INDEX(AsistenciaJetAdminConcatenada!$D:$D, MATCH(1, (AsistenciaJetAdminConcatenada!$A:$A=GY$2)*(AsistenciaJetAdminConcatenada!$B:$B=GY$1), 0)), 1))),  0.5, 0))</f>
        <v>0</v>
      </c>
      <c r="GZ68" s="47">
        <f t="array" ref="GZ68">IF(AND(ISNUMBER(MATCH(GZ$2, AsistenciaJetAdminConcatenada!$A:$A, 0)), ISNUMBER(MATCH(GZ$1, AsistenciaJetAdminConcatenada!$B:$B, 0)), ISNUMBER(SEARCH($A68,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ISNUMBER(SEARCH($A68, INDEX(AsistenciaJetAdminConcatenada!$D:$D, MATCH(1, (AsistenciaJetAdminConcatenada!$A:$A=GZ$2)*(AsistenciaJetAdminConcatenada!$B:$B=GZ$1), 0)), 1))),  0.5, 0))</f>
        <v>0</v>
      </c>
      <c r="HA68" s="47">
        <f t="array" ref="HA68">IF(AND(ISNUMBER(MATCH(HA$2, AsistenciaJetAdminConcatenada!$A:$A, 0)), ISNUMBER(MATCH(HA$1, AsistenciaJetAdminConcatenada!$B:$B, 0)), ISNUMBER(SEARCH($A68,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ISNUMBER(SEARCH($A68, INDEX(AsistenciaJetAdminConcatenada!$D:$D, MATCH(1, (AsistenciaJetAdminConcatenada!$A:$A=HA$2)*(AsistenciaJetAdminConcatenada!$B:$B=HA$1), 0)), 1))),  0.5, 0))</f>
        <v>0</v>
      </c>
      <c r="HB68" s="47">
        <f t="array" ref="HB68">IF(AND(ISNUMBER(MATCH(HB$2, AsistenciaJetAdminConcatenada!$A:$A, 0)), ISNUMBER(MATCH(HB$1, AsistenciaJetAdminConcatenada!$B:$B, 0)), ISNUMBER(SEARCH($A68,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ISNUMBER(SEARCH($A68, INDEX(AsistenciaJetAdminConcatenada!$D:$D, MATCH(1, (AsistenciaJetAdminConcatenada!$A:$A=HB$2)*(AsistenciaJetAdminConcatenada!$B:$B=HB$1), 0)), 1))),  0.5, 0))</f>
        <v>0</v>
      </c>
      <c r="HC68" s="47">
        <f t="array" ref="HC68">IF(AND(ISNUMBER(MATCH(HC$2, AsistenciaJetAdminConcatenada!$A:$A, 0)), ISNUMBER(MATCH(HC$1, AsistenciaJetAdminConcatenada!$B:$B, 0)), ISNUMBER(SEARCH($A68,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ISNUMBER(SEARCH($A68, INDEX(AsistenciaJetAdminConcatenada!$D:$D, MATCH(1, (AsistenciaJetAdminConcatenada!$A:$A=HC$2)*(AsistenciaJetAdminConcatenada!$B:$B=HC$1), 0)), 1))),  0.5, 0))</f>
        <v>0</v>
      </c>
    </row>
    <row r="69" ht="29.25" customHeight="1">
      <c r="A69" s="3">
        <v>157.0</v>
      </c>
      <c r="B69" s="4" t="s">
        <v>312</v>
      </c>
      <c r="C69" s="47">
        <f>SUM(D69:HC69) + ActividadesEspeciales!C69</f>
        <v>78</v>
      </c>
      <c r="D69" s="47">
        <f t="array" ref="D69">IF(AND(ISNUMBER(MATCH(D$2, AsistenciaJetAdminConcatenada!$A:$A, 0)), ISNUMBER(MATCH(D$1, AsistenciaJetAdminConcatenada!$B:$B, 0)), ISNUMBER(SEARCH($A69,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ISNUMBER(SEARCH($A69, INDEX(AsistenciaJetAdminConcatenada!$D:$D, MATCH(1, (AsistenciaJetAdminConcatenada!$A:$A=D$2)*(AsistenciaJetAdminConcatenada!$B:$B=D$1), 0)), 1))),  0.5, 0))</f>
        <v>1</v>
      </c>
      <c r="E69" s="47">
        <f t="array" ref="E69">IF(AND(ISNUMBER(MATCH(E$2, AsistenciaJetAdminConcatenada!$A:$A, 0)), ISNUMBER(MATCH(E$1, AsistenciaJetAdminConcatenada!$B:$B, 0)), ISNUMBER(SEARCH($A69,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ISNUMBER(SEARCH($A69, INDEX(AsistenciaJetAdminConcatenada!$D:$D, MATCH(1, (AsistenciaJetAdminConcatenada!$A:$A=E$2)*(AsistenciaJetAdminConcatenada!$B:$B=E$1), 0)), 1))),  0.5, 0))</f>
        <v>1</v>
      </c>
      <c r="F69" s="47">
        <f t="array" ref="F69">IF(AND(ISNUMBER(MATCH(F$2, AsistenciaJetAdminConcatenada!$A:$A, 0)), ISNUMBER(MATCH(F$1, AsistenciaJetAdminConcatenada!$B:$B, 0)), ISNUMBER(SEARCH($A69,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ISNUMBER(SEARCH($A69, INDEX(AsistenciaJetAdminConcatenada!$D:$D, MATCH(1, (AsistenciaJetAdminConcatenada!$A:$A=F$2)*(AsistenciaJetAdminConcatenada!$B:$B=F$1), 0)), 1))),  0.5, 0))</f>
        <v>1</v>
      </c>
      <c r="G69" s="47">
        <f t="array" ref="G69">IF(AND(ISNUMBER(MATCH(G$2, AsistenciaJetAdminConcatenada!$A:$A, 0)), ISNUMBER(MATCH(G$1, AsistenciaJetAdminConcatenada!$B:$B, 0)), ISNUMBER(SEARCH($A69,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ISNUMBER(SEARCH($A69, INDEX(AsistenciaJetAdminConcatenada!$D:$D, MATCH(1, (AsistenciaJetAdminConcatenada!$A:$A=G$2)*(AsistenciaJetAdminConcatenada!$B:$B=G$1), 0)), 1))),  0.5, 0))</f>
        <v>1</v>
      </c>
      <c r="H69" s="47">
        <f t="array" ref="H69">IF(AND(ISNUMBER(MATCH(H$2, AsistenciaJetAdminConcatenada!$A:$A, 0)), ISNUMBER(MATCH(H$1, AsistenciaJetAdminConcatenada!$B:$B, 0)), ISNUMBER(SEARCH($A69,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ISNUMBER(SEARCH($A69, INDEX(AsistenciaJetAdminConcatenada!$D:$D, MATCH(1, (AsistenciaJetAdminConcatenada!$A:$A=H$2)*(AsistenciaJetAdminConcatenada!$B:$B=H$1), 0)), 1))),  0.5, 0))</f>
        <v>1</v>
      </c>
      <c r="I69" s="47">
        <f t="array" ref="I69">IF(AND(ISNUMBER(MATCH(I$2, AsistenciaJetAdminConcatenada!$A:$A, 0)), ISNUMBER(MATCH(I$1, AsistenciaJetAdminConcatenada!$B:$B, 0)), ISNUMBER(SEARCH($A69,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ISNUMBER(SEARCH($A69, INDEX(AsistenciaJetAdminConcatenada!$D:$D, MATCH(1, (AsistenciaJetAdminConcatenada!$A:$A=I$2)*(AsistenciaJetAdminConcatenada!$B:$B=I$1), 0)), 1))),  0.5, 0))</f>
        <v>1</v>
      </c>
      <c r="J69" s="47">
        <f t="array" ref="J69">IF(AND(ISNUMBER(MATCH(J$2, AsistenciaJetAdminConcatenada!$A:$A, 0)), ISNUMBER(MATCH(J$1, AsistenciaJetAdminConcatenada!$B:$B, 0)), ISNUMBER(SEARCH($A69,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ISNUMBER(SEARCH($A69, INDEX(AsistenciaJetAdminConcatenada!$D:$D, MATCH(1, (AsistenciaJetAdminConcatenada!$A:$A=J$2)*(AsistenciaJetAdminConcatenada!$B:$B=J$1), 0)), 1))),  0.5, 0))</f>
        <v>1</v>
      </c>
      <c r="K69" s="47">
        <f t="array" ref="K69">IF(AND(ISNUMBER(MATCH(K$2, AsistenciaJetAdminConcatenada!$A:$A, 0)), ISNUMBER(MATCH(K$1, AsistenciaJetAdminConcatenada!$B:$B, 0)), ISNUMBER(SEARCH($A69,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ISNUMBER(SEARCH($A69, INDEX(AsistenciaJetAdminConcatenada!$D:$D, MATCH(1, (AsistenciaJetAdminConcatenada!$A:$A=K$2)*(AsistenciaJetAdminConcatenada!$B:$B=K$1), 0)), 1))),  0.5, 0))</f>
        <v>1</v>
      </c>
      <c r="L69" s="47">
        <f t="array" ref="L69">IF(AND(ISNUMBER(MATCH(L$2, AsistenciaJetAdminConcatenada!$A:$A, 0)), ISNUMBER(MATCH(L$1, AsistenciaJetAdminConcatenada!$B:$B, 0)), ISNUMBER(SEARCH($A69,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ISNUMBER(SEARCH($A69, INDEX(AsistenciaJetAdminConcatenada!$D:$D, MATCH(1, (AsistenciaJetAdminConcatenada!$A:$A=L$2)*(AsistenciaJetAdminConcatenada!$B:$B=L$1), 0)), 1))),  0.5, 0))</f>
        <v>1</v>
      </c>
      <c r="M69" s="47">
        <f t="array" ref="M69">IF(AND(ISNUMBER(MATCH(M$2, AsistenciaJetAdminConcatenada!$A:$A, 0)), ISNUMBER(MATCH(M$1, AsistenciaJetAdminConcatenada!$B:$B, 0)), ISNUMBER(SEARCH($A69,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ISNUMBER(SEARCH($A69, INDEX(AsistenciaJetAdminConcatenada!$D:$D, MATCH(1, (AsistenciaJetAdminConcatenada!$A:$A=M$2)*(AsistenciaJetAdminConcatenada!$B:$B=M$1), 0)), 1))),  0.5, 0))</f>
        <v>1</v>
      </c>
      <c r="N69" s="47">
        <f t="array" ref="N69">IF(AND(ISNUMBER(MATCH(N$2, AsistenciaJetAdminConcatenada!$A:$A, 0)), ISNUMBER(MATCH(N$1, AsistenciaJetAdminConcatenada!$B:$B, 0)), ISNUMBER(SEARCH($A69,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ISNUMBER(SEARCH($A69, INDEX(AsistenciaJetAdminConcatenada!$D:$D, MATCH(1, (AsistenciaJetAdminConcatenada!$A:$A=N$2)*(AsistenciaJetAdminConcatenada!$B:$B=N$1), 0)), 1))),  0.5, 0))</f>
        <v>1</v>
      </c>
      <c r="O69" s="47">
        <f t="array" ref="O69">IF(AND(ISNUMBER(MATCH(O$2, AsistenciaJetAdminConcatenada!$A:$A, 0)), ISNUMBER(MATCH(O$1, AsistenciaJetAdminConcatenada!$B:$B, 0)), ISNUMBER(SEARCH($A69,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ISNUMBER(SEARCH($A69, INDEX(AsistenciaJetAdminConcatenada!$D:$D, MATCH(1, (AsistenciaJetAdminConcatenada!$A:$A=O$2)*(AsistenciaJetAdminConcatenada!$B:$B=O$1), 0)), 1))),  0.5, 0))</f>
        <v>1</v>
      </c>
      <c r="P69" s="47">
        <f t="array" ref="P69">IF(AND(ISNUMBER(MATCH(P$2, AsistenciaJetAdminConcatenada!$A:$A, 0)), ISNUMBER(MATCH(P$1, AsistenciaJetAdminConcatenada!$B:$B, 0)), ISNUMBER(SEARCH($A69, INDEX(AsistenciaJetAdminConcatenada!$C:$C, MATCH(1, (AsistenciaJetAdminConcatenada!$A:$A=P$2)*(AsistenciaJetAdminConcatenada!$B:$B=P$1), 0)), 1))), 1, IF(AND(ISNUMBER(MATCH(P$2, AsistenciaJetAdminConcatenada!$A:$A, 0)), ISNUMBER(MATCH(P$1, AsistenciaJetAdminConcatenada!$B:$B, 0)), ISNUMBER(SEARCH($A69, INDEX(AsistenciaJetAdminConcatenada!$D:$D, MATCH(1, (AsistenciaJetAdminConcatenada!$A:$A=P$2)*(AsistenciaJetAdminConcatenada!$B:$B=P$1), 0)), 1))),  0.5, 0))</f>
        <v>1</v>
      </c>
      <c r="Q69" s="47">
        <f t="array" ref="Q69">IF(AND(ISNUMBER(MATCH(Q$2, AsistenciaJetAdminConcatenada!$A:$A, 0)), ISNUMBER(MATCH(Q$1, AsistenciaJetAdminConcatenada!$B:$B, 0)), ISNUMBER(SEARCH($A69, INDEX(AsistenciaJetAdminConcatenada!$C:$C, MATCH(1, (AsistenciaJetAdminConcatenada!$A:$A=Q$2)*(AsistenciaJetAdminConcatenada!$B:$B=Q$1), 0)), 1))), 1, IF(AND(ISNUMBER(MATCH(Q$2, AsistenciaJetAdminConcatenada!$A:$A, 0)), ISNUMBER(MATCH(Q$1, AsistenciaJetAdminConcatenada!$B:$B, 0)), ISNUMBER(SEARCH($A69, INDEX(AsistenciaJetAdminConcatenada!$D:$D, MATCH(1, (AsistenciaJetAdminConcatenada!$A:$A=Q$2)*(AsistenciaJetAdminConcatenada!$B:$B=Q$1), 0)), 1))),  0.5, 0))</f>
        <v>1</v>
      </c>
      <c r="R69" s="47">
        <f t="array" ref="R69">IF(AND(ISNUMBER(MATCH(R$2, AsistenciaJetAdminConcatenada!$A:$A, 0)), ISNUMBER(MATCH(R$1, AsistenciaJetAdminConcatenada!$B:$B, 0)), ISNUMBER(SEARCH($A69,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ISNUMBER(SEARCH($A69, INDEX(AsistenciaJetAdminConcatenada!$D:$D, MATCH(1, (AsistenciaJetAdminConcatenada!$A:$A=R$2)*(AsistenciaJetAdminConcatenada!$B:$B=R$1), 0)), 1))),  0.5, 0))</f>
        <v>1</v>
      </c>
      <c r="S69" s="47">
        <f t="array" ref="S69">IF(AND(ISNUMBER(MATCH(S$2, AsistenciaJetAdminConcatenada!$A:$A, 0)), ISNUMBER(MATCH(S$1, AsistenciaJetAdminConcatenada!$B:$B, 0)), ISNUMBER(SEARCH($A69,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ISNUMBER(SEARCH($A69, INDEX(AsistenciaJetAdminConcatenada!$D:$D, MATCH(1, (AsistenciaJetAdminConcatenada!$A:$A=S$2)*(AsistenciaJetAdminConcatenada!$B:$B=S$1), 0)), 1))),  0.5, 0))</f>
        <v>1</v>
      </c>
      <c r="T69" s="47">
        <f t="array" ref="T69">IF(AND(ISNUMBER(MATCH(T$2, AsistenciaJetAdminConcatenada!$A:$A, 0)), ISNUMBER(MATCH(T$1, AsistenciaJetAdminConcatenada!$B:$B, 0)), ISNUMBER(SEARCH($A69,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ISNUMBER(SEARCH($A69, INDEX(AsistenciaJetAdminConcatenada!$D:$D, MATCH(1, (AsistenciaJetAdminConcatenada!$A:$A=T$2)*(AsistenciaJetAdminConcatenada!$B:$B=T$1), 0)), 1))),  0.5, 0))</f>
        <v>1</v>
      </c>
      <c r="U69" s="47">
        <f t="array" ref="U69">IF(AND(ISNUMBER(MATCH(U$2, AsistenciaJetAdminConcatenada!$A:$A, 0)), ISNUMBER(MATCH(U$1, AsistenciaJetAdminConcatenada!$B:$B, 0)), ISNUMBER(SEARCH($A69,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ISNUMBER(SEARCH($A69, INDEX(AsistenciaJetAdminConcatenada!$D:$D, MATCH(1, (AsistenciaJetAdminConcatenada!$A:$A=U$2)*(AsistenciaJetAdminConcatenada!$B:$B=U$1), 0)), 1))),  0.5, 0))</f>
        <v>0.5</v>
      </c>
      <c r="V69" s="47">
        <f t="array" ref="V69">IF(AND(ISNUMBER(MATCH(V$2, AsistenciaJetAdminConcatenada!$A:$A, 0)), ISNUMBER(MATCH(V$1, AsistenciaJetAdminConcatenada!$B:$B, 0)), ISNUMBER(SEARCH($A69,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ISNUMBER(SEARCH($A69, INDEX(AsistenciaJetAdminConcatenada!$D:$D, MATCH(1, (AsistenciaJetAdminConcatenada!$A:$A=V$2)*(AsistenciaJetAdminConcatenada!$B:$B=V$1), 0)), 1))),  0.5, 0))</f>
        <v>0</v>
      </c>
      <c r="W69" s="47">
        <f t="array" ref="W69">IF(AND(ISNUMBER(MATCH(W$2, AsistenciaJetAdminConcatenada!$A:$A, 0)), ISNUMBER(MATCH(W$1, AsistenciaJetAdminConcatenada!$B:$B, 0)), ISNUMBER(SEARCH($A69,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ISNUMBER(SEARCH($A69, INDEX(AsistenciaJetAdminConcatenada!$D:$D, MATCH(1, (AsistenciaJetAdminConcatenada!$A:$A=W$2)*(AsistenciaJetAdminConcatenada!$B:$B=W$1), 0)), 1))),  0.5, 0))</f>
        <v>1</v>
      </c>
      <c r="X69" s="47">
        <f t="array" ref="X69">IF(AND(ISNUMBER(MATCH(X$2, AsistenciaJetAdminConcatenada!$A:$A, 0)), ISNUMBER(MATCH(X$1, AsistenciaJetAdminConcatenada!$B:$B, 0)), ISNUMBER(SEARCH($A69,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ISNUMBER(SEARCH($A69, INDEX(AsistenciaJetAdminConcatenada!$D:$D, MATCH(1, (AsistenciaJetAdminConcatenada!$A:$A=X$2)*(AsistenciaJetAdminConcatenada!$B:$B=X$1), 0)), 1))),  0.5, 0))</f>
        <v>1</v>
      </c>
      <c r="Y69" s="47">
        <f t="array" ref="Y69">IF(AND(ISNUMBER(MATCH(Y$2, AsistenciaJetAdminConcatenada!$A:$A, 0)), ISNUMBER(MATCH(Y$1, AsistenciaJetAdminConcatenada!$B:$B, 0)), ISNUMBER(SEARCH($A69,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ISNUMBER(SEARCH($A69, INDEX(AsistenciaJetAdminConcatenada!$D:$D, MATCH(1, (AsistenciaJetAdminConcatenada!$A:$A=Y$2)*(AsistenciaJetAdminConcatenada!$B:$B=Y$1), 0)), 1))),  0.5, 0))</f>
        <v>1</v>
      </c>
      <c r="Z69" s="47">
        <f t="array" ref="Z69">IF(AND(ISNUMBER(MATCH(Z$2, AsistenciaJetAdminConcatenada!$A:$A, 0)), ISNUMBER(MATCH(Z$1, AsistenciaJetAdminConcatenada!$B:$B, 0)), ISNUMBER(SEARCH($A69,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ISNUMBER(SEARCH($A69, INDEX(AsistenciaJetAdminConcatenada!$D:$D, MATCH(1, (AsistenciaJetAdminConcatenada!$A:$A=Z$2)*(AsistenciaJetAdminConcatenada!$B:$B=Z$1), 0)), 1))),  0.5, 0))</f>
        <v>0</v>
      </c>
      <c r="AA69" s="47">
        <f t="array" ref="AA69">IF(AND(ISNUMBER(MATCH(AA$2, AsistenciaJetAdminConcatenada!$A:$A, 0)), ISNUMBER(MATCH(AA$1, AsistenciaJetAdminConcatenada!$B:$B, 0)), ISNUMBER(SEARCH($A69,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ISNUMBER(SEARCH($A69, INDEX(AsistenciaJetAdminConcatenada!$D:$D, MATCH(1, (AsistenciaJetAdminConcatenada!$A:$A=AA$2)*(AsistenciaJetAdminConcatenada!$B:$B=AA$1), 0)), 1))),  0.5, 0))</f>
        <v>1</v>
      </c>
      <c r="AB69" s="47">
        <f t="array" ref="AB69">IF(AND(ISNUMBER(MATCH(AB$2, AsistenciaJetAdminConcatenada!$A:$A, 0)), ISNUMBER(MATCH(AB$1, AsistenciaJetAdminConcatenada!$B:$B, 0)), ISNUMBER(SEARCH($A69,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ISNUMBER(SEARCH($A69, INDEX(AsistenciaJetAdminConcatenada!$D:$D, MATCH(1, (AsistenciaJetAdminConcatenada!$A:$A=AB$2)*(AsistenciaJetAdminConcatenada!$B:$B=AB$1), 0)), 1))),  0.5, 0))</f>
        <v>1</v>
      </c>
      <c r="AC69" s="47">
        <f t="array" ref="AC69">IF(AND(ISNUMBER(MATCH(AC$2, AsistenciaJetAdminConcatenada!$A:$A, 0)), ISNUMBER(MATCH(AC$1, AsistenciaJetAdminConcatenada!$B:$B, 0)), ISNUMBER(SEARCH($A69,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ISNUMBER(SEARCH($A69, INDEX(AsistenciaJetAdminConcatenada!$D:$D, MATCH(1, (AsistenciaJetAdminConcatenada!$A:$A=AC$2)*(AsistenciaJetAdminConcatenada!$B:$B=AC$1), 0)), 1))),  0.5, 0))</f>
        <v>1</v>
      </c>
      <c r="AD69" s="47">
        <f t="array" ref="AD69">IF(AND(ISNUMBER(MATCH(AD$2, AsistenciaJetAdminConcatenada!$A:$A, 0)), ISNUMBER(MATCH(AD$1, AsistenciaJetAdminConcatenada!$B:$B, 0)), ISNUMBER(SEARCH($A69,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ISNUMBER(SEARCH($A69, INDEX(AsistenciaJetAdminConcatenada!$D:$D, MATCH(1, (AsistenciaJetAdminConcatenada!$A:$A=AD$2)*(AsistenciaJetAdminConcatenada!$B:$B=AD$1), 0)), 1))),  0.5, 0))</f>
        <v>1</v>
      </c>
      <c r="AE69" s="47">
        <f t="array" ref="AE69">IF(AND(ISNUMBER(MATCH(AE$2, AsistenciaJetAdminConcatenada!$A:$A, 0)), ISNUMBER(MATCH(AE$1, AsistenciaJetAdminConcatenada!$B:$B, 0)), ISNUMBER(SEARCH($A69,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ISNUMBER(SEARCH($A69, INDEX(AsistenciaJetAdminConcatenada!$D:$D, MATCH(1, (AsistenciaJetAdminConcatenada!$A:$A=AE$2)*(AsistenciaJetAdminConcatenada!$B:$B=AE$1), 0)), 1))),  0.5, 0))</f>
        <v>1</v>
      </c>
      <c r="AF69" s="47">
        <f t="array" ref="AF69">IF(AND(ISNUMBER(MATCH(AF$2, AsistenciaJetAdminConcatenada!$A:$A, 0)), ISNUMBER(MATCH(AF$1, AsistenciaJetAdminConcatenada!$B:$B, 0)), ISNUMBER(SEARCH($A69,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ISNUMBER(SEARCH($A69, INDEX(AsistenciaJetAdminConcatenada!$D:$D, MATCH(1, (AsistenciaJetAdminConcatenada!$A:$A=AF$2)*(AsistenciaJetAdminConcatenada!$B:$B=AF$1), 0)), 1))),  0.5, 0))</f>
        <v>0</v>
      </c>
      <c r="AG69" s="47">
        <f t="array" ref="AG69">IF(AND(ISNUMBER(MATCH(AG$2, AsistenciaJetAdminConcatenada!$A:$A, 0)), ISNUMBER(MATCH(AG$1, AsistenciaJetAdminConcatenada!$B:$B, 0)), ISNUMBER(SEARCH($A69,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ISNUMBER(SEARCH($A69, INDEX(AsistenciaJetAdminConcatenada!$D:$D, MATCH(1, (AsistenciaJetAdminConcatenada!$A:$A=AG$2)*(AsistenciaJetAdminConcatenada!$B:$B=AG$1), 0)), 1))),  0.5, 0))</f>
        <v>0.5</v>
      </c>
      <c r="AH69" s="47">
        <f t="array" ref="AH69">IF(AND(ISNUMBER(MATCH(AH$2, AsistenciaJetAdminConcatenada!$A:$A, 0)), ISNUMBER(MATCH(AH$1, AsistenciaJetAdminConcatenada!$B:$B, 0)), ISNUMBER(SEARCH($A69,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ISNUMBER(SEARCH($A69, INDEX(AsistenciaJetAdminConcatenada!$D:$D, MATCH(1, (AsistenciaJetAdminConcatenada!$A:$A=AH$2)*(AsistenciaJetAdminConcatenada!$B:$B=AH$1), 0)), 1))),  0.5, 0))</f>
        <v>0</v>
      </c>
      <c r="AI69" s="47">
        <f t="array" ref="AI69">IF(AND(ISNUMBER(MATCH(AI$2, AsistenciaJetAdminConcatenada!$A:$A, 0)), ISNUMBER(MATCH(AI$1, AsistenciaJetAdminConcatenada!$B:$B, 0)), ISNUMBER(SEARCH($A69,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ISNUMBER(SEARCH($A69, INDEX(AsistenciaJetAdminConcatenada!$D:$D, MATCH(1, (AsistenciaJetAdminConcatenada!$A:$A=AI$2)*(AsistenciaJetAdminConcatenada!$B:$B=AI$1), 0)), 1))),  0.5, 0))</f>
        <v>1</v>
      </c>
      <c r="AJ69" s="47">
        <f t="array" ref="AJ69">IF(AND(ISNUMBER(MATCH(AJ$2, AsistenciaJetAdminConcatenada!$A:$A, 0)), ISNUMBER(MATCH(AJ$1, AsistenciaJetAdminConcatenada!$B:$B, 0)), ISNUMBER(SEARCH($A69,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ISNUMBER(SEARCH($A69, INDEX(AsistenciaJetAdminConcatenada!$D:$D, MATCH(1, (AsistenciaJetAdminConcatenada!$A:$A=AJ$2)*(AsistenciaJetAdminConcatenada!$B:$B=AJ$1), 0)), 1))),  0.5, 0))</f>
        <v>1</v>
      </c>
      <c r="AK69" s="47">
        <f t="array" ref="AK69">IF(AND(ISNUMBER(MATCH(AK$2, AsistenciaJetAdminConcatenada!$A:$A, 0)), ISNUMBER(MATCH(AK$1, AsistenciaJetAdminConcatenada!$B:$B, 0)), ISNUMBER(SEARCH($A69,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ISNUMBER(SEARCH($A69, INDEX(AsistenciaJetAdminConcatenada!$D:$D, MATCH(1, (AsistenciaJetAdminConcatenada!$A:$A=AK$2)*(AsistenciaJetAdminConcatenada!$B:$B=AK$1), 0)), 1))),  0.5, 0))</f>
        <v>1</v>
      </c>
      <c r="AL69" s="47">
        <f t="array" ref="AL69">IF(AND(ISNUMBER(MATCH(AL$2, AsistenciaJetAdminConcatenada!$A:$A, 0)), ISNUMBER(MATCH(AL$1, AsistenciaJetAdminConcatenada!$B:$B, 0)), ISNUMBER(SEARCH($A69,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ISNUMBER(SEARCH($A69, INDEX(AsistenciaJetAdminConcatenada!$D:$D, MATCH(1, (AsistenciaJetAdminConcatenada!$A:$A=AL$2)*(AsistenciaJetAdminConcatenada!$B:$B=AL$1), 0)), 1))),  0.5, 0))</f>
        <v>1</v>
      </c>
      <c r="AM69" s="47">
        <f t="array" ref="AM69">IF(AND(ISNUMBER(MATCH(AM$2, AsistenciaJetAdminConcatenada!$A:$A, 0)), ISNUMBER(MATCH(AM$1, AsistenciaJetAdminConcatenada!$B:$B, 0)), ISNUMBER(SEARCH($A69,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ISNUMBER(SEARCH($A69, INDEX(AsistenciaJetAdminConcatenada!$D:$D, MATCH(1, (AsistenciaJetAdminConcatenada!$A:$A=AM$2)*(AsistenciaJetAdminConcatenada!$B:$B=AM$1), 0)), 1))),  0.5, 0))</f>
        <v>0</v>
      </c>
      <c r="AN69" s="47">
        <f t="array" ref="AN69">IF(AND(ISNUMBER(MATCH(AN$2, AsistenciaJetAdminConcatenada!$A:$A, 0)), ISNUMBER(MATCH(AN$1, AsistenciaJetAdminConcatenada!$B:$B, 0)), ISNUMBER(SEARCH($A69,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ISNUMBER(SEARCH($A69, INDEX(AsistenciaJetAdminConcatenada!$D:$D, MATCH(1, (AsistenciaJetAdminConcatenada!$A:$A=AN$2)*(AsistenciaJetAdminConcatenada!$B:$B=AN$1), 0)), 1))),  0.5, 0))</f>
        <v>0</v>
      </c>
      <c r="AO69" s="47">
        <f t="array" ref="AO69">IF(AND(ISNUMBER(MATCH(AO$2, AsistenciaJetAdminConcatenada!$A:$A, 0)), ISNUMBER(MATCH(AO$1, AsistenciaJetAdminConcatenada!$B:$B, 0)), ISNUMBER(SEARCH($A69,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ISNUMBER(SEARCH($A69, INDEX(AsistenciaJetAdminConcatenada!$D:$D, MATCH(1, (AsistenciaJetAdminConcatenada!$A:$A=AO$2)*(AsistenciaJetAdminConcatenada!$B:$B=AO$1), 0)), 1))),  0.5, 0))</f>
        <v>1</v>
      </c>
      <c r="AP69" s="47">
        <f t="array" ref="AP69">IF(AND(ISNUMBER(MATCH(AP$2, AsistenciaJetAdminConcatenada!$A:$A, 0)), ISNUMBER(MATCH(AP$1, AsistenciaJetAdminConcatenada!$B:$B, 0)), ISNUMBER(SEARCH($A69,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ISNUMBER(SEARCH($A69, INDEX(AsistenciaJetAdminConcatenada!$D:$D, MATCH(1, (AsistenciaJetAdminConcatenada!$A:$A=AP$2)*(AsistenciaJetAdminConcatenada!$B:$B=AP$1), 0)), 1))),  0.5, 0))</f>
        <v>1</v>
      </c>
      <c r="AQ69" s="47">
        <f t="array" ref="AQ69">IF(AND(ISNUMBER(MATCH(AQ$2, AsistenciaJetAdminConcatenada!$A:$A, 0)), ISNUMBER(MATCH(AQ$1, AsistenciaJetAdminConcatenada!$B:$B, 0)), ISNUMBER(SEARCH($A69,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ISNUMBER(SEARCH($A69, INDEX(AsistenciaJetAdminConcatenada!$D:$D, MATCH(1, (AsistenciaJetAdminConcatenada!$A:$A=AQ$2)*(AsistenciaJetAdminConcatenada!$B:$B=AQ$1), 0)), 1))),  0.5, 0))</f>
        <v>0</v>
      </c>
      <c r="AR69" s="47">
        <f t="array" ref="AR69">IF(AND(ISNUMBER(MATCH(AR$2, AsistenciaJetAdminConcatenada!$A:$A, 0)), ISNUMBER(MATCH(AR$1, AsistenciaJetAdminConcatenada!$B:$B, 0)), ISNUMBER(SEARCH($A69,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ISNUMBER(SEARCH($A69, INDEX(AsistenciaJetAdminConcatenada!$D:$D, MATCH(1, (AsistenciaJetAdminConcatenada!$A:$A=AR$2)*(AsistenciaJetAdminConcatenada!$B:$B=AR$1), 0)), 1))),  0.5, 0))</f>
        <v>0</v>
      </c>
      <c r="AS69" s="47">
        <f t="array" ref="AS69">IF(AND(ISNUMBER(MATCH(AS$2, AsistenciaJetAdminConcatenada!$A:$A, 0)), ISNUMBER(MATCH(AS$1, AsistenciaJetAdminConcatenada!$B:$B, 0)), ISNUMBER(SEARCH($A69,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ISNUMBER(SEARCH($A69, INDEX(AsistenciaJetAdminConcatenada!$D:$D, MATCH(1, (AsistenciaJetAdminConcatenada!$A:$A=AS$2)*(AsistenciaJetAdminConcatenada!$B:$B=AS$1), 0)), 1))),  0.5, 0))</f>
        <v>1</v>
      </c>
      <c r="AT69" s="47">
        <f t="array" ref="AT69">IF(AND(ISNUMBER(MATCH(AT$2, AsistenciaJetAdminConcatenada!$A:$A, 0)), ISNUMBER(MATCH(AT$1, AsistenciaJetAdminConcatenada!$B:$B, 0)), ISNUMBER(SEARCH($A69,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ISNUMBER(SEARCH($A69, INDEX(AsistenciaJetAdminConcatenada!$D:$D, MATCH(1, (AsistenciaJetAdminConcatenada!$A:$A=AT$2)*(AsistenciaJetAdminConcatenada!$B:$B=AT$1), 0)), 1))),  0.5, 0))</f>
        <v>0</v>
      </c>
      <c r="AU69" s="47">
        <f t="array" ref="AU69">IF(AND(ISNUMBER(MATCH(AU$2, AsistenciaJetAdminConcatenada!$A:$A, 0)), ISNUMBER(MATCH(AU$1, AsistenciaJetAdminConcatenada!$B:$B, 0)), ISNUMBER(SEARCH($A69,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ISNUMBER(SEARCH($A69, INDEX(AsistenciaJetAdminConcatenada!$D:$D, MATCH(1, (AsistenciaJetAdminConcatenada!$A:$A=AU$2)*(AsistenciaJetAdminConcatenada!$B:$B=AU$1), 0)), 1))),  0.5, 0))</f>
        <v>1</v>
      </c>
      <c r="AV69" s="47">
        <f t="array" ref="AV69">IF(AND(ISNUMBER(MATCH(AV$2, AsistenciaJetAdminConcatenada!$A:$A, 0)), ISNUMBER(MATCH(AV$1, AsistenciaJetAdminConcatenada!$B:$B, 0)), ISNUMBER(SEARCH($A69,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ISNUMBER(SEARCH($A69, INDEX(AsistenciaJetAdminConcatenada!$D:$D, MATCH(1, (AsistenciaJetAdminConcatenada!$A:$A=AV$2)*(AsistenciaJetAdminConcatenada!$B:$B=AV$1), 0)), 1))),  0.5, 0))</f>
        <v>0</v>
      </c>
      <c r="AW69" s="47">
        <f t="array" ref="AW69">IF(AND(ISNUMBER(MATCH(AW$2, AsistenciaJetAdminConcatenada!$A:$A, 0)), ISNUMBER(MATCH(AW$1, AsistenciaJetAdminConcatenada!$B:$B, 0)), ISNUMBER(SEARCH($A69,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ISNUMBER(SEARCH($A69, INDEX(AsistenciaJetAdminConcatenada!$D:$D, MATCH(1, (AsistenciaJetAdminConcatenada!$A:$A=AW$2)*(AsistenciaJetAdminConcatenada!$B:$B=AW$1), 0)), 1))),  0.5, 0))</f>
        <v>1</v>
      </c>
      <c r="AX69" s="47">
        <f t="array" ref="AX69">IF(AND(ISNUMBER(MATCH(AX$2, AsistenciaJetAdminConcatenada!$A:$A, 0)), ISNUMBER(MATCH(AX$1, AsistenciaJetAdminConcatenada!$B:$B, 0)), ISNUMBER(SEARCH($A69,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ISNUMBER(SEARCH($A69, INDEX(AsistenciaJetAdminConcatenada!$D:$D, MATCH(1, (AsistenciaJetAdminConcatenada!$A:$A=AX$2)*(AsistenciaJetAdminConcatenada!$B:$B=AX$1), 0)), 1))),  0.5, 0))</f>
        <v>1</v>
      </c>
      <c r="AY69" s="47">
        <f t="array" ref="AY69">IF(AND(ISNUMBER(MATCH(AY$2, AsistenciaJetAdminConcatenada!$A:$A, 0)), ISNUMBER(MATCH(AY$1, AsistenciaJetAdminConcatenada!$B:$B, 0)), ISNUMBER(SEARCH($A69,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ISNUMBER(SEARCH($A69, INDEX(AsistenciaJetAdminConcatenada!$D:$D, MATCH(1, (AsistenciaJetAdminConcatenada!$A:$A=AY$2)*(AsistenciaJetAdminConcatenada!$B:$B=AY$1), 0)), 1))),  0.5, 0))</f>
        <v>1</v>
      </c>
      <c r="AZ69" s="47">
        <f t="array" ref="AZ69">IF(AND(ISNUMBER(MATCH(AZ$2, AsistenciaJetAdminConcatenada!$A:$A, 0)), ISNUMBER(MATCH(AZ$1, AsistenciaJetAdminConcatenada!$B:$B, 0)), ISNUMBER(SEARCH($A69,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ISNUMBER(SEARCH($A69, INDEX(AsistenciaJetAdminConcatenada!$D:$D, MATCH(1, (AsistenciaJetAdminConcatenada!$A:$A=AZ$2)*(AsistenciaJetAdminConcatenada!$B:$B=AZ$1), 0)), 1))),  0.5, 0))</f>
        <v>1</v>
      </c>
      <c r="BA69" s="47">
        <f t="array" ref="BA69">IF(AND(ISNUMBER(MATCH(BA$2, AsistenciaJetAdminConcatenada!$A:$A, 0)), ISNUMBER(MATCH(BA$1, AsistenciaJetAdminConcatenada!$B:$B, 0)), ISNUMBER(SEARCH($A69,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ISNUMBER(SEARCH($A69, INDEX(AsistenciaJetAdminConcatenada!$D:$D, MATCH(1, (AsistenciaJetAdminConcatenada!$A:$A=BA$2)*(AsistenciaJetAdminConcatenada!$B:$B=BA$1), 0)), 1))),  0.5, 0))</f>
        <v>1</v>
      </c>
      <c r="BB69" s="47">
        <f t="array" ref="BB69">IF(AND(ISNUMBER(MATCH(BB$2, AsistenciaJetAdminConcatenada!$A:$A, 0)), ISNUMBER(MATCH(BB$1, AsistenciaJetAdminConcatenada!$B:$B, 0)), ISNUMBER(SEARCH($A69,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ISNUMBER(SEARCH($A69, INDEX(AsistenciaJetAdminConcatenada!$D:$D, MATCH(1, (AsistenciaJetAdminConcatenada!$A:$A=BB$2)*(AsistenciaJetAdminConcatenada!$B:$B=BB$1), 0)), 1))),  0.5, 0))</f>
        <v>1</v>
      </c>
      <c r="BC69" s="47">
        <f t="array" ref="BC69">IF(AND(ISNUMBER(MATCH(BC$2, AsistenciaJetAdminConcatenada!$A:$A, 0)), ISNUMBER(MATCH(BC$1, AsistenciaJetAdminConcatenada!$B:$B, 0)), ISNUMBER(SEARCH($A69,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ISNUMBER(SEARCH($A69, INDEX(AsistenciaJetAdminConcatenada!$D:$D, MATCH(1, (AsistenciaJetAdminConcatenada!$A:$A=BC$2)*(AsistenciaJetAdminConcatenada!$B:$B=BC$1), 0)), 1))),  0.5, 0))</f>
        <v>1</v>
      </c>
      <c r="BD69" s="47">
        <f t="array" ref="BD69">IF(AND(ISNUMBER(MATCH(BD$2, AsistenciaJetAdminConcatenada!$A:$A, 0)), ISNUMBER(MATCH(BD$1, AsistenciaJetAdminConcatenada!$B:$B, 0)), ISNUMBER(SEARCH($A69,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ISNUMBER(SEARCH($A69, INDEX(AsistenciaJetAdminConcatenada!$D:$D, MATCH(1, (AsistenciaJetAdminConcatenada!$A:$A=BD$2)*(AsistenciaJetAdminConcatenada!$B:$B=BD$1), 0)), 1))),  0.5, 0))</f>
        <v>1</v>
      </c>
      <c r="BE69" s="47">
        <f t="array" ref="BE69">IF(AND(ISNUMBER(MATCH(BE$2, AsistenciaJetAdminConcatenada!$A:$A, 0)), ISNUMBER(MATCH(BE$1, AsistenciaJetAdminConcatenada!$B:$B, 0)), ISNUMBER(SEARCH($A69,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ISNUMBER(SEARCH($A69, INDEX(AsistenciaJetAdminConcatenada!$D:$D, MATCH(1, (AsistenciaJetAdminConcatenada!$A:$A=BE$2)*(AsistenciaJetAdminConcatenada!$B:$B=BE$1), 0)), 1))),  0.5, 0))</f>
        <v>1</v>
      </c>
      <c r="BF69" s="47">
        <f t="array" ref="BF69">IF(AND(ISNUMBER(MATCH(BF$2, AsistenciaJetAdminConcatenada!$A:$A, 0)), ISNUMBER(MATCH(BF$1, AsistenciaJetAdminConcatenada!$B:$B, 0)), ISNUMBER(SEARCH($A69,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ISNUMBER(SEARCH($A69, INDEX(AsistenciaJetAdminConcatenada!$D:$D, MATCH(1, (AsistenciaJetAdminConcatenada!$A:$A=BF$2)*(AsistenciaJetAdminConcatenada!$B:$B=BF$1), 0)), 1))),  0.5, 0))</f>
        <v>0</v>
      </c>
      <c r="BG69" s="47">
        <f t="array" ref="BG69">IF(AND(ISNUMBER(MATCH(BG$2, AsistenciaJetAdminConcatenada!$A:$A, 0)), ISNUMBER(MATCH(BG$1, AsistenciaJetAdminConcatenada!$B:$B, 0)), ISNUMBER(SEARCH($A69,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ISNUMBER(SEARCH($A69, INDEX(AsistenciaJetAdminConcatenada!$D:$D, MATCH(1, (AsistenciaJetAdminConcatenada!$A:$A=BG$2)*(AsistenciaJetAdminConcatenada!$B:$B=BG$1), 0)), 1))),  0.5, 0))</f>
        <v>1</v>
      </c>
      <c r="BH69" s="47">
        <f t="array" ref="BH69">IF(AND(ISNUMBER(MATCH(BH$2, AsistenciaJetAdminConcatenada!$A:$A, 0)), ISNUMBER(MATCH(BH$1, AsistenciaJetAdminConcatenada!$B:$B, 0)), ISNUMBER(SEARCH($A69,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ISNUMBER(SEARCH($A69, INDEX(AsistenciaJetAdminConcatenada!$D:$D, MATCH(1, (AsistenciaJetAdminConcatenada!$A:$A=BH$2)*(AsistenciaJetAdminConcatenada!$B:$B=BH$1), 0)), 1))),  0.5, 0))</f>
        <v>1</v>
      </c>
      <c r="BI69" s="47">
        <f t="array" ref="BI69">IF(AND(ISNUMBER(MATCH(BI$2, AsistenciaJetAdminConcatenada!$A:$A, 0)), ISNUMBER(MATCH(BI$1, AsistenciaJetAdminConcatenada!$B:$B, 0)), ISNUMBER(SEARCH($A69,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ISNUMBER(SEARCH($A69, INDEX(AsistenciaJetAdminConcatenada!$D:$D, MATCH(1, (AsistenciaJetAdminConcatenada!$A:$A=BI$2)*(AsistenciaJetAdminConcatenada!$B:$B=BI$1), 0)), 1))),  0.5, 0))</f>
        <v>1</v>
      </c>
      <c r="BJ69" s="47">
        <f t="array" ref="BJ69">IF(AND(ISNUMBER(MATCH(BJ$2, AsistenciaJetAdminConcatenada!$A:$A, 0)), ISNUMBER(MATCH(BJ$1, AsistenciaJetAdminConcatenada!$B:$B, 0)), ISNUMBER(SEARCH($A69,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ISNUMBER(SEARCH($A69, INDEX(AsistenciaJetAdminConcatenada!$D:$D, MATCH(1, (AsistenciaJetAdminConcatenada!$A:$A=BJ$2)*(AsistenciaJetAdminConcatenada!$B:$B=BJ$1), 0)), 1))),  0.5, 0))</f>
        <v>1</v>
      </c>
      <c r="BK69" s="47">
        <f t="array" ref="BK69">IF(AND(ISNUMBER(MATCH(BK$2, AsistenciaJetAdminConcatenada!$A:$A, 0)), ISNUMBER(MATCH(BK$1, AsistenciaJetAdminConcatenada!$B:$B, 0)), ISNUMBER(SEARCH($A69,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ISNUMBER(SEARCH($A69, INDEX(AsistenciaJetAdminConcatenada!$D:$D, MATCH(1, (AsistenciaJetAdminConcatenada!$A:$A=BK$2)*(AsistenciaJetAdminConcatenada!$B:$B=BK$1), 0)), 1))),  0.5, 0))</f>
        <v>1</v>
      </c>
      <c r="BL69" s="47">
        <f t="array" ref="BL69">IF(AND(ISNUMBER(MATCH(BL$2, AsistenciaJetAdminConcatenada!$A:$A, 0)), ISNUMBER(MATCH(BL$1, AsistenciaJetAdminConcatenada!$B:$B, 0)), ISNUMBER(SEARCH($A69,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ISNUMBER(SEARCH($A69, INDEX(AsistenciaJetAdminConcatenada!$D:$D, MATCH(1, (AsistenciaJetAdminConcatenada!$A:$A=BL$2)*(AsistenciaJetAdminConcatenada!$B:$B=BL$1), 0)), 1))),  0.5, 0))</f>
        <v>1</v>
      </c>
      <c r="BM69" s="47">
        <f t="array" ref="BM69">IF(AND(ISNUMBER(MATCH(BM$2, AsistenciaJetAdminConcatenada!$A:$A, 0)), ISNUMBER(MATCH(BM$1, AsistenciaJetAdminConcatenada!$B:$B, 0)), ISNUMBER(SEARCH($A69,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ISNUMBER(SEARCH($A69, INDEX(AsistenciaJetAdminConcatenada!$D:$D, MATCH(1, (AsistenciaJetAdminConcatenada!$A:$A=BM$2)*(AsistenciaJetAdminConcatenada!$B:$B=BM$1), 0)), 1))),  0.5, 0))</f>
        <v>1</v>
      </c>
      <c r="BN69" s="47">
        <f t="array" ref="BN69">IF(AND(ISNUMBER(MATCH(BN$2, AsistenciaJetAdminConcatenada!$A:$A, 0)), ISNUMBER(MATCH(BN$1, AsistenciaJetAdminConcatenada!$B:$B, 0)), ISNUMBER(SEARCH($A69,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ISNUMBER(SEARCH($A69, INDEX(AsistenciaJetAdminConcatenada!$D:$D, MATCH(1, (AsistenciaJetAdminConcatenada!$A:$A=BN$2)*(AsistenciaJetAdminConcatenada!$B:$B=BN$1), 0)), 1))),  0.5, 0))</f>
        <v>1</v>
      </c>
      <c r="BO69" s="47">
        <f t="array" ref="BO69">IF(AND(ISNUMBER(MATCH(BO$2, AsistenciaJetAdminConcatenada!$A:$A, 0)), ISNUMBER(MATCH(BO$1, AsistenciaJetAdminConcatenada!$B:$B, 0)), ISNUMBER(SEARCH($A69,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ISNUMBER(SEARCH($A69, INDEX(AsistenciaJetAdminConcatenada!$D:$D, MATCH(1, (AsistenciaJetAdminConcatenada!$A:$A=BO$2)*(AsistenciaJetAdminConcatenada!$B:$B=BO$1), 0)), 1))),  0.5, 0))</f>
        <v>1</v>
      </c>
      <c r="BP69" s="47">
        <f t="array" ref="BP69">IF(AND(ISNUMBER(MATCH(BP$2, AsistenciaJetAdminConcatenada!$A:$A, 0)), ISNUMBER(MATCH(BP$1, AsistenciaJetAdminConcatenada!$B:$B, 0)), ISNUMBER(SEARCH($A69,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ISNUMBER(SEARCH($A69, INDEX(AsistenciaJetAdminConcatenada!$D:$D, MATCH(1, (AsistenciaJetAdminConcatenada!$A:$A=BP$2)*(AsistenciaJetAdminConcatenada!$B:$B=BP$1), 0)), 1))),  0.5, 0))</f>
        <v>1</v>
      </c>
      <c r="BQ69" s="47">
        <f t="array" ref="BQ69">IF(AND(ISNUMBER(MATCH(BQ$2, AsistenciaJetAdminConcatenada!$A:$A, 0)), ISNUMBER(MATCH(BQ$1, AsistenciaJetAdminConcatenada!$B:$B, 0)), ISNUMBER(SEARCH($A69,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ISNUMBER(SEARCH($A69, INDEX(AsistenciaJetAdminConcatenada!$D:$D, MATCH(1, (AsistenciaJetAdminConcatenada!$A:$A=BQ$2)*(AsistenciaJetAdminConcatenada!$B:$B=BQ$1), 0)), 1))),  0.5, 0))</f>
        <v>0</v>
      </c>
      <c r="BR69" s="47">
        <f t="array" ref="BR69">IF(AND(ISNUMBER(MATCH(BR$2, AsistenciaJetAdminConcatenada!$A:$A, 0)), ISNUMBER(MATCH(BR$1, AsistenciaJetAdminConcatenada!$B:$B, 0)), ISNUMBER(SEARCH($A69,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ISNUMBER(SEARCH($A69, INDEX(AsistenciaJetAdminConcatenada!$D:$D, MATCH(1, (AsistenciaJetAdminConcatenada!$A:$A=BR$2)*(AsistenciaJetAdminConcatenada!$B:$B=BR$1), 0)), 1))),  0.5, 0))</f>
        <v>1</v>
      </c>
      <c r="BS69" s="47">
        <f t="array" ref="BS69">IF(AND(ISNUMBER(MATCH(BS$2, AsistenciaJetAdminConcatenada!$A:$A, 0)), ISNUMBER(MATCH(BS$1, AsistenciaJetAdminConcatenada!$B:$B, 0)), ISNUMBER(SEARCH($A69,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ISNUMBER(SEARCH($A69, INDEX(AsistenciaJetAdminConcatenada!$D:$D, MATCH(1, (AsistenciaJetAdminConcatenada!$A:$A=BS$2)*(AsistenciaJetAdminConcatenada!$B:$B=BS$1), 0)), 1))),  0.5, 0))</f>
        <v>1</v>
      </c>
      <c r="BT69" s="47">
        <f t="array" ref="BT69">IF(AND(ISNUMBER(MATCH(BT$2, AsistenciaJetAdminConcatenada!$A:$A, 0)), ISNUMBER(MATCH(BT$1, AsistenciaJetAdminConcatenada!$B:$B, 0)), ISNUMBER(SEARCH($A69,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ISNUMBER(SEARCH($A69, INDEX(AsistenciaJetAdminConcatenada!$D:$D, MATCH(1, (AsistenciaJetAdminConcatenada!$A:$A=BT$2)*(AsistenciaJetAdminConcatenada!$B:$B=BT$1), 0)), 1))),  0.5, 0))</f>
        <v>1</v>
      </c>
      <c r="BU69" s="47">
        <f t="array" ref="BU69">IF(AND(ISNUMBER(MATCH(BU$2, AsistenciaJetAdminConcatenada!$A:$A, 0)), ISNUMBER(MATCH(BU$1, AsistenciaJetAdminConcatenada!$B:$B, 0)), ISNUMBER(SEARCH($A69,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ISNUMBER(SEARCH($A69, INDEX(AsistenciaJetAdminConcatenada!$D:$D, MATCH(1, (AsistenciaJetAdminConcatenada!$A:$A=BU$2)*(AsistenciaJetAdminConcatenada!$B:$B=BU$1), 0)), 1))),  0.5, 0))</f>
        <v>1</v>
      </c>
      <c r="BV69" s="47">
        <f t="array" ref="BV69">IF(AND(ISNUMBER(MATCH(BV$2, AsistenciaJetAdminConcatenada!$A:$A, 0)), ISNUMBER(MATCH(BV$1, AsistenciaJetAdminConcatenada!$B:$B, 0)), ISNUMBER(SEARCH($A69,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ISNUMBER(SEARCH($A69, INDEX(AsistenciaJetAdminConcatenada!$D:$D, MATCH(1, (AsistenciaJetAdminConcatenada!$A:$A=BV$2)*(AsistenciaJetAdminConcatenada!$B:$B=BV$1), 0)), 1))),  0.5, 0))</f>
        <v>0</v>
      </c>
      <c r="BW69" s="47">
        <f t="array" ref="BW69">IF(AND(ISNUMBER(MATCH(BW$2, AsistenciaJetAdminConcatenada!$A:$A, 0)), ISNUMBER(MATCH(BW$1, AsistenciaJetAdminConcatenada!$B:$B, 0)), ISNUMBER(SEARCH($A69,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ISNUMBER(SEARCH($A69, INDEX(AsistenciaJetAdminConcatenada!$D:$D, MATCH(1, (AsistenciaJetAdminConcatenada!$A:$A=BW$2)*(AsistenciaJetAdminConcatenada!$B:$B=BW$1), 0)), 1))),  0.5, 0))</f>
        <v>1</v>
      </c>
      <c r="BX69" s="47">
        <f t="array" ref="BX69">IF(AND(ISNUMBER(MATCH(BX$2, AsistenciaJetAdminConcatenada!$A:$A, 0)), ISNUMBER(MATCH(BX$1, AsistenciaJetAdminConcatenada!$B:$B, 0)), ISNUMBER(SEARCH($A69,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ISNUMBER(SEARCH($A69, INDEX(AsistenciaJetAdminConcatenada!$D:$D, MATCH(1, (AsistenciaJetAdminConcatenada!$A:$A=BX$2)*(AsistenciaJetAdminConcatenada!$B:$B=BX$1), 0)), 1))),  0.5, 0))</f>
        <v>0</v>
      </c>
      <c r="BY69" s="47">
        <f t="array" ref="BY69">IF(AND(ISNUMBER(MATCH(BY$2, AsistenciaJetAdminConcatenada!$A:$A, 0)), ISNUMBER(MATCH(BY$1, AsistenciaJetAdminConcatenada!$B:$B, 0)), ISNUMBER(SEARCH($A69,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ISNUMBER(SEARCH($A69, INDEX(AsistenciaJetAdminConcatenada!$D:$D, MATCH(1, (AsistenciaJetAdminConcatenada!$A:$A=BY$2)*(AsistenciaJetAdminConcatenada!$B:$B=BY$1), 0)), 1))),  0.5, 0))</f>
        <v>0</v>
      </c>
      <c r="BZ69" s="47">
        <f t="array" ref="BZ69">IF(AND(ISNUMBER(MATCH(BZ$2, AsistenciaJetAdminConcatenada!$A:$A, 0)), ISNUMBER(MATCH(BZ$1, AsistenciaJetAdminConcatenada!$B:$B, 0)), ISNUMBER(SEARCH($A69,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ISNUMBER(SEARCH($A69, INDEX(AsistenciaJetAdminConcatenada!$D:$D, MATCH(1, (AsistenciaJetAdminConcatenada!$A:$A=BZ$2)*(AsistenciaJetAdminConcatenada!$B:$B=BZ$1), 0)), 1))),  0.5, 0))</f>
        <v>1</v>
      </c>
      <c r="CA69" s="47">
        <f t="array" ref="CA69">IF(AND(ISNUMBER(MATCH(CA$2, AsistenciaJetAdminConcatenada!$A:$A, 0)), ISNUMBER(MATCH(CA$1, AsistenciaJetAdminConcatenada!$B:$B, 0)), ISNUMBER(SEARCH($A69,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ISNUMBER(SEARCH($A69, INDEX(AsistenciaJetAdminConcatenada!$D:$D, MATCH(1, (AsistenciaJetAdminConcatenada!$A:$A=CA$2)*(AsistenciaJetAdminConcatenada!$B:$B=CA$1), 0)), 1))),  0.5, 0))</f>
        <v>1</v>
      </c>
      <c r="CB69" s="47">
        <f t="array" ref="CB69">IF(AND(ISNUMBER(MATCH(CB$2, AsistenciaJetAdminConcatenada!$A:$A, 0)), ISNUMBER(MATCH(CB$1, AsistenciaJetAdminConcatenada!$B:$B, 0)), ISNUMBER(SEARCH($A69,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ISNUMBER(SEARCH($A69, INDEX(AsistenciaJetAdminConcatenada!$D:$D, MATCH(1, (AsistenciaJetAdminConcatenada!$A:$A=CB$2)*(AsistenciaJetAdminConcatenada!$B:$B=CB$1), 0)), 1))),  0.5, 0))</f>
        <v>0</v>
      </c>
      <c r="CC69" s="47">
        <f t="array" ref="CC69">IF(AND(ISNUMBER(MATCH(CC$2, AsistenciaJetAdminConcatenada!$A:$A, 0)), ISNUMBER(MATCH(CC$1, AsistenciaJetAdminConcatenada!$B:$B, 0)), ISNUMBER(SEARCH($A69,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ISNUMBER(SEARCH($A69, INDEX(AsistenciaJetAdminConcatenada!$D:$D, MATCH(1, (AsistenciaJetAdminConcatenada!$A:$A=CC$2)*(AsistenciaJetAdminConcatenada!$B:$B=CC$1), 0)), 1))),  0.5, 0))</f>
        <v>1</v>
      </c>
      <c r="CD69" s="47">
        <f t="array" ref="CD69">IF(AND(ISNUMBER(MATCH(CD$2, AsistenciaJetAdminConcatenada!$A:$A, 0)), ISNUMBER(MATCH(CD$1, AsistenciaJetAdminConcatenada!$B:$B, 0)), ISNUMBER(SEARCH($A69,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ISNUMBER(SEARCH($A69, INDEX(AsistenciaJetAdminConcatenada!$D:$D, MATCH(1, (AsistenciaJetAdminConcatenada!$A:$A=CD$2)*(AsistenciaJetAdminConcatenada!$B:$B=CD$1), 0)), 1))),  0.5, 0))</f>
        <v>1</v>
      </c>
      <c r="CE69" s="47">
        <f t="array" ref="CE69">IF(AND(ISNUMBER(MATCH(CE$2, AsistenciaJetAdminConcatenada!$A:$A, 0)), ISNUMBER(MATCH(CE$1, AsistenciaJetAdminConcatenada!$B:$B, 0)), ISNUMBER(SEARCH($A69,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ISNUMBER(SEARCH($A69, INDEX(AsistenciaJetAdminConcatenada!$D:$D, MATCH(1, (AsistenciaJetAdminConcatenada!$A:$A=CE$2)*(AsistenciaJetAdminConcatenada!$B:$B=CE$1), 0)), 1))),  0.5, 0))</f>
        <v>1</v>
      </c>
      <c r="CF69" s="47">
        <f t="array" ref="CF69">IF(AND(ISNUMBER(MATCH(CF$2, AsistenciaJetAdminConcatenada!$A:$A, 0)), ISNUMBER(MATCH(CF$1, AsistenciaJetAdminConcatenada!$B:$B, 0)), ISNUMBER(SEARCH($A69,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ISNUMBER(SEARCH($A69, INDEX(AsistenciaJetAdminConcatenada!$D:$D, MATCH(1, (AsistenciaJetAdminConcatenada!$A:$A=CF$2)*(AsistenciaJetAdminConcatenada!$B:$B=CF$1), 0)), 1))),  0.5, 0))</f>
        <v>1</v>
      </c>
      <c r="CG69" s="47">
        <f t="array" ref="CG69">IF(AND(ISNUMBER(MATCH(CG$2, AsistenciaJetAdminConcatenada!$A:$A, 0)), ISNUMBER(MATCH(CG$1, AsistenciaJetAdminConcatenada!$B:$B, 0)), ISNUMBER(SEARCH($A69,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ISNUMBER(SEARCH($A69, INDEX(AsistenciaJetAdminConcatenada!$D:$D, MATCH(1, (AsistenciaJetAdminConcatenada!$A:$A=CG$2)*(AsistenciaJetAdminConcatenada!$B:$B=CG$1), 0)), 1))),  0.5, 0))</f>
        <v>1</v>
      </c>
      <c r="CH69" s="47">
        <f t="array" ref="CH69">IF(AND(ISNUMBER(MATCH(CH$2, AsistenciaJetAdminConcatenada!$A:$A, 0)), ISNUMBER(MATCH(CH$1, AsistenciaJetAdminConcatenada!$B:$B, 0)), ISNUMBER(SEARCH($A69,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ISNUMBER(SEARCH($A69, INDEX(AsistenciaJetAdminConcatenada!$D:$D, MATCH(1, (AsistenciaJetAdminConcatenada!$A:$A=CH$2)*(AsistenciaJetAdminConcatenada!$B:$B=CH$1), 0)), 1))),  0.5, 0))</f>
        <v>1</v>
      </c>
      <c r="CI69" s="47">
        <f t="array" ref="CI69">IF(AND(ISNUMBER(MATCH(CI$2, AsistenciaJetAdminConcatenada!$A:$A, 0)), ISNUMBER(MATCH(CI$1, AsistenciaJetAdminConcatenada!$B:$B, 0)), ISNUMBER(SEARCH($A69,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ISNUMBER(SEARCH($A69, INDEX(AsistenciaJetAdminConcatenada!$D:$D, MATCH(1, (AsistenciaJetAdminConcatenada!$A:$A=CI$2)*(AsistenciaJetAdminConcatenada!$B:$B=CI$1), 0)), 1))),  0.5, 0))</f>
        <v>1</v>
      </c>
      <c r="CJ69" s="47">
        <f t="array" ref="CJ69">IF(AND(ISNUMBER(MATCH(CJ$2, AsistenciaJetAdminConcatenada!$A:$A, 0)), ISNUMBER(MATCH(CJ$1, AsistenciaJetAdminConcatenada!$B:$B, 0)), ISNUMBER(SEARCH($A69,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ISNUMBER(SEARCH($A69, INDEX(AsistenciaJetAdminConcatenada!$D:$D, MATCH(1, (AsistenciaJetAdminConcatenada!$A:$A=CJ$2)*(AsistenciaJetAdminConcatenada!$B:$B=CJ$1), 0)), 1))),  0.5, 0))</f>
        <v>1</v>
      </c>
      <c r="CK69" s="47">
        <f t="array" ref="CK69">IF(AND(ISNUMBER(MATCH(CK$2, AsistenciaJetAdminConcatenada!$A:$A, 0)), ISNUMBER(MATCH(CK$1, AsistenciaJetAdminConcatenada!$B:$B, 0)), ISNUMBER(SEARCH($A69,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ISNUMBER(SEARCH($A69, INDEX(AsistenciaJetAdminConcatenada!$D:$D, MATCH(1, (AsistenciaJetAdminConcatenada!$A:$A=CK$2)*(AsistenciaJetAdminConcatenada!$B:$B=CK$1), 0)), 1))),  0.5, 0))</f>
        <v>1</v>
      </c>
      <c r="CL69" s="47">
        <f t="array" ref="CL69">IF(AND(ISNUMBER(MATCH(CL$2, AsistenciaJetAdminConcatenada!$A:$A, 0)), ISNUMBER(MATCH(CL$1, AsistenciaJetAdminConcatenada!$B:$B, 0)), ISNUMBER(SEARCH($A69,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ISNUMBER(SEARCH($A69, INDEX(AsistenciaJetAdminConcatenada!$D:$D, MATCH(1, (AsistenciaJetAdminConcatenada!$A:$A=CL$2)*(AsistenciaJetAdminConcatenada!$B:$B=CL$1), 0)), 1))),  0.5, 0))</f>
        <v>1</v>
      </c>
      <c r="CM69" s="47">
        <f t="array" ref="CM69">IF(AND(ISNUMBER(MATCH(CM$2, AsistenciaJetAdminConcatenada!$A:$A, 0)), ISNUMBER(MATCH(CM$1, AsistenciaJetAdminConcatenada!$B:$B, 0)), ISNUMBER(SEARCH($A69,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ISNUMBER(SEARCH($A69, INDEX(AsistenciaJetAdminConcatenada!$D:$D, MATCH(1, (AsistenciaJetAdminConcatenada!$A:$A=CM$2)*(AsistenciaJetAdminConcatenada!$B:$B=CM$1), 0)), 1))),  0.5, 0))</f>
        <v>1</v>
      </c>
      <c r="CN69" s="47">
        <f t="array" ref="CN69">IF(AND(ISNUMBER(MATCH(CN$2, AsistenciaJetAdminConcatenada!$A:$A, 0)), ISNUMBER(MATCH(CN$1, AsistenciaJetAdminConcatenada!$B:$B, 0)), ISNUMBER(SEARCH($A69,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ISNUMBER(SEARCH($A69, INDEX(AsistenciaJetAdminConcatenada!$D:$D, MATCH(1, (AsistenciaJetAdminConcatenada!$A:$A=CN$2)*(AsistenciaJetAdminConcatenada!$B:$B=CN$1), 0)), 1))),  0.5, 0))</f>
        <v>1</v>
      </c>
      <c r="CO69" s="47">
        <f t="array" ref="CO69">IF(AND(ISNUMBER(MATCH(CO$2, AsistenciaJetAdminConcatenada!$A:$A, 0)), ISNUMBER(MATCH(CO$1, AsistenciaJetAdminConcatenada!$B:$B, 0)), ISNUMBER(SEARCH($A69,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ISNUMBER(SEARCH($A69, INDEX(AsistenciaJetAdminConcatenada!$D:$D, MATCH(1, (AsistenciaJetAdminConcatenada!$A:$A=CO$2)*(AsistenciaJetAdminConcatenada!$B:$B=CO$1), 0)), 1))),  0.5, 0))</f>
        <v>1</v>
      </c>
      <c r="CP69" s="47">
        <f t="array" ref="CP69">IF(AND(ISNUMBER(MATCH(CP$2, AsistenciaJetAdminConcatenada!$A:$A, 0)), ISNUMBER(MATCH(CP$1, AsistenciaJetAdminConcatenada!$B:$B, 0)), ISNUMBER(SEARCH($A69,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ISNUMBER(SEARCH($A69, INDEX(AsistenciaJetAdminConcatenada!$D:$D, MATCH(1, (AsistenciaJetAdminConcatenada!$A:$A=CP$2)*(AsistenciaJetAdminConcatenada!$B:$B=CP$1), 0)), 1))),  0.5, 0))</f>
        <v>0</v>
      </c>
      <c r="CQ69" s="47">
        <f t="array" ref="CQ69">IF(AND(ISNUMBER(MATCH(CQ$2, AsistenciaJetAdminConcatenada!$A:$A, 0)), ISNUMBER(MATCH(CQ$1, AsistenciaJetAdminConcatenada!$B:$B, 0)), ISNUMBER(SEARCH($A69,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ISNUMBER(SEARCH($A69, INDEX(AsistenciaJetAdminConcatenada!$D:$D, MATCH(1, (AsistenciaJetAdminConcatenada!$A:$A=CQ$2)*(AsistenciaJetAdminConcatenada!$B:$B=CQ$1), 0)), 1))),  0.5, 0))</f>
        <v>1</v>
      </c>
      <c r="CR69" s="47">
        <f t="array" ref="CR69">IF(AND(ISNUMBER(MATCH(CR$2, AsistenciaJetAdminConcatenada!$A:$A, 0)), ISNUMBER(MATCH(CR$1, AsistenciaJetAdminConcatenada!$B:$B, 0)), ISNUMBER(SEARCH($A69,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ISNUMBER(SEARCH($A69, INDEX(AsistenciaJetAdminConcatenada!$D:$D, MATCH(1, (AsistenciaJetAdminConcatenada!$A:$A=CR$2)*(AsistenciaJetAdminConcatenada!$B:$B=CR$1), 0)), 1))),  0.5, 0))</f>
        <v>1</v>
      </c>
      <c r="CS69" s="47">
        <f t="array" ref="CS69">IF(AND(ISNUMBER(MATCH(CS$2, AsistenciaJetAdminConcatenada!$A:$A, 0)), ISNUMBER(MATCH(CS$1, AsistenciaJetAdminConcatenada!$B:$B, 0)), ISNUMBER(SEARCH($A69,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ISNUMBER(SEARCH($A69, INDEX(AsistenciaJetAdminConcatenada!$D:$D, MATCH(1, (AsistenciaJetAdminConcatenada!$A:$A=CS$2)*(AsistenciaJetAdminConcatenada!$B:$B=CS$1), 0)), 1))),  0.5, 0))</f>
        <v>0</v>
      </c>
      <c r="CT69" s="47">
        <f t="array" ref="CT69">IF(AND(ISNUMBER(MATCH(CT$2, AsistenciaJetAdminConcatenada!$A:$A, 0)), ISNUMBER(MATCH(CT$1, AsistenciaJetAdminConcatenada!$B:$B, 0)), ISNUMBER(SEARCH($A69,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ISNUMBER(SEARCH($A69, INDEX(AsistenciaJetAdminConcatenada!$D:$D, MATCH(1, (AsistenciaJetAdminConcatenada!$A:$A=CT$2)*(AsistenciaJetAdminConcatenada!$B:$B=CT$1), 0)), 1))),  0.5, 0))</f>
        <v>0</v>
      </c>
      <c r="CU69" s="47">
        <f t="array" ref="CU69">IF(AND(ISNUMBER(MATCH(CU$2, AsistenciaJetAdminConcatenada!$A:$A, 0)), ISNUMBER(MATCH(CU$1, AsistenciaJetAdminConcatenada!$B:$B, 0)), ISNUMBER(SEARCH($A69,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ISNUMBER(SEARCH($A69, INDEX(AsistenciaJetAdminConcatenada!$D:$D, MATCH(1, (AsistenciaJetAdminConcatenada!$A:$A=CU$2)*(AsistenciaJetAdminConcatenada!$B:$B=CU$1), 0)), 1))),  0.5, 0))</f>
        <v>0</v>
      </c>
      <c r="CV69" s="47">
        <f t="array" ref="CV69">IF(AND(ISNUMBER(MATCH(CV$2, AsistenciaJetAdminConcatenada!$A:$A, 0)), ISNUMBER(MATCH(CV$1, AsistenciaJetAdminConcatenada!$B:$B, 0)), ISNUMBER(SEARCH($A69,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ISNUMBER(SEARCH($A69, INDEX(AsistenciaJetAdminConcatenada!$D:$D, MATCH(1, (AsistenciaJetAdminConcatenada!$A:$A=CV$2)*(AsistenciaJetAdminConcatenada!$B:$B=CV$1), 0)), 1))),  0.5, 0))</f>
        <v>0</v>
      </c>
      <c r="CW69" s="47">
        <f t="array" ref="CW69">IF(AND(ISNUMBER(MATCH(CW$2, AsistenciaJetAdminConcatenada!$A:$A, 0)), ISNUMBER(MATCH(CW$1, AsistenciaJetAdminConcatenada!$B:$B, 0)), ISNUMBER(SEARCH($A69,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ISNUMBER(SEARCH($A69, INDEX(AsistenciaJetAdminConcatenada!$D:$D, MATCH(1, (AsistenciaJetAdminConcatenada!$A:$A=CW$2)*(AsistenciaJetAdminConcatenada!$B:$B=CW$1), 0)), 1))),  0.5, 0))</f>
        <v>0</v>
      </c>
      <c r="CX69" s="47">
        <f t="array" ref="CX69">IF(AND(ISNUMBER(MATCH(CX$2, AsistenciaJetAdminConcatenada!$A:$A, 0)), ISNUMBER(MATCH(CX$1, AsistenciaJetAdminConcatenada!$B:$B, 0)), ISNUMBER(SEARCH($A69,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ISNUMBER(SEARCH($A69, INDEX(AsistenciaJetAdminConcatenada!$D:$D, MATCH(1, (AsistenciaJetAdminConcatenada!$A:$A=CX$2)*(AsistenciaJetAdminConcatenada!$B:$B=CX$1), 0)), 1))),  0.5, 0))</f>
        <v>0</v>
      </c>
      <c r="CY69" s="47">
        <f t="array" ref="CY69">IF(AND(ISNUMBER(MATCH(CY$2, AsistenciaJetAdminConcatenada!$A:$A, 0)), ISNUMBER(MATCH(CY$1, AsistenciaJetAdminConcatenada!$B:$B, 0)), ISNUMBER(SEARCH($A69,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ISNUMBER(SEARCH($A69, INDEX(AsistenciaJetAdminConcatenada!$D:$D, MATCH(1, (AsistenciaJetAdminConcatenada!$A:$A=CY$2)*(AsistenciaJetAdminConcatenada!$B:$B=CY$1), 0)), 1))),  0.5, 0))</f>
        <v>0</v>
      </c>
      <c r="CZ69" s="47">
        <f t="array" ref="CZ69">IF(AND(ISNUMBER(MATCH(CZ$2, AsistenciaJetAdminConcatenada!$A:$A, 0)), ISNUMBER(MATCH(CZ$1, AsistenciaJetAdminConcatenada!$B:$B, 0)), ISNUMBER(SEARCH($A69,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ISNUMBER(SEARCH($A69, INDEX(AsistenciaJetAdminConcatenada!$D:$D, MATCH(1, (AsistenciaJetAdminConcatenada!$A:$A=CZ$2)*(AsistenciaJetAdminConcatenada!$B:$B=CZ$1), 0)), 1))),  0.5, 0))</f>
        <v>0</v>
      </c>
      <c r="DA69" s="47">
        <f t="array" ref="DA69">IF(AND(ISNUMBER(MATCH(DA$2, AsistenciaJetAdminConcatenada!$A:$A, 0)), ISNUMBER(MATCH(DA$1, AsistenciaJetAdminConcatenada!$B:$B, 0)), ISNUMBER(SEARCH($A69,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ISNUMBER(SEARCH($A69, INDEX(AsistenciaJetAdminConcatenada!$D:$D, MATCH(1, (AsistenciaJetAdminConcatenada!$A:$A=DA$2)*(AsistenciaJetAdminConcatenada!$B:$B=DA$1), 0)), 1))),  0.5, 0))</f>
        <v>0</v>
      </c>
      <c r="DB69" s="47">
        <f t="array" ref="DB69">IF(AND(ISNUMBER(MATCH(DB$2, AsistenciaJetAdminConcatenada!$A:$A, 0)), ISNUMBER(MATCH(DB$1, AsistenciaJetAdminConcatenada!$B:$B, 0)), ISNUMBER(SEARCH($A69,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ISNUMBER(SEARCH($A69, INDEX(AsistenciaJetAdminConcatenada!$D:$D, MATCH(1, (AsistenciaJetAdminConcatenada!$A:$A=DB$2)*(AsistenciaJetAdminConcatenada!$B:$B=DB$1), 0)), 1))),  0.5, 0))</f>
        <v>0</v>
      </c>
      <c r="DC69" s="47">
        <f t="array" ref="DC69">IF(AND(ISNUMBER(MATCH(DC$2, AsistenciaJetAdminConcatenada!$A:$A, 0)), ISNUMBER(MATCH(DC$1, AsistenciaJetAdminConcatenada!$B:$B, 0)), ISNUMBER(SEARCH($A69,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ISNUMBER(SEARCH($A69, INDEX(AsistenciaJetAdminConcatenada!$D:$D, MATCH(1, (AsistenciaJetAdminConcatenada!$A:$A=DC$2)*(AsistenciaJetAdminConcatenada!$B:$B=DC$1), 0)), 1))),  0.5, 0))</f>
        <v>0</v>
      </c>
      <c r="DD69" s="47">
        <f t="array" ref="DD69">IF(AND(ISNUMBER(MATCH(DD$2, AsistenciaJetAdminConcatenada!$A:$A, 0)), ISNUMBER(MATCH(DD$1, AsistenciaJetAdminConcatenada!$B:$B, 0)), ISNUMBER(SEARCH($A69,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ISNUMBER(SEARCH($A69, INDEX(AsistenciaJetAdminConcatenada!$D:$D, MATCH(1, (AsistenciaJetAdminConcatenada!$A:$A=DD$2)*(AsistenciaJetAdminConcatenada!$B:$B=DD$1), 0)), 1))),  0.5, 0))</f>
        <v>0</v>
      </c>
      <c r="DE69" s="47">
        <f t="array" ref="DE69">IF(AND(ISNUMBER(MATCH(DE$2, AsistenciaJetAdminConcatenada!$A:$A, 0)), ISNUMBER(MATCH(DE$1, AsistenciaJetAdminConcatenada!$B:$B, 0)), ISNUMBER(SEARCH($A69,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ISNUMBER(SEARCH($A69, INDEX(AsistenciaJetAdminConcatenada!$D:$D, MATCH(1, (AsistenciaJetAdminConcatenada!$A:$A=DE$2)*(AsistenciaJetAdminConcatenada!$B:$B=DE$1), 0)), 1))),  0.5, 0))</f>
        <v>0</v>
      </c>
      <c r="DF69" s="47">
        <f t="array" ref="DF69">IF(AND(ISNUMBER(MATCH(DF$2, AsistenciaJetAdminConcatenada!$A:$A, 0)), ISNUMBER(MATCH(DF$1, AsistenciaJetAdminConcatenada!$B:$B, 0)), ISNUMBER(SEARCH($A69,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ISNUMBER(SEARCH($A69, INDEX(AsistenciaJetAdminConcatenada!$D:$D, MATCH(1, (AsistenciaJetAdminConcatenada!$A:$A=DF$2)*(AsistenciaJetAdminConcatenada!$B:$B=DF$1), 0)), 1))),  0.5, 0))</f>
        <v>0</v>
      </c>
      <c r="DG69" s="47">
        <f t="array" ref="DG69">IF(AND(ISNUMBER(MATCH(DG$2, AsistenciaJetAdminConcatenada!$A:$A, 0)), ISNUMBER(MATCH(DG$1, AsistenciaJetAdminConcatenada!$B:$B, 0)), ISNUMBER(SEARCH($A69,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ISNUMBER(SEARCH($A69, INDEX(AsistenciaJetAdminConcatenada!$D:$D, MATCH(1, (AsistenciaJetAdminConcatenada!$A:$A=DG$2)*(AsistenciaJetAdminConcatenada!$B:$B=DG$1), 0)), 1))),  0.5, 0))</f>
        <v>0</v>
      </c>
      <c r="DH69" s="47">
        <f t="array" ref="DH69">IF(AND(ISNUMBER(MATCH(DH$2, AsistenciaJetAdminConcatenada!$A:$A, 0)), ISNUMBER(MATCH(DH$1, AsistenciaJetAdminConcatenada!$B:$B, 0)), ISNUMBER(SEARCH($A69,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ISNUMBER(SEARCH($A69, INDEX(AsistenciaJetAdminConcatenada!$D:$D, MATCH(1, (AsistenciaJetAdminConcatenada!$A:$A=DH$2)*(AsistenciaJetAdminConcatenada!$B:$B=DH$1), 0)), 1))),  0.5, 0))</f>
        <v>0</v>
      </c>
      <c r="DI69" s="47">
        <f t="array" ref="DI69">IF(AND(ISNUMBER(MATCH(DI$2, AsistenciaJetAdminConcatenada!$A:$A, 0)), ISNUMBER(MATCH(DI$1, AsistenciaJetAdminConcatenada!$B:$B, 0)), ISNUMBER(SEARCH($A69,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ISNUMBER(SEARCH($A69, INDEX(AsistenciaJetAdminConcatenada!$D:$D, MATCH(1, (AsistenciaJetAdminConcatenada!$A:$A=DI$2)*(AsistenciaJetAdminConcatenada!$B:$B=DI$1), 0)), 1))),  0.5, 0))</f>
        <v>0</v>
      </c>
      <c r="DJ69" s="47">
        <f t="array" ref="DJ69">IF(AND(ISNUMBER(MATCH(DJ$2, AsistenciaJetAdminConcatenada!$A:$A, 0)), ISNUMBER(MATCH(DJ$1, AsistenciaJetAdminConcatenada!$B:$B, 0)), ISNUMBER(SEARCH($A69,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ISNUMBER(SEARCH($A69, INDEX(AsistenciaJetAdminConcatenada!$D:$D, MATCH(1, (AsistenciaJetAdminConcatenada!$A:$A=DJ$2)*(AsistenciaJetAdminConcatenada!$B:$B=DJ$1), 0)), 1))),  0.5, 0))</f>
        <v>0</v>
      </c>
      <c r="DK69" s="47">
        <f t="array" ref="DK69">IF(AND(ISNUMBER(MATCH(DK$2, AsistenciaJetAdminConcatenada!$A:$A, 0)), ISNUMBER(MATCH(DK$1, AsistenciaJetAdminConcatenada!$B:$B, 0)), ISNUMBER(SEARCH($A69,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ISNUMBER(SEARCH($A69, INDEX(AsistenciaJetAdminConcatenada!$D:$D, MATCH(1, (AsistenciaJetAdminConcatenada!$A:$A=DK$2)*(AsistenciaJetAdminConcatenada!$B:$B=DK$1), 0)), 1))),  0.5, 0))</f>
        <v>0</v>
      </c>
      <c r="DL69" s="47">
        <f t="array" ref="DL69">IF(AND(ISNUMBER(MATCH(DL$2, AsistenciaJetAdminConcatenada!$A:$A, 0)), ISNUMBER(MATCH(DL$1, AsistenciaJetAdminConcatenada!$B:$B, 0)), ISNUMBER(SEARCH($A69,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ISNUMBER(SEARCH($A69, INDEX(AsistenciaJetAdminConcatenada!$D:$D, MATCH(1, (AsistenciaJetAdminConcatenada!$A:$A=DL$2)*(AsistenciaJetAdminConcatenada!$B:$B=DL$1), 0)), 1))),  0.5, 0))</f>
        <v>0</v>
      </c>
      <c r="DM69" s="47">
        <f t="array" ref="DM69">IF(AND(ISNUMBER(MATCH(DM$2, AsistenciaJetAdminConcatenada!$A:$A, 0)), ISNUMBER(MATCH(DM$1, AsistenciaJetAdminConcatenada!$B:$B, 0)), ISNUMBER(SEARCH($A69,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ISNUMBER(SEARCH($A69, INDEX(AsistenciaJetAdminConcatenada!$D:$D, MATCH(1, (AsistenciaJetAdminConcatenada!$A:$A=DM$2)*(AsistenciaJetAdminConcatenada!$B:$B=DM$1), 0)), 1))),  0.5, 0))</f>
        <v>0</v>
      </c>
      <c r="DN69" s="47">
        <f t="array" ref="DN69">IF(AND(ISNUMBER(MATCH(DN$2, AsistenciaJetAdminConcatenada!$A:$A, 0)), ISNUMBER(MATCH(DN$1, AsistenciaJetAdminConcatenada!$B:$B, 0)), ISNUMBER(SEARCH($A69,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ISNUMBER(SEARCH($A69, INDEX(AsistenciaJetAdminConcatenada!$D:$D, MATCH(1, (AsistenciaJetAdminConcatenada!$A:$A=DN$2)*(AsistenciaJetAdminConcatenada!$B:$B=DN$1), 0)), 1))),  0.5, 0))</f>
        <v>0</v>
      </c>
      <c r="DO69" s="47">
        <f t="array" ref="DO69">IF(AND(ISNUMBER(MATCH(DO$2, AsistenciaJetAdminConcatenada!$A:$A, 0)), ISNUMBER(MATCH(DO$1, AsistenciaJetAdminConcatenada!$B:$B, 0)), ISNUMBER(SEARCH($A69,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ISNUMBER(SEARCH($A69, INDEX(AsistenciaJetAdminConcatenada!$D:$D, MATCH(1, (AsistenciaJetAdminConcatenada!$A:$A=DO$2)*(AsistenciaJetAdminConcatenada!$B:$B=DO$1), 0)), 1))),  0.5, 0))</f>
        <v>0</v>
      </c>
      <c r="DP69" s="47">
        <f t="array" ref="DP69">IF(AND(ISNUMBER(MATCH(DP$2, AsistenciaJetAdminConcatenada!$A:$A, 0)), ISNUMBER(MATCH(DP$1, AsistenciaJetAdminConcatenada!$B:$B, 0)), ISNUMBER(SEARCH($A69,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ISNUMBER(SEARCH($A69, INDEX(AsistenciaJetAdminConcatenada!$D:$D, MATCH(1, (AsistenciaJetAdminConcatenada!$A:$A=DP$2)*(AsistenciaJetAdminConcatenada!$B:$B=DP$1), 0)), 1))),  0.5, 0))</f>
        <v>0</v>
      </c>
      <c r="DQ69" s="47">
        <f t="array" ref="DQ69">IF(AND(ISNUMBER(MATCH(DQ$2, AsistenciaJetAdminConcatenada!$A:$A, 0)), ISNUMBER(MATCH(DQ$1, AsistenciaJetAdminConcatenada!$B:$B, 0)), ISNUMBER(SEARCH($A69,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ISNUMBER(SEARCH($A69, INDEX(AsistenciaJetAdminConcatenada!$D:$D, MATCH(1, (AsistenciaJetAdminConcatenada!$A:$A=DQ$2)*(AsistenciaJetAdminConcatenada!$B:$B=DQ$1), 0)), 1))),  0.5, 0))</f>
        <v>0</v>
      </c>
      <c r="DR69" s="47">
        <f t="array" ref="DR69">IF(AND(ISNUMBER(MATCH(DR$2, AsistenciaJetAdminConcatenada!$A:$A, 0)), ISNUMBER(MATCH(DR$1, AsistenciaJetAdminConcatenada!$B:$B, 0)), ISNUMBER(SEARCH($A69,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ISNUMBER(SEARCH($A69, INDEX(AsistenciaJetAdminConcatenada!$D:$D, MATCH(1, (AsistenciaJetAdminConcatenada!$A:$A=DR$2)*(AsistenciaJetAdminConcatenada!$B:$B=DR$1), 0)), 1))),  0.5, 0))</f>
        <v>0</v>
      </c>
      <c r="DS69" s="47">
        <f t="array" ref="DS69">IF(AND(ISNUMBER(MATCH(DS$2, AsistenciaJetAdminConcatenada!$A:$A, 0)), ISNUMBER(MATCH(DS$1, AsistenciaJetAdminConcatenada!$B:$B, 0)), ISNUMBER(SEARCH($A69,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ISNUMBER(SEARCH($A69, INDEX(AsistenciaJetAdminConcatenada!$D:$D, MATCH(1, (AsistenciaJetAdminConcatenada!$A:$A=DS$2)*(AsistenciaJetAdminConcatenada!$B:$B=DS$1), 0)), 1))),  0.5, 0))</f>
        <v>0</v>
      </c>
      <c r="DT69" s="47">
        <f t="array" ref="DT69">IF(AND(ISNUMBER(MATCH(DT$2, AsistenciaJetAdminConcatenada!$A:$A, 0)), ISNUMBER(MATCH(DT$1, AsistenciaJetAdminConcatenada!$B:$B, 0)), ISNUMBER(SEARCH($A69,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ISNUMBER(SEARCH($A69, INDEX(AsistenciaJetAdminConcatenada!$D:$D, MATCH(1, (AsistenciaJetAdminConcatenada!$A:$A=DT$2)*(AsistenciaJetAdminConcatenada!$B:$B=DT$1), 0)), 1))),  0.5, 0))</f>
        <v>0</v>
      </c>
      <c r="DU69" s="47">
        <f t="array" ref="DU69">IF(AND(ISNUMBER(MATCH(DU$2, AsistenciaJetAdminConcatenada!$A:$A, 0)), ISNUMBER(MATCH(DU$1, AsistenciaJetAdminConcatenada!$B:$B, 0)), ISNUMBER(SEARCH($A69,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ISNUMBER(SEARCH($A69, INDEX(AsistenciaJetAdminConcatenada!$D:$D, MATCH(1, (AsistenciaJetAdminConcatenada!$A:$A=DU$2)*(AsistenciaJetAdminConcatenada!$B:$B=DU$1), 0)), 1))),  0.5, 0))</f>
        <v>0</v>
      </c>
      <c r="DV69" s="47">
        <f t="array" ref="DV69">IF(AND(ISNUMBER(MATCH(DV$2, AsistenciaJetAdminConcatenada!$A:$A, 0)), ISNUMBER(MATCH(DV$1, AsistenciaJetAdminConcatenada!$B:$B, 0)), ISNUMBER(SEARCH($A69,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ISNUMBER(SEARCH($A69, INDEX(AsistenciaJetAdminConcatenada!$D:$D, MATCH(1, (AsistenciaJetAdminConcatenada!$A:$A=DV$2)*(AsistenciaJetAdminConcatenada!$B:$B=DV$1), 0)), 1))),  0.5, 0))</f>
        <v>0</v>
      </c>
      <c r="DW69" s="47">
        <f t="array" ref="DW69">IF(AND(ISNUMBER(MATCH(DW$2, AsistenciaJetAdminConcatenada!$A:$A, 0)), ISNUMBER(MATCH(DW$1, AsistenciaJetAdminConcatenada!$B:$B, 0)), ISNUMBER(SEARCH($A69,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ISNUMBER(SEARCH($A69, INDEX(AsistenciaJetAdminConcatenada!$D:$D, MATCH(1, (AsistenciaJetAdminConcatenada!$A:$A=DW$2)*(AsistenciaJetAdminConcatenada!$B:$B=DW$1), 0)), 1))),  0.5, 0))</f>
        <v>0</v>
      </c>
      <c r="DX69" s="47">
        <f t="array" ref="DX69">IF(AND(ISNUMBER(MATCH(DX$2, AsistenciaJetAdminConcatenada!$A:$A, 0)), ISNUMBER(MATCH(DX$1, AsistenciaJetAdminConcatenada!$B:$B, 0)), ISNUMBER(SEARCH($A69,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ISNUMBER(SEARCH($A69, INDEX(AsistenciaJetAdminConcatenada!$D:$D, MATCH(1, (AsistenciaJetAdminConcatenada!$A:$A=DX$2)*(AsistenciaJetAdminConcatenada!$B:$B=DX$1), 0)), 1))),  0.5, 0))</f>
        <v>0</v>
      </c>
      <c r="DY69" s="47">
        <f t="array" ref="DY69">IF(AND(ISNUMBER(MATCH(DY$2, AsistenciaJetAdminConcatenada!$A:$A, 0)), ISNUMBER(MATCH(DY$1, AsistenciaJetAdminConcatenada!$B:$B, 0)), ISNUMBER(SEARCH($A69,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ISNUMBER(SEARCH($A69, INDEX(AsistenciaJetAdminConcatenada!$D:$D, MATCH(1, (AsistenciaJetAdminConcatenada!$A:$A=DY$2)*(AsistenciaJetAdminConcatenada!$B:$B=DY$1), 0)), 1))),  0.5, 0))</f>
        <v>0</v>
      </c>
      <c r="DZ69" s="47">
        <f t="array" ref="DZ69">IF(AND(ISNUMBER(MATCH(DZ$2, AsistenciaJetAdminConcatenada!$A:$A, 0)), ISNUMBER(MATCH(DZ$1, AsistenciaJetAdminConcatenada!$B:$B, 0)), ISNUMBER(SEARCH($A69,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ISNUMBER(SEARCH($A69, INDEX(AsistenciaJetAdminConcatenada!$D:$D, MATCH(1, (AsistenciaJetAdminConcatenada!$A:$A=DZ$2)*(AsistenciaJetAdminConcatenada!$B:$B=DZ$1), 0)), 1))),  0.5, 0))</f>
        <v>0</v>
      </c>
      <c r="EA69" s="47">
        <f t="array" ref="EA69">IF(AND(ISNUMBER(MATCH(EA$2, AsistenciaJetAdminConcatenada!$A:$A, 0)), ISNUMBER(MATCH(EA$1, AsistenciaJetAdminConcatenada!$B:$B, 0)), ISNUMBER(SEARCH($A69,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ISNUMBER(SEARCH($A69, INDEX(AsistenciaJetAdminConcatenada!$D:$D, MATCH(1, (AsistenciaJetAdminConcatenada!$A:$A=EA$2)*(AsistenciaJetAdminConcatenada!$B:$B=EA$1), 0)), 1))),  0.5, 0))</f>
        <v>0</v>
      </c>
      <c r="EB69" s="47">
        <f t="array" ref="EB69">IF(AND(ISNUMBER(MATCH(EB$2, AsistenciaJetAdminConcatenada!$A:$A, 0)), ISNUMBER(MATCH(EB$1, AsistenciaJetAdminConcatenada!$B:$B, 0)), ISNUMBER(SEARCH($A69,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ISNUMBER(SEARCH($A69, INDEX(AsistenciaJetAdminConcatenada!$D:$D, MATCH(1, (AsistenciaJetAdminConcatenada!$A:$A=EB$2)*(AsistenciaJetAdminConcatenada!$B:$B=EB$1), 0)), 1))),  0.5, 0))</f>
        <v>0</v>
      </c>
      <c r="EC69" s="47">
        <f t="array" ref="EC69">IF(AND(ISNUMBER(MATCH(EC$2, AsistenciaJetAdminConcatenada!$A:$A, 0)), ISNUMBER(MATCH(EC$1, AsistenciaJetAdminConcatenada!$B:$B, 0)), ISNUMBER(SEARCH($A69,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ISNUMBER(SEARCH($A69, INDEX(AsistenciaJetAdminConcatenada!$D:$D, MATCH(1, (AsistenciaJetAdminConcatenada!$A:$A=EC$2)*(AsistenciaJetAdminConcatenada!$B:$B=EC$1), 0)), 1))),  0.5, 0))</f>
        <v>0</v>
      </c>
      <c r="ED69" s="47">
        <f t="array" ref="ED69">IF(AND(ISNUMBER(MATCH(ED$2, AsistenciaJetAdminConcatenada!$A:$A, 0)), ISNUMBER(MATCH(ED$1, AsistenciaJetAdminConcatenada!$B:$B, 0)), ISNUMBER(SEARCH($A69,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ISNUMBER(SEARCH($A69, INDEX(AsistenciaJetAdminConcatenada!$D:$D, MATCH(1, (AsistenciaJetAdminConcatenada!$A:$A=ED$2)*(AsistenciaJetAdminConcatenada!$B:$B=ED$1), 0)), 1))),  0.5, 0))</f>
        <v>0</v>
      </c>
      <c r="EE69" s="47">
        <f t="array" ref="EE69">IF(AND(ISNUMBER(MATCH(EE$2, AsistenciaJetAdminConcatenada!$A:$A, 0)), ISNUMBER(MATCH(EE$1, AsistenciaJetAdminConcatenada!$B:$B, 0)), ISNUMBER(SEARCH($A69,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ISNUMBER(SEARCH($A69, INDEX(AsistenciaJetAdminConcatenada!$D:$D, MATCH(1, (AsistenciaJetAdminConcatenada!$A:$A=EE$2)*(AsistenciaJetAdminConcatenada!$B:$B=EE$1), 0)), 1))),  0.5, 0))</f>
        <v>0</v>
      </c>
      <c r="EF69" s="47">
        <f t="array" ref="EF69">IF(AND(ISNUMBER(MATCH(EF$2, AsistenciaJetAdminConcatenada!$A:$A, 0)), ISNUMBER(MATCH(EF$1, AsistenciaJetAdminConcatenada!$B:$B, 0)), ISNUMBER(SEARCH($A69,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ISNUMBER(SEARCH($A69, INDEX(AsistenciaJetAdminConcatenada!$D:$D, MATCH(1, (AsistenciaJetAdminConcatenada!$A:$A=EF$2)*(AsistenciaJetAdminConcatenada!$B:$B=EF$1), 0)), 1))),  0.5, 0))</f>
        <v>0</v>
      </c>
      <c r="EG69" s="47">
        <f t="array" ref="EG69">IF(AND(ISNUMBER(MATCH(EG$2, AsistenciaJetAdminConcatenada!$A:$A, 0)), ISNUMBER(MATCH(EG$1, AsistenciaJetAdminConcatenada!$B:$B, 0)), ISNUMBER(SEARCH($A69,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ISNUMBER(SEARCH($A69, INDEX(AsistenciaJetAdminConcatenada!$D:$D, MATCH(1, (AsistenciaJetAdminConcatenada!$A:$A=EG$2)*(AsistenciaJetAdminConcatenada!$B:$B=EG$1), 0)), 1))),  0.5, 0))</f>
        <v>0</v>
      </c>
      <c r="EH69" s="47">
        <f t="array" ref="EH69">IF(AND(ISNUMBER(MATCH(EH$2, AsistenciaJetAdminConcatenada!$A:$A, 0)), ISNUMBER(MATCH(EH$1, AsistenciaJetAdminConcatenada!$B:$B, 0)), ISNUMBER(SEARCH($A69,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ISNUMBER(SEARCH($A69, INDEX(AsistenciaJetAdminConcatenada!$D:$D, MATCH(1, (AsistenciaJetAdminConcatenada!$A:$A=EH$2)*(AsistenciaJetAdminConcatenada!$B:$B=EH$1), 0)), 1))),  0.5, 0))</f>
        <v>0</v>
      </c>
      <c r="EI69" s="47">
        <f t="array" ref="EI69">IF(AND(ISNUMBER(MATCH(EI$2, AsistenciaJetAdminConcatenada!$A:$A, 0)), ISNUMBER(MATCH(EI$1, AsistenciaJetAdminConcatenada!$B:$B, 0)), ISNUMBER(SEARCH($A69,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ISNUMBER(SEARCH($A69, INDEX(AsistenciaJetAdminConcatenada!$D:$D, MATCH(1, (AsistenciaJetAdminConcatenada!$A:$A=EI$2)*(AsistenciaJetAdminConcatenada!$B:$B=EI$1), 0)), 1))),  0.5, 0))</f>
        <v>0</v>
      </c>
      <c r="EJ69" s="47">
        <f t="array" ref="EJ69">IF(AND(ISNUMBER(MATCH(EJ$2, AsistenciaJetAdminConcatenada!$A:$A, 0)), ISNUMBER(MATCH(EJ$1, AsistenciaJetAdminConcatenada!$B:$B, 0)), ISNUMBER(SEARCH($A69,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ISNUMBER(SEARCH($A69, INDEX(AsistenciaJetAdminConcatenada!$D:$D, MATCH(1, (AsistenciaJetAdminConcatenada!$A:$A=EJ$2)*(AsistenciaJetAdminConcatenada!$B:$B=EJ$1), 0)), 1))),  0.5, 0))</f>
        <v>0</v>
      </c>
      <c r="EK69" s="47">
        <f t="array" ref="EK69">IF(AND(ISNUMBER(MATCH(EK$2, AsistenciaJetAdminConcatenada!$A:$A, 0)), ISNUMBER(MATCH(EK$1, AsistenciaJetAdminConcatenada!$B:$B, 0)), ISNUMBER(SEARCH($A69,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ISNUMBER(SEARCH($A69, INDEX(AsistenciaJetAdminConcatenada!$D:$D, MATCH(1, (AsistenciaJetAdminConcatenada!$A:$A=EK$2)*(AsistenciaJetAdminConcatenada!$B:$B=EK$1), 0)), 1))),  0.5, 0))</f>
        <v>0</v>
      </c>
      <c r="EL69" s="47">
        <f t="array" ref="EL69">IF(AND(ISNUMBER(MATCH(EL$2, AsistenciaJetAdminConcatenada!$A:$A, 0)), ISNUMBER(MATCH(EL$1, AsistenciaJetAdminConcatenada!$B:$B, 0)), ISNUMBER(SEARCH($A69,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ISNUMBER(SEARCH($A69, INDEX(AsistenciaJetAdminConcatenada!$D:$D, MATCH(1, (AsistenciaJetAdminConcatenada!$A:$A=EL$2)*(AsistenciaJetAdminConcatenada!$B:$B=EL$1), 0)), 1))),  0.5, 0))</f>
        <v>0</v>
      </c>
      <c r="EM69" s="47">
        <f t="array" ref="EM69">IF(AND(ISNUMBER(MATCH(EM$2, AsistenciaJetAdminConcatenada!$A:$A, 0)), ISNUMBER(MATCH(EM$1, AsistenciaJetAdminConcatenada!$B:$B, 0)), ISNUMBER(SEARCH($A69,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ISNUMBER(SEARCH($A69, INDEX(AsistenciaJetAdminConcatenada!$D:$D, MATCH(1, (AsistenciaJetAdminConcatenada!$A:$A=EM$2)*(AsistenciaJetAdminConcatenada!$B:$B=EM$1), 0)), 1))),  0.5, 0))</f>
        <v>0</v>
      </c>
      <c r="EN69" s="47">
        <f t="array" ref="EN69">IF(AND(ISNUMBER(MATCH(EN$2, AsistenciaJetAdminConcatenada!$A:$A, 0)), ISNUMBER(MATCH(EN$1, AsistenciaJetAdminConcatenada!$B:$B, 0)), ISNUMBER(SEARCH($A69,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ISNUMBER(SEARCH($A69, INDEX(AsistenciaJetAdminConcatenada!$D:$D, MATCH(1, (AsistenciaJetAdminConcatenada!$A:$A=EN$2)*(AsistenciaJetAdminConcatenada!$B:$B=EN$1), 0)), 1))),  0.5, 0))</f>
        <v>0</v>
      </c>
      <c r="EO69" s="47">
        <f t="array" ref="EO69">IF(AND(ISNUMBER(MATCH(EO$2, AsistenciaJetAdminConcatenada!$A:$A, 0)), ISNUMBER(MATCH(EO$1, AsistenciaJetAdminConcatenada!$B:$B, 0)), ISNUMBER(SEARCH($A69,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ISNUMBER(SEARCH($A69, INDEX(AsistenciaJetAdminConcatenada!$D:$D, MATCH(1, (AsistenciaJetAdminConcatenada!$A:$A=EO$2)*(AsistenciaJetAdminConcatenada!$B:$B=EO$1), 0)), 1))),  0.5, 0))</f>
        <v>0</v>
      </c>
      <c r="EP69" s="47">
        <f t="array" ref="EP69">IF(AND(ISNUMBER(MATCH(EP$2, AsistenciaJetAdminConcatenada!$A:$A, 0)), ISNUMBER(MATCH(EP$1, AsistenciaJetAdminConcatenada!$B:$B, 0)), ISNUMBER(SEARCH($A69,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ISNUMBER(SEARCH($A69, INDEX(AsistenciaJetAdminConcatenada!$D:$D, MATCH(1, (AsistenciaJetAdminConcatenada!$A:$A=EP$2)*(AsistenciaJetAdminConcatenada!$B:$B=EP$1), 0)), 1))),  0.5, 0))</f>
        <v>0</v>
      </c>
      <c r="EQ69" s="47">
        <f t="array" ref="EQ69">IF(AND(ISNUMBER(MATCH(EQ$2, AsistenciaJetAdminConcatenada!$A:$A, 0)), ISNUMBER(MATCH(EQ$1, AsistenciaJetAdminConcatenada!$B:$B, 0)), ISNUMBER(SEARCH($A69,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ISNUMBER(SEARCH($A69, INDEX(AsistenciaJetAdminConcatenada!$D:$D, MATCH(1, (AsistenciaJetAdminConcatenada!$A:$A=EQ$2)*(AsistenciaJetAdminConcatenada!$B:$B=EQ$1), 0)), 1))),  0.5, 0))</f>
        <v>0</v>
      </c>
      <c r="ER69" s="47">
        <f t="array" ref="ER69">IF(AND(ISNUMBER(MATCH(ER$2, AsistenciaJetAdminConcatenada!$A:$A, 0)), ISNUMBER(MATCH(ER$1, AsistenciaJetAdminConcatenada!$B:$B, 0)), ISNUMBER(SEARCH($A69,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ISNUMBER(SEARCH($A69, INDEX(AsistenciaJetAdminConcatenada!$D:$D, MATCH(1, (AsistenciaJetAdminConcatenada!$A:$A=ER$2)*(AsistenciaJetAdminConcatenada!$B:$B=ER$1), 0)), 1))),  0.5, 0))</f>
        <v>0</v>
      </c>
      <c r="ES69" s="47">
        <f t="array" ref="ES69">IF(AND(ISNUMBER(MATCH(ES$2, AsistenciaJetAdminConcatenada!$A:$A, 0)), ISNUMBER(MATCH(ES$1, AsistenciaJetAdminConcatenada!$B:$B, 0)), ISNUMBER(SEARCH($A69,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ISNUMBER(SEARCH($A69, INDEX(AsistenciaJetAdminConcatenada!$D:$D, MATCH(1, (AsistenciaJetAdminConcatenada!$A:$A=ES$2)*(AsistenciaJetAdminConcatenada!$B:$B=ES$1), 0)), 1))),  0.5, 0))</f>
        <v>0</v>
      </c>
      <c r="ET69" s="47">
        <f t="array" ref="ET69">IF(AND(ISNUMBER(MATCH(ET$2, AsistenciaJetAdminConcatenada!$A:$A, 0)), ISNUMBER(MATCH(ET$1, AsistenciaJetAdminConcatenada!$B:$B, 0)), ISNUMBER(SEARCH($A69,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ISNUMBER(SEARCH($A69, INDEX(AsistenciaJetAdminConcatenada!$D:$D, MATCH(1, (AsistenciaJetAdminConcatenada!$A:$A=ET$2)*(AsistenciaJetAdminConcatenada!$B:$B=ET$1), 0)), 1))),  0.5, 0))</f>
        <v>0</v>
      </c>
      <c r="EU69" s="47">
        <f t="array" ref="EU69">IF(AND(ISNUMBER(MATCH(EU$2, AsistenciaJetAdminConcatenada!$A:$A, 0)), ISNUMBER(MATCH(EU$1, AsistenciaJetAdminConcatenada!$B:$B, 0)), ISNUMBER(SEARCH($A69,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ISNUMBER(SEARCH($A69, INDEX(AsistenciaJetAdminConcatenada!$D:$D, MATCH(1, (AsistenciaJetAdminConcatenada!$A:$A=EU$2)*(AsistenciaJetAdminConcatenada!$B:$B=EU$1), 0)), 1))),  0.5, 0))</f>
        <v>0</v>
      </c>
      <c r="EV69" s="47">
        <f t="array" ref="EV69">IF(AND(ISNUMBER(MATCH(EV$2, AsistenciaJetAdminConcatenada!$A:$A, 0)), ISNUMBER(MATCH(EV$1, AsistenciaJetAdminConcatenada!$B:$B, 0)), ISNUMBER(SEARCH($A69,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ISNUMBER(SEARCH($A69, INDEX(AsistenciaJetAdminConcatenada!$D:$D, MATCH(1, (AsistenciaJetAdminConcatenada!$A:$A=EV$2)*(AsistenciaJetAdminConcatenada!$B:$B=EV$1), 0)), 1))),  0.5, 0))</f>
        <v>0</v>
      </c>
      <c r="EW69" s="47">
        <f t="array" ref="EW69">IF(AND(ISNUMBER(MATCH(EW$2, AsistenciaJetAdminConcatenada!$A:$A, 0)), ISNUMBER(MATCH(EW$1, AsistenciaJetAdminConcatenada!$B:$B, 0)), ISNUMBER(SEARCH($A69,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ISNUMBER(SEARCH($A69, INDEX(AsistenciaJetAdminConcatenada!$D:$D, MATCH(1, (AsistenciaJetAdminConcatenada!$A:$A=EW$2)*(AsistenciaJetAdminConcatenada!$B:$B=EW$1), 0)), 1))),  0.5, 0))</f>
        <v>0</v>
      </c>
      <c r="EX69" s="47">
        <f t="array" ref="EX69">IF(AND(ISNUMBER(MATCH(EX$2, AsistenciaJetAdminConcatenada!$A:$A, 0)), ISNUMBER(MATCH(EX$1, AsistenciaJetAdminConcatenada!$B:$B, 0)), ISNUMBER(SEARCH($A69,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ISNUMBER(SEARCH($A69, INDEX(AsistenciaJetAdminConcatenada!$D:$D, MATCH(1, (AsistenciaJetAdminConcatenada!$A:$A=EX$2)*(AsistenciaJetAdminConcatenada!$B:$B=EX$1), 0)), 1))),  0.5, 0))</f>
        <v>0</v>
      </c>
      <c r="EY69" s="47">
        <f t="array" ref="EY69">IF(AND(ISNUMBER(MATCH(EY$2, AsistenciaJetAdminConcatenada!$A:$A, 0)), ISNUMBER(MATCH(EY$1, AsistenciaJetAdminConcatenada!$B:$B, 0)), ISNUMBER(SEARCH($A69,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ISNUMBER(SEARCH($A69, INDEX(AsistenciaJetAdminConcatenada!$D:$D, MATCH(1, (AsistenciaJetAdminConcatenada!$A:$A=EY$2)*(AsistenciaJetAdminConcatenada!$B:$B=EY$1), 0)), 1))),  0.5, 0))</f>
        <v>0</v>
      </c>
      <c r="EZ69" s="47">
        <f t="array" ref="EZ69">IF(AND(ISNUMBER(MATCH(EZ$2, AsistenciaJetAdminConcatenada!$A:$A, 0)), ISNUMBER(MATCH(EZ$1, AsistenciaJetAdminConcatenada!$B:$B, 0)), ISNUMBER(SEARCH($A69,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ISNUMBER(SEARCH($A69, INDEX(AsistenciaJetAdminConcatenada!$D:$D, MATCH(1, (AsistenciaJetAdminConcatenada!$A:$A=EZ$2)*(AsistenciaJetAdminConcatenada!$B:$B=EZ$1), 0)), 1))),  0.5, 0))</f>
        <v>0</v>
      </c>
      <c r="FA69" s="47">
        <f t="array" ref="FA69">IF(AND(ISNUMBER(MATCH(FA$2, AsistenciaJetAdminConcatenada!$A:$A, 0)), ISNUMBER(MATCH(FA$1, AsistenciaJetAdminConcatenada!$B:$B, 0)), ISNUMBER(SEARCH($A69,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ISNUMBER(SEARCH($A69, INDEX(AsistenciaJetAdminConcatenada!$D:$D, MATCH(1, (AsistenciaJetAdminConcatenada!$A:$A=FA$2)*(AsistenciaJetAdminConcatenada!$B:$B=FA$1), 0)), 1))),  0.5, 0))</f>
        <v>0</v>
      </c>
      <c r="FB69" s="47">
        <f t="array" ref="FB69">IF(AND(ISNUMBER(MATCH(FB$2, AsistenciaJetAdminConcatenada!$A:$A, 0)), ISNUMBER(MATCH(FB$1, AsistenciaJetAdminConcatenada!$B:$B, 0)), ISNUMBER(SEARCH($A69,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ISNUMBER(SEARCH($A69, INDEX(AsistenciaJetAdminConcatenada!$D:$D, MATCH(1, (AsistenciaJetAdminConcatenada!$A:$A=FB$2)*(AsistenciaJetAdminConcatenada!$B:$B=FB$1), 0)), 1))),  0.5, 0))</f>
        <v>0</v>
      </c>
      <c r="FC69" s="47">
        <f t="array" ref="FC69">IF(AND(ISNUMBER(MATCH(FC$2, AsistenciaJetAdminConcatenada!$A:$A, 0)), ISNUMBER(MATCH(FC$1, AsistenciaJetAdminConcatenada!$B:$B, 0)), ISNUMBER(SEARCH($A69,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ISNUMBER(SEARCH($A69, INDEX(AsistenciaJetAdminConcatenada!$D:$D, MATCH(1, (AsistenciaJetAdminConcatenada!$A:$A=FC$2)*(AsistenciaJetAdminConcatenada!$B:$B=FC$1), 0)), 1))),  0.5, 0))</f>
        <v>0</v>
      </c>
      <c r="FD69" s="47">
        <f t="array" ref="FD69">IF(AND(ISNUMBER(MATCH(FD$2, AsistenciaJetAdminConcatenada!$A:$A, 0)), ISNUMBER(MATCH(FD$1, AsistenciaJetAdminConcatenada!$B:$B, 0)), ISNUMBER(SEARCH($A69,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ISNUMBER(SEARCH($A69, INDEX(AsistenciaJetAdminConcatenada!$D:$D, MATCH(1, (AsistenciaJetAdminConcatenada!$A:$A=FD$2)*(AsistenciaJetAdminConcatenada!$B:$B=FD$1), 0)), 1))),  0.5, 0))</f>
        <v>0</v>
      </c>
      <c r="FE69" s="47">
        <f t="array" ref="FE69">IF(AND(ISNUMBER(MATCH(FE$2, AsistenciaJetAdminConcatenada!$A:$A, 0)), ISNUMBER(MATCH(FE$1, AsistenciaJetAdminConcatenada!$B:$B, 0)), ISNUMBER(SEARCH($A69,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ISNUMBER(SEARCH($A69, INDEX(AsistenciaJetAdminConcatenada!$D:$D, MATCH(1, (AsistenciaJetAdminConcatenada!$A:$A=FE$2)*(AsistenciaJetAdminConcatenada!$B:$B=FE$1), 0)), 1))),  0.5, 0))</f>
        <v>0</v>
      </c>
      <c r="FF69" s="47">
        <f t="array" ref="FF69">IF(AND(ISNUMBER(MATCH(FF$2, AsistenciaJetAdminConcatenada!$A:$A, 0)), ISNUMBER(MATCH(FF$1, AsistenciaJetAdminConcatenada!$B:$B, 0)), ISNUMBER(SEARCH($A69,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ISNUMBER(SEARCH($A69, INDEX(AsistenciaJetAdminConcatenada!$D:$D, MATCH(1, (AsistenciaJetAdminConcatenada!$A:$A=FF$2)*(AsistenciaJetAdminConcatenada!$B:$B=FF$1), 0)), 1))),  0.5, 0))</f>
        <v>0</v>
      </c>
      <c r="FG69" s="47">
        <f t="array" ref="FG69">IF(AND(ISNUMBER(MATCH(FG$2, AsistenciaJetAdminConcatenada!$A:$A, 0)), ISNUMBER(MATCH(FG$1, AsistenciaJetAdminConcatenada!$B:$B, 0)), ISNUMBER(SEARCH($A69,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ISNUMBER(SEARCH($A69, INDEX(AsistenciaJetAdminConcatenada!$D:$D, MATCH(1, (AsistenciaJetAdminConcatenada!$A:$A=FG$2)*(AsistenciaJetAdminConcatenada!$B:$B=FG$1), 0)), 1))),  0.5, 0))</f>
        <v>0</v>
      </c>
      <c r="FH69" s="47">
        <f t="array" ref="FH69">IF(AND(ISNUMBER(MATCH(FH$2, AsistenciaJetAdminConcatenada!$A:$A, 0)), ISNUMBER(MATCH(FH$1, AsistenciaJetAdminConcatenada!$B:$B, 0)), ISNUMBER(SEARCH($A69,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ISNUMBER(SEARCH($A69, INDEX(AsistenciaJetAdminConcatenada!$D:$D, MATCH(1, (AsistenciaJetAdminConcatenada!$A:$A=FH$2)*(AsistenciaJetAdminConcatenada!$B:$B=FH$1), 0)), 1))),  0.5, 0))</f>
        <v>0</v>
      </c>
      <c r="FI69" s="47">
        <f t="array" ref="FI69">IF(AND(ISNUMBER(MATCH(FI$2, AsistenciaJetAdminConcatenada!$A:$A, 0)), ISNUMBER(MATCH(FI$1, AsistenciaJetAdminConcatenada!$B:$B, 0)), ISNUMBER(SEARCH($A69,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ISNUMBER(SEARCH($A69, INDEX(AsistenciaJetAdminConcatenada!$D:$D, MATCH(1, (AsistenciaJetAdminConcatenada!$A:$A=FI$2)*(AsistenciaJetAdminConcatenada!$B:$B=FI$1), 0)), 1))),  0.5, 0))</f>
        <v>0</v>
      </c>
      <c r="FJ69" s="47">
        <f t="array" ref="FJ69">IF(AND(ISNUMBER(MATCH(FJ$2, AsistenciaJetAdminConcatenada!$A:$A, 0)), ISNUMBER(MATCH(FJ$1, AsistenciaJetAdminConcatenada!$B:$B, 0)), ISNUMBER(SEARCH($A69,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ISNUMBER(SEARCH($A69, INDEX(AsistenciaJetAdminConcatenada!$D:$D, MATCH(1, (AsistenciaJetAdminConcatenada!$A:$A=FJ$2)*(AsistenciaJetAdminConcatenada!$B:$B=FJ$1), 0)), 1))),  0.5, 0))</f>
        <v>0</v>
      </c>
      <c r="FK69" s="47">
        <f t="array" ref="FK69">IF(AND(ISNUMBER(MATCH(FK$2, AsistenciaJetAdminConcatenada!$A:$A, 0)), ISNUMBER(MATCH(FK$1, AsistenciaJetAdminConcatenada!$B:$B, 0)), ISNUMBER(SEARCH($A69,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ISNUMBER(SEARCH($A69, INDEX(AsistenciaJetAdminConcatenada!$D:$D, MATCH(1, (AsistenciaJetAdminConcatenada!$A:$A=FK$2)*(AsistenciaJetAdminConcatenada!$B:$B=FK$1), 0)), 1))),  0.5, 0))</f>
        <v>0</v>
      </c>
      <c r="FL69" s="47">
        <f t="array" ref="FL69">IF(AND(ISNUMBER(MATCH(FL$2, AsistenciaJetAdminConcatenada!$A:$A, 0)), ISNUMBER(MATCH(FL$1, AsistenciaJetAdminConcatenada!$B:$B, 0)), ISNUMBER(SEARCH($A69,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ISNUMBER(SEARCH($A69, INDEX(AsistenciaJetAdminConcatenada!$D:$D, MATCH(1, (AsistenciaJetAdminConcatenada!$A:$A=FL$2)*(AsistenciaJetAdminConcatenada!$B:$B=FL$1), 0)), 1))),  0.5, 0))</f>
        <v>0</v>
      </c>
      <c r="FM69" s="47">
        <f t="array" ref="FM69">IF(AND(ISNUMBER(MATCH(FM$2, AsistenciaJetAdminConcatenada!$A:$A, 0)), ISNUMBER(MATCH(FM$1, AsistenciaJetAdminConcatenada!$B:$B, 0)), ISNUMBER(SEARCH($A69,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ISNUMBER(SEARCH($A69, INDEX(AsistenciaJetAdminConcatenada!$D:$D, MATCH(1, (AsistenciaJetAdminConcatenada!$A:$A=FM$2)*(AsistenciaJetAdminConcatenada!$B:$B=FM$1), 0)), 1))),  0.5, 0))</f>
        <v>0</v>
      </c>
      <c r="FN69" s="47">
        <f t="array" ref="FN69">IF(AND(ISNUMBER(MATCH(FN$2, AsistenciaJetAdminConcatenada!$A:$A, 0)), ISNUMBER(MATCH(FN$1, AsistenciaJetAdminConcatenada!$B:$B, 0)), ISNUMBER(SEARCH($A69,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ISNUMBER(SEARCH($A69, INDEX(AsistenciaJetAdminConcatenada!$D:$D, MATCH(1, (AsistenciaJetAdminConcatenada!$A:$A=FN$2)*(AsistenciaJetAdminConcatenada!$B:$B=FN$1), 0)), 1))),  0.5, 0))</f>
        <v>0</v>
      </c>
      <c r="FO69" s="47">
        <f t="array" ref="FO69">IF(AND(ISNUMBER(MATCH(FO$2, AsistenciaJetAdminConcatenada!$A:$A, 0)), ISNUMBER(MATCH(FO$1, AsistenciaJetAdminConcatenada!$B:$B, 0)), ISNUMBER(SEARCH($A69,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ISNUMBER(SEARCH($A69, INDEX(AsistenciaJetAdminConcatenada!$D:$D, MATCH(1, (AsistenciaJetAdminConcatenada!$A:$A=FO$2)*(AsistenciaJetAdminConcatenada!$B:$B=FO$1), 0)), 1))),  0.5, 0))</f>
        <v>0</v>
      </c>
      <c r="FP69" s="47">
        <f t="array" ref="FP69">IF(AND(ISNUMBER(MATCH(FP$2, AsistenciaJetAdminConcatenada!$A:$A, 0)), ISNUMBER(MATCH(FP$1, AsistenciaJetAdminConcatenada!$B:$B, 0)), ISNUMBER(SEARCH($A69,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ISNUMBER(SEARCH($A69, INDEX(AsistenciaJetAdminConcatenada!$D:$D, MATCH(1, (AsistenciaJetAdminConcatenada!$A:$A=FP$2)*(AsistenciaJetAdminConcatenada!$B:$B=FP$1), 0)), 1))),  0.5, 0))</f>
        <v>0</v>
      </c>
      <c r="FQ69" s="47">
        <f t="array" ref="FQ69">IF(AND(ISNUMBER(MATCH(FQ$2, AsistenciaJetAdminConcatenada!$A:$A, 0)), ISNUMBER(MATCH(FQ$1, AsistenciaJetAdminConcatenada!$B:$B, 0)), ISNUMBER(SEARCH($A69,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ISNUMBER(SEARCH($A69, INDEX(AsistenciaJetAdminConcatenada!$D:$D, MATCH(1, (AsistenciaJetAdminConcatenada!$A:$A=FQ$2)*(AsistenciaJetAdminConcatenada!$B:$B=FQ$1), 0)), 1))),  0.5, 0))</f>
        <v>0</v>
      </c>
      <c r="FR69" s="47">
        <f t="array" ref="FR69">IF(AND(ISNUMBER(MATCH(FR$2, AsistenciaJetAdminConcatenada!$A:$A, 0)), ISNUMBER(MATCH(FR$1, AsistenciaJetAdminConcatenada!$B:$B, 0)), ISNUMBER(SEARCH($A69,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ISNUMBER(SEARCH($A69, INDEX(AsistenciaJetAdminConcatenada!$D:$D, MATCH(1, (AsistenciaJetAdminConcatenada!$A:$A=FR$2)*(AsistenciaJetAdminConcatenada!$B:$B=FR$1), 0)), 1))),  0.5, 0))</f>
        <v>0</v>
      </c>
      <c r="FS69" s="47">
        <f t="array" ref="FS69">IF(AND(ISNUMBER(MATCH(FS$2, AsistenciaJetAdminConcatenada!$A:$A, 0)), ISNUMBER(MATCH(FS$1, AsistenciaJetAdminConcatenada!$B:$B, 0)), ISNUMBER(SEARCH($A69,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ISNUMBER(SEARCH($A69, INDEX(AsistenciaJetAdminConcatenada!$D:$D, MATCH(1, (AsistenciaJetAdminConcatenada!$A:$A=FS$2)*(AsistenciaJetAdminConcatenada!$B:$B=FS$1), 0)), 1))),  0.5, 0))</f>
        <v>0</v>
      </c>
      <c r="FT69" s="47">
        <f t="array" ref="FT69">IF(AND(ISNUMBER(MATCH(FT$2, AsistenciaJetAdminConcatenada!$A:$A, 0)), ISNUMBER(MATCH(FT$1, AsistenciaJetAdminConcatenada!$B:$B, 0)), ISNUMBER(SEARCH($A69,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ISNUMBER(SEARCH($A69, INDEX(AsistenciaJetAdminConcatenada!$D:$D, MATCH(1, (AsistenciaJetAdminConcatenada!$A:$A=FT$2)*(AsistenciaJetAdminConcatenada!$B:$B=FT$1), 0)), 1))),  0.5, 0))</f>
        <v>0</v>
      </c>
      <c r="FU69" s="47">
        <f t="array" ref="FU69">IF(AND(ISNUMBER(MATCH(FU$2, AsistenciaJetAdminConcatenada!$A:$A, 0)), ISNUMBER(MATCH(FU$1, AsistenciaJetAdminConcatenada!$B:$B, 0)), ISNUMBER(SEARCH($A69,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ISNUMBER(SEARCH($A69, INDEX(AsistenciaJetAdminConcatenada!$D:$D, MATCH(1, (AsistenciaJetAdminConcatenada!$A:$A=FU$2)*(AsistenciaJetAdminConcatenada!$B:$B=FU$1), 0)), 1))),  0.5, 0))</f>
        <v>0</v>
      </c>
      <c r="FV69" s="47">
        <f t="array" ref="FV69">IF(AND(ISNUMBER(MATCH(FV$2, AsistenciaJetAdminConcatenada!$A:$A, 0)), ISNUMBER(MATCH(FV$1, AsistenciaJetAdminConcatenada!$B:$B, 0)), ISNUMBER(SEARCH($A69,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ISNUMBER(SEARCH($A69, INDEX(AsistenciaJetAdminConcatenada!$D:$D, MATCH(1, (AsistenciaJetAdminConcatenada!$A:$A=FV$2)*(AsistenciaJetAdminConcatenada!$B:$B=FV$1), 0)), 1))),  0.5, 0))</f>
        <v>0</v>
      </c>
      <c r="FW69" s="47">
        <f t="array" ref="FW69">IF(AND(ISNUMBER(MATCH(FW$2, AsistenciaJetAdminConcatenada!$A:$A, 0)), ISNUMBER(MATCH(FW$1, AsistenciaJetAdminConcatenada!$B:$B, 0)), ISNUMBER(SEARCH($A69,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ISNUMBER(SEARCH($A69, INDEX(AsistenciaJetAdminConcatenada!$D:$D, MATCH(1, (AsistenciaJetAdminConcatenada!$A:$A=FW$2)*(AsistenciaJetAdminConcatenada!$B:$B=FW$1), 0)), 1))),  0.5, 0))</f>
        <v>0</v>
      </c>
      <c r="FX69" s="47">
        <f t="array" ref="FX69">IF(AND(ISNUMBER(MATCH(FX$2, AsistenciaJetAdminConcatenada!$A:$A, 0)), ISNUMBER(MATCH(FX$1, AsistenciaJetAdminConcatenada!$B:$B, 0)), ISNUMBER(SEARCH($A69,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ISNUMBER(SEARCH($A69, INDEX(AsistenciaJetAdminConcatenada!$D:$D, MATCH(1, (AsistenciaJetAdminConcatenada!$A:$A=FX$2)*(AsistenciaJetAdminConcatenada!$B:$B=FX$1), 0)), 1))),  0.5, 0))</f>
        <v>0</v>
      </c>
      <c r="FY69" s="47">
        <f t="array" ref="FY69">IF(AND(ISNUMBER(MATCH(FY$2, AsistenciaJetAdminConcatenada!$A:$A, 0)), ISNUMBER(MATCH(FY$1, AsistenciaJetAdminConcatenada!$B:$B, 0)), ISNUMBER(SEARCH($A69,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ISNUMBER(SEARCH($A69, INDEX(AsistenciaJetAdminConcatenada!$D:$D, MATCH(1, (AsistenciaJetAdminConcatenada!$A:$A=FY$2)*(AsistenciaJetAdminConcatenada!$B:$B=FY$1), 0)), 1))),  0.5, 0))</f>
        <v>0</v>
      </c>
      <c r="FZ69" s="47">
        <f t="array" ref="FZ69">IF(AND(ISNUMBER(MATCH(FZ$2, AsistenciaJetAdminConcatenada!$A:$A, 0)), ISNUMBER(MATCH(FZ$1, AsistenciaJetAdminConcatenada!$B:$B, 0)), ISNUMBER(SEARCH($A69,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ISNUMBER(SEARCH($A69, INDEX(AsistenciaJetAdminConcatenada!$D:$D, MATCH(1, (AsistenciaJetAdminConcatenada!$A:$A=FZ$2)*(AsistenciaJetAdminConcatenada!$B:$B=FZ$1), 0)), 1))),  0.5, 0))</f>
        <v>0</v>
      </c>
      <c r="GA69" s="47">
        <f t="array" ref="GA69">IF(AND(ISNUMBER(MATCH(GA$2, AsistenciaJetAdminConcatenada!$A:$A, 0)), ISNUMBER(MATCH(GA$1, AsistenciaJetAdminConcatenada!$B:$B, 0)), ISNUMBER(SEARCH($A69,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ISNUMBER(SEARCH($A69, INDEX(AsistenciaJetAdminConcatenada!$D:$D, MATCH(1, (AsistenciaJetAdminConcatenada!$A:$A=GA$2)*(AsistenciaJetAdminConcatenada!$B:$B=GA$1), 0)), 1))),  0.5, 0))</f>
        <v>0</v>
      </c>
      <c r="GB69" s="47">
        <f t="array" ref="GB69">IF(AND(ISNUMBER(MATCH(GB$2, AsistenciaJetAdminConcatenada!$A:$A, 0)), ISNUMBER(MATCH(GB$1, AsistenciaJetAdminConcatenada!$B:$B, 0)), ISNUMBER(SEARCH($A69,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ISNUMBER(SEARCH($A69, INDEX(AsistenciaJetAdminConcatenada!$D:$D, MATCH(1, (AsistenciaJetAdminConcatenada!$A:$A=GB$2)*(AsistenciaJetAdminConcatenada!$B:$B=GB$1), 0)), 1))),  0.5, 0))</f>
        <v>0</v>
      </c>
      <c r="GC69" s="47">
        <f t="array" ref="GC69">IF(AND(ISNUMBER(MATCH(GC$2, AsistenciaJetAdminConcatenada!$A:$A, 0)), ISNUMBER(MATCH(GC$1, AsistenciaJetAdminConcatenada!$B:$B, 0)), ISNUMBER(SEARCH($A69,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ISNUMBER(SEARCH($A69, INDEX(AsistenciaJetAdminConcatenada!$D:$D, MATCH(1, (AsistenciaJetAdminConcatenada!$A:$A=GC$2)*(AsistenciaJetAdminConcatenada!$B:$B=GC$1), 0)), 1))),  0.5, 0))</f>
        <v>0</v>
      </c>
      <c r="GD69" s="47">
        <f t="array" ref="GD69">IF(AND(ISNUMBER(MATCH(GD$2, AsistenciaJetAdminConcatenada!$A:$A, 0)), ISNUMBER(MATCH(GD$1, AsistenciaJetAdminConcatenada!$B:$B, 0)), ISNUMBER(SEARCH($A69,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ISNUMBER(SEARCH($A69, INDEX(AsistenciaJetAdminConcatenada!$D:$D, MATCH(1, (AsistenciaJetAdminConcatenada!$A:$A=GD$2)*(AsistenciaJetAdminConcatenada!$B:$B=GD$1), 0)), 1))),  0.5, 0))</f>
        <v>0</v>
      </c>
      <c r="GE69" s="47">
        <f t="array" ref="GE69">IF(AND(ISNUMBER(MATCH(GE$2, AsistenciaJetAdminConcatenada!$A:$A, 0)), ISNUMBER(MATCH(GE$1, AsistenciaJetAdminConcatenada!$B:$B, 0)), ISNUMBER(SEARCH($A69,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ISNUMBER(SEARCH($A69, INDEX(AsistenciaJetAdminConcatenada!$D:$D, MATCH(1, (AsistenciaJetAdminConcatenada!$A:$A=GE$2)*(AsistenciaJetAdminConcatenada!$B:$B=GE$1), 0)), 1))),  0.5, 0))</f>
        <v>0</v>
      </c>
      <c r="GF69" s="47">
        <f t="array" ref="GF69">IF(AND(ISNUMBER(MATCH(GF$2, AsistenciaJetAdminConcatenada!$A:$A, 0)), ISNUMBER(MATCH(GF$1, AsistenciaJetAdminConcatenada!$B:$B, 0)), ISNUMBER(SEARCH($A69,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ISNUMBER(SEARCH($A69, INDEX(AsistenciaJetAdminConcatenada!$D:$D, MATCH(1, (AsistenciaJetAdminConcatenada!$A:$A=GF$2)*(AsistenciaJetAdminConcatenada!$B:$B=GF$1), 0)), 1))),  0.5, 0))</f>
        <v>0</v>
      </c>
      <c r="GG69" s="47">
        <f t="array" ref="GG69">IF(AND(ISNUMBER(MATCH(GG$2, AsistenciaJetAdminConcatenada!$A:$A, 0)), ISNUMBER(MATCH(GG$1, AsistenciaJetAdminConcatenada!$B:$B, 0)), ISNUMBER(SEARCH($A69,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ISNUMBER(SEARCH($A69, INDEX(AsistenciaJetAdminConcatenada!$D:$D, MATCH(1, (AsistenciaJetAdminConcatenada!$A:$A=GG$2)*(AsistenciaJetAdminConcatenada!$B:$B=GG$1), 0)), 1))),  0.5, 0))</f>
        <v>0</v>
      </c>
      <c r="GH69" s="47">
        <f t="array" ref="GH69">IF(AND(ISNUMBER(MATCH(GH$2, AsistenciaJetAdminConcatenada!$A:$A, 0)), ISNUMBER(MATCH(GH$1, AsistenciaJetAdminConcatenada!$B:$B, 0)), ISNUMBER(SEARCH($A69,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ISNUMBER(SEARCH($A69, INDEX(AsistenciaJetAdminConcatenada!$D:$D, MATCH(1, (AsistenciaJetAdminConcatenada!$A:$A=GH$2)*(AsistenciaJetAdminConcatenada!$B:$B=GH$1), 0)), 1))),  0.5, 0))</f>
        <v>0</v>
      </c>
      <c r="GI69" s="47">
        <f t="array" ref="GI69">IF(AND(ISNUMBER(MATCH(GI$2, AsistenciaJetAdminConcatenada!$A:$A, 0)), ISNUMBER(MATCH(GI$1, AsistenciaJetAdminConcatenada!$B:$B, 0)), ISNUMBER(SEARCH($A69,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ISNUMBER(SEARCH($A69, INDEX(AsistenciaJetAdminConcatenada!$D:$D, MATCH(1, (AsistenciaJetAdminConcatenada!$A:$A=GI$2)*(AsistenciaJetAdminConcatenada!$B:$B=GI$1), 0)), 1))),  0.5, 0))</f>
        <v>0</v>
      </c>
      <c r="GJ69" s="47">
        <f t="array" ref="GJ69">IF(AND(ISNUMBER(MATCH(GJ$2, AsistenciaJetAdminConcatenada!$A:$A, 0)), ISNUMBER(MATCH(GJ$1, AsistenciaJetAdminConcatenada!$B:$B, 0)), ISNUMBER(SEARCH($A69,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ISNUMBER(SEARCH($A69, INDEX(AsistenciaJetAdminConcatenada!$D:$D, MATCH(1, (AsistenciaJetAdminConcatenada!$A:$A=GJ$2)*(AsistenciaJetAdminConcatenada!$B:$B=GJ$1), 0)), 1))),  0.5, 0))</f>
        <v>0</v>
      </c>
      <c r="GK69" s="47">
        <f t="array" ref="GK69">IF(AND(ISNUMBER(MATCH(GK$2, AsistenciaJetAdminConcatenada!$A:$A, 0)), ISNUMBER(MATCH(GK$1, AsistenciaJetAdminConcatenada!$B:$B, 0)), ISNUMBER(SEARCH($A69,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ISNUMBER(SEARCH($A69, INDEX(AsistenciaJetAdminConcatenada!$D:$D, MATCH(1, (AsistenciaJetAdminConcatenada!$A:$A=GK$2)*(AsistenciaJetAdminConcatenada!$B:$B=GK$1), 0)), 1))),  0.5, 0))</f>
        <v>0</v>
      </c>
      <c r="GL69" s="47">
        <f t="array" ref="GL69">IF(AND(ISNUMBER(MATCH(GL$2, AsistenciaJetAdminConcatenada!$A:$A, 0)), ISNUMBER(MATCH(GL$1, AsistenciaJetAdminConcatenada!$B:$B, 0)), ISNUMBER(SEARCH($A69,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ISNUMBER(SEARCH($A69, INDEX(AsistenciaJetAdminConcatenada!$D:$D, MATCH(1, (AsistenciaJetAdminConcatenada!$A:$A=GL$2)*(AsistenciaJetAdminConcatenada!$B:$B=GL$1), 0)), 1))),  0.5, 0))</f>
        <v>0</v>
      </c>
      <c r="GM69" s="47">
        <f t="array" ref="GM69">IF(AND(ISNUMBER(MATCH(GM$2, AsistenciaJetAdminConcatenada!$A:$A, 0)), ISNUMBER(MATCH(GM$1, AsistenciaJetAdminConcatenada!$B:$B, 0)), ISNUMBER(SEARCH($A69,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ISNUMBER(SEARCH($A69, INDEX(AsistenciaJetAdminConcatenada!$D:$D, MATCH(1, (AsistenciaJetAdminConcatenada!$A:$A=GM$2)*(AsistenciaJetAdminConcatenada!$B:$B=GM$1), 0)), 1))),  0.5, 0))</f>
        <v>0</v>
      </c>
      <c r="GN69" s="47">
        <f t="array" ref="GN69">IF(AND(ISNUMBER(MATCH(GN$2, AsistenciaJetAdminConcatenada!$A:$A, 0)), ISNUMBER(MATCH(GN$1, AsistenciaJetAdminConcatenada!$B:$B, 0)), ISNUMBER(SEARCH($A69,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ISNUMBER(SEARCH($A69, INDEX(AsistenciaJetAdminConcatenada!$D:$D, MATCH(1, (AsistenciaJetAdminConcatenada!$A:$A=GN$2)*(AsistenciaJetAdminConcatenada!$B:$B=GN$1), 0)), 1))),  0.5, 0))</f>
        <v>0</v>
      </c>
      <c r="GO69" s="47">
        <f t="array" ref="GO69">IF(AND(ISNUMBER(MATCH(GO$2, AsistenciaJetAdminConcatenada!$A:$A, 0)), ISNUMBER(MATCH(GO$1, AsistenciaJetAdminConcatenada!$B:$B, 0)), ISNUMBER(SEARCH($A69,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ISNUMBER(SEARCH($A69, INDEX(AsistenciaJetAdminConcatenada!$D:$D, MATCH(1, (AsistenciaJetAdminConcatenada!$A:$A=GO$2)*(AsistenciaJetAdminConcatenada!$B:$B=GO$1), 0)), 1))),  0.5, 0))</f>
        <v>0</v>
      </c>
      <c r="GP69" s="47">
        <f t="array" ref="GP69">IF(AND(ISNUMBER(MATCH(GP$2, AsistenciaJetAdminConcatenada!$A:$A, 0)), ISNUMBER(MATCH(GP$1, AsistenciaJetAdminConcatenada!$B:$B, 0)), ISNUMBER(SEARCH($A69,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ISNUMBER(SEARCH($A69, INDEX(AsistenciaJetAdminConcatenada!$D:$D, MATCH(1, (AsistenciaJetAdminConcatenada!$A:$A=GP$2)*(AsistenciaJetAdminConcatenada!$B:$B=GP$1), 0)), 1))),  0.5, 0))</f>
        <v>0</v>
      </c>
      <c r="GQ69" s="47">
        <f t="array" ref="GQ69">IF(AND(ISNUMBER(MATCH(GQ$2, AsistenciaJetAdminConcatenada!$A:$A, 0)), ISNUMBER(MATCH(GQ$1, AsistenciaJetAdminConcatenada!$B:$B, 0)), ISNUMBER(SEARCH($A69,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ISNUMBER(SEARCH($A69, INDEX(AsistenciaJetAdminConcatenada!$D:$D, MATCH(1, (AsistenciaJetAdminConcatenada!$A:$A=GQ$2)*(AsistenciaJetAdminConcatenada!$B:$B=GQ$1), 0)), 1))),  0.5, 0))</f>
        <v>0</v>
      </c>
      <c r="GR69" s="47">
        <f t="array" ref="GR69">IF(AND(ISNUMBER(MATCH(GR$2, AsistenciaJetAdminConcatenada!$A:$A, 0)), ISNUMBER(MATCH(GR$1, AsistenciaJetAdminConcatenada!$B:$B, 0)), ISNUMBER(SEARCH($A69,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ISNUMBER(SEARCH($A69, INDEX(AsistenciaJetAdminConcatenada!$D:$D, MATCH(1, (AsistenciaJetAdminConcatenada!$A:$A=GR$2)*(AsistenciaJetAdminConcatenada!$B:$B=GR$1), 0)), 1))),  0.5, 0))</f>
        <v>0</v>
      </c>
      <c r="GS69" s="47">
        <f t="array" ref="GS69">IF(AND(ISNUMBER(MATCH(GS$2, AsistenciaJetAdminConcatenada!$A:$A, 0)), ISNUMBER(MATCH(GS$1, AsistenciaJetAdminConcatenada!$B:$B, 0)), ISNUMBER(SEARCH($A69,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ISNUMBER(SEARCH($A69, INDEX(AsistenciaJetAdminConcatenada!$D:$D, MATCH(1, (AsistenciaJetAdminConcatenada!$A:$A=GS$2)*(AsistenciaJetAdminConcatenada!$B:$B=GS$1), 0)), 1))),  0.5, 0))</f>
        <v>0</v>
      </c>
      <c r="GT69" s="47">
        <f t="array" ref="GT69">IF(AND(ISNUMBER(MATCH(GT$2, AsistenciaJetAdminConcatenada!$A:$A, 0)), ISNUMBER(MATCH(GT$1, AsistenciaJetAdminConcatenada!$B:$B, 0)), ISNUMBER(SEARCH($A69,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ISNUMBER(SEARCH($A69, INDEX(AsistenciaJetAdminConcatenada!$D:$D, MATCH(1, (AsistenciaJetAdminConcatenada!$A:$A=GT$2)*(AsistenciaJetAdminConcatenada!$B:$B=GT$1), 0)), 1))),  0.5, 0))</f>
        <v>0</v>
      </c>
      <c r="GU69" s="47">
        <f t="array" ref="GU69">IF(AND(ISNUMBER(MATCH(GU$2, AsistenciaJetAdminConcatenada!$A:$A, 0)), ISNUMBER(MATCH(GU$1, AsistenciaJetAdminConcatenada!$B:$B, 0)), ISNUMBER(SEARCH($A69,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ISNUMBER(SEARCH($A69, INDEX(AsistenciaJetAdminConcatenada!$D:$D, MATCH(1, (AsistenciaJetAdminConcatenada!$A:$A=GU$2)*(AsistenciaJetAdminConcatenada!$B:$B=GU$1), 0)), 1))),  0.5, 0))</f>
        <v>0</v>
      </c>
      <c r="GV69" s="47">
        <f t="array" ref="GV69">IF(AND(ISNUMBER(MATCH(GV$2, AsistenciaJetAdminConcatenada!$A:$A, 0)), ISNUMBER(MATCH(GV$1, AsistenciaJetAdminConcatenada!$B:$B, 0)), ISNUMBER(SEARCH($A69,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ISNUMBER(SEARCH($A69, INDEX(AsistenciaJetAdminConcatenada!$D:$D, MATCH(1, (AsistenciaJetAdminConcatenada!$A:$A=GV$2)*(AsistenciaJetAdminConcatenada!$B:$B=GV$1), 0)), 1))),  0.5, 0))</f>
        <v>0</v>
      </c>
      <c r="GW69" s="47">
        <f t="array" ref="GW69">IF(AND(ISNUMBER(MATCH(GW$2, AsistenciaJetAdminConcatenada!$A:$A, 0)), ISNUMBER(MATCH(GW$1, AsistenciaJetAdminConcatenada!$B:$B, 0)), ISNUMBER(SEARCH($A69,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ISNUMBER(SEARCH($A69, INDEX(AsistenciaJetAdminConcatenada!$D:$D, MATCH(1, (AsistenciaJetAdminConcatenada!$A:$A=GW$2)*(AsistenciaJetAdminConcatenada!$B:$B=GW$1), 0)), 1))),  0.5, 0))</f>
        <v>0</v>
      </c>
      <c r="GX69" s="47">
        <f t="array" ref="GX69">IF(AND(ISNUMBER(MATCH(GX$2, AsistenciaJetAdminConcatenada!$A:$A, 0)), ISNUMBER(MATCH(GX$1, AsistenciaJetAdminConcatenada!$B:$B, 0)), ISNUMBER(SEARCH($A69,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ISNUMBER(SEARCH($A69, INDEX(AsistenciaJetAdminConcatenada!$D:$D, MATCH(1, (AsistenciaJetAdminConcatenada!$A:$A=GX$2)*(AsistenciaJetAdminConcatenada!$B:$B=GX$1), 0)), 1))),  0.5, 0))</f>
        <v>0</v>
      </c>
      <c r="GY69" s="47">
        <f t="array" ref="GY69">IF(AND(ISNUMBER(MATCH(GY$2, AsistenciaJetAdminConcatenada!$A:$A, 0)), ISNUMBER(MATCH(GY$1, AsistenciaJetAdminConcatenada!$B:$B, 0)), ISNUMBER(SEARCH($A69,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ISNUMBER(SEARCH($A69, INDEX(AsistenciaJetAdminConcatenada!$D:$D, MATCH(1, (AsistenciaJetAdminConcatenada!$A:$A=GY$2)*(AsistenciaJetAdminConcatenada!$B:$B=GY$1), 0)), 1))),  0.5, 0))</f>
        <v>0</v>
      </c>
      <c r="GZ69" s="47">
        <f t="array" ref="GZ69">IF(AND(ISNUMBER(MATCH(GZ$2, AsistenciaJetAdminConcatenada!$A:$A, 0)), ISNUMBER(MATCH(GZ$1, AsistenciaJetAdminConcatenada!$B:$B, 0)), ISNUMBER(SEARCH($A69,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ISNUMBER(SEARCH($A69, INDEX(AsistenciaJetAdminConcatenada!$D:$D, MATCH(1, (AsistenciaJetAdminConcatenada!$A:$A=GZ$2)*(AsistenciaJetAdminConcatenada!$B:$B=GZ$1), 0)), 1))),  0.5, 0))</f>
        <v>0</v>
      </c>
      <c r="HA69" s="47">
        <f t="array" ref="HA69">IF(AND(ISNUMBER(MATCH(HA$2, AsistenciaJetAdminConcatenada!$A:$A, 0)), ISNUMBER(MATCH(HA$1, AsistenciaJetAdminConcatenada!$B:$B, 0)), ISNUMBER(SEARCH($A69,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ISNUMBER(SEARCH($A69, INDEX(AsistenciaJetAdminConcatenada!$D:$D, MATCH(1, (AsistenciaJetAdminConcatenada!$A:$A=HA$2)*(AsistenciaJetAdminConcatenada!$B:$B=HA$1), 0)), 1))),  0.5, 0))</f>
        <v>0</v>
      </c>
      <c r="HB69" s="47">
        <f t="array" ref="HB69">IF(AND(ISNUMBER(MATCH(HB$2, AsistenciaJetAdminConcatenada!$A:$A, 0)), ISNUMBER(MATCH(HB$1, AsistenciaJetAdminConcatenada!$B:$B, 0)), ISNUMBER(SEARCH($A69,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ISNUMBER(SEARCH($A69, INDEX(AsistenciaJetAdminConcatenada!$D:$D, MATCH(1, (AsistenciaJetAdminConcatenada!$A:$A=HB$2)*(AsistenciaJetAdminConcatenada!$B:$B=HB$1), 0)), 1))),  0.5, 0))</f>
        <v>0</v>
      </c>
      <c r="HC69" s="47">
        <f t="array" ref="HC69">IF(AND(ISNUMBER(MATCH(HC$2, AsistenciaJetAdminConcatenada!$A:$A, 0)), ISNUMBER(MATCH(HC$1, AsistenciaJetAdminConcatenada!$B:$B, 0)), ISNUMBER(SEARCH($A69,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ISNUMBER(SEARCH($A69, INDEX(AsistenciaJetAdminConcatenada!$D:$D, MATCH(1, (AsistenciaJetAdminConcatenada!$A:$A=HC$2)*(AsistenciaJetAdminConcatenada!$B:$B=HC$1), 0)), 1))),  0.5, 0))</f>
        <v>0</v>
      </c>
    </row>
    <row r="70" ht="29.25" customHeight="1">
      <c r="A70" s="3">
        <v>208.0</v>
      </c>
      <c r="B70" s="4" t="s">
        <v>288</v>
      </c>
      <c r="C70" s="47">
        <f>SUM(D70:HC70) + ActividadesEspeciales!C70</f>
        <v>84.5</v>
      </c>
      <c r="D70" s="47">
        <f t="array" ref="D70">IF(AND(ISNUMBER(MATCH(D$2, AsistenciaJetAdminConcatenada!$A:$A, 0)), ISNUMBER(MATCH(D$1, AsistenciaJetAdminConcatenada!$B:$B, 0)), ISNUMBER(SEARCH($A70,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ISNUMBER(SEARCH($A70, INDEX(AsistenciaJetAdminConcatenada!$D:$D, MATCH(1, (AsistenciaJetAdminConcatenada!$A:$A=D$2)*(AsistenciaJetAdminConcatenada!$B:$B=D$1), 0)), 1))),  0.5, 0))</f>
        <v>1</v>
      </c>
      <c r="E70" s="47">
        <f t="array" ref="E70">IF(AND(ISNUMBER(MATCH(E$2, AsistenciaJetAdminConcatenada!$A:$A, 0)), ISNUMBER(MATCH(E$1, AsistenciaJetAdminConcatenada!$B:$B, 0)), ISNUMBER(SEARCH($A70,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ISNUMBER(SEARCH($A70, INDEX(AsistenciaJetAdminConcatenada!$D:$D, MATCH(1, (AsistenciaJetAdminConcatenada!$A:$A=E$2)*(AsistenciaJetAdminConcatenada!$B:$B=E$1), 0)), 1))),  0.5, 0))</f>
        <v>1</v>
      </c>
      <c r="F70" s="47">
        <f t="array" ref="F70">IF(AND(ISNUMBER(MATCH(F$2, AsistenciaJetAdminConcatenada!$A:$A, 0)), ISNUMBER(MATCH(F$1, AsistenciaJetAdminConcatenada!$B:$B, 0)), ISNUMBER(SEARCH($A70,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ISNUMBER(SEARCH($A70, INDEX(AsistenciaJetAdminConcatenada!$D:$D, MATCH(1, (AsistenciaJetAdminConcatenada!$A:$A=F$2)*(AsistenciaJetAdminConcatenada!$B:$B=F$1), 0)), 1))),  0.5, 0))</f>
        <v>1</v>
      </c>
      <c r="G70" s="47">
        <f t="array" ref="G70">IF(AND(ISNUMBER(MATCH(G$2, AsistenciaJetAdminConcatenada!$A:$A, 0)), ISNUMBER(MATCH(G$1, AsistenciaJetAdminConcatenada!$B:$B, 0)), ISNUMBER(SEARCH($A70,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ISNUMBER(SEARCH($A70, INDEX(AsistenciaJetAdminConcatenada!$D:$D, MATCH(1, (AsistenciaJetAdminConcatenada!$A:$A=G$2)*(AsistenciaJetAdminConcatenada!$B:$B=G$1), 0)), 1))),  0.5, 0))</f>
        <v>1</v>
      </c>
      <c r="H70" s="47">
        <f t="array" ref="H70">IF(AND(ISNUMBER(MATCH(H$2, AsistenciaJetAdminConcatenada!$A:$A, 0)), ISNUMBER(MATCH(H$1, AsistenciaJetAdminConcatenada!$B:$B, 0)), ISNUMBER(SEARCH($A70,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ISNUMBER(SEARCH($A70, INDEX(AsistenciaJetAdminConcatenada!$D:$D, MATCH(1, (AsistenciaJetAdminConcatenada!$A:$A=H$2)*(AsistenciaJetAdminConcatenada!$B:$B=H$1), 0)), 1))),  0.5, 0))</f>
        <v>1</v>
      </c>
      <c r="I70" s="47">
        <f t="array" ref="I70">IF(AND(ISNUMBER(MATCH(I$2, AsistenciaJetAdminConcatenada!$A:$A, 0)), ISNUMBER(MATCH(I$1, AsistenciaJetAdminConcatenada!$B:$B, 0)), ISNUMBER(SEARCH($A70,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ISNUMBER(SEARCH($A70, INDEX(AsistenciaJetAdminConcatenada!$D:$D, MATCH(1, (AsistenciaJetAdminConcatenada!$A:$A=I$2)*(AsistenciaJetAdminConcatenada!$B:$B=I$1), 0)), 1))),  0.5, 0))</f>
        <v>1</v>
      </c>
      <c r="J70" s="47">
        <f t="array" ref="J70">IF(AND(ISNUMBER(MATCH(J$2, AsistenciaJetAdminConcatenada!$A:$A, 0)), ISNUMBER(MATCH(J$1, AsistenciaJetAdminConcatenada!$B:$B, 0)), ISNUMBER(SEARCH($A70,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ISNUMBER(SEARCH($A70, INDEX(AsistenciaJetAdminConcatenada!$D:$D, MATCH(1, (AsistenciaJetAdminConcatenada!$A:$A=J$2)*(AsistenciaJetAdminConcatenada!$B:$B=J$1), 0)), 1))),  0.5, 0))</f>
        <v>1</v>
      </c>
      <c r="K70" s="47">
        <f t="array" ref="K70">IF(AND(ISNUMBER(MATCH(K$2, AsistenciaJetAdminConcatenada!$A:$A, 0)), ISNUMBER(MATCH(K$1, AsistenciaJetAdminConcatenada!$B:$B, 0)), ISNUMBER(SEARCH($A70,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ISNUMBER(SEARCH($A70, INDEX(AsistenciaJetAdminConcatenada!$D:$D, MATCH(1, (AsistenciaJetAdminConcatenada!$A:$A=K$2)*(AsistenciaJetAdminConcatenada!$B:$B=K$1), 0)), 1))),  0.5, 0))</f>
        <v>1</v>
      </c>
      <c r="L70" s="47">
        <f t="array" ref="L70">IF(AND(ISNUMBER(MATCH(L$2, AsistenciaJetAdminConcatenada!$A:$A, 0)), ISNUMBER(MATCH(L$1, AsistenciaJetAdminConcatenada!$B:$B, 0)), ISNUMBER(SEARCH($A70,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ISNUMBER(SEARCH($A70, INDEX(AsistenciaJetAdminConcatenada!$D:$D, MATCH(1, (AsistenciaJetAdminConcatenada!$A:$A=L$2)*(AsistenciaJetAdminConcatenada!$B:$B=L$1), 0)), 1))),  0.5, 0))</f>
        <v>1</v>
      </c>
      <c r="M70" s="47">
        <f t="array" ref="M70">IF(AND(ISNUMBER(MATCH(M$2, AsistenciaJetAdminConcatenada!$A:$A, 0)), ISNUMBER(MATCH(M$1, AsistenciaJetAdminConcatenada!$B:$B, 0)), ISNUMBER(SEARCH($A70,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ISNUMBER(SEARCH($A70, INDEX(AsistenciaJetAdminConcatenada!$D:$D, MATCH(1, (AsistenciaJetAdminConcatenada!$A:$A=M$2)*(AsistenciaJetAdminConcatenada!$B:$B=M$1), 0)), 1))),  0.5, 0))</f>
        <v>1</v>
      </c>
      <c r="N70" s="47">
        <f t="array" ref="N70">IF(AND(ISNUMBER(MATCH(N$2, AsistenciaJetAdminConcatenada!$A:$A, 0)), ISNUMBER(MATCH(N$1, AsistenciaJetAdminConcatenada!$B:$B, 0)), ISNUMBER(SEARCH($A70,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ISNUMBER(SEARCH($A70, INDEX(AsistenciaJetAdminConcatenada!$D:$D, MATCH(1, (AsistenciaJetAdminConcatenada!$A:$A=N$2)*(AsistenciaJetAdminConcatenada!$B:$B=N$1), 0)), 1))),  0.5, 0))</f>
        <v>1</v>
      </c>
      <c r="O70" s="47">
        <f t="array" ref="O70">IF(AND(ISNUMBER(MATCH(O$2, AsistenciaJetAdminConcatenada!$A:$A, 0)), ISNUMBER(MATCH(O$1, AsistenciaJetAdminConcatenada!$B:$B, 0)), ISNUMBER(SEARCH($A70,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ISNUMBER(SEARCH($A70, INDEX(AsistenciaJetAdminConcatenada!$D:$D, MATCH(1, (AsistenciaJetAdminConcatenada!$A:$A=O$2)*(AsistenciaJetAdminConcatenada!$B:$B=O$1), 0)), 1))),  0.5, 0))</f>
        <v>1</v>
      </c>
      <c r="P70" s="47">
        <f t="array" ref="P70">IF(AND(ISNUMBER(MATCH(P$2, AsistenciaJetAdminConcatenada!$A:$A, 0)), ISNUMBER(MATCH(P$1, AsistenciaJetAdminConcatenada!$B:$B, 0)), ISNUMBER(SEARCH($A70, INDEX(AsistenciaJetAdminConcatenada!$C:$C, MATCH(1, (AsistenciaJetAdminConcatenada!$A:$A=P$2)*(AsistenciaJetAdminConcatenada!$B:$B=P$1), 0)), 1))), 1, IF(AND(ISNUMBER(MATCH(P$2, AsistenciaJetAdminConcatenada!$A:$A, 0)), ISNUMBER(MATCH(P$1, AsistenciaJetAdminConcatenada!$B:$B, 0)), ISNUMBER(SEARCH($A70, INDEX(AsistenciaJetAdminConcatenada!$D:$D, MATCH(1, (AsistenciaJetAdminConcatenada!$A:$A=P$2)*(AsistenciaJetAdminConcatenada!$B:$B=P$1), 0)), 1))),  0.5, 0))</f>
        <v>1</v>
      </c>
      <c r="Q70" s="47">
        <f t="array" ref="Q70">IF(AND(ISNUMBER(MATCH(Q$2, AsistenciaJetAdminConcatenada!$A:$A, 0)), ISNUMBER(MATCH(Q$1, AsistenciaJetAdminConcatenada!$B:$B, 0)), ISNUMBER(SEARCH($A70, INDEX(AsistenciaJetAdminConcatenada!$C:$C, MATCH(1, (AsistenciaJetAdminConcatenada!$A:$A=Q$2)*(AsistenciaJetAdminConcatenada!$B:$B=Q$1), 0)), 1))), 1, IF(AND(ISNUMBER(MATCH(Q$2, AsistenciaJetAdminConcatenada!$A:$A, 0)), ISNUMBER(MATCH(Q$1, AsistenciaJetAdminConcatenada!$B:$B, 0)), ISNUMBER(SEARCH($A70, INDEX(AsistenciaJetAdminConcatenada!$D:$D, MATCH(1, (AsistenciaJetAdminConcatenada!$A:$A=Q$2)*(AsistenciaJetAdminConcatenada!$B:$B=Q$1), 0)), 1))),  0.5, 0))</f>
        <v>1</v>
      </c>
      <c r="R70" s="47">
        <f t="array" ref="R70">IF(AND(ISNUMBER(MATCH(R$2, AsistenciaJetAdminConcatenada!$A:$A, 0)), ISNUMBER(MATCH(R$1, AsistenciaJetAdminConcatenada!$B:$B, 0)), ISNUMBER(SEARCH($A70,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ISNUMBER(SEARCH($A70, INDEX(AsistenciaJetAdminConcatenada!$D:$D, MATCH(1, (AsistenciaJetAdminConcatenada!$A:$A=R$2)*(AsistenciaJetAdminConcatenada!$B:$B=R$1), 0)), 1))),  0.5, 0))</f>
        <v>1</v>
      </c>
      <c r="S70" s="47">
        <f t="array" ref="S70">IF(AND(ISNUMBER(MATCH(S$2, AsistenciaJetAdminConcatenada!$A:$A, 0)), ISNUMBER(MATCH(S$1, AsistenciaJetAdminConcatenada!$B:$B, 0)), ISNUMBER(SEARCH($A70,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ISNUMBER(SEARCH($A70, INDEX(AsistenciaJetAdminConcatenada!$D:$D, MATCH(1, (AsistenciaJetAdminConcatenada!$A:$A=S$2)*(AsistenciaJetAdminConcatenada!$B:$B=S$1), 0)), 1))),  0.5, 0))</f>
        <v>1</v>
      </c>
      <c r="T70" s="47">
        <f t="array" ref="T70">IF(AND(ISNUMBER(MATCH(T$2, AsistenciaJetAdminConcatenada!$A:$A, 0)), ISNUMBER(MATCH(T$1, AsistenciaJetAdminConcatenada!$B:$B, 0)), ISNUMBER(SEARCH($A70,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ISNUMBER(SEARCH($A70, INDEX(AsistenciaJetAdminConcatenada!$D:$D, MATCH(1, (AsistenciaJetAdminConcatenada!$A:$A=T$2)*(AsistenciaJetAdminConcatenada!$B:$B=T$1), 0)), 1))),  0.5, 0))</f>
        <v>1</v>
      </c>
      <c r="U70" s="47">
        <f t="array" ref="U70">IF(AND(ISNUMBER(MATCH(U$2, AsistenciaJetAdminConcatenada!$A:$A, 0)), ISNUMBER(MATCH(U$1, AsistenciaJetAdminConcatenada!$B:$B, 0)), ISNUMBER(SEARCH($A70,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ISNUMBER(SEARCH($A70, INDEX(AsistenciaJetAdminConcatenada!$D:$D, MATCH(1, (AsistenciaJetAdminConcatenada!$A:$A=U$2)*(AsistenciaJetAdminConcatenada!$B:$B=U$1), 0)), 1))),  0.5, 0))</f>
        <v>0.5</v>
      </c>
      <c r="V70" s="47">
        <f t="array" ref="V70">IF(AND(ISNUMBER(MATCH(V$2, AsistenciaJetAdminConcatenada!$A:$A, 0)), ISNUMBER(MATCH(V$1, AsistenciaJetAdminConcatenada!$B:$B, 0)), ISNUMBER(SEARCH($A70,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ISNUMBER(SEARCH($A70, INDEX(AsistenciaJetAdminConcatenada!$D:$D, MATCH(1, (AsistenciaJetAdminConcatenada!$A:$A=V$2)*(AsistenciaJetAdminConcatenada!$B:$B=V$1), 0)), 1))),  0.5, 0))</f>
        <v>1</v>
      </c>
      <c r="W70" s="47">
        <f t="array" ref="W70">IF(AND(ISNUMBER(MATCH(W$2, AsistenciaJetAdminConcatenada!$A:$A, 0)), ISNUMBER(MATCH(W$1, AsistenciaJetAdminConcatenada!$B:$B, 0)), ISNUMBER(SEARCH($A70,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ISNUMBER(SEARCH($A70, INDEX(AsistenciaJetAdminConcatenada!$D:$D, MATCH(1, (AsistenciaJetAdminConcatenada!$A:$A=W$2)*(AsistenciaJetAdminConcatenada!$B:$B=W$1), 0)), 1))),  0.5, 0))</f>
        <v>1</v>
      </c>
      <c r="X70" s="47">
        <f t="array" ref="X70">IF(AND(ISNUMBER(MATCH(X$2, AsistenciaJetAdminConcatenada!$A:$A, 0)), ISNUMBER(MATCH(X$1, AsistenciaJetAdminConcatenada!$B:$B, 0)), ISNUMBER(SEARCH($A70,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ISNUMBER(SEARCH($A70, INDEX(AsistenciaJetAdminConcatenada!$D:$D, MATCH(1, (AsistenciaJetAdminConcatenada!$A:$A=X$2)*(AsistenciaJetAdminConcatenada!$B:$B=X$1), 0)), 1))),  0.5, 0))</f>
        <v>1</v>
      </c>
      <c r="Y70" s="47">
        <f t="array" ref="Y70">IF(AND(ISNUMBER(MATCH(Y$2, AsistenciaJetAdminConcatenada!$A:$A, 0)), ISNUMBER(MATCH(Y$1, AsistenciaJetAdminConcatenada!$B:$B, 0)), ISNUMBER(SEARCH($A70,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ISNUMBER(SEARCH($A70, INDEX(AsistenciaJetAdminConcatenada!$D:$D, MATCH(1, (AsistenciaJetAdminConcatenada!$A:$A=Y$2)*(AsistenciaJetAdminConcatenada!$B:$B=Y$1), 0)), 1))),  0.5, 0))</f>
        <v>1</v>
      </c>
      <c r="Z70" s="47">
        <f t="array" ref="Z70">IF(AND(ISNUMBER(MATCH(Z$2, AsistenciaJetAdminConcatenada!$A:$A, 0)), ISNUMBER(MATCH(Z$1, AsistenciaJetAdminConcatenada!$B:$B, 0)), ISNUMBER(SEARCH($A70,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ISNUMBER(SEARCH($A70, INDEX(AsistenciaJetAdminConcatenada!$D:$D, MATCH(1, (AsistenciaJetAdminConcatenada!$A:$A=Z$2)*(AsistenciaJetAdminConcatenada!$B:$B=Z$1), 0)), 1))),  0.5, 0))</f>
        <v>1</v>
      </c>
      <c r="AA70" s="47">
        <f t="array" ref="AA70">IF(AND(ISNUMBER(MATCH(AA$2, AsistenciaJetAdminConcatenada!$A:$A, 0)), ISNUMBER(MATCH(AA$1, AsistenciaJetAdminConcatenada!$B:$B, 0)), ISNUMBER(SEARCH($A70,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ISNUMBER(SEARCH($A70, INDEX(AsistenciaJetAdminConcatenada!$D:$D, MATCH(1, (AsistenciaJetAdminConcatenada!$A:$A=AA$2)*(AsistenciaJetAdminConcatenada!$B:$B=AA$1), 0)), 1))),  0.5, 0))</f>
        <v>1</v>
      </c>
      <c r="AB70" s="47">
        <f t="array" ref="AB70">IF(AND(ISNUMBER(MATCH(AB$2, AsistenciaJetAdminConcatenada!$A:$A, 0)), ISNUMBER(MATCH(AB$1, AsistenciaJetAdminConcatenada!$B:$B, 0)), ISNUMBER(SEARCH($A70,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ISNUMBER(SEARCH($A70, INDEX(AsistenciaJetAdminConcatenada!$D:$D, MATCH(1, (AsistenciaJetAdminConcatenada!$A:$A=AB$2)*(AsistenciaJetAdminConcatenada!$B:$B=AB$1), 0)), 1))),  0.5, 0))</f>
        <v>1</v>
      </c>
      <c r="AC70" s="47">
        <f t="array" ref="AC70">IF(AND(ISNUMBER(MATCH(AC$2, AsistenciaJetAdminConcatenada!$A:$A, 0)), ISNUMBER(MATCH(AC$1, AsistenciaJetAdminConcatenada!$B:$B, 0)), ISNUMBER(SEARCH($A70,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ISNUMBER(SEARCH($A70, INDEX(AsistenciaJetAdminConcatenada!$D:$D, MATCH(1, (AsistenciaJetAdminConcatenada!$A:$A=AC$2)*(AsistenciaJetAdminConcatenada!$B:$B=AC$1), 0)), 1))),  0.5, 0))</f>
        <v>1</v>
      </c>
      <c r="AD70" s="47">
        <f t="array" ref="AD70">IF(AND(ISNUMBER(MATCH(AD$2, AsistenciaJetAdminConcatenada!$A:$A, 0)), ISNUMBER(MATCH(AD$1, AsistenciaJetAdminConcatenada!$B:$B, 0)), ISNUMBER(SEARCH($A70,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ISNUMBER(SEARCH($A70, INDEX(AsistenciaJetAdminConcatenada!$D:$D, MATCH(1, (AsistenciaJetAdminConcatenada!$A:$A=AD$2)*(AsistenciaJetAdminConcatenada!$B:$B=AD$1), 0)), 1))),  0.5, 0))</f>
        <v>1</v>
      </c>
      <c r="AE70" s="47">
        <f t="array" ref="AE70">IF(AND(ISNUMBER(MATCH(AE$2, AsistenciaJetAdminConcatenada!$A:$A, 0)), ISNUMBER(MATCH(AE$1, AsistenciaJetAdminConcatenada!$B:$B, 0)), ISNUMBER(SEARCH($A70,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ISNUMBER(SEARCH($A70, INDEX(AsistenciaJetAdminConcatenada!$D:$D, MATCH(1, (AsistenciaJetAdminConcatenada!$A:$A=AE$2)*(AsistenciaJetAdminConcatenada!$B:$B=AE$1), 0)), 1))),  0.5, 0))</f>
        <v>1</v>
      </c>
      <c r="AF70" s="47">
        <f t="array" ref="AF70">IF(AND(ISNUMBER(MATCH(AF$2, AsistenciaJetAdminConcatenada!$A:$A, 0)), ISNUMBER(MATCH(AF$1, AsistenciaJetAdminConcatenada!$B:$B, 0)), ISNUMBER(SEARCH($A70,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ISNUMBER(SEARCH($A70, INDEX(AsistenciaJetAdminConcatenada!$D:$D, MATCH(1, (AsistenciaJetAdminConcatenada!$A:$A=AF$2)*(AsistenciaJetAdminConcatenada!$B:$B=AF$1), 0)), 1))),  0.5, 0))</f>
        <v>1</v>
      </c>
      <c r="AG70" s="47">
        <f t="array" ref="AG70">IF(AND(ISNUMBER(MATCH(AG$2, AsistenciaJetAdminConcatenada!$A:$A, 0)), ISNUMBER(MATCH(AG$1, AsistenciaJetAdminConcatenada!$B:$B, 0)), ISNUMBER(SEARCH($A70,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ISNUMBER(SEARCH($A70, INDEX(AsistenciaJetAdminConcatenada!$D:$D, MATCH(1, (AsistenciaJetAdminConcatenada!$A:$A=AG$2)*(AsistenciaJetAdminConcatenada!$B:$B=AG$1), 0)), 1))),  0.5, 0))</f>
        <v>1</v>
      </c>
      <c r="AH70" s="47">
        <f t="array" ref="AH70">IF(AND(ISNUMBER(MATCH(AH$2, AsistenciaJetAdminConcatenada!$A:$A, 0)), ISNUMBER(MATCH(AH$1, AsistenciaJetAdminConcatenada!$B:$B, 0)), ISNUMBER(SEARCH($A70,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ISNUMBER(SEARCH($A70, INDEX(AsistenciaJetAdminConcatenada!$D:$D, MATCH(1, (AsistenciaJetAdminConcatenada!$A:$A=AH$2)*(AsistenciaJetAdminConcatenada!$B:$B=AH$1), 0)), 1))),  0.5, 0))</f>
        <v>0</v>
      </c>
      <c r="AI70" s="47">
        <f t="array" ref="AI70">IF(AND(ISNUMBER(MATCH(AI$2, AsistenciaJetAdminConcatenada!$A:$A, 0)), ISNUMBER(MATCH(AI$1, AsistenciaJetAdminConcatenada!$B:$B, 0)), ISNUMBER(SEARCH($A70,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ISNUMBER(SEARCH($A70, INDEX(AsistenciaJetAdminConcatenada!$D:$D, MATCH(1, (AsistenciaJetAdminConcatenada!$A:$A=AI$2)*(AsistenciaJetAdminConcatenada!$B:$B=AI$1), 0)), 1))),  0.5, 0))</f>
        <v>1</v>
      </c>
      <c r="AJ70" s="47">
        <f t="array" ref="AJ70">IF(AND(ISNUMBER(MATCH(AJ$2, AsistenciaJetAdminConcatenada!$A:$A, 0)), ISNUMBER(MATCH(AJ$1, AsistenciaJetAdminConcatenada!$B:$B, 0)), ISNUMBER(SEARCH($A70,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ISNUMBER(SEARCH($A70, INDEX(AsistenciaJetAdminConcatenada!$D:$D, MATCH(1, (AsistenciaJetAdminConcatenada!$A:$A=AJ$2)*(AsistenciaJetAdminConcatenada!$B:$B=AJ$1), 0)), 1))),  0.5, 0))</f>
        <v>1</v>
      </c>
      <c r="AK70" s="47">
        <f t="array" ref="AK70">IF(AND(ISNUMBER(MATCH(AK$2, AsistenciaJetAdminConcatenada!$A:$A, 0)), ISNUMBER(MATCH(AK$1, AsistenciaJetAdminConcatenada!$B:$B, 0)), ISNUMBER(SEARCH($A70,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ISNUMBER(SEARCH($A70, INDEX(AsistenciaJetAdminConcatenada!$D:$D, MATCH(1, (AsistenciaJetAdminConcatenada!$A:$A=AK$2)*(AsistenciaJetAdminConcatenada!$B:$B=AK$1), 0)), 1))),  0.5, 0))</f>
        <v>1</v>
      </c>
      <c r="AL70" s="47">
        <f t="array" ref="AL70">IF(AND(ISNUMBER(MATCH(AL$2, AsistenciaJetAdminConcatenada!$A:$A, 0)), ISNUMBER(MATCH(AL$1, AsistenciaJetAdminConcatenada!$B:$B, 0)), ISNUMBER(SEARCH($A70,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ISNUMBER(SEARCH($A70, INDEX(AsistenciaJetAdminConcatenada!$D:$D, MATCH(1, (AsistenciaJetAdminConcatenada!$A:$A=AL$2)*(AsistenciaJetAdminConcatenada!$B:$B=AL$1), 0)), 1))),  0.5, 0))</f>
        <v>0</v>
      </c>
      <c r="AM70" s="47">
        <f t="array" ref="AM70">IF(AND(ISNUMBER(MATCH(AM$2, AsistenciaJetAdminConcatenada!$A:$A, 0)), ISNUMBER(MATCH(AM$1, AsistenciaJetAdminConcatenada!$B:$B, 0)), ISNUMBER(SEARCH($A70,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ISNUMBER(SEARCH($A70, INDEX(AsistenciaJetAdminConcatenada!$D:$D, MATCH(1, (AsistenciaJetAdminConcatenada!$A:$A=AM$2)*(AsistenciaJetAdminConcatenada!$B:$B=AM$1), 0)), 1))),  0.5, 0))</f>
        <v>1</v>
      </c>
      <c r="AN70" s="47">
        <f t="array" ref="AN70">IF(AND(ISNUMBER(MATCH(AN$2, AsistenciaJetAdminConcatenada!$A:$A, 0)), ISNUMBER(MATCH(AN$1, AsistenciaJetAdminConcatenada!$B:$B, 0)), ISNUMBER(SEARCH($A70,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ISNUMBER(SEARCH($A70, INDEX(AsistenciaJetAdminConcatenada!$D:$D, MATCH(1, (AsistenciaJetAdminConcatenada!$A:$A=AN$2)*(AsistenciaJetAdminConcatenada!$B:$B=AN$1), 0)), 1))),  0.5, 0))</f>
        <v>1</v>
      </c>
      <c r="AO70" s="47">
        <f t="array" ref="AO70">IF(AND(ISNUMBER(MATCH(AO$2, AsistenciaJetAdminConcatenada!$A:$A, 0)), ISNUMBER(MATCH(AO$1, AsistenciaJetAdminConcatenada!$B:$B, 0)), ISNUMBER(SEARCH($A70,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ISNUMBER(SEARCH($A70, INDEX(AsistenciaJetAdminConcatenada!$D:$D, MATCH(1, (AsistenciaJetAdminConcatenada!$A:$A=AO$2)*(AsistenciaJetAdminConcatenada!$B:$B=AO$1), 0)), 1))),  0.5, 0))</f>
        <v>1</v>
      </c>
      <c r="AP70" s="47">
        <f t="array" ref="AP70">IF(AND(ISNUMBER(MATCH(AP$2, AsistenciaJetAdminConcatenada!$A:$A, 0)), ISNUMBER(MATCH(AP$1, AsistenciaJetAdminConcatenada!$B:$B, 0)), ISNUMBER(SEARCH($A70,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ISNUMBER(SEARCH($A70, INDEX(AsistenciaJetAdminConcatenada!$D:$D, MATCH(1, (AsistenciaJetAdminConcatenada!$A:$A=AP$2)*(AsistenciaJetAdminConcatenada!$B:$B=AP$1), 0)), 1))),  0.5, 0))</f>
        <v>1</v>
      </c>
      <c r="AQ70" s="47">
        <f t="array" ref="AQ70">IF(AND(ISNUMBER(MATCH(AQ$2, AsistenciaJetAdminConcatenada!$A:$A, 0)), ISNUMBER(MATCH(AQ$1, AsistenciaJetAdminConcatenada!$B:$B, 0)), ISNUMBER(SEARCH($A70,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ISNUMBER(SEARCH($A70, INDEX(AsistenciaJetAdminConcatenada!$D:$D, MATCH(1, (AsistenciaJetAdminConcatenada!$A:$A=AQ$2)*(AsistenciaJetAdminConcatenada!$B:$B=AQ$1), 0)), 1))),  0.5, 0))</f>
        <v>0</v>
      </c>
      <c r="AR70" s="47">
        <f t="array" ref="AR70">IF(AND(ISNUMBER(MATCH(AR$2, AsistenciaJetAdminConcatenada!$A:$A, 0)), ISNUMBER(MATCH(AR$1, AsistenciaJetAdminConcatenada!$B:$B, 0)), ISNUMBER(SEARCH($A70,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ISNUMBER(SEARCH($A70, INDEX(AsistenciaJetAdminConcatenada!$D:$D, MATCH(1, (AsistenciaJetAdminConcatenada!$A:$A=AR$2)*(AsistenciaJetAdminConcatenada!$B:$B=AR$1), 0)), 1))),  0.5, 0))</f>
        <v>1</v>
      </c>
      <c r="AS70" s="47">
        <f t="array" ref="AS70">IF(AND(ISNUMBER(MATCH(AS$2, AsistenciaJetAdminConcatenada!$A:$A, 0)), ISNUMBER(MATCH(AS$1, AsistenciaJetAdminConcatenada!$B:$B, 0)), ISNUMBER(SEARCH($A70,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ISNUMBER(SEARCH($A70, INDEX(AsistenciaJetAdminConcatenada!$D:$D, MATCH(1, (AsistenciaJetAdminConcatenada!$A:$A=AS$2)*(AsistenciaJetAdminConcatenada!$B:$B=AS$1), 0)), 1))),  0.5, 0))</f>
        <v>1</v>
      </c>
      <c r="AT70" s="47">
        <f t="array" ref="AT70">IF(AND(ISNUMBER(MATCH(AT$2, AsistenciaJetAdminConcatenada!$A:$A, 0)), ISNUMBER(MATCH(AT$1, AsistenciaJetAdminConcatenada!$B:$B, 0)), ISNUMBER(SEARCH($A70,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ISNUMBER(SEARCH($A70, INDEX(AsistenciaJetAdminConcatenada!$D:$D, MATCH(1, (AsistenciaJetAdminConcatenada!$A:$A=AT$2)*(AsistenciaJetAdminConcatenada!$B:$B=AT$1), 0)), 1))),  0.5, 0))</f>
        <v>0</v>
      </c>
      <c r="AU70" s="47">
        <f t="array" ref="AU70">IF(AND(ISNUMBER(MATCH(AU$2, AsistenciaJetAdminConcatenada!$A:$A, 0)), ISNUMBER(MATCH(AU$1, AsistenciaJetAdminConcatenada!$B:$B, 0)), ISNUMBER(SEARCH($A70,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ISNUMBER(SEARCH($A70, INDEX(AsistenciaJetAdminConcatenada!$D:$D, MATCH(1, (AsistenciaJetAdminConcatenada!$A:$A=AU$2)*(AsistenciaJetAdminConcatenada!$B:$B=AU$1), 0)), 1))),  0.5, 0))</f>
        <v>1</v>
      </c>
      <c r="AV70" s="47">
        <f t="array" ref="AV70">IF(AND(ISNUMBER(MATCH(AV$2, AsistenciaJetAdminConcatenada!$A:$A, 0)), ISNUMBER(MATCH(AV$1, AsistenciaJetAdminConcatenada!$B:$B, 0)), ISNUMBER(SEARCH($A70,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ISNUMBER(SEARCH($A70, INDEX(AsistenciaJetAdminConcatenada!$D:$D, MATCH(1, (AsistenciaJetAdminConcatenada!$A:$A=AV$2)*(AsistenciaJetAdminConcatenada!$B:$B=AV$1), 0)), 1))),  0.5, 0))</f>
        <v>1</v>
      </c>
      <c r="AW70" s="47">
        <f t="array" ref="AW70">IF(AND(ISNUMBER(MATCH(AW$2, AsistenciaJetAdminConcatenada!$A:$A, 0)), ISNUMBER(MATCH(AW$1, AsistenciaJetAdminConcatenada!$B:$B, 0)), ISNUMBER(SEARCH($A70,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ISNUMBER(SEARCH($A70, INDEX(AsistenciaJetAdminConcatenada!$D:$D, MATCH(1, (AsistenciaJetAdminConcatenada!$A:$A=AW$2)*(AsistenciaJetAdminConcatenada!$B:$B=AW$1), 0)), 1))),  0.5, 0))</f>
        <v>1</v>
      </c>
      <c r="AX70" s="47">
        <f t="array" ref="AX70">IF(AND(ISNUMBER(MATCH(AX$2, AsistenciaJetAdminConcatenada!$A:$A, 0)), ISNUMBER(MATCH(AX$1, AsistenciaJetAdminConcatenada!$B:$B, 0)), ISNUMBER(SEARCH($A70,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ISNUMBER(SEARCH($A70, INDEX(AsistenciaJetAdminConcatenada!$D:$D, MATCH(1, (AsistenciaJetAdminConcatenada!$A:$A=AX$2)*(AsistenciaJetAdminConcatenada!$B:$B=AX$1), 0)), 1))),  0.5, 0))</f>
        <v>1</v>
      </c>
      <c r="AY70" s="47">
        <f t="array" ref="AY70">IF(AND(ISNUMBER(MATCH(AY$2, AsistenciaJetAdminConcatenada!$A:$A, 0)), ISNUMBER(MATCH(AY$1, AsistenciaJetAdminConcatenada!$B:$B, 0)), ISNUMBER(SEARCH($A70,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ISNUMBER(SEARCH($A70, INDEX(AsistenciaJetAdminConcatenada!$D:$D, MATCH(1, (AsistenciaJetAdminConcatenada!$A:$A=AY$2)*(AsistenciaJetAdminConcatenada!$B:$B=AY$1), 0)), 1))),  0.5, 0))</f>
        <v>1</v>
      </c>
      <c r="AZ70" s="47">
        <f t="array" ref="AZ70">IF(AND(ISNUMBER(MATCH(AZ$2, AsistenciaJetAdminConcatenada!$A:$A, 0)), ISNUMBER(MATCH(AZ$1, AsistenciaJetAdminConcatenada!$B:$B, 0)), ISNUMBER(SEARCH($A70,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ISNUMBER(SEARCH($A70, INDEX(AsistenciaJetAdminConcatenada!$D:$D, MATCH(1, (AsistenciaJetAdminConcatenada!$A:$A=AZ$2)*(AsistenciaJetAdminConcatenada!$B:$B=AZ$1), 0)), 1))),  0.5, 0))</f>
        <v>1</v>
      </c>
      <c r="BA70" s="47">
        <f t="array" ref="BA70">IF(AND(ISNUMBER(MATCH(BA$2, AsistenciaJetAdminConcatenada!$A:$A, 0)), ISNUMBER(MATCH(BA$1, AsistenciaJetAdminConcatenada!$B:$B, 0)), ISNUMBER(SEARCH($A70,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ISNUMBER(SEARCH($A70, INDEX(AsistenciaJetAdminConcatenada!$D:$D, MATCH(1, (AsistenciaJetAdminConcatenada!$A:$A=BA$2)*(AsistenciaJetAdminConcatenada!$B:$B=BA$1), 0)), 1))),  0.5, 0))</f>
        <v>1</v>
      </c>
      <c r="BB70" s="47">
        <f t="array" ref="BB70">IF(AND(ISNUMBER(MATCH(BB$2, AsistenciaJetAdminConcatenada!$A:$A, 0)), ISNUMBER(MATCH(BB$1, AsistenciaJetAdminConcatenada!$B:$B, 0)), ISNUMBER(SEARCH($A70,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ISNUMBER(SEARCH($A70, INDEX(AsistenciaJetAdminConcatenada!$D:$D, MATCH(1, (AsistenciaJetAdminConcatenada!$A:$A=BB$2)*(AsistenciaJetAdminConcatenada!$B:$B=BB$1), 0)), 1))),  0.5, 0))</f>
        <v>1</v>
      </c>
      <c r="BC70" s="47">
        <f t="array" ref="BC70">IF(AND(ISNUMBER(MATCH(BC$2, AsistenciaJetAdminConcatenada!$A:$A, 0)), ISNUMBER(MATCH(BC$1, AsistenciaJetAdminConcatenada!$B:$B, 0)), ISNUMBER(SEARCH($A70,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ISNUMBER(SEARCH($A70, INDEX(AsistenciaJetAdminConcatenada!$D:$D, MATCH(1, (AsistenciaJetAdminConcatenada!$A:$A=BC$2)*(AsistenciaJetAdminConcatenada!$B:$B=BC$1), 0)), 1))),  0.5, 0))</f>
        <v>1</v>
      </c>
      <c r="BD70" s="47">
        <f t="array" ref="BD70">IF(AND(ISNUMBER(MATCH(BD$2, AsistenciaJetAdminConcatenada!$A:$A, 0)), ISNUMBER(MATCH(BD$1, AsistenciaJetAdminConcatenada!$B:$B, 0)), ISNUMBER(SEARCH($A70,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ISNUMBER(SEARCH($A70, INDEX(AsistenciaJetAdminConcatenada!$D:$D, MATCH(1, (AsistenciaJetAdminConcatenada!$A:$A=BD$2)*(AsistenciaJetAdminConcatenada!$B:$B=BD$1), 0)), 1))),  0.5, 0))</f>
        <v>0</v>
      </c>
      <c r="BE70" s="47">
        <f t="array" ref="BE70">IF(AND(ISNUMBER(MATCH(BE$2, AsistenciaJetAdminConcatenada!$A:$A, 0)), ISNUMBER(MATCH(BE$1, AsistenciaJetAdminConcatenada!$B:$B, 0)), ISNUMBER(SEARCH($A70,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ISNUMBER(SEARCH($A70, INDEX(AsistenciaJetAdminConcatenada!$D:$D, MATCH(1, (AsistenciaJetAdminConcatenada!$A:$A=BE$2)*(AsistenciaJetAdminConcatenada!$B:$B=BE$1), 0)), 1))),  0.5, 0))</f>
        <v>1</v>
      </c>
      <c r="BF70" s="47">
        <f t="array" ref="BF70">IF(AND(ISNUMBER(MATCH(BF$2, AsistenciaJetAdminConcatenada!$A:$A, 0)), ISNUMBER(MATCH(BF$1, AsistenciaJetAdminConcatenada!$B:$B, 0)), ISNUMBER(SEARCH($A70,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ISNUMBER(SEARCH($A70, INDEX(AsistenciaJetAdminConcatenada!$D:$D, MATCH(1, (AsistenciaJetAdminConcatenada!$A:$A=BF$2)*(AsistenciaJetAdminConcatenada!$B:$B=BF$1), 0)), 1))),  0.5, 0))</f>
        <v>1</v>
      </c>
      <c r="BG70" s="47">
        <f t="array" ref="BG70">IF(AND(ISNUMBER(MATCH(BG$2, AsistenciaJetAdminConcatenada!$A:$A, 0)), ISNUMBER(MATCH(BG$1, AsistenciaJetAdminConcatenada!$B:$B, 0)), ISNUMBER(SEARCH($A70,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ISNUMBER(SEARCH($A70, INDEX(AsistenciaJetAdminConcatenada!$D:$D, MATCH(1, (AsistenciaJetAdminConcatenada!$A:$A=BG$2)*(AsistenciaJetAdminConcatenada!$B:$B=BG$1), 0)), 1))),  0.5, 0))</f>
        <v>1</v>
      </c>
      <c r="BH70" s="47">
        <f t="array" ref="BH70">IF(AND(ISNUMBER(MATCH(BH$2, AsistenciaJetAdminConcatenada!$A:$A, 0)), ISNUMBER(MATCH(BH$1, AsistenciaJetAdminConcatenada!$B:$B, 0)), ISNUMBER(SEARCH($A70,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ISNUMBER(SEARCH($A70, INDEX(AsistenciaJetAdminConcatenada!$D:$D, MATCH(1, (AsistenciaJetAdminConcatenada!$A:$A=BH$2)*(AsistenciaJetAdminConcatenada!$B:$B=BH$1), 0)), 1))),  0.5, 0))</f>
        <v>1</v>
      </c>
      <c r="BI70" s="47">
        <f t="array" ref="BI70">IF(AND(ISNUMBER(MATCH(BI$2, AsistenciaJetAdminConcatenada!$A:$A, 0)), ISNUMBER(MATCH(BI$1, AsistenciaJetAdminConcatenada!$B:$B, 0)), ISNUMBER(SEARCH($A70,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ISNUMBER(SEARCH($A70, INDEX(AsistenciaJetAdminConcatenada!$D:$D, MATCH(1, (AsistenciaJetAdminConcatenada!$A:$A=BI$2)*(AsistenciaJetAdminConcatenada!$B:$B=BI$1), 0)), 1))),  0.5, 0))</f>
        <v>1</v>
      </c>
      <c r="BJ70" s="47">
        <f t="array" ref="BJ70">IF(AND(ISNUMBER(MATCH(BJ$2, AsistenciaJetAdminConcatenada!$A:$A, 0)), ISNUMBER(MATCH(BJ$1, AsistenciaJetAdminConcatenada!$B:$B, 0)), ISNUMBER(SEARCH($A70,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ISNUMBER(SEARCH($A70, INDEX(AsistenciaJetAdminConcatenada!$D:$D, MATCH(1, (AsistenciaJetAdminConcatenada!$A:$A=BJ$2)*(AsistenciaJetAdminConcatenada!$B:$B=BJ$1), 0)), 1))),  0.5, 0))</f>
        <v>1</v>
      </c>
      <c r="BK70" s="47">
        <f t="array" ref="BK70">IF(AND(ISNUMBER(MATCH(BK$2, AsistenciaJetAdminConcatenada!$A:$A, 0)), ISNUMBER(MATCH(BK$1, AsistenciaJetAdminConcatenada!$B:$B, 0)), ISNUMBER(SEARCH($A70,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ISNUMBER(SEARCH($A70, INDEX(AsistenciaJetAdminConcatenada!$D:$D, MATCH(1, (AsistenciaJetAdminConcatenada!$A:$A=BK$2)*(AsistenciaJetAdminConcatenada!$B:$B=BK$1), 0)), 1))),  0.5, 0))</f>
        <v>1</v>
      </c>
      <c r="BL70" s="47">
        <f t="array" ref="BL70">IF(AND(ISNUMBER(MATCH(BL$2, AsistenciaJetAdminConcatenada!$A:$A, 0)), ISNUMBER(MATCH(BL$1, AsistenciaJetAdminConcatenada!$B:$B, 0)), ISNUMBER(SEARCH($A70,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ISNUMBER(SEARCH($A70, INDEX(AsistenciaJetAdminConcatenada!$D:$D, MATCH(1, (AsistenciaJetAdminConcatenada!$A:$A=BL$2)*(AsistenciaJetAdminConcatenada!$B:$B=BL$1), 0)), 1))),  0.5, 0))</f>
        <v>1</v>
      </c>
      <c r="BM70" s="47">
        <f t="array" ref="BM70">IF(AND(ISNUMBER(MATCH(BM$2, AsistenciaJetAdminConcatenada!$A:$A, 0)), ISNUMBER(MATCH(BM$1, AsistenciaJetAdminConcatenada!$B:$B, 0)), ISNUMBER(SEARCH($A70,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ISNUMBER(SEARCH($A70, INDEX(AsistenciaJetAdminConcatenada!$D:$D, MATCH(1, (AsistenciaJetAdminConcatenada!$A:$A=BM$2)*(AsistenciaJetAdminConcatenada!$B:$B=BM$1), 0)), 1))),  0.5, 0))</f>
        <v>1</v>
      </c>
      <c r="BN70" s="47">
        <f t="array" ref="BN70">IF(AND(ISNUMBER(MATCH(BN$2, AsistenciaJetAdminConcatenada!$A:$A, 0)), ISNUMBER(MATCH(BN$1, AsistenciaJetAdminConcatenada!$B:$B, 0)), ISNUMBER(SEARCH($A70,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ISNUMBER(SEARCH($A70, INDEX(AsistenciaJetAdminConcatenada!$D:$D, MATCH(1, (AsistenciaJetAdminConcatenada!$A:$A=BN$2)*(AsistenciaJetAdminConcatenada!$B:$B=BN$1), 0)), 1))),  0.5, 0))</f>
        <v>1</v>
      </c>
      <c r="BO70" s="47">
        <f t="array" ref="BO70">IF(AND(ISNUMBER(MATCH(BO$2, AsistenciaJetAdminConcatenada!$A:$A, 0)), ISNUMBER(MATCH(BO$1, AsistenciaJetAdminConcatenada!$B:$B, 0)), ISNUMBER(SEARCH($A70,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ISNUMBER(SEARCH($A70, INDEX(AsistenciaJetAdminConcatenada!$D:$D, MATCH(1, (AsistenciaJetAdminConcatenada!$A:$A=BO$2)*(AsistenciaJetAdminConcatenada!$B:$B=BO$1), 0)), 1))),  0.5, 0))</f>
        <v>1</v>
      </c>
      <c r="BP70" s="47">
        <f t="array" ref="BP70">IF(AND(ISNUMBER(MATCH(BP$2, AsistenciaJetAdminConcatenada!$A:$A, 0)), ISNUMBER(MATCH(BP$1, AsistenciaJetAdminConcatenada!$B:$B, 0)), ISNUMBER(SEARCH($A70,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ISNUMBER(SEARCH($A70, INDEX(AsistenciaJetAdminConcatenada!$D:$D, MATCH(1, (AsistenciaJetAdminConcatenada!$A:$A=BP$2)*(AsistenciaJetAdminConcatenada!$B:$B=BP$1), 0)), 1))),  0.5, 0))</f>
        <v>0</v>
      </c>
      <c r="BQ70" s="47">
        <f t="array" ref="BQ70">IF(AND(ISNUMBER(MATCH(BQ$2, AsistenciaJetAdminConcatenada!$A:$A, 0)), ISNUMBER(MATCH(BQ$1, AsistenciaJetAdminConcatenada!$B:$B, 0)), ISNUMBER(SEARCH($A70,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ISNUMBER(SEARCH($A70, INDEX(AsistenciaJetAdminConcatenada!$D:$D, MATCH(1, (AsistenciaJetAdminConcatenada!$A:$A=BQ$2)*(AsistenciaJetAdminConcatenada!$B:$B=BQ$1), 0)), 1))),  0.5, 0))</f>
        <v>1</v>
      </c>
      <c r="BR70" s="47">
        <f t="array" ref="BR70">IF(AND(ISNUMBER(MATCH(BR$2, AsistenciaJetAdminConcatenada!$A:$A, 0)), ISNUMBER(MATCH(BR$1, AsistenciaJetAdminConcatenada!$B:$B, 0)), ISNUMBER(SEARCH($A70,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ISNUMBER(SEARCH($A70, INDEX(AsistenciaJetAdminConcatenada!$D:$D, MATCH(1, (AsistenciaJetAdminConcatenada!$A:$A=BR$2)*(AsistenciaJetAdminConcatenada!$B:$B=BR$1), 0)), 1))),  0.5, 0))</f>
        <v>0</v>
      </c>
      <c r="BS70" s="47">
        <f t="array" ref="BS70">IF(AND(ISNUMBER(MATCH(BS$2, AsistenciaJetAdminConcatenada!$A:$A, 0)), ISNUMBER(MATCH(BS$1, AsistenciaJetAdminConcatenada!$B:$B, 0)), ISNUMBER(SEARCH($A70,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ISNUMBER(SEARCH($A70, INDEX(AsistenciaJetAdminConcatenada!$D:$D, MATCH(1, (AsistenciaJetAdminConcatenada!$A:$A=BS$2)*(AsistenciaJetAdminConcatenada!$B:$B=BS$1), 0)), 1))),  0.5, 0))</f>
        <v>1</v>
      </c>
      <c r="BT70" s="47">
        <f t="array" ref="BT70">IF(AND(ISNUMBER(MATCH(BT$2, AsistenciaJetAdminConcatenada!$A:$A, 0)), ISNUMBER(MATCH(BT$1, AsistenciaJetAdminConcatenada!$B:$B, 0)), ISNUMBER(SEARCH($A70,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ISNUMBER(SEARCH($A70, INDEX(AsistenciaJetAdminConcatenada!$D:$D, MATCH(1, (AsistenciaJetAdminConcatenada!$A:$A=BT$2)*(AsistenciaJetAdminConcatenada!$B:$B=BT$1), 0)), 1))),  0.5, 0))</f>
        <v>1</v>
      </c>
      <c r="BU70" s="47">
        <f t="array" ref="BU70">IF(AND(ISNUMBER(MATCH(BU$2, AsistenciaJetAdminConcatenada!$A:$A, 0)), ISNUMBER(MATCH(BU$1, AsistenciaJetAdminConcatenada!$B:$B, 0)), ISNUMBER(SEARCH($A70,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ISNUMBER(SEARCH($A70, INDEX(AsistenciaJetAdminConcatenada!$D:$D, MATCH(1, (AsistenciaJetAdminConcatenada!$A:$A=BU$2)*(AsistenciaJetAdminConcatenada!$B:$B=BU$1), 0)), 1))),  0.5, 0))</f>
        <v>1</v>
      </c>
      <c r="BV70" s="47">
        <f t="array" ref="BV70">IF(AND(ISNUMBER(MATCH(BV$2, AsistenciaJetAdminConcatenada!$A:$A, 0)), ISNUMBER(MATCH(BV$1, AsistenciaJetAdminConcatenada!$B:$B, 0)), ISNUMBER(SEARCH($A70,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ISNUMBER(SEARCH($A70, INDEX(AsistenciaJetAdminConcatenada!$D:$D, MATCH(1, (AsistenciaJetAdminConcatenada!$A:$A=BV$2)*(AsistenciaJetAdminConcatenada!$B:$B=BV$1), 0)), 1))),  0.5, 0))</f>
        <v>0</v>
      </c>
      <c r="BW70" s="47">
        <f t="array" ref="BW70">IF(AND(ISNUMBER(MATCH(BW$2, AsistenciaJetAdminConcatenada!$A:$A, 0)), ISNUMBER(MATCH(BW$1, AsistenciaJetAdminConcatenada!$B:$B, 0)), ISNUMBER(SEARCH($A70,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ISNUMBER(SEARCH($A70, INDEX(AsistenciaJetAdminConcatenada!$D:$D, MATCH(1, (AsistenciaJetAdminConcatenada!$A:$A=BW$2)*(AsistenciaJetAdminConcatenada!$B:$B=BW$1), 0)), 1))),  0.5, 0))</f>
        <v>1</v>
      </c>
      <c r="BX70" s="47">
        <f t="array" ref="BX70">IF(AND(ISNUMBER(MATCH(BX$2, AsistenciaJetAdminConcatenada!$A:$A, 0)), ISNUMBER(MATCH(BX$1, AsistenciaJetAdminConcatenada!$B:$B, 0)), ISNUMBER(SEARCH($A70,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ISNUMBER(SEARCH($A70, INDEX(AsistenciaJetAdminConcatenada!$D:$D, MATCH(1, (AsistenciaJetAdminConcatenada!$A:$A=BX$2)*(AsistenciaJetAdminConcatenada!$B:$B=BX$1), 0)), 1))),  0.5, 0))</f>
        <v>1</v>
      </c>
      <c r="BY70" s="47">
        <f t="array" ref="BY70">IF(AND(ISNUMBER(MATCH(BY$2, AsistenciaJetAdminConcatenada!$A:$A, 0)), ISNUMBER(MATCH(BY$1, AsistenciaJetAdminConcatenada!$B:$B, 0)), ISNUMBER(SEARCH($A70,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ISNUMBER(SEARCH($A70, INDEX(AsistenciaJetAdminConcatenada!$D:$D, MATCH(1, (AsistenciaJetAdminConcatenada!$A:$A=BY$2)*(AsistenciaJetAdminConcatenada!$B:$B=BY$1), 0)), 1))),  0.5, 0))</f>
        <v>0</v>
      </c>
      <c r="BZ70" s="47">
        <f t="array" ref="BZ70">IF(AND(ISNUMBER(MATCH(BZ$2, AsistenciaJetAdminConcatenada!$A:$A, 0)), ISNUMBER(MATCH(BZ$1, AsistenciaJetAdminConcatenada!$B:$B, 0)), ISNUMBER(SEARCH($A70,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ISNUMBER(SEARCH($A70, INDEX(AsistenciaJetAdminConcatenada!$D:$D, MATCH(1, (AsistenciaJetAdminConcatenada!$A:$A=BZ$2)*(AsistenciaJetAdminConcatenada!$B:$B=BZ$1), 0)), 1))),  0.5, 0))</f>
        <v>1</v>
      </c>
      <c r="CA70" s="47">
        <f t="array" ref="CA70">IF(AND(ISNUMBER(MATCH(CA$2, AsistenciaJetAdminConcatenada!$A:$A, 0)), ISNUMBER(MATCH(CA$1, AsistenciaJetAdminConcatenada!$B:$B, 0)), ISNUMBER(SEARCH($A70,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ISNUMBER(SEARCH($A70, INDEX(AsistenciaJetAdminConcatenada!$D:$D, MATCH(1, (AsistenciaJetAdminConcatenada!$A:$A=CA$2)*(AsistenciaJetAdminConcatenada!$B:$B=CA$1), 0)), 1))),  0.5, 0))</f>
        <v>1</v>
      </c>
      <c r="CB70" s="47">
        <f t="array" ref="CB70">IF(AND(ISNUMBER(MATCH(CB$2, AsistenciaJetAdminConcatenada!$A:$A, 0)), ISNUMBER(MATCH(CB$1, AsistenciaJetAdminConcatenada!$B:$B, 0)), ISNUMBER(SEARCH($A70,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ISNUMBER(SEARCH($A70, INDEX(AsistenciaJetAdminConcatenada!$D:$D, MATCH(1, (AsistenciaJetAdminConcatenada!$A:$A=CB$2)*(AsistenciaJetAdminConcatenada!$B:$B=CB$1), 0)), 1))),  0.5, 0))</f>
        <v>0</v>
      </c>
      <c r="CC70" s="47">
        <f t="array" ref="CC70">IF(AND(ISNUMBER(MATCH(CC$2, AsistenciaJetAdminConcatenada!$A:$A, 0)), ISNUMBER(MATCH(CC$1, AsistenciaJetAdminConcatenada!$B:$B, 0)), ISNUMBER(SEARCH($A70,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ISNUMBER(SEARCH($A70, INDEX(AsistenciaJetAdminConcatenada!$D:$D, MATCH(1, (AsistenciaJetAdminConcatenada!$A:$A=CC$2)*(AsistenciaJetAdminConcatenada!$B:$B=CC$1), 0)), 1))),  0.5, 0))</f>
        <v>1</v>
      </c>
      <c r="CD70" s="47">
        <f t="array" ref="CD70">IF(AND(ISNUMBER(MATCH(CD$2, AsistenciaJetAdminConcatenada!$A:$A, 0)), ISNUMBER(MATCH(CD$1, AsistenciaJetAdminConcatenada!$B:$B, 0)), ISNUMBER(SEARCH($A70,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ISNUMBER(SEARCH($A70, INDEX(AsistenciaJetAdminConcatenada!$D:$D, MATCH(1, (AsistenciaJetAdminConcatenada!$A:$A=CD$2)*(AsistenciaJetAdminConcatenada!$B:$B=CD$1), 0)), 1))),  0.5, 0))</f>
        <v>0</v>
      </c>
      <c r="CE70" s="47">
        <f t="array" ref="CE70">IF(AND(ISNUMBER(MATCH(CE$2, AsistenciaJetAdminConcatenada!$A:$A, 0)), ISNUMBER(MATCH(CE$1, AsistenciaJetAdminConcatenada!$B:$B, 0)), ISNUMBER(SEARCH($A70,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ISNUMBER(SEARCH($A70, INDEX(AsistenciaJetAdminConcatenada!$D:$D, MATCH(1, (AsistenciaJetAdminConcatenada!$A:$A=CE$2)*(AsistenciaJetAdminConcatenada!$B:$B=CE$1), 0)), 1))),  0.5, 0))</f>
        <v>1</v>
      </c>
      <c r="CF70" s="47">
        <f t="array" ref="CF70">IF(AND(ISNUMBER(MATCH(CF$2, AsistenciaJetAdminConcatenada!$A:$A, 0)), ISNUMBER(MATCH(CF$1, AsistenciaJetAdminConcatenada!$B:$B, 0)), ISNUMBER(SEARCH($A70,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ISNUMBER(SEARCH($A70, INDEX(AsistenciaJetAdminConcatenada!$D:$D, MATCH(1, (AsistenciaJetAdminConcatenada!$A:$A=CF$2)*(AsistenciaJetAdminConcatenada!$B:$B=CF$1), 0)), 1))),  0.5, 0))</f>
        <v>1</v>
      </c>
      <c r="CG70" s="47">
        <f t="array" ref="CG70">IF(AND(ISNUMBER(MATCH(CG$2, AsistenciaJetAdminConcatenada!$A:$A, 0)), ISNUMBER(MATCH(CG$1, AsistenciaJetAdminConcatenada!$B:$B, 0)), ISNUMBER(SEARCH($A70,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ISNUMBER(SEARCH($A70, INDEX(AsistenciaJetAdminConcatenada!$D:$D, MATCH(1, (AsistenciaJetAdminConcatenada!$A:$A=CG$2)*(AsistenciaJetAdminConcatenada!$B:$B=CG$1), 0)), 1))),  0.5, 0))</f>
        <v>1</v>
      </c>
      <c r="CH70" s="47">
        <f t="array" ref="CH70">IF(AND(ISNUMBER(MATCH(CH$2, AsistenciaJetAdminConcatenada!$A:$A, 0)), ISNUMBER(MATCH(CH$1, AsistenciaJetAdminConcatenada!$B:$B, 0)), ISNUMBER(SEARCH($A70,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ISNUMBER(SEARCH($A70, INDEX(AsistenciaJetAdminConcatenada!$D:$D, MATCH(1, (AsistenciaJetAdminConcatenada!$A:$A=CH$2)*(AsistenciaJetAdminConcatenada!$B:$B=CH$1), 0)), 1))),  0.5, 0))</f>
        <v>1</v>
      </c>
      <c r="CI70" s="47">
        <f t="array" ref="CI70">IF(AND(ISNUMBER(MATCH(CI$2, AsistenciaJetAdminConcatenada!$A:$A, 0)), ISNUMBER(MATCH(CI$1, AsistenciaJetAdminConcatenada!$B:$B, 0)), ISNUMBER(SEARCH($A70,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ISNUMBER(SEARCH($A70, INDEX(AsistenciaJetAdminConcatenada!$D:$D, MATCH(1, (AsistenciaJetAdminConcatenada!$A:$A=CI$2)*(AsistenciaJetAdminConcatenada!$B:$B=CI$1), 0)), 1))),  0.5, 0))</f>
        <v>1</v>
      </c>
      <c r="CJ70" s="47">
        <f t="array" ref="CJ70">IF(AND(ISNUMBER(MATCH(CJ$2, AsistenciaJetAdminConcatenada!$A:$A, 0)), ISNUMBER(MATCH(CJ$1, AsistenciaJetAdminConcatenada!$B:$B, 0)), ISNUMBER(SEARCH($A70,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ISNUMBER(SEARCH($A70, INDEX(AsistenciaJetAdminConcatenada!$D:$D, MATCH(1, (AsistenciaJetAdminConcatenada!$A:$A=CJ$2)*(AsistenciaJetAdminConcatenada!$B:$B=CJ$1), 0)), 1))),  0.5, 0))</f>
        <v>1</v>
      </c>
      <c r="CK70" s="47">
        <f t="array" ref="CK70">IF(AND(ISNUMBER(MATCH(CK$2, AsistenciaJetAdminConcatenada!$A:$A, 0)), ISNUMBER(MATCH(CK$1, AsistenciaJetAdminConcatenada!$B:$B, 0)), ISNUMBER(SEARCH($A70,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ISNUMBER(SEARCH($A70, INDEX(AsistenciaJetAdminConcatenada!$D:$D, MATCH(1, (AsistenciaJetAdminConcatenada!$A:$A=CK$2)*(AsistenciaJetAdminConcatenada!$B:$B=CK$1), 0)), 1))),  0.5, 0))</f>
        <v>1</v>
      </c>
      <c r="CL70" s="47">
        <f t="array" ref="CL70">IF(AND(ISNUMBER(MATCH(CL$2, AsistenciaJetAdminConcatenada!$A:$A, 0)), ISNUMBER(MATCH(CL$1, AsistenciaJetAdminConcatenada!$B:$B, 0)), ISNUMBER(SEARCH($A70,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ISNUMBER(SEARCH($A70, INDEX(AsistenciaJetAdminConcatenada!$D:$D, MATCH(1, (AsistenciaJetAdminConcatenada!$A:$A=CL$2)*(AsistenciaJetAdminConcatenada!$B:$B=CL$1), 0)), 1))),  0.5, 0))</f>
        <v>1</v>
      </c>
      <c r="CM70" s="47">
        <f t="array" ref="CM70">IF(AND(ISNUMBER(MATCH(CM$2, AsistenciaJetAdminConcatenada!$A:$A, 0)), ISNUMBER(MATCH(CM$1, AsistenciaJetAdminConcatenada!$B:$B, 0)), ISNUMBER(SEARCH($A70,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ISNUMBER(SEARCH($A70, INDEX(AsistenciaJetAdminConcatenada!$D:$D, MATCH(1, (AsistenciaJetAdminConcatenada!$A:$A=CM$2)*(AsistenciaJetAdminConcatenada!$B:$B=CM$1), 0)), 1))),  0.5, 0))</f>
        <v>1</v>
      </c>
      <c r="CN70" s="47">
        <f t="array" ref="CN70">IF(AND(ISNUMBER(MATCH(CN$2, AsistenciaJetAdminConcatenada!$A:$A, 0)), ISNUMBER(MATCH(CN$1, AsistenciaJetAdminConcatenada!$B:$B, 0)), ISNUMBER(SEARCH($A70,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ISNUMBER(SEARCH($A70, INDEX(AsistenciaJetAdminConcatenada!$D:$D, MATCH(1, (AsistenciaJetAdminConcatenada!$A:$A=CN$2)*(AsistenciaJetAdminConcatenada!$B:$B=CN$1), 0)), 1))),  0.5, 0))</f>
        <v>1</v>
      </c>
      <c r="CO70" s="47">
        <f t="array" ref="CO70">IF(AND(ISNUMBER(MATCH(CO$2, AsistenciaJetAdminConcatenada!$A:$A, 0)), ISNUMBER(MATCH(CO$1, AsistenciaJetAdminConcatenada!$B:$B, 0)), ISNUMBER(SEARCH($A70,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ISNUMBER(SEARCH($A70, INDEX(AsistenciaJetAdminConcatenada!$D:$D, MATCH(1, (AsistenciaJetAdminConcatenada!$A:$A=CO$2)*(AsistenciaJetAdminConcatenada!$B:$B=CO$1), 0)), 1))),  0.5, 0))</f>
        <v>1</v>
      </c>
      <c r="CP70" s="47">
        <f t="array" ref="CP70">IF(AND(ISNUMBER(MATCH(CP$2, AsistenciaJetAdminConcatenada!$A:$A, 0)), ISNUMBER(MATCH(CP$1, AsistenciaJetAdminConcatenada!$B:$B, 0)), ISNUMBER(SEARCH($A70,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ISNUMBER(SEARCH($A70, INDEX(AsistenciaJetAdminConcatenada!$D:$D, MATCH(1, (AsistenciaJetAdminConcatenada!$A:$A=CP$2)*(AsistenciaJetAdminConcatenada!$B:$B=CP$1), 0)), 1))),  0.5, 0))</f>
        <v>1</v>
      </c>
      <c r="CQ70" s="47">
        <f t="array" ref="CQ70">IF(AND(ISNUMBER(MATCH(CQ$2, AsistenciaJetAdminConcatenada!$A:$A, 0)), ISNUMBER(MATCH(CQ$1, AsistenciaJetAdminConcatenada!$B:$B, 0)), ISNUMBER(SEARCH($A70,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ISNUMBER(SEARCH($A70, INDEX(AsistenciaJetAdminConcatenada!$D:$D, MATCH(1, (AsistenciaJetAdminConcatenada!$A:$A=CQ$2)*(AsistenciaJetAdminConcatenada!$B:$B=CQ$1), 0)), 1))),  0.5, 0))</f>
        <v>1</v>
      </c>
      <c r="CR70" s="47">
        <f t="array" ref="CR70">IF(AND(ISNUMBER(MATCH(CR$2, AsistenciaJetAdminConcatenada!$A:$A, 0)), ISNUMBER(MATCH(CR$1, AsistenciaJetAdminConcatenada!$B:$B, 0)), ISNUMBER(SEARCH($A70,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ISNUMBER(SEARCH($A70, INDEX(AsistenciaJetAdminConcatenada!$D:$D, MATCH(1, (AsistenciaJetAdminConcatenada!$A:$A=CR$2)*(AsistenciaJetAdminConcatenada!$B:$B=CR$1), 0)), 1))),  0.5, 0))</f>
        <v>1</v>
      </c>
      <c r="CS70" s="47">
        <f t="array" ref="CS70">IF(AND(ISNUMBER(MATCH(CS$2, AsistenciaJetAdminConcatenada!$A:$A, 0)), ISNUMBER(MATCH(CS$1, AsistenciaJetAdminConcatenada!$B:$B, 0)), ISNUMBER(SEARCH($A70,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ISNUMBER(SEARCH($A70, INDEX(AsistenciaJetAdminConcatenada!$D:$D, MATCH(1, (AsistenciaJetAdminConcatenada!$A:$A=CS$2)*(AsistenciaJetAdminConcatenada!$B:$B=CS$1), 0)), 1))),  0.5, 0))</f>
        <v>0</v>
      </c>
      <c r="CT70" s="47">
        <f t="array" ref="CT70">IF(AND(ISNUMBER(MATCH(CT$2, AsistenciaJetAdminConcatenada!$A:$A, 0)), ISNUMBER(MATCH(CT$1, AsistenciaJetAdminConcatenada!$B:$B, 0)), ISNUMBER(SEARCH($A70,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ISNUMBER(SEARCH($A70, INDEX(AsistenciaJetAdminConcatenada!$D:$D, MATCH(1, (AsistenciaJetAdminConcatenada!$A:$A=CT$2)*(AsistenciaJetAdminConcatenada!$B:$B=CT$1), 0)), 1))),  0.5, 0))</f>
        <v>0</v>
      </c>
      <c r="CU70" s="47">
        <f t="array" ref="CU70">IF(AND(ISNUMBER(MATCH(CU$2, AsistenciaJetAdminConcatenada!$A:$A, 0)), ISNUMBER(MATCH(CU$1, AsistenciaJetAdminConcatenada!$B:$B, 0)), ISNUMBER(SEARCH($A70,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ISNUMBER(SEARCH($A70, INDEX(AsistenciaJetAdminConcatenada!$D:$D, MATCH(1, (AsistenciaJetAdminConcatenada!$A:$A=CU$2)*(AsistenciaJetAdminConcatenada!$B:$B=CU$1), 0)), 1))),  0.5, 0))</f>
        <v>0</v>
      </c>
      <c r="CV70" s="47">
        <f t="array" ref="CV70">IF(AND(ISNUMBER(MATCH(CV$2, AsistenciaJetAdminConcatenada!$A:$A, 0)), ISNUMBER(MATCH(CV$1, AsistenciaJetAdminConcatenada!$B:$B, 0)), ISNUMBER(SEARCH($A70,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ISNUMBER(SEARCH($A70, INDEX(AsistenciaJetAdminConcatenada!$D:$D, MATCH(1, (AsistenciaJetAdminConcatenada!$A:$A=CV$2)*(AsistenciaJetAdminConcatenada!$B:$B=CV$1), 0)), 1))),  0.5, 0))</f>
        <v>0</v>
      </c>
      <c r="CW70" s="47">
        <f t="array" ref="CW70">IF(AND(ISNUMBER(MATCH(CW$2, AsistenciaJetAdminConcatenada!$A:$A, 0)), ISNUMBER(MATCH(CW$1, AsistenciaJetAdminConcatenada!$B:$B, 0)), ISNUMBER(SEARCH($A70,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ISNUMBER(SEARCH($A70, INDEX(AsistenciaJetAdminConcatenada!$D:$D, MATCH(1, (AsistenciaJetAdminConcatenada!$A:$A=CW$2)*(AsistenciaJetAdminConcatenada!$B:$B=CW$1), 0)), 1))),  0.5, 0))</f>
        <v>0</v>
      </c>
      <c r="CX70" s="47">
        <f t="array" ref="CX70">IF(AND(ISNUMBER(MATCH(CX$2, AsistenciaJetAdminConcatenada!$A:$A, 0)), ISNUMBER(MATCH(CX$1, AsistenciaJetAdminConcatenada!$B:$B, 0)), ISNUMBER(SEARCH($A70,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ISNUMBER(SEARCH($A70, INDEX(AsistenciaJetAdminConcatenada!$D:$D, MATCH(1, (AsistenciaJetAdminConcatenada!$A:$A=CX$2)*(AsistenciaJetAdminConcatenada!$B:$B=CX$1), 0)), 1))),  0.5, 0))</f>
        <v>0</v>
      </c>
      <c r="CY70" s="47">
        <f t="array" ref="CY70">IF(AND(ISNUMBER(MATCH(CY$2, AsistenciaJetAdminConcatenada!$A:$A, 0)), ISNUMBER(MATCH(CY$1, AsistenciaJetAdminConcatenada!$B:$B, 0)), ISNUMBER(SEARCH($A70,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ISNUMBER(SEARCH($A70, INDEX(AsistenciaJetAdminConcatenada!$D:$D, MATCH(1, (AsistenciaJetAdminConcatenada!$A:$A=CY$2)*(AsistenciaJetAdminConcatenada!$B:$B=CY$1), 0)), 1))),  0.5, 0))</f>
        <v>0</v>
      </c>
      <c r="CZ70" s="47">
        <f t="array" ref="CZ70">IF(AND(ISNUMBER(MATCH(CZ$2, AsistenciaJetAdminConcatenada!$A:$A, 0)), ISNUMBER(MATCH(CZ$1, AsistenciaJetAdminConcatenada!$B:$B, 0)), ISNUMBER(SEARCH($A70,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ISNUMBER(SEARCH($A70, INDEX(AsistenciaJetAdminConcatenada!$D:$D, MATCH(1, (AsistenciaJetAdminConcatenada!$A:$A=CZ$2)*(AsistenciaJetAdminConcatenada!$B:$B=CZ$1), 0)), 1))),  0.5, 0))</f>
        <v>0</v>
      </c>
      <c r="DA70" s="47">
        <f t="array" ref="DA70">IF(AND(ISNUMBER(MATCH(DA$2, AsistenciaJetAdminConcatenada!$A:$A, 0)), ISNUMBER(MATCH(DA$1, AsistenciaJetAdminConcatenada!$B:$B, 0)), ISNUMBER(SEARCH($A70,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ISNUMBER(SEARCH($A70, INDEX(AsistenciaJetAdminConcatenada!$D:$D, MATCH(1, (AsistenciaJetAdminConcatenada!$A:$A=DA$2)*(AsistenciaJetAdminConcatenada!$B:$B=DA$1), 0)), 1))),  0.5, 0))</f>
        <v>0</v>
      </c>
      <c r="DB70" s="47">
        <f t="array" ref="DB70">IF(AND(ISNUMBER(MATCH(DB$2, AsistenciaJetAdminConcatenada!$A:$A, 0)), ISNUMBER(MATCH(DB$1, AsistenciaJetAdminConcatenada!$B:$B, 0)), ISNUMBER(SEARCH($A70,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ISNUMBER(SEARCH($A70, INDEX(AsistenciaJetAdminConcatenada!$D:$D, MATCH(1, (AsistenciaJetAdminConcatenada!$A:$A=DB$2)*(AsistenciaJetAdminConcatenada!$B:$B=DB$1), 0)), 1))),  0.5, 0))</f>
        <v>0</v>
      </c>
      <c r="DC70" s="47">
        <f t="array" ref="DC70">IF(AND(ISNUMBER(MATCH(DC$2, AsistenciaJetAdminConcatenada!$A:$A, 0)), ISNUMBER(MATCH(DC$1, AsistenciaJetAdminConcatenada!$B:$B, 0)), ISNUMBER(SEARCH($A70,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ISNUMBER(SEARCH($A70, INDEX(AsistenciaJetAdminConcatenada!$D:$D, MATCH(1, (AsistenciaJetAdminConcatenada!$A:$A=DC$2)*(AsistenciaJetAdminConcatenada!$B:$B=DC$1), 0)), 1))),  0.5, 0))</f>
        <v>0</v>
      </c>
      <c r="DD70" s="47">
        <f t="array" ref="DD70">IF(AND(ISNUMBER(MATCH(DD$2, AsistenciaJetAdminConcatenada!$A:$A, 0)), ISNUMBER(MATCH(DD$1, AsistenciaJetAdminConcatenada!$B:$B, 0)), ISNUMBER(SEARCH($A70,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ISNUMBER(SEARCH($A70, INDEX(AsistenciaJetAdminConcatenada!$D:$D, MATCH(1, (AsistenciaJetAdminConcatenada!$A:$A=DD$2)*(AsistenciaJetAdminConcatenada!$B:$B=DD$1), 0)), 1))),  0.5, 0))</f>
        <v>0</v>
      </c>
      <c r="DE70" s="47">
        <f t="array" ref="DE70">IF(AND(ISNUMBER(MATCH(DE$2, AsistenciaJetAdminConcatenada!$A:$A, 0)), ISNUMBER(MATCH(DE$1, AsistenciaJetAdminConcatenada!$B:$B, 0)), ISNUMBER(SEARCH($A70,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ISNUMBER(SEARCH($A70, INDEX(AsistenciaJetAdminConcatenada!$D:$D, MATCH(1, (AsistenciaJetAdminConcatenada!$A:$A=DE$2)*(AsistenciaJetAdminConcatenada!$B:$B=DE$1), 0)), 1))),  0.5, 0))</f>
        <v>0</v>
      </c>
      <c r="DF70" s="47">
        <f t="array" ref="DF70">IF(AND(ISNUMBER(MATCH(DF$2, AsistenciaJetAdminConcatenada!$A:$A, 0)), ISNUMBER(MATCH(DF$1, AsistenciaJetAdminConcatenada!$B:$B, 0)), ISNUMBER(SEARCH($A70,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ISNUMBER(SEARCH($A70, INDEX(AsistenciaJetAdminConcatenada!$D:$D, MATCH(1, (AsistenciaJetAdminConcatenada!$A:$A=DF$2)*(AsistenciaJetAdminConcatenada!$B:$B=DF$1), 0)), 1))),  0.5, 0))</f>
        <v>0</v>
      </c>
      <c r="DG70" s="47">
        <f t="array" ref="DG70">IF(AND(ISNUMBER(MATCH(DG$2, AsistenciaJetAdminConcatenada!$A:$A, 0)), ISNUMBER(MATCH(DG$1, AsistenciaJetAdminConcatenada!$B:$B, 0)), ISNUMBER(SEARCH($A70,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ISNUMBER(SEARCH($A70, INDEX(AsistenciaJetAdminConcatenada!$D:$D, MATCH(1, (AsistenciaJetAdminConcatenada!$A:$A=DG$2)*(AsistenciaJetAdminConcatenada!$B:$B=DG$1), 0)), 1))),  0.5, 0))</f>
        <v>0</v>
      </c>
      <c r="DH70" s="47">
        <f t="array" ref="DH70">IF(AND(ISNUMBER(MATCH(DH$2, AsistenciaJetAdminConcatenada!$A:$A, 0)), ISNUMBER(MATCH(DH$1, AsistenciaJetAdminConcatenada!$B:$B, 0)), ISNUMBER(SEARCH($A70,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ISNUMBER(SEARCH($A70, INDEX(AsistenciaJetAdminConcatenada!$D:$D, MATCH(1, (AsistenciaJetAdminConcatenada!$A:$A=DH$2)*(AsistenciaJetAdminConcatenada!$B:$B=DH$1), 0)), 1))),  0.5, 0))</f>
        <v>0</v>
      </c>
      <c r="DI70" s="47">
        <f t="array" ref="DI70">IF(AND(ISNUMBER(MATCH(DI$2, AsistenciaJetAdminConcatenada!$A:$A, 0)), ISNUMBER(MATCH(DI$1, AsistenciaJetAdminConcatenada!$B:$B, 0)), ISNUMBER(SEARCH($A70,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ISNUMBER(SEARCH($A70, INDEX(AsistenciaJetAdminConcatenada!$D:$D, MATCH(1, (AsistenciaJetAdminConcatenada!$A:$A=DI$2)*(AsistenciaJetAdminConcatenada!$B:$B=DI$1), 0)), 1))),  0.5, 0))</f>
        <v>0</v>
      </c>
      <c r="DJ70" s="47">
        <f t="array" ref="DJ70">IF(AND(ISNUMBER(MATCH(DJ$2, AsistenciaJetAdminConcatenada!$A:$A, 0)), ISNUMBER(MATCH(DJ$1, AsistenciaJetAdminConcatenada!$B:$B, 0)), ISNUMBER(SEARCH($A70,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ISNUMBER(SEARCH($A70, INDEX(AsistenciaJetAdminConcatenada!$D:$D, MATCH(1, (AsistenciaJetAdminConcatenada!$A:$A=DJ$2)*(AsistenciaJetAdminConcatenada!$B:$B=DJ$1), 0)), 1))),  0.5, 0))</f>
        <v>0</v>
      </c>
      <c r="DK70" s="47">
        <f t="array" ref="DK70">IF(AND(ISNUMBER(MATCH(DK$2, AsistenciaJetAdminConcatenada!$A:$A, 0)), ISNUMBER(MATCH(DK$1, AsistenciaJetAdminConcatenada!$B:$B, 0)), ISNUMBER(SEARCH($A70,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ISNUMBER(SEARCH($A70, INDEX(AsistenciaJetAdminConcatenada!$D:$D, MATCH(1, (AsistenciaJetAdminConcatenada!$A:$A=DK$2)*(AsistenciaJetAdminConcatenada!$B:$B=DK$1), 0)), 1))),  0.5, 0))</f>
        <v>0</v>
      </c>
      <c r="DL70" s="47">
        <f t="array" ref="DL70">IF(AND(ISNUMBER(MATCH(DL$2, AsistenciaJetAdminConcatenada!$A:$A, 0)), ISNUMBER(MATCH(DL$1, AsistenciaJetAdminConcatenada!$B:$B, 0)), ISNUMBER(SEARCH($A70,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ISNUMBER(SEARCH($A70, INDEX(AsistenciaJetAdminConcatenada!$D:$D, MATCH(1, (AsistenciaJetAdminConcatenada!$A:$A=DL$2)*(AsistenciaJetAdminConcatenada!$B:$B=DL$1), 0)), 1))),  0.5, 0))</f>
        <v>0</v>
      </c>
      <c r="DM70" s="47">
        <f t="array" ref="DM70">IF(AND(ISNUMBER(MATCH(DM$2, AsistenciaJetAdminConcatenada!$A:$A, 0)), ISNUMBER(MATCH(DM$1, AsistenciaJetAdminConcatenada!$B:$B, 0)), ISNUMBER(SEARCH($A70,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ISNUMBER(SEARCH($A70, INDEX(AsistenciaJetAdminConcatenada!$D:$D, MATCH(1, (AsistenciaJetAdminConcatenada!$A:$A=DM$2)*(AsistenciaJetAdminConcatenada!$B:$B=DM$1), 0)), 1))),  0.5, 0))</f>
        <v>0</v>
      </c>
      <c r="DN70" s="47">
        <f t="array" ref="DN70">IF(AND(ISNUMBER(MATCH(DN$2, AsistenciaJetAdminConcatenada!$A:$A, 0)), ISNUMBER(MATCH(DN$1, AsistenciaJetAdminConcatenada!$B:$B, 0)), ISNUMBER(SEARCH($A70,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ISNUMBER(SEARCH($A70, INDEX(AsistenciaJetAdminConcatenada!$D:$D, MATCH(1, (AsistenciaJetAdminConcatenada!$A:$A=DN$2)*(AsistenciaJetAdminConcatenada!$B:$B=DN$1), 0)), 1))),  0.5, 0))</f>
        <v>0</v>
      </c>
      <c r="DO70" s="47">
        <f t="array" ref="DO70">IF(AND(ISNUMBER(MATCH(DO$2, AsistenciaJetAdminConcatenada!$A:$A, 0)), ISNUMBER(MATCH(DO$1, AsistenciaJetAdminConcatenada!$B:$B, 0)), ISNUMBER(SEARCH($A70,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ISNUMBER(SEARCH($A70, INDEX(AsistenciaJetAdminConcatenada!$D:$D, MATCH(1, (AsistenciaJetAdminConcatenada!$A:$A=DO$2)*(AsistenciaJetAdminConcatenada!$B:$B=DO$1), 0)), 1))),  0.5, 0))</f>
        <v>0</v>
      </c>
      <c r="DP70" s="47">
        <f t="array" ref="DP70">IF(AND(ISNUMBER(MATCH(DP$2, AsistenciaJetAdminConcatenada!$A:$A, 0)), ISNUMBER(MATCH(DP$1, AsistenciaJetAdminConcatenada!$B:$B, 0)), ISNUMBER(SEARCH($A70,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ISNUMBER(SEARCH($A70, INDEX(AsistenciaJetAdminConcatenada!$D:$D, MATCH(1, (AsistenciaJetAdminConcatenada!$A:$A=DP$2)*(AsistenciaJetAdminConcatenada!$B:$B=DP$1), 0)), 1))),  0.5, 0))</f>
        <v>0</v>
      </c>
      <c r="DQ70" s="47">
        <f t="array" ref="DQ70">IF(AND(ISNUMBER(MATCH(DQ$2, AsistenciaJetAdminConcatenada!$A:$A, 0)), ISNUMBER(MATCH(DQ$1, AsistenciaJetAdminConcatenada!$B:$B, 0)), ISNUMBER(SEARCH($A70,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ISNUMBER(SEARCH($A70, INDEX(AsistenciaJetAdminConcatenada!$D:$D, MATCH(1, (AsistenciaJetAdminConcatenada!$A:$A=DQ$2)*(AsistenciaJetAdminConcatenada!$B:$B=DQ$1), 0)), 1))),  0.5, 0))</f>
        <v>0</v>
      </c>
      <c r="DR70" s="47">
        <f t="array" ref="DR70">IF(AND(ISNUMBER(MATCH(DR$2, AsistenciaJetAdminConcatenada!$A:$A, 0)), ISNUMBER(MATCH(DR$1, AsistenciaJetAdminConcatenada!$B:$B, 0)), ISNUMBER(SEARCH($A70,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ISNUMBER(SEARCH($A70, INDEX(AsistenciaJetAdminConcatenada!$D:$D, MATCH(1, (AsistenciaJetAdminConcatenada!$A:$A=DR$2)*(AsistenciaJetAdminConcatenada!$B:$B=DR$1), 0)), 1))),  0.5, 0))</f>
        <v>0</v>
      </c>
      <c r="DS70" s="47">
        <f t="array" ref="DS70">IF(AND(ISNUMBER(MATCH(DS$2, AsistenciaJetAdminConcatenada!$A:$A, 0)), ISNUMBER(MATCH(DS$1, AsistenciaJetAdminConcatenada!$B:$B, 0)), ISNUMBER(SEARCH($A70,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ISNUMBER(SEARCH($A70, INDEX(AsistenciaJetAdminConcatenada!$D:$D, MATCH(1, (AsistenciaJetAdminConcatenada!$A:$A=DS$2)*(AsistenciaJetAdminConcatenada!$B:$B=DS$1), 0)), 1))),  0.5, 0))</f>
        <v>0</v>
      </c>
      <c r="DT70" s="47">
        <f t="array" ref="DT70">IF(AND(ISNUMBER(MATCH(DT$2, AsistenciaJetAdminConcatenada!$A:$A, 0)), ISNUMBER(MATCH(DT$1, AsistenciaJetAdminConcatenada!$B:$B, 0)), ISNUMBER(SEARCH($A70,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ISNUMBER(SEARCH($A70, INDEX(AsistenciaJetAdminConcatenada!$D:$D, MATCH(1, (AsistenciaJetAdminConcatenada!$A:$A=DT$2)*(AsistenciaJetAdminConcatenada!$B:$B=DT$1), 0)), 1))),  0.5, 0))</f>
        <v>0</v>
      </c>
      <c r="DU70" s="47">
        <f t="array" ref="DU70">IF(AND(ISNUMBER(MATCH(DU$2, AsistenciaJetAdminConcatenada!$A:$A, 0)), ISNUMBER(MATCH(DU$1, AsistenciaJetAdminConcatenada!$B:$B, 0)), ISNUMBER(SEARCH($A70,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ISNUMBER(SEARCH($A70, INDEX(AsistenciaJetAdminConcatenada!$D:$D, MATCH(1, (AsistenciaJetAdminConcatenada!$A:$A=DU$2)*(AsistenciaJetAdminConcatenada!$B:$B=DU$1), 0)), 1))),  0.5, 0))</f>
        <v>0</v>
      </c>
      <c r="DV70" s="47">
        <f t="array" ref="DV70">IF(AND(ISNUMBER(MATCH(DV$2, AsistenciaJetAdminConcatenada!$A:$A, 0)), ISNUMBER(MATCH(DV$1, AsistenciaJetAdminConcatenada!$B:$B, 0)), ISNUMBER(SEARCH($A70,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ISNUMBER(SEARCH($A70, INDEX(AsistenciaJetAdminConcatenada!$D:$D, MATCH(1, (AsistenciaJetAdminConcatenada!$A:$A=DV$2)*(AsistenciaJetAdminConcatenada!$B:$B=DV$1), 0)), 1))),  0.5, 0))</f>
        <v>0</v>
      </c>
      <c r="DW70" s="47">
        <f t="array" ref="DW70">IF(AND(ISNUMBER(MATCH(DW$2, AsistenciaJetAdminConcatenada!$A:$A, 0)), ISNUMBER(MATCH(DW$1, AsistenciaJetAdminConcatenada!$B:$B, 0)), ISNUMBER(SEARCH($A70,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ISNUMBER(SEARCH($A70, INDEX(AsistenciaJetAdminConcatenada!$D:$D, MATCH(1, (AsistenciaJetAdminConcatenada!$A:$A=DW$2)*(AsistenciaJetAdminConcatenada!$B:$B=DW$1), 0)), 1))),  0.5, 0))</f>
        <v>0</v>
      </c>
      <c r="DX70" s="47">
        <f t="array" ref="DX70">IF(AND(ISNUMBER(MATCH(DX$2, AsistenciaJetAdminConcatenada!$A:$A, 0)), ISNUMBER(MATCH(DX$1, AsistenciaJetAdminConcatenada!$B:$B, 0)), ISNUMBER(SEARCH($A70,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ISNUMBER(SEARCH($A70, INDEX(AsistenciaJetAdminConcatenada!$D:$D, MATCH(1, (AsistenciaJetAdminConcatenada!$A:$A=DX$2)*(AsistenciaJetAdminConcatenada!$B:$B=DX$1), 0)), 1))),  0.5, 0))</f>
        <v>0</v>
      </c>
      <c r="DY70" s="47">
        <f t="array" ref="DY70">IF(AND(ISNUMBER(MATCH(DY$2, AsistenciaJetAdminConcatenada!$A:$A, 0)), ISNUMBER(MATCH(DY$1, AsistenciaJetAdminConcatenada!$B:$B, 0)), ISNUMBER(SEARCH($A70,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ISNUMBER(SEARCH($A70, INDEX(AsistenciaJetAdminConcatenada!$D:$D, MATCH(1, (AsistenciaJetAdminConcatenada!$A:$A=DY$2)*(AsistenciaJetAdminConcatenada!$B:$B=DY$1), 0)), 1))),  0.5, 0))</f>
        <v>0</v>
      </c>
      <c r="DZ70" s="47">
        <f t="array" ref="DZ70">IF(AND(ISNUMBER(MATCH(DZ$2, AsistenciaJetAdminConcatenada!$A:$A, 0)), ISNUMBER(MATCH(DZ$1, AsistenciaJetAdminConcatenada!$B:$B, 0)), ISNUMBER(SEARCH($A70,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ISNUMBER(SEARCH($A70, INDEX(AsistenciaJetAdminConcatenada!$D:$D, MATCH(1, (AsistenciaJetAdminConcatenada!$A:$A=DZ$2)*(AsistenciaJetAdminConcatenada!$B:$B=DZ$1), 0)), 1))),  0.5, 0))</f>
        <v>0</v>
      </c>
      <c r="EA70" s="47">
        <f t="array" ref="EA70">IF(AND(ISNUMBER(MATCH(EA$2, AsistenciaJetAdminConcatenada!$A:$A, 0)), ISNUMBER(MATCH(EA$1, AsistenciaJetAdminConcatenada!$B:$B, 0)), ISNUMBER(SEARCH($A70,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ISNUMBER(SEARCH($A70, INDEX(AsistenciaJetAdminConcatenada!$D:$D, MATCH(1, (AsistenciaJetAdminConcatenada!$A:$A=EA$2)*(AsistenciaJetAdminConcatenada!$B:$B=EA$1), 0)), 1))),  0.5, 0))</f>
        <v>0</v>
      </c>
      <c r="EB70" s="47">
        <f t="array" ref="EB70">IF(AND(ISNUMBER(MATCH(EB$2, AsistenciaJetAdminConcatenada!$A:$A, 0)), ISNUMBER(MATCH(EB$1, AsistenciaJetAdminConcatenada!$B:$B, 0)), ISNUMBER(SEARCH($A70,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ISNUMBER(SEARCH($A70, INDEX(AsistenciaJetAdminConcatenada!$D:$D, MATCH(1, (AsistenciaJetAdminConcatenada!$A:$A=EB$2)*(AsistenciaJetAdminConcatenada!$B:$B=EB$1), 0)), 1))),  0.5, 0))</f>
        <v>0</v>
      </c>
      <c r="EC70" s="47">
        <f t="array" ref="EC70">IF(AND(ISNUMBER(MATCH(EC$2, AsistenciaJetAdminConcatenada!$A:$A, 0)), ISNUMBER(MATCH(EC$1, AsistenciaJetAdminConcatenada!$B:$B, 0)), ISNUMBER(SEARCH($A70,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ISNUMBER(SEARCH($A70, INDEX(AsistenciaJetAdminConcatenada!$D:$D, MATCH(1, (AsistenciaJetAdminConcatenada!$A:$A=EC$2)*(AsistenciaJetAdminConcatenada!$B:$B=EC$1), 0)), 1))),  0.5, 0))</f>
        <v>0</v>
      </c>
      <c r="ED70" s="47">
        <f t="array" ref="ED70">IF(AND(ISNUMBER(MATCH(ED$2, AsistenciaJetAdminConcatenada!$A:$A, 0)), ISNUMBER(MATCH(ED$1, AsistenciaJetAdminConcatenada!$B:$B, 0)), ISNUMBER(SEARCH($A70,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ISNUMBER(SEARCH($A70, INDEX(AsistenciaJetAdminConcatenada!$D:$D, MATCH(1, (AsistenciaJetAdminConcatenada!$A:$A=ED$2)*(AsistenciaJetAdminConcatenada!$B:$B=ED$1), 0)), 1))),  0.5, 0))</f>
        <v>0</v>
      </c>
      <c r="EE70" s="47">
        <f t="array" ref="EE70">IF(AND(ISNUMBER(MATCH(EE$2, AsistenciaJetAdminConcatenada!$A:$A, 0)), ISNUMBER(MATCH(EE$1, AsistenciaJetAdminConcatenada!$B:$B, 0)), ISNUMBER(SEARCH($A70,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ISNUMBER(SEARCH($A70, INDEX(AsistenciaJetAdminConcatenada!$D:$D, MATCH(1, (AsistenciaJetAdminConcatenada!$A:$A=EE$2)*(AsistenciaJetAdminConcatenada!$B:$B=EE$1), 0)), 1))),  0.5, 0))</f>
        <v>0</v>
      </c>
      <c r="EF70" s="47">
        <f t="array" ref="EF70">IF(AND(ISNUMBER(MATCH(EF$2, AsistenciaJetAdminConcatenada!$A:$A, 0)), ISNUMBER(MATCH(EF$1, AsistenciaJetAdminConcatenada!$B:$B, 0)), ISNUMBER(SEARCH($A70,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ISNUMBER(SEARCH($A70, INDEX(AsistenciaJetAdminConcatenada!$D:$D, MATCH(1, (AsistenciaJetAdminConcatenada!$A:$A=EF$2)*(AsistenciaJetAdminConcatenada!$B:$B=EF$1), 0)), 1))),  0.5, 0))</f>
        <v>0</v>
      </c>
      <c r="EG70" s="47">
        <f t="array" ref="EG70">IF(AND(ISNUMBER(MATCH(EG$2, AsistenciaJetAdminConcatenada!$A:$A, 0)), ISNUMBER(MATCH(EG$1, AsistenciaJetAdminConcatenada!$B:$B, 0)), ISNUMBER(SEARCH($A70,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ISNUMBER(SEARCH($A70, INDEX(AsistenciaJetAdminConcatenada!$D:$D, MATCH(1, (AsistenciaJetAdminConcatenada!$A:$A=EG$2)*(AsistenciaJetAdminConcatenada!$B:$B=EG$1), 0)), 1))),  0.5, 0))</f>
        <v>0</v>
      </c>
      <c r="EH70" s="47">
        <f t="array" ref="EH70">IF(AND(ISNUMBER(MATCH(EH$2, AsistenciaJetAdminConcatenada!$A:$A, 0)), ISNUMBER(MATCH(EH$1, AsistenciaJetAdminConcatenada!$B:$B, 0)), ISNUMBER(SEARCH($A70,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ISNUMBER(SEARCH($A70, INDEX(AsistenciaJetAdminConcatenada!$D:$D, MATCH(1, (AsistenciaJetAdminConcatenada!$A:$A=EH$2)*(AsistenciaJetAdminConcatenada!$B:$B=EH$1), 0)), 1))),  0.5, 0))</f>
        <v>0</v>
      </c>
      <c r="EI70" s="47">
        <f t="array" ref="EI70">IF(AND(ISNUMBER(MATCH(EI$2, AsistenciaJetAdminConcatenada!$A:$A, 0)), ISNUMBER(MATCH(EI$1, AsistenciaJetAdminConcatenada!$B:$B, 0)), ISNUMBER(SEARCH($A70,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ISNUMBER(SEARCH($A70, INDEX(AsistenciaJetAdminConcatenada!$D:$D, MATCH(1, (AsistenciaJetAdminConcatenada!$A:$A=EI$2)*(AsistenciaJetAdminConcatenada!$B:$B=EI$1), 0)), 1))),  0.5, 0))</f>
        <v>0</v>
      </c>
      <c r="EJ70" s="47">
        <f t="array" ref="EJ70">IF(AND(ISNUMBER(MATCH(EJ$2, AsistenciaJetAdminConcatenada!$A:$A, 0)), ISNUMBER(MATCH(EJ$1, AsistenciaJetAdminConcatenada!$B:$B, 0)), ISNUMBER(SEARCH($A70,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ISNUMBER(SEARCH($A70, INDEX(AsistenciaJetAdminConcatenada!$D:$D, MATCH(1, (AsistenciaJetAdminConcatenada!$A:$A=EJ$2)*(AsistenciaJetAdminConcatenada!$B:$B=EJ$1), 0)), 1))),  0.5, 0))</f>
        <v>0</v>
      </c>
      <c r="EK70" s="47">
        <f t="array" ref="EK70">IF(AND(ISNUMBER(MATCH(EK$2, AsistenciaJetAdminConcatenada!$A:$A, 0)), ISNUMBER(MATCH(EK$1, AsistenciaJetAdminConcatenada!$B:$B, 0)), ISNUMBER(SEARCH($A70,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ISNUMBER(SEARCH($A70, INDEX(AsistenciaJetAdminConcatenada!$D:$D, MATCH(1, (AsistenciaJetAdminConcatenada!$A:$A=EK$2)*(AsistenciaJetAdminConcatenada!$B:$B=EK$1), 0)), 1))),  0.5, 0))</f>
        <v>0</v>
      </c>
      <c r="EL70" s="47">
        <f t="array" ref="EL70">IF(AND(ISNUMBER(MATCH(EL$2, AsistenciaJetAdminConcatenada!$A:$A, 0)), ISNUMBER(MATCH(EL$1, AsistenciaJetAdminConcatenada!$B:$B, 0)), ISNUMBER(SEARCH($A70,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ISNUMBER(SEARCH($A70, INDEX(AsistenciaJetAdminConcatenada!$D:$D, MATCH(1, (AsistenciaJetAdminConcatenada!$A:$A=EL$2)*(AsistenciaJetAdminConcatenada!$B:$B=EL$1), 0)), 1))),  0.5, 0))</f>
        <v>0</v>
      </c>
      <c r="EM70" s="47">
        <f t="array" ref="EM70">IF(AND(ISNUMBER(MATCH(EM$2, AsistenciaJetAdminConcatenada!$A:$A, 0)), ISNUMBER(MATCH(EM$1, AsistenciaJetAdminConcatenada!$B:$B, 0)), ISNUMBER(SEARCH($A70,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ISNUMBER(SEARCH($A70, INDEX(AsistenciaJetAdminConcatenada!$D:$D, MATCH(1, (AsistenciaJetAdminConcatenada!$A:$A=EM$2)*(AsistenciaJetAdminConcatenada!$B:$B=EM$1), 0)), 1))),  0.5, 0))</f>
        <v>0</v>
      </c>
      <c r="EN70" s="47">
        <f t="array" ref="EN70">IF(AND(ISNUMBER(MATCH(EN$2, AsistenciaJetAdminConcatenada!$A:$A, 0)), ISNUMBER(MATCH(EN$1, AsistenciaJetAdminConcatenada!$B:$B, 0)), ISNUMBER(SEARCH($A70,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ISNUMBER(SEARCH($A70, INDEX(AsistenciaJetAdminConcatenada!$D:$D, MATCH(1, (AsistenciaJetAdminConcatenada!$A:$A=EN$2)*(AsistenciaJetAdminConcatenada!$B:$B=EN$1), 0)), 1))),  0.5, 0))</f>
        <v>0</v>
      </c>
      <c r="EO70" s="47">
        <f t="array" ref="EO70">IF(AND(ISNUMBER(MATCH(EO$2, AsistenciaJetAdminConcatenada!$A:$A, 0)), ISNUMBER(MATCH(EO$1, AsistenciaJetAdminConcatenada!$B:$B, 0)), ISNUMBER(SEARCH($A70,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ISNUMBER(SEARCH($A70, INDEX(AsistenciaJetAdminConcatenada!$D:$D, MATCH(1, (AsistenciaJetAdminConcatenada!$A:$A=EO$2)*(AsistenciaJetAdminConcatenada!$B:$B=EO$1), 0)), 1))),  0.5, 0))</f>
        <v>0</v>
      </c>
      <c r="EP70" s="47">
        <f t="array" ref="EP70">IF(AND(ISNUMBER(MATCH(EP$2, AsistenciaJetAdminConcatenada!$A:$A, 0)), ISNUMBER(MATCH(EP$1, AsistenciaJetAdminConcatenada!$B:$B, 0)), ISNUMBER(SEARCH($A70,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ISNUMBER(SEARCH($A70, INDEX(AsistenciaJetAdminConcatenada!$D:$D, MATCH(1, (AsistenciaJetAdminConcatenada!$A:$A=EP$2)*(AsistenciaJetAdminConcatenada!$B:$B=EP$1), 0)), 1))),  0.5, 0))</f>
        <v>0</v>
      </c>
      <c r="EQ70" s="47">
        <f t="array" ref="EQ70">IF(AND(ISNUMBER(MATCH(EQ$2, AsistenciaJetAdminConcatenada!$A:$A, 0)), ISNUMBER(MATCH(EQ$1, AsistenciaJetAdminConcatenada!$B:$B, 0)), ISNUMBER(SEARCH($A70,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ISNUMBER(SEARCH($A70, INDEX(AsistenciaJetAdminConcatenada!$D:$D, MATCH(1, (AsistenciaJetAdminConcatenada!$A:$A=EQ$2)*(AsistenciaJetAdminConcatenada!$B:$B=EQ$1), 0)), 1))),  0.5, 0))</f>
        <v>0</v>
      </c>
      <c r="ER70" s="47">
        <f t="array" ref="ER70">IF(AND(ISNUMBER(MATCH(ER$2, AsistenciaJetAdminConcatenada!$A:$A, 0)), ISNUMBER(MATCH(ER$1, AsistenciaJetAdminConcatenada!$B:$B, 0)), ISNUMBER(SEARCH($A70,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ISNUMBER(SEARCH($A70, INDEX(AsistenciaJetAdminConcatenada!$D:$D, MATCH(1, (AsistenciaJetAdminConcatenada!$A:$A=ER$2)*(AsistenciaJetAdminConcatenada!$B:$B=ER$1), 0)), 1))),  0.5, 0))</f>
        <v>0</v>
      </c>
      <c r="ES70" s="47">
        <f t="array" ref="ES70">IF(AND(ISNUMBER(MATCH(ES$2, AsistenciaJetAdminConcatenada!$A:$A, 0)), ISNUMBER(MATCH(ES$1, AsistenciaJetAdminConcatenada!$B:$B, 0)), ISNUMBER(SEARCH($A70,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ISNUMBER(SEARCH($A70, INDEX(AsistenciaJetAdminConcatenada!$D:$D, MATCH(1, (AsistenciaJetAdminConcatenada!$A:$A=ES$2)*(AsistenciaJetAdminConcatenada!$B:$B=ES$1), 0)), 1))),  0.5, 0))</f>
        <v>0</v>
      </c>
      <c r="ET70" s="47">
        <f t="array" ref="ET70">IF(AND(ISNUMBER(MATCH(ET$2, AsistenciaJetAdminConcatenada!$A:$A, 0)), ISNUMBER(MATCH(ET$1, AsistenciaJetAdminConcatenada!$B:$B, 0)), ISNUMBER(SEARCH($A70,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ISNUMBER(SEARCH($A70, INDEX(AsistenciaJetAdminConcatenada!$D:$D, MATCH(1, (AsistenciaJetAdminConcatenada!$A:$A=ET$2)*(AsistenciaJetAdminConcatenada!$B:$B=ET$1), 0)), 1))),  0.5, 0))</f>
        <v>0</v>
      </c>
      <c r="EU70" s="47">
        <f t="array" ref="EU70">IF(AND(ISNUMBER(MATCH(EU$2, AsistenciaJetAdminConcatenada!$A:$A, 0)), ISNUMBER(MATCH(EU$1, AsistenciaJetAdminConcatenada!$B:$B, 0)), ISNUMBER(SEARCH($A70,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ISNUMBER(SEARCH($A70, INDEX(AsistenciaJetAdminConcatenada!$D:$D, MATCH(1, (AsistenciaJetAdminConcatenada!$A:$A=EU$2)*(AsistenciaJetAdminConcatenada!$B:$B=EU$1), 0)), 1))),  0.5, 0))</f>
        <v>0</v>
      </c>
      <c r="EV70" s="47">
        <f t="array" ref="EV70">IF(AND(ISNUMBER(MATCH(EV$2, AsistenciaJetAdminConcatenada!$A:$A, 0)), ISNUMBER(MATCH(EV$1, AsistenciaJetAdminConcatenada!$B:$B, 0)), ISNUMBER(SEARCH($A70,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ISNUMBER(SEARCH($A70, INDEX(AsistenciaJetAdminConcatenada!$D:$D, MATCH(1, (AsistenciaJetAdminConcatenada!$A:$A=EV$2)*(AsistenciaJetAdminConcatenada!$B:$B=EV$1), 0)), 1))),  0.5, 0))</f>
        <v>0</v>
      </c>
      <c r="EW70" s="47">
        <f t="array" ref="EW70">IF(AND(ISNUMBER(MATCH(EW$2, AsistenciaJetAdminConcatenada!$A:$A, 0)), ISNUMBER(MATCH(EW$1, AsistenciaJetAdminConcatenada!$B:$B, 0)), ISNUMBER(SEARCH($A70,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ISNUMBER(SEARCH($A70, INDEX(AsistenciaJetAdminConcatenada!$D:$D, MATCH(1, (AsistenciaJetAdminConcatenada!$A:$A=EW$2)*(AsistenciaJetAdminConcatenada!$B:$B=EW$1), 0)), 1))),  0.5, 0))</f>
        <v>0</v>
      </c>
      <c r="EX70" s="47">
        <f t="array" ref="EX70">IF(AND(ISNUMBER(MATCH(EX$2, AsistenciaJetAdminConcatenada!$A:$A, 0)), ISNUMBER(MATCH(EX$1, AsistenciaJetAdminConcatenada!$B:$B, 0)), ISNUMBER(SEARCH($A70,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ISNUMBER(SEARCH($A70, INDEX(AsistenciaJetAdminConcatenada!$D:$D, MATCH(1, (AsistenciaJetAdminConcatenada!$A:$A=EX$2)*(AsistenciaJetAdminConcatenada!$B:$B=EX$1), 0)), 1))),  0.5, 0))</f>
        <v>0</v>
      </c>
      <c r="EY70" s="47">
        <f t="array" ref="EY70">IF(AND(ISNUMBER(MATCH(EY$2, AsistenciaJetAdminConcatenada!$A:$A, 0)), ISNUMBER(MATCH(EY$1, AsistenciaJetAdminConcatenada!$B:$B, 0)), ISNUMBER(SEARCH($A70,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ISNUMBER(SEARCH($A70, INDEX(AsistenciaJetAdminConcatenada!$D:$D, MATCH(1, (AsistenciaJetAdminConcatenada!$A:$A=EY$2)*(AsistenciaJetAdminConcatenada!$B:$B=EY$1), 0)), 1))),  0.5, 0))</f>
        <v>0</v>
      </c>
      <c r="EZ70" s="47">
        <f t="array" ref="EZ70">IF(AND(ISNUMBER(MATCH(EZ$2, AsistenciaJetAdminConcatenada!$A:$A, 0)), ISNUMBER(MATCH(EZ$1, AsistenciaJetAdminConcatenada!$B:$B, 0)), ISNUMBER(SEARCH($A70,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ISNUMBER(SEARCH($A70, INDEX(AsistenciaJetAdminConcatenada!$D:$D, MATCH(1, (AsistenciaJetAdminConcatenada!$A:$A=EZ$2)*(AsistenciaJetAdminConcatenada!$B:$B=EZ$1), 0)), 1))),  0.5, 0))</f>
        <v>0</v>
      </c>
      <c r="FA70" s="47">
        <f t="array" ref="FA70">IF(AND(ISNUMBER(MATCH(FA$2, AsistenciaJetAdminConcatenada!$A:$A, 0)), ISNUMBER(MATCH(FA$1, AsistenciaJetAdminConcatenada!$B:$B, 0)), ISNUMBER(SEARCH($A70,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ISNUMBER(SEARCH($A70, INDEX(AsistenciaJetAdminConcatenada!$D:$D, MATCH(1, (AsistenciaJetAdminConcatenada!$A:$A=FA$2)*(AsistenciaJetAdminConcatenada!$B:$B=FA$1), 0)), 1))),  0.5, 0))</f>
        <v>0</v>
      </c>
      <c r="FB70" s="47">
        <f t="array" ref="FB70">IF(AND(ISNUMBER(MATCH(FB$2, AsistenciaJetAdminConcatenada!$A:$A, 0)), ISNUMBER(MATCH(FB$1, AsistenciaJetAdminConcatenada!$B:$B, 0)), ISNUMBER(SEARCH($A70,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ISNUMBER(SEARCH($A70, INDEX(AsistenciaJetAdminConcatenada!$D:$D, MATCH(1, (AsistenciaJetAdminConcatenada!$A:$A=FB$2)*(AsistenciaJetAdminConcatenada!$B:$B=FB$1), 0)), 1))),  0.5, 0))</f>
        <v>0</v>
      </c>
      <c r="FC70" s="47">
        <f t="array" ref="FC70">IF(AND(ISNUMBER(MATCH(FC$2, AsistenciaJetAdminConcatenada!$A:$A, 0)), ISNUMBER(MATCH(FC$1, AsistenciaJetAdminConcatenada!$B:$B, 0)), ISNUMBER(SEARCH($A70,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ISNUMBER(SEARCH($A70, INDEX(AsistenciaJetAdminConcatenada!$D:$D, MATCH(1, (AsistenciaJetAdminConcatenada!$A:$A=FC$2)*(AsistenciaJetAdminConcatenada!$B:$B=FC$1), 0)), 1))),  0.5, 0))</f>
        <v>0</v>
      </c>
      <c r="FD70" s="47">
        <f t="array" ref="FD70">IF(AND(ISNUMBER(MATCH(FD$2, AsistenciaJetAdminConcatenada!$A:$A, 0)), ISNUMBER(MATCH(FD$1, AsistenciaJetAdminConcatenada!$B:$B, 0)), ISNUMBER(SEARCH($A70,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ISNUMBER(SEARCH($A70, INDEX(AsistenciaJetAdminConcatenada!$D:$D, MATCH(1, (AsistenciaJetAdminConcatenada!$A:$A=FD$2)*(AsistenciaJetAdminConcatenada!$B:$B=FD$1), 0)), 1))),  0.5, 0))</f>
        <v>0</v>
      </c>
      <c r="FE70" s="47">
        <f t="array" ref="FE70">IF(AND(ISNUMBER(MATCH(FE$2, AsistenciaJetAdminConcatenada!$A:$A, 0)), ISNUMBER(MATCH(FE$1, AsistenciaJetAdminConcatenada!$B:$B, 0)), ISNUMBER(SEARCH($A70,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ISNUMBER(SEARCH($A70, INDEX(AsistenciaJetAdminConcatenada!$D:$D, MATCH(1, (AsistenciaJetAdminConcatenada!$A:$A=FE$2)*(AsistenciaJetAdminConcatenada!$B:$B=FE$1), 0)), 1))),  0.5, 0))</f>
        <v>0</v>
      </c>
      <c r="FF70" s="47">
        <f t="array" ref="FF70">IF(AND(ISNUMBER(MATCH(FF$2, AsistenciaJetAdminConcatenada!$A:$A, 0)), ISNUMBER(MATCH(FF$1, AsistenciaJetAdminConcatenada!$B:$B, 0)), ISNUMBER(SEARCH($A70,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ISNUMBER(SEARCH($A70, INDEX(AsistenciaJetAdminConcatenada!$D:$D, MATCH(1, (AsistenciaJetAdminConcatenada!$A:$A=FF$2)*(AsistenciaJetAdminConcatenada!$B:$B=FF$1), 0)), 1))),  0.5, 0))</f>
        <v>0</v>
      </c>
      <c r="FG70" s="47">
        <f t="array" ref="FG70">IF(AND(ISNUMBER(MATCH(FG$2, AsistenciaJetAdminConcatenada!$A:$A, 0)), ISNUMBER(MATCH(FG$1, AsistenciaJetAdminConcatenada!$B:$B, 0)), ISNUMBER(SEARCH($A70,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ISNUMBER(SEARCH($A70, INDEX(AsistenciaJetAdminConcatenada!$D:$D, MATCH(1, (AsistenciaJetAdminConcatenada!$A:$A=FG$2)*(AsistenciaJetAdminConcatenada!$B:$B=FG$1), 0)), 1))),  0.5, 0))</f>
        <v>0</v>
      </c>
      <c r="FH70" s="47">
        <f t="array" ref="FH70">IF(AND(ISNUMBER(MATCH(FH$2, AsistenciaJetAdminConcatenada!$A:$A, 0)), ISNUMBER(MATCH(FH$1, AsistenciaJetAdminConcatenada!$B:$B, 0)), ISNUMBER(SEARCH($A70,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ISNUMBER(SEARCH($A70, INDEX(AsistenciaJetAdminConcatenada!$D:$D, MATCH(1, (AsistenciaJetAdminConcatenada!$A:$A=FH$2)*(AsistenciaJetAdminConcatenada!$B:$B=FH$1), 0)), 1))),  0.5, 0))</f>
        <v>0</v>
      </c>
      <c r="FI70" s="47">
        <f t="array" ref="FI70">IF(AND(ISNUMBER(MATCH(FI$2, AsistenciaJetAdminConcatenada!$A:$A, 0)), ISNUMBER(MATCH(FI$1, AsistenciaJetAdminConcatenada!$B:$B, 0)), ISNUMBER(SEARCH($A70,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ISNUMBER(SEARCH($A70, INDEX(AsistenciaJetAdminConcatenada!$D:$D, MATCH(1, (AsistenciaJetAdminConcatenada!$A:$A=FI$2)*(AsistenciaJetAdminConcatenada!$B:$B=FI$1), 0)), 1))),  0.5, 0))</f>
        <v>0</v>
      </c>
      <c r="FJ70" s="47">
        <f t="array" ref="FJ70">IF(AND(ISNUMBER(MATCH(FJ$2, AsistenciaJetAdminConcatenada!$A:$A, 0)), ISNUMBER(MATCH(FJ$1, AsistenciaJetAdminConcatenada!$B:$B, 0)), ISNUMBER(SEARCH($A70,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ISNUMBER(SEARCH($A70, INDEX(AsistenciaJetAdminConcatenada!$D:$D, MATCH(1, (AsistenciaJetAdminConcatenada!$A:$A=FJ$2)*(AsistenciaJetAdminConcatenada!$B:$B=FJ$1), 0)), 1))),  0.5, 0))</f>
        <v>0</v>
      </c>
      <c r="FK70" s="47">
        <f t="array" ref="FK70">IF(AND(ISNUMBER(MATCH(FK$2, AsistenciaJetAdminConcatenada!$A:$A, 0)), ISNUMBER(MATCH(FK$1, AsistenciaJetAdminConcatenada!$B:$B, 0)), ISNUMBER(SEARCH($A70,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ISNUMBER(SEARCH($A70, INDEX(AsistenciaJetAdminConcatenada!$D:$D, MATCH(1, (AsistenciaJetAdminConcatenada!$A:$A=FK$2)*(AsistenciaJetAdminConcatenada!$B:$B=FK$1), 0)), 1))),  0.5, 0))</f>
        <v>0</v>
      </c>
      <c r="FL70" s="47">
        <f t="array" ref="FL70">IF(AND(ISNUMBER(MATCH(FL$2, AsistenciaJetAdminConcatenada!$A:$A, 0)), ISNUMBER(MATCH(FL$1, AsistenciaJetAdminConcatenada!$B:$B, 0)), ISNUMBER(SEARCH($A70,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ISNUMBER(SEARCH($A70, INDEX(AsistenciaJetAdminConcatenada!$D:$D, MATCH(1, (AsistenciaJetAdminConcatenada!$A:$A=FL$2)*(AsistenciaJetAdminConcatenada!$B:$B=FL$1), 0)), 1))),  0.5, 0))</f>
        <v>0</v>
      </c>
      <c r="FM70" s="47">
        <f t="array" ref="FM70">IF(AND(ISNUMBER(MATCH(FM$2, AsistenciaJetAdminConcatenada!$A:$A, 0)), ISNUMBER(MATCH(FM$1, AsistenciaJetAdminConcatenada!$B:$B, 0)), ISNUMBER(SEARCH($A70,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ISNUMBER(SEARCH($A70, INDEX(AsistenciaJetAdminConcatenada!$D:$D, MATCH(1, (AsistenciaJetAdminConcatenada!$A:$A=FM$2)*(AsistenciaJetAdminConcatenada!$B:$B=FM$1), 0)), 1))),  0.5, 0))</f>
        <v>0</v>
      </c>
      <c r="FN70" s="47">
        <f t="array" ref="FN70">IF(AND(ISNUMBER(MATCH(FN$2, AsistenciaJetAdminConcatenada!$A:$A, 0)), ISNUMBER(MATCH(FN$1, AsistenciaJetAdminConcatenada!$B:$B, 0)), ISNUMBER(SEARCH($A70,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ISNUMBER(SEARCH($A70, INDEX(AsistenciaJetAdminConcatenada!$D:$D, MATCH(1, (AsistenciaJetAdminConcatenada!$A:$A=FN$2)*(AsistenciaJetAdminConcatenada!$B:$B=FN$1), 0)), 1))),  0.5, 0))</f>
        <v>0</v>
      </c>
      <c r="FO70" s="47">
        <f t="array" ref="FO70">IF(AND(ISNUMBER(MATCH(FO$2, AsistenciaJetAdminConcatenada!$A:$A, 0)), ISNUMBER(MATCH(FO$1, AsistenciaJetAdminConcatenada!$B:$B, 0)), ISNUMBER(SEARCH($A70,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ISNUMBER(SEARCH($A70, INDEX(AsistenciaJetAdminConcatenada!$D:$D, MATCH(1, (AsistenciaJetAdminConcatenada!$A:$A=FO$2)*(AsistenciaJetAdminConcatenada!$B:$B=FO$1), 0)), 1))),  0.5, 0))</f>
        <v>0</v>
      </c>
      <c r="FP70" s="47">
        <f t="array" ref="FP70">IF(AND(ISNUMBER(MATCH(FP$2, AsistenciaJetAdminConcatenada!$A:$A, 0)), ISNUMBER(MATCH(FP$1, AsistenciaJetAdminConcatenada!$B:$B, 0)), ISNUMBER(SEARCH($A70,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ISNUMBER(SEARCH($A70, INDEX(AsistenciaJetAdminConcatenada!$D:$D, MATCH(1, (AsistenciaJetAdminConcatenada!$A:$A=FP$2)*(AsistenciaJetAdminConcatenada!$B:$B=FP$1), 0)), 1))),  0.5, 0))</f>
        <v>0</v>
      </c>
      <c r="FQ70" s="47">
        <f t="array" ref="FQ70">IF(AND(ISNUMBER(MATCH(FQ$2, AsistenciaJetAdminConcatenada!$A:$A, 0)), ISNUMBER(MATCH(FQ$1, AsistenciaJetAdminConcatenada!$B:$B, 0)), ISNUMBER(SEARCH($A70,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ISNUMBER(SEARCH($A70, INDEX(AsistenciaJetAdminConcatenada!$D:$D, MATCH(1, (AsistenciaJetAdminConcatenada!$A:$A=FQ$2)*(AsistenciaJetAdminConcatenada!$B:$B=FQ$1), 0)), 1))),  0.5, 0))</f>
        <v>0</v>
      </c>
      <c r="FR70" s="47">
        <f t="array" ref="FR70">IF(AND(ISNUMBER(MATCH(FR$2, AsistenciaJetAdminConcatenada!$A:$A, 0)), ISNUMBER(MATCH(FR$1, AsistenciaJetAdminConcatenada!$B:$B, 0)), ISNUMBER(SEARCH($A70,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ISNUMBER(SEARCH($A70, INDEX(AsistenciaJetAdminConcatenada!$D:$D, MATCH(1, (AsistenciaJetAdminConcatenada!$A:$A=FR$2)*(AsistenciaJetAdminConcatenada!$B:$B=FR$1), 0)), 1))),  0.5, 0))</f>
        <v>0</v>
      </c>
      <c r="FS70" s="47">
        <f t="array" ref="FS70">IF(AND(ISNUMBER(MATCH(FS$2, AsistenciaJetAdminConcatenada!$A:$A, 0)), ISNUMBER(MATCH(FS$1, AsistenciaJetAdminConcatenada!$B:$B, 0)), ISNUMBER(SEARCH($A70,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ISNUMBER(SEARCH($A70, INDEX(AsistenciaJetAdminConcatenada!$D:$D, MATCH(1, (AsistenciaJetAdminConcatenada!$A:$A=FS$2)*(AsistenciaJetAdminConcatenada!$B:$B=FS$1), 0)), 1))),  0.5, 0))</f>
        <v>0</v>
      </c>
      <c r="FT70" s="47">
        <f t="array" ref="FT70">IF(AND(ISNUMBER(MATCH(FT$2, AsistenciaJetAdminConcatenada!$A:$A, 0)), ISNUMBER(MATCH(FT$1, AsistenciaJetAdminConcatenada!$B:$B, 0)), ISNUMBER(SEARCH($A70,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ISNUMBER(SEARCH($A70, INDEX(AsistenciaJetAdminConcatenada!$D:$D, MATCH(1, (AsistenciaJetAdminConcatenada!$A:$A=FT$2)*(AsistenciaJetAdminConcatenada!$B:$B=FT$1), 0)), 1))),  0.5, 0))</f>
        <v>0</v>
      </c>
      <c r="FU70" s="47">
        <f t="array" ref="FU70">IF(AND(ISNUMBER(MATCH(FU$2, AsistenciaJetAdminConcatenada!$A:$A, 0)), ISNUMBER(MATCH(FU$1, AsistenciaJetAdminConcatenada!$B:$B, 0)), ISNUMBER(SEARCH($A70,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ISNUMBER(SEARCH($A70, INDEX(AsistenciaJetAdminConcatenada!$D:$D, MATCH(1, (AsistenciaJetAdminConcatenada!$A:$A=FU$2)*(AsistenciaJetAdminConcatenada!$B:$B=FU$1), 0)), 1))),  0.5, 0))</f>
        <v>0</v>
      </c>
      <c r="FV70" s="47">
        <f t="array" ref="FV70">IF(AND(ISNUMBER(MATCH(FV$2, AsistenciaJetAdminConcatenada!$A:$A, 0)), ISNUMBER(MATCH(FV$1, AsistenciaJetAdminConcatenada!$B:$B, 0)), ISNUMBER(SEARCH($A70,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ISNUMBER(SEARCH($A70, INDEX(AsistenciaJetAdminConcatenada!$D:$D, MATCH(1, (AsistenciaJetAdminConcatenada!$A:$A=FV$2)*(AsistenciaJetAdminConcatenada!$B:$B=FV$1), 0)), 1))),  0.5, 0))</f>
        <v>0</v>
      </c>
      <c r="FW70" s="47">
        <f t="array" ref="FW70">IF(AND(ISNUMBER(MATCH(FW$2, AsistenciaJetAdminConcatenada!$A:$A, 0)), ISNUMBER(MATCH(FW$1, AsistenciaJetAdminConcatenada!$B:$B, 0)), ISNUMBER(SEARCH($A70,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ISNUMBER(SEARCH($A70, INDEX(AsistenciaJetAdminConcatenada!$D:$D, MATCH(1, (AsistenciaJetAdminConcatenada!$A:$A=FW$2)*(AsistenciaJetAdminConcatenada!$B:$B=FW$1), 0)), 1))),  0.5, 0))</f>
        <v>0</v>
      </c>
      <c r="FX70" s="47">
        <f t="array" ref="FX70">IF(AND(ISNUMBER(MATCH(FX$2, AsistenciaJetAdminConcatenada!$A:$A, 0)), ISNUMBER(MATCH(FX$1, AsistenciaJetAdminConcatenada!$B:$B, 0)), ISNUMBER(SEARCH($A70,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ISNUMBER(SEARCH($A70, INDEX(AsistenciaJetAdminConcatenada!$D:$D, MATCH(1, (AsistenciaJetAdminConcatenada!$A:$A=FX$2)*(AsistenciaJetAdminConcatenada!$B:$B=FX$1), 0)), 1))),  0.5, 0))</f>
        <v>0</v>
      </c>
      <c r="FY70" s="47">
        <f t="array" ref="FY70">IF(AND(ISNUMBER(MATCH(FY$2, AsistenciaJetAdminConcatenada!$A:$A, 0)), ISNUMBER(MATCH(FY$1, AsistenciaJetAdminConcatenada!$B:$B, 0)), ISNUMBER(SEARCH($A70,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ISNUMBER(SEARCH($A70, INDEX(AsistenciaJetAdminConcatenada!$D:$D, MATCH(1, (AsistenciaJetAdminConcatenada!$A:$A=FY$2)*(AsistenciaJetAdminConcatenada!$B:$B=FY$1), 0)), 1))),  0.5, 0))</f>
        <v>0</v>
      </c>
      <c r="FZ70" s="47">
        <f t="array" ref="FZ70">IF(AND(ISNUMBER(MATCH(FZ$2, AsistenciaJetAdminConcatenada!$A:$A, 0)), ISNUMBER(MATCH(FZ$1, AsistenciaJetAdminConcatenada!$B:$B, 0)), ISNUMBER(SEARCH($A70,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ISNUMBER(SEARCH($A70, INDEX(AsistenciaJetAdminConcatenada!$D:$D, MATCH(1, (AsistenciaJetAdminConcatenada!$A:$A=FZ$2)*(AsistenciaJetAdminConcatenada!$B:$B=FZ$1), 0)), 1))),  0.5, 0))</f>
        <v>0</v>
      </c>
      <c r="GA70" s="47">
        <f t="array" ref="GA70">IF(AND(ISNUMBER(MATCH(GA$2, AsistenciaJetAdminConcatenada!$A:$A, 0)), ISNUMBER(MATCH(GA$1, AsistenciaJetAdminConcatenada!$B:$B, 0)), ISNUMBER(SEARCH($A70,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ISNUMBER(SEARCH($A70, INDEX(AsistenciaJetAdminConcatenada!$D:$D, MATCH(1, (AsistenciaJetAdminConcatenada!$A:$A=GA$2)*(AsistenciaJetAdminConcatenada!$B:$B=GA$1), 0)), 1))),  0.5, 0))</f>
        <v>0</v>
      </c>
      <c r="GB70" s="47">
        <f t="array" ref="GB70">IF(AND(ISNUMBER(MATCH(GB$2, AsistenciaJetAdminConcatenada!$A:$A, 0)), ISNUMBER(MATCH(GB$1, AsistenciaJetAdminConcatenada!$B:$B, 0)), ISNUMBER(SEARCH($A70,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ISNUMBER(SEARCH($A70, INDEX(AsistenciaJetAdminConcatenada!$D:$D, MATCH(1, (AsistenciaJetAdminConcatenada!$A:$A=GB$2)*(AsistenciaJetAdminConcatenada!$B:$B=GB$1), 0)), 1))),  0.5, 0))</f>
        <v>0</v>
      </c>
      <c r="GC70" s="47">
        <f t="array" ref="GC70">IF(AND(ISNUMBER(MATCH(GC$2, AsistenciaJetAdminConcatenada!$A:$A, 0)), ISNUMBER(MATCH(GC$1, AsistenciaJetAdminConcatenada!$B:$B, 0)), ISNUMBER(SEARCH($A70,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ISNUMBER(SEARCH($A70, INDEX(AsistenciaJetAdminConcatenada!$D:$D, MATCH(1, (AsistenciaJetAdminConcatenada!$A:$A=GC$2)*(AsistenciaJetAdminConcatenada!$B:$B=GC$1), 0)), 1))),  0.5, 0))</f>
        <v>0</v>
      </c>
      <c r="GD70" s="47">
        <f t="array" ref="GD70">IF(AND(ISNUMBER(MATCH(GD$2, AsistenciaJetAdminConcatenada!$A:$A, 0)), ISNUMBER(MATCH(GD$1, AsistenciaJetAdminConcatenada!$B:$B, 0)), ISNUMBER(SEARCH($A70,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ISNUMBER(SEARCH($A70, INDEX(AsistenciaJetAdminConcatenada!$D:$D, MATCH(1, (AsistenciaJetAdminConcatenada!$A:$A=GD$2)*(AsistenciaJetAdminConcatenada!$B:$B=GD$1), 0)), 1))),  0.5, 0))</f>
        <v>0</v>
      </c>
      <c r="GE70" s="47">
        <f t="array" ref="GE70">IF(AND(ISNUMBER(MATCH(GE$2, AsistenciaJetAdminConcatenada!$A:$A, 0)), ISNUMBER(MATCH(GE$1, AsistenciaJetAdminConcatenada!$B:$B, 0)), ISNUMBER(SEARCH($A70,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ISNUMBER(SEARCH($A70, INDEX(AsistenciaJetAdminConcatenada!$D:$D, MATCH(1, (AsistenciaJetAdminConcatenada!$A:$A=GE$2)*(AsistenciaJetAdminConcatenada!$B:$B=GE$1), 0)), 1))),  0.5, 0))</f>
        <v>0</v>
      </c>
      <c r="GF70" s="47">
        <f t="array" ref="GF70">IF(AND(ISNUMBER(MATCH(GF$2, AsistenciaJetAdminConcatenada!$A:$A, 0)), ISNUMBER(MATCH(GF$1, AsistenciaJetAdminConcatenada!$B:$B, 0)), ISNUMBER(SEARCH($A70,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ISNUMBER(SEARCH($A70, INDEX(AsistenciaJetAdminConcatenada!$D:$D, MATCH(1, (AsistenciaJetAdminConcatenada!$A:$A=GF$2)*(AsistenciaJetAdminConcatenada!$B:$B=GF$1), 0)), 1))),  0.5, 0))</f>
        <v>0</v>
      </c>
      <c r="GG70" s="47">
        <f t="array" ref="GG70">IF(AND(ISNUMBER(MATCH(GG$2, AsistenciaJetAdminConcatenada!$A:$A, 0)), ISNUMBER(MATCH(GG$1, AsistenciaJetAdminConcatenada!$B:$B, 0)), ISNUMBER(SEARCH($A70,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ISNUMBER(SEARCH($A70, INDEX(AsistenciaJetAdminConcatenada!$D:$D, MATCH(1, (AsistenciaJetAdminConcatenada!$A:$A=GG$2)*(AsistenciaJetAdminConcatenada!$B:$B=GG$1), 0)), 1))),  0.5, 0))</f>
        <v>0</v>
      </c>
      <c r="GH70" s="47">
        <f t="array" ref="GH70">IF(AND(ISNUMBER(MATCH(GH$2, AsistenciaJetAdminConcatenada!$A:$A, 0)), ISNUMBER(MATCH(GH$1, AsistenciaJetAdminConcatenada!$B:$B, 0)), ISNUMBER(SEARCH($A70,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ISNUMBER(SEARCH($A70, INDEX(AsistenciaJetAdminConcatenada!$D:$D, MATCH(1, (AsistenciaJetAdminConcatenada!$A:$A=GH$2)*(AsistenciaJetAdminConcatenada!$B:$B=GH$1), 0)), 1))),  0.5, 0))</f>
        <v>0</v>
      </c>
      <c r="GI70" s="47">
        <f t="array" ref="GI70">IF(AND(ISNUMBER(MATCH(GI$2, AsistenciaJetAdminConcatenada!$A:$A, 0)), ISNUMBER(MATCH(GI$1, AsistenciaJetAdminConcatenada!$B:$B, 0)), ISNUMBER(SEARCH($A70,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ISNUMBER(SEARCH($A70, INDEX(AsistenciaJetAdminConcatenada!$D:$D, MATCH(1, (AsistenciaJetAdminConcatenada!$A:$A=GI$2)*(AsistenciaJetAdminConcatenada!$B:$B=GI$1), 0)), 1))),  0.5, 0))</f>
        <v>0</v>
      </c>
      <c r="GJ70" s="47">
        <f t="array" ref="GJ70">IF(AND(ISNUMBER(MATCH(GJ$2, AsistenciaJetAdminConcatenada!$A:$A, 0)), ISNUMBER(MATCH(GJ$1, AsistenciaJetAdminConcatenada!$B:$B, 0)), ISNUMBER(SEARCH($A70,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ISNUMBER(SEARCH($A70, INDEX(AsistenciaJetAdminConcatenada!$D:$D, MATCH(1, (AsistenciaJetAdminConcatenada!$A:$A=GJ$2)*(AsistenciaJetAdminConcatenada!$B:$B=GJ$1), 0)), 1))),  0.5, 0))</f>
        <v>0</v>
      </c>
      <c r="GK70" s="47">
        <f t="array" ref="GK70">IF(AND(ISNUMBER(MATCH(GK$2, AsistenciaJetAdminConcatenada!$A:$A, 0)), ISNUMBER(MATCH(GK$1, AsistenciaJetAdminConcatenada!$B:$B, 0)), ISNUMBER(SEARCH($A70,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ISNUMBER(SEARCH($A70, INDEX(AsistenciaJetAdminConcatenada!$D:$D, MATCH(1, (AsistenciaJetAdminConcatenada!$A:$A=GK$2)*(AsistenciaJetAdminConcatenada!$B:$B=GK$1), 0)), 1))),  0.5, 0))</f>
        <v>0</v>
      </c>
      <c r="GL70" s="47">
        <f t="array" ref="GL70">IF(AND(ISNUMBER(MATCH(GL$2, AsistenciaJetAdminConcatenada!$A:$A, 0)), ISNUMBER(MATCH(GL$1, AsistenciaJetAdminConcatenada!$B:$B, 0)), ISNUMBER(SEARCH($A70,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ISNUMBER(SEARCH($A70, INDEX(AsistenciaJetAdminConcatenada!$D:$D, MATCH(1, (AsistenciaJetAdminConcatenada!$A:$A=GL$2)*(AsistenciaJetAdminConcatenada!$B:$B=GL$1), 0)), 1))),  0.5, 0))</f>
        <v>0</v>
      </c>
      <c r="GM70" s="47">
        <f t="array" ref="GM70">IF(AND(ISNUMBER(MATCH(GM$2, AsistenciaJetAdminConcatenada!$A:$A, 0)), ISNUMBER(MATCH(GM$1, AsistenciaJetAdminConcatenada!$B:$B, 0)), ISNUMBER(SEARCH($A70,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ISNUMBER(SEARCH($A70, INDEX(AsistenciaJetAdminConcatenada!$D:$D, MATCH(1, (AsistenciaJetAdminConcatenada!$A:$A=GM$2)*(AsistenciaJetAdminConcatenada!$B:$B=GM$1), 0)), 1))),  0.5, 0))</f>
        <v>0</v>
      </c>
      <c r="GN70" s="47">
        <f t="array" ref="GN70">IF(AND(ISNUMBER(MATCH(GN$2, AsistenciaJetAdminConcatenada!$A:$A, 0)), ISNUMBER(MATCH(GN$1, AsistenciaJetAdminConcatenada!$B:$B, 0)), ISNUMBER(SEARCH($A70,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ISNUMBER(SEARCH($A70, INDEX(AsistenciaJetAdminConcatenada!$D:$D, MATCH(1, (AsistenciaJetAdminConcatenada!$A:$A=GN$2)*(AsistenciaJetAdminConcatenada!$B:$B=GN$1), 0)), 1))),  0.5, 0))</f>
        <v>0</v>
      </c>
      <c r="GO70" s="47">
        <f t="array" ref="GO70">IF(AND(ISNUMBER(MATCH(GO$2, AsistenciaJetAdminConcatenada!$A:$A, 0)), ISNUMBER(MATCH(GO$1, AsistenciaJetAdminConcatenada!$B:$B, 0)), ISNUMBER(SEARCH($A70,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ISNUMBER(SEARCH($A70, INDEX(AsistenciaJetAdminConcatenada!$D:$D, MATCH(1, (AsistenciaJetAdminConcatenada!$A:$A=GO$2)*(AsistenciaJetAdminConcatenada!$B:$B=GO$1), 0)), 1))),  0.5, 0))</f>
        <v>0</v>
      </c>
      <c r="GP70" s="47">
        <f t="array" ref="GP70">IF(AND(ISNUMBER(MATCH(GP$2, AsistenciaJetAdminConcatenada!$A:$A, 0)), ISNUMBER(MATCH(GP$1, AsistenciaJetAdminConcatenada!$B:$B, 0)), ISNUMBER(SEARCH($A70,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ISNUMBER(SEARCH($A70, INDEX(AsistenciaJetAdminConcatenada!$D:$D, MATCH(1, (AsistenciaJetAdminConcatenada!$A:$A=GP$2)*(AsistenciaJetAdminConcatenada!$B:$B=GP$1), 0)), 1))),  0.5, 0))</f>
        <v>0</v>
      </c>
      <c r="GQ70" s="47">
        <f t="array" ref="GQ70">IF(AND(ISNUMBER(MATCH(GQ$2, AsistenciaJetAdminConcatenada!$A:$A, 0)), ISNUMBER(MATCH(GQ$1, AsistenciaJetAdminConcatenada!$B:$B, 0)), ISNUMBER(SEARCH($A70,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ISNUMBER(SEARCH($A70, INDEX(AsistenciaJetAdminConcatenada!$D:$D, MATCH(1, (AsistenciaJetAdminConcatenada!$A:$A=GQ$2)*(AsistenciaJetAdminConcatenada!$B:$B=GQ$1), 0)), 1))),  0.5, 0))</f>
        <v>0</v>
      </c>
      <c r="GR70" s="47">
        <f t="array" ref="GR70">IF(AND(ISNUMBER(MATCH(GR$2, AsistenciaJetAdminConcatenada!$A:$A, 0)), ISNUMBER(MATCH(GR$1, AsistenciaJetAdminConcatenada!$B:$B, 0)), ISNUMBER(SEARCH($A70,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ISNUMBER(SEARCH($A70, INDEX(AsistenciaJetAdminConcatenada!$D:$D, MATCH(1, (AsistenciaJetAdminConcatenada!$A:$A=GR$2)*(AsistenciaJetAdminConcatenada!$B:$B=GR$1), 0)), 1))),  0.5, 0))</f>
        <v>0</v>
      </c>
      <c r="GS70" s="47">
        <f t="array" ref="GS70">IF(AND(ISNUMBER(MATCH(GS$2, AsistenciaJetAdminConcatenada!$A:$A, 0)), ISNUMBER(MATCH(GS$1, AsistenciaJetAdminConcatenada!$B:$B, 0)), ISNUMBER(SEARCH($A70,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ISNUMBER(SEARCH($A70, INDEX(AsistenciaJetAdminConcatenada!$D:$D, MATCH(1, (AsistenciaJetAdminConcatenada!$A:$A=GS$2)*(AsistenciaJetAdminConcatenada!$B:$B=GS$1), 0)), 1))),  0.5, 0))</f>
        <v>0</v>
      </c>
      <c r="GT70" s="47">
        <f t="array" ref="GT70">IF(AND(ISNUMBER(MATCH(GT$2, AsistenciaJetAdminConcatenada!$A:$A, 0)), ISNUMBER(MATCH(GT$1, AsistenciaJetAdminConcatenada!$B:$B, 0)), ISNUMBER(SEARCH($A70,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ISNUMBER(SEARCH($A70, INDEX(AsistenciaJetAdminConcatenada!$D:$D, MATCH(1, (AsistenciaJetAdminConcatenada!$A:$A=GT$2)*(AsistenciaJetAdminConcatenada!$B:$B=GT$1), 0)), 1))),  0.5, 0))</f>
        <v>0</v>
      </c>
      <c r="GU70" s="47">
        <f t="array" ref="GU70">IF(AND(ISNUMBER(MATCH(GU$2, AsistenciaJetAdminConcatenada!$A:$A, 0)), ISNUMBER(MATCH(GU$1, AsistenciaJetAdminConcatenada!$B:$B, 0)), ISNUMBER(SEARCH($A70,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ISNUMBER(SEARCH($A70, INDEX(AsistenciaJetAdminConcatenada!$D:$D, MATCH(1, (AsistenciaJetAdminConcatenada!$A:$A=GU$2)*(AsistenciaJetAdminConcatenada!$B:$B=GU$1), 0)), 1))),  0.5, 0))</f>
        <v>0</v>
      </c>
      <c r="GV70" s="47">
        <f t="array" ref="GV70">IF(AND(ISNUMBER(MATCH(GV$2, AsistenciaJetAdminConcatenada!$A:$A, 0)), ISNUMBER(MATCH(GV$1, AsistenciaJetAdminConcatenada!$B:$B, 0)), ISNUMBER(SEARCH($A70,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ISNUMBER(SEARCH($A70, INDEX(AsistenciaJetAdminConcatenada!$D:$D, MATCH(1, (AsistenciaJetAdminConcatenada!$A:$A=GV$2)*(AsistenciaJetAdminConcatenada!$B:$B=GV$1), 0)), 1))),  0.5, 0))</f>
        <v>0</v>
      </c>
      <c r="GW70" s="47">
        <f t="array" ref="GW70">IF(AND(ISNUMBER(MATCH(GW$2, AsistenciaJetAdminConcatenada!$A:$A, 0)), ISNUMBER(MATCH(GW$1, AsistenciaJetAdminConcatenada!$B:$B, 0)), ISNUMBER(SEARCH($A70,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ISNUMBER(SEARCH($A70, INDEX(AsistenciaJetAdminConcatenada!$D:$D, MATCH(1, (AsistenciaJetAdminConcatenada!$A:$A=GW$2)*(AsistenciaJetAdminConcatenada!$B:$B=GW$1), 0)), 1))),  0.5, 0))</f>
        <v>0</v>
      </c>
      <c r="GX70" s="47">
        <f t="array" ref="GX70">IF(AND(ISNUMBER(MATCH(GX$2, AsistenciaJetAdminConcatenada!$A:$A, 0)), ISNUMBER(MATCH(GX$1, AsistenciaJetAdminConcatenada!$B:$B, 0)), ISNUMBER(SEARCH($A70,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ISNUMBER(SEARCH($A70, INDEX(AsistenciaJetAdminConcatenada!$D:$D, MATCH(1, (AsistenciaJetAdminConcatenada!$A:$A=GX$2)*(AsistenciaJetAdminConcatenada!$B:$B=GX$1), 0)), 1))),  0.5, 0))</f>
        <v>0</v>
      </c>
      <c r="GY70" s="47">
        <f t="array" ref="GY70">IF(AND(ISNUMBER(MATCH(GY$2, AsistenciaJetAdminConcatenada!$A:$A, 0)), ISNUMBER(MATCH(GY$1, AsistenciaJetAdminConcatenada!$B:$B, 0)), ISNUMBER(SEARCH($A70,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ISNUMBER(SEARCH($A70, INDEX(AsistenciaJetAdminConcatenada!$D:$D, MATCH(1, (AsistenciaJetAdminConcatenada!$A:$A=GY$2)*(AsistenciaJetAdminConcatenada!$B:$B=GY$1), 0)), 1))),  0.5, 0))</f>
        <v>0</v>
      </c>
      <c r="GZ70" s="47">
        <f t="array" ref="GZ70">IF(AND(ISNUMBER(MATCH(GZ$2, AsistenciaJetAdminConcatenada!$A:$A, 0)), ISNUMBER(MATCH(GZ$1, AsistenciaJetAdminConcatenada!$B:$B, 0)), ISNUMBER(SEARCH($A70,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ISNUMBER(SEARCH($A70, INDEX(AsistenciaJetAdminConcatenada!$D:$D, MATCH(1, (AsistenciaJetAdminConcatenada!$A:$A=GZ$2)*(AsistenciaJetAdminConcatenada!$B:$B=GZ$1), 0)), 1))),  0.5, 0))</f>
        <v>0</v>
      </c>
      <c r="HA70" s="47">
        <f t="array" ref="HA70">IF(AND(ISNUMBER(MATCH(HA$2, AsistenciaJetAdminConcatenada!$A:$A, 0)), ISNUMBER(MATCH(HA$1, AsistenciaJetAdminConcatenada!$B:$B, 0)), ISNUMBER(SEARCH($A70,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ISNUMBER(SEARCH($A70, INDEX(AsistenciaJetAdminConcatenada!$D:$D, MATCH(1, (AsistenciaJetAdminConcatenada!$A:$A=HA$2)*(AsistenciaJetAdminConcatenada!$B:$B=HA$1), 0)), 1))),  0.5, 0))</f>
        <v>0</v>
      </c>
      <c r="HB70" s="47">
        <f t="array" ref="HB70">IF(AND(ISNUMBER(MATCH(HB$2, AsistenciaJetAdminConcatenada!$A:$A, 0)), ISNUMBER(MATCH(HB$1, AsistenciaJetAdminConcatenada!$B:$B, 0)), ISNUMBER(SEARCH($A70,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ISNUMBER(SEARCH($A70, INDEX(AsistenciaJetAdminConcatenada!$D:$D, MATCH(1, (AsistenciaJetAdminConcatenada!$A:$A=HB$2)*(AsistenciaJetAdminConcatenada!$B:$B=HB$1), 0)), 1))),  0.5, 0))</f>
        <v>0</v>
      </c>
      <c r="HC70" s="47">
        <f t="array" ref="HC70">IF(AND(ISNUMBER(MATCH(HC$2, AsistenciaJetAdminConcatenada!$A:$A, 0)), ISNUMBER(MATCH(HC$1, AsistenciaJetAdminConcatenada!$B:$B, 0)), ISNUMBER(SEARCH($A70,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ISNUMBER(SEARCH($A70, INDEX(AsistenciaJetAdminConcatenada!$D:$D, MATCH(1, (AsistenciaJetAdminConcatenada!$A:$A=HC$2)*(AsistenciaJetAdminConcatenada!$B:$B=HC$1), 0)), 1))),  0.5, 0))</f>
        <v>0</v>
      </c>
    </row>
    <row r="71" ht="29.25" customHeight="1">
      <c r="A71" s="3">
        <v>117.0</v>
      </c>
      <c r="B71" s="4" t="s">
        <v>281</v>
      </c>
      <c r="C71" s="47">
        <f>SUM(D71:HC71) + ActividadesEspeciales!C71</f>
        <v>76.5</v>
      </c>
      <c r="D71" s="47">
        <f t="array" ref="D71">IF(AND(ISNUMBER(MATCH(D$2, AsistenciaJetAdminConcatenada!$A:$A, 0)), ISNUMBER(MATCH(D$1, AsistenciaJetAdminConcatenada!$B:$B, 0)), ISNUMBER(SEARCH($A71,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ISNUMBER(SEARCH($A71, INDEX(AsistenciaJetAdminConcatenada!$D:$D, MATCH(1, (AsistenciaJetAdminConcatenada!$A:$A=D$2)*(AsistenciaJetAdminConcatenada!$B:$B=D$1), 0)), 1))),  0.5, 0))</f>
        <v>1</v>
      </c>
      <c r="E71" s="47">
        <f t="array" ref="E71">IF(AND(ISNUMBER(MATCH(E$2, AsistenciaJetAdminConcatenada!$A:$A, 0)), ISNUMBER(MATCH(E$1, AsistenciaJetAdminConcatenada!$B:$B, 0)), ISNUMBER(SEARCH($A71,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ISNUMBER(SEARCH($A71, INDEX(AsistenciaJetAdminConcatenada!$D:$D, MATCH(1, (AsistenciaJetAdminConcatenada!$A:$A=E$2)*(AsistenciaJetAdminConcatenada!$B:$B=E$1), 0)), 1))),  0.5, 0))</f>
        <v>1</v>
      </c>
      <c r="F71" s="47">
        <f t="array" ref="F71">IF(AND(ISNUMBER(MATCH(F$2, AsistenciaJetAdminConcatenada!$A:$A, 0)), ISNUMBER(MATCH(F$1, AsistenciaJetAdminConcatenada!$B:$B, 0)), ISNUMBER(SEARCH($A71,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ISNUMBER(SEARCH($A71, INDEX(AsistenciaJetAdminConcatenada!$D:$D, MATCH(1, (AsistenciaJetAdminConcatenada!$A:$A=F$2)*(AsistenciaJetAdminConcatenada!$B:$B=F$1), 0)), 1))),  0.5, 0))</f>
        <v>1</v>
      </c>
      <c r="G71" s="47">
        <f t="array" ref="G71">IF(AND(ISNUMBER(MATCH(G$2, AsistenciaJetAdminConcatenada!$A:$A, 0)), ISNUMBER(MATCH(G$1, AsistenciaJetAdminConcatenada!$B:$B, 0)), ISNUMBER(SEARCH($A71,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ISNUMBER(SEARCH($A71, INDEX(AsistenciaJetAdminConcatenada!$D:$D, MATCH(1, (AsistenciaJetAdminConcatenada!$A:$A=G$2)*(AsistenciaJetAdminConcatenada!$B:$B=G$1), 0)), 1))),  0.5, 0))</f>
        <v>1</v>
      </c>
      <c r="H71" s="47">
        <f t="array" ref="H71">IF(AND(ISNUMBER(MATCH(H$2, AsistenciaJetAdminConcatenada!$A:$A, 0)), ISNUMBER(MATCH(H$1, AsistenciaJetAdminConcatenada!$B:$B, 0)), ISNUMBER(SEARCH($A71,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ISNUMBER(SEARCH($A71, INDEX(AsistenciaJetAdminConcatenada!$D:$D, MATCH(1, (AsistenciaJetAdminConcatenada!$A:$A=H$2)*(AsistenciaJetAdminConcatenada!$B:$B=H$1), 0)), 1))),  0.5, 0))</f>
        <v>1</v>
      </c>
      <c r="I71" s="47">
        <f t="array" ref="I71">IF(AND(ISNUMBER(MATCH(I$2, AsistenciaJetAdminConcatenada!$A:$A, 0)), ISNUMBER(MATCH(I$1, AsistenciaJetAdminConcatenada!$B:$B, 0)), ISNUMBER(SEARCH($A71,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ISNUMBER(SEARCH($A71, INDEX(AsistenciaJetAdminConcatenada!$D:$D, MATCH(1, (AsistenciaJetAdminConcatenada!$A:$A=I$2)*(AsistenciaJetAdminConcatenada!$B:$B=I$1), 0)), 1))),  0.5, 0))</f>
        <v>1</v>
      </c>
      <c r="J71" s="47">
        <f t="array" ref="J71">IF(AND(ISNUMBER(MATCH(J$2, AsistenciaJetAdminConcatenada!$A:$A, 0)), ISNUMBER(MATCH(J$1, AsistenciaJetAdminConcatenada!$B:$B, 0)), ISNUMBER(SEARCH($A71,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ISNUMBER(SEARCH($A71, INDEX(AsistenciaJetAdminConcatenada!$D:$D, MATCH(1, (AsistenciaJetAdminConcatenada!$A:$A=J$2)*(AsistenciaJetAdminConcatenada!$B:$B=J$1), 0)), 1))),  0.5, 0))</f>
        <v>1</v>
      </c>
      <c r="K71" s="47">
        <f t="array" ref="K71">IF(AND(ISNUMBER(MATCH(K$2, AsistenciaJetAdminConcatenada!$A:$A, 0)), ISNUMBER(MATCH(K$1, AsistenciaJetAdminConcatenada!$B:$B, 0)), ISNUMBER(SEARCH($A71,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ISNUMBER(SEARCH($A71, INDEX(AsistenciaJetAdminConcatenada!$D:$D, MATCH(1, (AsistenciaJetAdminConcatenada!$A:$A=K$2)*(AsistenciaJetAdminConcatenada!$B:$B=K$1), 0)), 1))),  0.5, 0))</f>
        <v>1</v>
      </c>
      <c r="L71" s="47">
        <f t="array" ref="L71">IF(AND(ISNUMBER(MATCH(L$2, AsistenciaJetAdminConcatenada!$A:$A, 0)), ISNUMBER(MATCH(L$1, AsistenciaJetAdminConcatenada!$B:$B, 0)), ISNUMBER(SEARCH($A71,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ISNUMBER(SEARCH($A71, INDEX(AsistenciaJetAdminConcatenada!$D:$D, MATCH(1, (AsistenciaJetAdminConcatenada!$A:$A=L$2)*(AsistenciaJetAdminConcatenada!$B:$B=L$1), 0)), 1))),  0.5, 0))</f>
        <v>1</v>
      </c>
      <c r="M71" s="47">
        <f t="array" ref="M71">IF(AND(ISNUMBER(MATCH(M$2, AsistenciaJetAdminConcatenada!$A:$A, 0)), ISNUMBER(MATCH(M$1, AsistenciaJetAdminConcatenada!$B:$B, 0)), ISNUMBER(SEARCH($A71,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ISNUMBER(SEARCH($A71, INDEX(AsistenciaJetAdminConcatenada!$D:$D, MATCH(1, (AsistenciaJetAdminConcatenada!$A:$A=M$2)*(AsistenciaJetAdminConcatenada!$B:$B=M$1), 0)), 1))),  0.5, 0))</f>
        <v>1</v>
      </c>
      <c r="N71" s="47">
        <f t="array" ref="N71">IF(AND(ISNUMBER(MATCH(N$2, AsistenciaJetAdminConcatenada!$A:$A, 0)), ISNUMBER(MATCH(N$1, AsistenciaJetAdminConcatenada!$B:$B, 0)), ISNUMBER(SEARCH($A71,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ISNUMBER(SEARCH($A71, INDEX(AsistenciaJetAdminConcatenada!$D:$D, MATCH(1, (AsistenciaJetAdminConcatenada!$A:$A=N$2)*(AsistenciaJetAdminConcatenada!$B:$B=N$1), 0)), 1))),  0.5, 0))</f>
        <v>1</v>
      </c>
      <c r="O71" s="47">
        <f t="array" ref="O71">IF(AND(ISNUMBER(MATCH(O$2, AsistenciaJetAdminConcatenada!$A:$A, 0)), ISNUMBER(MATCH(O$1, AsistenciaJetAdminConcatenada!$B:$B, 0)), ISNUMBER(SEARCH($A71,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ISNUMBER(SEARCH($A71, INDEX(AsistenciaJetAdminConcatenada!$D:$D, MATCH(1, (AsistenciaJetAdminConcatenada!$A:$A=O$2)*(AsistenciaJetAdminConcatenada!$B:$B=O$1), 0)), 1))),  0.5, 0))</f>
        <v>1</v>
      </c>
      <c r="P71" s="47">
        <f t="array" ref="P71">IF(AND(ISNUMBER(MATCH(P$2, AsistenciaJetAdminConcatenada!$A:$A, 0)), ISNUMBER(MATCH(P$1, AsistenciaJetAdminConcatenada!$B:$B, 0)), ISNUMBER(SEARCH($A71, INDEX(AsistenciaJetAdminConcatenada!$C:$C, MATCH(1, (AsistenciaJetAdminConcatenada!$A:$A=P$2)*(AsistenciaJetAdminConcatenada!$B:$B=P$1), 0)), 1))), 1, IF(AND(ISNUMBER(MATCH(P$2, AsistenciaJetAdminConcatenada!$A:$A, 0)), ISNUMBER(MATCH(P$1, AsistenciaJetAdminConcatenada!$B:$B, 0)), ISNUMBER(SEARCH($A71, INDEX(AsistenciaJetAdminConcatenada!$D:$D, MATCH(1, (AsistenciaJetAdminConcatenada!$A:$A=P$2)*(AsistenciaJetAdminConcatenada!$B:$B=P$1), 0)), 1))),  0.5, 0))</f>
        <v>1</v>
      </c>
      <c r="Q71" s="47">
        <f t="array" ref="Q71">IF(AND(ISNUMBER(MATCH(Q$2, AsistenciaJetAdminConcatenada!$A:$A, 0)), ISNUMBER(MATCH(Q$1, AsistenciaJetAdminConcatenada!$B:$B, 0)), ISNUMBER(SEARCH($A71, INDEX(AsistenciaJetAdminConcatenada!$C:$C, MATCH(1, (AsistenciaJetAdminConcatenada!$A:$A=Q$2)*(AsistenciaJetAdminConcatenada!$B:$B=Q$1), 0)), 1))), 1, IF(AND(ISNUMBER(MATCH(Q$2, AsistenciaJetAdminConcatenada!$A:$A, 0)), ISNUMBER(MATCH(Q$1, AsistenciaJetAdminConcatenada!$B:$B, 0)), ISNUMBER(SEARCH($A71, INDEX(AsistenciaJetAdminConcatenada!$D:$D, MATCH(1, (AsistenciaJetAdminConcatenada!$A:$A=Q$2)*(AsistenciaJetAdminConcatenada!$B:$B=Q$1), 0)), 1))),  0.5, 0))</f>
        <v>1</v>
      </c>
      <c r="R71" s="47">
        <f t="array" ref="R71">IF(AND(ISNUMBER(MATCH(R$2, AsistenciaJetAdminConcatenada!$A:$A, 0)), ISNUMBER(MATCH(R$1, AsistenciaJetAdminConcatenada!$B:$B, 0)), ISNUMBER(SEARCH($A71,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ISNUMBER(SEARCH($A71, INDEX(AsistenciaJetAdminConcatenada!$D:$D, MATCH(1, (AsistenciaJetAdminConcatenada!$A:$A=R$2)*(AsistenciaJetAdminConcatenada!$B:$B=R$1), 0)), 1))),  0.5, 0))</f>
        <v>1</v>
      </c>
      <c r="S71" s="47">
        <f t="array" ref="S71">IF(AND(ISNUMBER(MATCH(S$2, AsistenciaJetAdminConcatenada!$A:$A, 0)), ISNUMBER(MATCH(S$1, AsistenciaJetAdminConcatenada!$B:$B, 0)), ISNUMBER(SEARCH($A71,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ISNUMBER(SEARCH($A71, INDEX(AsistenciaJetAdminConcatenada!$D:$D, MATCH(1, (AsistenciaJetAdminConcatenada!$A:$A=S$2)*(AsistenciaJetAdminConcatenada!$B:$B=S$1), 0)), 1))),  0.5, 0))</f>
        <v>1</v>
      </c>
      <c r="T71" s="47">
        <f t="array" ref="T71">IF(AND(ISNUMBER(MATCH(T$2, AsistenciaJetAdminConcatenada!$A:$A, 0)), ISNUMBER(MATCH(T$1, AsistenciaJetAdminConcatenada!$B:$B, 0)), ISNUMBER(SEARCH($A71,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ISNUMBER(SEARCH($A71, INDEX(AsistenciaJetAdminConcatenada!$D:$D, MATCH(1, (AsistenciaJetAdminConcatenada!$A:$A=T$2)*(AsistenciaJetAdminConcatenada!$B:$B=T$1), 0)), 1))),  0.5, 0))</f>
        <v>0</v>
      </c>
      <c r="U71" s="47">
        <f t="array" ref="U71">IF(AND(ISNUMBER(MATCH(U$2, AsistenciaJetAdminConcatenada!$A:$A, 0)), ISNUMBER(MATCH(U$1, AsistenciaJetAdminConcatenada!$B:$B, 0)), ISNUMBER(SEARCH($A71,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ISNUMBER(SEARCH($A71, INDEX(AsistenciaJetAdminConcatenada!$D:$D, MATCH(1, (AsistenciaJetAdminConcatenada!$A:$A=U$2)*(AsistenciaJetAdminConcatenada!$B:$B=U$1), 0)), 1))),  0.5, 0))</f>
        <v>0.5</v>
      </c>
      <c r="V71" s="47">
        <f t="array" ref="V71">IF(AND(ISNUMBER(MATCH(V$2, AsistenciaJetAdminConcatenada!$A:$A, 0)), ISNUMBER(MATCH(V$1, AsistenciaJetAdminConcatenada!$B:$B, 0)), ISNUMBER(SEARCH($A71,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ISNUMBER(SEARCH($A71, INDEX(AsistenciaJetAdminConcatenada!$D:$D, MATCH(1, (AsistenciaJetAdminConcatenada!$A:$A=V$2)*(AsistenciaJetAdminConcatenada!$B:$B=V$1), 0)), 1))),  0.5, 0))</f>
        <v>0.5</v>
      </c>
      <c r="W71" s="47">
        <f t="array" ref="W71">IF(AND(ISNUMBER(MATCH(W$2, AsistenciaJetAdminConcatenada!$A:$A, 0)), ISNUMBER(MATCH(W$1, AsistenciaJetAdminConcatenada!$B:$B, 0)), ISNUMBER(SEARCH($A71,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ISNUMBER(SEARCH($A71, INDEX(AsistenciaJetAdminConcatenada!$D:$D, MATCH(1, (AsistenciaJetAdminConcatenada!$A:$A=W$2)*(AsistenciaJetAdminConcatenada!$B:$B=W$1), 0)), 1))),  0.5, 0))</f>
        <v>1</v>
      </c>
      <c r="X71" s="47">
        <f t="array" ref="X71">IF(AND(ISNUMBER(MATCH(X$2, AsistenciaJetAdminConcatenada!$A:$A, 0)), ISNUMBER(MATCH(X$1, AsistenciaJetAdminConcatenada!$B:$B, 0)), ISNUMBER(SEARCH($A71,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ISNUMBER(SEARCH($A71, INDEX(AsistenciaJetAdminConcatenada!$D:$D, MATCH(1, (AsistenciaJetAdminConcatenada!$A:$A=X$2)*(AsistenciaJetAdminConcatenada!$B:$B=X$1), 0)), 1))),  0.5, 0))</f>
        <v>1</v>
      </c>
      <c r="Y71" s="47">
        <f t="array" ref="Y71">IF(AND(ISNUMBER(MATCH(Y$2, AsistenciaJetAdminConcatenada!$A:$A, 0)), ISNUMBER(MATCH(Y$1, AsistenciaJetAdminConcatenada!$B:$B, 0)), ISNUMBER(SEARCH($A71,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ISNUMBER(SEARCH($A71, INDEX(AsistenciaJetAdminConcatenada!$D:$D, MATCH(1, (AsistenciaJetAdminConcatenada!$A:$A=Y$2)*(AsistenciaJetAdminConcatenada!$B:$B=Y$1), 0)), 1))),  0.5, 0))</f>
        <v>1</v>
      </c>
      <c r="Z71" s="47">
        <f t="array" ref="Z71">IF(AND(ISNUMBER(MATCH(Z$2, AsistenciaJetAdminConcatenada!$A:$A, 0)), ISNUMBER(MATCH(Z$1, AsistenciaJetAdminConcatenada!$B:$B, 0)), ISNUMBER(SEARCH($A71,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ISNUMBER(SEARCH($A71, INDEX(AsistenciaJetAdminConcatenada!$D:$D, MATCH(1, (AsistenciaJetAdminConcatenada!$A:$A=Z$2)*(AsistenciaJetAdminConcatenada!$B:$B=Z$1), 0)), 1))),  0.5, 0))</f>
        <v>1</v>
      </c>
      <c r="AA71" s="47">
        <f t="array" ref="AA71">IF(AND(ISNUMBER(MATCH(AA$2, AsistenciaJetAdminConcatenada!$A:$A, 0)), ISNUMBER(MATCH(AA$1, AsistenciaJetAdminConcatenada!$B:$B, 0)), ISNUMBER(SEARCH($A71,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ISNUMBER(SEARCH($A71, INDEX(AsistenciaJetAdminConcatenada!$D:$D, MATCH(1, (AsistenciaJetAdminConcatenada!$A:$A=AA$2)*(AsistenciaJetAdminConcatenada!$B:$B=AA$1), 0)), 1))),  0.5, 0))</f>
        <v>1</v>
      </c>
      <c r="AB71" s="47">
        <f t="array" ref="AB71">IF(AND(ISNUMBER(MATCH(AB$2, AsistenciaJetAdminConcatenada!$A:$A, 0)), ISNUMBER(MATCH(AB$1, AsistenciaJetAdminConcatenada!$B:$B, 0)), ISNUMBER(SEARCH($A71,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ISNUMBER(SEARCH($A71, INDEX(AsistenciaJetAdminConcatenada!$D:$D, MATCH(1, (AsistenciaJetAdminConcatenada!$A:$A=AB$2)*(AsistenciaJetAdminConcatenada!$B:$B=AB$1), 0)), 1))),  0.5, 0))</f>
        <v>0</v>
      </c>
      <c r="AC71" s="47">
        <f t="array" ref="AC71">IF(AND(ISNUMBER(MATCH(AC$2, AsistenciaJetAdminConcatenada!$A:$A, 0)), ISNUMBER(MATCH(AC$1, AsistenciaJetAdminConcatenada!$B:$B, 0)), ISNUMBER(SEARCH($A71,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ISNUMBER(SEARCH($A71, INDEX(AsistenciaJetAdminConcatenada!$D:$D, MATCH(1, (AsistenciaJetAdminConcatenada!$A:$A=AC$2)*(AsistenciaJetAdminConcatenada!$B:$B=AC$1), 0)), 1))),  0.5, 0))</f>
        <v>1</v>
      </c>
      <c r="AD71" s="47">
        <f t="array" ref="AD71">IF(AND(ISNUMBER(MATCH(AD$2, AsistenciaJetAdminConcatenada!$A:$A, 0)), ISNUMBER(MATCH(AD$1, AsistenciaJetAdminConcatenada!$B:$B, 0)), ISNUMBER(SEARCH($A71,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ISNUMBER(SEARCH($A71, INDEX(AsistenciaJetAdminConcatenada!$D:$D, MATCH(1, (AsistenciaJetAdminConcatenada!$A:$A=AD$2)*(AsistenciaJetAdminConcatenada!$B:$B=AD$1), 0)), 1))),  0.5, 0))</f>
        <v>1</v>
      </c>
      <c r="AE71" s="47">
        <f t="array" ref="AE71">IF(AND(ISNUMBER(MATCH(AE$2, AsistenciaJetAdminConcatenada!$A:$A, 0)), ISNUMBER(MATCH(AE$1, AsistenciaJetAdminConcatenada!$B:$B, 0)), ISNUMBER(SEARCH($A71,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ISNUMBER(SEARCH($A71, INDEX(AsistenciaJetAdminConcatenada!$D:$D, MATCH(1, (AsistenciaJetAdminConcatenada!$A:$A=AE$2)*(AsistenciaJetAdminConcatenada!$B:$B=AE$1), 0)), 1))),  0.5, 0))</f>
        <v>0</v>
      </c>
      <c r="AF71" s="47">
        <f t="array" ref="AF71">IF(AND(ISNUMBER(MATCH(AF$2, AsistenciaJetAdminConcatenada!$A:$A, 0)), ISNUMBER(MATCH(AF$1, AsistenciaJetAdminConcatenada!$B:$B, 0)), ISNUMBER(SEARCH($A71,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ISNUMBER(SEARCH($A71, INDEX(AsistenciaJetAdminConcatenada!$D:$D, MATCH(1, (AsistenciaJetAdminConcatenada!$A:$A=AF$2)*(AsistenciaJetAdminConcatenada!$B:$B=AF$1), 0)), 1))),  0.5, 0))</f>
        <v>0</v>
      </c>
      <c r="AG71" s="47">
        <f t="array" ref="AG71">IF(AND(ISNUMBER(MATCH(AG$2, AsistenciaJetAdminConcatenada!$A:$A, 0)), ISNUMBER(MATCH(AG$1, AsistenciaJetAdminConcatenada!$B:$B, 0)), ISNUMBER(SEARCH($A71,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ISNUMBER(SEARCH($A71, INDEX(AsistenciaJetAdminConcatenada!$D:$D, MATCH(1, (AsistenciaJetAdminConcatenada!$A:$A=AG$2)*(AsistenciaJetAdminConcatenada!$B:$B=AG$1), 0)), 1))),  0.5, 0))</f>
        <v>1</v>
      </c>
      <c r="AH71" s="47">
        <f t="array" ref="AH71">IF(AND(ISNUMBER(MATCH(AH$2, AsistenciaJetAdminConcatenada!$A:$A, 0)), ISNUMBER(MATCH(AH$1, AsistenciaJetAdminConcatenada!$B:$B, 0)), ISNUMBER(SEARCH($A71,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ISNUMBER(SEARCH($A71, INDEX(AsistenciaJetAdminConcatenada!$D:$D, MATCH(1, (AsistenciaJetAdminConcatenada!$A:$A=AH$2)*(AsistenciaJetAdminConcatenada!$B:$B=AH$1), 0)), 1))),  0.5, 0))</f>
        <v>0</v>
      </c>
      <c r="AI71" s="47">
        <f t="array" ref="AI71">IF(AND(ISNUMBER(MATCH(AI$2, AsistenciaJetAdminConcatenada!$A:$A, 0)), ISNUMBER(MATCH(AI$1, AsistenciaJetAdminConcatenada!$B:$B, 0)), ISNUMBER(SEARCH($A71,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ISNUMBER(SEARCH($A71, INDEX(AsistenciaJetAdminConcatenada!$D:$D, MATCH(1, (AsistenciaJetAdminConcatenada!$A:$A=AI$2)*(AsistenciaJetAdminConcatenada!$B:$B=AI$1), 0)), 1))),  0.5, 0))</f>
        <v>1</v>
      </c>
      <c r="AJ71" s="47">
        <f t="array" ref="AJ71">IF(AND(ISNUMBER(MATCH(AJ$2, AsistenciaJetAdminConcatenada!$A:$A, 0)), ISNUMBER(MATCH(AJ$1, AsistenciaJetAdminConcatenada!$B:$B, 0)), ISNUMBER(SEARCH($A71,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ISNUMBER(SEARCH($A71, INDEX(AsistenciaJetAdminConcatenada!$D:$D, MATCH(1, (AsistenciaJetAdminConcatenada!$A:$A=AJ$2)*(AsistenciaJetAdminConcatenada!$B:$B=AJ$1), 0)), 1))),  0.5, 0))</f>
        <v>1</v>
      </c>
      <c r="AK71" s="47">
        <f t="array" ref="AK71">IF(AND(ISNUMBER(MATCH(AK$2, AsistenciaJetAdminConcatenada!$A:$A, 0)), ISNUMBER(MATCH(AK$1, AsistenciaJetAdminConcatenada!$B:$B, 0)), ISNUMBER(SEARCH($A71,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ISNUMBER(SEARCH($A71, INDEX(AsistenciaJetAdminConcatenada!$D:$D, MATCH(1, (AsistenciaJetAdminConcatenada!$A:$A=AK$2)*(AsistenciaJetAdminConcatenada!$B:$B=AK$1), 0)), 1))),  0.5, 0))</f>
        <v>1</v>
      </c>
      <c r="AL71" s="47">
        <f t="array" ref="AL71">IF(AND(ISNUMBER(MATCH(AL$2, AsistenciaJetAdminConcatenada!$A:$A, 0)), ISNUMBER(MATCH(AL$1, AsistenciaJetAdminConcatenada!$B:$B, 0)), ISNUMBER(SEARCH($A71,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ISNUMBER(SEARCH($A71, INDEX(AsistenciaJetAdminConcatenada!$D:$D, MATCH(1, (AsistenciaJetAdminConcatenada!$A:$A=AL$2)*(AsistenciaJetAdminConcatenada!$B:$B=AL$1), 0)), 1))),  0.5, 0))</f>
        <v>1</v>
      </c>
      <c r="AM71" s="47">
        <f t="array" ref="AM71">IF(AND(ISNUMBER(MATCH(AM$2, AsistenciaJetAdminConcatenada!$A:$A, 0)), ISNUMBER(MATCH(AM$1, AsistenciaJetAdminConcatenada!$B:$B, 0)), ISNUMBER(SEARCH($A71,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ISNUMBER(SEARCH($A71, INDEX(AsistenciaJetAdminConcatenada!$D:$D, MATCH(1, (AsistenciaJetAdminConcatenada!$A:$A=AM$2)*(AsistenciaJetAdminConcatenada!$B:$B=AM$1), 0)), 1))),  0.5, 0))</f>
        <v>1</v>
      </c>
      <c r="AN71" s="47">
        <f t="array" ref="AN71">IF(AND(ISNUMBER(MATCH(AN$2, AsistenciaJetAdminConcatenada!$A:$A, 0)), ISNUMBER(MATCH(AN$1, AsistenciaJetAdminConcatenada!$B:$B, 0)), ISNUMBER(SEARCH($A71,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ISNUMBER(SEARCH($A71, INDEX(AsistenciaJetAdminConcatenada!$D:$D, MATCH(1, (AsistenciaJetAdminConcatenada!$A:$A=AN$2)*(AsistenciaJetAdminConcatenada!$B:$B=AN$1), 0)), 1))),  0.5, 0))</f>
        <v>1</v>
      </c>
      <c r="AO71" s="47">
        <f t="array" ref="AO71">IF(AND(ISNUMBER(MATCH(AO$2, AsistenciaJetAdminConcatenada!$A:$A, 0)), ISNUMBER(MATCH(AO$1, AsistenciaJetAdminConcatenada!$B:$B, 0)), ISNUMBER(SEARCH($A71,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ISNUMBER(SEARCH($A71, INDEX(AsistenciaJetAdminConcatenada!$D:$D, MATCH(1, (AsistenciaJetAdminConcatenada!$A:$A=AO$2)*(AsistenciaJetAdminConcatenada!$B:$B=AO$1), 0)), 1))),  0.5, 0))</f>
        <v>0</v>
      </c>
      <c r="AP71" s="47">
        <f t="array" ref="AP71">IF(AND(ISNUMBER(MATCH(AP$2, AsistenciaJetAdminConcatenada!$A:$A, 0)), ISNUMBER(MATCH(AP$1, AsistenciaJetAdminConcatenada!$B:$B, 0)), ISNUMBER(SEARCH($A71,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ISNUMBER(SEARCH($A71, INDEX(AsistenciaJetAdminConcatenada!$D:$D, MATCH(1, (AsistenciaJetAdminConcatenada!$A:$A=AP$2)*(AsistenciaJetAdminConcatenada!$B:$B=AP$1), 0)), 1))),  0.5, 0))</f>
        <v>1</v>
      </c>
      <c r="AQ71" s="47">
        <f t="array" ref="AQ71">IF(AND(ISNUMBER(MATCH(AQ$2, AsistenciaJetAdminConcatenada!$A:$A, 0)), ISNUMBER(MATCH(AQ$1, AsistenciaJetAdminConcatenada!$B:$B, 0)), ISNUMBER(SEARCH($A71,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ISNUMBER(SEARCH($A71, INDEX(AsistenciaJetAdminConcatenada!$D:$D, MATCH(1, (AsistenciaJetAdminConcatenada!$A:$A=AQ$2)*(AsistenciaJetAdminConcatenada!$B:$B=AQ$1), 0)), 1))),  0.5, 0))</f>
        <v>0</v>
      </c>
      <c r="AR71" s="47">
        <f t="array" ref="AR71">IF(AND(ISNUMBER(MATCH(AR$2, AsistenciaJetAdminConcatenada!$A:$A, 0)), ISNUMBER(MATCH(AR$1, AsistenciaJetAdminConcatenada!$B:$B, 0)), ISNUMBER(SEARCH($A71,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ISNUMBER(SEARCH($A71, INDEX(AsistenciaJetAdminConcatenada!$D:$D, MATCH(1, (AsistenciaJetAdminConcatenada!$A:$A=AR$2)*(AsistenciaJetAdminConcatenada!$B:$B=AR$1), 0)), 1))),  0.5, 0))</f>
        <v>0</v>
      </c>
      <c r="AS71" s="47">
        <f t="array" ref="AS71">IF(AND(ISNUMBER(MATCH(AS$2, AsistenciaJetAdminConcatenada!$A:$A, 0)), ISNUMBER(MATCH(AS$1, AsistenciaJetAdminConcatenada!$B:$B, 0)), ISNUMBER(SEARCH($A71,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ISNUMBER(SEARCH($A71, INDEX(AsistenciaJetAdminConcatenada!$D:$D, MATCH(1, (AsistenciaJetAdminConcatenada!$A:$A=AS$2)*(AsistenciaJetAdminConcatenada!$B:$B=AS$1), 0)), 1))),  0.5, 0))</f>
        <v>0.5</v>
      </c>
      <c r="AT71" s="47">
        <f t="array" ref="AT71">IF(AND(ISNUMBER(MATCH(AT$2, AsistenciaJetAdminConcatenada!$A:$A, 0)), ISNUMBER(MATCH(AT$1, AsistenciaJetAdminConcatenada!$B:$B, 0)), ISNUMBER(SEARCH($A71,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ISNUMBER(SEARCH($A71, INDEX(AsistenciaJetAdminConcatenada!$D:$D, MATCH(1, (AsistenciaJetAdminConcatenada!$A:$A=AT$2)*(AsistenciaJetAdminConcatenada!$B:$B=AT$1), 0)), 1))),  0.5, 0))</f>
        <v>0</v>
      </c>
      <c r="AU71" s="47">
        <f t="array" ref="AU71">IF(AND(ISNUMBER(MATCH(AU$2, AsistenciaJetAdminConcatenada!$A:$A, 0)), ISNUMBER(MATCH(AU$1, AsistenciaJetAdminConcatenada!$B:$B, 0)), ISNUMBER(SEARCH($A71,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ISNUMBER(SEARCH($A71, INDEX(AsistenciaJetAdminConcatenada!$D:$D, MATCH(1, (AsistenciaJetAdminConcatenada!$A:$A=AU$2)*(AsistenciaJetAdminConcatenada!$B:$B=AU$1), 0)), 1))),  0.5, 0))</f>
        <v>1</v>
      </c>
      <c r="AV71" s="47">
        <f t="array" ref="AV71">IF(AND(ISNUMBER(MATCH(AV$2, AsistenciaJetAdminConcatenada!$A:$A, 0)), ISNUMBER(MATCH(AV$1, AsistenciaJetAdminConcatenada!$B:$B, 0)), ISNUMBER(SEARCH($A71,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ISNUMBER(SEARCH($A71, INDEX(AsistenciaJetAdminConcatenada!$D:$D, MATCH(1, (AsistenciaJetAdminConcatenada!$A:$A=AV$2)*(AsistenciaJetAdminConcatenada!$B:$B=AV$1), 0)), 1))),  0.5, 0))</f>
        <v>1</v>
      </c>
      <c r="AW71" s="47">
        <f t="array" ref="AW71">IF(AND(ISNUMBER(MATCH(AW$2, AsistenciaJetAdminConcatenada!$A:$A, 0)), ISNUMBER(MATCH(AW$1, AsistenciaJetAdminConcatenada!$B:$B, 0)), ISNUMBER(SEARCH($A71,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ISNUMBER(SEARCH($A71, INDEX(AsistenciaJetAdminConcatenada!$D:$D, MATCH(1, (AsistenciaJetAdminConcatenada!$A:$A=AW$2)*(AsistenciaJetAdminConcatenada!$B:$B=AW$1), 0)), 1))),  0.5, 0))</f>
        <v>1</v>
      </c>
      <c r="AX71" s="47">
        <f t="array" ref="AX71">IF(AND(ISNUMBER(MATCH(AX$2, AsistenciaJetAdminConcatenada!$A:$A, 0)), ISNUMBER(MATCH(AX$1, AsistenciaJetAdminConcatenada!$B:$B, 0)), ISNUMBER(SEARCH($A71,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ISNUMBER(SEARCH($A71, INDEX(AsistenciaJetAdminConcatenada!$D:$D, MATCH(1, (AsistenciaJetAdminConcatenada!$A:$A=AX$2)*(AsistenciaJetAdminConcatenada!$B:$B=AX$1), 0)), 1))),  0.5, 0))</f>
        <v>0</v>
      </c>
      <c r="AY71" s="47">
        <f t="array" ref="AY71">IF(AND(ISNUMBER(MATCH(AY$2, AsistenciaJetAdminConcatenada!$A:$A, 0)), ISNUMBER(MATCH(AY$1, AsistenciaJetAdminConcatenada!$B:$B, 0)), ISNUMBER(SEARCH($A71,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ISNUMBER(SEARCH($A71, INDEX(AsistenciaJetAdminConcatenada!$D:$D, MATCH(1, (AsistenciaJetAdminConcatenada!$A:$A=AY$2)*(AsistenciaJetAdminConcatenada!$B:$B=AY$1), 0)), 1))),  0.5, 0))</f>
        <v>1</v>
      </c>
      <c r="AZ71" s="47">
        <f t="array" ref="AZ71">IF(AND(ISNUMBER(MATCH(AZ$2, AsistenciaJetAdminConcatenada!$A:$A, 0)), ISNUMBER(MATCH(AZ$1, AsistenciaJetAdminConcatenada!$B:$B, 0)), ISNUMBER(SEARCH($A71,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ISNUMBER(SEARCH($A71, INDEX(AsistenciaJetAdminConcatenada!$D:$D, MATCH(1, (AsistenciaJetAdminConcatenada!$A:$A=AZ$2)*(AsistenciaJetAdminConcatenada!$B:$B=AZ$1), 0)), 1))),  0.5, 0))</f>
        <v>0.5</v>
      </c>
      <c r="BA71" s="47">
        <f t="array" ref="BA71">IF(AND(ISNUMBER(MATCH(BA$2, AsistenciaJetAdminConcatenada!$A:$A, 0)), ISNUMBER(MATCH(BA$1, AsistenciaJetAdminConcatenada!$B:$B, 0)), ISNUMBER(SEARCH($A71,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ISNUMBER(SEARCH($A71, INDEX(AsistenciaJetAdminConcatenada!$D:$D, MATCH(1, (AsistenciaJetAdminConcatenada!$A:$A=BA$2)*(AsistenciaJetAdminConcatenada!$B:$B=BA$1), 0)), 1))),  0.5, 0))</f>
        <v>1</v>
      </c>
      <c r="BB71" s="47">
        <f t="array" ref="BB71">IF(AND(ISNUMBER(MATCH(BB$2, AsistenciaJetAdminConcatenada!$A:$A, 0)), ISNUMBER(MATCH(BB$1, AsistenciaJetAdminConcatenada!$B:$B, 0)), ISNUMBER(SEARCH($A71,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ISNUMBER(SEARCH($A71, INDEX(AsistenciaJetAdminConcatenada!$D:$D, MATCH(1, (AsistenciaJetAdminConcatenada!$A:$A=BB$2)*(AsistenciaJetAdminConcatenada!$B:$B=BB$1), 0)), 1))),  0.5, 0))</f>
        <v>1</v>
      </c>
      <c r="BC71" s="47">
        <f t="array" ref="BC71">IF(AND(ISNUMBER(MATCH(BC$2, AsistenciaJetAdminConcatenada!$A:$A, 0)), ISNUMBER(MATCH(BC$1, AsistenciaJetAdminConcatenada!$B:$B, 0)), ISNUMBER(SEARCH($A71,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ISNUMBER(SEARCH($A71, INDEX(AsistenciaJetAdminConcatenada!$D:$D, MATCH(1, (AsistenciaJetAdminConcatenada!$A:$A=BC$2)*(AsistenciaJetAdminConcatenada!$B:$B=BC$1), 0)), 1))),  0.5, 0))</f>
        <v>1</v>
      </c>
      <c r="BD71" s="47">
        <f t="array" ref="BD71">IF(AND(ISNUMBER(MATCH(BD$2, AsistenciaJetAdminConcatenada!$A:$A, 0)), ISNUMBER(MATCH(BD$1, AsistenciaJetAdminConcatenada!$B:$B, 0)), ISNUMBER(SEARCH($A71,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ISNUMBER(SEARCH($A71, INDEX(AsistenciaJetAdminConcatenada!$D:$D, MATCH(1, (AsistenciaJetAdminConcatenada!$A:$A=BD$2)*(AsistenciaJetAdminConcatenada!$B:$B=BD$1), 0)), 1))),  0.5, 0))</f>
        <v>0</v>
      </c>
      <c r="BE71" s="47">
        <f t="array" ref="BE71">IF(AND(ISNUMBER(MATCH(BE$2, AsistenciaJetAdminConcatenada!$A:$A, 0)), ISNUMBER(MATCH(BE$1, AsistenciaJetAdminConcatenada!$B:$B, 0)), ISNUMBER(SEARCH($A71,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ISNUMBER(SEARCH($A71, INDEX(AsistenciaJetAdminConcatenada!$D:$D, MATCH(1, (AsistenciaJetAdminConcatenada!$A:$A=BE$2)*(AsistenciaJetAdminConcatenada!$B:$B=BE$1), 0)), 1))),  0.5, 0))</f>
        <v>1</v>
      </c>
      <c r="BF71" s="47">
        <f t="array" ref="BF71">IF(AND(ISNUMBER(MATCH(BF$2, AsistenciaJetAdminConcatenada!$A:$A, 0)), ISNUMBER(MATCH(BF$1, AsistenciaJetAdminConcatenada!$B:$B, 0)), ISNUMBER(SEARCH($A71,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ISNUMBER(SEARCH($A71, INDEX(AsistenciaJetAdminConcatenada!$D:$D, MATCH(1, (AsistenciaJetAdminConcatenada!$A:$A=BF$2)*(AsistenciaJetAdminConcatenada!$B:$B=BF$1), 0)), 1))),  0.5, 0))</f>
        <v>0</v>
      </c>
      <c r="BG71" s="47">
        <f t="array" ref="BG71">IF(AND(ISNUMBER(MATCH(BG$2, AsistenciaJetAdminConcatenada!$A:$A, 0)), ISNUMBER(MATCH(BG$1, AsistenciaJetAdminConcatenada!$B:$B, 0)), ISNUMBER(SEARCH($A71,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ISNUMBER(SEARCH($A71, INDEX(AsistenciaJetAdminConcatenada!$D:$D, MATCH(1, (AsistenciaJetAdminConcatenada!$A:$A=BG$2)*(AsistenciaJetAdminConcatenada!$B:$B=BG$1), 0)), 1))),  0.5, 0))</f>
        <v>0.5</v>
      </c>
      <c r="BH71" s="47">
        <f t="array" ref="BH71">IF(AND(ISNUMBER(MATCH(BH$2, AsistenciaJetAdminConcatenada!$A:$A, 0)), ISNUMBER(MATCH(BH$1, AsistenciaJetAdminConcatenada!$B:$B, 0)), ISNUMBER(SEARCH($A71,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ISNUMBER(SEARCH($A71, INDEX(AsistenciaJetAdminConcatenada!$D:$D, MATCH(1, (AsistenciaJetAdminConcatenada!$A:$A=BH$2)*(AsistenciaJetAdminConcatenada!$B:$B=BH$1), 0)), 1))),  0.5, 0))</f>
        <v>1</v>
      </c>
      <c r="BI71" s="47">
        <f t="array" ref="BI71">IF(AND(ISNUMBER(MATCH(BI$2, AsistenciaJetAdminConcatenada!$A:$A, 0)), ISNUMBER(MATCH(BI$1, AsistenciaJetAdminConcatenada!$B:$B, 0)), ISNUMBER(SEARCH($A71,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ISNUMBER(SEARCH($A71, INDEX(AsistenciaJetAdminConcatenada!$D:$D, MATCH(1, (AsistenciaJetAdminConcatenada!$A:$A=BI$2)*(AsistenciaJetAdminConcatenada!$B:$B=BI$1), 0)), 1))),  0.5, 0))</f>
        <v>1</v>
      </c>
      <c r="BJ71" s="47">
        <f t="array" ref="BJ71">IF(AND(ISNUMBER(MATCH(BJ$2, AsistenciaJetAdminConcatenada!$A:$A, 0)), ISNUMBER(MATCH(BJ$1, AsistenciaJetAdminConcatenada!$B:$B, 0)), ISNUMBER(SEARCH($A71,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ISNUMBER(SEARCH($A71, INDEX(AsistenciaJetAdminConcatenada!$D:$D, MATCH(1, (AsistenciaJetAdminConcatenada!$A:$A=BJ$2)*(AsistenciaJetAdminConcatenada!$B:$B=BJ$1), 0)), 1))),  0.5, 0))</f>
        <v>0</v>
      </c>
      <c r="BK71" s="47">
        <f t="array" ref="BK71">IF(AND(ISNUMBER(MATCH(BK$2, AsistenciaJetAdminConcatenada!$A:$A, 0)), ISNUMBER(MATCH(BK$1, AsistenciaJetAdminConcatenada!$B:$B, 0)), ISNUMBER(SEARCH($A71,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ISNUMBER(SEARCH($A71, INDEX(AsistenciaJetAdminConcatenada!$D:$D, MATCH(1, (AsistenciaJetAdminConcatenada!$A:$A=BK$2)*(AsistenciaJetAdminConcatenada!$B:$B=BK$1), 0)), 1))),  0.5, 0))</f>
        <v>1</v>
      </c>
      <c r="BL71" s="47">
        <f t="array" ref="BL71">IF(AND(ISNUMBER(MATCH(BL$2, AsistenciaJetAdminConcatenada!$A:$A, 0)), ISNUMBER(MATCH(BL$1, AsistenciaJetAdminConcatenada!$B:$B, 0)), ISNUMBER(SEARCH($A71,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ISNUMBER(SEARCH($A71, INDEX(AsistenciaJetAdminConcatenada!$D:$D, MATCH(1, (AsistenciaJetAdminConcatenada!$A:$A=BL$2)*(AsistenciaJetAdminConcatenada!$B:$B=BL$1), 0)), 1))),  0.5, 0))</f>
        <v>1</v>
      </c>
      <c r="BM71" s="47">
        <f t="array" ref="BM71">IF(AND(ISNUMBER(MATCH(BM$2, AsistenciaJetAdminConcatenada!$A:$A, 0)), ISNUMBER(MATCH(BM$1, AsistenciaJetAdminConcatenada!$B:$B, 0)), ISNUMBER(SEARCH($A71,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ISNUMBER(SEARCH($A71, INDEX(AsistenciaJetAdminConcatenada!$D:$D, MATCH(1, (AsistenciaJetAdminConcatenada!$A:$A=BM$2)*(AsistenciaJetAdminConcatenada!$B:$B=BM$1), 0)), 1))),  0.5, 0))</f>
        <v>0.5</v>
      </c>
      <c r="BN71" s="47">
        <f t="array" ref="BN71">IF(AND(ISNUMBER(MATCH(BN$2, AsistenciaJetAdminConcatenada!$A:$A, 0)), ISNUMBER(MATCH(BN$1, AsistenciaJetAdminConcatenada!$B:$B, 0)), ISNUMBER(SEARCH($A71,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ISNUMBER(SEARCH($A71, INDEX(AsistenciaJetAdminConcatenada!$D:$D, MATCH(1, (AsistenciaJetAdminConcatenada!$A:$A=BN$2)*(AsistenciaJetAdminConcatenada!$B:$B=BN$1), 0)), 1))),  0.5, 0))</f>
        <v>1</v>
      </c>
      <c r="BO71" s="47">
        <f t="array" ref="BO71">IF(AND(ISNUMBER(MATCH(BO$2, AsistenciaJetAdminConcatenada!$A:$A, 0)), ISNUMBER(MATCH(BO$1, AsistenciaJetAdminConcatenada!$B:$B, 0)), ISNUMBER(SEARCH($A71,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ISNUMBER(SEARCH($A71, INDEX(AsistenciaJetAdminConcatenada!$D:$D, MATCH(1, (AsistenciaJetAdminConcatenada!$A:$A=BO$2)*(AsistenciaJetAdminConcatenada!$B:$B=BO$1), 0)), 1))),  0.5, 0))</f>
        <v>1</v>
      </c>
      <c r="BP71" s="47">
        <f t="array" ref="BP71">IF(AND(ISNUMBER(MATCH(BP$2, AsistenciaJetAdminConcatenada!$A:$A, 0)), ISNUMBER(MATCH(BP$1, AsistenciaJetAdminConcatenada!$B:$B, 0)), ISNUMBER(SEARCH($A71,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ISNUMBER(SEARCH($A71, INDEX(AsistenciaJetAdminConcatenada!$D:$D, MATCH(1, (AsistenciaJetAdminConcatenada!$A:$A=BP$2)*(AsistenciaJetAdminConcatenada!$B:$B=BP$1), 0)), 1))),  0.5, 0))</f>
        <v>1</v>
      </c>
      <c r="BQ71" s="47">
        <f t="array" ref="BQ71">IF(AND(ISNUMBER(MATCH(BQ$2, AsistenciaJetAdminConcatenada!$A:$A, 0)), ISNUMBER(MATCH(BQ$1, AsistenciaJetAdminConcatenada!$B:$B, 0)), ISNUMBER(SEARCH($A71,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ISNUMBER(SEARCH($A71, INDEX(AsistenciaJetAdminConcatenada!$D:$D, MATCH(1, (AsistenciaJetAdminConcatenada!$A:$A=BQ$2)*(AsistenciaJetAdminConcatenada!$B:$B=BQ$1), 0)), 1))),  0.5, 0))</f>
        <v>1</v>
      </c>
      <c r="BR71" s="47">
        <f t="array" ref="BR71">IF(AND(ISNUMBER(MATCH(BR$2, AsistenciaJetAdminConcatenada!$A:$A, 0)), ISNUMBER(MATCH(BR$1, AsistenciaJetAdminConcatenada!$B:$B, 0)), ISNUMBER(SEARCH($A71,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ISNUMBER(SEARCH($A71, INDEX(AsistenciaJetAdminConcatenada!$D:$D, MATCH(1, (AsistenciaJetAdminConcatenada!$A:$A=BR$2)*(AsistenciaJetAdminConcatenada!$B:$B=BR$1), 0)), 1))),  0.5, 0))</f>
        <v>1</v>
      </c>
      <c r="BS71" s="47">
        <f t="array" ref="BS71">IF(AND(ISNUMBER(MATCH(BS$2, AsistenciaJetAdminConcatenada!$A:$A, 0)), ISNUMBER(MATCH(BS$1, AsistenciaJetAdminConcatenada!$B:$B, 0)), ISNUMBER(SEARCH($A71,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ISNUMBER(SEARCH($A71, INDEX(AsistenciaJetAdminConcatenada!$D:$D, MATCH(1, (AsistenciaJetAdminConcatenada!$A:$A=BS$2)*(AsistenciaJetAdminConcatenada!$B:$B=BS$1), 0)), 1))),  0.5, 0))</f>
        <v>1</v>
      </c>
      <c r="BT71" s="47">
        <f t="array" ref="BT71">IF(AND(ISNUMBER(MATCH(BT$2, AsistenciaJetAdminConcatenada!$A:$A, 0)), ISNUMBER(MATCH(BT$1, AsistenciaJetAdminConcatenada!$B:$B, 0)), ISNUMBER(SEARCH($A71,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ISNUMBER(SEARCH($A71, INDEX(AsistenciaJetAdminConcatenada!$D:$D, MATCH(1, (AsistenciaJetAdminConcatenada!$A:$A=BT$2)*(AsistenciaJetAdminConcatenada!$B:$B=BT$1), 0)), 1))),  0.5, 0))</f>
        <v>1</v>
      </c>
      <c r="BU71" s="47">
        <f t="array" ref="BU71">IF(AND(ISNUMBER(MATCH(BU$2, AsistenciaJetAdminConcatenada!$A:$A, 0)), ISNUMBER(MATCH(BU$1, AsistenciaJetAdminConcatenada!$B:$B, 0)), ISNUMBER(SEARCH($A71,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ISNUMBER(SEARCH($A71, INDEX(AsistenciaJetAdminConcatenada!$D:$D, MATCH(1, (AsistenciaJetAdminConcatenada!$A:$A=BU$2)*(AsistenciaJetAdminConcatenada!$B:$B=BU$1), 0)), 1))),  0.5, 0))</f>
        <v>1</v>
      </c>
      <c r="BV71" s="47">
        <f t="array" ref="BV71">IF(AND(ISNUMBER(MATCH(BV$2, AsistenciaJetAdminConcatenada!$A:$A, 0)), ISNUMBER(MATCH(BV$1, AsistenciaJetAdminConcatenada!$B:$B, 0)), ISNUMBER(SEARCH($A71,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ISNUMBER(SEARCH($A71, INDEX(AsistenciaJetAdminConcatenada!$D:$D, MATCH(1, (AsistenciaJetAdminConcatenada!$A:$A=BV$2)*(AsistenciaJetAdminConcatenada!$B:$B=BV$1), 0)), 1))),  0.5, 0))</f>
        <v>0</v>
      </c>
      <c r="BW71" s="47">
        <f t="array" ref="BW71">IF(AND(ISNUMBER(MATCH(BW$2, AsistenciaJetAdminConcatenada!$A:$A, 0)), ISNUMBER(MATCH(BW$1, AsistenciaJetAdminConcatenada!$B:$B, 0)), ISNUMBER(SEARCH($A71,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ISNUMBER(SEARCH($A71, INDEX(AsistenciaJetAdminConcatenada!$D:$D, MATCH(1, (AsistenciaJetAdminConcatenada!$A:$A=BW$2)*(AsistenciaJetAdminConcatenada!$B:$B=BW$1), 0)), 1))),  0.5, 0))</f>
        <v>1</v>
      </c>
      <c r="BX71" s="47">
        <f t="array" ref="BX71">IF(AND(ISNUMBER(MATCH(BX$2, AsistenciaJetAdminConcatenada!$A:$A, 0)), ISNUMBER(MATCH(BX$1, AsistenciaJetAdminConcatenada!$B:$B, 0)), ISNUMBER(SEARCH($A71,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ISNUMBER(SEARCH($A71, INDEX(AsistenciaJetAdminConcatenada!$D:$D, MATCH(1, (AsistenciaJetAdminConcatenada!$A:$A=BX$2)*(AsistenciaJetAdminConcatenada!$B:$B=BX$1), 0)), 1))),  0.5, 0))</f>
        <v>1</v>
      </c>
      <c r="BY71" s="47">
        <f t="array" ref="BY71">IF(AND(ISNUMBER(MATCH(BY$2, AsistenciaJetAdminConcatenada!$A:$A, 0)), ISNUMBER(MATCH(BY$1, AsistenciaJetAdminConcatenada!$B:$B, 0)), ISNUMBER(SEARCH($A71,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ISNUMBER(SEARCH($A71, INDEX(AsistenciaJetAdminConcatenada!$D:$D, MATCH(1, (AsistenciaJetAdminConcatenada!$A:$A=BY$2)*(AsistenciaJetAdminConcatenada!$B:$B=BY$1), 0)), 1))),  0.5, 0))</f>
        <v>1</v>
      </c>
      <c r="BZ71" s="47">
        <f t="array" ref="BZ71">IF(AND(ISNUMBER(MATCH(BZ$2, AsistenciaJetAdminConcatenada!$A:$A, 0)), ISNUMBER(MATCH(BZ$1, AsistenciaJetAdminConcatenada!$B:$B, 0)), ISNUMBER(SEARCH($A71,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ISNUMBER(SEARCH($A71, INDEX(AsistenciaJetAdminConcatenada!$D:$D, MATCH(1, (AsistenciaJetAdminConcatenada!$A:$A=BZ$2)*(AsistenciaJetAdminConcatenada!$B:$B=BZ$1), 0)), 1))),  0.5, 0))</f>
        <v>0</v>
      </c>
      <c r="CA71" s="47">
        <f t="array" ref="CA71">IF(AND(ISNUMBER(MATCH(CA$2, AsistenciaJetAdminConcatenada!$A:$A, 0)), ISNUMBER(MATCH(CA$1, AsistenciaJetAdminConcatenada!$B:$B, 0)), ISNUMBER(SEARCH($A71,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ISNUMBER(SEARCH($A71, INDEX(AsistenciaJetAdminConcatenada!$D:$D, MATCH(1, (AsistenciaJetAdminConcatenada!$A:$A=CA$2)*(AsistenciaJetAdminConcatenada!$B:$B=CA$1), 0)), 1))),  0.5, 0))</f>
        <v>1</v>
      </c>
      <c r="CB71" s="47">
        <f t="array" ref="CB71">IF(AND(ISNUMBER(MATCH(CB$2, AsistenciaJetAdminConcatenada!$A:$A, 0)), ISNUMBER(MATCH(CB$1, AsistenciaJetAdminConcatenada!$B:$B, 0)), ISNUMBER(SEARCH($A71,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ISNUMBER(SEARCH($A71, INDEX(AsistenciaJetAdminConcatenada!$D:$D, MATCH(1, (AsistenciaJetAdminConcatenada!$A:$A=CB$2)*(AsistenciaJetAdminConcatenada!$B:$B=CB$1), 0)), 1))),  0.5, 0))</f>
        <v>0</v>
      </c>
      <c r="CC71" s="47">
        <f t="array" ref="CC71">IF(AND(ISNUMBER(MATCH(CC$2, AsistenciaJetAdminConcatenada!$A:$A, 0)), ISNUMBER(MATCH(CC$1, AsistenciaJetAdminConcatenada!$B:$B, 0)), ISNUMBER(SEARCH($A71,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ISNUMBER(SEARCH($A71, INDEX(AsistenciaJetAdminConcatenada!$D:$D, MATCH(1, (AsistenciaJetAdminConcatenada!$A:$A=CC$2)*(AsistenciaJetAdminConcatenada!$B:$B=CC$1), 0)), 1))),  0.5, 0))</f>
        <v>1</v>
      </c>
      <c r="CD71" s="47">
        <f t="array" ref="CD71">IF(AND(ISNUMBER(MATCH(CD$2, AsistenciaJetAdminConcatenada!$A:$A, 0)), ISNUMBER(MATCH(CD$1, AsistenciaJetAdminConcatenada!$B:$B, 0)), ISNUMBER(SEARCH($A71,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ISNUMBER(SEARCH($A71, INDEX(AsistenciaJetAdminConcatenada!$D:$D, MATCH(1, (AsistenciaJetAdminConcatenada!$A:$A=CD$2)*(AsistenciaJetAdminConcatenada!$B:$B=CD$1), 0)), 1))),  0.5, 0))</f>
        <v>1</v>
      </c>
      <c r="CE71" s="47">
        <f t="array" ref="CE71">IF(AND(ISNUMBER(MATCH(CE$2, AsistenciaJetAdminConcatenada!$A:$A, 0)), ISNUMBER(MATCH(CE$1, AsistenciaJetAdminConcatenada!$B:$B, 0)), ISNUMBER(SEARCH($A71,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ISNUMBER(SEARCH($A71, INDEX(AsistenciaJetAdminConcatenada!$D:$D, MATCH(1, (AsistenciaJetAdminConcatenada!$A:$A=CE$2)*(AsistenciaJetAdminConcatenada!$B:$B=CE$1), 0)), 1))),  0.5, 0))</f>
        <v>1</v>
      </c>
      <c r="CF71" s="47">
        <f t="array" ref="CF71">IF(AND(ISNUMBER(MATCH(CF$2, AsistenciaJetAdminConcatenada!$A:$A, 0)), ISNUMBER(MATCH(CF$1, AsistenciaJetAdminConcatenada!$B:$B, 0)), ISNUMBER(SEARCH($A71,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ISNUMBER(SEARCH($A71, INDEX(AsistenciaJetAdminConcatenada!$D:$D, MATCH(1, (AsistenciaJetAdminConcatenada!$A:$A=CF$2)*(AsistenciaJetAdminConcatenada!$B:$B=CF$1), 0)), 1))),  0.5, 0))</f>
        <v>1</v>
      </c>
      <c r="CG71" s="47">
        <f t="array" ref="CG71">IF(AND(ISNUMBER(MATCH(CG$2, AsistenciaJetAdminConcatenada!$A:$A, 0)), ISNUMBER(MATCH(CG$1, AsistenciaJetAdminConcatenada!$B:$B, 0)), ISNUMBER(SEARCH($A71,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ISNUMBER(SEARCH($A71, INDEX(AsistenciaJetAdminConcatenada!$D:$D, MATCH(1, (AsistenciaJetAdminConcatenada!$A:$A=CG$2)*(AsistenciaJetAdminConcatenada!$B:$B=CG$1), 0)), 1))),  0.5, 0))</f>
        <v>1</v>
      </c>
      <c r="CH71" s="47">
        <f t="array" ref="CH71">IF(AND(ISNUMBER(MATCH(CH$2, AsistenciaJetAdminConcatenada!$A:$A, 0)), ISNUMBER(MATCH(CH$1, AsistenciaJetAdminConcatenada!$B:$B, 0)), ISNUMBER(SEARCH($A71,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ISNUMBER(SEARCH($A71, INDEX(AsistenciaJetAdminConcatenada!$D:$D, MATCH(1, (AsistenciaJetAdminConcatenada!$A:$A=CH$2)*(AsistenciaJetAdminConcatenada!$B:$B=CH$1), 0)), 1))),  0.5, 0))</f>
        <v>0.5</v>
      </c>
      <c r="CI71" s="47">
        <f t="array" ref="CI71">IF(AND(ISNUMBER(MATCH(CI$2, AsistenciaJetAdminConcatenada!$A:$A, 0)), ISNUMBER(MATCH(CI$1, AsistenciaJetAdminConcatenada!$B:$B, 0)), ISNUMBER(SEARCH($A71,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ISNUMBER(SEARCH($A71, INDEX(AsistenciaJetAdminConcatenada!$D:$D, MATCH(1, (AsistenciaJetAdminConcatenada!$A:$A=CI$2)*(AsistenciaJetAdminConcatenada!$B:$B=CI$1), 0)), 1))),  0.5, 0))</f>
        <v>1</v>
      </c>
      <c r="CJ71" s="47">
        <f t="array" ref="CJ71">IF(AND(ISNUMBER(MATCH(CJ$2, AsistenciaJetAdminConcatenada!$A:$A, 0)), ISNUMBER(MATCH(CJ$1, AsistenciaJetAdminConcatenada!$B:$B, 0)), ISNUMBER(SEARCH($A71,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ISNUMBER(SEARCH($A71, INDEX(AsistenciaJetAdminConcatenada!$D:$D, MATCH(1, (AsistenciaJetAdminConcatenada!$A:$A=CJ$2)*(AsistenciaJetAdminConcatenada!$B:$B=CJ$1), 0)), 1))),  0.5, 0))</f>
        <v>1</v>
      </c>
      <c r="CK71" s="47">
        <f t="array" ref="CK71">IF(AND(ISNUMBER(MATCH(CK$2, AsistenciaJetAdminConcatenada!$A:$A, 0)), ISNUMBER(MATCH(CK$1, AsistenciaJetAdminConcatenada!$B:$B, 0)), ISNUMBER(SEARCH($A71,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ISNUMBER(SEARCH($A71, INDEX(AsistenciaJetAdminConcatenada!$D:$D, MATCH(1, (AsistenciaJetAdminConcatenada!$A:$A=CK$2)*(AsistenciaJetAdminConcatenada!$B:$B=CK$1), 0)), 1))),  0.5, 0))</f>
        <v>1</v>
      </c>
      <c r="CL71" s="47">
        <f t="array" ref="CL71">IF(AND(ISNUMBER(MATCH(CL$2, AsistenciaJetAdminConcatenada!$A:$A, 0)), ISNUMBER(MATCH(CL$1, AsistenciaJetAdminConcatenada!$B:$B, 0)), ISNUMBER(SEARCH($A71,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ISNUMBER(SEARCH($A71, INDEX(AsistenciaJetAdminConcatenada!$D:$D, MATCH(1, (AsistenciaJetAdminConcatenada!$A:$A=CL$2)*(AsistenciaJetAdminConcatenada!$B:$B=CL$1), 0)), 1))),  0.5, 0))</f>
        <v>1</v>
      </c>
      <c r="CM71" s="47">
        <f t="array" ref="CM71">IF(AND(ISNUMBER(MATCH(CM$2, AsistenciaJetAdminConcatenada!$A:$A, 0)), ISNUMBER(MATCH(CM$1, AsistenciaJetAdminConcatenada!$B:$B, 0)), ISNUMBER(SEARCH($A71,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ISNUMBER(SEARCH($A71, INDEX(AsistenciaJetAdminConcatenada!$D:$D, MATCH(1, (AsistenciaJetAdminConcatenada!$A:$A=CM$2)*(AsistenciaJetAdminConcatenada!$B:$B=CM$1), 0)), 1))),  0.5, 0))</f>
        <v>1</v>
      </c>
      <c r="CN71" s="47">
        <f t="array" ref="CN71">IF(AND(ISNUMBER(MATCH(CN$2, AsistenciaJetAdminConcatenada!$A:$A, 0)), ISNUMBER(MATCH(CN$1, AsistenciaJetAdminConcatenada!$B:$B, 0)), ISNUMBER(SEARCH($A71,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ISNUMBER(SEARCH($A71, INDEX(AsistenciaJetAdminConcatenada!$D:$D, MATCH(1, (AsistenciaJetAdminConcatenada!$A:$A=CN$2)*(AsistenciaJetAdminConcatenada!$B:$B=CN$1), 0)), 1))),  0.5, 0))</f>
        <v>1</v>
      </c>
      <c r="CO71" s="47">
        <f t="array" ref="CO71">IF(AND(ISNUMBER(MATCH(CO$2, AsistenciaJetAdminConcatenada!$A:$A, 0)), ISNUMBER(MATCH(CO$1, AsistenciaJetAdminConcatenada!$B:$B, 0)), ISNUMBER(SEARCH($A71,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ISNUMBER(SEARCH($A71, INDEX(AsistenciaJetAdminConcatenada!$D:$D, MATCH(1, (AsistenciaJetAdminConcatenada!$A:$A=CO$2)*(AsistenciaJetAdminConcatenada!$B:$B=CO$1), 0)), 1))),  0.5, 0))</f>
        <v>1</v>
      </c>
      <c r="CP71" s="47">
        <f t="array" ref="CP71">IF(AND(ISNUMBER(MATCH(CP$2, AsistenciaJetAdminConcatenada!$A:$A, 0)), ISNUMBER(MATCH(CP$1, AsistenciaJetAdminConcatenada!$B:$B, 0)), ISNUMBER(SEARCH($A71,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ISNUMBER(SEARCH($A71, INDEX(AsistenciaJetAdminConcatenada!$D:$D, MATCH(1, (AsistenciaJetAdminConcatenada!$A:$A=CP$2)*(AsistenciaJetAdminConcatenada!$B:$B=CP$1), 0)), 1))),  0.5, 0))</f>
        <v>1</v>
      </c>
      <c r="CQ71" s="47">
        <f t="array" ref="CQ71">IF(AND(ISNUMBER(MATCH(CQ$2, AsistenciaJetAdminConcatenada!$A:$A, 0)), ISNUMBER(MATCH(CQ$1, AsistenciaJetAdminConcatenada!$B:$B, 0)), ISNUMBER(SEARCH($A71,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ISNUMBER(SEARCH($A71, INDEX(AsistenciaJetAdminConcatenada!$D:$D, MATCH(1, (AsistenciaJetAdminConcatenada!$A:$A=CQ$2)*(AsistenciaJetAdminConcatenada!$B:$B=CQ$1), 0)), 1))),  0.5, 0))</f>
        <v>1</v>
      </c>
      <c r="CR71" s="47">
        <f t="array" ref="CR71">IF(AND(ISNUMBER(MATCH(CR$2, AsistenciaJetAdminConcatenada!$A:$A, 0)), ISNUMBER(MATCH(CR$1, AsistenciaJetAdminConcatenada!$B:$B, 0)), ISNUMBER(SEARCH($A71,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ISNUMBER(SEARCH($A71, INDEX(AsistenciaJetAdminConcatenada!$D:$D, MATCH(1, (AsistenciaJetAdminConcatenada!$A:$A=CR$2)*(AsistenciaJetAdminConcatenada!$B:$B=CR$1), 0)), 1))),  0.5, 0))</f>
        <v>1</v>
      </c>
      <c r="CS71" s="47">
        <f t="array" ref="CS71">IF(AND(ISNUMBER(MATCH(CS$2, AsistenciaJetAdminConcatenada!$A:$A, 0)), ISNUMBER(MATCH(CS$1, AsistenciaJetAdminConcatenada!$B:$B, 0)), ISNUMBER(SEARCH($A71,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ISNUMBER(SEARCH($A71, INDEX(AsistenciaJetAdminConcatenada!$D:$D, MATCH(1, (AsistenciaJetAdminConcatenada!$A:$A=CS$2)*(AsistenciaJetAdminConcatenada!$B:$B=CS$1), 0)), 1))),  0.5, 0))</f>
        <v>0</v>
      </c>
      <c r="CT71" s="47">
        <f t="array" ref="CT71">IF(AND(ISNUMBER(MATCH(CT$2, AsistenciaJetAdminConcatenada!$A:$A, 0)), ISNUMBER(MATCH(CT$1, AsistenciaJetAdminConcatenada!$B:$B, 0)), ISNUMBER(SEARCH($A71,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ISNUMBER(SEARCH($A71, INDEX(AsistenciaJetAdminConcatenada!$D:$D, MATCH(1, (AsistenciaJetAdminConcatenada!$A:$A=CT$2)*(AsistenciaJetAdminConcatenada!$B:$B=CT$1), 0)), 1))),  0.5, 0))</f>
        <v>0</v>
      </c>
      <c r="CU71" s="47">
        <f t="array" ref="CU71">IF(AND(ISNUMBER(MATCH(CU$2, AsistenciaJetAdminConcatenada!$A:$A, 0)), ISNUMBER(MATCH(CU$1, AsistenciaJetAdminConcatenada!$B:$B, 0)), ISNUMBER(SEARCH($A71,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ISNUMBER(SEARCH($A71, INDEX(AsistenciaJetAdminConcatenada!$D:$D, MATCH(1, (AsistenciaJetAdminConcatenada!$A:$A=CU$2)*(AsistenciaJetAdminConcatenada!$B:$B=CU$1), 0)), 1))),  0.5, 0))</f>
        <v>0</v>
      </c>
      <c r="CV71" s="47">
        <f t="array" ref="CV71">IF(AND(ISNUMBER(MATCH(CV$2, AsistenciaJetAdminConcatenada!$A:$A, 0)), ISNUMBER(MATCH(CV$1, AsistenciaJetAdminConcatenada!$B:$B, 0)), ISNUMBER(SEARCH($A71,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ISNUMBER(SEARCH($A71, INDEX(AsistenciaJetAdminConcatenada!$D:$D, MATCH(1, (AsistenciaJetAdminConcatenada!$A:$A=CV$2)*(AsistenciaJetAdminConcatenada!$B:$B=CV$1), 0)), 1))),  0.5, 0))</f>
        <v>0</v>
      </c>
      <c r="CW71" s="47">
        <f t="array" ref="CW71">IF(AND(ISNUMBER(MATCH(CW$2, AsistenciaJetAdminConcatenada!$A:$A, 0)), ISNUMBER(MATCH(CW$1, AsistenciaJetAdminConcatenada!$B:$B, 0)), ISNUMBER(SEARCH($A71,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ISNUMBER(SEARCH($A71, INDEX(AsistenciaJetAdminConcatenada!$D:$D, MATCH(1, (AsistenciaJetAdminConcatenada!$A:$A=CW$2)*(AsistenciaJetAdminConcatenada!$B:$B=CW$1), 0)), 1))),  0.5, 0))</f>
        <v>0</v>
      </c>
      <c r="CX71" s="47">
        <f t="array" ref="CX71">IF(AND(ISNUMBER(MATCH(CX$2, AsistenciaJetAdminConcatenada!$A:$A, 0)), ISNUMBER(MATCH(CX$1, AsistenciaJetAdminConcatenada!$B:$B, 0)), ISNUMBER(SEARCH($A71,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ISNUMBER(SEARCH($A71, INDEX(AsistenciaJetAdminConcatenada!$D:$D, MATCH(1, (AsistenciaJetAdminConcatenada!$A:$A=CX$2)*(AsistenciaJetAdminConcatenada!$B:$B=CX$1), 0)), 1))),  0.5, 0))</f>
        <v>0</v>
      </c>
      <c r="CY71" s="47">
        <f t="array" ref="CY71">IF(AND(ISNUMBER(MATCH(CY$2, AsistenciaJetAdminConcatenada!$A:$A, 0)), ISNUMBER(MATCH(CY$1, AsistenciaJetAdminConcatenada!$B:$B, 0)), ISNUMBER(SEARCH($A71,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ISNUMBER(SEARCH($A71, INDEX(AsistenciaJetAdminConcatenada!$D:$D, MATCH(1, (AsistenciaJetAdminConcatenada!$A:$A=CY$2)*(AsistenciaJetAdminConcatenada!$B:$B=CY$1), 0)), 1))),  0.5, 0))</f>
        <v>0</v>
      </c>
      <c r="CZ71" s="47">
        <f t="array" ref="CZ71">IF(AND(ISNUMBER(MATCH(CZ$2, AsistenciaJetAdminConcatenada!$A:$A, 0)), ISNUMBER(MATCH(CZ$1, AsistenciaJetAdminConcatenada!$B:$B, 0)), ISNUMBER(SEARCH($A71,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ISNUMBER(SEARCH($A71, INDEX(AsistenciaJetAdminConcatenada!$D:$D, MATCH(1, (AsistenciaJetAdminConcatenada!$A:$A=CZ$2)*(AsistenciaJetAdminConcatenada!$B:$B=CZ$1), 0)), 1))),  0.5, 0))</f>
        <v>0</v>
      </c>
      <c r="DA71" s="47">
        <f t="array" ref="DA71">IF(AND(ISNUMBER(MATCH(DA$2, AsistenciaJetAdminConcatenada!$A:$A, 0)), ISNUMBER(MATCH(DA$1, AsistenciaJetAdminConcatenada!$B:$B, 0)), ISNUMBER(SEARCH($A71,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ISNUMBER(SEARCH($A71, INDEX(AsistenciaJetAdminConcatenada!$D:$D, MATCH(1, (AsistenciaJetAdminConcatenada!$A:$A=DA$2)*(AsistenciaJetAdminConcatenada!$B:$B=DA$1), 0)), 1))),  0.5, 0))</f>
        <v>0</v>
      </c>
      <c r="DB71" s="47">
        <f t="array" ref="DB71">IF(AND(ISNUMBER(MATCH(DB$2, AsistenciaJetAdminConcatenada!$A:$A, 0)), ISNUMBER(MATCH(DB$1, AsistenciaJetAdminConcatenada!$B:$B, 0)), ISNUMBER(SEARCH($A71,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ISNUMBER(SEARCH($A71, INDEX(AsistenciaJetAdminConcatenada!$D:$D, MATCH(1, (AsistenciaJetAdminConcatenada!$A:$A=DB$2)*(AsistenciaJetAdminConcatenada!$B:$B=DB$1), 0)), 1))),  0.5, 0))</f>
        <v>0</v>
      </c>
      <c r="DC71" s="47">
        <f t="array" ref="DC71">IF(AND(ISNUMBER(MATCH(DC$2, AsistenciaJetAdminConcatenada!$A:$A, 0)), ISNUMBER(MATCH(DC$1, AsistenciaJetAdminConcatenada!$B:$B, 0)), ISNUMBER(SEARCH($A71,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ISNUMBER(SEARCH($A71, INDEX(AsistenciaJetAdminConcatenada!$D:$D, MATCH(1, (AsistenciaJetAdminConcatenada!$A:$A=DC$2)*(AsistenciaJetAdminConcatenada!$B:$B=DC$1), 0)), 1))),  0.5, 0))</f>
        <v>0</v>
      </c>
      <c r="DD71" s="47">
        <f t="array" ref="DD71">IF(AND(ISNUMBER(MATCH(DD$2, AsistenciaJetAdminConcatenada!$A:$A, 0)), ISNUMBER(MATCH(DD$1, AsistenciaJetAdminConcatenada!$B:$B, 0)), ISNUMBER(SEARCH($A71,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ISNUMBER(SEARCH($A71, INDEX(AsistenciaJetAdminConcatenada!$D:$D, MATCH(1, (AsistenciaJetAdminConcatenada!$A:$A=DD$2)*(AsistenciaJetAdminConcatenada!$B:$B=DD$1), 0)), 1))),  0.5, 0))</f>
        <v>0</v>
      </c>
      <c r="DE71" s="47">
        <f t="array" ref="DE71">IF(AND(ISNUMBER(MATCH(DE$2, AsistenciaJetAdminConcatenada!$A:$A, 0)), ISNUMBER(MATCH(DE$1, AsistenciaJetAdminConcatenada!$B:$B, 0)), ISNUMBER(SEARCH($A71,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ISNUMBER(SEARCH($A71, INDEX(AsistenciaJetAdminConcatenada!$D:$D, MATCH(1, (AsistenciaJetAdminConcatenada!$A:$A=DE$2)*(AsistenciaJetAdminConcatenada!$B:$B=DE$1), 0)), 1))),  0.5, 0))</f>
        <v>0</v>
      </c>
      <c r="DF71" s="47">
        <f t="array" ref="DF71">IF(AND(ISNUMBER(MATCH(DF$2, AsistenciaJetAdminConcatenada!$A:$A, 0)), ISNUMBER(MATCH(DF$1, AsistenciaJetAdminConcatenada!$B:$B, 0)), ISNUMBER(SEARCH($A71,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ISNUMBER(SEARCH($A71, INDEX(AsistenciaJetAdminConcatenada!$D:$D, MATCH(1, (AsistenciaJetAdminConcatenada!$A:$A=DF$2)*(AsistenciaJetAdminConcatenada!$B:$B=DF$1), 0)), 1))),  0.5, 0))</f>
        <v>0</v>
      </c>
      <c r="DG71" s="47">
        <f t="array" ref="DG71">IF(AND(ISNUMBER(MATCH(DG$2, AsistenciaJetAdminConcatenada!$A:$A, 0)), ISNUMBER(MATCH(DG$1, AsistenciaJetAdminConcatenada!$B:$B, 0)), ISNUMBER(SEARCH($A71,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ISNUMBER(SEARCH($A71, INDEX(AsistenciaJetAdminConcatenada!$D:$D, MATCH(1, (AsistenciaJetAdminConcatenada!$A:$A=DG$2)*(AsistenciaJetAdminConcatenada!$B:$B=DG$1), 0)), 1))),  0.5, 0))</f>
        <v>0</v>
      </c>
      <c r="DH71" s="47">
        <f t="array" ref="DH71">IF(AND(ISNUMBER(MATCH(DH$2, AsistenciaJetAdminConcatenada!$A:$A, 0)), ISNUMBER(MATCH(DH$1, AsistenciaJetAdminConcatenada!$B:$B, 0)), ISNUMBER(SEARCH($A71,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ISNUMBER(SEARCH($A71, INDEX(AsistenciaJetAdminConcatenada!$D:$D, MATCH(1, (AsistenciaJetAdminConcatenada!$A:$A=DH$2)*(AsistenciaJetAdminConcatenada!$B:$B=DH$1), 0)), 1))),  0.5, 0))</f>
        <v>0</v>
      </c>
      <c r="DI71" s="47">
        <f t="array" ref="DI71">IF(AND(ISNUMBER(MATCH(DI$2, AsistenciaJetAdminConcatenada!$A:$A, 0)), ISNUMBER(MATCH(DI$1, AsistenciaJetAdminConcatenada!$B:$B, 0)), ISNUMBER(SEARCH($A71,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ISNUMBER(SEARCH($A71, INDEX(AsistenciaJetAdminConcatenada!$D:$D, MATCH(1, (AsistenciaJetAdminConcatenada!$A:$A=DI$2)*(AsistenciaJetAdminConcatenada!$B:$B=DI$1), 0)), 1))),  0.5, 0))</f>
        <v>0</v>
      </c>
      <c r="DJ71" s="47">
        <f t="array" ref="DJ71">IF(AND(ISNUMBER(MATCH(DJ$2, AsistenciaJetAdminConcatenada!$A:$A, 0)), ISNUMBER(MATCH(DJ$1, AsistenciaJetAdminConcatenada!$B:$B, 0)), ISNUMBER(SEARCH($A71,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ISNUMBER(SEARCH($A71, INDEX(AsistenciaJetAdminConcatenada!$D:$D, MATCH(1, (AsistenciaJetAdminConcatenada!$A:$A=DJ$2)*(AsistenciaJetAdminConcatenada!$B:$B=DJ$1), 0)), 1))),  0.5, 0))</f>
        <v>0</v>
      </c>
      <c r="DK71" s="47">
        <f t="array" ref="DK71">IF(AND(ISNUMBER(MATCH(DK$2, AsistenciaJetAdminConcatenada!$A:$A, 0)), ISNUMBER(MATCH(DK$1, AsistenciaJetAdminConcatenada!$B:$B, 0)), ISNUMBER(SEARCH($A71,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ISNUMBER(SEARCH($A71, INDEX(AsistenciaJetAdminConcatenada!$D:$D, MATCH(1, (AsistenciaJetAdminConcatenada!$A:$A=DK$2)*(AsistenciaJetAdminConcatenada!$B:$B=DK$1), 0)), 1))),  0.5, 0))</f>
        <v>0</v>
      </c>
      <c r="DL71" s="47">
        <f t="array" ref="DL71">IF(AND(ISNUMBER(MATCH(DL$2, AsistenciaJetAdminConcatenada!$A:$A, 0)), ISNUMBER(MATCH(DL$1, AsistenciaJetAdminConcatenada!$B:$B, 0)), ISNUMBER(SEARCH($A71,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ISNUMBER(SEARCH($A71, INDEX(AsistenciaJetAdminConcatenada!$D:$D, MATCH(1, (AsistenciaJetAdminConcatenada!$A:$A=DL$2)*(AsistenciaJetAdminConcatenada!$B:$B=DL$1), 0)), 1))),  0.5, 0))</f>
        <v>0</v>
      </c>
      <c r="DM71" s="47">
        <f t="array" ref="DM71">IF(AND(ISNUMBER(MATCH(DM$2, AsistenciaJetAdminConcatenada!$A:$A, 0)), ISNUMBER(MATCH(DM$1, AsistenciaJetAdminConcatenada!$B:$B, 0)), ISNUMBER(SEARCH($A71,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ISNUMBER(SEARCH($A71, INDEX(AsistenciaJetAdminConcatenada!$D:$D, MATCH(1, (AsistenciaJetAdminConcatenada!$A:$A=DM$2)*(AsistenciaJetAdminConcatenada!$B:$B=DM$1), 0)), 1))),  0.5, 0))</f>
        <v>0</v>
      </c>
      <c r="DN71" s="47">
        <f t="array" ref="DN71">IF(AND(ISNUMBER(MATCH(DN$2, AsistenciaJetAdminConcatenada!$A:$A, 0)), ISNUMBER(MATCH(DN$1, AsistenciaJetAdminConcatenada!$B:$B, 0)), ISNUMBER(SEARCH($A71,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ISNUMBER(SEARCH($A71, INDEX(AsistenciaJetAdminConcatenada!$D:$D, MATCH(1, (AsistenciaJetAdminConcatenada!$A:$A=DN$2)*(AsistenciaJetAdminConcatenada!$B:$B=DN$1), 0)), 1))),  0.5, 0))</f>
        <v>0</v>
      </c>
      <c r="DO71" s="47">
        <f t="array" ref="DO71">IF(AND(ISNUMBER(MATCH(DO$2, AsistenciaJetAdminConcatenada!$A:$A, 0)), ISNUMBER(MATCH(DO$1, AsistenciaJetAdminConcatenada!$B:$B, 0)), ISNUMBER(SEARCH($A71,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ISNUMBER(SEARCH($A71, INDEX(AsistenciaJetAdminConcatenada!$D:$D, MATCH(1, (AsistenciaJetAdminConcatenada!$A:$A=DO$2)*(AsistenciaJetAdminConcatenada!$B:$B=DO$1), 0)), 1))),  0.5, 0))</f>
        <v>0</v>
      </c>
      <c r="DP71" s="47">
        <f t="array" ref="DP71">IF(AND(ISNUMBER(MATCH(DP$2, AsistenciaJetAdminConcatenada!$A:$A, 0)), ISNUMBER(MATCH(DP$1, AsistenciaJetAdminConcatenada!$B:$B, 0)), ISNUMBER(SEARCH($A71,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ISNUMBER(SEARCH($A71, INDEX(AsistenciaJetAdminConcatenada!$D:$D, MATCH(1, (AsistenciaJetAdminConcatenada!$A:$A=DP$2)*(AsistenciaJetAdminConcatenada!$B:$B=DP$1), 0)), 1))),  0.5, 0))</f>
        <v>0</v>
      </c>
      <c r="DQ71" s="47">
        <f t="array" ref="DQ71">IF(AND(ISNUMBER(MATCH(DQ$2, AsistenciaJetAdminConcatenada!$A:$A, 0)), ISNUMBER(MATCH(DQ$1, AsistenciaJetAdminConcatenada!$B:$B, 0)), ISNUMBER(SEARCH($A71,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ISNUMBER(SEARCH($A71, INDEX(AsistenciaJetAdminConcatenada!$D:$D, MATCH(1, (AsistenciaJetAdminConcatenada!$A:$A=DQ$2)*(AsistenciaJetAdminConcatenada!$B:$B=DQ$1), 0)), 1))),  0.5, 0))</f>
        <v>0</v>
      </c>
      <c r="DR71" s="47">
        <f t="array" ref="DR71">IF(AND(ISNUMBER(MATCH(DR$2, AsistenciaJetAdminConcatenada!$A:$A, 0)), ISNUMBER(MATCH(DR$1, AsistenciaJetAdminConcatenada!$B:$B, 0)), ISNUMBER(SEARCH($A71,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ISNUMBER(SEARCH($A71, INDEX(AsistenciaJetAdminConcatenada!$D:$D, MATCH(1, (AsistenciaJetAdminConcatenada!$A:$A=DR$2)*(AsistenciaJetAdminConcatenada!$B:$B=DR$1), 0)), 1))),  0.5, 0))</f>
        <v>0</v>
      </c>
      <c r="DS71" s="47">
        <f t="array" ref="DS71">IF(AND(ISNUMBER(MATCH(DS$2, AsistenciaJetAdminConcatenada!$A:$A, 0)), ISNUMBER(MATCH(DS$1, AsistenciaJetAdminConcatenada!$B:$B, 0)), ISNUMBER(SEARCH($A71,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ISNUMBER(SEARCH($A71, INDEX(AsistenciaJetAdminConcatenada!$D:$D, MATCH(1, (AsistenciaJetAdminConcatenada!$A:$A=DS$2)*(AsistenciaJetAdminConcatenada!$B:$B=DS$1), 0)), 1))),  0.5, 0))</f>
        <v>0</v>
      </c>
      <c r="DT71" s="47">
        <f t="array" ref="DT71">IF(AND(ISNUMBER(MATCH(DT$2, AsistenciaJetAdminConcatenada!$A:$A, 0)), ISNUMBER(MATCH(DT$1, AsistenciaJetAdminConcatenada!$B:$B, 0)), ISNUMBER(SEARCH($A71,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ISNUMBER(SEARCH($A71, INDEX(AsistenciaJetAdminConcatenada!$D:$D, MATCH(1, (AsistenciaJetAdminConcatenada!$A:$A=DT$2)*(AsistenciaJetAdminConcatenada!$B:$B=DT$1), 0)), 1))),  0.5, 0))</f>
        <v>0</v>
      </c>
      <c r="DU71" s="47">
        <f t="array" ref="DU71">IF(AND(ISNUMBER(MATCH(DU$2, AsistenciaJetAdminConcatenada!$A:$A, 0)), ISNUMBER(MATCH(DU$1, AsistenciaJetAdminConcatenada!$B:$B, 0)), ISNUMBER(SEARCH($A71,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ISNUMBER(SEARCH($A71, INDEX(AsistenciaJetAdminConcatenada!$D:$D, MATCH(1, (AsistenciaJetAdminConcatenada!$A:$A=DU$2)*(AsistenciaJetAdminConcatenada!$B:$B=DU$1), 0)), 1))),  0.5, 0))</f>
        <v>0</v>
      </c>
      <c r="DV71" s="47">
        <f t="array" ref="DV71">IF(AND(ISNUMBER(MATCH(DV$2, AsistenciaJetAdminConcatenada!$A:$A, 0)), ISNUMBER(MATCH(DV$1, AsistenciaJetAdminConcatenada!$B:$B, 0)), ISNUMBER(SEARCH($A71,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ISNUMBER(SEARCH($A71, INDEX(AsistenciaJetAdminConcatenada!$D:$D, MATCH(1, (AsistenciaJetAdminConcatenada!$A:$A=DV$2)*(AsistenciaJetAdminConcatenada!$B:$B=DV$1), 0)), 1))),  0.5, 0))</f>
        <v>0</v>
      </c>
      <c r="DW71" s="47">
        <f t="array" ref="DW71">IF(AND(ISNUMBER(MATCH(DW$2, AsistenciaJetAdminConcatenada!$A:$A, 0)), ISNUMBER(MATCH(DW$1, AsistenciaJetAdminConcatenada!$B:$B, 0)), ISNUMBER(SEARCH($A71,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ISNUMBER(SEARCH($A71, INDEX(AsistenciaJetAdminConcatenada!$D:$D, MATCH(1, (AsistenciaJetAdminConcatenada!$A:$A=DW$2)*(AsistenciaJetAdminConcatenada!$B:$B=DW$1), 0)), 1))),  0.5, 0))</f>
        <v>0</v>
      </c>
      <c r="DX71" s="47">
        <f t="array" ref="DX71">IF(AND(ISNUMBER(MATCH(DX$2, AsistenciaJetAdminConcatenada!$A:$A, 0)), ISNUMBER(MATCH(DX$1, AsistenciaJetAdminConcatenada!$B:$B, 0)), ISNUMBER(SEARCH($A71,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ISNUMBER(SEARCH($A71, INDEX(AsistenciaJetAdminConcatenada!$D:$D, MATCH(1, (AsistenciaJetAdminConcatenada!$A:$A=DX$2)*(AsistenciaJetAdminConcatenada!$B:$B=DX$1), 0)), 1))),  0.5, 0))</f>
        <v>0</v>
      </c>
      <c r="DY71" s="47">
        <f t="array" ref="DY71">IF(AND(ISNUMBER(MATCH(DY$2, AsistenciaJetAdminConcatenada!$A:$A, 0)), ISNUMBER(MATCH(DY$1, AsistenciaJetAdminConcatenada!$B:$B, 0)), ISNUMBER(SEARCH($A71,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ISNUMBER(SEARCH($A71, INDEX(AsistenciaJetAdminConcatenada!$D:$D, MATCH(1, (AsistenciaJetAdminConcatenada!$A:$A=DY$2)*(AsistenciaJetAdminConcatenada!$B:$B=DY$1), 0)), 1))),  0.5, 0))</f>
        <v>0</v>
      </c>
      <c r="DZ71" s="47">
        <f t="array" ref="DZ71">IF(AND(ISNUMBER(MATCH(DZ$2, AsistenciaJetAdminConcatenada!$A:$A, 0)), ISNUMBER(MATCH(DZ$1, AsistenciaJetAdminConcatenada!$B:$B, 0)), ISNUMBER(SEARCH($A71,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ISNUMBER(SEARCH($A71, INDEX(AsistenciaJetAdminConcatenada!$D:$D, MATCH(1, (AsistenciaJetAdminConcatenada!$A:$A=DZ$2)*(AsistenciaJetAdminConcatenada!$B:$B=DZ$1), 0)), 1))),  0.5, 0))</f>
        <v>0</v>
      </c>
      <c r="EA71" s="47">
        <f t="array" ref="EA71">IF(AND(ISNUMBER(MATCH(EA$2, AsistenciaJetAdminConcatenada!$A:$A, 0)), ISNUMBER(MATCH(EA$1, AsistenciaJetAdminConcatenada!$B:$B, 0)), ISNUMBER(SEARCH($A71,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ISNUMBER(SEARCH($A71, INDEX(AsistenciaJetAdminConcatenada!$D:$D, MATCH(1, (AsistenciaJetAdminConcatenada!$A:$A=EA$2)*(AsistenciaJetAdminConcatenada!$B:$B=EA$1), 0)), 1))),  0.5, 0))</f>
        <v>0</v>
      </c>
      <c r="EB71" s="47">
        <f t="array" ref="EB71">IF(AND(ISNUMBER(MATCH(EB$2, AsistenciaJetAdminConcatenada!$A:$A, 0)), ISNUMBER(MATCH(EB$1, AsistenciaJetAdminConcatenada!$B:$B, 0)), ISNUMBER(SEARCH($A71,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ISNUMBER(SEARCH($A71, INDEX(AsistenciaJetAdminConcatenada!$D:$D, MATCH(1, (AsistenciaJetAdminConcatenada!$A:$A=EB$2)*(AsistenciaJetAdminConcatenada!$B:$B=EB$1), 0)), 1))),  0.5, 0))</f>
        <v>0</v>
      </c>
      <c r="EC71" s="47">
        <f t="array" ref="EC71">IF(AND(ISNUMBER(MATCH(EC$2, AsistenciaJetAdminConcatenada!$A:$A, 0)), ISNUMBER(MATCH(EC$1, AsistenciaJetAdminConcatenada!$B:$B, 0)), ISNUMBER(SEARCH($A71,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ISNUMBER(SEARCH($A71, INDEX(AsistenciaJetAdminConcatenada!$D:$D, MATCH(1, (AsistenciaJetAdminConcatenada!$A:$A=EC$2)*(AsistenciaJetAdminConcatenada!$B:$B=EC$1), 0)), 1))),  0.5, 0))</f>
        <v>0</v>
      </c>
      <c r="ED71" s="47">
        <f t="array" ref="ED71">IF(AND(ISNUMBER(MATCH(ED$2, AsistenciaJetAdminConcatenada!$A:$A, 0)), ISNUMBER(MATCH(ED$1, AsistenciaJetAdminConcatenada!$B:$B, 0)), ISNUMBER(SEARCH($A71,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ISNUMBER(SEARCH($A71, INDEX(AsistenciaJetAdminConcatenada!$D:$D, MATCH(1, (AsistenciaJetAdminConcatenada!$A:$A=ED$2)*(AsistenciaJetAdminConcatenada!$B:$B=ED$1), 0)), 1))),  0.5, 0))</f>
        <v>0</v>
      </c>
      <c r="EE71" s="47">
        <f t="array" ref="EE71">IF(AND(ISNUMBER(MATCH(EE$2, AsistenciaJetAdminConcatenada!$A:$A, 0)), ISNUMBER(MATCH(EE$1, AsistenciaJetAdminConcatenada!$B:$B, 0)), ISNUMBER(SEARCH($A71,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ISNUMBER(SEARCH($A71, INDEX(AsistenciaJetAdminConcatenada!$D:$D, MATCH(1, (AsistenciaJetAdminConcatenada!$A:$A=EE$2)*(AsistenciaJetAdminConcatenada!$B:$B=EE$1), 0)), 1))),  0.5, 0))</f>
        <v>0</v>
      </c>
      <c r="EF71" s="47">
        <f t="array" ref="EF71">IF(AND(ISNUMBER(MATCH(EF$2, AsistenciaJetAdminConcatenada!$A:$A, 0)), ISNUMBER(MATCH(EF$1, AsistenciaJetAdminConcatenada!$B:$B, 0)), ISNUMBER(SEARCH($A71,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ISNUMBER(SEARCH($A71, INDEX(AsistenciaJetAdminConcatenada!$D:$D, MATCH(1, (AsistenciaJetAdminConcatenada!$A:$A=EF$2)*(AsistenciaJetAdminConcatenada!$B:$B=EF$1), 0)), 1))),  0.5, 0))</f>
        <v>0</v>
      </c>
      <c r="EG71" s="47">
        <f t="array" ref="EG71">IF(AND(ISNUMBER(MATCH(EG$2, AsistenciaJetAdminConcatenada!$A:$A, 0)), ISNUMBER(MATCH(EG$1, AsistenciaJetAdminConcatenada!$B:$B, 0)), ISNUMBER(SEARCH($A71,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ISNUMBER(SEARCH($A71, INDEX(AsistenciaJetAdminConcatenada!$D:$D, MATCH(1, (AsistenciaJetAdminConcatenada!$A:$A=EG$2)*(AsistenciaJetAdminConcatenada!$B:$B=EG$1), 0)), 1))),  0.5, 0))</f>
        <v>0</v>
      </c>
      <c r="EH71" s="47">
        <f t="array" ref="EH71">IF(AND(ISNUMBER(MATCH(EH$2, AsistenciaJetAdminConcatenada!$A:$A, 0)), ISNUMBER(MATCH(EH$1, AsistenciaJetAdminConcatenada!$B:$B, 0)), ISNUMBER(SEARCH($A71,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ISNUMBER(SEARCH($A71, INDEX(AsistenciaJetAdminConcatenada!$D:$D, MATCH(1, (AsistenciaJetAdminConcatenada!$A:$A=EH$2)*(AsistenciaJetAdminConcatenada!$B:$B=EH$1), 0)), 1))),  0.5, 0))</f>
        <v>0</v>
      </c>
      <c r="EI71" s="47">
        <f t="array" ref="EI71">IF(AND(ISNUMBER(MATCH(EI$2, AsistenciaJetAdminConcatenada!$A:$A, 0)), ISNUMBER(MATCH(EI$1, AsistenciaJetAdminConcatenada!$B:$B, 0)), ISNUMBER(SEARCH($A71,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ISNUMBER(SEARCH($A71, INDEX(AsistenciaJetAdminConcatenada!$D:$D, MATCH(1, (AsistenciaJetAdminConcatenada!$A:$A=EI$2)*(AsistenciaJetAdminConcatenada!$B:$B=EI$1), 0)), 1))),  0.5, 0))</f>
        <v>0</v>
      </c>
      <c r="EJ71" s="47">
        <f t="array" ref="EJ71">IF(AND(ISNUMBER(MATCH(EJ$2, AsistenciaJetAdminConcatenada!$A:$A, 0)), ISNUMBER(MATCH(EJ$1, AsistenciaJetAdminConcatenada!$B:$B, 0)), ISNUMBER(SEARCH($A71,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ISNUMBER(SEARCH($A71, INDEX(AsistenciaJetAdminConcatenada!$D:$D, MATCH(1, (AsistenciaJetAdminConcatenada!$A:$A=EJ$2)*(AsistenciaJetAdminConcatenada!$B:$B=EJ$1), 0)), 1))),  0.5, 0))</f>
        <v>0</v>
      </c>
      <c r="EK71" s="47">
        <f t="array" ref="EK71">IF(AND(ISNUMBER(MATCH(EK$2, AsistenciaJetAdminConcatenada!$A:$A, 0)), ISNUMBER(MATCH(EK$1, AsistenciaJetAdminConcatenada!$B:$B, 0)), ISNUMBER(SEARCH($A71,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ISNUMBER(SEARCH($A71, INDEX(AsistenciaJetAdminConcatenada!$D:$D, MATCH(1, (AsistenciaJetAdminConcatenada!$A:$A=EK$2)*(AsistenciaJetAdminConcatenada!$B:$B=EK$1), 0)), 1))),  0.5, 0))</f>
        <v>0</v>
      </c>
      <c r="EL71" s="47">
        <f t="array" ref="EL71">IF(AND(ISNUMBER(MATCH(EL$2, AsistenciaJetAdminConcatenada!$A:$A, 0)), ISNUMBER(MATCH(EL$1, AsistenciaJetAdminConcatenada!$B:$B, 0)), ISNUMBER(SEARCH($A71,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ISNUMBER(SEARCH($A71, INDEX(AsistenciaJetAdminConcatenada!$D:$D, MATCH(1, (AsistenciaJetAdminConcatenada!$A:$A=EL$2)*(AsistenciaJetAdminConcatenada!$B:$B=EL$1), 0)), 1))),  0.5, 0))</f>
        <v>0</v>
      </c>
      <c r="EM71" s="47">
        <f t="array" ref="EM71">IF(AND(ISNUMBER(MATCH(EM$2, AsistenciaJetAdminConcatenada!$A:$A, 0)), ISNUMBER(MATCH(EM$1, AsistenciaJetAdminConcatenada!$B:$B, 0)), ISNUMBER(SEARCH($A71,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ISNUMBER(SEARCH($A71, INDEX(AsistenciaJetAdminConcatenada!$D:$D, MATCH(1, (AsistenciaJetAdminConcatenada!$A:$A=EM$2)*(AsistenciaJetAdminConcatenada!$B:$B=EM$1), 0)), 1))),  0.5, 0))</f>
        <v>0</v>
      </c>
      <c r="EN71" s="47">
        <f t="array" ref="EN71">IF(AND(ISNUMBER(MATCH(EN$2, AsistenciaJetAdminConcatenada!$A:$A, 0)), ISNUMBER(MATCH(EN$1, AsistenciaJetAdminConcatenada!$B:$B, 0)), ISNUMBER(SEARCH($A71,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ISNUMBER(SEARCH($A71, INDEX(AsistenciaJetAdminConcatenada!$D:$D, MATCH(1, (AsistenciaJetAdminConcatenada!$A:$A=EN$2)*(AsistenciaJetAdminConcatenada!$B:$B=EN$1), 0)), 1))),  0.5, 0))</f>
        <v>0</v>
      </c>
      <c r="EO71" s="47">
        <f t="array" ref="EO71">IF(AND(ISNUMBER(MATCH(EO$2, AsistenciaJetAdminConcatenada!$A:$A, 0)), ISNUMBER(MATCH(EO$1, AsistenciaJetAdminConcatenada!$B:$B, 0)), ISNUMBER(SEARCH($A71,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ISNUMBER(SEARCH($A71, INDEX(AsistenciaJetAdminConcatenada!$D:$D, MATCH(1, (AsistenciaJetAdminConcatenada!$A:$A=EO$2)*(AsistenciaJetAdminConcatenada!$B:$B=EO$1), 0)), 1))),  0.5, 0))</f>
        <v>0</v>
      </c>
      <c r="EP71" s="47">
        <f t="array" ref="EP71">IF(AND(ISNUMBER(MATCH(EP$2, AsistenciaJetAdminConcatenada!$A:$A, 0)), ISNUMBER(MATCH(EP$1, AsistenciaJetAdminConcatenada!$B:$B, 0)), ISNUMBER(SEARCH($A71,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ISNUMBER(SEARCH($A71, INDEX(AsistenciaJetAdminConcatenada!$D:$D, MATCH(1, (AsistenciaJetAdminConcatenada!$A:$A=EP$2)*(AsistenciaJetAdminConcatenada!$B:$B=EP$1), 0)), 1))),  0.5, 0))</f>
        <v>0</v>
      </c>
      <c r="EQ71" s="47">
        <f t="array" ref="EQ71">IF(AND(ISNUMBER(MATCH(EQ$2, AsistenciaJetAdminConcatenada!$A:$A, 0)), ISNUMBER(MATCH(EQ$1, AsistenciaJetAdminConcatenada!$B:$B, 0)), ISNUMBER(SEARCH($A71,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ISNUMBER(SEARCH($A71, INDEX(AsistenciaJetAdminConcatenada!$D:$D, MATCH(1, (AsistenciaJetAdminConcatenada!$A:$A=EQ$2)*(AsistenciaJetAdminConcatenada!$B:$B=EQ$1), 0)), 1))),  0.5, 0))</f>
        <v>0</v>
      </c>
      <c r="ER71" s="47">
        <f t="array" ref="ER71">IF(AND(ISNUMBER(MATCH(ER$2, AsistenciaJetAdminConcatenada!$A:$A, 0)), ISNUMBER(MATCH(ER$1, AsistenciaJetAdminConcatenada!$B:$B, 0)), ISNUMBER(SEARCH($A71,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ISNUMBER(SEARCH($A71, INDEX(AsistenciaJetAdminConcatenada!$D:$D, MATCH(1, (AsistenciaJetAdminConcatenada!$A:$A=ER$2)*(AsistenciaJetAdminConcatenada!$B:$B=ER$1), 0)), 1))),  0.5, 0))</f>
        <v>0</v>
      </c>
      <c r="ES71" s="47">
        <f t="array" ref="ES71">IF(AND(ISNUMBER(MATCH(ES$2, AsistenciaJetAdminConcatenada!$A:$A, 0)), ISNUMBER(MATCH(ES$1, AsistenciaJetAdminConcatenada!$B:$B, 0)), ISNUMBER(SEARCH($A71,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ISNUMBER(SEARCH($A71, INDEX(AsistenciaJetAdminConcatenada!$D:$D, MATCH(1, (AsistenciaJetAdminConcatenada!$A:$A=ES$2)*(AsistenciaJetAdminConcatenada!$B:$B=ES$1), 0)), 1))),  0.5, 0))</f>
        <v>0</v>
      </c>
      <c r="ET71" s="47">
        <f t="array" ref="ET71">IF(AND(ISNUMBER(MATCH(ET$2, AsistenciaJetAdminConcatenada!$A:$A, 0)), ISNUMBER(MATCH(ET$1, AsistenciaJetAdminConcatenada!$B:$B, 0)), ISNUMBER(SEARCH($A71,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ISNUMBER(SEARCH($A71, INDEX(AsistenciaJetAdminConcatenada!$D:$D, MATCH(1, (AsistenciaJetAdminConcatenada!$A:$A=ET$2)*(AsistenciaJetAdminConcatenada!$B:$B=ET$1), 0)), 1))),  0.5, 0))</f>
        <v>0</v>
      </c>
      <c r="EU71" s="47">
        <f t="array" ref="EU71">IF(AND(ISNUMBER(MATCH(EU$2, AsistenciaJetAdminConcatenada!$A:$A, 0)), ISNUMBER(MATCH(EU$1, AsistenciaJetAdminConcatenada!$B:$B, 0)), ISNUMBER(SEARCH($A71,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ISNUMBER(SEARCH($A71, INDEX(AsistenciaJetAdminConcatenada!$D:$D, MATCH(1, (AsistenciaJetAdminConcatenada!$A:$A=EU$2)*(AsistenciaJetAdminConcatenada!$B:$B=EU$1), 0)), 1))),  0.5, 0))</f>
        <v>0</v>
      </c>
      <c r="EV71" s="47">
        <f t="array" ref="EV71">IF(AND(ISNUMBER(MATCH(EV$2, AsistenciaJetAdminConcatenada!$A:$A, 0)), ISNUMBER(MATCH(EV$1, AsistenciaJetAdminConcatenada!$B:$B, 0)), ISNUMBER(SEARCH($A71,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ISNUMBER(SEARCH($A71, INDEX(AsistenciaJetAdminConcatenada!$D:$D, MATCH(1, (AsistenciaJetAdminConcatenada!$A:$A=EV$2)*(AsistenciaJetAdminConcatenada!$B:$B=EV$1), 0)), 1))),  0.5, 0))</f>
        <v>0</v>
      </c>
      <c r="EW71" s="47">
        <f t="array" ref="EW71">IF(AND(ISNUMBER(MATCH(EW$2, AsistenciaJetAdminConcatenada!$A:$A, 0)), ISNUMBER(MATCH(EW$1, AsistenciaJetAdminConcatenada!$B:$B, 0)), ISNUMBER(SEARCH($A71,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ISNUMBER(SEARCH($A71, INDEX(AsistenciaJetAdminConcatenada!$D:$D, MATCH(1, (AsistenciaJetAdminConcatenada!$A:$A=EW$2)*(AsistenciaJetAdminConcatenada!$B:$B=EW$1), 0)), 1))),  0.5, 0))</f>
        <v>0</v>
      </c>
      <c r="EX71" s="47">
        <f t="array" ref="EX71">IF(AND(ISNUMBER(MATCH(EX$2, AsistenciaJetAdminConcatenada!$A:$A, 0)), ISNUMBER(MATCH(EX$1, AsistenciaJetAdminConcatenada!$B:$B, 0)), ISNUMBER(SEARCH($A71,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ISNUMBER(SEARCH($A71, INDEX(AsistenciaJetAdminConcatenada!$D:$D, MATCH(1, (AsistenciaJetAdminConcatenada!$A:$A=EX$2)*(AsistenciaJetAdminConcatenada!$B:$B=EX$1), 0)), 1))),  0.5, 0))</f>
        <v>0</v>
      </c>
      <c r="EY71" s="47">
        <f t="array" ref="EY71">IF(AND(ISNUMBER(MATCH(EY$2, AsistenciaJetAdminConcatenada!$A:$A, 0)), ISNUMBER(MATCH(EY$1, AsistenciaJetAdminConcatenada!$B:$B, 0)), ISNUMBER(SEARCH($A71,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ISNUMBER(SEARCH($A71, INDEX(AsistenciaJetAdminConcatenada!$D:$D, MATCH(1, (AsistenciaJetAdminConcatenada!$A:$A=EY$2)*(AsistenciaJetAdminConcatenada!$B:$B=EY$1), 0)), 1))),  0.5, 0))</f>
        <v>0</v>
      </c>
      <c r="EZ71" s="47">
        <f t="array" ref="EZ71">IF(AND(ISNUMBER(MATCH(EZ$2, AsistenciaJetAdminConcatenada!$A:$A, 0)), ISNUMBER(MATCH(EZ$1, AsistenciaJetAdminConcatenada!$B:$B, 0)), ISNUMBER(SEARCH($A71,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ISNUMBER(SEARCH($A71, INDEX(AsistenciaJetAdminConcatenada!$D:$D, MATCH(1, (AsistenciaJetAdminConcatenada!$A:$A=EZ$2)*(AsistenciaJetAdminConcatenada!$B:$B=EZ$1), 0)), 1))),  0.5, 0))</f>
        <v>0</v>
      </c>
      <c r="FA71" s="47">
        <f t="array" ref="FA71">IF(AND(ISNUMBER(MATCH(FA$2, AsistenciaJetAdminConcatenada!$A:$A, 0)), ISNUMBER(MATCH(FA$1, AsistenciaJetAdminConcatenada!$B:$B, 0)), ISNUMBER(SEARCH($A71,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ISNUMBER(SEARCH($A71, INDEX(AsistenciaJetAdminConcatenada!$D:$D, MATCH(1, (AsistenciaJetAdminConcatenada!$A:$A=FA$2)*(AsistenciaJetAdminConcatenada!$B:$B=FA$1), 0)), 1))),  0.5, 0))</f>
        <v>0</v>
      </c>
      <c r="FB71" s="47">
        <f t="array" ref="FB71">IF(AND(ISNUMBER(MATCH(FB$2, AsistenciaJetAdminConcatenada!$A:$A, 0)), ISNUMBER(MATCH(FB$1, AsistenciaJetAdminConcatenada!$B:$B, 0)), ISNUMBER(SEARCH($A71,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ISNUMBER(SEARCH($A71, INDEX(AsistenciaJetAdminConcatenada!$D:$D, MATCH(1, (AsistenciaJetAdminConcatenada!$A:$A=FB$2)*(AsistenciaJetAdminConcatenada!$B:$B=FB$1), 0)), 1))),  0.5, 0))</f>
        <v>0</v>
      </c>
      <c r="FC71" s="47">
        <f t="array" ref="FC71">IF(AND(ISNUMBER(MATCH(FC$2, AsistenciaJetAdminConcatenada!$A:$A, 0)), ISNUMBER(MATCH(FC$1, AsistenciaJetAdminConcatenada!$B:$B, 0)), ISNUMBER(SEARCH($A71,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ISNUMBER(SEARCH($A71, INDEX(AsistenciaJetAdminConcatenada!$D:$D, MATCH(1, (AsistenciaJetAdminConcatenada!$A:$A=FC$2)*(AsistenciaJetAdminConcatenada!$B:$B=FC$1), 0)), 1))),  0.5, 0))</f>
        <v>0</v>
      </c>
      <c r="FD71" s="47">
        <f t="array" ref="FD71">IF(AND(ISNUMBER(MATCH(FD$2, AsistenciaJetAdminConcatenada!$A:$A, 0)), ISNUMBER(MATCH(FD$1, AsistenciaJetAdminConcatenada!$B:$B, 0)), ISNUMBER(SEARCH($A71,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ISNUMBER(SEARCH($A71, INDEX(AsistenciaJetAdminConcatenada!$D:$D, MATCH(1, (AsistenciaJetAdminConcatenada!$A:$A=FD$2)*(AsistenciaJetAdminConcatenada!$B:$B=FD$1), 0)), 1))),  0.5, 0))</f>
        <v>0</v>
      </c>
      <c r="FE71" s="47">
        <f t="array" ref="FE71">IF(AND(ISNUMBER(MATCH(FE$2, AsistenciaJetAdminConcatenada!$A:$A, 0)), ISNUMBER(MATCH(FE$1, AsistenciaJetAdminConcatenada!$B:$B, 0)), ISNUMBER(SEARCH($A71,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ISNUMBER(SEARCH($A71, INDEX(AsistenciaJetAdminConcatenada!$D:$D, MATCH(1, (AsistenciaJetAdminConcatenada!$A:$A=FE$2)*(AsistenciaJetAdminConcatenada!$B:$B=FE$1), 0)), 1))),  0.5, 0))</f>
        <v>0</v>
      </c>
      <c r="FF71" s="47">
        <f t="array" ref="FF71">IF(AND(ISNUMBER(MATCH(FF$2, AsistenciaJetAdminConcatenada!$A:$A, 0)), ISNUMBER(MATCH(FF$1, AsistenciaJetAdminConcatenada!$B:$B, 0)), ISNUMBER(SEARCH($A71,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ISNUMBER(SEARCH($A71, INDEX(AsistenciaJetAdminConcatenada!$D:$D, MATCH(1, (AsistenciaJetAdminConcatenada!$A:$A=FF$2)*(AsistenciaJetAdminConcatenada!$B:$B=FF$1), 0)), 1))),  0.5, 0))</f>
        <v>0</v>
      </c>
      <c r="FG71" s="47">
        <f t="array" ref="FG71">IF(AND(ISNUMBER(MATCH(FG$2, AsistenciaJetAdminConcatenada!$A:$A, 0)), ISNUMBER(MATCH(FG$1, AsistenciaJetAdminConcatenada!$B:$B, 0)), ISNUMBER(SEARCH($A71,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ISNUMBER(SEARCH($A71, INDEX(AsistenciaJetAdminConcatenada!$D:$D, MATCH(1, (AsistenciaJetAdminConcatenada!$A:$A=FG$2)*(AsistenciaJetAdminConcatenada!$B:$B=FG$1), 0)), 1))),  0.5, 0))</f>
        <v>0</v>
      </c>
      <c r="FH71" s="47">
        <f t="array" ref="FH71">IF(AND(ISNUMBER(MATCH(FH$2, AsistenciaJetAdminConcatenada!$A:$A, 0)), ISNUMBER(MATCH(FH$1, AsistenciaJetAdminConcatenada!$B:$B, 0)), ISNUMBER(SEARCH($A71,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ISNUMBER(SEARCH($A71, INDEX(AsistenciaJetAdminConcatenada!$D:$D, MATCH(1, (AsistenciaJetAdminConcatenada!$A:$A=FH$2)*(AsistenciaJetAdminConcatenada!$B:$B=FH$1), 0)), 1))),  0.5, 0))</f>
        <v>0</v>
      </c>
      <c r="FI71" s="47">
        <f t="array" ref="FI71">IF(AND(ISNUMBER(MATCH(FI$2, AsistenciaJetAdminConcatenada!$A:$A, 0)), ISNUMBER(MATCH(FI$1, AsistenciaJetAdminConcatenada!$B:$B, 0)), ISNUMBER(SEARCH($A71,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ISNUMBER(SEARCH($A71, INDEX(AsistenciaJetAdminConcatenada!$D:$D, MATCH(1, (AsistenciaJetAdminConcatenada!$A:$A=FI$2)*(AsistenciaJetAdminConcatenada!$B:$B=FI$1), 0)), 1))),  0.5, 0))</f>
        <v>0</v>
      </c>
      <c r="FJ71" s="47">
        <f t="array" ref="FJ71">IF(AND(ISNUMBER(MATCH(FJ$2, AsistenciaJetAdminConcatenada!$A:$A, 0)), ISNUMBER(MATCH(FJ$1, AsistenciaJetAdminConcatenada!$B:$B, 0)), ISNUMBER(SEARCH($A71,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ISNUMBER(SEARCH($A71, INDEX(AsistenciaJetAdminConcatenada!$D:$D, MATCH(1, (AsistenciaJetAdminConcatenada!$A:$A=FJ$2)*(AsistenciaJetAdminConcatenada!$B:$B=FJ$1), 0)), 1))),  0.5, 0))</f>
        <v>0</v>
      </c>
      <c r="FK71" s="47">
        <f t="array" ref="FK71">IF(AND(ISNUMBER(MATCH(FK$2, AsistenciaJetAdminConcatenada!$A:$A, 0)), ISNUMBER(MATCH(FK$1, AsistenciaJetAdminConcatenada!$B:$B, 0)), ISNUMBER(SEARCH($A71,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ISNUMBER(SEARCH($A71, INDEX(AsistenciaJetAdminConcatenada!$D:$D, MATCH(1, (AsistenciaJetAdminConcatenada!$A:$A=FK$2)*(AsistenciaJetAdminConcatenada!$B:$B=FK$1), 0)), 1))),  0.5, 0))</f>
        <v>0</v>
      </c>
      <c r="FL71" s="47">
        <f t="array" ref="FL71">IF(AND(ISNUMBER(MATCH(FL$2, AsistenciaJetAdminConcatenada!$A:$A, 0)), ISNUMBER(MATCH(FL$1, AsistenciaJetAdminConcatenada!$B:$B, 0)), ISNUMBER(SEARCH($A71,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ISNUMBER(SEARCH($A71, INDEX(AsistenciaJetAdminConcatenada!$D:$D, MATCH(1, (AsistenciaJetAdminConcatenada!$A:$A=FL$2)*(AsistenciaJetAdminConcatenada!$B:$B=FL$1), 0)), 1))),  0.5, 0))</f>
        <v>0</v>
      </c>
      <c r="FM71" s="47">
        <f t="array" ref="FM71">IF(AND(ISNUMBER(MATCH(FM$2, AsistenciaJetAdminConcatenada!$A:$A, 0)), ISNUMBER(MATCH(FM$1, AsistenciaJetAdminConcatenada!$B:$B, 0)), ISNUMBER(SEARCH($A71,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ISNUMBER(SEARCH($A71, INDEX(AsistenciaJetAdminConcatenada!$D:$D, MATCH(1, (AsistenciaJetAdminConcatenada!$A:$A=FM$2)*(AsistenciaJetAdminConcatenada!$B:$B=FM$1), 0)), 1))),  0.5, 0))</f>
        <v>0</v>
      </c>
      <c r="FN71" s="47">
        <f t="array" ref="FN71">IF(AND(ISNUMBER(MATCH(FN$2, AsistenciaJetAdminConcatenada!$A:$A, 0)), ISNUMBER(MATCH(FN$1, AsistenciaJetAdminConcatenada!$B:$B, 0)), ISNUMBER(SEARCH($A71,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ISNUMBER(SEARCH($A71, INDEX(AsistenciaJetAdminConcatenada!$D:$D, MATCH(1, (AsistenciaJetAdminConcatenada!$A:$A=FN$2)*(AsistenciaJetAdminConcatenada!$B:$B=FN$1), 0)), 1))),  0.5, 0))</f>
        <v>0</v>
      </c>
      <c r="FO71" s="47">
        <f t="array" ref="FO71">IF(AND(ISNUMBER(MATCH(FO$2, AsistenciaJetAdminConcatenada!$A:$A, 0)), ISNUMBER(MATCH(FO$1, AsistenciaJetAdminConcatenada!$B:$B, 0)), ISNUMBER(SEARCH($A71,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ISNUMBER(SEARCH($A71, INDEX(AsistenciaJetAdminConcatenada!$D:$D, MATCH(1, (AsistenciaJetAdminConcatenada!$A:$A=FO$2)*(AsistenciaJetAdminConcatenada!$B:$B=FO$1), 0)), 1))),  0.5, 0))</f>
        <v>0</v>
      </c>
      <c r="FP71" s="47">
        <f t="array" ref="FP71">IF(AND(ISNUMBER(MATCH(FP$2, AsistenciaJetAdminConcatenada!$A:$A, 0)), ISNUMBER(MATCH(FP$1, AsistenciaJetAdminConcatenada!$B:$B, 0)), ISNUMBER(SEARCH($A71,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ISNUMBER(SEARCH($A71, INDEX(AsistenciaJetAdminConcatenada!$D:$D, MATCH(1, (AsistenciaJetAdminConcatenada!$A:$A=FP$2)*(AsistenciaJetAdminConcatenada!$B:$B=FP$1), 0)), 1))),  0.5, 0))</f>
        <v>0</v>
      </c>
      <c r="FQ71" s="47">
        <f t="array" ref="FQ71">IF(AND(ISNUMBER(MATCH(FQ$2, AsistenciaJetAdminConcatenada!$A:$A, 0)), ISNUMBER(MATCH(FQ$1, AsistenciaJetAdminConcatenada!$B:$B, 0)), ISNUMBER(SEARCH($A71,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ISNUMBER(SEARCH($A71, INDEX(AsistenciaJetAdminConcatenada!$D:$D, MATCH(1, (AsistenciaJetAdminConcatenada!$A:$A=FQ$2)*(AsistenciaJetAdminConcatenada!$B:$B=FQ$1), 0)), 1))),  0.5, 0))</f>
        <v>0</v>
      </c>
      <c r="FR71" s="47">
        <f t="array" ref="FR71">IF(AND(ISNUMBER(MATCH(FR$2, AsistenciaJetAdminConcatenada!$A:$A, 0)), ISNUMBER(MATCH(FR$1, AsistenciaJetAdminConcatenada!$B:$B, 0)), ISNUMBER(SEARCH($A71,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ISNUMBER(SEARCH($A71, INDEX(AsistenciaJetAdminConcatenada!$D:$D, MATCH(1, (AsistenciaJetAdminConcatenada!$A:$A=FR$2)*(AsistenciaJetAdminConcatenada!$B:$B=FR$1), 0)), 1))),  0.5, 0))</f>
        <v>0</v>
      </c>
      <c r="FS71" s="47">
        <f t="array" ref="FS71">IF(AND(ISNUMBER(MATCH(FS$2, AsistenciaJetAdminConcatenada!$A:$A, 0)), ISNUMBER(MATCH(FS$1, AsistenciaJetAdminConcatenada!$B:$B, 0)), ISNUMBER(SEARCH($A71,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ISNUMBER(SEARCH($A71, INDEX(AsistenciaJetAdminConcatenada!$D:$D, MATCH(1, (AsistenciaJetAdminConcatenada!$A:$A=FS$2)*(AsistenciaJetAdminConcatenada!$B:$B=FS$1), 0)), 1))),  0.5, 0))</f>
        <v>0</v>
      </c>
      <c r="FT71" s="47">
        <f t="array" ref="FT71">IF(AND(ISNUMBER(MATCH(FT$2, AsistenciaJetAdminConcatenada!$A:$A, 0)), ISNUMBER(MATCH(FT$1, AsistenciaJetAdminConcatenada!$B:$B, 0)), ISNUMBER(SEARCH($A71,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ISNUMBER(SEARCH($A71, INDEX(AsistenciaJetAdminConcatenada!$D:$D, MATCH(1, (AsistenciaJetAdminConcatenada!$A:$A=FT$2)*(AsistenciaJetAdminConcatenada!$B:$B=FT$1), 0)), 1))),  0.5, 0))</f>
        <v>0</v>
      </c>
      <c r="FU71" s="47">
        <f t="array" ref="FU71">IF(AND(ISNUMBER(MATCH(FU$2, AsistenciaJetAdminConcatenada!$A:$A, 0)), ISNUMBER(MATCH(FU$1, AsistenciaJetAdminConcatenada!$B:$B, 0)), ISNUMBER(SEARCH($A71,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ISNUMBER(SEARCH($A71, INDEX(AsistenciaJetAdminConcatenada!$D:$D, MATCH(1, (AsistenciaJetAdminConcatenada!$A:$A=FU$2)*(AsistenciaJetAdminConcatenada!$B:$B=FU$1), 0)), 1))),  0.5, 0))</f>
        <v>0</v>
      </c>
      <c r="FV71" s="47">
        <f t="array" ref="FV71">IF(AND(ISNUMBER(MATCH(FV$2, AsistenciaJetAdminConcatenada!$A:$A, 0)), ISNUMBER(MATCH(FV$1, AsistenciaJetAdminConcatenada!$B:$B, 0)), ISNUMBER(SEARCH($A71,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ISNUMBER(SEARCH($A71, INDEX(AsistenciaJetAdminConcatenada!$D:$D, MATCH(1, (AsistenciaJetAdminConcatenada!$A:$A=FV$2)*(AsistenciaJetAdminConcatenada!$B:$B=FV$1), 0)), 1))),  0.5, 0))</f>
        <v>0</v>
      </c>
      <c r="FW71" s="47">
        <f t="array" ref="FW71">IF(AND(ISNUMBER(MATCH(FW$2, AsistenciaJetAdminConcatenada!$A:$A, 0)), ISNUMBER(MATCH(FW$1, AsistenciaJetAdminConcatenada!$B:$B, 0)), ISNUMBER(SEARCH($A71,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ISNUMBER(SEARCH($A71, INDEX(AsistenciaJetAdminConcatenada!$D:$D, MATCH(1, (AsistenciaJetAdminConcatenada!$A:$A=FW$2)*(AsistenciaJetAdminConcatenada!$B:$B=FW$1), 0)), 1))),  0.5, 0))</f>
        <v>0</v>
      </c>
      <c r="FX71" s="47">
        <f t="array" ref="FX71">IF(AND(ISNUMBER(MATCH(FX$2, AsistenciaJetAdminConcatenada!$A:$A, 0)), ISNUMBER(MATCH(FX$1, AsistenciaJetAdminConcatenada!$B:$B, 0)), ISNUMBER(SEARCH($A71,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ISNUMBER(SEARCH($A71, INDEX(AsistenciaJetAdminConcatenada!$D:$D, MATCH(1, (AsistenciaJetAdminConcatenada!$A:$A=FX$2)*(AsistenciaJetAdminConcatenada!$B:$B=FX$1), 0)), 1))),  0.5, 0))</f>
        <v>0</v>
      </c>
      <c r="FY71" s="47">
        <f t="array" ref="FY71">IF(AND(ISNUMBER(MATCH(FY$2, AsistenciaJetAdminConcatenada!$A:$A, 0)), ISNUMBER(MATCH(FY$1, AsistenciaJetAdminConcatenada!$B:$B, 0)), ISNUMBER(SEARCH($A71,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ISNUMBER(SEARCH($A71, INDEX(AsistenciaJetAdminConcatenada!$D:$D, MATCH(1, (AsistenciaJetAdminConcatenada!$A:$A=FY$2)*(AsistenciaJetAdminConcatenada!$B:$B=FY$1), 0)), 1))),  0.5, 0))</f>
        <v>0</v>
      </c>
      <c r="FZ71" s="47">
        <f t="array" ref="FZ71">IF(AND(ISNUMBER(MATCH(FZ$2, AsistenciaJetAdminConcatenada!$A:$A, 0)), ISNUMBER(MATCH(FZ$1, AsistenciaJetAdminConcatenada!$B:$B, 0)), ISNUMBER(SEARCH($A71,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ISNUMBER(SEARCH($A71, INDEX(AsistenciaJetAdminConcatenada!$D:$D, MATCH(1, (AsistenciaJetAdminConcatenada!$A:$A=FZ$2)*(AsistenciaJetAdminConcatenada!$B:$B=FZ$1), 0)), 1))),  0.5, 0))</f>
        <v>0</v>
      </c>
      <c r="GA71" s="47">
        <f t="array" ref="GA71">IF(AND(ISNUMBER(MATCH(GA$2, AsistenciaJetAdminConcatenada!$A:$A, 0)), ISNUMBER(MATCH(GA$1, AsistenciaJetAdminConcatenada!$B:$B, 0)), ISNUMBER(SEARCH($A71,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ISNUMBER(SEARCH($A71, INDEX(AsistenciaJetAdminConcatenada!$D:$D, MATCH(1, (AsistenciaJetAdminConcatenada!$A:$A=GA$2)*(AsistenciaJetAdminConcatenada!$B:$B=GA$1), 0)), 1))),  0.5, 0))</f>
        <v>0</v>
      </c>
      <c r="GB71" s="47">
        <f t="array" ref="GB71">IF(AND(ISNUMBER(MATCH(GB$2, AsistenciaJetAdminConcatenada!$A:$A, 0)), ISNUMBER(MATCH(GB$1, AsistenciaJetAdminConcatenada!$B:$B, 0)), ISNUMBER(SEARCH($A71,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ISNUMBER(SEARCH($A71, INDEX(AsistenciaJetAdminConcatenada!$D:$D, MATCH(1, (AsistenciaJetAdminConcatenada!$A:$A=GB$2)*(AsistenciaJetAdminConcatenada!$B:$B=GB$1), 0)), 1))),  0.5, 0))</f>
        <v>0</v>
      </c>
      <c r="GC71" s="47">
        <f t="array" ref="GC71">IF(AND(ISNUMBER(MATCH(GC$2, AsistenciaJetAdminConcatenada!$A:$A, 0)), ISNUMBER(MATCH(GC$1, AsistenciaJetAdminConcatenada!$B:$B, 0)), ISNUMBER(SEARCH($A71,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ISNUMBER(SEARCH($A71, INDEX(AsistenciaJetAdminConcatenada!$D:$D, MATCH(1, (AsistenciaJetAdminConcatenada!$A:$A=GC$2)*(AsistenciaJetAdminConcatenada!$B:$B=GC$1), 0)), 1))),  0.5, 0))</f>
        <v>0</v>
      </c>
      <c r="GD71" s="47">
        <f t="array" ref="GD71">IF(AND(ISNUMBER(MATCH(GD$2, AsistenciaJetAdminConcatenada!$A:$A, 0)), ISNUMBER(MATCH(GD$1, AsistenciaJetAdminConcatenada!$B:$B, 0)), ISNUMBER(SEARCH($A71,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ISNUMBER(SEARCH($A71, INDEX(AsistenciaJetAdminConcatenada!$D:$D, MATCH(1, (AsistenciaJetAdminConcatenada!$A:$A=GD$2)*(AsistenciaJetAdminConcatenada!$B:$B=GD$1), 0)), 1))),  0.5, 0))</f>
        <v>0</v>
      </c>
      <c r="GE71" s="47">
        <f t="array" ref="GE71">IF(AND(ISNUMBER(MATCH(GE$2, AsistenciaJetAdminConcatenada!$A:$A, 0)), ISNUMBER(MATCH(GE$1, AsistenciaJetAdminConcatenada!$B:$B, 0)), ISNUMBER(SEARCH($A71,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ISNUMBER(SEARCH($A71, INDEX(AsistenciaJetAdminConcatenada!$D:$D, MATCH(1, (AsistenciaJetAdminConcatenada!$A:$A=GE$2)*(AsistenciaJetAdminConcatenada!$B:$B=GE$1), 0)), 1))),  0.5, 0))</f>
        <v>0</v>
      </c>
      <c r="GF71" s="47">
        <f t="array" ref="GF71">IF(AND(ISNUMBER(MATCH(GF$2, AsistenciaJetAdminConcatenada!$A:$A, 0)), ISNUMBER(MATCH(GF$1, AsistenciaJetAdminConcatenada!$B:$B, 0)), ISNUMBER(SEARCH($A71,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ISNUMBER(SEARCH($A71, INDEX(AsistenciaJetAdminConcatenada!$D:$D, MATCH(1, (AsistenciaJetAdminConcatenada!$A:$A=GF$2)*(AsistenciaJetAdminConcatenada!$B:$B=GF$1), 0)), 1))),  0.5, 0))</f>
        <v>0</v>
      </c>
      <c r="GG71" s="47">
        <f t="array" ref="GG71">IF(AND(ISNUMBER(MATCH(GG$2, AsistenciaJetAdminConcatenada!$A:$A, 0)), ISNUMBER(MATCH(GG$1, AsistenciaJetAdminConcatenada!$B:$B, 0)), ISNUMBER(SEARCH($A71,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ISNUMBER(SEARCH($A71, INDEX(AsistenciaJetAdminConcatenada!$D:$D, MATCH(1, (AsistenciaJetAdminConcatenada!$A:$A=GG$2)*(AsistenciaJetAdminConcatenada!$B:$B=GG$1), 0)), 1))),  0.5, 0))</f>
        <v>0</v>
      </c>
      <c r="GH71" s="47">
        <f t="array" ref="GH71">IF(AND(ISNUMBER(MATCH(GH$2, AsistenciaJetAdminConcatenada!$A:$A, 0)), ISNUMBER(MATCH(GH$1, AsistenciaJetAdminConcatenada!$B:$B, 0)), ISNUMBER(SEARCH($A71,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ISNUMBER(SEARCH($A71, INDEX(AsistenciaJetAdminConcatenada!$D:$D, MATCH(1, (AsistenciaJetAdminConcatenada!$A:$A=GH$2)*(AsistenciaJetAdminConcatenada!$B:$B=GH$1), 0)), 1))),  0.5, 0))</f>
        <v>0</v>
      </c>
      <c r="GI71" s="47">
        <f t="array" ref="GI71">IF(AND(ISNUMBER(MATCH(GI$2, AsistenciaJetAdminConcatenada!$A:$A, 0)), ISNUMBER(MATCH(GI$1, AsistenciaJetAdminConcatenada!$B:$B, 0)), ISNUMBER(SEARCH($A71,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ISNUMBER(SEARCH($A71, INDEX(AsistenciaJetAdminConcatenada!$D:$D, MATCH(1, (AsistenciaJetAdminConcatenada!$A:$A=GI$2)*(AsistenciaJetAdminConcatenada!$B:$B=GI$1), 0)), 1))),  0.5, 0))</f>
        <v>0</v>
      </c>
      <c r="GJ71" s="47">
        <f t="array" ref="GJ71">IF(AND(ISNUMBER(MATCH(GJ$2, AsistenciaJetAdminConcatenada!$A:$A, 0)), ISNUMBER(MATCH(GJ$1, AsistenciaJetAdminConcatenada!$B:$B, 0)), ISNUMBER(SEARCH($A71,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ISNUMBER(SEARCH($A71, INDEX(AsistenciaJetAdminConcatenada!$D:$D, MATCH(1, (AsistenciaJetAdminConcatenada!$A:$A=GJ$2)*(AsistenciaJetAdminConcatenada!$B:$B=GJ$1), 0)), 1))),  0.5, 0))</f>
        <v>0</v>
      </c>
      <c r="GK71" s="47">
        <f t="array" ref="GK71">IF(AND(ISNUMBER(MATCH(GK$2, AsistenciaJetAdminConcatenada!$A:$A, 0)), ISNUMBER(MATCH(GK$1, AsistenciaJetAdminConcatenada!$B:$B, 0)), ISNUMBER(SEARCH($A71,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ISNUMBER(SEARCH($A71, INDEX(AsistenciaJetAdminConcatenada!$D:$D, MATCH(1, (AsistenciaJetAdminConcatenada!$A:$A=GK$2)*(AsistenciaJetAdminConcatenada!$B:$B=GK$1), 0)), 1))),  0.5, 0))</f>
        <v>0</v>
      </c>
      <c r="GL71" s="47">
        <f t="array" ref="GL71">IF(AND(ISNUMBER(MATCH(GL$2, AsistenciaJetAdminConcatenada!$A:$A, 0)), ISNUMBER(MATCH(GL$1, AsistenciaJetAdminConcatenada!$B:$B, 0)), ISNUMBER(SEARCH($A71,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ISNUMBER(SEARCH($A71, INDEX(AsistenciaJetAdminConcatenada!$D:$D, MATCH(1, (AsistenciaJetAdminConcatenada!$A:$A=GL$2)*(AsistenciaJetAdminConcatenada!$B:$B=GL$1), 0)), 1))),  0.5, 0))</f>
        <v>0</v>
      </c>
      <c r="GM71" s="47">
        <f t="array" ref="GM71">IF(AND(ISNUMBER(MATCH(GM$2, AsistenciaJetAdminConcatenada!$A:$A, 0)), ISNUMBER(MATCH(GM$1, AsistenciaJetAdminConcatenada!$B:$B, 0)), ISNUMBER(SEARCH($A71,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ISNUMBER(SEARCH($A71, INDEX(AsistenciaJetAdminConcatenada!$D:$D, MATCH(1, (AsistenciaJetAdminConcatenada!$A:$A=GM$2)*(AsistenciaJetAdminConcatenada!$B:$B=GM$1), 0)), 1))),  0.5, 0))</f>
        <v>0</v>
      </c>
      <c r="GN71" s="47">
        <f t="array" ref="GN71">IF(AND(ISNUMBER(MATCH(GN$2, AsistenciaJetAdminConcatenada!$A:$A, 0)), ISNUMBER(MATCH(GN$1, AsistenciaJetAdminConcatenada!$B:$B, 0)), ISNUMBER(SEARCH($A71,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ISNUMBER(SEARCH($A71, INDEX(AsistenciaJetAdminConcatenada!$D:$D, MATCH(1, (AsistenciaJetAdminConcatenada!$A:$A=GN$2)*(AsistenciaJetAdminConcatenada!$B:$B=GN$1), 0)), 1))),  0.5, 0))</f>
        <v>0</v>
      </c>
      <c r="GO71" s="47">
        <f t="array" ref="GO71">IF(AND(ISNUMBER(MATCH(GO$2, AsistenciaJetAdminConcatenada!$A:$A, 0)), ISNUMBER(MATCH(GO$1, AsistenciaJetAdminConcatenada!$B:$B, 0)), ISNUMBER(SEARCH($A71,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ISNUMBER(SEARCH($A71, INDEX(AsistenciaJetAdminConcatenada!$D:$D, MATCH(1, (AsistenciaJetAdminConcatenada!$A:$A=GO$2)*(AsistenciaJetAdminConcatenada!$B:$B=GO$1), 0)), 1))),  0.5, 0))</f>
        <v>0</v>
      </c>
      <c r="GP71" s="47">
        <f t="array" ref="GP71">IF(AND(ISNUMBER(MATCH(GP$2, AsistenciaJetAdminConcatenada!$A:$A, 0)), ISNUMBER(MATCH(GP$1, AsistenciaJetAdminConcatenada!$B:$B, 0)), ISNUMBER(SEARCH($A71,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ISNUMBER(SEARCH($A71, INDEX(AsistenciaJetAdminConcatenada!$D:$D, MATCH(1, (AsistenciaJetAdminConcatenada!$A:$A=GP$2)*(AsistenciaJetAdminConcatenada!$B:$B=GP$1), 0)), 1))),  0.5, 0))</f>
        <v>0</v>
      </c>
      <c r="GQ71" s="47">
        <f t="array" ref="GQ71">IF(AND(ISNUMBER(MATCH(GQ$2, AsistenciaJetAdminConcatenada!$A:$A, 0)), ISNUMBER(MATCH(GQ$1, AsistenciaJetAdminConcatenada!$B:$B, 0)), ISNUMBER(SEARCH($A71,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ISNUMBER(SEARCH($A71, INDEX(AsistenciaJetAdminConcatenada!$D:$D, MATCH(1, (AsistenciaJetAdminConcatenada!$A:$A=GQ$2)*(AsistenciaJetAdminConcatenada!$B:$B=GQ$1), 0)), 1))),  0.5, 0))</f>
        <v>0</v>
      </c>
      <c r="GR71" s="47">
        <f t="array" ref="GR71">IF(AND(ISNUMBER(MATCH(GR$2, AsistenciaJetAdminConcatenada!$A:$A, 0)), ISNUMBER(MATCH(GR$1, AsistenciaJetAdminConcatenada!$B:$B, 0)), ISNUMBER(SEARCH($A71,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ISNUMBER(SEARCH($A71, INDEX(AsistenciaJetAdminConcatenada!$D:$D, MATCH(1, (AsistenciaJetAdminConcatenada!$A:$A=GR$2)*(AsistenciaJetAdminConcatenada!$B:$B=GR$1), 0)), 1))),  0.5, 0))</f>
        <v>0</v>
      </c>
      <c r="GS71" s="47">
        <f t="array" ref="GS71">IF(AND(ISNUMBER(MATCH(GS$2, AsistenciaJetAdminConcatenada!$A:$A, 0)), ISNUMBER(MATCH(GS$1, AsistenciaJetAdminConcatenada!$B:$B, 0)), ISNUMBER(SEARCH($A71,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ISNUMBER(SEARCH($A71, INDEX(AsistenciaJetAdminConcatenada!$D:$D, MATCH(1, (AsistenciaJetAdminConcatenada!$A:$A=GS$2)*(AsistenciaJetAdminConcatenada!$B:$B=GS$1), 0)), 1))),  0.5, 0))</f>
        <v>0</v>
      </c>
      <c r="GT71" s="47">
        <f t="array" ref="GT71">IF(AND(ISNUMBER(MATCH(GT$2, AsistenciaJetAdminConcatenada!$A:$A, 0)), ISNUMBER(MATCH(GT$1, AsistenciaJetAdminConcatenada!$B:$B, 0)), ISNUMBER(SEARCH($A71,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ISNUMBER(SEARCH($A71, INDEX(AsistenciaJetAdminConcatenada!$D:$D, MATCH(1, (AsistenciaJetAdminConcatenada!$A:$A=GT$2)*(AsistenciaJetAdminConcatenada!$B:$B=GT$1), 0)), 1))),  0.5, 0))</f>
        <v>0</v>
      </c>
      <c r="GU71" s="47">
        <f t="array" ref="GU71">IF(AND(ISNUMBER(MATCH(GU$2, AsistenciaJetAdminConcatenada!$A:$A, 0)), ISNUMBER(MATCH(GU$1, AsistenciaJetAdminConcatenada!$B:$B, 0)), ISNUMBER(SEARCH($A71,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ISNUMBER(SEARCH($A71, INDEX(AsistenciaJetAdminConcatenada!$D:$D, MATCH(1, (AsistenciaJetAdminConcatenada!$A:$A=GU$2)*(AsistenciaJetAdminConcatenada!$B:$B=GU$1), 0)), 1))),  0.5, 0))</f>
        <v>0</v>
      </c>
      <c r="GV71" s="47">
        <f t="array" ref="GV71">IF(AND(ISNUMBER(MATCH(GV$2, AsistenciaJetAdminConcatenada!$A:$A, 0)), ISNUMBER(MATCH(GV$1, AsistenciaJetAdminConcatenada!$B:$B, 0)), ISNUMBER(SEARCH($A71,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ISNUMBER(SEARCH($A71, INDEX(AsistenciaJetAdminConcatenada!$D:$D, MATCH(1, (AsistenciaJetAdminConcatenada!$A:$A=GV$2)*(AsistenciaJetAdminConcatenada!$B:$B=GV$1), 0)), 1))),  0.5, 0))</f>
        <v>0</v>
      </c>
      <c r="GW71" s="47">
        <f t="array" ref="GW71">IF(AND(ISNUMBER(MATCH(GW$2, AsistenciaJetAdminConcatenada!$A:$A, 0)), ISNUMBER(MATCH(GW$1, AsistenciaJetAdminConcatenada!$B:$B, 0)), ISNUMBER(SEARCH($A71,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ISNUMBER(SEARCH($A71, INDEX(AsistenciaJetAdminConcatenada!$D:$D, MATCH(1, (AsistenciaJetAdminConcatenada!$A:$A=GW$2)*(AsistenciaJetAdminConcatenada!$B:$B=GW$1), 0)), 1))),  0.5, 0))</f>
        <v>0</v>
      </c>
      <c r="GX71" s="47">
        <f t="array" ref="GX71">IF(AND(ISNUMBER(MATCH(GX$2, AsistenciaJetAdminConcatenada!$A:$A, 0)), ISNUMBER(MATCH(GX$1, AsistenciaJetAdminConcatenada!$B:$B, 0)), ISNUMBER(SEARCH($A71,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ISNUMBER(SEARCH($A71, INDEX(AsistenciaJetAdminConcatenada!$D:$D, MATCH(1, (AsistenciaJetAdminConcatenada!$A:$A=GX$2)*(AsistenciaJetAdminConcatenada!$B:$B=GX$1), 0)), 1))),  0.5, 0))</f>
        <v>0</v>
      </c>
      <c r="GY71" s="47">
        <f t="array" ref="GY71">IF(AND(ISNUMBER(MATCH(GY$2, AsistenciaJetAdminConcatenada!$A:$A, 0)), ISNUMBER(MATCH(GY$1, AsistenciaJetAdminConcatenada!$B:$B, 0)), ISNUMBER(SEARCH($A71,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ISNUMBER(SEARCH($A71, INDEX(AsistenciaJetAdminConcatenada!$D:$D, MATCH(1, (AsistenciaJetAdminConcatenada!$A:$A=GY$2)*(AsistenciaJetAdminConcatenada!$B:$B=GY$1), 0)), 1))),  0.5, 0))</f>
        <v>0</v>
      </c>
      <c r="GZ71" s="47">
        <f t="array" ref="GZ71">IF(AND(ISNUMBER(MATCH(GZ$2, AsistenciaJetAdminConcatenada!$A:$A, 0)), ISNUMBER(MATCH(GZ$1, AsistenciaJetAdminConcatenada!$B:$B, 0)), ISNUMBER(SEARCH($A71,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ISNUMBER(SEARCH($A71, INDEX(AsistenciaJetAdminConcatenada!$D:$D, MATCH(1, (AsistenciaJetAdminConcatenada!$A:$A=GZ$2)*(AsistenciaJetAdminConcatenada!$B:$B=GZ$1), 0)), 1))),  0.5, 0))</f>
        <v>0</v>
      </c>
      <c r="HA71" s="47">
        <f t="array" ref="HA71">IF(AND(ISNUMBER(MATCH(HA$2, AsistenciaJetAdminConcatenada!$A:$A, 0)), ISNUMBER(MATCH(HA$1, AsistenciaJetAdminConcatenada!$B:$B, 0)), ISNUMBER(SEARCH($A71,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ISNUMBER(SEARCH($A71, INDEX(AsistenciaJetAdminConcatenada!$D:$D, MATCH(1, (AsistenciaJetAdminConcatenada!$A:$A=HA$2)*(AsistenciaJetAdminConcatenada!$B:$B=HA$1), 0)), 1))),  0.5, 0))</f>
        <v>0</v>
      </c>
      <c r="HB71" s="47">
        <f t="array" ref="HB71">IF(AND(ISNUMBER(MATCH(HB$2, AsistenciaJetAdminConcatenada!$A:$A, 0)), ISNUMBER(MATCH(HB$1, AsistenciaJetAdminConcatenada!$B:$B, 0)), ISNUMBER(SEARCH($A71,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ISNUMBER(SEARCH($A71, INDEX(AsistenciaJetAdminConcatenada!$D:$D, MATCH(1, (AsistenciaJetAdminConcatenada!$A:$A=HB$2)*(AsistenciaJetAdminConcatenada!$B:$B=HB$1), 0)), 1))),  0.5, 0))</f>
        <v>0</v>
      </c>
      <c r="HC71" s="47">
        <f t="array" ref="HC71">IF(AND(ISNUMBER(MATCH(HC$2, AsistenciaJetAdminConcatenada!$A:$A, 0)), ISNUMBER(MATCH(HC$1, AsistenciaJetAdminConcatenada!$B:$B, 0)), ISNUMBER(SEARCH($A71,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ISNUMBER(SEARCH($A71, INDEX(AsistenciaJetAdminConcatenada!$D:$D, MATCH(1, (AsistenciaJetAdminConcatenada!$A:$A=HC$2)*(AsistenciaJetAdminConcatenada!$B:$B=HC$1), 0)), 1))),  0.5, 0))</f>
        <v>0</v>
      </c>
    </row>
    <row r="72" ht="29.25" customHeight="1">
      <c r="A72" s="3">
        <v>149.0</v>
      </c>
      <c r="B72" s="4" t="s">
        <v>266</v>
      </c>
      <c r="C72" s="47">
        <f>SUM(D72:HC72) + ActividadesEspeciales!C72</f>
        <v>36.5</v>
      </c>
      <c r="D72" s="47">
        <f t="array" ref="D72">IF(AND(ISNUMBER(MATCH(D$2, AsistenciaJetAdminConcatenada!$A:$A, 0)), ISNUMBER(MATCH(D$1, AsistenciaJetAdminConcatenada!$B:$B, 0)), ISNUMBER(SEARCH($A72,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ISNUMBER(SEARCH($A72, INDEX(AsistenciaJetAdminConcatenada!$D:$D, MATCH(1, (AsistenciaJetAdminConcatenada!$A:$A=D$2)*(AsistenciaJetAdminConcatenada!$B:$B=D$1), 0)), 1))),  0.5, 0))</f>
        <v>0.5</v>
      </c>
      <c r="E72" s="47">
        <f t="array" ref="E72">IF(AND(ISNUMBER(MATCH(E$2, AsistenciaJetAdminConcatenada!$A:$A, 0)), ISNUMBER(MATCH(E$1, AsistenciaJetAdminConcatenada!$B:$B, 0)), ISNUMBER(SEARCH($A72,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ISNUMBER(SEARCH($A72, INDEX(AsistenciaJetAdminConcatenada!$D:$D, MATCH(1, (AsistenciaJetAdminConcatenada!$A:$A=E$2)*(AsistenciaJetAdminConcatenada!$B:$B=E$1), 0)), 1))),  0.5, 0))</f>
        <v>1</v>
      </c>
      <c r="F72" s="47">
        <f t="array" ref="F72">IF(AND(ISNUMBER(MATCH(F$2, AsistenciaJetAdminConcatenada!$A:$A, 0)), ISNUMBER(MATCH(F$1, AsistenciaJetAdminConcatenada!$B:$B, 0)), ISNUMBER(SEARCH($A72,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ISNUMBER(SEARCH($A72, INDEX(AsistenciaJetAdminConcatenada!$D:$D, MATCH(1, (AsistenciaJetAdminConcatenada!$A:$A=F$2)*(AsistenciaJetAdminConcatenada!$B:$B=F$1), 0)), 1))),  0.5, 0))</f>
        <v>1</v>
      </c>
      <c r="G72" s="47">
        <f t="array" ref="G72">IF(AND(ISNUMBER(MATCH(G$2, AsistenciaJetAdminConcatenada!$A:$A, 0)), ISNUMBER(MATCH(G$1, AsistenciaJetAdminConcatenada!$B:$B, 0)), ISNUMBER(SEARCH($A72,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ISNUMBER(SEARCH($A72, INDEX(AsistenciaJetAdminConcatenada!$D:$D, MATCH(1, (AsistenciaJetAdminConcatenada!$A:$A=G$2)*(AsistenciaJetAdminConcatenada!$B:$B=G$1), 0)), 1))),  0.5, 0))</f>
        <v>0.5</v>
      </c>
      <c r="H72" s="47">
        <f t="array" ref="H72">IF(AND(ISNUMBER(MATCH(H$2, AsistenciaJetAdminConcatenada!$A:$A, 0)), ISNUMBER(MATCH(H$1, AsistenciaJetAdminConcatenada!$B:$B, 0)), ISNUMBER(SEARCH($A72,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ISNUMBER(SEARCH($A72, INDEX(AsistenciaJetAdminConcatenada!$D:$D, MATCH(1, (AsistenciaJetAdminConcatenada!$A:$A=H$2)*(AsistenciaJetAdminConcatenada!$B:$B=H$1), 0)), 1))),  0.5, 0))</f>
        <v>0</v>
      </c>
      <c r="I72" s="47">
        <f t="array" ref="I72">IF(AND(ISNUMBER(MATCH(I$2, AsistenciaJetAdminConcatenada!$A:$A, 0)), ISNUMBER(MATCH(I$1, AsistenciaJetAdminConcatenada!$B:$B, 0)), ISNUMBER(SEARCH($A72,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ISNUMBER(SEARCH($A72, INDEX(AsistenciaJetAdminConcatenada!$D:$D, MATCH(1, (AsistenciaJetAdminConcatenada!$A:$A=I$2)*(AsistenciaJetAdminConcatenada!$B:$B=I$1), 0)), 1))),  0.5, 0))</f>
        <v>1</v>
      </c>
      <c r="J72" s="47">
        <f t="array" ref="J72">IF(AND(ISNUMBER(MATCH(J$2, AsistenciaJetAdminConcatenada!$A:$A, 0)), ISNUMBER(MATCH(J$1, AsistenciaJetAdminConcatenada!$B:$B, 0)), ISNUMBER(SEARCH($A72,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ISNUMBER(SEARCH($A72, INDEX(AsistenciaJetAdminConcatenada!$D:$D, MATCH(1, (AsistenciaJetAdminConcatenada!$A:$A=J$2)*(AsistenciaJetAdminConcatenada!$B:$B=J$1), 0)), 1))),  0.5, 0))</f>
        <v>0</v>
      </c>
      <c r="K72" s="47">
        <f t="array" ref="K72">IF(AND(ISNUMBER(MATCH(K$2, AsistenciaJetAdminConcatenada!$A:$A, 0)), ISNUMBER(MATCH(K$1, AsistenciaJetAdminConcatenada!$B:$B, 0)), ISNUMBER(SEARCH($A72,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ISNUMBER(SEARCH($A72, INDEX(AsistenciaJetAdminConcatenada!$D:$D, MATCH(1, (AsistenciaJetAdminConcatenada!$A:$A=K$2)*(AsistenciaJetAdminConcatenada!$B:$B=K$1), 0)), 1))),  0.5, 0))</f>
        <v>0.5</v>
      </c>
      <c r="L72" s="47">
        <f t="array" ref="L72">IF(AND(ISNUMBER(MATCH(L$2, AsistenciaJetAdminConcatenada!$A:$A, 0)), ISNUMBER(MATCH(L$1, AsistenciaJetAdminConcatenada!$B:$B, 0)), ISNUMBER(SEARCH($A72,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ISNUMBER(SEARCH($A72, INDEX(AsistenciaJetAdminConcatenada!$D:$D, MATCH(1, (AsistenciaJetAdminConcatenada!$A:$A=L$2)*(AsistenciaJetAdminConcatenada!$B:$B=L$1), 0)), 1))),  0.5, 0))</f>
        <v>1</v>
      </c>
      <c r="M72" s="47">
        <f t="array" ref="M72">IF(AND(ISNUMBER(MATCH(M$2, AsistenciaJetAdminConcatenada!$A:$A, 0)), ISNUMBER(MATCH(M$1, AsistenciaJetAdminConcatenada!$B:$B, 0)), ISNUMBER(SEARCH($A72,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ISNUMBER(SEARCH($A72, INDEX(AsistenciaJetAdminConcatenada!$D:$D, MATCH(1, (AsistenciaJetAdminConcatenada!$A:$A=M$2)*(AsistenciaJetAdminConcatenada!$B:$B=M$1), 0)), 1))),  0.5, 0))</f>
        <v>1</v>
      </c>
      <c r="N72" s="47">
        <f t="array" ref="N72">IF(AND(ISNUMBER(MATCH(N$2, AsistenciaJetAdminConcatenada!$A:$A, 0)), ISNUMBER(MATCH(N$1, AsistenciaJetAdminConcatenada!$B:$B, 0)), ISNUMBER(SEARCH($A72,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ISNUMBER(SEARCH($A72, INDEX(AsistenciaJetAdminConcatenada!$D:$D, MATCH(1, (AsistenciaJetAdminConcatenada!$A:$A=N$2)*(AsistenciaJetAdminConcatenada!$B:$B=N$1), 0)), 1))),  0.5, 0))</f>
        <v>0</v>
      </c>
      <c r="O72" s="47">
        <f t="array" ref="O72">IF(AND(ISNUMBER(MATCH(O$2, AsistenciaJetAdminConcatenada!$A:$A, 0)), ISNUMBER(MATCH(O$1, AsistenciaJetAdminConcatenada!$B:$B, 0)), ISNUMBER(SEARCH($A72,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ISNUMBER(SEARCH($A72, INDEX(AsistenciaJetAdminConcatenada!$D:$D, MATCH(1, (AsistenciaJetAdminConcatenada!$A:$A=O$2)*(AsistenciaJetAdminConcatenada!$B:$B=O$1), 0)), 1))),  0.5, 0))</f>
        <v>0.5</v>
      </c>
      <c r="P72" s="47">
        <f t="array" ref="P72">IF(AND(ISNUMBER(MATCH(P$2, AsistenciaJetAdminConcatenada!$A:$A, 0)), ISNUMBER(MATCH(P$1, AsistenciaJetAdminConcatenada!$B:$B, 0)), ISNUMBER(SEARCH($A72, INDEX(AsistenciaJetAdminConcatenada!$C:$C, MATCH(1, (AsistenciaJetAdminConcatenada!$A:$A=P$2)*(AsistenciaJetAdminConcatenada!$B:$B=P$1), 0)), 1))), 1, IF(AND(ISNUMBER(MATCH(P$2, AsistenciaJetAdminConcatenada!$A:$A, 0)), ISNUMBER(MATCH(P$1, AsistenciaJetAdminConcatenada!$B:$B, 0)), ISNUMBER(SEARCH($A72, INDEX(AsistenciaJetAdminConcatenada!$D:$D, MATCH(1, (AsistenciaJetAdminConcatenada!$A:$A=P$2)*(AsistenciaJetAdminConcatenada!$B:$B=P$1), 0)), 1))),  0.5, 0))</f>
        <v>0.5</v>
      </c>
      <c r="Q72" s="47">
        <f t="array" ref="Q72">IF(AND(ISNUMBER(MATCH(Q$2, AsistenciaJetAdminConcatenada!$A:$A, 0)), ISNUMBER(MATCH(Q$1, AsistenciaJetAdminConcatenada!$B:$B, 0)), ISNUMBER(SEARCH($A72, INDEX(AsistenciaJetAdminConcatenada!$C:$C, MATCH(1, (AsistenciaJetAdminConcatenada!$A:$A=Q$2)*(AsistenciaJetAdminConcatenada!$B:$B=Q$1), 0)), 1))), 1, IF(AND(ISNUMBER(MATCH(Q$2, AsistenciaJetAdminConcatenada!$A:$A, 0)), ISNUMBER(MATCH(Q$1, AsistenciaJetAdminConcatenada!$B:$B, 0)), ISNUMBER(SEARCH($A72, INDEX(AsistenciaJetAdminConcatenada!$D:$D, MATCH(1, (AsistenciaJetAdminConcatenada!$A:$A=Q$2)*(AsistenciaJetAdminConcatenada!$B:$B=Q$1), 0)), 1))),  0.5, 0))</f>
        <v>1</v>
      </c>
      <c r="R72" s="47">
        <f t="array" ref="R72">IF(AND(ISNUMBER(MATCH(R$2, AsistenciaJetAdminConcatenada!$A:$A, 0)), ISNUMBER(MATCH(R$1, AsistenciaJetAdminConcatenada!$B:$B, 0)), ISNUMBER(SEARCH($A72,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ISNUMBER(SEARCH($A72, INDEX(AsistenciaJetAdminConcatenada!$D:$D, MATCH(1, (AsistenciaJetAdminConcatenada!$A:$A=R$2)*(AsistenciaJetAdminConcatenada!$B:$B=R$1), 0)), 1))),  0.5, 0))</f>
        <v>1</v>
      </c>
      <c r="S72" s="47">
        <f t="array" ref="S72">IF(AND(ISNUMBER(MATCH(S$2, AsistenciaJetAdminConcatenada!$A:$A, 0)), ISNUMBER(MATCH(S$1, AsistenciaJetAdminConcatenada!$B:$B, 0)), ISNUMBER(SEARCH($A72,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ISNUMBER(SEARCH($A72, INDEX(AsistenciaJetAdminConcatenada!$D:$D, MATCH(1, (AsistenciaJetAdminConcatenada!$A:$A=S$2)*(AsistenciaJetAdminConcatenada!$B:$B=S$1), 0)), 1))),  0.5, 0))</f>
        <v>0</v>
      </c>
      <c r="T72" s="47">
        <f t="array" ref="T72">IF(AND(ISNUMBER(MATCH(T$2, AsistenciaJetAdminConcatenada!$A:$A, 0)), ISNUMBER(MATCH(T$1, AsistenciaJetAdminConcatenada!$B:$B, 0)), ISNUMBER(SEARCH($A72,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ISNUMBER(SEARCH($A72, INDEX(AsistenciaJetAdminConcatenada!$D:$D, MATCH(1, (AsistenciaJetAdminConcatenada!$A:$A=T$2)*(AsistenciaJetAdminConcatenada!$B:$B=T$1), 0)), 1))),  0.5, 0))</f>
        <v>0</v>
      </c>
      <c r="U72" s="47">
        <f t="array" ref="U72">IF(AND(ISNUMBER(MATCH(U$2, AsistenciaJetAdminConcatenada!$A:$A, 0)), ISNUMBER(MATCH(U$1, AsistenciaJetAdminConcatenada!$B:$B, 0)), ISNUMBER(SEARCH($A72,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ISNUMBER(SEARCH($A72, INDEX(AsistenciaJetAdminConcatenada!$D:$D, MATCH(1, (AsistenciaJetAdminConcatenada!$A:$A=U$2)*(AsistenciaJetAdminConcatenada!$B:$B=U$1), 0)), 1))),  0.5, 0))</f>
        <v>0</v>
      </c>
      <c r="V72" s="47">
        <f t="array" ref="V72">IF(AND(ISNUMBER(MATCH(V$2, AsistenciaJetAdminConcatenada!$A:$A, 0)), ISNUMBER(MATCH(V$1, AsistenciaJetAdminConcatenada!$B:$B, 0)), ISNUMBER(SEARCH($A72,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ISNUMBER(SEARCH($A72, INDEX(AsistenciaJetAdminConcatenada!$D:$D, MATCH(1, (AsistenciaJetAdminConcatenada!$A:$A=V$2)*(AsistenciaJetAdminConcatenada!$B:$B=V$1), 0)), 1))),  0.5, 0))</f>
        <v>0.5</v>
      </c>
      <c r="W72" s="47">
        <f t="array" ref="W72">IF(AND(ISNUMBER(MATCH(W$2, AsistenciaJetAdminConcatenada!$A:$A, 0)), ISNUMBER(MATCH(W$1, AsistenciaJetAdminConcatenada!$B:$B, 0)), ISNUMBER(SEARCH($A72,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ISNUMBER(SEARCH($A72, INDEX(AsistenciaJetAdminConcatenada!$D:$D, MATCH(1, (AsistenciaJetAdminConcatenada!$A:$A=W$2)*(AsistenciaJetAdminConcatenada!$B:$B=W$1), 0)), 1))),  0.5, 0))</f>
        <v>0</v>
      </c>
      <c r="X72" s="47">
        <f t="array" ref="X72">IF(AND(ISNUMBER(MATCH(X$2, AsistenciaJetAdminConcatenada!$A:$A, 0)), ISNUMBER(MATCH(X$1, AsistenciaJetAdminConcatenada!$B:$B, 0)), ISNUMBER(SEARCH($A72,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ISNUMBER(SEARCH($A72, INDEX(AsistenciaJetAdminConcatenada!$D:$D, MATCH(1, (AsistenciaJetAdminConcatenada!$A:$A=X$2)*(AsistenciaJetAdminConcatenada!$B:$B=X$1), 0)), 1))),  0.5, 0))</f>
        <v>1</v>
      </c>
      <c r="Y72" s="47">
        <f t="array" ref="Y72">IF(AND(ISNUMBER(MATCH(Y$2, AsistenciaJetAdminConcatenada!$A:$A, 0)), ISNUMBER(MATCH(Y$1, AsistenciaJetAdminConcatenada!$B:$B, 0)), ISNUMBER(SEARCH($A72,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ISNUMBER(SEARCH($A72, INDEX(AsistenciaJetAdminConcatenada!$D:$D, MATCH(1, (AsistenciaJetAdminConcatenada!$A:$A=Y$2)*(AsistenciaJetAdminConcatenada!$B:$B=Y$1), 0)), 1))),  0.5, 0))</f>
        <v>0.5</v>
      </c>
      <c r="Z72" s="47">
        <f t="array" ref="Z72">IF(AND(ISNUMBER(MATCH(Z$2, AsistenciaJetAdminConcatenada!$A:$A, 0)), ISNUMBER(MATCH(Z$1, AsistenciaJetAdminConcatenada!$B:$B, 0)), ISNUMBER(SEARCH($A72,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ISNUMBER(SEARCH($A72, INDEX(AsistenciaJetAdminConcatenada!$D:$D, MATCH(1, (AsistenciaJetAdminConcatenada!$A:$A=Z$2)*(AsistenciaJetAdminConcatenada!$B:$B=Z$1), 0)), 1))),  0.5, 0))</f>
        <v>1</v>
      </c>
      <c r="AA72" s="47">
        <f t="array" ref="AA72">IF(AND(ISNUMBER(MATCH(AA$2, AsistenciaJetAdminConcatenada!$A:$A, 0)), ISNUMBER(MATCH(AA$1, AsistenciaJetAdminConcatenada!$B:$B, 0)), ISNUMBER(SEARCH($A72,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ISNUMBER(SEARCH($A72, INDEX(AsistenciaJetAdminConcatenada!$D:$D, MATCH(1, (AsistenciaJetAdminConcatenada!$A:$A=AA$2)*(AsistenciaJetAdminConcatenada!$B:$B=AA$1), 0)), 1))),  0.5, 0))</f>
        <v>0</v>
      </c>
      <c r="AB72" s="47">
        <f t="array" ref="AB72">IF(AND(ISNUMBER(MATCH(AB$2, AsistenciaJetAdminConcatenada!$A:$A, 0)), ISNUMBER(MATCH(AB$1, AsistenciaJetAdminConcatenada!$B:$B, 0)), ISNUMBER(SEARCH($A72,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ISNUMBER(SEARCH($A72, INDEX(AsistenciaJetAdminConcatenada!$D:$D, MATCH(1, (AsistenciaJetAdminConcatenada!$A:$A=AB$2)*(AsistenciaJetAdminConcatenada!$B:$B=AB$1), 0)), 1))),  0.5, 0))</f>
        <v>0.5</v>
      </c>
      <c r="AC72" s="47">
        <f t="array" ref="AC72">IF(AND(ISNUMBER(MATCH(AC$2, AsistenciaJetAdminConcatenada!$A:$A, 0)), ISNUMBER(MATCH(AC$1, AsistenciaJetAdminConcatenada!$B:$B, 0)), ISNUMBER(SEARCH($A72,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ISNUMBER(SEARCH($A72, INDEX(AsistenciaJetAdminConcatenada!$D:$D, MATCH(1, (AsistenciaJetAdminConcatenada!$A:$A=AC$2)*(AsistenciaJetAdminConcatenada!$B:$B=AC$1), 0)), 1))),  0.5, 0))</f>
        <v>1</v>
      </c>
      <c r="AD72" s="47">
        <f t="array" ref="AD72">IF(AND(ISNUMBER(MATCH(AD$2, AsistenciaJetAdminConcatenada!$A:$A, 0)), ISNUMBER(MATCH(AD$1, AsistenciaJetAdminConcatenada!$B:$B, 0)), ISNUMBER(SEARCH($A72,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ISNUMBER(SEARCH($A72, INDEX(AsistenciaJetAdminConcatenada!$D:$D, MATCH(1, (AsistenciaJetAdminConcatenada!$A:$A=AD$2)*(AsistenciaJetAdminConcatenada!$B:$B=AD$1), 0)), 1))),  0.5, 0))</f>
        <v>1</v>
      </c>
      <c r="AE72" s="47">
        <f t="array" ref="AE72">IF(AND(ISNUMBER(MATCH(AE$2, AsistenciaJetAdminConcatenada!$A:$A, 0)), ISNUMBER(MATCH(AE$1, AsistenciaJetAdminConcatenada!$B:$B, 0)), ISNUMBER(SEARCH($A72,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ISNUMBER(SEARCH($A72, INDEX(AsistenciaJetAdminConcatenada!$D:$D, MATCH(1, (AsistenciaJetAdminConcatenada!$A:$A=AE$2)*(AsistenciaJetAdminConcatenada!$B:$B=AE$1), 0)), 1))),  0.5, 0))</f>
        <v>0</v>
      </c>
      <c r="AF72" s="47">
        <f t="array" ref="AF72">IF(AND(ISNUMBER(MATCH(AF$2, AsistenciaJetAdminConcatenada!$A:$A, 0)), ISNUMBER(MATCH(AF$1, AsistenciaJetAdminConcatenada!$B:$B, 0)), ISNUMBER(SEARCH($A72,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ISNUMBER(SEARCH($A72, INDEX(AsistenciaJetAdminConcatenada!$D:$D, MATCH(1, (AsistenciaJetAdminConcatenada!$A:$A=AF$2)*(AsistenciaJetAdminConcatenada!$B:$B=AF$1), 0)), 1))),  0.5, 0))</f>
        <v>0</v>
      </c>
      <c r="AG72" s="47">
        <f t="array" ref="AG72">IF(AND(ISNUMBER(MATCH(AG$2, AsistenciaJetAdminConcatenada!$A:$A, 0)), ISNUMBER(MATCH(AG$1, AsistenciaJetAdminConcatenada!$B:$B, 0)), ISNUMBER(SEARCH($A72,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ISNUMBER(SEARCH($A72, INDEX(AsistenciaJetAdminConcatenada!$D:$D, MATCH(1, (AsistenciaJetAdminConcatenada!$A:$A=AG$2)*(AsistenciaJetAdminConcatenada!$B:$B=AG$1), 0)), 1))),  0.5, 0))</f>
        <v>0</v>
      </c>
      <c r="AH72" s="47">
        <f t="array" ref="AH72">IF(AND(ISNUMBER(MATCH(AH$2, AsistenciaJetAdminConcatenada!$A:$A, 0)), ISNUMBER(MATCH(AH$1, AsistenciaJetAdminConcatenada!$B:$B, 0)), ISNUMBER(SEARCH($A72,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ISNUMBER(SEARCH($A72, INDEX(AsistenciaJetAdminConcatenada!$D:$D, MATCH(1, (AsistenciaJetAdminConcatenada!$A:$A=AH$2)*(AsistenciaJetAdminConcatenada!$B:$B=AH$1), 0)), 1))),  0.5, 0))</f>
        <v>0</v>
      </c>
      <c r="AI72" s="47">
        <f t="array" ref="AI72">IF(AND(ISNUMBER(MATCH(AI$2, AsistenciaJetAdminConcatenada!$A:$A, 0)), ISNUMBER(MATCH(AI$1, AsistenciaJetAdminConcatenada!$B:$B, 0)), ISNUMBER(SEARCH($A72,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ISNUMBER(SEARCH($A72, INDEX(AsistenciaJetAdminConcatenada!$D:$D, MATCH(1, (AsistenciaJetAdminConcatenada!$A:$A=AI$2)*(AsistenciaJetAdminConcatenada!$B:$B=AI$1), 0)), 1))),  0.5, 0))</f>
        <v>0</v>
      </c>
      <c r="AJ72" s="47">
        <f t="array" ref="AJ72">IF(AND(ISNUMBER(MATCH(AJ$2, AsistenciaJetAdminConcatenada!$A:$A, 0)), ISNUMBER(MATCH(AJ$1, AsistenciaJetAdminConcatenada!$B:$B, 0)), ISNUMBER(SEARCH($A72,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ISNUMBER(SEARCH($A72, INDEX(AsistenciaJetAdminConcatenada!$D:$D, MATCH(1, (AsistenciaJetAdminConcatenada!$A:$A=AJ$2)*(AsistenciaJetAdminConcatenada!$B:$B=AJ$1), 0)), 1))),  0.5, 0))</f>
        <v>0</v>
      </c>
      <c r="AK72" s="47">
        <f t="array" ref="AK72">IF(AND(ISNUMBER(MATCH(AK$2, AsistenciaJetAdminConcatenada!$A:$A, 0)), ISNUMBER(MATCH(AK$1, AsistenciaJetAdminConcatenada!$B:$B, 0)), ISNUMBER(SEARCH($A72,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ISNUMBER(SEARCH($A72, INDEX(AsistenciaJetAdminConcatenada!$D:$D, MATCH(1, (AsistenciaJetAdminConcatenada!$A:$A=AK$2)*(AsistenciaJetAdminConcatenada!$B:$B=AK$1), 0)), 1))),  0.5, 0))</f>
        <v>1</v>
      </c>
      <c r="AL72" s="47">
        <f t="array" ref="AL72">IF(AND(ISNUMBER(MATCH(AL$2, AsistenciaJetAdminConcatenada!$A:$A, 0)), ISNUMBER(MATCH(AL$1, AsistenciaJetAdminConcatenada!$B:$B, 0)), ISNUMBER(SEARCH($A72,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ISNUMBER(SEARCH($A72, INDEX(AsistenciaJetAdminConcatenada!$D:$D, MATCH(1, (AsistenciaJetAdminConcatenada!$A:$A=AL$2)*(AsistenciaJetAdminConcatenada!$B:$B=AL$1), 0)), 1))),  0.5, 0))</f>
        <v>0</v>
      </c>
      <c r="AM72" s="47">
        <f t="array" ref="AM72">IF(AND(ISNUMBER(MATCH(AM$2, AsistenciaJetAdminConcatenada!$A:$A, 0)), ISNUMBER(MATCH(AM$1, AsistenciaJetAdminConcatenada!$B:$B, 0)), ISNUMBER(SEARCH($A72,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ISNUMBER(SEARCH($A72, INDEX(AsistenciaJetAdminConcatenada!$D:$D, MATCH(1, (AsistenciaJetAdminConcatenada!$A:$A=AM$2)*(AsistenciaJetAdminConcatenada!$B:$B=AM$1), 0)), 1))),  0.5, 0))</f>
        <v>0</v>
      </c>
      <c r="AN72" s="47">
        <f t="array" ref="AN72">IF(AND(ISNUMBER(MATCH(AN$2, AsistenciaJetAdminConcatenada!$A:$A, 0)), ISNUMBER(MATCH(AN$1, AsistenciaJetAdminConcatenada!$B:$B, 0)), ISNUMBER(SEARCH($A72,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ISNUMBER(SEARCH($A72, INDEX(AsistenciaJetAdminConcatenada!$D:$D, MATCH(1, (AsistenciaJetAdminConcatenada!$A:$A=AN$2)*(AsistenciaJetAdminConcatenada!$B:$B=AN$1), 0)), 1))),  0.5, 0))</f>
        <v>0</v>
      </c>
      <c r="AO72" s="47">
        <f t="array" ref="AO72">IF(AND(ISNUMBER(MATCH(AO$2, AsistenciaJetAdminConcatenada!$A:$A, 0)), ISNUMBER(MATCH(AO$1, AsistenciaJetAdminConcatenada!$B:$B, 0)), ISNUMBER(SEARCH($A72,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ISNUMBER(SEARCH($A72, INDEX(AsistenciaJetAdminConcatenada!$D:$D, MATCH(1, (AsistenciaJetAdminConcatenada!$A:$A=AO$2)*(AsistenciaJetAdminConcatenada!$B:$B=AO$1), 0)), 1))),  0.5, 0))</f>
        <v>0.5</v>
      </c>
      <c r="AP72" s="47">
        <f t="array" ref="AP72">IF(AND(ISNUMBER(MATCH(AP$2, AsistenciaJetAdminConcatenada!$A:$A, 0)), ISNUMBER(MATCH(AP$1, AsistenciaJetAdminConcatenada!$B:$B, 0)), ISNUMBER(SEARCH($A72,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ISNUMBER(SEARCH($A72, INDEX(AsistenciaJetAdminConcatenada!$D:$D, MATCH(1, (AsistenciaJetAdminConcatenada!$A:$A=AP$2)*(AsistenciaJetAdminConcatenada!$B:$B=AP$1), 0)), 1))),  0.5, 0))</f>
        <v>0.5</v>
      </c>
      <c r="AQ72" s="47">
        <f t="array" ref="AQ72">IF(AND(ISNUMBER(MATCH(AQ$2, AsistenciaJetAdminConcatenada!$A:$A, 0)), ISNUMBER(MATCH(AQ$1, AsistenciaJetAdminConcatenada!$B:$B, 0)), ISNUMBER(SEARCH($A72,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ISNUMBER(SEARCH($A72, INDEX(AsistenciaJetAdminConcatenada!$D:$D, MATCH(1, (AsistenciaJetAdminConcatenada!$A:$A=AQ$2)*(AsistenciaJetAdminConcatenada!$B:$B=AQ$1), 0)), 1))),  0.5, 0))</f>
        <v>0</v>
      </c>
      <c r="AR72" s="47">
        <f t="array" ref="AR72">IF(AND(ISNUMBER(MATCH(AR$2, AsistenciaJetAdminConcatenada!$A:$A, 0)), ISNUMBER(MATCH(AR$1, AsistenciaJetAdminConcatenada!$B:$B, 0)), ISNUMBER(SEARCH($A72,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ISNUMBER(SEARCH($A72, INDEX(AsistenciaJetAdminConcatenada!$D:$D, MATCH(1, (AsistenciaJetAdminConcatenada!$A:$A=AR$2)*(AsistenciaJetAdminConcatenada!$B:$B=AR$1), 0)), 1))),  0.5, 0))</f>
        <v>0</v>
      </c>
      <c r="AS72" s="47">
        <f t="array" ref="AS72">IF(AND(ISNUMBER(MATCH(AS$2, AsistenciaJetAdminConcatenada!$A:$A, 0)), ISNUMBER(MATCH(AS$1, AsistenciaJetAdminConcatenada!$B:$B, 0)), ISNUMBER(SEARCH($A72,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ISNUMBER(SEARCH($A72, INDEX(AsistenciaJetAdminConcatenada!$D:$D, MATCH(1, (AsistenciaJetAdminConcatenada!$A:$A=AS$2)*(AsistenciaJetAdminConcatenada!$B:$B=AS$1), 0)), 1))),  0.5, 0))</f>
        <v>0</v>
      </c>
      <c r="AT72" s="47">
        <f t="array" ref="AT72">IF(AND(ISNUMBER(MATCH(AT$2, AsistenciaJetAdminConcatenada!$A:$A, 0)), ISNUMBER(MATCH(AT$1, AsistenciaJetAdminConcatenada!$B:$B, 0)), ISNUMBER(SEARCH($A72,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ISNUMBER(SEARCH($A72, INDEX(AsistenciaJetAdminConcatenada!$D:$D, MATCH(1, (AsistenciaJetAdminConcatenada!$A:$A=AT$2)*(AsistenciaJetAdminConcatenada!$B:$B=AT$1), 0)), 1))),  0.5, 0))</f>
        <v>0</v>
      </c>
      <c r="AU72" s="47">
        <f t="array" ref="AU72">IF(AND(ISNUMBER(MATCH(AU$2, AsistenciaJetAdminConcatenada!$A:$A, 0)), ISNUMBER(MATCH(AU$1, AsistenciaJetAdminConcatenada!$B:$B, 0)), ISNUMBER(SEARCH($A72,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ISNUMBER(SEARCH($A72, INDEX(AsistenciaJetAdminConcatenada!$D:$D, MATCH(1, (AsistenciaJetAdminConcatenada!$A:$A=AU$2)*(AsistenciaJetAdminConcatenada!$B:$B=AU$1), 0)), 1))),  0.5, 0))</f>
        <v>1</v>
      </c>
      <c r="AV72" s="47">
        <f t="array" ref="AV72">IF(AND(ISNUMBER(MATCH(AV$2, AsistenciaJetAdminConcatenada!$A:$A, 0)), ISNUMBER(MATCH(AV$1, AsistenciaJetAdminConcatenada!$B:$B, 0)), ISNUMBER(SEARCH($A72,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ISNUMBER(SEARCH($A72, INDEX(AsistenciaJetAdminConcatenada!$D:$D, MATCH(1, (AsistenciaJetAdminConcatenada!$A:$A=AV$2)*(AsistenciaJetAdminConcatenada!$B:$B=AV$1), 0)), 1))),  0.5, 0))</f>
        <v>0</v>
      </c>
      <c r="AW72" s="47">
        <f t="array" ref="AW72">IF(AND(ISNUMBER(MATCH(AW$2, AsistenciaJetAdminConcatenada!$A:$A, 0)), ISNUMBER(MATCH(AW$1, AsistenciaJetAdminConcatenada!$B:$B, 0)), ISNUMBER(SEARCH($A72,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ISNUMBER(SEARCH($A72, INDEX(AsistenciaJetAdminConcatenada!$D:$D, MATCH(1, (AsistenciaJetAdminConcatenada!$A:$A=AW$2)*(AsistenciaJetAdminConcatenada!$B:$B=AW$1), 0)), 1))),  0.5, 0))</f>
        <v>0</v>
      </c>
      <c r="AX72" s="47">
        <f t="array" ref="AX72">IF(AND(ISNUMBER(MATCH(AX$2, AsistenciaJetAdminConcatenada!$A:$A, 0)), ISNUMBER(MATCH(AX$1, AsistenciaJetAdminConcatenada!$B:$B, 0)), ISNUMBER(SEARCH($A72,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ISNUMBER(SEARCH($A72, INDEX(AsistenciaJetAdminConcatenada!$D:$D, MATCH(1, (AsistenciaJetAdminConcatenada!$A:$A=AX$2)*(AsistenciaJetAdminConcatenada!$B:$B=AX$1), 0)), 1))),  0.5, 0))</f>
        <v>0</v>
      </c>
      <c r="AY72" s="47">
        <f t="array" ref="AY72">IF(AND(ISNUMBER(MATCH(AY$2, AsistenciaJetAdminConcatenada!$A:$A, 0)), ISNUMBER(MATCH(AY$1, AsistenciaJetAdminConcatenada!$B:$B, 0)), ISNUMBER(SEARCH($A72,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ISNUMBER(SEARCH($A72, INDEX(AsistenciaJetAdminConcatenada!$D:$D, MATCH(1, (AsistenciaJetAdminConcatenada!$A:$A=AY$2)*(AsistenciaJetAdminConcatenada!$B:$B=AY$1), 0)), 1))),  0.5, 0))</f>
        <v>1</v>
      </c>
      <c r="AZ72" s="47">
        <f t="array" ref="AZ72">IF(AND(ISNUMBER(MATCH(AZ$2, AsistenciaJetAdminConcatenada!$A:$A, 0)), ISNUMBER(MATCH(AZ$1, AsistenciaJetAdminConcatenada!$B:$B, 0)), ISNUMBER(SEARCH($A72,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ISNUMBER(SEARCH($A72, INDEX(AsistenciaJetAdminConcatenada!$D:$D, MATCH(1, (AsistenciaJetAdminConcatenada!$A:$A=AZ$2)*(AsistenciaJetAdminConcatenada!$B:$B=AZ$1), 0)), 1))),  0.5, 0))</f>
        <v>0</v>
      </c>
      <c r="BA72" s="47">
        <f t="array" ref="BA72">IF(AND(ISNUMBER(MATCH(BA$2, AsistenciaJetAdminConcatenada!$A:$A, 0)), ISNUMBER(MATCH(BA$1, AsistenciaJetAdminConcatenada!$B:$B, 0)), ISNUMBER(SEARCH($A72,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ISNUMBER(SEARCH($A72, INDEX(AsistenciaJetAdminConcatenada!$D:$D, MATCH(1, (AsistenciaJetAdminConcatenada!$A:$A=BA$2)*(AsistenciaJetAdminConcatenada!$B:$B=BA$1), 0)), 1))),  0.5, 0))</f>
        <v>0</v>
      </c>
      <c r="BB72" s="47">
        <f t="array" ref="BB72">IF(AND(ISNUMBER(MATCH(BB$2, AsistenciaJetAdminConcatenada!$A:$A, 0)), ISNUMBER(MATCH(BB$1, AsistenciaJetAdminConcatenada!$B:$B, 0)), ISNUMBER(SEARCH($A72,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ISNUMBER(SEARCH($A72, INDEX(AsistenciaJetAdminConcatenada!$D:$D, MATCH(1, (AsistenciaJetAdminConcatenada!$A:$A=BB$2)*(AsistenciaJetAdminConcatenada!$B:$B=BB$1), 0)), 1))),  0.5, 0))</f>
        <v>1</v>
      </c>
      <c r="BC72" s="47">
        <f t="array" ref="BC72">IF(AND(ISNUMBER(MATCH(BC$2, AsistenciaJetAdminConcatenada!$A:$A, 0)), ISNUMBER(MATCH(BC$1, AsistenciaJetAdminConcatenada!$B:$B, 0)), ISNUMBER(SEARCH($A72,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ISNUMBER(SEARCH($A72, INDEX(AsistenciaJetAdminConcatenada!$D:$D, MATCH(1, (AsistenciaJetAdminConcatenada!$A:$A=BC$2)*(AsistenciaJetAdminConcatenada!$B:$B=BC$1), 0)), 1))),  0.5, 0))</f>
        <v>1</v>
      </c>
      <c r="BD72" s="47">
        <f t="array" ref="BD72">IF(AND(ISNUMBER(MATCH(BD$2, AsistenciaJetAdminConcatenada!$A:$A, 0)), ISNUMBER(MATCH(BD$1, AsistenciaJetAdminConcatenada!$B:$B, 0)), ISNUMBER(SEARCH($A72,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ISNUMBER(SEARCH($A72, INDEX(AsistenciaJetAdminConcatenada!$D:$D, MATCH(1, (AsistenciaJetAdminConcatenada!$A:$A=BD$2)*(AsistenciaJetAdminConcatenada!$B:$B=BD$1), 0)), 1))),  0.5, 0))</f>
        <v>1</v>
      </c>
      <c r="BE72" s="47">
        <f t="array" ref="BE72">IF(AND(ISNUMBER(MATCH(BE$2, AsistenciaJetAdminConcatenada!$A:$A, 0)), ISNUMBER(MATCH(BE$1, AsistenciaJetAdminConcatenada!$B:$B, 0)), ISNUMBER(SEARCH($A72,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ISNUMBER(SEARCH($A72, INDEX(AsistenciaJetAdminConcatenada!$D:$D, MATCH(1, (AsistenciaJetAdminConcatenada!$A:$A=BE$2)*(AsistenciaJetAdminConcatenada!$B:$B=BE$1), 0)), 1))),  0.5, 0))</f>
        <v>1</v>
      </c>
      <c r="BF72" s="47">
        <f t="array" ref="BF72">IF(AND(ISNUMBER(MATCH(BF$2, AsistenciaJetAdminConcatenada!$A:$A, 0)), ISNUMBER(MATCH(BF$1, AsistenciaJetAdminConcatenada!$B:$B, 0)), ISNUMBER(SEARCH($A72,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ISNUMBER(SEARCH($A72, INDEX(AsistenciaJetAdminConcatenada!$D:$D, MATCH(1, (AsistenciaJetAdminConcatenada!$A:$A=BF$2)*(AsistenciaJetAdminConcatenada!$B:$B=BF$1), 0)), 1))),  0.5, 0))</f>
        <v>0.5</v>
      </c>
      <c r="BG72" s="47">
        <f t="array" ref="BG72">IF(AND(ISNUMBER(MATCH(BG$2, AsistenciaJetAdminConcatenada!$A:$A, 0)), ISNUMBER(MATCH(BG$1, AsistenciaJetAdminConcatenada!$B:$B, 0)), ISNUMBER(SEARCH($A72,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ISNUMBER(SEARCH($A72, INDEX(AsistenciaJetAdminConcatenada!$D:$D, MATCH(1, (AsistenciaJetAdminConcatenada!$A:$A=BG$2)*(AsistenciaJetAdminConcatenada!$B:$B=BG$1), 0)), 1))),  0.5, 0))</f>
        <v>1</v>
      </c>
      <c r="BH72" s="47">
        <f t="array" ref="BH72">IF(AND(ISNUMBER(MATCH(BH$2, AsistenciaJetAdminConcatenada!$A:$A, 0)), ISNUMBER(MATCH(BH$1, AsistenciaJetAdminConcatenada!$B:$B, 0)), ISNUMBER(SEARCH($A72,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ISNUMBER(SEARCH($A72, INDEX(AsistenciaJetAdminConcatenada!$D:$D, MATCH(1, (AsistenciaJetAdminConcatenada!$A:$A=BH$2)*(AsistenciaJetAdminConcatenada!$B:$B=BH$1), 0)), 1))),  0.5, 0))</f>
        <v>1</v>
      </c>
      <c r="BI72" s="47">
        <f t="array" ref="BI72">IF(AND(ISNUMBER(MATCH(BI$2, AsistenciaJetAdminConcatenada!$A:$A, 0)), ISNUMBER(MATCH(BI$1, AsistenciaJetAdminConcatenada!$B:$B, 0)), ISNUMBER(SEARCH($A72,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ISNUMBER(SEARCH($A72, INDEX(AsistenciaJetAdminConcatenada!$D:$D, MATCH(1, (AsistenciaJetAdminConcatenada!$A:$A=BI$2)*(AsistenciaJetAdminConcatenada!$B:$B=BI$1), 0)), 1))),  0.5, 0))</f>
        <v>0</v>
      </c>
      <c r="BJ72" s="47">
        <f t="array" ref="BJ72">IF(AND(ISNUMBER(MATCH(BJ$2, AsistenciaJetAdminConcatenada!$A:$A, 0)), ISNUMBER(MATCH(BJ$1, AsistenciaJetAdminConcatenada!$B:$B, 0)), ISNUMBER(SEARCH($A72,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ISNUMBER(SEARCH($A72, INDEX(AsistenciaJetAdminConcatenada!$D:$D, MATCH(1, (AsistenciaJetAdminConcatenada!$A:$A=BJ$2)*(AsistenciaJetAdminConcatenada!$B:$B=BJ$1), 0)), 1))),  0.5, 0))</f>
        <v>0</v>
      </c>
      <c r="BK72" s="47">
        <f t="array" ref="BK72">IF(AND(ISNUMBER(MATCH(BK$2, AsistenciaJetAdminConcatenada!$A:$A, 0)), ISNUMBER(MATCH(BK$1, AsistenciaJetAdminConcatenada!$B:$B, 0)), ISNUMBER(SEARCH($A72,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ISNUMBER(SEARCH($A72, INDEX(AsistenciaJetAdminConcatenada!$D:$D, MATCH(1, (AsistenciaJetAdminConcatenada!$A:$A=BK$2)*(AsistenciaJetAdminConcatenada!$B:$B=BK$1), 0)), 1))),  0.5, 0))</f>
        <v>1</v>
      </c>
      <c r="BL72" s="47">
        <f t="array" ref="BL72">IF(AND(ISNUMBER(MATCH(BL$2, AsistenciaJetAdminConcatenada!$A:$A, 0)), ISNUMBER(MATCH(BL$1, AsistenciaJetAdminConcatenada!$B:$B, 0)), ISNUMBER(SEARCH($A72,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ISNUMBER(SEARCH($A72, INDEX(AsistenciaJetAdminConcatenada!$D:$D, MATCH(1, (AsistenciaJetAdminConcatenada!$A:$A=BL$2)*(AsistenciaJetAdminConcatenada!$B:$B=BL$1), 0)), 1))),  0.5, 0))</f>
        <v>1</v>
      </c>
      <c r="BM72" s="47">
        <f t="array" ref="BM72">IF(AND(ISNUMBER(MATCH(BM$2, AsistenciaJetAdminConcatenada!$A:$A, 0)), ISNUMBER(MATCH(BM$1, AsistenciaJetAdminConcatenada!$B:$B, 0)), ISNUMBER(SEARCH($A72,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ISNUMBER(SEARCH($A72, INDEX(AsistenciaJetAdminConcatenada!$D:$D, MATCH(1, (AsistenciaJetAdminConcatenada!$A:$A=BM$2)*(AsistenciaJetAdminConcatenada!$B:$B=BM$1), 0)), 1))),  0.5, 0))</f>
        <v>1</v>
      </c>
      <c r="BN72" s="47">
        <f t="array" ref="BN72">IF(AND(ISNUMBER(MATCH(BN$2, AsistenciaJetAdminConcatenada!$A:$A, 0)), ISNUMBER(MATCH(BN$1, AsistenciaJetAdminConcatenada!$B:$B, 0)), ISNUMBER(SEARCH($A72,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ISNUMBER(SEARCH($A72, INDEX(AsistenciaJetAdminConcatenada!$D:$D, MATCH(1, (AsistenciaJetAdminConcatenada!$A:$A=BN$2)*(AsistenciaJetAdminConcatenada!$B:$B=BN$1), 0)), 1))),  0.5, 0))</f>
        <v>0</v>
      </c>
      <c r="BO72" s="47">
        <f t="array" ref="BO72">IF(AND(ISNUMBER(MATCH(BO$2, AsistenciaJetAdminConcatenada!$A:$A, 0)), ISNUMBER(MATCH(BO$1, AsistenciaJetAdminConcatenada!$B:$B, 0)), ISNUMBER(SEARCH($A72,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ISNUMBER(SEARCH($A72, INDEX(AsistenciaJetAdminConcatenada!$D:$D, MATCH(1, (AsistenciaJetAdminConcatenada!$A:$A=BO$2)*(AsistenciaJetAdminConcatenada!$B:$B=BO$1), 0)), 1))),  0.5, 0))</f>
        <v>1</v>
      </c>
      <c r="BP72" s="47">
        <f t="array" ref="BP72">IF(AND(ISNUMBER(MATCH(BP$2, AsistenciaJetAdminConcatenada!$A:$A, 0)), ISNUMBER(MATCH(BP$1, AsistenciaJetAdminConcatenada!$B:$B, 0)), ISNUMBER(SEARCH($A72,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ISNUMBER(SEARCH($A72, INDEX(AsistenciaJetAdminConcatenada!$D:$D, MATCH(1, (AsistenciaJetAdminConcatenada!$A:$A=BP$2)*(AsistenciaJetAdminConcatenada!$B:$B=BP$1), 0)), 1))),  0.5, 0))</f>
        <v>0</v>
      </c>
      <c r="BQ72" s="47">
        <f t="array" ref="BQ72">IF(AND(ISNUMBER(MATCH(BQ$2, AsistenciaJetAdminConcatenada!$A:$A, 0)), ISNUMBER(MATCH(BQ$1, AsistenciaJetAdminConcatenada!$B:$B, 0)), ISNUMBER(SEARCH($A72,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ISNUMBER(SEARCH($A72, INDEX(AsistenciaJetAdminConcatenada!$D:$D, MATCH(1, (AsistenciaJetAdminConcatenada!$A:$A=BQ$2)*(AsistenciaJetAdminConcatenada!$B:$B=BQ$1), 0)), 1))),  0.5, 0))</f>
        <v>0</v>
      </c>
      <c r="BR72" s="47">
        <f t="array" ref="BR72">IF(AND(ISNUMBER(MATCH(BR$2, AsistenciaJetAdminConcatenada!$A:$A, 0)), ISNUMBER(MATCH(BR$1, AsistenciaJetAdminConcatenada!$B:$B, 0)), ISNUMBER(SEARCH($A72,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ISNUMBER(SEARCH($A72, INDEX(AsistenciaJetAdminConcatenada!$D:$D, MATCH(1, (AsistenciaJetAdminConcatenada!$A:$A=BR$2)*(AsistenciaJetAdminConcatenada!$B:$B=BR$1), 0)), 1))),  0.5, 0))</f>
        <v>0</v>
      </c>
      <c r="BS72" s="47">
        <f t="array" ref="BS72">IF(AND(ISNUMBER(MATCH(BS$2, AsistenciaJetAdminConcatenada!$A:$A, 0)), ISNUMBER(MATCH(BS$1, AsistenciaJetAdminConcatenada!$B:$B, 0)), ISNUMBER(SEARCH($A72,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ISNUMBER(SEARCH($A72, INDEX(AsistenciaJetAdminConcatenada!$D:$D, MATCH(1, (AsistenciaJetAdminConcatenada!$A:$A=BS$2)*(AsistenciaJetAdminConcatenada!$B:$B=BS$1), 0)), 1))),  0.5, 0))</f>
        <v>0</v>
      </c>
      <c r="BT72" s="47">
        <f t="array" ref="BT72">IF(AND(ISNUMBER(MATCH(BT$2, AsistenciaJetAdminConcatenada!$A:$A, 0)), ISNUMBER(MATCH(BT$1, AsistenciaJetAdminConcatenada!$B:$B, 0)), ISNUMBER(SEARCH($A72,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ISNUMBER(SEARCH($A72, INDEX(AsistenciaJetAdminConcatenada!$D:$D, MATCH(1, (AsistenciaJetAdminConcatenada!$A:$A=BT$2)*(AsistenciaJetAdminConcatenada!$B:$B=BT$1), 0)), 1))),  0.5, 0))</f>
        <v>0</v>
      </c>
      <c r="BU72" s="47">
        <f t="array" ref="BU72">IF(AND(ISNUMBER(MATCH(BU$2, AsistenciaJetAdminConcatenada!$A:$A, 0)), ISNUMBER(MATCH(BU$1, AsistenciaJetAdminConcatenada!$B:$B, 0)), ISNUMBER(SEARCH($A72,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ISNUMBER(SEARCH($A72, INDEX(AsistenciaJetAdminConcatenada!$D:$D, MATCH(1, (AsistenciaJetAdminConcatenada!$A:$A=BU$2)*(AsistenciaJetAdminConcatenada!$B:$B=BU$1), 0)), 1))),  0.5, 0))</f>
        <v>1</v>
      </c>
      <c r="BV72" s="47">
        <f t="array" ref="BV72">IF(AND(ISNUMBER(MATCH(BV$2, AsistenciaJetAdminConcatenada!$A:$A, 0)), ISNUMBER(MATCH(BV$1, AsistenciaJetAdminConcatenada!$B:$B, 0)), ISNUMBER(SEARCH($A72,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ISNUMBER(SEARCH($A72, INDEX(AsistenciaJetAdminConcatenada!$D:$D, MATCH(1, (AsistenciaJetAdminConcatenada!$A:$A=BV$2)*(AsistenciaJetAdminConcatenada!$B:$B=BV$1), 0)), 1))),  0.5, 0))</f>
        <v>0</v>
      </c>
      <c r="BW72" s="47">
        <f t="array" ref="BW72">IF(AND(ISNUMBER(MATCH(BW$2, AsistenciaJetAdminConcatenada!$A:$A, 0)), ISNUMBER(MATCH(BW$1, AsistenciaJetAdminConcatenada!$B:$B, 0)), ISNUMBER(SEARCH($A72,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ISNUMBER(SEARCH($A72, INDEX(AsistenciaJetAdminConcatenada!$D:$D, MATCH(1, (AsistenciaJetAdminConcatenada!$A:$A=BW$2)*(AsistenciaJetAdminConcatenada!$B:$B=BW$1), 0)), 1))),  0.5, 0))</f>
        <v>1</v>
      </c>
      <c r="BX72" s="47">
        <f t="array" ref="BX72">IF(AND(ISNUMBER(MATCH(BX$2, AsistenciaJetAdminConcatenada!$A:$A, 0)), ISNUMBER(MATCH(BX$1, AsistenciaJetAdminConcatenada!$B:$B, 0)), ISNUMBER(SEARCH($A72,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ISNUMBER(SEARCH($A72, INDEX(AsistenciaJetAdminConcatenada!$D:$D, MATCH(1, (AsistenciaJetAdminConcatenada!$A:$A=BX$2)*(AsistenciaJetAdminConcatenada!$B:$B=BX$1), 0)), 1))),  0.5, 0))</f>
        <v>0</v>
      </c>
      <c r="BY72" s="47">
        <f t="array" ref="BY72">IF(AND(ISNUMBER(MATCH(BY$2, AsistenciaJetAdminConcatenada!$A:$A, 0)), ISNUMBER(MATCH(BY$1, AsistenciaJetAdminConcatenada!$B:$B, 0)), ISNUMBER(SEARCH($A72,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ISNUMBER(SEARCH($A72, INDEX(AsistenciaJetAdminConcatenada!$D:$D, MATCH(1, (AsistenciaJetAdminConcatenada!$A:$A=BY$2)*(AsistenciaJetAdminConcatenada!$B:$B=BY$1), 0)), 1))),  0.5, 0))</f>
        <v>0</v>
      </c>
      <c r="BZ72" s="47">
        <f t="array" ref="BZ72">IF(AND(ISNUMBER(MATCH(BZ$2, AsistenciaJetAdminConcatenada!$A:$A, 0)), ISNUMBER(MATCH(BZ$1, AsistenciaJetAdminConcatenada!$B:$B, 0)), ISNUMBER(SEARCH($A72,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ISNUMBER(SEARCH($A72, INDEX(AsistenciaJetAdminConcatenada!$D:$D, MATCH(1, (AsistenciaJetAdminConcatenada!$A:$A=BZ$2)*(AsistenciaJetAdminConcatenada!$B:$B=BZ$1), 0)), 1))),  0.5, 0))</f>
        <v>1</v>
      </c>
      <c r="CA72" s="47">
        <f t="array" ref="CA72">IF(AND(ISNUMBER(MATCH(CA$2, AsistenciaJetAdminConcatenada!$A:$A, 0)), ISNUMBER(MATCH(CA$1, AsistenciaJetAdminConcatenada!$B:$B, 0)), ISNUMBER(SEARCH($A72,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ISNUMBER(SEARCH($A72, INDEX(AsistenciaJetAdminConcatenada!$D:$D, MATCH(1, (AsistenciaJetAdminConcatenada!$A:$A=CA$2)*(AsistenciaJetAdminConcatenada!$B:$B=CA$1), 0)), 1))),  0.5, 0))</f>
        <v>0</v>
      </c>
      <c r="CB72" s="47">
        <f t="array" ref="CB72">IF(AND(ISNUMBER(MATCH(CB$2, AsistenciaJetAdminConcatenada!$A:$A, 0)), ISNUMBER(MATCH(CB$1, AsistenciaJetAdminConcatenada!$B:$B, 0)), ISNUMBER(SEARCH($A72,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ISNUMBER(SEARCH($A72, INDEX(AsistenciaJetAdminConcatenada!$D:$D, MATCH(1, (AsistenciaJetAdminConcatenada!$A:$A=CB$2)*(AsistenciaJetAdminConcatenada!$B:$B=CB$1), 0)), 1))),  0.5, 0))</f>
        <v>0</v>
      </c>
      <c r="CC72" s="47">
        <f t="array" ref="CC72">IF(AND(ISNUMBER(MATCH(CC$2, AsistenciaJetAdminConcatenada!$A:$A, 0)), ISNUMBER(MATCH(CC$1, AsistenciaJetAdminConcatenada!$B:$B, 0)), ISNUMBER(SEARCH($A72,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ISNUMBER(SEARCH($A72, INDEX(AsistenciaJetAdminConcatenada!$D:$D, MATCH(1, (AsistenciaJetAdminConcatenada!$A:$A=CC$2)*(AsistenciaJetAdminConcatenada!$B:$B=CC$1), 0)), 1))),  0.5, 0))</f>
        <v>0</v>
      </c>
      <c r="CD72" s="47">
        <f t="array" ref="CD72">IF(AND(ISNUMBER(MATCH(CD$2, AsistenciaJetAdminConcatenada!$A:$A, 0)), ISNUMBER(MATCH(CD$1, AsistenciaJetAdminConcatenada!$B:$B, 0)), ISNUMBER(SEARCH($A72,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ISNUMBER(SEARCH($A72, INDEX(AsistenciaJetAdminConcatenada!$D:$D, MATCH(1, (AsistenciaJetAdminConcatenada!$A:$A=CD$2)*(AsistenciaJetAdminConcatenada!$B:$B=CD$1), 0)), 1))),  0.5, 0))</f>
        <v>0</v>
      </c>
      <c r="CE72" s="47">
        <f t="array" ref="CE72">IF(AND(ISNUMBER(MATCH(CE$2, AsistenciaJetAdminConcatenada!$A:$A, 0)), ISNUMBER(MATCH(CE$1, AsistenciaJetAdminConcatenada!$B:$B, 0)), ISNUMBER(SEARCH($A72,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ISNUMBER(SEARCH($A72, INDEX(AsistenciaJetAdminConcatenada!$D:$D, MATCH(1, (AsistenciaJetAdminConcatenada!$A:$A=CE$2)*(AsistenciaJetAdminConcatenada!$B:$B=CE$1), 0)), 1))),  0.5, 0))</f>
        <v>0</v>
      </c>
      <c r="CF72" s="47">
        <f t="array" ref="CF72">IF(AND(ISNUMBER(MATCH(CF$2, AsistenciaJetAdminConcatenada!$A:$A, 0)), ISNUMBER(MATCH(CF$1, AsistenciaJetAdminConcatenada!$B:$B, 0)), ISNUMBER(SEARCH($A72,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ISNUMBER(SEARCH($A72, INDEX(AsistenciaJetAdminConcatenada!$D:$D, MATCH(1, (AsistenciaJetAdminConcatenada!$A:$A=CF$2)*(AsistenciaJetAdminConcatenada!$B:$B=CF$1), 0)), 1))),  0.5, 0))</f>
        <v>0</v>
      </c>
      <c r="CG72" s="47">
        <f t="array" ref="CG72">IF(AND(ISNUMBER(MATCH(CG$2, AsistenciaJetAdminConcatenada!$A:$A, 0)), ISNUMBER(MATCH(CG$1, AsistenciaJetAdminConcatenada!$B:$B, 0)), ISNUMBER(SEARCH($A72,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ISNUMBER(SEARCH($A72, INDEX(AsistenciaJetAdminConcatenada!$D:$D, MATCH(1, (AsistenciaJetAdminConcatenada!$A:$A=CG$2)*(AsistenciaJetAdminConcatenada!$B:$B=CG$1), 0)), 1))),  0.5, 0))</f>
        <v>0</v>
      </c>
      <c r="CH72" s="47">
        <f t="array" ref="CH72">IF(AND(ISNUMBER(MATCH(CH$2, AsistenciaJetAdminConcatenada!$A:$A, 0)), ISNUMBER(MATCH(CH$1, AsistenciaJetAdminConcatenada!$B:$B, 0)), ISNUMBER(SEARCH($A72,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ISNUMBER(SEARCH($A72, INDEX(AsistenciaJetAdminConcatenada!$D:$D, MATCH(1, (AsistenciaJetAdminConcatenada!$A:$A=CH$2)*(AsistenciaJetAdminConcatenada!$B:$B=CH$1), 0)), 1))),  0.5, 0))</f>
        <v>0</v>
      </c>
      <c r="CI72" s="47">
        <f t="array" ref="CI72">IF(AND(ISNUMBER(MATCH(CI$2, AsistenciaJetAdminConcatenada!$A:$A, 0)), ISNUMBER(MATCH(CI$1, AsistenciaJetAdminConcatenada!$B:$B, 0)), ISNUMBER(SEARCH($A72,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ISNUMBER(SEARCH($A72, INDEX(AsistenciaJetAdminConcatenada!$D:$D, MATCH(1, (AsistenciaJetAdminConcatenada!$A:$A=CI$2)*(AsistenciaJetAdminConcatenada!$B:$B=CI$1), 0)), 1))),  0.5, 0))</f>
        <v>0</v>
      </c>
      <c r="CJ72" s="47">
        <f t="array" ref="CJ72">IF(AND(ISNUMBER(MATCH(CJ$2, AsistenciaJetAdminConcatenada!$A:$A, 0)), ISNUMBER(MATCH(CJ$1, AsistenciaJetAdminConcatenada!$B:$B, 0)), ISNUMBER(SEARCH($A72,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ISNUMBER(SEARCH($A72, INDEX(AsistenciaJetAdminConcatenada!$D:$D, MATCH(1, (AsistenciaJetAdminConcatenada!$A:$A=CJ$2)*(AsistenciaJetAdminConcatenada!$B:$B=CJ$1), 0)), 1))),  0.5, 0))</f>
        <v>1</v>
      </c>
      <c r="CK72" s="47">
        <f t="array" ref="CK72">IF(AND(ISNUMBER(MATCH(CK$2, AsistenciaJetAdminConcatenada!$A:$A, 0)), ISNUMBER(MATCH(CK$1, AsistenciaJetAdminConcatenada!$B:$B, 0)), ISNUMBER(SEARCH($A72,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ISNUMBER(SEARCH($A72, INDEX(AsistenciaJetAdminConcatenada!$D:$D, MATCH(1, (AsistenciaJetAdminConcatenada!$A:$A=CK$2)*(AsistenciaJetAdminConcatenada!$B:$B=CK$1), 0)), 1))),  0.5, 0))</f>
        <v>0</v>
      </c>
      <c r="CL72" s="47">
        <f t="array" ref="CL72">IF(AND(ISNUMBER(MATCH(CL$2, AsistenciaJetAdminConcatenada!$A:$A, 0)), ISNUMBER(MATCH(CL$1, AsistenciaJetAdminConcatenada!$B:$B, 0)), ISNUMBER(SEARCH($A72,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ISNUMBER(SEARCH($A72, INDEX(AsistenciaJetAdminConcatenada!$D:$D, MATCH(1, (AsistenciaJetAdminConcatenada!$A:$A=CL$2)*(AsistenciaJetAdminConcatenada!$B:$B=CL$1), 0)), 1))),  0.5, 0))</f>
        <v>0</v>
      </c>
      <c r="CM72" s="47">
        <f t="array" ref="CM72">IF(AND(ISNUMBER(MATCH(CM$2, AsistenciaJetAdminConcatenada!$A:$A, 0)), ISNUMBER(MATCH(CM$1, AsistenciaJetAdminConcatenada!$B:$B, 0)), ISNUMBER(SEARCH($A72,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ISNUMBER(SEARCH($A72, INDEX(AsistenciaJetAdminConcatenada!$D:$D, MATCH(1, (AsistenciaJetAdminConcatenada!$A:$A=CM$2)*(AsistenciaJetAdminConcatenada!$B:$B=CM$1), 0)), 1))),  0.5, 0))</f>
        <v>0</v>
      </c>
      <c r="CN72" s="47">
        <f t="array" ref="CN72">IF(AND(ISNUMBER(MATCH(CN$2, AsistenciaJetAdminConcatenada!$A:$A, 0)), ISNUMBER(MATCH(CN$1, AsistenciaJetAdminConcatenada!$B:$B, 0)), ISNUMBER(SEARCH($A72,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ISNUMBER(SEARCH($A72, INDEX(AsistenciaJetAdminConcatenada!$D:$D, MATCH(1, (AsistenciaJetAdminConcatenada!$A:$A=CN$2)*(AsistenciaJetAdminConcatenada!$B:$B=CN$1), 0)), 1))),  0.5, 0))</f>
        <v>0</v>
      </c>
      <c r="CO72" s="47">
        <f t="array" ref="CO72">IF(AND(ISNUMBER(MATCH(CO$2, AsistenciaJetAdminConcatenada!$A:$A, 0)), ISNUMBER(MATCH(CO$1, AsistenciaJetAdminConcatenada!$B:$B, 0)), ISNUMBER(SEARCH($A72,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ISNUMBER(SEARCH($A72, INDEX(AsistenciaJetAdminConcatenada!$D:$D, MATCH(1, (AsistenciaJetAdminConcatenada!$A:$A=CO$2)*(AsistenciaJetAdminConcatenada!$B:$B=CO$1), 0)), 1))),  0.5, 0))</f>
        <v>1</v>
      </c>
      <c r="CP72" s="47">
        <f t="array" ref="CP72">IF(AND(ISNUMBER(MATCH(CP$2, AsistenciaJetAdminConcatenada!$A:$A, 0)), ISNUMBER(MATCH(CP$1, AsistenciaJetAdminConcatenada!$B:$B, 0)), ISNUMBER(SEARCH($A72,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ISNUMBER(SEARCH($A72, INDEX(AsistenciaJetAdminConcatenada!$D:$D, MATCH(1, (AsistenciaJetAdminConcatenada!$A:$A=CP$2)*(AsistenciaJetAdminConcatenada!$B:$B=CP$1), 0)), 1))),  0.5, 0))</f>
        <v>0</v>
      </c>
      <c r="CQ72" s="47">
        <f t="array" ref="CQ72">IF(AND(ISNUMBER(MATCH(CQ$2, AsistenciaJetAdminConcatenada!$A:$A, 0)), ISNUMBER(MATCH(CQ$1, AsistenciaJetAdminConcatenada!$B:$B, 0)), ISNUMBER(SEARCH($A72,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ISNUMBER(SEARCH($A72, INDEX(AsistenciaJetAdminConcatenada!$D:$D, MATCH(1, (AsistenciaJetAdminConcatenada!$A:$A=CQ$2)*(AsistenciaJetAdminConcatenada!$B:$B=CQ$1), 0)), 1))),  0.5, 0))</f>
        <v>0</v>
      </c>
      <c r="CR72" s="47">
        <f t="array" ref="CR72">IF(AND(ISNUMBER(MATCH(CR$2, AsistenciaJetAdminConcatenada!$A:$A, 0)), ISNUMBER(MATCH(CR$1, AsistenciaJetAdminConcatenada!$B:$B, 0)), ISNUMBER(SEARCH($A72,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ISNUMBER(SEARCH($A72, INDEX(AsistenciaJetAdminConcatenada!$D:$D, MATCH(1, (AsistenciaJetAdminConcatenada!$A:$A=CR$2)*(AsistenciaJetAdminConcatenada!$B:$B=CR$1), 0)), 1))),  0.5, 0))</f>
        <v>0</v>
      </c>
      <c r="CS72" s="47">
        <f t="array" ref="CS72">IF(AND(ISNUMBER(MATCH(CS$2, AsistenciaJetAdminConcatenada!$A:$A, 0)), ISNUMBER(MATCH(CS$1, AsistenciaJetAdminConcatenada!$B:$B, 0)), ISNUMBER(SEARCH($A72,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ISNUMBER(SEARCH($A72, INDEX(AsistenciaJetAdminConcatenada!$D:$D, MATCH(1, (AsistenciaJetAdminConcatenada!$A:$A=CS$2)*(AsistenciaJetAdminConcatenada!$B:$B=CS$1), 0)), 1))),  0.5, 0))</f>
        <v>0</v>
      </c>
      <c r="CT72" s="47">
        <f t="array" ref="CT72">IF(AND(ISNUMBER(MATCH(CT$2, AsistenciaJetAdminConcatenada!$A:$A, 0)), ISNUMBER(MATCH(CT$1, AsistenciaJetAdminConcatenada!$B:$B, 0)), ISNUMBER(SEARCH($A72,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ISNUMBER(SEARCH($A72, INDEX(AsistenciaJetAdminConcatenada!$D:$D, MATCH(1, (AsistenciaJetAdminConcatenada!$A:$A=CT$2)*(AsistenciaJetAdminConcatenada!$B:$B=CT$1), 0)), 1))),  0.5, 0))</f>
        <v>0</v>
      </c>
      <c r="CU72" s="47">
        <f t="array" ref="CU72">IF(AND(ISNUMBER(MATCH(CU$2, AsistenciaJetAdminConcatenada!$A:$A, 0)), ISNUMBER(MATCH(CU$1, AsistenciaJetAdminConcatenada!$B:$B, 0)), ISNUMBER(SEARCH($A72,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ISNUMBER(SEARCH($A72, INDEX(AsistenciaJetAdminConcatenada!$D:$D, MATCH(1, (AsistenciaJetAdminConcatenada!$A:$A=CU$2)*(AsistenciaJetAdminConcatenada!$B:$B=CU$1), 0)), 1))),  0.5, 0))</f>
        <v>0</v>
      </c>
      <c r="CV72" s="47">
        <f t="array" ref="CV72">IF(AND(ISNUMBER(MATCH(CV$2, AsistenciaJetAdminConcatenada!$A:$A, 0)), ISNUMBER(MATCH(CV$1, AsistenciaJetAdminConcatenada!$B:$B, 0)), ISNUMBER(SEARCH($A72,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ISNUMBER(SEARCH($A72, INDEX(AsistenciaJetAdminConcatenada!$D:$D, MATCH(1, (AsistenciaJetAdminConcatenada!$A:$A=CV$2)*(AsistenciaJetAdminConcatenada!$B:$B=CV$1), 0)), 1))),  0.5, 0))</f>
        <v>0</v>
      </c>
      <c r="CW72" s="47">
        <f t="array" ref="CW72">IF(AND(ISNUMBER(MATCH(CW$2, AsistenciaJetAdminConcatenada!$A:$A, 0)), ISNUMBER(MATCH(CW$1, AsistenciaJetAdminConcatenada!$B:$B, 0)), ISNUMBER(SEARCH($A72,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ISNUMBER(SEARCH($A72, INDEX(AsistenciaJetAdminConcatenada!$D:$D, MATCH(1, (AsistenciaJetAdminConcatenada!$A:$A=CW$2)*(AsistenciaJetAdminConcatenada!$B:$B=CW$1), 0)), 1))),  0.5, 0))</f>
        <v>0</v>
      </c>
      <c r="CX72" s="47">
        <f t="array" ref="CX72">IF(AND(ISNUMBER(MATCH(CX$2, AsistenciaJetAdminConcatenada!$A:$A, 0)), ISNUMBER(MATCH(CX$1, AsistenciaJetAdminConcatenada!$B:$B, 0)), ISNUMBER(SEARCH($A72,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ISNUMBER(SEARCH($A72, INDEX(AsistenciaJetAdminConcatenada!$D:$D, MATCH(1, (AsistenciaJetAdminConcatenada!$A:$A=CX$2)*(AsistenciaJetAdminConcatenada!$B:$B=CX$1), 0)), 1))),  0.5, 0))</f>
        <v>0</v>
      </c>
      <c r="CY72" s="47">
        <f t="array" ref="CY72">IF(AND(ISNUMBER(MATCH(CY$2, AsistenciaJetAdminConcatenada!$A:$A, 0)), ISNUMBER(MATCH(CY$1, AsistenciaJetAdminConcatenada!$B:$B, 0)), ISNUMBER(SEARCH($A72,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ISNUMBER(SEARCH($A72, INDEX(AsistenciaJetAdminConcatenada!$D:$D, MATCH(1, (AsistenciaJetAdminConcatenada!$A:$A=CY$2)*(AsistenciaJetAdminConcatenada!$B:$B=CY$1), 0)), 1))),  0.5, 0))</f>
        <v>0</v>
      </c>
      <c r="CZ72" s="47">
        <f t="array" ref="CZ72">IF(AND(ISNUMBER(MATCH(CZ$2, AsistenciaJetAdminConcatenada!$A:$A, 0)), ISNUMBER(MATCH(CZ$1, AsistenciaJetAdminConcatenada!$B:$B, 0)), ISNUMBER(SEARCH($A72,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ISNUMBER(SEARCH($A72, INDEX(AsistenciaJetAdminConcatenada!$D:$D, MATCH(1, (AsistenciaJetAdminConcatenada!$A:$A=CZ$2)*(AsistenciaJetAdminConcatenada!$B:$B=CZ$1), 0)), 1))),  0.5, 0))</f>
        <v>0</v>
      </c>
      <c r="DA72" s="47">
        <f t="array" ref="DA72">IF(AND(ISNUMBER(MATCH(DA$2, AsistenciaJetAdminConcatenada!$A:$A, 0)), ISNUMBER(MATCH(DA$1, AsistenciaJetAdminConcatenada!$B:$B, 0)), ISNUMBER(SEARCH($A72,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ISNUMBER(SEARCH($A72, INDEX(AsistenciaJetAdminConcatenada!$D:$D, MATCH(1, (AsistenciaJetAdminConcatenada!$A:$A=DA$2)*(AsistenciaJetAdminConcatenada!$B:$B=DA$1), 0)), 1))),  0.5, 0))</f>
        <v>0</v>
      </c>
      <c r="DB72" s="47">
        <f t="array" ref="DB72">IF(AND(ISNUMBER(MATCH(DB$2, AsistenciaJetAdminConcatenada!$A:$A, 0)), ISNUMBER(MATCH(DB$1, AsistenciaJetAdminConcatenada!$B:$B, 0)), ISNUMBER(SEARCH($A72,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ISNUMBER(SEARCH($A72, INDEX(AsistenciaJetAdminConcatenada!$D:$D, MATCH(1, (AsistenciaJetAdminConcatenada!$A:$A=DB$2)*(AsistenciaJetAdminConcatenada!$B:$B=DB$1), 0)), 1))),  0.5, 0))</f>
        <v>0</v>
      </c>
      <c r="DC72" s="47">
        <f t="array" ref="DC72">IF(AND(ISNUMBER(MATCH(DC$2, AsistenciaJetAdminConcatenada!$A:$A, 0)), ISNUMBER(MATCH(DC$1, AsistenciaJetAdminConcatenada!$B:$B, 0)), ISNUMBER(SEARCH($A72,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ISNUMBER(SEARCH($A72, INDEX(AsistenciaJetAdminConcatenada!$D:$D, MATCH(1, (AsistenciaJetAdminConcatenada!$A:$A=DC$2)*(AsistenciaJetAdminConcatenada!$B:$B=DC$1), 0)), 1))),  0.5, 0))</f>
        <v>0</v>
      </c>
      <c r="DD72" s="47">
        <f t="array" ref="DD72">IF(AND(ISNUMBER(MATCH(DD$2, AsistenciaJetAdminConcatenada!$A:$A, 0)), ISNUMBER(MATCH(DD$1, AsistenciaJetAdminConcatenada!$B:$B, 0)), ISNUMBER(SEARCH($A72,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ISNUMBER(SEARCH($A72, INDEX(AsistenciaJetAdminConcatenada!$D:$D, MATCH(1, (AsistenciaJetAdminConcatenada!$A:$A=DD$2)*(AsistenciaJetAdminConcatenada!$B:$B=DD$1), 0)), 1))),  0.5, 0))</f>
        <v>0</v>
      </c>
      <c r="DE72" s="47">
        <f t="array" ref="DE72">IF(AND(ISNUMBER(MATCH(DE$2, AsistenciaJetAdminConcatenada!$A:$A, 0)), ISNUMBER(MATCH(DE$1, AsistenciaJetAdminConcatenada!$B:$B, 0)), ISNUMBER(SEARCH($A72,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ISNUMBER(SEARCH($A72, INDEX(AsistenciaJetAdminConcatenada!$D:$D, MATCH(1, (AsistenciaJetAdminConcatenada!$A:$A=DE$2)*(AsistenciaJetAdminConcatenada!$B:$B=DE$1), 0)), 1))),  0.5, 0))</f>
        <v>0</v>
      </c>
      <c r="DF72" s="47">
        <f t="array" ref="DF72">IF(AND(ISNUMBER(MATCH(DF$2, AsistenciaJetAdminConcatenada!$A:$A, 0)), ISNUMBER(MATCH(DF$1, AsistenciaJetAdminConcatenada!$B:$B, 0)), ISNUMBER(SEARCH($A72,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ISNUMBER(SEARCH($A72, INDEX(AsistenciaJetAdminConcatenada!$D:$D, MATCH(1, (AsistenciaJetAdminConcatenada!$A:$A=DF$2)*(AsistenciaJetAdminConcatenada!$B:$B=DF$1), 0)), 1))),  0.5, 0))</f>
        <v>0</v>
      </c>
      <c r="DG72" s="47">
        <f t="array" ref="DG72">IF(AND(ISNUMBER(MATCH(DG$2, AsistenciaJetAdminConcatenada!$A:$A, 0)), ISNUMBER(MATCH(DG$1, AsistenciaJetAdminConcatenada!$B:$B, 0)), ISNUMBER(SEARCH($A72,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ISNUMBER(SEARCH($A72, INDEX(AsistenciaJetAdminConcatenada!$D:$D, MATCH(1, (AsistenciaJetAdminConcatenada!$A:$A=DG$2)*(AsistenciaJetAdminConcatenada!$B:$B=DG$1), 0)), 1))),  0.5, 0))</f>
        <v>0</v>
      </c>
      <c r="DH72" s="47">
        <f t="array" ref="DH72">IF(AND(ISNUMBER(MATCH(DH$2, AsistenciaJetAdminConcatenada!$A:$A, 0)), ISNUMBER(MATCH(DH$1, AsistenciaJetAdminConcatenada!$B:$B, 0)), ISNUMBER(SEARCH($A72,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ISNUMBER(SEARCH($A72, INDEX(AsistenciaJetAdminConcatenada!$D:$D, MATCH(1, (AsistenciaJetAdminConcatenada!$A:$A=DH$2)*(AsistenciaJetAdminConcatenada!$B:$B=DH$1), 0)), 1))),  0.5, 0))</f>
        <v>0</v>
      </c>
      <c r="DI72" s="47">
        <f t="array" ref="DI72">IF(AND(ISNUMBER(MATCH(DI$2, AsistenciaJetAdminConcatenada!$A:$A, 0)), ISNUMBER(MATCH(DI$1, AsistenciaJetAdminConcatenada!$B:$B, 0)), ISNUMBER(SEARCH($A72,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ISNUMBER(SEARCH($A72, INDEX(AsistenciaJetAdminConcatenada!$D:$D, MATCH(1, (AsistenciaJetAdminConcatenada!$A:$A=DI$2)*(AsistenciaJetAdminConcatenada!$B:$B=DI$1), 0)), 1))),  0.5, 0))</f>
        <v>0</v>
      </c>
      <c r="DJ72" s="47">
        <f t="array" ref="DJ72">IF(AND(ISNUMBER(MATCH(DJ$2, AsistenciaJetAdminConcatenada!$A:$A, 0)), ISNUMBER(MATCH(DJ$1, AsistenciaJetAdminConcatenada!$B:$B, 0)), ISNUMBER(SEARCH($A72,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ISNUMBER(SEARCH($A72, INDEX(AsistenciaJetAdminConcatenada!$D:$D, MATCH(1, (AsistenciaJetAdminConcatenada!$A:$A=DJ$2)*(AsistenciaJetAdminConcatenada!$B:$B=DJ$1), 0)), 1))),  0.5, 0))</f>
        <v>0</v>
      </c>
      <c r="DK72" s="47">
        <f t="array" ref="DK72">IF(AND(ISNUMBER(MATCH(DK$2, AsistenciaJetAdminConcatenada!$A:$A, 0)), ISNUMBER(MATCH(DK$1, AsistenciaJetAdminConcatenada!$B:$B, 0)), ISNUMBER(SEARCH($A72,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ISNUMBER(SEARCH($A72, INDEX(AsistenciaJetAdminConcatenada!$D:$D, MATCH(1, (AsistenciaJetAdminConcatenada!$A:$A=DK$2)*(AsistenciaJetAdminConcatenada!$B:$B=DK$1), 0)), 1))),  0.5, 0))</f>
        <v>0</v>
      </c>
      <c r="DL72" s="47">
        <f t="array" ref="DL72">IF(AND(ISNUMBER(MATCH(DL$2, AsistenciaJetAdminConcatenada!$A:$A, 0)), ISNUMBER(MATCH(DL$1, AsistenciaJetAdminConcatenada!$B:$B, 0)), ISNUMBER(SEARCH($A72,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ISNUMBER(SEARCH($A72, INDEX(AsistenciaJetAdminConcatenada!$D:$D, MATCH(1, (AsistenciaJetAdminConcatenada!$A:$A=DL$2)*(AsistenciaJetAdminConcatenada!$B:$B=DL$1), 0)), 1))),  0.5, 0))</f>
        <v>0</v>
      </c>
      <c r="DM72" s="47">
        <f t="array" ref="DM72">IF(AND(ISNUMBER(MATCH(DM$2, AsistenciaJetAdminConcatenada!$A:$A, 0)), ISNUMBER(MATCH(DM$1, AsistenciaJetAdminConcatenada!$B:$B, 0)), ISNUMBER(SEARCH($A72,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ISNUMBER(SEARCH($A72, INDEX(AsistenciaJetAdminConcatenada!$D:$D, MATCH(1, (AsistenciaJetAdminConcatenada!$A:$A=DM$2)*(AsistenciaJetAdminConcatenada!$B:$B=DM$1), 0)), 1))),  0.5, 0))</f>
        <v>0</v>
      </c>
      <c r="DN72" s="47">
        <f t="array" ref="DN72">IF(AND(ISNUMBER(MATCH(DN$2, AsistenciaJetAdminConcatenada!$A:$A, 0)), ISNUMBER(MATCH(DN$1, AsistenciaJetAdminConcatenada!$B:$B, 0)), ISNUMBER(SEARCH($A72,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ISNUMBER(SEARCH($A72, INDEX(AsistenciaJetAdminConcatenada!$D:$D, MATCH(1, (AsistenciaJetAdminConcatenada!$A:$A=DN$2)*(AsistenciaJetAdminConcatenada!$B:$B=DN$1), 0)), 1))),  0.5, 0))</f>
        <v>0</v>
      </c>
      <c r="DO72" s="47">
        <f t="array" ref="DO72">IF(AND(ISNUMBER(MATCH(DO$2, AsistenciaJetAdminConcatenada!$A:$A, 0)), ISNUMBER(MATCH(DO$1, AsistenciaJetAdminConcatenada!$B:$B, 0)), ISNUMBER(SEARCH($A72,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ISNUMBER(SEARCH($A72, INDEX(AsistenciaJetAdminConcatenada!$D:$D, MATCH(1, (AsistenciaJetAdminConcatenada!$A:$A=DO$2)*(AsistenciaJetAdminConcatenada!$B:$B=DO$1), 0)), 1))),  0.5, 0))</f>
        <v>0</v>
      </c>
      <c r="DP72" s="47">
        <f t="array" ref="DP72">IF(AND(ISNUMBER(MATCH(DP$2, AsistenciaJetAdminConcatenada!$A:$A, 0)), ISNUMBER(MATCH(DP$1, AsistenciaJetAdminConcatenada!$B:$B, 0)), ISNUMBER(SEARCH($A72,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ISNUMBER(SEARCH($A72, INDEX(AsistenciaJetAdminConcatenada!$D:$D, MATCH(1, (AsistenciaJetAdminConcatenada!$A:$A=DP$2)*(AsistenciaJetAdminConcatenada!$B:$B=DP$1), 0)), 1))),  0.5, 0))</f>
        <v>0</v>
      </c>
      <c r="DQ72" s="47">
        <f t="array" ref="DQ72">IF(AND(ISNUMBER(MATCH(DQ$2, AsistenciaJetAdminConcatenada!$A:$A, 0)), ISNUMBER(MATCH(DQ$1, AsistenciaJetAdminConcatenada!$B:$B, 0)), ISNUMBER(SEARCH($A72,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ISNUMBER(SEARCH($A72, INDEX(AsistenciaJetAdminConcatenada!$D:$D, MATCH(1, (AsistenciaJetAdminConcatenada!$A:$A=DQ$2)*(AsistenciaJetAdminConcatenada!$B:$B=DQ$1), 0)), 1))),  0.5, 0))</f>
        <v>0</v>
      </c>
      <c r="DR72" s="47">
        <f t="array" ref="DR72">IF(AND(ISNUMBER(MATCH(DR$2, AsistenciaJetAdminConcatenada!$A:$A, 0)), ISNUMBER(MATCH(DR$1, AsistenciaJetAdminConcatenada!$B:$B, 0)), ISNUMBER(SEARCH($A72,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ISNUMBER(SEARCH($A72, INDEX(AsistenciaJetAdminConcatenada!$D:$D, MATCH(1, (AsistenciaJetAdminConcatenada!$A:$A=DR$2)*(AsistenciaJetAdminConcatenada!$B:$B=DR$1), 0)), 1))),  0.5, 0))</f>
        <v>0</v>
      </c>
      <c r="DS72" s="47">
        <f t="array" ref="DS72">IF(AND(ISNUMBER(MATCH(DS$2, AsistenciaJetAdminConcatenada!$A:$A, 0)), ISNUMBER(MATCH(DS$1, AsistenciaJetAdminConcatenada!$B:$B, 0)), ISNUMBER(SEARCH($A72,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ISNUMBER(SEARCH($A72, INDEX(AsistenciaJetAdminConcatenada!$D:$D, MATCH(1, (AsistenciaJetAdminConcatenada!$A:$A=DS$2)*(AsistenciaJetAdminConcatenada!$B:$B=DS$1), 0)), 1))),  0.5, 0))</f>
        <v>0</v>
      </c>
      <c r="DT72" s="47">
        <f t="array" ref="DT72">IF(AND(ISNUMBER(MATCH(DT$2, AsistenciaJetAdminConcatenada!$A:$A, 0)), ISNUMBER(MATCH(DT$1, AsistenciaJetAdminConcatenada!$B:$B, 0)), ISNUMBER(SEARCH($A72,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ISNUMBER(SEARCH($A72, INDEX(AsistenciaJetAdminConcatenada!$D:$D, MATCH(1, (AsistenciaJetAdminConcatenada!$A:$A=DT$2)*(AsistenciaJetAdminConcatenada!$B:$B=DT$1), 0)), 1))),  0.5, 0))</f>
        <v>0</v>
      </c>
      <c r="DU72" s="47">
        <f t="array" ref="DU72">IF(AND(ISNUMBER(MATCH(DU$2, AsistenciaJetAdminConcatenada!$A:$A, 0)), ISNUMBER(MATCH(DU$1, AsistenciaJetAdminConcatenada!$B:$B, 0)), ISNUMBER(SEARCH($A72,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ISNUMBER(SEARCH($A72, INDEX(AsistenciaJetAdminConcatenada!$D:$D, MATCH(1, (AsistenciaJetAdminConcatenada!$A:$A=DU$2)*(AsistenciaJetAdminConcatenada!$B:$B=DU$1), 0)), 1))),  0.5, 0))</f>
        <v>0</v>
      </c>
      <c r="DV72" s="47">
        <f t="array" ref="DV72">IF(AND(ISNUMBER(MATCH(DV$2, AsistenciaJetAdminConcatenada!$A:$A, 0)), ISNUMBER(MATCH(DV$1, AsistenciaJetAdminConcatenada!$B:$B, 0)), ISNUMBER(SEARCH($A72,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ISNUMBER(SEARCH($A72, INDEX(AsistenciaJetAdminConcatenada!$D:$D, MATCH(1, (AsistenciaJetAdminConcatenada!$A:$A=DV$2)*(AsistenciaJetAdminConcatenada!$B:$B=DV$1), 0)), 1))),  0.5, 0))</f>
        <v>0</v>
      </c>
      <c r="DW72" s="47">
        <f t="array" ref="DW72">IF(AND(ISNUMBER(MATCH(DW$2, AsistenciaJetAdminConcatenada!$A:$A, 0)), ISNUMBER(MATCH(DW$1, AsistenciaJetAdminConcatenada!$B:$B, 0)), ISNUMBER(SEARCH($A72,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ISNUMBER(SEARCH($A72, INDEX(AsistenciaJetAdminConcatenada!$D:$D, MATCH(1, (AsistenciaJetAdminConcatenada!$A:$A=DW$2)*(AsistenciaJetAdminConcatenada!$B:$B=DW$1), 0)), 1))),  0.5, 0))</f>
        <v>0</v>
      </c>
      <c r="DX72" s="47">
        <f t="array" ref="DX72">IF(AND(ISNUMBER(MATCH(DX$2, AsistenciaJetAdminConcatenada!$A:$A, 0)), ISNUMBER(MATCH(DX$1, AsistenciaJetAdminConcatenada!$B:$B, 0)), ISNUMBER(SEARCH($A72,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ISNUMBER(SEARCH($A72, INDEX(AsistenciaJetAdminConcatenada!$D:$D, MATCH(1, (AsistenciaJetAdminConcatenada!$A:$A=DX$2)*(AsistenciaJetAdminConcatenada!$B:$B=DX$1), 0)), 1))),  0.5, 0))</f>
        <v>0</v>
      </c>
      <c r="DY72" s="47">
        <f t="array" ref="DY72">IF(AND(ISNUMBER(MATCH(DY$2, AsistenciaJetAdminConcatenada!$A:$A, 0)), ISNUMBER(MATCH(DY$1, AsistenciaJetAdminConcatenada!$B:$B, 0)), ISNUMBER(SEARCH($A72,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ISNUMBER(SEARCH($A72, INDEX(AsistenciaJetAdminConcatenada!$D:$D, MATCH(1, (AsistenciaJetAdminConcatenada!$A:$A=DY$2)*(AsistenciaJetAdminConcatenada!$B:$B=DY$1), 0)), 1))),  0.5, 0))</f>
        <v>0</v>
      </c>
      <c r="DZ72" s="47">
        <f t="array" ref="DZ72">IF(AND(ISNUMBER(MATCH(DZ$2, AsistenciaJetAdminConcatenada!$A:$A, 0)), ISNUMBER(MATCH(DZ$1, AsistenciaJetAdminConcatenada!$B:$B, 0)), ISNUMBER(SEARCH($A72,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ISNUMBER(SEARCH($A72, INDEX(AsistenciaJetAdminConcatenada!$D:$D, MATCH(1, (AsistenciaJetAdminConcatenada!$A:$A=DZ$2)*(AsistenciaJetAdminConcatenada!$B:$B=DZ$1), 0)), 1))),  0.5, 0))</f>
        <v>0</v>
      </c>
      <c r="EA72" s="47">
        <f t="array" ref="EA72">IF(AND(ISNUMBER(MATCH(EA$2, AsistenciaJetAdminConcatenada!$A:$A, 0)), ISNUMBER(MATCH(EA$1, AsistenciaJetAdminConcatenada!$B:$B, 0)), ISNUMBER(SEARCH($A72,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ISNUMBER(SEARCH($A72, INDEX(AsistenciaJetAdminConcatenada!$D:$D, MATCH(1, (AsistenciaJetAdminConcatenada!$A:$A=EA$2)*(AsistenciaJetAdminConcatenada!$B:$B=EA$1), 0)), 1))),  0.5, 0))</f>
        <v>0</v>
      </c>
      <c r="EB72" s="47">
        <f t="array" ref="EB72">IF(AND(ISNUMBER(MATCH(EB$2, AsistenciaJetAdminConcatenada!$A:$A, 0)), ISNUMBER(MATCH(EB$1, AsistenciaJetAdminConcatenada!$B:$B, 0)), ISNUMBER(SEARCH($A72,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ISNUMBER(SEARCH($A72, INDEX(AsistenciaJetAdminConcatenada!$D:$D, MATCH(1, (AsistenciaJetAdminConcatenada!$A:$A=EB$2)*(AsistenciaJetAdminConcatenada!$B:$B=EB$1), 0)), 1))),  0.5, 0))</f>
        <v>0</v>
      </c>
      <c r="EC72" s="47">
        <f t="array" ref="EC72">IF(AND(ISNUMBER(MATCH(EC$2, AsistenciaJetAdminConcatenada!$A:$A, 0)), ISNUMBER(MATCH(EC$1, AsistenciaJetAdminConcatenada!$B:$B, 0)), ISNUMBER(SEARCH($A72,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ISNUMBER(SEARCH($A72, INDEX(AsistenciaJetAdminConcatenada!$D:$D, MATCH(1, (AsistenciaJetAdminConcatenada!$A:$A=EC$2)*(AsistenciaJetAdminConcatenada!$B:$B=EC$1), 0)), 1))),  0.5, 0))</f>
        <v>0</v>
      </c>
      <c r="ED72" s="47">
        <f t="array" ref="ED72">IF(AND(ISNUMBER(MATCH(ED$2, AsistenciaJetAdminConcatenada!$A:$A, 0)), ISNUMBER(MATCH(ED$1, AsistenciaJetAdminConcatenada!$B:$B, 0)), ISNUMBER(SEARCH($A72,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ISNUMBER(SEARCH($A72, INDEX(AsistenciaJetAdminConcatenada!$D:$D, MATCH(1, (AsistenciaJetAdminConcatenada!$A:$A=ED$2)*(AsistenciaJetAdminConcatenada!$B:$B=ED$1), 0)), 1))),  0.5, 0))</f>
        <v>0</v>
      </c>
      <c r="EE72" s="47">
        <f t="array" ref="EE72">IF(AND(ISNUMBER(MATCH(EE$2, AsistenciaJetAdminConcatenada!$A:$A, 0)), ISNUMBER(MATCH(EE$1, AsistenciaJetAdminConcatenada!$B:$B, 0)), ISNUMBER(SEARCH($A72,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ISNUMBER(SEARCH($A72, INDEX(AsistenciaJetAdminConcatenada!$D:$D, MATCH(1, (AsistenciaJetAdminConcatenada!$A:$A=EE$2)*(AsistenciaJetAdminConcatenada!$B:$B=EE$1), 0)), 1))),  0.5, 0))</f>
        <v>0</v>
      </c>
      <c r="EF72" s="47">
        <f t="array" ref="EF72">IF(AND(ISNUMBER(MATCH(EF$2, AsistenciaJetAdminConcatenada!$A:$A, 0)), ISNUMBER(MATCH(EF$1, AsistenciaJetAdminConcatenada!$B:$B, 0)), ISNUMBER(SEARCH($A72,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ISNUMBER(SEARCH($A72, INDEX(AsistenciaJetAdminConcatenada!$D:$D, MATCH(1, (AsistenciaJetAdminConcatenada!$A:$A=EF$2)*(AsistenciaJetAdminConcatenada!$B:$B=EF$1), 0)), 1))),  0.5, 0))</f>
        <v>0</v>
      </c>
      <c r="EG72" s="47">
        <f t="array" ref="EG72">IF(AND(ISNUMBER(MATCH(EG$2, AsistenciaJetAdminConcatenada!$A:$A, 0)), ISNUMBER(MATCH(EG$1, AsistenciaJetAdminConcatenada!$B:$B, 0)), ISNUMBER(SEARCH($A72,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ISNUMBER(SEARCH($A72, INDEX(AsistenciaJetAdminConcatenada!$D:$D, MATCH(1, (AsistenciaJetAdminConcatenada!$A:$A=EG$2)*(AsistenciaJetAdminConcatenada!$B:$B=EG$1), 0)), 1))),  0.5, 0))</f>
        <v>0</v>
      </c>
      <c r="EH72" s="47">
        <f t="array" ref="EH72">IF(AND(ISNUMBER(MATCH(EH$2, AsistenciaJetAdminConcatenada!$A:$A, 0)), ISNUMBER(MATCH(EH$1, AsistenciaJetAdminConcatenada!$B:$B, 0)), ISNUMBER(SEARCH($A72,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ISNUMBER(SEARCH($A72, INDEX(AsistenciaJetAdminConcatenada!$D:$D, MATCH(1, (AsistenciaJetAdminConcatenada!$A:$A=EH$2)*(AsistenciaJetAdminConcatenada!$B:$B=EH$1), 0)), 1))),  0.5, 0))</f>
        <v>0</v>
      </c>
      <c r="EI72" s="47">
        <f t="array" ref="EI72">IF(AND(ISNUMBER(MATCH(EI$2, AsistenciaJetAdminConcatenada!$A:$A, 0)), ISNUMBER(MATCH(EI$1, AsistenciaJetAdminConcatenada!$B:$B, 0)), ISNUMBER(SEARCH($A72,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ISNUMBER(SEARCH($A72, INDEX(AsistenciaJetAdminConcatenada!$D:$D, MATCH(1, (AsistenciaJetAdminConcatenada!$A:$A=EI$2)*(AsistenciaJetAdminConcatenada!$B:$B=EI$1), 0)), 1))),  0.5, 0))</f>
        <v>0</v>
      </c>
      <c r="EJ72" s="47">
        <f t="array" ref="EJ72">IF(AND(ISNUMBER(MATCH(EJ$2, AsistenciaJetAdminConcatenada!$A:$A, 0)), ISNUMBER(MATCH(EJ$1, AsistenciaJetAdminConcatenada!$B:$B, 0)), ISNUMBER(SEARCH($A72,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ISNUMBER(SEARCH($A72, INDEX(AsistenciaJetAdminConcatenada!$D:$D, MATCH(1, (AsistenciaJetAdminConcatenada!$A:$A=EJ$2)*(AsistenciaJetAdminConcatenada!$B:$B=EJ$1), 0)), 1))),  0.5, 0))</f>
        <v>0</v>
      </c>
      <c r="EK72" s="47">
        <f t="array" ref="EK72">IF(AND(ISNUMBER(MATCH(EK$2, AsistenciaJetAdminConcatenada!$A:$A, 0)), ISNUMBER(MATCH(EK$1, AsistenciaJetAdminConcatenada!$B:$B, 0)), ISNUMBER(SEARCH($A72,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ISNUMBER(SEARCH($A72, INDEX(AsistenciaJetAdminConcatenada!$D:$D, MATCH(1, (AsistenciaJetAdminConcatenada!$A:$A=EK$2)*(AsistenciaJetAdminConcatenada!$B:$B=EK$1), 0)), 1))),  0.5, 0))</f>
        <v>0</v>
      </c>
      <c r="EL72" s="47">
        <f t="array" ref="EL72">IF(AND(ISNUMBER(MATCH(EL$2, AsistenciaJetAdminConcatenada!$A:$A, 0)), ISNUMBER(MATCH(EL$1, AsistenciaJetAdminConcatenada!$B:$B, 0)), ISNUMBER(SEARCH($A72,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ISNUMBER(SEARCH($A72, INDEX(AsistenciaJetAdminConcatenada!$D:$D, MATCH(1, (AsistenciaJetAdminConcatenada!$A:$A=EL$2)*(AsistenciaJetAdminConcatenada!$B:$B=EL$1), 0)), 1))),  0.5, 0))</f>
        <v>0</v>
      </c>
      <c r="EM72" s="47">
        <f t="array" ref="EM72">IF(AND(ISNUMBER(MATCH(EM$2, AsistenciaJetAdminConcatenada!$A:$A, 0)), ISNUMBER(MATCH(EM$1, AsistenciaJetAdminConcatenada!$B:$B, 0)), ISNUMBER(SEARCH($A72,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ISNUMBER(SEARCH($A72, INDEX(AsistenciaJetAdminConcatenada!$D:$D, MATCH(1, (AsistenciaJetAdminConcatenada!$A:$A=EM$2)*(AsistenciaJetAdminConcatenada!$B:$B=EM$1), 0)), 1))),  0.5, 0))</f>
        <v>0</v>
      </c>
      <c r="EN72" s="47">
        <f t="array" ref="EN72">IF(AND(ISNUMBER(MATCH(EN$2, AsistenciaJetAdminConcatenada!$A:$A, 0)), ISNUMBER(MATCH(EN$1, AsistenciaJetAdminConcatenada!$B:$B, 0)), ISNUMBER(SEARCH($A72,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ISNUMBER(SEARCH($A72, INDEX(AsistenciaJetAdminConcatenada!$D:$D, MATCH(1, (AsistenciaJetAdminConcatenada!$A:$A=EN$2)*(AsistenciaJetAdminConcatenada!$B:$B=EN$1), 0)), 1))),  0.5, 0))</f>
        <v>0</v>
      </c>
      <c r="EO72" s="47">
        <f t="array" ref="EO72">IF(AND(ISNUMBER(MATCH(EO$2, AsistenciaJetAdminConcatenada!$A:$A, 0)), ISNUMBER(MATCH(EO$1, AsistenciaJetAdminConcatenada!$B:$B, 0)), ISNUMBER(SEARCH($A72,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ISNUMBER(SEARCH($A72, INDEX(AsistenciaJetAdminConcatenada!$D:$D, MATCH(1, (AsistenciaJetAdminConcatenada!$A:$A=EO$2)*(AsistenciaJetAdminConcatenada!$B:$B=EO$1), 0)), 1))),  0.5, 0))</f>
        <v>0</v>
      </c>
      <c r="EP72" s="47">
        <f t="array" ref="EP72">IF(AND(ISNUMBER(MATCH(EP$2, AsistenciaJetAdminConcatenada!$A:$A, 0)), ISNUMBER(MATCH(EP$1, AsistenciaJetAdminConcatenada!$B:$B, 0)), ISNUMBER(SEARCH($A72,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ISNUMBER(SEARCH($A72, INDEX(AsistenciaJetAdminConcatenada!$D:$D, MATCH(1, (AsistenciaJetAdminConcatenada!$A:$A=EP$2)*(AsistenciaJetAdminConcatenada!$B:$B=EP$1), 0)), 1))),  0.5, 0))</f>
        <v>0</v>
      </c>
      <c r="EQ72" s="47">
        <f t="array" ref="EQ72">IF(AND(ISNUMBER(MATCH(EQ$2, AsistenciaJetAdminConcatenada!$A:$A, 0)), ISNUMBER(MATCH(EQ$1, AsistenciaJetAdminConcatenada!$B:$B, 0)), ISNUMBER(SEARCH($A72,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ISNUMBER(SEARCH($A72, INDEX(AsistenciaJetAdminConcatenada!$D:$D, MATCH(1, (AsistenciaJetAdminConcatenada!$A:$A=EQ$2)*(AsistenciaJetAdminConcatenada!$B:$B=EQ$1), 0)), 1))),  0.5, 0))</f>
        <v>0</v>
      </c>
      <c r="ER72" s="47">
        <f t="array" ref="ER72">IF(AND(ISNUMBER(MATCH(ER$2, AsistenciaJetAdminConcatenada!$A:$A, 0)), ISNUMBER(MATCH(ER$1, AsistenciaJetAdminConcatenada!$B:$B, 0)), ISNUMBER(SEARCH($A72,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ISNUMBER(SEARCH($A72, INDEX(AsistenciaJetAdminConcatenada!$D:$D, MATCH(1, (AsistenciaJetAdminConcatenada!$A:$A=ER$2)*(AsistenciaJetAdminConcatenada!$B:$B=ER$1), 0)), 1))),  0.5, 0))</f>
        <v>0</v>
      </c>
      <c r="ES72" s="47">
        <f t="array" ref="ES72">IF(AND(ISNUMBER(MATCH(ES$2, AsistenciaJetAdminConcatenada!$A:$A, 0)), ISNUMBER(MATCH(ES$1, AsistenciaJetAdminConcatenada!$B:$B, 0)), ISNUMBER(SEARCH($A72,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ISNUMBER(SEARCH($A72, INDEX(AsistenciaJetAdminConcatenada!$D:$D, MATCH(1, (AsistenciaJetAdminConcatenada!$A:$A=ES$2)*(AsistenciaJetAdminConcatenada!$B:$B=ES$1), 0)), 1))),  0.5, 0))</f>
        <v>0</v>
      </c>
      <c r="ET72" s="47">
        <f t="array" ref="ET72">IF(AND(ISNUMBER(MATCH(ET$2, AsistenciaJetAdminConcatenada!$A:$A, 0)), ISNUMBER(MATCH(ET$1, AsistenciaJetAdminConcatenada!$B:$B, 0)), ISNUMBER(SEARCH($A72,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ISNUMBER(SEARCH($A72, INDEX(AsistenciaJetAdminConcatenada!$D:$D, MATCH(1, (AsistenciaJetAdminConcatenada!$A:$A=ET$2)*(AsistenciaJetAdminConcatenada!$B:$B=ET$1), 0)), 1))),  0.5, 0))</f>
        <v>0</v>
      </c>
      <c r="EU72" s="47">
        <f t="array" ref="EU72">IF(AND(ISNUMBER(MATCH(EU$2, AsistenciaJetAdminConcatenada!$A:$A, 0)), ISNUMBER(MATCH(EU$1, AsistenciaJetAdminConcatenada!$B:$B, 0)), ISNUMBER(SEARCH($A72,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ISNUMBER(SEARCH($A72, INDEX(AsistenciaJetAdminConcatenada!$D:$D, MATCH(1, (AsistenciaJetAdminConcatenada!$A:$A=EU$2)*(AsistenciaJetAdminConcatenada!$B:$B=EU$1), 0)), 1))),  0.5, 0))</f>
        <v>0</v>
      </c>
      <c r="EV72" s="47">
        <f t="array" ref="EV72">IF(AND(ISNUMBER(MATCH(EV$2, AsistenciaJetAdminConcatenada!$A:$A, 0)), ISNUMBER(MATCH(EV$1, AsistenciaJetAdminConcatenada!$B:$B, 0)), ISNUMBER(SEARCH($A72,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ISNUMBER(SEARCH($A72, INDEX(AsistenciaJetAdminConcatenada!$D:$D, MATCH(1, (AsistenciaJetAdminConcatenada!$A:$A=EV$2)*(AsistenciaJetAdminConcatenada!$B:$B=EV$1), 0)), 1))),  0.5, 0))</f>
        <v>0</v>
      </c>
      <c r="EW72" s="47">
        <f t="array" ref="EW72">IF(AND(ISNUMBER(MATCH(EW$2, AsistenciaJetAdminConcatenada!$A:$A, 0)), ISNUMBER(MATCH(EW$1, AsistenciaJetAdminConcatenada!$B:$B, 0)), ISNUMBER(SEARCH($A72,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ISNUMBER(SEARCH($A72, INDEX(AsistenciaJetAdminConcatenada!$D:$D, MATCH(1, (AsistenciaJetAdminConcatenada!$A:$A=EW$2)*(AsistenciaJetAdminConcatenada!$B:$B=EW$1), 0)), 1))),  0.5, 0))</f>
        <v>0</v>
      </c>
      <c r="EX72" s="47">
        <f t="array" ref="EX72">IF(AND(ISNUMBER(MATCH(EX$2, AsistenciaJetAdminConcatenada!$A:$A, 0)), ISNUMBER(MATCH(EX$1, AsistenciaJetAdminConcatenada!$B:$B, 0)), ISNUMBER(SEARCH($A72,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ISNUMBER(SEARCH($A72, INDEX(AsistenciaJetAdminConcatenada!$D:$D, MATCH(1, (AsistenciaJetAdminConcatenada!$A:$A=EX$2)*(AsistenciaJetAdminConcatenada!$B:$B=EX$1), 0)), 1))),  0.5, 0))</f>
        <v>0</v>
      </c>
      <c r="EY72" s="47">
        <f t="array" ref="EY72">IF(AND(ISNUMBER(MATCH(EY$2, AsistenciaJetAdminConcatenada!$A:$A, 0)), ISNUMBER(MATCH(EY$1, AsistenciaJetAdminConcatenada!$B:$B, 0)), ISNUMBER(SEARCH($A72,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ISNUMBER(SEARCH($A72, INDEX(AsistenciaJetAdminConcatenada!$D:$D, MATCH(1, (AsistenciaJetAdminConcatenada!$A:$A=EY$2)*(AsistenciaJetAdminConcatenada!$B:$B=EY$1), 0)), 1))),  0.5, 0))</f>
        <v>0</v>
      </c>
      <c r="EZ72" s="47">
        <f t="array" ref="EZ72">IF(AND(ISNUMBER(MATCH(EZ$2, AsistenciaJetAdminConcatenada!$A:$A, 0)), ISNUMBER(MATCH(EZ$1, AsistenciaJetAdminConcatenada!$B:$B, 0)), ISNUMBER(SEARCH($A72,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ISNUMBER(SEARCH($A72, INDEX(AsistenciaJetAdminConcatenada!$D:$D, MATCH(1, (AsistenciaJetAdminConcatenada!$A:$A=EZ$2)*(AsistenciaJetAdminConcatenada!$B:$B=EZ$1), 0)), 1))),  0.5, 0))</f>
        <v>0</v>
      </c>
      <c r="FA72" s="47">
        <f t="array" ref="FA72">IF(AND(ISNUMBER(MATCH(FA$2, AsistenciaJetAdminConcatenada!$A:$A, 0)), ISNUMBER(MATCH(FA$1, AsistenciaJetAdminConcatenada!$B:$B, 0)), ISNUMBER(SEARCH($A72,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ISNUMBER(SEARCH($A72, INDEX(AsistenciaJetAdminConcatenada!$D:$D, MATCH(1, (AsistenciaJetAdminConcatenada!$A:$A=FA$2)*(AsistenciaJetAdminConcatenada!$B:$B=FA$1), 0)), 1))),  0.5, 0))</f>
        <v>0</v>
      </c>
      <c r="FB72" s="47">
        <f t="array" ref="FB72">IF(AND(ISNUMBER(MATCH(FB$2, AsistenciaJetAdminConcatenada!$A:$A, 0)), ISNUMBER(MATCH(FB$1, AsistenciaJetAdminConcatenada!$B:$B, 0)), ISNUMBER(SEARCH($A72,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ISNUMBER(SEARCH($A72, INDEX(AsistenciaJetAdminConcatenada!$D:$D, MATCH(1, (AsistenciaJetAdminConcatenada!$A:$A=FB$2)*(AsistenciaJetAdminConcatenada!$B:$B=FB$1), 0)), 1))),  0.5, 0))</f>
        <v>0</v>
      </c>
      <c r="FC72" s="47">
        <f t="array" ref="FC72">IF(AND(ISNUMBER(MATCH(FC$2, AsistenciaJetAdminConcatenada!$A:$A, 0)), ISNUMBER(MATCH(FC$1, AsistenciaJetAdminConcatenada!$B:$B, 0)), ISNUMBER(SEARCH($A72,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ISNUMBER(SEARCH($A72, INDEX(AsistenciaJetAdminConcatenada!$D:$D, MATCH(1, (AsistenciaJetAdminConcatenada!$A:$A=FC$2)*(AsistenciaJetAdminConcatenada!$B:$B=FC$1), 0)), 1))),  0.5, 0))</f>
        <v>0</v>
      </c>
      <c r="FD72" s="47">
        <f t="array" ref="FD72">IF(AND(ISNUMBER(MATCH(FD$2, AsistenciaJetAdminConcatenada!$A:$A, 0)), ISNUMBER(MATCH(FD$1, AsistenciaJetAdminConcatenada!$B:$B, 0)), ISNUMBER(SEARCH($A72,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ISNUMBER(SEARCH($A72, INDEX(AsistenciaJetAdminConcatenada!$D:$D, MATCH(1, (AsistenciaJetAdminConcatenada!$A:$A=FD$2)*(AsistenciaJetAdminConcatenada!$B:$B=FD$1), 0)), 1))),  0.5, 0))</f>
        <v>0</v>
      </c>
      <c r="FE72" s="47">
        <f t="array" ref="FE72">IF(AND(ISNUMBER(MATCH(FE$2, AsistenciaJetAdminConcatenada!$A:$A, 0)), ISNUMBER(MATCH(FE$1, AsistenciaJetAdminConcatenada!$B:$B, 0)), ISNUMBER(SEARCH($A72,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ISNUMBER(SEARCH($A72, INDEX(AsistenciaJetAdminConcatenada!$D:$D, MATCH(1, (AsistenciaJetAdminConcatenada!$A:$A=FE$2)*(AsistenciaJetAdminConcatenada!$B:$B=FE$1), 0)), 1))),  0.5, 0))</f>
        <v>0</v>
      </c>
      <c r="FF72" s="47">
        <f t="array" ref="FF72">IF(AND(ISNUMBER(MATCH(FF$2, AsistenciaJetAdminConcatenada!$A:$A, 0)), ISNUMBER(MATCH(FF$1, AsistenciaJetAdminConcatenada!$B:$B, 0)), ISNUMBER(SEARCH($A72,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ISNUMBER(SEARCH($A72, INDEX(AsistenciaJetAdminConcatenada!$D:$D, MATCH(1, (AsistenciaJetAdminConcatenada!$A:$A=FF$2)*(AsistenciaJetAdminConcatenada!$B:$B=FF$1), 0)), 1))),  0.5, 0))</f>
        <v>0</v>
      </c>
      <c r="FG72" s="47">
        <f t="array" ref="FG72">IF(AND(ISNUMBER(MATCH(FG$2, AsistenciaJetAdminConcatenada!$A:$A, 0)), ISNUMBER(MATCH(FG$1, AsistenciaJetAdminConcatenada!$B:$B, 0)), ISNUMBER(SEARCH($A72,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ISNUMBER(SEARCH($A72, INDEX(AsistenciaJetAdminConcatenada!$D:$D, MATCH(1, (AsistenciaJetAdminConcatenada!$A:$A=FG$2)*(AsistenciaJetAdminConcatenada!$B:$B=FG$1), 0)), 1))),  0.5, 0))</f>
        <v>0</v>
      </c>
      <c r="FH72" s="47">
        <f t="array" ref="FH72">IF(AND(ISNUMBER(MATCH(FH$2, AsistenciaJetAdminConcatenada!$A:$A, 0)), ISNUMBER(MATCH(FH$1, AsistenciaJetAdminConcatenada!$B:$B, 0)), ISNUMBER(SEARCH($A72,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ISNUMBER(SEARCH($A72, INDEX(AsistenciaJetAdminConcatenada!$D:$D, MATCH(1, (AsistenciaJetAdminConcatenada!$A:$A=FH$2)*(AsistenciaJetAdminConcatenada!$B:$B=FH$1), 0)), 1))),  0.5, 0))</f>
        <v>0</v>
      </c>
      <c r="FI72" s="47">
        <f t="array" ref="FI72">IF(AND(ISNUMBER(MATCH(FI$2, AsistenciaJetAdminConcatenada!$A:$A, 0)), ISNUMBER(MATCH(FI$1, AsistenciaJetAdminConcatenada!$B:$B, 0)), ISNUMBER(SEARCH($A72,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ISNUMBER(SEARCH($A72, INDEX(AsistenciaJetAdminConcatenada!$D:$D, MATCH(1, (AsistenciaJetAdminConcatenada!$A:$A=FI$2)*(AsistenciaJetAdminConcatenada!$B:$B=FI$1), 0)), 1))),  0.5, 0))</f>
        <v>0</v>
      </c>
      <c r="FJ72" s="47">
        <f t="array" ref="FJ72">IF(AND(ISNUMBER(MATCH(FJ$2, AsistenciaJetAdminConcatenada!$A:$A, 0)), ISNUMBER(MATCH(FJ$1, AsistenciaJetAdminConcatenada!$B:$B, 0)), ISNUMBER(SEARCH($A72,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ISNUMBER(SEARCH($A72, INDEX(AsistenciaJetAdminConcatenada!$D:$D, MATCH(1, (AsistenciaJetAdminConcatenada!$A:$A=FJ$2)*(AsistenciaJetAdminConcatenada!$B:$B=FJ$1), 0)), 1))),  0.5, 0))</f>
        <v>0</v>
      </c>
      <c r="FK72" s="47">
        <f t="array" ref="FK72">IF(AND(ISNUMBER(MATCH(FK$2, AsistenciaJetAdminConcatenada!$A:$A, 0)), ISNUMBER(MATCH(FK$1, AsistenciaJetAdminConcatenada!$B:$B, 0)), ISNUMBER(SEARCH($A72,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ISNUMBER(SEARCH($A72, INDEX(AsistenciaJetAdminConcatenada!$D:$D, MATCH(1, (AsistenciaJetAdminConcatenada!$A:$A=FK$2)*(AsistenciaJetAdminConcatenada!$B:$B=FK$1), 0)), 1))),  0.5, 0))</f>
        <v>0</v>
      </c>
      <c r="FL72" s="47">
        <f t="array" ref="FL72">IF(AND(ISNUMBER(MATCH(FL$2, AsistenciaJetAdminConcatenada!$A:$A, 0)), ISNUMBER(MATCH(FL$1, AsistenciaJetAdminConcatenada!$B:$B, 0)), ISNUMBER(SEARCH($A72,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ISNUMBER(SEARCH($A72, INDEX(AsistenciaJetAdminConcatenada!$D:$D, MATCH(1, (AsistenciaJetAdminConcatenada!$A:$A=FL$2)*(AsistenciaJetAdminConcatenada!$B:$B=FL$1), 0)), 1))),  0.5, 0))</f>
        <v>0</v>
      </c>
      <c r="FM72" s="47">
        <f t="array" ref="FM72">IF(AND(ISNUMBER(MATCH(FM$2, AsistenciaJetAdminConcatenada!$A:$A, 0)), ISNUMBER(MATCH(FM$1, AsistenciaJetAdminConcatenada!$B:$B, 0)), ISNUMBER(SEARCH($A72,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ISNUMBER(SEARCH($A72, INDEX(AsistenciaJetAdminConcatenada!$D:$D, MATCH(1, (AsistenciaJetAdminConcatenada!$A:$A=FM$2)*(AsistenciaJetAdminConcatenada!$B:$B=FM$1), 0)), 1))),  0.5, 0))</f>
        <v>0</v>
      </c>
      <c r="FN72" s="47">
        <f t="array" ref="FN72">IF(AND(ISNUMBER(MATCH(FN$2, AsistenciaJetAdminConcatenada!$A:$A, 0)), ISNUMBER(MATCH(FN$1, AsistenciaJetAdminConcatenada!$B:$B, 0)), ISNUMBER(SEARCH($A72,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ISNUMBER(SEARCH($A72, INDEX(AsistenciaJetAdminConcatenada!$D:$D, MATCH(1, (AsistenciaJetAdminConcatenada!$A:$A=FN$2)*(AsistenciaJetAdminConcatenada!$B:$B=FN$1), 0)), 1))),  0.5, 0))</f>
        <v>0</v>
      </c>
      <c r="FO72" s="47">
        <f t="array" ref="FO72">IF(AND(ISNUMBER(MATCH(FO$2, AsistenciaJetAdminConcatenada!$A:$A, 0)), ISNUMBER(MATCH(FO$1, AsistenciaJetAdminConcatenada!$B:$B, 0)), ISNUMBER(SEARCH($A72,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ISNUMBER(SEARCH($A72, INDEX(AsistenciaJetAdminConcatenada!$D:$D, MATCH(1, (AsistenciaJetAdminConcatenada!$A:$A=FO$2)*(AsistenciaJetAdminConcatenada!$B:$B=FO$1), 0)), 1))),  0.5, 0))</f>
        <v>0</v>
      </c>
      <c r="FP72" s="47">
        <f t="array" ref="FP72">IF(AND(ISNUMBER(MATCH(FP$2, AsistenciaJetAdminConcatenada!$A:$A, 0)), ISNUMBER(MATCH(FP$1, AsistenciaJetAdminConcatenada!$B:$B, 0)), ISNUMBER(SEARCH($A72,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ISNUMBER(SEARCH($A72, INDEX(AsistenciaJetAdminConcatenada!$D:$D, MATCH(1, (AsistenciaJetAdminConcatenada!$A:$A=FP$2)*(AsistenciaJetAdminConcatenada!$B:$B=FP$1), 0)), 1))),  0.5, 0))</f>
        <v>0</v>
      </c>
      <c r="FQ72" s="47">
        <f t="array" ref="FQ72">IF(AND(ISNUMBER(MATCH(FQ$2, AsistenciaJetAdminConcatenada!$A:$A, 0)), ISNUMBER(MATCH(FQ$1, AsistenciaJetAdminConcatenada!$B:$B, 0)), ISNUMBER(SEARCH($A72,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ISNUMBER(SEARCH($A72, INDEX(AsistenciaJetAdminConcatenada!$D:$D, MATCH(1, (AsistenciaJetAdminConcatenada!$A:$A=FQ$2)*(AsistenciaJetAdminConcatenada!$B:$B=FQ$1), 0)), 1))),  0.5, 0))</f>
        <v>0</v>
      </c>
      <c r="FR72" s="47">
        <f t="array" ref="FR72">IF(AND(ISNUMBER(MATCH(FR$2, AsistenciaJetAdminConcatenada!$A:$A, 0)), ISNUMBER(MATCH(FR$1, AsistenciaJetAdminConcatenada!$B:$B, 0)), ISNUMBER(SEARCH($A72,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ISNUMBER(SEARCH($A72, INDEX(AsistenciaJetAdminConcatenada!$D:$D, MATCH(1, (AsistenciaJetAdminConcatenada!$A:$A=FR$2)*(AsistenciaJetAdminConcatenada!$B:$B=FR$1), 0)), 1))),  0.5, 0))</f>
        <v>0</v>
      </c>
      <c r="FS72" s="47">
        <f t="array" ref="FS72">IF(AND(ISNUMBER(MATCH(FS$2, AsistenciaJetAdminConcatenada!$A:$A, 0)), ISNUMBER(MATCH(FS$1, AsistenciaJetAdminConcatenada!$B:$B, 0)), ISNUMBER(SEARCH($A72,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ISNUMBER(SEARCH($A72, INDEX(AsistenciaJetAdminConcatenada!$D:$D, MATCH(1, (AsistenciaJetAdminConcatenada!$A:$A=FS$2)*(AsistenciaJetAdminConcatenada!$B:$B=FS$1), 0)), 1))),  0.5, 0))</f>
        <v>0</v>
      </c>
      <c r="FT72" s="47">
        <f t="array" ref="FT72">IF(AND(ISNUMBER(MATCH(FT$2, AsistenciaJetAdminConcatenada!$A:$A, 0)), ISNUMBER(MATCH(FT$1, AsistenciaJetAdminConcatenada!$B:$B, 0)), ISNUMBER(SEARCH($A72,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ISNUMBER(SEARCH($A72, INDEX(AsistenciaJetAdminConcatenada!$D:$D, MATCH(1, (AsistenciaJetAdminConcatenada!$A:$A=FT$2)*(AsistenciaJetAdminConcatenada!$B:$B=FT$1), 0)), 1))),  0.5, 0))</f>
        <v>0</v>
      </c>
      <c r="FU72" s="47">
        <f t="array" ref="FU72">IF(AND(ISNUMBER(MATCH(FU$2, AsistenciaJetAdminConcatenada!$A:$A, 0)), ISNUMBER(MATCH(FU$1, AsistenciaJetAdminConcatenada!$B:$B, 0)), ISNUMBER(SEARCH($A72,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ISNUMBER(SEARCH($A72, INDEX(AsistenciaJetAdminConcatenada!$D:$D, MATCH(1, (AsistenciaJetAdminConcatenada!$A:$A=FU$2)*(AsistenciaJetAdminConcatenada!$B:$B=FU$1), 0)), 1))),  0.5, 0))</f>
        <v>0</v>
      </c>
      <c r="FV72" s="47">
        <f t="array" ref="FV72">IF(AND(ISNUMBER(MATCH(FV$2, AsistenciaJetAdminConcatenada!$A:$A, 0)), ISNUMBER(MATCH(FV$1, AsistenciaJetAdminConcatenada!$B:$B, 0)), ISNUMBER(SEARCH($A72,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ISNUMBER(SEARCH($A72, INDEX(AsistenciaJetAdminConcatenada!$D:$D, MATCH(1, (AsistenciaJetAdminConcatenada!$A:$A=FV$2)*(AsistenciaJetAdminConcatenada!$B:$B=FV$1), 0)), 1))),  0.5, 0))</f>
        <v>0</v>
      </c>
      <c r="FW72" s="47">
        <f t="array" ref="FW72">IF(AND(ISNUMBER(MATCH(FW$2, AsistenciaJetAdminConcatenada!$A:$A, 0)), ISNUMBER(MATCH(FW$1, AsistenciaJetAdminConcatenada!$B:$B, 0)), ISNUMBER(SEARCH($A72,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ISNUMBER(SEARCH($A72, INDEX(AsistenciaJetAdminConcatenada!$D:$D, MATCH(1, (AsistenciaJetAdminConcatenada!$A:$A=FW$2)*(AsistenciaJetAdminConcatenada!$B:$B=FW$1), 0)), 1))),  0.5, 0))</f>
        <v>0</v>
      </c>
      <c r="FX72" s="47">
        <f t="array" ref="FX72">IF(AND(ISNUMBER(MATCH(FX$2, AsistenciaJetAdminConcatenada!$A:$A, 0)), ISNUMBER(MATCH(FX$1, AsistenciaJetAdminConcatenada!$B:$B, 0)), ISNUMBER(SEARCH($A72,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ISNUMBER(SEARCH($A72, INDEX(AsistenciaJetAdminConcatenada!$D:$D, MATCH(1, (AsistenciaJetAdminConcatenada!$A:$A=FX$2)*(AsistenciaJetAdminConcatenada!$B:$B=FX$1), 0)), 1))),  0.5, 0))</f>
        <v>0</v>
      </c>
      <c r="FY72" s="47">
        <f t="array" ref="FY72">IF(AND(ISNUMBER(MATCH(FY$2, AsistenciaJetAdminConcatenada!$A:$A, 0)), ISNUMBER(MATCH(FY$1, AsistenciaJetAdminConcatenada!$B:$B, 0)), ISNUMBER(SEARCH($A72,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ISNUMBER(SEARCH($A72, INDEX(AsistenciaJetAdminConcatenada!$D:$D, MATCH(1, (AsistenciaJetAdminConcatenada!$A:$A=FY$2)*(AsistenciaJetAdminConcatenada!$B:$B=FY$1), 0)), 1))),  0.5, 0))</f>
        <v>0</v>
      </c>
      <c r="FZ72" s="47">
        <f t="array" ref="FZ72">IF(AND(ISNUMBER(MATCH(FZ$2, AsistenciaJetAdminConcatenada!$A:$A, 0)), ISNUMBER(MATCH(FZ$1, AsistenciaJetAdminConcatenada!$B:$B, 0)), ISNUMBER(SEARCH($A72,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ISNUMBER(SEARCH($A72, INDEX(AsistenciaJetAdminConcatenada!$D:$D, MATCH(1, (AsistenciaJetAdminConcatenada!$A:$A=FZ$2)*(AsistenciaJetAdminConcatenada!$B:$B=FZ$1), 0)), 1))),  0.5, 0))</f>
        <v>0</v>
      </c>
      <c r="GA72" s="47">
        <f t="array" ref="GA72">IF(AND(ISNUMBER(MATCH(GA$2, AsistenciaJetAdminConcatenada!$A:$A, 0)), ISNUMBER(MATCH(GA$1, AsistenciaJetAdminConcatenada!$B:$B, 0)), ISNUMBER(SEARCH($A72,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ISNUMBER(SEARCH($A72, INDEX(AsistenciaJetAdminConcatenada!$D:$D, MATCH(1, (AsistenciaJetAdminConcatenada!$A:$A=GA$2)*(AsistenciaJetAdminConcatenada!$B:$B=GA$1), 0)), 1))),  0.5, 0))</f>
        <v>0</v>
      </c>
      <c r="GB72" s="47">
        <f t="array" ref="GB72">IF(AND(ISNUMBER(MATCH(GB$2, AsistenciaJetAdminConcatenada!$A:$A, 0)), ISNUMBER(MATCH(GB$1, AsistenciaJetAdminConcatenada!$B:$B, 0)), ISNUMBER(SEARCH($A72,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ISNUMBER(SEARCH($A72, INDEX(AsistenciaJetAdminConcatenada!$D:$D, MATCH(1, (AsistenciaJetAdminConcatenada!$A:$A=GB$2)*(AsistenciaJetAdminConcatenada!$B:$B=GB$1), 0)), 1))),  0.5, 0))</f>
        <v>0</v>
      </c>
      <c r="GC72" s="47">
        <f t="array" ref="GC72">IF(AND(ISNUMBER(MATCH(GC$2, AsistenciaJetAdminConcatenada!$A:$A, 0)), ISNUMBER(MATCH(GC$1, AsistenciaJetAdminConcatenada!$B:$B, 0)), ISNUMBER(SEARCH($A72,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ISNUMBER(SEARCH($A72, INDEX(AsistenciaJetAdminConcatenada!$D:$D, MATCH(1, (AsistenciaJetAdminConcatenada!$A:$A=GC$2)*(AsistenciaJetAdminConcatenada!$B:$B=GC$1), 0)), 1))),  0.5, 0))</f>
        <v>0</v>
      </c>
      <c r="GD72" s="47">
        <f t="array" ref="GD72">IF(AND(ISNUMBER(MATCH(GD$2, AsistenciaJetAdminConcatenada!$A:$A, 0)), ISNUMBER(MATCH(GD$1, AsistenciaJetAdminConcatenada!$B:$B, 0)), ISNUMBER(SEARCH($A72,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ISNUMBER(SEARCH($A72, INDEX(AsistenciaJetAdminConcatenada!$D:$D, MATCH(1, (AsistenciaJetAdminConcatenada!$A:$A=GD$2)*(AsistenciaJetAdminConcatenada!$B:$B=GD$1), 0)), 1))),  0.5, 0))</f>
        <v>0</v>
      </c>
      <c r="GE72" s="47">
        <f t="array" ref="GE72">IF(AND(ISNUMBER(MATCH(GE$2, AsistenciaJetAdminConcatenada!$A:$A, 0)), ISNUMBER(MATCH(GE$1, AsistenciaJetAdminConcatenada!$B:$B, 0)), ISNUMBER(SEARCH($A72,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ISNUMBER(SEARCH($A72, INDEX(AsistenciaJetAdminConcatenada!$D:$D, MATCH(1, (AsistenciaJetAdminConcatenada!$A:$A=GE$2)*(AsistenciaJetAdminConcatenada!$B:$B=GE$1), 0)), 1))),  0.5, 0))</f>
        <v>0</v>
      </c>
      <c r="GF72" s="47">
        <f t="array" ref="GF72">IF(AND(ISNUMBER(MATCH(GF$2, AsistenciaJetAdminConcatenada!$A:$A, 0)), ISNUMBER(MATCH(GF$1, AsistenciaJetAdminConcatenada!$B:$B, 0)), ISNUMBER(SEARCH($A72,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ISNUMBER(SEARCH($A72, INDEX(AsistenciaJetAdminConcatenada!$D:$D, MATCH(1, (AsistenciaJetAdminConcatenada!$A:$A=GF$2)*(AsistenciaJetAdminConcatenada!$B:$B=GF$1), 0)), 1))),  0.5, 0))</f>
        <v>0</v>
      </c>
      <c r="GG72" s="47">
        <f t="array" ref="GG72">IF(AND(ISNUMBER(MATCH(GG$2, AsistenciaJetAdminConcatenada!$A:$A, 0)), ISNUMBER(MATCH(GG$1, AsistenciaJetAdminConcatenada!$B:$B, 0)), ISNUMBER(SEARCH($A72,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ISNUMBER(SEARCH($A72, INDEX(AsistenciaJetAdminConcatenada!$D:$D, MATCH(1, (AsistenciaJetAdminConcatenada!$A:$A=GG$2)*(AsistenciaJetAdminConcatenada!$B:$B=GG$1), 0)), 1))),  0.5, 0))</f>
        <v>0</v>
      </c>
      <c r="GH72" s="47">
        <f t="array" ref="GH72">IF(AND(ISNUMBER(MATCH(GH$2, AsistenciaJetAdminConcatenada!$A:$A, 0)), ISNUMBER(MATCH(GH$1, AsistenciaJetAdminConcatenada!$B:$B, 0)), ISNUMBER(SEARCH($A72,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ISNUMBER(SEARCH($A72, INDEX(AsistenciaJetAdminConcatenada!$D:$D, MATCH(1, (AsistenciaJetAdminConcatenada!$A:$A=GH$2)*(AsistenciaJetAdminConcatenada!$B:$B=GH$1), 0)), 1))),  0.5, 0))</f>
        <v>0</v>
      </c>
      <c r="GI72" s="47">
        <f t="array" ref="GI72">IF(AND(ISNUMBER(MATCH(GI$2, AsistenciaJetAdminConcatenada!$A:$A, 0)), ISNUMBER(MATCH(GI$1, AsistenciaJetAdminConcatenada!$B:$B, 0)), ISNUMBER(SEARCH($A72,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ISNUMBER(SEARCH($A72, INDEX(AsistenciaJetAdminConcatenada!$D:$D, MATCH(1, (AsistenciaJetAdminConcatenada!$A:$A=GI$2)*(AsistenciaJetAdminConcatenada!$B:$B=GI$1), 0)), 1))),  0.5, 0))</f>
        <v>0</v>
      </c>
      <c r="GJ72" s="47">
        <f t="array" ref="GJ72">IF(AND(ISNUMBER(MATCH(GJ$2, AsistenciaJetAdminConcatenada!$A:$A, 0)), ISNUMBER(MATCH(GJ$1, AsistenciaJetAdminConcatenada!$B:$B, 0)), ISNUMBER(SEARCH($A72,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ISNUMBER(SEARCH($A72, INDEX(AsistenciaJetAdminConcatenada!$D:$D, MATCH(1, (AsistenciaJetAdminConcatenada!$A:$A=GJ$2)*(AsistenciaJetAdminConcatenada!$B:$B=GJ$1), 0)), 1))),  0.5, 0))</f>
        <v>0</v>
      </c>
      <c r="GK72" s="47">
        <f t="array" ref="GK72">IF(AND(ISNUMBER(MATCH(GK$2, AsistenciaJetAdminConcatenada!$A:$A, 0)), ISNUMBER(MATCH(GK$1, AsistenciaJetAdminConcatenada!$B:$B, 0)), ISNUMBER(SEARCH($A72,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ISNUMBER(SEARCH($A72, INDEX(AsistenciaJetAdminConcatenada!$D:$D, MATCH(1, (AsistenciaJetAdminConcatenada!$A:$A=GK$2)*(AsistenciaJetAdminConcatenada!$B:$B=GK$1), 0)), 1))),  0.5, 0))</f>
        <v>0</v>
      </c>
      <c r="GL72" s="47">
        <f t="array" ref="GL72">IF(AND(ISNUMBER(MATCH(GL$2, AsistenciaJetAdminConcatenada!$A:$A, 0)), ISNUMBER(MATCH(GL$1, AsistenciaJetAdminConcatenada!$B:$B, 0)), ISNUMBER(SEARCH($A72,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ISNUMBER(SEARCH($A72, INDEX(AsistenciaJetAdminConcatenada!$D:$D, MATCH(1, (AsistenciaJetAdminConcatenada!$A:$A=GL$2)*(AsistenciaJetAdminConcatenada!$B:$B=GL$1), 0)), 1))),  0.5, 0))</f>
        <v>0</v>
      </c>
      <c r="GM72" s="47">
        <f t="array" ref="GM72">IF(AND(ISNUMBER(MATCH(GM$2, AsistenciaJetAdminConcatenada!$A:$A, 0)), ISNUMBER(MATCH(GM$1, AsistenciaJetAdminConcatenada!$B:$B, 0)), ISNUMBER(SEARCH($A72,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ISNUMBER(SEARCH($A72, INDEX(AsistenciaJetAdminConcatenada!$D:$D, MATCH(1, (AsistenciaJetAdminConcatenada!$A:$A=GM$2)*(AsistenciaJetAdminConcatenada!$B:$B=GM$1), 0)), 1))),  0.5, 0))</f>
        <v>0</v>
      </c>
      <c r="GN72" s="47">
        <f t="array" ref="GN72">IF(AND(ISNUMBER(MATCH(GN$2, AsistenciaJetAdminConcatenada!$A:$A, 0)), ISNUMBER(MATCH(GN$1, AsistenciaJetAdminConcatenada!$B:$B, 0)), ISNUMBER(SEARCH($A72,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ISNUMBER(SEARCH($A72, INDEX(AsistenciaJetAdminConcatenada!$D:$D, MATCH(1, (AsistenciaJetAdminConcatenada!$A:$A=GN$2)*(AsistenciaJetAdminConcatenada!$B:$B=GN$1), 0)), 1))),  0.5, 0))</f>
        <v>0</v>
      </c>
      <c r="GO72" s="47">
        <f t="array" ref="GO72">IF(AND(ISNUMBER(MATCH(GO$2, AsistenciaJetAdminConcatenada!$A:$A, 0)), ISNUMBER(MATCH(GO$1, AsistenciaJetAdminConcatenada!$B:$B, 0)), ISNUMBER(SEARCH($A72,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ISNUMBER(SEARCH($A72, INDEX(AsistenciaJetAdminConcatenada!$D:$D, MATCH(1, (AsistenciaJetAdminConcatenada!$A:$A=GO$2)*(AsistenciaJetAdminConcatenada!$B:$B=GO$1), 0)), 1))),  0.5, 0))</f>
        <v>0</v>
      </c>
      <c r="GP72" s="47">
        <f t="array" ref="GP72">IF(AND(ISNUMBER(MATCH(GP$2, AsistenciaJetAdminConcatenada!$A:$A, 0)), ISNUMBER(MATCH(GP$1, AsistenciaJetAdminConcatenada!$B:$B, 0)), ISNUMBER(SEARCH($A72,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ISNUMBER(SEARCH($A72, INDEX(AsistenciaJetAdminConcatenada!$D:$D, MATCH(1, (AsistenciaJetAdminConcatenada!$A:$A=GP$2)*(AsistenciaJetAdminConcatenada!$B:$B=GP$1), 0)), 1))),  0.5, 0))</f>
        <v>0</v>
      </c>
      <c r="GQ72" s="47">
        <f t="array" ref="GQ72">IF(AND(ISNUMBER(MATCH(GQ$2, AsistenciaJetAdminConcatenada!$A:$A, 0)), ISNUMBER(MATCH(GQ$1, AsistenciaJetAdminConcatenada!$B:$B, 0)), ISNUMBER(SEARCH($A72,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ISNUMBER(SEARCH($A72, INDEX(AsistenciaJetAdminConcatenada!$D:$D, MATCH(1, (AsistenciaJetAdminConcatenada!$A:$A=GQ$2)*(AsistenciaJetAdminConcatenada!$B:$B=GQ$1), 0)), 1))),  0.5, 0))</f>
        <v>0</v>
      </c>
      <c r="GR72" s="47">
        <f t="array" ref="GR72">IF(AND(ISNUMBER(MATCH(GR$2, AsistenciaJetAdminConcatenada!$A:$A, 0)), ISNUMBER(MATCH(GR$1, AsistenciaJetAdminConcatenada!$B:$B, 0)), ISNUMBER(SEARCH($A72,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ISNUMBER(SEARCH($A72, INDEX(AsistenciaJetAdminConcatenada!$D:$D, MATCH(1, (AsistenciaJetAdminConcatenada!$A:$A=GR$2)*(AsistenciaJetAdminConcatenada!$B:$B=GR$1), 0)), 1))),  0.5, 0))</f>
        <v>0</v>
      </c>
      <c r="GS72" s="47">
        <f t="array" ref="GS72">IF(AND(ISNUMBER(MATCH(GS$2, AsistenciaJetAdminConcatenada!$A:$A, 0)), ISNUMBER(MATCH(GS$1, AsistenciaJetAdminConcatenada!$B:$B, 0)), ISNUMBER(SEARCH($A72,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ISNUMBER(SEARCH($A72, INDEX(AsistenciaJetAdminConcatenada!$D:$D, MATCH(1, (AsistenciaJetAdminConcatenada!$A:$A=GS$2)*(AsistenciaJetAdminConcatenada!$B:$B=GS$1), 0)), 1))),  0.5, 0))</f>
        <v>0</v>
      </c>
      <c r="GT72" s="47">
        <f t="array" ref="GT72">IF(AND(ISNUMBER(MATCH(GT$2, AsistenciaJetAdminConcatenada!$A:$A, 0)), ISNUMBER(MATCH(GT$1, AsistenciaJetAdminConcatenada!$B:$B, 0)), ISNUMBER(SEARCH($A72,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ISNUMBER(SEARCH($A72, INDEX(AsistenciaJetAdminConcatenada!$D:$D, MATCH(1, (AsistenciaJetAdminConcatenada!$A:$A=GT$2)*(AsistenciaJetAdminConcatenada!$B:$B=GT$1), 0)), 1))),  0.5, 0))</f>
        <v>0</v>
      </c>
      <c r="GU72" s="47">
        <f t="array" ref="GU72">IF(AND(ISNUMBER(MATCH(GU$2, AsistenciaJetAdminConcatenada!$A:$A, 0)), ISNUMBER(MATCH(GU$1, AsistenciaJetAdminConcatenada!$B:$B, 0)), ISNUMBER(SEARCH($A72,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ISNUMBER(SEARCH($A72, INDEX(AsistenciaJetAdminConcatenada!$D:$D, MATCH(1, (AsistenciaJetAdminConcatenada!$A:$A=GU$2)*(AsistenciaJetAdminConcatenada!$B:$B=GU$1), 0)), 1))),  0.5, 0))</f>
        <v>0</v>
      </c>
      <c r="GV72" s="47">
        <f t="array" ref="GV72">IF(AND(ISNUMBER(MATCH(GV$2, AsistenciaJetAdminConcatenada!$A:$A, 0)), ISNUMBER(MATCH(GV$1, AsistenciaJetAdminConcatenada!$B:$B, 0)), ISNUMBER(SEARCH($A72,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ISNUMBER(SEARCH($A72, INDEX(AsistenciaJetAdminConcatenada!$D:$D, MATCH(1, (AsistenciaJetAdminConcatenada!$A:$A=GV$2)*(AsistenciaJetAdminConcatenada!$B:$B=GV$1), 0)), 1))),  0.5, 0))</f>
        <v>0</v>
      </c>
      <c r="GW72" s="47">
        <f t="array" ref="GW72">IF(AND(ISNUMBER(MATCH(GW$2, AsistenciaJetAdminConcatenada!$A:$A, 0)), ISNUMBER(MATCH(GW$1, AsistenciaJetAdminConcatenada!$B:$B, 0)), ISNUMBER(SEARCH($A72,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ISNUMBER(SEARCH($A72, INDEX(AsistenciaJetAdminConcatenada!$D:$D, MATCH(1, (AsistenciaJetAdminConcatenada!$A:$A=GW$2)*(AsistenciaJetAdminConcatenada!$B:$B=GW$1), 0)), 1))),  0.5, 0))</f>
        <v>0</v>
      </c>
      <c r="GX72" s="47">
        <f t="array" ref="GX72">IF(AND(ISNUMBER(MATCH(GX$2, AsistenciaJetAdminConcatenada!$A:$A, 0)), ISNUMBER(MATCH(GX$1, AsistenciaJetAdminConcatenada!$B:$B, 0)), ISNUMBER(SEARCH($A72,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ISNUMBER(SEARCH($A72, INDEX(AsistenciaJetAdminConcatenada!$D:$D, MATCH(1, (AsistenciaJetAdminConcatenada!$A:$A=GX$2)*(AsistenciaJetAdminConcatenada!$B:$B=GX$1), 0)), 1))),  0.5, 0))</f>
        <v>0</v>
      </c>
      <c r="GY72" s="47">
        <f t="array" ref="GY72">IF(AND(ISNUMBER(MATCH(GY$2, AsistenciaJetAdminConcatenada!$A:$A, 0)), ISNUMBER(MATCH(GY$1, AsistenciaJetAdminConcatenada!$B:$B, 0)), ISNUMBER(SEARCH($A72,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ISNUMBER(SEARCH($A72, INDEX(AsistenciaJetAdminConcatenada!$D:$D, MATCH(1, (AsistenciaJetAdminConcatenada!$A:$A=GY$2)*(AsistenciaJetAdminConcatenada!$B:$B=GY$1), 0)), 1))),  0.5, 0))</f>
        <v>0</v>
      </c>
      <c r="GZ72" s="47">
        <f t="array" ref="GZ72">IF(AND(ISNUMBER(MATCH(GZ$2, AsistenciaJetAdminConcatenada!$A:$A, 0)), ISNUMBER(MATCH(GZ$1, AsistenciaJetAdminConcatenada!$B:$B, 0)), ISNUMBER(SEARCH($A72,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ISNUMBER(SEARCH($A72, INDEX(AsistenciaJetAdminConcatenada!$D:$D, MATCH(1, (AsistenciaJetAdminConcatenada!$A:$A=GZ$2)*(AsistenciaJetAdminConcatenada!$B:$B=GZ$1), 0)), 1))),  0.5, 0))</f>
        <v>0</v>
      </c>
      <c r="HA72" s="47">
        <f t="array" ref="HA72">IF(AND(ISNUMBER(MATCH(HA$2, AsistenciaJetAdminConcatenada!$A:$A, 0)), ISNUMBER(MATCH(HA$1, AsistenciaJetAdminConcatenada!$B:$B, 0)), ISNUMBER(SEARCH($A72,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ISNUMBER(SEARCH($A72, INDEX(AsistenciaJetAdminConcatenada!$D:$D, MATCH(1, (AsistenciaJetAdminConcatenada!$A:$A=HA$2)*(AsistenciaJetAdminConcatenada!$B:$B=HA$1), 0)), 1))),  0.5, 0))</f>
        <v>0</v>
      </c>
      <c r="HB72" s="47">
        <f t="array" ref="HB72">IF(AND(ISNUMBER(MATCH(HB$2, AsistenciaJetAdminConcatenada!$A:$A, 0)), ISNUMBER(MATCH(HB$1, AsistenciaJetAdminConcatenada!$B:$B, 0)), ISNUMBER(SEARCH($A72,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ISNUMBER(SEARCH($A72, INDEX(AsistenciaJetAdminConcatenada!$D:$D, MATCH(1, (AsistenciaJetAdminConcatenada!$A:$A=HB$2)*(AsistenciaJetAdminConcatenada!$B:$B=HB$1), 0)), 1))),  0.5, 0))</f>
        <v>0</v>
      </c>
      <c r="HC72" s="47">
        <f t="array" ref="HC72">IF(AND(ISNUMBER(MATCH(HC$2, AsistenciaJetAdminConcatenada!$A:$A, 0)), ISNUMBER(MATCH(HC$1, AsistenciaJetAdminConcatenada!$B:$B, 0)), ISNUMBER(SEARCH($A72,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ISNUMBER(SEARCH($A72, INDEX(AsistenciaJetAdminConcatenada!$D:$D, MATCH(1, (AsistenciaJetAdminConcatenada!$A:$A=HC$2)*(AsistenciaJetAdminConcatenada!$B:$B=HC$1), 0)), 1))),  0.5, 0))</f>
        <v>0</v>
      </c>
    </row>
    <row r="73" ht="29.25" customHeight="1">
      <c r="A73" s="3">
        <v>182.0</v>
      </c>
      <c r="B73" s="4" t="s">
        <v>240</v>
      </c>
      <c r="C73" s="47">
        <f>SUM(D73:HC73) + ActividadesEspeciales!C73</f>
        <v>50</v>
      </c>
      <c r="D73" s="47">
        <f t="array" ref="D73">IF(AND(ISNUMBER(MATCH(D$2, AsistenciaJetAdminConcatenada!$A:$A, 0)), ISNUMBER(MATCH(D$1, AsistenciaJetAdminConcatenada!$B:$B, 0)), ISNUMBER(SEARCH($A73,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ISNUMBER(SEARCH($A73, INDEX(AsistenciaJetAdminConcatenada!$D:$D, MATCH(1, (AsistenciaJetAdminConcatenada!$A:$A=D$2)*(AsistenciaJetAdminConcatenada!$B:$B=D$1), 0)), 1))),  0.5, 0))</f>
        <v>1</v>
      </c>
      <c r="E73" s="47">
        <f t="array" ref="E73">IF(AND(ISNUMBER(MATCH(E$2, AsistenciaJetAdminConcatenada!$A:$A, 0)), ISNUMBER(MATCH(E$1, AsistenciaJetAdminConcatenada!$B:$B, 0)), ISNUMBER(SEARCH($A73,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ISNUMBER(SEARCH($A73, INDEX(AsistenciaJetAdminConcatenada!$D:$D, MATCH(1, (AsistenciaJetAdminConcatenada!$A:$A=E$2)*(AsistenciaJetAdminConcatenada!$B:$B=E$1), 0)), 1))),  0.5, 0))</f>
        <v>1</v>
      </c>
      <c r="F73" s="47">
        <f t="array" ref="F73">IF(AND(ISNUMBER(MATCH(F$2, AsistenciaJetAdminConcatenada!$A:$A, 0)), ISNUMBER(MATCH(F$1, AsistenciaJetAdminConcatenada!$B:$B, 0)), ISNUMBER(SEARCH($A73,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ISNUMBER(SEARCH($A73, INDEX(AsistenciaJetAdminConcatenada!$D:$D, MATCH(1, (AsistenciaJetAdminConcatenada!$A:$A=F$2)*(AsistenciaJetAdminConcatenada!$B:$B=F$1), 0)), 1))),  0.5, 0))</f>
        <v>1</v>
      </c>
      <c r="G73" s="47">
        <f t="array" ref="G73">IF(AND(ISNUMBER(MATCH(G$2, AsistenciaJetAdminConcatenada!$A:$A, 0)), ISNUMBER(MATCH(G$1, AsistenciaJetAdminConcatenada!$B:$B, 0)), ISNUMBER(SEARCH($A73,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ISNUMBER(SEARCH($A73, INDEX(AsistenciaJetAdminConcatenada!$D:$D, MATCH(1, (AsistenciaJetAdminConcatenada!$A:$A=G$2)*(AsistenciaJetAdminConcatenada!$B:$B=G$1), 0)), 1))),  0.5, 0))</f>
        <v>0.5</v>
      </c>
      <c r="H73" s="47">
        <f t="array" ref="H73">IF(AND(ISNUMBER(MATCH(H$2, AsistenciaJetAdminConcatenada!$A:$A, 0)), ISNUMBER(MATCH(H$1, AsistenciaJetAdminConcatenada!$B:$B, 0)), ISNUMBER(SEARCH($A73,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ISNUMBER(SEARCH($A73, INDEX(AsistenciaJetAdminConcatenada!$D:$D, MATCH(1, (AsistenciaJetAdminConcatenada!$A:$A=H$2)*(AsistenciaJetAdminConcatenada!$B:$B=H$1), 0)), 1))),  0.5, 0))</f>
        <v>0</v>
      </c>
      <c r="I73" s="47">
        <f t="array" ref="I73">IF(AND(ISNUMBER(MATCH(I$2, AsistenciaJetAdminConcatenada!$A:$A, 0)), ISNUMBER(MATCH(I$1, AsistenciaJetAdminConcatenada!$B:$B, 0)), ISNUMBER(SEARCH($A73,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ISNUMBER(SEARCH($A73, INDEX(AsistenciaJetAdminConcatenada!$D:$D, MATCH(1, (AsistenciaJetAdminConcatenada!$A:$A=I$2)*(AsistenciaJetAdminConcatenada!$B:$B=I$1), 0)), 1))),  0.5, 0))</f>
        <v>1</v>
      </c>
      <c r="J73" s="47">
        <f t="array" ref="J73">IF(AND(ISNUMBER(MATCH(J$2, AsistenciaJetAdminConcatenada!$A:$A, 0)), ISNUMBER(MATCH(J$1, AsistenciaJetAdminConcatenada!$B:$B, 0)), ISNUMBER(SEARCH($A73,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ISNUMBER(SEARCH($A73, INDEX(AsistenciaJetAdminConcatenada!$D:$D, MATCH(1, (AsistenciaJetAdminConcatenada!$A:$A=J$2)*(AsistenciaJetAdminConcatenada!$B:$B=J$1), 0)), 1))),  0.5, 0))</f>
        <v>0</v>
      </c>
      <c r="K73" s="47">
        <f t="array" ref="K73">IF(AND(ISNUMBER(MATCH(K$2, AsistenciaJetAdminConcatenada!$A:$A, 0)), ISNUMBER(MATCH(K$1, AsistenciaJetAdminConcatenada!$B:$B, 0)), ISNUMBER(SEARCH($A73,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ISNUMBER(SEARCH($A73, INDEX(AsistenciaJetAdminConcatenada!$D:$D, MATCH(1, (AsistenciaJetAdminConcatenada!$A:$A=K$2)*(AsistenciaJetAdminConcatenada!$B:$B=K$1), 0)), 1))),  0.5, 0))</f>
        <v>1</v>
      </c>
      <c r="L73" s="47">
        <f t="array" ref="L73">IF(AND(ISNUMBER(MATCH(L$2, AsistenciaJetAdminConcatenada!$A:$A, 0)), ISNUMBER(MATCH(L$1, AsistenciaJetAdminConcatenada!$B:$B, 0)), ISNUMBER(SEARCH($A73,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ISNUMBER(SEARCH($A73, INDEX(AsistenciaJetAdminConcatenada!$D:$D, MATCH(1, (AsistenciaJetAdminConcatenada!$A:$A=L$2)*(AsistenciaJetAdminConcatenada!$B:$B=L$1), 0)), 1))),  0.5, 0))</f>
        <v>1</v>
      </c>
      <c r="M73" s="47">
        <f t="array" ref="M73">IF(AND(ISNUMBER(MATCH(M$2, AsistenciaJetAdminConcatenada!$A:$A, 0)), ISNUMBER(MATCH(M$1, AsistenciaJetAdminConcatenada!$B:$B, 0)), ISNUMBER(SEARCH($A73,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ISNUMBER(SEARCH($A73, INDEX(AsistenciaJetAdminConcatenada!$D:$D, MATCH(1, (AsistenciaJetAdminConcatenada!$A:$A=M$2)*(AsistenciaJetAdminConcatenada!$B:$B=M$1), 0)), 1))),  0.5, 0))</f>
        <v>0</v>
      </c>
      <c r="N73" s="47">
        <f t="array" ref="N73">IF(AND(ISNUMBER(MATCH(N$2, AsistenciaJetAdminConcatenada!$A:$A, 0)), ISNUMBER(MATCH(N$1, AsistenciaJetAdminConcatenada!$B:$B, 0)), ISNUMBER(SEARCH($A73,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ISNUMBER(SEARCH($A73, INDEX(AsistenciaJetAdminConcatenada!$D:$D, MATCH(1, (AsistenciaJetAdminConcatenada!$A:$A=N$2)*(AsistenciaJetAdminConcatenada!$B:$B=N$1), 0)), 1))),  0.5, 0))</f>
        <v>0</v>
      </c>
      <c r="O73" s="47">
        <f t="array" ref="O73">IF(AND(ISNUMBER(MATCH(O$2, AsistenciaJetAdminConcatenada!$A:$A, 0)), ISNUMBER(MATCH(O$1, AsistenciaJetAdminConcatenada!$B:$B, 0)), ISNUMBER(SEARCH($A73,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ISNUMBER(SEARCH($A73, INDEX(AsistenciaJetAdminConcatenada!$D:$D, MATCH(1, (AsistenciaJetAdminConcatenada!$A:$A=O$2)*(AsistenciaJetAdminConcatenada!$B:$B=O$1), 0)), 1))),  0.5, 0))</f>
        <v>1</v>
      </c>
      <c r="P73" s="47">
        <f t="array" ref="P73">IF(AND(ISNUMBER(MATCH(P$2, AsistenciaJetAdminConcatenada!$A:$A, 0)), ISNUMBER(MATCH(P$1, AsistenciaJetAdminConcatenada!$B:$B, 0)), ISNUMBER(SEARCH($A73, INDEX(AsistenciaJetAdminConcatenada!$C:$C, MATCH(1, (AsistenciaJetAdminConcatenada!$A:$A=P$2)*(AsistenciaJetAdminConcatenada!$B:$B=P$1), 0)), 1))), 1, IF(AND(ISNUMBER(MATCH(P$2, AsistenciaJetAdminConcatenada!$A:$A, 0)), ISNUMBER(MATCH(P$1, AsistenciaJetAdminConcatenada!$B:$B, 0)), ISNUMBER(SEARCH($A73, INDEX(AsistenciaJetAdminConcatenada!$D:$D, MATCH(1, (AsistenciaJetAdminConcatenada!$A:$A=P$2)*(AsistenciaJetAdminConcatenada!$B:$B=P$1), 0)), 1))),  0.5, 0))</f>
        <v>1</v>
      </c>
      <c r="Q73" s="47">
        <f t="array" ref="Q73">IF(AND(ISNUMBER(MATCH(Q$2, AsistenciaJetAdminConcatenada!$A:$A, 0)), ISNUMBER(MATCH(Q$1, AsistenciaJetAdminConcatenada!$B:$B, 0)), ISNUMBER(SEARCH($A73, INDEX(AsistenciaJetAdminConcatenada!$C:$C, MATCH(1, (AsistenciaJetAdminConcatenada!$A:$A=Q$2)*(AsistenciaJetAdminConcatenada!$B:$B=Q$1), 0)), 1))), 1, IF(AND(ISNUMBER(MATCH(Q$2, AsistenciaJetAdminConcatenada!$A:$A, 0)), ISNUMBER(MATCH(Q$1, AsistenciaJetAdminConcatenada!$B:$B, 0)), ISNUMBER(SEARCH($A73, INDEX(AsistenciaJetAdminConcatenada!$D:$D, MATCH(1, (AsistenciaJetAdminConcatenada!$A:$A=Q$2)*(AsistenciaJetAdminConcatenada!$B:$B=Q$1), 0)), 1))),  0.5, 0))</f>
        <v>1</v>
      </c>
      <c r="R73" s="47">
        <f t="array" ref="R73">IF(AND(ISNUMBER(MATCH(R$2, AsistenciaJetAdminConcatenada!$A:$A, 0)), ISNUMBER(MATCH(R$1, AsistenciaJetAdminConcatenada!$B:$B, 0)), ISNUMBER(SEARCH($A73,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ISNUMBER(SEARCH($A73, INDEX(AsistenciaJetAdminConcatenada!$D:$D, MATCH(1, (AsistenciaJetAdminConcatenada!$A:$A=R$2)*(AsistenciaJetAdminConcatenada!$B:$B=R$1), 0)), 1))),  0.5, 0))</f>
        <v>1</v>
      </c>
      <c r="S73" s="47">
        <f t="array" ref="S73">IF(AND(ISNUMBER(MATCH(S$2, AsistenciaJetAdminConcatenada!$A:$A, 0)), ISNUMBER(MATCH(S$1, AsistenciaJetAdminConcatenada!$B:$B, 0)), ISNUMBER(SEARCH($A73,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ISNUMBER(SEARCH($A73, INDEX(AsistenciaJetAdminConcatenada!$D:$D, MATCH(1, (AsistenciaJetAdminConcatenada!$A:$A=S$2)*(AsistenciaJetAdminConcatenada!$B:$B=S$1), 0)), 1))),  0.5, 0))</f>
        <v>1</v>
      </c>
      <c r="T73" s="47">
        <f t="array" ref="T73">IF(AND(ISNUMBER(MATCH(T$2, AsistenciaJetAdminConcatenada!$A:$A, 0)), ISNUMBER(MATCH(T$1, AsistenciaJetAdminConcatenada!$B:$B, 0)), ISNUMBER(SEARCH($A73,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ISNUMBER(SEARCH($A73, INDEX(AsistenciaJetAdminConcatenada!$D:$D, MATCH(1, (AsistenciaJetAdminConcatenada!$A:$A=T$2)*(AsistenciaJetAdminConcatenada!$B:$B=T$1), 0)), 1))),  0.5, 0))</f>
        <v>0</v>
      </c>
      <c r="U73" s="47">
        <f t="array" ref="U73">IF(AND(ISNUMBER(MATCH(U$2, AsistenciaJetAdminConcatenada!$A:$A, 0)), ISNUMBER(MATCH(U$1, AsistenciaJetAdminConcatenada!$B:$B, 0)), ISNUMBER(SEARCH($A73,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ISNUMBER(SEARCH($A73, INDEX(AsistenciaJetAdminConcatenada!$D:$D, MATCH(1, (AsistenciaJetAdminConcatenada!$A:$A=U$2)*(AsistenciaJetAdminConcatenada!$B:$B=U$1), 0)), 1))),  0.5, 0))</f>
        <v>1</v>
      </c>
      <c r="V73" s="47">
        <f t="array" ref="V73">IF(AND(ISNUMBER(MATCH(V$2, AsistenciaJetAdminConcatenada!$A:$A, 0)), ISNUMBER(MATCH(V$1, AsistenciaJetAdminConcatenada!$B:$B, 0)), ISNUMBER(SEARCH($A73,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ISNUMBER(SEARCH($A73, INDEX(AsistenciaJetAdminConcatenada!$D:$D, MATCH(1, (AsistenciaJetAdminConcatenada!$A:$A=V$2)*(AsistenciaJetAdminConcatenada!$B:$B=V$1), 0)), 1))),  0.5, 0))</f>
        <v>1</v>
      </c>
      <c r="W73" s="47">
        <f t="array" ref="W73">IF(AND(ISNUMBER(MATCH(W$2, AsistenciaJetAdminConcatenada!$A:$A, 0)), ISNUMBER(MATCH(W$1, AsistenciaJetAdminConcatenada!$B:$B, 0)), ISNUMBER(SEARCH($A73,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ISNUMBER(SEARCH($A73, INDEX(AsistenciaJetAdminConcatenada!$D:$D, MATCH(1, (AsistenciaJetAdminConcatenada!$A:$A=W$2)*(AsistenciaJetAdminConcatenada!$B:$B=W$1), 0)), 1))),  0.5, 0))</f>
        <v>1</v>
      </c>
      <c r="X73" s="47">
        <f t="array" ref="X73">IF(AND(ISNUMBER(MATCH(X$2, AsistenciaJetAdminConcatenada!$A:$A, 0)), ISNUMBER(MATCH(X$1, AsistenciaJetAdminConcatenada!$B:$B, 0)), ISNUMBER(SEARCH($A73,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ISNUMBER(SEARCH($A73, INDEX(AsistenciaJetAdminConcatenada!$D:$D, MATCH(1, (AsistenciaJetAdminConcatenada!$A:$A=X$2)*(AsistenciaJetAdminConcatenada!$B:$B=X$1), 0)), 1))),  0.5, 0))</f>
        <v>1</v>
      </c>
      <c r="Y73" s="47">
        <f t="array" ref="Y73">IF(AND(ISNUMBER(MATCH(Y$2, AsistenciaJetAdminConcatenada!$A:$A, 0)), ISNUMBER(MATCH(Y$1, AsistenciaJetAdminConcatenada!$B:$B, 0)), ISNUMBER(SEARCH($A73,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ISNUMBER(SEARCH($A73, INDEX(AsistenciaJetAdminConcatenada!$D:$D, MATCH(1, (AsistenciaJetAdminConcatenada!$A:$A=Y$2)*(AsistenciaJetAdminConcatenada!$B:$B=Y$1), 0)), 1))),  0.5, 0))</f>
        <v>1</v>
      </c>
      <c r="Z73" s="47">
        <f t="array" ref="Z73">IF(AND(ISNUMBER(MATCH(Z$2, AsistenciaJetAdminConcatenada!$A:$A, 0)), ISNUMBER(MATCH(Z$1, AsistenciaJetAdminConcatenada!$B:$B, 0)), ISNUMBER(SEARCH($A73,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ISNUMBER(SEARCH($A73, INDEX(AsistenciaJetAdminConcatenada!$D:$D, MATCH(1, (AsistenciaJetAdminConcatenada!$A:$A=Z$2)*(AsistenciaJetAdminConcatenada!$B:$B=Z$1), 0)), 1))),  0.5, 0))</f>
        <v>1</v>
      </c>
      <c r="AA73" s="47">
        <f t="array" ref="AA73">IF(AND(ISNUMBER(MATCH(AA$2, AsistenciaJetAdminConcatenada!$A:$A, 0)), ISNUMBER(MATCH(AA$1, AsistenciaJetAdminConcatenada!$B:$B, 0)), ISNUMBER(SEARCH($A73,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ISNUMBER(SEARCH($A73, INDEX(AsistenciaJetAdminConcatenada!$D:$D, MATCH(1, (AsistenciaJetAdminConcatenada!$A:$A=AA$2)*(AsistenciaJetAdminConcatenada!$B:$B=AA$1), 0)), 1))),  0.5, 0))</f>
        <v>0</v>
      </c>
      <c r="AB73" s="47">
        <f t="array" ref="AB73">IF(AND(ISNUMBER(MATCH(AB$2, AsistenciaJetAdminConcatenada!$A:$A, 0)), ISNUMBER(MATCH(AB$1, AsistenciaJetAdminConcatenada!$B:$B, 0)), ISNUMBER(SEARCH($A73,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ISNUMBER(SEARCH($A73, INDEX(AsistenciaJetAdminConcatenada!$D:$D, MATCH(1, (AsistenciaJetAdminConcatenada!$A:$A=AB$2)*(AsistenciaJetAdminConcatenada!$B:$B=AB$1), 0)), 1))),  0.5, 0))</f>
        <v>1</v>
      </c>
      <c r="AC73" s="47">
        <f t="array" ref="AC73">IF(AND(ISNUMBER(MATCH(AC$2, AsistenciaJetAdminConcatenada!$A:$A, 0)), ISNUMBER(MATCH(AC$1, AsistenciaJetAdminConcatenada!$B:$B, 0)), ISNUMBER(SEARCH($A73,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ISNUMBER(SEARCH($A73, INDEX(AsistenciaJetAdminConcatenada!$D:$D, MATCH(1, (AsistenciaJetAdminConcatenada!$A:$A=AC$2)*(AsistenciaJetAdminConcatenada!$B:$B=AC$1), 0)), 1))),  0.5, 0))</f>
        <v>0</v>
      </c>
      <c r="AD73" s="47">
        <f t="array" ref="AD73">IF(AND(ISNUMBER(MATCH(AD$2, AsistenciaJetAdminConcatenada!$A:$A, 0)), ISNUMBER(MATCH(AD$1, AsistenciaJetAdminConcatenada!$B:$B, 0)), ISNUMBER(SEARCH($A73,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ISNUMBER(SEARCH($A73, INDEX(AsistenciaJetAdminConcatenada!$D:$D, MATCH(1, (AsistenciaJetAdminConcatenada!$A:$A=AD$2)*(AsistenciaJetAdminConcatenada!$B:$B=AD$1), 0)), 1))),  0.5, 0))</f>
        <v>1</v>
      </c>
      <c r="AE73" s="47">
        <f t="array" ref="AE73">IF(AND(ISNUMBER(MATCH(AE$2, AsistenciaJetAdminConcatenada!$A:$A, 0)), ISNUMBER(MATCH(AE$1, AsistenciaJetAdminConcatenada!$B:$B, 0)), ISNUMBER(SEARCH($A73,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ISNUMBER(SEARCH($A73, INDEX(AsistenciaJetAdminConcatenada!$D:$D, MATCH(1, (AsistenciaJetAdminConcatenada!$A:$A=AE$2)*(AsistenciaJetAdminConcatenada!$B:$B=AE$1), 0)), 1))),  0.5, 0))</f>
        <v>0</v>
      </c>
      <c r="AF73" s="47">
        <f t="array" ref="AF73">IF(AND(ISNUMBER(MATCH(AF$2, AsistenciaJetAdminConcatenada!$A:$A, 0)), ISNUMBER(MATCH(AF$1, AsistenciaJetAdminConcatenada!$B:$B, 0)), ISNUMBER(SEARCH($A73,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ISNUMBER(SEARCH($A73, INDEX(AsistenciaJetAdminConcatenada!$D:$D, MATCH(1, (AsistenciaJetAdminConcatenada!$A:$A=AF$2)*(AsistenciaJetAdminConcatenada!$B:$B=AF$1), 0)), 1))),  0.5, 0))</f>
        <v>0</v>
      </c>
      <c r="AG73" s="47">
        <f t="array" ref="AG73">IF(AND(ISNUMBER(MATCH(AG$2, AsistenciaJetAdminConcatenada!$A:$A, 0)), ISNUMBER(MATCH(AG$1, AsistenciaJetAdminConcatenada!$B:$B, 0)), ISNUMBER(SEARCH($A73,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ISNUMBER(SEARCH($A73, INDEX(AsistenciaJetAdminConcatenada!$D:$D, MATCH(1, (AsistenciaJetAdminConcatenada!$A:$A=AG$2)*(AsistenciaJetAdminConcatenada!$B:$B=AG$1), 0)), 1))),  0.5, 0))</f>
        <v>1</v>
      </c>
      <c r="AH73" s="47">
        <f t="array" ref="AH73">IF(AND(ISNUMBER(MATCH(AH$2, AsistenciaJetAdminConcatenada!$A:$A, 0)), ISNUMBER(MATCH(AH$1, AsistenciaJetAdminConcatenada!$B:$B, 0)), ISNUMBER(SEARCH($A73,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ISNUMBER(SEARCH($A73, INDEX(AsistenciaJetAdminConcatenada!$D:$D, MATCH(1, (AsistenciaJetAdminConcatenada!$A:$A=AH$2)*(AsistenciaJetAdminConcatenada!$B:$B=AH$1), 0)), 1))),  0.5, 0))</f>
        <v>0</v>
      </c>
      <c r="AI73" s="47">
        <f t="array" ref="AI73">IF(AND(ISNUMBER(MATCH(AI$2, AsistenciaJetAdminConcatenada!$A:$A, 0)), ISNUMBER(MATCH(AI$1, AsistenciaJetAdminConcatenada!$B:$B, 0)), ISNUMBER(SEARCH($A73,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ISNUMBER(SEARCH($A73, INDEX(AsistenciaJetAdminConcatenada!$D:$D, MATCH(1, (AsistenciaJetAdminConcatenada!$A:$A=AI$2)*(AsistenciaJetAdminConcatenada!$B:$B=AI$1), 0)), 1))),  0.5, 0))</f>
        <v>0</v>
      </c>
      <c r="AJ73" s="47">
        <f t="array" ref="AJ73">IF(AND(ISNUMBER(MATCH(AJ$2, AsistenciaJetAdminConcatenada!$A:$A, 0)), ISNUMBER(MATCH(AJ$1, AsistenciaJetAdminConcatenada!$B:$B, 0)), ISNUMBER(SEARCH($A73,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ISNUMBER(SEARCH($A73, INDEX(AsistenciaJetAdminConcatenada!$D:$D, MATCH(1, (AsistenciaJetAdminConcatenada!$A:$A=AJ$2)*(AsistenciaJetAdminConcatenada!$B:$B=AJ$1), 0)), 1))),  0.5, 0))</f>
        <v>0</v>
      </c>
      <c r="AK73" s="47">
        <f t="array" ref="AK73">IF(AND(ISNUMBER(MATCH(AK$2, AsistenciaJetAdminConcatenada!$A:$A, 0)), ISNUMBER(MATCH(AK$1, AsistenciaJetAdminConcatenada!$B:$B, 0)), ISNUMBER(SEARCH($A73,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ISNUMBER(SEARCH($A73, INDEX(AsistenciaJetAdminConcatenada!$D:$D, MATCH(1, (AsistenciaJetAdminConcatenada!$A:$A=AK$2)*(AsistenciaJetAdminConcatenada!$B:$B=AK$1), 0)), 1))),  0.5, 0))</f>
        <v>1</v>
      </c>
      <c r="AL73" s="47">
        <f t="array" ref="AL73">IF(AND(ISNUMBER(MATCH(AL$2, AsistenciaJetAdminConcatenada!$A:$A, 0)), ISNUMBER(MATCH(AL$1, AsistenciaJetAdminConcatenada!$B:$B, 0)), ISNUMBER(SEARCH($A73,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ISNUMBER(SEARCH($A73, INDEX(AsistenciaJetAdminConcatenada!$D:$D, MATCH(1, (AsistenciaJetAdminConcatenada!$A:$A=AL$2)*(AsistenciaJetAdminConcatenada!$B:$B=AL$1), 0)), 1))),  0.5, 0))</f>
        <v>0.5</v>
      </c>
      <c r="AM73" s="47">
        <f t="array" ref="AM73">IF(AND(ISNUMBER(MATCH(AM$2, AsistenciaJetAdminConcatenada!$A:$A, 0)), ISNUMBER(MATCH(AM$1, AsistenciaJetAdminConcatenada!$B:$B, 0)), ISNUMBER(SEARCH($A73,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ISNUMBER(SEARCH($A73, INDEX(AsistenciaJetAdminConcatenada!$D:$D, MATCH(1, (AsistenciaJetAdminConcatenada!$A:$A=AM$2)*(AsistenciaJetAdminConcatenada!$B:$B=AM$1), 0)), 1))),  0.5, 0))</f>
        <v>0</v>
      </c>
      <c r="AN73" s="47">
        <f t="array" ref="AN73">IF(AND(ISNUMBER(MATCH(AN$2, AsistenciaJetAdminConcatenada!$A:$A, 0)), ISNUMBER(MATCH(AN$1, AsistenciaJetAdminConcatenada!$B:$B, 0)), ISNUMBER(SEARCH($A73,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ISNUMBER(SEARCH($A73, INDEX(AsistenciaJetAdminConcatenada!$D:$D, MATCH(1, (AsistenciaJetAdminConcatenada!$A:$A=AN$2)*(AsistenciaJetAdminConcatenada!$B:$B=AN$1), 0)), 1))),  0.5, 0))</f>
        <v>0</v>
      </c>
      <c r="AO73" s="47">
        <f t="array" ref="AO73">IF(AND(ISNUMBER(MATCH(AO$2, AsistenciaJetAdminConcatenada!$A:$A, 0)), ISNUMBER(MATCH(AO$1, AsistenciaJetAdminConcatenada!$B:$B, 0)), ISNUMBER(SEARCH($A73,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ISNUMBER(SEARCH($A73, INDEX(AsistenciaJetAdminConcatenada!$D:$D, MATCH(1, (AsistenciaJetAdminConcatenada!$A:$A=AO$2)*(AsistenciaJetAdminConcatenada!$B:$B=AO$1), 0)), 1))),  0.5, 0))</f>
        <v>0</v>
      </c>
      <c r="AP73" s="47">
        <f t="array" ref="AP73">IF(AND(ISNUMBER(MATCH(AP$2, AsistenciaJetAdminConcatenada!$A:$A, 0)), ISNUMBER(MATCH(AP$1, AsistenciaJetAdminConcatenada!$B:$B, 0)), ISNUMBER(SEARCH($A73,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ISNUMBER(SEARCH($A73, INDEX(AsistenciaJetAdminConcatenada!$D:$D, MATCH(1, (AsistenciaJetAdminConcatenada!$A:$A=AP$2)*(AsistenciaJetAdminConcatenada!$B:$B=AP$1), 0)), 1))),  0.5, 0))</f>
        <v>0</v>
      </c>
      <c r="AQ73" s="47">
        <f t="array" ref="AQ73">IF(AND(ISNUMBER(MATCH(AQ$2, AsistenciaJetAdminConcatenada!$A:$A, 0)), ISNUMBER(MATCH(AQ$1, AsistenciaJetAdminConcatenada!$B:$B, 0)), ISNUMBER(SEARCH($A73,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ISNUMBER(SEARCH($A73, INDEX(AsistenciaJetAdminConcatenada!$D:$D, MATCH(1, (AsistenciaJetAdminConcatenada!$A:$A=AQ$2)*(AsistenciaJetAdminConcatenada!$B:$B=AQ$1), 0)), 1))),  0.5, 0))</f>
        <v>0</v>
      </c>
      <c r="AR73" s="47">
        <f t="array" ref="AR73">IF(AND(ISNUMBER(MATCH(AR$2, AsistenciaJetAdminConcatenada!$A:$A, 0)), ISNUMBER(MATCH(AR$1, AsistenciaJetAdminConcatenada!$B:$B, 0)), ISNUMBER(SEARCH($A73,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ISNUMBER(SEARCH($A73, INDEX(AsistenciaJetAdminConcatenada!$D:$D, MATCH(1, (AsistenciaJetAdminConcatenada!$A:$A=AR$2)*(AsistenciaJetAdminConcatenada!$B:$B=AR$1), 0)), 1))),  0.5, 0))</f>
        <v>1</v>
      </c>
      <c r="AS73" s="47">
        <f t="array" ref="AS73">IF(AND(ISNUMBER(MATCH(AS$2, AsistenciaJetAdminConcatenada!$A:$A, 0)), ISNUMBER(MATCH(AS$1, AsistenciaJetAdminConcatenada!$B:$B, 0)), ISNUMBER(SEARCH($A73,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ISNUMBER(SEARCH($A73, INDEX(AsistenciaJetAdminConcatenada!$D:$D, MATCH(1, (AsistenciaJetAdminConcatenada!$A:$A=AS$2)*(AsistenciaJetAdminConcatenada!$B:$B=AS$1), 0)), 1))),  0.5, 0))</f>
        <v>0</v>
      </c>
      <c r="AT73" s="47">
        <f t="array" ref="AT73">IF(AND(ISNUMBER(MATCH(AT$2, AsistenciaJetAdminConcatenada!$A:$A, 0)), ISNUMBER(MATCH(AT$1, AsistenciaJetAdminConcatenada!$B:$B, 0)), ISNUMBER(SEARCH($A73,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ISNUMBER(SEARCH($A73, INDEX(AsistenciaJetAdminConcatenada!$D:$D, MATCH(1, (AsistenciaJetAdminConcatenada!$A:$A=AT$2)*(AsistenciaJetAdminConcatenada!$B:$B=AT$1), 0)), 1))),  0.5, 0))</f>
        <v>1</v>
      </c>
      <c r="AU73" s="47">
        <f t="array" ref="AU73">IF(AND(ISNUMBER(MATCH(AU$2, AsistenciaJetAdminConcatenada!$A:$A, 0)), ISNUMBER(MATCH(AU$1, AsistenciaJetAdminConcatenada!$B:$B, 0)), ISNUMBER(SEARCH($A73,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ISNUMBER(SEARCH($A73, INDEX(AsistenciaJetAdminConcatenada!$D:$D, MATCH(1, (AsistenciaJetAdminConcatenada!$A:$A=AU$2)*(AsistenciaJetAdminConcatenada!$B:$B=AU$1), 0)), 1))),  0.5, 0))</f>
        <v>1</v>
      </c>
      <c r="AV73" s="47">
        <f t="array" ref="AV73">IF(AND(ISNUMBER(MATCH(AV$2, AsistenciaJetAdminConcatenada!$A:$A, 0)), ISNUMBER(MATCH(AV$1, AsistenciaJetAdminConcatenada!$B:$B, 0)), ISNUMBER(SEARCH($A73,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ISNUMBER(SEARCH($A73, INDEX(AsistenciaJetAdminConcatenada!$D:$D, MATCH(1, (AsistenciaJetAdminConcatenada!$A:$A=AV$2)*(AsistenciaJetAdminConcatenada!$B:$B=AV$1), 0)), 1))),  0.5, 0))</f>
        <v>1</v>
      </c>
      <c r="AW73" s="47">
        <f t="array" ref="AW73">IF(AND(ISNUMBER(MATCH(AW$2, AsistenciaJetAdminConcatenada!$A:$A, 0)), ISNUMBER(MATCH(AW$1, AsistenciaJetAdminConcatenada!$B:$B, 0)), ISNUMBER(SEARCH($A73,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ISNUMBER(SEARCH($A73, INDEX(AsistenciaJetAdminConcatenada!$D:$D, MATCH(1, (AsistenciaJetAdminConcatenada!$A:$A=AW$2)*(AsistenciaJetAdminConcatenada!$B:$B=AW$1), 0)), 1))),  0.5, 0))</f>
        <v>0</v>
      </c>
      <c r="AX73" s="47">
        <f t="array" ref="AX73">IF(AND(ISNUMBER(MATCH(AX$2, AsistenciaJetAdminConcatenada!$A:$A, 0)), ISNUMBER(MATCH(AX$1, AsistenciaJetAdminConcatenada!$B:$B, 0)), ISNUMBER(SEARCH($A73,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ISNUMBER(SEARCH($A73, INDEX(AsistenciaJetAdminConcatenada!$D:$D, MATCH(1, (AsistenciaJetAdminConcatenada!$A:$A=AX$2)*(AsistenciaJetAdminConcatenada!$B:$B=AX$1), 0)), 1))),  0.5, 0))</f>
        <v>0</v>
      </c>
      <c r="AY73" s="47">
        <f t="array" ref="AY73">IF(AND(ISNUMBER(MATCH(AY$2, AsistenciaJetAdminConcatenada!$A:$A, 0)), ISNUMBER(MATCH(AY$1, AsistenciaJetAdminConcatenada!$B:$B, 0)), ISNUMBER(SEARCH($A73,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ISNUMBER(SEARCH($A73, INDEX(AsistenciaJetAdminConcatenada!$D:$D, MATCH(1, (AsistenciaJetAdminConcatenada!$A:$A=AY$2)*(AsistenciaJetAdminConcatenada!$B:$B=AY$1), 0)), 1))),  0.5, 0))</f>
        <v>1</v>
      </c>
      <c r="AZ73" s="47">
        <f t="array" ref="AZ73">IF(AND(ISNUMBER(MATCH(AZ$2, AsistenciaJetAdminConcatenada!$A:$A, 0)), ISNUMBER(MATCH(AZ$1, AsistenciaJetAdminConcatenada!$B:$B, 0)), ISNUMBER(SEARCH($A73,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ISNUMBER(SEARCH($A73, INDEX(AsistenciaJetAdminConcatenada!$D:$D, MATCH(1, (AsistenciaJetAdminConcatenada!$A:$A=AZ$2)*(AsistenciaJetAdminConcatenada!$B:$B=AZ$1), 0)), 1))),  0.5, 0))</f>
        <v>0</v>
      </c>
      <c r="BA73" s="47">
        <f t="array" ref="BA73">IF(AND(ISNUMBER(MATCH(BA$2, AsistenciaJetAdminConcatenada!$A:$A, 0)), ISNUMBER(MATCH(BA$1, AsistenciaJetAdminConcatenada!$B:$B, 0)), ISNUMBER(SEARCH($A73,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ISNUMBER(SEARCH($A73, INDEX(AsistenciaJetAdminConcatenada!$D:$D, MATCH(1, (AsistenciaJetAdminConcatenada!$A:$A=BA$2)*(AsistenciaJetAdminConcatenada!$B:$B=BA$1), 0)), 1))),  0.5, 0))</f>
        <v>0</v>
      </c>
      <c r="BB73" s="47">
        <f t="array" ref="BB73">IF(AND(ISNUMBER(MATCH(BB$2, AsistenciaJetAdminConcatenada!$A:$A, 0)), ISNUMBER(MATCH(BB$1, AsistenciaJetAdminConcatenada!$B:$B, 0)), ISNUMBER(SEARCH($A73,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ISNUMBER(SEARCH($A73, INDEX(AsistenciaJetAdminConcatenada!$D:$D, MATCH(1, (AsistenciaJetAdminConcatenada!$A:$A=BB$2)*(AsistenciaJetAdminConcatenada!$B:$B=BB$1), 0)), 1))),  0.5, 0))</f>
        <v>0.5</v>
      </c>
      <c r="BC73" s="47">
        <f t="array" ref="BC73">IF(AND(ISNUMBER(MATCH(BC$2, AsistenciaJetAdminConcatenada!$A:$A, 0)), ISNUMBER(MATCH(BC$1, AsistenciaJetAdminConcatenada!$B:$B, 0)), ISNUMBER(SEARCH($A73,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ISNUMBER(SEARCH($A73, INDEX(AsistenciaJetAdminConcatenada!$D:$D, MATCH(1, (AsistenciaJetAdminConcatenada!$A:$A=BC$2)*(AsistenciaJetAdminConcatenada!$B:$B=BC$1), 0)), 1))),  0.5, 0))</f>
        <v>1</v>
      </c>
      <c r="BD73" s="47">
        <f t="array" ref="BD73">IF(AND(ISNUMBER(MATCH(BD$2, AsistenciaJetAdminConcatenada!$A:$A, 0)), ISNUMBER(MATCH(BD$1, AsistenciaJetAdminConcatenada!$B:$B, 0)), ISNUMBER(SEARCH($A73,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ISNUMBER(SEARCH($A73, INDEX(AsistenciaJetAdminConcatenada!$D:$D, MATCH(1, (AsistenciaJetAdminConcatenada!$A:$A=BD$2)*(AsistenciaJetAdminConcatenada!$B:$B=BD$1), 0)), 1))),  0.5, 0))</f>
        <v>1</v>
      </c>
      <c r="BE73" s="47">
        <f t="array" ref="BE73">IF(AND(ISNUMBER(MATCH(BE$2, AsistenciaJetAdminConcatenada!$A:$A, 0)), ISNUMBER(MATCH(BE$1, AsistenciaJetAdminConcatenada!$B:$B, 0)), ISNUMBER(SEARCH($A73,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ISNUMBER(SEARCH($A73, INDEX(AsistenciaJetAdminConcatenada!$D:$D, MATCH(1, (AsistenciaJetAdminConcatenada!$A:$A=BE$2)*(AsistenciaJetAdminConcatenada!$B:$B=BE$1), 0)), 1))),  0.5, 0))</f>
        <v>1</v>
      </c>
      <c r="BF73" s="47">
        <f t="array" ref="BF73">IF(AND(ISNUMBER(MATCH(BF$2, AsistenciaJetAdminConcatenada!$A:$A, 0)), ISNUMBER(MATCH(BF$1, AsistenciaJetAdminConcatenada!$B:$B, 0)), ISNUMBER(SEARCH($A73,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ISNUMBER(SEARCH($A73, INDEX(AsistenciaJetAdminConcatenada!$D:$D, MATCH(1, (AsistenciaJetAdminConcatenada!$A:$A=BF$2)*(AsistenciaJetAdminConcatenada!$B:$B=BF$1), 0)), 1))),  0.5, 0))</f>
        <v>1</v>
      </c>
      <c r="BG73" s="47">
        <f t="array" ref="BG73">IF(AND(ISNUMBER(MATCH(BG$2, AsistenciaJetAdminConcatenada!$A:$A, 0)), ISNUMBER(MATCH(BG$1, AsistenciaJetAdminConcatenada!$B:$B, 0)), ISNUMBER(SEARCH($A73,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ISNUMBER(SEARCH($A73, INDEX(AsistenciaJetAdminConcatenada!$D:$D, MATCH(1, (AsistenciaJetAdminConcatenada!$A:$A=BG$2)*(AsistenciaJetAdminConcatenada!$B:$B=BG$1), 0)), 1))),  0.5, 0))</f>
        <v>0</v>
      </c>
      <c r="BH73" s="47">
        <f t="array" ref="BH73">IF(AND(ISNUMBER(MATCH(BH$2, AsistenciaJetAdminConcatenada!$A:$A, 0)), ISNUMBER(MATCH(BH$1, AsistenciaJetAdminConcatenada!$B:$B, 0)), ISNUMBER(SEARCH($A73,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ISNUMBER(SEARCH($A73, INDEX(AsistenciaJetAdminConcatenada!$D:$D, MATCH(1, (AsistenciaJetAdminConcatenada!$A:$A=BH$2)*(AsistenciaJetAdminConcatenada!$B:$B=BH$1), 0)), 1))),  0.5, 0))</f>
        <v>0</v>
      </c>
      <c r="BI73" s="47">
        <f t="array" ref="BI73">IF(AND(ISNUMBER(MATCH(BI$2, AsistenciaJetAdminConcatenada!$A:$A, 0)), ISNUMBER(MATCH(BI$1, AsistenciaJetAdminConcatenada!$B:$B, 0)), ISNUMBER(SEARCH($A73,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ISNUMBER(SEARCH($A73, INDEX(AsistenciaJetAdminConcatenada!$D:$D, MATCH(1, (AsistenciaJetAdminConcatenada!$A:$A=BI$2)*(AsistenciaJetAdminConcatenada!$B:$B=BI$1), 0)), 1))),  0.5, 0))</f>
        <v>1</v>
      </c>
      <c r="BJ73" s="47">
        <f t="array" ref="BJ73">IF(AND(ISNUMBER(MATCH(BJ$2, AsistenciaJetAdminConcatenada!$A:$A, 0)), ISNUMBER(MATCH(BJ$1, AsistenciaJetAdminConcatenada!$B:$B, 0)), ISNUMBER(SEARCH($A73,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ISNUMBER(SEARCH($A73, INDEX(AsistenciaJetAdminConcatenada!$D:$D, MATCH(1, (AsistenciaJetAdminConcatenada!$A:$A=BJ$2)*(AsistenciaJetAdminConcatenada!$B:$B=BJ$1), 0)), 1))),  0.5, 0))</f>
        <v>0</v>
      </c>
      <c r="BK73" s="47">
        <f t="array" ref="BK73">IF(AND(ISNUMBER(MATCH(BK$2, AsistenciaJetAdminConcatenada!$A:$A, 0)), ISNUMBER(MATCH(BK$1, AsistenciaJetAdminConcatenada!$B:$B, 0)), ISNUMBER(SEARCH($A73,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ISNUMBER(SEARCH($A73, INDEX(AsistenciaJetAdminConcatenada!$D:$D, MATCH(1, (AsistenciaJetAdminConcatenada!$A:$A=BK$2)*(AsistenciaJetAdminConcatenada!$B:$B=BK$1), 0)), 1))),  0.5, 0))</f>
        <v>0.5</v>
      </c>
      <c r="BL73" s="47">
        <f t="array" ref="BL73">IF(AND(ISNUMBER(MATCH(BL$2, AsistenciaJetAdminConcatenada!$A:$A, 0)), ISNUMBER(MATCH(BL$1, AsistenciaJetAdminConcatenada!$B:$B, 0)), ISNUMBER(SEARCH($A73,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ISNUMBER(SEARCH($A73, INDEX(AsistenciaJetAdminConcatenada!$D:$D, MATCH(1, (AsistenciaJetAdminConcatenada!$A:$A=BL$2)*(AsistenciaJetAdminConcatenada!$B:$B=BL$1), 0)), 1))),  0.5, 0))</f>
        <v>1</v>
      </c>
      <c r="BM73" s="47">
        <f t="array" ref="BM73">IF(AND(ISNUMBER(MATCH(BM$2, AsistenciaJetAdminConcatenada!$A:$A, 0)), ISNUMBER(MATCH(BM$1, AsistenciaJetAdminConcatenada!$B:$B, 0)), ISNUMBER(SEARCH($A73,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ISNUMBER(SEARCH($A73, INDEX(AsistenciaJetAdminConcatenada!$D:$D, MATCH(1, (AsistenciaJetAdminConcatenada!$A:$A=BM$2)*(AsistenciaJetAdminConcatenada!$B:$B=BM$1), 0)), 1))),  0.5, 0))</f>
        <v>1</v>
      </c>
      <c r="BN73" s="47">
        <f t="array" ref="BN73">IF(AND(ISNUMBER(MATCH(BN$2, AsistenciaJetAdminConcatenada!$A:$A, 0)), ISNUMBER(MATCH(BN$1, AsistenciaJetAdminConcatenada!$B:$B, 0)), ISNUMBER(SEARCH($A73,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ISNUMBER(SEARCH($A73, INDEX(AsistenciaJetAdminConcatenada!$D:$D, MATCH(1, (AsistenciaJetAdminConcatenada!$A:$A=BN$2)*(AsistenciaJetAdminConcatenada!$B:$B=BN$1), 0)), 1))),  0.5, 0))</f>
        <v>0</v>
      </c>
      <c r="BO73" s="47">
        <f t="array" ref="BO73">IF(AND(ISNUMBER(MATCH(BO$2, AsistenciaJetAdminConcatenada!$A:$A, 0)), ISNUMBER(MATCH(BO$1, AsistenciaJetAdminConcatenada!$B:$B, 0)), ISNUMBER(SEARCH($A73,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ISNUMBER(SEARCH($A73, INDEX(AsistenciaJetAdminConcatenada!$D:$D, MATCH(1, (AsistenciaJetAdminConcatenada!$A:$A=BO$2)*(AsistenciaJetAdminConcatenada!$B:$B=BO$1), 0)), 1))),  0.5, 0))</f>
        <v>0</v>
      </c>
      <c r="BP73" s="47">
        <f t="array" ref="BP73">IF(AND(ISNUMBER(MATCH(BP$2, AsistenciaJetAdminConcatenada!$A:$A, 0)), ISNUMBER(MATCH(BP$1, AsistenciaJetAdminConcatenada!$B:$B, 0)), ISNUMBER(SEARCH($A73,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ISNUMBER(SEARCH($A73, INDEX(AsistenciaJetAdminConcatenada!$D:$D, MATCH(1, (AsistenciaJetAdminConcatenada!$A:$A=BP$2)*(AsistenciaJetAdminConcatenada!$B:$B=BP$1), 0)), 1))),  0.5, 0))</f>
        <v>0</v>
      </c>
      <c r="BQ73" s="47">
        <f t="array" ref="BQ73">IF(AND(ISNUMBER(MATCH(BQ$2, AsistenciaJetAdminConcatenada!$A:$A, 0)), ISNUMBER(MATCH(BQ$1, AsistenciaJetAdminConcatenada!$B:$B, 0)), ISNUMBER(SEARCH($A73,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ISNUMBER(SEARCH($A73, INDEX(AsistenciaJetAdminConcatenada!$D:$D, MATCH(1, (AsistenciaJetAdminConcatenada!$A:$A=BQ$2)*(AsistenciaJetAdminConcatenada!$B:$B=BQ$1), 0)), 1))),  0.5, 0))</f>
        <v>1</v>
      </c>
      <c r="BR73" s="47">
        <f t="array" ref="BR73">IF(AND(ISNUMBER(MATCH(BR$2, AsistenciaJetAdminConcatenada!$A:$A, 0)), ISNUMBER(MATCH(BR$1, AsistenciaJetAdminConcatenada!$B:$B, 0)), ISNUMBER(SEARCH($A73,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ISNUMBER(SEARCH($A73, INDEX(AsistenciaJetAdminConcatenada!$D:$D, MATCH(1, (AsistenciaJetAdminConcatenada!$A:$A=BR$2)*(AsistenciaJetAdminConcatenada!$B:$B=BR$1), 0)), 1))),  0.5, 0))</f>
        <v>0</v>
      </c>
      <c r="BS73" s="47">
        <f t="array" ref="BS73">IF(AND(ISNUMBER(MATCH(BS$2, AsistenciaJetAdminConcatenada!$A:$A, 0)), ISNUMBER(MATCH(BS$1, AsistenciaJetAdminConcatenada!$B:$B, 0)), ISNUMBER(SEARCH($A73,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ISNUMBER(SEARCH($A73, INDEX(AsistenciaJetAdminConcatenada!$D:$D, MATCH(1, (AsistenciaJetAdminConcatenada!$A:$A=BS$2)*(AsistenciaJetAdminConcatenada!$B:$B=BS$1), 0)), 1))),  0.5, 0))</f>
        <v>1</v>
      </c>
      <c r="BT73" s="47">
        <f t="array" ref="BT73">IF(AND(ISNUMBER(MATCH(BT$2, AsistenciaJetAdminConcatenada!$A:$A, 0)), ISNUMBER(MATCH(BT$1, AsistenciaJetAdminConcatenada!$B:$B, 0)), ISNUMBER(SEARCH($A73,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ISNUMBER(SEARCH($A73, INDEX(AsistenciaJetAdminConcatenada!$D:$D, MATCH(1, (AsistenciaJetAdminConcatenada!$A:$A=BT$2)*(AsistenciaJetAdminConcatenada!$B:$B=BT$1), 0)), 1))),  0.5, 0))</f>
        <v>1</v>
      </c>
      <c r="BU73" s="47">
        <f t="array" ref="BU73">IF(AND(ISNUMBER(MATCH(BU$2, AsistenciaJetAdminConcatenada!$A:$A, 0)), ISNUMBER(MATCH(BU$1, AsistenciaJetAdminConcatenada!$B:$B, 0)), ISNUMBER(SEARCH($A73,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ISNUMBER(SEARCH($A73, INDEX(AsistenciaJetAdminConcatenada!$D:$D, MATCH(1, (AsistenciaJetAdminConcatenada!$A:$A=BU$2)*(AsistenciaJetAdminConcatenada!$B:$B=BU$1), 0)), 1))),  0.5, 0))</f>
        <v>1</v>
      </c>
      <c r="BV73" s="47">
        <f t="array" ref="BV73">IF(AND(ISNUMBER(MATCH(BV$2, AsistenciaJetAdminConcatenada!$A:$A, 0)), ISNUMBER(MATCH(BV$1, AsistenciaJetAdminConcatenada!$B:$B, 0)), ISNUMBER(SEARCH($A73,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ISNUMBER(SEARCH($A73, INDEX(AsistenciaJetAdminConcatenada!$D:$D, MATCH(1, (AsistenciaJetAdminConcatenada!$A:$A=BV$2)*(AsistenciaJetAdminConcatenada!$B:$B=BV$1), 0)), 1))),  0.5, 0))</f>
        <v>0</v>
      </c>
      <c r="BW73" s="47">
        <f t="array" ref="BW73">IF(AND(ISNUMBER(MATCH(BW$2, AsistenciaJetAdminConcatenada!$A:$A, 0)), ISNUMBER(MATCH(BW$1, AsistenciaJetAdminConcatenada!$B:$B, 0)), ISNUMBER(SEARCH($A73,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ISNUMBER(SEARCH($A73, INDEX(AsistenciaJetAdminConcatenada!$D:$D, MATCH(1, (AsistenciaJetAdminConcatenada!$A:$A=BW$2)*(AsistenciaJetAdminConcatenada!$B:$B=BW$1), 0)), 1))),  0.5, 0))</f>
        <v>1</v>
      </c>
      <c r="BX73" s="47">
        <f t="array" ref="BX73">IF(AND(ISNUMBER(MATCH(BX$2, AsistenciaJetAdminConcatenada!$A:$A, 0)), ISNUMBER(MATCH(BX$1, AsistenciaJetAdminConcatenada!$B:$B, 0)), ISNUMBER(SEARCH($A73,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ISNUMBER(SEARCH($A73, INDEX(AsistenciaJetAdminConcatenada!$D:$D, MATCH(1, (AsistenciaJetAdminConcatenada!$A:$A=BX$2)*(AsistenciaJetAdminConcatenada!$B:$B=BX$1), 0)), 1))),  0.5, 0))</f>
        <v>0</v>
      </c>
      <c r="BY73" s="47">
        <f t="array" ref="BY73">IF(AND(ISNUMBER(MATCH(BY$2, AsistenciaJetAdminConcatenada!$A:$A, 0)), ISNUMBER(MATCH(BY$1, AsistenciaJetAdminConcatenada!$B:$B, 0)), ISNUMBER(SEARCH($A73,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ISNUMBER(SEARCH($A73, INDEX(AsistenciaJetAdminConcatenada!$D:$D, MATCH(1, (AsistenciaJetAdminConcatenada!$A:$A=BY$2)*(AsistenciaJetAdminConcatenada!$B:$B=BY$1), 0)), 1))),  0.5, 0))</f>
        <v>0</v>
      </c>
      <c r="BZ73" s="47">
        <f t="array" ref="BZ73">IF(AND(ISNUMBER(MATCH(BZ$2, AsistenciaJetAdminConcatenada!$A:$A, 0)), ISNUMBER(MATCH(BZ$1, AsistenciaJetAdminConcatenada!$B:$B, 0)), ISNUMBER(SEARCH($A73,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ISNUMBER(SEARCH($A73, INDEX(AsistenciaJetAdminConcatenada!$D:$D, MATCH(1, (AsistenciaJetAdminConcatenada!$A:$A=BZ$2)*(AsistenciaJetAdminConcatenada!$B:$B=BZ$1), 0)), 1))),  0.5, 0))</f>
        <v>0</v>
      </c>
      <c r="CA73" s="47">
        <f t="array" ref="CA73">IF(AND(ISNUMBER(MATCH(CA$2, AsistenciaJetAdminConcatenada!$A:$A, 0)), ISNUMBER(MATCH(CA$1, AsistenciaJetAdminConcatenada!$B:$B, 0)), ISNUMBER(SEARCH($A73,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ISNUMBER(SEARCH($A73, INDEX(AsistenciaJetAdminConcatenada!$D:$D, MATCH(1, (AsistenciaJetAdminConcatenada!$A:$A=CA$2)*(AsistenciaJetAdminConcatenada!$B:$B=CA$1), 0)), 1))),  0.5, 0))</f>
        <v>0</v>
      </c>
      <c r="CB73" s="47">
        <f t="array" ref="CB73">IF(AND(ISNUMBER(MATCH(CB$2, AsistenciaJetAdminConcatenada!$A:$A, 0)), ISNUMBER(MATCH(CB$1, AsistenciaJetAdminConcatenada!$B:$B, 0)), ISNUMBER(SEARCH($A73,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ISNUMBER(SEARCH($A73, INDEX(AsistenciaJetAdminConcatenada!$D:$D, MATCH(1, (AsistenciaJetAdminConcatenada!$A:$A=CB$2)*(AsistenciaJetAdminConcatenada!$B:$B=CB$1), 0)), 1))),  0.5, 0))</f>
        <v>0</v>
      </c>
      <c r="CC73" s="47">
        <f t="array" ref="CC73">IF(AND(ISNUMBER(MATCH(CC$2, AsistenciaJetAdminConcatenada!$A:$A, 0)), ISNUMBER(MATCH(CC$1, AsistenciaJetAdminConcatenada!$B:$B, 0)), ISNUMBER(SEARCH($A73,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ISNUMBER(SEARCH($A73, INDEX(AsistenciaJetAdminConcatenada!$D:$D, MATCH(1, (AsistenciaJetAdminConcatenada!$A:$A=CC$2)*(AsistenciaJetAdminConcatenada!$B:$B=CC$1), 0)), 1))),  0.5, 0))</f>
        <v>0</v>
      </c>
      <c r="CD73" s="47">
        <f t="array" ref="CD73">IF(AND(ISNUMBER(MATCH(CD$2, AsistenciaJetAdminConcatenada!$A:$A, 0)), ISNUMBER(MATCH(CD$1, AsistenciaJetAdminConcatenada!$B:$B, 0)), ISNUMBER(SEARCH($A73,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ISNUMBER(SEARCH($A73, INDEX(AsistenciaJetAdminConcatenada!$D:$D, MATCH(1, (AsistenciaJetAdminConcatenada!$A:$A=CD$2)*(AsistenciaJetAdminConcatenada!$B:$B=CD$1), 0)), 1))),  0.5, 0))</f>
        <v>0</v>
      </c>
      <c r="CE73" s="47">
        <f t="array" ref="CE73">IF(AND(ISNUMBER(MATCH(CE$2, AsistenciaJetAdminConcatenada!$A:$A, 0)), ISNUMBER(MATCH(CE$1, AsistenciaJetAdminConcatenada!$B:$B, 0)), ISNUMBER(SEARCH($A73,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ISNUMBER(SEARCH($A73, INDEX(AsistenciaJetAdminConcatenada!$D:$D, MATCH(1, (AsistenciaJetAdminConcatenada!$A:$A=CE$2)*(AsistenciaJetAdminConcatenada!$B:$B=CE$1), 0)), 1))),  0.5, 0))</f>
        <v>0</v>
      </c>
      <c r="CF73" s="47">
        <f t="array" ref="CF73">IF(AND(ISNUMBER(MATCH(CF$2, AsistenciaJetAdminConcatenada!$A:$A, 0)), ISNUMBER(MATCH(CF$1, AsistenciaJetAdminConcatenada!$B:$B, 0)), ISNUMBER(SEARCH($A73,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ISNUMBER(SEARCH($A73, INDEX(AsistenciaJetAdminConcatenada!$D:$D, MATCH(1, (AsistenciaJetAdminConcatenada!$A:$A=CF$2)*(AsistenciaJetAdminConcatenada!$B:$B=CF$1), 0)), 1))),  0.5, 0))</f>
        <v>1</v>
      </c>
      <c r="CG73" s="47">
        <f t="array" ref="CG73">IF(AND(ISNUMBER(MATCH(CG$2, AsistenciaJetAdminConcatenada!$A:$A, 0)), ISNUMBER(MATCH(CG$1, AsistenciaJetAdminConcatenada!$B:$B, 0)), ISNUMBER(SEARCH($A73,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ISNUMBER(SEARCH($A73, INDEX(AsistenciaJetAdminConcatenada!$D:$D, MATCH(1, (AsistenciaJetAdminConcatenada!$A:$A=CG$2)*(AsistenciaJetAdminConcatenada!$B:$B=CG$1), 0)), 1))),  0.5, 0))</f>
        <v>0</v>
      </c>
      <c r="CH73" s="47">
        <f t="array" ref="CH73">IF(AND(ISNUMBER(MATCH(CH$2, AsistenciaJetAdminConcatenada!$A:$A, 0)), ISNUMBER(MATCH(CH$1, AsistenciaJetAdminConcatenada!$B:$B, 0)), ISNUMBER(SEARCH($A73,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ISNUMBER(SEARCH($A73, INDEX(AsistenciaJetAdminConcatenada!$D:$D, MATCH(1, (AsistenciaJetAdminConcatenada!$A:$A=CH$2)*(AsistenciaJetAdminConcatenada!$B:$B=CH$1), 0)), 1))),  0.5, 0))</f>
        <v>0</v>
      </c>
      <c r="CI73" s="47">
        <f t="array" ref="CI73">IF(AND(ISNUMBER(MATCH(CI$2, AsistenciaJetAdminConcatenada!$A:$A, 0)), ISNUMBER(MATCH(CI$1, AsistenciaJetAdminConcatenada!$B:$B, 0)), ISNUMBER(SEARCH($A73,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ISNUMBER(SEARCH($A73, INDEX(AsistenciaJetAdminConcatenada!$D:$D, MATCH(1, (AsistenciaJetAdminConcatenada!$A:$A=CI$2)*(AsistenciaJetAdminConcatenada!$B:$B=CI$1), 0)), 1))),  0.5, 0))</f>
        <v>0</v>
      </c>
      <c r="CJ73" s="47">
        <f t="array" ref="CJ73">IF(AND(ISNUMBER(MATCH(CJ$2, AsistenciaJetAdminConcatenada!$A:$A, 0)), ISNUMBER(MATCH(CJ$1, AsistenciaJetAdminConcatenada!$B:$B, 0)), ISNUMBER(SEARCH($A73,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ISNUMBER(SEARCH($A73, INDEX(AsistenciaJetAdminConcatenada!$D:$D, MATCH(1, (AsistenciaJetAdminConcatenada!$A:$A=CJ$2)*(AsistenciaJetAdminConcatenada!$B:$B=CJ$1), 0)), 1))),  0.5, 0))</f>
        <v>1</v>
      </c>
      <c r="CK73" s="47">
        <f t="array" ref="CK73">IF(AND(ISNUMBER(MATCH(CK$2, AsistenciaJetAdminConcatenada!$A:$A, 0)), ISNUMBER(MATCH(CK$1, AsistenciaJetAdminConcatenada!$B:$B, 0)), ISNUMBER(SEARCH($A73,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ISNUMBER(SEARCH($A73, INDEX(AsistenciaJetAdminConcatenada!$D:$D, MATCH(1, (AsistenciaJetAdminConcatenada!$A:$A=CK$2)*(AsistenciaJetAdminConcatenada!$B:$B=CK$1), 0)), 1))),  0.5, 0))</f>
        <v>1</v>
      </c>
      <c r="CL73" s="47">
        <f t="array" ref="CL73">IF(AND(ISNUMBER(MATCH(CL$2, AsistenciaJetAdminConcatenada!$A:$A, 0)), ISNUMBER(MATCH(CL$1, AsistenciaJetAdminConcatenada!$B:$B, 0)), ISNUMBER(SEARCH($A73,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ISNUMBER(SEARCH($A73, INDEX(AsistenciaJetAdminConcatenada!$D:$D, MATCH(1, (AsistenciaJetAdminConcatenada!$A:$A=CL$2)*(AsistenciaJetAdminConcatenada!$B:$B=CL$1), 0)), 1))),  0.5, 0))</f>
        <v>1</v>
      </c>
      <c r="CM73" s="47">
        <f t="array" ref="CM73">IF(AND(ISNUMBER(MATCH(CM$2, AsistenciaJetAdminConcatenada!$A:$A, 0)), ISNUMBER(MATCH(CM$1, AsistenciaJetAdminConcatenada!$B:$B, 0)), ISNUMBER(SEARCH($A73,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ISNUMBER(SEARCH($A73, INDEX(AsistenciaJetAdminConcatenada!$D:$D, MATCH(1, (AsistenciaJetAdminConcatenada!$A:$A=CM$2)*(AsistenciaJetAdminConcatenada!$B:$B=CM$1), 0)), 1))),  0.5, 0))</f>
        <v>0</v>
      </c>
      <c r="CN73" s="47">
        <f t="array" ref="CN73">IF(AND(ISNUMBER(MATCH(CN$2, AsistenciaJetAdminConcatenada!$A:$A, 0)), ISNUMBER(MATCH(CN$1, AsistenciaJetAdminConcatenada!$B:$B, 0)), ISNUMBER(SEARCH($A73,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ISNUMBER(SEARCH($A73, INDEX(AsistenciaJetAdminConcatenada!$D:$D, MATCH(1, (AsistenciaJetAdminConcatenada!$A:$A=CN$2)*(AsistenciaJetAdminConcatenada!$B:$B=CN$1), 0)), 1))),  0.5, 0))</f>
        <v>0</v>
      </c>
      <c r="CO73" s="47">
        <f t="array" ref="CO73">IF(AND(ISNUMBER(MATCH(CO$2, AsistenciaJetAdminConcatenada!$A:$A, 0)), ISNUMBER(MATCH(CO$1, AsistenciaJetAdminConcatenada!$B:$B, 0)), ISNUMBER(SEARCH($A73,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ISNUMBER(SEARCH($A73, INDEX(AsistenciaJetAdminConcatenada!$D:$D, MATCH(1, (AsistenciaJetAdminConcatenada!$A:$A=CO$2)*(AsistenciaJetAdminConcatenada!$B:$B=CO$1), 0)), 1))),  0.5, 0))</f>
        <v>1</v>
      </c>
      <c r="CP73" s="47">
        <f t="array" ref="CP73">IF(AND(ISNUMBER(MATCH(CP$2, AsistenciaJetAdminConcatenada!$A:$A, 0)), ISNUMBER(MATCH(CP$1, AsistenciaJetAdminConcatenada!$B:$B, 0)), ISNUMBER(SEARCH($A73,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ISNUMBER(SEARCH($A73, INDEX(AsistenciaJetAdminConcatenada!$D:$D, MATCH(1, (AsistenciaJetAdminConcatenada!$A:$A=CP$2)*(AsistenciaJetAdminConcatenada!$B:$B=CP$1), 0)), 1))),  0.5, 0))</f>
        <v>1</v>
      </c>
      <c r="CQ73" s="47">
        <f t="array" ref="CQ73">IF(AND(ISNUMBER(MATCH(CQ$2, AsistenciaJetAdminConcatenada!$A:$A, 0)), ISNUMBER(MATCH(CQ$1, AsistenciaJetAdminConcatenada!$B:$B, 0)), ISNUMBER(SEARCH($A73,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ISNUMBER(SEARCH($A73, INDEX(AsistenciaJetAdminConcatenada!$D:$D, MATCH(1, (AsistenciaJetAdminConcatenada!$A:$A=CQ$2)*(AsistenciaJetAdminConcatenada!$B:$B=CQ$1), 0)), 1))),  0.5, 0))</f>
        <v>0</v>
      </c>
      <c r="CR73" s="47">
        <f t="array" ref="CR73">IF(AND(ISNUMBER(MATCH(CR$2, AsistenciaJetAdminConcatenada!$A:$A, 0)), ISNUMBER(MATCH(CR$1, AsistenciaJetAdminConcatenada!$B:$B, 0)), ISNUMBER(SEARCH($A73,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ISNUMBER(SEARCH($A73, INDEX(AsistenciaJetAdminConcatenada!$D:$D, MATCH(1, (AsistenciaJetAdminConcatenada!$A:$A=CR$2)*(AsistenciaJetAdminConcatenada!$B:$B=CR$1), 0)), 1))),  0.5, 0))</f>
        <v>1</v>
      </c>
      <c r="CS73" s="47">
        <f t="array" ref="CS73">IF(AND(ISNUMBER(MATCH(CS$2, AsistenciaJetAdminConcatenada!$A:$A, 0)), ISNUMBER(MATCH(CS$1, AsistenciaJetAdminConcatenada!$B:$B, 0)), ISNUMBER(SEARCH($A73,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ISNUMBER(SEARCH($A73, INDEX(AsistenciaJetAdminConcatenada!$D:$D, MATCH(1, (AsistenciaJetAdminConcatenada!$A:$A=CS$2)*(AsistenciaJetAdminConcatenada!$B:$B=CS$1), 0)), 1))),  0.5, 0))</f>
        <v>0</v>
      </c>
      <c r="CT73" s="47">
        <f t="array" ref="CT73">IF(AND(ISNUMBER(MATCH(CT$2, AsistenciaJetAdminConcatenada!$A:$A, 0)), ISNUMBER(MATCH(CT$1, AsistenciaJetAdminConcatenada!$B:$B, 0)), ISNUMBER(SEARCH($A73,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ISNUMBER(SEARCH($A73, INDEX(AsistenciaJetAdminConcatenada!$D:$D, MATCH(1, (AsistenciaJetAdminConcatenada!$A:$A=CT$2)*(AsistenciaJetAdminConcatenada!$B:$B=CT$1), 0)), 1))),  0.5, 0))</f>
        <v>0</v>
      </c>
      <c r="CU73" s="47">
        <f t="array" ref="CU73">IF(AND(ISNUMBER(MATCH(CU$2, AsistenciaJetAdminConcatenada!$A:$A, 0)), ISNUMBER(MATCH(CU$1, AsistenciaJetAdminConcatenada!$B:$B, 0)), ISNUMBER(SEARCH($A73,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ISNUMBER(SEARCH($A73, INDEX(AsistenciaJetAdminConcatenada!$D:$D, MATCH(1, (AsistenciaJetAdminConcatenada!$A:$A=CU$2)*(AsistenciaJetAdminConcatenada!$B:$B=CU$1), 0)), 1))),  0.5, 0))</f>
        <v>0</v>
      </c>
      <c r="CV73" s="47">
        <f t="array" ref="CV73">IF(AND(ISNUMBER(MATCH(CV$2, AsistenciaJetAdminConcatenada!$A:$A, 0)), ISNUMBER(MATCH(CV$1, AsistenciaJetAdminConcatenada!$B:$B, 0)), ISNUMBER(SEARCH($A73,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ISNUMBER(SEARCH($A73, INDEX(AsistenciaJetAdminConcatenada!$D:$D, MATCH(1, (AsistenciaJetAdminConcatenada!$A:$A=CV$2)*(AsistenciaJetAdminConcatenada!$B:$B=CV$1), 0)), 1))),  0.5, 0))</f>
        <v>0</v>
      </c>
      <c r="CW73" s="47">
        <f t="array" ref="CW73">IF(AND(ISNUMBER(MATCH(CW$2, AsistenciaJetAdminConcatenada!$A:$A, 0)), ISNUMBER(MATCH(CW$1, AsistenciaJetAdminConcatenada!$B:$B, 0)), ISNUMBER(SEARCH($A73,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ISNUMBER(SEARCH($A73, INDEX(AsistenciaJetAdminConcatenada!$D:$D, MATCH(1, (AsistenciaJetAdminConcatenada!$A:$A=CW$2)*(AsistenciaJetAdminConcatenada!$B:$B=CW$1), 0)), 1))),  0.5, 0))</f>
        <v>0</v>
      </c>
      <c r="CX73" s="47">
        <f t="array" ref="CX73">IF(AND(ISNUMBER(MATCH(CX$2, AsistenciaJetAdminConcatenada!$A:$A, 0)), ISNUMBER(MATCH(CX$1, AsistenciaJetAdminConcatenada!$B:$B, 0)), ISNUMBER(SEARCH($A73,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ISNUMBER(SEARCH($A73, INDEX(AsistenciaJetAdminConcatenada!$D:$D, MATCH(1, (AsistenciaJetAdminConcatenada!$A:$A=CX$2)*(AsistenciaJetAdminConcatenada!$B:$B=CX$1), 0)), 1))),  0.5, 0))</f>
        <v>0</v>
      </c>
      <c r="CY73" s="47">
        <f t="array" ref="CY73">IF(AND(ISNUMBER(MATCH(CY$2, AsistenciaJetAdminConcatenada!$A:$A, 0)), ISNUMBER(MATCH(CY$1, AsistenciaJetAdminConcatenada!$B:$B, 0)), ISNUMBER(SEARCH($A73,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ISNUMBER(SEARCH($A73, INDEX(AsistenciaJetAdminConcatenada!$D:$D, MATCH(1, (AsistenciaJetAdminConcatenada!$A:$A=CY$2)*(AsistenciaJetAdminConcatenada!$B:$B=CY$1), 0)), 1))),  0.5, 0))</f>
        <v>0</v>
      </c>
      <c r="CZ73" s="47">
        <f t="array" ref="CZ73">IF(AND(ISNUMBER(MATCH(CZ$2, AsistenciaJetAdminConcatenada!$A:$A, 0)), ISNUMBER(MATCH(CZ$1, AsistenciaJetAdminConcatenada!$B:$B, 0)), ISNUMBER(SEARCH($A73,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ISNUMBER(SEARCH($A73, INDEX(AsistenciaJetAdminConcatenada!$D:$D, MATCH(1, (AsistenciaJetAdminConcatenada!$A:$A=CZ$2)*(AsistenciaJetAdminConcatenada!$B:$B=CZ$1), 0)), 1))),  0.5, 0))</f>
        <v>0</v>
      </c>
      <c r="DA73" s="47">
        <f t="array" ref="DA73">IF(AND(ISNUMBER(MATCH(DA$2, AsistenciaJetAdminConcatenada!$A:$A, 0)), ISNUMBER(MATCH(DA$1, AsistenciaJetAdminConcatenada!$B:$B, 0)), ISNUMBER(SEARCH($A73,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ISNUMBER(SEARCH($A73, INDEX(AsistenciaJetAdminConcatenada!$D:$D, MATCH(1, (AsistenciaJetAdminConcatenada!$A:$A=DA$2)*(AsistenciaJetAdminConcatenada!$B:$B=DA$1), 0)), 1))),  0.5, 0))</f>
        <v>0</v>
      </c>
      <c r="DB73" s="47">
        <f t="array" ref="DB73">IF(AND(ISNUMBER(MATCH(DB$2, AsistenciaJetAdminConcatenada!$A:$A, 0)), ISNUMBER(MATCH(DB$1, AsistenciaJetAdminConcatenada!$B:$B, 0)), ISNUMBER(SEARCH($A73,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ISNUMBER(SEARCH($A73, INDEX(AsistenciaJetAdminConcatenada!$D:$D, MATCH(1, (AsistenciaJetAdminConcatenada!$A:$A=DB$2)*(AsistenciaJetAdminConcatenada!$B:$B=DB$1), 0)), 1))),  0.5, 0))</f>
        <v>0</v>
      </c>
      <c r="DC73" s="47">
        <f t="array" ref="DC73">IF(AND(ISNUMBER(MATCH(DC$2, AsistenciaJetAdminConcatenada!$A:$A, 0)), ISNUMBER(MATCH(DC$1, AsistenciaJetAdminConcatenada!$B:$B, 0)), ISNUMBER(SEARCH($A73,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ISNUMBER(SEARCH($A73, INDEX(AsistenciaJetAdminConcatenada!$D:$D, MATCH(1, (AsistenciaJetAdminConcatenada!$A:$A=DC$2)*(AsistenciaJetAdminConcatenada!$B:$B=DC$1), 0)), 1))),  0.5, 0))</f>
        <v>0</v>
      </c>
      <c r="DD73" s="47">
        <f t="array" ref="DD73">IF(AND(ISNUMBER(MATCH(DD$2, AsistenciaJetAdminConcatenada!$A:$A, 0)), ISNUMBER(MATCH(DD$1, AsistenciaJetAdminConcatenada!$B:$B, 0)), ISNUMBER(SEARCH($A73,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ISNUMBER(SEARCH($A73, INDEX(AsistenciaJetAdminConcatenada!$D:$D, MATCH(1, (AsistenciaJetAdminConcatenada!$A:$A=DD$2)*(AsistenciaJetAdminConcatenada!$B:$B=DD$1), 0)), 1))),  0.5, 0))</f>
        <v>0</v>
      </c>
      <c r="DE73" s="47">
        <f t="array" ref="DE73">IF(AND(ISNUMBER(MATCH(DE$2, AsistenciaJetAdminConcatenada!$A:$A, 0)), ISNUMBER(MATCH(DE$1, AsistenciaJetAdminConcatenada!$B:$B, 0)), ISNUMBER(SEARCH($A73,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ISNUMBER(SEARCH($A73, INDEX(AsistenciaJetAdminConcatenada!$D:$D, MATCH(1, (AsistenciaJetAdminConcatenada!$A:$A=DE$2)*(AsistenciaJetAdminConcatenada!$B:$B=DE$1), 0)), 1))),  0.5, 0))</f>
        <v>0</v>
      </c>
      <c r="DF73" s="47">
        <f t="array" ref="DF73">IF(AND(ISNUMBER(MATCH(DF$2, AsistenciaJetAdminConcatenada!$A:$A, 0)), ISNUMBER(MATCH(DF$1, AsistenciaJetAdminConcatenada!$B:$B, 0)), ISNUMBER(SEARCH($A73,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ISNUMBER(SEARCH($A73, INDEX(AsistenciaJetAdminConcatenada!$D:$D, MATCH(1, (AsistenciaJetAdminConcatenada!$A:$A=DF$2)*(AsistenciaJetAdminConcatenada!$B:$B=DF$1), 0)), 1))),  0.5, 0))</f>
        <v>0</v>
      </c>
      <c r="DG73" s="47">
        <f t="array" ref="DG73">IF(AND(ISNUMBER(MATCH(DG$2, AsistenciaJetAdminConcatenada!$A:$A, 0)), ISNUMBER(MATCH(DG$1, AsistenciaJetAdminConcatenada!$B:$B, 0)), ISNUMBER(SEARCH($A73,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ISNUMBER(SEARCH($A73, INDEX(AsistenciaJetAdminConcatenada!$D:$D, MATCH(1, (AsistenciaJetAdminConcatenada!$A:$A=DG$2)*(AsistenciaJetAdminConcatenada!$B:$B=DG$1), 0)), 1))),  0.5, 0))</f>
        <v>0</v>
      </c>
      <c r="DH73" s="47">
        <f t="array" ref="DH73">IF(AND(ISNUMBER(MATCH(DH$2, AsistenciaJetAdminConcatenada!$A:$A, 0)), ISNUMBER(MATCH(DH$1, AsistenciaJetAdminConcatenada!$B:$B, 0)), ISNUMBER(SEARCH($A73,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ISNUMBER(SEARCH($A73, INDEX(AsistenciaJetAdminConcatenada!$D:$D, MATCH(1, (AsistenciaJetAdminConcatenada!$A:$A=DH$2)*(AsistenciaJetAdminConcatenada!$B:$B=DH$1), 0)), 1))),  0.5, 0))</f>
        <v>0</v>
      </c>
      <c r="DI73" s="47">
        <f t="array" ref="DI73">IF(AND(ISNUMBER(MATCH(DI$2, AsistenciaJetAdminConcatenada!$A:$A, 0)), ISNUMBER(MATCH(DI$1, AsistenciaJetAdminConcatenada!$B:$B, 0)), ISNUMBER(SEARCH($A73,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ISNUMBER(SEARCH($A73, INDEX(AsistenciaJetAdminConcatenada!$D:$D, MATCH(1, (AsistenciaJetAdminConcatenada!$A:$A=DI$2)*(AsistenciaJetAdminConcatenada!$B:$B=DI$1), 0)), 1))),  0.5, 0))</f>
        <v>0</v>
      </c>
      <c r="DJ73" s="47">
        <f t="array" ref="DJ73">IF(AND(ISNUMBER(MATCH(DJ$2, AsistenciaJetAdminConcatenada!$A:$A, 0)), ISNUMBER(MATCH(DJ$1, AsistenciaJetAdminConcatenada!$B:$B, 0)), ISNUMBER(SEARCH($A73,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ISNUMBER(SEARCH($A73, INDEX(AsistenciaJetAdminConcatenada!$D:$D, MATCH(1, (AsistenciaJetAdminConcatenada!$A:$A=DJ$2)*(AsistenciaJetAdminConcatenada!$B:$B=DJ$1), 0)), 1))),  0.5, 0))</f>
        <v>0</v>
      </c>
      <c r="DK73" s="47">
        <f t="array" ref="DK73">IF(AND(ISNUMBER(MATCH(DK$2, AsistenciaJetAdminConcatenada!$A:$A, 0)), ISNUMBER(MATCH(DK$1, AsistenciaJetAdminConcatenada!$B:$B, 0)), ISNUMBER(SEARCH($A73,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ISNUMBER(SEARCH($A73, INDEX(AsistenciaJetAdminConcatenada!$D:$D, MATCH(1, (AsistenciaJetAdminConcatenada!$A:$A=DK$2)*(AsistenciaJetAdminConcatenada!$B:$B=DK$1), 0)), 1))),  0.5, 0))</f>
        <v>0</v>
      </c>
      <c r="DL73" s="47">
        <f t="array" ref="DL73">IF(AND(ISNUMBER(MATCH(DL$2, AsistenciaJetAdminConcatenada!$A:$A, 0)), ISNUMBER(MATCH(DL$1, AsistenciaJetAdminConcatenada!$B:$B, 0)), ISNUMBER(SEARCH($A73,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ISNUMBER(SEARCH($A73, INDEX(AsistenciaJetAdminConcatenada!$D:$D, MATCH(1, (AsistenciaJetAdminConcatenada!$A:$A=DL$2)*(AsistenciaJetAdminConcatenada!$B:$B=DL$1), 0)), 1))),  0.5, 0))</f>
        <v>0</v>
      </c>
      <c r="DM73" s="47">
        <f t="array" ref="DM73">IF(AND(ISNUMBER(MATCH(DM$2, AsistenciaJetAdminConcatenada!$A:$A, 0)), ISNUMBER(MATCH(DM$1, AsistenciaJetAdminConcatenada!$B:$B, 0)), ISNUMBER(SEARCH($A73,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ISNUMBER(SEARCH($A73, INDEX(AsistenciaJetAdminConcatenada!$D:$D, MATCH(1, (AsistenciaJetAdminConcatenada!$A:$A=DM$2)*(AsistenciaJetAdminConcatenada!$B:$B=DM$1), 0)), 1))),  0.5, 0))</f>
        <v>0</v>
      </c>
      <c r="DN73" s="47">
        <f t="array" ref="DN73">IF(AND(ISNUMBER(MATCH(DN$2, AsistenciaJetAdminConcatenada!$A:$A, 0)), ISNUMBER(MATCH(DN$1, AsistenciaJetAdminConcatenada!$B:$B, 0)), ISNUMBER(SEARCH($A73,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ISNUMBER(SEARCH($A73, INDEX(AsistenciaJetAdminConcatenada!$D:$D, MATCH(1, (AsistenciaJetAdminConcatenada!$A:$A=DN$2)*(AsistenciaJetAdminConcatenada!$B:$B=DN$1), 0)), 1))),  0.5, 0))</f>
        <v>0</v>
      </c>
      <c r="DO73" s="47">
        <f t="array" ref="DO73">IF(AND(ISNUMBER(MATCH(DO$2, AsistenciaJetAdminConcatenada!$A:$A, 0)), ISNUMBER(MATCH(DO$1, AsistenciaJetAdminConcatenada!$B:$B, 0)), ISNUMBER(SEARCH($A73,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ISNUMBER(SEARCH($A73, INDEX(AsistenciaJetAdminConcatenada!$D:$D, MATCH(1, (AsistenciaJetAdminConcatenada!$A:$A=DO$2)*(AsistenciaJetAdminConcatenada!$B:$B=DO$1), 0)), 1))),  0.5, 0))</f>
        <v>0</v>
      </c>
      <c r="DP73" s="47">
        <f t="array" ref="DP73">IF(AND(ISNUMBER(MATCH(DP$2, AsistenciaJetAdminConcatenada!$A:$A, 0)), ISNUMBER(MATCH(DP$1, AsistenciaJetAdminConcatenada!$B:$B, 0)), ISNUMBER(SEARCH($A73,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ISNUMBER(SEARCH($A73, INDEX(AsistenciaJetAdminConcatenada!$D:$D, MATCH(1, (AsistenciaJetAdminConcatenada!$A:$A=DP$2)*(AsistenciaJetAdminConcatenada!$B:$B=DP$1), 0)), 1))),  0.5, 0))</f>
        <v>0</v>
      </c>
      <c r="DQ73" s="47">
        <f t="array" ref="DQ73">IF(AND(ISNUMBER(MATCH(DQ$2, AsistenciaJetAdminConcatenada!$A:$A, 0)), ISNUMBER(MATCH(DQ$1, AsistenciaJetAdminConcatenada!$B:$B, 0)), ISNUMBER(SEARCH($A73,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ISNUMBER(SEARCH($A73, INDEX(AsistenciaJetAdminConcatenada!$D:$D, MATCH(1, (AsistenciaJetAdminConcatenada!$A:$A=DQ$2)*(AsistenciaJetAdminConcatenada!$B:$B=DQ$1), 0)), 1))),  0.5, 0))</f>
        <v>0</v>
      </c>
      <c r="DR73" s="47">
        <f t="array" ref="DR73">IF(AND(ISNUMBER(MATCH(DR$2, AsistenciaJetAdminConcatenada!$A:$A, 0)), ISNUMBER(MATCH(DR$1, AsistenciaJetAdminConcatenada!$B:$B, 0)), ISNUMBER(SEARCH($A73,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ISNUMBER(SEARCH($A73, INDEX(AsistenciaJetAdminConcatenada!$D:$D, MATCH(1, (AsistenciaJetAdminConcatenada!$A:$A=DR$2)*(AsistenciaJetAdminConcatenada!$B:$B=DR$1), 0)), 1))),  0.5, 0))</f>
        <v>0</v>
      </c>
      <c r="DS73" s="47">
        <f t="array" ref="DS73">IF(AND(ISNUMBER(MATCH(DS$2, AsistenciaJetAdminConcatenada!$A:$A, 0)), ISNUMBER(MATCH(DS$1, AsistenciaJetAdminConcatenada!$B:$B, 0)), ISNUMBER(SEARCH($A73,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ISNUMBER(SEARCH($A73, INDEX(AsistenciaJetAdminConcatenada!$D:$D, MATCH(1, (AsistenciaJetAdminConcatenada!$A:$A=DS$2)*(AsistenciaJetAdminConcatenada!$B:$B=DS$1), 0)), 1))),  0.5, 0))</f>
        <v>0</v>
      </c>
      <c r="DT73" s="47">
        <f t="array" ref="DT73">IF(AND(ISNUMBER(MATCH(DT$2, AsistenciaJetAdminConcatenada!$A:$A, 0)), ISNUMBER(MATCH(DT$1, AsistenciaJetAdminConcatenada!$B:$B, 0)), ISNUMBER(SEARCH($A73,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ISNUMBER(SEARCH($A73, INDEX(AsistenciaJetAdminConcatenada!$D:$D, MATCH(1, (AsistenciaJetAdminConcatenada!$A:$A=DT$2)*(AsistenciaJetAdminConcatenada!$B:$B=DT$1), 0)), 1))),  0.5, 0))</f>
        <v>0</v>
      </c>
      <c r="DU73" s="47">
        <f t="array" ref="DU73">IF(AND(ISNUMBER(MATCH(DU$2, AsistenciaJetAdminConcatenada!$A:$A, 0)), ISNUMBER(MATCH(DU$1, AsistenciaJetAdminConcatenada!$B:$B, 0)), ISNUMBER(SEARCH($A73,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ISNUMBER(SEARCH($A73, INDEX(AsistenciaJetAdminConcatenada!$D:$D, MATCH(1, (AsistenciaJetAdminConcatenada!$A:$A=DU$2)*(AsistenciaJetAdminConcatenada!$B:$B=DU$1), 0)), 1))),  0.5, 0))</f>
        <v>0</v>
      </c>
      <c r="DV73" s="47">
        <f t="array" ref="DV73">IF(AND(ISNUMBER(MATCH(DV$2, AsistenciaJetAdminConcatenada!$A:$A, 0)), ISNUMBER(MATCH(DV$1, AsistenciaJetAdminConcatenada!$B:$B, 0)), ISNUMBER(SEARCH($A73,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ISNUMBER(SEARCH($A73, INDEX(AsistenciaJetAdminConcatenada!$D:$D, MATCH(1, (AsistenciaJetAdminConcatenada!$A:$A=DV$2)*(AsistenciaJetAdminConcatenada!$B:$B=DV$1), 0)), 1))),  0.5, 0))</f>
        <v>0</v>
      </c>
      <c r="DW73" s="47">
        <f t="array" ref="DW73">IF(AND(ISNUMBER(MATCH(DW$2, AsistenciaJetAdminConcatenada!$A:$A, 0)), ISNUMBER(MATCH(DW$1, AsistenciaJetAdminConcatenada!$B:$B, 0)), ISNUMBER(SEARCH($A73,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ISNUMBER(SEARCH($A73, INDEX(AsistenciaJetAdminConcatenada!$D:$D, MATCH(1, (AsistenciaJetAdminConcatenada!$A:$A=DW$2)*(AsistenciaJetAdminConcatenada!$B:$B=DW$1), 0)), 1))),  0.5, 0))</f>
        <v>0</v>
      </c>
      <c r="DX73" s="47">
        <f t="array" ref="DX73">IF(AND(ISNUMBER(MATCH(DX$2, AsistenciaJetAdminConcatenada!$A:$A, 0)), ISNUMBER(MATCH(DX$1, AsistenciaJetAdminConcatenada!$B:$B, 0)), ISNUMBER(SEARCH($A73,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ISNUMBER(SEARCH($A73, INDEX(AsistenciaJetAdminConcatenada!$D:$D, MATCH(1, (AsistenciaJetAdminConcatenada!$A:$A=DX$2)*(AsistenciaJetAdminConcatenada!$B:$B=DX$1), 0)), 1))),  0.5, 0))</f>
        <v>0</v>
      </c>
      <c r="DY73" s="47">
        <f t="array" ref="DY73">IF(AND(ISNUMBER(MATCH(DY$2, AsistenciaJetAdminConcatenada!$A:$A, 0)), ISNUMBER(MATCH(DY$1, AsistenciaJetAdminConcatenada!$B:$B, 0)), ISNUMBER(SEARCH($A73,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ISNUMBER(SEARCH($A73, INDEX(AsistenciaJetAdminConcatenada!$D:$D, MATCH(1, (AsistenciaJetAdminConcatenada!$A:$A=DY$2)*(AsistenciaJetAdminConcatenada!$B:$B=DY$1), 0)), 1))),  0.5, 0))</f>
        <v>0</v>
      </c>
      <c r="DZ73" s="47">
        <f t="array" ref="DZ73">IF(AND(ISNUMBER(MATCH(DZ$2, AsistenciaJetAdminConcatenada!$A:$A, 0)), ISNUMBER(MATCH(DZ$1, AsistenciaJetAdminConcatenada!$B:$B, 0)), ISNUMBER(SEARCH($A73,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ISNUMBER(SEARCH($A73, INDEX(AsistenciaJetAdminConcatenada!$D:$D, MATCH(1, (AsistenciaJetAdminConcatenada!$A:$A=DZ$2)*(AsistenciaJetAdminConcatenada!$B:$B=DZ$1), 0)), 1))),  0.5, 0))</f>
        <v>0</v>
      </c>
      <c r="EA73" s="47">
        <f t="array" ref="EA73">IF(AND(ISNUMBER(MATCH(EA$2, AsistenciaJetAdminConcatenada!$A:$A, 0)), ISNUMBER(MATCH(EA$1, AsistenciaJetAdminConcatenada!$B:$B, 0)), ISNUMBER(SEARCH($A73,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ISNUMBER(SEARCH($A73, INDEX(AsistenciaJetAdminConcatenada!$D:$D, MATCH(1, (AsistenciaJetAdminConcatenada!$A:$A=EA$2)*(AsistenciaJetAdminConcatenada!$B:$B=EA$1), 0)), 1))),  0.5, 0))</f>
        <v>0</v>
      </c>
      <c r="EB73" s="47">
        <f t="array" ref="EB73">IF(AND(ISNUMBER(MATCH(EB$2, AsistenciaJetAdminConcatenada!$A:$A, 0)), ISNUMBER(MATCH(EB$1, AsistenciaJetAdminConcatenada!$B:$B, 0)), ISNUMBER(SEARCH($A73,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ISNUMBER(SEARCH($A73, INDEX(AsistenciaJetAdminConcatenada!$D:$D, MATCH(1, (AsistenciaJetAdminConcatenada!$A:$A=EB$2)*(AsistenciaJetAdminConcatenada!$B:$B=EB$1), 0)), 1))),  0.5, 0))</f>
        <v>0</v>
      </c>
      <c r="EC73" s="47">
        <f t="array" ref="EC73">IF(AND(ISNUMBER(MATCH(EC$2, AsistenciaJetAdminConcatenada!$A:$A, 0)), ISNUMBER(MATCH(EC$1, AsistenciaJetAdminConcatenada!$B:$B, 0)), ISNUMBER(SEARCH($A73,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ISNUMBER(SEARCH($A73, INDEX(AsistenciaJetAdminConcatenada!$D:$D, MATCH(1, (AsistenciaJetAdminConcatenada!$A:$A=EC$2)*(AsistenciaJetAdminConcatenada!$B:$B=EC$1), 0)), 1))),  0.5, 0))</f>
        <v>0</v>
      </c>
      <c r="ED73" s="47">
        <f t="array" ref="ED73">IF(AND(ISNUMBER(MATCH(ED$2, AsistenciaJetAdminConcatenada!$A:$A, 0)), ISNUMBER(MATCH(ED$1, AsistenciaJetAdminConcatenada!$B:$B, 0)), ISNUMBER(SEARCH($A73,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ISNUMBER(SEARCH($A73, INDEX(AsistenciaJetAdminConcatenada!$D:$D, MATCH(1, (AsistenciaJetAdminConcatenada!$A:$A=ED$2)*(AsistenciaJetAdminConcatenada!$B:$B=ED$1), 0)), 1))),  0.5, 0))</f>
        <v>0</v>
      </c>
      <c r="EE73" s="47">
        <f t="array" ref="EE73">IF(AND(ISNUMBER(MATCH(EE$2, AsistenciaJetAdminConcatenada!$A:$A, 0)), ISNUMBER(MATCH(EE$1, AsistenciaJetAdminConcatenada!$B:$B, 0)), ISNUMBER(SEARCH($A73,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ISNUMBER(SEARCH($A73, INDEX(AsistenciaJetAdminConcatenada!$D:$D, MATCH(1, (AsistenciaJetAdminConcatenada!$A:$A=EE$2)*(AsistenciaJetAdminConcatenada!$B:$B=EE$1), 0)), 1))),  0.5, 0))</f>
        <v>0</v>
      </c>
      <c r="EF73" s="47">
        <f t="array" ref="EF73">IF(AND(ISNUMBER(MATCH(EF$2, AsistenciaJetAdminConcatenada!$A:$A, 0)), ISNUMBER(MATCH(EF$1, AsistenciaJetAdminConcatenada!$B:$B, 0)), ISNUMBER(SEARCH($A73,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ISNUMBER(SEARCH($A73, INDEX(AsistenciaJetAdminConcatenada!$D:$D, MATCH(1, (AsistenciaJetAdminConcatenada!$A:$A=EF$2)*(AsistenciaJetAdminConcatenada!$B:$B=EF$1), 0)), 1))),  0.5, 0))</f>
        <v>0</v>
      </c>
      <c r="EG73" s="47">
        <f t="array" ref="EG73">IF(AND(ISNUMBER(MATCH(EG$2, AsistenciaJetAdminConcatenada!$A:$A, 0)), ISNUMBER(MATCH(EG$1, AsistenciaJetAdminConcatenada!$B:$B, 0)), ISNUMBER(SEARCH($A73,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ISNUMBER(SEARCH($A73, INDEX(AsistenciaJetAdminConcatenada!$D:$D, MATCH(1, (AsistenciaJetAdminConcatenada!$A:$A=EG$2)*(AsistenciaJetAdminConcatenada!$B:$B=EG$1), 0)), 1))),  0.5, 0))</f>
        <v>0</v>
      </c>
      <c r="EH73" s="47">
        <f t="array" ref="EH73">IF(AND(ISNUMBER(MATCH(EH$2, AsistenciaJetAdminConcatenada!$A:$A, 0)), ISNUMBER(MATCH(EH$1, AsistenciaJetAdminConcatenada!$B:$B, 0)), ISNUMBER(SEARCH($A73,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ISNUMBER(SEARCH($A73, INDEX(AsistenciaJetAdminConcatenada!$D:$D, MATCH(1, (AsistenciaJetAdminConcatenada!$A:$A=EH$2)*(AsistenciaJetAdminConcatenada!$B:$B=EH$1), 0)), 1))),  0.5, 0))</f>
        <v>0</v>
      </c>
      <c r="EI73" s="47">
        <f t="array" ref="EI73">IF(AND(ISNUMBER(MATCH(EI$2, AsistenciaJetAdminConcatenada!$A:$A, 0)), ISNUMBER(MATCH(EI$1, AsistenciaJetAdminConcatenada!$B:$B, 0)), ISNUMBER(SEARCH($A73,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ISNUMBER(SEARCH($A73, INDEX(AsistenciaJetAdminConcatenada!$D:$D, MATCH(1, (AsistenciaJetAdminConcatenada!$A:$A=EI$2)*(AsistenciaJetAdminConcatenada!$B:$B=EI$1), 0)), 1))),  0.5, 0))</f>
        <v>0</v>
      </c>
      <c r="EJ73" s="47">
        <f t="array" ref="EJ73">IF(AND(ISNUMBER(MATCH(EJ$2, AsistenciaJetAdminConcatenada!$A:$A, 0)), ISNUMBER(MATCH(EJ$1, AsistenciaJetAdminConcatenada!$B:$B, 0)), ISNUMBER(SEARCH($A73,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ISNUMBER(SEARCH($A73, INDEX(AsistenciaJetAdminConcatenada!$D:$D, MATCH(1, (AsistenciaJetAdminConcatenada!$A:$A=EJ$2)*(AsistenciaJetAdminConcatenada!$B:$B=EJ$1), 0)), 1))),  0.5, 0))</f>
        <v>0</v>
      </c>
      <c r="EK73" s="47">
        <f t="array" ref="EK73">IF(AND(ISNUMBER(MATCH(EK$2, AsistenciaJetAdminConcatenada!$A:$A, 0)), ISNUMBER(MATCH(EK$1, AsistenciaJetAdminConcatenada!$B:$B, 0)), ISNUMBER(SEARCH($A73,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ISNUMBER(SEARCH($A73, INDEX(AsistenciaJetAdminConcatenada!$D:$D, MATCH(1, (AsistenciaJetAdminConcatenada!$A:$A=EK$2)*(AsistenciaJetAdminConcatenada!$B:$B=EK$1), 0)), 1))),  0.5, 0))</f>
        <v>0</v>
      </c>
      <c r="EL73" s="47">
        <f t="array" ref="EL73">IF(AND(ISNUMBER(MATCH(EL$2, AsistenciaJetAdminConcatenada!$A:$A, 0)), ISNUMBER(MATCH(EL$1, AsistenciaJetAdminConcatenada!$B:$B, 0)), ISNUMBER(SEARCH($A73,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ISNUMBER(SEARCH($A73, INDEX(AsistenciaJetAdminConcatenada!$D:$D, MATCH(1, (AsistenciaJetAdminConcatenada!$A:$A=EL$2)*(AsistenciaJetAdminConcatenada!$B:$B=EL$1), 0)), 1))),  0.5, 0))</f>
        <v>0</v>
      </c>
      <c r="EM73" s="47">
        <f t="array" ref="EM73">IF(AND(ISNUMBER(MATCH(EM$2, AsistenciaJetAdminConcatenada!$A:$A, 0)), ISNUMBER(MATCH(EM$1, AsistenciaJetAdminConcatenada!$B:$B, 0)), ISNUMBER(SEARCH($A73,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ISNUMBER(SEARCH($A73, INDEX(AsistenciaJetAdminConcatenada!$D:$D, MATCH(1, (AsistenciaJetAdminConcatenada!$A:$A=EM$2)*(AsistenciaJetAdminConcatenada!$B:$B=EM$1), 0)), 1))),  0.5, 0))</f>
        <v>0</v>
      </c>
      <c r="EN73" s="47">
        <f t="array" ref="EN73">IF(AND(ISNUMBER(MATCH(EN$2, AsistenciaJetAdminConcatenada!$A:$A, 0)), ISNUMBER(MATCH(EN$1, AsistenciaJetAdminConcatenada!$B:$B, 0)), ISNUMBER(SEARCH($A73,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ISNUMBER(SEARCH($A73, INDEX(AsistenciaJetAdminConcatenada!$D:$D, MATCH(1, (AsistenciaJetAdminConcatenada!$A:$A=EN$2)*(AsistenciaJetAdminConcatenada!$B:$B=EN$1), 0)), 1))),  0.5, 0))</f>
        <v>0</v>
      </c>
      <c r="EO73" s="47">
        <f t="array" ref="EO73">IF(AND(ISNUMBER(MATCH(EO$2, AsistenciaJetAdminConcatenada!$A:$A, 0)), ISNUMBER(MATCH(EO$1, AsistenciaJetAdminConcatenada!$B:$B, 0)), ISNUMBER(SEARCH($A73,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ISNUMBER(SEARCH($A73, INDEX(AsistenciaJetAdminConcatenada!$D:$D, MATCH(1, (AsistenciaJetAdminConcatenada!$A:$A=EO$2)*(AsistenciaJetAdminConcatenada!$B:$B=EO$1), 0)), 1))),  0.5, 0))</f>
        <v>0</v>
      </c>
      <c r="EP73" s="47">
        <f t="array" ref="EP73">IF(AND(ISNUMBER(MATCH(EP$2, AsistenciaJetAdminConcatenada!$A:$A, 0)), ISNUMBER(MATCH(EP$1, AsistenciaJetAdminConcatenada!$B:$B, 0)), ISNUMBER(SEARCH($A73,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ISNUMBER(SEARCH($A73, INDEX(AsistenciaJetAdminConcatenada!$D:$D, MATCH(1, (AsistenciaJetAdminConcatenada!$A:$A=EP$2)*(AsistenciaJetAdminConcatenada!$B:$B=EP$1), 0)), 1))),  0.5, 0))</f>
        <v>0</v>
      </c>
      <c r="EQ73" s="47">
        <f t="array" ref="EQ73">IF(AND(ISNUMBER(MATCH(EQ$2, AsistenciaJetAdminConcatenada!$A:$A, 0)), ISNUMBER(MATCH(EQ$1, AsistenciaJetAdminConcatenada!$B:$B, 0)), ISNUMBER(SEARCH($A73,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ISNUMBER(SEARCH($A73, INDEX(AsistenciaJetAdminConcatenada!$D:$D, MATCH(1, (AsistenciaJetAdminConcatenada!$A:$A=EQ$2)*(AsistenciaJetAdminConcatenada!$B:$B=EQ$1), 0)), 1))),  0.5, 0))</f>
        <v>0</v>
      </c>
      <c r="ER73" s="47">
        <f t="array" ref="ER73">IF(AND(ISNUMBER(MATCH(ER$2, AsistenciaJetAdminConcatenada!$A:$A, 0)), ISNUMBER(MATCH(ER$1, AsistenciaJetAdminConcatenada!$B:$B, 0)), ISNUMBER(SEARCH($A73,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ISNUMBER(SEARCH($A73, INDEX(AsistenciaJetAdminConcatenada!$D:$D, MATCH(1, (AsistenciaJetAdminConcatenada!$A:$A=ER$2)*(AsistenciaJetAdminConcatenada!$B:$B=ER$1), 0)), 1))),  0.5, 0))</f>
        <v>0</v>
      </c>
      <c r="ES73" s="47">
        <f t="array" ref="ES73">IF(AND(ISNUMBER(MATCH(ES$2, AsistenciaJetAdminConcatenada!$A:$A, 0)), ISNUMBER(MATCH(ES$1, AsistenciaJetAdminConcatenada!$B:$B, 0)), ISNUMBER(SEARCH($A73,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ISNUMBER(SEARCH($A73, INDEX(AsistenciaJetAdminConcatenada!$D:$D, MATCH(1, (AsistenciaJetAdminConcatenada!$A:$A=ES$2)*(AsistenciaJetAdminConcatenada!$B:$B=ES$1), 0)), 1))),  0.5, 0))</f>
        <v>0</v>
      </c>
      <c r="ET73" s="47">
        <f t="array" ref="ET73">IF(AND(ISNUMBER(MATCH(ET$2, AsistenciaJetAdminConcatenada!$A:$A, 0)), ISNUMBER(MATCH(ET$1, AsistenciaJetAdminConcatenada!$B:$B, 0)), ISNUMBER(SEARCH($A73,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ISNUMBER(SEARCH($A73, INDEX(AsistenciaJetAdminConcatenada!$D:$D, MATCH(1, (AsistenciaJetAdminConcatenada!$A:$A=ET$2)*(AsistenciaJetAdminConcatenada!$B:$B=ET$1), 0)), 1))),  0.5, 0))</f>
        <v>0</v>
      </c>
      <c r="EU73" s="47">
        <f t="array" ref="EU73">IF(AND(ISNUMBER(MATCH(EU$2, AsistenciaJetAdminConcatenada!$A:$A, 0)), ISNUMBER(MATCH(EU$1, AsistenciaJetAdminConcatenada!$B:$B, 0)), ISNUMBER(SEARCH($A73,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ISNUMBER(SEARCH($A73, INDEX(AsistenciaJetAdminConcatenada!$D:$D, MATCH(1, (AsistenciaJetAdminConcatenada!$A:$A=EU$2)*(AsistenciaJetAdminConcatenada!$B:$B=EU$1), 0)), 1))),  0.5, 0))</f>
        <v>0</v>
      </c>
      <c r="EV73" s="47">
        <f t="array" ref="EV73">IF(AND(ISNUMBER(MATCH(EV$2, AsistenciaJetAdminConcatenada!$A:$A, 0)), ISNUMBER(MATCH(EV$1, AsistenciaJetAdminConcatenada!$B:$B, 0)), ISNUMBER(SEARCH($A73,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ISNUMBER(SEARCH($A73, INDEX(AsistenciaJetAdminConcatenada!$D:$D, MATCH(1, (AsistenciaJetAdminConcatenada!$A:$A=EV$2)*(AsistenciaJetAdminConcatenada!$B:$B=EV$1), 0)), 1))),  0.5, 0))</f>
        <v>0</v>
      </c>
      <c r="EW73" s="47">
        <f t="array" ref="EW73">IF(AND(ISNUMBER(MATCH(EW$2, AsistenciaJetAdminConcatenada!$A:$A, 0)), ISNUMBER(MATCH(EW$1, AsistenciaJetAdminConcatenada!$B:$B, 0)), ISNUMBER(SEARCH($A73,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ISNUMBER(SEARCH($A73, INDEX(AsistenciaJetAdminConcatenada!$D:$D, MATCH(1, (AsistenciaJetAdminConcatenada!$A:$A=EW$2)*(AsistenciaJetAdminConcatenada!$B:$B=EW$1), 0)), 1))),  0.5, 0))</f>
        <v>0</v>
      </c>
      <c r="EX73" s="47">
        <f t="array" ref="EX73">IF(AND(ISNUMBER(MATCH(EX$2, AsistenciaJetAdminConcatenada!$A:$A, 0)), ISNUMBER(MATCH(EX$1, AsistenciaJetAdminConcatenada!$B:$B, 0)), ISNUMBER(SEARCH($A73,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ISNUMBER(SEARCH($A73, INDEX(AsistenciaJetAdminConcatenada!$D:$D, MATCH(1, (AsistenciaJetAdminConcatenada!$A:$A=EX$2)*(AsistenciaJetAdminConcatenada!$B:$B=EX$1), 0)), 1))),  0.5, 0))</f>
        <v>0</v>
      </c>
      <c r="EY73" s="47">
        <f t="array" ref="EY73">IF(AND(ISNUMBER(MATCH(EY$2, AsistenciaJetAdminConcatenada!$A:$A, 0)), ISNUMBER(MATCH(EY$1, AsistenciaJetAdminConcatenada!$B:$B, 0)), ISNUMBER(SEARCH($A73,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ISNUMBER(SEARCH($A73, INDEX(AsistenciaJetAdminConcatenada!$D:$D, MATCH(1, (AsistenciaJetAdminConcatenada!$A:$A=EY$2)*(AsistenciaJetAdminConcatenada!$B:$B=EY$1), 0)), 1))),  0.5, 0))</f>
        <v>0</v>
      </c>
      <c r="EZ73" s="47">
        <f t="array" ref="EZ73">IF(AND(ISNUMBER(MATCH(EZ$2, AsistenciaJetAdminConcatenada!$A:$A, 0)), ISNUMBER(MATCH(EZ$1, AsistenciaJetAdminConcatenada!$B:$B, 0)), ISNUMBER(SEARCH($A73,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ISNUMBER(SEARCH($A73, INDEX(AsistenciaJetAdminConcatenada!$D:$D, MATCH(1, (AsistenciaJetAdminConcatenada!$A:$A=EZ$2)*(AsistenciaJetAdminConcatenada!$B:$B=EZ$1), 0)), 1))),  0.5, 0))</f>
        <v>0</v>
      </c>
      <c r="FA73" s="47">
        <f t="array" ref="FA73">IF(AND(ISNUMBER(MATCH(FA$2, AsistenciaJetAdminConcatenada!$A:$A, 0)), ISNUMBER(MATCH(FA$1, AsistenciaJetAdminConcatenada!$B:$B, 0)), ISNUMBER(SEARCH($A73,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ISNUMBER(SEARCH($A73, INDEX(AsistenciaJetAdminConcatenada!$D:$D, MATCH(1, (AsistenciaJetAdminConcatenada!$A:$A=FA$2)*(AsistenciaJetAdminConcatenada!$B:$B=FA$1), 0)), 1))),  0.5, 0))</f>
        <v>0</v>
      </c>
      <c r="FB73" s="47">
        <f t="array" ref="FB73">IF(AND(ISNUMBER(MATCH(FB$2, AsistenciaJetAdminConcatenada!$A:$A, 0)), ISNUMBER(MATCH(FB$1, AsistenciaJetAdminConcatenada!$B:$B, 0)), ISNUMBER(SEARCH($A73,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ISNUMBER(SEARCH($A73, INDEX(AsistenciaJetAdminConcatenada!$D:$D, MATCH(1, (AsistenciaJetAdminConcatenada!$A:$A=FB$2)*(AsistenciaJetAdminConcatenada!$B:$B=FB$1), 0)), 1))),  0.5, 0))</f>
        <v>0</v>
      </c>
      <c r="FC73" s="47">
        <f t="array" ref="FC73">IF(AND(ISNUMBER(MATCH(FC$2, AsistenciaJetAdminConcatenada!$A:$A, 0)), ISNUMBER(MATCH(FC$1, AsistenciaJetAdminConcatenada!$B:$B, 0)), ISNUMBER(SEARCH($A73,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ISNUMBER(SEARCH($A73, INDEX(AsistenciaJetAdminConcatenada!$D:$D, MATCH(1, (AsistenciaJetAdminConcatenada!$A:$A=FC$2)*(AsistenciaJetAdminConcatenada!$B:$B=FC$1), 0)), 1))),  0.5, 0))</f>
        <v>0</v>
      </c>
      <c r="FD73" s="47">
        <f t="array" ref="FD73">IF(AND(ISNUMBER(MATCH(FD$2, AsistenciaJetAdminConcatenada!$A:$A, 0)), ISNUMBER(MATCH(FD$1, AsistenciaJetAdminConcatenada!$B:$B, 0)), ISNUMBER(SEARCH($A73,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ISNUMBER(SEARCH($A73, INDEX(AsistenciaJetAdminConcatenada!$D:$D, MATCH(1, (AsistenciaJetAdminConcatenada!$A:$A=FD$2)*(AsistenciaJetAdminConcatenada!$B:$B=FD$1), 0)), 1))),  0.5, 0))</f>
        <v>0</v>
      </c>
      <c r="FE73" s="47">
        <f t="array" ref="FE73">IF(AND(ISNUMBER(MATCH(FE$2, AsistenciaJetAdminConcatenada!$A:$A, 0)), ISNUMBER(MATCH(FE$1, AsistenciaJetAdminConcatenada!$B:$B, 0)), ISNUMBER(SEARCH($A73,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ISNUMBER(SEARCH($A73, INDEX(AsistenciaJetAdminConcatenada!$D:$D, MATCH(1, (AsistenciaJetAdminConcatenada!$A:$A=FE$2)*(AsistenciaJetAdminConcatenada!$B:$B=FE$1), 0)), 1))),  0.5, 0))</f>
        <v>0</v>
      </c>
      <c r="FF73" s="47">
        <f t="array" ref="FF73">IF(AND(ISNUMBER(MATCH(FF$2, AsistenciaJetAdminConcatenada!$A:$A, 0)), ISNUMBER(MATCH(FF$1, AsistenciaJetAdminConcatenada!$B:$B, 0)), ISNUMBER(SEARCH($A73,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ISNUMBER(SEARCH($A73, INDEX(AsistenciaJetAdminConcatenada!$D:$D, MATCH(1, (AsistenciaJetAdminConcatenada!$A:$A=FF$2)*(AsistenciaJetAdminConcatenada!$B:$B=FF$1), 0)), 1))),  0.5, 0))</f>
        <v>0</v>
      </c>
      <c r="FG73" s="47">
        <f t="array" ref="FG73">IF(AND(ISNUMBER(MATCH(FG$2, AsistenciaJetAdminConcatenada!$A:$A, 0)), ISNUMBER(MATCH(FG$1, AsistenciaJetAdminConcatenada!$B:$B, 0)), ISNUMBER(SEARCH($A73,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ISNUMBER(SEARCH($A73, INDEX(AsistenciaJetAdminConcatenada!$D:$D, MATCH(1, (AsistenciaJetAdminConcatenada!$A:$A=FG$2)*(AsistenciaJetAdminConcatenada!$B:$B=FG$1), 0)), 1))),  0.5, 0))</f>
        <v>0</v>
      </c>
      <c r="FH73" s="47">
        <f t="array" ref="FH73">IF(AND(ISNUMBER(MATCH(FH$2, AsistenciaJetAdminConcatenada!$A:$A, 0)), ISNUMBER(MATCH(FH$1, AsistenciaJetAdminConcatenada!$B:$B, 0)), ISNUMBER(SEARCH($A73,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ISNUMBER(SEARCH($A73, INDEX(AsistenciaJetAdminConcatenada!$D:$D, MATCH(1, (AsistenciaJetAdminConcatenada!$A:$A=FH$2)*(AsistenciaJetAdminConcatenada!$B:$B=FH$1), 0)), 1))),  0.5, 0))</f>
        <v>0</v>
      </c>
      <c r="FI73" s="47">
        <f t="array" ref="FI73">IF(AND(ISNUMBER(MATCH(FI$2, AsistenciaJetAdminConcatenada!$A:$A, 0)), ISNUMBER(MATCH(FI$1, AsistenciaJetAdminConcatenada!$B:$B, 0)), ISNUMBER(SEARCH($A73,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ISNUMBER(SEARCH($A73, INDEX(AsistenciaJetAdminConcatenada!$D:$D, MATCH(1, (AsistenciaJetAdminConcatenada!$A:$A=FI$2)*(AsistenciaJetAdminConcatenada!$B:$B=FI$1), 0)), 1))),  0.5, 0))</f>
        <v>0</v>
      </c>
      <c r="FJ73" s="47">
        <f t="array" ref="FJ73">IF(AND(ISNUMBER(MATCH(FJ$2, AsistenciaJetAdminConcatenada!$A:$A, 0)), ISNUMBER(MATCH(FJ$1, AsistenciaJetAdminConcatenada!$B:$B, 0)), ISNUMBER(SEARCH($A73,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ISNUMBER(SEARCH($A73, INDEX(AsistenciaJetAdminConcatenada!$D:$D, MATCH(1, (AsistenciaJetAdminConcatenada!$A:$A=FJ$2)*(AsistenciaJetAdminConcatenada!$B:$B=FJ$1), 0)), 1))),  0.5, 0))</f>
        <v>0</v>
      </c>
      <c r="FK73" s="47">
        <f t="array" ref="FK73">IF(AND(ISNUMBER(MATCH(FK$2, AsistenciaJetAdminConcatenada!$A:$A, 0)), ISNUMBER(MATCH(FK$1, AsistenciaJetAdminConcatenada!$B:$B, 0)), ISNUMBER(SEARCH($A73,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ISNUMBER(SEARCH($A73, INDEX(AsistenciaJetAdminConcatenada!$D:$D, MATCH(1, (AsistenciaJetAdminConcatenada!$A:$A=FK$2)*(AsistenciaJetAdminConcatenada!$B:$B=FK$1), 0)), 1))),  0.5, 0))</f>
        <v>0</v>
      </c>
      <c r="FL73" s="47">
        <f t="array" ref="FL73">IF(AND(ISNUMBER(MATCH(FL$2, AsistenciaJetAdminConcatenada!$A:$A, 0)), ISNUMBER(MATCH(FL$1, AsistenciaJetAdminConcatenada!$B:$B, 0)), ISNUMBER(SEARCH($A73,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ISNUMBER(SEARCH($A73, INDEX(AsistenciaJetAdminConcatenada!$D:$D, MATCH(1, (AsistenciaJetAdminConcatenada!$A:$A=FL$2)*(AsistenciaJetAdminConcatenada!$B:$B=FL$1), 0)), 1))),  0.5, 0))</f>
        <v>0</v>
      </c>
      <c r="FM73" s="47">
        <f t="array" ref="FM73">IF(AND(ISNUMBER(MATCH(FM$2, AsistenciaJetAdminConcatenada!$A:$A, 0)), ISNUMBER(MATCH(FM$1, AsistenciaJetAdminConcatenada!$B:$B, 0)), ISNUMBER(SEARCH($A73,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ISNUMBER(SEARCH($A73, INDEX(AsistenciaJetAdminConcatenada!$D:$D, MATCH(1, (AsistenciaJetAdminConcatenada!$A:$A=FM$2)*(AsistenciaJetAdminConcatenada!$B:$B=FM$1), 0)), 1))),  0.5, 0))</f>
        <v>0</v>
      </c>
      <c r="FN73" s="47">
        <f t="array" ref="FN73">IF(AND(ISNUMBER(MATCH(FN$2, AsistenciaJetAdminConcatenada!$A:$A, 0)), ISNUMBER(MATCH(FN$1, AsistenciaJetAdminConcatenada!$B:$B, 0)), ISNUMBER(SEARCH($A73,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ISNUMBER(SEARCH($A73, INDEX(AsistenciaJetAdminConcatenada!$D:$D, MATCH(1, (AsistenciaJetAdminConcatenada!$A:$A=FN$2)*(AsistenciaJetAdminConcatenada!$B:$B=FN$1), 0)), 1))),  0.5, 0))</f>
        <v>0</v>
      </c>
      <c r="FO73" s="47">
        <f t="array" ref="FO73">IF(AND(ISNUMBER(MATCH(FO$2, AsistenciaJetAdminConcatenada!$A:$A, 0)), ISNUMBER(MATCH(FO$1, AsistenciaJetAdminConcatenada!$B:$B, 0)), ISNUMBER(SEARCH($A73,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ISNUMBER(SEARCH($A73, INDEX(AsistenciaJetAdminConcatenada!$D:$D, MATCH(1, (AsistenciaJetAdminConcatenada!$A:$A=FO$2)*(AsistenciaJetAdminConcatenada!$B:$B=FO$1), 0)), 1))),  0.5, 0))</f>
        <v>0</v>
      </c>
      <c r="FP73" s="47">
        <f t="array" ref="FP73">IF(AND(ISNUMBER(MATCH(FP$2, AsistenciaJetAdminConcatenada!$A:$A, 0)), ISNUMBER(MATCH(FP$1, AsistenciaJetAdminConcatenada!$B:$B, 0)), ISNUMBER(SEARCH($A73,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ISNUMBER(SEARCH($A73, INDEX(AsistenciaJetAdminConcatenada!$D:$D, MATCH(1, (AsistenciaJetAdminConcatenada!$A:$A=FP$2)*(AsistenciaJetAdminConcatenada!$B:$B=FP$1), 0)), 1))),  0.5, 0))</f>
        <v>0</v>
      </c>
      <c r="FQ73" s="47">
        <f t="array" ref="FQ73">IF(AND(ISNUMBER(MATCH(FQ$2, AsistenciaJetAdminConcatenada!$A:$A, 0)), ISNUMBER(MATCH(FQ$1, AsistenciaJetAdminConcatenada!$B:$B, 0)), ISNUMBER(SEARCH($A73,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ISNUMBER(SEARCH($A73, INDEX(AsistenciaJetAdminConcatenada!$D:$D, MATCH(1, (AsistenciaJetAdminConcatenada!$A:$A=FQ$2)*(AsistenciaJetAdminConcatenada!$B:$B=FQ$1), 0)), 1))),  0.5, 0))</f>
        <v>0</v>
      </c>
      <c r="FR73" s="47">
        <f t="array" ref="FR73">IF(AND(ISNUMBER(MATCH(FR$2, AsistenciaJetAdminConcatenada!$A:$A, 0)), ISNUMBER(MATCH(FR$1, AsistenciaJetAdminConcatenada!$B:$B, 0)), ISNUMBER(SEARCH($A73,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ISNUMBER(SEARCH($A73, INDEX(AsistenciaJetAdminConcatenada!$D:$D, MATCH(1, (AsistenciaJetAdminConcatenada!$A:$A=FR$2)*(AsistenciaJetAdminConcatenada!$B:$B=FR$1), 0)), 1))),  0.5, 0))</f>
        <v>0</v>
      </c>
      <c r="FS73" s="47">
        <f t="array" ref="FS73">IF(AND(ISNUMBER(MATCH(FS$2, AsistenciaJetAdminConcatenada!$A:$A, 0)), ISNUMBER(MATCH(FS$1, AsistenciaJetAdminConcatenada!$B:$B, 0)), ISNUMBER(SEARCH($A73,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ISNUMBER(SEARCH($A73, INDEX(AsistenciaJetAdminConcatenada!$D:$D, MATCH(1, (AsistenciaJetAdminConcatenada!$A:$A=FS$2)*(AsistenciaJetAdminConcatenada!$B:$B=FS$1), 0)), 1))),  0.5, 0))</f>
        <v>0</v>
      </c>
      <c r="FT73" s="47">
        <f t="array" ref="FT73">IF(AND(ISNUMBER(MATCH(FT$2, AsistenciaJetAdminConcatenada!$A:$A, 0)), ISNUMBER(MATCH(FT$1, AsistenciaJetAdminConcatenada!$B:$B, 0)), ISNUMBER(SEARCH($A73,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ISNUMBER(SEARCH($A73, INDEX(AsistenciaJetAdminConcatenada!$D:$D, MATCH(1, (AsistenciaJetAdminConcatenada!$A:$A=FT$2)*(AsistenciaJetAdminConcatenada!$B:$B=FT$1), 0)), 1))),  0.5, 0))</f>
        <v>0</v>
      </c>
      <c r="FU73" s="47">
        <f t="array" ref="FU73">IF(AND(ISNUMBER(MATCH(FU$2, AsistenciaJetAdminConcatenada!$A:$A, 0)), ISNUMBER(MATCH(FU$1, AsistenciaJetAdminConcatenada!$B:$B, 0)), ISNUMBER(SEARCH($A73,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ISNUMBER(SEARCH($A73, INDEX(AsistenciaJetAdminConcatenada!$D:$D, MATCH(1, (AsistenciaJetAdminConcatenada!$A:$A=FU$2)*(AsistenciaJetAdminConcatenada!$B:$B=FU$1), 0)), 1))),  0.5, 0))</f>
        <v>0</v>
      </c>
      <c r="FV73" s="47">
        <f t="array" ref="FV73">IF(AND(ISNUMBER(MATCH(FV$2, AsistenciaJetAdminConcatenada!$A:$A, 0)), ISNUMBER(MATCH(FV$1, AsistenciaJetAdminConcatenada!$B:$B, 0)), ISNUMBER(SEARCH($A73,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ISNUMBER(SEARCH($A73, INDEX(AsistenciaJetAdminConcatenada!$D:$D, MATCH(1, (AsistenciaJetAdminConcatenada!$A:$A=FV$2)*(AsistenciaJetAdminConcatenada!$B:$B=FV$1), 0)), 1))),  0.5, 0))</f>
        <v>0</v>
      </c>
      <c r="FW73" s="47">
        <f t="array" ref="FW73">IF(AND(ISNUMBER(MATCH(FW$2, AsistenciaJetAdminConcatenada!$A:$A, 0)), ISNUMBER(MATCH(FW$1, AsistenciaJetAdminConcatenada!$B:$B, 0)), ISNUMBER(SEARCH($A73,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ISNUMBER(SEARCH($A73, INDEX(AsistenciaJetAdminConcatenada!$D:$D, MATCH(1, (AsistenciaJetAdminConcatenada!$A:$A=FW$2)*(AsistenciaJetAdminConcatenada!$B:$B=FW$1), 0)), 1))),  0.5, 0))</f>
        <v>0</v>
      </c>
      <c r="FX73" s="47">
        <f t="array" ref="FX73">IF(AND(ISNUMBER(MATCH(FX$2, AsistenciaJetAdminConcatenada!$A:$A, 0)), ISNUMBER(MATCH(FX$1, AsistenciaJetAdminConcatenada!$B:$B, 0)), ISNUMBER(SEARCH($A73,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ISNUMBER(SEARCH($A73, INDEX(AsistenciaJetAdminConcatenada!$D:$D, MATCH(1, (AsistenciaJetAdminConcatenada!$A:$A=FX$2)*(AsistenciaJetAdminConcatenada!$B:$B=FX$1), 0)), 1))),  0.5, 0))</f>
        <v>0</v>
      </c>
      <c r="FY73" s="47">
        <f t="array" ref="FY73">IF(AND(ISNUMBER(MATCH(FY$2, AsistenciaJetAdminConcatenada!$A:$A, 0)), ISNUMBER(MATCH(FY$1, AsistenciaJetAdminConcatenada!$B:$B, 0)), ISNUMBER(SEARCH($A73,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ISNUMBER(SEARCH($A73, INDEX(AsistenciaJetAdminConcatenada!$D:$D, MATCH(1, (AsistenciaJetAdminConcatenada!$A:$A=FY$2)*(AsistenciaJetAdminConcatenada!$B:$B=FY$1), 0)), 1))),  0.5, 0))</f>
        <v>0</v>
      </c>
      <c r="FZ73" s="47">
        <f t="array" ref="FZ73">IF(AND(ISNUMBER(MATCH(FZ$2, AsistenciaJetAdminConcatenada!$A:$A, 0)), ISNUMBER(MATCH(FZ$1, AsistenciaJetAdminConcatenada!$B:$B, 0)), ISNUMBER(SEARCH($A73,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ISNUMBER(SEARCH($A73, INDEX(AsistenciaJetAdminConcatenada!$D:$D, MATCH(1, (AsistenciaJetAdminConcatenada!$A:$A=FZ$2)*(AsistenciaJetAdminConcatenada!$B:$B=FZ$1), 0)), 1))),  0.5, 0))</f>
        <v>0</v>
      </c>
      <c r="GA73" s="47">
        <f t="array" ref="GA73">IF(AND(ISNUMBER(MATCH(GA$2, AsistenciaJetAdminConcatenada!$A:$A, 0)), ISNUMBER(MATCH(GA$1, AsistenciaJetAdminConcatenada!$B:$B, 0)), ISNUMBER(SEARCH($A73,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ISNUMBER(SEARCH($A73, INDEX(AsistenciaJetAdminConcatenada!$D:$D, MATCH(1, (AsistenciaJetAdminConcatenada!$A:$A=GA$2)*(AsistenciaJetAdminConcatenada!$B:$B=GA$1), 0)), 1))),  0.5, 0))</f>
        <v>0</v>
      </c>
      <c r="GB73" s="47">
        <f t="array" ref="GB73">IF(AND(ISNUMBER(MATCH(GB$2, AsistenciaJetAdminConcatenada!$A:$A, 0)), ISNUMBER(MATCH(GB$1, AsistenciaJetAdminConcatenada!$B:$B, 0)), ISNUMBER(SEARCH($A73,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ISNUMBER(SEARCH($A73, INDEX(AsistenciaJetAdminConcatenada!$D:$D, MATCH(1, (AsistenciaJetAdminConcatenada!$A:$A=GB$2)*(AsistenciaJetAdminConcatenada!$B:$B=GB$1), 0)), 1))),  0.5, 0))</f>
        <v>0</v>
      </c>
      <c r="GC73" s="47">
        <f t="array" ref="GC73">IF(AND(ISNUMBER(MATCH(GC$2, AsistenciaJetAdminConcatenada!$A:$A, 0)), ISNUMBER(MATCH(GC$1, AsistenciaJetAdminConcatenada!$B:$B, 0)), ISNUMBER(SEARCH($A73,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ISNUMBER(SEARCH($A73, INDEX(AsistenciaJetAdminConcatenada!$D:$D, MATCH(1, (AsistenciaJetAdminConcatenada!$A:$A=GC$2)*(AsistenciaJetAdminConcatenada!$B:$B=GC$1), 0)), 1))),  0.5, 0))</f>
        <v>0</v>
      </c>
      <c r="GD73" s="47">
        <f t="array" ref="GD73">IF(AND(ISNUMBER(MATCH(GD$2, AsistenciaJetAdminConcatenada!$A:$A, 0)), ISNUMBER(MATCH(GD$1, AsistenciaJetAdminConcatenada!$B:$B, 0)), ISNUMBER(SEARCH($A73,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ISNUMBER(SEARCH($A73, INDEX(AsistenciaJetAdminConcatenada!$D:$D, MATCH(1, (AsistenciaJetAdminConcatenada!$A:$A=GD$2)*(AsistenciaJetAdminConcatenada!$B:$B=GD$1), 0)), 1))),  0.5, 0))</f>
        <v>0</v>
      </c>
      <c r="GE73" s="47">
        <f t="array" ref="GE73">IF(AND(ISNUMBER(MATCH(GE$2, AsistenciaJetAdminConcatenada!$A:$A, 0)), ISNUMBER(MATCH(GE$1, AsistenciaJetAdminConcatenada!$B:$B, 0)), ISNUMBER(SEARCH($A73,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ISNUMBER(SEARCH($A73, INDEX(AsistenciaJetAdminConcatenada!$D:$D, MATCH(1, (AsistenciaJetAdminConcatenada!$A:$A=GE$2)*(AsistenciaJetAdminConcatenada!$B:$B=GE$1), 0)), 1))),  0.5, 0))</f>
        <v>0</v>
      </c>
      <c r="GF73" s="47">
        <f t="array" ref="GF73">IF(AND(ISNUMBER(MATCH(GF$2, AsistenciaJetAdminConcatenada!$A:$A, 0)), ISNUMBER(MATCH(GF$1, AsistenciaJetAdminConcatenada!$B:$B, 0)), ISNUMBER(SEARCH($A73,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ISNUMBER(SEARCH($A73, INDEX(AsistenciaJetAdminConcatenada!$D:$D, MATCH(1, (AsistenciaJetAdminConcatenada!$A:$A=GF$2)*(AsistenciaJetAdminConcatenada!$B:$B=GF$1), 0)), 1))),  0.5, 0))</f>
        <v>0</v>
      </c>
      <c r="GG73" s="47">
        <f t="array" ref="GG73">IF(AND(ISNUMBER(MATCH(GG$2, AsistenciaJetAdminConcatenada!$A:$A, 0)), ISNUMBER(MATCH(GG$1, AsistenciaJetAdminConcatenada!$B:$B, 0)), ISNUMBER(SEARCH($A73,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ISNUMBER(SEARCH($A73, INDEX(AsistenciaJetAdminConcatenada!$D:$D, MATCH(1, (AsistenciaJetAdminConcatenada!$A:$A=GG$2)*(AsistenciaJetAdminConcatenada!$B:$B=GG$1), 0)), 1))),  0.5, 0))</f>
        <v>0</v>
      </c>
      <c r="GH73" s="47">
        <f t="array" ref="GH73">IF(AND(ISNUMBER(MATCH(GH$2, AsistenciaJetAdminConcatenada!$A:$A, 0)), ISNUMBER(MATCH(GH$1, AsistenciaJetAdminConcatenada!$B:$B, 0)), ISNUMBER(SEARCH($A73,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ISNUMBER(SEARCH($A73, INDEX(AsistenciaJetAdminConcatenada!$D:$D, MATCH(1, (AsistenciaJetAdminConcatenada!$A:$A=GH$2)*(AsistenciaJetAdminConcatenada!$B:$B=GH$1), 0)), 1))),  0.5, 0))</f>
        <v>0</v>
      </c>
      <c r="GI73" s="47">
        <f t="array" ref="GI73">IF(AND(ISNUMBER(MATCH(GI$2, AsistenciaJetAdminConcatenada!$A:$A, 0)), ISNUMBER(MATCH(GI$1, AsistenciaJetAdminConcatenada!$B:$B, 0)), ISNUMBER(SEARCH($A73,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ISNUMBER(SEARCH($A73, INDEX(AsistenciaJetAdminConcatenada!$D:$D, MATCH(1, (AsistenciaJetAdminConcatenada!$A:$A=GI$2)*(AsistenciaJetAdminConcatenada!$B:$B=GI$1), 0)), 1))),  0.5, 0))</f>
        <v>0</v>
      </c>
      <c r="GJ73" s="47">
        <f t="array" ref="GJ73">IF(AND(ISNUMBER(MATCH(GJ$2, AsistenciaJetAdminConcatenada!$A:$A, 0)), ISNUMBER(MATCH(GJ$1, AsistenciaJetAdminConcatenada!$B:$B, 0)), ISNUMBER(SEARCH($A73,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ISNUMBER(SEARCH($A73, INDEX(AsistenciaJetAdminConcatenada!$D:$D, MATCH(1, (AsistenciaJetAdminConcatenada!$A:$A=GJ$2)*(AsistenciaJetAdminConcatenada!$B:$B=GJ$1), 0)), 1))),  0.5, 0))</f>
        <v>0</v>
      </c>
      <c r="GK73" s="47">
        <f t="array" ref="GK73">IF(AND(ISNUMBER(MATCH(GK$2, AsistenciaJetAdminConcatenada!$A:$A, 0)), ISNUMBER(MATCH(GK$1, AsistenciaJetAdminConcatenada!$B:$B, 0)), ISNUMBER(SEARCH($A73,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ISNUMBER(SEARCH($A73, INDEX(AsistenciaJetAdminConcatenada!$D:$D, MATCH(1, (AsistenciaJetAdminConcatenada!$A:$A=GK$2)*(AsistenciaJetAdminConcatenada!$B:$B=GK$1), 0)), 1))),  0.5, 0))</f>
        <v>0</v>
      </c>
      <c r="GL73" s="47">
        <f t="array" ref="GL73">IF(AND(ISNUMBER(MATCH(GL$2, AsistenciaJetAdminConcatenada!$A:$A, 0)), ISNUMBER(MATCH(GL$1, AsistenciaJetAdminConcatenada!$B:$B, 0)), ISNUMBER(SEARCH($A73,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ISNUMBER(SEARCH($A73, INDEX(AsistenciaJetAdminConcatenada!$D:$D, MATCH(1, (AsistenciaJetAdminConcatenada!$A:$A=GL$2)*(AsistenciaJetAdminConcatenada!$B:$B=GL$1), 0)), 1))),  0.5, 0))</f>
        <v>0</v>
      </c>
      <c r="GM73" s="47">
        <f t="array" ref="GM73">IF(AND(ISNUMBER(MATCH(GM$2, AsistenciaJetAdminConcatenada!$A:$A, 0)), ISNUMBER(MATCH(GM$1, AsistenciaJetAdminConcatenada!$B:$B, 0)), ISNUMBER(SEARCH($A73,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ISNUMBER(SEARCH($A73, INDEX(AsistenciaJetAdminConcatenada!$D:$D, MATCH(1, (AsistenciaJetAdminConcatenada!$A:$A=GM$2)*(AsistenciaJetAdminConcatenada!$B:$B=GM$1), 0)), 1))),  0.5, 0))</f>
        <v>0</v>
      </c>
      <c r="GN73" s="47">
        <f t="array" ref="GN73">IF(AND(ISNUMBER(MATCH(GN$2, AsistenciaJetAdminConcatenada!$A:$A, 0)), ISNUMBER(MATCH(GN$1, AsistenciaJetAdminConcatenada!$B:$B, 0)), ISNUMBER(SEARCH($A73,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ISNUMBER(SEARCH($A73, INDEX(AsistenciaJetAdminConcatenada!$D:$D, MATCH(1, (AsistenciaJetAdminConcatenada!$A:$A=GN$2)*(AsistenciaJetAdminConcatenada!$B:$B=GN$1), 0)), 1))),  0.5, 0))</f>
        <v>0</v>
      </c>
      <c r="GO73" s="47">
        <f t="array" ref="GO73">IF(AND(ISNUMBER(MATCH(GO$2, AsistenciaJetAdminConcatenada!$A:$A, 0)), ISNUMBER(MATCH(GO$1, AsistenciaJetAdminConcatenada!$B:$B, 0)), ISNUMBER(SEARCH($A73,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ISNUMBER(SEARCH($A73, INDEX(AsistenciaJetAdminConcatenada!$D:$D, MATCH(1, (AsistenciaJetAdminConcatenada!$A:$A=GO$2)*(AsistenciaJetAdminConcatenada!$B:$B=GO$1), 0)), 1))),  0.5, 0))</f>
        <v>0</v>
      </c>
      <c r="GP73" s="47">
        <f t="array" ref="GP73">IF(AND(ISNUMBER(MATCH(GP$2, AsistenciaJetAdminConcatenada!$A:$A, 0)), ISNUMBER(MATCH(GP$1, AsistenciaJetAdminConcatenada!$B:$B, 0)), ISNUMBER(SEARCH($A73,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ISNUMBER(SEARCH($A73, INDEX(AsistenciaJetAdminConcatenada!$D:$D, MATCH(1, (AsistenciaJetAdminConcatenada!$A:$A=GP$2)*(AsistenciaJetAdminConcatenada!$B:$B=GP$1), 0)), 1))),  0.5, 0))</f>
        <v>0</v>
      </c>
      <c r="GQ73" s="47">
        <f t="array" ref="GQ73">IF(AND(ISNUMBER(MATCH(GQ$2, AsistenciaJetAdminConcatenada!$A:$A, 0)), ISNUMBER(MATCH(GQ$1, AsistenciaJetAdminConcatenada!$B:$B, 0)), ISNUMBER(SEARCH($A73,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ISNUMBER(SEARCH($A73, INDEX(AsistenciaJetAdminConcatenada!$D:$D, MATCH(1, (AsistenciaJetAdminConcatenada!$A:$A=GQ$2)*(AsistenciaJetAdminConcatenada!$B:$B=GQ$1), 0)), 1))),  0.5, 0))</f>
        <v>0</v>
      </c>
      <c r="GR73" s="47">
        <f t="array" ref="GR73">IF(AND(ISNUMBER(MATCH(GR$2, AsistenciaJetAdminConcatenada!$A:$A, 0)), ISNUMBER(MATCH(GR$1, AsistenciaJetAdminConcatenada!$B:$B, 0)), ISNUMBER(SEARCH($A73,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ISNUMBER(SEARCH($A73, INDEX(AsistenciaJetAdminConcatenada!$D:$D, MATCH(1, (AsistenciaJetAdminConcatenada!$A:$A=GR$2)*(AsistenciaJetAdminConcatenada!$B:$B=GR$1), 0)), 1))),  0.5, 0))</f>
        <v>0</v>
      </c>
      <c r="GS73" s="47">
        <f t="array" ref="GS73">IF(AND(ISNUMBER(MATCH(GS$2, AsistenciaJetAdminConcatenada!$A:$A, 0)), ISNUMBER(MATCH(GS$1, AsistenciaJetAdminConcatenada!$B:$B, 0)), ISNUMBER(SEARCH($A73,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ISNUMBER(SEARCH($A73, INDEX(AsistenciaJetAdminConcatenada!$D:$D, MATCH(1, (AsistenciaJetAdminConcatenada!$A:$A=GS$2)*(AsistenciaJetAdminConcatenada!$B:$B=GS$1), 0)), 1))),  0.5, 0))</f>
        <v>0</v>
      </c>
      <c r="GT73" s="47">
        <f t="array" ref="GT73">IF(AND(ISNUMBER(MATCH(GT$2, AsistenciaJetAdminConcatenada!$A:$A, 0)), ISNUMBER(MATCH(GT$1, AsistenciaJetAdminConcatenada!$B:$B, 0)), ISNUMBER(SEARCH($A73,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ISNUMBER(SEARCH($A73, INDEX(AsistenciaJetAdminConcatenada!$D:$D, MATCH(1, (AsistenciaJetAdminConcatenada!$A:$A=GT$2)*(AsistenciaJetAdminConcatenada!$B:$B=GT$1), 0)), 1))),  0.5, 0))</f>
        <v>0</v>
      </c>
      <c r="GU73" s="47">
        <f t="array" ref="GU73">IF(AND(ISNUMBER(MATCH(GU$2, AsistenciaJetAdminConcatenada!$A:$A, 0)), ISNUMBER(MATCH(GU$1, AsistenciaJetAdminConcatenada!$B:$B, 0)), ISNUMBER(SEARCH($A73,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ISNUMBER(SEARCH($A73, INDEX(AsistenciaJetAdminConcatenada!$D:$D, MATCH(1, (AsistenciaJetAdminConcatenada!$A:$A=GU$2)*(AsistenciaJetAdminConcatenada!$B:$B=GU$1), 0)), 1))),  0.5, 0))</f>
        <v>0</v>
      </c>
      <c r="GV73" s="47">
        <f t="array" ref="GV73">IF(AND(ISNUMBER(MATCH(GV$2, AsistenciaJetAdminConcatenada!$A:$A, 0)), ISNUMBER(MATCH(GV$1, AsistenciaJetAdminConcatenada!$B:$B, 0)), ISNUMBER(SEARCH($A73,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ISNUMBER(SEARCH($A73, INDEX(AsistenciaJetAdminConcatenada!$D:$D, MATCH(1, (AsistenciaJetAdminConcatenada!$A:$A=GV$2)*(AsistenciaJetAdminConcatenada!$B:$B=GV$1), 0)), 1))),  0.5, 0))</f>
        <v>0</v>
      </c>
      <c r="GW73" s="47">
        <f t="array" ref="GW73">IF(AND(ISNUMBER(MATCH(GW$2, AsistenciaJetAdminConcatenada!$A:$A, 0)), ISNUMBER(MATCH(GW$1, AsistenciaJetAdminConcatenada!$B:$B, 0)), ISNUMBER(SEARCH($A73,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ISNUMBER(SEARCH($A73, INDEX(AsistenciaJetAdminConcatenada!$D:$D, MATCH(1, (AsistenciaJetAdminConcatenada!$A:$A=GW$2)*(AsistenciaJetAdminConcatenada!$B:$B=GW$1), 0)), 1))),  0.5, 0))</f>
        <v>0</v>
      </c>
      <c r="GX73" s="47">
        <f t="array" ref="GX73">IF(AND(ISNUMBER(MATCH(GX$2, AsistenciaJetAdminConcatenada!$A:$A, 0)), ISNUMBER(MATCH(GX$1, AsistenciaJetAdminConcatenada!$B:$B, 0)), ISNUMBER(SEARCH($A73,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ISNUMBER(SEARCH($A73, INDEX(AsistenciaJetAdminConcatenada!$D:$D, MATCH(1, (AsistenciaJetAdminConcatenada!$A:$A=GX$2)*(AsistenciaJetAdminConcatenada!$B:$B=GX$1), 0)), 1))),  0.5, 0))</f>
        <v>0</v>
      </c>
      <c r="GY73" s="47">
        <f t="array" ref="GY73">IF(AND(ISNUMBER(MATCH(GY$2, AsistenciaJetAdminConcatenada!$A:$A, 0)), ISNUMBER(MATCH(GY$1, AsistenciaJetAdminConcatenada!$B:$B, 0)), ISNUMBER(SEARCH($A73,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ISNUMBER(SEARCH($A73, INDEX(AsistenciaJetAdminConcatenada!$D:$D, MATCH(1, (AsistenciaJetAdminConcatenada!$A:$A=GY$2)*(AsistenciaJetAdminConcatenada!$B:$B=GY$1), 0)), 1))),  0.5, 0))</f>
        <v>0</v>
      </c>
      <c r="GZ73" s="47">
        <f t="array" ref="GZ73">IF(AND(ISNUMBER(MATCH(GZ$2, AsistenciaJetAdminConcatenada!$A:$A, 0)), ISNUMBER(MATCH(GZ$1, AsistenciaJetAdminConcatenada!$B:$B, 0)), ISNUMBER(SEARCH($A73,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ISNUMBER(SEARCH($A73, INDEX(AsistenciaJetAdminConcatenada!$D:$D, MATCH(1, (AsistenciaJetAdminConcatenada!$A:$A=GZ$2)*(AsistenciaJetAdminConcatenada!$B:$B=GZ$1), 0)), 1))),  0.5, 0))</f>
        <v>0</v>
      </c>
      <c r="HA73" s="47">
        <f t="array" ref="HA73">IF(AND(ISNUMBER(MATCH(HA$2, AsistenciaJetAdminConcatenada!$A:$A, 0)), ISNUMBER(MATCH(HA$1, AsistenciaJetAdminConcatenada!$B:$B, 0)), ISNUMBER(SEARCH($A73,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ISNUMBER(SEARCH($A73, INDEX(AsistenciaJetAdminConcatenada!$D:$D, MATCH(1, (AsistenciaJetAdminConcatenada!$A:$A=HA$2)*(AsistenciaJetAdminConcatenada!$B:$B=HA$1), 0)), 1))),  0.5, 0))</f>
        <v>0</v>
      </c>
      <c r="HB73" s="47">
        <f t="array" ref="HB73">IF(AND(ISNUMBER(MATCH(HB$2, AsistenciaJetAdminConcatenada!$A:$A, 0)), ISNUMBER(MATCH(HB$1, AsistenciaJetAdminConcatenada!$B:$B, 0)), ISNUMBER(SEARCH($A73,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ISNUMBER(SEARCH($A73, INDEX(AsistenciaJetAdminConcatenada!$D:$D, MATCH(1, (AsistenciaJetAdminConcatenada!$A:$A=HB$2)*(AsistenciaJetAdminConcatenada!$B:$B=HB$1), 0)), 1))),  0.5, 0))</f>
        <v>0</v>
      </c>
      <c r="HC73" s="47">
        <f t="array" ref="HC73">IF(AND(ISNUMBER(MATCH(HC$2, AsistenciaJetAdminConcatenada!$A:$A, 0)), ISNUMBER(MATCH(HC$1, AsistenciaJetAdminConcatenada!$B:$B, 0)), ISNUMBER(SEARCH($A73,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ISNUMBER(SEARCH($A73, INDEX(AsistenciaJetAdminConcatenada!$D:$D, MATCH(1, (AsistenciaJetAdminConcatenada!$A:$A=HC$2)*(AsistenciaJetAdminConcatenada!$B:$B=HC$1), 0)), 1))),  0.5, 0))</f>
        <v>0</v>
      </c>
    </row>
    <row r="74" ht="29.25" customHeight="1">
      <c r="A74" s="3">
        <v>159.0</v>
      </c>
      <c r="B74" s="4" t="s">
        <v>232</v>
      </c>
      <c r="C74" s="47">
        <f>SUM(D74:HC74) + ActividadesEspeciales!C74</f>
        <v>68.5</v>
      </c>
      <c r="D74" s="47">
        <f t="array" ref="D74">IF(AND(ISNUMBER(MATCH(D$2, AsistenciaJetAdminConcatenada!$A:$A, 0)), ISNUMBER(MATCH(D$1, AsistenciaJetAdminConcatenada!$B:$B, 0)), ISNUMBER(SEARCH($A74,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ISNUMBER(SEARCH($A74, INDEX(AsistenciaJetAdminConcatenada!$D:$D, MATCH(1, (AsistenciaJetAdminConcatenada!$A:$A=D$2)*(AsistenciaJetAdminConcatenada!$B:$B=D$1), 0)), 1))),  0.5, 0))</f>
        <v>1</v>
      </c>
      <c r="E74" s="47">
        <f t="array" ref="E74">IF(AND(ISNUMBER(MATCH(E$2, AsistenciaJetAdminConcatenada!$A:$A, 0)), ISNUMBER(MATCH(E$1, AsistenciaJetAdminConcatenada!$B:$B, 0)), ISNUMBER(SEARCH($A74,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ISNUMBER(SEARCH($A74, INDEX(AsistenciaJetAdminConcatenada!$D:$D, MATCH(1, (AsistenciaJetAdminConcatenada!$A:$A=E$2)*(AsistenciaJetAdminConcatenada!$B:$B=E$1), 0)), 1))),  0.5, 0))</f>
        <v>1</v>
      </c>
      <c r="F74" s="47">
        <f t="array" ref="F74">IF(AND(ISNUMBER(MATCH(F$2, AsistenciaJetAdminConcatenada!$A:$A, 0)), ISNUMBER(MATCH(F$1, AsistenciaJetAdminConcatenada!$B:$B, 0)), ISNUMBER(SEARCH($A74,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ISNUMBER(SEARCH($A74, INDEX(AsistenciaJetAdminConcatenada!$D:$D, MATCH(1, (AsistenciaJetAdminConcatenada!$A:$A=F$2)*(AsistenciaJetAdminConcatenada!$B:$B=F$1), 0)), 1))),  0.5, 0))</f>
        <v>1</v>
      </c>
      <c r="G74" s="47">
        <f t="array" ref="G74">IF(AND(ISNUMBER(MATCH(G$2, AsistenciaJetAdminConcatenada!$A:$A, 0)), ISNUMBER(MATCH(G$1, AsistenciaJetAdminConcatenada!$B:$B, 0)), ISNUMBER(SEARCH($A74,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ISNUMBER(SEARCH($A74, INDEX(AsistenciaJetAdminConcatenada!$D:$D, MATCH(1, (AsistenciaJetAdminConcatenada!$A:$A=G$2)*(AsistenciaJetAdminConcatenada!$B:$B=G$1), 0)), 1))),  0.5, 0))</f>
        <v>1</v>
      </c>
      <c r="H74" s="47">
        <f t="array" ref="H74">IF(AND(ISNUMBER(MATCH(H$2, AsistenciaJetAdminConcatenada!$A:$A, 0)), ISNUMBER(MATCH(H$1, AsistenciaJetAdminConcatenada!$B:$B, 0)), ISNUMBER(SEARCH($A74,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ISNUMBER(SEARCH($A74, INDEX(AsistenciaJetAdminConcatenada!$D:$D, MATCH(1, (AsistenciaJetAdminConcatenada!$A:$A=H$2)*(AsistenciaJetAdminConcatenada!$B:$B=H$1), 0)), 1))),  0.5, 0))</f>
        <v>1</v>
      </c>
      <c r="I74" s="47">
        <f t="array" ref="I74">IF(AND(ISNUMBER(MATCH(I$2, AsistenciaJetAdminConcatenada!$A:$A, 0)), ISNUMBER(MATCH(I$1, AsistenciaJetAdminConcatenada!$B:$B, 0)), ISNUMBER(SEARCH($A74,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ISNUMBER(SEARCH($A74, INDEX(AsistenciaJetAdminConcatenada!$D:$D, MATCH(1, (AsistenciaJetAdminConcatenada!$A:$A=I$2)*(AsistenciaJetAdminConcatenada!$B:$B=I$1), 0)), 1))),  0.5, 0))</f>
        <v>1</v>
      </c>
      <c r="J74" s="47">
        <f t="array" ref="J74">IF(AND(ISNUMBER(MATCH(J$2, AsistenciaJetAdminConcatenada!$A:$A, 0)), ISNUMBER(MATCH(J$1, AsistenciaJetAdminConcatenada!$B:$B, 0)), ISNUMBER(SEARCH($A74,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ISNUMBER(SEARCH($A74, INDEX(AsistenciaJetAdminConcatenada!$D:$D, MATCH(1, (AsistenciaJetAdminConcatenada!$A:$A=J$2)*(AsistenciaJetAdminConcatenada!$B:$B=J$1), 0)), 1))),  0.5, 0))</f>
        <v>0</v>
      </c>
      <c r="K74" s="47">
        <f t="array" ref="K74">IF(AND(ISNUMBER(MATCH(K$2, AsistenciaJetAdminConcatenada!$A:$A, 0)), ISNUMBER(MATCH(K$1, AsistenciaJetAdminConcatenada!$B:$B, 0)), ISNUMBER(SEARCH($A74,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ISNUMBER(SEARCH($A74, INDEX(AsistenciaJetAdminConcatenada!$D:$D, MATCH(1, (AsistenciaJetAdminConcatenada!$A:$A=K$2)*(AsistenciaJetAdminConcatenada!$B:$B=K$1), 0)), 1))),  0.5, 0))</f>
        <v>1</v>
      </c>
      <c r="L74" s="47">
        <f t="array" ref="L74">IF(AND(ISNUMBER(MATCH(L$2, AsistenciaJetAdminConcatenada!$A:$A, 0)), ISNUMBER(MATCH(L$1, AsistenciaJetAdminConcatenada!$B:$B, 0)), ISNUMBER(SEARCH($A74,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ISNUMBER(SEARCH($A74, INDEX(AsistenciaJetAdminConcatenada!$D:$D, MATCH(1, (AsistenciaJetAdminConcatenada!$A:$A=L$2)*(AsistenciaJetAdminConcatenada!$B:$B=L$1), 0)), 1))),  0.5, 0))</f>
        <v>1</v>
      </c>
      <c r="M74" s="47">
        <f t="array" ref="M74">IF(AND(ISNUMBER(MATCH(M$2, AsistenciaJetAdminConcatenada!$A:$A, 0)), ISNUMBER(MATCH(M$1, AsistenciaJetAdminConcatenada!$B:$B, 0)), ISNUMBER(SEARCH($A74,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ISNUMBER(SEARCH($A74, INDEX(AsistenciaJetAdminConcatenada!$D:$D, MATCH(1, (AsistenciaJetAdminConcatenada!$A:$A=M$2)*(AsistenciaJetAdminConcatenada!$B:$B=M$1), 0)), 1))),  0.5, 0))</f>
        <v>1</v>
      </c>
      <c r="N74" s="8">
        <v>1.0</v>
      </c>
      <c r="O74" s="47">
        <f t="array" ref="O74">IF(AND(ISNUMBER(MATCH(O$2, AsistenciaJetAdminConcatenada!$A:$A, 0)), ISNUMBER(MATCH(O$1, AsistenciaJetAdminConcatenada!$B:$B, 0)), ISNUMBER(SEARCH($A74,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ISNUMBER(SEARCH($A74, INDEX(AsistenciaJetAdminConcatenada!$D:$D, MATCH(1, (AsistenciaJetAdminConcatenada!$A:$A=O$2)*(AsistenciaJetAdminConcatenada!$B:$B=O$1), 0)), 1))),  0.5, 0))</f>
        <v>1</v>
      </c>
      <c r="P74" s="8">
        <v>0.0</v>
      </c>
      <c r="Q74" s="8">
        <v>0.0</v>
      </c>
      <c r="R74" s="47">
        <f t="array" ref="R74">IF(AND(ISNUMBER(MATCH(R$2, AsistenciaJetAdminConcatenada!$A:$A, 0)), ISNUMBER(MATCH(R$1, AsistenciaJetAdminConcatenada!$B:$B, 0)), ISNUMBER(SEARCH($A74,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ISNUMBER(SEARCH($A74, INDEX(AsistenciaJetAdminConcatenada!$D:$D, MATCH(1, (AsistenciaJetAdminConcatenada!$A:$A=R$2)*(AsistenciaJetAdminConcatenada!$B:$B=R$1), 0)), 1))),  0.5, 0))</f>
        <v>1</v>
      </c>
      <c r="S74" s="47">
        <f t="array" ref="S74">IF(AND(ISNUMBER(MATCH(S$2, AsistenciaJetAdminConcatenada!$A:$A, 0)), ISNUMBER(MATCH(S$1, AsistenciaJetAdminConcatenada!$B:$B, 0)), ISNUMBER(SEARCH($A74,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ISNUMBER(SEARCH($A74, INDEX(AsistenciaJetAdminConcatenada!$D:$D, MATCH(1, (AsistenciaJetAdminConcatenada!$A:$A=S$2)*(AsistenciaJetAdminConcatenada!$B:$B=S$1), 0)), 1))),  0.5, 0))</f>
        <v>1</v>
      </c>
      <c r="T74" s="47">
        <f t="array" ref="T74">IF(AND(ISNUMBER(MATCH(T$2, AsistenciaJetAdminConcatenada!$A:$A, 0)), ISNUMBER(MATCH(T$1, AsistenciaJetAdminConcatenada!$B:$B, 0)), ISNUMBER(SEARCH($A74,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ISNUMBER(SEARCH($A74, INDEX(AsistenciaJetAdminConcatenada!$D:$D, MATCH(1, (AsistenciaJetAdminConcatenada!$A:$A=T$2)*(AsistenciaJetAdminConcatenada!$B:$B=T$1), 0)), 1))),  0.5, 0))</f>
        <v>1</v>
      </c>
      <c r="U74" s="47">
        <f t="array" ref="U74">IF(AND(ISNUMBER(MATCH(U$2, AsistenciaJetAdminConcatenada!$A:$A, 0)), ISNUMBER(MATCH(U$1, AsistenciaJetAdminConcatenada!$B:$B, 0)), ISNUMBER(SEARCH($A74,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ISNUMBER(SEARCH($A74, INDEX(AsistenciaJetAdminConcatenada!$D:$D, MATCH(1, (AsistenciaJetAdminConcatenada!$A:$A=U$2)*(AsistenciaJetAdminConcatenada!$B:$B=U$1), 0)), 1))),  0.5, 0))</f>
        <v>0</v>
      </c>
      <c r="V74" s="47">
        <f t="array" ref="V74">IF(AND(ISNUMBER(MATCH(V$2, AsistenciaJetAdminConcatenada!$A:$A, 0)), ISNUMBER(MATCH(V$1, AsistenciaJetAdminConcatenada!$B:$B, 0)), ISNUMBER(SEARCH($A74,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ISNUMBER(SEARCH($A74, INDEX(AsistenciaJetAdminConcatenada!$D:$D, MATCH(1, (AsistenciaJetAdminConcatenada!$A:$A=V$2)*(AsistenciaJetAdminConcatenada!$B:$B=V$1), 0)), 1))),  0.5, 0))</f>
        <v>0</v>
      </c>
      <c r="W74" s="47">
        <f t="array" ref="W74">IF(AND(ISNUMBER(MATCH(W$2, AsistenciaJetAdminConcatenada!$A:$A, 0)), ISNUMBER(MATCH(W$1, AsistenciaJetAdminConcatenada!$B:$B, 0)), ISNUMBER(SEARCH($A74,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ISNUMBER(SEARCH($A74, INDEX(AsistenciaJetAdminConcatenada!$D:$D, MATCH(1, (AsistenciaJetAdminConcatenada!$A:$A=W$2)*(AsistenciaJetAdminConcatenada!$B:$B=W$1), 0)), 1))),  0.5, 0))</f>
        <v>1</v>
      </c>
      <c r="X74" s="47">
        <f t="array" ref="X74">IF(AND(ISNUMBER(MATCH(X$2, AsistenciaJetAdminConcatenada!$A:$A, 0)), ISNUMBER(MATCH(X$1, AsistenciaJetAdminConcatenada!$B:$B, 0)), ISNUMBER(SEARCH($A74,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ISNUMBER(SEARCH($A74, INDEX(AsistenciaJetAdminConcatenada!$D:$D, MATCH(1, (AsistenciaJetAdminConcatenada!$A:$A=X$2)*(AsistenciaJetAdminConcatenada!$B:$B=X$1), 0)), 1))),  0.5, 0))</f>
        <v>1</v>
      </c>
      <c r="Y74" s="47">
        <f t="array" ref="Y74">IF(AND(ISNUMBER(MATCH(Y$2, AsistenciaJetAdminConcatenada!$A:$A, 0)), ISNUMBER(MATCH(Y$1, AsistenciaJetAdminConcatenada!$B:$B, 0)), ISNUMBER(SEARCH($A74,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ISNUMBER(SEARCH($A74, INDEX(AsistenciaJetAdminConcatenada!$D:$D, MATCH(1, (AsistenciaJetAdminConcatenada!$A:$A=Y$2)*(AsistenciaJetAdminConcatenada!$B:$B=Y$1), 0)), 1))),  0.5, 0))</f>
        <v>1</v>
      </c>
      <c r="Z74" s="47">
        <f t="array" ref="Z74">IF(AND(ISNUMBER(MATCH(Z$2, AsistenciaJetAdminConcatenada!$A:$A, 0)), ISNUMBER(MATCH(Z$1, AsistenciaJetAdminConcatenada!$B:$B, 0)), ISNUMBER(SEARCH($A74,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ISNUMBER(SEARCH($A74, INDEX(AsistenciaJetAdminConcatenada!$D:$D, MATCH(1, (AsistenciaJetAdminConcatenada!$A:$A=Z$2)*(AsistenciaJetAdminConcatenada!$B:$B=Z$1), 0)), 1))),  0.5, 0))</f>
        <v>1</v>
      </c>
      <c r="AA74" s="47">
        <f t="array" ref="AA74">IF(AND(ISNUMBER(MATCH(AA$2, AsistenciaJetAdminConcatenada!$A:$A, 0)), ISNUMBER(MATCH(AA$1, AsistenciaJetAdminConcatenada!$B:$B, 0)), ISNUMBER(SEARCH($A74,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ISNUMBER(SEARCH($A74, INDEX(AsistenciaJetAdminConcatenada!$D:$D, MATCH(1, (AsistenciaJetAdminConcatenada!$A:$A=AA$2)*(AsistenciaJetAdminConcatenada!$B:$B=AA$1), 0)), 1))),  0.5, 0))</f>
        <v>1</v>
      </c>
      <c r="AB74" s="47">
        <f t="array" ref="AB74">IF(AND(ISNUMBER(MATCH(AB$2, AsistenciaJetAdminConcatenada!$A:$A, 0)), ISNUMBER(MATCH(AB$1, AsistenciaJetAdminConcatenada!$B:$B, 0)), ISNUMBER(SEARCH($A74,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ISNUMBER(SEARCH($A74, INDEX(AsistenciaJetAdminConcatenada!$D:$D, MATCH(1, (AsistenciaJetAdminConcatenada!$A:$A=AB$2)*(AsistenciaJetAdminConcatenada!$B:$B=AB$1), 0)), 1))),  0.5, 0))</f>
        <v>0</v>
      </c>
      <c r="AC74" s="47">
        <f t="array" ref="AC74">IF(AND(ISNUMBER(MATCH(AC$2, AsistenciaJetAdminConcatenada!$A:$A, 0)), ISNUMBER(MATCH(AC$1, AsistenciaJetAdminConcatenada!$B:$B, 0)), ISNUMBER(SEARCH($A74,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ISNUMBER(SEARCH($A74, INDEX(AsistenciaJetAdminConcatenada!$D:$D, MATCH(1, (AsistenciaJetAdminConcatenada!$A:$A=AC$2)*(AsistenciaJetAdminConcatenada!$B:$B=AC$1), 0)), 1))),  0.5, 0))</f>
        <v>1</v>
      </c>
      <c r="AD74" s="47">
        <f t="array" ref="AD74">IF(AND(ISNUMBER(MATCH(AD$2, AsistenciaJetAdminConcatenada!$A:$A, 0)), ISNUMBER(MATCH(AD$1, AsistenciaJetAdminConcatenada!$B:$B, 0)), ISNUMBER(SEARCH($A74,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ISNUMBER(SEARCH($A74, INDEX(AsistenciaJetAdminConcatenada!$D:$D, MATCH(1, (AsistenciaJetAdminConcatenada!$A:$A=AD$2)*(AsistenciaJetAdminConcatenada!$B:$B=AD$1), 0)), 1))),  0.5, 0))</f>
        <v>1</v>
      </c>
      <c r="AE74" s="47">
        <f t="array" ref="AE74">IF(AND(ISNUMBER(MATCH(AE$2, AsistenciaJetAdminConcatenada!$A:$A, 0)), ISNUMBER(MATCH(AE$1, AsistenciaJetAdminConcatenada!$B:$B, 0)), ISNUMBER(SEARCH($A74,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ISNUMBER(SEARCH($A74, INDEX(AsistenciaJetAdminConcatenada!$D:$D, MATCH(1, (AsistenciaJetAdminConcatenada!$A:$A=AE$2)*(AsistenciaJetAdminConcatenada!$B:$B=AE$1), 0)), 1))),  0.5, 0))</f>
        <v>0</v>
      </c>
      <c r="AF74" s="47">
        <f t="array" ref="AF74">IF(AND(ISNUMBER(MATCH(AF$2, AsistenciaJetAdminConcatenada!$A:$A, 0)), ISNUMBER(MATCH(AF$1, AsistenciaJetAdminConcatenada!$B:$B, 0)), ISNUMBER(SEARCH($A74,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ISNUMBER(SEARCH($A74, INDEX(AsistenciaJetAdminConcatenada!$D:$D, MATCH(1, (AsistenciaJetAdminConcatenada!$A:$A=AF$2)*(AsistenciaJetAdminConcatenada!$B:$B=AF$1), 0)), 1))),  0.5, 0))</f>
        <v>1</v>
      </c>
      <c r="AG74" s="47">
        <f t="array" ref="AG74">IF(AND(ISNUMBER(MATCH(AG$2, AsistenciaJetAdminConcatenada!$A:$A, 0)), ISNUMBER(MATCH(AG$1, AsistenciaJetAdminConcatenada!$B:$B, 0)), ISNUMBER(SEARCH($A74,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ISNUMBER(SEARCH($A74, INDEX(AsistenciaJetAdminConcatenada!$D:$D, MATCH(1, (AsistenciaJetAdminConcatenada!$A:$A=AG$2)*(AsistenciaJetAdminConcatenada!$B:$B=AG$1), 0)), 1))),  0.5, 0))</f>
        <v>1</v>
      </c>
      <c r="AH74" s="47">
        <f t="array" ref="AH74">IF(AND(ISNUMBER(MATCH(AH$2, AsistenciaJetAdminConcatenada!$A:$A, 0)), ISNUMBER(MATCH(AH$1, AsistenciaJetAdminConcatenada!$B:$B, 0)), ISNUMBER(SEARCH($A74,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ISNUMBER(SEARCH($A74, INDEX(AsistenciaJetAdminConcatenada!$D:$D, MATCH(1, (AsistenciaJetAdminConcatenada!$A:$A=AH$2)*(AsistenciaJetAdminConcatenada!$B:$B=AH$1), 0)), 1))),  0.5, 0))</f>
        <v>0</v>
      </c>
      <c r="AI74" s="47">
        <f t="array" ref="AI74">IF(AND(ISNUMBER(MATCH(AI$2, AsistenciaJetAdminConcatenada!$A:$A, 0)), ISNUMBER(MATCH(AI$1, AsistenciaJetAdminConcatenada!$B:$B, 0)), ISNUMBER(SEARCH($A74,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ISNUMBER(SEARCH($A74, INDEX(AsistenciaJetAdminConcatenada!$D:$D, MATCH(1, (AsistenciaJetAdminConcatenada!$A:$A=AI$2)*(AsistenciaJetAdminConcatenada!$B:$B=AI$1), 0)), 1))),  0.5, 0))</f>
        <v>1</v>
      </c>
      <c r="AJ74" s="47">
        <f t="array" ref="AJ74">IF(AND(ISNUMBER(MATCH(AJ$2, AsistenciaJetAdminConcatenada!$A:$A, 0)), ISNUMBER(MATCH(AJ$1, AsistenciaJetAdminConcatenada!$B:$B, 0)), ISNUMBER(SEARCH($A74,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ISNUMBER(SEARCH($A74, INDEX(AsistenciaJetAdminConcatenada!$D:$D, MATCH(1, (AsistenciaJetAdminConcatenada!$A:$A=AJ$2)*(AsistenciaJetAdminConcatenada!$B:$B=AJ$1), 0)), 1))),  0.5, 0))</f>
        <v>1</v>
      </c>
      <c r="AK74" s="47">
        <f t="array" ref="AK74">IF(AND(ISNUMBER(MATCH(AK$2, AsistenciaJetAdminConcatenada!$A:$A, 0)), ISNUMBER(MATCH(AK$1, AsistenciaJetAdminConcatenada!$B:$B, 0)), ISNUMBER(SEARCH($A74,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ISNUMBER(SEARCH($A74, INDEX(AsistenciaJetAdminConcatenada!$D:$D, MATCH(1, (AsistenciaJetAdminConcatenada!$A:$A=AK$2)*(AsistenciaJetAdminConcatenada!$B:$B=AK$1), 0)), 1))),  0.5, 0))</f>
        <v>1</v>
      </c>
      <c r="AL74" s="47">
        <f t="array" ref="AL74">IF(AND(ISNUMBER(MATCH(AL$2, AsistenciaJetAdminConcatenada!$A:$A, 0)), ISNUMBER(MATCH(AL$1, AsistenciaJetAdminConcatenada!$B:$B, 0)), ISNUMBER(SEARCH($A74,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ISNUMBER(SEARCH($A74, INDEX(AsistenciaJetAdminConcatenada!$D:$D, MATCH(1, (AsistenciaJetAdminConcatenada!$A:$A=AL$2)*(AsistenciaJetAdminConcatenada!$B:$B=AL$1), 0)), 1))),  0.5, 0))</f>
        <v>1</v>
      </c>
      <c r="AM74" s="47">
        <f t="array" ref="AM74">IF(AND(ISNUMBER(MATCH(AM$2, AsistenciaJetAdminConcatenada!$A:$A, 0)), ISNUMBER(MATCH(AM$1, AsistenciaJetAdminConcatenada!$B:$B, 0)), ISNUMBER(SEARCH($A74,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ISNUMBER(SEARCH($A74, INDEX(AsistenciaJetAdminConcatenada!$D:$D, MATCH(1, (AsistenciaJetAdminConcatenada!$A:$A=AM$2)*(AsistenciaJetAdminConcatenada!$B:$B=AM$1), 0)), 1))),  0.5, 0))</f>
        <v>0</v>
      </c>
      <c r="AN74" s="47">
        <f t="array" ref="AN74">IF(AND(ISNUMBER(MATCH(AN$2, AsistenciaJetAdminConcatenada!$A:$A, 0)), ISNUMBER(MATCH(AN$1, AsistenciaJetAdminConcatenada!$B:$B, 0)), ISNUMBER(SEARCH($A74,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ISNUMBER(SEARCH($A74, INDEX(AsistenciaJetAdminConcatenada!$D:$D, MATCH(1, (AsistenciaJetAdminConcatenada!$A:$A=AN$2)*(AsistenciaJetAdminConcatenada!$B:$B=AN$1), 0)), 1))),  0.5, 0))</f>
        <v>1</v>
      </c>
      <c r="AO74" s="47">
        <f t="array" ref="AO74">IF(AND(ISNUMBER(MATCH(AO$2, AsistenciaJetAdminConcatenada!$A:$A, 0)), ISNUMBER(MATCH(AO$1, AsistenciaJetAdminConcatenada!$B:$B, 0)), ISNUMBER(SEARCH($A74,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ISNUMBER(SEARCH($A74, INDEX(AsistenciaJetAdminConcatenada!$D:$D, MATCH(1, (AsistenciaJetAdminConcatenada!$A:$A=AO$2)*(AsistenciaJetAdminConcatenada!$B:$B=AO$1), 0)), 1))),  0.5, 0))</f>
        <v>1</v>
      </c>
      <c r="AP74" s="47">
        <f t="array" ref="AP74">IF(AND(ISNUMBER(MATCH(AP$2, AsistenciaJetAdminConcatenada!$A:$A, 0)), ISNUMBER(MATCH(AP$1, AsistenciaJetAdminConcatenada!$B:$B, 0)), ISNUMBER(SEARCH($A74,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ISNUMBER(SEARCH($A74, INDEX(AsistenciaJetAdminConcatenada!$D:$D, MATCH(1, (AsistenciaJetAdminConcatenada!$A:$A=AP$2)*(AsistenciaJetAdminConcatenada!$B:$B=AP$1), 0)), 1))),  0.5, 0))</f>
        <v>1</v>
      </c>
      <c r="AQ74" s="47">
        <f t="array" ref="AQ74">IF(AND(ISNUMBER(MATCH(AQ$2, AsistenciaJetAdminConcatenada!$A:$A, 0)), ISNUMBER(MATCH(AQ$1, AsistenciaJetAdminConcatenada!$B:$B, 0)), ISNUMBER(SEARCH($A74,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ISNUMBER(SEARCH($A74, INDEX(AsistenciaJetAdminConcatenada!$D:$D, MATCH(1, (AsistenciaJetAdminConcatenada!$A:$A=AQ$2)*(AsistenciaJetAdminConcatenada!$B:$B=AQ$1), 0)), 1))),  0.5, 0))</f>
        <v>0</v>
      </c>
      <c r="AR74" s="47">
        <f t="array" ref="AR74">IF(AND(ISNUMBER(MATCH(AR$2, AsistenciaJetAdminConcatenada!$A:$A, 0)), ISNUMBER(MATCH(AR$1, AsistenciaJetAdminConcatenada!$B:$B, 0)), ISNUMBER(SEARCH($A74,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ISNUMBER(SEARCH($A74, INDEX(AsistenciaJetAdminConcatenada!$D:$D, MATCH(1, (AsistenciaJetAdminConcatenada!$A:$A=AR$2)*(AsistenciaJetAdminConcatenada!$B:$B=AR$1), 0)), 1))),  0.5, 0))</f>
        <v>1</v>
      </c>
      <c r="AS74" s="47">
        <f t="array" ref="AS74">IF(AND(ISNUMBER(MATCH(AS$2, AsistenciaJetAdminConcatenada!$A:$A, 0)), ISNUMBER(MATCH(AS$1, AsistenciaJetAdminConcatenada!$B:$B, 0)), ISNUMBER(SEARCH($A74,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ISNUMBER(SEARCH($A74, INDEX(AsistenciaJetAdminConcatenada!$D:$D, MATCH(1, (AsistenciaJetAdminConcatenada!$A:$A=AS$2)*(AsistenciaJetAdminConcatenada!$B:$B=AS$1), 0)), 1))),  0.5, 0))</f>
        <v>0</v>
      </c>
      <c r="AT74" s="47">
        <f t="array" ref="AT74">IF(AND(ISNUMBER(MATCH(AT$2, AsistenciaJetAdminConcatenada!$A:$A, 0)), ISNUMBER(MATCH(AT$1, AsistenciaJetAdminConcatenada!$B:$B, 0)), ISNUMBER(SEARCH($A74,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ISNUMBER(SEARCH($A74, INDEX(AsistenciaJetAdminConcatenada!$D:$D, MATCH(1, (AsistenciaJetAdminConcatenada!$A:$A=AT$2)*(AsistenciaJetAdminConcatenada!$B:$B=AT$1), 0)), 1))),  0.5, 0))</f>
        <v>1</v>
      </c>
      <c r="AU74" s="47">
        <f t="array" ref="AU74">IF(AND(ISNUMBER(MATCH(AU$2, AsistenciaJetAdminConcatenada!$A:$A, 0)), ISNUMBER(MATCH(AU$1, AsistenciaJetAdminConcatenada!$B:$B, 0)), ISNUMBER(SEARCH($A74,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ISNUMBER(SEARCH($A74, INDEX(AsistenciaJetAdminConcatenada!$D:$D, MATCH(1, (AsistenciaJetAdminConcatenada!$A:$A=AU$2)*(AsistenciaJetAdminConcatenada!$B:$B=AU$1), 0)), 1))),  0.5, 0))</f>
        <v>1</v>
      </c>
      <c r="AV74" s="47">
        <f t="array" ref="AV74">IF(AND(ISNUMBER(MATCH(AV$2, AsistenciaJetAdminConcatenada!$A:$A, 0)), ISNUMBER(MATCH(AV$1, AsistenciaJetAdminConcatenada!$B:$B, 0)), ISNUMBER(SEARCH($A74,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ISNUMBER(SEARCH($A74, INDEX(AsistenciaJetAdminConcatenada!$D:$D, MATCH(1, (AsistenciaJetAdminConcatenada!$A:$A=AV$2)*(AsistenciaJetAdminConcatenada!$B:$B=AV$1), 0)), 1))),  0.5, 0))</f>
        <v>1</v>
      </c>
      <c r="AW74" s="47">
        <f t="array" ref="AW74">IF(AND(ISNUMBER(MATCH(AW$2, AsistenciaJetAdminConcatenada!$A:$A, 0)), ISNUMBER(MATCH(AW$1, AsistenciaJetAdminConcatenada!$B:$B, 0)), ISNUMBER(SEARCH($A74,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ISNUMBER(SEARCH($A74, INDEX(AsistenciaJetAdminConcatenada!$D:$D, MATCH(1, (AsistenciaJetAdminConcatenada!$A:$A=AW$2)*(AsistenciaJetAdminConcatenada!$B:$B=AW$1), 0)), 1))),  0.5, 0))</f>
        <v>0</v>
      </c>
      <c r="AX74" s="47">
        <f t="array" ref="AX74">IF(AND(ISNUMBER(MATCH(AX$2, AsistenciaJetAdminConcatenada!$A:$A, 0)), ISNUMBER(MATCH(AX$1, AsistenciaJetAdminConcatenada!$B:$B, 0)), ISNUMBER(SEARCH($A74,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ISNUMBER(SEARCH($A74, INDEX(AsistenciaJetAdminConcatenada!$D:$D, MATCH(1, (AsistenciaJetAdminConcatenada!$A:$A=AX$2)*(AsistenciaJetAdminConcatenada!$B:$B=AX$1), 0)), 1))),  0.5, 0))</f>
        <v>0</v>
      </c>
      <c r="AY74" s="47">
        <f t="array" ref="AY74">IF(AND(ISNUMBER(MATCH(AY$2, AsistenciaJetAdminConcatenada!$A:$A, 0)), ISNUMBER(MATCH(AY$1, AsistenciaJetAdminConcatenada!$B:$B, 0)), ISNUMBER(SEARCH($A74,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ISNUMBER(SEARCH($A74, INDEX(AsistenciaJetAdminConcatenada!$D:$D, MATCH(1, (AsistenciaJetAdminConcatenada!$A:$A=AY$2)*(AsistenciaJetAdminConcatenada!$B:$B=AY$1), 0)), 1))),  0.5, 0))</f>
        <v>1</v>
      </c>
      <c r="AZ74" s="47">
        <f t="array" ref="AZ74">IF(AND(ISNUMBER(MATCH(AZ$2, AsistenciaJetAdminConcatenada!$A:$A, 0)), ISNUMBER(MATCH(AZ$1, AsistenciaJetAdminConcatenada!$B:$B, 0)), ISNUMBER(SEARCH($A74,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ISNUMBER(SEARCH($A74, INDEX(AsistenciaJetAdminConcatenada!$D:$D, MATCH(1, (AsistenciaJetAdminConcatenada!$A:$A=AZ$2)*(AsistenciaJetAdminConcatenada!$B:$B=AZ$1), 0)), 1))),  0.5, 0))</f>
        <v>1</v>
      </c>
      <c r="BA74" s="47">
        <f t="array" ref="BA74">IF(AND(ISNUMBER(MATCH(BA$2, AsistenciaJetAdminConcatenada!$A:$A, 0)), ISNUMBER(MATCH(BA$1, AsistenciaJetAdminConcatenada!$B:$B, 0)), ISNUMBER(SEARCH($A74,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ISNUMBER(SEARCH($A74, INDEX(AsistenciaJetAdminConcatenada!$D:$D, MATCH(1, (AsistenciaJetAdminConcatenada!$A:$A=BA$2)*(AsistenciaJetAdminConcatenada!$B:$B=BA$1), 0)), 1))),  0.5, 0))</f>
        <v>1</v>
      </c>
      <c r="BB74" s="47">
        <f t="array" ref="BB74">IF(AND(ISNUMBER(MATCH(BB$2, AsistenciaJetAdminConcatenada!$A:$A, 0)), ISNUMBER(MATCH(BB$1, AsistenciaJetAdminConcatenada!$B:$B, 0)), ISNUMBER(SEARCH($A74,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ISNUMBER(SEARCH($A74, INDEX(AsistenciaJetAdminConcatenada!$D:$D, MATCH(1, (AsistenciaJetAdminConcatenada!$A:$A=BB$2)*(AsistenciaJetAdminConcatenada!$B:$B=BB$1), 0)), 1))),  0.5, 0))</f>
        <v>1</v>
      </c>
      <c r="BC74" s="47">
        <f t="array" ref="BC74">IF(AND(ISNUMBER(MATCH(BC$2, AsistenciaJetAdminConcatenada!$A:$A, 0)), ISNUMBER(MATCH(BC$1, AsistenciaJetAdminConcatenada!$B:$B, 0)), ISNUMBER(SEARCH($A74,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ISNUMBER(SEARCH($A74, INDEX(AsistenciaJetAdminConcatenada!$D:$D, MATCH(1, (AsistenciaJetAdminConcatenada!$A:$A=BC$2)*(AsistenciaJetAdminConcatenada!$B:$B=BC$1), 0)), 1))),  0.5, 0))</f>
        <v>1</v>
      </c>
      <c r="BD74" s="47">
        <f t="array" ref="BD74">IF(AND(ISNUMBER(MATCH(BD$2, AsistenciaJetAdminConcatenada!$A:$A, 0)), ISNUMBER(MATCH(BD$1, AsistenciaJetAdminConcatenada!$B:$B, 0)), ISNUMBER(SEARCH($A74,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ISNUMBER(SEARCH($A74, INDEX(AsistenciaJetAdminConcatenada!$D:$D, MATCH(1, (AsistenciaJetAdminConcatenada!$A:$A=BD$2)*(AsistenciaJetAdminConcatenada!$B:$B=BD$1), 0)), 1))),  0.5, 0))</f>
        <v>1</v>
      </c>
      <c r="BE74" s="47">
        <f t="array" ref="BE74">IF(AND(ISNUMBER(MATCH(BE$2, AsistenciaJetAdminConcatenada!$A:$A, 0)), ISNUMBER(MATCH(BE$1, AsistenciaJetAdminConcatenada!$B:$B, 0)), ISNUMBER(SEARCH($A74,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ISNUMBER(SEARCH($A74, INDEX(AsistenciaJetAdminConcatenada!$D:$D, MATCH(1, (AsistenciaJetAdminConcatenada!$A:$A=BE$2)*(AsistenciaJetAdminConcatenada!$B:$B=BE$1), 0)), 1))),  0.5, 0))</f>
        <v>1</v>
      </c>
      <c r="BF74" s="47">
        <f t="array" ref="BF74">IF(AND(ISNUMBER(MATCH(BF$2, AsistenciaJetAdminConcatenada!$A:$A, 0)), ISNUMBER(MATCH(BF$1, AsistenciaJetAdminConcatenada!$B:$B, 0)), ISNUMBER(SEARCH($A74,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ISNUMBER(SEARCH($A74, INDEX(AsistenciaJetAdminConcatenada!$D:$D, MATCH(1, (AsistenciaJetAdminConcatenada!$A:$A=BF$2)*(AsistenciaJetAdminConcatenada!$B:$B=BF$1), 0)), 1))),  0.5, 0))</f>
        <v>1</v>
      </c>
      <c r="BG74" s="47">
        <f t="array" ref="BG74">IF(AND(ISNUMBER(MATCH(BG$2, AsistenciaJetAdminConcatenada!$A:$A, 0)), ISNUMBER(MATCH(BG$1, AsistenciaJetAdminConcatenada!$B:$B, 0)), ISNUMBER(SEARCH($A74,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ISNUMBER(SEARCH($A74, INDEX(AsistenciaJetAdminConcatenada!$D:$D, MATCH(1, (AsistenciaJetAdminConcatenada!$A:$A=BG$2)*(AsistenciaJetAdminConcatenada!$B:$B=BG$1), 0)), 1))),  0.5, 0))</f>
        <v>0.5</v>
      </c>
      <c r="BH74" s="47">
        <f t="array" ref="BH74">IF(AND(ISNUMBER(MATCH(BH$2, AsistenciaJetAdminConcatenada!$A:$A, 0)), ISNUMBER(MATCH(BH$1, AsistenciaJetAdminConcatenada!$B:$B, 0)), ISNUMBER(SEARCH($A74,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ISNUMBER(SEARCH($A74, INDEX(AsistenciaJetAdminConcatenada!$D:$D, MATCH(1, (AsistenciaJetAdminConcatenada!$A:$A=BH$2)*(AsistenciaJetAdminConcatenada!$B:$B=BH$1), 0)), 1))),  0.5, 0))</f>
        <v>1</v>
      </c>
      <c r="BI74" s="47">
        <f t="array" ref="BI74">IF(AND(ISNUMBER(MATCH(BI$2, AsistenciaJetAdminConcatenada!$A:$A, 0)), ISNUMBER(MATCH(BI$1, AsistenciaJetAdminConcatenada!$B:$B, 0)), ISNUMBER(SEARCH($A74,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ISNUMBER(SEARCH($A74, INDEX(AsistenciaJetAdminConcatenada!$D:$D, MATCH(1, (AsistenciaJetAdminConcatenada!$A:$A=BI$2)*(AsistenciaJetAdminConcatenada!$B:$B=BI$1), 0)), 1))),  0.5, 0))</f>
        <v>0.5</v>
      </c>
      <c r="BJ74" s="47">
        <f t="array" ref="BJ74">IF(AND(ISNUMBER(MATCH(BJ$2, AsistenciaJetAdminConcatenada!$A:$A, 0)), ISNUMBER(MATCH(BJ$1, AsistenciaJetAdminConcatenada!$B:$B, 0)), ISNUMBER(SEARCH($A74,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ISNUMBER(SEARCH($A74, INDEX(AsistenciaJetAdminConcatenada!$D:$D, MATCH(1, (AsistenciaJetAdminConcatenada!$A:$A=BJ$2)*(AsistenciaJetAdminConcatenada!$B:$B=BJ$1), 0)), 1))),  0.5, 0))</f>
        <v>1</v>
      </c>
      <c r="BK74" s="47">
        <f t="array" ref="BK74">IF(AND(ISNUMBER(MATCH(BK$2, AsistenciaJetAdminConcatenada!$A:$A, 0)), ISNUMBER(MATCH(BK$1, AsistenciaJetAdminConcatenada!$B:$B, 0)), ISNUMBER(SEARCH($A74,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ISNUMBER(SEARCH($A74, INDEX(AsistenciaJetAdminConcatenada!$D:$D, MATCH(1, (AsistenciaJetAdminConcatenada!$A:$A=BK$2)*(AsistenciaJetAdminConcatenada!$B:$B=BK$1), 0)), 1))),  0.5, 0))</f>
        <v>1</v>
      </c>
      <c r="BL74" s="47">
        <f t="array" ref="BL74">IF(AND(ISNUMBER(MATCH(BL$2, AsistenciaJetAdminConcatenada!$A:$A, 0)), ISNUMBER(MATCH(BL$1, AsistenciaJetAdminConcatenada!$B:$B, 0)), ISNUMBER(SEARCH($A74,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ISNUMBER(SEARCH($A74, INDEX(AsistenciaJetAdminConcatenada!$D:$D, MATCH(1, (AsistenciaJetAdminConcatenada!$A:$A=BL$2)*(AsistenciaJetAdminConcatenada!$B:$B=BL$1), 0)), 1))),  0.5, 0))</f>
        <v>1</v>
      </c>
      <c r="BM74" s="47">
        <f t="array" ref="BM74">IF(AND(ISNUMBER(MATCH(BM$2, AsistenciaJetAdminConcatenada!$A:$A, 0)), ISNUMBER(MATCH(BM$1, AsistenciaJetAdminConcatenada!$B:$B, 0)), ISNUMBER(SEARCH($A74,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ISNUMBER(SEARCH($A74, INDEX(AsistenciaJetAdminConcatenada!$D:$D, MATCH(1, (AsistenciaJetAdminConcatenada!$A:$A=BM$2)*(AsistenciaJetAdminConcatenada!$B:$B=BM$1), 0)), 1))),  0.5, 0))</f>
        <v>1</v>
      </c>
      <c r="BN74" s="47">
        <f t="array" ref="BN74">IF(AND(ISNUMBER(MATCH(BN$2, AsistenciaJetAdminConcatenada!$A:$A, 0)), ISNUMBER(MATCH(BN$1, AsistenciaJetAdminConcatenada!$B:$B, 0)), ISNUMBER(SEARCH($A74,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ISNUMBER(SEARCH($A74, INDEX(AsistenciaJetAdminConcatenada!$D:$D, MATCH(1, (AsistenciaJetAdminConcatenada!$A:$A=BN$2)*(AsistenciaJetAdminConcatenada!$B:$B=BN$1), 0)), 1))),  0.5, 0))</f>
        <v>1</v>
      </c>
      <c r="BO74" s="47">
        <f t="array" ref="BO74">IF(AND(ISNUMBER(MATCH(BO$2, AsistenciaJetAdminConcatenada!$A:$A, 0)), ISNUMBER(MATCH(BO$1, AsistenciaJetAdminConcatenada!$B:$B, 0)), ISNUMBER(SEARCH($A74,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ISNUMBER(SEARCH($A74, INDEX(AsistenciaJetAdminConcatenada!$D:$D, MATCH(1, (AsistenciaJetAdminConcatenada!$A:$A=BO$2)*(AsistenciaJetAdminConcatenada!$B:$B=BO$1), 0)), 1))),  0.5, 0))</f>
        <v>1</v>
      </c>
      <c r="BP74" s="47">
        <f t="array" ref="BP74">IF(AND(ISNUMBER(MATCH(BP$2, AsistenciaJetAdminConcatenada!$A:$A, 0)), ISNUMBER(MATCH(BP$1, AsistenciaJetAdminConcatenada!$B:$B, 0)), ISNUMBER(SEARCH($A74,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ISNUMBER(SEARCH($A74, INDEX(AsistenciaJetAdminConcatenada!$D:$D, MATCH(1, (AsistenciaJetAdminConcatenada!$A:$A=BP$2)*(AsistenciaJetAdminConcatenada!$B:$B=BP$1), 0)), 1))),  0.5, 0))</f>
        <v>0</v>
      </c>
      <c r="BQ74" s="47">
        <f t="array" ref="BQ74">IF(AND(ISNUMBER(MATCH(BQ$2, AsistenciaJetAdminConcatenada!$A:$A, 0)), ISNUMBER(MATCH(BQ$1, AsistenciaJetAdminConcatenada!$B:$B, 0)), ISNUMBER(SEARCH($A74,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ISNUMBER(SEARCH($A74, INDEX(AsistenciaJetAdminConcatenada!$D:$D, MATCH(1, (AsistenciaJetAdminConcatenada!$A:$A=BQ$2)*(AsistenciaJetAdminConcatenada!$B:$B=BQ$1), 0)), 1))),  0.5, 0))</f>
        <v>0</v>
      </c>
      <c r="BR74" s="47">
        <f t="array" ref="BR74">IF(AND(ISNUMBER(MATCH(BR$2, AsistenciaJetAdminConcatenada!$A:$A, 0)), ISNUMBER(MATCH(BR$1, AsistenciaJetAdminConcatenada!$B:$B, 0)), ISNUMBER(SEARCH($A74,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ISNUMBER(SEARCH($A74, INDEX(AsistenciaJetAdminConcatenada!$D:$D, MATCH(1, (AsistenciaJetAdminConcatenada!$A:$A=BR$2)*(AsistenciaJetAdminConcatenada!$B:$B=BR$1), 0)), 1))),  0.5, 0))</f>
        <v>0</v>
      </c>
      <c r="BS74" s="47">
        <f t="array" ref="BS74">IF(AND(ISNUMBER(MATCH(BS$2, AsistenciaJetAdminConcatenada!$A:$A, 0)), ISNUMBER(MATCH(BS$1, AsistenciaJetAdminConcatenada!$B:$B, 0)), ISNUMBER(SEARCH($A74,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ISNUMBER(SEARCH($A74, INDEX(AsistenciaJetAdminConcatenada!$D:$D, MATCH(1, (AsistenciaJetAdminConcatenada!$A:$A=BS$2)*(AsistenciaJetAdminConcatenada!$B:$B=BS$1), 0)), 1))),  0.5, 0))</f>
        <v>0</v>
      </c>
      <c r="BT74" s="47">
        <f t="array" ref="BT74">IF(AND(ISNUMBER(MATCH(BT$2, AsistenciaJetAdminConcatenada!$A:$A, 0)), ISNUMBER(MATCH(BT$1, AsistenciaJetAdminConcatenada!$B:$B, 0)), ISNUMBER(SEARCH($A74,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ISNUMBER(SEARCH($A74, INDEX(AsistenciaJetAdminConcatenada!$D:$D, MATCH(1, (AsistenciaJetAdminConcatenada!$A:$A=BT$2)*(AsistenciaJetAdminConcatenada!$B:$B=BT$1), 0)), 1))),  0.5, 0))</f>
        <v>1</v>
      </c>
      <c r="BU74" s="47">
        <f t="array" ref="BU74">IF(AND(ISNUMBER(MATCH(BU$2, AsistenciaJetAdminConcatenada!$A:$A, 0)), ISNUMBER(MATCH(BU$1, AsistenciaJetAdminConcatenada!$B:$B, 0)), ISNUMBER(SEARCH($A74,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ISNUMBER(SEARCH($A74, INDEX(AsistenciaJetAdminConcatenada!$D:$D, MATCH(1, (AsistenciaJetAdminConcatenada!$A:$A=BU$2)*(AsistenciaJetAdminConcatenada!$B:$B=BU$1), 0)), 1))),  0.5, 0))</f>
        <v>1</v>
      </c>
      <c r="BV74" s="47">
        <f t="array" ref="BV74">IF(AND(ISNUMBER(MATCH(BV$2, AsistenciaJetAdminConcatenada!$A:$A, 0)), ISNUMBER(MATCH(BV$1, AsistenciaJetAdminConcatenada!$B:$B, 0)), ISNUMBER(SEARCH($A74,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ISNUMBER(SEARCH($A74, INDEX(AsistenciaJetAdminConcatenada!$D:$D, MATCH(1, (AsistenciaJetAdminConcatenada!$A:$A=BV$2)*(AsistenciaJetAdminConcatenada!$B:$B=BV$1), 0)), 1))),  0.5, 0))</f>
        <v>0</v>
      </c>
      <c r="BW74" s="47">
        <f t="array" ref="BW74">IF(AND(ISNUMBER(MATCH(BW$2, AsistenciaJetAdminConcatenada!$A:$A, 0)), ISNUMBER(MATCH(BW$1, AsistenciaJetAdminConcatenada!$B:$B, 0)), ISNUMBER(SEARCH($A74,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ISNUMBER(SEARCH($A74, INDEX(AsistenciaJetAdminConcatenada!$D:$D, MATCH(1, (AsistenciaJetAdminConcatenada!$A:$A=BW$2)*(AsistenciaJetAdminConcatenada!$B:$B=BW$1), 0)), 1))),  0.5, 0))</f>
        <v>0</v>
      </c>
      <c r="BX74" s="47">
        <f t="array" ref="BX74">IF(AND(ISNUMBER(MATCH(BX$2, AsistenciaJetAdminConcatenada!$A:$A, 0)), ISNUMBER(MATCH(BX$1, AsistenciaJetAdminConcatenada!$B:$B, 0)), ISNUMBER(SEARCH($A74,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ISNUMBER(SEARCH($A74, INDEX(AsistenciaJetAdminConcatenada!$D:$D, MATCH(1, (AsistenciaJetAdminConcatenada!$A:$A=BX$2)*(AsistenciaJetAdminConcatenada!$B:$B=BX$1), 0)), 1))),  0.5, 0))</f>
        <v>0.5</v>
      </c>
      <c r="BY74" s="47">
        <f t="array" ref="BY74">IF(AND(ISNUMBER(MATCH(BY$2, AsistenciaJetAdminConcatenada!$A:$A, 0)), ISNUMBER(MATCH(BY$1, AsistenciaJetAdminConcatenada!$B:$B, 0)), ISNUMBER(SEARCH($A74,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ISNUMBER(SEARCH($A74, INDEX(AsistenciaJetAdminConcatenada!$D:$D, MATCH(1, (AsistenciaJetAdminConcatenada!$A:$A=BY$2)*(AsistenciaJetAdminConcatenada!$B:$B=BY$1), 0)), 1))),  0.5, 0))</f>
        <v>0</v>
      </c>
      <c r="BZ74" s="47">
        <f t="array" ref="BZ74">IF(AND(ISNUMBER(MATCH(BZ$2, AsistenciaJetAdminConcatenada!$A:$A, 0)), ISNUMBER(MATCH(BZ$1, AsistenciaJetAdminConcatenada!$B:$B, 0)), ISNUMBER(SEARCH($A74,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ISNUMBER(SEARCH($A74, INDEX(AsistenciaJetAdminConcatenada!$D:$D, MATCH(1, (AsistenciaJetAdminConcatenada!$A:$A=BZ$2)*(AsistenciaJetAdminConcatenada!$B:$B=BZ$1), 0)), 1))),  0.5, 0))</f>
        <v>0</v>
      </c>
      <c r="CA74" s="47">
        <f t="array" ref="CA74">IF(AND(ISNUMBER(MATCH(CA$2, AsistenciaJetAdminConcatenada!$A:$A, 0)), ISNUMBER(MATCH(CA$1, AsistenciaJetAdminConcatenada!$B:$B, 0)), ISNUMBER(SEARCH($A74,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ISNUMBER(SEARCH($A74, INDEX(AsistenciaJetAdminConcatenada!$D:$D, MATCH(1, (AsistenciaJetAdminConcatenada!$A:$A=CA$2)*(AsistenciaJetAdminConcatenada!$B:$B=CA$1), 0)), 1))),  0.5, 0))</f>
        <v>1</v>
      </c>
      <c r="CB74" s="47">
        <f t="array" ref="CB74">IF(AND(ISNUMBER(MATCH(CB$2, AsistenciaJetAdminConcatenada!$A:$A, 0)), ISNUMBER(MATCH(CB$1, AsistenciaJetAdminConcatenada!$B:$B, 0)), ISNUMBER(SEARCH($A74,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ISNUMBER(SEARCH($A74, INDEX(AsistenciaJetAdminConcatenada!$D:$D, MATCH(1, (AsistenciaJetAdminConcatenada!$A:$A=CB$2)*(AsistenciaJetAdminConcatenada!$B:$B=CB$1), 0)), 1))),  0.5, 0))</f>
        <v>1</v>
      </c>
      <c r="CC74" s="47">
        <f t="array" ref="CC74">IF(AND(ISNUMBER(MATCH(CC$2, AsistenciaJetAdminConcatenada!$A:$A, 0)), ISNUMBER(MATCH(CC$1, AsistenciaJetAdminConcatenada!$B:$B, 0)), ISNUMBER(SEARCH($A74,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ISNUMBER(SEARCH($A74, INDEX(AsistenciaJetAdminConcatenada!$D:$D, MATCH(1, (AsistenciaJetAdminConcatenada!$A:$A=CC$2)*(AsistenciaJetAdminConcatenada!$B:$B=CC$1), 0)), 1))),  0.5, 0))</f>
        <v>1</v>
      </c>
      <c r="CD74" s="47">
        <f t="array" ref="CD74">IF(AND(ISNUMBER(MATCH(CD$2, AsistenciaJetAdminConcatenada!$A:$A, 0)), ISNUMBER(MATCH(CD$1, AsistenciaJetAdminConcatenada!$B:$B, 0)), ISNUMBER(SEARCH($A74,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ISNUMBER(SEARCH($A74, INDEX(AsistenciaJetAdminConcatenada!$D:$D, MATCH(1, (AsistenciaJetAdminConcatenada!$A:$A=CD$2)*(AsistenciaJetAdminConcatenada!$B:$B=CD$1), 0)), 1))),  0.5, 0))</f>
        <v>0</v>
      </c>
      <c r="CE74" s="47">
        <f t="array" ref="CE74">IF(AND(ISNUMBER(MATCH(CE$2, AsistenciaJetAdminConcatenada!$A:$A, 0)), ISNUMBER(MATCH(CE$1, AsistenciaJetAdminConcatenada!$B:$B, 0)), ISNUMBER(SEARCH($A74,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ISNUMBER(SEARCH($A74, INDEX(AsistenciaJetAdminConcatenada!$D:$D, MATCH(1, (AsistenciaJetAdminConcatenada!$A:$A=CE$2)*(AsistenciaJetAdminConcatenada!$B:$B=CE$1), 0)), 1))),  0.5, 0))</f>
        <v>0</v>
      </c>
      <c r="CF74" s="47">
        <f t="array" ref="CF74">IF(AND(ISNUMBER(MATCH(CF$2, AsistenciaJetAdminConcatenada!$A:$A, 0)), ISNUMBER(MATCH(CF$1, AsistenciaJetAdminConcatenada!$B:$B, 0)), ISNUMBER(SEARCH($A74,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ISNUMBER(SEARCH($A74, INDEX(AsistenciaJetAdminConcatenada!$D:$D, MATCH(1, (AsistenciaJetAdminConcatenada!$A:$A=CF$2)*(AsistenciaJetAdminConcatenada!$B:$B=CF$1), 0)), 1))),  0.5, 0))</f>
        <v>1</v>
      </c>
      <c r="CG74" s="47">
        <f t="array" ref="CG74">IF(AND(ISNUMBER(MATCH(CG$2, AsistenciaJetAdminConcatenada!$A:$A, 0)), ISNUMBER(MATCH(CG$1, AsistenciaJetAdminConcatenada!$B:$B, 0)), ISNUMBER(SEARCH($A74,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ISNUMBER(SEARCH($A74, INDEX(AsistenciaJetAdminConcatenada!$D:$D, MATCH(1, (AsistenciaJetAdminConcatenada!$A:$A=CG$2)*(AsistenciaJetAdminConcatenada!$B:$B=CG$1), 0)), 1))),  0.5, 0))</f>
        <v>1</v>
      </c>
      <c r="CH74" s="47">
        <f t="array" ref="CH74">IF(AND(ISNUMBER(MATCH(CH$2, AsistenciaJetAdminConcatenada!$A:$A, 0)), ISNUMBER(MATCH(CH$1, AsistenciaJetAdminConcatenada!$B:$B, 0)), ISNUMBER(SEARCH($A74,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ISNUMBER(SEARCH($A74, INDEX(AsistenciaJetAdminConcatenada!$D:$D, MATCH(1, (AsistenciaJetAdminConcatenada!$A:$A=CH$2)*(AsistenciaJetAdminConcatenada!$B:$B=CH$1), 0)), 1))),  0.5, 0))</f>
        <v>0.5</v>
      </c>
      <c r="CI74" s="47">
        <f t="array" ref="CI74">IF(AND(ISNUMBER(MATCH(CI$2, AsistenciaJetAdminConcatenada!$A:$A, 0)), ISNUMBER(MATCH(CI$1, AsistenciaJetAdminConcatenada!$B:$B, 0)), ISNUMBER(SEARCH($A74,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ISNUMBER(SEARCH($A74, INDEX(AsistenciaJetAdminConcatenada!$D:$D, MATCH(1, (AsistenciaJetAdminConcatenada!$A:$A=CI$2)*(AsistenciaJetAdminConcatenada!$B:$B=CI$1), 0)), 1))),  0.5, 0))</f>
        <v>1</v>
      </c>
      <c r="CJ74" s="47">
        <f t="array" ref="CJ74">IF(AND(ISNUMBER(MATCH(CJ$2, AsistenciaJetAdminConcatenada!$A:$A, 0)), ISNUMBER(MATCH(CJ$1, AsistenciaJetAdminConcatenada!$B:$B, 0)), ISNUMBER(SEARCH($A74,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ISNUMBER(SEARCH($A74, INDEX(AsistenciaJetAdminConcatenada!$D:$D, MATCH(1, (AsistenciaJetAdminConcatenada!$A:$A=CJ$2)*(AsistenciaJetAdminConcatenada!$B:$B=CJ$1), 0)), 1))),  0.5, 0))</f>
        <v>1</v>
      </c>
      <c r="CK74" s="47">
        <f t="array" ref="CK74">IF(AND(ISNUMBER(MATCH(CK$2, AsistenciaJetAdminConcatenada!$A:$A, 0)), ISNUMBER(MATCH(CK$1, AsistenciaJetAdminConcatenada!$B:$B, 0)), ISNUMBER(SEARCH($A74,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ISNUMBER(SEARCH($A74, INDEX(AsistenciaJetAdminConcatenada!$D:$D, MATCH(1, (AsistenciaJetAdminConcatenada!$A:$A=CK$2)*(AsistenciaJetAdminConcatenada!$B:$B=CK$1), 0)), 1))),  0.5, 0))</f>
        <v>1</v>
      </c>
      <c r="CL74" s="47">
        <f t="array" ref="CL74">IF(AND(ISNUMBER(MATCH(CL$2, AsistenciaJetAdminConcatenada!$A:$A, 0)), ISNUMBER(MATCH(CL$1, AsistenciaJetAdminConcatenada!$B:$B, 0)), ISNUMBER(SEARCH($A74,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ISNUMBER(SEARCH($A74, INDEX(AsistenciaJetAdminConcatenada!$D:$D, MATCH(1, (AsistenciaJetAdminConcatenada!$A:$A=CL$2)*(AsistenciaJetAdminConcatenada!$B:$B=CL$1), 0)), 1))),  0.5, 0))</f>
        <v>1</v>
      </c>
      <c r="CM74" s="47">
        <f t="array" ref="CM74">IF(AND(ISNUMBER(MATCH(CM$2, AsistenciaJetAdminConcatenada!$A:$A, 0)), ISNUMBER(MATCH(CM$1, AsistenciaJetAdminConcatenada!$B:$B, 0)), ISNUMBER(SEARCH($A74,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ISNUMBER(SEARCH($A74, INDEX(AsistenciaJetAdminConcatenada!$D:$D, MATCH(1, (AsistenciaJetAdminConcatenada!$A:$A=CM$2)*(AsistenciaJetAdminConcatenada!$B:$B=CM$1), 0)), 1))),  0.5, 0))</f>
        <v>0.5</v>
      </c>
      <c r="CN74" s="47">
        <f t="array" ref="CN74">IF(AND(ISNUMBER(MATCH(CN$2, AsistenciaJetAdminConcatenada!$A:$A, 0)), ISNUMBER(MATCH(CN$1, AsistenciaJetAdminConcatenada!$B:$B, 0)), ISNUMBER(SEARCH($A74,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ISNUMBER(SEARCH($A74, INDEX(AsistenciaJetAdminConcatenada!$D:$D, MATCH(1, (AsistenciaJetAdminConcatenada!$A:$A=CN$2)*(AsistenciaJetAdminConcatenada!$B:$B=CN$1), 0)), 1))),  0.5, 0))</f>
        <v>0</v>
      </c>
      <c r="CO74" s="47">
        <f t="array" ref="CO74">IF(AND(ISNUMBER(MATCH(CO$2, AsistenciaJetAdminConcatenada!$A:$A, 0)), ISNUMBER(MATCH(CO$1, AsistenciaJetAdminConcatenada!$B:$B, 0)), ISNUMBER(SEARCH($A74,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ISNUMBER(SEARCH($A74, INDEX(AsistenciaJetAdminConcatenada!$D:$D, MATCH(1, (AsistenciaJetAdminConcatenada!$A:$A=CO$2)*(AsistenciaJetAdminConcatenada!$B:$B=CO$1), 0)), 1))),  0.5, 0))</f>
        <v>0</v>
      </c>
      <c r="CP74" s="47">
        <f t="array" ref="CP74">IF(AND(ISNUMBER(MATCH(CP$2, AsistenciaJetAdminConcatenada!$A:$A, 0)), ISNUMBER(MATCH(CP$1, AsistenciaJetAdminConcatenada!$B:$B, 0)), ISNUMBER(SEARCH($A74,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ISNUMBER(SEARCH($A74, INDEX(AsistenciaJetAdminConcatenada!$D:$D, MATCH(1, (AsistenciaJetAdminConcatenada!$A:$A=CP$2)*(AsistenciaJetAdminConcatenada!$B:$B=CP$1), 0)), 1))),  0.5, 0))</f>
        <v>1</v>
      </c>
      <c r="CQ74" s="47">
        <f t="array" ref="CQ74">IF(AND(ISNUMBER(MATCH(CQ$2, AsistenciaJetAdminConcatenada!$A:$A, 0)), ISNUMBER(MATCH(CQ$1, AsistenciaJetAdminConcatenada!$B:$B, 0)), ISNUMBER(SEARCH($A74,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ISNUMBER(SEARCH($A74, INDEX(AsistenciaJetAdminConcatenada!$D:$D, MATCH(1, (AsistenciaJetAdminConcatenada!$A:$A=CQ$2)*(AsistenciaJetAdminConcatenada!$B:$B=CQ$1), 0)), 1))),  0.5, 0))</f>
        <v>1</v>
      </c>
      <c r="CR74" s="47">
        <f t="array" ref="CR74">IF(AND(ISNUMBER(MATCH(CR$2, AsistenciaJetAdminConcatenada!$A:$A, 0)), ISNUMBER(MATCH(CR$1, AsistenciaJetAdminConcatenada!$B:$B, 0)), ISNUMBER(SEARCH($A74,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ISNUMBER(SEARCH($A74, INDEX(AsistenciaJetAdminConcatenada!$D:$D, MATCH(1, (AsistenciaJetAdminConcatenada!$A:$A=CR$2)*(AsistenciaJetAdminConcatenada!$B:$B=CR$1), 0)), 1))),  0.5, 0))</f>
        <v>1</v>
      </c>
      <c r="CS74" s="47">
        <f t="array" ref="CS74">IF(AND(ISNUMBER(MATCH(CS$2, AsistenciaJetAdminConcatenada!$A:$A, 0)), ISNUMBER(MATCH(CS$1, AsistenciaJetAdminConcatenada!$B:$B, 0)), ISNUMBER(SEARCH($A74,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ISNUMBER(SEARCH($A74, INDEX(AsistenciaJetAdminConcatenada!$D:$D, MATCH(1, (AsistenciaJetAdminConcatenada!$A:$A=CS$2)*(AsistenciaJetAdminConcatenada!$B:$B=CS$1), 0)), 1))),  0.5, 0))</f>
        <v>0</v>
      </c>
      <c r="CT74" s="47">
        <f t="array" ref="CT74">IF(AND(ISNUMBER(MATCH(CT$2, AsistenciaJetAdminConcatenada!$A:$A, 0)), ISNUMBER(MATCH(CT$1, AsistenciaJetAdminConcatenada!$B:$B, 0)), ISNUMBER(SEARCH($A74,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ISNUMBER(SEARCH($A74, INDEX(AsistenciaJetAdminConcatenada!$D:$D, MATCH(1, (AsistenciaJetAdminConcatenada!$A:$A=CT$2)*(AsistenciaJetAdminConcatenada!$B:$B=CT$1), 0)), 1))),  0.5, 0))</f>
        <v>0</v>
      </c>
      <c r="CU74" s="47">
        <f t="array" ref="CU74">IF(AND(ISNUMBER(MATCH(CU$2, AsistenciaJetAdminConcatenada!$A:$A, 0)), ISNUMBER(MATCH(CU$1, AsistenciaJetAdminConcatenada!$B:$B, 0)), ISNUMBER(SEARCH($A74,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ISNUMBER(SEARCH($A74, INDEX(AsistenciaJetAdminConcatenada!$D:$D, MATCH(1, (AsistenciaJetAdminConcatenada!$A:$A=CU$2)*(AsistenciaJetAdminConcatenada!$B:$B=CU$1), 0)), 1))),  0.5, 0))</f>
        <v>0</v>
      </c>
      <c r="CV74" s="47">
        <f t="array" ref="CV74">IF(AND(ISNUMBER(MATCH(CV$2, AsistenciaJetAdminConcatenada!$A:$A, 0)), ISNUMBER(MATCH(CV$1, AsistenciaJetAdminConcatenada!$B:$B, 0)), ISNUMBER(SEARCH($A74,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ISNUMBER(SEARCH($A74, INDEX(AsistenciaJetAdminConcatenada!$D:$D, MATCH(1, (AsistenciaJetAdminConcatenada!$A:$A=CV$2)*(AsistenciaJetAdminConcatenada!$B:$B=CV$1), 0)), 1))),  0.5, 0))</f>
        <v>0</v>
      </c>
      <c r="CW74" s="47">
        <f t="array" ref="CW74">IF(AND(ISNUMBER(MATCH(CW$2, AsistenciaJetAdminConcatenada!$A:$A, 0)), ISNUMBER(MATCH(CW$1, AsistenciaJetAdminConcatenada!$B:$B, 0)), ISNUMBER(SEARCH($A74,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ISNUMBER(SEARCH($A74, INDEX(AsistenciaJetAdminConcatenada!$D:$D, MATCH(1, (AsistenciaJetAdminConcatenada!$A:$A=CW$2)*(AsistenciaJetAdminConcatenada!$B:$B=CW$1), 0)), 1))),  0.5, 0))</f>
        <v>0</v>
      </c>
      <c r="CX74" s="47">
        <f t="array" ref="CX74">IF(AND(ISNUMBER(MATCH(CX$2, AsistenciaJetAdminConcatenada!$A:$A, 0)), ISNUMBER(MATCH(CX$1, AsistenciaJetAdminConcatenada!$B:$B, 0)), ISNUMBER(SEARCH($A74,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ISNUMBER(SEARCH($A74, INDEX(AsistenciaJetAdminConcatenada!$D:$D, MATCH(1, (AsistenciaJetAdminConcatenada!$A:$A=CX$2)*(AsistenciaJetAdminConcatenada!$B:$B=CX$1), 0)), 1))),  0.5, 0))</f>
        <v>0</v>
      </c>
      <c r="CY74" s="47">
        <f t="array" ref="CY74">IF(AND(ISNUMBER(MATCH(CY$2, AsistenciaJetAdminConcatenada!$A:$A, 0)), ISNUMBER(MATCH(CY$1, AsistenciaJetAdminConcatenada!$B:$B, 0)), ISNUMBER(SEARCH($A74,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ISNUMBER(SEARCH($A74, INDEX(AsistenciaJetAdminConcatenada!$D:$D, MATCH(1, (AsistenciaJetAdminConcatenada!$A:$A=CY$2)*(AsistenciaJetAdminConcatenada!$B:$B=CY$1), 0)), 1))),  0.5, 0))</f>
        <v>0</v>
      </c>
      <c r="CZ74" s="47">
        <f t="array" ref="CZ74">IF(AND(ISNUMBER(MATCH(CZ$2, AsistenciaJetAdminConcatenada!$A:$A, 0)), ISNUMBER(MATCH(CZ$1, AsistenciaJetAdminConcatenada!$B:$B, 0)), ISNUMBER(SEARCH($A74,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ISNUMBER(SEARCH($A74, INDEX(AsistenciaJetAdminConcatenada!$D:$D, MATCH(1, (AsistenciaJetAdminConcatenada!$A:$A=CZ$2)*(AsistenciaJetAdminConcatenada!$B:$B=CZ$1), 0)), 1))),  0.5, 0))</f>
        <v>0</v>
      </c>
      <c r="DA74" s="47">
        <f t="array" ref="DA74">IF(AND(ISNUMBER(MATCH(DA$2, AsistenciaJetAdminConcatenada!$A:$A, 0)), ISNUMBER(MATCH(DA$1, AsistenciaJetAdminConcatenada!$B:$B, 0)), ISNUMBER(SEARCH($A74,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ISNUMBER(SEARCH($A74, INDEX(AsistenciaJetAdminConcatenada!$D:$D, MATCH(1, (AsistenciaJetAdminConcatenada!$A:$A=DA$2)*(AsistenciaJetAdminConcatenada!$B:$B=DA$1), 0)), 1))),  0.5, 0))</f>
        <v>0</v>
      </c>
      <c r="DB74" s="47">
        <f t="array" ref="DB74">IF(AND(ISNUMBER(MATCH(DB$2, AsistenciaJetAdminConcatenada!$A:$A, 0)), ISNUMBER(MATCH(DB$1, AsistenciaJetAdminConcatenada!$B:$B, 0)), ISNUMBER(SEARCH($A74,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ISNUMBER(SEARCH($A74, INDEX(AsistenciaJetAdminConcatenada!$D:$D, MATCH(1, (AsistenciaJetAdminConcatenada!$A:$A=DB$2)*(AsistenciaJetAdminConcatenada!$B:$B=DB$1), 0)), 1))),  0.5, 0))</f>
        <v>0</v>
      </c>
      <c r="DC74" s="47">
        <f t="array" ref="DC74">IF(AND(ISNUMBER(MATCH(DC$2, AsistenciaJetAdminConcatenada!$A:$A, 0)), ISNUMBER(MATCH(DC$1, AsistenciaJetAdminConcatenada!$B:$B, 0)), ISNUMBER(SEARCH($A74,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ISNUMBER(SEARCH($A74, INDEX(AsistenciaJetAdminConcatenada!$D:$D, MATCH(1, (AsistenciaJetAdminConcatenada!$A:$A=DC$2)*(AsistenciaJetAdminConcatenada!$B:$B=DC$1), 0)), 1))),  0.5, 0))</f>
        <v>0</v>
      </c>
      <c r="DD74" s="47">
        <f t="array" ref="DD74">IF(AND(ISNUMBER(MATCH(DD$2, AsistenciaJetAdminConcatenada!$A:$A, 0)), ISNUMBER(MATCH(DD$1, AsistenciaJetAdminConcatenada!$B:$B, 0)), ISNUMBER(SEARCH($A74,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ISNUMBER(SEARCH($A74, INDEX(AsistenciaJetAdminConcatenada!$D:$D, MATCH(1, (AsistenciaJetAdminConcatenada!$A:$A=DD$2)*(AsistenciaJetAdminConcatenada!$B:$B=DD$1), 0)), 1))),  0.5, 0))</f>
        <v>0</v>
      </c>
      <c r="DE74" s="47">
        <f t="array" ref="DE74">IF(AND(ISNUMBER(MATCH(DE$2, AsistenciaJetAdminConcatenada!$A:$A, 0)), ISNUMBER(MATCH(DE$1, AsistenciaJetAdminConcatenada!$B:$B, 0)), ISNUMBER(SEARCH($A74,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ISNUMBER(SEARCH($A74, INDEX(AsistenciaJetAdminConcatenada!$D:$D, MATCH(1, (AsistenciaJetAdminConcatenada!$A:$A=DE$2)*(AsistenciaJetAdminConcatenada!$B:$B=DE$1), 0)), 1))),  0.5, 0))</f>
        <v>0</v>
      </c>
      <c r="DF74" s="47">
        <f t="array" ref="DF74">IF(AND(ISNUMBER(MATCH(DF$2, AsistenciaJetAdminConcatenada!$A:$A, 0)), ISNUMBER(MATCH(DF$1, AsistenciaJetAdminConcatenada!$B:$B, 0)), ISNUMBER(SEARCH($A74,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ISNUMBER(SEARCH($A74, INDEX(AsistenciaJetAdminConcatenada!$D:$D, MATCH(1, (AsistenciaJetAdminConcatenada!$A:$A=DF$2)*(AsistenciaJetAdminConcatenada!$B:$B=DF$1), 0)), 1))),  0.5, 0))</f>
        <v>0</v>
      </c>
      <c r="DG74" s="47">
        <f t="array" ref="DG74">IF(AND(ISNUMBER(MATCH(DG$2, AsistenciaJetAdminConcatenada!$A:$A, 0)), ISNUMBER(MATCH(DG$1, AsistenciaJetAdminConcatenada!$B:$B, 0)), ISNUMBER(SEARCH($A74,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ISNUMBER(SEARCH($A74, INDEX(AsistenciaJetAdminConcatenada!$D:$D, MATCH(1, (AsistenciaJetAdminConcatenada!$A:$A=DG$2)*(AsistenciaJetAdminConcatenada!$B:$B=DG$1), 0)), 1))),  0.5, 0))</f>
        <v>0</v>
      </c>
      <c r="DH74" s="47">
        <f t="array" ref="DH74">IF(AND(ISNUMBER(MATCH(DH$2, AsistenciaJetAdminConcatenada!$A:$A, 0)), ISNUMBER(MATCH(DH$1, AsistenciaJetAdminConcatenada!$B:$B, 0)), ISNUMBER(SEARCH($A74,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ISNUMBER(SEARCH($A74, INDEX(AsistenciaJetAdminConcatenada!$D:$D, MATCH(1, (AsistenciaJetAdminConcatenada!$A:$A=DH$2)*(AsistenciaJetAdminConcatenada!$B:$B=DH$1), 0)), 1))),  0.5, 0))</f>
        <v>0</v>
      </c>
      <c r="DI74" s="47">
        <f t="array" ref="DI74">IF(AND(ISNUMBER(MATCH(DI$2, AsistenciaJetAdminConcatenada!$A:$A, 0)), ISNUMBER(MATCH(DI$1, AsistenciaJetAdminConcatenada!$B:$B, 0)), ISNUMBER(SEARCH($A74,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ISNUMBER(SEARCH($A74, INDEX(AsistenciaJetAdminConcatenada!$D:$D, MATCH(1, (AsistenciaJetAdminConcatenada!$A:$A=DI$2)*(AsistenciaJetAdminConcatenada!$B:$B=DI$1), 0)), 1))),  0.5, 0))</f>
        <v>0</v>
      </c>
      <c r="DJ74" s="47">
        <f t="array" ref="DJ74">IF(AND(ISNUMBER(MATCH(DJ$2, AsistenciaJetAdminConcatenada!$A:$A, 0)), ISNUMBER(MATCH(DJ$1, AsistenciaJetAdminConcatenada!$B:$B, 0)), ISNUMBER(SEARCH($A74,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ISNUMBER(SEARCH($A74, INDEX(AsistenciaJetAdminConcatenada!$D:$D, MATCH(1, (AsistenciaJetAdminConcatenada!$A:$A=DJ$2)*(AsistenciaJetAdminConcatenada!$B:$B=DJ$1), 0)), 1))),  0.5, 0))</f>
        <v>0</v>
      </c>
      <c r="DK74" s="47">
        <f t="array" ref="DK74">IF(AND(ISNUMBER(MATCH(DK$2, AsistenciaJetAdminConcatenada!$A:$A, 0)), ISNUMBER(MATCH(DK$1, AsistenciaJetAdminConcatenada!$B:$B, 0)), ISNUMBER(SEARCH($A74,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ISNUMBER(SEARCH($A74, INDEX(AsistenciaJetAdminConcatenada!$D:$D, MATCH(1, (AsistenciaJetAdminConcatenada!$A:$A=DK$2)*(AsistenciaJetAdminConcatenada!$B:$B=DK$1), 0)), 1))),  0.5, 0))</f>
        <v>0</v>
      </c>
      <c r="DL74" s="47">
        <f t="array" ref="DL74">IF(AND(ISNUMBER(MATCH(DL$2, AsistenciaJetAdminConcatenada!$A:$A, 0)), ISNUMBER(MATCH(DL$1, AsistenciaJetAdminConcatenada!$B:$B, 0)), ISNUMBER(SEARCH($A74,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ISNUMBER(SEARCH($A74, INDEX(AsistenciaJetAdminConcatenada!$D:$D, MATCH(1, (AsistenciaJetAdminConcatenada!$A:$A=DL$2)*(AsistenciaJetAdminConcatenada!$B:$B=DL$1), 0)), 1))),  0.5, 0))</f>
        <v>0</v>
      </c>
      <c r="DM74" s="47">
        <f t="array" ref="DM74">IF(AND(ISNUMBER(MATCH(DM$2, AsistenciaJetAdminConcatenada!$A:$A, 0)), ISNUMBER(MATCH(DM$1, AsistenciaJetAdminConcatenada!$B:$B, 0)), ISNUMBER(SEARCH($A74,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ISNUMBER(SEARCH($A74, INDEX(AsistenciaJetAdminConcatenada!$D:$D, MATCH(1, (AsistenciaJetAdminConcatenada!$A:$A=DM$2)*(AsistenciaJetAdminConcatenada!$B:$B=DM$1), 0)), 1))),  0.5, 0))</f>
        <v>0</v>
      </c>
      <c r="DN74" s="47">
        <f t="array" ref="DN74">IF(AND(ISNUMBER(MATCH(DN$2, AsistenciaJetAdminConcatenada!$A:$A, 0)), ISNUMBER(MATCH(DN$1, AsistenciaJetAdminConcatenada!$B:$B, 0)), ISNUMBER(SEARCH($A74,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ISNUMBER(SEARCH($A74, INDEX(AsistenciaJetAdminConcatenada!$D:$D, MATCH(1, (AsistenciaJetAdminConcatenada!$A:$A=DN$2)*(AsistenciaJetAdminConcatenada!$B:$B=DN$1), 0)), 1))),  0.5, 0))</f>
        <v>0</v>
      </c>
      <c r="DO74" s="47">
        <f t="array" ref="DO74">IF(AND(ISNUMBER(MATCH(DO$2, AsistenciaJetAdminConcatenada!$A:$A, 0)), ISNUMBER(MATCH(DO$1, AsistenciaJetAdminConcatenada!$B:$B, 0)), ISNUMBER(SEARCH($A74,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ISNUMBER(SEARCH($A74, INDEX(AsistenciaJetAdminConcatenada!$D:$D, MATCH(1, (AsistenciaJetAdminConcatenada!$A:$A=DO$2)*(AsistenciaJetAdminConcatenada!$B:$B=DO$1), 0)), 1))),  0.5, 0))</f>
        <v>0</v>
      </c>
      <c r="DP74" s="47">
        <f t="array" ref="DP74">IF(AND(ISNUMBER(MATCH(DP$2, AsistenciaJetAdminConcatenada!$A:$A, 0)), ISNUMBER(MATCH(DP$1, AsistenciaJetAdminConcatenada!$B:$B, 0)), ISNUMBER(SEARCH($A74,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ISNUMBER(SEARCH($A74, INDEX(AsistenciaJetAdminConcatenada!$D:$D, MATCH(1, (AsistenciaJetAdminConcatenada!$A:$A=DP$2)*(AsistenciaJetAdminConcatenada!$B:$B=DP$1), 0)), 1))),  0.5, 0))</f>
        <v>0</v>
      </c>
      <c r="DQ74" s="47">
        <f t="array" ref="DQ74">IF(AND(ISNUMBER(MATCH(DQ$2, AsistenciaJetAdminConcatenada!$A:$A, 0)), ISNUMBER(MATCH(DQ$1, AsistenciaJetAdminConcatenada!$B:$B, 0)), ISNUMBER(SEARCH($A74,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ISNUMBER(SEARCH($A74, INDEX(AsistenciaJetAdminConcatenada!$D:$D, MATCH(1, (AsistenciaJetAdminConcatenada!$A:$A=DQ$2)*(AsistenciaJetAdminConcatenada!$B:$B=DQ$1), 0)), 1))),  0.5, 0))</f>
        <v>0</v>
      </c>
      <c r="DR74" s="47">
        <f t="array" ref="DR74">IF(AND(ISNUMBER(MATCH(DR$2, AsistenciaJetAdminConcatenada!$A:$A, 0)), ISNUMBER(MATCH(DR$1, AsistenciaJetAdminConcatenada!$B:$B, 0)), ISNUMBER(SEARCH($A74,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ISNUMBER(SEARCH($A74, INDEX(AsistenciaJetAdminConcatenada!$D:$D, MATCH(1, (AsistenciaJetAdminConcatenada!$A:$A=DR$2)*(AsistenciaJetAdminConcatenada!$B:$B=DR$1), 0)), 1))),  0.5, 0))</f>
        <v>0</v>
      </c>
      <c r="DS74" s="47">
        <f t="array" ref="DS74">IF(AND(ISNUMBER(MATCH(DS$2, AsistenciaJetAdminConcatenada!$A:$A, 0)), ISNUMBER(MATCH(DS$1, AsistenciaJetAdminConcatenada!$B:$B, 0)), ISNUMBER(SEARCH($A74,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ISNUMBER(SEARCH($A74, INDEX(AsistenciaJetAdminConcatenada!$D:$D, MATCH(1, (AsistenciaJetAdminConcatenada!$A:$A=DS$2)*(AsistenciaJetAdminConcatenada!$B:$B=DS$1), 0)), 1))),  0.5, 0))</f>
        <v>0</v>
      </c>
      <c r="DT74" s="47">
        <f t="array" ref="DT74">IF(AND(ISNUMBER(MATCH(DT$2, AsistenciaJetAdminConcatenada!$A:$A, 0)), ISNUMBER(MATCH(DT$1, AsistenciaJetAdminConcatenada!$B:$B, 0)), ISNUMBER(SEARCH($A74,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ISNUMBER(SEARCH($A74, INDEX(AsistenciaJetAdminConcatenada!$D:$D, MATCH(1, (AsistenciaJetAdminConcatenada!$A:$A=DT$2)*(AsistenciaJetAdminConcatenada!$B:$B=DT$1), 0)), 1))),  0.5, 0))</f>
        <v>0</v>
      </c>
      <c r="DU74" s="47">
        <f t="array" ref="DU74">IF(AND(ISNUMBER(MATCH(DU$2, AsistenciaJetAdminConcatenada!$A:$A, 0)), ISNUMBER(MATCH(DU$1, AsistenciaJetAdminConcatenada!$B:$B, 0)), ISNUMBER(SEARCH($A74,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ISNUMBER(SEARCH($A74, INDEX(AsistenciaJetAdminConcatenada!$D:$D, MATCH(1, (AsistenciaJetAdminConcatenada!$A:$A=DU$2)*(AsistenciaJetAdminConcatenada!$B:$B=DU$1), 0)), 1))),  0.5, 0))</f>
        <v>0</v>
      </c>
      <c r="DV74" s="47">
        <f t="array" ref="DV74">IF(AND(ISNUMBER(MATCH(DV$2, AsistenciaJetAdminConcatenada!$A:$A, 0)), ISNUMBER(MATCH(DV$1, AsistenciaJetAdminConcatenada!$B:$B, 0)), ISNUMBER(SEARCH($A74,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ISNUMBER(SEARCH($A74, INDEX(AsistenciaJetAdminConcatenada!$D:$D, MATCH(1, (AsistenciaJetAdminConcatenada!$A:$A=DV$2)*(AsistenciaJetAdminConcatenada!$B:$B=DV$1), 0)), 1))),  0.5, 0))</f>
        <v>0</v>
      </c>
      <c r="DW74" s="47">
        <f t="array" ref="DW74">IF(AND(ISNUMBER(MATCH(DW$2, AsistenciaJetAdminConcatenada!$A:$A, 0)), ISNUMBER(MATCH(DW$1, AsistenciaJetAdminConcatenada!$B:$B, 0)), ISNUMBER(SEARCH($A74,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ISNUMBER(SEARCH($A74, INDEX(AsistenciaJetAdminConcatenada!$D:$D, MATCH(1, (AsistenciaJetAdminConcatenada!$A:$A=DW$2)*(AsistenciaJetAdminConcatenada!$B:$B=DW$1), 0)), 1))),  0.5, 0))</f>
        <v>0</v>
      </c>
      <c r="DX74" s="47">
        <f t="array" ref="DX74">IF(AND(ISNUMBER(MATCH(DX$2, AsistenciaJetAdminConcatenada!$A:$A, 0)), ISNUMBER(MATCH(DX$1, AsistenciaJetAdminConcatenada!$B:$B, 0)), ISNUMBER(SEARCH($A74,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ISNUMBER(SEARCH($A74, INDEX(AsistenciaJetAdminConcatenada!$D:$D, MATCH(1, (AsistenciaJetAdminConcatenada!$A:$A=DX$2)*(AsistenciaJetAdminConcatenada!$B:$B=DX$1), 0)), 1))),  0.5, 0))</f>
        <v>0</v>
      </c>
      <c r="DY74" s="47">
        <f t="array" ref="DY74">IF(AND(ISNUMBER(MATCH(DY$2, AsistenciaJetAdminConcatenada!$A:$A, 0)), ISNUMBER(MATCH(DY$1, AsistenciaJetAdminConcatenada!$B:$B, 0)), ISNUMBER(SEARCH($A74,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ISNUMBER(SEARCH($A74, INDEX(AsistenciaJetAdminConcatenada!$D:$D, MATCH(1, (AsistenciaJetAdminConcatenada!$A:$A=DY$2)*(AsistenciaJetAdminConcatenada!$B:$B=DY$1), 0)), 1))),  0.5, 0))</f>
        <v>0</v>
      </c>
      <c r="DZ74" s="47">
        <f t="array" ref="DZ74">IF(AND(ISNUMBER(MATCH(DZ$2, AsistenciaJetAdminConcatenada!$A:$A, 0)), ISNUMBER(MATCH(DZ$1, AsistenciaJetAdminConcatenada!$B:$B, 0)), ISNUMBER(SEARCH($A74,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ISNUMBER(SEARCH($A74, INDEX(AsistenciaJetAdminConcatenada!$D:$D, MATCH(1, (AsistenciaJetAdminConcatenada!$A:$A=DZ$2)*(AsistenciaJetAdminConcatenada!$B:$B=DZ$1), 0)), 1))),  0.5, 0))</f>
        <v>0</v>
      </c>
      <c r="EA74" s="47">
        <f t="array" ref="EA74">IF(AND(ISNUMBER(MATCH(EA$2, AsistenciaJetAdminConcatenada!$A:$A, 0)), ISNUMBER(MATCH(EA$1, AsistenciaJetAdminConcatenada!$B:$B, 0)), ISNUMBER(SEARCH($A74,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ISNUMBER(SEARCH($A74, INDEX(AsistenciaJetAdminConcatenada!$D:$D, MATCH(1, (AsistenciaJetAdminConcatenada!$A:$A=EA$2)*(AsistenciaJetAdminConcatenada!$B:$B=EA$1), 0)), 1))),  0.5, 0))</f>
        <v>0</v>
      </c>
      <c r="EB74" s="47">
        <f t="array" ref="EB74">IF(AND(ISNUMBER(MATCH(EB$2, AsistenciaJetAdminConcatenada!$A:$A, 0)), ISNUMBER(MATCH(EB$1, AsistenciaJetAdminConcatenada!$B:$B, 0)), ISNUMBER(SEARCH($A74,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ISNUMBER(SEARCH($A74, INDEX(AsistenciaJetAdminConcatenada!$D:$D, MATCH(1, (AsistenciaJetAdminConcatenada!$A:$A=EB$2)*(AsistenciaJetAdminConcatenada!$B:$B=EB$1), 0)), 1))),  0.5, 0))</f>
        <v>0</v>
      </c>
      <c r="EC74" s="47">
        <f t="array" ref="EC74">IF(AND(ISNUMBER(MATCH(EC$2, AsistenciaJetAdminConcatenada!$A:$A, 0)), ISNUMBER(MATCH(EC$1, AsistenciaJetAdminConcatenada!$B:$B, 0)), ISNUMBER(SEARCH($A74,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ISNUMBER(SEARCH($A74, INDEX(AsistenciaJetAdminConcatenada!$D:$D, MATCH(1, (AsistenciaJetAdminConcatenada!$A:$A=EC$2)*(AsistenciaJetAdminConcatenada!$B:$B=EC$1), 0)), 1))),  0.5, 0))</f>
        <v>0</v>
      </c>
      <c r="ED74" s="47">
        <f t="array" ref="ED74">IF(AND(ISNUMBER(MATCH(ED$2, AsistenciaJetAdminConcatenada!$A:$A, 0)), ISNUMBER(MATCH(ED$1, AsistenciaJetAdminConcatenada!$B:$B, 0)), ISNUMBER(SEARCH($A74,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ISNUMBER(SEARCH($A74, INDEX(AsistenciaJetAdminConcatenada!$D:$D, MATCH(1, (AsistenciaJetAdminConcatenada!$A:$A=ED$2)*(AsistenciaJetAdminConcatenada!$B:$B=ED$1), 0)), 1))),  0.5, 0))</f>
        <v>0</v>
      </c>
      <c r="EE74" s="47">
        <f t="array" ref="EE74">IF(AND(ISNUMBER(MATCH(EE$2, AsistenciaJetAdminConcatenada!$A:$A, 0)), ISNUMBER(MATCH(EE$1, AsistenciaJetAdminConcatenada!$B:$B, 0)), ISNUMBER(SEARCH($A74,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ISNUMBER(SEARCH($A74, INDEX(AsistenciaJetAdminConcatenada!$D:$D, MATCH(1, (AsistenciaJetAdminConcatenada!$A:$A=EE$2)*(AsistenciaJetAdminConcatenada!$B:$B=EE$1), 0)), 1))),  0.5, 0))</f>
        <v>0</v>
      </c>
      <c r="EF74" s="47">
        <f t="array" ref="EF74">IF(AND(ISNUMBER(MATCH(EF$2, AsistenciaJetAdminConcatenada!$A:$A, 0)), ISNUMBER(MATCH(EF$1, AsistenciaJetAdminConcatenada!$B:$B, 0)), ISNUMBER(SEARCH($A74,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ISNUMBER(SEARCH($A74, INDEX(AsistenciaJetAdminConcatenada!$D:$D, MATCH(1, (AsistenciaJetAdminConcatenada!$A:$A=EF$2)*(AsistenciaJetAdminConcatenada!$B:$B=EF$1), 0)), 1))),  0.5, 0))</f>
        <v>0</v>
      </c>
      <c r="EG74" s="47">
        <f t="array" ref="EG74">IF(AND(ISNUMBER(MATCH(EG$2, AsistenciaJetAdminConcatenada!$A:$A, 0)), ISNUMBER(MATCH(EG$1, AsistenciaJetAdminConcatenada!$B:$B, 0)), ISNUMBER(SEARCH($A74,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ISNUMBER(SEARCH($A74, INDEX(AsistenciaJetAdminConcatenada!$D:$D, MATCH(1, (AsistenciaJetAdminConcatenada!$A:$A=EG$2)*(AsistenciaJetAdminConcatenada!$B:$B=EG$1), 0)), 1))),  0.5, 0))</f>
        <v>0</v>
      </c>
      <c r="EH74" s="47">
        <f t="array" ref="EH74">IF(AND(ISNUMBER(MATCH(EH$2, AsistenciaJetAdminConcatenada!$A:$A, 0)), ISNUMBER(MATCH(EH$1, AsistenciaJetAdminConcatenada!$B:$B, 0)), ISNUMBER(SEARCH($A74,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ISNUMBER(SEARCH($A74, INDEX(AsistenciaJetAdminConcatenada!$D:$D, MATCH(1, (AsistenciaJetAdminConcatenada!$A:$A=EH$2)*(AsistenciaJetAdminConcatenada!$B:$B=EH$1), 0)), 1))),  0.5, 0))</f>
        <v>0</v>
      </c>
      <c r="EI74" s="47">
        <f t="array" ref="EI74">IF(AND(ISNUMBER(MATCH(EI$2, AsistenciaJetAdminConcatenada!$A:$A, 0)), ISNUMBER(MATCH(EI$1, AsistenciaJetAdminConcatenada!$B:$B, 0)), ISNUMBER(SEARCH($A74,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ISNUMBER(SEARCH($A74, INDEX(AsistenciaJetAdminConcatenada!$D:$D, MATCH(1, (AsistenciaJetAdminConcatenada!$A:$A=EI$2)*(AsistenciaJetAdminConcatenada!$B:$B=EI$1), 0)), 1))),  0.5, 0))</f>
        <v>0</v>
      </c>
      <c r="EJ74" s="47">
        <f t="array" ref="EJ74">IF(AND(ISNUMBER(MATCH(EJ$2, AsistenciaJetAdminConcatenada!$A:$A, 0)), ISNUMBER(MATCH(EJ$1, AsistenciaJetAdminConcatenada!$B:$B, 0)), ISNUMBER(SEARCH($A74,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ISNUMBER(SEARCH($A74, INDEX(AsistenciaJetAdminConcatenada!$D:$D, MATCH(1, (AsistenciaJetAdminConcatenada!$A:$A=EJ$2)*(AsistenciaJetAdminConcatenada!$B:$B=EJ$1), 0)), 1))),  0.5, 0))</f>
        <v>0</v>
      </c>
      <c r="EK74" s="47">
        <f t="array" ref="EK74">IF(AND(ISNUMBER(MATCH(EK$2, AsistenciaJetAdminConcatenada!$A:$A, 0)), ISNUMBER(MATCH(EK$1, AsistenciaJetAdminConcatenada!$B:$B, 0)), ISNUMBER(SEARCH($A74,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ISNUMBER(SEARCH($A74, INDEX(AsistenciaJetAdminConcatenada!$D:$D, MATCH(1, (AsistenciaJetAdminConcatenada!$A:$A=EK$2)*(AsistenciaJetAdminConcatenada!$B:$B=EK$1), 0)), 1))),  0.5, 0))</f>
        <v>0</v>
      </c>
      <c r="EL74" s="47">
        <f t="array" ref="EL74">IF(AND(ISNUMBER(MATCH(EL$2, AsistenciaJetAdminConcatenada!$A:$A, 0)), ISNUMBER(MATCH(EL$1, AsistenciaJetAdminConcatenada!$B:$B, 0)), ISNUMBER(SEARCH($A74,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ISNUMBER(SEARCH($A74, INDEX(AsistenciaJetAdminConcatenada!$D:$D, MATCH(1, (AsistenciaJetAdminConcatenada!$A:$A=EL$2)*(AsistenciaJetAdminConcatenada!$B:$B=EL$1), 0)), 1))),  0.5, 0))</f>
        <v>0</v>
      </c>
      <c r="EM74" s="47">
        <f t="array" ref="EM74">IF(AND(ISNUMBER(MATCH(EM$2, AsistenciaJetAdminConcatenada!$A:$A, 0)), ISNUMBER(MATCH(EM$1, AsistenciaJetAdminConcatenada!$B:$B, 0)), ISNUMBER(SEARCH($A74,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ISNUMBER(SEARCH($A74, INDEX(AsistenciaJetAdminConcatenada!$D:$D, MATCH(1, (AsistenciaJetAdminConcatenada!$A:$A=EM$2)*(AsistenciaJetAdminConcatenada!$B:$B=EM$1), 0)), 1))),  0.5, 0))</f>
        <v>0</v>
      </c>
      <c r="EN74" s="47">
        <f t="array" ref="EN74">IF(AND(ISNUMBER(MATCH(EN$2, AsistenciaJetAdminConcatenada!$A:$A, 0)), ISNUMBER(MATCH(EN$1, AsistenciaJetAdminConcatenada!$B:$B, 0)), ISNUMBER(SEARCH($A74,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ISNUMBER(SEARCH($A74, INDEX(AsistenciaJetAdminConcatenada!$D:$D, MATCH(1, (AsistenciaJetAdminConcatenada!$A:$A=EN$2)*(AsistenciaJetAdminConcatenada!$B:$B=EN$1), 0)), 1))),  0.5, 0))</f>
        <v>0</v>
      </c>
      <c r="EO74" s="47">
        <f t="array" ref="EO74">IF(AND(ISNUMBER(MATCH(EO$2, AsistenciaJetAdminConcatenada!$A:$A, 0)), ISNUMBER(MATCH(EO$1, AsistenciaJetAdminConcatenada!$B:$B, 0)), ISNUMBER(SEARCH($A74,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ISNUMBER(SEARCH($A74, INDEX(AsistenciaJetAdminConcatenada!$D:$D, MATCH(1, (AsistenciaJetAdminConcatenada!$A:$A=EO$2)*(AsistenciaJetAdminConcatenada!$B:$B=EO$1), 0)), 1))),  0.5, 0))</f>
        <v>0</v>
      </c>
      <c r="EP74" s="47">
        <f t="array" ref="EP74">IF(AND(ISNUMBER(MATCH(EP$2, AsistenciaJetAdminConcatenada!$A:$A, 0)), ISNUMBER(MATCH(EP$1, AsistenciaJetAdminConcatenada!$B:$B, 0)), ISNUMBER(SEARCH($A74,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ISNUMBER(SEARCH($A74, INDEX(AsistenciaJetAdminConcatenada!$D:$D, MATCH(1, (AsistenciaJetAdminConcatenada!$A:$A=EP$2)*(AsistenciaJetAdminConcatenada!$B:$B=EP$1), 0)), 1))),  0.5, 0))</f>
        <v>0</v>
      </c>
      <c r="EQ74" s="47">
        <f t="array" ref="EQ74">IF(AND(ISNUMBER(MATCH(EQ$2, AsistenciaJetAdminConcatenada!$A:$A, 0)), ISNUMBER(MATCH(EQ$1, AsistenciaJetAdminConcatenada!$B:$B, 0)), ISNUMBER(SEARCH($A74,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ISNUMBER(SEARCH($A74, INDEX(AsistenciaJetAdminConcatenada!$D:$D, MATCH(1, (AsistenciaJetAdminConcatenada!$A:$A=EQ$2)*(AsistenciaJetAdminConcatenada!$B:$B=EQ$1), 0)), 1))),  0.5, 0))</f>
        <v>0</v>
      </c>
      <c r="ER74" s="47">
        <f t="array" ref="ER74">IF(AND(ISNUMBER(MATCH(ER$2, AsistenciaJetAdminConcatenada!$A:$A, 0)), ISNUMBER(MATCH(ER$1, AsistenciaJetAdminConcatenada!$B:$B, 0)), ISNUMBER(SEARCH($A74,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ISNUMBER(SEARCH($A74, INDEX(AsistenciaJetAdminConcatenada!$D:$D, MATCH(1, (AsistenciaJetAdminConcatenada!$A:$A=ER$2)*(AsistenciaJetAdminConcatenada!$B:$B=ER$1), 0)), 1))),  0.5, 0))</f>
        <v>0</v>
      </c>
      <c r="ES74" s="47">
        <f t="array" ref="ES74">IF(AND(ISNUMBER(MATCH(ES$2, AsistenciaJetAdminConcatenada!$A:$A, 0)), ISNUMBER(MATCH(ES$1, AsistenciaJetAdminConcatenada!$B:$B, 0)), ISNUMBER(SEARCH($A74,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ISNUMBER(SEARCH($A74, INDEX(AsistenciaJetAdminConcatenada!$D:$D, MATCH(1, (AsistenciaJetAdminConcatenada!$A:$A=ES$2)*(AsistenciaJetAdminConcatenada!$B:$B=ES$1), 0)), 1))),  0.5, 0))</f>
        <v>0</v>
      </c>
      <c r="ET74" s="47">
        <f t="array" ref="ET74">IF(AND(ISNUMBER(MATCH(ET$2, AsistenciaJetAdminConcatenada!$A:$A, 0)), ISNUMBER(MATCH(ET$1, AsistenciaJetAdminConcatenada!$B:$B, 0)), ISNUMBER(SEARCH($A74,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ISNUMBER(SEARCH($A74, INDEX(AsistenciaJetAdminConcatenada!$D:$D, MATCH(1, (AsistenciaJetAdminConcatenada!$A:$A=ET$2)*(AsistenciaJetAdminConcatenada!$B:$B=ET$1), 0)), 1))),  0.5, 0))</f>
        <v>0</v>
      </c>
      <c r="EU74" s="47">
        <f t="array" ref="EU74">IF(AND(ISNUMBER(MATCH(EU$2, AsistenciaJetAdminConcatenada!$A:$A, 0)), ISNUMBER(MATCH(EU$1, AsistenciaJetAdminConcatenada!$B:$B, 0)), ISNUMBER(SEARCH($A74,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ISNUMBER(SEARCH($A74, INDEX(AsistenciaJetAdminConcatenada!$D:$D, MATCH(1, (AsistenciaJetAdminConcatenada!$A:$A=EU$2)*(AsistenciaJetAdminConcatenada!$B:$B=EU$1), 0)), 1))),  0.5, 0))</f>
        <v>0</v>
      </c>
      <c r="EV74" s="47">
        <f t="array" ref="EV74">IF(AND(ISNUMBER(MATCH(EV$2, AsistenciaJetAdminConcatenada!$A:$A, 0)), ISNUMBER(MATCH(EV$1, AsistenciaJetAdminConcatenada!$B:$B, 0)), ISNUMBER(SEARCH($A74,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ISNUMBER(SEARCH($A74, INDEX(AsistenciaJetAdminConcatenada!$D:$D, MATCH(1, (AsistenciaJetAdminConcatenada!$A:$A=EV$2)*(AsistenciaJetAdminConcatenada!$B:$B=EV$1), 0)), 1))),  0.5, 0))</f>
        <v>0</v>
      </c>
      <c r="EW74" s="47">
        <f t="array" ref="EW74">IF(AND(ISNUMBER(MATCH(EW$2, AsistenciaJetAdminConcatenada!$A:$A, 0)), ISNUMBER(MATCH(EW$1, AsistenciaJetAdminConcatenada!$B:$B, 0)), ISNUMBER(SEARCH($A74,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ISNUMBER(SEARCH($A74, INDEX(AsistenciaJetAdminConcatenada!$D:$D, MATCH(1, (AsistenciaJetAdminConcatenada!$A:$A=EW$2)*(AsistenciaJetAdminConcatenada!$B:$B=EW$1), 0)), 1))),  0.5, 0))</f>
        <v>0</v>
      </c>
      <c r="EX74" s="47">
        <f t="array" ref="EX74">IF(AND(ISNUMBER(MATCH(EX$2, AsistenciaJetAdminConcatenada!$A:$A, 0)), ISNUMBER(MATCH(EX$1, AsistenciaJetAdminConcatenada!$B:$B, 0)), ISNUMBER(SEARCH($A74,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ISNUMBER(SEARCH($A74, INDEX(AsistenciaJetAdminConcatenada!$D:$D, MATCH(1, (AsistenciaJetAdminConcatenada!$A:$A=EX$2)*(AsistenciaJetAdminConcatenada!$B:$B=EX$1), 0)), 1))),  0.5, 0))</f>
        <v>0</v>
      </c>
      <c r="EY74" s="47">
        <f t="array" ref="EY74">IF(AND(ISNUMBER(MATCH(EY$2, AsistenciaJetAdminConcatenada!$A:$A, 0)), ISNUMBER(MATCH(EY$1, AsistenciaJetAdminConcatenada!$B:$B, 0)), ISNUMBER(SEARCH($A74,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ISNUMBER(SEARCH($A74, INDEX(AsistenciaJetAdminConcatenada!$D:$D, MATCH(1, (AsistenciaJetAdminConcatenada!$A:$A=EY$2)*(AsistenciaJetAdminConcatenada!$B:$B=EY$1), 0)), 1))),  0.5, 0))</f>
        <v>0</v>
      </c>
      <c r="EZ74" s="47">
        <f t="array" ref="EZ74">IF(AND(ISNUMBER(MATCH(EZ$2, AsistenciaJetAdminConcatenada!$A:$A, 0)), ISNUMBER(MATCH(EZ$1, AsistenciaJetAdminConcatenada!$B:$B, 0)), ISNUMBER(SEARCH($A74,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ISNUMBER(SEARCH($A74, INDEX(AsistenciaJetAdminConcatenada!$D:$D, MATCH(1, (AsistenciaJetAdminConcatenada!$A:$A=EZ$2)*(AsistenciaJetAdminConcatenada!$B:$B=EZ$1), 0)), 1))),  0.5, 0))</f>
        <v>0</v>
      </c>
      <c r="FA74" s="47">
        <f t="array" ref="FA74">IF(AND(ISNUMBER(MATCH(FA$2, AsistenciaJetAdminConcatenada!$A:$A, 0)), ISNUMBER(MATCH(FA$1, AsistenciaJetAdminConcatenada!$B:$B, 0)), ISNUMBER(SEARCH($A74,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ISNUMBER(SEARCH($A74, INDEX(AsistenciaJetAdminConcatenada!$D:$D, MATCH(1, (AsistenciaJetAdminConcatenada!$A:$A=FA$2)*(AsistenciaJetAdminConcatenada!$B:$B=FA$1), 0)), 1))),  0.5, 0))</f>
        <v>0</v>
      </c>
      <c r="FB74" s="47">
        <f t="array" ref="FB74">IF(AND(ISNUMBER(MATCH(FB$2, AsistenciaJetAdminConcatenada!$A:$A, 0)), ISNUMBER(MATCH(FB$1, AsistenciaJetAdminConcatenada!$B:$B, 0)), ISNUMBER(SEARCH($A74,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ISNUMBER(SEARCH($A74, INDEX(AsistenciaJetAdminConcatenada!$D:$D, MATCH(1, (AsistenciaJetAdminConcatenada!$A:$A=FB$2)*(AsistenciaJetAdminConcatenada!$B:$B=FB$1), 0)), 1))),  0.5, 0))</f>
        <v>0</v>
      </c>
      <c r="FC74" s="47">
        <f t="array" ref="FC74">IF(AND(ISNUMBER(MATCH(FC$2, AsistenciaJetAdminConcatenada!$A:$A, 0)), ISNUMBER(MATCH(FC$1, AsistenciaJetAdminConcatenada!$B:$B, 0)), ISNUMBER(SEARCH($A74,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ISNUMBER(SEARCH($A74, INDEX(AsistenciaJetAdminConcatenada!$D:$D, MATCH(1, (AsistenciaJetAdminConcatenada!$A:$A=FC$2)*(AsistenciaJetAdminConcatenada!$B:$B=FC$1), 0)), 1))),  0.5, 0))</f>
        <v>0</v>
      </c>
      <c r="FD74" s="47">
        <f t="array" ref="FD74">IF(AND(ISNUMBER(MATCH(FD$2, AsistenciaJetAdminConcatenada!$A:$A, 0)), ISNUMBER(MATCH(FD$1, AsistenciaJetAdminConcatenada!$B:$B, 0)), ISNUMBER(SEARCH($A74,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ISNUMBER(SEARCH($A74, INDEX(AsistenciaJetAdminConcatenada!$D:$D, MATCH(1, (AsistenciaJetAdminConcatenada!$A:$A=FD$2)*(AsistenciaJetAdminConcatenada!$B:$B=FD$1), 0)), 1))),  0.5, 0))</f>
        <v>0</v>
      </c>
      <c r="FE74" s="47">
        <f t="array" ref="FE74">IF(AND(ISNUMBER(MATCH(FE$2, AsistenciaJetAdminConcatenada!$A:$A, 0)), ISNUMBER(MATCH(FE$1, AsistenciaJetAdminConcatenada!$B:$B, 0)), ISNUMBER(SEARCH($A74,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ISNUMBER(SEARCH($A74, INDEX(AsistenciaJetAdminConcatenada!$D:$D, MATCH(1, (AsistenciaJetAdminConcatenada!$A:$A=FE$2)*(AsistenciaJetAdminConcatenada!$B:$B=FE$1), 0)), 1))),  0.5, 0))</f>
        <v>0</v>
      </c>
      <c r="FF74" s="47">
        <f t="array" ref="FF74">IF(AND(ISNUMBER(MATCH(FF$2, AsistenciaJetAdminConcatenada!$A:$A, 0)), ISNUMBER(MATCH(FF$1, AsistenciaJetAdminConcatenada!$B:$B, 0)), ISNUMBER(SEARCH($A74,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ISNUMBER(SEARCH($A74, INDEX(AsistenciaJetAdminConcatenada!$D:$D, MATCH(1, (AsistenciaJetAdminConcatenada!$A:$A=FF$2)*(AsistenciaJetAdminConcatenada!$B:$B=FF$1), 0)), 1))),  0.5, 0))</f>
        <v>0</v>
      </c>
      <c r="FG74" s="47">
        <f t="array" ref="FG74">IF(AND(ISNUMBER(MATCH(FG$2, AsistenciaJetAdminConcatenada!$A:$A, 0)), ISNUMBER(MATCH(FG$1, AsistenciaJetAdminConcatenada!$B:$B, 0)), ISNUMBER(SEARCH($A74,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ISNUMBER(SEARCH($A74, INDEX(AsistenciaJetAdminConcatenada!$D:$D, MATCH(1, (AsistenciaJetAdminConcatenada!$A:$A=FG$2)*(AsistenciaJetAdminConcatenada!$B:$B=FG$1), 0)), 1))),  0.5, 0))</f>
        <v>0</v>
      </c>
      <c r="FH74" s="47">
        <f t="array" ref="FH74">IF(AND(ISNUMBER(MATCH(FH$2, AsistenciaJetAdminConcatenada!$A:$A, 0)), ISNUMBER(MATCH(FH$1, AsistenciaJetAdminConcatenada!$B:$B, 0)), ISNUMBER(SEARCH($A74,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ISNUMBER(SEARCH($A74, INDEX(AsistenciaJetAdminConcatenada!$D:$D, MATCH(1, (AsistenciaJetAdminConcatenada!$A:$A=FH$2)*(AsistenciaJetAdminConcatenada!$B:$B=FH$1), 0)), 1))),  0.5, 0))</f>
        <v>0</v>
      </c>
      <c r="FI74" s="47">
        <f t="array" ref="FI74">IF(AND(ISNUMBER(MATCH(FI$2, AsistenciaJetAdminConcatenada!$A:$A, 0)), ISNUMBER(MATCH(FI$1, AsistenciaJetAdminConcatenada!$B:$B, 0)), ISNUMBER(SEARCH($A74,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ISNUMBER(SEARCH($A74, INDEX(AsistenciaJetAdminConcatenada!$D:$D, MATCH(1, (AsistenciaJetAdminConcatenada!$A:$A=FI$2)*(AsistenciaJetAdminConcatenada!$B:$B=FI$1), 0)), 1))),  0.5, 0))</f>
        <v>0</v>
      </c>
      <c r="FJ74" s="47">
        <f t="array" ref="FJ74">IF(AND(ISNUMBER(MATCH(FJ$2, AsistenciaJetAdminConcatenada!$A:$A, 0)), ISNUMBER(MATCH(FJ$1, AsistenciaJetAdminConcatenada!$B:$B, 0)), ISNUMBER(SEARCH($A74,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ISNUMBER(SEARCH($A74, INDEX(AsistenciaJetAdminConcatenada!$D:$D, MATCH(1, (AsistenciaJetAdminConcatenada!$A:$A=FJ$2)*(AsistenciaJetAdminConcatenada!$B:$B=FJ$1), 0)), 1))),  0.5, 0))</f>
        <v>0</v>
      </c>
      <c r="FK74" s="47">
        <f t="array" ref="FK74">IF(AND(ISNUMBER(MATCH(FK$2, AsistenciaJetAdminConcatenada!$A:$A, 0)), ISNUMBER(MATCH(FK$1, AsistenciaJetAdminConcatenada!$B:$B, 0)), ISNUMBER(SEARCH($A74,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ISNUMBER(SEARCH($A74, INDEX(AsistenciaJetAdminConcatenada!$D:$D, MATCH(1, (AsistenciaJetAdminConcatenada!$A:$A=FK$2)*(AsistenciaJetAdminConcatenada!$B:$B=FK$1), 0)), 1))),  0.5, 0))</f>
        <v>0</v>
      </c>
      <c r="FL74" s="47">
        <f t="array" ref="FL74">IF(AND(ISNUMBER(MATCH(FL$2, AsistenciaJetAdminConcatenada!$A:$A, 0)), ISNUMBER(MATCH(FL$1, AsistenciaJetAdminConcatenada!$B:$B, 0)), ISNUMBER(SEARCH($A74,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ISNUMBER(SEARCH($A74, INDEX(AsistenciaJetAdminConcatenada!$D:$D, MATCH(1, (AsistenciaJetAdminConcatenada!$A:$A=FL$2)*(AsistenciaJetAdminConcatenada!$B:$B=FL$1), 0)), 1))),  0.5, 0))</f>
        <v>0</v>
      </c>
      <c r="FM74" s="47">
        <f t="array" ref="FM74">IF(AND(ISNUMBER(MATCH(FM$2, AsistenciaJetAdminConcatenada!$A:$A, 0)), ISNUMBER(MATCH(FM$1, AsistenciaJetAdminConcatenada!$B:$B, 0)), ISNUMBER(SEARCH($A74,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ISNUMBER(SEARCH($A74, INDEX(AsistenciaJetAdminConcatenada!$D:$D, MATCH(1, (AsistenciaJetAdminConcatenada!$A:$A=FM$2)*(AsistenciaJetAdminConcatenada!$B:$B=FM$1), 0)), 1))),  0.5, 0))</f>
        <v>0</v>
      </c>
      <c r="FN74" s="47">
        <f t="array" ref="FN74">IF(AND(ISNUMBER(MATCH(FN$2, AsistenciaJetAdminConcatenada!$A:$A, 0)), ISNUMBER(MATCH(FN$1, AsistenciaJetAdminConcatenada!$B:$B, 0)), ISNUMBER(SEARCH($A74,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ISNUMBER(SEARCH($A74, INDEX(AsistenciaJetAdminConcatenada!$D:$D, MATCH(1, (AsistenciaJetAdminConcatenada!$A:$A=FN$2)*(AsistenciaJetAdminConcatenada!$B:$B=FN$1), 0)), 1))),  0.5, 0))</f>
        <v>0</v>
      </c>
      <c r="FO74" s="47">
        <f t="array" ref="FO74">IF(AND(ISNUMBER(MATCH(FO$2, AsistenciaJetAdminConcatenada!$A:$A, 0)), ISNUMBER(MATCH(FO$1, AsistenciaJetAdminConcatenada!$B:$B, 0)), ISNUMBER(SEARCH($A74,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ISNUMBER(SEARCH($A74, INDEX(AsistenciaJetAdminConcatenada!$D:$D, MATCH(1, (AsistenciaJetAdminConcatenada!$A:$A=FO$2)*(AsistenciaJetAdminConcatenada!$B:$B=FO$1), 0)), 1))),  0.5, 0))</f>
        <v>0</v>
      </c>
      <c r="FP74" s="47">
        <f t="array" ref="FP74">IF(AND(ISNUMBER(MATCH(FP$2, AsistenciaJetAdminConcatenada!$A:$A, 0)), ISNUMBER(MATCH(FP$1, AsistenciaJetAdminConcatenada!$B:$B, 0)), ISNUMBER(SEARCH($A74,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ISNUMBER(SEARCH($A74, INDEX(AsistenciaJetAdminConcatenada!$D:$D, MATCH(1, (AsistenciaJetAdminConcatenada!$A:$A=FP$2)*(AsistenciaJetAdminConcatenada!$B:$B=FP$1), 0)), 1))),  0.5, 0))</f>
        <v>0</v>
      </c>
      <c r="FQ74" s="47">
        <f t="array" ref="FQ74">IF(AND(ISNUMBER(MATCH(FQ$2, AsistenciaJetAdminConcatenada!$A:$A, 0)), ISNUMBER(MATCH(FQ$1, AsistenciaJetAdminConcatenada!$B:$B, 0)), ISNUMBER(SEARCH($A74,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ISNUMBER(SEARCH($A74, INDEX(AsistenciaJetAdminConcatenada!$D:$D, MATCH(1, (AsistenciaJetAdminConcatenada!$A:$A=FQ$2)*(AsistenciaJetAdminConcatenada!$B:$B=FQ$1), 0)), 1))),  0.5, 0))</f>
        <v>0</v>
      </c>
      <c r="FR74" s="47">
        <f t="array" ref="FR74">IF(AND(ISNUMBER(MATCH(FR$2, AsistenciaJetAdminConcatenada!$A:$A, 0)), ISNUMBER(MATCH(FR$1, AsistenciaJetAdminConcatenada!$B:$B, 0)), ISNUMBER(SEARCH($A74,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ISNUMBER(SEARCH($A74, INDEX(AsistenciaJetAdminConcatenada!$D:$D, MATCH(1, (AsistenciaJetAdminConcatenada!$A:$A=FR$2)*(AsistenciaJetAdminConcatenada!$B:$B=FR$1), 0)), 1))),  0.5, 0))</f>
        <v>0</v>
      </c>
      <c r="FS74" s="47">
        <f t="array" ref="FS74">IF(AND(ISNUMBER(MATCH(FS$2, AsistenciaJetAdminConcatenada!$A:$A, 0)), ISNUMBER(MATCH(FS$1, AsistenciaJetAdminConcatenada!$B:$B, 0)), ISNUMBER(SEARCH($A74,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ISNUMBER(SEARCH($A74, INDEX(AsistenciaJetAdminConcatenada!$D:$D, MATCH(1, (AsistenciaJetAdminConcatenada!$A:$A=FS$2)*(AsistenciaJetAdminConcatenada!$B:$B=FS$1), 0)), 1))),  0.5, 0))</f>
        <v>0</v>
      </c>
      <c r="FT74" s="47">
        <f t="array" ref="FT74">IF(AND(ISNUMBER(MATCH(FT$2, AsistenciaJetAdminConcatenada!$A:$A, 0)), ISNUMBER(MATCH(FT$1, AsistenciaJetAdminConcatenada!$B:$B, 0)), ISNUMBER(SEARCH($A74,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ISNUMBER(SEARCH($A74, INDEX(AsistenciaJetAdminConcatenada!$D:$D, MATCH(1, (AsistenciaJetAdminConcatenada!$A:$A=FT$2)*(AsistenciaJetAdminConcatenada!$B:$B=FT$1), 0)), 1))),  0.5, 0))</f>
        <v>0</v>
      </c>
      <c r="FU74" s="47">
        <f t="array" ref="FU74">IF(AND(ISNUMBER(MATCH(FU$2, AsistenciaJetAdminConcatenada!$A:$A, 0)), ISNUMBER(MATCH(FU$1, AsistenciaJetAdminConcatenada!$B:$B, 0)), ISNUMBER(SEARCH($A74,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ISNUMBER(SEARCH($A74, INDEX(AsistenciaJetAdminConcatenada!$D:$D, MATCH(1, (AsistenciaJetAdminConcatenada!$A:$A=FU$2)*(AsistenciaJetAdminConcatenada!$B:$B=FU$1), 0)), 1))),  0.5, 0))</f>
        <v>0</v>
      </c>
      <c r="FV74" s="47">
        <f t="array" ref="FV74">IF(AND(ISNUMBER(MATCH(FV$2, AsistenciaJetAdminConcatenada!$A:$A, 0)), ISNUMBER(MATCH(FV$1, AsistenciaJetAdminConcatenada!$B:$B, 0)), ISNUMBER(SEARCH($A74,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ISNUMBER(SEARCH($A74, INDEX(AsistenciaJetAdminConcatenada!$D:$D, MATCH(1, (AsistenciaJetAdminConcatenada!$A:$A=FV$2)*(AsistenciaJetAdminConcatenada!$B:$B=FV$1), 0)), 1))),  0.5, 0))</f>
        <v>0</v>
      </c>
      <c r="FW74" s="47">
        <f t="array" ref="FW74">IF(AND(ISNUMBER(MATCH(FW$2, AsistenciaJetAdminConcatenada!$A:$A, 0)), ISNUMBER(MATCH(FW$1, AsistenciaJetAdminConcatenada!$B:$B, 0)), ISNUMBER(SEARCH($A74,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ISNUMBER(SEARCH($A74, INDEX(AsistenciaJetAdminConcatenada!$D:$D, MATCH(1, (AsistenciaJetAdminConcatenada!$A:$A=FW$2)*(AsistenciaJetAdminConcatenada!$B:$B=FW$1), 0)), 1))),  0.5, 0))</f>
        <v>0</v>
      </c>
      <c r="FX74" s="47">
        <f t="array" ref="FX74">IF(AND(ISNUMBER(MATCH(FX$2, AsistenciaJetAdminConcatenada!$A:$A, 0)), ISNUMBER(MATCH(FX$1, AsistenciaJetAdminConcatenada!$B:$B, 0)), ISNUMBER(SEARCH($A74,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ISNUMBER(SEARCH($A74, INDEX(AsistenciaJetAdminConcatenada!$D:$D, MATCH(1, (AsistenciaJetAdminConcatenada!$A:$A=FX$2)*(AsistenciaJetAdminConcatenada!$B:$B=FX$1), 0)), 1))),  0.5, 0))</f>
        <v>0</v>
      </c>
      <c r="FY74" s="47">
        <f t="array" ref="FY74">IF(AND(ISNUMBER(MATCH(FY$2, AsistenciaJetAdminConcatenada!$A:$A, 0)), ISNUMBER(MATCH(FY$1, AsistenciaJetAdminConcatenada!$B:$B, 0)), ISNUMBER(SEARCH($A74,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ISNUMBER(SEARCH($A74, INDEX(AsistenciaJetAdminConcatenada!$D:$D, MATCH(1, (AsistenciaJetAdminConcatenada!$A:$A=FY$2)*(AsistenciaJetAdminConcatenada!$B:$B=FY$1), 0)), 1))),  0.5, 0))</f>
        <v>0</v>
      </c>
      <c r="FZ74" s="47">
        <f t="array" ref="FZ74">IF(AND(ISNUMBER(MATCH(FZ$2, AsistenciaJetAdminConcatenada!$A:$A, 0)), ISNUMBER(MATCH(FZ$1, AsistenciaJetAdminConcatenada!$B:$B, 0)), ISNUMBER(SEARCH($A74,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ISNUMBER(SEARCH($A74, INDEX(AsistenciaJetAdminConcatenada!$D:$D, MATCH(1, (AsistenciaJetAdminConcatenada!$A:$A=FZ$2)*(AsistenciaJetAdminConcatenada!$B:$B=FZ$1), 0)), 1))),  0.5, 0))</f>
        <v>0</v>
      </c>
      <c r="GA74" s="47">
        <f t="array" ref="GA74">IF(AND(ISNUMBER(MATCH(GA$2, AsistenciaJetAdminConcatenada!$A:$A, 0)), ISNUMBER(MATCH(GA$1, AsistenciaJetAdminConcatenada!$B:$B, 0)), ISNUMBER(SEARCH($A74,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ISNUMBER(SEARCH($A74, INDEX(AsistenciaJetAdminConcatenada!$D:$D, MATCH(1, (AsistenciaJetAdminConcatenada!$A:$A=GA$2)*(AsistenciaJetAdminConcatenada!$B:$B=GA$1), 0)), 1))),  0.5, 0))</f>
        <v>0</v>
      </c>
      <c r="GB74" s="47">
        <f t="array" ref="GB74">IF(AND(ISNUMBER(MATCH(GB$2, AsistenciaJetAdminConcatenada!$A:$A, 0)), ISNUMBER(MATCH(GB$1, AsistenciaJetAdminConcatenada!$B:$B, 0)), ISNUMBER(SEARCH($A74,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ISNUMBER(SEARCH($A74, INDEX(AsistenciaJetAdminConcatenada!$D:$D, MATCH(1, (AsistenciaJetAdminConcatenada!$A:$A=GB$2)*(AsistenciaJetAdminConcatenada!$B:$B=GB$1), 0)), 1))),  0.5, 0))</f>
        <v>0</v>
      </c>
      <c r="GC74" s="47">
        <f t="array" ref="GC74">IF(AND(ISNUMBER(MATCH(GC$2, AsistenciaJetAdminConcatenada!$A:$A, 0)), ISNUMBER(MATCH(GC$1, AsistenciaJetAdminConcatenada!$B:$B, 0)), ISNUMBER(SEARCH($A74,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ISNUMBER(SEARCH($A74, INDEX(AsistenciaJetAdminConcatenada!$D:$D, MATCH(1, (AsistenciaJetAdminConcatenada!$A:$A=GC$2)*(AsistenciaJetAdminConcatenada!$B:$B=GC$1), 0)), 1))),  0.5, 0))</f>
        <v>0</v>
      </c>
      <c r="GD74" s="47">
        <f t="array" ref="GD74">IF(AND(ISNUMBER(MATCH(GD$2, AsistenciaJetAdminConcatenada!$A:$A, 0)), ISNUMBER(MATCH(GD$1, AsistenciaJetAdminConcatenada!$B:$B, 0)), ISNUMBER(SEARCH($A74,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ISNUMBER(SEARCH($A74, INDEX(AsistenciaJetAdminConcatenada!$D:$D, MATCH(1, (AsistenciaJetAdminConcatenada!$A:$A=GD$2)*(AsistenciaJetAdminConcatenada!$B:$B=GD$1), 0)), 1))),  0.5, 0))</f>
        <v>0</v>
      </c>
      <c r="GE74" s="47">
        <f t="array" ref="GE74">IF(AND(ISNUMBER(MATCH(GE$2, AsistenciaJetAdminConcatenada!$A:$A, 0)), ISNUMBER(MATCH(GE$1, AsistenciaJetAdminConcatenada!$B:$B, 0)), ISNUMBER(SEARCH($A74,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ISNUMBER(SEARCH($A74, INDEX(AsistenciaJetAdminConcatenada!$D:$D, MATCH(1, (AsistenciaJetAdminConcatenada!$A:$A=GE$2)*(AsistenciaJetAdminConcatenada!$B:$B=GE$1), 0)), 1))),  0.5, 0))</f>
        <v>0</v>
      </c>
      <c r="GF74" s="47">
        <f t="array" ref="GF74">IF(AND(ISNUMBER(MATCH(GF$2, AsistenciaJetAdminConcatenada!$A:$A, 0)), ISNUMBER(MATCH(GF$1, AsistenciaJetAdminConcatenada!$B:$B, 0)), ISNUMBER(SEARCH($A74,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ISNUMBER(SEARCH($A74, INDEX(AsistenciaJetAdminConcatenada!$D:$D, MATCH(1, (AsistenciaJetAdminConcatenada!$A:$A=GF$2)*(AsistenciaJetAdminConcatenada!$B:$B=GF$1), 0)), 1))),  0.5, 0))</f>
        <v>0</v>
      </c>
      <c r="GG74" s="47">
        <f t="array" ref="GG74">IF(AND(ISNUMBER(MATCH(GG$2, AsistenciaJetAdminConcatenada!$A:$A, 0)), ISNUMBER(MATCH(GG$1, AsistenciaJetAdminConcatenada!$B:$B, 0)), ISNUMBER(SEARCH($A74,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ISNUMBER(SEARCH($A74, INDEX(AsistenciaJetAdminConcatenada!$D:$D, MATCH(1, (AsistenciaJetAdminConcatenada!$A:$A=GG$2)*(AsistenciaJetAdminConcatenada!$B:$B=GG$1), 0)), 1))),  0.5, 0))</f>
        <v>0</v>
      </c>
      <c r="GH74" s="47">
        <f t="array" ref="GH74">IF(AND(ISNUMBER(MATCH(GH$2, AsistenciaJetAdminConcatenada!$A:$A, 0)), ISNUMBER(MATCH(GH$1, AsistenciaJetAdminConcatenada!$B:$B, 0)), ISNUMBER(SEARCH($A74,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ISNUMBER(SEARCH($A74, INDEX(AsistenciaJetAdminConcatenada!$D:$D, MATCH(1, (AsistenciaJetAdminConcatenada!$A:$A=GH$2)*(AsistenciaJetAdminConcatenada!$B:$B=GH$1), 0)), 1))),  0.5, 0))</f>
        <v>0</v>
      </c>
      <c r="GI74" s="47">
        <f t="array" ref="GI74">IF(AND(ISNUMBER(MATCH(GI$2, AsistenciaJetAdminConcatenada!$A:$A, 0)), ISNUMBER(MATCH(GI$1, AsistenciaJetAdminConcatenada!$B:$B, 0)), ISNUMBER(SEARCH($A74,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ISNUMBER(SEARCH($A74, INDEX(AsistenciaJetAdminConcatenada!$D:$D, MATCH(1, (AsistenciaJetAdminConcatenada!$A:$A=GI$2)*(AsistenciaJetAdminConcatenada!$B:$B=GI$1), 0)), 1))),  0.5, 0))</f>
        <v>0</v>
      </c>
      <c r="GJ74" s="47">
        <f t="array" ref="GJ74">IF(AND(ISNUMBER(MATCH(GJ$2, AsistenciaJetAdminConcatenada!$A:$A, 0)), ISNUMBER(MATCH(GJ$1, AsistenciaJetAdminConcatenada!$B:$B, 0)), ISNUMBER(SEARCH($A74,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ISNUMBER(SEARCH($A74, INDEX(AsistenciaJetAdminConcatenada!$D:$D, MATCH(1, (AsistenciaJetAdminConcatenada!$A:$A=GJ$2)*(AsistenciaJetAdminConcatenada!$B:$B=GJ$1), 0)), 1))),  0.5, 0))</f>
        <v>0</v>
      </c>
      <c r="GK74" s="47">
        <f t="array" ref="GK74">IF(AND(ISNUMBER(MATCH(GK$2, AsistenciaJetAdminConcatenada!$A:$A, 0)), ISNUMBER(MATCH(GK$1, AsistenciaJetAdminConcatenada!$B:$B, 0)), ISNUMBER(SEARCH($A74,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ISNUMBER(SEARCH($A74, INDEX(AsistenciaJetAdminConcatenada!$D:$D, MATCH(1, (AsistenciaJetAdminConcatenada!$A:$A=GK$2)*(AsistenciaJetAdminConcatenada!$B:$B=GK$1), 0)), 1))),  0.5, 0))</f>
        <v>0</v>
      </c>
      <c r="GL74" s="47">
        <f t="array" ref="GL74">IF(AND(ISNUMBER(MATCH(GL$2, AsistenciaJetAdminConcatenada!$A:$A, 0)), ISNUMBER(MATCH(GL$1, AsistenciaJetAdminConcatenada!$B:$B, 0)), ISNUMBER(SEARCH($A74,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ISNUMBER(SEARCH($A74, INDEX(AsistenciaJetAdminConcatenada!$D:$D, MATCH(1, (AsistenciaJetAdminConcatenada!$A:$A=GL$2)*(AsistenciaJetAdminConcatenada!$B:$B=GL$1), 0)), 1))),  0.5, 0))</f>
        <v>0</v>
      </c>
      <c r="GM74" s="47">
        <f t="array" ref="GM74">IF(AND(ISNUMBER(MATCH(GM$2, AsistenciaJetAdminConcatenada!$A:$A, 0)), ISNUMBER(MATCH(GM$1, AsistenciaJetAdminConcatenada!$B:$B, 0)), ISNUMBER(SEARCH($A74,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ISNUMBER(SEARCH($A74, INDEX(AsistenciaJetAdminConcatenada!$D:$D, MATCH(1, (AsistenciaJetAdminConcatenada!$A:$A=GM$2)*(AsistenciaJetAdminConcatenada!$B:$B=GM$1), 0)), 1))),  0.5, 0))</f>
        <v>0</v>
      </c>
      <c r="GN74" s="47">
        <f t="array" ref="GN74">IF(AND(ISNUMBER(MATCH(GN$2, AsistenciaJetAdminConcatenada!$A:$A, 0)), ISNUMBER(MATCH(GN$1, AsistenciaJetAdminConcatenada!$B:$B, 0)), ISNUMBER(SEARCH($A74,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ISNUMBER(SEARCH($A74, INDEX(AsistenciaJetAdminConcatenada!$D:$D, MATCH(1, (AsistenciaJetAdminConcatenada!$A:$A=GN$2)*(AsistenciaJetAdminConcatenada!$B:$B=GN$1), 0)), 1))),  0.5, 0))</f>
        <v>0</v>
      </c>
      <c r="GO74" s="47">
        <f t="array" ref="GO74">IF(AND(ISNUMBER(MATCH(GO$2, AsistenciaJetAdminConcatenada!$A:$A, 0)), ISNUMBER(MATCH(GO$1, AsistenciaJetAdminConcatenada!$B:$B, 0)), ISNUMBER(SEARCH($A74,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ISNUMBER(SEARCH($A74, INDEX(AsistenciaJetAdminConcatenada!$D:$D, MATCH(1, (AsistenciaJetAdminConcatenada!$A:$A=GO$2)*(AsistenciaJetAdminConcatenada!$B:$B=GO$1), 0)), 1))),  0.5, 0))</f>
        <v>0</v>
      </c>
      <c r="GP74" s="47">
        <f t="array" ref="GP74">IF(AND(ISNUMBER(MATCH(GP$2, AsistenciaJetAdminConcatenada!$A:$A, 0)), ISNUMBER(MATCH(GP$1, AsistenciaJetAdminConcatenada!$B:$B, 0)), ISNUMBER(SEARCH($A74,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ISNUMBER(SEARCH($A74, INDEX(AsistenciaJetAdminConcatenada!$D:$D, MATCH(1, (AsistenciaJetAdminConcatenada!$A:$A=GP$2)*(AsistenciaJetAdminConcatenada!$B:$B=GP$1), 0)), 1))),  0.5, 0))</f>
        <v>0</v>
      </c>
      <c r="GQ74" s="47">
        <f t="array" ref="GQ74">IF(AND(ISNUMBER(MATCH(GQ$2, AsistenciaJetAdminConcatenada!$A:$A, 0)), ISNUMBER(MATCH(GQ$1, AsistenciaJetAdminConcatenada!$B:$B, 0)), ISNUMBER(SEARCH($A74,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ISNUMBER(SEARCH($A74, INDEX(AsistenciaJetAdminConcatenada!$D:$D, MATCH(1, (AsistenciaJetAdminConcatenada!$A:$A=GQ$2)*(AsistenciaJetAdminConcatenada!$B:$B=GQ$1), 0)), 1))),  0.5, 0))</f>
        <v>0</v>
      </c>
      <c r="GR74" s="47">
        <f t="array" ref="GR74">IF(AND(ISNUMBER(MATCH(GR$2, AsistenciaJetAdminConcatenada!$A:$A, 0)), ISNUMBER(MATCH(GR$1, AsistenciaJetAdminConcatenada!$B:$B, 0)), ISNUMBER(SEARCH($A74,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ISNUMBER(SEARCH($A74, INDEX(AsistenciaJetAdminConcatenada!$D:$D, MATCH(1, (AsistenciaJetAdminConcatenada!$A:$A=GR$2)*(AsistenciaJetAdminConcatenada!$B:$B=GR$1), 0)), 1))),  0.5, 0))</f>
        <v>0</v>
      </c>
      <c r="GS74" s="47">
        <f t="array" ref="GS74">IF(AND(ISNUMBER(MATCH(GS$2, AsistenciaJetAdminConcatenada!$A:$A, 0)), ISNUMBER(MATCH(GS$1, AsistenciaJetAdminConcatenada!$B:$B, 0)), ISNUMBER(SEARCH($A74,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ISNUMBER(SEARCH($A74, INDEX(AsistenciaJetAdminConcatenada!$D:$D, MATCH(1, (AsistenciaJetAdminConcatenada!$A:$A=GS$2)*(AsistenciaJetAdminConcatenada!$B:$B=GS$1), 0)), 1))),  0.5, 0))</f>
        <v>0</v>
      </c>
      <c r="GT74" s="47">
        <f t="array" ref="GT74">IF(AND(ISNUMBER(MATCH(GT$2, AsistenciaJetAdminConcatenada!$A:$A, 0)), ISNUMBER(MATCH(GT$1, AsistenciaJetAdminConcatenada!$B:$B, 0)), ISNUMBER(SEARCH($A74,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ISNUMBER(SEARCH($A74, INDEX(AsistenciaJetAdminConcatenada!$D:$D, MATCH(1, (AsistenciaJetAdminConcatenada!$A:$A=GT$2)*(AsistenciaJetAdminConcatenada!$B:$B=GT$1), 0)), 1))),  0.5, 0))</f>
        <v>0</v>
      </c>
      <c r="GU74" s="47">
        <f t="array" ref="GU74">IF(AND(ISNUMBER(MATCH(GU$2, AsistenciaJetAdminConcatenada!$A:$A, 0)), ISNUMBER(MATCH(GU$1, AsistenciaJetAdminConcatenada!$B:$B, 0)), ISNUMBER(SEARCH($A74,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ISNUMBER(SEARCH($A74, INDEX(AsistenciaJetAdminConcatenada!$D:$D, MATCH(1, (AsistenciaJetAdminConcatenada!$A:$A=GU$2)*(AsistenciaJetAdminConcatenada!$B:$B=GU$1), 0)), 1))),  0.5, 0))</f>
        <v>0</v>
      </c>
      <c r="GV74" s="47">
        <f t="array" ref="GV74">IF(AND(ISNUMBER(MATCH(GV$2, AsistenciaJetAdminConcatenada!$A:$A, 0)), ISNUMBER(MATCH(GV$1, AsistenciaJetAdminConcatenada!$B:$B, 0)), ISNUMBER(SEARCH($A74,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ISNUMBER(SEARCH($A74, INDEX(AsistenciaJetAdminConcatenada!$D:$D, MATCH(1, (AsistenciaJetAdminConcatenada!$A:$A=GV$2)*(AsistenciaJetAdminConcatenada!$B:$B=GV$1), 0)), 1))),  0.5, 0))</f>
        <v>0</v>
      </c>
      <c r="GW74" s="47">
        <f t="array" ref="GW74">IF(AND(ISNUMBER(MATCH(GW$2, AsistenciaJetAdminConcatenada!$A:$A, 0)), ISNUMBER(MATCH(GW$1, AsistenciaJetAdminConcatenada!$B:$B, 0)), ISNUMBER(SEARCH($A74,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ISNUMBER(SEARCH($A74, INDEX(AsistenciaJetAdminConcatenada!$D:$D, MATCH(1, (AsistenciaJetAdminConcatenada!$A:$A=GW$2)*(AsistenciaJetAdminConcatenada!$B:$B=GW$1), 0)), 1))),  0.5, 0))</f>
        <v>0</v>
      </c>
      <c r="GX74" s="47">
        <f t="array" ref="GX74">IF(AND(ISNUMBER(MATCH(GX$2, AsistenciaJetAdminConcatenada!$A:$A, 0)), ISNUMBER(MATCH(GX$1, AsistenciaJetAdminConcatenada!$B:$B, 0)), ISNUMBER(SEARCH($A74,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ISNUMBER(SEARCH($A74, INDEX(AsistenciaJetAdminConcatenada!$D:$D, MATCH(1, (AsistenciaJetAdminConcatenada!$A:$A=GX$2)*(AsistenciaJetAdminConcatenada!$B:$B=GX$1), 0)), 1))),  0.5, 0))</f>
        <v>0</v>
      </c>
      <c r="GY74" s="47">
        <f t="array" ref="GY74">IF(AND(ISNUMBER(MATCH(GY$2, AsistenciaJetAdminConcatenada!$A:$A, 0)), ISNUMBER(MATCH(GY$1, AsistenciaJetAdminConcatenada!$B:$B, 0)), ISNUMBER(SEARCH($A74,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ISNUMBER(SEARCH($A74, INDEX(AsistenciaJetAdminConcatenada!$D:$D, MATCH(1, (AsistenciaJetAdminConcatenada!$A:$A=GY$2)*(AsistenciaJetAdminConcatenada!$B:$B=GY$1), 0)), 1))),  0.5, 0))</f>
        <v>0</v>
      </c>
      <c r="GZ74" s="47">
        <f t="array" ref="GZ74">IF(AND(ISNUMBER(MATCH(GZ$2, AsistenciaJetAdminConcatenada!$A:$A, 0)), ISNUMBER(MATCH(GZ$1, AsistenciaJetAdminConcatenada!$B:$B, 0)), ISNUMBER(SEARCH($A74,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ISNUMBER(SEARCH($A74, INDEX(AsistenciaJetAdminConcatenada!$D:$D, MATCH(1, (AsistenciaJetAdminConcatenada!$A:$A=GZ$2)*(AsistenciaJetAdminConcatenada!$B:$B=GZ$1), 0)), 1))),  0.5, 0))</f>
        <v>0</v>
      </c>
      <c r="HA74" s="47">
        <f t="array" ref="HA74">IF(AND(ISNUMBER(MATCH(HA$2, AsistenciaJetAdminConcatenada!$A:$A, 0)), ISNUMBER(MATCH(HA$1, AsistenciaJetAdminConcatenada!$B:$B, 0)), ISNUMBER(SEARCH($A74,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ISNUMBER(SEARCH($A74, INDEX(AsistenciaJetAdminConcatenada!$D:$D, MATCH(1, (AsistenciaJetAdminConcatenada!$A:$A=HA$2)*(AsistenciaJetAdminConcatenada!$B:$B=HA$1), 0)), 1))),  0.5, 0))</f>
        <v>0</v>
      </c>
      <c r="HB74" s="47">
        <f t="array" ref="HB74">IF(AND(ISNUMBER(MATCH(HB$2, AsistenciaJetAdminConcatenada!$A:$A, 0)), ISNUMBER(MATCH(HB$1, AsistenciaJetAdminConcatenada!$B:$B, 0)), ISNUMBER(SEARCH($A74,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ISNUMBER(SEARCH($A74, INDEX(AsistenciaJetAdminConcatenada!$D:$D, MATCH(1, (AsistenciaJetAdminConcatenada!$A:$A=HB$2)*(AsistenciaJetAdminConcatenada!$B:$B=HB$1), 0)), 1))),  0.5, 0))</f>
        <v>0</v>
      </c>
      <c r="HC74" s="47">
        <f t="array" ref="HC74">IF(AND(ISNUMBER(MATCH(HC$2, AsistenciaJetAdminConcatenada!$A:$A, 0)), ISNUMBER(MATCH(HC$1, AsistenciaJetAdminConcatenada!$B:$B, 0)), ISNUMBER(SEARCH($A74,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ISNUMBER(SEARCH($A74, INDEX(AsistenciaJetAdminConcatenada!$D:$D, MATCH(1, (AsistenciaJetAdminConcatenada!$A:$A=HC$2)*(AsistenciaJetAdminConcatenada!$B:$B=HC$1), 0)), 1))),  0.5, 0))</f>
        <v>0</v>
      </c>
    </row>
    <row r="75" ht="29.25" customHeight="1">
      <c r="A75" s="3">
        <v>202.0</v>
      </c>
      <c r="B75" s="4" t="s">
        <v>222</v>
      </c>
      <c r="C75" s="47">
        <f>SUM(D75:HC75) + ActividadesEspeciales!C75</f>
        <v>50.5</v>
      </c>
      <c r="D75" s="47">
        <f t="array" ref="D75">IF(AND(ISNUMBER(MATCH(D$2, AsistenciaJetAdminConcatenada!$A:$A, 0)), ISNUMBER(MATCH(D$1, AsistenciaJetAdminConcatenada!$B:$B, 0)), ISNUMBER(SEARCH($A75,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ISNUMBER(SEARCH($A75, INDEX(AsistenciaJetAdminConcatenada!$D:$D, MATCH(1, (AsistenciaJetAdminConcatenada!$A:$A=D$2)*(AsistenciaJetAdminConcatenada!$B:$B=D$1), 0)), 1))),  0.5, 0))</f>
        <v>1</v>
      </c>
      <c r="E75" s="47">
        <f t="array" ref="E75">IF(AND(ISNUMBER(MATCH(E$2, AsistenciaJetAdminConcatenada!$A:$A, 0)), ISNUMBER(MATCH(E$1, AsistenciaJetAdminConcatenada!$B:$B, 0)), ISNUMBER(SEARCH($A75,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ISNUMBER(SEARCH($A75, INDEX(AsistenciaJetAdminConcatenada!$D:$D, MATCH(1, (AsistenciaJetAdminConcatenada!$A:$A=E$2)*(AsistenciaJetAdminConcatenada!$B:$B=E$1), 0)), 1))),  0.5, 0))</f>
        <v>1</v>
      </c>
      <c r="F75" s="47">
        <f t="array" ref="F75">IF(AND(ISNUMBER(MATCH(F$2, AsistenciaJetAdminConcatenada!$A:$A, 0)), ISNUMBER(MATCH(F$1, AsistenciaJetAdminConcatenada!$B:$B, 0)), ISNUMBER(SEARCH($A75,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ISNUMBER(SEARCH($A75, INDEX(AsistenciaJetAdminConcatenada!$D:$D, MATCH(1, (AsistenciaJetAdminConcatenada!$A:$A=F$2)*(AsistenciaJetAdminConcatenada!$B:$B=F$1), 0)), 1))),  0.5, 0))</f>
        <v>1</v>
      </c>
      <c r="G75" s="47">
        <f t="array" ref="G75">IF(AND(ISNUMBER(MATCH(G$2, AsistenciaJetAdminConcatenada!$A:$A, 0)), ISNUMBER(MATCH(G$1, AsistenciaJetAdminConcatenada!$B:$B, 0)), ISNUMBER(SEARCH($A75,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ISNUMBER(SEARCH($A75, INDEX(AsistenciaJetAdminConcatenada!$D:$D, MATCH(1, (AsistenciaJetAdminConcatenada!$A:$A=G$2)*(AsistenciaJetAdminConcatenada!$B:$B=G$1), 0)), 1))),  0.5, 0))</f>
        <v>1</v>
      </c>
      <c r="H75" s="47">
        <f t="array" ref="H75">IF(AND(ISNUMBER(MATCH(H$2, AsistenciaJetAdminConcatenada!$A:$A, 0)), ISNUMBER(MATCH(H$1, AsistenciaJetAdminConcatenada!$B:$B, 0)), ISNUMBER(SEARCH($A75,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ISNUMBER(SEARCH($A75, INDEX(AsistenciaJetAdminConcatenada!$D:$D, MATCH(1, (AsistenciaJetAdminConcatenada!$A:$A=H$2)*(AsistenciaJetAdminConcatenada!$B:$B=H$1), 0)), 1))),  0.5, 0))</f>
        <v>1</v>
      </c>
      <c r="I75" s="47">
        <f t="array" ref="I75">IF(AND(ISNUMBER(MATCH(I$2, AsistenciaJetAdminConcatenada!$A:$A, 0)), ISNUMBER(MATCH(I$1, AsistenciaJetAdminConcatenada!$B:$B, 0)), ISNUMBER(SEARCH($A75,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ISNUMBER(SEARCH($A75, INDEX(AsistenciaJetAdminConcatenada!$D:$D, MATCH(1, (AsistenciaJetAdminConcatenada!$A:$A=I$2)*(AsistenciaJetAdminConcatenada!$B:$B=I$1), 0)), 1))),  0.5, 0))</f>
        <v>1</v>
      </c>
      <c r="J75" s="47">
        <f t="array" ref="J75">IF(AND(ISNUMBER(MATCH(J$2, AsistenciaJetAdminConcatenada!$A:$A, 0)), ISNUMBER(MATCH(J$1, AsistenciaJetAdminConcatenada!$B:$B, 0)), ISNUMBER(SEARCH($A75,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ISNUMBER(SEARCH($A75, INDEX(AsistenciaJetAdminConcatenada!$D:$D, MATCH(1, (AsistenciaJetAdminConcatenada!$A:$A=J$2)*(AsistenciaJetAdminConcatenada!$B:$B=J$1), 0)), 1))),  0.5, 0))</f>
        <v>1</v>
      </c>
      <c r="K75" s="47">
        <f t="array" ref="K75">IF(AND(ISNUMBER(MATCH(K$2, AsistenciaJetAdminConcatenada!$A:$A, 0)), ISNUMBER(MATCH(K$1, AsistenciaJetAdminConcatenada!$B:$B, 0)), ISNUMBER(SEARCH($A75,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ISNUMBER(SEARCH($A75, INDEX(AsistenciaJetAdminConcatenada!$D:$D, MATCH(1, (AsistenciaJetAdminConcatenada!$A:$A=K$2)*(AsistenciaJetAdminConcatenada!$B:$B=K$1), 0)), 1))),  0.5, 0))</f>
        <v>1</v>
      </c>
      <c r="L75" s="47">
        <f t="array" ref="L75">IF(AND(ISNUMBER(MATCH(L$2, AsistenciaJetAdminConcatenada!$A:$A, 0)), ISNUMBER(MATCH(L$1, AsistenciaJetAdminConcatenada!$B:$B, 0)), ISNUMBER(SEARCH($A75,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ISNUMBER(SEARCH($A75, INDEX(AsistenciaJetAdminConcatenada!$D:$D, MATCH(1, (AsistenciaJetAdminConcatenada!$A:$A=L$2)*(AsistenciaJetAdminConcatenada!$B:$B=L$1), 0)), 1))),  0.5, 0))</f>
        <v>0</v>
      </c>
      <c r="M75" s="47">
        <f t="array" ref="M75">IF(AND(ISNUMBER(MATCH(M$2, AsistenciaJetAdminConcatenada!$A:$A, 0)), ISNUMBER(MATCH(M$1, AsistenciaJetAdminConcatenada!$B:$B, 0)), ISNUMBER(SEARCH($A75,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ISNUMBER(SEARCH($A75, INDEX(AsistenciaJetAdminConcatenada!$D:$D, MATCH(1, (AsistenciaJetAdminConcatenada!$A:$A=M$2)*(AsistenciaJetAdminConcatenada!$B:$B=M$1), 0)), 1))),  0.5, 0))</f>
        <v>0</v>
      </c>
      <c r="N75" s="47">
        <f t="array" ref="N75">IF(AND(ISNUMBER(MATCH(N$2, AsistenciaJetAdminConcatenada!$A:$A, 0)), ISNUMBER(MATCH(N$1, AsistenciaJetAdminConcatenada!$B:$B, 0)), ISNUMBER(SEARCH($A75,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ISNUMBER(SEARCH($A75, INDEX(AsistenciaJetAdminConcatenada!$D:$D, MATCH(1, (AsistenciaJetAdminConcatenada!$A:$A=N$2)*(AsistenciaJetAdminConcatenada!$B:$B=N$1), 0)), 1))),  0.5, 0))</f>
        <v>0</v>
      </c>
      <c r="O75" s="47">
        <f t="array" ref="O75">IF(AND(ISNUMBER(MATCH(O$2, AsistenciaJetAdminConcatenada!$A:$A, 0)), ISNUMBER(MATCH(O$1, AsistenciaJetAdminConcatenada!$B:$B, 0)), ISNUMBER(SEARCH($A75,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ISNUMBER(SEARCH($A75, INDEX(AsistenciaJetAdminConcatenada!$D:$D, MATCH(1, (AsistenciaJetAdminConcatenada!$A:$A=O$2)*(AsistenciaJetAdminConcatenada!$B:$B=O$1), 0)), 1))),  0.5, 0))</f>
        <v>1</v>
      </c>
      <c r="P75" s="47">
        <f t="array" ref="P75">IF(AND(ISNUMBER(MATCH(P$2, AsistenciaJetAdminConcatenada!$A:$A, 0)), ISNUMBER(MATCH(P$1, AsistenciaJetAdminConcatenada!$B:$B, 0)), ISNUMBER(SEARCH($A75, INDEX(AsistenciaJetAdminConcatenada!$C:$C, MATCH(1, (AsistenciaJetAdminConcatenada!$A:$A=P$2)*(AsistenciaJetAdminConcatenada!$B:$B=P$1), 0)), 1))), 1, IF(AND(ISNUMBER(MATCH(P$2, AsistenciaJetAdminConcatenada!$A:$A, 0)), ISNUMBER(MATCH(P$1, AsistenciaJetAdminConcatenada!$B:$B, 0)), ISNUMBER(SEARCH($A75, INDEX(AsistenciaJetAdminConcatenada!$D:$D, MATCH(1, (AsistenciaJetAdminConcatenada!$A:$A=P$2)*(AsistenciaJetAdminConcatenada!$B:$B=P$1), 0)), 1))),  0.5, 0))</f>
        <v>1</v>
      </c>
      <c r="Q75" s="8">
        <v>0.5</v>
      </c>
      <c r="R75" s="47">
        <f t="array" ref="R75">IF(AND(ISNUMBER(MATCH(R$2, AsistenciaJetAdminConcatenada!$A:$A, 0)), ISNUMBER(MATCH(R$1, AsistenciaJetAdminConcatenada!$B:$B, 0)), ISNUMBER(SEARCH($A75,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ISNUMBER(SEARCH($A75, INDEX(AsistenciaJetAdminConcatenada!$D:$D, MATCH(1, (AsistenciaJetAdminConcatenada!$A:$A=R$2)*(AsistenciaJetAdminConcatenada!$B:$B=R$1), 0)), 1))),  0.5, 0))</f>
        <v>1</v>
      </c>
      <c r="S75" s="47">
        <f t="array" ref="S75">IF(AND(ISNUMBER(MATCH(S$2, AsistenciaJetAdminConcatenada!$A:$A, 0)), ISNUMBER(MATCH(S$1, AsistenciaJetAdminConcatenada!$B:$B, 0)), ISNUMBER(SEARCH($A75,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ISNUMBER(SEARCH($A75, INDEX(AsistenciaJetAdminConcatenada!$D:$D, MATCH(1, (AsistenciaJetAdminConcatenada!$A:$A=S$2)*(AsistenciaJetAdminConcatenada!$B:$B=S$1), 0)), 1))),  0.5, 0))</f>
        <v>1</v>
      </c>
      <c r="T75" s="47">
        <f t="array" ref="T75">IF(AND(ISNUMBER(MATCH(T$2, AsistenciaJetAdminConcatenada!$A:$A, 0)), ISNUMBER(MATCH(T$1, AsistenciaJetAdminConcatenada!$B:$B, 0)), ISNUMBER(SEARCH($A75,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ISNUMBER(SEARCH($A75, INDEX(AsistenciaJetAdminConcatenada!$D:$D, MATCH(1, (AsistenciaJetAdminConcatenada!$A:$A=T$2)*(AsistenciaJetAdminConcatenada!$B:$B=T$1), 0)), 1))),  0.5, 0))</f>
        <v>1</v>
      </c>
      <c r="U75" s="47">
        <f t="array" ref="U75">IF(AND(ISNUMBER(MATCH(U$2, AsistenciaJetAdminConcatenada!$A:$A, 0)), ISNUMBER(MATCH(U$1, AsistenciaJetAdminConcatenada!$B:$B, 0)), ISNUMBER(SEARCH($A75,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ISNUMBER(SEARCH($A75, INDEX(AsistenciaJetAdminConcatenada!$D:$D, MATCH(1, (AsistenciaJetAdminConcatenada!$A:$A=U$2)*(AsistenciaJetAdminConcatenada!$B:$B=U$1), 0)), 1))),  0.5, 0))</f>
        <v>0</v>
      </c>
      <c r="V75" s="47">
        <f t="array" ref="V75">IF(AND(ISNUMBER(MATCH(V$2, AsistenciaJetAdminConcatenada!$A:$A, 0)), ISNUMBER(MATCH(V$1, AsistenciaJetAdminConcatenada!$B:$B, 0)), ISNUMBER(SEARCH($A75,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ISNUMBER(SEARCH($A75, INDEX(AsistenciaJetAdminConcatenada!$D:$D, MATCH(1, (AsistenciaJetAdminConcatenada!$A:$A=V$2)*(AsistenciaJetAdminConcatenada!$B:$B=V$1), 0)), 1))),  0.5, 0))</f>
        <v>0.5</v>
      </c>
      <c r="W75" s="47">
        <f t="array" ref="W75">IF(AND(ISNUMBER(MATCH(W$2, AsistenciaJetAdminConcatenada!$A:$A, 0)), ISNUMBER(MATCH(W$1, AsistenciaJetAdminConcatenada!$B:$B, 0)), ISNUMBER(SEARCH($A75,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ISNUMBER(SEARCH($A75, INDEX(AsistenciaJetAdminConcatenada!$D:$D, MATCH(1, (AsistenciaJetAdminConcatenada!$A:$A=W$2)*(AsistenciaJetAdminConcatenada!$B:$B=W$1), 0)), 1))),  0.5, 0))</f>
        <v>0.5</v>
      </c>
      <c r="X75" s="47">
        <f t="array" ref="X75">IF(AND(ISNUMBER(MATCH(X$2, AsistenciaJetAdminConcatenada!$A:$A, 0)), ISNUMBER(MATCH(X$1, AsistenciaJetAdminConcatenada!$B:$B, 0)), ISNUMBER(SEARCH($A75,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ISNUMBER(SEARCH($A75, INDEX(AsistenciaJetAdminConcatenada!$D:$D, MATCH(1, (AsistenciaJetAdminConcatenada!$A:$A=X$2)*(AsistenciaJetAdminConcatenada!$B:$B=X$1), 0)), 1))),  0.5, 0))</f>
        <v>1</v>
      </c>
      <c r="Y75" s="47">
        <f t="array" ref="Y75">IF(AND(ISNUMBER(MATCH(Y$2, AsistenciaJetAdminConcatenada!$A:$A, 0)), ISNUMBER(MATCH(Y$1, AsistenciaJetAdminConcatenada!$B:$B, 0)), ISNUMBER(SEARCH($A75,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ISNUMBER(SEARCH($A75, INDEX(AsistenciaJetAdminConcatenada!$D:$D, MATCH(1, (AsistenciaJetAdminConcatenada!$A:$A=Y$2)*(AsistenciaJetAdminConcatenada!$B:$B=Y$1), 0)), 1))),  0.5, 0))</f>
        <v>0</v>
      </c>
      <c r="Z75" s="47">
        <f t="array" ref="Z75">IF(AND(ISNUMBER(MATCH(Z$2, AsistenciaJetAdminConcatenada!$A:$A, 0)), ISNUMBER(MATCH(Z$1, AsistenciaJetAdminConcatenada!$B:$B, 0)), ISNUMBER(SEARCH($A75,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ISNUMBER(SEARCH($A75, INDEX(AsistenciaJetAdminConcatenada!$D:$D, MATCH(1, (AsistenciaJetAdminConcatenada!$A:$A=Z$2)*(AsistenciaJetAdminConcatenada!$B:$B=Z$1), 0)), 1))),  0.5, 0))</f>
        <v>1</v>
      </c>
      <c r="AA75" s="47">
        <f t="array" ref="AA75">IF(AND(ISNUMBER(MATCH(AA$2, AsistenciaJetAdminConcatenada!$A:$A, 0)), ISNUMBER(MATCH(AA$1, AsistenciaJetAdminConcatenada!$B:$B, 0)), ISNUMBER(SEARCH($A75,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ISNUMBER(SEARCH($A75, INDEX(AsistenciaJetAdminConcatenada!$D:$D, MATCH(1, (AsistenciaJetAdminConcatenada!$A:$A=AA$2)*(AsistenciaJetAdminConcatenada!$B:$B=AA$1), 0)), 1))),  0.5, 0))</f>
        <v>0</v>
      </c>
      <c r="AB75" s="47">
        <f t="array" ref="AB75">IF(AND(ISNUMBER(MATCH(AB$2, AsistenciaJetAdminConcatenada!$A:$A, 0)), ISNUMBER(MATCH(AB$1, AsistenciaJetAdminConcatenada!$B:$B, 0)), ISNUMBER(SEARCH($A75,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ISNUMBER(SEARCH($A75, INDEX(AsistenciaJetAdminConcatenada!$D:$D, MATCH(1, (AsistenciaJetAdminConcatenada!$A:$A=AB$2)*(AsistenciaJetAdminConcatenada!$B:$B=AB$1), 0)), 1))),  0.5, 0))</f>
        <v>0</v>
      </c>
      <c r="AC75" s="47">
        <f t="array" ref="AC75">IF(AND(ISNUMBER(MATCH(AC$2, AsistenciaJetAdminConcatenada!$A:$A, 0)), ISNUMBER(MATCH(AC$1, AsistenciaJetAdminConcatenada!$B:$B, 0)), ISNUMBER(SEARCH($A75,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ISNUMBER(SEARCH($A75, INDEX(AsistenciaJetAdminConcatenada!$D:$D, MATCH(1, (AsistenciaJetAdminConcatenada!$A:$A=AC$2)*(AsistenciaJetAdminConcatenada!$B:$B=AC$1), 0)), 1))),  0.5, 0))</f>
        <v>1</v>
      </c>
      <c r="AD75" s="47">
        <f t="array" ref="AD75">IF(AND(ISNUMBER(MATCH(AD$2, AsistenciaJetAdminConcatenada!$A:$A, 0)), ISNUMBER(MATCH(AD$1, AsistenciaJetAdminConcatenada!$B:$B, 0)), ISNUMBER(SEARCH($A75,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ISNUMBER(SEARCH($A75, INDEX(AsistenciaJetAdminConcatenada!$D:$D, MATCH(1, (AsistenciaJetAdminConcatenada!$A:$A=AD$2)*(AsistenciaJetAdminConcatenada!$B:$B=AD$1), 0)), 1))),  0.5, 0))</f>
        <v>1</v>
      </c>
      <c r="AE75" s="47">
        <f t="array" ref="AE75">IF(AND(ISNUMBER(MATCH(AE$2, AsistenciaJetAdminConcatenada!$A:$A, 0)), ISNUMBER(MATCH(AE$1, AsistenciaJetAdminConcatenada!$B:$B, 0)), ISNUMBER(SEARCH($A75,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ISNUMBER(SEARCH($A75, INDEX(AsistenciaJetAdminConcatenada!$D:$D, MATCH(1, (AsistenciaJetAdminConcatenada!$A:$A=AE$2)*(AsistenciaJetAdminConcatenada!$B:$B=AE$1), 0)), 1))),  0.5, 0))</f>
        <v>0</v>
      </c>
      <c r="AF75" s="47">
        <f t="array" ref="AF75">IF(AND(ISNUMBER(MATCH(AF$2, AsistenciaJetAdminConcatenada!$A:$A, 0)), ISNUMBER(MATCH(AF$1, AsistenciaJetAdminConcatenada!$B:$B, 0)), ISNUMBER(SEARCH($A75,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ISNUMBER(SEARCH($A75, INDEX(AsistenciaJetAdminConcatenada!$D:$D, MATCH(1, (AsistenciaJetAdminConcatenada!$A:$A=AF$2)*(AsistenciaJetAdminConcatenada!$B:$B=AF$1), 0)), 1))),  0.5, 0))</f>
        <v>0</v>
      </c>
      <c r="AG75" s="47">
        <f t="array" ref="AG75">IF(AND(ISNUMBER(MATCH(AG$2, AsistenciaJetAdminConcatenada!$A:$A, 0)), ISNUMBER(MATCH(AG$1, AsistenciaJetAdminConcatenada!$B:$B, 0)), ISNUMBER(SEARCH($A75,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ISNUMBER(SEARCH($A75, INDEX(AsistenciaJetAdminConcatenada!$D:$D, MATCH(1, (AsistenciaJetAdminConcatenada!$A:$A=AG$2)*(AsistenciaJetAdminConcatenada!$B:$B=AG$1), 0)), 1))),  0.5, 0))</f>
        <v>0</v>
      </c>
      <c r="AH75" s="47">
        <f t="array" ref="AH75">IF(AND(ISNUMBER(MATCH(AH$2, AsistenciaJetAdminConcatenada!$A:$A, 0)), ISNUMBER(MATCH(AH$1, AsistenciaJetAdminConcatenada!$B:$B, 0)), ISNUMBER(SEARCH($A75,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ISNUMBER(SEARCH($A75, INDEX(AsistenciaJetAdminConcatenada!$D:$D, MATCH(1, (AsistenciaJetAdminConcatenada!$A:$A=AH$2)*(AsistenciaJetAdminConcatenada!$B:$B=AH$1), 0)), 1))),  0.5, 0))</f>
        <v>0</v>
      </c>
      <c r="AI75" s="47">
        <f t="array" ref="AI75">IF(AND(ISNUMBER(MATCH(AI$2, AsistenciaJetAdminConcatenada!$A:$A, 0)), ISNUMBER(MATCH(AI$1, AsistenciaJetAdminConcatenada!$B:$B, 0)), ISNUMBER(SEARCH($A75,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ISNUMBER(SEARCH($A75, INDEX(AsistenciaJetAdminConcatenada!$D:$D, MATCH(1, (AsistenciaJetAdminConcatenada!$A:$A=AI$2)*(AsistenciaJetAdminConcatenada!$B:$B=AI$1), 0)), 1))),  0.5, 0))</f>
        <v>0.5</v>
      </c>
      <c r="AJ75" s="47">
        <f t="array" ref="AJ75">IF(AND(ISNUMBER(MATCH(AJ$2, AsistenciaJetAdminConcatenada!$A:$A, 0)), ISNUMBER(MATCH(AJ$1, AsistenciaJetAdminConcatenada!$B:$B, 0)), ISNUMBER(SEARCH($A75,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ISNUMBER(SEARCH($A75, INDEX(AsistenciaJetAdminConcatenada!$D:$D, MATCH(1, (AsistenciaJetAdminConcatenada!$A:$A=AJ$2)*(AsistenciaJetAdminConcatenada!$B:$B=AJ$1), 0)), 1))),  0.5, 0))</f>
        <v>0</v>
      </c>
      <c r="AK75" s="47">
        <f t="array" ref="AK75">IF(AND(ISNUMBER(MATCH(AK$2, AsistenciaJetAdminConcatenada!$A:$A, 0)), ISNUMBER(MATCH(AK$1, AsistenciaJetAdminConcatenada!$B:$B, 0)), ISNUMBER(SEARCH($A75,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ISNUMBER(SEARCH($A75, INDEX(AsistenciaJetAdminConcatenada!$D:$D, MATCH(1, (AsistenciaJetAdminConcatenada!$A:$A=AK$2)*(AsistenciaJetAdminConcatenada!$B:$B=AK$1), 0)), 1))),  0.5, 0))</f>
        <v>1</v>
      </c>
      <c r="AL75" s="47">
        <f t="array" ref="AL75">IF(AND(ISNUMBER(MATCH(AL$2, AsistenciaJetAdminConcatenada!$A:$A, 0)), ISNUMBER(MATCH(AL$1, AsistenciaJetAdminConcatenada!$B:$B, 0)), ISNUMBER(SEARCH($A75,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ISNUMBER(SEARCH($A75, INDEX(AsistenciaJetAdminConcatenada!$D:$D, MATCH(1, (AsistenciaJetAdminConcatenada!$A:$A=AL$2)*(AsistenciaJetAdminConcatenada!$B:$B=AL$1), 0)), 1))),  0.5, 0))</f>
        <v>1</v>
      </c>
      <c r="AM75" s="47">
        <f t="array" ref="AM75">IF(AND(ISNUMBER(MATCH(AM$2, AsistenciaJetAdminConcatenada!$A:$A, 0)), ISNUMBER(MATCH(AM$1, AsistenciaJetAdminConcatenada!$B:$B, 0)), ISNUMBER(SEARCH($A75,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ISNUMBER(SEARCH($A75, INDEX(AsistenciaJetAdminConcatenada!$D:$D, MATCH(1, (AsistenciaJetAdminConcatenada!$A:$A=AM$2)*(AsistenciaJetAdminConcatenada!$B:$B=AM$1), 0)), 1))),  0.5, 0))</f>
        <v>1</v>
      </c>
      <c r="AN75" s="47">
        <f t="array" ref="AN75">IF(AND(ISNUMBER(MATCH(AN$2, AsistenciaJetAdminConcatenada!$A:$A, 0)), ISNUMBER(MATCH(AN$1, AsistenciaJetAdminConcatenada!$B:$B, 0)), ISNUMBER(SEARCH($A75,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ISNUMBER(SEARCH($A75, INDEX(AsistenciaJetAdminConcatenada!$D:$D, MATCH(1, (AsistenciaJetAdminConcatenada!$A:$A=AN$2)*(AsistenciaJetAdminConcatenada!$B:$B=AN$1), 0)), 1))),  0.5, 0))</f>
        <v>0</v>
      </c>
      <c r="AO75" s="47">
        <f t="array" ref="AO75">IF(AND(ISNUMBER(MATCH(AO$2, AsistenciaJetAdminConcatenada!$A:$A, 0)), ISNUMBER(MATCH(AO$1, AsistenciaJetAdminConcatenada!$B:$B, 0)), ISNUMBER(SEARCH($A75,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ISNUMBER(SEARCH($A75, INDEX(AsistenciaJetAdminConcatenada!$D:$D, MATCH(1, (AsistenciaJetAdminConcatenada!$A:$A=AO$2)*(AsistenciaJetAdminConcatenada!$B:$B=AO$1), 0)), 1))),  0.5, 0))</f>
        <v>1</v>
      </c>
      <c r="AP75" s="47">
        <f t="array" ref="AP75">IF(AND(ISNUMBER(MATCH(AP$2, AsistenciaJetAdminConcatenada!$A:$A, 0)), ISNUMBER(MATCH(AP$1, AsistenciaJetAdminConcatenada!$B:$B, 0)), ISNUMBER(SEARCH($A75,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ISNUMBER(SEARCH($A75, INDEX(AsistenciaJetAdminConcatenada!$D:$D, MATCH(1, (AsistenciaJetAdminConcatenada!$A:$A=AP$2)*(AsistenciaJetAdminConcatenada!$B:$B=AP$1), 0)), 1))),  0.5, 0))</f>
        <v>0.5</v>
      </c>
      <c r="AQ75" s="47">
        <f t="array" ref="AQ75">IF(AND(ISNUMBER(MATCH(AQ$2, AsistenciaJetAdminConcatenada!$A:$A, 0)), ISNUMBER(MATCH(AQ$1, AsistenciaJetAdminConcatenada!$B:$B, 0)), ISNUMBER(SEARCH($A75,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ISNUMBER(SEARCH($A75, INDEX(AsistenciaJetAdminConcatenada!$D:$D, MATCH(1, (AsistenciaJetAdminConcatenada!$A:$A=AQ$2)*(AsistenciaJetAdminConcatenada!$B:$B=AQ$1), 0)), 1))),  0.5, 0))</f>
        <v>0</v>
      </c>
      <c r="AR75" s="47">
        <f t="array" ref="AR75">IF(AND(ISNUMBER(MATCH(AR$2, AsistenciaJetAdminConcatenada!$A:$A, 0)), ISNUMBER(MATCH(AR$1, AsistenciaJetAdminConcatenada!$B:$B, 0)), ISNUMBER(SEARCH($A75,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ISNUMBER(SEARCH($A75, INDEX(AsistenciaJetAdminConcatenada!$D:$D, MATCH(1, (AsistenciaJetAdminConcatenada!$A:$A=AR$2)*(AsistenciaJetAdminConcatenada!$B:$B=AR$1), 0)), 1))),  0.5, 0))</f>
        <v>1</v>
      </c>
      <c r="AS75" s="47">
        <f t="array" ref="AS75">IF(AND(ISNUMBER(MATCH(AS$2, AsistenciaJetAdminConcatenada!$A:$A, 0)), ISNUMBER(MATCH(AS$1, AsistenciaJetAdminConcatenada!$B:$B, 0)), ISNUMBER(SEARCH($A75,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ISNUMBER(SEARCH($A75, INDEX(AsistenciaJetAdminConcatenada!$D:$D, MATCH(1, (AsistenciaJetAdminConcatenada!$A:$A=AS$2)*(AsistenciaJetAdminConcatenada!$B:$B=AS$1), 0)), 1))),  0.5, 0))</f>
        <v>1</v>
      </c>
      <c r="AT75" s="47">
        <f t="array" ref="AT75">IF(AND(ISNUMBER(MATCH(AT$2, AsistenciaJetAdminConcatenada!$A:$A, 0)), ISNUMBER(MATCH(AT$1, AsistenciaJetAdminConcatenada!$B:$B, 0)), ISNUMBER(SEARCH($A75,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ISNUMBER(SEARCH($A75, INDEX(AsistenciaJetAdminConcatenada!$D:$D, MATCH(1, (AsistenciaJetAdminConcatenada!$A:$A=AT$2)*(AsistenciaJetAdminConcatenada!$B:$B=AT$1), 0)), 1))),  0.5, 0))</f>
        <v>0</v>
      </c>
      <c r="AU75" s="47">
        <f t="array" ref="AU75">IF(AND(ISNUMBER(MATCH(AU$2, AsistenciaJetAdminConcatenada!$A:$A, 0)), ISNUMBER(MATCH(AU$1, AsistenciaJetAdminConcatenada!$B:$B, 0)), ISNUMBER(SEARCH($A75,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ISNUMBER(SEARCH($A75, INDEX(AsistenciaJetAdminConcatenada!$D:$D, MATCH(1, (AsistenciaJetAdminConcatenada!$A:$A=AU$2)*(AsistenciaJetAdminConcatenada!$B:$B=AU$1), 0)), 1))),  0.5, 0))</f>
        <v>1</v>
      </c>
      <c r="AV75" s="47">
        <f t="array" ref="AV75">IF(AND(ISNUMBER(MATCH(AV$2, AsistenciaJetAdminConcatenada!$A:$A, 0)), ISNUMBER(MATCH(AV$1, AsistenciaJetAdminConcatenada!$B:$B, 0)), ISNUMBER(SEARCH($A75,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ISNUMBER(SEARCH($A75, INDEX(AsistenciaJetAdminConcatenada!$D:$D, MATCH(1, (AsistenciaJetAdminConcatenada!$A:$A=AV$2)*(AsistenciaJetAdminConcatenada!$B:$B=AV$1), 0)), 1))),  0.5, 0))</f>
        <v>1</v>
      </c>
      <c r="AW75" s="47">
        <f t="array" ref="AW75">IF(AND(ISNUMBER(MATCH(AW$2, AsistenciaJetAdminConcatenada!$A:$A, 0)), ISNUMBER(MATCH(AW$1, AsistenciaJetAdminConcatenada!$B:$B, 0)), ISNUMBER(SEARCH($A75,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ISNUMBER(SEARCH($A75, INDEX(AsistenciaJetAdminConcatenada!$D:$D, MATCH(1, (AsistenciaJetAdminConcatenada!$A:$A=AW$2)*(AsistenciaJetAdminConcatenada!$B:$B=AW$1), 0)), 1))),  0.5, 0))</f>
        <v>0</v>
      </c>
      <c r="AX75" s="47">
        <f t="array" ref="AX75">IF(AND(ISNUMBER(MATCH(AX$2, AsistenciaJetAdminConcatenada!$A:$A, 0)), ISNUMBER(MATCH(AX$1, AsistenciaJetAdminConcatenada!$B:$B, 0)), ISNUMBER(SEARCH($A75,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ISNUMBER(SEARCH($A75, INDEX(AsistenciaJetAdminConcatenada!$D:$D, MATCH(1, (AsistenciaJetAdminConcatenada!$A:$A=AX$2)*(AsistenciaJetAdminConcatenada!$B:$B=AX$1), 0)), 1))),  0.5, 0))</f>
        <v>0</v>
      </c>
      <c r="AY75" s="47">
        <f t="array" ref="AY75">IF(AND(ISNUMBER(MATCH(AY$2, AsistenciaJetAdminConcatenada!$A:$A, 0)), ISNUMBER(MATCH(AY$1, AsistenciaJetAdminConcatenada!$B:$B, 0)), ISNUMBER(SEARCH($A75,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ISNUMBER(SEARCH($A75, INDEX(AsistenciaJetAdminConcatenada!$D:$D, MATCH(1, (AsistenciaJetAdminConcatenada!$A:$A=AY$2)*(AsistenciaJetAdminConcatenada!$B:$B=AY$1), 0)), 1))),  0.5, 0))</f>
        <v>1</v>
      </c>
      <c r="AZ75" s="47">
        <f t="array" ref="AZ75">IF(AND(ISNUMBER(MATCH(AZ$2, AsistenciaJetAdminConcatenada!$A:$A, 0)), ISNUMBER(MATCH(AZ$1, AsistenciaJetAdminConcatenada!$B:$B, 0)), ISNUMBER(SEARCH($A75,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ISNUMBER(SEARCH($A75, INDEX(AsistenciaJetAdminConcatenada!$D:$D, MATCH(1, (AsistenciaJetAdminConcatenada!$A:$A=AZ$2)*(AsistenciaJetAdminConcatenada!$B:$B=AZ$1), 0)), 1))),  0.5, 0))</f>
        <v>0</v>
      </c>
      <c r="BA75" s="47">
        <f t="array" ref="BA75">IF(AND(ISNUMBER(MATCH(BA$2, AsistenciaJetAdminConcatenada!$A:$A, 0)), ISNUMBER(MATCH(BA$1, AsistenciaJetAdminConcatenada!$B:$B, 0)), ISNUMBER(SEARCH($A75,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ISNUMBER(SEARCH($A75, INDEX(AsistenciaJetAdminConcatenada!$D:$D, MATCH(1, (AsistenciaJetAdminConcatenada!$A:$A=BA$2)*(AsistenciaJetAdminConcatenada!$B:$B=BA$1), 0)), 1))),  0.5, 0))</f>
        <v>0</v>
      </c>
      <c r="BB75" s="47">
        <f t="array" ref="BB75">IF(AND(ISNUMBER(MATCH(BB$2, AsistenciaJetAdminConcatenada!$A:$A, 0)), ISNUMBER(MATCH(BB$1, AsistenciaJetAdminConcatenada!$B:$B, 0)), ISNUMBER(SEARCH($A75,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ISNUMBER(SEARCH($A75, INDEX(AsistenciaJetAdminConcatenada!$D:$D, MATCH(1, (AsistenciaJetAdminConcatenada!$A:$A=BB$2)*(AsistenciaJetAdminConcatenada!$B:$B=BB$1), 0)), 1))),  0.5, 0))</f>
        <v>1</v>
      </c>
      <c r="BC75" s="47">
        <f t="array" ref="BC75">IF(AND(ISNUMBER(MATCH(BC$2, AsistenciaJetAdminConcatenada!$A:$A, 0)), ISNUMBER(MATCH(BC$1, AsistenciaJetAdminConcatenada!$B:$B, 0)), ISNUMBER(SEARCH($A75,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ISNUMBER(SEARCH($A75, INDEX(AsistenciaJetAdminConcatenada!$D:$D, MATCH(1, (AsistenciaJetAdminConcatenada!$A:$A=BC$2)*(AsistenciaJetAdminConcatenada!$B:$B=BC$1), 0)), 1))),  0.5, 0))</f>
        <v>0</v>
      </c>
      <c r="BD75" s="47">
        <f t="array" ref="BD75">IF(AND(ISNUMBER(MATCH(BD$2, AsistenciaJetAdminConcatenada!$A:$A, 0)), ISNUMBER(MATCH(BD$1, AsistenciaJetAdminConcatenada!$B:$B, 0)), ISNUMBER(SEARCH($A75,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ISNUMBER(SEARCH($A75, INDEX(AsistenciaJetAdminConcatenada!$D:$D, MATCH(1, (AsistenciaJetAdminConcatenada!$A:$A=BD$2)*(AsistenciaJetAdminConcatenada!$B:$B=BD$1), 0)), 1))),  0.5, 0))</f>
        <v>1</v>
      </c>
      <c r="BE75" s="47">
        <f t="array" ref="BE75">IF(AND(ISNUMBER(MATCH(BE$2, AsistenciaJetAdminConcatenada!$A:$A, 0)), ISNUMBER(MATCH(BE$1, AsistenciaJetAdminConcatenada!$B:$B, 0)), ISNUMBER(SEARCH($A75,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ISNUMBER(SEARCH($A75, INDEX(AsistenciaJetAdminConcatenada!$D:$D, MATCH(1, (AsistenciaJetAdminConcatenada!$A:$A=BE$2)*(AsistenciaJetAdminConcatenada!$B:$B=BE$1), 0)), 1))),  0.5, 0))</f>
        <v>1</v>
      </c>
      <c r="BF75" s="47">
        <f t="array" ref="BF75">IF(AND(ISNUMBER(MATCH(BF$2, AsistenciaJetAdminConcatenada!$A:$A, 0)), ISNUMBER(MATCH(BF$1, AsistenciaJetAdminConcatenada!$B:$B, 0)), ISNUMBER(SEARCH($A75,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ISNUMBER(SEARCH($A75, INDEX(AsistenciaJetAdminConcatenada!$D:$D, MATCH(1, (AsistenciaJetAdminConcatenada!$A:$A=BF$2)*(AsistenciaJetAdminConcatenada!$B:$B=BF$1), 0)), 1))),  0.5, 0))</f>
        <v>1</v>
      </c>
      <c r="BG75" s="47">
        <f t="array" ref="BG75">IF(AND(ISNUMBER(MATCH(BG$2, AsistenciaJetAdminConcatenada!$A:$A, 0)), ISNUMBER(MATCH(BG$1, AsistenciaJetAdminConcatenada!$B:$B, 0)), ISNUMBER(SEARCH($A75,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ISNUMBER(SEARCH($A75, INDEX(AsistenciaJetAdminConcatenada!$D:$D, MATCH(1, (AsistenciaJetAdminConcatenada!$A:$A=BG$2)*(AsistenciaJetAdminConcatenada!$B:$B=BG$1), 0)), 1))),  0.5, 0))</f>
        <v>0.5</v>
      </c>
      <c r="BH75" s="47">
        <f t="array" ref="BH75">IF(AND(ISNUMBER(MATCH(BH$2, AsistenciaJetAdminConcatenada!$A:$A, 0)), ISNUMBER(MATCH(BH$1, AsistenciaJetAdminConcatenada!$B:$B, 0)), ISNUMBER(SEARCH($A75,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ISNUMBER(SEARCH($A75, INDEX(AsistenciaJetAdminConcatenada!$D:$D, MATCH(1, (AsistenciaJetAdminConcatenada!$A:$A=BH$2)*(AsistenciaJetAdminConcatenada!$B:$B=BH$1), 0)), 1))),  0.5, 0))</f>
        <v>1</v>
      </c>
      <c r="BI75" s="47">
        <f t="array" ref="BI75">IF(AND(ISNUMBER(MATCH(BI$2, AsistenciaJetAdminConcatenada!$A:$A, 0)), ISNUMBER(MATCH(BI$1, AsistenciaJetAdminConcatenada!$B:$B, 0)), ISNUMBER(SEARCH($A75,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ISNUMBER(SEARCH($A75, INDEX(AsistenciaJetAdminConcatenada!$D:$D, MATCH(1, (AsistenciaJetAdminConcatenada!$A:$A=BI$2)*(AsistenciaJetAdminConcatenada!$B:$B=BI$1), 0)), 1))),  0.5, 0))</f>
        <v>0</v>
      </c>
      <c r="BJ75" s="47">
        <f t="array" ref="BJ75">IF(AND(ISNUMBER(MATCH(BJ$2, AsistenciaJetAdminConcatenada!$A:$A, 0)), ISNUMBER(MATCH(BJ$1, AsistenciaJetAdminConcatenada!$B:$B, 0)), ISNUMBER(SEARCH($A75,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ISNUMBER(SEARCH($A75, INDEX(AsistenciaJetAdminConcatenada!$D:$D, MATCH(1, (AsistenciaJetAdminConcatenada!$A:$A=BJ$2)*(AsistenciaJetAdminConcatenada!$B:$B=BJ$1), 0)), 1))),  0.5, 0))</f>
        <v>0</v>
      </c>
      <c r="BK75" s="47">
        <f t="array" ref="BK75">IF(AND(ISNUMBER(MATCH(BK$2, AsistenciaJetAdminConcatenada!$A:$A, 0)), ISNUMBER(MATCH(BK$1, AsistenciaJetAdminConcatenada!$B:$B, 0)), ISNUMBER(SEARCH($A75,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ISNUMBER(SEARCH($A75, INDEX(AsistenciaJetAdminConcatenada!$D:$D, MATCH(1, (AsistenciaJetAdminConcatenada!$A:$A=BK$2)*(AsistenciaJetAdminConcatenada!$B:$B=BK$1), 0)), 1))),  0.5, 0))</f>
        <v>0.5</v>
      </c>
      <c r="BL75" s="47">
        <f t="array" ref="BL75">IF(AND(ISNUMBER(MATCH(BL$2, AsistenciaJetAdminConcatenada!$A:$A, 0)), ISNUMBER(MATCH(BL$1, AsistenciaJetAdminConcatenada!$B:$B, 0)), ISNUMBER(SEARCH($A75,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ISNUMBER(SEARCH($A75, INDEX(AsistenciaJetAdminConcatenada!$D:$D, MATCH(1, (AsistenciaJetAdminConcatenada!$A:$A=BL$2)*(AsistenciaJetAdminConcatenada!$B:$B=BL$1), 0)), 1))),  0.5, 0))</f>
        <v>1</v>
      </c>
      <c r="BM75" s="47">
        <f t="array" ref="BM75">IF(AND(ISNUMBER(MATCH(BM$2, AsistenciaJetAdminConcatenada!$A:$A, 0)), ISNUMBER(MATCH(BM$1, AsistenciaJetAdminConcatenada!$B:$B, 0)), ISNUMBER(SEARCH($A75,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ISNUMBER(SEARCH($A75, INDEX(AsistenciaJetAdminConcatenada!$D:$D, MATCH(1, (AsistenciaJetAdminConcatenada!$A:$A=BM$2)*(AsistenciaJetAdminConcatenada!$B:$B=BM$1), 0)), 1))),  0.5, 0))</f>
        <v>1</v>
      </c>
      <c r="BN75" s="47">
        <f t="array" ref="BN75">IF(AND(ISNUMBER(MATCH(BN$2, AsistenciaJetAdminConcatenada!$A:$A, 0)), ISNUMBER(MATCH(BN$1, AsistenciaJetAdminConcatenada!$B:$B, 0)), ISNUMBER(SEARCH($A75,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ISNUMBER(SEARCH($A75, INDEX(AsistenciaJetAdminConcatenada!$D:$D, MATCH(1, (AsistenciaJetAdminConcatenada!$A:$A=BN$2)*(AsistenciaJetAdminConcatenada!$B:$B=BN$1), 0)), 1))),  0.5, 0))</f>
        <v>1</v>
      </c>
      <c r="BO75" s="47">
        <f t="array" ref="BO75">IF(AND(ISNUMBER(MATCH(BO$2, AsistenciaJetAdminConcatenada!$A:$A, 0)), ISNUMBER(MATCH(BO$1, AsistenciaJetAdminConcatenada!$B:$B, 0)), ISNUMBER(SEARCH($A75,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ISNUMBER(SEARCH($A75, INDEX(AsistenciaJetAdminConcatenada!$D:$D, MATCH(1, (AsistenciaJetAdminConcatenada!$A:$A=BO$2)*(AsistenciaJetAdminConcatenada!$B:$B=BO$1), 0)), 1))),  0.5, 0))</f>
        <v>1</v>
      </c>
      <c r="BP75" s="47">
        <f t="array" ref="BP75">IF(AND(ISNUMBER(MATCH(BP$2, AsistenciaJetAdminConcatenada!$A:$A, 0)), ISNUMBER(MATCH(BP$1, AsistenciaJetAdminConcatenada!$B:$B, 0)), ISNUMBER(SEARCH($A75,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ISNUMBER(SEARCH($A75, INDEX(AsistenciaJetAdminConcatenada!$D:$D, MATCH(1, (AsistenciaJetAdminConcatenada!$A:$A=BP$2)*(AsistenciaJetAdminConcatenada!$B:$B=BP$1), 0)), 1))),  0.5, 0))</f>
        <v>0</v>
      </c>
      <c r="BQ75" s="47">
        <f t="array" ref="BQ75">IF(AND(ISNUMBER(MATCH(BQ$2, AsistenciaJetAdminConcatenada!$A:$A, 0)), ISNUMBER(MATCH(BQ$1, AsistenciaJetAdminConcatenada!$B:$B, 0)), ISNUMBER(SEARCH($A75,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ISNUMBER(SEARCH($A75, INDEX(AsistenciaJetAdminConcatenada!$D:$D, MATCH(1, (AsistenciaJetAdminConcatenada!$A:$A=BQ$2)*(AsistenciaJetAdminConcatenada!$B:$B=BQ$1), 0)), 1))),  0.5, 0))</f>
        <v>0</v>
      </c>
      <c r="BR75" s="47">
        <f t="array" ref="BR75">IF(AND(ISNUMBER(MATCH(BR$2, AsistenciaJetAdminConcatenada!$A:$A, 0)), ISNUMBER(MATCH(BR$1, AsistenciaJetAdminConcatenada!$B:$B, 0)), ISNUMBER(SEARCH($A75,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ISNUMBER(SEARCH($A75, INDEX(AsistenciaJetAdminConcatenada!$D:$D, MATCH(1, (AsistenciaJetAdminConcatenada!$A:$A=BR$2)*(AsistenciaJetAdminConcatenada!$B:$B=BR$1), 0)), 1))),  0.5, 0))</f>
        <v>1</v>
      </c>
      <c r="BS75" s="47">
        <f t="array" ref="BS75">IF(AND(ISNUMBER(MATCH(BS$2, AsistenciaJetAdminConcatenada!$A:$A, 0)), ISNUMBER(MATCH(BS$1, AsistenciaJetAdminConcatenada!$B:$B, 0)), ISNUMBER(SEARCH($A75,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ISNUMBER(SEARCH($A75, INDEX(AsistenciaJetAdminConcatenada!$D:$D, MATCH(1, (AsistenciaJetAdminConcatenada!$A:$A=BS$2)*(AsistenciaJetAdminConcatenada!$B:$B=BS$1), 0)), 1))),  0.5, 0))</f>
        <v>0</v>
      </c>
      <c r="BT75" s="47">
        <f t="array" ref="BT75">IF(AND(ISNUMBER(MATCH(BT$2, AsistenciaJetAdminConcatenada!$A:$A, 0)), ISNUMBER(MATCH(BT$1, AsistenciaJetAdminConcatenada!$B:$B, 0)), ISNUMBER(SEARCH($A75,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ISNUMBER(SEARCH($A75, INDEX(AsistenciaJetAdminConcatenada!$D:$D, MATCH(1, (AsistenciaJetAdminConcatenada!$A:$A=BT$2)*(AsistenciaJetAdminConcatenada!$B:$B=BT$1), 0)), 1))),  0.5, 0))</f>
        <v>0</v>
      </c>
      <c r="BU75" s="47">
        <f t="array" ref="BU75">IF(AND(ISNUMBER(MATCH(BU$2, AsistenciaJetAdminConcatenada!$A:$A, 0)), ISNUMBER(MATCH(BU$1, AsistenciaJetAdminConcatenada!$B:$B, 0)), ISNUMBER(SEARCH($A75,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ISNUMBER(SEARCH($A75, INDEX(AsistenciaJetAdminConcatenada!$D:$D, MATCH(1, (AsistenciaJetAdminConcatenada!$A:$A=BU$2)*(AsistenciaJetAdminConcatenada!$B:$B=BU$1), 0)), 1))),  0.5, 0))</f>
        <v>0.5</v>
      </c>
      <c r="BV75" s="47">
        <f t="array" ref="BV75">IF(AND(ISNUMBER(MATCH(BV$2, AsistenciaJetAdminConcatenada!$A:$A, 0)), ISNUMBER(MATCH(BV$1, AsistenciaJetAdminConcatenada!$B:$B, 0)), ISNUMBER(SEARCH($A75,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ISNUMBER(SEARCH($A75, INDEX(AsistenciaJetAdminConcatenada!$D:$D, MATCH(1, (AsistenciaJetAdminConcatenada!$A:$A=BV$2)*(AsistenciaJetAdminConcatenada!$B:$B=BV$1), 0)), 1))),  0.5, 0))</f>
        <v>0</v>
      </c>
      <c r="BW75" s="47">
        <f t="array" ref="BW75">IF(AND(ISNUMBER(MATCH(BW$2, AsistenciaJetAdminConcatenada!$A:$A, 0)), ISNUMBER(MATCH(BW$1, AsistenciaJetAdminConcatenada!$B:$B, 0)), ISNUMBER(SEARCH($A75,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ISNUMBER(SEARCH($A75, INDEX(AsistenciaJetAdminConcatenada!$D:$D, MATCH(1, (AsistenciaJetAdminConcatenada!$A:$A=BW$2)*(AsistenciaJetAdminConcatenada!$B:$B=BW$1), 0)), 1))),  0.5, 0))</f>
        <v>0</v>
      </c>
      <c r="BX75" s="47">
        <f t="array" ref="BX75">IF(AND(ISNUMBER(MATCH(BX$2, AsistenciaJetAdminConcatenada!$A:$A, 0)), ISNUMBER(MATCH(BX$1, AsistenciaJetAdminConcatenada!$B:$B, 0)), ISNUMBER(SEARCH($A75,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ISNUMBER(SEARCH($A75, INDEX(AsistenciaJetAdminConcatenada!$D:$D, MATCH(1, (AsistenciaJetAdminConcatenada!$A:$A=BX$2)*(AsistenciaJetAdminConcatenada!$B:$B=BX$1), 0)), 1))),  0.5, 0))</f>
        <v>0.5</v>
      </c>
      <c r="BY75" s="47">
        <f t="array" ref="BY75">IF(AND(ISNUMBER(MATCH(BY$2, AsistenciaJetAdminConcatenada!$A:$A, 0)), ISNUMBER(MATCH(BY$1, AsistenciaJetAdminConcatenada!$B:$B, 0)), ISNUMBER(SEARCH($A75,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ISNUMBER(SEARCH($A75, INDEX(AsistenciaJetAdminConcatenada!$D:$D, MATCH(1, (AsistenciaJetAdminConcatenada!$A:$A=BY$2)*(AsistenciaJetAdminConcatenada!$B:$B=BY$1), 0)), 1))),  0.5, 0))</f>
        <v>0</v>
      </c>
      <c r="BZ75" s="47">
        <f t="array" ref="BZ75">IF(AND(ISNUMBER(MATCH(BZ$2, AsistenciaJetAdminConcatenada!$A:$A, 0)), ISNUMBER(MATCH(BZ$1, AsistenciaJetAdminConcatenada!$B:$B, 0)), ISNUMBER(SEARCH($A75,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ISNUMBER(SEARCH($A75, INDEX(AsistenciaJetAdminConcatenada!$D:$D, MATCH(1, (AsistenciaJetAdminConcatenada!$A:$A=BZ$2)*(AsistenciaJetAdminConcatenada!$B:$B=BZ$1), 0)), 1))),  0.5, 0))</f>
        <v>0</v>
      </c>
      <c r="CA75" s="47">
        <f t="array" ref="CA75">IF(AND(ISNUMBER(MATCH(CA$2, AsistenciaJetAdminConcatenada!$A:$A, 0)), ISNUMBER(MATCH(CA$1, AsistenciaJetAdminConcatenada!$B:$B, 0)), ISNUMBER(SEARCH($A75,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ISNUMBER(SEARCH($A75, INDEX(AsistenciaJetAdminConcatenada!$D:$D, MATCH(1, (AsistenciaJetAdminConcatenada!$A:$A=CA$2)*(AsistenciaJetAdminConcatenada!$B:$B=CA$1), 0)), 1))),  0.5, 0))</f>
        <v>0.5</v>
      </c>
      <c r="CB75" s="47">
        <f t="array" ref="CB75">IF(AND(ISNUMBER(MATCH(CB$2, AsistenciaJetAdminConcatenada!$A:$A, 0)), ISNUMBER(MATCH(CB$1, AsistenciaJetAdminConcatenada!$B:$B, 0)), ISNUMBER(SEARCH($A75,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ISNUMBER(SEARCH($A75, INDEX(AsistenciaJetAdminConcatenada!$D:$D, MATCH(1, (AsistenciaJetAdminConcatenada!$A:$A=CB$2)*(AsistenciaJetAdminConcatenada!$B:$B=CB$1), 0)), 1))),  0.5, 0))</f>
        <v>0.5</v>
      </c>
      <c r="CC75" s="47">
        <f t="array" ref="CC75">IF(AND(ISNUMBER(MATCH(CC$2, AsistenciaJetAdminConcatenada!$A:$A, 0)), ISNUMBER(MATCH(CC$1, AsistenciaJetAdminConcatenada!$B:$B, 0)), ISNUMBER(SEARCH($A75,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ISNUMBER(SEARCH($A75, INDEX(AsistenciaJetAdminConcatenada!$D:$D, MATCH(1, (AsistenciaJetAdminConcatenada!$A:$A=CC$2)*(AsistenciaJetAdminConcatenada!$B:$B=CC$1), 0)), 1))),  0.5, 0))</f>
        <v>0</v>
      </c>
      <c r="CD75" s="47">
        <f t="array" ref="CD75">IF(AND(ISNUMBER(MATCH(CD$2, AsistenciaJetAdminConcatenada!$A:$A, 0)), ISNUMBER(MATCH(CD$1, AsistenciaJetAdminConcatenada!$B:$B, 0)), ISNUMBER(SEARCH($A75,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ISNUMBER(SEARCH($A75, INDEX(AsistenciaJetAdminConcatenada!$D:$D, MATCH(1, (AsistenciaJetAdminConcatenada!$A:$A=CD$2)*(AsistenciaJetAdminConcatenada!$B:$B=CD$1), 0)), 1))),  0.5, 0))</f>
        <v>0</v>
      </c>
      <c r="CE75" s="47">
        <f t="array" ref="CE75">IF(AND(ISNUMBER(MATCH(CE$2, AsistenciaJetAdminConcatenada!$A:$A, 0)), ISNUMBER(MATCH(CE$1, AsistenciaJetAdminConcatenada!$B:$B, 0)), ISNUMBER(SEARCH($A75,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ISNUMBER(SEARCH($A75, INDEX(AsistenciaJetAdminConcatenada!$D:$D, MATCH(1, (AsistenciaJetAdminConcatenada!$A:$A=CE$2)*(AsistenciaJetAdminConcatenada!$B:$B=CE$1), 0)), 1))),  0.5, 0))</f>
        <v>1</v>
      </c>
      <c r="CF75" s="47">
        <f t="array" ref="CF75">IF(AND(ISNUMBER(MATCH(CF$2, AsistenciaJetAdminConcatenada!$A:$A, 0)), ISNUMBER(MATCH(CF$1, AsistenciaJetAdminConcatenada!$B:$B, 0)), ISNUMBER(SEARCH($A75,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ISNUMBER(SEARCH($A75, INDEX(AsistenciaJetAdminConcatenada!$D:$D, MATCH(1, (AsistenciaJetAdminConcatenada!$A:$A=CF$2)*(AsistenciaJetAdminConcatenada!$B:$B=CF$1), 0)), 1))),  0.5, 0))</f>
        <v>0</v>
      </c>
      <c r="CG75" s="47">
        <f t="array" ref="CG75">IF(AND(ISNUMBER(MATCH(CG$2, AsistenciaJetAdminConcatenada!$A:$A, 0)), ISNUMBER(MATCH(CG$1, AsistenciaJetAdminConcatenada!$B:$B, 0)), ISNUMBER(SEARCH($A75,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ISNUMBER(SEARCH($A75, INDEX(AsistenciaJetAdminConcatenada!$D:$D, MATCH(1, (AsistenciaJetAdminConcatenada!$A:$A=CG$2)*(AsistenciaJetAdminConcatenada!$B:$B=CG$1), 0)), 1))),  0.5, 0))</f>
        <v>0</v>
      </c>
      <c r="CH75" s="47">
        <f t="array" ref="CH75">IF(AND(ISNUMBER(MATCH(CH$2, AsistenciaJetAdminConcatenada!$A:$A, 0)), ISNUMBER(MATCH(CH$1, AsistenciaJetAdminConcatenada!$B:$B, 0)), ISNUMBER(SEARCH($A75,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ISNUMBER(SEARCH($A75, INDEX(AsistenciaJetAdminConcatenada!$D:$D, MATCH(1, (AsistenciaJetAdminConcatenada!$A:$A=CH$2)*(AsistenciaJetAdminConcatenada!$B:$B=CH$1), 0)), 1))),  0.5, 0))</f>
        <v>0</v>
      </c>
      <c r="CI75" s="47">
        <f t="array" ref="CI75">IF(AND(ISNUMBER(MATCH(CI$2, AsistenciaJetAdminConcatenada!$A:$A, 0)), ISNUMBER(MATCH(CI$1, AsistenciaJetAdminConcatenada!$B:$B, 0)), ISNUMBER(SEARCH($A75,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ISNUMBER(SEARCH($A75, INDEX(AsistenciaJetAdminConcatenada!$D:$D, MATCH(1, (AsistenciaJetAdminConcatenada!$A:$A=CI$2)*(AsistenciaJetAdminConcatenada!$B:$B=CI$1), 0)), 1))),  0.5, 0))</f>
        <v>0</v>
      </c>
      <c r="CJ75" s="47">
        <f t="array" ref="CJ75">IF(AND(ISNUMBER(MATCH(CJ$2, AsistenciaJetAdminConcatenada!$A:$A, 0)), ISNUMBER(MATCH(CJ$1, AsistenciaJetAdminConcatenada!$B:$B, 0)), ISNUMBER(SEARCH($A75,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ISNUMBER(SEARCH($A75, INDEX(AsistenciaJetAdminConcatenada!$D:$D, MATCH(1, (AsistenciaJetAdminConcatenada!$A:$A=CJ$2)*(AsistenciaJetAdminConcatenada!$B:$B=CJ$1), 0)), 1))),  0.5, 0))</f>
        <v>1</v>
      </c>
      <c r="CK75" s="47">
        <f t="array" ref="CK75">IF(AND(ISNUMBER(MATCH(CK$2, AsistenciaJetAdminConcatenada!$A:$A, 0)), ISNUMBER(MATCH(CK$1, AsistenciaJetAdminConcatenada!$B:$B, 0)), ISNUMBER(SEARCH($A75,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ISNUMBER(SEARCH($A75, INDEX(AsistenciaJetAdminConcatenada!$D:$D, MATCH(1, (AsistenciaJetAdminConcatenada!$A:$A=CK$2)*(AsistenciaJetAdminConcatenada!$B:$B=CK$1), 0)), 1))),  0.5, 0))</f>
        <v>1</v>
      </c>
      <c r="CL75" s="47">
        <f t="array" ref="CL75">IF(AND(ISNUMBER(MATCH(CL$2, AsistenciaJetAdminConcatenada!$A:$A, 0)), ISNUMBER(MATCH(CL$1, AsistenciaJetAdminConcatenada!$B:$B, 0)), ISNUMBER(SEARCH($A75,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ISNUMBER(SEARCH($A75, INDEX(AsistenciaJetAdminConcatenada!$D:$D, MATCH(1, (AsistenciaJetAdminConcatenada!$A:$A=CL$2)*(AsistenciaJetAdminConcatenada!$B:$B=CL$1), 0)), 1))),  0.5, 0))</f>
        <v>0</v>
      </c>
      <c r="CM75" s="47">
        <f t="array" ref="CM75">IF(AND(ISNUMBER(MATCH(CM$2, AsistenciaJetAdminConcatenada!$A:$A, 0)), ISNUMBER(MATCH(CM$1, AsistenciaJetAdminConcatenada!$B:$B, 0)), ISNUMBER(SEARCH($A75,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ISNUMBER(SEARCH($A75, INDEX(AsistenciaJetAdminConcatenada!$D:$D, MATCH(1, (AsistenciaJetAdminConcatenada!$A:$A=CM$2)*(AsistenciaJetAdminConcatenada!$B:$B=CM$1), 0)), 1))),  0.5, 0))</f>
        <v>1</v>
      </c>
      <c r="CN75" s="47">
        <f t="array" ref="CN75">IF(AND(ISNUMBER(MATCH(CN$2, AsistenciaJetAdminConcatenada!$A:$A, 0)), ISNUMBER(MATCH(CN$1, AsistenciaJetAdminConcatenada!$B:$B, 0)), ISNUMBER(SEARCH($A75,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ISNUMBER(SEARCH($A75, INDEX(AsistenciaJetAdminConcatenada!$D:$D, MATCH(1, (AsistenciaJetAdminConcatenada!$A:$A=CN$2)*(AsistenciaJetAdminConcatenada!$B:$B=CN$1), 0)), 1))),  0.5, 0))</f>
        <v>0</v>
      </c>
      <c r="CO75" s="47">
        <f t="array" ref="CO75">IF(AND(ISNUMBER(MATCH(CO$2, AsistenciaJetAdminConcatenada!$A:$A, 0)), ISNUMBER(MATCH(CO$1, AsistenciaJetAdminConcatenada!$B:$B, 0)), ISNUMBER(SEARCH($A75,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ISNUMBER(SEARCH($A75, INDEX(AsistenciaJetAdminConcatenada!$D:$D, MATCH(1, (AsistenciaJetAdminConcatenada!$A:$A=CO$2)*(AsistenciaJetAdminConcatenada!$B:$B=CO$1), 0)), 1))),  0.5, 0))</f>
        <v>1</v>
      </c>
      <c r="CP75" s="47">
        <f t="array" ref="CP75">IF(AND(ISNUMBER(MATCH(CP$2, AsistenciaJetAdminConcatenada!$A:$A, 0)), ISNUMBER(MATCH(CP$1, AsistenciaJetAdminConcatenada!$B:$B, 0)), ISNUMBER(SEARCH($A75,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ISNUMBER(SEARCH($A75, INDEX(AsistenciaJetAdminConcatenada!$D:$D, MATCH(1, (AsistenciaJetAdminConcatenada!$A:$A=CP$2)*(AsistenciaJetAdminConcatenada!$B:$B=CP$1), 0)), 1))),  0.5, 0))</f>
        <v>1</v>
      </c>
      <c r="CQ75" s="47">
        <f t="array" ref="CQ75">IF(AND(ISNUMBER(MATCH(CQ$2, AsistenciaJetAdminConcatenada!$A:$A, 0)), ISNUMBER(MATCH(CQ$1, AsistenciaJetAdminConcatenada!$B:$B, 0)), ISNUMBER(SEARCH($A75,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ISNUMBER(SEARCH($A75, INDEX(AsistenciaJetAdminConcatenada!$D:$D, MATCH(1, (AsistenciaJetAdminConcatenada!$A:$A=CQ$2)*(AsistenciaJetAdminConcatenada!$B:$B=CQ$1), 0)), 1))),  0.5, 0))</f>
        <v>0</v>
      </c>
      <c r="CR75" s="47">
        <f t="array" ref="CR75">IF(AND(ISNUMBER(MATCH(CR$2, AsistenciaJetAdminConcatenada!$A:$A, 0)), ISNUMBER(MATCH(CR$1, AsistenciaJetAdminConcatenada!$B:$B, 0)), ISNUMBER(SEARCH($A75,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ISNUMBER(SEARCH($A75, INDEX(AsistenciaJetAdminConcatenada!$D:$D, MATCH(1, (AsistenciaJetAdminConcatenada!$A:$A=CR$2)*(AsistenciaJetAdminConcatenada!$B:$B=CR$1), 0)), 1))),  0.5, 0))</f>
        <v>0</v>
      </c>
      <c r="CS75" s="47">
        <f t="array" ref="CS75">IF(AND(ISNUMBER(MATCH(CS$2, AsistenciaJetAdminConcatenada!$A:$A, 0)), ISNUMBER(MATCH(CS$1, AsistenciaJetAdminConcatenada!$B:$B, 0)), ISNUMBER(SEARCH($A75,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ISNUMBER(SEARCH($A75, INDEX(AsistenciaJetAdminConcatenada!$D:$D, MATCH(1, (AsistenciaJetAdminConcatenada!$A:$A=CS$2)*(AsistenciaJetAdminConcatenada!$B:$B=CS$1), 0)), 1))),  0.5, 0))</f>
        <v>0</v>
      </c>
      <c r="CT75" s="47">
        <f t="array" ref="CT75">IF(AND(ISNUMBER(MATCH(CT$2, AsistenciaJetAdminConcatenada!$A:$A, 0)), ISNUMBER(MATCH(CT$1, AsistenciaJetAdminConcatenada!$B:$B, 0)), ISNUMBER(SEARCH($A75,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ISNUMBER(SEARCH($A75, INDEX(AsistenciaJetAdminConcatenada!$D:$D, MATCH(1, (AsistenciaJetAdminConcatenada!$A:$A=CT$2)*(AsistenciaJetAdminConcatenada!$B:$B=CT$1), 0)), 1))),  0.5, 0))</f>
        <v>0</v>
      </c>
      <c r="CU75" s="47">
        <f t="array" ref="CU75">IF(AND(ISNUMBER(MATCH(CU$2, AsistenciaJetAdminConcatenada!$A:$A, 0)), ISNUMBER(MATCH(CU$1, AsistenciaJetAdminConcatenada!$B:$B, 0)), ISNUMBER(SEARCH($A75,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ISNUMBER(SEARCH($A75, INDEX(AsistenciaJetAdminConcatenada!$D:$D, MATCH(1, (AsistenciaJetAdminConcatenada!$A:$A=CU$2)*(AsistenciaJetAdminConcatenada!$B:$B=CU$1), 0)), 1))),  0.5, 0))</f>
        <v>0</v>
      </c>
      <c r="CV75" s="47">
        <f t="array" ref="CV75">IF(AND(ISNUMBER(MATCH(CV$2, AsistenciaJetAdminConcatenada!$A:$A, 0)), ISNUMBER(MATCH(CV$1, AsistenciaJetAdminConcatenada!$B:$B, 0)), ISNUMBER(SEARCH($A75,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ISNUMBER(SEARCH($A75, INDEX(AsistenciaJetAdminConcatenada!$D:$D, MATCH(1, (AsistenciaJetAdminConcatenada!$A:$A=CV$2)*(AsistenciaJetAdminConcatenada!$B:$B=CV$1), 0)), 1))),  0.5, 0))</f>
        <v>0</v>
      </c>
      <c r="CW75" s="47">
        <f t="array" ref="CW75">IF(AND(ISNUMBER(MATCH(CW$2, AsistenciaJetAdminConcatenada!$A:$A, 0)), ISNUMBER(MATCH(CW$1, AsistenciaJetAdminConcatenada!$B:$B, 0)), ISNUMBER(SEARCH($A75,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ISNUMBER(SEARCH($A75, INDEX(AsistenciaJetAdminConcatenada!$D:$D, MATCH(1, (AsistenciaJetAdminConcatenada!$A:$A=CW$2)*(AsistenciaJetAdminConcatenada!$B:$B=CW$1), 0)), 1))),  0.5, 0))</f>
        <v>0</v>
      </c>
      <c r="CX75" s="47">
        <f t="array" ref="CX75">IF(AND(ISNUMBER(MATCH(CX$2, AsistenciaJetAdminConcatenada!$A:$A, 0)), ISNUMBER(MATCH(CX$1, AsistenciaJetAdminConcatenada!$B:$B, 0)), ISNUMBER(SEARCH($A75,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ISNUMBER(SEARCH($A75, INDEX(AsistenciaJetAdminConcatenada!$D:$D, MATCH(1, (AsistenciaJetAdminConcatenada!$A:$A=CX$2)*(AsistenciaJetAdminConcatenada!$B:$B=CX$1), 0)), 1))),  0.5, 0))</f>
        <v>0</v>
      </c>
      <c r="CY75" s="47">
        <f t="array" ref="CY75">IF(AND(ISNUMBER(MATCH(CY$2, AsistenciaJetAdminConcatenada!$A:$A, 0)), ISNUMBER(MATCH(CY$1, AsistenciaJetAdminConcatenada!$B:$B, 0)), ISNUMBER(SEARCH($A75,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ISNUMBER(SEARCH($A75, INDEX(AsistenciaJetAdminConcatenada!$D:$D, MATCH(1, (AsistenciaJetAdminConcatenada!$A:$A=CY$2)*(AsistenciaJetAdminConcatenada!$B:$B=CY$1), 0)), 1))),  0.5, 0))</f>
        <v>0</v>
      </c>
      <c r="CZ75" s="47">
        <f t="array" ref="CZ75">IF(AND(ISNUMBER(MATCH(CZ$2, AsistenciaJetAdminConcatenada!$A:$A, 0)), ISNUMBER(MATCH(CZ$1, AsistenciaJetAdminConcatenada!$B:$B, 0)), ISNUMBER(SEARCH($A75,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ISNUMBER(SEARCH($A75, INDEX(AsistenciaJetAdminConcatenada!$D:$D, MATCH(1, (AsistenciaJetAdminConcatenada!$A:$A=CZ$2)*(AsistenciaJetAdminConcatenada!$B:$B=CZ$1), 0)), 1))),  0.5, 0))</f>
        <v>0</v>
      </c>
      <c r="DA75" s="47">
        <f t="array" ref="DA75">IF(AND(ISNUMBER(MATCH(DA$2, AsistenciaJetAdminConcatenada!$A:$A, 0)), ISNUMBER(MATCH(DA$1, AsistenciaJetAdminConcatenada!$B:$B, 0)), ISNUMBER(SEARCH($A75,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ISNUMBER(SEARCH($A75, INDEX(AsistenciaJetAdminConcatenada!$D:$D, MATCH(1, (AsistenciaJetAdminConcatenada!$A:$A=DA$2)*(AsistenciaJetAdminConcatenada!$B:$B=DA$1), 0)), 1))),  0.5, 0))</f>
        <v>0</v>
      </c>
      <c r="DB75" s="47">
        <f t="array" ref="DB75">IF(AND(ISNUMBER(MATCH(DB$2, AsistenciaJetAdminConcatenada!$A:$A, 0)), ISNUMBER(MATCH(DB$1, AsistenciaJetAdminConcatenada!$B:$B, 0)), ISNUMBER(SEARCH($A75,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ISNUMBER(SEARCH($A75, INDEX(AsistenciaJetAdminConcatenada!$D:$D, MATCH(1, (AsistenciaJetAdminConcatenada!$A:$A=DB$2)*(AsistenciaJetAdminConcatenada!$B:$B=DB$1), 0)), 1))),  0.5, 0))</f>
        <v>0</v>
      </c>
      <c r="DC75" s="47">
        <f t="array" ref="DC75">IF(AND(ISNUMBER(MATCH(DC$2, AsistenciaJetAdminConcatenada!$A:$A, 0)), ISNUMBER(MATCH(DC$1, AsistenciaJetAdminConcatenada!$B:$B, 0)), ISNUMBER(SEARCH($A75,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ISNUMBER(SEARCH($A75, INDEX(AsistenciaJetAdminConcatenada!$D:$D, MATCH(1, (AsistenciaJetAdminConcatenada!$A:$A=DC$2)*(AsistenciaJetAdminConcatenada!$B:$B=DC$1), 0)), 1))),  0.5, 0))</f>
        <v>0</v>
      </c>
      <c r="DD75" s="47">
        <f t="array" ref="DD75">IF(AND(ISNUMBER(MATCH(DD$2, AsistenciaJetAdminConcatenada!$A:$A, 0)), ISNUMBER(MATCH(DD$1, AsistenciaJetAdminConcatenada!$B:$B, 0)), ISNUMBER(SEARCH($A75,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ISNUMBER(SEARCH($A75, INDEX(AsistenciaJetAdminConcatenada!$D:$D, MATCH(1, (AsistenciaJetAdminConcatenada!$A:$A=DD$2)*(AsistenciaJetAdminConcatenada!$B:$B=DD$1), 0)), 1))),  0.5, 0))</f>
        <v>0</v>
      </c>
      <c r="DE75" s="47">
        <f t="array" ref="DE75">IF(AND(ISNUMBER(MATCH(DE$2, AsistenciaJetAdminConcatenada!$A:$A, 0)), ISNUMBER(MATCH(DE$1, AsistenciaJetAdminConcatenada!$B:$B, 0)), ISNUMBER(SEARCH($A75,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ISNUMBER(SEARCH($A75, INDEX(AsistenciaJetAdminConcatenada!$D:$D, MATCH(1, (AsistenciaJetAdminConcatenada!$A:$A=DE$2)*(AsistenciaJetAdminConcatenada!$B:$B=DE$1), 0)), 1))),  0.5, 0))</f>
        <v>0</v>
      </c>
      <c r="DF75" s="47">
        <f t="array" ref="DF75">IF(AND(ISNUMBER(MATCH(DF$2, AsistenciaJetAdminConcatenada!$A:$A, 0)), ISNUMBER(MATCH(DF$1, AsistenciaJetAdminConcatenada!$B:$B, 0)), ISNUMBER(SEARCH($A75,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ISNUMBER(SEARCH($A75, INDEX(AsistenciaJetAdminConcatenada!$D:$D, MATCH(1, (AsistenciaJetAdminConcatenada!$A:$A=DF$2)*(AsistenciaJetAdminConcatenada!$B:$B=DF$1), 0)), 1))),  0.5, 0))</f>
        <v>0</v>
      </c>
      <c r="DG75" s="47">
        <f t="array" ref="DG75">IF(AND(ISNUMBER(MATCH(DG$2, AsistenciaJetAdminConcatenada!$A:$A, 0)), ISNUMBER(MATCH(DG$1, AsistenciaJetAdminConcatenada!$B:$B, 0)), ISNUMBER(SEARCH($A75,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ISNUMBER(SEARCH($A75, INDEX(AsistenciaJetAdminConcatenada!$D:$D, MATCH(1, (AsistenciaJetAdminConcatenada!$A:$A=DG$2)*(AsistenciaJetAdminConcatenada!$B:$B=DG$1), 0)), 1))),  0.5, 0))</f>
        <v>0</v>
      </c>
      <c r="DH75" s="47">
        <f t="array" ref="DH75">IF(AND(ISNUMBER(MATCH(DH$2, AsistenciaJetAdminConcatenada!$A:$A, 0)), ISNUMBER(MATCH(DH$1, AsistenciaJetAdminConcatenada!$B:$B, 0)), ISNUMBER(SEARCH($A75,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ISNUMBER(SEARCH($A75, INDEX(AsistenciaJetAdminConcatenada!$D:$D, MATCH(1, (AsistenciaJetAdminConcatenada!$A:$A=DH$2)*(AsistenciaJetAdminConcatenada!$B:$B=DH$1), 0)), 1))),  0.5, 0))</f>
        <v>0</v>
      </c>
      <c r="DI75" s="47">
        <f t="array" ref="DI75">IF(AND(ISNUMBER(MATCH(DI$2, AsistenciaJetAdminConcatenada!$A:$A, 0)), ISNUMBER(MATCH(DI$1, AsistenciaJetAdminConcatenada!$B:$B, 0)), ISNUMBER(SEARCH($A75,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ISNUMBER(SEARCH($A75, INDEX(AsistenciaJetAdminConcatenada!$D:$D, MATCH(1, (AsistenciaJetAdminConcatenada!$A:$A=DI$2)*(AsistenciaJetAdminConcatenada!$B:$B=DI$1), 0)), 1))),  0.5, 0))</f>
        <v>0</v>
      </c>
      <c r="DJ75" s="47">
        <f t="array" ref="DJ75">IF(AND(ISNUMBER(MATCH(DJ$2, AsistenciaJetAdminConcatenada!$A:$A, 0)), ISNUMBER(MATCH(DJ$1, AsistenciaJetAdminConcatenada!$B:$B, 0)), ISNUMBER(SEARCH($A75,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ISNUMBER(SEARCH($A75, INDEX(AsistenciaJetAdminConcatenada!$D:$D, MATCH(1, (AsistenciaJetAdminConcatenada!$A:$A=DJ$2)*(AsistenciaJetAdminConcatenada!$B:$B=DJ$1), 0)), 1))),  0.5, 0))</f>
        <v>0</v>
      </c>
      <c r="DK75" s="47">
        <f t="array" ref="DK75">IF(AND(ISNUMBER(MATCH(DK$2, AsistenciaJetAdminConcatenada!$A:$A, 0)), ISNUMBER(MATCH(DK$1, AsistenciaJetAdminConcatenada!$B:$B, 0)), ISNUMBER(SEARCH($A75,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ISNUMBER(SEARCH($A75, INDEX(AsistenciaJetAdminConcatenada!$D:$D, MATCH(1, (AsistenciaJetAdminConcatenada!$A:$A=DK$2)*(AsistenciaJetAdminConcatenada!$B:$B=DK$1), 0)), 1))),  0.5, 0))</f>
        <v>0</v>
      </c>
      <c r="DL75" s="47">
        <f t="array" ref="DL75">IF(AND(ISNUMBER(MATCH(DL$2, AsistenciaJetAdminConcatenada!$A:$A, 0)), ISNUMBER(MATCH(DL$1, AsistenciaJetAdminConcatenada!$B:$B, 0)), ISNUMBER(SEARCH($A75,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ISNUMBER(SEARCH($A75, INDEX(AsistenciaJetAdminConcatenada!$D:$D, MATCH(1, (AsistenciaJetAdminConcatenada!$A:$A=DL$2)*(AsistenciaJetAdminConcatenada!$B:$B=DL$1), 0)), 1))),  0.5, 0))</f>
        <v>0</v>
      </c>
      <c r="DM75" s="47">
        <f t="array" ref="DM75">IF(AND(ISNUMBER(MATCH(DM$2, AsistenciaJetAdminConcatenada!$A:$A, 0)), ISNUMBER(MATCH(DM$1, AsistenciaJetAdminConcatenada!$B:$B, 0)), ISNUMBER(SEARCH($A75,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ISNUMBER(SEARCH($A75, INDEX(AsistenciaJetAdminConcatenada!$D:$D, MATCH(1, (AsistenciaJetAdminConcatenada!$A:$A=DM$2)*(AsistenciaJetAdminConcatenada!$B:$B=DM$1), 0)), 1))),  0.5, 0))</f>
        <v>0</v>
      </c>
      <c r="DN75" s="47">
        <f t="array" ref="DN75">IF(AND(ISNUMBER(MATCH(DN$2, AsistenciaJetAdminConcatenada!$A:$A, 0)), ISNUMBER(MATCH(DN$1, AsistenciaJetAdminConcatenada!$B:$B, 0)), ISNUMBER(SEARCH($A75,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ISNUMBER(SEARCH($A75, INDEX(AsistenciaJetAdminConcatenada!$D:$D, MATCH(1, (AsistenciaJetAdminConcatenada!$A:$A=DN$2)*(AsistenciaJetAdminConcatenada!$B:$B=DN$1), 0)), 1))),  0.5, 0))</f>
        <v>0</v>
      </c>
      <c r="DO75" s="47">
        <f t="array" ref="DO75">IF(AND(ISNUMBER(MATCH(DO$2, AsistenciaJetAdminConcatenada!$A:$A, 0)), ISNUMBER(MATCH(DO$1, AsistenciaJetAdminConcatenada!$B:$B, 0)), ISNUMBER(SEARCH($A75,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ISNUMBER(SEARCH($A75, INDEX(AsistenciaJetAdminConcatenada!$D:$D, MATCH(1, (AsistenciaJetAdminConcatenada!$A:$A=DO$2)*(AsistenciaJetAdminConcatenada!$B:$B=DO$1), 0)), 1))),  0.5, 0))</f>
        <v>0</v>
      </c>
      <c r="DP75" s="47">
        <f t="array" ref="DP75">IF(AND(ISNUMBER(MATCH(DP$2, AsistenciaJetAdminConcatenada!$A:$A, 0)), ISNUMBER(MATCH(DP$1, AsistenciaJetAdminConcatenada!$B:$B, 0)), ISNUMBER(SEARCH($A75,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ISNUMBER(SEARCH($A75, INDEX(AsistenciaJetAdminConcatenada!$D:$D, MATCH(1, (AsistenciaJetAdminConcatenada!$A:$A=DP$2)*(AsistenciaJetAdminConcatenada!$B:$B=DP$1), 0)), 1))),  0.5, 0))</f>
        <v>0</v>
      </c>
      <c r="DQ75" s="47">
        <f t="array" ref="DQ75">IF(AND(ISNUMBER(MATCH(DQ$2, AsistenciaJetAdminConcatenada!$A:$A, 0)), ISNUMBER(MATCH(DQ$1, AsistenciaJetAdminConcatenada!$B:$B, 0)), ISNUMBER(SEARCH($A75,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ISNUMBER(SEARCH($A75, INDEX(AsistenciaJetAdminConcatenada!$D:$D, MATCH(1, (AsistenciaJetAdminConcatenada!$A:$A=DQ$2)*(AsistenciaJetAdminConcatenada!$B:$B=DQ$1), 0)), 1))),  0.5, 0))</f>
        <v>0</v>
      </c>
      <c r="DR75" s="47">
        <f t="array" ref="DR75">IF(AND(ISNUMBER(MATCH(DR$2, AsistenciaJetAdminConcatenada!$A:$A, 0)), ISNUMBER(MATCH(DR$1, AsistenciaJetAdminConcatenada!$B:$B, 0)), ISNUMBER(SEARCH($A75,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ISNUMBER(SEARCH($A75, INDEX(AsistenciaJetAdminConcatenada!$D:$D, MATCH(1, (AsistenciaJetAdminConcatenada!$A:$A=DR$2)*(AsistenciaJetAdminConcatenada!$B:$B=DR$1), 0)), 1))),  0.5, 0))</f>
        <v>0</v>
      </c>
      <c r="DS75" s="47">
        <f t="array" ref="DS75">IF(AND(ISNUMBER(MATCH(DS$2, AsistenciaJetAdminConcatenada!$A:$A, 0)), ISNUMBER(MATCH(DS$1, AsistenciaJetAdminConcatenada!$B:$B, 0)), ISNUMBER(SEARCH($A75,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ISNUMBER(SEARCH($A75, INDEX(AsistenciaJetAdminConcatenada!$D:$D, MATCH(1, (AsistenciaJetAdminConcatenada!$A:$A=DS$2)*(AsistenciaJetAdminConcatenada!$B:$B=DS$1), 0)), 1))),  0.5, 0))</f>
        <v>0</v>
      </c>
      <c r="DT75" s="47">
        <f t="array" ref="DT75">IF(AND(ISNUMBER(MATCH(DT$2, AsistenciaJetAdminConcatenada!$A:$A, 0)), ISNUMBER(MATCH(DT$1, AsistenciaJetAdminConcatenada!$B:$B, 0)), ISNUMBER(SEARCH($A75,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ISNUMBER(SEARCH($A75, INDEX(AsistenciaJetAdminConcatenada!$D:$D, MATCH(1, (AsistenciaJetAdminConcatenada!$A:$A=DT$2)*(AsistenciaJetAdminConcatenada!$B:$B=DT$1), 0)), 1))),  0.5, 0))</f>
        <v>0</v>
      </c>
      <c r="DU75" s="47">
        <f t="array" ref="DU75">IF(AND(ISNUMBER(MATCH(DU$2, AsistenciaJetAdminConcatenada!$A:$A, 0)), ISNUMBER(MATCH(DU$1, AsistenciaJetAdminConcatenada!$B:$B, 0)), ISNUMBER(SEARCH($A75,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ISNUMBER(SEARCH($A75, INDEX(AsistenciaJetAdminConcatenada!$D:$D, MATCH(1, (AsistenciaJetAdminConcatenada!$A:$A=DU$2)*(AsistenciaJetAdminConcatenada!$B:$B=DU$1), 0)), 1))),  0.5, 0))</f>
        <v>0</v>
      </c>
      <c r="DV75" s="47">
        <f t="array" ref="DV75">IF(AND(ISNUMBER(MATCH(DV$2, AsistenciaJetAdminConcatenada!$A:$A, 0)), ISNUMBER(MATCH(DV$1, AsistenciaJetAdminConcatenada!$B:$B, 0)), ISNUMBER(SEARCH($A75,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ISNUMBER(SEARCH($A75, INDEX(AsistenciaJetAdminConcatenada!$D:$D, MATCH(1, (AsistenciaJetAdminConcatenada!$A:$A=DV$2)*(AsistenciaJetAdminConcatenada!$B:$B=DV$1), 0)), 1))),  0.5, 0))</f>
        <v>0</v>
      </c>
      <c r="DW75" s="47">
        <f t="array" ref="DW75">IF(AND(ISNUMBER(MATCH(DW$2, AsistenciaJetAdminConcatenada!$A:$A, 0)), ISNUMBER(MATCH(DW$1, AsistenciaJetAdminConcatenada!$B:$B, 0)), ISNUMBER(SEARCH($A75,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ISNUMBER(SEARCH($A75, INDEX(AsistenciaJetAdminConcatenada!$D:$D, MATCH(1, (AsistenciaJetAdminConcatenada!$A:$A=DW$2)*(AsistenciaJetAdminConcatenada!$B:$B=DW$1), 0)), 1))),  0.5, 0))</f>
        <v>0</v>
      </c>
      <c r="DX75" s="47">
        <f t="array" ref="DX75">IF(AND(ISNUMBER(MATCH(DX$2, AsistenciaJetAdminConcatenada!$A:$A, 0)), ISNUMBER(MATCH(DX$1, AsistenciaJetAdminConcatenada!$B:$B, 0)), ISNUMBER(SEARCH($A75,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ISNUMBER(SEARCH($A75, INDEX(AsistenciaJetAdminConcatenada!$D:$D, MATCH(1, (AsistenciaJetAdminConcatenada!$A:$A=DX$2)*(AsistenciaJetAdminConcatenada!$B:$B=DX$1), 0)), 1))),  0.5, 0))</f>
        <v>0</v>
      </c>
      <c r="DY75" s="47">
        <f t="array" ref="DY75">IF(AND(ISNUMBER(MATCH(DY$2, AsistenciaJetAdminConcatenada!$A:$A, 0)), ISNUMBER(MATCH(DY$1, AsistenciaJetAdminConcatenada!$B:$B, 0)), ISNUMBER(SEARCH($A75,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ISNUMBER(SEARCH($A75, INDEX(AsistenciaJetAdminConcatenada!$D:$D, MATCH(1, (AsistenciaJetAdminConcatenada!$A:$A=DY$2)*(AsistenciaJetAdminConcatenada!$B:$B=DY$1), 0)), 1))),  0.5, 0))</f>
        <v>0</v>
      </c>
      <c r="DZ75" s="47">
        <f t="array" ref="DZ75">IF(AND(ISNUMBER(MATCH(DZ$2, AsistenciaJetAdminConcatenada!$A:$A, 0)), ISNUMBER(MATCH(DZ$1, AsistenciaJetAdminConcatenada!$B:$B, 0)), ISNUMBER(SEARCH($A75,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ISNUMBER(SEARCH($A75, INDEX(AsistenciaJetAdminConcatenada!$D:$D, MATCH(1, (AsistenciaJetAdminConcatenada!$A:$A=DZ$2)*(AsistenciaJetAdminConcatenada!$B:$B=DZ$1), 0)), 1))),  0.5, 0))</f>
        <v>0</v>
      </c>
      <c r="EA75" s="47">
        <f t="array" ref="EA75">IF(AND(ISNUMBER(MATCH(EA$2, AsistenciaJetAdminConcatenada!$A:$A, 0)), ISNUMBER(MATCH(EA$1, AsistenciaJetAdminConcatenada!$B:$B, 0)), ISNUMBER(SEARCH($A75,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ISNUMBER(SEARCH($A75, INDEX(AsistenciaJetAdminConcatenada!$D:$D, MATCH(1, (AsistenciaJetAdminConcatenada!$A:$A=EA$2)*(AsistenciaJetAdminConcatenada!$B:$B=EA$1), 0)), 1))),  0.5, 0))</f>
        <v>0</v>
      </c>
      <c r="EB75" s="47">
        <f t="array" ref="EB75">IF(AND(ISNUMBER(MATCH(EB$2, AsistenciaJetAdminConcatenada!$A:$A, 0)), ISNUMBER(MATCH(EB$1, AsistenciaJetAdminConcatenada!$B:$B, 0)), ISNUMBER(SEARCH($A75,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ISNUMBER(SEARCH($A75, INDEX(AsistenciaJetAdminConcatenada!$D:$D, MATCH(1, (AsistenciaJetAdminConcatenada!$A:$A=EB$2)*(AsistenciaJetAdminConcatenada!$B:$B=EB$1), 0)), 1))),  0.5, 0))</f>
        <v>0</v>
      </c>
      <c r="EC75" s="47">
        <f t="array" ref="EC75">IF(AND(ISNUMBER(MATCH(EC$2, AsistenciaJetAdminConcatenada!$A:$A, 0)), ISNUMBER(MATCH(EC$1, AsistenciaJetAdminConcatenada!$B:$B, 0)), ISNUMBER(SEARCH($A75,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ISNUMBER(SEARCH($A75, INDEX(AsistenciaJetAdminConcatenada!$D:$D, MATCH(1, (AsistenciaJetAdminConcatenada!$A:$A=EC$2)*(AsistenciaJetAdminConcatenada!$B:$B=EC$1), 0)), 1))),  0.5, 0))</f>
        <v>0</v>
      </c>
      <c r="ED75" s="47">
        <f t="array" ref="ED75">IF(AND(ISNUMBER(MATCH(ED$2, AsistenciaJetAdminConcatenada!$A:$A, 0)), ISNUMBER(MATCH(ED$1, AsistenciaJetAdminConcatenada!$B:$B, 0)), ISNUMBER(SEARCH($A75,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ISNUMBER(SEARCH($A75, INDEX(AsistenciaJetAdminConcatenada!$D:$D, MATCH(1, (AsistenciaJetAdminConcatenada!$A:$A=ED$2)*(AsistenciaJetAdminConcatenada!$B:$B=ED$1), 0)), 1))),  0.5, 0))</f>
        <v>0</v>
      </c>
      <c r="EE75" s="47">
        <f t="array" ref="EE75">IF(AND(ISNUMBER(MATCH(EE$2, AsistenciaJetAdminConcatenada!$A:$A, 0)), ISNUMBER(MATCH(EE$1, AsistenciaJetAdminConcatenada!$B:$B, 0)), ISNUMBER(SEARCH($A75,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ISNUMBER(SEARCH($A75, INDEX(AsistenciaJetAdminConcatenada!$D:$D, MATCH(1, (AsistenciaJetAdminConcatenada!$A:$A=EE$2)*(AsistenciaJetAdminConcatenada!$B:$B=EE$1), 0)), 1))),  0.5, 0))</f>
        <v>0</v>
      </c>
      <c r="EF75" s="47">
        <f t="array" ref="EF75">IF(AND(ISNUMBER(MATCH(EF$2, AsistenciaJetAdminConcatenada!$A:$A, 0)), ISNUMBER(MATCH(EF$1, AsistenciaJetAdminConcatenada!$B:$B, 0)), ISNUMBER(SEARCH($A75,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ISNUMBER(SEARCH($A75, INDEX(AsistenciaJetAdminConcatenada!$D:$D, MATCH(1, (AsistenciaJetAdminConcatenada!$A:$A=EF$2)*(AsistenciaJetAdminConcatenada!$B:$B=EF$1), 0)), 1))),  0.5, 0))</f>
        <v>0</v>
      </c>
      <c r="EG75" s="47">
        <f t="array" ref="EG75">IF(AND(ISNUMBER(MATCH(EG$2, AsistenciaJetAdminConcatenada!$A:$A, 0)), ISNUMBER(MATCH(EG$1, AsistenciaJetAdminConcatenada!$B:$B, 0)), ISNUMBER(SEARCH($A75,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ISNUMBER(SEARCH($A75, INDEX(AsistenciaJetAdminConcatenada!$D:$D, MATCH(1, (AsistenciaJetAdminConcatenada!$A:$A=EG$2)*(AsistenciaJetAdminConcatenada!$B:$B=EG$1), 0)), 1))),  0.5, 0))</f>
        <v>0</v>
      </c>
      <c r="EH75" s="47">
        <f t="array" ref="EH75">IF(AND(ISNUMBER(MATCH(EH$2, AsistenciaJetAdminConcatenada!$A:$A, 0)), ISNUMBER(MATCH(EH$1, AsistenciaJetAdminConcatenada!$B:$B, 0)), ISNUMBER(SEARCH($A75,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ISNUMBER(SEARCH($A75, INDEX(AsistenciaJetAdminConcatenada!$D:$D, MATCH(1, (AsistenciaJetAdminConcatenada!$A:$A=EH$2)*(AsistenciaJetAdminConcatenada!$B:$B=EH$1), 0)), 1))),  0.5, 0))</f>
        <v>0</v>
      </c>
      <c r="EI75" s="47">
        <f t="array" ref="EI75">IF(AND(ISNUMBER(MATCH(EI$2, AsistenciaJetAdminConcatenada!$A:$A, 0)), ISNUMBER(MATCH(EI$1, AsistenciaJetAdminConcatenada!$B:$B, 0)), ISNUMBER(SEARCH($A75,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ISNUMBER(SEARCH($A75, INDEX(AsistenciaJetAdminConcatenada!$D:$D, MATCH(1, (AsistenciaJetAdminConcatenada!$A:$A=EI$2)*(AsistenciaJetAdminConcatenada!$B:$B=EI$1), 0)), 1))),  0.5, 0))</f>
        <v>0</v>
      </c>
      <c r="EJ75" s="47">
        <f t="array" ref="EJ75">IF(AND(ISNUMBER(MATCH(EJ$2, AsistenciaJetAdminConcatenada!$A:$A, 0)), ISNUMBER(MATCH(EJ$1, AsistenciaJetAdminConcatenada!$B:$B, 0)), ISNUMBER(SEARCH($A75,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ISNUMBER(SEARCH($A75, INDEX(AsistenciaJetAdminConcatenada!$D:$D, MATCH(1, (AsistenciaJetAdminConcatenada!$A:$A=EJ$2)*(AsistenciaJetAdminConcatenada!$B:$B=EJ$1), 0)), 1))),  0.5, 0))</f>
        <v>0</v>
      </c>
      <c r="EK75" s="47">
        <f t="array" ref="EK75">IF(AND(ISNUMBER(MATCH(EK$2, AsistenciaJetAdminConcatenada!$A:$A, 0)), ISNUMBER(MATCH(EK$1, AsistenciaJetAdminConcatenada!$B:$B, 0)), ISNUMBER(SEARCH($A75,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ISNUMBER(SEARCH($A75, INDEX(AsistenciaJetAdminConcatenada!$D:$D, MATCH(1, (AsistenciaJetAdminConcatenada!$A:$A=EK$2)*(AsistenciaJetAdminConcatenada!$B:$B=EK$1), 0)), 1))),  0.5, 0))</f>
        <v>0</v>
      </c>
      <c r="EL75" s="47">
        <f t="array" ref="EL75">IF(AND(ISNUMBER(MATCH(EL$2, AsistenciaJetAdminConcatenada!$A:$A, 0)), ISNUMBER(MATCH(EL$1, AsistenciaJetAdminConcatenada!$B:$B, 0)), ISNUMBER(SEARCH($A75,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ISNUMBER(SEARCH($A75, INDEX(AsistenciaJetAdminConcatenada!$D:$D, MATCH(1, (AsistenciaJetAdminConcatenada!$A:$A=EL$2)*(AsistenciaJetAdminConcatenada!$B:$B=EL$1), 0)), 1))),  0.5, 0))</f>
        <v>0</v>
      </c>
      <c r="EM75" s="47">
        <f t="array" ref="EM75">IF(AND(ISNUMBER(MATCH(EM$2, AsistenciaJetAdminConcatenada!$A:$A, 0)), ISNUMBER(MATCH(EM$1, AsistenciaJetAdminConcatenada!$B:$B, 0)), ISNUMBER(SEARCH($A75,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ISNUMBER(SEARCH($A75, INDEX(AsistenciaJetAdminConcatenada!$D:$D, MATCH(1, (AsistenciaJetAdminConcatenada!$A:$A=EM$2)*(AsistenciaJetAdminConcatenada!$B:$B=EM$1), 0)), 1))),  0.5, 0))</f>
        <v>0</v>
      </c>
      <c r="EN75" s="47">
        <f t="array" ref="EN75">IF(AND(ISNUMBER(MATCH(EN$2, AsistenciaJetAdminConcatenada!$A:$A, 0)), ISNUMBER(MATCH(EN$1, AsistenciaJetAdminConcatenada!$B:$B, 0)), ISNUMBER(SEARCH($A75,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ISNUMBER(SEARCH($A75, INDEX(AsistenciaJetAdminConcatenada!$D:$D, MATCH(1, (AsistenciaJetAdminConcatenada!$A:$A=EN$2)*(AsistenciaJetAdminConcatenada!$B:$B=EN$1), 0)), 1))),  0.5, 0))</f>
        <v>0</v>
      </c>
      <c r="EO75" s="47">
        <f t="array" ref="EO75">IF(AND(ISNUMBER(MATCH(EO$2, AsistenciaJetAdminConcatenada!$A:$A, 0)), ISNUMBER(MATCH(EO$1, AsistenciaJetAdminConcatenada!$B:$B, 0)), ISNUMBER(SEARCH($A75,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ISNUMBER(SEARCH($A75, INDEX(AsistenciaJetAdminConcatenada!$D:$D, MATCH(1, (AsistenciaJetAdminConcatenada!$A:$A=EO$2)*(AsistenciaJetAdminConcatenada!$B:$B=EO$1), 0)), 1))),  0.5, 0))</f>
        <v>0</v>
      </c>
      <c r="EP75" s="47">
        <f t="array" ref="EP75">IF(AND(ISNUMBER(MATCH(EP$2, AsistenciaJetAdminConcatenada!$A:$A, 0)), ISNUMBER(MATCH(EP$1, AsistenciaJetAdminConcatenada!$B:$B, 0)), ISNUMBER(SEARCH($A75,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ISNUMBER(SEARCH($A75, INDEX(AsistenciaJetAdminConcatenada!$D:$D, MATCH(1, (AsistenciaJetAdminConcatenada!$A:$A=EP$2)*(AsistenciaJetAdminConcatenada!$B:$B=EP$1), 0)), 1))),  0.5, 0))</f>
        <v>0</v>
      </c>
      <c r="EQ75" s="47">
        <f t="array" ref="EQ75">IF(AND(ISNUMBER(MATCH(EQ$2, AsistenciaJetAdminConcatenada!$A:$A, 0)), ISNUMBER(MATCH(EQ$1, AsistenciaJetAdminConcatenada!$B:$B, 0)), ISNUMBER(SEARCH($A75,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ISNUMBER(SEARCH($A75, INDEX(AsistenciaJetAdminConcatenada!$D:$D, MATCH(1, (AsistenciaJetAdminConcatenada!$A:$A=EQ$2)*(AsistenciaJetAdminConcatenada!$B:$B=EQ$1), 0)), 1))),  0.5, 0))</f>
        <v>0</v>
      </c>
      <c r="ER75" s="47">
        <f t="array" ref="ER75">IF(AND(ISNUMBER(MATCH(ER$2, AsistenciaJetAdminConcatenada!$A:$A, 0)), ISNUMBER(MATCH(ER$1, AsistenciaJetAdminConcatenada!$B:$B, 0)), ISNUMBER(SEARCH($A75,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ISNUMBER(SEARCH($A75, INDEX(AsistenciaJetAdminConcatenada!$D:$D, MATCH(1, (AsistenciaJetAdminConcatenada!$A:$A=ER$2)*(AsistenciaJetAdminConcatenada!$B:$B=ER$1), 0)), 1))),  0.5, 0))</f>
        <v>0</v>
      </c>
      <c r="ES75" s="47">
        <f t="array" ref="ES75">IF(AND(ISNUMBER(MATCH(ES$2, AsistenciaJetAdminConcatenada!$A:$A, 0)), ISNUMBER(MATCH(ES$1, AsistenciaJetAdminConcatenada!$B:$B, 0)), ISNUMBER(SEARCH($A75,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ISNUMBER(SEARCH($A75, INDEX(AsistenciaJetAdminConcatenada!$D:$D, MATCH(1, (AsistenciaJetAdminConcatenada!$A:$A=ES$2)*(AsistenciaJetAdminConcatenada!$B:$B=ES$1), 0)), 1))),  0.5, 0))</f>
        <v>0</v>
      </c>
      <c r="ET75" s="47">
        <f t="array" ref="ET75">IF(AND(ISNUMBER(MATCH(ET$2, AsistenciaJetAdminConcatenada!$A:$A, 0)), ISNUMBER(MATCH(ET$1, AsistenciaJetAdminConcatenada!$B:$B, 0)), ISNUMBER(SEARCH($A75,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ISNUMBER(SEARCH($A75, INDEX(AsistenciaJetAdminConcatenada!$D:$D, MATCH(1, (AsistenciaJetAdminConcatenada!$A:$A=ET$2)*(AsistenciaJetAdminConcatenada!$B:$B=ET$1), 0)), 1))),  0.5, 0))</f>
        <v>0</v>
      </c>
      <c r="EU75" s="47">
        <f t="array" ref="EU75">IF(AND(ISNUMBER(MATCH(EU$2, AsistenciaJetAdminConcatenada!$A:$A, 0)), ISNUMBER(MATCH(EU$1, AsistenciaJetAdminConcatenada!$B:$B, 0)), ISNUMBER(SEARCH($A75,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ISNUMBER(SEARCH($A75, INDEX(AsistenciaJetAdminConcatenada!$D:$D, MATCH(1, (AsistenciaJetAdminConcatenada!$A:$A=EU$2)*(AsistenciaJetAdminConcatenada!$B:$B=EU$1), 0)), 1))),  0.5, 0))</f>
        <v>0</v>
      </c>
      <c r="EV75" s="47">
        <f t="array" ref="EV75">IF(AND(ISNUMBER(MATCH(EV$2, AsistenciaJetAdminConcatenada!$A:$A, 0)), ISNUMBER(MATCH(EV$1, AsistenciaJetAdminConcatenada!$B:$B, 0)), ISNUMBER(SEARCH($A75,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ISNUMBER(SEARCH($A75, INDEX(AsistenciaJetAdminConcatenada!$D:$D, MATCH(1, (AsistenciaJetAdminConcatenada!$A:$A=EV$2)*(AsistenciaJetAdminConcatenada!$B:$B=EV$1), 0)), 1))),  0.5, 0))</f>
        <v>0</v>
      </c>
      <c r="EW75" s="47">
        <f t="array" ref="EW75">IF(AND(ISNUMBER(MATCH(EW$2, AsistenciaJetAdminConcatenada!$A:$A, 0)), ISNUMBER(MATCH(EW$1, AsistenciaJetAdminConcatenada!$B:$B, 0)), ISNUMBER(SEARCH($A75,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ISNUMBER(SEARCH($A75, INDEX(AsistenciaJetAdminConcatenada!$D:$D, MATCH(1, (AsistenciaJetAdminConcatenada!$A:$A=EW$2)*(AsistenciaJetAdminConcatenada!$B:$B=EW$1), 0)), 1))),  0.5, 0))</f>
        <v>0</v>
      </c>
      <c r="EX75" s="47">
        <f t="array" ref="EX75">IF(AND(ISNUMBER(MATCH(EX$2, AsistenciaJetAdminConcatenada!$A:$A, 0)), ISNUMBER(MATCH(EX$1, AsistenciaJetAdminConcatenada!$B:$B, 0)), ISNUMBER(SEARCH($A75,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ISNUMBER(SEARCH($A75, INDEX(AsistenciaJetAdminConcatenada!$D:$D, MATCH(1, (AsistenciaJetAdminConcatenada!$A:$A=EX$2)*(AsistenciaJetAdminConcatenada!$B:$B=EX$1), 0)), 1))),  0.5, 0))</f>
        <v>0</v>
      </c>
      <c r="EY75" s="47">
        <f t="array" ref="EY75">IF(AND(ISNUMBER(MATCH(EY$2, AsistenciaJetAdminConcatenada!$A:$A, 0)), ISNUMBER(MATCH(EY$1, AsistenciaJetAdminConcatenada!$B:$B, 0)), ISNUMBER(SEARCH($A75,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ISNUMBER(SEARCH($A75, INDEX(AsistenciaJetAdminConcatenada!$D:$D, MATCH(1, (AsistenciaJetAdminConcatenada!$A:$A=EY$2)*(AsistenciaJetAdminConcatenada!$B:$B=EY$1), 0)), 1))),  0.5, 0))</f>
        <v>0</v>
      </c>
      <c r="EZ75" s="47">
        <f t="array" ref="EZ75">IF(AND(ISNUMBER(MATCH(EZ$2, AsistenciaJetAdminConcatenada!$A:$A, 0)), ISNUMBER(MATCH(EZ$1, AsistenciaJetAdminConcatenada!$B:$B, 0)), ISNUMBER(SEARCH($A75,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ISNUMBER(SEARCH($A75, INDEX(AsistenciaJetAdminConcatenada!$D:$D, MATCH(1, (AsistenciaJetAdminConcatenada!$A:$A=EZ$2)*(AsistenciaJetAdminConcatenada!$B:$B=EZ$1), 0)), 1))),  0.5, 0))</f>
        <v>0</v>
      </c>
      <c r="FA75" s="47">
        <f t="array" ref="FA75">IF(AND(ISNUMBER(MATCH(FA$2, AsistenciaJetAdminConcatenada!$A:$A, 0)), ISNUMBER(MATCH(FA$1, AsistenciaJetAdminConcatenada!$B:$B, 0)), ISNUMBER(SEARCH($A75,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ISNUMBER(SEARCH($A75, INDEX(AsistenciaJetAdminConcatenada!$D:$D, MATCH(1, (AsistenciaJetAdminConcatenada!$A:$A=FA$2)*(AsistenciaJetAdminConcatenada!$B:$B=FA$1), 0)), 1))),  0.5, 0))</f>
        <v>0</v>
      </c>
      <c r="FB75" s="47">
        <f t="array" ref="FB75">IF(AND(ISNUMBER(MATCH(FB$2, AsistenciaJetAdminConcatenada!$A:$A, 0)), ISNUMBER(MATCH(FB$1, AsistenciaJetAdminConcatenada!$B:$B, 0)), ISNUMBER(SEARCH($A75,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ISNUMBER(SEARCH($A75, INDEX(AsistenciaJetAdminConcatenada!$D:$D, MATCH(1, (AsistenciaJetAdminConcatenada!$A:$A=FB$2)*(AsistenciaJetAdminConcatenada!$B:$B=FB$1), 0)), 1))),  0.5, 0))</f>
        <v>0</v>
      </c>
      <c r="FC75" s="47">
        <f t="array" ref="FC75">IF(AND(ISNUMBER(MATCH(FC$2, AsistenciaJetAdminConcatenada!$A:$A, 0)), ISNUMBER(MATCH(FC$1, AsistenciaJetAdminConcatenada!$B:$B, 0)), ISNUMBER(SEARCH($A75,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ISNUMBER(SEARCH($A75, INDEX(AsistenciaJetAdminConcatenada!$D:$D, MATCH(1, (AsistenciaJetAdminConcatenada!$A:$A=FC$2)*(AsistenciaJetAdminConcatenada!$B:$B=FC$1), 0)), 1))),  0.5, 0))</f>
        <v>0</v>
      </c>
      <c r="FD75" s="47">
        <f t="array" ref="FD75">IF(AND(ISNUMBER(MATCH(FD$2, AsistenciaJetAdminConcatenada!$A:$A, 0)), ISNUMBER(MATCH(FD$1, AsistenciaJetAdminConcatenada!$B:$B, 0)), ISNUMBER(SEARCH($A75,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ISNUMBER(SEARCH($A75, INDEX(AsistenciaJetAdminConcatenada!$D:$D, MATCH(1, (AsistenciaJetAdminConcatenada!$A:$A=FD$2)*(AsistenciaJetAdminConcatenada!$B:$B=FD$1), 0)), 1))),  0.5, 0))</f>
        <v>0</v>
      </c>
      <c r="FE75" s="47">
        <f t="array" ref="FE75">IF(AND(ISNUMBER(MATCH(FE$2, AsistenciaJetAdminConcatenada!$A:$A, 0)), ISNUMBER(MATCH(FE$1, AsistenciaJetAdminConcatenada!$B:$B, 0)), ISNUMBER(SEARCH($A75,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ISNUMBER(SEARCH($A75, INDEX(AsistenciaJetAdminConcatenada!$D:$D, MATCH(1, (AsistenciaJetAdminConcatenada!$A:$A=FE$2)*(AsistenciaJetAdminConcatenada!$B:$B=FE$1), 0)), 1))),  0.5, 0))</f>
        <v>0</v>
      </c>
      <c r="FF75" s="47">
        <f t="array" ref="FF75">IF(AND(ISNUMBER(MATCH(FF$2, AsistenciaJetAdminConcatenada!$A:$A, 0)), ISNUMBER(MATCH(FF$1, AsistenciaJetAdminConcatenada!$B:$B, 0)), ISNUMBER(SEARCH($A75,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ISNUMBER(SEARCH($A75, INDEX(AsistenciaJetAdminConcatenada!$D:$D, MATCH(1, (AsistenciaJetAdminConcatenada!$A:$A=FF$2)*(AsistenciaJetAdminConcatenada!$B:$B=FF$1), 0)), 1))),  0.5, 0))</f>
        <v>0</v>
      </c>
      <c r="FG75" s="47">
        <f t="array" ref="FG75">IF(AND(ISNUMBER(MATCH(FG$2, AsistenciaJetAdminConcatenada!$A:$A, 0)), ISNUMBER(MATCH(FG$1, AsistenciaJetAdminConcatenada!$B:$B, 0)), ISNUMBER(SEARCH($A75,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ISNUMBER(SEARCH($A75, INDEX(AsistenciaJetAdminConcatenada!$D:$D, MATCH(1, (AsistenciaJetAdminConcatenada!$A:$A=FG$2)*(AsistenciaJetAdminConcatenada!$B:$B=FG$1), 0)), 1))),  0.5, 0))</f>
        <v>0</v>
      </c>
      <c r="FH75" s="47">
        <f t="array" ref="FH75">IF(AND(ISNUMBER(MATCH(FH$2, AsistenciaJetAdminConcatenada!$A:$A, 0)), ISNUMBER(MATCH(FH$1, AsistenciaJetAdminConcatenada!$B:$B, 0)), ISNUMBER(SEARCH($A75,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ISNUMBER(SEARCH($A75, INDEX(AsistenciaJetAdminConcatenada!$D:$D, MATCH(1, (AsistenciaJetAdminConcatenada!$A:$A=FH$2)*(AsistenciaJetAdminConcatenada!$B:$B=FH$1), 0)), 1))),  0.5, 0))</f>
        <v>0</v>
      </c>
      <c r="FI75" s="47">
        <f t="array" ref="FI75">IF(AND(ISNUMBER(MATCH(FI$2, AsistenciaJetAdminConcatenada!$A:$A, 0)), ISNUMBER(MATCH(FI$1, AsistenciaJetAdminConcatenada!$B:$B, 0)), ISNUMBER(SEARCH($A75,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ISNUMBER(SEARCH($A75, INDEX(AsistenciaJetAdminConcatenada!$D:$D, MATCH(1, (AsistenciaJetAdminConcatenada!$A:$A=FI$2)*(AsistenciaJetAdminConcatenada!$B:$B=FI$1), 0)), 1))),  0.5, 0))</f>
        <v>0</v>
      </c>
      <c r="FJ75" s="47">
        <f t="array" ref="FJ75">IF(AND(ISNUMBER(MATCH(FJ$2, AsistenciaJetAdminConcatenada!$A:$A, 0)), ISNUMBER(MATCH(FJ$1, AsistenciaJetAdminConcatenada!$B:$B, 0)), ISNUMBER(SEARCH($A75,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ISNUMBER(SEARCH($A75, INDEX(AsistenciaJetAdminConcatenada!$D:$D, MATCH(1, (AsistenciaJetAdminConcatenada!$A:$A=FJ$2)*(AsistenciaJetAdminConcatenada!$B:$B=FJ$1), 0)), 1))),  0.5, 0))</f>
        <v>0</v>
      </c>
      <c r="FK75" s="47">
        <f t="array" ref="FK75">IF(AND(ISNUMBER(MATCH(FK$2, AsistenciaJetAdminConcatenada!$A:$A, 0)), ISNUMBER(MATCH(FK$1, AsistenciaJetAdminConcatenada!$B:$B, 0)), ISNUMBER(SEARCH($A75,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ISNUMBER(SEARCH($A75, INDEX(AsistenciaJetAdminConcatenada!$D:$D, MATCH(1, (AsistenciaJetAdminConcatenada!$A:$A=FK$2)*(AsistenciaJetAdminConcatenada!$B:$B=FK$1), 0)), 1))),  0.5, 0))</f>
        <v>0</v>
      </c>
      <c r="FL75" s="47">
        <f t="array" ref="FL75">IF(AND(ISNUMBER(MATCH(FL$2, AsistenciaJetAdminConcatenada!$A:$A, 0)), ISNUMBER(MATCH(FL$1, AsistenciaJetAdminConcatenada!$B:$B, 0)), ISNUMBER(SEARCH($A75,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ISNUMBER(SEARCH($A75, INDEX(AsistenciaJetAdminConcatenada!$D:$D, MATCH(1, (AsistenciaJetAdminConcatenada!$A:$A=FL$2)*(AsistenciaJetAdminConcatenada!$B:$B=FL$1), 0)), 1))),  0.5, 0))</f>
        <v>0</v>
      </c>
      <c r="FM75" s="47">
        <f t="array" ref="FM75">IF(AND(ISNUMBER(MATCH(FM$2, AsistenciaJetAdminConcatenada!$A:$A, 0)), ISNUMBER(MATCH(FM$1, AsistenciaJetAdminConcatenada!$B:$B, 0)), ISNUMBER(SEARCH($A75,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ISNUMBER(SEARCH($A75, INDEX(AsistenciaJetAdminConcatenada!$D:$D, MATCH(1, (AsistenciaJetAdminConcatenada!$A:$A=FM$2)*(AsistenciaJetAdminConcatenada!$B:$B=FM$1), 0)), 1))),  0.5, 0))</f>
        <v>0</v>
      </c>
      <c r="FN75" s="47">
        <f t="array" ref="FN75">IF(AND(ISNUMBER(MATCH(FN$2, AsistenciaJetAdminConcatenada!$A:$A, 0)), ISNUMBER(MATCH(FN$1, AsistenciaJetAdminConcatenada!$B:$B, 0)), ISNUMBER(SEARCH($A75,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ISNUMBER(SEARCH($A75, INDEX(AsistenciaJetAdminConcatenada!$D:$D, MATCH(1, (AsistenciaJetAdminConcatenada!$A:$A=FN$2)*(AsistenciaJetAdminConcatenada!$B:$B=FN$1), 0)), 1))),  0.5, 0))</f>
        <v>0</v>
      </c>
      <c r="FO75" s="47">
        <f t="array" ref="FO75">IF(AND(ISNUMBER(MATCH(FO$2, AsistenciaJetAdminConcatenada!$A:$A, 0)), ISNUMBER(MATCH(FO$1, AsistenciaJetAdminConcatenada!$B:$B, 0)), ISNUMBER(SEARCH($A75,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ISNUMBER(SEARCH($A75, INDEX(AsistenciaJetAdminConcatenada!$D:$D, MATCH(1, (AsistenciaJetAdminConcatenada!$A:$A=FO$2)*(AsistenciaJetAdminConcatenada!$B:$B=FO$1), 0)), 1))),  0.5, 0))</f>
        <v>0</v>
      </c>
      <c r="FP75" s="47">
        <f t="array" ref="FP75">IF(AND(ISNUMBER(MATCH(FP$2, AsistenciaJetAdminConcatenada!$A:$A, 0)), ISNUMBER(MATCH(FP$1, AsistenciaJetAdminConcatenada!$B:$B, 0)), ISNUMBER(SEARCH($A75,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ISNUMBER(SEARCH($A75, INDEX(AsistenciaJetAdminConcatenada!$D:$D, MATCH(1, (AsistenciaJetAdminConcatenada!$A:$A=FP$2)*(AsistenciaJetAdminConcatenada!$B:$B=FP$1), 0)), 1))),  0.5, 0))</f>
        <v>0</v>
      </c>
      <c r="FQ75" s="47">
        <f t="array" ref="FQ75">IF(AND(ISNUMBER(MATCH(FQ$2, AsistenciaJetAdminConcatenada!$A:$A, 0)), ISNUMBER(MATCH(FQ$1, AsistenciaJetAdminConcatenada!$B:$B, 0)), ISNUMBER(SEARCH($A75,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ISNUMBER(SEARCH($A75, INDEX(AsistenciaJetAdminConcatenada!$D:$D, MATCH(1, (AsistenciaJetAdminConcatenada!$A:$A=FQ$2)*(AsistenciaJetAdminConcatenada!$B:$B=FQ$1), 0)), 1))),  0.5, 0))</f>
        <v>0</v>
      </c>
      <c r="FR75" s="47">
        <f t="array" ref="FR75">IF(AND(ISNUMBER(MATCH(FR$2, AsistenciaJetAdminConcatenada!$A:$A, 0)), ISNUMBER(MATCH(FR$1, AsistenciaJetAdminConcatenada!$B:$B, 0)), ISNUMBER(SEARCH($A75,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ISNUMBER(SEARCH($A75, INDEX(AsistenciaJetAdminConcatenada!$D:$D, MATCH(1, (AsistenciaJetAdminConcatenada!$A:$A=FR$2)*(AsistenciaJetAdminConcatenada!$B:$B=FR$1), 0)), 1))),  0.5, 0))</f>
        <v>0</v>
      </c>
      <c r="FS75" s="47">
        <f t="array" ref="FS75">IF(AND(ISNUMBER(MATCH(FS$2, AsistenciaJetAdminConcatenada!$A:$A, 0)), ISNUMBER(MATCH(FS$1, AsistenciaJetAdminConcatenada!$B:$B, 0)), ISNUMBER(SEARCH($A75,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ISNUMBER(SEARCH($A75, INDEX(AsistenciaJetAdminConcatenada!$D:$D, MATCH(1, (AsistenciaJetAdminConcatenada!$A:$A=FS$2)*(AsistenciaJetAdminConcatenada!$B:$B=FS$1), 0)), 1))),  0.5, 0))</f>
        <v>0</v>
      </c>
      <c r="FT75" s="47">
        <f t="array" ref="FT75">IF(AND(ISNUMBER(MATCH(FT$2, AsistenciaJetAdminConcatenada!$A:$A, 0)), ISNUMBER(MATCH(FT$1, AsistenciaJetAdminConcatenada!$B:$B, 0)), ISNUMBER(SEARCH($A75,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ISNUMBER(SEARCH($A75, INDEX(AsistenciaJetAdminConcatenada!$D:$D, MATCH(1, (AsistenciaJetAdminConcatenada!$A:$A=FT$2)*(AsistenciaJetAdminConcatenada!$B:$B=FT$1), 0)), 1))),  0.5, 0))</f>
        <v>0</v>
      </c>
      <c r="FU75" s="47">
        <f t="array" ref="FU75">IF(AND(ISNUMBER(MATCH(FU$2, AsistenciaJetAdminConcatenada!$A:$A, 0)), ISNUMBER(MATCH(FU$1, AsistenciaJetAdminConcatenada!$B:$B, 0)), ISNUMBER(SEARCH($A75,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ISNUMBER(SEARCH($A75, INDEX(AsistenciaJetAdminConcatenada!$D:$D, MATCH(1, (AsistenciaJetAdminConcatenada!$A:$A=FU$2)*(AsistenciaJetAdminConcatenada!$B:$B=FU$1), 0)), 1))),  0.5, 0))</f>
        <v>0</v>
      </c>
      <c r="FV75" s="47">
        <f t="array" ref="FV75">IF(AND(ISNUMBER(MATCH(FV$2, AsistenciaJetAdminConcatenada!$A:$A, 0)), ISNUMBER(MATCH(FV$1, AsistenciaJetAdminConcatenada!$B:$B, 0)), ISNUMBER(SEARCH($A75,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ISNUMBER(SEARCH($A75, INDEX(AsistenciaJetAdminConcatenada!$D:$D, MATCH(1, (AsistenciaJetAdminConcatenada!$A:$A=FV$2)*(AsistenciaJetAdminConcatenada!$B:$B=FV$1), 0)), 1))),  0.5, 0))</f>
        <v>0</v>
      </c>
      <c r="FW75" s="47">
        <f t="array" ref="FW75">IF(AND(ISNUMBER(MATCH(FW$2, AsistenciaJetAdminConcatenada!$A:$A, 0)), ISNUMBER(MATCH(FW$1, AsistenciaJetAdminConcatenada!$B:$B, 0)), ISNUMBER(SEARCH($A75,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ISNUMBER(SEARCH($A75, INDEX(AsistenciaJetAdminConcatenada!$D:$D, MATCH(1, (AsistenciaJetAdminConcatenada!$A:$A=FW$2)*(AsistenciaJetAdminConcatenada!$B:$B=FW$1), 0)), 1))),  0.5, 0))</f>
        <v>0</v>
      </c>
      <c r="FX75" s="47">
        <f t="array" ref="FX75">IF(AND(ISNUMBER(MATCH(FX$2, AsistenciaJetAdminConcatenada!$A:$A, 0)), ISNUMBER(MATCH(FX$1, AsistenciaJetAdminConcatenada!$B:$B, 0)), ISNUMBER(SEARCH($A75,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ISNUMBER(SEARCH($A75, INDEX(AsistenciaJetAdminConcatenada!$D:$D, MATCH(1, (AsistenciaJetAdminConcatenada!$A:$A=FX$2)*(AsistenciaJetAdminConcatenada!$B:$B=FX$1), 0)), 1))),  0.5, 0))</f>
        <v>0</v>
      </c>
      <c r="FY75" s="47">
        <f t="array" ref="FY75">IF(AND(ISNUMBER(MATCH(FY$2, AsistenciaJetAdminConcatenada!$A:$A, 0)), ISNUMBER(MATCH(FY$1, AsistenciaJetAdminConcatenada!$B:$B, 0)), ISNUMBER(SEARCH($A75,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ISNUMBER(SEARCH($A75, INDEX(AsistenciaJetAdminConcatenada!$D:$D, MATCH(1, (AsistenciaJetAdminConcatenada!$A:$A=FY$2)*(AsistenciaJetAdminConcatenada!$B:$B=FY$1), 0)), 1))),  0.5, 0))</f>
        <v>0</v>
      </c>
      <c r="FZ75" s="47">
        <f t="array" ref="FZ75">IF(AND(ISNUMBER(MATCH(FZ$2, AsistenciaJetAdminConcatenada!$A:$A, 0)), ISNUMBER(MATCH(FZ$1, AsistenciaJetAdminConcatenada!$B:$B, 0)), ISNUMBER(SEARCH($A75,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ISNUMBER(SEARCH($A75, INDEX(AsistenciaJetAdminConcatenada!$D:$D, MATCH(1, (AsistenciaJetAdminConcatenada!$A:$A=FZ$2)*(AsistenciaJetAdminConcatenada!$B:$B=FZ$1), 0)), 1))),  0.5, 0))</f>
        <v>0</v>
      </c>
      <c r="GA75" s="47">
        <f t="array" ref="GA75">IF(AND(ISNUMBER(MATCH(GA$2, AsistenciaJetAdminConcatenada!$A:$A, 0)), ISNUMBER(MATCH(GA$1, AsistenciaJetAdminConcatenada!$B:$B, 0)), ISNUMBER(SEARCH($A75,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ISNUMBER(SEARCH($A75, INDEX(AsistenciaJetAdminConcatenada!$D:$D, MATCH(1, (AsistenciaJetAdminConcatenada!$A:$A=GA$2)*(AsistenciaJetAdminConcatenada!$B:$B=GA$1), 0)), 1))),  0.5, 0))</f>
        <v>0</v>
      </c>
      <c r="GB75" s="47">
        <f t="array" ref="GB75">IF(AND(ISNUMBER(MATCH(GB$2, AsistenciaJetAdminConcatenada!$A:$A, 0)), ISNUMBER(MATCH(GB$1, AsistenciaJetAdminConcatenada!$B:$B, 0)), ISNUMBER(SEARCH($A75,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ISNUMBER(SEARCH($A75, INDEX(AsistenciaJetAdminConcatenada!$D:$D, MATCH(1, (AsistenciaJetAdminConcatenada!$A:$A=GB$2)*(AsistenciaJetAdminConcatenada!$B:$B=GB$1), 0)), 1))),  0.5, 0))</f>
        <v>0</v>
      </c>
      <c r="GC75" s="47">
        <f t="array" ref="GC75">IF(AND(ISNUMBER(MATCH(GC$2, AsistenciaJetAdminConcatenada!$A:$A, 0)), ISNUMBER(MATCH(GC$1, AsistenciaJetAdminConcatenada!$B:$B, 0)), ISNUMBER(SEARCH($A75,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ISNUMBER(SEARCH($A75, INDEX(AsistenciaJetAdminConcatenada!$D:$D, MATCH(1, (AsistenciaJetAdminConcatenada!$A:$A=GC$2)*(AsistenciaJetAdminConcatenada!$B:$B=GC$1), 0)), 1))),  0.5, 0))</f>
        <v>0</v>
      </c>
      <c r="GD75" s="47">
        <f t="array" ref="GD75">IF(AND(ISNUMBER(MATCH(GD$2, AsistenciaJetAdminConcatenada!$A:$A, 0)), ISNUMBER(MATCH(GD$1, AsistenciaJetAdminConcatenada!$B:$B, 0)), ISNUMBER(SEARCH($A75,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ISNUMBER(SEARCH($A75, INDEX(AsistenciaJetAdminConcatenada!$D:$D, MATCH(1, (AsistenciaJetAdminConcatenada!$A:$A=GD$2)*(AsistenciaJetAdminConcatenada!$B:$B=GD$1), 0)), 1))),  0.5, 0))</f>
        <v>0</v>
      </c>
      <c r="GE75" s="47">
        <f t="array" ref="GE75">IF(AND(ISNUMBER(MATCH(GE$2, AsistenciaJetAdminConcatenada!$A:$A, 0)), ISNUMBER(MATCH(GE$1, AsistenciaJetAdminConcatenada!$B:$B, 0)), ISNUMBER(SEARCH($A75,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ISNUMBER(SEARCH($A75, INDEX(AsistenciaJetAdminConcatenada!$D:$D, MATCH(1, (AsistenciaJetAdminConcatenada!$A:$A=GE$2)*(AsistenciaJetAdminConcatenada!$B:$B=GE$1), 0)), 1))),  0.5, 0))</f>
        <v>0</v>
      </c>
      <c r="GF75" s="47">
        <f t="array" ref="GF75">IF(AND(ISNUMBER(MATCH(GF$2, AsistenciaJetAdminConcatenada!$A:$A, 0)), ISNUMBER(MATCH(GF$1, AsistenciaJetAdminConcatenada!$B:$B, 0)), ISNUMBER(SEARCH($A75,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ISNUMBER(SEARCH($A75, INDEX(AsistenciaJetAdminConcatenada!$D:$D, MATCH(1, (AsistenciaJetAdminConcatenada!$A:$A=GF$2)*(AsistenciaJetAdminConcatenada!$B:$B=GF$1), 0)), 1))),  0.5, 0))</f>
        <v>0</v>
      </c>
      <c r="GG75" s="47">
        <f t="array" ref="GG75">IF(AND(ISNUMBER(MATCH(GG$2, AsistenciaJetAdminConcatenada!$A:$A, 0)), ISNUMBER(MATCH(GG$1, AsistenciaJetAdminConcatenada!$B:$B, 0)), ISNUMBER(SEARCH($A75,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ISNUMBER(SEARCH($A75, INDEX(AsistenciaJetAdminConcatenada!$D:$D, MATCH(1, (AsistenciaJetAdminConcatenada!$A:$A=GG$2)*(AsistenciaJetAdminConcatenada!$B:$B=GG$1), 0)), 1))),  0.5, 0))</f>
        <v>0</v>
      </c>
      <c r="GH75" s="47">
        <f t="array" ref="GH75">IF(AND(ISNUMBER(MATCH(GH$2, AsistenciaJetAdminConcatenada!$A:$A, 0)), ISNUMBER(MATCH(GH$1, AsistenciaJetAdminConcatenada!$B:$B, 0)), ISNUMBER(SEARCH($A75,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ISNUMBER(SEARCH($A75, INDEX(AsistenciaJetAdminConcatenada!$D:$D, MATCH(1, (AsistenciaJetAdminConcatenada!$A:$A=GH$2)*(AsistenciaJetAdminConcatenada!$B:$B=GH$1), 0)), 1))),  0.5, 0))</f>
        <v>0</v>
      </c>
      <c r="GI75" s="47">
        <f t="array" ref="GI75">IF(AND(ISNUMBER(MATCH(GI$2, AsistenciaJetAdminConcatenada!$A:$A, 0)), ISNUMBER(MATCH(GI$1, AsistenciaJetAdminConcatenada!$B:$B, 0)), ISNUMBER(SEARCH($A75,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ISNUMBER(SEARCH($A75, INDEX(AsistenciaJetAdminConcatenada!$D:$D, MATCH(1, (AsistenciaJetAdminConcatenada!$A:$A=GI$2)*(AsistenciaJetAdminConcatenada!$B:$B=GI$1), 0)), 1))),  0.5, 0))</f>
        <v>0</v>
      </c>
      <c r="GJ75" s="47">
        <f t="array" ref="GJ75">IF(AND(ISNUMBER(MATCH(GJ$2, AsistenciaJetAdminConcatenada!$A:$A, 0)), ISNUMBER(MATCH(GJ$1, AsistenciaJetAdminConcatenada!$B:$B, 0)), ISNUMBER(SEARCH($A75,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ISNUMBER(SEARCH($A75, INDEX(AsistenciaJetAdminConcatenada!$D:$D, MATCH(1, (AsistenciaJetAdminConcatenada!$A:$A=GJ$2)*(AsistenciaJetAdminConcatenada!$B:$B=GJ$1), 0)), 1))),  0.5, 0))</f>
        <v>0</v>
      </c>
      <c r="GK75" s="47">
        <f t="array" ref="GK75">IF(AND(ISNUMBER(MATCH(GK$2, AsistenciaJetAdminConcatenada!$A:$A, 0)), ISNUMBER(MATCH(GK$1, AsistenciaJetAdminConcatenada!$B:$B, 0)), ISNUMBER(SEARCH($A75,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ISNUMBER(SEARCH($A75, INDEX(AsistenciaJetAdminConcatenada!$D:$D, MATCH(1, (AsistenciaJetAdminConcatenada!$A:$A=GK$2)*(AsistenciaJetAdminConcatenada!$B:$B=GK$1), 0)), 1))),  0.5, 0))</f>
        <v>0</v>
      </c>
      <c r="GL75" s="47">
        <f t="array" ref="GL75">IF(AND(ISNUMBER(MATCH(GL$2, AsistenciaJetAdminConcatenada!$A:$A, 0)), ISNUMBER(MATCH(GL$1, AsistenciaJetAdminConcatenada!$B:$B, 0)), ISNUMBER(SEARCH($A75,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ISNUMBER(SEARCH($A75, INDEX(AsistenciaJetAdminConcatenada!$D:$D, MATCH(1, (AsistenciaJetAdminConcatenada!$A:$A=GL$2)*(AsistenciaJetAdminConcatenada!$B:$B=GL$1), 0)), 1))),  0.5, 0))</f>
        <v>0</v>
      </c>
      <c r="GM75" s="47">
        <f t="array" ref="GM75">IF(AND(ISNUMBER(MATCH(GM$2, AsistenciaJetAdminConcatenada!$A:$A, 0)), ISNUMBER(MATCH(GM$1, AsistenciaJetAdminConcatenada!$B:$B, 0)), ISNUMBER(SEARCH($A75,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ISNUMBER(SEARCH($A75, INDEX(AsistenciaJetAdminConcatenada!$D:$D, MATCH(1, (AsistenciaJetAdminConcatenada!$A:$A=GM$2)*(AsistenciaJetAdminConcatenada!$B:$B=GM$1), 0)), 1))),  0.5, 0))</f>
        <v>0</v>
      </c>
      <c r="GN75" s="47">
        <f t="array" ref="GN75">IF(AND(ISNUMBER(MATCH(GN$2, AsistenciaJetAdminConcatenada!$A:$A, 0)), ISNUMBER(MATCH(GN$1, AsistenciaJetAdminConcatenada!$B:$B, 0)), ISNUMBER(SEARCH($A75,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ISNUMBER(SEARCH($A75, INDEX(AsistenciaJetAdminConcatenada!$D:$D, MATCH(1, (AsistenciaJetAdminConcatenada!$A:$A=GN$2)*(AsistenciaJetAdminConcatenada!$B:$B=GN$1), 0)), 1))),  0.5, 0))</f>
        <v>0</v>
      </c>
      <c r="GO75" s="47">
        <f t="array" ref="GO75">IF(AND(ISNUMBER(MATCH(GO$2, AsistenciaJetAdminConcatenada!$A:$A, 0)), ISNUMBER(MATCH(GO$1, AsistenciaJetAdminConcatenada!$B:$B, 0)), ISNUMBER(SEARCH($A75,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ISNUMBER(SEARCH($A75, INDEX(AsistenciaJetAdminConcatenada!$D:$D, MATCH(1, (AsistenciaJetAdminConcatenada!$A:$A=GO$2)*(AsistenciaJetAdminConcatenada!$B:$B=GO$1), 0)), 1))),  0.5, 0))</f>
        <v>0</v>
      </c>
      <c r="GP75" s="47">
        <f t="array" ref="GP75">IF(AND(ISNUMBER(MATCH(GP$2, AsistenciaJetAdminConcatenada!$A:$A, 0)), ISNUMBER(MATCH(GP$1, AsistenciaJetAdminConcatenada!$B:$B, 0)), ISNUMBER(SEARCH($A75,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ISNUMBER(SEARCH($A75, INDEX(AsistenciaJetAdminConcatenada!$D:$D, MATCH(1, (AsistenciaJetAdminConcatenada!$A:$A=GP$2)*(AsistenciaJetAdminConcatenada!$B:$B=GP$1), 0)), 1))),  0.5, 0))</f>
        <v>0</v>
      </c>
      <c r="GQ75" s="47">
        <f t="array" ref="GQ75">IF(AND(ISNUMBER(MATCH(GQ$2, AsistenciaJetAdminConcatenada!$A:$A, 0)), ISNUMBER(MATCH(GQ$1, AsistenciaJetAdminConcatenada!$B:$B, 0)), ISNUMBER(SEARCH($A75,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ISNUMBER(SEARCH($A75, INDEX(AsistenciaJetAdminConcatenada!$D:$D, MATCH(1, (AsistenciaJetAdminConcatenada!$A:$A=GQ$2)*(AsistenciaJetAdminConcatenada!$B:$B=GQ$1), 0)), 1))),  0.5, 0))</f>
        <v>0</v>
      </c>
      <c r="GR75" s="47">
        <f t="array" ref="GR75">IF(AND(ISNUMBER(MATCH(GR$2, AsistenciaJetAdminConcatenada!$A:$A, 0)), ISNUMBER(MATCH(GR$1, AsistenciaJetAdminConcatenada!$B:$B, 0)), ISNUMBER(SEARCH($A75,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ISNUMBER(SEARCH($A75, INDEX(AsistenciaJetAdminConcatenada!$D:$D, MATCH(1, (AsistenciaJetAdminConcatenada!$A:$A=GR$2)*(AsistenciaJetAdminConcatenada!$B:$B=GR$1), 0)), 1))),  0.5, 0))</f>
        <v>0</v>
      </c>
      <c r="GS75" s="47">
        <f t="array" ref="GS75">IF(AND(ISNUMBER(MATCH(GS$2, AsistenciaJetAdminConcatenada!$A:$A, 0)), ISNUMBER(MATCH(GS$1, AsistenciaJetAdminConcatenada!$B:$B, 0)), ISNUMBER(SEARCH($A75,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ISNUMBER(SEARCH($A75, INDEX(AsistenciaJetAdminConcatenada!$D:$D, MATCH(1, (AsistenciaJetAdminConcatenada!$A:$A=GS$2)*(AsistenciaJetAdminConcatenada!$B:$B=GS$1), 0)), 1))),  0.5, 0))</f>
        <v>0</v>
      </c>
      <c r="GT75" s="47">
        <f t="array" ref="GT75">IF(AND(ISNUMBER(MATCH(GT$2, AsistenciaJetAdminConcatenada!$A:$A, 0)), ISNUMBER(MATCH(GT$1, AsistenciaJetAdminConcatenada!$B:$B, 0)), ISNUMBER(SEARCH($A75,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ISNUMBER(SEARCH($A75, INDEX(AsistenciaJetAdminConcatenada!$D:$D, MATCH(1, (AsistenciaJetAdminConcatenada!$A:$A=GT$2)*(AsistenciaJetAdminConcatenada!$B:$B=GT$1), 0)), 1))),  0.5, 0))</f>
        <v>0</v>
      </c>
      <c r="GU75" s="47">
        <f t="array" ref="GU75">IF(AND(ISNUMBER(MATCH(GU$2, AsistenciaJetAdminConcatenada!$A:$A, 0)), ISNUMBER(MATCH(GU$1, AsistenciaJetAdminConcatenada!$B:$B, 0)), ISNUMBER(SEARCH($A75,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ISNUMBER(SEARCH($A75, INDEX(AsistenciaJetAdminConcatenada!$D:$D, MATCH(1, (AsistenciaJetAdminConcatenada!$A:$A=GU$2)*(AsistenciaJetAdminConcatenada!$B:$B=GU$1), 0)), 1))),  0.5, 0))</f>
        <v>0</v>
      </c>
      <c r="GV75" s="47">
        <f t="array" ref="GV75">IF(AND(ISNUMBER(MATCH(GV$2, AsistenciaJetAdminConcatenada!$A:$A, 0)), ISNUMBER(MATCH(GV$1, AsistenciaJetAdminConcatenada!$B:$B, 0)), ISNUMBER(SEARCH($A75,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ISNUMBER(SEARCH($A75, INDEX(AsistenciaJetAdminConcatenada!$D:$D, MATCH(1, (AsistenciaJetAdminConcatenada!$A:$A=GV$2)*(AsistenciaJetAdminConcatenada!$B:$B=GV$1), 0)), 1))),  0.5, 0))</f>
        <v>0</v>
      </c>
      <c r="GW75" s="47">
        <f t="array" ref="GW75">IF(AND(ISNUMBER(MATCH(GW$2, AsistenciaJetAdminConcatenada!$A:$A, 0)), ISNUMBER(MATCH(GW$1, AsistenciaJetAdminConcatenada!$B:$B, 0)), ISNUMBER(SEARCH($A75,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ISNUMBER(SEARCH($A75, INDEX(AsistenciaJetAdminConcatenada!$D:$D, MATCH(1, (AsistenciaJetAdminConcatenada!$A:$A=GW$2)*(AsistenciaJetAdminConcatenada!$B:$B=GW$1), 0)), 1))),  0.5, 0))</f>
        <v>0</v>
      </c>
      <c r="GX75" s="47">
        <f t="array" ref="GX75">IF(AND(ISNUMBER(MATCH(GX$2, AsistenciaJetAdminConcatenada!$A:$A, 0)), ISNUMBER(MATCH(GX$1, AsistenciaJetAdminConcatenada!$B:$B, 0)), ISNUMBER(SEARCH($A75,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ISNUMBER(SEARCH($A75, INDEX(AsistenciaJetAdminConcatenada!$D:$D, MATCH(1, (AsistenciaJetAdminConcatenada!$A:$A=GX$2)*(AsistenciaJetAdminConcatenada!$B:$B=GX$1), 0)), 1))),  0.5, 0))</f>
        <v>0</v>
      </c>
      <c r="GY75" s="47">
        <f t="array" ref="GY75">IF(AND(ISNUMBER(MATCH(GY$2, AsistenciaJetAdminConcatenada!$A:$A, 0)), ISNUMBER(MATCH(GY$1, AsistenciaJetAdminConcatenada!$B:$B, 0)), ISNUMBER(SEARCH($A75,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ISNUMBER(SEARCH($A75, INDEX(AsistenciaJetAdminConcatenada!$D:$D, MATCH(1, (AsistenciaJetAdminConcatenada!$A:$A=GY$2)*(AsistenciaJetAdminConcatenada!$B:$B=GY$1), 0)), 1))),  0.5, 0))</f>
        <v>0</v>
      </c>
      <c r="GZ75" s="47">
        <f t="array" ref="GZ75">IF(AND(ISNUMBER(MATCH(GZ$2, AsistenciaJetAdminConcatenada!$A:$A, 0)), ISNUMBER(MATCH(GZ$1, AsistenciaJetAdminConcatenada!$B:$B, 0)), ISNUMBER(SEARCH($A75,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ISNUMBER(SEARCH($A75, INDEX(AsistenciaJetAdminConcatenada!$D:$D, MATCH(1, (AsistenciaJetAdminConcatenada!$A:$A=GZ$2)*(AsistenciaJetAdminConcatenada!$B:$B=GZ$1), 0)), 1))),  0.5, 0))</f>
        <v>0</v>
      </c>
      <c r="HA75" s="47">
        <f t="array" ref="HA75">IF(AND(ISNUMBER(MATCH(HA$2, AsistenciaJetAdminConcatenada!$A:$A, 0)), ISNUMBER(MATCH(HA$1, AsistenciaJetAdminConcatenada!$B:$B, 0)), ISNUMBER(SEARCH($A75,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ISNUMBER(SEARCH($A75, INDEX(AsistenciaJetAdminConcatenada!$D:$D, MATCH(1, (AsistenciaJetAdminConcatenada!$A:$A=HA$2)*(AsistenciaJetAdminConcatenada!$B:$B=HA$1), 0)), 1))),  0.5, 0))</f>
        <v>0</v>
      </c>
      <c r="HB75" s="47">
        <f t="array" ref="HB75">IF(AND(ISNUMBER(MATCH(HB$2, AsistenciaJetAdminConcatenada!$A:$A, 0)), ISNUMBER(MATCH(HB$1, AsistenciaJetAdminConcatenada!$B:$B, 0)), ISNUMBER(SEARCH($A75,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ISNUMBER(SEARCH($A75, INDEX(AsistenciaJetAdminConcatenada!$D:$D, MATCH(1, (AsistenciaJetAdminConcatenada!$A:$A=HB$2)*(AsistenciaJetAdminConcatenada!$B:$B=HB$1), 0)), 1))),  0.5, 0))</f>
        <v>0</v>
      </c>
      <c r="HC75" s="47">
        <f t="array" ref="HC75">IF(AND(ISNUMBER(MATCH(HC$2, AsistenciaJetAdminConcatenada!$A:$A, 0)), ISNUMBER(MATCH(HC$1, AsistenciaJetAdminConcatenada!$B:$B, 0)), ISNUMBER(SEARCH($A75,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ISNUMBER(SEARCH($A75, INDEX(AsistenciaJetAdminConcatenada!$D:$D, MATCH(1, (AsistenciaJetAdminConcatenada!$A:$A=HC$2)*(AsistenciaJetAdminConcatenada!$B:$B=HC$1), 0)), 1))),  0.5, 0))</f>
        <v>0</v>
      </c>
    </row>
    <row r="76" ht="29.25" customHeight="1">
      <c r="A76" s="3">
        <v>205.0</v>
      </c>
      <c r="B76" s="4" t="s">
        <v>211</v>
      </c>
      <c r="C76" s="47">
        <f>SUM(D76:HC76) + ActividadesEspeciales!C76</f>
        <v>75.5</v>
      </c>
      <c r="D76" s="47">
        <f t="array" ref="D76">IF(AND(ISNUMBER(MATCH(D$2, AsistenciaJetAdminConcatenada!$A:$A, 0)), ISNUMBER(MATCH(D$1, AsistenciaJetAdminConcatenada!$B:$B, 0)), ISNUMBER(SEARCH($A76,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ISNUMBER(SEARCH($A76, INDEX(AsistenciaJetAdminConcatenada!$D:$D, MATCH(1, (AsistenciaJetAdminConcatenada!$A:$A=D$2)*(AsistenciaJetAdminConcatenada!$B:$B=D$1), 0)), 1))),  0.5, 0))</f>
        <v>1</v>
      </c>
      <c r="E76" s="47">
        <f t="array" ref="E76">IF(AND(ISNUMBER(MATCH(E$2, AsistenciaJetAdminConcatenada!$A:$A, 0)), ISNUMBER(MATCH(E$1, AsistenciaJetAdminConcatenada!$B:$B, 0)), ISNUMBER(SEARCH($A76,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ISNUMBER(SEARCH($A76, INDEX(AsistenciaJetAdminConcatenada!$D:$D, MATCH(1, (AsistenciaJetAdminConcatenada!$A:$A=E$2)*(AsistenciaJetAdminConcatenada!$B:$B=E$1), 0)), 1))),  0.5, 0))</f>
        <v>1</v>
      </c>
      <c r="F76" s="47">
        <f t="array" ref="F76">IF(AND(ISNUMBER(MATCH(F$2, AsistenciaJetAdminConcatenada!$A:$A, 0)), ISNUMBER(MATCH(F$1, AsistenciaJetAdminConcatenada!$B:$B, 0)), ISNUMBER(SEARCH($A76,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ISNUMBER(SEARCH($A76, INDEX(AsistenciaJetAdminConcatenada!$D:$D, MATCH(1, (AsistenciaJetAdminConcatenada!$A:$A=F$2)*(AsistenciaJetAdminConcatenada!$B:$B=F$1), 0)), 1))),  0.5, 0))</f>
        <v>1</v>
      </c>
      <c r="G76" s="47">
        <f t="array" ref="G76">IF(AND(ISNUMBER(MATCH(G$2, AsistenciaJetAdminConcatenada!$A:$A, 0)), ISNUMBER(MATCH(G$1, AsistenciaJetAdminConcatenada!$B:$B, 0)), ISNUMBER(SEARCH($A76,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ISNUMBER(SEARCH($A76, INDEX(AsistenciaJetAdminConcatenada!$D:$D, MATCH(1, (AsistenciaJetAdminConcatenada!$A:$A=G$2)*(AsistenciaJetAdminConcatenada!$B:$B=G$1), 0)), 1))),  0.5, 0))</f>
        <v>0.5</v>
      </c>
      <c r="H76" s="47">
        <f t="array" ref="H76">IF(AND(ISNUMBER(MATCH(H$2, AsistenciaJetAdminConcatenada!$A:$A, 0)), ISNUMBER(MATCH(H$1, AsistenciaJetAdminConcatenada!$B:$B, 0)), ISNUMBER(SEARCH($A76,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ISNUMBER(SEARCH($A76, INDEX(AsistenciaJetAdminConcatenada!$D:$D, MATCH(1, (AsistenciaJetAdminConcatenada!$A:$A=H$2)*(AsistenciaJetAdminConcatenada!$B:$B=H$1), 0)), 1))),  0.5, 0))</f>
        <v>1</v>
      </c>
      <c r="I76" s="47">
        <f t="array" ref="I76">IF(AND(ISNUMBER(MATCH(I$2, AsistenciaJetAdminConcatenada!$A:$A, 0)), ISNUMBER(MATCH(I$1, AsistenciaJetAdminConcatenada!$B:$B, 0)), ISNUMBER(SEARCH($A76,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ISNUMBER(SEARCH($A76, INDEX(AsistenciaJetAdminConcatenada!$D:$D, MATCH(1, (AsistenciaJetAdminConcatenada!$A:$A=I$2)*(AsistenciaJetAdminConcatenada!$B:$B=I$1), 0)), 1))),  0.5, 0))</f>
        <v>1</v>
      </c>
      <c r="J76" s="47">
        <f t="array" ref="J76">IF(AND(ISNUMBER(MATCH(J$2, AsistenciaJetAdminConcatenada!$A:$A, 0)), ISNUMBER(MATCH(J$1, AsistenciaJetAdminConcatenada!$B:$B, 0)), ISNUMBER(SEARCH($A76,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ISNUMBER(SEARCH($A76, INDEX(AsistenciaJetAdminConcatenada!$D:$D, MATCH(1, (AsistenciaJetAdminConcatenada!$A:$A=J$2)*(AsistenciaJetAdminConcatenada!$B:$B=J$1), 0)), 1))),  0.5, 0))</f>
        <v>1</v>
      </c>
      <c r="K76" s="47">
        <f t="array" ref="K76">IF(AND(ISNUMBER(MATCH(K$2, AsistenciaJetAdminConcatenada!$A:$A, 0)), ISNUMBER(MATCH(K$1, AsistenciaJetAdminConcatenada!$B:$B, 0)), ISNUMBER(SEARCH($A76,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ISNUMBER(SEARCH($A76, INDEX(AsistenciaJetAdminConcatenada!$D:$D, MATCH(1, (AsistenciaJetAdminConcatenada!$A:$A=K$2)*(AsistenciaJetAdminConcatenada!$B:$B=K$1), 0)), 1))),  0.5, 0))</f>
        <v>1</v>
      </c>
      <c r="L76" s="47">
        <f t="array" ref="L76">IF(AND(ISNUMBER(MATCH(L$2, AsistenciaJetAdminConcatenada!$A:$A, 0)), ISNUMBER(MATCH(L$1, AsistenciaJetAdminConcatenada!$B:$B, 0)), ISNUMBER(SEARCH($A76,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ISNUMBER(SEARCH($A76, INDEX(AsistenciaJetAdminConcatenada!$D:$D, MATCH(1, (AsistenciaJetAdminConcatenada!$A:$A=L$2)*(AsistenciaJetAdminConcatenada!$B:$B=L$1), 0)), 1))),  0.5, 0))</f>
        <v>1</v>
      </c>
      <c r="M76" s="47">
        <f t="array" ref="M76">IF(AND(ISNUMBER(MATCH(M$2, AsistenciaJetAdminConcatenada!$A:$A, 0)), ISNUMBER(MATCH(M$1, AsistenciaJetAdminConcatenada!$B:$B, 0)), ISNUMBER(SEARCH($A76,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ISNUMBER(SEARCH($A76, INDEX(AsistenciaJetAdminConcatenada!$D:$D, MATCH(1, (AsistenciaJetAdminConcatenada!$A:$A=M$2)*(AsistenciaJetAdminConcatenada!$B:$B=M$1), 0)), 1))),  0.5, 0))</f>
        <v>1</v>
      </c>
      <c r="N76" s="47">
        <f t="array" ref="N76">IF(AND(ISNUMBER(MATCH(N$2, AsistenciaJetAdminConcatenada!$A:$A, 0)), ISNUMBER(MATCH(N$1, AsistenciaJetAdminConcatenada!$B:$B, 0)), ISNUMBER(SEARCH($A76,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ISNUMBER(SEARCH($A76, INDEX(AsistenciaJetAdminConcatenada!$D:$D, MATCH(1, (AsistenciaJetAdminConcatenada!$A:$A=N$2)*(AsistenciaJetAdminConcatenada!$B:$B=N$1), 0)), 1))),  0.5, 0))</f>
        <v>0</v>
      </c>
      <c r="O76" s="8">
        <v>1.0</v>
      </c>
      <c r="P76" s="47">
        <f t="array" ref="P76">IF(AND(ISNUMBER(MATCH(P$2, AsistenciaJetAdminConcatenada!$A:$A, 0)), ISNUMBER(MATCH(P$1, AsistenciaJetAdminConcatenada!$B:$B, 0)), ISNUMBER(SEARCH($A76, INDEX(AsistenciaJetAdminConcatenada!$C:$C, MATCH(1, (AsistenciaJetAdminConcatenada!$A:$A=P$2)*(AsistenciaJetAdminConcatenada!$B:$B=P$1), 0)), 1))), 1, IF(AND(ISNUMBER(MATCH(P$2, AsistenciaJetAdminConcatenada!$A:$A, 0)), ISNUMBER(MATCH(P$1, AsistenciaJetAdminConcatenada!$B:$B, 0)), ISNUMBER(SEARCH($A76, INDEX(AsistenciaJetAdminConcatenada!$D:$D, MATCH(1, (AsistenciaJetAdminConcatenada!$A:$A=P$2)*(AsistenciaJetAdminConcatenada!$B:$B=P$1), 0)), 1))),  0.5, 0))</f>
        <v>1</v>
      </c>
      <c r="Q76" s="47">
        <f t="array" ref="Q76">IF(AND(ISNUMBER(MATCH(Q$2, AsistenciaJetAdminConcatenada!$A:$A, 0)), ISNUMBER(MATCH(Q$1, AsistenciaJetAdminConcatenada!$B:$B, 0)), ISNUMBER(SEARCH($A76, INDEX(AsistenciaJetAdminConcatenada!$C:$C, MATCH(1, (AsistenciaJetAdminConcatenada!$A:$A=Q$2)*(AsistenciaJetAdminConcatenada!$B:$B=Q$1), 0)), 1))), 1, IF(AND(ISNUMBER(MATCH(Q$2, AsistenciaJetAdminConcatenada!$A:$A, 0)), ISNUMBER(MATCH(Q$1, AsistenciaJetAdminConcatenada!$B:$B, 0)), ISNUMBER(SEARCH($A76, INDEX(AsistenciaJetAdminConcatenada!$D:$D, MATCH(1, (AsistenciaJetAdminConcatenada!$A:$A=Q$2)*(AsistenciaJetAdminConcatenada!$B:$B=Q$1), 0)), 1))),  0.5, 0))</f>
        <v>1</v>
      </c>
      <c r="R76" s="47">
        <f t="array" ref="R76">IF(AND(ISNUMBER(MATCH(R$2, AsistenciaJetAdminConcatenada!$A:$A, 0)), ISNUMBER(MATCH(R$1, AsistenciaJetAdminConcatenada!$B:$B, 0)), ISNUMBER(SEARCH($A76,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ISNUMBER(SEARCH($A76, INDEX(AsistenciaJetAdminConcatenada!$D:$D, MATCH(1, (AsistenciaJetAdminConcatenada!$A:$A=R$2)*(AsistenciaJetAdminConcatenada!$B:$B=R$1), 0)), 1))),  0.5, 0))</f>
        <v>1</v>
      </c>
      <c r="S76" s="47">
        <f t="array" ref="S76">IF(AND(ISNUMBER(MATCH(S$2, AsistenciaJetAdminConcatenada!$A:$A, 0)), ISNUMBER(MATCH(S$1, AsistenciaJetAdminConcatenada!$B:$B, 0)), ISNUMBER(SEARCH($A76,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ISNUMBER(SEARCH($A76, INDEX(AsistenciaJetAdminConcatenada!$D:$D, MATCH(1, (AsistenciaJetAdminConcatenada!$A:$A=S$2)*(AsistenciaJetAdminConcatenada!$B:$B=S$1), 0)), 1))),  0.5, 0))</f>
        <v>1</v>
      </c>
      <c r="T76" s="47">
        <f t="array" ref="T76">IF(AND(ISNUMBER(MATCH(T$2, AsistenciaJetAdminConcatenada!$A:$A, 0)), ISNUMBER(MATCH(T$1, AsistenciaJetAdminConcatenada!$B:$B, 0)), ISNUMBER(SEARCH($A76,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ISNUMBER(SEARCH($A76, INDEX(AsistenciaJetAdminConcatenada!$D:$D, MATCH(1, (AsistenciaJetAdminConcatenada!$A:$A=T$2)*(AsistenciaJetAdminConcatenada!$B:$B=T$1), 0)), 1))),  0.5, 0))</f>
        <v>0</v>
      </c>
      <c r="U76" s="47">
        <f t="array" ref="U76">IF(AND(ISNUMBER(MATCH(U$2, AsistenciaJetAdminConcatenada!$A:$A, 0)), ISNUMBER(MATCH(U$1, AsistenciaJetAdminConcatenada!$B:$B, 0)), ISNUMBER(SEARCH($A76,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ISNUMBER(SEARCH($A76, INDEX(AsistenciaJetAdminConcatenada!$D:$D, MATCH(1, (AsistenciaJetAdminConcatenada!$A:$A=U$2)*(AsistenciaJetAdminConcatenada!$B:$B=U$1), 0)), 1))),  0.5, 0))</f>
        <v>1</v>
      </c>
      <c r="V76" s="47">
        <f t="array" ref="V76">IF(AND(ISNUMBER(MATCH(V$2, AsistenciaJetAdminConcatenada!$A:$A, 0)), ISNUMBER(MATCH(V$1, AsistenciaJetAdminConcatenada!$B:$B, 0)), ISNUMBER(SEARCH($A76,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ISNUMBER(SEARCH($A76, INDEX(AsistenciaJetAdminConcatenada!$D:$D, MATCH(1, (AsistenciaJetAdminConcatenada!$A:$A=V$2)*(AsistenciaJetAdminConcatenada!$B:$B=V$1), 0)), 1))),  0.5, 0))</f>
        <v>1</v>
      </c>
      <c r="W76" s="47">
        <f t="array" ref="W76">IF(AND(ISNUMBER(MATCH(W$2, AsistenciaJetAdminConcatenada!$A:$A, 0)), ISNUMBER(MATCH(W$1, AsistenciaJetAdminConcatenada!$B:$B, 0)), ISNUMBER(SEARCH($A76,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ISNUMBER(SEARCH($A76, INDEX(AsistenciaJetAdminConcatenada!$D:$D, MATCH(1, (AsistenciaJetAdminConcatenada!$A:$A=W$2)*(AsistenciaJetAdminConcatenada!$B:$B=W$1), 0)), 1))),  0.5, 0))</f>
        <v>1</v>
      </c>
      <c r="X76" s="47">
        <f t="array" ref="X76">IF(AND(ISNUMBER(MATCH(X$2, AsistenciaJetAdminConcatenada!$A:$A, 0)), ISNUMBER(MATCH(X$1, AsistenciaJetAdminConcatenada!$B:$B, 0)), ISNUMBER(SEARCH($A76,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ISNUMBER(SEARCH($A76, INDEX(AsistenciaJetAdminConcatenada!$D:$D, MATCH(1, (AsistenciaJetAdminConcatenada!$A:$A=X$2)*(AsistenciaJetAdminConcatenada!$B:$B=X$1), 0)), 1))),  0.5, 0))</f>
        <v>0</v>
      </c>
      <c r="Y76" s="47">
        <f t="array" ref="Y76">IF(AND(ISNUMBER(MATCH(Y$2, AsistenciaJetAdminConcatenada!$A:$A, 0)), ISNUMBER(MATCH(Y$1, AsistenciaJetAdminConcatenada!$B:$B, 0)), ISNUMBER(SEARCH($A76,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ISNUMBER(SEARCH($A76, INDEX(AsistenciaJetAdminConcatenada!$D:$D, MATCH(1, (AsistenciaJetAdminConcatenada!$A:$A=Y$2)*(AsistenciaJetAdminConcatenada!$B:$B=Y$1), 0)), 1))),  0.5, 0))</f>
        <v>0</v>
      </c>
      <c r="Z76" s="47">
        <f t="array" ref="Z76">IF(AND(ISNUMBER(MATCH(Z$2, AsistenciaJetAdminConcatenada!$A:$A, 0)), ISNUMBER(MATCH(Z$1, AsistenciaJetAdminConcatenada!$B:$B, 0)), ISNUMBER(SEARCH($A76,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ISNUMBER(SEARCH($A76, INDEX(AsistenciaJetAdminConcatenada!$D:$D, MATCH(1, (AsistenciaJetAdminConcatenada!$A:$A=Z$2)*(AsistenciaJetAdminConcatenada!$B:$B=Z$1), 0)), 1))),  0.5, 0))</f>
        <v>1</v>
      </c>
      <c r="AA76" s="47">
        <f t="array" ref="AA76">IF(AND(ISNUMBER(MATCH(AA$2, AsistenciaJetAdminConcatenada!$A:$A, 0)), ISNUMBER(MATCH(AA$1, AsistenciaJetAdminConcatenada!$B:$B, 0)), ISNUMBER(SEARCH($A76,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ISNUMBER(SEARCH($A76, INDEX(AsistenciaJetAdminConcatenada!$D:$D, MATCH(1, (AsistenciaJetAdminConcatenada!$A:$A=AA$2)*(AsistenciaJetAdminConcatenada!$B:$B=AA$1), 0)), 1))),  0.5, 0))</f>
        <v>0</v>
      </c>
      <c r="AB76" s="47">
        <f t="array" ref="AB76">IF(AND(ISNUMBER(MATCH(AB$2, AsistenciaJetAdminConcatenada!$A:$A, 0)), ISNUMBER(MATCH(AB$1, AsistenciaJetAdminConcatenada!$B:$B, 0)), ISNUMBER(SEARCH($A76,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ISNUMBER(SEARCH($A76, INDEX(AsistenciaJetAdminConcatenada!$D:$D, MATCH(1, (AsistenciaJetAdminConcatenada!$A:$A=AB$2)*(AsistenciaJetAdminConcatenada!$B:$B=AB$1), 0)), 1))),  0.5, 0))</f>
        <v>1</v>
      </c>
      <c r="AC76" s="47">
        <f t="array" ref="AC76">IF(AND(ISNUMBER(MATCH(AC$2, AsistenciaJetAdminConcatenada!$A:$A, 0)), ISNUMBER(MATCH(AC$1, AsistenciaJetAdminConcatenada!$B:$B, 0)), ISNUMBER(SEARCH($A76,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ISNUMBER(SEARCH($A76, INDEX(AsistenciaJetAdminConcatenada!$D:$D, MATCH(1, (AsistenciaJetAdminConcatenada!$A:$A=AC$2)*(AsistenciaJetAdminConcatenada!$B:$B=AC$1), 0)), 1))),  0.5, 0))</f>
        <v>1</v>
      </c>
      <c r="AD76" s="47">
        <f t="array" ref="AD76">IF(AND(ISNUMBER(MATCH(AD$2, AsistenciaJetAdminConcatenada!$A:$A, 0)), ISNUMBER(MATCH(AD$1, AsistenciaJetAdminConcatenada!$B:$B, 0)), ISNUMBER(SEARCH($A76,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ISNUMBER(SEARCH($A76, INDEX(AsistenciaJetAdminConcatenada!$D:$D, MATCH(1, (AsistenciaJetAdminConcatenada!$A:$A=AD$2)*(AsistenciaJetAdminConcatenada!$B:$B=AD$1), 0)), 1))),  0.5, 0))</f>
        <v>1</v>
      </c>
      <c r="AE76" s="47">
        <f t="array" ref="AE76">IF(AND(ISNUMBER(MATCH(AE$2, AsistenciaJetAdminConcatenada!$A:$A, 0)), ISNUMBER(MATCH(AE$1, AsistenciaJetAdminConcatenada!$B:$B, 0)), ISNUMBER(SEARCH($A76,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ISNUMBER(SEARCH($A76, INDEX(AsistenciaJetAdminConcatenada!$D:$D, MATCH(1, (AsistenciaJetAdminConcatenada!$A:$A=AE$2)*(AsistenciaJetAdminConcatenada!$B:$B=AE$1), 0)), 1))),  0.5, 0))</f>
        <v>0</v>
      </c>
      <c r="AF76" s="47">
        <f t="array" ref="AF76">IF(AND(ISNUMBER(MATCH(AF$2, AsistenciaJetAdminConcatenada!$A:$A, 0)), ISNUMBER(MATCH(AF$1, AsistenciaJetAdminConcatenada!$B:$B, 0)), ISNUMBER(SEARCH($A76,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ISNUMBER(SEARCH($A76, INDEX(AsistenciaJetAdminConcatenada!$D:$D, MATCH(1, (AsistenciaJetAdminConcatenada!$A:$A=AF$2)*(AsistenciaJetAdminConcatenada!$B:$B=AF$1), 0)), 1))),  0.5, 0))</f>
        <v>1</v>
      </c>
      <c r="AG76" s="47">
        <f t="array" ref="AG76">IF(AND(ISNUMBER(MATCH(AG$2, AsistenciaJetAdminConcatenada!$A:$A, 0)), ISNUMBER(MATCH(AG$1, AsistenciaJetAdminConcatenada!$B:$B, 0)), ISNUMBER(SEARCH($A76,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ISNUMBER(SEARCH($A76, INDEX(AsistenciaJetAdminConcatenada!$D:$D, MATCH(1, (AsistenciaJetAdminConcatenada!$A:$A=AG$2)*(AsistenciaJetAdminConcatenada!$B:$B=AG$1), 0)), 1))),  0.5, 0))</f>
        <v>1</v>
      </c>
      <c r="AH76" s="47">
        <f t="array" ref="AH76">IF(AND(ISNUMBER(MATCH(AH$2, AsistenciaJetAdminConcatenada!$A:$A, 0)), ISNUMBER(MATCH(AH$1, AsistenciaJetAdminConcatenada!$B:$B, 0)), ISNUMBER(SEARCH($A76,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ISNUMBER(SEARCH($A76, INDEX(AsistenciaJetAdminConcatenada!$D:$D, MATCH(1, (AsistenciaJetAdminConcatenada!$A:$A=AH$2)*(AsistenciaJetAdminConcatenada!$B:$B=AH$1), 0)), 1))),  0.5, 0))</f>
        <v>0</v>
      </c>
      <c r="AI76" s="47">
        <f t="array" ref="AI76">IF(AND(ISNUMBER(MATCH(AI$2, AsistenciaJetAdminConcatenada!$A:$A, 0)), ISNUMBER(MATCH(AI$1, AsistenciaJetAdminConcatenada!$B:$B, 0)), ISNUMBER(SEARCH($A76,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ISNUMBER(SEARCH($A76, INDEX(AsistenciaJetAdminConcatenada!$D:$D, MATCH(1, (AsistenciaJetAdminConcatenada!$A:$A=AI$2)*(AsistenciaJetAdminConcatenada!$B:$B=AI$1), 0)), 1))),  0.5, 0))</f>
        <v>1</v>
      </c>
      <c r="AJ76" s="47">
        <f t="array" ref="AJ76">IF(AND(ISNUMBER(MATCH(AJ$2, AsistenciaJetAdminConcatenada!$A:$A, 0)), ISNUMBER(MATCH(AJ$1, AsistenciaJetAdminConcatenada!$B:$B, 0)), ISNUMBER(SEARCH($A76,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ISNUMBER(SEARCH($A76, INDEX(AsistenciaJetAdminConcatenada!$D:$D, MATCH(1, (AsistenciaJetAdminConcatenada!$A:$A=AJ$2)*(AsistenciaJetAdminConcatenada!$B:$B=AJ$1), 0)), 1))),  0.5, 0))</f>
        <v>1</v>
      </c>
      <c r="AK76" s="47">
        <f t="array" ref="AK76">IF(AND(ISNUMBER(MATCH(AK$2, AsistenciaJetAdminConcatenada!$A:$A, 0)), ISNUMBER(MATCH(AK$1, AsistenciaJetAdminConcatenada!$B:$B, 0)), ISNUMBER(SEARCH($A76,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ISNUMBER(SEARCH($A76, INDEX(AsistenciaJetAdminConcatenada!$D:$D, MATCH(1, (AsistenciaJetAdminConcatenada!$A:$A=AK$2)*(AsistenciaJetAdminConcatenada!$B:$B=AK$1), 0)), 1))),  0.5, 0))</f>
        <v>0</v>
      </c>
      <c r="AL76" s="47">
        <f t="array" ref="AL76">IF(AND(ISNUMBER(MATCH(AL$2, AsistenciaJetAdminConcatenada!$A:$A, 0)), ISNUMBER(MATCH(AL$1, AsistenciaJetAdminConcatenada!$B:$B, 0)), ISNUMBER(SEARCH($A76,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ISNUMBER(SEARCH($A76, INDEX(AsistenciaJetAdminConcatenada!$D:$D, MATCH(1, (AsistenciaJetAdminConcatenada!$A:$A=AL$2)*(AsistenciaJetAdminConcatenada!$B:$B=AL$1), 0)), 1))),  0.5, 0))</f>
        <v>1</v>
      </c>
      <c r="AM76" s="47">
        <f t="array" ref="AM76">IF(AND(ISNUMBER(MATCH(AM$2, AsistenciaJetAdminConcatenada!$A:$A, 0)), ISNUMBER(MATCH(AM$1, AsistenciaJetAdminConcatenada!$B:$B, 0)), ISNUMBER(SEARCH($A76,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ISNUMBER(SEARCH($A76, INDEX(AsistenciaJetAdminConcatenada!$D:$D, MATCH(1, (AsistenciaJetAdminConcatenada!$A:$A=AM$2)*(AsistenciaJetAdminConcatenada!$B:$B=AM$1), 0)), 1))),  0.5, 0))</f>
        <v>1</v>
      </c>
      <c r="AN76" s="47">
        <f t="array" ref="AN76">IF(AND(ISNUMBER(MATCH(AN$2, AsistenciaJetAdminConcatenada!$A:$A, 0)), ISNUMBER(MATCH(AN$1, AsistenciaJetAdminConcatenada!$B:$B, 0)), ISNUMBER(SEARCH($A76,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ISNUMBER(SEARCH($A76, INDEX(AsistenciaJetAdminConcatenada!$D:$D, MATCH(1, (AsistenciaJetAdminConcatenada!$A:$A=AN$2)*(AsistenciaJetAdminConcatenada!$B:$B=AN$1), 0)), 1))),  0.5, 0))</f>
        <v>1</v>
      </c>
      <c r="AO76" s="47">
        <f t="array" ref="AO76">IF(AND(ISNUMBER(MATCH(AO$2, AsistenciaJetAdminConcatenada!$A:$A, 0)), ISNUMBER(MATCH(AO$1, AsistenciaJetAdminConcatenada!$B:$B, 0)), ISNUMBER(SEARCH($A76,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ISNUMBER(SEARCH($A76, INDEX(AsistenciaJetAdminConcatenada!$D:$D, MATCH(1, (AsistenciaJetAdminConcatenada!$A:$A=AO$2)*(AsistenciaJetAdminConcatenada!$B:$B=AO$1), 0)), 1))),  0.5, 0))</f>
        <v>1</v>
      </c>
      <c r="AP76" s="47">
        <f t="array" ref="AP76">IF(AND(ISNUMBER(MATCH(AP$2, AsistenciaJetAdminConcatenada!$A:$A, 0)), ISNUMBER(MATCH(AP$1, AsistenciaJetAdminConcatenada!$B:$B, 0)), ISNUMBER(SEARCH($A76,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ISNUMBER(SEARCH($A76, INDEX(AsistenciaJetAdminConcatenada!$D:$D, MATCH(1, (AsistenciaJetAdminConcatenada!$A:$A=AP$2)*(AsistenciaJetAdminConcatenada!$B:$B=AP$1), 0)), 1))),  0.5, 0))</f>
        <v>1</v>
      </c>
      <c r="AQ76" s="47">
        <f t="array" ref="AQ76">IF(AND(ISNUMBER(MATCH(AQ$2, AsistenciaJetAdminConcatenada!$A:$A, 0)), ISNUMBER(MATCH(AQ$1, AsistenciaJetAdminConcatenada!$B:$B, 0)), ISNUMBER(SEARCH($A76,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ISNUMBER(SEARCH($A76, INDEX(AsistenciaJetAdminConcatenada!$D:$D, MATCH(1, (AsistenciaJetAdminConcatenada!$A:$A=AQ$2)*(AsistenciaJetAdminConcatenada!$B:$B=AQ$1), 0)), 1))),  0.5, 0))</f>
        <v>0</v>
      </c>
      <c r="AR76" s="47">
        <f t="array" ref="AR76">IF(AND(ISNUMBER(MATCH(AR$2, AsistenciaJetAdminConcatenada!$A:$A, 0)), ISNUMBER(MATCH(AR$1, AsistenciaJetAdminConcatenada!$B:$B, 0)), ISNUMBER(SEARCH($A76,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ISNUMBER(SEARCH($A76, INDEX(AsistenciaJetAdminConcatenada!$D:$D, MATCH(1, (AsistenciaJetAdminConcatenada!$A:$A=AR$2)*(AsistenciaJetAdminConcatenada!$B:$B=AR$1), 0)), 1))),  0.5, 0))</f>
        <v>0</v>
      </c>
      <c r="AS76" s="47">
        <f t="array" ref="AS76">IF(AND(ISNUMBER(MATCH(AS$2, AsistenciaJetAdminConcatenada!$A:$A, 0)), ISNUMBER(MATCH(AS$1, AsistenciaJetAdminConcatenada!$B:$B, 0)), ISNUMBER(SEARCH($A76,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ISNUMBER(SEARCH($A76, INDEX(AsistenciaJetAdminConcatenada!$D:$D, MATCH(1, (AsistenciaJetAdminConcatenada!$A:$A=AS$2)*(AsistenciaJetAdminConcatenada!$B:$B=AS$1), 0)), 1))),  0.5, 0))</f>
        <v>1</v>
      </c>
      <c r="AT76" s="47">
        <f t="array" ref="AT76">IF(AND(ISNUMBER(MATCH(AT$2, AsistenciaJetAdminConcatenada!$A:$A, 0)), ISNUMBER(MATCH(AT$1, AsistenciaJetAdminConcatenada!$B:$B, 0)), ISNUMBER(SEARCH($A76,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ISNUMBER(SEARCH($A76, INDEX(AsistenciaJetAdminConcatenada!$D:$D, MATCH(1, (AsistenciaJetAdminConcatenada!$A:$A=AT$2)*(AsistenciaJetAdminConcatenada!$B:$B=AT$1), 0)), 1))),  0.5, 0))</f>
        <v>0</v>
      </c>
      <c r="AU76" s="47">
        <f t="array" ref="AU76">IF(AND(ISNUMBER(MATCH(AU$2, AsistenciaJetAdminConcatenada!$A:$A, 0)), ISNUMBER(MATCH(AU$1, AsistenciaJetAdminConcatenada!$B:$B, 0)), ISNUMBER(SEARCH($A76,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ISNUMBER(SEARCH($A76, INDEX(AsistenciaJetAdminConcatenada!$D:$D, MATCH(1, (AsistenciaJetAdminConcatenada!$A:$A=AU$2)*(AsistenciaJetAdminConcatenada!$B:$B=AU$1), 0)), 1))),  0.5, 0))</f>
        <v>1</v>
      </c>
      <c r="AV76" s="47">
        <f t="array" ref="AV76">IF(AND(ISNUMBER(MATCH(AV$2, AsistenciaJetAdminConcatenada!$A:$A, 0)), ISNUMBER(MATCH(AV$1, AsistenciaJetAdminConcatenada!$B:$B, 0)), ISNUMBER(SEARCH($A76,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ISNUMBER(SEARCH($A76, INDEX(AsistenciaJetAdminConcatenada!$D:$D, MATCH(1, (AsistenciaJetAdminConcatenada!$A:$A=AV$2)*(AsistenciaJetAdminConcatenada!$B:$B=AV$1), 0)), 1))),  0.5, 0))</f>
        <v>1</v>
      </c>
      <c r="AW76" s="47">
        <f t="array" ref="AW76">IF(AND(ISNUMBER(MATCH(AW$2, AsistenciaJetAdminConcatenada!$A:$A, 0)), ISNUMBER(MATCH(AW$1, AsistenciaJetAdminConcatenada!$B:$B, 0)), ISNUMBER(SEARCH($A76,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ISNUMBER(SEARCH($A76, INDEX(AsistenciaJetAdminConcatenada!$D:$D, MATCH(1, (AsistenciaJetAdminConcatenada!$A:$A=AW$2)*(AsistenciaJetAdminConcatenada!$B:$B=AW$1), 0)), 1))),  0.5, 0))</f>
        <v>0</v>
      </c>
      <c r="AX76" s="47">
        <f t="array" ref="AX76">IF(AND(ISNUMBER(MATCH(AX$2, AsistenciaJetAdminConcatenada!$A:$A, 0)), ISNUMBER(MATCH(AX$1, AsistenciaJetAdminConcatenada!$B:$B, 0)), ISNUMBER(SEARCH($A76,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ISNUMBER(SEARCH($A76, INDEX(AsistenciaJetAdminConcatenada!$D:$D, MATCH(1, (AsistenciaJetAdminConcatenada!$A:$A=AX$2)*(AsistenciaJetAdminConcatenada!$B:$B=AX$1), 0)), 1))),  0.5, 0))</f>
        <v>1</v>
      </c>
      <c r="AY76" s="47">
        <f t="array" ref="AY76">IF(AND(ISNUMBER(MATCH(AY$2, AsistenciaJetAdminConcatenada!$A:$A, 0)), ISNUMBER(MATCH(AY$1, AsistenciaJetAdminConcatenada!$B:$B, 0)), ISNUMBER(SEARCH($A76,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ISNUMBER(SEARCH($A76, INDEX(AsistenciaJetAdminConcatenada!$D:$D, MATCH(1, (AsistenciaJetAdminConcatenada!$A:$A=AY$2)*(AsistenciaJetAdminConcatenada!$B:$B=AY$1), 0)), 1))),  0.5, 0))</f>
        <v>1</v>
      </c>
      <c r="AZ76" s="47">
        <f t="array" ref="AZ76">IF(AND(ISNUMBER(MATCH(AZ$2, AsistenciaJetAdminConcatenada!$A:$A, 0)), ISNUMBER(MATCH(AZ$1, AsistenciaJetAdminConcatenada!$B:$B, 0)), ISNUMBER(SEARCH($A76,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ISNUMBER(SEARCH($A76, INDEX(AsistenciaJetAdminConcatenada!$D:$D, MATCH(1, (AsistenciaJetAdminConcatenada!$A:$A=AZ$2)*(AsistenciaJetAdminConcatenada!$B:$B=AZ$1), 0)), 1))),  0.5, 0))</f>
        <v>1</v>
      </c>
      <c r="BA76" s="47">
        <f t="array" ref="BA76">IF(AND(ISNUMBER(MATCH(BA$2, AsistenciaJetAdminConcatenada!$A:$A, 0)), ISNUMBER(MATCH(BA$1, AsistenciaJetAdminConcatenada!$B:$B, 0)), ISNUMBER(SEARCH($A76,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ISNUMBER(SEARCH($A76, INDEX(AsistenciaJetAdminConcatenada!$D:$D, MATCH(1, (AsistenciaJetAdminConcatenada!$A:$A=BA$2)*(AsistenciaJetAdminConcatenada!$B:$B=BA$1), 0)), 1))),  0.5, 0))</f>
        <v>1</v>
      </c>
      <c r="BB76" s="47">
        <f t="array" ref="BB76">IF(AND(ISNUMBER(MATCH(BB$2, AsistenciaJetAdminConcatenada!$A:$A, 0)), ISNUMBER(MATCH(BB$1, AsistenciaJetAdminConcatenada!$B:$B, 0)), ISNUMBER(SEARCH($A76,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ISNUMBER(SEARCH($A76, INDEX(AsistenciaJetAdminConcatenada!$D:$D, MATCH(1, (AsistenciaJetAdminConcatenada!$A:$A=BB$2)*(AsistenciaJetAdminConcatenada!$B:$B=BB$1), 0)), 1))),  0.5, 0))</f>
        <v>0</v>
      </c>
      <c r="BC76" s="47">
        <f t="array" ref="BC76">IF(AND(ISNUMBER(MATCH(BC$2, AsistenciaJetAdminConcatenada!$A:$A, 0)), ISNUMBER(MATCH(BC$1, AsistenciaJetAdminConcatenada!$B:$B, 0)), ISNUMBER(SEARCH($A76,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ISNUMBER(SEARCH($A76, INDEX(AsistenciaJetAdminConcatenada!$D:$D, MATCH(1, (AsistenciaJetAdminConcatenada!$A:$A=BC$2)*(AsistenciaJetAdminConcatenada!$B:$B=BC$1), 0)), 1))),  0.5, 0))</f>
        <v>1</v>
      </c>
      <c r="BD76" s="47">
        <f t="array" ref="BD76">IF(AND(ISNUMBER(MATCH(BD$2, AsistenciaJetAdminConcatenada!$A:$A, 0)), ISNUMBER(MATCH(BD$1, AsistenciaJetAdminConcatenada!$B:$B, 0)), ISNUMBER(SEARCH($A76,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ISNUMBER(SEARCH($A76, INDEX(AsistenciaJetAdminConcatenada!$D:$D, MATCH(1, (AsistenciaJetAdminConcatenada!$A:$A=BD$2)*(AsistenciaJetAdminConcatenada!$B:$B=BD$1), 0)), 1))),  0.5, 0))</f>
        <v>1</v>
      </c>
      <c r="BE76" s="47">
        <f t="array" ref="BE76">IF(AND(ISNUMBER(MATCH(BE$2, AsistenciaJetAdminConcatenada!$A:$A, 0)), ISNUMBER(MATCH(BE$1, AsistenciaJetAdminConcatenada!$B:$B, 0)), ISNUMBER(SEARCH($A76,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ISNUMBER(SEARCH($A76, INDEX(AsistenciaJetAdminConcatenada!$D:$D, MATCH(1, (AsistenciaJetAdminConcatenada!$A:$A=BE$2)*(AsistenciaJetAdminConcatenada!$B:$B=BE$1), 0)), 1))),  0.5, 0))</f>
        <v>1</v>
      </c>
      <c r="BF76" s="47">
        <f t="array" ref="BF76">IF(AND(ISNUMBER(MATCH(BF$2, AsistenciaJetAdminConcatenada!$A:$A, 0)), ISNUMBER(MATCH(BF$1, AsistenciaJetAdminConcatenada!$B:$B, 0)), ISNUMBER(SEARCH($A76,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ISNUMBER(SEARCH($A76, INDEX(AsistenciaJetAdminConcatenada!$D:$D, MATCH(1, (AsistenciaJetAdminConcatenada!$A:$A=BF$2)*(AsistenciaJetAdminConcatenada!$B:$B=BF$1), 0)), 1))),  0.5, 0))</f>
        <v>1</v>
      </c>
      <c r="BG76" s="47">
        <f t="array" ref="BG76">IF(AND(ISNUMBER(MATCH(BG$2, AsistenciaJetAdminConcatenada!$A:$A, 0)), ISNUMBER(MATCH(BG$1, AsistenciaJetAdminConcatenada!$B:$B, 0)), ISNUMBER(SEARCH($A76,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ISNUMBER(SEARCH($A76, INDEX(AsistenciaJetAdminConcatenada!$D:$D, MATCH(1, (AsistenciaJetAdminConcatenada!$A:$A=BG$2)*(AsistenciaJetAdminConcatenada!$B:$B=BG$1), 0)), 1))),  0.5, 0))</f>
        <v>1</v>
      </c>
      <c r="BH76" s="47">
        <f t="array" ref="BH76">IF(AND(ISNUMBER(MATCH(BH$2, AsistenciaJetAdminConcatenada!$A:$A, 0)), ISNUMBER(MATCH(BH$1, AsistenciaJetAdminConcatenada!$B:$B, 0)), ISNUMBER(SEARCH($A76,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ISNUMBER(SEARCH($A76, INDEX(AsistenciaJetAdminConcatenada!$D:$D, MATCH(1, (AsistenciaJetAdminConcatenada!$A:$A=BH$2)*(AsistenciaJetAdminConcatenada!$B:$B=BH$1), 0)), 1))),  0.5, 0))</f>
        <v>1</v>
      </c>
      <c r="BI76" s="47">
        <f t="array" ref="BI76">IF(AND(ISNUMBER(MATCH(BI$2, AsistenciaJetAdminConcatenada!$A:$A, 0)), ISNUMBER(MATCH(BI$1, AsistenciaJetAdminConcatenada!$B:$B, 0)), ISNUMBER(SEARCH($A76,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ISNUMBER(SEARCH($A76, INDEX(AsistenciaJetAdminConcatenada!$D:$D, MATCH(1, (AsistenciaJetAdminConcatenada!$A:$A=BI$2)*(AsistenciaJetAdminConcatenada!$B:$B=BI$1), 0)), 1))),  0.5, 0))</f>
        <v>1</v>
      </c>
      <c r="BJ76" s="47">
        <f t="array" ref="BJ76">IF(AND(ISNUMBER(MATCH(BJ$2, AsistenciaJetAdminConcatenada!$A:$A, 0)), ISNUMBER(MATCH(BJ$1, AsistenciaJetAdminConcatenada!$B:$B, 0)), ISNUMBER(SEARCH($A76,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ISNUMBER(SEARCH($A76, INDEX(AsistenciaJetAdminConcatenada!$D:$D, MATCH(1, (AsistenciaJetAdminConcatenada!$A:$A=BJ$2)*(AsistenciaJetAdminConcatenada!$B:$B=BJ$1), 0)), 1))),  0.5, 0))</f>
        <v>1</v>
      </c>
      <c r="BK76" s="47">
        <f t="array" ref="BK76">IF(AND(ISNUMBER(MATCH(BK$2, AsistenciaJetAdminConcatenada!$A:$A, 0)), ISNUMBER(MATCH(BK$1, AsistenciaJetAdminConcatenada!$B:$B, 0)), ISNUMBER(SEARCH($A76,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ISNUMBER(SEARCH($A76, INDEX(AsistenciaJetAdminConcatenada!$D:$D, MATCH(1, (AsistenciaJetAdminConcatenada!$A:$A=BK$2)*(AsistenciaJetAdminConcatenada!$B:$B=BK$1), 0)), 1))),  0.5, 0))</f>
        <v>1</v>
      </c>
      <c r="BL76" s="47">
        <f t="array" ref="BL76">IF(AND(ISNUMBER(MATCH(BL$2, AsistenciaJetAdminConcatenada!$A:$A, 0)), ISNUMBER(MATCH(BL$1, AsistenciaJetAdminConcatenada!$B:$B, 0)), ISNUMBER(SEARCH($A76,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ISNUMBER(SEARCH($A76, INDEX(AsistenciaJetAdminConcatenada!$D:$D, MATCH(1, (AsistenciaJetAdminConcatenada!$A:$A=BL$2)*(AsistenciaJetAdminConcatenada!$B:$B=BL$1), 0)), 1))),  0.5, 0))</f>
        <v>1</v>
      </c>
      <c r="BM76" s="47">
        <f t="array" ref="BM76">IF(AND(ISNUMBER(MATCH(BM$2, AsistenciaJetAdminConcatenada!$A:$A, 0)), ISNUMBER(MATCH(BM$1, AsistenciaJetAdminConcatenada!$B:$B, 0)), ISNUMBER(SEARCH($A76,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ISNUMBER(SEARCH($A76, INDEX(AsistenciaJetAdminConcatenada!$D:$D, MATCH(1, (AsistenciaJetAdminConcatenada!$A:$A=BM$2)*(AsistenciaJetAdminConcatenada!$B:$B=BM$1), 0)), 1))),  0.5, 0))</f>
        <v>1</v>
      </c>
      <c r="BN76" s="47">
        <f t="array" ref="BN76">IF(AND(ISNUMBER(MATCH(BN$2, AsistenciaJetAdminConcatenada!$A:$A, 0)), ISNUMBER(MATCH(BN$1, AsistenciaJetAdminConcatenada!$B:$B, 0)), ISNUMBER(SEARCH($A76,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ISNUMBER(SEARCH($A76, INDEX(AsistenciaJetAdminConcatenada!$D:$D, MATCH(1, (AsistenciaJetAdminConcatenada!$A:$A=BN$2)*(AsistenciaJetAdminConcatenada!$B:$B=BN$1), 0)), 1))),  0.5, 0))</f>
        <v>1</v>
      </c>
      <c r="BO76" s="47">
        <f t="array" ref="BO76">IF(AND(ISNUMBER(MATCH(BO$2, AsistenciaJetAdminConcatenada!$A:$A, 0)), ISNUMBER(MATCH(BO$1, AsistenciaJetAdminConcatenada!$B:$B, 0)), ISNUMBER(SEARCH($A76,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ISNUMBER(SEARCH($A76, INDEX(AsistenciaJetAdminConcatenada!$D:$D, MATCH(1, (AsistenciaJetAdminConcatenada!$A:$A=BO$2)*(AsistenciaJetAdminConcatenada!$B:$B=BO$1), 0)), 1))),  0.5, 0))</f>
        <v>1</v>
      </c>
      <c r="BP76" s="47">
        <f t="array" ref="BP76">IF(AND(ISNUMBER(MATCH(BP$2, AsistenciaJetAdminConcatenada!$A:$A, 0)), ISNUMBER(MATCH(BP$1, AsistenciaJetAdminConcatenada!$B:$B, 0)), ISNUMBER(SEARCH($A76,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ISNUMBER(SEARCH($A76, INDEX(AsistenciaJetAdminConcatenada!$D:$D, MATCH(1, (AsistenciaJetAdminConcatenada!$A:$A=BP$2)*(AsistenciaJetAdminConcatenada!$B:$B=BP$1), 0)), 1))),  0.5, 0))</f>
        <v>0</v>
      </c>
      <c r="BQ76" s="47">
        <f t="array" ref="BQ76">IF(AND(ISNUMBER(MATCH(BQ$2, AsistenciaJetAdminConcatenada!$A:$A, 0)), ISNUMBER(MATCH(BQ$1, AsistenciaJetAdminConcatenada!$B:$B, 0)), ISNUMBER(SEARCH($A76,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ISNUMBER(SEARCH($A76, INDEX(AsistenciaJetAdminConcatenada!$D:$D, MATCH(1, (AsistenciaJetAdminConcatenada!$A:$A=BQ$2)*(AsistenciaJetAdminConcatenada!$B:$B=BQ$1), 0)), 1))),  0.5, 0))</f>
        <v>1</v>
      </c>
      <c r="BR76" s="47">
        <f t="array" ref="BR76">IF(AND(ISNUMBER(MATCH(BR$2, AsistenciaJetAdminConcatenada!$A:$A, 0)), ISNUMBER(MATCH(BR$1, AsistenciaJetAdminConcatenada!$B:$B, 0)), ISNUMBER(SEARCH($A76,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ISNUMBER(SEARCH($A76, INDEX(AsistenciaJetAdminConcatenada!$D:$D, MATCH(1, (AsistenciaJetAdminConcatenada!$A:$A=BR$2)*(AsistenciaJetAdminConcatenada!$B:$B=BR$1), 0)), 1))),  0.5, 0))</f>
        <v>1</v>
      </c>
      <c r="BS76" s="47">
        <f t="array" ref="BS76">IF(AND(ISNUMBER(MATCH(BS$2, AsistenciaJetAdminConcatenada!$A:$A, 0)), ISNUMBER(MATCH(BS$1, AsistenciaJetAdminConcatenada!$B:$B, 0)), ISNUMBER(SEARCH($A76,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ISNUMBER(SEARCH($A76, INDEX(AsistenciaJetAdminConcatenada!$D:$D, MATCH(1, (AsistenciaJetAdminConcatenada!$A:$A=BS$2)*(AsistenciaJetAdminConcatenada!$B:$B=BS$1), 0)), 1))),  0.5, 0))</f>
        <v>1</v>
      </c>
      <c r="BT76" s="47">
        <f t="array" ref="BT76">IF(AND(ISNUMBER(MATCH(BT$2, AsistenciaJetAdminConcatenada!$A:$A, 0)), ISNUMBER(MATCH(BT$1, AsistenciaJetAdminConcatenada!$B:$B, 0)), ISNUMBER(SEARCH($A76,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ISNUMBER(SEARCH($A76, INDEX(AsistenciaJetAdminConcatenada!$D:$D, MATCH(1, (AsistenciaJetAdminConcatenada!$A:$A=BT$2)*(AsistenciaJetAdminConcatenada!$B:$B=BT$1), 0)), 1))),  0.5, 0))</f>
        <v>1</v>
      </c>
      <c r="BU76" s="47">
        <f t="array" ref="BU76">IF(AND(ISNUMBER(MATCH(BU$2, AsistenciaJetAdminConcatenada!$A:$A, 0)), ISNUMBER(MATCH(BU$1, AsistenciaJetAdminConcatenada!$B:$B, 0)), ISNUMBER(SEARCH($A76,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ISNUMBER(SEARCH($A76, INDEX(AsistenciaJetAdminConcatenada!$D:$D, MATCH(1, (AsistenciaJetAdminConcatenada!$A:$A=BU$2)*(AsistenciaJetAdminConcatenada!$B:$B=BU$1), 0)), 1))),  0.5, 0))</f>
        <v>1</v>
      </c>
      <c r="BV76" s="47">
        <f t="array" ref="BV76">IF(AND(ISNUMBER(MATCH(BV$2, AsistenciaJetAdminConcatenada!$A:$A, 0)), ISNUMBER(MATCH(BV$1, AsistenciaJetAdminConcatenada!$B:$B, 0)), ISNUMBER(SEARCH($A76,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ISNUMBER(SEARCH($A76, INDEX(AsistenciaJetAdminConcatenada!$D:$D, MATCH(1, (AsistenciaJetAdminConcatenada!$A:$A=BV$2)*(AsistenciaJetAdminConcatenada!$B:$B=BV$1), 0)), 1))),  0.5, 0))</f>
        <v>0</v>
      </c>
      <c r="BW76" s="47">
        <f t="array" ref="BW76">IF(AND(ISNUMBER(MATCH(BW$2, AsistenciaJetAdminConcatenada!$A:$A, 0)), ISNUMBER(MATCH(BW$1, AsistenciaJetAdminConcatenada!$B:$B, 0)), ISNUMBER(SEARCH($A76,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ISNUMBER(SEARCH($A76, INDEX(AsistenciaJetAdminConcatenada!$D:$D, MATCH(1, (AsistenciaJetAdminConcatenada!$A:$A=BW$2)*(AsistenciaJetAdminConcatenada!$B:$B=BW$1), 0)), 1))),  0.5, 0))</f>
        <v>1</v>
      </c>
      <c r="BX76" s="47">
        <f t="array" ref="BX76">IF(AND(ISNUMBER(MATCH(BX$2, AsistenciaJetAdminConcatenada!$A:$A, 0)), ISNUMBER(MATCH(BX$1, AsistenciaJetAdminConcatenada!$B:$B, 0)), ISNUMBER(SEARCH($A76,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ISNUMBER(SEARCH($A76, INDEX(AsistenciaJetAdminConcatenada!$D:$D, MATCH(1, (AsistenciaJetAdminConcatenada!$A:$A=BX$2)*(AsistenciaJetAdminConcatenada!$B:$B=BX$1), 0)), 1))),  0.5, 0))</f>
        <v>1</v>
      </c>
      <c r="BY76" s="47">
        <f t="array" ref="BY76">IF(AND(ISNUMBER(MATCH(BY$2, AsistenciaJetAdminConcatenada!$A:$A, 0)), ISNUMBER(MATCH(BY$1, AsistenciaJetAdminConcatenada!$B:$B, 0)), ISNUMBER(SEARCH($A76,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ISNUMBER(SEARCH($A76, INDEX(AsistenciaJetAdminConcatenada!$D:$D, MATCH(1, (AsistenciaJetAdminConcatenada!$A:$A=BY$2)*(AsistenciaJetAdminConcatenada!$B:$B=BY$1), 0)), 1))),  0.5, 0))</f>
        <v>0</v>
      </c>
      <c r="BZ76" s="47">
        <f t="array" ref="BZ76">IF(AND(ISNUMBER(MATCH(BZ$2, AsistenciaJetAdminConcatenada!$A:$A, 0)), ISNUMBER(MATCH(BZ$1, AsistenciaJetAdminConcatenada!$B:$B, 0)), ISNUMBER(SEARCH($A76,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ISNUMBER(SEARCH($A76, INDEX(AsistenciaJetAdminConcatenada!$D:$D, MATCH(1, (AsistenciaJetAdminConcatenada!$A:$A=BZ$2)*(AsistenciaJetAdminConcatenada!$B:$B=BZ$1), 0)), 1))),  0.5, 0))</f>
        <v>1</v>
      </c>
      <c r="CA76" s="47">
        <f t="array" ref="CA76">IF(AND(ISNUMBER(MATCH(CA$2, AsistenciaJetAdminConcatenada!$A:$A, 0)), ISNUMBER(MATCH(CA$1, AsistenciaJetAdminConcatenada!$B:$B, 0)), ISNUMBER(SEARCH($A76,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ISNUMBER(SEARCH($A76, INDEX(AsistenciaJetAdminConcatenada!$D:$D, MATCH(1, (AsistenciaJetAdminConcatenada!$A:$A=CA$2)*(AsistenciaJetAdminConcatenada!$B:$B=CA$1), 0)), 1))),  0.5, 0))</f>
        <v>1</v>
      </c>
      <c r="CB76" s="47">
        <f t="array" ref="CB76">IF(AND(ISNUMBER(MATCH(CB$2, AsistenciaJetAdminConcatenada!$A:$A, 0)), ISNUMBER(MATCH(CB$1, AsistenciaJetAdminConcatenada!$B:$B, 0)), ISNUMBER(SEARCH($A76,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ISNUMBER(SEARCH($A76, INDEX(AsistenciaJetAdminConcatenada!$D:$D, MATCH(1, (AsistenciaJetAdminConcatenada!$A:$A=CB$2)*(AsistenciaJetAdminConcatenada!$B:$B=CB$1), 0)), 1))),  0.5, 0))</f>
        <v>1</v>
      </c>
      <c r="CC76" s="47">
        <f t="array" ref="CC76">IF(AND(ISNUMBER(MATCH(CC$2, AsistenciaJetAdminConcatenada!$A:$A, 0)), ISNUMBER(MATCH(CC$1, AsistenciaJetAdminConcatenada!$B:$B, 0)), ISNUMBER(SEARCH($A76,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ISNUMBER(SEARCH($A76, INDEX(AsistenciaJetAdminConcatenada!$D:$D, MATCH(1, (AsistenciaJetAdminConcatenada!$A:$A=CC$2)*(AsistenciaJetAdminConcatenada!$B:$B=CC$1), 0)), 1))),  0.5, 0))</f>
        <v>0</v>
      </c>
      <c r="CD76" s="47">
        <f t="array" ref="CD76">IF(AND(ISNUMBER(MATCH(CD$2, AsistenciaJetAdminConcatenada!$A:$A, 0)), ISNUMBER(MATCH(CD$1, AsistenciaJetAdminConcatenada!$B:$B, 0)), ISNUMBER(SEARCH($A76,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ISNUMBER(SEARCH($A76, INDEX(AsistenciaJetAdminConcatenada!$D:$D, MATCH(1, (AsistenciaJetAdminConcatenada!$A:$A=CD$2)*(AsistenciaJetAdminConcatenada!$B:$B=CD$1), 0)), 1))),  0.5, 0))</f>
        <v>1</v>
      </c>
      <c r="CE76" s="47">
        <f t="array" ref="CE76">IF(AND(ISNUMBER(MATCH(CE$2, AsistenciaJetAdminConcatenada!$A:$A, 0)), ISNUMBER(MATCH(CE$1, AsistenciaJetAdminConcatenada!$B:$B, 0)), ISNUMBER(SEARCH($A76,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ISNUMBER(SEARCH($A76, INDEX(AsistenciaJetAdminConcatenada!$D:$D, MATCH(1, (AsistenciaJetAdminConcatenada!$A:$A=CE$2)*(AsistenciaJetAdminConcatenada!$B:$B=CE$1), 0)), 1))),  0.5, 0))</f>
        <v>0</v>
      </c>
      <c r="CF76" s="47">
        <f t="array" ref="CF76">IF(AND(ISNUMBER(MATCH(CF$2, AsistenciaJetAdminConcatenada!$A:$A, 0)), ISNUMBER(MATCH(CF$1, AsistenciaJetAdminConcatenada!$B:$B, 0)), ISNUMBER(SEARCH($A76,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ISNUMBER(SEARCH($A76, INDEX(AsistenciaJetAdminConcatenada!$D:$D, MATCH(1, (AsistenciaJetAdminConcatenada!$A:$A=CF$2)*(AsistenciaJetAdminConcatenada!$B:$B=CF$1), 0)), 1))),  0.5, 0))</f>
        <v>1</v>
      </c>
      <c r="CG76" s="47">
        <f t="array" ref="CG76">IF(AND(ISNUMBER(MATCH(CG$2, AsistenciaJetAdminConcatenada!$A:$A, 0)), ISNUMBER(MATCH(CG$1, AsistenciaJetAdminConcatenada!$B:$B, 0)), ISNUMBER(SEARCH($A76,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ISNUMBER(SEARCH($A76, INDEX(AsistenciaJetAdminConcatenada!$D:$D, MATCH(1, (AsistenciaJetAdminConcatenada!$A:$A=CG$2)*(AsistenciaJetAdminConcatenada!$B:$B=CG$1), 0)), 1))),  0.5, 0))</f>
        <v>1</v>
      </c>
      <c r="CH76" s="47">
        <f t="array" ref="CH76">IF(AND(ISNUMBER(MATCH(CH$2, AsistenciaJetAdminConcatenada!$A:$A, 0)), ISNUMBER(MATCH(CH$1, AsistenciaJetAdminConcatenada!$B:$B, 0)), ISNUMBER(SEARCH($A76,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ISNUMBER(SEARCH($A76, INDEX(AsistenciaJetAdminConcatenada!$D:$D, MATCH(1, (AsistenciaJetAdminConcatenada!$A:$A=CH$2)*(AsistenciaJetAdminConcatenada!$B:$B=CH$1), 0)), 1))),  0.5, 0))</f>
        <v>1</v>
      </c>
      <c r="CI76" s="47">
        <f t="array" ref="CI76">IF(AND(ISNUMBER(MATCH(CI$2, AsistenciaJetAdminConcatenada!$A:$A, 0)), ISNUMBER(MATCH(CI$1, AsistenciaJetAdminConcatenada!$B:$B, 0)), ISNUMBER(SEARCH($A76,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ISNUMBER(SEARCH($A76, INDEX(AsistenciaJetAdminConcatenada!$D:$D, MATCH(1, (AsistenciaJetAdminConcatenada!$A:$A=CI$2)*(AsistenciaJetAdminConcatenada!$B:$B=CI$1), 0)), 1))),  0.5, 0))</f>
        <v>1</v>
      </c>
      <c r="CJ76" s="47">
        <f t="array" ref="CJ76">IF(AND(ISNUMBER(MATCH(CJ$2, AsistenciaJetAdminConcatenada!$A:$A, 0)), ISNUMBER(MATCH(CJ$1, AsistenciaJetAdminConcatenada!$B:$B, 0)), ISNUMBER(SEARCH($A76,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ISNUMBER(SEARCH($A76, INDEX(AsistenciaJetAdminConcatenada!$D:$D, MATCH(1, (AsistenciaJetAdminConcatenada!$A:$A=CJ$2)*(AsistenciaJetAdminConcatenada!$B:$B=CJ$1), 0)), 1))),  0.5, 0))</f>
        <v>1</v>
      </c>
      <c r="CK76" s="47">
        <f t="array" ref="CK76">IF(AND(ISNUMBER(MATCH(CK$2, AsistenciaJetAdminConcatenada!$A:$A, 0)), ISNUMBER(MATCH(CK$1, AsistenciaJetAdminConcatenada!$B:$B, 0)), ISNUMBER(SEARCH($A76,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ISNUMBER(SEARCH($A76, INDEX(AsistenciaJetAdminConcatenada!$D:$D, MATCH(1, (AsistenciaJetAdminConcatenada!$A:$A=CK$2)*(AsistenciaJetAdminConcatenada!$B:$B=CK$1), 0)), 1))),  0.5, 0))</f>
        <v>1</v>
      </c>
      <c r="CL76" s="47">
        <f t="array" ref="CL76">IF(AND(ISNUMBER(MATCH(CL$2, AsistenciaJetAdminConcatenada!$A:$A, 0)), ISNUMBER(MATCH(CL$1, AsistenciaJetAdminConcatenada!$B:$B, 0)), ISNUMBER(SEARCH($A76,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ISNUMBER(SEARCH($A76, INDEX(AsistenciaJetAdminConcatenada!$D:$D, MATCH(1, (AsistenciaJetAdminConcatenada!$A:$A=CL$2)*(AsistenciaJetAdminConcatenada!$B:$B=CL$1), 0)), 1))),  0.5, 0))</f>
        <v>1</v>
      </c>
      <c r="CM76" s="47">
        <f t="array" ref="CM76">IF(AND(ISNUMBER(MATCH(CM$2, AsistenciaJetAdminConcatenada!$A:$A, 0)), ISNUMBER(MATCH(CM$1, AsistenciaJetAdminConcatenada!$B:$B, 0)), ISNUMBER(SEARCH($A76,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ISNUMBER(SEARCH($A76, INDEX(AsistenciaJetAdminConcatenada!$D:$D, MATCH(1, (AsistenciaJetAdminConcatenada!$A:$A=CM$2)*(AsistenciaJetAdminConcatenada!$B:$B=CM$1), 0)), 1))),  0.5, 0))</f>
        <v>1</v>
      </c>
      <c r="CN76" s="47">
        <f t="array" ref="CN76">IF(AND(ISNUMBER(MATCH(CN$2, AsistenciaJetAdminConcatenada!$A:$A, 0)), ISNUMBER(MATCH(CN$1, AsistenciaJetAdminConcatenada!$B:$B, 0)), ISNUMBER(SEARCH($A76,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ISNUMBER(SEARCH($A76, INDEX(AsistenciaJetAdminConcatenada!$D:$D, MATCH(1, (AsistenciaJetAdminConcatenada!$A:$A=CN$2)*(AsistenciaJetAdminConcatenada!$B:$B=CN$1), 0)), 1))),  0.5, 0))</f>
        <v>1</v>
      </c>
      <c r="CO76" s="47">
        <f t="array" ref="CO76">IF(AND(ISNUMBER(MATCH(CO$2, AsistenciaJetAdminConcatenada!$A:$A, 0)), ISNUMBER(MATCH(CO$1, AsistenciaJetAdminConcatenada!$B:$B, 0)), ISNUMBER(SEARCH($A76,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ISNUMBER(SEARCH($A76, INDEX(AsistenciaJetAdminConcatenada!$D:$D, MATCH(1, (AsistenciaJetAdminConcatenada!$A:$A=CO$2)*(AsistenciaJetAdminConcatenada!$B:$B=CO$1), 0)), 1))),  0.5, 0))</f>
        <v>1</v>
      </c>
      <c r="CP76" s="47">
        <f t="array" ref="CP76">IF(AND(ISNUMBER(MATCH(CP$2, AsistenciaJetAdminConcatenada!$A:$A, 0)), ISNUMBER(MATCH(CP$1, AsistenciaJetAdminConcatenada!$B:$B, 0)), ISNUMBER(SEARCH($A76,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ISNUMBER(SEARCH($A76, INDEX(AsistenciaJetAdminConcatenada!$D:$D, MATCH(1, (AsistenciaJetAdminConcatenada!$A:$A=CP$2)*(AsistenciaJetAdminConcatenada!$B:$B=CP$1), 0)), 1))),  0.5, 0))</f>
        <v>0</v>
      </c>
      <c r="CQ76" s="47">
        <f t="array" ref="CQ76">IF(AND(ISNUMBER(MATCH(CQ$2, AsistenciaJetAdminConcatenada!$A:$A, 0)), ISNUMBER(MATCH(CQ$1, AsistenciaJetAdminConcatenada!$B:$B, 0)), ISNUMBER(SEARCH($A76,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ISNUMBER(SEARCH($A76, INDEX(AsistenciaJetAdminConcatenada!$D:$D, MATCH(1, (AsistenciaJetAdminConcatenada!$A:$A=CQ$2)*(AsistenciaJetAdminConcatenada!$B:$B=CQ$1), 0)), 1))),  0.5, 0))</f>
        <v>1</v>
      </c>
      <c r="CR76" s="47">
        <f t="array" ref="CR76">IF(AND(ISNUMBER(MATCH(CR$2, AsistenciaJetAdminConcatenada!$A:$A, 0)), ISNUMBER(MATCH(CR$1, AsistenciaJetAdminConcatenada!$B:$B, 0)), ISNUMBER(SEARCH($A76,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ISNUMBER(SEARCH($A76, INDEX(AsistenciaJetAdminConcatenada!$D:$D, MATCH(1, (AsistenciaJetAdminConcatenada!$A:$A=CR$2)*(AsistenciaJetAdminConcatenada!$B:$B=CR$1), 0)), 1))),  0.5, 0))</f>
        <v>1</v>
      </c>
      <c r="CS76" s="47">
        <f t="array" ref="CS76">IF(AND(ISNUMBER(MATCH(CS$2, AsistenciaJetAdminConcatenada!$A:$A, 0)), ISNUMBER(MATCH(CS$1, AsistenciaJetAdminConcatenada!$B:$B, 0)), ISNUMBER(SEARCH($A76,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ISNUMBER(SEARCH($A76, INDEX(AsistenciaJetAdminConcatenada!$D:$D, MATCH(1, (AsistenciaJetAdminConcatenada!$A:$A=CS$2)*(AsistenciaJetAdminConcatenada!$B:$B=CS$1), 0)), 1))),  0.5, 0))</f>
        <v>0</v>
      </c>
      <c r="CT76" s="47">
        <f t="array" ref="CT76">IF(AND(ISNUMBER(MATCH(CT$2, AsistenciaJetAdminConcatenada!$A:$A, 0)), ISNUMBER(MATCH(CT$1, AsistenciaJetAdminConcatenada!$B:$B, 0)), ISNUMBER(SEARCH($A76,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ISNUMBER(SEARCH($A76, INDEX(AsistenciaJetAdminConcatenada!$D:$D, MATCH(1, (AsistenciaJetAdminConcatenada!$A:$A=CT$2)*(AsistenciaJetAdminConcatenada!$B:$B=CT$1), 0)), 1))),  0.5, 0))</f>
        <v>0</v>
      </c>
      <c r="CU76" s="47">
        <f t="array" ref="CU76">IF(AND(ISNUMBER(MATCH(CU$2, AsistenciaJetAdminConcatenada!$A:$A, 0)), ISNUMBER(MATCH(CU$1, AsistenciaJetAdminConcatenada!$B:$B, 0)), ISNUMBER(SEARCH($A76,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ISNUMBER(SEARCH($A76, INDEX(AsistenciaJetAdminConcatenada!$D:$D, MATCH(1, (AsistenciaJetAdminConcatenada!$A:$A=CU$2)*(AsistenciaJetAdminConcatenada!$B:$B=CU$1), 0)), 1))),  0.5, 0))</f>
        <v>0</v>
      </c>
      <c r="CV76" s="47">
        <f t="array" ref="CV76">IF(AND(ISNUMBER(MATCH(CV$2, AsistenciaJetAdminConcatenada!$A:$A, 0)), ISNUMBER(MATCH(CV$1, AsistenciaJetAdminConcatenada!$B:$B, 0)), ISNUMBER(SEARCH($A76,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ISNUMBER(SEARCH($A76, INDEX(AsistenciaJetAdminConcatenada!$D:$D, MATCH(1, (AsistenciaJetAdminConcatenada!$A:$A=CV$2)*(AsistenciaJetAdminConcatenada!$B:$B=CV$1), 0)), 1))),  0.5, 0))</f>
        <v>0</v>
      </c>
      <c r="CW76" s="47">
        <f t="array" ref="CW76">IF(AND(ISNUMBER(MATCH(CW$2, AsistenciaJetAdminConcatenada!$A:$A, 0)), ISNUMBER(MATCH(CW$1, AsistenciaJetAdminConcatenada!$B:$B, 0)), ISNUMBER(SEARCH($A76,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ISNUMBER(SEARCH($A76, INDEX(AsistenciaJetAdminConcatenada!$D:$D, MATCH(1, (AsistenciaJetAdminConcatenada!$A:$A=CW$2)*(AsistenciaJetAdminConcatenada!$B:$B=CW$1), 0)), 1))),  0.5, 0))</f>
        <v>0</v>
      </c>
      <c r="CX76" s="47">
        <f t="array" ref="CX76">IF(AND(ISNUMBER(MATCH(CX$2, AsistenciaJetAdminConcatenada!$A:$A, 0)), ISNUMBER(MATCH(CX$1, AsistenciaJetAdminConcatenada!$B:$B, 0)), ISNUMBER(SEARCH($A76,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ISNUMBER(SEARCH($A76, INDEX(AsistenciaJetAdminConcatenada!$D:$D, MATCH(1, (AsistenciaJetAdminConcatenada!$A:$A=CX$2)*(AsistenciaJetAdminConcatenada!$B:$B=CX$1), 0)), 1))),  0.5, 0))</f>
        <v>0</v>
      </c>
      <c r="CY76" s="47">
        <f t="array" ref="CY76">IF(AND(ISNUMBER(MATCH(CY$2, AsistenciaJetAdminConcatenada!$A:$A, 0)), ISNUMBER(MATCH(CY$1, AsistenciaJetAdminConcatenada!$B:$B, 0)), ISNUMBER(SEARCH($A76,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ISNUMBER(SEARCH($A76, INDEX(AsistenciaJetAdminConcatenada!$D:$D, MATCH(1, (AsistenciaJetAdminConcatenada!$A:$A=CY$2)*(AsistenciaJetAdminConcatenada!$B:$B=CY$1), 0)), 1))),  0.5, 0))</f>
        <v>0</v>
      </c>
      <c r="CZ76" s="47">
        <f t="array" ref="CZ76">IF(AND(ISNUMBER(MATCH(CZ$2, AsistenciaJetAdminConcatenada!$A:$A, 0)), ISNUMBER(MATCH(CZ$1, AsistenciaJetAdminConcatenada!$B:$B, 0)), ISNUMBER(SEARCH($A76,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ISNUMBER(SEARCH($A76, INDEX(AsistenciaJetAdminConcatenada!$D:$D, MATCH(1, (AsistenciaJetAdminConcatenada!$A:$A=CZ$2)*(AsistenciaJetAdminConcatenada!$B:$B=CZ$1), 0)), 1))),  0.5, 0))</f>
        <v>0</v>
      </c>
      <c r="DA76" s="47">
        <f t="array" ref="DA76">IF(AND(ISNUMBER(MATCH(DA$2, AsistenciaJetAdminConcatenada!$A:$A, 0)), ISNUMBER(MATCH(DA$1, AsistenciaJetAdminConcatenada!$B:$B, 0)), ISNUMBER(SEARCH($A76,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ISNUMBER(SEARCH($A76, INDEX(AsistenciaJetAdminConcatenada!$D:$D, MATCH(1, (AsistenciaJetAdminConcatenada!$A:$A=DA$2)*(AsistenciaJetAdminConcatenada!$B:$B=DA$1), 0)), 1))),  0.5, 0))</f>
        <v>0</v>
      </c>
      <c r="DB76" s="47">
        <f t="array" ref="DB76">IF(AND(ISNUMBER(MATCH(DB$2, AsistenciaJetAdminConcatenada!$A:$A, 0)), ISNUMBER(MATCH(DB$1, AsistenciaJetAdminConcatenada!$B:$B, 0)), ISNUMBER(SEARCH($A76,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ISNUMBER(SEARCH($A76, INDEX(AsistenciaJetAdminConcatenada!$D:$D, MATCH(1, (AsistenciaJetAdminConcatenada!$A:$A=DB$2)*(AsistenciaJetAdminConcatenada!$B:$B=DB$1), 0)), 1))),  0.5, 0))</f>
        <v>0</v>
      </c>
      <c r="DC76" s="47">
        <f t="array" ref="DC76">IF(AND(ISNUMBER(MATCH(DC$2, AsistenciaJetAdminConcatenada!$A:$A, 0)), ISNUMBER(MATCH(DC$1, AsistenciaJetAdminConcatenada!$B:$B, 0)), ISNUMBER(SEARCH($A76,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ISNUMBER(SEARCH($A76, INDEX(AsistenciaJetAdminConcatenada!$D:$D, MATCH(1, (AsistenciaJetAdminConcatenada!$A:$A=DC$2)*(AsistenciaJetAdminConcatenada!$B:$B=DC$1), 0)), 1))),  0.5, 0))</f>
        <v>0</v>
      </c>
      <c r="DD76" s="47">
        <f t="array" ref="DD76">IF(AND(ISNUMBER(MATCH(DD$2, AsistenciaJetAdminConcatenada!$A:$A, 0)), ISNUMBER(MATCH(DD$1, AsistenciaJetAdminConcatenada!$B:$B, 0)), ISNUMBER(SEARCH($A76,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ISNUMBER(SEARCH($A76, INDEX(AsistenciaJetAdminConcatenada!$D:$D, MATCH(1, (AsistenciaJetAdminConcatenada!$A:$A=DD$2)*(AsistenciaJetAdminConcatenada!$B:$B=DD$1), 0)), 1))),  0.5, 0))</f>
        <v>0</v>
      </c>
      <c r="DE76" s="47">
        <f t="array" ref="DE76">IF(AND(ISNUMBER(MATCH(DE$2, AsistenciaJetAdminConcatenada!$A:$A, 0)), ISNUMBER(MATCH(DE$1, AsistenciaJetAdminConcatenada!$B:$B, 0)), ISNUMBER(SEARCH($A76,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ISNUMBER(SEARCH($A76, INDEX(AsistenciaJetAdminConcatenada!$D:$D, MATCH(1, (AsistenciaJetAdminConcatenada!$A:$A=DE$2)*(AsistenciaJetAdminConcatenada!$B:$B=DE$1), 0)), 1))),  0.5, 0))</f>
        <v>0</v>
      </c>
      <c r="DF76" s="47">
        <f t="array" ref="DF76">IF(AND(ISNUMBER(MATCH(DF$2, AsistenciaJetAdminConcatenada!$A:$A, 0)), ISNUMBER(MATCH(DF$1, AsistenciaJetAdminConcatenada!$B:$B, 0)), ISNUMBER(SEARCH($A76,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ISNUMBER(SEARCH($A76, INDEX(AsistenciaJetAdminConcatenada!$D:$D, MATCH(1, (AsistenciaJetAdminConcatenada!$A:$A=DF$2)*(AsistenciaJetAdminConcatenada!$B:$B=DF$1), 0)), 1))),  0.5, 0))</f>
        <v>0</v>
      </c>
      <c r="DG76" s="47">
        <f t="array" ref="DG76">IF(AND(ISNUMBER(MATCH(DG$2, AsistenciaJetAdminConcatenada!$A:$A, 0)), ISNUMBER(MATCH(DG$1, AsistenciaJetAdminConcatenada!$B:$B, 0)), ISNUMBER(SEARCH($A76,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ISNUMBER(SEARCH($A76, INDEX(AsistenciaJetAdminConcatenada!$D:$D, MATCH(1, (AsistenciaJetAdminConcatenada!$A:$A=DG$2)*(AsistenciaJetAdminConcatenada!$B:$B=DG$1), 0)), 1))),  0.5, 0))</f>
        <v>0</v>
      </c>
      <c r="DH76" s="47">
        <f t="array" ref="DH76">IF(AND(ISNUMBER(MATCH(DH$2, AsistenciaJetAdminConcatenada!$A:$A, 0)), ISNUMBER(MATCH(DH$1, AsistenciaJetAdminConcatenada!$B:$B, 0)), ISNUMBER(SEARCH($A76,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ISNUMBER(SEARCH($A76, INDEX(AsistenciaJetAdminConcatenada!$D:$D, MATCH(1, (AsistenciaJetAdminConcatenada!$A:$A=DH$2)*(AsistenciaJetAdminConcatenada!$B:$B=DH$1), 0)), 1))),  0.5, 0))</f>
        <v>0</v>
      </c>
      <c r="DI76" s="47">
        <f t="array" ref="DI76">IF(AND(ISNUMBER(MATCH(DI$2, AsistenciaJetAdminConcatenada!$A:$A, 0)), ISNUMBER(MATCH(DI$1, AsistenciaJetAdminConcatenada!$B:$B, 0)), ISNUMBER(SEARCH($A76,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ISNUMBER(SEARCH($A76, INDEX(AsistenciaJetAdminConcatenada!$D:$D, MATCH(1, (AsistenciaJetAdminConcatenada!$A:$A=DI$2)*(AsistenciaJetAdminConcatenada!$B:$B=DI$1), 0)), 1))),  0.5, 0))</f>
        <v>0</v>
      </c>
      <c r="DJ76" s="47">
        <f t="array" ref="DJ76">IF(AND(ISNUMBER(MATCH(DJ$2, AsistenciaJetAdminConcatenada!$A:$A, 0)), ISNUMBER(MATCH(DJ$1, AsistenciaJetAdminConcatenada!$B:$B, 0)), ISNUMBER(SEARCH($A76,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ISNUMBER(SEARCH($A76, INDEX(AsistenciaJetAdminConcatenada!$D:$D, MATCH(1, (AsistenciaJetAdminConcatenada!$A:$A=DJ$2)*(AsistenciaJetAdminConcatenada!$B:$B=DJ$1), 0)), 1))),  0.5, 0))</f>
        <v>0</v>
      </c>
      <c r="DK76" s="47">
        <f t="array" ref="DK76">IF(AND(ISNUMBER(MATCH(DK$2, AsistenciaJetAdminConcatenada!$A:$A, 0)), ISNUMBER(MATCH(DK$1, AsistenciaJetAdminConcatenada!$B:$B, 0)), ISNUMBER(SEARCH($A76,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ISNUMBER(SEARCH($A76, INDEX(AsistenciaJetAdminConcatenada!$D:$D, MATCH(1, (AsistenciaJetAdminConcatenada!$A:$A=DK$2)*(AsistenciaJetAdminConcatenada!$B:$B=DK$1), 0)), 1))),  0.5, 0))</f>
        <v>0</v>
      </c>
      <c r="DL76" s="47">
        <f t="array" ref="DL76">IF(AND(ISNUMBER(MATCH(DL$2, AsistenciaJetAdminConcatenada!$A:$A, 0)), ISNUMBER(MATCH(DL$1, AsistenciaJetAdminConcatenada!$B:$B, 0)), ISNUMBER(SEARCH($A76,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ISNUMBER(SEARCH($A76, INDEX(AsistenciaJetAdminConcatenada!$D:$D, MATCH(1, (AsistenciaJetAdminConcatenada!$A:$A=DL$2)*(AsistenciaJetAdminConcatenada!$B:$B=DL$1), 0)), 1))),  0.5, 0))</f>
        <v>0</v>
      </c>
      <c r="DM76" s="47">
        <f t="array" ref="DM76">IF(AND(ISNUMBER(MATCH(DM$2, AsistenciaJetAdminConcatenada!$A:$A, 0)), ISNUMBER(MATCH(DM$1, AsistenciaJetAdminConcatenada!$B:$B, 0)), ISNUMBER(SEARCH($A76,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ISNUMBER(SEARCH($A76, INDEX(AsistenciaJetAdminConcatenada!$D:$D, MATCH(1, (AsistenciaJetAdminConcatenada!$A:$A=DM$2)*(AsistenciaJetAdminConcatenada!$B:$B=DM$1), 0)), 1))),  0.5, 0))</f>
        <v>0</v>
      </c>
      <c r="DN76" s="47">
        <f t="array" ref="DN76">IF(AND(ISNUMBER(MATCH(DN$2, AsistenciaJetAdminConcatenada!$A:$A, 0)), ISNUMBER(MATCH(DN$1, AsistenciaJetAdminConcatenada!$B:$B, 0)), ISNUMBER(SEARCH($A76,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ISNUMBER(SEARCH($A76, INDEX(AsistenciaJetAdminConcatenada!$D:$D, MATCH(1, (AsistenciaJetAdminConcatenada!$A:$A=DN$2)*(AsistenciaJetAdminConcatenada!$B:$B=DN$1), 0)), 1))),  0.5, 0))</f>
        <v>0</v>
      </c>
      <c r="DO76" s="47">
        <f t="array" ref="DO76">IF(AND(ISNUMBER(MATCH(DO$2, AsistenciaJetAdminConcatenada!$A:$A, 0)), ISNUMBER(MATCH(DO$1, AsistenciaJetAdminConcatenada!$B:$B, 0)), ISNUMBER(SEARCH($A76,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ISNUMBER(SEARCH($A76, INDEX(AsistenciaJetAdminConcatenada!$D:$D, MATCH(1, (AsistenciaJetAdminConcatenada!$A:$A=DO$2)*(AsistenciaJetAdminConcatenada!$B:$B=DO$1), 0)), 1))),  0.5, 0))</f>
        <v>0</v>
      </c>
      <c r="DP76" s="47">
        <f t="array" ref="DP76">IF(AND(ISNUMBER(MATCH(DP$2, AsistenciaJetAdminConcatenada!$A:$A, 0)), ISNUMBER(MATCH(DP$1, AsistenciaJetAdminConcatenada!$B:$B, 0)), ISNUMBER(SEARCH($A76,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ISNUMBER(SEARCH($A76, INDEX(AsistenciaJetAdminConcatenada!$D:$D, MATCH(1, (AsistenciaJetAdminConcatenada!$A:$A=DP$2)*(AsistenciaJetAdminConcatenada!$B:$B=DP$1), 0)), 1))),  0.5, 0))</f>
        <v>0</v>
      </c>
      <c r="DQ76" s="47">
        <f t="array" ref="DQ76">IF(AND(ISNUMBER(MATCH(DQ$2, AsistenciaJetAdminConcatenada!$A:$A, 0)), ISNUMBER(MATCH(DQ$1, AsistenciaJetAdminConcatenada!$B:$B, 0)), ISNUMBER(SEARCH($A76,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ISNUMBER(SEARCH($A76, INDEX(AsistenciaJetAdminConcatenada!$D:$D, MATCH(1, (AsistenciaJetAdminConcatenada!$A:$A=DQ$2)*(AsistenciaJetAdminConcatenada!$B:$B=DQ$1), 0)), 1))),  0.5, 0))</f>
        <v>0</v>
      </c>
      <c r="DR76" s="47">
        <f t="array" ref="DR76">IF(AND(ISNUMBER(MATCH(DR$2, AsistenciaJetAdminConcatenada!$A:$A, 0)), ISNUMBER(MATCH(DR$1, AsistenciaJetAdminConcatenada!$B:$B, 0)), ISNUMBER(SEARCH($A76,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ISNUMBER(SEARCH($A76, INDEX(AsistenciaJetAdminConcatenada!$D:$D, MATCH(1, (AsistenciaJetAdminConcatenada!$A:$A=DR$2)*(AsistenciaJetAdminConcatenada!$B:$B=DR$1), 0)), 1))),  0.5, 0))</f>
        <v>0</v>
      </c>
      <c r="DS76" s="47">
        <f t="array" ref="DS76">IF(AND(ISNUMBER(MATCH(DS$2, AsistenciaJetAdminConcatenada!$A:$A, 0)), ISNUMBER(MATCH(DS$1, AsistenciaJetAdminConcatenada!$B:$B, 0)), ISNUMBER(SEARCH($A76,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ISNUMBER(SEARCH($A76, INDEX(AsistenciaJetAdminConcatenada!$D:$D, MATCH(1, (AsistenciaJetAdminConcatenada!$A:$A=DS$2)*(AsistenciaJetAdminConcatenada!$B:$B=DS$1), 0)), 1))),  0.5, 0))</f>
        <v>0</v>
      </c>
      <c r="DT76" s="47">
        <f t="array" ref="DT76">IF(AND(ISNUMBER(MATCH(DT$2, AsistenciaJetAdminConcatenada!$A:$A, 0)), ISNUMBER(MATCH(DT$1, AsistenciaJetAdminConcatenada!$B:$B, 0)), ISNUMBER(SEARCH($A76,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ISNUMBER(SEARCH($A76, INDEX(AsistenciaJetAdminConcatenada!$D:$D, MATCH(1, (AsistenciaJetAdminConcatenada!$A:$A=DT$2)*(AsistenciaJetAdminConcatenada!$B:$B=DT$1), 0)), 1))),  0.5, 0))</f>
        <v>0</v>
      </c>
      <c r="DU76" s="47">
        <f t="array" ref="DU76">IF(AND(ISNUMBER(MATCH(DU$2, AsistenciaJetAdminConcatenada!$A:$A, 0)), ISNUMBER(MATCH(DU$1, AsistenciaJetAdminConcatenada!$B:$B, 0)), ISNUMBER(SEARCH($A76,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ISNUMBER(SEARCH($A76, INDEX(AsistenciaJetAdminConcatenada!$D:$D, MATCH(1, (AsistenciaJetAdminConcatenada!$A:$A=DU$2)*(AsistenciaJetAdminConcatenada!$B:$B=DU$1), 0)), 1))),  0.5, 0))</f>
        <v>0</v>
      </c>
      <c r="DV76" s="47">
        <f t="array" ref="DV76">IF(AND(ISNUMBER(MATCH(DV$2, AsistenciaJetAdminConcatenada!$A:$A, 0)), ISNUMBER(MATCH(DV$1, AsistenciaJetAdminConcatenada!$B:$B, 0)), ISNUMBER(SEARCH($A76,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ISNUMBER(SEARCH($A76, INDEX(AsistenciaJetAdminConcatenada!$D:$D, MATCH(1, (AsistenciaJetAdminConcatenada!$A:$A=DV$2)*(AsistenciaJetAdminConcatenada!$B:$B=DV$1), 0)), 1))),  0.5, 0))</f>
        <v>0</v>
      </c>
      <c r="DW76" s="47">
        <f t="array" ref="DW76">IF(AND(ISNUMBER(MATCH(DW$2, AsistenciaJetAdminConcatenada!$A:$A, 0)), ISNUMBER(MATCH(DW$1, AsistenciaJetAdminConcatenada!$B:$B, 0)), ISNUMBER(SEARCH($A76,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ISNUMBER(SEARCH($A76, INDEX(AsistenciaJetAdminConcatenada!$D:$D, MATCH(1, (AsistenciaJetAdminConcatenada!$A:$A=DW$2)*(AsistenciaJetAdminConcatenada!$B:$B=DW$1), 0)), 1))),  0.5, 0))</f>
        <v>0</v>
      </c>
      <c r="DX76" s="47">
        <f t="array" ref="DX76">IF(AND(ISNUMBER(MATCH(DX$2, AsistenciaJetAdminConcatenada!$A:$A, 0)), ISNUMBER(MATCH(DX$1, AsistenciaJetAdminConcatenada!$B:$B, 0)), ISNUMBER(SEARCH($A76,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ISNUMBER(SEARCH($A76, INDEX(AsistenciaJetAdminConcatenada!$D:$D, MATCH(1, (AsistenciaJetAdminConcatenada!$A:$A=DX$2)*(AsistenciaJetAdminConcatenada!$B:$B=DX$1), 0)), 1))),  0.5, 0))</f>
        <v>0</v>
      </c>
      <c r="DY76" s="47">
        <f t="array" ref="DY76">IF(AND(ISNUMBER(MATCH(DY$2, AsistenciaJetAdminConcatenada!$A:$A, 0)), ISNUMBER(MATCH(DY$1, AsistenciaJetAdminConcatenada!$B:$B, 0)), ISNUMBER(SEARCH($A76,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ISNUMBER(SEARCH($A76, INDEX(AsistenciaJetAdminConcatenada!$D:$D, MATCH(1, (AsistenciaJetAdminConcatenada!$A:$A=DY$2)*(AsistenciaJetAdminConcatenada!$B:$B=DY$1), 0)), 1))),  0.5, 0))</f>
        <v>0</v>
      </c>
      <c r="DZ76" s="47">
        <f t="array" ref="DZ76">IF(AND(ISNUMBER(MATCH(DZ$2, AsistenciaJetAdminConcatenada!$A:$A, 0)), ISNUMBER(MATCH(DZ$1, AsistenciaJetAdminConcatenada!$B:$B, 0)), ISNUMBER(SEARCH($A76,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ISNUMBER(SEARCH($A76, INDEX(AsistenciaJetAdminConcatenada!$D:$D, MATCH(1, (AsistenciaJetAdminConcatenada!$A:$A=DZ$2)*(AsistenciaJetAdminConcatenada!$B:$B=DZ$1), 0)), 1))),  0.5, 0))</f>
        <v>0</v>
      </c>
      <c r="EA76" s="47">
        <f t="array" ref="EA76">IF(AND(ISNUMBER(MATCH(EA$2, AsistenciaJetAdminConcatenada!$A:$A, 0)), ISNUMBER(MATCH(EA$1, AsistenciaJetAdminConcatenada!$B:$B, 0)), ISNUMBER(SEARCH($A76,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ISNUMBER(SEARCH($A76, INDEX(AsistenciaJetAdminConcatenada!$D:$D, MATCH(1, (AsistenciaJetAdminConcatenada!$A:$A=EA$2)*(AsistenciaJetAdminConcatenada!$B:$B=EA$1), 0)), 1))),  0.5, 0))</f>
        <v>0</v>
      </c>
      <c r="EB76" s="47">
        <f t="array" ref="EB76">IF(AND(ISNUMBER(MATCH(EB$2, AsistenciaJetAdminConcatenada!$A:$A, 0)), ISNUMBER(MATCH(EB$1, AsistenciaJetAdminConcatenada!$B:$B, 0)), ISNUMBER(SEARCH($A76,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ISNUMBER(SEARCH($A76, INDEX(AsistenciaJetAdminConcatenada!$D:$D, MATCH(1, (AsistenciaJetAdminConcatenada!$A:$A=EB$2)*(AsistenciaJetAdminConcatenada!$B:$B=EB$1), 0)), 1))),  0.5, 0))</f>
        <v>0</v>
      </c>
      <c r="EC76" s="47">
        <f t="array" ref="EC76">IF(AND(ISNUMBER(MATCH(EC$2, AsistenciaJetAdminConcatenada!$A:$A, 0)), ISNUMBER(MATCH(EC$1, AsistenciaJetAdminConcatenada!$B:$B, 0)), ISNUMBER(SEARCH($A76,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ISNUMBER(SEARCH($A76, INDEX(AsistenciaJetAdminConcatenada!$D:$D, MATCH(1, (AsistenciaJetAdminConcatenada!$A:$A=EC$2)*(AsistenciaJetAdminConcatenada!$B:$B=EC$1), 0)), 1))),  0.5, 0))</f>
        <v>0</v>
      </c>
      <c r="ED76" s="47">
        <f t="array" ref="ED76">IF(AND(ISNUMBER(MATCH(ED$2, AsistenciaJetAdminConcatenada!$A:$A, 0)), ISNUMBER(MATCH(ED$1, AsistenciaJetAdminConcatenada!$B:$B, 0)), ISNUMBER(SEARCH($A76,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ISNUMBER(SEARCH($A76, INDEX(AsistenciaJetAdminConcatenada!$D:$D, MATCH(1, (AsistenciaJetAdminConcatenada!$A:$A=ED$2)*(AsistenciaJetAdminConcatenada!$B:$B=ED$1), 0)), 1))),  0.5, 0))</f>
        <v>0</v>
      </c>
      <c r="EE76" s="47">
        <f t="array" ref="EE76">IF(AND(ISNUMBER(MATCH(EE$2, AsistenciaJetAdminConcatenada!$A:$A, 0)), ISNUMBER(MATCH(EE$1, AsistenciaJetAdminConcatenada!$B:$B, 0)), ISNUMBER(SEARCH($A76,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ISNUMBER(SEARCH($A76, INDEX(AsistenciaJetAdminConcatenada!$D:$D, MATCH(1, (AsistenciaJetAdminConcatenada!$A:$A=EE$2)*(AsistenciaJetAdminConcatenada!$B:$B=EE$1), 0)), 1))),  0.5, 0))</f>
        <v>0</v>
      </c>
      <c r="EF76" s="47">
        <f t="array" ref="EF76">IF(AND(ISNUMBER(MATCH(EF$2, AsistenciaJetAdminConcatenada!$A:$A, 0)), ISNUMBER(MATCH(EF$1, AsistenciaJetAdminConcatenada!$B:$B, 0)), ISNUMBER(SEARCH($A76,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ISNUMBER(SEARCH($A76, INDEX(AsistenciaJetAdminConcatenada!$D:$D, MATCH(1, (AsistenciaJetAdminConcatenada!$A:$A=EF$2)*(AsistenciaJetAdminConcatenada!$B:$B=EF$1), 0)), 1))),  0.5, 0))</f>
        <v>0</v>
      </c>
      <c r="EG76" s="47">
        <f t="array" ref="EG76">IF(AND(ISNUMBER(MATCH(EG$2, AsistenciaJetAdminConcatenada!$A:$A, 0)), ISNUMBER(MATCH(EG$1, AsistenciaJetAdminConcatenada!$B:$B, 0)), ISNUMBER(SEARCH($A76,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ISNUMBER(SEARCH($A76, INDEX(AsistenciaJetAdminConcatenada!$D:$D, MATCH(1, (AsistenciaJetAdminConcatenada!$A:$A=EG$2)*(AsistenciaJetAdminConcatenada!$B:$B=EG$1), 0)), 1))),  0.5, 0))</f>
        <v>0</v>
      </c>
      <c r="EH76" s="47">
        <f t="array" ref="EH76">IF(AND(ISNUMBER(MATCH(EH$2, AsistenciaJetAdminConcatenada!$A:$A, 0)), ISNUMBER(MATCH(EH$1, AsistenciaJetAdminConcatenada!$B:$B, 0)), ISNUMBER(SEARCH($A76,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ISNUMBER(SEARCH($A76, INDEX(AsistenciaJetAdminConcatenada!$D:$D, MATCH(1, (AsistenciaJetAdminConcatenada!$A:$A=EH$2)*(AsistenciaJetAdminConcatenada!$B:$B=EH$1), 0)), 1))),  0.5, 0))</f>
        <v>0</v>
      </c>
      <c r="EI76" s="47">
        <f t="array" ref="EI76">IF(AND(ISNUMBER(MATCH(EI$2, AsistenciaJetAdminConcatenada!$A:$A, 0)), ISNUMBER(MATCH(EI$1, AsistenciaJetAdminConcatenada!$B:$B, 0)), ISNUMBER(SEARCH($A76,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ISNUMBER(SEARCH($A76, INDEX(AsistenciaJetAdminConcatenada!$D:$D, MATCH(1, (AsistenciaJetAdminConcatenada!$A:$A=EI$2)*(AsistenciaJetAdminConcatenada!$B:$B=EI$1), 0)), 1))),  0.5, 0))</f>
        <v>0</v>
      </c>
      <c r="EJ76" s="47">
        <f t="array" ref="EJ76">IF(AND(ISNUMBER(MATCH(EJ$2, AsistenciaJetAdminConcatenada!$A:$A, 0)), ISNUMBER(MATCH(EJ$1, AsistenciaJetAdminConcatenada!$B:$B, 0)), ISNUMBER(SEARCH($A76,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ISNUMBER(SEARCH($A76, INDEX(AsistenciaJetAdminConcatenada!$D:$D, MATCH(1, (AsistenciaJetAdminConcatenada!$A:$A=EJ$2)*(AsistenciaJetAdminConcatenada!$B:$B=EJ$1), 0)), 1))),  0.5, 0))</f>
        <v>0</v>
      </c>
      <c r="EK76" s="47">
        <f t="array" ref="EK76">IF(AND(ISNUMBER(MATCH(EK$2, AsistenciaJetAdminConcatenada!$A:$A, 0)), ISNUMBER(MATCH(EK$1, AsistenciaJetAdminConcatenada!$B:$B, 0)), ISNUMBER(SEARCH($A76,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ISNUMBER(SEARCH($A76, INDEX(AsistenciaJetAdminConcatenada!$D:$D, MATCH(1, (AsistenciaJetAdminConcatenada!$A:$A=EK$2)*(AsistenciaJetAdminConcatenada!$B:$B=EK$1), 0)), 1))),  0.5, 0))</f>
        <v>0</v>
      </c>
      <c r="EL76" s="47">
        <f t="array" ref="EL76">IF(AND(ISNUMBER(MATCH(EL$2, AsistenciaJetAdminConcatenada!$A:$A, 0)), ISNUMBER(MATCH(EL$1, AsistenciaJetAdminConcatenada!$B:$B, 0)), ISNUMBER(SEARCH($A76,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ISNUMBER(SEARCH($A76, INDEX(AsistenciaJetAdminConcatenada!$D:$D, MATCH(1, (AsistenciaJetAdminConcatenada!$A:$A=EL$2)*(AsistenciaJetAdminConcatenada!$B:$B=EL$1), 0)), 1))),  0.5, 0))</f>
        <v>0</v>
      </c>
      <c r="EM76" s="47">
        <f t="array" ref="EM76">IF(AND(ISNUMBER(MATCH(EM$2, AsistenciaJetAdminConcatenada!$A:$A, 0)), ISNUMBER(MATCH(EM$1, AsistenciaJetAdminConcatenada!$B:$B, 0)), ISNUMBER(SEARCH($A76,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ISNUMBER(SEARCH($A76, INDEX(AsistenciaJetAdminConcatenada!$D:$D, MATCH(1, (AsistenciaJetAdminConcatenada!$A:$A=EM$2)*(AsistenciaJetAdminConcatenada!$B:$B=EM$1), 0)), 1))),  0.5, 0))</f>
        <v>0</v>
      </c>
      <c r="EN76" s="47">
        <f t="array" ref="EN76">IF(AND(ISNUMBER(MATCH(EN$2, AsistenciaJetAdminConcatenada!$A:$A, 0)), ISNUMBER(MATCH(EN$1, AsistenciaJetAdminConcatenada!$B:$B, 0)), ISNUMBER(SEARCH($A76,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ISNUMBER(SEARCH($A76, INDEX(AsistenciaJetAdminConcatenada!$D:$D, MATCH(1, (AsistenciaJetAdminConcatenada!$A:$A=EN$2)*(AsistenciaJetAdminConcatenada!$B:$B=EN$1), 0)), 1))),  0.5, 0))</f>
        <v>0</v>
      </c>
      <c r="EO76" s="47">
        <f t="array" ref="EO76">IF(AND(ISNUMBER(MATCH(EO$2, AsistenciaJetAdminConcatenada!$A:$A, 0)), ISNUMBER(MATCH(EO$1, AsistenciaJetAdminConcatenada!$B:$B, 0)), ISNUMBER(SEARCH($A76,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ISNUMBER(SEARCH($A76, INDEX(AsistenciaJetAdminConcatenada!$D:$D, MATCH(1, (AsistenciaJetAdminConcatenada!$A:$A=EO$2)*(AsistenciaJetAdminConcatenada!$B:$B=EO$1), 0)), 1))),  0.5, 0))</f>
        <v>0</v>
      </c>
      <c r="EP76" s="47">
        <f t="array" ref="EP76">IF(AND(ISNUMBER(MATCH(EP$2, AsistenciaJetAdminConcatenada!$A:$A, 0)), ISNUMBER(MATCH(EP$1, AsistenciaJetAdminConcatenada!$B:$B, 0)), ISNUMBER(SEARCH($A76,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ISNUMBER(SEARCH($A76, INDEX(AsistenciaJetAdminConcatenada!$D:$D, MATCH(1, (AsistenciaJetAdminConcatenada!$A:$A=EP$2)*(AsistenciaJetAdminConcatenada!$B:$B=EP$1), 0)), 1))),  0.5, 0))</f>
        <v>0</v>
      </c>
      <c r="EQ76" s="47">
        <f t="array" ref="EQ76">IF(AND(ISNUMBER(MATCH(EQ$2, AsistenciaJetAdminConcatenada!$A:$A, 0)), ISNUMBER(MATCH(EQ$1, AsistenciaJetAdminConcatenada!$B:$B, 0)), ISNUMBER(SEARCH($A76,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ISNUMBER(SEARCH($A76, INDEX(AsistenciaJetAdminConcatenada!$D:$D, MATCH(1, (AsistenciaJetAdminConcatenada!$A:$A=EQ$2)*(AsistenciaJetAdminConcatenada!$B:$B=EQ$1), 0)), 1))),  0.5, 0))</f>
        <v>0</v>
      </c>
      <c r="ER76" s="47">
        <f t="array" ref="ER76">IF(AND(ISNUMBER(MATCH(ER$2, AsistenciaJetAdminConcatenada!$A:$A, 0)), ISNUMBER(MATCH(ER$1, AsistenciaJetAdminConcatenada!$B:$B, 0)), ISNUMBER(SEARCH($A76,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ISNUMBER(SEARCH($A76, INDEX(AsistenciaJetAdminConcatenada!$D:$D, MATCH(1, (AsistenciaJetAdminConcatenada!$A:$A=ER$2)*(AsistenciaJetAdminConcatenada!$B:$B=ER$1), 0)), 1))),  0.5, 0))</f>
        <v>0</v>
      </c>
      <c r="ES76" s="47">
        <f t="array" ref="ES76">IF(AND(ISNUMBER(MATCH(ES$2, AsistenciaJetAdminConcatenada!$A:$A, 0)), ISNUMBER(MATCH(ES$1, AsistenciaJetAdminConcatenada!$B:$B, 0)), ISNUMBER(SEARCH($A76,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ISNUMBER(SEARCH($A76, INDEX(AsistenciaJetAdminConcatenada!$D:$D, MATCH(1, (AsistenciaJetAdminConcatenada!$A:$A=ES$2)*(AsistenciaJetAdminConcatenada!$B:$B=ES$1), 0)), 1))),  0.5, 0))</f>
        <v>0</v>
      </c>
      <c r="ET76" s="47">
        <f t="array" ref="ET76">IF(AND(ISNUMBER(MATCH(ET$2, AsistenciaJetAdminConcatenada!$A:$A, 0)), ISNUMBER(MATCH(ET$1, AsistenciaJetAdminConcatenada!$B:$B, 0)), ISNUMBER(SEARCH($A76,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ISNUMBER(SEARCH($A76, INDEX(AsistenciaJetAdminConcatenada!$D:$D, MATCH(1, (AsistenciaJetAdminConcatenada!$A:$A=ET$2)*(AsistenciaJetAdminConcatenada!$B:$B=ET$1), 0)), 1))),  0.5, 0))</f>
        <v>0</v>
      </c>
      <c r="EU76" s="47">
        <f t="array" ref="EU76">IF(AND(ISNUMBER(MATCH(EU$2, AsistenciaJetAdminConcatenada!$A:$A, 0)), ISNUMBER(MATCH(EU$1, AsistenciaJetAdminConcatenada!$B:$B, 0)), ISNUMBER(SEARCH($A76,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ISNUMBER(SEARCH($A76, INDEX(AsistenciaJetAdminConcatenada!$D:$D, MATCH(1, (AsistenciaJetAdminConcatenada!$A:$A=EU$2)*(AsistenciaJetAdminConcatenada!$B:$B=EU$1), 0)), 1))),  0.5, 0))</f>
        <v>0</v>
      </c>
      <c r="EV76" s="47">
        <f t="array" ref="EV76">IF(AND(ISNUMBER(MATCH(EV$2, AsistenciaJetAdminConcatenada!$A:$A, 0)), ISNUMBER(MATCH(EV$1, AsistenciaJetAdminConcatenada!$B:$B, 0)), ISNUMBER(SEARCH($A76,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ISNUMBER(SEARCH($A76, INDEX(AsistenciaJetAdminConcatenada!$D:$D, MATCH(1, (AsistenciaJetAdminConcatenada!$A:$A=EV$2)*(AsistenciaJetAdminConcatenada!$B:$B=EV$1), 0)), 1))),  0.5, 0))</f>
        <v>0</v>
      </c>
      <c r="EW76" s="47">
        <f t="array" ref="EW76">IF(AND(ISNUMBER(MATCH(EW$2, AsistenciaJetAdminConcatenada!$A:$A, 0)), ISNUMBER(MATCH(EW$1, AsistenciaJetAdminConcatenada!$B:$B, 0)), ISNUMBER(SEARCH($A76,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ISNUMBER(SEARCH($A76, INDEX(AsistenciaJetAdminConcatenada!$D:$D, MATCH(1, (AsistenciaJetAdminConcatenada!$A:$A=EW$2)*(AsistenciaJetAdminConcatenada!$B:$B=EW$1), 0)), 1))),  0.5, 0))</f>
        <v>0</v>
      </c>
      <c r="EX76" s="47">
        <f t="array" ref="EX76">IF(AND(ISNUMBER(MATCH(EX$2, AsistenciaJetAdminConcatenada!$A:$A, 0)), ISNUMBER(MATCH(EX$1, AsistenciaJetAdminConcatenada!$B:$B, 0)), ISNUMBER(SEARCH($A76,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ISNUMBER(SEARCH($A76, INDEX(AsistenciaJetAdminConcatenada!$D:$D, MATCH(1, (AsistenciaJetAdminConcatenada!$A:$A=EX$2)*(AsistenciaJetAdminConcatenada!$B:$B=EX$1), 0)), 1))),  0.5, 0))</f>
        <v>0</v>
      </c>
      <c r="EY76" s="47">
        <f t="array" ref="EY76">IF(AND(ISNUMBER(MATCH(EY$2, AsistenciaJetAdminConcatenada!$A:$A, 0)), ISNUMBER(MATCH(EY$1, AsistenciaJetAdminConcatenada!$B:$B, 0)), ISNUMBER(SEARCH($A76,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ISNUMBER(SEARCH($A76, INDEX(AsistenciaJetAdminConcatenada!$D:$D, MATCH(1, (AsistenciaJetAdminConcatenada!$A:$A=EY$2)*(AsistenciaJetAdminConcatenada!$B:$B=EY$1), 0)), 1))),  0.5, 0))</f>
        <v>0</v>
      </c>
      <c r="EZ76" s="47">
        <f t="array" ref="EZ76">IF(AND(ISNUMBER(MATCH(EZ$2, AsistenciaJetAdminConcatenada!$A:$A, 0)), ISNUMBER(MATCH(EZ$1, AsistenciaJetAdminConcatenada!$B:$B, 0)), ISNUMBER(SEARCH($A76,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ISNUMBER(SEARCH($A76, INDEX(AsistenciaJetAdminConcatenada!$D:$D, MATCH(1, (AsistenciaJetAdminConcatenada!$A:$A=EZ$2)*(AsistenciaJetAdminConcatenada!$B:$B=EZ$1), 0)), 1))),  0.5, 0))</f>
        <v>0</v>
      </c>
      <c r="FA76" s="47">
        <f t="array" ref="FA76">IF(AND(ISNUMBER(MATCH(FA$2, AsistenciaJetAdminConcatenada!$A:$A, 0)), ISNUMBER(MATCH(FA$1, AsistenciaJetAdminConcatenada!$B:$B, 0)), ISNUMBER(SEARCH($A76,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ISNUMBER(SEARCH($A76, INDEX(AsistenciaJetAdminConcatenada!$D:$D, MATCH(1, (AsistenciaJetAdminConcatenada!$A:$A=FA$2)*(AsistenciaJetAdminConcatenada!$B:$B=FA$1), 0)), 1))),  0.5, 0))</f>
        <v>0</v>
      </c>
      <c r="FB76" s="47">
        <f t="array" ref="FB76">IF(AND(ISNUMBER(MATCH(FB$2, AsistenciaJetAdminConcatenada!$A:$A, 0)), ISNUMBER(MATCH(FB$1, AsistenciaJetAdminConcatenada!$B:$B, 0)), ISNUMBER(SEARCH($A76,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ISNUMBER(SEARCH($A76, INDEX(AsistenciaJetAdminConcatenada!$D:$D, MATCH(1, (AsistenciaJetAdminConcatenada!$A:$A=FB$2)*(AsistenciaJetAdminConcatenada!$B:$B=FB$1), 0)), 1))),  0.5, 0))</f>
        <v>0</v>
      </c>
      <c r="FC76" s="47">
        <f t="array" ref="FC76">IF(AND(ISNUMBER(MATCH(FC$2, AsistenciaJetAdminConcatenada!$A:$A, 0)), ISNUMBER(MATCH(FC$1, AsistenciaJetAdminConcatenada!$B:$B, 0)), ISNUMBER(SEARCH($A76,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ISNUMBER(SEARCH($A76, INDEX(AsistenciaJetAdminConcatenada!$D:$D, MATCH(1, (AsistenciaJetAdminConcatenada!$A:$A=FC$2)*(AsistenciaJetAdminConcatenada!$B:$B=FC$1), 0)), 1))),  0.5, 0))</f>
        <v>0</v>
      </c>
      <c r="FD76" s="47">
        <f t="array" ref="FD76">IF(AND(ISNUMBER(MATCH(FD$2, AsistenciaJetAdminConcatenada!$A:$A, 0)), ISNUMBER(MATCH(FD$1, AsistenciaJetAdminConcatenada!$B:$B, 0)), ISNUMBER(SEARCH($A76,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ISNUMBER(SEARCH($A76, INDEX(AsistenciaJetAdminConcatenada!$D:$D, MATCH(1, (AsistenciaJetAdminConcatenada!$A:$A=FD$2)*(AsistenciaJetAdminConcatenada!$B:$B=FD$1), 0)), 1))),  0.5, 0))</f>
        <v>0</v>
      </c>
      <c r="FE76" s="47">
        <f t="array" ref="FE76">IF(AND(ISNUMBER(MATCH(FE$2, AsistenciaJetAdminConcatenada!$A:$A, 0)), ISNUMBER(MATCH(FE$1, AsistenciaJetAdminConcatenada!$B:$B, 0)), ISNUMBER(SEARCH($A76,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ISNUMBER(SEARCH($A76, INDEX(AsistenciaJetAdminConcatenada!$D:$D, MATCH(1, (AsistenciaJetAdminConcatenada!$A:$A=FE$2)*(AsistenciaJetAdminConcatenada!$B:$B=FE$1), 0)), 1))),  0.5, 0))</f>
        <v>0</v>
      </c>
      <c r="FF76" s="47">
        <f t="array" ref="FF76">IF(AND(ISNUMBER(MATCH(FF$2, AsistenciaJetAdminConcatenada!$A:$A, 0)), ISNUMBER(MATCH(FF$1, AsistenciaJetAdminConcatenada!$B:$B, 0)), ISNUMBER(SEARCH($A76,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ISNUMBER(SEARCH($A76, INDEX(AsistenciaJetAdminConcatenada!$D:$D, MATCH(1, (AsistenciaJetAdminConcatenada!$A:$A=FF$2)*(AsistenciaJetAdminConcatenada!$B:$B=FF$1), 0)), 1))),  0.5, 0))</f>
        <v>0</v>
      </c>
      <c r="FG76" s="47">
        <f t="array" ref="FG76">IF(AND(ISNUMBER(MATCH(FG$2, AsistenciaJetAdminConcatenada!$A:$A, 0)), ISNUMBER(MATCH(FG$1, AsistenciaJetAdminConcatenada!$B:$B, 0)), ISNUMBER(SEARCH($A76,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ISNUMBER(SEARCH($A76, INDEX(AsistenciaJetAdminConcatenada!$D:$D, MATCH(1, (AsistenciaJetAdminConcatenada!$A:$A=FG$2)*(AsistenciaJetAdminConcatenada!$B:$B=FG$1), 0)), 1))),  0.5, 0))</f>
        <v>0</v>
      </c>
      <c r="FH76" s="47">
        <f t="array" ref="FH76">IF(AND(ISNUMBER(MATCH(FH$2, AsistenciaJetAdminConcatenada!$A:$A, 0)), ISNUMBER(MATCH(FH$1, AsistenciaJetAdminConcatenada!$B:$B, 0)), ISNUMBER(SEARCH($A76,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ISNUMBER(SEARCH($A76, INDEX(AsistenciaJetAdminConcatenada!$D:$D, MATCH(1, (AsistenciaJetAdminConcatenada!$A:$A=FH$2)*(AsistenciaJetAdminConcatenada!$B:$B=FH$1), 0)), 1))),  0.5, 0))</f>
        <v>0</v>
      </c>
      <c r="FI76" s="47">
        <f t="array" ref="FI76">IF(AND(ISNUMBER(MATCH(FI$2, AsistenciaJetAdminConcatenada!$A:$A, 0)), ISNUMBER(MATCH(FI$1, AsistenciaJetAdminConcatenada!$B:$B, 0)), ISNUMBER(SEARCH($A76,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ISNUMBER(SEARCH($A76, INDEX(AsistenciaJetAdminConcatenada!$D:$D, MATCH(1, (AsistenciaJetAdminConcatenada!$A:$A=FI$2)*(AsistenciaJetAdminConcatenada!$B:$B=FI$1), 0)), 1))),  0.5, 0))</f>
        <v>0</v>
      </c>
      <c r="FJ76" s="47">
        <f t="array" ref="FJ76">IF(AND(ISNUMBER(MATCH(FJ$2, AsistenciaJetAdminConcatenada!$A:$A, 0)), ISNUMBER(MATCH(FJ$1, AsistenciaJetAdminConcatenada!$B:$B, 0)), ISNUMBER(SEARCH($A76,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ISNUMBER(SEARCH($A76, INDEX(AsistenciaJetAdminConcatenada!$D:$D, MATCH(1, (AsistenciaJetAdminConcatenada!$A:$A=FJ$2)*(AsistenciaJetAdminConcatenada!$B:$B=FJ$1), 0)), 1))),  0.5, 0))</f>
        <v>0</v>
      </c>
      <c r="FK76" s="47">
        <f t="array" ref="FK76">IF(AND(ISNUMBER(MATCH(FK$2, AsistenciaJetAdminConcatenada!$A:$A, 0)), ISNUMBER(MATCH(FK$1, AsistenciaJetAdminConcatenada!$B:$B, 0)), ISNUMBER(SEARCH($A76,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ISNUMBER(SEARCH($A76, INDEX(AsistenciaJetAdminConcatenada!$D:$D, MATCH(1, (AsistenciaJetAdminConcatenada!$A:$A=FK$2)*(AsistenciaJetAdminConcatenada!$B:$B=FK$1), 0)), 1))),  0.5, 0))</f>
        <v>0</v>
      </c>
      <c r="FL76" s="47">
        <f t="array" ref="FL76">IF(AND(ISNUMBER(MATCH(FL$2, AsistenciaJetAdminConcatenada!$A:$A, 0)), ISNUMBER(MATCH(FL$1, AsistenciaJetAdminConcatenada!$B:$B, 0)), ISNUMBER(SEARCH($A76,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ISNUMBER(SEARCH($A76, INDEX(AsistenciaJetAdminConcatenada!$D:$D, MATCH(1, (AsistenciaJetAdminConcatenada!$A:$A=FL$2)*(AsistenciaJetAdminConcatenada!$B:$B=FL$1), 0)), 1))),  0.5, 0))</f>
        <v>0</v>
      </c>
      <c r="FM76" s="47">
        <f t="array" ref="FM76">IF(AND(ISNUMBER(MATCH(FM$2, AsistenciaJetAdminConcatenada!$A:$A, 0)), ISNUMBER(MATCH(FM$1, AsistenciaJetAdminConcatenada!$B:$B, 0)), ISNUMBER(SEARCH($A76,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ISNUMBER(SEARCH($A76, INDEX(AsistenciaJetAdminConcatenada!$D:$D, MATCH(1, (AsistenciaJetAdminConcatenada!$A:$A=FM$2)*(AsistenciaJetAdminConcatenada!$B:$B=FM$1), 0)), 1))),  0.5, 0))</f>
        <v>0</v>
      </c>
      <c r="FN76" s="47">
        <f t="array" ref="FN76">IF(AND(ISNUMBER(MATCH(FN$2, AsistenciaJetAdminConcatenada!$A:$A, 0)), ISNUMBER(MATCH(FN$1, AsistenciaJetAdminConcatenada!$B:$B, 0)), ISNUMBER(SEARCH($A76,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ISNUMBER(SEARCH($A76, INDEX(AsistenciaJetAdminConcatenada!$D:$D, MATCH(1, (AsistenciaJetAdminConcatenada!$A:$A=FN$2)*(AsistenciaJetAdminConcatenada!$B:$B=FN$1), 0)), 1))),  0.5, 0))</f>
        <v>0</v>
      </c>
      <c r="FO76" s="47">
        <f t="array" ref="FO76">IF(AND(ISNUMBER(MATCH(FO$2, AsistenciaJetAdminConcatenada!$A:$A, 0)), ISNUMBER(MATCH(FO$1, AsistenciaJetAdminConcatenada!$B:$B, 0)), ISNUMBER(SEARCH($A76,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ISNUMBER(SEARCH($A76, INDEX(AsistenciaJetAdminConcatenada!$D:$D, MATCH(1, (AsistenciaJetAdminConcatenada!$A:$A=FO$2)*(AsistenciaJetAdminConcatenada!$B:$B=FO$1), 0)), 1))),  0.5, 0))</f>
        <v>0</v>
      </c>
      <c r="FP76" s="47">
        <f t="array" ref="FP76">IF(AND(ISNUMBER(MATCH(FP$2, AsistenciaJetAdminConcatenada!$A:$A, 0)), ISNUMBER(MATCH(FP$1, AsistenciaJetAdminConcatenada!$B:$B, 0)), ISNUMBER(SEARCH($A76,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ISNUMBER(SEARCH($A76, INDEX(AsistenciaJetAdminConcatenada!$D:$D, MATCH(1, (AsistenciaJetAdminConcatenada!$A:$A=FP$2)*(AsistenciaJetAdminConcatenada!$B:$B=FP$1), 0)), 1))),  0.5, 0))</f>
        <v>0</v>
      </c>
      <c r="FQ76" s="47">
        <f t="array" ref="FQ76">IF(AND(ISNUMBER(MATCH(FQ$2, AsistenciaJetAdminConcatenada!$A:$A, 0)), ISNUMBER(MATCH(FQ$1, AsistenciaJetAdminConcatenada!$B:$B, 0)), ISNUMBER(SEARCH($A76,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ISNUMBER(SEARCH($A76, INDEX(AsistenciaJetAdminConcatenada!$D:$D, MATCH(1, (AsistenciaJetAdminConcatenada!$A:$A=FQ$2)*(AsistenciaJetAdminConcatenada!$B:$B=FQ$1), 0)), 1))),  0.5, 0))</f>
        <v>0</v>
      </c>
      <c r="FR76" s="47">
        <f t="array" ref="FR76">IF(AND(ISNUMBER(MATCH(FR$2, AsistenciaJetAdminConcatenada!$A:$A, 0)), ISNUMBER(MATCH(FR$1, AsistenciaJetAdminConcatenada!$B:$B, 0)), ISNUMBER(SEARCH($A76,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ISNUMBER(SEARCH($A76, INDEX(AsistenciaJetAdminConcatenada!$D:$D, MATCH(1, (AsistenciaJetAdminConcatenada!$A:$A=FR$2)*(AsistenciaJetAdminConcatenada!$B:$B=FR$1), 0)), 1))),  0.5, 0))</f>
        <v>0</v>
      </c>
      <c r="FS76" s="47">
        <f t="array" ref="FS76">IF(AND(ISNUMBER(MATCH(FS$2, AsistenciaJetAdminConcatenada!$A:$A, 0)), ISNUMBER(MATCH(FS$1, AsistenciaJetAdminConcatenada!$B:$B, 0)), ISNUMBER(SEARCH($A76,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ISNUMBER(SEARCH($A76, INDEX(AsistenciaJetAdminConcatenada!$D:$D, MATCH(1, (AsistenciaJetAdminConcatenada!$A:$A=FS$2)*(AsistenciaJetAdminConcatenada!$B:$B=FS$1), 0)), 1))),  0.5, 0))</f>
        <v>0</v>
      </c>
      <c r="FT76" s="47">
        <f t="array" ref="FT76">IF(AND(ISNUMBER(MATCH(FT$2, AsistenciaJetAdminConcatenada!$A:$A, 0)), ISNUMBER(MATCH(FT$1, AsistenciaJetAdminConcatenada!$B:$B, 0)), ISNUMBER(SEARCH($A76,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ISNUMBER(SEARCH($A76, INDEX(AsistenciaJetAdminConcatenada!$D:$D, MATCH(1, (AsistenciaJetAdminConcatenada!$A:$A=FT$2)*(AsistenciaJetAdminConcatenada!$B:$B=FT$1), 0)), 1))),  0.5, 0))</f>
        <v>0</v>
      </c>
      <c r="FU76" s="47">
        <f t="array" ref="FU76">IF(AND(ISNUMBER(MATCH(FU$2, AsistenciaJetAdminConcatenada!$A:$A, 0)), ISNUMBER(MATCH(FU$1, AsistenciaJetAdminConcatenada!$B:$B, 0)), ISNUMBER(SEARCH($A76,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ISNUMBER(SEARCH($A76, INDEX(AsistenciaJetAdminConcatenada!$D:$D, MATCH(1, (AsistenciaJetAdminConcatenada!$A:$A=FU$2)*(AsistenciaJetAdminConcatenada!$B:$B=FU$1), 0)), 1))),  0.5, 0))</f>
        <v>0</v>
      </c>
      <c r="FV76" s="47">
        <f t="array" ref="FV76">IF(AND(ISNUMBER(MATCH(FV$2, AsistenciaJetAdminConcatenada!$A:$A, 0)), ISNUMBER(MATCH(FV$1, AsistenciaJetAdminConcatenada!$B:$B, 0)), ISNUMBER(SEARCH($A76,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ISNUMBER(SEARCH($A76, INDEX(AsistenciaJetAdminConcatenada!$D:$D, MATCH(1, (AsistenciaJetAdminConcatenada!$A:$A=FV$2)*(AsistenciaJetAdminConcatenada!$B:$B=FV$1), 0)), 1))),  0.5, 0))</f>
        <v>0</v>
      </c>
      <c r="FW76" s="47">
        <f t="array" ref="FW76">IF(AND(ISNUMBER(MATCH(FW$2, AsistenciaJetAdminConcatenada!$A:$A, 0)), ISNUMBER(MATCH(FW$1, AsistenciaJetAdminConcatenada!$B:$B, 0)), ISNUMBER(SEARCH($A76,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ISNUMBER(SEARCH($A76, INDEX(AsistenciaJetAdminConcatenada!$D:$D, MATCH(1, (AsistenciaJetAdminConcatenada!$A:$A=FW$2)*(AsistenciaJetAdminConcatenada!$B:$B=FW$1), 0)), 1))),  0.5, 0))</f>
        <v>0</v>
      </c>
      <c r="FX76" s="47">
        <f t="array" ref="FX76">IF(AND(ISNUMBER(MATCH(FX$2, AsistenciaJetAdminConcatenada!$A:$A, 0)), ISNUMBER(MATCH(FX$1, AsistenciaJetAdminConcatenada!$B:$B, 0)), ISNUMBER(SEARCH($A76,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ISNUMBER(SEARCH($A76, INDEX(AsistenciaJetAdminConcatenada!$D:$D, MATCH(1, (AsistenciaJetAdminConcatenada!$A:$A=FX$2)*(AsistenciaJetAdminConcatenada!$B:$B=FX$1), 0)), 1))),  0.5, 0))</f>
        <v>0</v>
      </c>
      <c r="FY76" s="47">
        <f t="array" ref="FY76">IF(AND(ISNUMBER(MATCH(FY$2, AsistenciaJetAdminConcatenada!$A:$A, 0)), ISNUMBER(MATCH(FY$1, AsistenciaJetAdminConcatenada!$B:$B, 0)), ISNUMBER(SEARCH($A76,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ISNUMBER(SEARCH($A76, INDEX(AsistenciaJetAdminConcatenada!$D:$D, MATCH(1, (AsistenciaJetAdminConcatenada!$A:$A=FY$2)*(AsistenciaJetAdminConcatenada!$B:$B=FY$1), 0)), 1))),  0.5, 0))</f>
        <v>0</v>
      </c>
      <c r="FZ76" s="47">
        <f t="array" ref="FZ76">IF(AND(ISNUMBER(MATCH(FZ$2, AsistenciaJetAdminConcatenada!$A:$A, 0)), ISNUMBER(MATCH(FZ$1, AsistenciaJetAdminConcatenada!$B:$B, 0)), ISNUMBER(SEARCH($A76,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ISNUMBER(SEARCH($A76, INDEX(AsistenciaJetAdminConcatenada!$D:$D, MATCH(1, (AsistenciaJetAdminConcatenada!$A:$A=FZ$2)*(AsistenciaJetAdminConcatenada!$B:$B=FZ$1), 0)), 1))),  0.5, 0))</f>
        <v>0</v>
      </c>
      <c r="GA76" s="47">
        <f t="array" ref="GA76">IF(AND(ISNUMBER(MATCH(GA$2, AsistenciaJetAdminConcatenada!$A:$A, 0)), ISNUMBER(MATCH(GA$1, AsistenciaJetAdminConcatenada!$B:$B, 0)), ISNUMBER(SEARCH($A76,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ISNUMBER(SEARCH($A76, INDEX(AsistenciaJetAdminConcatenada!$D:$D, MATCH(1, (AsistenciaJetAdminConcatenada!$A:$A=GA$2)*(AsistenciaJetAdminConcatenada!$B:$B=GA$1), 0)), 1))),  0.5, 0))</f>
        <v>0</v>
      </c>
      <c r="GB76" s="47">
        <f t="array" ref="GB76">IF(AND(ISNUMBER(MATCH(GB$2, AsistenciaJetAdminConcatenada!$A:$A, 0)), ISNUMBER(MATCH(GB$1, AsistenciaJetAdminConcatenada!$B:$B, 0)), ISNUMBER(SEARCH($A76,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ISNUMBER(SEARCH($A76, INDEX(AsistenciaJetAdminConcatenada!$D:$D, MATCH(1, (AsistenciaJetAdminConcatenada!$A:$A=GB$2)*(AsistenciaJetAdminConcatenada!$B:$B=GB$1), 0)), 1))),  0.5, 0))</f>
        <v>0</v>
      </c>
      <c r="GC76" s="47">
        <f t="array" ref="GC76">IF(AND(ISNUMBER(MATCH(GC$2, AsistenciaJetAdminConcatenada!$A:$A, 0)), ISNUMBER(MATCH(GC$1, AsistenciaJetAdminConcatenada!$B:$B, 0)), ISNUMBER(SEARCH($A76,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ISNUMBER(SEARCH($A76, INDEX(AsistenciaJetAdminConcatenada!$D:$D, MATCH(1, (AsistenciaJetAdminConcatenada!$A:$A=GC$2)*(AsistenciaJetAdminConcatenada!$B:$B=GC$1), 0)), 1))),  0.5, 0))</f>
        <v>0</v>
      </c>
      <c r="GD76" s="47">
        <f t="array" ref="GD76">IF(AND(ISNUMBER(MATCH(GD$2, AsistenciaJetAdminConcatenada!$A:$A, 0)), ISNUMBER(MATCH(GD$1, AsistenciaJetAdminConcatenada!$B:$B, 0)), ISNUMBER(SEARCH($A76,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ISNUMBER(SEARCH($A76, INDEX(AsistenciaJetAdminConcatenada!$D:$D, MATCH(1, (AsistenciaJetAdminConcatenada!$A:$A=GD$2)*(AsistenciaJetAdminConcatenada!$B:$B=GD$1), 0)), 1))),  0.5, 0))</f>
        <v>0</v>
      </c>
      <c r="GE76" s="47">
        <f t="array" ref="GE76">IF(AND(ISNUMBER(MATCH(GE$2, AsistenciaJetAdminConcatenada!$A:$A, 0)), ISNUMBER(MATCH(GE$1, AsistenciaJetAdminConcatenada!$B:$B, 0)), ISNUMBER(SEARCH($A76,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ISNUMBER(SEARCH($A76, INDEX(AsistenciaJetAdminConcatenada!$D:$D, MATCH(1, (AsistenciaJetAdminConcatenada!$A:$A=GE$2)*(AsistenciaJetAdminConcatenada!$B:$B=GE$1), 0)), 1))),  0.5, 0))</f>
        <v>0</v>
      </c>
      <c r="GF76" s="47">
        <f t="array" ref="GF76">IF(AND(ISNUMBER(MATCH(GF$2, AsistenciaJetAdminConcatenada!$A:$A, 0)), ISNUMBER(MATCH(GF$1, AsistenciaJetAdminConcatenada!$B:$B, 0)), ISNUMBER(SEARCH($A76,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ISNUMBER(SEARCH($A76, INDEX(AsistenciaJetAdminConcatenada!$D:$D, MATCH(1, (AsistenciaJetAdminConcatenada!$A:$A=GF$2)*(AsistenciaJetAdminConcatenada!$B:$B=GF$1), 0)), 1))),  0.5, 0))</f>
        <v>0</v>
      </c>
      <c r="GG76" s="47">
        <f t="array" ref="GG76">IF(AND(ISNUMBER(MATCH(GG$2, AsistenciaJetAdminConcatenada!$A:$A, 0)), ISNUMBER(MATCH(GG$1, AsistenciaJetAdminConcatenada!$B:$B, 0)), ISNUMBER(SEARCH($A76,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ISNUMBER(SEARCH($A76, INDEX(AsistenciaJetAdminConcatenada!$D:$D, MATCH(1, (AsistenciaJetAdminConcatenada!$A:$A=GG$2)*(AsistenciaJetAdminConcatenada!$B:$B=GG$1), 0)), 1))),  0.5, 0))</f>
        <v>0</v>
      </c>
      <c r="GH76" s="47">
        <f t="array" ref="GH76">IF(AND(ISNUMBER(MATCH(GH$2, AsistenciaJetAdminConcatenada!$A:$A, 0)), ISNUMBER(MATCH(GH$1, AsistenciaJetAdminConcatenada!$B:$B, 0)), ISNUMBER(SEARCH($A76,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ISNUMBER(SEARCH($A76, INDEX(AsistenciaJetAdminConcatenada!$D:$D, MATCH(1, (AsistenciaJetAdminConcatenada!$A:$A=GH$2)*(AsistenciaJetAdminConcatenada!$B:$B=GH$1), 0)), 1))),  0.5, 0))</f>
        <v>0</v>
      </c>
      <c r="GI76" s="47">
        <f t="array" ref="GI76">IF(AND(ISNUMBER(MATCH(GI$2, AsistenciaJetAdminConcatenada!$A:$A, 0)), ISNUMBER(MATCH(GI$1, AsistenciaJetAdminConcatenada!$B:$B, 0)), ISNUMBER(SEARCH($A76,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ISNUMBER(SEARCH($A76, INDEX(AsistenciaJetAdminConcatenada!$D:$D, MATCH(1, (AsistenciaJetAdminConcatenada!$A:$A=GI$2)*(AsistenciaJetAdminConcatenada!$B:$B=GI$1), 0)), 1))),  0.5, 0))</f>
        <v>0</v>
      </c>
      <c r="GJ76" s="47">
        <f t="array" ref="GJ76">IF(AND(ISNUMBER(MATCH(GJ$2, AsistenciaJetAdminConcatenada!$A:$A, 0)), ISNUMBER(MATCH(GJ$1, AsistenciaJetAdminConcatenada!$B:$B, 0)), ISNUMBER(SEARCH($A76,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ISNUMBER(SEARCH($A76, INDEX(AsistenciaJetAdminConcatenada!$D:$D, MATCH(1, (AsistenciaJetAdminConcatenada!$A:$A=GJ$2)*(AsistenciaJetAdminConcatenada!$B:$B=GJ$1), 0)), 1))),  0.5, 0))</f>
        <v>0</v>
      </c>
      <c r="GK76" s="47">
        <f t="array" ref="GK76">IF(AND(ISNUMBER(MATCH(GK$2, AsistenciaJetAdminConcatenada!$A:$A, 0)), ISNUMBER(MATCH(GK$1, AsistenciaJetAdminConcatenada!$B:$B, 0)), ISNUMBER(SEARCH($A76,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ISNUMBER(SEARCH($A76, INDEX(AsistenciaJetAdminConcatenada!$D:$D, MATCH(1, (AsistenciaJetAdminConcatenada!$A:$A=GK$2)*(AsistenciaJetAdminConcatenada!$B:$B=GK$1), 0)), 1))),  0.5, 0))</f>
        <v>0</v>
      </c>
      <c r="GL76" s="47">
        <f t="array" ref="GL76">IF(AND(ISNUMBER(MATCH(GL$2, AsistenciaJetAdminConcatenada!$A:$A, 0)), ISNUMBER(MATCH(GL$1, AsistenciaJetAdminConcatenada!$B:$B, 0)), ISNUMBER(SEARCH($A76,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ISNUMBER(SEARCH($A76, INDEX(AsistenciaJetAdminConcatenada!$D:$D, MATCH(1, (AsistenciaJetAdminConcatenada!$A:$A=GL$2)*(AsistenciaJetAdminConcatenada!$B:$B=GL$1), 0)), 1))),  0.5, 0))</f>
        <v>0</v>
      </c>
      <c r="GM76" s="47">
        <f t="array" ref="GM76">IF(AND(ISNUMBER(MATCH(GM$2, AsistenciaJetAdminConcatenada!$A:$A, 0)), ISNUMBER(MATCH(GM$1, AsistenciaJetAdminConcatenada!$B:$B, 0)), ISNUMBER(SEARCH($A76,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ISNUMBER(SEARCH($A76, INDEX(AsistenciaJetAdminConcatenada!$D:$D, MATCH(1, (AsistenciaJetAdminConcatenada!$A:$A=GM$2)*(AsistenciaJetAdminConcatenada!$B:$B=GM$1), 0)), 1))),  0.5, 0))</f>
        <v>0</v>
      </c>
      <c r="GN76" s="47">
        <f t="array" ref="GN76">IF(AND(ISNUMBER(MATCH(GN$2, AsistenciaJetAdminConcatenada!$A:$A, 0)), ISNUMBER(MATCH(GN$1, AsistenciaJetAdminConcatenada!$B:$B, 0)), ISNUMBER(SEARCH($A76,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ISNUMBER(SEARCH($A76, INDEX(AsistenciaJetAdminConcatenada!$D:$D, MATCH(1, (AsistenciaJetAdminConcatenada!$A:$A=GN$2)*(AsistenciaJetAdminConcatenada!$B:$B=GN$1), 0)), 1))),  0.5, 0))</f>
        <v>0</v>
      </c>
      <c r="GO76" s="47">
        <f t="array" ref="GO76">IF(AND(ISNUMBER(MATCH(GO$2, AsistenciaJetAdminConcatenada!$A:$A, 0)), ISNUMBER(MATCH(GO$1, AsistenciaJetAdminConcatenada!$B:$B, 0)), ISNUMBER(SEARCH($A76,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ISNUMBER(SEARCH($A76, INDEX(AsistenciaJetAdminConcatenada!$D:$D, MATCH(1, (AsistenciaJetAdminConcatenada!$A:$A=GO$2)*(AsistenciaJetAdminConcatenada!$B:$B=GO$1), 0)), 1))),  0.5, 0))</f>
        <v>0</v>
      </c>
      <c r="GP76" s="47">
        <f t="array" ref="GP76">IF(AND(ISNUMBER(MATCH(GP$2, AsistenciaJetAdminConcatenada!$A:$A, 0)), ISNUMBER(MATCH(GP$1, AsistenciaJetAdminConcatenada!$B:$B, 0)), ISNUMBER(SEARCH($A76,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ISNUMBER(SEARCH($A76, INDEX(AsistenciaJetAdminConcatenada!$D:$D, MATCH(1, (AsistenciaJetAdminConcatenada!$A:$A=GP$2)*(AsistenciaJetAdminConcatenada!$B:$B=GP$1), 0)), 1))),  0.5, 0))</f>
        <v>0</v>
      </c>
      <c r="GQ76" s="47">
        <f t="array" ref="GQ76">IF(AND(ISNUMBER(MATCH(GQ$2, AsistenciaJetAdminConcatenada!$A:$A, 0)), ISNUMBER(MATCH(GQ$1, AsistenciaJetAdminConcatenada!$B:$B, 0)), ISNUMBER(SEARCH($A76,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ISNUMBER(SEARCH($A76, INDEX(AsistenciaJetAdminConcatenada!$D:$D, MATCH(1, (AsistenciaJetAdminConcatenada!$A:$A=GQ$2)*(AsistenciaJetAdminConcatenada!$B:$B=GQ$1), 0)), 1))),  0.5, 0))</f>
        <v>0</v>
      </c>
      <c r="GR76" s="47">
        <f t="array" ref="GR76">IF(AND(ISNUMBER(MATCH(GR$2, AsistenciaJetAdminConcatenada!$A:$A, 0)), ISNUMBER(MATCH(GR$1, AsistenciaJetAdminConcatenada!$B:$B, 0)), ISNUMBER(SEARCH($A76,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ISNUMBER(SEARCH($A76, INDEX(AsistenciaJetAdminConcatenada!$D:$D, MATCH(1, (AsistenciaJetAdminConcatenada!$A:$A=GR$2)*(AsistenciaJetAdminConcatenada!$B:$B=GR$1), 0)), 1))),  0.5, 0))</f>
        <v>0</v>
      </c>
      <c r="GS76" s="47">
        <f t="array" ref="GS76">IF(AND(ISNUMBER(MATCH(GS$2, AsistenciaJetAdminConcatenada!$A:$A, 0)), ISNUMBER(MATCH(GS$1, AsistenciaJetAdminConcatenada!$B:$B, 0)), ISNUMBER(SEARCH($A76,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ISNUMBER(SEARCH($A76, INDEX(AsistenciaJetAdminConcatenada!$D:$D, MATCH(1, (AsistenciaJetAdminConcatenada!$A:$A=GS$2)*(AsistenciaJetAdminConcatenada!$B:$B=GS$1), 0)), 1))),  0.5, 0))</f>
        <v>0</v>
      </c>
      <c r="GT76" s="47">
        <f t="array" ref="GT76">IF(AND(ISNUMBER(MATCH(GT$2, AsistenciaJetAdminConcatenada!$A:$A, 0)), ISNUMBER(MATCH(GT$1, AsistenciaJetAdminConcatenada!$B:$B, 0)), ISNUMBER(SEARCH($A76,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ISNUMBER(SEARCH($A76, INDEX(AsistenciaJetAdminConcatenada!$D:$D, MATCH(1, (AsistenciaJetAdminConcatenada!$A:$A=GT$2)*(AsistenciaJetAdminConcatenada!$B:$B=GT$1), 0)), 1))),  0.5, 0))</f>
        <v>0</v>
      </c>
      <c r="GU76" s="47">
        <f t="array" ref="GU76">IF(AND(ISNUMBER(MATCH(GU$2, AsistenciaJetAdminConcatenada!$A:$A, 0)), ISNUMBER(MATCH(GU$1, AsistenciaJetAdminConcatenada!$B:$B, 0)), ISNUMBER(SEARCH($A76,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ISNUMBER(SEARCH($A76, INDEX(AsistenciaJetAdminConcatenada!$D:$D, MATCH(1, (AsistenciaJetAdminConcatenada!$A:$A=GU$2)*(AsistenciaJetAdminConcatenada!$B:$B=GU$1), 0)), 1))),  0.5, 0))</f>
        <v>0</v>
      </c>
      <c r="GV76" s="47">
        <f t="array" ref="GV76">IF(AND(ISNUMBER(MATCH(GV$2, AsistenciaJetAdminConcatenada!$A:$A, 0)), ISNUMBER(MATCH(GV$1, AsistenciaJetAdminConcatenada!$B:$B, 0)), ISNUMBER(SEARCH($A76,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ISNUMBER(SEARCH($A76, INDEX(AsistenciaJetAdminConcatenada!$D:$D, MATCH(1, (AsistenciaJetAdminConcatenada!$A:$A=GV$2)*(AsistenciaJetAdminConcatenada!$B:$B=GV$1), 0)), 1))),  0.5, 0))</f>
        <v>0</v>
      </c>
      <c r="GW76" s="47">
        <f t="array" ref="GW76">IF(AND(ISNUMBER(MATCH(GW$2, AsistenciaJetAdminConcatenada!$A:$A, 0)), ISNUMBER(MATCH(GW$1, AsistenciaJetAdminConcatenada!$B:$B, 0)), ISNUMBER(SEARCH($A76,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ISNUMBER(SEARCH($A76, INDEX(AsistenciaJetAdminConcatenada!$D:$D, MATCH(1, (AsistenciaJetAdminConcatenada!$A:$A=GW$2)*(AsistenciaJetAdminConcatenada!$B:$B=GW$1), 0)), 1))),  0.5, 0))</f>
        <v>0</v>
      </c>
      <c r="GX76" s="47">
        <f t="array" ref="GX76">IF(AND(ISNUMBER(MATCH(GX$2, AsistenciaJetAdminConcatenada!$A:$A, 0)), ISNUMBER(MATCH(GX$1, AsistenciaJetAdminConcatenada!$B:$B, 0)), ISNUMBER(SEARCH($A76,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ISNUMBER(SEARCH($A76, INDEX(AsistenciaJetAdminConcatenada!$D:$D, MATCH(1, (AsistenciaJetAdminConcatenada!$A:$A=GX$2)*(AsistenciaJetAdminConcatenada!$B:$B=GX$1), 0)), 1))),  0.5, 0))</f>
        <v>0</v>
      </c>
      <c r="GY76" s="47">
        <f t="array" ref="GY76">IF(AND(ISNUMBER(MATCH(GY$2, AsistenciaJetAdminConcatenada!$A:$A, 0)), ISNUMBER(MATCH(GY$1, AsistenciaJetAdminConcatenada!$B:$B, 0)), ISNUMBER(SEARCH($A76,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ISNUMBER(SEARCH($A76, INDEX(AsistenciaJetAdminConcatenada!$D:$D, MATCH(1, (AsistenciaJetAdminConcatenada!$A:$A=GY$2)*(AsistenciaJetAdminConcatenada!$B:$B=GY$1), 0)), 1))),  0.5, 0))</f>
        <v>0</v>
      </c>
      <c r="GZ76" s="47">
        <f t="array" ref="GZ76">IF(AND(ISNUMBER(MATCH(GZ$2, AsistenciaJetAdminConcatenada!$A:$A, 0)), ISNUMBER(MATCH(GZ$1, AsistenciaJetAdminConcatenada!$B:$B, 0)), ISNUMBER(SEARCH($A76,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ISNUMBER(SEARCH($A76, INDEX(AsistenciaJetAdminConcatenada!$D:$D, MATCH(1, (AsistenciaJetAdminConcatenada!$A:$A=GZ$2)*(AsistenciaJetAdminConcatenada!$B:$B=GZ$1), 0)), 1))),  0.5, 0))</f>
        <v>0</v>
      </c>
      <c r="HA76" s="47">
        <f t="array" ref="HA76">IF(AND(ISNUMBER(MATCH(HA$2, AsistenciaJetAdminConcatenada!$A:$A, 0)), ISNUMBER(MATCH(HA$1, AsistenciaJetAdminConcatenada!$B:$B, 0)), ISNUMBER(SEARCH($A76,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ISNUMBER(SEARCH($A76, INDEX(AsistenciaJetAdminConcatenada!$D:$D, MATCH(1, (AsistenciaJetAdminConcatenada!$A:$A=HA$2)*(AsistenciaJetAdminConcatenada!$B:$B=HA$1), 0)), 1))),  0.5, 0))</f>
        <v>0</v>
      </c>
      <c r="HB76" s="47">
        <f t="array" ref="HB76">IF(AND(ISNUMBER(MATCH(HB$2, AsistenciaJetAdminConcatenada!$A:$A, 0)), ISNUMBER(MATCH(HB$1, AsistenciaJetAdminConcatenada!$B:$B, 0)), ISNUMBER(SEARCH($A76,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ISNUMBER(SEARCH($A76, INDEX(AsistenciaJetAdminConcatenada!$D:$D, MATCH(1, (AsistenciaJetAdminConcatenada!$A:$A=HB$2)*(AsistenciaJetAdminConcatenada!$B:$B=HB$1), 0)), 1))),  0.5, 0))</f>
        <v>0</v>
      </c>
      <c r="HC76" s="47">
        <f t="array" ref="HC76">IF(AND(ISNUMBER(MATCH(HC$2, AsistenciaJetAdminConcatenada!$A:$A, 0)), ISNUMBER(MATCH(HC$1, AsistenciaJetAdminConcatenada!$B:$B, 0)), ISNUMBER(SEARCH($A76,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ISNUMBER(SEARCH($A76, INDEX(AsistenciaJetAdminConcatenada!$D:$D, MATCH(1, (AsistenciaJetAdminConcatenada!$A:$A=HC$2)*(AsistenciaJetAdminConcatenada!$B:$B=HC$1), 0)), 1))),  0.5, 0))</f>
        <v>0</v>
      </c>
    </row>
    <row r="77" ht="29.25" customHeight="1">
      <c r="A77" s="3">
        <v>125.0</v>
      </c>
      <c r="B77" s="4" t="s">
        <v>186</v>
      </c>
      <c r="C77" s="47">
        <f>SUM(D77:HC77) + ActividadesEspeciales!C77</f>
        <v>83</v>
      </c>
      <c r="D77" s="47">
        <f t="array" ref="D77">IF(AND(ISNUMBER(MATCH(D$2, AsistenciaJetAdminConcatenada!$A:$A, 0)), ISNUMBER(MATCH(D$1, AsistenciaJetAdminConcatenada!$B:$B, 0)), ISNUMBER(SEARCH($A77,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ISNUMBER(SEARCH($A77, INDEX(AsistenciaJetAdminConcatenada!$D:$D, MATCH(1, (AsistenciaJetAdminConcatenada!$A:$A=D$2)*(AsistenciaJetAdminConcatenada!$B:$B=D$1), 0)), 1))),  0.5, 0))</f>
        <v>1</v>
      </c>
      <c r="E77" s="47">
        <f t="array" ref="E77">IF(AND(ISNUMBER(MATCH(E$2, AsistenciaJetAdminConcatenada!$A:$A, 0)), ISNUMBER(MATCH(E$1, AsistenciaJetAdminConcatenada!$B:$B, 0)), ISNUMBER(SEARCH($A77,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ISNUMBER(SEARCH($A77, INDEX(AsistenciaJetAdminConcatenada!$D:$D, MATCH(1, (AsistenciaJetAdminConcatenada!$A:$A=E$2)*(AsistenciaJetAdminConcatenada!$B:$B=E$1), 0)), 1))),  0.5, 0))</f>
        <v>1</v>
      </c>
      <c r="F77" s="47">
        <f t="array" ref="F77">IF(AND(ISNUMBER(MATCH(F$2, AsistenciaJetAdminConcatenada!$A:$A, 0)), ISNUMBER(MATCH(F$1, AsistenciaJetAdminConcatenada!$B:$B, 0)), ISNUMBER(SEARCH($A77,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ISNUMBER(SEARCH($A77, INDEX(AsistenciaJetAdminConcatenada!$D:$D, MATCH(1, (AsistenciaJetAdminConcatenada!$A:$A=F$2)*(AsistenciaJetAdminConcatenada!$B:$B=F$1), 0)), 1))),  0.5, 0))</f>
        <v>1</v>
      </c>
      <c r="G77" s="47">
        <f t="array" ref="G77">IF(AND(ISNUMBER(MATCH(G$2, AsistenciaJetAdminConcatenada!$A:$A, 0)), ISNUMBER(MATCH(G$1, AsistenciaJetAdminConcatenada!$B:$B, 0)), ISNUMBER(SEARCH($A77,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ISNUMBER(SEARCH($A77, INDEX(AsistenciaJetAdminConcatenada!$D:$D, MATCH(1, (AsistenciaJetAdminConcatenada!$A:$A=G$2)*(AsistenciaJetAdminConcatenada!$B:$B=G$1), 0)), 1))),  0.5, 0))</f>
        <v>1</v>
      </c>
      <c r="H77" s="47">
        <f t="array" ref="H77">IF(AND(ISNUMBER(MATCH(H$2, AsistenciaJetAdminConcatenada!$A:$A, 0)), ISNUMBER(MATCH(H$1, AsistenciaJetAdminConcatenada!$B:$B, 0)), ISNUMBER(SEARCH($A77,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ISNUMBER(SEARCH($A77, INDEX(AsistenciaJetAdminConcatenada!$D:$D, MATCH(1, (AsistenciaJetAdminConcatenada!$A:$A=H$2)*(AsistenciaJetAdminConcatenada!$B:$B=H$1), 0)), 1))),  0.5, 0))</f>
        <v>1</v>
      </c>
      <c r="I77" s="47">
        <f t="array" ref="I77">IF(AND(ISNUMBER(MATCH(I$2, AsistenciaJetAdminConcatenada!$A:$A, 0)), ISNUMBER(MATCH(I$1, AsistenciaJetAdminConcatenada!$B:$B, 0)), ISNUMBER(SEARCH($A77,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ISNUMBER(SEARCH($A77, INDEX(AsistenciaJetAdminConcatenada!$D:$D, MATCH(1, (AsistenciaJetAdminConcatenada!$A:$A=I$2)*(AsistenciaJetAdminConcatenada!$B:$B=I$1), 0)), 1))),  0.5, 0))</f>
        <v>1</v>
      </c>
      <c r="J77" s="47">
        <f t="array" ref="J77">IF(AND(ISNUMBER(MATCH(J$2, AsistenciaJetAdminConcatenada!$A:$A, 0)), ISNUMBER(MATCH(J$1, AsistenciaJetAdminConcatenada!$B:$B, 0)), ISNUMBER(SEARCH($A77,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ISNUMBER(SEARCH($A77, INDEX(AsistenciaJetAdminConcatenada!$D:$D, MATCH(1, (AsistenciaJetAdminConcatenada!$A:$A=J$2)*(AsistenciaJetAdminConcatenada!$B:$B=J$1), 0)), 1))),  0.5, 0))</f>
        <v>1</v>
      </c>
      <c r="K77" s="47">
        <f t="array" ref="K77">IF(AND(ISNUMBER(MATCH(K$2, AsistenciaJetAdminConcatenada!$A:$A, 0)), ISNUMBER(MATCH(K$1, AsistenciaJetAdminConcatenada!$B:$B, 0)), ISNUMBER(SEARCH($A77,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ISNUMBER(SEARCH($A77, INDEX(AsistenciaJetAdminConcatenada!$D:$D, MATCH(1, (AsistenciaJetAdminConcatenada!$A:$A=K$2)*(AsistenciaJetAdminConcatenada!$B:$B=K$1), 0)), 1))),  0.5, 0))</f>
        <v>1</v>
      </c>
      <c r="L77" s="47">
        <f t="array" ref="L77">IF(AND(ISNUMBER(MATCH(L$2, AsistenciaJetAdminConcatenada!$A:$A, 0)), ISNUMBER(MATCH(L$1, AsistenciaJetAdminConcatenada!$B:$B, 0)), ISNUMBER(SEARCH($A77,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ISNUMBER(SEARCH($A77, INDEX(AsistenciaJetAdminConcatenada!$D:$D, MATCH(1, (AsistenciaJetAdminConcatenada!$A:$A=L$2)*(AsistenciaJetAdminConcatenada!$B:$B=L$1), 0)), 1))),  0.5, 0))</f>
        <v>1</v>
      </c>
      <c r="M77" s="47">
        <f t="array" ref="M77">IF(AND(ISNUMBER(MATCH(M$2, AsistenciaJetAdminConcatenada!$A:$A, 0)), ISNUMBER(MATCH(M$1, AsistenciaJetAdminConcatenada!$B:$B, 0)), ISNUMBER(SEARCH($A77,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ISNUMBER(SEARCH($A77, INDEX(AsistenciaJetAdminConcatenada!$D:$D, MATCH(1, (AsistenciaJetAdminConcatenada!$A:$A=M$2)*(AsistenciaJetAdminConcatenada!$B:$B=M$1), 0)), 1))),  0.5, 0))</f>
        <v>1</v>
      </c>
      <c r="N77" s="47">
        <f t="array" ref="N77">IF(AND(ISNUMBER(MATCH(N$2, AsistenciaJetAdminConcatenada!$A:$A, 0)), ISNUMBER(MATCH(N$1, AsistenciaJetAdminConcatenada!$B:$B, 0)), ISNUMBER(SEARCH($A77,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ISNUMBER(SEARCH($A77, INDEX(AsistenciaJetAdminConcatenada!$D:$D, MATCH(1, (AsistenciaJetAdminConcatenada!$A:$A=N$2)*(AsistenciaJetAdminConcatenada!$B:$B=N$1), 0)), 1))),  0.5, 0))</f>
        <v>1</v>
      </c>
      <c r="O77" s="47">
        <f t="array" ref="O77">IF(AND(ISNUMBER(MATCH(O$2, AsistenciaJetAdminConcatenada!$A:$A, 0)), ISNUMBER(MATCH(O$1, AsistenciaJetAdminConcatenada!$B:$B, 0)), ISNUMBER(SEARCH($A77,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ISNUMBER(SEARCH($A77, INDEX(AsistenciaJetAdminConcatenada!$D:$D, MATCH(1, (AsistenciaJetAdminConcatenada!$A:$A=O$2)*(AsistenciaJetAdminConcatenada!$B:$B=O$1), 0)), 1))),  0.5, 0))</f>
        <v>0</v>
      </c>
      <c r="P77" s="47">
        <f t="array" ref="P77">IF(AND(ISNUMBER(MATCH(P$2, AsistenciaJetAdminConcatenada!$A:$A, 0)), ISNUMBER(MATCH(P$1, AsistenciaJetAdminConcatenada!$B:$B, 0)), ISNUMBER(SEARCH($A77, INDEX(AsistenciaJetAdminConcatenada!$C:$C, MATCH(1, (AsistenciaJetAdminConcatenada!$A:$A=P$2)*(AsistenciaJetAdminConcatenada!$B:$B=P$1), 0)), 1))), 1, IF(AND(ISNUMBER(MATCH(P$2, AsistenciaJetAdminConcatenada!$A:$A, 0)), ISNUMBER(MATCH(P$1, AsistenciaJetAdminConcatenada!$B:$B, 0)), ISNUMBER(SEARCH($A77, INDEX(AsistenciaJetAdminConcatenada!$D:$D, MATCH(1, (AsistenciaJetAdminConcatenada!$A:$A=P$2)*(AsistenciaJetAdminConcatenada!$B:$B=P$1), 0)), 1))),  0.5, 0))</f>
        <v>1</v>
      </c>
      <c r="Q77" s="47">
        <f t="array" ref="Q77">IF(AND(ISNUMBER(MATCH(Q$2, AsistenciaJetAdminConcatenada!$A:$A, 0)), ISNUMBER(MATCH(Q$1, AsistenciaJetAdminConcatenada!$B:$B, 0)), ISNUMBER(SEARCH($A77, INDEX(AsistenciaJetAdminConcatenada!$C:$C, MATCH(1, (AsistenciaJetAdminConcatenada!$A:$A=Q$2)*(AsistenciaJetAdminConcatenada!$B:$B=Q$1), 0)), 1))), 1, IF(AND(ISNUMBER(MATCH(Q$2, AsistenciaJetAdminConcatenada!$A:$A, 0)), ISNUMBER(MATCH(Q$1, AsistenciaJetAdminConcatenada!$B:$B, 0)), ISNUMBER(SEARCH($A77, INDEX(AsistenciaJetAdminConcatenada!$D:$D, MATCH(1, (AsistenciaJetAdminConcatenada!$A:$A=Q$2)*(AsistenciaJetAdminConcatenada!$B:$B=Q$1), 0)), 1))),  0.5, 0))</f>
        <v>1</v>
      </c>
      <c r="R77" s="47">
        <f t="array" ref="R77">IF(AND(ISNUMBER(MATCH(R$2, AsistenciaJetAdminConcatenada!$A:$A, 0)), ISNUMBER(MATCH(R$1, AsistenciaJetAdminConcatenada!$B:$B, 0)), ISNUMBER(SEARCH($A77,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ISNUMBER(SEARCH($A77, INDEX(AsistenciaJetAdminConcatenada!$D:$D, MATCH(1, (AsistenciaJetAdminConcatenada!$A:$A=R$2)*(AsistenciaJetAdminConcatenada!$B:$B=R$1), 0)), 1))),  0.5, 0))</f>
        <v>1</v>
      </c>
      <c r="S77" s="47">
        <f t="array" ref="S77">IF(AND(ISNUMBER(MATCH(S$2, AsistenciaJetAdminConcatenada!$A:$A, 0)), ISNUMBER(MATCH(S$1, AsistenciaJetAdminConcatenada!$B:$B, 0)), ISNUMBER(SEARCH($A77,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ISNUMBER(SEARCH($A77, INDEX(AsistenciaJetAdminConcatenada!$D:$D, MATCH(1, (AsistenciaJetAdminConcatenada!$A:$A=S$2)*(AsistenciaJetAdminConcatenada!$B:$B=S$1), 0)), 1))),  0.5, 0))</f>
        <v>1</v>
      </c>
      <c r="T77" s="47">
        <f t="array" ref="T77">IF(AND(ISNUMBER(MATCH(T$2, AsistenciaJetAdminConcatenada!$A:$A, 0)), ISNUMBER(MATCH(T$1, AsistenciaJetAdminConcatenada!$B:$B, 0)), ISNUMBER(SEARCH($A77,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ISNUMBER(SEARCH($A77, INDEX(AsistenciaJetAdminConcatenada!$D:$D, MATCH(1, (AsistenciaJetAdminConcatenada!$A:$A=T$2)*(AsistenciaJetAdminConcatenada!$B:$B=T$1), 0)), 1))),  0.5, 0))</f>
        <v>1</v>
      </c>
      <c r="U77" s="47">
        <f t="array" ref="U77">IF(AND(ISNUMBER(MATCH(U$2, AsistenciaJetAdminConcatenada!$A:$A, 0)), ISNUMBER(MATCH(U$1, AsistenciaJetAdminConcatenada!$B:$B, 0)), ISNUMBER(SEARCH($A77,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ISNUMBER(SEARCH($A77, INDEX(AsistenciaJetAdminConcatenada!$D:$D, MATCH(1, (AsistenciaJetAdminConcatenada!$A:$A=U$2)*(AsistenciaJetAdminConcatenada!$B:$B=U$1), 0)), 1))),  0.5, 0))</f>
        <v>1</v>
      </c>
      <c r="V77" s="47">
        <f t="array" ref="V77">IF(AND(ISNUMBER(MATCH(V$2, AsistenciaJetAdminConcatenada!$A:$A, 0)), ISNUMBER(MATCH(V$1, AsistenciaJetAdminConcatenada!$B:$B, 0)), ISNUMBER(SEARCH($A77,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ISNUMBER(SEARCH($A77, INDEX(AsistenciaJetAdminConcatenada!$D:$D, MATCH(1, (AsistenciaJetAdminConcatenada!$A:$A=V$2)*(AsistenciaJetAdminConcatenada!$B:$B=V$1), 0)), 1))),  0.5, 0))</f>
        <v>1</v>
      </c>
      <c r="W77" s="47">
        <f t="array" ref="W77">IF(AND(ISNUMBER(MATCH(W$2, AsistenciaJetAdminConcatenada!$A:$A, 0)), ISNUMBER(MATCH(W$1, AsistenciaJetAdminConcatenada!$B:$B, 0)), ISNUMBER(SEARCH($A77,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ISNUMBER(SEARCH($A77, INDEX(AsistenciaJetAdminConcatenada!$D:$D, MATCH(1, (AsistenciaJetAdminConcatenada!$A:$A=W$2)*(AsistenciaJetAdminConcatenada!$B:$B=W$1), 0)), 1))),  0.5, 0))</f>
        <v>1</v>
      </c>
      <c r="X77" s="47">
        <f t="array" ref="X77">IF(AND(ISNUMBER(MATCH(X$2, AsistenciaJetAdminConcatenada!$A:$A, 0)), ISNUMBER(MATCH(X$1, AsistenciaJetAdminConcatenada!$B:$B, 0)), ISNUMBER(SEARCH($A77,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ISNUMBER(SEARCH($A77, INDEX(AsistenciaJetAdminConcatenada!$D:$D, MATCH(1, (AsistenciaJetAdminConcatenada!$A:$A=X$2)*(AsistenciaJetAdminConcatenada!$B:$B=X$1), 0)), 1))),  0.5, 0))</f>
        <v>1</v>
      </c>
      <c r="Y77" s="47">
        <f t="array" ref="Y77">IF(AND(ISNUMBER(MATCH(Y$2, AsistenciaJetAdminConcatenada!$A:$A, 0)), ISNUMBER(MATCH(Y$1, AsistenciaJetAdminConcatenada!$B:$B, 0)), ISNUMBER(SEARCH($A77,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ISNUMBER(SEARCH($A77, INDEX(AsistenciaJetAdminConcatenada!$D:$D, MATCH(1, (AsistenciaJetAdminConcatenada!$A:$A=Y$2)*(AsistenciaJetAdminConcatenada!$B:$B=Y$1), 0)), 1))),  0.5, 0))</f>
        <v>1</v>
      </c>
      <c r="Z77" s="47">
        <f t="array" ref="Z77">IF(AND(ISNUMBER(MATCH(Z$2, AsistenciaJetAdminConcatenada!$A:$A, 0)), ISNUMBER(MATCH(Z$1, AsistenciaJetAdminConcatenada!$B:$B, 0)), ISNUMBER(SEARCH($A77,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ISNUMBER(SEARCH($A77, INDEX(AsistenciaJetAdminConcatenada!$D:$D, MATCH(1, (AsistenciaJetAdminConcatenada!$A:$A=Z$2)*(AsistenciaJetAdminConcatenada!$B:$B=Z$1), 0)), 1))),  0.5, 0))</f>
        <v>1</v>
      </c>
      <c r="AA77" s="47">
        <f t="array" ref="AA77">IF(AND(ISNUMBER(MATCH(AA$2, AsistenciaJetAdminConcatenada!$A:$A, 0)), ISNUMBER(MATCH(AA$1, AsistenciaJetAdminConcatenada!$B:$B, 0)), ISNUMBER(SEARCH($A77,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ISNUMBER(SEARCH($A77, INDEX(AsistenciaJetAdminConcatenada!$D:$D, MATCH(1, (AsistenciaJetAdminConcatenada!$A:$A=AA$2)*(AsistenciaJetAdminConcatenada!$B:$B=AA$1), 0)), 1))),  0.5, 0))</f>
        <v>1</v>
      </c>
      <c r="AB77" s="47">
        <f t="array" ref="AB77">IF(AND(ISNUMBER(MATCH(AB$2, AsistenciaJetAdminConcatenada!$A:$A, 0)), ISNUMBER(MATCH(AB$1, AsistenciaJetAdminConcatenada!$B:$B, 0)), ISNUMBER(SEARCH($A77,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ISNUMBER(SEARCH($A77, INDEX(AsistenciaJetAdminConcatenada!$D:$D, MATCH(1, (AsistenciaJetAdminConcatenada!$A:$A=AB$2)*(AsistenciaJetAdminConcatenada!$B:$B=AB$1), 0)), 1))),  0.5, 0))</f>
        <v>1</v>
      </c>
      <c r="AC77" s="47">
        <f t="array" ref="AC77">IF(AND(ISNUMBER(MATCH(AC$2, AsistenciaJetAdminConcatenada!$A:$A, 0)), ISNUMBER(MATCH(AC$1, AsistenciaJetAdminConcatenada!$B:$B, 0)), ISNUMBER(SEARCH($A77,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ISNUMBER(SEARCH($A77, INDEX(AsistenciaJetAdminConcatenada!$D:$D, MATCH(1, (AsistenciaJetAdminConcatenada!$A:$A=AC$2)*(AsistenciaJetAdminConcatenada!$B:$B=AC$1), 0)), 1))),  0.5, 0))</f>
        <v>1</v>
      </c>
      <c r="AD77" s="47">
        <f t="array" ref="AD77">IF(AND(ISNUMBER(MATCH(AD$2, AsistenciaJetAdminConcatenada!$A:$A, 0)), ISNUMBER(MATCH(AD$1, AsistenciaJetAdminConcatenada!$B:$B, 0)), ISNUMBER(SEARCH($A77,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ISNUMBER(SEARCH($A77, INDEX(AsistenciaJetAdminConcatenada!$D:$D, MATCH(1, (AsistenciaJetAdminConcatenada!$A:$A=AD$2)*(AsistenciaJetAdminConcatenada!$B:$B=AD$1), 0)), 1))),  0.5, 0))</f>
        <v>1</v>
      </c>
      <c r="AE77" s="47">
        <f t="array" ref="AE77">IF(AND(ISNUMBER(MATCH(AE$2, AsistenciaJetAdminConcatenada!$A:$A, 0)), ISNUMBER(MATCH(AE$1, AsistenciaJetAdminConcatenada!$B:$B, 0)), ISNUMBER(SEARCH($A77,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ISNUMBER(SEARCH($A77, INDEX(AsistenciaJetAdminConcatenada!$D:$D, MATCH(1, (AsistenciaJetAdminConcatenada!$A:$A=AE$2)*(AsistenciaJetAdminConcatenada!$B:$B=AE$1), 0)), 1))),  0.5, 0))</f>
        <v>1</v>
      </c>
      <c r="AF77" s="47">
        <f t="array" ref="AF77">IF(AND(ISNUMBER(MATCH(AF$2, AsistenciaJetAdminConcatenada!$A:$A, 0)), ISNUMBER(MATCH(AF$1, AsistenciaJetAdminConcatenada!$B:$B, 0)), ISNUMBER(SEARCH($A77,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ISNUMBER(SEARCH($A77, INDEX(AsistenciaJetAdminConcatenada!$D:$D, MATCH(1, (AsistenciaJetAdminConcatenada!$A:$A=AF$2)*(AsistenciaJetAdminConcatenada!$B:$B=AF$1), 0)), 1))),  0.5, 0))</f>
        <v>1</v>
      </c>
      <c r="AG77" s="47">
        <f t="array" ref="AG77">IF(AND(ISNUMBER(MATCH(AG$2, AsistenciaJetAdminConcatenada!$A:$A, 0)), ISNUMBER(MATCH(AG$1, AsistenciaJetAdminConcatenada!$B:$B, 0)), ISNUMBER(SEARCH($A77,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ISNUMBER(SEARCH($A77, INDEX(AsistenciaJetAdminConcatenada!$D:$D, MATCH(1, (AsistenciaJetAdminConcatenada!$A:$A=AG$2)*(AsistenciaJetAdminConcatenada!$B:$B=AG$1), 0)), 1))),  0.5, 0))</f>
        <v>0</v>
      </c>
      <c r="AH77" s="47">
        <f t="array" ref="AH77">IF(AND(ISNUMBER(MATCH(AH$2, AsistenciaJetAdminConcatenada!$A:$A, 0)), ISNUMBER(MATCH(AH$1, AsistenciaJetAdminConcatenada!$B:$B, 0)), ISNUMBER(SEARCH($A77,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ISNUMBER(SEARCH($A77, INDEX(AsistenciaJetAdminConcatenada!$D:$D, MATCH(1, (AsistenciaJetAdminConcatenada!$A:$A=AH$2)*(AsistenciaJetAdminConcatenada!$B:$B=AH$1), 0)), 1))),  0.5, 0))</f>
        <v>0</v>
      </c>
      <c r="AI77" s="47">
        <f t="array" ref="AI77">IF(AND(ISNUMBER(MATCH(AI$2, AsistenciaJetAdminConcatenada!$A:$A, 0)), ISNUMBER(MATCH(AI$1, AsistenciaJetAdminConcatenada!$B:$B, 0)), ISNUMBER(SEARCH($A77,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ISNUMBER(SEARCH($A77, INDEX(AsistenciaJetAdminConcatenada!$D:$D, MATCH(1, (AsistenciaJetAdminConcatenada!$A:$A=AI$2)*(AsistenciaJetAdminConcatenada!$B:$B=AI$1), 0)), 1))),  0.5, 0))</f>
        <v>1</v>
      </c>
      <c r="AJ77" s="47">
        <f t="array" ref="AJ77">IF(AND(ISNUMBER(MATCH(AJ$2, AsistenciaJetAdminConcatenada!$A:$A, 0)), ISNUMBER(MATCH(AJ$1, AsistenciaJetAdminConcatenada!$B:$B, 0)), ISNUMBER(SEARCH($A77,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ISNUMBER(SEARCH($A77, INDEX(AsistenciaJetAdminConcatenada!$D:$D, MATCH(1, (AsistenciaJetAdminConcatenada!$A:$A=AJ$2)*(AsistenciaJetAdminConcatenada!$B:$B=AJ$1), 0)), 1))),  0.5, 0))</f>
        <v>1</v>
      </c>
      <c r="AK77" s="47">
        <f t="array" ref="AK77">IF(AND(ISNUMBER(MATCH(AK$2, AsistenciaJetAdminConcatenada!$A:$A, 0)), ISNUMBER(MATCH(AK$1, AsistenciaJetAdminConcatenada!$B:$B, 0)), ISNUMBER(SEARCH($A77,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ISNUMBER(SEARCH($A77, INDEX(AsistenciaJetAdminConcatenada!$D:$D, MATCH(1, (AsistenciaJetAdminConcatenada!$A:$A=AK$2)*(AsistenciaJetAdminConcatenada!$B:$B=AK$1), 0)), 1))),  0.5, 0))</f>
        <v>1</v>
      </c>
      <c r="AL77" s="47">
        <f t="array" ref="AL77">IF(AND(ISNUMBER(MATCH(AL$2, AsistenciaJetAdminConcatenada!$A:$A, 0)), ISNUMBER(MATCH(AL$1, AsistenciaJetAdminConcatenada!$B:$B, 0)), ISNUMBER(SEARCH($A77,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ISNUMBER(SEARCH($A77, INDEX(AsistenciaJetAdminConcatenada!$D:$D, MATCH(1, (AsistenciaJetAdminConcatenada!$A:$A=AL$2)*(AsistenciaJetAdminConcatenada!$B:$B=AL$1), 0)), 1))),  0.5, 0))</f>
        <v>0</v>
      </c>
      <c r="AM77" s="47">
        <f t="array" ref="AM77">IF(AND(ISNUMBER(MATCH(AM$2, AsistenciaJetAdminConcatenada!$A:$A, 0)), ISNUMBER(MATCH(AM$1, AsistenciaJetAdminConcatenada!$B:$B, 0)), ISNUMBER(SEARCH($A77,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ISNUMBER(SEARCH($A77, INDEX(AsistenciaJetAdminConcatenada!$D:$D, MATCH(1, (AsistenciaJetAdminConcatenada!$A:$A=AM$2)*(AsistenciaJetAdminConcatenada!$B:$B=AM$1), 0)), 1))),  0.5, 0))</f>
        <v>0</v>
      </c>
      <c r="AN77" s="47">
        <f t="array" ref="AN77">IF(AND(ISNUMBER(MATCH(AN$2, AsistenciaJetAdminConcatenada!$A:$A, 0)), ISNUMBER(MATCH(AN$1, AsistenciaJetAdminConcatenada!$B:$B, 0)), ISNUMBER(SEARCH($A77,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ISNUMBER(SEARCH($A77, INDEX(AsistenciaJetAdminConcatenada!$D:$D, MATCH(1, (AsistenciaJetAdminConcatenada!$A:$A=AN$2)*(AsistenciaJetAdminConcatenada!$B:$B=AN$1), 0)), 1))),  0.5, 0))</f>
        <v>1</v>
      </c>
      <c r="AO77" s="47">
        <f t="array" ref="AO77">IF(AND(ISNUMBER(MATCH(AO$2, AsistenciaJetAdminConcatenada!$A:$A, 0)), ISNUMBER(MATCH(AO$1, AsistenciaJetAdminConcatenada!$B:$B, 0)), ISNUMBER(SEARCH($A77,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ISNUMBER(SEARCH($A77, INDEX(AsistenciaJetAdminConcatenada!$D:$D, MATCH(1, (AsistenciaJetAdminConcatenada!$A:$A=AO$2)*(AsistenciaJetAdminConcatenada!$B:$B=AO$1), 0)), 1))),  0.5, 0))</f>
        <v>1</v>
      </c>
      <c r="AP77" s="47">
        <f t="array" ref="AP77">IF(AND(ISNUMBER(MATCH(AP$2, AsistenciaJetAdminConcatenada!$A:$A, 0)), ISNUMBER(MATCH(AP$1, AsistenciaJetAdminConcatenada!$B:$B, 0)), ISNUMBER(SEARCH($A77,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ISNUMBER(SEARCH($A77, INDEX(AsistenciaJetAdminConcatenada!$D:$D, MATCH(1, (AsistenciaJetAdminConcatenada!$A:$A=AP$2)*(AsistenciaJetAdminConcatenada!$B:$B=AP$1), 0)), 1))),  0.5, 0))</f>
        <v>1</v>
      </c>
      <c r="AQ77" s="47">
        <f t="array" ref="AQ77">IF(AND(ISNUMBER(MATCH(AQ$2, AsistenciaJetAdminConcatenada!$A:$A, 0)), ISNUMBER(MATCH(AQ$1, AsistenciaJetAdminConcatenada!$B:$B, 0)), ISNUMBER(SEARCH($A77,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ISNUMBER(SEARCH($A77, INDEX(AsistenciaJetAdminConcatenada!$D:$D, MATCH(1, (AsistenciaJetAdminConcatenada!$A:$A=AQ$2)*(AsistenciaJetAdminConcatenada!$B:$B=AQ$1), 0)), 1))),  0.5, 0))</f>
        <v>0</v>
      </c>
      <c r="AR77" s="47">
        <f t="array" ref="AR77">IF(AND(ISNUMBER(MATCH(AR$2, AsistenciaJetAdminConcatenada!$A:$A, 0)), ISNUMBER(MATCH(AR$1, AsistenciaJetAdminConcatenada!$B:$B, 0)), ISNUMBER(SEARCH($A77,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ISNUMBER(SEARCH($A77, INDEX(AsistenciaJetAdminConcatenada!$D:$D, MATCH(1, (AsistenciaJetAdminConcatenada!$A:$A=AR$2)*(AsistenciaJetAdminConcatenada!$B:$B=AR$1), 0)), 1))),  0.5, 0))</f>
        <v>1</v>
      </c>
      <c r="AS77" s="47">
        <f t="array" ref="AS77">IF(AND(ISNUMBER(MATCH(AS$2, AsistenciaJetAdminConcatenada!$A:$A, 0)), ISNUMBER(MATCH(AS$1, AsistenciaJetAdminConcatenada!$B:$B, 0)), ISNUMBER(SEARCH($A77,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ISNUMBER(SEARCH($A77, INDEX(AsistenciaJetAdminConcatenada!$D:$D, MATCH(1, (AsistenciaJetAdminConcatenada!$A:$A=AS$2)*(AsistenciaJetAdminConcatenada!$B:$B=AS$1), 0)), 1))),  0.5, 0))</f>
        <v>1</v>
      </c>
      <c r="AT77" s="47">
        <f t="array" ref="AT77">IF(AND(ISNUMBER(MATCH(AT$2, AsistenciaJetAdminConcatenada!$A:$A, 0)), ISNUMBER(MATCH(AT$1, AsistenciaJetAdminConcatenada!$B:$B, 0)), ISNUMBER(SEARCH($A77,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ISNUMBER(SEARCH($A77, INDEX(AsistenciaJetAdminConcatenada!$D:$D, MATCH(1, (AsistenciaJetAdminConcatenada!$A:$A=AT$2)*(AsistenciaJetAdminConcatenada!$B:$B=AT$1), 0)), 1))),  0.5, 0))</f>
        <v>0</v>
      </c>
      <c r="AU77" s="47">
        <f t="array" ref="AU77">IF(AND(ISNUMBER(MATCH(AU$2, AsistenciaJetAdminConcatenada!$A:$A, 0)), ISNUMBER(MATCH(AU$1, AsistenciaJetAdminConcatenada!$B:$B, 0)), ISNUMBER(SEARCH($A77,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ISNUMBER(SEARCH($A77, INDEX(AsistenciaJetAdminConcatenada!$D:$D, MATCH(1, (AsistenciaJetAdminConcatenada!$A:$A=AU$2)*(AsistenciaJetAdminConcatenada!$B:$B=AU$1), 0)), 1))),  0.5, 0))</f>
        <v>1</v>
      </c>
      <c r="AV77" s="47">
        <f t="array" ref="AV77">IF(AND(ISNUMBER(MATCH(AV$2, AsistenciaJetAdminConcatenada!$A:$A, 0)), ISNUMBER(MATCH(AV$1, AsistenciaJetAdminConcatenada!$B:$B, 0)), ISNUMBER(SEARCH($A77,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ISNUMBER(SEARCH($A77, INDEX(AsistenciaJetAdminConcatenada!$D:$D, MATCH(1, (AsistenciaJetAdminConcatenada!$A:$A=AV$2)*(AsistenciaJetAdminConcatenada!$B:$B=AV$1), 0)), 1))),  0.5, 0))</f>
        <v>1</v>
      </c>
      <c r="AW77" s="47">
        <f t="array" ref="AW77">IF(AND(ISNUMBER(MATCH(AW$2, AsistenciaJetAdminConcatenada!$A:$A, 0)), ISNUMBER(MATCH(AW$1, AsistenciaJetAdminConcatenada!$B:$B, 0)), ISNUMBER(SEARCH($A77,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ISNUMBER(SEARCH($A77, INDEX(AsistenciaJetAdminConcatenada!$D:$D, MATCH(1, (AsistenciaJetAdminConcatenada!$A:$A=AW$2)*(AsistenciaJetAdminConcatenada!$B:$B=AW$1), 0)), 1))),  0.5, 0))</f>
        <v>1</v>
      </c>
      <c r="AX77" s="47">
        <f t="array" ref="AX77">IF(AND(ISNUMBER(MATCH(AX$2, AsistenciaJetAdminConcatenada!$A:$A, 0)), ISNUMBER(MATCH(AX$1, AsistenciaJetAdminConcatenada!$B:$B, 0)), ISNUMBER(SEARCH($A77,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ISNUMBER(SEARCH($A77, INDEX(AsistenciaJetAdminConcatenada!$D:$D, MATCH(1, (AsistenciaJetAdminConcatenada!$A:$A=AX$2)*(AsistenciaJetAdminConcatenada!$B:$B=AX$1), 0)), 1))),  0.5, 0))</f>
        <v>1</v>
      </c>
      <c r="AY77" s="47">
        <f t="array" ref="AY77">IF(AND(ISNUMBER(MATCH(AY$2, AsistenciaJetAdminConcatenada!$A:$A, 0)), ISNUMBER(MATCH(AY$1, AsistenciaJetAdminConcatenada!$B:$B, 0)), ISNUMBER(SEARCH($A77,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ISNUMBER(SEARCH($A77, INDEX(AsistenciaJetAdminConcatenada!$D:$D, MATCH(1, (AsistenciaJetAdminConcatenada!$A:$A=AY$2)*(AsistenciaJetAdminConcatenada!$B:$B=AY$1), 0)), 1))),  0.5, 0))</f>
        <v>1</v>
      </c>
      <c r="AZ77" s="47">
        <f t="array" ref="AZ77">IF(AND(ISNUMBER(MATCH(AZ$2, AsistenciaJetAdminConcatenada!$A:$A, 0)), ISNUMBER(MATCH(AZ$1, AsistenciaJetAdminConcatenada!$B:$B, 0)), ISNUMBER(SEARCH($A77,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ISNUMBER(SEARCH($A77, INDEX(AsistenciaJetAdminConcatenada!$D:$D, MATCH(1, (AsistenciaJetAdminConcatenada!$A:$A=AZ$2)*(AsistenciaJetAdminConcatenada!$B:$B=AZ$1), 0)), 1))),  0.5, 0))</f>
        <v>1</v>
      </c>
      <c r="BA77" s="47">
        <f t="array" ref="BA77">IF(AND(ISNUMBER(MATCH(BA$2, AsistenciaJetAdminConcatenada!$A:$A, 0)), ISNUMBER(MATCH(BA$1, AsistenciaJetAdminConcatenada!$B:$B, 0)), ISNUMBER(SEARCH($A77,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ISNUMBER(SEARCH($A77, INDEX(AsistenciaJetAdminConcatenada!$D:$D, MATCH(1, (AsistenciaJetAdminConcatenada!$A:$A=BA$2)*(AsistenciaJetAdminConcatenada!$B:$B=BA$1), 0)), 1))),  0.5, 0))</f>
        <v>1</v>
      </c>
      <c r="BB77" s="47">
        <f t="array" ref="BB77">IF(AND(ISNUMBER(MATCH(BB$2, AsistenciaJetAdminConcatenada!$A:$A, 0)), ISNUMBER(MATCH(BB$1, AsistenciaJetAdminConcatenada!$B:$B, 0)), ISNUMBER(SEARCH($A77,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ISNUMBER(SEARCH($A77, INDEX(AsistenciaJetAdminConcatenada!$D:$D, MATCH(1, (AsistenciaJetAdminConcatenada!$A:$A=BB$2)*(AsistenciaJetAdminConcatenada!$B:$B=BB$1), 0)), 1))),  0.5, 0))</f>
        <v>1</v>
      </c>
      <c r="BC77" s="47">
        <f t="array" ref="BC77">IF(AND(ISNUMBER(MATCH(BC$2, AsistenciaJetAdminConcatenada!$A:$A, 0)), ISNUMBER(MATCH(BC$1, AsistenciaJetAdminConcatenada!$B:$B, 0)), ISNUMBER(SEARCH($A77,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ISNUMBER(SEARCH($A77, INDEX(AsistenciaJetAdminConcatenada!$D:$D, MATCH(1, (AsistenciaJetAdminConcatenada!$A:$A=BC$2)*(AsistenciaJetAdminConcatenada!$B:$B=BC$1), 0)), 1))),  0.5, 0))</f>
        <v>1</v>
      </c>
      <c r="BD77" s="47">
        <f t="array" ref="BD77">IF(AND(ISNUMBER(MATCH(BD$2, AsistenciaJetAdminConcatenada!$A:$A, 0)), ISNUMBER(MATCH(BD$1, AsistenciaJetAdminConcatenada!$B:$B, 0)), ISNUMBER(SEARCH($A77,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ISNUMBER(SEARCH($A77, INDEX(AsistenciaJetAdminConcatenada!$D:$D, MATCH(1, (AsistenciaJetAdminConcatenada!$A:$A=BD$2)*(AsistenciaJetAdminConcatenada!$B:$B=BD$1), 0)), 1))),  0.5, 0))</f>
        <v>1</v>
      </c>
      <c r="BE77" s="47">
        <f t="array" ref="BE77">IF(AND(ISNUMBER(MATCH(BE$2, AsistenciaJetAdminConcatenada!$A:$A, 0)), ISNUMBER(MATCH(BE$1, AsistenciaJetAdminConcatenada!$B:$B, 0)), ISNUMBER(SEARCH($A77,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ISNUMBER(SEARCH($A77, INDEX(AsistenciaJetAdminConcatenada!$D:$D, MATCH(1, (AsistenciaJetAdminConcatenada!$A:$A=BE$2)*(AsistenciaJetAdminConcatenada!$B:$B=BE$1), 0)), 1))),  0.5, 0))</f>
        <v>1</v>
      </c>
      <c r="BF77" s="47">
        <f t="array" ref="BF77">IF(AND(ISNUMBER(MATCH(BF$2, AsistenciaJetAdminConcatenada!$A:$A, 0)), ISNUMBER(MATCH(BF$1, AsistenciaJetAdminConcatenada!$B:$B, 0)), ISNUMBER(SEARCH($A77,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ISNUMBER(SEARCH($A77, INDEX(AsistenciaJetAdminConcatenada!$D:$D, MATCH(1, (AsistenciaJetAdminConcatenada!$A:$A=BF$2)*(AsistenciaJetAdminConcatenada!$B:$B=BF$1), 0)), 1))),  0.5, 0))</f>
        <v>1</v>
      </c>
      <c r="BG77" s="47">
        <f t="array" ref="BG77">IF(AND(ISNUMBER(MATCH(BG$2, AsistenciaJetAdminConcatenada!$A:$A, 0)), ISNUMBER(MATCH(BG$1, AsistenciaJetAdminConcatenada!$B:$B, 0)), ISNUMBER(SEARCH($A77,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ISNUMBER(SEARCH($A77, INDEX(AsistenciaJetAdminConcatenada!$D:$D, MATCH(1, (AsistenciaJetAdminConcatenada!$A:$A=BG$2)*(AsistenciaJetAdminConcatenada!$B:$B=BG$1), 0)), 1))),  0.5, 0))</f>
        <v>1</v>
      </c>
      <c r="BH77" s="47">
        <f t="array" ref="BH77">IF(AND(ISNUMBER(MATCH(BH$2, AsistenciaJetAdminConcatenada!$A:$A, 0)), ISNUMBER(MATCH(BH$1, AsistenciaJetAdminConcatenada!$B:$B, 0)), ISNUMBER(SEARCH($A77,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ISNUMBER(SEARCH($A77, INDEX(AsistenciaJetAdminConcatenada!$D:$D, MATCH(1, (AsistenciaJetAdminConcatenada!$A:$A=BH$2)*(AsistenciaJetAdminConcatenada!$B:$B=BH$1), 0)), 1))),  0.5, 0))</f>
        <v>1</v>
      </c>
      <c r="BI77" s="47">
        <f t="array" ref="BI77">IF(AND(ISNUMBER(MATCH(BI$2, AsistenciaJetAdminConcatenada!$A:$A, 0)), ISNUMBER(MATCH(BI$1, AsistenciaJetAdminConcatenada!$B:$B, 0)), ISNUMBER(SEARCH($A77,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ISNUMBER(SEARCH($A77, INDEX(AsistenciaJetAdminConcatenada!$D:$D, MATCH(1, (AsistenciaJetAdminConcatenada!$A:$A=BI$2)*(AsistenciaJetAdminConcatenada!$B:$B=BI$1), 0)), 1))),  0.5, 0))</f>
        <v>1</v>
      </c>
      <c r="BJ77" s="47">
        <f t="array" ref="BJ77">IF(AND(ISNUMBER(MATCH(BJ$2, AsistenciaJetAdminConcatenada!$A:$A, 0)), ISNUMBER(MATCH(BJ$1, AsistenciaJetAdminConcatenada!$B:$B, 0)), ISNUMBER(SEARCH($A77,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ISNUMBER(SEARCH($A77, INDEX(AsistenciaJetAdminConcatenada!$D:$D, MATCH(1, (AsistenciaJetAdminConcatenada!$A:$A=BJ$2)*(AsistenciaJetAdminConcatenada!$B:$B=BJ$1), 0)), 1))),  0.5, 0))</f>
        <v>1</v>
      </c>
      <c r="BK77" s="47">
        <f t="array" ref="BK77">IF(AND(ISNUMBER(MATCH(BK$2, AsistenciaJetAdminConcatenada!$A:$A, 0)), ISNUMBER(MATCH(BK$1, AsistenciaJetAdminConcatenada!$B:$B, 0)), ISNUMBER(SEARCH($A77,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ISNUMBER(SEARCH($A77, INDEX(AsistenciaJetAdminConcatenada!$D:$D, MATCH(1, (AsistenciaJetAdminConcatenada!$A:$A=BK$2)*(AsistenciaJetAdminConcatenada!$B:$B=BK$1), 0)), 1))),  0.5, 0))</f>
        <v>1</v>
      </c>
      <c r="BL77" s="47">
        <f t="array" ref="BL77">IF(AND(ISNUMBER(MATCH(BL$2, AsistenciaJetAdminConcatenada!$A:$A, 0)), ISNUMBER(MATCH(BL$1, AsistenciaJetAdminConcatenada!$B:$B, 0)), ISNUMBER(SEARCH($A77,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ISNUMBER(SEARCH($A77, INDEX(AsistenciaJetAdminConcatenada!$D:$D, MATCH(1, (AsistenciaJetAdminConcatenada!$A:$A=BL$2)*(AsistenciaJetAdminConcatenada!$B:$B=BL$1), 0)), 1))),  0.5, 0))</f>
        <v>1</v>
      </c>
      <c r="BM77" s="47">
        <f t="array" ref="BM77">IF(AND(ISNUMBER(MATCH(BM$2, AsistenciaJetAdminConcatenada!$A:$A, 0)), ISNUMBER(MATCH(BM$1, AsistenciaJetAdminConcatenada!$B:$B, 0)), ISNUMBER(SEARCH($A77,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ISNUMBER(SEARCH($A77, INDEX(AsistenciaJetAdminConcatenada!$D:$D, MATCH(1, (AsistenciaJetAdminConcatenada!$A:$A=BM$2)*(AsistenciaJetAdminConcatenada!$B:$B=BM$1), 0)), 1))),  0.5, 0))</f>
        <v>1</v>
      </c>
      <c r="BN77" s="47">
        <f t="array" ref="BN77">IF(AND(ISNUMBER(MATCH(BN$2, AsistenciaJetAdminConcatenada!$A:$A, 0)), ISNUMBER(MATCH(BN$1, AsistenciaJetAdminConcatenada!$B:$B, 0)), ISNUMBER(SEARCH($A77,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ISNUMBER(SEARCH($A77, INDEX(AsistenciaJetAdminConcatenada!$D:$D, MATCH(1, (AsistenciaJetAdminConcatenada!$A:$A=BN$2)*(AsistenciaJetAdminConcatenada!$B:$B=BN$1), 0)), 1))),  0.5, 0))</f>
        <v>1</v>
      </c>
      <c r="BO77" s="47">
        <f t="array" ref="BO77">IF(AND(ISNUMBER(MATCH(BO$2, AsistenciaJetAdminConcatenada!$A:$A, 0)), ISNUMBER(MATCH(BO$1, AsistenciaJetAdminConcatenada!$B:$B, 0)), ISNUMBER(SEARCH($A77,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ISNUMBER(SEARCH($A77, INDEX(AsistenciaJetAdminConcatenada!$D:$D, MATCH(1, (AsistenciaJetAdminConcatenada!$A:$A=BO$2)*(AsistenciaJetAdminConcatenada!$B:$B=BO$1), 0)), 1))),  0.5, 0))</f>
        <v>1</v>
      </c>
      <c r="BP77" s="47">
        <f t="array" ref="BP77">IF(AND(ISNUMBER(MATCH(BP$2, AsistenciaJetAdminConcatenada!$A:$A, 0)), ISNUMBER(MATCH(BP$1, AsistenciaJetAdminConcatenada!$B:$B, 0)), ISNUMBER(SEARCH($A77,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ISNUMBER(SEARCH($A77, INDEX(AsistenciaJetAdminConcatenada!$D:$D, MATCH(1, (AsistenciaJetAdminConcatenada!$A:$A=BP$2)*(AsistenciaJetAdminConcatenada!$B:$B=BP$1), 0)), 1))),  0.5, 0))</f>
        <v>1</v>
      </c>
      <c r="BQ77" s="47">
        <f t="array" ref="BQ77">IF(AND(ISNUMBER(MATCH(BQ$2, AsistenciaJetAdminConcatenada!$A:$A, 0)), ISNUMBER(MATCH(BQ$1, AsistenciaJetAdminConcatenada!$B:$B, 0)), ISNUMBER(SEARCH($A77,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ISNUMBER(SEARCH($A77, INDEX(AsistenciaJetAdminConcatenada!$D:$D, MATCH(1, (AsistenciaJetAdminConcatenada!$A:$A=BQ$2)*(AsistenciaJetAdminConcatenada!$B:$B=BQ$1), 0)), 1))),  0.5, 0))</f>
        <v>1</v>
      </c>
      <c r="BR77" s="47">
        <f t="array" ref="BR77">IF(AND(ISNUMBER(MATCH(BR$2, AsistenciaJetAdminConcatenada!$A:$A, 0)), ISNUMBER(MATCH(BR$1, AsistenciaJetAdminConcatenada!$B:$B, 0)), ISNUMBER(SEARCH($A77,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ISNUMBER(SEARCH($A77, INDEX(AsistenciaJetAdminConcatenada!$D:$D, MATCH(1, (AsistenciaJetAdminConcatenada!$A:$A=BR$2)*(AsistenciaJetAdminConcatenada!$B:$B=BR$1), 0)), 1))),  0.5, 0))</f>
        <v>1</v>
      </c>
      <c r="BS77" s="47">
        <f t="array" ref="BS77">IF(AND(ISNUMBER(MATCH(BS$2, AsistenciaJetAdminConcatenada!$A:$A, 0)), ISNUMBER(MATCH(BS$1, AsistenciaJetAdminConcatenada!$B:$B, 0)), ISNUMBER(SEARCH($A77,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ISNUMBER(SEARCH($A77, INDEX(AsistenciaJetAdminConcatenada!$D:$D, MATCH(1, (AsistenciaJetAdminConcatenada!$A:$A=BS$2)*(AsistenciaJetAdminConcatenada!$B:$B=BS$1), 0)), 1))),  0.5, 0))</f>
        <v>1</v>
      </c>
      <c r="BT77" s="47">
        <f t="array" ref="BT77">IF(AND(ISNUMBER(MATCH(BT$2, AsistenciaJetAdminConcatenada!$A:$A, 0)), ISNUMBER(MATCH(BT$1, AsistenciaJetAdminConcatenada!$B:$B, 0)), ISNUMBER(SEARCH($A77,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ISNUMBER(SEARCH($A77, INDEX(AsistenciaJetAdminConcatenada!$D:$D, MATCH(1, (AsistenciaJetAdminConcatenada!$A:$A=BT$2)*(AsistenciaJetAdminConcatenada!$B:$B=BT$1), 0)), 1))),  0.5, 0))</f>
        <v>1</v>
      </c>
      <c r="BU77" s="47">
        <f t="array" ref="BU77">IF(AND(ISNUMBER(MATCH(BU$2, AsistenciaJetAdminConcatenada!$A:$A, 0)), ISNUMBER(MATCH(BU$1, AsistenciaJetAdminConcatenada!$B:$B, 0)), ISNUMBER(SEARCH($A77,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ISNUMBER(SEARCH($A77, INDEX(AsistenciaJetAdminConcatenada!$D:$D, MATCH(1, (AsistenciaJetAdminConcatenada!$A:$A=BU$2)*(AsistenciaJetAdminConcatenada!$B:$B=BU$1), 0)), 1))),  0.5, 0))</f>
        <v>0</v>
      </c>
      <c r="BV77" s="8">
        <v>1.0</v>
      </c>
      <c r="BW77" s="47">
        <f t="array" ref="BW77">IF(AND(ISNUMBER(MATCH(BW$2, AsistenciaJetAdminConcatenada!$A:$A, 0)), ISNUMBER(MATCH(BW$1, AsistenciaJetAdminConcatenada!$B:$B, 0)), ISNUMBER(SEARCH($A77,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ISNUMBER(SEARCH($A77, INDEX(AsistenciaJetAdminConcatenada!$D:$D, MATCH(1, (AsistenciaJetAdminConcatenada!$A:$A=BW$2)*(AsistenciaJetAdminConcatenada!$B:$B=BW$1), 0)), 1))),  0.5, 0))</f>
        <v>1</v>
      </c>
      <c r="BX77" s="47">
        <f t="array" ref="BX77">IF(AND(ISNUMBER(MATCH(BX$2, AsistenciaJetAdminConcatenada!$A:$A, 0)), ISNUMBER(MATCH(BX$1, AsistenciaJetAdminConcatenada!$B:$B, 0)), ISNUMBER(SEARCH($A77,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ISNUMBER(SEARCH($A77, INDEX(AsistenciaJetAdminConcatenada!$D:$D, MATCH(1, (AsistenciaJetAdminConcatenada!$A:$A=BX$2)*(AsistenciaJetAdminConcatenada!$B:$B=BX$1), 0)), 1))),  0.5, 0))</f>
        <v>1</v>
      </c>
      <c r="BY77" s="47">
        <f t="array" ref="BY77">IF(AND(ISNUMBER(MATCH(BY$2, AsistenciaJetAdminConcatenada!$A:$A, 0)), ISNUMBER(MATCH(BY$1, AsistenciaJetAdminConcatenada!$B:$B, 0)), ISNUMBER(SEARCH($A77,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ISNUMBER(SEARCH($A77, INDEX(AsistenciaJetAdminConcatenada!$D:$D, MATCH(1, (AsistenciaJetAdminConcatenada!$A:$A=BY$2)*(AsistenciaJetAdminConcatenada!$B:$B=BY$1), 0)), 1))),  0.5, 0))</f>
        <v>1</v>
      </c>
      <c r="BZ77" s="47">
        <f t="array" ref="BZ77">IF(AND(ISNUMBER(MATCH(BZ$2, AsistenciaJetAdminConcatenada!$A:$A, 0)), ISNUMBER(MATCH(BZ$1, AsistenciaJetAdminConcatenada!$B:$B, 0)), ISNUMBER(SEARCH($A77,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ISNUMBER(SEARCH($A77, INDEX(AsistenciaJetAdminConcatenada!$D:$D, MATCH(1, (AsistenciaJetAdminConcatenada!$A:$A=BZ$2)*(AsistenciaJetAdminConcatenada!$B:$B=BZ$1), 0)), 1))),  0.5, 0))</f>
        <v>0</v>
      </c>
      <c r="CA77" s="47">
        <f t="array" ref="CA77">IF(AND(ISNUMBER(MATCH(CA$2, AsistenciaJetAdminConcatenada!$A:$A, 0)), ISNUMBER(MATCH(CA$1, AsistenciaJetAdminConcatenada!$B:$B, 0)), ISNUMBER(SEARCH($A77,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ISNUMBER(SEARCH($A77, INDEX(AsistenciaJetAdminConcatenada!$D:$D, MATCH(1, (AsistenciaJetAdminConcatenada!$A:$A=CA$2)*(AsistenciaJetAdminConcatenada!$B:$B=CA$1), 0)), 1))),  0.5, 0))</f>
        <v>1</v>
      </c>
      <c r="CB77" s="47">
        <f t="array" ref="CB77">IF(AND(ISNUMBER(MATCH(CB$2, AsistenciaJetAdminConcatenada!$A:$A, 0)), ISNUMBER(MATCH(CB$1, AsistenciaJetAdminConcatenada!$B:$B, 0)), ISNUMBER(SEARCH($A77,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ISNUMBER(SEARCH($A77, INDEX(AsistenciaJetAdminConcatenada!$D:$D, MATCH(1, (AsistenciaJetAdminConcatenada!$A:$A=CB$2)*(AsistenciaJetAdminConcatenada!$B:$B=CB$1), 0)), 1))),  0.5, 0))</f>
        <v>1</v>
      </c>
      <c r="CC77" s="47">
        <f t="array" ref="CC77">IF(AND(ISNUMBER(MATCH(CC$2, AsistenciaJetAdminConcatenada!$A:$A, 0)), ISNUMBER(MATCH(CC$1, AsistenciaJetAdminConcatenada!$B:$B, 0)), ISNUMBER(SEARCH($A77,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ISNUMBER(SEARCH($A77, INDEX(AsistenciaJetAdminConcatenada!$D:$D, MATCH(1, (AsistenciaJetAdminConcatenada!$A:$A=CC$2)*(AsistenciaJetAdminConcatenada!$B:$B=CC$1), 0)), 1))),  0.5, 0))</f>
        <v>1</v>
      </c>
      <c r="CD77" s="47">
        <f t="array" ref="CD77">IF(AND(ISNUMBER(MATCH(CD$2, AsistenciaJetAdminConcatenada!$A:$A, 0)), ISNUMBER(MATCH(CD$1, AsistenciaJetAdminConcatenada!$B:$B, 0)), ISNUMBER(SEARCH($A77,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ISNUMBER(SEARCH($A77, INDEX(AsistenciaJetAdminConcatenada!$D:$D, MATCH(1, (AsistenciaJetAdminConcatenada!$A:$A=CD$2)*(AsistenciaJetAdminConcatenada!$B:$B=CD$1), 0)), 1))),  0.5, 0))</f>
        <v>1</v>
      </c>
      <c r="CE77" s="47">
        <f t="array" ref="CE77">IF(AND(ISNUMBER(MATCH(CE$2, AsistenciaJetAdminConcatenada!$A:$A, 0)), ISNUMBER(MATCH(CE$1, AsistenciaJetAdminConcatenada!$B:$B, 0)), ISNUMBER(SEARCH($A77,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ISNUMBER(SEARCH($A77, INDEX(AsistenciaJetAdminConcatenada!$D:$D, MATCH(1, (AsistenciaJetAdminConcatenada!$A:$A=CE$2)*(AsistenciaJetAdminConcatenada!$B:$B=CE$1), 0)), 1))),  0.5, 0))</f>
        <v>1</v>
      </c>
      <c r="CF77" s="47">
        <f t="array" ref="CF77">IF(AND(ISNUMBER(MATCH(CF$2, AsistenciaJetAdminConcatenada!$A:$A, 0)), ISNUMBER(MATCH(CF$1, AsistenciaJetAdminConcatenada!$B:$B, 0)), ISNUMBER(SEARCH($A77,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ISNUMBER(SEARCH($A77, INDEX(AsistenciaJetAdminConcatenada!$D:$D, MATCH(1, (AsistenciaJetAdminConcatenada!$A:$A=CF$2)*(AsistenciaJetAdminConcatenada!$B:$B=CF$1), 0)), 1))),  0.5, 0))</f>
        <v>1</v>
      </c>
      <c r="CG77" s="47">
        <f t="array" ref="CG77">IF(AND(ISNUMBER(MATCH(CG$2, AsistenciaJetAdminConcatenada!$A:$A, 0)), ISNUMBER(MATCH(CG$1, AsistenciaJetAdminConcatenada!$B:$B, 0)), ISNUMBER(SEARCH($A77,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ISNUMBER(SEARCH($A77, INDEX(AsistenciaJetAdminConcatenada!$D:$D, MATCH(1, (AsistenciaJetAdminConcatenada!$A:$A=CG$2)*(AsistenciaJetAdminConcatenada!$B:$B=CG$1), 0)), 1))),  0.5, 0))</f>
        <v>1</v>
      </c>
      <c r="CH77" s="47">
        <f t="array" ref="CH77">IF(AND(ISNUMBER(MATCH(CH$2, AsistenciaJetAdminConcatenada!$A:$A, 0)), ISNUMBER(MATCH(CH$1, AsistenciaJetAdminConcatenada!$B:$B, 0)), ISNUMBER(SEARCH($A77,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ISNUMBER(SEARCH($A77, INDEX(AsistenciaJetAdminConcatenada!$D:$D, MATCH(1, (AsistenciaJetAdminConcatenada!$A:$A=CH$2)*(AsistenciaJetAdminConcatenada!$B:$B=CH$1), 0)), 1))),  0.5, 0))</f>
        <v>1</v>
      </c>
      <c r="CI77" s="47">
        <f t="array" ref="CI77">IF(AND(ISNUMBER(MATCH(CI$2, AsistenciaJetAdminConcatenada!$A:$A, 0)), ISNUMBER(MATCH(CI$1, AsistenciaJetAdminConcatenada!$B:$B, 0)), ISNUMBER(SEARCH($A77,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ISNUMBER(SEARCH($A77, INDEX(AsistenciaJetAdminConcatenada!$D:$D, MATCH(1, (AsistenciaJetAdminConcatenada!$A:$A=CI$2)*(AsistenciaJetAdminConcatenada!$B:$B=CI$1), 0)), 1))),  0.5, 0))</f>
        <v>0</v>
      </c>
      <c r="CJ77" s="47">
        <f t="array" ref="CJ77">IF(AND(ISNUMBER(MATCH(CJ$2, AsistenciaJetAdminConcatenada!$A:$A, 0)), ISNUMBER(MATCH(CJ$1, AsistenciaJetAdminConcatenada!$B:$B, 0)), ISNUMBER(SEARCH($A77,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ISNUMBER(SEARCH($A77, INDEX(AsistenciaJetAdminConcatenada!$D:$D, MATCH(1, (AsistenciaJetAdminConcatenada!$A:$A=CJ$2)*(AsistenciaJetAdminConcatenada!$B:$B=CJ$1), 0)), 1))),  0.5, 0))</f>
        <v>0</v>
      </c>
      <c r="CK77" s="47">
        <f t="array" ref="CK77">IF(AND(ISNUMBER(MATCH(CK$2, AsistenciaJetAdminConcatenada!$A:$A, 0)), ISNUMBER(MATCH(CK$1, AsistenciaJetAdminConcatenada!$B:$B, 0)), ISNUMBER(SEARCH($A77,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ISNUMBER(SEARCH($A77, INDEX(AsistenciaJetAdminConcatenada!$D:$D, MATCH(1, (AsistenciaJetAdminConcatenada!$A:$A=CK$2)*(AsistenciaJetAdminConcatenada!$B:$B=CK$1), 0)), 1))),  0.5, 0))</f>
        <v>0</v>
      </c>
      <c r="CL77" s="47">
        <f t="array" ref="CL77">IF(AND(ISNUMBER(MATCH(CL$2, AsistenciaJetAdminConcatenada!$A:$A, 0)), ISNUMBER(MATCH(CL$1, AsistenciaJetAdminConcatenada!$B:$B, 0)), ISNUMBER(SEARCH($A77,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ISNUMBER(SEARCH($A77, INDEX(AsistenciaJetAdminConcatenada!$D:$D, MATCH(1, (AsistenciaJetAdminConcatenada!$A:$A=CL$2)*(AsistenciaJetAdminConcatenada!$B:$B=CL$1), 0)), 1))),  0.5, 0))</f>
        <v>1</v>
      </c>
      <c r="CM77" s="47">
        <f t="array" ref="CM77">IF(AND(ISNUMBER(MATCH(CM$2, AsistenciaJetAdminConcatenada!$A:$A, 0)), ISNUMBER(MATCH(CM$1, AsistenciaJetAdminConcatenada!$B:$B, 0)), ISNUMBER(SEARCH($A77,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ISNUMBER(SEARCH($A77, INDEX(AsistenciaJetAdminConcatenada!$D:$D, MATCH(1, (AsistenciaJetAdminConcatenada!$A:$A=CM$2)*(AsistenciaJetAdminConcatenada!$B:$B=CM$1), 0)), 1))),  0.5, 0))</f>
        <v>1</v>
      </c>
      <c r="CN77" s="47">
        <f t="array" ref="CN77">IF(AND(ISNUMBER(MATCH(CN$2, AsistenciaJetAdminConcatenada!$A:$A, 0)), ISNUMBER(MATCH(CN$1, AsistenciaJetAdminConcatenada!$B:$B, 0)), ISNUMBER(SEARCH($A77,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ISNUMBER(SEARCH($A77, INDEX(AsistenciaJetAdminConcatenada!$D:$D, MATCH(1, (AsistenciaJetAdminConcatenada!$A:$A=CN$2)*(AsistenciaJetAdminConcatenada!$B:$B=CN$1), 0)), 1))),  0.5, 0))</f>
        <v>0</v>
      </c>
      <c r="CO77" s="47">
        <f t="array" ref="CO77">IF(AND(ISNUMBER(MATCH(CO$2, AsistenciaJetAdminConcatenada!$A:$A, 0)), ISNUMBER(MATCH(CO$1, AsistenciaJetAdminConcatenada!$B:$B, 0)), ISNUMBER(SEARCH($A77,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ISNUMBER(SEARCH($A77, INDEX(AsistenciaJetAdminConcatenada!$D:$D, MATCH(1, (AsistenciaJetAdminConcatenada!$A:$A=CO$2)*(AsistenciaJetAdminConcatenada!$B:$B=CO$1), 0)), 1))),  0.5, 0))</f>
        <v>1</v>
      </c>
      <c r="CP77" s="47">
        <f t="array" ref="CP77">IF(AND(ISNUMBER(MATCH(CP$2, AsistenciaJetAdminConcatenada!$A:$A, 0)), ISNUMBER(MATCH(CP$1, AsistenciaJetAdminConcatenada!$B:$B, 0)), ISNUMBER(SEARCH($A77,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ISNUMBER(SEARCH($A77, INDEX(AsistenciaJetAdminConcatenada!$D:$D, MATCH(1, (AsistenciaJetAdminConcatenada!$A:$A=CP$2)*(AsistenciaJetAdminConcatenada!$B:$B=CP$1), 0)), 1))),  0.5, 0))</f>
        <v>1</v>
      </c>
      <c r="CQ77" s="47">
        <f t="array" ref="CQ77">IF(AND(ISNUMBER(MATCH(CQ$2, AsistenciaJetAdminConcatenada!$A:$A, 0)), ISNUMBER(MATCH(CQ$1, AsistenciaJetAdminConcatenada!$B:$B, 0)), ISNUMBER(SEARCH($A77,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ISNUMBER(SEARCH($A77, INDEX(AsistenciaJetAdminConcatenada!$D:$D, MATCH(1, (AsistenciaJetAdminConcatenada!$A:$A=CQ$2)*(AsistenciaJetAdminConcatenada!$B:$B=CQ$1), 0)), 1))),  0.5, 0))</f>
        <v>1</v>
      </c>
      <c r="CR77" s="47">
        <f t="array" ref="CR77">IF(AND(ISNUMBER(MATCH(CR$2, AsistenciaJetAdminConcatenada!$A:$A, 0)), ISNUMBER(MATCH(CR$1, AsistenciaJetAdminConcatenada!$B:$B, 0)), ISNUMBER(SEARCH($A77,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ISNUMBER(SEARCH($A77, INDEX(AsistenciaJetAdminConcatenada!$D:$D, MATCH(1, (AsistenciaJetAdminConcatenada!$A:$A=CR$2)*(AsistenciaJetAdminConcatenada!$B:$B=CR$1), 0)), 1))),  0.5, 0))</f>
        <v>1</v>
      </c>
      <c r="CS77" s="47">
        <f t="array" ref="CS77">IF(AND(ISNUMBER(MATCH(CS$2, AsistenciaJetAdminConcatenada!$A:$A, 0)), ISNUMBER(MATCH(CS$1, AsistenciaJetAdminConcatenada!$B:$B, 0)), ISNUMBER(SEARCH($A77,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ISNUMBER(SEARCH($A77, INDEX(AsistenciaJetAdminConcatenada!$D:$D, MATCH(1, (AsistenciaJetAdminConcatenada!$A:$A=CS$2)*(AsistenciaJetAdminConcatenada!$B:$B=CS$1), 0)), 1))),  0.5, 0))</f>
        <v>0</v>
      </c>
      <c r="CT77" s="47">
        <f t="array" ref="CT77">IF(AND(ISNUMBER(MATCH(CT$2, AsistenciaJetAdminConcatenada!$A:$A, 0)), ISNUMBER(MATCH(CT$1, AsistenciaJetAdminConcatenada!$B:$B, 0)), ISNUMBER(SEARCH($A77,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ISNUMBER(SEARCH($A77, INDEX(AsistenciaJetAdminConcatenada!$D:$D, MATCH(1, (AsistenciaJetAdminConcatenada!$A:$A=CT$2)*(AsistenciaJetAdminConcatenada!$B:$B=CT$1), 0)), 1))),  0.5, 0))</f>
        <v>0</v>
      </c>
      <c r="CU77" s="47">
        <f t="array" ref="CU77">IF(AND(ISNUMBER(MATCH(CU$2, AsistenciaJetAdminConcatenada!$A:$A, 0)), ISNUMBER(MATCH(CU$1, AsistenciaJetAdminConcatenada!$B:$B, 0)), ISNUMBER(SEARCH($A77,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ISNUMBER(SEARCH($A77, INDEX(AsistenciaJetAdminConcatenada!$D:$D, MATCH(1, (AsistenciaJetAdminConcatenada!$A:$A=CU$2)*(AsistenciaJetAdminConcatenada!$B:$B=CU$1), 0)), 1))),  0.5, 0))</f>
        <v>0</v>
      </c>
      <c r="CV77" s="47">
        <f t="array" ref="CV77">IF(AND(ISNUMBER(MATCH(CV$2, AsistenciaJetAdminConcatenada!$A:$A, 0)), ISNUMBER(MATCH(CV$1, AsistenciaJetAdminConcatenada!$B:$B, 0)), ISNUMBER(SEARCH($A77,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ISNUMBER(SEARCH($A77, INDEX(AsistenciaJetAdminConcatenada!$D:$D, MATCH(1, (AsistenciaJetAdminConcatenada!$A:$A=CV$2)*(AsistenciaJetAdminConcatenada!$B:$B=CV$1), 0)), 1))),  0.5, 0))</f>
        <v>0</v>
      </c>
      <c r="CW77" s="47">
        <f t="array" ref="CW77">IF(AND(ISNUMBER(MATCH(CW$2, AsistenciaJetAdminConcatenada!$A:$A, 0)), ISNUMBER(MATCH(CW$1, AsistenciaJetAdminConcatenada!$B:$B, 0)), ISNUMBER(SEARCH($A77,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ISNUMBER(SEARCH($A77, INDEX(AsistenciaJetAdminConcatenada!$D:$D, MATCH(1, (AsistenciaJetAdminConcatenada!$A:$A=CW$2)*(AsistenciaJetAdminConcatenada!$B:$B=CW$1), 0)), 1))),  0.5, 0))</f>
        <v>0</v>
      </c>
      <c r="CX77" s="47">
        <f t="array" ref="CX77">IF(AND(ISNUMBER(MATCH(CX$2, AsistenciaJetAdminConcatenada!$A:$A, 0)), ISNUMBER(MATCH(CX$1, AsistenciaJetAdminConcatenada!$B:$B, 0)), ISNUMBER(SEARCH($A77,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ISNUMBER(SEARCH($A77, INDEX(AsistenciaJetAdminConcatenada!$D:$D, MATCH(1, (AsistenciaJetAdminConcatenada!$A:$A=CX$2)*(AsistenciaJetAdminConcatenada!$B:$B=CX$1), 0)), 1))),  0.5, 0))</f>
        <v>0</v>
      </c>
      <c r="CY77" s="47">
        <f t="array" ref="CY77">IF(AND(ISNUMBER(MATCH(CY$2, AsistenciaJetAdminConcatenada!$A:$A, 0)), ISNUMBER(MATCH(CY$1, AsistenciaJetAdminConcatenada!$B:$B, 0)), ISNUMBER(SEARCH($A77,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ISNUMBER(SEARCH($A77, INDEX(AsistenciaJetAdminConcatenada!$D:$D, MATCH(1, (AsistenciaJetAdminConcatenada!$A:$A=CY$2)*(AsistenciaJetAdminConcatenada!$B:$B=CY$1), 0)), 1))),  0.5, 0))</f>
        <v>0</v>
      </c>
      <c r="CZ77" s="47">
        <f t="array" ref="CZ77">IF(AND(ISNUMBER(MATCH(CZ$2, AsistenciaJetAdminConcatenada!$A:$A, 0)), ISNUMBER(MATCH(CZ$1, AsistenciaJetAdminConcatenada!$B:$B, 0)), ISNUMBER(SEARCH($A77,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ISNUMBER(SEARCH($A77, INDEX(AsistenciaJetAdminConcatenada!$D:$D, MATCH(1, (AsistenciaJetAdminConcatenada!$A:$A=CZ$2)*(AsistenciaJetAdminConcatenada!$B:$B=CZ$1), 0)), 1))),  0.5, 0))</f>
        <v>0</v>
      </c>
      <c r="DA77" s="47">
        <f t="array" ref="DA77">IF(AND(ISNUMBER(MATCH(DA$2, AsistenciaJetAdminConcatenada!$A:$A, 0)), ISNUMBER(MATCH(DA$1, AsistenciaJetAdminConcatenada!$B:$B, 0)), ISNUMBER(SEARCH($A77,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ISNUMBER(SEARCH($A77, INDEX(AsistenciaJetAdminConcatenada!$D:$D, MATCH(1, (AsistenciaJetAdminConcatenada!$A:$A=DA$2)*(AsistenciaJetAdminConcatenada!$B:$B=DA$1), 0)), 1))),  0.5, 0))</f>
        <v>0</v>
      </c>
      <c r="DB77" s="47">
        <f t="array" ref="DB77">IF(AND(ISNUMBER(MATCH(DB$2, AsistenciaJetAdminConcatenada!$A:$A, 0)), ISNUMBER(MATCH(DB$1, AsistenciaJetAdminConcatenada!$B:$B, 0)), ISNUMBER(SEARCH($A77,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ISNUMBER(SEARCH($A77, INDEX(AsistenciaJetAdminConcatenada!$D:$D, MATCH(1, (AsistenciaJetAdminConcatenada!$A:$A=DB$2)*(AsistenciaJetAdminConcatenada!$B:$B=DB$1), 0)), 1))),  0.5, 0))</f>
        <v>0</v>
      </c>
      <c r="DC77" s="47">
        <f t="array" ref="DC77">IF(AND(ISNUMBER(MATCH(DC$2, AsistenciaJetAdminConcatenada!$A:$A, 0)), ISNUMBER(MATCH(DC$1, AsistenciaJetAdminConcatenada!$B:$B, 0)), ISNUMBER(SEARCH($A77,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ISNUMBER(SEARCH($A77, INDEX(AsistenciaJetAdminConcatenada!$D:$D, MATCH(1, (AsistenciaJetAdminConcatenada!$A:$A=DC$2)*(AsistenciaJetAdminConcatenada!$B:$B=DC$1), 0)), 1))),  0.5, 0))</f>
        <v>0</v>
      </c>
      <c r="DD77" s="47">
        <f t="array" ref="DD77">IF(AND(ISNUMBER(MATCH(DD$2, AsistenciaJetAdminConcatenada!$A:$A, 0)), ISNUMBER(MATCH(DD$1, AsistenciaJetAdminConcatenada!$B:$B, 0)), ISNUMBER(SEARCH($A77,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ISNUMBER(SEARCH($A77, INDEX(AsistenciaJetAdminConcatenada!$D:$D, MATCH(1, (AsistenciaJetAdminConcatenada!$A:$A=DD$2)*(AsistenciaJetAdminConcatenada!$B:$B=DD$1), 0)), 1))),  0.5, 0))</f>
        <v>0</v>
      </c>
      <c r="DE77" s="47">
        <f t="array" ref="DE77">IF(AND(ISNUMBER(MATCH(DE$2, AsistenciaJetAdminConcatenada!$A:$A, 0)), ISNUMBER(MATCH(DE$1, AsistenciaJetAdminConcatenada!$B:$B, 0)), ISNUMBER(SEARCH($A77,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ISNUMBER(SEARCH($A77, INDEX(AsistenciaJetAdminConcatenada!$D:$D, MATCH(1, (AsistenciaJetAdminConcatenada!$A:$A=DE$2)*(AsistenciaJetAdminConcatenada!$B:$B=DE$1), 0)), 1))),  0.5, 0))</f>
        <v>0</v>
      </c>
      <c r="DF77" s="47">
        <f t="array" ref="DF77">IF(AND(ISNUMBER(MATCH(DF$2, AsistenciaJetAdminConcatenada!$A:$A, 0)), ISNUMBER(MATCH(DF$1, AsistenciaJetAdminConcatenada!$B:$B, 0)), ISNUMBER(SEARCH($A77,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ISNUMBER(SEARCH($A77, INDEX(AsistenciaJetAdminConcatenada!$D:$D, MATCH(1, (AsistenciaJetAdminConcatenada!$A:$A=DF$2)*(AsistenciaJetAdminConcatenada!$B:$B=DF$1), 0)), 1))),  0.5, 0))</f>
        <v>0</v>
      </c>
      <c r="DG77" s="47">
        <f t="array" ref="DG77">IF(AND(ISNUMBER(MATCH(DG$2, AsistenciaJetAdminConcatenada!$A:$A, 0)), ISNUMBER(MATCH(DG$1, AsistenciaJetAdminConcatenada!$B:$B, 0)), ISNUMBER(SEARCH($A77,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ISNUMBER(SEARCH($A77, INDEX(AsistenciaJetAdminConcatenada!$D:$D, MATCH(1, (AsistenciaJetAdminConcatenada!$A:$A=DG$2)*(AsistenciaJetAdminConcatenada!$B:$B=DG$1), 0)), 1))),  0.5, 0))</f>
        <v>0</v>
      </c>
      <c r="DH77" s="47">
        <f t="array" ref="DH77">IF(AND(ISNUMBER(MATCH(DH$2, AsistenciaJetAdminConcatenada!$A:$A, 0)), ISNUMBER(MATCH(DH$1, AsistenciaJetAdminConcatenada!$B:$B, 0)), ISNUMBER(SEARCH($A77,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ISNUMBER(SEARCH($A77, INDEX(AsistenciaJetAdminConcatenada!$D:$D, MATCH(1, (AsistenciaJetAdminConcatenada!$A:$A=DH$2)*(AsistenciaJetAdminConcatenada!$B:$B=DH$1), 0)), 1))),  0.5, 0))</f>
        <v>0</v>
      </c>
      <c r="DI77" s="47">
        <f t="array" ref="DI77">IF(AND(ISNUMBER(MATCH(DI$2, AsistenciaJetAdminConcatenada!$A:$A, 0)), ISNUMBER(MATCH(DI$1, AsistenciaJetAdminConcatenada!$B:$B, 0)), ISNUMBER(SEARCH($A77,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ISNUMBER(SEARCH($A77, INDEX(AsistenciaJetAdminConcatenada!$D:$D, MATCH(1, (AsistenciaJetAdminConcatenada!$A:$A=DI$2)*(AsistenciaJetAdminConcatenada!$B:$B=DI$1), 0)), 1))),  0.5, 0))</f>
        <v>0</v>
      </c>
      <c r="DJ77" s="47">
        <f t="array" ref="DJ77">IF(AND(ISNUMBER(MATCH(DJ$2, AsistenciaJetAdminConcatenada!$A:$A, 0)), ISNUMBER(MATCH(DJ$1, AsistenciaJetAdminConcatenada!$B:$B, 0)), ISNUMBER(SEARCH($A77,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ISNUMBER(SEARCH($A77, INDEX(AsistenciaJetAdminConcatenada!$D:$D, MATCH(1, (AsistenciaJetAdminConcatenada!$A:$A=DJ$2)*(AsistenciaJetAdminConcatenada!$B:$B=DJ$1), 0)), 1))),  0.5, 0))</f>
        <v>0</v>
      </c>
      <c r="DK77" s="47">
        <f t="array" ref="DK77">IF(AND(ISNUMBER(MATCH(DK$2, AsistenciaJetAdminConcatenada!$A:$A, 0)), ISNUMBER(MATCH(DK$1, AsistenciaJetAdminConcatenada!$B:$B, 0)), ISNUMBER(SEARCH($A77,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ISNUMBER(SEARCH($A77, INDEX(AsistenciaJetAdminConcatenada!$D:$D, MATCH(1, (AsistenciaJetAdminConcatenada!$A:$A=DK$2)*(AsistenciaJetAdminConcatenada!$B:$B=DK$1), 0)), 1))),  0.5, 0))</f>
        <v>0</v>
      </c>
      <c r="DL77" s="47">
        <f t="array" ref="DL77">IF(AND(ISNUMBER(MATCH(DL$2, AsistenciaJetAdminConcatenada!$A:$A, 0)), ISNUMBER(MATCH(DL$1, AsistenciaJetAdminConcatenada!$B:$B, 0)), ISNUMBER(SEARCH($A77,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ISNUMBER(SEARCH($A77, INDEX(AsistenciaJetAdminConcatenada!$D:$D, MATCH(1, (AsistenciaJetAdminConcatenada!$A:$A=DL$2)*(AsistenciaJetAdminConcatenada!$B:$B=DL$1), 0)), 1))),  0.5, 0))</f>
        <v>0</v>
      </c>
      <c r="DM77" s="47">
        <f t="array" ref="DM77">IF(AND(ISNUMBER(MATCH(DM$2, AsistenciaJetAdminConcatenada!$A:$A, 0)), ISNUMBER(MATCH(DM$1, AsistenciaJetAdminConcatenada!$B:$B, 0)), ISNUMBER(SEARCH($A77,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ISNUMBER(SEARCH($A77, INDEX(AsistenciaJetAdminConcatenada!$D:$D, MATCH(1, (AsistenciaJetAdminConcatenada!$A:$A=DM$2)*(AsistenciaJetAdminConcatenada!$B:$B=DM$1), 0)), 1))),  0.5, 0))</f>
        <v>0</v>
      </c>
      <c r="DN77" s="47">
        <f t="array" ref="DN77">IF(AND(ISNUMBER(MATCH(DN$2, AsistenciaJetAdminConcatenada!$A:$A, 0)), ISNUMBER(MATCH(DN$1, AsistenciaJetAdminConcatenada!$B:$B, 0)), ISNUMBER(SEARCH($A77,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ISNUMBER(SEARCH($A77, INDEX(AsistenciaJetAdminConcatenada!$D:$D, MATCH(1, (AsistenciaJetAdminConcatenada!$A:$A=DN$2)*(AsistenciaJetAdminConcatenada!$B:$B=DN$1), 0)), 1))),  0.5, 0))</f>
        <v>0</v>
      </c>
      <c r="DO77" s="47">
        <f t="array" ref="DO77">IF(AND(ISNUMBER(MATCH(DO$2, AsistenciaJetAdminConcatenada!$A:$A, 0)), ISNUMBER(MATCH(DO$1, AsistenciaJetAdminConcatenada!$B:$B, 0)), ISNUMBER(SEARCH($A77,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ISNUMBER(SEARCH($A77, INDEX(AsistenciaJetAdminConcatenada!$D:$D, MATCH(1, (AsistenciaJetAdminConcatenada!$A:$A=DO$2)*(AsistenciaJetAdminConcatenada!$B:$B=DO$1), 0)), 1))),  0.5, 0))</f>
        <v>0</v>
      </c>
      <c r="DP77" s="47">
        <f t="array" ref="DP77">IF(AND(ISNUMBER(MATCH(DP$2, AsistenciaJetAdminConcatenada!$A:$A, 0)), ISNUMBER(MATCH(DP$1, AsistenciaJetAdminConcatenada!$B:$B, 0)), ISNUMBER(SEARCH($A77,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ISNUMBER(SEARCH($A77, INDEX(AsistenciaJetAdminConcatenada!$D:$D, MATCH(1, (AsistenciaJetAdminConcatenada!$A:$A=DP$2)*(AsistenciaJetAdminConcatenada!$B:$B=DP$1), 0)), 1))),  0.5, 0))</f>
        <v>0</v>
      </c>
      <c r="DQ77" s="47">
        <f t="array" ref="DQ77">IF(AND(ISNUMBER(MATCH(DQ$2, AsistenciaJetAdminConcatenada!$A:$A, 0)), ISNUMBER(MATCH(DQ$1, AsistenciaJetAdminConcatenada!$B:$B, 0)), ISNUMBER(SEARCH($A77,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ISNUMBER(SEARCH($A77, INDEX(AsistenciaJetAdminConcatenada!$D:$D, MATCH(1, (AsistenciaJetAdminConcatenada!$A:$A=DQ$2)*(AsistenciaJetAdminConcatenada!$B:$B=DQ$1), 0)), 1))),  0.5, 0))</f>
        <v>0</v>
      </c>
      <c r="DR77" s="47">
        <f t="array" ref="DR77">IF(AND(ISNUMBER(MATCH(DR$2, AsistenciaJetAdminConcatenada!$A:$A, 0)), ISNUMBER(MATCH(DR$1, AsistenciaJetAdminConcatenada!$B:$B, 0)), ISNUMBER(SEARCH($A77,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ISNUMBER(SEARCH($A77, INDEX(AsistenciaJetAdminConcatenada!$D:$D, MATCH(1, (AsistenciaJetAdminConcatenada!$A:$A=DR$2)*(AsistenciaJetAdminConcatenada!$B:$B=DR$1), 0)), 1))),  0.5, 0))</f>
        <v>0</v>
      </c>
      <c r="DS77" s="47">
        <f t="array" ref="DS77">IF(AND(ISNUMBER(MATCH(DS$2, AsistenciaJetAdminConcatenada!$A:$A, 0)), ISNUMBER(MATCH(DS$1, AsistenciaJetAdminConcatenada!$B:$B, 0)), ISNUMBER(SEARCH($A77,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ISNUMBER(SEARCH($A77, INDEX(AsistenciaJetAdminConcatenada!$D:$D, MATCH(1, (AsistenciaJetAdminConcatenada!$A:$A=DS$2)*(AsistenciaJetAdminConcatenada!$B:$B=DS$1), 0)), 1))),  0.5, 0))</f>
        <v>0</v>
      </c>
      <c r="DT77" s="47">
        <f t="array" ref="DT77">IF(AND(ISNUMBER(MATCH(DT$2, AsistenciaJetAdminConcatenada!$A:$A, 0)), ISNUMBER(MATCH(DT$1, AsistenciaJetAdminConcatenada!$B:$B, 0)), ISNUMBER(SEARCH($A77,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ISNUMBER(SEARCH($A77, INDEX(AsistenciaJetAdminConcatenada!$D:$D, MATCH(1, (AsistenciaJetAdminConcatenada!$A:$A=DT$2)*(AsistenciaJetAdminConcatenada!$B:$B=DT$1), 0)), 1))),  0.5, 0))</f>
        <v>0</v>
      </c>
      <c r="DU77" s="47">
        <f t="array" ref="DU77">IF(AND(ISNUMBER(MATCH(DU$2, AsistenciaJetAdminConcatenada!$A:$A, 0)), ISNUMBER(MATCH(DU$1, AsistenciaJetAdminConcatenada!$B:$B, 0)), ISNUMBER(SEARCH($A77,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ISNUMBER(SEARCH($A77, INDEX(AsistenciaJetAdminConcatenada!$D:$D, MATCH(1, (AsistenciaJetAdminConcatenada!$A:$A=DU$2)*(AsistenciaJetAdminConcatenada!$B:$B=DU$1), 0)), 1))),  0.5, 0))</f>
        <v>0</v>
      </c>
      <c r="DV77" s="47">
        <f t="array" ref="DV77">IF(AND(ISNUMBER(MATCH(DV$2, AsistenciaJetAdminConcatenada!$A:$A, 0)), ISNUMBER(MATCH(DV$1, AsistenciaJetAdminConcatenada!$B:$B, 0)), ISNUMBER(SEARCH($A77,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ISNUMBER(SEARCH($A77, INDEX(AsistenciaJetAdminConcatenada!$D:$D, MATCH(1, (AsistenciaJetAdminConcatenada!$A:$A=DV$2)*(AsistenciaJetAdminConcatenada!$B:$B=DV$1), 0)), 1))),  0.5, 0))</f>
        <v>0</v>
      </c>
      <c r="DW77" s="47">
        <f t="array" ref="DW77">IF(AND(ISNUMBER(MATCH(DW$2, AsistenciaJetAdminConcatenada!$A:$A, 0)), ISNUMBER(MATCH(DW$1, AsistenciaJetAdminConcatenada!$B:$B, 0)), ISNUMBER(SEARCH($A77,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ISNUMBER(SEARCH($A77, INDEX(AsistenciaJetAdminConcatenada!$D:$D, MATCH(1, (AsistenciaJetAdminConcatenada!$A:$A=DW$2)*(AsistenciaJetAdminConcatenada!$B:$B=DW$1), 0)), 1))),  0.5, 0))</f>
        <v>0</v>
      </c>
      <c r="DX77" s="47">
        <f t="array" ref="DX77">IF(AND(ISNUMBER(MATCH(DX$2, AsistenciaJetAdminConcatenada!$A:$A, 0)), ISNUMBER(MATCH(DX$1, AsistenciaJetAdminConcatenada!$B:$B, 0)), ISNUMBER(SEARCH($A77,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ISNUMBER(SEARCH($A77, INDEX(AsistenciaJetAdminConcatenada!$D:$D, MATCH(1, (AsistenciaJetAdminConcatenada!$A:$A=DX$2)*(AsistenciaJetAdminConcatenada!$B:$B=DX$1), 0)), 1))),  0.5, 0))</f>
        <v>0</v>
      </c>
      <c r="DY77" s="47">
        <f t="array" ref="DY77">IF(AND(ISNUMBER(MATCH(DY$2, AsistenciaJetAdminConcatenada!$A:$A, 0)), ISNUMBER(MATCH(DY$1, AsistenciaJetAdminConcatenada!$B:$B, 0)), ISNUMBER(SEARCH($A77,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ISNUMBER(SEARCH($A77, INDEX(AsistenciaJetAdminConcatenada!$D:$D, MATCH(1, (AsistenciaJetAdminConcatenada!$A:$A=DY$2)*(AsistenciaJetAdminConcatenada!$B:$B=DY$1), 0)), 1))),  0.5, 0))</f>
        <v>0</v>
      </c>
      <c r="DZ77" s="47">
        <f t="array" ref="DZ77">IF(AND(ISNUMBER(MATCH(DZ$2, AsistenciaJetAdminConcatenada!$A:$A, 0)), ISNUMBER(MATCH(DZ$1, AsistenciaJetAdminConcatenada!$B:$B, 0)), ISNUMBER(SEARCH($A77,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ISNUMBER(SEARCH($A77, INDEX(AsistenciaJetAdminConcatenada!$D:$D, MATCH(1, (AsistenciaJetAdminConcatenada!$A:$A=DZ$2)*(AsistenciaJetAdminConcatenada!$B:$B=DZ$1), 0)), 1))),  0.5, 0))</f>
        <v>0</v>
      </c>
      <c r="EA77" s="47">
        <f t="array" ref="EA77">IF(AND(ISNUMBER(MATCH(EA$2, AsistenciaJetAdminConcatenada!$A:$A, 0)), ISNUMBER(MATCH(EA$1, AsistenciaJetAdminConcatenada!$B:$B, 0)), ISNUMBER(SEARCH($A77,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ISNUMBER(SEARCH($A77, INDEX(AsistenciaJetAdminConcatenada!$D:$D, MATCH(1, (AsistenciaJetAdminConcatenada!$A:$A=EA$2)*(AsistenciaJetAdminConcatenada!$B:$B=EA$1), 0)), 1))),  0.5, 0))</f>
        <v>0</v>
      </c>
      <c r="EB77" s="47">
        <f t="array" ref="EB77">IF(AND(ISNUMBER(MATCH(EB$2, AsistenciaJetAdminConcatenada!$A:$A, 0)), ISNUMBER(MATCH(EB$1, AsistenciaJetAdminConcatenada!$B:$B, 0)), ISNUMBER(SEARCH($A77,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ISNUMBER(SEARCH($A77, INDEX(AsistenciaJetAdminConcatenada!$D:$D, MATCH(1, (AsistenciaJetAdminConcatenada!$A:$A=EB$2)*(AsistenciaJetAdminConcatenada!$B:$B=EB$1), 0)), 1))),  0.5, 0))</f>
        <v>0</v>
      </c>
      <c r="EC77" s="47">
        <f t="array" ref="EC77">IF(AND(ISNUMBER(MATCH(EC$2, AsistenciaJetAdminConcatenada!$A:$A, 0)), ISNUMBER(MATCH(EC$1, AsistenciaJetAdminConcatenada!$B:$B, 0)), ISNUMBER(SEARCH($A77,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ISNUMBER(SEARCH($A77, INDEX(AsistenciaJetAdminConcatenada!$D:$D, MATCH(1, (AsistenciaJetAdminConcatenada!$A:$A=EC$2)*(AsistenciaJetAdminConcatenada!$B:$B=EC$1), 0)), 1))),  0.5, 0))</f>
        <v>0</v>
      </c>
      <c r="ED77" s="47">
        <f t="array" ref="ED77">IF(AND(ISNUMBER(MATCH(ED$2, AsistenciaJetAdminConcatenada!$A:$A, 0)), ISNUMBER(MATCH(ED$1, AsistenciaJetAdminConcatenada!$B:$B, 0)), ISNUMBER(SEARCH($A77,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ISNUMBER(SEARCH($A77, INDEX(AsistenciaJetAdminConcatenada!$D:$D, MATCH(1, (AsistenciaJetAdminConcatenada!$A:$A=ED$2)*(AsistenciaJetAdminConcatenada!$B:$B=ED$1), 0)), 1))),  0.5, 0))</f>
        <v>0</v>
      </c>
      <c r="EE77" s="47">
        <f t="array" ref="EE77">IF(AND(ISNUMBER(MATCH(EE$2, AsistenciaJetAdminConcatenada!$A:$A, 0)), ISNUMBER(MATCH(EE$1, AsistenciaJetAdminConcatenada!$B:$B, 0)), ISNUMBER(SEARCH($A77,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ISNUMBER(SEARCH($A77, INDEX(AsistenciaJetAdminConcatenada!$D:$D, MATCH(1, (AsistenciaJetAdminConcatenada!$A:$A=EE$2)*(AsistenciaJetAdminConcatenada!$B:$B=EE$1), 0)), 1))),  0.5, 0))</f>
        <v>0</v>
      </c>
      <c r="EF77" s="47">
        <f t="array" ref="EF77">IF(AND(ISNUMBER(MATCH(EF$2, AsistenciaJetAdminConcatenada!$A:$A, 0)), ISNUMBER(MATCH(EF$1, AsistenciaJetAdminConcatenada!$B:$B, 0)), ISNUMBER(SEARCH($A77,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ISNUMBER(SEARCH($A77, INDEX(AsistenciaJetAdminConcatenada!$D:$D, MATCH(1, (AsistenciaJetAdminConcatenada!$A:$A=EF$2)*(AsistenciaJetAdminConcatenada!$B:$B=EF$1), 0)), 1))),  0.5, 0))</f>
        <v>0</v>
      </c>
      <c r="EG77" s="47">
        <f t="array" ref="EG77">IF(AND(ISNUMBER(MATCH(EG$2, AsistenciaJetAdminConcatenada!$A:$A, 0)), ISNUMBER(MATCH(EG$1, AsistenciaJetAdminConcatenada!$B:$B, 0)), ISNUMBER(SEARCH($A77,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ISNUMBER(SEARCH($A77, INDEX(AsistenciaJetAdminConcatenada!$D:$D, MATCH(1, (AsistenciaJetAdminConcatenada!$A:$A=EG$2)*(AsistenciaJetAdminConcatenada!$B:$B=EG$1), 0)), 1))),  0.5, 0))</f>
        <v>0</v>
      </c>
      <c r="EH77" s="47">
        <f t="array" ref="EH77">IF(AND(ISNUMBER(MATCH(EH$2, AsistenciaJetAdminConcatenada!$A:$A, 0)), ISNUMBER(MATCH(EH$1, AsistenciaJetAdminConcatenada!$B:$B, 0)), ISNUMBER(SEARCH($A77,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ISNUMBER(SEARCH($A77, INDEX(AsistenciaJetAdminConcatenada!$D:$D, MATCH(1, (AsistenciaJetAdminConcatenada!$A:$A=EH$2)*(AsistenciaJetAdminConcatenada!$B:$B=EH$1), 0)), 1))),  0.5, 0))</f>
        <v>0</v>
      </c>
      <c r="EI77" s="47">
        <f t="array" ref="EI77">IF(AND(ISNUMBER(MATCH(EI$2, AsistenciaJetAdminConcatenada!$A:$A, 0)), ISNUMBER(MATCH(EI$1, AsistenciaJetAdminConcatenada!$B:$B, 0)), ISNUMBER(SEARCH($A77,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ISNUMBER(SEARCH($A77, INDEX(AsistenciaJetAdminConcatenada!$D:$D, MATCH(1, (AsistenciaJetAdminConcatenada!$A:$A=EI$2)*(AsistenciaJetAdminConcatenada!$B:$B=EI$1), 0)), 1))),  0.5, 0))</f>
        <v>0</v>
      </c>
      <c r="EJ77" s="47">
        <f t="array" ref="EJ77">IF(AND(ISNUMBER(MATCH(EJ$2, AsistenciaJetAdminConcatenada!$A:$A, 0)), ISNUMBER(MATCH(EJ$1, AsistenciaJetAdminConcatenada!$B:$B, 0)), ISNUMBER(SEARCH($A77,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ISNUMBER(SEARCH($A77, INDEX(AsistenciaJetAdminConcatenada!$D:$D, MATCH(1, (AsistenciaJetAdminConcatenada!$A:$A=EJ$2)*(AsistenciaJetAdminConcatenada!$B:$B=EJ$1), 0)), 1))),  0.5, 0))</f>
        <v>0</v>
      </c>
      <c r="EK77" s="47">
        <f t="array" ref="EK77">IF(AND(ISNUMBER(MATCH(EK$2, AsistenciaJetAdminConcatenada!$A:$A, 0)), ISNUMBER(MATCH(EK$1, AsistenciaJetAdminConcatenada!$B:$B, 0)), ISNUMBER(SEARCH($A77,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ISNUMBER(SEARCH($A77, INDEX(AsistenciaJetAdminConcatenada!$D:$D, MATCH(1, (AsistenciaJetAdminConcatenada!$A:$A=EK$2)*(AsistenciaJetAdminConcatenada!$B:$B=EK$1), 0)), 1))),  0.5, 0))</f>
        <v>0</v>
      </c>
      <c r="EL77" s="47">
        <f t="array" ref="EL77">IF(AND(ISNUMBER(MATCH(EL$2, AsistenciaJetAdminConcatenada!$A:$A, 0)), ISNUMBER(MATCH(EL$1, AsistenciaJetAdminConcatenada!$B:$B, 0)), ISNUMBER(SEARCH($A77,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ISNUMBER(SEARCH($A77, INDEX(AsistenciaJetAdminConcatenada!$D:$D, MATCH(1, (AsistenciaJetAdminConcatenada!$A:$A=EL$2)*(AsistenciaJetAdminConcatenada!$B:$B=EL$1), 0)), 1))),  0.5, 0))</f>
        <v>0</v>
      </c>
      <c r="EM77" s="47">
        <f t="array" ref="EM77">IF(AND(ISNUMBER(MATCH(EM$2, AsistenciaJetAdminConcatenada!$A:$A, 0)), ISNUMBER(MATCH(EM$1, AsistenciaJetAdminConcatenada!$B:$B, 0)), ISNUMBER(SEARCH($A77,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ISNUMBER(SEARCH($A77, INDEX(AsistenciaJetAdminConcatenada!$D:$D, MATCH(1, (AsistenciaJetAdminConcatenada!$A:$A=EM$2)*(AsistenciaJetAdminConcatenada!$B:$B=EM$1), 0)), 1))),  0.5, 0))</f>
        <v>0</v>
      </c>
      <c r="EN77" s="47">
        <f t="array" ref="EN77">IF(AND(ISNUMBER(MATCH(EN$2, AsistenciaJetAdminConcatenada!$A:$A, 0)), ISNUMBER(MATCH(EN$1, AsistenciaJetAdminConcatenada!$B:$B, 0)), ISNUMBER(SEARCH($A77,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ISNUMBER(SEARCH($A77, INDEX(AsistenciaJetAdminConcatenada!$D:$D, MATCH(1, (AsistenciaJetAdminConcatenada!$A:$A=EN$2)*(AsistenciaJetAdminConcatenada!$B:$B=EN$1), 0)), 1))),  0.5, 0))</f>
        <v>0</v>
      </c>
      <c r="EO77" s="47">
        <f t="array" ref="EO77">IF(AND(ISNUMBER(MATCH(EO$2, AsistenciaJetAdminConcatenada!$A:$A, 0)), ISNUMBER(MATCH(EO$1, AsistenciaJetAdminConcatenada!$B:$B, 0)), ISNUMBER(SEARCH($A77,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ISNUMBER(SEARCH($A77, INDEX(AsistenciaJetAdminConcatenada!$D:$D, MATCH(1, (AsistenciaJetAdminConcatenada!$A:$A=EO$2)*(AsistenciaJetAdminConcatenada!$B:$B=EO$1), 0)), 1))),  0.5, 0))</f>
        <v>0</v>
      </c>
      <c r="EP77" s="47">
        <f t="array" ref="EP77">IF(AND(ISNUMBER(MATCH(EP$2, AsistenciaJetAdminConcatenada!$A:$A, 0)), ISNUMBER(MATCH(EP$1, AsistenciaJetAdminConcatenada!$B:$B, 0)), ISNUMBER(SEARCH($A77,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ISNUMBER(SEARCH($A77, INDEX(AsistenciaJetAdminConcatenada!$D:$D, MATCH(1, (AsistenciaJetAdminConcatenada!$A:$A=EP$2)*(AsistenciaJetAdminConcatenada!$B:$B=EP$1), 0)), 1))),  0.5, 0))</f>
        <v>0</v>
      </c>
      <c r="EQ77" s="47">
        <f t="array" ref="EQ77">IF(AND(ISNUMBER(MATCH(EQ$2, AsistenciaJetAdminConcatenada!$A:$A, 0)), ISNUMBER(MATCH(EQ$1, AsistenciaJetAdminConcatenada!$B:$B, 0)), ISNUMBER(SEARCH($A77,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ISNUMBER(SEARCH($A77, INDEX(AsistenciaJetAdminConcatenada!$D:$D, MATCH(1, (AsistenciaJetAdminConcatenada!$A:$A=EQ$2)*(AsistenciaJetAdminConcatenada!$B:$B=EQ$1), 0)), 1))),  0.5, 0))</f>
        <v>0</v>
      </c>
      <c r="ER77" s="47">
        <f t="array" ref="ER77">IF(AND(ISNUMBER(MATCH(ER$2, AsistenciaJetAdminConcatenada!$A:$A, 0)), ISNUMBER(MATCH(ER$1, AsistenciaJetAdminConcatenada!$B:$B, 0)), ISNUMBER(SEARCH($A77,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ISNUMBER(SEARCH($A77, INDEX(AsistenciaJetAdminConcatenada!$D:$D, MATCH(1, (AsistenciaJetAdminConcatenada!$A:$A=ER$2)*(AsistenciaJetAdminConcatenada!$B:$B=ER$1), 0)), 1))),  0.5, 0))</f>
        <v>0</v>
      </c>
      <c r="ES77" s="47">
        <f t="array" ref="ES77">IF(AND(ISNUMBER(MATCH(ES$2, AsistenciaJetAdminConcatenada!$A:$A, 0)), ISNUMBER(MATCH(ES$1, AsistenciaJetAdminConcatenada!$B:$B, 0)), ISNUMBER(SEARCH($A77,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ISNUMBER(SEARCH($A77, INDEX(AsistenciaJetAdminConcatenada!$D:$D, MATCH(1, (AsistenciaJetAdminConcatenada!$A:$A=ES$2)*(AsistenciaJetAdminConcatenada!$B:$B=ES$1), 0)), 1))),  0.5, 0))</f>
        <v>0</v>
      </c>
      <c r="ET77" s="47">
        <f t="array" ref="ET77">IF(AND(ISNUMBER(MATCH(ET$2, AsistenciaJetAdminConcatenada!$A:$A, 0)), ISNUMBER(MATCH(ET$1, AsistenciaJetAdminConcatenada!$B:$B, 0)), ISNUMBER(SEARCH($A77,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ISNUMBER(SEARCH($A77, INDEX(AsistenciaJetAdminConcatenada!$D:$D, MATCH(1, (AsistenciaJetAdminConcatenada!$A:$A=ET$2)*(AsistenciaJetAdminConcatenada!$B:$B=ET$1), 0)), 1))),  0.5, 0))</f>
        <v>0</v>
      </c>
      <c r="EU77" s="47">
        <f t="array" ref="EU77">IF(AND(ISNUMBER(MATCH(EU$2, AsistenciaJetAdminConcatenada!$A:$A, 0)), ISNUMBER(MATCH(EU$1, AsistenciaJetAdminConcatenada!$B:$B, 0)), ISNUMBER(SEARCH($A77,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ISNUMBER(SEARCH($A77, INDEX(AsistenciaJetAdminConcatenada!$D:$D, MATCH(1, (AsistenciaJetAdminConcatenada!$A:$A=EU$2)*(AsistenciaJetAdminConcatenada!$B:$B=EU$1), 0)), 1))),  0.5, 0))</f>
        <v>0</v>
      </c>
      <c r="EV77" s="47">
        <f t="array" ref="EV77">IF(AND(ISNUMBER(MATCH(EV$2, AsistenciaJetAdminConcatenada!$A:$A, 0)), ISNUMBER(MATCH(EV$1, AsistenciaJetAdminConcatenada!$B:$B, 0)), ISNUMBER(SEARCH($A77,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ISNUMBER(SEARCH($A77, INDEX(AsistenciaJetAdminConcatenada!$D:$D, MATCH(1, (AsistenciaJetAdminConcatenada!$A:$A=EV$2)*(AsistenciaJetAdminConcatenada!$B:$B=EV$1), 0)), 1))),  0.5, 0))</f>
        <v>0</v>
      </c>
      <c r="EW77" s="47">
        <f t="array" ref="EW77">IF(AND(ISNUMBER(MATCH(EW$2, AsistenciaJetAdminConcatenada!$A:$A, 0)), ISNUMBER(MATCH(EW$1, AsistenciaJetAdminConcatenada!$B:$B, 0)), ISNUMBER(SEARCH($A77,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ISNUMBER(SEARCH($A77, INDEX(AsistenciaJetAdminConcatenada!$D:$D, MATCH(1, (AsistenciaJetAdminConcatenada!$A:$A=EW$2)*(AsistenciaJetAdminConcatenada!$B:$B=EW$1), 0)), 1))),  0.5, 0))</f>
        <v>0</v>
      </c>
      <c r="EX77" s="47">
        <f t="array" ref="EX77">IF(AND(ISNUMBER(MATCH(EX$2, AsistenciaJetAdminConcatenada!$A:$A, 0)), ISNUMBER(MATCH(EX$1, AsistenciaJetAdminConcatenada!$B:$B, 0)), ISNUMBER(SEARCH($A77,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ISNUMBER(SEARCH($A77, INDEX(AsistenciaJetAdminConcatenada!$D:$D, MATCH(1, (AsistenciaJetAdminConcatenada!$A:$A=EX$2)*(AsistenciaJetAdminConcatenada!$B:$B=EX$1), 0)), 1))),  0.5, 0))</f>
        <v>0</v>
      </c>
      <c r="EY77" s="47">
        <f t="array" ref="EY77">IF(AND(ISNUMBER(MATCH(EY$2, AsistenciaJetAdminConcatenada!$A:$A, 0)), ISNUMBER(MATCH(EY$1, AsistenciaJetAdminConcatenada!$B:$B, 0)), ISNUMBER(SEARCH($A77,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ISNUMBER(SEARCH($A77, INDEX(AsistenciaJetAdminConcatenada!$D:$D, MATCH(1, (AsistenciaJetAdminConcatenada!$A:$A=EY$2)*(AsistenciaJetAdminConcatenada!$B:$B=EY$1), 0)), 1))),  0.5, 0))</f>
        <v>0</v>
      </c>
      <c r="EZ77" s="47">
        <f t="array" ref="EZ77">IF(AND(ISNUMBER(MATCH(EZ$2, AsistenciaJetAdminConcatenada!$A:$A, 0)), ISNUMBER(MATCH(EZ$1, AsistenciaJetAdminConcatenada!$B:$B, 0)), ISNUMBER(SEARCH($A77,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ISNUMBER(SEARCH($A77, INDEX(AsistenciaJetAdminConcatenada!$D:$D, MATCH(1, (AsistenciaJetAdminConcatenada!$A:$A=EZ$2)*(AsistenciaJetAdminConcatenada!$B:$B=EZ$1), 0)), 1))),  0.5, 0))</f>
        <v>0</v>
      </c>
      <c r="FA77" s="47">
        <f t="array" ref="FA77">IF(AND(ISNUMBER(MATCH(FA$2, AsistenciaJetAdminConcatenada!$A:$A, 0)), ISNUMBER(MATCH(FA$1, AsistenciaJetAdminConcatenada!$B:$B, 0)), ISNUMBER(SEARCH($A77,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ISNUMBER(SEARCH($A77, INDEX(AsistenciaJetAdminConcatenada!$D:$D, MATCH(1, (AsistenciaJetAdminConcatenada!$A:$A=FA$2)*(AsistenciaJetAdminConcatenada!$B:$B=FA$1), 0)), 1))),  0.5, 0))</f>
        <v>0</v>
      </c>
      <c r="FB77" s="47">
        <f t="array" ref="FB77">IF(AND(ISNUMBER(MATCH(FB$2, AsistenciaJetAdminConcatenada!$A:$A, 0)), ISNUMBER(MATCH(FB$1, AsistenciaJetAdminConcatenada!$B:$B, 0)), ISNUMBER(SEARCH($A77,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ISNUMBER(SEARCH($A77, INDEX(AsistenciaJetAdminConcatenada!$D:$D, MATCH(1, (AsistenciaJetAdminConcatenada!$A:$A=FB$2)*(AsistenciaJetAdminConcatenada!$B:$B=FB$1), 0)), 1))),  0.5, 0))</f>
        <v>0</v>
      </c>
      <c r="FC77" s="47">
        <f t="array" ref="FC77">IF(AND(ISNUMBER(MATCH(FC$2, AsistenciaJetAdminConcatenada!$A:$A, 0)), ISNUMBER(MATCH(FC$1, AsistenciaJetAdminConcatenada!$B:$B, 0)), ISNUMBER(SEARCH($A77,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ISNUMBER(SEARCH($A77, INDEX(AsistenciaJetAdminConcatenada!$D:$D, MATCH(1, (AsistenciaJetAdminConcatenada!$A:$A=FC$2)*(AsistenciaJetAdminConcatenada!$B:$B=FC$1), 0)), 1))),  0.5, 0))</f>
        <v>0</v>
      </c>
      <c r="FD77" s="47">
        <f t="array" ref="FD77">IF(AND(ISNUMBER(MATCH(FD$2, AsistenciaJetAdminConcatenada!$A:$A, 0)), ISNUMBER(MATCH(FD$1, AsistenciaJetAdminConcatenada!$B:$B, 0)), ISNUMBER(SEARCH($A77,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ISNUMBER(SEARCH($A77, INDEX(AsistenciaJetAdminConcatenada!$D:$D, MATCH(1, (AsistenciaJetAdminConcatenada!$A:$A=FD$2)*(AsistenciaJetAdminConcatenada!$B:$B=FD$1), 0)), 1))),  0.5, 0))</f>
        <v>0</v>
      </c>
      <c r="FE77" s="47">
        <f t="array" ref="FE77">IF(AND(ISNUMBER(MATCH(FE$2, AsistenciaJetAdminConcatenada!$A:$A, 0)), ISNUMBER(MATCH(FE$1, AsistenciaJetAdminConcatenada!$B:$B, 0)), ISNUMBER(SEARCH($A77,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ISNUMBER(SEARCH($A77, INDEX(AsistenciaJetAdminConcatenada!$D:$D, MATCH(1, (AsistenciaJetAdminConcatenada!$A:$A=FE$2)*(AsistenciaJetAdminConcatenada!$B:$B=FE$1), 0)), 1))),  0.5, 0))</f>
        <v>0</v>
      </c>
      <c r="FF77" s="47">
        <f t="array" ref="FF77">IF(AND(ISNUMBER(MATCH(FF$2, AsistenciaJetAdminConcatenada!$A:$A, 0)), ISNUMBER(MATCH(FF$1, AsistenciaJetAdminConcatenada!$B:$B, 0)), ISNUMBER(SEARCH($A77,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ISNUMBER(SEARCH($A77, INDEX(AsistenciaJetAdminConcatenada!$D:$D, MATCH(1, (AsistenciaJetAdminConcatenada!$A:$A=FF$2)*(AsistenciaJetAdminConcatenada!$B:$B=FF$1), 0)), 1))),  0.5, 0))</f>
        <v>0</v>
      </c>
      <c r="FG77" s="47">
        <f t="array" ref="FG77">IF(AND(ISNUMBER(MATCH(FG$2, AsistenciaJetAdminConcatenada!$A:$A, 0)), ISNUMBER(MATCH(FG$1, AsistenciaJetAdminConcatenada!$B:$B, 0)), ISNUMBER(SEARCH($A77,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ISNUMBER(SEARCH($A77, INDEX(AsistenciaJetAdminConcatenada!$D:$D, MATCH(1, (AsistenciaJetAdminConcatenada!$A:$A=FG$2)*(AsistenciaJetAdminConcatenada!$B:$B=FG$1), 0)), 1))),  0.5, 0))</f>
        <v>0</v>
      </c>
      <c r="FH77" s="47">
        <f t="array" ref="FH77">IF(AND(ISNUMBER(MATCH(FH$2, AsistenciaJetAdminConcatenada!$A:$A, 0)), ISNUMBER(MATCH(FH$1, AsistenciaJetAdminConcatenada!$B:$B, 0)), ISNUMBER(SEARCH($A77,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ISNUMBER(SEARCH($A77, INDEX(AsistenciaJetAdminConcatenada!$D:$D, MATCH(1, (AsistenciaJetAdminConcatenada!$A:$A=FH$2)*(AsistenciaJetAdminConcatenada!$B:$B=FH$1), 0)), 1))),  0.5, 0))</f>
        <v>0</v>
      </c>
      <c r="FI77" s="47">
        <f t="array" ref="FI77">IF(AND(ISNUMBER(MATCH(FI$2, AsistenciaJetAdminConcatenada!$A:$A, 0)), ISNUMBER(MATCH(FI$1, AsistenciaJetAdminConcatenada!$B:$B, 0)), ISNUMBER(SEARCH($A77,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ISNUMBER(SEARCH($A77, INDEX(AsistenciaJetAdminConcatenada!$D:$D, MATCH(1, (AsistenciaJetAdminConcatenada!$A:$A=FI$2)*(AsistenciaJetAdminConcatenada!$B:$B=FI$1), 0)), 1))),  0.5, 0))</f>
        <v>0</v>
      </c>
      <c r="FJ77" s="47">
        <f t="array" ref="FJ77">IF(AND(ISNUMBER(MATCH(FJ$2, AsistenciaJetAdminConcatenada!$A:$A, 0)), ISNUMBER(MATCH(FJ$1, AsistenciaJetAdminConcatenada!$B:$B, 0)), ISNUMBER(SEARCH($A77,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ISNUMBER(SEARCH($A77, INDEX(AsistenciaJetAdminConcatenada!$D:$D, MATCH(1, (AsistenciaJetAdminConcatenada!$A:$A=FJ$2)*(AsistenciaJetAdminConcatenada!$B:$B=FJ$1), 0)), 1))),  0.5, 0))</f>
        <v>0</v>
      </c>
      <c r="FK77" s="47">
        <f t="array" ref="FK77">IF(AND(ISNUMBER(MATCH(FK$2, AsistenciaJetAdminConcatenada!$A:$A, 0)), ISNUMBER(MATCH(FK$1, AsistenciaJetAdminConcatenada!$B:$B, 0)), ISNUMBER(SEARCH($A77,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ISNUMBER(SEARCH($A77, INDEX(AsistenciaJetAdminConcatenada!$D:$D, MATCH(1, (AsistenciaJetAdminConcatenada!$A:$A=FK$2)*(AsistenciaJetAdminConcatenada!$B:$B=FK$1), 0)), 1))),  0.5, 0))</f>
        <v>0</v>
      </c>
      <c r="FL77" s="47">
        <f t="array" ref="FL77">IF(AND(ISNUMBER(MATCH(FL$2, AsistenciaJetAdminConcatenada!$A:$A, 0)), ISNUMBER(MATCH(FL$1, AsistenciaJetAdminConcatenada!$B:$B, 0)), ISNUMBER(SEARCH($A77,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ISNUMBER(SEARCH($A77, INDEX(AsistenciaJetAdminConcatenada!$D:$D, MATCH(1, (AsistenciaJetAdminConcatenada!$A:$A=FL$2)*(AsistenciaJetAdminConcatenada!$B:$B=FL$1), 0)), 1))),  0.5, 0))</f>
        <v>0</v>
      </c>
      <c r="FM77" s="47">
        <f t="array" ref="FM77">IF(AND(ISNUMBER(MATCH(FM$2, AsistenciaJetAdminConcatenada!$A:$A, 0)), ISNUMBER(MATCH(FM$1, AsistenciaJetAdminConcatenada!$B:$B, 0)), ISNUMBER(SEARCH($A77,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ISNUMBER(SEARCH($A77, INDEX(AsistenciaJetAdminConcatenada!$D:$D, MATCH(1, (AsistenciaJetAdminConcatenada!$A:$A=FM$2)*(AsistenciaJetAdminConcatenada!$B:$B=FM$1), 0)), 1))),  0.5, 0))</f>
        <v>0</v>
      </c>
      <c r="FN77" s="47">
        <f t="array" ref="FN77">IF(AND(ISNUMBER(MATCH(FN$2, AsistenciaJetAdminConcatenada!$A:$A, 0)), ISNUMBER(MATCH(FN$1, AsistenciaJetAdminConcatenada!$B:$B, 0)), ISNUMBER(SEARCH($A77,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ISNUMBER(SEARCH($A77, INDEX(AsistenciaJetAdminConcatenada!$D:$D, MATCH(1, (AsistenciaJetAdminConcatenada!$A:$A=FN$2)*(AsistenciaJetAdminConcatenada!$B:$B=FN$1), 0)), 1))),  0.5, 0))</f>
        <v>0</v>
      </c>
      <c r="FO77" s="47">
        <f t="array" ref="FO77">IF(AND(ISNUMBER(MATCH(FO$2, AsistenciaJetAdminConcatenada!$A:$A, 0)), ISNUMBER(MATCH(FO$1, AsistenciaJetAdminConcatenada!$B:$B, 0)), ISNUMBER(SEARCH($A77,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ISNUMBER(SEARCH($A77, INDEX(AsistenciaJetAdminConcatenada!$D:$D, MATCH(1, (AsistenciaJetAdminConcatenada!$A:$A=FO$2)*(AsistenciaJetAdminConcatenada!$B:$B=FO$1), 0)), 1))),  0.5, 0))</f>
        <v>0</v>
      </c>
      <c r="FP77" s="47">
        <f t="array" ref="FP77">IF(AND(ISNUMBER(MATCH(FP$2, AsistenciaJetAdminConcatenada!$A:$A, 0)), ISNUMBER(MATCH(FP$1, AsistenciaJetAdminConcatenada!$B:$B, 0)), ISNUMBER(SEARCH($A77,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ISNUMBER(SEARCH($A77, INDEX(AsistenciaJetAdminConcatenada!$D:$D, MATCH(1, (AsistenciaJetAdminConcatenada!$A:$A=FP$2)*(AsistenciaJetAdminConcatenada!$B:$B=FP$1), 0)), 1))),  0.5, 0))</f>
        <v>0</v>
      </c>
      <c r="FQ77" s="47">
        <f t="array" ref="FQ77">IF(AND(ISNUMBER(MATCH(FQ$2, AsistenciaJetAdminConcatenada!$A:$A, 0)), ISNUMBER(MATCH(FQ$1, AsistenciaJetAdminConcatenada!$B:$B, 0)), ISNUMBER(SEARCH($A77,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ISNUMBER(SEARCH($A77, INDEX(AsistenciaJetAdminConcatenada!$D:$D, MATCH(1, (AsistenciaJetAdminConcatenada!$A:$A=FQ$2)*(AsistenciaJetAdminConcatenada!$B:$B=FQ$1), 0)), 1))),  0.5, 0))</f>
        <v>0</v>
      </c>
      <c r="FR77" s="47">
        <f t="array" ref="FR77">IF(AND(ISNUMBER(MATCH(FR$2, AsistenciaJetAdminConcatenada!$A:$A, 0)), ISNUMBER(MATCH(FR$1, AsistenciaJetAdminConcatenada!$B:$B, 0)), ISNUMBER(SEARCH($A77,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ISNUMBER(SEARCH($A77, INDEX(AsistenciaJetAdminConcatenada!$D:$D, MATCH(1, (AsistenciaJetAdminConcatenada!$A:$A=FR$2)*(AsistenciaJetAdminConcatenada!$B:$B=FR$1), 0)), 1))),  0.5, 0))</f>
        <v>0</v>
      </c>
      <c r="FS77" s="47">
        <f t="array" ref="FS77">IF(AND(ISNUMBER(MATCH(FS$2, AsistenciaJetAdminConcatenada!$A:$A, 0)), ISNUMBER(MATCH(FS$1, AsistenciaJetAdminConcatenada!$B:$B, 0)), ISNUMBER(SEARCH($A77,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ISNUMBER(SEARCH($A77, INDEX(AsistenciaJetAdminConcatenada!$D:$D, MATCH(1, (AsistenciaJetAdminConcatenada!$A:$A=FS$2)*(AsistenciaJetAdminConcatenada!$B:$B=FS$1), 0)), 1))),  0.5, 0))</f>
        <v>0</v>
      </c>
      <c r="FT77" s="47">
        <f t="array" ref="FT77">IF(AND(ISNUMBER(MATCH(FT$2, AsistenciaJetAdminConcatenada!$A:$A, 0)), ISNUMBER(MATCH(FT$1, AsistenciaJetAdminConcatenada!$B:$B, 0)), ISNUMBER(SEARCH($A77,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ISNUMBER(SEARCH($A77, INDEX(AsistenciaJetAdminConcatenada!$D:$D, MATCH(1, (AsistenciaJetAdminConcatenada!$A:$A=FT$2)*(AsistenciaJetAdminConcatenada!$B:$B=FT$1), 0)), 1))),  0.5, 0))</f>
        <v>0</v>
      </c>
      <c r="FU77" s="47">
        <f t="array" ref="FU77">IF(AND(ISNUMBER(MATCH(FU$2, AsistenciaJetAdminConcatenada!$A:$A, 0)), ISNUMBER(MATCH(FU$1, AsistenciaJetAdminConcatenada!$B:$B, 0)), ISNUMBER(SEARCH($A77,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ISNUMBER(SEARCH($A77, INDEX(AsistenciaJetAdminConcatenada!$D:$D, MATCH(1, (AsistenciaJetAdminConcatenada!$A:$A=FU$2)*(AsistenciaJetAdminConcatenada!$B:$B=FU$1), 0)), 1))),  0.5, 0))</f>
        <v>0</v>
      </c>
      <c r="FV77" s="47">
        <f t="array" ref="FV77">IF(AND(ISNUMBER(MATCH(FV$2, AsistenciaJetAdminConcatenada!$A:$A, 0)), ISNUMBER(MATCH(FV$1, AsistenciaJetAdminConcatenada!$B:$B, 0)), ISNUMBER(SEARCH($A77,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ISNUMBER(SEARCH($A77, INDEX(AsistenciaJetAdminConcatenada!$D:$D, MATCH(1, (AsistenciaJetAdminConcatenada!$A:$A=FV$2)*(AsistenciaJetAdminConcatenada!$B:$B=FV$1), 0)), 1))),  0.5, 0))</f>
        <v>0</v>
      </c>
      <c r="FW77" s="47">
        <f t="array" ref="FW77">IF(AND(ISNUMBER(MATCH(FW$2, AsistenciaJetAdminConcatenada!$A:$A, 0)), ISNUMBER(MATCH(FW$1, AsistenciaJetAdminConcatenada!$B:$B, 0)), ISNUMBER(SEARCH($A77,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ISNUMBER(SEARCH($A77, INDEX(AsistenciaJetAdminConcatenada!$D:$D, MATCH(1, (AsistenciaJetAdminConcatenada!$A:$A=FW$2)*(AsistenciaJetAdminConcatenada!$B:$B=FW$1), 0)), 1))),  0.5, 0))</f>
        <v>0</v>
      </c>
      <c r="FX77" s="47">
        <f t="array" ref="FX77">IF(AND(ISNUMBER(MATCH(FX$2, AsistenciaJetAdminConcatenada!$A:$A, 0)), ISNUMBER(MATCH(FX$1, AsistenciaJetAdminConcatenada!$B:$B, 0)), ISNUMBER(SEARCH($A77,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ISNUMBER(SEARCH($A77, INDEX(AsistenciaJetAdminConcatenada!$D:$D, MATCH(1, (AsistenciaJetAdminConcatenada!$A:$A=FX$2)*(AsistenciaJetAdminConcatenada!$B:$B=FX$1), 0)), 1))),  0.5, 0))</f>
        <v>0</v>
      </c>
      <c r="FY77" s="47">
        <f t="array" ref="FY77">IF(AND(ISNUMBER(MATCH(FY$2, AsistenciaJetAdminConcatenada!$A:$A, 0)), ISNUMBER(MATCH(FY$1, AsistenciaJetAdminConcatenada!$B:$B, 0)), ISNUMBER(SEARCH($A77,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ISNUMBER(SEARCH($A77, INDEX(AsistenciaJetAdminConcatenada!$D:$D, MATCH(1, (AsistenciaJetAdminConcatenada!$A:$A=FY$2)*(AsistenciaJetAdminConcatenada!$B:$B=FY$1), 0)), 1))),  0.5, 0))</f>
        <v>0</v>
      </c>
      <c r="FZ77" s="47">
        <f t="array" ref="FZ77">IF(AND(ISNUMBER(MATCH(FZ$2, AsistenciaJetAdminConcatenada!$A:$A, 0)), ISNUMBER(MATCH(FZ$1, AsistenciaJetAdminConcatenada!$B:$B, 0)), ISNUMBER(SEARCH($A77,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ISNUMBER(SEARCH($A77, INDEX(AsistenciaJetAdminConcatenada!$D:$D, MATCH(1, (AsistenciaJetAdminConcatenada!$A:$A=FZ$2)*(AsistenciaJetAdminConcatenada!$B:$B=FZ$1), 0)), 1))),  0.5, 0))</f>
        <v>0</v>
      </c>
      <c r="GA77" s="47">
        <f t="array" ref="GA77">IF(AND(ISNUMBER(MATCH(GA$2, AsistenciaJetAdminConcatenada!$A:$A, 0)), ISNUMBER(MATCH(GA$1, AsistenciaJetAdminConcatenada!$B:$B, 0)), ISNUMBER(SEARCH($A77,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ISNUMBER(SEARCH($A77, INDEX(AsistenciaJetAdminConcatenada!$D:$D, MATCH(1, (AsistenciaJetAdminConcatenada!$A:$A=GA$2)*(AsistenciaJetAdminConcatenada!$B:$B=GA$1), 0)), 1))),  0.5, 0))</f>
        <v>0</v>
      </c>
      <c r="GB77" s="47">
        <f t="array" ref="GB77">IF(AND(ISNUMBER(MATCH(GB$2, AsistenciaJetAdminConcatenada!$A:$A, 0)), ISNUMBER(MATCH(GB$1, AsistenciaJetAdminConcatenada!$B:$B, 0)), ISNUMBER(SEARCH($A77,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ISNUMBER(SEARCH($A77, INDEX(AsistenciaJetAdminConcatenada!$D:$D, MATCH(1, (AsistenciaJetAdminConcatenada!$A:$A=GB$2)*(AsistenciaJetAdminConcatenada!$B:$B=GB$1), 0)), 1))),  0.5, 0))</f>
        <v>0</v>
      </c>
      <c r="GC77" s="47">
        <f t="array" ref="GC77">IF(AND(ISNUMBER(MATCH(GC$2, AsistenciaJetAdminConcatenada!$A:$A, 0)), ISNUMBER(MATCH(GC$1, AsistenciaJetAdminConcatenada!$B:$B, 0)), ISNUMBER(SEARCH($A77,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ISNUMBER(SEARCH($A77, INDEX(AsistenciaJetAdminConcatenada!$D:$D, MATCH(1, (AsistenciaJetAdminConcatenada!$A:$A=GC$2)*(AsistenciaJetAdminConcatenada!$B:$B=GC$1), 0)), 1))),  0.5, 0))</f>
        <v>0</v>
      </c>
      <c r="GD77" s="47">
        <f t="array" ref="GD77">IF(AND(ISNUMBER(MATCH(GD$2, AsistenciaJetAdminConcatenada!$A:$A, 0)), ISNUMBER(MATCH(GD$1, AsistenciaJetAdminConcatenada!$B:$B, 0)), ISNUMBER(SEARCH($A77,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ISNUMBER(SEARCH($A77, INDEX(AsistenciaJetAdminConcatenada!$D:$D, MATCH(1, (AsistenciaJetAdminConcatenada!$A:$A=GD$2)*(AsistenciaJetAdminConcatenada!$B:$B=GD$1), 0)), 1))),  0.5, 0))</f>
        <v>0</v>
      </c>
      <c r="GE77" s="47">
        <f t="array" ref="GE77">IF(AND(ISNUMBER(MATCH(GE$2, AsistenciaJetAdminConcatenada!$A:$A, 0)), ISNUMBER(MATCH(GE$1, AsistenciaJetAdminConcatenada!$B:$B, 0)), ISNUMBER(SEARCH($A77,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ISNUMBER(SEARCH($A77, INDEX(AsistenciaJetAdminConcatenada!$D:$D, MATCH(1, (AsistenciaJetAdminConcatenada!$A:$A=GE$2)*(AsistenciaJetAdminConcatenada!$B:$B=GE$1), 0)), 1))),  0.5, 0))</f>
        <v>0</v>
      </c>
      <c r="GF77" s="47">
        <f t="array" ref="GF77">IF(AND(ISNUMBER(MATCH(GF$2, AsistenciaJetAdminConcatenada!$A:$A, 0)), ISNUMBER(MATCH(GF$1, AsistenciaJetAdminConcatenada!$B:$B, 0)), ISNUMBER(SEARCH($A77,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ISNUMBER(SEARCH($A77, INDEX(AsistenciaJetAdminConcatenada!$D:$D, MATCH(1, (AsistenciaJetAdminConcatenada!$A:$A=GF$2)*(AsistenciaJetAdminConcatenada!$B:$B=GF$1), 0)), 1))),  0.5, 0))</f>
        <v>0</v>
      </c>
      <c r="GG77" s="47">
        <f t="array" ref="GG77">IF(AND(ISNUMBER(MATCH(GG$2, AsistenciaJetAdminConcatenada!$A:$A, 0)), ISNUMBER(MATCH(GG$1, AsistenciaJetAdminConcatenada!$B:$B, 0)), ISNUMBER(SEARCH($A77,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ISNUMBER(SEARCH($A77, INDEX(AsistenciaJetAdminConcatenada!$D:$D, MATCH(1, (AsistenciaJetAdminConcatenada!$A:$A=GG$2)*(AsistenciaJetAdminConcatenada!$B:$B=GG$1), 0)), 1))),  0.5, 0))</f>
        <v>0</v>
      </c>
      <c r="GH77" s="47">
        <f t="array" ref="GH77">IF(AND(ISNUMBER(MATCH(GH$2, AsistenciaJetAdminConcatenada!$A:$A, 0)), ISNUMBER(MATCH(GH$1, AsistenciaJetAdminConcatenada!$B:$B, 0)), ISNUMBER(SEARCH($A77,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ISNUMBER(SEARCH($A77, INDEX(AsistenciaJetAdminConcatenada!$D:$D, MATCH(1, (AsistenciaJetAdminConcatenada!$A:$A=GH$2)*(AsistenciaJetAdminConcatenada!$B:$B=GH$1), 0)), 1))),  0.5, 0))</f>
        <v>0</v>
      </c>
      <c r="GI77" s="47">
        <f t="array" ref="GI77">IF(AND(ISNUMBER(MATCH(GI$2, AsistenciaJetAdminConcatenada!$A:$A, 0)), ISNUMBER(MATCH(GI$1, AsistenciaJetAdminConcatenada!$B:$B, 0)), ISNUMBER(SEARCH($A77,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ISNUMBER(SEARCH($A77, INDEX(AsistenciaJetAdminConcatenada!$D:$D, MATCH(1, (AsistenciaJetAdminConcatenada!$A:$A=GI$2)*(AsistenciaJetAdminConcatenada!$B:$B=GI$1), 0)), 1))),  0.5, 0))</f>
        <v>0</v>
      </c>
      <c r="GJ77" s="47">
        <f t="array" ref="GJ77">IF(AND(ISNUMBER(MATCH(GJ$2, AsistenciaJetAdminConcatenada!$A:$A, 0)), ISNUMBER(MATCH(GJ$1, AsistenciaJetAdminConcatenada!$B:$B, 0)), ISNUMBER(SEARCH($A77,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ISNUMBER(SEARCH($A77, INDEX(AsistenciaJetAdminConcatenada!$D:$D, MATCH(1, (AsistenciaJetAdminConcatenada!$A:$A=GJ$2)*(AsistenciaJetAdminConcatenada!$B:$B=GJ$1), 0)), 1))),  0.5, 0))</f>
        <v>0</v>
      </c>
      <c r="GK77" s="47">
        <f t="array" ref="GK77">IF(AND(ISNUMBER(MATCH(GK$2, AsistenciaJetAdminConcatenada!$A:$A, 0)), ISNUMBER(MATCH(GK$1, AsistenciaJetAdminConcatenada!$B:$B, 0)), ISNUMBER(SEARCH($A77,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ISNUMBER(SEARCH($A77, INDEX(AsistenciaJetAdminConcatenada!$D:$D, MATCH(1, (AsistenciaJetAdminConcatenada!$A:$A=GK$2)*(AsistenciaJetAdminConcatenada!$B:$B=GK$1), 0)), 1))),  0.5, 0))</f>
        <v>0</v>
      </c>
      <c r="GL77" s="47">
        <f t="array" ref="GL77">IF(AND(ISNUMBER(MATCH(GL$2, AsistenciaJetAdminConcatenada!$A:$A, 0)), ISNUMBER(MATCH(GL$1, AsistenciaJetAdminConcatenada!$B:$B, 0)), ISNUMBER(SEARCH($A77,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ISNUMBER(SEARCH($A77, INDEX(AsistenciaJetAdminConcatenada!$D:$D, MATCH(1, (AsistenciaJetAdminConcatenada!$A:$A=GL$2)*(AsistenciaJetAdminConcatenada!$B:$B=GL$1), 0)), 1))),  0.5, 0))</f>
        <v>0</v>
      </c>
      <c r="GM77" s="47">
        <f t="array" ref="GM77">IF(AND(ISNUMBER(MATCH(GM$2, AsistenciaJetAdminConcatenada!$A:$A, 0)), ISNUMBER(MATCH(GM$1, AsistenciaJetAdminConcatenada!$B:$B, 0)), ISNUMBER(SEARCH($A77,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ISNUMBER(SEARCH($A77, INDEX(AsistenciaJetAdminConcatenada!$D:$D, MATCH(1, (AsistenciaJetAdminConcatenada!$A:$A=GM$2)*(AsistenciaJetAdminConcatenada!$B:$B=GM$1), 0)), 1))),  0.5, 0))</f>
        <v>0</v>
      </c>
      <c r="GN77" s="47">
        <f t="array" ref="GN77">IF(AND(ISNUMBER(MATCH(GN$2, AsistenciaJetAdminConcatenada!$A:$A, 0)), ISNUMBER(MATCH(GN$1, AsistenciaJetAdminConcatenada!$B:$B, 0)), ISNUMBER(SEARCH($A77,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ISNUMBER(SEARCH($A77, INDEX(AsistenciaJetAdminConcatenada!$D:$D, MATCH(1, (AsistenciaJetAdminConcatenada!$A:$A=GN$2)*(AsistenciaJetAdminConcatenada!$B:$B=GN$1), 0)), 1))),  0.5, 0))</f>
        <v>0</v>
      </c>
      <c r="GO77" s="47">
        <f t="array" ref="GO77">IF(AND(ISNUMBER(MATCH(GO$2, AsistenciaJetAdminConcatenada!$A:$A, 0)), ISNUMBER(MATCH(GO$1, AsistenciaJetAdminConcatenada!$B:$B, 0)), ISNUMBER(SEARCH($A77,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ISNUMBER(SEARCH($A77, INDEX(AsistenciaJetAdminConcatenada!$D:$D, MATCH(1, (AsistenciaJetAdminConcatenada!$A:$A=GO$2)*(AsistenciaJetAdminConcatenada!$B:$B=GO$1), 0)), 1))),  0.5, 0))</f>
        <v>0</v>
      </c>
      <c r="GP77" s="47">
        <f t="array" ref="GP77">IF(AND(ISNUMBER(MATCH(GP$2, AsistenciaJetAdminConcatenada!$A:$A, 0)), ISNUMBER(MATCH(GP$1, AsistenciaJetAdminConcatenada!$B:$B, 0)), ISNUMBER(SEARCH($A77,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ISNUMBER(SEARCH($A77, INDEX(AsistenciaJetAdminConcatenada!$D:$D, MATCH(1, (AsistenciaJetAdminConcatenada!$A:$A=GP$2)*(AsistenciaJetAdminConcatenada!$B:$B=GP$1), 0)), 1))),  0.5, 0))</f>
        <v>0</v>
      </c>
      <c r="GQ77" s="47">
        <f t="array" ref="GQ77">IF(AND(ISNUMBER(MATCH(GQ$2, AsistenciaJetAdminConcatenada!$A:$A, 0)), ISNUMBER(MATCH(GQ$1, AsistenciaJetAdminConcatenada!$B:$B, 0)), ISNUMBER(SEARCH($A77,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ISNUMBER(SEARCH($A77, INDEX(AsistenciaJetAdminConcatenada!$D:$D, MATCH(1, (AsistenciaJetAdminConcatenada!$A:$A=GQ$2)*(AsistenciaJetAdminConcatenada!$B:$B=GQ$1), 0)), 1))),  0.5, 0))</f>
        <v>0</v>
      </c>
      <c r="GR77" s="47">
        <f t="array" ref="GR77">IF(AND(ISNUMBER(MATCH(GR$2, AsistenciaJetAdminConcatenada!$A:$A, 0)), ISNUMBER(MATCH(GR$1, AsistenciaJetAdminConcatenada!$B:$B, 0)), ISNUMBER(SEARCH($A77,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ISNUMBER(SEARCH($A77, INDEX(AsistenciaJetAdminConcatenada!$D:$D, MATCH(1, (AsistenciaJetAdminConcatenada!$A:$A=GR$2)*(AsistenciaJetAdminConcatenada!$B:$B=GR$1), 0)), 1))),  0.5, 0))</f>
        <v>0</v>
      </c>
      <c r="GS77" s="47">
        <f t="array" ref="GS77">IF(AND(ISNUMBER(MATCH(GS$2, AsistenciaJetAdminConcatenada!$A:$A, 0)), ISNUMBER(MATCH(GS$1, AsistenciaJetAdminConcatenada!$B:$B, 0)), ISNUMBER(SEARCH($A77,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ISNUMBER(SEARCH($A77, INDEX(AsistenciaJetAdminConcatenada!$D:$D, MATCH(1, (AsistenciaJetAdminConcatenada!$A:$A=GS$2)*(AsistenciaJetAdminConcatenada!$B:$B=GS$1), 0)), 1))),  0.5, 0))</f>
        <v>0</v>
      </c>
      <c r="GT77" s="47">
        <f t="array" ref="GT77">IF(AND(ISNUMBER(MATCH(GT$2, AsistenciaJetAdminConcatenada!$A:$A, 0)), ISNUMBER(MATCH(GT$1, AsistenciaJetAdminConcatenada!$B:$B, 0)), ISNUMBER(SEARCH($A77,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ISNUMBER(SEARCH($A77, INDEX(AsistenciaJetAdminConcatenada!$D:$D, MATCH(1, (AsistenciaJetAdminConcatenada!$A:$A=GT$2)*(AsistenciaJetAdminConcatenada!$B:$B=GT$1), 0)), 1))),  0.5, 0))</f>
        <v>0</v>
      </c>
      <c r="GU77" s="47">
        <f t="array" ref="GU77">IF(AND(ISNUMBER(MATCH(GU$2, AsistenciaJetAdminConcatenada!$A:$A, 0)), ISNUMBER(MATCH(GU$1, AsistenciaJetAdminConcatenada!$B:$B, 0)), ISNUMBER(SEARCH($A77,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ISNUMBER(SEARCH($A77, INDEX(AsistenciaJetAdminConcatenada!$D:$D, MATCH(1, (AsistenciaJetAdminConcatenada!$A:$A=GU$2)*(AsistenciaJetAdminConcatenada!$B:$B=GU$1), 0)), 1))),  0.5, 0))</f>
        <v>0</v>
      </c>
      <c r="GV77" s="47">
        <f t="array" ref="GV77">IF(AND(ISNUMBER(MATCH(GV$2, AsistenciaJetAdminConcatenada!$A:$A, 0)), ISNUMBER(MATCH(GV$1, AsistenciaJetAdminConcatenada!$B:$B, 0)), ISNUMBER(SEARCH($A77,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ISNUMBER(SEARCH($A77, INDEX(AsistenciaJetAdminConcatenada!$D:$D, MATCH(1, (AsistenciaJetAdminConcatenada!$A:$A=GV$2)*(AsistenciaJetAdminConcatenada!$B:$B=GV$1), 0)), 1))),  0.5, 0))</f>
        <v>0</v>
      </c>
      <c r="GW77" s="47">
        <f t="array" ref="GW77">IF(AND(ISNUMBER(MATCH(GW$2, AsistenciaJetAdminConcatenada!$A:$A, 0)), ISNUMBER(MATCH(GW$1, AsistenciaJetAdminConcatenada!$B:$B, 0)), ISNUMBER(SEARCH($A77,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ISNUMBER(SEARCH($A77, INDEX(AsistenciaJetAdminConcatenada!$D:$D, MATCH(1, (AsistenciaJetAdminConcatenada!$A:$A=GW$2)*(AsistenciaJetAdminConcatenada!$B:$B=GW$1), 0)), 1))),  0.5, 0))</f>
        <v>0</v>
      </c>
      <c r="GX77" s="47">
        <f t="array" ref="GX77">IF(AND(ISNUMBER(MATCH(GX$2, AsistenciaJetAdminConcatenada!$A:$A, 0)), ISNUMBER(MATCH(GX$1, AsistenciaJetAdminConcatenada!$B:$B, 0)), ISNUMBER(SEARCH($A77,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ISNUMBER(SEARCH($A77, INDEX(AsistenciaJetAdminConcatenada!$D:$D, MATCH(1, (AsistenciaJetAdminConcatenada!$A:$A=GX$2)*(AsistenciaJetAdminConcatenada!$B:$B=GX$1), 0)), 1))),  0.5, 0))</f>
        <v>0</v>
      </c>
      <c r="GY77" s="47">
        <f t="array" ref="GY77">IF(AND(ISNUMBER(MATCH(GY$2, AsistenciaJetAdminConcatenada!$A:$A, 0)), ISNUMBER(MATCH(GY$1, AsistenciaJetAdminConcatenada!$B:$B, 0)), ISNUMBER(SEARCH($A77,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ISNUMBER(SEARCH($A77, INDEX(AsistenciaJetAdminConcatenada!$D:$D, MATCH(1, (AsistenciaJetAdminConcatenada!$A:$A=GY$2)*(AsistenciaJetAdminConcatenada!$B:$B=GY$1), 0)), 1))),  0.5, 0))</f>
        <v>0</v>
      </c>
      <c r="GZ77" s="47">
        <f t="array" ref="GZ77">IF(AND(ISNUMBER(MATCH(GZ$2, AsistenciaJetAdminConcatenada!$A:$A, 0)), ISNUMBER(MATCH(GZ$1, AsistenciaJetAdminConcatenada!$B:$B, 0)), ISNUMBER(SEARCH($A77,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ISNUMBER(SEARCH($A77, INDEX(AsistenciaJetAdminConcatenada!$D:$D, MATCH(1, (AsistenciaJetAdminConcatenada!$A:$A=GZ$2)*(AsistenciaJetAdminConcatenada!$B:$B=GZ$1), 0)), 1))),  0.5, 0))</f>
        <v>0</v>
      </c>
      <c r="HA77" s="47">
        <f t="array" ref="HA77">IF(AND(ISNUMBER(MATCH(HA$2, AsistenciaJetAdminConcatenada!$A:$A, 0)), ISNUMBER(MATCH(HA$1, AsistenciaJetAdminConcatenada!$B:$B, 0)), ISNUMBER(SEARCH($A77,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ISNUMBER(SEARCH($A77, INDEX(AsistenciaJetAdminConcatenada!$D:$D, MATCH(1, (AsistenciaJetAdminConcatenada!$A:$A=HA$2)*(AsistenciaJetAdminConcatenada!$B:$B=HA$1), 0)), 1))),  0.5, 0))</f>
        <v>0</v>
      </c>
      <c r="HB77" s="47">
        <f t="array" ref="HB77">IF(AND(ISNUMBER(MATCH(HB$2, AsistenciaJetAdminConcatenada!$A:$A, 0)), ISNUMBER(MATCH(HB$1, AsistenciaJetAdminConcatenada!$B:$B, 0)), ISNUMBER(SEARCH($A77,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ISNUMBER(SEARCH($A77, INDEX(AsistenciaJetAdminConcatenada!$D:$D, MATCH(1, (AsistenciaJetAdminConcatenada!$A:$A=HB$2)*(AsistenciaJetAdminConcatenada!$B:$B=HB$1), 0)), 1))),  0.5, 0))</f>
        <v>0</v>
      </c>
      <c r="HC77" s="47">
        <f t="array" ref="HC77">IF(AND(ISNUMBER(MATCH(HC$2, AsistenciaJetAdminConcatenada!$A:$A, 0)), ISNUMBER(MATCH(HC$1, AsistenciaJetAdminConcatenada!$B:$B, 0)), ISNUMBER(SEARCH($A77,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ISNUMBER(SEARCH($A77, INDEX(AsistenciaJetAdminConcatenada!$D:$D, MATCH(1, (AsistenciaJetAdminConcatenada!$A:$A=HC$2)*(AsistenciaJetAdminConcatenada!$B:$B=HC$1), 0)), 1))),  0.5, 0))</f>
        <v>0</v>
      </c>
    </row>
    <row r="78" ht="29.25" customHeight="1">
      <c r="A78" s="3">
        <v>199.0</v>
      </c>
      <c r="B78" s="4" t="s">
        <v>179</v>
      </c>
      <c r="C78" s="47">
        <f>SUM(D78:HC78) + ActividadesEspeciales!C78</f>
        <v>83</v>
      </c>
      <c r="D78" s="47">
        <f t="array" ref="D78">IF(AND(ISNUMBER(MATCH(D$2, AsistenciaJetAdminConcatenada!$A:$A, 0)), ISNUMBER(MATCH(D$1, AsistenciaJetAdminConcatenada!$B:$B, 0)), ISNUMBER(SEARCH($A78,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ISNUMBER(SEARCH($A78, INDEX(AsistenciaJetAdminConcatenada!$D:$D, MATCH(1, (AsistenciaJetAdminConcatenada!$A:$A=D$2)*(AsistenciaJetAdminConcatenada!$B:$B=D$1), 0)), 1))),  0.5, 0))</f>
        <v>1</v>
      </c>
      <c r="E78" s="47">
        <f t="array" ref="E78">IF(AND(ISNUMBER(MATCH(E$2, AsistenciaJetAdminConcatenada!$A:$A, 0)), ISNUMBER(MATCH(E$1, AsistenciaJetAdminConcatenada!$B:$B, 0)), ISNUMBER(SEARCH($A78,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ISNUMBER(SEARCH($A78, INDEX(AsistenciaJetAdminConcatenada!$D:$D, MATCH(1, (AsistenciaJetAdminConcatenada!$A:$A=E$2)*(AsistenciaJetAdminConcatenada!$B:$B=E$1), 0)), 1))),  0.5, 0))</f>
        <v>1</v>
      </c>
      <c r="F78" s="47">
        <f t="array" ref="F78">IF(AND(ISNUMBER(MATCH(F$2, AsistenciaJetAdminConcatenada!$A:$A, 0)), ISNUMBER(MATCH(F$1, AsistenciaJetAdminConcatenada!$B:$B, 0)), ISNUMBER(SEARCH($A78,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ISNUMBER(SEARCH($A78, INDEX(AsistenciaJetAdminConcatenada!$D:$D, MATCH(1, (AsistenciaJetAdminConcatenada!$A:$A=F$2)*(AsistenciaJetAdminConcatenada!$B:$B=F$1), 0)), 1))),  0.5, 0))</f>
        <v>1</v>
      </c>
      <c r="G78" s="47">
        <f t="array" ref="G78">IF(AND(ISNUMBER(MATCH(G$2, AsistenciaJetAdminConcatenada!$A:$A, 0)), ISNUMBER(MATCH(G$1, AsistenciaJetAdminConcatenada!$B:$B, 0)), ISNUMBER(SEARCH($A78,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ISNUMBER(SEARCH($A78, INDEX(AsistenciaJetAdminConcatenada!$D:$D, MATCH(1, (AsistenciaJetAdminConcatenada!$A:$A=G$2)*(AsistenciaJetAdminConcatenada!$B:$B=G$1), 0)), 1))),  0.5, 0))</f>
        <v>1</v>
      </c>
      <c r="H78" s="47">
        <f t="array" ref="H78">IF(AND(ISNUMBER(MATCH(H$2, AsistenciaJetAdminConcatenada!$A:$A, 0)), ISNUMBER(MATCH(H$1, AsistenciaJetAdminConcatenada!$B:$B, 0)), ISNUMBER(SEARCH($A78,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ISNUMBER(SEARCH($A78, INDEX(AsistenciaJetAdminConcatenada!$D:$D, MATCH(1, (AsistenciaJetAdminConcatenada!$A:$A=H$2)*(AsistenciaJetAdminConcatenada!$B:$B=H$1), 0)), 1))),  0.5, 0))</f>
        <v>1</v>
      </c>
      <c r="I78" s="47">
        <f t="array" ref="I78">IF(AND(ISNUMBER(MATCH(I$2, AsistenciaJetAdminConcatenada!$A:$A, 0)), ISNUMBER(MATCH(I$1, AsistenciaJetAdminConcatenada!$B:$B, 0)), ISNUMBER(SEARCH($A78,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ISNUMBER(SEARCH($A78, INDEX(AsistenciaJetAdminConcatenada!$D:$D, MATCH(1, (AsistenciaJetAdminConcatenada!$A:$A=I$2)*(AsistenciaJetAdminConcatenada!$B:$B=I$1), 0)), 1))),  0.5, 0))</f>
        <v>1</v>
      </c>
      <c r="J78" s="47">
        <f t="array" ref="J78">IF(AND(ISNUMBER(MATCH(J$2, AsistenciaJetAdminConcatenada!$A:$A, 0)), ISNUMBER(MATCH(J$1, AsistenciaJetAdminConcatenada!$B:$B, 0)), ISNUMBER(SEARCH($A78,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ISNUMBER(SEARCH($A78, INDEX(AsistenciaJetAdminConcatenada!$D:$D, MATCH(1, (AsistenciaJetAdminConcatenada!$A:$A=J$2)*(AsistenciaJetAdminConcatenada!$B:$B=J$1), 0)), 1))),  0.5, 0))</f>
        <v>1</v>
      </c>
      <c r="K78" s="47">
        <f t="array" ref="K78">IF(AND(ISNUMBER(MATCH(K$2, AsistenciaJetAdminConcatenada!$A:$A, 0)), ISNUMBER(MATCH(K$1, AsistenciaJetAdminConcatenada!$B:$B, 0)), ISNUMBER(SEARCH($A78,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ISNUMBER(SEARCH($A78, INDEX(AsistenciaJetAdminConcatenada!$D:$D, MATCH(1, (AsistenciaJetAdminConcatenada!$A:$A=K$2)*(AsistenciaJetAdminConcatenada!$B:$B=K$1), 0)), 1))),  0.5, 0))</f>
        <v>1</v>
      </c>
      <c r="L78" s="47">
        <f t="array" ref="L78">IF(AND(ISNUMBER(MATCH(L$2, AsistenciaJetAdminConcatenada!$A:$A, 0)), ISNUMBER(MATCH(L$1, AsistenciaJetAdminConcatenada!$B:$B, 0)), ISNUMBER(SEARCH($A78,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ISNUMBER(SEARCH($A78, INDEX(AsistenciaJetAdminConcatenada!$D:$D, MATCH(1, (AsistenciaJetAdminConcatenada!$A:$A=L$2)*(AsistenciaJetAdminConcatenada!$B:$B=L$1), 0)), 1))),  0.5, 0))</f>
        <v>1</v>
      </c>
      <c r="M78" s="47">
        <f t="array" ref="M78">IF(AND(ISNUMBER(MATCH(M$2, AsistenciaJetAdminConcatenada!$A:$A, 0)), ISNUMBER(MATCH(M$1, AsistenciaJetAdminConcatenada!$B:$B, 0)), ISNUMBER(SEARCH($A78,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ISNUMBER(SEARCH($A78, INDEX(AsistenciaJetAdminConcatenada!$D:$D, MATCH(1, (AsistenciaJetAdminConcatenada!$A:$A=M$2)*(AsistenciaJetAdminConcatenada!$B:$B=M$1), 0)), 1))),  0.5, 0))</f>
        <v>1</v>
      </c>
      <c r="N78" s="47">
        <f t="array" ref="N78">IF(AND(ISNUMBER(MATCH(N$2, AsistenciaJetAdminConcatenada!$A:$A, 0)), ISNUMBER(MATCH(N$1, AsistenciaJetAdminConcatenada!$B:$B, 0)), ISNUMBER(SEARCH($A78,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ISNUMBER(SEARCH($A78, INDEX(AsistenciaJetAdminConcatenada!$D:$D, MATCH(1, (AsistenciaJetAdminConcatenada!$A:$A=N$2)*(AsistenciaJetAdminConcatenada!$B:$B=N$1), 0)), 1))),  0.5, 0))</f>
        <v>1</v>
      </c>
      <c r="O78" s="47">
        <f t="array" ref="O78">IF(AND(ISNUMBER(MATCH(O$2, AsistenciaJetAdminConcatenada!$A:$A, 0)), ISNUMBER(MATCH(O$1, AsistenciaJetAdminConcatenada!$B:$B, 0)), ISNUMBER(SEARCH($A78,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ISNUMBER(SEARCH($A78, INDEX(AsistenciaJetAdminConcatenada!$D:$D, MATCH(1, (AsistenciaJetAdminConcatenada!$A:$A=O$2)*(AsistenciaJetAdminConcatenada!$B:$B=O$1), 0)), 1))),  0.5, 0))</f>
        <v>1</v>
      </c>
      <c r="P78" s="47">
        <f t="array" ref="P78">IF(AND(ISNUMBER(MATCH(P$2, AsistenciaJetAdminConcatenada!$A:$A, 0)), ISNUMBER(MATCH(P$1, AsistenciaJetAdminConcatenada!$B:$B, 0)), ISNUMBER(SEARCH($A78, INDEX(AsistenciaJetAdminConcatenada!$C:$C, MATCH(1, (AsistenciaJetAdminConcatenada!$A:$A=P$2)*(AsistenciaJetAdminConcatenada!$B:$B=P$1), 0)), 1))), 1, IF(AND(ISNUMBER(MATCH(P$2, AsistenciaJetAdminConcatenada!$A:$A, 0)), ISNUMBER(MATCH(P$1, AsistenciaJetAdminConcatenada!$B:$B, 0)), ISNUMBER(SEARCH($A78, INDEX(AsistenciaJetAdminConcatenada!$D:$D, MATCH(1, (AsistenciaJetAdminConcatenada!$A:$A=P$2)*(AsistenciaJetAdminConcatenada!$B:$B=P$1), 0)), 1))),  0.5, 0))</f>
        <v>1</v>
      </c>
      <c r="Q78" s="47">
        <f t="array" ref="Q78">IF(AND(ISNUMBER(MATCH(Q$2, AsistenciaJetAdminConcatenada!$A:$A, 0)), ISNUMBER(MATCH(Q$1, AsistenciaJetAdminConcatenada!$B:$B, 0)), ISNUMBER(SEARCH($A78, INDEX(AsistenciaJetAdminConcatenada!$C:$C, MATCH(1, (AsistenciaJetAdminConcatenada!$A:$A=Q$2)*(AsistenciaJetAdminConcatenada!$B:$B=Q$1), 0)), 1))), 1, IF(AND(ISNUMBER(MATCH(Q$2, AsistenciaJetAdminConcatenada!$A:$A, 0)), ISNUMBER(MATCH(Q$1, AsistenciaJetAdminConcatenada!$B:$B, 0)), ISNUMBER(SEARCH($A78, INDEX(AsistenciaJetAdminConcatenada!$D:$D, MATCH(1, (AsistenciaJetAdminConcatenada!$A:$A=Q$2)*(AsistenciaJetAdminConcatenada!$B:$B=Q$1), 0)), 1))),  0.5, 0))</f>
        <v>1</v>
      </c>
      <c r="R78" s="47">
        <f t="array" ref="R78">IF(AND(ISNUMBER(MATCH(R$2, AsistenciaJetAdminConcatenada!$A:$A, 0)), ISNUMBER(MATCH(R$1, AsistenciaJetAdminConcatenada!$B:$B, 0)), ISNUMBER(SEARCH($A78,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ISNUMBER(SEARCH($A78, INDEX(AsistenciaJetAdminConcatenada!$D:$D, MATCH(1, (AsistenciaJetAdminConcatenada!$A:$A=R$2)*(AsistenciaJetAdminConcatenada!$B:$B=R$1), 0)), 1))),  0.5, 0))</f>
        <v>1</v>
      </c>
      <c r="S78" s="47">
        <f t="array" ref="S78">IF(AND(ISNUMBER(MATCH(S$2, AsistenciaJetAdminConcatenada!$A:$A, 0)), ISNUMBER(MATCH(S$1, AsistenciaJetAdminConcatenada!$B:$B, 0)), ISNUMBER(SEARCH($A78,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ISNUMBER(SEARCH($A78, INDEX(AsistenciaJetAdminConcatenada!$D:$D, MATCH(1, (AsistenciaJetAdminConcatenada!$A:$A=S$2)*(AsistenciaJetAdminConcatenada!$B:$B=S$1), 0)), 1))),  0.5, 0))</f>
        <v>1</v>
      </c>
      <c r="T78" s="47">
        <f t="array" ref="T78">IF(AND(ISNUMBER(MATCH(T$2, AsistenciaJetAdminConcatenada!$A:$A, 0)), ISNUMBER(MATCH(T$1, AsistenciaJetAdminConcatenada!$B:$B, 0)), ISNUMBER(SEARCH($A78,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ISNUMBER(SEARCH($A78, INDEX(AsistenciaJetAdminConcatenada!$D:$D, MATCH(1, (AsistenciaJetAdminConcatenada!$A:$A=T$2)*(AsistenciaJetAdminConcatenada!$B:$B=T$1), 0)), 1))),  0.5, 0))</f>
        <v>1</v>
      </c>
      <c r="U78" s="47">
        <f t="array" ref="U78">IF(AND(ISNUMBER(MATCH(U$2, AsistenciaJetAdminConcatenada!$A:$A, 0)), ISNUMBER(MATCH(U$1, AsistenciaJetAdminConcatenada!$B:$B, 0)), ISNUMBER(SEARCH($A78,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ISNUMBER(SEARCH($A78, INDEX(AsistenciaJetAdminConcatenada!$D:$D, MATCH(1, (AsistenciaJetAdminConcatenada!$A:$A=U$2)*(AsistenciaJetAdminConcatenada!$B:$B=U$1), 0)), 1))),  0.5, 0))</f>
        <v>1</v>
      </c>
      <c r="V78" s="47">
        <f t="array" ref="V78">IF(AND(ISNUMBER(MATCH(V$2, AsistenciaJetAdminConcatenada!$A:$A, 0)), ISNUMBER(MATCH(V$1, AsistenciaJetAdminConcatenada!$B:$B, 0)), ISNUMBER(SEARCH($A78,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ISNUMBER(SEARCH($A78, INDEX(AsistenciaJetAdminConcatenada!$D:$D, MATCH(1, (AsistenciaJetAdminConcatenada!$A:$A=V$2)*(AsistenciaJetAdminConcatenada!$B:$B=V$1), 0)), 1))),  0.5, 0))</f>
        <v>1</v>
      </c>
      <c r="W78" s="47">
        <f t="array" ref="W78">IF(AND(ISNUMBER(MATCH(W$2, AsistenciaJetAdminConcatenada!$A:$A, 0)), ISNUMBER(MATCH(W$1, AsistenciaJetAdminConcatenada!$B:$B, 0)), ISNUMBER(SEARCH($A78,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ISNUMBER(SEARCH($A78, INDEX(AsistenciaJetAdminConcatenada!$D:$D, MATCH(1, (AsistenciaJetAdminConcatenada!$A:$A=W$2)*(AsistenciaJetAdminConcatenada!$B:$B=W$1), 0)), 1))),  0.5, 0))</f>
        <v>1</v>
      </c>
      <c r="X78" s="47">
        <f t="array" ref="X78">IF(AND(ISNUMBER(MATCH(X$2, AsistenciaJetAdminConcatenada!$A:$A, 0)), ISNUMBER(MATCH(X$1, AsistenciaJetAdminConcatenada!$B:$B, 0)), ISNUMBER(SEARCH($A78,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ISNUMBER(SEARCH($A78, INDEX(AsistenciaJetAdminConcatenada!$D:$D, MATCH(1, (AsistenciaJetAdminConcatenada!$A:$A=X$2)*(AsistenciaJetAdminConcatenada!$B:$B=X$1), 0)), 1))),  0.5, 0))</f>
        <v>1</v>
      </c>
      <c r="Y78" s="47">
        <f t="array" ref="Y78">IF(AND(ISNUMBER(MATCH(Y$2, AsistenciaJetAdminConcatenada!$A:$A, 0)), ISNUMBER(MATCH(Y$1, AsistenciaJetAdminConcatenada!$B:$B, 0)), ISNUMBER(SEARCH($A78,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ISNUMBER(SEARCH($A78, INDEX(AsistenciaJetAdminConcatenada!$D:$D, MATCH(1, (AsistenciaJetAdminConcatenada!$A:$A=Y$2)*(AsistenciaJetAdminConcatenada!$B:$B=Y$1), 0)), 1))),  0.5, 0))</f>
        <v>1</v>
      </c>
      <c r="Z78" s="47">
        <f t="array" ref="Z78">IF(AND(ISNUMBER(MATCH(Z$2, AsistenciaJetAdminConcatenada!$A:$A, 0)), ISNUMBER(MATCH(Z$1, AsistenciaJetAdminConcatenada!$B:$B, 0)), ISNUMBER(SEARCH($A78,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ISNUMBER(SEARCH($A78, INDEX(AsistenciaJetAdminConcatenada!$D:$D, MATCH(1, (AsistenciaJetAdminConcatenada!$A:$A=Z$2)*(AsistenciaJetAdminConcatenada!$B:$B=Z$1), 0)), 1))),  0.5, 0))</f>
        <v>0</v>
      </c>
      <c r="AA78" s="47">
        <f t="array" ref="AA78">IF(AND(ISNUMBER(MATCH(AA$2, AsistenciaJetAdminConcatenada!$A:$A, 0)), ISNUMBER(MATCH(AA$1, AsistenciaJetAdminConcatenada!$B:$B, 0)), ISNUMBER(SEARCH($A78,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ISNUMBER(SEARCH($A78, INDEX(AsistenciaJetAdminConcatenada!$D:$D, MATCH(1, (AsistenciaJetAdminConcatenada!$A:$A=AA$2)*(AsistenciaJetAdminConcatenada!$B:$B=AA$1), 0)), 1))),  0.5, 0))</f>
        <v>1</v>
      </c>
      <c r="AB78" s="47">
        <f t="array" ref="AB78">IF(AND(ISNUMBER(MATCH(AB$2, AsistenciaJetAdminConcatenada!$A:$A, 0)), ISNUMBER(MATCH(AB$1, AsistenciaJetAdminConcatenada!$B:$B, 0)), ISNUMBER(SEARCH($A78,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ISNUMBER(SEARCH($A78, INDEX(AsistenciaJetAdminConcatenada!$D:$D, MATCH(1, (AsistenciaJetAdminConcatenada!$A:$A=AB$2)*(AsistenciaJetAdminConcatenada!$B:$B=AB$1), 0)), 1))),  0.5, 0))</f>
        <v>1</v>
      </c>
      <c r="AC78" s="47">
        <f t="array" ref="AC78">IF(AND(ISNUMBER(MATCH(AC$2, AsistenciaJetAdminConcatenada!$A:$A, 0)), ISNUMBER(MATCH(AC$1, AsistenciaJetAdminConcatenada!$B:$B, 0)), ISNUMBER(SEARCH($A78,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ISNUMBER(SEARCH($A78, INDEX(AsistenciaJetAdminConcatenada!$D:$D, MATCH(1, (AsistenciaJetAdminConcatenada!$A:$A=AC$2)*(AsistenciaJetAdminConcatenada!$B:$B=AC$1), 0)), 1))),  0.5, 0))</f>
        <v>1</v>
      </c>
      <c r="AD78" s="47">
        <f t="array" ref="AD78">IF(AND(ISNUMBER(MATCH(AD$2, AsistenciaJetAdminConcatenada!$A:$A, 0)), ISNUMBER(MATCH(AD$1, AsistenciaJetAdminConcatenada!$B:$B, 0)), ISNUMBER(SEARCH($A78,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ISNUMBER(SEARCH($A78, INDEX(AsistenciaJetAdminConcatenada!$D:$D, MATCH(1, (AsistenciaJetAdminConcatenada!$A:$A=AD$2)*(AsistenciaJetAdminConcatenada!$B:$B=AD$1), 0)), 1))),  0.5, 0))</f>
        <v>1</v>
      </c>
      <c r="AE78" s="47">
        <f t="array" ref="AE78">IF(AND(ISNUMBER(MATCH(AE$2, AsistenciaJetAdminConcatenada!$A:$A, 0)), ISNUMBER(MATCH(AE$1, AsistenciaJetAdminConcatenada!$B:$B, 0)), ISNUMBER(SEARCH($A78,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ISNUMBER(SEARCH($A78, INDEX(AsistenciaJetAdminConcatenada!$D:$D, MATCH(1, (AsistenciaJetAdminConcatenada!$A:$A=AE$2)*(AsistenciaJetAdminConcatenada!$B:$B=AE$1), 0)), 1))),  0.5, 0))</f>
        <v>1</v>
      </c>
      <c r="AF78" s="47">
        <f t="array" ref="AF78">IF(AND(ISNUMBER(MATCH(AF$2, AsistenciaJetAdminConcatenada!$A:$A, 0)), ISNUMBER(MATCH(AF$1, AsistenciaJetAdminConcatenada!$B:$B, 0)), ISNUMBER(SEARCH($A78,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ISNUMBER(SEARCH($A78, INDEX(AsistenciaJetAdminConcatenada!$D:$D, MATCH(1, (AsistenciaJetAdminConcatenada!$A:$A=AF$2)*(AsistenciaJetAdminConcatenada!$B:$B=AF$1), 0)), 1))),  0.5, 0))</f>
        <v>1</v>
      </c>
      <c r="AG78" s="47">
        <f t="array" ref="AG78">IF(AND(ISNUMBER(MATCH(AG$2, AsistenciaJetAdminConcatenada!$A:$A, 0)), ISNUMBER(MATCH(AG$1, AsistenciaJetAdminConcatenada!$B:$B, 0)), ISNUMBER(SEARCH($A78,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ISNUMBER(SEARCH($A78, INDEX(AsistenciaJetAdminConcatenada!$D:$D, MATCH(1, (AsistenciaJetAdminConcatenada!$A:$A=AG$2)*(AsistenciaJetAdminConcatenada!$B:$B=AG$1), 0)), 1))),  0.5, 0))</f>
        <v>0</v>
      </c>
      <c r="AH78" s="47">
        <f t="array" ref="AH78">IF(AND(ISNUMBER(MATCH(AH$2, AsistenciaJetAdminConcatenada!$A:$A, 0)), ISNUMBER(MATCH(AH$1, AsistenciaJetAdminConcatenada!$B:$B, 0)), ISNUMBER(SEARCH($A78,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ISNUMBER(SEARCH($A78, INDEX(AsistenciaJetAdminConcatenada!$D:$D, MATCH(1, (AsistenciaJetAdminConcatenada!$A:$A=AH$2)*(AsistenciaJetAdminConcatenada!$B:$B=AH$1), 0)), 1))),  0.5, 0))</f>
        <v>0</v>
      </c>
      <c r="AI78" s="47">
        <f t="array" ref="AI78">IF(AND(ISNUMBER(MATCH(AI$2, AsistenciaJetAdminConcatenada!$A:$A, 0)), ISNUMBER(MATCH(AI$1, AsistenciaJetAdminConcatenada!$B:$B, 0)), ISNUMBER(SEARCH($A78,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ISNUMBER(SEARCH($A78, INDEX(AsistenciaJetAdminConcatenada!$D:$D, MATCH(1, (AsistenciaJetAdminConcatenada!$A:$A=AI$2)*(AsistenciaJetAdminConcatenada!$B:$B=AI$1), 0)), 1))),  0.5, 0))</f>
        <v>1</v>
      </c>
      <c r="AJ78" s="47">
        <f t="array" ref="AJ78">IF(AND(ISNUMBER(MATCH(AJ$2, AsistenciaJetAdminConcatenada!$A:$A, 0)), ISNUMBER(MATCH(AJ$1, AsistenciaJetAdminConcatenada!$B:$B, 0)), ISNUMBER(SEARCH($A78,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ISNUMBER(SEARCH($A78, INDEX(AsistenciaJetAdminConcatenada!$D:$D, MATCH(1, (AsistenciaJetAdminConcatenada!$A:$A=AJ$2)*(AsistenciaJetAdminConcatenada!$B:$B=AJ$1), 0)), 1))),  0.5, 0))</f>
        <v>1</v>
      </c>
      <c r="AK78" s="47">
        <f t="array" ref="AK78">IF(AND(ISNUMBER(MATCH(AK$2, AsistenciaJetAdminConcatenada!$A:$A, 0)), ISNUMBER(MATCH(AK$1, AsistenciaJetAdminConcatenada!$B:$B, 0)), ISNUMBER(SEARCH($A78,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ISNUMBER(SEARCH($A78, INDEX(AsistenciaJetAdminConcatenada!$D:$D, MATCH(1, (AsistenciaJetAdminConcatenada!$A:$A=AK$2)*(AsistenciaJetAdminConcatenada!$B:$B=AK$1), 0)), 1))),  0.5, 0))</f>
        <v>1</v>
      </c>
      <c r="AL78" s="47">
        <f t="array" ref="AL78">IF(AND(ISNUMBER(MATCH(AL$2, AsistenciaJetAdminConcatenada!$A:$A, 0)), ISNUMBER(MATCH(AL$1, AsistenciaJetAdminConcatenada!$B:$B, 0)), ISNUMBER(SEARCH($A78,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ISNUMBER(SEARCH($A78, INDEX(AsistenciaJetAdminConcatenada!$D:$D, MATCH(1, (AsistenciaJetAdminConcatenada!$A:$A=AL$2)*(AsistenciaJetAdminConcatenada!$B:$B=AL$1), 0)), 1))),  0.5, 0))</f>
        <v>1</v>
      </c>
      <c r="AM78" s="47">
        <f t="array" ref="AM78">IF(AND(ISNUMBER(MATCH(AM$2, AsistenciaJetAdminConcatenada!$A:$A, 0)), ISNUMBER(MATCH(AM$1, AsistenciaJetAdminConcatenada!$B:$B, 0)), ISNUMBER(SEARCH($A78,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ISNUMBER(SEARCH($A78, INDEX(AsistenciaJetAdminConcatenada!$D:$D, MATCH(1, (AsistenciaJetAdminConcatenada!$A:$A=AM$2)*(AsistenciaJetAdminConcatenada!$B:$B=AM$1), 0)), 1))),  0.5, 0))</f>
        <v>1</v>
      </c>
      <c r="AN78" s="47">
        <f t="array" ref="AN78">IF(AND(ISNUMBER(MATCH(AN$2, AsistenciaJetAdminConcatenada!$A:$A, 0)), ISNUMBER(MATCH(AN$1, AsistenciaJetAdminConcatenada!$B:$B, 0)), ISNUMBER(SEARCH($A78,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ISNUMBER(SEARCH($A78, INDEX(AsistenciaJetAdminConcatenada!$D:$D, MATCH(1, (AsistenciaJetAdminConcatenada!$A:$A=AN$2)*(AsistenciaJetAdminConcatenada!$B:$B=AN$1), 0)), 1))),  0.5, 0))</f>
        <v>0</v>
      </c>
      <c r="AO78" s="47">
        <f t="array" ref="AO78">IF(AND(ISNUMBER(MATCH(AO$2, AsistenciaJetAdminConcatenada!$A:$A, 0)), ISNUMBER(MATCH(AO$1, AsistenciaJetAdminConcatenada!$B:$B, 0)), ISNUMBER(SEARCH($A78,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ISNUMBER(SEARCH($A78, INDEX(AsistenciaJetAdminConcatenada!$D:$D, MATCH(1, (AsistenciaJetAdminConcatenada!$A:$A=AO$2)*(AsistenciaJetAdminConcatenada!$B:$B=AO$1), 0)), 1))),  0.5, 0))</f>
        <v>1</v>
      </c>
      <c r="AP78" s="47">
        <f t="array" ref="AP78">IF(AND(ISNUMBER(MATCH(AP$2, AsistenciaJetAdminConcatenada!$A:$A, 0)), ISNUMBER(MATCH(AP$1, AsistenciaJetAdminConcatenada!$B:$B, 0)), ISNUMBER(SEARCH($A78,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ISNUMBER(SEARCH($A78, INDEX(AsistenciaJetAdminConcatenada!$D:$D, MATCH(1, (AsistenciaJetAdminConcatenada!$A:$A=AP$2)*(AsistenciaJetAdminConcatenada!$B:$B=AP$1), 0)), 1))),  0.5, 0))</f>
        <v>1</v>
      </c>
      <c r="AQ78" s="47">
        <f t="array" ref="AQ78">IF(AND(ISNUMBER(MATCH(AQ$2, AsistenciaJetAdminConcatenada!$A:$A, 0)), ISNUMBER(MATCH(AQ$1, AsistenciaJetAdminConcatenada!$B:$B, 0)), ISNUMBER(SEARCH($A78,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ISNUMBER(SEARCH($A78, INDEX(AsistenciaJetAdminConcatenada!$D:$D, MATCH(1, (AsistenciaJetAdminConcatenada!$A:$A=AQ$2)*(AsistenciaJetAdminConcatenada!$B:$B=AQ$1), 0)), 1))),  0.5, 0))</f>
        <v>0</v>
      </c>
      <c r="AR78" s="47">
        <f t="array" ref="AR78">IF(AND(ISNUMBER(MATCH(AR$2, AsistenciaJetAdminConcatenada!$A:$A, 0)), ISNUMBER(MATCH(AR$1, AsistenciaJetAdminConcatenada!$B:$B, 0)), ISNUMBER(SEARCH($A78,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ISNUMBER(SEARCH($A78, INDEX(AsistenciaJetAdminConcatenada!$D:$D, MATCH(1, (AsistenciaJetAdminConcatenada!$A:$A=AR$2)*(AsistenciaJetAdminConcatenada!$B:$B=AR$1), 0)), 1))),  0.5, 0))</f>
        <v>1</v>
      </c>
      <c r="AS78" s="47">
        <f t="array" ref="AS78">IF(AND(ISNUMBER(MATCH(AS$2, AsistenciaJetAdminConcatenada!$A:$A, 0)), ISNUMBER(MATCH(AS$1, AsistenciaJetAdminConcatenada!$B:$B, 0)), ISNUMBER(SEARCH($A78,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ISNUMBER(SEARCH($A78, INDEX(AsistenciaJetAdminConcatenada!$D:$D, MATCH(1, (AsistenciaJetAdminConcatenada!$A:$A=AS$2)*(AsistenciaJetAdminConcatenada!$B:$B=AS$1), 0)), 1))),  0.5, 0))</f>
        <v>1</v>
      </c>
      <c r="AT78" s="47">
        <f t="array" ref="AT78">IF(AND(ISNUMBER(MATCH(AT$2, AsistenciaJetAdminConcatenada!$A:$A, 0)), ISNUMBER(MATCH(AT$1, AsistenciaJetAdminConcatenada!$B:$B, 0)), ISNUMBER(SEARCH($A78,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ISNUMBER(SEARCH($A78, INDEX(AsistenciaJetAdminConcatenada!$D:$D, MATCH(1, (AsistenciaJetAdminConcatenada!$A:$A=AT$2)*(AsistenciaJetAdminConcatenada!$B:$B=AT$1), 0)), 1))),  0.5, 0))</f>
        <v>1</v>
      </c>
      <c r="AU78" s="47">
        <f t="array" ref="AU78">IF(AND(ISNUMBER(MATCH(AU$2, AsistenciaJetAdminConcatenada!$A:$A, 0)), ISNUMBER(MATCH(AU$1, AsistenciaJetAdminConcatenada!$B:$B, 0)), ISNUMBER(SEARCH($A78,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ISNUMBER(SEARCH($A78, INDEX(AsistenciaJetAdminConcatenada!$D:$D, MATCH(1, (AsistenciaJetAdminConcatenada!$A:$A=AU$2)*(AsistenciaJetAdminConcatenada!$B:$B=AU$1), 0)), 1))),  0.5, 0))</f>
        <v>1</v>
      </c>
      <c r="AV78" s="47">
        <f t="array" ref="AV78">IF(AND(ISNUMBER(MATCH(AV$2, AsistenciaJetAdminConcatenada!$A:$A, 0)), ISNUMBER(MATCH(AV$1, AsistenciaJetAdminConcatenada!$B:$B, 0)), ISNUMBER(SEARCH($A78,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ISNUMBER(SEARCH($A78, INDEX(AsistenciaJetAdminConcatenada!$D:$D, MATCH(1, (AsistenciaJetAdminConcatenada!$A:$A=AV$2)*(AsistenciaJetAdminConcatenada!$B:$B=AV$1), 0)), 1))),  0.5, 0))</f>
        <v>1</v>
      </c>
      <c r="AW78" s="47">
        <f t="array" ref="AW78">IF(AND(ISNUMBER(MATCH(AW$2, AsistenciaJetAdminConcatenada!$A:$A, 0)), ISNUMBER(MATCH(AW$1, AsistenciaJetAdminConcatenada!$B:$B, 0)), ISNUMBER(SEARCH($A78,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ISNUMBER(SEARCH($A78, INDEX(AsistenciaJetAdminConcatenada!$D:$D, MATCH(1, (AsistenciaJetAdminConcatenada!$A:$A=AW$2)*(AsistenciaJetAdminConcatenada!$B:$B=AW$1), 0)), 1))),  0.5, 0))</f>
        <v>1</v>
      </c>
      <c r="AX78" s="47">
        <f t="array" ref="AX78">IF(AND(ISNUMBER(MATCH(AX$2, AsistenciaJetAdminConcatenada!$A:$A, 0)), ISNUMBER(MATCH(AX$1, AsistenciaJetAdminConcatenada!$B:$B, 0)), ISNUMBER(SEARCH($A78,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ISNUMBER(SEARCH($A78, INDEX(AsistenciaJetAdminConcatenada!$D:$D, MATCH(1, (AsistenciaJetAdminConcatenada!$A:$A=AX$2)*(AsistenciaJetAdminConcatenada!$B:$B=AX$1), 0)), 1))),  0.5, 0))</f>
        <v>1</v>
      </c>
      <c r="AY78" s="47">
        <f t="array" ref="AY78">IF(AND(ISNUMBER(MATCH(AY$2, AsistenciaJetAdminConcatenada!$A:$A, 0)), ISNUMBER(MATCH(AY$1, AsistenciaJetAdminConcatenada!$B:$B, 0)), ISNUMBER(SEARCH($A78,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ISNUMBER(SEARCH($A78, INDEX(AsistenciaJetAdminConcatenada!$D:$D, MATCH(1, (AsistenciaJetAdminConcatenada!$A:$A=AY$2)*(AsistenciaJetAdminConcatenada!$B:$B=AY$1), 0)), 1))),  0.5, 0))</f>
        <v>1</v>
      </c>
      <c r="AZ78" s="47">
        <f t="array" ref="AZ78">IF(AND(ISNUMBER(MATCH(AZ$2, AsistenciaJetAdminConcatenada!$A:$A, 0)), ISNUMBER(MATCH(AZ$1, AsistenciaJetAdminConcatenada!$B:$B, 0)), ISNUMBER(SEARCH($A78,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ISNUMBER(SEARCH($A78, INDEX(AsistenciaJetAdminConcatenada!$D:$D, MATCH(1, (AsistenciaJetAdminConcatenada!$A:$A=AZ$2)*(AsistenciaJetAdminConcatenada!$B:$B=AZ$1), 0)), 1))),  0.5, 0))</f>
        <v>1</v>
      </c>
      <c r="BA78" s="47">
        <f t="array" ref="BA78">IF(AND(ISNUMBER(MATCH(BA$2, AsistenciaJetAdminConcatenada!$A:$A, 0)), ISNUMBER(MATCH(BA$1, AsistenciaJetAdminConcatenada!$B:$B, 0)), ISNUMBER(SEARCH($A78,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ISNUMBER(SEARCH($A78, INDEX(AsistenciaJetAdminConcatenada!$D:$D, MATCH(1, (AsistenciaJetAdminConcatenada!$A:$A=BA$2)*(AsistenciaJetAdminConcatenada!$B:$B=BA$1), 0)), 1))),  0.5, 0))</f>
        <v>0</v>
      </c>
      <c r="BB78" s="47">
        <f t="array" ref="BB78">IF(AND(ISNUMBER(MATCH(BB$2, AsistenciaJetAdminConcatenada!$A:$A, 0)), ISNUMBER(MATCH(BB$1, AsistenciaJetAdminConcatenada!$B:$B, 0)), ISNUMBER(SEARCH($A78,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ISNUMBER(SEARCH($A78, INDEX(AsistenciaJetAdminConcatenada!$D:$D, MATCH(1, (AsistenciaJetAdminConcatenada!$A:$A=BB$2)*(AsistenciaJetAdminConcatenada!$B:$B=BB$1), 0)), 1))),  0.5, 0))</f>
        <v>1</v>
      </c>
      <c r="BC78" s="47">
        <f t="array" ref="BC78">IF(AND(ISNUMBER(MATCH(BC$2, AsistenciaJetAdminConcatenada!$A:$A, 0)), ISNUMBER(MATCH(BC$1, AsistenciaJetAdminConcatenada!$B:$B, 0)), ISNUMBER(SEARCH($A78,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ISNUMBER(SEARCH($A78, INDEX(AsistenciaJetAdminConcatenada!$D:$D, MATCH(1, (AsistenciaJetAdminConcatenada!$A:$A=BC$2)*(AsistenciaJetAdminConcatenada!$B:$B=BC$1), 0)), 1))),  0.5, 0))</f>
        <v>1</v>
      </c>
      <c r="BD78" s="47">
        <f t="array" ref="BD78">IF(AND(ISNUMBER(MATCH(BD$2, AsistenciaJetAdminConcatenada!$A:$A, 0)), ISNUMBER(MATCH(BD$1, AsistenciaJetAdminConcatenada!$B:$B, 0)), ISNUMBER(SEARCH($A78,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ISNUMBER(SEARCH($A78, INDEX(AsistenciaJetAdminConcatenada!$D:$D, MATCH(1, (AsistenciaJetAdminConcatenada!$A:$A=BD$2)*(AsistenciaJetAdminConcatenada!$B:$B=BD$1), 0)), 1))),  0.5, 0))</f>
        <v>1</v>
      </c>
      <c r="BE78" s="47">
        <f t="array" ref="BE78">IF(AND(ISNUMBER(MATCH(BE$2, AsistenciaJetAdminConcatenada!$A:$A, 0)), ISNUMBER(MATCH(BE$1, AsistenciaJetAdminConcatenada!$B:$B, 0)), ISNUMBER(SEARCH($A78,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ISNUMBER(SEARCH($A78, INDEX(AsistenciaJetAdminConcatenada!$D:$D, MATCH(1, (AsistenciaJetAdminConcatenada!$A:$A=BE$2)*(AsistenciaJetAdminConcatenada!$B:$B=BE$1), 0)), 1))),  0.5, 0))</f>
        <v>1</v>
      </c>
      <c r="BF78" s="47">
        <f t="array" ref="BF78">IF(AND(ISNUMBER(MATCH(BF$2, AsistenciaJetAdminConcatenada!$A:$A, 0)), ISNUMBER(MATCH(BF$1, AsistenciaJetAdminConcatenada!$B:$B, 0)), ISNUMBER(SEARCH($A78,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ISNUMBER(SEARCH($A78, INDEX(AsistenciaJetAdminConcatenada!$D:$D, MATCH(1, (AsistenciaJetAdminConcatenada!$A:$A=BF$2)*(AsistenciaJetAdminConcatenada!$B:$B=BF$1), 0)), 1))),  0.5, 0))</f>
        <v>0</v>
      </c>
      <c r="BG78" s="47">
        <f t="array" ref="BG78">IF(AND(ISNUMBER(MATCH(BG$2, AsistenciaJetAdminConcatenada!$A:$A, 0)), ISNUMBER(MATCH(BG$1, AsistenciaJetAdminConcatenada!$B:$B, 0)), ISNUMBER(SEARCH($A78,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ISNUMBER(SEARCH($A78, INDEX(AsistenciaJetAdminConcatenada!$D:$D, MATCH(1, (AsistenciaJetAdminConcatenada!$A:$A=BG$2)*(AsistenciaJetAdminConcatenada!$B:$B=BG$1), 0)), 1))),  0.5, 0))</f>
        <v>0</v>
      </c>
      <c r="BH78" s="47">
        <f t="array" ref="BH78">IF(AND(ISNUMBER(MATCH(BH$2, AsistenciaJetAdminConcatenada!$A:$A, 0)), ISNUMBER(MATCH(BH$1, AsistenciaJetAdminConcatenada!$B:$B, 0)), ISNUMBER(SEARCH($A78,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ISNUMBER(SEARCH($A78, INDEX(AsistenciaJetAdminConcatenada!$D:$D, MATCH(1, (AsistenciaJetAdminConcatenada!$A:$A=BH$2)*(AsistenciaJetAdminConcatenada!$B:$B=BH$1), 0)), 1))),  0.5, 0))</f>
        <v>0</v>
      </c>
      <c r="BI78" s="47">
        <f t="array" ref="BI78">IF(AND(ISNUMBER(MATCH(BI$2, AsistenciaJetAdminConcatenada!$A:$A, 0)), ISNUMBER(MATCH(BI$1, AsistenciaJetAdminConcatenada!$B:$B, 0)), ISNUMBER(SEARCH($A78,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ISNUMBER(SEARCH($A78, INDEX(AsistenciaJetAdminConcatenada!$D:$D, MATCH(1, (AsistenciaJetAdminConcatenada!$A:$A=BI$2)*(AsistenciaJetAdminConcatenada!$B:$B=BI$1), 0)), 1))),  0.5, 0))</f>
        <v>1</v>
      </c>
      <c r="BJ78" s="47">
        <f t="array" ref="BJ78">IF(AND(ISNUMBER(MATCH(BJ$2, AsistenciaJetAdminConcatenada!$A:$A, 0)), ISNUMBER(MATCH(BJ$1, AsistenciaJetAdminConcatenada!$B:$B, 0)), ISNUMBER(SEARCH($A78,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ISNUMBER(SEARCH($A78, INDEX(AsistenciaJetAdminConcatenada!$D:$D, MATCH(1, (AsistenciaJetAdminConcatenada!$A:$A=BJ$2)*(AsistenciaJetAdminConcatenada!$B:$B=BJ$1), 0)), 1))),  0.5, 0))</f>
        <v>1</v>
      </c>
      <c r="BK78" s="47">
        <f t="array" ref="BK78">IF(AND(ISNUMBER(MATCH(BK$2, AsistenciaJetAdminConcatenada!$A:$A, 0)), ISNUMBER(MATCH(BK$1, AsistenciaJetAdminConcatenada!$B:$B, 0)), ISNUMBER(SEARCH($A78,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ISNUMBER(SEARCH($A78, INDEX(AsistenciaJetAdminConcatenada!$D:$D, MATCH(1, (AsistenciaJetAdminConcatenada!$A:$A=BK$2)*(AsistenciaJetAdminConcatenada!$B:$B=BK$1), 0)), 1))),  0.5, 0))</f>
        <v>1</v>
      </c>
      <c r="BL78" s="47">
        <f t="array" ref="BL78">IF(AND(ISNUMBER(MATCH(BL$2, AsistenciaJetAdminConcatenada!$A:$A, 0)), ISNUMBER(MATCH(BL$1, AsistenciaJetAdminConcatenada!$B:$B, 0)), ISNUMBER(SEARCH($A78,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ISNUMBER(SEARCH($A78, INDEX(AsistenciaJetAdminConcatenada!$D:$D, MATCH(1, (AsistenciaJetAdminConcatenada!$A:$A=BL$2)*(AsistenciaJetAdminConcatenada!$B:$B=BL$1), 0)), 1))),  0.5, 0))</f>
        <v>0</v>
      </c>
      <c r="BM78" s="47">
        <f t="array" ref="BM78">IF(AND(ISNUMBER(MATCH(BM$2, AsistenciaJetAdminConcatenada!$A:$A, 0)), ISNUMBER(MATCH(BM$1, AsistenciaJetAdminConcatenada!$B:$B, 0)), ISNUMBER(SEARCH($A78,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ISNUMBER(SEARCH($A78, INDEX(AsistenciaJetAdminConcatenada!$D:$D, MATCH(1, (AsistenciaJetAdminConcatenada!$A:$A=BM$2)*(AsistenciaJetAdminConcatenada!$B:$B=BM$1), 0)), 1))),  0.5, 0))</f>
        <v>1</v>
      </c>
      <c r="BN78" s="47">
        <f t="array" ref="BN78">IF(AND(ISNUMBER(MATCH(BN$2, AsistenciaJetAdminConcatenada!$A:$A, 0)), ISNUMBER(MATCH(BN$1, AsistenciaJetAdminConcatenada!$B:$B, 0)), ISNUMBER(SEARCH($A78,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ISNUMBER(SEARCH($A78, INDEX(AsistenciaJetAdminConcatenada!$D:$D, MATCH(1, (AsistenciaJetAdminConcatenada!$A:$A=BN$2)*(AsistenciaJetAdminConcatenada!$B:$B=BN$1), 0)), 1))),  0.5, 0))</f>
        <v>1</v>
      </c>
      <c r="BO78" s="47">
        <f t="array" ref="BO78">IF(AND(ISNUMBER(MATCH(BO$2, AsistenciaJetAdminConcatenada!$A:$A, 0)), ISNUMBER(MATCH(BO$1, AsistenciaJetAdminConcatenada!$B:$B, 0)), ISNUMBER(SEARCH($A78,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ISNUMBER(SEARCH($A78, INDEX(AsistenciaJetAdminConcatenada!$D:$D, MATCH(1, (AsistenciaJetAdminConcatenada!$A:$A=BO$2)*(AsistenciaJetAdminConcatenada!$B:$B=BO$1), 0)), 1))),  0.5, 0))</f>
        <v>1</v>
      </c>
      <c r="BP78" s="47">
        <f t="array" ref="BP78">IF(AND(ISNUMBER(MATCH(BP$2, AsistenciaJetAdminConcatenada!$A:$A, 0)), ISNUMBER(MATCH(BP$1, AsistenciaJetAdminConcatenada!$B:$B, 0)), ISNUMBER(SEARCH($A78,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ISNUMBER(SEARCH($A78, INDEX(AsistenciaJetAdminConcatenada!$D:$D, MATCH(1, (AsistenciaJetAdminConcatenada!$A:$A=BP$2)*(AsistenciaJetAdminConcatenada!$B:$B=BP$1), 0)), 1))),  0.5, 0))</f>
        <v>1</v>
      </c>
      <c r="BQ78" s="47">
        <f t="array" ref="BQ78">IF(AND(ISNUMBER(MATCH(BQ$2, AsistenciaJetAdminConcatenada!$A:$A, 0)), ISNUMBER(MATCH(BQ$1, AsistenciaJetAdminConcatenada!$B:$B, 0)), ISNUMBER(SEARCH($A78,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ISNUMBER(SEARCH($A78, INDEX(AsistenciaJetAdminConcatenada!$D:$D, MATCH(1, (AsistenciaJetAdminConcatenada!$A:$A=BQ$2)*(AsistenciaJetAdminConcatenada!$B:$B=BQ$1), 0)), 1))),  0.5, 0))</f>
        <v>1</v>
      </c>
      <c r="BR78" s="47">
        <f t="array" ref="BR78">IF(AND(ISNUMBER(MATCH(BR$2, AsistenciaJetAdminConcatenada!$A:$A, 0)), ISNUMBER(MATCH(BR$1, AsistenciaJetAdminConcatenada!$B:$B, 0)), ISNUMBER(SEARCH($A78,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ISNUMBER(SEARCH($A78, INDEX(AsistenciaJetAdminConcatenada!$D:$D, MATCH(1, (AsistenciaJetAdminConcatenada!$A:$A=BR$2)*(AsistenciaJetAdminConcatenada!$B:$B=BR$1), 0)), 1))),  0.5, 0))</f>
        <v>1</v>
      </c>
      <c r="BS78" s="47">
        <f t="array" ref="BS78">IF(AND(ISNUMBER(MATCH(BS$2, AsistenciaJetAdminConcatenada!$A:$A, 0)), ISNUMBER(MATCH(BS$1, AsistenciaJetAdminConcatenada!$B:$B, 0)), ISNUMBER(SEARCH($A78,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ISNUMBER(SEARCH($A78, INDEX(AsistenciaJetAdminConcatenada!$D:$D, MATCH(1, (AsistenciaJetAdminConcatenada!$A:$A=BS$2)*(AsistenciaJetAdminConcatenada!$B:$B=BS$1), 0)), 1))),  0.5, 0))</f>
        <v>1</v>
      </c>
      <c r="BT78" s="47">
        <f t="array" ref="BT78">IF(AND(ISNUMBER(MATCH(BT$2, AsistenciaJetAdminConcatenada!$A:$A, 0)), ISNUMBER(MATCH(BT$1, AsistenciaJetAdminConcatenada!$B:$B, 0)), ISNUMBER(SEARCH($A78,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ISNUMBER(SEARCH($A78, INDEX(AsistenciaJetAdminConcatenada!$D:$D, MATCH(1, (AsistenciaJetAdminConcatenada!$A:$A=BT$2)*(AsistenciaJetAdminConcatenada!$B:$B=BT$1), 0)), 1))),  0.5, 0))</f>
        <v>1</v>
      </c>
      <c r="BU78" s="47">
        <f t="array" ref="BU78">IF(AND(ISNUMBER(MATCH(BU$2, AsistenciaJetAdminConcatenada!$A:$A, 0)), ISNUMBER(MATCH(BU$1, AsistenciaJetAdminConcatenada!$B:$B, 0)), ISNUMBER(SEARCH($A78,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ISNUMBER(SEARCH($A78, INDEX(AsistenciaJetAdminConcatenada!$D:$D, MATCH(1, (AsistenciaJetAdminConcatenada!$A:$A=BU$2)*(AsistenciaJetAdminConcatenada!$B:$B=BU$1), 0)), 1))),  0.5, 0))</f>
        <v>1</v>
      </c>
      <c r="BV78" s="47">
        <f t="array" ref="BV78">IF(AND(ISNUMBER(MATCH(BV$2, AsistenciaJetAdminConcatenada!$A:$A, 0)), ISNUMBER(MATCH(BV$1, AsistenciaJetAdminConcatenada!$B:$B, 0)), ISNUMBER(SEARCH($A78,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ISNUMBER(SEARCH($A78, INDEX(AsistenciaJetAdminConcatenada!$D:$D, MATCH(1, (AsistenciaJetAdminConcatenada!$A:$A=BV$2)*(AsistenciaJetAdminConcatenada!$B:$B=BV$1), 0)), 1))),  0.5, 0))</f>
        <v>0</v>
      </c>
      <c r="BW78" s="47">
        <f t="array" ref="BW78">IF(AND(ISNUMBER(MATCH(BW$2, AsistenciaJetAdminConcatenada!$A:$A, 0)), ISNUMBER(MATCH(BW$1, AsistenciaJetAdminConcatenada!$B:$B, 0)), ISNUMBER(SEARCH($A78,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ISNUMBER(SEARCH($A78, INDEX(AsistenciaJetAdminConcatenada!$D:$D, MATCH(1, (AsistenciaJetAdminConcatenada!$A:$A=BW$2)*(AsistenciaJetAdminConcatenada!$B:$B=BW$1), 0)), 1))),  0.5, 0))</f>
        <v>1</v>
      </c>
      <c r="BX78" s="47">
        <f t="array" ref="BX78">IF(AND(ISNUMBER(MATCH(BX$2, AsistenciaJetAdminConcatenada!$A:$A, 0)), ISNUMBER(MATCH(BX$1, AsistenciaJetAdminConcatenada!$B:$B, 0)), ISNUMBER(SEARCH($A78,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ISNUMBER(SEARCH($A78, INDEX(AsistenciaJetAdminConcatenada!$D:$D, MATCH(1, (AsistenciaJetAdminConcatenada!$A:$A=BX$2)*(AsistenciaJetAdminConcatenada!$B:$B=BX$1), 0)), 1))),  0.5, 0))</f>
        <v>1</v>
      </c>
      <c r="BY78" s="47">
        <f t="array" ref="BY78">IF(AND(ISNUMBER(MATCH(BY$2, AsistenciaJetAdminConcatenada!$A:$A, 0)), ISNUMBER(MATCH(BY$1, AsistenciaJetAdminConcatenada!$B:$B, 0)), ISNUMBER(SEARCH($A78,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ISNUMBER(SEARCH($A78, INDEX(AsistenciaJetAdminConcatenada!$D:$D, MATCH(1, (AsistenciaJetAdminConcatenada!$A:$A=BY$2)*(AsistenciaJetAdminConcatenada!$B:$B=BY$1), 0)), 1))),  0.5, 0))</f>
        <v>0</v>
      </c>
      <c r="BZ78" s="47">
        <f t="array" ref="BZ78">IF(AND(ISNUMBER(MATCH(BZ$2, AsistenciaJetAdminConcatenada!$A:$A, 0)), ISNUMBER(MATCH(BZ$1, AsistenciaJetAdminConcatenada!$B:$B, 0)), ISNUMBER(SEARCH($A78,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ISNUMBER(SEARCH($A78, INDEX(AsistenciaJetAdminConcatenada!$D:$D, MATCH(1, (AsistenciaJetAdminConcatenada!$A:$A=BZ$2)*(AsistenciaJetAdminConcatenada!$B:$B=BZ$1), 0)), 1))),  0.5, 0))</f>
        <v>1</v>
      </c>
      <c r="CA78" s="47">
        <f t="array" ref="CA78">IF(AND(ISNUMBER(MATCH(CA$2, AsistenciaJetAdminConcatenada!$A:$A, 0)), ISNUMBER(MATCH(CA$1, AsistenciaJetAdminConcatenada!$B:$B, 0)), ISNUMBER(SEARCH($A78,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ISNUMBER(SEARCH($A78, INDEX(AsistenciaJetAdminConcatenada!$D:$D, MATCH(1, (AsistenciaJetAdminConcatenada!$A:$A=CA$2)*(AsistenciaJetAdminConcatenada!$B:$B=CA$1), 0)), 1))),  0.5, 0))</f>
        <v>1</v>
      </c>
      <c r="CB78" s="47">
        <f t="array" ref="CB78">IF(AND(ISNUMBER(MATCH(CB$2, AsistenciaJetAdminConcatenada!$A:$A, 0)), ISNUMBER(MATCH(CB$1, AsistenciaJetAdminConcatenada!$B:$B, 0)), ISNUMBER(SEARCH($A78,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ISNUMBER(SEARCH($A78, INDEX(AsistenciaJetAdminConcatenada!$D:$D, MATCH(1, (AsistenciaJetAdminConcatenada!$A:$A=CB$2)*(AsistenciaJetAdminConcatenada!$B:$B=CB$1), 0)), 1))),  0.5, 0))</f>
        <v>0</v>
      </c>
      <c r="CC78" s="47">
        <f t="array" ref="CC78">IF(AND(ISNUMBER(MATCH(CC$2, AsistenciaJetAdminConcatenada!$A:$A, 0)), ISNUMBER(MATCH(CC$1, AsistenciaJetAdminConcatenada!$B:$B, 0)), ISNUMBER(SEARCH($A78,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ISNUMBER(SEARCH($A78, INDEX(AsistenciaJetAdminConcatenada!$D:$D, MATCH(1, (AsistenciaJetAdminConcatenada!$A:$A=CC$2)*(AsistenciaJetAdminConcatenada!$B:$B=CC$1), 0)), 1))),  0.5, 0))</f>
        <v>1</v>
      </c>
      <c r="CD78" s="47">
        <f t="array" ref="CD78">IF(AND(ISNUMBER(MATCH(CD$2, AsistenciaJetAdminConcatenada!$A:$A, 0)), ISNUMBER(MATCH(CD$1, AsistenciaJetAdminConcatenada!$B:$B, 0)), ISNUMBER(SEARCH($A78,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ISNUMBER(SEARCH($A78, INDEX(AsistenciaJetAdminConcatenada!$D:$D, MATCH(1, (AsistenciaJetAdminConcatenada!$A:$A=CD$2)*(AsistenciaJetAdminConcatenada!$B:$B=CD$1), 0)), 1))),  0.5, 0))</f>
        <v>1</v>
      </c>
      <c r="CE78" s="47">
        <f t="array" ref="CE78">IF(AND(ISNUMBER(MATCH(CE$2, AsistenciaJetAdminConcatenada!$A:$A, 0)), ISNUMBER(MATCH(CE$1, AsistenciaJetAdminConcatenada!$B:$B, 0)), ISNUMBER(SEARCH($A78,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ISNUMBER(SEARCH($A78, INDEX(AsistenciaJetAdminConcatenada!$D:$D, MATCH(1, (AsistenciaJetAdminConcatenada!$A:$A=CE$2)*(AsistenciaJetAdminConcatenada!$B:$B=CE$1), 0)), 1))),  0.5, 0))</f>
        <v>1</v>
      </c>
      <c r="CF78" s="47">
        <f t="array" ref="CF78">IF(AND(ISNUMBER(MATCH(CF$2, AsistenciaJetAdminConcatenada!$A:$A, 0)), ISNUMBER(MATCH(CF$1, AsistenciaJetAdminConcatenada!$B:$B, 0)), ISNUMBER(SEARCH($A78,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ISNUMBER(SEARCH($A78, INDEX(AsistenciaJetAdminConcatenada!$D:$D, MATCH(1, (AsistenciaJetAdminConcatenada!$A:$A=CF$2)*(AsistenciaJetAdminConcatenada!$B:$B=CF$1), 0)), 1))),  0.5, 0))</f>
        <v>1</v>
      </c>
      <c r="CG78" s="47">
        <f t="array" ref="CG78">IF(AND(ISNUMBER(MATCH(CG$2, AsistenciaJetAdminConcatenada!$A:$A, 0)), ISNUMBER(MATCH(CG$1, AsistenciaJetAdminConcatenada!$B:$B, 0)), ISNUMBER(SEARCH($A78,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ISNUMBER(SEARCH($A78, INDEX(AsistenciaJetAdminConcatenada!$D:$D, MATCH(1, (AsistenciaJetAdminConcatenada!$A:$A=CG$2)*(AsistenciaJetAdminConcatenada!$B:$B=CG$1), 0)), 1))),  0.5, 0))</f>
        <v>1</v>
      </c>
      <c r="CH78" s="47">
        <f t="array" ref="CH78">IF(AND(ISNUMBER(MATCH(CH$2, AsistenciaJetAdminConcatenada!$A:$A, 0)), ISNUMBER(MATCH(CH$1, AsistenciaJetAdminConcatenada!$B:$B, 0)), ISNUMBER(SEARCH($A78,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ISNUMBER(SEARCH($A78, INDEX(AsistenciaJetAdminConcatenada!$D:$D, MATCH(1, (AsistenciaJetAdminConcatenada!$A:$A=CH$2)*(AsistenciaJetAdminConcatenada!$B:$B=CH$1), 0)), 1))),  0.5, 0))</f>
        <v>1</v>
      </c>
      <c r="CI78" s="47">
        <f t="array" ref="CI78">IF(AND(ISNUMBER(MATCH(CI$2, AsistenciaJetAdminConcatenada!$A:$A, 0)), ISNUMBER(MATCH(CI$1, AsistenciaJetAdminConcatenada!$B:$B, 0)), ISNUMBER(SEARCH($A78,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ISNUMBER(SEARCH($A78, INDEX(AsistenciaJetAdminConcatenada!$D:$D, MATCH(1, (AsistenciaJetAdminConcatenada!$A:$A=CI$2)*(AsistenciaJetAdminConcatenada!$B:$B=CI$1), 0)), 1))),  0.5, 0))</f>
        <v>1</v>
      </c>
      <c r="CJ78" s="47">
        <f t="array" ref="CJ78">IF(AND(ISNUMBER(MATCH(CJ$2, AsistenciaJetAdminConcatenada!$A:$A, 0)), ISNUMBER(MATCH(CJ$1, AsistenciaJetAdminConcatenada!$B:$B, 0)), ISNUMBER(SEARCH($A78,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ISNUMBER(SEARCH($A78, INDEX(AsistenciaJetAdminConcatenada!$D:$D, MATCH(1, (AsistenciaJetAdminConcatenada!$A:$A=CJ$2)*(AsistenciaJetAdminConcatenada!$B:$B=CJ$1), 0)), 1))),  0.5, 0))</f>
        <v>1</v>
      </c>
      <c r="CK78" s="47">
        <f t="array" ref="CK78">IF(AND(ISNUMBER(MATCH(CK$2, AsistenciaJetAdminConcatenada!$A:$A, 0)), ISNUMBER(MATCH(CK$1, AsistenciaJetAdminConcatenada!$B:$B, 0)), ISNUMBER(SEARCH($A78,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ISNUMBER(SEARCH($A78, INDEX(AsistenciaJetAdminConcatenada!$D:$D, MATCH(1, (AsistenciaJetAdminConcatenada!$A:$A=CK$2)*(AsistenciaJetAdminConcatenada!$B:$B=CK$1), 0)), 1))),  0.5, 0))</f>
        <v>1</v>
      </c>
      <c r="CL78" s="47">
        <f t="array" ref="CL78">IF(AND(ISNUMBER(MATCH(CL$2, AsistenciaJetAdminConcatenada!$A:$A, 0)), ISNUMBER(MATCH(CL$1, AsistenciaJetAdminConcatenada!$B:$B, 0)), ISNUMBER(SEARCH($A78,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ISNUMBER(SEARCH($A78, INDEX(AsistenciaJetAdminConcatenada!$D:$D, MATCH(1, (AsistenciaJetAdminConcatenada!$A:$A=CL$2)*(AsistenciaJetAdminConcatenada!$B:$B=CL$1), 0)), 1))),  0.5, 0))</f>
        <v>1</v>
      </c>
      <c r="CM78" s="47">
        <f t="array" ref="CM78">IF(AND(ISNUMBER(MATCH(CM$2, AsistenciaJetAdminConcatenada!$A:$A, 0)), ISNUMBER(MATCH(CM$1, AsistenciaJetAdminConcatenada!$B:$B, 0)), ISNUMBER(SEARCH($A78,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ISNUMBER(SEARCH($A78, INDEX(AsistenciaJetAdminConcatenada!$D:$D, MATCH(1, (AsistenciaJetAdminConcatenada!$A:$A=CM$2)*(AsistenciaJetAdminConcatenada!$B:$B=CM$1), 0)), 1))),  0.5, 0))</f>
        <v>1</v>
      </c>
      <c r="CN78" s="47">
        <f t="array" ref="CN78">IF(AND(ISNUMBER(MATCH(CN$2, AsistenciaJetAdminConcatenada!$A:$A, 0)), ISNUMBER(MATCH(CN$1, AsistenciaJetAdminConcatenada!$B:$B, 0)), ISNUMBER(SEARCH($A78,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ISNUMBER(SEARCH($A78, INDEX(AsistenciaJetAdminConcatenada!$D:$D, MATCH(1, (AsistenciaJetAdminConcatenada!$A:$A=CN$2)*(AsistenciaJetAdminConcatenada!$B:$B=CN$1), 0)), 1))),  0.5, 0))</f>
        <v>1</v>
      </c>
      <c r="CO78" s="47">
        <f t="array" ref="CO78">IF(AND(ISNUMBER(MATCH(CO$2, AsistenciaJetAdminConcatenada!$A:$A, 0)), ISNUMBER(MATCH(CO$1, AsistenciaJetAdminConcatenada!$B:$B, 0)), ISNUMBER(SEARCH($A78,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ISNUMBER(SEARCH($A78, INDEX(AsistenciaJetAdminConcatenada!$D:$D, MATCH(1, (AsistenciaJetAdminConcatenada!$A:$A=CO$2)*(AsistenciaJetAdminConcatenada!$B:$B=CO$1), 0)), 1))),  0.5, 0))</f>
        <v>1</v>
      </c>
      <c r="CP78" s="47">
        <f t="array" ref="CP78">IF(AND(ISNUMBER(MATCH(CP$2, AsistenciaJetAdminConcatenada!$A:$A, 0)), ISNUMBER(MATCH(CP$1, AsistenciaJetAdminConcatenada!$B:$B, 0)), ISNUMBER(SEARCH($A78,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ISNUMBER(SEARCH($A78, INDEX(AsistenciaJetAdminConcatenada!$D:$D, MATCH(1, (AsistenciaJetAdminConcatenada!$A:$A=CP$2)*(AsistenciaJetAdminConcatenada!$B:$B=CP$1), 0)), 1))),  0.5, 0))</f>
        <v>1</v>
      </c>
      <c r="CQ78" s="47">
        <f t="array" ref="CQ78">IF(AND(ISNUMBER(MATCH(CQ$2, AsistenciaJetAdminConcatenada!$A:$A, 0)), ISNUMBER(MATCH(CQ$1, AsistenciaJetAdminConcatenada!$B:$B, 0)), ISNUMBER(SEARCH($A78,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ISNUMBER(SEARCH($A78, INDEX(AsistenciaJetAdminConcatenada!$D:$D, MATCH(1, (AsistenciaJetAdminConcatenada!$A:$A=CQ$2)*(AsistenciaJetAdminConcatenada!$B:$B=CQ$1), 0)), 1))),  0.5, 0))</f>
        <v>1</v>
      </c>
      <c r="CR78" s="47">
        <f t="array" ref="CR78">IF(AND(ISNUMBER(MATCH(CR$2, AsistenciaJetAdminConcatenada!$A:$A, 0)), ISNUMBER(MATCH(CR$1, AsistenciaJetAdminConcatenada!$B:$B, 0)), ISNUMBER(SEARCH($A78,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ISNUMBER(SEARCH($A78, INDEX(AsistenciaJetAdminConcatenada!$D:$D, MATCH(1, (AsistenciaJetAdminConcatenada!$A:$A=CR$2)*(AsistenciaJetAdminConcatenada!$B:$B=CR$1), 0)), 1))),  0.5, 0))</f>
        <v>1</v>
      </c>
      <c r="CS78" s="47">
        <f t="array" ref="CS78">IF(AND(ISNUMBER(MATCH(CS$2, AsistenciaJetAdminConcatenada!$A:$A, 0)), ISNUMBER(MATCH(CS$1, AsistenciaJetAdminConcatenada!$B:$B, 0)), ISNUMBER(SEARCH($A78,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ISNUMBER(SEARCH($A78, INDEX(AsistenciaJetAdminConcatenada!$D:$D, MATCH(1, (AsistenciaJetAdminConcatenada!$A:$A=CS$2)*(AsistenciaJetAdminConcatenada!$B:$B=CS$1), 0)), 1))),  0.5, 0))</f>
        <v>0</v>
      </c>
      <c r="CT78" s="47">
        <f t="array" ref="CT78">IF(AND(ISNUMBER(MATCH(CT$2, AsistenciaJetAdminConcatenada!$A:$A, 0)), ISNUMBER(MATCH(CT$1, AsistenciaJetAdminConcatenada!$B:$B, 0)), ISNUMBER(SEARCH($A78,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ISNUMBER(SEARCH($A78, INDEX(AsistenciaJetAdminConcatenada!$D:$D, MATCH(1, (AsistenciaJetAdminConcatenada!$A:$A=CT$2)*(AsistenciaJetAdminConcatenada!$B:$B=CT$1), 0)), 1))),  0.5, 0))</f>
        <v>0</v>
      </c>
      <c r="CU78" s="47">
        <f t="array" ref="CU78">IF(AND(ISNUMBER(MATCH(CU$2, AsistenciaJetAdminConcatenada!$A:$A, 0)), ISNUMBER(MATCH(CU$1, AsistenciaJetAdminConcatenada!$B:$B, 0)), ISNUMBER(SEARCH($A78,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ISNUMBER(SEARCH($A78, INDEX(AsistenciaJetAdminConcatenada!$D:$D, MATCH(1, (AsistenciaJetAdminConcatenada!$A:$A=CU$2)*(AsistenciaJetAdminConcatenada!$B:$B=CU$1), 0)), 1))),  0.5, 0))</f>
        <v>0</v>
      </c>
      <c r="CV78" s="47">
        <f t="array" ref="CV78">IF(AND(ISNUMBER(MATCH(CV$2, AsistenciaJetAdminConcatenada!$A:$A, 0)), ISNUMBER(MATCH(CV$1, AsistenciaJetAdminConcatenada!$B:$B, 0)), ISNUMBER(SEARCH($A78,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ISNUMBER(SEARCH($A78, INDEX(AsistenciaJetAdminConcatenada!$D:$D, MATCH(1, (AsistenciaJetAdminConcatenada!$A:$A=CV$2)*(AsistenciaJetAdminConcatenada!$B:$B=CV$1), 0)), 1))),  0.5, 0))</f>
        <v>0</v>
      </c>
      <c r="CW78" s="47">
        <f t="array" ref="CW78">IF(AND(ISNUMBER(MATCH(CW$2, AsistenciaJetAdminConcatenada!$A:$A, 0)), ISNUMBER(MATCH(CW$1, AsistenciaJetAdminConcatenada!$B:$B, 0)), ISNUMBER(SEARCH($A78,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ISNUMBER(SEARCH($A78, INDEX(AsistenciaJetAdminConcatenada!$D:$D, MATCH(1, (AsistenciaJetAdminConcatenada!$A:$A=CW$2)*(AsistenciaJetAdminConcatenada!$B:$B=CW$1), 0)), 1))),  0.5, 0))</f>
        <v>0</v>
      </c>
      <c r="CX78" s="47">
        <f t="array" ref="CX78">IF(AND(ISNUMBER(MATCH(CX$2, AsistenciaJetAdminConcatenada!$A:$A, 0)), ISNUMBER(MATCH(CX$1, AsistenciaJetAdminConcatenada!$B:$B, 0)), ISNUMBER(SEARCH($A78,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ISNUMBER(SEARCH($A78, INDEX(AsistenciaJetAdminConcatenada!$D:$D, MATCH(1, (AsistenciaJetAdminConcatenada!$A:$A=CX$2)*(AsistenciaJetAdminConcatenada!$B:$B=CX$1), 0)), 1))),  0.5, 0))</f>
        <v>0</v>
      </c>
      <c r="CY78" s="47">
        <f t="array" ref="CY78">IF(AND(ISNUMBER(MATCH(CY$2, AsistenciaJetAdminConcatenada!$A:$A, 0)), ISNUMBER(MATCH(CY$1, AsistenciaJetAdminConcatenada!$B:$B, 0)), ISNUMBER(SEARCH($A78,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ISNUMBER(SEARCH($A78, INDEX(AsistenciaJetAdminConcatenada!$D:$D, MATCH(1, (AsistenciaJetAdminConcatenada!$A:$A=CY$2)*(AsistenciaJetAdminConcatenada!$B:$B=CY$1), 0)), 1))),  0.5, 0))</f>
        <v>0</v>
      </c>
      <c r="CZ78" s="47">
        <f t="array" ref="CZ78">IF(AND(ISNUMBER(MATCH(CZ$2, AsistenciaJetAdminConcatenada!$A:$A, 0)), ISNUMBER(MATCH(CZ$1, AsistenciaJetAdminConcatenada!$B:$B, 0)), ISNUMBER(SEARCH($A78,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ISNUMBER(SEARCH($A78, INDEX(AsistenciaJetAdminConcatenada!$D:$D, MATCH(1, (AsistenciaJetAdminConcatenada!$A:$A=CZ$2)*(AsistenciaJetAdminConcatenada!$B:$B=CZ$1), 0)), 1))),  0.5, 0))</f>
        <v>0</v>
      </c>
      <c r="DA78" s="47">
        <f t="array" ref="DA78">IF(AND(ISNUMBER(MATCH(DA$2, AsistenciaJetAdminConcatenada!$A:$A, 0)), ISNUMBER(MATCH(DA$1, AsistenciaJetAdminConcatenada!$B:$B, 0)), ISNUMBER(SEARCH($A78,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ISNUMBER(SEARCH($A78, INDEX(AsistenciaJetAdminConcatenada!$D:$D, MATCH(1, (AsistenciaJetAdminConcatenada!$A:$A=DA$2)*(AsistenciaJetAdminConcatenada!$B:$B=DA$1), 0)), 1))),  0.5, 0))</f>
        <v>0</v>
      </c>
      <c r="DB78" s="47">
        <f t="array" ref="DB78">IF(AND(ISNUMBER(MATCH(DB$2, AsistenciaJetAdminConcatenada!$A:$A, 0)), ISNUMBER(MATCH(DB$1, AsistenciaJetAdminConcatenada!$B:$B, 0)), ISNUMBER(SEARCH($A78,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ISNUMBER(SEARCH($A78, INDEX(AsistenciaJetAdminConcatenada!$D:$D, MATCH(1, (AsistenciaJetAdminConcatenada!$A:$A=DB$2)*(AsistenciaJetAdminConcatenada!$B:$B=DB$1), 0)), 1))),  0.5, 0))</f>
        <v>0</v>
      </c>
      <c r="DC78" s="47">
        <f t="array" ref="DC78">IF(AND(ISNUMBER(MATCH(DC$2, AsistenciaJetAdminConcatenada!$A:$A, 0)), ISNUMBER(MATCH(DC$1, AsistenciaJetAdminConcatenada!$B:$B, 0)), ISNUMBER(SEARCH($A78,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ISNUMBER(SEARCH($A78, INDEX(AsistenciaJetAdminConcatenada!$D:$D, MATCH(1, (AsistenciaJetAdminConcatenada!$A:$A=DC$2)*(AsistenciaJetAdminConcatenada!$B:$B=DC$1), 0)), 1))),  0.5, 0))</f>
        <v>0</v>
      </c>
      <c r="DD78" s="47">
        <f t="array" ref="DD78">IF(AND(ISNUMBER(MATCH(DD$2, AsistenciaJetAdminConcatenada!$A:$A, 0)), ISNUMBER(MATCH(DD$1, AsistenciaJetAdminConcatenada!$B:$B, 0)), ISNUMBER(SEARCH($A78,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ISNUMBER(SEARCH($A78, INDEX(AsistenciaJetAdminConcatenada!$D:$D, MATCH(1, (AsistenciaJetAdminConcatenada!$A:$A=DD$2)*(AsistenciaJetAdminConcatenada!$B:$B=DD$1), 0)), 1))),  0.5, 0))</f>
        <v>0</v>
      </c>
      <c r="DE78" s="47">
        <f t="array" ref="DE78">IF(AND(ISNUMBER(MATCH(DE$2, AsistenciaJetAdminConcatenada!$A:$A, 0)), ISNUMBER(MATCH(DE$1, AsistenciaJetAdminConcatenada!$B:$B, 0)), ISNUMBER(SEARCH($A78,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ISNUMBER(SEARCH($A78, INDEX(AsistenciaJetAdminConcatenada!$D:$D, MATCH(1, (AsistenciaJetAdminConcatenada!$A:$A=DE$2)*(AsistenciaJetAdminConcatenada!$B:$B=DE$1), 0)), 1))),  0.5, 0))</f>
        <v>0</v>
      </c>
      <c r="DF78" s="47">
        <f t="array" ref="DF78">IF(AND(ISNUMBER(MATCH(DF$2, AsistenciaJetAdminConcatenada!$A:$A, 0)), ISNUMBER(MATCH(DF$1, AsistenciaJetAdminConcatenada!$B:$B, 0)), ISNUMBER(SEARCH($A78,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ISNUMBER(SEARCH($A78, INDEX(AsistenciaJetAdminConcatenada!$D:$D, MATCH(1, (AsistenciaJetAdminConcatenada!$A:$A=DF$2)*(AsistenciaJetAdminConcatenada!$B:$B=DF$1), 0)), 1))),  0.5, 0))</f>
        <v>0</v>
      </c>
      <c r="DG78" s="47">
        <f t="array" ref="DG78">IF(AND(ISNUMBER(MATCH(DG$2, AsistenciaJetAdminConcatenada!$A:$A, 0)), ISNUMBER(MATCH(DG$1, AsistenciaJetAdminConcatenada!$B:$B, 0)), ISNUMBER(SEARCH($A78,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ISNUMBER(SEARCH($A78, INDEX(AsistenciaJetAdminConcatenada!$D:$D, MATCH(1, (AsistenciaJetAdminConcatenada!$A:$A=DG$2)*(AsistenciaJetAdminConcatenada!$B:$B=DG$1), 0)), 1))),  0.5, 0))</f>
        <v>0</v>
      </c>
      <c r="DH78" s="47">
        <f t="array" ref="DH78">IF(AND(ISNUMBER(MATCH(DH$2, AsistenciaJetAdminConcatenada!$A:$A, 0)), ISNUMBER(MATCH(DH$1, AsistenciaJetAdminConcatenada!$B:$B, 0)), ISNUMBER(SEARCH($A78,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ISNUMBER(SEARCH($A78, INDEX(AsistenciaJetAdminConcatenada!$D:$D, MATCH(1, (AsistenciaJetAdminConcatenada!$A:$A=DH$2)*(AsistenciaJetAdminConcatenada!$B:$B=DH$1), 0)), 1))),  0.5, 0))</f>
        <v>0</v>
      </c>
      <c r="DI78" s="47">
        <f t="array" ref="DI78">IF(AND(ISNUMBER(MATCH(DI$2, AsistenciaJetAdminConcatenada!$A:$A, 0)), ISNUMBER(MATCH(DI$1, AsistenciaJetAdminConcatenada!$B:$B, 0)), ISNUMBER(SEARCH($A78,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ISNUMBER(SEARCH($A78, INDEX(AsistenciaJetAdminConcatenada!$D:$D, MATCH(1, (AsistenciaJetAdminConcatenada!$A:$A=DI$2)*(AsistenciaJetAdminConcatenada!$B:$B=DI$1), 0)), 1))),  0.5, 0))</f>
        <v>0</v>
      </c>
      <c r="DJ78" s="47">
        <f t="array" ref="DJ78">IF(AND(ISNUMBER(MATCH(DJ$2, AsistenciaJetAdminConcatenada!$A:$A, 0)), ISNUMBER(MATCH(DJ$1, AsistenciaJetAdminConcatenada!$B:$B, 0)), ISNUMBER(SEARCH($A78,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ISNUMBER(SEARCH($A78, INDEX(AsistenciaJetAdminConcatenada!$D:$D, MATCH(1, (AsistenciaJetAdminConcatenada!$A:$A=DJ$2)*(AsistenciaJetAdminConcatenada!$B:$B=DJ$1), 0)), 1))),  0.5, 0))</f>
        <v>0</v>
      </c>
      <c r="DK78" s="47">
        <f t="array" ref="DK78">IF(AND(ISNUMBER(MATCH(DK$2, AsistenciaJetAdminConcatenada!$A:$A, 0)), ISNUMBER(MATCH(DK$1, AsistenciaJetAdminConcatenada!$B:$B, 0)), ISNUMBER(SEARCH($A78,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ISNUMBER(SEARCH($A78, INDEX(AsistenciaJetAdminConcatenada!$D:$D, MATCH(1, (AsistenciaJetAdminConcatenada!$A:$A=DK$2)*(AsistenciaJetAdminConcatenada!$B:$B=DK$1), 0)), 1))),  0.5, 0))</f>
        <v>0</v>
      </c>
      <c r="DL78" s="47">
        <f t="array" ref="DL78">IF(AND(ISNUMBER(MATCH(DL$2, AsistenciaJetAdminConcatenada!$A:$A, 0)), ISNUMBER(MATCH(DL$1, AsistenciaJetAdminConcatenada!$B:$B, 0)), ISNUMBER(SEARCH($A78,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ISNUMBER(SEARCH($A78, INDEX(AsistenciaJetAdminConcatenada!$D:$D, MATCH(1, (AsistenciaJetAdminConcatenada!$A:$A=DL$2)*(AsistenciaJetAdminConcatenada!$B:$B=DL$1), 0)), 1))),  0.5, 0))</f>
        <v>0</v>
      </c>
      <c r="DM78" s="47">
        <f t="array" ref="DM78">IF(AND(ISNUMBER(MATCH(DM$2, AsistenciaJetAdminConcatenada!$A:$A, 0)), ISNUMBER(MATCH(DM$1, AsistenciaJetAdminConcatenada!$B:$B, 0)), ISNUMBER(SEARCH($A78,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ISNUMBER(SEARCH($A78, INDEX(AsistenciaJetAdminConcatenada!$D:$D, MATCH(1, (AsistenciaJetAdminConcatenada!$A:$A=DM$2)*(AsistenciaJetAdminConcatenada!$B:$B=DM$1), 0)), 1))),  0.5, 0))</f>
        <v>0</v>
      </c>
      <c r="DN78" s="47">
        <f t="array" ref="DN78">IF(AND(ISNUMBER(MATCH(DN$2, AsistenciaJetAdminConcatenada!$A:$A, 0)), ISNUMBER(MATCH(DN$1, AsistenciaJetAdminConcatenada!$B:$B, 0)), ISNUMBER(SEARCH($A78,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ISNUMBER(SEARCH($A78, INDEX(AsistenciaJetAdminConcatenada!$D:$D, MATCH(1, (AsistenciaJetAdminConcatenada!$A:$A=DN$2)*(AsistenciaJetAdminConcatenada!$B:$B=DN$1), 0)), 1))),  0.5, 0))</f>
        <v>0</v>
      </c>
      <c r="DO78" s="47">
        <f t="array" ref="DO78">IF(AND(ISNUMBER(MATCH(DO$2, AsistenciaJetAdminConcatenada!$A:$A, 0)), ISNUMBER(MATCH(DO$1, AsistenciaJetAdminConcatenada!$B:$B, 0)), ISNUMBER(SEARCH($A78,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ISNUMBER(SEARCH($A78, INDEX(AsistenciaJetAdminConcatenada!$D:$D, MATCH(1, (AsistenciaJetAdminConcatenada!$A:$A=DO$2)*(AsistenciaJetAdminConcatenada!$B:$B=DO$1), 0)), 1))),  0.5, 0))</f>
        <v>0</v>
      </c>
      <c r="DP78" s="47">
        <f t="array" ref="DP78">IF(AND(ISNUMBER(MATCH(DP$2, AsistenciaJetAdminConcatenada!$A:$A, 0)), ISNUMBER(MATCH(DP$1, AsistenciaJetAdminConcatenada!$B:$B, 0)), ISNUMBER(SEARCH($A78,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ISNUMBER(SEARCH($A78, INDEX(AsistenciaJetAdminConcatenada!$D:$D, MATCH(1, (AsistenciaJetAdminConcatenada!$A:$A=DP$2)*(AsistenciaJetAdminConcatenada!$B:$B=DP$1), 0)), 1))),  0.5, 0))</f>
        <v>0</v>
      </c>
      <c r="DQ78" s="47">
        <f t="array" ref="DQ78">IF(AND(ISNUMBER(MATCH(DQ$2, AsistenciaJetAdminConcatenada!$A:$A, 0)), ISNUMBER(MATCH(DQ$1, AsistenciaJetAdminConcatenada!$B:$B, 0)), ISNUMBER(SEARCH($A78,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ISNUMBER(SEARCH($A78, INDEX(AsistenciaJetAdminConcatenada!$D:$D, MATCH(1, (AsistenciaJetAdminConcatenada!$A:$A=DQ$2)*(AsistenciaJetAdminConcatenada!$B:$B=DQ$1), 0)), 1))),  0.5, 0))</f>
        <v>0</v>
      </c>
      <c r="DR78" s="47">
        <f t="array" ref="DR78">IF(AND(ISNUMBER(MATCH(DR$2, AsistenciaJetAdminConcatenada!$A:$A, 0)), ISNUMBER(MATCH(DR$1, AsistenciaJetAdminConcatenada!$B:$B, 0)), ISNUMBER(SEARCH($A78,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ISNUMBER(SEARCH($A78, INDEX(AsistenciaJetAdminConcatenada!$D:$D, MATCH(1, (AsistenciaJetAdminConcatenada!$A:$A=DR$2)*(AsistenciaJetAdminConcatenada!$B:$B=DR$1), 0)), 1))),  0.5, 0))</f>
        <v>0</v>
      </c>
      <c r="DS78" s="47">
        <f t="array" ref="DS78">IF(AND(ISNUMBER(MATCH(DS$2, AsistenciaJetAdminConcatenada!$A:$A, 0)), ISNUMBER(MATCH(DS$1, AsistenciaJetAdminConcatenada!$B:$B, 0)), ISNUMBER(SEARCH($A78,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ISNUMBER(SEARCH($A78, INDEX(AsistenciaJetAdminConcatenada!$D:$D, MATCH(1, (AsistenciaJetAdminConcatenada!$A:$A=DS$2)*(AsistenciaJetAdminConcatenada!$B:$B=DS$1), 0)), 1))),  0.5, 0))</f>
        <v>0</v>
      </c>
      <c r="DT78" s="47">
        <f t="array" ref="DT78">IF(AND(ISNUMBER(MATCH(DT$2, AsistenciaJetAdminConcatenada!$A:$A, 0)), ISNUMBER(MATCH(DT$1, AsistenciaJetAdminConcatenada!$B:$B, 0)), ISNUMBER(SEARCH($A78,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ISNUMBER(SEARCH($A78, INDEX(AsistenciaJetAdminConcatenada!$D:$D, MATCH(1, (AsistenciaJetAdminConcatenada!$A:$A=DT$2)*(AsistenciaJetAdminConcatenada!$B:$B=DT$1), 0)), 1))),  0.5, 0))</f>
        <v>0</v>
      </c>
      <c r="DU78" s="47">
        <f t="array" ref="DU78">IF(AND(ISNUMBER(MATCH(DU$2, AsistenciaJetAdminConcatenada!$A:$A, 0)), ISNUMBER(MATCH(DU$1, AsistenciaJetAdminConcatenada!$B:$B, 0)), ISNUMBER(SEARCH($A78,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ISNUMBER(SEARCH($A78, INDEX(AsistenciaJetAdminConcatenada!$D:$D, MATCH(1, (AsistenciaJetAdminConcatenada!$A:$A=DU$2)*(AsistenciaJetAdminConcatenada!$B:$B=DU$1), 0)), 1))),  0.5, 0))</f>
        <v>0</v>
      </c>
      <c r="DV78" s="47">
        <f t="array" ref="DV78">IF(AND(ISNUMBER(MATCH(DV$2, AsistenciaJetAdminConcatenada!$A:$A, 0)), ISNUMBER(MATCH(DV$1, AsistenciaJetAdminConcatenada!$B:$B, 0)), ISNUMBER(SEARCH($A78,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ISNUMBER(SEARCH($A78, INDEX(AsistenciaJetAdminConcatenada!$D:$D, MATCH(1, (AsistenciaJetAdminConcatenada!$A:$A=DV$2)*(AsistenciaJetAdminConcatenada!$B:$B=DV$1), 0)), 1))),  0.5, 0))</f>
        <v>0</v>
      </c>
      <c r="DW78" s="47">
        <f t="array" ref="DW78">IF(AND(ISNUMBER(MATCH(DW$2, AsistenciaJetAdminConcatenada!$A:$A, 0)), ISNUMBER(MATCH(DW$1, AsistenciaJetAdminConcatenada!$B:$B, 0)), ISNUMBER(SEARCH($A78,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ISNUMBER(SEARCH($A78, INDEX(AsistenciaJetAdminConcatenada!$D:$D, MATCH(1, (AsistenciaJetAdminConcatenada!$A:$A=DW$2)*(AsistenciaJetAdminConcatenada!$B:$B=DW$1), 0)), 1))),  0.5, 0))</f>
        <v>0</v>
      </c>
      <c r="DX78" s="47">
        <f t="array" ref="DX78">IF(AND(ISNUMBER(MATCH(DX$2, AsistenciaJetAdminConcatenada!$A:$A, 0)), ISNUMBER(MATCH(DX$1, AsistenciaJetAdminConcatenada!$B:$B, 0)), ISNUMBER(SEARCH($A78,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ISNUMBER(SEARCH($A78, INDEX(AsistenciaJetAdminConcatenada!$D:$D, MATCH(1, (AsistenciaJetAdminConcatenada!$A:$A=DX$2)*(AsistenciaJetAdminConcatenada!$B:$B=DX$1), 0)), 1))),  0.5, 0))</f>
        <v>0</v>
      </c>
      <c r="DY78" s="47">
        <f t="array" ref="DY78">IF(AND(ISNUMBER(MATCH(DY$2, AsistenciaJetAdminConcatenada!$A:$A, 0)), ISNUMBER(MATCH(DY$1, AsistenciaJetAdminConcatenada!$B:$B, 0)), ISNUMBER(SEARCH($A78,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ISNUMBER(SEARCH($A78, INDEX(AsistenciaJetAdminConcatenada!$D:$D, MATCH(1, (AsistenciaJetAdminConcatenada!$A:$A=DY$2)*(AsistenciaJetAdminConcatenada!$B:$B=DY$1), 0)), 1))),  0.5, 0))</f>
        <v>0</v>
      </c>
      <c r="DZ78" s="47">
        <f t="array" ref="DZ78">IF(AND(ISNUMBER(MATCH(DZ$2, AsistenciaJetAdminConcatenada!$A:$A, 0)), ISNUMBER(MATCH(DZ$1, AsistenciaJetAdminConcatenada!$B:$B, 0)), ISNUMBER(SEARCH($A78,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ISNUMBER(SEARCH($A78, INDEX(AsistenciaJetAdminConcatenada!$D:$D, MATCH(1, (AsistenciaJetAdminConcatenada!$A:$A=DZ$2)*(AsistenciaJetAdminConcatenada!$B:$B=DZ$1), 0)), 1))),  0.5, 0))</f>
        <v>0</v>
      </c>
      <c r="EA78" s="47">
        <f t="array" ref="EA78">IF(AND(ISNUMBER(MATCH(EA$2, AsistenciaJetAdminConcatenada!$A:$A, 0)), ISNUMBER(MATCH(EA$1, AsistenciaJetAdminConcatenada!$B:$B, 0)), ISNUMBER(SEARCH($A78,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ISNUMBER(SEARCH($A78, INDEX(AsistenciaJetAdminConcatenada!$D:$D, MATCH(1, (AsistenciaJetAdminConcatenada!$A:$A=EA$2)*(AsistenciaJetAdminConcatenada!$B:$B=EA$1), 0)), 1))),  0.5, 0))</f>
        <v>0</v>
      </c>
      <c r="EB78" s="47">
        <f t="array" ref="EB78">IF(AND(ISNUMBER(MATCH(EB$2, AsistenciaJetAdminConcatenada!$A:$A, 0)), ISNUMBER(MATCH(EB$1, AsistenciaJetAdminConcatenada!$B:$B, 0)), ISNUMBER(SEARCH($A78,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ISNUMBER(SEARCH($A78, INDEX(AsistenciaJetAdminConcatenada!$D:$D, MATCH(1, (AsistenciaJetAdminConcatenada!$A:$A=EB$2)*(AsistenciaJetAdminConcatenada!$B:$B=EB$1), 0)), 1))),  0.5, 0))</f>
        <v>0</v>
      </c>
      <c r="EC78" s="47">
        <f t="array" ref="EC78">IF(AND(ISNUMBER(MATCH(EC$2, AsistenciaJetAdminConcatenada!$A:$A, 0)), ISNUMBER(MATCH(EC$1, AsistenciaJetAdminConcatenada!$B:$B, 0)), ISNUMBER(SEARCH($A78,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ISNUMBER(SEARCH($A78, INDEX(AsistenciaJetAdminConcatenada!$D:$D, MATCH(1, (AsistenciaJetAdminConcatenada!$A:$A=EC$2)*(AsistenciaJetAdminConcatenada!$B:$B=EC$1), 0)), 1))),  0.5, 0))</f>
        <v>0</v>
      </c>
      <c r="ED78" s="47">
        <f t="array" ref="ED78">IF(AND(ISNUMBER(MATCH(ED$2, AsistenciaJetAdminConcatenada!$A:$A, 0)), ISNUMBER(MATCH(ED$1, AsistenciaJetAdminConcatenada!$B:$B, 0)), ISNUMBER(SEARCH($A78,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ISNUMBER(SEARCH($A78, INDEX(AsistenciaJetAdminConcatenada!$D:$D, MATCH(1, (AsistenciaJetAdminConcatenada!$A:$A=ED$2)*(AsistenciaJetAdminConcatenada!$B:$B=ED$1), 0)), 1))),  0.5, 0))</f>
        <v>0</v>
      </c>
      <c r="EE78" s="47">
        <f t="array" ref="EE78">IF(AND(ISNUMBER(MATCH(EE$2, AsistenciaJetAdminConcatenada!$A:$A, 0)), ISNUMBER(MATCH(EE$1, AsistenciaJetAdminConcatenada!$B:$B, 0)), ISNUMBER(SEARCH($A78,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ISNUMBER(SEARCH($A78, INDEX(AsistenciaJetAdminConcatenada!$D:$D, MATCH(1, (AsistenciaJetAdminConcatenada!$A:$A=EE$2)*(AsistenciaJetAdminConcatenada!$B:$B=EE$1), 0)), 1))),  0.5, 0))</f>
        <v>0</v>
      </c>
      <c r="EF78" s="47">
        <f t="array" ref="EF78">IF(AND(ISNUMBER(MATCH(EF$2, AsistenciaJetAdminConcatenada!$A:$A, 0)), ISNUMBER(MATCH(EF$1, AsistenciaJetAdminConcatenada!$B:$B, 0)), ISNUMBER(SEARCH($A78,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ISNUMBER(SEARCH($A78, INDEX(AsistenciaJetAdminConcatenada!$D:$D, MATCH(1, (AsistenciaJetAdminConcatenada!$A:$A=EF$2)*(AsistenciaJetAdminConcatenada!$B:$B=EF$1), 0)), 1))),  0.5, 0))</f>
        <v>0</v>
      </c>
      <c r="EG78" s="47">
        <f t="array" ref="EG78">IF(AND(ISNUMBER(MATCH(EG$2, AsistenciaJetAdminConcatenada!$A:$A, 0)), ISNUMBER(MATCH(EG$1, AsistenciaJetAdminConcatenada!$B:$B, 0)), ISNUMBER(SEARCH($A78,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ISNUMBER(SEARCH($A78, INDEX(AsistenciaJetAdminConcatenada!$D:$D, MATCH(1, (AsistenciaJetAdminConcatenada!$A:$A=EG$2)*(AsistenciaJetAdminConcatenada!$B:$B=EG$1), 0)), 1))),  0.5, 0))</f>
        <v>0</v>
      </c>
      <c r="EH78" s="47">
        <f t="array" ref="EH78">IF(AND(ISNUMBER(MATCH(EH$2, AsistenciaJetAdminConcatenada!$A:$A, 0)), ISNUMBER(MATCH(EH$1, AsistenciaJetAdminConcatenada!$B:$B, 0)), ISNUMBER(SEARCH($A78,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ISNUMBER(SEARCH($A78, INDEX(AsistenciaJetAdminConcatenada!$D:$D, MATCH(1, (AsistenciaJetAdminConcatenada!$A:$A=EH$2)*(AsistenciaJetAdminConcatenada!$B:$B=EH$1), 0)), 1))),  0.5, 0))</f>
        <v>0</v>
      </c>
      <c r="EI78" s="47">
        <f t="array" ref="EI78">IF(AND(ISNUMBER(MATCH(EI$2, AsistenciaJetAdminConcatenada!$A:$A, 0)), ISNUMBER(MATCH(EI$1, AsistenciaJetAdminConcatenada!$B:$B, 0)), ISNUMBER(SEARCH($A78,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ISNUMBER(SEARCH($A78, INDEX(AsistenciaJetAdminConcatenada!$D:$D, MATCH(1, (AsistenciaJetAdminConcatenada!$A:$A=EI$2)*(AsistenciaJetAdminConcatenada!$B:$B=EI$1), 0)), 1))),  0.5, 0))</f>
        <v>0</v>
      </c>
      <c r="EJ78" s="47">
        <f t="array" ref="EJ78">IF(AND(ISNUMBER(MATCH(EJ$2, AsistenciaJetAdminConcatenada!$A:$A, 0)), ISNUMBER(MATCH(EJ$1, AsistenciaJetAdminConcatenada!$B:$B, 0)), ISNUMBER(SEARCH($A78,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ISNUMBER(SEARCH($A78, INDEX(AsistenciaJetAdminConcatenada!$D:$D, MATCH(1, (AsistenciaJetAdminConcatenada!$A:$A=EJ$2)*(AsistenciaJetAdminConcatenada!$B:$B=EJ$1), 0)), 1))),  0.5, 0))</f>
        <v>0</v>
      </c>
      <c r="EK78" s="47">
        <f t="array" ref="EK78">IF(AND(ISNUMBER(MATCH(EK$2, AsistenciaJetAdminConcatenada!$A:$A, 0)), ISNUMBER(MATCH(EK$1, AsistenciaJetAdminConcatenada!$B:$B, 0)), ISNUMBER(SEARCH($A78,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ISNUMBER(SEARCH($A78, INDEX(AsistenciaJetAdminConcatenada!$D:$D, MATCH(1, (AsistenciaJetAdminConcatenada!$A:$A=EK$2)*(AsistenciaJetAdminConcatenada!$B:$B=EK$1), 0)), 1))),  0.5, 0))</f>
        <v>0</v>
      </c>
      <c r="EL78" s="47">
        <f t="array" ref="EL78">IF(AND(ISNUMBER(MATCH(EL$2, AsistenciaJetAdminConcatenada!$A:$A, 0)), ISNUMBER(MATCH(EL$1, AsistenciaJetAdminConcatenada!$B:$B, 0)), ISNUMBER(SEARCH($A78,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ISNUMBER(SEARCH($A78, INDEX(AsistenciaJetAdminConcatenada!$D:$D, MATCH(1, (AsistenciaJetAdminConcatenada!$A:$A=EL$2)*(AsistenciaJetAdminConcatenada!$B:$B=EL$1), 0)), 1))),  0.5, 0))</f>
        <v>0</v>
      </c>
      <c r="EM78" s="47">
        <f t="array" ref="EM78">IF(AND(ISNUMBER(MATCH(EM$2, AsistenciaJetAdminConcatenada!$A:$A, 0)), ISNUMBER(MATCH(EM$1, AsistenciaJetAdminConcatenada!$B:$B, 0)), ISNUMBER(SEARCH($A78,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ISNUMBER(SEARCH($A78, INDEX(AsistenciaJetAdminConcatenada!$D:$D, MATCH(1, (AsistenciaJetAdminConcatenada!$A:$A=EM$2)*(AsistenciaJetAdminConcatenada!$B:$B=EM$1), 0)), 1))),  0.5, 0))</f>
        <v>0</v>
      </c>
      <c r="EN78" s="47">
        <f t="array" ref="EN78">IF(AND(ISNUMBER(MATCH(EN$2, AsistenciaJetAdminConcatenada!$A:$A, 0)), ISNUMBER(MATCH(EN$1, AsistenciaJetAdminConcatenada!$B:$B, 0)), ISNUMBER(SEARCH($A78,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ISNUMBER(SEARCH($A78, INDEX(AsistenciaJetAdminConcatenada!$D:$D, MATCH(1, (AsistenciaJetAdminConcatenada!$A:$A=EN$2)*(AsistenciaJetAdminConcatenada!$B:$B=EN$1), 0)), 1))),  0.5, 0))</f>
        <v>0</v>
      </c>
      <c r="EO78" s="47">
        <f t="array" ref="EO78">IF(AND(ISNUMBER(MATCH(EO$2, AsistenciaJetAdminConcatenada!$A:$A, 0)), ISNUMBER(MATCH(EO$1, AsistenciaJetAdminConcatenada!$B:$B, 0)), ISNUMBER(SEARCH($A78,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ISNUMBER(SEARCH($A78, INDEX(AsistenciaJetAdminConcatenada!$D:$D, MATCH(1, (AsistenciaJetAdminConcatenada!$A:$A=EO$2)*(AsistenciaJetAdminConcatenada!$B:$B=EO$1), 0)), 1))),  0.5, 0))</f>
        <v>0</v>
      </c>
      <c r="EP78" s="47">
        <f t="array" ref="EP78">IF(AND(ISNUMBER(MATCH(EP$2, AsistenciaJetAdminConcatenada!$A:$A, 0)), ISNUMBER(MATCH(EP$1, AsistenciaJetAdminConcatenada!$B:$B, 0)), ISNUMBER(SEARCH($A78,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ISNUMBER(SEARCH($A78, INDEX(AsistenciaJetAdminConcatenada!$D:$D, MATCH(1, (AsistenciaJetAdminConcatenada!$A:$A=EP$2)*(AsistenciaJetAdminConcatenada!$B:$B=EP$1), 0)), 1))),  0.5, 0))</f>
        <v>0</v>
      </c>
      <c r="EQ78" s="47">
        <f t="array" ref="EQ78">IF(AND(ISNUMBER(MATCH(EQ$2, AsistenciaJetAdminConcatenada!$A:$A, 0)), ISNUMBER(MATCH(EQ$1, AsistenciaJetAdminConcatenada!$B:$B, 0)), ISNUMBER(SEARCH($A78,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ISNUMBER(SEARCH($A78, INDEX(AsistenciaJetAdminConcatenada!$D:$D, MATCH(1, (AsistenciaJetAdminConcatenada!$A:$A=EQ$2)*(AsistenciaJetAdminConcatenada!$B:$B=EQ$1), 0)), 1))),  0.5, 0))</f>
        <v>0</v>
      </c>
      <c r="ER78" s="47">
        <f t="array" ref="ER78">IF(AND(ISNUMBER(MATCH(ER$2, AsistenciaJetAdminConcatenada!$A:$A, 0)), ISNUMBER(MATCH(ER$1, AsistenciaJetAdminConcatenada!$B:$B, 0)), ISNUMBER(SEARCH($A78,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ISNUMBER(SEARCH($A78, INDEX(AsistenciaJetAdminConcatenada!$D:$D, MATCH(1, (AsistenciaJetAdminConcatenada!$A:$A=ER$2)*(AsistenciaJetAdminConcatenada!$B:$B=ER$1), 0)), 1))),  0.5, 0))</f>
        <v>0</v>
      </c>
      <c r="ES78" s="47">
        <f t="array" ref="ES78">IF(AND(ISNUMBER(MATCH(ES$2, AsistenciaJetAdminConcatenada!$A:$A, 0)), ISNUMBER(MATCH(ES$1, AsistenciaJetAdminConcatenada!$B:$B, 0)), ISNUMBER(SEARCH($A78,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ISNUMBER(SEARCH($A78, INDEX(AsistenciaJetAdminConcatenada!$D:$D, MATCH(1, (AsistenciaJetAdminConcatenada!$A:$A=ES$2)*(AsistenciaJetAdminConcatenada!$B:$B=ES$1), 0)), 1))),  0.5, 0))</f>
        <v>0</v>
      </c>
      <c r="ET78" s="47">
        <f t="array" ref="ET78">IF(AND(ISNUMBER(MATCH(ET$2, AsistenciaJetAdminConcatenada!$A:$A, 0)), ISNUMBER(MATCH(ET$1, AsistenciaJetAdminConcatenada!$B:$B, 0)), ISNUMBER(SEARCH($A78,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ISNUMBER(SEARCH($A78, INDEX(AsistenciaJetAdminConcatenada!$D:$D, MATCH(1, (AsistenciaJetAdminConcatenada!$A:$A=ET$2)*(AsistenciaJetAdminConcatenada!$B:$B=ET$1), 0)), 1))),  0.5, 0))</f>
        <v>0</v>
      </c>
      <c r="EU78" s="47">
        <f t="array" ref="EU78">IF(AND(ISNUMBER(MATCH(EU$2, AsistenciaJetAdminConcatenada!$A:$A, 0)), ISNUMBER(MATCH(EU$1, AsistenciaJetAdminConcatenada!$B:$B, 0)), ISNUMBER(SEARCH($A78,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ISNUMBER(SEARCH($A78, INDEX(AsistenciaJetAdminConcatenada!$D:$D, MATCH(1, (AsistenciaJetAdminConcatenada!$A:$A=EU$2)*(AsistenciaJetAdminConcatenada!$B:$B=EU$1), 0)), 1))),  0.5, 0))</f>
        <v>0</v>
      </c>
      <c r="EV78" s="47">
        <f t="array" ref="EV78">IF(AND(ISNUMBER(MATCH(EV$2, AsistenciaJetAdminConcatenada!$A:$A, 0)), ISNUMBER(MATCH(EV$1, AsistenciaJetAdminConcatenada!$B:$B, 0)), ISNUMBER(SEARCH($A78,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ISNUMBER(SEARCH($A78, INDEX(AsistenciaJetAdminConcatenada!$D:$D, MATCH(1, (AsistenciaJetAdminConcatenada!$A:$A=EV$2)*(AsistenciaJetAdminConcatenada!$B:$B=EV$1), 0)), 1))),  0.5, 0))</f>
        <v>0</v>
      </c>
      <c r="EW78" s="47">
        <f t="array" ref="EW78">IF(AND(ISNUMBER(MATCH(EW$2, AsistenciaJetAdminConcatenada!$A:$A, 0)), ISNUMBER(MATCH(EW$1, AsistenciaJetAdminConcatenada!$B:$B, 0)), ISNUMBER(SEARCH($A78,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ISNUMBER(SEARCH($A78, INDEX(AsistenciaJetAdminConcatenada!$D:$D, MATCH(1, (AsistenciaJetAdminConcatenada!$A:$A=EW$2)*(AsistenciaJetAdminConcatenada!$B:$B=EW$1), 0)), 1))),  0.5, 0))</f>
        <v>0</v>
      </c>
      <c r="EX78" s="47">
        <f t="array" ref="EX78">IF(AND(ISNUMBER(MATCH(EX$2, AsistenciaJetAdminConcatenada!$A:$A, 0)), ISNUMBER(MATCH(EX$1, AsistenciaJetAdminConcatenada!$B:$B, 0)), ISNUMBER(SEARCH($A78,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ISNUMBER(SEARCH($A78, INDEX(AsistenciaJetAdminConcatenada!$D:$D, MATCH(1, (AsistenciaJetAdminConcatenada!$A:$A=EX$2)*(AsistenciaJetAdminConcatenada!$B:$B=EX$1), 0)), 1))),  0.5, 0))</f>
        <v>0</v>
      </c>
      <c r="EY78" s="47">
        <f t="array" ref="EY78">IF(AND(ISNUMBER(MATCH(EY$2, AsistenciaJetAdminConcatenada!$A:$A, 0)), ISNUMBER(MATCH(EY$1, AsistenciaJetAdminConcatenada!$B:$B, 0)), ISNUMBER(SEARCH($A78,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ISNUMBER(SEARCH($A78, INDEX(AsistenciaJetAdminConcatenada!$D:$D, MATCH(1, (AsistenciaJetAdminConcatenada!$A:$A=EY$2)*(AsistenciaJetAdminConcatenada!$B:$B=EY$1), 0)), 1))),  0.5, 0))</f>
        <v>0</v>
      </c>
      <c r="EZ78" s="47">
        <f t="array" ref="EZ78">IF(AND(ISNUMBER(MATCH(EZ$2, AsistenciaJetAdminConcatenada!$A:$A, 0)), ISNUMBER(MATCH(EZ$1, AsistenciaJetAdminConcatenada!$B:$B, 0)), ISNUMBER(SEARCH($A78,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ISNUMBER(SEARCH($A78, INDEX(AsistenciaJetAdminConcatenada!$D:$D, MATCH(1, (AsistenciaJetAdminConcatenada!$A:$A=EZ$2)*(AsistenciaJetAdminConcatenada!$B:$B=EZ$1), 0)), 1))),  0.5, 0))</f>
        <v>0</v>
      </c>
      <c r="FA78" s="47">
        <f t="array" ref="FA78">IF(AND(ISNUMBER(MATCH(FA$2, AsistenciaJetAdminConcatenada!$A:$A, 0)), ISNUMBER(MATCH(FA$1, AsistenciaJetAdminConcatenada!$B:$B, 0)), ISNUMBER(SEARCH($A78,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ISNUMBER(SEARCH($A78, INDEX(AsistenciaJetAdminConcatenada!$D:$D, MATCH(1, (AsistenciaJetAdminConcatenada!$A:$A=FA$2)*(AsistenciaJetAdminConcatenada!$B:$B=FA$1), 0)), 1))),  0.5, 0))</f>
        <v>0</v>
      </c>
      <c r="FB78" s="47">
        <f t="array" ref="FB78">IF(AND(ISNUMBER(MATCH(FB$2, AsistenciaJetAdminConcatenada!$A:$A, 0)), ISNUMBER(MATCH(FB$1, AsistenciaJetAdminConcatenada!$B:$B, 0)), ISNUMBER(SEARCH($A78,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ISNUMBER(SEARCH($A78, INDEX(AsistenciaJetAdminConcatenada!$D:$D, MATCH(1, (AsistenciaJetAdminConcatenada!$A:$A=FB$2)*(AsistenciaJetAdminConcatenada!$B:$B=FB$1), 0)), 1))),  0.5, 0))</f>
        <v>0</v>
      </c>
      <c r="FC78" s="47">
        <f t="array" ref="FC78">IF(AND(ISNUMBER(MATCH(FC$2, AsistenciaJetAdminConcatenada!$A:$A, 0)), ISNUMBER(MATCH(FC$1, AsistenciaJetAdminConcatenada!$B:$B, 0)), ISNUMBER(SEARCH($A78,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ISNUMBER(SEARCH($A78, INDEX(AsistenciaJetAdminConcatenada!$D:$D, MATCH(1, (AsistenciaJetAdminConcatenada!$A:$A=FC$2)*(AsistenciaJetAdminConcatenada!$B:$B=FC$1), 0)), 1))),  0.5, 0))</f>
        <v>0</v>
      </c>
      <c r="FD78" s="47">
        <f t="array" ref="FD78">IF(AND(ISNUMBER(MATCH(FD$2, AsistenciaJetAdminConcatenada!$A:$A, 0)), ISNUMBER(MATCH(FD$1, AsistenciaJetAdminConcatenada!$B:$B, 0)), ISNUMBER(SEARCH($A78,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ISNUMBER(SEARCH($A78, INDEX(AsistenciaJetAdminConcatenada!$D:$D, MATCH(1, (AsistenciaJetAdminConcatenada!$A:$A=FD$2)*(AsistenciaJetAdminConcatenada!$B:$B=FD$1), 0)), 1))),  0.5, 0))</f>
        <v>0</v>
      </c>
      <c r="FE78" s="47">
        <f t="array" ref="FE78">IF(AND(ISNUMBER(MATCH(FE$2, AsistenciaJetAdminConcatenada!$A:$A, 0)), ISNUMBER(MATCH(FE$1, AsistenciaJetAdminConcatenada!$B:$B, 0)), ISNUMBER(SEARCH($A78,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ISNUMBER(SEARCH($A78, INDEX(AsistenciaJetAdminConcatenada!$D:$D, MATCH(1, (AsistenciaJetAdminConcatenada!$A:$A=FE$2)*(AsistenciaJetAdminConcatenada!$B:$B=FE$1), 0)), 1))),  0.5, 0))</f>
        <v>0</v>
      </c>
      <c r="FF78" s="47">
        <f t="array" ref="FF78">IF(AND(ISNUMBER(MATCH(FF$2, AsistenciaJetAdminConcatenada!$A:$A, 0)), ISNUMBER(MATCH(FF$1, AsistenciaJetAdminConcatenada!$B:$B, 0)), ISNUMBER(SEARCH($A78,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ISNUMBER(SEARCH($A78, INDEX(AsistenciaJetAdminConcatenada!$D:$D, MATCH(1, (AsistenciaJetAdminConcatenada!$A:$A=FF$2)*(AsistenciaJetAdminConcatenada!$B:$B=FF$1), 0)), 1))),  0.5, 0))</f>
        <v>0</v>
      </c>
      <c r="FG78" s="47">
        <f t="array" ref="FG78">IF(AND(ISNUMBER(MATCH(FG$2, AsistenciaJetAdminConcatenada!$A:$A, 0)), ISNUMBER(MATCH(FG$1, AsistenciaJetAdminConcatenada!$B:$B, 0)), ISNUMBER(SEARCH($A78,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ISNUMBER(SEARCH($A78, INDEX(AsistenciaJetAdminConcatenada!$D:$D, MATCH(1, (AsistenciaJetAdminConcatenada!$A:$A=FG$2)*(AsistenciaJetAdminConcatenada!$B:$B=FG$1), 0)), 1))),  0.5, 0))</f>
        <v>0</v>
      </c>
      <c r="FH78" s="47">
        <f t="array" ref="FH78">IF(AND(ISNUMBER(MATCH(FH$2, AsistenciaJetAdminConcatenada!$A:$A, 0)), ISNUMBER(MATCH(FH$1, AsistenciaJetAdminConcatenada!$B:$B, 0)), ISNUMBER(SEARCH($A78,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ISNUMBER(SEARCH($A78, INDEX(AsistenciaJetAdminConcatenada!$D:$D, MATCH(1, (AsistenciaJetAdminConcatenada!$A:$A=FH$2)*(AsistenciaJetAdminConcatenada!$B:$B=FH$1), 0)), 1))),  0.5, 0))</f>
        <v>0</v>
      </c>
      <c r="FI78" s="47">
        <f t="array" ref="FI78">IF(AND(ISNUMBER(MATCH(FI$2, AsistenciaJetAdminConcatenada!$A:$A, 0)), ISNUMBER(MATCH(FI$1, AsistenciaJetAdminConcatenada!$B:$B, 0)), ISNUMBER(SEARCH($A78,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ISNUMBER(SEARCH($A78, INDEX(AsistenciaJetAdminConcatenada!$D:$D, MATCH(1, (AsistenciaJetAdminConcatenada!$A:$A=FI$2)*(AsistenciaJetAdminConcatenada!$B:$B=FI$1), 0)), 1))),  0.5, 0))</f>
        <v>0</v>
      </c>
      <c r="FJ78" s="47">
        <f t="array" ref="FJ78">IF(AND(ISNUMBER(MATCH(FJ$2, AsistenciaJetAdminConcatenada!$A:$A, 0)), ISNUMBER(MATCH(FJ$1, AsistenciaJetAdminConcatenada!$B:$B, 0)), ISNUMBER(SEARCH($A78,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ISNUMBER(SEARCH($A78, INDEX(AsistenciaJetAdminConcatenada!$D:$D, MATCH(1, (AsistenciaJetAdminConcatenada!$A:$A=FJ$2)*(AsistenciaJetAdminConcatenada!$B:$B=FJ$1), 0)), 1))),  0.5, 0))</f>
        <v>0</v>
      </c>
      <c r="FK78" s="47">
        <f t="array" ref="FK78">IF(AND(ISNUMBER(MATCH(FK$2, AsistenciaJetAdminConcatenada!$A:$A, 0)), ISNUMBER(MATCH(FK$1, AsistenciaJetAdminConcatenada!$B:$B, 0)), ISNUMBER(SEARCH($A78,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ISNUMBER(SEARCH($A78, INDEX(AsistenciaJetAdminConcatenada!$D:$D, MATCH(1, (AsistenciaJetAdminConcatenada!$A:$A=FK$2)*(AsistenciaJetAdminConcatenada!$B:$B=FK$1), 0)), 1))),  0.5, 0))</f>
        <v>0</v>
      </c>
      <c r="FL78" s="47">
        <f t="array" ref="FL78">IF(AND(ISNUMBER(MATCH(FL$2, AsistenciaJetAdminConcatenada!$A:$A, 0)), ISNUMBER(MATCH(FL$1, AsistenciaJetAdminConcatenada!$B:$B, 0)), ISNUMBER(SEARCH($A78,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ISNUMBER(SEARCH($A78, INDEX(AsistenciaJetAdminConcatenada!$D:$D, MATCH(1, (AsistenciaJetAdminConcatenada!$A:$A=FL$2)*(AsistenciaJetAdminConcatenada!$B:$B=FL$1), 0)), 1))),  0.5, 0))</f>
        <v>0</v>
      </c>
      <c r="FM78" s="47">
        <f t="array" ref="FM78">IF(AND(ISNUMBER(MATCH(FM$2, AsistenciaJetAdminConcatenada!$A:$A, 0)), ISNUMBER(MATCH(FM$1, AsistenciaJetAdminConcatenada!$B:$B, 0)), ISNUMBER(SEARCH($A78,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ISNUMBER(SEARCH($A78, INDEX(AsistenciaJetAdminConcatenada!$D:$D, MATCH(1, (AsistenciaJetAdminConcatenada!$A:$A=FM$2)*(AsistenciaJetAdminConcatenada!$B:$B=FM$1), 0)), 1))),  0.5, 0))</f>
        <v>0</v>
      </c>
      <c r="FN78" s="47">
        <f t="array" ref="FN78">IF(AND(ISNUMBER(MATCH(FN$2, AsistenciaJetAdminConcatenada!$A:$A, 0)), ISNUMBER(MATCH(FN$1, AsistenciaJetAdminConcatenada!$B:$B, 0)), ISNUMBER(SEARCH($A78,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ISNUMBER(SEARCH($A78, INDEX(AsistenciaJetAdminConcatenada!$D:$D, MATCH(1, (AsistenciaJetAdminConcatenada!$A:$A=FN$2)*(AsistenciaJetAdminConcatenada!$B:$B=FN$1), 0)), 1))),  0.5, 0))</f>
        <v>0</v>
      </c>
      <c r="FO78" s="47">
        <f t="array" ref="FO78">IF(AND(ISNUMBER(MATCH(FO$2, AsistenciaJetAdminConcatenada!$A:$A, 0)), ISNUMBER(MATCH(FO$1, AsistenciaJetAdminConcatenada!$B:$B, 0)), ISNUMBER(SEARCH($A78,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ISNUMBER(SEARCH($A78, INDEX(AsistenciaJetAdminConcatenada!$D:$D, MATCH(1, (AsistenciaJetAdminConcatenada!$A:$A=FO$2)*(AsistenciaJetAdminConcatenada!$B:$B=FO$1), 0)), 1))),  0.5, 0))</f>
        <v>0</v>
      </c>
      <c r="FP78" s="47">
        <f t="array" ref="FP78">IF(AND(ISNUMBER(MATCH(FP$2, AsistenciaJetAdminConcatenada!$A:$A, 0)), ISNUMBER(MATCH(FP$1, AsistenciaJetAdminConcatenada!$B:$B, 0)), ISNUMBER(SEARCH($A78,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ISNUMBER(SEARCH($A78, INDEX(AsistenciaJetAdminConcatenada!$D:$D, MATCH(1, (AsistenciaJetAdminConcatenada!$A:$A=FP$2)*(AsistenciaJetAdminConcatenada!$B:$B=FP$1), 0)), 1))),  0.5, 0))</f>
        <v>0</v>
      </c>
      <c r="FQ78" s="47">
        <f t="array" ref="FQ78">IF(AND(ISNUMBER(MATCH(FQ$2, AsistenciaJetAdminConcatenada!$A:$A, 0)), ISNUMBER(MATCH(FQ$1, AsistenciaJetAdminConcatenada!$B:$B, 0)), ISNUMBER(SEARCH($A78,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ISNUMBER(SEARCH($A78, INDEX(AsistenciaJetAdminConcatenada!$D:$D, MATCH(1, (AsistenciaJetAdminConcatenada!$A:$A=FQ$2)*(AsistenciaJetAdminConcatenada!$B:$B=FQ$1), 0)), 1))),  0.5, 0))</f>
        <v>0</v>
      </c>
      <c r="FR78" s="47">
        <f t="array" ref="FR78">IF(AND(ISNUMBER(MATCH(FR$2, AsistenciaJetAdminConcatenada!$A:$A, 0)), ISNUMBER(MATCH(FR$1, AsistenciaJetAdminConcatenada!$B:$B, 0)), ISNUMBER(SEARCH($A78,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ISNUMBER(SEARCH($A78, INDEX(AsistenciaJetAdminConcatenada!$D:$D, MATCH(1, (AsistenciaJetAdminConcatenada!$A:$A=FR$2)*(AsistenciaJetAdminConcatenada!$B:$B=FR$1), 0)), 1))),  0.5, 0))</f>
        <v>0</v>
      </c>
      <c r="FS78" s="47">
        <f t="array" ref="FS78">IF(AND(ISNUMBER(MATCH(FS$2, AsistenciaJetAdminConcatenada!$A:$A, 0)), ISNUMBER(MATCH(FS$1, AsistenciaJetAdminConcatenada!$B:$B, 0)), ISNUMBER(SEARCH($A78,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ISNUMBER(SEARCH($A78, INDEX(AsistenciaJetAdminConcatenada!$D:$D, MATCH(1, (AsistenciaJetAdminConcatenada!$A:$A=FS$2)*(AsistenciaJetAdminConcatenada!$B:$B=FS$1), 0)), 1))),  0.5, 0))</f>
        <v>0</v>
      </c>
      <c r="FT78" s="47">
        <f t="array" ref="FT78">IF(AND(ISNUMBER(MATCH(FT$2, AsistenciaJetAdminConcatenada!$A:$A, 0)), ISNUMBER(MATCH(FT$1, AsistenciaJetAdminConcatenada!$B:$B, 0)), ISNUMBER(SEARCH($A78,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ISNUMBER(SEARCH($A78, INDEX(AsistenciaJetAdminConcatenada!$D:$D, MATCH(1, (AsistenciaJetAdminConcatenada!$A:$A=FT$2)*(AsistenciaJetAdminConcatenada!$B:$B=FT$1), 0)), 1))),  0.5, 0))</f>
        <v>0</v>
      </c>
      <c r="FU78" s="47">
        <f t="array" ref="FU78">IF(AND(ISNUMBER(MATCH(FU$2, AsistenciaJetAdminConcatenada!$A:$A, 0)), ISNUMBER(MATCH(FU$1, AsistenciaJetAdminConcatenada!$B:$B, 0)), ISNUMBER(SEARCH($A78,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ISNUMBER(SEARCH($A78, INDEX(AsistenciaJetAdminConcatenada!$D:$D, MATCH(1, (AsistenciaJetAdminConcatenada!$A:$A=FU$2)*(AsistenciaJetAdminConcatenada!$B:$B=FU$1), 0)), 1))),  0.5, 0))</f>
        <v>0</v>
      </c>
      <c r="FV78" s="47">
        <f t="array" ref="FV78">IF(AND(ISNUMBER(MATCH(FV$2, AsistenciaJetAdminConcatenada!$A:$A, 0)), ISNUMBER(MATCH(FV$1, AsistenciaJetAdminConcatenada!$B:$B, 0)), ISNUMBER(SEARCH($A78,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ISNUMBER(SEARCH($A78, INDEX(AsistenciaJetAdminConcatenada!$D:$D, MATCH(1, (AsistenciaJetAdminConcatenada!$A:$A=FV$2)*(AsistenciaJetAdminConcatenada!$B:$B=FV$1), 0)), 1))),  0.5, 0))</f>
        <v>0</v>
      </c>
      <c r="FW78" s="47">
        <f t="array" ref="FW78">IF(AND(ISNUMBER(MATCH(FW$2, AsistenciaJetAdminConcatenada!$A:$A, 0)), ISNUMBER(MATCH(FW$1, AsistenciaJetAdminConcatenada!$B:$B, 0)), ISNUMBER(SEARCH($A78,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ISNUMBER(SEARCH($A78, INDEX(AsistenciaJetAdminConcatenada!$D:$D, MATCH(1, (AsistenciaJetAdminConcatenada!$A:$A=FW$2)*(AsistenciaJetAdminConcatenada!$B:$B=FW$1), 0)), 1))),  0.5, 0))</f>
        <v>0</v>
      </c>
      <c r="FX78" s="47">
        <f t="array" ref="FX78">IF(AND(ISNUMBER(MATCH(FX$2, AsistenciaJetAdminConcatenada!$A:$A, 0)), ISNUMBER(MATCH(FX$1, AsistenciaJetAdminConcatenada!$B:$B, 0)), ISNUMBER(SEARCH($A78,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ISNUMBER(SEARCH($A78, INDEX(AsistenciaJetAdminConcatenada!$D:$D, MATCH(1, (AsistenciaJetAdminConcatenada!$A:$A=FX$2)*(AsistenciaJetAdminConcatenada!$B:$B=FX$1), 0)), 1))),  0.5, 0))</f>
        <v>0</v>
      </c>
      <c r="FY78" s="47">
        <f t="array" ref="FY78">IF(AND(ISNUMBER(MATCH(FY$2, AsistenciaJetAdminConcatenada!$A:$A, 0)), ISNUMBER(MATCH(FY$1, AsistenciaJetAdminConcatenada!$B:$B, 0)), ISNUMBER(SEARCH($A78,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ISNUMBER(SEARCH($A78, INDEX(AsistenciaJetAdminConcatenada!$D:$D, MATCH(1, (AsistenciaJetAdminConcatenada!$A:$A=FY$2)*(AsistenciaJetAdminConcatenada!$B:$B=FY$1), 0)), 1))),  0.5, 0))</f>
        <v>0</v>
      </c>
      <c r="FZ78" s="47">
        <f t="array" ref="FZ78">IF(AND(ISNUMBER(MATCH(FZ$2, AsistenciaJetAdminConcatenada!$A:$A, 0)), ISNUMBER(MATCH(FZ$1, AsistenciaJetAdminConcatenada!$B:$B, 0)), ISNUMBER(SEARCH($A78,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ISNUMBER(SEARCH($A78, INDEX(AsistenciaJetAdminConcatenada!$D:$D, MATCH(1, (AsistenciaJetAdminConcatenada!$A:$A=FZ$2)*(AsistenciaJetAdminConcatenada!$B:$B=FZ$1), 0)), 1))),  0.5, 0))</f>
        <v>0</v>
      </c>
      <c r="GA78" s="47">
        <f t="array" ref="GA78">IF(AND(ISNUMBER(MATCH(GA$2, AsistenciaJetAdminConcatenada!$A:$A, 0)), ISNUMBER(MATCH(GA$1, AsistenciaJetAdminConcatenada!$B:$B, 0)), ISNUMBER(SEARCH($A78,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ISNUMBER(SEARCH($A78, INDEX(AsistenciaJetAdminConcatenada!$D:$D, MATCH(1, (AsistenciaJetAdminConcatenada!$A:$A=GA$2)*(AsistenciaJetAdminConcatenada!$B:$B=GA$1), 0)), 1))),  0.5, 0))</f>
        <v>0</v>
      </c>
      <c r="GB78" s="47">
        <f t="array" ref="GB78">IF(AND(ISNUMBER(MATCH(GB$2, AsistenciaJetAdminConcatenada!$A:$A, 0)), ISNUMBER(MATCH(GB$1, AsistenciaJetAdminConcatenada!$B:$B, 0)), ISNUMBER(SEARCH($A78,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ISNUMBER(SEARCH($A78, INDEX(AsistenciaJetAdminConcatenada!$D:$D, MATCH(1, (AsistenciaJetAdminConcatenada!$A:$A=GB$2)*(AsistenciaJetAdminConcatenada!$B:$B=GB$1), 0)), 1))),  0.5, 0))</f>
        <v>0</v>
      </c>
      <c r="GC78" s="47">
        <f t="array" ref="GC78">IF(AND(ISNUMBER(MATCH(GC$2, AsistenciaJetAdminConcatenada!$A:$A, 0)), ISNUMBER(MATCH(GC$1, AsistenciaJetAdminConcatenada!$B:$B, 0)), ISNUMBER(SEARCH($A78,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ISNUMBER(SEARCH($A78, INDEX(AsistenciaJetAdminConcatenada!$D:$D, MATCH(1, (AsistenciaJetAdminConcatenada!$A:$A=GC$2)*(AsistenciaJetAdminConcatenada!$B:$B=GC$1), 0)), 1))),  0.5, 0))</f>
        <v>0</v>
      </c>
      <c r="GD78" s="47">
        <f t="array" ref="GD78">IF(AND(ISNUMBER(MATCH(GD$2, AsistenciaJetAdminConcatenada!$A:$A, 0)), ISNUMBER(MATCH(GD$1, AsistenciaJetAdminConcatenada!$B:$B, 0)), ISNUMBER(SEARCH($A78,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ISNUMBER(SEARCH($A78, INDEX(AsistenciaJetAdminConcatenada!$D:$D, MATCH(1, (AsistenciaJetAdminConcatenada!$A:$A=GD$2)*(AsistenciaJetAdminConcatenada!$B:$B=GD$1), 0)), 1))),  0.5, 0))</f>
        <v>0</v>
      </c>
      <c r="GE78" s="47">
        <f t="array" ref="GE78">IF(AND(ISNUMBER(MATCH(GE$2, AsistenciaJetAdminConcatenada!$A:$A, 0)), ISNUMBER(MATCH(GE$1, AsistenciaJetAdminConcatenada!$B:$B, 0)), ISNUMBER(SEARCH($A78,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ISNUMBER(SEARCH($A78, INDEX(AsistenciaJetAdminConcatenada!$D:$D, MATCH(1, (AsistenciaJetAdminConcatenada!$A:$A=GE$2)*(AsistenciaJetAdminConcatenada!$B:$B=GE$1), 0)), 1))),  0.5, 0))</f>
        <v>0</v>
      </c>
      <c r="GF78" s="47">
        <f t="array" ref="GF78">IF(AND(ISNUMBER(MATCH(GF$2, AsistenciaJetAdminConcatenada!$A:$A, 0)), ISNUMBER(MATCH(GF$1, AsistenciaJetAdminConcatenada!$B:$B, 0)), ISNUMBER(SEARCH($A78,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ISNUMBER(SEARCH($A78, INDEX(AsistenciaJetAdminConcatenada!$D:$D, MATCH(1, (AsistenciaJetAdminConcatenada!$A:$A=GF$2)*(AsistenciaJetAdminConcatenada!$B:$B=GF$1), 0)), 1))),  0.5, 0))</f>
        <v>0</v>
      </c>
      <c r="GG78" s="47">
        <f t="array" ref="GG78">IF(AND(ISNUMBER(MATCH(GG$2, AsistenciaJetAdminConcatenada!$A:$A, 0)), ISNUMBER(MATCH(GG$1, AsistenciaJetAdminConcatenada!$B:$B, 0)), ISNUMBER(SEARCH($A78,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ISNUMBER(SEARCH($A78, INDEX(AsistenciaJetAdminConcatenada!$D:$D, MATCH(1, (AsistenciaJetAdminConcatenada!$A:$A=GG$2)*(AsistenciaJetAdminConcatenada!$B:$B=GG$1), 0)), 1))),  0.5, 0))</f>
        <v>0</v>
      </c>
      <c r="GH78" s="47">
        <f t="array" ref="GH78">IF(AND(ISNUMBER(MATCH(GH$2, AsistenciaJetAdminConcatenada!$A:$A, 0)), ISNUMBER(MATCH(GH$1, AsistenciaJetAdminConcatenada!$B:$B, 0)), ISNUMBER(SEARCH($A78,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ISNUMBER(SEARCH($A78, INDEX(AsistenciaJetAdminConcatenada!$D:$D, MATCH(1, (AsistenciaJetAdminConcatenada!$A:$A=GH$2)*(AsistenciaJetAdminConcatenada!$B:$B=GH$1), 0)), 1))),  0.5, 0))</f>
        <v>0</v>
      </c>
      <c r="GI78" s="47">
        <f t="array" ref="GI78">IF(AND(ISNUMBER(MATCH(GI$2, AsistenciaJetAdminConcatenada!$A:$A, 0)), ISNUMBER(MATCH(GI$1, AsistenciaJetAdminConcatenada!$B:$B, 0)), ISNUMBER(SEARCH($A78,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ISNUMBER(SEARCH($A78, INDEX(AsistenciaJetAdminConcatenada!$D:$D, MATCH(1, (AsistenciaJetAdminConcatenada!$A:$A=GI$2)*(AsistenciaJetAdminConcatenada!$B:$B=GI$1), 0)), 1))),  0.5, 0))</f>
        <v>0</v>
      </c>
      <c r="GJ78" s="47">
        <f t="array" ref="GJ78">IF(AND(ISNUMBER(MATCH(GJ$2, AsistenciaJetAdminConcatenada!$A:$A, 0)), ISNUMBER(MATCH(GJ$1, AsistenciaJetAdminConcatenada!$B:$B, 0)), ISNUMBER(SEARCH($A78,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ISNUMBER(SEARCH($A78, INDEX(AsistenciaJetAdminConcatenada!$D:$D, MATCH(1, (AsistenciaJetAdminConcatenada!$A:$A=GJ$2)*(AsistenciaJetAdminConcatenada!$B:$B=GJ$1), 0)), 1))),  0.5, 0))</f>
        <v>0</v>
      </c>
      <c r="GK78" s="47">
        <f t="array" ref="GK78">IF(AND(ISNUMBER(MATCH(GK$2, AsistenciaJetAdminConcatenada!$A:$A, 0)), ISNUMBER(MATCH(GK$1, AsistenciaJetAdminConcatenada!$B:$B, 0)), ISNUMBER(SEARCH($A78,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ISNUMBER(SEARCH($A78, INDEX(AsistenciaJetAdminConcatenada!$D:$D, MATCH(1, (AsistenciaJetAdminConcatenada!$A:$A=GK$2)*(AsistenciaJetAdminConcatenada!$B:$B=GK$1), 0)), 1))),  0.5, 0))</f>
        <v>0</v>
      </c>
      <c r="GL78" s="47">
        <f t="array" ref="GL78">IF(AND(ISNUMBER(MATCH(GL$2, AsistenciaJetAdminConcatenada!$A:$A, 0)), ISNUMBER(MATCH(GL$1, AsistenciaJetAdminConcatenada!$B:$B, 0)), ISNUMBER(SEARCH($A78,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ISNUMBER(SEARCH($A78, INDEX(AsistenciaJetAdminConcatenada!$D:$D, MATCH(1, (AsistenciaJetAdminConcatenada!$A:$A=GL$2)*(AsistenciaJetAdminConcatenada!$B:$B=GL$1), 0)), 1))),  0.5, 0))</f>
        <v>0</v>
      </c>
      <c r="GM78" s="47">
        <f t="array" ref="GM78">IF(AND(ISNUMBER(MATCH(GM$2, AsistenciaJetAdminConcatenada!$A:$A, 0)), ISNUMBER(MATCH(GM$1, AsistenciaJetAdminConcatenada!$B:$B, 0)), ISNUMBER(SEARCH($A78,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ISNUMBER(SEARCH($A78, INDEX(AsistenciaJetAdminConcatenada!$D:$D, MATCH(1, (AsistenciaJetAdminConcatenada!$A:$A=GM$2)*(AsistenciaJetAdminConcatenada!$B:$B=GM$1), 0)), 1))),  0.5, 0))</f>
        <v>0</v>
      </c>
      <c r="GN78" s="47">
        <f t="array" ref="GN78">IF(AND(ISNUMBER(MATCH(GN$2, AsistenciaJetAdminConcatenada!$A:$A, 0)), ISNUMBER(MATCH(GN$1, AsistenciaJetAdminConcatenada!$B:$B, 0)), ISNUMBER(SEARCH($A78,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ISNUMBER(SEARCH($A78, INDEX(AsistenciaJetAdminConcatenada!$D:$D, MATCH(1, (AsistenciaJetAdminConcatenada!$A:$A=GN$2)*(AsistenciaJetAdminConcatenada!$B:$B=GN$1), 0)), 1))),  0.5, 0))</f>
        <v>0</v>
      </c>
      <c r="GO78" s="47">
        <f t="array" ref="GO78">IF(AND(ISNUMBER(MATCH(GO$2, AsistenciaJetAdminConcatenada!$A:$A, 0)), ISNUMBER(MATCH(GO$1, AsistenciaJetAdminConcatenada!$B:$B, 0)), ISNUMBER(SEARCH($A78,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ISNUMBER(SEARCH($A78, INDEX(AsistenciaJetAdminConcatenada!$D:$D, MATCH(1, (AsistenciaJetAdminConcatenada!$A:$A=GO$2)*(AsistenciaJetAdminConcatenada!$B:$B=GO$1), 0)), 1))),  0.5, 0))</f>
        <v>0</v>
      </c>
      <c r="GP78" s="47">
        <f t="array" ref="GP78">IF(AND(ISNUMBER(MATCH(GP$2, AsistenciaJetAdminConcatenada!$A:$A, 0)), ISNUMBER(MATCH(GP$1, AsistenciaJetAdminConcatenada!$B:$B, 0)), ISNUMBER(SEARCH($A78,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ISNUMBER(SEARCH($A78, INDEX(AsistenciaJetAdminConcatenada!$D:$D, MATCH(1, (AsistenciaJetAdminConcatenada!$A:$A=GP$2)*(AsistenciaJetAdminConcatenada!$B:$B=GP$1), 0)), 1))),  0.5, 0))</f>
        <v>0</v>
      </c>
      <c r="GQ78" s="47">
        <f t="array" ref="GQ78">IF(AND(ISNUMBER(MATCH(GQ$2, AsistenciaJetAdminConcatenada!$A:$A, 0)), ISNUMBER(MATCH(GQ$1, AsistenciaJetAdminConcatenada!$B:$B, 0)), ISNUMBER(SEARCH($A78,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ISNUMBER(SEARCH($A78, INDEX(AsistenciaJetAdminConcatenada!$D:$D, MATCH(1, (AsistenciaJetAdminConcatenada!$A:$A=GQ$2)*(AsistenciaJetAdminConcatenada!$B:$B=GQ$1), 0)), 1))),  0.5, 0))</f>
        <v>0</v>
      </c>
      <c r="GR78" s="47">
        <f t="array" ref="GR78">IF(AND(ISNUMBER(MATCH(GR$2, AsistenciaJetAdminConcatenada!$A:$A, 0)), ISNUMBER(MATCH(GR$1, AsistenciaJetAdminConcatenada!$B:$B, 0)), ISNUMBER(SEARCH($A78,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ISNUMBER(SEARCH($A78, INDEX(AsistenciaJetAdminConcatenada!$D:$D, MATCH(1, (AsistenciaJetAdminConcatenada!$A:$A=GR$2)*(AsistenciaJetAdminConcatenada!$B:$B=GR$1), 0)), 1))),  0.5, 0))</f>
        <v>0</v>
      </c>
      <c r="GS78" s="47">
        <f t="array" ref="GS78">IF(AND(ISNUMBER(MATCH(GS$2, AsistenciaJetAdminConcatenada!$A:$A, 0)), ISNUMBER(MATCH(GS$1, AsistenciaJetAdminConcatenada!$B:$B, 0)), ISNUMBER(SEARCH($A78,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ISNUMBER(SEARCH($A78, INDEX(AsistenciaJetAdminConcatenada!$D:$D, MATCH(1, (AsistenciaJetAdminConcatenada!$A:$A=GS$2)*(AsistenciaJetAdminConcatenada!$B:$B=GS$1), 0)), 1))),  0.5, 0))</f>
        <v>0</v>
      </c>
      <c r="GT78" s="47">
        <f t="array" ref="GT78">IF(AND(ISNUMBER(MATCH(GT$2, AsistenciaJetAdminConcatenada!$A:$A, 0)), ISNUMBER(MATCH(GT$1, AsistenciaJetAdminConcatenada!$B:$B, 0)), ISNUMBER(SEARCH($A78,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ISNUMBER(SEARCH($A78, INDEX(AsistenciaJetAdminConcatenada!$D:$D, MATCH(1, (AsistenciaJetAdminConcatenada!$A:$A=GT$2)*(AsistenciaJetAdminConcatenada!$B:$B=GT$1), 0)), 1))),  0.5, 0))</f>
        <v>0</v>
      </c>
      <c r="GU78" s="47">
        <f t="array" ref="GU78">IF(AND(ISNUMBER(MATCH(GU$2, AsistenciaJetAdminConcatenada!$A:$A, 0)), ISNUMBER(MATCH(GU$1, AsistenciaJetAdminConcatenada!$B:$B, 0)), ISNUMBER(SEARCH($A78,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ISNUMBER(SEARCH($A78, INDEX(AsistenciaJetAdminConcatenada!$D:$D, MATCH(1, (AsistenciaJetAdminConcatenada!$A:$A=GU$2)*(AsistenciaJetAdminConcatenada!$B:$B=GU$1), 0)), 1))),  0.5, 0))</f>
        <v>0</v>
      </c>
      <c r="GV78" s="47">
        <f t="array" ref="GV78">IF(AND(ISNUMBER(MATCH(GV$2, AsistenciaJetAdminConcatenada!$A:$A, 0)), ISNUMBER(MATCH(GV$1, AsistenciaJetAdminConcatenada!$B:$B, 0)), ISNUMBER(SEARCH($A78,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ISNUMBER(SEARCH($A78, INDEX(AsistenciaJetAdminConcatenada!$D:$D, MATCH(1, (AsistenciaJetAdminConcatenada!$A:$A=GV$2)*(AsistenciaJetAdminConcatenada!$B:$B=GV$1), 0)), 1))),  0.5, 0))</f>
        <v>0</v>
      </c>
      <c r="GW78" s="47">
        <f t="array" ref="GW78">IF(AND(ISNUMBER(MATCH(GW$2, AsistenciaJetAdminConcatenada!$A:$A, 0)), ISNUMBER(MATCH(GW$1, AsistenciaJetAdminConcatenada!$B:$B, 0)), ISNUMBER(SEARCH($A78,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ISNUMBER(SEARCH($A78, INDEX(AsistenciaJetAdminConcatenada!$D:$D, MATCH(1, (AsistenciaJetAdminConcatenada!$A:$A=GW$2)*(AsistenciaJetAdminConcatenada!$B:$B=GW$1), 0)), 1))),  0.5, 0))</f>
        <v>0</v>
      </c>
      <c r="GX78" s="47">
        <f t="array" ref="GX78">IF(AND(ISNUMBER(MATCH(GX$2, AsistenciaJetAdminConcatenada!$A:$A, 0)), ISNUMBER(MATCH(GX$1, AsistenciaJetAdminConcatenada!$B:$B, 0)), ISNUMBER(SEARCH($A78,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ISNUMBER(SEARCH($A78, INDEX(AsistenciaJetAdminConcatenada!$D:$D, MATCH(1, (AsistenciaJetAdminConcatenada!$A:$A=GX$2)*(AsistenciaJetAdminConcatenada!$B:$B=GX$1), 0)), 1))),  0.5, 0))</f>
        <v>0</v>
      </c>
      <c r="GY78" s="47">
        <f t="array" ref="GY78">IF(AND(ISNUMBER(MATCH(GY$2, AsistenciaJetAdminConcatenada!$A:$A, 0)), ISNUMBER(MATCH(GY$1, AsistenciaJetAdminConcatenada!$B:$B, 0)), ISNUMBER(SEARCH($A78,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ISNUMBER(SEARCH($A78, INDEX(AsistenciaJetAdminConcatenada!$D:$D, MATCH(1, (AsistenciaJetAdminConcatenada!$A:$A=GY$2)*(AsistenciaJetAdminConcatenada!$B:$B=GY$1), 0)), 1))),  0.5, 0))</f>
        <v>0</v>
      </c>
      <c r="GZ78" s="47">
        <f t="array" ref="GZ78">IF(AND(ISNUMBER(MATCH(GZ$2, AsistenciaJetAdminConcatenada!$A:$A, 0)), ISNUMBER(MATCH(GZ$1, AsistenciaJetAdminConcatenada!$B:$B, 0)), ISNUMBER(SEARCH($A78,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ISNUMBER(SEARCH($A78, INDEX(AsistenciaJetAdminConcatenada!$D:$D, MATCH(1, (AsistenciaJetAdminConcatenada!$A:$A=GZ$2)*(AsistenciaJetAdminConcatenada!$B:$B=GZ$1), 0)), 1))),  0.5, 0))</f>
        <v>0</v>
      </c>
      <c r="HA78" s="47">
        <f t="array" ref="HA78">IF(AND(ISNUMBER(MATCH(HA$2, AsistenciaJetAdminConcatenada!$A:$A, 0)), ISNUMBER(MATCH(HA$1, AsistenciaJetAdminConcatenada!$B:$B, 0)), ISNUMBER(SEARCH($A78,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ISNUMBER(SEARCH($A78, INDEX(AsistenciaJetAdminConcatenada!$D:$D, MATCH(1, (AsistenciaJetAdminConcatenada!$A:$A=HA$2)*(AsistenciaJetAdminConcatenada!$B:$B=HA$1), 0)), 1))),  0.5, 0))</f>
        <v>0</v>
      </c>
      <c r="HB78" s="47">
        <f t="array" ref="HB78">IF(AND(ISNUMBER(MATCH(HB$2, AsistenciaJetAdminConcatenada!$A:$A, 0)), ISNUMBER(MATCH(HB$1, AsistenciaJetAdminConcatenada!$B:$B, 0)), ISNUMBER(SEARCH($A78,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ISNUMBER(SEARCH($A78, INDEX(AsistenciaJetAdminConcatenada!$D:$D, MATCH(1, (AsistenciaJetAdminConcatenada!$A:$A=HB$2)*(AsistenciaJetAdminConcatenada!$B:$B=HB$1), 0)), 1))),  0.5, 0))</f>
        <v>0</v>
      </c>
      <c r="HC78" s="47">
        <f t="array" ref="HC78">IF(AND(ISNUMBER(MATCH(HC$2, AsistenciaJetAdminConcatenada!$A:$A, 0)), ISNUMBER(MATCH(HC$1, AsistenciaJetAdminConcatenada!$B:$B, 0)), ISNUMBER(SEARCH($A78,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ISNUMBER(SEARCH($A78, INDEX(AsistenciaJetAdminConcatenada!$D:$D, MATCH(1, (AsistenciaJetAdminConcatenada!$A:$A=HC$2)*(AsistenciaJetAdminConcatenada!$B:$B=HC$1), 0)), 1))),  0.5, 0))</f>
        <v>0</v>
      </c>
    </row>
    <row r="79" ht="29.25" customHeight="1">
      <c r="A79" s="3">
        <v>215.0</v>
      </c>
      <c r="B79" s="4" t="s">
        <v>154</v>
      </c>
      <c r="C79" s="47">
        <f>SUM(D79:HC79) + ActividadesEspeciales!C79</f>
        <v>78.5</v>
      </c>
      <c r="D79" s="47">
        <f t="array" ref="D79">IF(AND(ISNUMBER(MATCH(D$2, AsistenciaJetAdminConcatenada!$A:$A, 0)), ISNUMBER(MATCH(D$1, AsistenciaJetAdminConcatenada!$B:$B, 0)), ISNUMBER(SEARCH($A79,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ISNUMBER(SEARCH($A79, INDEX(AsistenciaJetAdminConcatenada!$D:$D, MATCH(1, (AsistenciaJetAdminConcatenada!$A:$A=D$2)*(AsistenciaJetAdminConcatenada!$B:$B=D$1), 0)), 1))),  0.5, 0))</f>
        <v>1</v>
      </c>
      <c r="E79" s="47">
        <f t="array" ref="E79">IF(AND(ISNUMBER(MATCH(E$2, AsistenciaJetAdminConcatenada!$A:$A, 0)), ISNUMBER(MATCH(E$1, AsistenciaJetAdminConcatenada!$B:$B, 0)), ISNUMBER(SEARCH($A79,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ISNUMBER(SEARCH($A79, INDEX(AsistenciaJetAdminConcatenada!$D:$D, MATCH(1, (AsistenciaJetAdminConcatenada!$A:$A=E$2)*(AsistenciaJetAdminConcatenada!$B:$B=E$1), 0)), 1))),  0.5, 0))</f>
        <v>1</v>
      </c>
      <c r="F79" s="47">
        <f t="array" ref="F79">IF(AND(ISNUMBER(MATCH(F$2, AsistenciaJetAdminConcatenada!$A:$A, 0)), ISNUMBER(MATCH(F$1, AsistenciaJetAdminConcatenada!$B:$B, 0)), ISNUMBER(SEARCH($A79,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ISNUMBER(SEARCH($A79, INDEX(AsistenciaJetAdminConcatenada!$D:$D, MATCH(1, (AsistenciaJetAdminConcatenada!$A:$A=F$2)*(AsistenciaJetAdminConcatenada!$B:$B=F$1), 0)), 1))),  0.5, 0))</f>
        <v>1</v>
      </c>
      <c r="G79" s="47">
        <f t="array" ref="G79">IF(AND(ISNUMBER(MATCH(G$2, AsistenciaJetAdminConcatenada!$A:$A, 0)), ISNUMBER(MATCH(G$1, AsistenciaJetAdminConcatenada!$B:$B, 0)), ISNUMBER(SEARCH($A79,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ISNUMBER(SEARCH($A79, INDEX(AsistenciaJetAdminConcatenada!$D:$D, MATCH(1, (AsistenciaJetAdminConcatenada!$A:$A=G$2)*(AsistenciaJetAdminConcatenada!$B:$B=G$1), 0)), 1))),  0.5, 0))</f>
        <v>1</v>
      </c>
      <c r="H79" s="47">
        <f t="array" ref="H79">IF(AND(ISNUMBER(MATCH(H$2, AsistenciaJetAdminConcatenada!$A:$A, 0)), ISNUMBER(MATCH(H$1, AsistenciaJetAdminConcatenada!$B:$B, 0)), ISNUMBER(SEARCH($A79,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ISNUMBER(SEARCH($A79, INDEX(AsistenciaJetAdminConcatenada!$D:$D, MATCH(1, (AsistenciaJetAdminConcatenada!$A:$A=H$2)*(AsistenciaJetAdminConcatenada!$B:$B=H$1), 0)), 1))),  0.5, 0))</f>
        <v>1</v>
      </c>
      <c r="I79" s="47">
        <f t="array" ref="I79">IF(AND(ISNUMBER(MATCH(I$2, AsistenciaJetAdminConcatenada!$A:$A, 0)), ISNUMBER(MATCH(I$1, AsistenciaJetAdminConcatenada!$B:$B, 0)), ISNUMBER(SEARCH($A79,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ISNUMBER(SEARCH($A79, INDEX(AsistenciaJetAdminConcatenada!$D:$D, MATCH(1, (AsistenciaJetAdminConcatenada!$A:$A=I$2)*(AsistenciaJetAdminConcatenada!$B:$B=I$1), 0)), 1))),  0.5, 0))</f>
        <v>1</v>
      </c>
      <c r="J79" s="47">
        <f t="array" ref="J79">IF(AND(ISNUMBER(MATCH(J$2, AsistenciaJetAdminConcatenada!$A:$A, 0)), ISNUMBER(MATCH(J$1, AsistenciaJetAdminConcatenada!$B:$B, 0)), ISNUMBER(SEARCH($A79,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ISNUMBER(SEARCH($A79, INDEX(AsistenciaJetAdminConcatenada!$D:$D, MATCH(1, (AsistenciaJetAdminConcatenada!$A:$A=J$2)*(AsistenciaJetAdminConcatenada!$B:$B=J$1), 0)), 1))),  0.5, 0))</f>
        <v>1</v>
      </c>
      <c r="K79" s="47">
        <f t="array" ref="K79">IF(AND(ISNUMBER(MATCH(K$2, AsistenciaJetAdminConcatenada!$A:$A, 0)), ISNUMBER(MATCH(K$1, AsistenciaJetAdminConcatenada!$B:$B, 0)), ISNUMBER(SEARCH($A79,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ISNUMBER(SEARCH($A79, INDEX(AsistenciaJetAdminConcatenada!$D:$D, MATCH(1, (AsistenciaJetAdminConcatenada!$A:$A=K$2)*(AsistenciaJetAdminConcatenada!$B:$B=K$1), 0)), 1))),  0.5, 0))</f>
        <v>1</v>
      </c>
      <c r="L79" s="47">
        <f t="array" ref="L79">IF(AND(ISNUMBER(MATCH(L$2, AsistenciaJetAdminConcatenada!$A:$A, 0)), ISNUMBER(MATCH(L$1, AsistenciaJetAdminConcatenada!$B:$B, 0)), ISNUMBER(SEARCH($A79,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ISNUMBER(SEARCH($A79, INDEX(AsistenciaJetAdminConcatenada!$D:$D, MATCH(1, (AsistenciaJetAdminConcatenada!$A:$A=L$2)*(AsistenciaJetAdminConcatenada!$B:$B=L$1), 0)), 1))),  0.5, 0))</f>
        <v>1</v>
      </c>
      <c r="M79" s="47">
        <f t="array" ref="M79">IF(AND(ISNUMBER(MATCH(M$2, AsistenciaJetAdminConcatenada!$A:$A, 0)), ISNUMBER(MATCH(M$1, AsistenciaJetAdminConcatenada!$B:$B, 0)), ISNUMBER(SEARCH($A79,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ISNUMBER(SEARCH($A79, INDEX(AsistenciaJetAdminConcatenada!$D:$D, MATCH(1, (AsistenciaJetAdminConcatenada!$A:$A=M$2)*(AsistenciaJetAdminConcatenada!$B:$B=M$1), 0)), 1))),  0.5, 0))</f>
        <v>1</v>
      </c>
      <c r="N79" s="47">
        <f t="array" ref="N79">IF(AND(ISNUMBER(MATCH(N$2, AsistenciaJetAdminConcatenada!$A:$A, 0)), ISNUMBER(MATCH(N$1, AsistenciaJetAdminConcatenada!$B:$B, 0)), ISNUMBER(SEARCH($A79,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ISNUMBER(SEARCH($A79, INDEX(AsistenciaJetAdminConcatenada!$D:$D, MATCH(1, (AsistenciaJetAdminConcatenada!$A:$A=N$2)*(AsistenciaJetAdminConcatenada!$B:$B=N$1), 0)), 1))),  0.5, 0))</f>
        <v>1</v>
      </c>
      <c r="O79" s="47">
        <f t="array" ref="O79">IF(AND(ISNUMBER(MATCH(O$2, AsistenciaJetAdminConcatenada!$A:$A, 0)), ISNUMBER(MATCH(O$1, AsistenciaJetAdminConcatenada!$B:$B, 0)), ISNUMBER(SEARCH($A79,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ISNUMBER(SEARCH($A79, INDEX(AsistenciaJetAdminConcatenada!$D:$D, MATCH(1, (AsistenciaJetAdminConcatenada!$A:$A=O$2)*(AsistenciaJetAdminConcatenada!$B:$B=O$1), 0)), 1))),  0.5, 0))</f>
        <v>1</v>
      </c>
      <c r="P79" s="47">
        <f t="array" ref="P79">IF(AND(ISNUMBER(MATCH(P$2, AsistenciaJetAdminConcatenada!$A:$A, 0)), ISNUMBER(MATCH(P$1, AsistenciaJetAdminConcatenada!$B:$B, 0)), ISNUMBER(SEARCH($A79, INDEX(AsistenciaJetAdminConcatenada!$C:$C, MATCH(1, (AsistenciaJetAdminConcatenada!$A:$A=P$2)*(AsistenciaJetAdminConcatenada!$B:$B=P$1), 0)), 1))), 1, IF(AND(ISNUMBER(MATCH(P$2, AsistenciaJetAdminConcatenada!$A:$A, 0)), ISNUMBER(MATCH(P$1, AsistenciaJetAdminConcatenada!$B:$B, 0)), ISNUMBER(SEARCH($A79, INDEX(AsistenciaJetAdminConcatenada!$D:$D, MATCH(1, (AsistenciaJetAdminConcatenada!$A:$A=P$2)*(AsistenciaJetAdminConcatenada!$B:$B=P$1), 0)), 1))),  0.5, 0))</f>
        <v>1</v>
      </c>
      <c r="Q79" s="47">
        <f t="array" ref="Q79">IF(AND(ISNUMBER(MATCH(Q$2, AsistenciaJetAdminConcatenada!$A:$A, 0)), ISNUMBER(MATCH(Q$1, AsistenciaJetAdminConcatenada!$B:$B, 0)), ISNUMBER(SEARCH($A79, INDEX(AsistenciaJetAdminConcatenada!$C:$C, MATCH(1, (AsistenciaJetAdminConcatenada!$A:$A=Q$2)*(AsistenciaJetAdminConcatenada!$B:$B=Q$1), 0)), 1))), 1, IF(AND(ISNUMBER(MATCH(Q$2, AsistenciaJetAdminConcatenada!$A:$A, 0)), ISNUMBER(MATCH(Q$1, AsistenciaJetAdminConcatenada!$B:$B, 0)), ISNUMBER(SEARCH($A79, INDEX(AsistenciaJetAdminConcatenada!$D:$D, MATCH(1, (AsistenciaJetAdminConcatenada!$A:$A=Q$2)*(AsistenciaJetAdminConcatenada!$B:$B=Q$1), 0)), 1))),  0.5, 0))</f>
        <v>1</v>
      </c>
      <c r="R79" s="47">
        <f t="array" ref="R79">IF(AND(ISNUMBER(MATCH(R$2, AsistenciaJetAdminConcatenada!$A:$A, 0)), ISNUMBER(MATCH(R$1, AsistenciaJetAdminConcatenada!$B:$B, 0)), ISNUMBER(SEARCH($A79,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ISNUMBER(SEARCH($A79, INDEX(AsistenciaJetAdminConcatenada!$D:$D, MATCH(1, (AsistenciaJetAdminConcatenada!$A:$A=R$2)*(AsistenciaJetAdminConcatenada!$B:$B=R$1), 0)), 1))),  0.5, 0))</f>
        <v>1</v>
      </c>
      <c r="S79" s="47">
        <f t="array" ref="S79">IF(AND(ISNUMBER(MATCH(S$2, AsistenciaJetAdminConcatenada!$A:$A, 0)), ISNUMBER(MATCH(S$1, AsistenciaJetAdminConcatenada!$B:$B, 0)), ISNUMBER(SEARCH($A79,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ISNUMBER(SEARCH($A79, INDEX(AsistenciaJetAdminConcatenada!$D:$D, MATCH(1, (AsistenciaJetAdminConcatenada!$A:$A=S$2)*(AsistenciaJetAdminConcatenada!$B:$B=S$1), 0)), 1))),  0.5, 0))</f>
        <v>1</v>
      </c>
      <c r="T79" s="47">
        <f t="array" ref="T79">IF(AND(ISNUMBER(MATCH(T$2, AsistenciaJetAdminConcatenada!$A:$A, 0)), ISNUMBER(MATCH(T$1, AsistenciaJetAdminConcatenada!$B:$B, 0)), ISNUMBER(SEARCH($A79,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ISNUMBER(SEARCH($A79, INDEX(AsistenciaJetAdminConcatenada!$D:$D, MATCH(1, (AsistenciaJetAdminConcatenada!$A:$A=T$2)*(AsistenciaJetAdminConcatenada!$B:$B=T$1), 0)), 1))),  0.5, 0))</f>
        <v>1</v>
      </c>
      <c r="U79" s="47">
        <f t="array" ref="U79">IF(AND(ISNUMBER(MATCH(U$2, AsistenciaJetAdminConcatenada!$A:$A, 0)), ISNUMBER(MATCH(U$1, AsistenciaJetAdminConcatenada!$B:$B, 0)), ISNUMBER(SEARCH($A79,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ISNUMBER(SEARCH($A79, INDEX(AsistenciaJetAdminConcatenada!$D:$D, MATCH(1, (AsistenciaJetAdminConcatenada!$A:$A=U$2)*(AsistenciaJetAdminConcatenada!$B:$B=U$1), 0)), 1))),  0.5, 0))</f>
        <v>1</v>
      </c>
      <c r="V79" s="47">
        <f t="array" ref="V79">IF(AND(ISNUMBER(MATCH(V$2, AsistenciaJetAdminConcatenada!$A:$A, 0)), ISNUMBER(MATCH(V$1, AsistenciaJetAdminConcatenada!$B:$B, 0)), ISNUMBER(SEARCH($A79,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ISNUMBER(SEARCH($A79, INDEX(AsistenciaJetAdminConcatenada!$D:$D, MATCH(1, (AsistenciaJetAdminConcatenada!$A:$A=V$2)*(AsistenciaJetAdminConcatenada!$B:$B=V$1), 0)), 1))),  0.5, 0))</f>
        <v>1</v>
      </c>
      <c r="W79" s="47">
        <f t="array" ref="W79">IF(AND(ISNUMBER(MATCH(W$2, AsistenciaJetAdminConcatenada!$A:$A, 0)), ISNUMBER(MATCH(W$1, AsistenciaJetAdminConcatenada!$B:$B, 0)), ISNUMBER(SEARCH($A79,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ISNUMBER(SEARCH($A79, INDEX(AsistenciaJetAdminConcatenada!$D:$D, MATCH(1, (AsistenciaJetAdminConcatenada!$A:$A=W$2)*(AsistenciaJetAdminConcatenada!$B:$B=W$1), 0)), 1))),  0.5, 0))</f>
        <v>1</v>
      </c>
      <c r="X79" s="47">
        <f t="array" ref="X79">IF(AND(ISNUMBER(MATCH(X$2, AsistenciaJetAdminConcatenada!$A:$A, 0)), ISNUMBER(MATCH(X$1, AsistenciaJetAdminConcatenada!$B:$B, 0)), ISNUMBER(SEARCH($A79,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ISNUMBER(SEARCH($A79, INDEX(AsistenciaJetAdminConcatenada!$D:$D, MATCH(1, (AsistenciaJetAdminConcatenada!$A:$A=X$2)*(AsistenciaJetAdminConcatenada!$B:$B=X$1), 0)), 1))),  0.5, 0))</f>
        <v>1</v>
      </c>
      <c r="Y79" s="47">
        <f t="array" ref="Y79">IF(AND(ISNUMBER(MATCH(Y$2, AsistenciaJetAdminConcatenada!$A:$A, 0)), ISNUMBER(MATCH(Y$1, AsistenciaJetAdminConcatenada!$B:$B, 0)), ISNUMBER(SEARCH($A79,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ISNUMBER(SEARCH($A79, INDEX(AsistenciaJetAdminConcatenada!$D:$D, MATCH(1, (AsistenciaJetAdminConcatenada!$A:$A=Y$2)*(AsistenciaJetAdminConcatenada!$B:$B=Y$1), 0)), 1))),  0.5, 0))</f>
        <v>1</v>
      </c>
      <c r="Z79" s="47">
        <f t="array" ref="Z79">IF(AND(ISNUMBER(MATCH(Z$2, AsistenciaJetAdminConcatenada!$A:$A, 0)), ISNUMBER(MATCH(Z$1, AsistenciaJetAdminConcatenada!$B:$B, 0)), ISNUMBER(SEARCH($A79,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ISNUMBER(SEARCH($A79, INDEX(AsistenciaJetAdminConcatenada!$D:$D, MATCH(1, (AsistenciaJetAdminConcatenada!$A:$A=Z$2)*(AsistenciaJetAdminConcatenada!$B:$B=Z$1), 0)), 1))),  0.5, 0))</f>
        <v>0</v>
      </c>
      <c r="AA79" s="47">
        <f t="array" ref="AA79">IF(AND(ISNUMBER(MATCH(AA$2, AsistenciaJetAdminConcatenada!$A:$A, 0)), ISNUMBER(MATCH(AA$1, AsistenciaJetAdminConcatenada!$B:$B, 0)), ISNUMBER(SEARCH($A79,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ISNUMBER(SEARCH($A79, INDEX(AsistenciaJetAdminConcatenada!$D:$D, MATCH(1, (AsistenciaJetAdminConcatenada!$A:$A=AA$2)*(AsistenciaJetAdminConcatenada!$B:$B=AA$1), 0)), 1))),  0.5, 0))</f>
        <v>1</v>
      </c>
      <c r="AB79" s="47">
        <f t="array" ref="AB79">IF(AND(ISNUMBER(MATCH(AB$2, AsistenciaJetAdminConcatenada!$A:$A, 0)), ISNUMBER(MATCH(AB$1, AsistenciaJetAdminConcatenada!$B:$B, 0)), ISNUMBER(SEARCH($A79,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ISNUMBER(SEARCH($A79, INDEX(AsistenciaJetAdminConcatenada!$D:$D, MATCH(1, (AsistenciaJetAdminConcatenada!$A:$A=AB$2)*(AsistenciaJetAdminConcatenada!$B:$B=AB$1), 0)), 1))),  0.5, 0))</f>
        <v>1</v>
      </c>
      <c r="AC79" s="47">
        <f t="array" ref="AC79">IF(AND(ISNUMBER(MATCH(AC$2, AsistenciaJetAdminConcatenada!$A:$A, 0)), ISNUMBER(MATCH(AC$1, AsistenciaJetAdminConcatenada!$B:$B, 0)), ISNUMBER(SEARCH($A79,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ISNUMBER(SEARCH($A79, INDEX(AsistenciaJetAdminConcatenada!$D:$D, MATCH(1, (AsistenciaJetAdminConcatenada!$A:$A=AC$2)*(AsistenciaJetAdminConcatenada!$B:$B=AC$1), 0)), 1))),  0.5, 0))</f>
        <v>1</v>
      </c>
      <c r="AD79" s="47">
        <f t="array" ref="AD79">IF(AND(ISNUMBER(MATCH(AD$2, AsistenciaJetAdminConcatenada!$A:$A, 0)), ISNUMBER(MATCH(AD$1, AsistenciaJetAdminConcatenada!$B:$B, 0)), ISNUMBER(SEARCH($A79,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ISNUMBER(SEARCH($A79, INDEX(AsistenciaJetAdminConcatenada!$D:$D, MATCH(1, (AsistenciaJetAdminConcatenada!$A:$A=AD$2)*(AsistenciaJetAdminConcatenada!$B:$B=AD$1), 0)), 1))),  0.5, 0))</f>
        <v>1</v>
      </c>
      <c r="AE79" s="47">
        <f t="array" ref="AE79">IF(AND(ISNUMBER(MATCH(AE$2, AsistenciaJetAdminConcatenada!$A:$A, 0)), ISNUMBER(MATCH(AE$1, AsistenciaJetAdminConcatenada!$B:$B, 0)), ISNUMBER(SEARCH($A79,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ISNUMBER(SEARCH($A79, INDEX(AsistenciaJetAdminConcatenada!$D:$D, MATCH(1, (AsistenciaJetAdminConcatenada!$A:$A=AE$2)*(AsistenciaJetAdminConcatenada!$B:$B=AE$1), 0)), 1))),  0.5, 0))</f>
        <v>1</v>
      </c>
      <c r="AF79" s="47">
        <f t="array" ref="AF79">IF(AND(ISNUMBER(MATCH(AF$2, AsistenciaJetAdminConcatenada!$A:$A, 0)), ISNUMBER(MATCH(AF$1, AsistenciaJetAdminConcatenada!$B:$B, 0)), ISNUMBER(SEARCH($A79,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ISNUMBER(SEARCH($A79, INDEX(AsistenciaJetAdminConcatenada!$D:$D, MATCH(1, (AsistenciaJetAdminConcatenada!$A:$A=AF$2)*(AsistenciaJetAdminConcatenada!$B:$B=AF$1), 0)), 1))),  0.5, 0))</f>
        <v>1</v>
      </c>
      <c r="AG79" s="47">
        <f t="array" ref="AG79">IF(AND(ISNUMBER(MATCH(AG$2, AsistenciaJetAdminConcatenada!$A:$A, 0)), ISNUMBER(MATCH(AG$1, AsistenciaJetAdminConcatenada!$B:$B, 0)), ISNUMBER(SEARCH($A79,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ISNUMBER(SEARCH($A79, INDEX(AsistenciaJetAdminConcatenada!$D:$D, MATCH(1, (AsistenciaJetAdminConcatenada!$A:$A=AG$2)*(AsistenciaJetAdminConcatenada!$B:$B=AG$1), 0)), 1))),  0.5, 0))</f>
        <v>0</v>
      </c>
      <c r="AH79" s="47">
        <f t="array" ref="AH79">IF(AND(ISNUMBER(MATCH(AH$2, AsistenciaJetAdminConcatenada!$A:$A, 0)), ISNUMBER(MATCH(AH$1, AsistenciaJetAdminConcatenada!$B:$B, 0)), ISNUMBER(SEARCH($A79,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ISNUMBER(SEARCH($A79, INDEX(AsistenciaJetAdminConcatenada!$D:$D, MATCH(1, (AsistenciaJetAdminConcatenada!$A:$A=AH$2)*(AsistenciaJetAdminConcatenada!$B:$B=AH$1), 0)), 1))),  0.5, 0))</f>
        <v>0</v>
      </c>
      <c r="AI79" s="47">
        <f t="array" ref="AI79">IF(AND(ISNUMBER(MATCH(AI$2, AsistenciaJetAdminConcatenada!$A:$A, 0)), ISNUMBER(MATCH(AI$1, AsistenciaJetAdminConcatenada!$B:$B, 0)), ISNUMBER(SEARCH($A79,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ISNUMBER(SEARCH($A79, INDEX(AsistenciaJetAdminConcatenada!$D:$D, MATCH(1, (AsistenciaJetAdminConcatenada!$A:$A=AI$2)*(AsistenciaJetAdminConcatenada!$B:$B=AI$1), 0)), 1))),  0.5, 0))</f>
        <v>1</v>
      </c>
      <c r="AJ79" s="47">
        <f t="array" ref="AJ79">IF(AND(ISNUMBER(MATCH(AJ$2, AsistenciaJetAdminConcatenada!$A:$A, 0)), ISNUMBER(MATCH(AJ$1, AsistenciaJetAdminConcatenada!$B:$B, 0)), ISNUMBER(SEARCH($A79,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ISNUMBER(SEARCH($A79, INDEX(AsistenciaJetAdminConcatenada!$D:$D, MATCH(1, (AsistenciaJetAdminConcatenada!$A:$A=AJ$2)*(AsistenciaJetAdminConcatenada!$B:$B=AJ$1), 0)), 1))),  0.5, 0))</f>
        <v>1</v>
      </c>
      <c r="AK79" s="47">
        <f t="array" ref="AK79">IF(AND(ISNUMBER(MATCH(AK$2, AsistenciaJetAdminConcatenada!$A:$A, 0)), ISNUMBER(MATCH(AK$1, AsistenciaJetAdminConcatenada!$B:$B, 0)), ISNUMBER(SEARCH($A79,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ISNUMBER(SEARCH($A79, INDEX(AsistenciaJetAdminConcatenada!$D:$D, MATCH(1, (AsistenciaJetAdminConcatenada!$A:$A=AK$2)*(AsistenciaJetAdminConcatenada!$B:$B=AK$1), 0)), 1))),  0.5, 0))</f>
        <v>0</v>
      </c>
      <c r="AL79" s="47">
        <f t="array" ref="AL79">IF(AND(ISNUMBER(MATCH(AL$2, AsistenciaJetAdminConcatenada!$A:$A, 0)), ISNUMBER(MATCH(AL$1, AsistenciaJetAdminConcatenada!$B:$B, 0)), ISNUMBER(SEARCH($A79,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ISNUMBER(SEARCH($A79, INDEX(AsistenciaJetAdminConcatenada!$D:$D, MATCH(1, (AsistenciaJetAdminConcatenada!$A:$A=AL$2)*(AsistenciaJetAdminConcatenada!$B:$B=AL$1), 0)), 1))),  0.5, 0))</f>
        <v>1</v>
      </c>
      <c r="AM79" s="47">
        <f t="array" ref="AM79">IF(AND(ISNUMBER(MATCH(AM$2, AsistenciaJetAdminConcatenada!$A:$A, 0)), ISNUMBER(MATCH(AM$1, AsistenciaJetAdminConcatenada!$B:$B, 0)), ISNUMBER(SEARCH($A79,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ISNUMBER(SEARCH($A79, INDEX(AsistenciaJetAdminConcatenada!$D:$D, MATCH(1, (AsistenciaJetAdminConcatenada!$A:$A=AM$2)*(AsistenciaJetAdminConcatenada!$B:$B=AM$1), 0)), 1))),  0.5, 0))</f>
        <v>0</v>
      </c>
      <c r="AN79" s="47">
        <f t="array" ref="AN79">IF(AND(ISNUMBER(MATCH(AN$2, AsistenciaJetAdminConcatenada!$A:$A, 0)), ISNUMBER(MATCH(AN$1, AsistenciaJetAdminConcatenada!$B:$B, 0)), ISNUMBER(SEARCH($A79,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ISNUMBER(SEARCH($A79, INDEX(AsistenciaJetAdminConcatenada!$D:$D, MATCH(1, (AsistenciaJetAdminConcatenada!$A:$A=AN$2)*(AsistenciaJetAdminConcatenada!$B:$B=AN$1), 0)), 1))),  0.5, 0))</f>
        <v>1</v>
      </c>
      <c r="AO79" s="47">
        <f t="array" ref="AO79">IF(AND(ISNUMBER(MATCH(AO$2, AsistenciaJetAdminConcatenada!$A:$A, 0)), ISNUMBER(MATCH(AO$1, AsistenciaJetAdminConcatenada!$B:$B, 0)), ISNUMBER(SEARCH($A79,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ISNUMBER(SEARCH($A79, INDEX(AsistenciaJetAdminConcatenada!$D:$D, MATCH(1, (AsistenciaJetAdminConcatenada!$A:$A=AO$2)*(AsistenciaJetAdminConcatenada!$B:$B=AO$1), 0)), 1))),  0.5, 0))</f>
        <v>1</v>
      </c>
      <c r="AP79" s="47">
        <f t="array" ref="AP79">IF(AND(ISNUMBER(MATCH(AP$2, AsistenciaJetAdminConcatenada!$A:$A, 0)), ISNUMBER(MATCH(AP$1, AsistenciaJetAdminConcatenada!$B:$B, 0)), ISNUMBER(SEARCH($A79,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ISNUMBER(SEARCH($A79, INDEX(AsistenciaJetAdminConcatenada!$D:$D, MATCH(1, (AsistenciaJetAdminConcatenada!$A:$A=AP$2)*(AsistenciaJetAdminConcatenada!$B:$B=AP$1), 0)), 1))),  0.5, 0))</f>
        <v>1</v>
      </c>
      <c r="AQ79" s="47">
        <f t="array" ref="AQ79">IF(AND(ISNUMBER(MATCH(AQ$2, AsistenciaJetAdminConcatenada!$A:$A, 0)), ISNUMBER(MATCH(AQ$1, AsistenciaJetAdminConcatenada!$B:$B, 0)), ISNUMBER(SEARCH($A79,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ISNUMBER(SEARCH($A79, INDEX(AsistenciaJetAdminConcatenada!$D:$D, MATCH(1, (AsistenciaJetAdminConcatenada!$A:$A=AQ$2)*(AsistenciaJetAdminConcatenada!$B:$B=AQ$1), 0)), 1))),  0.5, 0))</f>
        <v>0</v>
      </c>
      <c r="AR79" s="47">
        <f t="array" ref="AR79">IF(AND(ISNUMBER(MATCH(AR$2, AsistenciaJetAdminConcatenada!$A:$A, 0)), ISNUMBER(MATCH(AR$1, AsistenciaJetAdminConcatenada!$B:$B, 0)), ISNUMBER(SEARCH($A79,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ISNUMBER(SEARCH($A79, INDEX(AsistenciaJetAdminConcatenada!$D:$D, MATCH(1, (AsistenciaJetAdminConcatenada!$A:$A=AR$2)*(AsistenciaJetAdminConcatenada!$B:$B=AR$1), 0)), 1))),  0.5, 0))</f>
        <v>1</v>
      </c>
      <c r="AS79" s="47">
        <f t="array" ref="AS79">IF(AND(ISNUMBER(MATCH(AS$2, AsistenciaJetAdminConcatenada!$A:$A, 0)), ISNUMBER(MATCH(AS$1, AsistenciaJetAdminConcatenada!$B:$B, 0)), ISNUMBER(SEARCH($A79,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ISNUMBER(SEARCH($A79, INDEX(AsistenciaJetAdminConcatenada!$D:$D, MATCH(1, (AsistenciaJetAdminConcatenada!$A:$A=AS$2)*(AsistenciaJetAdminConcatenada!$B:$B=AS$1), 0)), 1))),  0.5, 0))</f>
        <v>0.5</v>
      </c>
      <c r="AT79" s="47">
        <f t="array" ref="AT79">IF(AND(ISNUMBER(MATCH(AT$2, AsistenciaJetAdminConcatenada!$A:$A, 0)), ISNUMBER(MATCH(AT$1, AsistenciaJetAdminConcatenada!$B:$B, 0)), ISNUMBER(SEARCH($A79,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ISNUMBER(SEARCH($A79, INDEX(AsistenciaJetAdminConcatenada!$D:$D, MATCH(1, (AsistenciaJetAdminConcatenada!$A:$A=AT$2)*(AsistenciaJetAdminConcatenada!$B:$B=AT$1), 0)), 1))),  0.5, 0))</f>
        <v>1</v>
      </c>
      <c r="AU79" s="47">
        <f t="array" ref="AU79">IF(AND(ISNUMBER(MATCH(AU$2, AsistenciaJetAdminConcatenada!$A:$A, 0)), ISNUMBER(MATCH(AU$1, AsistenciaJetAdminConcatenada!$B:$B, 0)), ISNUMBER(SEARCH($A79,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ISNUMBER(SEARCH($A79, INDEX(AsistenciaJetAdminConcatenada!$D:$D, MATCH(1, (AsistenciaJetAdminConcatenada!$A:$A=AU$2)*(AsistenciaJetAdminConcatenada!$B:$B=AU$1), 0)), 1))),  0.5, 0))</f>
        <v>0</v>
      </c>
      <c r="AV79" s="47">
        <f t="array" ref="AV79">IF(AND(ISNUMBER(MATCH(AV$2, AsistenciaJetAdminConcatenada!$A:$A, 0)), ISNUMBER(MATCH(AV$1, AsistenciaJetAdminConcatenada!$B:$B, 0)), ISNUMBER(SEARCH($A79,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ISNUMBER(SEARCH($A79, INDEX(AsistenciaJetAdminConcatenada!$D:$D, MATCH(1, (AsistenciaJetAdminConcatenada!$A:$A=AV$2)*(AsistenciaJetAdminConcatenada!$B:$B=AV$1), 0)), 1))),  0.5, 0))</f>
        <v>1</v>
      </c>
      <c r="AW79" s="47">
        <f t="array" ref="AW79">IF(AND(ISNUMBER(MATCH(AW$2, AsistenciaJetAdminConcatenada!$A:$A, 0)), ISNUMBER(MATCH(AW$1, AsistenciaJetAdminConcatenada!$B:$B, 0)), ISNUMBER(SEARCH($A79,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ISNUMBER(SEARCH($A79, INDEX(AsistenciaJetAdminConcatenada!$D:$D, MATCH(1, (AsistenciaJetAdminConcatenada!$A:$A=AW$2)*(AsistenciaJetAdminConcatenada!$B:$B=AW$1), 0)), 1))),  0.5, 0))</f>
        <v>1</v>
      </c>
      <c r="AX79" s="47">
        <f t="array" ref="AX79">IF(AND(ISNUMBER(MATCH(AX$2, AsistenciaJetAdminConcatenada!$A:$A, 0)), ISNUMBER(MATCH(AX$1, AsistenciaJetAdminConcatenada!$B:$B, 0)), ISNUMBER(SEARCH($A79,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ISNUMBER(SEARCH($A79, INDEX(AsistenciaJetAdminConcatenada!$D:$D, MATCH(1, (AsistenciaJetAdminConcatenada!$A:$A=AX$2)*(AsistenciaJetAdminConcatenada!$B:$B=AX$1), 0)), 1))),  0.5, 0))</f>
        <v>1</v>
      </c>
      <c r="AY79" s="47">
        <f t="array" ref="AY79">IF(AND(ISNUMBER(MATCH(AY$2, AsistenciaJetAdminConcatenada!$A:$A, 0)), ISNUMBER(MATCH(AY$1, AsistenciaJetAdminConcatenada!$B:$B, 0)), ISNUMBER(SEARCH($A79,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ISNUMBER(SEARCH($A79, INDEX(AsistenciaJetAdminConcatenada!$D:$D, MATCH(1, (AsistenciaJetAdminConcatenada!$A:$A=AY$2)*(AsistenciaJetAdminConcatenada!$B:$B=AY$1), 0)), 1))),  0.5, 0))</f>
        <v>1</v>
      </c>
      <c r="AZ79" s="47">
        <f t="array" ref="AZ79">IF(AND(ISNUMBER(MATCH(AZ$2, AsistenciaJetAdminConcatenada!$A:$A, 0)), ISNUMBER(MATCH(AZ$1, AsistenciaJetAdminConcatenada!$B:$B, 0)), ISNUMBER(SEARCH($A79,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ISNUMBER(SEARCH($A79, INDEX(AsistenciaJetAdminConcatenada!$D:$D, MATCH(1, (AsistenciaJetAdminConcatenada!$A:$A=AZ$2)*(AsistenciaJetAdminConcatenada!$B:$B=AZ$1), 0)), 1))),  0.5, 0))</f>
        <v>1</v>
      </c>
      <c r="BA79" s="47">
        <f t="array" ref="BA79">IF(AND(ISNUMBER(MATCH(BA$2, AsistenciaJetAdminConcatenada!$A:$A, 0)), ISNUMBER(MATCH(BA$1, AsistenciaJetAdminConcatenada!$B:$B, 0)), ISNUMBER(SEARCH($A79,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ISNUMBER(SEARCH($A79, INDEX(AsistenciaJetAdminConcatenada!$D:$D, MATCH(1, (AsistenciaJetAdminConcatenada!$A:$A=BA$2)*(AsistenciaJetAdminConcatenada!$B:$B=BA$1), 0)), 1))),  0.5, 0))</f>
        <v>1</v>
      </c>
      <c r="BB79" s="47">
        <f t="array" ref="BB79">IF(AND(ISNUMBER(MATCH(BB$2, AsistenciaJetAdminConcatenada!$A:$A, 0)), ISNUMBER(MATCH(BB$1, AsistenciaJetAdminConcatenada!$B:$B, 0)), ISNUMBER(SEARCH($A79,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ISNUMBER(SEARCH($A79, INDEX(AsistenciaJetAdminConcatenada!$D:$D, MATCH(1, (AsistenciaJetAdminConcatenada!$A:$A=BB$2)*(AsistenciaJetAdminConcatenada!$B:$B=BB$1), 0)), 1))),  0.5, 0))</f>
        <v>1</v>
      </c>
      <c r="BC79" s="47">
        <f t="array" ref="BC79">IF(AND(ISNUMBER(MATCH(BC$2, AsistenciaJetAdminConcatenada!$A:$A, 0)), ISNUMBER(MATCH(BC$1, AsistenciaJetAdminConcatenada!$B:$B, 0)), ISNUMBER(SEARCH($A79,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ISNUMBER(SEARCH($A79, INDEX(AsistenciaJetAdminConcatenada!$D:$D, MATCH(1, (AsistenciaJetAdminConcatenada!$A:$A=BC$2)*(AsistenciaJetAdminConcatenada!$B:$B=BC$1), 0)), 1))),  0.5, 0))</f>
        <v>1</v>
      </c>
      <c r="BD79" s="47">
        <f t="array" ref="BD79">IF(AND(ISNUMBER(MATCH(BD$2, AsistenciaJetAdminConcatenada!$A:$A, 0)), ISNUMBER(MATCH(BD$1, AsistenciaJetAdminConcatenada!$B:$B, 0)), ISNUMBER(SEARCH($A79,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ISNUMBER(SEARCH($A79, INDEX(AsistenciaJetAdminConcatenada!$D:$D, MATCH(1, (AsistenciaJetAdminConcatenada!$A:$A=BD$2)*(AsistenciaJetAdminConcatenada!$B:$B=BD$1), 0)), 1))),  0.5, 0))</f>
        <v>0.5</v>
      </c>
      <c r="BE79" s="47">
        <f t="array" ref="BE79">IF(AND(ISNUMBER(MATCH(BE$2, AsistenciaJetAdminConcatenada!$A:$A, 0)), ISNUMBER(MATCH(BE$1, AsistenciaJetAdminConcatenada!$B:$B, 0)), ISNUMBER(SEARCH($A79,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ISNUMBER(SEARCH($A79, INDEX(AsistenciaJetAdminConcatenada!$D:$D, MATCH(1, (AsistenciaJetAdminConcatenada!$A:$A=BE$2)*(AsistenciaJetAdminConcatenada!$B:$B=BE$1), 0)), 1))),  0.5, 0))</f>
        <v>1</v>
      </c>
      <c r="BF79" s="47">
        <f t="array" ref="BF79">IF(AND(ISNUMBER(MATCH(BF$2, AsistenciaJetAdminConcatenada!$A:$A, 0)), ISNUMBER(MATCH(BF$1, AsistenciaJetAdminConcatenada!$B:$B, 0)), ISNUMBER(SEARCH($A79,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ISNUMBER(SEARCH($A79, INDEX(AsistenciaJetAdminConcatenada!$D:$D, MATCH(1, (AsistenciaJetAdminConcatenada!$A:$A=BF$2)*(AsistenciaJetAdminConcatenada!$B:$B=BF$1), 0)), 1))),  0.5, 0))</f>
        <v>1</v>
      </c>
      <c r="BG79" s="47">
        <f t="array" ref="BG79">IF(AND(ISNUMBER(MATCH(BG$2, AsistenciaJetAdminConcatenada!$A:$A, 0)), ISNUMBER(MATCH(BG$1, AsistenciaJetAdminConcatenada!$B:$B, 0)), ISNUMBER(SEARCH($A79,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ISNUMBER(SEARCH($A79, INDEX(AsistenciaJetAdminConcatenada!$D:$D, MATCH(1, (AsistenciaJetAdminConcatenada!$A:$A=BG$2)*(AsistenciaJetAdminConcatenada!$B:$B=BG$1), 0)), 1))),  0.5, 0))</f>
        <v>1</v>
      </c>
      <c r="BH79" s="47">
        <f t="array" ref="BH79">IF(AND(ISNUMBER(MATCH(BH$2, AsistenciaJetAdminConcatenada!$A:$A, 0)), ISNUMBER(MATCH(BH$1, AsistenciaJetAdminConcatenada!$B:$B, 0)), ISNUMBER(SEARCH($A79,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ISNUMBER(SEARCH($A79, INDEX(AsistenciaJetAdminConcatenada!$D:$D, MATCH(1, (AsistenciaJetAdminConcatenada!$A:$A=BH$2)*(AsistenciaJetAdminConcatenada!$B:$B=BH$1), 0)), 1))),  0.5, 0))</f>
        <v>1</v>
      </c>
      <c r="BI79" s="47">
        <f t="array" ref="BI79">IF(AND(ISNUMBER(MATCH(BI$2, AsistenciaJetAdminConcatenada!$A:$A, 0)), ISNUMBER(MATCH(BI$1, AsistenciaJetAdminConcatenada!$B:$B, 0)), ISNUMBER(SEARCH($A79,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ISNUMBER(SEARCH($A79, INDEX(AsistenciaJetAdminConcatenada!$D:$D, MATCH(1, (AsistenciaJetAdminConcatenada!$A:$A=BI$2)*(AsistenciaJetAdminConcatenada!$B:$B=BI$1), 0)), 1))),  0.5, 0))</f>
        <v>0</v>
      </c>
      <c r="BJ79" s="47">
        <f t="array" ref="BJ79">IF(AND(ISNUMBER(MATCH(BJ$2, AsistenciaJetAdminConcatenada!$A:$A, 0)), ISNUMBER(MATCH(BJ$1, AsistenciaJetAdminConcatenada!$B:$B, 0)), ISNUMBER(SEARCH($A79,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ISNUMBER(SEARCH($A79, INDEX(AsistenciaJetAdminConcatenada!$D:$D, MATCH(1, (AsistenciaJetAdminConcatenada!$A:$A=BJ$2)*(AsistenciaJetAdminConcatenada!$B:$B=BJ$1), 0)), 1))),  0.5, 0))</f>
        <v>0</v>
      </c>
      <c r="BK79" s="47">
        <f t="array" ref="BK79">IF(AND(ISNUMBER(MATCH(BK$2, AsistenciaJetAdminConcatenada!$A:$A, 0)), ISNUMBER(MATCH(BK$1, AsistenciaJetAdminConcatenada!$B:$B, 0)), ISNUMBER(SEARCH($A79,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ISNUMBER(SEARCH($A79, INDEX(AsistenciaJetAdminConcatenada!$D:$D, MATCH(1, (AsistenciaJetAdminConcatenada!$A:$A=BK$2)*(AsistenciaJetAdminConcatenada!$B:$B=BK$1), 0)), 1))),  0.5, 0))</f>
        <v>1</v>
      </c>
      <c r="BL79" s="47">
        <f t="array" ref="BL79">IF(AND(ISNUMBER(MATCH(BL$2, AsistenciaJetAdminConcatenada!$A:$A, 0)), ISNUMBER(MATCH(BL$1, AsistenciaJetAdminConcatenada!$B:$B, 0)), ISNUMBER(SEARCH($A79,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ISNUMBER(SEARCH($A79, INDEX(AsistenciaJetAdminConcatenada!$D:$D, MATCH(1, (AsistenciaJetAdminConcatenada!$A:$A=BL$2)*(AsistenciaJetAdminConcatenada!$B:$B=BL$1), 0)), 1))),  0.5, 0))</f>
        <v>1</v>
      </c>
      <c r="BM79" s="47">
        <f t="array" ref="BM79">IF(AND(ISNUMBER(MATCH(BM$2, AsistenciaJetAdminConcatenada!$A:$A, 0)), ISNUMBER(MATCH(BM$1, AsistenciaJetAdminConcatenada!$B:$B, 0)), ISNUMBER(SEARCH($A79,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ISNUMBER(SEARCH($A79, INDEX(AsistenciaJetAdminConcatenada!$D:$D, MATCH(1, (AsistenciaJetAdminConcatenada!$A:$A=BM$2)*(AsistenciaJetAdminConcatenada!$B:$B=BM$1), 0)), 1))),  0.5, 0))</f>
        <v>1</v>
      </c>
      <c r="BN79" s="47">
        <f t="array" ref="BN79">IF(AND(ISNUMBER(MATCH(BN$2, AsistenciaJetAdminConcatenada!$A:$A, 0)), ISNUMBER(MATCH(BN$1, AsistenciaJetAdminConcatenada!$B:$B, 0)), ISNUMBER(SEARCH($A79,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ISNUMBER(SEARCH($A79, INDEX(AsistenciaJetAdminConcatenada!$D:$D, MATCH(1, (AsistenciaJetAdminConcatenada!$A:$A=BN$2)*(AsistenciaJetAdminConcatenada!$B:$B=BN$1), 0)), 1))),  0.5, 0))</f>
        <v>1</v>
      </c>
      <c r="BO79" s="47">
        <f t="array" ref="BO79">IF(AND(ISNUMBER(MATCH(BO$2, AsistenciaJetAdminConcatenada!$A:$A, 0)), ISNUMBER(MATCH(BO$1, AsistenciaJetAdminConcatenada!$B:$B, 0)), ISNUMBER(SEARCH($A79,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ISNUMBER(SEARCH($A79, INDEX(AsistenciaJetAdminConcatenada!$D:$D, MATCH(1, (AsistenciaJetAdminConcatenada!$A:$A=BO$2)*(AsistenciaJetAdminConcatenada!$B:$B=BO$1), 0)), 1))),  0.5, 0))</f>
        <v>1</v>
      </c>
      <c r="BP79" s="47">
        <f t="array" ref="BP79">IF(AND(ISNUMBER(MATCH(BP$2, AsistenciaJetAdminConcatenada!$A:$A, 0)), ISNUMBER(MATCH(BP$1, AsistenciaJetAdminConcatenada!$B:$B, 0)), ISNUMBER(SEARCH($A79,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ISNUMBER(SEARCH($A79, INDEX(AsistenciaJetAdminConcatenada!$D:$D, MATCH(1, (AsistenciaJetAdminConcatenada!$A:$A=BP$2)*(AsistenciaJetAdminConcatenada!$B:$B=BP$1), 0)), 1))),  0.5, 0))</f>
        <v>1</v>
      </c>
      <c r="BQ79" s="47">
        <f t="array" ref="BQ79">IF(AND(ISNUMBER(MATCH(BQ$2, AsistenciaJetAdminConcatenada!$A:$A, 0)), ISNUMBER(MATCH(BQ$1, AsistenciaJetAdminConcatenada!$B:$B, 0)), ISNUMBER(SEARCH($A79,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ISNUMBER(SEARCH($A79, INDEX(AsistenciaJetAdminConcatenada!$D:$D, MATCH(1, (AsistenciaJetAdminConcatenada!$A:$A=BQ$2)*(AsistenciaJetAdminConcatenada!$B:$B=BQ$1), 0)), 1))),  0.5, 0))</f>
        <v>1</v>
      </c>
      <c r="BR79" s="47">
        <f t="array" ref="BR79">IF(AND(ISNUMBER(MATCH(BR$2, AsistenciaJetAdminConcatenada!$A:$A, 0)), ISNUMBER(MATCH(BR$1, AsistenciaJetAdminConcatenada!$B:$B, 0)), ISNUMBER(SEARCH($A79,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ISNUMBER(SEARCH($A79, INDEX(AsistenciaJetAdminConcatenada!$D:$D, MATCH(1, (AsistenciaJetAdminConcatenada!$A:$A=BR$2)*(AsistenciaJetAdminConcatenada!$B:$B=BR$1), 0)), 1))),  0.5, 0))</f>
        <v>1</v>
      </c>
      <c r="BS79" s="47">
        <f t="array" ref="BS79">IF(AND(ISNUMBER(MATCH(BS$2, AsistenciaJetAdminConcatenada!$A:$A, 0)), ISNUMBER(MATCH(BS$1, AsistenciaJetAdminConcatenada!$B:$B, 0)), ISNUMBER(SEARCH($A79,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ISNUMBER(SEARCH($A79, INDEX(AsistenciaJetAdminConcatenada!$D:$D, MATCH(1, (AsistenciaJetAdminConcatenada!$A:$A=BS$2)*(AsistenciaJetAdminConcatenada!$B:$B=BS$1), 0)), 1))),  0.5, 0))</f>
        <v>1</v>
      </c>
      <c r="BT79" s="47">
        <f t="array" ref="BT79">IF(AND(ISNUMBER(MATCH(BT$2, AsistenciaJetAdminConcatenada!$A:$A, 0)), ISNUMBER(MATCH(BT$1, AsistenciaJetAdminConcatenada!$B:$B, 0)), ISNUMBER(SEARCH($A79,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ISNUMBER(SEARCH($A79, INDEX(AsistenciaJetAdminConcatenada!$D:$D, MATCH(1, (AsistenciaJetAdminConcatenada!$A:$A=BT$2)*(AsistenciaJetAdminConcatenada!$B:$B=BT$1), 0)), 1))),  0.5, 0))</f>
        <v>1</v>
      </c>
      <c r="BU79" s="47">
        <f t="array" ref="BU79">IF(AND(ISNUMBER(MATCH(BU$2, AsistenciaJetAdminConcatenada!$A:$A, 0)), ISNUMBER(MATCH(BU$1, AsistenciaJetAdminConcatenada!$B:$B, 0)), ISNUMBER(SEARCH($A79,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ISNUMBER(SEARCH($A79, INDEX(AsistenciaJetAdminConcatenada!$D:$D, MATCH(1, (AsistenciaJetAdminConcatenada!$A:$A=BU$2)*(AsistenciaJetAdminConcatenada!$B:$B=BU$1), 0)), 1))),  0.5, 0))</f>
        <v>1</v>
      </c>
      <c r="BV79" s="47">
        <f t="array" ref="BV79">IF(AND(ISNUMBER(MATCH(BV$2, AsistenciaJetAdminConcatenada!$A:$A, 0)), ISNUMBER(MATCH(BV$1, AsistenciaJetAdminConcatenada!$B:$B, 0)), ISNUMBER(SEARCH($A79,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ISNUMBER(SEARCH($A79, INDEX(AsistenciaJetAdminConcatenada!$D:$D, MATCH(1, (AsistenciaJetAdminConcatenada!$A:$A=BV$2)*(AsistenciaJetAdminConcatenada!$B:$B=BV$1), 0)), 1))),  0.5, 0))</f>
        <v>0</v>
      </c>
      <c r="BW79" s="47">
        <f t="array" ref="BW79">IF(AND(ISNUMBER(MATCH(BW$2, AsistenciaJetAdminConcatenada!$A:$A, 0)), ISNUMBER(MATCH(BW$1, AsistenciaJetAdminConcatenada!$B:$B, 0)), ISNUMBER(SEARCH($A79,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ISNUMBER(SEARCH($A79, INDEX(AsistenciaJetAdminConcatenada!$D:$D, MATCH(1, (AsistenciaJetAdminConcatenada!$A:$A=BW$2)*(AsistenciaJetAdminConcatenada!$B:$B=BW$1), 0)), 1))),  0.5, 0))</f>
        <v>1</v>
      </c>
      <c r="BX79" s="47">
        <f t="array" ref="BX79">IF(AND(ISNUMBER(MATCH(BX$2, AsistenciaJetAdminConcatenada!$A:$A, 0)), ISNUMBER(MATCH(BX$1, AsistenciaJetAdminConcatenada!$B:$B, 0)), ISNUMBER(SEARCH($A79,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ISNUMBER(SEARCH($A79, INDEX(AsistenciaJetAdminConcatenada!$D:$D, MATCH(1, (AsistenciaJetAdminConcatenada!$A:$A=BX$2)*(AsistenciaJetAdminConcatenada!$B:$B=BX$1), 0)), 1))),  0.5, 0))</f>
        <v>0</v>
      </c>
      <c r="BY79" s="47">
        <f t="array" ref="BY79">IF(AND(ISNUMBER(MATCH(BY$2, AsistenciaJetAdminConcatenada!$A:$A, 0)), ISNUMBER(MATCH(BY$1, AsistenciaJetAdminConcatenada!$B:$B, 0)), ISNUMBER(SEARCH($A79,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ISNUMBER(SEARCH($A79, INDEX(AsistenciaJetAdminConcatenada!$D:$D, MATCH(1, (AsistenciaJetAdminConcatenada!$A:$A=BY$2)*(AsistenciaJetAdminConcatenada!$B:$B=BY$1), 0)), 1))),  0.5, 0))</f>
        <v>1</v>
      </c>
      <c r="BZ79" s="47">
        <f t="array" ref="BZ79">IF(AND(ISNUMBER(MATCH(BZ$2, AsistenciaJetAdminConcatenada!$A:$A, 0)), ISNUMBER(MATCH(BZ$1, AsistenciaJetAdminConcatenada!$B:$B, 0)), ISNUMBER(SEARCH($A79,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ISNUMBER(SEARCH($A79, INDEX(AsistenciaJetAdminConcatenada!$D:$D, MATCH(1, (AsistenciaJetAdminConcatenada!$A:$A=BZ$2)*(AsistenciaJetAdminConcatenada!$B:$B=BZ$1), 0)), 1))),  0.5, 0))</f>
        <v>1</v>
      </c>
      <c r="CA79" s="47">
        <f t="array" ref="CA79">IF(AND(ISNUMBER(MATCH(CA$2, AsistenciaJetAdminConcatenada!$A:$A, 0)), ISNUMBER(MATCH(CA$1, AsistenciaJetAdminConcatenada!$B:$B, 0)), ISNUMBER(SEARCH($A79,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ISNUMBER(SEARCH($A79, INDEX(AsistenciaJetAdminConcatenada!$D:$D, MATCH(1, (AsistenciaJetAdminConcatenada!$A:$A=CA$2)*(AsistenciaJetAdminConcatenada!$B:$B=CA$1), 0)), 1))),  0.5, 0))</f>
        <v>1</v>
      </c>
      <c r="CB79" s="47">
        <f t="array" ref="CB79">IF(AND(ISNUMBER(MATCH(CB$2, AsistenciaJetAdminConcatenada!$A:$A, 0)), ISNUMBER(MATCH(CB$1, AsistenciaJetAdminConcatenada!$B:$B, 0)), ISNUMBER(SEARCH($A79,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ISNUMBER(SEARCH($A79, INDEX(AsistenciaJetAdminConcatenada!$D:$D, MATCH(1, (AsistenciaJetAdminConcatenada!$A:$A=CB$2)*(AsistenciaJetAdminConcatenada!$B:$B=CB$1), 0)), 1))),  0.5, 0))</f>
        <v>1</v>
      </c>
      <c r="CC79" s="47">
        <f t="array" ref="CC79">IF(AND(ISNUMBER(MATCH(CC$2, AsistenciaJetAdminConcatenada!$A:$A, 0)), ISNUMBER(MATCH(CC$1, AsistenciaJetAdminConcatenada!$B:$B, 0)), ISNUMBER(SEARCH($A79,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ISNUMBER(SEARCH($A79, INDEX(AsistenciaJetAdminConcatenada!$D:$D, MATCH(1, (AsistenciaJetAdminConcatenada!$A:$A=CC$2)*(AsistenciaJetAdminConcatenada!$B:$B=CC$1), 0)), 1))),  0.5, 0))</f>
        <v>1</v>
      </c>
      <c r="CD79" s="47">
        <f t="array" ref="CD79">IF(AND(ISNUMBER(MATCH(CD$2, AsistenciaJetAdminConcatenada!$A:$A, 0)), ISNUMBER(MATCH(CD$1, AsistenciaJetAdminConcatenada!$B:$B, 0)), ISNUMBER(SEARCH($A79,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ISNUMBER(SEARCH($A79, INDEX(AsistenciaJetAdminConcatenada!$D:$D, MATCH(1, (AsistenciaJetAdminConcatenada!$A:$A=CD$2)*(AsistenciaJetAdminConcatenada!$B:$B=CD$1), 0)), 1))),  0.5, 0))</f>
        <v>1</v>
      </c>
      <c r="CE79" s="47">
        <f t="array" ref="CE79">IF(AND(ISNUMBER(MATCH(CE$2, AsistenciaJetAdminConcatenada!$A:$A, 0)), ISNUMBER(MATCH(CE$1, AsistenciaJetAdminConcatenada!$B:$B, 0)), ISNUMBER(SEARCH($A79,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ISNUMBER(SEARCH($A79, INDEX(AsistenciaJetAdminConcatenada!$D:$D, MATCH(1, (AsistenciaJetAdminConcatenada!$A:$A=CE$2)*(AsistenciaJetAdminConcatenada!$B:$B=CE$1), 0)), 1))),  0.5, 0))</f>
        <v>1</v>
      </c>
      <c r="CF79" s="47">
        <f t="array" ref="CF79">IF(AND(ISNUMBER(MATCH(CF$2, AsistenciaJetAdminConcatenada!$A:$A, 0)), ISNUMBER(MATCH(CF$1, AsistenciaJetAdminConcatenada!$B:$B, 0)), ISNUMBER(SEARCH($A79,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ISNUMBER(SEARCH($A79, INDEX(AsistenciaJetAdminConcatenada!$D:$D, MATCH(1, (AsistenciaJetAdminConcatenada!$A:$A=CF$2)*(AsistenciaJetAdminConcatenada!$B:$B=CF$1), 0)), 1))),  0.5, 0))</f>
        <v>0.5</v>
      </c>
      <c r="CG79" s="47">
        <f t="array" ref="CG79">IF(AND(ISNUMBER(MATCH(CG$2, AsistenciaJetAdminConcatenada!$A:$A, 0)), ISNUMBER(MATCH(CG$1, AsistenciaJetAdminConcatenada!$B:$B, 0)), ISNUMBER(SEARCH($A79,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ISNUMBER(SEARCH($A79, INDEX(AsistenciaJetAdminConcatenada!$D:$D, MATCH(1, (AsistenciaJetAdminConcatenada!$A:$A=CG$2)*(AsistenciaJetAdminConcatenada!$B:$B=CG$1), 0)), 1))),  0.5, 0))</f>
        <v>0</v>
      </c>
      <c r="CH79" s="47">
        <f t="array" ref="CH79">IF(AND(ISNUMBER(MATCH(CH$2, AsistenciaJetAdminConcatenada!$A:$A, 0)), ISNUMBER(MATCH(CH$1, AsistenciaJetAdminConcatenada!$B:$B, 0)), ISNUMBER(SEARCH($A79,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ISNUMBER(SEARCH($A79, INDEX(AsistenciaJetAdminConcatenada!$D:$D, MATCH(1, (AsistenciaJetAdminConcatenada!$A:$A=CH$2)*(AsistenciaJetAdminConcatenada!$B:$B=CH$1), 0)), 1))),  0.5, 0))</f>
        <v>0</v>
      </c>
      <c r="CI79" s="47">
        <f t="array" ref="CI79">IF(AND(ISNUMBER(MATCH(CI$2, AsistenciaJetAdminConcatenada!$A:$A, 0)), ISNUMBER(MATCH(CI$1, AsistenciaJetAdminConcatenada!$B:$B, 0)), ISNUMBER(SEARCH($A79,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ISNUMBER(SEARCH($A79, INDEX(AsistenciaJetAdminConcatenada!$D:$D, MATCH(1, (AsistenciaJetAdminConcatenada!$A:$A=CI$2)*(AsistenciaJetAdminConcatenada!$B:$B=CI$1), 0)), 1))),  0.5, 0))</f>
        <v>1</v>
      </c>
      <c r="CJ79" s="47">
        <f t="array" ref="CJ79">IF(AND(ISNUMBER(MATCH(CJ$2, AsistenciaJetAdminConcatenada!$A:$A, 0)), ISNUMBER(MATCH(CJ$1, AsistenciaJetAdminConcatenada!$B:$B, 0)), ISNUMBER(SEARCH($A79,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ISNUMBER(SEARCH($A79, INDEX(AsistenciaJetAdminConcatenada!$D:$D, MATCH(1, (AsistenciaJetAdminConcatenada!$A:$A=CJ$2)*(AsistenciaJetAdminConcatenada!$B:$B=CJ$1), 0)), 1))),  0.5, 0))</f>
        <v>1</v>
      </c>
      <c r="CK79" s="47">
        <f t="array" ref="CK79">IF(AND(ISNUMBER(MATCH(CK$2, AsistenciaJetAdminConcatenada!$A:$A, 0)), ISNUMBER(MATCH(CK$1, AsistenciaJetAdminConcatenada!$B:$B, 0)), ISNUMBER(SEARCH($A79,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ISNUMBER(SEARCH($A79, INDEX(AsistenciaJetAdminConcatenada!$D:$D, MATCH(1, (AsistenciaJetAdminConcatenada!$A:$A=CK$2)*(AsistenciaJetAdminConcatenada!$B:$B=CK$1), 0)), 1))),  0.5, 0))</f>
        <v>0</v>
      </c>
      <c r="CL79" s="47">
        <f t="array" ref="CL79">IF(AND(ISNUMBER(MATCH(CL$2, AsistenciaJetAdminConcatenada!$A:$A, 0)), ISNUMBER(MATCH(CL$1, AsistenciaJetAdminConcatenada!$B:$B, 0)), ISNUMBER(SEARCH($A79,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ISNUMBER(SEARCH($A79, INDEX(AsistenciaJetAdminConcatenada!$D:$D, MATCH(1, (AsistenciaJetAdminConcatenada!$A:$A=CL$2)*(AsistenciaJetAdminConcatenada!$B:$B=CL$1), 0)), 1))),  0.5, 0))</f>
        <v>1</v>
      </c>
      <c r="CM79" s="47">
        <f t="array" ref="CM79">IF(AND(ISNUMBER(MATCH(CM$2, AsistenciaJetAdminConcatenada!$A:$A, 0)), ISNUMBER(MATCH(CM$1, AsistenciaJetAdminConcatenada!$B:$B, 0)), ISNUMBER(SEARCH($A79,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ISNUMBER(SEARCH($A79, INDEX(AsistenciaJetAdminConcatenada!$D:$D, MATCH(1, (AsistenciaJetAdminConcatenada!$A:$A=CM$2)*(AsistenciaJetAdminConcatenada!$B:$B=CM$1), 0)), 1))),  0.5, 0))</f>
        <v>1</v>
      </c>
      <c r="CN79" s="47">
        <f t="array" ref="CN79">IF(AND(ISNUMBER(MATCH(CN$2, AsistenciaJetAdminConcatenada!$A:$A, 0)), ISNUMBER(MATCH(CN$1, AsistenciaJetAdminConcatenada!$B:$B, 0)), ISNUMBER(SEARCH($A79,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ISNUMBER(SEARCH($A79, INDEX(AsistenciaJetAdminConcatenada!$D:$D, MATCH(1, (AsistenciaJetAdminConcatenada!$A:$A=CN$2)*(AsistenciaJetAdminConcatenada!$B:$B=CN$1), 0)), 1))),  0.5, 0))</f>
        <v>1</v>
      </c>
      <c r="CO79" s="47">
        <f t="array" ref="CO79">IF(AND(ISNUMBER(MATCH(CO$2, AsistenciaJetAdminConcatenada!$A:$A, 0)), ISNUMBER(MATCH(CO$1, AsistenciaJetAdminConcatenada!$B:$B, 0)), ISNUMBER(SEARCH($A79,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ISNUMBER(SEARCH($A79, INDEX(AsistenciaJetAdminConcatenada!$D:$D, MATCH(1, (AsistenciaJetAdminConcatenada!$A:$A=CO$2)*(AsistenciaJetAdminConcatenada!$B:$B=CO$1), 0)), 1))),  0.5, 0))</f>
        <v>1</v>
      </c>
      <c r="CP79" s="47">
        <f t="array" ref="CP79">IF(AND(ISNUMBER(MATCH(CP$2, AsistenciaJetAdminConcatenada!$A:$A, 0)), ISNUMBER(MATCH(CP$1, AsistenciaJetAdminConcatenada!$B:$B, 0)), ISNUMBER(SEARCH($A79,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ISNUMBER(SEARCH($A79, INDEX(AsistenciaJetAdminConcatenada!$D:$D, MATCH(1, (AsistenciaJetAdminConcatenada!$A:$A=CP$2)*(AsistenciaJetAdminConcatenada!$B:$B=CP$1), 0)), 1))),  0.5, 0))</f>
        <v>1</v>
      </c>
      <c r="CQ79" s="47">
        <f t="array" ref="CQ79">IF(AND(ISNUMBER(MATCH(CQ$2, AsistenciaJetAdminConcatenada!$A:$A, 0)), ISNUMBER(MATCH(CQ$1, AsistenciaJetAdminConcatenada!$B:$B, 0)), ISNUMBER(SEARCH($A79,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ISNUMBER(SEARCH($A79, INDEX(AsistenciaJetAdminConcatenada!$D:$D, MATCH(1, (AsistenciaJetAdminConcatenada!$A:$A=CQ$2)*(AsistenciaJetAdminConcatenada!$B:$B=CQ$1), 0)), 1))),  0.5, 0))</f>
        <v>1</v>
      </c>
      <c r="CR79" s="47">
        <f t="array" ref="CR79">IF(AND(ISNUMBER(MATCH(CR$2, AsistenciaJetAdminConcatenada!$A:$A, 0)), ISNUMBER(MATCH(CR$1, AsistenciaJetAdminConcatenada!$B:$B, 0)), ISNUMBER(SEARCH($A79,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ISNUMBER(SEARCH($A79, INDEX(AsistenciaJetAdminConcatenada!$D:$D, MATCH(1, (AsistenciaJetAdminConcatenada!$A:$A=CR$2)*(AsistenciaJetAdminConcatenada!$B:$B=CR$1), 0)), 1))),  0.5, 0))</f>
        <v>1</v>
      </c>
      <c r="CS79" s="47">
        <f t="array" ref="CS79">IF(AND(ISNUMBER(MATCH(CS$2, AsistenciaJetAdminConcatenada!$A:$A, 0)), ISNUMBER(MATCH(CS$1, AsistenciaJetAdminConcatenada!$B:$B, 0)), ISNUMBER(SEARCH($A79,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ISNUMBER(SEARCH($A79, INDEX(AsistenciaJetAdminConcatenada!$D:$D, MATCH(1, (AsistenciaJetAdminConcatenada!$A:$A=CS$2)*(AsistenciaJetAdminConcatenada!$B:$B=CS$1), 0)), 1))),  0.5, 0))</f>
        <v>0</v>
      </c>
      <c r="CT79" s="47">
        <f t="array" ref="CT79">IF(AND(ISNUMBER(MATCH(CT$2, AsistenciaJetAdminConcatenada!$A:$A, 0)), ISNUMBER(MATCH(CT$1, AsistenciaJetAdminConcatenada!$B:$B, 0)), ISNUMBER(SEARCH($A79,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ISNUMBER(SEARCH($A79, INDEX(AsistenciaJetAdminConcatenada!$D:$D, MATCH(1, (AsistenciaJetAdminConcatenada!$A:$A=CT$2)*(AsistenciaJetAdminConcatenada!$B:$B=CT$1), 0)), 1))),  0.5, 0))</f>
        <v>0</v>
      </c>
      <c r="CU79" s="47">
        <f t="array" ref="CU79">IF(AND(ISNUMBER(MATCH(CU$2, AsistenciaJetAdminConcatenada!$A:$A, 0)), ISNUMBER(MATCH(CU$1, AsistenciaJetAdminConcatenada!$B:$B, 0)), ISNUMBER(SEARCH($A79,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ISNUMBER(SEARCH($A79, INDEX(AsistenciaJetAdminConcatenada!$D:$D, MATCH(1, (AsistenciaJetAdminConcatenada!$A:$A=CU$2)*(AsistenciaJetAdminConcatenada!$B:$B=CU$1), 0)), 1))),  0.5, 0))</f>
        <v>0</v>
      </c>
      <c r="CV79" s="47">
        <f t="array" ref="CV79">IF(AND(ISNUMBER(MATCH(CV$2, AsistenciaJetAdminConcatenada!$A:$A, 0)), ISNUMBER(MATCH(CV$1, AsistenciaJetAdminConcatenada!$B:$B, 0)), ISNUMBER(SEARCH($A79,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ISNUMBER(SEARCH($A79, INDEX(AsistenciaJetAdminConcatenada!$D:$D, MATCH(1, (AsistenciaJetAdminConcatenada!$A:$A=CV$2)*(AsistenciaJetAdminConcatenada!$B:$B=CV$1), 0)), 1))),  0.5, 0))</f>
        <v>0</v>
      </c>
      <c r="CW79" s="47">
        <f t="array" ref="CW79">IF(AND(ISNUMBER(MATCH(CW$2, AsistenciaJetAdminConcatenada!$A:$A, 0)), ISNUMBER(MATCH(CW$1, AsistenciaJetAdminConcatenada!$B:$B, 0)), ISNUMBER(SEARCH($A79,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ISNUMBER(SEARCH($A79, INDEX(AsistenciaJetAdminConcatenada!$D:$D, MATCH(1, (AsistenciaJetAdminConcatenada!$A:$A=CW$2)*(AsistenciaJetAdminConcatenada!$B:$B=CW$1), 0)), 1))),  0.5, 0))</f>
        <v>0</v>
      </c>
      <c r="CX79" s="47">
        <f t="array" ref="CX79">IF(AND(ISNUMBER(MATCH(CX$2, AsistenciaJetAdminConcatenada!$A:$A, 0)), ISNUMBER(MATCH(CX$1, AsistenciaJetAdminConcatenada!$B:$B, 0)), ISNUMBER(SEARCH($A79,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ISNUMBER(SEARCH($A79, INDEX(AsistenciaJetAdminConcatenada!$D:$D, MATCH(1, (AsistenciaJetAdminConcatenada!$A:$A=CX$2)*(AsistenciaJetAdminConcatenada!$B:$B=CX$1), 0)), 1))),  0.5, 0))</f>
        <v>0</v>
      </c>
      <c r="CY79" s="47">
        <f t="array" ref="CY79">IF(AND(ISNUMBER(MATCH(CY$2, AsistenciaJetAdminConcatenada!$A:$A, 0)), ISNUMBER(MATCH(CY$1, AsistenciaJetAdminConcatenada!$B:$B, 0)), ISNUMBER(SEARCH($A79,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ISNUMBER(SEARCH($A79, INDEX(AsistenciaJetAdminConcatenada!$D:$D, MATCH(1, (AsistenciaJetAdminConcatenada!$A:$A=CY$2)*(AsistenciaJetAdminConcatenada!$B:$B=CY$1), 0)), 1))),  0.5, 0))</f>
        <v>0</v>
      </c>
      <c r="CZ79" s="47">
        <f t="array" ref="CZ79">IF(AND(ISNUMBER(MATCH(CZ$2, AsistenciaJetAdminConcatenada!$A:$A, 0)), ISNUMBER(MATCH(CZ$1, AsistenciaJetAdminConcatenada!$B:$B, 0)), ISNUMBER(SEARCH($A79,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ISNUMBER(SEARCH($A79, INDEX(AsistenciaJetAdminConcatenada!$D:$D, MATCH(1, (AsistenciaJetAdminConcatenada!$A:$A=CZ$2)*(AsistenciaJetAdminConcatenada!$B:$B=CZ$1), 0)), 1))),  0.5, 0))</f>
        <v>0</v>
      </c>
      <c r="DA79" s="47">
        <f t="array" ref="DA79">IF(AND(ISNUMBER(MATCH(DA$2, AsistenciaJetAdminConcatenada!$A:$A, 0)), ISNUMBER(MATCH(DA$1, AsistenciaJetAdminConcatenada!$B:$B, 0)), ISNUMBER(SEARCH($A79,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ISNUMBER(SEARCH($A79, INDEX(AsistenciaJetAdminConcatenada!$D:$D, MATCH(1, (AsistenciaJetAdminConcatenada!$A:$A=DA$2)*(AsistenciaJetAdminConcatenada!$B:$B=DA$1), 0)), 1))),  0.5, 0))</f>
        <v>0</v>
      </c>
      <c r="DB79" s="47">
        <f t="array" ref="DB79">IF(AND(ISNUMBER(MATCH(DB$2, AsistenciaJetAdminConcatenada!$A:$A, 0)), ISNUMBER(MATCH(DB$1, AsistenciaJetAdminConcatenada!$B:$B, 0)), ISNUMBER(SEARCH($A79,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ISNUMBER(SEARCH($A79, INDEX(AsistenciaJetAdminConcatenada!$D:$D, MATCH(1, (AsistenciaJetAdminConcatenada!$A:$A=DB$2)*(AsistenciaJetAdminConcatenada!$B:$B=DB$1), 0)), 1))),  0.5, 0))</f>
        <v>0</v>
      </c>
      <c r="DC79" s="47">
        <f t="array" ref="DC79">IF(AND(ISNUMBER(MATCH(DC$2, AsistenciaJetAdminConcatenada!$A:$A, 0)), ISNUMBER(MATCH(DC$1, AsistenciaJetAdminConcatenada!$B:$B, 0)), ISNUMBER(SEARCH($A79,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ISNUMBER(SEARCH($A79, INDEX(AsistenciaJetAdminConcatenada!$D:$D, MATCH(1, (AsistenciaJetAdminConcatenada!$A:$A=DC$2)*(AsistenciaJetAdminConcatenada!$B:$B=DC$1), 0)), 1))),  0.5, 0))</f>
        <v>0</v>
      </c>
      <c r="DD79" s="47">
        <f t="array" ref="DD79">IF(AND(ISNUMBER(MATCH(DD$2, AsistenciaJetAdminConcatenada!$A:$A, 0)), ISNUMBER(MATCH(DD$1, AsistenciaJetAdminConcatenada!$B:$B, 0)), ISNUMBER(SEARCH($A79,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ISNUMBER(SEARCH($A79, INDEX(AsistenciaJetAdminConcatenada!$D:$D, MATCH(1, (AsistenciaJetAdminConcatenada!$A:$A=DD$2)*(AsistenciaJetAdminConcatenada!$B:$B=DD$1), 0)), 1))),  0.5, 0))</f>
        <v>0</v>
      </c>
      <c r="DE79" s="47">
        <f t="array" ref="DE79">IF(AND(ISNUMBER(MATCH(DE$2, AsistenciaJetAdminConcatenada!$A:$A, 0)), ISNUMBER(MATCH(DE$1, AsistenciaJetAdminConcatenada!$B:$B, 0)), ISNUMBER(SEARCH($A79,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ISNUMBER(SEARCH($A79, INDEX(AsistenciaJetAdminConcatenada!$D:$D, MATCH(1, (AsistenciaJetAdminConcatenada!$A:$A=DE$2)*(AsistenciaJetAdminConcatenada!$B:$B=DE$1), 0)), 1))),  0.5, 0))</f>
        <v>0</v>
      </c>
      <c r="DF79" s="47">
        <f t="array" ref="DF79">IF(AND(ISNUMBER(MATCH(DF$2, AsistenciaJetAdminConcatenada!$A:$A, 0)), ISNUMBER(MATCH(DF$1, AsistenciaJetAdminConcatenada!$B:$B, 0)), ISNUMBER(SEARCH($A79,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ISNUMBER(SEARCH($A79, INDEX(AsistenciaJetAdminConcatenada!$D:$D, MATCH(1, (AsistenciaJetAdminConcatenada!$A:$A=DF$2)*(AsistenciaJetAdminConcatenada!$B:$B=DF$1), 0)), 1))),  0.5, 0))</f>
        <v>0</v>
      </c>
      <c r="DG79" s="47">
        <f t="array" ref="DG79">IF(AND(ISNUMBER(MATCH(DG$2, AsistenciaJetAdminConcatenada!$A:$A, 0)), ISNUMBER(MATCH(DG$1, AsistenciaJetAdminConcatenada!$B:$B, 0)), ISNUMBER(SEARCH($A79,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ISNUMBER(SEARCH($A79, INDEX(AsistenciaJetAdminConcatenada!$D:$D, MATCH(1, (AsistenciaJetAdminConcatenada!$A:$A=DG$2)*(AsistenciaJetAdminConcatenada!$B:$B=DG$1), 0)), 1))),  0.5, 0))</f>
        <v>0</v>
      </c>
      <c r="DH79" s="47">
        <f t="array" ref="DH79">IF(AND(ISNUMBER(MATCH(DH$2, AsistenciaJetAdminConcatenada!$A:$A, 0)), ISNUMBER(MATCH(DH$1, AsistenciaJetAdminConcatenada!$B:$B, 0)), ISNUMBER(SEARCH($A79,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ISNUMBER(SEARCH($A79, INDEX(AsistenciaJetAdminConcatenada!$D:$D, MATCH(1, (AsistenciaJetAdminConcatenada!$A:$A=DH$2)*(AsistenciaJetAdminConcatenada!$B:$B=DH$1), 0)), 1))),  0.5, 0))</f>
        <v>0</v>
      </c>
      <c r="DI79" s="47">
        <f t="array" ref="DI79">IF(AND(ISNUMBER(MATCH(DI$2, AsistenciaJetAdminConcatenada!$A:$A, 0)), ISNUMBER(MATCH(DI$1, AsistenciaJetAdminConcatenada!$B:$B, 0)), ISNUMBER(SEARCH($A79,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ISNUMBER(SEARCH($A79, INDEX(AsistenciaJetAdminConcatenada!$D:$D, MATCH(1, (AsistenciaJetAdminConcatenada!$A:$A=DI$2)*(AsistenciaJetAdminConcatenada!$B:$B=DI$1), 0)), 1))),  0.5, 0))</f>
        <v>0</v>
      </c>
      <c r="DJ79" s="47">
        <f t="array" ref="DJ79">IF(AND(ISNUMBER(MATCH(DJ$2, AsistenciaJetAdminConcatenada!$A:$A, 0)), ISNUMBER(MATCH(DJ$1, AsistenciaJetAdminConcatenada!$B:$B, 0)), ISNUMBER(SEARCH($A79,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ISNUMBER(SEARCH($A79, INDEX(AsistenciaJetAdminConcatenada!$D:$D, MATCH(1, (AsistenciaJetAdminConcatenada!$A:$A=DJ$2)*(AsistenciaJetAdminConcatenada!$B:$B=DJ$1), 0)), 1))),  0.5, 0))</f>
        <v>0</v>
      </c>
      <c r="DK79" s="47">
        <f t="array" ref="DK79">IF(AND(ISNUMBER(MATCH(DK$2, AsistenciaJetAdminConcatenada!$A:$A, 0)), ISNUMBER(MATCH(DK$1, AsistenciaJetAdminConcatenada!$B:$B, 0)), ISNUMBER(SEARCH($A79,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ISNUMBER(SEARCH($A79, INDEX(AsistenciaJetAdminConcatenada!$D:$D, MATCH(1, (AsistenciaJetAdminConcatenada!$A:$A=DK$2)*(AsistenciaJetAdminConcatenada!$B:$B=DK$1), 0)), 1))),  0.5, 0))</f>
        <v>0</v>
      </c>
      <c r="DL79" s="47">
        <f t="array" ref="DL79">IF(AND(ISNUMBER(MATCH(DL$2, AsistenciaJetAdminConcatenada!$A:$A, 0)), ISNUMBER(MATCH(DL$1, AsistenciaJetAdminConcatenada!$B:$B, 0)), ISNUMBER(SEARCH($A79,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ISNUMBER(SEARCH($A79, INDEX(AsistenciaJetAdminConcatenada!$D:$D, MATCH(1, (AsistenciaJetAdminConcatenada!$A:$A=DL$2)*(AsistenciaJetAdminConcatenada!$B:$B=DL$1), 0)), 1))),  0.5, 0))</f>
        <v>0</v>
      </c>
      <c r="DM79" s="47">
        <f t="array" ref="DM79">IF(AND(ISNUMBER(MATCH(DM$2, AsistenciaJetAdminConcatenada!$A:$A, 0)), ISNUMBER(MATCH(DM$1, AsistenciaJetAdminConcatenada!$B:$B, 0)), ISNUMBER(SEARCH($A79,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ISNUMBER(SEARCH($A79, INDEX(AsistenciaJetAdminConcatenada!$D:$D, MATCH(1, (AsistenciaJetAdminConcatenada!$A:$A=DM$2)*(AsistenciaJetAdminConcatenada!$B:$B=DM$1), 0)), 1))),  0.5, 0))</f>
        <v>0</v>
      </c>
      <c r="DN79" s="47">
        <f t="array" ref="DN79">IF(AND(ISNUMBER(MATCH(DN$2, AsistenciaJetAdminConcatenada!$A:$A, 0)), ISNUMBER(MATCH(DN$1, AsistenciaJetAdminConcatenada!$B:$B, 0)), ISNUMBER(SEARCH($A79,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ISNUMBER(SEARCH($A79, INDEX(AsistenciaJetAdminConcatenada!$D:$D, MATCH(1, (AsistenciaJetAdminConcatenada!$A:$A=DN$2)*(AsistenciaJetAdminConcatenada!$B:$B=DN$1), 0)), 1))),  0.5, 0))</f>
        <v>0</v>
      </c>
      <c r="DO79" s="47">
        <f t="array" ref="DO79">IF(AND(ISNUMBER(MATCH(DO$2, AsistenciaJetAdminConcatenada!$A:$A, 0)), ISNUMBER(MATCH(DO$1, AsistenciaJetAdminConcatenada!$B:$B, 0)), ISNUMBER(SEARCH($A79,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ISNUMBER(SEARCH($A79, INDEX(AsistenciaJetAdminConcatenada!$D:$D, MATCH(1, (AsistenciaJetAdminConcatenada!$A:$A=DO$2)*(AsistenciaJetAdminConcatenada!$B:$B=DO$1), 0)), 1))),  0.5, 0))</f>
        <v>0</v>
      </c>
      <c r="DP79" s="47">
        <f t="array" ref="DP79">IF(AND(ISNUMBER(MATCH(DP$2, AsistenciaJetAdminConcatenada!$A:$A, 0)), ISNUMBER(MATCH(DP$1, AsistenciaJetAdminConcatenada!$B:$B, 0)), ISNUMBER(SEARCH($A79,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ISNUMBER(SEARCH($A79, INDEX(AsistenciaJetAdminConcatenada!$D:$D, MATCH(1, (AsistenciaJetAdminConcatenada!$A:$A=DP$2)*(AsistenciaJetAdminConcatenada!$B:$B=DP$1), 0)), 1))),  0.5, 0))</f>
        <v>0</v>
      </c>
      <c r="DQ79" s="47">
        <f t="array" ref="DQ79">IF(AND(ISNUMBER(MATCH(DQ$2, AsistenciaJetAdminConcatenada!$A:$A, 0)), ISNUMBER(MATCH(DQ$1, AsistenciaJetAdminConcatenada!$B:$B, 0)), ISNUMBER(SEARCH($A79,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ISNUMBER(SEARCH($A79, INDEX(AsistenciaJetAdminConcatenada!$D:$D, MATCH(1, (AsistenciaJetAdminConcatenada!$A:$A=DQ$2)*(AsistenciaJetAdminConcatenada!$B:$B=DQ$1), 0)), 1))),  0.5, 0))</f>
        <v>0</v>
      </c>
      <c r="DR79" s="47">
        <f t="array" ref="DR79">IF(AND(ISNUMBER(MATCH(DR$2, AsistenciaJetAdminConcatenada!$A:$A, 0)), ISNUMBER(MATCH(DR$1, AsistenciaJetAdminConcatenada!$B:$B, 0)), ISNUMBER(SEARCH($A79,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ISNUMBER(SEARCH($A79, INDEX(AsistenciaJetAdminConcatenada!$D:$D, MATCH(1, (AsistenciaJetAdminConcatenada!$A:$A=DR$2)*(AsistenciaJetAdminConcatenada!$B:$B=DR$1), 0)), 1))),  0.5, 0))</f>
        <v>0</v>
      </c>
      <c r="DS79" s="47">
        <f t="array" ref="DS79">IF(AND(ISNUMBER(MATCH(DS$2, AsistenciaJetAdminConcatenada!$A:$A, 0)), ISNUMBER(MATCH(DS$1, AsistenciaJetAdminConcatenada!$B:$B, 0)), ISNUMBER(SEARCH($A79,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ISNUMBER(SEARCH($A79, INDEX(AsistenciaJetAdminConcatenada!$D:$D, MATCH(1, (AsistenciaJetAdminConcatenada!$A:$A=DS$2)*(AsistenciaJetAdminConcatenada!$B:$B=DS$1), 0)), 1))),  0.5, 0))</f>
        <v>0</v>
      </c>
      <c r="DT79" s="47">
        <f t="array" ref="DT79">IF(AND(ISNUMBER(MATCH(DT$2, AsistenciaJetAdminConcatenada!$A:$A, 0)), ISNUMBER(MATCH(DT$1, AsistenciaJetAdminConcatenada!$B:$B, 0)), ISNUMBER(SEARCH($A79,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ISNUMBER(SEARCH($A79, INDEX(AsistenciaJetAdminConcatenada!$D:$D, MATCH(1, (AsistenciaJetAdminConcatenada!$A:$A=DT$2)*(AsistenciaJetAdminConcatenada!$B:$B=DT$1), 0)), 1))),  0.5, 0))</f>
        <v>0</v>
      </c>
      <c r="DU79" s="47">
        <f t="array" ref="DU79">IF(AND(ISNUMBER(MATCH(DU$2, AsistenciaJetAdminConcatenada!$A:$A, 0)), ISNUMBER(MATCH(DU$1, AsistenciaJetAdminConcatenada!$B:$B, 0)), ISNUMBER(SEARCH($A79,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ISNUMBER(SEARCH($A79, INDEX(AsistenciaJetAdminConcatenada!$D:$D, MATCH(1, (AsistenciaJetAdminConcatenada!$A:$A=DU$2)*(AsistenciaJetAdminConcatenada!$B:$B=DU$1), 0)), 1))),  0.5, 0))</f>
        <v>0</v>
      </c>
      <c r="DV79" s="47">
        <f t="array" ref="DV79">IF(AND(ISNUMBER(MATCH(DV$2, AsistenciaJetAdminConcatenada!$A:$A, 0)), ISNUMBER(MATCH(DV$1, AsistenciaJetAdminConcatenada!$B:$B, 0)), ISNUMBER(SEARCH($A79,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ISNUMBER(SEARCH($A79, INDEX(AsistenciaJetAdminConcatenada!$D:$D, MATCH(1, (AsistenciaJetAdminConcatenada!$A:$A=DV$2)*(AsistenciaJetAdminConcatenada!$B:$B=DV$1), 0)), 1))),  0.5, 0))</f>
        <v>0</v>
      </c>
      <c r="DW79" s="47">
        <f t="array" ref="DW79">IF(AND(ISNUMBER(MATCH(DW$2, AsistenciaJetAdminConcatenada!$A:$A, 0)), ISNUMBER(MATCH(DW$1, AsistenciaJetAdminConcatenada!$B:$B, 0)), ISNUMBER(SEARCH($A79,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ISNUMBER(SEARCH($A79, INDEX(AsistenciaJetAdminConcatenada!$D:$D, MATCH(1, (AsistenciaJetAdminConcatenada!$A:$A=DW$2)*(AsistenciaJetAdminConcatenada!$B:$B=DW$1), 0)), 1))),  0.5, 0))</f>
        <v>0</v>
      </c>
      <c r="DX79" s="47">
        <f t="array" ref="DX79">IF(AND(ISNUMBER(MATCH(DX$2, AsistenciaJetAdminConcatenada!$A:$A, 0)), ISNUMBER(MATCH(DX$1, AsistenciaJetAdminConcatenada!$B:$B, 0)), ISNUMBER(SEARCH($A79,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ISNUMBER(SEARCH($A79, INDEX(AsistenciaJetAdminConcatenada!$D:$D, MATCH(1, (AsistenciaJetAdminConcatenada!$A:$A=DX$2)*(AsistenciaJetAdminConcatenada!$B:$B=DX$1), 0)), 1))),  0.5, 0))</f>
        <v>0</v>
      </c>
      <c r="DY79" s="47">
        <f t="array" ref="DY79">IF(AND(ISNUMBER(MATCH(DY$2, AsistenciaJetAdminConcatenada!$A:$A, 0)), ISNUMBER(MATCH(DY$1, AsistenciaJetAdminConcatenada!$B:$B, 0)), ISNUMBER(SEARCH($A79,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ISNUMBER(SEARCH($A79, INDEX(AsistenciaJetAdminConcatenada!$D:$D, MATCH(1, (AsistenciaJetAdminConcatenada!$A:$A=DY$2)*(AsistenciaJetAdminConcatenada!$B:$B=DY$1), 0)), 1))),  0.5, 0))</f>
        <v>0</v>
      </c>
      <c r="DZ79" s="47">
        <f t="array" ref="DZ79">IF(AND(ISNUMBER(MATCH(DZ$2, AsistenciaJetAdminConcatenada!$A:$A, 0)), ISNUMBER(MATCH(DZ$1, AsistenciaJetAdminConcatenada!$B:$B, 0)), ISNUMBER(SEARCH($A79,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ISNUMBER(SEARCH($A79, INDEX(AsistenciaJetAdminConcatenada!$D:$D, MATCH(1, (AsistenciaJetAdminConcatenada!$A:$A=DZ$2)*(AsistenciaJetAdminConcatenada!$B:$B=DZ$1), 0)), 1))),  0.5, 0))</f>
        <v>0</v>
      </c>
      <c r="EA79" s="47">
        <f t="array" ref="EA79">IF(AND(ISNUMBER(MATCH(EA$2, AsistenciaJetAdminConcatenada!$A:$A, 0)), ISNUMBER(MATCH(EA$1, AsistenciaJetAdminConcatenada!$B:$B, 0)), ISNUMBER(SEARCH($A79,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ISNUMBER(SEARCH($A79, INDEX(AsistenciaJetAdminConcatenada!$D:$D, MATCH(1, (AsistenciaJetAdminConcatenada!$A:$A=EA$2)*(AsistenciaJetAdminConcatenada!$B:$B=EA$1), 0)), 1))),  0.5, 0))</f>
        <v>0</v>
      </c>
      <c r="EB79" s="47">
        <f t="array" ref="EB79">IF(AND(ISNUMBER(MATCH(EB$2, AsistenciaJetAdminConcatenada!$A:$A, 0)), ISNUMBER(MATCH(EB$1, AsistenciaJetAdminConcatenada!$B:$B, 0)), ISNUMBER(SEARCH($A79,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ISNUMBER(SEARCH($A79, INDEX(AsistenciaJetAdminConcatenada!$D:$D, MATCH(1, (AsistenciaJetAdminConcatenada!$A:$A=EB$2)*(AsistenciaJetAdminConcatenada!$B:$B=EB$1), 0)), 1))),  0.5, 0))</f>
        <v>0</v>
      </c>
      <c r="EC79" s="47">
        <f t="array" ref="EC79">IF(AND(ISNUMBER(MATCH(EC$2, AsistenciaJetAdminConcatenada!$A:$A, 0)), ISNUMBER(MATCH(EC$1, AsistenciaJetAdminConcatenada!$B:$B, 0)), ISNUMBER(SEARCH($A79,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ISNUMBER(SEARCH($A79, INDEX(AsistenciaJetAdminConcatenada!$D:$D, MATCH(1, (AsistenciaJetAdminConcatenada!$A:$A=EC$2)*(AsistenciaJetAdminConcatenada!$B:$B=EC$1), 0)), 1))),  0.5, 0))</f>
        <v>0</v>
      </c>
      <c r="ED79" s="47">
        <f t="array" ref="ED79">IF(AND(ISNUMBER(MATCH(ED$2, AsistenciaJetAdminConcatenada!$A:$A, 0)), ISNUMBER(MATCH(ED$1, AsistenciaJetAdminConcatenada!$B:$B, 0)), ISNUMBER(SEARCH($A79,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ISNUMBER(SEARCH($A79, INDEX(AsistenciaJetAdminConcatenada!$D:$D, MATCH(1, (AsistenciaJetAdminConcatenada!$A:$A=ED$2)*(AsistenciaJetAdminConcatenada!$B:$B=ED$1), 0)), 1))),  0.5, 0))</f>
        <v>0</v>
      </c>
      <c r="EE79" s="47">
        <f t="array" ref="EE79">IF(AND(ISNUMBER(MATCH(EE$2, AsistenciaJetAdminConcatenada!$A:$A, 0)), ISNUMBER(MATCH(EE$1, AsistenciaJetAdminConcatenada!$B:$B, 0)), ISNUMBER(SEARCH($A79,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ISNUMBER(SEARCH($A79, INDEX(AsistenciaJetAdminConcatenada!$D:$D, MATCH(1, (AsistenciaJetAdminConcatenada!$A:$A=EE$2)*(AsistenciaJetAdminConcatenada!$B:$B=EE$1), 0)), 1))),  0.5, 0))</f>
        <v>0</v>
      </c>
      <c r="EF79" s="47">
        <f t="array" ref="EF79">IF(AND(ISNUMBER(MATCH(EF$2, AsistenciaJetAdminConcatenada!$A:$A, 0)), ISNUMBER(MATCH(EF$1, AsistenciaJetAdminConcatenada!$B:$B, 0)), ISNUMBER(SEARCH($A79,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ISNUMBER(SEARCH($A79, INDEX(AsistenciaJetAdminConcatenada!$D:$D, MATCH(1, (AsistenciaJetAdminConcatenada!$A:$A=EF$2)*(AsistenciaJetAdminConcatenada!$B:$B=EF$1), 0)), 1))),  0.5, 0))</f>
        <v>0</v>
      </c>
      <c r="EG79" s="47">
        <f t="array" ref="EG79">IF(AND(ISNUMBER(MATCH(EG$2, AsistenciaJetAdminConcatenada!$A:$A, 0)), ISNUMBER(MATCH(EG$1, AsistenciaJetAdminConcatenada!$B:$B, 0)), ISNUMBER(SEARCH($A79,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ISNUMBER(SEARCH($A79, INDEX(AsistenciaJetAdminConcatenada!$D:$D, MATCH(1, (AsistenciaJetAdminConcatenada!$A:$A=EG$2)*(AsistenciaJetAdminConcatenada!$B:$B=EG$1), 0)), 1))),  0.5, 0))</f>
        <v>0</v>
      </c>
      <c r="EH79" s="47">
        <f t="array" ref="EH79">IF(AND(ISNUMBER(MATCH(EH$2, AsistenciaJetAdminConcatenada!$A:$A, 0)), ISNUMBER(MATCH(EH$1, AsistenciaJetAdminConcatenada!$B:$B, 0)), ISNUMBER(SEARCH($A79,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ISNUMBER(SEARCH($A79, INDEX(AsistenciaJetAdminConcatenada!$D:$D, MATCH(1, (AsistenciaJetAdminConcatenada!$A:$A=EH$2)*(AsistenciaJetAdminConcatenada!$B:$B=EH$1), 0)), 1))),  0.5, 0))</f>
        <v>0</v>
      </c>
      <c r="EI79" s="47">
        <f t="array" ref="EI79">IF(AND(ISNUMBER(MATCH(EI$2, AsistenciaJetAdminConcatenada!$A:$A, 0)), ISNUMBER(MATCH(EI$1, AsistenciaJetAdminConcatenada!$B:$B, 0)), ISNUMBER(SEARCH($A79,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ISNUMBER(SEARCH($A79, INDEX(AsistenciaJetAdminConcatenada!$D:$D, MATCH(1, (AsistenciaJetAdminConcatenada!$A:$A=EI$2)*(AsistenciaJetAdminConcatenada!$B:$B=EI$1), 0)), 1))),  0.5, 0))</f>
        <v>0</v>
      </c>
      <c r="EJ79" s="47">
        <f t="array" ref="EJ79">IF(AND(ISNUMBER(MATCH(EJ$2, AsistenciaJetAdminConcatenada!$A:$A, 0)), ISNUMBER(MATCH(EJ$1, AsistenciaJetAdminConcatenada!$B:$B, 0)), ISNUMBER(SEARCH($A79,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ISNUMBER(SEARCH($A79, INDEX(AsistenciaJetAdminConcatenada!$D:$D, MATCH(1, (AsistenciaJetAdminConcatenada!$A:$A=EJ$2)*(AsistenciaJetAdminConcatenada!$B:$B=EJ$1), 0)), 1))),  0.5, 0))</f>
        <v>0</v>
      </c>
      <c r="EK79" s="47">
        <f t="array" ref="EK79">IF(AND(ISNUMBER(MATCH(EK$2, AsistenciaJetAdminConcatenada!$A:$A, 0)), ISNUMBER(MATCH(EK$1, AsistenciaJetAdminConcatenada!$B:$B, 0)), ISNUMBER(SEARCH($A79,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ISNUMBER(SEARCH($A79, INDEX(AsistenciaJetAdminConcatenada!$D:$D, MATCH(1, (AsistenciaJetAdminConcatenada!$A:$A=EK$2)*(AsistenciaJetAdminConcatenada!$B:$B=EK$1), 0)), 1))),  0.5, 0))</f>
        <v>0</v>
      </c>
      <c r="EL79" s="47">
        <f t="array" ref="EL79">IF(AND(ISNUMBER(MATCH(EL$2, AsistenciaJetAdminConcatenada!$A:$A, 0)), ISNUMBER(MATCH(EL$1, AsistenciaJetAdminConcatenada!$B:$B, 0)), ISNUMBER(SEARCH($A79,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ISNUMBER(SEARCH($A79, INDEX(AsistenciaJetAdminConcatenada!$D:$D, MATCH(1, (AsistenciaJetAdminConcatenada!$A:$A=EL$2)*(AsistenciaJetAdminConcatenada!$B:$B=EL$1), 0)), 1))),  0.5, 0))</f>
        <v>0</v>
      </c>
      <c r="EM79" s="47">
        <f t="array" ref="EM79">IF(AND(ISNUMBER(MATCH(EM$2, AsistenciaJetAdminConcatenada!$A:$A, 0)), ISNUMBER(MATCH(EM$1, AsistenciaJetAdminConcatenada!$B:$B, 0)), ISNUMBER(SEARCH($A79,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ISNUMBER(SEARCH($A79, INDEX(AsistenciaJetAdminConcatenada!$D:$D, MATCH(1, (AsistenciaJetAdminConcatenada!$A:$A=EM$2)*(AsistenciaJetAdminConcatenada!$B:$B=EM$1), 0)), 1))),  0.5, 0))</f>
        <v>0</v>
      </c>
      <c r="EN79" s="47">
        <f t="array" ref="EN79">IF(AND(ISNUMBER(MATCH(EN$2, AsistenciaJetAdminConcatenada!$A:$A, 0)), ISNUMBER(MATCH(EN$1, AsistenciaJetAdminConcatenada!$B:$B, 0)), ISNUMBER(SEARCH($A79,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ISNUMBER(SEARCH($A79, INDEX(AsistenciaJetAdminConcatenada!$D:$D, MATCH(1, (AsistenciaJetAdminConcatenada!$A:$A=EN$2)*(AsistenciaJetAdminConcatenada!$B:$B=EN$1), 0)), 1))),  0.5, 0))</f>
        <v>0</v>
      </c>
      <c r="EO79" s="47">
        <f t="array" ref="EO79">IF(AND(ISNUMBER(MATCH(EO$2, AsistenciaJetAdminConcatenada!$A:$A, 0)), ISNUMBER(MATCH(EO$1, AsistenciaJetAdminConcatenada!$B:$B, 0)), ISNUMBER(SEARCH($A79,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ISNUMBER(SEARCH($A79, INDEX(AsistenciaJetAdminConcatenada!$D:$D, MATCH(1, (AsistenciaJetAdminConcatenada!$A:$A=EO$2)*(AsistenciaJetAdminConcatenada!$B:$B=EO$1), 0)), 1))),  0.5, 0))</f>
        <v>0</v>
      </c>
      <c r="EP79" s="47">
        <f t="array" ref="EP79">IF(AND(ISNUMBER(MATCH(EP$2, AsistenciaJetAdminConcatenada!$A:$A, 0)), ISNUMBER(MATCH(EP$1, AsistenciaJetAdminConcatenada!$B:$B, 0)), ISNUMBER(SEARCH($A79,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ISNUMBER(SEARCH($A79, INDEX(AsistenciaJetAdminConcatenada!$D:$D, MATCH(1, (AsistenciaJetAdminConcatenada!$A:$A=EP$2)*(AsistenciaJetAdminConcatenada!$B:$B=EP$1), 0)), 1))),  0.5, 0))</f>
        <v>0</v>
      </c>
      <c r="EQ79" s="47">
        <f t="array" ref="EQ79">IF(AND(ISNUMBER(MATCH(EQ$2, AsistenciaJetAdminConcatenada!$A:$A, 0)), ISNUMBER(MATCH(EQ$1, AsistenciaJetAdminConcatenada!$B:$B, 0)), ISNUMBER(SEARCH($A79,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ISNUMBER(SEARCH($A79, INDEX(AsistenciaJetAdminConcatenada!$D:$D, MATCH(1, (AsistenciaJetAdminConcatenada!$A:$A=EQ$2)*(AsistenciaJetAdminConcatenada!$B:$B=EQ$1), 0)), 1))),  0.5, 0))</f>
        <v>0</v>
      </c>
      <c r="ER79" s="47">
        <f t="array" ref="ER79">IF(AND(ISNUMBER(MATCH(ER$2, AsistenciaJetAdminConcatenada!$A:$A, 0)), ISNUMBER(MATCH(ER$1, AsistenciaJetAdminConcatenada!$B:$B, 0)), ISNUMBER(SEARCH($A79,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ISNUMBER(SEARCH($A79, INDEX(AsistenciaJetAdminConcatenada!$D:$D, MATCH(1, (AsistenciaJetAdminConcatenada!$A:$A=ER$2)*(AsistenciaJetAdminConcatenada!$B:$B=ER$1), 0)), 1))),  0.5, 0))</f>
        <v>0</v>
      </c>
      <c r="ES79" s="47">
        <f t="array" ref="ES79">IF(AND(ISNUMBER(MATCH(ES$2, AsistenciaJetAdminConcatenada!$A:$A, 0)), ISNUMBER(MATCH(ES$1, AsistenciaJetAdminConcatenada!$B:$B, 0)), ISNUMBER(SEARCH($A79,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ISNUMBER(SEARCH($A79, INDEX(AsistenciaJetAdminConcatenada!$D:$D, MATCH(1, (AsistenciaJetAdminConcatenada!$A:$A=ES$2)*(AsistenciaJetAdminConcatenada!$B:$B=ES$1), 0)), 1))),  0.5, 0))</f>
        <v>0</v>
      </c>
      <c r="ET79" s="47">
        <f t="array" ref="ET79">IF(AND(ISNUMBER(MATCH(ET$2, AsistenciaJetAdminConcatenada!$A:$A, 0)), ISNUMBER(MATCH(ET$1, AsistenciaJetAdminConcatenada!$B:$B, 0)), ISNUMBER(SEARCH($A79,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ISNUMBER(SEARCH($A79, INDEX(AsistenciaJetAdminConcatenada!$D:$D, MATCH(1, (AsistenciaJetAdminConcatenada!$A:$A=ET$2)*(AsistenciaJetAdminConcatenada!$B:$B=ET$1), 0)), 1))),  0.5, 0))</f>
        <v>0</v>
      </c>
      <c r="EU79" s="47">
        <f t="array" ref="EU79">IF(AND(ISNUMBER(MATCH(EU$2, AsistenciaJetAdminConcatenada!$A:$A, 0)), ISNUMBER(MATCH(EU$1, AsistenciaJetAdminConcatenada!$B:$B, 0)), ISNUMBER(SEARCH($A79,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ISNUMBER(SEARCH($A79, INDEX(AsistenciaJetAdminConcatenada!$D:$D, MATCH(1, (AsistenciaJetAdminConcatenada!$A:$A=EU$2)*(AsistenciaJetAdminConcatenada!$B:$B=EU$1), 0)), 1))),  0.5, 0))</f>
        <v>0</v>
      </c>
      <c r="EV79" s="47">
        <f t="array" ref="EV79">IF(AND(ISNUMBER(MATCH(EV$2, AsistenciaJetAdminConcatenada!$A:$A, 0)), ISNUMBER(MATCH(EV$1, AsistenciaJetAdminConcatenada!$B:$B, 0)), ISNUMBER(SEARCH($A79,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ISNUMBER(SEARCH($A79, INDEX(AsistenciaJetAdminConcatenada!$D:$D, MATCH(1, (AsistenciaJetAdminConcatenada!$A:$A=EV$2)*(AsistenciaJetAdminConcatenada!$B:$B=EV$1), 0)), 1))),  0.5, 0))</f>
        <v>0</v>
      </c>
      <c r="EW79" s="47">
        <f t="array" ref="EW79">IF(AND(ISNUMBER(MATCH(EW$2, AsistenciaJetAdminConcatenada!$A:$A, 0)), ISNUMBER(MATCH(EW$1, AsistenciaJetAdminConcatenada!$B:$B, 0)), ISNUMBER(SEARCH($A79,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ISNUMBER(SEARCH($A79, INDEX(AsistenciaJetAdminConcatenada!$D:$D, MATCH(1, (AsistenciaJetAdminConcatenada!$A:$A=EW$2)*(AsistenciaJetAdminConcatenada!$B:$B=EW$1), 0)), 1))),  0.5, 0))</f>
        <v>0</v>
      </c>
      <c r="EX79" s="47">
        <f t="array" ref="EX79">IF(AND(ISNUMBER(MATCH(EX$2, AsistenciaJetAdminConcatenada!$A:$A, 0)), ISNUMBER(MATCH(EX$1, AsistenciaJetAdminConcatenada!$B:$B, 0)), ISNUMBER(SEARCH($A79,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ISNUMBER(SEARCH($A79, INDEX(AsistenciaJetAdminConcatenada!$D:$D, MATCH(1, (AsistenciaJetAdminConcatenada!$A:$A=EX$2)*(AsistenciaJetAdminConcatenada!$B:$B=EX$1), 0)), 1))),  0.5, 0))</f>
        <v>0</v>
      </c>
      <c r="EY79" s="47">
        <f t="array" ref="EY79">IF(AND(ISNUMBER(MATCH(EY$2, AsistenciaJetAdminConcatenada!$A:$A, 0)), ISNUMBER(MATCH(EY$1, AsistenciaJetAdminConcatenada!$B:$B, 0)), ISNUMBER(SEARCH($A79,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ISNUMBER(SEARCH($A79, INDEX(AsistenciaJetAdminConcatenada!$D:$D, MATCH(1, (AsistenciaJetAdminConcatenada!$A:$A=EY$2)*(AsistenciaJetAdminConcatenada!$B:$B=EY$1), 0)), 1))),  0.5, 0))</f>
        <v>0</v>
      </c>
      <c r="EZ79" s="47">
        <f t="array" ref="EZ79">IF(AND(ISNUMBER(MATCH(EZ$2, AsistenciaJetAdminConcatenada!$A:$A, 0)), ISNUMBER(MATCH(EZ$1, AsistenciaJetAdminConcatenada!$B:$B, 0)), ISNUMBER(SEARCH($A79,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ISNUMBER(SEARCH($A79, INDEX(AsistenciaJetAdminConcatenada!$D:$D, MATCH(1, (AsistenciaJetAdminConcatenada!$A:$A=EZ$2)*(AsistenciaJetAdminConcatenada!$B:$B=EZ$1), 0)), 1))),  0.5, 0))</f>
        <v>0</v>
      </c>
      <c r="FA79" s="47">
        <f t="array" ref="FA79">IF(AND(ISNUMBER(MATCH(FA$2, AsistenciaJetAdminConcatenada!$A:$A, 0)), ISNUMBER(MATCH(FA$1, AsistenciaJetAdminConcatenada!$B:$B, 0)), ISNUMBER(SEARCH($A79,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ISNUMBER(SEARCH($A79, INDEX(AsistenciaJetAdminConcatenada!$D:$D, MATCH(1, (AsistenciaJetAdminConcatenada!$A:$A=FA$2)*(AsistenciaJetAdminConcatenada!$B:$B=FA$1), 0)), 1))),  0.5, 0))</f>
        <v>0</v>
      </c>
      <c r="FB79" s="47">
        <f t="array" ref="FB79">IF(AND(ISNUMBER(MATCH(FB$2, AsistenciaJetAdminConcatenada!$A:$A, 0)), ISNUMBER(MATCH(FB$1, AsistenciaJetAdminConcatenada!$B:$B, 0)), ISNUMBER(SEARCH($A79,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ISNUMBER(SEARCH($A79, INDEX(AsistenciaJetAdminConcatenada!$D:$D, MATCH(1, (AsistenciaJetAdminConcatenada!$A:$A=FB$2)*(AsistenciaJetAdminConcatenada!$B:$B=FB$1), 0)), 1))),  0.5, 0))</f>
        <v>0</v>
      </c>
      <c r="FC79" s="47">
        <f t="array" ref="FC79">IF(AND(ISNUMBER(MATCH(FC$2, AsistenciaJetAdminConcatenada!$A:$A, 0)), ISNUMBER(MATCH(FC$1, AsistenciaJetAdminConcatenada!$B:$B, 0)), ISNUMBER(SEARCH($A79,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ISNUMBER(SEARCH($A79, INDEX(AsistenciaJetAdminConcatenada!$D:$D, MATCH(1, (AsistenciaJetAdminConcatenada!$A:$A=FC$2)*(AsistenciaJetAdminConcatenada!$B:$B=FC$1), 0)), 1))),  0.5, 0))</f>
        <v>0</v>
      </c>
      <c r="FD79" s="47">
        <f t="array" ref="FD79">IF(AND(ISNUMBER(MATCH(FD$2, AsistenciaJetAdminConcatenada!$A:$A, 0)), ISNUMBER(MATCH(FD$1, AsistenciaJetAdminConcatenada!$B:$B, 0)), ISNUMBER(SEARCH($A79,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ISNUMBER(SEARCH($A79, INDEX(AsistenciaJetAdminConcatenada!$D:$D, MATCH(1, (AsistenciaJetAdminConcatenada!$A:$A=FD$2)*(AsistenciaJetAdminConcatenada!$B:$B=FD$1), 0)), 1))),  0.5, 0))</f>
        <v>0</v>
      </c>
      <c r="FE79" s="47">
        <f t="array" ref="FE79">IF(AND(ISNUMBER(MATCH(FE$2, AsistenciaJetAdminConcatenada!$A:$A, 0)), ISNUMBER(MATCH(FE$1, AsistenciaJetAdminConcatenada!$B:$B, 0)), ISNUMBER(SEARCH($A79,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ISNUMBER(SEARCH($A79, INDEX(AsistenciaJetAdminConcatenada!$D:$D, MATCH(1, (AsistenciaJetAdminConcatenada!$A:$A=FE$2)*(AsistenciaJetAdminConcatenada!$B:$B=FE$1), 0)), 1))),  0.5, 0))</f>
        <v>0</v>
      </c>
      <c r="FF79" s="47">
        <f t="array" ref="FF79">IF(AND(ISNUMBER(MATCH(FF$2, AsistenciaJetAdminConcatenada!$A:$A, 0)), ISNUMBER(MATCH(FF$1, AsistenciaJetAdminConcatenada!$B:$B, 0)), ISNUMBER(SEARCH($A79,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ISNUMBER(SEARCH($A79, INDEX(AsistenciaJetAdminConcatenada!$D:$D, MATCH(1, (AsistenciaJetAdminConcatenada!$A:$A=FF$2)*(AsistenciaJetAdminConcatenada!$B:$B=FF$1), 0)), 1))),  0.5, 0))</f>
        <v>0</v>
      </c>
      <c r="FG79" s="47">
        <f t="array" ref="FG79">IF(AND(ISNUMBER(MATCH(FG$2, AsistenciaJetAdminConcatenada!$A:$A, 0)), ISNUMBER(MATCH(FG$1, AsistenciaJetAdminConcatenada!$B:$B, 0)), ISNUMBER(SEARCH($A79,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ISNUMBER(SEARCH($A79, INDEX(AsistenciaJetAdminConcatenada!$D:$D, MATCH(1, (AsistenciaJetAdminConcatenada!$A:$A=FG$2)*(AsistenciaJetAdminConcatenada!$B:$B=FG$1), 0)), 1))),  0.5, 0))</f>
        <v>0</v>
      </c>
      <c r="FH79" s="47">
        <f t="array" ref="FH79">IF(AND(ISNUMBER(MATCH(FH$2, AsistenciaJetAdminConcatenada!$A:$A, 0)), ISNUMBER(MATCH(FH$1, AsistenciaJetAdminConcatenada!$B:$B, 0)), ISNUMBER(SEARCH($A79,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ISNUMBER(SEARCH($A79, INDEX(AsistenciaJetAdminConcatenada!$D:$D, MATCH(1, (AsistenciaJetAdminConcatenada!$A:$A=FH$2)*(AsistenciaJetAdminConcatenada!$B:$B=FH$1), 0)), 1))),  0.5, 0))</f>
        <v>0</v>
      </c>
      <c r="FI79" s="47">
        <f t="array" ref="FI79">IF(AND(ISNUMBER(MATCH(FI$2, AsistenciaJetAdminConcatenada!$A:$A, 0)), ISNUMBER(MATCH(FI$1, AsistenciaJetAdminConcatenada!$B:$B, 0)), ISNUMBER(SEARCH($A79,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ISNUMBER(SEARCH($A79, INDEX(AsistenciaJetAdminConcatenada!$D:$D, MATCH(1, (AsistenciaJetAdminConcatenada!$A:$A=FI$2)*(AsistenciaJetAdminConcatenada!$B:$B=FI$1), 0)), 1))),  0.5, 0))</f>
        <v>0</v>
      </c>
      <c r="FJ79" s="47">
        <f t="array" ref="FJ79">IF(AND(ISNUMBER(MATCH(FJ$2, AsistenciaJetAdminConcatenada!$A:$A, 0)), ISNUMBER(MATCH(FJ$1, AsistenciaJetAdminConcatenada!$B:$B, 0)), ISNUMBER(SEARCH($A79,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ISNUMBER(SEARCH($A79, INDEX(AsistenciaJetAdminConcatenada!$D:$D, MATCH(1, (AsistenciaJetAdminConcatenada!$A:$A=FJ$2)*(AsistenciaJetAdminConcatenada!$B:$B=FJ$1), 0)), 1))),  0.5, 0))</f>
        <v>0</v>
      </c>
      <c r="FK79" s="47">
        <f t="array" ref="FK79">IF(AND(ISNUMBER(MATCH(FK$2, AsistenciaJetAdminConcatenada!$A:$A, 0)), ISNUMBER(MATCH(FK$1, AsistenciaJetAdminConcatenada!$B:$B, 0)), ISNUMBER(SEARCH($A79,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ISNUMBER(SEARCH($A79, INDEX(AsistenciaJetAdminConcatenada!$D:$D, MATCH(1, (AsistenciaJetAdminConcatenada!$A:$A=FK$2)*(AsistenciaJetAdminConcatenada!$B:$B=FK$1), 0)), 1))),  0.5, 0))</f>
        <v>0</v>
      </c>
      <c r="FL79" s="47">
        <f t="array" ref="FL79">IF(AND(ISNUMBER(MATCH(FL$2, AsistenciaJetAdminConcatenada!$A:$A, 0)), ISNUMBER(MATCH(FL$1, AsistenciaJetAdminConcatenada!$B:$B, 0)), ISNUMBER(SEARCH($A79,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ISNUMBER(SEARCH($A79, INDEX(AsistenciaJetAdminConcatenada!$D:$D, MATCH(1, (AsistenciaJetAdminConcatenada!$A:$A=FL$2)*(AsistenciaJetAdminConcatenada!$B:$B=FL$1), 0)), 1))),  0.5, 0))</f>
        <v>0</v>
      </c>
      <c r="FM79" s="47">
        <f t="array" ref="FM79">IF(AND(ISNUMBER(MATCH(FM$2, AsistenciaJetAdminConcatenada!$A:$A, 0)), ISNUMBER(MATCH(FM$1, AsistenciaJetAdminConcatenada!$B:$B, 0)), ISNUMBER(SEARCH($A79,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ISNUMBER(SEARCH($A79, INDEX(AsistenciaJetAdminConcatenada!$D:$D, MATCH(1, (AsistenciaJetAdminConcatenada!$A:$A=FM$2)*(AsistenciaJetAdminConcatenada!$B:$B=FM$1), 0)), 1))),  0.5, 0))</f>
        <v>0</v>
      </c>
      <c r="FN79" s="47">
        <f t="array" ref="FN79">IF(AND(ISNUMBER(MATCH(FN$2, AsistenciaJetAdminConcatenada!$A:$A, 0)), ISNUMBER(MATCH(FN$1, AsistenciaJetAdminConcatenada!$B:$B, 0)), ISNUMBER(SEARCH($A79,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ISNUMBER(SEARCH($A79, INDEX(AsistenciaJetAdminConcatenada!$D:$D, MATCH(1, (AsistenciaJetAdminConcatenada!$A:$A=FN$2)*(AsistenciaJetAdminConcatenada!$B:$B=FN$1), 0)), 1))),  0.5, 0))</f>
        <v>0</v>
      </c>
      <c r="FO79" s="47">
        <f t="array" ref="FO79">IF(AND(ISNUMBER(MATCH(FO$2, AsistenciaJetAdminConcatenada!$A:$A, 0)), ISNUMBER(MATCH(FO$1, AsistenciaJetAdminConcatenada!$B:$B, 0)), ISNUMBER(SEARCH($A79,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ISNUMBER(SEARCH($A79, INDEX(AsistenciaJetAdminConcatenada!$D:$D, MATCH(1, (AsistenciaJetAdminConcatenada!$A:$A=FO$2)*(AsistenciaJetAdminConcatenada!$B:$B=FO$1), 0)), 1))),  0.5, 0))</f>
        <v>0</v>
      </c>
      <c r="FP79" s="47">
        <f t="array" ref="FP79">IF(AND(ISNUMBER(MATCH(FP$2, AsistenciaJetAdminConcatenada!$A:$A, 0)), ISNUMBER(MATCH(FP$1, AsistenciaJetAdminConcatenada!$B:$B, 0)), ISNUMBER(SEARCH($A79,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ISNUMBER(SEARCH($A79, INDEX(AsistenciaJetAdminConcatenada!$D:$D, MATCH(1, (AsistenciaJetAdminConcatenada!$A:$A=FP$2)*(AsistenciaJetAdminConcatenada!$B:$B=FP$1), 0)), 1))),  0.5, 0))</f>
        <v>0</v>
      </c>
      <c r="FQ79" s="47">
        <f t="array" ref="FQ79">IF(AND(ISNUMBER(MATCH(FQ$2, AsistenciaJetAdminConcatenada!$A:$A, 0)), ISNUMBER(MATCH(FQ$1, AsistenciaJetAdminConcatenada!$B:$B, 0)), ISNUMBER(SEARCH($A79,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ISNUMBER(SEARCH($A79, INDEX(AsistenciaJetAdminConcatenada!$D:$D, MATCH(1, (AsistenciaJetAdminConcatenada!$A:$A=FQ$2)*(AsistenciaJetAdminConcatenada!$B:$B=FQ$1), 0)), 1))),  0.5, 0))</f>
        <v>0</v>
      </c>
      <c r="FR79" s="47">
        <f t="array" ref="FR79">IF(AND(ISNUMBER(MATCH(FR$2, AsistenciaJetAdminConcatenada!$A:$A, 0)), ISNUMBER(MATCH(FR$1, AsistenciaJetAdminConcatenada!$B:$B, 0)), ISNUMBER(SEARCH($A79,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ISNUMBER(SEARCH($A79, INDEX(AsistenciaJetAdminConcatenada!$D:$D, MATCH(1, (AsistenciaJetAdminConcatenada!$A:$A=FR$2)*(AsistenciaJetAdminConcatenada!$B:$B=FR$1), 0)), 1))),  0.5, 0))</f>
        <v>0</v>
      </c>
      <c r="FS79" s="47">
        <f t="array" ref="FS79">IF(AND(ISNUMBER(MATCH(FS$2, AsistenciaJetAdminConcatenada!$A:$A, 0)), ISNUMBER(MATCH(FS$1, AsistenciaJetAdminConcatenada!$B:$B, 0)), ISNUMBER(SEARCH($A79,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ISNUMBER(SEARCH($A79, INDEX(AsistenciaJetAdminConcatenada!$D:$D, MATCH(1, (AsistenciaJetAdminConcatenada!$A:$A=FS$2)*(AsistenciaJetAdminConcatenada!$B:$B=FS$1), 0)), 1))),  0.5, 0))</f>
        <v>0</v>
      </c>
      <c r="FT79" s="47">
        <f t="array" ref="FT79">IF(AND(ISNUMBER(MATCH(FT$2, AsistenciaJetAdminConcatenada!$A:$A, 0)), ISNUMBER(MATCH(FT$1, AsistenciaJetAdminConcatenada!$B:$B, 0)), ISNUMBER(SEARCH($A79,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ISNUMBER(SEARCH($A79, INDEX(AsistenciaJetAdminConcatenada!$D:$D, MATCH(1, (AsistenciaJetAdminConcatenada!$A:$A=FT$2)*(AsistenciaJetAdminConcatenada!$B:$B=FT$1), 0)), 1))),  0.5, 0))</f>
        <v>0</v>
      </c>
      <c r="FU79" s="47">
        <f t="array" ref="FU79">IF(AND(ISNUMBER(MATCH(FU$2, AsistenciaJetAdminConcatenada!$A:$A, 0)), ISNUMBER(MATCH(FU$1, AsistenciaJetAdminConcatenada!$B:$B, 0)), ISNUMBER(SEARCH($A79,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ISNUMBER(SEARCH($A79, INDEX(AsistenciaJetAdminConcatenada!$D:$D, MATCH(1, (AsistenciaJetAdminConcatenada!$A:$A=FU$2)*(AsistenciaJetAdminConcatenada!$B:$B=FU$1), 0)), 1))),  0.5, 0))</f>
        <v>0</v>
      </c>
      <c r="FV79" s="47">
        <f t="array" ref="FV79">IF(AND(ISNUMBER(MATCH(FV$2, AsistenciaJetAdminConcatenada!$A:$A, 0)), ISNUMBER(MATCH(FV$1, AsistenciaJetAdminConcatenada!$B:$B, 0)), ISNUMBER(SEARCH($A79,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ISNUMBER(SEARCH($A79, INDEX(AsistenciaJetAdminConcatenada!$D:$D, MATCH(1, (AsistenciaJetAdminConcatenada!$A:$A=FV$2)*(AsistenciaJetAdminConcatenada!$B:$B=FV$1), 0)), 1))),  0.5, 0))</f>
        <v>0</v>
      </c>
      <c r="FW79" s="47">
        <f t="array" ref="FW79">IF(AND(ISNUMBER(MATCH(FW$2, AsistenciaJetAdminConcatenada!$A:$A, 0)), ISNUMBER(MATCH(FW$1, AsistenciaJetAdminConcatenada!$B:$B, 0)), ISNUMBER(SEARCH($A79,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ISNUMBER(SEARCH($A79, INDEX(AsistenciaJetAdminConcatenada!$D:$D, MATCH(1, (AsistenciaJetAdminConcatenada!$A:$A=FW$2)*(AsistenciaJetAdminConcatenada!$B:$B=FW$1), 0)), 1))),  0.5, 0))</f>
        <v>0</v>
      </c>
      <c r="FX79" s="47">
        <f t="array" ref="FX79">IF(AND(ISNUMBER(MATCH(FX$2, AsistenciaJetAdminConcatenada!$A:$A, 0)), ISNUMBER(MATCH(FX$1, AsistenciaJetAdminConcatenada!$B:$B, 0)), ISNUMBER(SEARCH($A79,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ISNUMBER(SEARCH($A79, INDEX(AsistenciaJetAdminConcatenada!$D:$D, MATCH(1, (AsistenciaJetAdminConcatenada!$A:$A=FX$2)*(AsistenciaJetAdminConcatenada!$B:$B=FX$1), 0)), 1))),  0.5, 0))</f>
        <v>0</v>
      </c>
      <c r="FY79" s="47">
        <f t="array" ref="FY79">IF(AND(ISNUMBER(MATCH(FY$2, AsistenciaJetAdminConcatenada!$A:$A, 0)), ISNUMBER(MATCH(FY$1, AsistenciaJetAdminConcatenada!$B:$B, 0)), ISNUMBER(SEARCH($A79,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ISNUMBER(SEARCH($A79, INDEX(AsistenciaJetAdminConcatenada!$D:$D, MATCH(1, (AsistenciaJetAdminConcatenada!$A:$A=FY$2)*(AsistenciaJetAdminConcatenada!$B:$B=FY$1), 0)), 1))),  0.5, 0))</f>
        <v>0</v>
      </c>
      <c r="FZ79" s="47">
        <f t="array" ref="FZ79">IF(AND(ISNUMBER(MATCH(FZ$2, AsistenciaJetAdminConcatenada!$A:$A, 0)), ISNUMBER(MATCH(FZ$1, AsistenciaJetAdminConcatenada!$B:$B, 0)), ISNUMBER(SEARCH($A79,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ISNUMBER(SEARCH($A79, INDEX(AsistenciaJetAdminConcatenada!$D:$D, MATCH(1, (AsistenciaJetAdminConcatenada!$A:$A=FZ$2)*(AsistenciaJetAdminConcatenada!$B:$B=FZ$1), 0)), 1))),  0.5, 0))</f>
        <v>0</v>
      </c>
      <c r="GA79" s="47">
        <f t="array" ref="GA79">IF(AND(ISNUMBER(MATCH(GA$2, AsistenciaJetAdminConcatenada!$A:$A, 0)), ISNUMBER(MATCH(GA$1, AsistenciaJetAdminConcatenada!$B:$B, 0)), ISNUMBER(SEARCH($A79,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ISNUMBER(SEARCH($A79, INDEX(AsistenciaJetAdminConcatenada!$D:$D, MATCH(1, (AsistenciaJetAdminConcatenada!$A:$A=GA$2)*(AsistenciaJetAdminConcatenada!$B:$B=GA$1), 0)), 1))),  0.5, 0))</f>
        <v>0</v>
      </c>
      <c r="GB79" s="47">
        <f t="array" ref="GB79">IF(AND(ISNUMBER(MATCH(GB$2, AsistenciaJetAdminConcatenada!$A:$A, 0)), ISNUMBER(MATCH(GB$1, AsistenciaJetAdminConcatenada!$B:$B, 0)), ISNUMBER(SEARCH($A79,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ISNUMBER(SEARCH($A79, INDEX(AsistenciaJetAdminConcatenada!$D:$D, MATCH(1, (AsistenciaJetAdminConcatenada!$A:$A=GB$2)*(AsistenciaJetAdminConcatenada!$B:$B=GB$1), 0)), 1))),  0.5, 0))</f>
        <v>0</v>
      </c>
      <c r="GC79" s="47">
        <f t="array" ref="GC79">IF(AND(ISNUMBER(MATCH(GC$2, AsistenciaJetAdminConcatenada!$A:$A, 0)), ISNUMBER(MATCH(GC$1, AsistenciaJetAdminConcatenada!$B:$B, 0)), ISNUMBER(SEARCH($A79,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ISNUMBER(SEARCH($A79, INDEX(AsistenciaJetAdminConcatenada!$D:$D, MATCH(1, (AsistenciaJetAdminConcatenada!$A:$A=GC$2)*(AsistenciaJetAdminConcatenada!$B:$B=GC$1), 0)), 1))),  0.5, 0))</f>
        <v>0</v>
      </c>
      <c r="GD79" s="47">
        <f t="array" ref="GD79">IF(AND(ISNUMBER(MATCH(GD$2, AsistenciaJetAdminConcatenada!$A:$A, 0)), ISNUMBER(MATCH(GD$1, AsistenciaJetAdminConcatenada!$B:$B, 0)), ISNUMBER(SEARCH($A79,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ISNUMBER(SEARCH($A79, INDEX(AsistenciaJetAdminConcatenada!$D:$D, MATCH(1, (AsistenciaJetAdminConcatenada!$A:$A=GD$2)*(AsistenciaJetAdminConcatenada!$B:$B=GD$1), 0)), 1))),  0.5, 0))</f>
        <v>0</v>
      </c>
      <c r="GE79" s="47">
        <f t="array" ref="GE79">IF(AND(ISNUMBER(MATCH(GE$2, AsistenciaJetAdminConcatenada!$A:$A, 0)), ISNUMBER(MATCH(GE$1, AsistenciaJetAdminConcatenada!$B:$B, 0)), ISNUMBER(SEARCH($A79,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ISNUMBER(SEARCH($A79, INDEX(AsistenciaJetAdminConcatenada!$D:$D, MATCH(1, (AsistenciaJetAdminConcatenada!$A:$A=GE$2)*(AsistenciaJetAdminConcatenada!$B:$B=GE$1), 0)), 1))),  0.5, 0))</f>
        <v>0</v>
      </c>
      <c r="GF79" s="47">
        <f t="array" ref="GF79">IF(AND(ISNUMBER(MATCH(GF$2, AsistenciaJetAdminConcatenada!$A:$A, 0)), ISNUMBER(MATCH(GF$1, AsistenciaJetAdminConcatenada!$B:$B, 0)), ISNUMBER(SEARCH($A79,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ISNUMBER(SEARCH($A79, INDEX(AsistenciaJetAdminConcatenada!$D:$D, MATCH(1, (AsistenciaJetAdminConcatenada!$A:$A=GF$2)*(AsistenciaJetAdminConcatenada!$B:$B=GF$1), 0)), 1))),  0.5, 0))</f>
        <v>0</v>
      </c>
      <c r="GG79" s="47">
        <f t="array" ref="GG79">IF(AND(ISNUMBER(MATCH(GG$2, AsistenciaJetAdminConcatenada!$A:$A, 0)), ISNUMBER(MATCH(GG$1, AsistenciaJetAdminConcatenada!$B:$B, 0)), ISNUMBER(SEARCH($A79,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ISNUMBER(SEARCH($A79, INDEX(AsistenciaJetAdminConcatenada!$D:$D, MATCH(1, (AsistenciaJetAdminConcatenada!$A:$A=GG$2)*(AsistenciaJetAdminConcatenada!$B:$B=GG$1), 0)), 1))),  0.5, 0))</f>
        <v>0</v>
      </c>
      <c r="GH79" s="47">
        <f t="array" ref="GH79">IF(AND(ISNUMBER(MATCH(GH$2, AsistenciaJetAdminConcatenada!$A:$A, 0)), ISNUMBER(MATCH(GH$1, AsistenciaJetAdminConcatenada!$B:$B, 0)), ISNUMBER(SEARCH($A79,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ISNUMBER(SEARCH($A79, INDEX(AsistenciaJetAdminConcatenada!$D:$D, MATCH(1, (AsistenciaJetAdminConcatenada!$A:$A=GH$2)*(AsistenciaJetAdminConcatenada!$B:$B=GH$1), 0)), 1))),  0.5, 0))</f>
        <v>0</v>
      </c>
      <c r="GI79" s="47">
        <f t="array" ref="GI79">IF(AND(ISNUMBER(MATCH(GI$2, AsistenciaJetAdminConcatenada!$A:$A, 0)), ISNUMBER(MATCH(GI$1, AsistenciaJetAdminConcatenada!$B:$B, 0)), ISNUMBER(SEARCH($A79,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ISNUMBER(SEARCH($A79, INDEX(AsistenciaJetAdminConcatenada!$D:$D, MATCH(1, (AsistenciaJetAdminConcatenada!$A:$A=GI$2)*(AsistenciaJetAdminConcatenada!$B:$B=GI$1), 0)), 1))),  0.5, 0))</f>
        <v>0</v>
      </c>
      <c r="GJ79" s="47">
        <f t="array" ref="GJ79">IF(AND(ISNUMBER(MATCH(GJ$2, AsistenciaJetAdminConcatenada!$A:$A, 0)), ISNUMBER(MATCH(GJ$1, AsistenciaJetAdminConcatenada!$B:$B, 0)), ISNUMBER(SEARCH($A79,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ISNUMBER(SEARCH($A79, INDEX(AsistenciaJetAdminConcatenada!$D:$D, MATCH(1, (AsistenciaJetAdminConcatenada!$A:$A=GJ$2)*(AsistenciaJetAdminConcatenada!$B:$B=GJ$1), 0)), 1))),  0.5, 0))</f>
        <v>0</v>
      </c>
      <c r="GK79" s="47">
        <f t="array" ref="GK79">IF(AND(ISNUMBER(MATCH(GK$2, AsistenciaJetAdminConcatenada!$A:$A, 0)), ISNUMBER(MATCH(GK$1, AsistenciaJetAdminConcatenada!$B:$B, 0)), ISNUMBER(SEARCH($A79,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ISNUMBER(SEARCH($A79, INDEX(AsistenciaJetAdminConcatenada!$D:$D, MATCH(1, (AsistenciaJetAdminConcatenada!$A:$A=GK$2)*(AsistenciaJetAdminConcatenada!$B:$B=GK$1), 0)), 1))),  0.5, 0))</f>
        <v>0</v>
      </c>
      <c r="GL79" s="47">
        <f t="array" ref="GL79">IF(AND(ISNUMBER(MATCH(GL$2, AsistenciaJetAdminConcatenada!$A:$A, 0)), ISNUMBER(MATCH(GL$1, AsistenciaJetAdminConcatenada!$B:$B, 0)), ISNUMBER(SEARCH($A79,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ISNUMBER(SEARCH($A79, INDEX(AsistenciaJetAdminConcatenada!$D:$D, MATCH(1, (AsistenciaJetAdminConcatenada!$A:$A=GL$2)*(AsistenciaJetAdminConcatenada!$B:$B=GL$1), 0)), 1))),  0.5, 0))</f>
        <v>0</v>
      </c>
      <c r="GM79" s="47">
        <f t="array" ref="GM79">IF(AND(ISNUMBER(MATCH(GM$2, AsistenciaJetAdminConcatenada!$A:$A, 0)), ISNUMBER(MATCH(GM$1, AsistenciaJetAdminConcatenada!$B:$B, 0)), ISNUMBER(SEARCH($A79,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ISNUMBER(SEARCH($A79, INDEX(AsistenciaJetAdminConcatenada!$D:$D, MATCH(1, (AsistenciaJetAdminConcatenada!$A:$A=GM$2)*(AsistenciaJetAdminConcatenada!$B:$B=GM$1), 0)), 1))),  0.5, 0))</f>
        <v>0</v>
      </c>
      <c r="GN79" s="47">
        <f t="array" ref="GN79">IF(AND(ISNUMBER(MATCH(GN$2, AsistenciaJetAdminConcatenada!$A:$A, 0)), ISNUMBER(MATCH(GN$1, AsistenciaJetAdminConcatenada!$B:$B, 0)), ISNUMBER(SEARCH($A79,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ISNUMBER(SEARCH($A79, INDEX(AsistenciaJetAdminConcatenada!$D:$D, MATCH(1, (AsistenciaJetAdminConcatenada!$A:$A=GN$2)*(AsistenciaJetAdminConcatenada!$B:$B=GN$1), 0)), 1))),  0.5, 0))</f>
        <v>0</v>
      </c>
      <c r="GO79" s="47">
        <f t="array" ref="GO79">IF(AND(ISNUMBER(MATCH(GO$2, AsistenciaJetAdminConcatenada!$A:$A, 0)), ISNUMBER(MATCH(GO$1, AsistenciaJetAdminConcatenada!$B:$B, 0)), ISNUMBER(SEARCH($A79,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ISNUMBER(SEARCH($A79, INDEX(AsistenciaJetAdminConcatenada!$D:$D, MATCH(1, (AsistenciaJetAdminConcatenada!$A:$A=GO$2)*(AsistenciaJetAdminConcatenada!$B:$B=GO$1), 0)), 1))),  0.5, 0))</f>
        <v>0</v>
      </c>
      <c r="GP79" s="47">
        <f t="array" ref="GP79">IF(AND(ISNUMBER(MATCH(GP$2, AsistenciaJetAdminConcatenada!$A:$A, 0)), ISNUMBER(MATCH(GP$1, AsistenciaJetAdminConcatenada!$B:$B, 0)), ISNUMBER(SEARCH($A79,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ISNUMBER(SEARCH($A79, INDEX(AsistenciaJetAdminConcatenada!$D:$D, MATCH(1, (AsistenciaJetAdminConcatenada!$A:$A=GP$2)*(AsistenciaJetAdminConcatenada!$B:$B=GP$1), 0)), 1))),  0.5, 0))</f>
        <v>0</v>
      </c>
      <c r="GQ79" s="47">
        <f t="array" ref="GQ79">IF(AND(ISNUMBER(MATCH(GQ$2, AsistenciaJetAdminConcatenada!$A:$A, 0)), ISNUMBER(MATCH(GQ$1, AsistenciaJetAdminConcatenada!$B:$B, 0)), ISNUMBER(SEARCH($A79,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ISNUMBER(SEARCH($A79, INDEX(AsistenciaJetAdminConcatenada!$D:$D, MATCH(1, (AsistenciaJetAdminConcatenada!$A:$A=GQ$2)*(AsistenciaJetAdminConcatenada!$B:$B=GQ$1), 0)), 1))),  0.5, 0))</f>
        <v>0</v>
      </c>
      <c r="GR79" s="47">
        <f t="array" ref="GR79">IF(AND(ISNUMBER(MATCH(GR$2, AsistenciaJetAdminConcatenada!$A:$A, 0)), ISNUMBER(MATCH(GR$1, AsistenciaJetAdminConcatenada!$B:$B, 0)), ISNUMBER(SEARCH($A79,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ISNUMBER(SEARCH($A79, INDEX(AsistenciaJetAdminConcatenada!$D:$D, MATCH(1, (AsistenciaJetAdminConcatenada!$A:$A=GR$2)*(AsistenciaJetAdminConcatenada!$B:$B=GR$1), 0)), 1))),  0.5, 0))</f>
        <v>0</v>
      </c>
      <c r="GS79" s="47">
        <f t="array" ref="GS79">IF(AND(ISNUMBER(MATCH(GS$2, AsistenciaJetAdminConcatenada!$A:$A, 0)), ISNUMBER(MATCH(GS$1, AsistenciaJetAdminConcatenada!$B:$B, 0)), ISNUMBER(SEARCH($A79,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ISNUMBER(SEARCH($A79, INDEX(AsistenciaJetAdminConcatenada!$D:$D, MATCH(1, (AsistenciaJetAdminConcatenada!$A:$A=GS$2)*(AsistenciaJetAdminConcatenada!$B:$B=GS$1), 0)), 1))),  0.5, 0))</f>
        <v>0</v>
      </c>
      <c r="GT79" s="47">
        <f t="array" ref="GT79">IF(AND(ISNUMBER(MATCH(GT$2, AsistenciaJetAdminConcatenada!$A:$A, 0)), ISNUMBER(MATCH(GT$1, AsistenciaJetAdminConcatenada!$B:$B, 0)), ISNUMBER(SEARCH($A79,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ISNUMBER(SEARCH($A79, INDEX(AsistenciaJetAdminConcatenada!$D:$D, MATCH(1, (AsistenciaJetAdminConcatenada!$A:$A=GT$2)*(AsistenciaJetAdminConcatenada!$B:$B=GT$1), 0)), 1))),  0.5, 0))</f>
        <v>0</v>
      </c>
      <c r="GU79" s="47">
        <f t="array" ref="GU79">IF(AND(ISNUMBER(MATCH(GU$2, AsistenciaJetAdminConcatenada!$A:$A, 0)), ISNUMBER(MATCH(GU$1, AsistenciaJetAdminConcatenada!$B:$B, 0)), ISNUMBER(SEARCH($A79,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ISNUMBER(SEARCH($A79, INDEX(AsistenciaJetAdminConcatenada!$D:$D, MATCH(1, (AsistenciaJetAdminConcatenada!$A:$A=GU$2)*(AsistenciaJetAdminConcatenada!$B:$B=GU$1), 0)), 1))),  0.5, 0))</f>
        <v>0</v>
      </c>
      <c r="GV79" s="47">
        <f t="array" ref="GV79">IF(AND(ISNUMBER(MATCH(GV$2, AsistenciaJetAdminConcatenada!$A:$A, 0)), ISNUMBER(MATCH(GV$1, AsistenciaJetAdminConcatenada!$B:$B, 0)), ISNUMBER(SEARCH($A79,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ISNUMBER(SEARCH($A79, INDEX(AsistenciaJetAdminConcatenada!$D:$D, MATCH(1, (AsistenciaJetAdminConcatenada!$A:$A=GV$2)*(AsistenciaJetAdminConcatenada!$B:$B=GV$1), 0)), 1))),  0.5, 0))</f>
        <v>0</v>
      </c>
      <c r="GW79" s="47">
        <f t="array" ref="GW79">IF(AND(ISNUMBER(MATCH(GW$2, AsistenciaJetAdminConcatenada!$A:$A, 0)), ISNUMBER(MATCH(GW$1, AsistenciaJetAdminConcatenada!$B:$B, 0)), ISNUMBER(SEARCH($A79,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ISNUMBER(SEARCH($A79, INDEX(AsistenciaJetAdminConcatenada!$D:$D, MATCH(1, (AsistenciaJetAdminConcatenada!$A:$A=GW$2)*(AsistenciaJetAdminConcatenada!$B:$B=GW$1), 0)), 1))),  0.5, 0))</f>
        <v>0</v>
      </c>
      <c r="GX79" s="47">
        <f t="array" ref="GX79">IF(AND(ISNUMBER(MATCH(GX$2, AsistenciaJetAdminConcatenada!$A:$A, 0)), ISNUMBER(MATCH(GX$1, AsistenciaJetAdminConcatenada!$B:$B, 0)), ISNUMBER(SEARCH($A79,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ISNUMBER(SEARCH($A79, INDEX(AsistenciaJetAdminConcatenada!$D:$D, MATCH(1, (AsistenciaJetAdminConcatenada!$A:$A=GX$2)*(AsistenciaJetAdminConcatenada!$B:$B=GX$1), 0)), 1))),  0.5, 0))</f>
        <v>0</v>
      </c>
      <c r="GY79" s="47">
        <f t="array" ref="GY79">IF(AND(ISNUMBER(MATCH(GY$2, AsistenciaJetAdminConcatenada!$A:$A, 0)), ISNUMBER(MATCH(GY$1, AsistenciaJetAdminConcatenada!$B:$B, 0)), ISNUMBER(SEARCH($A79,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ISNUMBER(SEARCH($A79, INDEX(AsistenciaJetAdminConcatenada!$D:$D, MATCH(1, (AsistenciaJetAdminConcatenada!$A:$A=GY$2)*(AsistenciaJetAdminConcatenada!$B:$B=GY$1), 0)), 1))),  0.5, 0))</f>
        <v>0</v>
      </c>
      <c r="GZ79" s="47">
        <f t="array" ref="GZ79">IF(AND(ISNUMBER(MATCH(GZ$2, AsistenciaJetAdminConcatenada!$A:$A, 0)), ISNUMBER(MATCH(GZ$1, AsistenciaJetAdminConcatenada!$B:$B, 0)), ISNUMBER(SEARCH($A79,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ISNUMBER(SEARCH($A79, INDEX(AsistenciaJetAdminConcatenada!$D:$D, MATCH(1, (AsistenciaJetAdminConcatenada!$A:$A=GZ$2)*(AsistenciaJetAdminConcatenada!$B:$B=GZ$1), 0)), 1))),  0.5, 0))</f>
        <v>0</v>
      </c>
      <c r="HA79" s="47">
        <f t="array" ref="HA79">IF(AND(ISNUMBER(MATCH(HA$2, AsistenciaJetAdminConcatenada!$A:$A, 0)), ISNUMBER(MATCH(HA$1, AsistenciaJetAdminConcatenada!$B:$B, 0)), ISNUMBER(SEARCH($A79,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ISNUMBER(SEARCH($A79, INDEX(AsistenciaJetAdminConcatenada!$D:$D, MATCH(1, (AsistenciaJetAdminConcatenada!$A:$A=HA$2)*(AsistenciaJetAdminConcatenada!$B:$B=HA$1), 0)), 1))),  0.5, 0))</f>
        <v>0</v>
      </c>
      <c r="HB79" s="47">
        <f t="array" ref="HB79">IF(AND(ISNUMBER(MATCH(HB$2, AsistenciaJetAdminConcatenada!$A:$A, 0)), ISNUMBER(MATCH(HB$1, AsistenciaJetAdminConcatenada!$B:$B, 0)), ISNUMBER(SEARCH($A79,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ISNUMBER(SEARCH($A79, INDEX(AsistenciaJetAdminConcatenada!$D:$D, MATCH(1, (AsistenciaJetAdminConcatenada!$A:$A=HB$2)*(AsistenciaJetAdminConcatenada!$B:$B=HB$1), 0)), 1))),  0.5, 0))</f>
        <v>0</v>
      </c>
      <c r="HC79" s="47">
        <f t="array" ref="HC79">IF(AND(ISNUMBER(MATCH(HC$2, AsistenciaJetAdminConcatenada!$A:$A, 0)), ISNUMBER(MATCH(HC$1, AsistenciaJetAdminConcatenada!$B:$B, 0)), ISNUMBER(SEARCH($A79,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ISNUMBER(SEARCH($A79, INDEX(AsistenciaJetAdminConcatenada!$D:$D, MATCH(1, (AsistenciaJetAdminConcatenada!$A:$A=HC$2)*(AsistenciaJetAdminConcatenada!$B:$B=HC$1), 0)), 1))),  0.5, 0))</f>
        <v>0</v>
      </c>
    </row>
    <row r="80" ht="29.25" customHeight="1">
      <c r="A80" s="3">
        <v>110.0</v>
      </c>
      <c r="B80" s="4" t="s">
        <v>130</v>
      </c>
      <c r="C80" s="47">
        <f>SUM(D80:HC80) + ActividadesEspeciales!C80</f>
        <v>74</v>
      </c>
      <c r="D80" s="47">
        <f t="array" ref="D80">IF(AND(ISNUMBER(MATCH(D$2, AsistenciaJetAdminConcatenada!$A:$A, 0)), ISNUMBER(MATCH(D$1, AsistenciaJetAdminConcatenada!$B:$B, 0)), ISNUMBER(SEARCH($A80,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ISNUMBER(SEARCH($A80, INDEX(AsistenciaJetAdminConcatenada!$D:$D, MATCH(1, (AsistenciaJetAdminConcatenada!$A:$A=D$2)*(AsistenciaJetAdminConcatenada!$B:$B=D$1), 0)), 1))),  0.5, 0))</f>
        <v>1</v>
      </c>
      <c r="E80" s="47">
        <f t="array" ref="E80">IF(AND(ISNUMBER(MATCH(E$2, AsistenciaJetAdminConcatenada!$A:$A, 0)), ISNUMBER(MATCH(E$1, AsistenciaJetAdminConcatenada!$B:$B, 0)), ISNUMBER(SEARCH($A80,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ISNUMBER(SEARCH($A80, INDEX(AsistenciaJetAdminConcatenada!$D:$D, MATCH(1, (AsistenciaJetAdminConcatenada!$A:$A=E$2)*(AsistenciaJetAdminConcatenada!$B:$B=E$1), 0)), 1))),  0.5, 0))</f>
        <v>1</v>
      </c>
      <c r="F80" s="47">
        <f t="array" ref="F80">IF(AND(ISNUMBER(MATCH(F$2, AsistenciaJetAdminConcatenada!$A:$A, 0)), ISNUMBER(MATCH(F$1, AsistenciaJetAdminConcatenada!$B:$B, 0)), ISNUMBER(SEARCH($A80,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ISNUMBER(SEARCH($A80, INDEX(AsistenciaJetAdminConcatenada!$D:$D, MATCH(1, (AsistenciaJetAdminConcatenada!$A:$A=F$2)*(AsistenciaJetAdminConcatenada!$B:$B=F$1), 0)), 1))),  0.5, 0))</f>
        <v>1</v>
      </c>
      <c r="G80" s="47">
        <f t="array" ref="G80">IF(AND(ISNUMBER(MATCH(G$2, AsistenciaJetAdminConcatenada!$A:$A, 0)), ISNUMBER(MATCH(G$1, AsistenciaJetAdminConcatenada!$B:$B, 0)), ISNUMBER(SEARCH($A80,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ISNUMBER(SEARCH($A80, INDEX(AsistenciaJetAdminConcatenada!$D:$D, MATCH(1, (AsistenciaJetAdminConcatenada!$A:$A=G$2)*(AsistenciaJetAdminConcatenada!$B:$B=G$1), 0)), 1))),  0.5, 0))</f>
        <v>1</v>
      </c>
      <c r="H80" s="47">
        <f t="array" ref="H80">IF(AND(ISNUMBER(MATCH(H$2, AsistenciaJetAdminConcatenada!$A:$A, 0)), ISNUMBER(MATCH(H$1, AsistenciaJetAdminConcatenada!$B:$B, 0)), ISNUMBER(SEARCH($A80,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ISNUMBER(SEARCH($A80, INDEX(AsistenciaJetAdminConcatenada!$D:$D, MATCH(1, (AsistenciaJetAdminConcatenada!$A:$A=H$2)*(AsistenciaJetAdminConcatenada!$B:$B=H$1), 0)), 1))),  0.5, 0))</f>
        <v>1</v>
      </c>
      <c r="I80" s="47">
        <f t="array" ref="I80">IF(AND(ISNUMBER(MATCH(I$2, AsistenciaJetAdminConcatenada!$A:$A, 0)), ISNUMBER(MATCH(I$1, AsistenciaJetAdminConcatenada!$B:$B, 0)), ISNUMBER(SEARCH($A80,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ISNUMBER(SEARCH($A80, INDEX(AsistenciaJetAdminConcatenada!$D:$D, MATCH(1, (AsistenciaJetAdminConcatenada!$A:$A=I$2)*(AsistenciaJetAdminConcatenada!$B:$B=I$1), 0)), 1))),  0.5, 0))</f>
        <v>1</v>
      </c>
      <c r="J80" s="47">
        <f t="array" ref="J80">IF(AND(ISNUMBER(MATCH(J$2, AsistenciaJetAdminConcatenada!$A:$A, 0)), ISNUMBER(MATCH(J$1, AsistenciaJetAdminConcatenada!$B:$B, 0)), ISNUMBER(SEARCH($A80,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ISNUMBER(SEARCH($A80, INDEX(AsistenciaJetAdminConcatenada!$D:$D, MATCH(1, (AsistenciaJetAdminConcatenada!$A:$A=J$2)*(AsistenciaJetAdminConcatenada!$B:$B=J$1), 0)), 1))),  0.5, 0))</f>
        <v>1</v>
      </c>
      <c r="K80" s="47">
        <f t="array" ref="K80">IF(AND(ISNUMBER(MATCH(K$2, AsistenciaJetAdminConcatenada!$A:$A, 0)), ISNUMBER(MATCH(K$1, AsistenciaJetAdminConcatenada!$B:$B, 0)), ISNUMBER(SEARCH($A80,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ISNUMBER(SEARCH($A80, INDEX(AsistenciaJetAdminConcatenada!$D:$D, MATCH(1, (AsistenciaJetAdminConcatenada!$A:$A=K$2)*(AsistenciaJetAdminConcatenada!$B:$B=K$1), 0)), 1))),  0.5, 0))</f>
        <v>0.5</v>
      </c>
      <c r="L80" s="47">
        <f t="array" ref="L80">IF(AND(ISNUMBER(MATCH(L$2, AsistenciaJetAdminConcatenada!$A:$A, 0)), ISNUMBER(MATCH(L$1, AsistenciaJetAdminConcatenada!$B:$B, 0)), ISNUMBER(SEARCH($A80,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ISNUMBER(SEARCH($A80, INDEX(AsistenciaJetAdminConcatenada!$D:$D, MATCH(1, (AsistenciaJetAdminConcatenada!$A:$A=L$2)*(AsistenciaJetAdminConcatenada!$B:$B=L$1), 0)), 1))),  0.5, 0))</f>
        <v>1</v>
      </c>
      <c r="M80" s="8">
        <v>1.0</v>
      </c>
      <c r="N80" s="47">
        <f t="array" ref="N80">IF(AND(ISNUMBER(MATCH(N$2, AsistenciaJetAdminConcatenada!$A:$A, 0)), ISNUMBER(MATCH(N$1, AsistenciaJetAdminConcatenada!$B:$B, 0)), ISNUMBER(SEARCH($A80,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ISNUMBER(SEARCH($A80, INDEX(AsistenciaJetAdminConcatenada!$D:$D, MATCH(1, (AsistenciaJetAdminConcatenada!$A:$A=N$2)*(AsistenciaJetAdminConcatenada!$B:$B=N$1), 0)), 1))),  0.5, 0))</f>
        <v>0</v>
      </c>
      <c r="O80" s="47">
        <f t="array" ref="O80">IF(AND(ISNUMBER(MATCH(O$2, AsistenciaJetAdminConcatenada!$A:$A, 0)), ISNUMBER(MATCH(O$1, AsistenciaJetAdminConcatenada!$B:$B, 0)), ISNUMBER(SEARCH($A80,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ISNUMBER(SEARCH($A80, INDEX(AsistenciaJetAdminConcatenada!$D:$D, MATCH(1, (AsistenciaJetAdminConcatenada!$A:$A=O$2)*(AsistenciaJetAdminConcatenada!$B:$B=O$1), 0)), 1))),  0.5, 0))</f>
        <v>1</v>
      </c>
      <c r="P80" s="47">
        <f t="array" ref="P80">IF(AND(ISNUMBER(MATCH(P$2, AsistenciaJetAdminConcatenada!$A:$A, 0)), ISNUMBER(MATCH(P$1, AsistenciaJetAdminConcatenada!$B:$B, 0)), ISNUMBER(SEARCH($A80, INDEX(AsistenciaJetAdminConcatenada!$C:$C, MATCH(1, (AsistenciaJetAdminConcatenada!$A:$A=P$2)*(AsistenciaJetAdminConcatenada!$B:$B=P$1), 0)), 1))), 1, IF(AND(ISNUMBER(MATCH(P$2, AsistenciaJetAdminConcatenada!$A:$A, 0)), ISNUMBER(MATCH(P$1, AsistenciaJetAdminConcatenada!$B:$B, 0)), ISNUMBER(SEARCH($A80, INDEX(AsistenciaJetAdminConcatenada!$D:$D, MATCH(1, (AsistenciaJetAdminConcatenada!$A:$A=P$2)*(AsistenciaJetAdminConcatenada!$B:$B=P$1), 0)), 1))),  0.5, 0))</f>
        <v>1</v>
      </c>
      <c r="Q80" s="47">
        <f t="array" ref="Q80">IF(AND(ISNUMBER(MATCH(Q$2, AsistenciaJetAdminConcatenada!$A:$A, 0)), ISNUMBER(MATCH(Q$1, AsistenciaJetAdminConcatenada!$B:$B, 0)), ISNUMBER(SEARCH($A80, INDEX(AsistenciaJetAdminConcatenada!$C:$C, MATCH(1, (AsistenciaJetAdminConcatenada!$A:$A=Q$2)*(AsistenciaJetAdminConcatenada!$B:$B=Q$1), 0)), 1))), 1, IF(AND(ISNUMBER(MATCH(Q$2, AsistenciaJetAdminConcatenada!$A:$A, 0)), ISNUMBER(MATCH(Q$1, AsistenciaJetAdminConcatenada!$B:$B, 0)), ISNUMBER(SEARCH($A80, INDEX(AsistenciaJetAdminConcatenada!$D:$D, MATCH(1, (AsistenciaJetAdminConcatenada!$A:$A=Q$2)*(AsistenciaJetAdminConcatenada!$B:$B=Q$1), 0)), 1))),  0.5, 0))</f>
        <v>1</v>
      </c>
      <c r="R80" s="47">
        <f t="array" ref="R80">IF(AND(ISNUMBER(MATCH(R$2, AsistenciaJetAdminConcatenada!$A:$A, 0)), ISNUMBER(MATCH(R$1, AsistenciaJetAdminConcatenada!$B:$B, 0)), ISNUMBER(SEARCH($A80,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ISNUMBER(SEARCH($A80, INDEX(AsistenciaJetAdminConcatenada!$D:$D, MATCH(1, (AsistenciaJetAdminConcatenada!$A:$A=R$2)*(AsistenciaJetAdminConcatenada!$B:$B=R$1), 0)), 1))),  0.5, 0))</f>
        <v>1</v>
      </c>
      <c r="S80" s="47">
        <f t="array" ref="S80">IF(AND(ISNUMBER(MATCH(S$2, AsistenciaJetAdminConcatenada!$A:$A, 0)), ISNUMBER(MATCH(S$1, AsistenciaJetAdminConcatenada!$B:$B, 0)), ISNUMBER(SEARCH($A80,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ISNUMBER(SEARCH($A80, INDEX(AsistenciaJetAdminConcatenada!$D:$D, MATCH(1, (AsistenciaJetAdminConcatenada!$A:$A=S$2)*(AsistenciaJetAdminConcatenada!$B:$B=S$1), 0)), 1))),  0.5, 0))</f>
        <v>0.5</v>
      </c>
      <c r="T80" s="47">
        <f t="array" ref="T80">IF(AND(ISNUMBER(MATCH(T$2, AsistenciaJetAdminConcatenada!$A:$A, 0)), ISNUMBER(MATCH(T$1, AsistenciaJetAdminConcatenada!$B:$B, 0)), ISNUMBER(SEARCH($A80,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ISNUMBER(SEARCH($A80, INDEX(AsistenciaJetAdminConcatenada!$D:$D, MATCH(1, (AsistenciaJetAdminConcatenada!$A:$A=T$2)*(AsistenciaJetAdminConcatenada!$B:$B=T$1), 0)), 1))),  0.5, 0))</f>
        <v>0</v>
      </c>
      <c r="U80" s="47">
        <f t="array" ref="U80">IF(AND(ISNUMBER(MATCH(U$2, AsistenciaJetAdminConcatenada!$A:$A, 0)), ISNUMBER(MATCH(U$1, AsistenciaJetAdminConcatenada!$B:$B, 0)), ISNUMBER(SEARCH($A80,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ISNUMBER(SEARCH($A80, INDEX(AsistenciaJetAdminConcatenada!$D:$D, MATCH(1, (AsistenciaJetAdminConcatenada!$A:$A=U$2)*(AsistenciaJetAdminConcatenada!$B:$B=U$1), 0)), 1))),  0.5, 0))</f>
        <v>1</v>
      </c>
      <c r="V80" s="47">
        <f t="array" ref="V80">IF(AND(ISNUMBER(MATCH(V$2, AsistenciaJetAdminConcatenada!$A:$A, 0)), ISNUMBER(MATCH(V$1, AsistenciaJetAdminConcatenada!$B:$B, 0)), ISNUMBER(SEARCH($A80,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ISNUMBER(SEARCH($A80, INDEX(AsistenciaJetAdminConcatenada!$D:$D, MATCH(1, (AsistenciaJetAdminConcatenada!$A:$A=V$2)*(AsistenciaJetAdminConcatenada!$B:$B=V$1), 0)), 1))),  0.5, 0))</f>
        <v>1</v>
      </c>
      <c r="W80" s="47">
        <f t="array" ref="W80">IF(AND(ISNUMBER(MATCH(W$2, AsistenciaJetAdminConcatenada!$A:$A, 0)), ISNUMBER(MATCH(W$1, AsistenciaJetAdminConcatenada!$B:$B, 0)), ISNUMBER(SEARCH($A80,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ISNUMBER(SEARCH($A80, INDEX(AsistenciaJetAdminConcatenada!$D:$D, MATCH(1, (AsistenciaJetAdminConcatenada!$A:$A=W$2)*(AsistenciaJetAdminConcatenada!$B:$B=W$1), 0)), 1))),  0.5, 0))</f>
        <v>1</v>
      </c>
      <c r="X80" s="47">
        <f t="array" ref="X80">IF(AND(ISNUMBER(MATCH(X$2, AsistenciaJetAdminConcatenada!$A:$A, 0)), ISNUMBER(MATCH(X$1, AsistenciaJetAdminConcatenada!$B:$B, 0)), ISNUMBER(SEARCH($A80,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ISNUMBER(SEARCH($A80, INDEX(AsistenciaJetAdminConcatenada!$D:$D, MATCH(1, (AsistenciaJetAdminConcatenada!$A:$A=X$2)*(AsistenciaJetAdminConcatenada!$B:$B=X$1), 0)), 1))),  0.5, 0))</f>
        <v>0</v>
      </c>
      <c r="Y80" s="47">
        <f t="array" ref="Y80">IF(AND(ISNUMBER(MATCH(Y$2, AsistenciaJetAdminConcatenada!$A:$A, 0)), ISNUMBER(MATCH(Y$1, AsistenciaJetAdminConcatenada!$B:$B, 0)), ISNUMBER(SEARCH($A80,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ISNUMBER(SEARCH($A80, INDEX(AsistenciaJetAdminConcatenada!$D:$D, MATCH(1, (AsistenciaJetAdminConcatenada!$A:$A=Y$2)*(AsistenciaJetAdminConcatenada!$B:$B=Y$1), 0)), 1))),  0.5, 0))</f>
        <v>1</v>
      </c>
      <c r="Z80" s="47">
        <f t="array" ref="Z80">IF(AND(ISNUMBER(MATCH(Z$2, AsistenciaJetAdminConcatenada!$A:$A, 0)), ISNUMBER(MATCH(Z$1, AsistenciaJetAdminConcatenada!$B:$B, 0)), ISNUMBER(SEARCH($A80,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ISNUMBER(SEARCH($A80, INDEX(AsistenciaJetAdminConcatenada!$D:$D, MATCH(1, (AsistenciaJetAdminConcatenada!$A:$A=Z$2)*(AsistenciaJetAdminConcatenada!$B:$B=Z$1), 0)), 1))),  0.5, 0))</f>
        <v>1</v>
      </c>
      <c r="AA80" s="47">
        <f t="array" ref="AA80">IF(AND(ISNUMBER(MATCH(AA$2, AsistenciaJetAdminConcatenada!$A:$A, 0)), ISNUMBER(MATCH(AA$1, AsistenciaJetAdminConcatenada!$B:$B, 0)), ISNUMBER(SEARCH($A80,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ISNUMBER(SEARCH($A80, INDEX(AsistenciaJetAdminConcatenada!$D:$D, MATCH(1, (AsistenciaJetAdminConcatenada!$A:$A=AA$2)*(AsistenciaJetAdminConcatenada!$B:$B=AA$1), 0)), 1))),  0.5, 0))</f>
        <v>0</v>
      </c>
      <c r="AB80" s="47">
        <f t="array" ref="AB80">IF(AND(ISNUMBER(MATCH(AB$2, AsistenciaJetAdminConcatenada!$A:$A, 0)), ISNUMBER(MATCH(AB$1, AsistenciaJetAdminConcatenada!$B:$B, 0)), ISNUMBER(SEARCH($A80,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ISNUMBER(SEARCH($A80, INDEX(AsistenciaJetAdminConcatenada!$D:$D, MATCH(1, (AsistenciaJetAdminConcatenada!$A:$A=AB$2)*(AsistenciaJetAdminConcatenada!$B:$B=AB$1), 0)), 1))),  0.5, 0))</f>
        <v>1</v>
      </c>
      <c r="AC80" s="47">
        <f t="array" ref="AC80">IF(AND(ISNUMBER(MATCH(AC$2, AsistenciaJetAdminConcatenada!$A:$A, 0)), ISNUMBER(MATCH(AC$1, AsistenciaJetAdminConcatenada!$B:$B, 0)), ISNUMBER(SEARCH($A80,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ISNUMBER(SEARCH($A80, INDEX(AsistenciaJetAdminConcatenada!$D:$D, MATCH(1, (AsistenciaJetAdminConcatenada!$A:$A=AC$2)*(AsistenciaJetAdminConcatenada!$B:$B=AC$1), 0)), 1))),  0.5, 0))</f>
        <v>1</v>
      </c>
      <c r="AD80" s="47">
        <f t="array" ref="AD80">IF(AND(ISNUMBER(MATCH(AD$2, AsistenciaJetAdminConcatenada!$A:$A, 0)), ISNUMBER(MATCH(AD$1, AsistenciaJetAdminConcatenada!$B:$B, 0)), ISNUMBER(SEARCH($A80,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ISNUMBER(SEARCH($A80, INDEX(AsistenciaJetAdminConcatenada!$D:$D, MATCH(1, (AsistenciaJetAdminConcatenada!$A:$A=AD$2)*(AsistenciaJetAdminConcatenada!$B:$B=AD$1), 0)), 1))),  0.5, 0))</f>
        <v>1</v>
      </c>
      <c r="AE80" s="47">
        <f t="array" ref="AE80">IF(AND(ISNUMBER(MATCH(AE$2, AsistenciaJetAdminConcatenada!$A:$A, 0)), ISNUMBER(MATCH(AE$1, AsistenciaJetAdminConcatenada!$B:$B, 0)), ISNUMBER(SEARCH($A80,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ISNUMBER(SEARCH($A80, INDEX(AsistenciaJetAdminConcatenada!$D:$D, MATCH(1, (AsistenciaJetAdminConcatenada!$A:$A=AE$2)*(AsistenciaJetAdminConcatenada!$B:$B=AE$1), 0)), 1))),  0.5, 0))</f>
        <v>0</v>
      </c>
      <c r="AF80" s="47">
        <f t="array" ref="AF80">IF(AND(ISNUMBER(MATCH(AF$2, AsistenciaJetAdminConcatenada!$A:$A, 0)), ISNUMBER(MATCH(AF$1, AsistenciaJetAdminConcatenada!$B:$B, 0)), ISNUMBER(SEARCH($A80,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ISNUMBER(SEARCH($A80, INDEX(AsistenciaJetAdminConcatenada!$D:$D, MATCH(1, (AsistenciaJetAdminConcatenada!$A:$A=AF$2)*(AsistenciaJetAdminConcatenada!$B:$B=AF$1), 0)), 1))),  0.5, 0))</f>
        <v>1</v>
      </c>
      <c r="AG80" s="47">
        <f t="array" ref="AG80">IF(AND(ISNUMBER(MATCH(AG$2, AsistenciaJetAdminConcatenada!$A:$A, 0)), ISNUMBER(MATCH(AG$1, AsistenciaJetAdminConcatenada!$B:$B, 0)), ISNUMBER(SEARCH($A80,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ISNUMBER(SEARCH($A80, INDEX(AsistenciaJetAdminConcatenada!$D:$D, MATCH(1, (AsistenciaJetAdminConcatenada!$A:$A=AG$2)*(AsistenciaJetAdminConcatenada!$B:$B=AG$1), 0)), 1))),  0.5, 0))</f>
        <v>0</v>
      </c>
      <c r="AH80" s="47">
        <f t="array" ref="AH80">IF(AND(ISNUMBER(MATCH(AH$2, AsistenciaJetAdminConcatenada!$A:$A, 0)), ISNUMBER(MATCH(AH$1, AsistenciaJetAdminConcatenada!$B:$B, 0)), ISNUMBER(SEARCH($A80,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ISNUMBER(SEARCH($A80, INDEX(AsistenciaJetAdminConcatenada!$D:$D, MATCH(1, (AsistenciaJetAdminConcatenada!$A:$A=AH$2)*(AsistenciaJetAdminConcatenada!$B:$B=AH$1), 0)), 1))),  0.5, 0))</f>
        <v>0</v>
      </c>
      <c r="AI80" s="47">
        <f t="array" ref="AI80">IF(AND(ISNUMBER(MATCH(AI$2, AsistenciaJetAdminConcatenada!$A:$A, 0)), ISNUMBER(MATCH(AI$1, AsistenciaJetAdminConcatenada!$B:$B, 0)), ISNUMBER(SEARCH($A80,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ISNUMBER(SEARCH($A80, INDEX(AsistenciaJetAdminConcatenada!$D:$D, MATCH(1, (AsistenciaJetAdminConcatenada!$A:$A=AI$2)*(AsistenciaJetAdminConcatenada!$B:$B=AI$1), 0)), 1))),  0.5, 0))</f>
        <v>0</v>
      </c>
      <c r="AJ80" s="47">
        <f t="array" ref="AJ80">IF(AND(ISNUMBER(MATCH(AJ$2, AsistenciaJetAdminConcatenada!$A:$A, 0)), ISNUMBER(MATCH(AJ$1, AsistenciaJetAdminConcatenada!$B:$B, 0)), ISNUMBER(SEARCH($A80,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ISNUMBER(SEARCH($A80, INDEX(AsistenciaJetAdminConcatenada!$D:$D, MATCH(1, (AsistenciaJetAdminConcatenada!$A:$A=AJ$2)*(AsistenciaJetAdminConcatenada!$B:$B=AJ$1), 0)), 1))),  0.5, 0))</f>
        <v>1</v>
      </c>
      <c r="AK80" s="47">
        <f t="array" ref="AK80">IF(AND(ISNUMBER(MATCH(AK$2, AsistenciaJetAdminConcatenada!$A:$A, 0)), ISNUMBER(MATCH(AK$1, AsistenciaJetAdminConcatenada!$B:$B, 0)), ISNUMBER(SEARCH($A80,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ISNUMBER(SEARCH($A80, INDEX(AsistenciaJetAdminConcatenada!$D:$D, MATCH(1, (AsistenciaJetAdminConcatenada!$A:$A=AK$2)*(AsistenciaJetAdminConcatenada!$B:$B=AK$1), 0)), 1))),  0.5, 0))</f>
        <v>1</v>
      </c>
      <c r="AL80" s="47">
        <f t="array" ref="AL80">IF(AND(ISNUMBER(MATCH(AL$2, AsistenciaJetAdminConcatenada!$A:$A, 0)), ISNUMBER(MATCH(AL$1, AsistenciaJetAdminConcatenada!$B:$B, 0)), ISNUMBER(SEARCH($A80,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ISNUMBER(SEARCH($A80, INDEX(AsistenciaJetAdminConcatenada!$D:$D, MATCH(1, (AsistenciaJetAdminConcatenada!$A:$A=AL$2)*(AsistenciaJetAdminConcatenada!$B:$B=AL$1), 0)), 1))),  0.5, 0))</f>
        <v>1</v>
      </c>
      <c r="AM80" s="47">
        <f t="array" ref="AM80">IF(AND(ISNUMBER(MATCH(AM$2, AsistenciaJetAdminConcatenada!$A:$A, 0)), ISNUMBER(MATCH(AM$1, AsistenciaJetAdminConcatenada!$B:$B, 0)), ISNUMBER(SEARCH($A80,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ISNUMBER(SEARCH($A80, INDEX(AsistenciaJetAdminConcatenada!$D:$D, MATCH(1, (AsistenciaJetAdminConcatenada!$A:$A=AM$2)*(AsistenciaJetAdminConcatenada!$B:$B=AM$1), 0)), 1))),  0.5, 0))</f>
        <v>1</v>
      </c>
      <c r="AN80" s="47">
        <f t="array" ref="AN80">IF(AND(ISNUMBER(MATCH(AN$2, AsistenciaJetAdminConcatenada!$A:$A, 0)), ISNUMBER(MATCH(AN$1, AsistenciaJetAdminConcatenada!$B:$B, 0)), ISNUMBER(SEARCH($A80,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ISNUMBER(SEARCH($A80, INDEX(AsistenciaJetAdminConcatenada!$D:$D, MATCH(1, (AsistenciaJetAdminConcatenada!$A:$A=AN$2)*(AsistenciaJetAdminConcatenada!$B:$B=AN$1), 0)), 1))),  0.5, 0))</f>
        <v>1</v>
      </c>
      <c r="AO80" s="47">
        <f t="array" ref="AO80">IF(AND(ISNUMBER(MATCH(AO$2, AsistenciaJetAdminConcatenada!$A:$A, 0)), ISNUMBER(MATCH(AO$1, AsistenciaJetAdminConcatenada!$B:$B, 0)), ISNUMBER(SEARCH($A80,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ISNUMBER(SEARCH($A80, INDEX(AsistenciaJetAdminConcatenada!$D:$D, MATCH(1, (AsistenciaJetAdminConcatenada!$A:$A=AO$2)*(AsistenciaJetAdminConcatenada!$B:$B=AO$1), 0)), 1))),  0.5, 0))</f>
        <v>1</v>
      </c>
      <c r="AP80" s="47">
        <f t="array" ref="AP80">IF(AND(ISNUMBER(MATCH(AP$2, AsistenciaJetAdminConcatenada!$A:$A, 0)), ISNUMBER(MATCH(AP$1, AsistenciaJetAdminConcatenada!$B:$B, 0)), ISNUMBER(SEARCH($A80,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ISNUMBER(SEARCH($A80, INDEX(AsistenciaJetAdminConcatenada!$D:$D, MATCH(1, (AsistenciaJetAdminConcatenada!$A:$A=AP$2)*(AsistenciaJetAdminConcatenada!$B:$B=AP$1), 0)), 1))),  0.5, 0))</f>
        <v>1</v>
      </c>
      <c r="AQ80" s="47">
        <f t="array" ref="AQ80">IF(AND(ISNUMBER(MATCH(AQ$2, AsistenciaJetAdminConcatenada!$A:$A, 0)), ISNUMBER(MATCH(AQ$1, AsistenciaJetAdminConcatenada!$B:$B, 0)), ISNUMBER(SEARCH($A80,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ISNUMBER(SEARCH($A80, INDEX(AsistenciaJetAdminConcatenada!$D:$D, MATCH(1, (AsistenciaJetAdminConcatenada!$A:$A=AQ$2)*(AsistenciaJetAdminConcatenada!$B:$B=AQ$1), 0)), 1))),  0.5, 0))</f>
        <v>0</v>
      </c>
      <c r="AR80" s="47">
        <f t="array" ref="AR80">IF(AND(ISNUMBER(MATCH(AR$2, AsistenciaJetAdminConcatenada!$A:$A, 0)), ISNUMBER(MATCH(AR$1, AsistenciaJetAdminConcatenada!$B:$B, 0)), ISNUMBER(SEARCH($A80,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ISNUMBER(SEARCH($A80, INDEX(AsistenciaJetAdminConcatenada!$D:$D, MATCH(1, (AsistenciaJetAdminConcatenada!$A:$A=AR$2)*(AsistenciaJetAdminConcatenada!$B:$B=AR$1), 0)), 1))),  0.5, 0))</f>
        <v>1</v>
      </c>
      <c r="AS80" s="47">
        <f t="array" ref="AS80">IF(AND(ISNUMBER(MATCH(AS$2, AsistenciaJetAdminConcatenada!$A:$A, 0)), ISNUMBER(MATCH(AS$1, AsistenciaJetAdminConcatenada!$B:$B, 0)), ISNUMBER(SEARCH($A80,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ISNUMBER(SEARCH($A80, INDEX(AsistenciaJetAdminConcatenada!$D:$D, MATCH(1, (AsistenciaJetAdminConcatenada!$A:$A=AS$2)*(AsistenciaJetAdminConcatenada!$B:$B=AS$1), 0)), 1))),  0.5, 0))</f>
        <v>1</v>
      </c>
      <c r="AT80" s="47">
        <f t="array" ref="AT80">IF(AND(ISNUMBER(MATCH(AT$2, AsistenciaJetAdminConcatenada!$A:$A, 0)), ISNUMBER(MATCH(AT$1, AsistenciaJetAdminConcatenada!$B:$B, 0)), ISNUMBER(SEARCH($A80,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ISNUMBER(SEARCH($A80, INDEX(AsistenciaJetAdminConcatenada!$D:$D, MATCH(1, (AsistenciaJetAdminConcatenada!$A:$A=AT$2)*(AsistenciaJetAdminConcatenada!$B:$B=AT$1), 0)), 1))),  0.5, 0))</f>
        <v>0</v>
      </c>
      <c r="AU80" s="47">
        <f t="array" ref="AU80">IF(AND(ISNUMBER(MATCH(AU$2, AsistenciaJetAdminConcatenada!$A:$A, 0)), ISNUMBER(MATCH(AU$1, AsistenciaJetAdminConcatenada!$B:$B, 0)), ISNUMBER(SEARCH($A80,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ISNUMBER(SEARCH($A80, INDEX(AsistenciaJetAdminConcatenada!$D:$D, MATCH(1, (AsistenciaJetAdminConcatenada!$A:$A=AU$2)*(AsistenciaJetAdminConcatenada!$B:$B=AU$1), 0)), 1))),  0.5, 0))</f>
        <v>1</v>
      </c>
      <c r="AV80" s="47">
        <f t="array" ref="AV80">IF(AND(ISNUMBER(MATCH(AV$2, AsistenciaJetAdminConcatenada!$A:$A, 0)), ISNUMBER(MATCH(AV$1, AsistenciaJetAdminConcatenada!$B:$B, 0)), ISNUMBER(SEARCH($A80,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ISNUMBER(SEARCH($A80, INDEX(AsistenciaJetAdminConcatenada!$D:$D, MATCH(1, (AsistenciaJetAdminConcatenada!$A:$A=AV$2)*(AsistenciaJetAdminConcatenada!$B:$B=AV$1), 0)), 1))),  0.5, 0))</f>
        <v>1</v>
      </c>
      <c r="AW80" s="47">
        <f t="array" ref="AW80">IF(AND(ISNUMBER(MATCH(AW$2, AsistenciaJetAdminConcatenada!$A:$A, 0)), ISNUMBER(MATCH(AW$1, AsistenciaJetAdminConcatenada!$B:$B, 0)), ISNUMBER(SEARCH($A80,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ISNUMBER(SEARCH($A80, INDEX(AsistenciaJetAdminConcatenada!$D:$D, MATCH(1, (AsistenciaJetAdminConcatenada!$A:$A=AW$2)*(AsistenciaJetAdminConcatenada!$B:$B=AW$1), 0)), 1))),  0.5, 0))</f>
        <v>0</v>
      </c>
      <c r="AX80" s="47">
        <f t="array" ref="AX80">IF(AND(ISNUMBER(MATCH(AX$2, AsistenciaJetAdminConcatenada!$A:$A, 0)), ISNUMBER(MATCH(AX$1, AsistenciaJetAdminConcatenada!$B:$B, 0)), ISNUMBER(SEARCH($A80,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ISNUMBER(SEARCH($A80, INDEX(AsistenciaJetAdminConcatenada!$D:$D, MATCH(1, (AsistenciaJetAdminConcatenada!$A:$A=AX$2)*(AsistenciaJetAdminConcatenada!$B:$B=AX$1), 0)), 1))),  0.5, 0))</f>
        <v>1</v>
      </c>
      <c r="AY80" s="47">
        <f t="array" ref="AY80">IF(AND(ISNUMBER(MATCH(AY$2, AsistenciaJetAdminConcatenada!$A:$A, 0)), ISNUMBER(MATCH(AY$1, AsistenciaJetAdminConcatenada!$B:$B, 0)), ISNUMBER(SEARCH($A80,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ISNUMBER(SEARCH($A80, INDEX(AsistenciaJetAdminConcatenada!$D:$D, MATCH(1, (AsistenciaJetAdminConcatenada!$A:$A=AY$2)*(AsistenciaJetAdminConcatenada!$B:$B=AY$1), 0)), 1))),  0.5, 0))</f>
        <v>1</v>
      </c>
      <c r="AZ80" s="47">
        <f t="array" ref="AZ80">IF(AND(ISNUMBER(MATCH(AZ$2, AsistenciaJetAdminConcatenada!$A:$A, 0)), ISNUMBER(MATCH(AZ$1, AsistenciaJetAdminConcatenada!$B:$B, 0)), ISNUMBER(SEARCH($A80,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ISNUMBER(SEARCH($A80, INDEX(AsistenciaJetAdminConcatenada!$D:$D, MATCH(1, (AsistenciaJetAdminConcatenada!$A:$A=AZ$2)*(AsistenciaJetAdminConcatenada!$B:$B=AZ$1), 0)), 1))),  0.5, 0))</f>
        <v>1</v>
      </c>
      <c r="BA80" s="47">
        <f t="array" ref="BA80">IF(AND(ISNUMBER(MATCH(BA$2, AsistenciaJetAdminConcatenada!$A:$A, 0)), ISNUMBER(MATCH(BA$1, AsistenciaJetAdminConcatenada!$B:$B, 0)), ISNUMBER(SEARCH($A80,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ISNUMBER(SEARCH($A80, INDEX(AsistenciaJetAdminConcatenada!$D:$D, MATCH(1, (AsistenciaJetAdminConcatenada!$A:$A=BA$2)*(AsistenciaJetAdminConcatenada!$B:$B=BA$1), 0)), 1))),  0.5, 0))</f>
        <v>0</v>
      </c>
      <c r="BB80" s="47">
        <f t="array" ref="BB80">IF(AND(ISNUMBER(MATCH(BB$2, AsistenciaJetAdminConcatenada!$A:$A, 0)), ISNUMBER(MATCH(BB$1, AsistenciaJetAdminConcatenada!$B:$B, 0)), ISNUMBER(SEARCH($A80,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ISNUMBER(SEARCH($A80, INDEX(AsistenciaJetAdminConcatenada!$D:$D, MATCH(1, (AsistenciaJetAdminConcatenada!$A:$A=BB$2)*(AsistenciaJetAdminConcatenada!$B:$B=BB$1), 0)), 1))),  0.5, 0))</f>
        <v>1</v>
      </c>
      <c r="BC80" s="47">
        <f t="array" ref="BC80">IF(AND(ISNUMBER(MATCH(BC$2, AsistenciaJetAdminConcatenada!$A:$A, 0)), ISNUMBER(MATCH(BC$1, AsistenciaJetAdminConcatenada!$B:$B, 0)), ISNUMBER(SEARCH($A80,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ISNUMBER(SEARCH($A80, INDEX(AsistenciaJetAdminConcatenada!$D:$D, MATCH(1, (AsistenciaJetAdminConcatenada!$A:$A=BC$2)*(AsistenciaJetAdminConcatenada!$B:$B=BC$1), 0)), 1))),  0.5, 0))</f>
        <v>1</v>
      </c>
      <c r="BD80" s="47">
        <f t="array" ref="BD80">IF(AND(ISNUMBER(MATCH(BD$2, AsistenciaJetAdminConcatenada!$A:$A, 0)), ISNUMBER(MATCH(BD$1, AsistenciaJetAdminConcatenada!$B:$B, 0)), ISNUMBER(SEARCH($A80,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ISNUMBER(SEARCH($A80, INDEX(AsistenciaJetAdminConcatenada!$D:$D, MATCH(1, (AsistenciaJetAdminConcatenada!$A:$A=BD$2)*(AsistenciaJetAdminConcatenada!$B:$B=BD$1), 0)), 1))),  0.5, 0))</f>
        <v>0</v>
      </c>
      <c r="BE80" s="47">
        <f t="array" ref="BE80">IF(AND(ISNUMBER(MATCH(BE$2, AsistenciaJetAdminConcatenada!$A:$A, 0)), ISNUMBER(MATCH(BE$1, AsistenciaJetAdminConcatenada!$B:$B, 0)), ISNUMBER(SEARCH($A80,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ISNUMBER(SEARCH($A80, INDEX(AsistenciaJetAdminConcatenada!$D:$D, MATCH(1, (AsistenciaJetAdminConcatenada!$A:$A=BE$2)*(AsistenciaJetAdminConcatenada!$B:$B=BE$1), 0)), 1))),  0.5, 0))</f>
        <v>1</v>
      </c>
      <c r="BF80" s="47">
        <f t="array" ref="BF80">IF(AND(ISNUMBER(MATCH(BF$2, AsistenciaJetAdminConcatenada!$A:$A, 0)), ISNUMBER(MATCH(BF$1, AsistenciaJetAdminConcatenada!$B:$B, 0)), ISNUMBER(SEARCH($A80,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ISNUMBER(SEARCH($A80, INDEX(AsistenciaJetAdminConcatenada!$D:$D, MATCH(1, (AsistenciaJetAdminConcatenada!$A:$A=BF$2)*(AsistenciaJetAdminConcatenada!$B:$B=BF$1), 0)), 1))),  0.5, 0))</f>
        <v>1</v>
      </c>
      <c r="BG80" s="47">
        <f t="array" ref="BG80">IF(AND(ISNUMBER(MATCH(BG$2, AsistenciaJetAdminConcatenada!$A:$A, 0)), ISNUMBER(MATCH(BG$1, AsistenciaJetAdminConcatenada!$B:$B, 0)), ISNUMBER(SEARCH($A80,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ISNUMBER(SEARCH($A80, INDEX(AsistenciaJetAdminConcatenada!$D:$D, MATCH(1, (AsistenciaJetAdminConcatenada!$A:$A=BG$2)*(AsistenciaJetAdminConcatenada!$B:$B=BG$1), 0)), 1))),  0.5, 0))</f>
        <v>1</v>
      </c>
      <c r="BH80" s="47">
        <f t="array" ref="BH80">IF(AND(ISNUMBER(MATCH(BH$2, AsistenciaJetAdminConcatenada!$A:$A, 0)), ISNUMBER(MATCH(BH$1, AsistenciaJetAdminConcatenada!$B:$B, 0)), ISNUMBER(SEARCH($A80,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ISNUMBER(SEARCH($A80, INDEX(AsistenciaJetAdminConcatenada!$D:$D, MATCH(1, (AsistenciaJetAdminConcatenada!$A:$A=BH$2)*(AsistenciaJetAdminConcatenada!$B:$B=BH$1), 0)), 1))),  0.5, 0))</f>
        <v>1</v>
      </c>
      <c r="BI80" s="47">
        <f t="array" ref="BI80">IF(AND(ISNUMBER(MATCH(BI$2, AsistenciaJetAdminConcatenada!$A:$A, 0)), ISNUMBER(MATCH(BI$1, AsistenciaJetAdminConcatenada!$B:$B, 0)), ISNUMBER(SEARCH($A80,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ISNUMBER(SEARCH($A80, INDEX(AsistenciaJetAdminConcatenada!$D:$D, MATCH(1, (AsistenciaJetAdminConcatenada!$A:$A=BI$2)*(AsistenciaJetAdminConcatenada!$B:$B=BI$1), 0)), 1))),  0.5, 0))</f>
        <v>1</v>
      </c>
      <c r="BJ80" s="47">
        <f t="array" ref="BJ80">IF(AND(ISNUMBER(MATCH(BJ$2, AsistenciaJetAdminConcatenada!$A:$A, 0)), ISNUMBER(MATCH(BJ$1, AsistenciaJetAdminConcatenada!$B:$B, 0)), ISNUMBER(SEARCH($A80,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ISNUMBER(SEARCH($A80, INDEX(AsistenciaJetAdminConcatenada!$D:$D, MATCH(1, (AsistenciaJetAdminConcatenada!$A:$A=BJ$2)*(AsistenciaJetAdminConcatenada!$B:$B=BJ$1), 0)), 1))),  0.5, 0))</f>
        <v>1</v>
      </c>
      <c r="BK80" s="47">
        <f t="array" ref="BK80">IF(AND(ISNUMBER(MATCH(BK$2, AsistenciaJetAdminConcatenada!$A:$A, 0)), ISNUMBER(MATCH(BK$1, AsistenciaJetAdminConcatenada!$B:$B, 0)), ISNUMBER(SEARCH($A80,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ISNUMBER(SEARCH($A80, INDEX(AsistenciaJetAdminConcatenada!$D:$D, MATCH(1, (AsistenciaJetAdminConcatenada!$A:$A=BK$2)*(AsistenciaJetAdminConcatenada!$B:$B=BK$1), 0)), 1))),  0.5, 0))</f>
        <v>1</v>
      </c>
      <c r="BL80" s="47">
        <f t="array" ref="BL80">IF(AND(ISNUMBER(MATCH(BL$2, AsistenciaJetAdminConcatenada!$A:$A, 0)), ISNUMBER(MATCH(BL$1, AsistenciaJetAdminConcatenada!$B:$B, 0)), ISNUMBER(SEARCH($A80,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ISNUMBER(SEARCH($A80, INDEX(AsistenciaJetAdminConcatenada!$D:$D, MATCH(1, (AsistenciaJetAdminConcatenada!$A:$A=BL$2)*(AsistenciaJetAdminConcatenada!$B:$B=BL$1), 0)), 1))),  0.5, 0))</f>
        <v>1</v>
      </c>
      <c r="BM80" s="47">
        <f t="array" ref="BM80">IF(AND(ISNUMBER(MATCH(BM$2, AsistenciaJetAdminConcatenada!$A:$A, 0)), ISNUMBER(MATCH(BM$1, AsistenciaJetAdminConcatenada!$B:$B, 0)), ISNUMBER(SEARCH($A80,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ISNUMBER(SEARCH($A80, INDEX(AsistenciaJetAdminConcatenada!$D:$D, MATCH(1, (AsistenciaJetAdminConcatenada!$A:$A=BM$2)*(AsistenciaJetAdminConcatenada!$B:$B=BM$1), 0)), 1))),  0.5, 0))</f>
        <v>0</v>
      </c>
      <c r="BN80" s="47">
        <f t="array" ref="BN80">IF(AND(ISNUMBER(MATCH(BN$2, AsistenciaJetAdminConcatenada!$A:$A, 0)), ISNUMBER(MATCH(BN$1, AsistenciaJetAdminConcatenada!$B:$B, 0)), ISNUMBER(SEARCH($A80,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ISNUMBER(SEARCH($A80, INDEX(AsistenciaJetAdminConcatenada!$D:$D, MATCH(1, (AsistenciaJetAdminConcatenada!$A:$A=BN$2)*(AsistenciaJetAdminConcatenada!$B:$B=BN$1), 0)), 1))),  0.5, 0))</f>
        <v>1</v>
      </c>
      <c r="BO80" s="47">
        <f t="array" ref="BO80">IF(AND(ISNUMBER(MATCH(BO$2, AsistenciaJetAdminConcatenada!$A:$A, 0)), ISNUMBER(MATCH(BO$1, AsistenciaJetAdminConcatenada!$B:$B, 0)), ISNUMBER(SEARCH($A80,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ISNUMBER(SEARCH($A80, INDEX(AsistenciaJetAdminConcatenada!$D:$D, MATCH(1, (AsistenciaJetAdminConcatenada!$A:$A=BO$2)*(AsistenciaJetAdminConcatenada!$B:$B=BO$1), 0)), 1))),  0.5, 0))</f>
        <v>1</v>
      </c>
      <c r="BP80" s="47">
        <f t="array" ref="BP80">IF(AND(ISNUMBER(MATCH(BP$2, AsistenciaJetAdminConcatenada!$A:$A, 0)), ISNUMBER(MATCH(BP$1, AsistenciaJetAdminConcatenada!$B:$B, 0)), ISNUMBER(SEARCH($A80,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ISNUMBER(SEARCH($A80, INDEX(AsistenciaJetAdminConcatenada!$D:$D, MATCH(1, (AsistenciaJetAdminConcatenada!$A:$A=BP$2)*(AsistenciaJetAdminConcatenada!$B:$B=BP$1), 0)), 1))),  0.5, 0))</f>
        <v>1</v>
      </c>
      <c r="BQ80" s="47">
        <f t="array" ref="BQ80">IF(AND(ISNUMBER(MATCH(BQ$2, AsistenciaJetAdminConcatenada!$A:$A, 0)), ISNUMBER(MATCH(BQ$1, AsistenciaJetAdminConcatenada!$B:$B, 0)), ISNUMBER(SEARCH($A80,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ISNUMBER(SEARCH($A80, INDEX(AsistenciaJetAdminConcatenada!$D:$D, MATCH(1, (AsistenciaJetAdminConcatenada!$A:$A=BQ$2)*(AsistenciaJetAdminConcatenada!$B:$B=BQ$1), 0)), 1))),  0.5, 0))</f>
        <v>1</v>
      </c>
      <c r="BR80" s="47">
        <f t="array" ref="BR80">IF(AND(ISNUMBER(MATCH(BR$2, AsistenciaJetAdminConcatenada!$A:$A, 0)), ISNUMBER(MATCH(BR$1, AsistenciaJetAdminConcatenada!$B:$B, 0)), ISNUMBER(SEARCH($A80,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ISNUMBER(SEARCH($A80, INDEX(AsistenciaJetAdminConcatenada!$D:$D, MATCH(1, (AsistenciaJetAdminConcatenada!$A:$A=BR$2)*(AsistenciaJetAdminConcatenada!$B:$B=BR$1), 0)), 1))),  0.5, 0))</f>
        <v>1</v>
      </c>
      <c r="BS80" s="47">
        <f t="array" ref="BS80">IF(AND(ISNUMBER(MATCH(BS$2, AsistenciaJetAdminConcatenada!$A:$A, 0)), ISNUMBER(MATCH(BS$1, AsistenciaJetAdminConcatenada!$B:$B, 0)), ISNUMBER(SEARCH($A80,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ISNUMBER(SEARCH($A80, INDEX(AsistenciaJetAdminConcatenada!$D:$D, MATCH(1, (AsistenciaJetAdminConcatenada!$A:$A=BS$2)*(AsistenciaJetAdminConcatenada!$B:$B=BS$1), 0)), 1))),  0.5, 0))</f>
        <v>1</v>
      </c>
      <c r="BT80" s="47">
        <f t="array" ref="BT80">IF(AND(ISNUMBER(MATCH(BT$2, AsistenciaJetAdminConcatenada!$A:$A, 0)), ISNUMBER(MATCH(BT$1, AsistenciaJetAdminConcatenada!$B:$B, 0)), ISNUMBER(SEARCH($A80,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ISNUMBER(SEARCH($A80, INDEX(AsistenciaJetAdminConcatenada!$D:$D, MATCH(1, (AsistenciaJetAdminConcatenada!$A:$A=BT$2)*(AsistenciaJetAdminConcatenada!$B:$B=BT$1), 0)), 1))),  0.5, 0))</f>
        <v>1</v>
      </c>
      <c r="BU80" s="47">
        <f t="array" ref="BU80">IF(AND(ISNUMBER(MATCH(BU$2, AsistenciaJetAdminConcatenada!$A:$A, 0)), ISNUMBER(MATCH(BU$1, AsistenciaJetAdminConcatenada!$B:$B, 0)), ISNUMBER(SEARCH($A80,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ISNUMBER(SEARCH($A80, INDEX(AsistenciaJetAdminConcatenada!$D:$D, MATCH(1, (AsistenciaJetAdminConcatenada!$A:$A=BU$2)*(AsistenciaJetAdminConcatenada!$B:$B=BU$1), 0)), 1))),  0.5, 0))</f>
        <v>1</v>
      </c>
      <c r="BV80" s="47">
        <f t="array" ref="BV80">IF(AND(ISNUMBER(MATCH(BV$2, AsistenciaJetAdminConcatenada!$A:$A, 0)), ISNUMBER(MATCH(BV$1, AsistenciaJetAdminConcatenada!$B:$B, 0)), ISNUMBER(SEARCH($A80,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ISNUMBER(SEARCH($A80, INDEX(AsistenciaJetAdminConcatenada!$D:$D, MATCH(1, (AsistenciaJetAdminConcatenada!$A:$A=BV$2)*(AsistenciaJetAdminConcatenada!$B:$B=BV$1), 0)), 1))),  0.5, 0))</f>
        <v>0</v>
      </c>
      <c r="BW80" s="47">
        <f t="array" ref="BW80">IF(AND(ISNUMBER(MATCH(BW$2, AsistenciaJetAdminConcatenada!$A:$A, 0)), ISNUMBER(MATCH(BW$1, AsistenciaJetAdminConcatenada!$B:$B, 0)), ISNUMBER(SEARCH($A80,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ISNUMBER(SEARCH($A80, INDEX(AsistenciaJetAdminConcatenada!$D:$D, MATCH(1, (AsistenciaJetAdminConcatenada!$A:$A=BW$2)*(AsistenciaJetAdminConcatenada!$B:$B=BW$1), 0)), 1))),  0.5, 0))</f>
        <v>0</v>
      </c>
      <c r="BX80" s="47">
        <f t="array" ref="BX80">IF(AND(ISNUMBER(MATCH(BX$2, AsistenciaJetAdminConcatenada!$A:$A, 0)), ISNUMBER(MATCH(BX$1, AsistenciaJetAdminConcatenada!$B:$B, 0)), ISNUMBER(SEARCH($A80,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ISNUMBER(SEARCH($A80, INDEX(AsistenciaJetAdminConcatenada!$D:$D, MATCH(1, (AsistenciaJetAdminConcatenada!$A:$A=BX$2)*(AsistenciaJetAdminConcatenada!$B:$B=BX$1), 0)), 1))),  0.5, 0))</f>
        <v>0.5</v>
      </c>
      <c r="BY80" s="47">
        <f t="array" ref="BY80">IF(AND(ISNUMBER(MATCH(BY$2, AsistenciaJetAdminConcatenada!$A:$A, 0)), ISNUMBER(MATCH(BY$1, AsistenciaJetAdminConcatenada!$B:$B, 0)), ISNUMBER(SEARCH($A80,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ISNUMBER(SEARCH($A80, INDEX(AsistenciaJetAdminConcatenada!$D:$D, MATCH(1, (AsistenciaJetAdminConcatenada!$A:$A=BY$2)*(AsistenciaJetAdminConcatenada!$B:$B=BY$1), 0)), 1))),  0.5, 0))</f>
        <v>1</v>
      </c>
      <c r="BZ80" s="47">
        <f t="array" ref="BZ80">IF(AND(ISNUMBER(MATCH(BZ$2, AsistenciaJetAdminConcatenada!$A:$A, 0)), ISNUMBER(MATCH(BZ$1, AsistenciaJetAdminConcatenada!$B:$B, 0)), ISNUMBER(SEARCH($A80,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ISNUMBER(SEARCH($A80, INDEX(AsistenciaJetAdminConcatenada!$D:$D, MATCH(1, (AsistenciaJetAdminConcatenada!$A:$A=BZ$2)*(AsistenciaJetAdminConcatenada!$B:$B=BZ$1), 0)), 1))),  0.5, 0))</f>
        <v>0</v>
      </c>
      <c r="CA80" s="47">
        <f t="array" ref="CA80">IF(AND(ISNUMBER(MATCH(CA$2, AsistenciaJetAdminConcatenada!$A:$A, 0)), ISNUMBER(MATCH(CA$1, AsistenciaJetAdminConcatenada!$B:$B, 0)), ISNUMBER(SEARCH($A80,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ISNUMBER(SEARCH($A80, INDEX(AsistenciaJetAdminConcatenada!$D:$D, MATCH(1, (AsistenciaJetAdminConcatenada!$A:$A=CA$2)*(AsistenciaJetAdminConcatenada!$B:$B=CA$1), 0)), 1))),  0.5, 0))</f>
        <v>1</v>
      </c>
      <c r="CB80" s="47">
        <f t="array" ref="CB80">IF(AND(ISNUMBER(MATCH(CB$2, AsistenciaJetAdminConcatenada!$A:$A, 0)), ISNUMBER(MATCH(CB$1, AsistenciaJetAdminConcatenada!$B:$B, 0)), ISNUMBER(SEARCH($A80,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ISNUMBER(SEARCH($A80, INDEX(AsistenciaJetAdminConcatenada!$D:$D, MATCH(1, (AsistenciaJetAdminConcatenada!$A:$A=CB$2)*(AsistenciaJetAdminConcatenada!$B:$B=CB$1), 0)), 1))),  0.5, 0))</f>
        <v>1</v>
      </c>
      <c r="CC80" s="47">
        <f t="array" ref="CC80">IF(AND(ISNUMBER(MATCH(CC$2, AsistenciaJetAdminConcatenada!$A:$A, 0)), ISNUMBER(MATCH(CC$1, AsistenciaJetAdminConcatenada!$B:$B, 0)), ISNUMBER(SEARCH($A80,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ISNUMBER(SEARCH($A80, INDEX(AsistenciaJetAdminConcatenada!$D:$D, MATCH(1, (AsistenciaJetAdminConcatenada!$A:$A=CC$2)*(AsistenciaJetAdminConcatenada!$B:$B=CC$1), 0)), 1))),  0.5, 0))</f>
        <v>0</v>
      </c>
      <c r="CD80" s="47">
        <f t="array" ref="CD80">IF(AND(ISNUMBER(MATCH(CD$2, AsistenciaJetAdminConcatenada!$A:$A, 0)), ISNUMBER(MATCH(CD$1, AsistenciaJetAdminConcatenada!$B:$B, 0)), ISNUMBER(SEARCH($A80,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ISNUMBER(SEARCH($A80, INDEX(AsistenciaJetAdminConcatenada!$D:$D, MATCH(1, (AsistenciaJetAdminConcatenada!$A:$A=CD$2)*(AsistenciaJetAdminConcatenada!$B:$B=CD$1), 0)), 1))),  0.5, 0))</f>
        <v>1</v>
      </c>
      <c r="CE80" s="47">
        <f t="array" ref="CE80">IF(AND(ISNUMBER(MATCH(CE$2, AsistenciaJetAdminConcatenada!$A:$A, 0)), ISNUMBER(MATCH(CE$1, AsistenciaJetAdminConcatenada!$B:$B, 0)), ISNUMBER(SEARCH($A80,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ISNUMBER(SEARCH($A80, INDEX(AsistenciaJetAdminConcatenada!$D:$D, MATCH(1, (AsistenciaJetAdminConcatenada!$A:$A=CE$2)*(AsistenciaJetAdminConcatenada!$B:$B=CE$1), 0)), 1))),  0.5, 0))</f>
        <v>0</v>
      </c>
      <c r="CF80" s="47">
        <f t="array" ref="CF80">IF(AND(ISNUMBER(MATCH(CF$2, AsistenciaJetAdminConcatenada!$A:$A, 0)), ISNUMBER(MATCH(CF$1, AsistenciaJetAdminConcatenada!$B:$B, 0)), ISNUMBER(SEARCH($A80,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ISNUMBER(SEARCH($A80, INDEX(AsistenciaJetAdminConcatenada!$D:$D, MATCH(1, (AsistenciaJetAdminConcatenada!$A:$A=CF$2)*(AsistenciaJetAdminConcatenada!$B:$B=CF$1), 0)), 1))),  0.5, 0))</f>
        <v>1</v>
      </c>
      <c r="CG80" s="47">
        <f t="array" ref="CG80">IF(AND(ISNUMBER(MATCH(CG$2, AsistenciaJetAdminConcatenada!$A:$A, 0)), ISNUMBER(MATCH(CG$1, AsistenciaJetAdminConcatenada!$B:$B, 0)), ISNUMBER(SEARCH($A80,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ISNUMBER(SEARCH($A80, INDEX(AsistenciaJetAdminConcatenada!$D:$D, MATCH(1, (AsistenciaJetAdminConcatenada!$A:$A=CG$2)*(AsistenciaJetAdminConcatenada!$B:$B=CG$1), 0)), 1))),  0.5, 0))</f>
        <v>1</v>
      </c>
      <c r="CH80" s="47">
        <f t="array" ref="CH80">IF(AND(ISNUMBER(MATCH(CH$2, AsistenciaJetAdminConcatenada!$A:$A, 0)), ISNUMBER(MATCH(CH$1, AsistenciaJetAdminConcatenada!$B:$B, 0)), ISNUMBER(SEARCH($A80,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ISNUMBER(SEARCH($A80, INDEX(AsistenciaJetAdminConcatenada!$D:$D, MATCH(1, (AsistenciaJetAdminConcatenada!$A:$A=CH$2)*(AsistenciaJetAdminConcatenada!$B:$B=CH$1), 0)), 1))),  0.5, 0))</f>
        <v>1</v>
      </c>
      <c r="CI80" s="47">
        <f t="array" ref="CI80">IF(AND(ISNUMBER(MATCH(CI$2, AsistenciaJetAdminConcatenada!$A:$A, 0)), ISNUMBER(MATCH(CI$1, AsistenciaJetAdminConcatenada!$B:$B, 0)), ISNUMBER(SEARCH($A80,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ISNUMBER(SEARCH($A80, INDEX(AsistenciaJetAdminConcatenada!$D:$D, MATCH(1, (AsistenciaJetAdminConcatenada!$A:$A=CI$2)*(AsistenciaJetAdminConcatenada!$B:$B=CI$1), 0)), 1))),  0.5, 0))</f>
        <v>0.5</v>
      </c>
      <c r="CJ80" s="47">
        <f t="array" ref="CJ80">IF(AND(ISNUMBER(MATCH(CJ$2, AsistenciaJetAdminConcatenada!$A:$A, 0)), ISNUMBER(MATCH(CJ$1, AsistenciaJetAdminConcatenada!$B:$B, 0)), ISNUMBER(SEARCH($A80,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ISNUMBER(SEARCH($A80, INDEX(AsistenciaJetAdminConcatenada!$D:$D, MATCH(1, (AsistenciaJetAdminConcatenada!$A:$A=CJ$2)*(AsistenciaJetAdminConcatenada!$B:$B=CJ$1), 0)), 1))),  0.5, 0))</f>
        <v>1</v>
      </c>
      <c r="CK80" s="47">
        <f t="array" ref="CK80">IF(AND(ISNUMBER(MATCH(CK$2, AsistenciaJetAdminConcatenada!$A:$A, 0)), ISNUMBER(MATCH(CK$1, AsistenciaJetAdminConcatenada!$B:$B, 0)), ISNUMBER(SEARCH($A80,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ISNUMBER(SEARCH($A80, INDEX(AsistenciaJetAdminConcatenada!$D:$D, MATCH(1, (AsistenciaJetAdminConcatenada!$A:$A=CK$2)*(AsistenciaJetAdminConcatenada!$B:$B=CK$1), 0)), 1))),  0.5, 0))</f>
        <v>1</v>
      </c>
      <c r="CL80" s="47">
        <f t="array" ref="CL80">IF(AND(ISNUMBER(MATCH(CL$2, AsistenciaJetAdminConcatenada!$A:$A, 0)), ISNUMBER(MATCH(CL$1, AsistenciaJetAdminConcatenada!$B:$B, 0)), ISNUMBER(SEARCH($A80,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ISNUMBER(SEARCH($A80, INDEX(AsistenciaJetAdminConcatenada!$D:$D, MATCH(1, (AsistenciaJetAdminConcatenada!$A:$A=CL$2)*(AsistenciaJetAdminConcatenada!$B:$B=CL$1), 0)), 1))),  0.5, 0))</f>
        <v>1</v>
      </c>
      <c r="CM80" s="47">
        <f t="array" ref="CM80">IF(AND(ISNUMBER(MATCH(CM$2, AsistenciaJetAdminConcatenada!$A:$A, 0)), ISNUMBER(MATCH(CM$1, AsistenciaJetAdminConcatenada!$B:$B, 0)), ISNUMBER(SEARCH($A80,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ISNUMBER(SEARCH($A80, INDEX(AsistenciaJetAdminConcatenada!$D:$D, MATCH(1, (AsistenciaJetAdminConcatenada!$A:$A=CM$2)*(AsistenciaJetAdminConcatenada!$B:$B=CM$1), 0)), 1))),  0.5, 0))</f>
        <v>1</v>
      </c>
      <c r="CN80" s="47">
        <f t="array" ref="CN80">IF(AND(ISNUMBER(MATCH(CN$2, AsistenciaJetAdminConcatenada!$A:$A, 0)), ISNUMBER(MATCH(CN$1, AsistenciaJetAdminConcatenada!$B:$B, 0)), ISNUMBER(SEARCH($A80,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ISNUMBER(SEARCH($A80, INDEX(AsistenciaJetAdminConcatenada!$D:$D, MATCH(1, (AsistenciaJetAdminConcatenada!$A:$A=CN$2)*(AsistenciaJetAdminConcatenada!$B:$B=CN$1), 0)), 1))),  0.5, 0))</f>
        <v>1</v>
      </c>
      <c r="CO80" s="47">
        <f t="array" ref="CO80">IF(AND(ISNUMBER(MATCH(CO$2, AsistenciaJetAdminConcatenada!$A:$A, 0)), ISNUMBER(MATCH(CO$1, AsistenciaJetAdminConcatenada!$B:$B, 0)), ISNUMBER(SEARCH($A80,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ISNUMBER(SEARCH($A80, INDEX(AsistenciaJetAdminConcatenada!$D:$D, MATCH(1, (AsistenciaJetAdminConcatenada!$A:$A=CO$2)*(AsistenciaJetAdminConcatenada!$B:$B=CO$1), 0)), 1))),  0.5, 0))</f>
        <v>1</v>
      </c>
      <c r="CP80" s="8">
        <v>1.0</v>
      </c>
      <c r="CQ80" s="47">
        <f t="array" ref="CQ80">IF(AND(ISNUMBER(MATCH(CQ$2, AsistenciaJetAdminConcatenada!$A:$A, 0)), ISNUMBER(MATCH(CQ$1, AsistenciaJetAdminConcatenada!$B:$B, 0)), ISNUMBER(SEARCH($A80,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ISNUMBER(SEARCH($A80, INDEX(AsistenciaJetAdminConcatenada!$D:$D, MATCH(1, (AsistenciaJetAdminConcatenada!$A:$A=CQ$2)*(AsistenciaJetAdminConcatenada!$B:$B=CQ$1), 0)), 1))),  0.5, 0))</f>
        <v>0</v>
      </c>
      <c r="CR80" s="47">
        <f t="array" ref="CR80">IF(AND(ISNUMBER(MATCH(CR$2, AsistenciaJetAdminConcatenada!$A:$A, 0)), ISNUMBER(MATCH(CR$1, AsistenciaJetAdminConcatenada!$B:$B, 0)), ISNUMBER(SEARCH($A80,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ISNUMBER(SEARCH($A80, INDEX(AsistenciaJetAdminConcatenada!$D:$D, MATCH(1, (AsistenciaJetAdminConcatenada!$A:$A=CR$2)*(AsistenciaJetAdminConcatenada!$B:$B=CR$1), 0)), 1))),  0.5, 0))</f>
        <v>1</v>
      </c>
      <c r="CS80" s="47">
        <f t="array" ref="CS80">IF(AND(ISNUMBER(MATCH(CS$2, AsistenciaJetAdminConcatenada!$A:$A, 0)), ISNUMBER(MATCH(CS$1, AsistenciaJetAdminConcatenada!$B:$B, 0)), ISNUMBER(SEARCH($A80,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ISNUMBER(SEARCH($A80, INDEX(AsistenciaJetAdminConcatenada!$D:$D, MATCH(1, (AsistenciaJetAdminConcatenada!$A:$A=CS$2)*(AsistenciaJetAdminConcatenada!$B:$B=CS$1), 0)), 1))),  0.5, 0))</f>
        <v>0</v>
      </c>
      <c r="CT80" s="47">
        <f t="array" ref="CT80">IF(AND(ISNUMBER(MATCH(CT$2, AsistenciaJetAdminConcatenada!$A:$A, 0)), ISNUMBER(MATCH(CT$1, AsistenciaJetAdminConcatenada!$B:$B, 0)), ISNUMBER(SEARCH($A80,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ISNUMBER(SEARCH($A80, INDEX(AsistenciaJetAdminConcatenada!$D:$D, MATCH(1, (AsistenciaJetAdminConcatenada!$A:$A=CT$2)*(AsistenciaJetAdminConcatenada!$B:$B=CT$1), 0)), 1))),  0.5, 0))</f>
        <v>0</v>
      </c>
      <c r="CU80" s="47">
        <f t="array" ref="CU80">IF(AND(ISNUMBER(MATCH(CU$2, AsistenciaJetAdminConcatenada!$A:$A, 0)), ISNUMBER(MATCH(CU$1, AsistenciaJetAdminConcatenada!$B:$B, 0)), ISNUMBER(SEARCH($A80,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ISNUMBER(SEARCH($A80, INDEX(AsistenciaJetAdminConcatenada!$D:$D, MATCH(1, (AsistenciaJetAdminConcatenada!$A:$A=CU$2)*(AsistenciaJetAdminConcatenada!$B:$B=CU$1), 0)), 1))),  0.5, 0))</f>
        <v>0</v>
      </c>
      <c r="CV80" s="47">
        <f t="array" ref="CV80">IF(AND(ISNUMBER(MATCH(CV$2, AsistenciaJetAdminConcatenada!$A:$A, 0)), ISNUMBER(MATCH(CV$1, AsistenciaJetAdminConcatenada!$B:$B, 0)), ISNUMBER(SEARCH($A80,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ISNUMBER(SEARCH($A80, INDEX(AsistenciaJetAdminConcatenada!$D:$D, MATCH(1, (AsistenciaJetAdminConcatenada!$A:$A=CV$2)*(AsistenciaJetAdminConcatenada!$B:$B=CV$1), 0)), 1))),  0.5, 0))</f>
        <v>0</v>
      </c>
      <c r="CW80" s="47">
        <f t="array" ref="CW80">IF(AND(ISNUMBER(MATCH(CW$2, AsistenciaJetAdminConcatenada!$A:$A, 0)), ISNUMBER(MATCH(CW$1, AsistenciaJetAdminConcatenada!$B:$B, 0)), ISNUMBER(SEARCH($A80,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ISNUMBER(SEARCH($A80, INDEX(AsistenciaJetAdminConcatenada!$D:$D, MATCH(1, (AsistenciaJetAdminConcatenada!$A:$A=CW$2)*(AsistenciaJetAdminConcatenada!$B:$B=CW$1), 0)), 1))),  0.5, 0))</f>
        <v>0</v>
      </c>
      <c r="CX80" s="47">
        <f t="array" ref="CX80">IF(AND(ISNUMBER(MATCH(CX$2, AsistenciaJetAdminConcatenada!$A:$A, 0)), ISNUMBER(MATCH(CX$1, AsistenciaJetAdminConcatenada!$B:$B, 0)), ISNUMBER(SEARCH($A80,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ISNUMBER(SEARCH($A80, INDEX(AsistenciaJetAdminConcatenada!$D:$D, MATCH(1, (AsistenciaJetAdminConcatenada!$A:$A=CX$2)*(AsistenciaJetAdminConcatenada!$B:$B=CX$1), 0)), 1))),  0.5, 0))</f>
        <v>0</v>
      </c>
      <c r="CY80" s="47">
        <f t="array" ref="CY80">IF(AND(ISNUMBER(MATCH(CY$2, AsistenciaJetAdminConcatenada!$A:$A, 0)), ISNUMBER(MATCH(CY$1, AsistenciaJetAdminConcatenada!$B:$B, 0)), ISNUMBER(SEARCH($A80,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ISNUMBER(SEARCH($A80, INDEX(AsistenciaJetAdminConcatenada!$D:$D, MATCH(1, (AsistenciaJetAdminConcatenada!$A:$A=CY$2)*(AsistenciaJetAdminConcatenada!$B:$B=CY$1), 0)), 1))),  0.5, 0))</f>
        <v>0</v>
      </c>
      <c r="CZ80" s="47">
        <f t="array" ref="CZ80">IF(AND(ISNUMBER(MATCH(CZ$2, AsistenciaJetAdminConcatenada!$A:$A, 0)), ISNUMBER(MATCH(CZ$1, AsistenciaJetAdminConcatenada!$B:$B, 0)), ISNUMBER(SEARCH($A80,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ISNUMBER(SEARCH($A80, INDEX(AsistenciaJetAdminConcatenada!$D:$D, MATCH(1, (AsistenciaJetAdminConcatenada!$A:$A=CZ$2)*(AsistenciaJetAdminConcatenada!$B:$B=CZ$1), 0)), 1))),  0.5, 0))</f>
        <v>0</v>
      </c>
      <c r="DA80" s="47">
        <f t="array" ref="DA80">IF(AND(ISNUMBER(MATCH(DA$2, AsistenciaJetAdminConcatenada!$A:$A, 0)), ISNUMBER(MATCH(DA$1, AsistenciaJetAdminConcatenada!$B:$B, 0)), ISNUMBER(SEARCH($A80,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ISNUMBER(SEARCH($A80, INDEX(AsistenciaJetAdminConcatenada!$D:$D, MATCH(1, (AsistenciaJetAdminConcatenada!$A:$A=DA$2)*(AsistenciaJetAdminConcatenada!$B:$B=DA$1), 0)), 1))),  0.5, 0))</f>
        <v>0</v>
      </c>
      <c r="DB80" s="47">
        <f t="array" ref="DB80">IF(AND(ISNUMBER(MATCH(DB$2, AsistenciaJetAdminConcatenada!$A:$A, 0)), ISNUMBER(MATCH(DB$1, AsistenciaJetAdminConcatenada!$B:$B, 0)), ISNUMBER(SEARCH($A80,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ISNUMBER(SEARCH($A80, INDEX(AsistenciaJetAdminConcatenada!$D:$D, MATCH(1, (AsistenciaJetAdminConcatenada!$A:$A=DB$2)*(AsistenciaJetAdminConcatenada!$B:$B=DB$1), 0)), 1))),  0.5, 0))</f>
        <v>0</v>
      </c>
      <c r="DC80" s="47">
        <f t="array" ref="DC80">IF(AND(ISNUMBER(MATCH(DC$2, AsistenciaJetAdminConcatenada!$A:$A, 0)), ISNUMBER(MATCH(DC$1, AsistenciaJetAdminConcatenada!$B:$B, 0)), ISNUMBER(SEARCH($A80,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ISNUMBER(SEARCH($A80, INDEX(AsistenciaJetAdminConcatenada!$D:$D, MATCH(1, (AsistenciaJetAdminConcatenada!$A:$A=DC$2)*(AsistenciaJetAdminConcatenada!$B:$B=DC$1), 0)), 1))),  0.5, 0))</f>
        <v>0</v>
      </c>
      <c r="DD80" s="47">
        <f t="array" ref="DD80">IF(AND(ISNUMBER(MATCH(DD$2, AsistenciaJetAdminConcatenada!$A:$A, 0)), ISNUMBER(MATCH(DD$1, AsistenciaJetAdminConcatenada!$B:$B, 0)), ISNUMBER(SEARCH($A80,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ISNUMBER(SEARCH($A80, INDEX(AsistenciaJetAdminConcatenada!$D:$D, MATCH(1, (AsistenciaJetAdminConcatenada!$A:$A=DD$2)*(AsistenciaJetAdminConcatenada!$B:$B=DD$1), 0)), 1))),  0.5, 0))</f>
        <v>0</v>
      </c>
      <c r="DE80" s="47">
        <f t="array" ref="DE80">IF(AND(ISNUMBER(MATCH(DE$2, AsistenciaJetAdminConcatenada!$A:$A, 0)), ISNUMBER(MATCH(DE$1, AsistenciaJetAdminConcatenada!$B:$B, 0)), ISNUMBER(SEARCH($A80,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ISNUMBER(SEARCH($A80, INDEX(AsistenciaJetAdminConcatenada!$D:$D, MATCH(1, (AsistenciaJetAdminConcatenada!$A:$A=DE$2)*(AsistenciaJetAdminConcatenada!$B:$B=DE$1), 0)), 1))),  0.5, 0))</f>
        <v>0</v>
      </c>
      <c r="DF80" s="47">
        <f t="array" ref="DF80">IF(AND(ISNUMBER(MATCH(DF$2, AsistenciaJetAdminConcatenada!$A:$A, 0)), ISNUMBER(MATCH(DF$1, AsistenciaJetAdminConcatenada!$B:$B, 0)), ISNUMBER(SEARCH($A80,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ISNUMBER(SEARCH($A80, INDEX(AsistenciaJetAdminConcatenada!$D:$D, MATCH(1, (AsistenciaJetAdminConcatenada!$A:$A=DF$2)*(AsistenciaJetAdminConcatenada!$B:$B=DF$1), 0)), 1))),  0.5, 0))</f>
        <v>0</v>
      </c>
      <c r="DG80" s="47">
        <f t="array" ref="DG80">IF(AND(ISNUMBER(MATCH(DG$2, AsistenciaJetAdminConcatenada!$A:$A, 0)), ISNUMBER(MATCH(DG$1, AsistenciaJetAdminConcatenada!$B:$B, 0)), ISNUMBER(SEARCH($A80,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ISNUMBER(SEARCH($A80, INDEX(AsistenciaJetAdminConcatenada!$D:$D, MATCH(1, (AsistenciaJetAdminConcatenada!$A:$A=DG$2)*(AsistenciaJetAdminConcatenada!$B:$B=DG$1), 0)), 1))),  0.5, 0))</f>
        <v>0</v>
      </c>
      <c r="DH80" s="47">
        <f t="array" ref="DH80">IF(AND(ISNUMBER(MATCH(DH$2, AsistenciaJetAdminConcatenada!$A:$A, 0)), ISNUMBER(MATCH(DH$1, AsistenciaJetAdminConcatenada!$B:$B, 0)), ISNUMBER(SEARCH($A80,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ISNUMBER(SEARCH($A80, INDEX(AsistenciaJetAdminConcatenada!$D:$D, MATCH(1, (AsistenciaJetAdminConcatenada!$A:$A=DH$2)*(AsistenciaJetAdminConcatenada!$B:$B=DH$1), 0)), 1))),  0.5, 0))</f>
        <v>0</v>
      </c>
      <c r="DI80" s="47">
        <f t="array" ref="DI80">IF(AND(ISNUMBER(MATCH(DI$2, AsistenciaJetAdminConcatenada!$A:$A, 0)), ISNUMBER(MATCH(DI$1, AsistenciaJetAdminConcatenada!$B:$B, 0)), ISNUMBER(SEARCH($A80,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ISNUMBER(SEARCH($A80, INDEX(AsistenciaJetAdminConcatenada!$D:$D, MATCH(1, (AsistenciaJetAdminConcatenada!$A:$A=DI$2)*(AsistenciaJetAdminConcatenada!$B:$B=DI$1), 0)), 1))),  0.5, 0))</f>
        <v>0</v>
      </c>
      <c r="DJ80" s="47">
        <f t="array" ref="DJ80">IF(AND(ISNUMBER(MATCH(DJ$2, AsistenciaJetAdminConcatenada!$A:$A, 0)), ISNUMBER(MATCH(DJ$1, AsistenciaJetAdminConcatenada!$B:$B, 0)), ISNUMBER(SEARCH($A80,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ISNUMBER(SEARCH($A80, INDEX(AsistenciaJetAdminConcatenada!$D:$D, MATCH(1, (AsistenciaJetAdminConcatenada!$A:$A=DJ$2)*(AsistenciaJetAdminConcatenada!$B:$B=DJ$1), 0)), 1))),  0.5, 0))</f>
        <v>0</v>
      </c>
      <c r="DK80" s="47">
        <f t="array" ref="DK80">IF(AND(ISNUMBER(MATCH(DK$2, AsistenciaJetAdminConcatenada!$A:$A, 0)), ISNUMBER(MATCH(DK$1, AsistenciaJetAdminConcatenada!$B:$B, 0)), ISNUMBER(SEARCH($A80,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ISNUMBER(SEARCH($A80, INDEX(AsistenciaJetAdminConcatenada!$D:$D, MATCH(1, (AsistenciaJetAdminConcatenada!$A:$A=DK$2)*(AsistenciaJetAdminConcatenada!$B:$B=DK$1), 0)), 1))),  0.5, 0))</f>
        <v>0</v>
      </c>
      <c r="DL80" s="47">
        <f t="array" ref="DL80">IF(AND(ISNUMBER(MATCH(DL$2, AsistenciaJetAdminConcatenada!$A:$A, 0)), ISNUMBER(MATCH(DL$1, AsistenciaJetAdminConcatenada!$B:$B, 0)), ISNUMBER(SEARCH($A80,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ISNUMBER(SEARCH($A80, INDEX(AsistenciaJetAdminConcatenada!$D:$D, MATCH(1, (AsistenciaJetAdminConcatenada!$A:$A=DL$2)*(AsistenciaJetAdminConcatenada!$B:$B=DL$1), 0)), 1))),  0.5, 0))</f>
        <v>0</v>
      </c>
      <c r="DM80" s="47">
        <f t="array" ref="DM80">IF(AND(ISNUMBER(MATCH(DM$2, AsistenciaJetAdminConcatenada!$A:$A, 0)), ISNUMBER(MATCH(DM$1, AsistenciaJetAdminConcatenada!$B:$B, 0)), ISNUMBER(SEARCH($A80,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ISNUMBER(SEARCH($A80, INDEX(AsistenciaJetAdminConcatenada!$D:$D, MATCH(1, (AsistenciaJetAdminConcatenada!$A:$A=DM$2)*(AsistenciaJetAdminConcatenada!$B:$B=DM$1), 0)), 1))),  0.5, 0))</f>
        <v>0</v>
      </c>
      <c r="DN80" s="47">
        <f t="array" ref="DN80">IF(AND(ISNUMBER(MATCH(DN$2, AsistenciaJetAdminConcatenada!$A:$A, 0)), ISNUMBER(MATCH(DN$1, AsistenciaJetAdminConcatenada!$B:$B, 0)), ISNUMBER(SEARCH($A80,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ISNUMBER(SEARCH($A80, INDEX(AsistenciaJetAdminConcatenada!$D:$D, MATCH(1, (AsistenciaJetAdminConcatenada!$A:$A=DN$2)*(AsistenciaJetAdminConcatenada!$B:$B=DN$1), 0)), 1))),  0.5, 0))</f>
        <v>0</v>
      </c>
      <c r="DO80" s="47">
        <f t="array" ref="DO80">IF(AND(ISNUMBER(MATCH(DO$2, AsistenciaJetAdminConcatenada!$A:$A, 0)), ISNUMBER(MATCH(DO$1, AsistenciaJetAdminConcatenada!$B:$B, 0)), ISNUMBER(SEARCH($A80,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ISNUMBER(SEARCH($A80, INDEX(AsistenciaJetAdminConcatenada!$D:$D, MATCH(1, (AsistenciaJetAdminConcatenada!$A:$A=DO$2)*(AsistenciaJetAdminConcatenada!$B:$B=DO$1), 0)), 1))),  0.5, 0))</f>
        <v>0</v>
      </c>
      <c r="DP80" s="47">
        <f t="array" ref="DP80">IF(AND(ISNUMBER(MATCH(DP$2, AsistenciaJetAdminConcatenada!$A:$A, 0)), ISNUMBER(MATCH(DP$1, AsistenciaJetAdminConcatenada!$B:$B, 0)), ISNUMBER(SEARCH($A80,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ISNUMBER(SEARCH($A80, INDEX(AsistenciaJetAdminConcatenada!$D:$D, MATCH(1, (AsistenciaJetAdminConcatenada!$A:$A=DP$2)*(AsistenciaJetAdminConcatenada!$B:$B=DP$1), 0)), 1))),  0.5, 0))</f>
        <v>0</v>
      </c>
      <c r="DQ80" s="47">
        <f t="array" ref="DQ80">IF(AND(ISNUMBER(MATCH(DQ$2, AsistenciaJetAdminConcatenada!$A:$A, 0)), ISNUMBER(MATCH(DQ$1, AsistenciaJetAdminConcatenada!$B:$B, 0)), ISNUMBER(SEARCH($A80,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ISNUMBER(SEARCH($A80, INDEX(AsistenciaJetAdminConcatenada!$D:$D, MATCH(1, (AsistenciaJetAdminConcatenada!$A:$A=DQ$2)*(AsistenciaJetAdminConcatenada!$B:$B=DQ$1), 0)), 1))),  0.5, 0))</f>
        <v>0</v>
      </c>
      <c r="DR80" s="47">
        <f t="array" ref="DR80">IF(AND(ISNUMBER(MATCH(DR$2, AsistenciaJetAdminConcatenada!$A:$A, 0)), ISNUMBER(MATCH(DR$1, AsistenciaJetAdminConcatenada!$B:$B, 0)), ISNUMBER(SEARCH($A80,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ISNUMBER(SEARCH($A80, INDEX(AsistenciaJetAdminConcatenada!$D:$D, MATCH(1, (AsistenciaJetAdminConcatenada!$A:$A=DR$2)*(AsistenciaJetAdminConcatenada!$B:$B=DR$1), 0)), 1))),  0.5, 0))</f>
        <v>0</v>
      </c>
      <c r="DS80" s="47">
        <f t="array" ref="DS80">IF(AND(ISNUMBER(MATCH(DS$2, AsistenciaJetAdminConcatenada!$A:$A, 0)), ISNUMBER(MATCH(DS$1, AsistenciaJetAdminConcatenada!$B:$B, 0)), ISNUMBER(SEARCH($A80,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ISNUMBER(SEARCH($A80, INDEX(AsistenciaJetAdminConcatenada!$D:$D, MATCH(1, (AsistenciaJetAdminConcatenada!$A:$A=DS$2)*(AsistenciaJetAdminConcatenada!$B:$B=DS$1), 0)), 1))),  0.5, 0))</f>
        <v>0</v>
      </c>
      <c r="DT80" s="47">
        <f t="array" ref="DT80">IF(AND(ISNUMBER(MATCH(DT$2, AsistenciaJetAdminConcatenada!$A:$A, 0)), ISNUMBER(MATCH(DT$1, AsistenciaJetAdminConcatenada!$B:$B, 0)), ISNUMBER(SEARCH($A80,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ISNUMBER(SEARCH($A80, INDEX(AsistenciaJetAdminConcatenada!$D:$D, MATCH(1, (AsistenciaJetAdminConcatenada!$A:$A=DT$2)*(AsistenciaJetAdminConcatenada!$B:$B=DT$1), 0)), 1))),  0.5, 0))</f>
        <v>0</v>
      </c>
      <c r="DU80" s="47">
        <f t="array" ref="DU80">IF(AND(ISNUMBER(MATCH(DU$2, AsistenciaJetAdminConcatenada!$A:$A, 0)), ISNUMBER(MATCH(DU$1, AsistenciaJetAdminConcatenada!$B:$B, 0)), ISNUMBER(SEARCH($A80,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ISNUMBER(SEARCH($A80, INDEX(AsistenciaJetAdminConcatenada!$D:$D, MATCH(1, (AsistenciaJetAdminConcatenada!$A:$A=DU$2)*(AsistenciaJetAdminConcatenada!$B:$B=DU$1), 0)), 1))),  0.5, 0))</f>
        <v>0</v>
      </c>
      <c r="DV80" s="47">
        <f t="array" ref="DV80">IF(AND(ISNUMBER(MATCH(DV$2, AsistenciaJetAdminConcatenada!$A:$A, 0)), ISNUMBER(MATCH(DV$1, AsistenciaJetAdminConcatenada!$B:$B, 0)), ISNUMBER(SEARCH($A80,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ISNUMBER(SEARCH($A80, INDEX(AsistenciaJetAdminConcatenada!$D:$D, MATCH(1, (AsistenciaJetAdminConcatenada!$A:$A=DV$2)*(AsistenciaJetAdminConcatenada!$B:$B=DV$1), 0)), 1))),  0.5, 0))</f>
        <v>0</v>
      </c>
      <c r="DW80" s="47">
        <f t="array" ref="DW80">IF(AND(ISNUMBER(MATCH(DW$2, AsistenciaJetAdminConcatenada!$A:$A, 0)), ISNUMBER(MATCH(DW$1, AsistenciaJetAdminConcatenada!$B:$B, 0)), ISNUMBER(SEARCH($A80,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ISNUMBER(SEARCH($A80, INDEX(AsistenciaJetAdminConcatenada!$D:$D, MATCH(1, (AsistenciaJetAdminConcatenada!$A:$A=DW$2)*(AsistenciaJetAdminConcatenada!$B:$B=DW$1), 0)), 1))),  0.5, 0))</f>
        <v>0</v>
      </c>
      <c r="DX80" s="47">
        <f t="array" ref="DX80">IF(AND(ISNUMBER(MATCH(DX$2, AsistenciaJetAdminConcatenada!$A:$A, 0)), ISNUMBER(MATCH(DX$1, AsistenciaJetAdminConcatenada!$B:$B, 0)), ISNUMBER(SEARCH($A80,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ISNUMBER(SEARCH($A80, INDEX(AsistenciaJetAdminConcatenada!$D:$D, MATCH(1, (AsistenciaJetAdminConcatenada!$A:$A=DX$2)*(AsistenciaJetAdminConcatenada!$B:$B=DX$1), 0)), 1))),  0.5, 0))</f>
        <v>0</v>
      </c>
      <c r="DY80" s="47">
        <f t="array" ref="DY80">IF(AND(ISNUMBER(MATCH(DY$2, AsistenciaJetAdminConcatenada!$A:$A, 0)), ISNUMBER(MATCH(DY$1, AsistenciaJetAdminConcatenada!$B:$B, 0)), ISNUMBER(SEARCH($A80,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ISNUMBER(SEARCH($A80, INDEX(AsistenciaJetAdminConcatenada!$D:$D, MATCH(1, (AsistenciaJetAdminConcatenada!$A:$A=DY$2)*(AsistenciaJetAdminConcatenada!$B:$B=DY$1), 0)), 1))),  0.5, 0))</f>
        <v>0</v>
      </c>
      <c r="DZ80" s="47">
        <f t="array" ref="DZ80">IF(AND(ISNUMBER(MATCH(DZ$2, AsistenciaJetAdminConcatenada!$A:$A, 0)), ISNUMBER(MATCH(DZ$1, AsistenciaJetAdminConcatenada!$B:$B, 0)), ISNUMBER(SEARCH($A80,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ISNUMBER(SEARCH($A80, INDEX(AsistenciaJetAdminConcatenada!$D:$D, MATCH(1, (AsistenciaJetAdminConcatenada!$A:$A=DZ$2)*(AsistenciaJetAdminConcatenada!$B:$B=DZ$1), 0)), 1))),  0.5, 0))</f>
        <v>0</v>
      </c>
      <c r="EA80" s="47">
        <f t="array" ref="EA80">IF(AND(ISNUMBER(MATCH(EA$2, AsistenciaJetAdminConcatenada!$A:$A, 0)), ISNUMBER(MATCH(EA$1, AsistenciaJetAdminConcatenada!$B:$B, 0)), ISNUMBER(SEARCH($A80,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ISNUMBER(SEARCH($A80, INDEX(AsistenciaJetAdminConcatenada!$D:$D, MATCH(1, (AsistenciaJetAdminConcatenada!$A:$A=EA$2)*(AsistenciaJetAdminConcatenada!$B:$B=EA$1), 0)), 1))),  0.5, 0))</f>
        <v>0</v>
      </c>
      <c r="EB80" s="47">
        <f t="array" ref="EB80">IF(AND(ISNUMBER(MATCH(EB$2, AsistenciaJetAdminConcatenada!$A:$A, 0)), ISNUMBER(MATCH(EB$1, AsistenciaJetAdminConcatenada!$B:$B, 0)), ISNUMBER(SEARCH($A80,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ISNUMBER(SEARCH($A80, INDEX(AsistenciaJetAdminConcatenada!$D:$D, MATCH(1, (AsistenciaJetAdminConcatenada!$A:$A=EB$2)*(AsistenciaJetAdminConcatenada!$B:$B=EB$1), 0)), 1))),  0.5, 0))</f>
        <v>0</v>
      </c>
      <c r="EC80" s="47">
        <f t="array" ref="EC80">IF(AND(ISNUMBER(MATCH(EC$2, AsistenciaJetAdminConcatenada!$A:$A, 0)), ISNUMBER(MATCH(EC$1, AsistenciaJetAdminConcatenada!$B:$B, 0)), ISNUMBER(SEARCH($A80,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ISNUMBER(SEARCH($A80, INDEX(AsistenciaJetAdminConcatenada!$D:$D, MATCH(1, (AsistenciaJetAdminConcatenada!$A:$A=EC$2)*(AsistenciaJetAdminConcatenada!$B:$B=EC$1), 0)), 1))),  0.5, 0))</f>
        <v>0</v>
      </c>
      <c r="ED80" s="47">
        <f t="array" ref="ED80">IF(AND(ISNUMBER(MATCH(ED$2, AsistenciaJetAdminConcatenada!$A:$A, 0)), ISNUMBER(MATCH(ED$1, AsistenciaJetAdminConcatenada!$B:$B, 0)), ISNUMBER(SEARCH($A80,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ISNUMBER(SEARCH($A80, INDEX(AsistenciaJetAdminConcatenada!$D:$D, MATCH(1, (AsistenciaJetAdminConcatenada!$A:$A=ED$2)*(AsistenciaJetAdminConcatenada!$B:$B=ED$1), 0)), 1))),  0.5, 0))</f>
        <v>0</v>
      </c>
      <c r="EE80" s="47">
        <f t="array" ref="EE80">IF(AND(ISNUMBER(MATCH(EE$2, AsistenciaJetAdminConcatenada!$A:$A, 0)), ISNUMBER(MATCH(EE$1, AsistenciaJetAdminConcatenada!$B:$B, 0)), ISNUMBER(SEARCH($A80,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ISNUMBER(SEARCH($A80, INDEX(AsistenciaJetAdminConcatenada!$D:$D, MATCH(1, (AsistenciaJetAdminConcatenada!$A:$A=EE$2)*(AsistenciaJetAdminConcatenada!$B:$B=EE$1), 0)), 1))),  0.5, 0))</f>
        <v>0</v>
      </c>
      <c r="EF80" s="47">
        <f t="array" ref="EF80">IF(AND(ISNUMBER(MATCH(EF$2, AsistenciaJetAdminConcatenada!$A:$A, 0)), ISNUMBER(MATCH(EF$1, AsistenciaJetAdminConcatenada!$B:$B, 0)), ISNUMBER(SEARCH($A80,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ISNUMBER(SEARCH($A80, INDEX(AsistenciaJetAdminConcatenada!$D:$D, MATCH(1, (AsistenciaJetAdminConcatenada!$A:$A=EF$2)*(AsistenciaJetAdminConcatenada!$B:$B=EF$1), 0)), 1))),  0.5, 0))</f>
        <v>0</v>
      </c>
      <c r="EG80" s="47">
        <f t="array" ref="EG80">IF(AND(ISNUMBER(MATCH(EG$2, AsistenciaJetAdminConcatenada!$A:$A, 0)), ISNUMBER(MATCH(EG$1, AsistenciaJetAdminConcatenada!$B:$B, 0)), ISNUMBER(SEARCH($A80,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ISNUMBER(SEARCH($A80, INDEX(AsistenciaJetAdminConcatenada!$D:$D, MATCH(1, (AsistenciaJetAdminConcatenada!$A:$A=EG$2)*(AsistenciaJetAdminConcatenada!$B:$B=EG$1), 0)), 1))),  0.5, 0))</f>
        <v>0</v>
      </c>
      <c r="EH80" s="47">
        <f t="array" ref="EH80">IF(AND(ISNUMBER(MATCH(EH$2, AsistenciaJetAdminConcatenada!$A:$A, 0)), ISNUMBER(MATCH(EH$1, AsistenciaJetAdminConcatenada!$B:$B, 0)), ISNUMBER(SEARCH($A80,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ISNUMBER(SEARCH($A80, INDEX(AsistenciaJetAdminConcatenada!$D:$D, MATCH(1, (AsistenciaJetAdminConcatenada!$A:$A=EH$2)*(AsistenciaJetAdminConcatenada!$B:$B=EH$1), 0)), 1))),  0.5, 0))</f>
        <v>0</v>
      </c>
      <c r="EI80" s="47">
        <f t="array" ref="EI80">IF(AND(ISNUMBER(MATCH(EI$2, AsistenciaJetAdminConcatenada!$A:$A, 0)), ISNUMBER(MATCH(EI$1, AsistenciaJetAdminConcatenada!$B:$B, 0)), ISNUMBER(SEARCH($A80,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ISNUMBER(SEARCH($A80, INDEX(AsistenciaJetAdminConcatenada!$D:$D, MATCH(1, (AsistenciaJetAdminConcatenada!$A:$A=EI$2)*(AsistenciaJetAdminConcatenada!$B:$B=EI$1), 0)), 1))),  0.5, 0))</f>
        <v>0</v>
      </c>
      <c r="EJ80" s="47">
        <f t="array" ref="EJ80">IF(AND(ISNUMBER(MATCH(EJ$2, AsistenciaJetAdminConcatenada!$A:$A, 0)), ISNUMBER(MATCH(EJ$1, AsistenciaJetAdminConcatenada!$B:$B, 0)), ISNUMBER(SEARCH($A80,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ISNUMBER(SEARCH($A80, INDEX(AsistenciaJetAdminConcatenada!$D:$D, MATCH(1, (AsistenciaJetAdminConcatenada!$A:$A=EJ$2)*(AsistenciaJetAdminConcatenada!$B:$B=EJ$1), 0)), 1))),  0.5, 0))</f>
        <v>0</v>
      </c>
      <c r="EK80" s="47">
        <f t="array" ref="EK80">IF(AND(ISNUMBER(MATCH(EK$2, AsistenciaJetAdminConcatenada!$A:$A, 0)), ISNUMBER(MATCH(EK$1, AsistenciaJetAdminConcatenada!$B:$B, 0)), ISNUMBER(SEARCH($A80,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ISNUMBER(SEARCH($A80, INDEX(AsistenciaJetAdminConcatenada!$D:$D, MATCH(1, (AsistenciaJetAdminConcatenada!$A:$A=EK$2)*(AsistenciaJetAdminConcatenada!$B:$B=EK$1), 0)), 1))),  0.5, 0))</f>
        <v>0</v>
      </c>
      <c r="EL80" s="47">
        <f t="array" ref="EL80">IF(AND(ISNUMBER(MATCH(EL$2, AsistenciaJetAdminConcatenada!$A:$A, 0)), ISNUMBER(MATCH(EL$1, AsistenciaJetAdminConcatenada!$B:$B, 0)), ISNUMBER(SEARCH($A80,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ISNUMBER(SEARCH($A80, INDEX(AsistenciaJetAdminConcatenada!$D:$D, MATCH(1, (AsistenciaJetAdminConcatenada!$A:$A=EL$2)*(AsistenciaJetAdminConcatenada!$B:$B=EL$1), 0)), 1))),  0.5, 0))</f>
        <v>0</v>
      </c>
      <c r="EM80" s="47">
        <f t="array" ref="EM80">IF(AND(ISNUMBER(MATCH(EM$2, AsistenciaJetAdminConcatenada!$A:$A, 0)), ISNUMBER(MATCH(EM$1, AsistenciaJetAdminConcatenada!$B:$B, 0)), ISNUMBER(SEARCH($A80,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ISNUMBER(SEARCH($A80, INDEX(AsistenciaJetAdminConcatenada!$D:$D, MATCH(1, (AsistenciaJetAdminConcatenada!$A:$A=EM$2)*(AsistenciaJetAdminConcatenada!$B:$B=EM$1), 0)), 1))),  0.5, 0))</f>
        <v>0</v>
      </c>
      <c r="EN80" s="47">
        <f t="array" ref="EN80">IF(AND(ISNUMBER(MATCH(EN$2, AsistenciaJetAdminConcatenada!$A:$A, 0)), ISNUMBER(MATCH(EN$1, AsistenciaJetAdminConcatenada!$B:$B, 0)), ISNUMBER(SEARCH($A80,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ISNUMBER(SEARCH($A80, INDEX(AsistenciaJetAdminConcatenada!$D:$D, MATCH(1, (AsistenciaJetAdminConcatenada!$A:$A=EN$2)*(AsistenciaJetAdminConcatenada!$B:$B=EN$1), 0)), 1))),  0.5, 0))</f>
        <v>0</v>
      </c>
      <c r="EO80" s="47">
        <f t="array" ref="EO80">IF(AND(ISNUMBER(MATCH(EO$2, AsistenciaJetAdminConcatenada!$A:$A, 0)), ISNUMBER(MATCH(EO$1, AsistenciaJetAdminConcatenada!$B:$B, 0)), ISNUMBER(SEARCH($A80,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ISNUMBER(SEARCH($A80, INDEX(AsistenciaJetAdminConcatenada!$D:$D, MATCH(1, (AsistenciaJetAdminConcatenada!$A:$A=EO$2)*(AsistenciaJetAdminConcatenada!$B:$B=EO$1), 0)), 1))),  0.5, 0))</f>
        <v>0</v>
      </c>
      <c r="EP80" s="47">
        <f t="array" ref="EP80">IF(AND(ISNUMBER(MATCH(EP$2, AsistenciaJetAdminConcatenada!$A:$A, 0)), ISNUMBER(MATCH(EP$1, AsistenciaJetAdminConcatenada!$B:$B, 0)), ISNUMBER(SEARCH($A80,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ISNUMBER(SEARCH($A80, INDEX(AsistenciaJetAdminConcatenada!$D:$D, MATCH(1, (AsistenciaJetAdminConcatenada!$A:$A=EP$2)*(AsistenciaJetAdminConcatenada!$B:$B=EP$1), 0)), 1))),  0.5, 0))</f>
        <v>0</v>
      </c>
      <c r="EQ80" s="47">
        <f t="array" ref="EQ80">IF(AND(ISNUMBER(MATCH(EQ$2, AsistenciaJetAdminConcatenada!$A:$A, 0)), ISNUMBER(MATCH(EQ$1, AsistenciaJetAdminConcatenada!$B:$B, 0)), ISNUMBER(SEARCH($A80,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ISNUMBER(SEARCH($A80, INDEX(AsistenciaJetAdminConcatenada!$D:$D, MATCH(1, (AsistenciaJetAdminConcatenada!$A:$A=EQ$2)*(AsistenciaJetAdminConcatenada!$B:$B=EQ$1), 0)), 1))),  0.5, 0))</f>
        <v>0</v>
      </c>
      <c r="ER80" s="47">
        <f t="array" ref="ER80">IF(AND(ISNUMBER(MATCH(ER$2, AsistenciaJetAdminConcatenada!$A:$A, 0)), ISNUMBER(MATCH(ER$1, AsistenciaJetAdminConcatenada!$B:$B, 0)), ISNUMBER(SEARCH($A80,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ISNUMBER(SEARCH($A80, INDEX(AsistenciaJetAdminConcatenada!$D:$D, MATCH(1, (AsistenciaJetAdminConcatenada!$A:$A=ER$2)*(AsistenciaJetAdminConcatenada!$B:$B=ER$1), 0)), 1))),  0.5, 0))</f>
        <v>0</v>
      </c>
      <c r="ES80" s="47">
        <f t="array" ref="ES80">IF(AND(ISNUMBER(MATCH(ES$2, AsistenciaJetAdminConcatenada!$A:$A, 0)), ISNUMBER(MATCH(ES$1, AsistenciaJetAdminConcatenada!$B:$B, 0)), ISNUMBER(SEARCH($A80,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ISNUMBER(SEARCH($A80, INDEX(AsistenciaJetAdminConcatenada!$D:$D, MATCH(1, (AsistenciaJetAdminConcatenada!$A:$A=ES$2)*(AsistenciaJetAdminConcatenada!$B:$B=ES$1), 0)), 1))),  0.5, 0))</f>
        <v>0</v>
      </c>
      <c r="ET80" s="47">
        <f t="array" ref="ET80">IF(AND(ISNUMBER(MATCH(ET$2, AsistenciaJetAdminConcatenada!$A:$A, 0)), ISNUMBER(MATCH(ET$1, AsistenciaJetAdminConcatenada!$B:$B, 0)), ISNUMBER(SEARCH($A80,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ISNUMBER(SEARCH($A80, INDEX(AsistenciaJetAdminConcatenada!$D:$D, MATCH(1, (AsistenciaJetAdminConcatenada!$A:$A=ET$2)*(AsistenciaJetAdminConcatenada!$B:$B=ET$1), 0)), 1))),  0.5, 0))</f>
        <v>0</v>
      </c>
      <c r="EU80" s="47">
        <f t="array" ref="EU80">IF(AND(ISNUMBER(MATCH(EU$2, AsistenciaJetAdminConcatenada!$A:$A, 0)), ISNUMBER(MATCH(EU$1, AsistenciaJetAdminConcatenada!$B:$B, 0)), ISNUMBER(SEARCH($A80,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ISNUMBER(SEARCH($A80, INDEX(AsistenciaJetAdminConcatenada!$D:$D, MATCH(1, (AsistenciaJetAdminConcatenada!$A:$A=EU$2)*(AsistenciaJetAdminConcatenada!$B:$B=EU$1), 0)), 1))),  0.5, 0))</f>
        <v>0</v>
      </c>
      <c r="EV80" s="47">
        <f t="array" ref="EV80">IF(AND(ISNUMBER(MATCH(EV$2, AsistenciaJetAdminConcatenada!$A:$A, 0)), ISNUMBER(MATCH(EV$1, AsistenciaJetAdminConcatenada!$B:$B, 0)), ISNUMBER(SEARCH($A80,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ISNUMBER(SEARCH($A80, INDEX(AsistenciaJetAdminConcatenada!$D:$D, MATCH(1, (AsistenciaJetAdminConcatenada!$A:$A=EV$2)*(AsistenciaJetAdminConcatenada!$B:$B=EV$1), 0)), 1))),  0.5, 0))</f>
        <v>0</v>
      </c>
      <c r="EW80" s="47">
        <f t="array" ref="EW80">IF(AND(ISNUMBER(MATCH(EW$2, AsistenciaJetAdminConcatenada!$A:$A, 0)), ISNUMBER(MATCH(EW$1, AsistenciaJetAdminConcatenada!$B:$B, 0)), ISNUMBER(SEARCH($A80,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ISNUMBER(SEARCH($A80, INDEX(AsistenciaJetAdminConcatenada!$D:$D, MATCH(1, (AsistenciaJetAdminConcatenada!$A:$A=EW$2)*(AsistenciaJetAdminConcatenada!$B:$B=EW$1), 0)), 1))),  0.5, 0))</f>
        <v>0</v>
      </c>
      <c r="EX80" s="47">
        <f t="array" ref="EX80">IF(AND(ISNUMBER(MATCH(EX$2, AsistenciaJetAdminConcatenada!$A:$A, 0)), ISNUMBER(MATCH(EX$1, AsistenciaJetAdminConcatenada!$B:$B, 0)), ISNUMBER(SEARCH($A80,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ISNUMBER(SEARCH($A80, INDEX(AsistenciaJetAdminConcatenada!$D:$D, MATCH(1, (AsistenciaJetAdminConcatenada!$A:$A=EX$2)*(AsistenciaJetAdminConcatenada!$B:$B=EX$1), 0)), 1))),  0.5, 0))</f>
        <v>0</v>
      </c>
      <c r="EY80" s="47">
        <f t="array" ref="EY80">IF(AND(ISNUMBER(MATCH(EY$2, AsistenciaJetAdminConcatenada!$A:$A, 0)), ISNUMBER(MATCH(EY$1, AsistenciaJetAdminConcatenada!$B:$B, 0)), ISNUMBER(SEARCH($A80,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ISNUMBER(SEARCH($A80, INDEX(AsistenciaJetAdminConcatenada!$D:$D, MATCH(1, (AsistenciaJetAdminConcatenada!$A:$A=EY$2)*(AsistenciaJetAdminConcatenada!$B:$B=EY$1), 0)), 1))),  0.5, 0))</f>
        <v>0</v>
      </c>
      <c r="EZ80" s="47">
        <f t="array" ref="EZ80">IF(AND(ISNUMBER(MATCH(EZ$2, AsistenciaJetAdminConcatenada!$A:$A, 0)), ISNUMBER(MATCH(EZ$1, AsistenciaJetAdminConcatenada!$B:$B, 0)), ISNUMBER(SEARCH($A80,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ISNUMBER(SEARCH($A80, INDEX(AsistenciaJetAdminConcatenada!$D:$D, MATCH(1, (AsistenciaJetAdminConcatenada!$A:$A=EZ$2)*(AsistenciaJetAdminConcatenada!$B:$B=EZ$1), 0)), 1))),  0.5, 0))</f>
        <v>0</v>
      </c>
      <c r="FA80" s="47">
        <f t="array" ref="FA80">IF(AND(ISNUMBER(MATCH(FA$2, AsistenciaJetAdminConcatenada!$A:$A, 0)), ISNUMBER(MATCH(FA$1, AsistenciaJetAdminConcatenada!$B:$B, 0)), ISNUMBER(SEARCH($A80,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ISNUMBER(SEARCH($A80, INDEX(AsistenciaJetAdminConcatenada!$D:$D, MATCH(1, (AsistenciaJetAdminConcatenada!$A:$A=FA$2)*(AsistenciaJetAdminConcatenada!$B:$B=FA$1), 0)), 1))),  0.5, 0))</f>
        <v>0</v>
      </c>
      <c r="FB80" s="47">
        <f t="array" ref="FB80">IF(AND(ISNUMBER(MATCH(FB$2, AsistenciaJetAdminConcatenada!$A:$A, 0)), ISNUMBER(MATCH(FB$1, AsistenciaJetAdminConcatenada!$B:$B, 0)), ISNUMBER(SEARCH($A80,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ISNUMBER(SEARCH($A80, INDEX(AsistenciaJetAdminConcatenada!$D:$D, MATCH(1, (AsistenciaJetAdminConcatenada!$A:$A=FB$2)*(AsistenciaJetAdminConcatenada!$B:$B=FB$1), 0)), 1))),  0.5, 0))</f>
        <v>0</v>
      </c>
      <c r="FC80" s="47">
        <f t="array" ref="FC80">IF(AND(ISNUMBER(MATCH(FC$2, AsistenciaJetAdminConcatenada!$A:$A, 0)), ISNUMBER(MATCH(FC$1, AsistenciaJetAdminConcatenada!$B:$B, 0)), ISNUMBER(SEARCH($A80,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ISNUMBER(SEARCH($A80, INDEX(AsistenciaJetAdminConcatenada!$D:$D, MATCH(1, (AsistenciaJetAdminConcatenada!$A:$A=FC$2)*(AsistenciaJetAdminConcatenada!$B:$B=FC$1), 0)), 1))),  0.5, 0))</f>
        <v>0</v>
      </c>
      <c r="FD80" s="47">
        <f t="array" ref="FD80">IF(AND(ISNUMBER(MATCH(FD$2, AsistenciaJetAdminConcatenada!$A:$A, 0)), ISNUMBER(MATCH(FD$1, AsistenciaJetAdminConcatenada!$B:$B, 0)), ISNUMBER(SEARCH($A80,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ISNUMBER(SEARCH($A80, INDEX(AsistenciaJetAdminConcatenada!$D:$D, MATCH(1, (AsistenciaJetAdminConcatenada!$A:$A=FD$2)*(AsistenciaJetAdminConcatenada!$B:$B=FD$1), 0)), 1))),  0.5, 0))</f>
        <v>0</v>
      </c>
      <c r="FE80" s="47">
        <f t="array" ref="FE80">IF(AND(ISNUMBER(MATCH(FE$2, AsistenciaJetAdminConcatenada!$A:$A, 0)), ISNUMBER(MATCH(FE$1, AsistenciaJetAdminConcatenada!$B:$B, 0)), ISNUMBER(SEARCH($A80,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ISNUMBER(SEARCH($A80, INDEX(AsistenciaJetAdminConcatenada!$D:$D, MATCH(1, (AsistenciaJetAdminConcatenada!$A:$A=FE$2)*(AsistenciaJetAdminConcatenada!$B:$B=FE$1), 0)), 1))),  0.5, 0))</f>
        <v>0</v>
      </c>
      <c r="FF80" s="47">
        <f t="array" ref="FF80">IF(AND(ISNUMBER(MATCH(FF$2, AsistenciaJetAdminConcatenada!$A:$A, 0)), ISNUMBER(MATCH(FF$1, AsistenciaJetAdminConcatenada!$B:$B, 0)), ISNUMBER(SEARCH($A80,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ISNUMBER(SEARCH($A80, INDEX(AsistenciaJetAdminConcatenada!$D:$D, MATCH(1, (AsistenciaJetAdminConcatenada!$A:$A=FF$2)*(AsistenciaJetAdminConcatenada!$B:$B=FF$1), 0)), 1))),  0.5, 0))</f>
        <v>0</v>
      </c>
      <c r="FG80" s="47">
        <f t="array" ref="FG80">IF(AND(ISNUMBER(MATCH(FG$2, AsistenciaJetAdminConcatenada!$A:$A, 0)), ISNUMBER(MATCH(FG$1, AsistenciaJetAdminConcatenada!$B:$B, 0)), ISNUMBER(SEARCH($A80,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ISNUMBER(SEARCH($A80, INDEX(AsistenciaJetAdminConcatenada!$D:$D, MATCH(1, (AsistenciaJetAdminConcatenada!$A:$A=FG$2)*(AsistenciaJetAdminConcatenada!$B:$B=FG$1), 0)), 1))),  0.5, 0))</f>
        <v>0</v>
      </c>
      <c r="FH80" s="47">
        <f t="array" ref="FH80">IF(AND(ISNUMBER(MATCH(FH$2, AsistenciaJetAdminConcatenada!$A:$A, 0)), ISNUMBER(MATCH(FH$1, AsistenciaJetAdminConcatenada!$B:$B, 0)), ISNUMBER(SEARCH($A80,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ISNUMBER(SEARCH($A80, INDEX(AsistenciaJetAdminConcatenada!$D:$D, MATCH(1, (AsistenciaJetAdminConcatenada!$A:$A=FH$2)*(AsistenciaJetAdminConcatenada!$B:$B=FH$1), 0)), 1))),  0.5, 0))</f>
        <v>0</v>
      </c>
      <c r="FI80" s="47">
        <f t="array" ref="FI80">IF(AND(ISNUMBER(MATCH(FI$2, AsistenciaJetAdminConcatenada!$A:$A, 0)), ISNUMBER(MATCH(FI$1, AsistenciaJetAdminConcatenada!$B:$B, 0)), ISNUMBER(SEARCH($A80,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ISNUMBER(SEARCH($A80, INDEX(AsistenciaJetAdminConcatenada!$D:$D, MATCH(1, (AsistenciaJetAdminConcatenada!$A:$A=FI$2)*(AsistenciaJetAdminConcatenada!$B:$B=FI$1), 0)), 1))),  0.5, 0))</f>
        <v>0</v>
      </c>
      <c r="FJ80" s="47">
        <f t="array" ref="FJ80">IF(AND(ISNUMBER(MATCH(FJ$2, AsistenciaJetAdminConcatenada!$A:$A, 0)), ISNUMBER(MATCH(FJ$1, AsistenciaJetAdminConcatenada!$B:$B, 0)), ISNUMBER(SEARCH($A80,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ISNUMBER(SEARCH($A80, INDEX(AsistenciaJetAdminConcatenada!$D:$D, MATCH(1, (AsistenciaJetAdminConcatenada!$A:$A=FJ$2)*(AsistenciaJetAdminConcatenada!$B:$B=FJ$1), 0)), 1))),  0.5, 0))</f>
        <v>0</v>
      </c>
      <c r="FK80" s="47">
        <f t="array" ref="FK80">IF(AND(ISNUMBER(MATCH(FK$2, AsistenciaJetAdminConcatenada!$A:$A, 0)), ISNUMBER(MATCH(FK$1, AsistenciaJetAdminConcatenada!$B:$B, 0)), ISNUMBER(SEARCH($A80,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ISNUMBER(SEARCH($A80, INDEX(AsistenciaJetAdminConcatenada!$D:$D, MATCH(1, (AsistenciaJetAdminConcatenada!$A:$A=FK$2)*(AsistenciaJetAdminConcatenada!$B:$B=FK$1), 0)), 1))),  0.5, 0))</f>
        <v>0</v>
      </c>
      <c r="FL80" s="47">
        <f t="array" ref="FL80">IF(AND(ISNUMBER(MATCH(FL$2, AsistenciaJetAdminConcatenada!$A:$A, 0)), ISNUMBER(MATCH(FL$1, AsistenciaJetAdminConcatenada!$B:$B, 0)), ISNUMBER(SEARCH($A80,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ISNUMBER(SEARCH($A80, INDEX(AsistenciaJetAdminConcatenada!$D:$D, MATCH(1, (AsistenciaJetAdminConcatenada!$A:$A=FL$2)*(AsistenciaJetAdminConcatenada!$B:$B=FL$1), 0)), 1))),  0.5, 0))</f>
        <v>0</v>
      </c>
      <c r="FM80" s="47">
        <f t="array" ref="FM80">IF(AND(ISNUMBER(MATCH(FM$2, AsistenciaJetAdminConcatenada!$A:$A, 0)), ISNUMBER(MATCH(FM$1, AsistenciaJetAdminConcatenada!$B:$B, 0)), ISNUMBER(SEARCH($A80,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ISNUMBER(SEARCH($A80, INDEX(AsistenciaJetAdminConcatenada!$D:$D, MATCH(1, (AsistenciaJetAdminConcatenada!$A:$A=FM$2)*(AsistenciaJetAdminConcatenada!$B:$B=FM$1), 0)), 1))),  0.5, 0))</f>
        <v>0</v>
      </c>
      <c r="FN80" s="47">
        <f t="array" ref="FN80">IF(AND(ISNUMBER(MATCH(FN$2, AsistenciaJetAdminConcatenada!$A:$A, 0)), ISNUMBER(MATCH(FN$1, AsistenciaJetAdminConcatenada!$B:$B, 0)), ISNUMBER(SEARCH($A80,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ISNUMBER(SEARCH($A80, INDEX(AsistenciaJetAdminConcatenada!$D:$D, MATCH(1, (AsistenciaJetAdminConcatenada!$A:$A=FN$2)*(AsistenciaJetAdminConcatenada!$B:$B=FN$1), 0)), 1))),  0.5, 0))</f>
        <v>0</v>
      </c>
      <c r="FO80" s="47">
        <f t="array" ref="FO80">IF(AND(ISNUMBER(MATCH(FO$2, AsistenciaJetAdminConcatenada!$A:$A, 0)), ISNUMBER(MATCH(FO$1, AsistenciaJetAdminConcatenada!$B:$B, 0)), ISNUMBER(SEARCH($A80,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ISNUMBER(SEARCH($A80, INDEX(AsistenciaJetAdminConcatenada!$D:$D, MATCH(1, (AsistenciaJetAdminConcatenada!$A:$A=FO$2)*(AsistenciaJetAdminConcatenada!$B:$B=FO$1), 0)), 1))),  0.5, 0))</f>
        <v>0</v>
      </c>
      <c r="FP80" s="47">
        <f t="array" ref="FP80">IF(AND(ISNUMBER(MATCH(FP$2, AsistenciaJetAdminConcatenada!$A:$A, 0)), ISNUMBER(MATCH(FP$1, AsistenciaJetAdminConcatenada!$B:$B, 0)), ISNUMBER(SEARCH($A80,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ISNUMBER(SEARCH($A80, INDEX(AsistenciaJetAdminConcatenada!$D:$D, MATCH(1, (AsistenciaJetAdminConcatenada!$A:$A=FP$2)*(AsistenciaJetAdminConcatenada!$B:$B=FP$1), 0)), 1))),  0.5, 0))</f>
        <v>0</v>
      </c>
      <c r="FQ80" s="47">
        <f t="array" ref="FQ80">IF(AND(ISNUMBER(MATCH(FQ$2, AsistenciaJetAdminConcatenada!$A:$A, 0)), ISNUMBER(MATCH(FQ$1, AsistenciaJetAdminConcatenada!$B:$B, 0)), ISNUMBER(SEARCH($A80,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ISNUMBER(SEARCH($A80, INDEX(AsistenciaJetAdminConcatenada!$D:$D, MATCH(1, (AsistenciaJetAdminConcatenada!$A:$A=FQ$2)*(AsistenciaJetAdminConcatenada!$B:$B=FQ$1), 0)), 1))),  0.5, 0))</f>
        <v>0</v>
      </c>
      <c r="FR80" s="47">
        <f t="array" ref="FR80">IF(AND(ISNUMBER(MATCH(FR$2, AsistenciaJetAdminConcatenada!$A:$A, 0)), ISNUMBER(MATCH(FR$1, AsistenciaJetAdminConcatenada!$B:$B, 0)), ISNUMBER(SEARCH($A80,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ISNUMBER(SEARCH($A80, INDEX(AsistenciaJetAdminConcatenada!$D:$D, MATCH(1, (AsistenciaJetAdminConcatenada!$A:$A=FR$2)*(AsistenciaJetAdminConcatenada!$B:$B=FR$1), 0)), 1))),  0.5, 0))</f>
        <v>0</v>
      </c>
      <c r="FS80" s="47">
        <f t="array" ref="FS80">IF(AND(ISNUMBER(MATCH(FS$2, AsistenciaJetAdminConcatenada!$A:$A, 0)), ISNUMBER(MATCH(FS$1, AsistenciaJetAdminConcatenada!$B:$B, 0)), ISNUMBER(SEARCH($A80,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ISNUMBER(SEARCH($A80, INDEX(AsistenciaJetAdminConcatenada!$D:$D, MATCH(1, (AsistenciaJetAdminConcatenada!$A:$A=FS$2)*(AsistenciaJetAdminConcatenada!$B:$B=FS$1), 0)), 1))),  0.5, 0))</f>
        <v>0</v>
      </c>
      <c r="FT80" s="47">
        <f t="array" ref="FT80">IF(AND(ISNUMBER(MATCH(FT$2, AsistenciaJetAdminConcatenada!$A:$A, 0)), ISNUMBER(MATCH(FT$1, AsistenciaJetAdminConcatenada!$B:$B, 0)), ISNUMBER(SEARCH($A80,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ISNUMBER(SEARCH($A80, INDEX(AsistenciaJetAdminConcatenada!$D:$D, MATCH(1, (AsistenciaJetAdminConcatenada!$A:$A=FT$2)*(AsistenciaJetAdminConcatenada!$B:$B=FT$1), 0)), 1))),  0.5, 0))</f>
        <v>0</v>
      </c>
      <c r="FU80" s="47">
        <f t="array" ref="FU80">IF(AND(ISNUMBER(MATCH(FU$2, AsistenciaJetAdminConcatenada!$A:$A, 0)), ISNUMBER(MATCH(FU$1, AsistenciaJetAdminConcatenada!$B:$B, 0)), ISNUMBER(SEARCH($A80,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ISNUMBER(SEARCH($A80, INDEX(AsistenciaJetAdminConcatenada!$D:$D, MATCH(1, (AsistenciaJetAdminConcatenada!$A:$A=FU$2)*(AsistenciaJetAdminConcatenada!$B:$B=FU$1), 0)), 1))),  0.5, 0))</f>
        <v>0</v>
      </c>
      <c r="FV80" s="47">
        <f t="array" ref="FV80">IF(AND(ISNUMBER(MATCH(FV$2, AsistenciaJetAdminConcatenada!$A:$A, 0)), ISNUMBER(MATCH(FV$1, AsistenciaJetAdminConcatenada!$B:$B, 0)), ISNUMBER(SEARCH($A80,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ISNUMBER(SEARCH($A80, INDEX(AsistenciaJetAdminConcatenada!$D:$D, MATCH(1, (AsistenciaJetAdminConcatenada!$A:$A=FV$2)*(AsistenciaJetAdminConcatenada!$B:$B=FV$1), 0)), 1))),  0.5, 0))</f>
        <v>0</v>
      </c>
      <c r="FW80" s="47">
        <f t="array" ref="FW80">IF(AND(ISNUMBER(MATCH(FW$2, AsistenciaJetAdminConcatenada!$A:$A, 0)), ISNUMBER(MATCH(FW$1, AsistenciaJetAdminConcatenada!$B:$B, 0)), ISNUMBER(SEARCH($A80,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ISNUMBER(SEARCH($A80, INDEX(AsistenciaJetAdminConcatenada!$D:$D, MATCH(1, (AsistenciaJetAdminConcatenada!$A:$A=FW$2)*(AsistenciaJetAdminConcatenada!$B:$B=FW$1), 0)), 1))),  0.5, 0))</f>
        <v>0</v>
      </c>
      <c r="FX80" s="47">
        <f t="array" ref="FX80">IF(AND(ISNUMBER(MATCH(FX$2, AsistenciaJetAdminConcatenada!$A:$A, 0)), ISNUMBER(MATCH(FX$1, AsistenciaJetAdminConcatenada!$B:$B, 0)), ISNUMBER(SEARCH($A80,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ISNUMBER(SEARCH($A80, INDEX(AsistenciaJetAdminConcatenada!$D:$D, MATCH(1, (AsistenciaJetAdminConcatenada!$A:$A=FX$2)*(AsistenciaJetAdminConcatenada!$B:$B=FX$1), 0)), 1))),  0.5, 0))</f>
        <v>0</v>
      </c>
      <c r="FY80" s="47">
        <f t="array" ref="FY80">IF(AND(ISNUMBER(MATCH(FY$2, AsistenciaJetAdminConcatenada!$A:$A, 0)), ISNUMBER(MATCH(FY$1, AsistenciaJetAdminConcatenada!$B:$B, 0)), ISNUMBER(SEARCH($A80,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ISNUMBER(SEARCH($A80, INDEX(AsistenciaJetAdminConcatenada!$D:$D, MATCH(1, (AsistenciaJetAdminConcatenada!$A:$A=FY$2)*(AsistenciaJetAdminConcatenada!$B:$B=FY$1), 0)), 1))),  0.5, 0))</f>
        <v>0</v>
      </c>
      <c r="FZ80" s="47">
        <f t="array" ref="FZ80">IF(AND(ISNUMBER(MATCH(FZ$2, AsistenciaJetAdminConcatenada!$A:$A, 0)), ISNUMBER(MATCH(FZ$1, AsistenciaJetAdminConcatenada!$B:$B, 0)), ISNUMBER(SEARCH($A80,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ISNUMBER(SEARCH($A80, INDEX(AsistenciaJetAdminConcatenada!$D:$D, MATCH(1, (AsistenciaJetAdminConcatenada!$A:$A=FZ$2)*(AsistenciaJetAdminConcatenada!$B:$B=FZ$1), 0)), 1))),  0.5, 0))</f>
        <v>0</v>
      </c>
      <c r="GA80" s="47">
        <f t="array" ref="GA80">IF(AND(ISNUMBER(MATCH(GA$2, AsistenciaJetAdminConcatenada!$A:$A, 0)), ISNUMBER(MATCH(GA$1, AsistenciaJetAdminConcatenada!$B:$B, 0)), ISNUMBER(SEARCH($A80,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ISNUMBER(SEARCH($A80, INDEX(AsistenciaJetAdminConcatenada!$D:$D, MATCH(1, (AsistenciaJetAdminConcatenada!$A:$A=GA$2)*(AsistenciaJetAdminConcatenada!$B:$B=GA$1), 0)), 1))),  0.5, 0))</f>
        <v>0</v>
      </c>
      <c r="GB80" s="47">
        <f t="array" ref="GB80">IF(AND(ISNUMBER(MATCH(GB$2, AsistenciaJetAdminConcatenada!$A:$A, 0)), ISNUMBER(MATCH(GB$1, AsistenciaJetAdminConcatenada!$B:$B, 0)), ISNUMBER(SEARCH($A80,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ISNUMBER(SEARCH($A80, INDEX(AsistenciaJetAdminConcatenada!$D:$D, MATCH(1, (AsistenciaJetAdminConcatenada!$A:$A=GB$2)*(AsistenciaJetAdminConcatenada!$B:$B=GB$1), 0)), 1))),  0.5, 0))</f>
        <v>0</v>
      </c>
      <c r="GC80" s="47">
        <f t="array" ref="GC80">IF(AND(ISNUMBER(MATCH(GC$2, AsistenciaJetAdminConcatenada!$A:$A, 0)), ISNUMBER(MATCH(GC$1, AsistenciaJetAdminConcatenada!$B:$B, 0)), ISNUMBER(SEARCH($A80,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ISNUMBER(SEARCH($A80, INDEX(AsistenciaJetAdminConcatenada!$D:$D, MATCH(1, (AsistenciaJetAdminConcatenada!$A:$A=GC$2)*(AsistenciaJetAdminConcatenada!$B:$B=GC$1), 0)), 1))),  0.5, 0))</f>
        <v>0</v>
      </c>
      <c r="GD80" s="47">
        <f t="array" ref="GD80">IF(AND(ISNUMBER(MATCH(GD$2, AsistenciaJetAdminConcatenada!$A:$A, 0)), ISNUMBER(MATCH(GD$1, AsistenciaJetAdminConcatenada!$B:$B, 0)), ISNUMBER(SEARCH($A80,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ISNUMBER(SEARCH($A80, INDEX(AsistenciaJetAdminConcatenada!$D:$D, MATCH(1, (AsistenciaJetAdminConcatenada!$A:$A=GD$2)*(AsistenciaJetAdminConcatenada!$B:$B=GD$1), 0)), 1))),  0.5, 0))</f>
        <v>0</v>
      </c>
      <c r="GE80" s="47">
        <f t="array" ref="GE80">IF(AND(ISNUMBER(MATCH(GE$2, AsistenciaJetAdminConcatenada!$A:$A, 0)), ISNUMBER(MATCH(GE$1, AsistenciaJetAdminConcatenada!$B:$B, 0)), ISNUMBER(SEARCH($A80,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ISNUMBER(SEARCH($A80, INDEX(AsistenciaJetAdminConcatenada!$D:$D, MATCH(1, (AsistenciaJetAdminConcatenada!$A:$A=GE$2)*(AsistenciaJetAdminConcatenada!$B:$B=GE$1), 0)), 1))),  0.5, 0))</f>
        <v>0</v>
      </c>
      <c r="GF80" s="47">
        <f t="array" ref="GF80">IF(AND(ISNUMBER(MATCH(GF$2, AsistenciaJetAdminConcatenada!$A:$A, 0)), ISNUMBER(MATCH(GF$1, AsistenciaJetAdminConcatenada!$B:$B, 0)), ISNUMBER(SEARCH($A80,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ISNUMBER(SEARCH($A80, INDEX(AsistenciaJetAdminConcatenada!$D:$D, MATCH(1, (AsistenciaJetAdminConcatenada!$A:$A=GF$2)*(AsistenciaJetAdminConcatenada!$B:$B=GF$1), 0)), 1))),  0.5, 0))</f>
        <v>0</v>
      </c>
      <c r="GG80" s="47">
        <f t="array" ref="GG80">IF(AND(ISNUMBER(MATCH(GG$2, AsistenciaJetAdminConcatenada!$A:$A, 0)), ISNUMBER(MATCH(GG$1, AsistenciaJetAdminConcatenada!$B:$B, 0)), ISNUMBER(SEARCH($A80,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ISNUMBER(SEARCH($A80, INDEX(AsistenciaJetAdminConcatenada!$D:$D, MATCH(1, (AsistenciaJetAdminConcatenada!$A:$A=GG$2)*(AsistenciaJetAdminConcatenada!$B:$B=GG$1), 0)), 1))),  0.5, 0))</f>
        <v>0</v>
      </c>
      <c r="GH80" s="47">
        <f t="array" ref="GH80">IF(AND(ISNUMBER(MATCH(GH$2, AsistenciaJetAdminConcatenada!$A:$A, 0)), ISNUMBER(MATCH(GH$1, AsistenciaJetAdminConcatenada!$B:$B, 0)), ISNUMBER(SEARCH($A80,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ISNUMBER(SEARCH($A80, INDEX(AsistenciaJetAdminConcatenada!$D:$D, MATCH(1, (AsistenciaJetAdminConcatenada!$A:$A=GH$2)*(AsistenciaJetAdminConcatenada!$B:$B=GH$1), 0)), 1))),  0.5, 0))</f>
        <v>0</v>
      </c>
      <c r="GI80" s="47">
        <f t="array" ref="GI80">IF(AND(ISNUMBER(MATCH(GI$2, AsistenciaJetAdminConcatenada!$A:$A, 0)), ISNUMBER(MATCH(GI$1, AsistenciaJetAdminConcatenada!$B:$B, 0)), ISNUMBER(SEARCH($A80,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ISNUMBER(SEARCH($A80, INDEX(AsistenciaJetAdminConcatenada!$D:$D, MATCH(1, (AsistenciaJetAdminConcatenada!$A:$A=GI$2)*(AsistenciaJetAdminConcatenada!$B:$B=GI$1), 0)), 1))),  0.5, 0))</f>
        <v>0</v>
      </c>
      <c r="GJ80" s="47">
        <f t="array" ref="GJ80">IF(AND(ISNUMBER(MATCH(GJ$2, AsistenciaJetAdminConcatenada!$A:$A, 0)), ISNUMBER(MATCH(GJ$1, AsistenciaJetAdminConcatenada!$B:$B, 0)), ISNUMBER(SEARCH($A80,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ISNUMBER(SEARCH($A80, INDEX(AsistenciaJetAdminConcatenada!$D:$D, MATCH(1, (AsistenciaJetAdminConcatenada!$A:$A=GJ$2)*(AsistenciaJetAdminConcatenada!$B:$B=GJ$1), 0)), 1))),  0.5, 0))</f>
        <v>0</v>
      </c>
      <c r="GK80" s="47">
        <f t="array" ref="GK80">IF(AND(ISNUMBER(MATCH(GK$2, AsistenciaJetAdminConcatenada!$A:$A, 0)), ISNUMBER(MATCH(GK$1, AsistenciaJetAdminConcatenada!$B:$B, 0)), ISNUMBER(SEARCH($A80,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ISNUMBER(SEARCH($A80, INDEX(AsistenciaJetAdminConcatenada!$D:$D, MATCH(1, (AsistenciaJetAdminConcatenada!$A:$A=GK$2)*(AsistenciaJetAdminConcatenada!$B:$B=GK$1), 0)), 1))),  0.5, 0))</f>
        <v>0</v>
      </c>
      <c r="GL80" s="47">
        <f t="array" ref="GL80">IF(AND(ISNUMBER(MATCH(GL$2, AsistenciaJetAdminConcatenada!$A:$A, 0)), ISNUMBER(MATCH(GL$1, AsistenciaJetAdminConcatenada!$B:$B, 0)), ISNUMBER(SEARCH($A80,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ISNUMBER(SEARCH($A80, INDEX(AsistenciaJetAdminConcatenada!$D:$D, MATCH(1, (AsistenciaJetAdminConcatenada!$A:$A=GL$2)*(AsistenciaJetAdminConcatenada!$B:$B=GL$1), 0)), 1))),  0.5, 0))</f>
        <v>0</v>
      </c>
      <c r="GM80" s="47">
        <f t="array" ref="GM80">IF(AND(ISNUMBER(MATCH(GM$2, AsistenciaJetAdminConcatenada!$A:$A, 0)), ISNUMBER(MATCH(GM$1, AsistenciaJetAdminConcatenada!$B:$B, 0)), ISNUMBER(SEARCH($A80,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ISNUMBER(SEARCH($A80, INDEX(AsistenciaJetAdminConcatenada!$D:$D, MATCH(1, (AsistenciaJetAdminConcatenada!$A:$A=GM$2)*(AsistenciaJetAdminConcatenada!$B:$B=GM$1), 0)), 1))),  0.5, 0))</f>
        <v>0</v>
      </c>
      <c r="GN80" s="47">
        <f t="array" ref="GN80">IF(AND(ISNUMBER(MATCH(GN$2, AsistenciaJetAdminConcatenada!$A:$A, 0)), ISNUMBER(MATCH(GN$1, AsistenciaJetAdminConcatenada!$B:$B, 0)), ISNUMBER(SEARCH($A80,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ISNUMBER(SEARCH($A80, INDEX(AsistenciaJetAdminConcatenada!$D:$D, MATCH(1, (AsistenciaJetAdminConcatenada!$A:$A=GN$2)*(AsistenciaJetAdminConcatenada!$B:$B=GN$1), 0)), 1))),  0.5, 0))</f>
        <v>0</v>
      </c>
      <c r="GO80" s="47">
        <f t="array" ref="GO80">IF(AND(ISNUMBER(MATCH(GO$2, AsistenciaJetAdminConcatenada!$A:$A, 0)), ISNUMBER(MATCH(GO$1, AsistenciaJetAdminConcatenada!$B:$B, 0)), ISNUMBER(SEARCH($A80,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ISNUMBER(SEARCH($A80, INDEX(AsistenciaJetAdminConcatenada!$D:$D, MATCH(1, (AsistenciaJetAdminConcatenada!$A:$A=GO$2)*(AsistenciaJetAdminConcatenada!$B:$B=GO$1), 0)), 1))),  0.5, 0))</f>
        <v>0</v>
      </c>
      <c r="GP80" s="47">
        <f t="array" ref="GP80">IF(AND(ISNUMBER(MATCH(GP$2, AsistenciaJetAdminConcatenada!$A:$A, 0)), ISNUMBER(MATCH(GP$1, AsistenciaJetAdminConcatenada!$B:$B, 0)), ISNUMBER(SEARCH($A80,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ISNUMBER(SEARCH($A80, INDEX(AsistenciaJetAdminConcatenada!$D:$D, MATCH(1, (AsistenciaJetAdminConcatenada!$A:$A=GP$2)*(AsistenciaJetAdminConcatenada!$B:$B=GP$1), 0)), 1))),  0.5, 0))</f>
        <v>0</v>
      </c>
      <c r="GQ80" s="47">
        <f t="array" ref="GQ80">IF(AND(ISNUMBER(MATCH(GQ$2, AsistenciaJetAdminConcatenada!$A:$A, 0)), ISNUMBER(MATCH(GQ$1, AsistenciaJetAdminConcatenada!$B:$B, 0)), ISNUMBER(SEARCH($A80,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ISNUMBER(SEARCH($A80, INDEX(AsistenciaJetAdminConcatenada!$D:$D, MATCH(1, (AsistenciaJetAdminConcatenada!$A:$A=GQ$2)*(AsistenciaJetAdminConcatenada!$B:$B=GQ$1), 0)), 1))),  0.5, 0))</f>
        <v>0</v>
      </c>
      <c r="GR80" s="47">
        <f t="array" ref="GR80">IF(AND(ISNUMBER(MATCH(GR$2, AsistenciaJetAdminConcatenada!$A:$A, 0)), ISNUMBER(MATCH(GR$1, AsistenciaJetAdminConcatenada!$B:$B, 0)), ISNUMBER(SEARCH($A80,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ISNUMBER(SEARCH($A80, INDEX(AsistenciaJetAdminConcatenada!$D:$D, MATCH(1, (AsistenciaJetAdminConcatenada!$A:$A=GR$2)*(AsistenciaJetAdminConcatenada!$B:$B=GR$1), 0)), 1))),  0.5, 0))</f>
        <v>0</v>
      </c>
      <c r="GS80" s="47">
        <f t="array" ref="GS80">IF(AND(ISNUMBER(MATCH(GS$2, AsistenciaJetAdminConcatenada!$A:$A, 0)), ISNUMBER(MATCH(GS$1, AsistenciaJetAdminConcatenada!$B:$B, 0)), ISNUMBER(SEARCH($A80,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ISNUMBER(SEARCH($A80, INDEX(AsistenciaJetAdminConcatenada!$D:$D, MATCH(1, (AsistenciaJetAdminConcatenada!$A:$A=GS$2)*(AsistenciaJetAdminConcatenada!$B:$B=GS$1), 0)), 1))),  0.5, 0))</f>
        <v>0</v>
      </c>
      <c r="GT80" s="47">
        <f t="array" ref="GT80">IF(AND(ISNUMBER(MATCH(GT$2, AsistenciaJetAdminConcatenada!$A:$A, 0)), ISNUMBER(MATCH(GT$1, AsistenciaJetAdminConcatenada!$B:$B, 0)), ISNUMBER(SEARCH($A80,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ISNUMBER(SEARCH($A80, INDEX(AsistenciaJetAdminConcatenada!$D:$D, MATCH(1, (AsistenciaJetAdminConcatenada!$A:$A=GT$2)*(AsistenciaJetAdminConcatenada!$B:$B=GT$1), 0)), 1))),  0.5, 0))</f>
        <v>0</v>
      </c>
      <c r="GU80" s="47">
        <f t="array" ref="GU80">IF(AND(ISNUMBER(MATCH(GU$2, AsistenciaJetAdminConcatenada!$A:$A, 0)), ISNUMBER(MATCH(GU$1, AsistenciaJetAdminConcatenada!$B:$B, 0)), ISNUMBER(SEARCH($A80,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ISNUMBER(SEARCH($A80, INDEX(AsistenciaJetAdminConcatenada!$D:$D, MATCH(1, (AsistenciaJetAdminConcatenada!$A:$A=GU$2)*(AsistenciaJetAdminConcatenada!$B:$B=GU$1), 0)), 1))),  0.5, 0))</f>
        <v>0</v>
      </c>
      <c r="GV80" s="47">
        <f t="array" ref="GV80">IF(AND(ISNUMBER(MATCH(GV$2, AsistenciaJetAdminConcatenada!$A:$A, 0)), ISNUMBER(MATCH(GV$1, AsistenciaJetAdminConcatenada!$B:$B, 0)), ISNUMBER(SEARCH($A80,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ISNUMBER(SEARCH($A80, INDEX(AsistenciaJetAdminConcatenada!$D:$D, MATCH(1, (AsistenciaJetAdminConcatenada!$A:$A=GV$2)*(AsistenciaJetAdminConcatenada!$B:$B=GV$1), 0)), 1))),  0.5, 0))</f>
        <v>0</v>
      </c>
      <c r="GW80" s="47">
        <f t="array" ref="GW80">IF(AND(ISNUMBER(MATCH(GW$2, AsistenciaJetAdminConcatenada!$A:$A, 0)), ISNUMBER(MATCH(GW$1, AsistenciaJetAdminConcatenada!$B:$B, 0)), ISNUMBER(SEARCH($A80,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ISNUMBER(SEARCH($A80, INDEX(AsistenciaJetAdminConcatenada!$D:$D, MATCH(1, (AsistenciaJetAdminConcatenada!$A:$A=GW$2)*(AsistenciaJetAdminConcatenada!$B:$B=GW$1), 0)), 1))),  0.5, 0))</f>
        <v>0</v>
      </c>
      <c r="GX80" s="47">
        <f t="array" ref="GX80">IF(AND(ISNUMBER(MATCH(GX$2, AsistenciaJetAdminConcatenada!$A:$A, 0)), ISNUMBER(MATCH(GX$1, AsistenciaJetAdminConcatenada!$B:$B, 0)), ISNUMBER(SEARCH($A80,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ISNUMBER(SEARCH($A80, INDEX(AsistenciaJetAdminConcatenada!$D:$D, MATCH(1, (AsistenciaJetAdminConcatenada!$A:$A=GX$2)*(AsistenciaJetAdminConcatenada!$B:$B=GX$1), 0)), 1))),  0.5, 0))</f>
        <v>0</v>
      </c>
      <c r="GY80" s="47">
        <f t="array" ref="GY80">IF(AND(ISNUMBER(MATCH(GY$2, AsistenciaJetAdminConcatenada!$A:$A, 0)), ISNUMBER(MATCH(GY$1, AsistenciaJetAdminConcatenada!$B:$B, 0)), ISNUMBER(SEARCH($A80,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ISNUMBER(SEARCH($A80, INDEX(AsistenciaJetAdminConcatenada!$D:$D, MATCH(1, (AsistenciaJetAdminConcatenada!$A:$A=GY$2)*(AsistenciaJetAdminConcatenada!$B:$B=GY$1), 0)), 1))),  0.5, 0))</f>
        <v>0</v>
      </c>
      <c r="GZ80" s="47">
        <f t="array" ref="GZ80">IF(AND(ISNUMBER(MATCH(GZ$2, AsistenciaJetAdminConcatenada!$A:$A, 0)), ISNUMBER(MATCH(GZ$1, AsistenciaJetAdminConcatenada!$B:$B, 0)), ISNUMBER(SEARCH($A80,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ISNUMBER(SEARCH($A80, INDEX(AsistenciaJetAdminConcatenada!$D:$D, MATCH(1, (AsistenciaJetAdminConcatenada!$A:$A=GZ$2)*(AsistenciaJetAdminConcatenada!$B:$B=GZ$1), 0)), 1))),  0.5, 0))</f>
        <v>0</v>
      </c>
      <c r="HA80" s="47">
        <f t="array" ref="HA80">IF(AND(ISNUMBER(MATCH(HA$2, AsistenciaJetAdminConcatenada!$A:$A, 0)), ISNUMBER(MATCH(HA$1, AsistenciaJetAdminConcatenada!$B:$B, 0)), ISNUMBER(SEARCH($A80,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ISNUMBER(SEARCH($A80, INDEX(AsistenciaJetAdminConcatenada!$D:$D, MATCH(1, (AsistenciaJetAdminConcatenada!$A:$A=HA$2)*(AsistenciaJetAdminConcatenada!$B:$B=HA$1), 0)), 1))),  0.5, 0))</f>
        <v>0</v>
      </c>
      <c r="HB80" s="47">
        <f t="array" ref="HB80">IF(AND(ISNUMBER(MATCH(HB$2, AsistenciaJetAdminConcatenada!$A:$A, 0)), ISNUMBER(MATCH(HB$1, AsistenciaJetAdminConcatenada!$B:$B, 0)), ISNUMBER(SEARCH($A80,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ISNUMBER(SEARCH($A80, INDEX(AsistenciaJetAdminConcatenada!$D:$D, MATCH(1, (AsistenciaJetAdminConcatenada!$A:$A=HB$2)*(AsistenciaJetAdminConcatenada!$B:$B=HB$1), 0)), 1))),  0.5, 0))</f>
        <v>0</v>
      </c>
      <c r="HC80" s="47">
        <f t="array" ref="HC80">IF(AND(ISNUMBER(MATCH(HC$2, AsistenciaJetAdminConcatenada!$A:$A, 0)), ISNUMBER(MATCH(HC$1, AsistenciaJetAdminConcatenada!$B:$B, 0)), ISNUMBER(SEARCH($A80,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ISNUMBER(SEARCH($A80, INDEX(AsistenciaJetAdminConcatenada!$D:$D, MATCH(1, (AsistenciaJetAdminConcatenada!$A:$A=HC$2)*(AsistenciaJetAdminConcatenada!$B:$B=HC$1), 0)), 1))),  0.5, 0))</f>
        <v>0</v>
      </c>
    </row>
    <row r="81" ht="29.25" customHeight="1">
      <c r="A81" s="3">
        <v>150.0</v>
      </c>
      <c r="B81" s="4" t="s">
        <v>97</v>
      </c>
      <c r="C81" s="47">
        <f>SUM(D81:HC81) + ActividadesEspeciales!C81</f>
        <v>37.5</v>
      </c>
      <c r="D81" s="47">
        <f t="array" ref="D81">IF(AND(ISNUMBER(MATCH(D$2, AsistenciaJetAdminConcatenada!$A:$A, 0)), ISNUMBER(MATCH(D$1, AsistenciaJetAdminConcatenada!$B:$B, 0)), ISNUMBER(SEARCH($A81,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ISNUMBER(SEARCH($A81, INDEX(AsistenciaJetAdminConcatenada!$D:$D, MATCH(1, (AsistenciaJetAdminConcatenada!$A:$A=D$2)*(AsistenciaJetAdminConcatenada!$B:$B=D$1), 0)), 1))),  0.5, 0))</f>
        <v>1</v>
      </c>
      <c r="E81" s="47">
        <f t="array" ref="E81">IF(AND(ISNUMBER(MATCH(E$2, AsistenciaJetAdminConcatenada!$A:$A, 0)), ISNUMBER(MATCH(E$1, AsistenciaJetAdminConcatenada!$B:$B, 0)), ISNUMBER(SEARCH($A81,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ISNUMBER(SEARCH($A81, INDEX(AsistenciaJetAdminConcatenada!$D:$D, MATCH(1, (AsistenciaJetAdminConcatenada!$A:$A=E$2)*(AsistenciaJetAdminConcatenada!$B:$B=E$1), 0)), 1))),  0.5, 0))</f>
        <v>1</v>
      </c>
      <c r="F81" s="47">
        <f t="array" ref="F81">IF(AND(ISNUMBER(MATCH(F$2, AsistenciaJetAdminConcatenada!$A:$A, 0)), ISNUMBER(MATCH(F$1, AsistenciaJetAdminConcatenada!$B:$B, 0)), ISNUMBER(SEARCH($A81,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ISNUMBER(SEARCH($A81, INDEX(AsistenciaJetAdminConcatenada!$D:$D, MATCH(1, (AsistenciaJetAdminConcatenada!$A:$A=F$2)*(AsistenciaJetAdminConcatenada!$B:$B=F$1), 0)), 1))),  0.5, 0))</f>
        <v>1</v>
      </c>
      <c r="G81" s="47">
        <f t="array" ref="G81">IF(AND(ISNUMBER(MATCH(G$2, AsistenciaJetAdminConcatenada!$A:$A, 0)), ISNUMBER(MATCH(G$1, AsistenciaJetAdminConcatenada!$B:$B, 0)), ISNUMBER(SEARCH($A81,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ISNUMBER(SEARCH($A81, INDEX(AsistenciaJetAdminConcatenada!$D:$D, MATCH(1, (AsistenciaJetAdminConcatenada!$A:$A=G$2)*(AsistenciaJetAdminConcatenada!$B:$B=G$1), 0)), 1))),  0.5, 0))</f>
        <v>1</v>
      </c>
      <c r="H81" s="47">
        <f t="array" ref="H81">IF(AND(ISNUMBER(MATCH(H$2, AsistenciaJetAdminConcatenada!$A:$A, 0)), ISNUMBER(MATCH(H$1, AsistenciaJetAdminConcatenada!$B:$B, 0)), ISNUMBER(SEARCH($A81,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ISNUMBER(SEARCH($A81, INDEX(AsistenciaJetAdminConcatenada!$D:$D, MATCH(1, (AsistenciaJetAdminConcatenada!$A:$A=H$2)*(AsistenciaJetAdminConcatenada!$B:$B=H$1), 0)), 1))),  0.5, 0))</f>
        <v>0</v>
      </c>
      <c r="I81" s="47">
        <f t="array" ref="I81">IF(AND(ISNUMBER(MATCH(I$2, AsistenciaJetAdminConcatenada!$A:$A, 0)), ISNUMBER(MATCH(I$1, AsistenciaJetAdminConcatenada!$B:$B, 0)), ISNUMBER(SEARCH($A81,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ISNUMBER(SEARCH($A81, INDEX(AsistenciaJetAdminConcatenada!$D:$D, MATCH(1, (AsistenciaJetAdminConcatenada!$A:$A=I$2)*(AsistenciaJetAdminConcatenada!$B:$B=I$1), 0)), 1))),  0.5, 0))</f>
        <v>1</v>
      </c>
      <c r="J81" s="47">
        <f t="array" ref="J81">IF(AND(ISNUMBER(MATCH(J$2, AsistenciaJetAdminConcatenada!$A:$A, 0)), ISNUMBER(MATCH(J$1, AsistenciaJetAdminConcatenada!$B:$B, 0)), ISNUMBER(SEARCH($A81,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ISNUMBER(SEARCH($A81, INDEX(AsistenciaJetAdminConcatenada!$D:$D, MATCH(1, (AsistenciaJetAdminConcatenada!$A:$A=J$2)*(AsistenciaJetAdminConcatenada!$B:$B=J$1), 0)), 1))),  0.5, 0))</f>
        <v>0</v>
      </c>
      <c r="K81" s="47">
        <f t="array" ref="K81">IF(AND(ISNUMBER(MATCH(K$2, AsistenciaJetAdminConcatenada!$A:$A, 0)), ISNUMBER(MATCH(K$1, AsistenciaJetAdminConcatenada!$B:$B, 0)), ISNUMBER(SEARCH($A81,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ISNUMBER(SEARCH($A81, INDEX(AsistenciaJetAdminConcatenada!$D:$D, MATCH(1, (AsistenciaJetAdminConcatenada!$A:$A=K$2)*(AsistenciaJetAdminConcatenada!$B:$B=K$1), 0)), 1))),  0.5, 0))</f>
        <v>0.5</v>
      </c>
      <c r="L81" s="47">
        <f t="array" ref="L81">IF(AND(ISNUMBER(MATCH(L$2, AsistenciaJetAdminConcatenada!$A:$A, 0)), ISNUMBER(MATCH(L$1, AsistenciaJetAdminConcatenada!$B:$B, 0)), ISNUMBER(SEARCH($A81,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ISNUMBER(SEARCH($A81, INDEX(AsistenciaJetAdminConcatenada!$D:$D, MATCH(1, (AsistenciaJetAdminConcatenada!$A:$A=L$2)*(AsistenciaJetAdminConcatenada!$B:$B=L$1), 0)), 1))),  0.5, 0))</f>
        <v>0</v>
      </c>
      <c r="M81" s="8">
        <v>0.0</v>
      </c>
      <c r="N81" s="47">
        <f t="array" ref="N81">IF(AND(ISNUMBER(MATCH(N$2, AsistenciaJetAdminConcatenada!$A:$A, 0)), ISNUMBER(MATCH(N$1, AsistenciaJetAdminConcatenada!$B:$B, 0)), ISNUMBER(SEARCH($A81,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ISNUMBER(SEARCH($A81, INDEX(AsistenciaJetAdminConcatenada!$D:$D, MATCH(1, (AsistenciaJetAdminConcatenada!$A:$A=N$2)*(AsistenciaJetAdminConcatenada!$B:$B=N$1), 0)), 1))),  0.5, 0))</f>
        <v>0</v>
      </c>
      <c r="O81" s="47">
        <f t="array" ref="O81">IF(AND(ISNUMBER(MATCH(O$2, AsistenciaJetAdminConcatenada!$A:$A, 0)), ISNUMBER(MATCH(O$1, AsistenciaJetAdminConcatenada!$B:$B, 0)), ISNUMBER(SEARCH($A81,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ISNUMBER(SEARCH($A81, INDEX(AsistenciaJetAdminConcatenada!$D:$D, MATCH(1, (AsistenciaJetAdminConcatenada!$A:$A=O$2)*(AsistenciaJetAdminConcatenada!$B:$B=O$1), 0)), 1))),  0.5, 0))</f>
        <v>0.5</v>
      </c>
      <c r="P81" s="47">
        <f t="array" ref="P81">IF(AND(ISNUMBER(MATCH(P$2, AsistenciaJetAdminConcatenada!$A:$A, 0)), ISNUMBER(MATCH(P$1, AsistenciaJetAdminConcatenada!$B:$B, 0)), ISNUMBER(SEARCH($A81, INDEX(AsistenciaJetAdminConcatenada!$C:$C, MATCH(1, (AsistenciaJetAdminConcatenada!$A:$A=P$2)*(AsistenciaJetAdminConcatenada!$B:$B=P$1), 0)), 1))), 1, IF(AND(ISNUMBER(MATCH(P$2, AsistenciaJetAdminConcatenada!$A:$A, 0)), ISNUMBER(MATCH(P$1, AsistenciaJetAdminConcatenada!$B:$B, 0)), ISNUMBER(SEARCH($A81, INDEX(AsistenciaJetAdminConcatenada!$D:$D, MATCH(1, (AsistenciaJetAdminConcatenada!$A:$A=P$2)*(AsistenciaJetAdminConcatenada!$B:$B=P$1), 0)), 1))),  0.5, 0))</f>
        <v>0.5</v>
      </c>
      <c r="Q81" s="47">
        <f t="array" ref="Q81">IF(AND(ISNUMBER(MATCH(Q$2, AsistenciaJetAdminConcatenada!$A:$A, 0)), ISNUMBER(MATCH(Q$1, AsistenciaJetAdminConcatenada!$B:$B, 0)), ISNUMBER(SEARCH($A81, INDEX(AsistenciaJetAdminConcatenada!$C:$C, MATCH(1, (AsistenciaJetAdminConcatenada!$A:$A=Q$2)*(AsistenciaJetAdminConcatenada!$B:$B=Q$1), 0)), 1))), 1, IF(AND(ISNUMBER(MATCH(Q$2, AsistenciaJetAdminConcatenada!$A:$A, 0)), ISNUMBER(MATCH(Q$1, AsistenciaJetAdminConcatenada!$B:$B, 0)), ISNUMBER(SEARCH($A81, INDEX(AsistenciaJetAdminConcatenada!$D:$D, MATCH(1, (AsistenciaJetAdminConcatenada!$A:$A=Q$2)*(AsistenciaJetAdminConcatenada!$B:$B=Q$1), 0)), 1))),  0.5, 0))</f>
        <v>1</v>
      </c>
      <c r="R81" s="47">
        <f t="array" ref="R81">IF(AND(ISNUMBER(MATCH(R$2, AsistenciaJetAdminConcatenada!$A:$A, 0)), ISNUMBER(MATCH(R$1, AsistenciaJetAdminConcatenada!$B:$B, 0)), ISNUMBER(SEARCH($A81,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ISNUMBER(SEARCH($A81, INDEX(AsistenciaJetAdminConcatenada!$D:$D, MATCH(1, (AsistenciaJetAdminConcatenada!$A:$A=R$2)*(AsistenciaJetAdminConcatenada!$B:$B=R$1), 0)), 1))),  0.5, 0))</f>
        <v>1</v>
      </c>
      <c r="S81" s="47">
        <f t="array" ref="S81">IF(AND(ISNUMBER(MATCH(S$2, AsistenciaJetAdminConcatenada!$A:$A, 0)), ISNUMBER(MATCH(S$1, AsistenciaJetAdminConcatenada!$B:$B, 0)), ISNUMBER(SEARCH($A81,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ISNUMBER(SEARCH($A81, INDEX(AsistenciaJetAdminConcatenada!$D:$D, MATCH(1, (AsistenciaJetAdminConcatenada!$A:$A=S$2)*(AsistenciaJetAdminConcatenada!$B:$B=S$1), 0)), 1))),  0.5, 0))</f>
        <v>1</v>
      </c>
      <c r="T81" s="47">
        <f t="array" ref="T81">IF(AND(ISNUMBER(MATCH(T$2, AsistenciaJetAdminConcatenada!$A:$A, 0)), ISNUMBER(MATCH(T$1, AsistenciaJetAdminConcatenada!$B:$B, 0)), ISNUMBER(SEARCH($A81,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ISNUMBER(SEARCH($A81, INDEX(AsistenciaJetAdminConcatenada!$D:$D, MATCH(1, (AsistenciaJetAdminConcatenada!$A:$A=T$2)*(AsistenciaJetAdminConcatenada!$B:$B=T$1), 0)), 1))),  0.5, 0))</f>
        <v>0</v>
      </c>
      <c r="U81" s="47">
        <f t="array" ref="U81">IF(AND(ISNUMBER(MATCH(U$2, AsistenciaJetAdminConcatenada!$A:$A, 0)), ISNUMBER(MATCH(U$1, AsistenciaJetAdminConcatenada!$B:$B, 0)), ISNUMBER(SEARCH($A81,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ISNUMBER(SEARCH($A81, INDEX(AsistenciaJetAdminConcatenada!$D:$D, MATCH(1, (AsistenciaJetAdminConcatenada!$A:$A=U$2)*(AsistenciaJetAdminConcatenada!$B:$B=U$1), 0)), 1))),  0.5, 0))</f>
        <v>0</v>
      </c>
      <c r="V81" s="47">
        <f t="array" ref="V81">IF(AND(ISNUMBER(MATCH(V$2, AsistenciaJetAdminConcatenada!$A:$A, 0)), ISNUMBER(MATCH(V$1, AsistenciaJetAdminConcatenada!$B:$B, 0)), ISNUMBER(SEARCH($A81,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ISNUMBER(SEARCH($A81, INDEX(AsistenciaJetAdminConcatenada!$D:$D, MATCH(1, (AsistenciaJetAdminConcatenada!$A:$A=V$2)*(AsistenciaJetAdminConcatenada!$B:$B=V$1), 0)), 1))),  0.5, 0))</f>
        <v>0</v>
      </c>
      <c r="W81" s="47">
        <f t="array" ref="W81">IF(AND(ISNUMBER(MATCH(W$2, AsistenciaJetAdminConcatenada!$A:$A, 0)), ISNUMBER(MATCH(W$1, AsistenciaJetAdminConcatenada!$B:$B, 0)), ISNUMBER(SEARCH($A81,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ISNUMBER(SEARCH($A81, INDEX(AsistenciaJetAdminConcatenada!$D:$D, MATCH(1, (AsistenciaJetAdminConcatenada!$A:$A=W$2)*(AsistenciaJetAdminConcatenada!$B:$B=W$1), 0)), 1))),  0.5, 0))</f>
        <v>0.5</v>
      </c>
      <c r="X81" s="47">
        <f t="array" ref="X81">IF(AND(ISNUMBER(MATCH(X$2, AsistenciaJetAdminConcatenada!$A:$A, 0)), ISNUMBER(MATCH(X$1, AsistenciaJetAdminConcatenada!$B:$B, 0)), ISNUMBER(SEARCH($A81,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ISNUMBER(SEARCH($A81, INDEX(AsistenciaJetAdminConcatenada!$D:$D, MATCH(1, (AsistenciaJetAdminConcatenada!$A:$A=X$2)*(AsistenciaJetAdminConcatenada!$B:$B=X$1), 0)), 1))),  0.5, 0))</f>
        <v>0</v>
      </c>
      <c r="Y81" s="47">
        <f t="array" ref="Y81">IF(AND(ISNUMBER(MATCH(Y$2, AsistenciaJetAdminConcatenada!$A:$A, 0)), ISNUMBER(MATCH(Y$1, AsistenciaJetAdminConcatenada!$B:$B, 0)), ISNUMBER(SEARCH($A81,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ISNUMBER(SEARCH($A81, INDEX(AsistenciaJetAdminConcatenada!$D:$D, MATCH(1, (AsistenciaJetAdminConcatenada!$A:$A=Y$2)*(AsistenciaJetAdminConcatenada!$B:$B=Y$1), 0)), 1))),  0.5, 0))</f>
        <v>0.5</v>
      </c>
      <c r="Z81" s="47">
        <f t="array" ref="Z81">IF(AND(ISNUMBER(MATCH(Z$2, AsistenciaJetAdminConcatenada!$A:$A, 0)), ISNUMBER(MATCH(Z$1, AsistenciaJetAdminConcatenada!$B:$B, 0)), ISNUMBER(SEARCH($A81,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ISNUMBER(SEARCH($A81, INDEX(AsistenciaJetAdminConcatenada!$D:$D, MATCH(1, (AsistenciaJetAdminConcatenada!$A:$A=Z$2)*(AsistenciaJetAdminConcatenada!$B:$B=Z$1), 0)), 1))),  0.5, 0))</f>
        <v>1</v>
      </c>
      <c r="AA81" s="47">
        <f t="array" ref="AA81">IF(AND(ISNUMBER(MATCH(AA$2, AsistenciaJetAdminConcatenada!$A:$A, 0)), ISNUMBER(MATCH(AA$1, AsistenciaJetAdminConcatenada!$B:$B, 0)), ISNUMBER(SEARCH($A81,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ISNUMBER(SEARCH($A81, INDEX(AsistenciaJetAdminConcatenada!$D:$D, MATCH(1, (AsistenciaJetAdminConcatenada!$A:$A=AA$2)*(AsistenciaJetAdminConcatenada!$B:$B=AA$1), 0)), 1))),  0.5, 0))</f>
        <v>0</v>
      </c>
      <c r="AB81" s="8">
        <v>0.5</v>
      </c>
      <c r="AC81" s="47">
        <f t="array" ref="AC81">IF(AND(ISNUMBER(MATCH(AC$2, AsistenciaJetAdminConcatenada!$A:$A, 0)), ISNUMBER(MATCH(AC$1, AsistenciaJetAdminConcatenada!$B:$B, 0)), ISNUMBER(SEARCH($A81,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ISNUMBER(SEARCH($A81, INDEX(AsistenciaJetAdminConcatenada!$D:$D, MATCH(1, (AsistenciaJetAdminConcatenada!$A:$A=AC$2)*(AsistenciaJetAdminConcatenada!$B:$B=AC$1), 0)), 1))),  0.5, 0))</f>
        <v>1</v>
      </c>
      <c r="AD81" s="47">
        <f t="array" ref="AD81">IF(AND(ISNUMBER(MATCH(AD$2, AsistenciaJetAdminConcatenada!$A:$A, 0)), ISNUMBER(MATCH(AD$1, AsistenciaJetAdminConcatenada!$B:$B, 0)), ISNUMBER(SEARCH($A81,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ISNUMBER(SEARCH($A81, INDEX(AsistenciaJetAdminConcatenada!$D:$D, MATCH(1, (AsistenciaJetAdminConcatenada!$A:$A=AD$2)*(AsistenciaJetAdminConcatenada!$B:$B=AD$1), 0)), 1))),  0.5, 0))</f>
        <v>1</v>
      </c>
      <c r="AE81" s="47">
        <f t="array" ref="AE81">IF(AND(ISNUMBER(MATCH(AE$2, AsistenciaJetAdminConcatenada!$A:$A, 0)), ISNUMBER(MATCH(AE$1, AsistenciaJetAdminConcatenada!$B:$B, 0)), ISNUMBER(SEARCH($A81,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ISNUMBER(SEARCH($A81, INDEX(AsistenciaJetAdminConcatenada!$D:$D, MATCH(1, (AsistenciaJetAdminConcatenada!$A:$A=AE$2)*(AsistenciaJetAdminConcatenada!$B:$B=AE$1), 0)), 1))),  0.5, 0))</f>
        <v>0</v>
      </c>
      <c r="AF81" s="47">
        <f t="array" ref="AF81">IF(AND(ISNUMBER(MATCH(AF$2, AsistenciaJetAdminConcatenada!$A:$A, 0)), ISNUMBER(MATCH(AF$1, AsistenciaJetAdminConcatenada!$B:$B, 0)), ISNUMBER(SEARCH($A81,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ISNUMBER(SEARCH($A81, INDEX(AsistenciaJetAdminConcatenada!$D:$D, MATCH(1, (AsistenciaJetAdminConcatenada!$A:$A=AF$2)*(AsistenciaJetAdminConcatenada!$B:$B=AF$1), 0)), 1))),  0.5, 0))</f>
        <v>0</v>
      </c>
      <c r="AG81" s="47">
        <f t="array" ref="AG81">IF(AND(ISNUMBER(MATCH(AG$2, AsistenciaJetAdminConcatenada!$A:$A, 0)), ISNUMBER(MATCH(AG$1, AsistenciaJetAdminConcatenada!$B:$B, 0)), ISNUMBER(SEARCH($A81,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ISNUMBER(SEARCH($A81, INDEX(AsistenciaJetAdminConcatenada!$D:$D, MATCH(1, (AsistenciaJetAdminConcatenada!$A:$A=AG$2)*(AsistenciaJetAdminConcatenada!$B:$B=AG$1), 0)), 1))),  0.5, 0))</f>
        <v>0</v>
      </c>
      <c r="AH81" s="47">
        <f t="array" ref="AH81">IF(AND(ISNUMBER(MATCH(AH$2, AsistenciaJetAdminConcatenada!$A:$A, 0)), ISNUMBER(MATCH(AH$1, AsistenciaJetAdminConcatenada!$B:$B, 0)), ISNUMBER(SEARCH($A81,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ISNUMBER(SEARCH($A81, INDEX(AsistenciaJetAdminConcatenada!$D:$D, MATCH(1, (AsistenciaJetAdminConcatenada!$A:$A=AH$2)*(AsistenciaJetAdminConcatenada!$B:$B=AH$1), 0)), 1))),  0.5, 0))</f>
        <v>0</v>
      </c>
      <c r="AI81" s="47">
        <f t="array" ref="AI81">IF(AND(ISNUMBER(MATCH(AI$2, AsistenciaJetAdminConcatenada!$A:$A, 0)), ISNUMBER(MATCH(AI$1, AsistenciaJetAdminConcatenada!$B:$B, 0)), ISNUMBER(SEARCH($A81,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ISNUMBER(SEARCH($A81, INDEX(AsistenciaJetAdminConcatenada!$D:$D, MATCH(1, (AsistenciaJetAdminConcatenada!$A:$A=AI$2)*(AsistenciaJetAdminConcatenada!$B:$B=AI$1), 0)), 1))),  0.5, 0))</f>
        <v>0</v>
      </c>
      <c r="AJ81" s="47">
        <f t="array" ref="AJ81">IF(AND(ISNUMBER(MATCH(AJ$2, AsistenciaJetAdminConcatenada!$A:$A, 0)), ISNUMBER(MATCH(AJ$1, AsistenciaJetAdminConcatenada!$B:$B, 0)), ISNUMBER(SEARCH($A81,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ISNUMBER(SEARCH($A81, INDEX(AsistenciaJetAdminConcatenada!$D:$D, MATCH(1, (AsistenciaJetAdminConcatenada!$A:$A=AJ$2)*(AsistenciaJetAdminConcatenada!$B:$B=AJ$1), 0)), 1))),  0.5, 0))</f>
        <v>0</v>
      </c>
      <c r="AK81" s="47">
        <f t="array" ref="AK81">IF(AND(ISNUMBER(MATCH(AK$2, AsistenciaJetAdminConcatenada!$A:$A, 0)), ISNUMBER(MATCH(AK$1, AsistenciaJetAdminConcatenada!$B:$B, 0)), ISNUMBER(SEARCH($A81,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ISNUMBER(SEARCH($A81, INDEX(AsistenciaJetAdminConcatenada!$D:$D, MATCH(1, (AsistenciaJetAdminConcatenada!$A:$A=AK$2)*(AsistenciaJetAdminConcatenada!$B:$B=AK$1), 0)), 1))),  0.5, 0))</f>
        <v>1</v>
      </c>
      <c r="AL81" s="47">
        <f t="array" ref="AL81">IF(AND(ISNUMBER(MATCH(AL$2, AsistenciaJetAdminConcatenada!$A:$A, 0)), ISNUMBER(MATCH(AL$1, AsistenciaJetAdminConcatenada!$B:$B, 0)), ISNUMBER(SEARCH($A81,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ISNUMBER(SEARCH($A81, INDEX(AsistenciaJetAdminConcatenada!$D:$D, MATCH(1, (AsistenciaJetAdminConcatenada!$A:$A=AL$2)*(AsistenciaJetAdminConcatenada!$B:$B=AL$1), 0)), 1))),  0.5, 0))</f>
        <v>0</v>
      </c>
      <c r="AM81" s="47">
        <f t="array" ref="AM81">IF(AND(ISNUMBER(MATCH(AM$2, AsistenciaJetAdminConcatenada!$A:$A, 0)), ISNUMBER(MATCH(AM$1, AsistenciaJetAdminConcatenada!$B:$B, 0)), ISNUMBER(SEARCH($A81,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ISNUMBER(SEARCH($A81, INDEX(AsistenciaJetAdminConcatenada!$D:$D, MATCH(1, (AsistenciaJetAdminConcatenada!$A:$A=AM$2)*(AsistenciaJetAdminConcatenada!$B:$B=AM$1), 0)), 1))),  0.5, 0))</f>
        <v>0</v>
      </c>
      <c r="AN81" s="47">
        <f t="array" ref="AN81">IF(AND(ISNUMBER(MATCH(AN$2, AsistenciaJetAdminConcatenada!$A:$A, 0)), ISNUMBER(MATCH(AN$1, AsistenciaJetAdminConcatenada!$B:$B, 0)), ISNUMBER(SEARCH($A81,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ISNUMBER(SEARCH($A81, INDEX(AsistenciaJetAdminConcatenada!$D:$D, MATCH(1, (AsistenciaJetAdminConcatenada!$A:$A=AN$2)*(AsistenciaJetAdminConcatenada!$B:$B=AN$1), 0)), 1))),  0.5, 0))</f>
        <v>0</v>
      </c>
      <c r="AO81" s="47">
        <f t="array" ref="AO81">IF(AND(ISNUMBER(MATCH(AO$2, AsistenciaJetAdminConcatenada!$A:$A, 0)), ISNUMBER(MATCH(AO$1, AsistenciaJetAdminConcatenada!$B:$B, 0)), ISNUMBER(SEARCH($A81,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ISNUMBER(SEARCH($A81, INDEX(AsistenciaJetAdminConcatenada!$D:$D, MATCH(1, (AsistenciaJetAdminConcatenada!$A:$A=AO$2)*(AsistenciaJetAdminConcatenada!$B:$B=AO$1), 0)), 1))),  0.5, 0))</f>
        <v>1</v>
      </c>
      <c r="AP81" s="47">
        <f t="array" ref="AP81">IF(AND(ISNUMBER(MATCH(AP$2, AsistenciaJetAdminConcatenada!$A:$A, 0)), ISNUMBER(MATCH(AP$1, AsistenciaJetAdminConcatenada!$B:$B, 0)), ISNUMBER(SEARCH($A81,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ISNUMBER(SEARCH($A81, INDEX(AsistenciaJetAdminConcatenada!$D:$D, MATCH(1, (AsistenciaJetAdminConcatenada!$A:$A=AP$2)*(AsistenciaJetAdminConcatenada!$B:$B=AP$1), 0)), 1))),  0.5, 0))</f>
        <v>0</v>
      </c>
      <c r="AQ81" s="47">
        <f t="array" ref="AQ81">IF(AND(ISNUMBER(MATCH(AQ$2, AsistenciaJetAdminConcatenada!$A:$A, 0)), ISNUMBER(MATCH(AQ$1, AsistenciaJetAdminConcatenada!$B:$B, 0)), ISNUMBER(SEARCH($A81,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ISNUMBER(SEARCH($A81, INDEX(AsistenciaJetAdminConcatenada!$D:$D, MATCH(1, (AsistenciaJetAdminConcatenada!$A:$A=AQ$2)*(AsistenciaJetAdminConcatenada!$B:$B=AQ$1), 0)), 1))),  0.5, 0))</f>
        <v>0</v>
      </c>
      <c r="AR81" s="47">
        <f t="array" ref="AR81">IF(AND(ISNUMBER(MATCH(AR$2, AsistenciaJetAdminConcatenada!$A:$A, 0)), ISNUMBER(MATCH(AR$1, AsistenciaJetAdminConcatenada!$B:$B, 0)), ISNUMBER(SEARCH($A81,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ISNUMBER(SEARCH($A81, INDEX(AsistenciaJetAdminConcatenada!$D:$D, MATCH(1, (AsistenciaJetAdminConcatenada!$A:$A=AR$2)*(AsistenciaJetAdminConcatenada!$B:$B=AR$1), 0)), 1))),  0.5, 0))</f>
        <v>0</v>
      </c>
      <c r="AS81" s="47">
        <f t="array" ref="AS81">IF(AND(ISNUMBER(MATCH(AS$2, AsistenciaJetAdminConcatenada!$A:$A, 0)), ISNUMBER(MATCH(AS$1, AsistenciaJetAdminConcatenada!$B:$B, 0)), ISNUMBER(SEARCH($A81,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ISNUMBER(SEARCH($A81, INDEX(AsistenciaJetAdminConcatenada!$D:$D, MATCH(1, (AsistenciaJetAdminConcatenada!$A:$A=AS$2)*(AsistenciaJetAdminConcatenada!$B:$B=AS$1), 0)), 1))),  0.5, 0))</f>
        <v>0</v>
      </c>
      <c r="AT81" s="47">
        <f t="array" ref="AT81">IF(AND(ISNUMBER(MATCH(AT$2, AsistenciaJetAdminConcatenada!$A:$A, 0)), ISNUMBER(MATCH(AT$1, AsistenciaJetAdminConcatenada!$B:$B, 0)), ISNUMBER(SEARCH($A81,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ISNUMBER(SEARCH($A81, INDEX(AsistenciaJetAdminConcatenada!$D:$D, MATCH(1, (AsistenciaJetAdminConcatenada!$A:$A=AT$2)*(AsistenciaJetAdminConcatenada!$B:$B=AT$1), 0)), 1))),  0.5, 0))</f>
        <v>0</v>
      </c>
      <c r="AU81" s="47">
        <f t="array" ref="AU81">IF(AND(ISNUMBER(MATCH(AU$2, AsistenciaJetAdminConcatenada!$A:$A, 0)), ISNUMBER(MATCH(AU$1, AsistenciaJetAdminConcatenada!$B:$B, 0)), ISNUMBER(SEARCH($A81,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ISNUMBER(SEARCH($A81, INDEX(AsistenciaJetAdminConcatenada!$D:$D, MATCH(1, (AsistenciaJetAdminConcatenada!$A:$A=AU$2)*(AsistenciaJetAdminConcatenada!$B:$B=AU$1), 0)), 1))),  0.5, 0))</f>
        <v>0</v>
      </c>
      <c r="AV81" s="47">
        <f t="array" ref="AV81">IF(AND(ISNUMBER(MATCH(AV$2, AsistenciaJetAdminConcatenada!$A:$A, 0)), ISNUMBER(MATCH(AV$1, AsistenciaJetAdminConcatenada!$B:$B, 0)), ISNUMBER(SEARCH($A81,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ISNUMBER(SEARCH($A81, INDEX(AsistenciaJetAdminConcatenada!$D:$D, MATCH(1, (AsistenciaJetAdminConcatenada!$A:$A=AV$2)*(AsistenciaJetAdminConcatenada!$B:$B=AV$1), 0)), 1))),  0.5, 0))</f>
        <v>0</v>
      </c>
      <c r="AW81" s="47">
        <f t="array" ref="AW81">IF(AND(ISNUMBER(MATCH(AW$2, AsistenciaJetAdminConcatenada!$A:$A, 0)), ISNUMBER(MATCH(AW$1, AsistenciaJetAdminConcatenada!$B:$B, 0)), ISNUMBER(SEARCH($A81,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ISNUMBER(SEARCH($A81, INDEX(AsistenciaJetAdminConcatenada!$D:$D, MATCH(1, (AsistenciaJetAdminConcatenada!$A:$A=AW$2)*(AsistenciaJetAdminConcatenada!$B:$B=AW$1), 0)), 1))),  0.5, 0))</f>
        <v>0</v>
      </c>
      <c r="AX81" s="47">
        <f t="array" ref="AX81">IF(AND(ISNUMBER(MATCH(AX$2, AsistenciaJetAdminConcatenada!$A:$A, 0)), ISNUMBER(MATCH(AX$1, AsistenciaJetAdminConcatenada!$B:$B, 0)), ISNUMBER(SEARCH($A81,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ISNUMBER(SEARCH($A81, INDEX(AsistenciaJetAdminConcatenada!$D:$D, MATCH(1, (AsistenciaJetAdminConcatenada!$A:$A=AX$2)*(AsistenciaJetAdminConcatenada!$B:$B=AX$1), 0)), 1))),  0.5, 0))</f>
        <v>0</v>
      </c>
      <c r="AY81" s="47">
        <f t="array" ref="AY81">IF(AND(ISNUMBER(MATCH(AY$2, AsistenciaJetAdminConcatenada!$A:$A, 0)), ISNUMBER(MATCH(AY$1, AsistenciaJetAdminConcatenada!$B:$B, 0)), ISNUMBER(SEARCH($A81,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ISNUMBER(SEARCH($A81, INDEX(AsistenciaJetAdminConcatenada!$D:$D, MATCH(1, (AsistenciaJetAdminConcatenada!$A:$A=AY$2)*(AsistenciaJetAdminConcatenada!$B:$B=AY$1), 0)), 1))),  0.5, 0))</f>
        <v>0</v>
      </c>
      <c r="AZ81" s="47">
        <f t="array" ref="AZ81">IF(AND(ISNUMBER(MATCH(AZ$2, AsistenciaJetAdminConcatenada!$A:$A, 0)), ISNUMBER(MATCH(AZ$1, AsistenciaJetAdminConcatenada!$B:$B, 0)), ISNUMBER(SEARCH($A81,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ISNUMBER(SEARCH($A81, INDEX(AsistenciaJetAdminConcatenada!$D:$D, MATCH(1, (AsistenciaJetAdminConcatenada!$A:$A=AZ$2)*(AsistenciaJetAdminConcatenada!$B:$B=AZ$1), 0)), 1))),  0.5, 0))</f>
        <v>0</v>
      </c>
      <c r="BA81" s="47">
        <f t="array" ref="BA81">IF(AND(ISNUMBER(MATCH(BA$2, AsistenciaJetAdminConcatenada!$A:$A, 0)), ISNUMBER(MATCH(BA$1, AsistenciaJetAdminConcatenada!$B:$B, 0)), ISNUMBER(SEARCH($A81,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ISNUMBER(SEARCH($A81, INDEX(AsistenciaJetAdminConcatenada!$D:$D, MATCH(1, (AsistenciaJetAdminConcatenada!$A:$A=BA$2)*(AsistenciaJetAdminConcatenada!$B:$B=BA$1), 0)), 1))),  0.5, 0))</f>
        <v>0</v>
      </c>
      <c r="BB81" s="47">
        <f t="array" ref="BB81">IF(AND(ISNUMBER(MATCH(BB$2, AsistenciaJetAdminConcatenada!$A:$A, 0)), ISNUMBER(MATCH(BB$1, AsistenciaJetAdminConcatenada!$B:$B, 0)), ISNUMBER(SEARCH($A81,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ISNUMBER(SEARCH($A81, INDEX(AsistenciaJetAdminConcatenada!$D:$D, MATCH(1, (AsistenciaJetAdminConcatenada!$A:$A=BB$2)*(AsistenciaJetAdminConcatenada!$B:$B=BB$1), 0)), 1))),  0.5, 0))</f>
        <v>0</v>
      </c>
      <c r="BC81" s="47">
        <f t="array" ref="BC81">IF(AND(ISNUMBER(MATCH(BC$2, AsistenciaJetAdminConcatenada!$A:$A, 0)), ISNUMBER(MATCH(BC$1, AsistenciaJetAdminConcatenada!$B:$B, 0)), ISNUMBER(SEARCH($A81,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ISNUMBER(SEARCH($A81, INDEX(AsistenciaJetAdminConcatenada!$D:$D, MATCH(1, (AsistenciaJetAdminConcatenada!$A:$A=BC$2)*(AsistenciaJetAdminConcatenada!$B:$B=BC$1), 0)), 1))),  0.5, 0))</f>
        <v>1</v>
      </c>
      <c r="BD81" s="47">
        <f t="array" ref="BD81">IF(AND(ISNUMBER(MATCH(BD$2, AsistenciaJetAdminConcatenada!$A:$A, 0)), ISNUMBER(MATCH(BD$1, AsistenciaJetAdminConcatenada!$B:$B, 0)), ISNUMBER(SEARCH($A81,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ISNUMBER(SEARCH($A81, INDEX(AsistenciaJetAdminConcatenada!$D:$D, MATCH(1, (AsistenciaJetAdminConcatenada!$A:$A=BD$2)*(AsistenciaJetAdminConcatenada!$B:$B=BD$1), 0)), 1))),  0.5, 0))</f>
        <v>1</v>
      </c>
      <c r="BE81" s="47">
        <f t="array" ref="BE81">IF(AND(ISNUMBER(MATCH(BE$2, AsistenciaJetAdminConcatenada!$A:$A, 0)), ISNUMBER(MATCH(BE$1, AsistenciaJetAdminConcatenada!$B:$B, 0)), ISNUMBER(SEARCH($A81,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ISNUMBER(SEARCH($A81, INDEX(AsistenciaJetAdminConcatenada!$D:$D, MATCH(1, (AsistenciaJetAdminConcatenada!$A:$A=BE$2)*(AsistenciaJetAdminConcatenada!$B:$B=BE$1), 0)), 1))),  0.5, 0))</f>
        <v>0</v>
      </c>
      <c r="BF81" s="47">
        <f t="array" ref="BF81">IF(AND(ISNUMBER(MATCH(BF$2, AsistenciaJetAdminConcatenada!$A:$A, 0)), ISNUMBER(MATCH(BF$1, AsistenciaJetAdminConcatenada!$B:$B, 0)), ISNUMBER(SEARCH($A81,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ISNUMBER(SEARCH($A81, INDEX(AsistenciaJetAdminConcatenada!$D:$D, MATCH(1, (AsistenciaJetAdminConcatenada!$A:$A=BF$2)*(AsistenciaJetAdminConcatenada!$B:$B=BF$1), 0)), 1))),  0.5, 0))</f>
        <v>0.5</v>
      </c>
      <c r="BG81" s="47">
        <f t="array" ref="BG81">IF(AND(ISNUMBER(MATCH(BG$2, AsistenciaJetAdminConcatenada!$A:$A, 0)), ISNUMBER(MATCH(BG$1, AsistenciaJetAdminConcatenada!$B:$B, 0)), ISNUMBER(SEARCH($A81,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ISNUMBER(SEARCH($A81, INDEX(AsistenciaJetAdminConcatenada!$D:$D, MATCH(1, (AsistenciaJetAdminConcatenada!$A:$A=BG$2)*(AsistenciaJetAdminConcatenada!$B:$B=BG$1), 0)), 1))),  0.5, 0))</f>
        <v>1</v>
      </c>
      <c r="BH81" s="47">
        <f t="array" ref="BH81">IF(AND(ISNUMBER(MATCH(BH$2, AsistenciaJetAdminConcatenada!$A:$A, 0)), ISNUMBER(MATCH(BH$1, AsistenciaJetAdminConcatenada!$B:$B, 0)), ISNUMBER(SEARCH($A81,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ISNUMBER(SEARCH($A81, INDEX(AsistenciaJetAdminConcatenada!$D:$D, MATCH(1, (AsistenciaJetAdminConcatenada!$A:$A=BH$2)*(AsistenciaJetAdminConcatenada!$B:$B=BH$1), 0)), 1))),  0.5, 0))</f>
        <v>0</v>
      </c>
      <c r="BI81" s="47">
        <f t="array" ref="BI81">IF(AND(ISNUMBER(MATCH(BI$2, AsistenciaJetAdminConcatenada!$A:$A, 0)), ISNUMBER(MATCH(BI$1, AsistenciaJetAdminConcatenada!$B:$B, 0)), ISNUMBER(SEARCH($A81,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ISNUMBER(SEARCH($A81, INDEX(AsistenciaJetAdminConcatenada!$D:$D, MATCH(1, (AsistenciaJetAdminConcatenada!$A:$A=BI$2)*(AsistenciaJetAdminConcatenada!$B:$B=BI$1), 0)), 1))),  0.5, 0))</f>
        <v>1</v>
      </c>
      <c r="BJ81" s="47">
        <f t="array" ref="BJ81">IF(AND(ISNUMBER(MATCH(BJ$2, AsistenciaJetAdminConcatenada!$A:$A, 0)), ISNUMBER(MATCH(BJ$1, AsistenciaJetAdminConcatenada!$B:$B, 0)), ISNUMBER(SEARCH($A81,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ISNUMBER(SEARCH($A81, INDEX(AsistenciaJetAdminConcatenada!$D:$D, MATCH(1, (AsistenciaJetAdminConcatenada!$A:$A=BJ$2)*(AsistenciaJetAdminConcatenada!$B:$B=BJ$1), 0)), 1))),  0.5, 0))</f>
        <v>0</v>
      </c>
      <c r="BK81" s="47">
        <f t="array" ref="BK81">IF(AND(ISNUMBER(MATCH(BK$2, AsistenciaJetAdminConcatenada!$A:$A, 0)), ISNUMBER(MATCH(BK$1, AsistenciaJetAdminConcatenada!$B:$B, 0)), ISNUMBER(SEARCH($A81,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ISNUMBER(SEARCH($A81, INDEX(AsistenciaJetAdminConcatenada!$D:$D, MATCH(1, (AsistenciaJetAdminConcatenada!$A:$A=BK$2)*(AsistenciaJetAdminConcatenada!$B:$B=BK$1), 0)), 1))),  0.5, 0))</f>
        <v>1</v>
      </c>
      <c r="BL81" s="47">
        <f t="array" ref="BL81">IF(AND(ISNUMBER(MATCH(BL$2, AsistenciaJetAdminConcatenada!$A:$A, 0)), ISNUMBER(MATCH(BL$1, AsistenciaJetAdminConcatenada!$B:$B, 0)), ISNUMBER(SEARCH($A81,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ISNUMBER(SEARCH($A81, INDEX(AsistenciaJetAdminConcatenada!$D:$D, MATCH(1, (AsistenciaJetAdminConcatenada!$A:$A=BL$2)*(AsistenciaJetAdminConcatenada!$B:$B=BL$1), 0)), 1))),  0.5, 0))</f>
        <v>1</v>
      </c>
      <c r="BM81" s="47">
        <f t="array" ref="BM81">IF(AND(ISNUMBER(MATCH(BM$2, AsistenciaJetAdminConcatenada!$A:$A, 0)), ISNUMBER(MATCH(BM$1, AsistenciaJetAdminConcatenada!$B:$B, 0)), ISNUMBER(SEARCH($A81,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ISNUMBER(SEARCH($A81, INDEX(AsistenciaJetAdminConcatenada!$D:$D, MATCH(1, (AsistenciaJetAdminConcatenada!$A:$A=BM$2)*(AsistenciaJetAdminConcatenada!$B:$B=BM$1), 0)), 1))),  0.5, 0))</f>
        <v>0</v>
      </c>
      <c r="BN81" s="47">
        <f t="array" ref="BN81">IF(AND(ISNUMBER(MATCH(BN$2, AsistenciaJetAdminConcatenada!$A:$A, 0)), ISNUMBER(MATCH(BN$1, AsistenciaJetAdminConcatenada!$B:$B, 0)), ISNUMBER(SEARCH($A81,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ISNUMBER(SEARCH($A81, INDEX(AsistenciaJetAdminConcatenada!$D:$D, MATCH(1, (AsistenciaJetAdminConcatenada!$A:$A=BN$2)*(AsistenciaJetAdminConcatenada!$B:$B=BN$1), 0)), 1))),  0.5, 0))</f>
        <v>0</v>
      </c>
      <c r="BO81" s="47">
        <f t="array" ref="BO81">IF(AND(ISNUMBER(MATCH(BO$2, AsistenciaJetAdminConcatenada!$A:$A, 0)), ISNUMBER(MATCH(BO$1, AsistenciaJetAdminConcatenada!$B:$B, 0)), ISNUMBER(SEARCH($A81,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ISNUMBER(SEARCH($A81, INDEX(AsistenciaJetAdminConcatenada!$D:$D, MATCH(1, (AsistenciaJetAdminConcatenada!$A:$A=BO$2)*(AsistenciaJetAdminConcatenada!$B:$B=BO$1), 0)), 1))),  0.5, 0))</f>
        <v>1</v>
      </c>
      <c r="BP81" s="47">
        <f t="array" ref="BP81">IF(AND(ISNUMBER(MATCH(BP$2, AsistenciaJetAdminConcatenada!$A:$A, 0)), ISNUMBER(MATCH(BP$1, AsistenciaJetAdminConcatenada!$B:$B, 0)), ISNUMBER(SEARCH($A81,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ISNUMBER(SEARCH($A81, INDEX(AsistenciaJetAdminConcatenada!$D:$D, MATCH(1, (AsistenciaJetAdminConcatenada!$A:$A=BP$2)*(AsistenciaJetAdminConcatenada!$B:$B=BP$1), 0)), 1))),  0.5, 0))</f>
        <v>0</v>
      </c>
      <c r="BQ81" s="47">
        <f t="array" ref="BQ81">IF(AND(ISNUMBER(MATCH(BQ$2, AsistenciaJetAdminConcatenada!$A:$A, 0)), ISNUMBER(MATCH(BQ$1, AsistenciaJetAdminConcatenada!$B:$B, 0)), ISNUMBER(SEARCH($A81,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ISNUMBER(SEARCH($A81, INDEX(AsistenciaJetAdminConcatenada!$D:$D, MATCH(1, (AsistenciaJetAdminConcatenada!$A:$A=BQ$2)*(AsistenciaJetAdminConcatenada!$B:$B=BQ$1), 0)), 1))),  0.5, 0))</f>
        <v>1</v>
      </c>
      <c r="BR81" s="47">
        <f t="array" ref="BR81">IF(AND(ISNUMBER(MATCH(BR$2, AsistenciaJetAdminConcatenada!$A:$A, 0)), ISNUMBER(MATCH(BR$1, AsistenciaJetAdminConcatenada!$B:$B, 0)), ISNUMBER(SEARCH($A81,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ISNUMBER(SEARCH($A81, INDEX(AsistenciaJetAdminConcatenada!$D:$D, MATCH(1, (AsistenciaJetAdminConcatenada!$A:$A=BR$2)*(AsistenciaJetAdminConcatenada!$B:$B=BR$1), 0)), 1))),  0.5, 0))</f>
        <v>1</v>
      </c>
      <c r="BS81" s="47">
        <f t="array" ref="BS81">IF(AND(ISNUMBER(MATCH(BS$2, AsistenciaJetAdminConcatenada!$A:$A, 0)), ISNUMBER(MATCH(BS$1, AsistenciaJetAdminConcatenada!$B:$B, 0)), ISNUMBER(SEARCH($A81,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ISNUMBER(SEARCH($A81, INDEX(AsistenciaJetAdminConcatenada!$D:$D, MATCH(1, (AsistenciaJetAdminConcatenada!$A:$A=BS$2)*(AsistenciaJetAdminConcatenada!$B:$B=BS$1), 0)), 1))),  0.5, 0))</f>
        <v>1</v>
      </c>
      <c r="BT81" s="47">
        <f t="array" ref="BT81">IF(AND(ISNUMBER(MATCH(BT$2, AsistenciaJetAdminConcatenada!$A:$A, 0)), ISNUMBER(MATCH(BT$1, AsistenciaJetAdminConcatenada!$B:$B, 0)), ISNUMBER(SEARCH($A81,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ISNUMBER(SEARCH($A81, INDEX(AsistenciaJetAdminConcatenada!$D:$D, MATCH(1, (AsistenciaJetAdminConcatenada!$A:$A=BT$2)*(AsistenciaJetAdminConcatenada!$B:$B=BT$1), 0)), 1))),  0.5, 0))</f>
        <v>0</v>
      </c>
      <c r="BU81" s="47">
        <f t="array" ref="BU81">IF(AND(ISNUMBER(MATCH(BU$2, AsistenciaJetAdminConcatenada!$A:$A, 0)), ISNUMBER(MATCH(BU$1, AsistenciaJetAdminConcatenada!$B:$B, 0)), ISNUMBER(SEARCH($A81,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ISNUMBER(SEARCH($A81, INDEX(AsistenciaJetAdminConcatenada!$D:$D, MATCH(1, (AsistenciaJetAdminConcatenada!$A:$A=BU$2)*(AsistenciaJetAdminConcatenada!$B:$B=BU$1), 0)), 1))),  0.5, 0))</f>
        <v>0</v>
      </c>
      <c r="BV81" s="47">
        <f t="array" ref="BV81">IF(AND(ISNUMBER(MATCH(BV$2, AsistenciaJetAdminConcatenada!$A:$A, 0)), ISNUMBER(MATCH(BV$1, AsistenciaJetAdminConcatenada!$B:$B, 0)), ISNUMBER(SEARCH($A81,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ISNUMBER(SEARCH($A81, INDEX(AsistenciaJetAdminConcatenada!$D:$D, MATCH(1, (AsistenciaJetAdminConcatenada!$A:$A=BV$2)*(AsistenciaJetAdminConcatenada!$B:$B=BV$1), 0)), 1))),  0.5, 0))</f>
        <v>0</v>
      </c>
      <c r="BW81" s="47">
        <f t="array" ref="BW81">IF(AND(ISNUMBER(MATCH(BW$2, AsistenciaJetAdminConcatenada!$A:$A, 0)), ISNUMBER(MATCH(BW$1, AsistenciaJetAdminConcatenada!$B:$B, 0)), ISNUMBER(SEARCH($A81,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ISNUMBER(SEARCH($A81, INDEX(AsistenciaJetAdminConcatenada!$D:$D, MATCH(1, (AsistenciaJetAdminConcatenada!$A:$A=BW$2)*(AsistenciaJetAdminConcatenada!$B:$B=BW$1), 0)), 1))),  0.5, 0))</f>
        <v>0</v>
      </c>
      <c r="BX81" s="47">
        <f t="array" ref="BX81">IF(AND(ISNUMBER(MATCH(BX$2, AsistenciaJetAdminConcatenada!$A:$A, 0)), ISNUMBER(MATCH(BX$1, AsistenciaJetAdminConcatenada!$B:$B, 0)), ISNUMBER(SEARCH($A81,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ISNUMBER(SEARCH($A81, INDEX(AsistenciaJetAdminConcatenada!$D:$D, MATCH(1, (AsistenciaJetAdminConcatenada!$A:$A=BX$2)*(AsistenciaJetAdminConcatenada!$B:$B=BX$1), 0)), 1))),  0.5, 0))</f>
        <v>0</v>
      </c>
      <c r="BY81" s="47">
        <f t="array" ref="BY81">IF(AND(ISNUMBER(MATCH(BY$2, AsistenciaJetAdminConcatenada!$A:$A, 0)), ISNUMBER(MATCH(BY$1, AsistenciaJetAdminConcatenada!$B:$B, 0)), ISNUMBER(SEARCH($A81,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ISNUMBER(SEARCH($A81, INDEX(AsistenciaJetAdminConcatenada!$D:$D, MATCH(1, (AsistenciaJetAdminConcatenada!$A:$A=BY$2)*(AsistenciaJetAdminConcatenada!$B:$B=BY$1), 0)), 1))),  0.5, 0))</f>
        <v>0</v>
      </c>
      <c r="BZ81" s="47">
        <f t="array" ref="BZ81">IF(AND(ISNUMBER(MATCH(BZ$2, AsistenciaJetAdminConcatenada!$A:$A, 0)), ISNUMBER(MATCH(BZ$1, AsistenciaJetAdminConcatenada!$B:$B, 0)), ISNUMBER(SEARCH($A81,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ISNUMBER(SEARCH($A81, INDEX(AsistenciaJetAdminConcatenada!$D:$D, MATCH(1, (AsistenciaJetAdminConcatenada!$A:$A=BZ$2)*(AsistenciaJetAdminConcatenada!$B:$B=BZ$1), 0)), 1))),  0.5, 0))</f>
        <v>1</v>
      </c>
      <c r="CA81" s="47">
        <f t="array" ref="CA81">IF(AND(ISNUMBER(MATCH(CA$2, AsistenciaJetAdminConcatenada!$A:$A, 0)), ISNUMBER(MATCH(CA$1, AsistenciaJetAdminConcatenada!$B:$B, 0)), ISNUMBER(SEARCH($A81,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ISNUMBER(SEARCH($A81, INDEX(AsistenciaJetAdminConcatenada!$D:$D, MATCH(1, (AsistenciaJetAdminConcatenada!$A:$A=CA$2)*(AsistenciaJetAdminConcatenada!$B:$B=CA$1), 0)), 1))),  0.5, 0))</f>
        <v>0.5</v>
      </c>
      <c r="CB81" s="47">
        <f t="array" ref="CB81">IF(AND(ISNUMBER(MATCH(CB$2, AsistenciaJetAdminConcatenada!$A:$A, 0)), ISNUMBER(MATCH(CB$1, AsistenciaJetAdminConcatenada!$B:$B, 0)), ISNUMBER(SEARCH($A81,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ISNUMBER(SEARCH($A81, INDEX(AsistenciaJetAdminConcatenada!$D:$D, MATCH(1, (AsistenciaJetAdminConcatenada!$A:$A=CB$2)*(AsistenciaJetAdminConcatenada!$B:$B=CB$1), 0)), 1))),  0.5, 0))</f>
        <v>0</v>
      </c>
      <c r="CC81" s="47">
        <f t="array" ref="CC81">IF(AND(ISNUMBER(MATCH(CC$2, AsistenciaJetAdminConcatenada!$A:$A, 0)), ISNUMBER(MATCH(CC$1, AsistenciaJetAdminConcatenada!$B:$B, 0)), ISNUMBER(SEARCH($A81,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ISNUMBER(SEARCH($A81, INDEX(AsistenciaJetAdminConcatenada!$D:$D, MATCH(1, (AsistenciaJetAdminConcatenada!$A:$A=CC$2)*(AsistenciaJetAdminConcatenada!$B:$B=CC$1), 0)), 1))),  0.5, 0))</f>
        <v>0</v>
      </c>
      <c r="CD81" s="47">
        <f t="array" ref="CD81">IF(AND(ISNUMBER(MATCH(CD$2, AsistenciaJetAdminConcatenada!$A:$A, 0)), ISNUMBER(MATCH(CD$1, AsistenciaJetAdminConcatenada!$B:$B, 0)), ISNUMBER(SEARCH($A81,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ISNUMBER(SEARCH($A81, INDEX(AsistenciaJetAdminConcatenada!$D:$D, MATCH(1, (AsistenciaJetAdminConcatenada!$A:$A=CD$2)*(AsistenciaJetAdminConcatenada!$B:$B=CD$1), 0)), 1))),  0.5, 0))</f>
        <v>1</v>
      </c>
      <c r="CE81" s="47">
        <f t="array" ref="CE81">IF(AND(ISNUMBER(MATCH(CE$2, AsistenciaJetAdminConcatenada!$A:$A, 0)), ISNUMBER(MATCH(CE$1, AsistenciaJetAdminConcatenada!$B:$B, 0)), ISNUMBER(SEARCH($A81,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ISNUMBER(SEARCH($A81, INDEX(AsistenciaJetAdminConcatenada!$D:$D, MATCH(1, (AsistenciaJetAdminConcatenada!$A:$A=CE$2)*(AsistenciaJetAdminConcatenada!$B:$B=CE$1), 0)), 1))),  0.5, 0))</f>
        <v>1</v>
      </c>
      <c r="CF81" s="47">
        <f t="array" ref="CF81">IF(AND(ISNUMBER(MATCH(CF$2, AsistenciaJetAdminConcatenada!$A:$A, 0)), ISNUMBER(MATCH(CF$1, AsistenciaJetAdminConcatenada!$B:$B, 0)), ISNUMBER(SEARCH($A81,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ISNUMBER(SEARCH($A81, INDEX(AsistenciaJetAdminConcatenada!$D:$D, MATCH(1, (AsistenciaJetAdminConcatenada!$A:$A=CF$2)*(AsistenciaJetAdminConcatenada!$B:$B=CF$1), 0)), 1))),  0.5, 0))</f>
        <v>0</v>
      </c>
      <c r="CG81" s="47">
        <f t="array" ref="CG81">IF(AND(ISNUMBER(MATCH(CG$2, AsistenciaJetAdminConcatenada!$A:$A, 0)), ISNUMBER(MATCH(CG$1, AsistenciaJetAdminConcatenada!$B:$B, 0)), ISNUMBER(SEARCH($A81,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ISNUMBER(SEARCH($A81, INDEX(AsistenciaJetAdminConcatenada!$D:$D, MATCH(1, (AsistenciaJetAdminConcatenada!$A:$A=CG$2)*(AsistenciaJetAdminConcatenada!$B:$B=CG$1), 0)), 1))),  0.5, 0))</f>
        <v>0</v>
      </c>
      <c r="CH81" s="47">
        <f t="array" ref="CH81">IF(AND(ISNUMBER(MATCH(CH$2, AsistenciaJetAdminConcatenada!$A:$A, 0)), ISNUMBER(MATCH(CH$1, AsistenciaJetAdminConcatenada!$B:$B, 0)), ISNUMBER(SEARCH($A81,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ISNUMBER(SEARCH($A81, INDEX(AsistenciaJetAdminConcatenada!$D:$D, MATCH(1, (AsistenciaJetAdminConcatenada!$A:$A=CH$2)*(AsistenciaJetAdminConcatenada!$B:$B=CH$1), 0)), 1))),  0.5, 0))</f>
        <v>0</v>
      </c>
      <c r="CI81" s="47">
        <f t="array" ref="CI81">IF(AND(ISNUMBER(MATCH(CI$2, AsistenciaJetAdminConcatenada!$A:$A, 0)), ISNUMBER(MATCH(CI$1, AsistenciaJetAdminConcatenada!$B:$B, 0)), ISNUMBER(SEARCH($A81,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ISNUMBER(SEARCH($A81, INDEX(AsistenciaJetAdminConcatenada!$D:$D, MATCH(1, (AsistenciaJetAdminConcatenada!$A:$A=CI$2)*(AsistenciaJetAdminConcatenada!$B:$B=CI$1), 0)), 1))),  0.5, 0))</f>
        <v>0</v>
      </c>
      <c r="CJ81" s="47">
        <f t="array" ref="CJ81">IF(AND(ISNUMBER(MATCH(CJ$2, AsistenciaJetAdminConcatenada!$A:$A, 0)), ISNUMBER(MATCH(CJ$1, AsistenciaJetAdminConcatenada!$B:$B, 0)), ISNUMBER(SEARCH($A81,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ISNUMBER(SEARCH($A81, INDEX(AsistenciaJetAdminConcatenada!$D:$D, MATCH(1, (AsistenciaJetAdminConcatenada!$A:$A=CJ$2)*(AsistenciaJetAdminConcatenada!$B:$B=CJ$1), 0)), 1))),  0.5, 0))</f>
        <v>1</v>
      </c>
      <c r="CK81" s="47">
        <f t="array" ref="CK81">IF(AND(ISNUMBER(MATCH(CK$2, AsistenciaJetAdminConcatenada!$A:$A, 0)), ISNUMBER(MATCH(CK$1, AsistenciaJetAdminConcatenada!$B:$B, 0)), ISNUMBER(SEARCH($A81,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ISNUMBER(SEARCH($A81, INDEX(AsistenciaJetAdminConcatenada!$D:$D, MATCH(1, (AsistenciaJetAdminConcatenada!$A:$A=CK$2)*(AsistenciaJetAdminConcatenada!$B:$B=CK$1), 0)), 1))),  0.5, 0))</f>
        <v>0</v>
      </c>
      <c r="CL81" s="47">
        <f t="array" ref="CL81">IF(AND(ISNUMBER(MATCH(CL$2, AsistenciaJetAdminConcatenada!$A:$A, 0)), ISNUMBER(MATCH(CL$1, AsistenciaJetAdminConcatenada!$B:$B, 0)), ISNUMBER(SEARCH($A81,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ISNUMBER(SEARCH($A81, INDEX(AsistenciaJetAdminConcatenada!$D:$D, MATCH(1, (AsistenciaJetAdminConcatenada!$A:$A=CL$2)*(AsistenciaJetAdminConcatenada!$B:$B=CL$1), 0)), 1))),  0.5, 0))</f>
        <v>1</v>
      </c>
      <c r="CM81" s="47">
        <f t="array" ref="CM81">IF(AND(ISNUMBER(MATCH(CM$2, AsistenciaJetAdminConcatenada!$A:$A, 0)), ISNUMBER(MATCH(CM$1, AsistenciaJetAdminConcatenada!$B:$B, 0)), ISNUMBER(SEARCH($A81,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ISNUMBER(SEARCH($A81, INDEX(AsistenciaJetAdminConcatenada!$D:$D, MATCH(1, (AsistenciaJetAdminConcatenada!$A:$A=CM$2)*(AsistenciaJetAdminConcatenada!$B:$B=CM$1), 0)), 1))),  0.5, 0))</f>
        <v>0.5</v>
      </c>
      <c r="CN81" s="47">
        <f t="array" ref="CN81">IF(AND(ISNUMBER(MATCH(CN$2, AsistenciaJetAdminConcatenada!$A:$A, 0)), ISNUMBER(MATCH(CN$1, AsistenciaJetAdminConcatenada!$B:$B, 0)), ISNUMBER(SEARCH($A81,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ISNUMBER(SEARCH($A81, INDEX(AsistenciaJetAdminConcatenada!$D:$D, MATCH(1, (AsistenciaJetAdminConcatenada!$A:$A=CN$2)*(AsistenciaJetAdminConcatenada!$B:$B=CN$1), 0)), 1))),  0.5, 0))</f>
        <v>0</v>
      </c>
      <c r="CO81" s="47">
        <f t="array" ref="CO81">IF(AND(ISNUMBER(MATCH(CO$2, AsistenciaJetAdminConcatenada!$A:$A, 0)), ISNUMBER(MATCH(CO$1, AsistenciaJetAdminConcatenada!$B:$B, 0)), ISNUMBER(SEARCH($A81,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ISNUMBER(SEARCH($A81, INDEX(AsistenciaJetAdminConcatenada!$D:$D, MATCH(1, (AsistenciaJetAdminConcatenada!$A:$A=CO$2)*(AsistenciaJetAdminConcatenada!$B:$B=CO$1), 0)), 1))),  0.5, 0))</f>
        <v>1</v>
      </c>
      <c r="CP81" s="47">
        <f t="array" ref="CP81">IF(AND(ISNUMBER(MATCH(CP$2, AsistenciaJetAdminConcatenada!$A:$A, 0)), ISNUMBER(MATCH(CP$1, AsistenciaJetAdminConcatenada!$B:$B, 0)), ISNUMBER(SEARCH($A81,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ISNUMBER(SEARCH($A81, INDEX(AsistenciaJetAdminConcatenada!$D:$D, MATCH(1, (AsistenciaJetAdminConcatenada!$A:$A=CP$2)*(AsistenciaJetAdminConcatenada!$B:$B=CP$1), 0)), 1))),  0.5, 0))</f>
        <v>0</v>
      </c>
      <c r="CQ81" s="47">
        <f t="array" ref="CQ81">IF(AND(ISNUMBER(MATCH(CQ$2, AsistenciaJetAdminConcatenada!$A:$A, 0)), ISNUMBER(MATCH(CQ$1, AsistenciaJetAdminConcatenada!$B:$B, 0)), ISNUMBER(SEARCH($A81,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ISNUMBER(SEARCH($A81, INDEX(AsistenciaJetAdminConcatenada!$D:$D, MATCH(1, (AsistenciaJetAdminConcatenada!$A:$A=CQ$2)*(AsistenciaJetAdminConcatenada!$B:$B=CQ$1), 0)), 1))),  0.5, 0))</f>
        <v>0</v>
      </c>
      <c r="CR81" s="47">
        <f t="array" ref="CR81">IF(AND(ISNUMBER(MATCH(CR$2, AsistenciaJetAdminConcatenada!$A:$A, 0)), ISNUMBER(MATCH(CR$1, AsistenciaJetAdminConcatenada!$B:$B, 0)), ISNUMBER(SEARCH($A81,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ISNUMBER(SEARCH($A81, INDEX(AsistenciaJetAdminConcatenada!$D:$D, MATCH(1, (AsistenciaJetAdminConcatenada!$A:$A=CR$2)*(AsistenciaJetAdminConcatenada!$B:$B=CR$1), 0)), 1))),  0.5, 0))</f>
        <v>1</v>
      </c>
      <c r="CS81" s="47">
        <f t="array" ref="CS81">IF(AND(ISNUMBER(MATCH(CS$2, AsistenciaJetAdminConcatenada!$A:$A, 0)), ISNUMBER(MATCH(CS$1, AsistenciaJetAdminConcatenada!$B:$B, 0)), ISNUMBER(SEARCH($A81,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ISNUMBER(SEARCH($A81, INDEX(AsistenciaJetAdminConcatenada!$D:$D, MATCH(1, (AsistenciaJetAdminConcatenada!$A:$A=CS$2)*(AsistenciaJetAdminConcatenada!$B:$B=CS$1), 0)), 1))),  0.5, 0))</f>
        <v>0</v>
      </c>
      <c r="CT81" s="47">
        <f t="array" ref="CT81">IF(AND(ISNUMBER(MATCH(CT$2, AsistenciaJetAdminConcatenada!$A:$A, 0)), ISNUMBER(MATCH(CT$1, AsistenciaJetAdminConcatenada!$B:$B, 0)), ISNUMBER(SEARCH($A81,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ISNUMBER(SEARCH($A81, INDEX(AsistenciaJetAdminConcatenada!$D:$D, MATCH(1, (AsistenciaJetAdminConcatenada!$A:$A=CT$2)*(AsistenciaJetAdminConcatenada!$B:$B=CT$1), 0)), 1))),  0.5, 0))</f>
        <v>0</v>
      </c>
      <c r="CU81" s="47">
        <f t="array" ref="CU81">IF(AND(ISNUMBER(MATCH(CU$2, AsistenciaJetAdminConcatenada!$A:$A, 0)), ISNUMBER(MATCH(CU$1, AsistenciaJetAdminConcatenada!$B:$B, 0)), ISNUMBER(SEARCH($A81,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ISNUMBER(SEARCH($A81, INDEX(AsistenciaJetAdminConcatenada!$D:$D, MATCH(1, (AsistenciaJetAdminConcatenada!$A:$A=CU$2)*(AsistenciaJetAdminConcatenada!$B:$B=CU$1), 0)), 1))),  0.5, 0))</f>
        <v>0</v>
      </c>
      <c r="CV81" s="47">
        <f t="array" ref="CV81">IF(AND(ISNUMBER(MATCH(CV$2, AsistenciaJetAdminConcatenada!$A:$A, 0)), ISNUMBER(MATCH(CV$1, AsistenciaJetAdminConcatenada!$B:$B, 0)), ISNUMBER(SEARCH($A81,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ISNUMBER(SEARCH($A81, INDEX(AsistenciaJetAdminConcatenada!$D:$D, MATCH(1, (AsistenciaJetAdminConcatenada!$A:$A=CV$2)*(AsistenciaJetAdminConcatenada!$B:$B=CV$1), 0)), 1))),  0.5, 0))</f>
        <v>0</v>
      </c>
      <c r="CW81" s="47">
        <f t="array" ref="CW81">IF(AND(ISNUMBER(MATCH(CW$2, AsistenciaJetAdminConcatenada!$A:$A, 0)), ISNUMBER(MATCH(CW$1, AsistenciaJetAdminConcatenada!$B:$B, 0)), ISNUMBER(SEARCH($A81,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ISNUMBER(SEARCH($A81, INDEX(AsistenciaJetAdminConcatenada!$D:$D, MATCH(1, (AsistenciaJetAdminConcatenada!$A:$A=CW$2)*(AsistenciaJetAdminConcatenada!$B:$B=CW$1), 0)), 1))),  0.5, 0))</f>
        <v>0</v>
      </c>
      <c r="CX81" s="47">
        <f t="array" ref="CX81">IF(AND(ISNUMBER(MATCH(CX$2, AsistenciaJetAdminConcatenada!$A:$A, 0)), ISNUMBER(MATCH(CX$1, AsistenciaJetAdminConcatenada!$B:$B, 0)), ISNUMBER(SEARCH($A81,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ISNUMBER(SEARCH($A81, INDEX(AsistenciaJetAdminConcatenada!$D:$D, MATCH(1, (AsistenciaJetAdminConcatenada!$A:$A=CX$2)*(AsistenciaJetAdminConcatenada!$B:$B=CX$1), 0)), 1))),  0.5, 0))</f>
        <v>0</v>
      </c>
      <c r="CY81" s="47">
        <f t="array" ref="CY81">IF(AND(ISNUMBER(MATCH(CY$2, AsistenciaJetAdminConcatenada!$A:$A, 0)), ISNUMBER(MATCH(CY$1, AsistenciaJetAdminConcatenada!$B:$B, 0)), ISNUMBER(SEARCH($A81,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ISNUMBER(SEARCH($A81, INDEX(AsistenciaJetAdminConcatenada!$D:$D, MATCH(1, (AsistenciaJetAdminConcatenada!$A:$A=CY$2)*(AsistenciaJetAdminConcatenada!$B:$B=CY$1), 0)), 1))),  0.5, 0))</f>
        <v>0</v>
      </c>
      <c r="CZ81" s="47">
        <f t="array" ref="CZ81">IF(AND(ISNUMBER(MATCH(CZ$2, AsistenciaJetAdminConcatenada!$A:$A, 0)), ISNUMBER(MATCH(CZ$1, AsistenciaJetAdminConcatenada!$B:$B, 0)), ISNUMBER(SEARCH($A81,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ISNUMBER(SEARCH($A81, INDEX(AsistenciaJetAdminConcatenada!$D:$D, MATCH(1, (AsistenciaJetAdminConcatenada!$A:$A=CZ$2)*(AsistenciaJetAdminConcatenada!$B:$B=CZ$1), 0)), 1))),  0.5, 0))</f>
        <v>0</v>
      </c>
      <c r="DA81" s="47">
        <f t="array" ref="DA81">IF(AND(ISNUMBER(MATCH(DA$2, AsistenciaJetAdminConcatenada!$A:$A, 0)), ISNUMBER(MATCH(DA$1, AsistenciaJetAdminConcatenada!$B:$B, 0)), ISNUMBER(SEARCH($A81,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ISNUMBER(SEARCH($A81, INDEX(AsistenciaJetAdminConcatenada!$D:$D, MATCH(1, (AsistenciaJetAdminConcatenada!$A:$A=DA$2)*(AsistenciaJetAdminConcatenada!$B:$B=DA$1), 0)), 1))),  0.5, 0))</f>
        <v>0</v>
      </c>
      <c r="DB81" s="47">
        <f t="array" ref="DB81">IF(AND(ISNUMBER(MATCH(DB$2, AsistenciaJetAdminConcatenada!$A:$A, 0)), ISNUMBER(MATCH(DB$1, AsistenciaJetAdminConcatenada!$B:$B, 0)), ISNUMBER(SEARCH($A81,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ISNUMBER(SEARCH($A81, INDEX(AsistenciaJetAdminConcatenada!$D:$D, MATCH(1, (AsistenciaJetAdminConcatenada!$A:$A=DB$2)*(AsistenciaJetAdminConcatenada!$B:$B=DB$1), 0)), 1))),  0.5, 0))</f>
        <v>0</v>
      </c>
      <c r="DC81" s="47">
        <f t="array" ref="DC81">IF(AND(ISNUMBER(MATCH(DC$2, AsistenciaJetAdminConcatenada!$A:$A, 0)), ISNUMBER(MATCH(DC$1, AsistenciaJetAdminConcatenada!$B:$B, 0)), ISNUMBER(SEARCH($A81,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ISNUMBER(SEARCH($A81, INDEX(AsistenciaJetAdminConcatenada!$D:$D, MATCH(1, (AsistenciaJetAdminConcatenada!$A:$A=DC$2)*(AsistenciaJetAdminConcatenada!$B:$B=DC$1), 0)), 1))),  0.5, 0))</f>
        <v>0</v>
      </c>
      <c r="DD81" s="47">
        <f t="array" ref="DD81">IF(AND(ISNUMBER(MATCH(DD$2, AsistenciaJetAdminConcatenada!$A:$A, 0)), ISNUMBER(MATCH(DD$1, AsistenciaJetAdminConcatenada!$B:$B, 0)), ISNUMBER(SEARCH($A81,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ISNUMBER(SEARCH($A81, INDEX(AsistenciaJetAdminConcatenada!$D:$D, MATCH(1, (AsistenciaJetAdminConcatenada!$A:$A=DD$2)*(AsistenciaJetAdminConcatenada!$B:$B=DD$1), 0)), 1))),  0.5, 0))</f>
        <v>0</v>
      </c>
      <c r="DE81" s="47">
        <f t="array" ref="DE81">IF(AND(ISNUMBER(MATCH(DE$2, AsistenciaJetAdminConcatenada!$A:$A, 0)), ISNUMBER(MATCH(DE$1, AsistenciaJetAdminConcatenada!$B:$B, 0)), ISNUMBER(SEARCH($A81,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ISNUMBER(SEARCH($A81, INDEX(AsistenciaJetAdminConcatenada!$D:$D, MATCH(1, (AsistenciaJetAdminConcatenada!$A:$A=DE$2)*(AsistenciaJetAdminConcatenada!$B:$B=DE$1), 0)), 1))),  0.5, 0))</f>
        <v>0</v>
      </c>
      <c r="DF81" s="47">
        <f t="array" ref="DF81">IF(AND(ISNUMBER(MATCH(DF$2, AsistenciaJetAdminConcatenada!$A:$A, 0)), ISNUMBER(MATCH(DF$1, AsistenciaJetAdminConcatenada!$B:$B, 0)), ISNUMBER(SEARCH($A81,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ISNUMBER(SEARCH($A81, INDEX(AsistenciaJetAdminConcatenada!$D:$D, MATCH(1, (AsistenciaJetAdminConcatenada!$A:$A=DF$2)*(AsistenciaJetAdminConcatenada!$B:$B=DF$1), 0)), 1))),  0.5, 0))</f>
        <v>0</v>
      </c>
      <c r="DG81" s="47">
        <f t="array" ref="DG81">IF(AND(ISNUMBER(MATCH(DG$2, AsistenciaJetAdminConcatenada!$A:$A, 0)), ISNUMBER(MATCH(DG$1, AsistenciaJetAdminConcatenada!$B:$B, 0)), ISNUMBER(SEARCH($A81,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ISNUMBER(SEARCH($A81, INDEX(AsistenciaJetAdminConcatenada!$D:$D, MATCH(1, (AsistenciaJetAdminConcatenada!$A:$A=DG$2)*(AsistenciaJetAdminConcatenada!$B:$B=DG$1), 0)), 1))),  0.5, 0))</f>
        <v>0</v>
      </c>
      <c r="DH81" s="47">
        <f t="array" ref="DH81">IF(AND(ISNUMBER(MATCH(DH$2, AsistenciaJetAdminConcatenada!$A:$A, 0)), ISNUMBER(MATCH(DH$1, AsistenciaJetAdminConcatenada!$B:$B, 0)), ISNUMBER(SEARCH($A81,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ISNUMBER(SEARCH($A81, INDEX(AsistenciaJetAdminConcatenada!$D:$D, MATCH(1, (AsistenciaJetAdminConcatenada!$A:$A=DH$2)*(AsistenciaJetAdminConcatenada!$B:$B=DH$1), 0)), 1))),  0.5, 0))</f>
        <v>0</v>
      </c>
      <c r="DI81" s="47">
        <f t="array" ref="DI81">IF(AND(ISNUMBER(MATCH(DI$2, AsistenciaJetAdminConcatenada!$A:$A, 0)), ISNUMBER(MATCH(DI$1, AsistenciaJetAdminConcatenada!$B:$B, 0)), ISNUMBER(SEARCH($A81,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ISNUMBER(SEARCH($A81, INDEX(AsistenciaJetAdminConcatenada!$D:$D, MATCH(1, (AsistenciaJetAdminConcatenada!$A:$A=DI$2)*(AsistenciaJetAdminConcatenada!$B:$B=DI$1), 0)), 1))),  0.5, 0))</f>
        <v>0</v>
      </c>
      <c r="DJ81" s="47">
        <f t="array" ref="DJ81">IF(AND(ISNUMBER(MATCH(DJ$2, AsistenciaJetAdminConcatenada!$A:$A, 0)), ISNUMBER(MATCH(DJ$1, AsistenciaJetAdminConcatenada!$B:$B, 0)), ISNUMBER(SEARCH($A81,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ISNUMBER(SEARCH($A81, INDEX(AsistenciaJetAdminConcatenada!$D:$D, MATCH(1, (AsistenciaJetAdminConcatenada!$A:$A=DJ$2)*(AsistenciaJetAdminConcatenada!$B:$B=DJ$1), 0)), 1))),  0.5, 0))</f>
        <v>0</v>
      </c>
      <c r="DK81" s="47">
        <f t="array" ref="DK81">IF(AND(ISNUMBER(MATCH(DK$2, AsistenciaJetAdminConcatenada!$A:$A, 0)), ISNUMBER(MATCH(DK$1, AsistenciaJetAdminConcatenada!$B:$B, 0)), ISNUMBER(SEARCH($A81,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ISNUMBER(SEARCH($A81, INDEX(AsistenciaJetAdminConcatenada!$D:$D, MATCH(1, (AsistenciaJetAdminConcatenada!$A:$A=DK$2)*(AsistenciaJetAdminConcatenada!$B:$B=DK$1), 0)), 1))),  0.5, 0))</f>
        <v>0</v>
      </c>
      <c r="DL81" s="47">
        <f t="array" ref="DL81">IF(AND(ISNUMBER(MATCH(DL$2, AsistenciaJetAdminConcatenada!$A:$A, 0)), ISNUMBER(MATCH(DL$1, AsistenciaJetAdminConcatenada!$B:$B, 0)), ISNUMBER(SEARCH($A81,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ISNUMBER(SEARCH($A81, INDEX(AsistenciaJetAdminConcatenada!$D:$D, MATCH(1, (AsistenciaJetAdminConcatenada!$A:$A=DL$2)*(AsistenciaJetAdminConcatenada!$B:$B=DL$1), 0)), 1))),  0.5, 0))</f>
        <v>0</v>
      </c>
      <c r="DM81" s="47">
        <f t="array" ref="DM81">IF(AND(ISNUMBER(MATCH(DM$2, AsistenciaJetAdminConcatenada!$A:$A, 0)), ISNUMBER(MATCH(DM$1, AsistenciaJetAdminConcatenada!$B:$B, 0)), ISNUMBER(SEARCH($A81,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ISNUMBER(SEARCH($A81, INDEX(AsistenciaJetAdminConcatenada!$D:$D, MATCH(1, (AsistenciaJetAdminConcatenada!$A:$A=DM$2)*(AsistenciaJetAdminConcatenada!$B:$B=DM$1), 0)), 1))),  0.5, 0))</f>
        <v>0</v>
      </c>
      <c r="DN81" s="47">
        <f t="array" ref="DN81">IF(AND(ISNUMBER(MATCH(DN$2, AsistenciaJetAdminConcatenada!$A:$A, 0)), ISNUMBER(MATCH(DN$1, AsistenciaJetAdminConcatenada!$B:$B, 0)), ISNUMBER(SEARCH($A81,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ISNUMBER(SEARCH($A81, INDEX(AsistenciaJetAdminConcatenada!$D:$D, MATCH(1, (AsistenciaJetAdminConcatenada!$A:$A=DN$2)*(AsistenciaJetAdminConcatenada!$B:$B=DN$1), 0)), 1))),  0.5, 0))</f>
        <v>0</v>
      </c>
      <c r="DO81" s="47">
        <f t="array" ref="DO81">IF(AND(ISNUMBER(MATCH(DO$2, AsistenciaJetAdminConcatenada!$A:$A, 0)), ISNUMBER(MATCH(DO$1, AsistenciaJetAdminConcatenada!$B:$B, 0)), ISNUMBER(SEARCH($A81,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ISNUMBER(SEARCH($A81, INDEX(AsistenciaJetAdminConcatenada!$D:$D, MATCH(1, (AsistenciaJetAdminConcatenada!$A:$A=DO$2)*(AsistenciaJetAdminConcatenada!$B:$B=DO$1), 0)), 1))),  0.5, 0))</f>
        <v>0</v>
      </c>
      <c r="DP81" s="47">
        <f t="array" ref="DP81">IF(AND(ISNUMBER(MATCH(DP$2, AsistenciaJetAdminConcatenada!$A:$A, 0)), ISNUMBER(MATCH(DP$1, AsistenciaJetAdminConcatenada!$B:$B, 0)), ISNUMBER(SEARCH($A81,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ISNUMBER(SEARCH($A81, INDEX(AsistenciaJetAdminConcatenada!$D:$D, MATCH(1, (AsistenciaJetAdminConcatenada!$A:$A=DP$2)*(AsistenciaJetAdminConcatenada!$B:$B=DP$1), 0)), 1))),  0.5, 0))</f>
        <v>0</v>
      </c>
      <c r="DQ81" s="47">
        <f t="array" ref="DQ81">IF(AND(ISNUMBER(MATCH(DQ$2, AsistenciaJetAdminConcatenada!$A:$A, 0)), ISNUMBER(MATCH(DQ$1, AsistenciaJetAdminConcatenada!$B:$B, 0)), ISNUMBER(SEARCH($A81,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ISNUMBER(SEARCH($A81, INDEX(AsistenciaJetAdminConcatenada!$D:$D, MATCH(1, (AsistenciaJetAdminConcatenada!$A:$A=DQ$2)*(AsistenciaJetAdminConcatenada!$B:$B=DQ$1), 0)), 1))),  0.5, 0))</f>
        <v>0</v>
      </c>
      <c r="DR81" s="47">
        <f t="array" ref="DR81">IF(AND(ISNUMBER(MATCH(DR$2, AsistenciaJetAdminConcatenada!$A:$A, 0)), ISNUMBER(MATCH(DR$1, AsistenciaJetAdminConcatenada!$B:$B, 0)), ISNUMBER(SEARCH($A81,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ISNUMBER(SEARCH($A81, INDEX(AsistenciaJetAdminConcatenada!$D:$D, MATCH(1, (AsistenciaJetAdminConcatenada!$A:$A=DR$2)*(AsistenciaJetAdminConcatenada!$B:$B=DR$1), 0)), 1))),  0.5, 0))</f>
        <v>0</v>
      </c>
      <c r="DS81" s="47">
        <f t="array" ref="DS81">IF(AND(ISNUMBER(MATCH(DS$2, AsistenciaJetAdminConcatenada!$A:$A, 0)), ISNUMBER(MATCH(DS$1, AsistenciaJetAdminConcatenada!$B:$B, 0)), ISNUMBER(SEARCH($A81,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ISNUMBER(SEARCH($A81, INDEX(AsistenciaJetAdminConcatenada!$D:$D, MATCH(1, (AsistenciaJetAdminConcatenada!$A:$A=DS$2)*(AsistenciaJetAdminConcatenada!$B:$B=DS$1), 0)), 1))),  0.5, 0))</f>
        <v>0</v>
      </c>
      <c r="DT81" s="47">
        <f t="array" ref="DT81">IF(AND(ISNUMBER(MATCH(DT$2, AsistenciaJetAdminConcatenada!$A:$A, 0)), ISNUMBER(MATCH(DT$1, AsistenciaJetAdminConcatenada!$B:$B, 0)), ISNUMBER(SEARCH($A81,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ISNUMBER(SEARCH($A81, INDEX(AsistenciaJetAdminConcatenada!$D:$D, MATCH(1, (AsistenciaJetAdminConcatenada!$A:$A=DT$2)*(AsistenciaJetAdminConcatenada!$B:$B=DT$1), 0)), 1))),  0.5, 0))</f>
        <v>0</v>
      </c>
      <c r="DU81" s="47">
        <f t="array" ref="DU81">IF(AND(ISNUMBER(MATCH(DU$2, AsistenciaJetAdminConcatenada!$A:$A, 0)), ISNUMBER(MATCH(DU$1, AsistenciaJetAdminConcatenada!$B:$B, 0)), ISNUMBER(SEARCH($A81,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ISNUMBER(SEARCH($A81, INDEX(AsistenciaJetAdminConcatenada!$D:$D, MATCH(1, (AsistenciaJetAdminConcatenada!$A:$A=DU$2)*(AsistenciaJetAdminConcatenada!$B:$B=DU$1), 0)), 1))),  0.5, 0))</f>
        <v>0</v>
      </c>
      <c r="DV81" s="47">
        <f t="array" ref="DV81">IF(AND(ISNUMBER(MATCH(DV$2, AsistenciaJetAdminConcatenada!$A:$A, 0)), ISNUMBER(MATCH(DV$1, AsistenciaJetAdminConcatenada!$B:$B, 0)), ISNUMBER(SEARCH($A81,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ISNUMBER(SEARCH($A81, INDEX(AsistenciaJetAdminConcatenada!$D:$D, MATCH(1, (AsistenciaJetAdminConcatenada!$A:$A=DV$2)*(AsistenciaJetAdminConcatenada!$B:$B=DV$1), 0)), 1))),  0.5, 0))</f>
        <v>0</v>
      </c>
      <c r="DW81" s="47">
        <f t="array" ref="DW81">IF(AND(ISNUMBER(MATCH(DW$2, AsistenciaJetAdminConcatenada!$A:$A, 0)), ISNUMBER(MATCH(DW$1, AsistenciaJetAdminConcatenada!$B:$B, 0)), ISNUMBER(SEARCH($A81,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ISNUMBER(SEARCH($A81, INDEX(AsistenciaJetAdminConcatenada!$D:$D, MATCH(1, (AsistenciaJetAdminConcatenada!$A:$A=DW$2)*(AsistenciaJetAdminConcatenada!$B:$B=DW$1), 0)), 1))),  0.5, 0))</f>
        <v>0</v>
      </c>
      <c r="DX81" s="47">
        <f t="array" ref="DX81">IF(AND(ISNUMBER(MATCH(DX$2, AsistenciaJetAdminConcatenada!$A:$A, 0)), ISNUMBER(MATCH(DX$1, AsistenciaJetAdminConcatenada!$B:$B, 0)), ISNUMBER(SEARCH($A81,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ISNUMBER(SEARCH($A81, INDEX(AsistenciaJetAdminConcatenada!$D:$D, MATCH(1, (AsistenciaJetAdminConcatenada!$A:$A=DX$2)*(AsistenciaJetAdminConcatenada!$B:$B=DX$1), 0)), 1))),  0.5, 0))</f>
        <v>0</v>
      </c>
      <c r="DY81" s="47">
        <f t="array" ref="DY81">IF(AND(ISNUMBER(MATCH(DY$2, AsistenciaJetAdminConcatenada!$A:$A, 0)), ISNUMBER(MATCH(DY$1, AsistenciaJetAdminConcatenada!$B:$B, 0)), ISNUMBER(SEARCH($A81,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ISNUMBER(SEARCH($A81, INDEX(AsistenciaJetAdminConcatenada!$D:$D, MATCH(1, (AsistenciaJetAdminConcatenada!$A:$A=DY$2)*(AsistenciaJetAdminConcatenada!$B:$B=DY$1), 0)), 1))),  0.5, 0))</f>
        <v>0</v>
      </c>
      <c r="DZ81" s="47">
        <f t="array" ref="DZ81">IF(AND(ISNUMBER(MATCH(DZ$2, AsistenciaJetAdminConcatenada!$A:$A, 0)), ISNUMBER(MATCH(DZ$1, AsistenciaJetAdminConcatenada!$B:$B, 0)), ISNUMBER(SEARCH($A81,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ISNUMBER(SEARCH($A81, INDEX(AsistenciaJetAdminConcatenada!$D:$D, MATCH(1, (AsistenciaJetAdminConcatenada!$A:$A=DZ$2)*(AsistenciaJetAdminConcatenada!$B:$B=DZ$1), 0)), 1))),  0.5, 0))</f>
        <v>0</v>
      </c>
      <c r="EA81" s="47">
        <f t="array" ref="EA81">IF(AND(ISNUMBER(MATCH(EA$2, AsistenciaJetAdminConcatenada!$A:$A, 0)), ISNUMBER(MATCH(EA$1, AsistenciaJetAdminConcatenada!$B:$B, 0)), ISNUMBER(SEARCH($A81,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ISNUMBER(SEARCH($A81, INDEX(AsistenciaJetAdminConcatenada!$D:$D, MATCH(1, (AsistenciaJetAdminConcatenada!$A:$A=EA$2)*(AsistenciaJetAdminConcatenada!$B:$B=EA$1), 0)), 1))),  0.5, 0))</f>
        <v>0</v>
      </c>
      <c r="EB81" s="47">
        <f t="array" ref="EB81">IF(AND(ISNUMBER(MATCH(EB$2, AsistenciaJetAdminConcatenada!$A:$A, 0)), ISNUMBER(MATCH(EB$1, AsistenciaJetAdminConcatenada!$B:$B, 0)), ISNUMBER(SEARCH($A81,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ISNUMBER(SEARCH($A81, INDEX(AsistenciaJetAdminConcatenada!$D:$D, MATCH(1, (AsistenciaJetAdminConcatenada!$A:$A=EB$2)*(AsistenciaJetAdminConcatenada!$B:$B=EB$1), 0)), 1))),  0.5, 0))</f>
        <v>0</v>
      </c>
      <c r="EC81" s="47">
        <f t="array" ref="EC81">IF(AND(ISNUMBER(MATCH(EC$2, AsistenciaJetAdminConcatenada!$A:$A, 0)), ISNUMBER(MATCH(EC$1, AsistenciaJetAdminConcatenada!$B:$B, 0)), ISNUMBER(SEARCH($A81,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ISNUMBER(SEARCH($A81, INDEX(AsistenciaJetAdminConcatenada!$D:$D, MATCH(1, (AsistenciaJetAdminConcatenada!$A:$A=EC$2)*(AsistenciaJetAdminConcatenada!$B:$B=EC$1), 0)), 1))),  0.5, 0))</f>
        <v>0</v>
      </c>
      <c r="ED81" s="47">
        <f t="array" ref="ED81">IF(AND(ISNUMBER(MATCH(ED$2, AsistenciaJetAdminConcatenada!$A:$A, 0)), ISNUMBER(MATCH(ED$1, AsistenciaJetAdminConcatenada!$B:$B, 0)), ISNUMBER(SEARCH($A81,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ISNUMBER(SEARCH($A81, INDEX(AsistenciaJetAdminConcatenada!$D:$D, MATCH(1, (AsistenciaJetAdminConcatenada!$A:$A=ED$2)*(AsistenciaJetAdminConcatenada!$B:$B=ED$1), 0)), 1))),  0.5, 0))</f>
        <v>0</v>
      </c>
      <c r="EE81" s="47">
        <f t="array" ref="EE81">IF(AND(ISNUMBER(MATCH(EE$2, AsistenciaJetAdminConcatenada!$A:$A, 0)), ISNUMBER(MATCH(EE$1, AsistenciaJetAdminConcatenada!$B:$B, 0)), ISNUMBER(SEARCH($A81,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ISNUMBER(SEARCH($A81, INDEX(AsistenciaJetAdminConcatenada!$D:$D, MATCH(1, (AsistenciaJetAdminConcatenada!$A:$A=EE$2)*(AsistenciaJetAdminConcatenada!$B:$B=EE$1), 0)), 1))),  0.5, 0))</f>
        <v>0</v>
      </c>
      <c r="EF81" s="47">
        <f t="array" ref="EF81">IF(AND(ISNUMBER(MATCH(EF$2, AsistenciaJetAdminConcatenada!$A:$A, 0)), ISNUMBER(MATCH(EF$1, AsistenciaJetAdminConcatenada!$B:$B, 0)), ISNUMBER(SEARCH($A81,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ISNUMBER(SEARCH($A81, INDEX(AsistenciaJetAdminConcatenada!$D:$D, MATCH(1, (AsistenciaJetAdminConcatenada!$A:$A=EF$2)*(AsistenciaJetAdminConcatenada!$B:$B=EF$1), 0)), 1))),  0.5, 0))</f>
        <v>0</v>
      </c>
      <c r="EG81" s="47">
        <f t="array" ref="EG81">IF(AND(ISNUMBER(MATCH(EG$2, AsistenciaJetAdminConcatenada!$A:$A, 0)), ISNUMBER(MATCH(EG$1, AsistenciaJetAdminConcatenada!$B:$B, 0)), ISNUMBER(SEARCH($A81,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ISNUMBER(SEARCH($A81, INDEX(AsistenciaJetAdminConcatenada!$D:$D, MATCH(1, (AsistenciaJetAdminConcatenada!$A:$A=EG$2)*(AsistenciaJetAdminConcatenada!$B:$B=EG$1), 0)), 1))),  0.5, 0))</f>
        <v>0</v>
      </c>
      <c r="EH81" s="47">
        <f t="array" ref="EH81">IF(AND(ISNUMBER(MATCH(EH$2, AsistenciaJetAdminConcatenada!$A:$A, 0)), ISNUMBER(MATCH(EH$1, AsistenciaJetAdminConcatenada!$B:$B, 0)), ISNUMBER(SEARCH($A81,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ISNUMBER(SEARCH($A81, INDEX(AsistenciaJetAdminConcatenada!$D:$D, MATCH(1, (AsistenciaJetAdminConcatenada!$A:$A=EH$2)*(AsistenciaJetAdminConcatenada!$B:$B=EH$1), 0)), 1))),  0.5, 0))</f>
        <v>0</v>
      </c>
      <c r="EI81" s="47">
        <f t="array" ref="EI81">IF(AND(ISNUMBER(MATCH(EI$2, AsistenciaJetAdminConcatenada!$A:$A, 0)), ISNUMBER(MATCH(EI$1, AsistenciaJetAdminConcatenada!$B:$B, 0)), ISNUMBER(SEARCH($A81,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ISNUMBER(SEARCH($A81, INDEX(AsistenciaJetAdminConcatenada!$D:$D, MATCH(1, (AsistenciaJetAdminConcatenada!$A:$A=EI$2)*(AsistenciaJetAdminConcatenada!$B:$B=EI$1), 0)), 1))),  0.5, 0))</f>
        <v>0</v>
      </c>
      <c r="EJ81" s="47">
        <f t="array" ref="EJ81">IF(AND(ISNUMBER(MATCH(EJ$2, AsistenciaJetAdminConcatenada!$A:$A, 0)), ISNUMBER(MATCH(EJ$1, AsistenciaJetAdminConcatenada!$B:$B, 0)), ISNUMBER(SEARCH($A81,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ISNUMBER(SEARCH($A81, INDEX(AsistenciaJetAdminConcatenada!$D:$D, MATCH(1, (AsistenciaJetAdminConcatenada!$A:$A=EJ$2)*(AsistenciaJetAdminConcatenada!$B:$B=EJ$1), 0)), 1))),  0.5, 0))</f>
        <v>0</v>
      </c>
      <c r="EK81" s="47">
        <f t="array" ref="EK81">IF(AND(ISNUMBER(MATCH(EK$2, AsistenciaJetAdminConcatenada!$A:$A, 0)), ISNUMBER(MATCH(EK$1, AsistenciaJetAdminConcatenada!$B:$B, 0)), ISNUMBER(SEARCH($A81,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ISNUMBER(SEARCH($A81, INDEX(AsistenciaJetAdminConcatenada!$D:$D, MATCH(1, (AsistenciaJetAdminConcatenada!$A:$A=EK$2)*(AsistenciaJetAdminConcatenada!$B:$B=EK$1), 0)), 1))),  0.5, 0))</f>
        <v>0</v>
      </c>
      <c r="EL81" s="47">
        <f t="array" ref="EL81">IF(AND(ISNUMBER(MATCH(EL$2, AsistenciaJetAdminConcatenada!$A:$A, 0)), ISNUMBER(MATCH(EL$1, AsistenciaJetAdminConcatenada!$B:$B, 0)), ISNUMBER(SEARCH($A81,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ISNUMBER(SEARCH($A81, INDEX(AsistenciaJetAdminConcatenada!$D:$D, MATCH(1, (AsistenciaJetAdminConcatenada!$A:$A=EL$2)*(AsistenciaJetAdminConcatenada!$B:$B=EL$1), 0)), 1))),  0.5, 0))</f>
        <v>0</v>
      </c>
      <c r="EM81" s="47">
        <f t="array" ref="EM81">IF(AND(ISNUMBER(MATCH(EM$2, AsistenciaJetAdminConcatenada!$A:$A, 0)), ISNUMBER(MATCH(EM$1, AsistenciaJetAdminConcatenada!$B:$B, 0)), ISNUMBER(SEARCH($A81,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ISNUMBER(SEARCH($A81, INDEX(AsistenciaJetAdminConcatenada!$D:$D, MATCH(1, (AsistenciaJetAdminConcatenada!$A:$A=EM$2)*(AsistenciaJetAdminConcatenada!$B:$B=EM$1), 0)), 1))),  0.5, 0))</f>
        <v>0</v>
      </c>
      <c r="EN81" s="47">
        <f t="array" ref="EN81">IF(AND(ISNUMBER(MATCH(EN$2, AsistenciaJetAdminConcatenada!$A:$A, 0)), ISNUMBER(MATCH(EN$1, AsistenciaJetAdminConcatenada!$B:$B, 0)), ISNUMBER(SEARCH($A81,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ISNUMBER(SEARCH($A81, INDEX(AsistenciaJetAdminConcatenada!$D:$D, MATCH(1, (AsistenciaJetAdminConcatenada!$A:$A=EN$2)*(AsistenciaJetAdminConcatenada!$B:$B=EN$1), 0)), 1))),  0.5, 0))</f>
        <v>0</v>
      </c>
      <c r="EO81" s="47">
        <f t="array" ref="EO81">IF(AND(ISNUMBER(MATCH(EO$2, AsistenciaJetAdminConcatenada!$A:$A, 0)), ISNUMBER(MATCH(EO$1, AsistenciaJetAdminConcatenada!$B:$B, 0)), ISNUMBER(SEARCH($A81,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ISNUMBER(SEARCH($A81, INDEX(AsistenciaJetAdminConcatenada!$D:$D, MATCH(1, (AsistenciaJetAdminConcatenada!$A:$A=EO$2)*(AsistenciaJetAdminConcatenada!$B:$B=EO$1), 0)), 1))),  0.5, 0))</f>
        <v>0</v>
      </c>
      <c r="EP81" s="47">
        <f t="array" ref="EP81">IF(AND(ISNUMBER(MATCH(EP$2, AsistenciaJetAdminConcatenada!$A:$A, 0)), ISNUMBER(MATCH(EP$1, AsistenciaJetAdminConcatenada!$B:$B, 0)), ISNUMBER(SEARCH($A81,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ISNUMBER(SEARCH($A81, INDEX(AsistenciaJetAdminConcatenada!$D:$D, MATCH(1, (AsistenciaJetAdminConcatenada!$A:$A=EP$2)*(AsistenciaJetAdminConcatenada!$B:$B=EP$1), 0)), 1))),  0.5, 0))</f>
        <v>0</v>
      </c>
      <c r="EQ81" s="47">
        <f t="array" ref="EQ81">IF(AND(ISNUMBER(MATCH(EQ$2, AsistenciaJetAdminConcatenada!$A:$A, 0)), ISNUMBER(MATCH(EQ$1, AsistenciaJetAdminConcatenada!$B:$B, 0)), ISNUMBER(SEARCH($A81,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ISNUMBER(SEARCH($A81, INDEX(AsistenciaJetAdminConcatenada!$D:$D, MATCH(1, (AsistenciaJetAdminConcatenada!$A:$A=EQ$2)*(AsistenciaJetAdminConcatenada!$B:$B=EQ$1), 0)), 1))),  0.5, 0))</f>
        <v>0</v>
      </c>
      <c r="ER81" s="47">
        <f t="array" ref="ER81">IF(AND(ISNUMBER(MATCH(ER$2, AsistenciaJetAdminConcatenada!$A:$A, 0)), ISNUMBER(MATCH(ER$1, AsistenciaJetAdminConcatenada!$B:$B, 0)), ISNUMBER(SEARCH($A81,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ISNUMBER(SEARCH($A81, INDEX(AsistenciaJetAdminConcatenada!$D:$D, MATCH(1, (AsistenciaJetAdminConcatenada!$A:$A=ER$2)*(AsistenciaJetAdminConcatenada!$B:$B=ER$1), 0)), 1))),  0.5, 0))</f>
        <v>0</v>
      </c>
      <c r="ES81" s="47">
        <f t="array" ref="ES81">IF(AND(ISNUMBER(MATCH(ES$2, AsistenciaJetAdminConcatenada!$A:$A, 0)), ISNUMBER(MATCH(ES$1, AsistenciaJetAdminConcatenada!$B:$B, 0)), ISNUMBER(SEARCH($A81,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ISNUMBER(SEARCH($A81, INDEX(AsistenciaJetAdminConcatenada!$D:$D, MATCH(1, (AsistenciaJetAdminConcatenada!$A:$A=ES$2)*(AsistenciaJetAdminConcatenada!$B:$B=ES$1), 0)), 1))),  0.5, 0))</f>
        <v>0</v>
      </c>
      <c r="ET81" s="47">
        <f t="array" ref="ET81">IF(AND(ISNUMBER(MATCH(ET$2, AsistenciaJetAdminConcatenada!$A:$A, 0)), ISNUMBER(MATCH(ET$1, AsistenciaJetAdminConcatenada!$B:$B, 0)), ISNUMBER(SEARCH($A81,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ISNUMBER(SEARCH($A81, INDEX(AsistenciaJetAdminConcatenada!$D:$D, MATCH(1, (AsistenciaJetAdminConcatenada!$A:$A=ET$2)*(AsistenciaJetAdminConcatenada!$B:$B=ET$1), 0)), 1))),  0.5, 0))</f>
        <v>0</v>
      </c>
      <c r="EU81" s="47">
        <f t="array" ref="EU81">IF(AND(ISNUMBER(MATCH(EU$2, AsistenciaJetAdminConcatenada!$A:$A, 0)), ISNUMBER(MATCH(EU$1, AsistenciaJetAdminConcatenada!$B:$B, 0)), ISNUMBER(SEARCH($A81,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ISNUMBER(SEARCH($A81, INDEX(AsistenciaJetAdminConcatenada!$D:$D, MATCH(1, (AsistenciaJetAdminConcatenada!$A:$A=EU$2)*(AsistenciaJetAdminConcatenada!$B:$B=EU$1), 0)), 1))),  0.5, 0))</f>
        <v>0</v>
      </c>
      <c r="EV81" s="47">
        <f t="array" ref="EV81">IF(AND(ISNUMBER(MATCH(EV$2, AsistenciaJetAdminConcatenada!$A:$A, 0)), ISNUMBER(MATCH(EV$1, AsistenciaJetAdminConcatenada!$B:$B, 0)), ISNUMBER(SEARCH($A81,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ISNUMBER(SEARCH($A81, INDEX(AsistenciaJetAdminConcatenada!$D:$D, MATCH(1, (AsistenciaJetAdminConcatenada!$A:$A=EV$2)*(AsistenciaJetAdminConcatenada!$B:$B=EV$1), 0)), 1))),  0.5, 0))</f>
        <v>0</v>
      </c>
      <c r="EW81" s="47">
        <f t="array" ref="EW81">IF(AND(ISNUMBER(MATCH(EW$2, AsistenciaJetAdminConcatenada!$A:$A, 0)), ISNUMBER(MATCH(EW$1, AsistenciaJetAdminConcatenada!$B:$B, 0)), ISNUMBER(SEARCH($A81,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ISNUMBER(SEARCH($A81, INDEX(AsistenciaJetAdminConcatenada!$D:$D, MATCH(1, (AsistenciaJetAdminConcatenada!$A:$A=EW$2)*(AsistenciaJetAdminConcatenada!$B:$B=EW$1), 0)), 1))),  0.5, 0))</f>
        <v>0</v>
      </c>
      <c r="EX81" s="47">
        <f t="array" ref="EX81">IF(AND(ISNUMBER(MATCH(EX$2, AsistenciaJetAdminConcatenada!$A:$A, 0)), ISNUMBER(MATCH(EX$1, AsistenciaJetAdminConcatenada!$B:$B, 0)), ISNUMBER(SEARCH($A81,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ISNUMBER(SEARCH($A81, INDEX(AsistenciaJetAdminConcatenada!$D:$D, MATCH(1, (AsistenciaJetAdminConcatenada!$A:$A=EX$2)*(AsistenciaJetAdminConcatenada!$B:$B=EX$1), 0)), 1))),  0.5, 0))</f>
        <v>0</v>
      </c>
      <c r="EY81" s="47">
        <f t="array" ref="EY81">IF(AND(ISNUMBER(MATCH(EY$2, AsistenciaJetAdminConcatenada!$A:$A, 0)), ISNUMBER(MATCH(EY$1, AsistenciaJetAdminConcatenada!$B:$B, 0)), ISNUMBER(SEARCH($A81,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ISNUMBER(SEARCH($A81, INDEX(AsistenciaJetAdminConcatenada!$D:$D, MATCH(1, (AsistenciaJetAdminConcatenada!$A:$A=EY$2)*(AsistenciaJetAdminConcatenada!$B:$B=EY$1), 0)), 1))),  0.5, 0))</f>
        <v>0</v>
      </c>
      <c r="EZ81" s="47">
        <f t="array" ref="EZ81">IF(AND(ISNUMBER(MATCH(EZ$2, AsistenciaJetAdminConcatenada!$A:$A, 0)), ISNUMBER(MATCH(EZ$1, AsistenciaJetAdminConcatenada!$B:$B, 0)), ISNUMBER(SEARCH($A81,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ISNUMBER(SEARCH($A81, INDEX(AsistenciaJetAdminConcatenada!$D:$D, MATCH(1, (AsistenciaJetAdminConcatenada!$A:$A=EZ$2)*(AsistenciaJetAdminConcatenada!$B:$B=EZ$1), 0)), 1))),  0.5, 0))</f>
        <v>0</v>
      </c>
      <c r="FA81" s="47">
        <f t="array" ref="FA81">IF(AND(ISNUMBER(MATCH(FA$2, AsistenciaJetAdminConcatenada!$A:$A, 0)), ISNUMBER(MATCH(FA$1, AsistenciaJetAdminConcatenada!$B:$B, 0)), ISNUMBER(SEARCH($A81,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ISNUMBER(SEARCH($A81, INDEX(AsistenciaJetAdminConcatenada!$D:$D, MATCH(1, (AsistenciaJetAdminConcatenada!$A:$A=FA$2)*(AsistenciaJetAdminConcatenada!$B:$B=FA$1), 0)), 1))),  0.5, 0))</f>
        <v>0</v>
      </c>
      <c r="FB81" s="47">
        <f t="array" ref="FB81">IF(AND(ISNUMBER(MATCH(FB$2, AsistenciaJetAdminConcatenada!$A:$A, 0)), ISNUMBER(MATCH(FB$1, AsistenciaJetAdminConcatenada!$B:$B, 0)), ISNUMBER(SEARCH($A81,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ISNUMBER(SEARCH($A81, INDEX(AsistenciaJetAdminConcatenada!$D:$D, MATCH(1, (AsistenciaJetAdminConcatenada!$A:$A=FB$2)*(AsistenciaJetAdminConcatenada!$B:$B=FB$1), 0)), 1))),  0.5, 0))</f>
        <v>0</v>
      </c>
      <c r="FC81" s="47">
        <f t="array" ref="FC81">IF(AND(ISNUMBER(MATCH(FC$2, AsistenciaJetAdminConcatenada!$A:$A, 0)), ISNUMBER(MATCH(FC$1, AsistenciaJetAdminConcatenada!$B:$B, 0)), ISNUMBER(SEARCH($A81,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ISNUMBER(SEARCH($A81, INDEX(AsistenciaJetAdminConcatenada!$D:$D, MATCH(1, (AsistenciaJetAdminConcatenada!$A:$A=FC$2)*(AsistenciaJetAdminConcatenada!$B:$B=FC$1), 0)), 1))),  0.5, 0))</f>
        <v>0</v>
      </c>
      <c r="FD81" s="47">
        <f t="array" ref="FD81">IF(AND(ISNUMBER(MATCH(FD$2, AsistenciaJetAdminConcatenada!$A:$A, 0)), ISNUMBER(MATCH(FD$1, AsistenciaJetAdminConcatenada!$B:$B, 0)), ISNUMBER(SEARCH($A81,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ISNUMBER(SEARCH($A81, INDEX(AsistenciaJetAdminConcatenada!$D:$D, MATCH(1, (AsistenciaJetAdminConcatenada!$A:$A=FD$2)*(AsistenciaJetAdminConcatenada!$B:$B=FD$1), 0)), 1))),  0.5, 0))</f>
        <v>0</v>
      </c>
      <c r="FE81" s="47">
        <f t="array" ref="FE81">IF(AND(ISNUMBER(MATCH(FE$2, AsistenciaJetAdminConcatenada!$A:$A, 0)), ISNUMBER(MATCH(FE$1, AsistenciaJetAdminConcatenada!$B:$B, 0)), ISNUMBER(SEARCH($A81,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ISNUMBER(SEARCH($A81, INDEX(AsistenciaJetAdminConcatenada!$D:$D, MATCH(1, (AsistenciaJetAdminConcatenada!$A:$A=FE$2)*(AsistenciaJetAdminConcatenada!$B:$B=FE$1), 0)), 1))),  0.5, 0))</f>
        <v>0</v>
      </c>
      <c r="FF81" s="47">
        <f t="array" ref="FF81">IF(AND(ISNUMBER(MATCH(FF$2, AsistenciaJetAdminConcatenada!$A:$A, 0)), ISNUMBER(MATCH(FF$1, AsistenciaJetAdminConcatenada!$B:$B, 0)), ISNUMBER(SEARCH($A81,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ISNUMBER(SEARCH($A81, INDEX(AsistenciaJetAdminConcatenada!$D:$D, MATCH(1, (AsistenciaJetAdminConcatenada!$A:$A=FF$2)*(AsistenciaJetAdminConcatenada!$B:$B=FF$1), 0)), 1))),  0.5, 0))</f>
        <v>0</v>
      </c>
      <c r="FG81" s="47">
        <f t="array" ref="FG81">IF(AND(ISNUMBER(MATCH(FG$2, AsistenciaJetAdminConcatenada!$A:$A, 0)), ISNUMBER(MATCH(FG$1, AsistenciaJetAdminConcatenada!$B:$B, 0)), ISNUMBER(SEARCH($A81,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ISNUMBER(SEARCH($A81, INDEX(AsistenciaJetAdminConcatenada!$D:$D, MATCH(1, (AsistenciaJetAdminConcatenada!$A:$A=FG$2)*(AsistenciaJetAdminConcatenada!$B:$B=FG$1), 0)), 1))),  0.5, 0))</f>
        <v>0</v>
      </c>
      <c r="FH81" s="47">
        <f t="array" ref="FH81">IF(AND(ISNUMBER(MATCH(FH$2, AsistenciaJetAdminConcatenada!$A:$A, 0)), ISNUMBER(MATCH(FH$1, AsistenciaJetAdminConcatenada!$B:$B, 0)), ISNUMBER(SEARCH($A81,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ISNUMBER(SEARCH($A81, INDEX(AsistenciaJetAdminConcatenada!$D:$D, MATCH(1, (AsistenciaJetAdminConcatenada!$A:$A=FH$2)*(AsistenciaJetAdminConcatenada!$B:$B=FH$1), 0)), 1))),  0.5, 0))</f>
        <v>0</v>
      </c>
      <c r="FI81" s="47">
        <f t="array" ref="FI81">IF(AND(ISNUMBER(MATCH(FI$2, AsistenciaJetAdminConcatenada!$A:$A, 0)), ISNUMBER(MATCH(FI$1, AsistenciaJetAdminConcatenada!$B:$B, 0)), ISNUMBER(SEARCH($A81,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ISNUMBER(SEARCH($A81, INDEX(AsistenciaJetAdminConcatenada!$D:$D, MATCH(1, (AsistenciaJetAdminConcatenada!$A:$A=FI$2)*(AsistenciaJetAdminConcatenada!$B:$B=FI$1), 0)), 1))),  0.5, 0))</f>
        <v>0</v>
      </c>
      <c r="FJ81" s="47">
        <f t="array" ref="FJ81">IF(AND(ISNUMBER(MATCH(FJ$2, AsistenciaJetAdminConcatenada!$A:$A, 0)), ISNUMBER(MATCH(FJ$1, AsistenciaJetAdminConcatenada!$B:$B, 0)), ISNUMBER(SEARCH($A81,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ISNUMBER(SEARCH($A81, INDEX(AsistenciaJetAdminConcatenada!$D:$D, MATCH(1, (AsistenciaJetAdminConcatenada!$A:$A=FJ$2)*(AsistenciaJetAdminConcatenada!$B:$B=FJ$1), 0)), 1))),  0.5, 0))</f>
        <v>0</v>
      </c>
      <c r="FK81" s="47">
        <f t="array" ref="FK81">IF(AND(ISNUMBER(MATCH(FK$2, AsistenciaJetAdminConcatenada!$A:$A, 0)), ISNUMBER(MATCH(FK$1, AsistenciaJetAdminConcatenada!$B:$B, 0)), ISNUMBER(SEARCH($A81,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ISNUMBER(SEARCH($A81, INDEX(AsistenciaJetAdminConcatenada!$D:$D, MATCH(1, (AsistenciaJetAdminConcatenada!$A:$A=FK$2)*(AsistenciaJetAdminConcatenada!$B:$B=FK$1), 0)), 1))),  0.5, 0))</f>
        <v>0</v>
      </c>
      <c r="FL81" s="47">
        <f t="array" ref="FL81">IF(AND(ISNUMBER(MATCH(FL$2, AsistenciaJetAdminConcatenada!$A:$A, 0)), ISNUMBER(MATCH(FL$1, AsistenciaJetAdminConcatenada!$B:$B, 0)), ISNUMBER(SEARCH($A81,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ISNUMBER(SEARCH($A81, INDEX(AsistenciaJetAdminConcatenada!$D:$D, MATCH(1, (AsistenciaJetAdminConcatenada!$A:$A=FL$2)*(AsistenciaJetAdminConcatenada!$B:$B=FL$1), 0)), 1))),  0.5, 0))</f>
        <v>0</v>
      </c>
      <c r="FM81" s="47">
        <f t="array" ref="FM81">IF(AND(ISNUMBER(MATCH(FM$2, AsistenciaJetAdminConcatenada!$A:$A, 0)), ISNUMBER(MATCH(FM$1, AsistenciaJetAdminConcatenada!$B:$B, 0)), ISNUMBER(SEARCH($A81,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ISNUMBER(SEARCH($A81, INDEX(AsistenciaJetAdminConcatenada!$D:$D, MATCH(1, (AsistenciaJetAdminConcatenada!$A:$A=FM$2)*(AsistenciaJetAdminConcatenada!$B:$B=FM$1), 0)), 1))),  0.5, 0))</f>
        <v>0</v>
      </c>
      <c r="FN81" s="47">
        <f t="array" ref="FN81">IF(AND(ISNUMBER(MATCH(FN$2, AsistenciaJetAdminConcatenada!$A:$A, 0)), ISNUMBER(MATCH(FN$1, AsistenciaJetAdminConcatenada!$B:$B, 0)), ISNUMBER(SEARCH($A81,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ISNUMBER(SEARCH($A81, INDEX(AsistenciaJetAdminConcatenada!$D:$D, MATCH(1, (AsistenciaJetAdminConcatenada!$A:$A=FN$2)*(AsistenciaJetAdminConcatenada!$B:$B=FN$1), 0)), 1))),  0.5, 0))</f>
        <v>0</v>
      </c>
      <c r="FO81" s="47">
        <f t="array" ref="FO81">IF(AND(ISNUMBER(MATCH(FO$2, AsistenciaJetAdminConcatenada!$A:$A, 0)), ISNUMBER(MATCH(FO$1, AsistenciaJetAdminConcatenada!$B:$B, 0)), ISNUMBER(SEARCH($A81,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ISNUMBER(SEARCH($A81, INDEX(AsistenciaJetAdminConcatenada!$D:$D, MATCH(1, (AsistenciaJetAdminConcatenada!$A:$A=FO$2)*(AsistenciaJetAdminConcatenada!$B:$B=FO$1), 0)), 1))),  0.5, 0))</f>
        <v>0</v>
      </c>
      <c r="FP81" s="47">
        <f t="array" ref="FP81">IF(AND(ISNUMBER(MATCH(FP$2, AsistenciaJetAdminConcatenada!$A:$A, 0)), ISNUMBER(MATCH(FP$1, AsistenciaJetAdminConcatenada!$B:$B, 0)), ISNUMBER(SEARCH($A81,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ISNUMBER(SEARCH($A81, INDEX(AsistenciaJetAdminConcatenada!$D:$D, MATCH(1, (AsistenciaJetAdminConcatenada!$A:$A=FP$2)*(AsistenciaJetAdminConcatenada!$B:$B=FP$1), 0)), 1))),  0.5, 0))</f>
        <v>0</v>
      </c>
      <c r="FQ81" s="47">
        <f t="array" ref="FQ81">IF(AND(ISNUMBER(MATCH(FQ$2, AsistenciaJetAdminConcatenada!$A:$A, 0)), ISNUMBER(MATCH(FQ$1, AsistenciaJetAdminConcatenada!$B:$B, 0)), ISNUMBER(SEARCH($A81,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ISNUMBER(SEARCH($A81, INDEX(AsistenciaJetAdminConcatenada!$D:$D, MATCH(1, (AsistenciaJetAdminConcatenada!$A:$A=FQ$2)*(AsistenciaJetAdminConcatenada!$B:$B=FQ$1), 0)), 1))),  0.5, 0))</f>
        <v>0</v>
      </c>
      <c r="FR81" s="47">
        <f t="array" ref="FR81">IF(AND(ISNUMBER(MATCH(FR$2, AsistenciaJetAdminConcatenada!$A:$A, 0)), ISNUMBER(MATCH(FR$1, AsistenciaJetAdminConcatenada!$B:$B, 0)), ISNUMBER(SEARCH($A81,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ISNUMBER(SEARCH($A81, INDEX(AsistenciaJetAdminConcatenada!$D:$D, MATCH(1, (AsistenciaJetAdminConcatenada!$A:$A=FR$2)*(AsistenciaJetAdminConcatenada!$B:$B=FR$1), 0)), 1))),  0.5, 0))</f>
        <v>0</v>
      </c>
      <c r="FS81" s="47">
        <f t="array" ref="FS81">IF(AND(ISNUMBER(MATCH(FS$2, AsistenciaJetAdminConcatenada!$A:$A, 0)), ISNUMBER(MATCH(FS$1, AsistenciaJetAdminConcatenada!$B:$B, 0)), ISNUMBER(SEARCH($A81,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ISNUMBER(SEARCH($A81, INDEX(AsistenciaJetAdminConcatenada!$D:$D, MATCH(1, (AsistenciaJetAdminConcatenada!$A:$A=FS$2)*(AsistenciaJetAdminConcatenada!$B:$B=FS$1), 0)), 1))),  0.5, 0))</f>
        <v>0</v>
      </c>
      <c r="FT81" s="47">
        <f t="array" ref="FT81">IF(AND(ISNUMBER(MATCH(FT$2, AsistenciaJetAdminConcatenada!$A:$A, 0)), ISNUMBER(MATCH(FT$1, AsistenciaJetAdminConcatenada!$B:$B, 0)), ISNUMBER(SEARCH($A81,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ISNUMBER(SEARCH($A81, INDEX(AsistenciaJetAdminConcatenada!$D:$D, MATCH(1, (AsistenciaJetAdminConcatenada!$A:$A=FT$2)*(AsistenciaJetAdminConcatenada!$B:$B=FT$1), 0)), 1))),  0.5, 0))</f>
        <v>0</v>
      </c>
      <c r="FU81" s="47">
        <f t="array" ref="FU81">IF(AND(ISNUMBER(MATCH(FU$2, AsistenciaJetAdminConcatenada!$A:$A, 0)), ISNUMBER(MATCH(FU$1, AsistenciaJetAdminConcatenada!$B:$B, 0)), ISNUMBER(SEARCH($A81,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ISNUMBER(SEARCH($A81, INDEX(AsistenciaJetAdminConcatenada!$D:$D, MATCH(1, (AsistenciaJetAdminConcatenada!$A:$A=FU$2)*(AsistenciaJetAdminConcatenada!$B:$B=FU$1), 0)), 1))),  0.5, 0))</f>
        <v>0</v>
      </c>
      <c r="FV81" s="47">
        <f t="array" ref="FV81">IF(AND(ISNUMBER(MATCH(FV$2, AsistenciaJetAdminConcatenada!$A:$A, 0)), ISNUMBER(MATCH(FV$1, AsistenciaJetAdminConcatenada!$B:$B, 0)), ISNUMBER(SEARCH($A81,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ISNUMBER(SEARCH($A81, INDEX(AsistenciaJetAdminConcatenada!$D:$D, MATCH(1, (AsistenciaJetAdminConcatenada!$A:$A=FV$2)*(AsistenciaJetAdminConcatenada!$B:$B=FV$1), 0)), 1))),  0.5, 0))</f>
        <v>0</v>
      </c>
      <c r="FW81" s="47">
        <f t="array" ref="FW81">IF(AND(ISNUMBER(MATCH(FW$2, AsistenciaJetAdminConcatenada!$A:$A, 0)), ISNUMBER(MATCH(FW$1, AsistenciaJetAdminConcatenada!$B:$B, 0)), ISNUMBER(SEARCH($A81,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ISNUMBER(SEARCH($A81, INDEX(AsistenciaJetAdminConcatenada!$D:$D, MATCH(1, (AsistenciaJetAdminConcatenada!$A:$A=FW$2)*(AsistenciaJetAdminConcatenada!$B:$B=FW$1), 0)), 1))),  0.5, 0))</f>
        <v>0</v>
      </c>
      <c r="FX81" s="47">
        <f t="array" ref="FX81">IF(AND(ISNUMBER(MATCH(FX$2, AsistenciaJetAdminConcatenada!$A:$A, 0)), ISNUMBER(MATCH(FX$1, AsistenciaJetAdminConcatenada!$B:$B, 0)), ISNUMBER(SEARCH($A81,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ISNUMBER(SEARCH($A81, INDEX(AsistenciaJetAdminConcatenada!$D:$D, MATCH(1, (AsistenciaJetAdminConcatenada!$A:$A=FX$2)*(AsistenciaJetAdminConcatenada!$B:$B=FX$1), 0)), 1))),  0.5, 0))</f>
        <v>0</v>
      </c>
      <c r="FY81" s="47">
        <f t="array" ref="FY81">IF(AND(ISNUMBER(MATCH(FY$2, AsistenciaJetAdminConcatenada!$A:$A, 0)), ISNUMBER(MATCH(FY$1, AsistenciaJetAdminConcatenada!$B:$B, 0)), ISNUMBER(SEARCH($A81,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ISNUMBER(SEARCH($A81, INDEX(AsistenciaJetAdminConcatenada!$D:$D, MATCH(1, (AsistenciaJetAdminConcatenada!$A:$A=FY$2)*(AsistenciaJetAdminConcatenada!$B:$B=FY$1), 0)), 1))),  0.5, 0))</f>
        <v>0</v>
      </c>
      <c r="FZ81" s="47">
        <f t="array" ref="FZ81">IF(AND(ISNUMBER(MATCH(FZ$2, AsistenciaJetAdminConcatenada!$A:$A, 0)), ISNUMBER(MATCH(FZ$1, AsistenciaJetAdminConcatenada!$B:$B, 0)), ISNUMBER(SEARCH($A81,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ISNUMBER(SEARCH($A81, INDEX(AsistenciaJetAdminConcatenada!$D:$D, MATCH(1, (AsistenciaJetAdminConcatenada!$A:$A=FZ$2)*(AsistenciaJetAdminConcatenada!$B:$B=FZ$1), 0)), 1))),  0.5, 0))</f>
        <v>0</v>
      </c>
      <c r="GA81" s="47">
        <f t="array" ref="GA81">IF(AND(ISNUMBER(MATCH(GA$2, AsistenciaJetAdminConcatenada!$A:$A, 0)), ISNUMBER(MATCH(GA$1, AsistenciaJetAdminConcatenada!$B:$B, 0)), ISNUMBER(SEARCH($A81,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ISNUMBER(SEARCH($A81, INDEX(AsistenciaJetAdminConcatenada!$D:$D, MATCH(1, (AsistenciaJetAdminConcatenada!$A:$A=GA$2)*(AsistenciaJetAdminConcatenada!$B:$B=GA$1), 0)), 1))),  0.5, 0))</f>
        <v>0</v>
      </c>
      <c r="GB81" s="47">
        <f t="array" ref="GB81">IF(AND(ISNUMBER(MATCH(GB$2, AsistenciaJetAdminConcatenada!$A:$A, 0)), ISNUMBER(MATCH(GB$1, AsistenciaJetAdminConcatenada!$B:$B, 0)), ISNUMBER(SEARCH($A81,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ISNUMBER(SEARCH($A81, INDEX(AsistenciaJetAdminConcatenada!$D:$D, MATCH(1, (AsistenciaJetAdminConcatenada!$A:$A=GB$2)*(AsistenciaJetAdminConcatenada!$B:$B=GB$1), 0)), 1))),  0.5, 0))</f>
        <v>0</v>
      </c>
      <c r="GC81" s="47">
        <f t="array" ref="GC81">IF(AND(ISNUMBER(MATCH(GC$2, AsistenciaJetAdminConcatenada!$A:$A, 0)), ISNUMBER(MATCH(GC$1, AsistenciaJetAdminConcatenada!$B:$B, 0)), ISNUMBER(SEARCH($A81,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ISNUMBER(SEARCH($A81, INDEX(AsistenciaJetAdminConcatenada!$D:$D, MATCH(1, (AsistenciaJetAdminConcatenada!$A:$A=GC$2)*(AsistenciaJetAdminConcatenada!$B:$B=GC$1), 0)), 1))),  0.5, 0))</f>
        <v>0</v>
      </c>
      <c r="GD81" s="47">
        <f t="array" ref="GD81">IF(AND(ISNUMBER(MATCH(GD$2, AsistenciaJetAdminConcatenada!$A:$A, 0)), ISNUMBER(MATCH(GD$1, AsistenciaJetAdminConcatenada!$B:$B, 0)), ISNUMBER(SEARCH($A81,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ISNUMBER(SEARCH($A81, INDEX(AsistenciaJetAdminConcatenada!$D:$D, MATCH(1, (AsistenciaJetAdminConcatenada!$A:$A=GD$2)*(AsistenciaJetAdminConcatenada!$B:$B=GD$1), 0)), 1))),  0.5, 0))</f>
        <v>0</v>
      </c>
      <c r="GE81" s="47">
        <f t="array" ref="GE81">IF(AND(ISNUMBER(MATCH(GE$2, AsistenciaJetAdminConcatenada!$A:$A, 0)), ISNUMBER(MATCH(GE$1, AsistenciaJetAdminConcatenada!$B:$B, 0)), ISNUMBER(SEARCH($A81,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ISNUMBER(SEARCH($A81, INDEX(AsistenciaJetAdminConcatenada!$D:$D, MATCH(1, (AsistenciaJetAdminConcatenada!$A:$A=GE$2)*(AsistenciaJetAdminConcatenada!$B:$B=GE$1), 0)), 1))),  0.5, 0))</f>
        <v>0</v>
      </c>
      <c r="GF81" s="47">
        <f t="array" ref="GF81">IF(AND(ISNUMBER(MATCH(GF$2, AsistenciaJetAdminConcatenada!$A:$A, 0)), ISNUMBER(MATCH(GF$1, AsistenciaJetAdminConcatenada!$B:$B, 0)), ISNUMBER(SEARCH($A81,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ISNUMBER(SEARCH($A81, INDEX(AsistenciaJetAdminConcatenada!$D:$D, MATCH(1, (AsistenciaJetAdminConcatenada!$A:$A=GF$2)*(AsistenciaJetAdminConcatenada!$B:$B=GF$1), 0)), 1))),  0.5, 0))</f>
        <v>0</v>
      </c>
      <c r="GG81" s="47">
        <f t="array" ref="GG81">IF(AND(ISNUMBER(MATCH(GG$2, AsistenciaJetAdminConcatenada!$A:$A, 0)), ISNUMBER(MATCH(GG$1, AsistenciaJetAdminConcatenada!$B:$B, 0)), ISNUMBER(SEARCH($A81,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ISNUMBER(SEARCH($A81, INDEX(AsistenciaJetAdminConcatenada!$D:$D, MATCH(1, (AsistenciaJetAdminConcatenada!$A:$A=GG$2)*(AsistenciaJetAdminConcatenada!$B:$B=GG$1), 0)), 1))),  0.5, 0))</f>
        <v>0</v>
      </c>
      <c r="GH81" s="47">
        <f t="array" ref="GH81">IF(AND(ISNUMBER(MATCH(GH$2, AsistenciaJetAdminConcatenada!$A:$A, 0)), ISNUMBER(MATCH(GH$1, AsistenciaJetAdminConcatenada!$B:$B, 0)), ISNUMBER(SEARCH($A81,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ISNUMBER(SEARCH($A81, INDEX(AsistenciaJetAdminConcatenada!$D:$D, MATCH(1, (AsistenciaJetAdminConcatenada!$A:$A=GH$2)*(AsistenciaJetAdminConcatenada!$B:$B=GH$1), 0)), 1))),  0.5, 0))</f>
        <v>0</v>
      </c>
      <c r="GI81" s="47">
        <f t="array" ref="GI81">IF(AND(ISNUMBER(MATCH(GI$2, AsistenciaJetAdminConcatenada!$A:$A, 0)), ISNUMBER(MATCH(GI$1, AsistenciaJetAdminConcatenada!$B:$B, 0)), ISNUMBER(SEARCH($A81,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ISNUMBER(SEARCH($A81, INDEX(AsistenciaJetAdminConcatenada!$D:$D, MATCH(1, (AsistenciaJetAdminConcatenada!$A:$A=GI$2)*(AsistenciaJetAdminConcatenada!$B:$B=GI$1), 0)), 1))),  0.5, 0))</f>
        <v>0</v>
      </c>
      <c r="GJ81" s="47">
        <f t="array" ref="GJ81">IF(AND(ISNUMBER(MATCH(GJ$2, AsistenciaJetAdminConcatenada!$A:$A, 0)), ISNUMBER(MATCH(GJ$1, AsistenciaJetAdminConcatenada!$B:$B, 0)), ISNUMBER(SEARCH($A81,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ISNUMBER(SEARCH($A81, INDEX(AsistenciaJetAdminConcatenada!$D:$D, MATCH(1, (AsistenciaJetAdminConcatenada!$A:$A=GJ$2)*(AsistenciaJetAdminConcatenada!$B:$B=GJ$1), 0)), 1))),  0.5, 0))</f>
        <v>0</v>
      </c>
      <c r="GK81" s="47">
        <f t="array" ref="GK81">IF(AND(ISNUMBER(MATCH(GK$2, AsistenciaJetAdminConcatenada!$A:$A, 0)), ISNUMBER(MATCH(GK$1, AsistenciaJetAdminConcatenada!$B:$B, 0)), ISNUMBER(SEARCH($A81,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ISNUMBER(SEARCH($A81, INDEX(AsistenciaJetAdminConcatenada!$D:$D, MATCH(1, (AsistenciaJetAdminConcatenada!$A:$A=GK$2)*(AsistenciaJetAdminConcatenada!$B:$B=GK$1), 0)), 1))),  0.5, 0))</f>
        <v>0</v>
      </c>
      <c r="GL81" s="47">
        <f t="array" ref="GL81">IF(AND(ISNUMBER(MATCH(GL$2, AsistenciaJetAdminConcatenada!$A:$A, 0)), ISNUMBER(MATCH(GL$1, AsistenciaJetAdminConcatenada!$B:$B, 0)), ISNUMBER(SEARCH($A81,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ISNUMBER(SEARCH($A81, INDEX(AsistenciaJetAdminConcatenada!$D:$D, MATCH(1, (AsistenciaJetAdminConcatenada!$A:$A=GL$2)*(AsistenciaJetAdminConcatenada!$B:$B=GL$1), 0)), 1))),  0.5, 0))</f>
        <v>0</v>
      </c>
      <c r="GM81" s="47">
        <f t="array" ref="GM81">IF(AND(ISNUMBER(MATCH(GM$2, AsistenciaJetAdminConcatenada!$A:$A, 0)), ISNUMBER(MATCH(GM$1, AsistenciaJetAdminConcatenada!$B:$B, 0)), ISNUMBER(SEARCH($A81,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ISNUMBER(SEARCH($A81, INDEX(AsistenciaJetAdminConcatenada!$D:$D, MATCH(1, (AsistenciaJetAdminConcatenada!$A:$A=GM$2)*(AsistenciaJetAdminConcatenada!$B:$B=GM$1), 0)), 1))),  0.5, 0))</f>
        <v>0</v>
      </c>
      <c r="GN81" s="47">
        <f t="array" ref="GN81">IF(AND(ISNUMBER(MATCH(GN$2, AsistenciaJetAdminConcatenada!$A:$A, 0)), ISNUMBER(MATCH(GN$1, AsistenciaJetAdminConcatenada!$B:$B, 0)), ISNUMBER(SEARCH($A81,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ISNUMBER(SEARCH($A81, INDEX(AsistenciaJetAdminConcatenada!$D:$D, MATCH(1, (AsistenciaJetAdminConcatenada!$A:$A=GN$2)*(AsistenciaJetAdminConcatenada!$B:$B=GN$1), 0)), 1))),  0.5, 0))</f>
        <v>0</v>
      </c>
      <c r="GO81" s="47">
        <f t="array" ref="GO81">IF(AND(ISNUMBER(MATCH(GO$2, AsistenciaJetAdminConcatenada!$A:$A, 0)), ISNUMBER(MATCH(GO$1, AsistenciaJetAdminConcatenada!$B:$B, 0)), ISNUMBER(SEARCH($A81,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ISNUMBER(SEARCH($A81, INDEX(AsistenciaJetAdminConcatenada!$D:$D, MATCH(1, (AsistenciaJetAdminConcatenada!$A:$A=GO$2)*(AsistenciaJetAdminConcatenada!$B:$B=GO$1), 0)), 1))),  0.5, 0))</f>
        <v>0</v>
      </c>
      <c r="GP81" s="47">
        <f t="array" ref="GP81">IF(AND(ISNUMBER(MATCH(GP$2, AsistenciaJetAdminConcatenada!$A:$A, 0)), ISNUMBER(MATCH(GP$1, AsistenciaJetAdminConcatenada!$B:$B, 0)), ISNUMBER(SEARCH($A81,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ISNUMBER(SEARCH($A81, INDEX(AsistenciaJetAdminConcatenada!$D:$D, MATCH(1, (AsistenciaJetAdminConcatenada!$A:$A=GP$2)*(AsistenciaJetAdminConcatenada!$B:$B=GP$1), 0)), 1))),  0.5, 0))</f>
        <v>0</v>
      </c>
      <c r="GQ81" s="47">
        <f t="array" ref="GQ81">IF(AND(ISNUMBER(MATCH(GQ$2, AsistenciaJetAdminConcatenada!$A:$A, 0)), ISNUMBER(MATCH(GQ$1, AsistenciaJetAdminConcatenada!$B:$B, 0)), ISNUMBER(SEARCH($A81,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ISNUMBER(SEARCH($A81, INDEX(AsistenciaJetAdminConcatenada!$D:$D, MATCH(1, (AsistenciaJetAdminConcatenada!$A:$A=GQ$2)*(AsistenciaJetAdminConcatenada!$B:$B=GQ$1), 0)), 1))),  0.5, 0))</f>
        <v>0</v>
      </c>
      <c r="GR81" s="47">
        <f t="array" ref="GR81">IF(AND(ISNUMBER(MATCH(GR$2, AsistenciaJetAdminConcatenada!$A:$A, 0)), ISNUMBER(MATCH(GR$1, AsistenciaJetAdminConcatenada!$B:$B, 0)), ISNUMBER(SEARCH($A81,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ISNUMBER(SEARCH($A81, INDEX(AsistenciaJetAdminConcatenada!$D:$D, MATCH(1, (AsistenciaJetAdminConcatenada!$A:$A=GR$2)*(AsistenciaJetAdminConcatenada!$B:$B=GR$1), 0)), 1))),  0.5, 0))</f>
        <v>0</v>
      </c>
      <c r="GS81" s="47">
        <f t="array" ref="GS81">IF(AND(ISNUMBER(MATCH(GS$2, AsistenciaJetAdminConcatenada!$A:$A, 0)), ISNUMBER(MATCH(GS$1, AsistenciaJetAdminConcatenada!$B:$B, 0)), ISNUMBER(SEARCH($A81,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ISNUMBER(SEARCH($A81, INDEX(AsistenciaJetAdminConcatenada!$D:$D, MATCH(1, (AsistenciaJetAdminConcatenada!$A:$A=GS$2)*(AsistenciaJetAdminConcatenada!$B:$B=GS$1), 0)), 1))),  0.5, 0))</f>
        <v>0</v>
      </c>
      <c r="GT81" s="47">
        <f t="array" ref="GT81">IF(AND(ISNUMBER(MATCH(GT$2, AsistenciaJetAdminConcatenada!$A:$A, 0)), ISNUMBER(MATCH(GT$1, AsistenciaJetAdminConcatenada!$B:$B, 0)), ISNUMBER(SEARCH($A81,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ISNUMBER(SEARCH($A81, INDEX(AsistenciaJetAdminConcatenada!$D:$D, MATCH(1, (AsistenciaJetAdminConcatenada!$A:$A=GT$2)*(AsistenciaJetAdminConcatenada!$B:$B=GT$1), 0)), 1))),  0.5, 0))</f>
        <v>0</v>
      </c>
      <c r="GU81" s="47">
        <f t="array" ref="GU81">IF(AND(ISNUMBER(MATCH(GU$2, AsistenciaJetAdminConcatenada!$A:$A, 0)), ISNUMBER(MATCH(GU$1, AsistenciaJetAdminConcatenada!$B:$B, 0)), ISNUMBER(SEARCH($A81,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ISNUMBER(SEARCH($A81, INDEX(AsistenciaJetAdminConcatenada!$D:$D, MATCH(1, (AsistenciaJetAdminConcatenada!$A:$A=GU$2)*(AsistenciaJetAdminConcatenada!$B:$B=GU$1), 0)), 1))),  0.5, 0))</f>
        <v>0</v>
      </c>
      <c r="GV81" s="47">
        <f t="array" ref="GV81">IF(AND(ISNUMBER(MATCH(GV$2, AsistenciaJetAdminConcatenada!$A:$A, 0)), ISNUMBER(MATCH(GV$1, AsistenciaJetAdminConcatenada!$B:$B, 0)), ISNUMBER(SEARCH($A81,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ISNUMBER(SEARCH($A81, INDEX(AsistenciaJetAdminConcatenada!$D:$D, MATCH(1, (AsistenciaJetAdminConcatenada!$A:$A=GV$2)*(AsistenciaJetAdminConcatenada!$B:$B=GV$1), 0)), 1))),  0.5, 0))</f>
        <v>0</v>
      </c>
      <c r="GW81" s="47">
        <f t="array" ref="GW81">IF(AND(ISNUMBER(MATCH(GW$2, AsistenciaJetAdminConcatenada!$A:$A, 0)), ISNUMBER(MATCH(GW$1, AsistenciaJetAdminConcatenada!$B:$B, 0)), ISNUMBER(SEARCH($A81,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ISNUMBER(SEARCH($A81, INDEX(AsistenciaJetAdminConcatenada!$D:$D, MATCH(1, (AsistenciaJetAdminConcatenada!$A:$A=GW$2)*(AsistenciaJetAdminConcatenada!$B:$B=GW$1), 0)), 1))),  0.5, 0))</f>
        <v>0</v>
      </c>
      <c r="GX81" s="47">
        <f t="array" ref="GX81">IF(AND(ISNUMBER(MATCH(GX$2, AsistenciaJetAdminConcatenada!$A:$A, 0)), ISNUMBER(MATCH(GX$1, AsistenciaJetAdminConcatenada!$B:$B, 0)), ISNUMBER(SEARCH($A81,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ISNUMBER(SEARCH($A81, INDEX(AsistenciaJetAdminConcatenada!$D:$D, MATCH(1, (AsistenciaJetAdminConcatenada!$A:$A=GX$2)*(AsistenciaJetAdminConcatenada!$B:$B=GX$1), 0)), 1))),  0.5, 0))</f>
        <v>0</v>
      </c>
      <c r="GY81" s="47">
        <f t="array" ref="GY81">IF(AND(ISNUMBER(MATCH(GY$2, AsistenciaJetAdminConcatenada!$A:$A, 0)), ISNUMBER(MATCH(GY$1, AsistenciaJetAdminConcatenada!$B:$B, 0)), ISNUMBER(SEARCH($A81,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ISNUMBER(SEARCH($A81, INDEX(AsistenciaJetAdminConcatenada!$D:$D, MATCH(1, (AsistenciaJetAdminConcatenada!$A:$A=GY$2)*(AsistenciaJetAdminConcatenada!$B:$B=GY$1), 0)), 1))),  0.5, 0))</f>
        <v>0</v>
      </c>
      <c r="GZ81" s="47">
        <f t="array" ref="GZ81">IF(AND(ISNUMBER(MATCH(GZ$2, AsistenciaJetAdminConcatenada!$A:$A, 0)), ISNUMBER(MATCH(GZ$1, AsistenciaJetAdminConcatenada!$B:$B, 0)), ISNUMBER(SEARCH($A81,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ISNUMBER(SEARCH($A81, INDEX(AsistenciaJetAdminConcatenada!$D:$D, MATCH(1, (AsistenciaJetAdminConcatenada!$A:$A=GZ$2)*(AsistenciaJetAdminConcatenada!$B:$B=GZ$1), 0)), 1))),  0.5, 0))</f>
        <v>0</v>
      </c>
      <c r="HA81" s="47">
        <f t="array" ref="HA81">IF(AND(ISNUMBER(MATCH(HA$2, AsistenciaJetAdminConcatenada!$A:$A, 0)), ISNUMBER(MATCH(HA$1, AsistenciaJetAdminConcatenada!$B:$B, 0)), ISNUMBER(SEARCH($A81,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ISNUMBER(SEARCH($A81, INDEX(AsistenciaJetAdminConcatenada!$D:$D, MATCH(1, (AsistenciaJetAdminConcatenada!$A:$A=HA$2)*(AsistenciaJetAdminConcatenada!$B:$B=HA$1), 0)), 1))),  0.5, 0))</f>
        <v>0</v>
      </c>
      <c r="HB81" s="47">
        <f t="array" ref="HB81">IF(AND(ISNUMBER(MATCH(HB$2, AsistenciaJetAdminConcatenada!$A:$A, 0)), ISNUMBER(MATCH(HB$1, AsistenciaJetAdminConcatenada!$B:$B, 0)), ISNUMBER(SEARCH($A81,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ISNUMBER(SEARCH($A81, INDEX(AsistenciaJetAdminConcatenada!$D:$D, MATCH(1, (AsistenciaJetAdminConcatenada!$A:$A=HB$2)*(AsistenciaJetAdminConcatenada!$B:$B=HB$1), 0)), 1))),  0.5, 0))</f>
        <v>0</v>
      </c>
      <c r="HC81" s="47">
        <f t="array" ref="HC81">IF(AND(ISNUMBER(MATCH(HC$2, AsistenciaJetAdminConcatenada!$A:$A, 0)), ISNUMBER(MATCH(HC$1, AsistenciaJetAdminConcatenada!$B:$B, 0)), ISNUMBER(SEARCH($A81,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ISNUMBER(SEARCH($A81, INDEX(AsistenciaJetAdminConcatenada!$D:$D, MATCH(1, (AsistenciaJetAdminConcatenada!$A:$A=HC$2)*(AsistenciaJetAdminConcatenada!$B:$B=HC$1), 0)), 1))),  0.5, 0))</f>
        <v>0</v>
      </c>
    </row>
    <row r="82" ht="29.25" customHeight="1">
      <c r="A82" s="3">
        <v>218.0</v>
      </c>
      <c r="B82" s="4" t="s">
        <v>88</v>
      </c>
      <c r="C82" s="47">
        <f>SUM(D82:HC82) + ActividadesEspeciales!C82</f>
        <v>67.5</v>
      </c>
      <c r="D82" s="47">
        <f t="array" ref="D82">IF(AND(ISNUMBER(MATCH(D$2, AsistenciaJetAdminConcatenada!$A:$A, 0)), ISNUMBER(MATCH(D$1, AsistenciaJetAdminConcatenada!$B:$B, 0)), ISNUMBER(SEARCH($A82,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ISNUMBER(SEARCH($A82, INDEX(AsistenciaJetAdminConcatenada!$D:$D, MATCH(1, (AsistenciaJetAdminConcatenada!$A:$A=D$2)*(AsistenciaJetAdminConcatenada!$B:$B=D$1), 0)), 1))),  0.5, 0))</f>
        <v>1</v>
      </c>
      <c r="E82" s="47">
        <f t="array" ref="E82">IF(AND(ISNUMBER(MATCH(E$2, AsistenciaJetAdminConcatenada!$A:$A, 0)), ISNUMBER(MATCH(E$1, AsistenciaJetAdminConcatenada!$B:$B, 0)), ISNUMBER(SEARCH($A82,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ISNUMBER(SEARCH($A82, INDEX(AsistenciaJetAdminConcatenada!$D:$D, MATCH(1, (AsistenciaJetAdminConcatenada!$A:$A=E$2)*(AsistenciaJetAdminConcatenada!$B:$B=E$1), 0)), 1))),  0.5, 0))</f>
        <v>1</v>
      </c>
      <c r="F82" s="47">
        <f t="array" ref="F82">IF(AND(ISNUMBER(MATCH(F$2, AsistenciaJetAdminConcatenada!$A:$A, 0)), ISNUMBER(MATCH(F$1, AsistenciaJetAdminConcatenada!$B:$B, 0)), ISNUMBER(SEARCH($A82,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ISNUMBER(SEARCH($A82, INDEX(AsistenciaJetAdminConcatenada!$D:$D, MATCH(1, (AsistenciaJetAdminConcatenada!$A:$A=F$2)*(AsistenciaJetAdminConcatenada!$B:$B=F$1), 0)), 1))),  0.5, 0))</f>
        <v>1</v>
      </c>
      <c r="G82" s="8">
        <v>1.0</v>
      </c>
      <c r="H82" s="8">
        <v>1.0</v>
      </c>
      <c r="I82" s="8">
        <v>1.0</v>
      </c>
      <c r="J82" s="47">
        <f t="array" ref="J82">IF(AND(ISNUMBER(MATCH(J$2, AsistenciaJetAdminConcatenada!$A:$A, 0)), ISNUMBER(MATCH(J$1, AsistenciaJetAdminConcatenada!$B:$B, 0)), ISNUMBER(SEARCH($A82,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ISNUMBER(SEARCH($A82, INDEX(AsistenciaJetAdminConcatenada!$D:$D, MATCH(1, (AsistenciaJetAdminConcatenada!$A:$A=J$2)*(AsistenciaJetAdminConcatenada!$B:$B=J$1), 0)), 1))),  0.5, 0))</f>
        <v>1</v>
      </c>
      <c r="K82" s="47">
        <f t="array" ref="K82">IF(AND(ISNUMBER(MATCH(K$2, AsistenciaJetAdminConcatenada!$A:$A, 0)), ISNUMBER(MATCH(K$1, AsistenciaJetAdminConcatenada!$B:$B, 0)), ISNUMBER(SEARCH($A82,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ISNUMBER(SEARCH($A82, INDEX(AsistenciaJetAdminConcatenada!$D:$D, MATCH(1, (AsistenciaJetAdminConcatenada!$A:$A=K$2)*(AsistenciaJetAdminConcatenada!$B:$B=K$1), 0)), 1))),  0.5, 0))</f>
        <v>1</v>
      </c>
      <c r="L82" s="47">
        <f t="array" ref="L82">IF(AND(ISNUMBER(MATCH(L$2, AsistenciaJetAdminConcatenada!$A:$A, 0)), ISNUMBER(MATCH(L$1, AsistenciaJetAdminConcatenada!$B:$B, 0)), ISNUMBER(SEARCH($A82,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ISNUMBER(SEARCH($A82, INDEX(AsistenciaJetAdminConcatenada!$D:$D, MATCH(1, (AsistenciaJetAdminConcatenada!$A:$A=L$2)*(AsistenciaJetAdminConcatenada!$B:$B=L$1), 0)), 1))),  0.5, 0))</f>
        <v>0</v>
      </c>
      <c r="M82" s="47">
        <f t="array" ref="M82">IF(AND(ISNUMBER(MATCH(M$2, AsistenciaJetAdminConcatenada!$A:$A, 0)), ISNUMBER(MATCH(M$1, AsistenciaJetAdminConcatenada!$B:$B, 0)), ISNUMBER(SEARCH($A82,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ISNUMBER(SEARCH($A82, INDEX(AsistenciaJetAdminConcatenada!$D:$D, MATCH(1, (AsistenciaJetAdminConcatenada!$A:$A=M$2)*(AsistenciaJetAdminConcatenada!$B:$B=M$1), 0)), 1))),  0.5, 0))</f>
        <v>1</v>
      </c>
      <c r="N82" s="8">
        <v>1.0</v>
      </c>
      <c r="O82" s="47">
        <f t="array" ref="O82">IF(AND(ISNUMBER(MATCH(O$2, AsistenciaJetAdminConcatenada!$A:$A, 0)), ISNUMBER(MATCH(O$1, AsistenciaJetAdminConcatenada!$B:$B, 0)), ISNUMBER(SEARCH($A82,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ISNUMBER(SEARCH($A82, INDEX(AsistenciaJetAdminConcatenada!$D:$D, MATCH(1, (AsistenciaJetAdminConcatenada!$A:$A=O$2)*(AsistenciaJetAdminConcatenada!$B:$B=O$1), 0)), 1))),  0.5, 0))</f>
        <v>1</v>
      </c>
      <c r="P82" s="47">
        <f t="array" ref="P82">IF(AND(ISNUMBER(MATCH(P$2, AsistenciaJetAdminConcatenada!$A:$A, 0)), ISNUMBER(MATCH(P$1, AsistenciaJetAdminConcatenada!$B:$B, 0)), ISNUMBER(SEARCH($A82, INDEX(AsistenciaJetAdminConcatenada!$C:$C, MATCH(1, (AsistenciaJetAdminConcatenada!$A:$A=P$2)*(AsistenciaJetAdminConcatenada!$B:$B=P$1), 0)), 1))), 1, IF(AND(ISNUMBER(MATCH(P$2, AsistenciaJetAdminConcatenada!$A:$A, 0)), ISNUMBER(MATCH(P$1, AsistenciaJetAdminConcatenada!$B:$B, 0)), ISNUMBER(SEARCH($A82, INDEX(AsistenciaJetAdminConcatenada!$D:$D, MATCH(1, (AsistenciaJetAdminConcatenada!$A:$A=P$2)*(AsistenciaJetAdminConcatenada!$B:$B=P$1), 0)), 1))),  0.5, 0))</f>
        <v>1</v>
      </c>
      <c r="Q82" s="47">
        <f t="array" ref="Q82">IF(AND(ISNUMBER(MATCH(Q$2, AsistenciaJetAdminConcatenada!$A:$A, 0)), ISNUMBER(MATCH(Q$1, AsistenciaJetAdminConcatenada!$B:$B, 0)), ISNUMBER(SEARCH($A82, INDEX(AsistenciaJetAdminConcatenada!$C:$C, MATCH(1, (AsistenciaJetAdminConcatenada!$A:$A=Q$2)*(AsistenciaJetAdminConcatenada!$B:$B=Q$1), 0)), 1))), 1, IF(AND(ISNUMBER(MATCH(Q$2, AsistenciaJetAdminConcatenada!$A:$A, 0)), ISNUMBER(MATCH(Q$1, AsistenciaJetAdminConcatenada!$B:$B, 0)), ISNUMBER(SEARCH($A82, INDEX(AsistenciaJetAdminConcatenada!$D:$D, MATCH(1, (AsistenciaJetAdminConcatenada!$A:$A=Q$2)*(AsistenciaJetAdminConcatenada!$B:$B=Q$1), 0)), 1))),  0.5, 0))</f>
        <v>0</v>
      </c>
      <c r="R82" s="47">
        <f t="array" ref="R82">IF(AND(ISNUMBER(MATCH(R$2, AsistenciaJetAdminConcatenada!$A:$A, 0)), ISNUMBER(MATCH(R$1, AsistenciaJetAdminConcatenada!$B:$B, 0)), ISNUMBER(SEARCH($A82,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ISNUMBER(SEARCH($A82, INDEX(AsistenciaJetAdminConcatenada!$D:$D, MATCH(1, (AsistenciaJetAdminConcatenada!$A:$A=R$2)*(AsistenciaJetAdminConcatenada!$B:$B=R$1), 0)), 1))),  0.5, 0))</f>
        <v>1</v>
      </c>
      <c r="S82" s="47">
        <f t="array" ref="S82">IF(AND(ISNUMBER(MATCH(S$2, AsistenciaJetAdminConcatenada!$A:$A, 0)), ISNUMBER(MATCH(S$1, AsistenciaJetAdminConcatenada!$B:$B, 0)), ISNUMBER(SEARCH($A82,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ISNUMBER(SEARCH($A82, INDEX(AsistenciaJetAdminConcatenada!$D:$D, MATCH(1, (AsistenciaJetAdminConcatenada!$A:$A=S$2)*(AsistenciaJetAdminConcatenada!$B:$B=S$1), 0)), 1))),  0.5, 0))</f>
        <v>1</v>
      </c>
      <c r="T82" s="47">
        <f t="array" ref="T82">IF(AND(ISNUMBER(MATCH(T$2, AsistenciaJetAdminConcatenada!$A:$A, 0)), ISNUMBER(MATCH(T$1, AsistenciaJetAdminConcatenada!$B:$B, 0)), ISNUMBER(SEARCH($A82,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ISNUMBER(SEARCH($A82, INDEX(AsistenciaJetAdminConcatenada!$D:$D, MATCH(1, (AsistenciaJetAdminConcatenada!$A:$A=T$2)*(AsistenciaJetAdminConcatenada!$B:$B=T$1), 0)), 1))),  0.5, 0))</f>
        <v>1</v>
      </c>
      <c r="U82" s="47">
        <f t="array" ref="U82">IF(AND(ISNUMBER(MATCH(U$2, AsistenciaJetAdminConcatenada!$A:$A, 0)), ISNUMBER(MATCH(U$1, AsistenciaJetAdminConcatenada!$B:$B, 0)), ISNUMBER(SEARCH($A82,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ISNUMBER(SEARCH($A82, INDEX(AsistenciaJetAdminConcatenada!$D:$D, MATCH(1, (AsistenciaJetAdminConcatenada!$A:$A=U$2)*(AsistenciaJetAdminConcatenada!$B:$B=U$1), 0)), 1))),  0.5, 0))</f>
        <v>0</v>
      </c>
      <c r="V82" s="47">
        <f t="array" ref="V82">IF(AND(ISNUMBER(MATCH(V$2, AsistenciaJetAdminConcatenada!$A:$A, 0)), ISNUMBER(MATCH(V$1, AsistenciaJetAdminConcatenada!$B:$B, 0)), ISNUMBER(SEARCH($A82,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ISNUMBER(SEARCH($A82, INDEX(AsistenciaJetAdminConcatenada!$D:$D, MATCH(1, (AsistenciaJetAdminConcatenada!$A:$A=V$2)*(AsistenciaJetAdminConcatenada!$B:$B=V$1), 0)), 1))),  0.5, 0))</f>
        <v>0.5</v>
      </c>
      <c r="W82" s="47">
        <f t="array" ref="W82">IF(AND(ISNUMBER(MATCH(W$2, AsistenciaJetAdminConcatenada!$A:$A, 0)), ISNUMBER(MATCH(W$1, AsistenciaJetAdminConcatenada!$B:$B, 0)), ISNUMBER(SEARCH($A82,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ISNUMBER(SEARCH($A82, INDEX(AsistenciaJetAdminConcatenada!$D:$D, MATCH(1, (AsistenciaJetAdminConcatenada!$A:$A=W$2)*(AsistenciaJetAdminConcatenada!$B:$B=W$1), 0)), 1))),  0.5, 0))</f>
        <v>1</v>
      </c>
      <c r="X82" s="47">
        <f t="array" ref="X82">IF(AND(ISNUMBER(MATCH(X$2, AsistenciaJetAdminConcatenada!$A:$A, 0)), ISNUMBER(MATCH(X$1, AsistenciaJetAdminConcatenada!$B:$B, 0)), ISNUMBER(SEARCH($A82,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ISNUMBER(SEARCH($A82, INDEX(AsistenciaJetAdminConcatenada!$D:$D, MATCH(1, (AsistenciaJetAdminConcatenada!$A:$A=X$2)*(AsistenciaJetAdminConcatenada!$B:$B=X$1), 0)), 1))),  0.5, 0))</f>
        <v>1</v>
      </c>
      <c r="Y82" s="47">
        <f t="array" ref="Y82">IF(AND(ISNUMBER(MATCH(Y$2, AsistenciaJetAdminConcatenada!$A:$A, 0)), ISNUMBER(MATCH(Y$1, AsistenciaJetAdminConcatenada!$B:$B, 0)), ISNUMBER(SEARCH($A82,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ISNUMBER(SEARCH($A82, INDEX(AsistenciaJetAdminConcatenada!$D:$D, MATCH(1, (AsistenciaJetAdminConcatenada!$A:$A=Y$2)*(AsistenciaJetAdminConcatenada!$B:$B=Y$1), 0)), 1))),  0.5, 0))</f>
        <v>1</v>
      </c>
      <c r="Z82" s="47">
        <f t="array" ref="Z82">IF(AND(ISNUMBER(MATCH(Z$2, AsistenciaJetAdminConcatenada!$A:$A, 0)), ISNUMBER(MATCH(Z$1, AsistenciaJetAdminConcatenada!$B:$B, 0)), ISNUMBER(SEARCH($A82,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ISNUMBER(SEARCH($A82, INDEX(AsistenciaJetAdminConcatenada!$D:$D, MATCH(1, (AsistenciaJetAdminConcatenada!$A:$A=Z$2)*(AsistenciaJetAdminConcatenada!$B:$B=Z$1), 0)), 1))),  0.5, 0))</f>
        <v>1</v>
      </c>
      <c r="AA82" s="47">
        <f t="array" ref="AA82">IF(AND(ISNUMBER(MATCH(AA$2, AsistenciaJetAdminConcatenada!$A:$A, 0)), ISNUMBER(MATCH(AA$1, AsistenciaJetAdminConcatenada!$B:$B, 0)), ISNUMBER(SEARCH($A82,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ISNUMBER(SEARCH($A82, INDEX(AsistenciaJetAdminConcatenada!$D:$D, MATCH(1, (AsistenciaJetAdminConcatenada!$A:$A=AA$2)*(AsistenciaJetAdminConcatenada!$B:$B=AA$1), 0)), 1))),  0.5, 0))</f>
        <v>1</v>
      </c>
      <c r="AB82" s="47">
        <f t="array" ref="AB82">IF(AND(ISNUMBER(MATCH(AB$2, AsistenciaJetAdminConcatenada!$A:$A, 0)), ISNUMBER(MATCH(AB$1, AsistenciaJetAdminConcatenada!$B:$B, 0)), ISNUMBER(SEARCH($A82,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ISNUMBER(SEARCH($A82, INDEX(AsistenciaJetAdminConcatenada!$D:$D, MATCH(1, (AsistenciaJetAdminConcatenada!$A:$A=AB$2)*(AsistenciaJetAdminConcatenada!$B:$B=AB$1), 0)), 1))),  0.5, 0))</f>
        <v>0</v>
      </c>
      <c r="AC82" s="47">
        <f t="array" ref="AC82">IF(AND(ISNUMBER(MATCH(AC$2, AsistenciaJetAdminConcatenada!$A:$A, 0)), ISNUMBER(MATCH(AC$1, AsistenciaJetAdminConcatenada!$B:$B, 0)), ISNUMBER(SEARCH($A82,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ISNUMBER(SEARCH($A82, INDEX(AsistenciaJetAdminConcatenada!$D:$D, MATCH(1, (AsistenciaJetAdminConcatenada!$A:$A=AC$2)*(AsistenciaJetAdminConcatenada!$B:$B=AC$1), 0)), 1))),  0.5, 0))</f>
        <v>1</v>
      </c>
      <c r="AD82" s="47">
        <f t="array" ref="AD82">IF(AND(ISNUMBER(MATCH(AD$2, AsistenciaJetAdminConcatenada!$A:$A, 0)), ISNUMBER(MATCH(AD$1, AsistenciaJetAdminConcatenada!$B:$B, 0)), ISNUMBER(SEARCH($A82,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ISNUMBER(SEARCH($A82, INDEX(AsistenciaJetAdminConcatenada!$D:$D, MATCH(1, (AsistenciaJetAdminConcatenada!$A:$A=AD$2)*(AsistenciaJetAdminConcatenada!$B:$B=AD$1), 0)), 1))),  0.5, 0))</f>
        <v>1</v>
      </c>
      <c r="AE82" s="47">
        <f t="array" ref="AE82">IF(AND(ISNUMBER(MATCH(AE$2, AsistenciaJetAdminConcatenada!$A:$A, 0)), ISNUMBER(MATCH(AE$1, AsistenciaJetAdminConcatenada!$B:$B, 0)), ISNUMBER(SEARCH($A82,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ISNUMBER(SEARCH($A82, INDEX(AsistenciaJetAdminConcatenada!$D:$D, MATCH(1, (AsistenciaJetAdminConcatenada!$A:$A=AE$2)*(AsistenciaJetAdminConcatenada!$B:$B=AE$1), 0)), 1))),  0.5, 0))</f>
        <v>0</v>
      </c>
      <c r="AF82" s="47">
        <f t="array" ref="AF82">IF(AND(ISNUMBER(MATCH(AF$2, AsistenciaJetAdminConcatenada!$A:$A, 0)), ISNUMBER(MATCH(AF$1, AsistenciaJetAdminConcatenada!$B:$B, 0)), ISNUMBER(SEARCH($A82,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ISNUMBER(SEARCH($A82, INDEX(AsistenciaJetAdminConcatenada!$D:$D, MATCH(1, (AsistenciaJetAdminConcatenada!$A:$A=AF$2)*(AsistenciaJetAdminConcatenada!$B:$B=AF$1), 0)), 1))),  0.5, 0))</f>
        <v>1</v>
      </c>
      <c r="AG82" s="47">
        <f t="array" ref="AG82">IF(AND(ISNUMBER(MATCH(AG$2, AsistenciaJetAdminConcatenada!$A:$A, 0)), ISNUMBER(MATCH(AG$1, AsistenciaJetAdminConcatenada!$B:$B, 0)), ISNUMBER(SEARCH($A82,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ISNUMBER(SEARCH($A82, INDEX(AsistenciaJetAdminConcatenada!$D:$D, MATCH(1, (AsistenciaJetAdminConcatenada!$A:$A=AG$2)*(AsistenciaJetAdminConcatenada!$B:$B=AG$1), 0)), 1))),  0.5, 0))</f>
        <v>1</v>
      </c>
      <c r="AH82" s="47">
        <f t="array" ref="AH82">IF(AND(ISNUMBER(MATCH(AH$2, AsistenciaJetAdminConcatenada!$A:$A, 0)), ISNUMBER(MATCH(AH$1, AsistenciaJetAdminConcatenada!$B:$B, 0)), ISNUMBER(SEARCH($A82,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ISNUMBER(SEARCH($A82, INDEX(AsistenciaJetAdminConcatenada!$D:$D, MATCH(1, (AsistenciaJetAdminConcatenada!$A:$A=AH$2)*(AsistenciaJetAdminConcatenada!$B:$B=AH$1), 0)), 1))),  0.5, 0))</f>
        <v>0</v>
      </c>
      <c r="AI82" s="47">
        <f t="array" ref="AI82">IF(AND(ISNUMBER(MATCH(AI$2, AsistenciaJetAdminConcatenada!$A:$A, 0)), ISNUMBER(MATCH(AI$1, AsistenciaJetAdminConcatenada!$B:$B, 0)), ISNUMBER(SEARCH($A82,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ISNUMBER(SEARCH($A82, INDEX(AsistenciaJetAdminConcatenada!$D:$D, MATCH(1, (AsistenciaJetAdminConcatenada!$A:$A=AI$2)*(AsistenciaJetAdminConcatenada!$B:$B=AI$1), 0)), 1))),  0.5, 0))</f>
        <v>1</v>
      </c>
      <c r="AJ82" s="47">
        <f t="array" ref="AJ82">IF(AND(ISNUMBER(MATCH(AJ$2, AsistenciaJetAdminConcatenada!$A:$A, 0)), ISNUMBER(MATCH(AJ$1, AsistenciaJetAdminConcatenada!$B:$B, 0)), ISNUMBER(SEARCH($A82,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ISNUMBER(SEARCH($A82, INDEX(AsistenciaJetAdminConcatenada!$D:$D, MATCH(1, (AsistenciaJetAdminConcatenada!$A:$A=AJ$2)*(AsistenciaJetAdminConcatenada!$B:$B=AJ$1), 0)), 1))),  0.5, 0))</f>
        <v>0</v>
      </c>
      <c r="AK82" s="47">
        <f t="array" ref="AK82">IF(AND(ISNUMBER(MATCH(AK$2, AsistenciaJetAdminConcatenada!$A:$A, 0)), ISNUMBER(MATCH(AK$1, AsistenciaJetAdminConcatenada!$B:$B, 0)), ISNUMBER(SEARCH($A82,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ISNUMBER(SEARCH($A82, INDEX(AsistenciaJetAdminConcatenada!$D:$D, MATCH(1, (AsistenciaJetAdminConcatenada!$A:$A=AK$2)*(AsistenciaJetAdminConcatenada!$B:$B=AK$1), 0)), 1))),  0.5, 0))</f>
        <v>1</v>
      </c>
      <c r="AL82" s="47">
        <f t="array" ref="AL82">IF(AND(ISNUMBER(MATCH(AL$2, AsistenciaJetAdminConcatenada!$A:$A, 0)), ISNUMBER(MATCH(AL$1, AsistenciaJetAdminConcatenada!$B:$B, 0)), ISNUMBER(SEARCH($A82,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ISNUMBER(SEARCH($A82, INDEX(AsistenciaJetAdminConcatenada!$D:$D, MATCH(1, (AsistenciaJetAdminConcatenada!$A:$A=AL$2)*(AsistenciaJetAdminConcatenada!$B:$B=AL$1), 0)), 1))),  0.5, 0))</f>
        <v>1</v>
      </c>
      <c r="AM82" s="47">
        <f t="array" ref="AM82">IF(AND(ISNUMBER(MATCH(AM$2, AsistenciaJetAdminConcatenada!$A:$A, 0)), ISNUMBER(MATCH(AM$1, AsistenciaJetAdminConcatenada!$B:$B, 0)), ISNUMBER(SEARCH($A82,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ISNUMBER(SEARCH($A82, INDEX(AsistenciaJetAdminConcatenada!$D:$D, MATCH(1, (AsistenciaJetAdminConcatenada!$A:$A=AM$2)*(AsistenciaJetAdminConcatenada!$B:$B=AM$1), 0)), 1))),  0.5, 0))</f>
        <v>1</v>
      </c>
      <c r="AN82" s="47">
        <f t="array" ref="AN82">IF(AND(ISNUMBER(MATCH(AN$2, AsistenciaJetAdminConcatenada!$A:$A, 0)), ISNUMBER(MATCH(AN$1, AsistenciaJetAdminConcatenada!$B:$B, 0)), ISNUMBER(SEARCH($A82,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ISNUMBER(SEARCH($A82, INDEX(AsistenciaJetAdminConcatenada!$D:$D, MATCH(1, (AsistenciaJetAdminConcatenada!$A:$A=AN$2)*(AsistenciaJetAdminConcatenada!$B:$B=AN$1), 0)), 1))),  0.5, 0))</f>
        <v>0</v>
      </c>
      <c r="AO82" s="47">
        <f t="array" ref="AO82">IF(AND(ISNUMBER(MATCH(AO$2, AsistenciaJetAdminConcatenada!$A:$A, 0)), ISNUMBER(MATCH(AO$1, AsistenciaJetAdminConcatenada!$B:$B, 0)), ISNUMBER(SEARCH($A82,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ISNUMBER(SEARCH($A82, INDEX(AsistenciaJetAdminConcatenada!$D:$D, MATCH(1, (AsistenciaJetAdminConcatenada!$A:$A=AO$2)*(AsistenciaJetAdminConcatenada!$B:$B=AO$1), 0)), 1))),  0.5, 0))</f>
        <v>0</v>
      </c>
      <c r="AP82" s="47">
        <f t="array" ref="AP82">IF(AND(ISNUMBER(MATCH(AP$2, AsistenciaJetAdminConcatenada!$A:$A, 0)), ISNUMBER(MATCH(AP$1, AsistenciaJetAdminConcatenada!$B:$B, 0)), ISNUMBER(SEARCH($A82,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ISNUMBER(SEARCH($A82, INDEX(AsistenciaJetAdminConcatenada!$D:$D, MATCH(1, (AsistenciaJetAdminConcatenada!$A:$A=AP$2)*(AsistenciaJetAdminConcatenada!$B:$B=AP$1), 0)), 1))),  0.5, 0))</f>
        <v>0</v>
      </c>
      <c r="AQ82" s="47">
        <f t="array" ref="AQ82">IF(AND(ISNUMBER(MATCH(AQ$2, AsistenciaJetAdminConcatenada!$A:$A, 0)), ISNUMBER(MATCH(AQ$1, AsistenciaJetAdminConcatenada!$B:$B, 0)), ISNUMBER(SEARCH($A82,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ISNUMBER(SEARCH($A82, INDEX(AsistenciaJetAdminConcatenada!$D:$D, MATCH(1, (AsistenciaJetAdminConcatenada!$A:$A=AQ$2)*(AsistenciaJetAdminConcatenada!$B:$B=AQ$1), 0)), 1))),  0.5, 0))</f>
        <v>0</v>
      </c>
      <c r="AR82" s="47">
        <f t="array" ref="AR82">IF(AND(ISNUMBER(MATCH(AR$2, AsistenciaJetAdminConcatenada!$A:$A, 0)), ISNUMBER(MATCH(AR$1, AsistenciaJetAdminConcatenada!$B:$B, 0)), ISNUMBER(SEARCH($A82,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ISNUMBER(SEARCH($A82, INDEX(AsistenciaJetAdminConcatenada!$D:$D, MATCH(1, (AsistenciaJetAdminConcatenada!$A:$A=AR$2)*(AsistenciaJetAdminConcatenada!$B:$B=AR$1), 0)), 1))),  0.5, 0))</f>
        <v>1</v>
      </c>
      <c r="AS82" s="47">
        <f t="array" ref="AS82">IF(AND(ISNUMBER(MATCH(AS$2, AsistenciaJetAdminConcatenada!$A:$A, 0)), ISNUMBER(MATCH(AS$1, AsistenciaJetAdminConcatenada!$B:$B, 0)), ISNUMBER(SEARCH($A82,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ISNUMBER(SEARCH($A82, INDEX(AsistenciaJetAdminConcatenada!$D:$D, MATCH(1, (AsistenciaJetAdminConcatenada!$A:$A=AS$2)*(AsistenciaJetAdminConcatenada!$B:$B=AS$1), 0)), 1))),  0.5, 0))</f>
        <v>0</v>
      </c>
      <c r="AT82" s="47">
        <f t="array" ref="AT82">IF(AND(ISNUMBER(MATCH(AT$2, AsistenciaJetAdminConcatenada!$A:$A, 0)), ISNUMBER(MATCH(AT$1, AsistenciaJetAdminConcatenada!$B:$B, 0)), ISNUMBER(SEARCH($A82,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ISNUMBER(SEARCH($A82, INDEX(AsistenciaJetAdminConcatenada!$D:$D, MATCH(1, (AsistenciaJetAdminConcatenada!$A:$A=AT$2)*(AsistenciaJetAdminConcatenada!$B:$B=AT$1), 0)), 1))),  0.5, 0))</f>
        <v>0</v>
      </c>
      <c r="AU82" s="47">
        <f t="array" ref="AU82">IF(AND(ISNUMBER(MATCH(AU$2, AsistenciaJetAdminConcatenada!$A:$A, 0)), ISNUMBER(MATCH(AU$1, AsistenciaJetAdminConcatenada!$B:$B, 0)), ISNUMBER(SEARCH($A82,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ISNUMBER(SEARCH($A82, INDEX(AsistenciaJetAdminConcatenada!$D:$D, MATCH(1, (AsistenciaJetAdminConcatenada!$A:$A=AU$2)*(AsistenciaJetAdminConcatenada!$B:$B=AU$1), 0)), 1))),  0.5, 0))</f>
        <v>1</v>
      </c>
      <c r="AV82" s="47">
        <f t="array" ref="AV82">IF(AND(ISNUMBER(MATCH(AV$2, AsistenciaJetAdminConcatenada!$A:$A, 0)), ISNUMBER(MATCH(AV$1, AsistenciaJetAdminConcatenada!$B:$B, 0)), ISNUMBER(SEARCH($A82,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ISNUMBER(SEARCH($A82, INDEX(AsistenciaJetAdminConcatenada!$D:$D, MATCH(1, (AsistenciaJetAdminConcatenada!$A:$A=AV$2)*(AsistenciaJetAdminConcatenada!$B:$B=AV$1), 0)), 1))),  0.5, 0))</f>
        <v>1</v>
      </c>
      <c r="AW82" s="47">
        <f t="array" ref="AW82">IF(AND(ISNUMBER(MATCH(AW$2, AsistenciaJetAdminConcatenada!$A:$A, 0)), ISNUMBER(MATCH(AW$1, AsistenciaJetAdminConcatenada!$B:$B, 0)), ISNUMBER(SEARCH($A82,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ISNUMBER(SEARCH($A82, INDEX(AsistenciaJetAdminConcatenada!$D:$D, MATCH(1, (AsistenciaJetAdminConcatenada!$A:$A=AW$2)*(AsistenciaJetAdminConcatenada!$B:$B=AW$1), 0)), 1))),  0.5, 0))</f>
        <v>0</v>
      </c>
      <c r="AX82" s="47">
        <f t="array" ref="AX82">IF(AND(ISNUMBER(MATCH(AX$2, AsistenciaJetAdminConcatenada!$A:$A, 0)), ISNUMBER(MATCH(AX$1, AsistenciaJetAdminConcatenada!$B:$B, 0)), ISNUMBER(SEARCH($A82,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ISNUMBER(SEARCH($A82, INDEX(AsistenciaJetAdminConcatenada!$D:$D, MATCH(1, (AsistenciaJetAdminConcatenada!$A:$A=AX$2)*(AsistenciaJetAdminConcatenada!$B:$B=AX$1), 0)), 1))),  0.5, 0))</f>
        <v>1</v>
      </c>
      <c r="AY82" s="47">
        <f t="array" ref="AY82">IF(AND(ISNUMBER(MATCH(AY$2, AsistenciaJetAdminConcatenada!$A:$A, 0)), ISNUMBER(MATCH(AY$1, AsistenciaJetAdminConcatenada!$B:$B, 0)), ISNUMBER(SEARCH($A82,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ISNUMBER(SEARCH($A82, INDEX(AsistenciaJetAdminConcatenada!$D:$D, MATCH(1, (AsistenciaJetAdminConcatenada!$A:$A=AY$2)*(AsistenciaJetAdminConcatenada!$B:$B=AY$1), 0)), 1))),  0.5, 0))</f>
        <v>1</v>
      </c>
      <c r="AZ82" s="47">
        <f t="array" ref="AZ82">IF(AND(ISNUMBER(MATCH(AZ$2, AsistenciaJetAdminConcatenada!$A:$A, 0)), ISNUMBER(MATCH(AZ$1, AsistenciaJetAdminConcatenada!$B:$B, 0)), ISNUMBER(SEARCH($A82,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ISNUMBER(SEARCH($A82, INDEX(AsistenciaJetAdminConcatenada!$D:$D, MATCH(1, (AsistenciaJetAdminConcatenada!$A:$A=AZ$2)*(AsistenciaJetAdminConcatenada!$B:$B=AZ$1), 0)), 1))),  0.5, 0))</f>
        <v>1</v>
      </c>
      <c r="BA82" s="47">
        <f t="array" ref="BA82">IF(AND(ISNUMBER(MATCH(BA$2, AsistenciaJetAdminConcatenada!$A:$A, 0)), ISNUMBER(MATCH(BA$1, AsistenciaJetAdminConcatenada!$B:$B, 0)), ISNUMBER(SEARCH($A82,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ISNUMBER(SEARCH($A82, INDEX(AsistenciaJetAdminConcatenada!$D:$D, MATCH(1, (AsistenciaJetAdminConcatenada!$A:$A=BA$2)*(AsistenciaJetAdminConcatenada!$B:$B=BA$1), 0)), 1))),  0.5, 0))</f>
        <v>0</v>
      </c>
      <c r="BB82" s="47">
        <f t="array" ref="BB82">IF(AND(ISNUMBER(MATCH(BB$2, AsistenciaJetAdminConcatenada!$A:$A, 0)), ISNUMBER(MATCH(BB$1, AsistenciaJetAdminConcatenada!$B:$B, 0)), ISNUMBER(SEARCH($A82,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ISNUMBER(SEARCH($A82, INDEX(AsistenciaJetAdminConcatenada!$D:$D, MATCH(1, (AsistenciaJetAdminConcatenada!$A:$A=BB$2)*(AsistenciaJetAdminConcatenada!$B:$B=BB$1), 0)), 1))),  0.5, 0))</f>
        <v>1</v>
      </c>
      <c r="BC82" s="47">
        <f t="array" ref="BC82">IF(AND(ISNUMBER(MATCH(BC$2, AsistenciaJetAdminConcatenada!$A:$A, 0)), ISNUMBER(MATCH(BC$1, AsistenciaJetAdminConcatenada!$B:$B, 0)), ISNUMBER(SEARCH($A82,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ISNUMBER(SEARCH($A82, INDEX(AsistenciaJetAdminConcatenada!$D:$D, MATCH(1, (AsistenciaJetAdminConcatenada!$A:$A=BC$2)*(AsistenciaJetAdminConcatenada!$B:$B=BC$1), 0)), 1))),  0.5, 0))</f>
        <v>1</v>
      </c>
      <c r="BD82" s="47">
        <f t="array" ref="BD82">IF(AND(ISNUMBER(MATCH(BD$2, AsistenciaJetAdminConcatenada!$A:$A, 0)), ISNUMBER(MATCH(BD$1, AsistenciaJetAdminConcatenada!$B:$B, 0)), ISNUMBER(SEARCH($A82,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ISNUMBER(SEARCH($A82, INDEX(AsistenciaJetAdminConcatenada!$D:$D, MATCH(1, (AsistenciaJetAdminConcatenada!$A:$A=BD$2)*(AsistenciaJetAdminConcatenada!$B:$B=BD$1), 0)), 1))),  0.5, 0))</f>
        <v>0</v>
      </c>
      <c r="BE82" s="47">
        <f t="array" ref="BE82">IF(AND(ISNUMBER(MATCH(BE$2, AsistenciaJetAdminConcatenada!$A:$A, 0)), ISNUMBER(MATCH(BE$1, AsistenciaJetAdminConcatenada!$B:$B, 0)), ISNUMBER(SEARCH($A82,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ISNUMBER(SEARCH($A82, INDEX(AsistenciaJetAdminConcatenada!$D:$D, MATCH(1, (AsistenciaJetAdminConcatenada!$A:$A=BE$2)*(AsistenciaJetAdminConcatenada!$B:$B=BE$1), 0)), 1))),  0.5, 0))</f>
        <v>1</v>
      </c>
      <c r="BF82" s="47">
        <f t="array" ref="BF82">IF(AND(ISNUMBER(MATCH(BF$2, AsistenciaJetAdminConcatenada!$A:$A, 0)), ISNUMBER(MATCH(BF$1, AsistenciaJetAdminConcatenada!$B:$B, 0)), ISNUMBER(SEARCH($A82,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ISNUMBER(SEARCH($A82, INDEX(AsistenciaJetAdminConcatenada!$D:$D, MATCH(1, (AsistenciaJetAdminConcatenada!$A:$A=BF$2)*(AsistenciaJetAdminConcatenada!$B:$B=BF$1), 0)), 1))),  0.5, 0))</f>
        <v>1</v>
      </c>
      <c r="BG82" s="47">
        <f t="array" ref="BG82">IF(AND(ISNUMBER(MATCH(BG$2, AsistenciaJetAdminConcatenada!$A:$A, 0)), ISNUMBER(MATCH(BG$1, AsistenciaJetAdminConcatenada!$B:$B, 0)), ISNUMBER(SEARCH($A82,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ISNUMBER(SEARCH($A82, INDEX(AsistenciaJetAdminConcatenada!$D:$D, MATCH(1, (AsistenciaJetAdminConcatenada!$A:$A=BG$2)*(AsistenciaJetAdminConcatenada!$B:$B=BG$1), 0)), 1))),  0.5, 0))</f>
        <v>1</v>
      </c>
      <c r="BH82" s="47">
        <f t="array" ref="BH82">IF(AND(ISNUMBER(MATCH(BH$2, AsistenciaJetAdminConcatenada!$A:$A, 0)), ISNUMBER(MATCH(BH$1, AsistenciaJetAdminConcatenada!$B:$B, 0)), ISNUMBER(SEARCH($A82,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ISNUMBER(SEARCH($A82, INDEX(AsistenciaJetAdminConcatenada!$D:$D, MATCH(1, (AsistenciaJetAdminConcatenada!$A:$A=BH$2)*(AsistenciaJetAdminConcatenada!$B:$B=BH$1), 0)), 1))),  0.5, 0))</f>
        <v>1</v>
      </c>
      <c r="BI82" s="47">
        <f t="array" ref="BI82">IF(AND(ISNUMBER(MATCH(BI$2, AsistenciaJetAdminConcatenada!$A:$A, 0)), ISNUMBER(MATCH(BI$1, AsistenciaJetAdminConcatenada!$B:$B, 0)), ISNUMBER(SEARCH($A82,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ISNUMBER(SEARCH($A82, INDEX(AsistenciaJetAdminConcatenada!$D:$D, MATCH(1, (AsistenciaJetAdminConcatenada!$A:$A=BI$2)*(AsistenciaJetAdminConcatenada!$B:$B=BI$1), 0)), 1))),  0.5, 0))</f>
        <v>0.5</v>
      </c>
      <c r="BJ82" s="47">
        <f t="array" ref="BJ82">IF(AND(ISNUMBER(MATCH(BJ$2, AsistenciaJetAdminConcatenada!$A:$A, 0)), ISNUMBER(MATCH(BJ$1, AsistenciaJetAdminConcatenada!$B:$B, 0)), ISNUMBER(SEARCH($A82,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ISNUMBER(SEARCH($A82, INDEX(AsistenciaJetAdminConcatenada!$D:$D, MATCH(1, (AsistenciaJetAdminConcatenada!$A:$A=BJ$2)*(AsistenciaJetAdminConcatenada!$B:$B=BJ$1), 0)), 1))),  0.5, 0))</f>
        <v>1</v>
      </c>
      <c r="BK82" s="47">
        <f t="array" ref="BK82">IF(AND(ISNUMBER(MATCH(BK$2, AsistenciaJetAdminConcatenada!$A:$A, 0)), ISNUMBER(MATCH(BK$1, AsistenciaJetAdminConcatenada!$B:$B, 0)), ISNUMBER(SEARCH($A82,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ISNUMBER(SEARCH($A82, INDEX(AsistenciaJetAdminConcatenada!$D:$D, MATCH(1, (AsistenciaJetAdminConcatenada!$A:$A=BK$2)*(AsistenciaJetAdminConcatenada!$B:$B=BK$1), 0)), 1))),  0.5, 0))</f>
        <v>1</v>
      </c>
      <c r="BL82" s="47">
        <f t="array" ref="BL82">IF(AND(ISNUMBER(MATCH(BL$2, AsistenciaJetAdminConcatenada!$A:$A, 0)), ISNUMBER(MATCH(BL$1, AsistenciaJetAdminConcatenada!$B:$B, 0)), ISNUMBER(SEARCH($A82,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ISNUMBER(SEARCH($A82, INDEX(AsistenciaJetAdminConcatenada!$D:$D, MATCH(1, (AsistenciaJetAdminConcatenada!$A:$A=BL$2)*(AsistenciaJetAdminConcatenada!$B:$B=BL$1), 0)), 1))),  0.5, 0))</f>
        <v>1</v>
      </c>
      <c r="BM82" s="47">
        <f t="array" ref="BM82">IF(AND(ISNUMBER(MATCH(BM$2, AsistenciaJetAdminConcatenada!$A:$A, 0)), ISNUMBER(MATCH(BM$1, AsistenciaJetAdminConcatenada!$B:$B, 0)), ISNUMBER(SEARCH($A82,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ISNUMBER(SEARCH($A82, INDEX(AsistenciaJetAdminConcatenada!$D:$D, MATCH(1, (AsistenciaJetAdminConcatenada!$A:$A=BM$2)*(AsistenciaJetAdminConcatenada!$B:$B=BM$1), 0)), 1))),  0.5, 0))</f>
        <v>1</v>
      </c>
      <c r="BN82" s="47">
        <f t="array" ref="BN82">IF(AND(ISNUMBER(MATCH(BN$2, AsistenciaJetAdminConcatenada!$A:$A, 0)), ISNUMBER(MATCH(BN$1, AsistenciaJetAdminConcatenada!$B:$B, 0)), ISNUMBER(SEARCH($A82,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ISNUMBER(SEARCH($A82, INDEX(AsistenciaJetAdminConcatenada!$D:$D, MATCH(1, (AsistenciaJetAdminConcatenada!$A:$A=BN$2)*(AsistenciaJetAdminConcatenada!$B:$B=BN$1), 0)), 1))),  0.5, 0))</f>
        <v>0</v>
      </c>
      <c r="BO82" s="47">
        <f t="array" ref="BO82">IF(AND(ISNUMBER(MATCH(BO$2, AsistenciaJetAdminConcatenada!$A:$A, 0)), ISNUMBER(MATCH(BO$1, AsistenciaJetAdminConcatenada!$B:$B, 0)), ISNUMBER(SEARCH($A82,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ISNUMBER(SEARCH($A82, INDEX(AsistenciaJetAdminConcatenada!$D:$D, MATCH(1, (AsistenciaJetAdminConcatenada!$A:$A=BO$2)*(AsistenciaJetAdminConcatenada!$B:$B=BO$1), 0)), 1))),  0.5, 0))</f>
        <v>1</v>
      </c>
      <c r="BP82" s="47">
        <f t="array" ref="BP82">IF(AND(ISNUMBER(MATCH(BP$2, AsistenciaJetAdminConcatenada!$A:$A, 0)), ISNUMBER(MATCH(BP$1, AsistenciaJetAdminConcatenada!$B:$B, 0)), ISNUMBER(SEARCH($A82,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ISNUMBER(SEARCH($A82, INDEX(AsistenciaJetAdminConcatenada!$D:$D, MATCH(1, (AsistenciaJetAdminConcatenada!$A:$A=BP$2)*(AsistenciaJetAdminConcatenada!$B:$B=BP$1), 0)), 1))),  0.5, 0))</f>
        <v>0</v>
      </c>
      <c r="BQ82" s="47">
        <f t="array" ref="BQ82">IF(AND(ISNUMBER(MATCH(BQ$2, AsistenciaJetAdminConcatenada!$A:$A, 0)), ISNUMBER(MATCH(BQ$1, AsistenciaJetAdminConcatenada!$B:$B, 0)), ISNUMBER(SEARCH($A82,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ISNUMBER(SEARCH($A82, INDEX(AsistenciaJetAdminConcatenada!$D:$D, MATCH(1, (AsistenciaJetAdminConcatenada!$A:$A=BQ$2)*(AsistenciaJetAdminConcatenada!$B:$B=BQ$1), 0)), 1))),  0.5, 0))</f>
        <v>1</v>
      </c>
      <c r="BR82" s="47">
        <f t="array" ref="BR82">IF(AND(ISNUMBER(MATCH(BR$2, AsistenciaJetAdminConcatenada!$A:$A, 0)), ISNUMBER(MATCH(BR$1, AsistenciaJetAdminConcatenada!$B:$B, 0)), ISNUMBER(SEARCH($A82,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ISNUMBER(SEARCH($A82, INDEX(AsistenciaJetAdminConcatenada!$D:$D, MATCH(1, (AsistenciaJetAdminConcatenada!$A:$A=BR$2)*(AsistenciaJetAdminConcatenada!$B:$B=BR$1), 0)), 1))),  0.5, 0))</f>
        <v>0</v>
      </c>
      <c r="BS82" s="47">
        <f t="array" ref="BS82">IF(AND(ISNUMBER(MATCH(BS$2, AsistenciaJetAdminConcatenada!$A:$A, 0)), ISNUMBER(MATCH(BS$1, AsistenciaJetAdminConcatenada!$B:$B, 0)), ISNUMBER(SEARCH($A82,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ISNUMBER(SEARCH($A82, INDEX(AsistenciaJetAdminConcatenada!$D:$D, MATCH(1, (AsistenciaJetAdminConcatenada!$A:$A=BS$2)*(AsistenciaJetAdminConcatenada!$B:$B=BS$1), 0)), 1))),  0.5, 0))</f>
        <v>0</v>
      </c>
      <c r="BT82" s="47">
        <f t="array" ref="BT82">IF(AND(ISNUMBER(MATCH(BT$2, AsistenciaJetAdminConcatenada!$A:$A, 0)), ISNUMBER(MATCH(BT$1, AsistenciaJetAdminConcatenada!$B:$B, 0)), ISNUMBER(SEARCH($A82,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ISNUMBER(SEARCH($A82, INDEX(AsistenciaJetAdminConcatenada!$D:$D, MATCH(1, (AsistenciaJetAdminConcatenada!$A:$A=BT$2)*(AsistenciaJetAdminConcatenada!$B:$B=BT$1), 0)), 1))),  0.5, 0))</f>
        <v>1</v>
      </c>
      <c r="BU82" s="47">
        <f t="array" ref="BU82">IF(AND(ISNUMBER(MATCH(BU$2, AsistenciaJetAdminConcatenada!$A:$A, 0)), ISNUMBER(MATCH(BU$1, AsistenciaJetAdminConcatenada!$B:$B, 0)), ISNUMBER(SEARCH($A82,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ISNUMBER(SEARCH($A82, INDEX(AsistenciaJetAdminConcatenada!$D:$D, MATCH(1, (AsistenciaJetAdminConcatenada!$A:$A=BU$2)*(AsistenciaJetAdminConcatenada!$B:$B=BU$1), 0)), 1))),  0.5, 0))</f>
        <v>1</v>
      </c>
      <c r="BV82" s="47">
        <f t="array" ref="BV82">IF(AND(ISNUMBER(MATCH(BV$2, AsistenciaJetAdminConcatenada!$A:$A, 0)), ISNUMBER(MATCH(BV$1, AsistenciaJetAdminConcatenada!$B:$B, 0)), ISNUMBER(SEARCH($A82,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ISNUMBER(SEARCH($A82, INDEX(AsistenciaJetAdminConcatenada!$D:$D, MATCH(1, (AsistenciaJetAdminConcatenada!$A:$A=BV$2)*(AsistenciaJetAdminConcatenada!$B:$B=BV$1), 0)), 1))),  0.5, 0))</f>
        <v>1</v>
      </c>
      <c r="BW82" s="47">
        <f t="array" ref="BW82">IF(AND(ISNUMBER(MATCH(BW$2, AsistenciaJetAdminConcatenada!$A:$A, 0)), ISNUMBER(MATCH(BW$1, AsistenciaJetAdminConcatenada!$B:$B, 0)), ISNUMBER(SEARCH($A82,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ISNUMBER(SEARCH($A82, INDEX(AsistenciaJetAdminConcatenada!$D:$D, MATCH(1, (AsistenciaJetAdminConcatenada!$A:$A=BW$2)*(AsistenciaJetAdminConcatenada!$B:$B=BW$1), 0)), 1))),  0.5, 0))</f>
        <v>1</v>
      </c>
      <c r="BX82" s="47">
        <f t="array" ref="BX82">IF(AND(ISNUMBER(MATCH(BX$2, AsistenciaJetAdminConcatenada!$A:$A, 0)), ISNUMBER(MATCH(BX$1, AsistenciaJetAdminConcatenada!$B:$B, 0)), ISNUMBER(SEARCH($A82,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ISNUMBER(SEARCH($A82, INDEX(AsistenciaJetAdminConcatenada!$D:$D, MATCH(1, (AsistenciaJetAdminConcatenada!$A:$A=BX$2)*(AsistenciaJetAdminConcatenada!$B:$B=BX$1), 0)), 1))),  0.5, 0))</f>
        <v>0.5</v>
      </c>
      <c r="BY82" s="47">
        <f t="array" ref="BY82">IF(AND(ISNUMBER(MATCH(BY$2, AsistenciaJetAdminConcatenada!$A:$A, 0)), ISNUMBER(MATCH(BY$1, AsistenciaJetAdminConcatenada!$B:$B, 0)), ISNUMBER(SEARCH($A82,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ISNUMBER(SEARCH($A82, INDEX(AsistenciaJetAdminConcatenada!$D:$D, MATCH(1, (AsistenciaJetAdminConcatenada!$A:$A=BY$2)*(AsistenciaJetAdminConcatenada!$B:$B=BY$1), 0)), 1))),  0.5, 0))</f>
        <v>1</v>
      </c>
      <c r="BZ82" s="47">
        <f t="array" ref="BZ82">IF(AND(ISNUMBER(MATCH(BZ$2, AsistenciaJetAdminConcatenada!$A:$A, 0)), ISNUMBER(MATCH(BZ$1, AsistenciaJetAdminConcatenada!$B:$B, 0)), ISNUMBER(SEARCH($A82,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ISNUMBER(SEARCH($A82, INDEX(AsistenciaJetAdminConcatenada!$D:$D, MATCH(1, (AsistenciaJetAdminConcatenada!$A:$A=BZ$2)*(AsistenciaJetAdminConcatenada!$B:$B=BZ$1), 0)), 1))),  0.5, 0))</f>
        <v>0</v>
      </c>
      <c r="CA82" s="47">
        <f t="array" ref="CA82">IF(AND(ISNUMBER(MATCH(CA$2, AsistenciaJetAdminConcatenada!$A:$A, 0)), ISNUMBER(MATCH(CA$1, AsistenciaJetAdminConcatenada!$B:$B, 0)), ISNUMBER(SEARCH($A82,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ISNUMBER(SEARCH($A82, INDEX(AsistenciaJetAdminConcatenada!$D:$D, MATCH(1, (AsistenciaJetAdminConcatenada!$A:$A=CA$2)*(AsistenciaJetAdminConcatenada!$B:$B=CA$1), 0)), 1))),  0.5, 0))</f>
        <v>1</v>
      </c>
      <c r="CB82" s="47">
        <f t="array" ref="CB82">IF(AND(ISNUMBER(MATCH(CB$2, AsistenciaJetAdminConcatenada!$A:$A, 0)), ISNUMBER(MATCH(CB$1, AsistenciaJetAdminConcatenada!$B:$B, 0)), ISNUMBER(SEARCH($A82,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ISNUMBER(SEARCH($A82, INDEX(AsistenciaJetAdminConcatenada!$D:$D, MATCH(1, (AsistenciaJetAdminConcatenada!$A:$A=CB$2)*(AsistenciaJetAdminConcatenada!$B:$B=CB$1), 0)), 1))),  0.5, 0))</f>
        <v>0</v>
      </c>
      <c r="CC82" s="47">
        <f t="array" ref="CC82">IF(AND(ISNUMBER(MATCH(CC$2, AsistenciaJetAdminConcatenada!$A:$A, 0)), ISNUMBER(MATCH(CC$1, AsistenciaJetAdminConcatenada!$B:$B, 0)), ISNUMBER(SEARCH($A82,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ISNUMBER(SEARCH($A82, INDEX(AsistenciaJetAdminConcatenada!$D:$D, MATCH(1, (AsistenciaJetAdminConcatenada!$A:$A=CC$2)*(AsistenciaJetAdminConcatenada!$B:$B=CC$1), 0)), 1))),  0.5, 0))</f>
        <v>1</v>
      </c>
      <c r="CD82" s="47">
        <f t="array" ref="CD82">IF(AND(ISNUMBER(MATCH(CD$2, AsistenciaJetAdminConcatenada!$A:$A, 0)), ISNUMBER(MATCH(CD$1, AsistenciaJetAdminConcatenada!$B:$B, 0)), ISNUMBER(SEARCH($A82,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ISNUMBER(SEARCH($A82, INDEX(AsistenciaJetAdminConcatenada!$D:$D, MATCH(1, (AsistenciaJetAdminConcatenada!$A:$A=CD$2)*(AsistenciaJetAdminConcatenada!$B:$B=CD$1), 0)), 1))),  0.5, 0))</f>
        <v>1</v>
      </c>
      <c r="CE82" s="47">
        <f t="array" ref="CE82">IF(AND(ISNUMBER(MATCH(CE$2, AsistenciaJetAdminConcatenada!$A:$A, 0)), ISNUMBER(MATCH(CE$1, AsistenciaJetAdminConcatenada!$B:$B, 0)), ISNUMBER(SEARCH($A82,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ISNUMBER(SEARCH($A82, INDEX(AsistenciaJetAdminConcatenada!$D:$D, MATCH(1, (AsistenciaJetAdminConcatenada!$A:$A=CE$2)*(AsistenciaJetAdminConcatenada!$B:$B=CE$1), 0)), 1))),  0.5, 0))</f>
        <v>1</v>
      </c>
      <c r="CF82" s="47">
        <f t="array" ref="CF82">IF(AND(ISNUMBER(MATCH(CF$2, AsistenciaJetAdminConcatenada!$A:$A, 0)), ISNUMBER(MATCH(CF$1, AsistenciaJetAdminConcatenada!$B:$B, 0)), ISNUMBER(SEARCH($A82,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ISNUMBER(SEARCH($A82, INDEX(AsistenciaJetAdminConcatenada!$D:$D, MATCH(1, (AsistenciaJetAdminConcatenada!$A:$A=CF$2)*(AsistenciaJetAdminConcatenada!$B:$B=CF$1), 0)), 1))),  0.5, 0))</f>
        <v>1</v>
      </c>
      <c r="CG82" s="47">
        <f t="array" ref="CG82">IF(AND(ISNUMBER(MATCH(CG$2, AsistenciaJetAdminConcatenada!$A:$A, 0)), ISNUMBER(MATCH(CG$1, AsistenciaJetAdminConcatenada!$B:$B, 0)), ISNUMBER(SEARCH($A82,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ISNUMBER(SEARCH($A82, INDEX(AsistenciaJetAdminConcatenada!$D:$D, MATCH(1, (AsistenciaJetAdminConcatenada!$A:$A=CG$2)*(AsistenciaJetAdminConcatenada!$B:$B=CG$1), 0)), 1))),  0.5, 0))</f>
        <v>0</v>
      </c>
      <c r="CH82" s="47">
        <f t="array" ref="CH82">IF(AND(ISNUMBER(MATCH(CH$2, AsistenciaJetAdminConcatenada!$A:$A, 0)), ISNUMBER(MATCH(CH$1, AsistenciaJetAdminConcatenada!$B:$B, 0)), ISNUMBER(SEARCH($A82,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ISNUMBER(SEARCH($A82, INDEX(AsistenciaJetAdminConcatenada!$D:$D, MATCH(1, (AsistenciaJetAdminConcatenada!$A:$A=CH$2)*(AsistenciaJetAdminConcatenada!$B:$B=CH$1), 0)), 1))),  0.5, 0))</f>
        <v>0</v>
      </c>
      <c r="CI82" s="47">
        <f t="array" ref="CI82">IF(AND(ISNUMBER(MATCH(CI$2, AsistenciaJetAdminConcatenada!$A:$A, 0)), ISNUMBER(MATCH(CI$1, AsistenciaJetAdminConcatenada!$B:$B, 0)), ISNUMBER(SEARCH($A82,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ISNUMBER(SEARCH($A82, INDEX(AsistenciaJetAdminConcatenada!$D:$D, MATCH(1, (AsistenciaJetAdminConcatenada!$A:$A=CI$2)*(AsistenciaJetAdminConcatenada!$B:$B=CI$1), 0)), 1))),  0.5, 0))</f>
        <v>1</v>
      </c>
      <c r="CJ82" s="47">
        <f t="array" ref="CJ82">IF(AND(ISNUMBER(MATCH(CJ$2, AsistenciaJetAdminConcatenada!$A:$A, 0)), ISNUMBER(MATCH(CJ$1, AsistenciaJetAdminConcatenada!$B:$B, 0)), ISNUMBER(SEARCH($A82,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ISNUMBER(SEARCH($A82, INDEX(AsistenciaJetAdminConcatenada!$D:$D, MATCH(1, (AsistenciaJetAdminConcatenada!$A:$A=CJ$2)*(AsistenciaJetAdminConcatenada!$B:$B=CJ$1), 0)), 1))),  0.5, 0))</f>
        <v>1</v>
      </c>
      <c r="CK82" s="47">
        <f t="array" ref="CK82">IF(AND(ISNUMBER(MATCH(CK$2, AsistenciaJetAdminConcatenada!$A:$A, 0)), ISNUMBER(MATCH(CK$1, AsistenciaJetAdminConcatenada!$B:$B, 0)), ISNUMBER(SEARCH($A82,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ISNUMBER(SEARCH($A82, INDEX(AsistenciaJetAdminConcatenada!$D:$D, MATCH(1, (AsistenciaJetAdminConcatenada!$A:$A=CK$2)*(AsistenciaJetAdminConcatenada!$B:$B=CK$1), 0)), 1))),  0.5, 0))</f>
        <v>0</v>
      </c>
      <c r="CL82" s="47">
        <f t="array" ref="CL82">IF(AND(ISNUMBER(MATCH(CL$2, AsistenciaJetAdminConcatenada!$A:$A, 0)), ISNUMBER(MATCH(CL$1, AsistenciaJetAdminConcatenada!$B:$B, 0)), ISNUMBER(SEARCH($A82,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ISNUMBER(SEARCH($A82, INDEX(AsistenciaJetAdminConcatenada!$D:$D, MATCH(1, (AsistenciaJetAdminConcatenada!$A:$A=CL$2)*(AsistenciaJetAdminConcatenada!$B:$B=CL$1), 0)), 1))),  0.5, 0))</f>
        <v>1</v>
      </c>
      <c r="CM82" s="47">
        <f t="array" ref="CM82">IF(AND(ISNUMBER(MATCH(CM$2, AsistenciaJetAdminConcatenada!$A:$A, 0)), ISNUMBER(MATCH(CM$1, AsistenciaJetAdminConcatenada!$B:$B, 0)), ISNUMBER(SEARCH($A82,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ISNUMBER(SEARCH($A82, INDEX(AsistenciaJetAdminConcatenada!$D:$D, MATCH(1, (AsistenciaJetAdminConcatenada!$A:$A=CM$2)*(AsistenciaJetAdminConcatenada!$B:$B=CM$1), 0)), 1))),  0.5, 0))</f>
        <v>1</v>
      </c>
      <c r="CN82" s="47">
        <f t="array" ref="CN82">IF(AND(ISNUMBER(MATCH(CN$2, AsistenciaJetAdminConcatenada!$A:$A, 0)), ISNUMBER(MATCH(CN$1, AsistenciaJetAdminConcatenada!$B:$B, 0)), ISNUMBER(SEARCH($A82,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ISNUMBER(SEARCH($A82, INDEX(AsistenciaJetAdminConcatenada!$D:$D, MATCH(1, (AsistenciaJetAdminConcatenada!$A:$A=CN$2)*(AsistenciaJetAdminConcatenada!$B:$B=CN$1), 0)), 1))),  0.5, 0))</f>
        <v>0</v>
      </c>
      <c r="CO82" s="47">
        <f t="array" ref="CO82">IF(AND(ISNUMBER(MATCH(CO$2, AsistenciaJetAdminConcatenada!$A:$A, 0)), ISNUMBER(MATCH(CO$1, AsistenciaJetAdminConcatenada!$B:$B, 0)), ISNUMBER(SEARCH($A82,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ISNUMBER(SEARCH($A82, INDEX(AsistenciaJetAdminConcatenada!$D:$D, MATCH(1, (AsistenciaJetAdminConcatenada!$A:$A=CO$2)*(AsistenciaJetAdminConcatenada!$B:$B=CO$1), 0)), 1))),  0.5, 0))</f>
        <v>0</v>
      </c>
      <c r="CP82" s="47">
        <f t="array" ref="CP82">IF(AND(ISNUMBER(MATCH(CP$2, AsistenciaJetAdminConcatenada!$A:$A, 0)), ISNUMBER(MATCH(CP$1, AsistenciaJetAdminConcatenada!$B:$B, 0)), ISNUMBER(SEARCH($A82,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ISNUMBER(SEARCH($A82, INDEX(AsistenciaJetAdminConcatenada!$D:$D, MATCH(1, (AsistenciaJetAdminConcatenada!$A:$A=CP$2)*(AsistenciaJetAdminConcatenada!$B:$B=CP$1), 0)), 1))),  0.5, 0))</f>
        <v>1</v>
      </c>
      <c r="CQ82" s="47">
        <f t="array" ref="CQ82">IF(AND(ISNUMBER(MATCH(CQ$2, AsistenciaJetAdminConcatenada!$A:$A, 0)), ISNUMBER(MATCH(CQ$1, AsistenciaJetAdminConcatenada!$B:$B, 0)), ISNUMBER(SEARCH($A82,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ISNUMBER(SEARCH($A82, INDEX(AsistenciaJetAdminConcatenada!$D:$D, MATCH(1, (AsistenciaJetAdminConcatenada!$A:$A=CQ$2)*(AsistenciaJetAdminConcatenada!$B:$B=CQ$1), 0)), 1))),  0.5, 0))</f>
        <v>1</v>
      </c>
      <c r="CR82" s="47">
        <f t="array" ref="CR82">IF(AND(ISNUMBER(MATCH(CR$2, AsistenciaJetAdminConcatenada!$A:$A, 0)), ISNUMBER(MATCH(CR$1, AsistenciaJetAdminConcatenada!$B:$B, 0)), ISNUMBER(SEARCH($A82,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ISNUMBER(SEARCH($A82, INDEX(AsistenciaJetAdminConcatenada!$D:$D, MATCH(1, (AsistenciaJetAdminConcatenada!$A:$A=CR$2)*(AsistenciaJetAdminConcatenada!$B:$B=CR$1), 0)), 1))),  0.5, 0))</f>
        <v>1</v>
      </c>
      <c r="CS82" s="47">
        <f t="array" ref="CS82">IF(AND(ISNUMBER(MATCH(CS$2, AsistenciaJetAdminConcatenada!$A:$A, 0)), ISNUMBER(MATCH(CS$1, AsistenciaJetAdminConcatenada!$B:$B, 0)), ISNUMBER(SEARCH($A82,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ISNUMBER(SEARCH($A82, INDEX(AsistenciaJetAdminConcatenada!$D:$D, MATCH(1, (AsistenciaJetAdminConcatenada!$A:$A=CS$2)*(AsistenciaJetAdminConcatenada!$B:$B=CS$1), 0)), 1))),  0.5, 0))</f>
        <v>0</v>
      </c>
      <c r="CT82" s="47">
        <f t="array" ref="CT82">IF(AND(ISNUMBER(MATCH(CT$2, AsistenciaJetAdminConcatenada!$A:$A, 0)), ISNUMBER(MATCH(CT$1, AsistenciaJetAdminConcatenada!$B:$B, 0)), ISNUMBER(SEARCH($A82,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ISNUMBER(SEARCH($A82, INDEX(AsistenciaJetAdminConcatenada!$D:$D, MATCH(1, (AsistenciaJetAdminConcatenada!$A:$A=CT$2)*(AsistenciaJetAdminConcatenada!$B:$B=CT$1), 0)), 1))),  0.5, 0))</f>
        <v>0</v>
      </c>
      <c r="CU82" s="47">
        <f t="array" ref="CU82">IF(AND(ISNUMBER(MATCH(CU$2, AsistenciaJetAdminConcatenada!$A:$A, 0)), ISNUMBER(MATCH(CU$1, AsistenciaJetAdminConcatenada!$B:$B, 0)), ISNUMBER(SEARCH($A82,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ISNUMBER(SEARCH($A82, INDEX(AsistenciaJetAdminConcatenada!$D:$D, MATCH(1, (AsistenciaJetAdminConcatenada!$A:$A=CU$2)*(AsistenciaJetAdminConcatenada!$B:$B=CU$1), 0)), 1))),  0.5, 0))</f>
        <v>0</v>
      </c>
      <c r="CV82" s="47">
        <f t="array" ref="CV82">IF(AND(ISNUMBER(MATCH(CV$2, AsistenciaJetAdminConcatenada!$A:$A, 0)), ISNUMBER(MATCH(CV$1, AsistenciaJetAdminConcatenada!$B:$B, 0)), ISNUMBER(SEARCH($A82,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ISNUMBER(SEARCH($A82, INDEX(AsistenciaJetAdminConcatenada!$D:$D, MATCH(1, (AsistenciaJetAdminConcatenada!$A:$A=CV$2)*(AsistenciaJetAdminConcatenada!$B:$B=CV$1), 0)), 1))),  0.5, 0))</f>
        <v>0</v>
      </c>
      <c r="CW82" s="47">
        <f t="array" ref="CW82">IF(AND(ISNUMBER(MATCH(CW$2, AsistenciaJetAdminConcatenada!$A:$A, 0)), ISNUMBER(MATCH(CW$1, AsistenciaJetAdminConcatenada!$B:$B, 0)), ISNUMBER(SEARCH($A82,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ISNUMBER(SEARCH($A82, INDEX(AsistenciaJetAdminConcatenada!$D:$D, MATCH(1, (AsistenciaJetAdminConcatenada!$A:$A=CW$2)*(AsistenciaJetAdminConcatenada!$B:$B=CW$1), 0)), 1))),  0.5, 0))</f>
        <v>0</v>
      </c>
      <c r="CX82" s="47">
        <f t="array" ref="CX82">IF(AND(ISNUMBER(MATCH(CX$2, AsistenciaJetAdminConcatenada!$A:$A, 0)), ISNUMBER(MATCH(CX$1, AsistenciaJetAdminConcatenada!$B:$B, 0)), ISNUMBER(SEARCH($A82,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ISNUMBER(SEARCH($A82, INDEX(AsistenciaJetAdminConcatenada!$D:$D, MATCH(1, (AsistenciaJetAdminConcatenada!$A:$A=CX$2)*(AsistenciaJetAdminConcatenada!$B:$B=CX$1), 0)), 1))),  0.5, 0))</f>
        <v>0</v>
      </c>
      <c r="CY82" s="47">
        <f t="array" ref="CY82">IF(AND(ISNUMBER(MATCH(CY$2, AsistenciaJetAdminConcatenada!$A:$A, 0)), ISNUMBER(MATCH(CY$1, AsistenciaJetAdminConcatenada!$B:$B, 0)), ISNUMBER(SEARCH($A82,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ISNUMBER(SEARCH($A82, INDEX(AsistenciaJetAdminConcatenada!$D:$D, MATCH(1, (AsistenciaJetAdminConcatenada!$A:$A=CY$2)*(AsistenciaJetAdminConcatenada!$B:$B=CY$1), 0)), 1))),  0.5, 0))</f>
        <v>0</v>
      </c>
      <c r="CZ82" s="47">
        <f t="array" ref="CZ82">IF(AND(ISNUMBER(MATCH(CZ$2, AsistenciaJetAdminConcatenada!$A:$A, 0)), ISNUMBER(MATCH(CZ$1, AsistenciaJetAdminConcatenada!$B:$B, 0)), ISNUMBER(SEARCH($A82,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ISNUMBER(SEARCH($A82, INDEX(AsistenciaJetAdminConcatenada!$D:$D, MATCH(1, (AsistenciaJetAdminConcatenada!$A:$A=CZ$2)*(AsistenciaJetAdminConcatenada!$B:$B=CZ$1), 0)), 1))),  0.5, 0))</f>
        <v>0</v>
      </c>
      <c r="DA82" s="47">
        <f t="array" ref="DA82">IF(AND(ISNUMBER(MATCH(DA$2, AsistenciaJetAdminConcatenada!$A:$A, 0)), ISNUMBER(MATCH(DA$1, AsistenciaJetAdminConcatenada!$B:$B, 0)), ISNUMBER(SEARCH($A82,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ISNUMBER(SEARCH($A82, INDEX(AsistenciaJetAdminConcatenada!$D:$D, MATCH(1, (AsistenciaJetAdminConcatenada!$A:$A=DA$2)*(AsistenciaJetAdminConcatenada!$B:$B=DA$1), 0)), 1))),  0.5, 0))</f>
        <v>0</v>
      </c>
      <c r="DB82" s="47">
        <f t="array" ref="DB82">IF(AND(ISNUMBER(MATCH(DB$2, AsistenciaJetAdminConcatenada!$A:$A, 0)), ISNUMBER(MATCH(DB$1, AsistenciaJetAdminConcatenada!$B:$B, 0)), ISNUMBER(SEARCH($A82,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ISNUMBER(SEARCH($A82, INDEX(AsistenciaJetAdminConcatenada!$D:$D, MATCH(1, (AsistenciaJetAdminConcatenada!$A:$A=DB$2)*(AsistenciaJetAdminConcatenada!$B:$B=DB$1), 0)), 1))),  0.5, 0))</f>
        <v>0</v>
      </c>
      <c r="DC82" s="47">
        <f t="array" ref="DC82">IF(AND(ISNUMBER(MATCH(DC$2, AsistenciaJetAdminConcatenada!$A:$A, 0)), ISNUMBER(MATCH(DC$1, AsistenciaJetAdminConcatenada!$B:$B, 0)), ISNUMBER(SEARCH($A82,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ISNUMBER(SEARCH($A82, INDEX(AsistenciaJetAdminConcatenada!$D:$D, MATCH(1, (AsistenciaJetAdminConcatenada!$A:$A=DC$2)*(AsistenciaJetAdminConcatenada!$B:$B=DC$1), 0)), 1))),  0.5, 0))</f>
        <v>0</v>
      </c>
      <c r="DD82" s="47">
        <f t="array" ref="DD82">IF(AND(ISNUMBER(MATCH(DD$2, AsistenciaJetAdminConcatenada!$A:$A, 0)), ISNUMBER(MATCH(DD$1, AsistenciaJetAdminConcatenada!$B:$B, 0)), ISNUMBER(SEARCH($A82,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ISNUMBER(SEARCH($A82, INDEX(AsistenciaJetAdminConcatenada!$D:$D, MATCH(1, (AsistenciaJetAdminConcatenada!$A:$A=DD$2)*(AsistenciaJetAdminConcatenada!$B:$B=DD$1), 0)), 1))),  0.5, 0))</f>
        <v>0</v>
      </c>
      <c r="DE82" s="47">
        <f t="array" ref="DE82">IF(AND(ISNUMBER(MATCH(DE$2, AsistenciaJetAdminConcatenada!$A:$A, 0)), ISNUMBER(MATCH(DE$1, AsistenciaJetAdminConcatenada!$B:$B, 0)), ISNUMBER(SEARCH($A82,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ISNUMBER(SEARCH($A82, INDEX(AsistenciaJetAdminConcatenada!$D:$D, MATCH(1, (AsistenciaJetAdminConcatenada!$A:$A=DE$2)*(AsistenciaJetAdminConcatenada!$B:$B=DE$1), 0)), 1))),  0.5, 0))</f>
        <v>0</v>
      </c>
      <c r="DF82" s="47">
        <f t="array" ref="DF82">IF(AND(ISNUMBER(MATCH(DF$2, AsistenciaJetAdminConcatenada!$A:$A, 0)), ISNUMBER(MATCH(DF$1, AsistenciaJetAdminConcatenada!$B:$B, 0)), ISNUMBER(SEARCH($A82,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ISNUMBER(SEARCH($A82, INDEX(AsistenciaJetAdminConcatenada!$D:$D, MATCH(1, (AsistenciaJetAdminConcatenada!$A:$A=DF$2)*(AsistenciaJetAdminConcatenada!$B:$B=DF$1), 0)), 1))),  0.5, 0))</f>
        <v>0</v>
      </c>
      <c r="DG82" s="47">
        <f t="array" ref="DG82">IF(AND(ISNUMBER(MATCH(DG$2, AsistenciaJetAdminConcatenada!$A:$A, 0)), ISNUMBER(MATCH(DG$1, AsistenciaJetAdminConcatenada!$B:$B, 0)), ISNUMBER(SEARCH($A82,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ISNUMBER(SEARCH($A82, INDEX(AsistenciaJetAdminConcatenada!$D:$D, MATCH(1, (AsistenciaJetAdminConcatenada!$A:$A=DG$2)*(AsistenciaJetAdminConcatenada!$B:$B=DG$1), 0)), 1))),  0.5, 0))</f>
        <v>0</v>
      </c>
      <c r="DH82" s="47">
        <f t="array" ref="DH82">IF(AND(ISNUMBER(MATCH(DH$2, AsistenciaJetAdminConcatenada!$A:$A, 0)), ISNUMBER(MATCH(DH$1, AsistenciaJetAdminConcatenada!$B:$B, 0)), ISNUMBER(SEARCH($A82,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ISNUMBER(SEARCH($A82, INDEX(AsistenciaJetAdminConcatenada!$D:$D, MATCH(1, (AsistenciaJetAdminConcatenada!$A:$A=DH$2)*(AsistenciaJetAdminConcatenada!$B:$B=DH$1), 0)), 1))),  0.5, 0))</f>
        <v>0</v>
      </c>
      <c r="DI82" s="47">
        <f t="array" ref="DI82">IF(AND(ISNUMBER(MATCH(DI$2, AsistenciaJetAdminConcatenada!$A:$A, 0)), ISNUMBER(MATCH(DI$1, AsistenciaJetAdminConcatenada!$B:$B, 0)), ISNUMBER(SEARCH($A82,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ISNUMBER(SEARCH($A82, INDEX(AsistenciaJetAdminConcatenada!$D:$D, MATCH(1, (AsistenciaJetAdminConcatenada!$A:$A=DI$2)*(AsistenciaJetAdminConcatenada!$B:$B=DI$1), 0)), 1))),  0.5, 0))</f>
        <v>0</v>
      </c>
      <c r="DJ82" s="47">
        <f t="array" ref="DJ82">IF(AND(ISNUMBER(MATCH(DJ$2, AsistenciaJetAdminConcatenada!$A:$A, 0)), ISNUMBER(MATCH(DJ$1, AsistenciaJetAdminConcatenada!$B:$B, 0)), ISNUMBER(SEARCH($A82,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ISNUMBER(SEARCH($A82, INDEX(AsistenciaJetAdminConcatenada!$D:$D, MATCH(1, (AsistenciaJetAdminConcatenada!$A:$A=DJ$2)*(AsistenciaJetAdminConcatenada!$B:$B=DJ$1), 0)), 1))),  0.5, 0))</f>
        <v>0</v>
      </c>
      <c r="DK82" s="47">
        <f t="array" ref="DK82">IF(AND(ISNUMBER(MATCH(DK$2, AsistenciaJetAdminConcatenada!$A:$A, 0)), ISNUMBER(MATCH(DK$1, AsistenciaJetAdminConcatenada!$B:$B, 0)), ISNUMBER(SEARCH($A82,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ISNUMBER(SEARCH($A82, INDEX(AsistenciaJetAdminConcatenada!$D:$D, MATCH(1, (AsistenciaJetAdminConcatenada!$A:$A=DK$2)*(AsistenciaJetAdminConcatenada!$B:$B=DK$1), 0)), 1))),  0.5, 0))</f>
        <v>0</v>
      </c>
      <c r="DL82" s="47">
        <f t="array" ref="DL82">IF(AND(ISNUMBER(MATCH(DL$2, AsistenciaJetAdminConcatenada!$A:$A, 0)), ISNUMBER(MATCH(DL$1, AsistenciaJetAdminConcatenada!$B:$B, 0)), ISNUMBER(SEARCH($A82,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ISNUMBER(SEARCH($A82, INDEX(AsistenciaJetAdminConcatenada!$D:$D, MATCH(1, (AsistenciaJetAdminConcatenada!$A:$A=DL$2)*(AsistenciaJetAdminConcatenada!$B:$B=DL$1), 0)), 1))),  0.5, 0))</f>
        <v>0</v>
      </c>
      <c r="DM82" s="47">
        <f t="array" ref="DM82">IF(AND(ISNUMBER(MATCH(DM$2, AsistenciaJetAdminConcatenada!$A:$A, 0)), ISNUMBER(MATCH(DM$1, AsistenciaJetAdminConcatenada!$B:$B, 0)), ISNUMBER(SEARCH($A82,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ISNUMBER(SEARCH($A82, INDEX(AsistenciaJetAdminConcatenada!$D:$D, MATCH(1, (AsistenciaJetAdminConcatenada!$A:$A=DM$2)*(AsistenciaJetAdminConcatenada!$B:$B=DM$1), 0)), 1))),  0.5, 0))</f>
        <v>0</v>
      </c>
      <c r="DN82" s="47">
        <f t="array" ref="DN82">IF(AND(ISNUMBER(MATCH(DN$2, AsistenciaJetAdminConcatenada!$A:$A, 0)), ISNUMBER(MATCH(DN$1, AsistenciaJetAdminConcatenada!$B:$B, 0)), ISNUMBER(SEARCH($A82,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ISNUMBER(SEARCH($A82, INDEX(AsistenciaJetAdminConcatenada!$D:$D, MATCH(1, (AsistenciaJetAdminConcatenada!$A:$A=DN$2)*(AsistenciaJetAdminConcatenada!$B:$B=DN$1), 0)), 1))),  0.5, 0))</f>
        <v>0</v>
      </c>
      <c r="DO82" s="47">
        <f t="array" ref="DO82">IF(AND(ISNUMBER(MATCH(DO$2, AsistenciaJetAdminConcatenada!$A:$A, 0)), ISNUMBER(MATCH(DO$1, AsistenciaJetAdminConcatenada!$B:$B, 0)), ISNUMBER(SEARCH($A82,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ISNUMBER(SEARCH($A82, INDEX(AsistenciaJetAdminConcatenada!$D:$D, MATCH(1, (AsistenciaJetAdminConcatenada!$A:$A=DO$2)*(AsistenciaJetAdminConcatenada!$B:$B=DO$1), 0)), 1))),  0.5, 0))</f>
        <v>0</v>
      </c>
      <c r="DP82" s="47">
        <f t="array" ref="DP82">IF(AND(ISNUMBER(MATCH(DP$2, AsistenciaJetAdminConcatenada!$A:$A, 0)), ISNUMBER(MATCH(DP$1, AsistenciaJetAdminConcatenada!$B:$B, 0)), ISNUMBER(SEARCH($A82,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ISNUMBER(SEARCH($A82, INDEX(AsistenciaJetAdminConcatenada!$D:$D, MATCH(1, (AsistenciaJetAdminConcatenada!$A:$A=DP$2)*(AsistenciaJetAdminConcatenada!$B:$B=DP$1), 0)), 1))),  0.5, 0))</f>
        <v>0</v>
      </c>
      <c r="DQ82" s="47">
        <f t="array" ref="DQ82">IF(AND(ISNUMBER(MATCH(DQ$2, AsistenciaJetAdminConcatenada!$A:$A, 0)), ISNUMBER(MATCH(DQ$1, AsistenciaJetAdminConcatenada!$B:$B, 0)), ISNUMBER(SEARCH($A82,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ISNUMBER(SEARCH($A82, INDEX(AsistenciaJetAdminConcatenada!$D:$D, MATCH(1, (AsistenciaJetAdminConcatenada!$A:$A=DQ$2)*(AsistenciaJetAdminConcatenada!$B:$B=DQ$1), 0)), 1))),  0.5, 0))</f>
        <v>0</v>
      </c>
      <c r="DR82" s="47">
        <f t="array" ref="DR82">IF(AND(ISNUMBER(MATCH(DR$2, AsistenciaJetAdminConcatenada!$A:$A, 0)), ISNUMBER(MATCH(DR$1, AsistenciaJetAdminConcatenada!$B:$B, 0)), ISNUMBER(SEARCH($A82,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ISNUMBER(SEARCH($A82, INDEX(AsistenciaJetAdminConcatenada!$D:$D, MATCH(1, (AsistenciaJetAdminConcatenada!$A:$A=DR$2)*(AsistenciaJetAdminConcatenada!$B:$B=DR$1), 0)), 1))),  0.5, 0))</f>
        <v>0</v>
      </c>
      <c r="DS82" s="47">
        <f t="array" ref="DS82">IF(AND(ISNUMBER(MATCH(DS$2, AsistenciaJetAdminConcatenada!$A:$A, 0)), ISNUMBER(MATCH(DS$1, AsistenciaJetAdminConcatenada!$B:$B, 0)), ISNUMBER(SEARCH($A82,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ISNUMBER(SEARCH($A82, INDEX(AsistenciaJetAdminConcatenada!$D:$D, MATCH(1, (AsistenciaJetAdminConcatenada!$A:$A=DS$2)*(AsistenciaJetAdminConcatenada!$B:$B=DS$1), 0)), 1))),  0.5, 0))</f>
        <v>0</v>
      </c>
      <c r="DT82" s="47">
        <f t="array" ref="DT82">IF(AND(ISNUMBER(MATCH(DT$2, AsistenciaJetAdminConcatenada!$A:$A, 0)), ISNUMBER(MATCH(DT$1, AsistenciaJetAdminConcatenada!$B:$B, 0)), ISNUMBER(SEARCH($A82,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ISNUMBER(SEARCH($A82, INDEX(AsistenciaJetAdminConcatenada!$D:$D, MATCH(1, (AsistenciaJetAdminConcatenada!$A:$A=DT$2)*(AsistenciaJetAdminConcatenada!$B:$B=DT$1), 0)), 1))),  0.5, 0))</f>
        <v>0</v>
      </c>
      <c r="DU82" s="47">
        <f t="array" ref="DU82">IF(AND(ISNUMBER(MATCH(DU$2, AsistenciaJetAdminConcatenada!$A:$A, 0)), ISNUMBER(MATCH(DU$1, AsistenciaJetAdminConcatenada!$B:$B, 0)), ISNUMBER(SEARCH($A82,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ISNUMBER(SEARCH($A82, INDEX(AsistenciaJetAdminConcatenada!$D:$D, MATCH(1, (AsistenciaJetAdminConcatenada!$A:$A=DU$2)*(AsistenciaJetAdminConcatenada!$B:$B=DU$1), 0)), 1))),  0.5, 0))</f>
        <v>0</v>
      </c>
      <c r="DV82" s="47">
        <f t="array" ref="DV82">IF(AND(ISNUMBER(MATCH(DV$2, AsistenciaJetAdminConcatenada!$A:$A, 0)), ISNUMBER(MATCH(DV$1, AsistenciaJetAdminConcatenada!$B:$B, 0)), ISNUMBER(SEARCH($A82,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ISNUMBER(SEARCH($A82, INDEX(AsistenciaJetAdminConcatenada!$D:$D, MATCH(1, (AsistenciaJetAdminConcatenada!$A:$A=DV$2)*(AsistenciaJetAdminConcatenada!$B:$B=DV$1), 0)), 1))),  0.5, 0))</f>
        <v>0</v>
      </c>
      <c r="DW82" s="47">
        <f t="array" ref="DW82">IF(AND(ISNUMBER(MATCH(DW$2, AsistenciaJetAdminConcatenada!$A:$A, 0)), ISNUMBER(MATCH(DW$1, AsistenciaJetAdminConcatenada!$B:$B, 0)), ISNUMBER(SEARCH($A82,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ISNUMBER(SEARCH($A82, INDEX(AsistenciaJetAdminConcatenada!$D:$D, MATCH(1, (AsistenciaJetAdminConcatenada!$A:$A=DW$2)*(AsistenciaJetAdminConcatenada!$B:$B=DW$1), 0)), 1))),  0.5, 0))</f>
        <v>0</v>
      </c>
      <c r="DX82" s="47">
        <f t="array" ref="DX82">IF(AND(ISNUMBER(MATCH(DX$2, AsistenciaJetAdminConcatenada!$A:$A, 0)), ISNUMBER(MATCH(DX$1, AsistenciaJetAdminConcatenada!$B:$B, 0)), ISNUMBER(SEARCH($A82,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ISNUMBER(SEARCH($A82, INDEX(AsistenciaJetAdminConcatenada!$D:$D, MATCH(1, (AsistenciaJetAdminConcatenada!$A:$A=DX$2)*(AsistenciaJetAdminConcatenada!$B:$B=DX$1), 0)), 1))),  0.5, 0))</f>
        <v>0</v>
      </c>
      <c r="DY82" s="47">
        <f t="array" ref="DY82">IF(AND(ISNUMBER(MATCH(DY$2, AsistenciaJetAdminConcatenada!$A:$A, 0)), ISNUMBER(MATCH(DY$1, AsistenciaJetAdminConcatenada!$B:$B, 0)), ISNUMBER(SEARCH($A82,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ISNUMBER(SEARCH($A82, INDEX(AsistenciaJetAdminConcatenada!$D:$D, MATCH(1, (AsistenciaJetAdminConcatenada!$A:$A=DY$2)*(AsistenciaJetAdminConcatenada!$B:$B=DY$1), 0)), 1))),  0.5, 0))</f>
        <v>0</v>
      </c>
      <c r="DZ82" s="47">
        <f t="array" ref="DZ82">IF(AND(ISNUMBER(MATCH(DZ$2, AsistenciaJetAdminConcatenada!$A:$A, 0)), ISNUMBER(MATCH(DZ$1, AsistenciaJetAdminConcatenada!$B:$B, 0)), ISNUMBER(SEARCH($A82,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ISNUMBER(SEARCH($A82, INDEX(AsistenciaJetAdminConcatenada!$D:$D, MATCH(1, (AsistenciaJetAdminConcatenada!$A:$A=DZ$2)*(AsistenciaJetAdminConcatenada!$B:$B=DZ$1), 0)), 1))),  0.5, 0))</f>
        <v>0</v>
      </c>
      <c r="EA82" s="47">
        <f t="array" ref="EA82">IF(AND(ISNUMBER(MATCH(EA$2, AsistenciaJetAdminConcatenada!$A:$A, 0)), ISNUMBER(MATCH(EA$1, AsistenciaJetAdminConcatenada!$B:$B, 0)), ISNUMBER(SEARCH($A82,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ISNUMBER(SEARCH($A82, INDEX(AsistenciaJetAdminConcatenada!$D:$D, MATCH(1, (AsistenciaJetAdminConcatenada!$A:$A=EA$2)*(AsistenciaJetAdminConcatenada!$B:$B=EA$1), 0)), 1))),  0.5, 0))</f>
        <v>0</v>
      </c>
      <c r="EB82" s="47">
        <f t="array" ref="EB82">IF(AND(ISNUMBER(MATCH(EB$2, AsistenciaJetAdminConcatenada!$A:$A, 0)), ISNUMBER(MATCH(EB$1, AsistenciaJetAdminConcatenada!$B:$B, 0)), ISNUMBER(SEARCH($A82,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ISNUMBER(SEARCH($A82, INDEX(AsistenciaJetAdminConcatenada!$D:$D, MATCH(1, (AsistenciaJetAdminConcatenada!$A:$A=EB$2)*(AsistenciaJetAdminConcatenada!$B:$B=EB$1), 0)), 1))),  0.5, 0))</f>
        <v>0</v>
      </c>
      <c r="EC82" s="47">
        <f t="array" ref="EC82">IF(AND(ISNUMBER(MATCH(EC$2, AsistenciaJetAdminConcatenada!$A:$A, 0)), ISNUMBER(MATCH(EC$1, AsistenciaJetAdminConcatenada!$B:$B, 0)), ISNUMBER(SEARCH($A82,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ISNUMBER(SEARCH($A82, INDEX(AsistenciaJetAdminConcatenada!$D:$D, MATCH(1, (AsistenciaJetAdminConcatenada!$A:$A=EC$2)*(AsistenciaJetAdminConcatenada!$B:$B=EC$1), 0)), 1))),  0.5, 0))</f>
        <v>0</v>
      </c>
      <c r="ED82" s="47">
        <f t="array" ref="ED82">IF(AND(ISNUMBER(MATCH(ED$2, AsistenciaJetAdminConcatenada!$A:$A, 0)), ISNUMBER(MATCH(ED$1, AsistenciaJetAdminConcatenada!$B:$B, 0)), ISNUMBER(SEARCH($A82,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ISNUMBER(SEARCH($A82, INDEX(AsistenciaJetAdminConcatenada!$D:$D, MATCH(1, (AsistenciaJetAdminConcatenada!$A:$A=ED$2)*(AsistenciaJetAdminConcatenada!$B:$B=ED$1), 0)), 1))),  0.5, 0))</f>
        <v>0</v>
      </c>
      <c r="EE82" s="47">
        <f t="array" ref="EE82">IF(AND(ISNUMBER(MATCH(EE$2, AsistenciaJetAdminConcatenada!$A:$A, 0)), ISNUMBER(MATCH(EE$1, AsistenciaJetAdminConcatenada!$B:$B, 0)), ISNUMBER(SEARCH($A82,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ISNUMBER(SEARCH($A82, INDEX(AsistenciaJetAdminConcatenada!$D:$D, MATCH(1, (AsistenciaJetAdminConcatenada!$A:$A=EE$2)*(AsistenciaJetAdminConcatenada!$B:$B=EE$1), 0)), 1))),  0.5, 0))</f>
        <v>0</v>
      </c>
      <c r="EF82" s="47">
        <f t="array" ref="EF82">IF(AND(ISNUMBER(MATCH(EF$2, AsistenciaJetAdminConcatenada!$A:$A, 0)), ISNUMBER(MATCH(EF$1, AsistenciaJetAdminConcatenada!$B:$B, 0)), ISNUMBER(SEARCH($A82,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ISNUMBER(SEARCH($A82, INDEX(AsistenciaJetAdminConcatenada!$D:$D, MATCH(1, (AsistenciaJetAdminConcatenada!$A:$A=EF$2)*(AsistenciaJetAdminConcatenada!$B:$B=EF$1), 0)), 1))),  0.5, 0))</f>
        <v>0</v>
      </c>
      <c r="EG82" s="47">
        <f t="array" ref="EG82">IF(AND(ISNUMBER(MATCH(EG$2, AsistenciaJetAdminConcatenada!$A:$A, 0)), ISNUMBER(MATCH(EG$1, AsistenciaJetAdminConcatenada!$B:$B, 0)), ISNUMBER(SEARCH($A82,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ISNUMBER(SEARCH($A82, INDEX(AsistenciaJetAdminConcatenada!$D:$D, MATCH(1, (AsistenciaJetAdminConcatenada!$A:$A=EG$2)*(AsistenciaJetAdminConcatenada!$B:$B=EG$1), 0)), 1))),  0.5, 0))</f>
        <v>0</v>
      </c>
      <c r="EH82" s="47">
        <f t="array" ref="EH82">IF(AND(ISNUMBER(MATCH(EH$2, AsistenciaJetAdminConcatenada!$A:$A, 0)), ISNUMBER(MATCH(EH$1, AsistenciaJetAdminConcatenada!$B:$B, 0)), ISNUMBER(SEARCH($A82,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ISNUMBER(SEARCH($A82, INDEX(AsistenciaJetAdminConcatenada!$D:$D, MATCH(1, (AsistenciaJetAdminConcatenada!$A:$A=EH$2)*(AsistenciaJetAdminConcatenada!$B:$B=EH$1), 0)), 1))),  0.5, 0))</f>
        <v>0</v>
      </c>
      <c r="EI82" s="47">
        <f t="array" ref="EI82">IF(AND(ISNUMBER(MATCH(EI$2, AsistenciaJetAdminConcatenada!$A:$A, 0)), ISNUMBER(MATCH(EI$1, AsistenciaJetAdminConcatenada!$B:$B, 0)), ISNUMBER(SEARCH($A82,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ISNUMBER(SEARCH($A82, INDEX(AsistenciaJetAdminConcatenada!$D:$D, MATCH(1, (AsistenciaJetAdminConcatenada!$A:$A=EI$2)*(AsistenciaJetAdminConcatenada!$B:$B=EI$1), 0)), 1))),  0.5, 0))</f>
        <v>0</v>
      </c>
      <c r="EJ82" s="47">
        <f t="array" ref="EJ82">IF(AND(ISNUMBER(MATCH(EJ$2, AsistenciaJetAdminConcatenada!$A:$A, 0)), ISNUMBER(MATCH(EJ$1, AsistenciaJetAdminConcatenada!$B:$B, 0)), ISNUMBER(SEARCH($A82,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ISNUMBER(SEARCH($A82, INDEX(AsistenciaJetAdminConcatenada!$D:$D, MATCH(1, (AsistenciaJetAdminConcatenada!$A:$A=EJ$2)*(AsistenciaJetAdminConcatenada!$B:$B=EJ$1), 0)), 1))),  0.5, 0))</f>
        <v>0</v>
      </c>
      <c r="EK82" s="47">
        <f t="array" ref="EK82">IF(AND(ISNUMBER(MATCH(EK$2, AsistenciaJetAdminConcatenada!$A:$A, 0)), ISNUMBER(MATCH(EK$1, AsistenciaJetAdminConcatenada!$B:$B, 0)), ISNUMBER(SEARCH($A82,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ISNUMBER(SEARCH($A82, INDEX(AsistenciaJetAdminConcatenada!$D:$D, MATCH(1, (AsistenciaJetAdminConcatenada!$A:$A=EK$2)*(AsistenciaJetAdminConcatenada!$B:$B=EK$1), 0)), 1))),  0.5, 0))</f>
        <v>0</v>
      </c>
      <c r="EL82" s="47">
        <f t="array" ref="EL82">IF(AND(ISNUMBER(MATCH(EL$2, AsistenciaJetAdminConcatenada!$A:$A, 0)), ISNUMBER(MATCH(EL$1, AsistenciaJetAdminConcatenada!$B:$B, 0)), ISNUMBER(SEARCH($A82,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ISNUMBER(SEARCH($A82, INDEX(AsistenciaJetAdminConcatenada!$D:$D, MATCH(1, (AsistenciaJetAdminConcatenada!$A:$A=EL$2)*(AsistenciaJetAdminConcatenada!$B:$B=EL$1), 0)), 1))),  0.5, 0))</f>
        <v>0</v>
      </c>
      <c r="EM82" s="47">
        <f t="array" ref="EM82">IF(AND(ISNUMBER(MATCH(EM$2, AsistenciaJetAdminConcatenada!$A:$A, 0)), ISNUMBER(MATCH(EM$1, AsistenciaJetAdminConcatenada!$B:$B, 0)), ISNUMBER(SEARCH($A82,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ISNUMBER(SEARCH($A82, INDEX(AsistenciaJetAdminConcatenada!$D:$D, MATCH(1, (AsistenciaJetAdminConcatenada!$A:$A=EM$2)*(AsistenciaJetAdminConcatenada!$B:$B=EM$1), 0)), 1))),  0.5, 0))</f>
        <v>0</v>
      </c>
      <c r="EN82" s="47">
        <f t="array" ref="EN82">IF(AND(ISNUMBER(MATCH(EN$2, AsistenciaJetAdminConcatenada!$A:$A, 0)), ISNUMBER(MATCH(EN$1, AsistenciaJetAdminConcatenada!$B:$B, 0)), ISNUMBER(SEARCH($A82,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ISNUMBER(SEARCH($A82, INDEX(AsistenciaJetAdminConcatenada!$D:$D, MATCH(1, (AsistenciaJetAdminConcatenada!$A:$A=EN$2)*(AsistenciaJetAdminConcatenada!$B:$B=EN$1), 0)), 1))),  0.5, 0))</f>
        <v>0</v>
      </c>
      <c r="EO82" s="47">
        <f t="array" ref="EO82">IF(AND(ISNUMBER(MATCH(EO$2, AsistenciaJetAdminConcatenada!$A:$A, 0)), ISNUMBER(MATCH(EO$1, AsistenciaJetAdminConcatenada!$B:$B, 0)), ISNUMBER(SEARCH($A82,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ISNUMBER(SEARCH($A82, INDEX(AsistenciaJetAdminConcatenada!$D:$D, MATCH(1, (AsistenciaJetAdminConcatenada!$A:$A=EO$2)*(AsistenciaJetAdminConcatenada!$B:$B=EO$1), 0)), 1))),  0.5, 0))</f>
        <v>0</v>
      </c>
      <c r="EP82" s="47">
        <f t="array" ref="EP82">IF(AND(ISNUMBER(MATCH(EP$2, AsistenciaJetAdminConcatenada!$A:$A, 0)), ISNUMBER(MATCH(EP$1, AsistenciaJetAdminConcatenada!$B:$B, 0)), ISNUMBER(SEARCH($A82,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ISNUMBER(SEARCH($A82, INDEX(AsistenciaJetAdminConcatenada!$D:$D, MATCH(1, (AsistenciaJetAdminConcatenada!$A:$A=EP$2)*(AsistenciaJetAdminConcatenada!$B:$B=EP$1), 0)), 1))),  0.5, 0))</f>
        <v>0</v>
      </c>
      <c r="EQ82" s="47">
        <f t="array" ref="EQ82">IF(AND(ISNUMBER(MATCH(EQ$2, AsistenciaJetAdminConcatenada!$A:$A, 0)), ISNUMBER(MATCH(EQ$1, AsistenciaJetAdminConcatenada!$B:$B, 0)), ISNUMBER(SEARCH($A82,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ISNUMBER(SEARCH($A82, INDEX(AsistenciaJetAdminConcatenada!$D:$D, MATCH(1, (AsistenciaJetAdminConcatenada!$A:$A=EQ$2)*(AsistenciaJetAdminConcatenada!$B:$B=EQ$1), 0)), 1))),  0.5, 0))</f>
        <v>0</v>
      </c>
      <c r="ER82" s="47">
        <f t="array" ref="ER82">IF(AND(ISNUMBER(MATCH(ER$2, AsistenciaJetAdminConcatenada!$A:$A, 0)), ISNUMBER(MATCH(ER$1, AsistenciaJetAdminConcatenada!$B:$B, 0)), ISNUMBER(SEARCH($A82,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ISNUMBER(SEARCH($A82, INDEX(AsistenciaJetAdminConcatenada!$D:$D, MATCH(1, (AsistenciaJetAdminConcatenada!$A:$A=ER$2)*(AsistenciaJetAdminConcatenada!$B:$B=ER$1), 0)), 1))),  0.5, 0))</f>
        <v>0</v>
      </c>
      <c r="ES82" s="47">
        <f t="array" ref="ES82">IF(AND(ISNUMBER(MATCH(ES$2, AsistenciaJetAdminConcatenada!$A:$A, 0)), ISNUMBER(MATCH(ES$1, AsistenciaJetAdminConcatenada!$B:$B, 0)), ISNUMBER(SEARCH($A82,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ISNUMBER(SEARCH($A82, INDEX(AsistenciaJetAdminConcatenada!$D:$D, MATCH(1, (AsistenciaJetAdminConcatenada!$A:$A=ES$2)*(AsistenciaJetAdminConcatenada!$B:$B=ES$1), 0)), 1))),  0.5, 0))</f>
        <v>0</v>
      </c>
      <c r="ET82" s="47">
        <f t="array" ref="ET82">IF(AND(ISNUMBER(MATCH(ET$2, AsistenciaJetAdminConcatenada!$A:$A, 0)), ISNUMBER(MATCH(ET$1, AsistenciaJetAdminConcatenada!$B:$B, 0)), ISNUMBER(SEARCH($A82,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ISNUMBER(SEARCH($A82, INDEX(AsistenciaJetAdminConcatenada!$D:$D, MATCH(1, (AsistenciaJetAdminConcatenada!$A:$A=ET$2)*(AsistenciaJetAdminConcatenada!$B:$B=ET$1), 0)), 1))),  0.5, 0))</f>
        <v>0</v>
      </c>
      <c r="EU82" s="47">
        <f t="array" ref="EU82">IF(AND(ISNUMBER(MATCH(EU$2, AsistenciaJetAdminConcatenada!$A:$A, 0)), ISNUMBER(MATCH(EU$1, AsistenciaJetAdminConcatenada!$B:$B, 0)), ISNUMBER(SEARCH($A82,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ISNUMBER(SEARCH($A82, INDEX(AsistenciaJetAdminConcatenada!$D:$D, MATCH(1, (AsistenciaJetAdminConcatenada!$A:$A=EU$2)*(AsistenciaJetAdminConcatenada!$B:$B=EU$1), 0)), 1))),  0.5, 0))</f>
        <v>0</v>
      </c>
      <c r="EV82" s="47">
        <f t="array" ref="EV82">IF(AND(ISNUMBER(MATCH(EV$2, AsistenciaJetAdminConcatenada!$A:$A, 0)), ISNUMBER(MATCH(EV$1, AsistenciaJetAdminConcatenada!$B:$B, 0)), ISNUMBER(SEARCH($A82,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ISNUMBER(SEARCH($A82, INDEX(AsistenciaJetAdminConcatenada!$D:$D, MATCH(1, (AsistenciaJetAdminConcatenada!$A:$A=EV$2)*(AsistenciaJetAdminConcatenada!$B:$B=EV$1), 0)), 1))),  0.5, 0))</f>
        <v>0</v>
      </c>
      <c r="EW82" s="47">
        <f t="array" ref="EW82">IF(AND(ISNUMBER(MATCH(EW$2, AsistenciaJetAdminConcatenada!$A:$A, 0)), ISNUMBER(MATCH(EW$1, AsistenciaJetAdminConcatenada!$B:$B, 0)), ISNUMBER(SEARCH($A82,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ISNUMBER(SEARCH($A82, INDEX(AsistenciaJetAdminConcatenada!$D:$D, MATCH(1, (AsistenciaJetAdminConcatenada!$A:$A=EW$2)*(AsistenciaJetAdminConcatenada!$B:$B=EW$1), 0)), 1))),  0.5, 0))</f>
        <v>0</v>
      </c>
      <c r="EX82" s="47">
        <f t="array" ref="EX82">IF(AND(ISNUMBER(MATCH(EX$2, AsistenciaJetAdminConcatenada!$A:$A, 0)), ISNUMBER(MATCH(EX$1, AsistenciaJetAdminConcatenada!$B:$B, 0)), ISNUMBER(SEARCH($A82,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ISNUMBER(SEARCH($A82, INDEX(AsistenciaJetAdminConcatenada!$D:$D, MATCH(1, (AsistenciaJetAdminConcatenada!$A:$A=EX$2)*(AsistenciaJetAdminConcatenada!$B:$B=EX$1), 0)), 1))),  0.5, 0))</f>
        <v>0</v>
      </c>
      <c r="EY82" s="47">
        <f t="array" ref="EY82">IF(AND(ISNUMBER(MATCH(EY$2, AsistenciaJetAdminConcatenada!$A:$A, 0)), ISNUMBER(MATCH(EY$1, AsistenciaJetAdminConcatenada!$B:$B, 0)), ISNUMBER(SEARCH($A82,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ISNUMBER(SEARCH($A82, INDEX(AsistenciaJetAdminConcatenada!$D:$D, MATCH(1, (AsistenciaJetAdminConcatenada!$A:$A=EY$2)*(AsistenciaJetAdminConcatenada!$B:$B=EY$1), 0)), 1))),  0.5, 0))</f>
        <v>0</v>
      </c>
      <c r="EZ82" s="47">
        <f t="array" ref="EZ82">IF(AND(ISNUMBER(MATCH(EZ$2, AsistenciaJetAdminConcatenada!$A:$A, 0)), ISNUMBER(MATCH(EZ$1, AsistenciaJetAdminConcatenada!$B:$B, 0)), ISNUMBER(SEARCH($A82,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ISNUMBER(SEARCH($A82, INDEX(AsistenciaJetAdminConcatenada!$D:$D, MATCH(1, (AsistenciaJetAdminConcatenada!$A:$A=EZ$2)*(AsistenciaJetAdminConcatenada!$B:$B=EZ$1), 0)), 1))),  0.5, 0))</f>
        <v>0</v>
      </c>
      <c r="FA82" s="47">
        <f t="array" ref="FA82">IF(AND(ISNUMBER(MATCH(FA$2, AsistenciaJetAdminConcatenada!$A:$A, 0)), ISNUMBER(MATCH(FA$1, AsistenciaJetAdminConcatenada!$B:$B, 0)), ISNUMBER(SEARCH($A82,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ISNUMBER(SEARCH($A82, INDEX(AsistenciaJetAdminConcatenada!$D:$D, MATCH(1, (AsistenciaJetAdminConcatenada!$A:$A=FA$2)*(AsistenciaJetAdminConcatenada!$B:$B=FA$1), 0)), 1))),  0.5, 0))</f>
        <v>0</v>
      </c>
      <c r="FB82" s="47">
        <f t="array" ref="FB82">IF(AND(ISNUMBER(MATCH(FB$2, AsistenciaJetAdminConcatenada!$A:$A, 0)), ISNUMBER(MATCH(FB$1, AsistenciaJetAdminConcatenada!$B:$B, 0)), ISNUMBER(SEARCH($A82,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ISNUMBER(SEARCH($A82, INDEX(AsistenciaJetAdminConcatenada!$D:$D, MATCH(1, (AsistenciaJetAdminConcatenada!$A:$A=FB$2)*(AsistenciaJetAdminConcatenada!$B:$B=FB$1), 0)), 1))),  0.5, 0))</f>
        <v>0</v>
      </c>
      <c r="FC82" s="47">
        <f t="array" ref="FC82">IF(AND(ISNUMBER(MATCH(FC$2, AsistenciaJetAdminConcatenada!$A:$A, 0)), ISNUMBER(MATCH(FC$1, AsistenciaJetAdminConcatenada!$B:$B, 0)), ISNUMBER(SEARCH($A82,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ISNUMBER(SEARCH($A82, INDEX(AsistenciaJetAdminConcatenada!$D:$D, MATCH(1, (AsistenciaJetAdminConcatenada!$A:$A=FC$2)*(AsistenciaJetAdminConcatenada!$B:$B=FC$1), 0)), 1))),  0.5, 0))</f>
        <v>0</v>
      </c>
      <c r="FD82" s="47">
        <f t="array" ref="FD82">IF(AND(ISNUMBER(MATCH(FD$2, AsistenciaJetAdminConcatenada!$A:$A, 0)), ISNUMBER(MATCH(FD$1, AsistenciaJetAdminConcatenada!$B:$B, 0)), ISNUMBER(SEARCH($A82,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ISNUMBER(SEARCH($A82, INDEX(AsistenciaJetAdminConcatenada!$D:$D, MATCH(1, (AsistenciaJetAdminConcatenada!$A:$A=FD$2)*(AsistenciaJetAdminConcatenada!$B:$B=FD$1), 0)), 1))),  0.5, 0))</f>
        <v>0</v>
      </c>
      <c r="FE82" s="47">
        <f t="array" ref="FE82">IF(AND(ISNUMBER(MATCH(FE$2, AsistenciaJetAdminConcatenada!$A:$A, 0)), ISNUMBER(MATCH(FE$1, AsistenciaJetAdminConcatenada!$B:$B, 0)), ISNUMBER(SEARCH($A82,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ISNUMBER(SEARCH($A82, INDEX(AsistenciaJetAdminConcatenada!$D:$D, MATCH(1, (AsistenciaJetAdminConcatenada!$A:$A=FE$2)*(AsistenciaJetAdminConcatenada!$B:$B=FE$1), 0)), 1))),  0.5, 0))</f>
        <v>0</v>
      </c>
      <c r="FF82" s="47">
        <f t="array" ref="FF82">IF(AND(ISNUMBER(MATCH(FF$2, AsistenciaJetAdminConcatenada!$A:$A, 0)), ISNUMBER(MATCH(FF$1, AsistenciaJetAdminConcatenada!$B:$B, 0)), ISNUMBER(SEARCH($A82,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ISNUMBER(SEARCH($A82, INDEX(AsistenciaJetAdminConcatenada!$D:$D, MATCH(1, (AsistenciaJetAdminConcatenada!$A:$A=FF$2)*(AsistenciaJetAdminConcatenada!$B:$B=FF$1), 0)), 1))),  0.5, 0))</f>
        <v>0</v>
      </c>
      <c r="FG82" s="47">
        <f t="array" ref="FG82">IF(AND(ISNUMBER(MATCH(FG$2, AsistenciaJetAdminConcatenada!$A:$A, 0)), ISNUMBER(MATCH(FG$1, AsistenciaJetAdminConcatenada!$B:$B, 0)), ISNUMBER(SEARCH($A82,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ISNUMBER(SEARCH($A82, INDEX(AsistenciaJetAdminConcatenada!$D:$D, MATCH(1, (AsistenciaJetAdminConcatenada!$A:$A=FG$2)*(AsistenciaJetAdminConcatenada!$B:$B=FG$1), 0)), 1))),  0.5, 0))</f>
        <v>0</v>
      </c>
      <c r="FH82" s="47">
        <f t="array" ref="FH82">IF(AND(ISNUMBER(MATCH(FH$2, AsistenciaJetAdminConcatenada!$A:$A, 0)), ISNUMBER(MATCH(FH$1, AsistenciaJetAdminConcatenada!$B:$B, 0)), ISNUMBER(SEARCH($A82,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ISNUMBER(SEARCH($A82, INDEX(AsistenciaJetAdminConcatenada!$D:$D, MATCH(1, (AsistenciaJetAdminConcatenada!$A:$A=FH$2)*(AsistenciaJetAdminConcatenada!$B:$B=FH$1), 0)), 1))),  0.5, 0))</f>
        <v>0</v>
      </c>
      <c r="FI82" s="47">
        <f t="array" ref="FI82">IF(AND(ISNUMBER(MATCH(FI$2, AsistenciaJetAdminConcatenada!$A:$A, 0)), ISNUMBER(MATCH(FI$1, AsistenciaJetAdminConcatenada!$B:$B, 0)), ISNUMBER(SEARCH($A82,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ISNUMBER(SEARCH($A82, INDEX(AsistenciaJetAdminConcatenada!$D:$D, MATCH(1, (AsistenciaJetAdminConcatenada!$A:$A=FI$2)*(AsistenciaJetAdminConcatenada!$B:$B=FI$1), 0)), 1))),  0.5, 0))</f>
        <v>0</v>
      </c>
      <c r="FJ82" s="47">
        <f t="array" ref="FJ82">IF(AND(ISNUMBER(MATCH(FJ$2, AsistenciaJetAdminConcatenada!$A:$A, 0)), ISNUMBER(MATCH(FJ$1, AsistenciaJetAdminConcatenada!$B:$B, 0)), ISNUMBER(SEARCH($A82,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ISNUMBER(SEARCH($A82, INDEX(AsistenciaJetAdminConcatenada!$D:$D, MATCH(1, (AsistenciaJetAdminConcatenada!$A:$A=FJ$2)*(AsistenciaJetAdminConcatenada!$B:$B=FJ$1), 0)), 1))),  0.5, 0))</f>
        <v>0</v>
      </c>
      <c r="FK82" s="47">
        <f t="array" ref="FK82">IF(AND(ISNUMBER(MATCH(FK$2, AsistenciaJetAdminConcatenada!$A:$A, 0)), ISNUMBER(MATCH(FK$1, AsistenciaJetAdminConcatenada!$B:$B, 0)), ISNUMBER(SEARCH($A82,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ISNUMBER(SEARCH($A82, INDEX(AsistenciaJetAdminConcatenada!$D:$D, MATCH(1, (AsistenciaJetAdminConcatenada!$A:$A=FK$2)*(AsistenciaJetAdminConcatenada!$B:$B=FK$1), 0)), 1))),  0.5, 0))</f>
        <v>0</v>
      </c>
      <c r="FL82" s="47">
        <f t="array" ref="FL82">IF(AND(ISNUMBER(MATCH(FL$2, AsistenciaJetAdminConcatenada!$A:$A, 0)), ISNUMBER(MATCH(FL$1, AsistenciaJetAdminConcatenada!$B:$B, 0)), ISNUMBER(SEARCH($A82,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ISNUMBER(SEARCH($A82, INDEX(AsistenciaJetAdminConcatenada!$D:$D, MATCH(1, (AsistenciaJetAdminConcatenada!$A:$A=FL$2)*(AsistenciaJetAdminConcatenada!$B:$B=FL$1), 0)), 1))),  0.5, 0))</f>
        <v>0</v>
      </c>
      <c r="FM82" s="47">
        <f t="array" ref="FM82">IF(AND(ISNUMBER(MATCH(FM$2, AsistenciaJetAdminConcatenada!$A:$A, 0)), ISNUMBER(MATCH(FM$1, AsistenciaJetAdminConcatenada!$B:$B, 0)), ISNUMBER(SEARCH($A82,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ISNUMBER(SEARCH($A82, INDEX(AsistenciaJetAdminConcatenada!$D:$D, MATCH(1, (AsistenciaJetAdminConcatenada!$A:$A=FM$2)*(AsistenciaJetAdminConcatenada!$B:$B=FM$1), 0)), 1))),  0.5, 0))</f>
        <v>0</v>
      </c>
      <c r="FN82" s="47">
        <f t="array" ref="FN82">IF(AND(ISNUMBER(MATCH(FN$2, AsistenciaJetAdminConcatenada!$A:$A, 0)), ISNUMBER(MATCH(FN$1, AsistenciaJetAdminConcatenada!$B:$B, 0)), ISNUMBER(SEARCH($A82,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ISNUMBER(SEARCH($A82, INDEX(AsistenciaJetAdminConcatenada!$D:$D, MATCH(1, (AsistenciaJetAdminConcatenada!$A:$A=FN$2)*(AsistenciaJetAdminConcatenada!$B:$B=FN$1), 0)), 1))),  0.5, 0))</f>
        <v>0</v>
      </c>
      <c r="FO82" s="47">
        <f t="array" ref="FO82">IF(AND(ISNUMBER(MATCH(FO$2, AsistenciaJetAdminConcatenada!$A:$A, 0)), ISNUMBER(MATCH(FO$1, AsistenciaJetAdminConcatenada!$B:$B, 0)), ISNUMBER(SEARCH($A82,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ISNUMBER(SEARCH($A82, INDEX(AsistenciaJetAdminConcatenada!$D:$D, MATCH(1, (AsistenciaJetAdminConcatenada!$A:$A=FO$2)*(AsistenciaJetAdminConcatenada!$B:$B=FO$1), 0)), 1))),  0.5, 0))</f>
        <v>0</v>
      </c>
      <c r="FP82" s="47">
        <f t="array" ref="FP82">IF(AND(ISNUMBER(MATCH(FP$2, AsistenciaJetAdminConcatenada!$A:$A, 0)), ISNUMBER(MATCH(FP$1, AsistenciaJetAdminConcatenada!$B:$B, 0)), ISNUMBER(SEARCH($A82,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ISNUMBER(SEARCH($A82, INDEX(AsistenciaJetAdminConcatenada!$D:$D, MATCH(1, (AsistenciaJetAdminConcatenada!$A:$A=FP$2)*(AsistenciaJetAdminConcatenada!$B:$B=FP$1), 0)), 1))),  0.5, 0))</f>
        <v>0</v>
      </c>
      <c r="FQ82" s="47">
        <f t="array" ref="FQ82">IF(AND(ISNUMBER(MATCH(FQ$2, AsistenciaJetAdminConcatenada!$A:$A, 0)), ISNUMBER(MATCH(FQ$1, AsistenciaJetAdminConcatenada!$B:$B, 0)), ISNUMBER(SEARCH($A82,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ISNUMBER(SEARCH($A82, INDEX(AsistenciaJetAdminConcatenada!$D:$D, MATCH(1, (AsistenciaJetAdminConcatenada!$A:$A=FQ$2)*(AsistenciaJetAdminConcatenada!$B:$B=FQ$1), 0)), 1))),  0.5, 0))</f>
        <v>0</v>
      </c>
      <c r="FR82" s="47">
        <f t="array" ref="FR82">IF(AND(ISNUMBER(MATCH(FR$2, AsistenciaJetAdminConcatenada!$A:$A, 0)), ISNUMBER(MATCH(FR$1, AsistenciaJetAdminConcatenada!$B:$B, 0)), ISNUMBER(SEARCH($A82,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ISNUMBER(SEARCH($A82, INDEX(AsistenciaJetAdminConcatenada!$D:$D, MATCH(1, (AsistenciaJetAdminConcatenada!$A:$A=FR$2)*(AsistenciaJetAdminConcatenada!$B:$B=FR$1), 0)), 1))),  0.5, 0))</f>
        <v>0</v>
      </c>
      <c r="FS82" s="47">
        <f t="array" ref="FS82">IF(AND(ISNUMBER(MATCH(FS$2, AsistenciaJetAdminConcatenada!$A:$A, 0)), ISNUMBER(MATCH(FS$1, AsistenciaJetAdminConcatenada!$B:$B, 0)), ISNUMBER(SEARCH($A82,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ISNUMBER(SEARCH($A82, INDEX(AsistenciaJetAdminConcatenada!$D:$D, MATCH(1, (AsistenciaJetAdminConcatenada!$A:$A=FS$2)*(AsistenciaJetAdminConcatenada!$B:$B=FS$1), 0)), 1))),  0.5, 0))</f>
        <v>0</v>
      </c>
      <c r="FT82" s="47">
        <f t="array" ref="FT82">IF(AND(ISNUMBER(MATCH(FT$2, AsistenciaJetAdminConcatenada!$A:$A, 0)), ISNUMBER(MATCH(FT$1, AsistenciaJetAdminConcatenada!$B:$B, 0)), ISNUMBER(SEARCH($A82,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ISNUMBER(SEARCH($A82, INDEX(AsistenciaJetAdminConcatenada!$D:$D, MATCH(1, (AsistenciaJetAdminConcatenada!$A:$A=FT$2)*(AsistenciaJetAdminConcatenada!$B:$B=FT$1), 0)), 1))),  0.5, 0))</f>
        <v>0</v>
      </c>
      <c r="FU82" s="47">
        <f t="array" ref="FU82">IF(AND(ISNUMBER(MATCH(FU$2, AsistenciaJetAdminConcatenada!$A:$A, 0)), ISNUMBER(MATCH(FU$1, AsistenciaJetAdminConcatenada!$B:$B, 0)), ISNUMBER(SEARCH($A82,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ISNUMBER(SEARCH($A82, INDEX(AsistenciaJetAdminConcatenada!$D:$D, MATCH(1, (AsistenciaJetAdminConcatenada!$A:$A=FU$2)*(AsistenciaJetAdminConcatenada!$B:$B=FU$1), 0)), 1))),  0.5, 0))</f>
        <v>0</v>
      </c>
      <c r="FV82" s="47">
        <f t="array" ref="FV82">IF(AND(ISNUMBER(MATCH(FV$2, AsistenciaJetAdminConcatenada!$A:$A, 0)), ISNUMBER(MATCH(FV$1, AsistenciaJetAdminConcatenada!$B:$B, 0)), ISNUMBER(SEARCH($A82,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ISNUMBER(SEARCH($A82, INDEX(AsistenciaJetAdminConcatenada!$D:$D, MATCH(1, (AsistenciaJetAdminConcatenada!$A:$A=FV$2)*(AsistenciaJetAdminConcatenada!$B:$B=FV$1), 0)), 1))),  0.5, 0))</f>
        <v>0</v>
      </c>
      <c r="FW82" s="47">
        <f t="array" ref="FW82">IF(AND(ISNUMBER(MATCH(FW$2, AsistenciaJetAdminConcatenada!$A:$A, 0)), ISNUMBER(MATCH(FW$1, AsistenciaJetAdminConcatenada!$B:$B, 0)), ISNUMBER(SEARCH($A82,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ISNUMBER(SEARCH($A82, INDEX(AsistenciaJetAdminConcatenada!$D:$D, MATCH(1, (AsistenciaJetAdminConcatenada!$A:$A=FW$2)*(AsistenciaJetAdminConcatenada!$B:$B=FW$1), 0)), 1))),  0.5, 0))</f>
        <v>0</v>
      </c>
      <c r="FX82" s="47">
        <f t="array" ref="FX82">IF(AND(ISNUMBER(MATCH(FX$2, AsistenciaJetAdminConcatenada!$A:$A, 0)), ISNUMBER(MATCH(FX$1, AsistenciaJetAdminConcatenada!$B:$B, 0)), ISNUMBER(SEARCH($A82,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ISNUMBER(SEARCH($A82, INDEX(AsistenciaJetAdminConcatenada!$D:$D, MATCH(1, (AsistenciaJetAdminConcatenada!$A:$A=FX$2)*(AsistenciaJetAdminConcatenada!$B:$B=FX$1), 0)), 1))),  0.5, 0))</f>
        <v>0</v>
      </c>
      <c r="FY82" s="47">
        <f t="array" ref="FY82">IF(AND(ISNUMBER(MATCH(FY$2, AsistenciaJetAdminConcatenada!$A:$A, 0)), ISNUMBER(MATCH(FY$1, AsistenciaJetAdminConcatenada!$B:$B, 0)), ISNUMBER(SEARCH($A82,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ISNUMBER(SEARCH($A82, INDEX(AsistenciaJetAdminConcatenada!$D:$D, MATCH(1, (AsistenciaJetAdminConcatenada!$A:$A=FY$2)*(AsistenciaJetAdminConcatenada!$B:$B=FY$1), 0)), 1))),  0.5, 0))</f>
        <v>0</v>
      </c>
      <c r="FZ82" s="47">
        <f t="array" ref="FZ82">IF(AND(ISNUMBER(MATCH(FZ$2, AsistenciaJetAdminConcatenada!$A:$A, 0)), ISNUMBER(MATCH(FZ$1, AsistenciaJetAdminConcatenada!$B:$B, 0)), ISNUMBER(SEARCH($A82,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ISNUMBER(SEARCH($A82, INDEX(AsistenciaJetAdminConcatenada!$D:$D, MATCH(1, (AsistenciaJetAdminConcatenada!$A:$A=FZ$2)*(AsistenciaJetAdminConcatenada!$B:$B=FZ$1), 0)), 1))),  0.5, 0))</f>
        <v>0</v>
      </c>
      <c r="GA82" s="47">
        <f t="array" ref="GA82">IF(AND(ISNUMBER(MATCH(GA$2, AsistenciaJetAdminConcatenada!$A:$A, 0)), ISNUMBER(MATCH(GA$1, AsistenciaJetAdminConcatenada!$B:$B, 0)), ISNUMBER(SEARCH($A82,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ISNUMBER(SEARCH($A82, INDEX(AsistenciaJetAdminConcatenada!$D:$D, MATCH(1, (AsistenciaJetAdminConcatenada!$A:$A=GA$2)*(AsistenciaJetAdminConcatenada!$B:$B=GA$1), 0)), 1))),  0.5, 0))</f>
        <v>0</v>
      </c>
      <c r="GB82" s="47">
        <f t="array" ref="GB82">IF(AND(ISNUMBER(MATCH(GB$2, AsistenciaJetAdminConcatenada!$A:$A, 0)), ISNUMBER(MATCH(GB$1, AsistenciaJetAdminConcatenada!$B:$B, 0)), ISNUMBER(SEARCH($A82,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ISNUMBER(SEARCH($A82, INDEX(AsistenciaJetAdminConcatenada!$D:$D, MATCH(1, (AsistenciaJetAdminConcatenada!$A:$A=GB$2)*(AsistenciaJetAdminConcatenada!$B:$B=GB$1), 0)), 1))),  0.5, 0))</f>
        <v>0</v>
      </c>
      <c r="GC82" s="47">
        <f t="array" ref="GC82">IF(AND(ISNUMBER(MATCH(GC$2, AsistenciaJetAdminConcatenada!$A:$A, 0)), ISNUMBER(MATCH(GC$1, AsistenciaJetAdminConcatenada!$B:$B, 0)), ISNUMBER(SEARCH($A82,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ISNUMBER(SEARCH($A82, INDEX(AsistenciaJetAdminConcatenada!$D:$D, MATCH(1, (AsistenciaJetAdminConcatenada!$A:$A=GC$2)*(AsistenciaJetAdminConcatenada!$B:$B=GC$1), 0)), 1))),  0.5, 0))</f>
        <v>0</v>
      </c>
      <c r="GD82" s="47">
        <f t="array" ref="GD82">IF(AND(ISNUMBER(MATCH(GD$2, AsistenciaJetAdminConcatenada!$A:$A, 0)), ISNUMBER(MATCH(GD$1, AsistenciaJetAdminConcatenada!$B:$B, 0)), ISNUMBER(SEARCH($A82,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ISNUMBER(SEARCH($A82, INDEX(AsistenciaJetAdminConcatenada!$D:$D, MATCH(1, (AsistenciaJetAdminConcatenada!$A:$A=GD$2)*(AsistenciaJetAdminConcatenada!$B:$B=GD$1), 0)), 1))),  0.5, 0))</f>
        <v>0</v>
      </c>
      <c r="GE82" s="47">
        <f t="array" ref="GE82">IF(AND(ISNUMBER(MATCH(GE$2, AsistenciaJetAdminConcatenada!$A:$A, 0)), ISNUMBER(MATCH(GE$1, AsistenciaJetAdminConcatenada!$B:$B, 0)), ISNUMBER(SEARCH($A82,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ISNUMBER(SEARCH($A82, INDEX(AsistenciaJetAdminConcatenada!$D:$D, MATCH(1, (AsistenciaJetAdminConcatenada!$A:$A=GE$2)*(AsistenciaJetAdminConcatenada!$B:$B=GE$1), 0)), 1))),  0.5, 0))</f>
        <v>0</v>
      </c>
      <c r="GF82" s="47">
        <f t="array" ref="GF82">IF(AND(ISNUMBER(MATCH(GF$2, AsistenciaJetAdminConcatenada!$A:$A, 0)), ISNUMBER(MATCH(GF$1, AsistenciaJetAdminConcatenada!$B:$B, 0)), ISNUMBER(SEARCH($A82,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ISNUMBER(SEARCH($A82, INDEX(AsistenciaJetAdminConcatenada!$D:$D, MATCH(1, (AsistenciaJetAdminConcatenada!$A:$A=GF$2)*(AsistenciaJetAdminConcatenada!$B:$B=GF$1), 0)), 1))),  0.5, 0))</f>
        <v>0</v>
      </c>
      <c r="GG82" s="47">
        <f t="array" ref="GG82">IF(AND(ISNUMBER(MATCH(GG$2, AsistenciaJetAdminConcatenada!$A:$A, 0)), ISNUMBER(MATCH(GG$1, AsistenciaJetAdminConcatenada!$B:$B, 0)), ISNUMBER(SEARCH($A82,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ISNUMBER(SEARCH($A82, INDEX(AsistenciaJetAdminConcatenada!$D:$D, MATCH(1, (AsistenciaJetAdminConcatenada!$A:$A=GG$2)*(AsistenciaJetAdminConcatenada!$B:$B=GG$1), 0)), 1))),  0.5, 0))</f>
        <v>0</v>
      </c>
      <c r="GH82" s="47">
        <f t="array" ref="GH82">IF(AND(ISNUMBER(MATCH(GH$2, AsistenciaJetAdminConcatenada!$A:$A, 0)), ISNUMBER(MATCH(GH$1, AsistenciaJetAdminConcatenada!$B:$B, 0)), ISNUMBER(SEARCH($A82,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ISNUMBER(SEARCH($A82, INDEX(AsistenciaJetAdminConcatenada!$D:$D, MATCH(1, (AsistenciaJetAdminConcatenada!$A:$A=GH$2)*(AsistenciaJetAdminConcatenada!$B:$B=GH$1), 0)), 1))),  0.5, 0))</f>
        <v>0</v>
      </c>
      <c r="GI82" s="47">
        <f t="array" ref="GI82">IF(AND(ISNUMBER(MATCH(GI$2, AsistenciaJetAdminConcatenada!$A:$A, 0)), ISNUMBER(MATCH(GI$1, AsistenciaJetAdminConcatenada!$B:$B, 0)), ISNUMBER(SEARCH($A82,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ISNUMBER(SEARCH($A82, INDEX(AsistenciaJetAdminConcatenada!$D:$D, MATCH(1, (AsistenciaJetAdminConcatenada!$A:$A=GI$2)*(AsistenciaJetAdminConcatenada!$B:$B=GI$1), 0)), 1))),  0.5, 0))</f>
        <v>0</v>
      </c>
      <c r="GJ82" s="47">
        <f t="array" ref="GJ82">IF(AND(ISNUMBER(MATCH(GJ$2, AsistenciaJetAdminConcatenada!$A:$A, 0)), ISNUMBER(MATCH(GJ$1, AsistenciaJetAdminConcatenada!$B:$B, 0)), ISNUMBER(SEARCH($A82,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ISNUMBER(SEARCH($A82, INDEX(AsistenciaJetAdminConcatenada!$D:$D, MATCH(1, (AsistenciaJetAdminConcatenada!$A:$A=GJ$2)*(AsistenciaJetAdminConcatenada!$B:$B=GJ$1), 0)), 1))),  0.5, 0))</f>
        <v>0</v>
      </c>
      <c r="GK82" s="47">
        <f t="array" ref="GK82">IF(AND(ISNUMBER(MATCH(GK$2, AsistenciaJetAdminConcatenada!$A:$A, 0)), ISNUMBER(MATCH(GK$1, AsistenciaJetAdminConcatenada!$B:$B, 0)), ISNUMBER(SEARCH($A82,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ISNUMBER(SEARCH($A82, INDEX(AsistenciaJetAdminConcatenada!$D:$D, MATCH(1, (AsistenciaJetAdminConcatenada!$A:$A=GK$2)*(AsistenciaJetAdminConcatenada!$B:$B=GK$1), 0)), 1))),  0.5, 0))</f>
        <v>0</v>
      </c>
      <c r="GL82" s="47">
        <f t="array" ref="GL82">IF(AND(ISNUMBER(MATCH(GL$2, AsistenciaJetAdminConcatenada!$A:$A, 0)), ISNUMBER(MATCH(GL$1, AsistenciaJetAdminConcatenada!$B:$B, 0)), ISNUMBER(SEARCH($A82,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ISNUMBER(SEARCH($A82, INDEX(AsistenciaJetAdminConcatenada!$D:$D, MATCH(1, (AsistenciaJetAdminConcatenada!$A:$A=GL$2)*(AsistenciaJetAdminConcatenada!$B:$B=GL$1), 0)), 1))),  0.5, 0))</f>
        <v>0</v>
      </c>
      <c r="GM82" s="47">
        <f t="array" ref="GM82">IF(AND(ISNUMBER(MATCH(GM$2, AsistenciaJetAdminConcatenada!$A:$A, 0)), ISNUMBER(MATCH(GM$1, AsistenciaJetAdminConcatenada!$B:$B, 0)), ISNUMBER(SEARCH($A82,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ISNUMBER(SEARCH($A82, INDEX(AsistenciaJetAdminConcatenada!$D:$D, MATCH(1, (AsistenciaJetAdminConcatenada!$A:$A=GM$2)*(AsistenciaJetAdminConcatenada!$B:$B=GM$1), 0)), 1))),  0.5, 0))</f>
        <v>0</v>
      </c>
      <c r="GN82" s="47">
        <f t="array" ref="GN82">IF(AND(ISNUMBER(MATCH(GN$2, AsistenciaJetAdminConcatenada!$A:$A, 0)), ISNUMBER(MATCH(GN$1, AsistenciaJetAdminConcatenada!$B:$B, 0)), ISNUMBER(SEARCH($A82,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ISNUMBER(SEARCH($A82, INDEX(AsistenciaJetAdminConcatenada!$D:$D, MATCH(1, (AsistenciaJetAdminConcatenada!$A:$A=GN$2)*(AsistenciaJetAdminConcatenada!$B:$B=GN$1), 0)), 1))),  0.5, 0))</f>
        <v>0</v>
      </c>
      <c r="GO82" s="47">
        <f t="array" ref="GO82">IF(AND(ISNUMBER(MATCH(GO$2, AsistenciaJetAdminConcatenada!$A:$A, 0)), ISNUMBER(MATCH(GO$1, AsistenciaJetAdminConcatenada!$B:$B, 0)), ISNUMBER(SEARCH($A82,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ISNUMBER(SEARCH($A82, INDEX(AsistenciaJetAdminConcatenada!$D:$D, MATCH(1, (AsistenciaJetAdminConcatenada!$A:$A=GO$2)*(AsistenciaJetAdminConcatenada!$B:$B=GO$1), 0)), 1))),  0.5, 0))</f>
        <v>0</v>
      </c>
      <c r="GP82" s="47">
        <f t="array" ref="GP82">IF(AND(ISNUMBER(MATCH(GP$2, AsistenciaJetAdminConcatenada!$A:$A, 0)), ISNUMBER(MATCH(GP$1, AsistenciaJetAdminConcatenada!$B:$B, 0)), ISNUMBER(SEARCH($A82,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ISNUMBER(SEARCH($A82, INDEX(AsistenciaJetAdminConcatenada!$D:$D, MATCH(1, (AsistenciaJetAdminConcatenada!$A:$A=GP$2)*(AsistenciaJetAdminConcatenada!$B:$B=GP$1), 0)), 1))),  0.5, 0))</f>
        <v>0</v>
      </c>
      <c r="GQ82" s="47">
        <f t="array" ref="GQ82">IF(AND(ISNUMBER(MATCH(GQ$2, AsistenciaJetAdminConcatenada!$A:$A, 0)), ISNUMBER(MATCH(GQ$1, AsistenciaJetAdminConcatenada!$B:$B, 0)), ISNUMBER(SEARCH($A82,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ISNUMBER(SEARCH($A82, INDEX(AsistenciaJetAdminConcatenada!$D:$D, MATCH(1, (AsistenciaJetAdminConcatenada!$A:$A=GQ$2)*(AsistenciaJetAdminConcatenada!$B:$B=GQ$1), 0)), 1))),  0.5, 0))</f>
        <v>0</v>
      </c>
      <c r="GR82" s="47">
        <f t="array" ref="GR82">IF(AND(ISNUMBER(MATCH(GR$2, AsistenciaJetAdminConcatenada!$A:$A, 0)), ISNUMBER(MATCH(GR$1, AsistenciaJetAdminConcatenada!$B:$B, 0)), ISNUMBER(SEARCH($A82,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ISNUMBER(SEARCH($A82, INDEX(AsistenciaJetAdminConcatenada!$D:$D, MATCH(1, (AsistenciaJetAdminConcatenada!$A:$A=GR$2)*(AsistenciaJetAdminConcatenada!$B:$B=GR$1), 0)), 1))),  0.5, 0))</f>
        <v>0</v>
      </c>
      <c r="GS82" s="47">
        <f t="array" ref="GS82">IF(AND(ISNUMBER(MATCH(GS$2, AsistenciaJetAdminConcatenada!$A:$A, 0)), ISNUMBER(MATCH(GS$1, AsistenciaJetAdminConcatenada!$B:$B, 0)), ISNUMBER(SEARCH($A82,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ISNUMBER(SEARCH($A82, INDEX(AsistenciaJetAdminConcatenada!$D:$D, MATCH(1, (AsistenciaJetAdminConcatenada!$A:$A=GS$2)*(AsistenciaJetAdminConcatenada!$B:$B=GS$1), 0)), 1))),  0.5, 0))</f>
        <v>0</v>
      </c>
      <c r="GT82" s="47">
        <f t="array" ref="GT82">IF(AND(ISNUMBER(MATCH(GT$2, AsistenciaJetAdminConcatenada!$A:$A, 0)), ISNUMBER(MATCH(GT$1, AsistenciaJetAdminConcatenada!$B:$B, 0)), ISNUMBER(SEARCH($A82,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ISNUMBER(SEARCH($A82, INDEX(AsistenciaJetAdminConcatenada!$D:$D, MATCH(1, (AsistenciaJetAdminConcatenada!$A:$A=GT$2)*(AsistenciaJetAdminConcatenada!$B:$B=GT$1), 0)), 1))),  0.5, 0))</f>
        <v>0</v>
      </c>
      <c r="GU82" s="47">
        <f t="array" ref="GU82">IF(AND(ISNUMBER(MATCH(GU$2, AsistenciaJetAdminConcatenada!$A:$A, 0)), ISNUMBER(MATCH(GU$1, AsistenciaJetAdminConcatenada!$B:$B, 0)), ISNUMBER(SEARCH($A82,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ISNUMBER(SEARCH($A82, INDEX(AsistenciaJetAdminConcatenada!$D:$D, MATCH(1, (AsistenciaJetAdminConcatenada!$A:$A=GU$2)*(AsistenciaJetAdminConcatenada!$B:$B=GU$1), 0)), 1))),  0.5, 0))</f>
        <v>0</v>
      </c>
      <c r="GV82" s="47">
        <f t="array" ref="GV82">IF(AND(ISNUMBER(MATCH(GV$2, AsistenciaJetAdminConcatenada!$A:$A, 0)), ISNUMBER(MATCH(GV$1, AsistenciaJetAdminConcatenada!$B:$B, 0)), ISNUMBER(SEARCH($A82,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ISNUMBER(SEARCH($A82, INDEX(AsistenciaJetAdminConcatenada!$D:$D, MATCH(1, (AsistenciaJetAdminConcatenada!$A:$A=GV$2)*(AsistenciaJetAdminConcatenada!$B:$B=GV$1), 0)), 1))),  0.5, 0))</f>
        <v>0</v>
      </c>
      <c r="GW82" s="47">
        <f t="array" ref="GW82">IF(AND(ISNUMBER(MATCH(GW$2, AsistenciaJetAdminConcatenada!$A:$A, 0)), ISNUMBER(MATCH(GW$1, AsistenciaJetAdminConcatenada!$B:$B, 0)), ISNUMBER(SEARCH($A82,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ISNUMBER(SEARCH($A82, INDEX(AsistenciaJetAdminConcatenada!$D:$D, MATCH(1, (AsistenciaJetAdminConcatenada!$A:$A=GW$2)*(AsistenciaJetAdminConcatenada!$B:$B=GW$1), 0)), 1))),  0.5, 0))</f>
        <v>0</v>
      </c>
      <c r="GX82" s="47">
        <f t="array" ref="GX82">IF(AND(ISNUMBER(MATCH(GX$2, AsistenciaJetAdminConcatenada!$A:$A, 0)), ISNUMBER(MATCH(GX$1, AsistenciaJetAdminConcatenada!$B:$B, 0)), ISNUMBER(SEARCH($A82,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ISNUMBER(SEARCH($A82, INDEX(AsistenciaJetAdminConcatenada!$D:$D, MATCH(1, (AsistenciaJetAdminConcatenada!$A:$A=GX$2)*(AsistenciaJetAdminConcatenada!$B:$B=GX$1), 0)), 1))),  0.5, 0))</f>
        <v>0</v>
      </c>
      <c r="GY82" s="47">
        <f t="array" ref="GY82">IF(AND(ISNUMBER(MATCH(GY$2, AsistenciaJetAdminConcatenada!$A:$A, 0)), ISNUMBER(MATCH(GY$1, AsistenciaJetAdminConcatenada!$B:$B, 0)), ISNUMBER(SEARCH($A82,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ISNUMBER(SEARCH($A82, INDEX(AsistenciaJetAdminConcatenada!$D:$D, MATCH(1, (AsistenciaJetAdminConcatenada!$A:$A=GY$2)*(AsistenciaJetAdminConcatenada!$B:$B=GY$1), 0)), 1))),  0.5, 0))</f>
        <v>0</v>
      </c>
      <c r="GZ82" s="47">
        <f t="array" ref="GZ82">IF(AND(ISNUMBER(MATCH(GZ$2, AsistenciaJetAdminConcatenada!$A:$A, 0)), ISNUMBER(MATCH(GZ$1, AsistenciaJetAdminConcatenada!$B:$B, 0)), ISNUMBER(SEARCH($A82,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ISNUMBER(SEARCH($A82, INDEX(AsistenciaJetAdminConcatenada!$D:$D, MATCH(1, (AsistenciaJetAdminConcatenada!$A:$A=GZ$2)*(AsistenciaJetAdminConcatenada!$B:$B=GZ$1), 0)), 1))),  0.5, 0))</f>
        <v>0</v>
      </c>
      <c r="HA82" s="47">
        <f t="array" ref="HA82">IF(AND(ISNUMBER(MATCH(HA$2, AsistenciaJetAdminConcatenada!$A:$A, 0)), ISNUMBER(MATCH(HA$1, AsistenciaJetAdminConcatenada!$B:$B, 0)), ISNUMBER(SEARCH($A82,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ISNUMBER(SEARCH($A82, INDEX(AsistenciaJetAdminConcatenada!$D:$D, MATCH(1, (AsistenciaJetAdminConcatenada!$A:$A=HA$2)*(AsistenciaJetAdminConcatenada!$B:$B=HA$1), 0)), 1))),  0.5, 0))</f>
        <v>0</v>
      </c>
      <c r="HB82" s="47">
        <f t="array" ref="HB82">IF(AND(ISNUMBER(MATCH(HB$2, AsistenciaJetAdminConcatenada!$A:$A, 0)), ISNUMBER(MATCH(HB$1, AsistenciaJetAdminConcatenada!$B:$B, 0)), ISNUMBER(SEARCH($A82,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ISNUMBER(SEARCH($A82, INDEX(AsistenciaJetAdminConcatenada!$D:$D, MATCH(1, (AsistenciaJetAdminConcatenada!$A:$A=HB$2)*(AsistenciaJetAdminConcatenada!$B:$B=HB$1), 0)), 1))),  0.5, 0))</f>
        <v>0</v>
      </c>
      <c r="HC82" s="47">
        <f t="array" ref="HC82">IF(AND(ISNUMBER(MATCH(HC$2, AsistenciaJetAdminConcatenada!$A:$A, 0)), ISNUMBER(MATCH(HC$1, AsistenciaJetAdminConcatenada!$B:$B, 0)), ISNUMBER(SEARCH($A82,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ISNUMBER(SEARCH($A82, INDEX(AsistenciaJetAdminConcatenada!$D:$D, MATCH(1, (AsistenciaJetAdminConcatenada!$A:$A=HC$2)*(AsistenciaJetAdminConcatenada!$B:$B=HC$1), 0)), 1))),  0.5, 0))</f>
        <v>0</v>
      </c>
    </row>
    <row r="83" ht="29.25" customHeight="1">
      <c r="A83" s="3">
        <v>137.0</v>
      </c>
      <c r="B83" s="4" t="s">
        <v>54</v>
      </c>
      <c r="C83" s="47">
        <f>SUM(D83:HC83) + ActividadesEspeciales!C83</f>
        <v>67.5</v>
      </c>
      <c r="D83" s="47">
        <f t="array" ref="D83">IF(AND(ISNUMBER(MATCH(D$2, AsistenciaJetAdminConcatenada!$A:$A, 0)), ISNUMBER(MATCH(D$1, AsistenciaJetAdminConcatenada!$B:$B, 0)), ISNUMBER(SEARCH($A83,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ISNUMBER(SEARCH($A83, INDEX(AsistenciaJetAdminConcatenada!$D:$D, MATCH(1, (AsistenciaJetAdminConcatenada!$A:$A=D$2)*(AsistenciaJetAdminConcatenada!$B:$B=D$1), 0)), 1))),  0.5, 0))</f>
        <v>1</v>
      </c>
      <c r="E83" s="47">
        <f t="array" ref="E83">IF(AND(ISNUMBER(MATCH(E$2, AsistenciaJetAdminConcatenada!$A:$A, 0)), ISNUMBER(MATCH(E$1, AsistenciaJetAdminConcatenada!$B:$B, 0)), ISNUMBER(SEARCH($A83,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ISNUMBER(SEARCH($A83, INDEX(AsistenciaJetAdminConcatenada!$D:$D, MATCH(1, (AsistenciaJetAdminConcatenada!$A:$A=E$2)*(AsistenciaJetAdminConcatenada!$B:$B=E$1), 0)), 1))),  0.5, 0))</f>
        <v>1</v>
      </c>
      <c r="F83" s="47">
        <f t="array" ref="F83">IF(AND(ISNUMBER(MATCH(F$2, AsistenciaJetAdminConcatenada!$A:$A, 0)), ISNUMBER(MATCH(F$1, AsistenciaJetAdminConcatenada!$B:$B, 0)), ISNUMBER(SEARCH($A83,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ISNUMBER(SEARCH($A83, INDEX(AsistenciaJetAdminConcatenada!$D:$D, MATCH(1, (AsistenciaJetAdminConcatenada!$A:$A=F$2)*(AsistenciaJetAdminConcatenada!$B:$B=F$1), 0)), 1))),  0.5, 0))</f>
        <v>1</v>
      </c>
      <c r="G83" s="47">
        <f t="array" ref="G83">IF(AND(ISNUMBER(MATCH(G$2, AsistenciaJetAdminConcatenada!$A:$A, 0)), ISNUMBER(MATCH(G$1, AsistenciaJetAdminConcatenada!$B:$B, 0)), ISNUMBER(SEARCH($A83,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ISNUMBER(SEARCH($A83, INDEX(AsistenciaJetAdminConcatenada!$D:$D, MATCH(1, (AsistenciaJetAdminConcatenada!$A:$A=G$2)*(AsistenciaJetAdminConcatenada!$B:$B=G$1), 0)), 1))),  0.5, 0))</f>
        <v>1</v>
      </c>
      <c r="H83" s="47">
        <f t="array" ref="H83">IF(AND(ISNUMBER(MATCH(H$2, AsistenciaJetAdminConcatenada!$A:$A, 0)), ISNUMBER(MATCH(H$1, AsistenciaJetAdminConcatenada!$B:$B, 0)), ISNUMBER(SEARCH($A83,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ISNUMBER(SEARCH($A83, INDEX(AsistenciaJetAdminConcatenada!$D:$D, MATCH(1, (AsistenciaJetAdminConcatenada!$A:$A=H$2)*(AsistenciaJetAdminConcatenada!$B:$B=H$1), 0)), 1))),  0.5, 0))</f>
        <v>1</v>
      </c>
      <c r="I83" s="47">
        <f t="array" ref="I83">IF(AND(ISNUMBER(MATCH(I$2, AsistenciaJetAdminConcatenada!$A:$A, 0)), ISNUMBER(MATCH(I$1, AsistenciaJetAdminConcatenada!$B:$B, 0)), ISNUMBER(SEARCH($A83,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ISNUMBER(SEARCH($A83, INDEX(AsistenciaJetAdminConcatenada!$D:$D, MATCH(1, (AsistenciaJetAdminConcatenada!$A:$A=I$2)*(AsistenciaJetAdminConcatenada!$B:$B=I$1), 0)), 1))),  0.5, 0))</f>
        <v>1</v>
      </c>
      <c r="J83" s="47">
        <f t="array" ref="J83">IF(AND(ISNUMBER(MATCH(J$2, AsistenciaJetAdminConcatenada!$A:$A, 0)), ISNUMBER(MATCH(J$1, AsistenciaJetAdminConcatenada!$B:$B, 0)), ISNUMBER(SEARCH($A83,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ISNUMBER(SEARCH($A83, INDEX(AsistenciaJetAdminConcatenada!$D:$D, MATCH(1, (AsistenciaJetAdminConcatenada!$A:$A=J$2)*(AsistenciaJetAdminConcatenada!$B:$B=J$1), 0)), 1))),  0.5, 0))</f>
        <v>0</v>
      </c>
      <c r="K83" s="47">
        <f t="array" ref="K83">IF(AND(ISNUMBER(MATCH(K$2, AsistenciaJetAdminConcatenada!$A:$A, 0)), ISNUMBER(MATCH(K$1, AsistenciaJetAdminConcatenada!$B:$B, 0)), ISNUMBER(SEARCH($A83,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ISNUMBER(SEARCH($A83, INDEX(AsistenciaJetAdminConcatenada!$D:$D, MATCH(1, (AsistenciaJetAdminConcatenada!$A:$A=K$2)*(AsistenciaJetAdminConcatenada!$B:$B=K$1), 0)), 1))),  0.5, 0))</f>
        <v>1</v>
      </c>
      <c r="L83" s="47">
        <f t="array" ref="L83">IF(AND(ISNUMBER(MATCH(L$2, AsistenciaJetAdminConcatenada!$A:$A, 0)), ISNUMBER(MATCH(L$1, AsistenciaJetAdminConcatenada!$B:$B, 0)), ISNUMBER(SEARCH($A83,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ISNUMBER(SEARCH($A83, INDEX(AsistenciaJetAdminConcatenada!$D:$D, MATCH(1, (AsistenciaJetAdminConcatenada!$A:$A=L$2)*(AsistenciaJetAdminConcatenada!$B:$B=L$1), 0)), 1))),  0.5, 0))</f>
        <v>1</v>
      </c>
      <c r="M83" s="47">
        <f t="array" ref="M83">IF(AND(ISNUMBER(MATCH(M$2, AsistenciaJetAdminConcatenada!$A:$A, 0)), ISNUMBER(MATCH(M$1, AsistenciaJetAdminConcatenada!$B:$B, 0)), ISNUMBER(SEARCH($A83,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ISNUMBER(SEARCH($A83, INDEX(AsistenciaJetAdminConcatenada!$D:$D, MATCH(1, (AsistenciaJetAdminConcatenada!$A:$A=M$2)*(AsistenciaJetAdminConcatenada!$B:$B=M$1), 0)), 1))),  0.5, 0))</f>
        <v>1</v>
      </c>
      <c r="N83" s="47">
        <f t="array" ref="N83">IF(AND(ISNUMBER(MATCH(N$2, AsistenciaJetAdminConcatenada!$A:$A, 0)), ISNUMBER(MATCH(N$1, AsistenciaJetAdminConcatenada!$B:$B, 0)), ISNUMBER(SEARCH($A83,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ISNUMBER(SEARCH($A83, INDEX(AsistenciaJetAdminConcatenada!$D:$D, MATCH(1, (AsistenciaJetAdminConcatenada!$A:$A=N$2)*(AsistenciaJetAdminConcatenada!$B:$B=N$1), 0)), 1))),  0.5, 0))</f>
        <v>0</v>
      </c>
      <c r="O83" s="47">
        <f t="array" ref="O83">IF(AND(ISNUMBER(MATCH(O$2, AsistenciaJetAdminConcatenada!$A:$A, 0)), ISNUMBER(MATCH(O$1, AsistenciaJetAdminConcatenada!$B:$B, 0)), ISNUMBER(SEARCH($A83,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ISNUMBER(SEARCH($A83, INDEX(AsistenciaJetAdminConcatenada!$D:$D, MATCH(1, (AsistenciaJetAdminConcatenada!$A:$A=O$2)*(AsistenciaJetAdminConcatenada!$B:$B=O$1), 0)), 1))),  0.5, 0))</f>
        <v>1</v>
      </c>
      <c r="P83" s="47">
        <f t="array" ref="P83">IF(AND(ISNUMBER(MATCH(P$2, AsistenciaJetAdminConcatenada!$A:$A, 0)), ISNUMBER(MATCH(P$1, AsistenciaJetAdminConcatenada!$B:$B, 0)), ISNUMBER(SEARCH($A83, INDEX(AsistenciaJetAdminConcatenada!$C:$C, MATCH(1, (AsistenciaJetAdminConcatenada!$A:$A=P$2)*(AsistenciaJetAdminConcatenada!$B:$B=P$1), 0)), 1))), 1, IF(AND(ISNUMBER(MATCH(P$2, AsistenciaJetAdminConcatenada!$A:$A, 0)), ISNUMBER(MATCH(P$1, AsistenciaJetAdminConcatenada!$B:$B, 0)), ISNUMBER(SEARCH($A83, INDEX(AsistenciaJetAdminConcatenada!$D:$D, MATCH(1, (AsistenciaJetAdminConcatenada!$A:$A=P$2)*(AsistenciaJetAdminConcatenada!$B:$B=P$1), 0)), 1))),  0.5, 0))</f>
        <v>1</v>
      </c>
      <c r="Q83" s="47">
        <f t="array" ref="Q83">IF(AND(ISNUMBER(MATCH(Q$2, AsistenciaJetAdminConcatenada!$A:$A, 0)), ISNUMBER(MATCH(Q$1, AsistenciaJetAdminConcatenada!$B:$B, 0)), ISNUMBER(SEARCH($A83, INDEX(AsistenciaJetAdminConcatenada!$C:$C, MATCH(1, (AsistenciaJetAdminConcatenada!$A:$A=Q$2)*(AsistenciaJetAdminConcatenada!$B:$B=Q$1), 0)), 1))), 1, IF(AND(ISNUMBER(MATCH(Q$2, AsistenciaJetAdminConcatenada!$A:$A, 0)), ISNUMBER(MATCH(Q$1, AsistenciaJetAdminConcatenada!$B:$B, 0)), ISNUMBER(SEARCH($A83, INDEX(AsistenciaJetAdminConcatenada!$D:$D, MATCH(1, (AsistenciaJetAdminConcatenada!$A:$A=Q$2)*(AsistenciaJetAdminConcatenada!$B:$B=Q$1), 0)), 1))),  0.5, 0))</f>
        <v>1</v>
      </c>
      <c r="R83" s="47">
        <f t="array" ref="R83">IF(AND(ISNUMBER(MATCH(R$2, AsistenciaJetAdminConcatenada!$A:$A, 0)), ISNUMBER(MATCH(R$1, AsistenciaJetAdminConcatenada!$B:$B, 0)), ISNUMBER(SEARCH($A83,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ISNUMBER(SEARCH($A83, INDEX(AsistenciaJetAdminConcatenada!$D:$D, MATCH(1, (AsistenciaJetAdminConcatenada!$A:$A=R$2)*(AsistenciaJetAdminConcatenada!$B:$B=R$1), 0)), 1))),  0.5, 0))</f>
        <v>1</v>
      </c>
      <c r="S83" s="47">
        <f t="array" ref="S83">IF(AND(ISNUMBER(MATCH(S$2, AsistenciaJetAdminConcatenada!$A:$A, 0)), ISNUMBER(MATCH(S$1, AsistenciaJetAdminConcatenada!$B:$B, 0)), ISNUMBER(SEARCH($A83,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ISNUMBER(SEARCH($A83, INDEX(AsistenciaJetAdminConcatenada!$D:$D, MATCH(1, (AsistenciaJetAdminConcatenada!$A:$A=S$2)*(AsistenciaJetAdminConcatenada!$B:$B=S$1), 0)), 1))),  0.5, 0))</f>
        <v>1</v>
      </c>
      <c r="T83" s="47">
        <f t="array" ref="T83">IF(AND(ISNUMBER(MATCH(T$2, AsistenciaJetAdminConcatenada!$A:$A, 0)), ISNUMBER(MATCH(T$1, AsistenciaJetAdminConcatenada!$B:$B, 0)), ISNUMBER(SEARCH($A83,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ISNUMBER(SEARCH($A83, INDEX(AsistenciaJetAdminConcatenada!$D:$D, MATCH(1, (AsistenciaJetAdminConcatenada!$A:$A=T$2)*(AsistenciaJetAdminConcatenada!$B:$B=T$1), 0)), 1))),  0.5, 0))</f>
        <v>1</v>
      </c>
      <c r="U83" s="47">
        <f t="array" ref="U83">IF(AND(ISNUMBER(MATCH(U$2, AsistenciaJetAdminConcatenada!$A:$A, 0)), ISNUMBER(MATCH(U$1, AsistenciaJetAdminConcatenada!$B:$B, 0)), ISNUMBER(SEARCH($A83,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ISNUMBER(SEARCH($A83, INDEX(AsistenciaJetAdminConcatenada!$D:$D, MATCH(1, (AsistenciaJetAdminConcatenada!$A:$A=U$2)*(AsistenciaJetAdminConcatenada!$B:$B=U$1), 0)), 1))),  0.5, 0))</f>
        <v>0</v>
      </c>
      <c r="V83" s="47">
        <f t="array" ref="V83">IF(AND(ISNUMBER(MATCH(V$2, AsistenciaJetAdminConcatenada!$A:$A, 0)), ISNUMBER(MATCH(V$1, AsistenciaJetAdminConcatenada!$B:$B, 0)), ISNUMBER(SEARCH($A83,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ISNUMBER(SEARCH($A83, INDEX(AsistenciaJetAdminConcatenada!$D:$D, MATCH(1, (AsistenciaJetAdminConcatenada!$A:$A=V$2)*(AsistenciaJetAdminConcatenada!$B:$B=V$1), 0)), 1))),  0.5, 0))</f>
        <v>0</v>
      </c>
      <c r="W83" s="47">
        <f t="array" ref="W83">IF(AND(ISNUMBER(MATCH(W$2, AsistenciaJetAdminConcatenada!$A:$A, 0)), ISNUMBER(MATCH(W$1, AsistenciaJetAdminConcatenada!$B:$B, 0)), ISNUMBER(SEARCH($A83,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ISNUMBER(SEARCH($A83, INDEX(AsistenciaJetAdminConcatenada!$D:$D, MATCH(1, (AsistenciaJetAdminConcatenada!$A:$A=W$2)*(AsistenciaJetAdminConcatenada!$B:$B=W$1), 0)), 1))),  0.5, 0))</f>
        <v>1</v>
      </c>
      <c r="X83" s="47">
        <f t="array" ref="X83">IF(AND(ISNUMBER(MATCH(X$2, AsistenciaJetAdminConcatenada!$A:$A, 0)), ISNUMBER(MATCH(X$1, AsistenciaJetAdminConcatenada!$B:$B, 0)), ISNUMBER(SEARCH($A83,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ISNUMBER(SEARCH($A83, INDEX(AsistenciaJetAdminConcatenada!$D:$D, MATCH(1, (AsistenciaJetAdminConcatenada!$A:$A=X$2)*(AsistenciaJetAdminConcatenada!$B:$B=X$1), 0)), 1))),  0.5, 0))</f>
        <v>1</v>
      </c>
      <c r="Y83" s="47">
        <f t="array" ref="Y83">IF(AND(ISNUMBER(MATCH(Y$2, AsistenciaJetAdminConcatenada!$A:$A, 0)), ISNUMBER(MATCH(Y$1, AsistenciaJetAdminConcatenada!$B:$B, 0)), ISNUMBER(SEARCH($A83,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ISNUMBER(SEARCH($A83, INDEX(AsistenciaJetAdminConcatenada!$D:$D, MATCH(1, (AsistenciaJetAdminConcatenada!$A:$A=Y$2)*(AsistenciaJetAdminConcatenada!$B:$B=Y$1), 0)), 1))),  0.5, 0))</f>
        <v>1</v>
      </c>
      <c r="Z83" s="47">
        <f t="array" ref="Z83">IF(AND(ISNUMBER(MATCH(Z$2, AsistenciaJetAdminConcatenada!$A:$A, 0)), ISNUMBER(MATCH(Z$1, AsistenciaJetAdminConcatenada!$B:$B, 0)), ISNUMBER(SEARCH($A83,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ISNUMBER(SEARCH($A83, INDEX(AsistenciaJetAdminConcatenada!$D:$D, MATCH(1, (AsistenciaJetAdminConcatenada!$A:$A=Z$2)*(AsistenciaJetAdminConcatenada!$B:$B=Z$1), 0)), 1))),  0.5, 0))</f>
        <v>1</v>
      </c>
      <c r="AA83" s="47">
        <f t="array" ref="AA83">IF(AND(ISNUMBER(MATCH(AA$2, AsistenciaJetAdminConcatenada!$A:$A, 0)), ISNUMBER(MATCH(AA$1, AsistenciaJetAdminConcatenada!$B:$B, 0)), ISNUMBER(SEARCH($A83,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ISNUMBER(SEARCH($A83, INDEX(AsistenciaJetAdminConcatenada!$D:$D, MATCH(1, (AsistenciaJetAdminConcatenada!$A:$A=AA$2)*(AsistenciaJetAdminConcatenada!$B:$B=AA$1), 0)), 1))),  0.5, 0))</f>
        <v>1</v>
      </c>
      <c r="AB83" s="47">
        <f t="array" ref="AB83">IF(AND(ISNUMBER(MATCH(AB$2, AsistenciaJetAdminConcatenada!$A:$A, 0)), ISNUMBER(MATCH(AB$1, AsistenciaJetAdminConcatenada!$B:$B, 0)), ISNUMBER(SEARCH($A83,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ISNUMBER(SEARCH($A83, INDEX(AsistenciaJetAdminConcatenada!$D:$D, MATCH(1, (AsistenciaJetAdminConcatenada!$A:$A=AB$2)*(AsistenciaJetAdminConcatenada!$B:$B=AB$1), 0)), 1))),  0.5, 0))</f>
        <v>0</v>
      </c>
      <c r="AC83" s="47">
        <f t="array" ref="AC83">IF(AND(ISNUMBER(MATCH(AC$2, AsistenciaJetAdminConcatenada!$A:$A, 0)), ISNUMBER(MATCH(AC$1, AsistenciaJetAdminConcatenada!$B:$B, 0)), ISNUMBER(SEARCH($A83,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ISNUMBER(SEARCH($A83, INDEX(AsistenciaJetAdminConcatenada!$D:$D, MATCH(1, (AsistenciaJetAdminConcatenada!$A:$A=AC$2)*(AsistenciaJetAdminConcatenada!$B:$B=AC$1), 0)), 1))),  0.5, 0))</f>
        <v>1</v>
      </c>
      <c r="AD83" s="47">
        <f t="array" ref="AD83">IF(AND(ISNUMBER(MATCH(AD$2, AsistenciaJetAdminConcatenada!$A:$A, 0)), ISNUMBER(MATCH(AD$1, AsistenciaJetAdminConcatenada!$B:$B, 0)), ISNUMBER(SEARCH($A83,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ISNUMBER(SEARCH($A83, INDEX(AsistenciaJetAdminConcatenada!$D:$D, MATCH(1, (AsistenciaJetAdminConcatenada!$A:$A=AD$2)*(AsistenciaJetAdminConcatenada!$B:$B=AD$1), 0)), 1))),  0.5, 0))</f>
        <v>1</v>
      </c>
      <c r="AE83" s="47">
        <f t="array" ref="AE83">IF(AND(ISNUMBER(MATCH(AE$2, AsistenciaJetAdminConcatenada!$A:$A, 0)), ISNUMBER(MATCH(AE$1, AsistenciaJetAdminConcatenada!$B:$B, 0)), ISNUMBER(SEARCH($A83,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ISNUMBER(SEARCH($A83, INDEX(AsistenciaJetAdminConcatenada!$D:$D, MATCH(1, (AsistenciaJetAdminConcatenada!$A:$A=AE$2)*(AsistenciaJetAdminConcatenada!$B:$B=AE$1), 0)), 1))),  0.5, 0))</f>
        <v>0</v>
      </c>
      <c r="AF83" s="47">
        <f t="array" ref="AF83">IF(AND(ISNUMBER(MATCH(AF$2, AsistenciaJetAdminConcatenada!$A:$A, 0)), ISNUMBER(MATCH(AF$1, AsistenciaJetAdminConcatenada!$B:$B, 0)), ISNUMBER(SEARCH($A83,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ISNUMBER(SEARCH($A83, INDEX(AsistenciaJetAdminConcatenada!$D:$D, MATCH(1, (AsistenciaJetAdminConcatenada!$A:$A=AF$2)*(AsistenciaJetAdminConcatenada!$B:$B=AF$1), 0)), 1))),  0.5, 0))</f>
        <v>1</v>
      </c>
      <c r="AG83" s="47">
        <f t="array" ref="AG83">IF(AND(ISNUMBER(MATCH(AG$2, AsistenciaJetAdminConcatenada!$A:$A, 0)), ISNUMBER(MATCH(AG$1, AsistenciaJetAdminConcatenada!$B:$B, 0)), ISNUMBER(SEARCH($A83,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ISNUMBER(SEARCH($A83, INDEX(AsistenciaJetAdminConcatenada!$D:$D, MATCH(1, (AsistenciaJetAdminConcatenada!$A:$A=AG$2)*(AsistenciaJetAdminConcatenada!$B:$B=AG$1), 0)), 1))),  0.5, 0))</f>
        <v>1</v>
      </c>
      <c r="AH83" s="47">
        <f t="array" ref="AH83">IF(AND(ISNUMBER(MATCH(AH$2, AsistenciaJetAdminConcatenada!$A:$A, 0)), ISNUMBER(MATCH(AH$1, AsistenciaJetAdminConcatenada!$B:$B, 0)), ISNUMBER(SEARCH($A83,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ISNUMBER(SEARCH($A83, INDEX(AsistenciaJetAdminConcatenada!$D:$D, MATCH(1, (AsistenciaJetAdminConcatenada!$A:$A=AH$2)*(AsistenciaJetAdminConcatenada!$B:$B=AH$1), 0)), 1))),  0.5, 0))</f>
        <v>0</v>
      </c>
      <c r="AI83" s="47">
        <f t="array" ref="AI83">IF(AND(ISNUMBER(MATCH(AI$2, AsistenciaJetAdminConcatenada!$A:$A, 0)), ISNUMBER(MATCH(AI$1, AsistenciaJetAdminConcatenada!$B:$B, 0)), ISNUMBER(SEARCH($A83,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ISNUMBER(SEARCH($A83, INDEX(AsistenciaJetAdminConcatenada!$D:$D, MATCH(1, (AsistenciaJetAdminConcatenada!$A:$A=AI$2)*(AsistenciaJetAdminConcatenada!$B:$B=AI$1), 0)), 1))),  0.5, 0))</f>
        <v>1</v>
      </c>
      <c r="AJ83" s="47">
        <f t="array" ref="AJ83">IF(AND(ISNUMBER(MATCH(AJ$2, AsistenciaJetAdminConcatenada!$A:$A, 0)), ISNUMBER(MATCH(AJ$1, AsistenciaJetAdminConcatenada!$B:$B, 0)), ISNUMBER(SEARCH($A83,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ISNUMBER(SEARCH($A83, INDEX(AsistenciaJetAdminConcatenada!$D:$D, MATCH(1, (AsistenciaJetAdminConcatenada!$A:$A=AJ$2)*(AsistenciaJetAdminConcatenada!$B:$B=AJ$1), 0)), 1))),  0.5, 0))</f>
        <v>1</v>
      </c>
      <c r="AK83" s="47">
        <f t="array" ref="AK83">IF(AND(ISNUMBER(MATCH(AK$2, AsistenciaJetAdminConcatenada!$A:$A, 0)), ISNUMBER(MATCH(AK$1, AsistenciaJetAdminConcatenada!$B:$B, 0)), ISNUMBER(SEARCH($A83,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ISNUMBER(SEARCH($A83, INDEX(AsistenciaJetAdminConcatenada!$D:$D, MATCH(1, (AsistenciaJetAdminConcatenada!$A:$A=AK$2)*(AsistenciaJetAdminConcatenada!$B:$B=AK$1), 0)), 1))),  0.5, 0))</f>
        <v>1</v>
      </c>
      <c r="AL83" s="47">
        <f t="array" ref="AL83">IF(AND(ISNUMBER(MATCH(AL$2, AsistenciaJetAdminConcatenada!$A:$A, 0)), ISNUMBER(MATCH(AL$1, AsistenciaJetAdminConcatenada!$B:$B, 0)), ISNUMBER(SEARCH($A83,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ISNUMBER(SEARCH($A83, INDEX(AsistenciaJetAdminConcatenada!$D:$D, MATCH(1, (AsistenciaJetAdminConcatenada!$A:$A=AL$2)*(AsistenciaJetAdminConcatenada!$B:$B=AL$1), 0)), 1))),  0.5, 0))</f>
        <v>1</v>
      </c>
      <c r="AM83" s="47">
        <f t="array" ref="AM83">IF(AND(ISNUMBER(MATCH(AM$2, AsistenciaJetAdminConcatenada!$A:$A, 0)), ISNUMBER(MATCH(AM$1, AsistenciaJetAdminConcatenada!$B:$B, 0)), ISNUMBER(SEARCH($A83,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ISNUMBER(SEARCH($A83, INDEX(AsistenciaJetAdminConcatenada!$D:$D, MATCH(1, (AsistenciaJetAdminConcatenada!$A:$A=AM$2)*(AsistenciaJetAdminConcatenada!$B:$B=AM$1), 0)), 1))),  0.5, 0))</f>
        <v>1</v>
      </c>
      <c r="AN83" s="47">
        <f t="array" ref="AN83">IF(AND(ISNUMBER(MATCH(AN$2, AsistenciaJetAdminConcatenada!$A:$A, 0)), ISNUMBER(MATCH(AN$1, AsistenciaJetAdminConcatenada!$B:$B, 0)), ISNUMBER(SEARCH($A83,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ISNUMBER(SEARCH($A83, INDEX(AsistenciaJetAdminConcatenada!$D:$D, MATCH(1, (AsistenciaJetAdminConcatenada!$A:$A=AN$2)*(AsistenciaJetAdminConcatenada!$B:$B=AN$1), 0)), 1))),  0.5, 0))</f>
        <v>1</v>
      </c>
      <c r="AO83" s="47">
        <f t="array" ref="AO83">IF(AND(ISNUMBER(MATCH(AO$2, AsistenciaJetAdminConcatenada!$A:$A, 0)), ISNUMBER(MATCH(AO$1, AsistenciaJetAdminConcatenada!$B:$B, 0)), ISNUMBER(SEARCH($A83,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ISNUMBER(SEARCH($A83, INDEX(AsistenciaJetAdminConcatenada!$D:$D, MATCH(1, (AsistenciaJetAdminConcatenada!$A:$A=AO$2)*(AsistenciaJetAdminConcatenada!$B:$B=AO$1), 0)), 1))),  0.5, 0))</f>
        <v>1</v>
      </c>
      <c r="AP83" s="47">
        <f t="array" ref="AP83">IF(AND(ISNUMBER(MATCH(AP$2, AsistenciaJetAdminConcatenada!$A:$A, 0)), ISNUMBER(MATCH(AP$1, AsistenciaJetAdminConcatenada!$B:$B, 0)), ISNUMBER(SEARCH($A83,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ISNUMBER(SEARCH($A83, INDEX(AsistenciaJetAdminConcatenada!$D:$D, MATCH(1, (AsistenciaJetAdminConcatenada!$A:$A=AP$2)*(AsistenciaJetAdminConcatenada!$B:$B=AP$1), 0)), 1))),  0.5, 0))</f>
        <v>1</v>
      </c>
      <c r="AQ83" s="47">
        <f t="array" ref="AQ83">IF(AND(ISNUMBER(MATCH(AQ$2, AsistenciaJetAdminConcatenada!$A:$A, 0)), ISNUMBER(MATCH(AQ$1, AsistenciaJetAdminConcatenada!$B:$B, 0)), ISNUMBER(SEARCH($A83,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ISNUMBER(SEARCH($A83, INDEX(AsistenciaJetAdminConcatenada!$D:$D, MATCH(1, (AsistenciaJetAdminConcatenada!$A:$A=AQ$2)*(AsistenciaJetAdminConcatenada!$B:$B=AQ$1), 0)), 1))),  0.5, 0))</f>
        <v>0</v>
      </c>
      <c r="AR83" s="47">
        <f t="array" ref="AR83">IF(AND(ISNUMBER(MATCH(AR$2, AsistenciaJetAdminConcatenada!$A:$A, 0)), ISNUMBER(MATCH(AR$1, AsistenciaJetAdminConcatenada!$B:$B, 0)), ISNUMBER(SEARCH($A83,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ISNUMBER(SEARCH($A83, INDEX(AsistenciaJetAdminConcatenada!$D:$D, MATCH(1, (AsistenciaJetAdminConcatenada!$A:$A=AR$2)*(AsistenciaJetAdminConcatenada!$B:$B=AR$1), 0)), 1))),  0.5, 0))</f>
        <v>1</v>
      </c>
      <c r="AS83" s="47">
        <f t="array" ref="AS83">IF(AND(ISNUMBER(MATCH(AS$2, AsistenciaJetAdminConcatenada!$A:$A, 0)), ISNUMBER(MATCH(AS$1, AsistenciaJetAdminConcatenada!$B:$B, 0)), ISNUMBER(SEARCH($A83,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ISNUMBER(SEARCH($A83, INDEX(AsistenciaJetAdminConcatenada!$D:$D, MATCH(1, (AsistenciaJetAdminConcatenada!$A:$A=AS$2)*(AsistenciaJetAdminConcatenada!$B:$B=AS$1), 0)), 1))),  0.5, 0))</f>
        <v>1</v>
      </c>
      <c r="AT83" s="47">
        <f t="array" ref="AT83">IF(AND(ISNUMBER(MATCH(AT$2, AsistenciaJetAdminConcatenada!$A:$A, 0)), ISNUMBER(MATCH(AT$1, AsistenciaJetAdminConcatenada!$B:$B, 0)), ISNUMBER(SEARCH($A83,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ISNUMBER(SEARCH($A83, INDEX(AsistenciaJetAdminConcatenada!$D:$D, MATCH(1, (AsistenciaJetAdminConcatenada!$A:$A=AT$2)*(AsistenciaJetAdminConcatenada!$B:$B=AT$1), 0)), 1))),  0.5, 0))</f>
        <v>0</v>
      </c>
      <c r="AU83" s="47">
        <f t="array" ref="AU83">IF(AND(ISNUMBER(MATCH(AU$2, AsistenciaJetAdminConcatenada!$A:$A, 0)), ISNUMBER(MATCH(AU$1, AsistenciaJetAdminConcatenada!$B:$B, 0)), ISNUMBER(SEARCH($A83,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ISNUMBER(SEARCH($A83, INDEX(AsistenciaJetAdminConcatenada!$D:$D, MATCH(1, (AsistenciaJetAdminConcatenada!$A:$A=AU$2)*(AsistenciaJetAdminConcatenada!$B:$B=AU$1), 0)), 1))),  0.5, 0))</f>
        <v>1</v>
      </c>
      <c r="AV83" s="47">
        <f t="array" ref="AV83">IF(AND(ISNUMBER(MATCH(AV$2, AsistenciaJetAdminConcatenada!$A:$A, 0)), ISNUMBER(MATCH(AV$1, AsistenciaJetAdminConcatenada!$B:$B, 0)), ISNUMBER(SEARCH($A83,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ISNUMBER(SEARCH($A83, INDEX(AsistenciaJetAdminConcatenada!$D:$D, MATCH(1, (AsistenciaJetAdminConcatenada!$A:$A=AV$2)*(AsistenciaJetAdminConcatenada!$B:$B=AV$1), 0)), 1))),  0.5, 0))</f>
        <v>1</v>
      </c>
      <c r="AW83" s="47">
        <f t="array" ref="AW83">IF(AND(ISNUMBER(MATCH(AW$2, AsistenciaJetAdminConcatenada!$A:$A, 0)), ISNUMBER(MATCH(AW$1, AsistenciaJetAdminConcatenada!$B:$B, 0)), ISNUMBER(SEARCH($A83,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ISNUMBER(SEARCH($A83, INDEX(AsistenciaJetAdminConcatenada!$D:$D, MATCH(1, (AsistenciaJetAdminConcatenada!$A:$A=AW$2)*(AsistenciaJetAdminConcatenada!$B:$B=AW$1), 0)), 1))),  0.5, 0))</f>
        <v>0</v>
      </c>
      <c r="AX83" s="47">
        <f t="array" ref="AX83">IF(AND(ISNUMBER(MATCH(AX$2, AsistenciaJetAdminConcatenada!$A:$A, 0)), ISNUMBER(MATCH(AX$1, AsistenciaJetAdminConcatenada!$B:$B, 0)), ISNUMBER(SEARCH($A83,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ISNUMBER(SEARCH($A83, INDEX(AsistenciaJetAdminConcatenada!$D:$D, MATCH(1, (AsistenciaJetAdminConcatenada!$A:$A=AX$2)*(AsistenciaJetAdminConcatenada!$B:$B=AX$1), 0)), 1))),  0.5, 0))</f>
        <v>0</v>
      </c>
      <c r="AY83" s="47">
        <f t="array" ref="AY83">IF(AND(ISNUMBER(MATCH(AY$2, AsistenciaJetAdminConcatenada!$A:$A, 0)), ISNUMBER(MATCH(AY$1, AsistenciaJetAdminConcatenada!$B:$B, 0)), ISNUMBER(SEARCH($A83,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ISNUMBER(SEARCH($A83, INDEX(AsistenciaJetAdminConcatenada!$D:$D, MATCH(1, (AsistenciaJetAdminConcatenada!$A:$A=AY$2)*(AsistenciaJetAdminConcatenada!$B:$B=AY$1), 0)), 1))),  0.5, 0))</f>
        <v>1</v>
      </c>
      <c r="AZ83" s="47">
        <f t="array" ref="AZ83">IF(AND(ISNUMBER(MATCH(AZ$2, AsistenciaJetAdminConcatenada!$A:$A, 0)), ISNUMBER(MATCH(AZ$1, AsistenciaJetAdminConcatenada!$B:$B, 0)), ISNUMBER(SEARCH($A83,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ISNUMBER(SEARCH($A83, INDEX(AsistenciaJetAdminConcatenada!$D:$D, MATCH(1, (AsistenciaJetAdminConcatenada!$A:$A=AZ$2)*(AsistenciaJetAdminConcatenada!$B:$B=AZ$1), 0)), 1))),  0.5, 0))</f>
        <v>0.5</v>
      </c>
      <c r="BA83" s="47">
        <f t="array" ref="BA83">IF(AND(ISNUMBER(MATCH(BA$2, AsistenciaJetAdminConcatenada!$A:$A, 0)), ISNUMBER(MATCH(BA$1, AsistenciaJetAdminConcatenada!$B:$B, 0)), ISNUMBER(SEARCH($A83,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ISNUMBER(SEARCH($A83, INDEX(AsistenciaJetAdminConcatenada!$D:$D, MATCH(1, (AsistenciaJetAdminConcatenada!$A:$A=BA$2)*(AsistenciaJetAdminConcatenada!$B:$B=BA$1), 0)), 1))),  0.5, 0))</f>
        <v>0</v>
      </c>
      <c r="BB83" s="47">
        <f t="array" ref="BB83">IF(AND(ISNUMBER(MATCH(BB$2, AsistenciaJetAdminConcatenada!$A:$A, 0)), ISNUMBER(MATCH(BB$1, AsistenciaJetAdminConcatenada!$B:$B, 0)), ISNUMBER(SEARCH($A83,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ISNUMBER(SEARCH($A83, INDEX(AsistenciaJetAdminConcatenada!$D:$D, MATCH(1, (AsistenciaJetAdminConcatenada!$A:$A=BB$2)*(AsistenciaJetAdminConcatenada!$B:$B=BB$1), 0)), 1))),  0.5, 0))</f>
        <v>1</v>
      </c>
      <c r="BC83" s="47">
        <f t="array" ref="BC83">IF(AND(ISNUMBER(MATCH(BC$2, AsistenciaJetAdminConcatenada!$A:$A, 0)), ISNUMBER(MATCH(BC$1, AsistenciaJetAdminConcatenada!$B:$B, 0)), ISNUMBER(SEARCH($A83,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ISNUMBER(SEARCH($A83, INDEX(AsistenciaJetAdminConcatenada!$D:$D, MATCH(1, (AsistenciaJetAdminConcatenada!$A:$A=BC$2)*(AsistenciaJetAdminConcatenada!$B:$B=BC$1), 0)), 1))),  0.5, 0))</f>
        <v>1</v>
      </c>
      <c r="BD83" s="47">
        <f t="array" ref="BD83">IF(AND(ISNUMBER(MATCH(BD$2, AsistenciaJetAdminConcatenada!$A:$A, 0)), ISNUMBER(MATCH(BD$1, AsistenciaJetAdminConcatenada!$B:$B, 0)), ISNUMBER(SEARCH($A83,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ISNUMBER(SEARCH($A83, INDEX(AsistenciaJetAdminConcatenada!$D:$D, MATCH(1, (AsistenciaJetAdminConcatenada!$A:$A=BD$2)*(AsistenciaJetAdminConcatenada!$B:$B=BD$1), 0)), 1))),  0.5, 0))</f>
        <v>1</v>
      </c>
      <c r="BE83" s="47">
        <f t="array" ref="BE83">IF(AND(ISNUMBER(MATCH(BE$2, AsistenciaJetAdminConcatenada!$A:$A, 0)), ISNUMBER(MATCH(BE$1, AsistenciaJetAdminConcatenada!$B:$B, 0)), ISNUMBER(SEARCH($A83,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ISNUMBER(SEARCH($A83, INDEX(AsistenciaJetAdminConcatenada!$D:$D, MATCH(1, (AsistenciaJetAdminConcatenada!$A:$A=BE$2)*(AsistenciaJetAdminConcatenada!$B:$B=BE$1), 0)), 1))),  0.5, 0))</f>
        <v>1</v>
      </c>
      <c r="BF83" s="47">
        <f t="array" ref="BF83">IF(AND(ISNUMBER(MATCH(BF$2, AsistenciaJetAdminConcatenada!$A:$A, 0)), ISNUMBER(MATCH(BF$1, AsistenciaJetAdminConcatenada!$B:$B, 0)), ISNUMBER(SEARCH($A83,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ISNUMBER(SEARCH($A83, INDEX(AsistenciaJetAdminConcatenada!$D:$D, MATCH(1, (AsistenciaJetAdminConcatenada!$A:$A=BF$2)*(AsistenciaJetAdminConcatenada!$B:$B=BF$1), 0)), 1))),  0.5, 0))</f>
        <v>0</v>
      </c>
      <c r="BG83" s="47">
        <f t="array" ref="BG83">IF(AND(ISNUMBER(MATCH(BG$2, AsistenciaJetAdminConcatenada!$A:$A, 0)), ISNUMBER(MATCH(BG$1, AsistenciaJetAdminConcatenada!$B:$B, 0)), ISNUMBER(SEARCH($A83,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ISNUMBER(SEARCH($A83, INDEX(AsistenciaJetAdminConcatenada!$D:$D, MATCH(1, (AsistenciaJetAdminConcatenada!$A:$A=BG$2)*(AsistenciaJetAdminConcatenada!$B:$B=BG$1), 0)), 1))),  0.5, 0))</f>
        <v>0</v>
      </c>
      <c r="BH83" s="47">
        <f t="array" ref="BH83">IF(AND(ISNUMBER(MATCH(BH$2, AsistenciaJetAdminConcatenada!$A:$A, 0)), ISNUMBER(MATCH(BH$1, AsistenciaJetAdminConcatenada!$B:$B, 0)), ISNUMBER(SEARCH($A83,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ISNUMBER(SEARCH($A83, INDEX(AsistenciaJetAdminConcatenada!$D:$D, MATCH(1, (AsistenciaJetAdminConcatenada!$A:$A=BH$2)*(AsistenciaJetAdminConcatenada!$B:$B=BH$1), 0)), 1))),  0.5, 0))</f>
        <v>1</v>
      </c>
      <c r="BI83" s="47">
        <f t="array" ref="BI83">IF(AND(ISNUMBER(MATCH(BI$2, AsistenciaJetAdminConcatenada!$A:$A, 0)), ISNUMBER(MATCH(BI$1, AsistenciaJetAdminConcatenada!$B:$B, 0)), ISNUMBER(SEARCH($A83,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ISNUMBER(SEARCH($A83, INDEX(AsistenciaJetAdminConcatenada!$D:$D, MATCH(1, (AsistenciaJetAdminConcatenada!$A:$A=BI$2)*(AsistenciaJetAdminConcatenada!$B:$B=BI$1), 0)), 1))),  0.5, 0))</f>
        <v>1</v>
      </c>
      <c r="BJ83" s="47">
        <f t="array" ref="BJ83">IF(AND(ISNUMBER(MATCH(BJ$2, AsistenciaJetAdminConcatenada!$A:$A, 0)), ISNUMBER(MATCH(BJ$1, AsistenciaJetAdminConcatenada!$B:$B, 0)), ISNUMBER(SEARCH($A83,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ISNUMBER(SEARCH($A83, INDEX(AsistenciaJetAdminConcatenada!$D:$D, MATCH(1, (AsistenciaJetAdminConcatenada!$A:$A=BJ$2)*(AsistenciaJetAdminConcatenada!$B:$B=BJ$1), 0)), 1))),  0.5, 0))</f>
        <v>1</v>
      </c>
      <c r="BK83" s="47">
        <f t="array" ref="BK83">IF(AND(ISNUMBER(MATCH(BK$2, AsistenciaJetAdminConcatenada!$A:$A, 0)), ISNUMBER(MATCH(BK$1, AsistenciaJetAdminConcatenada!$B:$B, 0)), ISNUMBER(SEARCH($A83,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ISNUMBER(SEARCH($A83, INDEX(AsistenciaJetAdminConcatenada!$D:$D, MATCH(1, (AsistenciaJetAdminConcatenada!$A:$A=BK$2)*(AsistenciaJetAdminConcatenada!$B:$B=BK$1), 0)), 1))),  0.5, 0))</f>
        <v>0.5</v>
      </c>
      <c r="BL83" s="47">
        <f t="array" ref="BL83">IF(AND(ISNUMBER(MATCH(BL$2, AsistenciaJetAdminConcatenada!$A:$A, 0)), ISNUMBER(MATCH(BL$1, AsistenciaJetAdminConcatenada!$B:$B, 0)), ISNUMBER(SEARCH($A83,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ISNUMBER(SEARCH($A83, INDEX(AsistenciaJetAdminConcatenada!$D:$D, MATCH(1, (AsistenciaJetAdminConcatenada!$A:$A=BL$2)*(AsistenciaJetAdminConcatenada!$B:$B=BL$1), 0)), 1))),  0.5, 0))</f>
        <v>1</v>
      </c>
      <c r="BM83" s="47">
        <f t="array" ref="BM83">IF(AND(ISNUMBER(MATCH(BM$2, AsistenciaJetAdminConcatenada!$A:$A, 0)), ISNUMBER(MATCH(BM$1, AsistenciaJetAdminConcatenada!$B:$B, 0)), ISNUMBER(SEARCH($A83,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ISNUMBER(SEARCH($A83, INDEX(AsistenciaJetAdminConcatenada!$D:$D, MATCH(1, (AsistenciaJetAdminConcatenada!$A:$A=BM$2)*(AsistenciaJetAdminConcatenada!$B:$B=BM$1), 0)), 1))),  0.5, 0))</f>
        <v>1</v>
      </c>
      <c r="BN83" s="47">
        <f t="array" ref="BN83">IF(AND(ISNUMBER(MATCH(BN$2, AsistenciaJetAdminConcatenada!$A:$A, 0)), ISNUMBER(MATCH(BN$1, AsistenciaJetAdminConcatenada!$B:$B, 0)), ISNUMBER(SEARCH($A83,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ISNUMBER(SEARCH($A83, INDEX(AsistenciaJetAdminConcatenada!$D:$D, MATCH(1, (AsistenciaJetAdminConcatenada!$A:$A=BN$2)*(AsistenciaJetAdminConcatenada!$B:$B=BN$1), 0)), 1))),  0.5, 0))</f>
        <v>1</v>
      </c>
      <c r="BO83" s="47">
        <f t="array" ref="BO83">IF(AND(ISNUMBER(MATCH(BO$2, AsistenciaJetAdminConcatenada!$A:$A, 0)), ISNUMBER(MATCH(BO$1, AsistenciaJetAdminConcatenada!$B:$B, 0)), ISNUMBER(SEARCH($A83,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ISNUMBER(SEARCH($A83, INDEX(AsistenciaJetAdminConcatenada!$D:$D, MATCH(1, (AsistenciaJetAdminConcatenada!$A:$A=BO$2)*(AsistenciaJetAdminConcatenada!$B:$B=BO$1), 0)), 1))),  0.5, 0))</f>
        <v>0</v>
      </c>
      <c r="BP83" s="47">
        <f t="array" ref="BP83">IF(AND(ISNUMBER(MATCH(BP$2, AsistenciaJetAdminConcatenada!$A:$A, 0)), ISNUMBER(MATCH(BP$1, AsistenciaJetAdminConcatenada!$B:$B, 0)), ISNUMBER(SEARCH($A83,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ISNUMBER(SEARCH($A83, INDEX(AsistenciaJetAdminConcatenada!$D:$D, MATCH(1, (AsistenciaJetAdminConcatenada!$A:$A=BP$2)*(AsistenciaJetAdminConcatenada!$B:$B=BP$1), 0)), 1))),  0.5, 0))</f>
        <v>0</v>
      </c>
      <c r="BQ83" s="47">
        <f t="array" ref="BQ83">IF(AND(ISNUMBER(MATCH(BQ$2, AsistenciaJetAdminConcatenada!$A:$A, 0)), ISNUMBER(MATCH(BQ$1, AsistenciaJetAdminConcatenada!$B:$B, 0)), ISNUMBER(SEARCH($A83,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ISNUMBER(SEARCH($A83, INDEX(AsistenciaJetAdminConcatenada!$D:$D, MATCH(1, (AsistenciaJetAdminConcatenada!$A:$A=BQ$2)*(AsistenciaJetAdminConcatenada!$B:$B=BQ$1), 0)), 1))),  0.5, 0))</f>
        <v>1</v>
      </c>
      <c r="BR83" s="47">
        <f t="array" ref="BR83">IF(AND(ISNUMBER(MATCH(BR$2, AsistenciaJetAdminConcatenada!$A:$A, 0)), ISNUMBER(MATCH(BR$1, AsistenciaJetAdminConcatenada!$B:$B, 0)), ISNUMBER(SEARCH($A83,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ISNUMBER(SEARCH($A83, INDEX(AsistenciaJetAdminConcatenada!$D:$D, MATCH(1, (AsistenciaJetAdminConcatenada!$A:$A=BR$2)*(AsistenciaJetAdminConcatenada!$B:$B=BR$1), 0)), 1))),  0.5, 0))</f>
        <v>1</v>
      </c>
      <c r="BS83" s="47">
        <f t="array" ref="BS83">IF(AND(ISNUMBER(MATCH(BS$2, AsistenciaJetAdminConcatenada!$A:$A, 0)), ISNUMBER(MATCH(BS$1, AsistenciaJetAdminConcatenada!$B:$B, 0)), ISNUMBER(SEARCH($A83,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ISNUMBER(SEARCH($A83, INDEX(AsistenciaJetAdminConcatenada!$D:$D, MATCH(1, (AsistenciaJetAdminConcatenada!$A:$A=BS$2)*(AsistenciaJetAdminConcatenada!$B:$B=BS$1), 0)), 1))),  0.5, 0))</f>
        <v>0</v>
      </c>
      <c r="BT83" s="47">
        <f t="array" ref="BT83">IF(AND(ISNUMBER(MATCH(BT$2, AsistenciaJetAdminConcatenada!$A:$A, 0)), ISNUMBER(MATCH(BT$1, AsistenciaJetAdminConcatenada!$B:$B, 0)), ISNUMBER(SEARCH($A83,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ISNUMBER(SEARCH($A83, INDEX(AsistenciaJetAdminConcatenada!$D:$D, MATCH(1, (AsistenciaJetAdminConcatenada!$A:$A=BT$2)*(AsistenciaJetAdminConcatenada!$B:$B=BT$1), 0)), 1))),  0.5, 0))</f>
        <v>1</v>
      </c>
      <c r="BU83" s="47">
        <f t="array" ref="BU83">IF(AND(ISNUMBER(MATCH(BU$2, AsistenciaJetAdminConcatenada!$A:$A, 0)), ISNUMBER(MATCH(BU$1, AsistenciaJetAdminConcatenada!$B:$B, 0)), ISNUMBER(SEARCH($A83,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ISNUMBER(SEARCH($A83, INDEX(AsistenciaJetAdminConcatenada!$D:$D, MATCH(1, (AsistenciaJetAdminConcatenada!$A:$A=BU$2)*(AsistenciaJetAdminConcatenada!$B:$B=BU$1), 0)), 1))),  0.5, 0))</f>
        <v>0</v>
      </c>
      <c r="BV83" s="47">
        <f t="array" ref="BV83">IF(AND(ISNUMBER(MATCH(BV$2, AsistenciaJetAdminConcatenada!$A:$A, 0)), ISNUMBER(MATCH(BV$1, AsistenciaJetAdminConcatenada!$B:$B, 0)), ISNUMBER(SEARCH($A83,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ISNUMBER(SEARCH($A83, INDEX(AsistenciaJetAdminConcatenada!$D:$D, MATCH(1, (AsistenciaJetAdminConcatenada!$A:$A=BV$2)*(AsistenciaJetAdminConcatenada!$B:$B=BV$1), 0)), 1))),  0.5, 0))</f>
        <v>0</v>
      </c>
      <c r="BW83" s="47">
        <f t="array" ref="BW83">IF(AND(ISNUMBER(MATCH(BW$2, AsistenciaJetAdminConcatenada!$A:$A, 0)), ISNUMBER(MATCH(BW$1, AsistenciaJetAdminConcatenada!$B:$B, 0)), ISNUMBER(SEARCH($A83,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ISNUMBER(SEARCH($A83, INDEX(AsistenciaJetAdminConcatenada!$D:$D, MATCH(1, (AsistenciaJetAdminConcatenada!$A:$A=BW$2)*(AsistenciaJetAdminConcatenada!$B:$B=BW$1), 0)), 1))),  0.5, 0))</f>
        <v>0</v>
      </c>
      <c r="BX83" s="47">
        <f t="array" ref="BX83">IF(AND(ISNUMBER(MATCH(BX$2, AsistenciaJetAdminConcatenada!$A:$A, 0)), ISNUMBER(MATCH(BX$1, AsistenciaJetAdminConcatenada!$B:$B, 0)), ISNUMBER(SEARCH($A83,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ISNUMBER(SEARCH($A83, INDEX(AsistenciaJetAdminConcatenada!$D:$D, MATCH(1, (AsistenciaJetAdminConcatenada!$A:$A=BX$2)*(AsistenciaJetAdminConcatenada!$B:$B=BX$1), 0)), 1))),  0.5, 0))</f>
        <v>1</v>
      </c>
      <c r="BY83" s="47">
        <f t="array" ref="BY83">IF(AND(ISNUMBER(MATCH(BY$2, AsistenciaJetAdminConcatenada!$A:$A, 0)), ISNUMBER(MATCH(BY$1, AsistenciaJetAdminConcatenada!$B:$B, 0)), ISNUMBER(SEARCH($A83,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ISNUMBER(SEARCH($A83, INDEX(AsistenciaJetAdminConcatenada!$D:$D, MATCH(1, (AsistenciaJetAdminConcatenada!$A:$A=BY$2)*(AsistenciaJetAdminConcatenada!$B:$B=BY$1), 0)), 1))),  0.5, 0))</f>
        <v>1</v>
      </c>
      <c r="BZ83" s="47">
        <f t="array" ref="BZ83">IF(AND(ISNUMBER(MATCH(BZ$2, AsistenciaJetAdminConcatenada!$A:$A, 0)), ISNUMBER(MATCH(BZ$1, AsistenciaJetAdminConcatenada!$B:$B, 0)), ISNUMBER(SEARCH($A83,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ISNUMBER(SEARCH($A83, INDEX(AsistenciaJetAdminConcatenada!$D:$D, MATCH(1, (AsistenciaJetAdminConcatenada!$A:$A=BZ$2)*(AsistenciaJetAdminConcatenada!$B:$B=BZ$1), 0)), 1))),  0.5, 0))</f>
        <v>0</v>
      </c>
      <c r="CA83" s="47">
        <f t="array" ref="CA83">IF(AND(ISNUMBER(MATCH(CA$2, AsistenciaJetAdminConcatenada!$A:$A, 0)), ISNUMBER(MATCH(CA$1, AsistenciaJetAdminConcatenada!$B:$B, 0)), ISNUMBER(SEARCH($A83,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ISNUMBER(SEARCH($A83, INDEX(AsistenciaJetAdminConcatenada!$D:$D, MATCH(1, (AsistenciaJetAdminConcatenada!$A:$A=CA$2)*(AsistenciaJetAdminConcatenada!$B:$B=CA$1), 0)), 1))),  0.5, 0))</f>
        <v>1</v>
      </c>
      <c r="CB83" s="47">
        <f t="array" ref="CB83">IF(AND(ISNUMBER(MATCH(CB$2, AsistenciaJetAdminConcatenada!$A:$A, 0)), ISNUMBER(MATCH(CB$1, AsistenciaJetAdminConcatenada!$B:$B, 0)), ISNUMBER(SEARCH($A83,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ISNUMBER(SEARCH($A83, INDEX(AsistenciaJetAdminConcatenada!$D:$D, MATCH(1, (AsistenciaJetAdminConcatenada!$A:$A=CB$2)*(AsistenciaJetAdminConcatenada!$B:$B=CB$1), 0)), 1))),  0.5, 0))</f>
        <v>1</v>
      </c>
      <c r="CC83" s="47">
        <f t="array" ref="CC83">IF(AND(ISNUMBER(MATCH(CC$2, AsistenciaJetAdminConcatenada!$A:$A, 0)), ISNUMBER(MATCH(CC$1, AsistenciaJetAdminConcatenada!$B:$B, 0)), ISNUMBER(SEARCH($A83,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ISNUMBER(SEARCH($A83, INDEX(AsistenciaJetAdminConcatenada!$D:$D, MATCH(1, (AsistenciaJetAdminConcatenada!$A:$A=CC$2)*(AsistenciaJetAdminConcatenada!$B:$B=CC$1), 0)), 1))),  0.5, 0))</f>
        <v>0</v>
      </c>
      <c r="CD83" s="47">
        <f t="array" ref="CD83">IF(AND(ISNUMBER(MATCH(CD$2, AsistenciaJetAdminConcatenada!$A:$A, 0)), ISNUMBER(MATCH(CD$1, AsistenciaJetAdminConcatenada!$B:$B, 0)), ISNUMBER(SEARCH($A83,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ISNUMBER(SEARCH($A83, INDEX(AsistenciaJetAdminConcatenada!$D:$D, MATCH(1, (AsistenciaJetAdminConcatenada!$A:$A=CD$2)*(AsistenciaJetAdminConcatenada!$B:$B=CD$1), 0)), 1))),  0.5, 0))</f>
        <v>0</v>
      </c>
      <c r="CE83" s="47">
        <f t="array" ref="CE83">IF(AND(ISNUMBER(MATCH(CE$2, AsistenciaJetAdminConcatenada!$A:$A, 0)), ISNUMBER(MATCH(CE$1, AsistenciaJetAdminConcatenada!$B:$B, 0)), ISNUMBER(SEARCH($A83,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ISNUMBER(SEARCH($A83, INDEX(AsistenciaJetAdminConcatenada!$D:$D, MATCH(1, (AsistenciaJetAdminConcatenada!$A:$A=CE$2)*(AsistenciaJetAdminConcatenada!$B:$B=CE$1), 0)), 1))),  0.5, 0))</f>
        <v>1</v>
      </c>
      <c r="CF83" s="47">
        <f t="array" ref="CF83">IF(AND(ISNUMBER(MATCH(CF$2, AsistenciaJetAdminConcatenada!$A:$A, 0)), ISNUMBER(MATCH(CF$1, AsistenciaJetAdminConcatenada!$B:$B, 0)), ISNUMBER(SEARCH($A83,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ISNUMBER(SEARCH($A83, INDEX(AsistenciaJetAdminConcatenada!$D:$D, MATCH(1, (AsistenciaJetAdminConcatenada!$A:$A=CF$2)*(AsistenciaJetAdminConcatenada!$B:$B=CF$1), 0)), 1))),  0.5, 0))</f>
        <v>1</v>
      </c>
      <c r="CG83" s="47">
        <f t="array" ref="CG83">IF(AND(ISNUMBER(MATCH(CG$2, AsistenciaJetAdminConcatenada!$A:$A, 0)), ISNUMBER(MATCH(CG$1, AsistenciaJetAdminConcatenada!$B:$B, 0)), ISNUMBER(SEARCH($A83,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ISNUMBER(SEARCH($A83, INDEX(AsistenciaJetAdminConcatenada!$D:$D, MATCH(1, (AsistenciaJetAdminConcatenada!$A:$A=CG$2)*(AsistenciaJetAdminConcatenada!$B:$B=CG$1), 0)), 1))),  0.5, 0))</f>
        <v>1</v>
      </c>
      <c r="CH83" s="47">
        <f t="array" ref="CH83">IF(AND(ISNUMBER(MATCH(CH$2, AsistenciaJetAdminConcatenada!$A:$A, 0)), ISNUMBER(MATCH(CH$1, AsistenciaJetAdminConcatenada!$B:$B, 0)), ISNUMBER(SEARCH($A83,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ISNUMBER(SEARCH($A83, INDEX(AsistenciaJetAdminConcatenada!$D:$D, MATCH(1, (AsistenciaJetAdminConcatenada!$A:$A=CH$2)*(AsistenciaJetAdminConcatenada!$B:$B=CH$1), 0)), 1))),  0.5, 0))</f>
        <v>0.5</v>
      </c>
      <c r="CI83" s="47">
        <f t="array" ref="CI83">IF(AND(ISNUMBER(MATCH(CI$2, AsistenciaJetAdminConcatenada!$A:$A, 0)), ISNUMBER(MATCH(CI$1, AsistenciaJetAdminConcatenada!$B:$B, 0)), ISNUMBER(SEARCH($A83,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ISNUMBER(SEARCH($A83, INDEX(AsistenciaJetAdminConcatenada!$D:$D, MATCH(1, (AsistenciaJetAdminConcatenada!$A:$A=CI$2)*(AsistenciaJetAdminConcatenada!$B:$B=CI$1), 0)), 1))),  0.5, 0))</f>
        <v>0</v>
      </c>
      <c r="CJ83" s="47">
        <f t="array" ref="CJ83">IF(AND(ISNUMBER(MATCH(CJ$2, AsistenciaJetAdminConcatenada!$A:$A, 0)), ISNUMBER(MATCH(CJ$1, AsistenciaJetAdminConcatenada!$B:$B, 0)), ISNUMBER(SEARCH($A83,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ISNUMBER(SEARCH($A83, INDEX(AsistenciaJetAdminConcatenada!$D:$D, MATCH(1, (AsistenciaJetAdminConcatenada!$A:$A=CJ$2)*(AsistenciaJetAdminConcatenada!$B:$B=CJ$1), 0)), 1))),  0.5, 0))</f>
        <v>1</v>
      </c>
      <c r="CK83" s="47">
        <f t="array" ref="CK83">IF(AND(ISNUMBER(MATCH(CK$2, AsistenciaJetAdminConcatenada!$A:$A, 0)), ISNUMBER(MATCH(CK$1, AsistenciaJetAdminConcatenada!$B:$B, 0)), ISNUMBER(SEARCH($A83,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ISNUMBER(SEARCH($A83, INDEX(AsistenciaJetAdminConcatenada!$D:$D, MATCH(1, (AsistenciaJetAdminConcatenada!$A:$A=CK$2)*(AsistenciaJetAdminConcatenada!$B:$B=CK$1), 0)), 1))),  0.5, 0))</f>
        <v>0</v>
      </c>
      <c r="CL83" s="47">
        <f t="array" ref="CL83">IF(AND(ISNUMBER(MATCH(CL$2, AsistenciaJetAdminConcatenada!$A:$A, 0)), ISNUMBER(MATCH(CL$1, AsistenciaJetAdminConcatenada!$B:$B, 0)), ISNUMBER(SEARCH($A83,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ISNUMBER(SEARCH($A83, INDEX(AsistenciaJetAdminConcatenada!$D:$D, MATCH(1, (AsistenciaJetAdminConcatenada!$A:$A=CL$2)*(AsistenciaJetAdminConcatenada!$B:$B=CL$1), 0)), 1))),  0.5, 0))</f>
        <v>1</v>
      </c>
      <c r="CM83" s="47">
        <f t="array" ref="CM83">IF(AND(ISNUMBER(MATCH(CM$2, AsistenciaJetAdminConcatenada!$A:$A, 0)), ISNUMBER(MATCH(CM$1, AsistenciaJetAdminConcatenada!$B:$B, 0)), ISNUMBER(SEARCH($A83,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ISNUMBER(SEARCH($A83, INDEX(AsistenciaJetAdminConcatenada!$D:$D, MATCH(1, (AsistenciaJetAdminConcatenada!$A:$A=CM$2)*(AsistenciaJetAdminConcatenada!$B:$B=CM$1), 0)), 1))),  0.5, 0))</f>
        <v>1</v>
      </c>
      <c r="CN83" s="47">
        <f t="array" ref="CN83">IF(AND(ISNUMBER(MATCH(CN$2, AsistenciaJetAdminConcatenada!$A:$A, 0)), ISNUMBER(MATCH(CN$1, AsistenciaJetAdminConcatenada!$B:$B, 0)), ISNUMBER(SEARCH($A83,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ISNUMBER(SEARCH($A83, INDEX(AsistenciaJetAdminConcatenada!$D:$D, MATCH(1, (AsistenciaJetAdminConcatenada!$A:$A=CN$2)*(AsistenciaJetAdminConcatenada!$B:$B=CN$1), 0)), 1))),  0.5, 0))</f>
        <v>0</v>
      </c>
      <c r="CO83" s="47">
        <f t="array" ref="CO83">IF(AND(ISNUMBER(MATCH(CO$2, AsistenciaJetAdminConcatenada!$A:$A, 0)), ISNUMBER(MATCH(CO$1, AsistenciaJetAdminConcatenada!$B:$B, 0)), ISNUMBER(SEARCH($A83,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ISNUMBER(SEARCH($A83, INDEX(AsistenciaJetAdminConcatenada!$D:$D, MATCH(1, (AsistenciaJetAdminConcatenada!$A:$A=CO$2)*(AsistenciaJetAdminConcatenada!$B:$B=CO$1), 0)), 1))),  0.5, 0))</f>
        <v>1</v>
      </c>
      <c r="CP83" s="47">
        <f t="array" ref="CP83">IF(AND(ISNUMBER(MATCH(CP$2, AsistenciaJetAdminConcatenada!$A:$A, 0)), ISNUMBER(MATCH(CP$1, AsistenciaJetAdminConcatenada!$B:$B, 0)), ISNUMBER(SEARCH($A83,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ISNUMBER(SEARCH($A83, INDEX(AsistenciaJetAdminConcatenada!$D:$D, MATCH(1, (AsistenciaJetAdminConcatenada!$A:$A=CP$2)*(AsistenciaJetAdminConcatenada!$B:$B=CP$1), 0)), 1))),  0.5, 0))</f>
        <v>1</v>
      </c>
      <c r="CQ83" s="47">
        <f t="array" ref="CQ83">IF(AND(ISNUMBER(MATCH(CQ$2, AsistenciaJetAdminConcatenada!$A:$A, 0)), ISNUMBER(MATCH(CQ$1, AsistenciaJetAdminConcatenada!$B:$B, 0)), ISNUMBER(SEARCH($A83,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ISNUMBER(SEARCH($A83, INDEX(AsistenciaJetAdminConcatenada!$D:$D, MATCH(1, (AsistenciaJetAdminConcatenada!$A:$A=CQ$2)*(AsistenciaJetAdminConcatenada!$B:$B=CQ$1), 0)), 1))),  0.5, 0))</f>
        <v>0</v>
      </c>
      <c r="CR83" s="47">
        <f t="array" ref="CR83">IF(AND(ISNUMBER(MATCH(CR$2, AsistenciaJetAdminConcatenada!$A:$A, 0)), ISNUMBER(MATCH(CR$1, AsistenciaJetAdminConcatenada!$B:$B, 0)), ISNUMBER(SEARCH($A83,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ISNUMBER(SEARCH($A83, INDEX(AsistenciaJetAdminConcatenada!$D:$D, MATCH(1, (AsistenciaJetAdminConcatenada!$A:$A=CR$2)*(AsistenciaJetAdminConcatenada!$B:$B=CR$1), 0)), 1))),  0.5, 0))</f>
        <v>1</v>
      </c>
      <c r="CS83" s="47">
        <f t="array" ref="CS83">IF(AND(ISNUMBER(MATCH(CS$2, AsistenciaJetAdminConcatenada!$A:$A, 0)), ISNUMBER(MATCH(CS$1, AsistenciaJetAdminConcatenada!$B:$B, 0)), ISNUMBER(SEARCH($A83,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ISNUMBER(SEARCH($A83, INDEX(AsistenciaJetAdminConcatenada!$D:$D, MATCH(1, (AsistenciaJetAdminConcatenada!$A:$A=CS$2)*(AsistenciaJetAdminConcatenada!$B:$B=CS$1), 0)), 1))),  0.5, 0))</f>
        <v>0</v>
      </c>
      <c r="CT83" s="47">
        <f t="array" ref="CT83">IF(AND(ISNUMBER(MATCH(CT$2, AsistenciaJetAdminConcatenada!$A:$A, 0)), ISNUMBER(MATCH(CT$1, AsistenciaJetAdminConcatenada!$B:$B, 0)), ISNUMBER(SEARCH($A83,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ISNUMBER(SEARCH($A83, INDEX(AsistenciaJetAdminConcatenada!$D:$D, MATCH(1, (AsistenciaJetAdminConcatenada!$A:$A=CT$2)*(AsistenciaJetAdminConcatenada!$B:$B=CT$1), 0)), 1))),  0.5, 0))</f>
        <v>0</v>
      </c>
      <c r="CU83" s="47">
        <f t="array" ref="CU83">IF(AND(ISNUMBER(MATCH(CU$2, AsistenciaJetAdminConcatenada!$A:$A, 0)), ISNUMBER(MATCH(CU$1, AsistenciaJetAdminConcatenada!$B:$B, 0)), ISNUMBER(SEARCH($A83,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ISNUMBER(SEARCH($A83, INDEX(AsistenciaJetAdminConcatenada!$D:$D, MATCH(1, (AsistenciaJetAdminConcatenada!$A:$A=CU$2)*(AsistenciaJetAdminConcatenada!$B:$B=CU$1), 0)), 1))),  0.5, 0))</f>
        <v>0</v>
      </c>
      <c r="CV83" s="47">
        <f t="array" ref="CV83">IF(AND(ISNUMBER(MATCH(CV$2, AsistenciaJetAdminConcatenada!$A:$A, 0)), ISNUMBER(MATCH(CV$1, AsistenciaJetAdminConcatenada!$B:$B, 0)), ISNUMBER(SEARCH($A83,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ISNUMBER(SEARCH($A83, INDEX(AsistenciaJetAdminConcatenada!$D:$D, MATCH(1, (AsistenciaJetAdminConcatenada!$A:$A=CV$2)*(AsistenciaJetAdminConcatenada!$B:$B=CV$1), 0)), 1))),  0.5, 0))</f>
        <v>0</v>
      </c>
      <c r="CW83" s="47">
        <f t="array" ref="CW83">IF(AND(ISNUMBER(MATCH(CW$2, AsistenciaJetAdminConcatenada!$A:$A, 0)), ISNUMBER(MATCH(CW$1, AsistenciaJetAdminConcatenada!$B:$B, 0)), ISNUMBER(SEARCH($A83,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ISNUMBER(SEARCH($A83, INDEX(AsistenciaJetAdminConcatenada!$D:$D, MATCH(1, (AsistenciaJetAdminConcatenada!$A:$A=CW$2)*(AsistenciaJetAdminConcatenada!$B:$B=CW$1), 0)), 1))),  0.5, 0))</f>
        <v>0</v>
      </c>
      <c r="CX83" s="47">
        <f t="array" ref="CX83">IF(AND(ISNUMBER(MATCH(CX$2, AsistenciaJetAdminConcatenada!$A:$A, 0)), ISNUMBER(MATCH(CX$1, AsistenciaJetAdminConcatenada!$B:$B, 0)), ISNUMBER(SEARCH($A83,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ISNUMBER(SEARCH($A83, INDEX(AsistenciaJetAdminConcatenada!$D:$D, MATCH(1, (AsistenciaJetAdminConcatenada!$A:$A=CX$2)*(AsistenciaJetAdminConcatenada!$B:$B=CX$1), 0)), 1))),  0.5, 0))</f>
        <v>0</v>
      </c>
      <c r="CY83" s="47">
        <f t="array" ref="CY83">IF(AND(ISNUMBER(MATCH(CY$2, AsistenciaJetAdminConcatenada!$A:$A, 0)), ISNUMBER(MATCH(CY$1, AsistenciaJetAdminConcatenada!$B:$B, 0)), ISNUMBER(SEARCH($A83,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ISNUMBER(SEARCH($A83, INDEX(AsistenciaJetAdminConcatenada!$D:$D, MATCH(1, (AsistenciaJetAdminConcatenada!$A:$A=CY$2)*(AsistenciaJetAdminConcatenada!$B:$B=CY$1), 0)), 1))),  0.5, 0))</f>
        <v>0</v>
      </c>
      <c r="CZ83" s="47">
        <f t="array" ref="CZ83">IF(AND(ISNUMBER(MATCH(CZ$2, AsistenciaJetAdminConcatenada!$A:$A, 0)), ISNUMBER(MATCH(CZ$1, AsistenciaJetAdminConcatenada!$B:$B, 0)), ISNUMBER(SEARCH($A83,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ISNUMBER(SEARCH($A83, INDEX(AsistenciaJetAdminConcatenada!$D:$D, MATCH(1, (AsistenciaJetAdminConcatenada!$A:$A=CZ$2)*(AsistenciaJetAdminConcatenada!$B:$B=CZ$1), 0)), 1))),  0.5, 0))</f>
        <v>0</v>
      </c>
      <c r="DA83" s="47">
        <f t="array" ref="DA83">IF(AND(ISNUMBER(MATCH(DA$2, AsistenciaJetAdminConcatenada!$A:$A, 0)), ISNUMBER(MATCH(DA$1, AsistenciaJetAdminConcatenada!$B:$B, 0)), ISNUMBER(SEARCH($A83,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ISNUMBER(SEARCH($A83, INDEX(AsistenciaJetAdminConcatenada!$D:$D, MATCH(1, (AsistenciaJetAdminConcatenada!$A:$A=DA$2)*(AsistenciaJetAdminConcatenada!$B:$B=DA$1), 0)), 1))),  0.5, 0))</f>
        <v>0</v>
      </c>
      <c r="DB83" s="47">
        <f t="array" ref="DB83">IF(AND(ISNUMBER(MATCH(DB$2, AsistenciaJetAdminConcatenada!$A:$A, 0)), ISNUMBER(MATCH(DB$1, AsistenciaJetAdminConcatenada!$B:$B, 0)), ISNUMBER(SEARCH($A83,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ISNUMBER(SEARCH($A83, INDEX(AsistenciaJetAdminConcatenada!$D:$D, MATCH(1, (AsistenciaJetAdminConcatenada!$A:$A=DB$2)*(AsistenciaJetAdminConcatenada!$B:$B=DB$1), 0)), 1))),  0.5, 0))</f>
        <v>0</v>
      </c>
      <c r="DC83" s="47">
        <f t="array" ref="DC83">IF(AND(ISNUMBER(MATCH(DC$2, AsistenciaJetAdminConcatenada!$A:$A, 0)), ISNUMBER(MATCH(DC$1, AsistenciaJetAdminConcatenada!$B:$B, 0)), ISNUMBER(SEARCH($A83,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ISNUMBER(SEARCH($A83, INDEX(AsistenciaJetAdminConcatenada!$D:$D, MATCH(1, (AsistenciaJetAdminConcatenada!$A:$A=DC$2)*(AsistenciaJetAdminConcatenada!$B:$B=DC$1), 0)), 1))),  0.5, 0))</f>
        <v>0</v>
      </c>
      <c r="DD83" s="47">
        <f t="array" ref="DD83">IF(AND(ISNUMBER(MATCH(DD$2, AsistenciaJetAdminConcatenada!$A:$A, 0)), ISNUMBER(MATCH(DD$1, AsistenciaJetAdminConcatenada!$B:$B, 0)), ISNUMBER(SEARCH($A83,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ISNUMBER(SEARCH($A83, INDEX(AsistenciaJetAdminConcatenada!$D:$D, MATCH(1, (AsistenciaJetAdminConcatenada!$A:$A=DD$2)*(AsistenciaJetAdminConcatenada!$B:$B=DD$1), 0)), 1))),  0.5, 0))</f>
        <v>0</v>
      </c>
      <c r="DE83" s="47">
        <f t="array" ref="DE83">IF(AND(ISNUMBER(MATCH(DE$2, AsistenciaJetAdminConcatenada!$A:$A, 0)), ISNUMBER(MATCH(DE$1, AsistenciaJetAdminConcatenada!$B:$B, 0)), ISNUMBER(SEARCH($A83,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ISNUMBER(SEARCH($A83, INDEX(AsistenciaJetAdminConcatenada!$D:$D, MATCH(1, (AsistenciaJetAdminConcatenada!$A:$A=DE$2)*(AsistenciaJetAdminConcatenada!$B:$B=DE$1), 0)), 1))),  0.5, 0))</f>
        <v>0</v>
      </c>
      <c r="DF83" s="47">
        <f t="array" ref="DF83">IF(AND(ISNUMBER(MATCH(DF$2, AsistenciaJetAdminConcatenada!$A:$A, 0)), ISNUMBER(MATCH(DF$1, AsistenciaJetAdminConcatenada!$B:$B, 0)), ISNUMBER(SEARCH($A83,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ISNUMBER(SEARCH($A83, INDEX(AsistenciaJetAdminConcatenada!$D:$D, MATCH(1, (AsistenciaJetAdminConcatenada!$A:$A=DF$2)*(AsistenciaJetAdminConcatenada!$B:$B=DF$1), 0)), 1))),  0.5, 0))</f>
        <v>0</v>
      </c>
      <c r="DG83" s="47">
        <f t="array" ref="DG83">IF(AND(ISNUMBER(MATCH(DG$2, AsistenciaJetAdminConcatenada!$A:$A, 0)), ISNUMBER(MATCH(DG$1, AsistenciaJetAdminConcatenada!$B:$B, 0)), ISNUMBER(SEARCH($A83,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ISNUMBER(SEARCH($A83, INDEX(AsistenciaJetAdminConcatenada!$D:$D, MATCH(1, (AsistenciaJetAdminConcatenada!$A:$A=DG$2)*(AsistenciaJetAdminConcatenada!$B:$B=DG$1), 0)), 1))),  0.5, 0))</f>
        <v>0</v>
      </c>
      <c r="DH83" s="47">
        <f t="array" ref="DH83">IF(AND(ISNUMBER(MATCH(DH$2, AsistenciaJetAdminConcatenada!$A:$A, 0)), ISNUMBER(MATCH(DH$1, AsistenciaJetAdminConcatenada!$B:$B, 0)), ISNUMBER(SEARCH($A83,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ISNUMBER(SEARCH($A83, INDEX(AsistenciaJetAdminConcatenada!$D:$D, MATCH(1, (AsistenciaJetAdminConcatenada!$A:$A=DH$2)*(AsistenciaJetAdminConcatenada!$B:$B=DH$1), 0)), 1))),  0.5, 0))</f>
        <v>0</v>
      </c>
      <c r="DI83" s="47">
        <f t="array" ref="DI83">IF(AND(ISNUMBER(MATCH(DI$2, AsistenciaJetAdminConcatenada!$A:$A, 0)), ISNUMBER(MATCH(DI$1, AsistenciaJetAdminConcatenada!$B:$B, 0)), ISNUMBER(SEARCH($A83,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ISNUMBER(SEARCH($A83, INDEX(AsistenciaJetAdminConcatenada!$D:$D, MATCH(1, (AsistenciaJetAdminConcatenada!$A:$A=DI$2)*(AsistenciaJetAdminConcatenada!$B:$B=DI$1), 0)), 1))),  0.5, 0))</f>
        <v>0</v>
      </c>
      <c r="DJ83" s="47">
        <f t="array" ref="DJ83">IF(AND(ISNUMBER(MATCH(DJ$2, AsistenciaJetAdminConcatenada!$A:$A, 0)), ISNUMBER(MATCH(DJ$1, AsistenciaJetAdminConcatenada!$B:$B, 0)), ISNUMBER(SEARCH($A83,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ISNUMBER(SEARCH($A83, INDEX(AsistenciaJetAdminConcatenada!$D:$D, MATCH(1, (AsistenciaJetAdminConcatenada!$A:$A=DJ$2)*(AsistenciaJetAdminConcatenada!$B:$B=DJ$1), 0)), 1))),  0.5, 0))</f>
        <v>0</v>
      </c>
      <c r="DK83" s="47">
        <f t="array" ref="DK83">IF(AND(ISNUMBER(MATCH(DK$2, AsistenciaJetAdminConcatenada!$A:$A, 0)), ISNUMBER(MATCH(DK$1, AsistenciaJetAdminConcatenada!$B:$B, 0)), ISNUMBER(SEARCH($A83,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ISNUMBER(SEARCH($A83, INDEX(AsistenciaJetAdminConcatenada!$D:$D, MATCH(1, (AsistenciaJetAdminConcatenada!$A:$A=DK$2)*(AsistenciaJetAdminConcatenada!$B:$B=DK$1), 0)), 1))),  0.5, 0))</f>
        <v>0</v>
      </c>
      <c r="DL83" s="47">
        <f t="array" ref="DL83">IF(AND(ISNUMBER(MATCH(DL$2, AsistenciaJetAdminConcatenada!$A:$A, 0)), ISNUMBER(MATCH(DL$1, AsistenciaJetAdminConcatenada!$B:$B, 0)), ISNUMBER(SEARCH($A83,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ISNUMBER(SEARCH($A83, INDEX(AsistenciaJetAdminConcatenada!$D:$D, MATCH(1, (AsistenciaJetAdminConcatenada!$A:$A=DL$2)*(AsistenciaJetAdminConcatenada!$B:$B=DL$1), 0)), 1))),  0.5, 0))</f>
        <v>0</v>
      </c>
      <c r="DM83" s="47">
        <f t="array" ref="DM83">IF(AND(ISNUMBER(MATCH(DM$2, AsistenciaJetAdminConcatenada!$A:$A, 0)), ISNUMBER(MATCH(DM$1, AsistenciaJetAdminConcatenada!$B:$B, 0)), ISNUMBER(SEARCH($A83,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ISNUMBER(SEARCH($A83, INDEX(AsistenciaJetAdminConcatenada!$D:$D, MATCH(1, (AsistenciaJetAdminConcatenada!$A:$A=DM$2)*(AsistenciaJetAdminConcatenada!$B:$B=DM$1), 0)), 1))),  0.5, 0))</f>
        <v>0</v>
      </c>
      <c r="DN83" s="47">
        <f t="array" ref="DN83">IF(AND(ISNUMBER(MATCH(DN$2, AsistenciaJetAdminConcatenada!$A:$A, 0)), ISNUMBER(MATCH(DN$1, AsistenciaJetAdminConcatenada!$B:$B, 0)), ISNUMBER(SEARCH($A83,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ISNUMBER(SEARCH($A83, INDEX(AsistenciaJetAdminConcatenada!$D:$D, MATCH(1, (AsistenciaJetAdminConcatenada!$A:$A=DN$2)*(AsistenciaJetAdminConcatenada!$B:$B=DN$1), 0)), 1))),  0.5, 0))</f>
        <v>0</v>
      </c>
      <c r="DO83" s="47">
        <f t="array" ref="DO83">IF(AND(ISNUMBER(MATCH(DO$2, AsistenciaJetAdminConcatenada!$A:$A, 0)), ISNUMBER(MATCH(DO$1, AsistenciaJetAdminConcatenada!$B:$B, 0)), ISNUMBER(SEARCH($A83,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ISNUMBER(SEARCH($A83, INDEX(AsistenciaJetAdminConcatenada!$D:$D, MATCH(1, (AsistenciaJetAdminConcatenada!$A:$A=DO$2)*(AsistenciaJetAdminConcatenada!$B:$B=DO$1), 0)), 1))),  0.5, 0))</f>
        <v>0</v>
      </c>
      <c r="DP83" s="47">
        <f t="array" ref="DP83">IF(AND(ISNUMBER(MATCH(DP$2, AsistenciaJetAdminConcatenada!$A:$A, 0)), ISNUMBER(MATCH(DP$1, AsistenciaJetAdminConcatenada!$B:$B, 0)), ISNUMBER(SEARCH($A83,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ISNUMBER(SEARCH($A83, INDEX(AsistenciaJetAdminConcatenada!$D:$D, MATCH(1, (AsistenciaJetAdminConcatenada!$A:$A=DP$2)*(AsistenciaJetAdminConcatenada!$B:$B=DP$1), 0)), 1))),  0.5, 0))</f>
        <v>0</v>
      </c>
      <c r="DQ83" s="47">
        <f t="array" ref="DQ83">IF(AND(ISNUMBER(MATCH(DQ$2, AsistenciaJetAdminConcatenada!$A:$A, 0)), ISNUMBER(MATCH(DQ$1, AsistenciaJetAdminConcatenada!$B:$B, 0)), ISNUMBER(SEARCH($A83,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ISNUMBER(SEARCH($A83, INDEX(AsistenciaJetAdminConcatenada!$D:$D, MATCH(1, (AsistenciaJetAdminConcatenada!$A:$A=DQ$2)*(AsistenciaJetAdminConcatenada!$B:$B=DQ$1), 0)), 1))),  0.5, 0))</f>
        <v>0</v>
      </c>
      <c r="DR83" s="47">
        <f t="array" ref="DR83">IF(AND(ISNUMBER(MATCH(DR$2, AsistenciaJetAdminConcatenada!$A:$A, 0)), ISNUMBER(MATCH(DR$1, AsistenciaJetAdminConcatenada!$B:$B, 0)), ISNUMBER(SEARCH($A83,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ISNUMBER(SEARCH($A83, INDEX(AsistenciaJetAdminConcatenada!$D:$D, MATCH(1, (AsistenciaJetAdminConcatenada!$A:$A=DR$2)*(AsistenciaJetAdminConcatenada!$B:$B=DR$1), 0)), 1))),  0.5, 0))</f>
        <v>0</v>
      </c>
      <c r="DS83" s="47">
        <f t="array" ref="DS83">IF(AND(ISNUMBER(MATCH(DS$2, AsistenciaJetAdminConcatenada!$A:$A, 0)), ISNUMBER(MATCH(DS$1, AsistenciaJetAdminConcatenada!$B:$B, 0)), ISNUMBER(SEARCH($A83,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ISNUMBER(SEARCH($A83, INDEX(AsistenciaJetAdminConcatenada!$D:$D, MATCH(1, (AsistenciaJetAdminConcatenada!$A:$A=DS$2)*(AsistenciaJetAdminConcatenada!$B:$B=DS$1), 0)), 1))),  0.5, 0))</f>
        <v>0</v>
      </c>
      <c r="DT83" s="47">
        <f t="array" ref="DT83">IF(AND(ISNUMBER(MATCH(DT$2, AsistenciaJetAdminConcatenada!$A:$A, 0)), ISNUMBER(MATCH(DT$1, AsistenciaJetAdminConcatenada!$B:$B, 0)), ISNUMBER(SEARCH($A83,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ISNUMBER(SEARCH($A83, INDEX(AsistenciaJetAdminConcatenada!$D:$D, MATCH(1, (AsistenciaJetAdminConcatenada!$A:$A=DT$2)*(AsistenciaJetAdminConcatenada!$B:$B=DT$1), 0)), 1))),  0.5, 0))</f>
        <v>0</v>
      </c>
      <c r="DU83" s="47">
        <f t="array" ref="DU83">IF(AND(ISNUMBER(MATCH(DU$2, AsistenciaJetAdminConcatenada!$A:$A, 0)), ISNUMBER(MATCH(DU$1, AsistenciaJetAdminConcatenada!$B:$B, 0)), ISNUMBER(SEARCH($A83,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ISNUMBER(SEARCH($A83, INDEX(AsistenciaJetAdminConcatenada!$D:$D, MATCH(1, (AsistenciaJetAdminConcatenada!$A:$A=DU$2)*(AsistenciaJetAdminConcatenada!$B:$B=DU$1), 0)), 1))),  0.5, 0))</f>
        <v>0</v>
      </c>
      <c r="DV83" s="47">
        <f t="array" ref="DV83">IF(AND(ISNUMBER(MATCH(DV$2, AsistenciaJetAdminConcatenada!$A:$A, 0)), ISNUMBER(MATCH(DV$1, AsistenciaJetAdminConcatenada!$B:$B, 0)), ISNUMBER(SEARCH($A83,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ISNUMBER(SEARCH($A83, INDEX(AsistenciaJetAdminConcatenada!$D:$D, MATCH(1, (AsistenciaJetAdminConcatenada!$A:$A=DV$2)*(AsistenciaJetAdminConcatenada!$B:$B=DV$1), 0)), 1))),  0.5, 0))</f>
        <v>0</v>
      </c>
      <c r="DW83" s="47">
        <f t="array" ref="DW83">IF(AND(ISNUMBER(MATCH(DW$2, AsistenciaJetAdminConcatenada!$A:$A, 0)), ISNUMBER(MATCH(DW$1, AsistenciaJetAdminConcatenada!$B:$B, 0)), ISNUMBER(SEARCH($A83,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ISNUMBER(SEARCH($A83, INDEX(AsistenciaJetAdminConcatenada!$D:$D, MATCH(1, (AsistenciaJetAdminConcatenada!$A:$A=DW$2)*(AsistenciaJetAdminConcatenada!$B:$B=DW$1), 0)), 1))),  0.5, 0))</f>
        <v>0</v>
      </c>
      <c r="DX83" s="47">
        <f t="array" ref="DX83">IF(AND(ISNUMBER(MATCH(DX$2, AsistenciaJetAdminConcatenada!$A:$A, 0)), ISNUMBER(MATCH(DX$1, AsistenciaJetAdminConcatenada!$B:$B, 0)), ISNUMBER(SEARCH($A83,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ISNUMBER(SEARCH($A83, INDEX(AsistenciaJetAdminConcatenada!$D:$D, MATCH(1, (AsistenciaJetAdminConcatenada!$A:$A=DX$2)*(AsistenciaJetAdminConcatenada!$B:$B=DX$1), 0)), 1))),  0.5, 0))</f>
        <v>0</v>
      </c>
      <c r="DY83" s="47">
        <f t="array" ref="DY83">IF(AND(ISNUMBER(MATCH(DY$2, AsistenciaJetAdminConcatenada!$A:$A, 0)), ISNUMBER(MATCH(DY$1, AsistenciaJetAdminConcatenada!$B:$B, 0)), ISNUMBER(SEARCH($A83,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ISNUMBER(SEARCH($A83, INDEX(AsistenciaJetAdminConcatenada!$D:$D, MATCH(1, (AsistenciaJetAdminConcatenada!$A:$A=DY$2)*(AsistenciaJetAdminConcatenada!$B:$B=DY$1), 0)), 1))),  0.5, 0))</f>
        <v>0</v>
      </c>
      <c r="DZ83" s="47">
        <f t="array" ref="DZ83">IF(AND(ISNUMBER(MATCH(DZ$2, AsistenciaJetAdminConcatenada!$A:$A, 0)), ISNUMBER(MATCH(DZ$1, AsistenciaJetAdminConcatenada!$B:$B, 0)), ISNUMBER(SEARCH($A83,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ISNUMBER(SEARCH($A83, INDEX(AsistenciaJetAdminConcatenada!$D:$D, MATCH(1, (AsistenciaJetAdminConcatenada!$A:$A=DZ$2)*(AsistenciaJetAdminConcatenada!$B:$B=DZ$1), 0)), 1))),  0.5, 0))</f>
        <v>0</v>
      </c>
      <c r="EA83" s="47">
        <f t="array" ref="EA83">IF(AND(ISNUMBER(MATCH(EA$2, AsistenciaJetAdminConcatenada!$A:$A, 0)), ISNUMBER(MATCH(EA$1, AsistenciaJetAdminConcatenada!$B:$B, 0)), ISNUMBER(SEARCH($A83,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ISNUMBER(SEARCH($A83, INDEX(AsistenciaJetAdminConcatenada!$D:$D, MATCH(1, (AsistenciaJetAdminConcatenada!$A:$A=EA$2)*(AsistenciaJetAdminConcatenada!$B:$B=EA$1), 0)), 1))),  0.5, 0))</f>
        <v>0</v>
      </c>
      <c r="EB83" s="47">
        <f t="array" ref="EB83">IF(AND(ISNUMBER(MATCH(EB$2, AsistenciaJetAdminConcatenada!$A:$A, 0)), ISNUMBER(MATCH(EB$1, AsistenciaJetAdminConcatenada!$B:$B, 0)), ISNUMBER(SEARCH($A83,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ISNUMBER(SEARCH($A83, INDEX(AsistenciaJetAdminConcatenada!$D:$D, MATCH(1, (AsistenciaJetAdminConcatenada!$A:$A=EB$2)*(AsistenciaJetAdminConcatenada!$B:$B=EB$1), 0)), 1))),  0.5, 0))</f>
        <v>0</v>
      </c>
      <c r="EC83" s="47">
        <f t="array" ref="EC83">IF(AND(ISNUMBER(MATCH(EC$2, AsistenciaJetAdminConcatenada!$A:$A, 0)), ISNUMBER(MATCH(EC$1, AsistenciaJetAdminConcatenada!$B:$B, 0)), ISNUMBER(SEARCH($A83,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ISNUMBER(SEARCH($A83, INDEX(AsistenciaJetAdminConcatenada!$D:$D, MATCH(1, (AsistenciaJetAdminConcatenada!$A:$A=EC$2)*(AsistenciaJetAdminConcatenada!$B:$B=EC$1), 0)), 1))),  0.5, 0))</f>
        <v>0</v>
      </c>
      <c r="ED83" s="47">
        <f t="array" ref="ED83">IF(AND(ISNUMBER(MATCH(ED$2, AsistenciaJetAdminConcatenada!$A:$A, 0)), ISNUMBER(MATCH(ED$1, AsistenciaJetAdminConcatenada!$B:$B, 0)), ISNUMBER(SEARCH($A83,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ISNUMBER(SEARCH($A83, INDEX(AsistenciaJetAdminConcatenada!$D:$D, MATCH(1, (AsistenciaJetAdminConcatenada!$A:$A=ED$2)*(AsistenciaJetAdminConcatenada!$B:$B=ED$1), 0)), 1))),  0.5, 0))</f>
        <v>0</v>
      </c>
      <c r="EE83" s="47">
        <f t="array" ref="EE83">IF(AND(ISNUMBER(MATCH(EE$2, AsistenciaJetAdminConcatenada!$A:$A, 0)), ISNUMBER(MATCH(EE$1, AsistenciaJetAdminConcatenada!$B:$B, 0)), ISNUMBER(SEARCH($A83,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ISNUMBER(SEARCH($A83, INDEX(AsistenciaJetAdminConcatenada!$D:$D, MATCH(1, (AsistenciaJetAdminConcatenada!$A:$A=EE$2)*(AsistenciaJetAdminConcatenada!$B:$B=EE$1), 0)), 1))),  0.5, 0))</f>
        <v>0</v>
      </c>
      <c r="EF83" s="47">
        <f t="array" ref="EF83">IF(AND(ISNUMBER(MATCH(EF$2, AsistenciaJetAdminConcatenada!$A:$A, 0)), ISNUMBER(MATCH(EF$1, AsistenciaJetAdminConcatenada!$B:$B, 0)), ISNUMBER(SEARCH($A83,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ISNUMBER(SEARCH($A83, INDEX(AsistenciaJetAdminConcatenada!$D:$D, MATCH(1, (AsistenciaJetAdminConcatenada!$A:$A=EF$2)*(AsistenciaJetAdminConcatenada!$B:$B=EF$1), 0)), 1))),  0.5, 0))</f>
        <v>0</v>
      </c>
      <c r="EG83" s="47">
        <f t="array" ref="EG83">IF(AND(ISNUMBER(MATCH(EG$2, AsistenciaJetAdminConcatenada!$A:$A, 0)), ISNUMBER(MATCH(EG$1, AsistenciaJetAdminConcatenada!$B:$B, 0)), ISNUMBER(SEARCH($A83,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ISNUMBER(SEARCH($A83, INDEX(AsistenciaJetAdminConcatenada!$D:$D, MATCH(1, (AsistenciaJetAdminConcatenada!$A:$A=EG$2)*(AsistenciaJetAdminConcatenada!$B:$B=EG$1), 0)), 1))),  0.5, 0))</f>
        <v>0</v>
      </c>
      <c r="EH83" s="47">
        <f t="array" ref="EH83">IF(AND(ISNUMBER(MATCH(EH$2, AsistenciaJetAdminConcatenada!$A:$A, 0)), ISNUMBER(MATCH(EH$1, AsistenciaJetAdminConcatenada!$B:$B, 0)), ISNUMBER(SEARCH($A83,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ISNUMBER(SEARCH($A83, INDEX(AsistenciaJetAdminConcatenada!$D:$D, MATCH(1, (AsistenciaJetAdminConcatenada!$A:$A=EH$2)*(AsistenciaJetAdminConcatenada!$B:$B=EH$1), 0)), 1))),  0.5, 0))</f>
        <v>0</v>
      </c>
      <c r="EI83" s="47">
        <f t="array" ref="EI83">IF(AND(ISNUMBER(MATCH(EI$2, AsistenciaJetAdminConcatenada!$A:$A, 0)), ISNUMBER(MATCH(EI$1, AsistenciaJetAdminConcatenada!$B:$B, 0)), ISNUMBER(SEARCH($A83,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ISNUMBER(SEARCH($A83, INDEX(AsistenciaJetAdminConcatenada!$D:$D, MATCH(1, (AsistenciaJetAdminConcatenada!$A:$A=EI$2)*(AsistenciaJetAdminConcatenada!$B:$B=EI$1), 0)), 1))),  0.5, 0))</f>
        <v>0</v>
      </c>
      <c r="EJ83" s="47">
        <f t="array" ref="EJ83">IF(AND(ISNUMBER(MATCH(EJ$2, AsistenciaJetAdminConcatenada!$A:$A, 0)), ISNUMBER(MATCH(EJ$1, AsistenciaJetAdminConcatenada!$B:$B, 0)), ISNUMBER(SEARCH($A83,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ISNUMBER(SEARCH($A83, INDEX(AsistenciaJetAdminConcatenada!$D:$D, MATCH(1, (AsistenciaJetAdminConcatenada!$A:$A=EJ$2)*(AsistenciaJetAdminConcatenada!$B:$B=EJ$1), 0)), 1))),  0.5, 0))</f>
        <v>0</v>
      </c>
      <c r="EK83" s="47">
        <f t="array" ref="EK83">IF(AND(ISNUMBER(MATCH(EK$2, AsistenciaJetAdminConcatenada!$A:$A, 0)), ISNUMBER(MATCH(EK$1, AsistenciaJetAdminConcatenada!$B:$B, 0)), ISNUMBER(SEARCH($A83,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ISNUMBER(SEARCH($A83, INDEX(AsistenciaJetAdminConcatenada!$D:$D, MATCH(1, (AsistenciaJetAdminConcatenada!$A:$A=EK$2)*(AsistenciaJetAdminConcatenada!$B:$B=EK$1), 0)), 1))),  0.5, 0))</f>
        <v>0</v>
      </c>
      <c r="EL83" s="47">
        <f t="array" ref="EL83">IF(AND(ISNUMBER(MATCH(EL$2, AsistenciaJetAdminConcatenada!$A:$A, 0)), ISNUMBER(MATCH(EL$1, AsistenciaJetAdminConcatenada!$B:$B, 0)), ISNUMBER(SEARCH($A83,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ISNUMBER(SEARCH($A83, INDEX(AsistenciaJetAdminConcatenada!$D:$D, MATCH(1, (AsistenciaJetAdminConcatenada!$A:$A=EL$2)*(AsistenciaJetAdminConcatenada!$B:$B=EL$1), 0)), 1))),  0.5, 0))</f>
        <v>0</v>
      </c>
      <c r="EM83" s="47">
        <f t="array" ref="EM83">IF(AND(ISNUMBER(MATCH(EM$2, AsistenciaJetAdminConcatenada!$A:$A, 0)), ISNUMBER(MATCH(EM$1, AsistenciaJetAdminConcatenada!$B:$B, 0)), ISNUMBER(SEARCH($A83,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ISNUMBER(SEARCH($A83, INDEX(AsistenciaJetAdminConcatenada!$D:$D, MATCH(1, (AsistenciaJetAdminConcatenada!$A:$A=EM$2)*(AsistenciaJetAdminConcatenada!$B:$B=EM$1), 0)), 1))),  0.5, 0))</f>
        <v>0</v>
      </c>
      <c r="EN83" s="47">
        <f t="array" ref="EN83">IF(AND(ISNUMBER(MATCH(EN$2, AsistenciaJetAdminConcatenada!$A:$A, 0)), ISNUMBER(MATCH(EN$1, AsistenciaJetAdminConcatenada!$B:$B, 0)), ISNUMBER(SEARCH($A83,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ISNUMBER(SEARCH($A83, INDEX(AsistenciaJetAdminConcatenada!$D:$D, MATCH(1, (AsistenciaJetAdminConcatenada!$A:$A=EN$2)*(AsistenciaJetAdminConcatenada!$B:$B=EN$1), 0)), 1))),  0.5, 0))</f>
        <v>0</v>
      </c>
      <c r="EO83" s="47">
        <f t="array" ref="EO83">IF(AND(ISNUMBER(MATCH(EO$2, AsistenciaJetAdminConcatenada!$A:$A, 0)), ISNUMBER(MATCH(EO$1, AsistenciaJetAdminConcatenada!$B:$B, 0)), ISNUMBER(SEARCH($A83,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ISNUMBER(SEARCH($A83, INDEX(AsistenciaJetAdminConcatenada!$D:$D, MATCH(1, (AsistenciaJetAdminConcatenada!$A:$A=EO$2)*(AsistenciaJetAdminConcatenada!$B:$B=EO$1), 0)), 1))),  0.5, 0))</f>
        <v>0</v>
      </c>
      <c r="EP83" s="47">
        <f t="array" ref="EP83">IF(AND(ISNUMBER(MATCH(EP$2, AsistenciaJetAdminConcatenada!$A:$A, 0)), ISNUMBER(MATCH(EP$1, AsistenciaJetAdminConcatenada!$B:$B, 0)), ISNUMBER(SEARCH($A83,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ISNUMBER(SEARCH($A83, INDEX(AsistenciaJetAdminConcatenada!$D:$D, MATCH(1, (AsistenciaJetAdminConcatenada!$A:$A=EP$2)*(AsistenciaJetAdminConcatenada!$B:$B=EP$1), 0)), 1))),  0.5, 0))</f>
        <v>0</v>
      </c>
      <c r="EQ83" s="47">
        <f t="array" ref="EQ83">IF(AND(ISNUMBER(MATCH(EQ$2, AsistenciaJetAdminConcatenada!$A:$A, 0)), ISNUMBER(MATCH(EQ$1, AsistenciaJetAdminConcatenada!$B:$B, 0)), ISNUMBER(SEARCH($A83,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ISNUMBER(SEARCH($A83, INDEX(AsistenciaJetAdminConcatenada!$D:$D, MATCH(1, (AsistenciaJetAdminConcatenada!$A:$A=EQ$2)*(AsistenciaJetAdminConcatenada!$B:$B=EQ$1), 0)), 1))),  0.5, 0))</f>
        <v>0</v>
      </c>
      <c r="ER83" s="47">
        <f t="array" ref="ER83">IF(AND(ISNUMBER(MATCH(ER$2, AsistenciaJetAdminConcatenada!$A:$A, 0)), ISNUMBER(MATCH(ER$1, AsistenciaJetAdminConcatenada!$B:$B, 0)), ISNUMBER(SEARCH($A83,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ISNUMBER(SEARCH($A83, INDEX(AsistenciaJetAdminConcatenada!$D:$D, MATCH(1, (AsistenciaJetAdminConcatenada!$A:$A=ER$2)*(AsistenciaJetAdminConcatenada!$B:$B=ER$1), 0)), 1))),  0.5, 0))</f>
        <v>0</v>
      </c>
      <c r="ES83" s="47">
        <f t="array" ref="ES83">IF(AND(ISNUMBER(MATCH(ES$2, AsistenciaJetAdminConcatenada!$A:$A, 0)), ISNUMBER(MATCH(ES$1, AsistenciaJetAdminConcatenada!$B:$B, 0)), ISNUMBER(SEARCH($A83,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ISNUMBER(SEARCH($A83, INDEX(AsistenciaJetAdminConcatenada!$D:$D, MATCH(1, (AsistenciaJetAdminConcatenada!$A:$A=ES$2)*(AsistenciaJetAdminConcatenada!$B:$B=ES$1), 0)), 1))),  0.5, 0))</f>
        <v>0</v>
      </c>
      <c r="ET83" s="47">
        <f t="array" ref="ET83">IF(AND(ISNUMBER(MATCH(ET$2, AsistenciaJetAdminConcatenada!$A:$A, 0)), ISNUMBER(MATCH(ET$1, AsistenciaJetAdminConcatenada!$B:$B, 0)), ISNUMBER(SEARCH($A83,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ISNUMBER(SEARCH($A83, INDEX(AsistenciaJetAdminConcatenada!$D:$D, MATCH(1, (AsistenciaJetAdminConcatenada!$A:$A=ET$2)*(AsistenciaJetAdminConcatenada!$B:$B=ET$1), 0)), 1))),  0.5, 0))</f>
        <v>0</v>
      </c>
      <c r="EU83" s="47">
        <f t="array" ref="EU83">IF(AND(ISNUMBER(MATCH(EU$2, AsistenciaJetAdminConcatenada!$A:$A, 0)), ISNUMBER(MATCH(EU$1, AsistenciaJetAdminConcatenada!$B:$B, 0)), ISNUMBER(SEARCH($A83,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ISNUMBER(SEARCH($A83, INDEX(AsistenciaJetAdminConcatenada!$D:$D, MATCH(1, (AsistenciaJetAdminConcatenada!$A:$A=EU$2)*(AsistenciaJetAdminConcatenada!$B:$B=EU$1), 0)), 1))),  0.5, 0))</f>
        <v>0</v>
      </c>
      <c r="EV83" s="47">
        <f t="array" ref="EV83">IF(AND(ISNUMBER(MATCH(EV$2, AsistenciaJetAdminConcatenada!$A:$A, 0)), ISNUMBER(MATCH(EV$1, AsistenciaJetAdminConcatenada!$B:$B, 0)), ISNUMBER(SEARCH($A83,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ISNUMBER(SEARCH($A83, INDEX(AsistenciaJetAdminConcatenada!$D:$D, MATCH(1, (AsistenciaJetAdminConcatenada!$A:$A=EV$2)*(AsistenciaJetAdminConcatenada!$B:$B=EV$1), 0)), 1))),  0.5, 0))</f>
        <v>0</v>
      </c>
      <c r="EW83" s="47">
        <f t="array" ref="EW83">IF(AND(ISNUMBER(MATCH(EW$2, AsistenciaJetAdminConcatenada!$A:$A, 0)), ISNUMBER(MATCH(EW$1, AsistenciaJetAdminConcatenada!$B:$B, 0)), ISNUMBER(SEARCH($A83,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ISNUMBER(SEARCH($A83, INDEX(AsistenciaJetAdminConcatenada!$D:$D, MATCH(1, (AsistenciaJetAdminConcatenada!$A:$A=EW$2)*(AsistenciaJetAdminConcatenada!$B:$B=EW$1), 0)), 1))),  0.5, 0))</f>
        <v>0</v>
      </c>
      <c r="EX83" s="47">
        <f t="array" ref="EX83">IF(AND(ISNUMBER(MATCH(EX$2, AsistenciaJetAdminConcatenada!$A:$A, 0)), ISNUMBER(MATCH(EX$1, AsistenciaJetAdminConcatenada!$B:$B, 0)), ISNUMBER(SEARCH($A83,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ISNUMBER(SEARCH($A83, INDEX(AsistenciaJetAdminConcatenada!$D:$D, MATCH(1, (AsistenciaJetAdminConcatenada!$A:$A=EX$2)*(AsistenciaJetAdminConcatenada!$B:$B=EX$1), 0)), 1))),  0.5, 0))</f>
        <v>0</v>
      </c>
      <c r="EY83" s="47">
        <f t="array" ref="EY83">IF(AND(ISNUMBER(MATCH(EY$2, AsistenciaJetAdminConcatenada!$A:$A, 0)), ISNUMBER(MATCH(EY$1, AsistenciaJetAdminConcatenada!$B:$B, 0)), ISNUMBER(SEARCH($A83,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ISNUMBER(SEARCH($A83, INDEX(AsistenciaJetAdminConcatenada!$D:$D, MATCH(1, (AsistenciaJetAdminConcatenada!$A:$A=EY$2)*(AsistenciaJetAdminConcatenada!$B:$B=EY$1), 0)), 1))),  0.5, 0))</f>
        <v>0</v>
      </c>
      <c r="EZ83" s="47">
        <f t="array" ref="EZ83">IF(AND(ISNUMBER(MATCH(EZ$2, AsistenciaJetAdminConcatenada!$A:$A, 0)), ISNUMBER(MATCH(EZ$1, AsistenciaJetAdminConcatenada!$B:$B, 0)), ISNUMBER(SEARCH($A83,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ISNUMBER(SEARCH($A83, INDEX(AsistenciaJetAdminConcatenada!$D:$D, MATCH(1, (AsistenciaJetAdminConcatenada!$A:$A=EZ$2)*(AsistenciaJetAdminConcatenada!$B:$B=EZ$1), 0)), 1))),  0.5, 0))</f>
        <v>0</v>
      </c>
      <c r="FA83" s="47">
        <f t="array" ref="FA83">IF(AND(ISNUMBER(MATCH(FA$2, AsistenciaJetAdminConcatenada!$A:$A, 0)), ISNUMBER(MATCH(FA$1, AsistenciaJetAdminConcatenada!$B:$B, 0)), ISNUMBER(SEARCH($A83,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ISNUMBER(SEARCH($A83, INDEX(AsistenciaJetAdminConcatenada!$D:$D, MATCH(1, (AsistenciaJetAdminConcatenada!$A:$A=FA$2)*(AsistenciaJetAdminConcatenada!$B:$B=FA$1), 0)), 1))),  0.5, 0))</f>
        <v>0</v>
      </c>
      <c r="FB83" s="47">
        <f t="array" ref="FB83">IF(AND(ISNUMBER(MATCH(FB$2, AsistenciaJetAdminConcatenada!$A:$A, 0)), ISNUMBER(MATCH(FB$1, AsistenciaJetAdminConcatenada!$B:$B, 0)), ISNUMBER(SEARCH($A83,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ISNUMBER(SEARCH($A83, INDEX(AsistenciaJetAdminConcatenada!$D:$D, MATCH(1, (AsistenciaJetAdminConcatenada!$A:$A=FB$2)*(AsistenciaJetAdminConcatenada!$B:$B=FB$1), 0)), 1))),  0.5, 0))</f>
        <v>0</v>
      </c>
      <c r="FC83" s="47">
        <f t="array" ref="FC83">IF(AND(ISNUMBER(MATCH(FC$2, AsistenciaJetAdminConcatenada!$A:$A, 0)), ISNUMBER(MATCH(FC$1, AsistenciaJetAdminConcatenada!$B:$B, 0)), ISNUMBER(SEARCH($A83,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ISNUMBER(SEARCH($A83, INDEX(AsistenciaJetAdminConcatenada!$D:$D, MATCH(1, (AsistenciaJetAdminConcatenada!$A:$A=FC$2)*(AsistenciaJetAdminConcatenada!$B:$B=FC$1), 0)), 1))),  0.5, 0))</f>
        <v>0</v>
      </c>
      <c r="FD83" s="47">
        <f t="array" ref="FD83">IF(AND(ISNUMBER(MATCH(FD$2, AsistenciaJetAdminConcatenada!$A:$A, 0)), ISNUMBER(MATCH(FD$1, AsistenciaJetAdminConcatenada!$B:$B, 0)), ISNUMBER(SEARCH($A83,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ISNUMBER(SEARCH($A83, INDEX(AsistenciaJetAdminConcatenada!$D:$D, MATCH(1, (AsistenciaJetAdminConcatenada!$A:$A=FD$2)*(AsistenciaJetAdminConcatenada!$B:$B=FD$1), 0)), 1))),  0.5, 0))</f>
        <v>0</v>
      </c>
      <c r="FE83" s="47">
        <f t="array" ref="FE83">IF(AND(ISNUMBER(MATCH(FE$2, AsistenciaJetAdminConcatenada!$A:$A, 0)), ISNUMBER(MATCH(FE$1, AsistenciaJetAdminConcatenada!$B:$B, 0)), ISNUMBER(SEARCH($A83,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ISNUMBER(SEARCH($A83, INDEX(AsistenciaJetAdminConcatenada!$D:$D, MATCH(1, (AsistenciaJetAdminConcatenada!$A:$A=FE$2)*(AsistenciaJetAdminConcatenada!$B:$B=FE$1), 0)), 1))),  0.5, 0))</f>
        <v>0</v>
      </c>
      <c r="FF83" s="47">
        <f t="array" ref="FF83">IF(AND(ISNUMBER(MATCH(FF$2, AsistenciaJetAdminConcatenada!$A:$A, 0)), ISNUMBER(MATCH(FF$1, AsistenciaJetAdminConcatenada!$B:$B, 0)), ISNUMBER(SEARCH($A83,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ISNUMBER(SEARCH($A83, INDEX(AsistenciaJetAdminConcatenada!$D:$D, MATCH(1, (AsistenciaJetAdminConcatenada!$A:$A=FF$2)*(AsistenciaJetAdminConcatenada!$B:$B=FF$1), 0)), 1))),  0.5, 0))</f>
        <v>0</v>
      </c>
      <c r="FG83" s="47">
        <f t="array" ref="FG83">IF(AND(ISNUMBER(MATCH(FG$2, AsistenciaJetAdminConcatenada!$A:$A, 0)), ISNUMBER(MATCH(FG$1, AsistenciaJetAdminConcatenada!$B:$B, 0)), ISNUMBER(SEARCH($A83,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ISNUMBER(SEARCH($A83, INDEX(AsistenciaJetAdminConcatenada!$D:$D, MATCH(1, (AsistenciaJetAdminConcatenada!$A:$A=FG$2)*(AsistenciaJetAdminConcatenada!$B:$B=FG$1), 0)), 1))),  0.5, 0))</f>
        <v>0</v>
      </c>
      <c r="FH83" s="47">
        <f t="array" ref="FH83">IF(AND(ISNUMBER(MATCH(FH$2, AsistenciaJetAdminConcatenada!$A:$A, 0)), ISNUMBER(MATCH(FH$1, AsistenciaJetAdminConcatenada!$B:$B, 0)), ISNUMBER(SEARCH($A83,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ISNUMBER(SEARCH($A83, INDEX(AsistenciaJetAdminConcatenada!$D:$D, MATCH(1, (AsistenciaJetAdminConcatenada!$A:$A=FH$2)*(AsistenciaJetAdminConcatenada!$B:$B=FH$1), 0)), 1))),  0.5, 0))</f>
        <v>0</v>
      </c>
      <c r="FI83" s="47">
        <f t="array" ref="FI83">IF(AND(ISNUMBER(MATCH(FI$2, AsistenciaJetAdminConcatenada!$A:$A, 0)), ISNUMBER(MATCH(FI$1, AsistenciaJetAdminConcatenada!$B:$B, 0)), ISNUMBER(SEARCH($A83,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ISNUMBER(SEARCH($A83, INDEX(AsistenciaJetAdminConcatenada!$D:$D, MATCH(1, (AsistenciaJetAdminConcatenada!$A:$A=FI$2)*(AsistenciaJetAdminConcatenada!$B:$B=FI$1), 0)), 1))),  0.5, 0))</f>
        <v>0</v>
      </c>
      <c r="FJ83" s="47">
        <f t="array" ref="FJ83">IF(AND(ISNUMBER(MATCH(FJ$2, AsistenciaJetAdminConcatenada!$A:$A, 0)), ISNUMBER(MATCH(FJ$1, AsistenciaJetAdminConcatenada!$B:$B, 0)), ISNUMBER(SEARCH($A83,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ISNUMBER(SEARCH($A83, INDEX(AsistenciaJetAdminConcatenada!$D:$D, MATCH(1, (AsistenciaJetAdminConcatenada!$A:$A=FJ$2)*(AsistenciaJetAdminConcatenada!$B:$B=FJ$1), 0)), 1))),  0.5, 0))</f>
        <v>0</v>
      </c>
      <c r="FK83" s="47">
        <f t="array" ref="FK83">IF(AND(ISNUMBER(MATCH(FK$2, AsistenciaJetAdminConcatenada!$A:$A, 0)), ISNUMBER(MATCH(FK$1, AsistenciaJetAdminConcatenada!$B:$B, 0)), ISNUMBER(SEARCH($A83,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ISNUMBER(SEARCH($A83, INDEX(AsistenciaJetAdminConcatenada!$D:$D, MATCH(1, (AsistenciaJetAdminConcatenada!$A:$A=FK$2)*(AsistenciaJetAdminConcatenada!$B:$B=FK$1), 0)), 1))),  0.5, 0))</f>
        <v>0</v>
      </c>
      <c r="FL83" s="47">
        <f t="array" ref="FL83">IF(AND(ISNUMBER(MATCH(FL$2, AsistenciaJetAdminConcatenada!$A:$A, 0)), ISNUMBER(MATCH(FL$1, AsistenciaJetAdminConcatenada!$B:$B, 0)), ISNUMBER(SEARCH($A83,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ISNUMBER(SEARCH($A83, INDEX(AsistenciaJetAdminConcatenada!$D:$D, MATCH(1, (AsistenciaJetAdminConcatenada!$A:$A=FL$2)*(AsistenciaJetAdminConcatenada!$B:$B=FL$1), 0)), 1))),  0.5, 0))</f>
        <v>0</v>
      </c>
      <c r="FM83" s="47">
        <f t="array" ref="FM83">IF(AND(ISNUMBER(MATCH(FM$2, AsistenciaJetAdminConcatenada!$A:$A, 0)), ISNUMBER(MATCH(FM$1, AsistenciaJetAdminConcatenada!$B:$B, 0)), ISNUMBER(SEARCH($A83,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ISNUMBER(SEARCH($A83, INDEX(AsistenciaJetAdminConcatenada!$D:$D, MATCH(1, (AsistenciaJetAdminConcatenada!$A:$A=FM$2)*(AsistenciaJetAdminConcatenada!$B:$B=FM$1), 0)), 1))),  0.5, 0))</f>
        <v>0</v>
      </c>
      <c r="FN83" s="47">
        <f t="array" ref="FN83">IF(AND(ISNUMBER(MATCH(FN$2, AsistenciaJetAdminConcatenada!$A:$A, 0)), ISNUMBER(MATCH(FN$1, AsistenciaJetAdminConcatenada!$B:$B, 0)), ISNUMBER(SEARCH($A83,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ISNUMBER(SEARCH($A83, INDEX(AsistenciaJetAdminConcatenada!$D:$D, MATCH(1, (AsistenciaJetAdminConcatenada!$A:$A=FN$2)*(AsistenciaJetAdminConcatenada!$B:$B=FN$1), 0)), 1))),  0.5, 0))</f>
        <v>0</v>
      </c>
      <c r="FO83" s="47">
        <f t="array" ref="FO83">IF(AND(ISNUMBER(MATCH(FO$2, AsistenciaJetAdminConcatenada!$A:$A, 0)), ISNUMBER(MATCH(FO$1, AsistenciaJetAdminConcatenada!$B:$B, 0)), ISNUMBER(SEARCH($A83,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ISNUMBER(SEARCH($A83, INDEX(AsistenciaJetAdminConcatenada!$D:$D, MATCH(1, (AsistenciaJetAdminConcatenada!$A:$A=FO$2)*(AsistenciaJetAdminConcatenada!$B:$B=FO$1), 0)), 1))),  0.5, 0))</f>
        <v>0</v>
      </c>
      <c r="FP83" s="47">
        <f t="array" ref="FP83">IF(AND(ISNUMBER(MATCH(FP$2, AsistenciaJetAdminConcatenada!$A:$A, 0)), ISNUMBER(MATCH(FP$1, AsistenciaJetAdminConcatenada!$B:$B, 0)), ISNUMBER(SEARCH($A83,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ISNUMBER(SEARCH($A83, INDEX(AsistenciaJetAdminConcatenada!$D:$D, MATCH(1, (AsistenciaJetAdminConcatenada!$A:$A=FP$2)*(AsistenciaJetAdminConcatenada!$B:$B=FP$1), 0)), 1))),  0.5, 0))</f>
        <v>0</v>
      </c>
      <c r="FQ83" s="47">
        <f t="array" ref="FQ83">IF(AND(ISNUMBER(MATCH(FQ$2, AsistenciaJetAdminConcatenada!$A:$A, 0)), ISNUMBER(MATCH(FQ$1, AsistenciaJetAdminConcatenada!$B:$B, 0)), ISNUMBER(SEARCH($A83,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ISNUMBER(SEARCH($A83, INDEX(AsistenciaJetAdminConcatenada!$D:$D, MATCH(1, (AsistenciaJetAdminConcatenada!$A:$A=FQ$2)*(AsistenciaJetAdminConcatenada!$B:$B=FQ$1), 0)), 1))),  0.5, 0))</f>
        <v>0</v>
      </c>
      <c r="FR83" s="47">
        <f t="array" ref="FR83">IF(AND(ISNUMBER(MATCH(FR$2, AsistenciaJetAdminConcatenada!$A:$A, 0)), ISNUMBER(MATCH(FR$1, AsistenciaJetAdminConcatenada!$B:$B, 0)), ISNUMBER(SEARCH($A83,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ISNUMBER(SEARCH($A83, INDEX(AsistenciaJetAdminConcatenada!$D:$D, MATCH(1, (AsistenciaJetAdminConcatenada!$A:$A=FR$2)*(AsistenciaJetAdminConcatenada!$B:$B=FR$1), 0)), 1))),  0.5, 0))</f>
        <v>0</v>
      </c>
      <c r="FS83" s="47">
        <f t="array" ref="FS83">IF(AND(ISNUMBER(MATCH(FS$2, AsistenciaJetAdminConcatenada!$A:$A, 0)), ISNUMBER(MATCH(FS$1, AsistenciaJetAdminConcatenada!$B:$B, 0)), ISNUMBER(SEARCH($A83,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ISNUMBER(SEARCH($A83, INDEX(AsistenciaJetAdminConcatenada!$D:$D, MATCH(1, (AsistenciaJetAdminConcatenada!$A:$A=FS$2)*(AsistenciaJetAdminConcatenada!$B:$B=FS$1), 0)), 1))),  0.5, 0))</f>
        <v>0</v>
      </c>
      <c r="FT83" s="47">
        <f t="array" ref="FT83">IF(AND(ISNUMBER(MATCH(FT$2, AsistenciaJetAdminConcatenada!$A:$A, 0)), ISNUMBER(MATCH(FT$1, AsistenciaJetAdminConcatenada!$B:$B, 0)), ISNUMBER(SEARCH($A83,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ISNUMBER(SEARCH($A83, INDEX(AsistenciaJetAdminConcatenada!$D:$D, MATCH(1, (AsistenciaJetAdminConcatenada!$A:$A=FT$2)*(AsistenciaJetAdminConcatenada!$B:$B=FT$1), 0)), 1))),  0.5, 0))</f>
        <v>0</v>
      </c>
      <c r="FU83" s="47">
        <f t="array" ref="FU83">IF(AND(ISNUMBER(MATCH(FU$2, AsistenciaJetAdminConcatenada!$A:$A, 0)), ISNUMBER(MATCH(FU$1, AsistenciaJetAdminConcatenada!$B:$B, 0)), ISNUMBER(SEARCH($A83,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ISNUMBER(SEARCH($A83, INDEX(AsistenciaJetAdminConcatenada!$D:$D, MATCH(1, (AsistenciaJetAdminConcatenada!$A:$A=FU$2)*(AsistenciaJetAdminConcatenada!$B:$B=FU$1), 0)), 1))),  0.5, 0))</f>
        <v>0</v>
      </c>
      <c r="FV83" s="47">
        <f t="array" ref="FV83">IF(AND(ISNUMBER(MATCH(FV$2, AsistenciaJetAdminConcatenada!$A:$A, 0)), ISNUMBER(MATCH(FV$1, AsistenciaJetAdminConcatenada!$B:$B, 0)), ISNUMBER(SEARCH($A83,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ISNUMBER(SEARCH($A83, INDEX(AsistenciaJetAdminConcatenada!$D:$D, MATCH(1, (AsistenciaJetAdminConcatenada!$A:$A=FV$2)*(AsistenciaJetAdminConcatenada!$B:$B=FV$1), 0)), 1))),  0.5, 0))</f>
        <v>0</v>
      </c>
      <c r="FW83" s="47">
        <f t="array" ref="FW83">IF(AND(ISNUMBER(MATCH(FW$2, AsistenciaJetAdminConcatenada!$A:$A, 0)), ISNUMBER(MATCH(FW$1, AsistenciaJetAdminConcatenada!$B:$B, 0)), ISNUMBER(SEARCH($A83,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ISNUMBER(SEARCH($A83, INDEX(AsistenciaJetAdminConcatenada!$D:$D, MATCH(1, (AsistenciaJetAdminConcatenada!$A:$A=FW$2)*(AsistenciaJetAdminConcatenada!$B:$B=FW$1), 0)), 1))),  0.5, 0))</f>
        <v>0</v>
      </c>
      <c r="FX83" s="47">
        <f t="array" ref="FX83">IF(AND(ISNUMBER(MATCH(FX$2, AsistenciaJetAdminConcatenada!$A:$A, 0)), ISNUMBER(MATCH(FX$1, AsistenciaJetAdminConcatenada!$B:$B, 0)), ISNUMBER(SEARCH($A83,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ISNUMBER(SEARCH($A83, INDEX(AsistenciaJetAdminConcatenada!$D:$D, MATCH(1, (AsistenciaJetAdminConcatenada!$A:$A=FX$2)*(AsistenciaJetAdminConcatenada!$B:$B=FX$1), 0)), 1))),  0.5, 0))</f>
        <v>0</v>
      </c>
      <c r="FY83" s="47">
        <f t="array" ref="FY83">IF(AND(ISNUMBER(MATCH(FY$2, AsistenciaJetAdminConcatenada!$A:$A, 0)), ISNUMBER(MATCH(FY$1, AsistenciaJetAdminConcatenada!$B:$B, 0)), ISNUMBER(SEARCH($A83,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ISNUMBER(SEARCH($A83, INDEX(AsistenciaJetAdminConcatenada!$D:$D, MATCH(1, (AsistenciaJetAdminConcatenada!$A:$A=FY$2)*(AsistenciaJetAdminConcatenada!$B:$B=FY$1), 0)), 1))),  0.5, 0))</f>
        <v>0</v>
      </c>
      <c r="FZ83" s="47">
        <f t="array" ref="FZ83">IF(AND(ISNUMBER(MATCH(FZ$2, AsistenciaJetAdminConcatenada!$A:$A, 0)), ISNUMBER(MATCH(FZ$1, AsistenciaJetAdminConcatenada!$B:$B, 0)), ISNUMBER(SEARCH($A83,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ISNUMBER(SEARCH($A83, INDEX(AsistenciaJetAdminConcatenada!$D:$D, MATCH(1, (AsistenciaJetAdminConcatenada!$A:$A=FZ$2)*(AsistenciaJetAdminConcatenada!$B:$B=FZ$1), 0)), 1))),  0.5, 0))</f>
        <v>0</v>
      </c>
      <c r="GA83" s="47">
        <f t="array" ref="GA83">IF(AND(ISNUMBER(MATCH(GA$2, AsistenciaJetAdminConcatenada!$A:$A, 0)), ISNUMBER(MATCH(GA$1, AsistenciaJetAdminConcatenada!$B:$B, 0)), ISNUMBER(SEARCH($A83,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ISNUMBER(SEARCH($A83, INDEX(AsistenciaJetAdminConcatenada!$D:$D, MATCH(1, (AsistenciaJetAdminConcatenada!$A:$A=GA$2)*(AsistenciaJetAdminConcatenada!$B:$B=GA$1), 0)), 1))),  0.5, 0))</f>
        <v>0</v>
      </c>
      <c r="GB83" s="47">
        <f t="array" ref="GB83">IF(AND(ISNUMBER(MATCH(GB$2, AsistenciaJetAdminConcatenada!$A:$A, 0)), ISNUMBER(MATCH(GB$1, AsistenciaJetAdminConcatenada!$B:$B, 0)), ISNUMBER(SEARCH($A83,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ISNUMBER(SEARCH($A83, INDEX(AsistenciaJetAdminConcatenada!$D:$D, MATCH(1, (AsistenciaJetAdminConcatenada!$A:$A=GB$2)*(AsistenciaJetAdminConcatenada!$B:$B=GB$1), 0)), 1))),  0.5, 0))</f>
        <v>0</v>
      </c>
      <c r="GC83" s="47">
        <f t="array" ref="GC83">IF(AND(ISNUMBER(MATCH(GC$2, AsistenciaJetAdminConcatenada!$A:$A, 0)), ISNUMBER(MATCH(GC$1, AsistenciaJetAdminConcatenada!$B:$B, 0)), ISNUMBER(SEARCH($A83,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ISNUMBER(SEARCH($A83, INDEX(AsistenciaJetAdminConcatenada!$D:$D, MATCH(1, (AsistenciaJetAdminConcatenada!$A:$A=GC$2)*(AsistenciaJetAdminConcatenada!$B:$B=GC$1), 0)), 1))),  0.5, 0))</f>
        <v>0</v>
      </c>
      <c r="GD83" s="47">
        <f t="array" ref="GD83">IF(AND(ISNUMBER(MATCH(GD$2, AsistenciaJetAdminConcatenada!$A:$A, 0)), ISNUMBER(MATCH(GD$1, AsistenciaJetAdminConcatenada!$B:$B, 0)), ISNUMBER(SEARCH($A83,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ISNUMBER(SEARCH($A83, INDEX(AsistenciaJetAdminConcatenada!$D:$D, MATCH(1, (AsistenciaJetAdminConcatenada!$A:$A=GD$2)*(AsistenciaJetAdminConcatenada!$B:$B=GD$1), 0)), 1))),  0.5, 0))</f>
        <v>0</v>
      </c>
      <c r="GE83" s="47">
        <f t="array" ref="GE83">IF(AND(ISNUMBER(MATCH(GE$2, AsistenciaJetAdminConcatenada!$A:$A, 0)), ISNUMBER(MATCH(GE$1, AsistenciaJetAdminConcatenada!$B:$B, 0)), ISNUMBER(SEARCH($A83,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ISNUMBER(SEARCH($A83, INDEX(AsistenciaJetAdminConcatenada!$D:$D, MATCH(1, (AsistenciaJetAdminConcatenada!$A:$A=GE$2)*(AsistenciaJetAdminConcatenada!$B:$B=GE$1), 0)), 1))),  0.5, 0))</f>
        <v>0</v>
      </c>
      <c r="GF83" s="47">
        <f t="array" ref="GF83">IF(AND(ISNUMBER(MATCH(GF$2, AsistenciaJetAdminConcatenada!$A:$A, 0)), ISNUMBER(MATCH(GF$1, AsistenciaJetAdminConcatenada!$B:$B, 0)), ISNUMBER(SEARCH($A83,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ISNUMBER(SEARCH($A83, INDEX(AsistenciaJetAdminConcatenada!$D:$D, MATCH(1, (AsistenciaJetAdminConcatenada!$A:$A=GF$2)*(AsistenciaJetAdminConcatenada!$B:$B=GF$1), 0)), 1))),  0.5, 0))</f>
        <v>0</v>
      </c>
      <c r="GG83" s="47">
        <f t="array" ref="GG83">IF(AND(ISNUMBER(MATCH(GG$2, AsistenciaJetAdminConcatenada!$A:$A, 0)), ISNUMBER(MATCH(GG$1, AsistenciaJetAdminConcatenada!$B:$B, 0)), ISNUMBER(SEARCH($A83,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ISNUMBER(SEARCH($A83, INDEX(AsistenciaJetAdminConcatenada!$D:$D, MATCH(1, (AsistenciaJetAdminConcatenada!$A:$A=GG$2)*(AsistenciaJetAdminConcatenada!$B:$B=GG$1), 0)), 1))),  0.5, 0))</f>
        <v>0</v>
      </c>
      <c r="GH83" s="47">
        <f t="array" ref="GH83">IF(AND(ISNUMBER(MATCH(GH$2, AsistenciaJetAdminConcatenada!$A:$A, 0)), ISNUMBER(MATCH(GH$1, AsistenciaJetAdminConcatenada!$B:$B, 0)), ISNUMBER(SEARCH($A83,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ISNUMBER(SEARCH($A83, INDEX(AsistenciaJetAdminConcatenada!$D:$D, MATCH(1, (AsistenciaJetAdminConcatenada!$A:$A=GH$2)*(AsistenciaJetAdminConcatenada!$B:$B=GH$1), 0)), 1))),  0.5, 0))</f>
        <v>0</v>
      </c>
      <c r="GI83" s="47">
        <f t="array" ref="GI83">IF(AND(ISNUMBER(MATCH(GI$2, AsistenciaJetAdminConcatenada!$A:$A, 0)), ISNUMBER(MATCH(GI$1, AsistenciaJetAdminConcatenada!$B:$B, 0)), ISNUMBER(SEARCH($A83,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ISNUMBER(SEARCH($A83, INDEX(AsistenciaJetAdminConcatenada!$D:$D, MATCH(1, (AsistenciaJetAdminConcatenada!$A:$A=GI$2)*(AsistenciaJetAdminConcatenada!$B:$B=GI$1), 0)), 1))),  0.5, 0))</f>
        <v>0</v>
      </c>
      <c r="GJ83" s="47">
        <f t="array" ref="GJ83">IF(AND(ISNUMBER(MATCH(GJ$2, AsistenciaJetAdminConcatenada!$A:$A, 0)), ISNUMBER(MATCH(GJ$1, AsistenciaJetAdminConcatenada!$B:$B, 0)), ISNUMBER(SEARCH($A83,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ISNUMBER(SEARCH($A83, INDEX(AsistenciaJetAdminConcatenada!$D:$D, MATCH(1, (AsistenciaJetAdminConcatenada!$A:$A=GJ$2)*(AsistenciaJetAdminConcatenada!$B:$B=GJ$1), 0)), 1))),  0.5, 0))</f>
        <v>0</v>
      </c>
      <c r="GK83" s="47">
        <f t="array" ref="GK83">IF(AND(ISNUMBER(MATCH(GK$2, AsistenciaJetAdminConcatenada!$A:$A, 0)), ISNUMBER(MATCH(GK$1, AsistenciaJetAdminConcatenada!$B:$B, 0)), ISNUMBER(SEARCH($A83,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ISNUMBER(SEARCH($A83, INDEX(AsistenciaJetAdminConcatenada!$D:$D, MATCH(1, (AsistenciaJetAdminConcatenada!$A:$A=GK$2)*(AsistenciaJetAdminConcatenada!$B:$B=GK$1), 0)), 1))),  0.5, 0))</f>
        <v>0</v>
      </c>
      <c r="GL83" s="47">
        <f t="array" ref="GL83">IF(AND(ISNUMBER(MATCH(GL$2, AsistenciaJetAdminConcatenada!$A:$A, 0)), ISNUMBER(MATCH(GL$1, AsistenciaJetAdminConcatenada!$B:$B, 0)), ISNUMBER(SEARCH($A83,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ISNUMBER(SEARCH($A83, INDEX(AsistenciaJetAdminConcatenada!$D:$D, MATCH(1, (AsistenciaJetAdminConcatenada!$A:$A=GL$2)*(AsistenciaJetAdminConcatenada!$B:$B=GL$1), 0)), 1))),  0.5, 0))</f>
        <v>0</v>
      </c>
      <c r="GM83" s="47">
        <f t="array" ref="GM83">IF(AND(ISNUMBER(MATCH(GM$2, AsistenciaJetAdminConcatenada!$A:$A, 0)), ISNUMBER(MATCH(GM$1, AsistenciaJetAdminConcatenada!$B:$B, 0)), ISNUMBER(SEARCH($A83,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ISNUMBER(SEARCH($A83, INDEX(AsistenciaJetAdminConcatenada!$D:$D, MATCH(1, (AsistenciaJetAdminConcatenada!$A:$A=GM$2)*(AsistenciaJetAdminConcatenada!$B:$B=GM$1), 0)), 1))),  0.5, 0))</f>
        <v>0</v>
      </c>
      <c r="GN83" s="47">
        <f t="array" ref="GN83">IF(AND(ISNUMBER(MATCH(GN$2, AsistenciaJetAdminConcatenada!$A:$A, 0)), ISNUMBER(MATCH(GN$1, AsistenciaJetAdminConcatenada!$B:$B, 0)), ISNUMBER(SEARCH($A83,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ISNUMBER(SEARCH($A83, INDEX(AsistenciaJetAdminConcatenada!$D:$D, MATCH(1, (AsistenciaJetAdminConcatenada!$A:$A=GN$2)*(AsistenciaJetAdminConcatenada!$B:$B=GN$1), 0)), 1))),  0.5, 0))</f>
        <v>0</v>
      </c>
      <c r="GO83" s="47">
        <f t="array" ref="GO83">IF(AND(ISNUMBER(MATCH(GO$2, AsistenciaJetAdminConcatenada!$A:$A, 0)), ISNUMBER(MATCH(GO$1, AsistenciaJetAdminConcatenada!$B:$B, 0)), ISNUMBER(SEARCH($A83,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ISNUMBER(SEARCH($A83, INDEX(AsistenciaJetAdminConcatenada!$D:$D, MATCH(1, (AsistenciaJetAdminConcatenada!$A:$A=GO$2)*(AsistenciaJetAdminConcatenada!$B:$B=GO$1), 0)), 1))),  0.5, 0))</f>
        <v>0</v>
      </c>
      <c r="GP83" s="47">
        <f t="array" ref="GP83">IF(AND(ISNUMBER(MATCH(GP$2, AsistenciaJetAdminConcatenada!$A:$A, 0)), ISNUMBER(MATCH(GP$1, AsistenciaJetAdminConcatenada!$B:$B, 0)), ISNUMBER(SEARCH($A83,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ISNUMBER(SEARCH($A83, INDEX(AsistenciaJetAdminConcatenada!$D:$D, MATCH(1, (AsistenciaJetAdminConcatenada!$A:$A=GP$2)*(AsistenciaJetAdminConcatenada!$B:$B=GP$1), 0)), 1))),  0.5, 0))</f>
        <v>0</v>
      </c>
      <c r="GQ83" s="47">
        <f t="array" ref="GQ83">IF(AND(ISNUMBER(MATCH(GQ$2, AsistenciaJetAdminConcatenada!$A:$A, 0)), ISNUMBER(MATCH(GQ$1, AsistenciaJetAdminConcatenada!$B:$B, 0)), ISNUMBER(SEARCH($A83,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ISNUMBER(SEARCH($A83, INDEX(AsistenciaJetAdminConcatenada!$D:$D, MATCH(1, (AsistenciaJetAdminConcatenada!$A:$A=GQ$2)*(AsistenciaJetAdminConcatenada!$B:$B=GQ$1), 0)), 1))),  0.5, 0))</f>
        <v>0</v>
      </c>
      <c r="GR83" s="47">
        <f t="array" ref="GR83">IF(AND(ISNUMBER(MATCH(GR$2, AsistenciaJetAdminConcatenada!$A:$A, 0)), ISNUMBER(MATCH(GR$1, AsistenciaJetAdminConcatenada!$B:$B, 0)), ISNUMBER(SEARCH($A83,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ISNUMBER(SEARCH($A83, INDEX(AsistenciaJetAdminConcatenada!$D:$D, MATCH(1, (AsistenciaJetAdminConcatenada!$A:$A=GR$2)*(AsistenciaJetAdminConcatenada!$B:$B=GR$1), 0)), 1))),  0.5, 0))</f>
        <v>0</v>
      </c>
      <c r="GS83" s="47">
        <f t="array" ref="GS83">IF(AND(ISNUMBER(MATCH(GS$2, AsistenciaJetAdminConcatenada!$A:$A, 0)), ISNUMBER(MATCH(GS$1, AsistenciaJetAdminConcatenada!$B:$B, 0)), ISNUMBER(SEARCH($A83,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ISNUMBER(SEARCH($A83, INDEX(AsistenciaJetAdminConcatenada!$D:$D, MATCH(1, (AsistenciaJetAdminConcatenada!$A:$A=GS$2)*(AsistenciaJetAdminConcatenada!$B:$B=GS$1), 0)), 1))),  0.5, 0))</f>
        <v>0</v>
      </c>
      <c r="GT83" s="47">
        <f t="array" ref="GT83">IF(AND(ISNUMBER(MATCH(GT$2, AsistenciaJetAdminConcatenada!$A:$A, 0)), ISNUMBER(MATCH(GT$1, AsistenciaJetAdminConcatenada!$B:$B, 0)), ISNUMBER(SEARCH($A83,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ISNUMBER(SEARCH($A83, INDEX(AsistenciaJetAdminConcatenada!$D:$D, MATCH(1, (AsistenciaJetAdminConcatenada!$A:$A=GT$2)*(AsistenciaJetAdminConcatenada!$B:$B=GT$1), 0)), 1))),  0.5, 0))</f>
        <v>0</v>
      </c>
      <c r="GU83" s="47">
        <f t="array" ref="GU83">IF(AND(ISNUMBER(MATCH(GU$2, AsistenciaJetAdminConcatenada!$A:$A, 0)), ISNUMBER(MATCH(GU$1, AsistenciaJetAdminConcatenada!$B:$B, 0)), ISNUMBER(SEARCH($A83,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ISNUMBER(SEARCH($A83, INDEX(AsistenciaJetAdminConcatenada!$D:$D, MATCH(1, (AsistenciaJetAdminConcatenada!$A:$A=GU$2)*(AsistenciaJetAdminConcatenada!$B:$B=GU$1), 0)), 1))),  0.5, 0))</f>
        <v>0</v>
      </c>
      <c r="GV83" s="47">
        <f t="array" ref="GV83">IF(AND(ISNUMBER(MATCH(GV$2, AsistenciaJetAdminConcatenada!$A:$A, 0)), ISNUMBER(MATCH(GV$1, AsistenciaJetAdminConcatenada!$B:$B, 0)), ISNUMBER(SEARCH($A83,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ISNUMBER(SEARCH($A83, INDEX(AsistenciaJetAdminConcatenada!$D:$D, MATCH(1, (AsistenciaJetAdminConcatenada!$A:$A=GV$2)*(AsistenciaJetAdminConcatenada!$B:$B=GV$1), 0)), 1))),  0.5, 0))</f>
        <v>0</v>
      </c>
      <c r="GW83" s="47">
        <f t="array" ref="GW83">IF(AND(ISNUMBER(MATCH(GW$2, AsistenciaJetAdminConcatenada!$A:$A, 0)), ISNUMBER(MATCH(GW$1, AsistenciaJetAdminConcatenada!$B:$B, 0)), ISNUMBER(SEARCH($A83,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ISNUMBER(SEARCH($A83, INDEX(AsistenciaJetAdminConcatenada!$D:$D, MATCH(1, (AsistenciaJetAdminConcatenada!$A:$A=GW$2)*(AsistenciaJetAdminConcatenada!$B:$B=GW$1), 0)), 1))),  0.5, 0))</f>
        <v>0</v>
      </c>
      <c r="GX83" s="47">
        <f t="array" ref="GX83">IF(AND(ISNUMBER(MATCH(GX$2, AsistenciaJetAdminConcatenada!$A:$A, 0)), ISNUMBER(MATCH(GX$1, AsistenciaJetAdminConcatenada!$B:$B, 0)), ISNUMBER(SEARCH($A83,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ISNUMBER(SEARCH($A83, INDEX(AsistenciaJetAdminConcatenada!$D:$D, MATCH(1, (AsistenciaJetAdminConcatenada!$A:$A=GX$2)*(AsistenciaJetAdminConcatenada!$B:$B=GX$1), 0)), 1))),  0.5, 0))</f>
        <v>0</v>
      </c>
      <c r="GY83" s="47">
        <f t="array" ref="GY83">IF(AND(ISNUMBER(MATCH(GY$2, AsistenciaJetAdminConcatenada!$A:$A, 0)), ISNUMBER(MATCH(GY$1, AsistenciaJetAdminConcatenada!$B:$B, 0)), ISNUMBER(SEARCH($A83,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ISNUMBER(SEARCH($A83, INDEX(AsistenciaJetAdminConcatenada!$D:$D, MATCH(1, (AsistenciaJetAdminConcatenada!$A:$A=GY$2)*(AsistenciaJetAdminConcatenada!$B:$B=GY$1), 0)), 1))),  0.5, 0))</f>
        <v>0</v>
      </c>
      <c r="GZ83" s="47">
        <f t="array" ref="GZ83">IF(AND(ISNUMBER(MATCH(GZ$2, AsistenciaJetAdminConcatenada!$A:$A, 0)), ISNUMBER(MATCH(GZ$1, AsistenciaJetAdminConcatenada!$B:$B, 0)), ISNUMBER(SEARCH($A83,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ISNUMBER(SEARCH($A83, INDEX(AsistenciaJetAdminConcatenada!$D:$D, MATCH(1, (AsistenciaJetAdminConcatenada!$A:$A=GZ$2)*(AsistenciaJetAdminConcatenada!$B:$B=GZ$1), 0)), 1))),  0.5, 0))</f>
        <v>0</v>
      </c>
      <c r="HA83" s="47">
        <f t="array" ref="HA83">IF(AND(ISNUMBER(MATCH(HA$2, AsistenciaJetAdminConcatenada!$A:$A, 0)), ISNUMBER(MATCH(HA$1, AsistenciaJetAdminConcatenada!$B:$B, 0)), ISNUMBER(SEARCH($A83,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ISNUMBER(SEARCH($A83, INDEX(AsistenciaJetAdminConcatenada!$D:$D, MATCH(1, (AsistenciaJetAdminConcatenada!$A:$A=HA$2)*(AsistenciaJetAdminConcatenada!$B:$B=HA$1), 0)), 1))),  0.5, 0))</f>
        <v>0</v>
      </c>
      <c r="HB83" s="47">
        <f t="array" ref="HB83">IF(AND(ISNUMBER(MATCH(HB$2, AsistenciaJetAdminConcatenada!$A:$A, 0)), ISNUMBER(MATCH(HB$1, AsistenciaJetAdminConcatenada!$B:$B, 0)), ISNUMBER(SEARCH($A83,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ISNUMBER(SEARCH($A83, INDEX(AsistenciaJetAdminConcatenada!$D:$D, MATCH(1, (AsistenciaJetAdminConcatenada!$A:$A=HB$2)*(AsistenciaJetAdminConcatenada!$B:$B=HB$1), 0)), 1))),  0.5, 0))</f>
        <v>0</v>
      </c>
      <c r="HC83" s="47">
        <f t="array" ref="HC83">IF(AND(ISNUMBER(MATCH(HC$2, AsistenciaJetAdminConcatenada!$A:$A, 0)), ISNUMBER(MATCH(HC$1, AsistenciaJetAdminConcatenada!$B:$B, 0)), ISNUMBER(SEARCH($A83,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ISNUMBER(SEARCH($A83, INDEX(AsistenciaJetAdminConcatenada!$D:$D, MATCH(1, (AsistenciaJetAdminConcatenada!$A:$A=HC$2)*(AsistenciaJetAdminConcatenada!$B:$B=HC$1), 0)), 1))),  0.5, 0))</f>
        <v>0</v>
      </c>
    </row>
    <row r="84" ht="29.25" customHeight="1">
      <c r="A84" s="3">
        <v>161.0</v>
      </c>
      <c r="B84" s="4" t="s">
        <v>44</v>
      </c>
      <c r="C84" s="47">
        <f>SUM(D84:HC84) + ActividadesEspeciales!C84</f>
        <v>39.5</v>
      </c>
      <c r="D84" s="47">
        <f t="array" ref="D84">IF(AND(ISNUMBER(MATCH(D$2, AsistenciaJetAdminConcatenada!$A:$A, 0)), ISNUMBER(MATCH(D$1, AsistenciaJetAdminConcatenada!$B:$B, 0)), ISNUMBER(SEARCH($A84,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ISNUMBER(SEARCH($A84, INDEX(AsistenciaJetAdminConcatenada!$D:$D, MATCH(1, (AsistenciaJetAdminConcatenada!$A:$A=D$2)*(AsistenciaJetAdminConcatenada!$B:$B=D$1), 0)), 1))),  0.5, 0))</f>
        <v>0.5</v>
      </c>
      <c r="E84" s="47">
        <f t="array" ref="E84">IF(AND(ISNUMBER(MATCH(E$2, AsistenciaJetAdminConcatenada!$A:$A, 0)), ISNUMBER(MATCH(E$1, AsistenciaJetAdminConcatenada!$B:$B, 0)), ISNUMBER(SEARCH($A84,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ISNUMBER(SEARCH($A84, INDEX(AsistenciaJetAdminConcatenada!$D:$D, MATCH(1, (AsistenciaJetAdminConcatenada!$A:$A=E$2)*(AsistenciaJetAdminConcatenada!$B:$B=E$1), 0)), 1))),  0.5, 0))</f>
        <v>1</v>
      </c>
      <c r="F84" s="47">
        <f t="array" ref="F84">IF(AND(ISNUMBER(MATCH(F$2, AsistenciaJetAdminConcatenada!$A:$A, 0)), ISNUMBER(MATCH(F$1, AsistenciaJetAdminConcatenada!$B:$B, 0)), ISNUMBER(SEARCH($A84,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ISNUMBER(SEARCH($A84, INDEX(AsistenciaJetAdminConcatenada!$D:$D, MATCH(1, (AsistenciaJetAdminConcatenada!$A:$A=F$2)*(AsistenciaJetAdminConcatenada!$B:$B=F$1), 0)), 1))),  0.5, 0))</f>
        <v>1</v>
      </c>
      <c r="G84" s="47">
        <f t="array" ref="G84">IF(AND(ISNUMBER(MATCH(G$2, AsistenciaJetAdminConcatenada!$A:$A, 0)), ISNUMBER(MATCH(G$1, AsistenciaJetAdminConcatenada!$B:$B, 0)), ISNUMBER(SEARCH($A84,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ISNUMBER(SEARCH($A84, INDEX(AsistenciaJetAdminConcatenada!$D:$D, MATCH(1, (AsistenciaJetAdminConcatenada!$A:$A=G$2)*(AsistenciaJetAdminConcatenada!$B:$B=G$1), 0)), 1))),  0.5, 0))</f>
        <v>0.5</v>
      </c>
      <c r="H84" s="47">
        <f t="array" ref="H84">IF(AND(ISNUMBER(MATCH(H$2, AsistenciaJetAdminConcatenada!$A:$A, 0)), ISNUMBER(MATCH(H$1, AsistenciaJetAdminConcatenada!$B:$B, 0)), ISNUMBER(SEARCH($A84,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ISNUMBER(SEARCH($A84, INDEX(AsistenciaJetAdminConcatenada!$D:$D, MATCH(1, (AsistenciaJetAdminConcatenada!$A:$A=H$2)*(AsistenciaJetAdminConcatenada!$B:$B=H$1), 0)), 1))),  0.5, 0))</f>
        <v>0</v>
      </c>
      <c r="I84" s="47">
        <f t="array" ref="I84">IF(AND(ISNUMBER(MATCH(I$2, AsistenciaJetAdminConcatenada!$A:$A, 0)), ISNUMBER(MATCH(I$1, AsistenciaJetAdminConcatenada!$B:$B, 0)), ISNUMBER(SEARCH($A84,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ISNUMBER(SEARCH($A84, INDEX(AsistenciaJetAdminConcatenada!$D:$D, MATCH(1, (AsistenciaJetAdminConcatenada!$A:$A=I$2)*(AsistenciaJetAdminConcatenada!$B:$B=I$1), 0)), 1))),  0.5, 0))</f>
        <v>1</v>
      </c>
      <c r="J84" s="47">
        <f t="array" ref="J84">IF(AND(ISNUMBER(MATCH(J$2, AsistenciaJetAdminConcatenada!$A:$A, 0)), ISNUMBER(MATCH(J$1, AsistenciaJetAdminConcatenada!$B:$B, 0)), ISNUMBER(SEARCH($A84,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ISNUMBER(SEARCH($A84, INDEX(AsistenciaJetAdminConcatenada!$D:$D, MATCH(1, (AsistenciaJetAdminConcatenada!$A:$A=J$2)*(AsistenciaJetAdminConcatenada!$B:$B=J$1), 0)), 1))),  0.5, 0))</f>
        <v>0</v>
      </c>
      <c r="K84" s="47">
        <f t="array" ref="K84">IF(AND(ISNUMBER(MATCH(K$2, AsistenciaJetAdminConcatenada!$A:$A, 0)), ISNUMBER(MATCH(K$1, AsistenciaJetAdminConcatenada!$B:$B, 0)), ISNUMBER(SEARCH($A84,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ISNUMBER(SEARCH($A84, INDEX(AsistenciaJetAdminConcatenada!$D:$D, MATCH(1, (AsistenciaJetAdminConcatenada!$A:$A=K$2)*(AsistenciaJetAdminConcatenada!$B:$B=K$1), 0)), 1))),  0.5, 0))</f>
        <v>0.5</v>
      </c>
      <c r="L84" s="47">
        <f t="array" ref="L84">IF(AND(ISNUMBER(MATCH(L$2, AsistenciaJetAdminConcatenada!$A:$A, 0)), ISNUMBER(MATCH(L$1, AsistenciaJetAdminConcatenada!$B:$B, 0)), ISNUMBER(SEARCH($A84,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ISNUMBER(SEARCH($A84, INDEX(AsistenciaJetAdminConcatenada!$D:$D, MATCH(1, (AsistenciaJetAdminConcatenada!$A:$A=L$2)*(AsistenciaJetAdminConcatenada!$B:$B=L$1), 0)), 1))),  0.5, 0))</f>
        <v>1</v>
      </c>
      <c r="M84" s="47">
        <f t="array" ref="M84">IF(AND(ISNUMBER(MATCH(M$2, AsistenciaJetAdminConcatenada!$A:$A, 0)), ISNUMBER(MATCH(M$1, AsistenciaJetAdminConcatenada!$B:$B, 0)), ISNUMBER(SEARCH($A84,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ISNUMBER(SEARCH($A84, INDEX(AsistenciaJetAdminConcatenada!$D:$D, MATCH(1, (AsistenciaJetAdminConcatenada!$A:$A=M$2)*(AsistenciaJetAdminConcatenada!$B:$B=M$1), 0)), 1))),  0.5, 0))</f>
        <v>0</v>
      </c>
      <c r="N84" s="47">
        <f t="array" ref="N84">IF(AND(ISNUMBER(MATCH(N$2, AsistenciaJetAdminConcatenada!$A:$A, 0)), ISNUMBER(MATCH(N$1, AsistenciaJetAdminConcatenada!$B:$B, 0)), ISNUMBER(SEARCH($A84,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ISNUMBER(SEARCH($A84, INDEX(AsistenciaJetAdminConcatenada!$D:$D, MATCH(1, (AsistenciaJetAdminConcatenada!$A:$A=N$2)*(AsistenciaJetAdminConcatenada!$B:$B=N$1), 0)), 1))),  0.5, 0))</f>
        <v>0</v>
      </c>
      <c r="O84" s="47">
        <f t="array" ref="O84">IF(AND(ISNUMBER(MATCH(O$2, AsistenciaJetAdminConcatenada!$A:$A, 0)), ISNUMBER(MATCH(O$1, AsistenciaJetAdminConcatenada!$B:$B, 0)), ISNUMBER(SEARCH($A84,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ISNUMBER(SEARCH($A84, INDEX(AsistenciaJetAdminConcatenada!$D:$D, MATCH(1, (AsistenciaJetAdminConcatenada!$A:$A=O$2)*(AsistenciaJetAdminConcatenada!$B:$B=O$1), 0)), 1))),  0.5, 0))</f>
        <v>0.5</v>
      </c>
      <c r="P84" s="8">
        <v>0.0</v>
      </c>
      <c r="Q84" s="8">
        <v>1.0</v>
      </c>
      <c r="R84" s="47">
        <f t="array" ref="R84">IF(AND(ISNUMBER(MATCH(R$2, AsistenciaJetAdminConcatenada!$A:$A, 0)), ISNUMBER(MATCH(R$1, AsistenciaJetAdminConcatenada!$B:$B, 0)), ISNUMBER(SEARCH($A84,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ISNUMBER(SEARCH($A84, INDEX(AsistenciaJetAdminConcatenada!$D:$D, MATCH(1, (AsistenciaJetAdminConcatenada!$A:$A=R$2)*(AsistenciaJetAdminConcatenada!$B:$B=R$1), 0)), 1))),  0.5, 0))</f>
        <v>1</v>
      </c>
      <c r="S84" s="8">
        <v>0.0</v>
      </c>
      <c r="T84" s="47">
        <f t="array" ref="T84">IF(AND(ISNUMBER(MATCH(T$2, AsistenciaJetAdminConcatenada!$A:$A, 0)), ISNUMBER(MATCH(T$1, AsistenciaJetAdminConcatenada!$B:$B, 0)), ISNUMBER(SEARCH($A84,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ISNUMBER(SEARCH($A84, INDEX(AsistenciaJetAdminConcatenada!$D:$D, MATCH(1, (AsistenciaJetAdminConcatenada!$A:$A=T$2)*(AsistenciaJetAdminConcatenada!$B:$B=T$1), 0)), 1))),  0.5, 0))</f>
        <v>0</v>
      </c>
      <c r="U84" s="47">
        <f t="array" ref="U84">IF(AND(ISNUMBER(MATCH(U$2, AsistenciaJetAdminConcatenada!$A:$A, 0)), ISNUMBER(MATCH(U$1, AsistenciaJetAdminConcatenada!$B:$B, 0)), ISNUMBER(SEARCH($A84,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ISNUMBER(SEARCH($A84, INDEX(AsistenciaJetAdminConcatenada!$D:$D, MATCH(1, (AsistenciaJetAdminConcatenada!$A:$A=U$2)*(AsistenciaJetAdminConcatenada!$B:$B=U$1), 0)), 1))),  0.5, 0))</f>
        <v>0</v>
      </c>
      <c r="V84" s="47">
        <f t="array" ref="V84">IF(AND(ISNUMBER(MATCH(V$2, AsistenciaJetAdminConcatenada!$A:$A, 0)), ISNUMBER(MATCH(V$1, AsistenciaJetAdminConcatenada!$B:$B, 0)), ISNUMBER(SEARCH($A84,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ISNUMBER(SEARCH($A84, INDEX(AsistenciaJetAdminConcatenada!$D:$D, MATCH(1, (AsistenciaJetAdminConcatenada!$A:$A=V$2)*(AsistenciaJetAdminConcatenada!$B:$B=V$1), 0)), 1))),  0.5, 0))</f>
        <v>0.5</v>
      </c>
      <c r="W84" s="47">
        <f t="array" ref="W84">IF(AND(ISNUMBER(MATCH(W$2, AsistenciaJetAdminConcatenada!$A:$A, 0)), ISNUMBER(MATCH(W$1, AsistenciaJetAdminConcatenada!$B:$B, 0)), ISNUMBER(SEARCH($A84,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ISNUMBER(SEARCH($A84, INDEX(AsistenciaJetAdminConcatenada!$D:$D, MATCH(1, (AsistenciaJetAdminConcatenada!$A:$A=W$2)*(AsistenciaJetAdminConcatenada!$B:$B=W$1), 0)), 1))),  0.5, 0))</f>
        <v>0</v>
      </c>
      <c r="X84" s="47">
        <f t="array" ref="X84">IF(AND(ISNUMBER(MATCH(X$2, AsistenciaJetAdminConcatenada!$A:$A, 0)), ISNUMBER(MATCH(X$1, AsistenciaJetAdminConcatenada!$B:$B, 0)), ISNUMBER(SEARCH($A84,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ISNUMBER(SEARCH($A84, INDEX(AsistenciaJetAdminConcatenada!$D:$D, MATCH(1, (AsistenciaJetAdminConcatenada!$A:$A=X$2)*(AsistenciaJetAdminConcatenada!$B:$B=X$1), 0)), 1))),  0.5, 0))</f>
        <v>1</v>
      </c>
      <c r="Y84" s="47">
        <f t="array" ref="Y84">IF(AND(ISNUMBER(MATCH(Y$2, AsistenciaJetAdminConcatenada!$A:$A, 0)), ISNUMBER(MATCH(Y$1, AsistenciaJetAdminConcatenada!$B:$B, 0)), ISNUMBER(SEARCH($A84,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ISNUMBER(SEARCH($A84, INDEX(AsistenciaJetAdminConcatenada!$D:$D, MATCH(1, (AsistenciaJetAdminConcatenada!$A:$A=Y$2)*(AsistenciaJetAdminConcatenada!$B:$B=Y$1), 0)), 1))),  0.5, 0))</f>
        <v>0.5</v>
      </c>
      <c r="Z84" s="47">
        <f t="array" ref="Z84">IF(AND(ISNUMBER(MATCH(Z$2, AsistenciaJetAdminConcatenada!$A:$A, 0)), ISNUMBER(MATCH(Z$1, AsistenciaJetAdminConcatenada!$B:$B, 0)), ISNUMBER(SEARCH($A84,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ISNUMBER(SEARCH($A84, INDEX(AsistenciaJetAdminConcatenada!$D:$D, MATCH(1, (AsistenciaJetAdminConcatenada!$A:$A=Z$2)*(AsistenciaJetAdminConcatenada!$B:$B=Z$1), 0)), 1))),  0.5, 0))</f>
        <v>0</v>
      </c>
      <c r="AA84" s="47">
        <f t="array" ref="AA84">IF(AND(ISNUMBER(MATCH(AA$2, AsistenciaJetAdminConcatenada!$A:$A, 0)), ISNUMBER(MATCH(AA$1, AsistenciaJetAdminConcatenada!$B:$B, 0)), ISNUMBER(SEARCH($A84,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ISNUMBER(SEARCH($A84, INDEX(AsistenciaJetAdminConcatenada!$D:$D, MATCH(1, (AsistenciaJetAdminConcatenada!$A:$A=AA$2)*(AsistenciaJetAdminConcatenada!$B:$B=AA$1), 0)), 1))),  0.5, 0))</f>
        <v>0</v>
      </c>
      <c r="AB84" s="47">
        <f t="array" ref="AB84">IF(AND(ISNUMBER(MATCH(AB$2, AsistenciaJetAdminConcatenada!$A:$A, 0)), ISNUMBER(MATCH(AB$1, AsistenciaJetAdminConcatenada!$B:$B, 0)), ISNUMBER(SEARCH($A84,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ISNUMBER(SEARCH($A84, INDEX(AsistenciaJetAdminConcatenada!$D:$D, MATCH(1, (AsistenciaJetAdminConcatenada!$A:$A=AB$2)*(AsistenciaJetAdminConcatenada!$B:$B=AB$1), 0)), 1))),  0.5, 0))</f>
        <v>0</v>
      </c>
      <c r="AC84" s="47">
        <f t="array" ref="AC84">IF(AND(ISNUMBER(MATCH(AC$2, AsistenciaJetAdminConcatenada!$A:$A, 0)), ISNUMBER(MATCH(AC$1, AsistenciaJetAdminConcatenada!$B:$B, 0)), ISNUMBER(SEARCH($A84,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ISNUMBER(SEARCH($A84, INDEX(AsistenciaJetAdminConcatenada!$D:$D, MATCH(1, (AsistenciaJetAdminConcatenada!$A:$A=AC$2)*(AsistenciaJetAdminConcatenada!$B:$B=AC$1), 0)), 1))),  0.5, 0))</f>
        <v>1</v>
      </c>
      <c r="AD84" s="47">
        <f t="array" ref="AD84">IF(AND(ISNUMBER(MATCH(AD$2, AsistenciaJetAdminConcatenada!$A:$A, 0)), ISNUMBER(MATCH(AD$1, AsistenciaJetAdminConcatenada!$B:$B, 0)), ISNUMBER(SEARCH($A84,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ISNUMBER(SEARCH($A84, INDEX(AsistenciaJetAdminConcatenada!$D:$D, MATCH(1, (AsistenciaJetAdminConcatenada!$A:$A=AD$2)*(AsistenciaJetAdminConcatenada!$B:$B=AD$1), 0)), 1))),  0.5, 0))</f>
        <v>1</v>
      </c>
      <c r="AE84" s="47">
        <f t="array" ref="AE84">IF(AND(ISNUMBER(MATCH(AE$2, AsistenciaJetAdminConcatenada!$A:$A, 0)), ISNUMBER(MATCH(AE$1, AsistenciaJetAdminConcatenada!$B:$B, 0)), ISNUMBER(SEARCH($A84,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ISNUMBER(SEARCH($A84, INDEX(AsistenciaJetAdminConcatenada!$D:$D, MATCH(1, (AsistenciaJetAdminConcatenada!$A:$A=AE$2)*(AsistenciaJetAdminConcatenada!$B:$B=AE$1), 0)), 1))),  0.5, 0))</f>
        <v>0</v>
      </c>
      <c r="AF84" s="47">
        <f t="array" ref="AF84">IF(AND(ISNUMBER(MATCH(AF$2, AsistenciaJetAdminConcatenada!$A:$A, 0)), ISNUMBER(MATCH(AF$1, AsistenciaJetAdminConcatenada!$B:$B, 0)), ISNUMBER(SEARCH($A84,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ISNUMBER(SEARCH($A84, INDEX(AsistenciaJetAdminConcatenada!$D:$D, MATCH(1, (AsistenciaJetAdminConcatenada!$A:$A=AF$2)*(AsistenciaJetAdminConcatenada!$B:$B=AF$1), 0)), 1))),  0.5, 0))</f>
        <v>0</v>
      </c>
      <c r="AG84" s="47">
        <f t="array" ref="AG84">IF(AND(ISNUMBER(MATCH(AG$2, AsistenciaJetAdminConcatenada!$A:$A, 0)), ISNUMBER(MATCH(AG$1, AsistenciaJetAdminConcatenada!$B:$B, 0)), ISNUMBER(SEARCH($A84,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ISNUMBER(SEARCH($A84, INDEX(AsistenciaJetAdminConcatenada!$D:$D, MATCH(1, (AsistenciaJetAdminConcatenada!$A:$A=AG$2)*(AsistenciaJetAdminConcatenada!$B:$B=AG$1), 0)), 1))),  0.5, 0))</f>
        <v>0</v>
      </c>
      <c r="AH84" s="47">
        <f t="array" ref="AH84">IF(AND(ISNUMBER(MATCH(AH$2, AsistenciaJetAdminConcatenada!$A:$A, 0)), ISNUMBER(MATCH(AH$1, AsistenciaJetAdminConcatenada!$B:$B, 0)), ISNUMBER(SEARCH($A84,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ISNUMBER(SEARCH($A84, INDEX(AsistenciaJetAdminConcatenada!$D:$D, MATCH(1, (AsistenciaJetAdminConcatenada!$A:$A=AH$2)*(AsistenciaJetAdminConcatenada!$B:$B=AH$1), 0)), 1))),  0.5, 0))</f>
        <v>0</v>
      </c>
      <c r="AI84" s="47">
        <f t="array" ref="AI84">IF(AND(ISNUMBER(MATCH(AI$2, AsistenciaJetAdminConcatenada!$A:$A, 0)), ISNUMBER(MATCH(AI$1, AsistenciaJetAdminConcatenada!$B:$B, 0)), ISNUMBER(SEARCH($A84,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ISNUMBER(SEARCH($A84, INDEX(AsistenciaJetAdminConcatenada!$D:$D, MATCH(1, (AsistenciaJetAdminConcatenada!$A:$A=AI$2)*(AsistenciaJetAdminConcatenada!$B:$B=AI$1), 0)), 1))),  0.5, 0))</f>
        <v>0</v>
      </c>
      <c r="AJ84" s="47">
        <f t="array" ref="AJ84">IF(AND(ISNUMBER(MATCH(AJ$2, AsistenciaJetAdminConcatenada!$A:$A, 0)), ISNUMBER(MATCH(AJ$1, AsistenciaJetAdminConcatenada!$B:$B, 0)), ISNUMBER(SEARCH($A84,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ISNUMBER(SEARCH($A84, INDEX(AsistenciaJetAdminConcatenada!$D:$D, MATCH(1, (AsistenciaJetAdminConcatenada!$A:$A=AJ$2)*(AsistenciaJetAdminConcatenada!$B:$B=AJ$1), 0)), 1))),  0.5, 0))</f>
        <v>0</v>
      </c>
      <c r="AK84" s="47">
        <f t="array" ref="AK84">IF(AND(ISNUMBER(MATCH(AK$2, AsistenciaJetAdminConcatenada!$A:$A, 0)), ISNUMBER(MATCH(AK$1, AsistenciaJetAdminConcatenada!$B:$B, 0)), ISNUMBER(SEARCH($A84,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ISNUMBER(SEARCH($A84, INDEX(AsistenciaJetAdminConcatenada!$D:$D, MATCH(1, (AsistenciaJetAdminConcatenada!$A:$A=AK$2)*(AsistenciaJetAdminConcatenada!$B:$B=AK$1), 0)), 1))),  0.5, 0))</f>
        <v>0</v>
      </c>
      <c r="AL84" s="47">
        <f t="array" ref="AL84">IF(AND(ISNUMBER(MATCH(AL$2, AsistenciaJetAdminConcatenada!$A:$A, 0)), ISNUMBER(MATCH(AL$1, AsistenciaJetAdminConcatenada!$B:$B, 0)), ISNUMBER(SEARCH($A84,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ISNUMBER(SEARCH($A84, INDEX(AsistenciaJetAdminConcatenada!$D:$D, MATCH(1, (AsistenciaJetAdminConcatenada!$A:$A=AL$2)*(AsistenciaJetAdminConcatenada!$B:$B=AL$1), 0)), 1))),  0.5, 0))</f>
        <v>0</v>
      </c>
      <c r="AM84" s="47">
        <f t="array" ref="AM84">IF(AND(ISNUMBER(MATCH(AM$2, AsistenciaJetAdminConcatenada!$A:$A, 0)), ISNUMBER(MATCH(AM$1, AsistenciaJetAdminConcatenada!$B:$B, 0)), ISNUMBER(SEARCH($A84,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ISNUMBER(SEARCH($A84, INDEX(AsistenciaJetAdminConcatenada!$D:$D, MATCH(1, (AsistenciaJetAdminConcatenada!$A:$A=AM$2)*(AsistenciaJetAdminConcatenada!$B:$B=AM$1), 0)), 1))),  0.5, 0))</f>
        <v>0</v>
      </c>
      <c r="AN84" s="47">
        <f t="array" ref="AN84">IF(AND(ISNUMBER(MATCH(AN$2, AsistenciaJetAdminConcatenada!$A:$A, 0)), ISNUMBER(MATCH(AN$1, AsistenciaJetAdminConcatenada!$B:$B, 0)), ISNUMBER(SEARCH($A84,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ISNUMBER(SEARCH($A84, INDEX(AsistenciaJetAdminConcatenada!$D:$D, MATCH(1, (AsistenciaJetAdminConcatenada!$A:$A=AN$2)*(AsistenciaJetAdminConcatenada!$B:$B=AN$1), 0)), 1))),  0.5, 0))</f>
        <v>0</v>
      </c>
      <c r="AO84" s="47">
        <f t="array" ref="AO84">IF(AND(ISNUMBER(MATCH(AO$2, AsistenciaJetAdminConcatenada!$A:$A, 0)), ISNUMBER(MATCH(AO$1, AsistenciaJetAdminConcatenada!$B:$B, 0)), ISNUMBER(SEARCH($A84,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ISNUMBER(SEARCH($A84, INDEX(AsistenciaJetAdminConcatenada!$D:$D, MATCH(1, (AsistenciaJetAdminConcatenada!$A:$A=AO$2)*(AsistenciaJetAdminConcatenada!$B:$B=AO$1), 0)), 1))),  0.5, 0))</f>
        <v>1</v>
      </c>
      <c r="AP84" s="47">
        <f t="array" ref="AP84">IF(AND(ISNUMBER(MATCH(AP$2, AsistenciaJetAdminConcatenada!$A:$A, 0)), ISNUMBER(MATCH(AP$1, AsistenciaJetAdminConcatenada!$B:$B, 0)), ISNUMBER(SEARCH($A84,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ISNUMBER(SEARCH($A84, INDEX(AsistenciaJetAdminConcatenada!$D:$D, MATCH(1, (AsistenciaJetAdminConcatenada!$A:$A=AP$2)*(AsistenciaJetAdminConcatenada!$B:$B=AP$1), 0)), 1))),  0.5, 0))</f>
        <v>0.5</v>
      </c>
      <c r="AQ84" s="47">
        <f t="array" ref="AQ84">IF(AND(ISNUMBER(MATCH(AQ$2, AsistenciaJetAdminConcatenada!$A:$A, 0)), ISNUMBER(MATCH(AQ$1, AsistenciaJetAdminConcatenada!$B:$B, 0)), ISNUMBER(SEARCH($A84,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ISNUMBER(SEARCH($A84, INDEX(AsistenciaJetAdminConcatenada!$D:$D, MATCH(1, (AsistenciaJetAdminConcatenada!$A:$A=AQ$2)*(AsistenciaJetAdminConcatenada!$B:$B=AQ$1), 0)), 1))),  0.5, 0))</f>
        <v>0</v>
      </c>
      <c r="AR84" s="47">
        <f t="array" ref="AR84">IF(AND(ISNUMBER(MATCH(AR$2, AsistenciaJetAdminConcatenada!$A:$A, 0)), ISNUMBER(MATCH(AR$1, AsistenciaJetAdminConcatenada!$B:$B, 0)), ISNUMBER(SEARCH($A84,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ISNUMBER(SEARCH($A84, INDEX(AsistenciaJetAdminConcatenada!$D:$D, MATCH(1, (AsistenciaJetAdminConcatenada!$A:$A=AR$2)*(AsistenciaJetAdminConcatenada!$B:$B=AR$1), 0)), 1))),  0.5, 0))</f>
        <v>1</v>
      </c>
      <c r="AS84" s="47">
        <f t="array" ref="AS84">IF(AND(ISNUMBER(MATCH(AS$2, AsistenciaJetAdminConcatenada!$A:$A, 0)), ISNUMBER(MATCH(AS$1, AsistenciaJetAdminConcatenada!$B:$B, 0)), ISNUMBER(SEARCH($A84,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ISNUMBER(SEARCH($A84, INDEX(AsistenciaJetAdminConcatenada!$D:$D, MATCH(1, (AsistenciaJetAdminConcatenada!$A:$A=AS$2)*(AsistenciaJetAdminConcatenada!$B:$B=AS$1), 0)), 1))),  0.5, 0))</f>
        <v>0</v>
      </c>
      <c r="AT84" s="47">
        <f t="array" ref="AT84">IF(AND(ISNUMBER(MATCH(AT$2, AsistenciaJetAdminConcatenada!$A:$A, 0)), ISNUMBER(MATCH(AT$1, AsistenciaJetAdminConcatenada!$B:$B, 0)), ISNUMBER(SEARCH($A84,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ISNUMBER(SEARCH($A84, INDEX(AsistenciaJetAdminConcatenada!$D:$D, MATCH(1, (AsistenciaJetAdminConcatenada!$A:$A=AT$2)*(AsistenciaJetAdminConcatenada!$B:$B=AT$1), 0)), 1))),  0.5, 0))</f>
        <v>0</v>
      </c>
      <c r="AU84" s="47">
        <f t="array" ref="AU84">IF(AND(ISNUMBER(MATCH(AU$2, AsistenciaJetAdminConcatenada!$A:$A, 0)), ISNUMBER(MATCH(AU$1, AsistenciaJetAdminConcatenada!$B:$B, 0)), ISNUMBER(SEARCH($A84,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ISNUMBER(SEARCH($A84, INDEX(AsistenciaJetAdminConcatenada!$D:$D, MATCH(1, (AsistenciaJetAdminConcatenada!$A:$A=AU$2)*(AsistenciaJetAdminConcatenada!$B:$B=AU$1), 0)), 1))),  0.5, 0))</f>
        <v>0</v>
      </c>
      <c r="AV84" s="47">
        <f t="array" ref="AV84">IF(AND(ISNUMBER(MATCH(AV$2, AsistenciaJetAdminConcatenada!$A:$A, 0)), ISNUMBER(MATCH(AV$1, AsistenciaJetAdminConcatenada!$B:$B, 0)), ISNUMBER(SEARCH($A84,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ISNUMBER(SEARCH($A84, INDEX(AsistenciaJetAdminConcatenada!$D:$D, MATCH(1, (AsistenciaJetAdminConcatenada!$A:$A=AV$2)*(AsistenciaJetAdminConcatenada!$B:$B=AV$1), 0)), 1))),  0.5, 0))</f>
        <v>1</v>
      </c>
      <c r="AW84" s="47">
        <f t="array" ref="AW84">IF(AND(ISNUMBER(MATCH(AW$2, AsistenciaJetAdminConcatenada!$A:$A, 0)), ISNUMBER(MATCH(AW$1, AsistenciaJetAdminConcatenada!$B:$B, 0)), ISNUMBER(SEARCH($A84,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ISNUMBER(SEARCH($A84, INDEX(AsistenciaJetAdminConcatenada!$D:$D, MATCH(1, (AsistenciaJetAdminConcatenada!$A:$A=AW$2)*(AsistenciaJetAdminConcatenada!$B:$B=AW$1), 0)), 1))),  0.5, 0))</f>
        <v>0</v>
      </c>
      <c r="AX84" s="47">
        <f t="array" ref="AX84">IF(AND(ISNUMBER(MATCH(AX$2, AsistenciaJetAdminConcatenada!$A:$A, 0)), ISNUMBER(MATCH(AX$1, AsistenciaJetAdminConcatenada!$B:$B, 0)), ISNUMBER(SEARCH($A84,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ISNUMBER(SEARCH($A84, INDEX(AsistenciaJetAdminConcatenada!$D:$D, MATCH(1, (AsistenciaJetAdminConcatenada!$A:$A=AX$2)*(AsistenciaJetAdminConcatenada!$B:$B=AX$1), 0)), 1))),  0.5, 0))</f>
        <v>0</v>
      </c>
      <c r="AY84" s="47">
        <f t="array" ref="AY84">IF(AND(ISNUMBER(MATCH(AY$2, AsistenciaJetAdminConcatenada!$A:$A, 0)), ISNUMBER(MATCH(AY$1, AsistenciaJetAdminConcatenada!$B:$B, 0)), ISNUMBER(SEARCH($A84,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ISNUMBER(SEARCH($A84, INDEX(AsistenciaJetAdminConcatenada!$D:$D, MATCH(1, (AsistenciaJetAdminConcatenada!$A:$A=AY$2)*(AsistenciaJetAdminConcatenada!$B:$B=AY$1), 0)), 1))),  0.5, 0))</f>
        <v>1</v>
      </c>
      <c r="AZ84" s="47">
        <f t="array" ref="AZ84">IF(AND(ISNUMBER(MATCH(AZ$2, AsistenciaJetAdminConcatenada!$A:$A, 0)), ISNUMBER(MATCH(AZ$1, AsistenciaJetAdminConcatenada!$B:$B, 0)), ISNUMBER(SEARCH($A84,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ISNUMBER(SEARCH($A84, INDEX(AsistenciaJetAdminConcatenada!$D:$D, MATCH(1, (AsistenciaJetAdminConcatenada!$A:$A=AZ$2)*(AsistenciaJetAdminConcatenada!$B:$B=AZ$1), 0)), 1))),  0.5, 0))</f>
        <v>0</v>
      </c>
      <c r="BA84" s="47">
        <f t="array" ref="BA84">IF(AND(ISNUMBER(MATCH(BA$2, AsistenciaJetAdminConcatenada!$A:$A, 0)), ISNUMBER(MATCH(BA$1, AsistenciaJetAdminConcatenada!$B:$B, 0)), ISNUMBER(SEARCH($A84,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ISNUMBER(SEARCH($A84, INDEX(AsistenciaJetAdminConcatenada!$D:$D, MATCH(1, (AsistenciaJetAdminConcatenada!$A:$A=BA$2)*(AsistenciaJetAdminConcatenada!$B:$B=BA$1), 0)), 1))),  0.5, 0))</f>
        <v>0</v>
      </c>
      <c r="BB84" s="47">
        <f t="array" ref="BB84">IF(AND(ISNUMBER(MATCH(BB$2, AsistenciaJetAdminConcatenada!$A:$A, 0)), ISNUMBER(MATCH(BB$1, AsistenciaJetAdminConcatenada!$B:$B, 0)), ISNUMBER(SEARCH($A84,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ISNUMBER(SEARCH($A84, INDEX(AsistenciaJetAdminConcatenada!$D:$D, MATCH(1, (AsistenciaJetAdminConcatenada!$A:$A=BB$2)*(AsistenciaJetAdminConcatenada!$B:$B=BB$1), 0)), 1))),  0.5, 0))</f>
        <v>1</v>
      </c>
      <c r="BC84" s="47">
        <f t="array" ref="BC84">IF(AND(ISNUMBER(MATCH(BC$2, AsistenciaJetAdminConcatenada!$A:$A, 0)), ISNUMBER(MATCH(BC$1, AsistenciaJetAdminConcatenada!$B:$B, 0)), ISNUMBER(SEARCH($A84,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ISNUMBER(SEARCH($A84, INDEX(AsistenciaJetAdminConcatenada!$D:$D, MATCH(1, (AsistenciaJetAdminConcatenada!$A:$A=BC$2)*(AsistenciaJetAdminConcatenada!$B:$B=BC$1), 0)), 1))),  0.5, 0))</f>
        <v>0</v>
      </c>
      <c r="BD84" s="47">
        <f t="array" ref="BD84">IF(AND(ISNUMBER(MATCH(BD$2, AsistenciaJetAdminConcatenada!$A:$A, 0)), ISNUMBER(MATCH(BD$1, AsistenciaJetAdminConcatenada!$B:$B, 0)), ISNUMBER(SEARCH($A84,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ISNUMBER(SEARCH($A84, INDEX(AsistenciaJetAdminConcatenada!$D:$D, MATCH(1, (AsistenciaJetAdminConcatenada!$A:$A=BD$2)*(AsistenciaJetAdminConcatenada!$B:$B=BD$1), 0)), 1))),  0.5, 0))</f>
        <v>1</v>
      </c>
      <c r="BE84" s="47">
        <f t="array" ref="BE84">IF(AND(ISNUMBER(MATCH(BE$2, AsistenciaJetAdminConcatenada!$A:$A, 0)), ISNUMBER(MATCH(BE$1, AsistenciaJetAdminConcatenada!$B:$B, 0)), ISNUMBER(SEARCH($A84,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ISNUMBER(SEARCH($A84, INDEX(AsistenciaJetAdminConcatenada!$D:$D, MATCH(1, (AsistenciaJetAdminConcatenada!$A:$A=BE$2)*(AsistenciaJetAdminConcatenada!$B:$B=BE$1), 0)), 1))),  0.5, 0))</f>
        <v>1</v>
      </c>
      <c r="BF84" s="47">
        <f t="array" ref="BF84">IF(AND(ISNUMBER(MATCH(BF$2, AsistenciaJetAdminConcatenada!$A:$A, 0)), ISNUMBER(MATCH(BF$1, AsistenciaJetAdminConcatenada!$B:$B, 0)), ISNUMBER(SEARCH($A84,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ISNUMBER(SEARCH($A84, INDEX(AsistenciaJetAdminConcatenada!$D:$D, MATCH(1, (AsistenciaJetAdminConcatenada!$A:$A=BF$2)*(AsistenciaJetAdminConcatenada!$B:$B=BF$1), 0)), 1))),  0.5, 0))</f>
        <v>0</v>
      </c>
      <c r="BG84" s="47">
        <f t="array" ref="BG84">IF(AND(ISNUMBER(MATCH(BG$2, AsistenciaJetAdminConcatenada!$A:$A, 0)), ISNUMBER(MATCH(BG$1, AsistenciaJetAdminConcatenada!$B:$B, 0)), ISNUMBER(SEARCH($A84,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ISNUMBER(SEARCH($A84, INDEX(AsistenciaJetAdminConcatenada!$D:$D, MATCH(1, (AsistenciaJetAdminConcatenada!$A:$A=BG$2)*(AsistenciaJetAdminConcatenada!$B:$B=BG$1), 0)), 1))),  0.5, 0))</f>
        <v>1</v>
      </c>
      <c r="BH84" s="47">
        <f t="array" ref="BH84">IF(AND(ISNUMBER(MATCH(BH$2, AsistenciaJetAdminConcatenada!$A:$A, 0)), ISNUMBER(MATCH(BH$1, AsistenciaJetAdminConcatenada!$B:$B, 0)), ISNUMBER(SEARCH($A84,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ISNUMBER(SEARCH($A84, INDEX(AsistenciaJetAdminConcatenada!$D:$D, MATCH(1, (AsistenciaJetAdminConcatenada!$A:$A=BH$2)*(AsistenciaJetAdminConcatenada!$B:$B=BH$1), 0)), 1))),  0.5, 0))</f>
        <v>1</v>
      </c>
      <c r="BI84" s="47">
        <f t="array" ref="BI84">IF(AND(ISNUMBER(MATCH(BI$2, AsistenciaJetAdminConcatenada!$A:$A, 0)), ISNUMBER(MATCH(BI$1, AsistenciaJetAdminConcatenada!$B:$B, 0)), ISNUMBER(SEARCH($A84,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ISNUMBER(SEARCH($A84, INDEX(AsistenciaJetAdminConcatenada!$D:$D, MATCH(1, (AsistenciaJetAdminConcatenada!$A:$A=BI$2)*(AsistenciaJetAdminConcatenada!$B:$B=BI$1), 0)), 1))),  0.5, 0))</f>
        <v>1</v>
      </c>
      <c r="BJ84" s="47">
        <f t="array" ref="BJ84">IF(AND(ISNUMBER(MATCH(BJ$2, AsistenciaJetAdminConcatenada!$A:$A, 0)), ISNUMBER(MATCH(BJ$1, AsistenciaJetAdminConcatenada!$B:$B, 0)), ISNUMBER(SEARCH($A84,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ISNUMBER(SEARCH($A84, INDEX(AsistenciaJetAdminConcatenada!$D:$D, MATCH(1, (AsistenciaJetAdminConcatenada!$A:$A=BJ$2)*(AsistenciaJetAdminConcatenada!$B:$B=BJ$1), 0)), 1))),  0.5, 0))</f>
        <v>0</v>
      </c>
      <c r="BK84" s="47">
        <f t="array" ref="BK84">IF(AND(ISNUMBER(MATCH(BK$2, AsistenciaJetAdminConcatenada!$A:$A, 0)), ISNUMBER(MATCH(BK$1, AsistenciaJetAdminConcatenada!$B:$B, 0)), ISNUMBER(SEARCH($A84,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ISNUMBER(SEARCH($A84, INDEX(AsistenciaJetAdminConcatenada!$D:$D, MATCH(1, (AsistenciaJetAdminConcatenada!$A:$A=BK$2)*(AsistenciaJetAdminConcatenada!$B:$B=BK$1), 0)), 1))),  0.5, 0))</f>
        <v>1</v>
      </c>
      <c r="BL84" s="47">
        <f t="array" ref="BL84">IF(AND(ISNUMBER(MATCH(BL$2, AsistenciaJetAdminConcatenada!$A:$A, 0)), ISNUMBER(MATCH(BL$1, AsistenciaJetAdminConcatenada!$B:$B, 0)), ISNUMBER(SEARCH($A84,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ISNUMBER(SEARCH($A84, INDEX(AsistenciaJetAdminConcatenada!$D:$D, MATCH(1, (AsistenciaJetAdminConcatenada!$A:$A=BL$2)*(AsistenciaJetAdminConcatenada!$B:$B=BL$1), 0)), 1))),  0.5, 0))</f>
        <v>1</v>
      </c>
      <c r="BM84" s="47">
        <f t="array" ref="BM84">IF(AND(ISNUMBER(MATCH(BM$2, AsistenciaJetAdminConcatenada!$A:$A, 0)), ISNUMBER(MATCH(BM$1, AsistenciaJetAdminConcatenada!$B:$B, 0)), ISNUMBER(SEARCH($A84,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ISNUMBER(SEARCH($A84, INDEX(AsistenciaJetAdminConcatenada!$D:$D, MATCH(1, (AsistenciaJetAdminConcatenada!$A:$A=BM$2)*(AsistenciaJetAdminConcatenada!$B:$B=BM$1), 0)), 1))),  0.5, 0))</f>
        <v>0.5</v>
      </c>
      <c r="BN84" s="47">
        <f t="array" ref="BN84">IF(AND(ISNUMBER(MATCH(BN$2, AsistenciaJetAdminConcatenada!$A:$A, 0)), ISNUMBER(MATCH(BN$1, AsistenciaJetAdminConcatenada!$B:$B, 0)), ISNUMBER(SEARCH($A84,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ISNUMBER(SEARCH($A84, INDEX(AsistenciaJetAdminConcatenada!$D:$D, MATCH(1, (AsistenciaJetAdminConcatenada!$A:$A=BN$2)*(AsistenciaJetAdminConcatenada!$B:$B=BN$1), 0)), 1))),  0.5, 0))</f>
        <v>0</v>
      </c>
      <c r="BO84" s="47">
        <f t="array" ref="BO84">IF(AND(ISNUMBER(MATCH(BO$2, AsistenciaJetAdminConcatenada!$A:$A, 0)), ISNUMBER(MATCH(BO$1, AsistenciaJetAdminConcatenada!$B:$B, 0)), ISNUMBER(SEARCH($A84,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ISNUMBER(SEARCH($A84, INDEX(AsistenciaJetAdminConcatenada!$D:$D, MATCH(1, (AsistenciaJetAdminConcatenada!$A:$A=BO$2)*(AsistenciaJetAdminConcatenada!$B:$B=BO$1), 0)), 1))),  0.5, 0))</f>
        <v>0.5</v>
      </c>
      <c r="BP84" s="47">
        <f t="array" ref="BP84">IF(AND(ISNUMBER(MATCH(BP$2, AsistenciaJetAdminConcatenada!$A:$A, 0)), ISNUMBER(MATCH(BP$1, AsistenciaJetAdminConcatenada!$B:$B, 0)), ISNUMBER(SEARCH($A84,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ISNUMBER(SEARCH($A84, INDEX(AsistenciaJetAdminConcatenada!$D:$D, MATCH(1, (AsistenciaJetAdminConcatenada!$A:$A=BP$2)*(AsistenciaJetAdminConcatenada!$B:$B=BP$1), 0)), 1))),  0.5, 0))</f>
        <v>0</v>
      </c>
      <c r="BQ84" s="47">
        <f t="array" ref="BQ84">IF(AND(ISNUMBER(MATCH(BQ$2, AsistenciaJetAdminConcatenada!$A:$A, 0)), ISNUMBER(MATCH(BQ$1, AsistenciaJetAdminConcatenada!$B:$B, 0)), ISNUMBER(SEARCH($A84,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ISNUMBER(SEARCH($A84, INDEX(AsistenciaJetAdminConcatenada!$D:$D, MATCH(1, (AsistenciaJetAdminConcatenada!$A:$A=BQ$2)*(AsistenciaJetAdminConcatenada!$B:$B=BQ$1), 0)), 1))),  0.5, 0))</f>
        <v>1</v>
      </c>
      <c r="BR84" s="47">
        <f t="array" ref="BR84">IF(AND(ISNUMBER(MATCH(BR$2, AsistenciaJetAdminConcatenada!$A:$A, 0)), ISNUMBER(MATCH(BR$1, AsistenciaJetAdminConcatenada!$B:$B, 0)), ISNUMBER(SEARCH($A84,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ISNUMBER(SEARCH($A84, INDEX(AsistenciaJetAdminConcatenada!$D:$D, MATCH(1, (AsistenciaJetAdminConcatenada!$A:$A=BR$2)*(AsistenciaJetAdminConcatenada!$B:$B=BR$1), 0)), 1))),  0.5, 0))</f>
        <v>1</v>
      </c>
      <c r="BS84" s="47">
        <f t="array" ref="BS84">IF(AND(ISNUMBER(MATCH(BS$2, AsistenciaJetAdminConcatenada!$A:$A, 0)), ISNUMBER(MATCH(BS$1, AsistenciaJetAdminConcatenada!$B:$B, 0)), ISNUMBER(SEARCH($A84,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ISNUMBER(SEARCH($A84, INDEX(AsistenciaJetAdminConcatenada!$D:$D, MATCH(1, (AsistenciaJetAdminConcatenada!$A:$A=BS$2)*(AsistenciaJetAdminConcatenada!$B:$B=BS$1), 0)), 1))),  0.5, 0))</f>
        <v>1</v>
      </c>
      <c r="BT84" s="47">
        <f t="array" ref="BT84">IF(AND(ISNUMBER(MATCH(BT$2, AsistenciaJetAdminConcatenada!$A:$A, 0)), ISNUMBER(MATCH(BT$1, AsistenciaJetAdminConcatenada!$B:$B, 0)), ISNUMBER(SEARCH($A84,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ISNUMBER(SEARCH($A84, INDEX(AsistenciaJetAdminConcatenada!$D:$D, MATCH(1, (AsistenciaJetAdminConcatenada!$A:$A=BT$2)*(AsistenciaJetAdminConcatenada!$B:$B=BT$1), 0)), 1))),  0.5, 0))</f>
        <v>1</v>
      </c>
      <c r="BU84" s="47">
        <f t="array" ref="BU84">IF(AND(ISNUMBER(MATCH(BU$2, AsistenciaJetAdminConcatenada!$A:$A, 0)), ISNUMBER(MATCH(BU$1, AsistenciaJetAdminConcatenada!$B:$B, 0)), ISNUMBER(SEARCH($A84,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ISNUMBER(SEARCH($A84, INDEX(AsistenciaJetAdminConcatenada!$D:$D, MATCH(1, (AsistenciaJetAdminConcatenada!$A:$A=BU$2)*(AsistenciaJetAdminConcatenada!$B:$B=BU$1), 0)), 1))),  0.5, 0))</f>
        <v>1</v>
      </c>
      <c r="BV84" s="47">
        <f t="array" ref="BV84">IF(AND(ISNUMBER(MATCH(BV$2, AsistenciaJetAdminConcatenada!$A:$A, 0)), ISNUMBER(MATCH(BV$1, AsistenciaJetAdminConcatenada!$B:$B, 0)), ISNUMBER(SEARCH($A84,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ISNUMBER(SEARCH($A84, INDEX(AsistenciaJetAdminConcatenada!$D:$D, MATCH(1, (AsistenciaJetAdminConcatenada!$A:$A=BV$2)*(AsistenciaJetAdminConcatenada!$B:$B=BV$1), 0)), 1))),  0.5, 0))</f>
        <v>0</v>
      </c>
      <c r="BW84" s="47">
        <f t="array" ref="BW84">IF(AND(ISNUMBER(MATCH(BW$2, AsistenciaJetAdminConcatenada!$A:$A, 0)), ISNUMBER(MATCH(BW$1, AsistenciaJetAdminConcatenada!$B:$B, 0)), ISNUMBER(SEARCH($A84,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ISNUMBER(SEARCH($A84, INDEX(AsistenciaJetAdminConcatenada!$D:$D, MATCH(1, (AsistenciaJetAdminConcatenada!$A:$A=BW$2)*(AsistenciaJetAdminConcatenada!$B:$B=BW$1), 0)), 1))),  0.5, 0))</f>
        <v>0.5</v>
      </c>
      <c r="BX84" s="47">
        <f t="array" ref="BX84">IF(AND(ISNUMBER(MATCH(BX$2, AsistenciaJetAdminConcatenada!$A:$A, 0)), ISNUMBER(MATCH(BX$1, AsistenciaJetAdminConcatenada!$B:$B, 0)), ISNUMBER(SEARCH($A84,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ISNUMBER(SEARCH($A84, INDEX(AsistenciaJetAdminConcatenada!$D:$D, MATCH(1, (AsistenciaJetAdminConcatenada!$A:$A=BX$2)*(AsistenciaJetAdminConcatenada!$B:$B=BX$1), 0)), 1))),  0.5, 0))</f>
        <v>0</v>
      </c>
      <c r="BY84" s="47">
        <f t="array" ref="BY84">IF(AND(ISNUMBER(MATCH(BY$2, AsistenciaJetAdminConcatenada!$A:$A, 0)), ISNUMBER(MATCH(BY$1, AsistenciaJetAdminConcatenada!$B:$B, 0)), ISNUMBER(SEARCH($A84,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ISNUMBER(SEARCH($A84, INDEX(AsistenciaJetAdminConcatenada!$D:$D, MATCH(1, (AsistenciaJetAdminConcatenada!$A:$A=BY$2)*(AsistenciaJetAdminConcatenada!$B:$B=BY$1), 0)), 1))),  0.5, 0))</f>
        <v>0</v>
      </c>
      <c r="BZ84" s="47">
        <f t="array" ref="BZ84">IF(AND(ISNUMBER(MATCH(BZ$2, AsistenciaJetAdminConcatenada!$A:$A, 0)), ISNUMBER(MATCH(BZ$1, AsistenciaJetAdminConcatenada!$B:$B, 0)), ISNUMBER(SEARCH($A84,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ISNUMBER(SEARCH($A84, INDEX(AsistenciaJetAdminConcatenada!$D:$D, MATCH(1, (AsistenciaJetAdminConcatenada!$A:$A=BZ$2)*(AsistenciaJetAdminConcatenada!$B:$B=BZ$1), 0)), 1))),  0.5, 0))</f>
        <v>1</v>
      </c>
      <c r="CA84" s="47">
        <f t="array" ref="CA84">IF(AND(ISNUMBER(MATCH(CA$2, AsistenciaJetAdminConcatenada!$A:$A, 0)), ISNUMBER(MATCH(CA$1, AsistenciaJetAdminConcatenada!$B:$B, 0)), ISNUMBER(SEARCH($A84,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ISNUMBER(SEARCH($A84, INDEX(AsistenciaJetAdminConcatenada!$D:$D, MATCH(1, (AsistenciaJetAdminConcatenada!$A:$A=CA$2)*(AsistenciaJetAdminConcatenada!$B:$B=CA$1), 0)), 1))),  0.5, 0))</f>
        <v>1</v>
      </c>
      <c r="CB84" s="47">
        <f t="array" ref="CB84">IF(AND(ISNUMBER(MATCH(CB$2, AsistenciaJetAdminConcatenada!$A:$A, 0)), ISNUMBER(MATCH(CB$1, AsistenciaJetAdminConcatenada!$B:$B, 0)), ISNUMBER(SEARCH($A84,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ISNUMBER(SEARCH($A84, INDEX(AsistenciaJetAdminConcatenada!$D:$D, MATCH(1, (AsistenciaJetAdminConcatenada!$A:$A=CB$2)*(AsistenciaJetAdminConcatenada!$B:$B=CB$1), 0)), 1))),  0.5, 0))</f>
        <v>0</v>
      </c>
      <c r="CC84" s="47">
        <f t="array" ref="CC84">IF(AND(ISNUMBER(MATCH(CC$2, AsistenciaJetAdminConcatenada!$A:$A, 0)), ISNUMBER(MATCH(CC$1, AsistenciaJetAdminConcatenada!$B:$B, 0)), ISNUMBER(SEARCH($A84,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ISNUMBER(SEARCH($A84, INDEX(AsistenciaJetAdminConcatenada!$D:$D, MATCH(1, (AsistenciaJetAdminConcatenada!$A:$A=CC$2)*(AsistenciaJetAdminConcatenada!$B:$B=CC$1), 0)), 1))),  0.5, 0))</f>
        <v>0</v>
      </c>
      <c r="CD84" s="47">
        <f t="array" ref="CD84">IF(AND(ISNUMBER(MATCH(CD$2, AsistenciaJetAdminConcatenada!$A:$A, 0)), ISNUMBER(MATCH(CD$1, AsistenciaJetAdminConcatenada!$B:$B, 0)), ISNUMBER(SEARCH($A84,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ISNUMBER(SEARCH($A84, INDEX(AsistenciaJetAdminConcatenada!$D:$D, MATCH(1, (AsistenciaJetAdminConcatenada!$A:$A=CD$2)*(AsistenciaJetAdminConcatenada!$B:$B=CD$1), 0)), 1))),  0.5, 0))</f>
        <v>1</v>
      </c>
      <c r="CE84" s="47">
        <f t="array" ref="CE84">IF(AND(ISNUMBER(MATCH(CE$2, AsistenciaJetAdminConcatenada!$A:$A, 0)), ISNUMBER(MATCH(CE$1, AsistenciaJetAdminConcatenada!$B:$B, 0)), ISNUMBER(SEARCH($A84,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ISNUMBER(SEARCH($A84, INDEX(AsistenciaJetAdminConcatenada!$D:$D, MATCH(1, (AsistenciaJetAdminConcatenada!$A:$A=CE$2)*(AsistenciaJetAdminConcatenada!$B:$B=CE$1), 0)), 1))),  0.5, 0))</f>
        <v>0</v>
      </c>
      <c r="CF84" s="47">
        <f t="array" ref="CF84">IF(AND(ISNUMBER(MATCH(CF$2, AsistenciaJetAdminConcatenada!$A:$A, 0)), ISNUMBER(MATCH(CF$1, AsistenciaJetAdminConcatenada!$B:$B, 0)), ISNUMBER(SEARCH($A84,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ISNUMBER(SEARCH($A84, INDEX(AsistenciaJetAdminConcatenada!$D:$D, MATCH(1, (AsistenciaJetAdminConcatenada!$A:$A=CF$2)*(AsistenciaJetAdminConcatenada!$B:$B=CF$1), 0)), 1))),  0.5, 0))</f>
        <v>0</v>
      </c>
      <c r="CG84" s="47">
        <f t="array" ref="CG84">IF(AND(ISNUMBER(MATCH(CG$2, AsistenciaJetAdminConcatenada!$A:$A, 0)), ISNUMBER(MATCH(CG$1, AsistenciaJetAdminConcatenada!$B:$B, 0)), ISNUMBER(SEARCH($A84,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ISNUMBER(SEARCH($A84, INDEX(AsistenciaJetAdminConcatenada!$D:$D, MATCH(1, (AsistenciaJetAdminConcatenada!$A:$A=CG$2)*(AsistenciaJetAdminConcatenada!$B:$B=CG$1), 0)), 1))),  0.5, 0))</f>
        <v>0</v>
      </c>
      <c r="CH84" s="47">
        <f t="array" ref="CH84">IF(AND(ISNUMBER(MATCH(CH$2, AsistenciaJetAdminConcatenada!$A:$A, 0)), ISNUMBER(MATCH(CH$1, AsistenciaJetAdminConcatenada!$B:$B, 0)), ISNUMBER(SEARCH($A84,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ISNUMBER(SEARCH($A84, INDEX(AsistenciaJetAdminConcatenada!$D:$D, MATCH(1, (AsistenciaJetAdminConcatenada!$A:$A=CH$2)*(AsistenciaJetAdminConcatenada!$B:$B=CH$1), 0)), 1))),  0.5, 0))</f>
        <v>0</v>
      </c>
      <c r="CI84" s="47">
        <f t="array" ref="CI84">IF(AND(ISNUMBER(MATCH(CI$2, AsistenciaJetAdminConcatenada!$A:$A, 0)), ISNUMBER(MATCH(CI$1, AsistenciaJetAdminConcatenada!$B:$B, 0)), ISNUMBER(SEARCH($A84,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ISNUMBER(SEARCH($A84, INDEX(AsistenciaJetAdminConcatenada!$D:$D, MATCH(1, (AsistenciaJetAdminConcatenada!$A:$A=CI$2)*(AsistenciaJetAdminConcatenada!$B:$B=CI$1), 0)), 1))),  0.5, 0))</f>
        <v>0</v>
      </c>
      <c r="CJ84" s="47">
        <f t="array" ref="CJ84">IF(AND(ISNUMBER(MATCH(CJ$2, AsistenciaJetAdminConcatenada!$A:$A, 0)), ISNUMBER(MATCH(CJ$1, AsistenciaJetAdminConcatenada!$B:$B, 0)), ISNUMBER(SEARCH($A84,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ISNUMBER(SEARCH($A84, INDEX(AsistenciaJetAdminConcatenada!$D:$D, MATCH(1, (AsistenciaJetAdminConcatenada!$A:$A=CJ$2)*(AsistenciaJetAdminConcatenada!$B:$B=CJ$1), 0)), 1))),  0.5, 0))</f>
        <v>0</v>
      </c>
      <c r="CK84" s="47">
        <f t="array" ref="CK84">IF(AND(ISNUMBER(MATCH(CK$2, AsistenciaJetAdminConcatenada!$A:$A, 0)), ISNUMBER(MATCH(CK$1, AsistenciaJetAdminConcatenada!$B:$B, 0)), ISNUMBER(SEARCH($A84,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ISNUMBER(SEARCH($A84, INDEX(AsistenciaJetAdminConcatenada!$D:$D, MATCH(1, (AsistenciaJetAdminConcatenada!$A:$A=CK$2)*(AsistenciaJetAdminConcatenada!$B:$B=CK$1), 0)), 1))),  0.5, 0))</f>
        <v>0</v>
      </c>
      <c r="CL84" s="47">
        <f t="array" ref="CL84">IF(AND(ISNUMBER(MATCH(CL$2, AsistenciaJetAdminConcatenada!$A:$A, 0)), ISNUMBER(MATCH(CL$1, AsistenciaJetAdminConcatenada!$B:$B, 0)), ISNUMBER(SEARCH($A84,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ISNUMBER(SEARCH($A84, INDEX(AsistenciaJetAdminConcatenada!$D:$D, MATCH(1, (AsistenciaJetAdminConcatenada!$A:$A=CL$2)*(AsistenciaJetAdminConcatenada!$B:$B=CL$1), 0)), 1))),  0.5, 0))</f>
        <v>1</v>
      </c>
      <c r="CM84" s="47">
        <f t="array" ref="CM84">IF(AND(ISNUMBER(MATCH(CM$2, AsistenciaJetAdminConcatenada!$A:$A, 0)), ISNUMBER(MATCH(CM$1, AsistenciaJetAdminConcatenada!$B:$B, 0)), ISNUMBER(SEARCH($A84,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ISNUMBER(SEARCH($A84, INDEX(AsistenciaJetAdminConcatenada!$D:$D, MATCH(1, (AsistenciaJetAdminConcatenada!$A:$A=CM$2)*(AsistenciaJetAdminConcatenada!$B:$B=CM$1), 0)), 1))),  0.5, 0))</f>
        <v>0</v>
      </c>
      <c r="CN84" s="47">
        <f t="array" ref="CN84">IF(AND(ISNUMBER(MATCH(CN$2, AsistenciaJetAdminConcatenada!$A:$A, 0)), ISNUMBER(MATCH(CN$1, AsistenciaJetAdminConcatenada!$B:$B, 0)), ISNUMBER(SEARCH($A84,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ISNUMBER(SEARCH($A84, INDEX(AsistenciaJetAdminConcatenada!$D:$D, MATCH(1, (AsistenciaJetAdminConcatenada!$A:$A=CN$2)*(AsistenciaJetAdminConcatenada!$B:$B=CN$1), 0)), 1))),  0.5, 0))</f>
        <v>0.5</v>
      </c>
      <c r="CO84" s="47">
        <f t="array" ref="CO84">IF(AND(ISNUMBER(MATCH(CO$2, AsistenciaJetAdminConcatenada!$A:$A, 0)), ISNUMBER(MATCH(CO$1, AsistenciaJetAdminConcatenada!$B:$B, 0)), ISNUMBER(SEARCH($A84,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ISNUMBER(SEARCH($A84, INDEX(AsistenciaJetAdminConcatenada!$D:$D, MATCH(1, (AsistenciaJetAdminConcatenada!$A:$A=CO$2)*(AsistenciaJetAdminConcatenada!$B:$B=CO$1), 0)), 1))),  0.5, 0))</f>
        <v>0.5</v>
      </c>
      <c r="CP84" s="47">
        <f t="array" ref="CP84">IF(AND(ISNUMBER(MATCH(CP$2, AsistenciaJetAdminConcatenada!$A:$A, 0)), ISNUMBER(MATCH(CP$1, AsistenciaJetAdminConcatenada!$B:$B, 0)), ISNUMBER(SEARCH($A84,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ISNUMBER(SEARCH($A84, INDEX(AsistenciaJetAdminConcatenada!$D:$D, MATCH(1, (AsistenciaJetAdminConcatenada!$A:$A=CP$2)*(AsistenciaJetAdminConcatenada!$B:$B=CP$1), 0)), 1))),  0.5, 0))</f>
        <v>0.5</v>
      </c>
      <c r="CQ84" s="47">
        <f t="array" ref="CQ84">IF(AND(ISNUMBER(MATCH(CQ$2, AsistenciaJetAdminConcatenada!$A:$A, 0)), ISNUMBER(MATCH(CQ$1, AsistenciaJetAdminConcatenada!$B:$B, 0)), ISNUMBER(SEARCH($A84,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ISNUMBER(SEARCH($A84, INDEX(AsistenciaJetAdminConcatenada!$D:$D, MATCH(1, (AsistenciaJetAdminConcatenada!$A:$A=CQ$2)*(AsistenciaJetAdminConcatenada!$B:$B=CQ$1), 0)), 1))),  0.5, 0))</f>
        <v>0</v>
      </c>
      <c r="CR84" s="47">
        <f t="array" ref="CR84">IF(AND(ISNUMBER(MATCH(CR$2, AsistenciaJetAdminConcatenada!$A:$A, 0)), ISNUMBER(MATCH(CR$1, AsistenciaJetAdminConcatenada!$B:$B, 0)), ISNUMBER(SEARCH($A84,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ISNUMBER(SEARCH($A84, INDEX(AsistenciaJetAdminConcatenada!$D:$D, MATCH(1, (AsistenciaJetAdminConcatenada!$A:$A=CR$2)*(AsistenciaJetAdminConcatenada!$B:$B=CR$1), 0)), 1))),  0.5, 0))</f>
        <v>0</v>
      </c>
      <c r="CS84" s="47">
        <f t="array" ref="CS84">IF(AND(ISNUMBER(MATCH(CS$2, AsistenciaJetAdminConcatenada!$A:$A, 0)), ISNUMBER(MATCH(CS$1, AsistenciaJetAdminConcatenada!$B:$B, 0)), ISNUMBER(SEARCH($A84,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ISNUMBER(SEARCH($A84, INDEX(AsistenciaJetAdminConcatenada!$D:$D, MATCH(1, (AsistenciaJetAdminConcatenada!$A:$A=CS$2)*(AsistenciaJetAdminConcatenada!$B:$B=CS$1), 0)), 1))),  0.5, 0))</f>
        <v>0</v>
      </c>
      <c r="CT84" s="47">
        <f t="array" ref="CT84">IF(AND(ISNUMBER(MATCH(CT$2, AsistenciaJetAdminConcatenada!$A:$A, 0)), ISNUMBER(MATCH(CT$1, AsistenciaJetAdminConcatenada!$B:$B, 0)), ISNUMBER(SEARCH($A84,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ISNUMBER(SEARCH($A84, INDEX(AsistenciaJetAdminConcatenada!$D:$D, MATCH(1, (AsistenciaJetAdminConcatenada!$A:$A=CT$2)*(AsistenciaJetAdminConcatenada!$B:$B=CT$1), 0)), 1))),  0.5, 0))</f>
        <v>0</v>
      </c>
      <c r="CU84" s="47">
        <f t="array" ref="CU84">IF(AND(ISNUMBER(MATCH(CU$2, AsistenciaJetAdminConcatenada!$A:$A, 0)), ISNUMBER(MATCH(CU$1, AsistenciaJetAdminConcatenada!$B:$B, 0)), ISNUMBER(SEARCH($A84,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ISNUMBER(SEARCH($A84, INDEX(AsistenciaJetAdminConcatenada!$D:$D, MATCH(1, (AsistenciaJetAdminConcatenada!$A:$A=CU$2)*(AsistenciaJetAdminConcatenada!$B:$B=CU$1), 0)), 1))),  0.5, 0))</f>
        <v>0</v>
      </c>
      <c r="CV84" s="47">
        <f t="array" ref="CV84">IF(AND(ISNUMBER(MATCH(CV$2, AsistenciaJetAdminConcatenada!$A:$A, 0)), ISNUMBER(MATCH(CV$1, AsistenciaJetAdminConcatenada!$B:$B, 0)), ISNUMBER(SEARCH($A84,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ISNUMBER(SEARCH($A84, INDEX(AsistenciaJetAdminConcatenada!$D:$D, MATCH(1, (AsistenciaJetAdminConcatenada!$A:$A=CV$2)*(AsistenciaJetAdminConcatenada!$B:$B=CV$1), 0)), 1))),  0.5, 0))</f>
        <v>0</v>
      </c>
      <c r="CW84" s="47">
        <f t="array" ref="CW84">IF(AND(ISNUMBER(MATCH(CW$2, AsistenciaJetAdminConcatenada!$A:$A, 0)), ISNUMBER(MATCH(CW$1, AsistenciaJetAdminConcatenada!$B:$B, 0)), ISNUMBER(SEARCH($A84,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ISNUMBER(SEARCH($A84, INDEX(AsistenciaJetAdminConcatenada!$D:$D, MATCH(1, (AsistenciaJetAdminConcatenada!$A:$A=CW$2)*(AsistenciaJetAdminConcatenada!$B:$B=CW$1), 0)), 1))),  0.5, 0))</f>
        <v>0</v>
      </c>
      <c r="CX84" s="47">
        <f t="array" ref="CX84">IF(AND(ISNUMBER(MATCH(CX$2, AsistenciaJetAdminConcatenada!$A:$A, 0)), ISNUMBER(MATCH(CX$1, AsistenciaJetAdminConcatenada!$B:$B, 0)), ISNUMBER(SEARCH($A84,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ISNUMBER(SEARCH($A84, INDEX(AsistenciaJetAdminConcatenada!$D:$D, MATCH(1, (AsistenciaJetAdminConcatenada!$A:$A=CX$2)*(AsistenciaJetAdminConcatenada!$B:$B=CX$1), 0)), 1))),  0.5, 0))</f>
        <v>0</v>
      </c>
      <c r="CY84" s="47">
        <f t="array" ref="CY84">IF(AND(ISNUMBER(MATCH(CY$2, AsistenciaJetAdminConcatenada!$A:$A, 0)), ISNUMBER(MATCH(CY$1, AsistenciaJetAdminConcatenada!$B:$B, 0)), ISNUMBER(SEARCH($A84,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ISNUMBER(SEARCH($A84, INDEX(AsistenciaJetAdminConcatenada!$D:$D, MATCH(1, (AsistenciaJetAdminConcatenada!$A:$A=CY$2)*(AsistenciaJetAdminConcatenada!$B:$B=CY$1), 0)), 1))),  0.5, 0))</f>
        <v>0</v>
      </c>
      <c r="CZ84" s="47">
        <f t="array" ref="CZ84">IF(AND(ISNUMBER(MATCH(CZ$2, AsistenciaJetAdminConcatenada!$A:$A, 0)), ISNUMBER(MATCH(CZ$1, AsistenciaJetAdminConcatenada!$B:$B, 0)), ISNUMBER(SEARCH($A84,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ISNUMBER(SEARCH($A84, INDEX(AsistenciaJetAdminConcatenada!$D:$D, MATCH(1, (AsistenciaJetAdminConcatenada!$A:$A=CZ$2)*(AsistenciaJetAdminConcatenada!$B:$B=CZ$1), 0)), 1))),  0.5, 0))</f>
        <v>0</v>
      </c>
      <c r="DA84" s="47">
        <f t="array" ref="DA84">IF(AND(ISNUMBER(MATCH(DA$2, AsistenciaJetAdminConcatenada!$A:$A, 0)), ISNUMBER(MATCH(DA$1, AsistenciaJetAdminConcatenada!$B:$B, 0)), ISNUMBER(SEARCH($A84,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ISNUMBER(SEARCH($A84, INDEX(AsistenciaJetAdminConcatenada!$D:$D, MATCH(1, (AsistenciaJetAdminConcatenada!$A:$A=DA$2)*(AsistenciaJetAdminConcatenada!$B:$B=DA$1), 0)), 1))),  0.5, 0))</f>
        <v>0</v>
      </c>
      <c r="DB84" s="47">
        <f t="array" ref="DB84">IF(AND(ISNUMBER(MATCH(DB$2, AsistenciaJetAdminConcatenada!$A:$A, 0)), ISNUMBER(MATCH(DB$1, AsistenciaJetAdminConcatenada!$B:$B, 0)), ISNUMBER(SEARCH($A84,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ISNUMBER(SEARCH($A84, INDEX(AsistenciaJetAdminConcatenada!$D:$D, MATCH(1, (AsistenciaJetAdminConcatenada!$A:$A=DB$2)*(AsistenciaJetAdminConcatenada!$B:$B=DB$1), 0)), 1))),  0.5, 0))</f>
        <v>0</v>
      </c>
      <c r="DC84" s="47">
        <f t="array" ref="DC84">IF(AND(ISNUMBER(MATCH(DC$2, AsistenciaJetAdminConcatenada!$A:$A, 0)), ISNUMBER(MATCH(DC$1, AsistenciaJetAdminConcatenada!$B:$B, 0)), ISNUMBER(SEARCH($A84,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ISNUMBER(SEARCH($A84, INDEX(AsistenciaJetAdminConcatenada!$D:$D, MATCH(1, (AsistenciaJetAdminConcatenada!$A:$A=DC$2)*(AsistenciaJetAdminConcatenada!$B:$B=DC$1), 0)), 1))),  0.5, 0))</f>
        <v>0</v>
      </c>
      <c r="DD84" s="47">
        <f t="array" ref="DD84">IF(AND(ISNUMBER(MATCH(DD$2, AsistenciaJetAdminConcatenada!$A:$A, 0)), ISNUMBER(MATCH(DD$1, AsistenciaJetAdminConcatenada!$B:$B, 0)), ISNUMBER(SEARCH($A84,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ISNUMBER(SEARCH($A84, INDEX(AsistenciaJetAdminConcatenada!$D:$D, MATCH(1, (AsistenciaJetAdminConcatenada!$A:$A=DD$2)*(AsistenciaJetAdminConcatenada!$B:$B=DD$1), 0)), 1))),  0.5, 0))</f>
        <v>0</v>
      </c>
      <c r="DE84" s="47">
        <f t="array" ref="DE84">IF(AND(ISNUMBER(MATCH(DE$2, AsistenciaJetAdminConcatenada!$A:$A, 0)), ISNUMBER(MATCH(DE$1, AsistenciaJetAdminConcatenada!$B:$B, 0)), ISNUMBER(SEARCH($A84,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ISNUMBER(SEARCH($A84, INDEX(AsistenciaJetAdminConcatenada!$D:$D, MATCH(1, (AsistenciaJetAdminConcatenada!$A:$A=DE$2)*(AsistenciaJetAdminConcatenada!$B:$B=DE$1), 0)), 1))),  0.5, 0))</f>
        <v>0</v>
      </c>
      <c r="DF84" s="47">
        <f t="array" ref="DF84">IF(AND(ISNUMBER(MATCH(DF$2, AsistenciaJetAdminConcatenada!$A:$A, 0)), ISNUMBER(MATCH(DF$1, AsistenciaJetAdminConcatenada!$B:$B, 0)), ISNUMBER(SEARCH($A84,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ISNUMBER(SEARCH($A84, INDEX(AsistenciaJetAdminConcatenada!$D:$D, MATCH(1, (AsistenciaJetAdminConcatenada!$A:$A=DF$2)*(AsistenciaJetAdminConcatenada!$B:$B=DF$1), 0)), 1))),  0.5, 0))</f>
        <v>0</v>
      </c>
      <c r="DG84" s="47">
        <f t="array" ref="DG84">IF(AND(ISNUMBER(MATCH(DG$2, AsistenciaJetAdminConcatenada!$A:$A, 0)), ISNUMBER(MATCH(DG$1, AsistenciaJetAdminConcatenada!$B:$B, 0)), ISNUMBER(SEARCH($A84,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ISNUMBER(SEARCH($A84, INDEX(AsistenciaJetAdminConcatenada!$D:$D, MATCH(1, (AsistenciaJetAdminConcatenada!$A:$A=DG$2)*(AsistenciaJetAdminConcatenada!$B:$B=DG$1), 0)), 1))),  0.5, 0))</f>
        <v>0</v>
      </c>
      <c r="DH84" s="47">
        <f t="array" ref="DH84">IF(AND(ISNUMBER(MATCH(DH$2, AsistenciaJetAdminConcatenada!$A:$A, 0)), ISNUMBER(MATCH(DH$1, AsistenciaJetAdminConcatenada!$B:$B, 0)), ISNUMBER(SEARCH($A84,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ISNUMBER(SEARCH($A84, INDEX(AsistenciaJetAdminConcatenada!$D:$D, MATCH(1, (AsistenciaJetAdminConcatenada!$A:$A=DH$2)*(AsistenciaJetAdminConcatenada!$B:$B=DH$1), 0)), 1))),  0.5, 0))</f>
        <v>0</v>
      </c>
      <c r="DI84" s="47">
        <f t="array" ref="DI84">IF(AND(ISNUMBER(MATCH(DI$2, AsistenciaJetAdminConcatenada!$A:$A, 0)), ISNUMBER(MATCH(DI$1, AsistenciaJetAdminConcatenada!$B:$B, 0)), ISNUMBER(SEARCH($A84,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ISNUMBER(SEARCH($A84, INDEX(AsistenciaJetAdminConcatenada!$D:$D, MATCH(1, (AsistenciaJetAdminConcatenada!$A:$A=DI$2)*(AsistenciaJetAdminConcatenada!$B:$B=DI$1), 0)), 1))),  0.5, 0))</f>
        <v>0</v>
      </c>
      <c r="DJ84" s="47">
        <f t="array" ref="DJ84">IF(AND(ISNUMBER(MATCH(DJ$2, AsistenciaJetAdminConcatenada!$A:$A, 0)), ISNUMBER(MATCH(DJ$1, AsistenciaJetAdminConcatenada!$B:$B, 0)), ISNUMBER(SEARCH($A84,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ISNUMBER(SEARCH($A84, INDEX(AsistenciaJetAdminConcatenada!$D:$D, MATCH(1, (AsistenciaJetAdminConcatenada!$A:$A=DJ$2)*(AsistenciaJetAdminConcatenada!$B:$B=DJ$1), 0)), 1))),  0.5, 0))</f>
        <v>0</v>
      </c>
      <c r="DK84" s="47">
        <f t="array" ref="DK84">IF(AND(ISNUMBER(MATCH(DK$2, AsistenciaJetAdminConcatenada!$A:$A, 0)), ISNUMBER(MATCH(DK$1, AsistenciaJetAdminConcatenada!$B:$B, 0)), ISNUMBER(SEARCH($A84,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ISNUMBER(SEARCH($A84, INDEX(AsistenciaJetAdminConcatenada!$D:$D, MATCH(1, (AsistenciaJetAdminConcatenada!$A:$A=DK$2)*(AsistenciaJetAdminConcatenada!$B:$B=DK$1), 0)), 1))),  0.5, 0))</f>
        <v>0</v>
      </c>
      <c r="DL84" s="47">
        <f t="array" ref="DL84">IF(AND(ISNUMBER(MATCH(DL$2, AsistenciaJetAdminConcatenada!$A:$A, 0)), ISNUMBER(MATCH(DL$1, AsistenciaJetAdminConcatenada!$B:$B, 0)), ISNUMBER(SEARCH($A84,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ISNUMBER(SEARCH($A84, INDEX(AsistenciaJetAdminConcatenada!$D:$D, MATCH(1, (AsistenciaJetAdminConcatenada!$A:$A=DL$2)*(AsistenciaJetAdminConcatenada!$B:$B=DL$1), 0)), 1))),  0.5, 0))</f>
        <v>0</v>
      </c>
      <c r="DM84" s="47">
        <f t="array" ref="DM84">IF(AND(ISNUMBER(MATCH(DM$2, AsistenciaJetAdminConcatenada!$A:$A, 0)), ISNUMBER(MATCH(DM$1, AsistenciaJetAdminConcatenada!$B:$B, 0)), ISNUMBER(SEARCH($A84,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ISNUMBER(SEARCH($A84, INDEX(AsistenciaJetAdminConcatenada!$D:$D, MATCH(1, (AsistenciaJetAdminConcatenada!$A:$A=DM$2)*(AsistenciaJetAdminConcatenada!$B:$B=DM$1), 0)), 1))),  0.5, 0))</f>
        <v>0</v>
      </c>
      <c r="DN84" s="47">
        <f t="array" ref="DN84">IF(AND(ISNUMBER(MATCH(DN$2, AsistenciaJetAdminConcatenada!$A:$A, 0)), ISNUMBER(MATCH(DN$1, AsistenciaJetAdminConcatenada!$B:$B, 0)), ISNUMBER(SEARCH($A84,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ISNUMBER(SEARCH($A84, INDEX(AsistenciaJetAdminConcatenada!$D:$D, MATCH(1, (AsistenciaJetAdminConcatenada!$A:$A=DN$2)*(AsistenciaJetAdminConcatenada!$B:$B=DN$1), 0)), 1))),  0.5, 0))</f>
        <v>0</v>
      </c>
      <c r="DO84" s="47">
        <f t="array" ref="DO84">IF(AND(ISNUMBER(MATCH(DO$2, AsistenciaJetAdminConcatenada!$A:$A, 0)), ISNUMBER(MATCH(DO$1, AsistenciaJetAdminConcatenada!$B:$B, 0)), ISNUMBER(SEARCH($A84,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ISNUMBER(SEARCH($A84, INDEX(AsistenciaJetAdminConcatenada!$D:$D, MATCH(1, (AsistenciaJetAdminConcatenada!$A:$A=DO$2)*(AsistenciaJetAdminConcatenada!$B:$B=DO$1), 0)), 1))),  0.5, 0))</f>
        <v>0</v>
      </c>
      <c r="DP84" s="47">
        <f t="array" ref="DP84">IF(AND(ISNUMBER(MATCH(DP$2, AsistenciaJetAdminConcatenada!$A:$A, 0)), ISNUMBER(MATCH(DP$1, AsistenciaJetAdminConcatenada!$B:$B, 0)), ISNUMBER(SEARCH($A84,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ISNUMBER(SEARCH($A84, INDEX(AsistenciaJetAdminConcatenada!$D:$D, MATCH(1, (AsistenciaJetAdminConcatenada!$A:$A=DP$2)*(AsistenciaJetAdminConcatenada!$B:$B=DP$1), 0)), 1))),  0.5, 0))</f>
        <v>0</v>
      </c>
      <c r="DQ84" s="47">
        <f t="array" ref="DQ84">IF(AND(ISNUMBER(MATCH(DQ$2, AsistenciaJetAdminConcatenada!$A:$A, 0)), ISNUMBER(MATCH(DQ$1, AsistenciaJetAdminConcatenada!$B:$B, 0)), ISNUMBER(SEARCH($A84,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ISNUMBER(SEARCH($A84, INDEX(AsistenciaJetAdminConcatenada!$D:$D, MATCH(1, (AsistenciaJetAdminConcatenada!$A:$A=DQ$2)*(AsistenciaJetAdminConcatenada!$B:$B=DQ$1), 0)), 1))),  0.5, 0))</f>
        <v>0</v>
      </c>
      <c r="DR84" s="47">
        <f t="array" ref="DR84">IF(AND(ISNUMBER(MATCH(DR$2, AsistenciaJetAdminConcatenada!$A:$A, 0)), ISNUMBER(MATCH(DR$1, AsistenciaJetAdminConcatenada!$B:$B, 0)), ISNUMBER(SEARCH($A84,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ISNUMBER(SEARCH($A84, INDEX(AsistenciaJetAdminConcatenada!$D:$D, MATCH(1, (AsistenciaJetAdminConcatenada!$A:$A=DR$2)*(AsistenciaJetAdminConcatenada!$B:$B=DR$1), 0)), 1))),  0.5, 0))</f>
        <v>0</v>
      </c>
      <c r="DS84" s="47">
        <f t="array" ref="DS84">IF(AND(ISNUMBER(MATCH(DS$2, AsistenciaJetAdminConcatenada!$A:$A, 0)), ISNUMBER(MATCH(DS$1, AsistenciaJetAdminConcatenada!$B:$B, 0)), ISNUMBER(SEARCH($A84,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ISNUMBER(SEARCH($A84, INDEX(AsistenciaJetAdminConcatenada!$D:$D, MATCH(1, (AsistenciaJetAdminConcatenada!$A:$A=DS$2)*(AsistenciaJetAdminConcatenada!$B:$B=DS$1), 0)), 1))),  0.5, 0))</f>
        <v>0</v>
      </c>
      <c r="DT84" s="47">
        <f t="array" ref="DT84">IF(AND(ISNUMBER(MATCH(DT$2, AsistenciaJetAdminConcatenada!$A:$A, 0)), ISNUMBER(MATCH(DT$1, AsistenciaJetAdminConcatenada!$B:$B, 0)), ISNUMBER(SEARCH($A84,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ISNUMBER(SEARCH($A84, INDEX(AsistenciaJetAdminConcatenada!$D:$D, MATCH(1, (AsistenciaJetAdminConcatenada!$A:$A=DT$2)*(AsistenciaJetAdminConcatenada!$B:$B=DT$1), 0)), 1))),  0.5, 0))</f>
        <v>0</v>
      </c>
      <c r="DU84" s="47">
        <f t="array" ref="DU84">IF(AND(ISNUMBER(MATCH(DU$2, AsistenciaJetAdminConcatenada!$A:$A, 0)), ISNUMBER(MATCH(DU$1, AsistenciaJetAdminConcatenada!$B:$B, 0)), ISNUMBER(SEARCH($A84,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ISNUMBER(SEARCH($A84, INDEX(AsistenciaJetAdminConcatenada!$D:$D, MATCH(1, (AsistenciaJetAdminConcatenada!$A:$A=DU$2)*(AsistenciaJetAdminConcatenada!$B:$B=DU$1), 0)), 1))),  0.5, 0))</f>
        <v>0</v>
      </c>
      <c r="DV84" s="47">
        <f t="array" ref="DV84">IF(AND(ISNUMBER(MATCH(DV$2, AsistenciaJetAdminConcatenada!$A:$A, 0)), ISNUMBER(MATCH(DV$1, AsistenciaJetAdminConcatenada!$B:$B, 0)), ISNUMBER(SEARCH($A84,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ISNUMBER(SEARCH($A84, INDEX(AsistenciaJetAdminConcatenada!$D:$D, MATCH(1, (AsistenciaJetAdminConcatenada!$A:$A=DV$2)*(AsistenciaJetAdminConcatenada!$B:$B=DV$1), 0)), 1))),  0.5, 0))</f>
        <v>0</v>
      </c>
      <c r="DW84" s="47">
        <f t="array" ref="DW84">IF(AND(ISNUMBER(MATCH(DW$2, AsistenciaJetAdminConcatenada!$A:$A, 0)), ISNUMBER(MATCH(DW$1, AsistenciaJetAdminConcatenada!$B:$B, 0)), ISNUMBER(SEARCH($A84,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ISNUMBER(SEARCH($A84, INDEX(AsistenciaJetAdminConcatenada!$D:$D, MATCH(1, (AsistenciaJetAdminConcatenada!$A:$A=DW$2)*(AsistenciaJetAdminConcatenada!$B:$B=DW$1), 0)), 1))),  0.5, 0))</f>
        <v>0</v>
      </c>
      <c r="DX84" s="47">
        <f t="array" ref="DX84">IF(AND(ISNUMBER(MATCH(DX$2, AsistenciaJetAdminConcatenada!$A:$A, 0)), ISNUMBER(MATCH(DX$1, AsistenciaJetAdminConcatenada!$B:$B, 0)), ISNUMBER(SEARCH($A84,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ISNUMBER(SEARCH($A84, INDEX(AsistenciaJetAdminConcatenada!$D:$D, MATCH(1, (AsistenciaJetAdminConcatenada!$A:$A=DX$2)*(AsistenciaJetAdminConcatenada!$B:$B=DX$1), 0)), 1))),  0.5, 0))</f>
        <v>0</v>
      </c>
      <c r="DY84" s="47">
        <f t="array" ref="DY84">IF(AND(ISNUMBER(MATCH(DY$2, AsistenciaJetAdminConcatenada!$A:$A, 0)), ISNUMBER(MATCH(DY$1, AsistenciaJetAdminConcatenada!$B:$B, 0)), ISNUMBER(SEARCH($A84,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ISNUMBER(SEARCH($A84, INDEX(AsistenciaJetAdminConcatenada!$D:$D, MATCH(1, (AsistenciaJetAdminConcatenada!$A:$A=DY$2)*(AsistenciaJetAdminConcatenada!$B:$B=DY$1), 0)), 1))),  0.5, 0))</f>
        <v>0</v>
      </c>
      <c r="DZ84" s="47">
        <f t="array" ref="DZ84">IF(AND(ISNUMBER(MATCH(DZ$2, AsistenciaJetAdminConcatenada!$A:$A, 0)), ISNUMBER(MATCH(DZ$1, AsistenciaJetAdminConcatenada!$B:$B, 0)), ISNUMBER(SEARCH($A84,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ISNUMBER(SEARCH($A84, INDEX(AsistenciaJetAdminConcatenada!$D:$D, MATCH(1, (AsistenciaJetAdminConcatenada!$A:$A=DZ$2)*(AsistenciaJetAdminConcatenada!$B:$B=DZ$1), 0)), 1))),  0.5, 0))</f>
        <v>0</v>
      </c>
      <c r="EA84" s="47">
        <f t="array" ref="EA84">IF(AND(ISNUMBER(MATCH(EA$2, AsistenciaJetAdminConcatenada!$A:$A, 0)), ISNUMBER(MATCH(EA$1, AsistenciaJetAdminConcatenada!$B:$B, 0)), ISNUMBER(SEARCH($A84,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ISNUMBER(SEARCH($A84, INDEX(AsistenciaJetAdminConcatenada!$D:$D, MATCH(1, (AsistenciaJetAdminConcatenada!$A:$A=EA$2)*(AsistenciaJetAdminConcatenada!$B:$B=EA$1), 0)), 1))),  0.5, 0))</f>
        <v>0</v>
      </c>
      <c r="EB84" s="47">
        <f t="array" ref="EB84">IF(AND(ISNUMBER(MATCH(EB$2, AsistenciaJetAdminConcatenada!$A:$A, 0)), ISNUMBER(MATCH(EB$1, AsistenciaJetAdminConcatenada!$B:$B, 0)), ISNUMBER(SEARCH($A84,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ISNUMBER(SEARCH($A84, INDEX(AsistenciaJetAdminConcatenada!$D:$D, MATCH(1, (AsistenciaJetAdminConcatenada!$A:$A=EB$2)*(AsistenciaJetAdminConcatenada!$B:$B=EB$1), 0)), 1))),  0.5, 0))</f>
        <v>0</v>
      </c>
      <c r="EC84" s="47">
        <f t="array" ref="EC84">IF(AND(ISNUMBER(MATCH(EC$2, AsistenciaJetAdminConcatenada!$A:$A, 0)), ISNUMBER(MATCH(EC$1, AsistenciaJetAdminConcatenada!$B:$B, 0)), ISNUMBER(SEARCH($A84,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ISNUMBER(SEARCH($A84, INDEX(AsistenciaJetAdminConcatenada!$D:$D, MATCH(1, (AsistenciaJetAdminConcatenada!$A:$A=EC$2)*(AsistenciaJetAdminConcatenada!$B:$B=EC$1), 0)), 1))),  0.5, 0))</f>
        <v>0</v>
      </c>
      <c r="ED84" s="47">
        <f t="array" ref="ED84">IF(AND(ISNUMBER(MATCH(ED$2, AsistenciaJetAdminConcatenada!$A:$A, 0)), ISNUMBER(MATCH(ED$1, AsistenciaJetAdminConcatenada!$B:$B, 0)), ISNUMBER(SEARCH($A84,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ISNUMBER(SEARCH($A84, INDEX(AsistenciaJetAdminConcatenada!$D:$D, MATCH(1, (AsistenciaJetAdminConcatenada!$A:$A=ED$2)*(AsistenciaJetAdminConcatenada!$B:$B=ED$1), 0)), 1))),  0.5, 0))</f>
        <v>0</v>
      </c>
      <c r="EE84" s="47">
        <f t="array" ref="EE84">IF(AND(ISNUMBER(MATCH(EE$2, AsistenciaJetAdminConcatenada!$A:$A, 0)), ISNUMBER(MATCH(EE$1, AsistenciaJetAdminConcatenada!$B:$B, 0)), ISNUMBER(SEARCH($A84,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ISNUMBER(SEARCH($A84, INDEX(AsistenciaJetAdminConcatenada!$D:$D, MATCH(1, (AsistenciaJetAdminConcatenada!$A:$A=EE$2)*(AsistenciaJetAdminConcatenada!$B:$B=EE$1), 0)), 1))),  0.5, 0))</f>
        <v>0</v>
      </c>
      <c r="EF84" s="47">
        <f t="array" ref="EF84">IF(AND(ISNUMBER(MATCH(EF$2, AsistenciaJetAdminConcatenada!$A:$A, 0)), ISNUMBER(MATCH(EF$1, AsistenciaJetAdminConcatenada!$B:$B, 0)), ISNUMBER(SEARCH($A84,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ISNUMBER(SEARCH($A84, INDEX(AsistenciaJetAdminConcatenada!$D:$D, MATCH(1, (AsistenciaJetAdminConcatenada!$A:$A=EF$2)*(AsistenciaJetAdminConcatenada!$B:$B=EF$1), 0)), 1))),  0.5, 0))</f>
        <v>0</v>
      </c>
      <c r="EG84" s="47">
        <f t="array" ref="EG84">IF(AND(ISNUMBER(MATCH(EG$2, AsistenciaJetAdminConcatenada!$A:$A, 0)), ISNUMBER(MATCH(EG$1, AsistenciaJetAdminConcatenada!$B:$B, 0)), ISNUMBER(SEARCH($A84,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ISNUMBER(SEARCH($A84, INDEX(AsistenciaJetAdminConcatenada!$D:$D, MATCH(1, (AsistenciaJetAdminConcatenada!$A:$A=EG$2)*(AsistenciaJetAdminConcatenada!$B:$B=EG$1), 0)), 1))),  0.5, 0))</f>
        <v>0</v>
      </c>
      <c r="EH84" s="47">
        <f t="array" ref="EH84">IF(AND(ISNUMBER(MATCH(EH$2, AsistenciaJetAdminConcatenada!$A:$A, 0)), ISNUMBER(MATCH(EH$1, AsistenciaJetAdminConcatenada!$B:$B, 0)), ISNUMBER(SEARCH($A84,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ISNUMBER(SEARCH($A84, INDEX(AsistenciaJetAdminConcatenada!$D:$D, MATCH(1, (AsistenciaJetAdminConcatenada!$A:$A=EH$2)*(AsistenciaJetAdminConcatenada!$B:$B=EH$1), 0)), 1))),  0.5, 0))</f>
        <v>0</v>
      </c>
      <c r="EI84" s="47">
        <f t="array" ref="EI84">IF(AND(ISNUMBER(MATCH(EI$2, AsistenciaJetAdminConcatenada!$A:$A, 0)), ISNUMBER(MATCH(EI$1, AsistenciaJetAdminConcatenada!$B:$B, 0)), ISNUMBER(SEARCH($A84,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ISNUMBER(SEARCH($A84, INDEX(AsistenciaJetAdminConcatenada!$D:$D, MATCH(1, (AsistenciaJetAdminConcatenada!$A:$A=EI$2)*(AsistenciaJetAdminConcatenada!$B:$B=EI$1), 0)), 1))),  0.5, 0))</f>
        <v>0</v>
      </c>
      <c r="EJ84" s="47">
        <f t="array" ref="EJ84">IF(AND(ISNUMBER(MATCH(EJ$2, AsistenciaJetAdminConcatenada!$A:$A, 0)), ISNUMBER(MATCH(EJ$1, AsistenciaJetAdminConcatenada!$B:$B, 0)), ISNUMBER(SEARCH($A84,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ISNUMBER(SEARCH($A84, INDEX(AsistenciaJetAdminConcatenada!$D:$D, MATCH(1, (AsistenciaJetAdminConcatenada!$A:$A=EJ$2)*(AsistenciaJetAdminConcatenada!$B:$B=EJ$1), 0)), 1))),  0.5, 0))</f>
        <v>0</v>
      </c>
      <c r="EK84" s="47">
        <f t="array" ref="EK84">IF(AND(ISNUMBER(MATCH(EK$2, AsistenciaJetAdminConcatenada!$A:$A, 0)), ISNUMBER(MATCH(EK$1, AsistenciaJetAdminConcatenada!$B:$B, 0)), ISNUMBER(SEARCH($A84,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ISNUMBER(SEARCH($A84, INDEX(AsistenciaJetAdminConcatenada!$D:$D, MATCH(1, (AsistenciaJetAdminConcatenada!$A:$A=EK$2)*(AsistenciaJetAdminConcatenada!$B:$B=EK$1), 0)), 1))),  0.5, 0))</f>
        <v>0</v>
      </c>
      <c r="EL84" s="47">
        <f t="array" ref="EL84">IF(AND(ISNUMBER(MATCH(EL$2, AsistenciaJetAdminConcatenada!$A:$A, 0)), ISNUMBER(MATCH(EL$1, AsistenciaJetAdminConcatenada!$B:$B, 0)), ISNUMBER(SEARCH($A84,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ISNUMBER(SEARCH($A84, INDEX(AsistenciaJetAdminConcatenada!$D:$D, MATCH(1, (AsistenciaJetAdminConcatenada!$A:$A=EL$2)*(AsistenciaJetAdminConcatenada!$B:$B=EL$1), 0)), 1))),  0.5, 0))</f>
        <v>0</v>
      </c>
      <c r="EM84" s="47">
        <f t="array" ref="EM84">IF(AND(ISNUMBER(MATCH(EM$2, AsistenciaJetAdminConcatenada!$A:$A, 0)), ISNUMBER(MATCH(EM$1, AsistenciaJetAdminConcatenada!$B:$B, 0)), ISNUMBER(SEARCH($A84,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ISNUMBER(SEARCH($A84, INDEX(AsistenciaJetAdminConcatenada!$D:$D, MATCH(1, (AsistenciaJetAdminConcatenada!$A:$A=EM$2)*(AsistenciaJetAdminConcatenada!$B:$B=EM$1), 0)), 1))),  0.5, 0))</f>
        <v>0</v>
      </c>
      <c r="EN84" s="47">
        <f t="array" ref="EN84">IF(AND(ISNUMBER(MATCH(EN$2, AsistenciaJetAdminConcatenada!$A:$A, 0)), ISNUMBER(MATCH(EN$1, AsistenciaJetAdminConcatenada!$B:$B, 0)), ISNUMBER(SEARCH($A84,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ISNUMBER(SEARCH($A84, INDEX(AsistenciaJetAdminConcatenada!$D:$D, MATCH(1, (AsistenciaJetAdminConcatenada!$A:$A=EN$2)*(AsistenciaJetAdminConcatenada!$B:$B=EN$1), 0)), 1))),  0.5, 0))</f>
        <v>0</v>
      </c>
      <c r="EO84" s="47">
        <f t="array" ref="EO84">IF(AND(ISNUMBER(MATCH(EO$2, AsistenciaJetAdminConcatenada!$A:$A, 0)), ISNUMBER(MATCH(EO$1, AsistenciaJetAdminConcatenada!$B:$B, 0)), ISNUMBER(SEARCH($A84,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ISNUMBER(SEARCH($A84, INDEX(AsistenciaJetAdminConcatenada!$D:$D, MATCH(1, (AsistenciaJetAdminConcatenada!$A:$A=EO$2)*(AsistenciaJetAdminConcatenada!$B:$B=EO$1), 0)), 1))),  0.5, 0))</f>
        <v>0</v>
      </c>
      <c r="EP84" s="47">
        <f t="array" ref="EP84">IF(AND(ISNUMBER(MATCH(EP$2, AsistenciaJetAdminConcatenada!$A:$A, 0)), ISNUMBER(MATCH(EP$1, AsistenciaJetAdminConcatenada!$B:$B, 0)), ISNUMBER(SEARCH($A84,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ISNUMBER(SEARCH($A84, INDEX(AsistenciaJetAdminConcatenada!$D:$D, MATCH(1, (AsistenciaJetAdminConcatenada!$A:$A=EP$2)*(AsistenciaJetAdminConcatenada!$B:$B=EP$1), 0)), 1))),  0.5, 0))</f>
        <v>0</v>
      </c>
      <c r="EQ84" s="47">
        <f t="array" ref="EQ84">IF(AND(ISNUMBER(MATCH(EQ$2, AsistenciaJetAdminConcatenada!$A:$A, 0)), ISNUMBER(MATCH(EQ$1, AsistenciaJetAdminConcatenada!$B:$B, 0)), ISNUMBER(SEARCH($A84,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ISNUMBER(SEARCH($A84, INDEX(AsistenciaJetAdminConcatenada!$D:$D, MATCH(1, (AsistenciaJetAdminConcatenada!$A:$A=EQ$2)*(AsistenciaJetAdminConcatenada!$B:$B=EQ$1), 0)), 1))),  0.5, 0))</f>
        <v>0</v>
      </c>
      <c r="ER84" s="47">
        <f t="array" ref="ER84">IF(AND(ISNUMBER(MATCH(ER$2, AsistenciaJetAdminConcatenada!$A:$A, 0)), ISNUMBER(MATCH(ER$1, AsistenciaJetAdminConcatenada!$B:$B, 0)), ISNUMBER(SEARCH($A84,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ISNUMBER(SEARCH($A84, INDEX(AsistenciaJetAdminConcatenada!$D:$D, MATCH(1, (AsistenciaJetAdminConcatenada!$A:$A=ER$2)*(AsistenciaJetAdminConcatenada!$B:$B=ER$1), 0)), 1))),  0.5, 0))</f>
        <v>0</v>
      </c>
      <c r="ES84" s="47">
        <f t="array" ref="ES84">IF(AND(ISNUMBER(MATCH(ES$2, AsistenciaJetAdminConcatenada!$A:$A, 0)), ISNUMBER(MATCH(ES$1, AsistenciaJetAdminConcatenada!$B:$B, 0)), ISNUMBER(SEARCH($A84,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ISNUMBER(SEARCH($A84, INDEX(AsistenciaJetAdminConcatenada!$D:$D, MATCH(1, (AsistenciaJetAdminConcatenada!$A:$A=ES$2)*(AsistenciaJetAdminConcatenada!$B:$B=ES$1), 0)), 1))),  0.5, 0))</f>
        <v>0</v>
      </c>
      <c r="ET84" s="47">
        <f t="array" ref="ET84">IF(AND(ISNUMBER(MATCH(ET$2, AsistenciaJetAdminConcatenada!$A:$A, 0)), ISNUMBER(MATCH(ET$1, AsistenciaJetAdminConcatenada!$B:$B, 0)), ISNUMBER(SEARCH($A84,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ISNUMBER(SEARCH($A84, INDEX(AsistenciaJetAdminConcatenada!$D:$D, MATCH(1, (AsistenciaJetAdminConcatenada!$A:$A=ET$2)*(AsistenciaJetAdminConcatenada!$B:$B=ET$1), 0)), 1))),  0.5, 0))</f>
        <v>0</v>
      </c>
      <c r="EU84" s="47">
        <f t="array" ref="EU84">IF(AND(ISNUMBER(MATCH(EU$2, AsistenciaJetAdminConcatenada!$A:$A, 0)), ISNUMBER(MATCH(EU$1, AsistenciaJetAdminConcatenada!$B:$B, 0)), ISNUMBER(SEARCH($A84,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ISNUMBER(SEARCH($A84, INDEX(AsistenciaJetAdminConcatenada!$D:$D, MATCH(1, (AsistenciaJetAdminConcatenada!$A:$A=EU$2)*(AsistenciaJetAdminConcatenada!$B:$B=EU$1), 0)), 1))),  0.5, 0))</f>
        <v>0</v>
      </c>
      <c r="EV84" s="47">
        <f t="array" ref="EV84">IF(AND(ISNUMBER(MATCH(EV$2, AsistenciaJetAdminConcatenada!$A:$A, 0)), ISNUMBER(MATCH(EV$1, AsistenciaJetAdminConcatenada!$B:$B, 0)), ISNUMBER(SEARCH($A84,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ISNUMBER(SEARCH($A84, INDEX(AsistenciaJetAdminConcatenada!$D:$D, MATCH(1, (AsistenciaJetAdminConcatenada!$A:$A=EV$2)*(AsistenciaJetAdminConcatenada!$B:$B=EV$1), 0)), 1))),  0.5, 0))</f>
        <v>0</v>
      </c>
      <c r="EW84" s="47">
        <f t="array" ref="EW84">IF(AND(ISNUMBER(MATCH(EW$2, AsistenciaJetAdminConcatenada!$A:$A, 0)), ISNUMBER(MATCH(EW$1, AsistenciaJetAdminConcatenada!$B:$B, 0)), ISNUMBER(SEARCH($A84,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ISNUMBER(SEARCH($A84, INDEX(AsistenciaJetAdminConcatenada!$D:$D, MATCH(1, (AsistenciaJetAdminConcatenada!$A:$A=EW$2)*(AsistenciaJetAdminConcatenada!$B:$B=EW$1), 0)), 1))),  0.5, 0))</f>
        <v>0</v>
      </c>
      <c r="EX84" s="47">
        <f t="array" ref="EX84">IF(AND(ISNUMBER(MATCH(EX$2, AsistenciaJetAdminConcatenada!$A:$A, 0)), ISNUMBER(MATCH(EX$1, AsistenciaJetAdminConcatenada!$B:$B, 0)), ISNUMBER(SEARCH($A84,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ISNUMBER(SEARCH($A84, INDEX(AsistenciaJetAdminConcatenada!$D:$D, MATCH(1, (AsistenciaJetAdminConcatenada!$A:$A=EX$2)*(AsistenciaJetAdminConcatenada!$B:$B=EX$1), 0)), 1))),  0.5, 0))</f>
        <v>0</v>
      </c>
      <c r="EY84" s="47">
        <f t="array" ref="EY84">IF(AND(ISNUMBER(MATCH(EY$2, AsistenciaJetAdminConcatenada!$A:$A, 0)), ISNUMBER(MATCH(EY$1, AsistenciaJetAdminConcatenada!$B:$B, 0)), ISNUMBER(SEARCH($A84,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ISNUMBER(SEARCH($A84, INDEX(AsistenciaJetAdminConcatenada!$D:$D, MATCH(1, (AsistenciaJetAdminConcatenada!$A:$A=EY$2)*(AsistenciaJetAdminConcatenada!$B:$B=EY$1), 0)), 1))),  0.5, 0))</f>
        <v>0</v>
      </c>
      <c r="EZ84" s="47">
        <f t="array" ref="EZ84">IF(AND(ISNUMBER(MATCH(EZ$2, AsistenciaJetAdminConcatenada!$A:$A, 0)), ISNUMBER(MATCH(EZ$1, AsistenciaJetAdminConcatenada!$B:$B, 0)), ISNUMBER(SEARCH($A84,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ISNUMBER(SEARCH($A84, INDEX(AsistenciaJetAdminConcatenada!$D:$D, MATCH(1, (AsistenciaJetAdminConcatenada!$A:$A=EZ$2)*(AsistenciaJetAdminConcatenada!$B:$B=EZ$1), 0)), 1))),  0.5, 0))</f>
        <v>0</v>
      </c>
      <c r="FA84" s="47">
        <f t="array" ref="FA84">IF(AND(ISNUMBER(MATCH(FA$2, AsistenciaJetAdminConcatenada!$A:$A, 0)), ISNUMBER(MATCH(FA$1, AsistenciaJetAdminConcatenada!$B:$B, 0)), ISNUMBER(SEARCH($A84,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ISNUMBER(SEARCH($A84, INDEX(AsistenciaJetAdminConcatenada!$D:$D, MATCH(1, (AsistenciaJetAdminConcatenada!$A:$A=FA$2)*(AsistenciaJetAdminConcatenada!$B:$B=FA$1), 0)), 1))),  0.5, 0))</f>
        <v>0</v>
      </c>
      <c r="FB84" s="47">
        <f t="array" ref="FB84">IF(AND(ISNUMBER(MATCH(FB$2, AsistenciaJetAdminConcatenada!$A:$A, 0)), ISNUMBER(MATCH(FB$1, AsistenciaJetAdminConcatenada!$B:$B, 0)), ISNUMBER(SEARCH($A84,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ISNUMBER(SEARCH($A84, INDEX(AsistenciaJetAdminConcatenada!$D:$D, MATCH(1, (AsistenciaJetAdminConcatenada!$A:$A=FB$2)*(AsistenciaJetAdminConcatenada!$B:$B=FB$1), 0)), 1))),  0.5, 0))</f>
        <v>0</v>
      </c>
      <c r="FC84" s="47">
        <f t="array" ref="FC84">IF(AND(ISNUMBER(MATCH(FC$2, AsistenciaJetAdminConcatenada!$A:$A, 0)), ISNUMBER(MATCH(FC$1, AsistenciaJetAdminConcatenada!$B:$B, 0)), ISNUMBER(SEARCH($A84,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ISNUMBER(SEARCH($A84, INDEX(AsistenciaJetAdminConcatenada!$D:$D, MATCH(1, (AsistenciaJetAdminConcatenada!$A:$A=FC$2)*(AsistenciaJetAdminConcatenada!$B:$B=FC$1), 0)), 1))),  0.5, 0))</f>
        <v>0</v>
      </c>
      <c r="FD84" s="47">
        <f t="array" ref="FD84">IF(AND(ISNUMBER(MATCH(FD$2, AsistenciaJetAdminConcatenada!$A:$A, 0)), ISNUMBER(MATCH(FD$1, AsistenciaJetAdminConcatenada!$B:$B, 0)), ISNUMBER(SEARCH($A84,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ISNUMBER(SEARCH($A84, INDEX(AsistenciaJetAdminConcatenada!$D:$D, MATCH(1, (AsistenciaJetAdminConcatenada!$A:$A=FD$2)*(AsistenciaJetAdminConcatenada!$B:$B=FD$1), 0)), 1))),  0.5, 0))</f>
        <v>0</v>
      </c>
      <c r="FE84" s="47">
        <f t="array" ref="FE84">IF(AND(ISNUMBER(MATCH(FE$2, AsistenciaJetAdminConcatenada!$A:$A, 0)), ISNUMBER(MATCH(FE$1, AsistenciaJetAdminConcatenada!$B:$B, 0)), ISNUMBER(SEARCH($A84,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ISNUMBER(SEARCH($A84, INDEX(AsistenciaJetAdminConcatenada!$D:$D, MATCH(1, (AsistenciaJetAdminConcatenada!$A:$A=FE$2)*(AsistenciaJetAdminConcatenada!$B:$B=FE$1), 0)), 1))),  0.5, 0))</f>
        <v>0</v>
      </c>
      <c r="FF84" s="47">
        <f t="array" ref="FF84">IF(AND(ISNUMBER(MATCH(FF$2, AsistenciaJetAdminConcatenada!$A:$A, 0)), ISNUMBER(MATCH(FF$1, AsistenciaJetAdminConcatenada!$B:$B, 0)), ISNUMBER(SEARCH($A84,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ISNUMBER(SEARCH($A84, INDEX(AsistenciaJetAdminConcatenada!$D:$D, MATCH(1, (AsistenciaJetAdminConcatenada!$A:$A=FF$2)*(AsistenciaJetAdminConcatenada!$B:$B=FF$1), 0)), 1))),  0.5, 0))</f>
        <v>0</v>
      </c>
      <c r="FG84" s="47">
        <f t="array" ref="FG84">IF(AND(ISNUMBER(MATCH(FG$2, AsistenciaJetAdminConcatenada!$A:$A, 0)), ISNUMBER(MATCH(FG$1, AsistenciaJetAdminConcatenada!$B:$B, 0)), ISNUMBER(SEARCH($A84,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ISNUMBER(SEARCH($A84, INDEX(AsistenciaJetAdminConcatenada!$D:$D, MATCH(1, (AsistenciaJetAdminConcatenada!$A:$A=FG$2)*(AsistenciaJetAdminConcatenada!$B:$B=FG$1), 0)), 1))),  0.5, 0))</f>
        <v>0</v>
      </c>
      <c r="FH84" s="47">
        <f t="array" ref="FH84">IF(AND(ISNUMBER(MATCH(FH$2, AsistenciaJetAdminConcatenada!$A:$A, 0)), ISNUMBER(MATCH(FH$1, AsistenciaJetAdminConcatenada!$B:$B, 0)), ISNUMBER(SEARCH($A84,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ISNUMBER(SEARCH($A84, INDEX(AsistenciaJetAdminConcatenada!$D:$D, MATCH(1, (AsistenciaJetAdminConcatenada!$A:$A=FH$2)*(AsistenciaJetAdminConcatenada!$B:$B=FH$1), 0)), 1))),  0.5, 0))</f>
        <v>0</v>
      </c>
      <c r="FI84" s="47">
        <f t="array" ref="FI84">IF(AND(ISNUMBER(MATCH(FI$2, AsistenciaJetAdminConcatenada!$A:$A, 0)), ISNUMBER(MATCH(FI$1, AsistenciaJetAdminConcatenada!$B:$B, 0)), ISNUMBER(SEARCH($A84,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ISNUMBER(SEARCH($A84, INDEX(AsistenciaJetAdminConcatenada!$D:$D, MATCH(1, (AsistenciaJetAdminConcatenada!$A:$A=FI$2)*(AsistenciaJetAdminConcatenada!$B:$B=FI$1), 0)), 1))),  0.5, 0))</f>
        <v>0</v>
      </c>
      <c r="FJ84" s="47">
        <f t="array" ref="FJ84">IF(AND(ISNUMBER(MATCH(FJ$2, AsistenciaJetAdminConcatenada!$A:$A, 0)), ISNUMBER(MATCH(FJ$1, AsistenciaJetAdminConcatenada!$B:$B, 0)), ISNUMBER(SEARCH($A84,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ISNUMBER(SEARCH($A84, INDEX(AsistenciaJetAdminConcatenada!$D:$D, MATCH(1, (AsistenciaJetAdminConcatenada!$A:$A=FJ$2)*(AsistenciaJetAdminConcatenada!$B:$B=FJ$1), 0)), 1))),  0.5, 0))</f>
        <v>0</v>
      </c>
      <c r="FK84" s="47">
        <f t="array" ref="FK84">IF(AND(ISNUMBER(MATCH(FK$2, AsistenciaJetAdminConcatenada!$A:$A, 0)), ISNUMBER(MATCH(FK$1, AsistenciaJetAdminConcatenada!$B:$B, 0)), ISNUMBER(SEARCH($A84,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ISNUMBER(SEARCH($A84, INDEX(AsistenciaJetAdminConcatenada!$D:$D, MATCH(1, (AsistenciaJetAdminConcatenada!$A:$A=FK$2)*(AsistenciaJetAdminConcatenada!$B:$B=FK$1), 0)), 1))),  0.5, 0))</f>
        <v>0</v>
      </c>
      <c r="FL84" s="47">
        <f t="array" ref="FL84">IF(AND(ISNUMBER(MATCH(FL$2, AsistenciaJetAdminConcatenada!$A:$A, 0)), ISNUMBER(MATCH(FL$1, AsistenciaJetAdminConcatenada!$B:$B, 0)), ISNUMBER(SEARCH($A84,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ISNUMBER(SEARCH($A84, INDEX(AsistenciaJetAdminConcatenada!$D:$D, MATCH(1, (AsistenciaJetAdminConcatenada!$A:$A=FL$2)*(AsistenciaJetAdminConcatenada!$B:$B=FL$1), 0)), 1))),  0.5, 0))</f>
        <v>0</v>
      </c>
      <c r="FM84" s="47">
        <f t="array" ref="FM84">IF(AND(ISNUMBER(MATCH(FM$2, AsistenciaJetAdminConcatenada!$A:$A, 0)), ISNUMBER(MATCH(FM$1, AsistenciaJetAdminConcatenada!$B:$B, 0)), ISNUMBER(SEARCH($A84,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ISNUMBER(SEARCH($A84, INDEX(AsistenciaJetAdminConcatenada!$D:$D, MATCH(1, (AsistenciaJetAdminConcatenada!$A:$A=FM$2)*(AsistenciaJetAdminConcatenada!$B:$B=FM$1), 0)), 1))),  0.5, 0))</f>
        <v>0</v>
      </c>
      <c r="FN84" s="47">
        <f t="array" ref="FN84">IF(AND(ISNUMBER(MATCH(FN$2, AsistenciaJetAdminConcatenada!$A:$A, 0)), ISNUMBER(MATCH(FN$1, AsistenciaJetAdminConcatenada!$B:$B, 0)), ISNUMBER(SEARCH($A84,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ISNUMBER(SEARCH($A84, INDEX(AsistenciaJetAdminConcatenada!$D:$D, MATCH(1, (AsistenciaJetAdminConcatenada!$A:$A=FN$2)*(AsistenciaJetAdminConcatenada!$B:$B=FN$1), 0)), 1))),  0.5, 0))</f>
        <v>0</v>
      </c>
      <c r="FO84" s="47">
        <f t="array" ref="FO84">IF(AND(ISNUMBER(MATCH(FO$2, AsistenciaJetAdminConcatenada!$A:$A, 0)), ISNUMBER(MATCH(FO$1, AsistenciaJetAdminConcatenada!$B:$B, 0)), ISNUMBER(SEARCH($A84,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ISNUMBER(SEARCH($A84, INDEX(AsistenciaJetAdminConcatenada!$D:$D, MATCH(1, (AsistenciaJetAdminConcatenada!$A:$A=FO$2)*(AsistenciaJetAdminConcatenada!$B:$B=FO$1), 0)), 1))),  0.5, 0))</f>
        <v>0</v>
      </c>
      <c r="FP84" s="47">
        <f t="array" ref="FP84">IF(AND(ISNUMBER(MATCH(FP$2, AsistenciaJetAdminConcatenada!$A:$A, 0)), ISNUMBER(MATCH(FP$1, AsistenciaJetAdminConcatenada!$B:$B, 0)), ISNUMBER(SEARCH($A84,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ISNUMBER(SEARCH($A84, INDEX(AsistenciaJetAdminConcatenada!$D:$D, MATCH(1, (AsistenciaJetAdminConcatenada!$A:$A=FP$2)*(AsistenciaJetAdminConcatenada!$B:$B=FP$1), 0)), 1))),  0.5, 0))</f>
        <v>0</v>
      </c>
      <c r="FQ84" s="47">
        <f t="array" ref="FQ84">IF(AND(ISNUMBER(MATCH(FQ$2, AsistenciaJetAdminConcatenada!$A:$A, 0)), ISNUMBER(MATCH(FQ$1, AsistenciaJetAdminConcatenada!$B:$B, 0)), ISNUMBER(SEARCH($A84,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ISNUMBER(SEARCH($A84, INDEX(AsistenciaJetAdminConcatenada!$D:$D, MATCH(1, (AsistenciaJetAdminConcatenada!$A:$A=FQ$2)*(AsistenciaJetAdminConcatenada!$B:$B=FQ$1), 0)), 1))),  0.5, 0))</f>
        <v>0</v>
      </c>
      <c r="FR84" s="47">
        <f t="array" ref="FR84">IF(AND(ISNUMBER(MATCH(FR$2, AsistenciaJetAdminConcatenada!$A:$A, 0)), ISNUMBER(MATCH(FR$1, AsistenciaJetAdminConcatenada!$B:$B, 0)), ISNUMBER(SEARCH($A84,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ISNUMBER(SEARCH($A84, INDEX(AsistenciaJetAdminConcatenada!$D:$D, MATCH(1, (AsistenciaJetAdminConcatenada!$A:$A=FR$2)*(AsistenciaJetAdminConcatenada!$B:$B=FR$1), 0)), 1))),  0.5, 0))</f>
        <v>0</v>
      </c>
      <c r="FS84" s="47">
        <f t="array" ref="FS84">IF(AND(ISNUMBER(MATCH(FS$2, AsistenciaJetAdminConcatenada!$A:$A, 0)), ISNUMBER(MATCH(FS$1, AsistenciaJetAdminConcatenada!$B:$B, 0)), ISNUMBER(SEARCH($A84,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ISNUMBER(SEARCH($A84, INDEX(AsistenciaJetAdminConcatenada!$D:$D, MATCH(1, (AsistenciaJetAdminConcatenada!$A:$A=FS$2)*(AsistenciaJetAdminConcatenada!$B:$B=FS$1), 0)), 1))),  0.5, 0))</f>
        <v>0</v>
      </c>
      <c r="FT84" s="47">
        <f t="array" ref="FT84">IF(AND(ISNUMBER(MATCH(FT$2, AsistenciaJetAdminConcatenada!$A:$A, 0)), ISNUMBER(MATCH(FT$1, AsistenciaJetAdminConcatenada!$B:$B, 0)), ISNUMBER(SEARCH($A84,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ISNUMBER(SEARCH($A84, INDEX(AsistenciaJetAdminConcatenada!$D:$D, MATCH(1, (AsistenciaJetAdminConcatenada!$A:$A=FT$2)*(AsistenciaJetAdminConcatenada!$B:$B=FT$1), 0)), 1))),  0.5, 0))</f>
        <v>0</v>
      </c>
      <c r="FU84" s="47">
        <f t="array" ref="FU84">IF(AND(ISNUMBER(MATCH(FU$2, AsistenciaJetAdminConcatenada!$A:$A, 0)), ISNUMBER(MATCH(FU$1, AsistenciaJetAdminConcatenada!$B:$B, 0)), ISNUMBER(SEARCH($A84,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ISNUMBER(SEARCH($A84, INDEX(AsistenciaJetAdminConcatenada!$D:$D, MATCH(1, (AsistenciaJetAdminConcatenada!$A:$A=FU$2)*(AsistenciaJetAdminConcatenada!$B:$B=FU$1), 0)), 1))),  0.5, 0))</f>
        <v>0</v>
      </c>
      <c r="FV84" s="47">
        <f t="array" ref="FV84">IF(AND(ISNUMBER(MATCH(FV$2, AsistenciaJetAdminConcatenada!$A:$A, 0)), ISNUMBER(MATCH(FV$1, AsistenciaJetAdminConcatenada!$B:$B, 0)), ISNUMBER(SEARCH($A84,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ISNUMBER(SEARCH($A84, INDEX(AsistenciaJetAdminConcatenada!$D:$D, MATCH(1, (AsistenciaJetAdminConcatenada!$A:$A=FV$2)*(AsistenciaJetAdminConcatenada!$B:$B=FV$1), 0)), 1))),  0.5, 0))</f>
        <v>0</v>
      </c>
      <c r="FW84" s="47">
        <f t="array" ref="FW84">IF(AND(ISNUMBER(MATCH(FW$2, AsistenciaJetAdminConcatenada!$A:$A, 0)), ISNUMBER(MATCH(FW$1, AsistenciaJetAdminConcatenada!$B:$B, 0)), ISNUMBER(SEARCH($A84,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ISNUMBER(SEARCH($A84, INDEX(AsistenciaJetAdminConcatenada!$D:$D, MATCH(1, (AsistenciaJetAdminConcatenada!$A:$A=FW$2)*(AsistenciaJetAdminConcatenada!$B:$B=FW$1), 0)), 1))),  0.5, 0))</f>
        <v>0</v>
      </c>
      <c r="FX84" s="47">
        <f t="array" ref="FX84">IF(AND(ISNUMBER(MATCH(FX$2, AsistenciaJetAdminConcatenada!$A:$A, 0)), ISNUMBER(MATCH(FX$1, AsistenciaJetAdminConcatenada!$B:$B, 0)), ISNUMBER(SEARCH($A84,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ISNUMBER(SEARCH($A84, INDEX(AsistenciaJetAdminConcatenada!$D:$D, MATCH(1, (AsistenciaJetAdminConcatenada!$A:$A=FX$2)*(AsistenciaJetAdminConcatenada!$B:$B=FX$1), 0)), 1))),  0.5, 0))</f>
        <v>0</v>
      </c>
      <c r="FY84" s="47">
        <f t="array" ref="FY84">IF(AND(ISNUMBER(MATCH(FY$2, AsistenciaJetAdminConcatenada!$A:$A, 0)), ISNUMBER(MATCH(FY$1, AsistenciaJetAdminConcatenada!$B:$B, 0)), ISNUMBER(SEARCH($A84,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ISNUMBER(SEARCH($A84, INDEX(AsistenciaJetAdminConcatenada!$D:$D, MATCH(1, (AsistenciaJetAdminConcatenada!$A:$A=FY$2)*(AsistenciaJetAdminConcatenada!$B:$B=FY$1), 0)), 1))),  0.5, 0))</f>
        <v>0</v>
      </c>
      <c r="FZ84" s="47">
        <f t="array" ref="FZ84">IF(AND(ISNUMBER(MATCH(FZ$2, AsistenciaJetAdminConcatenada!$A:$A, 0)), ISNUMBER(MATCH(FZ$1, AsistenciaJetAdminConcatenada!$B:$B, 0)), ISNUMBER(SEARCH($A84,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ISNUMBER(SEARCH($A84, INDEX(AsistenciaJetAdminConcatenada!$D:$D, MATCH(1, (AsistenciaJetAdminConcatenada!$A:$A=FZ$2)*(AsistenciaJetAdminConcatenada!$B:$B=FZ$1), 0)), 1))),  0.5, 0))</f>
        <v>0</v>
      </c>
      <c r="GA84" s="47">
        <f t="array" ref="GA84">IF(AND(ISNUMBER(MATCH(GA$2, AsistenciaJetAdminConcatenada!$A:$A, 0)), ISNUMBER(MATCH(GA$1, AsistenciaJetAdminConcatenada!$B:$B, 0)), ISNUMBER(SEARCH($A84,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ISNUMBER(SEARCH($A84, INDEX(AsistenciaJetAdminConcatenada!$D:$D, MATCH(1, (AsistenciaJetAdminConcatenada!$A:$A=GA$2)*(AsistenciaJetAdminConcatenada!$B:$B=GA$1), 0)), 1))),  0.5, 0))</f>
        <v>0</v>
      </c>
      <c r="GB84" s="47">
        <f t="array" ref="GB84">IF(AND(ISNUMBER(MATCH(GB$2, AsistenciaJetAdminConcatenada!$A:$A, 0)), ISNUMBER(MATCH(GB$1, AsistenciaJetAdminConcatenada!$B:$B, 0)), ISNUMBER(SEARCH($A84,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ISNUMBER(SEARCH($A84, INDEX(AsistenciaJetAdminConcatenada!$D:$D, MATCH(1, (AsistenciaJetAdminConcatenada!$A:$A=GB$2)*(AsistenciaJetAdminConcatenada!$B:$B=GB$1), 0)), 1))),  0.5, 0))</f>
        <v>0</v>
      </c>
      <c r="GC84" s="47">
        <f t="array" ref="GC84">IF(AND(ISNUMBER(MATCH(GC$2, AsistenciaJetAdminConcatenada!$A:$A, 0)), ISNUMBER(MATCH(GC$1, AsistenciaJetAdminConcatenada!$B:$B, 0)), ISNUMBER(SEARCH($A84,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ISNUMBER(SEARCH($A84, INDEX(AsistenciaJetAdminConcatenada!$D:$D, MATCH(1, (AsistenciaJetAdminConcatenada!$A:$A=GC$2)*(AsistenciaJetAdminConcatenada!$B:$B=GC$1), 0)), 1))),  0.5, 0))</f>
        <v>0</v>
      </c>
      <c r="GD84" s="47">
        <f t="array" ref="GD84">IF(AND(ISNUMBER(MATCH(GD$2, AsistenciaJetAdminConcatenada!$A:$A, 0)), ISNUMBER(MATCH(GD$1, AsistenciaJetAdminConcatenada!$B:$B, 0)), ISNUMBER(SEARCH($A84,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ISNUMBER(SEARCH($A84, INDEX(AsistenciaJetAdminConcatenada!$D:$D, MATCH(1, (AsistenciaJetAdminConcatenada!$A:$A=GD$2)*(AsistenciaJetAdminConcatenada!$B:$B=GD$1), 0)), 1))),  0.5, 0))</f>
        <v>0</v>
      </c>
      <c r="GE84" s="47">
        <f t="array" ref="GE84">IF(AND(ISNUMBER(MATCH(GE$2, AsistenciaJetAdminConcatenada!$A:$A, 0)), ISNUMBER(MATCH(GE$1, AsistenciaJetAdminConcatenada!$B:$B, 0)), ISNUMBER(SEARCH($A84,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ISNUMBER(SEARCH($A84, INDEX(AsistenciaJetAdminConcatenada!$D:$D, MATCH(1, (AsistenciaJetAdminConcatenada!$A:$A=GE$2)*(AsistenciaJetAdminConcatenada!$B:$B=GE$1), 0)), 1))),  0.5, 0))</f>
        <v>0</v>
      </c>
      <c r="GF84" s="47">
        <f t="array" ref="GF84">IF(AND(ISNUMBER(MATCH(GF$2, AsistenciaJetAdminConcatenada!$A:$A, 0)), ISNUMBER(MATCH(GF$1, AsistenciaJetAdminConcatenada!$B:$B, 0)), ISNUMBER(SEARCH($A84,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ISNUMBER(SEARCH($A84, INDEX(AsistenciaJetAdminConcatenada!$D:$D, MATCH(1, (AsistenciaJetAdminConcatenada!$A:$A=GF$2)*(AsistenciaJetAdminConcatenada!$B:$B=GF$1), 0)), 1))),  0.5, 0))</f>
        <v>0</v>
      </c>
      <c r="GG84" s="47">
        <f t="array" ref="GG84">IF(AND(ISNUMBER(MATCH(GG$2, AsistenciaJetAdminConcatenada!$A:$A, 0)), ISNUMBER(MATCH(GG$1, AsistenciaJetAdminConcatenada!$B:$B, 0)), ISNUMBER(SEARCH($A84,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ISNUMBER(SEARCH($A84, INDEX(AsistenciaJetAdminConcatenada!$D:$D, MATCH(1, (AsistenciaJetAdminConcatenada!$A:$A=GG$2)*(AsistenciaJetAdminConcatenada!$B:$B=GG$1), 0)), 1))),  0.5, 0))</f>
        <v>0</v>
      </c>
      <c r="GH84" s="47">
        <f t="array" ref="GH84">IF(AND(ISNUMBER(MATCH(GH$2, AsistenciaJetAdminConcatenada!$A:$A, 0)), ISNUMBER(MATCH(GH$1, AsistenciaJetAdminConcatenada!$B:$B, 0)), ISNUMBER(SEARCH($A84,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ISNUMBER(SEARCH($A84, INDEX(AsistenciaJetAdminConcatenada!$D:$D, MATCH(1, (AsistenciaJetAdminConcatenada!$A:$A=GH$2)*(AsistenciaJetAdminConcatenada!$B:$B=GH$1), 0)), 1))),  0.5, 0))</f>
        <v>0</v>
      </c>
      <c r="GI84" s="47">
        <f t="array" ref="GI84">IF(AND(ISNUMBER(MATCH(GI$2, AsistenciaJetAdminConcatenada!$A:$A, 0)), ISNUMBER(MATCH(GI$1, AsistenciaJetAdminConcatenada!$B:$B, 0)), ISNUMBER(SEARCH($A84,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ISNUMBER(SEARCH($A84, INDEX(AsistenciaJetAdminConcatenada!$D:$D, MATCH(1, (AsistenciaJetAdminConcatenada!$A:$A=GI$2)*(AsistenciaJetAdminConcatenada!$B:$B=GI$1), 0)), 1))),  0.5, 0))</f>
        <v>0</v>
      </c>
      <c r="GJ84" s="47">
        <f t="array" ref="GJ84">IF(AND(ISNUMBER(MATCH(GJ$2, AsistenciaJetAdminConcatenada!$A:$A, 0)), ISNUMBER(MATCH(GJ$1, AsistenciaJetAdminConcatenada!$B:$B, 0)), ISNUMBER(SEARCH($A84,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ISNUMBER(SEARCH($A84, INDEX(AsistenciaJetAdminConcatenada!$D:$D, MATCH(1, (AsistenciaJetAdminConcatenada!$A:$A=GJ$2)*(AsistenciaJetAdminConcatenada!$B:$B=GJ$1), 0)), 1))),  0.5, 0))</f>
        <v>0</v>
      </c>
      <c r="GK84" s="47">
        <f t="array" ref="GK84">IF(AND(ISNUMBER(MATCH(GK$2, AsistenciaJetAdminConcatenada!$A:$A, 0)), ISNUMBER(MATCH(GK$1, AsistenciaJetAdminConcatenada!$B:$B, 0)), ISNUMBER(SEARCH($A84,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ISNUMBER(SEARCH($A84, INDEX(AsistenciaJetAdminConcatenada!$D:$D, MATCH(1, (AsistenciaJetAdminConcatenada!$A:$A=GK$2)*(AsistenciaJetAdminConcatenada!$B:$B=GK$1), 0)), 1))),  0.5, 0))</f>
        <v>0</v>
      </c>
      <c r="GL84" s="47">
        <f t="array" ref="GL84">IF(AND(ISNUMBER(MATCH(GL$2, AsistenciaJetAdminConcatenada!$A:$A, 0)), ISNUMBER(MATCH(GL$1, AsistenciaJetAdminConcatenada!$B:$B, 0)), ISNUMBER(SEARCH($A84,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ISNUMBER(SEARCH($A84, INDEX(AsistenciaJetAdminConcatenada!$D:$D, MATCH(1, (AsistenciaJetAdminConcatenada!$A:$A=GL$2)*(AsistenciaJetAdminConcatenada!$B:$B=GL$1), 0)), 1))),  0.5, 0))</f>
        <v>0</v>
      </c>
      <c r="GM84" s="47">
        <f t="array" ref="GM84">IF(AND(ISNUMBER(MATCH(GM$2, AsistenciaJetAdminConcatenada!$A:$A, 0)), ISNUMBER(MATCH(GM$1, AsistenciaJetAdminConcatenada!$B:$B, 0)), ISNUMBER(SEARCH($A84,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ISNUMBER(SEARCH($A84, INDEX(AsistenciaJetAdminConcatenada!$D:$D, MATCH(1, (AsistenciaJetAdminConcatenada!$A:$A=GM$2)*(AsistenciaJetAdminConcatenada!$B:$B=GM$1), 0)), 1))),  0.5, 0))</f>
        <v>0</v>
      </c>
      <c r="GN84" s="47">
        <f t="array" ref="GN84">IF(AND(ISNUMBER(MATCH(GN$2, AsistenciaJetAdminConcatenada!$A:$A, 0)), ISNUMBER(MATCH(GN$1, AsistenciaJetAdminConcatenada!$B:$B, 0)), ISNUMBER(SEARCH($A84,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ISNUMBER(SEARCH($A84, INDEX(AsistenciaJetAdminConcatenada!$D:$D, MATCH(1, (AsistenciaJetAdminConcatenada!$A:$A=GN$2)*(AsistenciaJetAdminConcatenada!$B:$B=GN$1), 0)), 1))),  0.5, 0))</f>
        <v>0</v>
      </c>
      <c r="GO84" s="47">
        <f t="array" ref="GO84">IF(AND(ISNUMBER(MATCH(GO$2, AsistenciaJetAdminConcatenada!$A:$A, 0)), ISNUMBER(MATCH(GO$1, AsistenciaJetAdminConcatenada!$B:$B, 0)), ISNUMBER(SEARCH($A84,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ISNUMBER(SEARCH($A84, INDEX(AsistenciaJetAdminConcatenada!$D:$D, MATCH(1, (AsistenciaJetAdminConcatenada!$A:$A=GO$2)*(AsistenciaJetAdminConcatenada!$B:$B=GO$1), 0)), 1))),  0.5, 0))</f>
        <v>0</v>
      </c>
      <c r="GP84" s="47">
        <f t="array" ref="GP84">IF(AND(ISNUMBER(MATCH(GP$2, AsistenciaJetAdminConcatenada!$A:$A, 0)), ISNUMBER(MATCH(GP$1, AsistenciaJetAdminConcatenada!$B:$B, 0)), ISNUMBER(SEARCH($A84,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ISNUMBER(SEARCH($A84, INDEX(AsistenciaJetAdminConcatenada!$D:$D, MATCH(1, (AsistenciaJetAdminConcatenada!$A:$A=GP$2)*(AsistenciaJetAdminConcatenada!$B:$B=GP$1), 0)), 1))),  0.5, 0))</f>
        <v>0</v>
      </c>
      <c r="GQ84" s="47">
        <f t="array" ref="GQ84">IF(AND(ISNUMBER(MATCH(GQ$2, AsistenciaJetAdminConcatenada!$A:$A, 0)), ISNUMBER(MATCH(GQ$1, AsistenciaJetAdminConcatenada!$B:$B, 0)), ISNUMBER(SEARCH($A84,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ISNUMBER(SEARCH($A84, INDEX(AsistenciaJetAdminConcatenada!$D:$D, MATCH(1, (AsistenciaJetAdminConcatenada!$A:$A=GQ$2)*(AsistenciaJetAdminConcatenada!$B:$B=GQ$1), 0)), 1))),  0.5, 0))</f>
        <v>0</v>
      </c>
      <c r="GR84" s="47">
        <f t="array" ref="GR84">IF(AND(ISNUMBER(MATCH(GR$2, AsistenciaJetAdminConcatenada!$A:$A, 0)), ISNUMBER(MATCH(GR$1, AsistenciaJetAdminConcatenada!$B:$B, 0)), ISNUMBER(SEARCH($A84,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ISNUMBER(SEARCH($A84, INDEX(AsistenciaJetAdminConcatenada!$D:$D, MATCH(1, (AsistenciaJetAdminConcatenada!$A:$A=GR$2)*(AsistenciaJetAdminConcatenada!$B:$B=GR$1), 0)), 1))),  0.5, 0))</f>
        <v>0</v>
      </c>
      <c r="GS84" s="47">
        <f t="array" ref="GS84">IF(AND(ISNUMBER(MATCH(GS$2, AsistenciaJetAdminConcatenada!$A:$A, 0)), ISNUMBER(MATCH(GS$1, AsistenciaJetAdminConcatenada!$B:$B, 0)), ISNUMBER(SEARCH($A84,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ISNUMBER(SEARCH($A84, INDEX(AsistenciaJetAdminConcatenada!$D:$D, MATCH(1, (AsistenciaJetAdminConcatenada!$A:$A=GS$2)*(AsistenciaJetAdminConcatenada!$B:$B=GS$1), 0)), 1))),  0.5, 0))</f>
        <v>0</v>
      </c>
      <c r="GT84" s="47">
        <f t="array" ref="GT84">IF(AND(ISNUMBER(MATCH(GT$2, AsistenciaJetAdminConcatenada!$A:$A, 0)), ISNUMBER(MATCH(GT$1, AsistenciaJetAdminConcatenada!$B:$B, 0)), ISNUMBER(SEARCH($A84,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ISNUMBER(SEARCH($A84, INDEX(AsistenciaJetAdminConcatenada!$D:$D, MATCH(1, (AsistenciaJetAdminConcatenada!$A:$A=GT$2)*(AsistenciaJetAdminConcatenada!$B:$B=GT$1), 0)), 1))),  0.5, 0))</f>
        <v>0</v>
      </c>
      <c r="GU84" s="47">
        <f t="array" ref="GU84">IF(AND(ISNUMBER(MATCH(GU$2, AsistenciaJetAdminConcatenada!$A:$A, 0)), ISNUMBER(MATCH(GU$1, AsistenciaJetAdminConcatenada!$B:$B, 0)), ISNUMBER(SEARCH($A84,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ISNUMBER(SEARCH($A84, INDEX(AsistenciaJetAdminConcatenada!$D:$D, MATCH(1, (AsistenciaJetAdminConcatenada!$A:$A=GU$2)*(AsistenciaJetAdminConcatenada!$B:$B=GU$1), 0)), 1))),  0.5, 0))</f>
        <v>0</v>
      </c>
      <c r="GV84" s="47">
        <f t="array" ref="GV84">IF(AND(ISNUMBER(MATCH(GV$2, AsistenciaJetAdminConcatenada!$A:$A, 0)), ISNUMBER(MATCH(GV$1, AsistenciaJetAdminConcatenada!$B:$B, 0)), ISNUMBER(SEARCH($A84,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ISNUMBER(SEARCH($A84, INDEX(AsistenciaJetAdminConcatenada!$D:$D, MATCH(1, (AsistenciaJetAdminConcatenada!$A:$A=GV$2)*(AsistenciaJetAdminConcatenada!$B:$B=GV$1), 0)), 1))),  0.5, 0))</f>
        <v>0</v>
      </c>
      <c r="GW84" s="47">
        <f t="array" ref="GW84">IF(AND(ISNUMBER(MATCH(GW$2, AsistenciaJetAdminConcatenada!$A:$A, 0)), ISNUMBER(MATCH(GW$1, AsistenciaJetAdminConcatenada!$B:$B, 0)), ISNUMBER(SEARCH($A84,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ISNUMBER(SEARCH($A84, INDEX(AsistenciaJetAdminConcatenada!$D:$D, MATCH(1, (AsistenciaJetAdminConcatenada!$A:$A=GW$2)*(AsistenciaJetAdminConcatenada!$B:$B=GW$1), 0)), 1))),  0.5, 0))</f>
        <v>0</v>
      </c>
      <c r="GX84" s="47">
        <f t="array" ref="GX84">IF(AND(ISNUMBER(MATCH(GX$2, AsistenciaJetAdminConcatenada!$A:$A, 0)), ISNUMBER(MATCH(GX$1, AsistenciaJetAdminConcatenada!$B:$B, 0)), ISNUMBER(SEARCH($A84,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ISNUMBER(SEARCH($A84, INDEX(AsistenciaJetAdminConcatenada!$D:$D, MATCH(1, (AsistenciaJetAdminConcatenada!$A:$A=GX$2)*(AsistenciaJetAdminConcatenada!$B:$B=GX$1), 0)), 1))),  0.5, 0))</f>
        <v>0</v>
      </c>
      <c r="GY84" s="47">
        <f t="array" ref="GY84">IF(AND(ISNUMBER(MATCH(GY$2, AsistenciaJetAdminConcatenada!$A:$A, 0)), ISNUMBER(MATCH(GY$1, AsistenciaJetAdminConcatenada!$B:$B, 0)), ISNUMBER(SEARCH($A84,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ISNUMBER(SEARCH($A84, INDEX(AsistenciaJetAdminConcatenada!$D:$D, MATCH(1, (AsistenciaJetAdminConcatenada!$A:$A=GY$2)*(AsistenciaJetAdminConcatenada!$B:$B=GY$1), 0)), 1))),  0.5, 0))</f>
        <v>0</v>
      </c>
      <c r="GZ84" s="47">
        <f t="array" ref="GZ84">IF(AND(ISNUMBER(MATCH(GZ$2, AsistenciaJetAdminConcatenada!$A:$A, 0)), ISNUMBER(MATCH(GZ$1, AsistenciaJetAdminConcatenada!$B:$B, 0)), ISNUMBER(SEARCH($A84,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ISNUMBER(SEARCH($A84, INDEX(AsistenciaJetAdminConcatenada!$D:$D, MATCH(1, (AsistenciaJetAdminConcatenada!$A:$A=GZ$2)*(AsistenciaJetAdminConcatenada!$B:$B=GZ$1), 0)), 1))),  0.5, 0))</f>
        <v>0</v>
      </c>
      <c r="HA84" s="47">
        <f t="array" ref="HA84">IF(AND(ISNUMBER(MATCH(HA$2, AsistenciaJetAdminConcatenada!$A:$A, 0)), ISNUMBER(MATCH(HA$1, AsistenciaJetAdminConcatenada!$B:$B, 0)), ISNUMBER(SEARCH($A84,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ISNUMBER(SEARCH($A84, INDEX(AsistenciaJetAdminConcatenada!$D:$D, MATCH(1, (AsistenciaJetAdminConcatenada!$A:$A=HA$2)*(AsistenciaJetAdminConcatenada!$B:$B=HA$1), 0)), 1))),  0.5, 0))</f>
        <v>0</v>
      </c>
      <c r="HB84" s="47">
        <f t="array" ref="HB84">IF(AND(ISNUMBER(MATCH(HB$2, AsistenciaJetAdminConcatenada!$A:$A, 0)), ISNUMBER(MATCH(HB$1, AsistenciaJetAdminConcatenada!$B:$B, 0)), ISNUMBER(SEARCH($A84,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ISNUMBER(SEARCH($A84, INDEX(AsistenciaJetAdminConcatenada!$D:$D, MATCH(1, (AsistenciaJetAdminConcatenada!$A:$A=HB$2)*(AsistenciaJetAdminConcatenada!$B:$B=HB$1), 0)), 1))),  0.5, 0))</f>
        <v>0</v>
      </c>
      <c r="HC84" s="47">
        <f t="array" ref="HC84">IF(AND(ISNUMBER(MATCH(HC$2, AsistenciaJetAdminConcatenada!$A:$A, 0)), ISNUMBER(MATCH(HC$1, AsistenciaJetAdminConcatenada!$B:$B, 0)), ISNUMBER(SEARCH($A84,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ISNUMBER(SEARCH($A84, INDEX(AsistenciaJetAdminConcatenada!$D:$D, MATCH(1, (AsistenciaJetAdminConcatenada!$A:$A=HC$2)*(AsistenciaJetAdminConcatenada!$B:$B=HC$1), 0)), 1))),  0.5, 0))</f>
        <v>0</v>
      </c>
    </row>
    <row r="85" ht="29.25" customHeight="1">
      <c r="A85" s="3">
        <v>170.0</v>
      </c>
      <c r="B85" s="4" t="s">
        <v>21</v>
      </c>
      <c r="C85" s="47">
        <f>SUM(D85:HC85) + ActividadesEspeciales!C85</f>
        <v>54.5</v>
      </c>
      <c r="D85" s="47">
        <f t="array" ref="D85">IF(AND(ISNUMBER(MATCH(D$2, AsistenciaJetAdminConcatenada!$A:$A, 0)), ISNUMBER(MATCH(D$1, AsistenciaJetAdminConcatenada!$B:$B, 0)), ISNUMBER(SEARCH($A85,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ISNUMBER(SEARCH($A85, INDEX(AsistenciaJetAdminConcatenada!$D:$D, MATCH(1, (AsistenciaJetAdminConcatenada!$A:$A=D$2)*(AsistenciaJetAdminConcatenada!$B:$B=D$1), 0)), 1))),  0.5, 0))</f>
        <v>1</v>
      </c>
      <c r="E85" s="47">
        <f t="array" ref="E85">IF(AND(ISNUMBER(MATCH(E$2, AsistenciaJetAdminConcatenada!$A:$A, 0)), ISNUMBER(MATCH(E$1, AsistenciaJetAdminConcatenada!$B:$B, 0)), ISNUMBER(SEARCH($A85,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ISNUMBER(SEARCH($A85, INDEX(AsistenciaJetAdminConcatenada!$D:$D, MATCH(1, (AsistenciaJetAdminConcatenada!$A:$A=E$2)*(AsistenciaJetAdminConcatenada!$B:$B=E$1), 0)), 1))),  0.5, 0))</f>
        <v>1</v>
      </c>
      <c r="F85" s="47">
        <f t="array" ref="F85">IF(AND(ISNUMBER(MATCH(F$2, AsistenciaJetAdminConcatenada!$A:$A, 0)), ISNUMBER(MATCH(F$1, AsistenciaJetAdminConcatenada!$B:$B, 0)), ISNUMBER(SEARCH($A85,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ISNUMBER(SEARCH($A85, INDEX(AsistenciaJetAdminConcatenada!$D:$D, MATCH(1, (AsistenciaJetAdminConcatenada!$A:$A=F$2)*(AsistenciaJetAdminConcatenada!$B:$B=F$1), 0)), 1))),  0.5, 0))</f>
        <v>1</v>
      </c>
      <c r="G85" s="47">
        <f t="array" ref="G85">IF(AND(ISNUMBER(MATCH(G$2, AsistenciaJetAdminConcatenada!$A:$A, 0)), ISNUMBER(MATCH(G$1, AsistenciaJetAdminConcatenada!$B:$B, 0)), ISNUMBER(SEARCH($A85,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ISNUMBER(SEARCH($A85, INDEX(AsistenciaJetAdminConcatenada!$D:$D, MATCH(1, (AsistenciaJetAdminConcatenada!$A:$A=G$2)*(AsistenciaJetAdminConcatenada!$B:$B=G$1), 0)), 1))),  0.5, 0))</f>
        <v>1</v>
      </c>
      <c r="H85" s="47">
        <f t="array" ref="H85">IF(AND(ISNUMBER(MATCH(H$2, AsistenciaJetAdminConcatenada!$A:$A, 0)), ISNUMBER(MATCH(H$1, AsistenciaJetAdminConcatenada!$B:$B, 0)), ISNUMBER(SEARCH($A85,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ISNUMBER(SEARCH($A85, INDEX(AsistenciaJetAdminConcatenada!$D:$D, MATCH(1, (AsistenciaJetAdminConcatenada!$A:$A=H$2)*(AsistenciaJetAdminConcatenada!$B:$B=H$1), 0)), 1))),  0.5, 0))</f>
        <v>1</v>
      </c>
      <c r="I85" s="47">
        <f t="array" ref="I85">IF(AND(ISNUMBER(MATCH(I$2, AsistenciaJetAdminConcatenada!$A:$A, 0)), ISNUMBER(MATCH(I$1, AsistenciaJetAdminConcatenada!$B:$B, 0)), ISNUMBER(SEARCH($A85,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ISNUMBER(SEARCH($A85, INDEX(AsistenciaJetAdminConcatenada!$D:$D, MATCH(1, (AsistenciaJetAdminConcatenada!$A:$A=I$2)*(AsistenciaJetAdminConcatenada!$B:$B=I$1), 0)), 1))),  0.5, 0))</f>
        <v>1</v>
      </c>
      <c r="J85" s="47">
        <f t="array" ref="J85">IF(AND(ISNUMBER(MATCH(J$2, AsistenciaJetAdminConcatenada!$A:$A, 0)), ISNUMBER(MATCH(J$1, AsistenciaJetAdminConcatenada!$B:$B, 0)), ISNUMBER(SEARCH($A85,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ISNUMBER(SEARCH($A85, INDEX(AsistenciaJetAdminConcatenada!$D:$D, MATCH(1, (AsistenciaJetAdminConcatenada!$A:$A=J$2)*(AsistenciaJetAdminConcatenada!$B:$B=J$1), 0)), 1))),  0.5, 0))</f>
        <v>1</v>
      </c>
      <c r="K85" s="47">
        <f t="array" ref="K85">IF(AND(ISNUMBER(MATCH(K$2, AsistenciaJetAdminConcatenada!$A:$A, 0)), ISNUMBER(MATCH(K$1, AsistenciaJetAdminConcatenada!$B:$B, 0)), ISNUMBER(SEARCH($A85,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ISNUMBER(SEARCH($A85, INDEX(AsistenciaJetAdminConcatenada!$D:$D, MATCH(1, (AsistenciaJetAdminConcatenada!$A:$A=K$2)*(AsistenciaJetAdminConcatenada!$B:$B=K$1), 0)), 1))),  0.5, 0))</f>
        <v>1</v>
      </c>
      <c r="L85" s="47">
        <f t="array" ref="L85">IF(AND(ISNUMBER(MATCH(L$2, AsistenciaJetAdminConcatenada!$A:$A, 0)), ISNUMBER(MATCH(L$1, AsistenciaJetAdminConcatenada!$B:$B, 0)), ISNUMBER(SEARCH($A85,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ISNUMBER(SEARCH($A85, INDEX(AsistenciaJetAdminConcatenada!$D:$D, MATCH(1, (AsistenciaJetAdminConcatenada!$A:$A=L$2)*(AsistenciaJetAdminConcatenada!$B:$B=L$1), 0)), 1))),  0.5, 0))</f>
        <v>1</v>
      </c>
      <c r="M85" s="47">
        <f t="array" ref="M85">IF(AND(ISNUMBER(MATCH(M$2, AsistenciaJetAdminConcatenada!$A:$A, 0)), ISNUMBER(MATCH(M$1, AsistenciaJetAdminConcatenada!$B:$B, 0)), ISNUMBER(SEARCH($A85,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ISNUMBER(SEARCH($A85, INDEX(AsistenciaJetAdminConcatenada!$D:$D, MATCH(1, (AsistenciaJetAdminConcatenada!$A:$A=M$2)*(AsistenciaJetAdminConcatenada!$B:$B=M$1), 0)), 1))),  0.5, 0))</f>
        <v>1</v>
      </c>
      <c r="N85" s="47">
        <f t="array" ref="N85">IF(AND(ISNUMBER(MATCH(N$2, AsistenciaJetAdminConcatenada!$A:$A, 0)), ISNUMBER(MATCH(N$1, AsistenciaJetAdminConcatenada!$B:$B, 0)), ISNUMBER(SEARCH($A85,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ISNUMBER(SEARCH($A85, INDEX(AsistenciaJetAdminConcatenada!$D:$D, MATCH(1, (AsistenciaJetAdminConcatenada!$A:$A=N$2)*(AsistenciaJetAdminConcatenada!$B:$B=N$1), 0)), 1))),  0.5, 0))</f>
        <v>1</v>
      </c>
      <c r="O85" s="47">
        <f t="array" ref="O85">IF(AND(ISNUMBER(MATCH(O$2, AsistenciaJetAdminConcatenada!$A:$A, 0)), ISNUMBER(MATCH(O$1, AsistenciaJetAdminConcatenada!$B:$B, 0)), ISNUMBER(SEARCH($A85,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ISNUMBER(SEARCH($A85, INDEX(AsistenciaJetAdminConcatenada!$D:$D, MATCH(1, (AsistenciaJetAdminConcatenada!$A:$A=O$2)*(AsistenciaJetAdminConcatenada!$B:$B=O$1), 0)), 1))),  0.5, 0))</f>
        <v>0</v>
      </c>
      <c r="P85" s="47">
        <f t="array" ref="P85">IF(AND(ISNUMBER(MATCH(P$2, AsistenciaJetAdminConcatenada!$A:$A, 0)), ISNUMBER(MATCH(P$1, AsistenciaJetAdminConcatenada!$B:$B, 0)), ISNUMBER(SEARCH($A85, INDEX(AsistenciaJetAdminConcatenada!$C:$C, MATCH(1, (AsistenciaJetAdminConcatenada!$A:$A=P$2)*(AsistenciaJetAdminConcatenada!$B:$B=P$1), 0)), 1))), 1, IF(AND(ISNUMBER(MATCH(P$2, AsistenciaJetAdminConcatenada!$A:$A, 0)), ISNUMBER(MATCH(P$1, AsistenciaJetAdminConcatenada!$B:$B, 0)), ISNUMBER(SEARCH($A85, INDEX(AsistenciaJetAdminConcatenada!$D:$D, MATCH(1, (AsistenciaJetAdminConcatenada!$A:$A=P$2)*(AsistenciaJetAdminConcatenada!$B:$B=P$1), 0)), 1))),  0.5, 0))</f>
        <v>1</v>
      </c>
      <c r="Q85" s="47">
        <f t="array" ref="Q85">IF(AND(ISNUMBER(MATCH(Q$2, AsistenciaJetAdminConcatenada!$A:$A, 0)), ISNUMBER(MATCH(Q$1, AsistenciaJetAdminConcatenada!$B:$B, 0)), ISNUMBER(SEARCH($A85, INDEX(AsistenciaJetAdminConcatenada!$C:$C, MATCH(1, (AsistenciaJetAdminConcatenada!$A:$A=Q$2)*(AsistenciaJetAdminConcatenada!$B:$B=Q$1), 0)), 1))), 1, IF(AND(ISNUMBER(MATCH(Q$2, AsistenciaJetAdminConcatenada!$A:$A, 0)), ISNUMBER(MATCH(Q$1, AsistenciaJetAdminConcatenada!$B:$B, 0)), ISNUMBER(SEARCH($A85, INDEX(AsistenciaJetAdminConcatenada!$D:$D, MATCH(1, (AsistenciaJetAdminConcatenada!$A:$A=Q$2)*(AsistenciaJetAdminConcatenada!$B:$B=Q$1), 0)), 1))),  0.5, 0))</f>
        <v>0</v>
      </c>
      <c r="R85" s="47">
        <f t="array" ref="R85">IF(AND(ISNUMBER(MATCH(R$2, AsistenciaJetAdminConcatenada!$A:$A, 0)), ISNUMBER(MATCH(R$1, AsistenciaJetAdminConcatenada!$B:$B, 0)), ISNUMBER(SEARCH($A85,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ISNUMBER(SEARCH($A85, INDEX(AsistenciaJetAdminConcatenada!$D:$D, MATCH(1, (AsistenciaJetAdminConcatenada!$A:$A=R$2)*(AsistenciaJetAdminConcatenada!$B:$B=R$1), 0)), 1))),  0.5, 0))</f>
        <v>0</v>
      </c>
      <c r="S85" s="47">
        <f t="array" ref="S85">IF(AND(ISNUMBER(MATCH(S$2, AsistenciaJetAdminConcatenada!$A:$A, 0)), ISNUMBER(MATCH(S$1, AsistenciaJetAdminConcatenada!$B:$B, 0)), ISNUMBER(SEARCH($A85,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ISNUMBER(SEARCH($A85, INDEX(AsistenciaJetAdminConcatenada!$D:$D, MATCH(1, (AsistenciaJetAdminConcatenada!$A:$A=S$2)*(AsistenciaJetAdminConcatenada!$B:$B=S$1), 0)), 1))),  0.5, 0))</f>
        <v>0</v>
      </c>
      <c r="T85" s="47">
        <f t="array" ref="T85">IF(AND(ISNUMBER(MATCH(T$2, AsistenciaJetAdminConcatenada!$A:$A, 0)), ISNUMBER(MATCH(T$1, AsistenciaJetAdminConcatenada!$B:$B, 0)), ISNUMBER(SEARCH($A85,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ISNUMBER(SEARCH($A85, INDEX(AsistenciaJetAdminConcatenada!$D:$D, MATCH(1, (AsistenciaJetAdminConcatenada!$A:$A=T$2)*(AsistenciaJetAdminConcatenada!$B:$B=T$1), 0)), 1))),  0.5, 0))</f>
        <v>0</v>
      </c>
      <c r="U85" s="47">
        <f t="array" ref="U85">IF(AND(ISNUMBER(MATCH(U$2, AsistenciaJetAdminConcatenada!$A:$A, 0)), ISNUMBER(MATCH(U$1, AsistenciaJetAdminConcatenada!$B:$B, 0)), ISNUMBER(SEARCH($A85,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ISNUMBER(SEARCH($A85, INDEX(AsistenciaJetAdminConcatenada!$D:$D, MATCH(1, (AsistenciaJetAdminConcatenada!$A:$A=U$2)*(AsistenciaJetAdminConcatenada!$B:$B=U$1), 0)), 1))),  0.5, 0))</f>
        <v>1</v>
      </c>
      <c r="V85" s="47">
        <f t="array" ref="V85">IF(AND(ISNUMBER(MATCH(V$2, AsistenciaJetAdminConcatenada!$A:$A, 0)), ISNUMBER(MATCH(V$1, AsistenciaJetAdminConcatenada!$B:$B, 0)), ISNUMBER(SEARCH($A85,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ISNUMBER(SEARCH($A85, INDEX(AsistenciaJetAdminConcatenada!$D:$D, MATCH(1, (AsistenciaJetAdminConcatenada!$A:$A=V$2)*(AsistenciaJetAdminConcatenada!$B:$B=V$1), 0)), 1))),  0.5, 0))</f>
        <v>1</v>
      </c>
      <c r="W85" s="47">
        <f t="array" ref="W85">IF(AND(ISNUMBER(MATCH(W$2, AsistenciaJetAdminConcatenada!$A:$A, 0)), ISNUMBER(MATCH(W$1, AsistenciaJetAdminConcatenada!$B:$B, 0)), ISNUMBER(SEARCH($A85,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ISNUMBER(SEARCH($A85, INDEX(AsistenciaJetAdminConcatenada!$D:$D, MATCH(1, (AsistenciaJetAdminConcatenada!$A:$A=W$2)*(AsistenciaJetAdminConcatenada!$B:$B=W$1), 0)), 1))),  0.5, 0))</f>
        <v>1</v>
      </c>
      <c r="X85" s="47">
        <f t="array" ref="X85">IF(AND(ISNUMBER(MATCH(X$2, AsistenciaJetAdminConcatenada!$A:$A, 0)), ISNUMBER(MATCH(X$1, AsistenciaJetAdminConcatenada!$B:$B, 0)), ISNUMBER(SEARCH($A85,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ISNUMBER(SEARCH($A85, INDEX(AsistenciaJetAdminConcatenada!$D:$D, MATCH(1, (AsistenciaJetAdminConcatenada!$A:$A=X$2)*(AsistenciaJetAdminConcatenada!$B:$B=X$1), 0)), 1))),  0.5, 0))</f>
        <v>1</v>
      </c>
      <c r="Y85" s="47">
        <f t="array" ref="Y85">IF(AND(ISNUMBER(MATCH(Y$2, AsistenciaJetAdminConcatenada!$A:$A, 0)), ISNUMBER(MATCH(Y$1, AsistenciaJetAdminConcatenada!$B:$B, 0)), ISNUMBER(SEARCH($A85,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ISNUMBER(SEARCH($A85, INDEX(AsistenciaJetAdminConcatenada!$D:$D, MATCH(1, (AsistenciaJetAdminConcatenada!$A:$A=Y$2)*(AsistenciaJetAdminConcatenada!$B:$B=Y$1), 0)), 1))),  0.5, 0))</f>
        <v>1</v>
      </c>
      <c r="Z85" s="47">
        <f t="array" ref="Z85">IF(AND(ISNUMBER(MATCH(Z$2, AsistenciaJetAdminConcatenada!$A:$A, 0)), ISNUMBER(MATCH(Z$1, AsistenciaJetAdminConcatenada!$B:$B, 0)), ISNUMBER(SEARCH($A85,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ISNUMBER(SEARCH($A85, INDEX(AsistenciaJetAdminConcatenada!$D:$D, MATCH(1, (AsistenciaJetAdminConcatenada!$A:$A=Z$2)*(AsistenciaJetAdminConcatenada!$B:$B=Z$1), 0)), 1))),  0.5, 0))</f>
        <v>0</v>
      </c>
      <c r="AA85" s="8">
        <v>1.0</v>
      </c>
      <c r="AB85" s="47">
        <f t="array" ref="AB85">IF(AND(ISNUMBER(MATCH(AB$2, AsistenciaJetAdminConcatenada!$A:$A, 0)), ISNUMBER(MATCH(AB$1, AsistenciaJetAdminConcatenada!$B:$B, 0)), ISNUMBER(SEARCH($A85,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ISNUMBER(SEARCH($A85, INDEX(AsistenciaJetAdminConcatenada!$D:$D, MATCH(1, (AsistenciaJetAdminConcatenada!$A:$A=AB$2)*(AsistenciaJetAdminConcatenada!$B:$B=AB$1), 0)), 1))),  0.5, 0))</f>
        <v>1</v>
      </c>
      <c r="AC85" s="47">
        <f t="array" ref="AC85">IF(AND(ISNUMBER(MATCH(AC$2, AsistenciaJetAdminConcatenada!$A:$A, 0)), ISNUMBER(MATCH(AC$1, AsistenciaJetAdminConcatenada!$B:$B, 0)), ISNUMBER(SEARCH($A85,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ISNUMBER(SEARCH($A85, INDEX(AsistenciaJetAdminConcatenada!$D:$D, MATCH(1, (AsistenciaJetAdminConcatenada!$A:$A=AC$2)*(AsistenciaJetAdminConcatenada!$B:$B=AC$1), 0)), 1))),  0.5, 0))</f>
        <v>1</v>
      </c>
      <c r="AD85" s="47">
        <f t="array" ref="AD85">IF(AND(ISNUMBER(MATCH(AD$2, AsistenciaJetAdminConcatenada!$A:$A, 0)), ISNUMBER(MATCH(AD$1, AsistenciaJetAdminConcatenada!$B:$B, 0)), ISNUMBER(SEARCH($A85,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ISNUMBER(SEARCH($A85, INDEX(AsistenciaJetAdminConcatenada!$D:$D, MATCH(1, (AsistenciaJetAdminConcatenada!$A:$A=AD$2)*(AsistenciaJetAdminConcatenada!$B:$B=AD$1), 0)), 1))),  0.5, 0))</f>
        <v>0.5</v>
      </c>
      <c r="AE85" s="47">
        <f t="array" ref="AE85">IF(AND(ISNUMBER(MATCH(AE$2, AsistenciaJetAdminConcatenada!$A:$A, 0)), ISNUMBER(MATCH(AE$1, AsistenciaJetAdminConcatenada!$B:$B, 0)), ISNUMBER(SEARCH($A85,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ISNUMBER(SEARCH($A85, INDEX(AsistenciaJetAdminConcatenada!$D:$D, MATCH(1, (AsistenciaJetAdminConcatenada!$A:$A=AE$2)*(AsistenciaJetAdminConcatenada!$B:$B=AE$1), 0)), 1))),  0.5, 0))</f>
        <v>0</v>
      </c>
      <c r="AF85" s="47">
        <f t="array" ref="AF85">IF(AND(ISNUMBER(MATCH(AF$2, AsistenciaJetAdminConcatenada!$A:$A, 0)), ISNUMBER(MATCH(AF$1, AsistenciaJetAdminConcatenada!$B:$B, 0)), ISNUMBER(SEARCH($A85,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ISNUMBER(SEARCH($A85, INDEX(AsistenciaJetAdminConcatenada!$D:$D, MATCH(1, (AsistenciaJetAdminConcatenada!$A:$A=AF$2)*(AsistenciaJetAdminConcatenada!$B:$B=AF$1), 0)), 1))),  0.5, 0))</f>
        <v>0</v>
      </c>
      <c r="AG85" s="47">
        <f t="array" ref="AG85">IF(AND(ISNUMBER(MATCH(AG$2, AsistenciaJetAdminConcatenada!$A:$A, 0)), ISNUMBER(MATCH(AG$1, AsistenciaJetAdminConcatenada!$B:$B, 0)), ISNUMBER(SEARCH($A85,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ISNUMBER(SEARCH($A85, INDEX(AsistenciaJetAdminConcatenada!$D:$D, MATCH(1, (AsistenciaJetAdminConcatenada!$A:$A=AG$2)*(AsistenciaJetAdminConcatenada!$B:$B=AG$1), 0)), 1))),  0.5, 0))</f>
        <v>0</v>
      </c>
      <c r="AH85" s="47">
        <f t="array" ref="AH85">IF(AND(ISNUMBER(MATCH(AH$2, AsistenciaJetAdminConcatenada!$A:$A, 0)), ISNUMBER(MATCH(AH$1, AsistenciaJetAdminConcatenada!$B:$B, 0)), ISNUMBER(SEARCH($A85,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ISNUMBER(SEARCH($A85, INDEX(AsistenciaJetAdminConcatenada!$D:$D, MATCH(1, (AsistenciaJetAdminConcatenada!$A:$A=AH$2)*(AsistenciaJetAdminConcatenada!$B:$B=AH$1), 0)), 1))),  0.5, 0))</f>
        <v>0</v>
      </c>
      <c r="AI85" s="47">
        <f t="array" ref="AI85">IF(AND(ISNUMBER(MATCH(AI$2, AsistenciaJetAdminConcatenada!$A:$A, 0)), ISNUMBER(MATCH(AI$1, AsistenciaJetAdminConcatenada!$B:$B, 0)), ISNUMBER(SEARCH($A85,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ISNUMBER(SEARCH($A85, INDEX(AsistenciaJetAdminConcatenada!$D:$D, MATCH(1, (AsistenciaJetAdminConcatenada!$A:$A=AI$2)*(AsistenciaJetAdminConcatenada!$B:$B=AI$1), 0)), 1))),  0.5, 0))</f>
        <v>1</v>
      </c>
      <c r="AJ85" s="47">
        <f t="array" ref="AJ85">IF(AND(ISNUMBER(MATCH(AJ$2, AsistenciaJetAdminConcatenada!$A:$A, 0)), ISNUMBER(MATCH(AJ$1, AsistenciaJetAdminConcatenada!$B:$B, 0)), ISNUMBER(SEARCH($A85,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ISNUMBER(SEARCH($A85, INDEX(AsistenciaJetAdminConcatenada!$D:$D, MATCH(1, (AsistenciaJetAdminConcatenada!$A:$A=AJ$2)*(AsistenciaJetAdminConcatenada!$B:$B=AJ$1), 0)), 1))),  0.5, 0))</f>
        <v>1</v>
      </c>
      <c r="AK85" s="47">
        <f t="array" ref="AK85">IF(AND(ISNUMBER(MATCH(AK$2, AsistenciaJetAdminConcatenada!$A:$A, 0)), ISNUMBER(MATCH(AK$1, AsistenciaJetAdminConcatenada!$B:$B, 0)), ISNUMBER(SEARCH($A85,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ISNUMBER(SEARCH($A85, INDEX(AsistenciaJetAdminConcatenada!$D:$D, MATCH(1, (AsistenciaJetAdminConcatenada!$A:$A=AK$2)*(AsistenciaJetAdminConcatenada!$B:$B=AK$1), 0)), 1))),  0.5, 0))</f>
        <v>0</v>
      </c>
      <c r="AL85" s="47">
        <f t="array" ref="AL85">IF(AND(ISNUMBER(MATCH(AL$2, AsistenciaJetAdminConcatenada!$A:$A, 0)), ISNUMBER(MATCH(AL$1, AsistenciaJetAdminConcatenada!$B:$B, 0)), ISNUMBER(SEARCH($A85,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ISNUMBER(SEARCH($A85, INDEX(AsistenciaJetAdminConcatenada!$D:$D, MATCH(1, (AsistenciaJetAdminConcatenada!$A:$A=AL$2)*(AsistenciaJetAdminConcatenada!$B:$B=AL$1), 0)), 1))),  0.5, 0))</f>
        <v>0</v>
      </c>
      <c r="AM85" s="47">
        <f t="array" ref="AM85">IF(AND(ISNUMBER(MATCH(AM$2, AsistenciaJetAdminConcatenada!$A:$A, 0)), ISNUMBER(MATCH(AM$1, AsistenciaJetAdminConcatenada!$B:$B, 0)), ISNUMBER(SEARCH($A85,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ISNUMBER(SEARCH($A85, INDEX(AsistenciaJetAdminConcatenada!$D:$D, MATCH(1, (AsistenciaJetAdminConcatenada!$A:$A=AM$2)*(AsistenciaJetAdminConcatenada!$B:$B=AM$1), 0)), 1))),  0.5, 0))</f>
        <v>0</v>
      </c>
      <c r="AN85" s="47">
        <f t="array" ref="AN85">IF(AND(ISNUMBER(MATCH(AN$2, AsistenciaJetAdminConcatenada!$A:$A, 0)), ISNUMBER(MATCH(AN$1, AsistenciaJetAdminConcatenada!$B:$B, 0)), ISNUMBER(SEARCH($A85,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ISNUMBER(SEARCH($A85, INDEX(AsistenciaJetAdminConcatenada!$D:$D, MATCH(1, (AsistenciaJetAdminConcatenada!$A:$A=AN$2)*(AsistenciaJetAdminConcatenada!$B:$B=AN$1), 0)), 1))),  0.5, 0))</f>
        <v>0</v>
      </c>
      <c r="AO85" s="47">
        <f t="array" ref="AO85">IF(AND(ISNUMBER(MATCH(AO$2, AsistenciaJetAdminConcatenada!$A:$A, 0)), ISNUMBER(MATCH(AO$1, AsistenciaJetAdminConcatenada!$B:$B, 0)), ISNUMBER(SEARCH($A85,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ISNUMBER(SEARCH($A85, INDEX(AsistenciaJetAdminConcatenada!$D:$D, MATCH(1, (AsistenciaJetAdminConcatenada!$A:$A=AO$2)*(AsistenciaJetAdminConcatenada!$B:$B=AO$1), 0)), 1))),  0.5, 0))</f>
        <v>1</v>
      </c>
      <c r="AP85" s="47">
        <f t="array" ref="AP85">IF(AND(ISNUMBER(MATCH(AP$2, AsistenciaJetAdminConcatenada!$A:$A, 0)), ISNUMBER(MATCH(AP$1, AsistenciaJetAdminConcatenada!$B:$B, 0)), ISNUMBER(SEARCH($A85,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ISNUMBER(SEARCH($A85, INDEX(AsistenciaJetAdminConcatenada!$D:$D, MATCH(1, (AsistenciaJetAdminConcatenada!$A:$A=AP$2)*(AsistenciaJetAdminConcatenada!$B:$B=AP$1), 0)), 1))),  0.5, 0))</f>
        <v>1</v>
      </c>
      <c r="AQ85" s="47">
        <f t="array" ref="AQ85">IF(AND(ISNUMBER(MATCH(AQ$2, AsistenciaJetAdminConcatenada!$A:$A, 0)), ISNUMBER(MATCH(AQ$1, AsistenciaJetAdminConcatenada!$B:$B, 0)), ISNUMBER(SEARCH($A85,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ISNUMBER(SEARCH($A85, INDEX(AsistenciaJetAdminConcatenada!$D:$D, MATCH(1, (AsistenciaJetAdminConcatenada!$A:$A=AQ$2)*(AsistenciaJetAdminConcatenada!$B:$B=AQ$1), 0)), 1))),  0.5, 0))</f>
        <v>0</v>
      </c>
      <c r="AR85" s="47">
        <f t="array" ref="AR85">IF(AND(ISNUMBER(MATCH(AR$2, AsistenciaJetAdminConcatenada!$A:$A, 0)), ISNUMBER(MATCH(AR$1, AsistenciaJetAdminConcatenada!$B:$B, 0)), ISNUMBER(SEARCH($A85,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ISNUMBER(SEARCH($A85, INDEX(AsistenciaJetAdminConcatenada!$D:$D, MATCH(1, (AsistenciaJetAdminConcatenada!$A:$A=AR$2)*(AsistenciaJetAdminConcatenada!$B:$B=AR$1), 0)), 1))),  0.5, 0))</f>
        <v>0</v>
      </c>
      <c r="AS85" s="47">
        <f t="array" ref="AS85">IF(AND(ISNUMBER(MATCH(AS$2, AsistenciaJetAdminConcatenada!$A:$A, 0)), ISNUMBER(MATCH(AS$1, AsistenciaJetAdminConcatenada!$B:$B, 0)), ISNUMBER(SEARCH($A85,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ISNUMBER(SEARCH($A85, INDEX(AsistenciaJetAdminConcatenada!$D:$D, MATCH(1, (AsistenciaJetAdminConcatenada!$A:$A=AS$2)*(AsistenciaJetAdminConcatenada!$B:$B=AS$1), 0)), 1))),  0.5, 0))</f>
        <v>1</v>
      </c>
      <c r="AT85" s="47">
        <f t="array" ref="AT85">IF(AND(ISNUMBER(MATCH(AT$2, AsistenciaJetAdminConcatenada!$A:$A, 0)), ISNUMBER(MATCH(AT$1, AsistenciaJetAdminConcatenada!$B:$B, 0)), ISNUMBER(SEARCH($A85,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ISNUMBER(SEARCH($A85, INDEX(AsistenciaJetAdminConcatenada!$D:$D, MATCH(1, (AsistenciaJetAdminConcatenada!$A:$A=AT$2)*(AsistenciaJetAdminConcatenada!$B:$B=AT$1), 0)), 1))),  0.5, 0))</f>
        <v>0</v>
      </c>
      <c r="AU85" s="47">
        <f t="array" ref="AU85">IF(AND(ISNUMBER(MATCH(AU$2, AsistenciaJetAdminConcatenada!$A:$A, 0)), ISNUMBER(MATCH(AU$1, AsistenciaJetAdminConcatenada!$B:$B, 0)), ISNUMBER(SEARCH($A85,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ISNUMBER(SEARCH($A85, INDEX(AsistenciaJetAdminConcatenada!$D:$D, MATCH(1, (AsistenciaJetAdminConcatenada!$A:$A=AU$2)*(AsistenciaJetAdminConcatenada!$B:$B=AU$1), 0)), 1))),  0.5, 0))</f>
        <v>0</v>
      </c>
      <c r="AV85" s="47">
        <f t="array" ref="AV85">IF(AND(ISNUMBER(MATCH(AV$2, AsistenciaJetAdminConcatenada!$A:$A, 0)), ISNUMBER(MATCH(AV$1, AsistenciaJetAdminConcatenada!$B:$B, 0)), ISNUMBER(SEARCH($A85,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ISNUMBER(SEARCH($A85, INDEX(AsistenciaJetAdminConcatenada!$D:$D, MATCH(1, (AsistenciaJetAdminConcatenada!$A:$A=AV$2)*(AsistenciaJetAdminConcatenada!$B:$B=AV$1), 0)), 1))),  0.5, 0))</f>
        <v>1</v>
      </c>
      <c r="AW85" s="47">
        <f t="array" ref="AW85">IF(AND(ISNUMBER(MATCH(AW$2, AsistenciaJetAdminConcatenada!$A:$A, 0)), ISNUMBER(MATCH(AW$1, AsistenciaJetAdminConcatenada!$B:$B, 0)), ISNUMBER(SEARCH($A85,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ISNUMBER(SEARCH($A85, INDEX(AsistenciaJetAdminConcatenada!$D:$D, MATCH(1, (AsistenciaJetAdminConcatenada!$A:$A=AW$2)*(AsistenciaJetAdminConcatenada!$B:$B=AW$1), 0)), 1))),  0.5, 0))</f>
        <v>0</v>
      </c>
      <c r="AX85" s="47">
        <f t="array" ref="AX85">IF(AND(ISNUMBER(MATCH(AX$2, AsistenciaJetAdminConcatenada!$A:$A, 0)), ISNUMBER(MATCH(AX$1, AsistenciaJetAdminConcatenada!$B:$B, 0)), ISNUMBER(SEARCH($A85,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ISNUMBER(SEARCH($A85, INDEX(AsistenciaJetAdminConcatenada!$D:$D, MATCH(1, (AsistenciaJetAdminConcatenada!$A:$A=AX$2)*(AsistenciaJetAdminConcatenada!$B:$B=AX$1), 0)), 1))),  0.5, 0))</f>
        <v>0</v>
      </c>
      <c r="AY85" s="47">
        <f t="array" ref="AY85">IF(AND(ISNUMBER(MATCH(AY$2, AsistenciaJetAdminConcatenada!$A:$A, 0)), ISNUMBER(MATCH(AY$1, AsistenciaJetAdminConcatenada!$B:$B, 0)), ISNUMBER(SEARCH($A85,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ISNUMBER(SEARCH($A85, INDEX(AsistenciaJetAdminConcatenada!$D:$D, MATCH(1, (AsistenciaJetAdminConcatenada!$A:$A=AY$2)*(AsistenciaJetAdminConcatenada!$B:$B=AY$1), 0)), 1))),  0.5, 0))</f>
        <v>1</v>
      </c>
      <c r="AZ85" s="47">
        <f t="array" ref="AZ85">IF(AND(ISNUMBER(MATCH(AZ$2, AsistenciaJetAdminConcatenada!$A:$A, 0)), ISNUMBER(MATCH(AZ$1, AsistenciaJetAdminConcatenada!$B:$B, 0)), ISNUMBER(SEARCH($A85,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ISNUMBER(SEARCH($A85, INDEX(AsistenciaJetAdminConcatenada!$D:$D, MATCH(1, (AsistenciaJetAdminConcatenada!$A:$A=AZ$2)*(AsistenciaJetAdminConcatenada!$B:$B=AZ$1), 0)), 1))),  0.5, 0))</f>
        <v>1</v>
      </c>
      <c r="BA85" s="47">
        <f t="array" ref="BA85">IF(AND(ISNUMBER(MATCH(BA$2, AsistenciaJetAdminConcatenada!$A:$A, 0)), ISNUMBER(MATCH(BA$1, AsistenciaJetAdminConcatenada!$B:$B, 0)), ISNUMBER(SEARCH($A85,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ISNUMBER(SEARCH($A85, INDEX(AsistenciaJetAdminConcatenada!$D:$D, MATCH(1, (AsistenciaJetAdminConcatenada!$A:$A=BA$2)*(AsistenciaJetAdminConcatenada!$B:$B=BA$1), 0)), 1))),  0.5, 0))</f>
        <v>1</v>
      </c>
      <c r="BB85" s="47">
        <f t="array" ref="BB85">IF(AND(ISNUMBER(MATCH(BB$2, AsistenciaJetAdminConcatenada!$A:$A, 0)), ISNUMBER(MATCH(BB$1, AsistenciaJetAdminConcatenada!$B:$B, 0)), ISNUMBER(SEARCH($A85,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ISNUMBER(SEARCH($A85, INDEX(AsistenciaJetAdminConcatenada!$D:$D, MATCH(1, (AsistenciaJetAdminConcatenada!$A:$A=BB$2)*(AsistenciaJetAdminConcatenada!$B:$B=BB$1), 0)), 1))),  0.5, 0))</f>
        <v>0</v>
      </c>
      <c r="BC85" s="47">
        <f t="array" ref="BC85">IF(AND(ISNUMBER(MATCH(BC$2, AsistenciaJetAdminConcatenada!$A:$A, 0)), ISNUMBER(MATCH(BC$1, AsistenciaJetAdminConcatenada!$B:$B, 0)), ISNUMBER(SEARCH($A85,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ISNUMBER(SEARCH($A85, INDEX(AsistenciaJetAdminConcatenada!$D:$D, MATCH(1, (AsistenciaJetAdminConcatenada!$A:$A=BC$2)*(AsistenciaJetAdminConcatenada!$B:$B=BC$1), 0)), 1))),  0.5, 0))</f>
        <v>1</v>
      </c>
      <c r="BD85" s="47">
        <f t="array" ref="BD85">IF(AND(ISNUMBER(MATCH(BD$2, AsistenciaJetAdminConcatenada!$A:$A, 0)), ISNUMBER(MATCH(BD$1, AsistenciaJetAdminConcatenada!$B:$B, 0)), ISNUMBER(SEARCH($A85,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ISNUMBER(SEARCH($A85, INDEX(AsistenciaJetAdminConcatenada!$D:$D, MATCH(1, (AsistenciaJetAdminConcatenada!$A:$A=BD$2)*(AsistenciaJetAdminConcatenada!$B:$B=BD$1), 0)), 1))),  0.5, 0))</f>
        <v>0</v>
      </c>
      <c r="BE85" s="47">
        <f t="array" ref="BE85">IF(AND(ISNUMBER(MATCH(BE$2, AsistenciaJetAdminConcatenada!$A:$A, 0)), ISNUMBER(MATCH(BE$1, AsistenciaJetAdminConcatenada!$B:$B, 0)), ISNUMBER(SEARCH($A85,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ISNUMBER(SEARCH($A85, INDEX(AsistenciaJetAdminConcatenada!$D:$D, MATCH(1, (AsistenciaJetAdminConcatenada!$A:$A=BE$2)*(AsistenciaJetAdminConcatenada!$B:$B=BE$1), 0)), 1))),  0.5, 0))</f>
        <v>1</v>
      </c>
      <c r="BF85" s="47">
        <f t="array" ref="BF85">IF(AND(ISNUMBER(MATCH(BF$2, AsistenciaJetAdminConcatenada!$A:$A, 0)), ISNUMBER(MATCH(BF$1, AsistenciaJetAdminConcatenada!$B:$B, 0)), ISNUMBER(SEARCH($A85,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ISNUMBER(SEARCH($A85, INDEX(AsistenciaJetAdminConcatenada!$D:$D, MATCH(1, (AsistenciaJetAdminConcatenada!$A:$A=BF$2)*(AsistenciaJetAdminConcatenada!$B:$B=BF$1), 0)), 1))),  0.5, 0))</f>
        <v>0</v>
      </c>
      <c r="BG85" s="47">
        <f t="array" ref="BG85">IF(AND(ISNUMBER(MATCH(BG$2, AsistenciaJetAdminConcatenada!$A:$A, 0)), ISNUMBER(MATCH(BG$1, AsistenciaJetAdminConcatenada!$B:$B, 0)), ISNUMBER(SEARCH($A85,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ISNUMBER(SEARCH($A85, INDEX(AsistenciaJetAdminConcatenada!$D:$D, MATCH(1, (AsistenciaJetAdminConcatenada!$A:$A=BG$2)*(AsistenciaJetAdminConcatenada!$B:$B=BG$1), 0)), 1))),  0.5, 0))</f>
        <v>1</v>
      </c>
      <c r="BH85" s="47">
        <f t="array" ref="BH85">IF(AND(ISNUMBER(MATCH(BH$2, AsistenciaJetAdminConcatenada!$A:$A, 0)), ISNUMBER(MATCH(BH$1, AsistenciaJetAdminConcatenada!$B:$B, 0)), ISNUMBER(SEARCH($A85,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ISNUMBER(SEARCH($A85, INDEX(AsistenciaJetAdminConcatenada!$D:$D, MATCH(1, (AsistenciaJetAdminConcatenada!$A:$A=BH$2)*(AsistenciaJetAdminConcatenada!$B:$B=BH$1), 0)), 1))),  0.5, 0))</f>
        <v>1</v>
      </c>
      <c r="BI85" s="47">
        <f t="array" ref="BI85">IF(AND(ISNUMBER(MATCH(BI$2, AsistenciaJetAdminConcatenada!$A:$A, 0)), ISNUMBER(MATCH(BI$1, AsistenciaJetAdminConcatenada!$B:$B, 0)), ISNUMBER(SEARCH($A85,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ISNUMBER(SEARCH($A85, INDEX(AsistenciaJetAdminConcatenada!$D:$D, MATCH(1, (AsistenciaJetAdminConcatenada!$A:$A=BI$2)*(AsistenciaJetAdminConcatenada!$B:$B=BI$1), 0)), 1))),  0.5, 0))</f>
        <v>1</v>
      </c>
      <c r="BJ85" s="47">
        <f t="array" ref="BJ85">IF(AND(ISNUMBER(MATCH(BJ$2, AsistenciaJetAdminConcatenada!$A:$A, 0)), ISNUMBER(MATCH(BJ$1, AsistenciaJetAdminConcatenada!$B:$B, 0)), ISNUMBER(SEARCH($A85,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ISNUMBER(SEARCH($A85, INDEX(AsistenciaJetAdminConcatenada!$D:$D, MATCH(1, (AsistenciaJetAdminConcatenada!$A:$A=BJ$2)*(AsistenciaJetAdminConcatenada!$B:$B=BJ$1), 0)), 1))),  0.5, 0))</f>
        <v>0</v>
      </c>
      <c r="BK85" s="47">
        <f t="array" ref="BK85">IF(AND(ISNUMBER(MATCH(BK$2, AsistenciaJetAdminConcatenada!$A:$A, 0)), ISNUMBER(MATCH(BK$1, AsistenciaJetAdminConcatenada!$B:$B, 0)), ISNUMBER(SEARCH($A85,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ISNUMBER(SEARCH($A85, INDEX(AsistenciaJetAdminConcatenada!$D:$D, MATCH(1, (AsistenciaJetAdminConcatenada!$A:$A=BK$2)*(AsistenciaJetAdminConcatenada!$B:$B=BK$1), 0)), 1))),  0.5, 0))</f>
        <v>1</v>
      </c>
      <c r="BL85" s="47">
        <f t="array" ref="BL85">IF(AND(ISNUMBER(MATCH(BL$2, AsistenciaJetAdminConcatenada!$A:$A, 0)), ISNUMBER(MATCH(BL$1, AsistenciaJetAdminConcatenada!$B:$B, 0)), ISNUMBER(SEARCH($A85,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ISNUMBER(SEARCH($A85, INDEX(AsistenciaJetAdminConcatenada!$D:$D, MATCH(1, (AsistenciaJetAdminConcatenada!$A:$A=BL$2)*(AsistenciaJetAdminConcatenada!$B:$B=BL$1), 0)), 1))),  0.5, 0))</f>
        <v>1</v>
      </c>
      <c r="BM85" s="47">
        <f t="array" ref="BM85">IF(AND(ISNUMBER(MATCH(BM$2, AsistenciaJetAdminConcatenada!$A:$A, 0)), ISNUMBER(MATCH(BM$1, AsistenciaJetAdminConcatenada!$B:$B, 0)), ISNUMBER(SEARCH($A85,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ISNUMBER(SEARCH($A85, INDEX(AsistenciaJetAdminConcatenada!$D:$D, MATCH(1, (AsistenciaJetAdminConcatenada!$A:$A=BM$2)*(AsistenciaJetAdminConcatenada!$B:$B=BM$1), 0)), 1))),  0.5, 0))</f>
        <v>1</v>
      </c>
      <c r="BN85" s="47">
        <f t="array" ref="BN85">IF(AND(ISNUMBER(MATCH(BN$2, AsistenciaJetAdminConcatenada!$A:$A, 0)), ISNUMBER(MATCH(BN$1, AsistenciaJetAdminConcatenada!$B:$B, 0)), ISNUMBER(SEARCH($A85,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ISNUMBER(SEARCH($A85, INDEX(AsistenciaJetAdminConcatenada!$D:$D, MATCH(1, (AsistenciaJetAdminConcatenada!$A:$A=BN$2)*(AsistenciaJetAdminConcatenada!$B:$B=BN$1), 0)), 1))),  0.5, 0))</f>
        <v>0</v>
      </c>
      <c r="BO85" s="47">
        <f t="array" ref="BO85">IF(AND(ISNUMBER(MATCH(BO$2, AsistenciaJetAdminConcatenada!$A:$A, 0)), ISNUMBER(MATCH(BO$1, AsistenciaJetAdminConcatenada!$B:$B, 0)), ISNUMBER(SEARCH($A85,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ISNUMBER(SEARCH($A85, INDEX(AsistenciaJetAdminConcatenada!$D:$D, MATCH(1, (AsistenciaJetAdminConcatenada!$A:$A=BO$2)*(AsistenciaJetAdminConcatenada!$B:$B=BO$1), 0)), 1))),  0.5, 0))</f>
        <v>0</v>
      </c>
      <c r="BP85" s="47">
        <f t="array" ref="BP85">IF(AND(ISNUMBER(MATCH(BP$2, AsistenciaJetAdminConcatenada!$A:$A, 0)), ISNUMBER(MATCH(BP$1, AsistenciaJetAdminConcatenada!$B:$B, 0)), ISNUMBER(SEARCH($A85,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ISNUMBER(SEARCH($A85, INDEX(AsistenciaJetAdminConcatenada!$D:$D, MATCH(1, (AsistenciaJetAdminConcatenada!$A:$A=BP$2)*(AsistenciaJetAdminConcatenada!$B:$B=BP$1), 0)), 1))),  0.5, 0))</f>
        <v>1</v>
      </c>
      <c r="BQ85" s="47">
        <f t="array" ref="BQ85">IF(AND(ISNUMBER(MATCH(BQ$2, AsistenciaJetAdminConcatenada!$A:$A, 0)), ISNUMBER(MATCH(BQ$1, AsistenciaJetAdminConcatenada!$B:$B, 0)), ISNUMBER(SEARCH($A85,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ISNUMBER(SEARCH($A85, INDEX(AsistenciaJetAdminConcatenada!$D:$D, MATCH(1, (AsistenciaJetAdminConcatenada!$A:$A=BQ$2)*(AsistenciaJetAdminConcatenada!$B:$B=BQ$1), 0)), 1))),  0.5, 0))</f>
        <v>0</v>
      </c>
      <c r="BR85" s="47">
        <f t="array" ref="BR85">IF(AND(ISNUMBER(MATCH(BR$2, AsistenciaJetAdminConcatenada!$A:$A, 0)), ISNUMBER(MATCH(BR$1, AsistenciaJetAdminConcatenada!$B:$B, 0)), ISNUMBER(SEARCH($A85,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ISNUMBER(SEARCH($A85, INDEX(AsistenciaJetAdminConcatenada!$D:$D, MATCH(1, (AsistenciaJetAdminConcatenada!$A:$A=BR$2)*(AsistenciaJetAdminConcatenada!$B:$B=BR$1), 0)), 1))),  0.5, 0))</f>
        <v>0</v>
      </c>
      <c r="BS85" s="47">
        <f t="array" ref="BS85">IF(AND(ISNUMBER(MATCH(BS$2, AsistenciaJetAdminConcatenada!$A:$A, 0)), ISNUMBER(MATCH(BS$1, AsistenciaJetAdminConcatenada!$B:$B, 0)), ISNUMBER(SEARCH($A85,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ISNUMBER(SEARCH($A85, INDEX(AsistenciaJetAdminConcatenada!$D:$D, MATCH(1, (AsistenciaJetAdminConcatenada!$A:$A=BS$2)*(AsistenciaJetAdminConcatenada!$B:$B=BS$1), 0)), 1))),  0.5, 0))</f>
        <v>1</v>
      </c>
      <c r="BT85" s="47">
        <f t="array" ref="BT85">IF(AND(ISNUMBER(MATCH(BT$2, AsistenciaJetAdminConcatenada!$A:$A, 0)), ISNUMBER(MATCH(BT$1, AsistenciaJetAdminConcatenada!$B:$B, 0)), ISNUMBER(SEARCH($A85,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ISNUMBER(SEARCH($A85, INDEX(AsistenciaJetAdminConcatenada!$D:$D, MATCH(1, (AsistenciaJetAdminConcatenada!$A:$A=BT$2)*(AsistenciaJetAdminConcatenada!$B:$B=BT$1), 0)), 1))),  0.5, 0))</f>
        <v>0</v>
      </c>
      <c r="BU85" s="47">
        <f t="array" ref="BU85">IF(AND(ISNUMBER(MATCH(BU$2, AsistenciaJetAdminConcatenada!$A:$A, 0)), ISNUMBER(MATCH(BU$1, AsistenciaJetAdminConcatenada!$B:$B, 0)), ISNUMBER(SEARCH($A85,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ISNUMBER(SEARCH($A85, INDEX(AsistenciaJetAdminConcatenada!$D:$D, MATCH(1, (AsistenciaJetAdminConcatenada!$A:$A=BU$2)*(AsistenciaJetAdminConcatenada!$B:$B=BU$1), 0)), 1))),  0.5, 0))</f>
        <v>1</v>
      </c>
      <c r="BV85" s="47">
        <f t="array" ref="BV85">IF(AND(ISNUMBER(MATCH(BV$2, AsistenciaJetAdminConcatenada!$A:$A, 0)), ISNUMBER(MATCH(BV$1, AsistenciaJetAdminConcatenada!$B:$B, 0)), ISNUMBER(SEARCH($A85,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ISNUMBER(SEARCH($A85, INDEX(AsistenciaJetAdminConcatenada!$D:$D, MATCH(1, (AsistenciaJetAdminConcatenada!$A:$A=BV$2)*(AsistenciaJetAdminConcatenada!$B:$B=BV$1), 0)), 1))),  0.5, 0))</f>
        <v>0</v>
      </c>
      <c r="BW85" s="47">
        <f t="array" ref="BW85">IF(AND(ISNUMBER(MATCH(BW$2, AsistenciaJetAdminConcatenada!$A:$A, 0)), ISNUMBER(MATCH(BW$1, AsistenciaJetAdminConcatenada!$B:$B, 0)), ISNUMBER(SEARCH($A85,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ISNUMBER(SEARCH($A85, INDEX(AsistenciaJetAdminConcatenada!$D:$D, MATCH(1, (AsistenciaJetAdminConcatenada!$A:$A=BW$2)*(AsistenciaJetAdminConcatenada!$B:$B=BW$1), 0)), 1))),  0.5, 0))</f>
        <v>0</v>
      </c>
      <c r="BX85" s="47">
        <f t="array" ref="BX85">IF(AND(ISNUMBER(MATCH(BX$2, AsistenciaJetAdminConcatenada!$A:$A, 0)), ISNUMBER(MATCH(BX$1, AsistenciaJetAdminConcatenada!$B:$B, 0)), ISNUMBER(SEARCH($A85,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ISNUMBER(SEARCH($A85, INDEX(AsistenciaJetAdminConcatenada!$D:$D, MATCH(1, (AsistenciaJetAdminConcatenada!$A:$A=BX$2)*(AsistenciaJetAdminConcatenada!$B:$B=BX$1), 0)), 1))),  0.5, 0))</f>
        <v>1</v>
      </c>
      <c r="BY85" s="47">
        <f t="array" ref="BY85">IF(AND(ISNUMBER(MATCH(BY$2, AsistenciaJetAdminConcatenada!$A:$A, 0)), ISNUMBER(MATCH(BY$1, AsistenciaJetAdminConcatenada!$B:$B, 0)), ISNUMBER(SEARCH($A85,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ISNUMBER(SEARCH($A85, INDEX(AsistenciaJetAdminConcatenada!$D:$D, MATCH(1, (AsistenciaJetAdminConcatenada!$A:$A=BY$2)*(AsistenciaJetAdminConcatenada!$B:$B=BY$1), 0)), 1))),  0.5, 0))</f>
        <v>0</v>
      </c>
      <c r="BZ85" s="47">
        <f t="array" ref="BZ85">IF(AND(ISNUMBER(MATCH(BZ$2, AsistenciaJetAdminConcatenada!$A:$A, 0)), ISNUMBER(MATCH(BZ$1, AsistenciaJetAdminConcatenada!$B:$B, 0)), ISNUMBER(SEARCH($A85,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ISNUMBER(SEARCH($A85, INDEX(AsistenciaJetAdminConcatenada!$D:$D, MATCH(1, (AsistenciaJetAdminConcatenada!$A:$A=BZ$2)*(AsistenciaJetAdminConcatenada!$B:$B=BZ$1), 0)), 1))),  0.5, 0))</f>
        <v>1</v>
      </c>
      <c r="CA85" s="47">
        <f t="array" ref="CA85">IF(AND(ISNUMBER(MATCH(CA$2, AsistenciaJetAdminConcatenada!$A:$A, 0)), ISNUMBER(MATCH(CA$1, AsistenciaJetAdminConcatenada!$B:$B, 0)), ISNUMBER(SEARCH($A85,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ISNUMBER(SEARCH($A85, INDEX(AsistenciaJetAdminConcatenada!$D:$D, MATCH(1, (AsistenciaJetAdminConcatenada!$A:$A=CA$2)*(AsistenciaJetAdminConcatenada!$B:$B=CA$1), 0)), 1))),  0.5, 0))</f>
        <v>1</v>
      </c>
      <c r="CB85" s="47">
        <f t="array" ref="CB85">IF(AND(ISNUMBER(MATCH(CB$2, AsistenciaJetAdminConcatenada!$A:$A, 0)), ISNUMBER(MATCH(CB$1, AsistenciaJetAdminConcatenada!$B:$B, 0)), ISNUMBER(SEARCH($A85,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ISNUMBER(SEARCH($A85, INDEX(AsistenciaJetAdminConcatenada!$D:$D, MATCH(1, (AsistenciaJetAdminConcatenada!$A:$A=CB$2)*(AsistenciaJetAdminConcatenada!$B:$B=CB$1), 0)), 1))),  0.5, 0))</f>
        <v>0</v>
      </c>
      <c r="CC85" s="47">
        <f t="array" ref="CC85">IF(AND(ISNUMBER(MATCH(CC$2, AsistenciaJetAdminConcatenada!$A:$A, 0)), ISNUMBER(MATCH(CC$1, AsistenciaJetAdminConcatenada!$B:$B, 0)), ISNUMBER(SEARCH($A85,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ISNUMBER(SEARCH($A85, INDEX(AsistenciaJetAdminConcatenada!$D:$D, MATCH(1, (AsistenciaJetAdminConcatenada!$A:$A=CC$2)*(AsistenciaJetAdminConcatenada!$B:$B=CC$1), 0)), 1))),  0.5, 0))</f>
        <v>1</v>
      </c>
      <c r="CD85" s="47">
        <f t="array" ref="CD85">IF(AND(ISNUMBER(MATCH(CD$2, AsistenciaJetAdminConcatenada!$A:$A, 0)), ISNUMBER(MATCH(CD$1, AsistenciaJetAdminConcatenada!$B:$B, 0)), ISNUMBER(SEARCH($A85,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ISNUMBER(SEARCH($A85, INDEX(AsistenciaJetAdminConcatenada!$D:$D, MATCH(1, (AsistenciaJetAdminConcatenada!$A:$A=CD$2)*(AsistenciaJetAdminConcatenada!$B:$B=CD$1), 0)), 1))),  0.5, 0))</f>
        <v>0</v>
      </c>
      <c r="CE85" s="47">
        <f t="array" ref="CE85">IF(AND(ISNUMBER(MATCH(CE$2, AsistenciaJetAdminConcatenada!$A:$A, 0)), ISNUMBER(MATCH(CE$1, AsistenciaJetAdminConcatenada!$B:$B, 0)), ISNUMBER(SEARCH($A85,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ISNUMBER(SEARCH($A85, INDEX(AsistenciaJetAdminConcatenada!$D:$D, MATCH(1, (AsistenciaJetAdminConcatenada!$A:$A=CE$2)*(AsistenciaJetAdminConcatenada!$B:$B=CE$1), 0)), 1))),  0.5, 0))</f>
        <v>1</v>
      </c>
      <c r="CF85" s="47">
        <f t="array" ref="CF85">IF(AND(ISNUMBER(MATCH(CF$2, AsistenciaJetAdminConcatenada!$A:$A, 0)), ISNUMBER(MATCH(CF$1, AsistenciaJetAdminConcatenada!$B:$B, 0)), ISNUMBER(SEARCH($A85,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ISNUMBER(SEARCH($A85, INDEX(AsistenciaJetAdminConcatenada!$D:$D, MATCH(1, (AsistenciaJetAdminConcatenada!$A:$A=CF$2)*(AsistenciaJetAdminConcatenada!$B:$B=CF$1), 0)), 1))),  0.5, 0))</f>
        <v>0</v>
      </c>
      <c r="CG85" s="47">
        <f t="array" ref="CG85">IF(AND(ISNUMBER(MATCH(CG$2, AsistenciaJetAdminConcatenada!$A:$A, 0)), ISNUMBER(MATCH(CG$1, AsistenciaJetAdminConcatenada!$B:$B, 0)), ISNUMBER(SEARCH($A85,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ISNUMBER(SEARCH($A85, INDEX(AsistenciaJetAdminConcatenada!$D:$D, MATCH(1, (AsistenciaJetAdminConcatenada!$A:$A=CG$2)*(AsistenciaJetAdminConcatenada!$B:$B=CG$1), 0)), 1))),  0.5, 0))</f>
        <v>1</v>
      </c>
      <c r="CH85" s="47">
        <f t="array" ref="CH85">IF(AND(ISNUMBER(MATCH(CH$2, AsistenciaJetAdminConcatenada!$A:$A, 0)), ISNUMBER(MATCH(CH$1, AsistenciaJetAdminConcatenada!$B:$B, 0)), ISNUMBER(SEARCH($A85,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ISNUMBER(SEARCH($A85, INDEX(AsistenciaJetAdminConcatenada!$D:$D, MATCH(1, (AsistenciaJetAdminConcatenada!$A:$A=CH$2)*(AsistenciaJetAdminConcatenada!$B:$B=CH$1), 0)), 1))),  0.5, 0))</f>
        <v>0</v>
      </c>
      <c r="CI85" s="47">
        <f t="array" ref="CI85">IF(AND(ISNUMBER(MATCH(CI$2, AsistenciaJetAdminConcatenada!$A:$A, 0)), ISNUMBER(MATCH(CI$1, AsistenciaJetAdminConcatenada!$B:$B, 0)), ISNUMBER(SEARCH($A85,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ISNUMBER(SEARCH($A85, INDEX(AsistenciaJetAdminConcatenada!$D:$D, MATCH(1, (AsistenciaJetAdminConcatenada!$A:$A=CI$2)*(AsistenciaJetAdminConcatenada!$B:$B=CI$1), 0)), 1))),  0.5, 0))</f>
        <v>1</v>
      </c>
      <c r="CJ85" s="47">
        <f t="array" ref="CJ85">IF(AND(ISNUMBER(MATCH(CJ$2, AsistenciaJetAdminConcatenada!$A:$A, 0)), ISNUMBER(MATCH(CJ$1, AsistenciaJetAdminConcatenada!$B:$B, 0)), ISNUMBER(SEARCH($A85,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ISNUMBER(SEARCH($A85, INDEX(AsistenciaJetAdminConcatenada!$D:$D, MATCH(1, (AsistenciaJetAdminConcatenada!$A:$A=CJ$2)*(AsistenciaJetAdminConcatenada!$B:$B=CJ$1), 0)), 1))),  0.5, 0))</f>
        <v>1</v>
      </c>
      <c r="CK85" s="47">
        <f t="array" ref="CK85">IF(AND(ISNUMBER(MATCH(CK$2, AsistenciaJetAdminConcatenada!$A:$A, 0)), ISNUMBER(MATCH(CK$1, AsistenciaJetAdminConcatenada!$B:$B, 0)), ISNUMBER(SEARCH($A85,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ISNUMBER(SEARCH($A85, INDEX(AsistenciaJetAdminConcatenada!$D:$D, MATCH(1, (AsistenciaJetAdminConcatenada!$A:$A=CK$2)*(AsistenciaJetAdminConcatenada!$B:$B=CK$1), 0)), 1))),  0.5, 0))</f>
        <v>0</v>
      </c>
      <c r="CL85" s="47">
        <f t="array" ref="CL85">IF(AND(ISNUMBER(MATCH(CL$2, AsistenciaJetAdminConcatenada!$A:$A, 0)), ISNUMBER(MATCH(CL$1, AsistenciaJetAdminConcatenada!$B:$B, 0)), ISNUMBER(SEARCH($A85,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ISNUMBER(SEARCH($A85, INDEX(AsistenciaJetAdminConcatenada!$D:$D, MATCH(1, (AsistenciaJetAdminConcatenada!$A:$A=CL$2)*(AsistenciaJetAdminConcatenada!$B:$B=CL$1), 0)), 1))),  0.5, 0))</f>
        <v>1</v>
      </c>
      <c r="CM85" s="47">
        <f t="array" ref="CM85">IF(AND(ISNUMBER(MATCH(CM$2, AsistenciaJetAdminConcatenada!$A:$A, 0)), ISNUMBER(MATCH(CM$1, AsistenciaJetAdminConcatenada!$B:$B, 0)), ISNUMBER(SEARCH($A85,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ISNUMBER(SEARCH($A85, INDEX(AsistenciaJetAdminConcatenada!$D:$D, MATCH(1, (AsistenciaJetAdminConcatenada!$A:$A=CM$2)*(AsistenciaJetAdminConcatenada!$B:$B=CM$1), 0)), 1))),  0.5, 0))</f>
        <v>1</v>
      </c>
      <c r="CN85" s="47">
        <f t="array" ref="CN85">IF(AND(ISNUMBER(MATCH(CN$2, AsistenciaJetAdminConcatenada!$A:$A, 0)), ISNUMBER(MATCH(CN$1, AsistenciaJetAdminConcatenada!$B:$B, 0)), ISNUMBER(SEARCH($A85,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ISNUMBER(SEARCH($A85, INDEX(AsistenciaJetAdminConcatenada!$D:$D, MATCH(1, (AsistenciaJetAdminConcatenada!$A:$A=CN$2)*(AsistenciaJetAdminConcatenada!$B:$B=CN$1), 0)), 1))),  0.5, 0))</f>
        <v>1</v>
      </c>
      <c r="CO85" s="47">
        <f t="array" ref="CO85">IF(AND(ISNUMBER(MATCH(CO$2, AsistenciaJetAdminConcatenada!$A:$A, 0)), ISNUMBER(MATCH(CO$1, AsistenciaJetAdminConcatenada!$B:$B, 0)), ISNUMBER(SEARCH($A85,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ISNUMBER(SEARCH($A85, INDEX(AsistenciaJetAdminConcatenada!$D:$D, MATCH(1, (AsistenciaJetAdminConcatenada!$A:$A=CO$2)*(AsistenciaJetAdminConcatenada!$B:$B=CO$1), 0)), 1))),  0.5, 0))</f>
        <v>1</v>
      </c>
      <c r="CP85" s="47">
        <f t="array" ref="CP85">IF(AND(ISNUMBER(MATCH(CP$2, AsistenciaJetAdminConcatenada!$A:$A, 0)), ISNUMBER(MATCH(CP$1, AsistenciaJetAdminConcatenada!$B:$B, 0)), ISNUMBER(SEARCH($A85,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ISNUMBER(SEARCH($A85, INDEX(AsistenciaJetAdminConcatenada!$D:$D, MATCH(1, (AsistenciaJetAdminConcatenada!$A:$A=CP$2)*(AsistenciaJetAdminConcatenada!$B:$B=CP$1), 0)), 1))),  0.5, 0))</f>
        <v>0</v>
      </c>
      <c r="CQ85" s="47">
        <f t="array" ref="CQ85">IF(AND(ISNUMBER(MATCH(CQ$2, AsistenciaJetAdminConcatenada!$A:$A, 0)), ISNUMBER(MATCH(CQ$1, AsistenciaJetAdminConcatenada!$B:$B, 0)), ISNUMBER(SEARCH($A85,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ISNUMBER(SEARCH($A85, INDEX(AsistenciaJetAdminConcatenada!$D:$D, MATCH(1, (AsistenciaJetAdminConcatenada!$A:$A=CQ$2)*(AsistenciaJetAdminConcatenada!$B:$B=CQ$1), 0)), 1))),  0.5, 0))</f>
        <v>1</v>
      </c>
      <c r="CR85" s="47">
        <f t="array" ref="CR85">IF(AND(ISNUMBER(MATCH(CR$2, AsistenciaJetAdminConcatenada!$A:$A, 0)), ISNUMBER(MATCH(CR$1, AsistenciaJetAdminConcatenada!$B:$B, 0)), ISNUMBER(SEARCH($A85,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ISNUMBER(SEARCH($A85, INDEX(AsistenciaJetAdminConcatenada!$D:$D, MATCH(1, (AsistenciaJetAdminConcatenada!$A:$A=CR$2)*(AsistenciaJetAdminConcatenada!$B:$B=CR$1), 0)), 1))),  0.5, 0))</f>
        <v>0</v>
      </c>
      <c r="CS85" s="47">
        <f t="array" ref="CS85">IF(AND(ISNUMBER(MATCH(CS$2, AsistenciaJetAdminConcatenada!$A:$A, 0)), ISNUMBER(MATCH(CS$1, AsistenciaJetAdminConcatenada!$B:$B, 0)), ISNUMBER(SEARCH($A85,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ISNUMBER(SEARCH($A85, INDEX(AsistenciaJetAdminConcatenada!$D:$D, MATCH(1, (AsistenciaJetAdminConcatenada!$A:$A=CS$2)*(AsistenciaJetAdminConcatenada!$B:$B=CS$1), 0)), 1))),  0.5, 0))</f>
        <v>0</v>
      </c>
      <c r="CT85" s="47">
        <f t="array" ref="CT85">IF(AND(ISNUMBER(MATCH(CT$2, AsistenciaJetAdminConcatenada!$A:$A, 0)), ISNUMBER(MATCH(CT$1, AsistenciaJetAdminConcatenada!$B:$B, 0)), ISNUMBER(SEARCH($A85,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ISNUMBER(SEARCH($A85, INDEX(AsistenciaJetAdminConcatenada!$D:$D, MATCH(1, (AsistenciaJetAdminConcatenada!$A:$A=CT$2)*(AsistenciaJetAdminConcatenada!$B:$B=CT$1), 0)), 1))),  0.5, 0))</f>
        <v>0</v>
      </c>
      <c r="CU85" s="47">
        <f t="array" ref="CU85">IF(AND(ISNUMBER(MATCH(CU$2, AsistenciaJetAdminConcatenada!$A:$A, 0)), ISNUMBER(MATCH(CU$1, AsistenciaJetAdminConcatenada!$B:$B, 0)), ISNUMBER(SEARCH($A85,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ISNUMBER(SEARCH($A85, INDEX(AsistenciaJetAdminConcatenada!$D:$D, MATCH(1, (AsistenciaJetAdminConcatenada!$A:$A=CU$2)*(AsistenciaJetAdminConcatenada!$B:$B=CU$1), 0)), 1))),  0.5, 0))</f>
        <v>0</v>
      </c>
      <c r="CV85" s="47">
        <f t="array" ref="CV85">IF(AND(ISNUMBER(MATCH(CV$2, AsistenciaJetAdminConcatenada!$A:$A, 0)), ISNUMBER(MATCH(CV$1, AsistenciaJetAdminConcatenada!$B:$B, 0)), ISNUMBER(SEARCH($A85,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ISNUMBER(SEARCH($A85, INDEX(AsistenciaJetAdminConcatenada!$D:$D, MATCH(1, (AsistenciaJetAdminConcatenada!$A:$A=CV$2)*(AsistenciaJetAdminConcatenada!$B:$B=CV$1), 0)), 1))),  0.5, 0))</f>
        <v>0</v>
      </c>
      <c r="CW85" s="47">
        <f t="array" ref="CW85">IF(AND(ISNUMBER(MATCH(CW$2, AsistenciaJetAdminConcatenada!$A:$A, 0)), ISNUMBER(MATCH(CW$1, AsistenciaJetAdminConcatenada!$B:$B, 0)), ISNUMBER(SEARCH($A85,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ISNUMBER(SEARCH($A85, INDEX(AsistenciaJetAdminConcatenada!$D:$D, MATCH(1, (AsistenciaJetAdminConcatenada!$A:$A=CW$2)*(AsistenciaJetAdminConcatenada!$B:$B=CW$1), 0)), 1))),  0.5, 0))</f>
        <v>0</v>
      </c>
      <c r="CX85" s="47">
        <f t="array" ref="CX85">IF(AND(ISNUMBER(MATCH(CX$2, AsistenciaJetAdminConcatenada!$A:$A, 0)), ISNUMBER(MATCH(CX$1, AsistenciaJetAdminConcatenada!$B:$B, 0)), ISNUMBER(SEARCH($A85,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ISNUMBER(SEARCH($A85, INDEX(AsistenciaJetAdminConcatenada!$D:$D, MATCH(1, (AsistenciaJetAdminConcatenada!$A:$A=CX$2)*(AsistenciaJetAdminConcatenada!$B:$B=CX$1), 0)), 1))),  0.5, 0))</f>
        <v>0</v>
      </c>
      <c r="CY85" s="47">
        <f t="array" ref="CY85">IF(AND(ISNUMBER(MATCH(CY$2, AsistenciaJetAdminConcatenada!$A:$A, 0)), ISNUMBER(MATCH(CY$1, AsistenciaJetAdminConcatenada!$B:$B, 0)), ISNUMBER(SEARCH($A85,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ISNUMBER(SEARCH($A85, INDEX(AsistenciaJetAdminConcatenada!$D:$D, MATCH(1, (AsistenciaJetAdminConcatenada!$A:$A=CY$2)*(AsistenciaJetAdminConcatenada!$B:$B=CY$1), 0)), 1))),  0.5, 0))</f>
        <v>0</v>
      </c>
      <c r="CZ85" s="47">
        <f t="array" ref="CZ85">IF(AND(ISNUMBER(MATCH(CZ$2, AsistenciaJetAdminConcatenada!$A:$A, 0)), ISNUMBER(MATCH(CZ$1, AsistenciaJetAdminConcatenada!$B:$B, 0)), ISNUMBER(SEARCH($A85,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ISNUMBER(SEARCH($A85, INDEX(AsistenciaJetAdminConcatenada!$D:$D, MATCH(1, (AsistenciaJetAdminConcatenada!$A:$A=CZ$2)*(AsistenciaJetAdminConcatenada!$B:$B=CZ$1), 0)), 1))),  0.5, 0))</f>
        <v>0</v>
      </c>
      <c r="DA85" s="47">
        <f t="array" ref="DA85">IF(AND(ISNUMBER(MATCH(DA$2, AsistenciaJetAdminConcatenada!$A:$A, 0)), ISNUMBER(MATCH(DA$1, AsistenciaJetAdminConcatenada!$B:$B, 0)), ISNUMBER(SEARCH($A85,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ISNUMBER(SEARCH($A85, INDEX(AsistenciaJetAdminConcatenada!$D:$D, MATCH(1, (AsistenciaJetAdminConcatenada!$A:$A=DA$2)*(AsistenciaJetAdminConcatenada!$B:$B=DA$1), 0)), 1))),  0.5, 0))</f>
        <v>0</v>
      </c>
      <c r="DB85" s="47">
        <f t="array" ref="DB85">IF(AND(ISNUMBER(MATCH(DB$2, AsistenciaJetAdminConcatenada!$A:$A, 0)), ISNUMBER(MATCH(DB$1, AsistenciaJetAdminConcatenada!$B:$B, 0)), ISNUMBER(SEARCH($A85,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ISNUMBER(SEARCH($A85, INDEX(AsistenciaJetAdminConcatenada!$D:$D, MATCH(1, (AsistenciaJetAdminConcatenada!$A:$A=DB$2)*(AsistenciaJetAdminConcatenada!$B:$B=DB$1), 0)), 1))),  0.5, 0))</f>
        <v>0</v>
      </c>
      <c r="DC85" s="47">
        <f t="array" ref="DC85">IF(AND(ISNUMBER(MATCH(DC$2, AsistenciaJetAdminConcatenada!$A:$A, 0)), ISNUMBER(MATCH(DC$1, AsistenciaJetAdminConcatenada!$B:$B, 0)), ISNUMBER(SEARCH($A85,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ISNUMBER(SEARCH($A85, INDEX(AsistenciaJetAdminConcatenada!$D:$D, MATCH(1, (AsistenciaJetAdminConcatenada!$A:$A=DC$2)*(AsistenciaJetAdminConcatenada!$B:$B=DC$1), 0)), 1))),  0.5, 0))</f>
        <v>0</v>
      </c>
      <c r="DD85" s="47">
        <f t="array" ref="DD85">IF(AND(ISNUMBER(MATCH(DD$2, AsistenciaJetAdminConcatenada!$A:$A, 0)), ISNUMBER(MATCH(DD$1, AsistenciaJetAdminConcatenada!$B:$B, 0)), ISNUMBER(SEARCH($A85,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ISNUMBER(SEARCH($A85, INDEX(AsistenciaJetAdminConcatenada!$D:$D, MATCH(1, (AsistenciaJetAdminConcatenada!$A:$A=DD$2)*(AsistenciaJetAdminConcatenada!$B:$B=DD$1), 0)), 1))),  0.5, 0))</f>
        <v>0</v>
      </c>
      <c r="DE85" s="47">
        <f t="array" ref="DE85">IF(AND(ISNUMBER(MATCH(DE$2, AsistenciaJetAdminConcatenada!$A:$A, 0)), ISNUMBER(MATCH(DE$1, AsistenciaJetAdminConcatenada!$B:$B, 0)), ISNUMBER(SEARCH($A85,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ISNUMBER(SEARCH($A85, INDEX(AsistenciaJetAdminConcatenada!$D:$D, MATCH(1, (AsistenciaJetAdminConcatenada!$A:$A=DE$2)*(AsistenciaJetAdminConcatenada!$B:$B=DE$1), 0)), 1))),  0.5, 0))</f>
        <v>0</v>
      </c>
      <c r="DF85" s="47">
        <f t="array" ref="DF85">IF(AND(ISNUMBER(MATCH(DF$2, AsistenciaJetAdminConcatenada!$A:$A, 0)), ISNUMBER(MATCH(DF$1, AsistenciaJetAdminConcatenada!$B:$B, 0)), ISNUMBER(SEARCH($A85,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ISNUMBER(SEARCH($A85, INDEX(AsistenciaJetAdminConcatenada!$D:$D, MATCH(1, (AsistenciaJetAdminConcatenada!$A:$A=DF$2)*(AsistenciaJetAdminConcatenada!$B:$B=DF$1), 0)), 1))),  0.5, 0))</f>
        <v>0</v>
      </c>
      <c r="DG85" s="47">
        <f t="array" ref="DG85">IF(AND(ISNUMBER(MATCH(DG$2, AsistenciaJetAdminConcatenada!$A:$A, 0)), ISNUMBER(MATCH(DG$1, AsistenciaJetAdminConcatenada!$B:$B, 0)), ISNUMBER(SEARCH($A85,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ISNUMBER(SEARCH($A85, INDEX(AsistenciaJetAdminConcatenada!$D:$D, MATCH(1, (AsistenciaJetAdminConcatenada!$A:$A=DG$2)*(AsistenciaJetAdminConcatenada!$B:$B=DG$1), 0)), 1))),  0.5, 0))</f>
        <v>0</v>
      </c>
      <c r="DH85" s="47">
        <f t="array" ref="DH85">IF(AND(ISNUMBER(MATCH(DH$2, AsistenciaJetAdminConcatenada!$A:$A, 0)), ISNUMBER(MATCH(DH$1, AsistenciaJetAdminConcatenada!$B:$B, 0)), ISNUMBER(SEARCH($A85,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ISNUMBER(SEARCH($A85, INDEX(AsistenciaJetAdminConcatenada!$D:$D, MATCH(1, (AsistenciaJetAdminConcatenada!$A:$A=DH$2)*(AsistenciaJetAdminConcatenada!$B:$B=DH$1), 0)), 1))),  0.5, 0))</f>
        <v>0</v>
      </c>
      <c r="DI85" s="47">
        <f t="array" ref="DI85">IF(AND(ISNUMBER(MATCH(DI$2, AsistenciaJetAdminConcatenada!$A:$A, 0)), ISNUMBER(MATCH(DI$1, AsistenciaJetAdminConcatenada!$B:$B, 0)), ISNUMBER(SEARCH($A85,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ISNUMBER(SEARCH($A85, INDEX(AsistenciaJetAdminConcatenada!$D:$D, MATCH(1, (AsistenciaJetAdminConcatenada!$A:$A=DI$2)*(AsistenciaJetAdminConcatenada!$B:$B=DI$1), 0)), 1))),  0.5, 0))</f>
        <v>0</v>
      </c>
      <c r="DJ85" s="47">
        <f t="array" ref="DJ85">IF(AND(ISNUMBER(MATCH(DJ$2, AsistenciaJetAdminConcatenada!$A:$A, 0)), ISNUMBER(MATCH(DJ$1, AsistenciaJetAdminConcatenada!$B:$B, 0)), ISNUMBER(SEARCH($A85,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ISNUMBER(SEARCH($A85, INDEX(AsistenciaJetAdminConcatenada!$D:$D, MATCH(1, (AsistenciaJetAdminConcatenada!$A:$A=DJ$2)*(AsistenciaJetAdminConcatenada!$B:$B=DJ$1), 0)), 1))),  0.5, 0))</f>
        <v>0</v>
      </c>
      <c r="DK85" s="47">
        <f t="array" ref="DK85">IF(AND(ISNUMBER(MATCH(DK$2, AsistenciaJetAdminConcatenada!$A:$A, 0)), ISNUMBER(MATCH(DK$1, AsistenciaJetAdminConcatenada!$B:$B, 0)), ISNUMBER(SEARCH($A85,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ISNUMBER(SEARCH($A85, INDEX(AsistenciaJetAdminConcatenada!$D:$D, MATCH(1, (AsistenciaJetAdminConcatenada!$A:$A=DK$2)*(AsistenciaJetAdminConcatenada!$B:$B=DK$1), 0)), 1))),  0.5, 0))</f>
        <v>0</v>
      </c>
      <c r="DL85" s="47">
        <f t="array" ref="DL85">IF(AND(ISNUMBER(MATCH(DL$2, AsistenciaJetAdminConcatenada!$A:$A, 0)), ISNUMBER(MATCH(DL$1, AsistenciaJetAdminConcatenada!$B:$B, 0)), ISNUMBER(SEARCH($A85,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ISNUMBER(SEARCH($A85, INDEX(AsistenciaJetAdminConcatenada!$D:$D, MATCH(1, (AsistenciaJetAdminConcatenada!$A:$A=DL$2)*(AsistenciaJetAdminConcatenada!$B:$B=DL$1), 0)), 1))),  0.5, 0))</f>
        <v>0</v>
      </c>
      <c r="DM85" s="47">
        <f t="array" ref="DM85">IF(AND(ISNUMBER(MATCH(DM$2, AsistenciaJetAdminConcatenada!$A:$A, 0)), ISNUMBER(MATCH(DM$1, AsistenciaJetAdminConcatenada!$B:$B, 0)), ISNUMBER(SEARCH($A85,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ISNUMBER(SEARCH($A85, INDEX(AsistenciaJetAdminConcatenada!$D:$D, MATCH(1, (AsistenciaJetAdminConcatenada!$A:$A=DM$2)*(AsistenciaJetAdminConcatenada!$B:$B=DM$1), 0)), 1))),  0.5, 0))</f>
        <v>0</v>
      </c>
      <c r="DN85" s="47">
        <f t="array" ref="DN85">IF(AND(ISNUMBER(MATCH(DN$2, AsistenciaJetAdminConcatenada!$A:$A, 0)), ISNUMBER(MATCH(DN$1, AsistenciaJetAdminConcatenada!$B:$B, 0)), ISNUMBER(SEARCH($A85,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ISNUMBER(SEARCH($A85, INDEX(AsistenciaJetAdminConcatenada!$D:$D, MATCH(1, (AsistenciaJetAdminConcatenada!$A:$A=DN$2)*(AsistenciaJetAdminConcatenada!$B:$B=DN$1), 0)), 1))),  0.5, 0))</f>
        <v>0</v>
      </c>
      <c r="DO85" s="47">
        <f t="array" ref="DO85">IF(AND(ISNUMBER(MATCH(DO$2, AsistenciaJetAdminConcatenada!$A:$A, 0)), ISNUMBER(MATCH(DO$1, AsistenciaJetAdminConcatenada!$B:$B, 0)), ISNUMBER(SEARCH($A85,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ISNUMBER(SEARCH($A85, INDEX(AsistenciaJetAdminConcatenada!$D:$D, MATCH(1, (AsistenciaJetAdminConcatenada!$A:$A=DO$2)*(AsistenciaJetAdminConcatenada!$B:$B=DO$1), 0)), 1))),  0.5, 0))</f>
        <v>0</v>
      </c>
      <c r="DP85" s="47">
        <f t="array" ref="DP85">IF(AND(ISNUMBER(MATCH(DP$2, AsistenciaJetAdminConcatenada!$A:$A, 0)), ISNUMBER(MATCH(DP$1, AsistenciaJetAdminConcatenada!$B:$B, 0)), ISNUMBER(SEARCH($A85,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ISNUMBER(SEARCH($A85, INDEX(AsistenciaJetAdminConcatenada!$D:$D, MATCH(1, (AsistenciaJetAdminConcatenada!$A:$A=DP$2)*(AsistenciaJetAdminConcatenada!$B:$B=DP$1), 0)), 1))),  0.5, 0))</f>
        <v>0</v>
      </c>
      <c r="DQ85" s="47">
        <f t="array" ref="DQ85">IF(AND(ISNUMBER(MATCH(DQ$2, AsistenciaJetAdminConcatenada!$A:$A, 0)), ISNUMBER(MATCH(DQ$1, AsistenciaJetAdminConcatenada!$B:$B, 0)), ISNUMBER(SEARCH($A85,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ISNUMBER(SEARCH($A85, INDEX(AsistenciaJetAdminConcatenada!$D:$D, MATCH(1, (AsistenciaJetAdminConcatenada!$A:$A=DQ$2)*(AsistenciaJetAdminConcatenada!$B:$B=DQ$1), 0)), 1))),  0.5, 0))</f>
        <v>0</v>
      </c>
      <c r="DR85" s="47">
        <f t="array" ref="DR85">IF(AND(ISNUMBER(MATCH(DR$2, AsistenciaJetAdminConcatenada!$A:$A, 0)), ISNUMBER(MATCH(DR$1, AsistenciaJetAdminConcatenada!$B:$B, 0)), ISNUMBER(SEARCH($A85,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ISNUMBER(SEARCH($A85, INDEX(AsistenciaJetAdminConcatenada!$D:$D, MATCH(1, (AsistenciaJetAdminConcatenada!$A:$A=DR$2)*(AsistenciaJetAdminConcatenada!$B:$B=DR$1), 0)), 1))),  0.5, 0))</f>
        <v>0</v>
      </c>
      <c r="DS85" s="47">
        <f t="array" ref="DS85">IF(AND(ISNUMBER(MATCH(DS$2, AsistenciaJetAdminConcatenada!$A:$A, 0)), ISNUMBER(MATCH(DS$1, AsistenciaJetAdminConcatenada!$B:$B, 0)), ISNUMBER(SEARCH($A85,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ISNUMBER(SEARCH($A85, INDEX(AsistenciaJetAdminConcatenada!$D:$D, MATCH(1, (AsistenciaJetAdminConcatenada!$A:$A=DS$2)*(AsistenciaJetAdminConcatenada!$B:$B=DS$1), 0)), 1))),  0.5, 0))</f>
        <v>0</v>
      </c>
      <c r="DT85" s="47">
        <f t="array" ref="DT85">IF(AND(ISNUMBER(MATCH(DT$2, AsistenciaJetAdminConcatenada!$A:$A, 0)), ISNUMBER(MATCH(DT$1, AsistenciaJetAdminConcatenada!$B:$B, 0)), ISNUMBER(SEARCH($A85,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ISNUMBER(SEARCH($A85, INDEX(AsistenciaJetAdminConcatenada!$D:$D, MATCH(1, (AsistenciaJetAdminConcatenada!$A:$A=DT$2)*(AsistenciaJetAdminConcatenada!$B:$B=DT$1), 0)), 1))),  0.5, 0))</f>
        <v>0</v>
      </c>
      <c r="DU85" s="47">
        <f t="array" ref="DU85">IF(AND(ISNUMBER(MATCH(DU$2, AsistenciaJetAdminConcatenada!$A:$A, 0)), ISNUMBER(MATCH(DU$1, AsistenciaJetAdminConcatenada!$B:$B, 0)), ISNUMBER(SEARCH($A85,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ISNUMBER(SEARCH($A85, INDEX(AsistenciaJetAdminConcatenada!$D:$D, MATCH(1, (AsistenciaJetAdminConcatenada!$A:$A=DU$2)*(AsistenciaJetAdminConcatenada!$B:$B=DU$1), 0)), 1))),  0.5, 0))</f>
        <v>0</v>
      </c>
      <c r="DV85" s="47">
        <f t="array" ref="DV85">IF(AND(ISNUMBER(MATCH(DV$2, AsistenciaJetAdminConcatenada!$A:$A, 0)), ISNUMBER(MATCH(DV$1, AsistenciaJetAdminConcatenada!$B:$B, 0)), ISNUMBER(SEARCH($A85,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ISNUMBER(SEARCH($A85, INDEX(AsistenciaJetAdminConcatenada!$D:$D, MATCH(1, (AsistenciaJetAdminConcatenada!$A:$A=DV$2)*(AsistenciaJetAdminConcatenada!$B:$B=DV$1), 0)), 1))),  0.5, 0))</f>
        <v>0</v>
      </c>
      <c r="DW85" s="47">
        <f t="array" ref="DW85">IF(AND(ISNUMBER(MATCH(DW$2, AsistenciaJetAdminConcatenada!$A:$A, 0)), ISNUMBER(MATCH(DW$1, AsistenciaJetAdminConcatenada!$B:$B, 0)), ISNUMBER(SEARCH($A85,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ISNUMBER(SEARCH($A85, INDEX(AsistenciaJetAdminConcatenada!$D:$D, MATCH(1, (AsistenciaJetAdminConcatenada!$A:$A=DW$2)*(AsistenciaJetAdminConcatenada!$B:$B=DW$1), 0)), 1))),  0.5, 0))</f>
        <v>0</v>
      </c>
      <c r="DX85" s="47">
        <f t="array" ref="DX85">IF(AND(ISNUMBER(MATCH(DX$2, AsistenciaJetAdminConcatenada!$A:$A, 0)), ISNUMBER(MATCH(DX$1, AsistenciaJetAdminConcatenada!$B:$B, 0)), ISNUMBER(SEARCH($A85,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ISNUMBER(SEARCH($A85, INDEX(AsistenciaJetAdminConcatenada!$D:$D, MATCH(1, (AsistenciaJetAdminConcatenada!$A:$A=DX$2)*(AsistenciaJetAdminConcatenada!$B:$B=DX$1), 0)), 1))),  0.5, 0))</f>
        <v>0</v>
      </c>
      <c r="DY85" s="47">
        <f t="array" ref="DY85">IF(AND(ISNUMBER(MATCH(DY$2, AsistenciaJetAdminConcatenada!$A:$A, 0)), ISNUMBER(MATCH(DY$1, AsistenciaJetAdminConcatenada!$B:$B, 0)), ISNUMBER(SEARCH($A85,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ISNUMBER(SEARCH($A85, INDEX(AsistenciaJetAdminConcatenada!$D:$D, MATCH(1, (AsistenciaJetAdminConcatenada!$A:$A=DY$2)*(AsistenciaJetAdminConcatenada!$B:$B=DY$1), 0)), 1))),  0.5, 0))</f>
        <v>0</v>
      </c>
      <c r="DZ85" s="47">
        <f t="array" ref="DZ85">IF(AND(ISNUMBER(MATCH(DZ$2, AsistenciaJetAdminConcatenada!$A:$A, 0)), ISNUMBER(MATCH(DZ$1, AsistenciaJetAdminConcatenada!$B:$B, 0)), ISNUMBER(SEARCH($A85,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ISNUMBER(SEARCH($A85, INDEX(AsistenciaJetAdminConcatenada!$D:$D, MATCH(1, (AsistenciaJetAdminConcatenada!$A:$A=DZ$2)*(AsistenciaJetAdminConcatenada!$B:$B=DZ$1), 0)), 1))),  0.5, 0))</f>
        <v>0</v>
      </c>
      <c r="EA85" s="47">
        <f t="array" ref="EA85">IF(AND(ISNUMBER(MATCH(EA$2, AsistenciaJetAdminConcatenada!$A:$A, 0)), ISNUMBER(MATCH(EA$1, AsistenciaJetAdminConcatenada!$B:$B, 0)), ISNUMBER(SEARCH($A85,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ISNUMBER(SEARCH($A85, INDEX(AsistenciaJetAdminConcatenada!$D:$D, MATCH(1, (AsistenciaJetAdminConcatenada!$A:$A=EA$2)*(AsistenciaJetAdminConcatenada!$B:$B=EA$1), 0)), 1))),  0.5, 0))</f>
        <v>0</v>
      </c>
      <c r="EB85" s="47">
        <f t="array" ref="EB85">IF(AND(ISNUMBER(MATCH(EB$2, AsistenciaJetAdminConcatenada!$A:$A, 0)), ISNUMBER(MATCH(EB$1, AsistenciaJetAdminConcatenada!$B:$B, 0)), ISNUMBER(SEARCH($A85,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ISNUMBER(SEARCH($A85, INDEX(AsistenciaJetAdminConcatenada!$D:$D, MATCH(1, (AsistenciaJetAdminConcatenada!$A:$A=EB$2)*(AsistenciaJetAdminConcatenada!$B:$B=EB$1), 0)), 1))),  0.5, 0))</f>
        <v>0</v>
      </c>
      <c r="EC85" s="47">
        <f t="array" ref="EC85">IF(AND(ISNUMBER(MATCH(EC$2, AsistenciaJetAdminConcatenada!$A:$A, 0)), ISNUMBER(MATCH(EC$1, AsistenciaJetAdminConcatenada!$B:$B, 0)), ISNUMBER(SEARCH($A85,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ISNUMBER(SEARCH($A85, INDEX(AsistenciaJetAdminConcatenada!$D:$D, MATCH(1, (AsistenciaJetAdminConcatenada!$A:$A=EC$2)*(AsistenciaJetAdminConcatenada!$B:$B=EC$1), 0)), 1))),  0.5, 0))</f>
        <v>0</v>
      </c>
      <c r="ED85" s="47">
        <f t="array" ref="ED85">IF(AND(ISNUMBER(MATCH(ED$2, AsistenciaJetAdminConcatenada!$A:$A, 0)), ISNUMBER(MATCH(ED$1, AsistenciaJetAdminConcatenada!$B:$B, 0)), ISNUMBER(SEARCH($A85,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ISNUMBER(SEARCH($A85, INDEX(AsistenciaJetAdminConcatenada!$D:$D, MATCH(1, (AsistenciaJetAdminConcatenada!$A:$A=ED$2)*(AsistenciaJetAdminConcatenada!$B:$B=ED$1), 0)), 1))),  0.5, 0))</f>
        <v>0</v>
      </c>
      <c r="EE85" s="47">
        <f t="array" ref="EE85">IF(AND(ISNUMBER(MATCH(EE$2, AsistenciaJetAdminConcatenada!$A:$A, 0)), ISNUMBER(MATCH(EE$1, AsistenciaJetAdminConcatenada!$B:$B, 0)), ISNUMBER(SEARCH($A85,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ISNUMBER(SEARCH($A85, INDEX(AsistenciaJetAdminConcatenada!$D:$D, MATCH(1, (AsistenciaJetAdminConcatenada!$A:$A=EE$2)*(AsistenciaJetAdminConcatenada!$B:$B=EE$1), 0)), 1))),  0.5, 0))</f>
        <v>0</v>
      </c>
      <c r="EF85" s="47">
        <f t="array" ref="EF85">IF(AND(ISNUMBER(MATCH(EF$2, AsistenciaJetAdminConcatenada!$A:$A, 0)), ISNUMBER(MATCH(EF$1, AsistenciaJetAdminConcatenada!$B:$B, 0)), ISNUMBER(SEARCH($A85,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ISNUMBER(SEARCH($A85, INDEX(AsistenciaJetAdminConcatenada!$D:$D, MATCH(1, (AsistenciaJetAdminConcatenada!$A:$A=EF$2)*(AsistenciaJetAdminConcatenada!$B:$B=EF$1), 0)), 1))),  0.5, 0))</f>
        <v>0</v>
      </c>
      <c r="EG85" s="47">
        <f t="array" ref="EG85">IF(AND(ISNUMBER(MATCH(EG$2, AsistenciaJetAdminConcatenada!$A:$A, 0)), ISNUMBER(MATCH(EG$1, AsistenciaJetAdminConcatenada!$B:$B, 0)), ISNUMBER(SEARCH($A85,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ISNUMBER(SEARCH($A85, INDEX(AsistenciaJetAdminConcatenada!$D:$D, MATCH(1, (AsistenciaJetAdminConcatenada!$A:$A=EG$2)*(AsistenciaJetAdminConcatenada!$B:$B=EG$1), 0)), 1))),  0.5, 0))</f>
        <v>0</v>
      </c>
      <c r="EH85" s="47">
        <f t="array" ref="EH85">IF(AND(ISNUMBER(MATCH(EH$2, AsistenciaJetAdminConcatenada!$A:$A, 0)), ISNUMBER(MATCH(EH$1, AsistenciaJetAdminConcatenada!$B:$B, 0)), ISNUMBER(SEARCH($A85,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ISNUMBER(SEARCH($A85, INDEX(AsistenciaJetAdminConcatenada!$D:$D, MATCH(1, (AsistenciaJetAdminConcatenada!$A:$A=EH$2)*(AsistenciaJetAdminConcatenada!$B:$B=EH$1), 0)), 1))),  0.5, 0))</f>
        <v>0</v>
      </c>
      <c r="EI85" s="47">
        <f t="array" ref="EI85">IF(AND(ISNUMBER(MATCH(EI$2, AsistenciaJetAdminConcatenada!$A:$A, 0)), ISNUMBER(MATCH(EI$1, AsistenciaJetAdminConcatenada!$B:$B, 0)), ISNUMBER(SEARCH($A85,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ISNUMBER(SEARCH($A85, INDEX(AsistenciaJetAdminConcatenada!$D:$D, MATCH(1, (AsistenciaJetAdminConcatenada!$A:$A=EI$2)*(AsistenciaJetAdminConcatenada!$B:$B=EI$1), 0)), 1))),  0.5, 0))</f>
        <v>0</v>
      </c>
      <c r="EJ85" s="47">
        <f t="array" ref="EJ85">IF(AND(ISNUMBER(MATCH(EJ$2, AsistenciaJetAdminConcatenada!$A:$A, 0)), ISNUMBER(MATCH(EJ$1, AsistenciaJetAdminConcatenada!$B:$B, 0)), ISNUMBER(SEARCH($A85,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ISNUMBER(SEARCH($A85, INDEX(AsistenciaJetAdminConcatenada!$D:$D, MATCH(1, (AsistenciaJetAdminConcatenada!$A:$A=EJ$2)*(AsistenciaJetAdminConcatenada!$B:$B=EJ$1), 0)), 1))),  0.5, 0))</f>
        <v>0</v>
      </c>
      <c r="EK85" s="47">
        <f t="array" ref="EK85">IF(AND(ISNUMBER(MATCH(EK$2, AsistenciaJetAdminConcatenada!$A:$A, 0)), ISNUMBER(MATCH(EK$1, AsistenciaJetAdminConcatenada!$B:$B, 0)), ISNUMBER(SEARCH($A85,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ISNUMBER(SEARCH($A85, INDEX(AsistenciaJetAdminConcatenada!$D:$D, MATCH(1, (AsistenciaJetAdminConcatenada!$A:$A=EK$2)*(AsistenciaJetAdminConcatenada!$B:$B=EK$1), 0)), 1))),  0.5, 0))</f>
        <v>0</v>
      </c>
      <c r="EL85" s="47">
        <f t="array" ref="EL85">IF(AND(ISNUMBER(MATCH(EL$2, AsistenciaJetAdminConcatenada!$A:$A, 0)), ISNUMBER(MATCH(EL$1, AsistenciaJetAdminConcatenada!$B:$B, 0)), ISNUMBER(SEARCH($A85,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ISNUMBER(SEARCH($A85, INDEX(AsistenciaJetAdminConcatenada!$D:$D, MATCH(1, (AsistenciaJetAdminConcatenada!$A:$A=EL$2)*(AsistenciaJetAdminConcatenada!$B:$B=EL$1), 0)), 1))),  0.5, 0))</f>
        <v>0</v>
      </c>
      <c r="EM85" s="47">
        <f t="array" ref="EM85">IF(AND(ISNUMBER(MATCH(EM$2, AsistenciaJetAdminConcatenada!$A:$A, 0)), ISNUMBER(MATCH(EM$1, AsistenciaJetAdminConcatenada!$B:$B, 0)), ISNUMBER(SEARCH($A85,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ISNUMBER(SEARCH($A85, INDEX(AsistenciaJetAdminConcatenada!$D:$D, MATCH(1, (AsistenciaJetAdminConcatenada!$A:$A=EM$2)*(AsistenciaJetAdminConcatenada!$B:$B=EM$1), 0)), 1))),  0.5, 0))</f>
        <v>0</v>
      </c>
      <c r="EN85" s="47">
        <f t="array" ref="EN85">IF(AND(ISNUMBER(MATCH(EN$2, AsistenciaJetAdminConcatenada!$A:$A, 0)), ISNUMBER(MATCH(EN$1, AsistenciaJetAdminConcatenada!$B:$B, 0)), ISNUMBER(SEARCH($A85,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ISNUMBER(SEARCH($A85, INDEX(AsistenciaJetAdminConcatenada!$D:$D, MATCH(1, (AsistenciaJetAdminConcatenada!$A:$A=EN$2)*(AsistenciaJetAdminConcatenada!$B:$B=EN$1), 0)), 1))),  0.5, 0))</f>
        <v>0</v>
      </c>
      <c r="EO85" s="47">
        <f t="array" ref="EO85">IF(AND(ISNUMBER(MATCH(EO$2, AsistenciaJetAdminConcatenada!$A:$A, 0)), ISNUMBER(MATCH(EO$1, AsistenciaJetAdminConcatenada!$B:$B, 0)), ISNUMBER(SEARCH($A85,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ISNUMBER(SEARCH($A85, INDEX(AsistenciaJetAdminConcatenada!$D:$D, MATCH(1, (AsistenciaJetAdminConcatenada!$A:$A=EO$2)*(AsistenciaJetAdminConcatenada!$B:$B=EO$1), 0)), 1))),  0.5, 0))</f>
        <v>0</v>
      </c>
      <c r="EP85" s="47">
        <f t="array" ref="EP85">IF(AND(ISNUMBER(MATCH(EP$2, AsistenciaJetAdminConcatenada!$A:$A, 0)), ISNUMBER(MATCH(EP$1, AsistenciaJetAdminConcatenada!$B:$B, 0)), ISNUMBER(SEARCH($A85,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ISNUMBER(SEARCH($A85, INDEX(AsistenciaJetAdminConcatenada!$D:$D, MATCH(1, (AsistenciaJetAdminConcatenada!$A:$A=EP$2)*(AsistenciaJetAdminConcatenada!$B:$B=EP$1), 0)), 1))),  0.5, 0))</f>
        <v>0</v>
      </c>
      <c r="EQ85" s="47">
        <f t="array" ref="EQ85">IF(AND(ISNUMBER(MATCH(EQ$2, AsistenciaJetAdminConcatenada!$A:$A, 0)), ISNUMBER(MATCH(EQ$1, AsistenciaJetAdminConcatenada!$B:$B, 0)), ISNUMBER(SEARCH($A85,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ISNUMBER(SEARCH($A85, INDEX(AsistenciaJetAdminConcatenada!$D:$D, MATCH(1, (AsistenciaJetAdminConcatenada!$A:$A=EQ$2)*(AsistenciaJetAdminConcatenada!$B:$B=EQ$1), 0)), 1))),  0.5, 0))</f>
        <v>0</v>
      </c>
      <c r="ER85" s="47">
        <f t="array" ref="ER85">IF(AND(ISNUMBER(MATCH(ER$2, AsistenciaJetAdminConcatenada!$A:$A, 0)), ISNUMBER(MATCH(ER$1, AsistenciaJetAdminConcatenada!$B:$B, 0)), ISNUMBER(SEARCH($A85,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ISNUMBER(SEARCH($A85, INDEX(AsistenciaJetAdminConcatenada!$D:$D, MATCH(1, (AsistenciaJetAdminConcatenada!$A:$A=ER$2)*(AsistenciaJetAdminConcatenada!$B:$B=ER$1), 0)), 1))),  0.5, 0))</f>
        <v>0</v>
      </c>
      <c r="ES85" s="47">
        <f t="array" ref="ES85">IF(AND(ISNUMBER(MATCH(ES$2, AsistenciaJetAdminConcatenada!$A:$A, 0)), ISNUMBER(MATCH(ES$1, AsistenciaJetAdminConcatenada!$B:$B, 0)), ISNUMBER(SEARCH($A85,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ISNUMBER(SEARCH($A85, INDEX(AsistenciaJetAdminConcatenada!$D:$D, MATCH(1, (AsistenciaJetAdminConcatenada!$A:$A=ES$2)*(AsistenciaJetAdminConcatenada!$B:$B=ES$1), 0)), 1))),  0.5, 0))</f>
        <v>0</v>
      </c>
      <c r="ET85" s="47">
        <f t="array" ref="ET85">IF(AND(ISNUMBER(MATCH(ET$2, AsistenciaJetAdminConcatenada!$A:$A, 0)), ISNUMBER(MATCH(ET$1, AsistenciaJetAdminConcatenada!$B:$B, 0)), ISNUMBER(SEARCH($A85,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ISNUMBER(SEARCH($A85, INDEX(AsistenciaJetAdminConcatenada!$D:$D, MATCH(1, (AsistenciaJetAdminConcatenada!$A:$A=ET$2)*(AsistenciaJetAdminConcatenada!$B:$B=ET$1), 0)), 1))),  0.5, 0))</f>
        <v>0</v>
      </c>
      <c r="EU85" s="47">
        <f t="array" ref="EU85">IF(AND(ISNUMBER(MATCH(EU$2, AsistenciaJetAdminConcatenada!$A:$A, 0)), ISNUMBER(MATCH(EU$1, AsistenciaJetAdminConcatenada!$B:$B, 0)), ISNUMBER(SEARCH($A85,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ISNUMBER(SEARCH($A85, INDEX(AsistenciaJetAdminConcatenada!$D:$D, MATCH(1, (AsistenciaJetAdminConcatenada!$A:$A=EU$2)*(AsistenciaJetAdminConcatenada!$B:$B=EU$1), 0)), 1))),  0.5, 0))</f>
        <v>0</v>
      </c>
      <c r="EV85" s="47">
        <f t="array" ref="EV85">IF(AND(ISNUMBER(MATCH(EV$2, AsistenciaJetAdminConcatenada!$A:$A, 0)), ISNUMBER(MATCH(EV$1, AsistenciaJetAdminConcatenada!$B:$B, 0)), ISNUMBER(SEARCH($A85,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ISNUMBER(SEARCH($A85, INDEX(AsistenciaJetAdminConcatenada!$D:$D, MATCH(1, (AsistenciaJetAdminConcatenada!$A:$A=EV$2)*(AsistenciaJetAdminConcatenada!$B:$B=EV$1), 0)), 1))),  0.5, 0))</f>
        <v>0</v>
      </c>
      <c r="EW85" s="47">
        <f t="array" ref="EW85">IF(AND(ISNUMBER(MATCH(EW$2, AsistenciaJetAdminConcatenada!$A:$A, 0)), ISNUMBER(MATCH(EW$1, AsistenciaJetAdminConcatenada!$B:$B, 0)), ISNUMBER(SEARCH($A85,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ISNUMBER(SEARCH($A85, INDEX(AsistenciaJetAdminConcatenada!$D:$D, MATCH(1, (AsistenciaJetAdminConcatenada!$A:$A=EW$2)*(AsistenciaJetAdminConcatenada!$B:$B=EW$1), 0)), 1))),  0.5, 0))</f>
        <v>0</v>
      </c>
      <c r="EX85" s="47">
        <f t="array" ref="EX85">IF(AND(ISNUMBER(MATCH(EX$2, AsistenciaJetAdminConcatenada!$A:$A, 0)), ISNUMBER(MATCH(EX$1, AsistenciaJetAdminConcatenada!$B:$B, 0)), ISNUMBER(SEARCH($A85,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ISNUMBER(SEARCH($A85, INDEX(AsistenciaJetAdminConcatenada!$D:$D, MATCH(1, (AsistenciaJetAdminConcatenada!$A:$A=EX$2)*(AsistenciaJetAdminConcatenada!$B:$B=EX$1), 0)), 1))),  0.5, 0))</f>
        <v>0</v>
      </c>
      <c r="EY85" s="47">
        <f t="array" ref="EY85">IF(AND(ISNUMBER(MATCH(EY$2, AsistenciaJetAdminConcatenada!$A:$A, 0)), ISNUMBER(MATCH(EY$1, AsistenciaJetAdminConcatenada!$B:$B, 0)), ISNUMBER(SEARCH($A85,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ISNUMBER(SEARCH($A85, INDEX(AsistenciaJetAdminConcatenada!$D:$D, MATCH(1, (AsistenciaJetAdminConcatenada!$A:$A=EY$2)*(AsistenciaJetAdminConcatenada!$B:$B=EY$1), 0)), 1))),  0.5, 0))</f>
        <v>0</v>
      </c>
      <c r="EZ85" s="47">
        <f t="array" ref="EZ85">IF(AND(ISNUMBER(MATCH(EZ$2, AsistenciaJetAdminConcatenada!$A:$A, 0)), ISNUMBER(MATCH(EZ$1, AsistenciaJetAdminConcatenada!$B:$B, 0)), ISNUMBER(SEARCH($A85,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ISNUMBER(SEARCH($A85, INDEX(AsistenciaJetAdminConcatenada!$D:$D, MATCH(1, (AsistenciaJetAdminConcatenada!$A:$A=EZ$2)*(AsistenciaJetAdminConcatenada!$B:$B=EZ$1), 0)), 1))),  0.5, 0))</f>
        <v>0</v>
      </c>
      <c r="FA85" s="47">
        <f t="array" ref="FA85">IF(AND(ISNUMBER(MATCH(FA$2, AsistenciaJetAdminConcatenada!$A:$A, 0)), ISNUMBER(MATCH(FA$1, AsistenciaJetAdminConcatenada!$B:$B, 0)), ISNUMBER(SEARCH($A85,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ISNUMBER(SEARCH($A85, INDEX(AsistenciaJetAdminConcatenada!$D:$D, MATCH(1, (AsistenciaJetAdminConcatenada!$A:$A=FA$2)*(AsistenciaJetAdminConcatenada!$B:$B=FA$1), 0)), 1))),  0.5, 0))</f>
        <v>0</v>
      </c>
      <c r="FB85" s="47">
        <f t="array" ref="FB85">IF(AND(ISNUMBER(MATCH(FB$2, AsistenciaJetAdminConcatenada!$A:$A, 0)), ISNUMBER(MATCH(FB$1, AsistenciaJetAdminConcatenada!$B:$B, 0)), ISNUMBER(SEARCH($A85,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ISNUMBER(SEARCH($A85, INDEX(AsistenciaJetAdminConcatenada!$D:$D, MATCH(1, (AsistenciaJetAdminConcatenada!$A:$A=FB$2)*(AsistenciaJetAdminConcatenada!$B:$B=FB$1), 0)), 1))),  0.5, 0))</f>
        <v>0</v>
      </c>
      <c r="FC85" s="47">
        <f t="array" ref="FC85">IF(AND(ISNUMBER(MATCH(FC$2, AsistenciaJetAdminConcatenada!$A:$A, 0)), ISNUMBER(MATCH(FC$1, AsistenciaJetAdminConcatenada!$B:$B, 0)), ISNUMBER(SEARCH($A85,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ISNUMBER(SEARCH($A85, INDEX(AsistenciaJetAdminConcatenada!$D:$D, MATCH(1, (AsistenciaJetAdminConcatenada!$A:$A=FC$2)*(AsistenciaJetAdminConcatenada!$B:$B=FC$1), 0)), 1))),  0.5, 0))</f>
        <v>0</v>
      </c>
      <c r="FD85" s="47">
        <f t="array" ref="FD85">IF(AND(ISNUMBER(MATCH(FD$2, AsistenciaJetAdminConcatenada!$A:$A, 0)), ISNUMBER(MATCH(FD$1, AsistenciaJetAdminConcatenada!$B:$B, 0)), ISNUMBER(SEARCH($A85,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ISNUMBER(SEARCH($A85, INDEX(AsistenciaJetAdminConcatenada!$D:$D, MATCH(1, (AsistenciaJetAdminConcatenada!$A:$A=FD$2)*(AsistenciaJetAdminConcatenada!$B:$B=FD$1), 0)), 1))),  0.5, 0))</f>
        <v>0</v>
      </c>
      <c r="FE85" s="47">
        <f t="array" ref="FE85">IF(AND(ISNUMBER(MATCH(FE$2, AsistenciaJetAdminConcatenada!$A:$A, 0)), ISNUMBER(MATCH(FE$1, AsistenciaJetAdminConcatenada!$B:$B, 0)), ISNUMBER(SEARCH($A85,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ISNUMBER(SEARCH($A85, INDEX(AsistenciaJetAdminConcatenada!$D:$D, MATCH(1, (AsistenciaJetAdminConcatenada!$A:$A=FE$2)*(AsistenciaJetAdminConcatenada!$B:$B=FE$1), 0)), 1))),  0.5, 0))</f>
        <v>0</v>
      </c>
      <c r="FF85" s="47">
        <f t="array" ref="FF85">IF(AND(ISNUMBER(MATCH(FF$2, AsistenciaJetAdminConcatenada!$A:$A, 0)), ISNUMBER(MATCH(FF$1, AsistenciaJetAdminConcatenada!$B:$B, 0)), ISNUMBER(SEARCH($A85,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ISNUMBER(SEARCH($A85, INDEX(AsistenciaJetAdminConcatenada!$D:$D, MATCH(1, (AsistenciaJetAdminConcatenada!$A:$A=FF$2)*(AsistenciaJetAdminConcatenada!$B:$B=FF$1), 0)), 1))),  0.5, 0))</f>
        <v>0</v>
      </c>
      <c r="FG85" s="47">
        <f t="array" ref="FG85">IF(AND(ISNUMBER(MATCH(FG$2, AsistenciaJetAdminConcatenada!$A:$A, 0)), ISNUMBER(MATCH(FG$1, AsistenciaJetAdminConcatenada!$B:$B, 0)), ISNUMBER(SEARCH($A85,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ISNUMBER(SEARCH($A85, INDEX(AsistenciaJetAdminConcatenada!$D:$D, MATCH(1, (AsistenciaJetAdminConcatenada!$A:$A=FG$2)*(AsistenciaJetAdminConcatenada!$B:$B=FG$1), 0)), 1))),  0.5, 0))</f>
        <v>0</v>
      </c>
      <c r="FH85" s="47">
        <f t="array" ref="FH85">IF(AND(ISNUMBER(MATCH(FH$2, AsistenciaJetAdminConcatenada!$A:$A, 0)), ISNUMBER(MATCH(FH$1, AsistenciaJetAdminConcatenada!$B:$B, 0)), ISNUMBER(SEARCH($A85,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ISNUMBER(SEARCH($A85, INDEX(AsistenciaJetAdminConcatenada!$D:$D, MATCH(1, (AsistenciaJetAdminConcatenada!$A:$A=FH$2)*(AsistenciaJetAdminConcatenada!$B:$B=FH$1), 0)), 1))),  0.5, 0))</f>
        <v>0</v>
      </c>
      <c r="FI85" s="47">
        <f t="array" ref="FI85">IF(AND(ISNUMBER(MATCH(FI$2, AsistenciaJetAdminConcatenada!$A:$A, 0)), ISNUMBER(MATCH(FI$1, AsistenciaJetAdminConcatenada!$B:$B, 0)), ISNUMBER(SEARCH($A85,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ISNUMBER(SEARCH($A85, INDEX(AsistenciaJetAdminConcatenada!$D:$D, MATCH(1, (AsistenciaJetAdminConcatenada!$A:$A=FI$2)*(AsistenciaJetAdminConcatenada!$B:$B=FI$1), 0)), 1))),  0.5, 0))</f>
        <v>0</v>
      </c>
      <c r="FJ85" s="47">
        <f t="array" ref="FJ85">IF(AND(ISNUMBER(MATCH(FJ$2, AsistenciaJetAdminConcatenada!$A:$A, 0)), ISNUMBER(MATCH(FJ$1, AsistenciaJetAdminConcatenada!$B:$B, 0)), ISNUMBER(SEARCH($A85,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ISNUMBER(SEARCH($A85, INDEX(AsistenciaJetAdminConcatenada!$D:$D, MATCH(1, (AsistenciaJetAdminConcatenada!$A:$A=FJ$2)*(AsistenciaJetAdminConcatenada!$B:$B=FJ$1), 0)), 1))),  0.5, 0))</f>
        <v>0</v>
      </c>
      <c r="FK85" s="47">
        <f t="array" ref="FK85">IF(AND(ISNUMBER(MATCH(FK$2, AsistenciaJetAdminConcatenada!$A:$A, 0)), ISNUMBER(MATCH(FK$1, AsistenciaJetAdminConcatenada!$B:$B, 0)), ISNUMBER(SEARCH($A85,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ISNUMBER(SEARCH($A85, INDEX(AsistenciaJetAdminConcatenada!$D:$D, MATCH(1, (AsistenciaJetAdminConcatenada!$A:$A=FK$2)*(AsistenciaJetAdminConcatenada!$B:$B=FK$1), 0)), 1))),  0.5, 0))</f>
        <v>0</v>
      </c>
      <c r="FL85" s="47">
        <f t="array" ref="FL85">IF(AND(ISNUMBER(MATCH(FL$2, AsistenciaJetAdminConcatenada!$A:$A, 0)), ISNUMBER(MATCH(FL$1, AsistenciaJetAdminConcatenada!$B:$B, 0)), ISNUMBER(SEARCH($A85,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ISNUMBER(SEARCH($A85, INDEX(AsistenciaJetAdminConcatenada!$D:$D, MATCH(1, (AsistenciaJetAdminConcatenada!$A:$A=FL$2)*(AsistenciaJetAdminConcatenada!$B:$B=FL$1), 0)), 1))),  0.5, 0))</f>
        <v>0</v>
      </c>
      <c r="FM85" s="47">
        <f t="array" ref="FM85">IF(AND(ISNUMBER(MATCH(FM$2, AsistenciaJetAdminConcatenada!$A:$A, 0)), ISNUMBER(MATCH(FM$1, AsistenciaJetAdminConcatenada!$B:$B, 0)), ISNUMBER(SEARCH($A85,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ISNUMBER(SEARCH($A85, INDEX(AsistenciaJetAdminConcatenada!$D:$D, MATCH(1, (AsistenciaJetAdminConcatenada!$A:$A=FM$2)*(AsistenciaJetAdminConcatenada!$B:$B=FM$1), 0)), 1))),  0.5, 0))</f>
        <v>0</v>
      </c>
      <c r="FN85" s="47">
        <f t="array" ref="FN85">IF(AND(ISNUMBER(MATCH(FN$2, AsistenciaJetAdminConcatenada!$A:$A, 0)), ISNUMBER(MATCH(FN$1, AsistenciaJetAdminConcatenada!$B:$B, 0)), ISNUMBER(SEARCH($A85,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ISNUMBER(SEARCH($A85, INDEX(AsistenciaJetAdminConcatenada!$D:$D, MATCH(1, (AsistenciaJetAdminConcatenada!$A:$A=FN$2)*(AsistenciaJetAdminConcatenada!$B:$B=FN$1), 0)), 1))),  0.5, 0))</f>
        <v>0</v>
      </c>
      <c r="FO85" s="47">
        <f t="array" ref="FO85">IF(AND(ISNUMBER(MATCH(FO$2, AsistenciaJetAdminConcatenada!$A:$A, 0)), ISNUMBER(MATCH(FO$1, AsistenciaJetAdminConcatenada!$B:$B, 0)), ISNUMBER(SEARCH($A85,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ISNUMBER(SEARCH($A85, INDEX(AsistenciaJetAdminConcatenada!$D:$D, MATCH(1, (AsistenciaJetAdminConcatenada!$A:$A=FO$2)*(AsistenciaJetAdminConcatenada!$B:$B=FO$1), 0)), 1))),  0.5, 0))</f>
        <v>0</v>
      </c>
      <c r="FP85" s="47">
        <f t="array" ref="FP85">IF(AND(ISNUMBER(MATCH(FP$2, AsistenciaJetAdminConcatenada!$A:$A, 0)), ISNUMBER(MATCH(FP$1, AsistenciaJetAdminConcatenada!$B:$B, 0)), ISNUMBER(SEARCH($A85,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ISNUMBER(SEARCH($A85, INDEX(AsistenciaJetAdminConcatenada!$D:$D, MATCH(1, (AsistenciaJetAdminConcatenada!$A:$A=FP$2)*(AsistenciaJetAdminConcatenada!$B:$B=FP$1), 0)), 1))),  0.5, 0))</f>
        <v>0</v>
      </c>
      <c r="FQ85" s="47">
        <f t="array" ref="FQ85">IF(AND(ISNUMBER(MATCH(FQ$2, AsistenciaJetAdminConcatenada!$A:$A, 0)), ISNUMBER(MATCH(FQ$1, AsistenciaJetAdminConcatenada!$B:$B, 0)), ISNUMBER(SEARCH($A85,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ISNUMBER(SEARCH($A85, INDEX(AsistenciaJetAdminConcatenada!$D:$D, MATCH(1, (AsistenciaJetAdminConcatenada!$A:$A=FQ$2)*(AsistenciaJetAdminConcatenada!$B:$B=FQ$1), 0)), 1))),  0.5, 0))</f>
        <v>0</v>
      </c>
      <c r="FR85" s="47">
        <f t="array" ref="FR85">IF(AND(ISNUMBER(MATCH(FR$2, AsistenciaJetAdminConcatenada!$A:$A, 0)), ISNUMBER(MATCH(FR$1, AsistenciaJetAdminConcatenada!$B:$B, 0)), ISNUMBER(SEARCH($A85,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ISNUMBER(SEARCH($A85, INDEX(AsistenciaJetAdminConcatenada!$D:$D, MATCH(1, (AsistenciaJetAdminConcatenada!$A:$A=FR$2)*(AsistenciaJetAdminConcatenada!$B:$B=FR$1), 0)), 1))),  0.5, 0))</f>
        <v>0</v>
      </c>
      <c r="FS85" s="47">
        <f t="array" ref="FS85">IF(AND(ISNUMBER(MATCH(FS$2, AsistenciaJetAdminConcatenada!$A:$A, 0)), ISNUMBER(MATCH(FS$1, AsistenciaJetAdminConcatenada!$B:$B, 0)), ISNUMBER(SEARCH($A85,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ISNUMBER(SEARCH($A85, INDEX(AsistenciaJetAdminConcatenada!$D:$D, MATCH(1, (AsistenciaJetAdminConcatenada!$A:$A=FS$2)*(AsistenciaJetAdminConcatenada!$B:$B=FS$1), 0)), 1))),  0.5, 0))</f>
        <v>0</v>
      </c>
      <c r="FT85" s="47">
        <f t="array" ref="FT85">IF(AND(ISNUMBER(MATCH(FT$2, AsistenciaJetAdminConcatenada!$A:$A, 0)), ISNUMBER(MATCH(FT$1, AsistenciaJetAdminConcatenada!$B:$B, 0)), ISNUMBER(SEARCH($A85,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ISNUMBER(SEARCH($A85, INDEX(AsistenciaJetAdminConcatenada!$D:$D, MATCH(1, (AsistenciaJetAdminConcatenada!$A:$A=FT$2)*(AsistenciaJetAdminConcatenada!$B:$B=FT$1), 0)), 1))),  0.5, 0))</f>
        <v>0</v>
      </c>
      <c r="FU85" s="47">
        <f t="array" ref="FU85">IF(AND(ISNUMBER(MATCH(FU$2, AsistenciaJetAdminConcatenada!$A:$A, 0)), ISNUMBER(MATCH(FU$1, AsistenciaJetAdminConcatenada!$B:$B, 0)), ISNUMBER(SEARCH($A85,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ISNUMBER(SEARCH($A85, INDEX(AsistenciaJetAdminConcatenada!$D:$D, MATCH(1, (AsistenciaJetAdminConcatenada!$A:$A=FU$2)*(AsistenciaJetAdminConcatenada!$B:$B=FU$1), 0)), 1))),  0.5, 0))</f>
        <v>0</v>
      </c>
      <c r="FV85" s="47">
        <f t="array" ref="FV85">IF(AND(ISNUMBER(MATCH(FV$2, AsistenciaJetAdminConcatenada!$A:$A, 0)), ISNUMBER(MATCH(FV$1, AsistenciaJetAdminConcatenada!$B:$B, 0)), ISNUMBER(SEARCH($A85,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ISNUMBER(SEARCH($A85, INDEX(AsistenciaJetAdminConcatenada!$D:$D, MATCH(1, (AsistenciaJetAdminConcatenada!$A:$A=FV$2)*(AsistenciaJetAdminConcatenada!$B:$B=FV$1), 0)), 1))),  0.5, 0))</f>
        <v>0</v>
      </c>
      <c r="FW85" s="47">
        <f t="array" ref="FW85">IF(AND(ISNUMBER(MATCH(FW$2, AsistenciaJetAdminConcatenada!$A:$A, 0)), ISNUMBER(MATCH(FW$1, AsistenciaJetAdminConcatenada!$B:$B, 0)), ISNUMBER(SEARCH($A85,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ISNUMBER(SEARCH($A85, INDEX(AsistenciaJetAdminConcatenada!$D:$D, MATCH(1, (AsistenciaJetAdminConcatenada!$A:$A=FW$2)*(AsistenciaJetAdminConcatenada!$B:$B=FW$1), 0)), 1))),  0.5, 0))</f>
        <v>0</v>
      </c>
      <c r="FX85" s="47">
        <f t="array" ref="FX85">IF(AND(ISNUMBER(MATCH(FX$2, AsistenciaJetAdminConcatenada!$A:$A, 0)), ISNUMBER(MATCH(FX$1, AsistenciaJetAdminConcatenada!$B:$B, 0)), ISNUMBER(SEARCH($A85,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ISNUMBER(SEARCH($A85, INDEX(AsistenciaJetAdminConcatenada!$D:$D, MATCH(1, (AsistenciaJetAdminConcatenada!$A:$A=FX$2)*(AsistenciaJetAdminConcatenada!$B:$B=FX$1), 0)), 1))),  0.5, 0))</f>
        <v>0</v>
      </c>
      <c r="FY85" s="47">
        <f t="array" ref="FY85">IF(AND(ISNUMBER(MATCH(FY$2, AsistenciaJetAdminConcatenada!$A:$A, 0)), ISNUMBER(MATCH(FY$1, AsistenciaJetAdminConcatenada!$B:$B, 0)), ISNUMBER(SEARCH($A85,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ISNUMBER(SEARCH($A85, INDEX(AsistenciaJetAdminConcatenada!$D:$D, MATCH(1, (AsistenciaJetAdminConcatenada!$A:$A=FY$2)*(AsistenciaJetAdminConcatenada!$B:$B=FY$1), 0)), 1))),  0.5, 0))</f>
        <v>0</v>
      </c>
      <c r="FZ85" s="47">
        <f t="array" ref="FZ85">IF(AND(ISNUMBER(MATCH(FZ$2, AsistenciaJetAdminConcatenada!$A:$A, 0)), ISNUMBER(MATCH(FZ$1, AsistenciaJetAdminConcatenada!$B:$B, 0)), ISNUMBER(SEARCH($A85,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ISNUMBER(SEARCH($A85, INDEX(AsistenciaJetAdminConcatenada!$D:$D, MATCH(1, (AsistenciaJetAdminConcatenada!$A:$A=FZ$2)*(AsistenciaJetAdminConcatenada!$B:$B=FZ$1), 0)), 1))),  0.5, 0))</f>
        <v>0</v>
      </c>
      <c r="GA85" s="47">
        <f t="array" ref="GA85">IF(AND(ISNUMBER(MATCH(GA$2, AsistenciaJetAdminConcatenada!$A:$A, 0)), ISNUMBER(MATCH(GA$1, AsistenciaJetAdminConcatenada!$B:$B, 0)), ISNUMBER(SEARCH($A85,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ISNUMBER(SEARCH($A85, INDEX(AsistenciaJetAdminConcatenada!$D:$D, MATCH(1, (AsistenciaJetAdminConcatenada!$A:$A=GA$2)*(AsistenciaJetAdminConcatenada!$B:$B=GA$1), 0)), 1))),  0.5, 0))</f>
        <v>0</v>
      </c>
      <c r="GB85" s="47">
        <f t="array" ref="GB85">IF(AND(ISNUMBER(MATCH(GB$2, AsistenciaJetAdminConcatenada!$A:$A, 0)), ISNUMBER(MATCH(GB$1, AsistenciaJetAdminConcatenada!$B:$B, 0)), ISNUMBER(SEARCH($A85,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ISNUMBER(SEARCH($A85, INDEX(AsistenciaJetAdminConcatenada!$D:$D, MATCH(1, (AsistenciaJetAdminConcatenada!$A:$A=GB$2)*(AsistenciaJetAdminConcatenada!$B:$B=GB$1), 0)), 1))),  0.5, 0))</f>
        <v>0</v>
      </c>
      <c r="GC85" s="47">
        <f t="array" ref="GC85">IF(AND(ISNUMBER(MATCH(GC$2, AsistenciaJetAdminConcatenada!$A:$A, 0)), ISNUMBER(MATCH(GC$1, AsistenciaJetAdminConcatenada!$B:$B, 0)), ISNUMBER(SEARCH($A85,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ISNUMBER(SEARCH($A85, INDEX(AsistenciaJetAdminConcatenada!$D:$D, MATCH(1, (AsistenciaJetAdminConcatenada!$A:$A=GC$2)*(AsistenciaJetAdminConcatenada!$B:$B=GC$1), 0)), 1))),  0.5, 0))</f>
        <v>0</v>
      </c>
      <c r="GD85" s="47">
        <f t="array" ref="GD85">IF(AND(ISNUMBER(MATCH(GD$2, AsistenciaJetAdminConcatenada!$A:$A, 0)), ISNUMBER(MATCH(GD$1, AsistenciaJetAdminConcatenada!$B:$B, 0)), ISNUMBER(SEARCH($A85,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ISNUMBER(SEARCH($A85, INDEX(AsistenciaJetAdminConcatenada!$D:$D, MATCH(1, (AsistenciaJetAdminConcatenada!$A:$A=GD$2)*(AsistenciaJetAdminConcatenada!$B:$B=GD$1), 0)), 1))),  0.5, 0))</f>
        <v>0</v>
      </c>
      <c r="GE85" s="47">
        <f t="array" ref="GE85">IF(AND(ISNUMBER(MATCH(GE$2, AsistenciaJetAdminConcatenada!$A:$A, 0)), ISNUMBER(MATCH(GE$1, AsistenciaJetAdminConcatenada!$B:$B, 0)), ISNUMBER(SEARCH($A85,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ISNUMBER(SEARCH($A85, INDEX(AsistenciaJetAdminConcatenada!$D:$D, MATCH(1, (AsistenciaJetAdminConcatenada!$A:$A=GE$2)*(AsistenciaJetAdminConcatenada!$B:$B=GE$1), 0)), 1))),  0.5, 0))</f>
        <v>0</v>
      </c>
      <c r="GF85" s="47">
        <f t="array" ref="GF85">IF(AND(ISNUMBER(MATCH(GF$2, AsistenciaJetAdminConcatenada!$A:$A, 0)), ISNUMBER(MATCH(GF$1, AsistenciaJetAdminConcatenada!$B:$B, 0)), ISNUMBER(SEARCH($A85,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ISNUMBER(SEARCH($A85, INDEX(AsistenciaJetAdminConcatenada!$D:$D, MATCH(1, (AsistenciaJetAdminConcatenada!$A:$A=GF$2)*(AsistenciaJetAdminConcatenada!$B:$B=GF$1), 0)), 1))),  0.5, 0))</f>
        <v>0</v>
      </c>
      <c r="GG85" s="47">
        <f t="array" ref="GG85">IF(AND(ISNUMBER(MATCH(GG$2, AsistenciaJetAdminConcatenada!$A:$A, 0)), ISNUMBER(MATCH(GG$1, AsistenciaJetAdminConcatenada!$B:$B, 0)), ISNUMBER(SEARCH($A85,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ISNUMBER(SEARCH($A85, INDEX(AsistenciaJetAdminConcatenada!$D:$D, MATCH(1, (AsistenciaJetAdminConcatenada!$A:$A=GG$2)*(AsistenciaJetAdminConcatenada!$B:$B=GG$1), 0)), 1))),  0.5, 0))</f>
        <v>0</v>
      </c>
      <c r="GH85" s="47">
        <f t="array" ref="GH85">IF(AND(ISNUMBER(MATCH(GH$2, AsistenciaJetAdminConcatenada!$A:$A, 0)), ISNUMBER(MATCH(GH$1, AsistenciaJetAdminConcatenada!$B:$B, 0)), ISNUMBER(SEARCH($A85,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ISNUMBER(SEARCH($A85, INDEX(AsistenciaJetAdminConcatenada!$D:$D, MATCH(1, (AsistenciaJetAdminConcatenada!$A:$A=GH$2)*(AsistenciaJetAdminConcatenada!$B:$B=GH$1), 0)), 1))),  0.5, 0))</f>
        <v>0</v>
      </c>
      <c r="GI85" s="47">
        <f t="array" ref="GI85">IF(AND(ISNUMBER(MATCH(GI$2, AsistenciaJetAdminConcatenada!$A:$A, 0)), ISNUMBER(MATCH(GI$1, AsistenciaJetAdminConcatenada!$B:$B, 0)), ISNUMBER(SEARCH($A85,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ISNUMBER(SEARCH($A85, INDEX(AsistenciaJetAdminConcatenada!$D:$D, MATCH(1, (AsistenciaJetAdminConcatenada!$A:$A=GI$2)*(AsistenciaJetAdminConcatenada!$B:$B=GI$1), 0)), 1))),  0.5, 0))</f>
        <v>0</v>
      </c>
      <c r="GJ85" s="47">
        <f t="array" ref="GJ85">IF(AND(ISNUMBER(MATCH(GJ$2, AsistenciaJetAdminConcatenada!$A:$A, 0)), ISNUMBER(MATCH(GJ$1, AsistenciaJetAdminConcatenada!$B:$B, 0)), ISNUMBER(SEARCH($A85,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ISNUMBER(SEARCH($A85, INDEX(AsistenciaJetAdminConcatenada!$D:$D, MATCH(1, (AsistenciaJetAdminConcatenada!$A:$A=GJ$2)*(AsistenciaJetAdminConcatenada!$B:$B=GJ$1), 0)), 1))),  0.5, 0))</f>
        <v>0</v>
      </c>
      <c r="GK85" s="47">
        <f t="array" ref="GK85">IF(AND(ISNUMBER(MATCH(GK$2, AsistenciaJetAdminConcatenada!$A:$A, 0)), ISNUMBER(MATCH(GK$1, AsistenciaJetAdminConcatenada!$B:$B, 0)), ISNUMBER(SEARCH($A85,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ISNUMBER(SEARCH($A85, INDEX(AsistenciaJetAdminConcatenada!$D:$D, MATCH(1, (AsistenciaJetAdminConcatenada!$A:$A=GK$2)*(AsistenciaJetAdminConcatenada!$B:$B=GK$1), 0)), 1))),  0.5, 0))</f>
        <v>0</v>
      </c>
      <c r="GL85" s="47">
        <f t="array" ref="GL85">IF(AND(ISNUMBER(MATCH(GL$2, AsistenciaJetAdminConcatenada!$A:$A, 0)), ISNUMBER(MATCH(GL$1, AsistenciaJetAdminConcatenada!$B:$B, 0)), ISNUMBER(SEARCH($A85,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ISNUMBER(SEARCH($A85, INDEX(AsistenciaJetAdminConcatenada!$D:$D, MATCH(1, (AsistenciaJetAdminConcatenada!$A:$A=GL$2)*(AsistenciaJetAdminConcatenada!$B:$B=GL$1), 0)), 1))),  0.5, 0))</f>
        <v>0</v>
      </c>
      <c r="GM85" s="47">
        <f t="array" ref="GM85">IF(AND(ISNUMBER(MATCH(GM$2, AsistenciaJetAdminConcatenada!$A:$A, 0)), ISNUMBER(MATCH(GM$1, AsistenciaJetAdminConcatenada!$B:$B, 0)), ISNUMBER(SEARCH($A85,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ISNUMBER(SEARCH($A85, INDEX(AsistenciaJetAdminConcatenada!$D:$D, MATCH(1, (AsistenciaJetAdminConcatenada!$A:$A=GM$2)*(AsistenciaJetAdminConcatenada!$B:$B=GM$1), 0)), 1))),  0.5, 0))</f>
        <v>0</v>
      </c>
      <c r="GN85" s="47">
        <f t="array" ref="GN85">IF(AND(ISNUMBER(MATCH(GN$2, AsistenciaJetAdminConcatenada!$A:$A, 0)), ISNUMBER(MATCH(GN$1, AsistenciaJetAdminConcatenada!$B:$B, 0)), ISNUMBER(SEARCH($A85,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ISNUMBER(SEARCH($A85, INDEX(AsistenciaJetAdminConcatenada!$D:$D, MATCH(1, (AsistenciaJetAdminConcatenada!$A:$A=GN$2)*(AsistenciaJetAdminConcatenada!$B:$B=GN$1), 0)), 1))),  0.5, 0))</f>
        <v>0</v>
      </c>
      <c r="GO85" s="47">
        <f t="array" ref="GO85">IF(AND(ISNUMBER(MATCH(GO$2, AsistenciaJetAdminConcatenada!$A:$A, 0)), ISNUMBER(MATCH(GO$1, AsistenciaJetAdminConcatenada!$B:$B, 0)), ISNUMBER(SEARCH($A85,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ISNUMBER(SEARCH($A85, INDEX(AsistenciaJetAdminConcatenada!$D:$D, MATCH(1, (AsistenciaJetAdminConcatenada!$A:$A=GO$2)*(AsistenciaJetAdminConcatenada!$B:$B=GO$1), 0)), 1))),  0.5, 0))</f>
        <v>0</v>
      </c>
      <c r="GP85" s="47">
        <f t="array" ref="GP85">IF(AND(ISNUMBER(MATCH(GP$2, AsistenciaJetAdminConcatenada!$A:$A, 0)), ISNUMBER(MATCH(GP$1, AsistenciaJetAdminConcatenada!$B:$B, 0)), ISNUMBER(SEARCH($A85,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ISNUMBER(SEARCH($A85, INDEX(AsistenciaJetAdminConcatenada!$D:$D, MATCH(1, (AsistenciaJetAdminConcatenada!$A:$A=GP$2)*(AsistenciaJetAdminConcatenada!$B:$B=GP$1), 0)), 1))),  0.5, 0))</f>
        <v>0</v>
      </c>
      <c r="GQ85" s="47">
        <f t="array" ref="GQ85">IF(AND(ISNUMBER(MATCH(GQ$2, AsistenciaJetAdminConcatenada!$A:$A, 0)), ISNUMBER(MATCH(GQ$1, AsistenciaJetAdminConcatenada!$B:$B, 0)), ISNUMBER(SEARCH($A85,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ISNUMBER(SEARCH($A85, INDEX(AsistenciaJetAdminConcatenada!$D:$D, MATCH(1, (AsistenciaJetAdminConcatenada!$A:$A=GQ$2)*(AsistenciaJetAdminConcatenada!$B:$B=GQ$1), 0)), 1))),  0.5, 0))</f>
        <v>0</v>
      </c>
      <c r="GR85" s="47">
        <f t="array" ref="GR85">IF(AND(ISNUMBER(MATCH(GR$2, AsistenciaJetAdminConcatenada!$A:$A, 0)), ISNUMBER(MATCH(GR$1, AsistenciaJetAdminConcatenada!$B:$B, 0)), ISNUMBER(SEARCH($A85,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ISNUMBER(SEARCH($A85, INDEX(AsistenciaJetAdminConcatenada!$D:$D, MATCH(1, (AsistenciaJetAdminConcatenada!$A:$A=GR$2)*(AsistenciaJetAdminConcatenada!$B:$B=GR$1), 0)), 1))),  0.5, 0))</f>
        <v>0</v>
      </c>
      <c r="GS85" s="47">
        <f t="array" ref="GS85">IF(AND(ISNUMBER(MATCH(GS$2, AsistenciaJetAdminConcatenada!$A:$A, 0)), ISNUMBER(MATCH(GS$1, AsistenciaJetAdminConcatenada!$B:$B, 0)), ISNUMBER(SEARCH($A85,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ISNUMBER(SEARCH($A85, INDEX(AsistenciaJetAdminConcatenada!$D:$D, MATCH(1, (AsistenciaJetAdminConcatenada!$A:$A=GS$2)*(AsistenciaJetAdminConcatenada!$B:$B=GS$1), 0)), 1))),  0.5, 0))</f>
        <v>0</v>
      </c>
      <c r="GT85" s="47">
        <f t="array" ref="GT85">IF(AND(ISNUMBER(MATCH(GT$2, AsistenciaJetAdminConcatenada!$A:$A, 0)), ISNUMBER(MATCH(GT$1, AsistenciaJetAdminConcatenada!$B:$B, 0)), ISNUMBER(SEARCH($A85,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ISNUMBER(SEARCH($A85, INDEX(AsistenciaJetAdminConcatenada!$D:$D, MATCH(1, (AsistenciaJetAdminConcatenada!$A:$A=GT$2)*(AsistenciaJetAdminConcatenada!$B:$B=GT$1), 0)), 1))),  0.5, 0))</f>
        <v>0</v>
      </c>
      <c r="GU85" s="47">
        <f t="array" ref="GU85">IF(AND(ISNUMBER(MATCH(GU$2, AsistenciaJetAdminConcatenada!$A:$A, 0)), ISNUMBER(MATCH(GU$1, AsistenciaJetAdminConcatenada!$B:$B, 0)), ISNUMBER(SEARCH($A85,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ISNUMBER(SEARCH($A85, INDEX(AsistenciaJetAdminConcatenada!$D:$D, MATCH(1, (AsistenciaJetAdminConcatenada!$A:$A=GU$2)*(AsistenciaJetAdminConcatenada!$B:$B=GU$1), 0)), 1))),  0.5, 0))</f>
        <v>0</v>
      </c>
      <c r="GV85" s="47">
        <f t="array" ref="GV85">IF(AND(ISNUMBER(MATCH(GV$2, AsistenciaJetAdminConcatenada!$A:$A, 0)), ISNUMBER(MATCH(GV$1, AsistenciaJetAdminConcatenada!$B:$B, 0)), ISNUMBER(SEARCH($A85,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ISNUMBER(SEARCH($A85, INDEX(AsistenciaJetAdminConcatenada!$D:$D, MATCH(1, (AsistenciaJetAdminConcatenada!$A:$A=GV$2)*(AsistenciaJetAdminConcatenada!$B:$B=GV$1), 0)), 1))),  0.5, 0))</f>
        <v>0</v>
      </c>
      <c r="GW85" s="47">
        <f t="array" ref="GW85">IF(AND(ISNUMBER(MATCH(GW$2, AsistenciaJetAdminConcatenada!$A:$A, 0)), ISNUMBER(MATCH(GW$1, AsistenciaJetAdminConcatenada!$B:$B, 0)), ISNUMBER(SEARCH($A85,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ISNUMBER(SEARCH($A85, INDEX(AsistenciaJetAdminConcatenada!$D:$D, MATCH(1, (AsistenciaJetAdminConcatenada!$A:$A=GW$2)*(AsistenciaJetAdminConcatenada!$B:$B=GW$1), 0)), 1))),  0.5, 0))</f>
        <v>0</v>
      </c>
      <c r="GX85" s="47">
        <f t="array" ref="GX85">IF(AND(ISNUMBER(MATCH(GX$2, AsistenciaJetAdminConcatenada!$A:$A, 0)), ISNUMBER(MATCH(GX$1, AsistenciaJetAdminConcatenada!$B:$B, 0)), ISNUMBER(SEARCH($A85,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ISNUMBER(SEARCH($A85, INDEX(AsistenciaJetAdminConcatenada!$D:$D, MATCH(1, (AsistenciaJetAdminConcatenada!$A:$A=GX$2)*(AsistenciaJetAdminConcatenada!$B:$B=GX$1), 0)), 1))),  0.5, 0))</f>
        <v>0</v>
      </c>
      <c r="GY85" s="47">
        <f t="array" ref="GY85">IF(AND(ISNUMBER(MATCH(GY$2, AsistenciaJetAdminConcatenada!$A:$A, 0)), ISNUMBER(MATCH(GY$1, AsistenciaJetAdminConcatenada!$B:$B, 0)), ISNUMBER(SEARCH($A85,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ISNUMBER(SEARCH($A85, INDEX(AsistenciaJetAdminConcatenada!$D:$D, MATCH(1, (AsistenciaJetAdminConcatenada!$A:$A=GY$2)*(AsistenciaJetAdminConcatenada!$B:$B=GY$1), 0)), 1))),  0.5, 0))</f>
        <v>0</v>
      </c>
      <c r="GZ85" s="47">
        <f t="array" ref="GZ85">IF(AND(ISNUMBER(MATCH(GZ$2, AsistenciaJetAdminConcatenada!$A:$A, 0)), ISNUMBER(MATCH(GZ$1, AsistenciaJetAdminConcatenada!$B:$B, 0)), ISNUMBER(SEARCH($A85,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ISNUMBER(SEARCH($A85, INDEX(AsistenciaJetAdminConcatenada!$D:$D, MATCH(1, (AsistenciaJetAdminConcatenada!$A:$A=GZ$2)*(AsistenciaJetAdminConcatenada!$B:$B=GZ$1), 0)), 1))),  0.5, 0))</f>
        <v>0</v>
      </c>
      <c r="HA85" s="47">
        <f t="array" ref="HA85">IF(AND(ISNUMBER(MATCH(HA$2, AsistenciaJetAdminConcatenada!$A:$A, 0)), ISNUMBER(MATCH(HA$1, AsistenciaJetAdminConcatenada!$B:$B, 0)), ISNUMBER(SEARCH($A85,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ISNUMBER(SEARCH($A85, INDEX(AsistenciaJetAdminConcatenada!$D:$D, MATCH(1, (AsistenciaJetAdminConcatenada!$A:$A=HA$2)*(AsistenciaJetAdminConcatenada!$B:$B=HA$1), 0)), 1))),  0.5, 0))</f>
        <v>0</v>
      </c>
      <c r="HB85" s="47">
        <f t="array" ref="HB85">IF(AND(ISNUMBER(MATCH(HB$2, AsistenciaJetAdminConcatenada!$A:$A, 0)), ISNUMBER(MATCH(HB$1, AsistenciaJetAdminConcatenada!$B:$B, 0)), ISNUMBER(SEARCH($A85,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ISNUMBER(SEARCH($A85, INDEX(AsistenciaJetAdminConcatenada!$D:$D, MATCH(1, (AsistenciaJetAdminConcatenada!$A:$A=HB$2)*(AsistenciaJetAdminConcatenada!$B:$B=HB$1), 0)), 1))),  0.5, 0))</f>
        <v>0</v>
      </c>
      <c r="HC85" s="47">
        <f t="array" ref="HC85">IF(AND(ISNUMBER(MATCH(HC$2, AsistenciaJetAdminConcatenada!$A:$A, 0)), ISNUMBER(MATCH(HC$1, AsistenciaJetAdminConcatenada!$B:$B, 0)), ISNUMBER(SEARCH($A85,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ISNUMBER(SEARCH($A85, INDEX(AsistenciaJetAdminConcatenada!$D:$D, MATCH(1, (AsistenciaJetAdminConcatenada!$A:$A=HC$2)*(AsistenciaJetAdminConcatenada!$B:$B=HC$1), 0)), 1))),  0.5, 0))</f>
        <v>0</v>
      </c>
    </row>
    <row r="86" ht="29.25" customHeight="1">
      <c r="A86" s="3">
        <v>160.0</v>
      </c>
      <c r="B86" s="4" t="s">
        <v>435</v>
      </c>
      <c r="C86" s="47">
        <f>SUM(D86:HC86) + ActividadesEspeciales!C86</f>
        <v>81.5</v>
      </c>
      <c r="D86" s="47">
        <f t="array" ref="D86">IF(AND(ISNUMBER(MATCH(D$2, AsistenciaJetAdminConcatenada!$A:$A, 0)), ISNUMBER(MATCH(D$1, AsistenciaJetAdminConcatenada!$B:$B, 0)), ISNUMBER(SEARCH($A86,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ISNUMBER(SEARCH($A86, INDEX(AsistenciaJetAdminConcatenada!$D:$D, MATCH(1, (AsistenciaJetAdminConcatenada!$A:$A=D$2)*(AsistenciaJetAdminConcatenada!$B:$B=D$1), 0)), 1))),  0.5, 0))</f>
        <v>1</v>
      </c>
      <c r="E86" s="47">
        <f t="array" ref="E86">IF(AND(ISNUMBER(MATCH(E$2, AsistenciaJetAdminConcatenada!$A:$A, 0)), ISNUMBER(MATCH(E$1, AsistenciaJetAdminConcatenada!$B:$B, 0)), ISNUMBER(SEARCH($A86,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ISNUMBER(SEARCH($A86, INDEX(AsistenciaJetAdminConcatenada!$D:$D, MATCH(1, (AsistenciaJetAdminConcatenada!$A:$A=E$2)*(AsistenciaJetAdminConcatenada!$B:$B=E$1), 0)), 1))),  0.5, 0))</f>
        <v>1</v>
      </c>
      <c r="F86" s="47">
        <f t="array" ref="F86">IF(AND(ISNUMBER(MATCH(F$2, AsistenciaJetAdminConcatenada!$A:$A, 0)), ISNUMBER(MATCH(F$1, AsistenciaJetAdminConcatenada!$B:$B, 0)), ISNUMBER(SEARCH($A86,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ISNUMBER(SEARCH($A86, INDEX(AsistenciaJetAdminConcatenada!$D:$D, MATCH(1, (AsistenciaJetAdminConcatenada!$A:$A=F$2)*(AsistenciaJetAdminConcatenada!$B:$B=F$1), 0)), 1))),  0.5, 0))</f>
        <v>1</v>
      </c>
      <c r="G86" s="47">
        <f t="array" ref="G86">IF(AND(ISNUMBER(MATCH(G$2, AsistenciaJetAdminConcatenada!$A:$A, 0)), ISNUMBER(MATCH(G$1, AsistenciaJetAdminConcatenada!$B:$B, 0)), ISNUMBER(SEARCH($A86,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ISNUMBER(SEARCH($A86, INDEX(AsistenciaJetAdminConcatenada!$D:$D, MATCH(1, (AsistenciaJetAdminConcatenada!$A:$A=G$2)*(AsistenciaJetAdminConcatenada!$B:$B=G$1), 0)), 1))),  0.5, 0))</f>
        <v>1</v>
      </c>
      <c r="H86" s="47">
        <f t="array" ref="H86">IF(AND(ISNUMBER(MATCH(H$2, AsistenciaJetAdminConcatenada!$A:$A, 0)), ISNUMBER(MATCH(H$1, AsistenciaJetAdminConcatenada!$B:$B, 0)), ISNUMBER(SEARCH($A86,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ISNUMBER(SEARCH($A86, INDEX(AsistenciaJetAdminConcatenada!$D:$D, MATCH(1, (AsistenciaJetAdminConcatenada!$A:$A=H$2)*(AsistenciaJetAdminConcatenada!$B:$B=H$1), 0)), 1))),  0.5, 0))</f>
        <v>1</v>
      </c>
      <c r="I86" s="47">
        <f t="array" ref="I86">IF(AND(ISNUMBER(MATCH(I$2, AsistenciaJetAdminConcatenada!$A:$A, 0)), ISNUMBER(MATCH(I$1, AsistenciaJetAdminConcatenada!$B:$B, 0)), ISNUMBER(SEARCH($A86,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ISNUMBER(SEARCH($A86, INDEX(AsistenciaJetAdminConcatenada!$D:$D, MATCH(1, (AsistenciaJetAdminConcatenada!$A:$A=I$2)*(AsistenciaJetAdminConcatenada!$B:$B=I$1), 0)), 1))),  0.5, 0))</f>
        <v>1</v>
      </c>
      <c r="J86" s="47">
        <f t="array" ref="J86">IF(AND(ISNUMBER(MATCH(J$2, AsistenciaJetAdminConcatenada!$A:$A, 0)), ISNUMBER(MATCH(J$1, AsistenciaJetAdminConcatenada!$B:$B, 0)), ISNUMBER(SEARCH($A86,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ISNUMBER(SEARCH($A86, INDEX(AsistenciaJetAdminConcatenada!$D:$D, MATCH(1, (AsistenciaJetAdminConcatenada!$A:$A=J$2)*(AsistenciaJetAdminConcatenada!$B:$B=J$1), 0)), 1))),  0.5, 0))</f>
        <v>1</v>
      </c>
      <c r="K86" s="47">
        <f t="array" ref="K86">IF(AND(ISNUMBER(MATCH(K$2, AsistenciaJetAdminConcatenada!$A:$A, 0)), ISNUMBER(MATCH(K$1, AsistenciaJetAdminConcatenada!$B:$B, 0)), ISNUMBER(SEARCH($A86,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ISNUMBER(SEARCH($A86, INDEX(AsistenciaJetAdminConcatenada!$D:$D, MATCH(1, (AsistenciaJetAdminConcatenada!$A:$A=K$2)*(AsistenciaJetAdminConcatenada!$B:$B=K$1), 0)), 1))),  0.5, 0))</f>
        <v>1</v>
      </c>
      <c r="L86" s="47">
        <f t="array" ref="L86">IF(AND(ISNUMBER(MATCH(L$2, AsistenciaJetAdminConcatenada!$A:$A, 0)), ISNUMBER(MATCH(L$1, AsistenciaJetAdminConcatenada!$B:$B, 0)), ISNUMBER(SEARCH($A86,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ISNUMBER(SEARCH($A86, INDEX(AsistenciaJetAdminConcatenada!$D:$D, MATCH(1, (AsistenciaJetAdminConcatenada!$A:$A=L$2)*(AsistenciaJetAdminConcatenada!$B:$B=L$1), 0)), 1))),  0.5, 0))</f>
        <v>1</v>
      </c>
      <c r="M86" s="47">
        <f t="array" ref="M86">IF(AND(ISNUMBER(MATCH(M$2, AsistenciaJetAdminConcatenada!$A:$A, 0)), ISNUMBER(MATCH(M$1, AsistenciaJetAdminConcatenada!$B:$B, 0)), ISNUMBER(SEARCH($A86,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ISNUMBER(SEARCH($A86, INDEX(AsistenciaJetAdminConcatenada!$D:$D, MATCH(1, (AsistenciaJetAdminConcatenada!$A:$A=M$2)*(AsistenciaJetAdminConcatenada!$B:$B=M$1), 0)), 1))),  0.5, 0))</f>
        <v>1</v>
      </c>
      <c r="N86" s="47">
        <f t="array" ref="N86">IF(AND(ISNUMBER(MATCH(N$2, AsistenciaJetAdminConcatenada!$A:$A, 0)), ISNUMBER(MATCH(N$1, AsistenciaJetAdminConcatenada!$B:$B, 0)), ISNUMBER(SEARCH($A86,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ISNUMBER(SEARCH($A86, INDEX(AsistenciaJetAdminConcatenada!$D:$D, MATCH(1, (AsistenciaJetAdminConcatenada!$A:$A=N$2)*(AsistenciaJetAdminConcatenada!$B:$B=N$1), 0)), 1))),  0.5, 0))</f>
        <v>1</v>
      </c>
      <c r="O86" s="47">
        <f t="array" ref="O86">IF(AND(ISNUMBER(MATCH(O$2, AsistenciaJetAdminConcatenada!$A:$A, 0)), ISNUMBER(MATCH(O$1, AsistenciaJetAdminConcatenada!$B:$B, 0)), ISNUMBER(SEARCH($A86,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ISNUMBER(SEARCH($A86, INDEX(AsistenciaJetAdminConcatenada!$D:$D, MATCH(1, (AsistenciaJetAdminConcatenada!$A:$A=O$2)*(AsistenciaJetAdminConcatenada!$B:$B=O$1), 0)), 1))),  0.5, 0))</f>
        <v>0</v>
      </c>
      <c r="P86" s="47">
        <f t="array" ref="P86">IF(AND(ISNUMBER(MATCH(P$2, AsistenciaJetAdminConcatenada!$A:$A, 0)), ISNUMBER(MATCH(P$1, AsistenciaJetAdminConcatenada!$B:$B, 0)), ISNUMBER(SEARCH($A86, INDEX(AsistenciaJetAdminConcatenada!$C:$C, MATCH(1, (AsistenciaJetAdminConcatenada!$A:$A=P$2)*(AsistenciaJetAdminConcatenada!$B:$B=P$1), 0)), 1))), 1, IF(AND(ISNUMBER(MATCH(P$2, AsistenciaJetAdminConcatenada!$A:$A, 0)), ISNUMBER(MATCH(P$1, AsistenciaJetAdminConcatenada!$B:$B, 0)), ISNUMBER(SEARCH($A86, INDEX(AsistenciaJetAdminConcatenada!$D:$D, MATCH(1, (AsistenciaJetAdminConcatenada!$A:$A=P$2)*(AsistenciaJetAdminConcatenada!$B:$B=P$1), 0)), 1))),  0.5, 0))</f>
        <v>1</v>
      </c>
      <c r="Q86" s="47">
        <f t="array" ref="Q86">IF(AND(ISNUMBER(MATCH(Q$2, AsistenciaJetAdminConcatenada!$A:$A, 0)), ISNUMBER(MATCH(Q$1, AsistenciaJetAdminConcatenada!$B:$B, 0)), ISNUMBER(SEARCH($A86, INDEX(AsistenciaJetAdminConcatenada!$C:$C, MATCH(1, (AsistenciaJetAdminConcatenada!$A:$A=Q$2)*(AsistenciaJetAdminConcatenada!$B:$B=Q$1), 0)), 1))), 1, IF(AND(ISNUMBER(MATCH(Q$2, AsistenciaJetAdminConcatenada!$A:$A, 0)), ISNUMBER(MATCH(Q$1, AsistenciaJetAdminConcatenada!$B:$B, 0)), ISNUMBER(SEARCH($A86, INDEX(AsistenciaJetAdminConcatenada!$D:$D, MATCH(1, (AsistenciaJetAdminConcatenada!$A:$A=Q$2)*(AsistenciaJetAdminConcatenada!$B:$B=Q$1), 0)), 1))),  0.5, 0))</f>
        <v>1</v>
      </c>
      <c r="R86" s="47">
        <f t="array" ref="R86">IF(AND(ISNUMBER(MATCH(R$2, AsistenciaJetAdminConcatenada!$A:$A, 0)), ISNUMBER(MATCH(R$1, AsistenciaJetAdminConcatenada!$B:$B, 0)), ISNUMBER(SEARCH($A86,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ISNUMBER(SEARCH($A86, INDEX(AsistenciaJetAdminConcatenada!$D:$D, MATCH(1, (AsistenciaJetAdminConcatenada!$A:$A=R$2)*(AsistenciaJetAdminConcatenada!$B:$B=R$1), 0)), 1))),  0.5, 0))</f>
        <v>1</v>
      </c>
      <c r="S86" s="47">
        <f t="array" ref="S86">IF(AND(ISNUMBER(MATCH(S$2, AsistenciaJetAdminConcatenada!$A:$A, 0)), ISNUMBER(MATCH(S$1, AsistenciaJetAdminConcatenada!$B:$B, 0)), ISNUMBER(SEARCH($A86,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ISNUMBER(SEARCH($A86, INDEX(AsistenciaJetAdminConcatenada!$D:$D, MATCH(1, (AsistenciaJetAdminConcatenada!$A:$A=S$2)*(AsistenciaJetAdminConcatenada!$B:$B=S$1), 0)), 1))),  0.5, 0))</f>
        <v>1</v>
      </c>
      <c r="T86" s="47">
        <f t="array" ref="T86">IF(AND(ISNUMBER(MATCH(T$2, AsistenciaJetAdminConcatenada!$A:$A, 0)), ISNUMBER(MATCH(T$1, AsistenciaJetAdminConcatenada!$B:$B, 0)), ISNUMBER(SEARCH($A86,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ISNUMBER(SEARCH($A86, INDEX(AsistenciaJetAdminConcatenada!$D:$D, MATCH(1, (AsistenciaJetAdminConcatenada!$A:$A=T$2)*(AsistenciaJetAdminConcatenada!$B:$B=T$1), 0)), 1))),  0.5, 0))</f>
        <v>1</v>
      </c>
      <c r="U86" s="47">
        <f t="array" ref="U86">IF(AND(ISNUMBER(MATCH(U$2, AsistenciaJetAdminConcatenada!$A:$A, 0)), ISNUMBER(MATCH(U$1, AsistenciaJetAdminConcatenada!$B:$B, 0)), ISNUMBER(SEARCH($A86,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ISNUMBER(SEARCH($A86, INDEX(AsistenciaJetAdminConcatenada!$D:$D, MATCH(1, (AsistenciaJetAdminConcatenada!$A:$A=U$2)*(AsistenciaJetAdminConcatenada!$B:$B=U$1), 0)), 1))),  0.5, 0))</f>
        <v>0</v>
      </c>
      <c r="V86" s="47">
        <f t="array" ref="V86">IF(AND(ISNUMBER(MATCH(V$2, AsistenciaJetAdminConcatenada!$A:$A, 0)), ISNUMBER(MATCH(V$1, AsistenciaJetAdminConcatenada!$B:$B, 0)), ISNUMBER(SEARCH($A86,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ISNUMBER(SEARCH($A86, INDEX(AsistenciaJetAdminConcatenada!$D:$D, MATCH(1, (AsistenciaJetAdminConcatenada!$A:$A=V$2)*(AsistenciaJetAdminConcatenada!$B:$B=V$1), 0)), 1))),  0.5, 0))</f>
        <v>1</v>
      </c>
      <c r="W86" s="47">
        <f t="array" ref="W86">IF(AND(ISNUMBER(MATCH(W$2, AsistenciaJetAdminConcatenada!$A:$A, 0)), ISNUMBER(MATCH(W$1, AsistenciaJetAdminConcatenada!$B:$B, 0)), ISNUMBER(SEARCH($A86,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ISNUMBER(SEARCH($A86, INDEX(AsistenciaJetAdminConcatenada!$D:$D, MATCH(1, (AsistenciaJetAdminConcatenada!$A:$A=W$2)*(AsistenciaJetAdminConcatenada!$B:$B=W$1), 0)), 1))),  0.5, 0))</f>
        <v>1</v>
      </c>
      <c r="X86" s="47">
        <f t="array" ref="X86">IF(AND(ISNUMBER(MATCH(X$2, AsistenciaJetAdminConcatenada!$A:$A, 0)), ISNUMBER(MATCH(X$1, AsistenciaJetAdminConcatenada!$B:$B, 0)), ISNUMBER(SEARCH($A86,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ISNUMBER(SEARCH($A86, INDEX(AsistenciaJetAdminConcatenada!$D:$D, MATCH(1, (AsistenciaJetAdminConcatenada!$A:$A=X$2)*(AsistenciaJetAdminConcatenada!$B:$B=X$1), 0)), 1))),  0.5, 0))</f>
        <v>1</v>
      </c>
      <c r="Y86" s="47">
        <f t="array" ref="Y86">IF(AND(ISNUMBER(MATCH(Y$2, AsistenciaJetAdminConcatenada!$A:$A, 0)), ISNUMBER(MATCH(Y$1, AsistenciaJetAdminConcatenada!$B:$B, 0)), ISNUMBER(SEARCH($A86,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ISNUMBER(SEARCH($A86, INDEX(AsistenciaJetAdminConcatenada!$D:$D, MATCH(1, (AsistenciaJetAdminConcatenada!$A:$A=Y$2)*(AsistenciaJetAdminConcatenada!$B:$B=Y$1), 0)), 1))),  0.5, 0))</f>
        <v>1</v>
      </c>
      <c r="Z86" s="47">
        <f t="array" ref="Z86">IF(AND(ISNUMBER(MATCH(Z$2, AsistenciaJetAdminConcatenada!$A:$A, 0)), ISNUMBER(MATCH(Z$1, AsistenciaJetAdminConcatenada!$B:$B, 0)), ISNUMBER(SEARCH($A86,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ISNUMBER(SEARCH($A86, INDEX(AsistenciaJetAdminConcatenada!$D:$D, MATCH(1, (AsistenciaJetAdminConcatenada!$A:$A=Z$2)*(AsistenciaJetAdminConcatenada!$B:$B=Z$1), 0)), 1))),  0.5, 0))</f>
        <v>1</v>
      </c>
      <c r="AA86" s="47">
        <f t="array" ref="AA86">IF(AND(ISNUMBER(MATCH(AA$2, AsistenciaJetAdminConcatenada!$A:$A, 0)), ISNUMBER(MATCH(AA$1, AsistenciaJetAdminConcatenada!$B:$B, 0)), ISNUMBER(SEARCH($A86,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ISNUMBER(SEARCH($A86, INDEX(AsistenciaJetAdminConcatenada!$D:$D, MATCH(1, (AsistenciaJetAdminConcatenada!$A:$A=AA$2)*(AsistenciaJetAdminConcatenada!$B:$B=AA$1), 0)), 1))),  0.5, 0))</f>
        <v>1</v>
      </c>
      <c r="AB86" s="47">
        <f t="array" ref="AB86">IF(AND(ISNUMBER(MATCH(AB$2, AsistenciaJetAdminConcatenada!$A:$A, 0)), ISNUMBER(MATCH(AB$1, AsistenciaJetAdminConcatenada!$B:$B, 0)), ISNUMBER(SEARCH($A86,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ISNUMBER(SEARCH($A86, INDEX(AsistenciaJetAdminConcatenada!$D:$D, MATCH(1, (AsistenciaJetAdminConcatenada!$A:$A=AB$2)*(AsistenciaJetAdminConcatenada!$B:$B=AB$1), 0)), 1))),  0.5, 0))</f>
        <v>1</v>
      </c>
      <c r="AC86" s="47">
        <f t="array" ref="AC86">IF(AND(ISNUMBER(MATCH(AC$2, AsistenciaJetAdminConcatenada!$A:$A, 0)), ISNUMBER(MATCH(AC$1, AsistenciaJetAdminConcatenada!$B:$B, 0)), ISNUMBER(SEARCH($A86,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ISNUMBER(SEARCH($A86, INDEX(AsistenciaJetAdminConcatenada!$D:$D, MATCH(1, (AsistenciaJetAdminConcatenada!$A:$A=AC$2)*(AsistenciaJetAdminConcatenada!$B:$B=AC$1), 0)), 1))),  0.5, 0))</f>
        <v>1</v>
      </c>
      <c r="AD86" s="47">
        <f t="array" ref="AD86">IF(AND(ISNUMBER(MATCH(AD$2, AsistenciaJetAdminConcatenada!$A:$A, 0)), ISNUMBER(MATCH(AD$1, AsistenciaJetAdminConcatenada!$B:$B, 0)), ISNUMBER(SEARCH($A86,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ISNUMBER(SEARCH($A86, INDEX(AsistenciaJetAdminConcatenada!$D:$D, MATCH(1, (AsistenciaJetAdminConcatenada!$A:$A=AD$2)*(AsistenciaJetAdminConcatenada!$B:$B=AD$1), 0)), 1))),  0.5, 0))</f>
        <v>1</v>
      </c>
      <c r="AE86" s="47">
        <f t="array" ref="AE86">IF(AND(ISNUMBER(MATCH(AE$2, AsistenciaJetAdminConcatenada!$A:$A, 0)), ISNUMBER(MATCH(AE$1, AsistenciaJetAdminConcatenada!$B:$B, 0)), ISNUMBER(SEARCH($A86,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ISNUMBER(SEARCH($A86, INDEX(AsistenciaJetAdminConcatenada!$D:$D, MATCH(1, (AsistenciaJetAdminConcatenada!$A:$A=AE$2)*(AsistenciaJetAdminConcatenada!$B:$B=AE$1), 0)), 1))),  0.5, 0))</f>
        <v>1</v>
      </c>
      <c r="AF86" s="47">
        <f t="array" ref="AF86">IF(AND(ISNUMBER(MATCH(AF$2, AsistenciaJetAdminConcatenada!$A:$A, 0)), ISNUMBER(MATCH(AF$1, AsistenciaJetAdminConcatenada!$B:$B, 0)), ISNUMBER(SEARCH($A86,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ISNUMBER(SEARCH($A86, INDEX(AsistenciaJetAdminConcatenada!$D:$D, MATCH(1, (AsistenciaJetAdminConcatenada!$A:$A=AF$2)*(AsistenciaJetAdminConcatenada!$B:$B=AF$1), 0)), 1))),  0.5, 0))</f>
        <v>1</v>
      </c>
      <c r="AG86" s="47">
        <f t="array" ref="AG86">IF(AND(ISNUMBER(MATCH(AG$2, AsistenciaJetAdminConcatenada!$A:$A, 0)), ISNUMBER(MATCH(AG$1, AsistenciaJetAdminConcatenada!$B:$B, 0)), ISNUMBER(SEARCH($A86,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ISNUMBER(SEARCH($A86, INDEX(AsistenciaJetAdminConcatenada!$D:$D, MATCH(1, (AsistenciaJetAdminConcatenada!$A:$A=AG$2)*(AsistenciaJetAdminConcatenada!$B:$B=AG$1), 0)), 1))),  0.5, 0))</f>
        <v>0.5</v>
      </c>
      <c r="AH86" s="47">
        <f t="array" ref="AH86">IF(AND(ISNUMBER(MATCH(AH$2, AsistenciaJetAdminConcatenada!$A:$A, 0)), ISNUMBER(MATCH(AH$1, AsistenciaJetAdminConcatenada!$B:$B, 0)), ISNUMBER(SEARCH($A86,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ISNUMBER(SEARCH($A86, INDEX(AsistenciaJetAdminConcatenada!$D:$D, MATCH(1, (AsistenciaJetAdminConcatenada!$A:$A=AH$2)*(AsistenciaJetAdminConcatenada!$B:$B=AH$1), 0)), 1))),  0.5, 0))</f>
        <v>0</v>
      </c>
      <c r="AI86" s="47">
        <f t="array" ref="AI86">IF(AND(ISNUMBER(MATCH(AI$2, AsistenciaJetAdminConcatenada!$A:$A, 0)), ISNUMBER(MATCH(AI$1, AsistenciaJetAdminConcatenada!$B:$B, 0)), ISNUMBER(SEARCH($A86,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ISNUMBER(SEARCH($A86, INDEX(AsistenciaJetAdminConcatenada!$D:$D, MATCH(1, (AsistenciaJetAdminConcatenada!$A:$A=AI$2)*(AsistenciaJetAdminConcatenada!$B:$B=AI$1), 0)), 1))),  0.5, 0))</f>
        <v>1</v>
      </c>
      <c r="AJ86" s="47">
        <f t="array" ref="AJ86">IF(AND(ISNUMBER(MATCH(AJ$2, AsistenciaJetAdminConcatenada!$A:$A, 0)), ISNUMBER(MATCH(AJ$1, AsistenciaJetAdminConcatenada!$B:$B, 0)), ISNUMBER(SEARCH($A86,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ISNUMBER(SEARCH($A86, INDEX(AsistenciaJetAdminConcatenada!$D:$D, MATCH(1, (AsistenciaJetAdminConcatenada!$A:$A=AJ$2)*(AsistenciaJetAdminConcatenada!$B:$B=AJ$1), 0)), 1))),  0.5, 0))</f>
        <v>1</v>
      </c>
      <c r="AK86" s="47">
        <f t="array" ref="AK86">IF(AND(ISNUMBER(MATCH(AK$2, AsistenciaJetAdminConcatenada!$A:$A, 0)), ISNUMBER(MATCH(AK$1, AsistenciaJetAdminConcatenada!$B:$B, 0)), ISNUMBER(SEARCH($A86,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ISNUMBER(SEARCH($A86, INDEX(AsistenciaJetAdminConcatenada!$D:$D, MATCH(1, (AsistenciaJetAdminConcatenada!$A:$A=AK$2)*(AsistenciaJetAdminConcatenada!$B:$B=AK$1), 0)), 1))),  0.5, 0))</f>
        <v>0</v>
      </c>
      <c r="AL86" s="47">
        <f t="array" ref="AL86">IF(AND(ISNUMBER(MATCH(AL$2, AsistenciaJetAdminConcatenada!$A:$A, 0)), ISNUMBER(MATCH(AL$1, AsistenciaJetAdminConcatenada!$B:$B, 0)), ISNUMBER(SEARCH($A86,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ISNUMBER(SEARCH($A86, INDEX(AsistenciaJetAdminConcatenada!$D:$D, MATCH(1, (AsistenciaJetAdminConcatenada!$A:$A=AL$2)*(AsistenciaJetAdminConcatenada!$B:$B=AL$1), 0)), 1))),  0.5, 0))</f>
        <v>1</v>
      </c>
      <c r="AM86" s="47">
        <f t="array" ref="AM86">IF(AND(ISNUMBER(MATCH(AM$2, AsistenciaJetAdminConcatenada!$A:$A, 0)), ISNUMBER(MATCH(AM$1, AsistenciaJetAdminConcatenada!$B:$B, 0)), ISNUMBER(SEARCH($A86,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ISNUMBER(SEARCH($A86, INDEX(AsistenciaJetAdminConcatenada!$D:$D, MATCH(1, (AsistenciaJetAdminConcatenada!$A:$A=AM$2)*(AsistenciaJetAdminConcatenada!$B:$B=AM$1), 0)), 1))),  0.5, 0))</f>
        <v>0</v>
      </c>
      <c r="AN86" s="47">
        <f t="array" ref="AN86">IF(AND(ISNUMBER(MATCH(AN$2, AsistenciaJetAdminConcatenada!$A:$A, 0)), ISNUMBER(MATCH(AN$1, AsistenciaJetAdminConcatenada!$B:$B, 0)), ISNUMBER(SEARCH($A86,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ISNUMBER(SEARCH($A86, INDEX(AsistenciaJetAdminConcatenada!$D:$D, MATCH(1, (AsistenciaJetAdminConcatenada!$A:$A=AN$2)*(AsistenciaJetAdminConcatenada!$B:$B=AN$1), 0)), 1))),  0.5, 0))</f>
        <v>0</v>
      </c>
      <c r="AO86" s="47">
        <f t="array" ref="AO86">IF(AND(ISNUMBER(MATCH(AO$2, AsistenciaJetAdminConcatenada!$A:$A, 0)), ISNUMBER(MATCH(AO$1, AsistenciaJetAdminConcatenada!$B:$B, 0)), ISNUMBER(SEARCH($A86,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ISNUMBER(SEARCH($A86, INDEX(AsistenciaJetAdminConcatenada!$D:$D, MATCH(1, (AsistenciaJetAdminConcatenada!$A:$A=AO$2)*(AsistenciaJetAdminConcatenada!$B:$B=AO$1), 0)), 1))),  0.5, 0))</f>
        <v>1</v>
      </c>
      <c r="AP86" s="47">
        <f t="array" ref="AP86">IF(AND(ISNUMBER(MATCH(AP$2, AsistenciaJetAdminConcatenada!$A:$A, 0)), ISNUMBER(MATCH(AP$1, AsistenciaJetAdminConcatenada!$B:$B, 0)), ISNUMBER(SEARCH($A86,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ISNUMBER(SEARCH($A86, INDEX(AsistenciaJetAdminConcatenada!$D:$D, MATCH(1, (AsistenciaJetAdminConcatenada!$A:$A=AP$2)*(AsistenciaJetAdminConcatenada!$B:$B=AP$1), 0)), 1))),  0.5, 0))</f>
        <v>1</v>
      </c>
      <c r="AQ86" s="47">
        <f t="array" ref="AQ86">IF(AND(ISNUMBER(MATCH(AQ$2, AsistenciaJetAdminConcatenada!$A:$A, 0)), ISNUMBER(MATCH(AQ$1, AsistenciaJetAdminConcatenada!$B:$B, 0)), ISNUMBER(SEARCH($A86,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ISNUMBER(SEARCH($A86, INDEX(AsistenciaJetAdminConcatenada!$D:$D, MATCH(1, (AsistenciaJetAdminConcatenada!$A:$A=AQ$2)*(AsistenciaJetAdminConcatenada!$B:$B=AQ$1), 0)), 1))),  0.5, 0))</f>
        <v>0</v>
      </c>
      <c r="AR86" s="47">
        <f t="array" ref="AR86">IF(AND(ISNUMBER(MATCH(AR$2, AsistenciaJetAdminConcatenada!$A:$A, 0)), ISNUMBER(MATCH(AR$1, AsistenciaJetAdminConcatenada!$B:$B, 0)), ISNUMBER(SEARCH($A86,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ISNUMBER(SEARCH($A86, INDEX(AsistenciaJetAdminConcatenada!$D:$D, MATCH(1, (AsistenciaJetAdminConcatenada!$A:$A=AR$2)*(AsistenciaJetAdminConcatenada!$B:$B=AR$1), 0)), 1))),  0.5, 0))</f>
        <v>1</v>
      </c>
      <c r="AS86" s="47">
        <f t="array" ref="AS86">IF(AND(ISNUMBER(MATCH(AS$2, AsistenciaJetAdminConcatenada!$A:$A, 0)), ISNUMBER(MATCH(AS$1, AsistenciaJetAdminConcatenada!$B:$B, 0)), ISNUMBER(SEARCH($A86,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ISNUMBER(SEARCH($A86, INDEX(AsistenciaJetAdminConcatenada!$D:$D, MATCH(1, (AsistenciaJetAdminConcatenada!$A:$A=AS$2)*(AsistenciaJetAdminConcatenada!$B:$B=AS$1), 0)), 1))),  0.5, 0))</f>
        <v>1</v>
      </c>
      <c r="AT86" s="47">
        <f t="array" ref="AT86">IF(AND(ISNUMBER(MATCH(AT$2, AsistenciaJetAdminConcatenada!$A:$A, 0)), ISNUMBER(MATCH(AT$1, AsistenciaJetAdminConcatenada!$B:$B, 0)), ISNUMBER(SEARCH($A86,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ISNUMBER(SEARCH($A86, INDEX(AsistenciaJetAdminConcatenada!$D:$D, MATCH(1, (AsistenciaJetAdminConcatenada!$A:$A=AT$2)*(AsistenciaJetAdminConcatenada!$B:$B=AT$1), 0)), 1))),  0.5, 0))</f>
        <v>0</v>
      </c>
      <c r="AU86" s="47">
        <f t="array" ref="AU86">IF(AND(ISNUMBER(MATCH(AU$2, AsistenciaJetAdminConcatenada!$A:$A, 0)), ISNUMBER(MATCH(AU$1, AsistenciaJetAdminConcatenada!$B:$B, 0)), ISNUMBER(SEARCH($A86,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ISNUMBER(SEARCH($A86, INDEX(AsistenciaJetAdminConcatenada!$D:$D, MATCH(1, (AsistenciaJetAdminConcatenada!$A:$A=AU$2)*(AsistenciaJetAdminConcatenada!$B:$B=AU$1), 0)), 1))),  0.5, 0))</f>
        <v>1</v>
      </c>
      <c r="AV86" s="47">
        <f t="array" ref="AV86">IF(AND(ISNUMBER(MATCH(AV$2, AsistenciaJetAdminConcatenada!$A:$A, 0)), ISNUMBER(MATCH(AV$1, AsistenciaJetAdminConcatenada!$B:$B, 0)), ISNUMBER(SEARCH($A86,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ISNUMBER(SEARCH($A86, INDEX(AsistenciaJetAdminConcatenada!$D:$D, MATCH(1, (AsistenciaJetAdminConcatenada!$A:$A=AV$2)*(AsistenciaJetAdminConcatenada!$B:$B=AV$1), 0)), 1))),  0.5, 0))</f>
        <v>1</v>
      </c>
      <c r="AW86" s="47">
        <f t="array" ref="AW86">IF(AND(ISNUMBER(MATCH(AW$2, AsistenciaJetAdminConcatenada!$A:$A, 0)), ISNUMBER(MATCH(AW$1, AsistenciaJetAdminConcatenada!$B:$B, 0)), ISNUMBER(SEARCH($A86,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ISNUMBER(SEARCH($A86, INDEX(AsistenciaJetAdminConcatenada!$D:$D, MATCH(1, (AsistenciaJetAdminConcatenada!$A:$A=AW$2)*(AsistenciaJetAdminConcatenada!$B:$B=AW$1), 0)), 1))),  0.5, 0))</f>
        <v>1</v>
      </c>
      <c r="AX86" s="47">
        <f t="array" ref="AX86">IF(AND(ISNUMBER(MATCH(AX$2, AsistenciaJetAdminConcatenada!$A:$A, 0)), ISNUMBER(MATCH(AX$1, AsistenciaJetAdminConcatenada!$B:$B, 0)), ISNUMBER(SEARCH($A86,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ISNUMBER(SEARCH($A86, INDEX(AsistenciaJetAdminConcatenada!$D:$D, MATCH(1, (AsistenciaJetAdminConcatenada!$A:$A=AX$2)*(AsistenciaJetAdminConcatenada!$B:$B=AX$1), 0)), 1))),  0.5, 0))</f>
        <v>1</v>
      </c>
      <c r="AY86" s="47">
        <f t="array" ref="AY86">IF(AND(ISNUMBER(MATCH(AY$2, AsistenciaJetAdminConcatenada!$A:$A, 0)), ISNUMBER(MATCH(AY$1, AsistenciaJetAdminConcatenada!$B:$B, 0)), ISNUMBER(SEARCH($A86,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ISNUMBER(SEARCH($A86, INDEX(AsistenciaJetAdminConcatenada!$D:$D, MATCH(1, (AsistenciaJetAdminConcatenada!$A:$A=AY$2)*(AsistenciaJetAdminConcatenada!$B:$B=AY$1), 0)), 1))),  0.5, 0))</f>
        <v>1</v>
      </c>
      <c r="AZ86" s="47">
        <f t="array" ref="AZ86">IF(AND(ISNUMBER(MATCH(AZ$2, AsistenciaJetAdminConcatenada!$A:$A, 0)), ISNUMBER(MATCH(AZ$1, AsistenciaJetAdminConcatenada!$B:$B, 0)), ISNUMBER(SEARCH($A86,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ISNUMBER(SEARCH($A86, INDEX(AsistenciaJetAdminConcatenada!$D:$D, MATCH(1, (AsistenciaJetAdminConcatenada!$A:$A=AZ$2)*(AsistenciaJetAdminConcatenada!$B:$B=AZ$1), 0)), 1))),  0.5, 0))</f>
        <v>1</v>
      </c>
      <c r="BA86" s="47">
        <f t="array" ref="BA86">IF(AND(ISNUMBER(MATCH(BA$2, AsistenciaJetAdminConcatenada!$A:$A, 0)), ISNUMBER(MATCH(BA$1, AsistenciaJetAdminConcatenada!$B:$B, 0)), ISNUMBER(SEARCH($A86,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ISNUMBER(SEARCH($A86, INDEX(AsistenciaJetAdminConcatenada!$D:$D, MATCH(1, (AsistenciaJetAdminConcatenada!$A:$A=BA$2)*(AsistenciaJetAdminConcatenada!$B:$B=BA$1), 0)), 1))),  0.5, 0))</f>
        <v>1</v>
      </c>
      <c r="BB86" s="47">
        <f t="array" ref="BB86">IF(AND(ISNUMBER(MATCH(BB$2, AsistenciaJetAdminConcatenada!$A:$A, 0)), ISNUMBER(MATCH(BB$1, AsistenciaJetAdminConcatenada!$B:$B, 0)), ISNUMBER(SEARCH($A86,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ISNUMBER(SEARCH($A86, INDEX(AsistenciaJetAdminConcatenada!$D:$D, MATCH(1, (AsistenciaJetAdminConcatenada!$A:$A=BB$2)*(AsistenciaJetAdminConcatenada!$B:$B=BB$1), 0)), 1))),  0.5, 0))</f>
        <v>1</v>
      </c>
      <c r="BC86" s="47">
        <f t="array" ref="BC86">IF(AND(ISNUMBER(MATCH(BC$2, AsistenciaJetAdminConcatenada!$A:$A, 0)), ISNUMBER(MATCH(BC$1, AsistenciaJetAdminConcatenada!$B:$B, 0)), ISNUMBER(SEARCH($A86,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ISNUMBER(SEARCH($A86, INDEX(AsistenciaJetAdminConcatenada!$D:$D, MATCH(1, (AsistenciaJetAdminConcatenada!$A:$A=BC$2)*(AsistenciaJetAdminConcatenada!$B:$B=BC$1), 0)), 1))),  0.5, 0))</f>
        <v>1</v>
      </c>
      <c r="BD86" s="47">
        <f t="array" ref="BD86">IF(AND(ISNUMBER(MATCH(BD$2, AsistenciaJetAdminConcatenada!$A:$A, 0)), ISNUMBER(MATCH(BD$1, AsistenciaJetAdminConcatenada!$B:$B, 0)), ISNUMBER(SEARCH($A86,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ISNUMBER(SEARCH($A86, INDEX(AsistenciaJetAdminConcatenada!$D:$D, MATCH(1, (AsistenciaJetAdminConcatenada!$A:$A=BD$2)*(AsistenciaJetAdminConcatenada!$B:$B=BD$1), 0)), 1))),  0.5, 0))</f>
        <v>0.5</v>
      </c>
      <c r="BE86" s="47">
        <f t="array" ref="BE86">IF(AND(ISNUMBER(MATCH(BE$2, AsistenciaJetAdminConcatenada!$A:$A, 0)), ISNUMBER(MATCH(BE$1, AsistenciaJetAdminConcatenada!$B:$B, 0)), ISNUMBER(SEARCH($A86,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ISNUMBER(SEARCH($A86, INDEX(AsistenciaJetAdminConcatenada!$D:$D, MATCH(1, (AsistenciaJetAdminConcatenada!$A:$A=BE$2)*(AsistenciaJetAdminConcatenada!$B:$B=BE$1), 0)), 1))),  0.5, 0))</f>
        <v>1</v>
      </c>
      <c r="BF86" s="47">
        <f t="array" ref="BF86">IF(AND(ISNUMBER(MATCH(BF$2, AsistenciaJetAdminConcatenada!$A:$A, 0)), ISNUMBER(MATCH(BF$1, AsistenciaJetAdminConcatenada!$B:$B, 0)), ISNUMBER(SEARCH($A86,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ISNUMBER(SEARCH($A86, INDEX(AsistenciaJetAdminConcatenada!$D:$D, MATCH(1, (AsistenciaJetAdminConcatenada!$A:$A=BF$2)*(AsistenciaJetAdminConcatenada!$B:$B=BF$1), 0)), 1))),  0.5, 0))</f>
        <v>1</v>
      </c>
      <c r="BG86" s="47">
        <f t="array" ref="BG86">IF(AND(ISNUMBER(MATCH(BG$2, AsistenciaJetAdminConcatenada!$A:$A, 0)), ISNUMBER(MATCH(BG$1, AsistenciaJetAdminConcatenada!$B:$B, 0)), ISNUMBER(SEARCH($A86,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ISNUMBER(SEARCH($A86, INDEX(AsistenciaJetAdminConcatenada!$D:$D, MATCH(1, (AsistenciaJetAdminConcatenada!$A:$A=BG$2)*(AsistenciaJetAdminConcatenada!$B:$B=BG$1), 0)), 1))),  0.5, 0))</f>
        <v>1</v>
      </c>
      <c r="BH86" s="47">
        <f t="array" ref="BH86">IF(AND(ISNUMBER(MATCH(BH$2, AsistenciaJetAdminConcatenada!$A:$A, 0)), ISNUMBER(MATCH(BH$1, AsistenciaJetAdminConcatenada!$B:$B, 0)), ISNUMBER(SEARCH($A86,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ISNUMBER(SEARCH($A86, INDEX(AsistenciaJetAdminConcatenada!$D:$D, MATCH(1, (AsistenciaJetAdminConcatenada!$A:$A=BH$2)*(AsistenciaJetAdminConcatenada!$B:$B=BH$1), 0)), 1))),  0.5, 0))</f>
        <v>0</v>
      </c>
      <c r="BI86" s="47">
        <f t="array" ref="BI86">IF(AND(ISNUMBER(MATCH(BI$2, AsistenciaJetAdminConcatenada!$A:$A, 0)), ISNUMBER(MATCH(BI$1, AsistenciaJetAdminConcatenada!$B:$B, 0)), ISNUMBER(SEARCH($A86,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ISNUMBER(SEARCH($A86, INDEX(AsistenciaJetAdminConcatenada!$D:$D, MATCH(1, (AsistenciaJetAdminConcatenada!$A:$A=BI$2)*(AsistenciaJetAdminConcatenada!$B:$B=BI$1), 0)), 1))),  0.5, 0))</f>
        <v>1</v>
      </c>
      <c r="BJ86" s="47">
        <f t="array" ref="BJ86">IF(AND(ISNUMBER(MATCH(BJ$2, AsistenciaJetAdminConcatenada!$A:$A, 0)), ISNUMBER(MATCH(BJ$1, AsistenciaJetAdminConcatenada!$B:$B, 0)), ISNUMBER(SEARCH($A86,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ISNUMBER(SEARCH($A86, INDEX(AsistenciaJetAdminConcatenada!$D:$D, MATCH(1, (AsistenciaJetAdminConcatenada!$A:$A=BJ$2)*(AsistenciaJetAdminConcatenada!$B:$B=BJ$1), 0)), 1))),  0.5, 0))</f>
        <v>1</v>
      </c>
      <c r="BK86" s="47">
        <f t="array" ref="BK86">IF(AND(ISNUMBER(MATCH(BK$2, AsistenciaJetAdminConcatenada!$A:$A, 0)), ISNUMBER(MATCH(BK$1, AsistenciaJetAdminConcatenada!$B:$B, 0)), ISNUMBER(SEARCH($A86,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ISNUMBER(SEARCH($A86, INDEX(AsistenciaJetAdminConcatenada!$D:$D, MATCH(1, (AsistenciaJetAdminConcatenada!$A:$A=BK$2)*(AsistenciaJetAdminConcatenada!$B:$B=BK$1), 0)), 1))),  0.5, 0))</f>
        <v>0.5</v>
      </c>
      <c r="BL86" s="47">
        <f t="array" ref="BL86">IF(AND(ISNUMBER(MATCH(BL$2, AsistenciaJetAdminConcatenada!$A:$A, 0)), ISNUMBER(MATCH(BL$1, AsistenciaJetAdminConcatenada!$B:$B, 0)), ISNUMBER(SEARCH($A86,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ISNUMBER(SEARCH($A86, INDEX(AsistenciaJetAdminConcatenada!$D:$D, MATCH(1, (AsistenciaJetAdminConcatenada!$A:$A=BL$2)*(AsistenciaJetAdminConcatenada!$B:$B=BL$1), 0)), 1))),  0.5, 0))</f>
        <v>1</v>
      </c>
      <c r="BM86" s="47">
        <f t="array" ref="BM86">IF(AND(ISNUMBER(MATCH(BM$2, AsistenciaJetAdminConcatenada!$A:$A, 0)), ISNUMBER(MATCH(BM$1, AsistenciaJetAdminConcatenada!$B:$B, 0)), ISNUMBER(SEARCH($A86,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ISNUMBER(SEARCH($A86, INDEX(AsistenciaJetAdminConcatenada!$D:$D, MATCH(1, (AsistenciaJetAdminConcatenada!$A:$A=BM$2)*(AsistenciaJetAdminConcatenada!$B:$B=BM$1), 0)), 1))),  0.5, 0))</f>
        <v>1</v>
      </c>
      <c r="BN86" s="47">
        <f t="array" ref="BN86">IF(AND(ISNUMBER(MATCH(BN$2, AsistenciaJetAdminConcatenada!$A:$A, 0)), ISNUMBER(MATCH(BN$1, AsistenciaJetAdminConcatenada!$B:$B, 0)), ISNUMBER(SEARCH($A86,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ISNUMBER(SEARCH($A86, INDEX(AsistenciaJetAdminConcatenada!$D:$D, MATCH(1, (AsistenciaJetAdminConcatenada!$A:$A=BN$2)*(AsistenciaJetAdminConcatenada!$B:$B=BN$1), 0)), 1))),  0.5, 0))</f>
        <v>1</v>
      </c>
      <c r="BO86" s="47">
        <f t="array" ref="BO86">IF(AND(ISNUMBER(MATCH(BO$2, AsistenciaJetAdminConcatenada!$A:$A, 0)), ISNUMBER(MATCH(BO$1, AsistenciaJetAdminConcatenada!$B:$B, 0)), ISNUMBER(SEARCH($A86,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ISNUMBER(SEARCH($A86, INDEX(AsistenciaJetAdminConcatenada!$D:$D, MATCH(1, (AsistenciaJetAdminConcatenada!$A:$A=BO$2)*(AsistenciaJetAdminConcatenada!$B:$B=BO$1), 0)), 1))),  0.5, 0))</f>
        <v>1</v>
      </c>
      <c r="BP86" s="47">
        <f t="array" ref="BP86">IF(AND(ISNUMBER(MATCH(BP$2, AsistenciaJetAdminConcatenada!$A:$A, 0)), ISNUMBER(MATCH(BP$1, AsistenciaJetAdminConcatenada!$B:$B, 0)), ISNUMBER(SEARCH($A86,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ISNUMBER(SEARCH($A86, INDEX(AsistenciaJetAdminConcatenada!$D:$D, MATCH(1, (AsistenciaJetAdminConcatenada!$A:$A=BP$2)*(AsistenciaJetAdminConcatenada!$B:$B=BP$1), 0)), 1))),  0.5, 0))</f>
        <v>0</v>
      </c>
      <c r="BQ86" s="47">
        <f t="array" ref="BQ86">IF(AND(ISNUMBER(MATCH(BQ$2, AsistenciaJetAdminConcatenada!$A:$A, 0)), ISNUMBER(MATCH(BQ$1, AsistenciaJetAdminConcatenada!$B:$B, 0)), ISNUMBER(SEARCH($A86,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ISNUMBER(SEARCH($A86, INDEX(AsistenciaJetAdminConcatenada!$D:$D, MATCH(1, (AsistenciaJetAdminConcatenada!$A:$A=BQ$2)*(AsistenciaJetAdminConcatenada!$B:$B=BQ$1), 0)), 1))),  0.5, 0))</f>
        <v>1</v>
      </c>
      <c r="BR86" s="47">
        <f t="array" ref="BR86">IF(AND(ISNUMBER(MATCH(BR$2, AsistenciaJetAdminConcatenada!$A:$A, 0)), ISNUMBER(MATCH(BR$1, AsistenciaJetAdminConcatenada!$B:$B, 0)), ISNUMBER(SEARCH($A86,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ISNUMBER(SEARCH($A86, INDEX(AsistenciaJetAdminConcatenada!$D:$D, MATCH(1, (AsistenciaJetAdminConcatenada!$A:$A=BR$2)*(AsistenciaJetAdminConcatenada!$B:$B=BR$1), 0)), 1))),  0.5, 0))</f>
        <v>0</v>
      </c>
      <c r="BS86" s="47">
        <f t="array" ref="BS86">IF(AND(ISNUMBER(MATCH(BS$2, AsistenciaJetAdminConcatenada!$A:$A, 0)), ISNUMBER(MATCH(BS$1, AsistenciaJetAdminConcatenada!$B:$B, 0)), ISNUMBER(SEARCH($A86,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ISNUMBER(SEARCH($A86, INDEX(AsistenciaJetAdminConcatenada!$D:$D, MATCH(1, (AsistenciaJetAdminConcatenada!$A:$A=BS$2)*(AsistenciaJetAdminConcatenada!$B:$B=BS$1), 0)), 1))),  0.5, 0))</f>
        <v>0</v>
      </c>
      <c r="BT86" s="47">
        <f t="array" ref="BT86">IF(AND(ISNUMBER(MATCH(BT$2, AsistenciaJetAdminConcatenada!$A:$A, 0)), ISNUMBER(MATCH(BT$1, AsistenciaJetAdminConcatenada!$B:$B, 0)), ISNUMBER(SEARCH($A86,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ISNUMBER(SEARCH($A86, INDEX(AsistenciaJetAdminConcatenada!$D:$D, MATCH(1, (AsistenciaJetAdminConcatenada!$A:$A=BT$2)*(AsistenciaJetAdminConcatenada!$B:$B=BT$1), 0)), 1))),  0.5, 0))</f>
        <v>1</v>
      </c>
      <c r="BU86" s="47">
        <f t="array" ref="BU86">IF(AND(ISNUMBER(MATCH(BU$2, AsistenciaJetAdminConcatenada!$A:$A, 0)), ISNUMBER(MATCH(BU$1, AsistenciaJetAdminConcatenada!$B:$B, 0)), ISNUMBER(SEARCH($A86,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ISNUMBER(SEARCH($A86, INDEX(AsistenciaJetAdminConcatenada!$D:$D, MATCH(1, (AsistenciaJetAdminConcatenada!$A:$A=BU$2)*(AsistenciaJetAdminConcatenada!$B:$B=BU$1), 0)), 1))),  0.5, 0))</f>
        <v>1</v>
      </c>
      <c r="BV86" s="47">
        <f t="array" ref="BV86">IF(AND(ISNUMBER(MATCH(BV$2, AsistenciaJetAdminConcatenada!$A:$A, 0)), ISNUMBER(MATCH(BV$1, AsistenciaJetAdminConcatenada!$B:$B, 0)), ISNUMBER(SEARCH($A86,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ISNUMBER(SEARCH($A86, INDEX(AsistenciaJetAdminConcatenada!$D:$D, MATCH(1, (AsistenciaJetAdminConcatenada!$A:$A=BV$2)*(AsistenciaJetAdminConcatenada!$B:$B=BV$1), 0)), 1))),  0.5, 0))</f>
        <v>1</v>
      </c>
      <c r="BW86" s="47">
        <f t="array" ref="BW86">IF(AND(ISNUMBER(MATCH(BW$2, AsistenciaJetAdminConcatenada!$A:$A, 0)), ISNUMBER(MATCH(BW$1, AsistenciaJetAdminConcatenada!$B:$B, 0)), ISNUMBER(SEARCH($A86,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ISNUMBER(SEARCH($A86, INDEX(AsistenciaJetAdminConcatenada!$D:$D, MATCH(1, (AsistenciaJetAdminConcatenada!$A:$A=BW$2)*(AsistenciaJetAdminConcatenada!$B:$B=BW$1), 0)), 1))),  0.5, 0))</f>
        <v>1</v>
      </c>
      <c r="BX86" s="47">
        <f t="array" ref="BX86">IF(AND(ISNUMBER(MATCH(BX$2, AsistenciaJetAdminConcatenada!$A:$A, 0)), ISNUMBER(MATCH(BX$1, AsistenciaJetAdminConcatenada!$B:$B, 0)), ISNUMBER(SEARCH($A86,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ISNUMBER(SEARCH($A86, INDEX(AsistenciaJetAdminConcatenada!$D:$D, MATCH(1, (AsistenciaJetAdminConcatenada!$A:$A=BX$2)*(AsistenciaJetAdminConcatenada!$B:$B=BX$1), 0)), 1))),  0.5, 0))</f>
        <v>1</v>
      </c>
      <c r="BY86" s="47">
        <f t="array" ref="BY86">IF(AND(ISNUMBER(MATCH(BY$2, AsistenciaJetAdminConcatenada!$A:$A, 0)), ISNUMBER(MATCH(BY$1, AsistenciaJetAdminConcatenada!$B:$B, 0)), ISNUMBER(SEARCH($A86,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ISNUMBER(SEARCH($A86, INDEX(AsistenciaJetAdminConcatenada!$D:$D, MATCH(1, (AsistenciaJetAdminConcatenada!$A:$A=BY$2)*(AsistenciaJetAdminConcatenada!$B:$B=BY$1), 0)), 1))),  0.5, 0))</f>
        <v>1</v>
      </c>
      <c r="BZ86" s="47">
        <f t="array" ref="BZ86">IF(AND(ISNUMBER(MATCH(BZ$2, AsistenciaJetAdminConcatenada!$A:$A, 0)), ISNUMBER(MATCH(BZ$1, AsistenciaJetAdminConcatenada!$B:$B, 0)), ISNUMBER(SEARCH($A86,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ISNUMBER(SEARCH($A86, INDEX(AsistenciaJetAdminConcatenada!$D:$D, MATCH(1, (AsistenciaJetAdminConcatenada!$A:$A=BZ$2)*(AsistenciaJetAdminConcatenada!$B:$B=BZ$1), 0)), 1))),  0.5, 0))</f>
        <v>1</v>
      </c>
      <c r="CA86" s="47">
        <f t="array" ref="CA86">IF(AND(ISNUMBER(MATCH(CA$2, AsistenciaJetAdminConcatenada!$A:$A, 0)), ISNUMBER(MATCH(CA$1, AsistenciaJetAdminConcatenada!$B:$B, 0)), ISNUMBER(SEARCH($A86,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ISNUMBER(SEARCH($A86, INDEX(AsistenciaJetAdminConcatenada!$D:$D, MATCH(1, (AsistenciaJetAdminConcatenada!$A:$A=CA$2)*(AsistenciaJetAdminConcatenada!$B:$B=CA$1), 0)), 1))),  0.5, 0))</f>
        <v>1</v>
      </c>
      <c r="CB86" s="47">
        <f t="array" ref="CB86">IF(AND(ISNUMBER(MATCH(CB$2, AsistenciaJetAdminConcatenada!$A:$A, 0)), ISNUMBER(MATCH(CB$1, AsistenciaJetAdminConcatenada!$B:$B, 0)), ISNUMBER(SEARCH($A86,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ISNUMBER(SEARCH($A86, INDEX(AsistenciaJetAdminConcatenada!$D:$D, MATCH(1, (AsistenciaJetAdminConcatenada!$A:$A=CB$2)*(AsistenciaJetAdminConcatenada!$B:$B=CB$1), 0)), 1))),  0.5, 0))</f>
        <v>1</v>
      </c>
      <c r="CC86" s="47">
        <f t="array" ref="CC86">IF(AND(ISNUMBER(MATCH(CC$2, AsistenciaJetAdminConcatenada!$A:$A, 0)), ISNUMBER(MATCH(CC$1, AsistenciaJetAdminConcatenada!$B:$B, 0)), ISNUMBER(SEARCH($A86,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ISNUMBER(SEARCH($A86, INDEX(AsistenciaJetAdminConcatenada!$D:$D, MATCH(1, (AsistenciaJetAdminConcatenada!$A:$A=CC$2)*(AsistenciaJetAdminConcatenada!$B:$B=CC$1), 0)), 1))),  0.5, 0))</f>
        <v>1</v>
      </c>
      <c r="CD86" s="47">
        <f t="array" ref="CD86">IF(AND(ISNUMBER(MATCH(CD$2, AsistenciaJetAdminConcatenada!$A:$A, 0)), ISNUMBER(MATCH(CD$1, AsistenciaJetAdminConcatenada!$B:$B, 0)), ISNUMBER(SEARCH($A86,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ISNUMBER(SEARCH($A86, INDEX(AsistenciaJetAdminConcatenada!$D:$D, MATCH(1, (AsistenciaJetAdminConcatenada!$A:$A=CD$2)*(AsistenciaJetAdminConcatenada!$B:$B=CD$1), 0)), 1))),  0.5, 0))</f>
        <v>1</v>
      </c>
      <c r="CE86" s="47">
        <f t="array" ref="CE86">IF(AND(ISNUMBER(MATCH(CE$2, AsistenciaJetAdminConcatenada!$A:$A, 0)), ISNUMBER(MATCH(CE$1, AsistenciaJetAdminConcatenada!$B:$B, 0)), ISNUMBER(SEARCH($A86,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ISNUMBER(SEARCH($A86, INDEX(AsistenciaJetAdminConcatenada!$D:$D, MATCH(1, (AsistenciaJetAdminConcatenada!$A:$A=CE$2)*(AsistenciaJetAdminConcatenada!$B:$B=CE$1), 0)), 1))),  0.5, 0))</f>
        <v>1</v>
      </c>
      <c r="CF86" s="47">
        <f t="array" ref="CF86">IF(AND(ISNUMBER(MATCH(CF$2, AsistenciaJetAdminConcatenada!$A:$A, 0)), ISNUMBER(MATCH(CF$1, AsistenciaJetAdminConcatenada!$B:$B, 0)), ISNUMBER(SEARCH($A86,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ISNUMBER(SEARCH($A86, INDEX(AsistenciaJetAdminConcatenada!$D:$D, MATCH(1, (AsistenciaJetAdminConcatenada!$A:$A=CF$2)*(AsistenciaJetAdminConcatenada!$B:$B=CF$1), 0)), 1))),  0.5, 0))</f>
        <v>1</v>
      </c>
      <c r="CG86" s="47">
        <f t="array" ref="CG86">IF(AND(ISNUMBER(MATCH(CG$2, AsistenciaJetAdminConcatenada!$A:$A, 0)), ISNUMBER(MATCH(CG$1, AsistenciaJetAdminConcatenada!$B:$B, 0)), ISNUMBER(SEARCH($A86,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ISNUMBER(SEARCH($A86, INDEX(AsistenciaJetAdminConcatenada!$D:$D, MATCH(1, (AsistenciaJetAdminConcatenada!$A:$A=CG$2)*(AsistenciaJetAdminConcatenada!$B:$B=CG$1), 0)), 1))),  0.5, 0))</f>
        <v>1</v>
      </c>
      <c r="CH86" s="47">
        <f t="array" ref="CH86">IF(AND(ISNUMBER(MATCH(CH$2, AsistenciaJetAdminConcatenada!$A:$A, 0)), ISNUMBER(MATCH(CH$1, AsistenciaJetAdminConcatenada!$B:$B, 0)), ISNUMBER(SEARCH($A86,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ISNUMBER(SEARCH($A86, INDEX(AsistenciaJetAdminConcatenada!$D:$D, MATCH(1, (AsistenciaJetAdminConcatenada!$A:$A=CH$2)*(AsistenciaJetAdminConcatenada!$B:$B=CH$1), 0)), 1))),  0.5, 0))</f>
        <v>1</v>
      </c>
      <c r="CI86" s="47">
        <f t="array" ref="CI86">IF(AND(ISNUMBER(MATCH(CI$2, AsistenciaJetAdminConcatenada!$A:$A, 0)), ISNUMBER(MATCH(CI$1, AsistenciaJetAdminConcatenada!$B:$B, 0)), ISNUMBER(SEARCH($A86,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ISNUMBER(SEARCH($A86, INDEX(AsistenciaJetAdminConcatenada!$D:$D, MATCH(1, (AsistenciaJetAdminConcatenada!$A:$A=CI$2)*(AsistenciaJetAdminConcatenada!$B:$B=CI$1), 0)), 1))),  0.5, 0))</f>
        <v>1</v>
      </c>
      <c r="CJ86" s="47">
        <f t="array" ref="CJ86">IF(AND(ISNUMBER(MATCH(CJ$2, AsistenciaJetAdminConcatenada!$A:$A, 0)), ISNUMBER(MATCH(CJ$1, AsistenciaJetAdminConcatenada!$B:$B, 0)), ISNUMBER(SEARCH($A86,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ISNUMBER(SEARCH($A86, INDEX(AsistenciaJetAdminConcatenada!$D:$D, MATCH(1, (AsistenciaJetAdminConcatenada!$A:$A=CJ$2)*(AsistenciaJetAdminConcatenada!$B:$B=CJ$1), 0)), 1))),  0.5, 0))</f>
        <v>1</v>
      </c>
      <c r="CK86" s="47">
        <f t="array" ref="CK86">IF(AND(ISNUMBER(MATCH(CK$2, AsistenciaJetAdminConcatenada!$A:$A, 0)), ISNUMBER(MATCH(CK$1, AsistenciaJetAdminConcatenada!$B:$B, 0)), ISNUMBER(SEARCH($A86,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ISNUMBER(SEARCH($A86, INDEX(AsistenciaJetAdminConcatenada!$D:$D, MATCH(1, (AsistenciaJetAdminConcatenada!$A:$A=CK$2)*(AsistenciaJetAdminConcatenada!$B:$B=CK$1), 0)), 1))),  0.5, 0))</f>
        <v>1</v>
      </c>
      <c r="CL86" s="47">
        <f t="array" ref="CL86">IF(AND(ISNUMBER(MATCH(CL$2, AsistenciaJetAdminConcatenada!$A:$A, 0)), ISNUMBER(MATCH(CL$1, AsistenciaJetAdminConcatenada!$B:$B, 0)), ISNUMBER(SEARCH($A86,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ISNUMBER(SEARCH($A86, INDEX(AsistenciaJetAdminConcatenada!$D:$D, MATCH(1, (AsistenciaJetAdminConcatenada!$A:$A=CL$2)*(AsistenciaJetAdminConcatenada!$B:$B=CL$1), 0)), 1))),  0.5, 0))</f>
        <v>1</v>
      </c>
      <c r="CM86" s="47">
        <f t="array" ref="CM86">IF(AND(ISNUMBER(MATCH(CM$2, AsistenciaJetAdminConcatenada!$A:$A, 0)), ISNUMBER(MATCH(CM$1, AsistenciaJetAdminConcatenada!$B:$B, 0)), ISNUMBER(SEARCH($A86,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ISNUMBER(SEARCH($A86, INDEX(AsistenciaJetAdminConcatenada!$D:$D, MATCH(1, (AsistenciaJetAdminConcatenada!$A:$A=CM$2)*(AsistenciaJetAdminConcatenada!$B:$B=CM$1), 0)), 1))),  0.5, 0))</f>
        <v>1</v>
      </c>
      <c r="CN86" s="47">
        <f t="array" ref="CN86">IF(AND(ISNUMBER(MATCH(CN$2, AsistenciaJetAdminConcatenada!$A:$A, 0)), ISNUMBER(MATCH(CN$1, AsistenciaJetAdminConcatenada!$B:$B, 0)), ISNUMBER(SEARCH($A86,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ISNUMBER(SEARCH($A86, INDEX(AsistenciaJetAdminConcatenada!$D:$D, MATCH(1, (AsistenciaJetAdminConcatenada!$A:$A=CN$2)*(AsistenciaJetAdminConcatenada!$B:$B=CN$1), 0)), 1))),  0.5, 0))</f>
        <v>0</v>
      </c>
      <c r="CO86" s="47">
        <f t="array" ref="CO86">IF(AND(ISNUMBER(MATCH(CO$2, AsistenciaJetAdminConcatenada!$A:$A, 0)), ISNUMBER(MATCH(CO$1, AsistenciaJetAdminConcatenada!$B:$B, 0)), ISNUMBER(SEARCH($A86,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ISNUMBER(SEARCH($A86, INDEX(AsistenciaJetAdminConcatenada!$D:$D, MATCH(1, (AsistenciaJetAdminConcatenada!$A:$A=CO$2)*(AsistenciaJetAdminConcatenada!$B:$B=CO$1), 0)), 1))),  0.5, 0))</f>
        <v>1</v>
      </c>
      <c r="CP86" s="47">
        <f t="array" ref="CP86">IF(AND(ISNUMBER(MATCH(CP$2, AsistenciaJetAdminConcatenada!$A:$A, 0)), ISNUMBER(MATCH(CP$1, AsistenciaJetAdminConcatenada!$B:$B, 0)), ISNUMBER(SEARCH($A86,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ISNUMBER(SEARCH($A86, INDEX(AsistenciaJetAdminConcatenada!$D:$D, MATCH(1, (AsistenciaJetAdminConcatenada!$A:$A=CP$2)*(AsistenciaJetAdminConcatenada!$B:$B=CP$1), 0)), 1))),  0.5, 0))</f>
        <v>1</v>
      </c>
      <c r="CQ86" s="47">
        <f t="array" ref="CQ86">IF(AND(ISNUMBER(MATCH(CQ$2, AsistenciaJetAdminConcatenada!$A:$A, 0)), ISNUMBER(MATCH(CQ$1, AsistenciaJetAdminConcatenada!$B:$B, 0)), ISNUMBER(SEARCH($A86,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ISNUMBER(SEARCH($A86, INDEX(AsistenciaJetAdminConcatenada!$D:$D, MATCH(1, (AsistenciaJetAdminConcatenada!$A:$A=CQ$2)*(AsistenciaJetAdminConcatenada!$B:$B=CQ$1), 0)), 1))),  0.5, 0))</f>
        <v>1</v>
      </c>
      <c r="CR86" s="47">
        <f t="array" ref="CR86">IF(AND(ISNUMBER(MATCH(CR$2, AsistenciaJetAdminConcatenada!$A:$A, 0)), ISNUMBER(MATCH(CR$1, AsistenciaJetAdminConcatenada!$B:$B, 0)), ISNUMBER(SEARCH($A86,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ISNUMBER(SEARCH($A86, INDEX(AsistenciaJetAdminConcatenada!$D:$D, MATCH(1, (AsistenciaJetAdminConcatenada!$A:$A=CR$2)*(AsistenciaJetAdminConcatenada!$B:$B=CR$1), 0)), 1))),  0.5, 0))</f>
        <v>1</v>
      </c>
      <c r="CS86" s="47">
        <f t="array" ref="CS86">IF(AND(ISNUMBER(MATCH(CS$2, AsistenciaJetAdminConcatenada!$A:$A, 0)), ISNUMBER(MATCH(CS$1, AsistenciaJetAdminConcatenada!$B:$B, 0)), ISNUMBER(SEARCH($A86,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ISNUMBER(SEARCH($A86, INDEX(AsistenciaJetAdminConcatenada!$D:$D, MATCH(1, (AsistenciaJetAdminConcatenada!$A:$A=CS$2)*(AsistenciaJetAdminConcatenada!$B:$B=CS$1), 0)), 1))),  0.5, 0))</f>
        <v>0</v>
      </c>
      <c r="CT86" s="47">
        <f t="array" ref="CT86">IF(AND(ISNUMBER(MATCH(CT$2, AsistenciaJetAdminConcatenada!$A:$A, 0)), ISNUMBER(MATCH(CT$1, AsistenciaJetAdminConcatenada!$B:$B, 0)), ISNUMBER(SEARCH($A86,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ISNUMBER(SEARCH($A86, INDEX(AsistenciaJetAdminConcatenada!$D:$D, MATCH(1, (AsistenciaJetAdminConcatenada!$A:$A=CT$2)*(AsistenciaJetAdminConcatenada!$B:$B=CT$1), 0)), 1))),  0.5, 0))</f>
        <v>0</v>
      </c>
      <c r="CU86" s="47">
        <f t="array" ref="CU86">IF(AND(ISNUMBER(MATCH(CU$2, AsistenciaJetAdminConcatenada!$A:$A, 0)), ISNUMBER(MATCH(CU$1, AsistenciaJetAdminConcatenada!$B:$B, 0)), ISNUMBER(SEARCH($A86,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ISNUMBER(SEARCH($A86, INDEX(AsistenciaJetAdminConcatenada!$D:$D, MATCH(1, (AsistenciaJetAdminConcatenada!$A:$A=CU$2)*(AsistenciaJetAdminConcatenada!$B:$B=CU$1), 0)), 1))),  0.5, 0))</f>
        <v>0</v>
      </c>
      <c r="CV86" s="47">
        <f t="array" ref="CV86">IF(AND(ISNUMBER(MATCH(CV$2, AsistenciaJetAdminConcatenada!$A:$A, 0)), ISNUMBER(MATCH(CV$1, AsistenciaJetAdminConcatenada!$B:$B, 0)), ISNUMBER(SEARCH($A86,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ISNUMBER(SEARCH($A86, INDEX(AsistenciaJetAdminConcatenada!$D:$D, MATCH(1, (AsistenciaJetAdminConcatenada!$A:$A=CV$2)*(AsistenciaJetAdminConcatenada!$B:$B=CV$1), 0)), 1))),  0.5, 0))</f>
        <v>0</v>
      </c>
      <c r="CW86" s="47">
        <f t="array" ref="CW86">IF(AND(ISNUMBER(MATCH(CW$2, AsistenciaJetAdminConcatenada!$A:$A, 0)), ISNUMBER(MATCH(CW$1, AsistenciaJetAdminConcatenada!$B:$B, 0)), ISNUMBER(SEARCH($A86,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ISNUMBER(SEARCH($A86, INDEX(AsistenciaJetAdminConcatenada!$D:$D, MATCH(1, (AsistenciaJetAdminConcatenada!$A:$A=CW$2)*(AsistenciaJetAdminConcatenada!$B:$B=CW$1), 0)), 1))),  0.5, 0))</f>
        <v>0</v>
      </c>
      <c r="CX86" s="47">
        <f t="array" ref="CX86">IF(AND(ISNUMBER(MATCH(CX$2, AsistenciaJetAdminConcatenada!$A:$A, 0)), ISNUMBER(MATCH(CX$1, AsistenciaJetAdminConcatenada!$B:$B, 0)), ISNUMBER(SEARCH($A86,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ISNUMBER(SEARCH($A86, INDEX(AsistenciaJetAdminConcatenada!$D:$D, MATCH(1, (AsistenciaJetAdminConcatenada!$A:$A=CX$2)*(AsistenciaJetAdminConcatenada!$B:$B=CX$1), 0)), 1))),  0.5, 0))</f>
        <v>0</v>
      </c>
      <c r="CY86" s="47">
        <f t="array" ref="CY86">IF(AND(ISNUMBER(MATCH(CY$2, AsistenciaJetAdminConcatenada!$A:$A, 0)), ISNUMBER(MATCH(CY$1, AsistenciaJetAdminConcatenada!$B:$B, 0)), ISNUMBER(SEARCH($A86,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ISNUMBER(SEARCH($A86, INDEX(AsistenciaJetAdminConcatenada!$D:$D, MATCH(1, (AsistenciaJetAdminConcatenada!$A:$A=CY$2)*(AsistenciaJetAdminConcatenada!$B:$B=CY$1), 0)), 1))),  0.5, 0))</f>
        <v>0</v>
      </c>
      <c r="CZ86" s="47">
        <f t="array" ref="CZ86">IF(AND(ISNUMBER(MATCH(CZ$2, AsistenciaJetAdminConcatenada!$A:$A, 0)), ISNUMBER(MATCH(CZ$1, AsistenciaJetAdminConcatenada!$B:$B, 0)), ISNUMBER(SEARCH($A86,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ISNUMBER(SEARCH($A86, INDEX(AsistenciaJetAdminConcatenada!$D:$D, MATCH(1, (AsistenciaJetAdminConcatenada!$A:$A=CZ$2)*(AsistenciaJetAdminConcatenada!$B:$B=CZ$1), 0)), 1))),  0.5, 0))</f>
        <v>0</v>
      </c>
      <c r="DA86" s="47">
        <f t="array" ref="DA86">IF(AND(ISNUMBER(MATCH(DA$2, AsistenciaJetAdminConcatenada!$A:$A, 0)), ISNUMBER(MATCH(DA$1, AsistenciaJetAdminConcatenada!$B:$B, 0)), ISNUMBER(SEARCH($A86,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ISNUMBER(SEARCH($A86, INDEX(AsistenciaJetAdminConcatenada!$D:$D, MATCH(1, (AsistenciaJetAdminConcatenada!$A:$A=DA$2)*(AsistenciaJetAdminConcatenada!$B:$B=DA$1), 0)), 1))),  0.5, 0))</f>
        <v>0</v>
      </c>
      <c r="DB86" s="47">
        <f t="array" ref="DB86">IF(AND(ISNUMBER(MATCH(DB$2, AsistenciaJetAdminConcatenada!$A:$A, 0)), ISNUMBER(MATCH(DB$1, AsistenciaJetAdminConcatenada!$B:$B, 0)), ISNUMBER(SEARCH($A86,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ISNUMBER(SEARCH($A86, INDEX(AsistenciaJetAdminConcatenada!$D:$D, MATCH(1, (AsistenciaJetAdminConcatenada!$A:$A=DB$2)*(AsistenciaJetAdminConcatenada!$B:$B=DB$1), 0)), 1))),  0.5, 0))</f>
        <v>0</v>
      </c>
      <c r="DC86" s="47">
        <f t="array" ref="DC86">IF(AND(ISNUMBER(MATCH(DC$2, AsistenciaJetAdminConcatenada!$A:$A, 0)), ISNUMBER(MATCH(DC$1, AsistenciaJetAdminConcatenada!$B:$B, 0)), ISNUMBER(SEARCH($A86,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ISNUMBER(SEARCH($A86, INDEX(AsistenciaJetAdminConcatenada!$D:$D, MATCH(1, (AsistenciaJetAdminConcatenada!$A:$A=DC$2)*(AsistenciaJetAdminConcatenada!$B:$B=DC$1), 0)), 1))),  0.5, 0))</f>
        <v>0</v>
      </c>
      <c r="DD86" s="47">
        <f t="array" ref="DD86">IF(AND(ISNUMBER(MATCH(DD$2, AsistenciaJetAdminConcatenada!$A:$A, 0)), ISNUMBER(MATCH(DD$1, AsistenciaJetAdminConcatenada!$B:$B, 0)), ISNUMBER(SEARCH($A86,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ISNUMBER(SEARCH($A86, INDEX(AsistenciaJetAdminConcatenada!$D:$D, MATCH(1, (AsistenciaJetAdminConcatenada!$A:$A=DD$2)*(AsistenciaJetAdminConcatenada!$B:$B=DD$1), 0)), 1))),  0.5, 0))</f>
        <v>0</v>
      </c>
      <c r="DE86" s="47">
        <f t="array" ref="DE86">IF(AND(ISNUMBER(MATCH(DE$2, AsistenciaJetAdminConcatenada!$A:$A, 0)), ISNUMBER(MATCH(DE$1, AsistenciaJetAdminConcatenada!$B:$B, 0)), ISNUMBER(SEARCH($A86,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ISNUMBER(SEARCH($A86, INDEX(AsistenciaJetAdminConcatenada!$D:$D, MATCH(1, (AsistenciaJetAdminConcatenada!$A:$A=DE$2)*(AsistenciaJetAdminConcatenada!$B:$B=DE$1), 0)), 1))),  0.5, 0))</f>
        <v>0</v>
      </c>
      <c r="DF86" s="47">
        <f t="array" ref="DF86">IF(AND(ISNUMBER(MATCH(DF$2, AsistenciaJetAdminConcatenada!$A:$A, 0)), ISNUMBER(MATCH(DF$1, AsistenciaJetAdminConcatenada!$B:$B, 0)), ISNUMBER(SEARCH($A86,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ISNUMBER(SEARCH($A86, INDEX(AsistenciaJetAdminConcatenada!$D:$D, MATCH(1, (AsistenciaJetAdminConcatenada!$A:$A=DF$2)*(AsistenciaJetAdminConcatenada!$B:$B=DF$1), 0)), 1))),  0.5, 0))</f>
        <v>0</v>
      </c>
      <c r="DG86" s="47">
        <f t="array" ref="DG86">IF(AND(ISNUMBER(MATCH(DG$2, AsistenciaJetAdminConcatenada!$A:$A, 0)), ISNUMBER(MATCH(DG$1, AsistenciaJetAdminConcatenada!$B:$B, 0)), ISNUMBER(SEARCH($A86,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ISNUMBER(SEARCH($A86, INDEX(AsistenciaJetAdminConcatenada!$D:$D, MATCH(1, (AsistenciaJetAdminConcatenada!$A:$A=DG$2)*(AsistenciaJetAdminConcatenada!$B:$B=DG$1), 0)), 1))),  0.5, 0))</f>
        <v>0</v>
      </c>
      <c r="DH86" s="47">
        <f t="array" ref="DH86">IF(AND(ISNUMBER(MATCH(DH$2, AsistenciaJetAdminConcatenada!$A:$A, 0)), ISNUMBER(MATCH(DH$1, AsistenciaJetAdminConcatenada!$B:$B, 0)), ISNUMBER(SEARCH($A86,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ISNUMBER(SEARCH($A86, INDEX(AsistenciaJetAdminConcatenada!$D:$D, MATCH(1, (AsistenciaJetAdminConcatenada!$A:$A=DH$2)*(AsistenciaJetAdminConcatenada!$B:$B=DH$1), 0)), 1))),  0.5, 0))</f>
        <v>0</v>
      </c>
      <c r="DI86" s="47">
        <f t="array" ref="DI86">IF(AND(ISNUMBER(MATCH(DI$2, AsistenciaJetAdminConcatenada!$A:$A, 0)), ISNUMBER(MATCH(DI$1, AsistenciaJetAdminConcatenada!$B:$B, 0)), ISNUMBER(SEARCH($A86,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ISNUMBER(SEARCH($A86, INDEX(AsistenciaJetAdminConcatenada!$D:$D, MATCH(1, (AsistenciaJetAdminConcatenada!$A:$A=DI$2)*(AsistenciaJetAdminConcatenada!$B:$B=DI$1), 0)), 1))),  0.5, 0))</f>
        <v>0</v>
      </c>
      <c r="DJ86" s="47">
        <f t="array" ref="DJ86">IF(AND(ISNUMBER(MATCH(DJ$2, AsistenciaJetAdminConcatenada!$A:$A, 0)), ISNUMBER(MATCH(DJ$1, AsistenciaJetAdminConcatenada!$B:$B, 0)), ISNUMBER(SEARCH($A86,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ISNUMBER(SEARCH($A86, INDEX(AsistenciaJetAdminConcatenada!$D:$D, MATCH(1, (AsistenciaJetAdminConcatenada!$A:$A=DJ$2)*(AsistenciaJetAdminConcatenada!$B:$B=DJ$1), 0)), 1))),  0.5, 0))</f>
        <v>0</v>
      </c>
      <c r="DK86" s="47">
        <f t="array" ref="DK86">IF(AND(ISNUMBER(MATCH(DK$2, AsistenciaJetAdminConcatenada!$A:$A, 0)), ISNUMBER(MATCH(DK$1, AsistenciaJetAdminConcatenada!$B:$B, 0)), ISNUMBER(SEARCH($A86,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ISNUMBER(SEARCH($A86, INDEX(AsistenciaJetAdminConcatenada!$D:$D, MATCH(1, (AsistenciaJetAdminConcatenada!$A:$A=DK$2)*(AsistenciaJetAdminConcatenada!$B:$B=DK$1), 0)), 1))),  0.5, 0))</f>
        <v>0</v>
      </c>
      <c r="DL86" s="47">
        <f t="array" ref="DL86">IF(AND(ISNUMBER(MATCH(DL$2, AsistenciaJetAdminConcatenada!$A:$A, 0)), ISNUMBER(MATCH(DL$1, AsistenciaJetAdminConcatenada!$B:$B, 0)), ISNUMBER(SEARCH($A86,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ISNUMBER(SEARCH($A86, INDEX(AsistenciaJetAdminConcatenada!$D:$D, MATCH(1, (AsistenciaJetAdminConcatenada!$A:$A=DL$2)*(AsistenciaJetAdminConcatenada!$B:$B=DL$1), 0)), 1))),  0.5, 0))</f>
        <v>0</v>
      </c>
      <c r="DM86" s="47">
        <f t="array" ref="DM86">IF(AND(ISNUMBER(MATCH(DM$2, AsistenciaJetAdminConcatenada!$A:$A, 0)), ISNUMBER(MATCH(DM$1, AsistenciaJetAdminConcatenada!$B:$B, 0)), ISNUMBER(SEARCH($A86,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ISNUMBER(SEARCH($A86, INDEX(AsistenciaJetAdminConcatenada!$D:$D, MATCH(1, (AsistenciaJetAdminConcatenada!$A:$A=DM$2)*(AsistenciaJetAdminConcatenada!$B:$B=DM$1), 0)), 1))),  0.5, 0))</f>
        <v>0</v>
      </c>
      <c r="DN86" s="47">
        <f t="array" ref="DN86">IF(AND(ISNUMBER(MATCH(DN$2, AsistenciaJetAdminConcatenada!$A:$A, 0)), ISNUMBER(MATCH(DN$1, AsistenciaJetAdminConcatenada!$B:$B, 0)), ISNUMBER(SEARCH($A86,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ISNUMBER(SEARCH($A86, INDEX(AsistenciaJetAdminConcatenada!$D:$D, MATCH(1, (AsistenciaJetAdminConcatenada!$A:$A=DN$2)*(AsistenciaJetAdminConcatenada!$B:$B=DN$1), 0)), 1))),  0.5, 0))</f>
        <v>0</v>
      </c>
      <c r="DO86" s="47">
        <f t="array" ref="DO86">IF(AND(ISNUMBER(MATCH(DO$2, AsistenciaJetAdminConcatenada!$A:$A, 0)), ISNUMBER(MATCH(DO$1, AsistenciaJetAdminConcatenada!$B:$B, 0)), ISNUMBER(SEARCH($A86,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ISNUMBER(SEARCH($A86, INDEX(AsistenciaJetAdminConcatenada!$D:$D, MATCH(1, (AsistenciaJetAdminConcatenada!$A:$A=DO$2)*(AsistenciaJetAdminConcatenada!$B:$B=DO$1), 0)), 1))),  0.5, 0))</f>
        <v>0</v>
      </c>
      <c r="DP86" s="47">
        <f t="array" ref="DP86">IF(AND(ISNUMBER(MATCH(DP$2, AsistenciaJetAdminConcatenada!$A:$A, 0)), ISNUMBER(MATCH(DP$1, AsistenciaJetAdminConcatenada!$B:$B, 0)), ISNUMBER(SEARCH($A86,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ISNUMBER(SEARCH($A86, INDEX(AsistenciaJetAdminConcatenada!$D:$D, MATCH(1, (AsistenciaJetAdminConcatenada!$A:$A=DP$2)*(AsistenciaJetAdminConcatenada!$B:$B=DP$1), 0)), 1))),  0.5, 0))</f>
        <v>0</v>
      </c>
      <c r="DQ86" s="47">
        <f t="array" ref="DQ86">IF(AND(ISNUMBER(MATCH(DQ$2, AsistenciaJetAdminConcatenada!$A:$A, 0)), ISNUMBER(MATCH(DQ$1, AsistenciaJetAdminConcatenada!$B:$B, 0)), ISNUMBER(SEARCH($A86,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ISNUMBER(SEARCH($A86, INDEX(AsistenciaJetAdminConcatenada!$D:$D, MATCH(1, (AsistenciaJetAdminConcatenada!$A:$A=DQ$2)*(AsistenciaJetAdminConcatenada!$B:$B=DQ$1), 0)), 1))),  0.5, 0))</f>
        <v>0</v>
      </c>
      <c r="DR86" s="47">
        <f t="array" ref="DR86">IF(AND(ISNUMBER(MATCH(DR$2, AsistenciaJetAdminConcatenada!$A:$A, 0)), ISNUMBER(MATCH(DR$1, AsistenciaJetAdminConcatenada!$B:$B, 0)), ISNUMBER(SEARCH($A86,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ISNUMBER(SEARCH($A86, INDEX(AsistenciaJetAdminConcatenada!$D:$D, MATCH(1, (AsistenciaJetAdminConcatenada!$A:$A=DR$2)*(AsistenciaJetAdminConcatenada!$B:$B=DR$1), 0)), 1))),  0.5, 0))</f>
        <v>0</v>
      </c>
      <c r="DS86" s="47">
        <f t="array" ref="DS86">IF(AND(ISNUMBER(MATCH(DS$2, AsistenciaJetAdminConcatenada!$A:$A, 0)), ISNUMBER(MATCH(DS$1, AsistenciaJetAdminConcatenada!$B:$B, 0)), ISNUMBER(SEARCH($A86,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ISNUMBER(SEARCH($A86, INDEX(AsistenciaJetAdminConcatenada!$D:$D, MATCH(1, (AsistenciaJetAdminConcatenada!$A:$A=DS$2)*(AsistenciaJetAdminConcatenada!$B:$B=DS$1), 0)), 1))),  0.5, 0))</f>
        <v>0</v>
      </c>
      <c r="DT86" s="47">
        <f t="array" ref="DT86">IF(AND(ISNUMBER(MATCH(DT$2, AsistenciaJetAdminConcatenada!$A:$A, 0)), ISNUMBER(MATCH(DT$1, AsistenciaJetAdminConcatenada!$B:$B, 0)), ISNUMBER(SEARCH($A86,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ISNUMBER(SEARCH($A86, INDEX(AsistenciaJetAdminConcatenada!$D:$D, MATCH(1, (AsistenciaJetAdminConcatenada!$A:$A=DT$2)*(AsistenciaJetAdminConcatenada!$B:$B=DT$1), 0)), 1))),  0.5, 0))</f>
        <v>0</v>
      </c>
      <c r="DU86" s="47">
        <f t="array" ref="DU86">IF(AND(ISNUMBER(MATCH(DU$2, AsistenciaJetAdminConcatenada!$A:$A, 0)), ISNUMBER(MATCH(DU$1, AsistenciaJetAdminConcatenada!$B:$B, 0)), ISNUMBER(SEARCH($A86,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ISNUMBER(SEARCH($A86, INDEX(AsistenciaJetAdminConcatenada!$D:$D, MATCH(1, (AsistenciaJetAdminConcatenada!$A:$A=DU$2)*(AsistenciaJetAdminConcatenada!$B:$B=DU$1), 0)), 1))),  0.5, 0))</f>
        <v>0</v>
      </c>
      <c r="DV86" s="47">
        <f t="array" ref="DV86">IF(AND(ISNUMBER(MATCH(DV$2, AsistenciaJetAdminConcatenada!$A:$A, 0)), ISNUMBER(MATCH(DV$1, AsistenciaJetAdminConcatenada!$B:$B, 0)), ISNUMBER(SEARCH($A86,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ISNUMBER(SEARCH($A86, INDEX(AsistenciaJetAdminConcatenada!$D:$D, MATCH(1, (AsistenciaJetAdminConcatenada!$A:$A=DV$2)*(AsistenciaJetAdminConcatenada!$B:$B=DV$1), 0)), 1))),  0.5, 0))</f>
        <v>0</v>
      </c>
      <c r="DW86" s="47">
        <f t="array" ref="DW86">IF(AND(ISNUMBER(MATCH(DW$2, AsistenciaJetAdminConcatenada!$A:$A, 0)), ISNUMBER(MATCH(DW$1, AsistenciaJetAdminConcatenada!$B:$B, 0)), ISNUMBER(SEARCH($A86,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ISNUMBER(SEARCH($A86, INDEX(AsistenciaJetAdminConcatenada!$D:$D, MATCH(1, (AsistenciaJetAdminConcatenada!$A:$A=DW$2)*(AsistenciaJetAdminConcatenada!$B:$B=DW$1), 0)), 1))),  0.5, 0))</f>
        <v>0</v>
      </c>
      <c r="DX86" s="47">
        <f t="array" ref="DX86">IF(AND(ISNUMBER(MATCH(DX$2, AsistenciaJetAdminConcatenada!$A:$A, 0)), ISNUMBER(MATCH(DX$1, AsistenciaJetAdminConcatenada!$B:$B, 0)), ISNUMBER(SEARCH($A86,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ISNUMBER(SEARCH($A86, INDEX(AsistenciaJetAdminConcatenada!$D:$D, MATCH(1, (AsistenciaJetAdminConcatenada!$A:$A=DX$2)*(AsistenciaJetAdminConcatenada!$B:$B=DX$1), 0)), 1))),  0.5, 0))</f>
        <v>0</v>
      </c>
      <c r="DY86" s="47">
        <f t="array" ref="DY86">IF(AND(ISNUMBER(MATCH(DY$2, AsistenciaJetAdminConcatenada!$A:$A, 0)), ISNUMBER(MATCH(DY$1, AsistenciaJetAdminConcatenada!$B:$B, 0)), ISNUMBER(SEARCH($A86,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ISNUMBER(SEARCH($A86, INDEX(AsistenciaJetAdminConcatenada!$D:$D, MATCH(1, (AsistenciaJetAdminConcatenada!$A:$A=DY$2)*(AsistenciaJetAdminConcatenada!$B:$B=DY$1), 0)), 1))),  0.5, 0))</f>
        <v>0</v>
      </c>
      <c r="DZ86" s="47">
        <f t="array" ref="DZ86">IF(AND(ISNUMBER(MATCH(DZ$2, AsistenciaJetAdminConcatenada!$A:$A, 0)), ISNUMBER(MATCH(DZ$1, AsistenciaJetAdminConcatenada!$B:$B, 0)), ISNUMBER(SEARCH($A86,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ISNUMBER(SEARCH($A86, INDEX(AsistenciaJetAdminConcatenada!$D:$D, MATCH(1, (AsistenciaJetAdminConcatenada!$A:$A=DZ$2)*(AsistenciaJetAdminConcatenada!$B:$B=DZ$1), 0)), 1))),  0.5, 0))</f>
        <v>0</v>
      </c>
      <c r="EA86" s="47">
        <f t="array" ref="EA86">IF(AND(ISNUMBER(MATCH(EA$2, AsistenciaJetAdminConcatenada!$A:$A, 0)), ISNUMBER(MATCH(EA$1, AsistenciaJetAdminConcatenada!$B:$B, 0)), ISNUMBER(SEARCH($A86,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ISNUMBER(SEARCH($A86, INDEX(AsistenciaJetAdminConcatenada!$D:$D, MATCH(1, (AsistenciaJetAdminConcatenada!$A:$A=EA$2)*(AsistenciaJetAdminConcatenada!$B:$B=EA$1), 0)), 1))),  0.5, 0))</f>
        <v>0</v>
      </c>
      <c r="EB86" s="47">
        <f t="array" ref="EB86">IF(AND(ISNUMBER(MATCH(EB$2, AsistenciaJetAdminConcatenada!$A:$A, 0)), ISNUMBER(MATCH(EB$1, AsistenciaJetAdminConcatenada!$B:$B, 0)), ISNUMBER(SEARCH($A86,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ISNUMBER(SEARCH($A86, INDEX(AsistenciaJetAdminConcatenada!$D:$D, MATCH(1, (AsistenciaJetAdminConcatenada!$A:$A=EB$2)*(AsistenciaJetAdminConcatenada!$B:$B=EB$1), 0)), 1))),  0.5, 0))</f>
        <v>0</v>
      </c>
      <c r="EC86" s="47">
        <f t="array" ref="EC86">IF(AND(ISNUMBER(MATCH(EC$2, AsistenciaJetAdminConcatenada!$A:$A, 0)), ISNUMBER(MATCH(EC$1, AsistenciaJetAdminConcatenada!$B:$B, 0)), ISNUMBER(SEARCH($A86,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ISNUMBER(SEARCH($A86, INDEX(AsistenciaJetAdminConcatenada!$D:$D, MATCH(1, (AsistenciaJetAdminConcatenada!$A:$A=EC$2)*(AsistenciaJetAdminConcatenada!$B:$B=EC$1), 0)), 1))),  0.5, 0))</f>
        <v>0</v>
      </c>
      <c r="ED86" s="47">
        <f t="array" ref="ED86">IF(AND(ISNUMBER(MATCH(ED$2, AsistenciaJetAdminConcatenada!$A:$A, 0)), ISNUMBER(MATCH(ED$1, AsistenciaJetAdminConcatenada!$B:$B, 0)), ISNUMBER(SEARCH($A86,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ISNUMBER(SEARCH($A86, INDEX(AsistenciaJetAdminConcatenada!$D:$D, MATCH(1, (AsistenciaJetAdminConcatenada!$A:$A=ED$2)*(AsistenciaJetAdminConcatenada!$B:$B=ED$1), 0)), 1))),  0.5, 0))</f>
        <v>0</v>
      </c>
      <c r="EE86" s="47">
        <f t="array" ref="EE86">IF(AND(ISNUMBER(MATCH(EE$2, AsistenciaJetAdminConcatenada!$A:$A, 0)), ISNUMBER(MATCH(EE$1, AsistenciaJetAdminConcatenada!$B:$B, 0)), ISNUMBER(SEARCH($A86,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ISNUMBER(SEARCH($A86, INDEX(AsistenciaJetAdminConcatenada!$D:$D, MATCH(1, (AsistenciaJetAdminConcatenada!$A:$A=EE$2)*(AsistenciaJetAdminConcatenada!$B:$B=EE$1), 0)), 1))),  0.5, 0))</f>
        <v>0</v>
      </c>
      <c r="EF86" s="47">
        <f t="array" ref="EF86">IF(AND(ISNUMBER(MATCH(EF$2, AsistenciaJetAdminConcatenada!$A:$A, 0)), ISNUMBER(MATCH(EF$1, AsistenciaJetAdminConcatenada!$B:$B, 0)), ISNUMBER(SEARCH($A86,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ISNUMBER(SEARCH($A86, INDEX(AsistenciaJetAdminConcatenada!$D:$D, MATCH(1, (AsistenciaJetAdminConcatenada!$A:$A=EF$2)*(AsistenciaJetAdminConcatenada!$B:$B=EF$1), 0)), 1))),  0.5, 0))</f>
        <v>0</v>
      </c>
      <c r="EG86" s="47">
        <f t="array" ref="EG86">IF(AND(ISNUMBER(MATCH(EG$2, AsistenciaJetAdminConcatenada!$A:$A, 0)), ISNUMBER(MATCH(EG$1, AsistenciaJetAdminConcatenada!$B:$B, 0)), ISNUMBER(SEARCH($A86,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ISNUMBER(SEARCH($A86, INDEX(AsistenciaJetAdminConcatenada!$D:$D, MATCH(1, (AsistenciaJetAdminConcatenada!$A:$A=EG$2)*(AsistenciaJetAdminConcatenada!$B:$B=EG$1), 0)), 1))),  0.5, 0))</f>
        <v>0</v>
      </c>
      <c r="EH86" s="47">
        <f t="array" ref="EH86">IF(AND(ISNUMBER(MATCH(EH$2, AsistenciaJetAdminConcatenada!$A:$A, 0)), ISNUMBER(MATCH(EH$1, AsistenciaJetAdminConcatenada!$B:$B, 0)), ISNUMBER(SEARCH($A86,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ISNUMBER(SEARCH($A86, INDEX(AsistenciaJetAdminConcatenada!$D:$D, MATCH(1, (AsistenciaJetAdminConcatenada!$A:$A=EH$2)*(AsistenciaJetAdminConcatenada!$B:$B=EH$1), 0)), 1))),  0.5, 0))</f>
        <v>0</v>
      </c>
      <c r="EI86" s="47">
        <f t="array" ref="EI86">IF(AND(ISNUMBER(MATCH(EI$2, AsistenciaJetAdminConcatenada!$A:$A, 0)), ISNUMBER(MATCH(EI$1, AsistenciaJetAdminConcatenada!$B:$B, 0)), ISNUMBER(SEARCH($A86,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ISNUMBER(SEARCH($A86, INDEX(AsistenciaJetAdminConcatenada!$D:$D, MATCH(1, (AsistenciaJetAdminConcatenada!$A:$A=EI$2)*(AsistenciaJetAdminConcatenada!$B:$B=EI$1), 0)), 1))),  0.5, 0))</f>
        <v>0</v>
      </c>
      <c r="EJ86" s="47">
        <f t="array" ref="EJ86">IF(AND(ISNUMBER(MATCH(EJ$2, AsistenciaJetAdminConcatenada!$A:$A, 0)), ISNUMBER(MATCH(EJ$1, AsistenciaJetAdminConcatenada!$B:$B, 0)), ISNUMBER(SEARCH($A86,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ISNUMBER(SEARCH($A86, INDEX(AsistenciaJetAdminConcatenada!$D:$D, MATCH(1, (AsistenciaJetAdminConcatenada!$A:$A=EJ$2)*(AsistenciaJetAdminConcatenada!$B:$B=EJ$1), 0)), 1))),  0.5, 0))</f>
        <v>0</v>
      </c>
      <c r="EK86" s="47">
        <f t="array" ref="EK86">IF(AND(ISNUMBER(MATCH(EK$2, AsistenciaJetAdminConcatenada!$A:$A, 0)), ISNUMBER(MATCH(EK$1, AsistenciaJetAdminConcatenada!$B:$B, 0)), ISNUMBER(SEARCH($A86,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ISNUMBER(SEARCH($A86, INDEX(AsistenciaJetAdminConcatenada!$D:$D, MATCH(1, (AsistenciaJetAdminConcatenada!$A:$A=EK$2)*(AsistenciaJetAdminConcatenada!$B:$B=EK$1), 0)), 1))),  0.5, 0))</f>
        <v>0</v>
      </c>
      <c r="EL86" s="47">
        <f t="array" ref="EL86">IF(AND(ISNUMBER(MATCH(EL$2, AsistenciaJetAdminConcatenada!$A:$A, 0)), ISNUMBER(MATCH(EL$1, AsistenciaJetAdminConcatenada!$B:$B, 0)), ISNUMBER(SEARCH($A86,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ISNUMBER(SEARCH($A86, INDEX(AsistenciaJetAdminConcatenada!$D:$D, MATCH(1, (AsistenciaJetAdminConcatenada!$A:$A=EL$2)*(AsistenciaJetAdminConcatenada!$B:$B=EL$1), 0)), 1))),  0.5, 0))</f>
        <v>0</v>
      </c>
      <c r="EM86" s="47">
        <f t="array" ref="EM86">IF(AND(ISNUMBER(MATCH(EM$2, AsistenciaJetAdminConcatenada!$A:$A, 0)), ISNUMBER(MATCH(EM$1, AsistenciaJetAdminConcatenada!$B:$B, 0)), ISNUMBER(SEARCH($A86,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ISNUMBER(SEARCH($A86, INDEX(AsistenciaJetAdminConcatenada!$D:$D, MATCH(1, (AsistenciaJetAdminConcatenada!$A:$A=EM$2)*(AsistenciaJetAdminConcatenada!$B:$B=EM$1), 0)), 1))),  0.5, 0))</f>
        <v>0</v>
      </c>
      <c r="EN86" s="47">
        <f t="array" ref="EN86">IF(AND(ISNUMBER(MATCH(EN$2, AsistenciaJetAdminConcatenada!$A:$A, 0)), ISNUMBER(MATCH(EN$1, AsistenciaJetAdminConcatenada!$B:$B, 0)), ISNUMBER(SEARCH($A86,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ISNUMBER(SEARCH($A86, INDEX(AsistenciaJetAdminConcatenada!$D:$D, MATCH(1, (AsistenciaJetAdminConcatenada!$A:$A=EN$2)*(AsistenciaJetAdminConcatenada!$B:$B=EN$1), 0)), 1))),  0.5, 0))</f>
        <v>0</v>
      </c>
      <c r="EO86" s="47">
        <f t="array" ref="EO86">IF(AND(ISNUMBER(MATCH(EO$2, AsistenciaJetAdminConcatenada!$A:$A, 0)), ISNUMBER(MATCH(EO$1, AsistenciaJetAdminConcatenada!$B:$B, 0)), ISNUMBER(SEARCH($A86,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ISNUMBER(SEARCH($A86, INDEX(AsistenciaJetAdminConcatenada!$D:$D, MATCH(1, (AsistenciaJetAdminConcatenada!$A:$A=EO$2)*(AsistenciaJetAdminConcatenada!$B:$B=EO$1), 0)), 1))),  0.5, 0))</f>
        <v>0</v>
      </c>
      <c r="EP86" s="47">
        <f t="array" ref="EP86">IF(AND(ISNUMBER(MATCH(EP$2, AsistenciaJetAdminConcatenada!$A:$A, 0)), ISNUMBER(MATCH(EP$1, AsistenciaJetAdminConcatenada!$B:$B, 0)), ISNUMBER(SEARCH($A86,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ISNUMBER(SEARCH($A86, INDEX(AsistenciaJetAdminConcatenada!$D:$D, MATCH(1, (AsistenciaJetAdminConcatenada!$A:$A=EP$2)*(AsistenciaJetAdminConcatenada!$B:$B=EP$1), 0)), 1))),  0.5, 0))</f>
        <v>0</v>
      </c>
      <c r="EQ86" s="47">
        <f t="array" ref="EQ86">IF(AND(ISNUMBER(MATCH(EQ$2, AsistenciaJetAdminConcatenada!$A:$A, 0)), ISNUMBER(MATCH(EQ$1, AsistenciaJetAdminConcatenada!$B:$B, 0)), ISNUMBER(SEARCH($A86,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ISNUMBER(SEARCH($A86, INDEX(AsistenciaJetAdminConcatenada!$D:$D, MATCH(1, (AsistenciaJetAdminConcatenada!$A:$A=EQ$2)*(AsistenciaJetAdminConcatenada!$B:$B=EQ$1), 0)), 1))),  0.5, 0))</f>
        <v>0</v>
      </c>
      <c r="ER86" s="47">
        <f t="array" ref="ER86">IF(AND(ISNUMBER(MATCH(ER$2, AsistenciaJetAdminConcatenada!$A:$A, 0)), ISNUMBER(MATCH(ER$1, AsistenciaJetAdminConcatenada!$B:$B, 0)), ISNUMBER(SEARCH($A86,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ISNUMBER(SEARCH($A86, INDEX(AsistenciaJetAdminConcatenada!$D:$D, MATCH(1, (AsistenciaJetAdminConcatenada!$A:$A=ER$2)*(AsistenciaJetAdminConcatenada!$B:$B=ER$1), 0)), 1))),  0.5, 0))</f>
        <v>0</v>
      </c>
      <c r="ES86" s="47">
        <f t="array" ref="ES86">IF(AND(ISNUMBER(MATCH(ES$2, AsistenciaJetAdminConcatenada!$A:$A, 0)), ISNUMBER(MATCH(ES$1, AsistenciaJetAdminConcatenada!$B:$B, 0)), ISNUMBER(SEARCH($A86,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ISNUMBER(SEARCH($A86, INDEX(AsistenciaJetAdminConcatenada!$D:$D, MATCH(1, (AsistenciaJetAdminConcatenada!$A:$A=ES$2)*(AsistenciaJetAdminConcatenada!$B:$B=ES$1), 0)), 1))),  0.5, 0))</f>
        <v>0</v>
      </c>
      <c r="ET86" s="47">
        <f t="array" ref="ET86">IF(AND(ISNUMBER(MATCH(ET$2, AsistenciaJetAdminConcatenada!$A:$A, 0)), ISNUMBER(MATCH(ET$1, AsistenciaJetAdminConcatenada!$B:$B, 0)), ISNUMBER(SEARCH($A86,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ISNUMBER(SEARCH($A86, INDEX(AsistenciaJetAdminConcatenada!$D:$D, MATCH(1, (AsistenciaJetAdminConcatenada!$A:$A=ET$2)*(AsistenciaJetAdminConcatenada!$B:$B=ET$1), 0)), 1))),  0.5, 0))</f>
        <v>0</v>
      </c>
      <c r="EU86" s="47">
        <f t="array" ref="EU86">IF(AND(ISNUMBER(MATCH(EU$2, AsistenciaJetAdminConcatenada!$A:$A, 0)), ISNUMBER(MATCH(EU$1, AsistenciaJetAdminConcatenada!$B:$B, 0)), ISNUMBER(SEARCH($A86,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ISNUMBER(SEARCH($A86, INDEX(AsistenciaJetAdminConcatenada!$D:$D, MATCH(1, (AsistenciaJetAdminConcatenada!$A:$A=EU$2)*(AsistenciaJetAdminConcatenada!$B:$B=EU$1), 0)), 1))),  0.5, 0))</f>
        <v>0</v>
      </c>
      <c r="EV86" s="47">
        <f t="array" ref="EV86">IF(AND(ISNUMBER(MATCH(EV$2, AsistenciaJetAdminConcatenada!$A:$A, 0)), ISNUMBER(MATCH(EV$1, AsistenciaJetAdminConcatenada!$B:$B, 0)), ISNUMBER(SEARCH($A86,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ISNUMBER(SEARCH($A86, INDEX(AsistenciaJetAdminConcatenada!$D:$D, MATCH(1, (AsistenciaJetAdminConcatenada!$A:$A=EV$2)*(AsistenciaJetAdminConcatenada!$B:$B=EV$1), 0)), 1))),  0.5, 0))</f>
        <v>0</v>
      </c>
      <c r="EW86" s="47">
        <f t="array" ref="EW86">IF(AND(ISNUMBER(MATCH(EW$2, AsistenciaJetAdminConcatenada!$A:$A, 0)), ISNUMBER(MATCH(EW$1, AsistenciaJetAdminConcatenada!$B:$B, 0)), ISNUMBER(SEARCH($A86,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ISNUMBER(SEARCH($A86, INDEX(AsistenciaJetAdminConcatenada!$D:$D, MATCH(1, (AsistenciaJetAdminConcatenada!$A:$A=EW$2)*(AsistenciaJetAdminConcatenada!$B:$B=EW$1), 0)), 1))),  0.5, 0))</f>
        <v>0</v>
      </c>
      <c r="EX86" s="47">
        <f t="array" ref="EX86">IF(AND(ISNUMBER(MATCH(EX$2, AsistenciaJetAdminConcatenada!$A:$A, 0)), ISNUMBER(MATCH(EX$1, AsistenciaJetAdminConcatenada!$B:$B, 0)), ISNUMBER(SEARCH($A86,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ISNUMBER(SEARCH($A86, INDEX(AsistenciaJetAdminConcatenada!$D:$D, MATCH(1, (AsistenciaJetAdminConcatenada!$A:$A=EX$2)*(AsistenciaJetAdminConcatenada!$B:$B=EX$1), 0)), 1))),  0.5, 0))</f>
        <v>0</v>
      </c>
      <c r="EY86" s="47">
        <f t="array" ref="EY86">IF(AND(ISNUMBER(MATCH(EY$2, AsistenciaJetAdminConcatenada!$A:$A, 0)), ISNUMBER(MATCH(EY$1, AsistenciaJetAdminConcatenada!$B:$B, 0)), ISNUMBER(SEARCH($A86,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ISNUMBER(SEARCH($A86, INDEX(AsistenciaJetAdminConcatenada!$D:$D, MATCH(1, (AsistenciaJetAdminConcatenada!$A:$A=EY$2)*(AsistenciaJetAdminConcatenada!$B:$B=EY$1), 0)), 1))),  0.5, 0))</f>
        <v>0</v>
      </c>
      <c r="EZ86" s="47">
        <f t="array" ref="EZ86">IF(AND(ISNUMBER(MATCH(EZ$2, AsistenciaJetAdminConcatenada!$A:$A, 0)), ISNUMBER(MATCH(EZ$1, AsistenciaJetAdminConcatenada!$B:$B, 0)), ISNUMBER(SEARCH($A86,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ISNUMBER(SEARCH($A86, INDEX(AsistenciaJetAdminConcatenada!$D:$D, MATCH(1, (AsistenciaJetAdminConcatenada!$A:$A=EZ$2)*(AsistenciaJetAdminConcatenada!$B:$B=EZ$1), 0)), 1))),  0.5, 0))</f>
        <v>0</v>
      </c>
      <c r="FA86" s="47">
        <f t="array" ref="FA86">IF(AND(ISNUMBER(MATCH(FA$2, AsistenciaJetAdminConcatenada!$A:$A, 0)), ISNUMBER(MATCH(FA$1, AsistenciaJetAdminConcatenada!$B:$B, 0)), ISNUMBER(SEARCH($A86,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ISNUMBER(SEARCH($A86, INDEX(AsistenciaJetAdminConcatenada!$D:$D, MATCH(1, (AsistenciaJetAdminConcatenada!$A:$A=FA$2)*(AsistenciaJetAdminConcatenada!$B:$B=FA$1), 0)), 1))),  0.5, 0))</f>
        <v>0</v>
      </c>
      <c r="FB86" s="47">
        <f t="array" ref="FB86">IF(AND(ISNUMBER(MATCH(FB$2, AsistenciaJetAdminConcatenada!$A:$A, 0)), ISNUMBER(MATCH(FB$1, AsistenciaJetAdminConcatenada!$B:$B, 0)), ISNUMBER(SEARCH($A86,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ISNUMBER(SEARCH($A86, INDEX(AsistenciaJetAdminConcatenada!$D:$D, MATCH(1, (AsistenciaJetAdminConcatenada!$A:$A=FB$2)*(AsistenciaJetAdminConcatenada!$B:$B=FB$1), 0)), 1))),  0.5, 0))</f>
        <v>0</v>
      </c>
      <c r="FC86" s="47">
        <f t="array" ref="FC86">IF(AND(ISNUMBER(MATCH(FC$2, AsistenciaJetAdminConcatenada!$A:$A, 0)), ISNUMBER(MATCH(FC$1, AsistenciaJetAdminConcatenada!$B:$B, 0)), ISNUMBER(SEARCH($A86,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ISNUMBER(SEARCH($A86, INDEX(AsistenciaJetAdminConcatenada!$D:$D, MATCH(1, (AsistenciaJetAdminConcatenada!$A:$A=FC$2)*(AsistenciaJetAdminConcatenada!$B:$B=FC$1), 0)), 1))),  0.5, 0))</f>
        <v>0</v>
      </c>
      <c r="FD86" s="47">
        <f t="array" ref="FD86">IF(AND(ISNUMBER(MATCH(FD$2, AsistenciaJetAdminConcatenada!$A:$A, 0)), ISNUMBER(MATCH(FD$1, AsistenciaJetAdminConcatenada!$B:$B, 0)), ISNUMBER(SEARCH($A86,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ISNUMBER(SEARCH($A86, INDEX(AsistenciaJetAdminConcatenada!$D:$D, MATCH(1, (AsistenciaJetAdminConcatenada!$A:$A=FD$2)*(AsistenciaJetAdminConcatenada!$B:$B=FD$1), 0)), 1))),  0.5, 0))</f>
        <v>0</v>
      </c>
      <c r="FE86" s="47">
        <f t="array" ref="FE86">IF(AND(ISNUMBER(MATCH(FE$2, AsistenciaJetAdminConcatenada!$A:$A, 0)), ISNUMBER(MATCH(FE$1, AsistenciaJetAdminConcatenada!$B:$B, 0)), ISNUMBER(SEARCH($A86,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ISNUMBER(SEARCH($A86, INDEX(AsistenciaJetAdminConcatenada!$D:$D, MATCH(1, (AsistenciaJetAdminConcatenada!$A:$A=FE$2)*(AsistenciaJetAdminConcatenada!$B:$B=FE$1), 0)), 1))),  0.5, 0))</f>
        <v>0</v>
      </c>
      <c r="FF86" s="47">
        <f t="array" ref="FF86">IF(AND(ISNUMBER(MATCH(FF$2, AsistenciaJetAdminConcatenada!$A:$A, 0)), ISNUMBER(MATCH(FF$1, AsistenciaJetAdminConcatenada!$B:$B, 0)), ISNUMBER(SEARCH($A86,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ISNUMBER(SEARCH($A86, INDEX(AsistenciaJetAdminConcatenada!$D:$D, MATCH(1, (AsistenciaJetAdminConcatenada!$A:$A=FF$2)*(AsistenciaJetAdminConcatenada!$B:$B=FF$1), 0)), 1))),  0.5, 0))</f>
        <v>0</v>
      </c>
      <c r="FG86" s="47">
        <f t="array" ref="FG86">IF(AND(ISNUMBER(MATCH(FG$2, AsistenciaJetAdminConcatenada!$A:$A, 0)), ISNUMBER(MATCH(FG$1, AsistenciaJetAdminConcatenada!$B:$B, 0)), ISNUMBER(SEARCH($A86,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ISNUMBER(SEARCH($A86, INDEX(AsistenciaJetAdminConcatenada!$D:$D, MATCH(1, (AsistenciaJetAdminConcatenada!$A:$A=FG$2)*(AsistenciaJetAdminConcatenada!$B:$B=FG$1), 0)), 1))),  0.5, 0))</f>
        <v>0</v>
      </c>
      <c r="FH86" s="47">
        <f t="array" ref="FH86">IF(AND(ISNUMBER(MATCH(FH$2, AsistenciaJetAdminConcatenada!$A:$A, 0)), ISNUMBER(MATCH(FH$1, AsistenciaJetAdminConcatenada!$B:$B, 0)), ISNUMBER(SEARCH($A86,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ISNUMBER(SEARCH($A86, INDEX(AsistenciaJetAdminConcatenada!$D:$D, MATCH(1, (AsistenciaJetAdminConcatenada!$A:$A=FH$2)*(AsistenciaJetAdminConcatenada!$B:$B=FH$1), 0)), 1))),  0.5, 0))</f>
        <v>0</v>
      </c>
      <c r="FI86" s="47">
        <f t="array" ref="FI86">IF(AND(ISNUMBER(MATCH(FI$2, AsistenciaJetAdminConcatenada!$A:$A, 0)), ISNUMBER(MATCH(FI$1, AsistenciaJetAdminConcatenada!$B:$B, 0)), ISNUMBER(SEARCH($A86,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ISNUMBER(SEARCH($A86, INDEX(AsistenciaJetAdminConcatenada!$D:$D, MATCH(1, (AsistenciaJetAdminConcatenada!$A:$A=FI$2)*(AsistenciaJetAdminConcatenada!$B:$B=FI$1), 0)), 1))),  0.5, 0))</f>
        <v>0</v>
      </c>
      <c r="FJ86" s="47">
        <f t="array" ref="FJ86">IF(AND(ISNUMBER(MATCH(FJ$2, AsistenciaJetAdminConcatenada!$A:$A, 0)), ISNUMBER(MATCH(FJ$1, AsistenciaJetAdminConcatenada!$B:$B, 0)), ISNUMBER(SEARCH($A86,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ISNUMBER(SEARCH($A86, INDEX(AsistenciaJetAdminConcatenada!$D:$D, MATCH(1, (AsistenciaJetAdminConcatenada!$A:$A=FJ$2)*(AsistenciaJetAdminConcatenada!$B:$B=FJ$1), 0)), 1))),  0.5, 0))</f>
        <v>0</v>
      </c>
      <c r="FK86" s="47">
        <f t="array" ref="FK86">IF(AND(ISNUMBER(MATCH(FK$2, AsistenciaJetAdminConcatenada!$A:$A, 0)), ISNUMBER(MATCH(FK$1, AsistenciaJetAdminConcatenada!$B:$B, 0)), ISNUMBER(SEARCH($A86,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ISNUMBER(SEARCH($A86, INDEX(AsistenciaJetAdminConcatenada!$D:$D, MATCH(1, (AsistenciaJetAdminConcatenada!$A:$A=FK$2)*(AsistenciaJetAdminConcatenada!$B:$B=FK$1), 0)), 1))),  0.5, 0))</f>
        <v>0</v>
      </c>
      <c r="FL86" s="47">
        <f t="array" ref="FL86">IF(AND(ISNUMBER(MATCH(FL$2, AsistenciaJetAdminConcatenada!$A:$A, 0)), ISNUMBER(MATCH(FL$1, AsistenciaJetAdminConcatenada!$B:$B, 0)), ISNUMBER(SEARCH($A86,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ISNUMBER(SEARCH($A86, INDEX(AsistenciaJetAdminConcatenada!$D:$D, MATCH(1, (AsistenciaJetAdminConcatenada!$A:$A=FL$2)*(AsistenciaJetAdminConcatenada!$B:$B=FL$1), 0)), 1))),  0.5, 0))</f>
        <v>0</v>
      </c>
      <c r="FM86" s="47">
        <f t="array" ref="FM86">IF(AND(ISNUMBER(MATCH(FM$2, AsistenciaJetAdminConcatenada!$A:$A, 0)), ISNUMBER(MATCH(FM$1, AsistenciaJetAdminConcatenada!$B:$B, 0)), ISNUMBER(SEARCH($A86,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ISNUMBER(SEARCH($A86, INDEX(AsistenciaJetAdminConcatenada!$D:$D, MATCH(1, (AsistenciaJetAdminConcatenada!$A:$A=FM$2)*(AsistenciaJetAdminConcatenada!$B:$B=FM$1), 0)), 1))),  0.5, 0))</f>
        <v>0</v>
      </c>
      <c r="FN86" s="47">
        <f t="array" ref="FN86">IF(AND(ISNUMBER(MATCH(FN$2, AsistenciaJetAdminConcatenada!$A:$A, 0)), ISNUMBER(MATCH(FN$1, AsistenciaJetAdminConcatenada!$B:$B, 0)), ISNUMBER(SEARCH($A86,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ISNUMBER(SEARCH($A86, INDEX(AsistenciaJetAdminConcatenada!$D:$D, MATCH(1, (AsistenciaJetAdminConcatenada!$A:$A=FN$2)*(AsistenciaJetAdminConcatenada!$B:$B=FN$1), 0)), 1))),  0.5, 0))</f>
        <v>0</v>
      </c>
      <c r="FO86" s="47">
        <f t="array" ref="FO86">IF(AND(ISNUMBER(MATCH(FO$2, AsistenciaJetAdminConcatenada!$A:$A, 0)), ISNUMBER(MATCH(FO$1, AsistenciaJetAdminConcatenada!$B:$B, 0)), ISNUMBER(SEARCH($A86,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ISNUMBER(SEARCH($A86, INDEX(AsistenciaJetAdminConcatenada!$D:$D, MATCH(1, (AsistenciaJetAdminConcatenada!$A:$A=FO$2)*(AsistenciaJetAdminConcatenada!$B:$B=FO$1), 0)), 1))),  0.5, 0))</f>
        <v>0</v>
      </c>
      <c r="FP86" s="47">
        <f t="array" ref="FP86">IF(AND(ISNUMBER(MATCH(FP$2, AsistenciaJetAdminConcatenada!$A:$A, 0)), ISNUMBER(MATCH(FP$1, AsistenciaJetAdminConcatenada!$B:$B, 0)), ISNUMBER(SEARCH($A86,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ISNUMBER(SEARCH($A86, INDEX(AsistenciaJetAdminConcatenada!$D:$D, MATCH(1, (AsistenciaJetAdminConcatenada!$A:$A=FP$2)*(AsistenciaJetAdminConcatenada!$B:$B=FP$1), 0)), 1))),  0.5, 0))</f>
        <v>0</v>
      </c>
      <c r="FQ86" s="47">
        <f t="array" ref="FQ86">IF(AND(ISNUMBER(MATCH(FQ$2, AsistenciaJetAdminConcatenada!$A:$A, 0)), ISNUMBER(MATCH(FQ$1, AsistenciaJetAdminConcatenada!$B:$B, 0)), ISNUMBER(SEARCH($A86,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ISNUMBER(SEARCH($A86, INDEX(AsistenciaJetAdminConcatenada!$D:$D, MATCH(1, (AsistenciaJetAdminConcatenada!$A:$A=FQ$2)*(AsistenciaJetAdminConcatenada!$B:$B=FQ$1), 0)), 1))),  0.5, 0))</f>
        <v>0</v>
      </c>
      <c r="FR86" s="47">
        <f t="array" ref="FR86">IF(AND(ISNUMBER(MATCH(FR$2, AsistenciaJetAdminConcatenada!$A:$A, 0)), ISNUMBER(MATCH(FR$1, AsistenciaJetAdminConcatenada!$B:$B, 0)), ISNUMBER(SEARCH($A86,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ISNUMBER(SEARCH($A86, INDEX(AsistenciaJetAdminConcatenada!$D:$D, MATCH(1, (AsistenciaJetAdminConcatenada!$A:$A=FR$2)*(AsistenciaJetAdminConcatenada!$B:$B=FR$1), 0)), 1))),  0.5, 0))</f>
        <v>0</v>
      </c>
      <c r="FS86" s="47">
        <f t="array" ref="FS86">IF(AND(ISNUMBER(MATCH(FS$2, AsistenciaJetAdminConcatenada!$A:$A, 0)), ISNUMBER(MATCH(FS$1, AsistenciaJetAdminConcatenada!$B:$B, 0)), ISNUMBER(SEARCH($A86,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ISNUMBER(SEARCH($A86, INDEX(AsistenciaJetAdminConcatenada!$D:$D, MATCH(1, (AsistenciaJetAdminConcatenada!$A:$A=FS$2)*(AsistenciaJetAdminConcatenada!$B:$B=FS$1), 0)), 1))),  0.5, 0))</f>
        <v>0</v>
      </c>
      <c r="FT86" s="47">
        <f t="array" ref="FT86">IF(AND(ISNUMBER(MATCH(FT$2, AsistenciaJetAdminConcatenada!$A:$A, 0)), ISNUMBER(MATCH(FT$1, AsistenciaJetAdminConcatenada!$B:$B, 0)), ISNUMBER(SEARCH($A86,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ISNUMBER(SEARCH($A86, INDEX(AsistenciaJetAdminConcatenada!$D:$D, MATCH(1, (AsistenciaJetAdminConcatenada!$A:$A=FT$2)*(AsistenciaJetAdminConcatenada!$B:$B=FT$1), 0)), 1))),  0.5, 0))</f>
        <v>0</v>
      </c>
      <c r="FU86" s="47">
        <f t="array" ref="FU86">IF(AND(ISNUMBER(MATCH(FU$2, AsistenciaJetAdminConcatenada!$A:$A, 0)), ISNUMBER(MATCH(FU$1, AsistenciaJetAdminConcatenada!$B:$B, 0)), ISNUMBER(SEARCH($A86,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ISNUMBER(SEARCH($A86, INDEX(AsistenciaJetAdminConcatenada!$D:$D, MATCH(1, (AsistenciaJetAdminConcatenada!$A:$A=FU$2)*(AsistenciaJetAdminConcatenada!$B:$B=FU$1), 0)), 1))),  0.5, 0))</f>
        <v>0</v>
      </c>
      <c r="FV86" s="47">
        <f t="array" ref="FV86">IF(AND(ISNUMBER(MATCH(FV$2, AsistenciaJetAdminConcatenada!$A:$A, 0)), ISNUMBER(MATCH(FV$1, AsistenciaJetAdminConcatenada!$B:$B, 0)), ISNUMBER(SEARCH($A86,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ISNUMBER(SEARCH($A86, INDEX(AsistenciaJetAdminConcatenada!$D:$D, MATCH(1, (AsistenciaJetAdminConcatenada!$A:$A=FV$2)*(AsistenciaJetAdminConcatenada!$B:$B=FV$1), 0)), 1))),  0.5, 0))</f>
        <v>0</v>
      </c>
      <c r="FW86" s="47">
        <f t="array" ref="FW86">IF(AND(ISNUMBER(MATCH(FW$2, AsistenciaJetAdminConcatenada!$A:$A, 0)), ISNUMBER(MATCH(FW$1, AsistenciaJetAdminConcatenada!$B:$B, 0)), ISNUMBER(SEARCH($A86,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ISNUMBER(SEARCH($A86, INDEX(AsistenciaJetAdminConcatenada!$D:$D, MATCH(1, (AsistenciaJetAdminConcatenada!$A:$A=FW$2)*(AsistenciaJetAdminConcatenada!$B:$B=FW$1), 0)), 1))),  0.5, 0))</f>
        <v>0</v>
      </c>
      <c r="FX86" s="47">
        <f t="array" ref="FX86">IF(AND(ISNUMBER(MATCH(FX$2, AsistenciaJetAdminConcatenada!$A:$A, 0)), ISNUMBER(MATCH(FX$1, AsistenciaJetAdminConcatenada!$B:$B, 0)), ISNUMBER(SEARCH($A86,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ISNUMBER(SEARCH($A86, INDEX(AsistenciaJetAdminConcatenada!$D:$D, MATCH(1, (AsistenciaJetAdminConcatenada!$A:$A=FX$2)*(AsistenciaJetAdminConcatenada!$B:$B=FX$1), 0)), 1))),  0.5, 0))</f>
        <v>0</v>
      </c>
      <c r="FY86" s="47">
        <f t="array" ref="FY86">IF(AND(ISNUMBER(MATCH(FY$2, AsistenciaJetAdminConcatenada!$A:$A, 0)), ISNUMBER(MATCH(FY$1, AsistenciaJetAdminConcatenada!$B:$B, 0)), ISNUMBER(SEARCH($A86,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ISNUMBER(SEARCH($A86, INDEX(AsistenciaJetAdminConcatenada!$D:$D, MATCH(1, (AsistenciaJetAdminConcatenada!$A:$A=FY$2)*(AsistenciaJetAdminConcatenada!$B:$B=FY$1), 0)), 1))),  0.5, 0))</f>
        <v>0</v>
      </c>
      <c r="FZ86" s="47">
        <f t="array" ref="FZ86">IF(AND(ISNUMBER(MATCH(FZ$2, AsistenciaJetAdminConcatenada!$A:$A, 0)), ISNUMBER(MATCH(FZ$1, AsistenciaJetAdminConcatenada!$B:$B, 0)), ISNUMBER(SEARCH($A86,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ISNUMBER(SEARCH($A86, INDEX(AsistenciaJetAdminConcatenada!$D:$D, MATCH(1, (AsistenciaJetAdminConcatenada!$A:$A=FZ$2)*(AsistenciaJetAdminConcatenada!$B:$B=FZ$1), 0)), 1))),  0.5, 0))</f>
        <v>0</v>
      </c>
      <c r="GA86" s="47">
        <f t="array" ref="GA86">IF(AND(ISNUMBER(MATCH(GA$2, AsistenciaJetAdminConcatenada!$A:$A, 0)), ISNUMBER(MATCH(GA$1, AsistenciaJetAdminConcatenada!$B:$B, 0)), ISNUMBER(SEARCH($A86,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ISNUMBER(SEARCH($A86, INDEX(AsistenciaJetAdminConcatenada!$D:$D, MATCH(1, (AsistenciaJetAdminConcatenada!$A:$A=GA$2)*(AsistenciaJetAdminConcatenada!$B:$B=GA$1), 0)), 1))),  0.5, 0))</f>
        <v>0</v>
      </c>
      <c r="GB86" s="47">
        <f t="array" ref="GB86">IF(AND(ISNUMBER(MATCH(GB$2, AsistenciaJetAdminConcatenada!$A:$A, 0)), ISNUMBER(MATCH(GB$1, AsistenciaJetAdminConcatenada!$B:$B, 0)), ISNUMBER(SEARCH($A86,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ISNUMBER(SEARCH($A86, INDEX(AsistenciaJetAdminConcatenada!$D:$D, MATCH(1, (AsistenciaJetAdminConcatenada!$A:$A=GB$2)*(AsistenciaJetAdminConcatenada!$B:$B=GB$1), 0)), 1))),  0.5, 0))</f>
        <v>0</v>
      </c>
      <c r="GC86" s="47">
        <f t="array" ref="GC86">IF(AND(ISNUMBER(MATCH(GC$2, AsistenciaJetAdminConcatenada!$A:$A, 0)), ISNUMBER(MATCH(GC$1, AsistenciaJetAdminConcatenada!$B:$B, 0)), ISNUMBER(SEARCH($A86,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ISNUMBER(SEARCH($A86, INDEX(AsistenciaJetAdminConcatenada!$D:$D, MATCH(1, (AsistenciaJetAdminConcatenada!$A:$A=GC$2)*(AsistenciaJetAdminConcatenada!$B:$B=GC$1), 0)), 1))),  0.5, 0))</f>
        <v>0</v>
      </c>
      <c r="GD86" s="47">
        <f t="array" ref="GD86">IF(AND(ISNUMBER(MATCH(GD$2, AsistenciaJetAdminConcatenada!$A:$A, 0)), ISNUMBER(MATCH(GD$1, AsistenciaJetAdminConcatenada!$B:$B, 0)), ISNUMBER(SEARCH($A86,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ISNUMBER(SEARCH($A86, INDEX(AsistenciaJetAdminConcatenada!$D:$D, MATCH(1, (AsistenciaJetAdminConcatenada!$A:$A=GD$2)*(AsistenciaJetAdminConcatenada!$B:$B=GD$1), 0)), 1))),  0.5, 0))</f>
        <v>0</v>
      </c>
      <c r="GE86" s="47">
        <f t="array" ref="GE86">IF(AND(ISNUMBER(MATCH(GE$2, AsistenciaJetAdminConcatenada!$A:$A, 0)), ISNUMBER(MATCH(GE$1, AsistenciaJetAdminConcatenada!$B:$B, 0)), ISNUMBER(SEARCH($A86,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ISNUMBER(SEARCH($A86, INDEX(AsistenciaJetAdminConcatenada!$D:$D, MATCH(1, (AsistenciaJetAdminConcatenada!$A:$A=GE$2)*(AsistenciaJetAdminConcatenada!$B:$B=GE$1), 0)), 1))),  0.5, 0))</f>
        <v>0</v>
      </c>
      <c r="GF86" s="47">
        <f t="array" ref="GF86">IF(AND(ISNUMBER(MATCH(GF$2, AsistenciaJetAdminConcatenada!$A:$A, 0)), ISNUMBER(MATCH(GF$1, AsistenciaJetAdminConcatenada!$B:$B, 0)), ISNUMBER(SEARCH($A86,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ISNUMBER(SEARCH($A86, INDEX(AsistenciaJetAdminConcatenada!$D:$D, MATCH(1, (AsistenciaJetAdminConcatenada!$A:$A=GF$2)*(AsistenciaJetAdminConcatenada!$B:$B=GF$1), 0)), 1))),  0.5, 0))</f>
        <v>0</v>
      </c>
      <c r="GG86" s="47">
        <f t="array" ref="GG86">IF(AND(ISNUMBER(MATCH(GG$2, AsistenciaJetAdminConcatenada!$A:$A, 0)), ISNUMBER(MATCH(GG$1, AsistenciaJetAdminConcatenada!$B:$B, 0)), ISNUMBER(SEARCH($A86,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ISNUMBER(SEARCH($A86, INDEX(AsistenciaJetAdminConcatenada!$D:$D, MATCH(1, (AsistenciaJetAdminConcatenada!$A:$A=GG$2)*(AsistenciaJetAdminConcatenada!$B:$B=GG$1), 0)), 1))),  0.5, 0))</f>
        <v>0</v>
      </c>
      <c r="GH86" s="47">
        <f t="array" ref="GH86">IF(AND(ISNUMBER(MATCH(GH$2, AsistenciaJetAdminConcatenada!$A:$A, 0)), ISNUMBER(MATCH(GH$1, AsistenciaJetAdminConcatenada!$B:$B, 0)), ISNUMBER(SEARCH($A86,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ISNUMBER(SEARCH($A86, INDEX(AsistenciaJetAdminConcatenada!$D:$D, MATCH(1, (AsistenciaJetAdminConcatenada!$A:$A=GH$2)*(AsistenciaJetAdminConcatenada!$B:$B=GH$1), 0)), 1))),  0.5, 0))</f>
        <v>0</v>
      </c>
      <c r="GI86" s="47">
        <f t="array" ref="GI86">IF(AND(ISNUMBER(MATCH(GI$2, AsistenciaJetAdminConcatenada!$A:$A, 0)), ISNUMBER(MATCH(GI$1, AsistenciaJetAdminConcatenada!$B:$B, 0)), ISNUMBER(SEARCH($A86,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ISNUMBER(SEARCH($A86, INDEX(AsistenciaJetAdminConcatenada!$D:$D, MATCH(1, (AsistenciaJetAdminConcatenada!$A:$A=GI$2)*(AsistenciaJetAdminConcatenada!$B:$B=GI$1), 0)), 1))),  0.5, 0))</f>
        <v>0</v>
      </c>
      <c r="GJ86" s="47">
        <f t="array" ref="GJ86">IF(AND(ISNUMBER(MATCH(GJ$2, AsistenciaJetAdminConcatenada!$A:$A, 0)), ISNUMBER(MATCH(GJ$1, AsistenciaJetAdminConcatenada!$B:$B, 0)), ISNUMBER(SEARCH($A86,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ISNUMBER(SEARCH($A86, INDEX(AsistenciaJetAdminConcatenada!$D:$D, MATCH(1, (AsistenciaJetAdminConcatenada!$A:$A=GJ$2)*(AsistenciaJetAdminConcatenada!$B:$B=GJ$1), 0)), 1))),  0.5, 0))</f>
        <v>0</v>
      </c>
      <c r="GK86" s="47">
        <f t="array" ref="GK86">IF(AND(ISNUMBER(MATCH(GK$2, AsistenciaJetAdminConcatenada!$A:$A, 0)), ISNUMBER(MATCH(GK$1, AsistenciaJetAdminConcatenada!$B:$B, 0)), ISNUMBER(SEARCH($A86,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ISNUMBER(SEARCH($A86, INDEX(AsistenciaJetAdminConcatenada!$D:$D, MATCH(1, (AsistenciaJetAdminConcatenada!$A:$A=GK$2)*(AsistenciaJetAdminConcatenada!$B:$B=GK$1), 0)), 1))),  0.5, 0))</f>
        <v>0</v>
      </c>
      <c r="GL86" s="47">
        <f t="array" ref="GL86">IF(AND(ISNUMBER(MATCH(GL$2, AsistenciaJetAdminConcatenada!$A:$A, 0)), ISNUMBER(MATCH(GL$1, AsistenciaJetAdminConcatenada!$B:$B, 0)), ISNUMBER(SEARCH($A86,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ISNUMBER(SEARCH($A86, INDEX(AsistenciaJetAdminConcatenada!$D:$D, MATCH(1, (AsistenciaJetAdminConcatenada!$A:$A=GL$2)*(AsistenciaJetAdminConcatenada!$B:$B=GL$1), 0)), 1))),  0.5, 0))</f>
        <v>0</v>
      </c>
      <c r="GM86" s="47">
        <f t="array" ref="GM86">IF(AND(ISNUMBER(MATCH(GM$2, AsistenciaJetAdminConcatenada!$A:$A, 0)), ISNUMBER(MATCH(GM$1, AsistenciaJetAdminConcatenada!$B:$B, 0)), ISNUMBER(SEARCH($A86,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ISNUMBER(SEARCH($A86, INDEX(AsistenciaJetAdminConcatenada!$D:$D, MATCH(1, (AsistenciaJetAdminConcatenada!$A:$A=GM$2)*(AsistenciaJetAdminConcatenada!$B:$B=GM$1), 0)), 1))),  0.5, 0))</f>
        <v>0</v>
      </c>
      <c r="GN86" s="47">
        <f t="array" ref="GN86">IF(AND(ISNUMBER(MATCH(GN$2, AsistenciaJetAdminConcatenada!$A:$A, 0)), ISNUMBER(MATCH(GN$1, AsistenciaJetAdminConcatenada!$B:$B, 0)), ISNUMBER(SEARCH($A86,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ISNUMBER(SEARCH($A86, INDEX(AsistenciaJetAdminConcatenada!$D:$D, MATCH(1, (AsistenciaJetAdminConcatenada!$A:$A=GN$2)*(AsistenciaJetAdminConcatenada!$B:$B=GN$1), 0)), 1))),  0.5, 0))</f>
        <v>0</v>
      </c>
      <c r="GO86" s="47">
        <f t="array" ref="GO86">IF(AND(ISNUMBER(MATCH(GO$2, AsistenciaJetAdminConcatenada!$A:$A, 0)), ISNUMBER(MATCH(GO$1, AsistenciaJetAdminConcatenada!$B:$B, 0)), ISNUMBER(SEARCH($A86,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ISNUMBER(SEARCH($A86, INDEX(AsistenciaJetAdminConcatenada!$D:$D, MATCH(1, (AsistenciaJetAdminConcatenada!$A:$A=GO$2)*(AsistenciaJetAdminConcatenada!$B:$B=GO$1), 0)), 1))),  0.5, 0))</f>
        <v>0</v>
      </c>
      <c r="GP86" s="47">
        <f t="array" ref="GP86">IF(AND(ISNUMBER(MATCH(GP$2, AsistenciaJetAdminConcatenada!$A:$A, 0)), ISNUMBER(MATCH(GP$1, AsistenciaJetAdminConcatenada!$B:$B, 0)), ISNUMBER(SEARCH($A86,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ISNUMBER(SEARCH($A86, INDEX(AsistenciaJetAdminConcatenada!$D:$D, MATCH(1, (AsistenciaJetAdminConcatenada!$A:$A=GP$2)*(AsistenciaJetAdminConcatenada!$B:$B=GP$1), 0)), 1))),  0.5, 0))</f>
        <v>0</v>
      </c>
      <c r="GQ86" s="47">
        <f t="array" ref="GQ86">IF(AND(ISNUMBER(MATCH(GQ$2, AsistenciaJetAdminConcatenada!$A:$A, 0)), ISNUMBER(MATCH(GQ$1, AsistenciaJetAdminConcatenada!$B:$B, 0)), ISNUMBER(SEARCH($A86,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ISNUMBER(SEARCH($A86, INDEX(AsistenciaJetAdminConcatenada!$D:$D, MATCH(1, (AsistenciaJetAdminConcatenada!$A:$A=GQ$2)*(AsistenciaJetAdminConcatenada!$B:$B=GQ$1), 0)), 1))),  0.5, 0))</f>
        <v>0</v>
      </c>
      <c r="GR86" s="47">
        <f t="array" ref="GR86">IF(AND(ISNUMBER(MATCH(GR$2, AsistenciaJetAdminConcatenada!$A:$A, 0)), ISNUMBER(MATCH(GR$1, AsistenciaJetAdminConcatenada!$B:$B, 0)), ISNUMBER(SEARCH($A86,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ISNUMBER(SEARCH($A86, INDEX(AsistenciaJetAdminConcatenada!$D:$D, MATCH(1, (AsistenciaJetAdminConcatenada!$A:$A=GR$2)*(AsistenciaJetAdminConcatenada!$B:$B=GR$1), 0)), 1))),  0.5, 0))</f>
        <v>0</v>
      </c>
      <c r="GS86" s="47">
        <f t="array" ref="GS86">IF(AND(ISNUMBER(MATCH(GS$2, AsistenciaJetAdminConcatenada!$A:$A, 0)), ISNUMBER(MATCH(GS$1, AsistenciaJetAdminConcatenada!$B:$B, 0)), ISNUMBER(SEARCH($A86,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ISNUMBER(SEARCH($A86, INDEX(AsistenciaJetAdminConcatenada!$D:$D, MATCH(1, (AsistenciaJetAdminConcatenada!$A:$A=GS$2)*(AsistenciaJetAdminConcatenada!$B:$B=GS$1), 0)), 1))),  0.5, 0))</f>
        <v>0</v>
      </c>
      <c r="GT86" s="47">
        <f t="array" ref="GT86">IF(AND(ISNUMBER(MATCH(GT$2, AsistenciaJetAdminConcatenada!$A:$A, 0)), ISNUMBER(MATCH(GT$1, AsistenciaJetAdminConcatenada!$B:$B, 0)), ISNUMBER(SEARCH($A86,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ISNUMBER(SEARCH($A86, INDEX(AsistenciaJetAdminConcatenada!$D:$D, MATCH(1, (AsistenciaJetAdminConcatenada!$A:$A=GT$2)*(AsistenciaJetAdminConcatenada!$B:$B=GT$1), 0)), 1))),  0.5, 0))</f>
        <v>0</v>
      </c>
      <c r="GU86" s="47">
        <f t="array" ref="GU86">IF(AND(ISNUMBER(MATCH(GU$2, AsistenciaJetAdminConcatenada!$A:$A, 0)), ISNUMBER(MATCH(GU$1, AsistenciaJetAdminConcatenada!$B:$B, 0)), ISNUMBER(SEARCH($A86,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ISNUMBER(SEARCH($A86, INDEX(AsistenciaJetAdminConcatenada!$D:$D, MATCH(1, (AsistenciaJetAdminConcatenada!$A:$A=GU$2)*(AsistenciaJetAdminConcatenada!$B:$B=GU$1), 0)), 1))),  0.5, 0))</f>
        <v>0</v>
      </c>
      <c r="GV86" s="47">
        <f t="array" ref="GV86">IF(AND(ISNUMBER(MATCH(GV$2, AsistenciaJetAdminConcatenada!$A:$A, 0)), ISNUMBER(MATCH(GV$1, AsistenciaJetAdminConcatenada!$B:$B, 0)), ISNUMBER(SEARCH($A86,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ISNUMBER(SEARCH($A86, INDEX(AsistenciaJetAdminConcatenada!$D:$D, MATCH(1, (AsistenciaJetAdminConcatenada!$A:$A=GV$2)*(AsistenciaJetAdminConcatenada!$B:$B=GV$1), 0)), 1))),  0.5, 0))</f>
        <v>0</v>
      </c>
      <c r="GW86" s="47">
        <f t="array" ref="GW86">IF(AND(ISNUMBER(MATCH(GW$2, AsistenciaJetAdminConcatenada!$A:$A, 0)), ISNUMBER(MATCH(GW$1, AsistenciaJetAdminConcatenada!$B:$B, 0)), ISNUMBER(SEARCH($A86,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ISNUMBER(SEARCH($A86, INDEX(AsistenciaJetAdminConcatenada!$D:$D, MATCH(1, (AsistenciaJetAdminConcatenada!$A:$A=GW$2)*(AsistenciaJetAdminConcatenada!$B:$B=GW$1), 0)), 1))),  0.5, 0))</f>
        <v>0</v>
      </c>
      <c r="GX86" s="47">
        <f t="array" ref="GX86">IF(AND(ISNUMBER(MATCH(GX$2, AsistenciaJetAdminConcatenada!$A:$A, 0)), ISNUMBER(MATCH(GX$1, AsistenciaJetAdminConcatenada!$B:$B, 0)), ISNUMBER(SEARCH($A86,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ISNUMBER(SEARCH($A86, INDEX(AsistenciaJetAdminConcatenada!$D:$D, MATCH(1, (AsistenciaJetAdminConcatenada!$A:$A=GX$2)*(AsistenciaJetAdminConcatenada!$B:$B=GX$1), 0)), 1))),  0.5, 0))</f>
        <v>0</v>
      </c>
      <c r="GY86" s="47">
        <f t="array" ref="GY86">IF(AND(ISNUMBER(MATCH(GY$2, AsistenciaJetAdminConcatenada!$A:$A, 0)), ISNUMBER(MATCH(GY$1, AsistenciaJetAdminConcatenada!$B:$B, 0)), ISNUMBER(SEARCH($A86,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ISNUMBER(SEARCH($A86, INDEX(AsistenciaJetAdminConcatenada!$D:$D, MATCH(1, (AsistenciaJetAdminConcatenada!$A:$A=GY$2)*(AsistenciaJetAdminConcatenada!$B:$B=GY$1), 0)), 1))),  0.5, 0))</f>
        <v>0</v>
      </c>
      <c r="GZ86" s="47">
        <f t="array" ref="GZ86">IF(AND(ISNUMBER(MATCH(GZ$2, AsistenciaJetAdminConcatenada!$A:$A, 0)), ISNUMBER(MATCH(GZ$1, AsistenciaJetAdminConcatenada!$B:$B, 0)), ISNUMBER(SEARCH($A86,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ISNUMBER(SEARCH($A86, INDEX(AsistenciaJetAdminConcatenada!$D:$D, MATCH(1, (AsistenciaJetAdminConcatenada!$A:$A=GZ$2)*(AsistenciaJetAdminConcatenada!$B:$B=GZ$1), 0)), 1))),  0.5, 0))</f>
        <v>0</v>
      </c>
      <c r="HA86" s="47">
        <f t="array" ref="HA86">IF(AND(ISNUMBER(MATCH(HA$2, AsistenciaJetAdminConcatenada!$A:$A, 0)), ISNUMBER(MATCH(HA$1, AsistenciaJetAdminConcatenada!$B:$B, 0)), ISNUMBER(SEARCH($A86,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ISNUMBER(SEARCH($A86, INDEX(AsistenciaJetAdminConcatenada!$D:$D, MATCH(1, (AsistenciaJetAdminConcatenada!$A:$A=HA$2)*(AsistenciaJetAdminConcatenada!$B:$B=HA$1), 0)), 1))),  0.5, 0))</f>
        <v>0</v>
      </c>
      <c r="HB86" s="47">
        <f t="array" ref="HB86">IF(AND(ISNUMBER(MATCH(HB$2, AsistenciaJetAdminConcatenada!$A:$A, 0)), ISNUMBER(MATCH(HB$1, AsistenciaJetAdminConcatenada!$B:$B, 0)), ISNUMBER(SEARCH($A86,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ISNUMBER(SEARCH($A86, INDEX(AsistenciaJetAdminConcatenada!$D:$D, MATCH(1, (AsistenciaJetAdminConcatenada!$A:$A=HB$2)*(AsistenciaJetAdminConcatenada!$B:$B=HB$1), 0)), 1))),  0.5, 0))</f>
        <v>0</v>
      </c>
      <c r="HC86" s="47">
        <f t="array" ref="HC86">IF(AND(ISNUMBER(MATCH(HC$2, AsistenciaJetAdminConcatenada!$A:$A, 0)), ISNUMBER(MATCH(HC$1, AsistenciaJetAdminConcatenada!$B:$B, 0)), ISNUMBER(SEARCH($A86,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ISNUMBER(SEARCH($A86, INDEX(AsistenciaJetAdminConcatenada!$D:$D, MATCH(1, (AsistenciaJetAdminConcatenada!$A:$A=HC$2)*(AsistenciaJetAdminConcatenada!$B:$B=HC$1), 0)), 1))),  0.5, 0))</f>
        <v>0</v>
      </c>
    </row>
    <row r="87" ht="29.25" customHeight="1">
      <c r="A87" s="3">
        <v>122.0</v>
      </c>
      <c r="B87" s="4" t="s">
        <v>383</v>
      </c>
      <c r="C87" s="47">
        <f>SUM(D87:HC87) + ActividadesEspeciales!C87</f>
        <v>62</v>
      </c>
      <c r="D87" s="47">
        <f t="array" ref="D87">IF(AND(ISNUMBER(MATCH(D$2, AsistenciaJetAdminConcatenada!$A:$A, 0)), ISNUMBER(MATCH(D$1, AsistenciaJetAdminConcatenada!$B:$B, 0)), ISNUMBER(SEARCH($A87,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ISNUMBER(SEARCH($A87, INDEX(AsistenciaJetAdminConcatenada!$D:$D, MATCH(1, (AsistenciaJetAdminConcatenada!$A:$A=D$2)*(AsistenciaJetAdminConcatenada!$B:$B=D$1), 0)), 1))),  0.5, 0))</f>
        <v>1</v>
      </c>
      <c r="E87" s="47">
        <f t="array" ref="E87">IF(AND(ISNUMBER(MATCH(E$2, AsistenciaJetAdminConcatenada!$A:$A, 0)), ISNUMBER(MATCH(E$1, AsistenciaJetAdminConcatenada!$B:$B, 0)), ISNUMBER(SEARCH($A87,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ISNUMBER(SEARCH($A87, INDEX(AsistenciaJetAdminConcatenada!$D:$D, MATCH(1, (AsistenciaJetAdminConcatenada!$A:$A=E$2)*(AsistenciaJetAdminConcatenada!$B:$B=E$1), 0)), 1))),  0.5, 0))</f>
        <v>1</v>
      </c>
      <c r="F87" s="47">
        <f t="array" ref="F87">IF(AND(ISNUMBER(MATCH(F$2, AsistenciaJetAdminConcatenada!$A:$A, 0)), ISNUMBER(MATCH(F$1, AsistenciaJetAdminConcatenada!$B:$B, 0)), ISNUMBER(SEARCH($A87,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ISNUMBER(SEARCH($A87, INDEX(AsistenciaJetAdminConcatenada!$D:$D, MATCH(1, (AsistenciaJetAdminConcatenada!$A:$A=F$2)*(AsistenciaJetAdminConcatenada!$B:$B=F$1), 0)), 1))),  0.5, 0))</f>
        <v>1</v>
      </c>
      <c r="G87" s="47">
        <f t="array" ref="G87">IF(AND(ISNUMBER(MATCH(G$2, AsistenciaJetAdminConcatenada!$A:$A, 0)), ISNUMBER(MATCH(G$1, AsistenciaJetAdminConcatenada!$B:$B, 0)), ISNUMBER(SEARCH($A87,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ISNUMBER(SEARCH($A87, INDEX(AsistenciaJetAdminConcatenada!$D:$D, MATCH(1, (AsistenciaJetAdminConcatenada!$A:$A=G$2)*(AsistenciaJetAdminConcatenada!$B:$B=G$1), 0)), 1))),  0.5, 0))</f>
        <v>1</v>
      </c>
      <c r="H87" s="47">
        <f t="array" ref="H87">IF(AND(ISNUMBER(MATCH(H$2, AsistenciaJetAdminConcatenada!$A:$A, 0)), ISNUMBER(MATCH(H$1, AsistenciaJetAdminConcatenada!$B:$B, 0)), ISNUMBER(SEARCH($A87,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ISNUMBER(SEARCH($A87, INDEX(AsistenciaJetAdminConcatenada!$D:$D, MATCH(1, (AsistenciaJetAdminConcatenada!$A:$A=H$2)*(AsistenciaJetAdminConcatenada!$B:$B=H$1), 0)), 1))),  0.5, 0))</f>
        <v>1</v>
      </c>
      <c r="I87" s="47">
        <f t="array" ref="I87">IF(AND(ISNUMBER(MATCH(I$2, AsistenciaJetAdminConcatenada!$A:$A, 0)), ISNUMBER(MATCH(I$1, AsistenciaJetAdminConcatenada!$B:$B, 0)), ISNUMBER(SEARCH($A87,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ISNUMBER(SEARCH($A87, INDEX(AsistenciaJetAdminConcatenada!$D:$D, MATCH(1, (AsistenciaJetAdminConcatenada!$A:$A=I$2)*(AsistenciaJetAdminConcatenada!$B:$B=I$1), 0)), 1))),  0.5, 0))</f>
        <v>1</v>
      </c>
      <c r="J87" s="47">
        <f t="array" ref="J87">IF(AND(ISNUMBER(MATCH(J$2, AsistenciaJetAdminConcatenada!$A:$A, 0)), ISNUMBER(MATCH(J$1, AsistenciaJetAdminConcatenada!$B:$B, 0)), ISNUMBER(SEARCH($A87,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ISNUMBER(SEARCH($A87, INDEX(AsistenciaJetAdminConcatenada!$D:$D, MATCH(1, (AsistenciaJetAdminConcatenada!$A:$A=J$2)*(AsistenciaJetAdminConcatenada!$B:$B=J$1), 0)), 1))),  0.5, 0))</f>
        <v>1</v>
      </c>
      <c r="K87" s="47">
        <f t="array" ref="K87">IF(AND(ISNUMBER(MATCH(K$2, AsistenciaJetAdminConcatenada!$A:$A, 0)), ISNUMBER(MATCH(K$1, AsistenciaJetAdminConcatenada!$B:$B, 0)), ISNUMBER(SEARCH($A87,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ISNUMBER(SEARCH($A87, INDEX(AsistenciaJetAdminConcatenada!$D:$D, MATCH(1, (AsistenciaJetAdminConcatenada!$A:$A=K$2)*(AsistenciaJetAdminConcatenada!$B:$B=K$1), 0)), 1))),  0.5, 0))</f>
        <v>1</v>
      </c>
      <c r="L87" s="47">
        <f t="array" ref="L87">IF(AND(ISNUMBER(MATCH(L$2, AsistenciaJetAdminConcatenada!$A:$A, 0)), ISNUMBER(MATCH(L$1, AsistenciaJetAdminConcatenada!$B:$B, 0)), ISNUMBER(SEARCH($A87,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ISNUMBER(SEARCH($A87, INDEX(AsistenciaJetAdminConcatenada!$D:$D, MATCH(1, (AsistenciaJetAdminConcatenada!$A:$A=L$2)*(AsistenciaJetAdminConcatenada!$B:$B=L$1), 0)), 1))),  0.5, 0))</f>
        <v>1</v>
      </c>
      <c r="M87" s="47">
        <f t="array" ref="M87">IF(AND(ISNUMBER(MATCH(M$2, AsistenciaJetAdminConcatenada!$A:$A, 0)), ISNUMBER(MATCH(M$1, AsistenciaJetAdminConcatenada!$B:$B, 0)), ISNUMBER(SEARCH($A87,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ISNUMBER(SEARCH($A87, INDEX(AsistenciaJetAdminConcatenada!$D:$D, MATCH(1, (AsistenciaJetAdminConcatenada!$A:$A=M$2)*(AsistenciaJetAdminConcatenada!$B:$B=M$1), 0)), 1))),  0.5, 0))</f>
        <v>1</v>
      </c>
      <c r="N87" s="47">
        <f t="array" ref="N87">IF(AND(ISNUMBER(MATCH(N$2, AsistenciaJetAdminConcatenada!$A:$A, 0)), ISNUMBER(MATCH(N$1, AsistenciaJetAdminConcatenada!$B:$B, 0)), ISNUMBER(SEARCH($A87,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ISNUMBER(SEARCH($A87, INDEX(AsistenciaJetAdminConcatenada!$D:$D, MATCH(1, (AsistenciaJetAdminConcatenada!$A:$A=N$2)*(AsistenciaJetAdminConcatenada!$B:$B=N$1), 0)), 1))),  0.5, 0))</f>
        <v>0</v>
      </c>
      <c r="O87" s="47">
        <f t="array" ref="O87">IF(AND(ISNUMBER(MATCH(O$2, AsistenciaJetAdminConcatenada!$A:$A, 0)), ISNUMBER(MATCH(O$1, AsistenciaJetAdminConcatenada!$B:$B, 0)), ISNUMBER(SEARCH($A87,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ISNUMBER(SEARCH($A87, INDEX(AsistenciaJetAdminConcatenada!$D:$D, MATCH(1, (AsistenciaJetAdminConcatenada!$A:$A=O$2)*(AsistenciaJetAdminConcatenada!$B:$B=O$1), 0)), 1))),  0.5, 0))</f>
        <v>1</v>
      </c>
      <c r="P87" s="47">
        <f t="array" ref="P87">IF(AND(ISNUMBER(MATCH(P$2, AsistenciaJetAdminConcatenada!$A:$A, 0)), ISNUMBER(MATCH(P$1, AsistenciaJetAdminConcatenada!$B:$B, 0)), ISNUMBER(SEARCH($A87, INDEX(AsistenciaJetAdminConcatenada!$C:$C, MATCH(1, (AsistenciaJetAdminConcatenada!$A:$A=P$2)*(AsistenciaJetAdminConcatenada!$B:$B=P$1), 0)), 1))), 1, IF(AND(ISNUMBER(MATCH(P$2, AsistenciaJetAdminConcatenada!$A:$A, 0)), ISNUMBER(MATCH(P$1, AsistenciaJetAdminConcatenada!$B:$B, 0)), ISNUMBER(SEARCH($A87, INDEX(AsistenciaJetAdminConcatenada!$D:$D, MATCH(1, (AsistenciaJetAdminConcatenada!$A:$A=P$2)*(AsistenciaJetAdminConcatenada!$B:$B=P$1), 0)), 1))),  0.5, 0))</f>
        <v>0</v>
      </c>
      <c r="Q87" s="47">
        <f t="array" ref="Q87">IF(AND(ISNUMBER(MATCH(Q$2, AsistenciaJetAdminConcatenada!$A:$A, 0)), ISNUMBER(MATCH(Q$1, AsistenciaJetAdminConcatenada!$B:$B, 0)), ISNUMBER(SEARCH($A87, INDEX(AsistenciaJetAdminConcatenada!$C:$C, MATCH(1, (AsistenciaJetAdminConcatenada!$A:$A=Q$2)*(AsistenciaJetAdminConcatenada!$B:$B=Q$1), 0)), 1))), 1, IF(AND(ISNUMBER(MATCH(Q$2, AsistenciaJetAdminConcatenada!$A:$A, 0)), ISNUMBER(MATCH(Q$1, AsistenciaJetAdminConcatenada!$B:$B, 0)), ISNUMBER(SEARCH($A87, INDEX(AsistenciaJetAdminConcatenada!$D:$D, MATCH(1, (AsistenciaJetAdminConcatenada!$A:$A=Q$2)*(AsistenciaJetAdminConcatenada!$B:$B=Q$1), 0)), 1))),  0.5, 0))</f>
        <v>0</v>
      </c>
      <c r="R87" s="47">
        <f t="array" ref="R87">IF(AND(ISNUMBER(MATCH(R$2, AsistenciaJetAdminConcatenada!$A:$A, 0)), ISNUMBER(MATCH(R$1, AsistenciaJetAdminConcatenada!$B:$B, 0)), ISNUMBER(SEARCH($A87,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ISNUMBER(SEARCH($A87, INDEX(AsistenciaJetAdminConcatenada!$D:$D, MATCH(1, (AsistenciaJetAdminConcatenada!$A:$A=R$2)*(AsistenciaJetAdminConcatenada!$B:$B=R$1), 0)), 1))),  0.5, 0))</f>
        <v>1</v>
      </c>
      <c r="S87" s="47">
        <f t="array" ref="S87">IF(AND(ISNUMBER(MATCH(S$2, AsistenciaJetAdminConcatenada!$A:$A, 0)), ISNUMBER(MATCH(S$1, AsistenciaJetAdminConcatenada!$B:$B, 0)), ISNUMBER(SEARCH($A87,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ISNUMBER(SEARCH($A87, INDEX(AsistenciaJetAdminConcatenada!$D:$D, MATCH(1, (AsistenciaJetAdminConcatenada!$A:$A=S$2)*(AsistenciaJetAdminConcatenada!$B:$B=S$1), 0)), 1))),  0.5, 0))</f>
        <v>1</v>
      </c>
      <c r="T87" s="47">
        <f t="array" ref="T87">IF(AND(ISNUMBER(MATCH(T$2, AsistenciaJetAdminConcatenada!$A:$A, 0)), ISNUMBER(MATCH(T$1, AsistenciaJetAdminConcatenada!$B:$B, 0)), ISNUMBER(SEARCH($A87,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ISNUMBER(SEARCH($A87, INDEX(AsistenciaJetAdminConcatenada!$D:$D, MATCH(1, (AsistenciaJetAdminConcatenada!$A:$A=T$2)*(AsistenciaJetAdminConcatenada!$B:$B=T$1), 0)), 1))),  0.5, 0))</f>
        <v>1</v>
      </c>
      <c r="U87" s="47">
        <f t="array" ref="U87">IF(AND(ISNUMBER(MATCH(U$2, AsistenciaJetAdminConcatenada!$A:$A, 0)), ISNUMBER(MATCH(U$1, AsistenciaJetAdminConcatenada!$B:$B, 0)), ISNUMBER(SEARCH($A87,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ISNUMBER(SEARCH($A87, INDEX(AsistenciaJetAdminConcatenada!$D:$D, MATCH(1, (AsistenciaJetAdminConcatenada!$A:$A=U$2)*(AsistenciaJetAdminConcatenada!$B:$B=U$1), 0)), 1))),  0.5, 0))</f>
        <v>1</v>
      </c>
      <c r="V87" s="47">
        <f t="array" ref="V87">IF(AND(ISNUMBER(MATCH(V$2, AsistenciaJetAdminConcatenada!$A:$A, 0)), ISNUMBER(MATCH(V$1, AsistenciaJetAdminConcatenada!$B:$B, 0)), ISNUMBER(SEARCH($A87,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ISNUMBER(SEARCH($A87, INDEX(AsistenciaJetAdminConcatenada!$D:$D, MATCH(1, (AsistenciaJetAdminConcatenada!$A:$A=V$2)*(AsistenciaJetAdminConcatenada!$B:$B=V$1), 0)), 1))),  0.5, 0))</f>
        <v>1</v>
      </c>
      <c r="W87" s="47">
        <f t="array" ref="W87">IF(AND(ISNUMBER(MATCH(W$2, AsistenciaJetAdminConcatenada!$A:$A, 0)), ISNUMBER(MATCH(W$1, AsistenciaJetAdminConcatenada!$B:$B, 0)), ISNUMBER(SEARCH($A87,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ISNUMBER(SEARCH($A87, INDEX(AsistenciaJetAdminConcatenada!$D:$D, MATCH(1, (AsistenciaJetAdminConcatenada!$A:$A=W$2)*(AsistenciaJetAdminConcatenada!$B:$B=W$1), 0)), 1))),  0.5, 0))</f>
        <v>1</v>
      </c>
      <c r="X87" s="47">
        <f t="array" ref="X87">IF(AND(ISNUMBER(MATCH(X$2, AsistenciaJetAdminConcatenada!$A:$A, 0)), ISNUMBER(MATCH(X$1, AsistenciaJetAdminConcatenada!$B:$B, 0)), ISNUMBER(SEARCH($A87,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ISNUMBER(SEARCH($A87, INDEX(AsistenciaJetAdminConcatenada!$D:$D, MATCH(1, (AsistenciaJetAdminConcatenada!$A:$A=X$2)*(AsistenciaJetAdminConcatenada!$B:$B=X$1), 0)), 1))),  0.5, 0))</f>
        <v>1</v>
      </c>
      <c r="Y87" s="47">
        <f t="array" ref="Y87">IF(AND(ISNUMBER(MATCH(Y$2, AsistenciaJetAdminConcatenada!$A:$A, 0)), ISNUMBER(MATCH(Y$1, AsistenciaJetAdminConcatenada!$B:$B, 0)), ISNUMBER(SEARCH($A87,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ISNUMBER(SEARCH($A87, INDEX(AsistenciaJetAdminConcatenada!$D:$D, MATCH(1, (AsistenciaJetAdminConcatenada!$A:$A=Y$2)*(AsistenciaJetAdminConcatenada!$B:$B=Y$1), 0)), 1))),  0.5, 0))</f>
        <v>1</v>
      </c>
      <c r="Z87" s="47">
        <f t="array" ref="Z87">IF(AND(ISNUMBER(MATCH(Z$2, AsistenciaJetAdminConcatenada!$A:$A, 0)), ISNUMBER(MATCH(Z$1, AsistenciaJetAdminConcatenada!$B:$B, 0)), ISNUMBER(SEARCH($A87,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ISNUMBER(SEARCH($A87, INDEX(AsistenciaJetAdminConcatenada!$D:$D, MATCH(1, (AsistenciaJetAdminConcatenada!$A:$A=Z$2)*(AsistenciaJetAdminConcatenada!$B:$B=Z$1), 0)), 1))),  0.5, 0))</f>
        <v>1</v>
      </c>
      <c r="AA87" s="47">
        <f t="array" ref="AA87">IF(AND(ISNUMBER(MATCH(AA$2, AsistenciaJetAdminConcatenada!$A:$A, 0)), ISNUMBER(MATCH(AA$1, AsistenciaJetAdminConcatenada!$B:$B, 0)), ISNUMBER(SEARCH($A87,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ISNUMBER(SEARCH($A87, INDEX(AsistenciaJetAdminConcatenada!$D:$D, MATCH(1, (AsistenciaJetAdminConcatenada!$A:$A=AA$2)*(AsistenciaJetAdminConcatenada!$B:$B=AA$1), 0)), 1))),  0.5, 0))</f>
        <v>0</v>
      </c>
      <c r="AB87" s="47">
        <f t="array" ref="AB87">IF(AND(ISNUMBER(MATCH(AB$2, AsistenciaJetAdminConcatenada!$A:$A, 0)), ISNUMBER(MATCH(AB$1, AsistenciaJetAdminConcatenada!$B:$B, 0)), ISNUMBER(SEARCH($A87,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ISNUMBER(SEARCH($A87, INDEX(AsistenciaJetAdminConcatenada!$D:$D, MATCH(1, (AsistenciaJetAdminConcatenada!$A:$A=AB$2)*(AsistenciaJetAdminConcatenada!$B:$B=AB$1), 0)), 1))),  0.5, 0))</f>
        <v>0</v>
      </c>
      <c r="AC87" s="47">
        <f t="array" ref="AC87">IF(AND(ISNUMBER(MATCH(AC$2, AsistenciaJetAdminConcatenada!$A:$A, 0)), ISNUMBER(MATCH(AC$1, AsistenciaJetAdminConcatenada!$B:$B, 0)), ISNUMBER(SEARCH($A87,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ISNUMBER(SEARCH($A87, INDEX(AsistenciaJetAdminConcatenada!$D:$D, MATCH(1, (AsistenciaJetAdminConcatenada!$A:$A=AC$2)*(AsistenciaJetAdminConcatenada!$B:$B=AC$1), 0)), 1))),  0.5, 0))</f>
        <v>1</v>
      </c>
      <c r="AD87" s="47">
        <f t="array" ref="AD87">IF(AND(ISNUMBER(MATCH(AD$2, AsistenciaJetAdminConcatenada!$A:$A, 0)), ISNUMBER(MATCH(AD$1, AsistenciaJetAdminConcatenada!$B:$B, 0)), ISNUMBER(SEARCH($A87,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ISNUMBER(SEARCH($A87, INDEX(AsistenciaJetAdminConcatenada!$D:$D, MATCH(1, (AsistenciaJetAdminConcatenada!$A:$A=AD$2)*(AsistenciaJetAdminConcatenada!$B:$B=AD$1), 0)), 1))),  0.5, 0))</f>
        <v>1</v>
      </c>
      <c r="AE87" s="47">
        <f t="array" ref="AE87">IF(AND(ISNUMBER(MATCH(AE$2, AsistenciaJetAdminConcatenada!$A:$A, 0)), ISNUMBER(MATCH(AE$1, AsistenciaJetAdminConcatenada!$B:$B, 0)), ISNUMBER(SEARCH($A87,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ISNUMBER(SEARCH($A87, INDEX(AsistenciaJetAdminConcatenada!$D:$D, MATCH(1, (AsistenciaJetAdminConcatenada!$A:$A=AE$2)*(AsistenciaJetAdminConcatenada!$B:$B=AE$1), 0)), 1))),  0.5, 0))</f>
        <v>0</v>
      </c>
      <c r="AF87" s="47">
        <f t="array" ref="AF87">IF(AND(ISNUMBER(MATCH(AF$2, AsistenciaJetAdminConcatenada!$A:$A, 0)), ISNUMBER(MATCH(AF$1, AsistenciaJetAdminConcatenada!$B:$B, 0)), ISNUMBER(SEARCH($A87,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ISNUMBER(SEARCH($A87, INDEX(AsistenciaJetAdminConcatenada!$D:$D, MATCH(1, (AsistenciaJetAdminConcatenada!$A:$A=AF$2)*(AsistenciaJetAdminConcatenada!$B:$B=AF$1), 0)), 1))),  0.5, 0))</f>
        <v>1</v>
      </c>
      <c r="AG87" s="47">
        <f t="array" ref="AG87">IF(AND(ISNUMBER(MATCH(AG$2, AsistenciaJetAdminConcatenada!$A:$A, 0)), ISNUMBER(MATCH(AG$1, AsistenciaJetAdminConcatenada!$B:$B, 0)), ISNUMBER(SEARCH($A87,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ISNUMBER(SEARCH($A87, INDEX(AsistenciaJetAdminConcatenada!$D:$D, MATCH(1, (AsistenciaJetAdminConcatenada!$A:$A=AG$2)*(AsistenciaJetAdminConcatenada!$B:$B=AG$1), 0)), 1))),  0.5, 0))</f>
        <v>0</v>
      </c>
      <c r="AH87" s="47">
        <f t="array" ref="AH87">IF(AND(ISNUMBER(MATCH(AH$2, AsistenciaJetAdminConcatenada!$A:$A, 0)), ISNUMBER(MATCH(AH$1, AsistenciaJetAdminConcatenada!$B:$B, 0)), ISNUMBER(SEARCH($A87,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ISNUMBER(SEARCH($A87, INDEX(AsistenciaJetAdminConcatenada!$D:$D, MATCH(1, (AsistenciaJetAdminConcatenada!$A:$A=AH$2)*(AsistenciaJetAdminConcatenada!$B:$B=AH$1), 0)), 1))),  0.5, 0))</f>
        <v>0</v>
      </c>
      <c r="AI87" s="47">
        <f t="array" ref="AI87">IF(AND(ISNUMBER(MATCH(AI$2, AsistenciaJetAdminConcatenada!$A:$A, 0)), ISNUMBER(MATCH(AI$1, AsistenciaJetAdminConcatenada!$B:$B, 0)), ISNUMBER(SEARCH($A87,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ISNUMBER(SEARCH($A87, INDEX(AsistenciaJetAdminConcatenada!$D:$D, MATCH(1, (AsistenciaJetAdminConcatenada!$A:$A=AI$2)*(AsistenciaJetAdminConcatenada!$B:$B=AI$1), 0)), 1))),  0.5, 0))</f>
        <v>1</v>
      </c>
      <c r="AJ87" s="47">
        <f t="array" ref="AJ87">IF(AND(ISNUMBER(MATCH(AJ$2, AsistenciaJetAdminConcatenada!$A:$A, 0)), ISNUMBER(MATCH(AJ$1, AsistenciaJetAdminConcatenada!$B:$B, 0)), ISNUMBER(SEARCH($A87,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ISNUMBER(SEARCH($A87, INDEX(AsistenciaJetAdminConcatenada!$D:$D, MATCH(1, (AsistenciaJetAdminConcatenada!$A:$A=AJ$2)*(AsistenciaJetAdminConcatenada!$B:$B=AJ$1), 0)), 1))),  0.5, 0))</f>
        <v>0</v>
      </c>
      <c r="AK87" s="47">
        <f t="array" ref="AK87">IF(AND(ISNUMBER(MATCH(AK$2, AsistenciaJetAdminConcatenada!$A:$A, 0)), ISNUMBER(MATCH(AK$1, AsistenciaJetAdminConcatenada!$B:$B, 0)), ISNUMBER(SEARCH($A87,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ISNUMBER(SEARCH($A87, INDEX(AsistenciaJetAdminConcatenada!$D:$D, MATCH(1, (AsistenciaJetAdminConcatenada!$A:$A=AK$2)*(AsistenciaJetAdminConcatenada!$B:$B=AK$1), 0)), 1))),  0.5, 0))</f>
        <v>0</v>
      </c>
      <c r="AL87" s="47">
        <f t="array" ref="AL87">IF(AND(ISNUMBER(MATCH(AL$2, AsistenciaJetAdminConcatenada!$A:$A, 0)), ISNUMBER(MATCH(AL$1, AsistenciaJetAdminConcatenada!$B:$B, 0)), ISNUMBER(SEARCH($A87,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ISNUMBER(SEARCH($A87, INDEX(AsistenciaJetAdminConcatenada!$D:$D, MATCH(1, (AsistenciaJetAdminConcatenada!$A:$A=AL$2)*(AsistenciaJetAdminConcatenada!$B:$B=AL$1), 0)), 1))),  0.5, 0))</f>
        <v>1</v>
      </c>
      <c r="AM87" s="47">
        <f t="array" ref="AM87">IF(AND(ISNUMBER(MATCH(AM$2, AsistenciaJetAdminConcatenada!$A:$A, 0)), ISNUMBER(MATCH(AM$1, AsistenciaJetAdminConcatenada!$B:$B, 0)), ISNUMBER(SEARCH($A87,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ISNUMBER(SEARCH($A87, INDEX(AsistenciaJetAdminConcatenada!$D:$D, MATCH(1, (AsistenciaJetAdminConcatenada!$A:$A=AM$2)*(AsistenciaJetAdminConcatenada!$B:$B=AM$1), 0)), 1))),  0.5, 0))</f>
        <v>1</v>
      </c>
      <c r="AN87" s="47">
        <f t="array" ref="AN87">IF(AND(ISNUMBER(MATCH(AN$2, AsistenciaJetAdminConcatenada!$A:$A, 0)), ISNUMBER(MATCH(AN$1, AsistenciaJetAdminConcatenada!$B:$B, 0)), ISNUMBER(SEARCH($A87,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ISNUMBER(SEARCH($A87, INDEX(AsistenciaJetAdminConcatenada!$D:$D, MATCH(1, (AsistenciaJetAdminConcatenada!$A:$A=AN$2)*(AsistenciaJetAdminConcatenada!$B:$B=AN$1), 0)), 1))),  0.5, 0))</f>
        <v>1</v>
      </c>
      <c r="AO87" s="47">
        <f t="array" ref="AO87">IF(AND(ISNUMBER(MATCH(AO$2, AsistenciaJetAdminConcatenada!$A:$A, 0)), ISNUMBER(MATCH(AO$1, AsistenciaJetAdminConcatenada!$B:$B, 0)), ISNUMBER(SEARCH($A87,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ISNUMBER(SEARCH($A87, INDEX(AsistenciaJetAdminConcatenada!$D:$D, MATCH(1, (AsistenciaJetAdminConcatenada!$A:$A=AO$2)*(AsistenciaJetAdminConcatenada!$B:$B=AO$1), 0)), 1))),  0.5, 0))</f>
        <v>0</v>
      </c>
      <c r="AP87" s="47">
        <f t="array" ref="AP87">IF(AND(ISNUMBER(MATCH(AP$2, AsistenciaJetAdminConcatenada!$A:$A, 0)), ISNUMBER(MATCH(AP$1, AsistenciaJetAdminConcatenada!$B:$B, 0)), ISNUMBER(SEARCH($A87,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ISNUMBER(SEARCH($A87, INDEX(AsistenciaJetAdminConcatenada!$D:$D, MATCH(1, (AsistenciaJetAdminConcatenada!$A:$A=AP$2)*(AsistenciaJetAdminConcatenada!$B:$B=AP$1), 0)), 1))),  0.5, 0))</f>
        <v>0</v>
      </c>
      <c r="AQ87" s="47">
        <f t="array" ref="AQ87">IF(AND(ISNUMBER(MATCH(AQ$2, AsistenciaJetAdminConcatenada!$A:$A, 0)), ISNUMBER(MATCH(AQ$1, AsistenciaJetAdminConcatenada!$B:$B, 0)), ISNUMBER(SEARCH($A87,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ISNUMBER(SEARCH($A87, INDEX(AsistenciaJetAdminConcatenada!$D:$D, MATCH(1, (AsistenciaJetAdminConcatenada!$A:$A=AQ$2)*(AsistenciaJetAdminConcatenada!$B:$B=AQ$1), 0)), 1))),  0.5, 0))</f>
        <v>0</v>
      </c>
      <c r="AR87" s="47">
        <f t="array" ref="AR87">IF(AND(ISNUMBER(MATCH(AR$2, AsistenciaJetAdminConcatenada!$A:$A, 0)), ISNUMBER(MATCH(AR$1, AsistenciaJetAdminConcatenada!$B:$B, 0)), ISNUMBER(SEARCH($A87,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ISNUMBER(SEARCH($A87, INDEX(AsistenciaJetAdminConcatenada!$D:$D, MATCH(1, (AsistenciaJetAdminConcatenada!$A:$A=AR$2)*(AsistenciaJetAdminConcatenada!$B:$B=AR$1), 0)), 1))),  0.5, 0))</f>
        <v>1</v>
      </c>
      <c r="AS87" s="47">
        <f t="array" ref="AS87">IF(AND(ISNUMBER(MATCH(AS$2, AsistenciaJetAdminConcatenada!$A:$A, 0)), ISNUMBER(MATCH(AS$1, AsistenciaJetAdminConcatenada!$B:$B, 0)), ISNUMBER(SEARCH($A87,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ISNUMBER(SEARCH($A87, INDEX(AsistenciaJetAdminConcatenada!$D:$D, MATCH(1, (AsistenciaJetAdminConcatenada!$A:$A=AS$2)*(AsistenciaJetAdminConcatenada!$B:$B=AS$1), 0)), 1))),  0.5, 0))</f>
        <v>1</v>
      </c>
      <c r="AT87" s="47">
        <f t="array" ref="AT87">IF(AND(ISNUMBER(MATCH(AT$2, AsistenciaJetAdminConcatenada!$A:$A, 0)), ISNUMBER(MATCH(AT$1, AsistenciaJetAdminConcatenada!$B:$B, 0)), ISNUMBER(SEARCH($A87,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ISNUMBER(SEARCH($A87, INDEX(AsistenciaJetAdminConcatenada!$D:$D, MATCH(1, (AsistenciaJetAdminConcatenada!$A:$A=AT$2)*(AsistenciaJetAdminConcatenada!$B:$B=AT$1), 0)), 1))),  0.5, 0))</f>
        <v>0</v>
      </c>
      <c r="AU87" s="47">
        <f t="array" ref="AU87">IF(AND(ISNUMBER(MATCH(AU$2, AsistenciaJetAdminConcatenada!$A:$A, 0)), ISNUMBER(MATCH(AU$1, AsistenciaJetAdminConcatenada!$B:$B, 0)), ISNUMBER(SEARCH($A87,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ISNUMBER(SEARCH($A87, INDEX(AsistenciaJetAdminConcatenada!$D:$D, MATCH(1, (AsistenciaJetAdminConcatenada!$A:$A=AU$2)*(AsistenciaJetAdminConcatenada!$B:$B=AU$1), 0)), 1))),  0.5, 0))</f>
        <v>1</v>
      </c>
      <c r="AV87" s="47">
        <f t="array" ref="AV87">IF(AND(ISNUMBER(MATCH(AV$2, AsistenciaJetAdminConcatenada!$A:$A, 0)), ISNUMBER(MATCH(AV$1, AsistenciaJetAdminConcatenada!$B:$B, 0)), ISNUMBER(SEARCH($A87,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ISNUMBER(SEARCH($A87, INDEX(AsistenciaJetAdminConcatenada!$D:$D, MATCH(1, (AsistenciaJetAdminConcatenada!$A:$A=AV$2)*(AsistenciaJetAdminConcatenada!$B:$B=AV$1), 0)), 1))),  0.5, 0))</f>
        <v>1</v>
      </c>
      <c r="AW87" s="47">
        <f t="array" ref="AW87">IF(AND(ISNUMBER(MATCH(AW$2, AsistenciaJetAdminConcatenada!$A:$A, 0)), ISNUMBER(MATCH(AW$1, AsistenciaJetAdminConcatenada!$B:$B, 0)), ISNUMBER(SEARCH($A87,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ISNUMBER(SEARCH($A87, INDEX(AsistenciaJetAdminConcatenada!$D:$D, MATCH(1, (AsistenciaJetAdminConcatenada!$A:$A=AW$2)*(AsistenciaJetAdminConcatenada!$B:$B=AW$1), 0)), 1))),  0.5, 0))</f>
        <v>0</v>
      </c>
      <c r="AX87" s="47">
        <f t="array" ref="AX87">IF(AND(ISNUMBER(MATCH(AX$2, AsistenciaJetAdminConcatenada!$A:$A, 0)), ISNUMBER(MATCH(AX$1, AsistenciaJetAdminConcatenada!$B:$B, 0)), ISNUMBER(SEARCH($A87,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ISNUMBER(SEARCH($A87, INDEX(AsistenciaJetAdminConcatenada!$D:$D, MATCH(1, (AsistenciaJetAdminConcatenada!$A:$A=AX$2)*(AsistenciaJetAdminConcatenada!$B:$B=AX$1), 0)), 1))),  0.5, 0))</f>
        <v>1</v>
      </c>
      <c r="AY87" s="47">
        <f t="array" ref="AY87">IF(AND(ISNUMBER(MATCH(AY$2, AsistenciaJetAdminConcatenada!$A:$A, 0)), ISNUMBER(MATCH(AY$1, AsistenciaJetAdminConcatenada!$B:$B, 0)), ISNUMBER(SEARCH($A87,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ISNUMBER(SEARCH($A87, INDEX(AsistenciaJetAdminConcatenada!$D:$D, MATCH(1, (AsistenciaJetAdminConcatenada!$A:$A=AY$2)*(AsistenciaJetAdminConcatenada!$B:$B=AY$1), 0)), 1))),  0.5, 0))</f>
        <v>1</v>
      </c>
      <c r="AZ87" s="47">
        <f t="array" ref="AZ87">IF(AND(ISNUMBER(MATCH(AZ$2, AsistenciaJetAdminConcatenada!$A:$A, 0)), ISNUMBER(MATCH(AZ$1, AsistenciaJetAdminConcatenada!$B:$B, 0)), ISNUMBER(SEARCH($A87,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ISNUMBER(SEARCH($A87, INDEX(AsistenciaJetAdminConcatenada!$D:$D, MATCH(1, (AsistenciaJetAdminConcatenada!$A:$A=AZ$2)*(AsistenciaJetAdminConcatenada!$B:$B=AZ$1), 0)), 1))),  0.5, 0))</f>
        <v>1</v>
      </c>
      <c r="BA87" s="47">
        <f t="array" ref="BA87">IF(AND(ISNUMBER(MATCH(BA$2, AsistenciaJetAdminConcatenada!$A:$A, 0)), ISNUMBER(MATCH(BA$1, AsistenciaJetAdminConcatenada!$B:$B, 0)), ISNUMBER(SEARCH($A87,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ISNUMBER(SEARCH($A87, INDEX(AsistenciaJetAdminConcatenada!$D:$D, MATCH(1, (AsistenciaJetAdminConcatenada!$A:$A=BA$2)*(AsistenciaJetAdminConcatenada!$B:$B=BA$1), 0)), 1))),  0.5, 0))</f>
        <v>0</v>
      </c>
      <c r="BB87" s="47">
        <f t="array" ref="BB87">IF(AND(ISNUMBER(MATCH(BB$2, AsistenciaJetAdminConcatenada!$A:$A, 0)), ISNUMBER(MATCH(BB$1, AsistenciaJetAdminConcatenada!$B:$B, 0)), ISNUMBER(SEARCH($A87,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ISNUMBER(SEARCH($A87, INDEX(AsistenciaJetAdminConcatenada!$D:$D, MATCH(1, (AsistenciaJetAdminConcatenada!$A:$A=BB$2)*(AsistenciaJetAdminConcatenada!$B:$B=BB$1), 0)), 1))),  0.5, 0))</f>
        <v>1</v>
      </c>
      <c r="BC87" s="47">
        <f t="array" ref="BC87">IF(AND(ISNUMBER(MATCH(BC$2, AsistenciaJetAdminConcatenada!$A:$A, 0)), ISNUMBER(MATCH(BC$1, AsistenciaJetAdminConcatenada!$B:$B, 0)), ISNUMBER(SEARCH($A87,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ISNUMBER(SEARCH($A87, INDEX(AsistenciaJetAdminConcatenada!$D:$D, MATCH(1, (AsistenciaJetAdminConcatenada!$A:$A=BC$2)*(AsistenciaJetAdminConcatenada!$B:$B=BC$1), 0)), 1))),  0.5, 0))</f>
        <v>1</v>
      </c>
      <c r="BD87" s="47">
        <f t="array" ref="BD87">IF(AND(ISNUMBER(MATCH(BD$2, AsistenciaJetAdminConcatenada!$A:$A, 0)), ISNUMBER(MATCH(BD$1, AsistenciaJetAdminConcatenada!$B:$B, 0)), ISNUMBER(SEARCH($A87,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ISNUMBER(SEARCH($A87, INDEX(AsistenciaJetAdminConcatenada!$D:$D, MATCH(1, (AsistenciaJetAdminConcatenada!$A:$A=BD$2)*(AsistenciaJetAdminConcatenada!$B:$B=BD$1), 0)), 1))),  0.5, 0))</f>
        <v>0</v>
      </c>
      <c r="BE87" s="47">
        <f t="array" ref="BE87">IF(AND(ISNUMBER(MATCH(BE$2, AsistenciaJetAdminConcatenada!$A:$A, 0)), ISNUMBER(MATCH(BE$1, AsistenciaJetAdminConcatenada!$B:$B, 0)), ISNUMBER(SEARCH($A87,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ISNUMBER(SEARCH($A87, INDEX(AsistenciaJetAdminConcatenada!$D:$D, MATCH(1, (AsistenciaJetAdminConcatenada!$A:$A=BE$2)*(AsistenciaJetAdminConcatenada!$B:$B=BE$1), 0)), 1))),  0.5, 0))</f>
        <v>1</v>
      </c>
      <c r="BF87" s="47">
        <f t="array" ref="BF87">IF(AND(ISNUMBER(MATCH(BF$2, AsistenciaJetAdminConcatenada!$A:$A, 0)), ISNUMBER(MATCH(BF$1, AsistenciaJetAdminConcatenada!$B:$B, 0)), ISNUMBER(SEARCH($A87,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ISNUMBER(SEARCH($A87, INDEX(AsistenciaJetAdminConcatenada!$D:$D, MATCH(1, (AsistenciaJetAdminConcatenada!$A:$A=BF$2)*(AsistenciaJetAdminConcatenada!$B:$B=BF$1), 0)), 1))),  0.5, 0))</f>
        <v>1</v>
      </c>
      <c r="BG87" s="47">
        <f t="array" ref="BG87">IF(AND(ISNUMBER(MATCH(BG$2, AsistenciaJetAdminConcatenada!$A:$A, 0)), ISNUMBER(MATCH(BG$1, AsistenciaJetAdminConcatenada!$B:$B, 0)), ISNUMBER(SEARCH($A87,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ISNUMBER(SEARCH($A87, INDEX(AsistenciaJetAdminConcatenada!$D:$D, MATCH(1, (AsistenciaJetAdminConcatenada!$A:$A=BG$2)*(AsistenciaJetAdminConcatenada!$B:$B=BG$1), 0)), 1))),  0.5, 0))</f>
        <v>1</v>
      </c>
      <c r="BH87" s="47">
        <f t="array" ref="BH87">IF(AND(ISNUMBER(MATCH(BH$2, AsistenciaJetAdminConcatenada!$A:$A, 0)), ISNUMBER(MATCH(BH$1, AsistenciaJetAdminConcatenada!$B:$B, 0)), ISNUMBER(SEARCH($A87,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ISNUMBER(SEARCH($A87, INDEX(AsistenciaJetAdminConcatenada!$D:$D, MATCH(1, (AsistenciaJetAdminConcatenada!$A:$A=BH$2)*(AsistenciaJetAdminConcatenada!$B:$B=BH$1), 0)), 1))),  0.5, 0))</f>
        <v>1</v>
      </c>
      <c r="BI87" s="47">
        <f t="array" ref="BI87">IF(AND(ISNUMBER(MATCH(BI$2, AsistenciaJetAdminConcatenada!$A:$A, 0)), ISNUMBER(MATCH(BI$1, AsistenciaJetAdminConcatenada!$B:$B, 0)), ISNUMBER(SEARCH($A87,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ISNUMBER(SEARCH($A87, INDEX(AsistenciaJetAdminConcatenada!$D:$D, MATCH(1, (AsistenciaJetAdminConcatenada!$A:$A=BI$2)*(AsistenciaJetAdminConcatenada!$B:$B=BI$1), 0)), 1))),  0.5, 0))</f>
        <v>1</v>
      </c>
      <c r="BJ87" s="47">
        <f t="array" ref="BJ87">IF(AND(ISNUMBER(MATCH(BJ$2, AsistenciaJetAdminConcatenada!$A:$A, 0)), ISNUMBER(MATCH(BJ$1, AsistenciaJetAdminConcatenada!$B:$B, 0)), ISNUMBER(SEARCH($A87,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ISNUMBER(SEARCH($A87, INDEX(AsistenciaJetAdminConcatenada!$D:$D, MATCH(1, (AsistenciaJetAdminConcatenada!$A:$A=BJ$2)*(AsistenciaJetAdminConcatenada!$B:$B=BJ$1), 0)), 1))),  0.5, 0))</f>
        <v>1</v>
      </c>
      <c r="BK87" s="47">
        <f t="array" ref="BK87">IF(AND(ISNUMBER(MATCH(BK$2, AsistenciaJetAdminConcatenada!$A:$A, 0)), ISNUMBER(MATCH(BK$1, AsistenciaJetAdminConcatenada!$B:$B, 0)), ISNUMBER(SEARCH($A87,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ISNUMBER(SEARCH($A87, INDEX(AsistenciaJetAdminConcatenada!$D:$D, MATCH(1, (AsistenciaJetAdminConcatenada!$A:$A=BK$2)*(AsistenciaJetAdminConcatenada!$B:$B=BK$1), 0)), 1))),  0.5, 0))</f>
        <v>1</v>
      </c>
      <c r="BL87" s="47">
        <f t="array" ref="BL87">IF(AND(ISNUMBER(MATCH(BL$2, AsistenciaJetAdminConcatenada!$A:$A, 0)), ISNUMBER(MATCH(BL$1, AsistenciaJetAdminConcatenada!$B:$B, 0)), ISNUMBER(SEARCH($A87,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ISNUMBER(SEARCH($A87, INDEX(AsistenciaJetAdminConcatenada!$D:$D, MATCH(1, (AsistenciaJetAdminConcatenada!$A:$A=BL$2)*(AsistenciaJetAdminConcatenada!$B:$B=BL$1), 0)), 1))),  0.5, 0))</f>
        <v>0</v>
      </c>
      <c r="BM87" s="47">
        <f t="array" ref="BM87">IF(AND(ISNUMBER(MATCH(BM$2, AsistenciaJetAdminConcatenada!$A:$A, 0)), ISNUMBER(MATCH(BM$1, AsistenciaJetAdminConcatenada!$B:$B, 0)), ISNUMBER(SEARCH($A87,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ISNUMBER(SEARCH($A87, INDEX(AsistenciaJetAdminConcatenada!$D:$D, MATCH(1, (AsistenciaJetAdminConcatenada!$A:$A=BM$2)*(AsistenciaJetAdminConcatenada!$B:$B=BM$1), 0)), 1))),  0.5, 0))</f>
        <v>0</v>
      </c>
      <c r="BN87" s="47">
        <f t="array" ref="BN87">IF(AND(ISNUMBER(MATCH(BN$2, AsistenciaJetAdminConcatenada!$A:$A, 0)), ISNUMBER(MATCH(BN$1, AsistenciaJetAdminConcatenada!$B:$B, 0)), ISNUMBER(SEARCH($A87,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ISNUMBER(SEARCH($A87, INDEX(AsistenciaJetAdminConcatenada!$D:$D, MATCH(1, (AsistenciaJetAdminConcatenada!$A:$A=BN$2)*(AsistenciaJetAdminConcatenada!$B:$B=BN$1), 0)), 1))),  0.5, 0))</f>
        <v>0</v>
      </c>
      <c r="BO87" s="47">
        <f t="array" ref="BO87">IF(AND(ISNUMBER(MATCH(BO$2, AsistenciaJetAdminConcatenada!$A:$A, 0)), ISNUMBER(MATCH(BO$1, AsistenciaJetAdminConcatenada!$B:$B, 0)), ISNUMBER(SEARCH($A87,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ISNUMBER(SEARCH($A87, INDEX(AsistenciaJetAdminConcatenada!$D:$D, MATCH(1, (AsistenciaJetAdminConcatenada!$A:$A=BO$2)*(AsistenciaJetAdminConcatenada!$B:$B=BO$1), 0)), 1))),  0.5, 0))</f>
        <v>1</v>
      </c>
      <c r="BP87" s="47">
        <f t="array" ref="BP87">IF(AND(ISNUMBER(MATCH(BP$2, AsistenciaJetAdminConcatenada!$A:$A, 0)), ISNUMBER(MATCH(BP$1, AsistenciaJetAdminConcatenada!$B:$B, 0)), ISNUMBER(SEARCH($A87,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ISNUMBER(SEARCH($A87, INDEX(AsistenciaJetAdminConcatenada!$D:$D, MATCH(1, (AsistenciaJetAdminConcatenada!$A:$A=BP$2)*(AsistenciaJetAdminConcatenada!$B:$B=BP$1), 0)), 1))),  0.5, 0))</f>
        <v>0</v>
      </c>
      <c r="BQ87" s="47">
        <f t="array" ref="BQ87">IF(AND(ISNUMBER(MATCH(BQ$2, AsistenciaJetAdminConcatenada!$A:$A, 0)), ISNUMBER(MATCH(BQ$1, AsistenciaJetAdminConcatenada!$B:$B, 0)), ISNUMBER(SEARCH($A87,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ISNUMBER(SEARCH($A87, INDEX(AsistenciaJetAdminConcatenada!$D:$D, MATCH(1, (AsistenciaJetAdminConcatenada!$A:$A=BQ$2)*(AsistenciaJetAdminConcatenada!$B:$B=BQ$1), 0)), 1))),  0.5, 0))</f>
        <v>0</v>
      </c>
      <c r="BR87" s="47">
        <f t="array" ref="BR87">IF(AND(ISNUMBER(MATCH(BR$2, AsistenciaJetAdminConcatenada!$A:$A, 0)), ISNUMBER(MATCH(BR$1, AsistenciaJetAdminConcatenada!$B:$B, 0)), ISNUMBER(SEARCH($A87,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ISNUMBER(SEARCH($A87, INDEX(AsistenciaJetAdminConcatenada!$D:$D, MATCH(1, (AsistenciaJetAdminConcatenada!$A:$A=BR$2)*(AsistenciaJetAdminConcatenada!$B:$B=BR$1), 0)), 1))),  0.5, 0))</f>
        <v>1</v>
      </c>
      <c r="BS87" s="47">
        <f t="array" ref="BS87">IF(AND(ISNUMBER(MATCH(BS$2, AsistenciaJetAdminConcatenada!$A:$A, 0)), ISNUMBER(MATCH(BS$1, AsistenciaJetAdminConcatenada!$B:$B, 0)), ISNUMBER(SEARCH($A87,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ISNUMBER(SEARCH($A87, INDEX(AsistenciaJetAdminConcatenada!$D:$D, MATCH(1, (AsistenciaJetAdminConcatenada!$A:$A=BS$2)*(AsistenciaJetAdminConcatenada!$B:$B=BS$1), 0)), 1))),  0.5, 0))</f>
        <v>0</v>
      </c>
      <c r="BT87" s="47">
        <f t="array" ref="BT87">IF(AND(ISNUMBER(MATCH(BT$2, AsistenciaJetAdminConcatenada!$A:$A, 0)), ISNUMBER(MATCH(BT$1, AsistenciaJetAdminConcatenada!$B:$B, 0)), ISNUMBER(SEARCH($A87,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ISNUMBER(SEARCH($A87, INDEX(AsistenciaJetAdminConcatenada!$D:$D, MATCH(1, (AsistenciaJetAdminConcatenada!$A:$A=BT$2)*(AsistenciaJetAdminConcatenada!$B:$B=BT$1), 0)), 1))),  0.5, 0))</f>
        <v>1</v>
      </c>
      <c r="BU87" s="47">
        <f t="array" ref="BU87">IF(AND(ISNUMBER(MATCH(BU$2, AsistenciaJetAdminConcatenada!$A:$A, 0)), ISNUMBER(MATCH(BU$1, AsistenciaJetAdminConcatenada!$B:$B, 0)), ISNUMBER(SEARCH($A87,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ISNUMBER(SEARCH($A87, INDEX(AsistenciaJetAdminConcatenada!$D:$D, MATCH(1, (AsistenciaJetAdminConcatenada!$A:$A=BU$2)*(AsistenciaJetAdminConcatenada!$B:$B=BU$1), 0)), 1))),  0.5, 0))</f>
        <v>1</v>
      </c>
      <c r="BV87" s="47">
        <f t="array" ref="BV87">IF(AND(ISNUMBER(MATCH(BV$2, AsistenciaJetAdminConcatenada!$A:$A, 0)), ISNUMBER(MATCH(BV$1, AsistenciaJetAdminConcatenada!$B:$B, 0)), ISNUMBER(SEARCH($A87,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ISNUMBER(SEARCH($A87, INDEX(AsistenciaJetAdminConcatenada!$D:$D, MATCH(1, (AsistenciaJetAdminConcatenada!$A:$A=BV$2)*(AsistenciaJetAdminConcatenada!$B:$B=BV$1), 0)), 1))),  0.5, 0))</f>
        <v>0</v>
      </c>
      <c r="BW87" s="47">
        <f t="array" ref="BW87">IF(AND(ISNUMBER(MATCH(BW$2, AsistenciaJetAdminConcatenada!$A:$A, 0)), ISNUMBER(MATCH(BW$1, AsistenciaJetAdminConcatenada!$B:$B, 0)), ISNUMBER(SEARCH($A87,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ISNUMBER(SEARCH($A87, INDEX(AsistenciaJetAdminConcatenada!$D:$D, MATCH(1, (AsistenciaJetAdminConcatenada!$A:$A=BW$2)*(AsistenciaJetAdminConcatenada!$B:$B=BW$1), 0)), 1))),  0.5, 0))</f>
        <v>1</v>
      </c>
      <c r="BX87" s="47">
        <f t="array" ref="BX87">IF(AND(ISNUMBER(MATCH(BX$2, AsistenciaJetAdminConcatenada!$A:$A, 0)), ISNUMBER(MATCH(BX$1, AsistenciaJetAdminConcatenada!$B:$B, 0)), ISNUMBER(SEARCH($A87,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ISNUMBER(SEARCH($A87, INDEX(AsistenciaJetAdminConcatenada!$D:$D, MATCH(1, (AsistenciaJetAdminConcatenada!$A:$A=BX$2)*(AsistenciaJetAdminConcatenada!$B:$B=BX$1), 0)), 1))),  0.5, 0))</f>
        <v>0</v>
      </c>
      <c r="BY87" s="47">
        <f t="array" ref="BY87">IF(AND(ISNUMBER(MATCH(BY$2, AsistenciaJetAdminConcatenada!$A:$A, 0)), ISNUMBER(MATCH(BY$1, AsistenciaJetAdminConcatenada!$B:$B, 0)), ISNUMBER(SEARCH($A87,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ISNUMBER(SEARCH($A87, INDEX(AsistenciaJetAdminConcatenada!$D:$D, MATCH(1, (AsistenciaJetAdminConcatenada!$A:$A=BY$2)*(AsistenciaJetAdminConcatenada!$B:$B=BY$1), 0)), 1))),  0.5, 0))</f>
        <v>0</v>
      </c>
      <c r="BZ87" s="47">
        <f t="array" ref="BZ87">IF(AND(ISNUMBER(MATCH(BZ$2, AsistenciaJetAdminConcatenada!$A:$A, 0)), ISNUMBER(MATCH(BZ$1, AsistenciaJetAdminConcatenada!$B:$B, 0)), ISNUMBER(SEARCH($A87,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ISNUMBER(SEARCH($A87, INDEX(AsistenciaJetAdminConcatenada!$D:$D, MATCH(1, (AsistenciaJetAdminConcatenada!$A:$A=BZ$2)*(AsistenciaJetAdminConcatenada!$B:$B=BZ$1), 0)), 1))),  0.5, 0))</f>
        <v>0</v>
      </c>
      <c r="CA87" s="47">
        <f t="array" ref="CA87">IF(AND(ISNUMBER(MATCH(CA$2, AsistenciaJetAdminConcatenada!$A:$A, 0)), ISNUMBER(MATCH(CA$1, AsistenciaJetAdminConcatenada!$B:$B, 0)), ISNUMBER(SEARCH($A87,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ISNUMBER(SEARCH($A87, INDEX(AsistenciaJetAdminConcatenada!$D:$D, MATCH(1, (AsistenciaJetAdminConcatenada!$A:$A=CA$2)*(AsistenciaJetAdminConcatenada!$B:$B=CA$1), 0)), 1))),  0.5, 0))</f>
        <v>1</v>
      </c>
      <c r="CB87" s="47">
        <f t="array" ref="CB87">IF(AND(ISNUMBER(MATCH(CB$2, AsistenciaJetAdminConcatenada!$A:$A, 0)), ISNUMBER(MATCH(CB$1, AsistenciaJetAdminConcatenada!$B:$B, 0)), ISNUMBER(SEARCH($A87,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ISNUMBER(SEARCH($A87, INDEX(AsistenciaJetAdminConcatenada!$D:$D, MATCH(1, (AsistenciaJetAdminConcatenada!$A:$A=CB$2)*(AsistenciaJetAdminConcatenada!$B:$B=CB$1), 0)), 1))),  0.5, 0))</f>
        <v>1</v>
      </c>
      <c r="CC87" s="47">
        <f t="array" ref="CC87">IF(AND(ISNUMBER(MATCH(CC$2, AsistenciaJetAdminConcatenada!$A:$A, 0)), ISNUMBER(MATCH(CC$1, AsistenciaJetAdminConcatenada!$B:$B, 0)), ISNUMBER(SEARCH($A87,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ISNUMBER(SEARCH($A87, INDEX(AsistenciaJetAdminConcatenada!$D:$D, MATCH(1, (AsistenciaJetAdminConcatenada!$A:$A=CC$2)*(AsistenciaJetAdminConcatenada!$B:$B=CC$1), 0)), 1))),  0.5, 0))</f>
        <v>0</v>
      </c>
      <c r="CD87" s="47">
        <f t="array" ref="CD87">IF(AND(ISNUMBER(MATCH(CD$2, AsistenciaJetAdminConcatenada!$A:$A, 0)), ISNUMBER(MATCH(CD$1, AsistenciaJetAdminConcatenada!$B:$B, 0)), ISNUMBER(SEARCH($A87,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ISNUMBER(SEARCH($A87, INDEX(AsistenciaJetAdminConcatenada!$D:$D, MATCH(1, (AsistenciaJetAdminConcatenada!$A:$A=CD$2)*(AsistenciaJetAdminConcatenada!$B:$B=CD$1), 0)), 1))),  0.5, 0))</f>
        <v>0</v>
      </c>
      <c r="CE87" s="47">
        <f t="array" ref="CE87">IF(AND(ISNUMBER(MATCH(CE$2, AsistenciaJetAdminConcatenada!$A:$A, 0)), ISNUMBER(MATCH(CE$1, AsistenciaJetAdminConcatenada!$B:$B, 0)), ISNUMBER(SEARCH($A87,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ISNUMBER(SEARCH($A87, INDEX(AsistenciaJetAdminConcatenada!$D:$D, MATCH(1, (AsistenciaJetAdminConcatenada!$A:$A=CE$2)*(AsistenciaJetAdminConcatenada!$B:$B=CE$1), 0)), 1))),  0.5, 0))</f>
        <v>0.5</v>
      </c>
      <c r="CF87" s="47">
        <f t="array" ref="CF87">IF(AND(ISNUMBER(MATCH(CF$2, AsistenciaJetAdminConcatenada!$A:$A, 0)), ISNUMBER(MATCH(CF$1, AsistenciaJetAdminConcatenada!$B:$B, 0)), ISNUMBER(SEARCH($A87,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ISNUMBER(SEARCH($A87, INDEX(AsistenciaJetAdminConcatenada!$D:$D, MATCH(1, (AsistenciaJetAdminConcatenada!$A:$A=CF$2)*(AsistenciaJetAdminConcatenada!$B:$B=CF$1), 0)), 1))),  0.5, 0))</f>
        <v>1</v>
      </c>
      <c r="CG87" s="47">
        <f t="array" ref="CG87">IF(AND(ISNUMBER(MATCH(CG$2, AsistenciaJetAdminConcatenada!$A:$A, 0)), ISNUMBER(MATCH(CG$1, AsistenciaJetAdminConcatenada!$B:$B, 0)), ISNUMBER(SEARCH($A87,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ISNUMBER(SEARCH($A87, INDEX(AsistenciaJetAdminConcatenada!$D:$D, MATCH(1, (AsistenciaJetAdminConcatenada!$A:$A=CG$2)*(AsistenciaJetAdminConcatenada!$B:$B=CG$1), 0)), 1))),  0.5, 0))</f>
        <v>0</v>
      </c>
      <c r="CH87" s="47">
        <f t="array" ref="CH87">IF(AND(ISNUMBER(MATCH(CH$2, AsistenciaJetAdminConcatenada!$A:$A, 0)), ISNUMBER(MATCH(CH$1, AsistenciaJetAdminConcatenada!$B:$B, 0)), ISNUMBER(SEARCH($A87,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ISNUMBER(SEARCH($A87, INDEX(AsistenciaJetAdminConcatenada!$D:$D, MATCH(1, (AsistenciaJetAdminConcatenada!$A:$A=CH$2)*(AsistenciaJetAdminConcatenada!$B:$B=CH$1), 0)), 1))),  0.5, 0))</f>
        <v>0</v>
      </c>
      <c r="CI87" s="47">
        <f t="array" ref="CI87">IF(AND(ISNUMBER(MATCH(CI$2, AsistenciaJetAdminConcatenada!$A:$A, 0)), ISNUMBER(MATCH(CI$1, AsistenciaJetAdminConcatenada!$B:$B, 0)), ISNUMBER(SEARCH($A87,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ISNUMBER(SEARCH($A87, INDEX(AsistenciaJetAdminConcatenada!$D:$D, MATCH(1, (AsistenciaJetAdminConcatenada!$A:$A=CI$2)*(AsistenciaJetAdminConcatenada!$B:$B=CI$1), 0)), 1))),  0.5, 0))</f>
        <v>1</v>
      </c>
      <c r="CJ87" s="47">
        <f t="array" ref="CJ87">IF(AND(ISNUMBER(MATCH(CJ$2, AsistenciaJetAdminConcatenada!$A:$A, 0)), ISNUMBER(MATCH(CJ$1, AsistenciaJetAdminConcatenada!$B:$B, 0)), ISNUMBER(SEARCH($A87,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ISNUMBER(SEARCH($A87, INDEX(AsistenciaJetAdminConcatenada!$D:$D, MATCH(1, (AsistenciaJetAdminConcatenada!$A:$A=CJ$2)*(AsistenciaJetAdminConcatenada!$B:$B=CJ$1), 0)), 1))),  0.5, 0))</f>
        <v>0.5</v>
      </c>
      <c r="CK87" s="47">
        <f t="array" ref="CK87">IF(AND(ISNUMBER(MATCH(CK$2, AsistenciaJetAdminConcatenada!$A:$A, 0)), ISNUMBER(MATCH(CK$1, AsistenciaJetAdminConcatenada!$B:$B, 0)), ISNUMBER(SEARCH($A87,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ISNUMBER(SEARCH($A87, INDEX(AsistenciaJetAdminConcatenada!$D:$D, MATCH(1, (AsistenciaJetAdminConcatenada!$A:$A=CK$2)*(AsistenciaJetAdminConcatenada!$B:$B=CK$1), 0)), 1))),  0.5, 0))</f>
        <v>1</v>
      </c>
      <c r="CL87" s="47">
        <f t="array" ref="CL87">IF(AND(ISNUMBER(MATCH(CL$2, AsistenciaJetAdminConcatenada!$A:$A, 0)), ISNUMBER(MATCH(CL$1, AsistenciaJetAdminConcatenada!$B:$B, 0)), ISNUMBER(SEARCH($A87,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ISNUMBER(SEARCH($A87, INDEX(AsistenciaJetAdminConcatenada!$D:$D, MATCH(1, (AsistenciaJetAdminConcatenada!$A:$A=CL$2)*(AsistenciaJetAdminConcatenada!$B:$B=CL$1), 0)), 1))),  0.5, 0))</f>
        <v>1</v>
      </c>
      <c r="CM87" s="47">
        <f t="array" ref="CM87">IF(AND(ISNUMBER(MATCH(CM$2, AsistenciaJetAdminConcatenada!$A:$A, 0)), ISNUMBER(MATCH(CM$1, AsistenciaJetAdminConcatenada!$B:$B, 0)), ISNUMBER(SEARCH($A87,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ISNUMBER(SEARCH($A87, INDEX(AsistenciaJetAdminConcatenada!$D:$D, MATCH(1, (AsistenciaJetAdminConcatenada!$A:$A=CM$2)*(AsistenciaJetAdminConcatenada!$B:$B=CM$1), 0)), 1))),  0.5, 0))</f>
        <v>1</v>
      </c>
      <c r="CN87" s="47">
        <f t="array" ref="CN87">IF(AND(ISNUMBER(MATCH(CN$2, AsistenciaJetAdminConcatenada!$A:$A, 0)), ISNUMBER(MATCH(CN$1, AsistenciaJetAdminConcatenada!$B:$B, 0)), ISNUMBER(SEARCH($A87,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ISNUMBER(SEARCH($A87, INDEX(AsistenciaJetAdminConcatenada!$D:$D, MATCH(1, (AsistenciaJetAdminConcatenada!$A:$A=CN$2)*(AsistenciaJetAdminConcatenada!$B:$B=CN$1), 0)), 1))),  0.5, 0))</f>
        <v>0</v>
      </c>
      <c r="CO87" s="47">
        <f t="array" ref="CO87">IF(AND(ISNUMBER(MATCH(CO$2, AsistenciaJetAdminConcatenada!$A:$A, 0)), ISNUMBER(MATCH(CO$1, AsistenciaJetAdminConcatenada!$B:$B, 0)), ISNUMBER(SEARCH($A87,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ISNUMBER(SEARCH($A87, INDEX(AsistenciaJetAdminConcatenada!$D:$D, MATCH(1, (AsistenciaJetAdminConcatenada!$A:$A=CO$2)*(AsistenciaJetAdminConcatenada!$B:$B=CO$1), 0)), 1))),  0.5, 0))</f>
        <v>1</v>
      </c>
      <c r="CP87" s="47">
        <f t="array" ref="CP87">IF(AND(ISNUMBER(MATCH(CP$2, AsistenciaJetAdminConcatenada!$A:$A, 0)), ISNUMBER(MATCH(CP$1, AsistenciaJetAdminConcatenada!$B:$B, 0)), ISNUMBER(SEARCH($A87,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ISNUMBER(SEARCH($A87, INDEX(AsistenciaJetAdminConcatenada!$D:$D, MATCH(1, (AsistenciaJetAdminConcatenada!$A:$A=CP$2)*(AsistenciaJetAdminConcatenada!$B:$B=CP$1), 0)), 1))),  0.5, 0))</f>
        <v>1</v>
      </c>
      <c r="CQ87" s="47">
        <f t="array" ref="CQ87">IF(AND(ISNUMBER(MATCH(CQ$2, AsistenciaJetAdminConcatenada!$A:$A, 0)), ISNUMBER(MATCH(CQ$1, AsistenciaJetAdminConcatenada!$B:$B, 0)), ISNUMBER(SEARCH($A87,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ISNUMBER(SEARCH($A87, INDEX(AsistenciaJetAdminConcatenada!$D:$D, MATCH(1, (AsistenciaJetAdminConcatenada!$A:$A=CQ$2)*(AsistenciaJetAdminConcatenada!$B:$B=CQ$1), 0)), 1))),  0.5, 0))</f>
        <v>0</v>
      </c>
      <c r="CR87" s="47">
        <f t="array" ref="CR87">IF(AND(ISNUMBER(MATCH(CR$2, AsistenciaJetAdminConcatenada!$A:$A, 0)), ISNUMBER(MATCH(CR$1, AsistenciaJetAdminConcatenada!$B:$B, 0)), ISNUMBER(SEARCH($A87,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ISNUMBER(SEARCH($A87, INDEX(AsistenciaJetAdminConcatenada!$D:$D, MATCH(1, (AsistenciaJetAdminConcatenada!$A:$A=CR$2)*(AsistenciaJetAdminConcatenada!$B:$B=CR$1), 0)), 1))),  0.5, 0))</f>
        <v>1</v>
      </c>
      <c r="CS87" s="47">
        <f t="array" ref="CS87">IF(AND(ISNUMBER(MATCH(CS$2, AsistenciaJetAdminConcatenada!$A:$A, 0)), ISNUMBER(MATCH(CS$1, AsistenciaJetAdminConcatenada!$B:$B, 0)), ISNUMBER(SEARCH($A87,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ISNUMBER(SEARCH($A87, INDEX(AsistenciaJetAdminConcatenada!$D:$D, MATCH(1, (AsistenciaJetAdminConcatenada!$A:$A=CS$2)*(AsistenciaJetAdminConcatenada!$B:$B=CS$1), 0)), 1))),  0.5, 0))</f>
        <v>0</v>
      </c>
      <c r="CT87" s="47">
        <f t="array" ref="CT87">IF(AND(ISNUMBER(MATCH(CT$2, AsistenciaJetAdminConcatenada!$A:$A, 0)), ISNUMBER(MATCH(CT$1, AsistenciaJetAdminConcatenada!$B:$B, 0)), ISNUMBER(SEARCH($A87,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ISNUMBER(SEARCH($A87, INDEX(AsistenciaJetAdminConcatenada!$D:$D, MATCH(1, (AsistenciaJetAdminConcatenada!$A:$A=CT$2)*(AsistenciaJetAdminConcatenada!$B:$B=CT$1), 0)), 1))),  0.5, 0))</f>
        <v>0</v>
      </c>
      <c r="CU87" s="47">
        <f t="array" ref="CU87">IF(AND(ISNUMBER(MATCH(CU$2, AsistenciaJetAdminConcatenada!$A:$A, 0)), ISNUMBER(MATCH(CU$1, AsistenciaJetAdminConcatenada!$B:$B, 0)), ISNUMBER(SEARCH($A87,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ISNUMBER(SEARCH($A87, INDEX(AsistenciaJetAdminConcatenada!$D:$D, MATCH(1, (AsistenciaJetAdminConcatenada!$A:$A=CU$2)*(AsistenciaJetAdminConcatenada!$B:$B=CU$1), 0)), 1))),  0.5, 0))</f>
        <v>0</v>
      </c>
      <c r="CV87" s="47">
        <f t="array" ref="CV87">IF(AND(ISNUMBER(MATCH(CV$2, AsistenciaJetAdminConcatenada!$A:$A, 0)), ISNUMBER(MATCH(CV$1, AsistenciaJetAdminConcatenada!$B:$B, 0)), ISNUMBER(SEARCH($A87,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ISNUMBER(SEARCH($A87, INDEX(AsistenciaJetAdminConcatenada!$D:$D, MATCH(1, (AsistenciaJetAdminConcatenada!$A:$A=CV$2)*(AsistenciaJetAdminConcatenada!$B:$B=CV$1), 0)), 1))),  0.5, 0))</f>
        <v>0</v>
      </c>
      <c r="CW87" s="47">
        <f t="array" ref="CW87">IF(AND(ISNUMBER(MATCH(CW$2, AsistenciaJetAdminConcatenada!$A:$A, 0)), ISNUMBER(MATCH(CW$1, AsistenciaJetAdminConcatenada!$B:$B, 0)), ISNUMBER(SEARCH($A87,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ISNUMBER(SEARCH($A87, INDEX(AsistenciaJetAdminConcatenada!$D:$D, MATCH(1, (AsistenciaJetAdminConcatenada!$A:$A=CW$2)*(AsistenciaJetAdminConcatenada!$B:$B=CW$1), 0)), 1))),  0.5, 0))</f>
        <v>0</v>
      </c>
      <c r="CX87" s="47">
        <f t="array" ref="CX87">IF(AND(ISNUMBER(MATCH(CX$2, AsistenciaJetAdminConcatenada!$A:$A, 0)), ISNUMBER(MATCH(CX$1, AsistenciaJetAdminConcatenada!$B:$B, 0)), ISNUMBER(SEARCH($A87,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ISNUMBER(SEARCH($A87, INDEX(AsistenciaJetAdminConcatenada!$D:$D, MATCH(1, (AsistenciaJetAdminConcatenada!$A:$A=CX$2)*(AsistenciaJetAdminConcatenada!$B:$B=CX$1), 0)), 1))),  0.5, 0))</f>
        <v>0</v>
      </c>
      <c r="CY87" s="47">
        <f t="array" ref="CY87">IF(AND(ISNUMBER(MATCH(CY$2, AsistenciaJetAdminConcatenada!$A:$A, 0)), ISNUMBER(MATCH(CY$1, AsistenciaJetAdminConcatenada!$B:$B, 0)), ISNUMBER(SEARCH($A87,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ISNUMBER(SEARCH($A87, INDEX(AsistenciaJetAdminConcatenada!$D:$D, MATCH(1, (AsistenciaJetAdminConcatenada!$A:$A=CY$2)*(AsistenciaJetAdminConcatenada!$B:$B=CY$1), 0)), 1))),  0.5, 0))</f>
        <v>0</v>
      </c>
      <c r="CZ87" s="47">
        <f t="array" ref="CZ87">IF(AND(ISNUMBER(MATCH(CZ$2, AsistenciaJetAdminConcatenada!$A:$A, 0)), ISNUMBER(MATCH(CZ$1, AsistenciaJetAdminConcatenada!$B:$B, 0)), ISNUMBER(SEARCH($A87,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ISNUMBER(SEARCH($A87, INDEX(AsistenciaJetAdminConcatenada!$D:$D, MATCH(1, (AsistenciaJetAdminConcatenada!$A:$A=CZ$2)*(AsistenciaJetAdminConcatenada!$B:$B=CZ$1), 0)), 1))),  0.5, 0))</f>
        <v>0</v>
      </c>
      <c r="DA87" s="47">
        <f t="array" ref="DA87">IF(AND(ISNUMBER(MATCH(DA$2, AsistenciaJetAdminConcatenada!$A:$A, 0)), ISNUMBER(MATCH(DA$1, AsistenciaJetAdminConcatenada!$B:$B, 0)), ISNUMBER(SEARCH($A87,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ISNUMBER(SEARCH($A87, INDEX(AsistenciaJetAdminConcatenada!$D:$D, MATCH(1, (AsistenciaJetAdminConcatenada!$A:$A=DA$2)*(AsistenciaJetAdminConcatenada!$B:$B=DA$1), 0)), 1))),  0.5, 0))</f>
        <v>0</v>
      </c>
      <c r="DB87" s="47">
        <f t="array" ref="DB87">IF(AND(ISNUMBER(MATCH(DB$2, AsistenciaJetAdminConcatenada!$A:$A, 0)), ISNUMBER(MATCH(DB$1, AsistenciaJetAdminConcatenada!$B:$B, 0)), ISNUMBER(SEARCH($A87,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ISNUMBER(SEARCH($A87, INDEX(AsistenciaJetAdminConcatenada!$D:$D, MATCH(1, (AsistenciaJetAdminConcatenada!$A:$A=DB$2)*(AsistenciaJetAdminConcatenada!$B:$B=DB$1), 0)), 1))),  0.5, 0))</f>
        <v>0</v>
      </c>
      <c r="DC87" s="47">
        <f t="array" ref="DC87">IF(AND(ISNUMBER(MATCH(DC$2, AsistenciaJetAdminConcatenada!$A:$A, 0)), ISNUMBER(MATCH(DC$1, AsistenciaJetAdminConcatenada!$B:$B, 0)), ISNUMBER(SEARCH($A87,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ISNUMBER(SEARCH($A87, INDEX(AsistenciaJetAdminConcatenada!$D:$D, MATCH(1, (AsistenciaJetAdminConcatenada!$A:$A=DC$2)*(AsistenciaJetAdminConcatenada!$B:$B=DC$1), 0)), 1))),  0.5, 0))</f>
        <v>0</v>
      </c>
      <c r="DD87" s="47">
        <f t="array" ref="DD87">IF(AND(ISNUMBER(MATCH(DD$2, AsistenciaJetAdminConcatenada!$A:$A, 0)), ISNUMBER(MATCH(DD$1, AsistenciaJetAdminConcatenada!$B:$B, 0)), ISNUMBER(SEARCH($A87,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ISNUMBER(SEARCH($A87, INDEX(AsistenciaJetAdminConcatenada!$D:$D, MATCH(1, (AsistenciaJetAdminConcatenada!$A:$A=DD$2)*(AsistenciaJetAdminConcatenada!$B:$B=DD$1), 0)), 1))),  0.5, 0))</f>
        <v>0</v>
      </c>
      <c r="DE87" s="47">
        <f t="array" ref="DE87">IF(AND(ISNUMBER(MATCH(DE$2, AsistenciaJetAdminConcatenada!$A:$A, 0)), ISNUMBER(MATCH(DE$1, AsistenciaJetAdminConcatenada!$B:$B, 0)), ISNUMBER(SEARCH($A87,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ISNUMBER(SEARCH($A87, INDEX(AsistenciaJetAdminConcatenada!$D:$D, MATCH(1, (AsistenciaJetAdminConcatenada!$A:$A=DE$2)*(AsistenciaJetAdminConcatenada!$B:$B=DE$1), 0)), 1))),  0.5, 0))</f>
        <v>0</v>
      </c>
      <c r="DF87" s="47">
        <f t="array" ref="DF87">IF(AND(ISNUMBER(MATCH(DF$2, AsistenciaJetAdminConcatenada!$A:$A, 0)), ISNUMBER(MATCH(DF$1, AsistenciaJetAdminConcatenada!$B:$B, 0)), ISNUMBER(SEARCH($A87,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ISNUMBER(SEARCH($A87, INDEX(AsistenciaJetAdminConcatenada!$D:$D, MATCH(1, (AsistenciaJetAdminConcatenada!$A:$A=DF$2)*(AsistenciaJetAdminConcatenada!$B:$B=DF$1), 0)), 1))),  0.5, 0))</f>
        <v>0</v>
      </c>
      <c r="DG87" s="47">
        <f t="array" ref="DG87">IF(AND(ISNUMBER(MATCH(DG$2, AsistenciaJetAdminConcatenada!$A:$A, 0)), ISNUMBER(MATCH(DG$1, AsistenciaJetAdminConcatenada!$B:$B, 0)), ISNUMBER(SEARCH($A87,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ISNUMBER(SEARCH($A87, INDEX(AsistenciaJetAdminConcatenada!$D:$D, MATCH(1, (AsistenciaJetAdminConcatenada!$A:$A=DG$2)*(AsistenciaJetAdminConcatenada!$B:$B=DG$1), 0)), 1))),  0.5, 0))</f>
        <v>0</v>
      </c>
      <c r="DH87" s="47">
        <f t="array" ref="DH87">IF(AND(ISNUMBER(MATCH(DH$2, AsistenciaJetAdminConcatenada!$A:$A, 0)), ISNUMBER(MATCH(DH$1, AsistenciaJetAdminConcatenada!$B:$B, 0)), ISNUMBER(SEARCH($A87,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ISNUMBER(SEARCH($A87, INDEX(AsistenciaJetAdminConcatenada!$D:$D, MATCH(1, (AsistenciaJetAdminConcatenada!$A:$A=DH$2)*(AsistenciaJetAdminConcatenada!$B:$B=DH$1), 0)), 1))),  0.5, 0))</f>
        <v>0</v>
      </c>
      <c r="DI87" s="47">
        <f t="array" ref="DI87">IF(AND(ISNUMBER(MATCH(DI$2, AsistenciaJetAdminConcatenada!$A:$A, 0)), ISNUMBER(MATCH(DI$1, AsistenciaJetAdminConcatenada!$B:$B, 0)), ISNUMBER(SEARCH($A87,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ISNUMBER(SEARCH($A87, INDEX(AsistenciaJetAdminConcatenada!$D:$D, MATCH(1, (AsistenciaJetAdminConcatenada!$A:$A=DI$2)*(AsistenciaJetAdminConcatenada!$B:$B=DI$1), 0)), 1))),  0.5, 0))</f>
        <v>0</v>
      </c>
      <c r="DJ87" s="47">
        <f t="array" ref="DJ87">IF(AND(ISNUMBER(MATCH(DJ$2, AsistenciaJetAdminConcatenada!$A:$A, 0)), ISNUMBER(MATCH(DJ$1, AsistenciaJetAdminConcatenada!$B:$B, 0)), ISNUMBER(SEARCH($A87,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ISNUMBER(SEARCH($A87, INDEX(AsistenciaJetAdminConcatenada!$D:$D, MATCH(1, (AsistenciaJetAdminConcatenada!$A:$A=DJ$2)*(AsistenciaJetAdminConcatenada!$B:$B=DJ$1), 0)), 1))),  0.5, 0))</f>
        <v>0</v>
      </c>
      <c r="DK87" s="47">
        <f t="array" ref="DK87">IF(AND(ISNUMBER(MATCH(DK$2, AsistenciaJetAdminConcatenada!$A:$A, 0)), ISNUMBER(MATCH(DK$1, AsistenciaJetAdminConcatenada!$B:$B, 0)), ISNUMBER(SEARCH($A87,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ISNUMBER(SEARCH($A87, INDEX(AsistenciaJetAdminConcatenada!$D:$D, MATCH(1, (AsistenciaJetAdminConcatenada!$A:$A=DK$2)*(AsistenciaJetAdminConcatenada!$B:$B=DK$1), 0)), 1))),  0.5, 0))</f>
        <v>0</v>
      </c>
      <c r="DL87" s="47">
        <f t="array" ref="DL87">IF(AND(ISNUMBER(MATCH(DL$2, AsistenciaJetAdminConcatenada!$A:$A, 0)), ISNUMBER(MATCH(DL$1, AsistenciaJetAdminConcatenada!$B:$B, 0)), ISNUMBER(SEARCH($A87,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ISNUMBER(SEARCH($A87, INDEX(AsistenciaJetAdminConcatenada!$D:$D, MATCH(1, (AsistenciaJetAdminConcatenada!$A:$A=DL$2)*(AsistenciaJetAdminConcatenada!$B:$B=DL$1), 0)), 1))),  0.5, 0))</f>
        <v>0</v>
      </c>
      <c r="DM87" s="47">
        <f t="array" ref="DM87">IF(AND(ISNUMBER(MATCH(DM$2, AsistenciaJetAdminConcatenada!$A:$A, 0)), ISNUMBER(MATCH(DM$1, AsistenciaJetAdminConcatenada!$B:$B, 0)), ISNUMBER(SEARCH($A87,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ISNUMBER(SEARCH($A87, INDEX(AsistenciaJetAdminConcatenada!$D:$D, MATCH(1, (AsistenciaJetAdminConcatenada!$A:$A=DM$2)*(AsistenciaJetAdminConcatenada!$B:$B=DM$1), 0)), 1))),  0.5, 0))</f>
        <v>0</v>
      </c>
      <c r="DN87" s="47">
        <f t="array" ref="DN87">IF(AND(ISNUMBER(MATCH(DN$2, AsistenciaJetAdminConcatenada!$A:$A, 0)), ISNUMBER(MATCH(DN$1, AsistenciaJetAdminConcatenada!$B:$B, 0)), ISNUMBER(SEARCH($A87,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ISNUMBER(SEARCH($A87, INDEX(AsistenciaJetAdminConcatenada!$D:$D, MATCH(1, (AsistenciaJetAdminConcatenada!$A:$A=DN$2)*(AsistenciaJetAdminConcatenada!$B:$B=DN$1), 0)), 1))),  0.5, 0))</f>
        <v>0</v>
      </c>
      <c r="DO87" s="47">
        <f t="array" ref="DO87">IF(AND(ISNUMBER(MATCH(DO$2, AsistenciaJetAdminConcatenada!$A:$A, 0)), ISNUMBER(MATCH(DO$1, AsistenciaJetAdminConcatenada!$B:$B, 0)), ISNUMBER(SEARCH($A87,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ISNUMBER(SEARCH($A87, INDEX(AsistenciaJetAdminConcatenada!$D:$D, MATCH(1, (AsistenciaJetAdminConcatenada!$A:$A=DO$2)*(AsistenciaJetAdminConcatenada!$B:$B=DO$1), 0)), 1))),  0.5, 0))</f>
        <v>0</v>
      </c>
      <c r="DP87" s="47">
        <f t="array" ref="DP87">IF(AND(ISNUMBER(MATCH(DP$2, AsistenciaJetAdminConcatenada!$A:$A, 0)), ISNUMBER(MATCH(DP$1, AsistenciaJetAdminConcatenada!$B:$B, 0)), ISNUMBER(SEARCH($A87,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ISNUMBER(SEARCH($A87, INDEX(AsistenciaJetAdminConcatenada!$D:$D, MATCH(1, (AsistenciaJetAdminConcatenada!$A:$A=DP$2)*(AsistenciaJetAdminConcatenada!$B:$B=DP$1), 0)), 1))),  0.5, 0))</f>
        <v>0</v>
      </c>
      <c r="DQ87" s="47">
        <f t="array" ref="DQ87">IF(AND(ISNUMBER(MATCH(DQ$2, AsistenciaJetAdminConcatenada!$A:$A, 0)), ISNUMBER(MATCH(DQ$1, AsistenciaJetAdminConcatenada!$B:$B, 0)), ISNUMBER(SEARCH($A87,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ISNUMBER(SEARCH($A87, INDEX(AsistenciaJetAdminConcatenada!$D:$D, MATCH(1, (AsistenciaJetAdminConcatenada!$A:$A=DQ$2)*(AsistenciaJetAdminConcatenada!$B:$B=DQ$1), 0)), 1))),  0.5, 0))</f>
        <v>0</v>
      </c>
      <c r="DR87" s="47">
        <f t="array" ref="DR87">IF(AND(ISNUMBER(MATCH(DR$2, AsistenciaJetAdminConcatenada!$A:$A, 0)), ISNUMBER(MATCH(DR$1, AsistenciaJetAdminConcatenada!$B:$B, 0)), ISNUMBER(SEARCH($A87,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ISNUMBER(SEARCH($A87, INDEX(AsistenciaJetAdminConcatenada!$D:$D, MATCH(1, (AsistenciaJetAdminConcatenada!$A:$A=DR$2)*(AsistenciaJetAdminConcatenada!$B:$B=DR$1), 0)), 1))),  0.5, 0))</f>
        <v>0</v>
      </c>
      <c r="DS87" s="47">
        <f t="array" ref="DS87">IF(AND(ISNUMBER(MATCH(DS$2, AsistenciaJetAdminConcatenada!$A:$A, 0)), ISNUMBER(MATCH(DS$1, AsistenciaJetAdminConcatenada!$B:$B, 0)), ISNUMBER(SEARCH($A87,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ISNUMBER(SEARCH($A87, INDEX(AsistenciaJetAdminConcatenada!$D:$D, MATCH(1, (AsistenciaJetAdminConcatenada!$A:$A=DS$2)*(AsistenciaJetAdminConcatenada!$B:$B=DS$1), 0)), 1))),  0.5, 0))</f>
        <v>0</v>
      </c>
      <c r="DT87" s="47">
        <f t="array" ref="DT87">IF(AND(ISNUMBER(MATCH(DT$2, AsistenciaJetAdminConcatenada!$A:$A, 0)), ISNUMBER(MATCH(DT$1, AsistenciaJetAdminConcatenada!$B:$B, 0)), ISNUMBER(SEARCH($A87,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ISNUMBER(SEARCH($A87, INDEX(AsistenciaJetAdminConcatenada!$D:$D, MATCH(1, (AsistenciaJetAdminConcatenada!$A:$A=DT$2)*(AsistenciaJetAdminConcatenada!$B:$B=DT$1), 0)), 1))),  0.5, 0))</f>
        <v>0</v>
      </c>
      <c r="DU87" s="47">
        <f t="array" ref="DU87">IF(AND(ISNUMBER(MATCH(DU$2, AsistenciaJetAdminConcatenada!$A:$A, 0)), ISNUMBER(MATCH(DU$1, AsistenciaJetAdminConcatenada!$B:$B, 0)), ISNUMBER(SEARCH($A87,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ISNUMBER(SEARCH($A87, INDEX(AsistenciaJetAdminConcatenada!$D:$D, MATCH(1, (AsistenciaJetAdminConcatenada!$A:$A=DU$2)*(AsistenciaJetAdminConcatenada!$B:$B=DU$1), 0)), 1))),  0.5, 0))</f>
        <v>0</v>
      </c>
      <c r="DV87" s="47">
        <f t="array" ref="DV87">IF(AND(ISNUMBER(MATCH(DV$2, AsistenciaJetAdminConcatenada!$A:$A, 0)), ISNUMBER(MATCH(DV$1, AsistenciaJetAdminConcatenada!$B:$B, 0)), ISNUMBER(SEARCH($A87,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ISNUMBER(SEARCH($A87, INDEX(AsistenciaJetAdminConcatenada!$D:$D, MATCH(1, (AsistenciaJetAdminConcatenada!$A:$A=DV$2)*(AsistenciaJetAdminConcatenada!$B:$B=DV$1), 0)), 1))),  0.5, 0))</f>
        <v>0</v>
      </c>
      <c r="DW87" s="47">
        <f t="array" ref="DW87">IF(AND(ISNUMBER(MATCH(DW$2, AsistenciaJetAdminConcatenada!$A:$A, 0)), ISNUMBER(MATCH(DW$1, AsistenciaJetAdminConcatenada!$B:$B, 0)), ISNUMBER(SEARCH($A87,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ISNUMBER(SEARCH($A87, INDEX(AsistenciaJetAdminConcatenada!$D:$D, MATCH(1, (AsistenciaJetAdminConcatenada!$A:$A=DW$2)*(AsistenciaJetAdminConcatenada!$B:$B=DW$1), 0)), 1))),  0.5, 0))</f>
        <v>0</v>
      </c>
      <c r="DX87" s="47">
        <f t="array" ref="DX87">IF(AND(ISNUMBER(MATCH(DX$2, AsistenciaJetAdminConcatenada!$A:$A, 0)), ISNUMBER(MATCH(DX$1, AsistenciaJetAdminConcatenada!$B:$B, 0)), ISNUMBER(SEARCH($A87,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ISNUMBER(SEARCH($A87, INDEX(AsistenciaJetAdminConcatenada!$D:$D, MATCH(1, (AsistenciaJetAdminConcatenada!$A:$A=DX$2)*(AsistenciaJetAdminConcatenada!$B:$B=DX$1), 0)), 1))),  0.5, 0))</f>
        <v>0</v>
      </c>
      <c r="DY87" s="47">
        <f t="array" ref="DY87">IF(AND(ISNUMBER(MATCH(DY$2, AsistenciaJetAdminConcatenada!$A:$A, 0)), ISNUMBER(MATCH(DY$1, AsistenciaJetAdminConcatenada!$B:$B, 0)), ISNUMBER(SEARCH($A87,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ISNUMBER(SEARCH($A87, INDEX(AsistenciaJetAdminConcatenada!$D:$D, MATCH(1, (AsistenciaJetAdminConcatenada!$A:$A=DY$2)*(AsistenciaJetAdminConcatenada!$B:$B=DY$1), 0)), 1))),  0.5, 0))</f>
        <v>0</v>
      </c>
      <c r="DZ87" s="47">
        <f t="array" ref="DZ87">IF(AND(ISNUMBER(MATCH(DZ$2, AsistenciaJetAdminConcatenada!$A:$A, 0)), ISNUMBER(MATCH(DZ$1, AsistenciaJetAdminConcatenada!$B:$B, 0)), ISNUMBER(SEARCH($A87,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ISNUMBER(SEARCH($A87, INDEX(AsistenciaJetAdminConcatenada!$D:$D, MATCH(1, (AsistenciaJetAdminConcatenada!$A:$A=DZ$2)*(AsistenciaJetAdminConcatenada!$B:$B=DZ$1), 0)), 1))),  0.5, 0))</f>
        <v>0</v>
      </c>
      <c r="EA87" s="47">
        <f t="array" ref="EA87">IF(AND(ISNUMBER(MATCH(EA$2, AsistenciaJetAdminConcatenada!$A:$A, 0)), ISNUMBER(MATCH(EA$1, AsistenciaJetAdminConcatenada!$B:$B, 0)), ISNUMBER(SEARCH($A87,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ISNUMBER(SEARCH($A87, INDEX(AsistenciaJetAdminConcatenada!$D:$D, MATCH(1, (AsistenciaJetAdminConcatenada!$A:$A=EA$2)*(AsistenciaJetAdminConcatenada!$B:$B=EA$1), 0)), 1))),  0.5, 0))</f>
        <v>0</v>
      </c>
      <c r="EB87" s="47">
        <f t="array" ref="EB87">IF(AND(ISNUMBER(MATCH(EB$2, AsistenciaJetAdminConcatenada!$A:$A, 0)), ISNUMBER(MATCH(EB$1, AsistenciaJetAdminConcatenada!$B:$B, 0)), ISNUMBER(SEARCH($A87,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ISNUMBER(SEARCH($A87, INDEX(AsistenciaJetAdminConcatenada!$D:$D, MATCH(1, (AsistenciaJetAdminConcatenada!$A:$A=EB$2)*(AsistenciaJetAdminConcatenada!$B:$B=EB$1), 0)), 1))),  0.5, 0))</f>
        <v>0</v>
      </c>
      <c r="EC87" s="47">
        <f t="array" ref="EC87">IF(AND(ISNUMBER(MATCH(EC$2, AsistenciaJetAdminConcatenada!$A:$A, 0)), ISNUMBER(MATCH(EC$1, AsistenciaJetAdminConcatenada!$B:$B, 0)), ISNUMBER(SEARCH($A87,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ISNUMBER(SEARCH($A87, INDEX(AsistenciaJetAdminConcatenada!$D:$D, MATCH(1, (AsistenciaJetAdminConcatenada!$A:$A=EC$2)*(AsistenciaJetAdminConcatenada!$B:$B=EC$1), 0)), 1))),  0.5, 0))</f>
        <v>0</v>
      </c>
      <c r="ED87" s="47">
        <f t="array" ref="ED87">IF(AND(ISNUMBER(MATCH(ED$2, AsistenciaJetAdminConcatenada!$A:$A, 0)), ISNUMBER(MATCH(ED$1, AsistenciaJetAdminConcatenada!$B:$B, 0)), ISNUMBER(SEARCH($A87,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ISNUMBER(SEARCH($A87, INDEX(AsistenciaJetAdminConcatenada!$D:$D, MATCH(1, (AsistenciaJetAdminConcatenada!$A:$A=ED$2)*(AsistenciaJetAdminConcatenada!$B:$B=ED$1), 0)), 1))),  0.5, 0))</f>
        <v>0</v>
      </c>
      <c r="EE87" s="47">
        <f t="array" ref="EE87">IF(AND(ISNUMBER(MATCH(EE$2, AsistenciaJetAdminConcatenada!$A:$A, 0)), ISNUMBER(MATCH(EE$1, AsistenciaJetAdminConcatenada!$B:$B, 0)), ISNUMBER(SEARCH($A87,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ISNUMBER(SEARCH($A87, INDEX(AsistenciaJetAdminConcatenada!$D:$D, MATCH(1, (AsistenciaJetAdminConcatenada!$A:$A=EE$2)*(AsistenciaJetAdminConcatenada!$B:$B=EE$1), 0)), 1))),  0.5, 0))</f>
        <v>0</v>
      </c>
      <c r="EF87" s="47">
        <f t="array" ref="EF87">IF(AND(ISNUMBER(MATCH(EF$2, AsistenciaJetAdminConcatenada!$A:$A, 0)), ISNUMBER(MATCH(EF$1, AsistenciaJetAdminConcatenada!$B:$B, 0)), ISNUMBER(SEARCH($A87,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ISNUMBER(SEARCH($A87, INDEX(AsistenciaJetAdminConcatenada!$D:$D, MATCH(1, (AsistenciaJetAdminConcatenada!$A:$A=EF$2)*(AsistenciaJetAdminConcatenada!$B:$B=EF$1), 0)), 1))),  0.5, 0))</f>
        <v>0</v>
      </c>
      <c r="EG87" s="47">
        <f t="array" ref="EG87">IF(AND(ISNUMBER(MATCH(EG$2, AsistenciaJetAdminConcatenada!$A:$A, 0)), ISNUMBER(MATCH(EG$1, AsistenciaJetAdminConcatenada!$B:$B, 0)), ISNUMBER(SEARCH($A87,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ISNUMBER(SEARCH($A87, INDEX(AsistenciaJetAdminConcatenada!$D:$D, MATCH(1, (AsistenciaJetAdminConcatenada!$A:$A=EG$2)*(AsistenciaJetAdminConcatenada!$B:$B=EG$1), 0)), 1))),  0.5, 0))</f>
        <v>0</v>
      </c>
      <c r="EH87" s="47">
        <f t="array" ref="EH87">IF(AND(ISNUMBER(MATCH(EH$2, AsistenciaJetAdminConcatenada!$A:$A, 0)), ISNUMBER(MATCH(EH$1, AsistenciaJetAdminConcatenada!$B:$B, 0)), ISNUMBER(SEARCH($A87,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ISNUMBER(SEARCH($A87, INDEX(AsistenciaJetAdminConcatenada!$D:$D, MATCH(1, (AsistenciaJetAdminConcatenada!$A:$A=EH$2)*(AsistenciaJetAdminConcatenada!$B:$B=EH$1), 0)), 1))),  0.5, 0))</f>
        <v>0</v>
      </c>
      <c r="EI87" s="47">
        <f t="array" ref="EI87">IF(AND(ISNUMBER(MATCH(EI$2, AsistenciaJetAdminConcatenada!$A:$A, 0)), ISNUMBER(MATCH(EI$1, AsistenciaJetAdminConcatenada!$B:$B, 0)), ISNUMBER(SEARCH($A87,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ISNUMBER(SEARCH($A87, INDEX(AsistenciaJetAdminConcatenada!$D:$D, MATCH(1, (AsistenciaJetAdminConcatenada!$A:$A=EI$2)*(AsistenciaJetAdminConcatenada!$B:$B=EI$1), 0)), 1))),  0.5, 0))</f>
        <v>0</v>
      </c>
      <c r="EJ87" s="47">
        <f t="array" ref="EJ87">IF(AND(ISNUMBER(MATCH(EJ$2, AsistenciaJetAdminConcatenada!$A:$A, 0)), ISNUMBER(MATCH(EJ$1, AsistenciaJetAdminConcatenada!$B:$B, 0)), ISNUMBER(SEARCH($A87,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ISNUMBER(SEARCH($A87, INDEX(AsistenciaJetAdminConcatenada!$D:$D, MATCH(1, (AsistenciaJetAdminConcatenada!$A:$A=EJ$2)*(AsistenciaJetAdminConcatenada!$B:$B=EJ$1), 0)), 1))),  0.5, 0))</f>
        <v>0</v>
      </c>
      <c r="EK87" s="47">
        <f t="array" ref="EK87">IF(AND(ISNUMBER(MATCH(EK$2, AsistenciaJetAdminConcatenada!$A:$A, 0)), ISNUMBER(MATCH(EK$1, AsistenciaJetAdminConcatenada!$B:$B, 0)), ISNUMBER(SEARCH($A87,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ISNUMBER(SEARCH($A87, INDEX(AsistenciaJetAdminConcatenada!$D:$D, MATCH(1, (AsistenciaJetAdminConcatenada!$A:$A=EK$2)*(AsistenciaJetAdminConcatenada!$B:$B=EK$1), 0)), 1))),  0.5, 0))</f>
        <v>0</v>
      </c>
      <c r="EL87" s="47">
        <f t="array" ref="EL87">IF(AND(ISNUMBER(MATCH(EL$2, AsistenciaJetAdminConcatenada!$A:$A, 0)), ISNUMBER(MATCH(EL$1, AsistenciaJetAdminConcatenada!$B:$B, 0)), ISNUMBER(SEARCH($A87,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ISNUMBER(SEARCH($A87, INDEX(AsistenciaJetAdminConcatenada!$D:$D, MATCH(1, (AsistenciaJetAdminConcatenada!$A:$A=EL$2)*(AsistenciaJetAdminConcatenada!$B:$B=EL$1), 0)), 1))),  0.5, 0))</f>
        <v>0</v>
      </c>
      <c r="EM87" s="47">
        <f t="array" ref="EM87">IF(AND(ISNUMBER(MATCH(EM$2, AsistenciaJetAdminConcatenada!$A:$A, 0)), ISNUMBER(MATCH(EM$1, AsistenciaJetAdminConcatenada!$B:$B, 0)), ISNUMBER(SEARCH($A87,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ISNUMBER(SEARCH($A87, INDEX(AsistenciaJetAdminConcatenada!$D:$D, MATCH(1, (AsistenciaJetAdminConcatenada!$A:$A=EM$2)*(AsistenciaJetAdminConcatenada!$B:$B=EM$1), 0)), 1))),  0.5, 0))</f>
        <v>0</v>
      </c>
      <c r="EN87" s="47">
        <f t="array" ref="EN87">IF(AND(ISNUMBER(MATCH(EN$2, AsistenciaJetAdminConcatenada!$A:$A, 0)), ISNUMBER(MATCH(EN$1, AsistenciaJetAdminConcatenada!$B:$B, 0)), ISNUMBER(SEARCH($A87,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ISNUMBER(SEARCH($A87, INDEX(AsistenciaJetAdminConcatenada!$D:$D, MATCH(1, (AsistenciaJetAdminConcatenada!$A:$A=EN$2)*(AsistenciaJetAdminConcatenada!$B:$B=EN$1), 0)), 1))),  0.5, 0))</f>
        <v>0</v>
      </c>
      <c r="EO87" s="47">
        <f t="array" ref="EO87">IF(AND(ISNUMBER(MATCH(EO$2, AsistenciaJetAdminConcatenada!$A:$A, 0)), ISNUMBER(MATCH(EO$1, AsistenciaJetAdminConcatenada!$B:$B, 0)), ISNUMBER(SEARCH($A87,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ISNUMBER(SEARCH($A87, INDEX(AsistenciaJetAdminConcatenada!$D:$D, MATCH(1, (AsistenciaJetAdminConcatenada!$A:$A=EO$2)*(AsistenciaJetAdminConcatenada!$B:$B=EO$1), 0)), 1))),  0.5, 0))</f>
        <v>0</v>
      </c>
      <c r="EP87" s="47">
        <f t="array" ref="EP87">IF(AND(ISNUMBER(MATCH(EP$2, AsistenciaJetAdminConcatenada!$A:$A, 0)), ISNUMBER(MATCH(EP$1, AsistenciaJetAdminConcatenada!$B:$B, 0)), ISNUMBER(SEARCH($A87,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ISNUMBER(SEARCH($A87, INDEX(AsistenciaJetAdminConcatenada!$D:$D, MATCH(1, (AsistenciaJetAdminConcatenada!$A:$A=EP$2)*(AsistenciaJetAdminConcatenada!$B:$B=EP$1), 0)), 1))),  0.5, 0))</f>
        <v>0</v>
      </c>
      <c r="EQ87" s="47">
        <f t="array" ref="EQ87">IF(AND(ISNUMBER(MATCH(EQ$2, AsistenciaJetAdminConcatenada!$A:$A, 0)), ISNUMBER(MATCH(EQ$1, AsistenciaJetAdminConcatenada!$B:$B, 0)), ISNUMBER(SEARCH($A87,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ISNUMBER(SEARCH($A87, INDEX(AsistenciaJetAdminConcatenada!$D:$D, MATCH(1, (AsistenciaJetAdminConcatenada!$A:$A=EQ$2)*(AsistenciaJetAdminConcatenada!$B:$B=EQ$1), 0)), 1))),  0.5, 0))</f>
        <v>0</v>
      </c>
      <c r="ER87" s="47">
        <f t="array" ref="ER87">IF(AND(ISNUMBER(MATCH(ER$2, AsistenciaJetAdminConcatenada!$A:$A, 0)), ISNUMBER(MATCH(ER$1, AsistenciaJetAdminConcatenada!$B:$B, 0)), ISNUMBER(SEARCH($A87,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ISNUMBER(SEARCH($A87, INDEX(AsistenciaJetAdminConcatenada!$D:$D, MATCH(1, (AsistenciaJetAdminConcatenada!$A:$A=ER$2)*(AsistenciaJetAdminConcatenada!$B:$B=ER$1), 0)), 1))),  0.5, 0))</f>
        <v>0</v>
      </c>
      <c r="ES87" s="47">
        <f t="array" ref="ES87">IF(AND(ISNUMBER(MATCH(ES$2, AsistenciaJetAdminConcatenada!$A:$A, 0)), ISNUMBER(MATCH(ES$1, AsistenciaJetAdminConcatenada!$B:$B, 0)), ISNUMBER(SEARCH($A87,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ISNUMBER(SEARCH($A87, INDEX(AsistenciaJetAdminConcatenada!$D:$D, MATCH(1, (AsistenciaJetAdminConcatenada!$A:$A=ES$2)*(AsistenciaJetAdminConcatenada!$B:$B=ES$1), 0)), 1))),  0.5, 0))</f>
        <v>0</v>
      </c>
      <c r="ET87" s="47">
        <f t="array" ref="ET87">IF(AND(ISNUMBER(MATCH(ET$2, AsistenciaJetAdminConcatenada!$A:$A, 0)), ISNUMBER(MATCH(ET$1, AsistenciaJetAdminConcatenada!$B:$B, 0)), ISNUMBER(SEARCH($A87,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ISNUMBER(SEARCH($A87, INDEX(AsistenciaJetAdminConcatenada!$D:$D, MATCH(1, (AsistenciaJetAdminConcatenada!$A:$A=ET$2)*(AsistenciaJetAdminConcatenada!$B:$B=ET$1), 0)), 1))),  0.5, 0))</f>
        <v>0</v>
      </c>
      <c r="EU87" s="47">
        <f t="array" ref="EU87">IF(AND(ISNUMBER(MATCH(EU$2, AsistenciaJetAdminConcatenada!$A:$A, 0)), ISNUMBER(MATCH(EU$1, AsistenciaJetAdminConcatenada!$B:$B, 0)), ISNUMBER(SEARCH($A87,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ISNUMBER(SEARCH($A87, INDEX(AsistenciaJetAdminConcatenada!$D:$D, MATCH(1, (AsistenciaJetAdminConcatenada!$A:$A=EU$2)*(AsistenciaJetAdminConcatenada!$B:$B=EU$1), 0)), 1))),  0.5, 0))</f>
        <v>0</v>
      </c>
      <c r="EV87" s="47">
        <f t="array" ref="EV87">IF(AND(ISNUMBER(MATCH(EV$2, AsistenciaJetAdminConcatenada!$A:$A, 0)), ISNUMBER(MATCH(EV$1, AsistenciaJetAdminConcatenada!$B:$B, 0)), ISNUMBER(SEARCH($A87,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ISNUMBER(SEARCH($A87, INDEX(AsistenciaJetAdminConcatenada!$D:$D, MATCH(1, (AsistenciaJetAdminConcatenada!$A:$A=EV$2)*(AsistenciaJetAdminConcatenada!$B:$B=EV$1), 0)), 1))),  0.5, 0))</f>
        <v>0</v>
      </c>
      <c r="EW87" s="47">
        <f t="array" ref="EW87">IF(AND(ISNUMBER(MATCH(EW$2, AsistenciaJetAdminConcatenada!$A:$A, 0)), ISNUMBER(MATCH(EW$1, AsistenciaJetAdminConcatenada!$B:$B, 0)), ISNUMBER(SEARCH($A87,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ISNUMBER(SEARCH($A87, INDEX(AsistenciaJetAdminConcatenada!$D:$D, MATCH(1, (AsistenciaJetAdminConcatenada!$A:$A=EW$2)*(AsistenciaJetAdminConcatenada!$B:$B=EW$1), 0)), 1))),  0.5, 0))</f>
        <v>0</v>
      </c>
      <c r="EX87" s="47">
        <f t="array" ref="EX87">IF(AND(ISNUMBER(MATCH(EX$2, AsistenciaJetAdminConcatenada!$A:$A, 0)), ISNUMBER(MATCH(EX$1, AsistenciaJetAdminConcatenada!$B:$B, 0)), ISNUMBER(SEARCH($A87,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ISNUMBER(SEARCH($A87, INDEX(AsistenciaJetAdminConcatenada!$D:$D, MATCH(1, (AsistenciaJetAdminConcatenada!$A:$A=EX$2)*(AsistenciaJetAdminConcatenada!$B:$B=EX$1), 0)), 1))),  0.5, 0))</f>
        <v>0</v>
      </c>
      <c r="EY87" s="47">
        <f t="array" ref="EY87">IF(AND(ISNUMBER(MATCH(EY$2, AsistenciaJetAdminConcatenada!$A:$A, 0)), ISNUMBER(MATCH(EY$1, AsistenciaJetAdminConcatenada!$B:$B, 0)), ISNUMBER(SEARCH($A87,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ISNUMBER(SEARCH($A87, INDEX(AsistenciaJetAdminConcatenada!$D:$D, MATCH(1, (AsistenciaJetAdminConcatenada!$A:$A=EY$2)*(AsistenciaJetAdminConcatenada!$B:$B=EY$1), 0)), 1))),  0.5, 0))</f>
        <v>0</v>
      </c>
      <c r="EZ87" s="47">
        <f t="array" ref="EZ87">IF(AND(ISNUMBER(MATCH(EZ$2, AsistenciaJetAdminConcatenada!$A:$A, 0)), ISNUMBER(MATCH(EZ$1, AsistenciaJetAdminConcatenada!$B:$B, 0)), ISNUMBER(SEARCH($A87,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ISNUMBER(SEARCH($A87, INDEX(AsistenciaJetAdminConcatenada!$D:$D, MATCH(1, (AsistenciaJetAdminConcatenada!$A:$A=EZ$2)*(AsistenciaJetAdminConcatenada!$B:$B=EZ$1), 0)), 1))),  0.5, 0))</f>
        <v>0</v>
      </c>
      <c r="FA87" s="47">
        <f t="array" ref="FA87">IF(AND(ISNUMBER(MATCH(FA$2, AsistenciaJetAdminConcatenada!$A:$A, 0)), ISNUMBER(MATCH(FA$1, AsistenciaJetAdminConcatenada!$B:$B, 0)), ISNUMBER(SEARCH($A87,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ISNUMBER(SEARCH($A87, INDEX(AsistenciaJetAdminConcatenada!$D:$D, MATCH(1, (AsistenciaJetAdminConcatenada!$A:$A=FA$2)*(AsistenciaJetAdminConcatenada!$B:$B=FA$1), 0)), 1))),  0.5, 0))</f>
        <v>0</v>
      </c>
      <c r="FB87" s="47">
        <f t="array" ref="FB87">IF(AND(ISNUMBER(MATCH(FB$2, AsistenciaJetAdminConcatenada!$A:$A, 0)), ISNUMBER(MATCH(FB$1, AsistenciaJetAdminConcatenada!$B:$B, 0)), ISNUMBER(SEARCH($A87,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ISNUMBER(SEARCH($A87, INDEX(AsistenciaJetAdminConcatenada!$D:$D, MATCH(1, (AsistenciaJetAdminConcatenada!$A:$A=FB$2)*(AsistenciaJetAdminConcatenada!$B:$B=FB$1), 0)), 1))),  0.5, 0))</f>
        <v>0</v>
      </c>
      <c r="FC87" s="47">
        <f t="array" ref="FC87">IF(AND(ISNUMBER(MATCH(FC$2, AsistenciaJetAdminConcatenada!$A:$A, 0)), ISNUMBER(MATCH(FC$1, AsistenciaJetAdminConcatenada!$B:$B, 0)), ISNUMBER(SEARCH($A87,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ISNUMBER(SEARCH($A87, INDEX(AsistenciaJetAdminConcatenada!$D:$D, MATCH(1, (AsistenciaJetAdminConcatenada!$A:$A=FC$2)*(AsistenciaJetAdminConcatenada!$B:$B=FC$1), 0)), 1))),  0.5, 0))</f>
        <v>0</v>
      </c>
      <c r="FD87" s="47">
        <f t="array" ref="FD87">IF(AND(ISNUMBER(MATCH(FD$2, AsistenciaJetAdminConcatenada!$A:$A, 0)), ISNUMBER(MATCH(FD$1, AsistenciaJetAdminConcatenada!$B:$B, 0)), ISNUMBER(SEARCH($A87,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ISNUMBER(SEARCH($A87, INDEX(AsistenciaJetAdminConcatenada!$D:$D, MATCH(1, (AsistenciaJetAdminConcatenada!$A:$A=FD$2)*(AsistenciaJetAdminConcatenada!$B:$B=FD$1), 0)), 1))),  0.5, 0))</f>
        <v>0</v>
      </c>
      <c r="FE87" s="47">
        <f t="array" ref="FE87">IF(AND(ISNUMBER(MATCH(FE$2, AsistenciaJetAdminConcatenada!$A:$A, 0)), ISNUMBER(MATCH(FE$1, AsistenciaJetAdminConcatenada!$B:$B, 0)), ISNUMBER(SEARCH($A87,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ISNUMBER(SEARCH($A87, INDEX(AsistenciaJetAdminConcatenada!$D:$D, MATCH(1, (AsistenciaJetAdminConcatenada!$A:$A=FE$2)*(AsistenciaJetAdminConcatenada!$B:$B=FE$1), 0)), 1))),  0.5, 0))</f>
        <v>0</v>
      </c>
      <c r="FF87" s="47">
        <f t="array" ref="FF87">IF(AND(ISNUMBER(MATCH(FF$2, AsistenciaJetAdminConcatenada!$A:$A, 0)), ISNUMBER(MATCH(FF$1, AsistenciaJetAdminConcatenada!$B:$B, 0)), ISNUMBER(SEARCH($A87,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ISNUMBER(SEARCH($A87, INDEX(AsistenciaJetAdminConcatenada!$D:$D, MATCH(1, (AsistenciaJetAdminConcatenada!$A:$A=FF$2)*(AsistenciaJetAdminConcatenada!$B:$B=FF$1), 0)), 1))),  0.5, 0))</f>
        <v>0</v>
      </c>
      <c r="FG87" s="47">
        <f t="array" ref="FG87">IF(AND(ISNUMBER(MATCH(FG$2, AsistenciaJetAdminConcatenada!$A:$A, 0)), ISNUMBER(MATCH(FG$1, AsistenciaJetAdminConcatenada!$B:$B, 0)), ISNUMBER(SEARCH($A87,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ISNUMBER(SEARCH($A87, INDEX(AsistenciaJetAdminConcatenada!$D:$D, MATCH(1, (AsistenciaJetAdminConcatenada!$A:$A=FG$2)*(AsistenciaJetAdminConcatenada!$B:$B=FG$1), 0)), 1))),  0.5, 0))</f>
        <v>0</v>
      </c>
      <c r="FH87" s="47">
        <f t="array" ref="FH87">IF(AND(ISNUMBER(MATCH(FH$2, AsistenciaJetAdminConcatenada!$A:$A, 0)), ISNUMBER(MATCH(FH$1, AsistenciaJetAdminConcatenada!$B:$B, 0)), ISNUMBER(SEARCH($A87,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ISNUMBER(SEARCH($A87, INDEX(AsistenciaJetAdminConcatenada!$D:$D, MATCH(1, (AsistenciaJetAdminConcatenada!$A:$A=FH$2)*(AsistenciaJetAdminConcatenada!$B:$B=FH$1), 0)), 1))),  0.5, 0))</f>
        <v>0</v>
      </c>
      <c r="FI87" s="47">
        <f t="array" ref="FI87">IF(AND(ISNUMBER(MATCH(FI$2, AsistenciaJetAdminConcatenada!$A:$A, 0)), ISNUMBER(MATCH(FI$1, AsistenciaJetAdminConcatenada!$B:$B, 0)), ISNUMBER(SEARCH($A87,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ISNUMBER(SEARCH($A87, INDEX(AsistenciaJetAdminConcatenada!$D:$D, MATCH(1, (AsistenciaJetAdminConcatenada!$A:$A=FI$2)*(AsistenciaJetAdminConcatenada!$B:$B=FI$1), 0)), 1))),  0.5, 0))</f>
        <v>0</v>
      </c>
      <c r="FJ87" s="47">
        <f t="array" ref="FJ87">IF(AND(ISNUMBER(MATCH(FJ$2, AsistenciaJetAdminConcatenada!$A:$A, 0)), ISNUMBER(MATCH(FJ$1, AsistenciaJetAdminConcatenada!$B:$B, 0)), ISNUMBER(SEARCH($A87,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ISNUMBER(SEARCH($A87, INDEX(AsistenciaJetAdminConcatenada!$D:$D, MATCH(1, (AsistenciaJetAdminConcatenada!$A:$A=FJ$2)*(AsistenciaJetAdminConcatenada!$B:$B=FJ$1), 0)), 1))),  0.5, 0))</f>
        <v>0</v>
      </c>
      <c r="FK87" s="47">
        <f t="array" ref="FK87">IF(AND(ISNUMBER(MATCH(FK$2, AsistenciaJetAdminConcatenada!$A:$A, 0)), ISNUMBER(MATCH(FK$1, AsistenciaJetAdminConcatenada!$B:$B, 0)), ISNUMBER(SEARCH($A87,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ISNUMBER(SEARCH($A87, INDEX(AsistenciaJetAdminConcatenada!$D:$D, MATCH(1, (AsistenciaJetAdminConcatenada!$A:$A=FK$2)*(AsistenciaJetAdminConcatenada!$B:$B=FK$1), 0)), 1))),  0.5, 0))</f>
        <v>0</v>
      </c>
      <c r="FL87" s="47">
        <f t="array" ref="FL87">IF(AND(ISNUMBER(MATCH(FL$2, AsistenciaJetAdminConcatenada!$A:$A, 0)), ISNUMBER(MATCH(FL$1, AsistenciaJetAdminConcatenada!$B:$B, 0)), ISNUMBER(SEARCH($A87,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ISNUMBER(SEARCH($A87, INDEX(AsistenciaJetAdminConcatenada!$D:$D, MATCH(1, (AsistenciaJetAdminConcatenada!$A:$A=FL$2)*(AsistenciaJetAdminConcatenada!$B:$B=FL$1), 0)), 1))),  0.5, 0))</f>
        <v>0</v>
      </c>
      <c r="FM87" s="47">
        <f t="array" ref="FM87">IF(AND(ISNUMBER(MATCH(FM$2, AsistenciaJetAdminConcatenada!$A:$A, 0)), ISNUMBER(MATCH(FM$1, AsistenciaJetAdminConcatenada!$B:$B, 0)), ISNUMBER(SEARCH($A87,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ISNUMBER(SEARCH($A87, INDEX(AsistenciaJetAdminConcatenada!$D:$D, MATCH(1, (AsistenciaJetAdminConcatenada!$A:$A=FM$2)*(AsistenciaJetAdminConcatenada!$B:$B=FM$1), 0)), 1))),  0.5, 0))</f>
        <v>0</v>
      </c>
      <c r="FN87" s="47">
        <f t="array" ref="FN87">IF(AND(ISNUMBER(MATCH(FN$2, AsistenciaJetAdminConcatenada!$A:$A, 0)), ISNUMBER(MATCH(FN$1, AsistenciaJetAdminConcatenada!$B:$B, 0)), ISNUMBER(SEARCH($A87,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ISNUMBER(SEARCH($A87, INDEX(AsistenciaJetAdminConcatenada!$D:$D, MATCH(1, (AsistenciaJetAdminConcatenada!$A:$A=FN$2)*(AsistenciaJetAdminConcatenada!$B:$B=FN$1), 0)), 1))),  0.5, 0))</f>
        <v>0</v>
      </c>
      <c r="FO87" s="47">
        <f t="array" ref="FO87">IF(AND(ISNUMBER(MATCH(FO$2, AsistenciaJetAdminConcatenada!$A:$A, 0)), ISNUMBER(MATCH(FO$1, AsistenciaJetAdminConcatenada!$B:$B, 0)), ISNUMBER(SEARCH($A87,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ISNUMBER(SEARCH($A87, INDEX(AsistenciaJetAdminConcatenada!$D:$D, MATCH(1, (AsistenciaJetAdminConcatenada!$A:$A=FO$2)*(AsistenciaJetAdminConcatenada!$B:$B=FO$1), 0)), 1))),  0.5, 0))</f>
        <v>0</v>
      </c>
      <c r="FP87" s="47">
        <f t="array" ref="FP87">IF(AND(ISNUMBER(MATCH(FP$2, AsistenciaJetAdminConcatenada!$A:$A, 0)), ISNUMBER(MATCH(FP$1, AsistenciaJetAdminConcatenada!$B:$B, 0)), ISNUMBER(SEARCH($A87,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ISNUMBER(SEARCH($A87, INDEX(AsistenciaJetAdminConcatenada!$D:$D, MATCH(1, (AsistenciaJetAdminConcatenada!$A:$A=FP$2)*(AsistenciaJetAdminConcatenada!$B:$B=FP$1), 0)), 1))),  0.5, 0))</f>
        <v>0</v>
      </c>
      <c r="FQ87" s="47">
        <f t="array" ref="FQ87">IF(AND(ISNUMBER(MATCH(FQ$2, AsistenciaJetAdminConcatenada!$A:$A, 0)), ISNUMBER(MATCH(FQ$1, AsistenciaJetAdminConcatenada!$B:$B, 0)), ISNUMBER(SEARCH($A87,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ISNUMBER(SEARCH($A87, INDEX(AsistenciaJetAdminConcatenada!$D:$D, MATCH(1, (AsistenciaJetAdminConcatenada!$A:$A=FQ$2)*(AsistenciaJetAdminConcatenada!$B:$B=FQ$1), 0)), 1))),  0.5, 0))</f>
        <v>0</v>
      </c>
      <c r="FR87" s="47">
        <f t="array" ref="FR87">IF(AND(ISNUMBER(MATCH(FR$2, AsistenciaJetAdminConcatenada!$A:$A, 0)), ISNUMBER(MATCH(FR$1, AsistenciaJetAdminConcatenada!$B:$B, 0)), ISNUMBER(SEARCH($A87,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ISNUMBER(SEARCH($A87, INDEX(AsistenciaJetAdminConcatenada!$D:$D, MATCH(1, (AsistenciaJetAdminConcatenada!$A:$A=FR$2)*(AsistenciaJetAdminConcatenada!$B:$B=FR$1), 0)), 1))),  0.5, 0))</f>
        <v>0</v>
      </c>
      <c r="FS87" s="47">
        <f t="array" ref="FS87">IF(AND(ISNUMBER(MATCH(FS$2, AsistenciaJetAdminConcatenada!$A:$A, 0)), ISNUMBER(MATCH(FS$1, AsistenciaJetAdminConcatenada!$B:$B, 0)), ISNUMBER(SEARCH($A87,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ISNUMBER(SEARCH($A87, INDEX(AsistenciaJetAdminConcatenada!$D:$D, MATCH(1, (AsistenciaJetAdminConcatenada!$A:$A=FS$2)*(AsistenciaJetAdminConcatenada!$B:$B=FS$1), 0)), 1))),  0.5, 0))</f>
        <v>0</v>
      </c>
      <c r="FT87" s="47">
        <f t="array" ref="FT87">IF(AND(ISNUMBER(MATCH(FT$2, AsistenciaJetAdminConcatenada!$A:$A, 0)), ISNUMBER(MATCH(FT$1, AsistenciaJetAdminConcatenada!$B:$B, 0)), ISNUMBER(SEARCH($A87,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ISNUMBER(SEARCH($A87, INDEX(AsistenciaJetAdminConcatenada!$D:$D, MATCH(1, (AsistenciaJetAdminConcatenada!$A:$A=FT$2)*(AsistenciaJetAdminConcatenada!$B:$B=FT$1), 0)), 1))),  0.5, 0))</f>
        <v>0</v>
      </c>
      <c r="FU87" s="47">
        <f t="array" ref="FU87">IF(AND(ISNUMBER(MATCH(FU$2, AsistenciaJetAdminConcatenada!$A:$A, 0)), ISNUMBER(MATCH(FU$1, AsistenciaJetAdminConcatenada!$B:$B, 0)), ISNUMBER(SEARCH($A87,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ISNUMBER(SEARCH($A87, INDEX(AsistenciaJetAdminConcatenada!$D:$D, MATCH(1, (AsistenciaJetAdminConcatenada!$A:$A=FU$2)*(AsistenciaJetAdminConcatenada!$B:$B=FU$1), 0)), 1))),  0.5, 0))</f>
        <v>0</v>
      </c>
      <c r="FV87" s="47">
        <f t="array" ref="FV87">IF(AND(ISNUMBER(MATCH(FV$2, AsistenciaJetAdminConcatenada!$A:$A, 0)), ISNUMBER(MATCH(FV$1, AsistenciaJetAdminConcatenada!$B:$B, 0)), ISNUMBER(SEARCH($A87,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ISNUMBER(SEARCH($A87, INDEX(AsistenciaJetAdminConcatenada!$D:$D, MATCH(1, (AsistenciaJetAdminConcatenada!$A:$A=FV$2)*(AsistenciaJetAdminConcatenada!$B:$B=FV$1), 0)), 1))),  0.5, 0))</f>
        <v>0</v>
      </c>
      <c r="FW87" s="47">
        <f t="array" ref="FW87">IF(AND(ISNUMBER(MATCH(FW$2, AsistenciaJetAdminConcatenada!$A:$A, 0)), ISNUMBER(MATCH(FW$1, AsistenciaJetAdminConcatenada!$B:$B, 0)), ISNUMBER(SEARCH($A87,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ISNUMBER(SEARCH($A87, INDEX(AsistenciaJetAdminConcatenada!$D:$D, MATCH(1, (AsistenciaJetAdminConcatenada!$A:$A=FW$2)*(AsistenciaJetAdminConcatenada!$B:$B=FW$1), 0)), 1))),  0.5, 0))</f>
        <v>0</v>
      </c>
      <c r="FX87" s="47">
        <f t="array" ref="FX87">IF(AND(ISNUMBER(MATCH(FX$2, AsistenciaJetAdminConcatenada!$A:$A, 0)), ISNUMBER(MATCH(FX$1, AsistenciaJetAdminConcatenada!$B:$B, 0)), ISNUMBER(SEARCH($A87,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ISNUMBER(SEARCH($A87, INDEX(AsistenciaJetAdminConcatenada!$D:$D, MATCH(1, (AsistenciaJetAdminConcatenada!$A:$A=FX$2)*(AsistenciaJetAdminConcatenada!$B:$B=FX$1), 0)), 1))),  0.5, 0))</f>
        <v>0</v>
      </c>
      <c r="FY87" s="47">
        <f t="array" ref="FY87">IF(AND(ISNUMBER(MATCH(FY$2, AsistenciaJetAdminConcatenada!$A:$A, 0)), ISNUMBER(MATCH(FY$1, AsistenciaJetAdminConcatenada!$B:$B, 0)), ISNUMBER(SEARCH($A87,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ISNUMBER(SEARCH($A87, INDEX(AsistenciaJetAdminConcatenada!$D:$D, MATCH(1, (AsistenciaJetAdminConcatenada!$A:$A=FY$2)*(AsistenciaJetAdminConcatenada!$B:$B=FY$1), 0)), 1))),  0.5, 0))</f>
        <v>0</v>
      </c>
      <c r="FZ87" s="47">
        <f t="array" ref="FZ87">IF(AND(ISNUMBER(MATCH(FZ$2, AsistenciaJetAdminConcatenada!$A:$A, 0)), ISNUMBER(MATCH(FZ$1, AsistenciaJetAdminConcatenada!$B:$B, 0)), ISNUMBER(SEARCH($A87,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ISNUMBER(SEARCH($A87, INDEX(AsistenciaJetAdminConcatenada!$D:$D, MATCH(1, (AsistenciaJetAdminConcatenada!$A:$A=FZ$2)*(AsistenciaJetAdminConcatenada!$B:$B=FZ$1), 0)), 1))),  0.5, 0))</f>
        <v>0</v>
      </c>
      <c r="GA87" s="47">
        <f t="array" ref="GA87">IF(AND(ISNUMBER(MATCH(GA$2, AsistenciaJetAdminConcatenada!$A:$A, 0)), ISNUMBER(MATCH(GA$1, AsistenciaJetAdminConcatenada!$B:$B, 0)), ISNUMBER(SEARCH($A87,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ISNUMBER(SEARCH($A87, INDEX(AsistenciaJetAdminConcatenada!$D:$D, MATCH(1, (AsistenciaJetAdminConcatenada!$A:$A=GA$2)*(AsistenciaJetAdminConcatenada!$B:$B=GA$1), 0)), 1))),  0.5, 0))</f>
        <v>0</v>
      </c>
      <c r="GB87" s="47">
        <f t="array" ref="GB87">IF(AND(ISNUMBER(MATCH(GB$2, AsistenciaJetAdminConcatenada!$A:$A, 0)), ISNUMBER(MATCH(GB$1, AsistenciaJetAdminConcatenada!$B:$B, 0)), ISNUMBER(SEARCH($A87,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ISNUMBER(SEARCH($A87, INDEX(AsistenciaJetAdminConcatenada!$D:$D, MATCH(1, (AsistenciaJetAdminConcatenada!$A:$A=GB$2)*(AsistenciaJetAdminConcatenada!$B:$B=GB$1), 0)), 1))),  0.5, 0))</f>
        <v>0</v>
      </c>
      <c r="GC87" s="47">
        <f t="array" ref="GC87">IF(AND(ISNUMBER(MATCH(GC$2, AsistenciaJetAdminConcatenada!$A:$A, 0)), ISNUMBER(MATCH(GC$1, AsistenciaJetAdminConcatenada!$B:$B, 0)), ISNUMBER(SEARCH($A87,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ISNUMBER(SEARCH($A87, INDEX(AsistenciaJetAdminConcatenada!$D:$D, MATCH(1, (AsistenciaJetAdminConcatenada!$A:$A=GC$2)*(AsistenciaJetAdminConcatenada!$B:$B=GC$1), 0)), 1))),  0.5, 0))</f>
        <v>0</v>
      </c>
      <c r="GD87" s="47">
        <f t="array" ref="GD87">IF(AND(ISNUMBER(MATCH(GD$2, AsistenciaJetAdminConcatenada!$A:$A, 0)), ISNUMBER(MATCH(GD$1, AsistenciaJetAdminConcatenada!$B:$B, 0)), ISNUMBER(SEARCH($A87,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ISNUMBER(SEARCH($A87, INDEX(AsistenciaJetAdminConcatenada!$D:$D, MATCH(1, (AsistenciaJetAdminConcatenada!$A:$A=GD$2)*(AsistenciaJetAdminConcatenada!$B:$B=GD$1), 0)), 1))),  0.5, 0))</f>
        <v>0</v>
      </c>
      <c r="GE87" s="47">
        <f t="array" ref="GE87">IF(AND(ISNUMBER(MATCH(GE$2, AsistenciaJetAdminConcatenada!$A:$A, 0)), ISNUMBER(MATCH(GE$1, AsistenciaJetAdminConcatenada!$B:$B, 0)), ISNUMBER(SEARCH($A87,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ISNUMBER(SEARCH($A87, INDEX(AsistenciaJetAdminConcatenada!$D:$D, MATCH(1, (AsistenciaJetAdminConcatenada!$A:$A=GE$2)*(AsistenciaJetAdminConcatenada!$B:$B=GE$1), 0)), 1))),  0.5, 0))</f>
        <v>0</v>
      </c>
      <c r="GF87" s="47">
        <f t="array" ref="GF87">IF(AND(ISNUMBER(MATCH(GF$2, AsistenciaJetAdminConcatenada!$A:$A, 0)), ISNUMBER(MATCH(GF$1, AsistenciaJetAdminConcatenada!$B:$B, 0)), ISNUMBER(SEARCH($A87,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ISNUMBER(SEARCH($A87, INDEX(AsistenciaJetAdminConcatenada!$D:$D, MATCH(1, (AsistenciaJetAdminConcatenada!$A:$A=GF$2)*(AsistenciaJetAdminConcatenada!$B:$B=GF$1), 0)), 1))),  0.5, 0))</f>
        <v>0</v>
      </c>
      <c r="GG87" s="47">
        <f t="array" ref="GG87">IF(AND(ISNUMBER(MATCH(GG$2, AsistenciaJetAdminConcatenada!$A:$A, 0)), ISNUMBER(MATCH(GG$1, AsistenciaJetAdminConcatenada!$B:$B, 0)), ISNUMBER(SEARCH($A87,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ISNUMBER(SEARCH($A87, INDEX(AsistenciaJetAdminConcatenada!$D:$D, MATCH(1, (AsistenciaJetAdminConcatenada!$A:$A=GG$2)*(AsistenciaJetAdminConcatenada!$B:$B=GG$1), 0)), 1))),  0.5, 0))</f>
        <v>0</v>
      </c>
      <c r="GH87" s="47">
        <f t="array" ref="GH87">IF(AND(ISNUMBER(MATCH(GH$2, AsistenciaJetAdminConcatenada!$A:$A, 0)), ISNUMBER(MATCH(GH$1, AsistenciaJetAdminConcatenada!$B:$B, 0)), ISNUMBER(SEARCH($A87,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ISNUMBER(SEARCH($A87, INDEX(AsistenciaJetAdminConcatenada!$D:$D, MATCH(1, (AsistenciaJetAdminConcatenada!$A:$A=GH$2)*(AsistenciaJetAdminConcatenada!$B:$B=GH$1), 0)), 1))),  0.5, 0))</f>
        <v>0</v>
      </c>
      <c r="GI87" s="47">
        <f t="array" ref="GI87">IF(AND(ISNUMBER(MATCH(GI$2, AsistenciaJetAdminConcatenada!$A:$A, 0)), ISNUMBER(MATCH(GI$1, AsistenciaJetAdminConcatenada!$B:$B, 0)), ISNUMBER(SEARCH($A87,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ISNUMBER(SEARCH($A87, INDEX(AsistenciaJetAdminConcatenada!$D:$D, MATCH(1, (AsistenciaJetAdminConcatenada!$A:$A=GI$2)*(AsistenciaJetAdminConcatenada!$B:$B=GI$1), 0)), 1))),  0.5, 0))</f>
        <v>0</v>
      </c>
      <c r="GJ87" s="47">
        <f t="array" ref="GJ87">IF(AND(ISNUMBER(MATCH(GJ$2, AsistenciaJetAdminConcatenada!$A:$A, 0)), ISNUMBER(MATCH(GJ$1, AsistenciaJetAdminConcatenada!$B:$B, 0)), ISNUMBER(SEARCH($A87,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ISNUMBER(SEARCH($A87, INDEX(AsistenciaJetAdminConcatenada!$D:$D, MATCH(1, (AsistenciaJetAdminConcatenada!$A:$A=GJ$2)*(AsistenciaJetAdminConcatenada!$B:$B=GJ$1), 0)), 1))),  0.5, 0))</f>
        <v>0</v>
      </c>
      <c r="GK87" s="47">
        <f t="array" ref="GK87">IF(AND(ISNUMBER(MATCH(GK$2, AsistenciaJetAdminConcatenada!$A:$A, 0)), ISNUMBER(MATCH(GK$1, AsistenciaJetAdminConcatenada!$B:$B, 0)), ISNUMBER(SEARCH($A87,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ISNUMBER(SEARCH($A87, INDEX(AsistenciaJetAdminConcatenada!$D:$D, MATCH(1, (AsistenciaJetAdminConcatenada!$A:$A=GK$2)*(AsistenciaJetAdminConcatenada!$B:$B=GK$1), 0)), 1))),  0.5, 0))</f>
        <v>0</v>
      </c>
      <c r="GL87" s="47">
        <f t="array" ref="GL87">IF(AND(ISNUMBER(MATCH(GL$2, AsistenciaJetAdminConcatenada!$A:$A, 0)), ISNUMBER(MATCH(GL$1, AsistenciaJetAdminConcatenada!$B:$B, 0)), ISNUMBER(SEARCH($A87,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ISNUMBER(SEARCH($A87, INDEX(AsistenciaJetAdminConcatenada!$D:$D, MATCH(1, (AsistenciaJetAdminConcatenada!$A:$A=GL$2)*(AsistenciaJetAdminConcatenada!$B:$B=GL$1), 0)), 1))),  0.5, 0))</f>
        <v>0</v>
      </c>
      <c r="GM87" s="47">
        <f t="array" ref="GM87">IF(AND(ISNUMBER(MATCH(GM$2, AsistenciaJetAdminConcatenada!$A:$A, 0)), ISNUMBER(MATCH(GM$1, AsistenciaJetAdminConcatenada!$B:$B, 0)), ISNUMBER(SEARCH($A87,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ISNUMBER(SEARCH($A87, INDEX(AsistenciaJetAdminConcatenada!$D:$D, MATCH(1, (AsistenciaJetAdminConcatenada!$A:$A=GM$2)*(AsistenciaJetAdminConcatenada!$B:$B=GM$1), 0)), 1))),  0.5, 0))</f>
        <v>0</v>
      </c>
      <c r="GN87" s="47">
        <f t="array" ref="GN87">IF(AND(ISNUMBER(MATCH(GN$2, AsistenciaJetAdminConcatenada!$A:$A, 0)), ISNUMBER(MATCH(GN$1, AsistenciaJetAdminConcatenada!$B:$B, 0)), ISNUMBER(SEARCH($A87,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ISNUMBER(SEARCH($A87, INDEX(AsistenciaJetAdminConcatenada!$D:$D, MATCH(1, (AsistenciaJetAdminConcatenada!$A:$A=GN$2)*(AsistenciaJetAdminConcatenada!$B:$B=GN$1), 0)), 1))),  0.5, 0))</f>
        <v>0</v>
      </c>
      <c r="GO87" s="47">
        <f t="array" ref="GO87">IF(AND(ISNUMBER(MATCH(GO$2, AsistenciaJetAdminConcatenada!$A:$A, 0)), ISNUMBER(MATCH(GO$1, AsistenciaJetAdminConcatenada!$B:$B, 0)), ISNUMBER(SEARCH($A87,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ISNUMBER(SEARCH($A87, INDEX(AsistenciaJetAdminConcatenada!$D:$D, MATCH(1, (AsistenciaJetAdminConcatenada!$A:$A=GO$2)*(AsistenciaJetAdminConcatenada!$B:$B=GO$1), 0)), 1))),  0.5, 0))</f>
        <v>0</v>
      </c>
      <c r="GP87" s="47">
        <f t="array" ref="GP87">IF(AND(ISNUMBER(MATCH(GP$2, AsistenciaJetAdminConcatenada!$A:$A, 0)), ISNUMBER(MATCH(GP$1, AsistenciaJetAdminConcatenada!$B:$B, 0)), ISNUMBER(SEARCH($A87,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ISNUMBER(SEARCH($A87, INDEX(AsistenciaJetAdminConcatenada!$D:$D, MATCH(1, (AsistenciaJetAdminConcatenada!$A:$A=GP$2)*(AsistenciaJetAdminConcatenada!$B:$B=GP$1), 0)), 1))),  0.5, 0))</f>
        <v>0</v>
      </c>
      <c r="GQ87" s="47">
        <f t="array" ref="GQ87">IF(AND(ISNUMBER(MATCH(GQ$2, AsistenciaJetAdminConcatenada!$A:$A, 0)), ISNUMBER(MATCH(GQ$1, AsistenciaJetAdminConcatenada!$B:$B, 0)), ISNUMBER(SEARCH($A87,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ISNUMBER(SEARCH($A87, INDEX(AsistenciaJetAdminConcatenada!$D:$D, MATCH(1, (AsistenciaJetAdminConcatenada!$A:$A=GQ$2)*(AsistenciaJetAdminConcatenada!$B:$B=GQ$1), 0)), 1))),  0.5, 0))</f>
        <v>0</v>
      </c>
      <c r="GR87" s="47">
        <f t="array" ref="GR87">IF(AND(ISNUMBER(MATCH(GR$2, AsistenciaJetAdminConcatenada!$A:$A, 0)), ISNUMBER(MATCH(GR$1, AsistenciaJetAdminConcatenada!$B:$B, 0)), ISNUMBER(SEARCH($A87,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ISNUMBER(SEARCH($A87, INDEX(AsistenciaJetAdminConcatenada!$D:$D, MATCH(1, (AsistenciaJetAdminConcatenada!$A:$A=GR$2)*(AsistenciaJetAdminConcatenada!$B:$B=GR$1), 0)), 1))),  0.5, 0))</f>
        <v>0</v>
      </c>
      <c r="GS87" s="47">
        <f t="array" ref="GS87">IF(AND(ISNUMBER(MATCH(GS$2, AsistenciaJetAdminConcatenada!$A:$A, 0)), ISNUMBER(MATCH(GS$1, AsistenciaJetAdminConcatenada!$B:$B, 0)), ISNUMBER(SEARCH($A87,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ISNUMBER(SEARCH($A87, INDEX(AsistenciaJetAdminConcatenada!$D:$D, MATCH(1, (AsistenciaJetAdminConcatenada!$A:$A=GS$2)*(AsistenciaJetAdminConcatenada!$B:$B=GS$1), 0)), 1))),  0.5, 0))</f>
        <v>0</v>
      </c>
      <c r="GT87" s="47">
        <f t="array" ref="GT87">IF(AND(ISNUMBER(MATCH(GT$2, AsistenciaJetAdminConcatenada!$A:$A, 0)), ISNUMBER(MATCH(GT$1, AsistenciaJetAdminConcatenada!$B:$B, 0)), ISNUMBER(SEARCH($A87,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ISNUMBER(SEARCH($A87, INDEX(AsistenciaJetAdminConcatenada!$D:$D, MATCH(1, (AsistenciaJetAdminConcatenada!$A:$A=GT$2)*(AsistenciaJetAdminConcatenada!$B:$B=GT$1), 0)), 1))),  0.5, 0))</f>
        <v>0</v>
      </c>
      <c r="GU87" s="47">
        <f t="array" ref="GU87">IF(AND(ISNUMBER(MATCH(GU$2, AsistenciaJetAdminConcatenada!$A:$A, 0)), ISNUMBER(MATCH(GU$1, AsistenciaJetAdminConcatenada!$B:$B, 0)), ISNUMBER(SEARCH($A87,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ISNUMBER(SEARCH($A87, INDEX(AsistenciaJetAdminConcatenada!$D:$D, MATCH(1, (AsistenciaJetAdminConcatenada!$A:$A=GU$2)*(AsistenciaJetAdminConcatenada!$B:$B=GU$1), 0)), 1))),  0.5, 0))</f>
        <v>0</v>
      </c>
      <c r="GV87" s="47">
        <f t="array" ref="GV87">IF(AND(ISNUMBER(MATCH(GV$2, AsistenciaJetAdminConcatenada!$A:$A, 0)), ISNUMBER(MATCH(GV$1, AsistenciaJetAdminConcatenada!$B:$B, 0)), ISNUMBER(SEARCH($A87,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ISNUMBER(SEARCH($A87, INDEX(AsistenciaJetAdminConcatenada!$D:$D, MATCH(1, (AsistenciaJetAdminConcatenada!$A:$A=GV$2)*(AsistenciaJetAdminConcatenada!$B:$B=GV$1), 0)), 1))),  0.5, 0))</f>
        <v>0</v>
      </c>
      <c r="GW87" s="47">
        <f t="array" ref="GW87">IF(AND(ISNUMBER(MATCH(GW$2, AsistenciaJetAdminConcatenada!$A:$A, 0)), ISNUMBER(MATCH(GW$1, AsistenciaJetAdminConcatenada!$B:$B, 0)), ISNUMBER(SEARCH($A87,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ISNUMBER(SEARCH($A87, INDEX(AsistenciaJetAdminConcatenada!$D:$D, MATCH(1, (AsistenciaJetAdminConcatenada!$A:$A=GW$2)*(AsistenciaJetAdminConcatenada!$B:$B=GW$1), 0)), 1))),  0.5, 0))</f>
        <v>0</v>
      </c>
      <c r="GX87" s="47">
        <f t="array" ref="GX87">IF(AND(ISNUMBER(MATCH(GX$2, AsistenciaJetAdminConcatenada!$A:$A, 0)), ISNUMBER(MATCH(GX$1, AsistenciaJetAdminConcatenada!$B:$B, 0)), ISNUMBER(SEARCH($A87,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ISNUMBER(SEARCH($A87, INDEX(AsistenciaJetAdminConcatenada!$D:$D, MATCH(1, (AsistenciaJetAdminConcatenada!$A:$A=GX$2)*(AsistenciaJetAdminConcatenada!$B:$B=GX$1), 0)), 1))),  0.5, 0))</f>
        <v>0</v>
      </c>
      <c r="GY87" s="47">
        <f t="array" ref="GY87">IF(AND(ISNUMBER(MATCH(GY$2, AsistenciaJetAdminConcatenada!$A:$A, 0)), ISNUMBER(MATCH(GY$1, AsistenciaJetAdminConcatenada!$B:$B, 0)), ISNUMBER(SEARCH($A87,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ISNUMBER(SEARCH($A87, INDEX(AsistenciaJetAdminConcatenada!$D:$D, MATCH(1, (AsistenciaJetAdminConcatenada!$A:$A=GY$2)*(AsistenciaJetAdminConcatenada!$B:$B=GY$1), 0)), 1))),  0.5, 0))</f>
        <v>0</v>
      </c>
      <c r="GZ87" s="47">
        <f t="array" ref="GZ87">IF(AND(ISNUMBER(MATCH(GZ$2, AsistenciaJetAdminConcatenada!$A:$A, 0)), ISNUMBER(MATCH(GZ$1, AsistenciaJetAdminConcatenada!$B:$B, 0)), ISNUMBER(SEARCH($A87,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ISNUMBER(SEARCH($A87, INDEX(AsistenciaJetAdminConcatenada!$D:$D, MATCH(1, (AsistenciaJetAdminConcatenada!$A:$A=GZ$2)*(AsistenciaJetAdminConcatenada!$B:$B=GZ$1), 0)), 1))),  0.5, 0))</f>
        <v>0</v>
      </c>
      <c r="HA87" s="47">
        <f t="array" ref="HA87">IF(AND(ISNUMBER(MATCH(HA$2, AsistenciaJetAdminConcatenada!$A:$A, 0)), ISNUMBER(MATCH(HA$1, AsistenciaJetAdminConcatenada!$B:$B, 0)), ISNUMBER(SEARCH($A87,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ISNUMBER(SEARCH($A87, INDEX(AsistenciaJetAdminConcatenada!$D:$D, MATCH(1, (AsistenciaJetAdminConcatenada!$A:$A=HA$2)*(AsistenciaJetAdminConcatenada!$B:$B=HA$1), 0)), 1))),  0.5, 0))</f>
        <v>0</v>
      </c>
      <c r="HB87" s="47">
        <f t="array" ref="HB87">IF(AND(ISNUMBER(MATCH(HB$2, AsistenciaJetAdminConcatenada!$A:$A, 0)), ISNUMBER(MATCH(HB$1, AsistenciaJetAdminConcatenada!$B:$B, 0)), ISNUMBER(SEARCH($A87,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ISNUMBER(SEARCH($A87, INDEX(AsistenciaJetAdminConcatenada!$D:$D, MATCH(1, (AsistenciaJetAdminConcatenada!$A:$A=HB$2)*(AsistenciaJetAdminConcatenada!$B:$B=HB$1), 0)), 1))),  0.5, 0))</f>
        <v>0</v>
      </c>
      <c r="HC87" s="47">
        <f t="array" ref="HC87">IF(AND(ISNUMBER(MATCH(HC$2, AsistenciaJetAdminConcatenada!$A:$A, 0)), ISNUMBER(MATCH(HC$1, AsistenciaJetAdminConcatenada!$B:$B, 0)), ISNUMBER(SEARCH($A87,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ISNUMBER(SEARCH($A87, INDEX(AsistenciaJetAdminConcatenada!$D:$D, MATCH(1, (AsistenciaJetAdminConcatenada!$A:$A=HC$2)*(AsistenciaJetAdminConcatenada!$B:$B=HC$1), 0)), 1))),  0.5, 0))</f>
        <v>0</v>
      </c>
    </row>
    <row r="88" ht="29.25" customHeight="1">
      <c r="A88" s="3">
        <v>192.0</v>
      </c>
      <c r="B88" s="4" t="s">
        <v>305</v>
      </c>
      <c r="C88" s="47">
        <f>SUM(D88:HC88) + ActividadesEspeciales!C88</f>
        <v>60</v>
      </c>
      <c r="D88" s="47">
        <f t="array" ref="D88">IF(AND(ISNUMBER(MATCH(D$2, AsistenciaJetAdminConcatenada!$A:$A, 0)), ISNUMBER(MATCH(D$1, AsistenciaJetAdminConcatenada!$B:$B, 0)), ISNUMBER(SEARCH($A88,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ISNUMBER(SEARCH($A88, INDEX(AsistenciaJetAdminConcatenada!$D:$D, MATCH(1, (AsistenciaJetAdminConcatenada!$A:$A=D$2)*(AsistenciaJetAdminConcatenada!$B:$B=D$1), 0)), 1))),  0.5, 0))</f>
        <v>1</v>
      </c>
      <c r="E88" s="47">
        <f t="array" ref="E88">IF(AND(ISNUMBER(MATCH(E$2, AsistenciaJetAdminConcatenada!$A:$A, 0)), ISNUMBER(MATCH(E$1, AsistenciaJetAdminConcatenada!$B:$B, 0)), ISNUMBER(SEARCH($A88,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ISNUMBER(SEARCH($A88, INDEX(AsistenciaJetAdminConcatenada!$D:$D, MATCH(1, (AsistenciaJetAdminConcatenada!$A:$A=E$2)*(AsistenciaJetAdminConcatenada!$B:$B=E$1), 0)), 1))),  0.5, 0))</f>
        <v>1</v>
      </c>
      <c r="F88" s="47">
        <f t="array" ref="F88">IF(AND(ISNUMBER(MATCH(F$2, AsistenciaJetAdminConcatenada!$A:$A, 0)), ISNUMBER(MATCH(F$1, AsistenciaJetAdminConcatenada!$B:$B, 0)), ISNUMBER(SEARCH($A88,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ISNUMBER(SEARCH($A88, INDEX(AsistenciaJetAdminConcatenada!$D:$D, MATCH(1, (AsistenciaJetAdminConcatenada!$A:$A=F$2)*(AsistenciaJetAdminConcatenada!$B:$B=F$1), 0)), 1))),  0.5, 0))</f>
        <v>1</v>
      </c>
      <c r="G88" s="47">
        <f t="array" ref="G88">IF(AND(ISNUMBER(MATCH(G$2, AsistenciaJetAdminConcatenada!$A:$A, 0)), ISNUMBER(MATCH(G$1, AsistenciaJetAdminConcatenada!$B:$B, 0)), ISNUMBER(SEARCH($A88,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ISNUMBER(SEARCH($A88, INDEX(AsistenciaJetAdminConcatenada!$D:$D, MATCH(1, (AsistenciaJetAdminConcatenada!$A:$A=G$2)*(AsistenciaJetAdminConcatenada!$B:$B=G$1), 0)), 1))),  0.5, 0))</f>
        <v>1</v>
      </c>
      <c r="H88" s="47">
        <f t="array" ref="H88">IF(AND(ISNUMBER(MATCH(H$2, AsistenciaJetAdminConcatenada!$A:$A, 0)), ISNUMBER(MATCH(H$1, AsistenciaJetAdminConcatenada!$B:$B, 0)), ISNUMBER(SEARCH($A88,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ISNUMBER(SEARCH($A88, INDEX(AsistenciaJetAdminConcatenada!$D:$D, MATCH(1, (AsistenciaJetAdminConcatenada!$A:$A=H$2)*(AsistenciaJetAdminConcatenada!$B:$B=H$1), 0)), 1))),  0.5, 0))</f>
        <v>0</v>
      </c>
      <c r="I88" s="47">
        <f t="array" ref="I88">IF(AND(ISNUMBER(MATCH(I$2, AsistenciaJetAdminConcatenada!$A:$A, 0)), ISNUMBER(MATCH(I$1, AsistenciaJetAdminConcatenada!$B:$B, 0)), ISNUMBER(SEARCH($A88,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ISNUMBER(SEARCH($A88, INDEX(AsistenciaJetAdminConcatenada!$D:$D, MATCH(1, (AsistenciaJetAdminConcatenada!$A:$A=I$2)*(AsistenciaJetAdminConcatenada!$B:$B=I$1), 0)), 1))),  0.5, 0))</f>
        <v>1</v>
      </c>
      <c r="J88" s="47">
        <f t="array" ref="J88">IF(AND(ISNUMBER(MATCH(J$2, AsistenciaJetAdminConcatenada!$A:$A, 0)), ISNUMBER(MATCH(J$1, AsistenciaJetAdminConcatenada!$B:$B, 0)), ISNUMBER(SEARCH($A88,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ISNUMBER(SEARCH($A88, INDEX(AsistenciaJetAdminConcatenada!$D:$D, MATCH(1, (AsistenciaJetAdminConcatenada!$A:$A=J$2)*(AsistenciaJetAdminConcatenada!$B:$B=J$1), 0)), 1))),  0.5, 0))</f>
        <v>0</v>
      </c>
      <c r="K88" s="47">
        <f t="array" ref="K88">IF(AND(ISNUMBER(MATCH(K$2, AsistenciaJetAdminConcatenada!$A:$A, 0)), ISNUMBER(MATCH(K$1, AsistenciaJetAdminConcatenada!$B:$B, 0)), ISNUMBER(SEARCH($A88,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ISNUMBER(SEARCH($A88, INDEX(AsistenciaJetAdminConcatenada!$D:$D, MATCH(1, (AsistenciaJetAdminConcatenada!$A:$A=K$2)*(AsistenciaJetAdminConcatenada!$B:$B=K$1), 0)), 1))),  0.5, 0))</f>
        <v>1</v>
      </c>
      <c r="L88" s="47">
        <f t="array" ref="L88">IF(AND(ISNUMBER(MATCH(L$2, AsistenciaJetAdminConcatenada!$A:$A, 0)), ISNUMBER(MATCH(L$1, AsistenciaJetAdminConcatenada!$B:$B, 0)), ISNUMBER(SEARCH($A88,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ISNUMBER(SEARCH($A88, INDEX(AsistenciaJetAdminConcatenada!$D:$D, MATCH(1, (AsistenciaJetAdminConcatenada!$A:$A=L$2)*(AsistenciaJetAdminConcatenada!$B:$B=L$1), 0)), 1))),  0.5, 0))</f>
        <v>1</v>
      </c>
      <c r="M88" s="47">
        <f t="array" ref="M88">IF(AND(ISNUMBER(MATCH(M$2, AsistenciaJetAdminConcatenada!$A:$A, 0)), ISNUMBER(MATCH(M$1, AsistenciaJetAdminConcatenada!$B:$B, 0)), ISNUMBER(SEARCH($A88,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ISNUMBER(SEARCH($A88, INDEX(AsistenciaJetAdminConcatenada!$D:$D, MATCH(1, (AsistenciaJetAdminConcatenada!$A:$A=M$2)*(AsistenciaJetAdminConcatenada!$B:$B=M$1), 0)), 1))),  0.5, 0))</f>
        <v>0</v>
      </c>
      <c r="N88" s="47">
        <f t="array" ref="N88">IF(AND(ISNUMBER(MATCH(N$2, AsistenciaJetAdminConcatenada!$A:$A, 0)), ISNUMBER(MATCH(N$1, AsistenciaJetAdminConcatenada!$B:$B, 0)), ISNUMBER(SEARCH($A88,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ISNUMBER(SEARCH($A88, INDEX(AsistenciaJetAdminConcatenada!$D:$D, MATCH(1, (AsistenciaJetAdminConcatenada!$A:$A=N$2)*(AsistenciaJetAdminConcatenada!$B:$B=N$1), 0)), 1))),  0.5, 0))</f>
        <v>0</v>
      </c>
      <c r="O88" s="47">
        <f t="array" ref="O88">IF(AND(ISNUMBER(MATCH(O$2, AsistenciaJetAdminConcatenada!$A:$A, 0)), ISNUMBER(MATCH(O$1, AsistenciaJetAdminConcatenada!$B:$B, 0)), ISNUMBER(SEARCH($A88,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ISNUMBER(SEARCH($A88, INDEX(AsistenciaJetAdminConcatenada!$D:$D, MATCH(1, (AsistenciaJetAdminConcatenada!$A:$A=O$2)*(AsistenciaJetAdminConcatenada!$B:$B=O$1), 0)), 1))),  0.5, 0))</f>
        <v>1</v>
      </c>
      <c r="P88" s="47">
        <f t="array" ref="P88">IF(AND(ISNUMBER(MATCH(P$2, AsistenciaJetAdminConcatenada!$A:$A, 0)), ISNUMBER(MATCH(P$1, AsistenciaJetAdminConcatenada!$B:$B, 0)), ISNUMBER(SEARCH($A88, INDEX(AsistenciaJetAdminConcatenada!$C:$C, MATCH(1, (AsistenciaJetAdminConcatenada!$A:$A=P$2)*(AsistenciaJetAdminConcatenada!$B:$B=P$1), 0)), 1))), 1, IF(AND(ISNUMBER(MATCH(P$2, AsistenciaJetAdminConcatenada!$A:$A, 0)), ISNUMBER(MATCH(P$1, AsistenciaJetAdminConcatenada!$B:$B, 0)), ISNUMBER(SEARCH($A88, INDEX(AsistenciaJetAdminConcatenada!$D:$D, MATCH(1, (AsistenciaJetAdminConcatenada!$A:$A=P$2)*(AsistenciaJetAdminConcatenada!$B:$B=P$1), 0)), 1))),  0.5, 0))</f>
        <v>1</v>
      </c>
      <c r="Q88" s="47">
        <f t="array" ref="Q88">IF(AND(ISNUMBER(MATCH(Q$2, AsistenciaJetAdminConcatenada!$A:$A, 0)), ISNUMBER(MATCH(Q$1, AsistenciaJetAdminConcatenada!$B:$B, 0)), ISNUMBER(SEARCH($A88, INDEX(AsistenciaJetAdminConcatenada!$C:$C, MATCH(1, (AsistenciaJetAdminConcatenada!$A:$A=Q$2)*(AsistenciaJetAdminConcatenada!$B:$B=Q$1), 0)), 1))), 1, IF(AND(ISNUMBER(MATCH(Q$2, AsistenciaJetAdminConcatenada!$A:$A, 0)), ISNUMBER(MATCH(Q$1, AsistenciaJetAdminConcatenada!$B:$B, 0)), ISNUMBER(SEARCH($A88, INDEX(AsistenciaJetAdminConcatenada!$D:$D, MATCH(1, (AsistenciaJetAdminConcatenada!$A:$A=Q$2)*(AsistenciaJetAdminConcatenada!$B:$B=Q$1), 0)), 1))),  0.5, 0))</f>
        <v>0</v>
      </c>
      <c r="R88" s="47">
        <f t="array" ref="R88">IF(AND(ISNUMBER(MATCH(R$2, AsistenciaJetAdminConcatenada!$A:$A, 0)), ISNUMBER(MATCH(R$1, AsistenciaJetAdminConcatenada!$B:$B, 0)), ISNUMBER(SEARCH($A88,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ISNUMBER(SEARCH($A88, INDEX(AsistenciaJetAdminConcatenada!$D:$D, MATCH(1, (AsistenciaJetAdminConcatenada!$A:$A=R$2)*(AsistenciaJetAdminConcatenada!$B:$B=R$1), 0)), 1))),  0.5, 0))</f>
        <v>1</v>
      </c>
      <c r="S88" s="47">
        <f t="array" ref="S88">IF(AND(ISNUMBER(MATCH(S$2, AsistenciaJetAdminConcatenada!$A:$A, 0)), ISNUMBER(MATCH(S$1, AsistenciaJetAdminConcatenada!$B:$B, 0)), ISNUMBER(SEARCH($A88,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ISNUMBER(SEARCH($A88, INDEX(AsistenciaJetAdminConcatenada!$D:$D, MATCH(1, (AsistenciaJetAdminConcatenada!$A:$A=S$2)*(AsistenciaJetAdminConcatenada!$B:$B=S$1), 0)), 1))),  0.5, 0))</f>
        <v>1</v>
      </c>
      <c r="T88" s="47">
        <f t="array" ref="T88">IF(AND(ISNUMBER(MATCH(T$2, AsistenciaJetAdminConcatenada!$A:$A, 0)), ISNUMBER(MATCH(T$1, AsistenciaJetAdminConcatenada!$B:$B, 0)), ISNUMBER(SEARCH($A88,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ISNUMBER(SEARCH($A88, INDEX(AsistenciaJetAdminConcatenada!$D:$D, MATCH(1, (AsistenciaJetAdminConcatenada!$A:$A=T$2)*(AsistenciaJetAdminConcatenada!$B:$B=T$1), 0)), 1))),  0.5, 0))</f>
        <v>1</v>
      </c>
      <c r="U88" s="47">
        <f t="array" ref="U88">IF(AND(ISNUMBER(MATCH(U$2, AsistenciaJetAdminConcatenada!$A:$A, 0)), ISNUMBER(MATCH(U$1, AsistenciaJetAdminConcatenada!$B:$B, 0)), ISNUMBER(SEARCH($A88,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ISNUMBER(SEARCH($A88, INDEX(AsistenciaJetAdminConcatenada!$D:$D, MATCH(1, (AsistenciaJetAdminConcatenada!$A:$A=U$2)*(AsistenciaJetAdminConcatenada!$B:$B=U$1), 0)), 1))),  0.5, 0))</f>
        <v>1</v>
      </c>
      <c r="V88" s="47">
        <f t="array" ref="V88">IF(AND(ISNUMBER(MATCH(V$2, AsistenciaJetAdminConcatenada!$A:$A, 0)), ISNUMBER(MATCH(V$1, AsistenciaJetAdminConcatenada!$B:$B, 0)), ISNUMBER(SEARCH($A88,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ISNUMBER(SEARCH($A88, INDEX(AsistenciaJetAdminConcatenada!$D:$D, MATCH(1, (AsistenciaJetAdminConcatenada!$A:$A=V$2)*(AsistenciaJetAdminConcatenada!$B:$B=V$1), 0)), 1))),  0.5, 0))</f>
        <v>0</v>
      </c>
      <c r="W88" s="47">
        <f t="array" ref="W88">IF(AND(ISNUMBER(MATCH(W$2, AsistenciaJetAdminConcatenada!$A:$A, 0)), ISNUMBER(MATCH(W$1, AsistenciaJetAdminConcatenada!$B:$B, 0)), ISNUMBER(SEARCH($A88,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ISNUMBER(SEARCH($A88, INDEX(AsistenciaJetAdminConcatenada!$D:$D, MATCH(1, (AsistenciaJetAdminConcatenada!$A:$A=W$2)*(AsistenciaJetAdminConcatenada!$B:$B=W$1), 0)), 1))),  0.5, 0))</f>
        <v>1</v>
      </c>
      <c r="X88" s="47">
        <f t="array" ref="X88">IF(AND(ISNUMBER(MATCH(X$2, AsistenciaJetAdminConcatenada!$A:$A, 0)), ISNUMBER(MATCH(X$1, AsistenciaJetAdminConcatenada!$B:$B, 0)), ISNUMBER(SEARCH($A88,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ISNUMBER(SEARCH($A88, INDEX(AsistenciaJetAdminConcatenada!$D:$D, MATCH(1, (AsistenciaJetAdminConcatenada!$A:$A=X$2)*(AsistenciaJetAdminConcatenada!$B:$B=X$1), 0)), 1))),  0.5, 0))</f>
        <v>0</v>
      </c>
      <c r="Y88" s="47">
        <f t="array" ref="Y88">IF(AND(ISNUMBER(MATCH(Y$2, AsistenciaJetAdminConcatenada!$A:$A, 0)), ISNUMBER(MATCH(Y$1, AsistenciaJetAdminConcatenada!$B:$B, 0)), ISNUMBER(SEARCH($A88,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ISNUMBER(SEARCH($A88, INDEX(AsistenciaJetAdminConcatenada!$D:$D, MATCH(1, (AsistenciaJetAdminConcatenada!$A:$A=Y$2)*(AsistenciaJetAdminConcatenada!$B:$B=Y$1), 0)), 1))),  0.5, 0))</f>
        <v>1</v>
      </c>
      <c r="Z88" s="47">
        <f t="array" ref="Z88">IF(AND(ISNUMBER(MATCH(Z$2, AsistenciaJetAdminConcatenada!$A:$A, 0)), ISNUMBER(MATCH(Z$1, AsistenciaJetAdminConcatenada!$B:$B, 0)), ISNUMBER(SEARCH($A88,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ISNUMBER(SEARCH($A88, INDEX(AsistenciaJetAdminConcatenada!$D:$D, MATCH(1, (AsistenciaJetAdminConcatenada!$A:$A=Z$2)*(AsistenciaJetAdminConcatenada!$B:$B=Z$1), 0)), 1))),  0.5, 0))</f>
        <v>0</v>
      </c>
      <c r="AA88" s="47">
        <f t="array" ref="AA88">IF(AND(ISNUMBER(MATCH(AA$2, AsistenciaJetAdminConcatenada!$A:$A, 0)), ISNUMBER(MATCH(AA$1, AsistenciaJetAdminConcatenada!$B:$B, 0)), ISNUMBER(SEARCH($A88,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ISNUMBER(SEARCH($A88, INDEX(AsistenciaJetAdminConcatenada!$D:$D, MATCH(1, (AsistenciaJetAdminConcatenada!$A:$A=AA$2)*(AsistenciaJetAdminConcatenada!$B:$B=AA$1), 0)), 1))),  0.5, 0))</f>
        <v>1</v>
      </c>
      <c r="AB88" s="47">
        <f t="array" ref="AB88">IF(AND(ISNUMBER(MATCH(AB$2, AsistenciaJetAdminConcatenada!$A:$A, 0)), ISNUMBER(MATCH(AB$1, AsistenciaJetAdminConcatenada!$B:$B, 0)), ISNUMBER(SEARCH($A88,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ISNUMBER(SEARCH($A88, INDEX(AsistenciaJetAdminConcatenada!$D:$D, MATCH(1, (AsistenciaJetAdminConcatenada!$A:$A=AB$2)*(AsistenciaJetAdminConcatenada!$B:$B=AB$1), 0)), 1))),  0.5, 0))</f>
        <v>0</v>
      </c>
      <c r="AC88" s="47">
        <f t="array" ref="AC88">IF(AND(ISNUMBER(MATCH(AC$2, AsistenciaJetAdminConcatenada!$A:$A, 0)), ISNUMBER(MATCH(AC$1, AsistenciaJetAdminConcatenada!$B:$B, 0)), ISNUMBER(SEARCH($A88,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ISNUMBER(SEARCH($A88, INDEX(AsistenciaJetAdminConcatenada!$D:$D, MATCH(1, (AsistenciaJetAdminConcatenada!$A:$A=AC$2)*(AsistenciaJetAdminConcatenada!$B:$B=AC$1), 0)), 1))),  0.5, 0))</f>
        <v>1</v>
      </c>
      <c r="AD88" s="47">
        <f t="array" ref="AD88">IF(AND(ISNUMBER(MATCH(AD$2, AsistenciaJetAdminConcatenada!$A:$A, 0)), ISNUMBER(MATCH(AD$1, AsistenciaJetAdminConcatenada!$B:$B, 0)), ISNUMBER(SEARCH($A88,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ISNUMBER(SEARCH($A88, INDEX(AsistenciaJetAdminConcatenada!$D:$D, MATCH(1, (AsistenciaJetAdminConcatenada!$A:$A=AD$2)*(AsistenciaJetAdminConcatenada!$B:$B=AD$1), 0)), 1))),  0.5, 0))</f>
        <v>1</v>
      </c>
      <c r="AE88" s="47">
        <f t="array" ref="AE88">IF(AND(ISNUMBER(MATCH(AE$2, AsistenciaJetAdminConcatenada!$A:$A, 0)), ISNUMBER(MATCH(AE$1, AsistenciaJetAdminConcatenada!$B:$B, 0)), ISNUMBER(SEARCH($A88,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ISNUMBER(SEARCH($A88, INDEX(AsistenciaJetAdminConcatenada!$D:$D, MATCH(1, (AsistenciaJetAdminConcatenada!$A:$A=AE$2)*(AsistenciaJetAdminConcatenada!$B:$B=AE$1), 0)), 1))),  0.5, 0))</f>
        <v>1</v>
      </c>
      <c r="AF88" s="47">
        <f t="array" ref="AF88">IF(AND(ISNUMBER(MATCH(AF$2, AsistenciaJetAdminConcatenada!$A:$A, 0)), ISNUMBER(MATCH(AF$1, AsistenciaJetAdminConcatenada!$B:$B, 0)), ISNUMBER(SEARCH($A88,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ISNUMBER(SEARCH($A88, INDEX(AsistenciaJetAdminConcatenada!$D:$D, MATCH(1, (AsistenciaJetAdminConcatenada!$A:$A=AF$2)*(AsistenciaJetAdminConcatenada!$B:$B=AF$1), 0)), 1))),  0.5, 0))</f>
        <v>1</v>
      </c>
      <c r="AG88" s="47">
        <f t="array" ref="AG88">IF(AND(ISNUMBER(MATCH(AG$2, AsistenciaJetAdminConcatenada!$A:$A, 0)), ISNUMBER(MATCH(AG$1, AsistenciaJetAdminConcatenada!$B:$B, 0)), ISNUMBER(SEARCH($A88,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ISNUMBER(SEARCH($A88, INDEX(AsistenciaJetAdminConcatenada!$D:$D, MATCH(1, (AsistenciaJetAdminConcatenada!$A:$A=AG$2)*(AsistenciaJetAdminConcatenada!$B:$B=AG$1), 0)), 1))),  0.5, 0))</f>
        <v>0</v>
      </c>
      <c r="AH88" s="47">
        <f t="array" ref="AH88">IF(AND(ISNUMBER(MATCH(AH$2, AsistenciaJetAdminConcatenada!$A:$A, 0)), ISNUMBER(MATCH(AH$1, AsistenciaJetAdminConcatenada!$B:$B, 0)), ISNUMBER(SEARCH($A88,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ISNUMBER(SEARCH($A88, INDEX(AsistenciaJetAdminConcatenada!$D:$D, MATCH(1, (AsistenciaJetAdminConcatenada!$A:$A=AH$2)*(AsistenciaJetAdminConcatenada!$B:$B=AH$1), 0)), 1))),  0.5, 0))</f>
        <v>0</v>
      </c>
      <c r="AI88" s="47">
        <f t="array" ref="AI88">IF(AND(ISNUMBER(MATCH(AI$2, AsistenciaJetAdminConcatenada!$A:$A, 0)), ISNUMBER(MATCH(AI$1, AsistenciaJetAdminConcatenada!$B:$B, 0)), ISNUMBER(SEARCH($A88,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ISNUMBER(SEARCH($A88, INDEX(AsistenciaJetAdminConcatenada!$D:$D, MATCH(1, (AsistenciaJetAdminConcatenada!$A:$A=AI$2)*(AsistenciaJetAdminConcatenada!$B:$B=AI$1), 0)), 1))),  0.5, 0))</f>
        <v>0</v>
      </c>
      <c r="AJ88" s="47">
        <f t="array" ref="AJ88">IF(AND(ISNUMBER(MATCH(AJ$2, AsistenciaJetAdminConcatenada!$A:$A, 0)), ISNUMBER(MATCH(AJ$1, AsistenciaJetAdminConcatenada!$B:$B, 0)), ISNUMBER(SEARCH($A88,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ISNUMBER(SEARCH($A88, INDEX(AsistenciaJetAdminConcatenada!$D:$D, MATCH(1, (AsistenciaJetAdminConcatenada!$A:$A=AJ$2)*(AsistenciaJetAdminConcatenada!$B:$B=AJ$1), 0)), 1))),  0.5, 0))</f>
        <v>1</v>
      </c>
      <c r="AK88" s="47">
        <f t="array" ref="AK88">IF(AND(ISNUMBER(MATCH(AK$2, AsistenciaJetAdminConcatenada!$A:$A, 0)), ISNUMBER(MATCH(AK$1, AsistenciaJetAdminConcatenada!$B:$B, 0)), ISNUMBER(SEARCH($A88,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ISNUMBER(SEARCH($A88, INDEX(AsistenciaJetAdminConcatenada!$D:$D, MATCH(1, (AsistenciaJetAdminConcatenada!$A:$A=AK$2)*(AsistenciaJetAdminConcatenada!$B:$B=AK$1), 0)), 1))),  0.5, 0))</f>
        <v>1</v>
      </c>
      <c r="AL88" s="47">
        <f t="array" ref="AL88">IF(AND(ISNUMBER(MATCH(AL$2, AsistenciaJetAdminConcatenada!$A:$A, 0)), ISNUMBER(MATCH(AL$1, AsistenciaJetAdminConcatenada!$B:$B, 0)), ISNUMBER(SEARCH($A88,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ISNUMBER(SEARCH($A88, INDEX(AsistenciaJetAdminConcatenada!$D:$D, MATCH(1, (AsistenciaJetAdminConcatenada!$A:$A=AL$2)*(AsistenciaJetAdminConcatenada!$B:$B=AL$1), 0)), 1))),  0.5, 0))</f>
        <v>0</v>
      </c>
      <c r="AM88" s="47">
        <f t="array" ref="AM88">IF(AND(ISNUMBER(MATCH(AM$2, AsistenciaJetAdminConcatenada!$A:$A, 0)), ISNUMBER(MATCH(AM$1, AsistenciaJetAdminConcatenada!$B:$B, 0)), ISNUMBER(SEARCH($A88,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ISNUMBER(SEARCH($A88, INDEX(AsistenciaJetAdminConcatenada!$D:$D, MATCH(1, (AsistenciaJetAdminConcatenada!$A:$A=AM$2)*(AsistenciaJetAdminConcatenada!$B:$B=AM$1), 0)), 1))),  0.5, 0))</f>
        <v>0</v>
      </c>
      <c r="AN88" s="47">
        <f t="array" ref="AN88">IF(AND(ISNUMBER(MATCH(AN$2, AsistenciaJetAdminConcatenada!$A:$A, 0)), ISNUMBER(MATCH(AN$1, AsistenciaJetAdminConcatenada!$B:$B, 0)), ISNUMBER(SEARCH($A88,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ISNUMBER(SEARCH($A88, INDEX(AsistenciaJetAdminConcatenada!$D:$D, MATCH(1, (AsistenciaJetAdminConcatenada!$A:$A=AN$2)*(AsistenciaJetAdminConcatenada!$B:$B=AN$1), 0)), 1))),  0.5, 0))</f>
        <v>1</v>
      </c>
      <c r="AO88" s="47">
        <f t="array" ref="AO88">IF(AND(ISNUMBER(MATCH(AO$2, AsistenciaJetAdminConcatenada!$A:$A, 0)), ISNUMBER(MATCH(AO$1, AsistenciaJetAdminConcatenada!$B:$B, 0)), ISNUMBER(SEARCH($A88,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ISNUMBER(SEARCH($A88, INDEX(AsistenciaJetAdminConcatenada!$D:$D, MATCH(1, (AsistenciaJetAdminConcatenada!$A:$A=AO$2)*(AsistenciaJetAdminConcatenada!$B:$B=AO$1), 0)), 1))),  0.5, 0))</f>
        <v>1</v>
      </c>
      <c r="AP88" s="47">
        <f t="array" ref="AP88">IF(AND(ISNUMBER(MATCH(AP$2, AsistenciaJetAdminConcatenada!$A:$A, 0)), ISNUMBER(MATCH(AP$1, AsistenciaJetAdminConcatenada!$B:$B, 0)), ISNUMBER(SEARCH($A88,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ISNUMBER(SEARCH($A88, INDEX(AsistenciaJetAdminConcatenada!$D:$D, MATCH(1, (AsistenciaJetAdminConcatenada!$A:$A=AP$2)*(AsistenciaJetAdminConcatenada!$B:$B=AP$1), 0)), 1))),  0.5, 0))</f>
        <v>1</v>
      </c>
      <c r="AQ88" s="47">
        <f t="array" ref="AQ88">IF(AND(ISNUMBER(MATCH(AQ$2, AsistenciaJetAdminConcatenada!$A:$A, 0)), ISNUMBER(MATCH(AQ$1, AsistenciaJetAdminConcatenada!$B:$B, 0)), ISNUMBER(SEARCH($A88,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ISNUMBER(SEARCH($A88, INDEX(AsistenciaJetAdminConcatenada!$D:$D, MATCH(1, (AsistenciaJetAdminConcatenada!$A:$A=AQ$2)*(AsistenciaJetAdminConcatenada!$B:$B=AQ$1), 0)), 1))),  0.5, 0))</f>
        <v>0</v>
      </c>
      <c r="AR88" s="47">
        <f t="array" ref="AR88">IF(AND(ISNUMBER(MATCH(AR$2, AsistenciaJetAdminConcatenada!$A:$A, 0)), ISNUMBER(MATCH(AR$1, AsistenciaJetAdminConcatenada!$B:$B, 0)), ISNUMBER(SEARCH($A88,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ISNUMBER(SEARCH($A88, INDEX(AsistenciaJetAdminConcatenada!$D:$D, MATCH(1, (AsistenciaJetAdminConcatenada!$A:$A=AR$2)*(AsistenciaJetAdminConcatenada!$B:$B=AR$1), 0)), 1))),  0.5, 0))</f>
        <v>1</v>
      </c>
      <c r="AS88" s="47">
        <f t="array" ref="AS88">IF(AND(ISNUMBER(MATCH(AS$2, AsistenciaJetAdminConcatenada!$A:$A, 0)), ISNUMBER(MATCH(AS$1, AsistenciaJetAdminConcatenada!$B:$B, 0)), ISNUMBER(SEARCH($A88,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ISNUMBER(SEARCH($A88, INDEX(AsistenciaJetAdminConcatenada!$D:$D, MATCH(1, (AsistenciaJetAdminConcatenada!$A:$A=AS$2)*(AsistenciaJetAdminConcatenada!$B:$B=AS$1), 0)), 1))),  0.5, 0))</f>
        <v>0</v>
      </c>
      <c r="AT88" s="47">
        <f t="array" ref="AT88">IF(AND(ISNUMBER(MATCH(AT$2, AsistenciaJetAdminConcatenada!$A:$A, 0)), ISNUMBER(MATCH(AT$1, AsistenciaJetAdminConcatenada!$B:$B, 0)), ISNUMBER(SEARCH($A88,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ISNUMBER(SEARCH($A88, INDEX(AsistenciaJetAdminConcatenada!$D:$D, MATCH(1, (AsistenciaJetAdminConcatenada!$A:$A=AT$2)*(AsistenciaJetAdminConcatenada!$B:$B=AT$1), 0)), 1))),  0.5, 0))</f>
        <v>0</v>
      </c>
      <c r="AU88" s="47">
        <f t="array" ref="AU88">IF(AND(ISNUMBER(MATCH(AU$2, AsistenciaJetAdminConcatenada!$A:$A, 0)), ISNUMBER(MATCH(AU$1, AsistenciaJetAdminConcatenada!$B:$B, 0)), ISNUMBER(SEARCH($A88,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ISNUMBER(SEARCH($A88, INDEX(AsistenciaJetAdminConcatenada!$D:$D, MATCH(1, (AsistenciaJetAdminConcatenada!$A:$A=AU$2)*(AsistenciaJetAdminConcatenada!$B:$B=AU$1), 0)), 1))),  0.5, 0))</f>
        <v>1</v>
      </c>
      <c r="AV88" s="47">
        <f t="array" ref="AV88">IF(AND(ISNUMBER(MATCH(AV$2, AsistenciaJetAdminConcatenada!$A:$A, 0)), ISNUMBER(MATCH(AV$1, AsistenciaJetAdminConcatenada!$B:$B, 0)), ISNUMBER(SEARCH($A88,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ISNUMBER(SEARCH($A88, INDEX(AsistenciaJetAdminConcatenada!$D:$D, MATCH(1, (AsistenciaJetAdminConcatenada!$A:$A=AV$2)*(AsistenciaJetAdminConcatenada!$B:$B=AV$1), 0)), 1))),  0.5, 0))</f>
        <v>1</v>
      </c>
      <c r="AW88" s="47">
        <f t="array" ref="AW88">IF(AND(ISNUMBER(MATCH(AW$2, AsistenciaJetAdminConcatenada!$A:$A, 0)), ISNUMBER(MATCH(AW$1, AsistenciaJetAdminConcatenada!$B:$B, 0)), ISNUMBER(SEARCH($A88,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ISNUMBER(SEARCH($A88, INDEX(AsistenciaJetAdminConcatenada!$D:$D, MATCH(1, (AsistenciaJetAdminConcatenada!$A:$A=AW$2)*(AsistenciaJetAdminConcatenada!$B:$B=AW$1), 0)), 1))),  0.5, 0))</f>
        <v>0</v>
      </c>
      <c r="AX88" s="47">
        <f t="array" ref="AX88">IF(AND(ISNUMBER(MATCH(AX$2, AsistenciaJetAdminConcatenada!$A:$A, 0)), ISNUMBER(MATCH(AX$1, AsistenciaJetAdminConcatenada!$B:$B, 0)), ISNUMBER(SEARCH($A88,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ISNUMBER(SEARCH($A88, INDEX(AsistenciaJetAdminConcatenada!$D:$D, MATCH(1, (AsistenciaJetAdminConcatenada!$A:$A=AX$2)*(AsistenciaJetAdminConcatenada!$B:$B=AX$1), 0)), 1))),  0.5, 0))</f>
        <v>0</v>
      </c>
      <c r="AY88" s="47">
        <f t="array" ref="AY88">IF(AND(ISNUMBER(MATCH(AY$2, AsistenciaJetAdminConcatenada!$A:$A, 0)), ISNUMBER(MATCH(AY$1, AsistenciaJetAdminConcatenada!$B:$B, 0)), ISNUMBER(SEARCH($A88,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ISNUMBER(SEARCH($A88, INDEX(AsistenciaJetAdminConcatenada!$D:$D, MATCH(1, (AsistenciaJetAdminConcatenada!$A:$A=AY$2)*(AsistenciaJetAdminConcatenada!$B:$B=AY$1), 0)), 1))),  0.5, 0))</f>
        <v>1</v>
      </c>
      <c r="AZ88" s="47">
        <f t="array" ref="AZ88">IF(AND(ISNUMBER(MATCH(AZ$2, AsistenciaJetAdminConcatenada!$A:$A, 0)), ISNUMBER(MATCH(AZ$1, AsistenciaJetAdminConcatenada!$B:$B, 0)), ISNUMBER(SEARCH($A88,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ISNUMBER(SEARCH($A88, INDEX(AsistenciaJetAdminConcatenada!$D:$D, MATCH(1, (AsistenciaJetAdminConcatenada!$A:$A=AZ$2)*(AsistenciaJetAdminConcatenada!$B:$B=AZ$1), 0)), 1))),  0.5, 0))</f>
        <v>0</v>
      </c>
      <c r="BA88" s="47">
        <f t="array" ref="BA88">IF(AND(ISNUMBER(MATCH(BA$2, AsistenciaJetAdminConcatenada!$A:$A, 0)), ISNUMBER(MATCH(BA$1, AsistenciaJetAdminConcatenada!$B:$B, 0)), ISNUMBER(SEARCH($A88,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ISNUMBER(SEARCH($A88, INDEX(AsistenciaJetAdminConcatenada!$D:$D, MATCH(1, (AsistenciaJetAdminConcatenada!$A:$A=BA$2)*(AsistenciaJetAdminConcatenada!$B:$B=BA$1), 0)), 1))),  0.5, 0))</f>
        <v>0</v>
      </c>
      <c r="BB88" s="47">
        <f t="array" ref="BB88">IF(AND(ISNUMBER(MATCH(BB$2, AsistenciaJetAdminConcatenada!$A:$A, 0)), ISNUMBER(MATCH(BB$1, AsistenciaJetAdminConcatenada!$B:$B, 0)), ISNUMBER(SEARCH($A88,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ISNUMBER(SEARCH($A88, INDEX(AsistenciaJetAdminConcatenada!$D:$D, MATCH(1, (AsistenciaJetAdminConcatenada!$A:$A=BB$2)*(AsistenciaJetAdminConcatenada!$B:$B=BB$1), 0)), 1))),  0.5, 0))</f>
        <v>1</v>
      </c>
      <c r="BC88" s="47">
        <f t="array" ref="BC88">IF(AND(ISNUMBER(MATCH(BC$2, AsistenciaJetAdminConcatenada!$A:$A, 0)), ISNUMBER(MATCH(BC$1, AsistenciaJetAdminConcatenada!$B:$B, 0)), ISNUMBER(SEARCH($A88,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ISNUMBER(SEARCH($A88, INDEX(AsistenciaJetAdminConcatenada!$D:$D, MATCH(1, (AsistenciaJetAdminConcatenada!$A:$A=BC$2)*(AsistenciaJetAdminConcatenada!$B:$B=BC$1), 0)), 1))),  0.5, 0))</f>
        <v>1</v>
      </c>
      <c r="BD88" s="47">
        <f t="array" ref="BD88">IF(AND(ISNUMBER(MATCH(BD$2, AsistenciaJetAdminConcatenada!$A:$A, 0)), ISNUMBER(MATCH(BD$1, AsistenciaJetAdminConcatenada!$B:$B, 0)), ISNUMBER(SEARCH($A88,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ISNUMBER(SEARCH($A88, INDEX(AsistenciaJetAdminConcatenada!$D:$D, MATCH(1, (AsistenciaJetAdminConcatenada!$A:$A=BD$2)*(AsistenciaJetAdminConcatenada!$B:$B=BD$1), 0)), 1))),  0.5, 0))</f>
        <v>1</v>
      </c>
      <c r="BE88" s="47">
        <f t="array" ref="BE88">IF(AND(ISNUMBER(MATCH(BE$2, AsistenciaJetAdminConcatenada!$A:$A, 0)), ISNUMBER(MATCH(BE$1, AsistenciaJetAdminConcatenada!$B:$B, 0)), ISNUMBER(SEARCH($A88,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ISNUMBER(SEARCH($A88, INDEX(AsistenciaJetAdminConcatenada!$D:$D, MATCH(1, (AsistenciaJetAdminConcatenada!$A:$A=BE$2)*(AsistenciaJetAdminConcatenada!$B:$B=BE$1), 0)), 1))),  0.5, 0))</f>
        <v>1</v>
      </c>
      <c r="BF88" s="47">
        <f t="array" ref="BF88">IF(AND(ISNUMBER(MATCH(BF$2, AsistenciaJetAdminConcatenada!$A:$A, 0)), ISNUMBER(MATCH(BF$1, AsistenciaJetAdminConcatenada!$B:$B, 0)), ISNUMBER(SEARCH($A88,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ISNUMBER(SEARCH($A88, INDEX(AsistenciaJetAdminConcatenada!$D:$D, MATCH(1, (AsistenciaJetAdminConcatenada!$A:$A=BF$2)*(AsistenciaJetAdminConcatenada!$B:$B=BF$1), 0)), 1))),  0.5, 0))</f>
        <v>1</v>
      </c>
      <c r="BG88" s="47">
        <f t="array" ref="BG88">IF(AND(ISNUMBER(MATCH(BG$2, AsistenciaJetAdminConcatenada!$A:$A, 0)), ISNUMBER(MATCH(BG$1, AsistenciaJetAdminConcatenada!$B:$B, 0)), ISNUMBER(SEARCH($A88,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ISNUMBER(SEARCH($A88, INDEX(AsistenciaJetAdminConcatenada!$D:$D, MATCH(1, (AsistenciaJetAdminConcatenada!$A:$A=BG$2)*(AsistenciaJetAdminConcatenada!$B:$B=BG$1), 0)), 1))),  0.5, 0))</f>
        <v>1</v>
      </c>
      <c r="BH88" s="47">
        <f t="array" ref="BH88">IF(AND(ISNUMBER(MATCH(BH$2, AsistenciaJetAdminConcatenada!$A:$A, 0)), ISNUMBER(MATCH(BH$1, AsistenciaJetAdminConcatenada!$B:$B, 0)), ISNUMBER(SEARCH($A88,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ISNUMBER(SEARCH($A88, INDEX(AsistenciaJetAdminConcatenada!$D:$D, MATCH(1, (AsistenciaJetAdminConcatenada!$A:$A=BH$2)*(AsistenciaJetAdminConcatenada!$B:$B=BH$1), 0)), 1))),  0.5, 0))</f>
        <v>1</v>
      </c>
      <c r="BI88" s="47">
        <f t="array" ref="BI88">IF(AND(ISNUMBER(MATCH(BI$2, AsistenciaJetAdminConcatenada!$A:$A, 0)), ISNUMBER(MATCH(BI$1, AsistenciaJetAdminConcatenada!$B:$B, 0)), ISNUMBER(SEARCH($A88,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ISNUMBER(SEARCH($A88, INDEX(AsistenciaJetAdminConcatenada!$D:$D, MATCH(1, (AsistenciaJetAdminConcatenada!$A:$A=BI$2)*(AsistenciaJetAdminConcatenada!$B:$B=BI$1), 0)), 1))),  0.5, 0))</f>
        <v>1</v>
      </c>
      <c r="BJ88" s="47">
        <f t="array" ref="BJ88">IF(AND(ISNUMBER(MATCH(BJ$2, AsistenciaJetAdminConcatenada!$A:$A, 0)), ISNUMBER(MATCH(BJ$1, AsistenciaJetAdminConcatenada!$B:$B, 0)), ISNUMBER(SEARCH($A88,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ISNUMBER(SEARCH($A88, INDEX(AsistenciaJetAdminConcatenada!$D:$D, MATCH(1, (AsistenciaJetAdminConcatenada!$A:$A=BJ$2)*(AsistenciaJetAdminConcatenada!$B:$B=BJ$1), 0)), 1))),  0.5, 0))</f>
        <v>1</v>
      </c>
      <c r="BK88" s="47">
        <f t="array" ref="BK88">IF(AND(ISNUMBER(MATCH(BK$2, AsistenciaJetAdminConcatenada!$A:$A, 0)), ISNUMBER(MATCH(BK$1, AsistenciaJetAdminConcatenada!$B:$B, 0)), ISNUMBER(SEARCH($A88,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ISNUMBER(SEARCH($A88, INDEX(AsistenciaJetAdminConcatenada!$D:$D, MATCH(1, (AsistenciaJetAdminConcatenada!$A:$A=BK$2)*(AsistenciaJetAdminConcatenada!$B:$B=BK$1), 0)), 1))),  0.5, 0))</f>
        <v>1</v>
      </c>
      <c r="BL88" s="47">
        <f t="array" ref="BL88">IF(AND(ISNUMBER(MATCH(BL$2, AsistenciaJetAdminConcatenada!$A:$A, 0)), ISNUMBER(MATCH(BL$1, AsistenciaJetAdminConcatenada!$B:$B, 0)), ISNUMBER(SEARCH($A88,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ISNUMBER(SEARCH($A88, INDEX(AsistenciaJetAdminConcatenada!$D:$D, MATCH(1, (AsistenciaJetAdminConcatenada!$A:$A=BL$2)*(AsistenciaJetAdminConcatenada!$B:$B=BL$1), 0)), 1))),  0.5, 0))</f>
        <v>1</v>
      </c>
      <c r="BM88" s="47">
        <f t="array" ref="BM88">IF(AND(ISNUMBER(MATCH(BM$2, AsistenciaJetAdminConcatenada!$A:$A, 0)), ISNUMBER(MATCH(BM$1, AsistenciaJetAdminConcatenada!$B:$B, 0)), ISNUMBER(SEARCH($A88,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ISNUMBER(SEARCH($A88, INDEX(AsistenciaJetAdminConcatenada!$D:$D, MATCH(1, (AsistenciaJetAdminConcatenada!$A:$A=BM$2)*(AsistenciaJetAdminConcatenada!$B:$B=BM$1), 0)), 1))),  0.5, 0))</f>
        <v>0</v>
      </c>
      <c r="BN88" s="47">
        <f t="array" ref="BN88">IF(AND(ISNUMBER(MATCH(BN$2, AsistenciaJetAdminConcatenada!$A:$A, 0)), ISNUMBER(MATCH(BN$1, AsistenciaJetAdminConcatenada!$B:$B, 0)), ISNUMBER(SEARCH($A88,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ISNUMBER(SEARCH($A88, INDEX(AsistenciaJetAdminConcatenada!$D:$D, MATCH(1, (AsistenciaJetAdminConcatenada!$A:$A=BN$2)*(AsistenciaJetAdminConcatenada!$B:$B=BN$1), 0)), 1))),  0.5, 0))</f>
        <v>0</v>
      </c>
      <c r="BO88" s="47">
        <f t="array" ref="BO88">IF(AND(ISNUMBER(MATCH(BO$2, AsistenciaJetAdminConcatenada!$A:$A, 0)), ISNUMBER(MATCH(BO$1, AsistenciaJetAdminConcatenada!$B:$B, 0)), ISNUMBER(SEARCH($A88,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ISNUMBER(SEARCH($A88, INDEX(AsistenciaJetAdminConcatenada!$D:$D, MATCH(1, (AsistenciaJetAdminConcatenada!$A:$A=BO$2)*(AsistenciaJetAdminConcatenada!$B:$B=BO$1), 0)), 1))),  0.5, 0))</f>
        <v>1</v>
      </c>
      <c r="BP88" s="47">
        <f t="array" ref="BP88">IF(AND(ISNUMBER(MATCH(BP$2, AsistenciaJetAdminConcatenada!$A:$A, 0)), ISNUMBER(MATCH(BP$1, AsistenciaJetAdminConcatenada!$B:$B, 0)), ISNUMBER(SEARCH($A88,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ISNUMBER(SEARCH($A88, INDEX(AsistenciaJetAdminConcatenada!$D:$D, MATCH(1, (AsistenciaJetAdminConcatenada!$A:$A=BP$2)*(AsistenciaJetAdminConcatenada!$B:$B=BP$1), 0)), 1))),  0.5, 0))</f>
        <v>1</v>
      </c>
      <c r="BQ88" s="47">
        <f t="array" ref="BQ88">IF(AND(ISNUMBER(MATCH(BQ$2, AsistenciaJetAdminConcatenada!$A:$A, 0)), ISNUMBER(MATCH(BQ$1, AsistenciaJetAdminConcatenada!$B:$B, 0)), ISNUMBER(SEARCH($A88,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ISNUMBER(SEARCH($A88, INDEX(AsistenciaJetAdminConcatenada!$D:$D, MATCH(1, (AsistenciaJetAdminConcatenada!$A:$A=BQ$2)*(AsistenciaJetAdminConcatenada!$B:$B=BQ$1), 0)), 1))),  0.5, 0))</f>
        <v>1</v>
      </c>
      <c r="BR88" s="47">
        <f t="array" ref="BR88">IF(AND(ISNUMBER(MATCH(BR$2, AsistenciaJetAdminConcatenada!$A:$A, 0)), ISNUMBER(MATCH(BR$1, AsistenciaJetAdminConcatenada!$B:$B, 0)), ISNUMBER(SEARCH($A88,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ISNUMBER(SEARCH($A88, INDEX(AsistenciaJetAdminConcatenada!$D:$D, MATCH(1, (AsistenciaJetAdminConcatenada!$A:$A=BR$2)*(AsistenciaJetAdminConcatenada!$B:$B=BR$1), 0)), 1))),  0.5, 0))</f>
        <v>1</v>
      </c>
      <c r="BS88" s="47">
        <f t="array" ref="BS88">IF(AND(ISNUMBER(MATCH(BS$2, AsistenciaJetAdminConcatenada!$A:$A, 0)), ISNUMBER(MATCH(BS$1, AsistenciaJetAdminConcatenada!$B:$B, 0)), ISNUMBER(SEARCH($A88,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ISNUMBER(SEARCH($A88, INDEX(AsistenciaJetAdminConcatenada!$D:$D, MATCH(1, (AsistenciaJetAdminConcatenada!$A:$A=BS$2)*(AsistenciaJetAdminConcatenada!$B:$B=BS$1), 0)), 1))),  0.5, 0))</f>
        <v>1</v>
      </c>
      <c r="BT88" s="47">
        <f t="array" ref="BT88">IF(AND(ISNUMBER(MATCH(BT$2, AsistenciaJetAdminConcatenada!$A:$A, 0)), ISNUMBER(MATCH(BT$1, AsistenciaJetAdminConcatenada!$B:$B, 0)), ISNUMBER(SEARCH($A88,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ISNUMBER(SEARCH($A88, INDEX(AsistenciaJetAdminConcatenada!$D:$D, MATCH(1, (AsistenciaJetAdminConcatenada!$A:$A=BT$2)*(AsistenciaJetAdminConcatenada!$B:$B=BT$1), 0)), 1))),  0.5, 0))</f>
        <v>1</v>
      </c>
      <c r="BU88" s="47">
        <f t="array" ref="BU88">IF(AND(ISNUMBER(MATCH(BU$2, AsistenciaJetAdminConcatenada!$A:$A, 0)), ISNUMBER(MATCH(BU$1, AsistenciaJetAdminConcatenada!$B:$B, 0)), ISNUMBER(SEARCH($A88,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ISNUMBER(SEARCH($A88, INDEX(AsistenciaJetAdminConcatenada!$D:$D, MATCH(1, (AsistenciaJetAdminConcatenada!$A:$A=BU$2)*(AsistenciaJetAdminConcatenada!$B:$B=BU$1), 0)), 1))),  0.5, 0))</f>
        <v>0</v>
      </c>
      <c r="BV88" s="47">
        <f t="array" ref="BV88">IF(AND(ISNUMBER(MATCH(BV$2, AsistenciaJetAdminConcatenada!$A:$A, 0)), ISNUMBER(MATCH(BV$1, AsistenciaJetAdminConcatenada!$B:$B, 0)), ISNUMBER(SEARCH($A88,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ISNUMBER(SEARCH($A88, INDEX(AsistenciaJetAdminConcatenada!$D:$D, MATCH(1, (AsistenciaJetAdminConcatenada!$A:$A=BV$2)*(AsistenciaJetAdminConcatenada!$B:$B=BV$1), 0)), 1))),  0.5, 0))</f>
        <v>1</v>
      </c>
      <c r="BW88" s="47">
        <f t="array" ref="BW88">IF(AND(ISNUMBER(MATCH(BW$2, AsistenciaJetAdminConcatenada!$A:$A, 0)), ISNUMBER(MATCH(BW$1, AsistenciaJetAdminConcatenada!$B:$B, 0)), ISNUMBER(SEARCH($A88,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ISNUMBER(SEARCH($A88, INDEX(AsistenciaJetAdminConcatenada!$D:$D, MATCH(1, (AsistenciaJetAdminConcatenada!$A:$A=BW$2)*(AsistenciaJetAdminConcatenada!$B:$B=BW$1), 0)), 1))),  0.5, 0))</f>
        <v>1</v>
      </c>
      <c r="BX88" s="47">
        <f t="array" ref="BX88">IF(AND(ISNUMBER(MATCH(BX$2, AsistenciaJetAdminConcatenada!$A:$A, 0)), ISNUMBER(MATCH(BX$1, AsistenciaJetAdminConcatenada!$B:$B, 0)), ISNUMBER(SEARCH($A88,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ISNUMBER(SEARCH($A88, INDEX(AsistenciaJetAdminConcatenada!$D:$D, MATCH(1, (AsistenciaJetAdminConcatenada!$A:$A=BX$2)*(AsistenciaJetAdminConcatenada!$B:$B=BX$1), 0)), 1))),  0.5, 0))</f>
        <v>1</v>
      </c>
      <c r="BY88" s="47">
        <f t="array" ref="BY88">IF(AND(ISNUMBER(MATCH(BY$2, AsistenciaJetAdminConcatenada!$A:$A, 0)), ISNUMBER(MATCH(BY$1, AsistenciaJetAdminConcatenada!$B:$B, 0)), ISNUMBER(SEARCH($A88,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ISNUMBER(SEARCH($A88, INDEX(AsistenciaJetAdminConcatenada!$D:$D, MATCH(1, (AsistenciaJetAdminConcatenada!$A:$A=BY$2)*(AsistenciaJetAdminConcatenada!$B:$B=BY$1), 0)), 1))),  0.5, 0))</f>
        <v>1</v>
      </c>
      <c r="BZ88" s="47">
        <f t="array" ref="BZ88">IF(AND(ISNUMBER(MATCH(BZ$2, AsistenciaJetAdminConcatenada!$A:$A, 0)), ISNUMBER(MATCH(BZ$1, AsistenciaJetAdminConcatenada!$B:$B, 0)), ISNUMBER(SEARCH($A88,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ISNUMBER(SEARCH($A88, INDEX(AsistenciaJetAdminConcatenada!$D:$D, MATCH(1, (AsistenciaJetAdminConcatenada!$A:$A=BZ$2)*(AsistenciaJetAdminConcatenada!$B:$B=BZ$1), 0)), 1))),  0.5, 0))</f>
        <v>0</v>
      </c>
      <c r="CA88" s="47">
        <f t="array" ref="CA88">IF(AND(ISNUMBER(MATCH(CA$2, AsistenciaJetAdminConcatenada!$A:$A, 0)), ISNUMBER(MATCH(CA$1, AsistenciaJetAdminConcatenada!$B:$B, 0)), ISNUMBER(SEARCH($A88,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ISNUMBER(SEARCH($A88, INDEX(AsistenciaJetAdminConcatenada!$D:$D, MATCH(1, (AsistenciaJetAdminConcatenada!$A:$A=CA$2)*(AsistenciaJetAdminConcatenada!$B:$B=CA$1), 0)), 1))),  0.5, 0))</f>
        <v>1</v>
      </c>
      <c r="CB88" s="47">
        <f t="array" ref="CB88">IF(AND(ISNUMBER(MATCH(CB$2, AsistenciaJetAdminConcatenada!$A:$A, 0)), ISNUMBER(MATCH(CB$1, AsistenciaJetAdminConcatenada!$B:$B, 0)), ISNUMBER(SEARCH($A88,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ISNUMBER(SEARCH($A88, INDEX(AsistenciaJetAdminConcatenada!$D:$D, MATCH(1, (AsistenciaJetAdminConcatenada!$A:$A=CB$2)*(AsistenciaJetAdminConcatenada!$B:$B=CB$1), 0)), 1))),  0.5, 0))</f>
        <v>0</v>
      </c>
      <c r="CC88" s="47">
        <f t="array" ref="CC88">IF(AND(ISNUMBER(MATCH(CC$2, AsistenciaJetAdminConcatenada!$A:$A, 0)), ISNUMBER(MATCH(CC$1, AsistenciaJetAdminConcatenada!$B:$B, 0)), ISNUMBER(SEARCH($A88,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ISNUMBER(SEARCH($A88, INDEX(AsistenciaJetAdminConcatenada!$D:$D, MATCH(1, (AsistenciaJetAdminConcatenada!$A:$A=CC$2)*(AsistenciaJetAdminConcatenada!$B:$B=CC$1), 0)), 1))),  0.5, 0))</f>
        <v>0</v>
      </c>
      <c r="CD88" s="47">
        <f t="array" ref="CD88">IF(AND(ISNUMBER(MATCH(CD$2, AsistenciaJetAdminConcatenada!$A:$A, 0)), ISNUMBER(MATCH(CD$1, AsistenciaJetAdminConcatenada!$B:$B, 0)), ISNUMBER(SEARCH($A88,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ISNUMBER(SEARCH($A88, INDEX(AsistenciaJetAdminConcatenada!$D:$D, MATCH(1, (AsistenciaJetAdminConcatenada!$A:$A=CD$2)*(AsistenciaJetAdminConcatenada!$B:$B=CD$1), 0)), 1))),  0.5, 0))</f>
        <v>1</v>
      </c>
      <c r="CE88" s="47">
        <f t="array" ref="CE88">IF(AND(ISNUMBER(MATCH(CE$2, AsistenciaJetAdminConcatenada!$A:$A, 0)), ISNUMBER(MATCH(CE$1, AsistenciaJetAdminConcatenada!$B:$B, 0)), ISNUMBER(SEARCH($A88,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ISNUMBER(SEARCH($A88, INDEX(AsistenciaJetAdminConcatenada!$D:$D, MATCH(1, (AsistenciaJetAdminConcatenada!$A:$A=CE$2)*(AsistenciaJetAdminConcatenada!$B:$B=CE$1), 0)), 1))),  0.5, 0))</f>
        <v>0</v>
      </c>
      <c r="CF88" s="47">
        <f t="array" ref="CF88">IF(AND(ISNUMBER(MATCH(CF$2, AsistenciaJetAdminConcatenada!$A:$A, 0)), ISNUMBER(MATCH(CF$1, AsistenciaJetAdminConcatenada!$B:$B, 0)), ISNUMBER(SEARCH($A88,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ISNUMBER(SEARCH($A88, INDEX(AsistenciaJetAdminConcatenada!$D:$D, MATCH(1, (AsistenciaJetAdminConcatenada!$A:$A=CF$2)*(AsistenciaJetAdminConcatenada!$B:$B=CF$1), 0)), 1))),  0.5, 0))</f>
        <v>1</v>
      </c>
      <c r="CG88" s="47">
        <f t="array" ref="CG88">IF(AND(ISNUMBER(MATCH(CG$2, AsistenciaJetAdminConcatenada!$A:$A, 0)), ISNUMBER(MATCH(CG$1, AsistenciaJetAdminConcatenada!$B:$B, 0)), ISNUMBER(SEARCH($A88,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ISNUMBER(SEARCH($A88, INDEX(AsistenciaJetAdminConcatenada!$D:$D, MATCH(1, (AsistenciaJetAdminConcatenada!$A:$A=CG$2)*(AsistenciaJetAdminConcatenada!$B:$B=CG$1), 0)), 1))),  0.5, 0))</f>
        <v>0</v>
      </c>
      <c r="CH88" s="47">
        <f t="array" ref="CH88">IF(AND(ISNUMBER(MATCH(CH$2, AsistenciaJetAdminConcatenada!$A:$A, 0)), ISNUMBER(MATCH(CH$1, AsistenciaJetAdminConcatenada!$B:$B, 0)), ISNUMBER(SEARCH($A88,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ISNUMBER(SEARCH($A88, INDEX(AsistenciaJetAdminConcatenada!$D:$D, MATCH(1, (AsistenciaJetAdminConcatenada!$A:$A=CH$2)*(AsistenciaJetAdminConcatenada!$B:$B=CH$1), 0)), 1))),  0.5, 0))</f>
        <v>0</v>
      </c>
      <c r="CI88" s="47">
        <f t="array" ref="CI88">IF(AND(ISNUMBER(MATCH(CI$2, AsistenciaJetAdminConcatenada!$A:$A, 0)), ISNUMBER(MATCH(CI$1, AsistenciaJetAdminConcatenada!$B:$B, 0)), ISNUMBER(SEARCH($A88,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ISNUMBER(SEARCH($A88, INDEX(AsistenciaJetAdminConcatenada!$D:$D, MATCH(1, (AsistenciaJetAdminConcatenada!$A:$A=CI$2)*(AsistenciaJetAdminConcatenada!$B:$B=CI$1), 0)), 1))),  0.5, 0))</f>
        <v>0</v>
      </c>
      <c r="CJ88" s="47">
        <f t="array" ref="CJ88">IF(AND(ISNUMBER(MATCH(CJ$2, AsistenciaJetAdminConcatenada!$A:$A, 0)), ISNUMBER(MATCH(CJ$1, AsistenciaJetAdminConcatenada!$B:$B, 0)), ISNUMBER(SEARCH($A88,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ISNUMBER(SEARCH($A88, INDEX(AsistenciaJetAdminConcatenada!$D:$D, MATCH(1, (AsistenciaJetAdminConcatenada!$A:$A=CJ$2)*(AsistenciaJetAdminConcatenada!$B:$B=CJ$1), 0)), 1))),  0.5, 0))</f>
        <v>1</v>
      </c>
      <c r="CK88" s="47">
        <f t="array" ref="CK88">IF(AND(ISNUMBER(MATCH(CK$2, AsistenciaJetAdminConcatenada!$A:$A, 0)), ISNUMBER(MATCH(CK$1, AsistenciaJetAdminConcatenada!$B:$B, 0)), ISNUMBER(SEARCH($A88,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ISNUMBER(SEARCH($A88, INDEX(AsistenciaJetAdminConcatenada!$D:$D, MATCH(1, (AsistenciaJetAdminConcatenada!$A:$A=CK$2)*(AsistenciaJetAdminConcatenada!$B:$B=CK$1), 0)), 1))),  0.5, 0))</f>
        <v>0</v>
      </c>
      <c r="CL88" s="47">
        <f t="array" ref="CL88">IF(AND(ISNUMBER(MATCH(CL$2, AsistenciaJetAdminConcatenada!$A:$A, 0)), ISNUMBER(MATCH(CL$1, AsistenciaJetAdminConcatenada!$B:$B, 0)), ISNUMBER(SEARCH($A88,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ISNUMBER(SEARCH($A88, INDEX(AsistenciaJetAdminConcatenada!$D:$D, MATCH(1, (AsistenciaJetAdminConcatenada!$A:$A=CL$2)*(AsistenciaJetAdminConcatenada!$B:$B=CL$1), 0)), 1))),  0.5, 0))</f>
        <v>1</v>
      </c>
      <c r="CM88" s="47">
        <f t="array" ref="CM88">IF(AND(ISNUMBER(MATCH(CM$2, AsistenciaJetAdminConcatenada!$A:$A, 0)), ISNUMBER(MATCH(CM$1, AsistenciaJetAdminConcatenada!$B:$B, 0)), ISNUMBER(SEARCH($A88,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ISNUMBER(SEARCH($A88, INDEX(AsistenciaJetAdminConcatenada!$D:$D, MATCH(1, (AsistenciaJetAdminConcatenada!$A:$A=CM$2)*(AsistenciaJetAdminConcatenada!$B:$B=CM$1), 0)), 1))),  0.5, 0))</f>
        <v>1</v>
      </c>
      <c r="CN88" s="47">
        <f t="array" ref="CN88">IF(AND(ISNUMBER(MATCH(CN$2, AsistenciaJetAdminConcatenada!$A:$A, 0)), ISNUMBER(MATCH(CN$1, AsistenciaJetAdminConcatenada!$B:$B, 0)), ISNUMBER(SEARCH($A88,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ISNUMBER(SEARCH($A88, INDEX(AsistenciaJetAdminConcatenada!$D:$D, MATCH(1, (AsistenciaJetAdminConcatenada!$A:$A=CN$2)*(AsistenciaJetAdminConcatenada!$B:$B=CN$1), 0)), 1))),  0.5, 0))</f>
        <v>0</v>
      </c>
      <c r="CO88" s="47">
        <f t="array" ref="CO88">IF(AND(ISNUMBER(MATCH(CO$2, AsistenciaJetAdminConcatenada!$A:$A, 0)), ISNUMBER(MATCH(CO$1, AsistenciaJetAdminConcatenada!$B:$B, 0)), ISNUMBER(SEARCH($A88,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ISNUMBER(SEARCH($A88, INDEX(AsistenciaJetAdminConcatenada!$D:$D, MATCH(1, (AsistenciaJetAdminConcatenada!$A:$A=CO$2)*(AsistenciaJetAdminConcatenada!$B:$B=CO$1), 0)), 1))),  0.5, 0))</f>
        <v>1</v>
      </c>
      <c r="CP88" s="47">
        <f t="array" ref="CP88">IF(AND(ISNUMBER(MATCH(CP$2, AsistenciaJetAdminConcatenada!$A:$A, 0)), ISNUMBER(MATCH(CP$1, AsistenciaJetAdminConcatenada!$B:$B, 0)), ISNUMBER(SEARCH($A88,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ISNUMBER(SEARCH($A88, INDEX(AsistenciaJetAdminConcatenada!$D:$D, MATCH(1, (AsistenciaJetAdminConcatenada!$A:$A=CP$2)*(AsistenciaJetAdminConcatenada!$B:$B=CP$1), 0)), 1))),  0.5, 0))</f>
        <v>1</v>
      </c>
      <c r="CQ88" s="47">
        <f t="array" ref="CQ88">IF(AND(ISNUMBER(MATCH(CQ$2, AsistenciaJetAdminConcatenada!$A:$A, 0)), ISNUMBER(MATCH(CQ$1, AsistenciaJetAdminConcatenada!$B:$B, 0)), ISNUMBER(SEARCH($A88,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ISNUMBER(SEARCH($A88, INDEX(AsistenciaJetAdminConcatenada!$D:$D, MATCH(1, (AsistenciaJetAdminConcatenada!$A:$A=CQ$2)*(AsistenciaJetAdminConcatenada!$B:$B=CQ$1), 0)), 1))),  0.5, 0))</f>
        <v>1</v>
      </c>
      <c r="CR88" s="47">
        <f t="array" ref="CR88">IF(AND(ISNUMBER(MATCH(CR$2, AsistenciaJetAdminConcatenada!$A:$A, 0)), ISNUMBER(MATCH(CR$1, AsistenciaJetAdminConcatenada!$B:$B, 0)), ISNUMBER(SEARCH($A88,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ISNUMBER(SEARCH($A88, INDEX(AsistenciaJetAdminConcatenada!$D:$D, MATCH(1, (AsistenciaJetAdminConcatenada!$A:$A=CR$2)*(AsistenciaJetAdminConcatenada!$B:$B=CR$1), 0)), 1))),  0.5, 0))</f>
        <v>0</v>
      </c>
      <c r="CS88" s="47">
        <f t="array" ref="CS88">IF(AND(ISNUMBER(MATCH(CS$2, AsistenciaJetAdminConcatenada!$A:$A, 0)), ISNUMBER(MATCH(CS$1, AsistenciaJetAdminConcatenada!$B:$B, 0)), ISNUMBER(SEARCH($A88,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ISNUMBER(SEARCH($A88, INDEX(AsistenciaJetAdminConcatenada!$D:$D, MATCH(1, (AsistenciaJetAdminConcatenada!$A:$A=CS$2)*(AsistenciaJetAdminConcatenada!$B:$B=CS$1), 0)), 1))),  0.5, 0))</f>
        <v>0</v>
      </c>
      <c r="CT88" s="47">
        <f t="array" ref="CT88">IF(AND(ISNUMBER(MATCH(CT$2, AsistenciaJetAdminConcatenada!$A:$A, 0)), ISNUMBER(MATCH(CT$1, AsistenciaJetAdminConcatenada!$B:$B, 0)), ISNUMBER(SEARCH($A88,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ISNUMBER(SEARCH($A88, INDEX(AsistenciaJetAdminConcatenada!$D:$D, MATCH(1, (AsistenciaJetAdminConcatenada!$A:$A=CT$2)*(AsistenciaJetAdminConcatenada!$B:$B=CT$1), 0)), 1))),  0.5, 0))</f>
        <v>0</v>
      </c>
      <c r="CU88" s="47">
        <f t="array" ref="CU88">IF(AND(ISNUMBER(MATCH(CU$2, AsistenciaJetAdminConcatenada!$A:$A, 0)), ISNUMBER(MATCH(CU$1, AsistenciaJetAdminConcatenada!$B:$B, 0)), ISNUMBER(SEARCH($A88,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ISNUMBER(SEARCH($A88, INDEX(AsistenciaJetAdminConcatenada!$D:$D, MATCH(1, (AsistenciaJetAdminConcatenada!$A:$A=CU$2)*(AsistenciaJetAdminConcatenada!$B:$B=CU$1), 0)), 1))),  0.5, 0))</f>
        <v>0</v>
      </c>
      <c r="CV88" s="47">
        <f t="array" ref="CV88">IF(AND(ISNUMBER(MATCH(CV$2, AsistenciaJetAdminConcatenada!$A:$A, 0)), ISNUMBER(MATCH(CV$1, AsistenciaJetAdminConcatenada!$B:$B, 0)), ISNUMBER(SEARCH($A88,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ISNUMBER(SEARCH($A88, INDEX(AsistenciaJetAdminConcatenada!$D:$D, MATCH(1, (AsistenciaJetAdminConcatenada!$A:$A=CV$2)*(AsistenciaJetAdminConcatenada!$B:$B=CV$1), 0)), 1))),  0.5, 0))</f>
        <v>0</v>
      </c>
      <c r="CW88" s="47">
        <f t="array" ref="CW88">IF(AND(ISNUMBER(MATCH(CW$2, AsistenciaJetAdminConcatenada!$A:$A, 0)), ISNUMBER(MATCH(CW$1, AsistenciaJetAdminConcatenada!$B:$B, 0)), ISNUMBER(SEARCH($A88,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ISNUMBER(SEARCH($A88, INDEX(AsistenciaJetAdminConcatenada!$D:$D, MATCH(1, (AsistenciaJetAdminConcatenada!$A:$A=CW$2)*(AsistenciaJetAdminConcatenada!$B:$B=CW$1), 0)), 1))),  0.5, 0))</f>
        <v>0</v>
      </c>
      <c r="CX88" s="47">
        <f t="array" ref="CX88">IF(AND(ISNUMBER(MATCH(CX$2, AsistenciaJetAdminConcatenada!$A:$A, 0)), ISNUMBER(MATCH(CX$1, AsistenciaJetAdminConcatenada!$B:$B, 0)), ISNUMBER(SEARCH($A88,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ISNUMBER(SEARCH($A88, INDEX(AsistenciaJetAdminConcatenada!$D:$D, MATCH(1, (AsistenciaJetAdminConcatenada!$A:$A=CX$2)*(AsistenciaJetAdminConcatenada!$B:$B=CX$1), 0)), 1))),  0.5, 0))</f>
        <v>0</v>
      </c>
      <c r="CY88" s="47">
        <f t="array" ref="CY88">IF(AND(ISNUMBER(MATCH(CY$2, AsistenciaJetAdminConcatenada!$A:$A, 0)), ISNUMBER(MATCH(CY$1, AsistenciaJetAdminConcatenada!$B:$B, 0)), ISNUMBER(SEARCH($A88,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ISNUMBER(SEARCH($A88, INDEX(AsistenciaJetAdminConcatenada!$D:$D, MATCH(1, (AsistenciaJetAdminConcatenada!$A:$A=CY$2)*(AsistenciaJetAdminConcatenada!$B:$B=CY$1), 0)), 1))),  0.5, 0))</f>
        <v>0</v>
      </c>
      <c r="CZ88" s="47">
        <f t="array" ref="CZ88">IF(AND(ISNUMBER(MATCH(CZ$2, AsistenciaJetAdminConcatenada!$A:$A, 0)), ISNUMBER(MATCH(CZ$1, AsistenciaJetAdminConcatenada!$B:$B, 0)), ISNUMBER(SEARCH($A88,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ISNUMBER(SEARCH($A88, INDEX(AsistenciaJetAdminConcatenada!$D:$D, MATCH(1, (AsistenciaJetAdminConcatenada!$A:$A=CZ$2)*(AsistenciaJetAdminConcatenada!$B:$B=CZ$1), 0)), 1))),  0.5, 0))</f>
        <v>0</v>
      </c>
      <c r="DA88" s="47">
        <f t="array" ref="DA88">IF(AND(ISNUMBER(MATCH(DA$2, AsistenciaJetAdminConcatenada!$A:$A, 0)), ISNUMBER(MATCH(DA$1, AsistenciaJetAdminConcatenada!$B:$B, 0)), ISNUMBER(SEARCH($A88,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ISNUMBER(SEARCH($A88, INDEX(AsistenciaJetAdminConcatenada!$D:$D, MATCH(1, (AsistenciaJetAdminConcatenada!$A:$A=DA$2)*(AsistenciaJetAdminConcatenada!$B:$B=DA$1), 0)), 1))),  0.5, 0))</f>
        <v>0</v>
      </c>
      <c r="DB88" s="47">
        <f t="array" ref="DB88">IF(AND(ISNUMBER(MATCH(DB$2, AsistenciaJetAdminConcatenada!$A:$A, 0)), ISNUMBER(MATCH(DB$1, AsistenciaJetAdminConcatenada!$B:$B, 0)), ISNUMBER(SEARCH($A88,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ISNUMBER(SEARCH($A88, INDEX(AsistenciaJetAdminConcatenada!$D:$D, MATCH(1, (AsistenciaJetAdminConcatenada!$A:$A=DB$2)*(AsistenciaJetAdminConcatenada!$B:$B=DB$1), 0)), 1))),  0.5, 0))</f>
        <v>0</v>
      </c>
      <c r="DC88" s="47">
        <f t="array" ref="DC88">IF(AND(ISNUMBER(MATCH(DC$2, AsistenciaJetAdminConcatenada!$A:$A, 0)), ISNUMBER(MATCH(DC$1, AsistenciaJetAdminConcatenada!$B:$B, 0)), ISNUMBER(SEARCH($A88,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ISNUMBER(SEARCH($A88, INDEX(AsistenciaJetAdminConcatenada!$D:$D, MATCH(1, (AsistenciaJetAdminConcatenada!$A:$A=DC$2)*(AsistenciaJetAdminConcatenada!$B:$B=DC$1), 0)), 1))),  0.5, 0))</f>
        <v>0</v>
      </c>
      <c r="DD88" s="47">
        <f t="array" ref="DD88">IF(AND(ISNUMBER(MATCH(DD$2, AsistenciaJetAdminConcatenada!$A:$A, 0)), ISNUMBER(MATCH(DD$1, AsistenciaJetAdminConcatenada!$B:$B, 0)), ISNUMBER(SEARCH($A88,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ISNUMBER(SEARCH($A88, INDEX(AsistenciaJetAdminConcatenada!$D:$D, MATCH(1, (AsistenciaJetAdminConcatenada!$A:$A=DD$2)*(AsistenciaJetAdminConcatenada!$B:$B=DD$1), 0)), 1))),  0.5, 0))</f>
        <v>0</v>
      </c>
      <c r="DE88" s="47">
        <f t="array" ref="DE88">IF(AND(ISNUMBER(MATCH(DE$2, AsistenciaJetAdminConcatenada!$A:$A, 0)), ISNUMBER(MATCH(DE$1, AsistenciaJetAdminConcatenada!$B:$B, 0)), ISNUMBER(SEARCH($A88,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ISNUMBER(SEARCH($A88, INDEX(AsistenciaJetAdminConcatenada!$D:$D, MATCH(1, (AsistenciaJetAdminConcatenada!$A:$A=DE$2)*(AsistenciaJetAdminConcatenada!$B:$B=DE$1), 0)), 1))),  0.5, 0))</f>
        <v>0</v>
      </c>
      <c r="DF88" s="47">
        <f t="array" ref="DF88">IF(AND(ISNUMBER(MATCH(DF$2, AsistenciaJetAdminConcatenada!$A:$A, 0)), ISNUMBER(MATCH(DF$1, AsistenciaJetAdminConcatenada!$B:$B, 0)), ISNUMBER(SEARCH($A88,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ISNUMBER(SEARCH($A88, INDEX(AsistenciaJetAdminConcatenada!$D:$D, MATCH(1, (AsistenciaJetAdminConcatenada!$A:$A=DF$2)*(AsistenciaJetAdminConcatenada!$B:$B=DF$1), 0)), 1))),  0.5, 0))</f>
        <v>0</v>
      </c>
      <c r="DG88" s="47">
        <f t="array" ref="DG88">IF(AND(ISNUMBER(MATCH(DG$2, AsistenciaJetAdminConcatenada!$A:$A, 0)), ISNUMBER(MATCH(DG$1, AsistenciaJetAdminConcatenada!$B:$B, 0)), ISNUMBER(SEARCH($A88,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ISNUMBER(SEARCH($A88, INDEX(AsistenciaJetAdminConcatenada!$D:$D, MATCH(1, (AsistenciaJetAdminConcatenada!$A:$A=DG$2)*(AsistenciaJetAdminConcatenada!$B:$B=DG$1), 0)), 1))),  0.5, 0))</f>
        <v>0</v>
      </c>
      <c r="DH88" s="47">
        <f t="array" ref="DH88">IF(AND(ISNUMBER(MATCH(DH$2, AsistenciaJetAdminConcatenada!$A:$A, 0)), ISNUMBER(MATCH(DH$1, AsistenciaJetAdminConcatenada!$B:$B, 0)), ISNUMBER(SEARCH($A88,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ISNUMBER(SEARCH($A88, INDEX(AsistenciaJetAdminConcatenada!$D:$D, MATCH(1, (AsistenciaJetAdminConcatenada!$A:$A=DH$2)*(AsistenciaJetAdminConcatenada!$B:$B=DH$1), 0)), 1))),  0.5, 0))</f>
        <v>0</v>
      </c>
      <c r="DI88" s="47">
        <f t="array" ref="DI88">IF(AND(ISNUMBER(MATCH(DI$2, AsistenciaJetAdminConcatenada!$A:$A, 0)), ISNUMBER(MATCH(DI$1, AsistenciaJetAdminConcatenada!$B:$B, 0)), ISNUMBER(SEARCH($A88,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ISNUMBER(SEARCH($A88, INDEX(AsistenciaJetAdminConcatenada!$D:$D, MATCH(1, (AsistenciaJetAdminConcatenada!$A:$A=DI$2)*(AsistenciaJetAdminConcatenada!$B:$B=DI$1), 0)), 1))),  0.5, 0))</f>
        <v>0</v>
      </c>
      <c r="DJ88" s="47">
        <f t="array" ref="DJ88">IF(AND(ISNUMBER(MATCH(DJ$2, AsistenciaJetAdminConcatenada!$A:$A, 0)), ISNUMBER(MATCH(DJ$1, AsistenciaJetAdminConcatenada!$B:$B, 0)), ISNUMBER(SEARCH($A88,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ISNUMBER(SEARCH($A88, INDEX(AsistenciaJetAdminConcatenada!$D:$D, MATCH(1, (AsistenciaJetAdminConcatenada!$A:$A=DJ$2)*(AsistenciaJetAdminConcatenada!$B:$B=DJ$1), 0)), 1))),  0.5, 0))</f>
        <v>0</v>
      </c>
      <c r="DK88" s="47">
        <f t="array" ref="DK88">IF(AND(ISNUMBER(MATCH(DK$2, AsistenciaJetAdminConcatenada!$A:$A, 0)), ISNUMBER(MATCH(DK$1, AsistenciaJetAdminConcatenada!$B:$B, 0)), ISNUMBER(SEARCH($A88,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ISNUMBER(SEARCH($A88, INDEX(AsistenciaJetAdminConcatenada!$D:$D, MATCH(1, (AsistenciaJetAdminConcatenada!$A:$A=DK$2)*(AsistenciaJetAdminConcatenada!$B:$B=DK$1), 0)), 1))),  0.5, 0))</f>
        <v>0</v>
      </c>
      <c r="DL88" s="47">
        <f t="array" ref="DL88">IF(AND(ISNUMBER(MATCH(DL$2, AsistenciaJetAdminConcatenada!$A:$A, 0)), ISNUMBER(MATCH(DL$1, AsistenciaJetAdminConcatenada!$B:$B, 0)), ISNUMBER(SEARCH($A88,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ISNUMBER(SEARCH($A88, INDEX(AsistenciaJetAdminConcatenada!$D:$D, MATCH(1, (AsistenciaJetAdminConcatenada!$A:$A=DL$2)*(AsistenciaJetAdminConcatenada!$B:$B=DL$1), 0)), 1))),  0.5, 0))</f>
        <v>0</v>
      </c>
      <c r="DM88" s="47">
        <f t="array" ref="DM88">IF(AND(ISNUMBER(MATCH(DM$2, AsistenciaJetAdminConcatenada!$A:$A, 0)), ISNUMBER(MATCH(DM$1, AsistenciaJetAdminConcatenada!$B:$B, 0)), ISNUMBER(SEARCH($A88,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ISNUMBER(SEARCH($A88, INDEX(AsistenciaJetAdminConcatenada!$D:$D, MATCH(1, (AsistenciaJetAdminConcatenada!$A:$A=DM$2)*(AsistenciaJetAdminConcatenada!$B:$B=DM$1), 0)), 1))),  0.5, 0))</f>
        <v>0</v>
      </c>
      <c r="DN88" s="47">
        <f t="array" ref="DN88">IF(AND(ISNUMBER(MATCH(DN$2, AsistenciaJetAdminConcatenada!$A:$A, 0)), ISNUMBER(MATCH(DN$1, AsistenciaJetAdminConcatenada!$B:$B, 0)), ISNUMBER(SEARCH($A88,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ISNUMBER(SEARCH($A88, INDEX(AsistenciaJetAdminConcatenada!$D:$D, MATCH(1, (AsistenciaJetAdminConcatenada!$A:$A=DN$2)*(AsistenciaJetAdminConcatenada!$B:$B=DN$1), 0)), 1))),  0.5, 0))</f>
        <v>0</v>
      </c>
      <c r="DO88" s="47">
        <f t="array" ref="DO88">IF(AND(ISNUMBER(MATCH(DO$2, AsistenciaJetAdminConcatenada!$A:$A, 0)), ISNUMBER(MATCH(DO$1, AsistenciaJetAdminConcatenada!$B:$B, 0)), ISNUMBER(SEARCH($A88,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ISNUMBER(SEARCH($A88, INDEX(AsistenciaJetAdminConcatenada!$D:$D, MATCH(1, (AsistenciaJetAdminConcatenada!$A:$A=DO$2)*(AsistenciaJetAdminConcatenada!$B:$B=DO$1), 0)), 1))),  0.5, 0))</f>
        <v>0</v>
      </c>
      <c r="DP88" s="47">
        <f t="array" ref="DP88">IF(AND(ISNUMBER(MATCH(DP$2, AsistenciaJetAdminConcatenada!$A:$A, 0)), ISNUMBER(MATCH(DP$1, AsistenciaJetAdminConcatenada!$B:$B, 0)), ISNUMBER(SEARCH($A88,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ISNUMBER(SEARCH($A88, INDEX(AsistenciaJetAdminConcatenada!$D:$D, MATCH(1, (AsistenciaJetAdminConcatenada!$A:$A=DP$2)*(AsistenciaJetAdminConcatenada!$B:$B=DP$1), 0)), 1))),  0.5, 0))</f>
        <v>0</v>
      </c>
      <c r="DQ88" s="47">
        <f t="array" ref="DQ88">IF(AND(ISNUMBER(MATCH(DQ$2, AsistenciaJetAdminConcatenada!$A:$A, 0)), ISNUMBER(MATCH(DQ$1, AsistenciaJetAdminConcatenada!$B:$B, 0)), ISNUMBER(SEARCH($A88,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ISNUMBER(SEARCH($A88, INDEX(AsistenciaJetAdminConcatenada!$D:$D, MATCH(1, (AsistenciaJetAdminConcatenada!$A:$A=DQ$2)*(AsistenciaJetAdminConcatenada!$B:$B=DQ$1), 0)), 1))),  0.5, 0))</f>
        <v>0</v>
      </c>
      <c r="DR88" s="47">
        <f t="array" ref="DR88">IF(AND(ISNUMBER(MATCH(DR$2, AsistenciaJetAdminConcatenada!$A:$A, 0)), ISNUMBER(MATCH(DR$1, AsistenciaJetAdminConcatenada!$B:$B, 0)), ISNUMBER(SEARCH($A88,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ISNUMBER(SEARCH($A88, INDEX(AsistenciaJetAdminConcatenada!$D:$D, MATCH(1, (AsistenciaJetAdminConcatenada!$A:$A=DR$2)*(AsistenciaJetAdminConcatenada!$B:$B=DR$1), 0)), 1))),  0.5, 0))</f>
        <v>0</v>
      </c>
      <c r="DS88" s="47">
        <f t="array" ref="DS88">IF(AND(ISNUMBER(MATCH(DS$2, AsistenciaJetAdminConcatenada!$A:$A, 0)), ISNUMBER(MATCH(DS$1, AsistenciaJetAdminConcatenada!$B:$B, 0)), ISNUMBER(SEARCH($A88,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ISNUMBER(SEARCH($A88, INDEX(AsistenciaJetAdminConcatenada!$D:$D, MATCH(1, (AsistenciaJetAdminConcatenada!$A:$A=DS$2)*(AsistenciaJetAdminConcatenada!$B:$B=DS$1), 0)), 1))),  0.5, 0))</f>
        <v>0</v>
      </c>
      <c r="DT88" s="47">
        <f t="array" ref="DT88">IF(AND(ISNUMBER(MATCH(DT$2, AsistenciaJetAdminConcatenada!$A:$A, 0)), ISNUMBER(MATCH(DT$1, AsistenciaJetAdminConcatenada!$B:$B, 0)), ISNUMBER(SEARCH($A88,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ISNUMBER(SEARCH($A88, INDEX(AsistenciaJetAdminConcatenada!$D:$D, MATCH(1, (AsistenciaJetAdminConcatenada!$A:$A=DT$2)*(AsistenciaJetAdminConcatenada!$B:$B=DT$1), 0)), 1))),  0.5, 0))</f>
        <v>0</v>
      </c>
      <c r="DU88" s="47">
        <f t="array" ref="DU88">IF(AND(ISNUMBER(MATCH(DU$2, AsistenciaJetAdminConcatenada!$A:$A, 0)), ISNUMBER(MATCH(DU$1, AsistenciaJetAdminConcatenada!$B:$B, 0)), ISNUMBER(SEARCH($A88,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ISNUMBER(SEARCH($A88, INDEX(AsistenciaJetAdminConcatenada!$D:$D, MATCH(1, (AsistenciaJetAdminConcatenada!$A:$A=DU$2)*(AsistenciaJetAdminConcatenada!$B:$B=DU$1), 0)), 1))),  0.5, 0))</f>
        <v>0</v>
      </c>
      <c r="DV88" s="47">
        <f t="array" ref="DV88">IF(AND(ISNUMBER(MATCH(DV$2, AsistenciaJetAdminConcatenada!$A:$A, 0)), ISNUMBER(MATCH(DV$1, AsistenciaJetAdminConcatenada!$B:$B, 0)), ISNUMBER(SEARCH($A88,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ISNUMBER(SEARCH($A88, INDEX(AsistenciaJetAdminConcatenada!$D:$D, MATCH(1, (AsistenciaJetAdminConcatenada!$A:$A=DV$2)*(AsistenciaJetAdminConcatenada!$B:$B=DV$1), 0)), 1))),  0.5, 0))</f>
        <v>0</v>
      </c>
      <c r="DW88" s="47">
        <f t="array" ref="DW88">IF(AND(ISNUMBER(MATCH(DW$2, AsistenciaJetAdminConcatenada!$A:$A, 0)), ISNUMBER(MATCH(DW$1, AsistenciaJetAdminConcatenada!$B:$B, 0)), ISNUMBER(SEARCH($A88,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ISNUMBER(SEARCH($A88, INDEX(AsistenciaJetAdminConcatenada!$D:$D, MATCH(1, (AsistenciaJetAdminConcatenada!$A:$A=DW$2)*(AsistenciaJetAdminConcatenada!$B:$B=DW$1), 0)), 1))),  0.5, 0))</f>
        <v>0</v>
      </c>
      <c r="DX88" s="47">
        <f t="array" ref="DX88">IF(AND(ISNUMBER(MATCH(DX$2, AsistenciaJetAdminConcatenada!$A:$A, 0)), ISNUMBER(MATCH(DX$1, AsistenciaJetAdminConcatenada!$B:$B, 0)), ISNUMBER(SEARCH($A88,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ISNUMBER(SEARCH($A88, INDEX(AsistenciaJetAdminConcatenada!$D:$D, MATCH(1, (AsistenciaJetAdminConcatenada!$A:$A=DX$2)*(AsistenciaJetAdminConcatenada!$B:$B=DX$1), 0)), 1))),  0.5, 0))</f>
        <v>0</v>
      </c>
      <c r="DY88" s="47">
        <f t="array" ref="DY88">IF(AND(ISNUMBER(MATCH(DY$2, AsistenciaJetAdminConcatenada!$A:$A, 0)), ISNUMBER(MATCH(DY$1, AsistenciaJetAdminConcatenada!$B:$B, 0)), ISNUMBER(SEARCH($A88,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ISNUMBER(SEARCH($A88, INDEX(AsistenciaJetAdminConcatenada!$D:$D, MATCH(1, (AsistenciaJetAdminConcatenada!$A:$A=DY$2)*(AsistenciaJetAdminConcatenada!$B:$B=DY$1), 0)), 1))),  0.5, 0))</f>
        <v>0</v>
      </c>
      <c r="DZ88" s="47">
        <f t="array" ref="DZ88">IF(AND(ISNUMBER(MATCH(DZ$2, AsistenciaJetAdminConcatenada!$A:$A, 0)), ISNUMBER(MATCH(DZ$1, AsistenciaJetAdminConcatenada!$B:$B, 0)), ISNUMBER(SEARCH($A88,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ISNUMBER(SEARCH($A88, INDEX(AsistenciaJetAdminConcatenada!$D:$D, MATCH(1, (AsistenciaJetAdminConcatenada!$A:$A=DZ$2)*(AsistenciaJetAdminConcatenada!$B:$B=DZ$1), 0)), 1))),  0.5, 0))</f>
        <v>0</v>
      </c>
      <c r="EA88" s="47">
        <f t="array" ref="EA88">IF(AND(ISNUMBER(MATCH(EA$2, AsistenciaJetAdminConcatenada!$A:$A, 0)), ISNUMBER(MATCH(EA$1, AsistenciaJetAdminConcatenada!$B:$B, 0)), ISNUMBER(SEARCH($A88,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ISNUMBER(SEARCH($A88, INDEX(AsistenciaJetAdminConcatenada!$D:$D, MATCH(1, (AsistenciaJetAdminConcatenada!$A:$A=EA$2)*(AsistenciaJetAdminConcatenada!$B:$B=EA$1), 0)), 1))),  0.5, 0))</f>
        <v>0</v>
      </c>
      <c r="EB88" s="47">
        <f t="array" ref="EB88">IF(AND(ISNUMBER(MATCH(EB$2, AsistenciaJetAdminConcatenada!$A:$A, 0)), ISNUMBER(MATCH(EB$1, AsistenciaJetAdminConcatenada!$B:$B, 0)), ISNUMBER(SEARCH($A88,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ISNUMBER(SEARCH($A88, INDEX(AsistenciaJetAdminConcatenada!$D:$D, MATCH(1, (AsistenciaJetAdminConcatenada!$A:$A=EB$2)*(AsistenciaJetAdminConcatenada!$B:$B=EB$1), 0)), 1))),  0.5, 0))</f>
        <v>0</v>
      </c>
      <c r="EC88" s="47">
        <f t="array" ref="EC88">IF(AND(ISNUMBER(MATCH(EC$2, AsistenciaJetAdminConcatenada!$A:$A, 0)), ISNUMBER(MATCH(EC$1, AsistenciaJetAdminConcatenada!$B:$B, 0)), ISNUMBER(SEARCH($A88,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ISNUMBER(SEARCH($A88, INDEX(AsistenciaJetAdminConcatenada!$D:$D, MATCH(1, (AsistenciaJetAdminConcatenada!$A:$A=EC$2)*(AsistenciaJetAdminConcatenada!$B:$B=EC$1), 0)), 1))),  0.5, 0))</f>
        <v>0</v>
      </c>
      <c r="ED88" s="47">
        <f t="array" ref="ED88">IF(AND(ISNUMBER(MATCH(ED$2, AsistenciaJetAdminConcatenada!$A:$A, 0)), ISNUMBER(MATCH(ED$1, AsistenciaJetAdminConcatenada!$B:$B, 0)), ISNUMBER(SEARCH($A88,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ISNUMBER(SEARCH($A88, INDEX(AsistenciaJetAdminConcatenada!$D:$D, MATCH(1, (AsistenciaJetAdminConcatenada!$A:$A=ED$2)*(AsistenciaJetAdminConcatenada!$B:$B=ED$1), 0)), 1))),  0.5, 0))</f>
        <v>0</v>
      </c>
      <c r="EE88" s="47">
        <f t="array" ref="EE88">IF(AND(ISNUMBER(MATCH(EE$2, AsistenciaJetAdminConcatenada!$A:$A, 0)), ISNUMBER(MATCH(EE$1, AsistenciaJetAdminConcatenada!$B:$B, 0)), ISNUMBER(SEARCH($A88,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ISNUMBER(SEARCH($A88, INDEX(AsistenciaJetAdminConcatenada!$D:$D, MATCH(1, (AsistenciaJetAdminConcatenada!$A:$A=EE$2)*(AsistenciaJetAdminConcatenada!$B:$B=EE$1), 0)), 1))),  0.5, 0))</f>
        <v>0</v>
      </c>
      <c r="EF88" s="47">
        <f t="array" ref="EF88">IF(AND(ISNUMBER(MATCH(EF$2, AsistenciaJetAdminConcatenada!$A:$A, 0)), ISNUMBER(MATCH(EF$1, AsistenciaJetAdminConcatenada!$B:$B, 0)), ISNUMBER(SEARCH($A88,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ISNUMBER(SEARCH($A88, INDEX(AsistenciaJetAdminConcatenada!$D:$D, MATCH(1, (AsistenciaJetAdminConcatenada!$A:$A=EF$2)*(AsistenciaJetAdminConcatenada!$B:$B=EF$1), 0)), 1))),  0.5, 0))</f>
        <v>0</v>
      </c>
      <c r="EG88" s="47">
        <f t="array" ref="EG88">IF(AND(ISNUMBER(MATCH(EG$2, AsistenciaJetAdminConcatenada!$A:$A, 0)), ISNUMBER(MATCH(EG$1, AsistenciaJetAdminConcatenada!$B:$B, 0)), ISNUMBER(SEARCH($A88,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ISNUMBER(SEARCH($A88, INDEX(AsistenciaJetAdminConcatenada!$D:$D, MATCH(1, (AsistenciaJetAdminConcatenada!$A:$A=EG$2)*(AsistenciaJetAdminConcatenada!$B:$B=EG$1), 0)), 1))),  0.5, 0))</f>
        <v>0</v>
      </c>
      <c r="EH88" s="47">
        <f t="array" ref="EH88">IF(AND(ISNUMBER(MATCH(EH$2, AsistenciaJetAdminConcatenada!$A:$A, 0)), ISNUMBER(MATCH(EH$1, AsistenciaJetAdminConcatenada!$B:$B, 0)), ISNUMBER(SEARCH($A88,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ISNUMBER(SEARCH($A88, INDEX(AsistenciaJetAdminConcatenada!$D:$D, MATCH(1, (AsistenciaJetAdminConcatenada!$A:$A=EH$2)*(AsistenciaJetAdminConcatenada!$B:$B=EH$1), 0)), 1))),  0.5, 0))</f>
        <v>0</v>
      </c>
      <c r="EI88" s="47">
        <f t="array" ref="EI88">IF(AND(ISNUMBER(MATCH(EI$2, AsistenciaJetAdminConcatenada!$A:$A, 0)), ISNUMBER(MATCH(EI$1, AsistenciaJetAdminConcatenada!$B:$B, 0)), ISNUMBER(SEARCH($A88,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ISNUMBER(SEARCH($A88, INDEX(AsistenciaJetAdminConcatenada!$D:$D, MATCH(1, (AsistenciaJetAdminConcatenada!$A:$A=EI$2)*(AsistenciaJetAdminConcatenada!$B:$B=EI$1), 0)), 1))),  0.5, 0))</f>
        <v>0</v>
      </c>
      <c r="EJ88" s="47">
        <f t="array" ref="EJ88">IF(AND(ISNUMBER(MATCH(EJ$2, AsistenciaJetAdminConcatenada!$A:$A, 0)), ISNUMBER(MATCH(EJ$1, AsistenciaJetAdminConcatenada!$B:$B, 0)), ISNUMBER(SEARCH($A88,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ISNUMBER(SEARCH($A88, INDEX(AsistenciaJetAdminConcatenada!$D:$D, MATCH(1, (AsistenciaJetAdminConcatenada!$A:$A=EJ$2)*(AsistenciaJetAdminConcatenada!$B:$B=EJ$1), 0)), 1))),  0.5, 0))</f>
        <v>0</v>
      </c>
      <c r="EK88" s="47">
        <f t="array" ref="EK88">IF(AND(ISNUMBER(MATCH(EK$2, AsistenciaJetAdminConcatenada!$A:$A, 0)), ISNUMBER(MATCH(EK$1, AsistenciaJetAdminConcatenada!$B:$B, 0)), ISNUMBER(SEARCH($A88,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ISNUMBER(SEARCH($A88, INDEX(AsistenciaJetAdminConcatenada!$D:$D, MATCH(1, (AsistenciaJetAdminConcatenada!$A:$A=EK$2)*(AsistenciaJetAdminConcatenada!$B:$B=EK$1), 0)), 1))),  0.5, 0))</f>
        <v>0</v>
      </c>
      <c r="EL88" s="47">
        <f t="array" ref="EL88">IF(AND(ISNUMBER(MATCH(EL$2, AsistenciaJetAdminConcatenada!$A:$A, 0)), ISNUMBER(MATCH(EL$1, AsistenciaJetAdminConcatenada!$B:$B, 0)), ISNUMBER(SEARCH($A88,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ISNUMBER(SEARCH($A88, INDEX(AsistenciaJetAdminConcatenada!$D:$D, MATCH(1, (AsistenciaJetAdminConcatenada!$A:$A=EL$2)*(AsistenciaJetAdminConcatenada!$B:$B=EL$1), 0)), 1))),  0.5, 0))</f>
        <v>0</v>
      </c>
      <c r="EM88" s="47">
        <f t="array" ref="EM88">IF(AND(ISNUMBER(MATCH(EM$2, AsistenciaJetAdminConcatenada!$A:$A, 0)), ISNUMBER(MATCH(EM$1, AsistenciaJetAdminConcatenada!$B:$B, 0)), ISNUMBER(SEARCH($A88,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ISNUMBER(SEARCH($A88, INDEX(AsistenciaJetAdminConcatenada!$D:$D, MATCH(1, (AsistenciaJetAdminConcatenada!$A:$A=EM$2)*(AsistenciaJetAdminConcatenada!$B:$B=EM$1), 0)), 1))),  0.5, 0))</f>
        <v>0</v>
      </c>
      <c r="EN88" s="47">
        <f t="array" ref="EN88">IF(AND(ISNUMBER(MATCH(EN$2, AsistenciaJetAdminConcatenada!$A:$A, 0)), ISNUMBER(MATCH(EN$1, AsistenciaJetAdminConcatenada!$B:$B, 0)), ISNUMBER(SEARCH($A88,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ISNUMBER(SEARCH($A88, INDEX(AsistenciaJetAdminConcatenada!$D:$D, MATCH(1, (AsistenciaJetAdminConcatenada!$A:$A=EN$2)*(AsistenciaJetAdminConcatenada!$B:$B=EN$1), 0)), 1))),  0.5, 0))</f>
        <v>0</v>
      </c>
      <c r="EO88" s="47">
        <f t="array" ref="EO88">IF(AND(ISNUMBER(MATCH(EO$2, AsistenciaJetAdminConcatenada!$A:$A, 0)), ISNUMBER(MATCH(EO$1, AsistenciaJetAdminConcatenada!$B:$B, 0)), ISNUMBER(SEARCH($A88,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ISNUMBER(SEARCH($A88, INDEX(AsistenciaJetAdminConcatenada!$D:$D, MATCH(1, (AsistenciaJetAdminConcatenada!$A:$A=EO$2)*(AsistenciaJetAdminConcatenada!$B:$B=EO$1), 0)), 1))),  0.5, 0))</f>
        <v>0</v>
      </c>
      <c r="EP88" s="47">
        <f t="array" ref="EP88">IF(AND(ISNUMBER(MATCH(EP$2, AsistenciaJetAdminConcatenada!$A:$A, 0)), ISNUMBER(MATCH(EP$1, AsistenciaJetAdminConcatenada!$B:$B, 0)), ISNUMBER(SEARCH($A88,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ISNUMBER(SEARCH($A88, INDEX(AsistenciaJetAdminConcatenada!$D:$D, MATCH(1, (AsistenciaJetAdminConcatenada!$A:$A=EP$2)*(AsistenciaJetAdminConcatenada!$B:$B=EP$1), 0)), 1))),  0.5, 0))</f>
        <v>0</v>
      </c>
      <c r="EQ88" s="47">
        <f t="array" ref="EQ88">IF(AND(ISNUMBER(MATCH(EQ$2, AsistenciaJetAdminConcatenada!$A:$A, 0)), ISNUMBER(MATCH(EQ$1, AsistenciaJetAdminConcatenada!$B:$B, 0)), ISNUMBER(SEARCH($A88,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ISNUMBER(SEARCH($A88, INDEX(AsistenciaJetAdminConcatenada!$D:$D, MATCH(1, (AsistenciaJetAdminConcatenada!$A:$A=EQ$2)*(AsistenciaJetAdminConcatenada!$B:$B=EQ$1), 0)), 1))),  0.5, 0))</f>
        <v>0</v>
      </c>
      <c r="ER88" s="47">
        <f t="array" ref="ER88">IF(AND(ISNUMBER(MATCH(ER$2, AsistenciaJetAdminConcatenada!$A:$A, 0)), ISNUMBER(MATCH(ER$1, AsistenciaJetAdminConcatenada!$B:$B, 0)), ISNUMBER(SEARCH($A88,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ISNUMBER(SEARCH($A88, INDEX(AsistenciaJetAdminConcatenada!$D:$D, MATCH(1, (AsistenciaJetAdminConcatenada!$A:$A=ER$2)*(AsistenciaJetAdminConcatenada!$B:$B=ER$1), 0)), 1))),  0.5, 0))</f>
        <v>0</v>
      </c>
      <c r="ES88" s="47">
        <f t="array" ref="ES88">IF(AND(ISNUMBER(MATCH(ES$2, AsistenciaJetAdminConcatenada!$A:$A, 0)), ISNUMBER(MATCH(ES$1, AsistenciaJetAdminConcatenada!$B:$B, 0)), ISNUMBER(SEARCH($A88,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ISNUMBER(SEARCH($A88, INDEX(AsistenciaJetAdminConcatenada!$D:$D, MATCH(1, (AsistenciaJetAdminConcatenada!$A:$A=ES$2)*(AsistenciaJetAdminConcatenada!$B:$B=ES$1), 0)), 1))),  0.5, 0))</f>
        <v>0</v>
      </c>
      <c r="ET88" s="47">
        <f t="array" ref="ET88">IF(AND(ISNUMBER(MATCH(ET$2, AsistenciaJetAdminConcatenada!$A:$A, 0)), ISNUMBER(MATCH(ET$1, AsistenciaJetAdminConcatenada!$B:$B, 0)), ISNUMBER(SEARCH($A88,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ISNUMBER(SEARCH($A88, INDEX(AsistenciaJetAdminConcatenada!$D:$D, MATCH(1, (AsistenciaJetAdminConcatenada!$A:$A=ET$2)*(AsistenciaJetAdminConcatenada!$B:$B=ET$1), 0)), 1))),  0.5, 0))</f>
        <v>0</v>
      </c>
      <c r="EU88" s="47">
        <f t="array" ref="EU88">IF(AND(ISNUMBER(MATCH(EU$2, AsistenciaJetAdminConcatenada!$A:$A, 0)), ISNUMBER(MATCH(EU$1, AsistenciaJetAdminConcatenada!$B:$B, 0)), ISNUMBER(SEARCH($A88,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ISNUMBER(SEARCH($A88, INDEX(AsistenciaJetAdminConcatenada!$D:$D, MATCH(1, (AsistenciaJetAdminConcatenada!$A:$A=EU$2)*(AsistenciaJetAdminConcatenada!$B:$B=EU$1), 0)), 1))),  0.5, 0))</f>
        <v>0</v>
      </c>
      <c r="EV88" s="47">
        <f t="array" ref="EV88">IF(AND(ISNUMBER(MATCH(EV$2, AsistenciaJetAdminConcatenada!$A:$A, 0)), ISNUMBER(MATCH(EV$1, AsistenciaJetAdminConcatenada!$B:$B, 0)), ISNUMBER(SEARCH($A88,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ISNUMBER(SEARCH($A88, INDEX(AsistenciaJetAdminConcatenada!$D:$D, MATCH(1, (AsistenciaJetAdminConcatenada!$A:$A=EV$2)*(AsistenciaJetAdminConcatenada!$B:$B=EV$1), 0)), 1))),  0.5, 0))</f>
        <v>0</v>
      </c>
      <c r="EW88" s="47">
        <f t="array" ref="EW88">IF(AND(ISNUMBER(MATCH(EW$2, AsistenciaJetAdminConcatenada!$A:$A, 0)), ISNUMBER(MATCH(EW$1, AsistenciaJetAdminConcatenada!$B:$B, 0)), ISNUMBER(SEARCH($A88,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ISNUMBER(SEARCH($A88, INDEX(AsistenciaJetAdminConcatenada!$D:$D, MATCH(1, (AsistenciaJetAdminConcatenada!$A:$A=EW$2)*(AsistenciaJetAdminConcatenada!$B:$B=EW$1), 0)), 1))),  0.5, 0))</f>
        <v>0</v>
      </c>
      <c r="EX88" s="47">
        <f t="array" ref="EX88">IF(AND(ISNUMBER(MATCH(EX$2, AsistenciaJetAdminConcatenada!$A:$A, 0)), ISNUMBER(MATCH(EX$1, AsistenciaJetAdminConcatenada!$B:$B, 0)), ISNUMBER(SEARCH($A88,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ISNUMBER(SEARCH($A88, INDEX(AsistenciaJetAdminConcatenada!$D:$D, MATCH(1, (AsistenciaJetAdminConcatenada!$A:$A=EX$2)*(AsistenciaJetAdminConcatenada!$B:$B=EX$1), 0)), 1))),  0.5, 0))</f>
        <v>0</v>
      </c>
      <c r="EY88" s="47">
        <f t="array" ref="EY88">IF(AND(ISNUMBER(MATCH(EY$2, AsistenciaJetAdminConcatenada!$A:$A, 0)), ISNUMBER(MATCH(EY$1, AsistenciaJetAdminConcatenada!$B:$B, 0)), ISNUMBER(SEARCH($A88,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ISNUMBER(SEARCH($A88, INDEX(AsistenciaJetAdminConcatenada!$D:$D, MATCH(1, (AsistenciaJetAdminConcatenada!$A:$A=EY$2)*(AsistenciaJetAdminConcatenada!$B:$B=EY$1), 0)), 1))),  0.5, 0))</f>
        <v>0</v>
      </c>
      <c r="EZ88" s="47">
        <f t="array" ref="EZ88">IF(AND(ISNUMBER(MATCH(EZ$2, AsistenciaJetAdminConcatenada!$A:$A, 0)), ISNUMBER(MATCH(EZ$1, AsistenciaJetAdminConcatenada!$B:$B, 0)), ISNUMBER(SEARCH($A88,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ISNUMBER(SEARCH($A88, INDEX(AsistenciaJetAdminConcatenada!$D:$D, MATCH(1, (AsistenciaJetAdminConcatenada!$A:$A=EZ$2)*(AsistenciaJetAdminConcatenada!$B:$B=EZ$1), 0)), 1))),  0.5, 0))</f>
        <v>0</v>
      </c>
      <c r="FA88" s="47">
        <f t="array" ref="FA88">IF(AND(ISNUMBER(MATCH(FA$2, AsistenciaJetAdminConcatenada!$A:$A, 0)), ISNUMBER(MATCH(FA$1, AsistenciaJetAdminConcatenada!$B:$B, 0)), ISNUMBER(SEARCH($A88,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ISNUMBER(SEARCH($A88, INDEX(AsistenciaJetAdminConcatenada!$D:$D, MATCH(1, (AsistenciaJetAdminConcatenada!$A:$A=FA$2)*(AsistenciaJetAdminConcatenada!$B:$B=FA$1), 0)), 1))),  0.5, 0))</f>
        <v>0</v>
      </c>
      <c r="FB88" s="47">
        <f t="array" ref="FB88">IF(AND(ISNUMBER(MATCH(FB$2, AsistenciaJetAdminConcatenada!$A:$A, 0)), ISNUMBER(MATCH(FB$1, AsistenciaJetAdminConcatenada!$B:$B, 0)), ISNUMBER(SEARCH($A88,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ISNUMBER(SEARCH($A88, INDEX(AsistenciaJetAdminConcatenada!$D:$D, MATCH(1, (AsistenciaJetAdminConcatenada!$A:$A=FB$2)*(AsistenciaJetAdminConcatenada!$B:$B=FB$1), 0)), 1))),  0.5, 0))</f>
        <v>0</v>
      </c>
      <c r="FC88" s="47">
        <f t="array" ref="FC88">IF(AND(ISNUMBER(MATCH(FC$2, AsistenciaJetAdminConcatenada!$A:$A, 0)), ISNUMBER(MATCH(FC$1, AsistenciaJetAdminConcatenada!$B:$B, 0)), ISNUMBER(SEARCH($A88,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ISNUMBER(SEARCH($A88, INDEX(AsistenciaJetAdminConcatenada!$D:$D, MATCH(1, (AsistenciaJetAdminConcatenada!$A:$A=FC$2)*(AsistenciaJetAdminConcatenada!$B:$B=FC$1), 0)), 1))),  0.5, 0))</f>
        <v>0</v>
      </c>
      <c r="FD88" s="47">
        <f t="array" ref="FD88">IF(AND(ISNUMBER(MATCH(FD$2, AsistenciaJetAdminConcatenada!$A:$A, 0)), ISNUMBER(MATCH(FD$1, AsistenciaJetAdminConcatenada!$B:$B, 0)), ISNUMBER(SEARCH($A88,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ISNUMBER(SEARCH($A88, INDEX(AsistenciaJetAdminConcatenada!$D:$D, MATCH(1, (AsistenciaJetAdminConcatenada!$A:$A=FD$2)*(AsistenciaJetAdminConcatenada!$B:$B=FD$1), 0)), 1))),  0.5, 0))</f>
        <v>0</v>
      </c>
      <c r="FE88" s="47">
        <f t="array" ref="FE88">IF(AND(ISNUMBER(MATCH(FE$2, AsistenciaJetAdminConcatenada!$A:$A, 0)), ISNUMBER(MATCH(FE$1, AsistenciaJetAdminConcatenada!$B:$B, 0)), ISNUMBER(SEARCH($A88,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ISNUMBER(SEARCH($A88, INDEX(AsistenciaJetAdminConcatenada!$D:$D, MATCH(1, (AsistenciaJetAdminConcatenada!$A:$A=FE$2)*(AsistenciaJetAdminConcatenada!$B:$B=FE$1), 0)), 1))),  0.5, 0))</f>
        <v>0</v>
      </c>
      <c r="FF88" s="47">
        <f t="array" ref="FF88">IF(AND(ISNUMBER(MATCH(FF$2, AsistenciaJetAdminConcatenada!$A:$A, 0)), ISNUMBER(MATCH(FF$1, AsistenciaJetAdminConcatenada!$B:$B, 0)), ISNUMBER(SEARCH($A88,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ISNUMBER(SEARCH($A88, INDEX(AsistenciaJetAdminConcatenada!$D:$D, MATCH(1, (AsistenciaJetAdminConcatenada!$A:$A=FF$2)*(AsistenciaJetAdminConcatenada!$B:$B=FF$1), 0)), 1))),  0.5, 0))</f>
        <v>0</v>
      </c>
      <c r="FG88" s="47">
        <f t="array" ref="FG88">IF(AND(ISNUMBER(MATCH(FG$2, AsistenciaJetAdminConcatenada!$A:$A, 0)), ISNUMBER(MATCH(FG$1, AsistenciaJetAdminConcatenada!$B:$B, 0)), ISNUMBER(SEARCH($A88,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ISNUMBER(SEARCH($A88, INDEX(AsistenciaJetAdminConcatenada!$D:$D, MATCH(1, (AsistenciaJetAdminConcatenada!$A:$A=FG$2)*(AsistenciaJetAdminConcatenada!$B:$B=FG$1), 0)), 1))),  0.5, 0))</f>
        <v>0</v>
      </c>
      <c r="FH88" s="47">
        <f t="array" ref="FH88">IF(AND(ISNUMBER(MATCH(FH$2, AsistenciaJetAdminConcatenada!$A:$A, 0)), ISNUMBER(MATCH(FH$1, AsistenciaJetAdminConcatenada!$B:$B, 0)), ISNUMBER(SEARCH($A88,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ISNUMBER(SEARCH($A88, INDEX(AsistenciaJetAdminConcatenada!$D:$D, MATCH(1, (AsistenciaJetAdminConcatenada!$A:$A=FH$2)*(AsistenciaJetAdminConcatenada!$B:$B=FH$1), 0)), 1))),  0.5, 0))</f>
        <v>0</v>
      </c>
      <c r="FI88" s="47">
        <f t="array" ref="FI88">IF(AND(ISNUMBER(MATCH(FI$2, AsistenciaJetAdminConcatenada!$A:$A, 0)), ISNUMBER(MATCH(FI$1, AsistenciaJetAdminConcatenada!$B:$B, 0)), ISNUMBER(SEARCH($A88,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ISNUMBER(SEARCH($A88, INDEX(AsistenciaJetAdminConcatenada!$D:$D, MATCH(1, (AsistenciaJetAdminConcatenada!$A:$A=FI$2)*(AsistenciaJetAdminConcatenada!$B:$B=FI$1), 0)), 1))),  0.5, 0))</f>
        <v>0</v>
      </c>
      <c r="FJ88" s="47">
        <f t="array" ref="FJ88">IF(AND(ISNUMBER(MATCH(FJ$2, AsistenciaJetAdminConcatenada!$A:$A, 0)), ISNUMBER(MATCH(FJ$1, AsistenciaJetAdminConcatenada!$B:$B, 0)), ISNUMBER(SEARCH($A88,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ISNUMBER(SEARCH($A88, INDEX(AsistenciaJetAdminConcatenada!$D:$D, MATCH(1, (AsistenciaJetAdminConcatenada!$A:$A=FJ$2)*(AsistenciaJetAdminConcatenada!$B:$B=FJ$1), 0)), 1))),  0.5, 0))</f>
        <v>0</v>
      </c>
      <c r="FK88" s="47">
        <f t="array" ref="FK88">IF(AND(ISNUMBER(MATCH(FK$2, AsistenciaJetAdminConcatenada!$A:$A, 0)), ISNUMBER(MATCH(FK$1, AsistenciaJetAdminConcatenada!$B:$B, 0)), ISNUMBER(SEARCH($A88,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ISNUMBER(SEARCH($A88, INDEX(AsistenciaJetAdminConcatenada!$D:$D, MATCH(1, (AsistenciaJetAdminConcatenada!$A:$A=FK$2)*(AsistenciaJetAdminConcatenada!$B:$B=FK$1), 0)), 1))),  0.5, 0))</f>
        <v>0</v>
      </c>
      <c r="FL88" s="47">
        <f t="array" ref="FL88">IF(AND(ISNUMBER(MATCH(FL$2, AsistenciaJetAdminConcatenada!$A:$A, 0)), ISNUMBER(MATCH(FL$1, AsistenciaJetAdminConcatenada!$B:$B, 0)), ISNUMBER(SEARCH($A88,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ISNUMBER(SEARCH($A88, INDEX(AsistenciaJetAdminConcatenada!$D:$D, MATCH(1, (AsistenciaJetAdminConcatenada!$A:$A=FL$2)*(AsistenciaJetAdminConcatenada!$B:$B=FL$1), 0)), 1))),  0.5, 0))</f>
        <v>0</v>
      </c>
      <c r="FM88" s="47">
        <f t="array" ref="FM88">IF(AND(ISNUMBER(MATCH(FM$2, AsistenciaJetAdminConcatenada!$A:$A, 0)), ISNUMBER(MATCH(FM$1, AsistenciaJetAdminConcatenada!$B:$B, 0)), ISNUMBER(SEARCH($A88,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ISNUMBER(SEARCH($A88, INDEX(AsistenciaJetAdminConcatenada!$D:$D, MATCH(1, (AsistenciaJetAdminConcatenada!$A:$A=FM$2)*(AsistenciaJetAdminConcatenada!$B:$B=FM$1), 0)), 1))),  0.5, 0))</f>
        <v>0</v>
      </c>
      <c r="FN88" s="47">
        <f t="array" ref="FN88">IF(AND(ISNUMBER(MATCH(FN$2, AsistenciaJetAdminConcatenada!$A:$A, 0)), ISNUMBER(MATCH(FN$1, AsistenciaJetAdminConcatenada!$B:$B, 0)), ISNUMBER(SEARCH($A88,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ISNUMBER(SEARCH($A88, INDEX(AsistenciaJetAdminConcatenada!$D:$D, MATCH(1, (AsistenciaJetAdminConcatenada!$A:$A=FN$2)*(AsistenciaJetAdminConcatenada!$B:$B=FN$1), 0)), 1))),  0.5, 0))</f>
        <v>0</v>
      </c>
      <c r="FO88" s="47">
        <f t="array" ref="FO88">IF(AND(ISNUMBER(MATCH(FO$2, AsistenciaJetAdminConcatenada!$A:$A, 0)), ISNUMBER(MATCH(FO$1, AsistenciaJetAdminConcatenada!$B:$B, 0)), ISNUMBER(SEARCH($A88,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ISNUMBER(SEARCH($A88, INDEX(AsistenciaJetAdminConcatenada!$D:$D, MATCH(1, (AsistenciaJetAdminConcatenada!$A:$A=FO$2)*(AsistenciaJetAdminConcatenada!$B:$B=FO$1), 0)), 1))),  0.5, 0))</f>
        <v>0</v>
      </c>
      <c r="FP88" s="47">
        <f t="array" ref="FP88">IF(AND(ISNUMBER(MATCH(FP$2, AsistenciaJetAdminConcatenada!$A:$A, 0)), ISNUMBER(MATCH(FP$1, AsistenciaJetAdminConcatenada!$B:$B, 0)), ISNUMBER(SEARCH($A88,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ISNUMBER(SEARCH($A88, INDEX(AsistenciaJetAdminConcatenada!$D:$D, MATCH(1, (AsistenciaJetAdminConcatenada!$A:$A=FP$2)*(AsistenciaJetAdminConcatenada!$B:$B=FP$1), 0)), 1))),  0.5, 0))</f>
        <v>0</v>
      </c>
      <c r="FQ88" s="47">
        <f t="array" ref="FQ88">IF(AND(ISNUMBER(MATCH(FQ$2, AsistenciaJetAdminConcatenada!$A:$A, 0)), ISNUMBER(MATCH(FQ$1, AsistenciaJetAdminConcatenada!$B:$B, 0)), ISNUMBER(SEARCH($A88,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ISNUMBER(SEARCH($A88, INDEX(AsistenciaJetAdminConcatenada!$D:$D, MATCH(1, (AsistenciaJetAdminConcatenada!$A:$A=FQ$2)*(AsistenciaJetAdminConcatenada!$B:$B=FQ$1), 0)), 1))),  0.5, 0))</f>
        <v>0</v>
      </c>
      <c r="FR88" s="47">
        <f t="array" ref="FR88">IF(AND(ISNUMBER(MATCH(FR$2, AsistenciaJetAdminConcatenada!$A:$A, 0)), ISNUMBER(MATCH(FR$1, AsistenciaJetAdminConcatenada!$B:$B, 0)), ISNUMBER(SEARCH($A88,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ISNUMBER(SEARCH($A88, INDEX(AsistenciaJetAdminConcatenada!$D:$D, MATCH(1, (AsistenciaJetAdminConcatenada!$A:$A=FR$2)*(AsistenciaJetAdminConcatenada!$B:$B=FR$1), 0)), 1))),  0.5, 0))</f>
        <v>0</v>
      </c>
      <c r="FS88" s="47">
        <f t="array" ref="FS88">IF(AND(ISNUMBER(MATCH(FS$2, AsistenciaJetAdminConcatenada!$A:$A, 0)), ISNUMBER(MATCH(FS$1, AsistenciaJetAdminConcatenada!$B:$B, 0)), ISNUMBER(SEARCH($A88,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ISNUMBER(SEARCH($A88, INDEX(AsistenciaJetAdminConcatenada!$D:$D, MATCH(1, (AsistenciaJetAdminConcatenada!$A:$A=FS$2)*(AsistenciaJetAdminConcatenada!$B:$B=FS$1), 0)), 1))),  0.5, 0))</f>
        <v>0</v>
      </c>
      <c r="FT88" s="47">
        <f t="array" ref="FT88">IF(AND(ISNUMBER(MATCH(FT$2, AsistenciaJetAdminConcatenada!$A:$A, 0)), ISNUMBER(MATCH(FT$1, AsistenciaJetAdminConcatenada!$B:$B, 0)), ISNUMBER(SEARCH($A88,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ISNUMBER(SEARCH($A88, INDEX(AsistenciaJetAdminConcatenada!$D:$D, MATCH(1, (AsistenciaJetAdminConcatenada!$A:$A=FT$2)*(AsistenciaJetAdminConcatenada!$B:$B=FT$1), 0)), 1))),  0.5, 0))</f>
        <v>0</v>
      </c>
      <c r="FU88" s="47">
        <f t="array" ref="FU88">IF(AND(ISNUMBER(MATCH(FU$2, AsistenciaJetAdminConcatenada!$A:$A, 0)), ISNUMBER(MATCH(FU$1, AsistenciaJetAdminConcatenada!$B:$B, 0)), ISNUMBER(SEARCH($A88,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ISNUMBER(SEARCH($A88, INDEX(AsistenciaJetAdminConcatenada!$D:$D, MATCH(1, (AsistenciaJetAdminConcatenada!$A:$A=FU$2)*(AsistenciaJetAdminConcatenada!$B:$B=FU$1), 0)), 1))),  0.5, 0))</f>
        <v>0</v>
      </c>
      <c r="FV88" s="47">
        <f t="array" ref="FV88">IF(AND(ISNUMBER(MATCH(FV$2, AsistenciaJetAdminConcatenada!$A:$A, 0)), ISNUMBER(MATCH(FV$1, AsistenciaJetAdminConcatenada!$B:$B, 0)), ISNUMBER(SEARCH($A88,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ISNUMBER(SEARCH($A88, INDEX(AsistenciaJetAdminConcatenada!$D:$D, MATCH(1, (AsistenciaJetAdminConcatenada!$A:$A=FV$2)*(AsistenciaJetAdminConcatenada!$B:$B=FV$1), 0)), 1))),  0.5, 0))</f>
        <v>0</v>
      </c>
      <c r="FW88" s="47">
        <f t="array" ref="FW88">IF(AND(ISNUMBER(MATCH(FW$2, AsistenciaJetAdminConcatenada!$A:$A, 0)), ISNUMBER(MATCH(FW$1, AsistenciaJetAdminConcatenada!$B:$B, 0)), ISNUMBER(SEARCH($A88,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ISNUMBER(SEARCH($A88, INDEX(AsistenciaJetAdminConcatenada!$D:$D, MATCH(1, (AsistenciaJetAdminConcatenada!$A:$A=FW$2)*(AsistenciaJetAdminConcatenada!$B:$B=FW$1), 0)), 1))),  0.5, 0))</f>
        <v>0</v>
      </c>
      <c r="FX88" s="47">
        <f t="array" ref="FX88">IF(AND(ISNUMBER(MATCH(FX$2, AsistenciaJetAdminConcatenada!$A:$A, 0)), ISNUMBER(MATCH(FX$1, AsistenciaJetAdminConcatenada!$B:$B, 0)), ISNUMBER(SEARCH($A88,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ISNUMBER(SEARCH($A88, INDEX(AsistenciaJetAdminConcatenada!$D:$D, MATCH(1, (AsistenciaJetAdminConcatenada!$A:$A=FX$2)*(AsistenciaJetAdminConcatenada!$B:$B=FX$1), 0)), 1))),  0.5, 0))</f>
        <v>0</v>
      </c>
      <c r="FY88" s="47">
        <f t="array" ref="FY88">IF(AND(ISNUMBER(MATCH(FY$2, AsistenciaJetAdminConcatenada!$A:$A, 0)), ISNUMBER(MATCH(FY$1, AsistenciaJetAdminConcatenada!$B:$B, 0)), ISNUMBER(SEARCH($A88,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ISNUMBER(SEARCH($A88, INDEX(AsistenciaJetAdminConcatenada!$D:$D, MATCH(1, (AsistenciaJetAdminConcatenada!$A:$A=FY$2)*(AsistenciaJetAdminConcatenada!$B:$B=FY$1), 0)), 1))),  0.5, 0))</f>
        <v>0</v>
      </c>
      <c r="FZ88" s="47">
        <f t="array" ref="FZ88">IF(AND(ISNUMBER(MATCH(FZ$2, AsistenciaJetAdminConcatenada!$A:$A, 0)), ISNUMBER(MATCH(FZ$1, AsistenciaJetAdminConcatenada!$B:$B, 0)), ISNUMBER(SEARCH($A88,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ISNUMBER(SEARCH($A88, INDEX(AsistenciaJetAdminConcatenada!$D:$D, MATCH(1, (AsistenciaJetAdminConcatenada!$A:$A=FZ$2)*(AsistenciaJetAdminConcatenada!$B:$B=FZ$1), 0)), 1))),  0.5, 0))</f>
        <v>0</v>
      </c>
      <c r="GA88" s="47">
        <f t="array" ref="GA88">IF(AND(ISNUMBER(MATCH(GA$2, AsistenciaJetAdminConcatenada!$A:$A, 0)), ISNUMBER(MATCH(GA$1, AsistenciaJetAdminConcatenada!$B:$B, 0)), ISNUMBER(SEARCH($A88,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ISNUMBER(SEARCH($A88, INDEX(AsistenciaJetAdminConcatenada!$D:$D, MATCH(1, (AsistenciaJetAdminConcatenada!$A:$A=GA$2)*(AsistenciaJetAdminConcatenada!$B:$B=GA$1), 0)), 1))),  0.5, 0))</f>
        <v>0</v>
      </c>
      <c r="GB88" s="47">
        <f t="array" ref="GB88">IF(AND(ISNUMBER(MATCH(GB$2, AsistenciaJetAdminConcatenada!$A:$A, 0)), ISNUMBER(MATCH(GB$1, AsistenciaJetAdminConcatenada!$B:$B, 0)), ISNUMBER(SEARCH($A88,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ISNUMBER(SEARCH($A88, INDEX(AsistenciaJetAdminConcatenada!$D:$D, MATCH(1, (AsistenciaJetAdminConcatenada!$A:$A=GB$2)*(AsistenciaJetAdminConcatenada!$B:$B=GB$1), 0)), 1))),  0.5, 0))</f>
        <v>0</v>
      </c>
      <c r="GC88" s="47">
        <f t="array" ref="GC88">IF(AND(ISNUMBER(MATCH(GC$2, AsistenciaJetAdminConcatenada!$A:$A, 0)), ISNUMBER(MATCH(GC$1, AsistenciaJetAdminConcatenada!$B:$B, 0)), ISNUMBER(SEARCH($A88,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ISNUMBER(SEARCH($A88, INDEX(AsistenciaJetAdminConcatenada!$D:$D, MATCH(1, (AsistenciaJetAdminConcatenada!$A:$A=GC$2)*(AsistenciaJetAdminConcatenada!$B:$B=GC$1), 0)), 1))),  0.5, 0))</f>
        <v>0</v>
      </c>
      <c r="GD88" s="47">
        <f t="array" ref="GD88">IF(AND(ISNUMBER(MATCH(GD$2, AsistenciaJetAdminConcatenada!$A:$A, 0)), ISNUMBER(MATCH(GD$1, AsistenciaJetAdminConcatenada!$B:$B, 0)), ISNUMBER(SEARCH($A88,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ISNUMBER(SEARCH($A88, INDEX(AsistenciaJetAdminConcatenada!$D:$D, MATCH(1, (AsistenciaJetAdminConcatenada!$A:$A=GD$2)*(AsistenciaJetAdminConcatenada!$B:$B=GD$1), 0)), 1))),  0.5, 0))</f>
        <v>0</v>
      </c>
      <c r="GE88" s="47">
        <f t="array" ref="GE88">IF(AND(ISNUMBER(MATCH(GE$2, AsistenciaJetAdminConcatenada!$A:$A, 0)), ISNUMBER(MATCH(GE$1, AsistenciaJetAdminConcatenada!$B:$B, 0)), ISNUMBER(SEARCH($A88,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ISNUMBER(SEARCH($A88, INDEX(AsistenciaJetAdminConcatenada!$D:$D, MATCH(1, (AsistenciaJetAdminConcatenada!$A:$A=GE$2)*(AsistenciaJetAdminConcatenada!$B:$B=GE$1), 0)), 1))),  0.5, 0))</f>
        <v>0</v>
      </c>
      <c r="GF88" s="47">
        <f t="array" ref="GF88">IF(AND(ISNUMBER(MATCH(GF$2, AsistenciaJetAdminConcatenada!$A:$A, 0)), ISNUMBER(MATCH(GF$1, AsistenciaJetAdminConcatenada!$B:$B, 0)), ISNUMBER(SEARCH($A88,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ISNUMBER(SEARCH($A88, INDEX(AsistenciaJetAdminConcatenada!$D:$D, MATCH(1, (AsistenciaJetAdminConcatenada!$A:$A=GF$2)*(AsistenciaJetAdminConcatenada!$B:$B=GF$1), 0)), 1))),  0.5, 0))</f>
        <v>0</v>
      </c>
      <c r="GG88" s="47">
        <f t="array" ref="GG88">IF(AND(ISNUMBER(MATCH(GG$2, AsistenciaJetAdminConcatenada!$A:$A, 0)), ISNUMBER(MATCH(GG$1, AsistenciaJetAdminConcatenada!$B:$B, 0)), ISNUMBER(SEARCH($A88,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ISNUMBER(SEARCH($A88, INDEX(AsistenciaJetAdminConcatenada!$D:$D, MATCH(1, (AsistenciaJetAdminConcatenada!$A:$A=GG$2)*(AsistenciaJetAdminConcatenada!$B:$B=GG$1), 0)), 1))),  0.5, 0))</f>
        <v>0</v>
      </c>
      <c r="GH88" s="47">
        <f t="array" ref="GH88">IF(AND(ISNUMBER(MATCH(GH$2, AsistenciaJetAdminConcatenada!$A:$A, 0)), ISNUMBER(MATCH(GH$1, AsistenciaJetAdminConcatenada!$B:$B, 0)), ISNUMBER(SEARCH($A88,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ISNUMBER(SEARCH($A88, INDEX(AsistenciaJetAdminConcatenada!$D:$D, MATCH(1, (AsistenciaJetAdminConcatenada!$A:$A=GH$2)*(AsistenciaJetAdminConcatenada!$B:$B=GH$1), 0)), 1))),  0.5, 0))</f>
        <v>0</v>
      </c>
      <c r="GI88" s="47">
        <f t="array" ref="GI88">IF(AND(ISNUMBER(MATCH(GI$2, AsistenciaJetAdminConcatenada!$A:$A, 0)), ISNUMBER(MATCH(GI$1, AsistenciaJetAdminConcatenada!$B:$B, 0)), ISNUMBER(SEARCH($A88,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ISNUMBER(SEARCH($A88, INDEX(AsistenciaJetAdminConcatenada!$D:$D, MATCH(1, (AsistenciaJetAdminConcatenada!$A:$A=GI$2)*(AsistenciaJetAdminConcatenada!$B:$B=GI$1), 0)), 1))),  0.5, 0))</f>
        <v>0</v>
      </c>
      <c r="GJ88" s="47">
        <f t="array" ref="GJ88">IF(AND(ISNUMBER(MATCH(GJ$2, AsistenciaJetAdminConcatenada!$A:$A, 0)), ISNUMBER(MATCH(GJ$1, AsistenciaJetAdminConcatenada!$B:$B, 0)), ISNUMBER(SEARCH($A88,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ISNUMBER(SEARCH($A88, INDEX(AsistenciaJetAdminConcatenada!$D:$D, MATCH(1, (AsistenciaJetAdminConcatenada!$A:$A=GJ$2)*(AsistenciaJetAdminConcatenada!$B:$B=GJ$1), 0)), 1))),  0.5, 0))</f>
        <v>0</v>
      </c>
      <c r="GK88" s="47">
        <f t="array" ref="GK88">IF(AND(ISNUMBER(MATCH(GK$2, AsistenciaJetAdminConcatenada!$A:$A, 0)), ISNUMBER(MATCH(GK$1, AsistenciaJetAdminConcatenada!$B:$B, 0)), ISNUMBER(SEARCH($A88,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ISNUMBER(SEARCH($A88, INDEX(AsistenciaJetAdminConcatenada!$D:$D, MATCH(1, (AsistenciaJetAdminConcatenada!$A:$A=GK$2)*(AsistenciaJetAdminConcatenada!$B:$B=GK$1), 0)), 1))),  0.5, 0))</f>
        <v>0</v>
      </c>
      <c r="GL88" s="47">
        <f t="array" ref="GL88">IF(AND(ISNUMBER(MATCH(GL$2, AsistenciaJetAdminConcatenada!$A:$A, 0)), ISNUMBER(MATCH(GL$1, AsistenciaJetAdminConcatenada!$B:$B, 0)), ISNUMBER(SEARCH($A88,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ISNUMBER(SEARCH($A88, INDEX(AsistenciaJetAdminConcatenada!$D:$D, MATCH(1, (AsistenciaJetAdminConcatenada!$A:$A=GL$2)*(AsistenciaJetAdminConcatenada!$B:$B=GL$1), 0)), 1))),  0.5, 0))</f>
        <v>0</v>
      </c>
      <c r="GM88" s="47">
        <f t="array" ref="GM88">IF(AND(ISNUMBER(MATCH(GM$2, AsistenciaJetAdminConcatenada!$A:$A, 0)), ISNUMBER(MATCH(GM$1, AsistenciaJetAdminConcatenada!$B:$B, 0)), ISNUMBER(SEARCH($A88,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ISNUMBER(SEARCH($A88, INDEX(AsistenciaJetAdminConcatenada!$D:$D, MATCH(1, (AsistenciaJetAdminConcatenada!$A:$A=GM$2)*(AsistenciaJetAdminConcatenada!$B:$B=GM$1), 0)), 1))),  0.5, 0))</f>
        <v>0</v>
      </c>
      <c r="GN88" s="47">
        <f t="array" ref="GN88">IF(AND(ISNUMBER(MATCH(GN$2, AsistenciaJetAdminConcatenada!$A:$A, 0)), ISNUMBER(MATCH(GN$1, AsistenciaJetAdminConcatenada!$B:$B, 0)), ISNUMBER(SEARCH($A88,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ISNUMBER(SEARCH($A88, INDEX(AsistenciaJetAdminConcatenada!$D:$D, MATCH(1, (AsistenciaJetAdminConcatenada!$A:$A=GN$2)*(AsistenciaJetAdminConcatenada!$B:$B=GN$1), 0)), 1))),  0.5, 0))</f>
        <v>0</v>
      </c>
      <c r="GO88" s="47">
        <f t="array" ref="GO88">IF(AND(ISNUMBER(MATCH(GO$2, AsistenciaJetAdminConcatenada!$A:$A, 0)), ISNUMBER(MATCH(GO$1, AsistenciaJetAdminConcatenada!$B:$B, 0)), ISNUMBER(SEARCH($A88,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ISNUMBER(SEARCH($A88, INDEX(AsistenciaJetAdminConcatenada!$D:$D, MATCH(1, (AsistenciaJetAdminConcatenada!$A:$A=GO$2)*(AsistenciaJetAdminConcatenada!$B:$B=GO$1), 0)), 1))),  0.5, 0))</f>
        <v>0</v>
      </c>
      <c r="GP88" s="47">
        <f t="array" ref="GP88">IF(AND(ISNUMBER(MATCH(GP$2, AsistenciaJetAdminConcatenada!$A:$A, 0)), ISNUMBER(MATCH(GP$1, AsistenciaJetAdminConcatenada!$B:$B, 0)), ISNUMBER(SEARCH($A88,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ISNUMBER(SEARCH($A88, INDEX(AsistenciaJetAdminConcatenada!$D:$D, MATCH(1, (AsistenciaJetAdminConcatenada!$A:$A=GP$2)*(AsistenciaJetAdminConcatenada!$B:$B=GP$1), 0)), 1))),  0.5, 0))</f>
        <v>0</v>
      </c>
      <c r="GQ88" s="47">
        <f t="array" ref="GQ88">IF(AND(ISNUMBER(MATCH(GQ$2, AsistenciaJetAdminConcatenada!$A:$A, 0)), ISNUMBER(MATCH(GQ$1, AsistenciaJetAdminConcatenada!$B:$B, 0)), ISNUMBER(SEARCH($A88,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ISNUMBER(SEARCH($A88, INDEX(AsistenciaJetAdminConcatenada!$D:$D, MATCH(1, (AsistenciaJetAdminConcatenada!$A:$A=GQ$2)*(AsistenciaJetAdminConcatenada!$B:$B=GQ$1), 0)), 1))),  0.5, 0))</f>
        <v>0</v>
      </c>
      <c r="GR88" s="47">
        <f t="array" ref="GR88">IF(AND(ISNUMBER(MATCH(GR$2, AsistenciaJetAdminConcatenada!$A:$A, 0)), ISNUMBER(MATCH(GR$1, AsistenciaJetAdminConcatenada!$B:$B, 0)), ISNUMBER(SEARCH($A88,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ISNUMBER(SEARCH($A88, INDEX(AsistenciaJetAdminConcatenada!$D:$D, MATCH(1, (AsistenciaJetAdminConcatenada!$A:$A=GR$2)*(AsistenciaJetAdminConcatenada!$B:$B=GR$1), 0)), 1))),  0.5, 0))</f>
        <v>0</v>
      </c>
      <c r="GS88" s="47">
        <f t="array" ref="GS88">IF(AND(ISNUMBER(MATCH(GS$2, AsistenciaJetAdminConcatenada!$A:$A, 0)), ISNUMBER(MATCH(GS$1, AsistenciaJetAdminConcatenada!$B:$B, 0)), ISNUMBER(SEARCH($A88,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ISNUMBER(SEARCH($A88, INDEX(AsistenciaJetAdminConcatenada!$D:$D, MATCH(1, (AsistenciaJetAdminConcatenada!$A:$A=GS$2)*(AsistenciaJetAdminConcatenada!$B:$B=GS$1), 0)), 1))),  0.5, 0))</f>
        <v>0</v>
      </c>
      <c r="GT88" s="47">
        <f t="array" ref="GT88">IF(AND(ISNUMBER(MATCH(GT$2, AsistenciaJetAdminConcatenada!$A:$A, 0)), ISNUMBER(MATCH(GT$1, AsistenciaJetAdminConcatenada!$B:$B, 0)), ISNUMBER(SEARCH($A88,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ISNUMBER(SEARCH($A88, INDEX(AsistenciaJetAdminConcatenada!$D:$D, MATCH(1, (AsistenciaJetAdminConcatenada!$A:$A=GT$2)*(AsistenciaJetAdminConcatenada!$B:$B=GT$1), 0)), 1))),  0.5, 0))</f>
        <v>0</v>
      </c>
      <c r="GU88" s="47">
        <f t="array" ref="GU88">IF(AND(ISNUMBER(MATCH(GU$2, AsistenciaJetAdminConcatenada!$A:$A, 0)), ISNUMBER(MATCH(GU$1, AsistenciaJetAdminConcatenada!$B:$B, 0)), ISNUMBER(SEARCH($A88,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ISNUMBER(SEARCH($A88, INDEX(AsistenciaJetAdminConcatenada!$D:$D, MATCH(1, (AsistenciaJetAdminConcatenada!$A:$A=GU$2)*(AsistenciaJetAdminConcatenada!$B:$B=GU$1), 0)), 1))),  0.5, 0))</f>
        <v>0</v>
      </c>
      <c r="GV88" s="47">
        <f t="array" ref="GV88">IF(AND(ISNUMBER(MATCH(GV$2, AsistenciaJetAdminConcatenada!$A:$A, 0)), ISNUMBER(MATCH(GV$1, AsistenciaJetAdminConcatenada!$B:$B, 0)), ISNUMBER(SEARCH($A88,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ISNUMBER(SEARCH($A88, INDEX(AsistenciaJetAdminConcatenada!$D:$D, MATCH(1, (AsistenciaJetAdminConcatenada!$A:$A=GV$2)*(AsistenciaJetAdminConcatenada!$B:$B=GV$1), 0)), 1))),  0.5, 0))</f>
        <v>0</v>
      </c>
      <c r="GW88" s="47">
        <f t="array" ref="GW88">IF(AND(ISNUMBER(MATCH(GW$2, AsistenciaJetAdminConcatenada!$A:$A, 0)), ISNUMBER(MATCH(GW$1, AsistenciaJetAdminConcatenada!$B:$B, 0)), ISNUMBER(SEARCH($A88,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ISNUMBER(SEARCH($A88, INDEX(AsistenciaJetAdminConcatenada!$D:$D, MATCH(1, (AsistenciaJetAdminConcatenada!$A:$A=GW$2)*(AsistenciaJetAdminConcatenada!$B:$B=GW$1), 0)), 1))),  0.5, 0))</f>
        <v>0</v>
      </c>
      <c r="GX88" s="47">
        <f t="array" ref="GX88">IF(AND(ISNUMBER(MATCH(GX$2, AsistenciaJetAdminConcatenada!$A:$A, 0)), ISNUMBER(MATCH(GX$1, AsistenciaJetAdminConcatenada!$B:$B, 0)), ISNUMBER(SEARCH($A88,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ISNUMBER(SEARCH($A88, INDEX(AsistenciaJetAdminConcatenada!$D:$D, MATCH(1, (AsistenciaJetAdminConcatenada!$A:$A=GX$2)*(AsistenciaJetAdminConcatenada!$B:$B=GX$1), 0)), 1))),  0.5, 0))</f>
        <v>0</v>
      </c>
      <c r="GY88" s="47">
        <f t="array" ref="GY88">IF(AND(ISNUMBER(MATCH(GY$2, AsistenciaJetAdminConcatenada!$A:$A, 0)), ISNUMBER(MATCH(GY$1, AsistenciaJetAdminConcatenada!$B:$B, 0)), ISNUMBER(SEARCH($A88,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ISNUMBER(SEARCH($A88, INDEX(AsistenciaJetAdminConcatenada!$D:$D, MATCH(1, (AsistenciaJetAdminConcatenada!$A:$A=GY$2)*(AsistenciaJetAdminConcatenada!$B:$B=GY$1), 0)), 1))),  0.5, 0))</f>
        <v>0</v>
      </c>
      <c r="GZ88" s="47">
        <f t="array" ref="GZ88">IF(AND(ISNUMBER(MATCH(GZ$2, AsistenciaJetAdminConcatenada!$A:$A, 0)), ISNUMBER(MATCH(GZ$1, AsistenciaJetAdminConcatenada!$B:$B, 0)), ISNUMBER(SEARCH($A88,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ISNUMBER(SEARCH($A88, INDEX(AsistenciaJetAdminConcatenada!$D:$D, MATCH(1, (AsistenciaJetAdminConcatenada!$A:$A=GZ$2)*(AsistenciaJetAdminConcatenada!$B:$B=GZ$1), 0)), 1))),  0.5, 0))</f>
        <v>0</v>
      </c>
      <c r="HA88" s="47">
        <f t="array" ref="HA88">IF(AND(ISNUMBER(MATCH(HA$2, AsistenciaJetAdminConcatenada!$A:$A, 0)), ISNUMBER(MATCH(HA$1, AsistenciaJetAdminConcatenada!$B:$B, 0)), ISNUMBER(SEARCH($A88,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ISNUMBER(SEARCH($A88, INDEX(AsistenciaJetAdminConcatenada!$D:$D, MATCH(1, (AsistenciaJetAdminConcatenada!$A:$A=HA$2)*(AsistenciaJetAdminConcatenada!$B:$B=HA$1), 0)), 1))),  0.5, 0))</f>
        <v>0</v>
      </c>
      <c r="HB88" s="47">
        <f t="array" ref="HB88">IF(AND(ISNUMBER(MATCH(HB$2, AsistenciaJetAdminConcatenada!$A:$A, 0)), ISNUMBER(MATCH(HB$1, AsistenciaJetAdminConcatenada!$B:$B, 0)), ISNUMBER(SEARCH($A88,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ISNUMBER(SEARCH($A88, INDEX(AsistenciaJetAdminConcatenada!$D:$D, MATCH(1, (AsistenciaJetAdminConcatenada!$A:$A=HB$2)*(AsistenciaJetAdminConcatenada!$B:$B=HB$1), 0)), 1))),  0.5, 0))</f>
        <v>0</v>
      </c>
      <c r="HC88" s="47">
        <f t="array" ref="HC88">IF(AND(ISNUMBER(MATCH(HC$2, AsistenciaJetAdminConcatenada!$A:$A, 0)), ISNUMBER(MATCH(HC$1, AsistenciaJetAdminConcatenada!$B:$B, 0)), ISNUMBER(SEARCH($A88,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ISNUMBER(SEARCH($A88, INDEX(AsistenciaJetAdminConcatenada!$D:$D, MATCH(1, (AsistenciaJetAdminConcatenada!$A:$A=HC$2)*(AsistenciaJetAdminConcatenada!$B:$B=HC$1), 0)), 1))),  0.5, 0))</f>
        <v>0</v>
      </c>
    </row>
    <row r="89" ht="29.25" customHeight="1">
      <c r="A89" s="3">
        <v>194.0</v>
      </c>
      <c r="B89" s="4" t="s">
        <v>248</v>
      </c>
      <c r="C89" s="47">
        <f>SUM(D89:HC89) + ActividadesEspeciales!C89</f>
        <v>79</v>
      </c>
      <c r="D89" s="47">
        <f t="array" ref="D89">IF(AND(ISNUMBER(MATCH(D$2, AsistenciaJetAdminConcatenada!$A:$A, 0)), ISNUMBER(MATCH(D$1, AsistenciaJetAdminConcatenada!$B:$B, 0)), ISNUMBER(SEARCH($A89,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ISNUMBER(SEARCH($A89, INDEX(AsistenciaJetAdminConcatenada!$D:$D, MATCH(1, (AsistenciaJetAdminConcatenada!$A:$A=D$2)*(AsistenciaJetAdminConcatenada!$B:$B=D$1), 0)), 1))),  0.5, 0))</f>
        <v>1</v>
      </c>
      <c r="E89" s="47">
        <f t="array" ref="E89">IF(AND(ISNUMBER(MATCH(E$2, AsistenciaJetAdminConcatenada!$A:$A, 0)), ISNUMBER(MATCH(E$1, AsistenciaJetAdminConcatenada!$B:$B, 0)), ISNUMBER(SEARCH($A89,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ISNUMBER(SEARCH($A89, INDEX(AsistenciaJetAdminConcatenada!$D:$D, MATCH(1, (AsistenciaJetAdminConcatenada!$A:$A=E$2)*(AsistenciaJetAdminConcatenada!$B:$B=E$1), 0)), 1))),  0.5, 0))</f>
        <v>1</v>
      </c>
      <c r="F89" s="47">
        <f t="array" ref="F89">IF(AND(ISNUMBER(MATCH(F$2, AsistenciaJetAdminConcatenada!$A:$A, 0)), ISNUMBER(MATCH(F$1, AsistenciaJetAdminConcatenada!$B:$B, 0)), ISNUMBER(SEARCH($A89,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ISNUMBER(SEARCH($A89, INDEX(AsistenciaJetAdminConcatenada!$D:$D, MATCH(1, (AsistenciaJetAdminConcatenada!$A:$A=F$2)*(AsistenciaJetAdminConcatenada!$B:$B=F$1), 0)), 1))),  0.5, 0))</f>
        <v>0.5</v>
      </c>
      <c r="G89" s="47">
        <f t="array" ref="G89">IF(AND(ISNUMBER(MATCH(G$2, AsistenciaJetAdminConcatenada!$A:$A, 0)), ISNUMBER(MATCH(G$1, AsistenciaJetAdminConcatenada!$B:$B, 0)), ISNUMBER(SEARCH($A89,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ISNUMBER(SEARCH($A89, INDEX(AsistenciaJetAdminConcatenada!$D:$D, MATCH(1, (AsistenciaJetAdminConcatenada!$A:$A=G$2)*(AsistenciaJetAdminConcatenada!$B:$B=G$1), 0)), 1))),  0.5, 0))</f>
        <v>1</v>
      </c>
      <c r="H89" s="47">
        <f t="array" ref="H89">IF(AND(ISNUMBER(MATCH(H$2, AsistenciaJetAdminConcatenada!$A:$A, 0)), ISNUMBER(MATCH(H$1, AsistenciaJetAdminConcatenada!$B:$B, 0)), ISNUMBER(SEARCH($A89,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ISNUMBER(SEARCH($A89, INDEX(AsistenciaJetAdminConcatenada!$D:$D, MATCH(1, (AsistenciaJetAdminConcatenada!$A:$A=H$2)*(AsistenciaJetAdminConcatenada!$B:$B=H$1), 0)), 1))),  0.5, 0))</f>
        <v>1</v>
      </c>
      <c r="I89" s="47">
        <f t="array" ref="I89">IF(AND(ISNUMBER(MATCH(I$2, AsistenciaJetAdminConcatenada!$A:$A, 0)), ISNUMBER(MATCH(I$1, AsistenciaJetAdminConcatenada!$B:$B, 0)), ISNUMBER(SEARCH($A89,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ISNUMBER(SEARCH($A89, INDEX(AsistenciaJetAdminConcatenada!$D:$D, MATCH(1, (AsistenciaJetAdminConcatenada!$A:$A=I$2)*(AsistenciaJetAdminConcatenada!$B:$B=I$1), 0)), 1))),  0.5, 0))</f>
        <v>1</v>
      </c>
      <c r="J89" s="47">
        <f t="array" ref="J89">IF(AND(ISNUMBER(MATCH(J$2, AsistenciaJetAdminConcatenada!$A:$A, 0)), ISNUMBER(MATCH(J$1, AsistenciaJetAdminConcatenada!$B:$B, 0)), ISNUMBER(SEARCH($A89,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ISNUMBER(SEARCH($A89, INDEX(AsistenciaJetAdminConcatenada!$D:$D, MATCH(1, (AsistenciaJetAdminConcatenada!$A:$A=J$2)*(AsistenciaJetAdminConcatenada!$B:$B=J$1), 0)), 1))),  0.5, 0))</f>
        <v>1</v>
      </c>
      <c r="K89" s="47">
        <f t="array" ref="K89">IF(AND(ISNUMBER(MATCH(K$2, AsistenciaJetAdminConcatenada!$A:$A, 0)), ISNUMBER(MATCH(K$1, AsistenciaJetAdminConcatenada!$B:$B, 0)), ISNUMBER(SEARCH($A89,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ISNUMBER(SEARCH($A89, INDEX(AsistenciaJetAdminConcatenada!$D:$D, MATCH(1, (AsistenciaJetAdminConcatenada!$A:$A=K$2)*(AsistenciaJetAdminConcatenada!$B:$B=K$1), 0)), 1))),  0.5, 0))</f>
        <v>1</v>
      </c>
      <c r="L89" s="47">
        <f t="array" ref="L89">IF(AND(ISNUMBER(MATCH(L$2, AsistenciaJetAdminConcatenada!$A:$A, 0)), ISNUMBER(MATCH(L$1, AsistenciaJetAdminConcatenada!$B:$B, 0)), ISNUMBER(SEARCH($A89,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ISNUMBER(SEARCH($A89, INDEX(AsistenciaJetAdminConcatenada!$D:$D, MATCH(1, (AsistenciaJetAdminConcatenada!$A:$A=L$2)*(AsistenciaJetAdminConcatenada!$B:$B=L$1), 0)), 1))),  0.5, 0))</f>
        <v>1</v>
      </c>
      <c r="M89" s="47">
        <f t="array" ref="M89">IF(AND(ISNUMBER(MATCH(M$2, AsistenciaJetAdminConcatenada!$A:$A, 0)), ISNUMBER(MATCH(M$1, AsistenciaJetAdminConcatenada!$B:$B, 0)), ISNUMBER(SEARCH($A89,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ISNUMBER(SEARCH($A89, INDEX(AsistenciaJetAdminConcatenada!$D:$D, MATCH(1, (AsistenciaJetAdminConcatenada!$A:$A=M$2)*(AsistenciaJetAdminConcatenada!$B:$B=M$1), 0)), 1))),  0.5, 0))</f>
        <v>1</v>
      </c>
      <c r="N89" s="47">
        <f t="array" ref="N89">IF(AND(ISNUMBER(MATCH(N$2, AsistenciaJetAdminConcatenada!$A:$A, 0)), ISNUMBER(MATCH(N$1, AsistenciaJetAdminConcatenada!$B:$B, 0)), ISNUMBER(SEARCH($A89,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ISNUMBER(SEARCH($A89, INDEX(AsistenciaJetAdminConcatenada!$D:$D, MATCH(1, (AsistenciaJetAdminConcatenada!$A:$A=N$2)*(AsistenciaJetAdminConcatenada!$B:$B=N$1), 0)), 1))),  0.5, 0))</f>
        <v>0</v>
      </c>
      <c r="O89" s="47">
        <f t="array" ref="O89">IF(AND(ISNUMBER(MATCH(O$2, AsistenciaJetAdminConcatenada!$A:$A, 0)), ISNUMBER(MATCH(O$1, AsistenciaJetAdminConcatenada!$B:$B, 0)), ISNUMBER(SEARCH($A89,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ISNUMBER(SEARCH($A89, INDEX(AsistenciaJetAdminConcatenada!$D:$D, MATCH(1, (AsistenciaJetAdminConcatenada!$A:$A=O$2)*(AsistenciaJetAdminConcatenada!$B:$B=O$1), 0)), 1))),  0.5, 0))</f>
        <v>1</v>
      </c>
      <c r="P89" s="47">
        <f t="array" ref="P89">IF(AND(ISNUMBER(MATCH(P$2, AsistenciaJetAdminConcatenada!$A:$A, 0)), ISNUMBER(MATCH(P$1, AsistenciaJetAdminConcatenada!$B:$B, 0)), ISNUMBER(SEARCH($A89, INDEX(AsistenciaJetAdminConcatenada!$C:$C, MATCH(1, (AsistenciaJetAdminConcatenada!$A:$A=P$2)*(AsistenciaJetAdminConcatenada!$B:$B=P$1), 0)), 1))), 1, IF(AND(ISNUMBER(MATCH(P$2, AsistenciaJetAdminConcatenada!$A:$A, 0)), ISNUMBER(MATCH(P$1, AsistenciaJetAdminConcatenada!$B:$B, 0)), ISNUMBER(SEARCH($A89, INDEX(AsistenciaJetAdminConcatenada!$D:$D, MATCH(1, (AsistenciaJetAdminConcatenada!$A:$A=P$2)*(AsistenciaJetAdminConcatenada!$B:$B=P$1), 0)), 1))),  0.5, 0))</f>
        <v>1</v>
      </c>
      <c r="Q89" s="47">
        <f t="array" ref="Q89">IF(AND(ISNUMBER(MATCH(Q$2, AsistenciaJetAdminConcatenada!$A:$A, 0)), ISNUMBER(MATCH(Q$1, AsistenciaJetAdminConcatenada!$B:$B, 0)), ISNUMBER(SEARCH($A89, INDEX(AsistenciaJetAdminConcatenada!$C:$C, MATCH(1, (AsistenciaJetAdminConcatenada!$A:$A=Q$2)*(AsistenciaJetAdminConcatenada!$B:$B=Q$1), 0)), 1))), 1, IF(AND(ISNUMBER(MATCH(Q$2, AsistenciaJetAdminConcatenada!$A:$A, 0)), ISNUMBER(MATCH(Q$1, AsistenciaJetAdminConcatenada!$B:$B, 0)), ISNUMBER(SEARCH($A89, INDEX(AsistenciaJetAdminConcatenada!$D:$D, MATCH(1, (AsistenciaJetAdminConcatenada!$A:$A=Q$2)*(AsistenciaJetAdminConcatenada!$B:$B=Q$1), 0)), 1))),  0.5, 0))</f>
        <v>1</v>
      </c>
      <c r="R89" s="47">
        <f t="array" ref="R89">IF(AND(ISNUMBER(MATCH(R$2, AsistenciaJetAdminConcatenada!$A:$A, 0)), ISNUMBER(MATCH(R$1, AsistenciaJetAdminConcatenada!$B:$B, 0)), ISNUMBER(SEARCH($A89,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ISNUMBER(SEARCH($A89, INDEX(AsistenciaJetAdminConcatenada!$D:$D, MATCH(1, (AsistenciaJetAdminConcatenada!$A:$A=R$2)*(AsistenciaJetAdminConcatenada!$B:$B=R$1), 0)), 1))),  0.5, 0))</f>
        <v>1</v>
      </c>
      <c r="S89" s="47">
        <f t="array" ref="S89">IF(AND(ISNUMBER(MATCH(S$2, AsistenciaJetAdminConcatenada!$A:$A, 0)), ISNUMBER(MATCH(S$1, AsistenciaJetAdminConcatenada!$B:$B, 0)), ISNUMBER(SEARCH($A89,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ISNUMBER(SEARCH($A89, INDEX(AsistenciaJetAdminConcatenada!$D:$D, MATCH(1, (AsistenciaJetAdminConcatenada!$A:$A=S$2)*(AsistenciaJetAdminConcatenada!$B:$B=S$1), 0)), 1))),  0.5, 0))</f>
        <v>1</v>
      </c>
      <c r="T89" s="47">
        <f t="array" ref="T89">IF(AND(ISNUMBER(MATCH(T$2, AsistenciaJetAdminConcatenada!$A:$A, 0)), ISNUMBER(MATCH(T$1, AsistenciaJetAdminConcatenada!$B:$B, 0)), ISNUMBER(SEARCH($A89,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ISNUMBER(SEARCH($A89, INDEX(AsistenciaJetAdminConcatenada!$D:$D, MATCH(1, (AsistenciaJetAdminConcatenada!$A:$A=T$2)*(AsistenciaJetAdminConcatenada!$B:$B=T$1), 0)), 1))),  0.5, 0))</f>
        <v>1</v>
      </c>
      <c r="U89" s="47">
        <f t="array" ref="U89">IF(AND(ISNUMBER(MATCH(U$2, AsistenciaJetAdminConcatenada!$A:$A, 0)), ISNUMBER(MATCH(U$1, AsistenciaJetAdminConcatenada!$B:$B, 0)), ISNUMBER(SEARCH($A89,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ISNUMBER(SEARCH($A89, INDEX(AsistenciaJetAdminConcatenada!$D:$D, MATCH(1, (AsistenciaJetAdminConcatenada!$A:$A=U$2)*(AsistenciaJetAdminConcatenada!$B:$B=U$1), 0)), 1))),  0.5, 0))</f>
        <v>1</v>
      </c>
      <c r="V89" s="47">
        <f t="array" ref="V89">IF(AND(ISNUMBER(MATCH(V$2, AsistenciaJetAdminConcatenada!$A:$A, 0)), ISNUMBER(MATCH(V$1, AsistenciaJetAdminConcatenada!$B:$B, 0)), ISNUMBER(SEARCH($A89,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ISNUMBER(SEARCH($A89, INDEX(AsistenciaJetAdminConcatenada!$D:$D, MATCH(1, (AsistenciaJetAdminConcatenada!$A:$A=V$2)*(AsistenciaJetAdminConcatenada!$B:$B=V$1), 0)), 1))),  0.5, 0))</f>
        <v>1</v>
      </c>
      <c r="W89" s="47">
        <f t="array" ref="W89">IF(AND(ISNUMBER(MATCH(W$2, AsistenciaJetAdminConcatenada!$A:$A, 0)), ISNUMBER(MATCH(W$1, AsistenciaJetAdminConcatenada!$B:$B, 0)), ISNUMBER(SEARCH($A89,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ISNUMBER(SEARCH($A89, INDEX(AsistenciaJetAdminConcatenada!$D:$D, MATCH(1, (AsistenciaJetAdminConcatenada!$A:$A=W$2)*(AsistenciaJetAdminConcatenada!$B:$B=W$1), 0)), 1))),  0.5, 0))</f>
        <v>1</v>
      </c>
      <c r="X89" s="47">
        <f t="array" ref="X89">IF(AND(ISNUMBER(MATCH(X$2, AsistenciaJetAdminConcatenada!$A:$A, 0)), ISNUMBER(MATCH(X$1, AsistenciaJetAdminConcatenada!$B:$B, 0)), ISNUMBER(SEARCH($A89,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ISNUMBER(SEARCH($A89, INDEX(AsistenciaJetAdminConcatenada!$D:$D, MATCH(1, (AsistenciaJetAdminConcatenada!$A:$A=X$2)*(AsistenciaJetAdminConcatenada!$B:$B=X$1), 0)), 1))),  0.5, 0))</f>
        <v>1</v>
      </c>
      <c r="Y89" s="47">
        <f t="array" ref="Y89">IF(AND(ISNUMBER(MATCH(Y$2, AsistenciaJetAdminConcatenada!$A:$A, 0)), ISNUMBER(MATCH(Y$1, AsistenciaJetAdminConcatenada!$B:$B, 0)), ISNUMBER(SEARCH($A89,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ISNUMBER(SEARCH($A89, INDEX(AsistenciaJetAdminConcatenada!$D:$D, MATCH(1, (AsistenciaJetAdminConcatenada!$A:$A=Y$2)*(AsistenciaJetAdminConcatenada!$B:$B=Y$1), 0)), 1))),  0.5, 0))</f>
        <v>1</v>
      </c>
      <c r="Z89" s="47">
        <f t="array" ref="Z89">IF(AND(ISNUMBER(MATCH(Z$2, AsistenciaJetAdminConcatenada!$A:$A, 0)), ISNUMBER(MATCH(Z$1, AsistenciaJetAdminConcatenada!$B:$B, 0)), ISNUMBER(SEARCH($A89,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ISNUMBER(SEARCH($A89, INDEX(AsistenciaJetAdminConcatenada!$D:$D, MATCH(1, (AsistenciaJetAdminConcatenada!$A:$A=Z$2)*(AsistenciaJetAdminConcatenada!$B:$B=Z$1), 0)), 1))),  0.5, 0))</f>
        <v>1</v>
      </c>
      <c r="AA89" s="47">
        <f t="array" ref="AA89">IF(AND(ISNUMBER(MATCH(AA$2, AsistenciaJetAdminConcatenada!$A:$A, 0)), ISNUMBER(MATCH(AA$1, AsistenciaJetAdminConcatenada!$B:$B, 0)), ISNUMBER(SEARCH($A89,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ISNUMBER(SEARCH($A89, INDEX(AsistenciaJetAdminConcatenada!$D:$D, MATCH(1, (AsistenciaJetAdminConcatenada!$A:$A=AA$2)*(AsistenciaJetAdminConcatenada!$B:$B=AA$1), 0)), 1))),  0.5, 0))</f>
        <v>1</v>
      </c>
      <c r="AB89" s="47">
        <f t="array" ref="AB89">IF(AND(ISNUMBER(MATCH(AB$2, AsistenciaJetAdminConcatenada!$A:$A, 0)), ISNUMBER(MATCH(AB$1, AsistenciaJetAdminConcatenada!$B:$B, 0)), ISNUMBER(SEARCH($A89,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ISNUMBER(SEARCH($A89, INDEX(AsistenciaJetAdminConcatenada!$D:$D, MATCH(1, (AsistenciaJetAdminConcatenada!$A:$A=AB$2)*(AsistenciaJetAdminConcatenada!$B:$B=AB$1), 0)), 1))),  0.5, 0))</f>
        <v>1</v>
      </c>
      <c r="AC89" s="47">
        <f t="array" ref="AC89">IF(AND(ISNUMBER(MATCH(AC$2, AsistenciaJetAdminConcatenada!$A:$A, 0)), ISNUMBER(MATCH(AC$1, AsistenciaJetAdminConcatenada!$B:$B, 0)), ISNUMBER(SEARCH($A89,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ISNUMBER(SEARCH($A89, INDEX(AsistenciaJetAdminConcatenada!$D:$D, MATCH(1, (AsistenciaJetAdminConcatenada!$A:$A=AC$2)*(AsistenciaJetAdminConcatenada!$B:$B=AC$1), 0)), 1))),  0.5, 0))</f>
        <v>1</v>
      </c>
      <c r="AD89" s="47">
        <f t="array" ref="AD89">IF(AND(ISNUMBER(MATCH(AD$2, AsistenciaJetAdminConcatenada!$A:$A, 0)), ISNUMBER(MATCH(AD$1, AsistenciaJetAdminConcatenada!$B:$B, 0)), ISNUMBER(SEARCH($A89,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ISNUMBER(SEARCH($A89, INDEX(AsistenciaJetAdminConcatenada!$D:$D, MATCH(1, (AsistenciaJetAdminConcatenada!$A:$A=AD$2)*(AsistenciaJetAdminConcatenada!$B:$B=AD$1), 0)), 1))),  0.5, 0))</f>
        <v>1</v>
      </c>
      <c r="AE89" s="47">
        <f t="array" ref="AE89">IF(AND(ISNUMBER(MATCH(AE$2, AsistenciaJetAdminConcatenada!$A:$A, 0)), ISNUMBER(MATCH(AE$1, AsistenciaJetAdminConcatenada!$B:$B, 0)), ISNUMBER(SEARCH($A89,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ISNUMBER(SEARCH($A89, INDEX(AsistenciaJetAdminConcatenada!$D:$D, MATCH(1, (AsistenciaJetAdminConcatenada!$A:$A=AE$2)*(AsistenciaJetAdminConcatenada!$B:$B=AE$1), 0)), 1))),  0.5, 0))</f>
        <v>1</v>
      </c>
      <c r="AF89" s="47">
        <f t="array" ref="AF89">IF(AND(ISNUMBER(MATCH(AF$2, AsistenciaJetAdminConcatenada!$A:$A, 0)), ISNUMBER(MATCH(AF$1, AsistenciaJetAdminConcatenada!$B:$B, 0)), ISNUMBER(SEARCH($A89,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ISNUMBER(SEARCH($A89, INDEX(AsistenciaJetAdminConcatenada!$D:$D, MATCH(1, (AsistenciaJetAdminConcatenada!$A:$A=AF$2)*(AsistenciaJetAdminConcatenada!$B:$B=AF$1), 0)), 1))),  0.5, 0))</f>
        <v>1</v>
      </c>
      <c r="AG89" s="47">
        <f t="array" ref="AG89">IF(AND(ISNUMBER(MATCH(AG$2, AsistenciaJetAdminConcatenada!$A:$A, 0)), ISNUMBER(MATCH(AG$1, AsistenciaJetAdminConcatenada!$B:$B, 0)), ISNUMBER(SEARCH($A89,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ISNUMBER(SEARCH($A89, INDEX(AsistenciaJetAdminConcatenada!$D:$D, MATCH(1, (AsistenciaJetAdminConcatenada!$A:$A=AG$2)*(AsistenciaJetAdminConcatenada!$B:$B=AG$1), 0)), 1))),  0.5, 0))</f>
        <v>1</v>
      </c>
      <c r="AH89" s="47">
        <f t="array" ref="AH89">IF(AND(ISNUMBER(MATCH(AH$2, AsistenciaJetAdminConcatenada!$A:$A, 0)), ISNUMBER(MATCH(AH$1, AsistenciaJetAdminConcatenada!$B:$B, 0)), ISNUMBER(SEARCH($A89,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ISNUMBER(SEARCH($A89, INDEX(AsistenciaJetAdminConcatenada!$D:$D, MATCH(1, (AsistenciaJetAdminConcatenada!$A:$A=AH$2)*(AsistenciaJetAdminConcatenada!$B:$B=AH$1), 0)), 1))),  0.5, 0))</f>
        <v>0</v>
      </c>
      <c r="AI89" s="47">
        <f t="array" ref="AI89">IF(AND(ISNUMBER(MATCH(AI$2, AsistenciaJetAdminConcatenada!$A:$A, 0)), ISNUMBER(MATCH(AI$1, AsistenciaJetAdminConcatenada!$B:$B, 0)), ISNUMBER(SEARCH($A89,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ISNUMBER(SEARCH($A89, INDEX(AsistenciaJetAdminConcatenada!$D:$D, MATCH(1, (AsistenciaJetAdminConcatenada!$A:$A=AI$2)*(AsistenciaJetAdminConcatenada!$B:$B=AI$1), 0)), 1))),  0.5, 0))</f>
        <v>1</v>
      </c>
      <c r="AJ89" s="47">
        <f t="array" ref="AJ89">IF(AND(ISNUMBER(MATCH(AJ$2, AsistenciaJetAdminConcatenada!$A:$A, 0)), ISNUMBER(MATCH(AJ$1, AsistenciaJetAdminConcatenada!$B:$B, 0)), ISNUMBER(SEARCH($A89,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ISNUMBER(SEARCH($A89, INDEX(AsistenciaJetAdminConcatenada!$D:$D, MATCH(1, (AsistenciaJetAdminConcatenada!$A:$A=AJ$2)*(AsistenciaJetAdminConcatenada!$B:$B=AJ$1), 0)), 1))),  0.5, 0))</f>
        <v>1</v>
      </c>
      <c r="AK89" s="47">
        <f t="array" ref="AK89">IF(AND(ISNUMBER(MATCH(AK$2, AsistenciaJetAdminConcatenada!$A:$A, 0)), ISNUMBER(MATCH(AK$1, AsistenciaJetAdminConcatenada!$B:$B, 0)), ISNUMBER(SEARCH($A89,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ISNUMBER(SEARCH($A89, INDEX(AsistenciaJetAdminConcatenada!$D:$D, MATCH(1, (AsistenciaJetAdminConcatenada!$A:$A=AK$2)*(AsistenciaJetAdminConcatenada!$B:$B=AK$1), 0)), 1))),  0.5, 0))</f>
        <v>1</v>
      </c>
      <c r="AL89" s="47">
        <f t="array" ref="AL89">IF(AND(ISNUMBER(MATCH(AL$2, AsistenciaJetAdminConcatenada!$A:$A, 0)), ISNUMBER(MATCH(AL$1, AsistenciaJetAdminConcatenada!$B:$B, 0)), ISNUMBER(SEARCH($A89,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ISNUMBER(SEARCH($A89, INDEX(AsistenciaJetAdminConcatenada!$D:$D, MATCH(1, (AsistenciaJetAdminConcatenada!$A:$A=AL$2)*(AsistenciaJetAdminConcatenada!$B:$B=AL$1), 0)), 1))),  0.5, 0))</f>
        <v>0</v>
      </c>
      <c r="AM89" s="47">
        <f t="array" ref="AM89">IF(AND(ISNUMBER(MATCH(AM$2, AsistenciaJetAdminConcatenada!$A:$A, 0)), ISNUMBER(MATCH(AM$1, AsistenciaJetAdminConcatenada!$B:$B, 0)), ISNUMBER(SEARCH($A89,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ISNUMBER(SEARCH($A89, INDEX(AsistenciaJetAdminConcatenada!$D:$D, MATCH(1, (AsistenciaJetAdminConcatenada!$A:$A=AM$2)*(AsistenciaJetAdminConcatenada!$B:$B=AM$1), 0)), 1))),  0.5, 0))</f>
        <v>0</v>
      </c>
      <c r="AN89" s="47">
        <f t="array" ref="AN89">IF(AND(ISNUMBER(MATCH(AN$2, AsistenciaJetAdminConcatenada!$A:$A, 0)), ISNUMBER(MATCH(AN$1, AsistenciaJetAdminConcatenada!$B:$B, 0)), ISNUMBER(SEARCH($A89,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ISNUMBER(SEARCH($A89, INDEX(AsistenciaJetAdminConcatenada!$D:$D, MATCH(1, (AsistenciaJetAdminConcatenada!$A:$A=AN$2)*(AsistenciaJetAdminConcatenada!$B:$B=AN$1), 0)), 1))),  0.5, 0))</f>
        <v>0</v>
      </c>
      <c r="AO89" s="47">
        <f t="array" ref="AO89">IF(AND(ISNUMBER(MATCH(AO$2, AsistenciaJetAdminConcatenada!$A:$A, 0)), ISNUMBER(MATCH(AO$1, AsistenciaJetAdminConcatenada!$B:$B, 0)), ISNUMBER(SEARCH($A89,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ISNUMBER(SEARCH($A89, INDEX(AsistenciaJetAdminConcatenada!$D:$D, MATCH(1, (AsistenciaJetAdminConcatenada!$A:$A=AO$2)*(AsistenciaJetAdminConcatenada!$B:$B=AO$1), 0)), 1))),  0.5, 0))</f>
        <v>1</v>
      </c>
      <c r="AP89" s="47">
        <f t="array" ref="AP89">IF(AND(ISNUMBER(MATCH(AP$2, AsistenciaJetAdminConcatenada!$A:$A, 0)), ISNUMBER(MATCH(AP$1, AsistenciaJetAdminConcatenada!$B:$B, 0)), ISNUMBER(SEARCH($A89,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ISNUMBER(SEARCH($A89, INDEX(AsistenciaJetAdminConcatenada!$D:$D, MATCH(1, (AsistenciaJetAdminConcatenada!$A:$A=AP$2)*(AsistenciaJetAdminConcatenada!$B:$B=AP$1), 0)), 1))),  0.5, 0))</f>
        <v>1</v>
      </c>
      <c r="AQ89" s="47">
        <f t="array" ref="AQ89">IF(AND(ISNUMBER(MATCH(AQ$2, AsistenciaJetAdminConcatenada!$A:$A, 0)), ISNUMBER(MATCH(AQ$1, AsistenciaJetAdminConcatenada!$B:$B, 0)), ISNUMBER(SEARCH($A89,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ISNUMBER(SEARCH($A89, INDEX(AsistenciaJetAdminConcatenada!$D:$D, MATCH(1, (AsistenciaJetAdminConcatenada!$A:$A=AQ$2)*(AsistenciaJetAdminConcatenada!$B:$B=AQ$1), 0)), 1))),  0.5, 0))</f>
        <v>0</v>
      </c>
      <c r="AR89" s="47">
        <f t="array" ref="AR89">IF(AND(ISNUMBER(MATCH(AR$2, AsistenciaJetAdminConcatenada!$A:$A, 0)), ISNUMBER(MATCH(AR$1, AsistenciaJetAdminConcatenada!$B:$B, 0)), ISNUMBER(SEARCH($A89,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ISNUMBER(SEARCH($A89, INDEX(AsistenciaJetAdminConcatenada!$D:$D, MATCH(1, (AsistenciaJetAdminConcatenada!$A:$A=AR$2)*(AsistenciaJetAdminConcatenada!$B:$B=AR$1), 0)), 1))),  0.5, 0))</f>
        <v>1</v>
      </c>
      <c r="AS89" s="47">
        <f t="array" ref="AS89">IF(AND(ISNUMBER(MATCH(AS$2, AsistenciaJetAdminConcatenada!$A:$A, 0)), ISNUMBER(MATCH(AS$1, AsistenciaJetAdminConcatenada!$B:$B, 0)), ISNUMBER(SEARCH($A89,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ISNUMBER(SEARCH($A89, INDEX(AsistenciaJetAdminConcatenada!$D:$D, MATCH(1, (AsistenciaJetAdminConcatenada!$A:$A=AS$2)*(AsistenciaJetAdminConcatenada!$B:$B=AS$1), 0)), 1))),  0.5, 0))</f>
        <v>1</v>
      </c>
      <c r="AT89" s="47">
        <f t="array" ref="AT89">IF(AND(ISNUMBER(MATCH(AT$2, AsistenciaJetAdminConcatenada!$A:$A, 0)), ISNUMBER(MATCH(AT$1, AsistenciaJetAdminConcatenada!$B:$B, 0)), ISNUMBER(SEARCH($A89,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ISNUMBER(SEARCH($A89, INDEX(AsistenciaJetAdminConcatenada!$D:$D, MATCH(1, (AsistenciaJetAdminConcatenada!$A:$A=AT$2)*(AsistenciaJetAdminConcatenada!$B:$B=AT$1), 0)), 1))),  0.5, 0))</f>
        <v>0</v>
      </c>
      <c r="AU89" s="47">
        <f t="array" ref="AU89">IF(AND(ISNUMBER(MATCH(AU$2, AsistenciaJetAdminConcatenada!$A:$A, 0)), ISNUMBER(MATCH(AU$1, AsistenciaJetAdminConcatenada!$B:$B, 0)), ISNUMBER(SEARCH($A89,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ISNUMBER(SEARCH($A89, INDEX(AsistenciaJetAdminConcatenada!$D:$D, MATCH(1, (AsistenciaJetAdminConcatenada!$A:$A=AU$2)*(AsistenciaJetAdminConcatenada!$B:$B=AU$1), 0)), 1))),  0.5, 0))</f>
        <v>1</v>
      </c>
      <c r="AV89" s="47">
        <f t="array" ref="AV89">IF(AND(ISNUMBER(MATCH(AV$2, AsistenciaJetAdminConcatenada!$A:$A, 0)), ISNUMBER(MATCH(AV$1, AsistenciaJetAdminConcatenada!$B:$B, 0)), ISNUMBER(SEARCH($A89,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ISNUMBER(SEARCH($A89, INDEX(AsistenciaJetAdminConcatenada!$D:$D, MATCH(1, (AsistenciaJetAdminConcatenada!$A:$A=AV$2)*(AsistenciaJetAdminConcatenada!$B:$B=AV$1), 0)), 1))),  0.5, 0))</f>
        <v>1</v>
      </c>
      <c r="AW89" s="47">
        <f t="array" ref="AW89">IF(AND(ISNUMBER(MATCH(AW$2, AsistenciaJetAdminConcatenada!$A:$A, 0)), ISNUMBER(MATCH(AW$1, AsistenciaJetAdminConcatenada!$B:$B, 0)), ISNUMBER(SEARCH($A89,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ISNUMBER(SEARCH($A89, INDEX(AsistenciaJetAdminConcatenada!$D:$D, MATCH(1, (AsistenciaJetAdminConcatenada!$A:$A=AW$2)*(AsistenciaJetAdminConcatenada!$B:$B=AW$1), 0)), 1))),  0.5, 0))</f>
        <v>1</v>
      </c>
      <c r="AX89" s="47">
        <f t="array" ref="AX89">IF(AND(ISNUMBER(MATCH(AX$2, AsistenciaJetAdminConcatenada!$A:$A, 0)), ISNUMBER(MATCH(AX$1, AsistenciaJetAdminConcatenada!$B:$B, 0)), ISNUMBER(SEARCH($A89,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ISNUMBER(SEARCH($A89, INDEX(AsistenciaJetAdminConcatenada!$D:$D, MATCH(1, (AsistenciaJetAdminConcatenada!$A:$A=AX$2)*(AsistenciaJetAdminConcatenada!$B:$B=AX$1), 0)), 1))),  0.5, 0))</f>
        <v>1</v>
      </c>
      <c r="AY89" s="47">
        <f t="array" ref="AY89">IF(AND(ISNUMBER(MATCH(AY$2, AsistenciaJetAdminConcatenada!$A:$A, 0)), ISNUMBER(MATCH(AY$1, AsistenciaJetAdminConcatenada!$B:$B, 0)), ISNUMBER(SEARCH($A89,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ISNUMBER(SEARCH($A89, INDEX(AsistenciaJetAdminConcatenada!$D:$D, MATCH(1, (AsistenciaJetAdminConcatenada!$A:$A=AY$2)*(AsistenciaJetAdminConcatenada!$B:$B=AY$1), 0)), 1))),  0.5, 0))</f>
        <v>1</v>
      </c>
      <c r="AZ89" s="47">
        <f t="array" ref="AZ89">IF(AND(ISNUMBER(MATCH(AZ$2, AsistenciaJetAdminConcatenada!$A:$A, 0)), ISNUMBER(MATCH(AZ$1, AsistenciaJetAdminConcatenada!$B:$B, 0)), ISNUMBER(SEARCH($A89,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ISNUMBER(SEARCH($A89, INDEX(AsistenciaJetAdminConcatenada!$D:$D, MATCH(1, (AsistenciaJetAdminConcatenada!$A:$A=AZ$2)*(AsistenciaJetAdminConcatenada!$B:$B=AZ$1), 0)), 1))),  0.5, 0))</f>
        <v>1</v>
      </c>
      <c r="BA89" s="47">
        <f t="array" ref="BA89">IF(AND(ISNUMBER(MATCH(BA$2, AsistenciaJetAdminConcatenada!$A:$A, 0)), ISNUMBER(MATCH(BA$1, AsistenciaJetAdminConcatenada!$B:$B, 0)), ISNUMBER(SEARCH($A89,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ISNUMBER(SEARCH($A89, INDEX(AsistenciaJetAdminConcatenada!$D:$D, MATCH(1, (AsistenciaJetAdminConcatenada!$A:$A=BA$2)*(AsistenciaJetAdminConcatenada!$B:$B=BA$1), 0)), 1))),  0.5, 0))</f>
        <v>1</v>
      </c>
      <c r="BB89" s="47">
        <f t="array" ref="BB89">IF(AND(ISNUMBER(MATCH(BB$2, AsistenciaJetAdminConcatenada!$A:$A, 0)), ISNUMBER(MATCH(BB$1, AsistenciaJetAdminConcatenada!$B:$B, 0)), ISNUMBER(SEARCH($A89,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ISNUMBER(SEARCH($A89, INDEX(AsistenciaJetAdminConcatenada!$D:$D, MATCH(1, (AsistenciaJetAdminConcatenada!$A:$A=BB$2)*(AsistenciaJetAdminConcatenada!$B:$B=BB$1), 0)), 1))),  0.5, 0))</f>
        <v>1</v>
      </c>
      <c r="BC89" s="47">
        <f t="array" ref="BC89">IF(AND(ISNUMBER(MATCH(BC$2, AsistenciaJetAdminConcatenada!$A:$A, 0)), ISNUMBER(MATCH(BC$1, AsistenciaJetAdminConcatenada!$B:$B, 0)), ISNUMBER(SEARCH($A89,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ISNUMBER(SEARCH($A89, INDEX(AsistenciaJetAdminConcatenada!$D:$D, MATCH(1, (AsistenciaJetAdminConcatenada!$A:$A=BC$2)*(AsistenciaJetAdminConcatenada!$B:$B=BC$1), 0)), 1))),  0.5, 0))</f>
        <v>0</v>
      </c>
      <c r="BD89" s="47">
        <f t="array" ref="BD89">IF(AND(ISNUMBER(MATCH(BD$2, AsistenciaJetAdminConcatenada!$A:$A, 0)), ISNUMBER(MATCH(BD$1, AsistenciaJetAdminConcatenada!$B:$B, 0)), ISNUMBER(SEARCH($A89,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ISNUMBER(SEARCH($A89, INDEX(AsistenciaJetAdminConcatenada!$D:$D, MATCH(1, (AsistenciaJetAdminConcatenada!$A:$A=BD$2)*(AsistenciaJetAdminConcatenada!$B:$B=BD$1), 0)), 1))),  0.5, 0))</f>
        <v>1</v>
      </c>
      <c r="BE89" s="47">
        <f t="array" ref="BE89">IF(AND(ISNUMBER(MATCH(BE$2, AsistenciaJetAdminConcatenada!$A:$A, 0)), ISNUMBER(MATCH(BE$1, AsistenciaJetAdminConcatenada!$B:$B, 0)), ISNUMBER(SEARCH($A89,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ISNUMBER(SEARCH($A89, INDEX(AsistenciaJetAdminConcatenada!$D:$D, MATCH(1, (AsistenciaJetAdminConcatenada!$A:$A=BE$2)*(AsistenciaJetAdminConcatenada!$B:$B=BE$1), 0)), 1))),  0.5, 0))</f>
        <v>1</v>
      </c>
      <c r="BF89" s="47">
        <f t="array" ref="BF89">IF(AND(ISNUMBER(MATCH(BF$2, AsistenciaJetAdminConcatenada!$A:$A, 0)), ISNUMBER(MATCH(BF$1, AsistenciaJetAdminConcatenada!$B:$B, 0)), ISNUMBER(SEARCH($A89,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ISNUMBER(SEARCH($A89, INDEX(AsistenciaJetAdminConcatenada!$D:$D, MATCH(1, (AsistenciaJetAdminConcatenada!$A:$A=BF$2)*(AsistenciaJetAdminConcatenada!$B:$B=BF$1), 0)), 1))),  0.5, 0))</f>
        <v>1</v>
      </c>
      <c r="BG89" s="47">
        <f t="array" ref="BG89">IF(AND(ISNUMBER(MATCH(BG$2, AsistenciaJetAdminConcatenada!$A:$A, 0)), ISNUMBER(MATCH(BG$1, AsistenciaJetAdminConcatenada!$B:$B, 0)), ISNUMBER(SEARCH($A89,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ISNUMBER(SEARCH($A89, INDEX(AsistenciaJetAdminConcatenada!$D:$D, MATCH(1, (AsistenciaJetAdminConcatenada!$A:$A=BG$2)*(AsistenciaJetAdminConcatenada!$B:$B=BG$1), 0)), 1))),  0.5, 0))</f>
        <v>0</v>
      </c>
      <c r="BH89" s="47">
        <f t="array" ref="BH89">IF(AND(ISNUMBER(MATCH(BH$2, AsistenciaJetAdminConcatenada!$A:$A, 0)), ISNUMBER(MATCH(BH$1, AsistenciaJetAdminConcatenada!$B:$B, 0)), ISNUMBER(SEARCH($A89,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ISNUMBER(SEARCH($A89, INDEX(AsistenciaJetAdminConcatenada!$D:$D, MATCH(1, (AsistenciaJetAdminConcatenada!$A:$A=BH$2)*(AsistenciaJetAdminConcatenada!$B:$B=BH$1), 0)), 1))),  0.5, 0))</f>
        <v>1</v>
      </c>
      <c r="BI89" s="47">
        <f t="array" ref="BI89">IF(AND(ISNUMBER(MATCH(BI$2, AsistenciaJetAdminConcatenada!$A:$A, 0)), ISNUMBER(MATCH(BI$1, AsistenciaJetAdminConcatenada!$B:$B, 0)), ISNUMBER(SEARCH($A89,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ISNUMBER(SEARCH($A89, INDEX(AsistenciaJetAdminConcatenada!$D:$D, MATCH(1, (AsistenciaJetAdminConcatenada!$A:$A=BI$2)*(AsistenciaJetAdminConcatenada!$B:$B=BI$1), 0)), 1))),  0.5, 0))</f>
        <v>1</v>
      </c>
      <c r="BJ89" s="47">
        <f t="array" ref="BJ89">IF(AND(ISNUMBER(MATCH(BJ$2, AsistenciaJetAdminConcatenada!$A:$A, 0)), ISNUMBER(MATCH(BJ$1, AsistenciaJetAdminConcatenada!$B:$B, 0)), ISNUMBER(SEARCH($A89,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ISNUMBER(SEARCH($A89, INDEX(AsistenciaJetAdminConcatenada!$D:$D, MATCH(1, (AsistenciaJetAdminConcatenada!$A:$A=BJ$2)*(AsistenciaJetAdminConcatenada!$B:$B=BJ$1), 0)), 1))),  0.5, 0))</f>
        <v>1</v>
      </c>
      <c r="BK89" s="47">
        <f t="array" ref="BK89">IF(AND(ISNUMBER(MATCH(BK$2, AsistenciaJetAdminConcatenada!$A:$A, 0)), ISNUMBER(MATCH(BK$1, AsistenciaJetAdminConcatenada!$B:$B, 0)), ISNUMBER(SEARCH($A89,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ISNUMBER(SEARCH($A89, INDEX(AsistenciaJetAdminConcatenada!$D:$D, MATCH(1, (AsistenciaJetAdminConcatenada!$A:$A=BK$2)*(AsistenciaJetAdminConcatenada!$B:$B=BK$1), 0)), 1))),  0.5, 0))</f>
        <v>1</v>
      </c>
      <c r="BL89" s="47">
        <f t="array" ref="BL89">IF(AND(ISNUMBER(MATCH(BL$2, AsistenciaJetAdminConcatenada!$A:$A, 0)), ISNUMBER(MATCH(BL$1, AsistenciaJetAdminConcatenada!$B:$B, 0)), ISNUMBER(SEARCH($A89,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ISNUMBER(SEARCH($A89, INDEX(AsistenciaJetAdminConcatenada!$D:$D, MATCH(1, (AsistenciaJetAdminConcatenada!$A:$A=BL$2)*(AsistenciaJetAdminConcatenada!$B:$B=BL$1), 0)), 1))),  0.5, 0))</f>
        <v>1</v>
      </c>
      <c r="BM89" s="47">
        <f t="array" ref="BM89">IF(AND(ISNUMBER(MATCH(BM$2, AsistenciaJetAdminConcatenada!$A:$A, 0)), ISNUMBER(MATCH(BM$1, AsistenciaJetAdminConcatenada!$B:$B, 0)), ISNUMBER(SEARCH($A89,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ISNUMBER(SEARCH($A89, INDEX(AsistenciaJetAdminConcatenada!$D:$D, MATCH(1, (AsistenciaJetAdminConcatenada!$A:$A=BM$2)*(AsistenciaJetAdminConcatenada!$B:$B=BM$1), 0)), 1))),  0.5, 0))</f>
        <v>1</v>
      </c>
      <c r="BN89" s="47">
        <f t="array" ref="BN89">IF(AND(ISNUMBER(MATCH(BN$2, AsistenciaJetAdminConcatenada!$A:$A, 0)), ISNUMBER(MATCH(BN$1, AsistenciaJetAdminConcatenada!$B:$B, 0)), ISNUMBER(SEARCH($A89,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ISNUMBER(SEARCH($A89, INDEX(AsistenciaJetAdminConcatenada!$D:$D, MATCH(1, (AsistenciaJetAdminConcatenada!$A:$A=BN$2)*(AsistenciaJetAdminConcatenada!$B:$B=BN$1), 0)), 1))),  0.5, 0))</f>
        <v>1</v>
      </c>
      <c r="BO89" s="47">
        <f t="array" ref="BO89">IF(AND(ISNUMBER(MATCH(BO$2, AsistenciaJetAdminConcatenada!$A:$A, 0)), ISNUMBER(MATCH(BO$1, AsistenciaJetAdminConcatenada!$B:$B, 0)), ISNUMBER(SEARCH($A89,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ISNUMBER(SEARCH($A89, INDEX(AsistenciaJetAdminConcatenada!$D:$D, MATCH(1, (AsistenciaJetAdminConcatenada!$A:$A=BO$2)*(AsistenciaJetAdminConcatenada!$B:$B=BO$1), 0)), 1))),  0.5, 0))</f>
        <v>1</v>
      </c>
      <c r="BP89" s="47">
        <f t="array" ref="BP89">IF(AND(ISNUMBER(MATCH(BP$2, AsistenciaJetAdminConcatenada!$A:$A, 0)), ISNUMBER(MATCH(BP$1, AsistenciaJetAdminConcatenada!$B:$B, 0)), ISNUMBER(SEARCH($A89,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ISNUMBER(SEARCH($A89, INDEX(AsistenciaJetAdminConcatenada!$D:$D, MATCH(1, (AsistenciaJetAdminConcatenada!$A:$A=BP$2)*(AsistenciaJetAdminConcatenada!$B:$B=BP$1), 0)), 1))),  0.5, 0))</f>
        <v>1</v>
      </c>
      <c r="BQ89" s="47">
        <f t="array" ref="BQ89">IF(AND(ISNUMBER(MATCH(BQ$2, AsistenciaJetAdminConcatenada!$A:$A, 0)), ISNUMBER(MATCH(BQ$1, AsistenciaJetAdminConcatenada!$B:$B, 0)), ISNUMBER(SEARCH($A89,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ISNUMBER(SEARCH($A89, INDEX(AsistenciaJetAdminConcatenada!$D:$D, MATCH(1, (AsistenciaJetAdminConcatenada!$A:$A=BQ$2)*(AsistenciaJetAdminConcatenada!$B:$B=BQ$1), 0)), 1))),  0.5, 0))</f>
        <v>1</v>
      </c>
      <c r="BR89" s="47">
        <f t="array" ref="BR89">IF(AND(ISNUMBER(MATCH(BR$2, AsistenciaJetAdminConcatenada!$A:$A, 0)), ISNUMBER(MATCH(BR$1, AsistenciaJetAdminConcatenada!$B:$B, 0)), ISNUMBER(SEARCH($A89,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ISNUMBER(SEARCH($A89, INDEX(AsistenciaJetAdminConcatenada!$D:$D, MATCH(1, (AsistenciaJetAdminConcatenada!$A:$A=BR$2)*(AsistenciaJetAdminConcatenada!$B:$B=BR$1), 0)), 1))),  0.5, 0))</f>
        <v>1</v>
      </c>
      <c r="BS89" s="47">
        <f t="array" ref="BS89">IF(AND(ISNUMBER(MATCH(BS$2, AsistenciaJetAdminConcatenada!$A:$A, 0)), ISNUMBER(MATCH(BS$1, AsistenciaJetAdminConcatenada!$B:$B, 0)), ISNUMBER(SEARCH($A89,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ISNUMBER(SEARCH($A89, INDEX(AsistenciaJetAdminConcatenada!$D:$D, MATCH(1, (AsistenciaJetAdminConcatenada!$A:$A=BS$2)*(AsistenciaJetAdminConcatenada!$B:$B=BS$1), 0)), 1))),  0.5, 0))</f>
        <v>0</v>
      </c>
      <c r="BT89" s="47">
        <f t="array" ref="BT89">IF(AND(ISNUMBER(MATCH(BT$2, AsistenciaJetAdminConcatenada!$A:$A, 0)), ISNUMBER(MATCH(BT$1, AsistenciaJetAdminConcatenada!$B:$B, 0)), ISNUMBER(SEARCH($A89,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ISNUMBER(SEARCH($A89, INDEX(AsistenciaJetAdminConcatenada!$D:$D, MATCH(1, (AsistenciaJetAdminConcatenada!$A:$A=BT$2)*(AsistenciaJetAdminConcatenada!$B:$B=BT$1), 0)), 1))),  0.5, 0))</f>
        <v>1</v>
      </c>
      <c r="BU89" s="47">
        <f t="array" ref="BU89">IF(AND(ISNUMBER(MATCH(BU$2, AsistenciaJetAdminConcatenada!$A:$A, 0)), ISNUMBER(MATCH(BU$1, AsistenciaJetAdminConcatenada!$B:$B, 0)), ISNUMBER(SEARCH($A89,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ISNUMBER(SEARCH($A89, INDEX(AsistenciaJetAdminConcatenada!$D:$D, MATCH(1, (AsistenciaJetAdminConcatenada!$A:$A=BU$2)*(AsistenciaJetAdminConcatenada!$B:$B=BU$1), 0)), 1))),  0.5, 0))</f>
        <v>1</v>
      </c>
      <c r="BV89" s="47">
        <f t="array" ref="BV89">IF(AND(ISNUMBER(MATCH(BV$2, AsistenciaJetAdminConcatenada!$A:$A, 0)), ISNUMBER(MATCH(BV$1, AsistenciaJetAdminConcatenada!$B:$B, 0)), ISNUMBER(SEARCH($A89,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ISNUMBER(SEARCH($A89, INDEX(AsistenciaJetAdminConcatenada!$D:$D, MATCH(1, (AsistenciaJetAdminConcatenada!$A:$A=BV$2)*(AsistenciaJetAdminConcatenada!$B:$B=BV$1), 0)), 1))),  0.5, 0))</f>
        <v>0</v>
      </c>
      <c r="BW89" s="47">
        <f t="array" ref="BW89">IF(AND(ISNUMBER(MATCH(BW$2, AsistenciaJetAdminConcatenada!$A:$A, 0)), ISNUMBER(MATCH(BW$1, AsistenciaJetAdminConcatenada!$B:$B, 0)), ISNUMBER(SEARCH($A89,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ISNUMBER(SEARCH($A89, INDEX(AsistenciaJetAdminConcatenada!$D:$D, MATCH(1, (AsistenciaJetAdminConcatenada!$A:$A=BW$2)*(AsistenciaJetAdminConcatenada!$B:$B=BW$1), 0)), 1))),  0.5, 0))</f>
        <v>1</v>
      </c>
      <c r="BX89" s="47">
        <f t="array" ref="BX89">IF(AND(ISNUMBER(MATCH(BX$2, AsistenciaJetAdminConcatenada!$A:$A, 0)), ISNUMBER(MATCH(BX$1, AsistenciaJetAdminConcatenada!$B:$B, 0)), ISNUMBER(SEARCH($A89,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ISNUMBER(SEARCH($A89, INDEX(AsistenciaJetAdminConcatenada!$D:$D, MATCH(1, (AsistenciaJetAdminConcatenada!$A:$A=BX$2)*(AsistenciaJetAdminConcatenada!$B:$B=BX$1), 0)), 1))),  0.5, 0))</f>
        <v>0</v>
      </c>
      <c r="BY89" s="47">
        <f t="array" ref="BY89">IF(AND(ISNUMBER(MATCH(BY$2, AsistenciaJetAdminConcatenada!$A:$A, 0)), ISNUMBER(MATCH(BY$1, AsistenciaJetAdminConcatenada!$B:$B, 0)), ISNUMBER(SEARCH($A89,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ISNUMBER(SEARCH($A89, INDEX(AsistenciaJetAdminConcatenada!$D:$D, MATCH(1, (AsistenciaJetAdminConcatenada!$A:$A=BY$2)*(AsistenciaJetAdminConcatenada!$B:$B=BY$1), 0)), 1))),  0.5, 0))</f>
        <v>1</v>
      </c>
      <c r="BZ89" s="47">
        <f t="array" ref="BZ89">IF(AND(ISNUMBER(MATCH(BZ$2, AsistenciaJetAdminConcatenada!$A:$A, 0)), ISNUMBER(MATCH(BZ$1, AsistenciaJetAdminConcatenada!$B:$B, 0)), ISNUMBER(SEARCH($A89,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ISNUMBER(SEARCH($A89, INDEX(AsistenciaJetAdminConcatenada!$D:$D, MATCH(1, (AsistenciaJetAdminConcatenada!$A:$A=BZ$2)*(AsistenciaJetAdminConcatenada!$B:$B=BZ$1), 0)), 1))),  0.5, 0))</f>
        <v>1</v>
      </c>
      <c r="CA89" s="47">
        <f t="array" ref="CA89">IF(AND(ISNUMBER(MATCH(CA$2, AsistenciaJetAdminConcatenada!$A:$A, 0)), ISNUMBER(MATCH(CA$1, AsistenciaJetAdminConcatenada!$B:$B, 0)), ISNUMBER(SEARCH($A89,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ISNUMBER(SEARCH($A89, INDEX(AsistenciaJetAdminConcatenada!$D:$D, MATCH(1, (AsistenciaJetAdminConcatenada!$A:$A=CA$2)*(AsistenciaJetAdminConcatenada!$B:$B=CA$1), 0)), 1))),  0.5, 0))</f>
        <v>1</v>
      </c>
      <c r="CB89" s="47">
        <f t="array" ref="CB89">IF(AND(ISNUMBER(MATCH(CB$2, AsistenciaJetAdminConcatenada!$A:$A, 0)), ISNUMBER(MATCH(CB$1, AsistenciaJetAdminConcatenada!$B:$B, 0)), ISNUMBER(SEARCH($A89,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ISNUMBER(SEARCH($A89, INDEX(AsistenciaJetAdminConcatenada!$D:$D, MATCH(1, (AsistenciaJetAdminConcatenada!$A:$A=CB$2)*(AsistenciaJetAdminConcatenada!$B:$B=CB$1), 0)), 1))),  0.5, 0))</f>
        <v>1</v>
      </c>
      <c r="CC89" s="47">
        <f t="array" ref="CC89">IF(AND(ISNUMBER(MATCH(CC$2, AsistenciaJetAdminConcatenada!$A:$A, 0)), ISNUMBER(MATCH(CC$1, AsistenciaJetAdminConcatenada!$B:$B, 0)), ISNUMBER(SEARCH($A89,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ISNUMBER(SEARCH($A89, INDEX(AsistenciaJetAdminConcatenada!$D:$D, MATCH(1, (AsistenciaJetAdminConcatenada!$A:$A=CC$2)*(AsistenciaJetAdminConcatenada!$B:$B=CC$1), 0)), 1))),  0.5, 0))</f>
        <v>1</v>
      </c>
      <c r="CD89" s="47">
        <f t="array" ref="CD89">IF(AND(ISNUMBER(MATCH(CD$2, AsistenciaJetAdminConcatenada!$A:$A, 0)), ISNUMBER(MATCH(CD$1, AsistenciaJetAdminConcatenada!$B:$B, 0)), ISNUMBER(SEARCH($A89,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ISNUMBER(SEARCH($A89, INDEX(AsistenciaJetAdminConcatenada!$D:$D, MATCH(1, (AsistenciaJetAdminConcatenada!$A:$A=CD$2)*(AsistenciaJetAdminConcatenada!$B:$B=CD$1), 0)), 1))),  0.5, 0))</f>
        <v>1</v>
      </c>
      <c r="CE89" s="47">
        <f t="array" ref="CE89">IF(AND(ISNUMBER(MATCH(CE$2, AsistenciaJetAdminConcatenada!$A:$A, 0)), ISNUMBER(MATCH(CE$1, AsistenciaJetAdminConcatenada!$B:$B, 0)), ISNUMBER(SEARCH($A89,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ISNUMBER(SEARCH($A89, INDEX(AsistenciaJetAdminConcatenada!$D:$D, MATCH(1, (AsistenciaJetAdminConcatenada!$A:$A=CE$2)*(AsistenciaJetAdminConcatenada!$B:$B=CE$1), 0)), 1))),  0.5, 0))</f>
        <v>1</v>
      </c>
      <c r="CF89" s="47">
        <f t="array" ref="CF89">IF(AND(ISNUMBER(MATCH(CF$2, AsistenciaJetAdminConcatenada!$A:$A, 0)), ISNUMBER(MATCH(CF$1, AsistenciaJetAdminConcatenada!$B:$B, 0)), ISNUMBER(SEARCH($A89,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ISNUMBER(SEARCH($A89, INDEX(AsistenciaJetAdminConcatenada!$D:$D, MATCH(1, (AsistenciaJetAdminConcatenada!$A:$A=CF$2)*(AsistenciaJetAdminConcatenada!$B:$B=CF$1), 0)), 1))),  0.5, 0))</f>
        <v>0</v>
      </c>
      <c r="CG89" s="47">
        <f t="array" ref="CG89">IF(AND(ISNUMBER(MATCH(CG$2, AsistenciaJetAdminConcatenada!$A:$A, 0)), ISNUMBER(MATCH(CG$1, AsistenciaJetAdminConcatenada!$B:$B, 0)), ISNUMBER(SEARCH($A89,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ISNUMBER(SEARCH($A89, INDEX(AsistenciaJetAdminConcatenada!$D:$D, MATCH(1, (AsistenciaJetAdminConcatenada!$A:$A=CG$2)*(AsistenciaJetAdminConcatenada!$B:$B=CG$1), 0)), 1))),  0.5, 0))</f>
        <v>1</v>
      </c>
      <c r="CH89" s="47">
        <f t="array" ref="CH89">IF(AND(ISNUMBER(MATCH(CH$2, AsistenciaJetAdminConcatenada!$A:$A, 0)), ISNUMBER(MATCH(CH$1, AsistenciaJetAdminConcatenada!$B:$B, 0)), ISNUMBER(SEARCH($A89,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ISNUMBER(SEARCH($A89, INDEX(AsistenciaJetAdminConcatenada!$D:$D, MATCH(1, (AsistenciaJetAdminConcatenada!$A:$A=CH$2)*(AsistenciaJetAdminConcatenada!$B:$B=CH$1), 0)), 1))),  0.5, 0))</f>
        <v>1</v>
      </c>
      <c r="CI89" s="47">
        <f t="array" ref="CI89">IF(AND(ISNUMBER(MATCH(CI$2, AsistenciaJetAdminConcatenada!$A:$A, 0)), ISNUMBER(MATCH(CI$1, AsistenciaJetAdminConcatenada!$B:$B, 0)), ISNUMBER(SEARCH($A89,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ISNUMBER(SEARCH($A89, INDEX(AsistenciaJetAdminConcatenada!$D:$D, MATCH(1, (AsistenciaJetAdminConcatenada!$A:$A=CI$2)*(AsistenciaJetAdminConcatenada!$B:$B=CI$1), 0)), 1))),  0.5, 0))</f>
        <v>1</v>
      </c>
      <c r="CJ89" s="47">
        <f t="array" ref="CJ89">IF(AND(ISNUMBER(MATCH(CJ$2, AsistenciaJetAdminConcatenada!$A:$A, 0)), ISNUMBER(MATCH(CJ$1, AsistenciaJetAdminConcatenada!$B:$B, 0)), ISNUMBER(SEARCH($A89,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ISNUMBER(SEARCH($A89, INDEX(AsistenciaJetAdminConcatenada!$D:$D, MATCH(1, (AsistenciaJetAdminConcatenada!$A:$A=CJ$2)*(AsistenciaJetAdminConcatenada!$B:$B=CJ$1), 0)), 1))),  0.5, 0))</f>
        <v>1</v>
      </c>
      <c r="CK89" s="47">
        <f t="array" ref="CK89">IF(AND(ISNUMBER(MATCH(CK$2, AsistenciaJetAdminConcatenada!$A:$A, 0)), ISNUMBER(MATCH(CK$1, AsistenciaJetAdminConcatenada!$B:$B, 0)), ISNUMBER(SEARCH($A89,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ISNUMBER(SEARCH($A89, INDEX(AsistenciaJetAdminConcatenada!$D:$D, MATCH(1, (AsistenciaJetAdminConcatenada!$A:$A=CK$2)*(AsistenciaJetAdminConcatenada!$B:$B=CK$1), 0)), 1))),  0.5, 0))</f>
        <v>0</v>
      </c>
      <c r="CL89" s="47">
        <f t="array" ref="CL89">IF(AND(ISNUMBER(MATCH(CL$2, AsistenciaJetAdminConcatenada!$A:$A, 0)), ISNUMBER(MATCH(CL$1, AsistenciaJetAdminConcatenada!$B:$B, 0)), ISNUMBER(SEARCH($A89,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ISNUMBER(SEARCH($A89, INDEX(AsistenciaJetAdminConcatenada!$D:$D, MATCH(1, (AsistenciaJetAdminConcatenada!$A:$A=CL$2)*(AsistenciaJetAdminConcatenada!$B:$B=CL$1), 0)), 1))),  0.5, 0))</f>
        <v>0</v>
      </c>
      <c r="CM89" s="47">
        <f t="array" ref="CM89">IF(AND(ISNUMBER(MATCH(CM$2, AsistenciaJetAdminConcatenada!$A:$A, 0)), ISNUMBER(MATCH(CM$1, AsistenciaJetAdminConcatenada!$B:$B, 0)), ISNUMBER(SEARCH($A89,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ISNUMBER(SEARCH($A89, INDEX(AsistenciaJetAdminConcatenada!$D:$D, MATCH(1, (AsistenciaJetAdminConcatenada!$A:$A=CM$2)*(AsistenciaJetAdminConcatenada!$B:$B=CM$1), 0)), 1))),  0.5, 0))</f>
        <v>0.5</v>
      </c>
      <c r="CN89" s="47">
        <f t="array" ref="CN89">IF(AND(ISNUMBER(MATCH(CN$2, AsistenciaJetAdminConcatenada!$A:$A, 0)), ISNUMBER(MATCH(CN$1, AsistenciaJetAdminConcatenada!$B:$B, 0)), ISNUMBER(SEARCH($A89,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ISNUMBER(SEARCH($A89, INDEX(AsistenciaJetAdminConcatenada!$D:$D, MATCH(1, (AsistenciaJetAdminConcatenada!$A:$A=CN$2)*(AsistenciaJetAdminConcatenada!$B:$B=CN$1), 0)), 1))),  0.5, 0))</f>
        <v>1</v>
      </c>
      <c r="CO89" s="47">
        <f t="array" ref="CO89">IF(AND(ISNUMBER(MATCH(CO$2, AsistenciaJetAdminConcatenada!$A:$A, 0)), ISNUMBER(MATCH(CO$1, AsistenciaJetAdminConcatenada!$B:$B, 0)), ISNUMBER(SEARCH($A89,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ISNUMBER(SEARCH($A89, INDEX(AsistenciaJetAdminConcatenada!$D:$D, MATCH(1, (AsistenciaJetAdminConcatenada!$A:$A=CO$2)*(AsistenciaJetAdminConcatenada!$B:$B=CO$1), 0)), 1))),  0.5, 0))</f>
        <v>1</v>
      </c>
      <c r="CP89" s="47">
        <f t="array" ref="CP89">IF(AND(ISNUMBER(MATCH(CP$2, AsistenciaJetAdminConcatenada!$A:$A, 0)), ISNUMBER(MATCH(CP$1, AsistenciaJetAdminConcatenada!$B:$B, 0)), ISNUMBER(SEARCH($A89,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ISNUMBER(SEARCH($A89, INDEX(AsistenciaJetAdminConcatenada!$D:$D, MATCH(1, (AsistenciaJetAdminConcatenada!$A:$A=CP$2)*(AsistenciaJetAdminConcatenada!$B:$B=CP$1), 0)), 1))),  0.5, 0))</f>
        <v>0</v>
      </c>
      <c r="CQ89" s="47">
        <f t="array" ref="CQ89">IF(AND(ISNUMBER(MATCH(CQ$2, AsistenciaJetAdminConcatenada!$A:$A, 0)), ISNUMBER(MATCH(CQ$1, AsistenciaJetAdminConcatenada!$B:$B, 0)), ISNUMBER(SEARCH($A89,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ISNUMBER(SEARCH($A89, INDEX(AsistenciaJetAdminConcatenada!$D:$D, MATCH(1, (AsistenciaJetAdminConcatenada!$A:$A=CQ$2)*(AsistenciaJetAdminConcatenada!$B:$B=CQ$1), 0)), 1))),  0.5, 0))</f>
        <v>1</v>
      </c>
      <c r="CR89" s="47">
        <f t="array" ref="CR89">IF(AND(ISNUMBER(MATCH(CR$2, AsistenciaJetAdminConcatenada!$A:$A, 0)), ISNUMBER(MATCH(CR$1, AsistenciaJetAdminConcatenada!$B:$B, 0)), ISNUMBER(SEARCH($A89,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ISNUMBER(SEARCH($A89, INDEX(AsistenciaJetAdminConcatenada!$D:$D, MATCH(1, (AsistenciaJetAdminConcatenada!$A:$A=CR$2)*(AsistenciaJetAdminConcatenada!$B:$B=CR$1), 0)), 1))),  0.5, 0))</f>
        <v>1</v>
      </c>
      <c r="CS89" s="47">
        <f t="array" ref="CS89">IF(AND(ISNUMBER(MATCH(CS$2, AsistenciaJetAdminConcatenada!$A:$A, 0)), ISNUMBER(MATCH(CS$1, AsistenciaJetAdminConcatenada!$B:$B, 0)), ISNUMBER(SEARCH($A89,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ISNUMBER(SEARCH($A89, INDEX(AsistenciaJetAdminConcatenada!$D:$D, MATCH(1, (AsistenciaJetAdminConcatenada!$A:$A=CS$2)*(AsistenciaJetAdminConcatenada!$B:$B=CS$1), 0)), 1))),  0.5, 0))</f>
        <v>0</v>
      </c>
      <c r="CT89" s="47">
        <f t="array" ref="CT89">IF(AND(ISNUMBER(MATCH(CT$2, AsistenciaJetAdminConcatenada!$A:$A, 0)), ISNUMBER(MATCH(CT$1, AsistenciaJetAdminConcatenada!$B:$B, 0)), ISNUMBER(SEARCH($A89,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ISNUMBER(SEARCH($A89, INDEX(AsistenciaJetAdminConcatenada!$D:$D, MATCH(1, (AsistenciaJetAdminConcatenada!$A:$A=CT$2)*(AsistenciaJetAdminConcatenada!$B:$B=CT$1), 0)), 1))),  0.5, 0))</f>
        <v>0</v>
      </c>
      <c r="CU89" s="47">
        <f t="array" ref="CU89">IF(AND(ISNUMBER(MATCH(CU$2, AsistenciaJetAdminConcatenada!$A:$A, 0)), ISNUMBER(MATCH(CU$1, AsistenciaJetAdminConcatenada!$B:$B, 0)), ISNUMBER(SEARCH($A89,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ISNUMBER(SEARCH($A89, INDEX(AsistenciaJetAdminConcatenada!$D:$D, MATCH(1, (AsistenciaJetAdminConcatenada!$A:$A=CU$2)*(AsistenciaJetAdminConcatenada!$B:$B=CU$1), 0)), 1))),  0.5, 0))</f>
        <v>0</v>
      </c>
      <c r="CV89" s="47">
        <f t="array" ref="CV89">IF(AND(ISNUMBER(MATCH(CV$2, AsistenciaJetAdminConcatenada!$A:$A, 0)), ISNUMBER(MATCH(CV$1, AsistenciaJetAdminConcatenada!$B:$B, 0)), ISNUMBER(SEARCH($A89,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ISNUMBER(SEARCH($A89, INDEX(AsistenciaJetAdminConcatenada!$D:$D, MATCH(1, (AsistenciaJetAdminConcatenada!$A:$A=CV$2)*(AsistenciaJetAdminConcatenada!$B:$B=CV$1), 0)), 1))),  0.5, 0))</f>
        <v>0</v>
      </c>
      <c r="CW89" s="47">
        <f t="array" ref="CW89">IF(AND(ISNUMBER(MATCH(CW$2, AsistenciaJetAdminConcatenada!$A:$A, 0)), ISNUMBER(MATCH(CW$1, AsistenciaJetAdminConcatenada!$B:$B, 0)), ISNUMBER(SEARCH($A89,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ISNUMBER(SEARCH($A89, INDEX(AsistenciaJetAdminConcatenada!$D:$D, MATCH(1, (AsistenciaJetAdminConcatenada!$A:$A=CW$2)*(AsistenciaJetAdminConcatenada!$B:$B=CW$1), 0)), 1))),  0.5, 0))</f>
        <v>0</v>
      </c>
      <c r="CX89" s="47">
        <f t="array" ref="CX89">IF(AND(ISNUMBER(MATCH(CX$2, AsistenciaJetAdminConcatenada!$A:$A, 0)), ISNUMBER(MATCH(CX$1, AsistenciaJetAdminConcatenada!$B:$B, 0)), ISNUMBER(SEARCH($A89,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ISNUMBER(SEARCH($A89, INDEX(AsistenciaJetAdminConcatenada!$D:$D, MATCH(1, (AsistenciaJetAdminConcatenada!$A:$A=CX$2)*(AsistenciaJetAdminConcatenada!$B:$B=CX$1), 0)), 1))),  0.5, 0))</f>
        <v>0</v>
      </c>
      <c r="CY89" s="47">
        <f t="array" ref="CY89">IF(AND(ISNUMBER(MATCH(CY$2, AsistenciaJetAdminConcatenada!$A:$A, 0)), ISNUMBER(MATCH(CY$1, AsistenciaJetAdminConcatenada!$B:$B, 0)), ISNUMBER(SEARCH($A89,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ISNUMBER(SEARCH($A89, INDEX(AsistenciaJetAdminConcatenada!$D:$D, MATCH(1, (AsistenciaJetAdminConcatenada!$A:$A=CY$2)*(AsistenciaJetAdminConcatenada!$B:$B=CY$1), 0)), 1))),  0.5, 0))</f>
        <v>0</v>
      </c>
      <c r="CZ89" s="47">
        <f t="array" ref="CZ89">IF(AND(ISNUMBER(MATCH(CZ$2, AsistenciaJetAdminConcatenada!$A:$A, 0)), ISNUMBER(MATCH(CZ$1, AsistenciaJetAdminConcatenada!$B:$B, 0)), ISNUMBER(SEARCH($A89,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ISNUMBER(SEARCH($A89, INDEX(AsistenciaJetAdminConcatenada!$D:$D, MATCH(1, (AsistenciaJetAdminConcatenada!$A:$A=CZ$2)*(AsistenciaJetAdminConcatenada!$B:$B=CZ$1), 0)), 1))),  0.5, 0))</f>
        <v>0</v>
      </c>
      <c r="DA89" s="47">
        <f t="array" ref="DA89">IF(AND(ISNUMBER(MATCH(DA$2, AsistenciaJetAdminConcatenada!$A:$A, 0)), ISNUMBER(MATCH(DA$1, AsistenciaJetAdminConcatenada!$B:$B, 0)), ISNUMBER(SEARCH($A89,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ISNUMBER(SEARCH($A89, INDEX(AsistenciaJetAdminConcatenada!$D:$D, MATCH(1, (AsistenciaJetAdminConcatenada!$A:$A=DA$2)*(AsistenciaJetAdminConcatenada!$B:$B=DA$1), 0)), 1))),  0.5, 0))</f>
        <v>0</v>
      </c>
      <c r="DB89" s="47">
        <f t="array" ref="DB89">IF(AND(ISNUMBER(MATCH(DB$2, AsistenciaJetAdminConcatenada!$A:$A, 0)), ISNUMBER(MATCH(DB$1, AsistenciaJetAdminConcatenada!$B:$B, 0)), ISNUMBER(SEARCH($A89,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ISNUMBER(SEARCH($A89, INDEX(AsistenciaJetAdminConcatenada!$D:$D, MATCH(1, (AsistenciaJetAdminConcatenada!$A:$A=DB$2)*(AsistenciaJetAdminConcatenada!$B:$B=DB$1), 0)), 1))),  0.5, 0))</f>
        <v>0</v>
      </c>
      <c r="DC89" s="47">
        <f t="array" ref="DC89">IF(AND(ISNUMBER(MATCH(DC$2, AsistenciaJetAdminConcatenada!$A:$A, 0)), ISNUMBER(MATCH(DC$1, AsistenciaJetAdminConcatenada!$B:$B, 0)), ISNUMBER(SEARCH($A89,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ISNUMBER(SEARCH($A89, INDEX(AsistenciaJetAdminConcatenada!$D:$D, MATCH(1, (AsistenciaJetAdminConcatenada!$A:$A=DC$2)*(AsistenciaJetAdminConcatenada!$B:$B=DC$1), 0)), 1))),  0.5, 0))</f>
        <v>0</v>
      </c>
      <c r="DD89" s="47">
        <f t="array" ref="DD89">IF(AND(ISNUMBER(MATCH(DD$2, AsistenciaJetAdminConcatenada!$A:$A, 0)), ISNUMBER(MATCH(DD$1, AsistenciaJetAdminConcatenada!$B:$B, 0)), ISNUMBER(SEARCH($A89,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ISNUMBER(SEARCH($A89, INDEX(AsistenciaJetAdminConcatenada!$D:$D, MATCH(1, (AsistenciaJetAdminConcatenada!$A:$A=DD$2)*(AsistenciaJetAdminConcatenada!$B:$B=DD$1), 0)), 1))),  0.5, 0))</f>
        <v>0</v>
      </c>
      <c r="DE89" s="47">
        <f t="array" ref="DE89">IF(AND(ISNUMBER(MATCH(DE$2, AsistenciaJetAdminConcatenada!$A:$A, 0)), ISNUMBER(MATCH(DE$1, AsistenciaJetAdminConcatenada!$B:$B, 0)), ISNUMBER(SEARCH($A89,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ISNUMBER(SEARCH($A89, INDEX(AsistenciaJetAdminConcatenada!$D:$D, MATCH(1, (AsistenciaJetAdminConcatenada!$A:$A=DE$2)*(AsistenciaJetAdminConcatenada!$B:$B=DE$1), 0)), 1))),  0.5, 0))</f>
        <v>0</v>
      </c>
      <c r="DF89" s="47">
        <f t="array" ref="DF89">IF(AND(ISNUMBER(MATCH(DF$2, AsistenciaJetAdminConcatenada!$A:$A, 0)), ISNUMBER(MATCH(DF$1, AsistenciaJetAdminConcatenada!$B:$B, 0)), ISNUMBER(SEARCH($A89,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ISNUMBER(SEARCH($A89, INDEX(AsistenciaJetAdminConcatenada!$D:$D, MATCH(1, (AsistenciaJetAdminConcatenada!$A:$A=DF$2)*(AsistenciaJetAdminConcatenada!$B:$B=DF$1), 0)), 1))),  0.5, 0))</f>
        <v>0</v>
      </c>
      <c r="DG89" s="47">
        <f t="array" ref="DG89">IF(AND(ISNUMBER(MATCH(DG$2, AsistenciaJetAdminConcatenada!$A:$A, 0)), ISNUMBER(MATCH(DG$1, AsistenciaJetAdminConcatenada!$B:$B, 0)), ISNUMBER(SEARCH($A89,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ISNUMBER(SEARCH($A89, INDEX(AsistenciaJetAdminConcatenada!$D:$D, MATCH(1, (AsistenciaJetAdminConcatenada!$A:$A=DG$2)*(AsistenciaJetAdminConcatenada!$B:$B=DG$1), 0)), 1))),  0.5, 0))</f>
        <v>0</v>
      </c>
      <c r="DH89" s="47">
        <f t="array" ref="DH89">IF(AND(ISNUMBER(MATCH(DH$2, AsistenciaJetAdminConcatenada!$A:$A, 0)), ISNUMBER(MATCH(DH$1, AsistenciaJetAdminConcatenada!$B:$B, 0)), ISNUMBER(SEARCH($A89,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ISNUMBER(SEARCH($A89, INDEX(AsistenciaJetAdminConcatenada!$D:$D, MATCH(1, (AsistenciaJetAdminConcatenada!$A:$A=DH$2)*(AsistenciaJetAdminConcatenada!$B:$B=DH$1), 0)), 1))),  0.5, 0))</f>
        <v>0</v>
      </c>
      <c r="DI89" s="47">
        <f t="array" ref="DI89">IF(AND(ISNUMBER(MATCH(DI$2, AsistenciaJetAdminConcatenada!$A:$A, 0)), ISNUMBER(MATCH(DI$1, AsistenciaJetAdminConcatenada!$B:$B, 0)), ISNUMBER(SEARCH($A89,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ISNUMBER(SEARCH($A89, INDEX(AsistenciaJetAdminConcatenada!$D:$D, MATCH(1, (AsistenciaJetAdminConcatenada!$A:$A=DI$2)*(AsistenciaJetAdminConcatenada!$B:$B=DI$1), 0)), 1))),  0.5, 0))</f>
        <v>0</v>
      </c>
      <c r="DJ89" s="47">
        <f t="array" ref="DJ89">IF(AND(ISNUMBER(MATCH(DJ$2, AsistenciaJetAdminConcatenada!$A:$A, 0)), ISNUMBER(MATCH(DJ$1, AsistenciaJetAdminConcatenada!$B:$B, 0)), ISNUMBER(SEARCH($A89,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ISNUMBER(SEARCH($A89, INDEX(AsistenciaJetAdminConcatenada!$D:$D, MATCH(1, (AsistenciaJetAdminConcatenada!$A:$A=DJ$2)*(AsistenciaJetAdminConcatenada!$B:$B=DJ$1), 0)), 1))),  0.5, 0))</f>
        <v>0</v>
      </c>
      <c r="DK89" s="47">
        <f t="array" ref="DK89">IF(AND(ISNUMBER(MATCH(DK$2, AsistenciaJetAdminConcatenada!$A:$A, 0)), ISNUMBER(MATCH(DK$1, AsistenciaJetAdminConcatenada!$B:$B, 0)), ISNUMBER(SEARCH($A89,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ISNUMBER(SEARCH($A89, INDEX(AsistenciaJetAdminConcatenada!$D:$D, MATCH(1, (AsistenciaJetAdminConcatenada!$A:$A=DK$2)*(AsistenciaJetAdminConcatenada!$B:$B=DK$1), 0)), 1))),  0.5, 0))</f>
        <v>0</v>
      </c>
      <c r="DL89" s="47">
        <f t="array" ref="DL89">IF(AND(ISNUMBER(MATCH(DL$2, AsistenciaJetAdminConcatenada!$A:$A, 0)), ISNUMBER(MATCH(DL$1, AsistenciaJetAdminConcatenada!$B:$B, 0)), ISNUMBER(SEARCH($A89,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ISNUMBER(SEARCH($A89, INDEX(AsistenciaJetAdminConcatenada!$D:$D, MATCH(1, (AsistenciaJetAdminConcatenada!$A:$A=DL$2)*(AsistenciaJetAdminConcatenada!$B:$B=DL$1), 0)), 1))),  0.5, 0))</f>
        <v>0</v>
      </c>
      <c r="DM89" s="47">
        <f t="array" ref="DM89">IF(AND(ISNUMBER(MATCH(DM$2, AsistenciaJetAdminConcatenada!$A:$A, 0)), ISNUMBER(MATCH(DM$1, AsistenciaJetAdminConcatenada!$B:$B, 0)), ISNUMBER(SEARCH($A89,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ISNUMBER(SEARCH($A89, INDEX(AsistenciaJetAdminConcatenada!$D:$D, MATCH(1, (AsistenciaJetAdminConcatenada!$A:$A=DM$2)*(AsistenciaJetAdminConcatenada!$B:$B=DM$1), 0)), 1))),  0.5, 0))</f>
        <v>0</v>
      </c>
      <c r="DN89" s="47">
        <f t="array" ref="DN89">IF(AND(ISNUMBER(MATCH(DN$2, AsistenciaJetAdminConcatenada!$A:$A, 0)), ISNUMBER(MATCH(DN$1, AsistenciaJetAdminConcatenada!$B:$B, 0)), ISNUMBER(SEARCH($A89,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ISNUMBER(SEARCH($A89, INDEX(AsistenciaJetAdminConcatenada!$D:$D, MATCH(1, (AsistenciaJetAdminConcatenada!$A:$A=DN$2)*(AsistenciaJetAdminConcatenada!$B:$B=DN$1), 0)), 1))),  0.5, 0))</f>
        <v>0</v>
      </c>
      <c r="DO89" s="47">
        <f t="array" ref="DO89">IF(AND(ISNUMBER(MATCH(DO$2, AsistenciaJetAdminConcatenada!$A:$A, 0)), ISNUMBER(MATCH(DO$1, AsistenciaJetAdminConcatenada!$B:$B, 0)), ISNUMBER(SEARCH($A89,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ISNUMBER(SEARCH($A89, INDEX(AsistenciaJetAdminConcatenada!$D:$D, MATCH(1, (AsistenciaJetAdminConcatenada!$A:$A=DO$2)*(AsistenciaJetAdminConcatenada!$B:$B=DO$1), 0)), 1))),  0.5, 0))</f>
        <v>0</v>
      </c>
      <c r="DP89" s="47">
        <f t="array" ref="DP89">IF(AND(ISNUMBER(MATCH(DP$2, AsistenciaJetAdminConcatenada!$A:$A, 0)), ISNUMBER(MATCH(DP$1, AsistenciaJetAdminConcatenada!$B:$B, 0)), ISNUMBER(SEARCH($A89,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ISNUMBER(SEARCH($A89, INDEX(AsistenciaJetAdminConcatenada!$D:$D, MATCH(1, (AsistenciaJetAdminConcatenada!$A:$A=DP$2)*(AsistenciaJetAdminConcatenada!$B:$B=DP$1), 0)), 1))),  0.5, 0))</f>
        <v>0</v>
      </c>
      <c r="DQ89" s="47">
        <f t="array" ref="DQ89">IF(AND(ISNUMBER(MATCH(DQ$2, AsistenciaJetAdminConcatenada!$A:$A, 0)), ISNUMBER(MATCH(DQ$1, AsistenciaJetAdminConcatenada!$B:$B, 0)), ISNUMBER(SEARCH($A89,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ISNUMBER(SEARCH($A89, INDEX(AsistenciaJetAdminConcatenada!$D:$D, MATCH(1, (AsistenciaJetAdminConcatenada!$A:$A=DQ$2)*(AsistenciaJetAdminConcatenada!$B:$B=DQ$1), 0)), 1))),  0.5, 0))</f>
        <v>0</v>
      </c>
      <c r="DR89" s="47">
        <f t="array" ref="DR89">IF(AND(ISNUMBER(MATCH(DR$2, AsistenciaJetAdminConcatenada!$A:$A, 0)), ISNUMBER(MATCH(DR$1, AsistenciaJetAdminConcatenada!$B:$B, 0)), ISNUMBER(SEARCH($A89,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ISNUMBER(SEARCH($A89, INDEX(AsistenciaJetAdminConcatenada!$D:$D, MATCH(1, (AsistenciaJetAdminConcatenada!$A:$A=DR$2)*(AsistenciaJetAdminConcatenada!$B:$B=DR$1), 0)), 1))),  0.5, 0))</f>
        <v>0</v>
      </c>
      <c r="DS89" s="47">
        <f t="array" ref="DS89">IF(AND(ISNUMBER(MATCH(DS$2, AsistenciaJetAdminConcatenada!$A:$A, 0)), ISNUMBER(MATCH(DS$1, AsistenciaJetAdminConcatenada!$B:$B, 0)), ISNUMBER(SEARCH($A89,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ISNUMBER(SEARCH($A89, INDEX(AsistenciaJetAdminConcatenada!$D:$D, MATCH(1, (AsistenciaJetAdminConcatenada!$A:$A=DS$2)*(AsistenciaJetAdminConcatenada!$B:$B=DS$1), 0)), 1))),  0.5, 0))</f>
        <v>0</v>
      </c>
      <c r="DT89" s="47">
        <f t="array" ref="DT89">IF(AND(ISNUMBER(MATCH(DT$2, AsistenciaJetAdminConcatenada!$A:$A, 0)), ISNUMBER(MATCH(DT$1, AsistenciaJetAdminConcatenada!$B:$B, 0)), ISNUMBER(SEARCH($A89,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ISNUMBER(SEARCH($A89, INDEX(AsistenciaJetAdminConcatenada!$D:$D, MATCH(1, (AsistenciaJetAdminConcatenada!$A:$A=DT$2)*(AsistenciaJetAdminConcatenada!$B:$B=DT$1), 0)), 1))),  0.5, 0))</f>
        <v>0</v>
      </c>
      <c r="DU89" s="47">
        <f t="array" ref="DU89">IF(AND(ISNUMBER(MATCH(DU$2, AsistenciaJetAdminConcatenada!$A:$A, 0)), ISNUMBER(MATCH(DU$1, AsistenciaJetAdminConcatenada!$B:$B, 0)), ISNUMBER(SEARCH($A89,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ISNUMBER(SEARCH($A89, INDEX(AsistenciaJetAdminConcatenada!$D:$D, MATCH(1, (AsistenciaJetAdminConcatenada!$A:$A=DU$2)*(AsistenciaJetAdminConcatenada!$B:$B=DU$1), 0)), 1))),  0.5, 0))</f>
        <v>0</v>
      </c>
      <c r="DV89" s="47">
        <f t="array" ref="DV89">IF(AND(ISNUMBER(MATCH(DV$2, AsistenciaJetAdminConcatenada!$A:$A, 0)), ISNUMBER(MATCH(DV$1, AsistenciaJetAdminConcatenada!$B:$B, 0)), ISNUMBER(SEARCH($A89,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ISNUMBER(SEARCH($A89, INDEX(AsistenciaJetAdminConcatenada!$D:$D, MATCH(1, (AsistenciaJetAdminConcatenada!$A:$A=DV$2)*(AsistenciaJetAdminConcatenada!$B:$B=DV$1), 0)), 1))),  0.5, 0))</f>
        <v>0</v>
      </c>
      <c r="DW89" s="47">
        <f t="array" ref="DW89">IF(AND(ISNUMBER(MATCH(DW$2, AsistenciaJetAdminConcatenada!$A:$A, 0)), ISNUMBER(MATCH(DW$1, AsistenciaJetAdminConcatenada!$B:$B, 0)), ISNUMBER(SEARCH($A89,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ISNUMBER(SEARCH($A89, INDEX(AsistenciaJetAdminConcatenada!$D:$D, MATCH(1, (AsistenciaJetAdminConcatenada!$A:$A=DW$2)*(AsistenciaJetAdminConcatenada!$B:$B=DW$1), 0)), 1))),  0.5, 0))</f>
        <v>0</v>
      </c>
      <c r="DX89" s="47">
        <f t="array" ref="DX89">IF(AND(ISNUMBER(MATCH(DX$2, AsistenciaJetAdminConcatenada!$A:$A, 0)), ISNUMBER(MATCH(DX$1, AsistenciaJetAdminConcatenada!$B:$B, 0)), ISNUMBER(SEARCH($A89,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ISNUMBER(SEARCH($A89, INDEX(AsistenciaJetAdminConcatenada!$D:$D, MATCH(1, (AsistenciaJetAdminConcatenada!$A:$A=DX$2)*(AsistenciaJetAdminConcatenada!$B:$B=DX$1), 0)), 1))),  0.5, 0))</f>
        <v>0</v>
      </c>
      <c r="DY89" s="47">
        <f t="array" ref="DY89">IF(AND(ISNUMBER(MATCH(DY$2, AsistenciaJetAdminConcatenada!$A:$A, 0)), ISNUMBER(MATCH(DY$1, AsistenciaJetAdminConcatenada!$B:$B, 0)), ISNUMBER(SEARCH($A89,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ISNUMBER(SEARCH($A89, INDEX(AsistenciaJetAdminConcatenada!$D:$D, MATCH(1, (AsistenciaJetAdminConcatenada!$A:$A=DY$2)*(AsistenciaJetAdminConcatenada!$B:$B=DY$1), 0)), 1))),  0.5, 0))</f>
        <v>0</v>
      </c>
      <c r="DZ89" s="47">
        <f t="array" ref="DZ89">IF(AND(ISNUMBER(MATCH(DZ$2, AsistenciaJetAdminConcatenada!$A:$A, 0)), ISNUMBER(MATCH(DZ$1, AsistenciaJetAdminConcatenada!$B:$B, 0)), ISNUMBER(SEARCH($A89,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ISNUMBER(SEARCH($A89, INDEX(AsistenciaJetAdminConcatenada!$D:$D, MATCH(1, (AsistenciaJetAdminConcatenada!$A:$A=DZ$2)*(AsistenciaJetAdminConcatenada!$B:$B=DZ$1), 0)), 1))),  0.5, 0))</f>
        <v>0</v>
      </c>
      <c r="EA89" s="47">
        <f t="array" ref="EA89">IF(AND(ISNUMBER(MATCH(EA$2, AsistenciaJetAdminConcatenada!$A:$A, 0)), ISNUMBER(MATCH(EA$1, AsistenciaJetAdminConcatenada!$B:$B, 0)), ISNUMBER(SEARCH($A89,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ISNUMBER(SEARCH($A89, INDEX(AsistenciaJetAdminConcatenada!$D:$D, MATCH(1, (AsistenciaJetAdminConcatenada!$A:$A=EA$2)*(AsistenciaJetAdminConcatenada!$B:$B=EA$1), 0)), 1))),  0.5, 0))</f>
        <v>0</v>
      </c>
      <c r="EB89" s="47">
        <f t="array" ref="EB89">IF(AND(ISNUMBER(MATCH(EB$2, AsistenciaJetAdminConcatenada!$A:$A, 0)), ISNUMBER(MATCH(EB$1, AsistenciaJetAdminConcatenada!$B:$B, 0)), ISNUMBER(SEARCH($A89,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ISNUMBER(SEARCH($A89, INDEX(AsistenciaJetAdminConcatenada!$D:$D, MATCH(1, (AsistenciaJetAdminConcatenada!$A:$A=EB$2)*(AsistenciaJetAdminConcatenada!$B:$B=EB$1), 0)), 1))),  0.5, 0))</f>
        <v>0</v>
      </c>
      <c r="EC89" s="47">
        <f t="array" ref="EC89">IF(AND(ISNUMBER(MATCH(EC$2, AsistenciaJetAdminConcatenada!$A:$A, 0)), ISNUMBER(MATCH(EC$1, AsistenciaJetAdminConcatenada!$B:$B, 0)), ISNUMBER(SEARCH($A89,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ISNUMBER(SEARCH($A89, INDEX(AsistenciaJetAdminConcatenada!$D:$D, MATCH(1, (AsistenciaJetAdminConcatenada!$A:$A=EC$2)*(AsistenciaJetAdminConcatenada!$B:$B=EC$1), 0)), 1))),  0.5, 0))</f>
        <v>0</v>
      </c>
      <c r="ED89" s="47">
        <f t="array" ref="ED89">IF(AND(ISNUMBER(MATCH(ED$2, AsistenciaJetAdminConcatenada!$A:$A, 0)), ISNUMBER(MATCH(ED$1, AsistenciaJetAdminConcatenada!$B:$B, 0)), ISNUMBER(SEARCH($A89,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ISNUMBER(SEARCH($A89, INDEX(AsistenciaJetAdminConcatenada!$D:$D, MATCH(1, (AsistenciaJetAdminConcatenada!$A:$A=ED$2)*(AsistenciaJetAdminConcatenada!$B:$B=ED$1), 0)), 1))),  0.5, 0))</f>
        <v>0</v>
      </c>
      <c r="EE89" s="47">
        <f t="array" ref="EE89">IF(AND(ISNUMBER(MATCH(EE$2, AsistenciaJetAdminConcatenada!$A:$A, 0)), ISNUMBER(MATCH(EE$1, AsistenciaJetAdminConcatenada!$B:$B, 0)), ISNUMBER(SEARCH($A89,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ISNUMBER(SEARCH($A89, INDEX(AsistenciaJetAdminConcatenada!$D:$D, MATCH(1, (AsistenciaJetAdminConcatenada!$A:$A=EE$2)*(AsistenciaJetAdminConcatenada!$B:$B=EE$1), 0)), 1))),  0.5, 0))</f>
        <v>0</v>
      </c>
      <c r="EF89" s="47">
        <f t="array" ref="EF89">IF(AND(ISNUMBER(MATCH(EF$2, AsistenciaJetAdminConcatenada!$A:$A, 0)), ISNUMBER(MATCH(EF$1, AsistenciaJetAdminConcatenada!$B:$B, 0)), ISNUMBER(SEARCH($A89,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ISNUMBER(SEARCH($A89, INDEX(AsistenciaJetAdminConcatenada!$D:$D, MATCH(1, (AsistenciaJetAdminConcatenada!$A:$A=EF$2)*(AsistenciaJetAdminConcatenada!$B:$B=EF$1), 0)), 1))),  0.5, 0))</f>
        <v>0</v>
      </c>
      <c r="EG89" s="47">
        <f t="array" ref="EG89">IF(AND(ISNUMBER(MATCH(EG$2, AsistenciaJetAdminConcatenada!$A:$A, 0)), ISNUMBER(MATCH(EG$1, AsistenciaJetAdminConcatenada!$B:$B, 0)), ISNUMBER(SEARCH($A89,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ISNUMBER(SEARCH($A89, INDEX(AsistenciaJetAdminConcatenada!$D:$D, MATCH(1, (AsistenciaJetAdminConcatenada!$A:$A=EG$2)*(AsistenciaJetAdminConcatenada!$B:$B=EG$1), 0)), 1))),  0.5, 0))</f>
        <v>0</v>
      </c>
      <c r="EH89" s="47">
        <f t="array" ref="EH89">IF(AND(ISNUMBER(MATCH(EH$2, AsistenciaJetAdminConcatenada!$A:$A, 0)), ISNUMBER(MATCH(EH$1, AsistenciaJetAdminConcatenada!$B:$B, 0)), ISNUMBER(SEARCH($A89,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ISNUMBER(SEARCH($A89, INDEX(AsistenciaJetAdminConcatenada!$D:$D, MATCH(1, (AsistenciaJetAdminConcatenada!$A:$A=EH$2)*(AsistenciaJetAdminConcatenada!$B:$B=EH$1), 0)), 1))),  0.5, 0))</f>
        <v>0</v>
      </c>
      <c r="EI89" s="47">
        <f t="array" ref="EI89">IF(AND(ISNUMBER(MATCH(EI$2, AsistenciaJetAdminConcatenada!$A:$A, 0)), ISNUMBER(MATCH(EI$1, AsistenciaJetAdminConcatenada!$B:$B, 0)), ISNUMBER(SEARCH($A89,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ISNUMBER(SEARCH($A89, INDEX(AsistenciaJetAdminConcatenada!$D:$D, MATCH(1, (AsistenciaJetAdminConcatenada!$A:$A=EI$2)*(AsistenciaJetAdminConcatenada!$B:$B=EI$1), 0)), 1))),  0.5, 0))</f>
        <v>0</v>
      </c>
      <c r="EJ89" s="47">
        <f t="array" ref="EJ89">IF(AND(ISNUMBER(MATCH(EJ$2, AsistenciaJetAdminConcatenada!$A:$A, 0)), ISNUMBER(MATCH(EJ$1, AsistenciaJetAdminConcatenada!$B:$B, 0)), ISNUMBER(SEARCH($A89,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ISNUMBER(SEARCH($A89, INDEX(AsistenciaJetAdminConcatenada!$D:$D, MATCH(1, (AsistenciaJetAdminConcatenada!$A:$A=EJ$2)*(AsistenciaJetAdminConcatenada!$B:$B=EJ$1), 0)), 1))),  0.5, 0))</f>
        <v>0</v>
      </c>
      <c r="EK89" s="47">
        <f t="array" ref="EK89">IF(AND(ISNUMBER(MATCH(EK$2, AsistenciaJetAdminConcatenada!$A:$A, 0)), ISNUMBER(MATCH(EK$1, AsistenciaJetAdminConcatenada!$B:$B, 0)), ISNUMBER(SEARCH($A89,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ISNUMBER(SEARCH($A89, INDEX(AsistenciaJetAdminConcatenada!$D:$D, MATCH(1, (AsistenciaJetAdminConcatenada!$A:$A=EK$2)*(AsistenciaJetAdminConcatenada!$B:$B=EK$1), 0)), 1))),  0.5, 0))</f>
        <v>0</v>
      </c>
      <c r="EL89" s="47">
        <f t="array" ref="EL89">IF(AND(ISNUMBER(MATCH(EL$2, AsistenciaJetAdminConcatenada!$A:$A, 0)), ISNUMBER(MATCH(EL$1, AsistenciaJetAdminConcatenada!$B:$B, 0)), ISNUMBER(SEARCH($A89,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ISNUMBER(SEARCH($A89, INDEX(AsistenciaJetAdminConcatenada!$D:$D, MATCH(1, (AsistenciaJetAdminConcatenada!$A:$A=EL$2)*(AsistenciaJetAdminConcatenada!$B:$B=EL$1), 0)), 1))),  0.5, 0))</f>
        <v>0</v>
      </c>
      <c r="EM89" s="47">
        <f t="array" ref="EM89">IF(AND(ISNUMBER(MATCH(EM$2, AsistenciaJetAdminConcatenada!$A:$A, 0)), ISNUMBER(MATCH(EM$1, AsistenciaJetAdminConcatenada!$B:$B, 0)), ISNUMBER(SEARCH($A89,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ISNUMBER(SEARCH($A89, INDEX(AsistenciaJetAdminConcatenada!$D:$D, MATCH(1, (AsistenciaJetAdminConcatenada!$A:$A=EM$2)*(AsistenciaJetAdminConcatenada!$B:$B=EM$1), 0)), 1))),  0.5, 0))</f>
        <v>0</v>
      </c>
      <c r="EN89" s="47">
        <f t="array" ref="EN89">IF(AND(ISNUMBER(MATCH(EN$2, AsistenciaJetAdminConcatenada!$A:$A, 0)), ISNUMBER(MATCH(EN$1, AsistenciaJetAdminConcatenada!$B:$B, 0)), ISNUMBER(SEARCH($A89,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ISNUMBER(SEARCH($A89, INDEX(AsistenciaJetAdminConcatenada!$D:$D, MATCH(1, (AsistenciaJetAdminConcatenada!$A:$A=EN$2)*(AsistenciaJetAdminConcatenada!$B:$B=EN$1), 0)), 1))),  0.5, 0))</f>
        <v>0</v>
      </c>
      <c r="EO89" s="47">
        <f t="array" ref="EO89">IF(AND(ISNUMBER(MATCH(EO$2, AsistenciaJetAdminConcatenada!$A:$A, 0)), ISNUMBER(MATCH(EO$1, AsistenciaJetAdminConcatenada!$B:$B, 0)), ISNUMBER(SEARCH($A89,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ISNUMBER(SEARCH($A89, INDEX(AsistenciaJetAdminConcatenada!$D:$D, MATCH(1, (AsistenciaJetAdminConcatenada!$A:$A=EO$2)*(AsistenciaJetAdminConcatenada!$B:$B=EO$1), 0)), 1))),  0.5, 0))</f>
        <v>0</v>
      </c>
      <c r="EP89" s="47">
        <f t="array" ref="EP89">IF(AND(ISNUMBER(MATCH(EP$2, AsistenciaJetAdminConcatenada!$A:$A, 0)), ISNUMBER(MATCH(EP$1, AsistenciaJetAdminConcatenada!$B:$B, 0)), ISNUMBER(SEARCH($A89,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ISNUMBER(SEARCH($A89, INDEX(AsistenciaJetAdminConcatenada!$D:$D, MATCH(1, (AsistenciaJetAdminConcatenada!$A:$A=EP$2)*(AsistenciaJetAdminConcatenada!$B:$B=EP$1), 0)), 1))),  0.5, 0))</f>
        <v>0</v>
      </c>
      <c r="EQ89" s="47">
        <f t="array" ref="EQ89">IF(AND(ISNUMBER(MATCH(EQ$2, AsistenciaJetAdminConcatenada!$A:$A, 0)), ISNUMBER(MATCH(EQ$1, AsistenciaJetAdminConcatenada!$B:$B, 0)), ISNUMBER(SEARCH($A89,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ISNUMBER(SEARCH($A89, INDEX(AsistenciaJetAdminConcatenada!$D:$D, MATCH(1, (AsistenciaJetAdminConcatenada!$A:$A=EQ$2)*(AsistenciaJetAdminConcatenada!$B:$B=EQ$1), 0)), 1))),  0.5, 0))</f>
        <v>0</v>
      </c>
      <c r="ER89" s="47">
        <f t="array" ref="ER89">IF(AND(ISNUMBER(MATCH(ER$2, AsistenciaJetAdminConcatenada!$A:$A, 0)), ISNUMBER(MATCH(ER$1, AsistenciaJetAdminConcatenada!$B:$B, 0)), ISNUMBER(SEARCH($A89,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ISNUMBER(SEARCH($A89, INDEX(AsistenciaJetAdminConcatenada!$D:$D, MATCH(1, (AsistenciaJetAdminConcatenada!$A:$A=ER$2)*(AsistenciaJetAdminConcatenada!$B:$B=ER$1), 0)), 1))),  0.5, 0))</f>
        <v>0</v>
      </c>
      <c r="ES89" s="47">
        <f t="array" ref="ES89">IF(AND(ISNUMBER(MATCH(ES$2, AsistenciaJetAdminConcatenada!$A:$A, 0)), ISNUMBER(MATCH(ES$1, AsistenciaJetAdminConcatenada!$B:$B, 0)), ISNUMBER(SEARCH($A89,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ISNUMBER(SEARCH($A89, INDEX(AsistenciaJetAdminConcatenada!$D:$D, MATCH(1, (AsistenciaJetAdminConcatenada!$A:$A=ES$2)*(AsistenciaJetAdminConcatenada!$B:$B=ES$1), 0)), 1))),  0.5, 0))</f>
        <v>0</v>
      </c>
      <c r="ET89" s="47">
        <f t="array" ref="ET89">IF(AND(ISNUMBER(MATCH(ET$2, AsistenciaJetAdminConcatenada!$A:$A, 0)), ISNUMBER(MATCH(ET$1, AsistenciaJetAdminConcatenada!$B:$B, 0)), ISNUMBER(SEARCH($A89,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ISNUMBER(SEARCH($A89, INDEX(AsistenciaJetAdminConcatenada!$D:$D, MATCH(1, (AsistenciaJetAdminConcatenada!$A:$A=ET$2)*(AsistenciaJetAdminConcatenada!$B:$B=ET$1), 0)), 1))),  0.5, 0))</f>
        <v>0</v>
      </c>
      <c r="EU89" s="47">
        <f t="array" ref="EU89">IF(AND(ISNUMBER(MATCH(EU$2, AsistenciaJetAdminConcatenada!$A:$A, 0)), ISNUMBER(MATCH(EU$1, AsistenciaJetAdminConcatenada!$B:$B, 0)), ISNUMBER(SEARCH($A89,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ISNUMBER(SEARCH($A89, INDEX(AsistenciaJetAdminConcatenada!$D:$D, MATCH(1, (AsistenciaJetAdminConcatenada!$A:$A=EU$2)*(AsistenciaJetAdminConcatenada!$B:$B=EU$1), 0)), 1))),  0.5, 0))</f>
        <v>0</v>
      </c>
      <c r="EV89" s="47">
        <f t="array" ref="EV89">IF(AND(ISNUMBER(MATCH(EV$2, AsistenciaJetAdminConcatenada!$A:$A, 0)), ISNUMBER(MATCH(EV$1, AsistenciaJetAdminConcatenada!$B:$B, 0)), ISNUMBER(SEARCH($A89,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ISNUMBER(SEARCH($A89, INDEX(AsistenciaJetAdminConcatenada!$D:$D, MATCH(1, (AsistenciaJetAdminConcatenada!$A:$A=EV$2)*(AsistenciaJetAdminConcatenada!$B:$B=EV$1), 0)), 1))),  0.5, 0))</f>
        <v>0</v>
      </c>
      <c r="EW89" s="47">
        <f t="array" ref="EW89">IF(AND(ISNUMBER(MATCH(EW$2, AsistenciaJetAdminConcatenada!$A:$A, 0)), ISNUMBER(MATCH(EW$1, AsistenciaJetAdminConcatenada!$B:$B, 0)), ISNUMBER(SEARCH($A89,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ISNUMBER(SEARCH($A89, INDEX(AsistenciaJetAdminConcatenada!$D:$D, MATCH(1, (AsistenciaJetAdminConcatenada!$A:$A=EW$2)*(AsistenciaJetAdminConcatenada!$B:$B=EW$1), 0)), 1))),  0.5, 0))</f>
        <v>0</v>
      </c>
      <c r="EX89" s="47">
        <f t="array" ref="EX89">IF(AND(ISNUMBER(MATCH(EX$2, AsistenciaJetAdminConcatenada!$A:$A, 0)), ISNUMBER(MATCH(EX$1, AsistenciaJetAdminConcatenada!$B:$B, 0)), ISNUMBER(SEARCH($A89,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ISNUMBER(SEARCH($A89, INDEX(AsistenciaJetAdminConcatenada!$D:$D, MATCH(1, (AsistenciaJetAdminConcatenada!$A:$A=EX$2)*(AsistenciaJetAdminConcatenada!$B:$B=EX$1), 0)), 1))),  0.5, 0))</f>
        <v>0</v>
      </c>
      <c r="EY89" s="47">
        <f t="array" ref="EY89">IF(AND(ISNUMBER(MATCH(EY$2, AsistenciaJetAdminConcatenada!$A:$A, 0)), ISNUMBER(MATCH(EY$1, AsistenciaJetAdminConcatenada!$B:$B, 0)), ISNUMBER(SEARCH($A89,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ISNUMBER(SEARCH($A89, INDEX(AsistenciaJetAdminConcatenada!$D:$D, MATCH(1, (AsistenciaJetAdminConcatenada!$A:$A=EY$2)*(AsistenciaJetAdminConcatenada!$B:$B=EY$1), 0)), 1))),  0.5, 0))</f>
        <v>0</v>
      </c>
      <c r="EZ89" s="47">
        <f t="array" ref="EZ89">IF(AND(ISNUMBER(MATCH(EZ$2, AsistenciaJetAdminConcatenada!$A:$A, 0)), ISNUMBER(MATCH(EZ$1, AsistenciaJetAdminConcatenada!$B:$B, 0)), ISNUMBER(SEARCH($A89,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ISNUMBER(SEARCH($A89, INDEX(AsistenciaJetAdminConcatenada!$D:$D, MATCH(1, (AsistenciaJetAdminConcatenada!$A:$A=EZ$2)*(AsistenciaJetAdminConcatenada!$B:$B=EZ$1), 0)), 1))),  0.5, 0))</f>
        <v>0</v>
      </c>
      <c r="FA89" s="47">
        <f t="array" ref="FA89">IF(AND(ISNUMBER(MATCH(FA$2, AsistenciaJetAdminConcatenada!$A:$A, 0)), ISNUMBER(MATCH(FA$1, AsistenciaJetAdminConcatenada!$B:$B, 0)), ISNUMBER(SEARCH($A89,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ISNUMBER(SEARCH($A89, INDEX(AsistenciaJetAdminConcatenada!$D:$D, MATCH(1, (AsistenciaJetAdminConcatenada!$A:$A=FA$2)*(AsistenciaJetAdminConcatenada!$B:$B=FA$1), 0)), 1))),  0.5, 0))</f>
        <v>0</v>
      </c>
      <c r="FB89" s="47">
        <f t="array" ref="FB89">IF(AND(ISNUMBER(MATCH(FB$2, AsistenciaJetAdminConcatenada!$A:$A, 0)), ISNUMBER(MATCH(FB$1, AsistenciaJetAdminConcatenada!$B:$B, 0)), ISNUMBER(SEARCH($A89,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ISNUMBER(SEARCH($A89, INDEX(AsistenciaJetAdminConcatenada!$D:$D, MATCH(1, (AsistenciaJetAdminConcatenada!$A:$A=FB$2)*(AsistenciaJetAdminConcatenada!$B:$B=FB$1), 0)), 1))),  0.5, 0))</f>
        <v>0</v>
      </c>
      <c r="FC89" s="47">
        <f t="array" ref="FC89">IF(AND(ISNUMBER(MATCH(FC$2, AsistenciaJetAdminConcatenada!$A:$A, 0)), ISNUMBER(MATCH(FC$1, AsistenciaJetAdminConcatenada!$B:$B, 0)), ISNUMBER(SEARCH($A89,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ISNUMBER(SEARCH($A89, INDEX(AsistenciaJetAdminConcatenada!$D:$D, MATCH(1, (AsistenciaJetAdminConcatenada!$A:$A=FC$2)*(AsistenciaJetAdminConcatenada!$B:$B=FC$1), 0)), 1))),  0.5, 0))</f>
        <v>0</v>
      </c>
      <c r="FD89" s="47">
        <f t="array" ref="FD89">IF(AND(ISNUMBER(MATCH(FD$2, AsistenciaJetAdminConcatenada!$A:$A, 0)), ISNUMBER(MATCH(FD$1, AsistenciaJetAdminConcatenada!$B:$B, 0)), ISNUMBER(SEARCH($A89,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ISNUMBER(SEARCH($A89, INDEX(AsistenciaJetAdminConcatenada!$D:$D, MATCH(1, (AsistenciaJetAdminConcatenada!$A:$A=FD$2)*(AsistenciaJetAdminConcatenada!$B:$B=FD$1), 0)), 1))),  0.5, 0))</f>
        <v>0</v>
      </c>
      <c r="FE89" s="47">
        <f t="array" ref="FE89">IF(AND(ISNUMBER(MATCH(FE$2, AsistenciaJetAdminConcatenada!$A:$A, 0)), ISNUMBER(MATCH(FE$1, AsistenciaJetAdminConcatenada!$B:$B, 0)), ISNUMBER(SEARCH($A89,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ISNUMBER(SEARCH($A89, INDEX(AsistenciaJetAdminConcatenada!$D:$D, MATCH(1, (AsistenciaJetAdminConcatenada!$A:$A=FE$2)*(AsistenciaJetAdminConcatenada!$B:$B=FE$1), 0)), 1))),  0.5, 0))</f>
        <v>0</v>
      </c>
      <c r="FF89" s="47">
        <f t="array" ref="FF89">IF(AND(ISNUMBER(MATCH(FF$2, AsistenciaJetAdminConcatenada!$A:$A, 0)), ISNUMBER(MATCH(FF$1, AsistenciaJetAdminConcatenada!$B:$B, 0)), ISNUMBER(SEARCH($A89,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ISNUMBER(SEARCH($A89, INDEX(AsistenciaJetAdminConcatenada!$D:$D, MATCH(1, (AsistenciaJetAdminConcatenada!$A:$A=FF$2)*(AsistenciaJetAdminConcatenada!$B:$B=FF$1), 0)), 1))),  0.5, 0))</f>
        <v>0</v>
      </c>
      <c r="FG89" s="47">
        <f t="array" ref="FG89">IF(AND(ISNUMBER(MATCH(FG$2, AsistenciaJetAdminConcatenada!$A:$A, 0)), ISNUMBER(MATCH(FG$1, AsistenciaJetAdminConcatenada!$B:$B, 0)), ISNUMBER(SEARCH($A89,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ISNUMBER(SEARCH($A89, INDEX(AsistenciaJetAdminConcatenada!$D:$D, MATCH(1, (AsistenciaJetAdminConcatenada!$A:$A=FG$2)*(AsistenciaJetAdminConcatenada!$B:$B=FG$1), 0)), 1))),  0.5, 0))</f>
        <v>0</v>
      </c>
      <c r="FH89" s="47">
        <f t="array" ref="FH89">IF(AND(ISNUMBER(MATCH(FH$2, AsistenciaJetAdminConcatenada!$A:$A, 0)), ISNUMBER(MATCH(FH$1, AsistenciaJetAdminConcatenada!$B:$B, 0)), ISNUMBER(SEARCH($A89,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ISNUMBER(SEARCH($A89, INDEX(AsistenciaJetAdminConcatenada!$D:$D, MATCH(1, (AsistenciaJetAdminConcatenada!$A:$A=FH$2)*(AsistenciaJetAdminConcatenada!$B:$B=FH$1), 0)), 1))),  0.5, 0))</f>
        <v>0</v>
      </c>
      <c r="FI89" s="47">
        <f t="array" ref="FI89">IF(AND(ISNUMBER(MATCH(FI$2, AsistenciaJetAdminConcatenada!$A:$A, 0)), ISNUMBER(MATCH(FI$1, AsistenciaJetAdminConcatenada!$B:$B, 0)), ISNUMBER(SEARCH($A89,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ISNUMBER(SEARCH($A89, INDEX(AsistenciaJetAdminConcatenada!$D:$D, MATCH(1, (AsistenciaJetAdminConcatenada!$A:$A=FI$2)*(AsistenciaJetAdminConcatenada!$B:$B=FI$1), 0)), 1))),  0.5, 0))</f>
        <v>0</v>
      </c>
      <c r="FJ89" s="47">
        <f t="array" ref="FJ89">IF(AND(ISNUMBER(MATCH(FJ$2, AsistenciaJetAdminConcatenada!$A:$A, 0)), ISNUMBER(MATCH(FJ$1, AsistenciaJetAdminConcatenada!$B:$B, 0)), ISNUMBER(SEARCH($A89,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ISNUMBER(SEARCH($A89, INDEX(AsistenciaJetAdminConcatenada!$D:$D, MATCH(1, (AsistenciaJetAdminConcatenada!$A:$A=FJ$2)*(AsistenciaJetAdminConcatenada!$B:$B=FJ$1), 0)), 1))),  0.5, 0))</f>
        <v>0</v>
      </c>
      <c r="FK89" s="47">
        <f t="array" ref="FK89">IF(AND(ISNUMBER(MATCH(FK$2, AsistenciaJetAdminConcatenada!$A:$A, 0)), ISNUMBER(MATCH(FK$1, AsistenciaJetAdminConcatenada!$B:$B, 0)), ISNUMBER(SEARCH($A89,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ISNUMBER(SEARCH($A89, INDEX(AsistenciaJetAdminConcatenada!$D:$D, MATCH(1, (AsistenciaJetAdminConcatenada!$A:$A=FK$2)*(AsistenciaJetAdminConcatenada!$B:$B=FK$1), 0)), 1))),  0.5, 0))</f>
        <v>0</v>
      </c>
      <c r="FL89" s="47">
        <f t="array" ref="FL89">IF(AND(ISNUMBER(MATCH(FL$2, AsistenciaJetAdminConcatenada!$A:$A, 0)), ISNUMBER(MATCH(FL$1, AsistenciaJetAdminConcatenada!$B:$B, 0)), ISNUMBER(SEARCH($A89,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ISNUMBER(SEARCH($A89, INDEX(AsistenciaJetAdminConcatenada!$D:$D, MATCH(1, (AsistenciaJetAdminConcatenada!$A:$A=FL$2)*(AsistenciaJetAdminConcatenada!$B:$B=FL$1), 0)), 1))),  0.5, 0))</f>
        <v>0</v>
      </c>
      <c r="FM89" s="47">
        <f t="array" ref="FM89">IF(AND(ISNUMBER(MATCH(FM$2, AsistenciaJetAdminConcatenada!$A:$A, 0)), ISNUMBER(MATCH(FM$1, AsistenciaJetAdminConcatenada!$B:$B, 0)), ISNUMBER(SEARCH($A89,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ISNUMBER(SEARCH($A89, INDEX(AsistenciaJetAdminConcatenada!$D:$D, MATCH(1, (AsistenciaJetAdminConcatenada!$A:$A=FM$2)*(AsistenciaJetAdminConcatenada!$B:$B=FM$1), 0)), 1))),  0.5, 0))</f>
        <v>0</v>
      </c>
      <c r="FN89" s="47">
        <f t="array" ref="FN89">IF(AND(ISNUMBER(MATCH(FN$2, AsistenciaJetAdminConcatenada!$A:$A, 0)), ISNUMBER(MATCH(FN$1, AsistenciaJetAdminConcatenada!$B:$B, 0)), ISNUMBER(SEARCH($A89,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ISNUMBER(SEARCH($A89, INDEX(AsistenciaJetAdminConcatenada!$D:$D, MATCH(1, (AsistenciaJetAdminConcatenada!$A:$A=FN$2)*(AsistenciaJetAdminConcatenada!$B:$B=FN$1), 0)), 1))),  0.5, 0))</f>
        <v>0</v>
      </c>
      <c r="FO89" s="47">
        <f t="array" ref="FO89">IF(AND(ISNUMBER(MATCH(FO$2, AsistenciaJetAdminConcatenada!$A:$A, 0)), ISNUMBER(MATCH(FO$1, AsistenciaJetAdminConcatenada!$B:$B, 0)), ISNUMBER(SEARCH($A89,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ISNUMBER(SEARCH($A89, INDEX(AsistenciaJetAdminConcatenada!$D:$D, MATCH(1, (AsistenciaJetAdminConcatenada!$A:$A=FO$2)*(AsistenciaJetAdminConcatenada!$B:$B=FO$1), 0)), 1))),  0.5, 0))</f>
        <v>0</v>
      </c>
      <c r="FP89" s="47">
        <f t="array" ref="FP89">IF(AND(ISNUMBER(MATCH(FP$2, AsistenciaJetAdminConcatenada!$A:$A, 0)), ISNUMBER(MATCH(FP$1, AsistenciaJetAdminConcatenada!$B:$B, 0)), ISNUMBER(SEARCH($A89,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ISNUMBER(SEARCH($A89, INDEX(AsistenciaJetAdminConcatenada!$D:$D, MATCH(1, (AsistenciaJetAdminConcatenada!$A:$A=FP$2)*(AsistenciaJetAdminConcatenada!$B:$B=FP$1), 0)), 1))),  0.5, 0))</f>
        <v>0</v>
      </c>
      <c r="FQ89" s="47">
        <f t="array" ref="FQ89">IF(AND(ISNUMBER(MATCH(FQ$2, AsistenciaJetAdminConcatenada!$A:$A, 0)), ISNUMBER(MATCH(FQ$1, AsistenciaJetAdminConcatenada!$B:$B, 0)), ISNUMBER(SEARCH($A89,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ISNUMBER(SEARCH($A89, INDEX(AsistenciaJetAdminConcatenada!$D:$D, MATCH(1, (AsistenciaJetAdminConcatenada!$A:$A=FQ$2)*(AsistenciaJetAdminConcatenada!$B:$B=FQ$1), 0)), 1))),  0.5, 0))</f>
        <v>0</v>
      </c>
      <c r="FR89" s="47">
        <f t="array" ref="FR89">IF(AND(ISNUMBER(MATCH(FR$2, AsistenciaJetAdminConcatenada!$A:$A, 0)), ISNUMBER(MATCH(FR$1, AsistenciaJetAdminConcatenada!$B:$B, 0)), ISNUMBER(SEARCH($A89,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ISNUMBER(SEARCH($A89, INDEX(AsistenciaJetAdminConcatenada!$D:$D, MATCH(1, (AsistenciaJetAdminConcatenada!$A:$A=FR$2)*(AsistenciaJetAdminConcatenada!$B:$B=FR$1), 0)), 1))),  0.5, 0))</f>
        <v>0</v>
      </c>
      <c r="FS89" s="47">
        <f t="array" ref="FS89">IF(AND(ISNUMBER(MATCH(FS$2, AsistenciaJetAdminConcatenada!$A:$A, 0)), ISNUMBER(MATCH(FS$1, AsistenciaJetAdminConcatenada!$B:$B, 0)), ISNUMBER(SEARCH($A89,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ISNUMBER(SEARCH($A89, INDEX(AsistenciaJetAdminConcatenada!$D:$D, MATCH(1, (AsistenciaJetAdminConcatenada!$A:$A=FS$2)*(AsistenciaJetAdminConcatenada!$B:$B=FS$1), 0)), 1))),  0.5, 0))</f>
        <v>0</v>
      </c>
      <c r="FT89" s="47">
        <f t="array" ref="FT89">IF(AND(ISNUMBER(MATCH(FT$2, AsistenciaJetAdminConcatenada!$A:$A, 0)), ISNUMBER(MATCH(FT$1, AsistenciaJetAdminConcatenada!$B:$B, 0)), ISNUMBER(SEARCH($A89,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ISNUMBER(SEARCH($A89, INDEX(AsistenciaJetAdminConcatenada!$D:$D, MATCH(1, (AsistenciaJetAdminConcatenada!$A:$A=FT$2)*(AsistenciaJetAdminConcatenada!$B:$B=FT$1), 0)), 1))),  0.5, 0))</f>
        <v>0</v>
      </c>
      <c r="FU89" s="47">
        <f t="array" ref="FU89">IF(AND(ISNUMBER(MATCH(FU$2, AsistenciaJetAdminConcatenada!$A:$A, 0)), ISNUMBER(MATCH(FU$1, AsistenciaJetAdminConcatenada!$B:$B, 0)), ISNUMBER(SEARCH($A89,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ISNUMBER(SEARCH($A89, INDEX(AsistenciaJetAdminConcatenada!$D:$D, MATCH(1, (AsistenciaJetAdminConcatenada!$A:$A=FU$2)*(AsistenciaJetAdminConcatenada!$B:$B=FU$1), 0)), 1))),  0.5, 0))</f>
        <v>0</v>
      </c>
      <c r="FV89" s="47">
        <f t="array" ref="FV89">IF(AND(ISNUMBER(MATCH(FV$2, AsistenciaJetAdminConcatenada!$A:$A, 0)), ISNUMBER(MATCH(FV$1, AsistenciaJetAdminConcatenada!$B:$B, 0)), ISNUMBER(SEARCH($A89,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ISNUMBER(SEARCH($A89, INDEX(AsistenciaJetAdminConcatenada!$D:$D, MATCH(1, (AsistenciaJetAdminConcatenada!$A:$A=FV$2)*(AsistenciaJetAdminConcatenada!$B:$B=FV$1), 0)), 1))),  0.5, 0))</f>
        <v>0</v>
      </c>
      <c r="FW89" s="47">
        <f t="array" ref="FW89">IF(AND(ISNUMBER(MATCH(FW$2, AsistenciaJetAdminConcatenada!$A:$A, 0)), ISNUMBER(MATCH(FW$1, AsistenciaJetAdminConcatenada!$B:$B, 0)), ISNUMBER(SEARCH($A89,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ISNUMBER(SEARCH($A89, INDEX(AsistenciaJetAdminConcatenada!$D:$D, MATCH(1, (AsistenciaJetAdminConcatenada!$A:$A=FW$2)*(AsistenciaJetAdminConcatenada!$B:$B=FW$1), 0)), 1))),  0.5, 0))</f>
        <v>0</v>
      </c>
      <c r="FX89" s="47">
        <f t="array" ref="FX89">IF(AND(ISNUMBER(MATCH(FX$2, AsistenciaJetAdminConcatenada!$A:$A, 0)), ISNUMBER(MATCH(FX$1, AsistenciaJetAdminConcatenada!$B:$B, 0)), ISNUMBER(SEARCH($A89,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ISNUMBER(SEARCH($A89, INDEX(AsistenciaJetAdminConcatenada!$D:$D, MATCH(1, (AsistenciaJetAdminConcatenada!$A:$A=FX$2)*(AsistenciaJetAdminConcatenada!$B:$B=FX$1), 0)), 1))),  0.5, 0))</f>
        <v>0</v>
      </c>
      <c r="FY89" s="47">
        <f t="array" ref="FY89">IF(AND(ISNUMBER(MATCH(FY$2, AsistenciaJetAdminConcatenada!$A:$A, 0)), ISNUMBER(MATCH(FY$1, AsistenciaJetAdminConcatenada!$B:$B, 0)), ISNUMBER(SEARCH($A89,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ISNUMBER(SEARCH($A89, INDEX(AsistenciaJetAdminConcatenada!$D:$D, MATCH(1, (AsistenciaJetAdminConcatenada!$A:$A=FY$2)*(AsistenciaJetAdminConcatenada!$B:$B=FY$1), 0)), 1))),  0.5, 0))</f>
        <v>0</v>
      </c>
      <c r="FZ89" s="47">
        <f t="array" ref="FZ89">IF(AND(ISNUMBER(MATCH(FZ$2, AsistenciaJetAdminConcatenada!$A:$A, 0)), ISNUMBER(MATCH(FZ$1, AsistenciaJetAdminConcatenada!$B:$B, 0)), ISNUMBER(SEARCH($A89,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ISNUMBER(SEARCH($A89, INDEX(AsistenciaJetAdminConcatenada!$D:$D, MATCH(1, (AsistenciaJetAdminConcatenada!$A:$A=FZ$2)*(AsistenciaJetAdminConcatenada!$B:$B=FZ$1), 0)), 1))),  0.5, 0))</f>
        <v>0</v>
      </c>
      <c r="GA89" s="47">
        <f t="array" ref="GA89">IF(AND(ISNUMBER(MATCH(GA$2, AsistenciaJetAdminConcatenada!$A:$A, 0)), ISNUMBER(MATCH(GA$1, AsistenciaJetAdminConcatenada!$B:$B, 0)), ISNUMBER(SEARCH($A89,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ISNUMBER(SEARCH($A89, INDEX(AsistenciaJetAdminConcatenada!$D:$D, MATCH(1, (AsistenciaJetAdminConcatenada!$A:$A=GA$2)*(AsistenciaJetAdminConcatenada!$B:$B=GA$1), 0)), 1))),  0.5, 0))</f>
        <v>0</v>
      </c>
      <c r="GB89" s="47">
        <f t="array" ref="GB89">IF(AND(ISNUMBER(MATCH(GB$2, AsistenciaJetAdminConcatenada!$A:$A, 0)), ISNUMBER(MATCH(GB$1, AsistenciaJetAdminConcatenada!$B:$B, 0)), ISNUMBER(SEARCH($A89,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ISNUMBER(SEARCH($A89, INDEX(AsistenciaJetAdminConcatenada!$D:$D, MATCH(1, (AsistenciaJetAdminConcatenada!$A:$A=GB$2)*(AsistenciaJetAdminConcatenada!$B:$B=GB$1), 0)), 1))),  0.5, 0))</f>
        <v>0</v>
      </c>
      <c r="GC89" s="47">
        <f t="array" ref="GC89">IF(AND(ISNUMBER(MATCH(GC$2, AsistenciaJetAdminConcatenada!$A:$A, 0)), ISNUMBER(MATCH(GC$1, AsistenciaJetAdminConcatenada!$B:$B, 0)), ISNUMBER(SEARCH($A89,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ISNUMBER(SEARCH($A89, INDEX(AsistenciaJetAdminConcatenada!$D:$D, MATCH(1, (AsistenciaJetAdminConcatenada!$A:$A=GC$2)*(AsistenciaJetAdminConcatenada!$B:$B=GC$1), 0)), 1))),  0.5, 0))</f>
        <v>0</v>
      </c>
      <c r="GD89" s="47">
        <f t="array" ref="GD89">IF(AND(ISNUMBER(MATCH(GD$2, AsistenciaJetAdminConcatenada!$A:$A, 0)), ISNUMBER(MATCH(GD$1, AsistenciaJetAdminConcatenada!$B:$B, 0)), ISNUMBER(SEARCH($A89,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ISNUMBER(SEARCH($A89, INDEX(AsistenciaJetAdminConcatenada!$D:$D, MATCH(1, (AsistenciaJetAdminConcatenada!$A:$A=GD$2)*(AsistenciaJetAdminConcatenada!$B:$B=GD$1), 0)), 1))),  0.5, 0))</f>
        <v>0</v>
      </c>
      <c r="GE89" s="47">
        <f t="array" ref="GE89">IF(AND(ISNUMBER(MATCH(GE$2, AsistenciaJetAdminConcatenada!$A:$A, 0)), ISNUMBER(MATCH(GE$1, AsistenciaJetAdminConcatenada!$B:$B, 0)), ISNUMBER(SEARCH($A89,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ISNUMBER(SEARCH($A89, INDEX(AsistenciaJetAdminConcatenada!$D:$D, MATCH(1, (AsistenciaJetAdminConcatenada!$A:$A=GE$2)*(AsistenciaJetAdminConcatenada!$B:$B=GE$1), 0)), 1))),  0.5, 0))</f>
        <v>0</v>
      </c>
      <c r="GF89" s="47">
        <f t="array" ref="GF89">IF(AND(ISNUMBER(MATCH(GF$2, AsistenciaJetAdminConcatenada!$A:$A, 0)), ISNUMBER(MATCH(GF$1, AsistenciaJetAdminConcatenada!$B:$B, 0)), ISNUMBER(SEARCH($A89,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ISNUMBER(SEARCH($A89, INDEX(AsistenciaJetAdminConcatenada!$D:$D, MATCH(1, (AsistenciaJetAdminConcatenada!$A:$A=GF$2)*(AsistenciaJetAdminConcatenada!$B:$B=GF$1), 0)), 1))),  0.5, 0))</f>
        <v>0</v>
      </c>
      <c r="GG89" s="47">
        <f t="array" ref="GG89">IF(AND(ISNUMBER(MATCH(GG$2, AsistenciaJetAdminConcatenada!$A:$A, 0)), ISNUMBER(MATCH(GG$1, AsistenciaJetAdminConcatenada!$B:$B, 0)), ISNUMBER(SEARCH($A89,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ISNUMBER(SEARCH($A89, INDEX(AsistenciaJetAdminConcatenada!$D:$D, MATCH(1, (AsistenciaJetAdminConcatenada!$A:$A=GG$2)*(AsistenciaJetAdminConcatenada!$B:$B=GG$1), 0)), 1))),  0.5, 0))</f>
        <v>0</v>
      </c>
      <c r="GH89" s="47">
        <f t="array" ref="GH89">IF(AND(ISNUMBER(MATCH(GH$2, AsistenciaJetAdminConcatenada!$A:$A, 0)), ISNUMBER(MATCH(GH$1, AsistenciaJetAdminConcatenada!$B:$B, 0)), ISNUMBER(SEARCH($A89,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ISNUMBER(SEARCH($A89, INDEX(AsistenciaJetAdminConcatenada!$D:$D, MATCH(1, (AsistenciaJetAdminConcatenada!$A:$A=GH$2)*(AsistenciaJetAdminConcatenada!$B:$B=GH$1), 0)), 1))),  0.5, 0))</f>
        <v>0</v>
      </c>
      <c r="GI89" s="47">
        <f t="array" ref="GI89">IF(AND(ISNUMBER(MATCH(GI$2, AsistenciaJetAdminConcatenada!$A:$A, 0)), ISNUMBER(MATCH(GI$1, AsistenciaJetAdminConcatenada!$B:$B, 0)), ISNUMBER(SEARCH($A89,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ISNUMBER(SEARCH($A89, INDEX(AsistenciaJetAdminConcatenada!$D:$D, MATCH(1, (AsistenciaJetAdminConcatenada!$A:$A=GI$2)*(AsistenciaJetAdminConcatenada!$B:$B=GI$1), 0)), 1))),  0.5, 0))</f>
        <v>0</v>
      </c>
      <c r="GJ89" s="47">
        <f t="array" ref="GJ89">IF(AND(ISNUMBER(MATCH(GJ$2, AsistenciaJetAdminConcatenada!$A:$A, 0)), ISNUMBER(MATCH(GJ$1, AsistenciaJetAdminConcatenada!$B:$B, 0)), ISNUMBER(SEARCH($A89,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ISNUMBER(SEARCH($A89, INDEX(AsistenciaJetAdminConcatenada!$D:$D, MATCH(1, (AsistenciaJetAdminConcatenada!$A:$A=GJ$2)*(AsistenciaJetAdminConcatenada!$B:$B=GJ$1), 0)), 1))),  0.5, 0))</f>
        <v>0</v>
      </c>
      <c r="GK89" s="47">
        <f t="array" ref="GK89">IF(AND(ISNUMBER(MATCH(GK$2, AsistenciaJetAdminConcatenada!$A:$A, 0)), ISNUMBER(MATCH(GK$1, AsistenciaJetAdminConcatenada!$B:$B, 0)), ISNUMBER(SEARCH($A89,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ISNUMBER(SEARCH($A89, INDEX(AsistenciaJetAdminConcatenada!$D:$D, MATCH(1, (AsistenciaJetAdminConcatenada!$A:$A=GK$2)*(AsistenciaJetAdminConcatenada!$B:$B=GK$1), 0)), 1))),  0.5, 0))</f>
        <v>0</v>
      </c>
      <c r="GL89" s="47">
        <f t="array" ref="GL89">IF(AND(ISNUMBER(MATCH(GL$2, AsistenciaJetAdminConcatenada!$A:$A, 0)), ISNUMBER(MATCH(GL$1, AsistenciaJetAdminConcatenada!$B:$B, 0)), ISNUMBER(SEARCH($A89,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ISNUMBER(SEARCH($A89, INDEX(AsistenciaJetAdminConcatenada!$D:$D, MATCH(1, (AsistenciaJetAdminConcatenada!$A:$A=GL$2)*(AsistenciaJetAdminConcatenada!$B:$B=GL$1), 0)), 1))),  0.5, 0))</f>
        <v>0</v>
      </c>
      <c r="GM89" s="47">
        <f t="array" ref="GM89">IF(AND(ISNUMBER(MATCH(GM$2, AsistenciaJetAdminConcatenada!$A:$A, 0)), ISNUMBER(MATCH(GM$1, AsistenciaJetAdminConcatenada!$B:$B, 0)), ISNUMBER(SEARCH($A89,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ISNUMBER(SEARCH($A89, INDEX(AsistenciaJetAdminConcatenada!$D:$D, MATCH(1, (AsistenciaJetAdminConcatenada!$A:$A=GM$2)*(AsistenciaJetAdminConcatenada!$B:$B=GM$1), 0)), 1))),  0.5, 0))</f>
        <v>0</v>
      </c>
      <c r="GN89" s="47">
        <f t="array" ref="GN89">IF(AND(ISNUMBER(MATCH(GN$2, AsistenciaJetAdminConcatenada!$A:$A, 0)), ISNUMBER(MATCH(GN$1, AsistenciaJetAdminConcatenada!$B:$B, 0)), ISNUMBER(SEARCH($A89,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ISNUMBER(SEARCH($A89, INDEX(AsistenciaJetAdminConcatenada!$D:$D, MATCH(1, (AsistenciaJetAdminConcatenada!$A:$A=GN$2)*(AsistenciaJetAdminConcatenada!$B:$B=GN$1), 0)), 1))),  0.5, 0))</f>
        <v>0</v>
      </c>
      <c r="GO89" s="47">
        <f t="array" ref="GO89">IF(AND(ISNUMBER(MATCH(GO$2, AsistenciaJetAdminConcatenada!$A:$A, 0)), ISNUMBER(MATCH(GO$1, AsistenciaJetAdminConcatenada!$B:$B, 0)), ISNUMBER(SEARCH($A89,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ISNUMBER(SEARCH($A89, INDEX(AsistenciaJetAdminConcatenada!$D:$D, MATCH(1, (AsistenciaJetAdminConcatenada!$A:$A=GO$2)*(AsistenciaJetAdminConcatenada!$B:$B=GO$1), 0)), 1))),  0.5, 0))</f>
        <v>0</v>
      </c>
      <c r="GP89" s="47">
        <f t="array" ref="GP89">IF(AND(ISNUMBER(MATCH(GP$2, AsistenciaJetAdminConcatenada!$A:$A, 0)), ISNUMBER(MATCH(GP$1, AsistenciaJetAdminConcatenada!$B:$B, 0)), ISNUMBER(SEARCH($A89,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ISNUMBER(SEARCH($A89, INDEX(AsistenciaJetAdminConcatenada!$D:$D, MATCH(1, (AsistenciaJetAdminConcatenada!$A:$A=GP$2)*(AsistenciaJetAdminConcatenada!$B:$B=GP$1), 0)), 1))),  0.5, 0))</f>
        <v>0</v>
      </c>
      <c r="GQ89" s="47">
        <f t="array" ref="GQ89">IF(AND(ISNUMBER(MATCH(GQ$2, AsistenciaJetAdminConcatenada!$A:$A, 0)), ISNUMBER(MATCH(GQ$1, AsistenciaJetAdminConcatenada!$B:$B, 0)), ISNUMBER(SEARCH($A89,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ISNUMBER(SEARCH($A89, INDEX(AsistenciaJetAdminConcatenada!$D:$D, MATCH(1, (AsistenciaJetAdminConcatenada!$A:$A=GQ$2)*(AsistenciaJetAdminConcatenada!$B:$B=GQ$1), 0)), 1))),  0.5, 0))</f>
        <v>0</v>
      </c>
      <c r="GR89" s="47">
        <f t="array" ref="GR89">IF(AND(ISNUMBER(MATCH(GR$2, AsistenciaJetAdminConcatenada!$A:$A, 0)), ISNUMBER(MATCH(GR$1, AsistenciaJetAdminConcatenada!$B:$B, 0)), ISNUMBER(SEARCH($A89,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ISNUMBER(SEARCH($A89, INDEX(AsistenciaJetAdminConcatenada!$D:$D, MATCH(1, (AsistenciaJetAdminConcatenada!$A:$A=GR$2)*(AsistenciaJetAdminConcatenada!$B:$B=GR$1), 0)), 1))),  0.5, 0))</f>
        <v>0</v>
      </c>
      <c r="GS89" s="47">
        <f t="array" ref="GS89">IF(AND(ISNUMBER(MATCH(GS$2, AsistenciaJetAdminConcatenada!$A:$A, 0)), ISNUMBER(MATCH(GS$1, AsistenciaJetAdminConcatenada!$B:$B, 0)), ISNUMBER(SEARCH($A89,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ISNUMBER(SEARCH($A89, INDEX(AsistenciaJetAdminConcatenada!$D:$D, MATCH(1, (AsistenciaJetAdminConcatenada!$A:$A=GS$2)*(AsistenciaJetAdminConcatenada!$B:$B=GS$1), 0)), 1))),  0.5, 0))</f>
        <v>0</v>
      </c>
      <c r="GT89" s="47">
        <f t="array" ref="GT89">IF(AND(ISNUMBER(MATCH(GT$2, AsistenciaJetAdminConcatenada!$A:$A, 0)), ISNUMBER(MATCH(GT$1, AsistenciaJetAdminConcatenada!$B:$B, 0)), ISNUMBER(SEARCH($A89,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ISNUMBER(SEARCH($A89, INDEX(AsistenciaJetAdminConcatenada!$D:$D, MATCH(1, (AsistenciaJetAdminConcatenada!$A:$A=GT$2)*(AsistenciaJetAdminConcatenada!$B:$B=GT$1), 0)), 1))),  0.5, 0))</f>
        <v>0</v>
      </c>
      <c r="GU89" s="47">
        <f t="array" ref="GU89">IF(AND(ISNUMBER(MATCH(GU$2, AsistenciaJetAdminConcatenada!$A:$A, 0)), ISNUMBER(MATCH(GU$1, AsistenciaJetAdminConcatenada!$B:$B, 0)), ISNUMBER(SEARCH($A89,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ISNUMBER(SEARCH($A89, INDEX(AsistenciaJetAdminConcatenada!$D:$D, MATCH(1, (AsistenciaJetAdminConcatenada!$A:$A=GU$2)*(AsistenciaJetAdminConcatenada!$B:$B=GU$1), 0)), 1))),  0.5, 0))</f>
        <v>0</v>
      </c>
      <c r="GV89" s="47">
        <f t="array" ref="GV89">IF(AND(ISNUMBER(MATCH(GV$2, AsistenciaJetAdminConcatenada!$A:$A, 0)), ISNUMBER(MATCH(GV$1, AsistenciaJetAdminConcatenada!$B:$B, 0)), ISNUMBER(SEARCH($A89,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ISNUMBER(SEARCH($A89, INDEX(AsistenciaJetAdminConcatenada!$D:$D, MATCH(1, (AsistenciaJetAdminConcatenada!$A:$A=GV$2)*(AsistenciaJetAdminConcatenada!$B:$B=GV$1), 0)), 1))),  0.5, 0))</f>
        <v>0</v>
      </c>
      <c r="GW89" s="47">
        <f t="array" ref="GW89">IF(AND(ISNUMBER(MATCH(GW$2, AsistenciaJetAdminConcatenada!$A:$A, 0)), ISNUMBER(MATCH(GW$1, AsistenciaJetAdminConcatenada!$B:$B, 0)), ISNUMBER(SEARCH($A89,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ISNUMBER(SEARCH($A89, INDEX(AsistenciaJetAdminConcatenada!$D:$D, MATCH(1, (AsistenciaJetAdminConcatenada!$A:$A=GW$2)*(AsistenciaJetAdminConcatenada!$B:$B=GW$1), 0)), 1))),  0.5, 0))</f>
        <v>0</v>
      </c>
      <c r="GX89" s="47">
        <f t="array" ref="GX89">IF(AND(ISNUMBER(MATCH(GX$2, AsistenciaJetAdminConcatenada!$A:$A, 0)), ISNUMBER(MATCH(GX$1, AsistenciaJetAdminConcatenada!$B:$B, 0)), ISNUMBER(SEARCH($A89,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ISNUMBER(SEARCH($A89, INDEX(AsistenciaJetAdminConcatenada!$D:$D, MATCH(1, (AsistenciaJetAdminConcatenada!$A:$A=GX$2)*(AsistenciaJetAdminConcatenada!$B:$B=GX$1), 0)), 1))),  0.5, 0))</f>
        <v>0</v>
      </c>
      <c r="GY89" s="47">
        <f t="array" ref="GY89">IF(AND(ISNUMBER(MATCH(GY$2, AsistenciaJetAdminConcatenada!$A:$A, 0)), ISNUMBER(MATCH(GY$1, AsistenciaJetAdminConcatenada!$B:$B, 0)), ISNUMBER(SEARCH($A89,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ISNUMBER(SEARCH($A89, INDEX(AsistenciaJetAdminConcatenada!$D:$D, MATCH(1, (AsistenciaJetAdminConcatenada!$A:$A=GY$2)*(AsistenciaJetAdminConcatenada!$B:$B=GY$1), 0)), 1))),  0.5, 0))</f>
        <v>0</v>
      </c>
      <c r="GZ89" s="47">
        <f t="array" ref="GZ89">IF(AND(ISNUMBER(MATCH(GZ$2, AsistenciaJetAdminConcatenada!$A:$A, 0)), ISNUMBER(MATCH(GZ$1, AsistenciaJetAdminConcatenada!$B:$B, 0)), ISNUMBER(SEARCH($A89,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ISNUMBER(SEARCH($A89, INDEX(AsistenciaJetAdminConcatenada!$D:$D, MATCH(1, (AsistenciaJetAdminConcatenada!$A:$A=GZ$2)*(AsistenciaJetAdminConcatenada!$B:$B=GZ$1), 0)), 1))),  0.5, 0))</f>
        <v>0</v>
      </c>
      <c r="HA89" s="47">
        <f t="array" ref="HA89">IF(AND(ISNUMBER(MATCH(HA$2, AsistenciaJetAdminConcatenada!$A:$A, 0)), ISNUMBER(MATCH(HA$1, AsistenciaJetAdminConcatenada!$B:$B, 0)), ISNUMBER(SEARCH($A89,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ISNUMBER(SEARCH($A89, INDEX(AsistenciaJetAdminConcatenada!$D:$D, MATCH(1, (AsistenciaJetAdminConcatenada!$A:$A=HA$2)*(AsistenciaJetAdminConcatenada!$B:$B=HA$1), 0)), 1))),  0.5, 0))</f>
        <v>0</v>
      </c>
      <c r="HB89" s="47">
        <f t="array" ref="HB89">IF(AND(ISNUMBER(MATCH(HB$2, AsistenciaJetAdminConcatenada!$A:$A, 0)), ISNUMBER(MATCH(HB$1, AsistenciaJetAdminConcatenada!$B:$B, 0)), ISNUMBER(SEARCH($A89,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ISNUMBER(SEARCH($A89, INDEX(AsistenciaJetAdminConcatenada!$D:$D, MATCH(1, (AsistenciaJetAdminConcatenada!$A:$A=HB$2)*(AsistenciaJetAdminConcatenada!$B:$B=HB$1), 0)), 1))),  0.5, 0))</f>
        <v>0</v>
      </c>
      <c r="HC89" s="47">
        <f t="array" ref="HC89">IF(AND(ISNUMBER(MATCH(HC$2, AsistenciaJetAdminConcatenada!$A:$A, 0)), ISNUMBER(MATCH(HC$1, AsistenciaJetAdminConcatenada!$B:$B, 0)), ISNUMBER(SEARCH($A89,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ISNUMBER(SEARCH($A89, INDEX(AsistenciaJetAdminConcatenada!$D:$D, MATCH(1, (AsistenciaJetAdminConcatenada!$A:$A=HC$2)*(AsistenciaJetAdminConcatenada!$B:$B=HC$1), 0)), 1))),  0.5, 0))</f>
        <v>0</v>
      </c>
    </row>
    <row r="90" ht="29.25" customHeight="1">
      <c r="A90" s="3">
        <v>193.0</v>
      </c>
      <c r="B90" s="4" t="s">
        <v>121</v>
      </c>
      <c r="C90" s="47">
        <f>SUM(D90:HC90) + ActividadesEspeciales!C90</f>
        <v>73</v>
      </c>
      <c r="D90" s="47">
        <f t="array" ref="D90">IF(AND(ISNUMBER(MATCH(D$2, AsistenciaJetAdminConcatenada!$A:$A, 0)), ISNUMBER(MATCH(D$1, AsistenciaJetAdminConcatenada!$B:$B, 0)), ISNUMBER(SEARCH($A90,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ISNUMBER(SEARCH($A90, INDEX(AsistenciaJetAdminConcatenada!$D:$D, MATCH(1, (AsistenciaJetAdminConcatenada!$A:$A=D$2)*(AsistenciaJetAdminConcatenada!$B:$B=D$1), 0)), 1))),  0.5, 0))</f>
        <v>1</v>
      </c>
      <c r="E90" s="47">
        <f t="array" ref="E90">IF(AND(ISNUMBER(MATCH(E$2, AsistenciaJetAdminConcatenada!$A:$A, 0)), ISNUMBER(MATCH(E$1, AsistenciaJetAdminConcatenada!$B:$B, 0)), ISNUMBER(SEARCH($A90,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ISNUMBER(SEARCH($A90, INDEX(AsistenciaJetAdminConcatenada!$D:$D, MATCH(1, (AsistenciaJetAdminConcatenada!$A:$A=E$2)*(AsistenciaJetAdminConcatenada!$B:$B=E$1), 0)), 1))),  0.5, 0))</f>
        <v>1</v>
      </c>
      <c r="F90" s="47">
        <f t="array" ref="F90">IF(AND(ISNUMBER(MATCH(F$2, AsistenciaJetAdminConcatenada!$A:$A, 0)), ISNUMBER(MATCH(F$1, AsistenciaJetAdminConcatenada!$B:$B, 0)), ISNUMBER(SEARCH($A90,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ISNUMBER(SEARCH($A90, INDEX(AsistenciaJetAdminConcatenada!$D:$D, MATCH(1, (AsistenciaJetAdminConcatenada!$A:$A=F$2)*(AsistenciaJetAdminConcatenada!$B:$B=F$1), 0)), 1))),  0.5, 0))</f>
        <v>1</v>
      </c>
      <c r="G90" s="47">
        <f t="array" ref="G90">IF(AND(ISNUMBER(MATCH(G$2, AsistenciaJetAdminConcatenada!$A:$A, 0)), ISNUMBER(MATCH(G$1, AsistenciaJetAdminConcatenada!$B:$B, 0)), ISNUMBER(SEARCH($A90,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ISNUMBER(SEARCH($A90, INDEX(AsistenciaJetAdminConcatenada!$D:$D, MATCH(1, (AsistenciaJetAdminConcatenada!$A:$A=G$2)*(AsistenciaJetAdminConcatenada!$B:$B=G$1), 0)), 1))),  0.5, 0))</f>
        <v>1</v>
      </c>
      <c r="H90" s="47">
        <f t="array" ref="H90">IF(AND(ISNUMBER(MATCH(H$2, AsistenciaJetAdminConcatenada!$A:$A, 0)), ISNUMBER(MATCH(H$1, AsistenciaJetAdminConcatenada!$B:$B, 0)), ISNUMBER(SEARCH($A90,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ISNUMBER(SEARCH($A90, INDEX(AsistenciaJetAdminConcatenada!$D:$D, MATCH(1, (AsistenciaJetAdminConcatenada!$A:$A=H$2)*(AsistenciaJetAdminConcatenada!$B:$B=H$1), 0)), 1))),  0.5, 0))</f>
        <v>1</v>
      </c>
      <c r="I90" s="47">
        <f t="array" ref="I90">IF(AND(ISNUMBER(MATCH(I$2, AsistenciaJetAdminConcatenada!$A:$A, 0)), ISNUMBER(MATCH(I$1, AsistenciaJetAdminConcatenada!$B:$B, 0)), ISNUMBER(SEARCH($A90,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ISNUMBER(SEARCH($A90, INDEX(AsistenciaJetAdminConcatenada!$D:$D, MATCH(1, (AsistenciaJetAdminConcatenada!$A:$A=I$2)*(AsistenciaJetAdminConcatenada!$B:$B=I$1), 0)), 1))),  0.5, 0))</f>
        <v>1</v>
      </c>
      <c r="J90" s="8">
        <v>1.0</v>
      </c>
      <c r="K90" s="47">
        <f t="array" ref="K90">IF(AND(ISNUMBER(MATCH(K$2, AsistenciaJetAdminConcatenada!$A:$A, 0)), ISNUMBER(MATCH(K$1, AsistenciaJetAdminConcatenada!$B:$B, 0)), ISNUMBER(SEARCH($A90,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ISNUMBER(SEARCH($A90, INDEX(AsistenciaJetAdminConcatenada!$D:$D, MATCH(1, (AsistenciaJetAdminConcatenada!$A:$A=K$2)*(AsistenciaJetAdminConcatenada!$B:$B=K$1), 0)), 1))),  0.5, 0))</f>
        <v>1</v>
      </c>
      <c r="L90" s="47">
        <f t="array" ref="L90">IF(AND(ISNUMBER(MATCH(L$2, AsistenciaJetAdminConcatenada!$A:$A, 0)), ISNUMBER(MATCH(L$1, AsistenciaJetAdminConcatenada!$B:$B, 0)), ISNUMBER(SEARCH($A90,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ISNUMBER(SEARCH($A90, INDEX(AsistenciaJetAdminConcatenada!$D:$D, MATCH(1, (AsistenciaJetAdminConcatenada!$A:$A=L$2)*(AsistenciaJetAdminConcatenada!$B:$B=L$1), 0)), 1))),  0.5, 0))</f>
        <v>1</v>
      </c>
      <c r="M90" s="47">
        <f t="array" ref="M90">IF(AND(ISNUMBER(MATCH(M$2, AsistenciaJetAdminConcatenada!$A:$A, 0)), ISNUMBER(MATCH(M$1, AsistenciaJetAdminConcatenada!$B:$B, 0)), ISNUMBER(SEARCH($A90,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ISNUMBER(SEARCH($A90, INDEX(AsistenciaJetAdminConcatenada!$D:$D, MATCH(1, (AsistenciaJetAdminConcatenada!$A:$A=M$2)*(AsistenciaJetAdminConcatenada!$B:$B=M$1), 0)), 1))),  0.5, 0))</f>
        <v>1</v>
      </c>
      <c r="N90" s="47">
        <f t="array" ref="N90">IF(AND(ISNUMBER(MATCH(N$2, AsistenciaJetAdminConcatenada!$A:$A, 0)), ISNUMBER(MATCH(N$1, AsistenciaJetAdminConcatenada!$B:$B, 0)), ISNUMBER(SEARCH($A90,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ISNUMBER(SEARCH($A90, INDEX(AsistenciaJetAdminConcatenada!$D:$D, MATCH(1, (AsistenciaJetAdminConcatenada!$A:$A=N$2)*(AsistenciaJetAdminConcatenada!$B:$B=N$1), 0)), 1))),  0.5, 0))</f>
        <v>1</v>
      </c>
      <c r="O90" s="47">
        <f t="array" ref="O90">IF(AND(ISNUMBER(MATCH(O$2, AsistenciaJetAdminConcatenada!$A:$A, 0)), ISNUMBER(MATCH(O$1, AsistenciaJetAdminConcatenada!$B:$B, 0)), ISNUMBER(SEARCH($A90,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ISNUMBER(SEARCH($A90, INDEX(AsistenciaJetAdminConcatenada!$D:$D, MATCH(1, (AsistenciaJetAdminConcatenada!$A:$A=O$2)*(AsistenciaJetAdminConcatenada!$B:$B=O$1), 0)), 1))),  0.5, 0))</f>
        <v>1</v>
      </c>
      <c r="P90" s="47">
        <f t="array" ref="P90">IF(AND(ISNUMBER(MATCH(P$2, AsistenciaJetAdminConcatenada!$A:$A, 0)), ISNUMBER(MATCH(P$1, AsistenciaJetAdminConcatenada!$B:$B, 0)), ISNUMBER(SEARCH($A90, INDEX(AsistenciaJetAdminConcatenada!$C:$C, MATCH(1, (AsistenciaJetAdminConcatenada!$A:$A=P$2)*(AsistenciaJetAdminConcatenada!$B:$B=P$1), 0)), 1))), 1, IF(AND(ISNUMBER(MATCH(P$2, AsistenciaJetAdminConcatenada!$A:$A, 0)), ISNUMBER(MATCH(P$1, AsistenciaJetAdminConcatenada!$B:$B, 0)), ISNUMBER(SEARCH($A90, INDEX(AsistenciaJetAdminConcatenada!$D:$D, MATCH(1, (AsistenciaJetAdminConcatenada!$A:$A=P$2)*(AsistenciaJetAdminConcatenada!$B:$B=P$1), 0)), 1))),  0.5, 0))</f>
        <v>1</v>
      </c>
      <c r="Q90" s="47">
        <f t="array" ref="Q90">IF(AND(ISNUMBER(MATCH(Q$2, AsistenciaJetAdminConcatenada!$A:$A, 0)), ISNUMBER(MATCH(Q$1, AsistenciaJetAdminConcatenada!$B:$B, 0)), ISNUMBER(SEARCH($A90, INDEX(AsistenciaJetAdminConcatenada!$C:$C, MATCH(1, (AsistenciaJetAdminConcatenada!$A:$A=Q$2)*(AsistenciaJetAdminConcatenada!$B:$B=Q$1), 0)), 1))), 1, IF(AND(ISNUMBER(MATCH(Q$2, AsistenciaJetAdminConcatenada!$A:$A, 0)), ISNUMBER(MATCH(Q$1, AsistenciaJetAdminConcatenada!$B:$B, 0)), ISNUMBER(SEARCH($A90, INDEX(AsistenciaJetAdminConcatenada!$D:$D, MATCH(1, (AsistenciaJetAdminConcatenada!$A:$A=Q$2)*(AsistenciaJetAdminConcatenada!$B:$B=Q$1), 0)), 1))),  0.5, 0))</f>
        <v>1</v>
      </c>
      <c r="R90" s="47">
        <f t="array" ref="R90">IF(AND(ISNUMBER(MATCH(R$2, AsistenciaJetAdminConcatenada!$A:$A, 0)), ISNUMBER(MATCH(R$1, AsistenciaJetAdminConcatenada!$B:$B, 0)), ISNUMBER(SEARCH($A90,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ISNUMBER(SEARCH($A90, INDEX(AsistenciaJetAdminConcatenada!$D:$D, MATCH(1, (AsistenciaJetAdminConcatenada!$A:$A=R$2)*(AsistenciaJetAdminConcatenada!$B:$B=R$1), 0)), 1))),  0.5, 0))</f>
        <v>1</v>
      </c>
      <c r="S90" s="47">
        <f t="array" ref="S90">IF(AND(ISNUMBER(MATCH(S$2, AsistenciaJetAdminConcatenada!$A:$A, 0)), ISNUMBER(MATCH(S$1, AsistenciaJetAdminConcatenada!$B:$B, 0)), ISNUMBER(SEARCH($A90,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ISNUMBER(SEARCH($A90, INDEX(AsistenciaJetAdminConcatenada!$D:$D, MATCH(1, (AsistenciaJetAdminConcatenada!$A:$A=S$2)*(AsistenciaJetAdminConcatenada!$B:$B=S$1), 0)), 1))),  0.5, 0))</f>
        <v>1</v>
      </c>
      <c r="T90" s="47">
        <f t="array" ref="T90">IF(AND(ISNUMBER(MATCH(T$2, AsistenciaJetAdminConcatenada!$A:$A, 0)), ISNUMBER(MATCH(T$1, AsistenciaJetAdminConcatenada!$B:$B, 0)), ISNUMBER(SEARCH($A90,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ISNUMBER(SEARCH($A90, INDEX(AsistenciaJetAdminConcatenada!$D:$D, MATCH(1, (AsistenciaJetAdminConcatenada!$A:$A=T$2)*(AsistenciaJetAdminConcatenada!$B:$B=T$1), 0)), 1))),  0.5, 0))</f>
        <v>1</v>
      </c>
      <c r="U90" s="47">
        <f t="array" ref="U90">IF(AND(ISNUMBER(MATCH(U$2, AsistenciaJetAdminConcatenada!$A:$A, 0)), ISNUMBER(MATCH(U$1, AsistenciaJetAdminConcatenada!$B:$B, 0)), ISNUMBER(SEARCH($A90,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ISNUMBER(SEARCH($A90, INDEX(AsistenciaJetAdminConcatenada!$D:$D, MATCH(1, (AsistenciaJetAdminConcatenada!$A:$A=U$2)*(AsistenciaJetAdminConcatenada!$B:$B=U$1), 0)), 1))),  0.5, 0))</f>
        <v>1</v>
      </c>
      <c r="V90" s="47">
        <f t="array" ref="V90">IF(AND(ISNUMBER(MATCH(V$2, AsistenciaJetAdminConcatenada!$A:$A, 0)), ISNUMBER(MATCH(V$1, AsistenciaJetAdminConcatenada!$B:$B, 0)), ISNUMBER(SEARCH($A90,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ISNUMBER(SEARCH($A90, INDEX(AsistenciaJetAdminConcatenada!$D:$D, MATCH(1, (AsistenciaJetAdminConcatenada!$A:$A=V$2)*(AsistenciaJetAdminConcatenada!$B:$B=V$1), 0)), 1))),  0.5, 0))</f>
        <v>1</v>
      </c>
      <c r="W90" s="47">
        <f t="array" ref="W90">IF(AND(ISNUMBER(MATCH(W$2, AsistenciaJetAdminConcatenada!$A:$A, 0)), ISNUMBER(MATCH(W$1, AsistenciaJetAdminConcatenada!$B:$B, 0)), ISNUMBER(SEARCH($A90,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ISNUMBER(SEARCH($A90, INDEX(AsistenciaJetAdminConcatenada!$D:$D, MATCH(1, (AsistenciaJetAdminConcatenada!$A:$A=W$2)*(AsistenciaJetAdminConcatenada!$B:$B=W$1), 0)), 1))),  0.5, 0))</f>
        <v>1</v>
      </c>
      <c r="X90" s="47">
        <f t="array" ref="X90">IF(AND(ISNUMBER(MATCH(X$2, AsistenciaJetAdminConcatenada!$A:$A, 0)), ISNUMBER(MATCH(X$1, AsistenciaJetAdminConcatenada!$B:$B, 0)), ISNUMBER(SEARCH($A90,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ISNUMBER(SEARCH($A90, INDEX(AsistenciaJetAdminConcatenada!$D:$D, MATCH(1, (AsistenciaJetAdminConcatenada!$A:$A=X$2)*(AsistenciaJetAdminConcatenada!$B:$B=X$1), 0)), 1))),  0.5, 0))</f>
        <v>1</v>
      </c>
      <c r="Y90" s="47">
        <f t="array" ref="Y90">IF(AND(ISNUMBER(MATCH(Y$2, AsistenciaJetAdminConcatenada!$A:$A, 0)), ISNUMBER(MATCH(Y$1, AsistenciaJetAdminConcatenada!$B:$B, 0)), ISNUMBER(SEARCH($A90,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ISNUMBER(SEARCH($A90, INDEX(AsistenciaJetAdminConcatenada!$D:$D, MATCH(1, (AsistenciaJetAdminConcatenada!$A:$A=Y$2)*(AsistenciaJetAdminConcatenada!$B:$B=Y$1), 0)), 1))),  0.5, 0))</f>
        <v>1</v>
      </c>
      <c r="Z90" s="47">
        <f t="array" ref="Z90">IF(AND(ISNUMBER(MATCH(Z$2, AsistenciaJetAdminConcatenada!$A:$A, 0)), ISNUMBER(MATCH(Z$1, AsistenciaJetAdminConcatenada!$B:$B, 0)), ISNUMBER(SEARCH($A90,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ISNUMBER(SEARCH($A90, INDEX(AsistenciaJetAdminConcatenada!$D:$D, MATCH(1, (AsistenciaJetAdminConcatenada!$A:$A=Z$2)*(AsistenciaJetAdminConcatenada!$B:$B=Z$1), 0)), 1))),  0.5, 0))</f>
        <v>1</v>
      </c>
      <c r="AA90" s="47">
        <f t="array" ref="AA90">IF(AND(ISNUMBER(MATCH(AA$2, AsistenciaJetAdminConcatenada!$A:$A, 0)), ISNUMBER(MATCH(AA$1, AsistenciaJetAdminConcatenada!$B:$B, 0)), ISNUMBER(SEARCH($A90,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ISNUMBER(SEARCH($A90, INDEX(AsistenciaJetAdminConcatenada!$D:$D, MATCH(1, (AsistenciaJetAdminConcatenada!$A:$A=AA$2)*(AsistenciaJetAdminConcatenada!$B:$B=AA$1), 0)), 1))),  0.5, 0))</f>
        <v>1</v>
      </c>
      <c r="AB90" s="47">
        <f t="array" ref="AB90">IF(AND(ISNUMBER(MATCH(AB$2, AsistenciaJetAdminConcatenada!$A:$A, 0)), ISNUMBER(MATCH(AB$1, AsistenciaJetAdminConcatenada!$B:$B, 0)), ISNUMBER(SEARCH($A90,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ISNUMBER(SEARCH($A90, INDEX(AsistenciaJetAdminConcatenada!$D:$D, MATCH(1, (AsistenciaJetAdminConcatenada!$A:$A=AB$2)*(AsistenciaJetAdminConcatenada!$B:$B=AB$1), 0)), 1))),  0.5, 0))</f>
        <v>1</v>
      </c>
      <c r="AC90" s="47">
        <f t="array" ref="AC90">IF(AND(ISNUMBER(MATCH(AC$2, AsistenciaJetAdminConcatenada!$A:$A, 0)), ISNUMBER(MATCH(AC$1, AsistenciaJetAdminConcatenada!$B:$B, 0)), ISNUMBER(SEARCH($A90,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ISNUMBER(SEARCH($A90, INDEX(AsistenciaJetAdminConcatenada!$D:$D, MATCH(1, (AsistenciaJetAdminConcatenada!$A:$A=AC$2)*(AsistenciaJetAdminConcatenada!$B:$B=AC$1), 0)), 1))),  0.5, 0))</f>
        <v>1</v>
      </c>
      <c r="AD90" s="47">
        <f t="array" ref="AD90">IF(AND(ISNUMBER(MATCH(AD$2, AsistenciaJetAdminConcatenada!$A:$A, 0)), ISNUMBER(MATCH(AD$1, AsistenciaJetAdminConcatenada!$B:$B, 0)), ISNUMBER(SEARCH($A90,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ISNUMBER(SEARCH($A90, INDEX(AsistenciaJetAdminConcatenada!$D:$D, MATCH(1, (AsistenciaJetAdminConcatenada!$A:$A=AD$2)*(AsistenciaJetAdminConcatenada!$B:$B=AD$1), 0)), 1))),  0.5, 0))</f>
        <v>0</v>
      </c>
      <c r="AE90" s="47">
        <f t="array" ref="AE90">IF(AND(ISNUMBER(MATCH(AE$2, AsistenciaJetAdminConcatenada!$A:$A, 0)), ISNUMBER(MATCH(AE$1, AsistenciaJetAdminConcatenada!$B:$B, 0)), ISNUMBER(SEARCH($A90,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ISNUMBER(SEARCH($A90, INDEX(AsistenciaJetAdminConcatenada!$D:$D, MATCH(1, (AsistenciaJetAdminConcatenada!$A:$A=AE$2)*(AsistenciaJetAdminConcatenada!$B:$B=AE$1), 0)), 1))),  0.5, 0))</f>
        <v>0</v>
      </c>
      <c r="AF90" s="47">
        <f t="array" ref="AF90">IF(AND(ISNUMBER(MATCH(AF$2, AsistenciaJetAdminConcatenada!$A:$A, 0)), ISNUMBER(MATCH(AF$1, AsistenciaJetAdminConcatenada!$B:$B, 0)), ISNUMBER(SEARCH($A90,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ISNUMBER(SEARCH($A90, INDEX(AsistenciaJetAdminConcatenada!$D:$D, MATCH(1, (AsistenciaJetAdminConcatenada!$A:$A=AF$2)*(AsistenciaJetAdminConcatenada!$B:$B=AF$1), 0)), 1))),  0.5, 0))</f>
        <v>1</v>
      </c>
      <c r="AG90" s="47">
        <f t="array" ref="AG90">IF(AND(ISNUMBER(MATCH(AG$2, AsistenciaJetAdminConcatenada!$A:$A, 0)), ISNUMBER(MATCH(AG$1, AsistenciaJetAdminConcatenada!$B:$B, 0)), ISNUMBER(SEARCH($A90,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ISNUMBER(SEARCH($A90, INDEX(AsistenciaJetAdminConcatenada!$D:$D, MATCH(1, (AsistenciaJetAdminConcatenada!$A:$A=AG$2)*(AsistenciaJetAdminConcatenada!$B:$B=AG$1), 0)), 1))),  0.5, 0))</f>
        <v>0</v>
      </c>
      <c r="AH90" s="47">
        <f t="array" ref="AH90">IF(AND(ISNUMBER(MATCH(AH$2, AsistenciaJetAdminConcatenada!$A:$A, 0)), ISNUMBER(MATCH(AH$1, AsistenciaJetAdminConcatenada!$B:$B, 0)), ISNUMBER(SEARCH($A90,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ISNUMBER(SEARCH($A90, INDEX(AsistenciaJetAdminConcatenada!$D:$D, MATCH(1, (AsistenciaJetAdminConcatenada!$A:$A=AH$2)*(AsistenciaJetAdminConcatenada!$B:$B=AH$1), 0)), 1))),  0.5, 0))</f>
        <v>0</v>
      </c>
      <c r="AI90" s="47">
        <f t="array" ref="AI90">IF(AND(ISNUMBER(MATCH(AI$2, AsistenciaJetAdminConcatenada!$A:$A, 0)), ISNUMBER(MATCH(AI$1, AsistenciaJetAdminConcatenada!$B:$B, 0)), ISNUMBER(SEARCH($A90,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ISNUMBER(SEARCH($A90, INDEX(AsistenciaJetAdminConcatenada!$D:$D, MATCH(1, (AsistenciaJetAdminConcatenada!$A:$A=AI$2)*(AsistenciaJetAdminConcatenada!$B:$B=AI$1), 0)), 1))),  0.5, 0))</f>
        <v>0</v>
      </c>
      <c r="AJ90" s="47">
        <f t="array" ref="AJ90">IF(AND(ISNUMBER(MATCH(AJ$2, AsistenciaJetAdminConcatenada!$A:$A, 0)), ISNUMBER(MATCH(AJ$1, AsistenciaJetAdminConcatenada!$B:$B, 0)), ISNUMBER(SEARCH($A90,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ISNUMBER(SEARCH($A90, INDEX(AsistenciaJetAdminConcatenada!$D:$D, MATCH(1, (AsistenciaJetAdminConcatenada!$A:$A=AJ$2)*(AsistenciaJetAdminConcatenada!$B:$B=AJ$1), 0)), 1))),  0.5, 0))</f>
        <v>1</v>
      </c>
      <c r="AK90" s="47">
        <f t="array" ref="AK90">IF(AND(ISNUMBER(MATCH(AK$2, AsistenciaJetAdminConcatenada!$A:$A, 0)), ISNUMBER(MATCH(AK$1, AsistenciaJetAdminConcatenada!$B:$B, 0)), ISNUMBER(SEARCH($A90,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ISNUMBER(SEARCH($A90, INDEX(AsistenciaJetAdminConcatenada!$D:$D, MATCH(1, (AsistenciaJetAdminConcatenada!$A:$A=AK$2)*(AsistenciaJetAdminConcatenada!$B:$B=AK$1), 0)), 1))),  0.5, 0))</f>
        <v>0</v>
      </c>
      <c r="AL90" s="47">
        <f t="array" ref="AL90">IF(AND(ISNUMBER(MATCH(AL$2, AsistenciaJetAdminConcatenada!$A:$A, 0)), ISNUMBER(MATCH(AL$1, AsistenciaJetAdminConcatenada!$B:$B, 0)), ISNUMBER(SEARCH($A90,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ISNUMBER(SEARCH($A90, INDEX(AsistenciaJetAdminConcatenada!$D:$D, MATCH(1, (AsistenciaJetAdminConcatenada!$A:$A=AL$2)*(AsistenciaJetAdminConcatenada!$B:$B=AL$1), 0)), 1))),  0.5, 0))</f>
        <v>0</v>
      </c>
      <c r="AM90" s="47">
        <f t="array" ref="AM90">IF(AND(ISNUMBER(MATCH(AM$2, AsistenciaJetAdminConcatenada!$A:$A, 0)), ISNUMBER(MATCH(AM$1, AsistenciaJetAdminConcatenada!$B:$B, 0)), ISNUMBER(SEARCH($A90,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ISNUMBER(SEARCH($A90, INDEX(AsistenciaJetAdminConcatenada!$D:$D, MATCH(1, (AsistenciaJetAdminConcatenada!$A:$A=AM$2)*(AsistenciaJetAdminConcatenada!$B:$B=AM$1), 0)), 1))),  0.5, 0))</f>
        <v>0</v>
      </c>
      <c r="AN90" s="47">
        <f t="array" ref="AN90">IF(AND(ISNUMBER(MATCH(AN$2, AsistenciaJetAdminConcatenada!$A:$A, 0)), ISNUMBER(MATCH(AN$1, AsistenciaJetAdminConcatenada!$B:$B, 0)), ISNUMBER(SEARCH($A90,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ISNUMBER(SEARCH($A90, INDEX(AsistenciaJetAdminConcatenada!$D:$D, MATCH(1, (AsistenciaJetAdminConcatenada!$A:$A=AN$2)*(AsistenciaJetAdminConcatenada!$B:$B=AN$1), 0)), 1))),  0.5, 0))</f>
        <v>1</v>
      </c>
      <c r="AO90" s="47">
        <f t="array" ref="AO90">IF(AND(ISNUMBER(MATCH(AO$2, AsistenciaJetAdminConcatenada!$A:$A, 0)), ISNUMBER(MATCH(AO$1, AsistenciaJetAdminConcatenada!$B:$B, 0)), ISNUMBER(SEARCH($A90,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ISNUMBER(SEARCH($A90, INDEX(AsistenciaJetAdminConcatenada!$D:$D, MATCH(1, (AsistenciaJetAdminConcatenada!$A:$A=AO$2)*(AsistenciaJetAdminConcatenada!$B:$B=AO$1), 0)), 1))),  0.5, 0))</f>
        <v>1</v>
      </c>
      <c r="AP90" s="47">
        <f t="array" ref="AP90">IF(AND(ISNUMBER(MATCH(AP$2, AsistenciaJetAdminConcatenada!$A:$A, 0)), ISNUMBER(MATCH(AP$1, AsistenciaJetAdminConcatenada!$B:$B, 0)), ISNUMBER(SEARCH($A90,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ISNUMBER(SEARCH($A90, INDEX(AsistenciaJetAdminConcatenada!$D:$D, MATCH(1, (AsistenciaJetAdminConcatenada!$A:$A=AP$2)*(AsistenciaJetAdminConcatenada!$B:$B=AP$1), 0)), 1))),  0.5, 0))</f>
        <v>1</v>
      </c>
      <c r="AQ90" s="47">
        <f t="array" ref="AQ90">IF(AND(ISNUMBER(MATCH(AQ$2, AsistenciaJetAdminConcatenada!$A:$A, 0)), ISNUMBER(MATCH(AQ$1, AsistenciaJetAdminConcatenada!$B:$B, 0)), ISNUMBER(SEARCH($A90,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ISNUMBER(SEARCH($A90, INDEX(AsistenciaJetAdminConcatenada!$D:$D, MATCH(1, (AsistenciaJetAdminConcatenada!$A:$A=AQ$2)*(AsistenciaJetAdminConcatenada!$B:$B=AQ$1), 0)), 1))),  0.5, 0))</f>
        <v>0</v>
      </c>
      <c r="AR90" s="47">
        <f t="array" ref="AR90">IF(AND(ISNUMBER(MATCH(AR$2, AsistenciaJetAdminConcatenada!$A:$A, 0)), ISNUMBER(MATCH(AR$1, AsistenciaJetAdminConcatenada!$B:$B, 0)), ISNUMBER(SEARCH($A90,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ISNUMBER(SEARCH($A90, INDEX(AsistenciaJetAdminConcatenada!$D:$D, MATCH(1, (AsistenciaJetAdminConcatenada!$A:$A=AR$2)*(AsistenciaJetAdminConcatenada!$B:$B=AR$1), 0)), 1))),  0.5, 0))</f>
        <v>1</v>
      </c>
      <c r="AS90" s="47">
        <f t="array" ref="AS90">IF(AND(ISNUMBER(MATCH(AS$2, AsistenciaJetAdminConcatenada!$A:$A, 0)), ISNUMBER(MATCH(AS$1, AsistenciaJetAdminConcatenada!$B:$B, 0)), ISNUMBER(SEARCH($A90,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ISNUMBER(SEARCH($A90, INDEX(AsistenciaJetAdminConcatenada!$D:$D, MATCH(1, (AsistenciaJetAdminConcatenada!$A:$A=AS$2)*(AsistenciaJetAdminConcatenada!$B:$B=AS$1), 0)), 1))),  0.5, 0))</f>
        <v>1</v>
      </c>
      <c r="AT90" s="47">
        <f t="array" ref="AT90">IF(AND(ISNUMBER(MATCH(AT$2, AsistenciaJetAdminConcatenada!$A:$A, 0)), ISNUMBER(MATCH(AT$1, AsistenciaJetAdminConcatenada!$B:$B, 0)), ISNUMBER(SEARCH($A90,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ISNUMBER(SEARCH($A90, INDEX(AsistenciaJetAdminConcatenada!$D:$D, MATCH(1, (AsistenciaJetAdminConcatenada!$A:$A=AT$2)*(AsistenciaJetAdminConcatenada!$B:$B=AT$1), 0)), 1))),  0.5, 0))</f>
        <v>0</v>
      </c>
      <c r="AU90" s="47">
        <f t="array" ref="AU90">IF(AND(ISNUMBER(MATCH(AU$2, AsistenciaJetAdminConcatenada!$A:$A, 0)), ISNUMBER(MATCH(AU$1, AsistenciaJetAdminConcatenada!$B:$B, 0)), ISNUMBER(SEARCH($A90,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ISNUMBER(SEARCH($A90, INDEX(AsistenciaJetAdminConcatenada!$D:$D, MATCH(1, (AsistenciaJetAdminConcatenada!$A:$A=AU$2)*(AsistenciaJetAdminConcatenada!$B:$B=AU$1), 0)), 1))),  0.5, 0))</f>
        <v>1</v>
      </c>
      <c r="AV90" s="47">
        <f t="array" ref="AV90">IF(AND(ISNUMBER(MATCH(AV$2, AsistenciaJetAdminConcatenada!$A:$A, 0)), ISNUMBER(MATCH(AV$1, AsistenciaJetAdminConcatenada!$B:$B, 0)), ISNUMBER(SEARCH($A90,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ISNUMBER(SEARCH($A90, INDEX(AsistenciaJetAdminConcatenada!$D:$D, MATCH(1, (AsistenciaJetAdminConcatenada!$A:$A=AV$2)*(AsistenciaJetAdminConcatenada!$B:$B=AV$1), 0)), 1))),  0.5, 0))</f>
        <v>1</v>
      </c>
      <c r="AW90" s="47">
        <f t="array" ref="AW90">IF(AND(ISNUMBER(MATCH(AW$2, AsistenciaJetAdminConcatenada!$A:$A, 0)), ISNUMBER(MATCH(AW$1, AsistenciaJetAdminConcatenada!$B:$B, 0)), ISNUMBER(SEARCH($A90,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ISNUMBER(SEARCH($A90, INDEX(AsistenciaJetAdminConcatenada!$D:$D, MATCH(1, (AsistenciaJetAdminConcatenada!$A:$A=AW$2)*(AsistenciaJetAdminConcatenada!$B:$B=AW$1), 0)), 1))),  0.5, 0))</f>
        <v>1</v>
      </c>
      <c r="AX90" s="47">
        <f t="array" ref="AX90">IF(AND(ISNUMBER(MATCH(AX$2, AsistenciaJetAdminConcatenada!$A:$A, 0)), ISNUMBER(MATCH(AX$1, AsistenciaJetAdminConcatenada!$B:$B, 0)), ISNUMBER(SEARCH($A90,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ISNUMBER(SEARCH($A90, INDEX(AsistenciaJetAdminConcatenada!$D:$D, MATCH(1, (AsistenciaJetAdminConcatenada!$A:$A=AX$2)*(AsistenciaJetAdminConcatenada!$B:$B=AX$1), 0)), 1))),  0.5, 0))</f>
        <v>0</v>
      </c>
      <c r="AY90" s="47">
        <f t="array" ref="AY90">IF(AND(ISNUMBER(MATCH(AY$2, AsistenciaJetAdminConcatenada!$A:$A, 0)), ISNUMBER(MATCH(AY$1, AsistenciaJetAdminConcatenada!$B:$B, 0)), ISNUMBER(SEARCH($A90,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ISNUMBER(SEARCH($A90, INDEX(AsistenciaJetAdminConcatenada!$D:$D, MATCH(1, (AsistenciaJetAdminConcatenada!$A:$A=AY$2)*(AsistenciaJetAdminConcatenada!$B:$B=AY$1), 0)), 1))),  0.5, 0))</f>
        <v>1</v>
      </c>
      <c r="AZ90" s="47">
        <f t="array" ref="AZ90">IF(AND(ISNUMBER(MATCH(AZ$2, AsistenciaJetAdminConcatenada!$A:$A, 0)), ISNUMBER(MATCH(AZ$1, AsistenciaJetAdminConcatenada!$B:$B, 0)), ISNUMBER(SEARCH($A90,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ISNUMBER(SEARCH($A90, INDEX(AsistenciaJetAdminConcatenada!$D:$D, MATCH(1, (AsistenciaJetAdminConcatenada!$A:$A=AZ$2)*(AsistenciaJetAdminConcatenada!$B:$B=AZ$1), 0)), 1))),  0.5, 0))</f>
        <v>1</v>
      </c>
      <c r="BA90" s="47">
        <f t="array" ref="BA90">IF(AND(ISNUMBER(MATCH(BA$2, AsistenciaJetAdminConcatenada!$A:$A, 0)), ISNUMBER(MATCH(BA$1, AsistenciaJetAdminConcatenada!$B:$B, 0)), ISNUMBER(SEARCH($A90,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ISNUMBER(SEARCH($A90, INDEX(AsistenciaJetAdminConcatenada!$D:$D, MATCH(1, (AsistenciaJetAdminConcatenada!$A:$A=BA$2)*(AsistenciaJetAdminConcatenada!$B:$B=BA$1), 0)), 1))),  0.5, 0))</f>
        <v>1</v>
      </c>
      <c r="BB90" s="47">
        <f t="array" ref="BB90">IF(AND(ISNUMBER(MATCH(BB$2, AsistenciaJetAdminConcatenada!$A:$A, 0)), ISNUMBER(MATCH(BB$1, AsistenciaJetAdminConcatenada!$B:$B, 0)), ISNUMBER(SEARCH($A90,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ISNUMBER(SEARCH($A90, INDEX(AsistenciaJetAdminConcatenada!$D:$D, MATCH(1, (AsistenciaJetAdminConcatenada!$A:$A=BB$2)*(AsistenciaJetAdminConcatenada!$B:$B=BB$1), 0)), 1))),  0.5, 0))</f>
        <v>1</v>
      </c>
      <c r="BC90" s="47">
        <f t="array" ref="BC90">IF(AND(ISNUMBER(MATCH(BC$2, AsistenciaJetAdminConcatenada!$A:$A, 0)), ISNUMBER(MATCH(BC$1, AsistenciaJetAdminConcatenada!$B:$B, 0)), ISNUMBER(SEARCH($A90,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ISNUMBER(SEARCH($A90, INDEX(AsistenciaJetAdminConcatenada!$D:$D, MATCH(1, (AsistenciaJetAdminConcatenada!$A:$A=BC$2)*(AsistenciaJetAdminConcatenada!$B:$B=BC$1), 0)), 1))),  0.5, 0))</f>
        <v>0</v>
      </c>
      <c r="BD90" s="47">
        <f t="array" ref="BD90">IF(AND(ISNUMBER(MATCH(BD$2, AsistenciaJetAdminConcatenada!$A:$A, 0)), ISNUMBER(MATCH(BD$1, AsistenciaJetAdminConcatenada!$B:$B, 0)), ISNUMBER(SEARCH($A90,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ISNUMBER(SEARCH($A90, INDEX(AsistenciaJetAdminConcatenada!$D:$D, MATCH(1, (AsistenciaJetAdminConcatenada!$A:$A=BD$2)*(AsistenciaJetAdminConcatenada!$B:$B=BD$1), 0)), 1))),  0.5, 0))</f>
        <v>0</v>
      </c>
      <c r="BE90" s="47">
        <f t="array" ref="BE90">IF(AND(ISNUMBER(MATCH(BE$2, AsistenciaJetAdminConcatenada!$A:$A, 0)), ISNUMBER(MATCH(BE$1, AsistenciaJetAdminConcatenada!$B:$B, 0)), ISNUMBER(SEARCH($A90,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ISNUMBER(SEARCH($A90, INDEX(AsistenciaJetAdminConcatenada!$D:$D, MATCH(1, (AsistenciaJetAdminConcatenada!$A:$A=BE$2)*(AsistenciaJetAdminConcatenada!$B:$B=BE$1), 0)), 1))),  0.5, 0))</f>
        <v>1</v>
      </c>
      <c r="BF90" s="47">
        <f t="array" ref="BF90">IF(AND(ISNUMBER(MATCH(BF$2, AsistenciaJetAdminConcatenada!$A:$A, 0)), ISNUMBER(MATCH(BF$1, AsistenciaJetAdminConcatenada!$B:$B, 0)), ISNUMBER(SEARCH($A90,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ISNUMBER(SEARCH($A90, INDEX(AsistenciaJetAdminConcatenada!$D:$D, MATCH(1, (AsistenciaJetAdminConcatenada!$A:$A=BF$2)*(AsistenciaJetAdminConcatenada!$B:$B=BF$1), 0)), 1))),  0.5, 0))</f>
        <v>1</v>
      </c>
      <c r="BG90" s="47">
        <f t="array" ref="BG90">IF(AND(ISNUMBER(MATCH(BG$2, AsistenciaJetAdminConcatenada!$A:$A, 0)), ISNUMBER(MATCH(BG$1, AsistenciaJetAdminConcatenada!$B:$B, 0)), ISNUMBER(SEARCH($A90,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ISNUMBER(SEARCH($A90, INDEX(AsistenciaJetAdminConcatenada!$D:$D, MATCH(1, (AsistenciaJetAdminConcatenada!$A:$A=BG$2)*(AsistenciaJetAdminConcatenada!$B:$B=BG$1), 0)), 1))),  0.5, 0))</f>
        <v>1</v>
      </c>
      <c r="BH90" s="47">
        <f t="array" ref="BH90">IF(AND(ISNUMBER(MATCH(BH$2, AsistenciaJetAdminConcatenada!$A:$A, 0)), ISNUMBER(MATCH(BH$1, AsistenciaJetAdminConcatenada!$B:$B, 0)), ISNUMBER(SEARCH($A90,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ISNUMBER(SEARCH($A90, INDEX(AsistenciaJetAdminConcatenada!$D:$D, MATCH(1, (AsistenciaJetAdminConcatenada!$A:$A=BH$2)*(AsistenciaJetAdminConcatenada!$B:$B=BH$1), 0)), 1))),  0.5, 0))</f>
        <v>1</v>
      </c>
      <c r="BI90" s="47">
        <f t="array" ref="BI90">IF(AND(ISNUMBER(MATCH(BI$2, AsistenciaJetAdminConcatenada!$A:$A, 0)), ISNUMBER(MATCH(BI$1, AsistenciaJetAdminConcatenada!$B:$B, 0)), ISNUMBER(SEARCH($A90,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ISNUMBER(SEARCH($A90, INDEX(AsistenciaJetAdminConcatenada!$D:$D, MATCH(1, (AsistenciaJetAdminConcatenada!$A:$A=BI$2)*(AsistenciaJetAdminConcatenada!$B:$B=BI$1), 0)), 1))),  0.5, 0))</f>
        <v>0</v>
      </c>
      <c r="BJ90" s="47">
        <f t="array" ref="BJ90">IF(AND(ISNUMBER(MATCH(BJ$2, AsistenciaJetAdminConcatenada!$A:$A, 0)), ISNUMBER(MATCH(BJ$1, AsistenciaJetAdminConcatenada!$B:$B, 0)), ISNUMBER(SEARCH($A90,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ISNUMBER(SEARCH($A90, INDEX(AsistenciaJetAdminConcatenada!$D:$D, MATCH(1, (AsistenciaJetAdminConcatenada!$A:$A=BJ$2)*(AsistenciaJetAdminConcatenada!$B:$B=BJ$1), 0)), 1))),  0.5, 0))</f>
        <v>1</v>
      </c>
      <c r="BK90" s="47">
        <f t="array" ref="BK90">IF(AND(ISNUMBER(MATCH(BK$2, AsistenciaJetAdminConcatenada!$A:$A, 0)), ISNUMBER(MATCH(BK$1, AsistenciaJetAdminConcatenada!$B:$B, 0)), ISNUMBER(SEARCH($A90,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ISNUMBER(SEARCH($A90, INDEX(AsistenciaJetAdminConcatenada!$D:$D, MATCH(1, (AsistenciaJetAdminConcatenada!$A:$A=BK$2)*(AsistenciaJetAdminConcatenada!$B:$B=BK$1), 0)), 1))),  0.5, 0))</f>
        <v>1</v>
      </c>
      <c r="BL90" s="47">
        <f t="array" ref="BL90">IF(AND(ISNUMBER(MATCH(BL$2, AsistenciaJetAdminConcatenada!$A:$A, 0)), ISNUMBER(MATCH(BL$1, AsistenciaJetAdminConcatenada!$B:$B, 0)), ISNUMBER(SEARCH($A90,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ISNUMBER(SEARCH($A90, INDEX(AsistenciaJetAdminConcatenada!$D:$D, MATCH(1, (AsistenciaJetAdminConcatenada!$A:$A=BL$2)*(AsistenciaJetAdminConcatenada!$B:$B=BL$1), 0)), 1))),  0.5, 0))</f>
        <v>1</v>
      </c>
      <c r="BM90" s="47">
        <f t="array" ref="BM90">IF(AND(ISNUMBER(MATCH(BM$2, AsistenciaJetAdminConcatenada!$A:$A, 0)), ISNUMBER(MATCH(BM$1, AsistenciaJetAdminConcatenada!$B:$B, 0)), ISNUMBER(SEARCH($A90,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ISNUMBER(SEARCH($A90, INDEX(AsistenciaJetAdminConcatenada!$D:$D, MATCH(1, (AsistenciaJetAdminConcatenada!$A:$A=BM$2)*(AsistenciaJetAdminConcatenada!$B:$B=BM$1), 0)), 1))),  0.5, 0))</f>
        <v>0</v>
      </c>
      <c r="BN90" s="47">
        <f t="array" ref="BN90">IF(AND(ISNUMBER(MATCH(BN$2, AsistenciaJetAdminConcatenada!$A:$A, 0)), ISNUMBER(MATCH(BN$1, AsistenciaJetAdminConcatenada!$B:$B, 0)), ISNUMBER(SEARCH($A90,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ISNUMBER(SEARCH($A90, INDEX(AsistenciaJetAdminConcatenada!$D:$D, MATCH(1, (AsistenciaJetAdminConcatenada!$A:$A=BN$2)*(AsistenciaJetAdminConcatenada!$B:$B=BN$1), 0)), 1))),  0.5, 0))</f>
        <v>1</v>
      </c>
      <c r="BO90" s="47">
        <f t="array" ref="BO90">IF(AND(ISNUMBER(MATCH(BO$2, AsistenciaJetAdminConcatenada!$A:$A, 0)), ISNUMBER(MATCH(BO$1, AsistenciaJetAdminConcatenada!$B:$B, 0)), ISNUMBER(SEARCH($A90,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ISNUMBER(SEARCH($A90, INDEX(AsistenciaJetAdminConcatenada!$D:$D, MATCH(1, (AsistenciaJetAdminConcatenada!$A:$A=BO$2)*(AsistenciaJetAdminConcatenada!$B:$B=BO$1), 0)), 1))),  0.5, 0))</f>
        <v>1</v>
      </c>
      <c r="BP90" s="47">
        <f t="array" ref="BP90">IF(AND(ISNUMBER(MATCH(BP$2, AsistenciaJetAdminConcatenada!$A:$A, 0)), ISNUMBER(MATCH(BP$1, AsistenciaJetAdminConcatenada!$B:$B, 0)), ISNUMBER(SEARCH($A90,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ISNUMBER(SEARCH($A90, INDEX(AsistenciaJetAdminConcatenada!$D:$D, MATCH(1, (AsistenciaJetAdminConcatenada!$A:$A=BP$2)*(AsistenciaJetAdminConcatenada!$B:$B=BP$1), 0)), 1))),  0.5, 0))</f>
        <v>1</v>
      </c>
      <c r="BQ90" s="47">
        <f t="array" ref="BQ90">IF(AND(ISNUMBER(MATCH(BQ$2, AsistenciaJetAdminConcatenada!$A:$A, 0)), ISNUMBER(MATCH(BQ$1, AsistenciaJetAdminConcatenada!$B:$B, 0)), ISNUMBER(SEARCH($A90,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ISNUMBER(SEARCH($A90, INDEX(AsistenciaJetAdminConcatenada!$D:$D, MATCH(1, (AsistenciaJetAdminConcatenada!$A:$A=BQ$2)*(AsistenciaJetAdminConcatenada!$B:$B=BQ$1), 0)), 1))),  0.5, 0))</f>
        <v>1</v>
      </c>
      <c r="BR90" s="47">
        <f t="array" ref="BR90">IF(AND(ISNUMBER(MATCH(BR$2, AsistenciaJetAdminConcatenada!$A:$A, 0)), ISNUMBER(MATCH(BR$1, AsistenciaJetAdminConcatenada!$B:$B, 0)), ISNUMBER(SEARCH($A90,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ISNUMBER(SEARCH($A90, INDEX(AsistenciaJetAdminConcatenada!$D:$D, MATCH(1, (AsistenciaJetAdminConcatenada!$A:$A=BR$2)*(AsistenciaJetAdminConcatenada!$B:$B=BR$1), 0)), 1))),  0.5, 0))</f>
        <v>1</v>
      </c>
      <c r="BS90" s="47">
        <f t="array" ref="BS90">IF(AND(ISNUMBER(MATCH(BS$2, AsistenciaJetAdminConcatenada!$A:$A, 0)), ISNUMBER(MATCH(BS$1, AsistenciaJetAdminConcatenada!$B:$B, 0)), ISNUMBER(SEARCH($A90,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ISNUMBER(SEARCH($A90, INDEX(AsistenciaJetAdminConcatenada!$D:$D, MATCH(1, (AsistenciaJetAdminConcatenada!$A:$A=BS$2)*(AsistenciaJetAdminConcatenada!$B:$B=BS$1), 0)), 1))),  0.5, 0))</f>
        <v>1</v>
      </c>
      <c r="BT90" s="47">
        <f t="array" ref="BT90">IF(AND(ISNUMBER(MATCH(BT$2, AsistenciaJetAdminConcatenada!$A:$A, 0)), ISNUMBER(MATCH(BT$1, AsistenciaJetAdminConcatenada!$B:$B, 0)), ISNUMBER(SEARCH($A90,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ISNUMBER(SEARCH($A90, INDEX(AsistenciaJetAdminConcatenada!$D:$D, MATCH(1, (AsistenciaJetAdminConcatenada!$A:$A=BT$2)*(AsistenciaJetAdminConcatenada!$B:$B=BT$1), 0)), 1))),  0.5, 0))</f>
        <v>1</v>
      </c>
      <c r="BU90" s="47">
        <f t="array" ref="BU90">IF(AND(ISNUMBER(MATCH(BU$2, AsistenciaJetAdminConcatenada!$A:$A, 0)), ISNUMBER(MATCH(BU$1, AsistenciaJetAdminConcatenada!$B:$B, 0)), ISNUMBER(SEARCH($A90,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ISNUMBER(SEARCH($A90, INDEX(AsistenciaJetAdminConcatenada!$D:$D, MATCH(1, (AsistenciaJetAdminConcatenada!$A:$A=BU$2)*(AsistenciaJetAdminConcatenada!$B:$B=BU$1), 0)), 1))),  0.5, 0))</f>
        <v>1</v>
      </c>
      <c r="BV90" s="47">
        <f t="array" ref="BV90">IF(AND(ISNUMBER(MATCH(BV$2, AsistenciaJetAdminConcatenada!$A:$A, 0)), ISNUMBER(MATCH(BV$1, AsistenciaJetAdminConcatenada!$B:$B, 0)), ISNUMBER(SEARCH($A90,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ISNUMBER(SEARCH($A90, INDEX(AsistenciaJetAdminConcatenada!$D:$D, MATCH(1, (AsistenciaJetAdminConcatenada!$A:$A=BV$2)*(AsistenciaJetAdminConcatenada!$B:$B=BV$1), 0)), 1))),  0.5, 0))</f>
        <v>1</v>
      </c>
      <c r="BW90" s="47">
        <f t="array" ref="BW90">IF(AND(ISNUMBER(MATCH(BW$2, AsistenciaJetAdminConcatenada!$A:$A, 0)), ISNUMBER(MATCH(BW$1, AsistenciaJetAdminConcatenada!$B:$B, 0)), ISNUMBER(SEARCH($A90,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ISNUMBER(SEARCH($A90, INDEX(AsistenciaJetAdminConcatenada!$D:$D, MATCH(1, (AsistenciaJetAdminConcatenada!$A:$A=BW$2)*(AsistenciaJetAdminConcatenada!$B:$B=BW$1), 0)), 1))),  0.5, 0))</f>
        <v>1</v>
      </c>
      <c r="BX90" s="47">
        <f t="array" ref="BX90">IF(AND(ISNUMBER(MATCH(BX$2, AsistenciaJetAdminConcatenada!$A:$A, 0)), ISNUMBER(MATCH(BX$1, AsistenciaJetAdminConcatenada!$B:$B, 0)), ISNUMBER(SEARCH($A90,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ISNUMBER(SEARCH($A90, INDEX(AsistenciaJetAdminConcatenada!$D:$D, MATCH(1, (AsistenciaJetAdminConcatenada!$A:$A=BX$2)*(AsistenciaJetAdminConcatenada!$B:$B=BX$1), 0)), 1))),  0.5, 0))</f>
        <v>0</v>
      </c>
      <c r="BY90" s="47">
        <f t="array" ref="BY90">IF(AND(ISNUMBER(MATCH(BY$2, AsistenciaJetAdminConcatenada!$A:$A, 0)), ISNUMBER(MATCH(BY$1, AsistenciaJetAdminConcatenada!$B:$B, 0)), ISNUMBER(SEARCH($A90,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ISNUMBER(SEARCH($A90, INDEX(AsistenciaJetAdminConcatenada!$D:$D, MATCH(1, (AsistenciaJetAdminConcatenada!$A:$A=BY$2)*(AsistenciaJetAdminConcatenada!$B:$B=BY$1), 0)), 1))),  0.5, 0))</f>
        <v>0</v>
      </c>
      <c r="BZ90" s="47">
        <f t="array" ref="BZ90">IF(AND(ISNUMBER(MATCH(BZ$2, AsistenciaJetAdminConcatenada!$A:$A, 0)), ISNUMBER(MATCH(BZ$1, AsistenciaJetAdminConcatenada!$B:$B, 0)), ISNUMBER(SEARCH($A90,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ISNUMBER(SEARCH($A90, INDEX(AsistenciaJetAdminConcatenada!$D:$D, MATCH(1, (AsistenciaJetAdminConcatenada!$A:$A=BZ$2)*(AsistenciaJetAdminConcatenada!$B:$B=BZ$1), 0)), 1))),  0.5, 0))</f>
        <v>1</v>
      </c>
      <c r="CA90" s="47">
        <f t="array" ref="CA90">IF(AND(ISNUMBER(MATCH(CA$2, AsistenciaJetAdminConcatenada!$A:$A, 0)), ISNUMBER(MATCH(CA$1, AsistenciaJetAdminConcatenada!$B:$B, 0)), ISNUMBER(SEARCH($A90,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ISNUMBER(SEARCH($A90, INDEX(AsistenciaJetAdminConcatenada!$D:$D, MATCH(1, (AsistenciaJetAdminConcatenada!$A:$A=CA$2)*(AsistenciaJetAdminConcatenada!$B:$B=CA$1), 0)), 1))),  0.5, 0))</f>
        <v>1</v>
      </c>
      <c r="CB90" s="47">
        <f t="array" ref="CB90">IF(AND(ISNUMBER(MATCH(CB$2, AsistenciaJetAdminConcatenada!$A:$A, 0)), ISNUMBER(MATCH(CB$1, AsistenciaJetAdminConcatenada!$B:$B, 0)), ISNUMBER(SEARCH($A90,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ISNUMBER(SEARCH($A90, INDEX(AsistenciaJetAdminConcatenada!$D:$D, MATCH(1, (AsistenciaJetAdminConcatenada!$A:$A=CB$2)*(AsistenciaJetAdminConcatenada!$B:$B=CB$1), 0)), 1))),  0.5, 0))</f>
        <v>1</v>
      </c>
      <c r="CC90" s="47">
        <f t="array" ref="CC90">IF(AND(ISNUMBER(MATCH(CC$2, AsistenciaJetAdminConcatenada!$A:$A, 0)), ISNUMBER(MATCH(CC$1, AsistenciaJetAdminConcatenada!$B:$B, 0)), ISNUMBER(SEARCH($A90,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ISNUMBER(SEARCH($A90, INDEX(AsistenciaJetAdminConcatenada!$D:$D, MATCH(1, (AsistenciaJetAdminConcatenada!$A:$A=CC$2)*(AsistenciaJetAdminConcatenada!$B:$B=CC$1), 0)), 1))),  0.5, 0))</f>
        <v>1</v>
      </c>
      <c r="CD90" s="47">
        <f t="array" ref="CD90">IF(AND(ISNUMBER(MATCH(CD$2, AsistenciaJetAdminConcatenada!$A:$A, 0)), ISNUMBER(MATCH(CD$1, AsistenciaJetAdminConcatenada!$B:$B, 0)), ISNUMBER(SEARCH($A90,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ISNUMBER(SEARCH($A90, INDEX(AsistenciaJetAdminConcatenada!$D:$D, MATCH(1, (AsistenciaJetAdminConcatenada!$A:$A=CD$2)*(AsistenciaJetAdminConcatenada!$B:$B=CD$1), 0)), 1))),  0.5, 0))</f>
        <v>0</v>
      </c>
      <c r="CE90" s="47">
        <f t="array" ref="CE90">IF(AND(ISNUMBER(MATCH(CE$2, AsistenciaJetAdminConcatenada!$A:$A, 0)), ISNUMBER(MATCH(CE$1, AsistenciaJetAdminConcatenada!$B:$B, 0)), ISNUMBER(SEARCH($A90,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ISNUMBER(SEARCH($A90, INDEX(AsistenciaJetAdminConcatenada!$D:$D, MATCH(1, (AsistenciaJetAdminConcatenada!$A:$A=CE$2)*(AsistenciaJetAdminConcatenada!$B:$B=CE$1), 0)), 1))),  0.5, 0))</f>
        <v>0</v>
      </c>
      <c r="CF90" s="47">
        <f t="array" ref="CF90">IF(AND(ISNUMBER(MATCH(CF$2, AsistenciaJetAdminConcatenada!$A:$A, 0)), ISNUMBER(MATCH(CF$1, AsistenciaJetAdminConcatenada!$B:$B, 0)), ISNUMBER(SEARCH($A90,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ISNUMBER(SEARCH($A90, INDEX(AsistenciaJetAdminConcatenada!$D:$D, MATCH(1, (AsistenciaJetAdminConcatenada!$A:$A=CF$2)*(AsistenciaJetAdminConcatenada!$B:$B=CF$1), 0)), 1))),  0.5, 0))</f>
        <v>1</v>
      </c>
      <c r="CG90" s="47">
        <f t="array" ref="CG90">IF(AND(ISNUMBER(MATCH(CG$2, AsistenciaJetAdminConcatenada!$A:$A, 0)), ISNUMBER(MATCH(CG$1, AsistenciaJetAdminConcatenada!$B:$B, 0)), ISNUMBER(SEARCH($A90,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ISNUMBER(SEARCH($A90, INDEX(AsistenciaJetAdminConcatenada!$D:$D, MATCH(1, (AsistenciaJetAdminConcatenada!$A:$A=CG$2)*(AsistenciaJetAdminConcatenada!$B:$B=CG$1), 0)), 1))),  0.5, 0))</f>
        <v>0</v>
      </c>
      <c r="CH90" s="47">
        <f t="array" ref="CH90">IF(AND(ISNUMBER(MATCH(CH$2, AsistenciaJetAdminConcatenada!$A:$A, 0)), ISNUMBER(MATCH(CH$1, AsistenciaJetAdminConcatenada!$B:$B, 0)), ISNUMBER(SEARCH($A90,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ISNUMBER(SEARCH($A90, INDEX(AsistenciaJetAdminConcatenada!$D:$D, MATCH(1, (AsistenciaJetAdminConcatenada!$A:$A=CH$2)*(AsistenciaJetAdminConcatenada!$B:$B=CH$1), 0)), 1))),  0.5, 0))</f>
        <v>0</v>
      </c>
      <c r="CI90" s="47">
        <f t="array" ref="CI90">IF(AND(ISNUMBER(MATCH(CI$2, AsistenciaJetAdminConcatenada!$A:$A, 0)), ISNUMBER(MATCH(CI$1, AsistenciaJetAdminConcatenada!$B:$B, 0)), ISNUMBER(SEARCH($A90,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ISNUMBER(SEARCH($A90, INDEX(AsistenciaJetAdminConcatenada!$D:$D, MATCH(1, (AsistenciaJetAdminConcatenada!$A:$A=CI$2)*(AsistenciaJetAdminConcatenada!$B:$B=CI$1), 0)), 1))),  0.5, 0))</f>
        <v>1</v>
      </c>
      <c r="CJ90" s="47">
        <f t="array" ref="CJ90">IF(AND(ISNUMBER(MATCH(CJ$2, AsistenciaJetAdminConcatenada!$A:$A, 0)), ISNUMBER(MATCH(CJ$1, AsistenciaJetAdminConcatenada!$B:$B, 0)), ISNUMBER(SEARCH($A90,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ISNUMBER(SEARCH($A90, INDEX(AsistenciaJetAdminConcatenada!$D:$D, MATCH(1, (AsistenciaJetAdminConcatenada!$A:$A=CJ$2)*(AsistenciaJetAdminConcatenada!$B:$B=CJ$1), 0)), 1))),  0.5, 0))</f>
        <v>1</v>
      </c>
      <c r="CK90" s="47">
        <f t="array" ref="CK90">IF(AND(ISNUMBER(MATCH(CK$2, AsistenciaJetAdminConcatenada!$A:$A, 0)), ISNUMBER(MATCH(CK$1, AsistenciaJetAdminConcatenada!$B:$B, 0)), ISNUMBER(SEARCH($A90,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ISNUMBER(SEARCH($A90, INDEX(AsistenciaJetAdminConcatenada!$D:$D, MATCH(1, (AsistenciaJetAdminConcatenada!$A:$A=CK$2)*(AsistenciaJetAdminConcatenada!$B:$B=CK$1), 0)), 1))),  0.5, 0))</f>
        <v>0</v>
      </c>
      <c r="CL90" s="47">
        <f t="array" ref="CL90">IF(AND(ISNUMBER(MATCH(CL$2, AsistenciaJetAdminConcatenada!$A:$A, 0)), ISNUMBER(MATCH(CL$1, AsistenciaJetAdminConcatenada!$B:$B, 0)), ISNUMBER(SEARCH($A90,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ISNUMBER(SEARCH($A90, INDEX(AsistenciaJetAdminConcatenada!$D:$D, MATCH(1, (AsistenciaJetAdminConcatenada!$A:$A=CL$2)*(AsistenciaJetAdminConcatenada!$B:$B=CL$1), 0)), 1))),  0.5, 0))</f>
        <v>1</v>
      </c>
      <c r="CM90" s="47">
        <f t="array" ref="CM90">IF(AND(ISNUMBER(MATCH(CM$2, AsistenciaJetAdminConcatenada!$A:$A, 0)), ISNUMBER(MATCH(CM$1, AsistenciaJetAdminConcatenada!$B:$B, 0)), ISNUMBER(SEARCH($A90,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ISNUMBER(SEARCH($A90, INDEX(AsistenciaJetAdminConcatenada!$D:$D, MATCH(1, (AsistenciaJetAdminConcatenada!$A:$A=CM$2)*(AsistenciaJetAdminConcatenada!$B:$B=CM$1), 0)), 1))),  0.5, 0))</f>
        <v>1</v>
      </c>
      <c r="CN90" s="47">
        <f t="array" ref="CN90">IF(AND(ISNUMBER(MATCH(CN$2, AsistenciaJetAdminConcatenada!$A:$A, 0)), ISNUMBER(MATCH(CN$1, AsistenciaJetAdminConcatenada!$B:$B, 0)), ISNUMBER(SEARCH($A90,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ISNUMBER(SEARCH($A90, INDEX(AsistenciaJetAdminConcatenada!$D:$D, MATCH(1, (AsistenciaJetAdminConcatenada!$A:$A=CN$2)*(AsistenciaJetAdminConcatenada!$B:$B=CN$1), 0)), 1))),  0.5, 0))</f>
        <v>1</v>
      </c>
      <c r="CO90" s="47">
        <f t="array" ref="CO90">IF(AND(ISNUMBER(MATCH(CO$2, AsistenciaJetAdminConcatenada!$A:$A, 0)), ISNUMBER(MATCH(CO$1, AsistenciaJetAdminConcatenada!$B:$B, 0)), ISNUMBER(SEARCH($A90,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ISNUMBER(SEARCH($A90, INDEX(AsistenciaJetAdminConcatenada!$D:$D, MATCH(1, (AsistenciaJetAdminConcatenada!$A:$A=CO$2)*(AsistenciaJetAdminConcatenada!$B:$B=CO$1), 0)), 1))),  0.5, 0))</f>
        <v>0</v>
      </c>
      <c r="CP90" s="47">
        <f t="array" ref="CP90">IF(AND(ISNUMBER(MATCH(CP$2, AsistenciaJetAdminConcatenada!$A:$A, 0)), ISNUMBER(MATCH(CP$1, AsistenciaJetAdminConcatenada!$B:$B, 0)), ISNUMBER(SEARCH($A90,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ISNUMBER(SEARCH($A90, INDEX(AsistenciaJetAdminConcatenada!$D:$D, MATCH(1, (AsistenciaJetAdminConcatenada!$A:$A=CP$2)*(AsistenciaJetAdminConcatenada!$B:$B=CP$1), 0)), 1))),  0.5, 0))</f>
        <v>1</v>
      </c>
      <c r="CQ90" s="47">
        <f t="array" ref="CQ90">IF(AND(ISNUMBER(MATCH(CQ$2, AsistenciaJetAdminConcatenada!$A:$A, 0)), ISNUMBER(MATCH(CQ$1, AsistenciaJetAdminConcatenada!$B:$B, 0)), ISNUMBER(SEARCH($A90,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ISNUMBER(SEARCH($A90, INDEX(AsistenciaJetAdminConcatenada!$D:$D, MATCH(1, (AsistenciaJetAdminConcatenada!$A:$A=CQ$2)*(AsistenciaJetAdminConcatenada!$B:$B=CQ$1), 0)), 1))),  0.5, 0))</f>
        <v>1</v>
      </c>
      <c r="CR90" s="47">
        <f t="array" ref="CR90">IF(AND(ISNUMBER(MATCH(CR$2, AsistenciaJetAdminConcatenada!$A:$A, 0)), ISNUMBER(MATCH(CR$1, AsistenciaJetAdminConcatenada!$B:$B, 0)), ISNUMBER(SEARCH($A90,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ISNUMBER(SEARCH($A90, INDEX(AsistenciaJetAdminConcatenada!$D:$D, MATCH(1, (AsistenciaJetAdminConcatenada!$A:$A=CR$2)*(AsistenciaJetAdminConcatenada!$B:$B=CR$1), 0)), 1))),  0.5, 0))</f>
        <v>1</v>
      </c>
      <c r="CS90" s="47">
        <f t="array" ref="CS90">IF(AND(ISNUMBER(MATCH(CS$2, AsistenciaJetAdminConcatenada!$A:$A, 0)), ISNUMBER(MATCH(CS$1, AsistenciaJetAdminConcatenada!$B:$B, 0)), ISNUMBER(SEARCH($A90,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ISNUMBER(SEARCH($A90, INDEX(AsistenciaJetAdminConcatenada!$D:$D, MATCH(1, (AsistenciaJetAdminConcatenada!$A:$A=CS$2)*(AsistenciaJetAdminConcatenada!$B:$B=CS$1), 0)), 1))),  0.5, 0))</f>
        <v>0</v>
      </c>
      <c r="CT90" s="47">
        <f t="array" ref="CT90">IF(AND(ISNUMBER(MATCH(CT$2, AsistenciaJetAdminConcatenada!$A:$A, 0)), ISNUMBER(MATCH(CT$1, AsistenciaJetAdminConcatenada!$B:$B, 0)), ISNUMBER(SEARCH($A90,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ISNUMBER(SEARCH($A90, INDEX(AsistenciaJetAdminConcatenada!$D:$D, MATCH(1, (AsistenciaJetAdminConcatenada!$A:$A=CT$2)*(AsistenciaJetAdminConcatenada!$B:$B=CT$1), 0)), 1))),  0.5, 0))</f>
        <v>0</v>
      </c>
      <c r="CU90" s="47">
        <f t="array" ref="CU90">IF(AND(ISNUMBER(MATCH(CU$2, AsistenciaJetAdminConcatenada!$A:$A, 0)), ISNUMBER(MATCH(CU$1, AsistenciaJetAdminConcatenada!$B:$B, 0)), ISNUMBER(SEARCH($A90,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ISNUMBER(SEARCH($A90, INDEX(AsistenciaJetAdminConcatenada!$D:$D, MATCH(1, (AsistenciaJetAdminConcatenada!$A:$A=CU$2)*(AsistenciaJetAdminConcatenada!$B:$B=CU$1), 0)), 1))),  0.5, 0))</f>
        <v>0</v>
      </c>
      <c r="CV90" s="47">
        <f t="array" ref="CV90">IF(AND(ISNUMBER(MATCH(CV$2, AsistenciaJetAdminConcatenada!$A:$A, 0)), ISNUMBER(MATCH(CV$1, AsistenciaJetAdminConcatenada!$B:$B, 0)), ISNUMBER(SEARCH($A90,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ISNUMBER(SEARCH($A90, INDEX(AsistenciaJetAdminConcatenada!$D:$D, MATCH(1, (AsistenciaJetAdminConcatenada!$A:$A=CV$2)*(AsistenciaJetAdminConcatenada!$B:$B=CV$1), 0)), 1))),  0.5, 0))</f>
        <v>0</v>
      </c>
      <c r="CW90" s="47">
        <f t="array" ref="CW90">IF(AND(ISNUMBER(MATCH(CW$2, AsistenciaJetAdminConcatenada!$A:$A, 0)), ISNUMBER(MATCH(CW$1, AsistenciaJetAdminConcatenada!$B:$B, 0)), ISNUMBER(SEARCH($A90,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ISNUMBER(SEARCH($A90, INDEX(AsistenciaJetAdminConcatenada!$D:$D, MATCH(1, (AsistenciaJetAdminConcatenada!$A:$A=CW$2)*(AsistenciaJetAdminConcatenada!$B:$B=CW$1), 0)), 1))),  0.5, 0))</f>
        <v>0</v>
      </c>
      <c r="CX90" s="47">
        <f t="array" ref="CX90">IF(AND(ISNUMBER(MATCH(CX$2, AsistenciaJetAdminConcatenada!$A:$A, 0)), ISNUMBER(MATCH(CX$1, AsistenciaJetAdminConcatenada!$B:$B, 0)), ISNUMBER(SEARCH($A90,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ISNUMBER(SEARCH($A90, INDEX(AsistenciaJetAdminConcatenada!$D:$D, MATCH(1, (AsistenciaJetAdminConcatenada!$A:$A=CX$2)*(AsistenciaJetAdminConcatenada!$B:$B=CX$1), 0)), 1))),  0.5, 0))</f>
        <v>0</v>
      </c>
      <c r="CY90" s="47">
        <f t="array" ref="CY90">IF(AND(ISNUMBER(MATCH(CY$2, AsistenciaJetAdminConcatenada!$A:$A, 0)), ISNUMBER(MATCH(CY$1, AsistenciaJetAdminConcatenada!$B:$B, 0)), ISNUMBER(SEARCH($A90,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ISNUMBER(SEARCH($A90, INDEX(AsistenciaJetAdminConcatenada!$D:$D, MATCH(1, (AsistenciaJetAdminConcatenada!$A:$A=CY$2)*(AsistenciaJetAdminConcatenada!$B:$B=CY$1), 0)), 1))),  0.5, 0))</f>
        <v>0</v>
      </c>
      <c r="CZ90" s="47">
        <f t="array" ref="CZ90">IF(AND(ISNUMBER(MATCH(CZ$2, AsistenciaJetAdminConcatenada!$A:$A, 0)), ISNUMBER(MATCH(CZ$1, AsistenciaJetAdminConcatenada!$B:$B, 0)), ISNUMBER(SEARCH($A90,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ISNUMBER(SEARCH($A90, INDEX(AsistenciaJetAdminConcatenada!$D:$D, MATCH(1, (AsistenciaJetAdminConcatenada!$A:$A=CZ$2)*(AsistenciaJetAdminConcatenada!$B:$B=CZ$1), 0)), 1))),  0.5, 0))</f>
        <v>0</v>
      </c>
      <c r="DA90" s="47">
        <f t="array" ref="DA90">IF(AND(ISNUMBER(MATCH(DA$2, AsistenciaJetAdminConcatenada!$A:$A, 0)), ISNUMBER(MATCH(DA$1, AsistenciaJetAdminConcatenada!$B:$B, 0)), ISNUMBER(SEARCH($A90,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ISNUMBER(SEARCH($A90, INDEX(AsistenciaJetAdminConcatenada!$D:$D, MATCH(1, (AsistenciaJetAdminConcatenada!$A:$A=DA$2)*(AsistenciaJetAdminConcatenada!$B:$B=DA$1), 0)), 1))),  0.5, 0))</f>
        <v>0</v>
      </c>
      <c r="DB90" s="47">
        <f t="array" ref="DB90">IF(AND(ISNUMBER(MATCH(DB$2, AsistenciaJetAdminConcatenada!$A:$A, 0)), ISNUMBER(MATCH(DB$1, AsistenciaJetAdminConcatenada!$B:$B, 0)), ISNUMBER(SEARCH($A90,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ISNUMBER(SEARCH($A90, INDEX(AsistenciaJetAdminConcatenada!$D:$D, MATCH(1, (AsistenciaJetAdminConcatenada!$A:$A=DB$2)*(AsistenciaJetAdminConcatenada!$B:$B=DB$1), 0)), 1))),  0.5, 0))</f>
        <v>0</v>
      </c>
      <c r="DC90" s="47">
        <f t="array" ref="DC90">IF(AND(ISNUMBER(MATCH(DC$2, AsistenciaJetAdminConcatenada!$A:$A, 0)), ISNUMBER(MATCH(DC$1, AsistenciaJetAdminConcatenada!$B:$B, 0)), ISNUMBER(SEARCH($A90,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ISNUMBER(SEARCH($A90, INDEX(AsistenciaJetAdminConcatenada!$D:$D, MATCH(1, (AsistenciaJetAdminConcatenada!$A:$A=DC$2)*(AsistenciaJetAdminConcatenada!$B:$B=DC$1), 0)), 1))),  0.5, 0))</f>
        <v>0</v>
      </c>
      <c r="DD90" s="47">
        <f t="array" ref="DD90">IF(AND(ISNUMBER(MATCH(DD$2, AsistenciaJetAdminConcatenada!$A:$A, 0)), ISNUMBER(MATCH(DD$1, AsistenciaJetAdminConcatenada!$B:$B, 0)), ISNUMBER(SEARCH($A90,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ISNUMBER(SEARCH($A90, INDEX(AsistenciaJetAdminConcatenada!$D:$D, MATCH(1, (AsistenciaJetAdminConcatenada!$A:$A=DD$2)*(AsistenciaJetAdminConcatenada!$B:$B=DD$1), 0)), 1))),  0.5, 0))</f>
        <v>0</v>
      </c>
      <c r="DE90" s="47">
        <f t="array" ref="DE90">IF(AND(ISNUMBER(MATCH(DE$2, AsistenciaJetAdminConcatenada!$A:$A, 0)), ISNUMBER(MATCH(DE$1, AsistenciaJetAdminConcatenada!$B:$B, 0)), ISNUMBER(SEARCH($A90,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ISNUMBER(SEARCH($A90, INDEX(AsistenciaJetAdminConcatenada!$D:$D, MATCH(1, (AsistenciaJetAdminConcatenada!$A:$A=DE$2)*(AsistenciaJetAdminConcatenada!$B:$B=DE$1), 0)), 1))),  0.5, 0))</f>
        <v>0</v>
      </c>
      <c r="DF90" s="47">
        <f t="array" ref="DF90">IF(AND(ISNUMBER(MATCH(DF$2, AsistenciaJetAdminConcatenada!$A:$A, 0)), ISNUMBER(MATCH(DF$1, AsistenciaJetAdminConcatenada!$B:$B, 0)), ISNUMBER(SEARCH($A90,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ISNUMBER(SEARCH($A90, INDEX(AsistenciaJetAdminConcatenada!$D:$D, MATCH(1, (AsistenciaJetAdminConcatenada!$A:$A=DF$2)*(AsistenciaJetAdminConcatenada!$B:$B=DF$1), 0)), 1))),  0.5, 0))</f>
        <v>0</v>
      </c>
      <c r="DG90" s="47">
        <f t="array" ref="DG90">IF(AND(ISNUMBER(MATCH(DG$2, AsistenciaJetAdminConcatenada!$A:$A, 0)), ISNUMBER(MATCH(DG$1, AsistenciaJetAdminConcatenada!$B:$B, 0)), ISNUMBER(SEARCH($A90,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ISNUMBER(SEARCH($A90, INDEX(AsistenciaJetAdminConcatenada!$D:$D, MATCH(1, (AsistenciaJetAdminConcatenada!$A:$A=DG$2)*(AsistenciaJetAdminConcatenada!$B:$B=DG$1), 0)), 1))),  0.5, 0))</f>
        <v>0</v>
      </c>
      <c r="DH90" s="47">
        <f t="array" ref="DH90">IF(AND(ISNUMBER(MATCH(DH$2, AsistenciaJetAdminConcatenada!$A:$A, 0)), ISNUMBER(MATCH(DH$1, AsistenciaJetAdminConcatenada!$B:$B, 0)), ISNUMBER(SEARCH($A90,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ISNUMBER(SEARCH($A90, INDEX(AsistenciaJetAdminConcatenada!$D:$D, MATCH(1, (AsistenciaJetAdminConcatenada!$A:$A=DH$2)*(AsistenciaJetAdminConcatenada!$B:$B=DH$1), 0)), 1))),  0.5, 0))</f>
        <v>0</v>
      </c>
      <c r="DI90" s="47">
        <f t="array" ref="DI90">IF(AND(ISNUMBER(MATCH(DI$2, AsistenciaJetAdminConcatenada!$A:$A, 0)), ISNUMBER(MATCH(DI$1, AsistenciaJetAdminConcatenada!$B:$B, 0)), ISNUMBER(SEARCH($A90,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ISNUMBER(SEARCH($A90, INDEX(AsistenciaJetAdminConcatenada!$D:$D, MATCH(1, (AsistenciaJetAdminConcatenada!$A:$A=DI$2)*(AsistenciaJetAdminConcatenada!$B:$B=DI$1), 0)), 1))),  0.5, 0))</f>
        <v>0</v>
      </c>
      <c r="DJ90" s="47">
        <f t="array" ref="DJ90">IF(AND(ISNUMBER(MATCH(DJ$2, AsistenciaJetAdminConcatenada!$A:$A, 0)), ISNUMBER(MATCH(DJ$1, AsistenciaJetAdminConcatenada!$B:$B, 0)), ISNUMBER(SEARCH($A90,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ISNUMBER(SEARCH($A90, INDEX(AsistenciaJetAdminConcatenada!$D:$D, MATCH(1, (AsistenciaJetAdminConcatenada!$A:$A=DJ$2)*(AsistenciaJetAdminConcatenada!$B:$B=DJ$1), 0)), 1))),  0.5, 0))</f>
        <v>0</v>
      </c>
      <c r="DK90" s="47">
        <f t="array" ref="DK90">IF(AND(ISNUMBER(MATCH(DK$2, AsistenciaJetAdminConcatenada!$A:$A, 0)), ISNUMBER(MATCH(DK$1, AsistenciaJetAdminConcatenada!$B:$B, 0)), ISNUMBER(SEARCH($A90,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ISNUMBER(SEARCH($A90, INDEX(AsistenciaJetAdminConcatenada!$D:$D, MATCH(1, (AsistenciaJetAdminConcatenada!$A:$A=DK$2)*(AsistenciaJetAdminConcatenada!$B:$B=DK$1), 0)), 1))),  0.5, 0))</f>
        <v>0</v>
      </c>
      <c r="DL90" s="47">
        <f t="array" ref="DL90">IF(AND(ISNUMBER(MATCH(DL$2, AsistenciaJetAdminConcatenada!$A:$A, 0)), ISNUMBER(MATCH(DL$1, AsistenciaJetAdminConcatenada!$B:$B, 0)), ISNUMBER(SEARCH($A90,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ISNUMBER(SEARCH($A90, INDEX(AsistenciaJetAdminConcatenada!$D:$D, MATCH(1, (AsistenciaJetAdminConcatenada!$A:$A=DL$2)*(AsistenciaJetAdminConcatenada!$B:$B=DL$1), 0)), 1))),  0.5, 0))</f>
        <v>0</v>
      </c>
      <c r="DM90" s="47">
        <f t="array" ref="DM90">IF(AND(ISNUMBER(MATCH(DM$2, AsistenciaJetAdminConcatenada!$A:$A, 0)), ISNUMBER(MATCH(DM$1, AsistenciaJetAdminConcatenada!$B:$B, 0)), ISNUMBER(SEARCH($A90,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ISNUMBER(SEARCH($A90, INDEX(AsistenciaJetAdminConcatenada!$D:$D, MATCH(1, (AsistenciaJetAdminConcatenada!$A:$A=DM$2)*(AsistenciaJetAdminConcatenada!$B:$B=DM$1), 0)), 1))),  0.5, 0))</f>
        <v>0</v>
      </c>
      <c r="DN90" s="47">
        <f t="array" ref="DN90">IF(AND(ISNUMBER(MATCH(DN$2, AsistenciaJetAdminConcatenada!$A:$A, 0)), ISNUMBER(MATCH(DN$1, AsistenciaJetAdminConcatenada!$B:$B, 0)), ISNUMBER(SEARCH($A90,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ISNUMBER(SEARCH($A90, INDEX(AsistenciaJetAdminConcatenada!$D:$D, MATCH(1, (AsistenciaJetAdminConcatenada!$A:$A=DN$2)*(AsistenciaJetAdminConcatenada!$B:$B=DN$1), 0)), 1))),  0.5, 0))</f>
        <v>0</v>
      </c>
      <c r="DO90" s="47">
        <f t="array" ref="DO90">IF(AND(ISNUMBER(MATCH(DO$2, AsistenciaJetAdminConcatenada!$A:$A, 0)), ISNUMBER(MATCH(DO$1, AsistenciaJetAdminConcatenada!$B:$B, 0)), ISNUMBER(SEARCH($A90,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ISNUMBER(SEARCH($A90, INDEX(AsistenciaJetAdminConcatenada!$D:$D, MATCH(1, (AsistenciaJetAdminConcatenada!$A:$A=DO$2)*(AsistenciaJetAdminConcatenada!$B:$B=DO$1), 0)), 1))),  0.5, 0))</f>
        <v>0</v>
      </c>
      <c r="DP90" s="47">
        <f t="array" ref="DP90">IF(AND(ISNUMBER(MATCH(DP$2, AsistenciaJetAdminConcatenada!$A:$A, 0)), ISNUMBER(MATCH(DP$1, AsistenciaJetAdminConcatenada!$B:$B, 0)), ISNUMBER(SEARCH($A90,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ISNUMBER(SEARCH($A90, INDEX(AsistenciaJetAdminConcatenada!$D:$D, MATCH(1, (AsistenciaJetAdminConcatenada!$A:$A=DP$2)*(AsistenciaJetAdminConcatenada!$B:$B=DP$1), 0)), 1))),  0.5, 0))</f>
        <v>0</v>
      </c>
      <c r="DQ90" s="47">
        <f t="array" ref="DQ90">IF(AND(ISNUMBER(MATCH(DQ$2, AsistenciaJetAdminConcatenada!$A:$A, 0)), ISNUMBER(MATCH(DQ$1, AsistenciaJetAdminConcatenada!$B:$B, 0)), ISNUMBER(SEARCH($A90,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ISNUMBER(SEARCH($A90, INDEX(AsistenciaJetAdminConcatenada!$D:$D, MATCH(1, (AsistenciaJetAdminConcatenada!$A:$A=DQ$2)*(AsistenciaJetAdminConcatenada!$B:$B=DQ$1), 0)), 1))),  0.5, 0))</f>
        <v>0</v>
      </c>
      <c r="DR90" s="47">
        <f t="array" ref="DR90">IF(AND(ISNUMBER(MATCH(DR$2, AsistenciaJetAdminConcatenada!$A:$A, 0)), ISNUMBER(MATCH(DR$1, AsistenciaJetAdminConcatenada!$B:$B, 0)), ISNUMBER(SEARCH($A90,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ISNUMBER(SEARCH($A90, INDEX(AsistenciaJetAdminConcatenada!$D:$D, MATCH(1, (AsistenciaJetAdminConcatenada!$A:$A=DR$2)*(AsistenciaJetAdminConcatenada!$B:$B=DR$1), 0)), 1))),  0.5, 0))</f>
        <v>0</v>
      </c>
      <c r="DS90" s="47">
        <f t="array" ref="DS90">IF(AND(ISNUMBER(MATCH(DS$2, AsistenciaJetAdminConcatenada!$A:$A, 0)), ISNUMBER(MATCH(DS$1, AsistenciaJetAdminConcatenada!$B:$B, 0)), ISNUMBER(SEARCH($A90,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ISNUMBER(SEARCH($A90, INDEX(AsistenciaJetAdminConcatenada!$D:$D, MATCH(1, (AsistenciaJetAdminConcatenada!$A:$A=DS$2)*(AsistenciaJetAdminConcatenada!$B:$B=DS$1), 0)), 1))),  0.5, 0))</f>
        <v>0</v>
      </c>
      <c r="DT90" s="47">
        <f t="array" ref="DT90">IF(AND(ISNUMBER(MATCH(DT$2, AsistenciaJetAdminConcatenada!$A:$A, 0)), ISNUMBER(MATCH(DT$1, AsistenciaJetAdminConcatenada!$B:$B, 0)), ISNUMBER(SEARCH($A90,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ISNUMBER(SEARCH($A90, INDEX(AsistenciaJetAdminConcatenada!$D:$D, MATCH(1, (AsistenciaJetAdminConcatenada!$A:$A=DT$2)*(AsistenciaJetAdminConcatenada!$B:$B=DT$1), 0)), 1))),  0.5, 0))</f>
        <v>0</v>
      </c>
      <c r="DU90" s="47">
        <f t="array" ref="DU90">IF(AND(ISNUMBER(MATCH(DU$2, AsistenciaJetAdminConcatenada!$A:$A, 0)), ISNUMBER(MATCH(DU$1, AsistenciaJetAdminConcatenada!$B:$B, 0)), ISNUMBER(SEARCH($A90,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ISNUMBER(SEARCH($A90, INDEX(AsistenciaJetAdminConcatenada!$D:$D, MATCH(1, (AsistenciaJetAdminConcatenada!$A:$A=DU$2)*(AsistenciaJetAdminConcatenada!$B:$B=DU$1), 0)), 1))),  0.5, 0))</f>
        <v>0</v>
      </c>
      <c r="DV90" s="47">
        <f t="array" ref="DV90">IF(AND(ISNUMBER(MATCH(DV$2, AsistenciaJetAdminConcatenada!$A:$A, 0)), ISNUMBER(MATCH(DV$1, AsistenciaJetAdminConcatenada!$B:$B, 0)), ISNUMBER(SEARCH($A90,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ISNUMBER(SEARCH($A90, INDEX(AsistenciaJetAdminConcatenada!$D:$D, MATCH(1, (AsistenciaJetAdminConcatenada!$A:$A=DV$2)*(AsistenciaJetAdminConcatenada!$B:$B=DV$1), 0)), 1))),  0.5, 0))</f>
        <v>0</v>
      </c>
      <c r="DW90" s="47">
        <f t="array" ref="DW90">IF(AND(ISNUMBER(MATCH(DW$2, AsistenciaJetAdminConcatenada!$A:$A, 0)), ISNUMBER(MATCH(DW$1, AsistenciaJetAdminConcatenada!$B:$B, 0)), ISNUMBER(SEARCH($A90,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ISNUMBER(SEARCH($A90, INDEX(AsistenciaJetAdminConcatenada!$D:$D, MATCH(1, (AsistenciaJetAdminConcatenada!$A:$A=DW$2)*(AsistenciaJetAdminConcatenada!$B:$B=DW$1), 0)), 1))),  0.5, 0))</f>
        <v>0</v>
      </c>
      <c r="DX90" s="47">
        <f t="array" ref="DX90">IF(AND(ISNUMBER(MATCH(DX$2, AsistenciaJetAdminConcatenada!$A:$A, 0)), ISNUMBER(MATCH(DX$1, AsistenciaJetAdminConcatenada!$B:$B, 0)), ISNUMBER(SEARCH($A90,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ISNUMBER(SEARCH($A90, INDEX(AsistenciaJetAdminConcatenada!$D:$D, MATCH(1, (AsistenciaJetAdminConcatenada!$A:$A=DX$2)*(AsistenciaJetAdminConcatenada!$B:$B=DX$1), 0)), 1))),  0.5, 0))</f>
        <v>0</v>
      </c>
      <c r="DY90" s="47">
        <f t="array" ref="DY90">IF(AND(ISNUMBER(MATCH(DY$2, AsistenciaJetAdminConcatenada!$A:$A, 0)), ISNUMBER(MATCH(DY$1, AsistenciaJetAdminConcatenada!$B:$B, 0)), ISNUMBER(SEARCH($A90,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ISNUMBER(SEARCH($A90, INDEX(AsistenciaJetAdminConcatenada!$D:$D, MATCH(1, (AsistenciaJetAdminConcatenada!$A:$A=DY$2)*(AsistenciaJetAdminConcatenada!$B:$B=DY$1), 0)), 1))),  0.5, 0))</f>
        <v>0</v>
      </c>
      <c r="DZ90" s="47">
        <f t="array" ref="DZ90">IF(AND(ISNUMBER(MATCH(DZ$2, AsistenciaJetAdminConcatenada!$A:$A, 0)), ISNUMBER(MATCH(DZ$1, AsistenciaJetAdminConcatenada!$B:$B, 0)), ISNUMBER(SEARCH($A90,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ISNUMBER(SEARCH($A90, INDEX(AsistenciaJetAdminConcatenada!$D:$D, MATCH(1, (AsistenciaJetAdminConcatenada!$A:$A=DZ$2)*(AsistenciaJetAdminConcatenada!$B:$B=DZ$1), 0)), 1))),  0.5, 0))</f>
        <v>0</v>
      </c>
      <c r="EA90" s="47">
        <f t="array" ref="EA90">IF(AND(ISNUMBER(MATCH(EA$2, AsistenciaJetAdminConcatenada!$A:$A, 0)), ISNUMBER(MATCH(EA$1, AsistenciaJetAdminConcatenada!$B:$B, 0)), ISNUMBER(SEARCH($A90,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ISNUMBER(SEARCH($A90, INDEX(AsistenciaJetAdminConcatenada!$D:$D, MATCH(1, (AsistenciaJetAdminConcatenada!$A:$A=EA$2)*(AsistenciaJetAdminConcatenada!$B:$B=EA$1), 0)), 1))),  0.5, 0))</f>
        <v>0</v>
      </c>
      <c r="EB90" s="47">
        <f t="array" ref="EB90">IF(AND(ISNUMBER(MATCH(EB$2, AsistenciaJetAdminConcatenada!$A:$A, 0)), ISNUMBER(MATCH(EB$1, AsistenciaJetAdminConcatenada!$B:$B, 0)), ISNUMBER(SEARCH($A90,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ISNUMBER(SEARCH($A90, INDEX(AsistenciaJetAdminConcatenada!$D:$D, MATCH(1, (AsistenciaJetAdminConcatenada!$A:$A=EB$2)*(AsistenciaJetAdminConcatenada!$B:$B=EB$1), 0)), 1))),  0.5, 0))</f>
        <v>0</v>
      </c>
      <c r="EC90" s="47">
        <f t="array" ref="EC90">IF(AND(ISNUMBER(MATCH(EC$2, AsistenciaJetAdminConcatenada!$A:$A, 0)), ISNUMBER(MATCH(EC$1, AsistenciaJetAdminConcatenada!$B:$B, 0)), ISNUMBER(SEARCH($A90,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ISNUMBER(SEARCH($A90, INDEX(AsistenciaJetAdminConcatenada!$D:$D, MATCH(1, (AsistenciaJetAdminConcatenada!$A:$A=EC$2)*(AsistenciaJetAdminConcatenada!$B:$B=EC$1), 0)), 1))),  0.5, 0))</f>
        <v>0</v>
      </c>
      <c r="ED90" s="47">
        <f t="array" ref="ED90">IF(AND(ISNUMBER(MATCH(ED$2, AsistenciaJetAdminConcatenada!$A:$A, 0)), ISNUMBER(MATCH(ED$1, AsistenciaJetAdminConcatenada!$B:$B, 0)), ISNUMBER(SEARCH($A90,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ISNUMBER(SEARCH($A90, INDEX(AsistenciaJetAdminConcatenada!$D:$D, MATCH(1, (AsistenciaJetAdminConcatenada!$A:$A=ED$2)*(AsistenciaJetAdminConcatenada!$B:$B=ED$1), 0)), 1))),  0.5, 0))</f>
        <v>0</v>
      </c>
      <c r="EE90" s="47">
        <f t="array" ref="EE90">IF(AND(ISNUMBER(MATCH(EE$2, AsistenciaJetAdminConcatenada!$A:$A, 0)), ISNUMBER(MATCH(EE$1, AsistenciaJetAdminConcatenada!$B:$B, 0)), ISNUMBER(SEARCH($A90,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ISNUMBER(SEARCH($A90, INDEX(AsistenciaJetAdminConcatenada!$D:$D, MATCH(1, (AsistenciaJetAdminConcatenada!$A:$A=EE$2)*(AsistenciaJetAdminConcatenada!$B:$B=EE$1), 0)), 1))),  0.5, 0))</f>
        <v>0</v>
      </c>
      <c r="EF90" s="47">
        <f t="array" ref="EF90">IF(AND(ISNUMBER(MATCH(EF$2, AsistenciaJetAdminConcatenada!$A:$A, 0)), ISNUMBER(MATCH(EF$1, AsistenciaJetAdminConcatenada!$B:$B, 0)), ISNUMBER(SEARCH($A90,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ISNUMBER(SEARCH($A90, INDEX(AsistenciaJetAdminConcatenada!$D:$D, MATCH(1, (AsistenciaJetAdminConcatenada!$A:$A=EF$2)*(AsistenciaJetAdminConcatenada!$B:$B=EF$1), 0)), 1))),  0.5, 0))</f>
        <v>0</v>
      </c>
      <c r="EG90" s="47">
        <f t="array" ref="EG90">IF(AND(ISNUMBER(MATCH(EG$2, AsistenciaJetAdminConcatenada!$A:$A, 0)), ISNUMBER(MATCH(EG$1, AsistenciaJetAdminConcatenada!$B:$B, 0)), ISNUMBER(SEARCH($A90,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ISNUMBER(SEARCH($A90, INDEX(AsistenciaJetAdminConcatenada!$D:$D, MATCH(1, (AsistenciaJetAdminConcatenada!$A:$A=EG$2)*(AsistenciaJetAdminConcatenada!$B:$B=EG$1), 0)), 1))),  0.5, 0))</f>
        <v>0</v>
      </c>
      <c r="EH90" s="47">
        <f t="array" ref="EH90">IF(AND(ISNUMBER(MATCH(EH$2, AsistenciaJetAdminConcatenada!$A:$A, 0)), ISNUMBER(MATCH(EH$1, AsistenciaJetAdminConcatenada!$B:$B, 0)), ISNUMBER(SEARCH($A90,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ISNUMBER(SEARCH($A90, INDEX(AsistenciaJetAdminConcatenada!$D:$D, MATCH(1, (AsistenciaJetAdminConcatenada!$A:$A=EH$2)*(AsistenciaJetAdminConcatenada!$B:$B=EH$1), 0)), 1))),  0.5, 0))</f>
        <v>0</v>
      </c>
      <c r="EI90" s="47">
        <f t="array" ref="EI90">IF(AND(ISNUMBER(MATCH(EI$2, AsistenciaJetAdminConcatenada!$A:$A, 0)), ISNUMBER(MATCH(EI$1, AsistenciaJetAdminConcatenada!$B:$B, 0)), ISNUMBER(SEARCH($A90,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ISNUMBER(SEARCH($A90, INDEX(AsistenciaJetAdminConcatenada!$D:$D, MATCH(1, (AsistenciaJetAdminConcatenada!$A:$A=EI$2)*(AsistenciaJetAdminConcatenada!$B:$B=EI$1), 0)), 1))),  0.5, 0))</f>
        <v>0</v>
      </c>
      <c r="EJ90" s="47">
        <f t="array" ref="EJ90">IF(AND(ISNUMBER(MATCH(EJ$2, AsistenciaJetAdminConcatenada!$A:$A, 0)), ISNUMBER(MATCH(EJ$1, AsistenciaJetAdminConcatenada!$B:$B, 0)), ISNUMBER(SEARCH($A90,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ISNUMBER(SEARCH($A90, INDEX(AsistenciaJetAdminConcatenada!$D:$D, MATCH(1, (AsistenciaJetAdminConcatenada!$A:$A=EJ$2)*(AsistenciaJetAdminConcatenada!$B:$B=EJ$1), 0)), 1))),  0.5, 0))</f>
        <v>0</v>
      </c>
      <c r="EK90" s="47">
        <f t="array" ref="EK90">IF(AND(ISNUMBER(MATCH(EK$2, AsistenciaJetAdminConcatenada!$A:$A, 0)), ISNUMBER(MATCH(EK$1, AsistenciaJetAdminConcatenada!$B:$B, 0)), ISNUMBER(SEARCH($A90,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ISNUMBER(SEARCH($A90, INDEX(AsistenciaJetAdminConcatenada!$D:$D, MATCH(1, (AsistenciaJetAdminConcatenada!$A:$A=EK$2)*(AsistenciaJetAdminConcatenada!$B:$B=EK$1), 0)), 1))),  0.5, 0))</f>
        <v>0</v>
      </c>
      <c r="EL90" s="47">
        <f t="array" ref="EL90">IF(AND(ISNUMBER(MATCH(EL$2, AsistenciaJetAdminConcatenada!$A:$A, 0)), ISNUMBER(MATCH(EL$1, AsistenciaJetAdminConcatenada!$B:$B, 0)), ISNUMBER(SEARCH($A90,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ISNUMBER(SEARCH($A90, INDEX(AsistenciaJetAdminConcatenada!$D:$D, MATCH(1, (AsistenciaJetAdminConcatenada!$A:$A=EL$2)*(AsistenciaJetAdminConcatenada!$B:$B=EL$1), 0)), 1))),  0.5, 0))</f>
        <v>0</v>
      </c>
      <c r="EM90" s="47">
        <f t="array" ref="EM90">IF(AND(ISNUMBER(MATCH(EM$2, AsistenciaJetAdminConcatenada!$A:$A, 0)), ISNUMBER(MATCH(EM$1, AsistenciaJetAdminConcatenada!$B:$B, 0)), ISNUMBER(SEARCH($A90,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ISNUMBER(SEARCH($A90, INDEX(AsistenciaJetAdminConcatenada!$D:$D, MATCH(1, (AsistenciaJetAdminConcatenada!$A:$A=EM$2)*(AsistenciaJetAdminConcatenada!$B:$B=EM$1), 0)), 1))),  0.5, 0))</f>
        <v>0</v>
      </c>
      <c r="EN90" s="47">
        <f t="array" ref="EN90">IF(AND(ISNUMBER(MATCH(EN$2, AsistenciaJetAdminConcatenada!$A:$A, 0)), ISNUMBER(MATCH(EN$1, AsistenciaJetAdminConcatenada!$B:$B, 0)), ISNUMBER(SEARCH($A90,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ISNUMBER(SEARCH($A90, INDEX(AsistenciaJetAdminConcatenada!$D:$D, MATCH(1, (AsistenciaJetAdminConcatenada!$A:$A=EN$2)*(AsistenciaJetAdminConcatenada!$B:$B=EN$1), 0)), 1))),  0.5, 0))</f>
        <v>0</v>
      </c>
      <c r="EO90" s="47">
        <f t="array" ref="EO90">IF(AND(ISNUMBER(MATCH(EO$2, AsistenciaJetAdminConcatenada!$A:$A, 0)), ISNUMBER(MATCH(EO$1, AsistenciaJetAdminConcatenada!$B:$B, 0)), ISNUMBER(SEARCH($A90,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ISNUMBER(SEARCH($A90, INDEX(AsistenciaJetAdminConcatenada!$D:$D, MATCH(1, (AsistenciaJetAdminConcatenada!$A:$A=EO$2)*(AsistenciaJetAdminConcatenada!$B:$B=EO$1), 0)), 1))),  0.5, 0))</f>
        <v>0</v>
      </c>
      <c r="EP90" s="47">
        <f t="array" ref="EP90">IF(AND(ISNUMBER(MATCH(EP$2, AsistenciaJetAdminConcatenada!$A:$A, 0)), ISNUMBER(MATCH(EP$1, AsistenciaJetAdminConcatenada!$B:$B, 0)), ISNUMBER(SEARCH($A90,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ISNUMBER(SEARCH($A90, INDEX(AsistenciaJetAdminConcatenada!$D:$D, MATCH(1, (AsistenciaJetAdminConcatenada!$A:$A=EP$2)*(AsistenciaJetAdminConcatenada!$B:$B=EP$1), 0)), 1))),  0.5, 0))</f>
        <v>0</v>
      </c>
      <c r="EQ90" s="47">
        <f t="array" ref="EQ90">IF(AND(ISNUMBER(MATCH(EQ$2, AsistenciaJetAdminConcatenada!$A:$A, 0)), ISNUMBER(MATCH(EQ$1, AsistenciaJetAdminConcatenada!$B:$B, 0)), ISNUMBER(SEARCH($A90,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ISNUMBER(SEARCH($A90, INDEX(AsistenciaJetAdminConcatenada!$D:$D, MATCH(1, (AsistenciaJetAdminConcatenada!$A:$A=EQ$2)*(AsistenciaJetAdminConcatenada!$B:$B=EQ$1), 0)), 1))),  0.5, 0))</f>
        <v>0</v>
      </c>
      <c r="ER90" s="47">
        <f t="array" ref="ER90">IF(AND(ISNUMBER(MATCH(ER$2, AsistenciaJetAdminConcatenada!$A:$A, 0)), ISNUMBER(MATCH(ER$1, AsistenciaJetAdminConcatenada!$B:$B, 0)), ISNUMBER(SEARCH($A90,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ISNUMBER(SEARCH($A90, INDEX(AsistenciaJetAdminConcatenada!$D:$D, MATCH(1, (AsistenciaJetAdminConcatenada!$A:$A=ER$2)*(AsistenciaJetAdminConcatenada!$B:$B=ER$1), 0)), 1))),  0.5, 0))</f>
        <v>0</v>
      </c>
      <c r="ES90" s="47">
        <f t="array" ref="ES90">IF(AND(ISNUMBER(MATCH(ES$2, AsistenciaJetAdminConcatenada!$A:$A, 0)), ISNUMBER(MATCH(ES$1, AsistenciaJetAdminConcatenada!$B:$B, 0)), ISNUMBER(SEARCH($A90,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ISNUMBER(SEARCH($A90, INDEX(AsistenciaJetAdminConcatenada!$D:$D, MATCH(1, (AsistenciaJetAdminConcatenada!$A:$A=ES$2)*(AsistenciaJetAdminConcatenada!$B:$B=ES$1), 0)), 1))),  0.5, 0))</f>
        <v>0</v>
      </c>
      <c r="ET90" s="47">
        <f t="array" ref="ET90">IF(AND(ISNUMBER(MATCH(ET$2, AsistenciaJetAdminConcatenada!$A:$A, 0)), ISNUMBER(MATCH(ET$1, AsistenciaJetAdminConcatenada!$B:$B, 0)), ISNUMBER(SEARCH($A90,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ISNUMBER(SEARCH($A90, INDEX(AsistenciaJetAdminConcatenada!$D:$D, MATCH(1, (AsistenciaJetAdminConcatenada!$A:$A=ET$2)*(AsistenciaJetAdminConcatenada!$B:$B=ET$1), 0)), 1))),  0.5, 0))</f>
        <v>0</v>
      </c>
      <c r="EU90" s="47">
        <f t="array" ref="EU90">IF(AND(ISNUMBER(MATCH(EU$2, AsistenciaJetAdminConcatenada!$A:$A, 0)), ISNUMBER(MATCH(EU$1, AsistenciaJetAdminConcatenada!$B:$B, 0)), ISNUMBER(SEARCH($A90,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ISNUMBER(SEARCH($A90, INDEX(AsistenciaJetAdminConcatenada!$D:$D, MATCH(1, (AsistenciaJetAdminConcatenada!$A:$A=EU$2)*(AsistenciaJetAdminConcatenada!$B:$B=EU$1), 0)), 1))),  0.5, 0))</f>
        <v>0</v>
      </c>
      <c r="EV90" s="47">
        <f t="array" ref="EV90">IF(AND(ISNUMBER(MATCH(EV$2, AsistenciaJetAdminConcatenada!$A:$A, 0)), ISNUMBER(MATCH(EV$1, AsistenciaJetAdminConcatenada!$B:$B, 0)), ISNUMBER(SEARCH($A90,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ISNUMBER(SEARCH($A90, INDEX(AsistenciaJetAdminConcatenada!$D:$D, MATCH(1, (AsistenciaJetAdminConcatenada!$A:$A=EV$2)*(AsistenciaJetAdminConcatenada!$B:$B=EV$1), 0)), 1))),  0.5, 0))</f>
        <v>0</v>
      </c>
      <c r="EW90" s="47">
        <f t="array" ref="EW90">IF(AND(ISNUMBER(MATCH(EW$2, AsistenciaJetAdminConcatenada!$A:$A, 0)), ISNUMBER(MATCH(EW$1, AsistenciaJetAdminConcatenada!$B:$B, 0)), ISNUMBER(SEARCH($A90,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ISNUMBER(SEARCH($A90, INDEX(AsistenciaJetAdminConcatenada!$D:$D, MATCH(1, (AsistenciaJetAdminConcatenada!$A:$A=EW$2)*(AsistenciaJetAdminConcatenada!$B:$B=EW$1), 0)), 1))),  0.5, 0))</f>
        <v>0</v>
      </c>
      <c r="EX90" s="47">
        <f t="array" ref="EX90">IF(AND(ISNUMBER(MATCH(EX$2, AsistenciaJetAdminConcatenada!$A:$A, 0)), ISNUMBER(MATCH(EX$1, AsistenciaJetAdminConcatenada!$B:$B, 0)), ISNUMBER(SEARCH($A90,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ISNUMBER(SEARCH($A90, INDEX(AsistenciaJetAdminConcatenada!$D:$D, MATCH(1, (AsistenciaJetAdminConcatenada!$A:$A=EX$2)*(AsistenciaJetAdminConcatenada!$B:$B=EX$1), 0)), 1))),  0.5, 0))</f>
        <v>0</v>
      </c>
      <c r="EY90" s="47">
        <f t="array" ref="EY90">IF(AND(ISNUMBER(MATCH(EY$2, AsistenciaJetAdminConcatenada!$A:$A, 0)), ISNUMBER(MATCH(EY$1, AsistenciaJetAdminConcatenada!$B:$B, 0)), ISNUMBER(SEARCH($A90,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ISNUMBER(SEARCH($A90, INDEX(AsistenciaJetAdminConcatenada!$D:$D, MATCH(1, (AsistenciaJetAdminConcatenada!$A:$A=EY$2)*(AsistenciaJetAdminConcatenada!$B:$B=EY$1), 0)), 1))),  0.5, 0))</f>
        <v>0</v>
      </c>
      <c r="EZ90" s="47">
        <f t="array" ref="EZ90">IF(AND(ISNUMBER(MATCH(EZ$2, AsistenciaJetAdminConcatenada!$A:$A, 0)), ISNUMBER(MATCH(EZ$1, AsistenciaJetAdminConcatenada!$B:$B, 0)), ISNUMBER(SEARCH($A90,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ISNUMBER(SEARCH($A90, INDEX(AsistenciaJetAdminConcatenada!$D:$D, MATCH(1, (AsistenciaJetAdminConcatenada!$A:$A=EZ$2)*(AsistenciaJetAdminConcatenada!$B:$B=EZ$1), 0)), 1))),  0.5, 0))</f>
        <v>0</v>
      </c>
      <c r="FA90" s="47">
        <f t="array" ref="FA90">IF(AND(ISNUMBER(MATCH(FA$2, AsistenciaJetAdminConcatenada!$A:$A, 0)), ISNUMBER(MATCH(FA$1, AsistenciaJetAdminConcatenada!$B:$B, 0)), ISNUMBER(SEARCH($A90,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ISNUMBER(SEARCH($A90, INDEX(AsistenciaJetAdminConcatenada!$D:$D, MATCH(1, (AsistenciaJetAdminConcatenada!$A:$A=FA$2)*(AsistenciaJetAdminConcatenada!$B:$B=FA$1), 0)), 1))),  0.5, 0))</f>
        <v>0</v>
      </c>
      <c r="FB90" s="47">
        <f t="array" ref="FB90">IF(AND(ISNUMBER(MATCH(FB$2, AsistenciaJetAdminConcatenada!$A:$A, 0)), ISNUMBER(MATCH(FB$1, AsistenciaJetAdminConcatenada!$B:$B, 0)), ISNUMBER(SEARCH($A90,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ISNUMBER(SEARCH($A90, INDEX(AsistenciaJetAdminConcatenada!$D:$D, MATCH(1, (AsistenciaJetAdminConcatenada!$A:$A=FB$2)*(AsistenciaJetAdminConcatenada!$B:$B=FB$1), 0)), 1))),  0.5, 0))</f>
        <v>0</v>
      </c>
      <c r="FC90" s="47">
        <f t="array" ref="FC90">IF(AND(ISNUMBER(MATCH(FC$2, AsistenciaJetAdminConcatenada!$A:$A, 0)), ISNUMBER(MATCH(FC$1, AsistenciaJetAdminConcatenada!$B:$B, 0)), ISNUMBER(SEARCH($A90,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ISNUMBER(SEARCH($A90, INDEX(AsistenciaJetAdminConcatenada!$D:$D, MATCH(1, (AsistenciaJetAdminConcatenada!$A:$A=FC$2)*(AsistenciaJetAdminConcatenada!$B:$B=FC$1), 0)), 1))),  0.5, 0))</f>
        <v>0</v>
      </c>
      <c r="FD90" s="47">
        <f t="array" ref="FD90">IF(AND(ISNUMBER(MATCH(FD$2, AsistenciaJetAdminConcatenada!$A:$A, 0)), ISNUMBER(MATCH(FD$1, AsistenciaJetAdminConcatenada!$B:$B, 0)), ISNUMBER(SEARCH($A90,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ISNUMBER(SEARCH($A90, INDEX(AsistenciaJetAdminConcatenada!$D:$D, MATCH(1, (AsistenciaJetAdminConcatenada!$A:$A=FD$2)*(AsistenciaJetAdminConcatenada!$B:$B=FD$1), 0)), 1))),  0.5, 0))</f>
        <v>0</v>
      </c>
      <c r="FE90" s="47">
        <f t="array" ref="FE90">IF(AND(ISNUMBER(MATCH(FE$2, AsistenciaJetAdminConcatenada!$A:$A, 0)), ISNUMBER(MATCH(FE$1, AsistenciaJetAdminConcatenada!$B:$B, 0)), ISNUMBER(SEARCH($A90,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ISNUMBER(SEARCH($A90, INDEX(AsistenciaJetAdminConcatenada!$D:$D, MATCH(1, (AsistenciaJetAdminConcatenada!$A:$A=FE$2)*(AsistenciaJetAdminConcatenada!$B:$B=FE$1), 0)), 1))),  0.5, 0))</f>
        <v>0</v>
      </c>
      <c r="FF90" s="47">
        <f t="array" ref="FF90">IF(AND(ISNUMBER(MATCH(FF$2, AsistenciaJetAdminConcatenada!$A:$A, 0)), ISNUMBER(MATCH(FF$1, AsistenciaJetAdminConcatenada!$B:$B, 0)), ISNUMBER(SEARCH($A90,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ISNUMBER(SEARCH($A90, INDEX(AsistenciaJetAdminConcatenada!$D:$D, MATCH(1, (AsistenciaJetAdminConcatenada!$A:$A=FF$2)*(AsistenciaJetAdminConcatenada!$B:$B=FF$1), 0)), 1))),  0.5, 0))</f>
        <v>0</v>
      </c>
      <c r="FG90" s="47">
        <f t="array" ref="FG90">IF(AND(ISNUMBER(MATCH(FG$2, AsistenciaJetAdminConcatenada!$A:$A, 0)), ISNUMBER(MATCH(FG$1, AsistenciaJetAdminConcatenada!$B:$B, 0)), ISNUMBER(SEARCH($A90,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ISNUMBER(SEARCH($A90, INDEX(AsistenciaJetAdminConcatenada!$D:$D, MATCH(1, (AsistenciaJetAdminConcatenada!$A:$A=FG$2)*(AsistenciaJetAdminConcatenada!$B:$B=FG$1), 0)), 1))),  0.5, 0))</f>
        <v>0</v>
      </c>
      <c r="FH90" s="47">
        <f t="array" ref="FH90">IF(AND(ISNUMBER(MATCH(FH$2, AsistenciaJetAdminConcatenada!$A:$A, 0)), ISNUMBER(MATCH(FH$1, AsistenciaJetAdminConcatenada!$B:$B, 0)), ISNUMBER(SEARCH($A90,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ISNUMBER(SEARCH($A90, INDEX(AsistenciaJetAdminConcatenada!$D:$D, MATCH(1, (AsistenciaJetAdminConcatenada!$A:$A=FH$2)*(AsistenciaJetAdminConcatenada!$B:$B=FH$1), 0)), 1))),  0.5, 0))</f>
        <v>0</v>
      </c>
      <c r="FI90" s="47">
        <f t="array" ref="FI90">IF(AND(ISNUMBER(MATCH(FI$2, AsistenciaJetAdminConcatenada!$A:$A, 0)), ISNUMBER(MATCH(FI$1, AsistenciaJetAdminConcatenada!$B:$B, 0)), ISNUMBER(SEARCH($A90,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ISNUMBER(SEARCH($A90, INDEX(AsistenciaJetAdminConcatenada!$D:$D, MATCH(1, (AsistenciaJetAdminConcatenada!$A:$A=FI$2)*(AsistenciaJetAdminConcatenada!$B:$B=FI$1), 0)), 1))),  0.5, 0))</f>
        <v>0</v>
      </c>
      <c r="FJ90" s="47">
        <f t="array" ref="FJ90">IF(AND(ISNUMBER(MATCH(FJ$2, AsistenciaJetAdminConcatenada!$A:$A, 0)), ISNUMBER(MATCH(FJ$1, AsistenciaJetAdminConcatenada!$B:$B, 0)), ISNUMBER(SEARCH($A90,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ISNUMBER(SEARCH($A90, INDEX(AsistenciaJetAdminConcatenada!$D:$D, MATCH(1, (AsistenciaJetAdminConcatenada!$A:$A=FJ$2)*(AsistenciaJetAdminConcatenada!$B:$B=FJ$1), 0)), 1))),  0.5, 0))</f>
        <v>0</v>
      </c>
      <c r="FK90" s="47">
        <f t="array" ref="FK90">IF(AND(ISNUMBER(MATCH(FK$2, AsistenciaJetAdminConcatenada!$A:$A, 0)), ISNUMBER(MATCH(FK$1, AsistenciaJetAdminConcatenada!$B:$B, 0)), ISNUMBER(SEARCH($A90,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ISNUMBER(SEARCH($A90, INDEX(AsistenciaJetAdminConcatenada!$D:$D, MATCH(1, (AsistenciaJetAdminConcatenada!$A:$A=FK$2)*(AsistenciaJetAdminConcatenada!$B:$B=FK$1), 0)), 1))),  0.5, 0))</f>
        <v>0</v>
      </c>
      <c r="FL90" s="47">
        <f t="array" ref="FL90">IF(AND(ISNUMBER(MATCH(FL$2, AsistenciaJetAdminConcatenada!$A:$A, 0)), ISNUMBER(MATCH(FL$1, AsistenciaJetAdminConcatenada!$B:$B, 0)), ISNUMBER(SEARCH($A90,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ISNUMBER(SEARCH($A90, INDEX(AsistenciaJetAdminConcatenada!$D:$D, MATCH(1, (AsistenciaJetAdminConcatenada!$A:$A=FL$2)*(AsistenciaJetAdminConcatenada!$B:$B=FL$1), 0)), 1))),  0.5, 0))</f>
        <v>0</v>
      </c>
      <c r="FM90" s="47">
        <f t="array" ref="FM90">IF(AND(ISNUMBER(MATCH(FM$2, AsistenciaJetAdminConcatenada!$A:$A, 0)), ISNUMBER(MATCH(FM$1, AsistenciaJetAdminConcatenada!$B:$B, 0)), ISNUMBER(SEARCH($A90,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ISNUMBER(SEARCH($A90, INDEX(AsistenciaJetAdminConcatenada!$D:$D, MATCH(1, (AsistenciaJetAdminConcatenada!$A:$A=FM$2)*(AsistenciaJetAdminConcatenada!$B:$B=FM$1), 0)), 1))),  0.5, 0))</f>
        <v>0</v>
      </c>
      <c r="FN90" s="47">
        <f t="array" ref="FN90">IF(AND(ISNUMBER(MATCH(FN$2, AsistenciaJetAdminConcatenada!$A:$A, 0)), ISNUMBER(MATCH(FN$1, AsistenciaJetAdminConcatenada!$B:$B, 0)), ISNUMBER(SEARCH($A90,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ISNUMBER(SEARCH($A90, INDEX(AsistenciaJetAdminConcatenada!$D:$D, MATCH(1, (AsistenciaJetAdminConcatenada!$A:$A=FN$2)*(AsistenciaJetAdminConcatenada!$B:$B=FN$1), 0)), 1))),  0.5, 0))</f>
        <v>0</v>
      </c>
      <c r="FO90" s="47">
        <f t="array" ref="FO90">IF(AND(ISNUMBER(MATCH(FO$2, AsistenciaJetAdminConcatenada!$A:$A, 0)), ISNUMBER(MATCH(FO$1, AsistenciaJetAdminConcatenada!$B:$B, 0)), ISNUMBER(SEARCH($A90,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ISNUMBER(SEARCH($A90, INDEX(AsistenciaJetAdminConcatenada!$D:$D, MATCH(1, (AsistenciaJetAdminConcatenada!$A:$A=FO$2)*(AsistenciaJetAdminConcatenada!$B:$B=FO$1), 0)), 1))),  0.5, 0))</f>
        <v>0</v>
      </c>
      <c r="FP90" s="47">
        <f t="array" ref="FP90">IF(AND(ISNUMBER(MATCH(FP$2, AsistenciaJetAdminConcatenada!$A:$A, 0)), ISNUMBER(MATCH(FP$1, AsistenciaJetAdminConcatenada!$B:$B, 0)), ISNUMBER(SEARCH($A90,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ISNUMBER(SEARCH($A90, INDEX(AsistenciaJetAdminConcatenada!$D:$D, MATCH(1, (AsistenciaJetAdminConcatenada!$A:$A=FP$2)*(AsistenciaJetAdminConcatenada!$B:$B=FP$1), 0)), 1))),  0.5, 0))</f>
        <v>0</v>
      </c>
      <c r="FQ90" s="47">
        <f t="array" ref="FQ90">IF(AND(ISNUMBER(MATCH(FQ$2, AsistenciaJetAdminConcatenada!$A:$A, 0)), ISNUMBER(MATCH(FQ$1, AsistenciaJetAdminConcatenada!$B:$B, 0)), ISNUMBER(SEARCH($A90,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ISNUMBER(SEARCH($A90, INDEX(AsistenciaJetAdminConcatenada!$D:$D, MATCH(1, (AsistenciaJetAdminConcatenada!$A:$A=FQ$2)*(AsistenciaJetAdminConcatenada!$B:$B=FQ$1), 0)), 1))),  0.5, 0))</f>
        <v>0</v>
      </c>
      <c r="FR90" s="47">
        <f t="array" ref="FR90">IF(AND(ISNUMBER(MATCH(FR$2, AsistenciaJetAdminConcatenada!$A:$A, 0)), ISNUMBER(MATCH(FR$1, AsistenciaJetAdminConcatenada!$B:$B, 0)), ISNUMBER(SEARCH($A90,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ISNUMBER(SEARCH($A90, INDEX(AsistenciaJetAdminConcatenada!$D:$D, MATCH(1, (AsistenciaJetAdminConcatenada!$A:$A=FR$2)*(AsistenciaJetAdminConcatenada!$B:$B=FR$1), 0)), 1))),  0.5, 0))</f>
        <v>0</v>
      </c>
      <c r="FS90" s="47">
        <f t="array" ref="FS90">IF(AND(ISNUMBER(MATCH(FS$2, AsistenciaJetAdminConcatenada!$A:$A, 0)), ISNUMBER(MATCH(FS$1, AsistenciaJetAdminConcatenada!$B:$B, 0)), ISNUMBER(SEARCH($A90,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ISNUMBER(SEARCH($A90, INDEX(AsistenciaJetAdminConcatenada!$D:$D, MATCH(1, (AsistenciaJetAdminConcatenada!$A:$A=FS$2)*(AsistenciaJetAdminConcatenada!$B:$B=FS$1), 0)), 1))),  0.5, 0))</f>
        <v>0</v>
      </c>
      <c r="FT90" s="47">
        <f t="array" ref="FT90">IF(AND(ISNUMBER(MATCH(FT$2, AsistenciaJetAdminConcatenada!$A:$A, 0)), ISNUMBER(MATCH(FT$1, AsistenciaJetAdminConcatenada!$B:$B, 0)), ISNUMBER(SEARCH($A90,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ISNUMBER(SEARCH($A90, INDEX(AsistenciaJetAdminConcatenada!$D:$D, MATCH(1, (AsistenciaJetAdminConcatenada!$A:$A=FT$2)*(AsistenciaJetAdminConcatenada!$B:$B=FT$1), 0)), 1))),  0.5, 0))</f>
        <v>0</v>
      </c>
      <c r="FU90" s="47">
        <f t="array" ref="FU90">IF(AND(ISNUMBER(MATCH(FU$2, AsistenciaJetAdminConcatenada!$A:$A, 0)), ISNUMBER(MATCH(FU$1, AsistenciaJetAdminConcatenada!$B:$B, 0)), ISNUMBER(SEARCH($A90,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ISNUMBER(SEARCH($A90, INDEX(AsistenciaJetAdminConcatenada!$D:$D, MATCH(1, (AsistenciaJetAdminConcatenada!$A:$A=FU$2)*(AsistenciaJetAdminConcatenada!$B:$B=FU$1), 0)), 1))),  0.5, 0))</f>
        <v>0</v>
      </c>
      <c r="FV90" s="47">
        <f t="array" ref="FV90">IF(AND(ISNUMBER(MATCH(FV$2, AsistenciaJetAdminConcatenada!$A:$A, 0)), ISNUMBER(MATCH(FV$1, AsistenciaJetAdminConcatenada!$B:$B, 0)), ISNUMBER(SEARCH($A90,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ISNUMBER(SEARCH($A90, INDEX(AsistenciaJetAdminConcatenada!$D:$D, MATCH(1, (AsistenciaJetAdminConcatenada!$A:$A=FV$2)*(AsistenciaJetAdminConcatenada!$B:$B=FV$1), 0)), 1))),  0.5, 0))</f>
        <v>0</v>
      </c>
      <c r="FW90" s="47">
        <f t="array" ref="FW90">IF(AND(ISNUMBER(MATCH(FW$2, AsistenciaJetAdminConcatenada!$A:$A, 0)), ISNUMBER(MATCH(FW$1, AsistenciaJetAdminConcatenada!$B:$B, 0)), ISNUMBER(SEARCH($A90,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ISNUMBER(SEARCH($A90, INDEX(AsistenciaJetAdminConcatenada!$D:$D, MATCH(1, (AsistenciaJetAdminConcatenada!$A:$A=FW$2)*(AsistenciaJetAdminConcatenada!$B:$B=FW$1), 0)), 1))),  0.5, 0))</f>
        <v>0</v>
      </c>
      <c r="FX90" s="47">
        <f t="array" ref="FX90">IF(AND(ISNUMBER(MATCH(FX$2, AsistenciaJetAdminConcatenada!$A:$A, 0)), ISNUMBER(MATCH(FX$1, AsistenciaJetAdminConcatenada!$B:$B, 0)), ISNUMBER(SEARCH($A90,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ISNUMBER(SEARCH($A90, INDEX(AsistenciaJetAdminConcatenada!$D:$D, MATCH(1, (AsistenciaJetAdminConcatenada!$A:$A=FX$2)*(AsistenciaJetAdminConcatenada!$B:$B=FX$1), 0)), 1))),  0.5, 0))</f>
        <v>0</v>
      </c>
      <c r="FY90" s="47">
        <f t="array" ref="FY90">IF(AND(ISNUMBER(MATCH(FY$2, AsistenciaJetAdminConcatenada!$A:$A, 0)), ISNUMBER(MATCH(FY$1, AsistenciaJetAdminConcatenada!$B:$B, 0)), ISNUMBER(SEARCH($A90,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ISNUMBER(SEARCH($A90, INDEX(AsistenciaJetAdminConcatenada!$D:$D, MATCH(1, (AsistenciaJetAdminConcatenada!$A:$A=FY$2)*(AsistenciaJetAdminConcatenada!$B:$B=FY$1), 0)), 1))),  0.5, 0))</f>
        <v>0</v>
      </c>
      <c r="FZ90" s="47">
        <f t="array" ref="FZ90">IF(AND(ISNUMBER(MATCH(FZ$2, AsistenciaJetAdminConcatenada!$A:$A, 0)), ISNUMBER(MATCH(FZ$1, AsistenciaJetAdminConcatenada!$B:$B, 0)), ISNUMBER(SEARCH($A90,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ISNUMBER(SEARCH($A90, INDEX(AsistenciaJetAdminConcatenada!$D:$D, MATCH(1, (AsistenciaJetAdminConcatenada!$A:$A=FZ$2)*(AsistenciaJetAdminConcatenada!$B:$B=FZ$1), 0)), 1))),  0.5, 0))</f>
        <v>0</v>
      </c>
      <c r="GA90" s="47">
        <f t="array" ref="GA90">IF(AND(ISNUMBER(MATCH(GA$2, AsistenciaJetAdminConcatenada!$A:$A, 0)), ISNUMBER(MATCH(GA$1, AsistenciaJetAdminConcatenada!$B:$B, 0)), ISNUMBER(SEARCH($A90,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ISNUMBER(SEARCH($A90, INDEX(AsistenciaJetAdminConcatenada!$D:$D, MATCH(1, (AsistenciaJetAdminConcatenada!$A:$A=GA$2)*(AsistenciaJetAdminConcatenada!$B:$B=GA$1), 0)), 1))),  0.5, 0))</f>
        <v>0</v>
      </c>
      <c r="GB90" s="47">
        <f t="array" ref="GB90">IF(AND(ISNUMBER(MATCH(GB$2, AsistenciaJetAdminConcatenada!$A:$A, 0)), ISNUMBER(MATCH(GB$1, AsistenciaJetAdminConcatenada!$B:$B, 0)), ISNUMBER(SEARCH($A90,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ISNUMBER(SEARCH($A90, INDEX(AsistenciaJetAdminConcatenada!$D:$D, MATCH(1, (AsistenciaJetAdminConcatenada!$A:$A=GB$2)*(AsistenciaJetAdminConcatenada!$B:$B=GB$1), 0)), 1))),  0.5, 0))</f>
        <v>0</v>
      </c>
      <c r="GC90" s="47">
        <f t="array" ref="GC90">IF(AND(ISNUMBER(MATCH(GC$2, AsistenciaJetAdminConcatenada!$A:$A, 0)), ISNUMBER(MATCH(GC$1, AsistenciaJetAdminConcatenada!$B:$B, 0)), ISNUMBER(SEARCH($A90,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ISNUMBER(SEARCH($A90, INDEX(AsistenciaJetAdminConcatenada!$D:$D, MATCH(1, (AsistenciaJetAdminConcatenada!$A:$A=GC$2)*(AsistenciaJetAdminConcatenada!$B:$B=GC$1), 0)), 1))),  0.5, 0))</f>
        <v>0</v>
      </c>
      <c r="GD90" s="47">
        <f t="array" ref="GD90">IF(AND(ISNUMBER(MATCH(GD$2, AsistenciaJetAdminConcatenada!$A:$A, 0)), ISNUMBER(MATCH(GD$1, AsistenciaJetAdminConcatenada!$B:$B, 0)), ISNUMBER(SEARCH($A90,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ISNUMBER(SEARCH($A90, INDEX(AsistenciaJetAdminConcatenada!$D:$D, MATCH(1, (AsistenciaJetAdminConcatenada!$A:$A=GD$2)*(AsistenciaJetAdminConcatenada!$B:$B=GD$1), 0)), 1))),  0.5, 0))</f>
        <v>0</v>
      </c>
      <c r="GE90" s="47">
        <f t="array" ref="GE90">IF(AND(ISNUMBER(MATCH(GE$2, AsistenciaJetAdminConcatenada!$A:$A, 0)), ISNUMBER(MATCH(GE$1, AsistenciaJetAdminConcatenada!$B:$B, 0)), ISNUMBER(SEARCH($A90,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ISNUMBER(SEARCH($A90, INDEX(AsistenciaJetAdminConcatenada!$D:$D, MATCH(1, (AsistenciaJetAdminConcatenada!$A:$A=GE$2)*(AsistenciaJetAdminConcatenada!$B:$B=GE$1), 0)), 1))),  0.5, 0))</f>
        <v>0</v>
      </c>
      <c r="GF90" s="47">
        <f t="array" ref="GF90">IF(AND(ISNUMBER(MATCH(GF$2, AsistenciaJetAdminConcatenada!$A:$A, 0)), ISNUMBER(MATCH(GF$1, AsistenciaJetAdminConcatenada!$B:$B, 0)), ISNUMBER(SEARCH($A90,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ISNUMBER(SEARCH($A90, INDEX(AsistenciaJetAdminConcatenada!$D:$D, MATCH(1, (AsistenciaJetAdminConcatenada!$A:$A=GF$2)*(AsistenciaJetAdminConcatenada!$B:$B=GF$1), 0)), 1))),  0.5, 0))</f>
        <v>0</v>
      </c>
      <c r="GG90" s="47">
        <f t="array" ref="GG90">IF(AND(ISNUMBER(MATCH(GG$2, AsistenciaJetAdminConcatenada!$A:$A, 0)), ISNUMBER(MATCH(GG$1, AsistenciaJetAdminConcatenada!$B:$B, 0)), ISNUMBER(SEARCH($A90,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ISNUMBER(SEARCH($A90, INDEX(AsistenciaJetAdminConcatenada!$D:$D, MATCH(1, (AsistenciaJetAdminConcatenada!$A:$A=GG$2)*(AsistenciaJetAdminConcatenada!$B:$B=GG$1), 0)), 1))),  0.5, 0))</f>
        <v>0</v>
      </c>
      <c r="GH90" s="47">
        <f t="array" ref="GH90">IF(AND(ISNUMBER(MATCH(GH$2, AsistenciaJetAdminConcatenada!$A:$A, 0)), ISNUMBER(MATCH(GH$1, AsistenciaJetAdminConcatenada!$B:$B, 0)), ISNUMBER(SEARCH($A90,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ISNUMBER(SEARCH($A90, INDEX(AsistenciaJetAdminConcatenada!$D:$D, MATCH(1, (AsistenciaJetAdminConcatenada!$A:$A=GH$2)*(AsistenciaJetAdminConcatenada!$B:$B=GH$1), 0)), 1))),  0.5, 0))</f>
        <v>0</v>
      </c>
      <c r="GI90" s="47">
        <f t="array" ref="GI90">IF(AND(ISNUMBER(MATCH(GI$2, AsistenciaJetAdminConcatenada!$A:$A, 0)), ISNUMBER(MATCH(GI$1, AsistenciaJetAdminConcatenada!$B:$B, 0)), ISNUMBER(SEARCH($A90,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ISNUMBER(SEARCH($A90, INDEX(AsistenciaJetAdminConcatenada!$D:$D, MATCH(1, (AsistenciaJetAdminConcatenada!$A:$A=GI$2)*(AsistenciaJetAdminConcatenada!$B:$B=GI$1), 0)), 1))),  0.5, 0))</f>
        <v>0</v>
      </c>
      <c r="GJ90" s="47">
        <f t="array" ref="GJ90">IF(AND(ISNUMBER(MATCH(GJ$2, AsistenciaJetAdminConcatenada!$A:$A, 0)), ISNUMBER(MATCH(GJ$1, AsistenciaJetAdminConcatenada!$B:$B, 0)), ISNUMBER(SEARCH($A90,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ISNUMBER(SEARCH($A90, INDEX(AsistenciaJetAdminConcatenada!$D:$D, MATCH(1, (AsistenciaJetAdminConcatenada!$A:$A=GJ$2)*(AsistenciaJetAdminConcatenada!$B:$B=GJ$1), 0)), 1))),  0.5, 0))</f>
        <v>0</v>
      </c>
      <c r="GK90" s="47">
        <f t="array" ref="GK90">IF(AND(ISNUMBER(MATCH(GK$2, AsistenciaJetAdminConcatenada!$A:$A, 0)), ISNUMBER(MATCH(GK$1, AsistenciaJetAdminConcatenada!$B:$B, 0)), ISNUMBER(SEARCH($A90,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ISNUMBER(SEARCH($A90, INDEX(AsistenciaJetAdminConcatenada!$D:$D, MATCH(1, (AsistenciaJetAdminConcatenada!$A:$A=GK$2)*(AsistenciaJetAdminConcatenada!$B:$B=GK$1), 0)), 1))),  0.5, 0))</f>
        <v>0</v>
      </c>
      <c r="GL90" s="47">
        <f t="array" ref="GL90">IF(AND(ISNUMBER(MATCH(GL$2, AsistenciaJetAdminConcatenada!$A:$A, 0)), ISNUMBER(MATCH(GL$1, AsistenciaJetAdminConcatenada!$B:$B, 0)), ISNUMBER(SEARCH($A90,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ISNUMBER(SEARCH($A90, INDEX(AsistenciaJetAdminConcatenada!$D:$D, MATCH(1, (AsistenciaJetAdminConcatenada!$A:$A=GL$2)*(AsistenciaJetAdminConcatenada!$B:$B=GL$1), 0)), 1))),  0.5, 0))</f>
        <v>0</v>
      </c>
      <c r="GM90" s="47">
        <f t="array" ref="GM90">IF(AND(ISNUMBER(MATCH(GM$2, AsistenciaJetAdminConcatenada!$A:$A, 0)), ISNUMBER(MATCH(GM$1, AsistenciaJetAdminConcatenada!$B:$B, 0)), ISNUMBER(SEARCH($A90,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ISNUMBER(SEARCH($A90, INDEX(AsistenciaJetAdminConcatenada!$D:$D, MATCH(1, (AsistenciaJetAdminConcatenada!$A:$A=GM$2)*(AsistenciaJetAdminConcatenada!$B:$B=GM$1), 0)), 1))),  0.5, 0))</f>
        <v>0</v>
      </c>
      <c r="GN90" s="47">
        <f t="array" ref="GN90">IF(AND(ISNUMBER(MATCH(GN$2, AsistenciaJetAdminConcatenada!$A:$A, 0)), ISNUMBER(MATCH(GN$1, AsistenciaJetAdminConcatenada!$B:$B, 0)), ISNUMBER(SEARCH($A90,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ISNUMBER(SEARCH($A90, INDEX(AsistenciaJetAdminConcatenada!$D:$D, MATCH(1, (AsistenciaJetAdminConcatenada!$A:$A=GN$2)*(AsistenciaJetAdminConcatenada!$B:$B=GN$1), 0)), 1))),  0.5, 0))</f>
        <v>0</v>
      </c>
      <c r="GO90" s="47">
        <f t="array" ref="GO90">IF(AND(ISNUMBER(MATCH(GO$2, AsistenciaJetAdminConcatenada!$A:$A, 0)), ISNUMBER(MATCH(GO$1, AsistenciaJetAdminConcatenada!$B:$B, 0)), ISNUMBER(SEARCH($A90,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ISNUMBER(SEARCH($A90, INDEX(AsistenciaJetAdminConcatenada!$D:$D, MATCH(1, (AsistenciaJetAdminConcatenada!$A:$A=GO$2)*(AsistenciaJetAdminConcatenada!$B:$B=GO$1), 0)), 1))),  0.5, 0))</f>
        <v>0</v>
      </c>
      <c r="GP90" s="47">
        <f t="array" ref="GP90">IF(AND(ISNUMBER(MATCH(GP$2, AsistenciaJetAdminConcatenada!$A:$A, 0)), ISNUMBER(MATCH(GP$1, AsistenciaJetAdminConcatenada!$B:$B, 0)), ISNUMBER(SEARCH($A90,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ISNUMBER(SEARCH($A90, INDEX(AsistenciaJetAdminConcatenada!$D:$D, MATCH(1, (AsistenciaJetAdminConcatenada!$A:$A=GP$2)*(AsistenciaJetAdminConcatenada!$B:$B=GP$1), 0)), 1))),  0.5, 0))</f>
        <v>0</v>
      </c>
      <c r="GQ90" s="47">
        <f t="array" ref="GQ90">IF(AND(ISNUMBER(MATCH(GQ$2, AsistenciaJetAdminConcatenada!$A:$A, 0)), ISNUMBER(MATCH(GQ$1, AsistenciaJetAdminConcatenada!$B:$B, 0)), ISNUMBER(SEARCH($A90,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ISNUMBER(SEARCH($A90, INDEX(AsistenciaJetAdminConcatenada!$D:$D, MATCH(1, (AsistenciaJetAdminConcatenada!$A:$A=GQ$2)*(AsistenciaJetAdminConcatenada!$B:$B=GQ$1), 0)), 1))),  0.5, 0))</f>
        <v>0</v>
      </c>
      <c r="GR90" s="47">
        <f t="array" ref="GR90">IF(AND(ISNUMBER(MATCH(GR$2, AsistenciaJetAdminConcatenada!$A:$A, 0)), ISNUMBER(MATCH(GR$1, AsistenciaJetAdminConcatenada!$B:$B, 0)), ISNUMBER(SEARCH($A90,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ISNUMBER(SEARCH($A90, INDEX(AsistenciaJetAdminConcatenada!$D:$D, MATCH(1, (AsistenciaJetAdminConcatenada!$A:$A=GR$2)*(AsistenciaJetAdminConcatenada!$B:$B=GR$1), 0)), 1))),  0.5, 0))</f>
        <v>0</v>
      </c>
      <c r="GS90" s="47">
        <f t="array" ref="GS90">IF(AND(ISNUMBER(MATCH(GS$2, AsistenciaJetAdminConcatenada!$A:$A, 0)), ISNUMBER(MATCH(GS$1, AsistenciaJetAdminConcatenada!$B:$B, 0)), ISNUMBER(SEARCH($A90,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ISNUMBER(SEARCH($A90, INDEX(AsistenciaJetAdminConcatenada!$D:$D, MATCH(1, (AsistenciaJetAdminConcatenada!$A:$A=GS$2)*(AsistenciaJetAdminConcatenada!$B:$B=GS$1), 0)), 1))),  0.5, 0))</f>
        <v>0</v>
      </c>
      <c r="GT90" s="47">
        <f t="array" ref="GT90">IF(AND(ISNUMBER(MATCH(GT$2, AsistenciaJetAdminConcatenada!$A:$A, 0)), ISNUMBER(MATCH(GT$1, AsistenciaJetAdminConcatenada!$B:$B, 0)), ISNUMBER(SEARCH($A90,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ISNUMBER(SEARCH($A90, INDEX(AsistenciaJetAdminConcatenada!$D:$D, MATCH(1, (AsistenciaJetAdminConcatenada!$A:$A=GT$2)*(AsistenciaJetAdminConcatenada!$B:$B=GT$1), 0)), 1))),  0.5, 0))</f>
        <v>0</v>
      </c>
      <c r="GU90" s="47">
        <f t="array" ref="GU90">IF(AND(ISNUMBER(MATCH(GU$2, AsistenciaJetAdminConcatenada!$A:$A, 0)), ISNUMBER(MATCH(GU$1, AsistenciaJetAdminConcatenada!$B:$B, 0)), ISNUMBER(SEARCH($A90,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ISNUMBER(SEARCH($A90, INDEX(AsistenciaJetAdminConcatenada!$D:$D, MATCH(1, (AsistenciaJetAdminConcatenada!$A:$A=GU$2)*(AsistenciaJetAdminConcatenada!$B:$B=GU$1), 0)), 1))),  0.5, 0))</f>
        <v>0</v>
      </c>
      <c r="GV90" s="47">
        <f t="array" ref="GV90">IF(AND(ISNUMBER(MATCH(GV$2, AsistenciaJetAdminConcatenada!$A:$A, 0)), ISNUMBER(MATCH(GV$1, AsistenciaJetAdminConcatenada!$B:$B, 0)), ISNUMBER(SEARCH($A90,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ISNUMBER(SEARCH($A90, INDEX(AsistenciaJetAdminConcatenada!$D:$D, MATCH(1, (AsistenciaJetAdminConcatenada!$A:$A=GV$2)*(AsistenciaJetAdminConcatenada!$B:$B=GV$1), 0)), 1))),  0.5, 0))</f>
        <v>0</v>
      </c>
      <c r="GW90" s="47">
        <f t="array" ref="GW90">IF(AND(ISNUMBER(MATCH(GW$2, AsistenciaJetAdminConcatenada!$A:$A, 0)), ISNUMBER(MATCH(GW$1, AsistenciaJetAdminConcatenada!$B:$B, 0)), ISNUMBER(SEARCH($A90,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ISNUMBER(SEARCH($A90, INDEX(AsistenciaJetAdminConcatenada!$D:$D, MATCH(1, (AsistenciaJetAdminConcatenada!$A:$A=GW$2)*(AsistenciaJetAdminConcatenada!$B:$B=GW$1), 0)), 1))),  0.5, 0))</f>
        <v>0</v>
      </c>
      <c r="GX90" s="47">
        <f t="array" ref="GX90">IF(AND(ISNUMBER(MATCH(GX$2, AsistenciaJetAdminConcatenada!$A:$A, 0)), ISNUMBER(MATCH(GX$1, AsistenciaJetAdminConcatenada!$B:$B, 0)), ISNUMBER(SEARCH($A90,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ISNUMBER(SEARCH($A90, INDEX(AsistenciaJetAdminConcatenada!$D:$D, MATCH(1, (AsistenciaJetAdminConcatenada!$A:$A=GX$2)*(AsistenciaJetAdminConcatenada!$B:$B=GX$1), 0)), 1))),  0.5, 0))</f>
        <v>0</v>
      </c>
      <c r="GY90" s="47">
        <f t="array" ref="GY90">IF(AND(ISNUMBER(MATCH(GY$2, AsistenciaJetAdminConcatenada!$A:$A, 0)), ISNUMBER(MATCH(GY$1, AsistenciaJetAdminConcatenada!$B:$B, 0)), ISNUMBER(SEARCH($A90,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ISNUMBER(SEARCH($A90, INDEX(AsistenciaJetAdminConcatenada!$D:$D, MATCH(1, (AsistenciaJetAdminConcatenada!$A:$A=GY$2)*(AsistenciaJetAdminConcatenada!$B:$B=GY$1), 0)), 1))),  0.5, 0))</f>
        <v>0</v>
      </c>
      <c r="GZ90" s="47">
        <f t="array" ref="GZ90">IF(AND(ISNUMBER(MATCH(GZ$2, AsistenciaJetAdminConcatenada!$A:$A, 0)), ISNUMBER(MATCH(GZ$1, AsistenciaJetAdminConcatenada!$B:$B, 0)), ISNUMBER(SEARCH($A90,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ISNUMBER(SEARCH($A90, INDEX(AsistenciaJetAdminConcatenada!$D:$D, MATCH(1, (AsistenciaJetAdminConcatenada!$A:$A=GZ$2)*(AsistenciaJetAdminConcatenada!$B:$B=GZ$1), 0)), 1))),  0.5, 0))</f>
        <v>0</v>
      </c>
      <c r="HA90" s="47">
        <f t="array" ref="HA90">IF(AND(ISNUMBER(MATCH(HA$2, AsistenciaJetAdminConcatenada!$A:$A, 0)), ISNUMBER(MATCH(HA$1, AsistenciaJetAdminConcatenada!$B:$B, 0)), ISNUMBER(SEARCH($A90,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ISNUMBER(SEARCH($A90, INDEX(AsistenciaJetAdminConcatenada!$D:$D, MATCH(1, (AsistenciaJetAdminConcatenada!$A:$A=HA$2)*(AsistenciaJetAdminConcatenada!$B:$B=HA$1), 0)), 1))),  0.5, 0))</f>
        <v>0</v>
      </c>
      <c r="HB90" s="47">
        <f t="array" ref="HB90">IF(AND(ISNUMBER(MATCH(HB$2, AsistenciaJetAdminConcatenada!$A:$A, 0)), ISNUMBER(MATCH(HB$1, AsistenciaJetAdminConcatenada!$B:$B, 0)), ISNUMBER(SEARCH($A90,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ISNUMBER(SEARCH($A90, INDEX(AsistenciaJetAdminConcatenada!$D:$D, MATCH(1, (AsistenciaJetAdminConcatenada!$A:$A=HB$2)*(AsistenciaJetAdminConcatenada!$B:$B=HB$1), 0)), 1))),  0.5, 0))</f>
        <v>0</v>
      </c>
      <c r="HC90" s="47">
        <f t="array" ref="HC90">IF(AND(ISNUMBER(MATCH(HC$2, AsistenciaJetAdminConcatenada!$A:$A, 0)), ISNUMBER(MATCH(HC$1, AsistenciaJetAdminConcatenada!$B:$B, 0)), ISNUMBER(SEARCH($A90,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ISNUMBER(SEARCH($A90, INDEX(AsistenciaJetAdminConcatenada!$D:$D, MATCH(1, (AsistenciaJetAdminConcatenada!$A:$A=HC$2)*(AsistenciaJetAdminConcatenada!$B:$B=HC$1), 0)), 1))),  0.5, 0))</f>
        <v>0</v>
      </c>
    </row>
    <row r="91" ht="29.25" customHeight="1">
      <c r="A91" s="3">
        <v>138.0</v>
      </c>
      <c r="B91" s="4" t="s">
        <v>773</v>
      </c>
      <c r="C91" s="47">
        <f>SUM(D91:HC91) + ActividadesEspeciales!C91</f>
        <v>59</v>
      </c>
      <c r="D91" s="47">
        <f t="array" ref="D91">IF(AND(ISNUMBER(MATCH(D$2, AsistenciaJetAdminConcatenada!$A:$A, 0)), ISNUMBER(MATCH(D$1, AsistenciaJetAdminConcatenada!$B:$B, 0)), ISNUMBER(SEARCH($A91,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ISNUMBER(SEARCH($A91, INDEX(AsistenciaJetAdminConcatenada!$D:$D, MATCH(1, (AsistenciaJetAdminConcatenada!$A:$A=D$2)*(AsistenciaJetAdminConcatenada!$B:$B=D$1), 0)), 1))),  0.5, 0))</f>
        <v>1</v>
      </c>
      <c r="E91" s="47">
        <f t="array" ref="E91">IF(AND(ISNUMBER(MATCH(E$2, AsistenciaJetAdminConcatenada!$A:$A, 0)), ISNUMBER(MATCH(E$1, AsistenciaJetAdminConcatenada!$B:$B, 0)), ISNUMBER(SEARCH($A91,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ISNUMBER(SEARCH($A91, INDEX(AsistenciaJetAdminConcatenada!$D:$D, MATCH(1, (AsistenciaJetAdminConcatenada!$A:$A=E$2)*(AsistenciaJetAdminConcatenada!$B:$B=E$1), 0)), 1))),  0.5, 0))</f>
        <v>1</v>
      </c>
      <c r="F91" s="47">
        <f t="array" ref="F91">IF(AND(ISNUMBER(MATCH(F$2, AsistenciaJetAdminConcatenada!$A:$A, 0)), ISNUMBER(MATCH(F$1, AsistenciaJetAdminConcatenada!$B:$B, 0)), ISNUMBER(SEARCH($A91,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ISNUMBER(SEARCH($A91, INDEX(AsistenciaJetAdminConcatenada!$D:$D, MATCH(1, (AsistenciaJetAdminConcatenada!$A:$A=F$2)*(AsistenciaJetAdminConcatenada!$B:$B=F$1), 0)), 1))),  0.5, 0))</f>
        <v>1</v>
      </c>
      <c r="G91" s="47">
        <f t="array" ref="G91">IF(AND(ISNUMBER(MATCH(G$2, AsistenciaJetAdminConcatenada!$A:$A, 0)), ISNUMBER(MATCH(G$1, AsistenciaJetAdminConcatenada!$B:$B, 0)), ISNUMBER(SEARCH($A91,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ISNUMBER(SEARCH($A91, INDEX(AsistenciaJetAdminConcatenada!$D:$D, MATCH(1, (AsistenciaJetAdminConcatenada!$A:$A=G$2)*(AsistenciaJetAdminConcatenada!$B:$B=G$1), 0)), 1))),  0.5, 0))</f>
        <v>1</v>
      </c>
      <c r="H91" s="47">
        <f t="array" ref="H91">IF(AND(ISNUMBER(MATCH(H$2, AsistenciaJetAdminConcatenada!$A:$A, 0)), ISNUMBER(MATCH(H$1, AsistenciaJetAdminConcatenada!$B:$B, 0)), ISNUMBER(SEARCH($A91,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ISNUMBER(SEARCH($A91, INDEX(AsistenciaJetAdminConcatenada!$D:$D, MATCH(1, (AsistenciaJetAdminConcatenada!$A:$A=H$2)*(AsistenciaJetAdminConcatenada!$B:$B=H$1), 0)), 1))),  0.5, 0))</f>
        <v>1</v>
      </c>
      <c r="I91" s="47">
        <f t="array" ref="I91">IF(AND(ISNUMBER(MATCH(I$2, AsistenciaJetAdminConcatenada!$A:$A, 0)), ISNUMBER(MATCH(I$1, AsistenciaJetAdminConcatenada!$B:$B, 0)), ISNUMBER(SEARCH($A91,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ISNUMBER(SEARCH($A91, INDEX(AsistenciaJetAdminConcatenada!$D:$D, MATCH(1, (AsistenciaJetAdminConcatenada!$A:$A=I$2)*(AsistenciaJetAdminConcatenada!$B:$B=I$1), 0)), 1))),  0.5, 0))</f>
        <v>1</v>
      </c>
      <c r="J91" s="47">
        <f t="array" ref="J91">IF(AND(ISNUMBER(MATCH(J$2, AsistenciaJetAdminConcatenada!$A:$A, 0)), ISNUMBER(MATCH(J$1, AsistenciaJetAdminConcatenada!$B:$B, 0)), ISNUMBER(SEARCH($A91,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ISNUMBER(SEARCH($A91, INDEX(AsistenciaJetAdminConcatenada!$D:$D, MATCH(1, (AsistenciaJetAdminConcatenada!$A:$A=J$2)*(AsistenciaJetAdminConcatenada!$B:$B=J$1), 0)), 1))),  0.5, 0))</f>
        <v>1</v>
      </c>
      <c r="K91" s="47">
        <f t="array" ref="K91">IF(AND(ISNUMBER(MATCH(K$2, AsistenciaJetAdminConcatenada!$A:$A, 0)), ISNUMBER(MATCH(K$1, AsistenciaJetAdminConcatenada!$B:$B, 0)), ISNUMBER(SEARCH($A91,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ISNUMBER(SEARCH($A91, INDEX(AsistenciaJetAdminConcatenada!$D:$D, MATCH(1, (AsistenciaJetAdminConcatenada!$A:$A=K$2)*(AsistenciaJetAdminConcatenada!$B:$B=K$1), 0)), 1))),  0.5, 0))</f>
        <v>1</v>
      </c>
      <c r="L91" s="47">
        <f t="array" ref="L91">IF(AND(ISNUMBER(MATCH(L$2, AsistenciaJetAdminConcatenada!$A:$A, 0)), ISNUMBER(MATCH(L$1, AsistenciaJetAdminConcatenada!$B:$B, 0)), ISNUMBER(SEARCH($A91,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ISNUMBER(SEARCH($A91, INDEX(AsistenciaJetAdminConcatenada!$D:$D, MATCH(1, (AsistenciaJetAdminConcatenada!$A:$A=L$2)*(AsistenciaJetAdminConcatenada!$B:$B=L$1), 0)), 1))),  0.5, 0))</f>
        <v>0</v>
      </c>
      <c r="M91" s="47">
        <f t="array" ref="M91">IF(AND(ISNUMBER(MATCH(M$2, AsistenciaJetAdminConcatenada!$A:$A, 0)), ISNUMBER(MATCH(M$1, AsistenciaJetAdminConcatenada!$B:$B, 0)), ISNUMBER(SEARCH($A91,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ISNUMBER(SEARCH($A91, INDEX(AsistenciaJetAdminConcatenada!$D:$D, MATCH(1, (AsistenciaJetAdminConcatenada!$A:$A=M$2)*(AsistenciaJetAdminConcatenada!$B:$B=M$1), 0)), 1))),  0.5, 0))</f>
        <v>1</v>
      </c>
      <c r="N91" s="47">
        <f t="array" ref="N91">IF(AND(ISNUMBER(MATCH(N$2, AsistenciaJetAdminConcatenada!$A:$A, 0)), ISNUMBER(MATCH(N$1, AsistenciaJetAdminConcatenada!$B:$B, 0)), ISNUMBER(SEARCH($A91,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ISNUMBER(SEARCH($A91, INDEX(AsistenciaJetAdminConcatenada!$D:$D, MATCH(1, (AsistenciaJetAdminConcatenada!$A:$A=N$2)*(AsistenciaJetAdminConcatenada!$B:$B=N$1), 0)), 1))),  0.5, 0))</f>
        <v>0</v>
      </c>
      <c r="O91" s="47">
        <f t="array" ref="O91">IF(AND(ISNUMBER(MATCH(O$2, AsistenciaJetAdminConcatenada!$A:$A, 0)), ISNUMBER(MATCH(O$1, AsistenciaJetAdminConcatenada!$B:$B, 0)), ISNUMBER(SEARCH($A91,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ISNUMBER(SEARCH($A91, INDEX(AsistenciaJetAdminConcatenada!$D:$D, MATCH(1, (AsistenciaJetAdminConcatenada!$A:$A=O$2)*(AsistenciaJetAdminConcatenada!$B:$B=O$1), 0)), 1))),  0.5, 0))</f>
        <v>1</v>
      </c>
      <c r="P91" s="47">
        <f t="array" ref="P91">IF(AND(ISNUMBER(MATCH(P$2, AsistenciaJetAdminConcatenada!$A:$A, 0)), ISNUMBER(MATCH(P$1, AsistenciaJetAdminConcatenada!$B:$B, 0)), ISNUMBER(SEARCH($A91, INDEX(AsistenciaJetAdminConcatenada!$C:$C, MATCH(1, (AsistenciaJetAdminConcatenada!$A:$A=P$2)*(AsistenciaJetAdminConcatenada!$B:$B=P$1), 0)), 1))), 1, IF(AND(ISNUMBER(MATCH(P$2, AsistenciaJetAdminConcatenada!$A:$A, 0)), ISNUMBER(MATCH(P$1, AsistenciaJetAdminConcatenada!$B:$B, 0)), ISNUMBER(SEARCH($A91, INDEX(AsistenciaJetAdminConcatenada!$D:$D, MATCH(1, (AsistenciaJetAdminConcatenada!$A:$A=P$2)*(AsistenciaJetAdminConcatenada!$B:$B=P$1), 0)), 1))),  0.5, 0))</f>
        <v>1</v>
      </c>
      <c r="Q91" s="47">
        <f t="array" ref="Q91">IF(AND(ISNUMBER(MATCH(Q$2, AsistenciaJetAdminConcatenada!$A:$A, 0)), ISNUMBER(MATCH(Q$1, AsistenciaJetAdminConcatenada!$B:$B, 0)), ISNUMBER(SEARCH($A91, INDEX(AsistenciaJetAdminConcatenada!$C:$C, MATCH(1, (AsistenciaJetAdminConcatenada!$A:$A=Q$2)*(AsistenciaJetAdminConcatenada!$B:$B=Q$1), 0)), 1))), 1, IF(AND(ISNUMBER(MATCH(Q$2, AsistenciaJetAdminConcatenada!$A:$A, 0)), ISNUMBER(MATCH(Q$1, AsistenciaJetAdminConcatenada!$B:$B, 0)), ISNUMBER(SEARCH($A91, INDEX(AsistenciaJetAdminConcatenada!$D:$D, MATCH(1, (AsistenciaJetAdminConcatenada!$A:$A=Q$2)*(AsistenciaJetAdminConcatenada!$B:$B=Q$1), 0)), 1))),  0.5, 0))</f>
        <v>1</v>
      </c>
      <c r="R91" s="47">
        <f t="array" ref="R91">IF(AND(ISNUMBER(MATCH(R$2, AsistenciaJetAdminConcatenada!$A:$A, 0)), ISNUMBER(MATCH(R$1, AsistenciaJetAdminConcatenada!$B:$B, 0)), ISNUMBER(SEARCH($A91,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ISNUMBER(SEARCH($A91, INDEX(AsistenciaJetAdminConcatenada!$D:$D, MATCH(1, (AsistenciaJetAdminConcatenada!$A:$A=R$2)*(AsistenciaJetAdminConcatenada!$B:$B=R$1), 0)), 1))),  0.5, 0))</f>
        <v>1</v>
      </c>
      <c r="S91" s="47">
        <f t="array" ref="S91">IF(AND(ISNUMBER(MATCH(S$2, AsistenciaJetAdminConcatenada!$A:$A, 0)), ISNUMBER(MATCH(S$1, AsistenciaJetAdminConcatenada!$B:$B, 0)), ISNUMBER(SEARCH($A91,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ISNUMBER(SEARCH($A91, INDEX(AsistenciaJetAdminConcatenada!$D:$D, MATCH(1, (AsistenciaJetAdminConcatenada!$A:$A=S$2)*(AsistenciaJetAdminConcatenada!$B:$B=S$1), 0)), 1))),  0.5, 0))</f>
        <v>1</v>
      </c>
      <c r="T91" s="47">
        <f t="array" ref="T91">IF(AND(ISNUMBER(MATCH(T$2, AsistenciaJetAdminConcatenada!$A:$A, 0)), ISNUMBER(MATCH(T$1, AsistenciaJetAdminConcatenada!$B:$B, 0)), ISNUMBER(SEARCH($A91,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ISNUMBER(SEARCH($A91, INDEX(AsistenciaJetAdminConcatenada!$D:$D, MATCH(1, (AsistenciaJetAdminConcatenada!$A:$A=T$2)*(AsistenciaJetAdminConcatenada!$B:$B=T$1), 0)), 1))),  0.5, 0))</f>
        <v>1</v>
      </c>
      <c r="U91" s="47">
        <f t="array" ref="U91">IF(AND(ISNUMBER(MATCH(U$2, AsistenciaJetAdminConcatenada!$A:$A, 0)), ISNUMBER(MATCH(U$1, AsistenciaJetAdminConcatenada!$B:$B, 0)), ISNUMBER(SEARCH($A91,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ISNUMBER(SEARCH($A91, INDEX(AsistenciaJetAdminConcatenada!$D:$D, MATCH(1, (AsistenciaJetAdminConcatenada!$A:$A=U$2)*(AsistenciaJetAdminConcatenada!$B:$B=U$1), 0)), 1))),  0.5, 0))</f>
        <v>1</v>
      </c>
      <c r="V91" s="47">
        <f t="array" ref="V91">IF(AND(ISNUMBER(MATCH(V$2, AsistenciaJetAdminConcatenada!$A:$A, 0)), ISNUMBER(MATCH(V$1, AsistenciaJetAdminConcatenada!$B:$B, 0)), ISNUMBER(SEARCH($A91,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ISNUMBER(SEARCH($A91, INDEX(AsistenciaJetAdminConcatenada!$D:$D, MATCH(1, (AsistenciaJetAdminConcatenada!$A:$A=V$2)*(AsistenciaJetAdminConcatenada!$B:$B=V$1), 0)), 1))),  0.5, 0))</f>
        <v>1</v>
      </c>
      <c r="W91" s="47">
        <f t="array" ref="W91">IF(AND(ISNUMBER(MATCH(W$2, AsistenciaJetAdminConcatenada!$A:$A, 0)), ISNUMBER(MATCH(W$1, AsistenciaJetAdminConcatenada!$B:$B, 0)), ISNUMBER(SEARCH($A91,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ISNUMBER(SEARCH($A91, INDEX(AsistenciaJetAdminConcatenada!$D:$D, MATCH(1, (AsistenciaJetAdminConcatenada!$A:$A=W$2)*(AsistenciaJetAdminConcatenada!$B:$B=W$1), 0)), 1))),  0.5, 0))</f>
        <v>1</v>
      </c>
      <c r="X91" s="47">
        <f t="array" ref="X91">IF(AND(ISNUMBER(MATCH(X$2, AsistenciaJetAdminConcatenada!$A:$A, 0)), ISNUMBER(MATCH(X$1, AsistenciaJetAdminConcatenada!$B:$B, 0)), ISNUMBER(SEARCH($A91,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ISNUMBER(SEARCH($A91, INDEX(AsistenciaJetAdminConcatenada!$D:$D, MATCH(1, (AsistenciaJetAdminConcatenada!$A:$A=X$2)*(AsistenciaJetAdminConcatenada!$B:$B=X$1), 0)), 1))),  0.5, 0))</f>
        <v>1</v>
      </c>
      <c r="Y91" s="47">
        <f t="array" ref="Y91">IF(AND(ISNUMBER(MATCH(Y$2, AsistenciaJetAdminConcatenada!$A:$A, 0)), ISNUMBER(MATCH(Y$1, AsistenciaJetAdminConcatenada!$B:$B, 0)), ISNUMBER(SEARCH($A91,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ISNUMBER(SEARCH($A91, INDEX(AsistenciaJetAdminConcatenada!$D:$D, MATCH(1, (AsistenciaJetAdminConcatenada!$A:$A=Y$2)*(AsistenciaJetAdminConcatenada!$B:$B=Y$1), 0)), 1))),  0.5, 0))</f>
        <v>1</v>
      </c>
      <c r="Z91" s="47">
        <f t="array" ref="Z91">IF(AND(ISNUMBER(MATCH(Z$2, AsistenciaJetAdminConcatenada!$A:$A, 0)), ISNUMBER(MATCH(Z$1, AsistenciaJetAdminConcatenada!$B:$B, 0)), ISNUMBER(SEARCH($A91,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ISNUMBER(SEARCH($A91, INDEX(AsistenciaJetAdminConcatenada!$D:$D, MATCH(1, (AsistenciaJetAdminConcatenada!$A:$A=Z$2)*(AsistenciaJetAdminConcatenada!$B:$B=Z$1), 0)), 1))),  0.5, 0))</f>
        <v>0</v>
      </c>
      <c r="AA91" s="47">
        <f t="array" ref="AA91">IF(AND(ISNUMBER(MATCH(AA$2, AsistenciaJetAdminConcatenada!$A:$A, 0)), ISNUMBER(MATCH(AA$1, AsistenciaJetAdminConcatenada!$B:$B, 0)), ISNUMBER(SEARCH($A91,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ISNUMBER(SEARCH($A91, INDEX(AsistenciaJetAdminConcatenada!$D:$D, MATCH(1, (AsistenciaJetAdminConcatenada!$A:$A=AA$2)*(AsistenciaJetAdminConcatenada!$B:$B=AA$1), 0)), 1))),  0.5, 0))</f>
        <v>0</v>
      </c>
      <c r="AB91" s="47">
        <f t="array" ref="AB91">IF(AND(ISNUMBER(MATCH(AB$2, AsistenciaJetAdminConcatenada!$A:$A, 0)), ISNUMBER(MATCH(AB$1, AsistenciaJetAdminConcatenada!$B:$B, 0)), ISNUMBER(SEARCH($A91,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ISNUMBER(SEARCH($A91, INDEX(AsistenciaJetAdminConcatenada!$D:$D, MATCH(1, (AsistenciaJetAdminConcatenada!$A:$A=AB$2)*(AsistenciaJetAdminConcatenada!$B:$B=AB$1), 0)), 1))),  0.5, 0))</f>
        <v>1</v>
      </c>
      <c r="AC91" s="47">
        <f t="array" ref="AC91">IF(AND(ISNUMBER(MATCH(AC$2, AsistenciaJetAdminConcatenada!$A:$A, 0)), ISNUMBER(MATCH(AC$1, AsistenciaJetAdminConcatenada!$B:$B, 0)), ISNUMBER(SEARCH($A91,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ISNUMBER(SEARCH($A91, INDEX(AsistenciaJetAdminConcatenada!$D:$D, MATCH(1, (AsistenciaJetAdminConcatenada!$A:$A=AC$2)*(AsistenciaJetAdminConcatenada!$B:$B=AC$1), 0)), 1))),  0.5, 0))</f>
        <v>1</v>
      </c>
      <c r="AD91" s="47">
        <f t="array" ref="AD91">IF(AND(ISNUMBER(MATCH(AD$2, AsistenciaJetAdminConcatenada!$A:$A, 0)), ISNUMBER(MATCH(AD$1, AsistenciaJetAdminConcatenada!$B:$B, 0)), ISNUMBER(SEARCH($A91,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ISNUMBER(SEARCH($A91, INDEX(AsistenciaJetAdminConcatenada!$D:$D, MATCH(1, (AsistenciaJetAdminConcatenada!$A:$A=AD$2)*(AsistenciaJetAdminConcatenada!$B:$B=AD$1), 0)), 1))),  0.5, 0))</f>
        <v>1</v>
      </c>
      <c r="AE91" s="47">
        <f t="array" ref="AE91">IF(AND(ISNUMBER(MATCH(AE$2, AsistenciaJetAdminConcatenada!$A:$A, 0)), ISNUMBER(MATCH(AE$1, AsistenciaJetAdminConcatenada!$B:$B, 0)), ISNUMBER(SEARCH($A91,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ISNUMBER(SEARCH($A91, INDEX(AsistenciaJetAdminConcatenada!$D:$D, MATCH(1, (AsistenciaJetAdminConcatenada!$A:$A=AE$2)*(AsistenciaJetAdminConcatenada!$B:$B=AE$1), 0)), 1))),  0.5, 0))</f>
        <v>0</v>
      </c>
      <c r="AF91" s="47">
        <f t="array" ref="AF91">IF(AND(ISNUMBER(MATCH(AF$2, AsistenciaJetAdminConcatenada!$A:$A, 0)), ISNUMBER(MATCH(AF$1, AsistenciaJetAdminConcatenada!$B:$B, 0)), ISNUMBER(SEARCH($A91,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ISNUMBER(SEARCH($A91, INDEX(AsistenciaJetAdminConcatenada!$D:$D, MATCH(1, (AsistenciaJetAdminConcatenada!$A:$A=AF$2)*(AsistenciaJetAdminConcatenada!$B:$B=AF$1), 0)), 1))),  0.5, 0))</f>
        <v>1</v>
      </c>
      <c r="AG91" s="47">
        <f t="array" ref="AG91">IF(AND(ISNUMBER(MATCH(AG$2, AsistenciaJetAdminConcatenada!$A:$A, 0)), ISNUMBER(MATCH(AG$1, AsistenciaJetAdminConcatenada!$B:$B, 0)), ISNUMBER(SEARCH($A91,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ISNUMBER(SEARCH($A91, INDEX(AsistenciaJetAdminConcatenada!$D:$D, MATCH(1, (AsistenciaJetAdminConcatenada!$A:$A=AG$2)*(AsistenciaJetAdminConcatenada!$B:$B=AG$1), 0)), 1))),  0.5, 0))</f>
        <v>0</v>
      </c>
      <c r="AH91" s="47">
        <f t="array" ref="AH91">IF(AND(ISNUMBER(MATCH(AH$2, AsistenciaJetAdminConcatenada!$A:$A, 0)), ISNUMBER(MATCH(AH$1, AsistenciaJetAdminConcatenada!$B:$B, 0)), ISNUMBER(SEARCH($A91,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ISNUMBER(SEARCH($A91, INDEX(AsistenciaJetAdminConcatenada!$D:$D, MATCH(1, (AsistenciaJetAdminConcatenada!$A:$A=AH$2)*(AsistenciaJetAdminConcatenada!$B:$B=AH$1), 0)), 1))),  0.5, 0))</f>
        <v>0</v>
      </c>
      <c r="AI91" s="47">
        <f t="array" ref="AI91">IF(AND(ISNUMBER(MATCH(AI$2, AsistenciaJetAdminConcatenada!$A:$A, 0)), ISNUMBER(MATCH(AI$1, AsistenciaJetAdminConcatenada!$B:$B, 0)), ISNUMBER(SEARCH($A91,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ISNUMBER(SEARCH($A91, INDEX(AsistenciaJetAdminConcatenada!$D:$D, MATCH(1, (AsistenciaJetAdminConcatenada!$A:$A=AI$2)*(AsistenciaJetAdminConcatenada!$B:$B=AI$1), 0)), 1))),  0.5, 0))</f>
        <v>0</v>
      </c>
      <c r="AJ91" s="47">
        <f t="array" ref="AJ91">IF(AND(ISNUMBER(MATCH(AJ$2, AsistenciaJetAdminConcatenada!$A:$A, 0)), ISNUMBER(MATCH(AJ$1, AsistenciaJetAdminConcatenada!$B:$B, 0)), ISNUMBER(SEARCH($A91,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ISNUMBER(SEARCH($A91, INDEX(AsistenciaJetAdminConcatenada!$D:$D, MATCH(1, (AsistenciaJetAdminConcatenada!$A:$A=AJ$2)*(AsistenciaJetAdminConcatenada!$B:$B=AJ$1), 0)), 1))),  0.5, 0))</f>
        <v>1</v>
      </c>
      <c r="AK91" s="47">
        <f t="array" ref="AK91">IF(AND(ISNUMBER(MATCH(AK$2, AsistenciaJetAdminConcatenada!$A:$A, 0)), ISNUMBER(MATCH(AK$1, AsistenciaJetAdminConcatenada!$B:$B, 0)), ISNUMBER(SEARCH($A91,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ISNUMBER(SEARCH($A91, INDEX(AsistenciaJetAdminConcatenada!$D:$D, MATCH(1, (AsistenciaJetAdminConcatenada!$A:$A=AK$2)*(AsistenciaJetAdminConcatenada!$B:$B=AK$1), 0)), 1))),  0.5, 0))</f>
        <v>1</v>
      </c>
      <c r="AL91" s="47">
        <f t="array" ref="AL91">IF(AND(ISNUMBER(MATCH(AL$2, AsistenciaJetAdminConcatenada!$A:$A, 0)), ISNUMBER(MATCH(AL$1, AsistenciaJetAdminConcatenada!$B:$B, 0)), ISNUMBER(SEARCH($A91,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ISNUMBER(SEARCH($A91, INDEX(AsistenciaJetAdminConcatenada!$D:$D, MATCH(1, (AsistenciaJetAdminConcatenada!$A:$A=AL$2)*(AsistenciaJetAdminConcatenada!$B:$B=AL$1), 0)), 1))),  0.5, 0))</f>
        <v>0</v>
      </c>
      <c r="AM91" s="47">
        <f t="array" ref="AM91">IF(AND(ISNUMBER(MATCH(AM$2, AsistenciaJetAdminConcatenada!$A:$A, 0)), ISNUMBER(MATCH(AM$1, AsistenciaJetAdminConcatenada!$B:$B, 0)), ISNUMBER(SEARCH($A91,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ISNUMBER(SEARCH($A91, INDEX(AsistenciaJetAdminConcatenada!$D:$D, MATCH(1, (AsistenciaJetAdminConcatenada!$A:$A=AM$2)*(AsistenciaJetAdminConcatenada!$B:$B=AM$1), 0)), 1))),  0.5, 0))</f>
        <v>0</v>
      </c>
      <c r="AN91" s="47">
        <f t="array" ref="AN91">IF(AND(ISNUMBER(MATCH(AN$2, AsistenciaJetAdminConcatenada!$A:$A, 0)), ISNUMBER(MATCH(AN$1, AsistenciaJetAdminConcatenada!$B:$B, 0)), ISNUMBER(SEARCH($A91,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ISNUMBER(SEARCH($A91, INDEX(AsistenciaJetAdminConcatenada!$D:$D, MATCH(1, (AsistenciaJetAdminConcatenada!$A:$A=AN$2)*(AsistenciaJetAdminConcatenada!$B:$B=AN$1), 0)), 1))),  0.5, 0))</f>
        <v>1</v>
      </c>
      <c r="AO91" s="47">
        <f t="array" ref="AO91">IF(AND(ISNUMBER(MATCH(AO$2, AsistenciaJetAdminConcatenada!$A:$A, 0)), ISNUMBER(MATCH(AO$1, AsistenciaJetAdminConcatenada!$B:$B, 0)), ISNUMBER(SEARCH($A91,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ISNUMBER(SEARCH($A91, INDEX(AsistenciaJetAdminConcatenada!$D:$D, MATCH(1, (AsistenciaJetAdminConcatenada!$A:$A=AO$2)*(AsistenciaJetAdminConcatenada!$B:$B=AO$1), 0)), 1))),  0.5, 0))</f>
        <v>0.5</v>
      </c>
      <c r="AP91" s="47">
        <f t="array" ref="AP91">IF(AND(ISNUMBER(MATCH(AP$2, AsistenciaJetAdminConcatenada!$A:$A, 0)), ISNUMBER(MATCH(AP$1, AsistenciaJetAdminConcatenada!$B:$B, 0)), ISNUMBER(SEARCH($A91,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ISNUMBER(SEARCH($A91, INDEX(AsistenciaJetAdminConcatenada!$D:$D, MATCH(1, (AsistenciaJetAdminConcatenada!$A:$A=AP$2)*(AsistenciaJetAdminConcatenada!$B:$B=AP$1), 0)), 1))),  0.5, 0))</f>
        <v>0.5</v>
      </c>
      <c r="AQ91" s="47">
        <f t="array" ref="AQ91">IF(AND(ISNUMBER(MATCH(AQ$2, AsistenciaJetAdminConcatenada!$A:$A, 0)), ISNUMBER(MATCH(AQ$1, AsistenciaJetAdminConcatenada!$B:$B, 0)), ISNUMBER(SEARCH($A91,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ISNUMBER(SEARCH($A91, INDEX(AsistenciaJetAdminConcatenada!$D:$D, MATCH(1, (AsistenciaJetAdminConcatenada!$A:$A=AQ$2)*(AsistenciaJetAdminConcatenada!$B:$B=AQ$1), 0)), 1))),  0.5, 0))</f>
        <v>0</v>
      </c>
      <c r="AR91" s="47">
        <f t="array" ref="AR91">IF(AND(ISNUMBER(MATCH(AR$2, AsistenciaJetAdminConcatenada!$A:$A, 0)), ISNUMBER(MATCH(AR$1, AsistenciaJetAdminConcatenada!$B:$B, 0)), ISNUMBER(SEARCH($A91,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ISNUMBER(SEARCH($A91, INDEX(AsistenciaJetAdminConcatenada!$D:$D, MATCH(1, (AsistenciaJetAdminConcatenada!$A:$A=AR$2)*(AsistenciaJetAdminConcatenada!$B:$B=AR$1), 0)), 1))),  0.5, 0))</f>
        <v>1</v>
      </c>
      <c r="AS91" s="47">
        <f t="array" ref="AS91">IF(AND(ISNUMBER(MATCH(AS$2, AsistenciaJetAdminConcatenada!$A:$A, 0)), ISNUMBER(MATCH(AS$1, AsistenciaJetAdminConcatenada!$B:$B, 0)), ISNUMBER(SEARCH($A91,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ISNUMBER(SEARCH($A91, INDEX(AsistenciaJetAdminConcatenada!$D:$D, MATCH(1, (AsistenciaJetAdminConcatenada!$A:$A=AS$2)*(AsistenciaJetAdminConcatenada!$B:$B=AS$1), 0)), 1))),  0.5, 0))</f>
        <v>0</v>
      </c>
      <c r="AT91" s="47">
        <f t="array" ref="AT91">IF(AND(ISNUMBER(MATCH(AT$2, AsistenciaJetAdminConcatenada!$A:$A, 0)), ISNUMBER(MATCH(AT$1, AsistenciaJetAdminConcatenada!$B:$B, 0)), ISNUMBER(SEARCH($A91,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ISNUMBER(SEARCH($A91, INDEX(AsistenciaJetAdminConcatenada!$D:$D, MATCH(1, (AsistenciaJetAdminConcatenada!$A:$A=AT$2)*(AsistenciaJetAdminConcatenada!$B:$B=AT$1), 0)), 1))),  0.5, 0))</f>
        <v>0</v>
      </c>
      <c r="AU91" s="47">
        <f t="array" ref="AU91">IF(AND(ISNUMBER(MATCH(AU$2, AsistenciaJetAdminConcatenada!$A:$A, 0)), ISNUMBER(MATCH(AU$1, AsistenciaJetAdminConcatenada!$B:$B, 0)), ISNUMBER(SEARCH($A91,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ISNUMBER(SEARCH($A91, INDEX(AsistenciaJetAdminConcatenada!$D:$D, MATCH(1, (AsistenciaJetAdminConcatenada!$A:$A=AU$2)*(AsistenciaJetAdminConcatenada!$B:$B=AU$1), 0)), 1))),  0.5, 0))</f>
        <v>1</v>
      </c>
      <c r="AV91" s="47">
        <f t="array" ref="AV91">IF(AND(ISNUMBER(MATCH(AV$2, AsistenciaJetAdminConcatenada!$A:$A, 0)), ISNUMBER(MATCH(AV$1, AsistenciaJetAdminConcatenada!$B:$B, 0)), ISNUMBER(SEARCH($A91,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ISNUMBER(SEARCH($A91, INDEX(AsistenciaJetAdminConcatenada!$D:$D, MATCH(1, (AsistenciaJetAdminConcatenada!$A:$A=AV$2)*(AsistenciaJetAdminConcatenada!$B:$B=AV$1), 0)), 1))),  0.5, 0))</f>
        <v>0</v>
      </c>
      <c r="AW91" s="47">
        <f t="array" ref="AW91">IF(AND(ISNUMBER(MATCH(AW$2, AsistenciaJetAdminConcatenada!$A:$A, 0)), ISNUMBER(MATCH(AW$1, AsistenciaJetAdminConcatenada!$B:$B, 0)), ISNUMBER(SEARCH($A91,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ISNUMBER(SEARCH($A91, INDEX(AsistenciaJetAdminConcatenada!$D:$D, MATCH(1, (AsistenciaJetAdminConcatenada!$A:$A=AW$2)*(AsistenciaJetAdminConcatenada!$B:$B=AW$1), 0)), 1))),  0.5, 0))</f>
        <v>0</v>
      </c>
      <c r="AX91" s="47">
        <f t="array" ref="AX91">IF(AND(ISNUMBER(MATCH(AX$2, AsistenciaJetAdminConcatenada!$A:$A, 0)), ISNUMBER(MATCH(AX$1, AsistenciaJetAdminConcatenada!$B:$B, 0)), ISNUMBER(SEARCH($A91,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ISNUMBER(SEARCH($A91, INDEX(AsistenciaJetAdminConcatenada!$D:$D, MATCH(1, (AsistenciaJetAdminConcatenada!$A:$A=AX$2)*(AsistenciaJetAdminConcatenada!$B:$B=AX$1), 0)), 1))),  0.5, 0))</f>
        <v>1</v>
      </c>
      <c r="AY91" s="47">
        <f t="array" ref="AY91">IF(AND(ISNUMBER(MATCH(AY$2, AsistenciaJetAdminConcatenada!$A:$A, 0)), ISNUMBER(MATCH(AY$1, AsistenciaJetAdminConcatenada!$B:$B, 0)), ISNUMBER(SEARCH($A91,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ISNUMBER(SEARCH($A91, INDEX(AsistenciaJetAdminConcatenada!$D:$D, MATCH(1, (AsistenciaJetAdminConcatenada!$A:$A=AY$2)*(AsistenciaJetAdminConcatenada!$B:$B=AY$1), 0)), 1))),  0.5, 0))</f>
        <v>1</v>
      </c>
      <c r="AZ91" s="47">
        <f t="array" ref="AZ91">IF(AND(ISNUMBER(MATCH(AZ$2, AsistenciaJetAdminConcatenada!$A:$A, 0)), ISNUMBER(MATCH(AZ$1, AsistenciaJetAdminConcatenada!$B:$B, 0)), ISNUMBER(SEARCH($A91,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ISNUMBER(SEARCH($A91, INDEX(AsistenciaJetAdminConcatenada!$D:$D, MATCH(1, (AsistenciaJetAdminConcatenada!$A:$A=AZ$2)*(AsistenciaJetAdminConcatenada!$B:$B=AZ$1), 0)), 1))),  0.5, 0))</f>
        <v>0</v>
      </c>
      <c r="BA91" s="47">
        <f t="array" ref="BA91">IF(AND(ISNUMBER(MATCH(BA$2, AsistenciaJetAdminConcatenada!$A:$A, 0)), ISNUMBER(MATCH(BA$1, AsistenciaJetAdminConcatenada!$B:$B, 0)), ISNUMBER(SEARCH($A91,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ISNUMBER(SEARCH($A91, INDEX(AsistenciaJetAdminConcatenada!$D:$D, MATCH(1, (AsistenciaJetAdminConcatenada!$A:$A=BA$2)*(AsistenciaJetAdminConcatenada!$B:$B=BA$1), 0)), 1))),  0.5, 0))</f>
        <v>0</v>
      </c>
      <c r="BB91" s="47">
        <f t="array" ref="BB91">IF(AND(ISNUMBER(MATCH(BB$2, AsistenciaJetAdminConcatenada!$A:$A, 0)), ISNUMBER(MATCH(BB$1, AsistenciaJetAdminConcatenada!$B:$B, 0)), ISNUMBER(SEARCH($A91,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ISNUMBER(SEARCH($A91, INDEX(AsistenciaJetAdminConcatenada!$D:$D, MATCH(1, (AsistenciaJetAdminConcatenada!$A:$A=BB$2)*(AsistenciaJetAdminConcatenada!$B:$B=BB$1), 0)), 1))),  0.5, 0))</f>
        <v>1</v>
      </c>
      <c r="BC91" s="47">
        <f t="array" ref="BC91">IF(AND(ISNUMBER(MATCH(BC$2, AsistenciaJetAdminConcatenada!$A:$A, 0)), ISNUMBER(MATCH(BC$1, AsistenciaJetAdminConcatenada!$B:$B, 0)), ISNUMBER(SEARCH($A91,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ISNUMBER(SEARCH($A91, INDEX(AsistenciaJetAdminConcatenada!$D:$D, MATCH(1, (AsistenciaJetAdminConcatenada!$A:$A=BC$2)*(AsistenciaJetAdminConcatenada!$B:$B=BC$1), 0)), 1))),  0.5, 0))</f>
        <v>1</v>
      </c>
      <c r="BD91" s="47">
        <f t="array" ref="BD91">IF(AND(ISNUMBER(MATCH(BD$2, AsistenciaJetAdminConcatenada!$A:$A, 0)), ISNUMBER(MATCH(BD$1, AsistenciaJetAdminConcatenada!$B:$B, 0)), ISNUMBER(SEARCH($A91,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ISNUMBER(SEARCH($A91, INDEX(AsistenciaJetAdminConcatenada!$D:$D, MATCH(1, (AsistenciaJetAdminConcatenada!$A:$A=BD$2)*(AsistenciaJetAdminConcatenada!$B:$B=BD$1), 0)), 1))),  0.5, 0))</f>
        <v>0</v>
      </c>
      <c r="BE91" s="47">
        <f t="array" ref="BE91">IF(AND(ISNUMBER(MATCH(BE$2, AsistenciaJetAdminConcatenada!$A:$A, 0)), ISNUMBER(MATCH(BE$1, AsistenciaJetAdminConcatenada!$B:$B, 0)), ISNUMBER(SEARCH($A91,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ISNUMBER(SEARCH($A91, INDEX(AsistenciaJetAdminConcatenada!$D:$D, MATCH(1, (AsistenciaJetAdminConcatenada!$A:$A=BE$2)*(AsistenciaJetAdminConcatenada!$B:$B=BE$1), 0)), 1))),  0.5, 0))</f>
        <v>1</v>
      </c>
      <c r="BF91" s="47">
        <f t="array" ref="BF91">IF(AND(ISNUMBER(MATCH(BF$2, AsistenciaJetAdminConcatenada!$A:$A, 0)), ISNUMBER(MATCH(BF$1, AsistenciaJetAdminConcatenada!$B:$B, 0)), ISNUMBER(SEARCH($A91,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ISNUMBER(SEARCH($A91, INDEX(AsistenciaJetAdminConcatenada!$D:$D, MATCH(1, (AsistenciaJetAdminConcatenada!$A:$A=BF$2)*(AsistenciaJetAdminConcatenada!$B:$B=BF$1), 0)), 1))),  0.5, 0))</f>
        <v>1</v>
      </c>
      <c r="BG91" s="47">
        <f t="array" ref="BG91">IF(AND(ISNUMBER(MATCH(BG$2, AsistenciaJetAdminConcatenada!$A:$A, 0)), ISNUMBER(MATCH(BG$1, AsistenciaJetAdminConcatenada!$B:$B, 0)), ISNUMBER(SEARCH($A91,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ISNUMBER(SEARCH($A91, INDEX(AsistenciaJetAdminConcatenada!$D:$D, MATCH(1, (AsistenciaJetAdminConcatenada!$A:$A=BG$2)*(AsistenciaJetAdminConcatenada!$B:$B=BG$1), 0)), 1))),  0.5, 0))</f>
        <v>0.5</v>
      </c>
      <c r="BH91" s="47">
        <f t="array" ref="BH91">IF(AND(ISNUMBER(MATCH(BH$2, AsistenciaJetAdminConcatenada!$A:$A, 0)), ISNUMBER(MATCH(BH$1, AsistenciaJetAdminConcatenada!$B:$B, 0)), ISNUMBER(SEARCH($A91,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ISNUMBER(SEARCH($A91, INDEX(AsistenciaJetAdminConcatenada!$D:$D, MATCH(1, (AsistenciaJetAdminConcatenada!$A:$A=BH$2)*(AsistenciaJetAdminConcatenada!$B:$B=BH$1), 0)), 1))),  0.5, 0))</f>
        <v>1</v>
      </c>
      <c r="BI91" s="47">
        <f t="array" ref="BI91">IF(AND(ISNUMBER(MATCH(BI$2, AsistenciaJetAdminConcatenada!$A:$A, 0)), ISNUMBER(MATCH(BI$1, AsistenciaJetAdminConcatenada!$B:$B, 0)), ISNUMBER(SEARCH($A91,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ISNUMBER(SEARCH($A91, INDEX(AsistenciaJetAdminConcatenada!$D:$D, MATCH(1, (AsistenciaJetAdminConcatenada!$A:$A=BI$2)*(AsistenciaJetAdminConcatenada!$B:$B=BI$1), 0)), 1))),  0.5, 0))</f>
        <v>1</v>
      </c>
      <c r="BJ91" s="47">
        <f t="array" ref="BJ91">IF(AND(ISNUMBER(MATCH(BJ$2, AsistenciaJetAdminConcatenada!$A:$A, 0)), ISNUMBER(MATCH(BJ$1, AsistenciaJetAdminConcatenada!$B:$B, 0)), ISNUMBER(SEARCH($A91,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ISNUMBER(SEARCH($A91, INDEX(AsistenciaJetAdminConcatenada!$D:$D, MATCH(1, (AsistenciaJetAdminConcatenada!$A:$A=BJ$2)*(AsistenciaJetAdminConcatenada!$B:$B=BJ$1), 0)), 1))),  0.5, 0))</f>
        <v>1</v>
      </c>
      <c r="BK91" s="47">
        <f t="array" ref="BK91">IF(AND(ISNUMBER(MATCH(BK$2, AsistenciaJetAdminConcatenada!$A:$A, 0)), ISNUMBER(MATCH(BK$1, AsistenciaJetAdminConcatenada!$B:$B, 0)), ISNUMBER(SEARCH($A91,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ISNUMBER(SEARCH($A91, INDEX(AsistenciaJetAdminConcatenada!$D:$D, MATCH(1, (AsistenciaJetAdminConcatenada!$A:$A=BK$2)*(AsistenciaJetAdminConcatenada!$B:$B=BK$1), 0)), 1))),  0.5, 0))</f>
        <v>1</v>
      </c>
      <c r="BL91" s="47">
        <f t="array" ref="BL91">IF(AND(ISNUMBER(MATCH(BL$2, AsistenciaJetAdminConcatenada!$A:$A, 0)), ISNUMBER(MATCH(BL$1, AsistenciaJetAdminConcatenada!$B:$B, 0)), ISNUMBER(SEARCH($A91,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ISNUMBER(SEARCH($A91, INDEX(AsistenciaJetAdminConcatenada!$D:$D, MATCH(1, (AsistenciaJetAdminConcatenada!$A:$A=BL$2)*(AsistenciaJetAdminConcatenada!$B:$B=BL$1), 0)), 1))),  0.5, 0))</f>
        <v>1</v>
      </c>
      <c r="BM91" s="47">
        <f t="array" ref="BM91">IF(AND(ISNUMBER(MATCH(BM$2, AsistenciaJetAdminConcatenada!$A:$A, 0)), ISNUMBER(MATCH(BM$1, AsistenciaJetAdminConcatenada!$B:$B, 0)), ISNUMBER(SEARCH($A91,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ISNUMBER(SEARCH($A91, INDEX(AsistenciaJetAdminConcatenada!$D:$D, MATCH(1, (AsistenciaJetAdminConcatenada!$A:$A=BM$2)*(AsistenciaJetAdminConcatenada!$B:$B=BM$1), 0)), 1))),  0.5, 0))</f>
        <v>0</v>
      </c>
      <c r="BN91" s="47">
        <f t="array" ref="BN91">IF(AND(ISNUMBER(MATCH(BN$2, AsistenciaJetAdminConcatenada!$A:$A, 0)), ISNUMBER(MATCH(BN$1, AsistenciaJetAdminConcatenada!$B:$B, 0)), ISNUMBER(SEARCH($A91,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ISNUMBER(SEARCH($A91, INDEX(AsistenciaJetAdminConcatenada!$D:$D, MATCH(1, (AsistenciaJetAdminConcatenada!$A:$A=BN$2)*(AsistenciaJetAdminConcatenada!$B:$B=BN$1), 0)), 1))),  0.5, 0))</f>
        <v>1</v>
      </c>
      <c r="BO91" s="47">
        <f t="array" ref="BO91">IF(AND(ISNUMBER(MATCH(BO$2, AsistenciaJetAdminConcatenada!$A:$A, 0)), ISNUMBER(MATCH(BO$1, AsistenciaJetAdminConcatenada!$B:$B, 0)), ISNUMBER(SEARCH($A91,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ISNUMBER(SEARCH($A91, INDEX(AsistenciaJetAdminConcatenada!$D:$D, MATCH(1, (AsistenciaJetAdminConcatenada!$A:$A=BO$2)*(AsistenciaJetAdminConcatenada!$B:$B=BO$1), 0)), 1))),  0.5, 0))</f>
        <v>0</v>
      </c>
      <c r="BP91" s="47">
        <f t="array" ref="BP91">IF(AND(ISNUMBER(MATCH(BP$2, AsistenciaJetAdminConcatenada!$A:$A, 0)), ISNUMBER(MATCH(BP$1, AsistenciaJetAdminConcatenada!$B:$B, 0)), ISNUMBER(SEARCH($A91,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ISNUMBER(SEARCH($A91, INDEX(AsistenciaJetAdminConcatenada!$D:$D, MATCH(1, (AsistenciaJetAdminConcatenada!$A:$A=BP$2)*(AsistenciaJetAdminConcatenada!$B:$B=BP$1), 0)), 1))),  0.5, 0))</f>
        <v>0</v>
      </c>
      <c r="BQ91" s="47">
        <f t="array" ref="BQ91">IF(AND(ISNUMBER(MATCH(BQ$2, AsistenciaJetAdminConcatenada!$A:$A, 0)), ISNUMBER(MATCH(BQ$1, AsistenciaJetAdminConcatenada!$B:$B, 0)), ISNUMBER(SEARCH($A91,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ISNUMBER(SEARCH($A91, INDEX(AsistenciaJetAdminConcatenada!$D:$D, MATCH(1, (AsistenciaJetAdminConcatenada!$A:$A=BQ$2)*(AsistenciaJetAdminConcatenada!$B:$B=BQ$1), 0)), 1))),  0.5, 0))</f>
        <v>0</v>
      </c>
      <c r="BR91" s="47">
        <f t="array" ref="BR91">IF(AND(ISNUMBER(MATCH(BR$2, AsistenciaJetAdminConcatenada!$A:$A, 0)), ISNUMBER(MATCH(BR$1, AsistenciaJetAdminConcatenada!$B:$B, 0)), ISNUMBER(SEARCH($A91,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ISNUMBER(SEARCH($A91, INDEX(AsistenciaJetAdminConcatenada!$D:$D, MATCH(1, (AsistenciaJetAdminConcatenada!$A:$A=BR$2)*(AsistenciaJetAdminConcatenada!$B:$B=BR$1), 0)), 1))),  0.5, 0))</f>
        <v>0</v>
      </c>
      <c r="BS91" s="47">
        <f t="array" ref="BS91">IF(AND(ISNUMBER(MATCH(BS$2, AsistenciaJetAdminConcatenada!$A:$A, 0)), ISNUMBER(MATCH(BS$1, AsistenciaJetAdminConcatenada!$B:$B, 0)), ISNUMBER(SEARCH($A91,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ISNUMBER(SEARCH($A91, INDEX(AsistenciaJetAdminConcatenada!$D:$D, MATCH(1, (AsistenciaJetAdminConcatenada!$A:$A=BS$2)*(AsistenciaJetAdminConcatenada!$B:$B=BS$1), 0)), 1))),  0.5, 0))</f>
        <v>1</v>
      </c>
      <c r="BT91" s="47">
        <f t="array" ref="BT91">IF(AND(ISNUMBER(MATCH(BT$2, AsistenciaJetAdminConcatenada!$A:$A, 0)), ISNUMBER(MATCH(BT$1, AsistenciaJetAdminConcatenada!$B:$B, 0)), ISNUMBER(SEARCH($A91,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ISNUMBER(SEARCH($A91, INDEX(AsistenciaJetAdminConcatenada!$D:$D, MATCH(1, (AsistenciaJetAdminConcatenada!$A:$A=BT$2)*(AsistenciaJetAdminConcatenada!$B:$B=BT$1), 0)), 1))),  0.5, 0))</f>
        <v>1</v>
      </c>
      <c r="BU91" s="47">
        <f t="array" ref="BU91">IF(AND(ISNUMBER(MATCH(BU$2, AsistenciaJetAdminConcatenada!$A:$A, 0)), ISNUMBER(MATCH(BU$1, AsistenciaJetAdminConcatenada!$B:$B, 0)), ISNUMBER(SEARCH($A91,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ISNUMBER(SEARCH($A91, INDEX(AsistenciaJetAdminConcatenada!$D:$D, MATCH(1, (AsistenciaJetAdminConcatenada!$A:$A=BU$2)*(AsistenciaJetAdminConcatenada!$B:$B=BU$1), 0)), 1))),  0.5, 0))</f>
        <v>1</v>
      </c>
      <c r="BV91" s="47">
        <f t="array" ref="BV91">IF(AND(ISNUMBER(MATCH(BV$2, AsistenciaJetAdminConcatenada!$A:$A, 0)), ISNUMBER(MATCH(BV$1, AsistenciaJetAdminConcatenada!$B:$B, 0)), ISNUMBER(SEARCH($A91,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ISNUMBER(SEARCH($A91, INDEX(AsistenciaJetAdminConcatenada!$D:$D, MATCH(1, (AsistenciaJetAdminConcatenada!$A:$A=BV$2)*(AsistenciaJetAdminConcatenada!$B:$B=BV$1), 0)), 1))),  0.5, 0))</f>
        <v>0</v>
      </c>
      <c r="BW91" s="47">
        <f t="array" ref="BW91">IF(AND(ISNUMBER(MATCH(BW$2, AsistenciaJetAdminConcatenada!$A:$A, 0)), ISNUMBER(MATCH(BW$1, AsistenciaJetAdminConcatenada!$B:$B, 0)), ISNUMBER(SEARCH($A91,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ISNUMBER(SEARCH($A91, INDEX(AsistenciaJetAdminConcatenada!$D:$D, MATCH(1, (AsistenciaJetAdminConcatenada!$A:$A=BW$2)*(AsistenciaJetAdminConcatenada!$B:$B=BW$1), 0)), 1))),  0.5, 0))</f>
        <v>0.5</v>
      </c>
      <c r="BX91" s="47">
        <f t="array" ref="BX91">IF(AND(ISNUMBER(MATCH(BX$2, AsistenciaJetAdminConcatenada!$A:$A, 0)), ISNUMBER(MATCH(BX$1, AsistenciaJetAdminConcatenada!$B:$B, 0)), ISNUMBER(SEARCH($A91,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ISNUMBER(SEARCH($A91, INDEX(AsistenciaJetAdminConcatenada!$D:$D, MATCH(1, (AsistenciaJetAdminConcatenada!$A:$A=BX$2)*(AsistenciaJetAdminConcatenada!$B:$B=BX$1), 0)), 1))),  0.5, 0))</f>
        <v>1</v>
      </c>
      <c r="BY91" s="47">
        <f t="array" ref="BY91">IF(AND(ISNUMBER(MATCH(BY$2, AsistenciaJetAdminConcatenada!$A:$A, 0)), ISNUMBER(MATCH(BY$1, AsistenciaJetAdminConcatenada!$B:$B, 0)), ISNUMBER(SEARCH($A91,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ISNUMBER(SEARCH($A91, INDEX(AsistenciaJetAdminConcatenada!$D:$D, MATCH(1, (AsistenciaJetAdminConcatenada!$A:$A=BY$2)*(AsistenciaJetAdminConcatenada!$B:$B=BY$1), 0)), 1))),  0.5, 0))</f>
        <v>0</v>
      </c>
      <c r="BZ91" s="47">
        <f t="array" ref="BZ91">IF(AND(ISNUMBER(MATCH(BZ$2, AsistenciaJetAdminConcatenada!$A:$A, 0)), ISNUMBER(MATCH(BZ$1, AsistenciaJetAdminConcatenada!$B:$B, 0)), ISNUMBER(SEARCH($A91,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ISNUMBER(SEARCH($A91, INDEX(AsistenciaJetAdminConcatenada!$D:$D, MATCH(1, (AsistenciaJetAdminConcatenada!$A:$A=BZ$2)*(AsistenciaJetAdminConcatenada!$B:$B=BZ$1), 0)), 1))),  0.5, 0))</f>
        <v>0</v>
      </c>
      <c r="CA91" s="47">
        <f t="array" ref="CA91">IF(AND(ISNUMBER(MATCH(CA$2, AsistenciaJetAdminConcatenada!$A:$A, 0)), ISNUMBER(MATCH(CA$1, AsistenciaJetAdminConcatenada!$B:$B, 0)), ISNUMBER(SEARCH($A91,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ISNUMBER(SEARCH($A91, INDEX(AsistenciaJetAdminConcatenada!$D:$D, MATCH(1, (AsistenciaJetAdminConcatenada!$A:$A=CA$2)*(AsistenciaJetAdminConcatenada!$B:$B=CA$1), 0)), 1))),  0.5, 0))</f>
        <v>0</v>
      </c>
      <c r="CB91" s="47">
        <f t="array" ref="CB91">IF(AND(ISNUMBER(MATCH(CB$2, AsistenciaJetAdminConcatenada!$A:$A, 0)), ISNUMBER(MATCH(CB$1, AsistenciaJetAdminConcatenada!$B:$B, 0)), ISNUMBER(SEARCH($A91,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ISNUMBER(SEARCH($A91, INDEX(AsistenciaJetAdminConcatenada!$D:$D, MATCH(1, (AsistenciaJetAdminConcatenada!$A:$A=CB$2)*(AsistenciaJetAdminConcatenada!$B:$B=CB$1), 0)), 1))),  0.5, 0))</f>
        <v>1</v>
      </c>
      <c r="CC91" s="47">
        <f t="array" ref="CC91">IF(AND(ISNUMBER(MATCH(CC$2, AsistenciaJetAdminConcatenada!$A:$A, 0)), ISNUMBER(MATCH(CC$1, AsistenciaJetAdminConcatenada!$B:$B, 0)), ISNUMBER(SEARCH($A91,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ISNUMBER(SEARCH($A91, INDEX(AsistenciaJetAdminConcatenada!$D:$D, MATCH(1, (AsistenciaJetAdminConcatenada!$A:$A=CC$2)*(AsistenciaJetAdminConcatenada!$B:$B=CC$1), 0)), 1))),  0.5, 0))</f>
        <v>0</v>
      </c>
      <c r="CD91" s="47">
        <f t="array" ref="CD91">IF(AND(ISNUMBER(MATCH(CD$2, AsistenciaJetAdminConcatenada!$A:$A, 0)), ISNUMBER(MATCH(CD$1, AsistenciaJetAdminConcatenada!$B:$B, 0)), ISNUMBER(SEARCH($A91,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ISNUMBER(SEARCH($A91, INDEX(AsistenciaJetAdminConcatenada!$D:$D, MATCH(1, (AsistenciaJetAdminConcatenada!$A:$A=CD$2)*(AsistenciaJetAdminConcatenada!$B:$B=CD$1), 0)), 1))),  0.5, 0))</f>
        <v>0</v>
      </c>
      <c r="CE91" s="47">
        <f t="array" ref="CE91">IF(AND(ISNUMBER(MATCH(CE$2, AsistenciaJetAdminConcatenada!$A:$A, 0)), ISNUMBER(MATCH(CE$1, AsistenciaJetAdminConcatenada!$B:$B, 0)), ISNUMBER(SEARCH($A91,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ISNUMBER(SEARCH($A91, INDEX(AsistenciaJetAdminConcatenada!$D:$D, MATCH(1, (AsistenciaJetAdminConcatenada!$A:$A=CE$2)*(AsistenciaJetAdminConcatenada!$B:$B=CE$1), 0)), 1))),  0.5, 0))</f>
        <v>0</v>
      </c>
      <c r="CF91" s="47">
        <f t="array" ref="CF91">IF(AND(ISNUMBER(MATCH(CF$2, AsistenciaJetAdminConcatenada!$A:$A, 0)), ISNUMBER(MATCH(CF$1, AsistenciaJetAdminConcatenada!$B:$B, 0)), ISNUMBER(SEARCH($A91,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ISNUMBER(SEARCH($A91, INDEX(AsistenciaJetAdminConcatenada!$D:$D, MATCH(1, (AsistenciaJetAdminConcatenada!$A:$A=CF$2)*(AsistenciaJetAdminConcatenada!$B:$B=CF$1), 0)), 1))),  0.5, 0))</f>
        <v>0</v>
      </c>
      <c r="CG91" s="47">
        <f t="array" ref="CG91">IF(AND(ISNUMBER(MATCH(CG$2, AsistenciaJetAdminConcatenada!$A:$A, 0)), ISNUMBER(MATCH(CG$1, AsistenciaJetAdminConcatenada!$B:$B, 0)), ISNUMBER(SEARCH($A91,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ISNUMBER(SEARCH($A91, INDEX(AsistenciaJetAdminConcatenada!$D:$D, MATCH(1, (AsistenciaJetAdminConcatenada!$A:$A=CG$2)*(AsistenciaJetAdminConcatenada!$B:$B=CG$1), 0)), 1))),  0.5, 0))</f>
        <v>0</v>
      </c>
      <c r="CH91" s="47">
        <f t="array" ref="CH91">IF(AND(ISNUMBER(MATCH(CH$2, AsistenciaJetAdminConcatenada!$A:$A, 0)), ISNUMBER(MATCH(CH$1, AsistenciaJetAdminConcatenada!$B:$B, 0)), ISNUMBER(SEARCH($A91,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ISNUMBER(SEARCH($A91, INDEX(AsistenciaJetAdminConcatenada!$D:$D, MATCH(1, (AsistenciaJetAdminConcatenada!$A:$A=CH$2)*(AsistenciaJetAdminConcatenada!$B:$B=CH$1), 0)), 1))),  0.5, 0))</f>
        <v>1</v>
      </c>
      <c r="CI91" s="47">
        <f t="array" ref="CI91">IF(AND(ISNUMBER(MATCH(CI$2, AsistenciaJetAdminConcatenada!$A:$A, 0)), ISNUMBER(MATCH(CI$1, AsistenciaJetAdminConcatenada!$B:$B, 0)), ISNUMBER(SEARCH($A91,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ISNUMBER(SEARCH($A91, INDEX(AsistenciaJetAdminConcatenada!$D:$D, MATCH(1, (AsistenciaJetAdminConcatenada!$A:$A=CI$2)*(AsistenciaJetAdminConcatenada!$B:$B=CI$1), 0)), 1))),  0.5, 0))</f>
        <v>0</v>
      </c>
      <c r="CJ91" s="47">
        <f t="array" ref="CJ91">IF(AND(ISNUMBER(MATCH(CJ$2, AsistenciaJetAdminConcatenada!$A:$A, 0)), ISNUMBER(MATCH(CJ$1, AsistenciaJetAdminConcatenada!$B:$B, 0)), ISNUMBER(SEARCH($A91,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ISNUMBER(SEARCH($A91, INDEX(AsistenciaJetAdminConcatenada!$D:$D, MATCH(1, (AsistenciaJetAdminConcatenada!$A:$A=CJ$2)*(AsistenciaJetAdminConcatenada!$B:$B=CJ$1), 0)), 1))),  0.5, 0))</f>
        <v>0</v>
      </c>
      <c r="CK91" s="47">
        <f t="array" ref="CK91">IF(AND(ISNUMBER(MATCH(CK$2, AsistenciaJetAdminConcatenada!$A:$A, 0)), ISNUMBER(MATCH(CK$1, AsistenciaJetAdminConcatenada!$B:$B, 0)), ISNUMBER(SEARCH($A91,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ISNUMBER(SEARCH($A91, INDEX(AsistenciaJetAdminConcatenada!$D:$D, MATCH(1, (AsistenciaJetAdminConcatenada!$A:$A=CK$2)*(AsistenciaJetAdminConcatenada!$B:$B=CK$1), 0)), 1))),  0.5, 0))</f>
        <v>1</v>
      </c>
      <c r="CL91" s="47">
        <f t="array" ref="CL91">IF(AND(ISNUMBER(MATCH(CL$2, AsistenciaJetAdminConcatenada!$A:$A, 0)), ISNUMBER(MATCH(CL$1, AsistenciaJetAdminConcatenada!$B:$B, 0)), ISNUMBER(SEARCH($A91,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ISNUMBER(SEARCH($A91, INDEX(AsistenciaJetAdminConcatenada!$D:$D, MATCH(1, (AsistenciaJetAdminConcatenada!$A:$A=CL$2)*(AsistenciaJetAdminConcatenada!$B:$B=CL$1), 0)), 1))),  0.5, 0))</f>
        <v>1</v>
      </c>
      <c r="CM91" s="47">
        <f t="array" ref="CM91">IF(AND(ISNUMBER(MATCH(CM$2, AsistenciaJetAdminConcatenada!$A:$A, 0)), ISNUMBER(MATCH(CM$1, AsistenciaJetAdminConcatenada!$B:$B, 0)), ISNUMBER(SEARCH($A91,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ISNUMBER(SEARCH($A91, INDEX(AsistenciaJetAdminConcatenada!$D:$D, MATCH(1, (AsistenciaJetAdminConcatenada!$A:$A=CM$2)*(AsistenciaJetAdminConcatenada!$B:$B=CM$1), 0)), 1))),  0.5, 0))</f>
        <v>1</v>
      </c>
      <c r="CN91" s="47">
        <f t="array" ref="CN91">IF(AND(ISNUMBER(MATCH(CN$2, AsistenciaJetAdminConcatenada!$A:$A, 0)), ISNUMBER(MATCH(CN$1, AsistenciaJetAdminConcatenada!$B:$B, 0)), ISNUMBER(SEARCH($A91,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ISNUMBER(SEARCH($A91, INDEX(AsistenciaJetAdminConcatenada!$D:$D, MATCH(1, (AsistenciaJetAdminConcatenada!$A:$A=CN$2)*(AsistenciaJetAdminConcatenada!$B:$B=CN$1), 0)), 1))),  0.5, 0))</f>
        <v>0</v>
      </c>
      <c r="CO91" s="47">
        <f t="array" ref="CO91">IF(AND(ISNUMBER(MATCH(CO$2, AsistenciaJetAdminConcatenada!$A:$A, 0)), ISNUMBER(MATCH(CO$1, AsistenciaJetAdminConcatenada!$B:$B, 0)), ISNUMBER(SEARCH($A91,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ISNUMBER(SEARCH($A91, INDEX(AsistenciaJetAdminConcatenada!$D:$D, MATCH(1, (AsistenciaJetAdminConcatenada!$A:$A=CO$2)*(AsistenciaJetAdminConcatenada!$B:$B=CO$1), 0)), 1))),  0.5, 0))</f>
        <v>1</v>
      </c>
      <c r="CP91" s="47">
        <f t="array" ref="CP91">IF(AND(ISNUMBER(MATCH(CP$2, AsistenciaJetAdminConcatenada!$A:$A, 0)), ISNUMBER(MATCH(CP$1, AsistenciaJetAdminConcatenada!$B:$B, 0)), ISNUMBER(SEARCH($A91,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ISNUMBER(SEARCH($A91, INDEX(AsistenciaJetAdminConcatenada!$D:$D, MATCH(1, (AsistenciaJetAdminConcatenada!$A:$A=CP$2)*(AsistenciaJetAdminConcatenada!$B:$B=CP$1), 0)), 1))),  0.5, 0))</f>
        <v>1</v>
      </c>
      <c r="CQ91" s="47">
        <f t="array" ref="CQ91">IF(AND(ISNUMBER(MATCH(CQ$2, AsistenciaJetAdminConcatenada!$A:$A, 0)), ISNUMBER(MATCH(CQ$1, AsistenciaJetAdminConcatenada!$B:$B, 0)), ISNUMBER(SEARCH($A91,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ISNUMBER(SEARCH($A91, INDEX(AsistenciaJetAdminConcatenada!$D:$D, MATCH(1, (AsistenciaJetAdminConcatenada!$A:$A=CQ$2)*(AsistenciaJetAdminConcatenada!$B:$B=CQ$1), 0)), 1))),  0.5, 0))</f>
        <v>1</v>
      </c>
      <c r="CR91" s="47">
        <f t="array" ref="CR91">IF(AND(ISNUMBER(MATCH(CR$2, AsistenciaJetAdminConcatenada!$A:$A, 0)), ISNUMBER(MATCH(CR$1, AsistenciaJetAdminConcatenada!$B:$B, 0)), ISNUMBER(SEARCH($A91,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ISNUMBER(SEARCH($A91, INDEX(AsistenciaJetAdminConcatenada!$D:$D, MATCH(1, (AsistenciaJetAdminConcatenada!$A:$A=CR$2)*(AsistenciaJetAdminConcatenada!$B:$B=CR$1), 0)), 1))),  0.5, 0))</f>
        <v>1</v>
      </c>
      <c r="CS91" s="47">
        <f t="array" ref="CS91">IF(AND(ISNUMBER(MATCH(CS$2, AsistenciaJetAdminConcatenada!$A:$A, 0)), ISNUMBER(MATCH(CS$1, AsistenciaJetAdminConcatenada!$B:$B, 0)), ISNUMBER(SEARCH($A91,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ISNUMBER(SEARCH($A91, INDEX(AsistenciaJetAdminConcatenada!$D:$D, MATCH(1, (AsistenciaJetAdminConcatenada!$A:$A=CS$2)*(AsistenciaJetAdminConcatenada!$B:$B=CS$1), 0)), 1))),  0.5, 0))</f>
        <v>0</v>
      </c>
      <c r="CT91" s="47">
        <f t="array" ref="CT91">IF(AND(ISNUMBER(MATCH(CT$2, AsistenciaJetAdminConcatenada!$A:$A, 0)), ISNUMBER(MATCH(CT$1, AsistenciaJetAdminConcatenada!$B:$B, 0)), ISNUMBER(SEARCH($A91,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ISNUMBER(SEARCH($A91, INDEX(AsistenciaJetAdminConcatenada!$D:$D, MATCH(1, (AsistenciaJetAdminConcatenada!$A:$A=CT$2)*(AsistenciaJetAdminConcatenada!$B:$B=CT$1), 0)), 1))),  0.5, 0))</f>
        <v>0</v>
      </c>
      <c r="CU91" s="47">
        <f t="array" ref="CU91">IF(AND(ISNUMBER(MATCH(CU$2, AsistenciaJetAdminConcatenada!$A:$A, 0)), ISNUMBER(MATCH(CU$1, AsistenciaJetAdminConcatenada!$B:$B, 0)), ISNUMBER(SEARCH($A91,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ISNUMBER(SEARCH($A91, INDEX(AsistenciaJetAdminConcatenada!$D:$D, MATCH(1, (AsistenciaJetAdminConcatenada!$A:$A=CU$2)*(AsistenciaJetAdminConcatenada!$B:$B=CU$1), 0)), 1))),  0.5, 0))</f>
        <v>0</v>
      </c>
      <c r="CV91" s="47">
        <f t="array" ref="CV91">IF(AND(ISNUMBER(MATCH(CV$2, AsistenciaJetAdminConcatenada!$A:$A, 0)), ISNUMBER(MATCH(CV$1, AsistenciaJetAdminConcatenada!$B:$B, 0)), ISNUMBER(SEARCH($A91,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ISNUMBER(SEARCH($A91, INDEX(AsistenciaJetAdminConcatenada!$D:$D, MATCH(1, (AsistenciaJetAdminConcatenada!$A:$A=CV$2)*(AsistenciaJetAdminConcatenada!$B:$B=CV$1), 0)), 1))),  0.5, 0))</f>
        <v>0</v>
      </c>
      <c r="CW91" s="47">
        <f t="array" ref="CW91">IF(AND(ISNUMBER(MATCH(CW$2, AsistenciaJetAdminConcatenada!$A:$A, 0)), ISNUMBER(MATCH(CW$1, AsistenciaJetAdminConcatenada!$B:$B, 0)), ISNUMBER(SEARCH($A91,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ISNUMBER(SEARCH($A91, INDEX(AsistenciaJetAdminConcatenada!$D:$D, MATCH(1, (AsistenciaJetAdminConcatenada!$A:$A=CW$2)*(AsistenciaJetAdminConcatenada!$B:$B=CW$1), 0)), 1))),  0.5, 0))</f>
        <v>0</v>
      </c>
      <c r="CX91" s="47">
        <f t="array" ref="CX91">IF(AND(ISNUMBER(MATCH(CX$2, AsistenciaJetAdminConcatenada!$A:$A, 0)), ISNUMBER(MATCH(CX$1, AsistenciaJetAdminConcatenada!$B:$B, 0)), ISNUMBER(SEARCH($A91,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ISNUMBER(SEARCH($A91, INDEX(AsistenciaJetAdminConcatenada!$D:$D, MATCH(1, (AsistenciaJetAdminConcatenada!$A:$A=CX$2)*(AsistenciaJetAdminConcatenada!$B:$B=CX$1), 0)), 1))),  0.5, 0))</f>
        <v>0</v>
      </c>
      <c r="CY91" s="47">
        <f t="array" ref="CY91">IF(AND(ISNUMBER(MATCH(CY$2, AsistenciaJetAdminConcatenada!$A:$A, 0)), ISNUMBER(MATCH(CY$1, AsistenciaJetAdminConcatenada!$B:$B, 0)), ISNUMBER(SEARCH($A91,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ISNUMBER(SEARCH($A91, INDEX(AsistenciaJetAdminConcatenada!$D:$D, MATCH(1, (AsistenciaJetAdminConcatenada!$A:$A=CY$2)*(AsistenciaJetAdminConcatenada!$B:$B=CY$1), 0)), 1))),  0.5, 0))</f>
        <v>0</v>
      </c>
      <c r="CZ91" s="47">
        <f t="array" ref="CZ91">IF(AND(ISNUMBER(MATCH(CZ$2, AsistenciaJetAdminConcatenada!$A:$A, 0)), ISNUMBER(MATCH(CZ$1, AsistenciaJetAdminConcatenada!$B:$B, 0)), ISNUMBER(SEARCH($A91,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ISNUMBER(SEARCH($A91, INDEX(AsistenciaJetAdminConcatenada!$D:$D, MATCH(1, (AsistenciaJetAdminConcatenada!$A:$A=CZ$2)*(AsistenciaJetAdminConcatenada!$B:$B=CZ$1), 0)), 1))),  0.5, 0))</f>
        <v>0</v>
      </c>
      <c r="DA91" s="47">
        <f t="array" ref="DA91">IF(AND(ISNUMBER(MATCH(DA$2, AsistenciaJetAdminConcatenada!$A:$A, 0)), ISNUMBER(MATCH(DA$1, AsistenciaJetAdminConcatenada!$B:$B, 0)), ISNUMBER(SEARCH($A91,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ISNUMBER(SEARCH($A91, INDEX(AsistenciaJetAdminConcatenada!$D:$D, MATCH(1, (AsistenciaJetAdminConcatenada!$A:$A=DA$2)*(AsistenciaJetAdminConcatenada!$B:$B=DA$1), 0)), 1))),  0.5, 0))</f>
        <v>0</v>
      </c>
      <c r="DB91" s="47">
        <f t="array" ref="DB91">IF(AND(ISNUMBER(MATCH(DB$2, AsistenciaJetAdminConcatenada!$A:$A, 0)), ISNUMBER(MATCH(DB$1, AsistenciaJetAdminConcatenada!$B:$B, 0)), ISNUMBER(SEARCH($A91,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ISNUMBER(SEARCH($A91, INDEX(AsistenciaJetAdminConcatenada!$D:$D, MATCH(1, (AsistenciaJetAdminConcatenada!$A:$A=DB$2)*(AsistenciaJetAdminConcatenada!$B:$B=DB$1), 0)), 1))),  0.5, 0))</f>
        <v>0</v>
      </c>
      <c r="DC91" s="47">
        <f t="array" ref="DC91">IF(AND(ISNUMBER(MATCH(DC$2, AsistenciaJetAdminConcatenada!$A:$A, 0)), ISNUMBER(MATCH(DC$1, AsistenciaJetAdminConcatenada!$B:$B, 0)), ISNUMBER(SEARCH($A91,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ISNUMBER(SEARCH($A91, INDEX(AsistenciaJetAdminConcatenada!$D:$D, MATCH(1, (AsistenciaJetAdminConcatenada!$A:$A=DC$2)*(AsistenciaJetAdminConcatenada!$B:$B=DC$1), 0)), 1))),  0.5, 0))</f>
        <v>0</v>
      </c>
      <c r="DD91" s="47">
        <f t="array" ref="DD91">IF(AND(ISNUMBER(MATCH(DD$2, AsistenciaJetAdminConcatenada!$A:$A, 0)), ISNUMBER(MATCH(DD$1, AsistenciaJetAdminConcatenada!$B:$B, 0)), ISNUMBER(SEARCH($A91,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ISNUMBER(SEARCH($A91, INDEX(AsistenciaJetAdminConcatenada!$D:$D, MATCH(1, (AsistenciaJetAdminConcatenada!$A:$A=DD$2)*(AsistenciaJetAdminConcatenada!$B:$B=DD$1), 0)), 1))),  0.5, 0))</f>
        <v>0</v>
      </c>
      <c r="DE91" s="47">
        <f t="array" ref="DE91">IF(AND(ISNUMBER(MATCH(DE$2, AsistenciaJetAdminConcatenada!$A:$A, 0)), ISNUMBER(MATCH(DE$1, AsistenciaJetAdminConcatenada!$B:$B, 0)), ISNUMBER(SEARCH($A91,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ISNUMBER(SEARCH($A91, INDEX(AsistenciaJetAdminConcatenada!$D:$D, MATCH(1, (AsistenciaJetAdminConcatenada!$A:$A=DE$2)*(AsistenciaJetAdminConcatenada!$B:$B=DE$1), 0)), 1))),  0.5, 0))</f>
        <v>0</v>
      </c>
      <c r="DF91" s="47">
        <f t="array" ref="DF91">IF(AND(ISNUMBER(MATCH(DF$2, AsistenciaJetAdminConcatenada!$A:$A, 0)), ISNUMBER(MATCH(DF$1, AsistenciaJetAdminConcatenada!$B:$B, 0)), ISNUMBER(SEARCH($A91,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ISNUMBER(SEARCH($A91, INDEX(AsistenciaJetAdminConcatenada!$D:$D, MATCH(1, (AsistenciaJetAdminConcatenada!$A:$A=DF$2)*(AsistenciaJetAdminConcatenada!$B:$B=DF$1), 0)), 1))),  0.5, 0))</f>
        <v>0</v>
      </c>
      <c r="DG91" s="47">
        <f t="array" ref="DG91">IF(AND(ISNUMBER(MATCH(DG$2, AsistenciaJetAdminConcatenada!$A:$A, 0)), ISNUMBER(MATCH(DG$1, AsistenciaJetAdminConcatenada!$B:$B, 0)), ISNUMBER(SEARCH($A91,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ISNUMBER(SEARCH($A91, INDEX(AsistenciaJetAdminConcatenada!$D:$D, MATCH(1, (AsistenciaJetAdminConcatenada!$A:$A=DG$2)*(AsistenciaJetAdminConcatenada!$B:$B=DG$1), 0)), 1))),  0.5, 0))</f>
        <v>0</v>
      </c>
      <c r="DH91" s="47">
        <f t="array" ref="DH91">IF(AND(ISNUMBER(MATCH(DH$2, AsistenciaJetAdminConcatenada!$A:$A, 0)), ISNUMBER(MATCH(DH$1, AsistenciaJetAdminConcatenada!$B:$B, 0)), ISNUMBER(SEARCH($A91,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ISNUMBER(SEARCH($A91, INDEX(AsistenciaJetAdminConcatenada!$D:$D, MATCH(1, (AsistenciaJetAdminConcatenada!$A:$A=DH$2)*(AsistenciaJetAdminConcatenada!$B:$B=DH$1), 0)), 1))),  0.5, 0))</f>
        <v>0</v>
      </c>
      <c r="DI91" s="47">
        <f t="array" ref="DI91">IF(AND(ISNUMBER(MATCH(DI$2, AsistenciaJetAdminConcatenada!$A:$A, 0)), ISNUMBER(MATCH(DI$1, AsistenciaJetAdminConcatenada!$B:$B, 0)), ISNUMBER(SEARCH($A91,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ISNUMBER(SEARCH($A91, INDEX(AsistenciaJetAdminConcatenada!$D:$D, MATCH(1, (AsistenciaJetAdminConcatenada!$A:$A=DI$2)*(AsistenciaJetAdminConcatenada!$B:$B=DI$1), 0)), 1))),  0.5, 0))</f>
        <v>0</v>
      </c>
      <c r="DJ91" s="47">
        <f t="array" ref="DJ91">IF(AND(ISNUMBER(MATCH(DJ$2, AsistenciaJetAdminConcatenada!$A:$A, 0)), ISNUMBER(MATCH(DJ$1, AsistenciaJetAdminConcatenada!$B:$B, 0)), ISNUMBER(SEARCH($A91,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ISNUMBER(SEARCH($A91, INDEX(AsistenciaJetAdminConcatenada!$D:$D, MATCH(1, (AsistenciaJetAdminConcatenada!$A:$A=DJ$2)*(AsistenciaJetAdminConcatenada!$B:$B=DJ$1), 0)), 1))),  0.5, 0))</f>
        <v>0</v>
      </c>
      <c r="DK91" s="47">
        <f t="array" ref="DK91">IF(AND(ISNUMBER(MATCH(DK$2, AsistenciaJetAdminConcatenada!$A:$A, 0)), ISNUMBER(MATCH(DK$1, AsistenciaJetAdminConcatenada!$B:$B, 0)), ISNUMBER(SEARCH($A91,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ISNUMBER(SEARCH($A91, INDEX(AsistenciaJetAdminConcatenada!$D:$D, MATCH(1, (AsistenciaJetAdminConcatenada!$A:$A=DK$2)*(AsistenciaJetAdminConcatenada!$B:$B=DK$1), 0)), 1))),  0.5, 0))</f>
        <v>0</v>
      </c>
      <c r="DL91" s="47">
        <f t="array" ref="DL91">IF(AND(ISNUMBER(MATCH(DL$2, AsistenciaJetAdminConcatenada!$A:$A, 0)), ISNUMBER(MATCH(DL$1, AsistenciaJetAdminConcatenada!$B:$B, 0)), ISNUMBER(SEARCH($A91,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ISNUMBER(SEARCH($A91, INDEX(AsistenciaJetAdminConcatenada!$D:$D, MATCH(1, (AsistenciaJetAdminConcatenada!$A:$A=DL$2)*(AsistenciaJetAdminConcatenada!$B:$B=DL$1), 0)), 1))),  0.5, 0))</f>
        <v>0</v>
      </c>
      <c r="DM91" s="47">
        <f t="array" ref="DM91">IF(AND(ISNUMBER(MATCH(DM$2, AsistenciaJetAdminConcatenada!$A:$A, 0)), ISNUMBER(MATCH(DM$1, AsistenciaJetAdminConcatenada!$B:$B, 0)), ISNUMBER(SEARCH($A91,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ISNUMBER(SEARCH($A91, INDEX(AsistenciaJetAdminConcatenada!$D:$D, MATCH(1, (AsistenciaJetAdminConcatenada!$A:$A=DM$2)*(AsistenciaJetAdminConcatenada!$B:$B=DM$1), 0)), 1))),  0.5, 0))</f>
        <v>0</v>
      </c>
      <c r="DN91" s="47">
        <f t="array" ref="DN91">IF(AND(ISNUMBER(MATCH(DN$2, AsistenciaJetAdminConcatenada!$A:$A, 0)), ISNUMBER(MATCH(DN$1, AsistenciaJetAdminConcatenada!$B:$B, 0)), ISNUMBER(SEARCH($A91,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ISNUMBER(SEARCH($A91, INDEX(AsistenciaJetAdminConcatenada!$D:$D, MATCH(1, (AsistenciaJetAdminConcatenada!$A:$A=DN$2)*(AsistenciaJetAdminConcatenada!$B:$B=DN$1), 0)), 1))),  0.5, 0))</f>
        <v>0</v>
      </c>
      <c r="DO91" s="47">
        <f t="array" ref="DO91">IF(AND(ISNUMBER(MATCH(DO$2, AsistenciaJetAdminConcatenada!$A:$A, 0)), ISNUMBER(MATCH(DO$1, AsistenciaJetAdminConcatenada!$B:$B, 0)), ISNUMBER(SEARCH($A91,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ISNUMBER(SEARCH($A91, INDEX(AsistenciaJetAdminConcatenada!$D:$D, MATCH(1, (AsistenciaJetAdminConcatenada!$A:$A=DO$2)*(AsistenciaJetAdminConcatenada!$B:$B=DO$1), 0)), 1))),  0.5, 0))</f>
        <v>0</v>
      </c>
      <c r="DP91" s="47">
        <f t="array" ref="DP91">IF(AND(ISNUMBER(MATCH(DP$2, AsistenciaJetAdminConcatenada!$A:$A, 0)), ISNUMBER(MATCH(DP$1, AsistenciaJetAdminConcatenada!$B:$B, 0)), ISNUMBER(SEARCH($A91,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ISNUMBER(SEARCH($A91, INDEX(AsistenciaJetAdminConcatenada!$D:$D, MATCH(1, (AsistenciaJetAdminConcatenada!$A:$A=DP$2)*(AsistenciaJetAdminConcatenada!$B:$B=DP$1), 0)), 1))),  0.5, 0))</f>
        <v>0</v>
      </c>
      <c r="DQ91" s="47">
        <f t="array" ref="DQ91">IF(AND(ISNUMBER(MATCH(DQ$2, AsistenciaJetAdminConcatenada!$A:$A, 0)), ISNUMBER(MATCH(DQ$1, AsistenciaJetAdminConcatenada!$B:$B, 0)), ISNUMBER(SEARCH($A91,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ISNUMBER(SEARCH($A91, INDEX(AsistenciaJetAdminConcatenada!$D:$D, MATCH(1, (AsistenciaJetAdminConcatenada!$A:$A=DQ$2)*(AsistenciaJetAdminConcatenada!$B:$B=DQ$1), 0)), 1))),  0.5, 0))</f>
        <v>0</v>
      </c>
      <c r="DR91" s="47">
        <f t="array" ref="DR91">IF(AND(ISNUMBER(MATCH(DR$2, AsistenciaJetAdminConcatenada!$A:$A, 0)), ISNUMBER(MATCH(DR$1, AsistenciaJetAdminConcatenada!$B:$B, 0)), ISNUMBER(SEARCH($A91,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ISNUMBER(SEARCH($A91, INDEX(AsistenciaJetAdminConcatenada!$D:$D, MATCH(1, (AsistenciaJetAdminConcatenada!$A:$A=DR$2)*(AsistenciaJetAdminConcatenada!$B:$B=DR$1), 0)), 1))),  0.5, 0))</f>
        <v>0</v>
      </c>
      <c r="DS91" s="47">
        <f t="array" ref="DS91">IF(AND(ISNUMBER(MATCH(DS$2, AsistenciaJetAdminConcatenada!$A:$A, 0)), ISNUMBER(MATCH(DS$1, AsistenciaJetAdminConcatenada!$B:$B, 0)), ISNUMBER(SEARCH($A91,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ISNUMBER(SEARCH($A91, INDEX(AsistenciaJetAdminConcatenada!$D:$D, MATCH(1, (AsistenciaJetAdminConcatenada!$A:$A=DS$2)*(AsistenciaJetAdminConcatenada!$B:$B=DS$1), 0)), 1))),  0.5, 0))</f>
        <v>0</v>
      </c>
      <c r="DT91" s="47">
        <f t="array" ref="DT91">IF(AND(ISNUMBER(MATCH(DT$2, AsistenciaJetAdminConcatenada!$A:$A, 0)), ISNUMBER(MATCH(DT$1, AsistenciaJetAdminConcatenada!$B:$B, 0)), ISNUMBER(SEARCH($A91,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ISNUMBER(SEARCH($A91, INDEX(AsistenciaJetAdminConcatenada!$D:$D, MATCH(1, (AsistenciaJetAdminConcatenada!$A:$A=DT$2)*(AsistenciaJetAdminConcatenada!$B:$B=DT$1), 0)), 1))),  0.5, 0))</f>
        <v>0</v>
      </c>
      <c r="DU91" s="47">
        <f t="array" ref="DU91">IF(AND(ISNUMBER(MATCH(DU$2, AsistenciaJetAdminConcatenada!$A:$A, 0)), ISNUMBER(MATCH(DU$1, AsistenciaJetAdminConcatenada!$B:$B, 0)), ISNUMBER(SEARCH($A91,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ISNUMBER(SEARCH($A91, INDEX(AsistenciaJetAdminConcatenada!$D:$D, MATCH(1, (AsistenciaJetAdminConcatenada!$A:$A=DU$2)*(AsistenciaJetAdminConcatenada!$B:$B=DU$1), 0)), 1))),  0.5, 0))</f>
        <v>0</v>
      </c>
      <c r="DV91" s="47">
        <f t="array" ref="DV91">IF(AND(ISNUMBER(MATCH(DV$2, AsistenciaJetAdminConcatenada!$A:$A, 0)), ISNUMBER(MATCH(DV$1, AsistenciaJetAdminConcatenada!$B:$B, 0)), ISNUMBER(SEARCH($A91,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ISNUMBER(SEARCH($A91, INDEX(AsistenciaJetAdminConcatenada!$D:$D, MATCH(1, (AsistenciaJetAdminConcatenada!$A:$A=DV$2)*(AsistenciaJetAdminConcatenada!$B:$B=DV$1), 0)), 1))),  0.5, 0))</f>
        <v>0</v>
      </c>
      <c r="DW91" s="47">
        <f t="array" ref="DW91">IF(AND(ISNUMBER(MATCH(DW$2, AsistenciaJetAdminConcatenada!$A:$A, 0)), ISNUMBER(MATCH(DW$1, AsistenciaJetAdminConcatenada!$B:$B, 0)), ISNUMBER(SEARCH($A91,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ISNUMBER(SEARCH($A91, INDEX(AsistenciaJetAdminConcatenada!$D:$D, MATCH(1, (AsistenciaJetAdminConcatenada!$A:$A=DW$2)*(AsistenciaJetAdminConcatenada!$B:$B=DW$1), 0)), 1))),  0.5, 0))</f>
        <v>0</v>
      </c>
      <c r="DX91" s="47">
        <f t="array" ref="DX91">IF(AND(ISNUMBER(MATCH(DX$2, AsistenciaJetAdminConcatenada!$A:$A, 0)), ISNUMBER(MATCH(DX$1, AsistenciaJetAdminConcatenada!$B:$B, 0)), ISNUMBER(SEARCH($A91,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ISNUMBER(SEARCH($A91, INDEX(AsistenciaJetAdminConcatenada!$D:$D, MATCH(1, (AsistenciaJetAdminConcatenada!$A:$A=DX$2)*(AsistenciaJetAdminConcatenada!$B:$B=DX$1), 0)), 1))),  0.5, 0))</f>
        <v>0</v>
      </c>
      <c r="DY91" s="47">
        <f t="array" ref="DY91">IF(AND(ISNUMBER(MATCH(DY$2, AsistenciaJetAdminConcatenada!$A:$A, 0)), ISNUMBER(MATCH(DY$1, AsistenciaJetAdminConcatenada!$B:$B, 0)), ISNUMBER(SEARCH($A91,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ISNUMBER(SEARCH($A91, INDEX(AsistenciaJetAdminConcatenada!$D:$D, MATCH(1, (AsistenciaJetAdminConcatenada!$A:$A=DY$2)*(AsistenciaJetAdminConcatenada!$B:$B=DY$1), 0)), 1))),  0.5, 0))</f>
        <v>0</v>
      </c>
      <c r="DZ91" s="47">
        <f t="array" ref="DZ91">IF(AND(ISNUMBER(MATCH(DZ$2, AsistenciaJetAdminConcatenada!$A:$A, 0)), ISNUMBER(MATCH(DZ$1, AsistenciaJetAdminConcatenada!$B:$B, 0)), ISNUMBER(SEARCH($A91,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ISNUMBER(SEARCH($A91, INDEX(AsistenciaJetAdminConcatenada!$D:$D, MATCH(1, (AsistenciaJetAdminConcatenada!$A:$A=DZ$2)*(AsistenciaJetAdminConcatenada!$B:$B=DZ$1), 0)), 1))),  0.5, 0))</f>
        <v>0</v>
      </c>
      <c r="EA91" s="47">
        <f t="array" ref="EA91">IF(AND(ISNUMBER(MATCH(EA$2, AsistenciaJetAdminConcatenada!$A:$A, 0)), ISNUMBER(MATCH(EA$1, AsistenciaJetAdminConcatenada!$B:$B, 0)), ISNUMBER(SEARCH($A91,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ISNUMBER(SEARCH($A91, INDEX(AsistenciaJetAdminConcatenada!$D:$D, MATCH(1, (AsistenciaJetAdminConcatenada!$A:$A=EA$2)*(AsistenciaJetAdminConcatenada!$B:$B=EA$1), 0)), 1))),  0.5, 0))</f>
        <v>0</v>
      </c>
      <c r="EB91" s="47">
        <f t="array" ref="EB91">IF(AND(ISNUMBER(MATCH(EB$2, AsistenciaJetAdminConcatenada!$A:$A, 0)), ISNUMBER(MATCH(EB$1, AsistenciaJetAdminConcatenada!$B:$B, 0)), ISNUMBER(SEARCH($A91,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ISNUMBER(SEARCH($A91, INDEX(AsistenciaJetAdminConcatenada!$D:$D, MATCH(1, (AsistenciaJetAdminConcatenada!$A:$A=EB$2)*(AsistenciaJetAdminConcatenada!$B:$B=EB$1), 0)), 1))),  0.5, 0))</f>
        <v>0</v>
      </c>
      <c r="EC91" s="47">
        <f t="array" ref="EC91">IF(AND(ISNUMBER(MATCH(EC$2, AsistenciaJetAdminConcatenada!$A:$A, 0)), ISNUMBER(MATCH(EC$1, AsistenciaJetAdminConcatenada!$B:$B, 0)), ISNUMBER(SEARCH($A91,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ISNUMBER(SEARCH($A91, INDEX(AsistenciaJetAdminConcatenada!$D:$D, MATCH(1, (AsistenciaJetAdminConcatenada!$A:$A=EC$2)*(AsistenciaJetAdminConcatenada!$B:$B=EC$1), 0)), 1))),  0.5, 0))</f>
        <v>0</v>
      </c>
      <c r="ED91" s="47">
        <f t="array" ref="ED91">IF(AND(ISNUMBER(MATCH(ED$2, AsistenciaJetAdminConcatenada!$A:$A, 0)), ISNUMBER(MATCH(ED$1, AsistenciaJetAdminConcatenada!$B:$B, 0)), ISNUMBER(SEARCH($A91,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ISNUMBER(SEARCH($A91, INDEX(AsistenciaJetAdminConcatenada!$D:$D, MATCH(1, (AsistenciaJetAdminConcatenada!$A:$A=ED$2)*(AsistenciaJetAdminConcatenada!$B:$B=ED$1), 0)), 1))),  0.5, 0))</f>
        <v>0</v>
      </c>
      <c r="EE91" s="47">
        <f t="array" ref="EE91">IF(AND(ISNUMBER(MATCH(EE$2, AsistenciaJetAdminConcatenada!$A:$A, 0)), ISNUMBER(MATCH(EE$1, AsistenciaJetAdminConcatenada!$B:$B, 0)), ISNUMBER(SEARCH($A91,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ISNUMBER(SEARCH($A91, INDEX(AsistenciaJetAdminConcatenada!$D:$D, MATCH(1, (AsistenciaJetAdminConcatenada!$A:$A=EE$2)*(AsistenciaJetAdminConcatenada!$B:$B=EE$1), 0)), 1))),  0.5, 0))</f>
        <v>0</v>
      </c>
      <c r="EF91" s="47">
        <f t="array" ref="EF91">IF(AND(ISNUMBER(MATCH(EF$2, AsistenciaJetAdminConcatenada!$A:$A, 0)), ISNUMBER(MATCH(EF$1, AsistenciaJetAdminConcatenada!$B:$B, 0)), ISNUMBER(SEARCH($A91,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ISNUMBER(SEARCH($A91, INDEX(AsistenciaJetAdminConcatenada!$D:$D, MATCH(1, (AsistenciaJetAdminConcatenada!$A:$A=EF$2)*(AsistenciaJetAdminConcatenada!$B:$B=EF$1), 0)), 1))),  0.5, 0))</f>
        <v>0</v>
      </c>
      <c r="EG91" s="47">
        <f t="array" ref="EG91">IF(AND(ISNUMBER(MATCH(EG$2, AsistenciaJetAdminConcatenada!$A:$A, 0)), ISNUMBER(MATCH(EG$1, AsistenciaJetAdminConcatenada!$B:$B, 0)), ISNUMBER(SEARCH($A91,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ISNUMBER(SEARCH($A91, INDEX(AsistenciaJetAdminConcatenada!$D:$D, MATCH(1, (AsistenciaJetAdminConcatenada!$A:$A=EG$2)*(AsistenciaJetAdminConcatenada!$B:$B=EG$1), 0)), 1))),  0.5, 0))</f>
        <v>0</v>
      </c>
      <c r="EH91" s="47">
        <f t="array" ref="EH91">IF(AND(ISNUMBER(MATCH(EH$2, AsistenciaJetAdminConcatenada!$A:$A, 0)), ISNUMBER(MATCH(EH$1, AsistenciaJetAdminConcatenada!$B:$B, 0)), ISNUMBER(SEARCH($A91,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ISNUMBER(SEARCH($A91, INDEX(AsistenciaJetAdminConcatenada!$D:$D, MATCH(1, (AsistenciaJetAdminConcatenada!$A:$A=EH$2)*(AsistenciaJetAdminConcatenada!$B:$B=EH$1), 0)), 1))),  0.5, 0))</f>
        <v>0</v>
      </c>
      <c r="EI91" s="47">
        <f t="array" ref="EI91">IF(AND(ISNUMBER(MATCH(EI$2, AsistenciaJetAdminConcatenada!$A:$A, 0)), ISNUMBER(MATCH(EI$1, AsistenciaJetAdminConcatenada!$B:$B, 0)), ISNUMBER(SEARCH($A91,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ISNUMBER(SEARCH($A91, INDEX(AsistenciaJetAdminConcatenada!$D:$D, MATCH(1, (AsistenciaJetAdminConcatenada!$A:$A=EI$2)*(AsistenciaJetAdminConcatenada!$B:$B=EI$1), 0)), 1))),  0.5, 0))</f>
        <v>0</v>
      </c>
      <c r="EJ91" s="47">
        <f t="array" ref="EJ91">IF(AND(ISNUMBER(MATCH(EJ$2, AsistenciaJetAdminConcatenada!$A:$A, 0)), ISNUMBER(MATCH(EJ$1, AsistenciaJetAdminConcatenada!$B:$B, 0)), ISNUMBER(SEARCH($A91,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ISNUMBER(SEARCH($A91, INDEX(AsistenciaJetAdminConcatenada!$D:$D, MATCH(1, (AsistenciaJetAdminConcatenada!$A:$A=EJ$2)*(AsistenciaJetAdminConcatenada!$B:$B=EJ$1), 0)), 1))),  0.5, 0))</f>
        <v>0</v>
      </c>
      <c r="EK91" s="47">
        <f t="array" ref="EK91">IF(AND(ISNUMBER(MATCH(EK$2, AsistenciaJetAdminConcatenada!$A:$A, 0)), ISNUMBER(MATCH(EK$1, AsistenciaJetAdminConcatenada!$B:$B, 0)), ISNUMBER(SEARCH($A91,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ISNUMBER(SEARCH($A91, INDEX(AsistenciaJetAdminConcatenada!$D:$D, MATCH(1, (AsistenciaJetAdminConcatenada!$A:$A=EK$2)*(AsistenciaJetAdminConcatenada!$B:$B=EK$1), 0)), 1))),  0.5, 0))</f>
        <v>0</v>
      </c>
      <c r="EL91" s="47">
        <f t="array" ref="EL91">IF(AND(ISNUMBER(MATCH(EL$2, AsistenciaJetAdminConcatenada!$A:$A, 0)), ISNUMBER(MATCH(EL$1, AsistenciaJetAdminConcatenada!$B:$B, 0)), ISNUMBER(SEARCH($A91,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ISNUMBER(SEARCH($A91, INDEX(AsistenciaJetAdminConcatenada!$D:$D, MATCH(1, (AsistenciaJetAdminConcatenada!$A:$A=EL$2)*(AsistenciaJetAdminConcatenada!$B:$B=EL$1), 0)), 1))),  0.5, 0))</f>
        <v>0</v>
      </c>
      <c r="EM91" s="47">
        <f t="array" ref="EM91">IF(AND(ISNUMBER(MATCH(EM$2, AsistenciaJetAdminConcatenada!$A:$A, 0)), ISNUMBER(MATCH(EM$1, AsistenciaJetAdminConcatenada!$B:$B, 0)), ISNUMBER(SEARCH($A91,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ISNUMBER(SEARCH($A91, INDEX(AsistenciaJetAdminConcatenada!$D:$D, MATCH(1, (AsistenciaJetAdminConcatenada!$A:$A=EM$2)*(AsistenciaJetAdminConcatenada!$B:$B=EM$1), 0)), 1))),  0.5, 0))</f>
        <v>0</v>
      </c>
      <c r="EN91" s="47">
        <f t="array" ref="EN91">IF(AND(ISNUMBER(MATCH(EN$2, AsistenciaJetAdminConcatenada!$A:$A, 0)), ISNUMBER(MATCH(EN$1, AsistenciaJetAdminConcatenada!$B:$B, 0)), ISNUMBER(SEARCH($A91,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ISNUMBER(SEARCH($A91, INDEX(AsistenciaJetAdminConcatenada!$D:$D, MATCH(1, (AsistenciaJetAdminConcatenada!$A:$A=EN$2)*(AsistenciaJetAdminConcatenada!$B:$B=EN$1), 0)), 1))),  0.5, 0))</f>
        <v>0</v>
      </c>
      <c r="EO91" s="47">
        <f t="array" ref="EO91">IF(AND(ISNUMBER(MATCH(EO$2, AsistenciaJetAdminConcatenada!$A:$A, 0)), ISNUMBER(MATCH(EO$1, AsistenciaJetAdminConcatenada!$B:$B, 0)), ISNUMBER(SEARCH($A91,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ISNUMBER(SEARCH($A91, INDEX(AsistenciaJetAdminConcatenada!$D:$D, MATCH(1, (AsistenciaJetAdminConcatenada!$A:$A=EO$2)*(AsistenciaJetAdminConcatenada!$B:$B=EO$1), 0)), 1))),  0.5, 0))</f>
        <v>0</v>
      </c>
      <c r="EP91" s="47">
        <f t="array" ref="EP91">IF(AND(ISNUMBER(MATCH(EP$2, AsistenciaJetAdminConcatenada!$A:$A, 0)), ISNUMBER(MATCH(EP$1, AsistenciaJetAdminConcatenada!$B:$B, 0)), ISNUMBER(SEARCH($A91,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ISNUMBER(SEARCH($A91, INDEX(AsistenciaJetAdminConcatenada!$D:$D, MATCH(1, (AsistenciaJetAdminConcatenada!$A:$A=EP$2)*(AsistenciaJetAdminConcatenada!$B:$B=EP$1), 0)), 1))),  0.5, 0))</f>
        <v>0</v>
      </c>
      <c r="EQ91" s="47">
        <f t="array" ref="EQ91">IF(AND(ISNUMBER(MATCH(EQ$2, AsistenciaJetAdminConcatenada!$A:$A, 0)), ISNUMBER(MATCH(EQ$1, AsistenciaJetAdminConcatenada!$B:$B, 0)), ISNUMBER(SEARCH($A91,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ISNUMBER(SEARCH($A91, INDEX(AsistenciaJetAdminConcatenada!$D:$D, MATCH(1, (AsistenciaJetAdminConcatenada!$A:$A=EQ$2)*(AsistenciaJetAdminConcatenada!$B:$B=EQ$1), 0)), 1))),  0.5, 0))</f>
        <v>0</v>
      </c>
      <c r="ER91" s="47">
        <f t="array" ref="ER91">IF(AND(ISNUMBER(MATCH(ER$2, AsistenciaJetAdminConcatenada!$A:$A, 0)), ISNUMBER(MATCH(ER$1, AsistenciaJetAdminConcatenada!$B:$B, 0)), ISNUMBER(SEARCH($A91,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ISNUMBER(SEARCH($A91, INDEX(AsistenciaJetAdminConcatenada!$D:$D, MATCH(1, (AsistenciaJetAdminConcatenada!$A:$A=ER$2)*(AsistenciaJetAdminConcatenada!$B:$B=ER$1), 0)), 1))),  0.5, 0))</f>
        <v>0</v>
      </c>
      <c r="ES91" s="47">
        <f t="array" ref="ES91">IF(AND(ISNUMBER(MATCH(ES$2, AsistenciaJetAdminConcatenada!$A:$A, 0)), ISNUMBER(MATCH(ES$1, AsistenciaJetAdminConcatenada!$B:$B, 0)), ISNUMBER(SEARCH($A91,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ISNUMBER(SEARCH($A91, INDEX(AsistenciaJetAdminConcatenada!$D:$D, MATCH(1, (AsistenciaJetAdminConcatenada!$A:$A=ES$2)*(AsistenciaJetAdminConcatenada!$B:$B=ES$1), 0)), 1))),  0.5, 0))</f>
        <v>0</v>
      </c>
      <c r="ET91" s="47">
        <f t="array" ref="ET91">IF(AND(ISNUMBER(MATCH(ET$2, AsistenciaJetAdminConcatenada!$A:$A, 0)), ISNUMBER(MATCH(ET$1, AsistenciaJetAdminConcatenada!$B:$B, 0)), ISNUMBER(SEARCH($A91,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ISNUMBER(SEARCH($A91, INDEX(AsistenciaJetAdminConcatenada!$D:$D, MATCH(1, (AsistenciaJetAdminConcatenada!$A:$A=ET$2)*(AsistenciaJetAdminConcatenada!$B:$B=ET$1), 0)), 1))),  0.5, 0))</f>
        <v>0</v>
      </c>
      <c r="EU91" s="47">
        <f t="array" ref="EU91">IF(AND(ISNUMBER(MATCH(EU$2, AsistenciaJetAdminConcatenada!$A:$A, 0)), ISNUMBER(MATCH(EU$1, AsistenciaJetAdminConcatenada!$B:$B, 0)), ISNUMBER(SEARCH($A91,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ISNUMBER(SEARCH($A91, INDEX(AsistenciaJetAdminConcatenada!$D:$D, MATCH(1, (AsistenciaJetAdminConcatenada!$A:$A=EU$2)*(AsistenciaJetAdminConcatenada!$B:$B=EU$1), 0)), 1))),  0.5, 0))</f>
        <v>0</v>
      </c>
      <c r="EV91" s="47">
        <f t="array" ref="EV91">IF(AND(ISNUMBER(MATCH(EV$2, AsistenciaJetAdminConcatenada!$A:$A, 0)), ISNUMBER(MATCH(EV$1, AsistenciaJetAdminConcatenada!$B:$B, 0)), ISNUMBER(SEARCH($A91,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ISNUMBER(SEARCH($A91, INDEX(AsistenciaJetAdminConcatenada!$D:$D, MATCH(1, (AsistenciaJetAdminConcatenada!$A:$A=EV$2)*(AsistenciaJetAdminConcatenada!$B:$B=EV$1), 0)), 1))),  0.5, 0))</f>
        <v>0</v>
      </c>
      <c r="EW91" s="47">
        <f t="array" ref="EW91">IF(AND(ISNUMBER(MATCH(EW$2, AsistenciaJetAdminConcatenada!$A:$A, 0)), ISNUMBER(MATCH(EW$1, AsistenciaJetAdminConcatenada!$B:$B, 0)), ISNUMBER(SEARCH($A91,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ISNUMBER(SEARCH($A91, INDEX(AsistenciaJetAdminConcatenada!$D:$D, MATCH(1, (AsistenciaJetAdminConcatenada!$A:$A=EW$2)*(AsistenciaJetAdminConcatenada!$B:$B=EW$1), 0)), 1))),  0.5, 0))</f>
        <v>0</v>
      </c>
      <c r="EX91" s="47">
        <f t="array" ref="EX91">IF(AND(ISNUMBER(MATCH(EX$2, AsistenciaJetAdminConcatenada!$A:$A, 0)), ISNUMBER(MATCH(EX$1, AsistenciaJetAdminConcatenada!$B:$B, 0)), ISNUMBER(SEARCH($A91,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ISNUMBER(SEARCH($A91, INDEX(AsistenciaJetAdminConcatenada!$D:$D, MATCH(1, (AsistenciaJetAdminConcatenada!$A:$A=EX$2)*(AsistenciaJetAdminConcatenada!$B:$B=EX$1), 0)), 1))),  0.5, 0))</f>
        <v>0</v>
      </c>
      <c r="EY91" s="47">
        <f t="array" ref="EY91">IF(AND(ISNUMBER(MATCH(EY$2, AsistenciaJetAdminConcatenada!$A:$A, 0)), ISNUMBER(MATCH(EY$1, AsistenciaJetAdminConcatenada!$B:$B, 0)), ISNUMBER(SEARCH($A91,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ISNUMBER(SEARCH($A91, INDEX(AsistenciaJetAdminConcatenada!$D:$D, MATCH(1, (AsistenciaJetAdminConcatenada!$A:$A=EY$2)*(AsistenciaJetAdminConcatenada!$B:$B=EY$1), 0)), 1))),  0.5, 0))</f>
        <v>0</v>
      </c>
      <c r="EZ91" s="47">
        <f t="array" ref="EZ91">IF(AND(ISNUMBER(MATCH(EZ$2, AsistenciaJetAdminConcatenada!$A:$A, 0)), ISNUMBER(MATCH(EZ$1, AsistenciaJetAdminConcatenada!$B:$B, 0)), ISNUMBER(SEARCH($A91,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ISNUMBER(SEARCH($A91, INDEX(AsistenciaJetAdminConcatenada!$D:$D, MATCH(1, (AsistenciaJetAdminConcatenada!$A:$A=EZ$2)*(AsistenciaJetAdminConcatenada!$B:$B=EZ$1), 0)), 1))),  0.5, 0))</f>
        <v>0</v>
      </c>
      <c r="FA91" s="47">
        <f t="array" ref="FA91">IF(AND(ISNUMBER(MATCH(FA$2, AsistenciaJetAdminConcatenada!$A:$A, 0)), ISNUMBER(MATCH(FA$1, AsistenciaJetAdminConcatenada!$B:$B, 0)), ISNUMBER(SEARCH($A91,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ISNUMBER(SEARCH($A91, INDEX(AsistenciaJetAdminConcatenada!$D:$D, MATCH(1, (AsistenciaJetAdminConcatenada!$A:$A=FA$2)*(AsistenciaJetAdminConcatenada!$B:$B=FA$1), 0)), 1))),  0.5, 0))</f>
        <v>0</v>
      </c>
      <c r="FB91" s="47">
        <f t="array" ref="FB91">IF(AND(ISNUMBER(MATCH(FB$2, AsistenciaJetAdminConcatenada!$A:$A, 0)), ISNUMBER(MATCH(FB$1, AsistenciaJetAdminConcatenada!$B:$B, 0)), ISNUMBER(SEARCH($A91,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ISNUMBER(SEARCH($A91, INDEX(AsistenciaJetAdminConcatenada!$D:$D, MATCH(1, (AsistenciaJetAdminConcatenada!$A:$A=FB$2)*(AsistenciaJetAdminConcatenada!$B:$B=FB$1), 0)), 1))),  0.5, 0))</f>
        <v>0</v>
      </c>
      <c r="FC91" s="47">
        <f t="array" ref="FC91">IF(AND(ISNUMBER(MATCH(FC$2, AsistenciaJetAdminConcatenada!$A:$A, 0)), ISNUMBER(MATCH(FC$1, AsistenciaJetAdminConcatenada!$B:$B, 0)), ISNUMBER(SEARCH($A91,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ISNUMBER(SEARCH($A91, INDEX(AsistenciaJetAdminConcatenada!$D:$D, MATCH(1, (AsistenciaJetAdminConcatenada!$A:$A=FC$2)*(AsistenciaJetAdminConcatenada!$B:$B=FC$1), 0)), 1))),  0.5, 0))</f>
        <v>0</v>
      </c>
      <c r="FD91" s="47">
        <f t="array" ref="FD91">IF(AND(ISNUMBER(MATCH(FD$2, AsistenciaJetAdminConcatenada!$A:$A, 0)), ISNUMBER(MATCH(FD$1, AsistenciaJetAdminConcatenada!$B:$B, 0)), ISNUMBER(SEARCH($A91,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ISNUMBER(SEARCH($A91, INDEX(AsistenciaJetAdminConcatenada!$D:$D, MATCH(1, (AsistenciaJetAdminConcatenada!$A:$A=FD$2)*(AsistenciaJetAdminConcatenada!$B:$B=FD$1), 0)), 1))),  0.5, 0))</f>
        <v>0</v>
      </c>
      <c r="FE91" s="47">
        <f t="array" ref="FE91">IF(AND(ISNUMBER(MATCH(FE$2, AsistenciaJetAdminConcatenada!$A:$A, 0)), ISNUMBER(MATCH(FE$1, AsistenciaJetAdminConcatenada!$B:$B, 0)), ISNUMBER(SEARCH($A91,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ISNUMBER(SEARCH($A91, INDEX(AsistenciaJetAdminConcatenada!$D:$D, MATCH(1, (AsistenciaJetAdminConcatenada!$A:$A=FE$2)*(AsistenciaJetAdminConcatenada!$B:$B=FE$1), 0)), 1))),  0.5, 0))</f>
        <v>0</v>
      </c>
      <c r="FF91" s="47">
        <f t="array" ref="FF91">IF(AND(ISNUMBER(MATCH(FF$2, AsistenciaJetAdminConcatenada!$A:$A, 0)), ISNUMBER(MATCH(FF$1, AsistenciaJetAdminConcatenada!$B:$B, 0)), ISNUMBER(SEARCH($A91,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ISNUMBER(SEARCH($A91, INDEX(AsistenciaJetAdminConcatenada!$D:$D, MATCH(1, (AsistenciaJetAdminConcatenada!$A:$A=FF$2)*(AsistenciaJetAdminConcatenada!$B:$B=FF$1), 0)), 1))),  0.5, 0))</f>
        <v>0</v>
      </c>
      <c r="FG91" s="47">
        <f t="array" ref="FG91">IF(AND(ISNUMBER(MATCH(FG$2, AsistenciaJetAdminConcatenada!$A:$A, 0)), ISNUMBER(MATCH(FG$1, AsistenciaJetAdminConcatenada!$B:$B, 0)), ISNUMBER(SEARCH($A91,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ISNUMBER(SEARCH($A91, INDEX(AsistenciaJetAdminConcatenada!$D:$D, MATCH(1, (AsistenciaJetAdminConcatenada!$A:$A=FG$2)*(AsistenciaJetAdminConcatenada!$B:$B=FG$1), 0)), 1))),  0.5, 0))</f>
        <v>0</v>
      </c>
      <c r="FH91" s="47">
        <f t="array" ref="FH91">IF(AND(ISNUMBER(MATCH(FH$2, AsistenciaJetAdminConcatenada!$A:$A, 0)), ISNUMBER(MATCH(FH$1, AsistenciaJetAdminConcatenada!$B:$B, 0)), ISNUMBER(SEARCH($A91,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ISNUMBER(SEARCH($A91, INDEX(AsistenciaJetAdminConcatenada!$D:$D, MATCH(1, (AsistenciaJetAdminConcatenada!$A:$A=FH$2)*(AsistenciaJetAdminConcatenada!$B:$B=FH$1), 0)), 1))),  0.5, 0))</f>
        <v>0</v>
      </c>
      <c r="FI91" s="47">
        <f t="array" ref="FI91">IF(AND(ISNUMBER(MATCH(FI$2, AsistenciaJetAdminConcatenada!$A:$A, 0)), ISNUMBER(MATCH(FI$1, AsistenciaJetAdminConcatenada!$B:$B, 0)), ISNUMBER(SEARCH($A91,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ISNUMBER(SEARCH($A91, INDEX(AsistenciaJetAdminConcatenada!$D:$D, MATCH(1, (AsistenciaJetAdminConcatenada!$A:$A=FI$2)*(AsistenciaJetAdminConcatenada!$B:$B=FI$1), 0)), 1))),  0.5, 0))</f>
        <v>0</v>
      </c>
      <c r="FJ91" s="47">
        <f t="array" ref="FJ91">IF(AND(ISNUMBER(MATCH(FJ$2, AsistenciaJetAdminConcatenada!$A:$A, 0)), ISNUMBER(MATCH(FJ$1, AsistenciaJetAdminConcatenada!$B:$B, 0)), ISNUMBER(SEARCH($A91,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ISNUMBER(SEARCH($A91, INDEX(AsistenciaJetAdminConcatenada!$D:$D, MATCH(1, (AsistenciaJetAdminConcatenada!$A:$A=FJ$2)*(AsistenciaJetAdminConcatenada!$B:$B=FJ$1), 0)), 1))),  0.5, 0))</f>
        <v>0</v>
      </c>
      <c r="FK91" s="47">
        <f t="array" ref="FK91">IF(AND(ISNUMBER(MATCH(FK$2, AsistenciaJetAdminConcatenada!$A:$A, 0)), ISNUMBER(MATCH(FK$1, AsistenciaJetAdminConcatenada!$B:$B, 0)), ISNUMBER(SEARCH($A91,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ISNUMBER(SEARCH($A91, INDEX(AsistenciaJetAdminConcatenada!$D:$D, MATCH(1, (AsistenciaJetAdminConcatenada!$A:$A=FK$2)*(AsistenciaJetAdminConcatenada!$B:$B=FK$1), 0)), 1))),  0.5, 0))</f>
        <v>0</v>
      </c>
      <c r="FL91" s="47">
        <f t="array" ref="FL91">IF(AND(ISNUMBER(MATCH(FL$2, AsistenciaJetAdminConcatenada!$A:$A, 0)), ISNUMBER(MATCH(FL$1, AsistenciaJetAdminConcatenada!$B:$B, 0)), ISNUMBER(SEARCH($A91,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ISNUMBER(SEARCH($A91, INDEX(AsistenciaJetAdminConcatenada!$D:$D, MATCH(1, (AsistenciaJetAdminConcatenada!$A:$A=FL$2)*(AsistenciaJetAdminConcatenada!$B:$B=FL$1), 0)), 1))),  0.5, 0))</f>
        <v>0</v>
      </c>
      <c r="FM91" s="47">
        <f t="array" ref="FM91">IF(AND(ISNUMBER(MATCH(FM$2, AsistenciaJetAdminConcatenada!$A:$A, 0)), ISNUMBER(MATCH(FM$1, AsistenciaJetAdminConcatenada!$B:$B, 0)), ISNUMBER(SEARCH($A91,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ISNUMBER(SEARCH($A91, INDEX(AsistenciaJetAdminConcatenada!$D:$D, MATCH(1, (AsistenciaJetAdminConcatenada!$A:$A=FM$2)*(AsistenciaJetAdminConcatenada!$B:$B=FM$1), 0)), 1))),  0.5, 0))</f>
        <v>0</v>
      </c>
      <c r="FN91" s="47">
        <f t="array" ref="FN91">IF(AND(ISNUMBER(MATCH(FN$2, AsistenciaJetAdminConcatenada!$A:$A, 0)), ISNUMBER(MATCH(FN$1, AsistenciaJetAdminConcatenada!$B:$B, 0)), ISNUMBER(SEARCH($A91,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ISNUMBER(SEARCH($A91, INDEX(AsistenciaJetAdminConcatenada!$D:$D, MATCH(1, (AsistenciaJetAdminConcatenada!$A:$A=FN$2)*(AsistenciaJetAdminConcatenada!$B:$B=FN$1), 0)), 1))),  0.5, 0))</f>
        <v>0</v>
      </c>
      <c r="FO91" s="47">
        <f t="array" ref="FO91">IF(AND(ISNUMBER(MATCH(FO$2, AsistenciaJetAdminConcatenada!$A:$A, 0)), ISNUMBER(MATCH(FO$1, AsistenciaJetAdminConcatenada!$B:$B, 0)), ISNUMBER(SEARCH($A91,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ISNUMBER(SEARCH($A91, INDEX(AsistenciaJetAdminConcatenada!$D:$D, MATCH(1, (AsistenciaJetAdminConcatenada!$A:$A=FO$2)*(AsistenciaJetAdminConcatenada!$B:$B=FO$1), 0)), 1))),  0.5, 0))</f>
        <v>0</v>
      </c>
      <c r="FP91" s="47">
        <f t="array" ref="FP91">IF(AND(ISNUMBER(MATCH(FP$2, AsistenciaJetAdminConcatenada!$A:$A, 0)), ISNUMBER(MATCH(FP$1, AsistenciaJetAdminConcatenada!$B:$B, 0)), ISNUMBER(SEARCH($A91,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ISNUMBER(SEARCH($A91, INDEX(AsistenciaJetAdminConcatenada!$D:$D, MATCH(1, (AsistenciaJetAdminConcatenada!$A:$A=FP$2)*(AsistenciaJetAdminConcatenada!$B:$B=FP$1), 0)), 1))),  0.5, 0))</f>
        <v>0</v>
      </c>
      <c r="FQ91" s="47">
        <f t="array" ref="FQ91">IF(AND(ISNUMBER(MATCH(FQ$2, AsistenciaJetAdminConcatenada!$A:$A, 0)), ISNUMBER(MATCH(FQ$1, AsistenciaJetAdminConcatenada!$B:$B, 0)), ISNUMBER(SEARCH($A91,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ISNUMBER(SEARCH($A91, INDEX(AsistenciaJetAdminConcatenada!$D:$D, MATCH(1, (AsistenciaJetAdminConcatenada!$A:$A=FQ$2)*(AsistenciaJetAdminConcatenada!$B:$B=FQ$1), 0)), 1))),  0.5, 0))</f>
        <v>0</v>
      </c>
      <c r="FR91" s="47">
        <f t="array" ref="FR91">IF(AND(ISNUMBER(MATCH(FR$2, AsistenciaJetAdminConcatenada!$A:$A, 0)), ISNUMBER(MATCH(FR$1, AsistenciaJetAdminConcatenada!$B:$B, 0)), ISNUMBER(SEARCH($A91,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ISNUMBER(SEARCH($A91, INDEX(AsistenciaJetAdminConcatenada!$D:$D, MATCH(1, (AsistenciaJetAdminConcatenada!$A:$A=FR$2)*(AsistenciaJetAdminConcatenada!$B:$B=FR$1), 0)), 1))),  0.5, 0))</f>
        <v>0</v>
      </c>
      <c r="FS91" s="47">
        <f t="array" ref="FS91">IF(AND(ISNUMBER(MATCH(FS$2, AsistenciaJetAdminConcatenada!$A:$A, 0)), ISNUMBER(MATCH(FS$1, AsistenciaJetAdminConcatenada!$B:$B, 0)), ISNUMBER(SEARCH($A91,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ISNUMBER(SEARCH($A91, INDEX(AsistenciaJetAdminConcatenada!$D:$D, MATCH(1, (AsistenciaJetAdminConcatenada!$A:$A=FS$2)*(AsistenciaJetAdminConcatenada!$B:$B=FS$1), 0)), 1))),  0.5, 0))</f>
        <v>0</v>
      </c>
      <c r="FT91" s="47">
        <f t="array" ref="FT91">IF(AND(ISNUMBER(MATCH(FT$2, AsistenciaJetAdminConcatenada!$A:$A, 0)), ISNUMBER(MATCH(FT$1, AsistenciaJetAdminConcatenada!$B:$B, 0)), ISNUMBER(SEARCH($A91,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ISNUMBER(SEARCH($A91, INDEX(AsistenciaJetAdminConcatenada!$D:$D, MATCH(1, (AsistenciaJetAdminConcatenada!$A:$A=FT$2)*(AsistenciaJetAdminConcatenada!$B:$B=FT$1), 0)), 1))),  0.5, 0))</f>
        <v>0</v>
      </c>
      <c r="FU91" s="47">
        <f t="array" ref="FU91">IF(AND(ISNUMBER(MATCH(FU$2, AsistenciaJetAdminConcatenada!$A:$A, 0)), ISNUMBER(MATCH(FU$1, AsistenciaJetAdminConcatenada!$B:$B, 0)), ISNUMBER(SEARCH($A91,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ISNUMBER(SEARCH($A91, INDEX(AsistenciaJetAdminConcatenada!$D:$D, MATCH(1, (AsistenciaJetAdminConcatenada!$A:$A=FU$2)*(AsistenciaJetAdminConcatenada!$B:$B=FU$1), 0)), 1))),  0.5, 0))</f>
        <v>0</v>
      </c>
      <c r="FV91" s="47">
        <f t="array" ref="FV91">IF(AND(ISNUMBER(MATCH(FV$2, AsistenciaJetAdminConcatenada!$A:$A, 0)), ISNUMBER(MATCH(FV$1, AsistenciaJetAdminConcatenada!$B:$B, 0)), ISNUMBER(SEARCH($A91,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ISNUMBER(SEARCH($A91, INDEX(AsistenciaJetAdminConcatenada!$D:$D, MATCH(1, (AsistenciaJetAdminConcatenada!$A:$A=FV$2)*(AsistenciaJetAdminConcatenada!$B:$B=FV$1), 0)), 1))),  0.5, 0))</f>
        <v>0</v>
      </c>
      <c r="FW91" s="47">
        <f t="array" ref="FW91">IF(AND(ISNUMBER(MATCH(FW$2, AsistenciaJetAdminConcatenada!$A:$A, 0)), ISNUMBER(MATCH(FW$1, AsistenciaJetAdminConcatenada!$B:$B, 0)), ISNUMBER(SEARCH($A91,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ISNUMBER(SEARCH($A91, INDEX(AsistenciaJetAdminConcatenada!$D:$D, MATCH(1, (AsistenciaJetAdminConcatenada!$A:$A=FW$2)*(AsistenciaJetAdminConcatenada!$B:$B=FW$1), 0)), 1))),  0.5, 0))</f>
        <v>0</v>
      </c>
      <c r="FX91" s="47">
        <f t="array" ref="FX91">IF(AND(ISNUMBER(MATCH(FX$2, AsistenciaJetAdminConcatenada!$A:$A, 0)), ISNUMBER(MATCH(FX$1, AsistenciaJetAdminConcatenada!$B:$B, 0)), ISNUMBER(SEARCH($A91,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ISNUMBER(SEARCH($A91, INDEX(AsistenciaJetAdminConcatenada!$D:$D, MATCH(1, (AsistenciaJetAdminConcatenada!$A:$A=FX$2)*(AsistenciaJetAdminConcatenada!$B:$B=FX$1), 0)), 1))),  0.5, 0))</f>
        <v>0</v>
      </c>
      <c r="FY91" s="47">
        <f t="array" ref="FY91">IF(AND(ISNUMBER(MATCH(FY$2, AsistenciaJetAdminConcatenada!$A:$A, 0)), ISNUMBER(MATCH(FY$1, AsistenciaJetAdminConcatenada!$B:$B, 0)), ISNUMBER(SEARCH($A91,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ISNUMBER(SEARCH($A91, INDEX(AsistenciaJetAdminConcatenada!$D:$D, MATCH(1, (AsistenciaJetAdminConcatenada!$A:$A=FY$2)*(AsistenciaJetAdminConcatenada!$B:$B=FY$1), 0)), 1))),  0.5, 0))</f>
        <v>0</v>
      </c>
      <c r="FZ91" s="47">
        <f t="array" ref="FZ91">IF(AND(ISNUMBER(MATCH(FZ$2, AsistenciaJetAdminConcatenada!$A:$A, 0)), ISNUMBER(MATCH(FZ$1, AsistenciaJetAdminConcatenada!$B:$B, 0)), ISNUMBER(SEARCH($A91,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ISNUMBER(SEARCH($A91, INDEX(AsistenciaJetAdminConcatenada!$D:$D, MATCH(1, (AsistenciaJetAdminConcatenada!$A:$A=FZ$2)*(AsistenciaJetAdminConcatenada!$B:$B=FZ$1), 0)), 1))),  0.5, 0))</f>
        <v>0</v>
      </c>
      <c r="GA91" s="47">
        <f t="array" ref="GA91">IF(AND(ISNUMBER(MATCH(GA$2, AsistenciaJetAdminConcatenada!$A:$A, 0)), ISNUMBER(MATCH(GA$1, AsistenciaJetAdminConcatenada!$B:$B, 0)), ISNUMBER(SEARCH($A91,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ISNUMBER(SEARCH($A91, INDEX(AsistenciaJetAdminConcatenada!$D:$D, MATCH(1, (AsistenciaJetAdminConcatenada!$A:$A=GA$2)*(AsistenciaJetAdminConcatenada!$B:$B=GA$1), 0)), 1))),  0.5, 0))</f>
        <v>0</v>
      </c>
      <c r="GB91" s="47">
        <f t="array" ref="GB91">IF(AND(ISNUMBER(MATCH(GB$2, AsistenciaJetAdminConcatenada!$A:$A, 0)), ISNUMBER(MATCH(GB$1, AsistenciaJetAdminConcatenada!$B:$B, 0)), ISNUMBER(SEARCH($A91,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ISNUMBER(SEARCH($A91, INDEX(AsistenciaJetAdminConcatenada!$D:$D, MATCH(1, (AsistenciaJetAdminConcatenada!$A:$A=GB$2)*(AsistenciaJetAdminConcatenada!$B:$B=GB$1), 0)), 1))),  0.5, 0))</f>
        <v>0</v>
      </c>
      <c r="GC91" s="47">
        <f t="array" ref="GC91">IF(AND(ISNUMBER(MATCH(GC$2, AsistenciaJetAdminConcatenada!$A:$A, 0)), ISNUMBER(MATCH(GC$1, AsistenciaJetAdminConcatenada!$B:$B, 0)), ISNUMBER(SEARCH($A91,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ISNUMBER(SEARCH($A91, INDEX(AsistenciaJetAdminConcatenada!$D:$D, MATCH(1, (AsistenciaJetAdminConcatenada!$A:$A=GC$2)*(AsistenciaJetAdminConcatenada!$B:$B=GC$1), 0)), 1))),  0.5, 0))</f>
        <v>0</v>
      </c>
      <c r="GD91" s="47">
        <f t="array" ref="GD91">IF(AND(ISNUMBER(MATCH(GD$2, AsistenciaJetAdminConcatenada!$A:$A, 0)), ISNUMBER(MATCH(GD$1, AsistenciaJetAdminConcatenada!$B:$B, 0)), ISNUMBER(SEARCH($A91,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ISNUMBER(SEARCH($A91, INDEX(AsistenciaJetAdminConcatenada!$D:$D, MATCH(1, (AsistenciaJetAdminConcatenada!$A:$A=GD$2)*(AsistenciaJetAdminConcatenada!$B:$B=GD$1), 0)), 1))),  0.5, 0))</f>
        <v>0</v>
      </c>
      <c r="GE91" s="47">
        <f t="array" ref="GE91">IF(AND(ISNUMBER(MATCH(GE$2, AsistenciaJetAdminConcatenada!$A:$A, 0)), ISNUMBER(MATCH(GE$1, AsistenciaJetAdminConcatenada!$B:$B, 0)), ISNUMBER(SEARCH($A91,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ISNUMBER(SEARCH($A91, INDEX(AsistenciaJetAdminConcatenada!$D:$D, MATCH(1, (AsistenciaJetAdminConcatenada!$A:$A=GE$2)*(AsistenciaJetAdminConcatenada!$B:$B=GE$1), 0)), 1))),  0.5, 0))</f>
        <v>0</v>
      </c>
      <c r="GF91" s="47">
        <f t="array" ref="GF91">IF(AND(ISNUMBER(MATCH(GF$2, AsistenciaJetAdminConcatenada!$A:$A, 0)), ISNUMBER(MATCH(GF$1, AsistenciaJetAdminConcatenada!$B:$B, 0)), ISNUMBER(SEARCH($A91,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ISNUMBER(SEARCH($A91, INDEX(AsistenciaJetAdminConcatenada!$D:$D, MATCH(1, (AsistenciaJetAdminConcatenada!$A:$A=GF$2)*(AsistenciaJetAdminConcatenada!$B:$B=GF$1), 0)), 1))),  0.5, 0))</f>
        <v>0</v>
      </c>
      <c r="GG91" s="47">
        <f t="array" ref="GG91">IF(AND(ISNUMBER(MATCH(GG$2, AsistenciaJetAdminConcatenada!$A:$A, 0)), ISNUMBER(MATCH(GG$1, AsistenciaJetAdminConcatenada!$B:$B, 0)), ISNUMBER(SEARCH($A91,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ISNUMBER(SEARCH($A91, INDEX(AsistenciaJetAdminConcatenada!$D:$D, MATCH(1, (AsistenciaJetAdminConcatenada!$A:$A=GG$2)*(AsistenciaJetAdminConcatenada!$B:$B=GG$1), 0)), 1))),  0.5, 0))</f>
        <v>0</v>
      </c>
      <c r="GH91" s="47">
        <f t="array" ref="GH91">IF(AND(ISNUMBER(MATCH(GH$2, AsistenciaJetAdminConcatenada!$A:$A, 0)), ISNUMBER(MATCH(GH$1, AsistenciaJetAdminConcatenada!$B:$B, 0)), ISNUMBER(SEARCH($A91,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ISNUMBER(SEARCH($A91, INDEX(AsistenciaJetAdminConcatenada!$D:$D, MATCH(1, (AsistenciaJetAdminConcatenada!$A:$A=GH$2)*(AsistenciaJetAdminConcatenada!$B:$B=GH$1), 0)), 1))),  0.5, 0))</f>
        <v>0</v>
      </c>
      <c r="GI91" s="47">
        <f t="array" ref="GI91">IF(AND(ISNUMBER(MATCH(GI$2, AsistenciaJetAdminConcatenada!$A:$A, 0)), ISNUMBER(MATCH(GI$1, AsistenciaJetAdminConcatenada!$B:$B, 0)), ISNUMBER(SEARCH($A91,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ISNUMBER(SEARCH($A91, INDEX(AsistenciaJetAdminConcatenada!$D:$D, MATCH(1, (AsistenciaJetAdminConcatenada!$A:$A=GI$2)*(AsistenciaJetAdminConcatenada!$B:$B=GI$1), 0)), 1))),  0.5, 0))</f>
        <v>0</v>
      </c>
      <c r="GJ91" s="47">
        <f t="array" ref="GJ91">IF(AND(ISNUMBER(MATCH(GJ$2, AsistenciaJetAdminConcatenada!$A:$A, 0)), ISNUMBER(MATCH(GJ$1, AsistenciaJetAdminConcatenada!$B:$B, 0)), ISNUMBER(SEARCH($A91,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ISNUMBER(SEARCH($A91, INDEX(AsistenciaJetAdminConcatenada!$D:$D, MATCH(1, (AsistenciaJetAdminConcatenada!$A:$A=GJ$2)*(AsistenciaJetAdminConcatenada!$B:$B=GJ$1), 0)), 1))),  0.5, 0))</f>
        <v>0</v>
      </c>
      <c r="GK91" s="47">
        <f t="array" ref="GK91">IF(AND(ISNUMBER(MATCH(GK$2, AsistenciaJetAdminConcatenada!$A:$A, 0)), ISNUMBER(MATCH(GK$1, AsistenciaJetAdminConcatenada!$B:$B, 0)), ISNUMBER(SEARCH($A91,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ISNUMBER(SEARCH($A91, INDEX(AsistenciaJetAdminConcatenada!$D:$D, MATCH(1, (AsistenciaJetAdminConcatenada!$A:$A=GK$2)*(AsistenciaJetAdminConcatenada!$B:$B=GK$1), 0)), 1))),  0.5, 0))</f>
        <v>0</v>
      </c>
      <c r="GL91" s="47">
        <f t="array" ref="GL91">IF(AND(ISNUMBER(MATCH(GL$2, AsistenciaJetAdminConcatenada!$A:$A, 0)), ISNUMBER(MATCH(GL$1, AsistenciaJetAdminConcatenada!$B:$B, 0)), ISNUMBER(SEARCH($A91,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ISNUMBER(SEARCH($A91, INDEX(AsistenciaJetAdminConcatenada!$D:$D, MATCH(1, (AsistenciaJetAdminConcatenada!$A:$A=GL$2)*(AsistenciaJetAdminConcatenada!$B:$B=GL$1), 0)), 1))),  0.5, 0))</f>
        <v>0</v>
      </c>
      <c r="GM91" s="47">
        <f t="array" ref="GM91">IF(AND(ISNUMBER(MATCH(GM$2, AsistenciaJetAdminConcatenada!$A:$A, 0)), ISNUMBER(MATCH(GM$1, AsistenciaJetAdminConcatenada!$B:$B, 0)), ISNUMBER(SEARCH($A91,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ISNUMBER(SEARCH($A91, INDEX(AsistenciaJetAdminConcatenada!$D:$D, MATCH(1, (AsistenciaJetAdminConcatenada!$A:$A=GM$2)*(AsistenciaJetAdminConcatenada!$B:$B=GM$1), 0)), 1))),  0.5, 0))</f>
        <v>0</v>
      </c>
      <c r="GN91" s="47">
        <f t="array" ref="GN91">IF(AND(ISNUMBER(MATCH(GN$2, AsistenciaJetAdminConcatenada!$A:$A, 0)), ISNUMBER(MATCH(GN$1, AsistenciaJetAdminConcatenada!$B:$B, 0)), ISNUMBER(SEARCH($A91,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ISNUMBER(SEARCH($A91, INDEX(AsistenciaJetAdminConcatenada!$D:$D, MATCH(1, (AsistenciaJetAdminConcatenada!$A:$A=GN$2)*(AsistenciaJetAdminConcatenada!$B:$B=GN$1), 0)), 1))),  0.5, 0))</f>
        <v>0</v>
      </c>
      <c r="GO91" s="47">
        <f t="array" ref="GO91">IF(AND(ISNUMBER(MATCH(GO$2, AsistenciaJetAdminConcatenada!$A:$A, 0)), ISNUMBER(MATCH(GO$1, AsistenciaJetAdminConcatenada!$B:$B, 0)), ISNUMBER(SEARCH($A91,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ISNUMBER(SEARCH($A91, INDEX(AsistenciaJetAdminConcatenada!$D:$D, MATCH(1, (AsistenciaJetAdminConcatenada!$A:$A=GO$2)*(AsistenciaJetAdminConcatenada!$B:$B=GO$1), 0)), 1))),  0.5, 0))</f>
        <v>0</v>
      </c>
      <c r="GP91" s="47">
        <f t="array" ref="GP91">IF(AND(ISNUMBER(MATCH(GP$2, AsistenciaJetAdminConcatenada!$A:$A, 0)), ISNUMBER(MATCH(GP$1, AsistenciaJetAdminConcatenada!$B:$B, 0)), ISNUMBER(SEARCH($A91,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ISNUMBER(SEARCH($A91, INDEX(AsistenciaJetAdminConcatenada!$D:$D, MATCH(1, (AsistenciaJetAdminConcatenada!$A:$A=GP$2)*(AsistenciaJetAdminConcatenada!$B:$B=GP$1), 0)), 1))),  0.5, 0))</f>
        <v>0</v>
      </c>
      <c r="GQ91" s="47">
        <f t="array" ref="GQ91">IF(AND(ISNUMBER(MATCH(GQ$2, AsistenciaJetAdminConcatenada!$A:$A, 0)), ISNUMBER(MATCH(GQ$1, AsistenciaJetAdminConcatenada!$B:$B, 0)), ISNUMBER(SEARCH($A91,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ISNUMBER(SEARCH($A91, INDEX(AsistenciaJetAdminConcatenada!$D:$D, MATCH(1, (AsistenciaJetAdminConcatenada!$A:$A=GQ$2)*(AsistenciaJetAdminConcatenada!$B:$B=GQ$1), 0)), 1))),  0.5, 0))</f>
        <v>0</v>
      </c>
      <c r="GR91" s="47">
        <f t="array" ref="GR91">IF(AND(ISNUMBER(MATCH(GR$2, AsistenciaJetAdminConcatenada!$A:$A, 0)), ISNUMBER(MATCH(GR$1, AsistenciaJetAdminConcatenada!$B:$B, 0)), ISNUMBER(SEARCH($A91,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ISNUMBER(SEARCH($A91, INDEX(AsistenciaJetAdminConcatenada!$D:$D, MATCH(1, (AsistenciaJetAdminConcatenada!$A:$A=GR$2)*(AsistenciaJetAdminConcatenada!$B:$B=GR$1), 0)), 1))),  0.5, 0))</f>
        <v>0</v>
      </c>
      <c r="GS91" s="47">
        <f t="array" ref="GS91">IF(AND(ISNUMBER(MATCH(GS$2, AsistenciaJetAdminConcatenada!$A:$A, 0)), ISNUMBER(MATCH(GS$1, AsistenciaJetAdminConcatenada!$B:$B, 0)), ISNUMBER(SEARCH($A91,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ISNUMBER(SEARCH($A91, INDEX(AsistenciaJetAdminConcatenada!$D:$D, MATCH(1, (AsistenciaJetAdminConcatenada!$A:$A=GS$2)*(AsistenciaJetAdminConcatenada!$B:$B=GS$1), 0)), 1))),  0.5, 0))</f>
        <v>0</v>
      </c>
      <c r="GT91" s="47">
        <f t="array" ref="GT91">IF(AND(ISNUMBER(MATCH(GT$2, AsistenciaJetAdminConcatenada!$A:$A, 0)), ISNUMBER(MATCH(GT$1, AsistenciaJetAdminConcatenada!$B:$B, 0)), ISNUMBER(SEARCH($A91,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ISNUMBER(SEARCH($A91, INDEX(AsistenciaJetAdminConcatenada!$D:$D, MATCH(1, (AsistenciaJetAdminConcatenada!$A:$A=GT$2)*(AsistenciaJetAdminConcatenada!$B:$B=GT$1), 0)), 1))),  0.5, 0))</f>
        <v>0</v>
      </c>
      <c r="GU91" s="47">
        <f t="array" ref="GU91">IF(AND(ISNUMBER(MATCH(GU$2, AsistenciaJetAdminConcatenada!$A:$A, 0)), ISNUMBER(MATCH(GU$1, AsistenciaJetAdminConcatenada!$B:$B, 0)), ISNUMBER(SEARCH($A91,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ISNUMBER(SEARCH($A91, INDEX(AsistenciaJetAdminConcatenada!$D:$D, MATCH(1, (AsistenciaJetAdminConcatenada!$A:$A=GU$2)*(AsistenciaJetAdminConcatenada!$B:$B=GU$1), 0)), 1))),  0.5, 0))</f>
        <v>0</v>
      </c>
      <c r="GV91" s="47">
        <f t="array" ref="GV91">IF(AND(ISNUMBER(MATCH(GV$2, AsistenciaJetAdminConcatenada!$A:$A, 0)), ISNUMBER(MATCH(GV$1, AsistenciaJetAdminConcatenada!$B:$B, 0)), ISNUMBER(SEARCH($A91,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ISNUMBER(SEARCH($A91, INDEX(AsistenciaJetAdminConcatenada!$D:$D, MATCH(1, (AsistenciaJetAdminConcatenada!$A:$A=GV$2)*(AsistenciaJetAdminConcatenada!$B:$B=GV$1), 0)), 1))),  0.5, 0))</f>
        <v>0</v>
      </c>
      <c r="GW91" s="47">
        <f t="array" ref="GW91">IF(AND(ISNUMBER(MATCH(GW$2, AsistenciaJetAdminConcatenada!$A:$A, 0)), ISNUMBER(MATCH(GW$1, AsistenciaJetAdminConcatenada!$B:$B, 0)), ISNUMBER(SEARCH($A91,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ISNUMBER(SEARCH($A91, INDEX(AsistenciaJetAdminConcatenada!$D:$D, MATCH(1, (AsistenciaJetAdminConcatenada!$A:$A=GW$2)*(AsistenciaJetAdminConcatenada!$B:$B=GW$1), 0)), 1))),  0.5, 0))</f>
        <v>0</v>
      </c>
      <c r="GX91" s="47">
        <f t="array" ref="GX91">IF(AND(ISNUMBER(MATCH(GX$2, AsistenciaJetAdminConcatenada!$A:$A, 0)), ISNUMBER(MATCH(GX$1, AsistenciaJetAdminConcatenada!$B:$B, 0)), ISNUMBER(SEARCH($A91,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ISNUMBER(SEARCH($A91, INDEX(AsistenciaJetAdminConcatenada!$D:$D, MATCH(1, (AsistenciaJetAdminConcatenada!$A:$A=GX$2)*(AsistenciaJetAdminConcatenada!$B:$B=GX$1), 0)), 1))),  0.5, 0))</f>
        <v>0</v>
      </c>
      <c r="GY91" s="47">
        <f t="array" ref="GY91">IF(AND(ISNUMBER(MATCH(GY$2, AsistenciaJetAdminConcatenada!$A:$A, 0)), ISNUMBER(MATCH(GY$1, AsistenciaJetAdminConcatenada!$B:$B, 0)), ISNUMBER(SEARCH($A91,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ISNUMBER(SEARCH($A91, INDEX(AsistenciaJetAdminConcatenada!$D:$D, MATCH(1, (AsistenciaJetAdminConcatenada!$A:$A=GY$2)*(AsistenciaJetAdminConcatenada!$B:$B=GY$1), 0)), 1))),  0.5, 0))</f>
        <v>0</v>
      </c>
      <c r="GZ91" s="47">
        <f t="array" ref="GZ91">IF(AND(ISNUMBER(MATCH(GZ$2, AsistenciaJetAdminConcatenada!$A:$A, 0)), ISNUMBER(MATCH(GZ$1, AsistenciaJetAdminConcatenada!$B:$B, 0)), ISNUMBER(SEARCH($A91,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ISNUMBER(SEARCH($A91, INDEX(AsistenciaJetAdminConcatenada!$D:$D, MATCH(1, (AsistenciaJetAdminConcatenada!$A:$A=GZ$2)*(AsistenciaJetAdminConcatenada!$B:$B=GZ$1), 0)), 1))),  0.5, 0))</f>
        <v>0</v>
      </c>
      <c r="HA91" s="47">
        <f t="array" ref="HA91">IF(AND(ISNUMBER(MATCH(HA$2, AsistenciaJetAdminConcatenada!$A:$A, 0)), ISNUMBER(MATCH(HA$1, AsistenciaJetAdminConcatenada!$B:$B, 0)), ISNUMBER(SEARCH($A91,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ISNUMBER(SEARCH($A91, INDEX(AsistenciaJetAdminConcatenada!$D:$D, MATCH(1, (AsistenciaJetAdminConcatenada!$A:$A=HA$2)*(AsistenciaJetAdminConcatenada!$B:$B=HA$1), 0)), 1))),  0.5, 0))</f>
        <v>0</v>
      </c>
      <c r="HB91" s="47">
        <f t="array" ref="HB91">IF(AND(ISNUMBER(MATCH(HB$2, AsistenciaJetAdminConcatenada!$A:$A, 0)), ISNUMBER(MATCH(HB$1, AsistenciaJetAdminConcatenada!$B:$B, 0)), ISNUMBER(SEARCH($A91,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ISNUMBER(SEARCH($A91, INDEX(AsistenciaJetAdminConcatenada!$D:$D, MATCH(1, (AsistenciaJetAdminConcatenada!$A:$A=HB$2)*(AsistenciaJetAdminConcatenada!$B:$B=HB$1), 0)), 1))),  0.5, 0))</f>
        <v>0</v>
      </c>
      <c r="HC91" s="47">
        <f t="array" ref="HC91">IF(AND(ISNUMBER(MATCH(HC$2, AsistenciaJetAdminConcatenada!$A:$A, 0)), ISNUMBER(MATCH(HC$1, AsistenciaJetAdminConcatenada!$B:$B, 0)), ISNUMBER(SEARCH($A91,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ISNUMBER(SEARCH($A91, INDEX(AsistenciaJetAdminConcatenada!$D:$D, MATCH(1, (AsistenciaJetAdminConcatenada!$A:$A=HC$2)*(AsistenciaJetAdminConcatenada!$B:$B=HC$1), 0)), 1))),  0.5, 0))</f>
        <v>0</v>
      </c>
    </row>
    <row r="92" ht="29.25" customHeight="1">
      <c r="A92" s="3">
        <v>186.0</v>
      </c>
      <c r="B92" s="4" t="s">
        <v>390</v>
      </c>
      <c r="C92" s="47">
        <f>SUM(D92:HC92) + ActividadesEspeciales!C92</f>
        <v>66</v>
      </c>
      <c r="D92" s="47">
        <f t="array" ref="D92">IF(AND(ISNUMBER(MATCH(D$2, AsistenciaJetAdminConcatenada!$A:$A, 0)), ISNUMBER(MATCH(D$1, AsistenciaJetAdminConcatenada!$B:$B, 0)), ISNUMBER(SEARCH($A92,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ISNUMBER(SEARCH($A92, INDEX(AsistenciaJetAdminConcatenada!$D:$D, MATCH(1, (AsistenciaJetAdminConcatenada!$A:$A=D$2)*(AsistenciaJetAdminConcatenada!$B:$B=D$1), 0)), 1))),  0.5, 0))</f>
        <v>1</v>
      </c>
      <c r="E92" s="47">
        <f t="array" ref="E92">IF(AND(ISNUMBER(MATCH(E$2, AsistenciaJetAdminConcatenada!$A:$A, 0)), ISNUMBER(MATCH(E$1, AsistenciaJetAdminConcatenada!$B:$B, 0)), ISNUMBER(SEARCH($A92,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ISNUMBER(SEARCH($A92, INDEX(AsistenciaJetAdminConcatenada!$D:$D, MATCH(1, (AsistenciaJetAdminConcatenada!$A:$A=E$2)*(AsistenciaJetAdminConcatenada!$B:$B=E$1), 0)), 1))),  0.5, 0))</f>
        <v>1</v>
      </c>
      <c r="F92" s="47">
        <f t="array" ref="F92">IF(AND(ISNUMBER(MATCH(F$2, AsistenciaJetAdminConcatenada!$A:$A, 0)), ISNUMBER(MATCH(F$1, AsistenciaJetAdminConcatenada!$B:$B, 0)), ISNUMBER(SEARCH($A92,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ISNUMBER(SEARCH($A92, INDEX(AsistenciaJetAdminConcatenada!$D:$D, MATCH(1, (AsistenciaJetAdminConcatenada!$A:$A=F$2)*(AsistenciaJetAdminConcatenada!$B:$B=F$1), 0)), 1))),  0.5, 0))</f>
        <v>1</v>
      </c>
      <c r="G92" s="47">
        <f t="array" ref="G92">IF(AND(ISNUMBER(MATCH(G$2, AsistenciaJetAdminConcatenada!$A:$A, 0)), ISNUMBER(MATCH(G$1, AsistenciaJetAdminConcatenada!$B:$B, 0)), ISNUMBER(SEARCH($A92,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ISNUMBER(SEARCH($A92, INDEX(AsistenciaJetAdminConcatenada!$D:$D, MATCH(1, (AsistenciaJetAdminConcatenada!$A:$A=G$2)*(AsistenciaJetAdminConcatenada!$B:$B=G$1), 0)), 1))),  0.5, 0))</f>
        <v>1</v>
      </c>
      <c r="H92" s="47">
        <f t="array" ref="H92">IF(AND(ISNUMBER(MATCH(H$2, AsistenciaJetAdminConcatenada!$A:$A, 0)), ISNUMBER(MATCH(H$1, AsistenciaJetAdminConcatenada!$B:$B, 0)), ISNUMBER(SEARCH($A92,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ISNUMBER(SEARCH($A92, INDEX(AsistenciaJetAdminConcatenada!$D:$D, MATCH(1, (AsistenciaJetAdminConcatenada!$A:$A=H$2)*(AsistenciaJetAdminConcatenada!$B:$B=H$1), 0)), 1))),  0.5, 0))</f>
        <v>0</v>
      </c>
      <c r="I92" s="47">
        <f t="array" ref="I92">IF(AND(ISNUMBER(MATCH(I$2, AsistenciaJetAdminConcatenada!$A:$A, 0)), ISNUMBER(MATCH(I$1, AsistenciaJetAdminConcatenada!$B:$B, 0)), ISNUMBER(SEARCH($A92,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ISNUMBER(SEARCH($A92, INDEX(AsistenciaJetAdminConcatenada!$D:$D, MATCH(1, (AsistenciaJetAdminConcatenada!$A:$A=I$2)*(AsistenciaJetAdminConcatenada!$B:$B=I$1), 0)), 1))),  0.5, 0))</f>
        <v>1</v>
      </c>
      <c r="J92" s="47">
        <f t="array" ref="J92">IF(AND(ISNUMBER(MATCH(J$2, AsistenciaJetAdminConcatenada!$A:$A, 0)), ISNUMBER(MATCH(J$1, AsistenciaJetAdminConcatenada!$B:$B, 0)), ISNUMBER(SEARCH($A92,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ISNUMBER(SEARCH($A92, INDEX(AsistenciaJetAdminConcatenada!$D:$D, MATCH(1, (AsistenciaJetAdminConcatenada!$A:$A=J$2)*(AsistenciaJetAdminConcatenada!$B:$B=J$1), 0)), 1))),  0.5, 0))</f>
        <v>1</v>
      </c>
      <c r="K92" s="47">
        <f t="array" ref="K92">IF(AND(ISNUMBER(MATCH(K$2, AsistenciaJetAdminConcatenada!$A:$A, 0)), ISNUMBER(MATCH(K$1, AsistenciaJetAdminConcatenada!$B:$B, 0)), ISNUMBER(SEARCH($A92,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ISNUMBER(SEARCH($A92, INDEX(AsistenciaJetAdminConcatenada!$D:$D, MATCH(1, (AsistenciaJetAdminConcatenada!$A:$A=K$2)*(AsistenciaJetAdminConcatenada!$B:$B=K$1), 0)), 1))),  0.5, 0))</f>
        <v>1</v>
      </c>
      <c r="L92" s="47">
        <f t="array" ref="L92">IF(AND(ISNUMBER(MATCH(L$2, AsistenciaJetAdminConcatenada!$A:$A, 0)), ISNUMBER(MATCH(L$1, AsistenciaJetAdminConcatenada!$B:$B, 0)), ISNUMBER(SEARCH($A92,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ISNUMBER(SEARCH($A92, INDEX(AsistenciaJetAdminConcatenada!$D:$D, MATCH(1, (AsistenciaJetAdminConcatenada!$A:$A=L$2)*(AsistenciaJetAdminConcatenada!$B:$B=L$1), 0)), 1))),  0.5, 0))</f>
        <v>1</v>
      </c>
      <c r="M92" s="47">
        <f t="array" ref="M92">IF(AND(ISNUMBER(MATCH(M$2, AsistenciaJetAdminConcatenada!$A:$A, 0)), ISNUMBER(MATCH(M$1, AsistenciaJetAdminConcatenada!$B:$B, 0)), ISNUMBER(SEARCH($A92,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ISNUMBER(SEARCH($A92, INDEX(AsistenciaJetAdminConcatenada!$D:$D, MATCH(1, (AsistenciaJetAdminConcatenada!$A:$A=M$2)*(AsistenciaJetAdminConcatenada!$B:$B=M$1), 0)), 1))),  0.5, 0))</f>
        <v>1</v>
      </c>
      <c r="N92" s="47">
        <f t="array" ref="N92">IF(AND(ISNUMBER(MATCH(N$2, AsistenciaJetAdminConcatenada!$A:$A, 0)), ISNUMBER(MATCH(N$1, AsistenciaJetAdminConcatenada!$B:$B, 0)), ISNUMBER(SEARCH($A92,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ISNUMBER(SEARCH($A92, INDEX(AsistenciaJetAdminConcatenada!$D:$D, MATCH(1, (AsistenciaJetAdminConcatenada!$A:$A=N$2)*(AsistenciaJetAdminConcatenada!$B:$B=N$1), 0)), 1))),  0.5, 0))</f>
        <v>0</v>
      </c>
      <c r="O92" s="47">
        <f t="array" ref="O92">IF(AND(ISNUMBER(MATCH(O$2, AsistenciaJetAdminConcatenada!$A:$A, 0)), ISNUMBER(MATCH(O$1, AsistenciaJetAdminConcatenada!$B:$B, 0)), ISNUMBER(SEARCH($A92,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ISNUMBER(SEARCH($A92, INDEX(AsistenciaJetAdminConcatenada!$D:$D, MATCH(1, (AsistenciaJetAdminConcatenada!$A:$A=O$2)*(AsistenciaJetAdminConcatenada!$B:$B=O$1), 0)), 1))),  0.5, 0))</f>
        <v>1</v>
      </c>
      <c r="P92" s="47">
        <f t="array" ref="P92">IF(AND(ISNUMBER(MATCH(P$2, AsistenciaJetAdminConcatenada!$A:$A, 0)), ISNUMBER(MATCH(P$1, AsistenciaJetAdminConcatenada!$B:$B, 0)), ISNUMBER(SEARCH($A92, INDEX(AsistenciaJetAdminConcatenada!$C:$C, MATCH(1, (AsistenciaJetAdminConcatenada!$A:$A=P$2)*(AsistenciaJetAdminConcatenada!$B:$B=P$1), 0)), 1))), 1, IF(AND(ISNUMBER(MATCH(P$2, AsistenciaJetAdminConcatenada!$A:$A, 0)), ISNUMBER(MATCH(P$1, AsistenciaJetAdminConcatenada!$B:$B, 0)), ISNUMBER(SEARCH($A92, INDEX(AsistenciaJetAdminConcatenada!$D:$D, MATCH(1, (AsistenciaJetAdminConcatenada!$A:$A=P$2)*(AsistenciaJetAdminConcatenada!$B:$B=P$1), 0)), 1))),  0.5, 0))</f>
        <v>1</v>
      </c>
      <c r="Q92" s="47">
        <f t="array" ref="Q92">IF(AND(ISNUMBER(MATCH(Q$2, AsistenciaJetAdminConcatenada!$A:$A, 0)), ISNUMBER(MATCH(Q$1, AsistenciaJetAdminConcatenada!$B:$B, 0)), ISNUMBER(SEARCH($A92, INDEX(AsistenciaJetAdminConcatenada!$C:$C, MATCH(1, (AsistenciaJetAdminConcatenada!$A:$A=Q$2)*(AsistenciaJetAdminConcatenada!$B:$B=Q$1), 0)), 1))), 1, IF(AND(ISNUMBER(MATCH(Q$2, AsistenciaJetAdminConcatenada!$A:$A, 0)), ISNUMBER(MATCH(Q$1, AsistenciaJetAdminConcatenada!$B:$B, 0)), ISNUMBER(SEARCH($A92, INDEX(AsistenciaJetAdminConcatenada!$D:$D, MATCH(1, (AsistenciaJetAdminConcatenada!$A:$A=Q$2)*(AsistenciaJetAdminConcatenada!$B:$B=Q$1), 0)), 1))),  0.5, 0))</f>
        <v>1</v>
      </c>
      <c r="R92" s="47">
        <f t="array" ref="R92">IF(AND(ISNUMBER(MATCH(R$2, AsistenciaJetAdminConcatenada!$A:$A, 0)), ISNUMBER(MATCH(R$1, AsistenciaJetAdminConcatenada!$B:$B, 0)), ISNUMBER(SEARCH($A92,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ISNUMBER(SEARCH($A92, INDEX(AsistenciaJetAdminConcatenada!$D:$D, MATCH(1, (AsistenciaJetAdminConcatenada!$A:$A=R$2)*(AsistenciaJetAdminConcatenada!$B:$B=R$1), 0)), 1))),  0.5, 0))</f>
        <v>1</v>
      </c>
      <c r="S92" s="47">
        <f t="array" ref="S92">IF(AND(ISNUMBER(MATCH(S$2, AsistenciaJetAdminConcatenada!$A:$A, 0)), ISNUMBER(MATCH(S$1, AsistenciaJetAdminConcatenada!$B:$B, 0)), ISNUMBER(SEARCH($A92,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ISNUMBER(SEARCH($A92, INDEX(AsistenciaJetAdminConcatenada!$D:$D, MATCH(1, (AsistenciaJetAdminConcatenada!$A:$A=S$2)*(AsistenciaJetAdminConcatenada!$B:$B=S$1), 0)), 1))),  0.5, 0))</f>
        <v>1</v>
      </c>
      <c r="T92" s="47">
        <f t="array" ref="T92">IF(AND(ISNUMBER(MATCH(T$2, AsistenciaJetAdminConcatenada!$A:$A, 0)), ISNUMBER(MATCH(T$1, AsistenciaJetAdminConcatenada!$B:$B, 0)), ISNUMBER(SEARCH($A92,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ISNUMBER(SEARCH($A92, INDEX(AsistenciaJetAdminConcatenada!$D:$D, MATCH(1, (AsistenciaJetAdminConcatenada!$A:$A=T$2)*(AsistenciaJetAdminConcatenada!$B:$B=T$1), 0)), 1))),  0.5, 0))</f>
        <v>1</v>
      </c>
      <c r="U92" s="47">
        <f t="array" ref="U92">IF(AND(ISNUMBER(MATCH(U$2, AsistenciaJetAdminConcatenada!$A:$A, 0)), ISNUMBER(MATCH(U$1, AsistenciaJetAdminConcatenada!$B:$B, 0)), ISNUMBER(SEARCH($A92,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ISNUMBER(SEARCH($A92, INDEX(AsistenciaJetAdminConcatenada!$D:$D, MATCH(1, (AsistenciaJetAdminConcatenada!$A:$A=U$2)*(AsistenciaJetAdminConcatenada!$B:$B=U$1), 0)), 1))),  0.5, 0))</f>
        <v>1</v>
      </c>
      <c r="V92" s="47">
        <f t="array" ref="V92">IF(AND(ISNUMBER(MATCH(V$2, AsistenciaJetAdminConcatenada!$A:$A, 0)), ISNUMBER(MATCH(V$1, AsistenciaJetAdminConcatenada!$B:$B, 0)), ISNUMBER(SEARCH($A92,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ISNUMBER(SEARCH($A92, INDEX(AsistenciaJetAdminConcatenada!$D:$D, MATCH(1, (AsistenciaJetAdminConcatenada!$A:$A=V$2)*(AsistenciaJetAdminConcatenada!$B:$B=V$1), 0)), 1))),  0.5, 0))</f>
        <v>1</v>
      </c>
      <c r="W92" s="47">
        <f t="array" ref="W92">IF(AND(ISNUMBER(MATCH(W$2, AsistenciaJetAdminConcatenada!$A:$A, 0)), ISNUMBER(MATCH(W$1, AsistenciaJetAdminConcatenada!$B:$B, 0)), ISNUMBER(SEARCH($A92,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ISNUMBER(SEARCH($A92, INDEX(AsistenciaJetAdminConcatenada!$D:$D, MATCH(1, (AsistenciaJetAdminConcatenada!$A:$A=W$2)*(AsistenciaJetAdminConcatenada!$B:$B=W$1), 0)), 1))),  0.5, 0))</f>
        <v>1</v>
      </c>
      <c r="X92" s="47">
        <f t="array" ref="X92">IF(AND(ISNUMBER(MATCH(X$2, AsistenciaJetAdminConcatenada!$A:$A, 0)), ISNUMBER(MATCH(X$1, AsistenciaJetAdminConcatenada!$B:$B, 0)), ISNUMBER(SEARCH($A92,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ISNUMBER(SEARCH($A92, INDEX(AsistenciaJetAdminConcatenada!$D:$D, MATCH(1, (AsistenciaJetAdminConcatenada!$A:$A=X$2)*(AsistenciaJetAdminConcatenada!$B:$B=X$1), 0)), 1))),  0.5, 0))</f>
        <v>0</v>
      </c>
      <c r="Y92" s="47">
        <f t="array" ref="Y92">IF(AND(ISNUMBER(MATCH(Y$2, AsistenciaJetAdminConcatenada!$A:$A, 0)), ISNUMBER(MATCH(Y$1, AsistenciaJetAdminConcatenada!$B:$B, 0)), ISNUMBER(SEARCH($A92,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ISNUMBER(SEARCH($A92, INDEX(AsistenciaJetAdminConcatenada!$D:$D, MATCH(1, (AsistenciaJetAdminConcatenada!$A:$A=Y$2)*(AsistenciaJetAdminConcatenada!$B:$B=Y$1), 0)), 1))),  0.5, 0))</f>
        <v>1</v>
      </c>
      <c r="Z92" s="47">
        <f t="array" ref="Z92">IF(AND(ISNUMBER(MATCH(Z$2, AsistenciaJetAdminConcatenada!$A:$A, 0)), ISNUMBER(MATCH(Z$1, AsistenciaJetAdminConcatenada!$B:$B, 0)), ISNUMBER(SEARCH($A92,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ISNUMBER(SEARCH($A92, INDEX(AsistenciaJetAdminConcatenada!$D:$D, MATCH(1, (AsistenciaJetAdminConcatenada!$A:$A=Z$2)*(AsistenciaJetAdminConcatenada!$B:$B=Z$1), 0)), 1))),  0.5, 0))</f>
        <v>1</v>
      </c>
      <c r="AA92" s="47">
        <f t="array" ref="AA92">IF(AND(ISNUMBER(MATCH(AA$2, AsistenciaJetAdminConcatenada!$A:$A, 0)), ISNUMBER(MATCH(AA$1, AsistenciaJetAdminConcatenada!$B:$B, 0)), ISNUMBER(SEARCH($A92,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ISNUMBER(SEARCH($A92, INDEX(AsistenciaJetAdminConcatenada!$D:$D, MATCH(1, (AsistenciaJetAdminConcatenada!$A:$A=AA$2)*(AsistenciaJetAdminConcatenada!$B:$B=AA$1), 0)), 1))),  0.5, 0))</f>
        <v>1</v>
      </c>
      <c r="AB92" s="47">
        <f t="array" ref="AB92">IF(AND(ISNUMBER(MATCH(AB$2, AsistenciaJetAdminConcatenada!$A:$A, 0)), ISNUMBER(MATCH(AB$1, AsistenciaJetAdminConcatenada!$B:$B, 0)), ISNUMBER(SEARCH($A92,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ISNUMBER(SEARCH($A92, INDEX(AsistenciaJetAdminConcatenada!$D:$D, MATCH(1, (AsistenciaJetAdminConcatenada!$A:$A=AB$2)*(AsistenciaJetAdminConcatenada!$B:$B=AB$1), 0)), 1))),  0.5, 0))</f>
        <v>0</v>
      </c>
      <c r="AC92" s="47">
        <f t="array" ref="AC92">IF(AND(ISNUMBER(MATCH(AC$2, AsistenciaJetAdminConcatenada!$A:$A, 0)), ISNUMBER(MATCH(AC$1, AsistenciaJetAdminConcatenada!$B:$B, 0)), ISNUMBER(SEARCH($A92,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ISNUMBER(SEARCH($A92, INDEX(AsistenciaJetAdminConcatenada!$D:$D, MATCH(1, (AsistenciaJetAdminConcatenada!$A:$A=AC$2)*(AsistenciaJetAdminConcatenada!$B:$B=AC$1), 0)), 1))),  0.5, 0))</f>
        <v>1</v>
      </c>
      <c r="AD92" s="47">
        <f t="array" ref="AD92">IF(AND(ISNUMBER(MATCH(AD$2, AsistenciaJetAdminConcatenada!$A:$A, 0)), ISNUMBER(MATCH(AD$1, AsistenciaJetAdminConcatenada!$B:$B, 0)), ISNUMBER(SEARCH($A92,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ISNUMBER(SEARCH($A92, INDEX(AsistenciaJetAdminConcatenada!$D:$D, MATCH(1, (AsistenciaJetAdminConcatenada!$A:$A=AD$2)*(AsistenciaJetAdminConcatenada!$B:$B=AD$1), 0)), 1))),  0.5, 0))</f>
        <v>1</v>
      </c>
      <c r="AE92" s="47">
        <f t="array" ref="AE92">IF(AND(ISNUMBER(MATCH(AE$2, AsistenciaJetAdminConcatenada!$A:$A, 0)), ISNUMBER(MATCH(AE$1, AsistenciaJetAdminConcatenada!$B:$B, 0)), ISNUMBER(SEARCH($A92,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ISNUMBER(SEARCH($A92, INDEX(AsistenciaJetAdminConcatenada!$D:$D, MATCH(1, (AsistenciaJetAdminConcatenada!$A:$A=AE$2)*(AsistenciaJetAdminConcatenada!$B:$B=AE$1), 0)), 1))),  0.5, 0))</f>
        <v>1</v>
      </c>
      <c r="AF92" s="47">
        <f t="array" ref="AF92">IF(AND(ISNUMBER(MATCH(AF$2, AsistenciaJetAdminConcatenada!$A:$A, 0)), ISNUMBER(MATCH(AF$1, AsistenciaJetAdminConcatenada!$B:$B, 0)), ISNUMBER(SEARCH($A92,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ISNUMBER(SEARCH($A92, INDEX(AsistenciaJetAdminConcatenada!$D:$D, MATCH(1, (AsistenciaJetAdminConcatenada!$A:$A=AF$2)*(AsistenciaJetAdminConcatenada!$B:$B=AF$1), 0)), 1))),  0.5, 0))</f>
        <v>1</v>
      </c>
      <c r="AG92" s="47">
        <f t="array" ref="AG92">IF(AND(ISNUMBER(MATCH(AG$2, AsistenciaJetAdminConcatenada!$A:$A, 0)), ISNUMBER(MATCH(AG$1, AsistenciaJetAdminConcatenada!$B:$B, 0)), ISNUMBER(SEARCH($A92,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ISNUMBER(SEARCH($A92, INDEX(AsistenciaJetAdminConcatenada!$D:$D, MATCH(1, (AsistenciaJetAdminConcatenada!$A:$A=AG$2)*(AsistenciaJetAdminConcatenada!$B:$B=AG$1), 0)), 1))),  0.5, 0))</f>
        <v>1</v>
      </c>
      <c r="AH92" s="47">
        <f t="array" ref="AH92">IF(AND(ISNUMBER(MATCH(AH$2, AsistenciaJetAdminConcatenada!$A:$A, 0)), ISNUMBER(MATCH(AH$1, AsistenciaJetAdminConcatenada!$B:$B, 0)), ISNUMBER(SEARCH($A92,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ISNUMBER(SEARCH($A92, INDEX(AsistenciaJetAdminConcatenada!$D:$D, MATCH(1, (AsistenciaJetAdminConcatenada!$A:$A=AH$2)*(AsistenciaJetAdminConcatenada!$B:$B=AH$1), 0)), 1))),  0.5, 0))</f>
        <v>0</v>
      </c>
      <c r="AI92" s="47">
        <f t="array" ref="AI92">IF(AND(ISNUMBER(MATCH(AI$2, AsistenciaJetAdminConcatenada!$A:$A, 0)), ISNUMBER(MATCH(AI$1, AsistenciaJetAdminConcatenada!$B:$B, 0)), ISNUMBER(SEARCH($A92,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ISNUMBER(SEARCH($A92, INDEX(AsistenciaJetAdminConcatenada!$D:$D, MATCH(1, (AsistenciaJetAdminConcatenada!$A:$A=AI$2)*(AsistenciaJetAdminConcatenada!$B:$B=AI$1), 0)), 1))),  0.5, 0))</f>
        <v>0</v>
      </c>
      <c r="AJ92" s="47">
        <f t="array" ref="AJ92">IF(AND(ISNUMBER(MATCH(AJ$2, AsistenciaJetAdminConcatenada!$A:$A, 0)), ISNUMBER(MATCH(AJ$1, AsistenciaJetAdminConcatenada!$B:$B, 0)), ISNUMBER(SEARCH($A92,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ISNUMBER(SEARCH($A92, INDEX(AsistenciaJetAdminConcatenada!$D:$D, MATCH(1, (AsistenciaJetAdminConcatenada!$A:$A=AJ$2)*(AsistenciaJetAdminConcatenada!$B:$B=AJ$1), 0)), 1))),  0.5, 0))</f>
        <v>0</v>
      </c>
      <c r="AK92" s="47">
        <f t="array" ref="AK92">IF(AND(ISNUMBER(MATCH(AK$2, AsistenciaJetAdminConcatenada!$A:$A, 0)), ISNUMBER(MATCH(AK$1, AsistenciaJetAdminConcatenada!$B:$B, 0)), ISNUMBER(SEARCH($A92,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ISNUMBER(SEARCH($A92, INDEX(AsistenciaJetAdminConcatenada!$D:$D, MATCH(1, (AsistenciaJetAdminConcatenada!$A:$A=AK$2)*(AsistenciaJetAdminConcatenada!$B:$B=AK$1), 0)), 1))),  0.5, 0))</f>
        <v>1</v>
      </c>
      <c r="AL92" s="47">
        <f t="array" ref="AL92">IF(AND(ISNUMBER(MATCH(AL$2, AsistenciaJetAdminConcatenada!$A:$A, 0)), ISNUMBER(MATCH(AL$1, AsistenciaJetAdminConcatenada!$B:$B, 0)), ISNUMBER(SEARCH($A92,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ISNUMBER(SEARCH($A92, INDEX(AsistenciaJetAdminConcatenada!$D:$D, MATCH(1, (AsistenciaJetAdminConcatenada!$A:$A=AL$2)*(AsistenciaJetAdminConcatenada!$B:$B=AL$1), 0)), 1))),  0.5, 0))</f>
        <v>0</v>
      </c>
      <c r="AM92" s="47">
        <f t="array" ref="AM92">IF(AND(ISNUMBER(MATCH(AM$2, AsistenciaJetAdminConcatenada!$A:$A, 0)), ISNUMBER(MATCH(AM$1, AsistenciaJetAdminConcatenada!$B:$B, 0)), ISNUMBER(SEARCH($A92,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ISNUMBER(SEARCH($A92, INDEX(AsistenciaJetAdminConcatenada!$D:$D, MATCH(1, (AsistenciaJetAdminConcatenada!$A:$A=AM$2)*(AsistenciaJetAdminConcatenada!$B:$B=AM$1), 0)), 1))),  0.5, 0))</f>
        <v>0</v>
      </c>
      <c r="AN92" s="47">
        <f t="array" ref="AN92">IF(AND(ISNUMBER(MATCH(AN$2, AsistenciaJetAdminConcatenada!$A:$A, 0)), ISNUMBER(MATCH(AN$1, AsistenciaJetAdminConcatenada!$B:$B, 0)), ISNUMBER(SEARCH($A92,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ISNUMBER(SEARCH($A92, INDEX(AsistenciaJetAdminConcatenada!$D:$D, MATCH(1, (AsistenciaJetAdminConcatenada!$A:$A=AN$2)*(AsistenciaJetAdminConcatenada!$B:$B=AN$1), 0)), 1))),  0.5, 0))</f>
        <v>0</v>
      </c>
      <c r="AO92" s="47">
        <f t="array" ref="AO92">IF(AND(ISNUMBER(MATCH(AO$2, AsistenciaJetAdminConcatenada!$A:$A, 0)), ISNUMBER(MATCH(AO$1, AsistenciaJetAdminConcatenada!$B:$B, 0)), ISNUMBER(SEARCH($A92,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ISNUMBER(SEARCH($A92, INDEX(AsistenciaJetAdminConcatenada!$D:$D, MATCH(1, (AsistenciaJetAdminConcatenada!$A:$A=AO$2)*(AsistenciaJetAdminConcatenada!$B:$B=AO$1), 0)), 1))),  0.5, 0))</f>
        <v>1</v>
      </c>
      <c r="AP92" s="47">
        <f t="array" ref="AP92">IF(AND(ISNUMBER(MATCH(AP$2, AsistenciaJetAdminConcatenada!$A:$A, 0)), ISNUMBER(MATCH(AP$1, AsistenciaJetAdminConcatenada!$B:$B, 0)), ISNUMBER(SEARCH($A92,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ISNUMBER(SEARCH($A92, INDEX(AsistenciaJetAdminConcatenada!$D:$D, MATCH(1, (AsistenciaJetAdminConcatenada!$A:$A=AP$2)*(AsistenciaJetAdminConcatenada!$B:$B=AP$1), 0)), 1))),  0.5, 0))</f>
        <v>1</v>
      </c>
      <c r="AQ92" s="47">
        <f t="array" ref="AQ92">IF(AND(ISNUMBER(MATCH(AQ$2, AsistenciaJetAdminConcatenada!$A:$A, 0)), ISNUMBER(MATCH(AQ$1, AsistenciaJetAdminConcatenada!$B:$B, 0)), ISNUMBER(SEARCH($A92,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ISNUMBER(SEARCH($A92, INDEX(AsistenciaJetAdminConcatenada!$D:$D, MATCH(1, (AsistenciaJetAdminConcatenada!$A:$A=AQ$2)*(AsistenciaJetAdminConcatenada!$B:$B=AQ$1), 0)), 1))),  0.5, 0))</f>
        <v>0</v>
      </c>
      <c r="AR92" s="47">
        <f t="array" ref="AR92">IF(AND(ISNUMBER(MATCH(AR$2, AsistenciaJetAdminConcatenada!$A:$A, 0)), ISNUMBER(MATCH(AR$1, AsistenciaJetAdminConcatenada!$B:$B, 0)), ISNUMBER(SEARCH($A92,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ISNUMBER(SEARCH($A92, INDEX(AsistenciaJetAdminConcatenada!$D:$D, MATCH(1, (AsistenciaJetAdminConcatenada!$A:$A=AR$2)*(AsistenciaJetAdminConcatenada!$B:$B=AR$1), 0)), 1))),  0.5, 0))</f>
        <v>1</v>
      </c>
      <c r="AS92" s="47">
        <f t="array" ref="AS92">IF(AND(ISNUMBER(MATCH(AS$2, AsistenciaJetAdminConcatenada!$A:$A, 0)), ISNUMBER(MATCH(AS$1, AsistenciaJetAdminConcatenada!$B:$B, 0)), ISNUMBER(SEARCH($A92,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ISNUMBER(SEARCH($A92, INDEX(AsistenciaJetAdminConcatenada!$D:$D, MATCH(1, (AsistenciaJetAdminConcatenada!$A:$A=AS$2)*(AsistenciaJetAdminConcatenada!$B:$B=AS$1), 0)), 1))),  0.5, 0))</f>
        <v>1</v>
      </c>
      <c r="AT92" s="47">
        <f t="array" ref="AT92">IF(AND(ISNUMBER(MATCH(AT$2, AsistenciaJetAdminConcatenada!$A:$A, 0)), ISNUMBER(MATCH(AT$1, AsistenciaJetAdminConcatenada!$B:$B, 0)), ISNUMBER(SEARCH($A92,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ISNUMBER(SEARCH($A92, INDEX(AsistenciaJetAdminConcatenada!$D:$D, MATCH(1, (AsistenciaJetAdminConcatenada!$A:$A=AT$2)*(AsistenciaJetAdminConcatenada!$B:$B=AT$1), 0)), 1))),  0.5, 0))</f>
        <v>0</v>
      </c>
      <c r="AU92" s="47">
        <f t="array" ref="AU92">IF(AND(ISNUMBER(MATCH(AU$2, AsistenciaJetAdminConcatenada!$A:$A, 0)), ISNUMBER(MATCH(AU$1, AsistenciaJetAdminConcatenada!$B:$B, 0)), ISNUMBER(SEARCH($A92,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ISNUMBER(SEARCH($A92, INDEX(AsistenciaJetAdminConcatenada!$D:$D, MATCH(1, (AsistenciaJetAdminConcatenada!$A:$A=AU$2)*(AsistenciaJetAdminConcatenada!$B:$B=AU$1), 0)), 1))),  0.5, 0))</f>
        <v>1</v>
      </c>
      <c r="AV92" s="47">
        <f t="array" ref="AV92">IF(AND(ISNUMBER(MATCH(AV$2, AsistenciaJetAdminConcatenada!$A:$A, 0)), ISNUMBER(MATCH(AV$1, AsistenciaJetAdminConcatenada!$B:$B, 0)), ISNUMBER(SEARCH($A92,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ISNUMBER(SEARCH($A92, INDEX(AsistenciaJetAdminConcatenada!$D:$D, MATCH(1, (AsistenciaJetAdminConcatenada!$A:$A=AV$2)*(AsistenciaJetAdminConcatenada!$B:$B=AV$1), 0)), 1))),  0.5, 0))</f>
        <v>1</v>
      </c>
      <c r="AW92" s="47">
        <f t="array" ref="AW92">IF(AND(ISNUMBER(MATCH(AW$2, AsistenciaJetAdminConcatenada!$A:$A, 0)), ISNUMBER(MATCH(AW$1, AsistenciaJetAdminConcatenada!$B:$B, 0)), ISNUMBER(SEARCH($A92,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ISNUMBER(SEARCH($A92, INDEX(AsistenciaJetAdminConcatenada!$D:$D, MATCH(1, (AsistenciaJetAdminConcatenada!$A:$A=AW$2)*(AsistenciaJetAdminConcatenada!$B:$B=AW$1), 0)), 1))),  0.5, 0))</f>
        <v>1</v>
      </c>
      <c r="AX92" s="47">
        <f t="array" ref="AX92">IF(AND(ISNUMBER(MATCH(AX$2, AsistenciaJetAdminConcatenada!$A:$A, 0)), ISNUMBER(MATCH(AX$1, AsistenciaJetAdminConcatenada!$B:$B, 0)), ISNUMBER(SEARCH($A92,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ISNUMBER(SEARCH($A92, INDEX(AsistenciaJetAdminConcatenada!$D:$D, MATCH(1, (AsistenciaJetAdminConcatenada!$A:$A=AX$2)*(AsistenciaJetAdminConcatenada!$B:$B=AX$1), 0)), 1))),  0.5, 0))</f>
        <v>1</v>
      </c>
      <c r="AY92" s="47">
        <f t="array" ref="AY92">IF(AND(ISNUMBER(MATCH(AY$2, AsistenciaJetAdminConcatenada!$A:$A, 0)), ISNUMBER(MATCH(AY$1, AsistenciaJetAdminConcatenada!$B:$B, 0)), ISNUMBER(SEARCH($A92,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ISNUMBER(SEARCH($A92, INDEX(AsistenciaJetAdminConcatenada!$D:$D, MATCH(1, (AsistenciaJetAdminConcatenada!$A:$A=AY$2)*(AsistenciaJetAdminConcatenada!$B:$B=AY$1), 0)), 1))),  0.5, 0))</f>
        <v>1</v>
      </c>
      <c r="AZ92" s="47">
        <f t="array" ref="AZ92">IF(AND(ISNUMBER(MATCH(AZ$2, AsistenciaJetAdminConcatenada!$A:$A, 0)), ISNUMBER(MATCH(AZ$1, AsistenciaJetAdminConcatenada!$B:$B, 0)), ISNUMBER(SEARCH($A92,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ISNUMBER(SEARCH($A92, INDEX(AsistenciaJetAdminConcatenada!$D:$D, MATCH(1, (AsistenciaJetAdminConcatenada!$A:$A=AZ$2)*(AsistenciaJetAdminConcatenada!$B:$B=AZ$1), 0)), 1))),  0.5, 0))</f>
        <v>1</v>
      </c>
      <c r="BA92" s="47">
        <f t="array" ref="BA92">IF(AND(ISNUMBER(MATCH(BA$2, AsistenciaJetAdminConcatenada!$A:$A, 0)), ISNUMBER(MATCH(BA$1, AsistenciaJetAdminConcatenada!$B:$B, 0)), ISNUMBER(SEARCH($A92,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ISNUMBER(SEARCH($A92, INDEX(AsistenciaJetAdminConcatenada!$D:$D, MATCH(1, (AsistenciaJetAdminConcatenada!$A:$A=BA$2)*(AsistenciaJetAdminConcatenada!$B:$B=BA$1), 0)), 1))),  0.5, 0))</f>
        <v>1</v>
      </c>
      <c r="BB92" s="47">
        <f t="array" ref="BB92">IF(AND(ISNUMBER(MATCH(BB$2, AsistenciaJetAdminConcatenada!$A:$A, 0)), ISNUMBER(MATCH(BB$1, AsistenciaJetAdminConcatenada!$B:$B, 0)), ISNUMBER(SEARCH($A92,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ISNUMBER(SEARCH($A92, INDEX(AsistenciaJetAdminConcatenada!$D:$D, MATCH(1, (AsistenciaJetAdminConcatenada!$A:$A=BB$2)*(AsistenciaJetAdminConcatenada!$B:$B=BB$1), 0)), 1))),  0.5, 0))</f>
        <v>1</v>
      </c>
      <c r="BC92" s="47">
        <f t="array" ref="BC92">IF(AND(ISNUMBER(MATCH(BC$2, AsistenciaJetAdminConcatenada!$A:$A, 0)), ISNUMBER(MATCH(BC$1, AsistenciaJetAdminConcatenada!$B:$B, 0)), ISNUMBER(SEARCH($A92,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ISNUMBER(SEARCH($A92, INDEX(AsistenciaJetAdminConcatenada!$D:$D, MATCH(1, (AsistenciaJetAdminConcatenada!$A:$A=BC$2)*(AsistenciaJetAdminConcatenada!$B:$B=BC$1), 0)), 1))),  0.5, 0))</f>
        <v>0</v>
      </c>
      <c r="BD92" s="47">
        <f t="array" ref="BD92">IF(AND(ISNUMBER(MATCH(BD$2, AsistenciaJetAdminConcatenada!$A:$A, 0)), ISNUMBER(MATCH(BD$1, AsistenciaJetAdminConcatenada!$B:$B, 0)), ISNUMBER(SEARCH($A92,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ISNUMBER(SEARCH($A92, INDEX(AsistenciaJetAdminConcatenada!$D:$D, MATCH(1, (AsistenciaJetAdminConcatenada!$A:$A=BD$2)*(AsistenciaJetAdminConcatenada!$B:$B=BD$1), 0)), 1))),  0.5, 0))</f>
        <v>0</v>
      </c>
      <c r="BE92" s="47">
        <f t="array" ref="BE92">IF(AND(ISNUMBER(MATCH(BE$2, AsistenciaJetAdminConcatenada!$A:$A, 0)), ISNUMBER(MATCH(BE$1, AsistenciaJetAdminConcatenada!$B:$B, 0)), ISNUMBER(SEARCH($A92,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ISNUMBER(SEARCH($A92, INDEX(AsistenciaJetAdminConcatenada!$D:$D, MATCH(1, (AsistenciaJetAdminConcatenada!$A:$A=BE$2)*(AsistenciaJetAdminConcatenada!$B:$B=BE$1), 0)), 1))),  0.5, 0))</f>
        <v>1</v>
      </c>
      <c r="BF92" s="47">
        <f t="array" ref="BF92">IF(AND(ISNUMBER(MATCH(BF$2, AsistenciaJetAdminConcatenada!$A:$A, 0)), ISNUMBER(MATCH(BF$1, AsistenciaJetAdminConcatenada!$B:$B, 0)), ISNUMBER(SEARCH($A92,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ISNUMBER(SEARCH($A92, INDEX(AsistenciaJetAdminConcatenada!$D:$D, MATCH(1, (AsistenciaJetAdminConcatenada!$A:$A=BF$2)*(AsistenciaJetAdminConcatenada!$B:$B=BF$1), 0)), 1))),  0.5, 0))</f>
        <v>1</v>
      </c>
      <c r="BG92" s="47">
        <f t="array" ref="BG92">IF(AND(ISNUMBER(MATCH(BG$2, AsistenciaJetAdminConcatenada!$A:$A, 0)), ISNUMBER(MATCH(BG$1, AsistenciaJetAdminConcatenada!$B:$B, 0)), ISNUMBER(SEARCH($A92,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ISNUMBER(SEARCH($A92, INDEX(AsistenciaJetAdminConcatenada!$D:$D, MATCH(1, (AsistenciaJetAdminConcatenada!$A:$A=BG$2)*(AsistenciaJetAdminConcatenada!$B:$B=BG$1), 0)), 1))),  0.5, 0))</f>
        <v>0</v>
      </c>
      <c r="BH92" s="47">
        <f t="array" ref="BH92">IF(AND(ISNUMBER(MATCH(BH$2, AsistenciaJetAdminConcatenada!$A:$A, 0)), ISNUMBER(MATCH(BH$1, AsistenciaJetAdminConcatenada!$B:$B, 0)), ISNUMBER(SEARCH($A92,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ISNUMBER(SEARCH($A92, INDEX(AsistenciaJetAdminConcatenada!$D:$D, MATCH(1, (AsistenciaJetAdminConcatenada!$A:$A=BH$2)*(AsistenciaJetAdminConcatenada!$B:$B=BH$1), 0)), 1))),  0.5, 0))</f>
        <v>1</v>
      </c>
      <c r="BI92" s="47">
        <f t="array" ref="BI92">IF(AND(ISNUMBER(MATCH(BI$2, AsistenciaJetAdminConcatenada!$A:$A, 0)), ISNUMBER(MATCH(BI$1, AsistenciaJetAdminConcatenada!$B:$B, 0)), ISNUMBER(SEARCH($A92,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ISNUMBER(SEARCH($A92, INDEX(AsistenciaJetAdminConcatenada!$D:$D, MATCH(1, (AsistenciaJetAdminConcatenada!$A:$A=BI$2)*(AsistenciaJetAdminConcatenada!$B:$B=BI$1), 0)), 1))),  0.5, 0))</f>
        <v>1</v>
      </c>
      <c r="BJ92" s="47">
        <f t="array" ref="BJ92">IF(AND(ISNUMBER(MATCH(BJ$2, AsistenciaJetAdminConcatenada!$A:$A, 0)), ISNUMBER(MATCH(BJ$1, AsistenciaJetAdminConcatenada!$B:$B, 0)), ISNUMBER(SEARCH($A92,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ISNUMBER(SEARCH($A92, INDEX(AsistenciaJetAdminConcatenada!$D:$D, MATCH(1, (AsistenciaJetAdminConcatenada!$A:$A=BJ$2)*(AsistenciaJetAdminConcatenada!$B:$B=BJ$1), 0)), 1))),  0.5, 0))</f>
        <v>1</v>
      </c>
      <c r="BK92" s="47">
        <f t="array" ref="BK92">IF(AND(ISNUMBER(MATCH(BK$2, AsistenciaJetAdminConcatenada!$A:$A, 0)), ISNUMBER(MATCH(BK$1, AsistenciaJetAdminConcatenada!$B:$B, 0)), ISNUMBER(SEARCH($A92,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ISNUMBER(SEARCH($A92, INDEX(AsistenciaJetAdminConcatenada!$D:$D, MATCH(1, (AsistenciaJetAdminConcatenada!$A:$A=BK$2)*(AsistenciaJetAdminConcatenada!$B:$B=BK$1), 0)), 1))),  0.5, 0))</f>
        <v>1</v>
      </c>
      <c r="BL92" s="47">
        <f t="array" ref="BL92">IF(AND(ISNUMBER(MATCH(BL$2, AsistenciaJetAdminConcatenada!$A:$A, 0)), ISNUMBER(MATCH(BL$1, AsistenciaJetAdminConcatenada!$B:$B, 0)), ISNUMBER(SEARCH($A92,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ISNUMBER(SEARCH($A92, INDEX(AsistenciaJetAdminConcatenada!$D:$D, MATCH(1, (AsistenciaJetAdminConcatenada!$A:$A=BL$2)*(AsistenciaJetAdminConcatenada!$B:$B=BL$1), 0)), 1))),  0.5, 0))</f>
        <v>1</v>
      </c>
      <c r="BM92" s="47">
        <f t="array" ref="BM92">IF(AND(ISNUMBER(MATCH(BM$2, AsistenciaJetAdminConcatenada!$A:$A, 0)), ISNUMBER(MATCH(BM$1, AsistenciaJetAdminConcatenada!$B:$B, 0)), ISNUMBER(SEARCH($A92,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ISNUMBER(SEARCH($A92, INDEX(AsistenciaJetAdminConcatenada!$D:$D, MATCH(1, (AsistenciaJetAdminConcatenada!$A:$A=BM$2)*(AsistenciaJetAdminConcatenada!$B:$B=BM$1), 0)), 1))),  0.5, 0))</f>
        <v>1</v>
      </c>
      <c r="BN92" s="47">
        <f t="array" ref="BN92">IF(AND(ISNUMBER(MATCH(BN$2, AsistenciaJetAdminConcatenada!$A:$A, 0)), ISNUMBER(MATCH(BN$1, AsistenciaJetAdminConcatenada!$B:$B, 0)), ISNUMBER(SEARCH($A92,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ISNUMBER(SEARCH($A92, INDEX(AsistenciaJetAdminConcatenada!$D:$D, MATCH(1, (AsistenciaJetAdminConcatenada!$A:$A=BN$2)*(AsistenciaJetAdminConcatenada!$B:$B=BN$1), 0)), 1))),  0.5, 0))</f>
        <v>1</v>
      </c>
      <c r="BO92" s="47">
        <f t="array" ref="BO92">IF(AND(ISNUMBER(MATCH(BO$2, AsistenciaJetAdminConcatenada!$A:$A, 0)), ISNUMBER(MATCH(BO$1, AsistenciaJetAdminConcatenada!$B:$B, 0)), ISNUMBER(SEARCH($A92,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ISNUMBER(SEARCH($A92, INDEX(AsistenciaJetAdminConcatenada!$D:$D, MATCH(1, (AsistenciaJetAdminConcatenada!$A:$A=BO$2)*(AsistenciaJetAdminConcatenada!$B:$B=BO$1), 0)), 1))),  0.5, 0))</f>
        <v>1</v>
      </c>
      <c r="BP92" s="47">
        <f t="array" ref="BP92">IF(AND(ISNUMBER(MATCH(BP$2, AsistenciaJetAdminConcatenada!$A:$A, 0)), ISNUMBER(MATCH(BP$1, AsistenciaJetAdminConcatenada!$B:$B, 0)), ISNUMBER(SEARCH($A92,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ISNUMBER(SEARCH($A92, INDEX(AsistenciaJetAdminConcatenada!$D:$D, MATCH(1, (AsistenciaJetAdminConcatenada!$A:$A=BP$2)*(AsistenciaJetAdminConcatenada!$B:$B=BP$1), 0)), 1))),  0.5, 0))</f>
        <v>1</v>
      </c>
      <c r="BQ92" s="47">
        <f t="array" ref="BQ92">IF(AND(ISNUMBER(MATCH(BQ$2, AsistenciaJetAdminConcatenada!$A:$A, 0)), ISNUMBER(MATCH(BQ$1, AsistenciaJetAdminConcatenada!$B:$B, 0)), ISNUMBER(SEARCH($A92,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ISNUMBER(SEARCH($A92, INDEX(AsistenciaJetAdminConcatenada!$D:$D, MATCH(1, (AsistenciaJetAdminConcatenada!$A:$A=BQ$2)*(AsistenciaJetAdminConcatenada!$B:$B=BQ$1), 0)), 1))),  0.5, 0))</f>
        <v>0</v>
      </c>
      <c r="BR92" s="47">
        <f t="array" ref="BR92">IF(AND(ISNUMBER(MATCH(BR$2, AsistenciaJetAdminConcatenada!$A:$A, 0)), ISNUMBER(MATCH(BR$1, AsistenciaJetAdminConcatenada!$B:$B, 0)), ISNUMBER(SEARCH($A92,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ISNUMBER(SEARCH($A92, INDEX(AsistenciaJetAdminConcatenada!$D:$D, MATCH(1, (AsistenciaJetAdminConcatenada!$A:$A=BR$2)*(AsistenciaJetAdminConcatenada!$B:$B=BR$1), 0)), 1))),  0.5, 0))</f>
        <v>1</v>
      </c>
      <c r="BS92" s="47">
        <f t="array" ref="BS92">IF(AND(ISNUMBER(MATCH(BS$2, AsistenciaJetAdminConcatenada!$A:$A, 0)), ISNUMBER(MATCH(BS$1, AsistenciaJetAdminConcatenada!$B:$B, 0)), ISNUMBER(SEARCH($A92,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ISNUMBER(SEARCH($A92, INDEX(AsistenciaJetAdminConcatenada!$D:$D, MATCH(1, (AsistenciaJetAdminConcatenada!$A:$A=BS$2)*(AsistenciaJetAdminConcatenada!$B:$B=BS$1), 0)), 1))),  0.5, 0))</f>
        <v>0</v>
      </c>
      <c r="BT92" s="47">
        <f t="array" ref="BT92">IF(AND(ISNUMBER(MATCH(BT$2, AsistenciaJetAdminConcatenada!$A:$A, 0)), ISNUMBER(MATCH(BT$1, AsistenciaJetAdminConcatenada!$B:$B, 0)), ISNUMBER(SEARCH($A92,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ISNUMBER(SEARCH($A92, INDEX(AsistenciaJetAdminConcatenada!$D:$D, MATCH(1, (AsistenciaJetAdminConcatenada!$A:$A=BT$2)*(AsistenciaJetAdminConcatenada!$B:$B=BT$1), 0)), 1))),  0.5, 0))</f>
        <v>0</v>
      </c>
      <c r="BU92" s="47">
        <f t="array" ref="BU92">IF(AND(ISNUMBER(MATCH(BU$2, AsistenciaJetAdminConcatenada!$A:$A, 0)), ISNUMBER(MATCH(BU$1, AsistenciaJetAdminConcatenada!$B:$B, 0)), ISNUMBER(SEARCH($A92,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ISNUMBER(SEARCH($A92, INDEX(AsistenciaJetAdminConcatenada!$D:$D, MATCH(1, (AsistenciaJetAdminConcatenada!$A:$A=BU$2)*(AsistenciaJetAdminConcatenada!$B:$B=BU$1), 0)), 1))),  0.5, 0))</f>
        <v>1</v>
      </c>
      <c r="BV92" s="47">
        <f t="array" ref="BV92">IF(AND(ISNUMBER(MATCH(BV$2, AsistenciaJetAdminConcatenada!$A:$A, 0)), ISNUMBER(MATCH(BV$1, AsistenciaJetAdminConcatenada!$B:$B, 0)), ISNUMBER(SEARCH($A92,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ISNUMBER(SEARCH($A92, INDEX(AsistenciaJetAdminConcatenada!$D:$D, MATCH(1, (AsistenciaJetAdminConcatenada!$A:$A=BV$2)*(AsistenciaJetAdminConcatenada!$B:$B=BV$1), 0)), 1))),  0.5, 0))</f>
        <v>0</v>
      </c>
      <c r="BW92" s="47">
        <f t="array" ref="BW92">IF(AND(ISNUMBER(MATCH(BW$2, AsistenciaJetAdminConcatenada!$A:$A, 0)), ISNUMBER(MATCH(BW$1, AsistenciaJetAdminConcatenada!$B:$B, 0)), ISNUMBER(SEARCH($A92,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ISNUMBER(SEARCH($A92, INDEX(AsistenciaJetAdminConcatenada!$D:$D, MATCH(1, (AsistenciaJetAdminConcatenada!$A:$A=BW$2)*(AsistenciaJetAdminConcatenada!$B:$B=BW$1), 0)), 1))),  0.5, 0))</f>
        <v>1</v>
      </c>
      <c r="BX92" s="47">
        <f t="array" ref="BX92">IF(AND(ISNUMBER(MATCH(BX$2, AsistenciaJetAdminConcatenada!$A:$A, 0)), ISNUMBER(MATCH(BX$1, AsistenciaJetAdminConcatenada!$B:$B, 0)), ISNUMBER(SEARCH($A92,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ISNUMBER(SEARCH($A92, INDEX(AsistenciaJetAdminConcatenada!$D:$D, MATCH(1, (AsistenciaJetAdminConcatenada!$A:$A=BX$2)*(AsistenciaJetAdminConcatenada!$B:$B=BX$1), 0)), 1))),  0.5, 0))</f>
        <v>1</v>
      </c>
      <c r="BY92" s="47">
        <f t="array" ref="BY92">IF(AND(ISNUMBER(MATCH(BY$2, AsistenciaJetAdminConcatenada!$A:$A, 0)), ISNUMBER(MATCH(BY$1, AsistenciaJetAdminConcatenada!$B:$B, 0)), ISNUMBER(SEARCH($A92,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ISNUMBER(SEARCH($A92, INDEX(AsistenciaJetAdminConcatenada!$D:$D, MATCH(1, (AsistenciaJetAdminConcatenada!$A:$A=BY$2)*(AsistenciaJetAdminConcatenada!$B:$B=BY$1), 0)), 1))),  0.5, 0))</f>
        <v>1</v>
      </c>
      <c r="BZ92" s="47">
        <f t="array" ref="BZ92">IF(AND(ISNUMBER(MATCH(BZ$2, AsistenciaJetAdminConcatenada!$A:$A, 0)), ISNUMBER(MATCH(BZ$1, AsistenciaJetAdminConcatenada!$B:$B, 0)), ISNUMBER(SEARCH($A92,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ISNUMBER(SEARCH($A92, INDEX(AsistenciaJetAdminConcatenada!$D:$D, MATCH(1, (AsistenciaJetAdminConcatenada!$A:$A=BZ$2)*(AsistenciaJetAdminConcatenada!$B:$B=BZ$1), 0)), 1))),  0.5, 0))</f>
        <v>1</v>
      </c>
      <c r="CA92" s="47">
        <f t="array" ref="CA92">IF(AND(ISNUMBER(MATCH(CA$2, AsistenciaJetAdminConcatenada!$A:$A, 0)), ISNUMBER(MATCH(CA$1, AsistenciaJetAdminConcatenada!$B:$B, 0)), ISNUMBER(SEARCH($A92,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ISNUMBER(SEARCH($A92, INDEX(AsistenciaJetAdminConcatenada!$D:$D, MATCH(1, (AsistenciaJetAdminConcatenada!$A:$A=CA$2)*(AsistenciaJetAdminConcatenada!$B:$B=CA$1), 0)), 1))),  0.5, 0))</f>
        <v>1</v>
      </c>
      <c r="CB92" s="47">
        <f t="array" ref="CB92">IF(AND(ISNUMBER(MATCH(CB$2, AsistenciaJetAdminConcatenada!$A:$A, 0)), ISNUMBER(MATCH(CB$1, AsistenciaJetAdminConcatenada!$B:$B, 0)), ISNUMBER(SEARCH($A92,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ISNUMBER(SEARCH($A92, INDEX(AsistenciaJetAdminConcatenada!$D:$D, MATCH(1, (AsistenciaJetAdminConcatenada!$A:$A=CB$2)*(AsistenciaJetAdminConcatenada!$B:$B=CB$1), 0)), 1))),  0.5, 0))</f>
        <v>1</v>
      </c>
      <c r="CC92" s="47">
        <f t="array" ref="CC92">IF(AND(ISNUMBER(MATCH(CC$2, AsistenciaJetAdminConcatenada!$A:$A, 0)), ISNUMBER(MATCH(CC$1, AsistenciaJetAdminConcatenada!$B:$B, 0)), ISNUMBER(SEARCH($A92,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ISNUMBER(SEARCH($A92, INDEX(AsistenciaJetAdminConcatenada!$D:$D, MATCH(1, (AsistenciaJetAdminConcatenada!$A:$A=CC$2)*(AsistenciaJetAdminConcatenada!$B:$B=CC$1), 0)), 1))),  0.5, 0))</f>
        <v>1</v>
      </c>
      <c r="CD92" s="47">
        <f t="array" ref="CD92">IF(AND(ISNUMBER(MATCH(CD$2, AsistenciaJetAdminConcatenada!$A:$A, 0)), ISNUMBER(MATCH(CD$1, AsistenciaJetAdminConcatenada!$B:$B, 0)), ISNUMBER(SEARCH($A92,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ISNUMBER(SEARCH($A92, INDEX(AsistenciaJetAdminConcatenada!$D:$D, MATCH(1, (AsistenciaJetAdminConcatenada!$A:$A=CD$2)*(AsistenciaJetAdminConcatenada!$B:$B=CD$1), 0)), 1))),  0.5, 0))</f>
        <v>1</v>
      </c>
      <c r="CE92" s="47">
        <f t="array" ref="CE92">IF(AND(ISNUMBER(MATCH(CE$2, AsistenciaJetAdminConcatenada!$A:$A, 0)), ISNUMBER(MATCH(CE$1, AsistenciaJetAdminConcatenada!$B:$B, 0)), ISNUMBER(SEARCH($A92,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ISNUMBER(SEARCH($A92, INDEX(AsistenciaJetAdminConcatenada!$D:$D, MATCH(1, (AsistenciaJetAdminConcatenada!$A:$A=CE$2)*(AsistenciaJetAdminConcatenada!$B:$B=CE$1), 0)), 1))),  0.5, 0))</f>
        <v>0</v>
      </c>
      <c r="CF92" s="47">
        <f t="array" ref="CF92">IF(AND(ISNUMBER(MATCH(CF$2, AsistenciaJetAdminConcatenada!$A:$A, 0)), ISNUMBER(MATCH(CF$1, AsistenciaJetAdminConcatenada!$B:$B, 0)), ISNUMBER(SEARCH($A92,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ISNUMBER(SEARCH($A92, INDEX(AsistenciaJetAdminConcatenada!$D:$D, MATCH(1, (AsistenciaJetAdminConcatenada!$A:$A=CF$2)*(AsistenciaJetAdminConcatenada!$B:$B=CF$1), 0)), 1))),  0.5, 0))</f>
        <v>0</v>
      </c>
      <c r="CG92" s="47">
        <f t="array" ref="CG92">IF(AND(ISNUMBER(MATCH(CG$2, AsistenciaJetAdminConcatenada!$A:$A, 0)), ISNUMBER(MATCH(CG$1, AsistenciaJetAdminConcatenada!$B:$B, 0)), ISNUMBER(SEARCH($A92,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ISNUMBER(SEARCH($A92, INDEX(AsistenciaJetAdminConcatenada!$D:$D, MATCH(1, (AsistenciaJetAdminConcatenada!$A:$A=CG$2)*(AsistenciaJetAdminConcatenada!$B:$B=CG$1), 0)), 1))),  0.5, 0))</f>
        <v>0</v>
      </c>
      <c r="CH92" s="47">
        <f t="array" ref="CH92">IF(AND(ISNUMBER(MATCH(CH$2, AsistenciaJetAdminConcatenada!$A:$A, 0)), ISNUMBER(MATCH(CH$1, AsistenciaJetAdminConcatenada!$B:$B, 0)), ISNUMBER(SEARCH($A92,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ISNUMBER(SEARCH($A92, INDEX(AsistenciaJetAdminConcatenada!$D:$D, MATCH(1, (AsistenciaJetAdminConcatenada!$A:$A=CH$2)*(AsistenciaJetAdminConcatenada!$B:$B=CH$1), 0)), 1))),  0.5, 0))</f>
        <v>0</v>
      </c>
      <c r="CI92" s="47">
        <f t="array" ref="CI92">IF(AND(ISNUMBER(MATCH(CI$2, AsistenciaJetAdminConcatenada!$A:$A, 0)), ISNUMBER(MATCH(CI$1, AsistenciaJetAdminConcatenada!$B:$B, 0)), ISNUMBER(SEARCH($A92,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ISNUMBER(SEARCH($A92, INDEX(AsistenciaJetAdminConcatenada!$D:$D, MATCH(1, (AsistenciaJetAdminConcatenada!$A:$A=CI$2)*(AsistenciaJetAdminConcatenada!$B:$B=CI$1), 0)), 1))),  0.5, 0))</f>
        <v>0</v>
      </c>
      <c r="CJ92" s="47">
        <f t="array" ref="CJ92">IF(AND(ISNUMBER(MATCH(CJ$2, AsistenciaJetAdminConcatenada!$A:$A, 0)), ISNUMBER(MATCH(CJ$1, AsistenciaJetAdminConcatenada!$B:$B, 0)), ISNUMBER(SEARCH($A92,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ISNUMBER(SEARCH($A92, INDEX(AsistenciaJetAdminConcatenada!$D:$D, MATCH(1, (AsistenciaJetAdminConcatenada!$A:$A=CJ$2)*(AsistenciaJetAdminConcatenada!$B:$B=CJ$1), 0)), 1))),  0.5, 0))</f>
        <v>1</v>
      </c>
      <c r="CK92" s="47">
        <f t="array" ref="CK92">IF(AND(ISNUMBER(MATCH(CK$2, AsistenciaJetAdminConcatenada!$A:$A, 0)), ISNUMBER(MATCH(CK$1, AsistenciaJetAdminConcatenada!$B:$B, 0)), ISNUMBER(SEARCH($A92,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ISNUMBER(SEARCH($A92, INDEX(AsistenciaJetAdminConcatenada!$D:$D, MATCH(1, (AsistenciaJetAdminConcatenada!$A:$A=CK$2)*(AsistenciaJetAdminConcatenada!$B:$B=CK$1), 0)), 1))),  0.5, 0))</f>
        <v>0</v>
      </c>
      <c r="CL92" s="47">
        <f t="array" ref="CL92">IF(AND(ISNUMBER(MATCH(CL$2, AsistenciaJetAdminConcatenada!$A:$A, 0)), ISNUMBER(MATCH(CL$1, AsistenciaJetAdminConcatenada!$B:$B, 0)), ISNUMBER(SEARCH($A92,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ISNUMBER(SEARCH($A92, INDEX(AsistenciaJetAdminConcatenada!$D:$D, MATCH(1, (AsistenciaJetAdminConcatenada!$A:$A=CL$2)*(AsistenciaJetAdminConcatenada!$B:$B=CL$1), 0)), 1))),  0.5, 0))</f>
        <v>0</v>
      </c>
      <c r="CM92" s="47">
        <f t="array" ref="CM92">IF(AND(ISNUMBER(MATCH(CM$2, AsistenciaJetAdminConcatenada!$A:$A, 0)), ISNUMBER(MATCH(CM$1, AsistenciaJetAdminConcatenada!$B:$B, 0)), ISNUMBER(SEARCH($A92,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ISNUMBER(SEARCH($A92, INDEX(AsistenciaJetAdminConcatenada!$D:$D, MATCH(1, (AsistenciaJetAdminConcatenada!$A:$A=CM$2)*(AsistenciaJetAdminConcatenada!$B:$B=CM$1), 0)), 1))),  0.5, 0))</f>
        <v>0</v>
      </c>
      <c r="CN92" s="47">
        <f t="array" ref="CN92">IF(AND(ISNUMBER(MATCH(CN$2, AsistenciaJetAdminConcatenada!$A:$A, 0)), ISNUMBER(MATCH(CN$1, AsistenciaJetAdminConcatenada!$B:$B, 0)), ISNUMBER(SEARCH($A92,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ISNUMBER(SEARCH($A92, INDEX(AsistenciaJetAdminConcatenada!$D:$D, MATCH(1, (AsistenciaJetAdminConcatenada!$A:$A=CN$2)*(AsistenciaJetAdminConcatenada!$B:$B=CN$1), 0)), 1))),  0.5, 0))</f>
        <v>1</v>
      </c>
      <c r="CO92" s="47">
        <f t="array" ref="CO92">IF(AND(ISNUMBER(MATCH(CO$2, AsistenciaJetAdminConcatenada!$A:$A, 0)), ISNUMBER(MATCH(CO$1, AsistenciaJetAdminConcatenada!$B:$B, 0)), ISNUMBER(SEARCH($A92,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ISNUMBER(SEARCH($A92, INDEX(AsistenciaJetAdminConcatenada!$D:$D, MATCH(1, (AsistenciaJetAdminConcatenada!$A:$A=CO$2)*(AsistenciaJetAdminConcatenada!$B:$B=CO$1), 0)), 1))),  0.5, 0))</f>
        <v>1</v>
      </c>
      <c r="CP92" s="47">
        <f t="array" ref="CP92">IF(AND(ISNUMBER(MATCH(CP$2, AsistenciaJetAdminConcatenada!$A:$A, 0)), ISNUMBER(MATCH(CP$1, AsistenciaJetAdminConcatenada!$B:$B, 0)), ISNUMBER(SEARCH($A92,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ISNUMBER(SEARCH($A92, INDEX(AsistenciaJetAdminConcatenada!$D:$D, MATCH(1, (AsistenciaJetAdminConcatenada!$A:$A=CP$2)*(AsistenciaJetAdminConcatenada!$B:$B=CP$1), 0)), 1))),  0.5, 0))</f>
        <v>0</v>
      </c>
      <c r="CQ92" s="47">
        <f t="array" ref="CQ92">IF(AND(ISNUMBER(MATCH(CQ$2, AsistenciaJetAdminConcatenada!$A:$A, 0)), ISNUMBER(MATCH(CQ$1, AsistenciaJetAdminConcatenada!$B:$B, 0)), ISNUMBER(SEARCH($A92,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ISNUMBER(SEARCH($A92, INDEX(AsistenciaJetAdminConcatenada!$D:$D, MATCH(1, (AsistenciaJetAdminConcatenada!$A:$A=CQ$2)*(AsistenciaJetAdminConcatenada!$B:$B=CQ$1), 0)), 1))),  0.5, 0))</f>
        <v>1</v>
      </c>
      <c r="CR92" s="47">
        <f t="array" ref="CR92">IF(AND(ISNUMBER(MATCH(CR$2, AsistenciaJetAdminConcatenada!$A:$A, 0)), ISNUMBER(MATCH(CR$1, AsistenciaJetAdminConcatenada!$B:$B, 0)), ISNUMBER(SEARCH($A92,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ISNUMBER(SEARCH($A92, INDEX(AsistenciaJetAdminConcatenada!$D:$D, MATCH(1, (AsistenciaJetAdminConcatenada!$A:$A=CR$2)*(AsistenciaJetAdminConcatenada!$B:$B=CR$1), 0)), 1))),  0.5, 0))</f>
        <v>1</v>
      </c>
      <c r="CS92" s="47">
        <f t="array" ref="CS92">IF(AND(ISNUMBER(MATCH(CS$2, AsistenciaJetAdminConcatenada!$A:$A, 0)), ISNUMBER(MATCH(CS$1, AsistenciaJetAdminConcatenada!$B:$B, 0)), ISNUMBER(SEARCH($A92,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ISNUMBER(SEARCH($A92, INDEX(AsistenciaJetAdminConcatenada!$D:$D, MATCH(1, (AsistenciaJetAdminConcatenada!$A:$A=CS$2)*(AsistenciaJetAdminConcatenada!$B:$B=CS$1), 0)), 1))),  0.5, 0))</f>
        <v>0</v>
      </c>
      <c r="CT92" s="47">
        <f t="array" ref="CT92">IF(AND(ISNUMBER(MATCH(CT$2, AsistenciaJetAdminConcatenada!$A:$A, 0)), ISNUMBER(MATCH(CT$1, AsistenciaJetAdminConcatenada!$B:$B, 0)), ISNUMBER(SEARCH($A92,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ISNUMBER(SEARCH($A92, INDEX(AsistenciaJetAdminConcatenada!$D:$D, MATCH(1, (AsistenciaJetAdminConcatenada!$A:$A=CT$2)*(AsistenciaJetAdminConcatenada!$B:$B=CT$1), 0)), 1))),  0.5, 0))</f>
        <v>0</v>
      </c>
      <c r="CU92" s="47">
        <f t="array" ref="CU92">IF(AND(ISNUMBER(MATCH(CU$2, AsistenciaJetAdminConcatenada!$A:$A, 0)), ISNUMBER(MATCH(CU$1, AsistenciaJetAdminConcatenada!$B:$B, 0)), ISNUMBER(SEARCH($A92,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ISNUMBER(SEARCH($A92, INDEX(AsistenciaJetAdminConcatenada!$D:$D, MATCH(1, (AsistenciaJetAdminConcatenada!$A:$A=CU$2)*(AsistenciaJetAdminConcatenada!$B:$B=CU$1), 0)), 1))),  0.5, 0))</f>
        <v>0</v>
      </c>
      <c r="CV92" s="47">
        <f t="array" ref="CV92">IF(AND(ISNUMBER(MATCH(CV$2, AsistenciaJetAdminConcatenada!$A:$A, 0)), ISNUMBER(MATCH(CV$1, AsistenciaJetAdminConcatenada!$B:$B, 0)), ISNUMBER(SEARCH($A92,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ISNUMBER(SEARCH($A92, INDEX(AsistenciaJetAdminConcatenada!$D:$D, MATCH(1, (AsistenciaJetAdminConcatenada!$A:$A=CV$2)*(AsistenciaJetAdminConcatenada!$B:$B=CV$1), 0)), 1))),  0.5, 0))</f>
        <v>0</v>
      </c>
      <c r="CW92" s="47">
        <f t="array" ref="CW92">IF(AND(ISNUMBER(MATCH(CW$2, AsistenciaJetAdminConcatenada!$A:$A, 0)), ISNUMBER(MATCH(CW$1, AsistenciaJetAdminConcatenada!$B:$B, 0)), ISNUMBER(SEARCH($A92,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ISNUMBER(SEARCH($A92, INDEX(AsistenciaJetAdminConcatenada!$D:$D, MATCH(1, (AsistenciaJetAdminConcatenada!$A:$A=CW$2)*(AsistenciaJetAdminConcatenada!$B:$B=CW$1), 0)), 1))),  0.5, 0))</f>
        <v>0</v>
      </c>
      <c r="CX92" s="47">
        <f t="array" ref="CX92">IF(AND(ISNUMBER(MATCH(CX$2, AsistenciaJetAdminConcatenada!$A:$A, 0)), ISNUMBER(MATCH(CX$1, AsistenciaJetAdminConcatenada!$B:$B, 0)), ISNUMBER(SEARCH($A92,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ISNUMBER(SEARCH($A92, INDEX(AsistenciaJetAdminConcatenada!$D:$D, MATCH(1, (AsistenciaJetAdminConcatenada!$A:$A=CX$2)*(AsistenciaJetAdminConcatenada!$B:$B=CX$1), 0)), 1))),  0.5, 0))</f>
        <v>0</v>
      </c>
      <c r="CY92" s="47">
        <f t="array" ref="CY92">IF(AND(ISNUMBER(MATCH(CY$2, AsistenciaJetAdminConcatenada!$A:$A, 0)), ISNUMBER(MATCH(CY$1, AsistenciaJetAdminConcatenada!$B:$B, 0)), ISNUMBER(SEARCH($A92,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ISNUMBER(SEARCH($A92, INDEX(AsistenciaJetAdminConcatenada!$D:$D, MATCH(1, (AsistenciaJetAdminConcatenada!$A:$A=CY$2)*(AsistenciaJetAdminConcatenada!$B:$B=CY$1), 0)), 1))),  0.5, 0))</f>
        <v>0</v>
      </c>
      <c r="CZ92" s="47">
        <f t="array" ref="CZ92">IF(AND(ISNUMBER(MATCH(CZ$2, AsistenciaJetAdminConcatenada!$A:$A, 0)), ISNUMBER(MATCH(CZ$1, AsistenciaJetAdminConcatenada!$B:$B, 0)), ISNUMBER(SEARCH($A92,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ISNUMBER(SEARCH($A92, INDEX(AsistenciaJetAdminConcatenada!$D:$D, MATCH(1, (AsistenciaJetAdminConcatenada!$A:$A=CZ$2)*(AsistenciaJetAdminConcatenada!$B:$B=CZ$1), 0)), 1))),  0.5, 0))</f>
        <v>0</v>
      </c>
      <c r="DA92" s="47">
        <f t="array" ref="DA92">IF(AND(ISNUMBER(MATCH(DA$2, AsistenciaJetAdminConcatenada!$A:$A, 0)), ISNUMBER(MATCH(DA$1, AsistenciaJetAdminConcatenada!$B:$B, 0)), ISNUMBER(SEARCH($A92,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ISNUMBER(SEARCH($A92, INDEX(AsistenciaJetAdminConcatenada!$D:$D, MATCH(1, (AsistenciaJetAdminConcatenada!$A:$A=DA$2)*(AsistenciaJetAdminConcatenada!$B:$B=DA$1), 0)), 1))),  0.5, 0))</f>
        <v>0</v>
      </c>
      <c r="DB92" s="47">
        <f t="array" ref="DB92">IF(AND(ISNUMBER(MATCH(DB$2, AsistenciaJetAdminConcatenada!$A:$A, 0)), ISNUMBER(MATCH(DB$1, AsistenciaJetAdminConcatenada!$B:$B, 0)), ISNUMBER(SEARCH($A92,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ISNUMBER(SEARCH($A92, INDEX(AsistenciaJetAdminConcatenada!$D:$D, MATCH(1, (AsistenciaJetAdminConcatenada!$A:$A=DB$2)*(AsistenciaJetAdminConcatenada!$B:$B=DB$1), 0)), 1))),  0.5, 0))</f>
        <v>0</v>
      </c>
      <c r="DC92" s="47">
        <f t="array" ref="DC92">IF(AND(ISNUMBER(MATCH(DC$2, AsistenciaJetAdminConcatenada!$A:$A, 0)), ISNUMBER(MATCH(DC$1, AsistenciaJetAdminConcatenada!$B:$B, 0)), ISNUMBER(SEARCH($A92,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ISNUMBER(SEARCH($A92, INDEX(AsistenciaJetAdminConcatenada!$D:$D, MATCH(1, (AsistenciaJetAdminConcatenada!$A:$A=DC$2)*(AsistenciaJetAdminConcatenada!$B:$B=DC$1), 0)), 1))),  0.5, 0))</f>
        <v>0</v>
      </c>
      <c r="DD92" s="47">
        <f t="array" ref="DD92">IF(AND(ISNUMBER(MATCH(DD$2, AsistenciaJetAdminConcatenada!$A:$A, 0)), ISNUMBER(MATCH(DD$1, AsistenciaJetAdminConcatenada!$B:$B, 0)), ISNUMBER(SEARCH($A92,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ISNUMBER(SEARCH($A92, INDEX(AsistenciaJetAdminConcatenada!$D:$D, MATCH(1, (AsistenciaJetAdminConcatenada!$A:$A=DD$2)*(AsistenciaJetAdminConcatenada!$B:$B=DD$1), 0)), 1))),  0.5, 0))</f>
        <v>0</v>
      </c>
      <c r="DE92" s="47">
        <f t="array" ref="DE92">IF(AND(ISNUMBER(MATCH(DE$2, AsistenciaJetAdminConcatenada!$A:$A, 0)), ISNUMBER(MATCH(DE$1, AsistenciaJetAdminConcatenada!$B:$B, 0)), ISNUMBER(SEARCH($A92,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ISNUMBER(SEARCH($A92, INDEX(AsistenciaJetAdminConcatenada!$D:$D, MATCH(1, (AsistenciaJetAdminConcatenada!$A:$A=DE$2)*(AsistenciaJetAdminConcatenada!$B:$B=DE$1), 0)), 1))),  0.5, 0))</f>
        <v>0</v>
      </c>
      <c r="DF92" s="47">
        <f t="array" ref="DF92">IF(AND(ISNUMBER(MATCH(DF$2, AsistenciaJetAdminConcatenada!$A:$A, 0)), ISNUMBER(MATCH(DF$1, AsistenciaJetAdminConcatenada!$B:$B, 0)), ISNUMBER(SEARCH($A92,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ISNUMBER(SEARCH($A92, INDEX(AsistenciaJetAdminConcatenada!$D:$D, MATCH(1, (AsistenciaJetAdminConcatenada!$A:$A=DF$2)*(AsistenciaJetAdminConcatenada!$B:$B=DF$1), 0)), 1))),  0.5, 0))</f>
        <v>0</v>
      </c>
      <c r="DG92" s="47">
        <f t="array" ref="DG92">IF(AND(ISNUMBER(MATCH(DG$2, AsistenciaJetAdminConcatenada!$A:$A, 0)), ISNUMBER(MATCH(DG$1, AsistenciaJetAdminConcatenada!$B:$B, 0)), ISNUMBER(SEARCH($A92,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ISNUMBER(SEARCH($A92, INDEX(AsistenciaJetAdminConcatenada!$D:$D, MATCH(1, (AsistenciaJetAdminConcatenada!$A:$A=DG$2)*(AsistenciaJetAdminConcatenada!$B:$B=DG$1), 0)), 1))),  0.5, 0))</f>
        <v>0</v>
      </c>
      <c r="DH92" s="47">
        <f t="array" ref="DH92">IF(AND(ISNUMBER(MATCH(DH$2, AsistenciaJetAdminConcatenada!$A:$A, 0)), ISNUMBER(MATCH(DH$1, AsistenciaJetAdminConcatenada!$B:$B, 0)), ISNUMBER(SEARCH($A92,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ISNUMBER(SEARCH($A92, INDEX(AsistenciaJetAdminConcatenada!$D:$D, MATCH(1, (AsistenciaJetAdminConcatenada!$A:$A=DH$2)*(AsistenciaJetAdminConcatenada!$B:$B=DH$1), 0)), 1))),  0.5, 0))</f>
        <v>0</v>
      </c>
      <c r="DI92" s="47">
        <f t="array" ref="DI92">IF(AND(ISNUMBER(MATCH(DI$2, AsistenciaJetAdminConcatenada!$A:$A, 0)), ISNUMBER(MATCH(DI$1, AsistenciaJetAdminConcatenada!$B:$B, 0)), ISNUMBER(SEARCH($A92,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ISNUMBER(SEARCH($A92, INDEX(AsistenciaJetAdminConcatenada!$D:$D, MATCH(1, (AsistenciaJetAdminConcatenada!$A:$A=DI$2)*(AsistenciaJetAdminConcatenada!$B:$B=DI$1), 0)), 1))),  0.5, 0))</f>
        <v>0</v>
      </c>
      <c r="DJ92" s="47">
        <f t="array" ref="DJ92">IF(AND(ISNUMBER(MATCH(DJ$2, AsistenciaJetAdminConcatenada!$A:$A, 0)), ISNUMBER(MATCH(DJ$1, AsistenciaJetAdminConcatenada!$B:$B, 0)), ISNUMBER(SEARCH($A92,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ISNUMBER(SEARCH($A92, INDEX(AsistenciaJetAdminConcatenada!$D:$D, MATCH(1, (AsistenciaJetAdminConcatenada!$A:$A=DJ$2)*(AsistenciaJetAdminConcatenada!$B:$B=DJ$1), 0)), 1))),  0.5, 0))</f>
        <v>0</v>
      </c>
      <c r="DK92" s="47">
        <f t="array" ref="DK92">IF(AND(ISNUMBER(MATCH(DK$2, AsistenciaJetAdminConcatenada!$A:$A, 0)), ISNUMBER(MATCH(DK$1, AsistenciaJetAdminConcatenada!$B:$B, 0)), ISNUMBER(SEARCH($A92,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ISNUMBER(SEARCH($A92, INDEX(AsistenciaJetAdminConcatenada!$D:$D, MATCH(1, (AsistenciaJetAdminConcatenada!$A:$A=DK$2)*(AsistenciaJetAdminConcatenada!$B:$B=DK$1), 0)), 1))),  0.5, 0))</f>
        <v>0</v>
      </c>
      <c r="DL92" s="47">
        <f t="array" ref="DL92">IF(AND(ISNUMBER(MATCH(DL$2, AsistenciaJetAdminConcatenada!$A:$A, 0)), ISNUMBER(MATCH(DL$1, AsistenciaJetAdminConcatenada!$B:$B, 0)), ISNUMBER(SEARCH($A92,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ISNUMBER(SEARCH($A92, INDEX(AsistenciaJetAdminConcatenada!$D:$D, MATCH(1, (AsistenciaJetAdminConcatenada!$A:$A=DL$2)*(AsistenciaJetAdminConcatenada!$B:$B=DL$1), 0)), 1))),  0.5, 0))</f>
        <v>0</v>
      </c>
      <c r="DM92" s="47">
        <f t="array" ref="DM92">IF(AND(ISNUMBER(MATCH(DM$2, AsistenciaJetAdminConcatenada!$A:$A, 0)), ISNUMBER(MATCH(DM$1, AsistenciaJetAdminConcatenada!$B:$B, 0)), ISNUMBER(SEARCH($A92,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ISNUMBER(SEARCH($A92, INDEX(AsistenciaJetAdminConcatenada!$D:$D, MATCH(1, (AsistenciaJetAdminConcatenada!$A:$A=DM$2)*(AsistenciaJetAdminConcatenada!$B:$B=DM$1), 0)), 1))),  0.5, 0))</f>
        <v>0</v>
      </c>
      <c r="DN92" s="47">
        <f t="array" ref="DN92">IF(AND(ISNUMBER(MATCH(DN$2, AsistenciaJetAdminConcatenada!$A:$A, 0)), ISNUMBER(MATCH(DN$1, AsistenciaJetAdminConcatenada!$B:$B, 0)), ISNUMBER(SEARCH($A92,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ISNUMBER(SEARCH($A92, INDEX(AsistenciaJetAdminConcatenada!$D:$D, MATCH(1, (AsistenciaJetAdminConcatenada!$A:$A=DN$2)*(AsistenciaJetAdminConcatenada!$B:$B=DN$1), 0)), 1))),  0.5, 0))</f>
        <v>0</v>
      </c>
      <c r="DO92" s="47">
        <f t="array" ref="DO92">IF(AND(ISNUMBER(MATCH(DO$2, AsistenciaJetAdminConcatenada!$A:$A, 0)), ISNUMBER(MATCH(DO$1, AsistenciaJetAdminConcatenada!$B:$B, 0)), ISNUMBER(SEARCH($A92,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ISNUMBER(SEARCH($A92, INDEX(AsistenciaJetAdminConcatenada!$D:$D, MATCH(1, (AsistenciaJetAdminConcatenada!$A:$A=DO$2)*(AsistenciaJetAdminConcatenada!$B:$B=DO$1), 0)), 1))),  0.5, 0))</f>
        <v>0</v>
      </c>
      <c r="DP92" s="47">
        <f t="array" ref="DP92">IF(AND(ISNUMBER(MATCH(DP$2, AsistenciaJetAdminConcatenada!$A:$A, 0)), ISNUMBER(MATCH(DP$1, AsistenciaJetAdminConcatenada!$B:$B, 0)), ISNUMBER(SEARCH($A92,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ISNUMBER(SEARCH($A92, INDEX(AsistenciaJetAdminConcatenada!$D:$D, MATCH(1, (AsistenciaJetAdminConcatenada!$A:$A=DP$2)*(AsistenciaJetAdminConcatenada!$B:$B=DP$1), 0)), 1))),  0.5, 0))</f>
        <v>0</v>
      </c>
      <c r="DQ92" s="47">
        <f t="array" ref="DQ92">IF(AND(ISNUMBER(MATCH(DQ$2, AsistenciaJetAdminConcatenada!$A:$A, 0)), ISNUMBER(MATCH(DQ$1, AsistenciaJetAdminConcatenada!$B:$B, 0)), ISNUMBER(SEARCH($A92,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ISNUMBER(SEARCH($A92, INDEX(AsistenciaJetAdminConcatenada!$D:$D, MATCH(1, (AsistenciaJetAdminConcatenada!$A:$A=DQ$2)*(AsistenciaJetAdminConcatenada!$B:$B=DQ$1), 0)), 1))),  0.5, 0))</f>
        <v>0</v>
      </c>
      <c r="DR92" s="47">
        <f t="array" ref="DR92">IF(AND(ISNUMBER(MATCH(DR$2, AsistenciaJetAdminConcatenada!$A:$A, 0)), ISNUMBER(MATCH(DR$1, AsistenciaJetAdminConcatenada!$B:$B, 0)), ISNUMBER(SEARCH($A92,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ISNUMBER(SEARCH($A92, INDEX(AsistenciaJetAdminConcatenada!$D:$D, MATCH(1, (AsistenciaJetAdminConcatenada!$A:$A=DR$2)*(AsistenciaJetAdminConcatenada!$B:$B=DR$1), 0)), 1))),  0.5, 0))</f>
        <v>0</v>
      </c>
      <c r="DS92" s="47">
        <f t="array" ref="DS92">IF(AND(ISNUMBER(MATCH(DS$2, AsistenciaJetAdminConcatenada!$A:$A, 0)), ISNUMBER(MATCH(DS$1, AsistenciaJetAdminConcatenada!$B:$B, 0)), ISNUMBER(SEARCH($A92,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ISNUMBER(SEARCH($A92, INDEX(AsistenciaJetAdminConcatenada!$D:$D, MATCH(1, (AsistenciaJetAdminConcatenada!$A:$A=DS$2)*(AsistenciaJetAdminConcatenada!$B:$B=DS$1), 0)), 1))),  0.5, 0))</f>
        <v>0</v>
      </c>
      <c r="DT92" s="47">
        <f t="array" ref="DT92">IF(AND(ISNUMBER(MATCH(DT$2, AsistenciaJetAdminConcatenada!$A:$A, 0)), ISNUMBER(MATCH(DT$1, AsistenciaJetAdminConcatenada!$B:$B, 0)), ISNUMBER(SEARCH($A92,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ISNUMBER(SEARCH($A92, INDEX(AsistenciaJetAdminConcatenada!$D:$D, MATCH(1, (AsistenciaJetAdminConcatenada!$A:$A=DT$2)*(AsistenciaJetAdminConcatenada!$B:$B=DT$1), 0)), 1))),  0.5, 0))</f>
        <v>0</v>
      </c>
      <c r="DU92" s="47">
        <f t="array" ref="DU92">IF(AND(ISNUMBER(MATCH(DU$2, AsistenciaJetAdminConcatenada!$A:$A, 0)), ISNUMBER(MATCH(DU$1, AsistenciaJetAdminConcatenada!$B:$B, 0)), ISNUMBER(SEARCH($A92,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ISNUMBER(SEARCH($A92, INDEX(AsistenciaJetAdminConcatenada!$D:$D, MATCH(1, (AsistenciaJetAdminConcatenada!$A:$A=DU$2)*(AsistenciaJetAdminConcatenada!$B:$B=DU$1), 0)), 1))),  0.5, 0))</f>
        <v>0</v>
      </c>
      <c r="DV92" s="47">
        <f t="array" ref="DV92">IF(AND(ISNUMBER(MATCH(DV$2, AsistenciaJetAdminConcatenada!$A:$A, 0)), ISNUMBER(MATCH(DV$1, AsistenciaJetAdminConcatenada!$B:$B, 0)), ISNUMBER(SEARCH($A92,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ISNUMBER(SEARCH($A92, INDEX(AsistenciaJetAdminConcatenada!$D:$D, MATCH(1, (AsistenciaJetAdminConcatenada!$A:$A=DV$2)*(AsistenciaJetAdminConcatenada!$B:$B=DV$1), 0)), 1))),  0.5, 0))</f>
        <v>0</v>
      </c>
      <c r="DW92" s="47">
        <f t="array" ref="DW92">IF(AND(ISNUMBER(MATCH(DW$2, AsistenciaJetAdminConcatenada!$A:$A, 0)), ISNUMBER(MATCH(DW$1, AsistenciaJetAdminConcatenada!$B:$B, 0)), ISNUMBER(SEARCH($A92,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ISNUMBER(SEARCH($A92, INDEX(AsistenciaJetAdminConcatenada!$D:$D, MATCH(1, (AsistenciaJetAdminConcatenada!$A:$A=DW$2)*(AsistenciaJetAdminConcatenada!$B:$B=DW$1), 0)), 1))),  0.5, 0))</f>
        <v>0</v>
      </c>
      <c r="DX92" s="47">
        <f t="array" ref="DX92">IF(AND(ISNUMBER(MATCH(DX$2, AsistenciaJetAdminConcatenada!$A:$A, 0)), ISNUMBER(MATCH(DX$1, AsistenciaJetAdminConcatenada!$B:$B, 0)), ISNUMBER(SEARCH($A92,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ISNUMBER(SEARCH($A92, INDEX(AsistenciaJetAdminConcatenada!$D:$D, MATCH(1, (AsistenciaJetAdminConcatenada!$A:$A=DX$2)*(AsistenciaJetAdminConcatenada!$B:$B=DX$1), 0)), 1))),  0.5, 0))</f>
        <v>0</v>
      </c>
      <c r="DY92" s="47">
        <f t="array" ref="DY92">IF(AND(ISNUMBER(MATCH(DY$2, AsistenciaJetAdminConcatenada!$A:$A, 0)), ISNUMBER(MATCH(DY$1, AsistenciaJetAdminConcatenada!$B:$B, 0)), ISNUMBER(SEARCH($A92,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ISNUMBER(SEARCH($A92, INDEX(AsistenciaJetAdminConcatenada!$D:$D, MATCH(1, (AsistenciaJetAdminConcatenada!$A:$A=DY$2)*(AsistenciaJetAdminConcatenada!$B:$B=DY$1), 0)), 1))),  0.5, 0))</f>
        <v>0</v>
      </c>
      <c r="DZ92" s="47">
        <f t="array" ref="DZ92">IF(AND(ISNUMBER(MATCH(DZ$2, AsistenciaJetAdminConcatenada!$A:$A, 0)), ISNUMBER(MATCH(DZ$1, AsistenciaJetAdminConcatenada!$B:$B, 0)), ISNUMBER(SEARCH($A92,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ISNUMBER(SEARCH($A92, INDEX(AsistenciaJetAdminConcatenada!$D:$D, MATCH(1, (AsistenciaJetAdminConcatenada!$A:$A=DZ$2)*(AsistenciaJetAdminConcatenada!$B:$B=DZ$1), 0)), 1))),  0.5, 0))</f>
        <v>0</v>
      </c>
      <c r="EA92" s="47">
        <f t="array" ref="EA92">IF(AND(ISNUMBER(MATCH(EA$2, AsistenciaJetAdminConcatenada!$A:$A, 0)), ISNUMBER(MATCH(EA$1, AsistenciaJetAdminConcatenada!$B:$B, 0)), ISNUMBER(SEARCH($A92,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ISNUMBER(SEARCH($A92, INDEX(AsistenciaJetAdminConcatenada!$D:$D, MATCH(1, (AsistenciaJetAdminConcatenada!$A:$A=EA$2)*(AsistenciaJetAdminConcatenada!$B:$B=EA$1), 0)), 1))),  0.5, 0))</f>
        <v>0</v>
      </c>
      <c r="EB92" s="47">
        <f t="array" ref="EB92">IF(AND(ISNUMBER(MATCH(EB$2, AsistenciaJetAdminConcatenada!$A:$A, 0)), ISNUMBER(MATCH(EB$1, AsistenciaJetAdminConcatenada!$B:$B, 0)), ISNUMBER(SEARCH($A92,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ISNUMBER(SEARCH($A92, INDEX(AsistenciaJetAdminConcatenada!$D:$D, MATCH(1, (AsistenciaJetAdminConcatenada!$A:$A=EB$2)*(AsistenciaJetAdminConcatenada!$B:$B=EB$1), 0)), 1))),  0.5, 0))</f>
        <v>0</v>
      </c>
      <c r="EC92" s="47">
        <f t="array" ref="EC92">IF(AND(ISNUMBER(MATCH(EC$2, AsistenciaJetAdminConcatenada!$A:$A, 0)), ISNUMBER(MATCH(EC$1, AsistenciaJetAdminConcatenada!$B:$B, 0)), ISNUMBER(SEARCH($A92,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ISNUMBER(SEARCH($A92, INDEX(AsistenciaJetAdminConcatenada!$D:$D, MATCH(1, (AsistenciaJetAdminConcatenada!$A:$A=EC$2)*(AsistenciaJetAdminConcatenada!$B:$B=EC$1), 0)), 1))),  0.5, 0))</f>
        <v>0</v>
      </c>
      <c r="ED92" s="47">
        <f t="array" ref="ED92">IF(AND(ISNUMBER(MATCH(ED$2, AsistenciaJetAdminConcatenada!$A:$A, 0)), ISNUMBER(MATCH(ED$1, AsistenciaJetAdminConcatenada!$B:$B, 0)), ISNUMBER(SEARCH($A92,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ISNUMBER(SEARCH($A92, INDEX(AsistenciaJetAdminConcatenada!$D:$D, MATCH(1, (AsistenciaJetAdminConcatenada!$A:$A=ED$2)*(AsistenciaJetAdminConcatenada!$B:$B=ED$1), 0)), 1))),  0.5, 0))</f>
        <v>0</v>
      </c>
      <c r="EE92" s="47">
        <f t="array" ref="EE92">IF(AND(ISNUMBER(MATCH(EE$2, AsistenciaJetAdminConcatenada!$A:$A, 0)), ISNUMBER(MATCH(EE$1, AsistenciaJetAdminConcatenada!$B:$B, 0)), ISNUMBER(SEARCH($A92,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ISNUMBER(SEARCH($A92, INDEX(AsistenciaJetAdminConcatenada!$D:$D, MATCH(1, (AsistenciaJetAdminConcatenada!$A:$A=EE$2)*(AsistenciaJetAdminConcatenada!$B:$B=EE$1), 0)), 1))),  0.5, 0))</f>
        <v>0</v>
      </c>
      <c r="EF92" s="47">
        <f t="array" ref="EF92">IF(AND(ISNUMBER(MATCH(EF$2, AsistenciaJetAdminConcatenada!$A:$A, 0)), ISNUMBER(MATCH(EF$1, AsistenciaJetAdminConcatenada!$B:$B, 0)), ISNUMBER(SEARCH($A92,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ISNUMBER(SEARCH($A92, INDEX(AsistenciaJetAdminConcatenada!$D:$D, MATCH(1, (AsistenciaJetAdminConcatenada!$A:$A=EF$2)*(AsistenciaJetAdminConcatenada!$B:$B=EF$1), 0)), 1))),  0.5, 0))</f>
        <v>0</v>
      </c>
      <c r="EG92" s="47">
        <f t="array" ref="EG92">IF(AND(ISNUMBER(MATCH(EG$2, AsistenciaJetAdminConcatenada!$A:$A, 0)), ISNUMBER(MATCH(EG$1, AsistenciaJetAdminConcatenada!$B:$B, 0)), ISNUMBER(SEARCH($A92,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ISNUMBER(SEARCH($A92, INDEX(AsistenciaJetAdminConcatenada!$D:$D, MATCH(1, (AsistenciaJetAdminConcatenada!$A:$A=EG$2)*(AsistenciaJetAdminConcatenada!$B:$B=EG$1), 0)), 1))),  0.5, 0))</f>
        <v>0</v>
      </c>
      <c r="EH92" s="47">
        <f t="array" ref="EH92">IF(AND(ISNUMBER(MATCH(EH$2, AsistenciaJetAdminConcatenada!$A:$A, 0)), ISNUMBER(MATCH(EH$1, AsistenciaJetAdminConcatenada!$B:$B, 0)), ISNUMBER(SEARCH($A92,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ISNUMBER(SEARCH($A92, INDEX(AsistenciaJetAdminConcatenada!$D:$D, MATCH(1, (AsistenciaJetAdminConcatenada!$A:$A=EH$2)*(AsistenciaJetAdminConcatenada!$B:$B=EH$1), 0)), 1))),  0.5, 0))</f>
        <v>0</v>
      </c>
      <c r="EI92" s="47">
        <f t="array" ref="EI92">IF(AND(ISNUMBER(MATCH(EI$2, AsistenciaJetAdminConcatenada!$A:$A, 0)), ISNUMBER(MATCH(EI$1, AsistenciaJetAdminConcatenada!$B:$B, 0)), ISNUMBER(SEARCH($A92,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ISNUMBER(SEARCH($A92, INDEX(AsistenciaJetAdminConcatenada!$D:$D, MATCH(1, (AsistenciaJetAdminConcatenada!$A:$A=EI$2)*(AsistenciaJetAdminConcatenada!$B:$B=EI$1), 0)), 1))),  0.5, 0))</f>
        <v>0</v>
      </c>
      <c r="EJ92" s="47">
        <f t="array" ref="EJ92">IF(AND(ISNUMBER(MATCH(EJ$2, AsistenciaJetAdminConcatenada!$A:$A, 0)), ISNUMBER(MATCH(EJ$1, AsistenciaJetAdminConcatenada!$B:$B, 0)), ISNUMBER(SEARCH($A92,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ISNUMBER(SEARCH($A92, INDEX(AsistenciaJetAdminConcatenada!$D:$D, MATCH(1, (AsistenciaJetAdminConcatenada!$A:$A=EJ$2)*(AsistenciaJetAdminConcatenada!$B:$B=EJ$1), 0)), 1))),  0.5, 0))</f>
        <v>0</v>
      </c>
      <c r="EK92" s="47">
        <f t="array" ref="EK92">IF(AND(ISNUMBER(MATCH(EK$2, AsistenciaJetAdminConcatenada!$A:$A, 0)), ISNUMBER(MATCH(EK$1, AsistenciaJetAdminConcatenada!$B:$B, 0)), ISNUMBER(SEARCH($A92,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ISNUMBER(SEARCH($A92, INDEX(AsistenciaJetAdminConcatenada!$D:$D, MATCH(1, (AsistenciaJetAdminConcatenada!$A:$A=EK$2)*(AsistenciaJetAdminConcatenada!$B:$B=EK$1), 0)), 1))),  0.5, 0))</f>
        <v>0</v>
      </c>
      <c r="EL92" s="47">
        <f t="array" ref="EL92">IF(AND(ISNUMBER(MATCH(EL$2, AsistenciaJetAdminConcatenada!$A:$A, 0)), ISNUMBER(MATCH(EL$1, AsistenciaJetAdminConcatenada!$B:$B, 0)), ISNUMBER(SEARCH($A92,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ISNUMBER(SEARCH($A92, INDEX(AsistenciaJetAdminConcatenada!$D:$D, MATCH(1, (AsistenciaJetAdminConcatenada!$A:$A=EL$2)*(AsistenciaJetAdminConcatenada!$B:$B=EL$1), 0)), 1))),  0.5, 0))</f>
        <v>0</v>
      </c>
      <c r="EM92" s="47">
        <f t="array" ref="EM92">IF(AND(ISNUMBER(MATCH(EM$2, AsistenciaJetAdminConcatenada!$A:$A, 0)), ISNUMBER(MATCH(EM$1, AsistenciaJetAdminConcatenada!$B:$B, 0)), ISNUMBER(SEARCH($A92,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ISNUMBER(SEARCH($A92, INDEX(AsistenciaJetAdminConcatenada!$D:$D, MATCH(1, (AsistenciaJetAdminConcatenada!$A:$A=EM$2)*(AsistenciaJetAdminConcatenada!$B:$B=EM$1), 0)), 1))),  0.5, 0))</f>
        <v>0</v>
      </c>
      <c r="EN92" s="47">
        <f t="array" ref="EN92">IF(AND(ISNUMBER(MATCH(EN$2, AsistenciaJetAdminConcatenada!$A:$A, 0)), ISNUMBER(MATCH(EN$1, AsistenciaJetAdminConcatenada!$B:$B, 0)), ISNUMBER(SEARCH($A92,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ISNUMBER(SEARCH($A92, INDEX(AsistenciaJetAdminConcatenada!$D:$D, MATCH(1, (AsistenciaJetAdminConcatenada!$A:$A=EN$2)*(AsistenciaJetAdminConcatenada!$B:$B=EN$1), 0)), 1))),  0.5, 0))</f>
        <v>0</v>
      </c>
      <c r="EO92" s="47">
        <f t="array" ref="EO92">IF(AND(ISNUMBER(MATCH(EO$2, AsistenciaJetAdminConcatenada!$A:$A, 0)), ISNUMBER(MATCH(EO$1, AsistenciaJetAdminConcatenada!$B:$B, 0)), ISNUMBER(SEARCH($A92,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ISNUMBER(SEARCH($A92, INDEX(AsistenciaJetAdminConcatenada!$D:$D, MATCH(1, (AsistenciaJetAdminConcatenada!$A:$A=EO$2)*(AsistenciaJetAdminConcatenada!$B:$B=EO$1), 0)), 1))),  0.5, 0))</f>
        <v>0</v>
      </c>
      <c r="EP92" s="47">
        <f t="array" ref="EP92">IF(AND(ISNUMBER(MATCH(EP$2, AsistenciaJetAdminConcatenada!$A:$A, 0)), ISNUMBER(MATCH(EP$1, AsistenciaJetAdminConcatenada!$B:$B, 0)), ISNUMBER(SEARCH($A92,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ISNUMBER(SEARCH($A92, INDEX(AsistenciaJetAdminConcatenada!$D:$D, MATCH(1, (AsistenciaJetAdminConcatenada!$A:$A=EP$2)*(AsistenciaJetAdminConcatenada!$B:$B=EP$1), 0)), 1))),  0.5, 0))</f>
        <v>0</v>
      </c>
      <c r="EQ92" s="47">
        <f t="array" ref="EQ92">IF(AND(ISNUMBER(MATCH(EQ$2, AsistenciaJetAdminConcatenada!$A:$A, 0)), ISNUMBER(MATCH(EQ$1, AsistenciaJetAdminConcatenada!$B:$B, 0)), ISNUMBER(SEARCH($A92,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ISNUMBER(SEARCH($A92, INDEX(AsistenciaJetAdminConcatenada!$D:$D, MATCH(1, (AsistenciaJetAdminConcatenada!$A:$A=EQ$2)*(AsistenciaJetAdminConcatenada!$B:$B=EQ$1), 0)), 1))),  0.5, 0))</f>
        <v>0</v>
      </c>
      <c r="ER92" s="47">
        <f t="array" ref="ER92">IF(AND(ISNUMBER(MATCH(ER$2, AsistenciaJetAdminConcatenada!$A:$A, 0)), ISNUMBER(MATCH(ER$1, AsistenciaJetAdminConcatenada!$B:$B, 0)), ISNUMBER(SEARCH($A92,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ISNUMBER(SEARCH($A92, INDEX(AsistenciaJetAdminConcatenada!$D:$D, MATCH(1, (AsistenciaJetAdminConcatenada!$A:$A=ER$2)*(AsistenciaJetAdminConcatenada!$B:$B=ER$1), 0)), 1))),  0.5, 0))</f>
        <v>0</v>
      </c>
      <c r="ES92" s="47">
        <f t="array" ref="ES92">IF(AND(ISNUMBER(MATCH(ES$2, AsistenciaJetAdminConcatenada!$A:$A, 0)), ISNUMBER(MATCH(ES$1, AsistenciaJetAdminConcatenada!$B:$B, 0)), ISNUMBER(SEARCH($A92,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ISNUMBER(SEARCH($A92, INDEX(AsistenciaJetAdminConcatenada!$D:$D, MATCH(1, (AsistenciaJetAdminConcatenada!$A:$A=ES$2)*(AsistenciaJetAdminConcatenada!$B:$B=ES$1), 0)), 1))),  0.5, 0))</f>
        <v>0</v>
      </c>
      <c r="ET92" s="47">
        <f t="array" ref="ET92">IF(AND(ISNUMBER(MATCH(ET$2, AsistenciaJetAdminConcatenada!$A:$A, 0)), ISNUMBER(MATCH(ET$1, AsistenciaJetAdminConcatenada!$B:$B, 0)), ISNUMBER(SEARCH($A92,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ISNUMBER(SEARCH($A92, INDEX(AsistenciaJetAdminConcatenada!$D:$D, MATCH(1, (AsistenciaJetAdminConcatenada!$A:$A=ET$2)*(AsistenciaJetAdminConcatenada!$B:$B=ET$1), 0)), 1))),  0.5, 0))</f>
        <v>0</v>
      </c>
      <c r="EU92" s="47">
        <f t="array" ref="EU92">IF(AND(ISNUMBER(MATCH(EU$2, AsistenciaJetAdminConcatenada!$A:$A, 0)), ISNUMBER(MATCH(EU$1, AsistenciaJetAdminConcatenada!$B:$B, 0)), ISNUMBER(SEARCH($A92,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ISNUMBER(SEARCH($A92, INDEX(AsistenciaJetAdminConcatenada!$D:$D, MATCH(1, (AsistenciaJetAdminConcatenada!$A:$A=EU$2)*(AsistenciaJetAdminConcatenada!$B:$B=EU$1), 0)), 1))),  0.5, 0))</f>
        <v>0</v>
      </c>
      <c r="EV92" s="47">
        <f t="array" ref="EV92">IF(AND(ISNUMBER(MATCH(EV$2, AsistenciaJetAdminConcatenada!$A:$A, 0)), ISNUMBER(MATCH(EV$1, AsistenciaJetAdminConcatenada!$B:$B, 0)), ISNUMBER(SEARCH($A92,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ISNUMBER(SEARCH($A92, INDEX(AsistenciaJetAdminConcatenada!$D:$D, MATCH(1, (AsistenciaJetAdminConcatenada!$A:$A=EV$2)*(AsistenciaJetAdminConcatenada!$B:$B=EV$1), 0)), 1))),  0.5, 0))</f>
        <v>0</v>
      </c>
      <c r="EW92" s="47">
        <f t="array" ref="EW92">IF(AND(ISNUMBER(MATCH(EW$2, AsistenciaJetAdminConcatenada!$A:$A, 0)), ISNUMBER(MATCH(EW$1, AsistenciaJetAdminConcatenada!$B:$B, 0)), ISNUMBER(SEARCH($A92,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ISNUMBER(SEARCH($A92, INDEX(AsistenciaJetAdminConcatenada!$D:$D, MATCH(1, (AsistenciaJetAdminConcatenada!$A:$A=EW$2)*(AsistenciaJetAdminConcatenada!$B:$B=EW$1), 0)), 1))),  0.5, 0))</f>
        <v>0</v>
      </c>
      <c r="EX92" s="47">
        <f t="array" ref="EX92">IF(AND(ISNUMBER(MATCH(EX$2, AsistenciaJetAdminConcatenada!$A:$A, 0)), ISNUMBER(MATCH(EX$1, AsistenciaJetAdminConcatenada!$B:$B, 0)), ISNUMBER(SEARCH($A92,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ISNUMBER(SEARCH($A92, INDEX(AsistenciaJetAdminConcatenada!$D:$D, MATCH(1, (AsistenciaJetAdminConcatenada!$A:$A=EX$2)*(AsistenciaJetAdminConcatenada!$B:$B=EX$1), 0)), 1))),  0.5, 0))</f>
        <v>0</v>
      </c>
      <c r="EY92" s="47">
        <f t="array" ref="EY92">IF(AND(ISNUMBER(MATCH(EY$2, AsistenciaJetAdminConcatenada!$A:$A, 0)), ISNUMBER(MATCH(EY$1, AsistenciaJetAdminConcatenada!$B:$B, 0)), ISNUMBER(SEARCH($A92,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ISNUMBER(SEARCH($A92, INDEX(AsistenciaJetAdminConcatenada!$D:$D, MATCH(1, (AsistenciaJetAdminConcatenada!$A:$A=EY$2)*(AsistenciaJetAdminConcatenada!$B:$B=EY$1), 0)), 1))),  0.5, 0))</f>
        <v>0</v>
      </c>
      <c r="EZ92" s="47">
        <f t="array" ref="EZ92">IF(AND(ISNUMBER(MATCH(EZ$2, AsistenciaJetAdminConcatenada!$A:$A, 0)), ISNUMBER(MATCH(EZ$1, AsistenciaJetAdminConcatenada!$B:$B, 0)), ISNUMBER(SEARCH($A92,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ISNUMBER(SEARCH($A92, INDEX(AsistenciaJetAdminConcatenada!$D:$D, MATCH(1, (AsistenciaJetAdminConcatenada!$A:$A=EZ$2)*(AsistenciaJetAdminConcatenada!$B:$B=EZ$1), 0)), 1))),  0.5, 0))</f>
        <v>0</v>
      </c>
      <c r="FA92" s="47">
        <f t="array" ref="FA92">IF(AND(ISNUMBER(MATCH(FA$2, AsistenciaJetAdminConcatenada!$A:$A, 0)), ISNUMBER(MATCH(FA$1, AsistenciaJetAdminConcatenada!$B:$B, 0)), ISNUMBER(SEARCH($A92,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ISNUMBER(SEARCH($A92, INDEX(AsistenciaJetAdminConcatenada!$D:$D, MATCH(1, (AsistenciaJetAdminConcatenada!$A:$A=FA$2)*(AsistenciaJetAdminConcatenada!$B:$B=FA$1), 0)), 1))),  0.5, 0))</f>
        <v>0</v>
      </c>
      <c r="FB92" s="47">
        <f t="array" ref="FB92">IF(AND(ISNUMBER(MATCH(FB$2, AsistenciaJetAdminConcatenada!$A:$A, 0)), ISNUMBER(MATCH(FB$1, AsistenciaJetAdminConcatenada!$B:$B, 0)), ISNUMBER(SEARCH($A92,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ISNUMBER(SEARCH($A92, INDEX(AsistenciaJetAdminConcatenada!$D:$D, MATCH(1, (AsistenciaJetAdminConcatenada!$A:$A=FB$2)*(AsistenciaJetAdminConcatenada!$B:$B=FB$1), 0)), 1))),  0.5, 0))</f>
        <v>0</v>
      </c>
      <c r="FC92" s="47">
        <f t="array" ref="FC92">IF(AND(ISNUMBER(MATCH(FC$2, AsistenciaJetAdminConcatenada!$A:$A, 0)), ISNUMBER(MATCH(FC$1, AsistenciaJetAdminConcatenada!$B:$B, 0)), ISNUMBER(SEARCH($A92,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ISNUMBER(SEARCH($A92, INDEX(AsistenciaJetAdminConcatenada!$D:$D, MATCH(1, (AsistenciaJetAdminConcatenada!$A:$A=FC$2)*(AsistenciaJetAdminConcatenada!$B:$B=FC$1), 0)), 1))),  0.5, 0))</f>
        <v>0</v>
      </c>
      <c r="FD92" s="47">
        <f t="array" ref="FD92">IF(AND(ISNUMBER(MATCH(FD$2, AsistenciaJetAdminConcatenada!$A:$A, 0)), ISNUMBER(MATCH(FD$1, AsistenciaJetAdminConcatenada!$B:$B, 0)), ISNUMBER(SEARCH($A92,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ISNUMBER(SEARCH($A92, INDEX(AsistenciaJetAdminConcatenada!$D:$D, MATCH(1, (AsistenciaJetAdminConcatenada!$A:$A=FD$2)*(AsistenciaJetAdminConcatenada!$B:$B=FD$1), 0)), 1))),  0.5, 0))</f>
        <v>0</v>
      </c>
      <c r="FE92" s="47">
        <f t="array" ref="FE92">IF(AND(ISNUMBER(MATCH(FE$2, AsistenciaJetAdminConcatenada!$A:$A, 0)), ISNUMBER(MATCH(FE$1, AsistenciaJetAdminConcatenada!$B:$B, 0)), ISNUMBER(SEARCH($A92,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ISNUMBER(SEARCH($A92, INDEX(AsistenciaJetAdminConcatenada!$D:$D, MATCH(1, (AsistenciaJetAdminConcatenada!$A:$A=FE$2)*(AsistenciaJetAdminConcatenada!$B:$B=FE$1), 0)), 1))),  0.5, 0))</f>
        <v>0</v>
      </c>
      <c r="FF92" s="47">
        <f t="array" ref="FF92">IF(AND(ISNUMBER(MATCH(FF$2, AsistenciaJetAdminConcatenada!$A:$A, 0)), ISNUMBER(MATCH(FF$1, AsistenciaJetAdminConcatenada!$B:$B, 0)), ISNUMBER(SEARCH($A92,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ISNUMBER(SEARCH($A92, INDEX(AsistenciaJetAdminConcatenada!$D:$D, MATCH(1, (AsistenciaJetAdminConcatenada!$A:$A=FF$2)*(AsistenciaJetAdminConcatenada!$B:$B=FF$1), 0)), 1))),  0.5, 0))</f>
        <v>0</v>
      </c>
      <c r="FG92" s="47">
        <f t="array" ref="FG92">IF(AND(ISNUMBER(MATCH(FG$2, AsistenciaJetAdminConcatenada!$A:$A, 0)), ISNUMBER(MATCH(FG$1, AsistenciaJetAdminConcatenada!$B:$B, 0)), ISNUMBER(SEARCH($A92,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ISNUMBER(SEARCH($A92, INDEX(AsistenciaJetAdminConcatenada!$D:$D, MATCH(1, (AsistenciaJetAdminConcatenada!$A:$A=FG$2)*(AsistenciaJetAdminConcatenada!$B:$B=FG$1), 0)), 1))),  0.5, 0))</f>
        <v>0</v>
      </c>
      <c r="FH92" s="47">
        <f t="array" ref="FH92">IF(AND(ISNUMBER(MATCH(FH$2, AsistenciaJetAdminConcatenada!$A:$A, 0)), ISNUMBER(MATCH(FH$1, AsistenciaJetAdminConcatenada!$B:$B, 0)), ISNUMBER(SEARCH($A92,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ISNUMBER(SEARCH($A92, INDEX(AsistenciaJetAdminConcatenada!$D:$D, MATCH(1, (AsistenciaJetAdminConcatenada!$A:$A=FH$2)*(AsistenciaJetAdminConcatenada!$B:$B=FH$1), 0)), 1))),  0.5, 0))</f>
        <v>0</v>
      </c>
      <c r="FI92" s="47">
        <f t="array" ref="FI92">IF(AND(ISNUMBER(MATCH(FI$2, AsistenciaJetAdminConcatenada!$A:$A, 0)), ISNUMBER(MATCH(FI$1, AsistenciaJetAdminConcatenada!$B:$B, 0)), ISNUMBER(SEARCH($A92,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ISNUMBER(SEARCH($A92, INDEX(AsistenciaJetAdminConcatenada!$D:$D, MATCH(1, (AsistenciaJetAdminConcatenada!$A:$A=FI$2)*(AsistenciaJetAdminConcatenada!$B:$B=FI$1), 0)), 1))),  0.5, 0))</f>
        <v>0</v>
      </c>
      <c r="FJ92" s="47">
        <f t="array" ref="FJ92">IF(AND(ISNUMBER(MATCH(FJ$2, AsistenciaJetAdminConcatenada!$A:$A, 0)), ISNUMBER(MATCH(FJ$1, AsistenciaJetAdminConcatenada!$B:$B, 0)), ISNUMBER(SEARCH($A92,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ISNUMBER(SEARCH($A92, INDEX(AsistenciaJetAdminConcatenada!$D:$D, MATCH(1, (AsistenciaJetAdminConcatenada!$A:$A=FJ$2)*(AsistenciaJetAdminConcatenada!$B:$B=FJ$1), 0)), 1))),  0.5, 0))</f>
        <v>0</v>
      </c>
      <c r="FK92" s="47">
        <f t="array" ref="FK92">IF(AND(ISNUMBER(MATCH(FK$2, AsistenciaJetAdminConcatenada!$A:$A, 0)), ISNUMBER(MATCH(FK$1, AsistenciaJetAdminConcatenada!$B:$B, 0)), ISNUMBER(SEARCH($A92,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ISNUMBER(SEARCH($A92, INDEX(AsistenciaJetAdminConcatenada!$D:$D, MATCH(1, (AsistenciaJetAdminConcatenada!$A:$A=FK$2)*(AsistenciaJetAdminConcatenada!$B:$B=FK$1), 0)), 1))),  0.5, 0))</f>
        <v>0</v>
      </c>
      <c r="FL92" s="47">
        <f t="array" ref="FL92">IF(AND(ISNUMBER(MATCH(FL$2, AsistenciaJetAdminConcatenada!$A:$A, 0)), ISNUMBER(MATCH(FL$1, AsistenciaJetAdminConcatenada!$B:$B, 0)), ISNUMBER(SEARCH($A92,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ISNUMBER(SEARCH($A92, INDEX(AsistenciaJetAdminConcatenada!$D:$D, MATCH(1, (AsistenciaJetAdminConcatenada!$A:$A=FL$2)*(AsistenciaJetAdminConcatenada!$B:$B=FL$1), 0)), 1))),  0.5, 0))</f>
        <v>0</v>
      </c>
      <c r="FM92" s="47">
        <f t="array" ref="FM92">IF(AND(ISNUMBER(MATCH(FM$2, AsistenciaJetAdminConcatenada!$A:$A, 0)), ISNUMBER(MATCH(FM$1, AsistenciaJetAdminConcatenada!$B:$B, 0)), ISNUMBER(SEARCH($A92,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ISNUMBER(SEARCH($A92, INDEX(AsistenciaJetAdminConcatenada!$D:$D, MATCH(1, (AsistenciaJetAdminConcatenada!$A:$A=FM$2)*(AsistenciaJetAdminConcatenada!$B:$B=FM$1), 0)), 1))),  0.5, 0))</f>
        <v>0</v>
      </c>
      <c r="FN92" s="47">
        <f t="array" ref="FN92">IF(AND(ISNUMBER(MATCH(FN$2, AsistenciaJetAdminConcatenada!$A:$A, 0)), ISNUMBER(MATCH(FN$1, AsistenciaJetAdminConcatenada!$B:$B, 0)), ISNUMBER(SEARCH($A92,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ISNUMBER(SEARCH($A92, INDEX(AsistenciaJetAdminConcatenada!$D:$D, MATCH(1, (AsistenciaJetAdminConcatenada!$A:$A=FN$2)*(AsistenciaJetAdminConcatenada!$B:$B=FN$1), 0)), 1))),  0.5, 0))</f>
        <v>0</v>
      </c>
      <c r="FO92" s="47">
        <f t="array" ref="FO92">IF(AND(ISNUMBER(MATCH(FO$2, AsistenciaJetAdminConcatenada!$A:$A, 0)), ISNUMBER(MATCH(FO$1, AsistenciaJetAdminConcatenada!$B:$B, 0)), ISNUMBER(SEARCH($A92,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ISNUMBER(SEARCH($A92, INDEX(AsistenciaJetAdminConcatenada!$D:$D, MATCH(1, (AsistenciaJetAdminConcatenada!$A:$A=FO$2)*(AsistenciaJetAdminConcatenada!$B:$B=FO$1), 0)), 1))),  0.5, 0))</f>
        <v>0</v>
      </c>
      <c r="FP92" s="47">
        <f t="array" ref="FP92">IF(AND(ISNUMBER(MATCH(FP$2, AsistenciaJetAdminConcatenada!$A:$A, 0)), ISNUMBER(MATCH(FP$1, AsistenciaJetAdminConcatenada!$B:$B, 0)), ISNUMBER(SEARCH($A92,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ISNUMBER(SEARCH($A92, INDEX(AsistenciaJetAdminConcatenada!$D:$D, MATCH(1, (AsistenciaJetAdminConcatenada!$A:$A=FP$2)*(AsistenciaJetAdminConcatenada!$B:$B=FP$1), 0)), 1))),  0.5, 0))</f>
        <v>0</v>
      </c>
      <c r="FQ92" s="47">
        <f t="array" ref="FQ92">IF(AND(ISNUMBER(MATCH(FQ$2, AsistenciaJetAdminConcatenada!$A:$A, 0)), ISNUMBER(MATCH(FQ$1, AsistenciaJetAdminConcatenada!$B:$B, 0)), ISNUMBER(SEARCH($A92,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ISNUMBER(SEARCH($A92, INDEX(AsistenciaJetAdminConcatenada!$D:$D, MATCH(1, (AsistenciaJetAdminConcatenada!$A:$A=FQ$2)*(AsistenciaJetAdminConcatenada!$B:$B=FQ$1), 0)), 1))),  0.5, 0))</f>
        <v>0</v>
      </c>
      <c r="FR92" s="47">
        <f t="array" ref="FR92">IF(AND(ISNUMBER(MATCH(FR$2, AsistenciaJetAdminConcatenada!$A:$A, 0)), ISNUMBER(MATCH(FR$1, AsistenciaJetAdminConcatenada!$B:$B, 0)), ISNUMBER(SEARCH($A92,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ISNUMBER(SEARCH($A92, INDEX(AsistenciaJetAdminConcatenada!$D:$D, MATCH(1, (AsistenciaJetAdminConcatenada!$A:$A=FR$2)*(AsistenciaJetAdminConcatenada!$B:$B=FR$1), 0)), 1))),  0.5, 0))</f>
        <v>0</v>
      </c>
      <c r="FS92" s="47">
        <f t="array" ref="FS92">IF(AND(ISNUMBER(MATCH(FS$2, AsistenciaJetAdminConcatenada!$A:$A, 0)), ISNUMBER(MATCH(FS$1, AsistenciaJetAdminConcatenada!$B:$B, 0)), ISNUMBER(SEARCH($A92,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ISNUMBER(SEARCH($A92, INDEX(AsistenciaJetAdminConcatenada!$D:$D, MATCH(1, (AsistenciaJetAdminConcatenada!$A:$A=FS$2)*(AsistenciaJetAdminConcatenada!$B:$B=FS$1), 0)), 1))),  0.5, 0))</f>
        <v>0</v>
      </c>
      <c r="FT92" s="47">
        <f t="array" ref="FT92">IF(AND(ISNUMBER(MATCH(FT$2, AsistenciaJetAdminConcatenada!$A:$A, 0)), ISNUMBER(MATCH(FT$1, AsistenciaJetAdminConcatenada!$B:$B, 0)), ISNUMBER(SEARCH($A92,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ISNUMBER(SEARCH($A92, INDEX(AsistenciaJetAdminConcatenada!$D:$D, MATCH(1, (AsistenciaJetAdminConcatenada!$A:$A=FT$2)*(AsistenciaJetAdminConcatenada!$B:$B=FT$1), 0)), 1))),  0.5, 0))</f>
        <v>0</v>
      </c>
      <c r="FU92" s="47">
        <f t="array" ref="FU92">IF(AND(ISNUMBER(MATCH(FU$2, AsistenciaJetAdminConcatenada!$A:$A, 0)), ISNUMBER(MATCH(FU$1, AsistenciaJetAdminConcatenada!$B:$B, 0)), ISNUMBER(SEARCH($A92,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ISNUMBER(SEARCH($A92, INDEX(AsistenciaJetAdminConcatenada!$D:$D, MATCH(1, (AsistenciaJetAdminConcatenada!$A:$A=FU$2)*(AsistenciaJetAdminConcatenada!$B:$B=FU$1), 0)), 1))),  0.5, 0))</f>
        <v>0</v>
      </c>
      <c r="FV92" s="47">
        <f t="array" ref="FV92">IF(AND(ISNUMBER(MATCH(FV$2, AsistenciaJetAdminConcatenada!$A:$A, 0)), ISNUMBER(MATCH(FV$1, AsistenciaJetAdminConcatenada!$B:$B, 0)), ISNUMBER(SEARCH($A92,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ISNUMBER(SEARCH($A92, INDEX(AsistenciaJetAdminConcatenada!$D:$D, MATCH(1, (AsistenciaJetAdminConcatenada!$A:$A=FV$2)*(AsistenciaJetAdminConcatenada!$B:$B=FV$1), 0)), 1))),  0.5, 0))</f>
        <v>0</v>
      </c>
      <c r="FW92" s="47">
        <f t="array" ref="FW92">IF(AND(ISNUMBER(MATCH(FW$2, AsistenciaJetAdminConcatenada!$A:$A, 0)), ISNUMBER(MATCH(FW$1, AsistenciaJetAdminConcatenada!$B:$B, 0)), ISNUMBER(SEARCH($A92,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ISNUMBER(SEARCH($A92, INDEX(AsistenciaJetAdminConcatenada!$D:$D, MATCH(1, (AsistenciaJetAdminConcatenada!$A:$A=FW$2)*(AsistenciaJetAdminConcatenada!$B:$B=FW$1), 0)), 1))),  0.5, 0))</f>
        <v>0</v>
      </c>
      <c r="FX92" s="47">
        <f t="array" ref="FX92">IF(AND(ISNUMBER(MATCH(FX$2, AsistenciaJetAdminConcatenada!$A:$A, 0)), ISNUMBER(MATCH(FX$1, AsistenciaJetAdminConcatenada!$B:$B, 0)), ISNUMBER(SEARCH($A92,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ISNUMBER(SEARCH($A92, INDEX(AsistenciaJetAdminConcatenada!$D:$D, MATCH(1, (AsistenciaJetAdminConcatenada!$A:$A=FX$2)*(AsistenciaJetAdminConcatenada!$B:$B=FX$1), 0)), 1))),  0.5, 0))</f>
        <v>0</v>
      </c>
      <c r="FY92" s="47">
        <f t="array" ref="FY92">IF(AND(ISNUMBER(MATCH(FY$2, AsistenciaJetAdminConcatenada!$A:$A, 0)), ISNUMBER(MATCH(FY$1, AsistenciaJetAdminConcatenada!$B:$B, 0)), ISNUMBER(SEARCH($A92,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ISNUMBER(SEARCH($A92, INDEX(AsistenciaJetAdminConcatenada!$D:$D, MATCH(1, (AsistenciaJetAdminConcatenada!$A:$A=FY$2)*(AsistenciaJetAdminConcatenada!$B:$B=FY$1), 0)), 1))),  0.5, 0))</f>
        <v>0</v>
      </c>
      <c r="FZ92" s="47">
        <f t="array" ref="FZ92">IF(AND(ISNUMBER(MATCH(FZ$2, AsistenciaJetAdminConcatenada!$A:$A, 0)), ISNUMBER(MATCH(FZ$1, AsistenciaJetAdminConcatenada!$B:$B, 0)), ISNUMBER(SEARCH($A92,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ISNUMBER(SEARCH($A92, INDEX(AsistenciaJetAdminConcatenada!$D:$D, MATCH(1, (AsistenciaJetAdminConcatenada!$A:$A=FZ$2)*(AsistenciaJetAdminConcatenada!$B:$B=FZ$1), 0)), 1))),  0.5, 0))</f>
        <v>0</v>
      </c>
      <c r="GA92" s="47">
        <f t="array" ref="GA92">IF(AND(ISNUMBER(MATCH(GA$2, AsistenciaJetAdminConcatenada!$A:$A, 0)), ISNUMBER(MATCH(GA$1, AsistenciaJetAdminConcatenada!$B:$B, 0)), ISNUMBER(SEARCH($A92,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ISNUMBER(SEARCH($A92, INDEX(AsistenciaJetAdminConcatenada!$D:$D, MATCH(1, (AsistenciaJetAdminConcatenada!$A:$A=GA$2)*(AsistenciaJetAdminConcatenada!$B:$B=GA$1), 0)), 1))),  0.5, 0))</f>
        <v>0</v>
      </c>
      <c r="GB92" s="47">
        <f t="array" ref="GB92">IF(AND(ISNUMBER(MATCH(GB$2, AsistenciaJetAdminConcatenada!$A:$A, 0)), ISNUMBER(MATCH(GB$1, AsistenciaJetAdminConcatenada!$B:$B, 0)), ISNUMBER(SEARCH($A92,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ISNUMBER(SEARCH($A92, INDEX(AsistenciaJetAdminConcatenada!$D:$D, MATCH(1, (AsistenciaJetAdminConcatenada!$A:$A=GB$2)*(AsistenciaJetAdminConcatenada!$B:$B=GB$1), 0)), 1))),  0.5, 0))</f>
        <v>0</v>
      </c>
      <c r="GC92" s="47">
        <f t="array" ref="GC92">IF(AND(ISNUMBER(MATCH(GC$2, AsistenciaJetAdminConcatenada!$A:$A, 0)), ISNUMBER(MATCH(GC$1, AsistenciaJetAdminConcatenada!$B:$B, 0)), ISNUMBER(SEARCH($A92,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ISNUMBER(SEARCH($A92, INDEX(AsistenciaJetAdminConcatenada!$D:$D, MATCH(1, (AsistenciaJetAdminConcatenada!$A:$A=GC$2)*(AsistenciaJetAdminConcatenada!$B:$B=GC$1), 0)), 1))),  0.5, 0))</f>
        <v>0</v>
      </c>
      <c r="GD92" s="47">
        <f t="array" ref="GD92">IF(AND(ISNUMBER(MATCH(GD$2, AsistenciaJetAdminConcatenada!$A:$A, 0)), ISNUMBER(MATCH(GD$1, AsistenciaJetAdminConcatenada!$B:$B, 0)), ISNUMBER(SEARCH($A92,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ISNUMBER(SEARCH($A92, INDEX(AsistenciaJetAdminConcatenada!$D:$D, MATCH(1, (AsistenciaJetAdminConcatenada!$A:$A=GD$2)*(AsistenciaJetAdminConcatenada!$B:$B=GD$1), 0)), 1))),  0.5, 0))</f>
        <v>0</v>
      </c>
      <c r="GE92" s="47">
        <f t="array" ref="GE92">IF(AND(ISNUMBER(MATCH(GE$2, AsistenciaJetAdminConcatenada!$A:$A, 0)), ISNUMBER(MATCH(GE$1, AsistenciaJetAdminConcatenada!$B:$B, 0)), ISNUMBER(SEARCH($A92,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ISNUMBER(SEARCH($A92, INDEX(AsistenciaJetAdminConcatenada!$D:$D, MATCH(1, (AsistenciaJetAdminConcatenada!$A:$A=GE$2)*(AsistenciaJetAdminConcatenada!$B:$B=GE$1), 0)), 1))),  0.5, 0))</f>
        <v>0</v>
      </c>
      <c r="GF92" s="47">
        <f t="array" ref="GF92">IF(AND(ISNUMBER(MATCH(GF$2, AsistenciaJetAdminConcatenada!$A:$A, 0)), ISNUMBER(MATCH(GF$1, AsistenciaJetAdminConcatenada!$B:$B, 0)), ISNUMBER(SEARCH($A92,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ISNUMBER(SEARCH($A92, INDEX(AsistenciaJetAdminConcatenada!$D:$D, MATCH(1, (AsistenciaJetAdminConcatenada!$A:$A=GF$2)*(AsistenciaJetAdminConcatenada!$B:$B=GF$1), 0)), 1))),  0.5, 0))</f>
        <v>0</v>
      </c>
      <c r="GG92" s="47">
        <f t="array" ref="GG92">IF(AND(ISNUMBER(MATCH(GG$2, AsistenciaJetAdminConcatenada!$A:$A, 0)), ISNUMBER(MATCH(GG$1, AsistenciaJetAdminConcatenada!$B:$B, 0)), ISNUMBER(SEARCH($A92,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ISNUMBER(SEARCH($A92, INDEX(AsistenciaJetAdminConcatenada!$D:$D, MATCH(1, (AsistenciaJetAdminConcatenada!$A:$A=GG$2)*(AsistenciaJetAdminConcatenada!$B:$B=GG$1), 0)), 1))),  0.5, 0))</f>
        <v>0</v>
      </c>
      <c r="GH92" s="47">
        <f t="array" ref="GH92">IF(AND(ISNUMBER(MATCH(GH$2, AsistenciaJetAdminConcatenada!$A:$A, 0)), ISNUMBER(MATCH(GH$1, AsistenciaJetAdminConcatenada!$B:$B, 0)), ISNUMBER(SEARCH($A92,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ISNUMBER(SEARCH($A92, INDEX(AsistenciaJetAdminConcatenada!$D:$D, MATCH(1, (AsistenciaJetAdminConcatenada!$A:$A=GH$2)*(AsistenciaJetAdminConcatenada!$B:$B=GH$1), 0)), 1))),  0.5, 0))</f>
        <v>0</v>
      </c>
      <c r="GI92" s="47">
        <f t="array" ref="GI92">IF(AND(ISNUMBER(MATCH(GI$2, AsistenciaJetAdminConcatenada!$A:$A, 0)), ISNUMBER(MATCH(GI$1, AsistenciaJetAdminConcatenada!$B:$B, 0)), ISNUMBER(SEARCH($A92,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ISNUMBER(SEARCH($A92, INDEX(AsistenciaJetAdminConcatenada!$D:$D, MATCH(1, (AsistenciaJetAdminConcatenada!$A:$A=GI$2)*(AsistenciaJetAdminConcatenada!$B:$B=GI$1), 0)), 1))),  0.5, 0))</f>
        <v>0</v>
      </c>
      <c r="GJ92" s="47">
        <f t="array" ref="GJ92">IF(AND(ISNUMBER(MATCH(GJ$2, AsistenciaJetAdminConcatenada!$A:$A, 0)), ISNUMBER(MATCH(GJ$1, AsistenciaJetAdminConcatenada!$B:$B, 0)), ISNUMBER(SEARCH($A92,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ISNUMBER(SEARCH($A92, INDEX(AsistenciaJetAdminConcatenada!$D:$D, MATCH(1, (AsistenciaJetAdminConcatenada!$A:$A=GJ$2)*(AsistenciaJetAdminConcatenada!$B:$B=GJ$1), 0)), 1))),  0.5, 0))</f>
        <v>0</v>
      </c>
      <c r="GK92" s="47">
        <f t="array" ref="GK92">IF(AND(ISNUMBER(MATCH(GK$2, AsistenciaJetAdminConcatenada!$A:$A, 0)), ISNUMBER(MATCH(GK$1, AsistenciaJetAdminConcatenada!$B:$B, 0)), ISNUMBER(SEARCH($A92,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ISNUMBER(SEARCH($A92, INDEX(AsistenciaJetAdminConcatenada!$D:$D, MATCH(1, (AsistenciaJetAdminConcatenada!$A:$A=GK$2)*(AsistenciaJetAdminConcatenada!$B:$B=GK$1), 0)), 1))),  0.5, 0))</f>
        <v>0</v>
      </c>
      <c r="GL92" s="47">
        <f t="array" ref="GL92">IF(AND(ISNUMBER(MATCH(GL$2, AsistenciaJetAdminConcatenada!$A:$A, 0)), ISNUMBER(MATCH(GL$1, AsistenciaJetAdminConcatenada!$B:$B, 0)), ISNUMBER(SEARCH($A92,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ISNUMBER(SEARCH($A92, INDEX(AsistenciaJetAdminConcatenada!$D:$D, MATCH(1, (AsistenciaJetAdminConcatenada!$A:$A=GL$2)*(AsistenciaJetAdminConcatenada!$B:$B=GL$1), 0)), 1))),  0.5, 0))</f>
        <v>0</v>
      </c>
      <c r="GM92" s="47">
        <f t="array" ref="GM92">IF(AND(ISNUMBER(MATCH(GM$2, AsistenciaJetAdminConcatenada!$A:$A, 0)), ISNUMBER(MATCH(GM$1, AsistenciaJetAdminConcatenada!$B:$B, 0)), ISNUMBER(SEARCH($A92,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ISNUMBER(SEARCH($A92, INDEX(AsistenciaJetAdminConcatenada!$D:$D, MATCH(1, (AsistenciaJetAdminConcatenada!$A:$A=GM$2)*(AsistenciaJetAdminConcatenada!$B:$B=GM$1), 0)), 1))),  0.5, 0))</f>
        <v>0</v>
      </c>
      <c r="GN92" s="47">
        <f t="array" ref="GN92">IF(AND(ISNUMBER(MATCH(GN$2, AsistenciaJetAdminConcatenada!$A:$A, 0)), ISNUMBER(MATCH(GN$1, AsistenciaJetAdminConcatenada!$B:$B, 0)), ISNUMBER(SEARCH($A92,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ISNUMBER(SEARCH($A92, INDEX(AsistenciaJetAdminConcatenada!$D:$D, MATCH(1, (AsistenciaJetAdminConcatenada!$A:$A=GN$2)*(AsistenciaJetAdminConcatenada!$B:$B=GN$1), 0)), 1))),  0.5, 0))</f>
        <v>0</v>
      </c>
      <c r="GO92" s="47">
        <f t="array" ref="GO92">IF(AND(ISNUMBER(MATCH(GO$2, AsistenciaJetAdminConcatenada!$A:$A, 0)), ISNUMBER(MATCH(GO$1, AsistenciaJetAdminConcatenada!$B:$B, 0)), ISNUMBER(SEARCH($A92,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ISNUMBER(SEARCH($A92, INDEX(AsistenciaJetAdminConcatenada!$D:$D, MATCH(1, (AsistenciaJetAdminConcatenada!$A:$A=GO$2)*(AsistenciaJetAdminConcatenada!$B:$B=GO$1), 0)), 1))),  0.5, 0))</f>
        <v>0</v>
      </c>
      <c r="GP92" s="47">
        <f t="array" ref="GP92">IF(AND(ISNUMBER(MATCH(GP$2, AsistenciaJetAdminConcatenada!$A:$A, 0)), ISNUMBER(MATCH(GP$1, AsistenciaJetAdminConcatenada!$B:$B, 0)), ISNUMBER(SEARCH($A92,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ISNUMBER(SEARCH($A92, INDEX(AsistenciaJetAdminConcatenada!$D:$D, MATCH(1, (AsistenciaJetAdminConcatenada!$A:$A=GP$2)*(AsistenciaJetAdminConcatenada!$B:$B=GP$1), 0)), 1))),  0.5, 0))</f>
        <v>0</v>
      </c>
      <c r="GQ92" s="47">
        <f t="array" ref="GQ92">IF(AND(ISNUMBER(MATCH(GQ$2, AsistenciaJetAdminConcatenada!$A:$A, 0)), ISNUMBER(MATCH(GQ$1, AsistenciaJetAdminConcatenada!$B:$B, 0)), ISNUMBER(SEARCH($A92,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ISNUMBER(SEARCH($A92, INDEX(AsistenciaJetAdminConcatenada!$D:$D, MATCH(1, (AsistenciaJetAdminConcatenada!$A:$A=GQ$2)*(AsistenciaJetAdminConcatenada!$B:$B=GQ$1), 0)), 1))),  0.5, 0))</f>
        <v>0</v>
      </c>
      <c r="GR92" s="47">
        <f t="array" ref="GR92">IF(AND(ISNUMBER(MATCH(GR$2, AsistenciaJetAdminConcatenada!$A:$A, 0)), ISNUMBER(MATCH(GR$1, AsistenciaJetAdminConcatenada!$B:$B, 0)), ISNUMBER(SEARCH($A92,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ISNUMBER(SEARCH($A92, INDEX(AsistenciaJetAdminConcatenada!$D:$D, MATCH(1, (AsistenciaJetAdminConcatenada!$A:$A=GR$2)*(AsistenciaJetAdminConcatenada!$B:$B=GR$1), 0)), 1))),  0.5, 0))</f>
        <v>0</v>
      </c>
      <c r="GS92" s="47">
        <f t="array" ref="GS92">IF(AND(ISNUMBER(MATCH(GS$2, AsistenciaJetAdminConcatenada!$A:$A, 0)), ISNUMBER(MATCH(GS$1, AsistenciaJetAdminConcatenada!$B:$B, 0)), ISNUMBER(SEARCH($A92,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ISNUMBER(SEARCH($A92, INDEX(AsistenciaJetAdminConcatenada!$D:$D, MATCH(1, (AsistenciaJetAdminConcatenada!$A:$A=GS$2)*(AsistenciaJetAdminConcatenada!$B:$B=GS$1), 0)), 1))),  0.5, 0))</f>
        <v>0</v>
      </c>
      <c r="GT92" s="47">
        <f t="array" ref="GT92">IF(AND(ISNUMBER(MATCH(GT$2, AsistenciaJetAdminConcatenada!$A:$A, 0)), ISNUMBER(MATCH(GT$1, AsistenciaJetAdminConcatenada!$B:$B, 0)), ISNUMBER(SEARCH($A92,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ISNUMBER(SEARCH($A92, INDEX(AsistenciaJetAdminConcatenada!$D:$D, MATCH(1, (AsistenciaJetAdminConcatenada!$A:$A=GT$2)*(AsistenciaJetAdminConcatenada!$B:$B=GT$1), 0)), 1))),  0.5, 0))</f>
        <v>0</v>
      </c>
      <c r="GU92" s="47">
        <f t="array" ref="GU92">IF(AND(ISNUMBER(MATCH(GU$2, AsistenciaJetAdminConcatenada!$A:$A, 0)), ISNUMBER(MATCH(GU$1, AsistenciaJetAdminConcatenada!$B:$B, 0)), ISNUMBER(SEARCH($A92,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ISNUMBER(SEARCH($A92, INDEX(AsistenciaJetAdminConcatenada!$D:$D, MATCH(1, (AsistenciaJetAdminConcatenada!$A:$A=GU$2)*(AsistenciaJetAdminConcatenada!$B:$B=GU$1), 0)), 1))),  0.5, 0))</f>
        <v>0</v>
      </c>
      <c r="GV92" s="47">
        <f t="array" ref="GV92">IF(AND(ISNUMBER(MATCH(GV$2, AsistenciaJetAdminConcatenada!$A:$A, 0)), ISNUMBER(MATCH(GV$1, AsistenciaJetAdminConcatenada!$B:$B, 0)), ISNUMBER(SEARCH($A92,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ISNUMBER(SEARCH($A92, INDEX(AsistenciaJetAdminConcatenada!$D:$D, MATCH(1, (AsistenciaJetAdminConcatenada!$A:$A=GV$2)*(AsistenciaJetAdminConcatenada!$B:$B=GV$1), 0)), 1))),  0.5, 0))</f>
        <v>0</v>
      </c>
      <c r="GW92" s="47">
        <f t="array" ref="GW92">IF(AND(ISNUMBER(MATCH(GW$2, AsistenciaJetAdminConcatenada!$A:$A, 0)), ISNUMBER(MATCH(GW$1, AsistenciaJetAdminConcatenada!$B:$B, 0)), ISNUMBER(SEARCH($A92,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ISNUMBER(SEARCH($A92, INDEX(AsistenciaJetAdminConcatenada!$D:$D, MATCH(1, (AsistenciaJetAdminConcatenada!$A:$A=GW$2)*(AsistenciaJetAdminConcatenada!$B:$B=GW$1), 0)), 1))),  0.5, 0))</f>
        <v>0</v>
      </c>
      <c r="GX92" s="47">
        <f t="array" ref="GX92">IF(AND(ISNUMBER(MATCH(GX$2, AsistenciaJetAdminConcatenada!$A:$A, 0)), ISNUMBER(MATCH(GX$1, AsistenciaJetAdminConcatenada!$B:$B, 0)), ISNUMBER(SEARCH($A92,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ISNUMBER(SEARCH($A92, INDEX(AsistenciaJetAdminConcatenada!$D:$D, MATCH(1, (AsistenciaJetAdminConcatenada!$A:$A=GX$2)*(AsistenciaJetAdminConcatenada!$B:$B=GX$1), 0)), 1))),  0.5, 0))</f>
        <v>0</v>
      </c>
      <c r="GY92" s="47">
        <f t="array" ref="GY92">IF(AND(ISNUMBER(MATCH(GY$2, AsistenciaJetAdminConcatenada!$A:$A, 0)), ISNUMBER(MATCH(GY$1, AsistenciaJetAdminConcatenada!$B:$B, 0)), ISNUMBER(SEARCH($A92,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ISNUMBER(SEARCH($A92, INDEX(AsistenciaJetAdminConcatenada!$D:$D, MATCH(1, (AsistenciaJetAdminConcatenada!$A:$A=GY$2)*(AsistenciaJetAdminConcatenada!$B:$B=GY$1), 0)), 1))),  0.5, 0))</f>
        <v>0</v>
      </c>
      <c r="GZ92" s="47">
        <f t="array" ref="GZ92">IF(AND(ISNUMBER(MATCH(GZ$2, AsistenciaJetAdminConcatenada!$A:$A, 0)), ISNUMBER(MATCH(GZ$1, AsistenciaJetAdminConcatenada!$B:$B, 0)), ISNUMBER(SEARCH($A92,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ISNUMBER(SEARCH($A92, INDEX(AsistenciaJetAdminConcatenada!$D:$D, MATCH(1, (AsistenciaJetAdminConcatenada!$A:$A=GZ$2)*(AsistenciaJetAdminConcatenada!$B:$B=GZ$1), 0)), 1))),  0.5, 0))</f>
        <v>0</v>
      </c>
      <c r="HA92" s="47">
        <f t="array" ref="HA92">IF(AND(ISNUMBER(MATCH(HA$2, AsistenciaJetAdminConcatenada!$A:$A, 0)), ISNUMBER(MATCH(HA$1, AsistenciaJetAdminConcatenada!$B:$B, 0)), ISNUMBER(SEARCH($A92,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ISNUMBER(SEARCH($A92, INDEX(AsistenciaJetAdminConcatenada!$D:$D, MATCH(1, (AsistenciaJetAdminConcatenada!$A:$A=HA$2)*(AsistenciaJetAdminConcatenada!$B:$B=HA$1), 0)), 1))),  0.5, 0))</f>
        <v>0</v>
      </c>
      <c r="HB92" s="47">
        <f t="array" ref="HB92">IF(AND(ISNUMBER(MATCH(HB$2, AsistenciaJetAdminConcatenada!$A:$A, 0)), ISNUMBER(MATCH(HB$1, AsistenciaJetAdminConcatenada!$B:$B, 0)), ISNUMBER(SEARCH($A92,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ISNUMBER(SEARCH($A92, INDEX(AsistenciaJetAdminConcatenada!$D:$D, MATCH(1, (AsistenciaJetAdminConcatenada!$A:$A=HB$2)*(AsistenciaJetAdminConcatenada!$B:$B=HB$1), 0)), 1))),  0.5, 0))</f>
        <v>0</v>
      </c>
      <c r="HC92" s="47">
        <f t="array" ref="HC92">IF(AND(ISNUMBER(MATCH(HC$2, AsistenciaJetAdminConcatenada!$A:$A, 0)), ISNUMBER(MATCH(HC$1, AsistenciaJetAdminConcatenada!$B:$B, 0)), ISNUMBER(SEARCH($A92,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ISNUMBER(SEARCH($A92, INDEX(AsistenciaJetAdminConcatenada!$D:$D, MATCH(1, (AsistenciaJetAdminConcatenada!$A:$A=HC$2)*(AsistenciaJetAdminConcatenada!$B:$B=HC$1), 0)), 1))),  0.5, 0))</f>
        <v>0</v>
      </c>
    </row>
    <row r="93" ht="29.25" customHeight="1">
      <c r="A93" s="3">
        <v>165.0</v>
      </c>
      <c r="B93" s="4" t="s">
        <v>105</v>
      </c>
      <c r="C93" s="47">
        <f>SUM(D93:HC93) + ActividadesEspeciales!C93</f>
        <v>45.5</v>
      </c>
      <c r="D93" s="47">
        <f t="array" ref="D93">IF(AND(ISNUMBER(MATCH(D$2, AsistenciaJetAdminConcatenada!$A:$A, 0)), ISNUMBER(MATCH(D$1, AsistenciaJetAdminConcatenada!$B:$B, 0)), ISNUMBER(SEARCH($A93,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ISNUMBER(SEARCH($A93, INDEX(AsistenciaJetAdminConcatenada!$D:$D, MATCH(1, (AsistenciaJetAdminConcatenada!$A:$A=D$2)*(AsistenciaJetAdminConcatenada!$B:$B=D$1), 0)), 1))),  0.5, 0))</f>
        <v>1</v>
      </c>
      <c r="E93" s="47">
        <f t="array" ref="E93">IF(AND(ISNUMBER(MATCH(E$2, AsistenciaJetAdminConcatenada!$A:$A, 0)), ISNUMBER(MATCH(E$1, AsistenciaJetAdminConcatenada!$B:$B, 0)), ISNUMBER(SEARCH($A93,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ISNUMBER(SEARCH($A93, INDEX(AsistenciaJetAdminConcatenada!$D:$D, MATCH(1, (AsistenciaJetAdminConcatenada!$A:$A=E$2)*(AsistenciaJetAdminConcatenada!$B:$B=E$1), 0)), 1))),  0.5, 0))</f>
        <v>1</v>
      </c>
      <c r="F93" s="47">
        <f t="array" ref="F93">IF(AND(ISNUMBER(MATCH(F$2, AsistenciaJetAdminConcatenada!$A:$A, 0)), ISNUMBER(MATCH(F$1, AsistenciaJetAdminConcatenada!$B:$B, 0)), ISNUMBER(SEARCH($A93,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ISNUMBER(SEARCH($A93, INDEX(AsistenciaJetAdminConcatenada!$D:$D, MATCH(1, (AsistenciaJetAdminConcatenada!$A:$A=F$2)*(AsistenciaJetAdminConcatenada!$B:$B=F$1), 0)), 1))),  0.5, 0))</f>
        <v>1</v>
      </c>
      <c r="G93" s="47">
        <f t="array" ref="G93">IF(AND(ISNUMBER(MATCH(G$2, AsistenciaJetAdminConcatenada!$A:$A, 0)), ISNUMBER(MATCH(G$1, AsistenciaJetAdminConcatenada!$B:$B, 0)), ISNUMBER(SEARCH($A93,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ISNUMBER(SEARCH($A93, INDEX(AsistenciaJetAdminConcatenada!$D:$D, MATCH(1, (AsistenciaJetAdminConcatenada!$A:$A=G$2)*(AsistenciaJetAdminConcatenada!$B:$B=G$1), 0)), 1))),  0.5, 0))</f>
        <v>1</v>
      </c>
      <c r="H93" s="47">
        <f t="array" ref="H93">IF(AND(ISNUMBER(MATCH(H$2, AsistenciaJetAdminConcatenada!$A:$A, 0)), ISNUMBER(MATCH(H$1, AsistenciaJetAdminConcatenada!$B:$B, 0)), ISNUMBER(SEARCH($A93,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ISNUMBER(SEARCH($A93, INDEX(AsistenciaJetAdminConcatenada!$D:$D, MATCH(1, (AsistenciaJetAdminConcatenada!$A:$A=H$2)*(AsistenciaJetAdminConcatenada!$B:$B=H$1), 0)), 1))),  0.5, 0))</f>
        <v>1</v>
      </c>
      <c r="I93" s="47">
        <f t="array" ref="I93">IF(AND(ISNUMBER(MATCH(I$2, AsistenciaJetAdminConcatenada!$A:$A, 0)), ISNUMBER(MATCH(I$1, AsistenciaJetAdminConcatenada!$B:$B, 0)), ISNUMBER(SEARCH($A93,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ISNUMBER(SEARCH($A93, INDEX(AsistenciaJetAdminConcatenada!$D:$D, MATCH(1, (AsistenciaJetAdminConcatenada!$A:$A=I$2)*(AsistenciaJetAdminConcatenada!$B:$B=I$1), 0)), 1))),  0.5, 0))</f>
        <v>1</v>
      </c>
      <c r="J93" s="47">
        <f t="array" ref="J93">IF(AND(ISNUMBER(MATCH(J$2, AsistenciaJetAdminConcatenada!$A:$A, 0)), ISNUMBER(MATCH(J$1, AsistenciaJetAdminConcatenada!$B:$B, 0)), ISNUMBER(SEARCH($A93,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ISNUMBER(SEARCH($A93, INDEX(AsistenciaJetAdminConcatenada!$D:$D, MATCH(1, (AsistenciaJetAdminConcatenada!$A:$A=J$2)*(AsistenciaJetAdminConcatenada!$B:$B=J$1), 0)), 1))),  0.5, 0))</f>
        <v>1</v>
      </c>
      <c r="K93" s="47">
        <f t="array" ref="K93">IF(AND(ISNUMBER(MATCH(K$2, AsistenciaJetAdminConcatenada!$A:$A, 0)), ISNUMBER(MATCH(K$1, AsistenciaJetAdminConcatenada!$B:$B, 0)), ISNUMBER(SEARCH($A93,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ISNUMBER(SEARCH($A93, INDEX(AsistenciaJetAdminConcatenada!$D:$D, MATCH(1, (AsistenciaJetAdminConcatenada!$A:$A=K$2)*(AsistenciaJetAdminConcatenada!$B:$B=K$1), 0)), 1))),  0.5, 0))</f>
        <v>0</v>
      </c>
      <c r="L93" s="47">
        <f t="array" ref="L93">IF(AND(ISNUMBER(MATCH(L$2, AsistenciaJetAdminConcatenada!$A:$A, 0)), ISNUMBER(MATCH(L$1, AsistenciaJetAdminConcatenada!$B:$B, 0)), ISNUMBER(SEARCH($A93,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ISNUMBER(SEARCH($A93, INDEX(AsistenciaJetAdminConcatenada!$D:$D, MATCH(1, (AsistenciaJetAdminConcatenada!$A:$A=L$2)*(AsistenciaJetAdminConcatenada!$B:$B=L$1), 0)), 1))),  0.5, 0))</f>
        <v>1</v>
      </c>
      <c r="M93" s="47">
        <f t="array" ref="M93">IF(AND(ISNUMBER(MATCH(M$2, AsistenciaJetAdminConcatenada!$A:$A, 0)), ISNUMBER(MATCH(M$1, AsistenciaJetAdminConcatenada!$B:$B, 0)), ISNUMBER(SEARCH($A93,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ISNUMBER(SEARCH($A93, INDEX(AsistenciaJetAdminConcatenada!$D:$D, MATCH(1, (AsistenciaJetAdminConcatenada!$A:$A=M$2)*(AsistenciaJetAdminConcatenada!$B:$B=M$1), 0)), 1))),  0.5, 0))</f>
        <v>1</v>
      </c>
      <c r="N93" s="47">
        <f t="array" ref="N93">IF(AND(ISNUMBER(MATCH(N$2, AsistenciaJetAdminConcatenada!$A:$A, 0)), ISNUMBER(MATCH(N$1, AsistenciaJetAdminConcatenada!$B:$B, 0)), ISNUMBER(SEARCH($A93,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ISNUMBER(SEARCH($A93, INDEX(AsistenciaJetAdminConcatenada!$D:$D, MATCH(1, (AsistenciaJetAdminConcatenada!$A:$A=N$2)*(AsistenciaJetAdminConcatenada!$B:$B=N$1), 0)), 1))),  0.5, 0))</f>
        <v>0</v>
      </c>
      <c r="O93" s="47">
        <f t="array" ref="O93">IF(AND(ISNUMBER(MATCH(O$2, AsistenciaJetAdminConcatenada!$A:$A, 0)), ISNUMBER(MATCH(O$1, AsistenciaJetAdminConcatenada!$B:$B, 0)), ISNUMBER(SEARCH($A93,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ISNUMBER(SEARCH($A93, INDEX(AsistenciaJetAdminConcatenada!$D:$D, MATCH(1, (AsistenciaJetAdminConcatenada!$A:$A=O$2)*(AsistenciaJetAdminConcatenada!$B:$B=O$1), 0)), 1))),  0.5, 0))</f>
        <v>1</v>
      </c>
      <c r="P93" s="47">
        <f t="array" ref="P93">IF(AND(ISNUMBER(MATCH(P$2, AsistenciaJetAdminConcatenada!$A:$A, 0)), ISNUMBER(MATCH(P$1, AsistenciaJetAdminConcatenada!$B:$B, 0)), ISNUMBER(SEARCH($A93, INDEX(AsistenciaJetAdminConcatenada!$C:$C, MATCH(1, (AsistenciaJetAdminConcatenada!$A:$A=P$2)*(AsistenciaJetAdminConcatenada!$B:$B=P$1), 0)), 1))), 1, IF(AND(ISNUMBER(MATCH(P$2, AsistenciaJetAdminConcatenada!$A:$A, 0)), ISNUMBER(MATCH(P$1, AsistenciaJetAdminConcatenada!$B:$B, 0)), ISNUMBER(SEARCH($A93, INDEX(AsistenciaJetAdminConcatenada!$D:$D, MATCH(1, (AsistenciaJetAdminConcatenada!$A:$A=P$2)*(AsistenciaJetAdminConcatenada!$B:$B=P$1), 0)), 1))),  0.5, 0))</f>
        <v>1</v>
      </c>
      <c r="Q93" s="47">
        <f t="array" ref="Q93">IF(AND(ISNUMBER(MATCH(Q$2, AsistenciaJetAdminConcatenada!$A:$A, 0)), ISNUMBER(MATCH(Q$1, AsistenciaJetAdminConcatenada!$B:$B, 0)), ISNUMBER(SEARCH($A93, INDEX(AsistenciaJetAdminConcatenada!$C:$C, MATCH(1, (AsistenciaJetAdminConcatenada!$A:$A=Q$2)*(AsistenciaJetAdminConcatenada!$B:$B=Q$1), 0)), 1))), 1, IF(AND(ISNUMBER(MATCH(Q$2, AsistenciaJetAdminConcatenada!$A:$A, 0)), ISNUMBER(MATCH(Q$1, AsistenciaJetAdminConcatenada!$B:$B, 0)), ISNUMBER(SEARCH($A93, INDEX(AsistenciaJetAdminConcatenada!$D:$D, MATCH(1, (AsistenciaJetAdminConcatenada!$A:$A=Q$2)*(AsistenciaJetAdminConcatenada!$B:$B=Q$1), 0)), 1))),  0.5, 0))</f>
        <v>1</v>
      </c>
      <c r="R93" s="47">
        <f t="array" ref="R93">IF(AND(ISNUMBER(MATCH(R$2, AsistenciaJetAdminConcatenada!$A:$A, 0)), ISNUMBER(MATCH(R$1, AsistenciaJetAdminConcatenada!$B:$B, 0)), ISNUMBER(SEARCH($A93,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ISNUMBER(SEARCH($A93, INDEX(AsistenciaJetAdminConcatenada!$D:$D, MATCH(1, (AsistenciaJetAdminConcatenada!$A:$A=R$2)*(AsistenciaJetAdminConcatenada!$B:$B=R$1), 0)), 1))),  0.5, 0))</f>
        <v>0</v>
      </c>
      <c r="S93" s="47">
        <f t="array" ref="S93">IF(AND(ISNUMBER(MATCH(S$2, AsistenciaJetAdminConcatenada!$A:$A, 0)), ISNUMBER(MATCH(S$1, AsistenciaJetAdminConcatenada!$B:$B, 0)), ISNUMBER(SEARCH($A93,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ISNUMBER(SEARCH($A93, INDEX(AsistenciaJetAdminConcatenada!$D:$D, MATCH(1, (AsistenciaJetAdminConcatenada!$A:$A=S$2)*(AsistenciaJetAdminConcatenada!$B:$B=S$1), 0)), 1))),  0.5, 0))</f>
        <v>1</v>
      </c>
      <c r="T93" s="47">
        <f t="array" ref="T93">IF(AND(ISNUMBER(MATCH(T$2, AsistenciaJetAdminConcatenada!$A:$A, 0)), ISNUMBER(MATCH(T$1, AsistenciaJetAdminConcatenada!$B:$B, 0)), ISNUMBER(SEARCH($A93,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ISNUMBER(SEARCH($A93, INDEX(AsistenciaJetAdminConcatenada!$D:$D, MATCH(1, (AsistenciaJetAdminConcatenada!$A:$A=T$2)*(AsistenciaJetAdminConcatenada!$B:$B=T$1), 0)), 1))),  0.5, 0))</f>
        <v>0</v>
      </c>
      <c r="U93" s="47">
        <f t="array" ref="U93">IF(AND(ISNUMBER(MATCH(U$2, AsistenciaJetAdminConcatenada!$A:$A, 0)), ISNUMBER(MATCH(U$1, AsistenciaJetAdminConcatenada!$B:$B, 0)), ISNUMBER(SEARCH($A93,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ISNUMBER(SEARCH($A93, INDEX(AsistenciaJetAdminConcatenada!$D:$D, MATCH(1, (AsistenciaJetAdminConcatenada!$A:$A=U$2)*(AsistenciaJetAdminConcatenada!$B:$B=U$1), 0)), 1))),  0.5, 0))</f>
        <v>1</v>
      </c>
      <c r="V93" s="47">
        <f t="array" ref="V93">IF(AND(ISNUMBER(MATCH(V$2, AsistenciaJetAdminConcatenada!$A:$A, 0)), ISNUMBER(MATCH(V$1, AsistenciaJetAdminConcatenada!$B:$B, 0)), ISNUMBER(SEARCH($A93,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ISNUMBER(SEARCH($A93, INDEX(AsistenciaJetAdminConcatenada!$D:$D, MATCH(1, (AsistenciaJetAdminConcatenada!$A:$A=V$2)*(AsistenciaJetAdminConcatenada!$B:$B=V$1), 0)), 1))),  0.5, 0))</f>
        <v>0</v>
      </c>
      <c r="W93" s="47">
        <f t="array" ref="W93">IF(AND(ISNUMBER(MATCH(W$2, AsistenciaJetAdminConcatenada!$A:$A, 0)), ISNUMBER(MATCH(W$1, AsistenciaJetAdminConcatenada!$B:$B, 0)), ISNUMBER(SEARCH($A93,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ISNUMBER(SEARCH($A93, INDEX(AsistenciaJetAdminConcatenada!$D:$D, MATCH(1, (AsistenciaJetAdminConcatenada!$A:$A=W$2)*(AsistenciaJetAdminConcatenada!$B:$B=W$1), 0)), 1))),  0.5, 0))</f>
        <v>0</v>
      </c>
      <c r="X93" s="47">
        <f t="array" ref="X93">IF(AND(ISNUMBER(MATCH(X$2, AsistenciaJetAdminConcatenada!$A:$A, 0)), ISNUMBER(MATCH(X$1, AsistenciaJetAdminConcatenada!$B:$B, 0)), ISNUMBER(SEARCH($A93,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ISNUMBER(SEARCH($A93, INDEX(AsistenciaJetAdminConcatenada!$D:$D, MATCH(1, (AsistenciaJetAdminConcatenada!$A:$A=X$2)*(AsistenciaJetAdminConcatenada!$B:$B=X$1), 0)), 1))),  0.5, 0))</f>
        <v>1</v>
      </c>
      <c r="Y93" s="47">
        <f t="array" ref="Y93">IF(AND(ISNUMBER(MATCH(Y$2, AsistenciaJetAdminConcatenada!$A:$A, 0)), ISNUMBER(MATCH(Y$1, AsistenciaJetAdminConcatenada!$B:$B, 0)), ISNUMBER(SEARCH($A93,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ISNUMBER(SEARCH($A93, INDEX(AsistenciaJetAdminConcatenada!$D:$D, MATCH(1, (AsistenciaJetAdminConcatenada!$A:$A=Y$2)*(AsistenciaJetAdminConcatenada!$B:$B=Y$1), 0)), 1))),  0.5, 0))</f>
        <v>1</v>
      </c>
      <c r="Z93" s="47">
        <f t="array" ref="Z93">IF(AND(ISNUMBER(MATCH(Z$2, AsistenciaJetAdminConcatenada!$A:$A, 0)), ISNUMBER(MATCH(Z$1, AsistenciaJetAdminConcatenada!$B:$B, 0)), ISNUMBER(SEARCH($A93,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ISNUMBER(SEARCH($A93, INDEX(AsistenciaJetAdminConcatenada!$D:$D, MATCH(1, (AsistenciaJetAdminConcatenada!$A:$A=Z$2)*(AsistenciaJetAdminConcatenada!$B:$B=Z$1), 0)), 1))),  0.5, 0))</f>
        <v>1</v>
      </c>
      <c r="AA93" s="47">
        <f t="array" ref="AA93">IF(AND(ISNUMBER(MATCH(AA$2, AsistenciaJetAdminConcatenada!$A:$A, 0)), ISNUMBER(MATCH(AA$1, AsistenciaJetAdminConcatenada!$B:$B, 0)), ISNUMBER(SEARCH($A93,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ISNUMBER(SEARCH($A93, INDEX(AsistenciaJetAdminConcatenada!$D:$D, MATCH(1, (AsistenciaJetAdminConcatenada!$A:$A=AA$2)*(AsistenciaJetAdminConcatenada!$B:$B=AA$1), 0)), 1))),  0.5, 0))</f>
        <v>1</v>
      </c>
      <c r="AB93" s="47">
        <f t="array" ref="AB93">IF(AND(ISNUMBER(MATCH(AB$2, AsistenciaJetAdminConcatenada!$A:$A, 0)), ISNUMBER(MATCH(AB$1, AsistenciaJetAdminConcatenada!$B:$B, 0)), ISNUMBER(SEARCH($A93,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ISNUMBER(SEARCH($A93, INDEX(AsistenciaJetAdminConcatenada!$D:$D, MATCH(1, (AsistenciaJetAdminConcatenada!$A:$A=AB$2)*(AsistenciaJetAdminConcatenada!$B:$B=AB$1), 0)), 1))),  0.5, 0))</f>
        <v>0</v>
      </c>
      <c r="AC93" s="47">
        <f t="array" ref="AC93">IF(AND(ISNUMBER(MATCH(AC$2, AsistenciaJetAdminConcatenada!$A:$A, 0)), ISNUMBER(MATCH(AC$1, AsistenciaJetAdminConcatenada!$B:$B, 0)), ISNUMBER(SEARCH($A93,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ISNUMBER(SEARCH($A93, INDEX(AsistenciaJetAdminConcatenada!$D:$D, MATCH(1, (AsistenciaJetAdminConcatenada!$A:$A=AC$2)*(AsistenciaJetAdminConcatenada!$B:$B=AC$1), 0)), 1))),  0.5, 0))</f>
        <v>1</v>
      </c>
      <c r="AD93" s="47">
        <f t="array" ref="AD93">IF(AND(ISNUMBER(MATCH(AD$2, AsistenciaJetAdminConcatenada!$A:$A, 0)), ISNUMBER(MATCH(AD$1, AsistenciaJetAdminConcatenada!$B:$B, 0)), ISNUMBER(SEARCH($A93,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ISNUMBER(SEARCH($A93, INDEX(AsistenciaJetAdminConcatenada!$D:$D, MATCH(1, (AsistenciaJetAdminConcatenada!$A:$A=AD$2)*(AsistenciaJetAdminConcatenada!$B:$B=AD$1), 0)), 1))),  0.5, 0))</f>
        <v>1</v>
      </c>
      <c r="AE93" s="47">
        <f t="array" ref="AE93">IF(AND(ISNUMBER(MATCH(AE$2, AsistenciaJetAdminConcatenada!$A:$A, 0)), ISNUMBER(MATCH(AE$1, AsistenciaJetAdminConcatenada!$B:$B, 0)), ISNUMBER(SEARCH($A93,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ISNUMBER(SEARCH($A93, INDEX(AsistenciaJetAdminConcatenada!$D:$D, MATCH(1, (AsistenciaJetAdminConcatenada!$A:$A=AE$2)*(AsistenciaJetAdminConcatenada!$B:$B=AE$1), 0)), 1))),  0.5, 0))</f>
        <v>0</v>
      </c>
      <c r="AF93" s="47">
        <f t="array" ref="AF93">IF(AND(ISNUMBER(MATCH(AF$2, AsistenciaJetAdminConcatenada!$A:$A, 0)), ISNUMBER(MATCH(AF$1, AsistenciaJetAdminConcatenada!$B:$B, 0)), ISNUMBER(SEARCH($A93,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ISNUMBER(SEARCH($A93, INDEX(AsistenciaJetAdminConcatenada!$D:$D, MATCH(1, (AsistenciaJetAdminConcatenada!$A:$A=AF$2)*(AsistenciaJetAdminConcatenada!$B:$B=AF$1), 0)), 1))),  0.5, 0))</f>
        <v>0</v>
      </c>
      <c r="AG93" s="47">
        <f t="array" ref="AG93">IF(AND(ISNUMBER(MATCH(AG$2, AsistenciaJetAdminConcatenada!$A:$A, 0)), ISNUMBER(MATCH(AG$1, AsistenciaJetAdminConcatenada!$B:$B, 0)), ISNUMBER(SEARCH($A93,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ISNUMBER(SEARCH($A93, INDEX(AsistenciaJetAdminConcatenada!$D:$D, MATCH(1, (AsistenciaJetAdminConcatenada!$A:$A=AG$2)*(AsistenciaJetAdminConcatenada!$B:$B=AG$1), 0)), 1))),  0.5, 0))</f>
        <v>0</v>
      </c>
      <c r="AH93" s="47">
        <f t="array" ref="AH93">IF(AND(ISNUMBER(MATCH(AH$2, AsistenciaJetAdminConcatenada!$A:$A, 0)), ISNUMBER(MATCH(AH$1, AsistenciaJetAdminConcatenada!$B:$B, 0)), ISNUMBER(SEARCH($A93,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ISNUMBER(SEARCH($A93, INDEX(AsistenciaJetAdminConcatenada!$D:$D, MATCH(1, (AsistenciaJetAdminConcatenada!$A:$A=AH$2)*(AsistenciaJetAdminConcatenada!$B:$B=AH$1), 0)), 1))),  0.5, 0))</f>
        <v>0</v>
      </c>
      <c r="AI93" s="47">
        <f t="array" ref="AI93">IF(AND(ISNUMBER(MATCH(AI$2, AsistenciaJetAdminConcatenada!$A:$A, 0)), ISNUMBER(MATCH(AI$1, AsistenciaJetAdminConcatenada!$B:$B, 0)), ISNUMBER(SEARCH($A93,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ISNUMBER(SEARCH($A93, INDEX(AsistenciaJetAdminConcatenada!$D:$D, MATCH(1, (AsistenciaJetAdminConcatenada!$A:$A=AI$2)*(AsistenciaJetAdminConcatenada!$B:$B=AI$1), 0)), 1))),  0.5, 0))</f>
        <v>1</v>
      </c>
      <c r="AJ93" s="47">
        <f t="array" ref="AJ93">IF(AND(ISNUMBER(MATCH(AJ$2, AsistenciaJetAdminConcatenada!$A:$A, 0)), ISNUMBER(MATCH(AJ$1, AsistenciaJetAdminConcatenada!$B:$B, 0)), ISNUMBER(SEARCH($A93,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ISNUMBER(SEARCH($A93, INDEX(AsistenciaJetAdminConcatenada!$D:$D, MATCH(1, (AsistenciaJetAdminConcatenada!$A:$A=AJ$2)*(AsistenciaJetAdminConcatenada!$B:$B=AJ$1), 0)), 1))),  0.5, 0))</f>
        <v>1</v>
      </c>
      <c r="AK93" s="47">
        <f t="array" ref="AK93">IF(AND(ISNUMBER(MATCH(AK$2, AsistenciaJetAdminConcatenada!$A:$A, 0)), ISNUMBER(MATCH(AK$1, AsistenciaJetAdminConcatenada!$B:$B, 0)), ISNUMBER(SEARCH($A93,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ISNUMBER(SEARCH($A93, INDEX(AsistenciaJetAdminConcatenada!$D:$D, MATCH(1, (AsistenciaJetAdminConcatenada!$A:$A=AK$2)*(AsistenciaJetAdminConcatenada!$B:$B=AK$1), 0)), 1))),  0.5, 0))</f>
        <v>0</v>
      </c>
      <c r="AL93" s="47">
        <f t="array" ref="AL93">IF(AND(ISNUMBER(MATCH(AL$2, AsistenciaJetAdminConcatenada!$A:$A, 0)), ISNUMBER(MATCH(AL$1, AsistenciaJetAdminConcatenada!$B:$B, 0)), ISNUMBER(SEARCH($A93,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ISNUMBER(SEARCH($A93, INDEX(AsistenciaJetAdminConcatenada!$D:$D, MATCH(1, (AsistenciaJetAdminConcatenada!$A:$A=AL$2)*(AsistenciaJetAdminConcatenada!$B:$B=AL$1), 0)), 1))),  0.5, 0))</f>
        <v>0</v>
      </c>
      <c r="AM93" s="47">
        <f t="array" ref="AM93">IF(AND(ISNUMBER(MATCH(AM$2, AsistenciaJetAdminConcatenada!$A:$A, 0)), ISNUMBER(MATCH(AM$1, AsistenciaJetAdminConcatenada!$B:$B, 0)), ISNUMBER(SEARCH($A93,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ISNUMBER(SEARCH($A93, INDEX(AsistenciaJetAdminConcatenada!$D:$D, MATCH(1, (AsistenciaJetAdminConcatenada!$A:$A=AM$2)*(AsistenciaJetAdminConcatenada!$B:$B=AM$1), 0)), 1))),  0.5, 0))</f>
        <v>0</v>
      </c>
      <c r="AN93" s="47">
        <f t="array" ref="AN93">IF(AND(ISNUMBER(MATCH(AN$2, AsistenciaJetAdminConcatenada!$A:$A, 0)), ISNUMBER(MATCH(AN$1, AsistenciaJetAdminConcatenada!$B:$B, 0)), ISNUMBER(SEARCH($A93,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ISNUMBER(SEARCH($A93, INDEX(AsistenciaJetAdminConcatenada!$D:$D, MATCH(1, (AsistenciaJetAdminConcatenada!$A:$A=AN$2)*(AsistenciaJetAdminConcatenada!$B:$B=AN$1), 0)), 1))),  0.5, 0))</f>
        <v>0</v>
      </c>
      <c r="AO93" s="47">
        <f t="array" ref="AO93">IF(AND(ISNUMBER(MATCH(AO$2, AsistenciaJetAdminConcatenada!$A:$A, 0)), ISNUMBER(MATCH(AO$1, AsistenciaJetAdminConcatenada!$B:$B, 0)), ISNUMBER(SEARCH($A93,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ISNUMBER(SEARCH($A93, INDEX(AsistenciaJetAdminConcatenada!$D:$D, MATCH(1, (AsistenciaJetAdminConcatenada!$A:$A=AO$2)*(AsistenciaJetAdminConcatenada!$B:$B=AO$1), 0)), 1))),  0.5, 0))</f>
        <v>1</v>
      </c>
      <c r="AP93" s="47">
        <f t="array" ref="AP93">IF(AND(ISNUMBER(MATCH(AP$2, AsistenciaJetAdminConcatenada!$A:$A, 0)), ISNUMBER(MATCH(AP$1, AsistenciaJetAdminConcatenada!$B:$B, 0)), ISNUMBER(SEARCH($A93,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ISNUMBER(SEARCH($A93, INDEX(AsistenciaJetAdminConcatenada!$D:$D, MATCH(1, (AsistenciaJetAdminConcatenada!$A:$A=AP$2)*(AsistenciaJetAdminConcatenada!$B:$B=AP$1), 0)), 1))),  0.5, 0))</f>
        <v>0.5</v>
      </c>
      <c r="AQ93" s="47">
        <f t="array" ref="AQ93">IF(AND(ISNUMBER(MATCH(AQ$2, AsistenciaJetAdminConcatenada!$A:$A, 0)), ISNUMBER(MATCH(AQ$1, AsistenciaJetAdminConcatenada!$B:$B, 0)), ISNUMBER(SEARCH($A93,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ISNUMBER(SEARCH($A93, INDEX(AsistenciaJetAdminConcatenada!$D:$D, MATCH(1, (AsistenciaJetAdminConcatenada!$A:$A=AQ$2)*(AsistenciaJetAdminConcatenada!$B:$B=AQ$1), 0)), 1))),  0.5, 0))</f>
        <v>0</v>
      </c>
      <c r="AR93" s="47">
        <f t="array" ref="AR93">IF(AND(ISNUMBER(MATCH(AR$2, AsistenciaJetAdminConcatenada!$A:$A, 0)), ISNUMBER(MATCH(AR$1, AsistenciaJetAdminConcatenada!$B:$B, 0)), ISNUMBER(SEARCH($A93,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ISNUMBER(SEARCH($A93, INDEX(AsistenciaJetAdminConcatenada!$D:$D, MATCH(1, (AsistenciaJetAdminConcatenada!$A:$A=AR$2)*(AsistenciaJetAdminConcatenada!$B:$B=AR$1), 0)), 1))),  0.5, 0))</f>
        <v>1</v>
      </c>
      <c r="AS93" s="47">
        <f t="array" ref="AS93">IF(AND(ISNUMBER(MATCH(AS$2, AsistenciaJetAdminConcatenada!$A:$A, 0)), ISNUMBER(MATCH(AS$1, AsistenciaJetAdminConcatenada!$B:$B, 0)), ISNUMBER(SEARCH($A93,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ISNUMBER(SEARCH($A93, INDEX(AsistenciaJetAdminConcatenada!$D:$D, MATCH(1, (AsistenciaJetAdminConcatenada!$A:$A=AS$2)*(AsistenciaJetAdminConcatenada!$B:$B=AS$1), 0)), 1))),  0.5, 0))</f>
        <v>1</v>
      </c>
      <c r="AT93" s="47">
        <f t="array" ref="AT93">IF(AND(ISNUMBER(MATCH(AT$2, AsistenciaJetAdminConcatenada!$A:$A, 0)), ISNUMBER(MATCH(AT$1, AsistenciaJetAdminConcatenada!$B:$B, 0)), ISNUMBER(SEARCH($A93,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ISNUMBER(SEARCH($A93, INDEX(AsistenciaJetAdminConcatenada!$D:$D, MATCH(1, (AsistenciaJetAdminConcatenada!$A:$A=AT$2)*(AsistenciaJetAdminConcatenada!$B:$B=AT$1), 0)), 1))),  0.5, 0))</f>
        <v>0</v>
      </c>
      <c r="AU93" s="47">
        <f t="array" ref="AU93">IF(AND(ISNUMBER(MATCH(AU$2, AsistenciaJetAdminConcatenada!$A:$A, 0)), ISNUMBER(MATCH(AU$1, AsistenciaJetAdminConcatenada!$B:$B, 0)), ISNUMBER(SEARCH($A93,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ISNUMBER(SEARCH($A93, INDEX(AsistenciaJetAdminConcatenada!$D:$D, MATCH(1, (AsistenciaJetAdminConcatenada!$A:$A=AU$2)*(AsistenciaJetAdminConcatenada!$B:$B=AU$1), 0)), 1))),  0.5, 0))</f>
        <v>1</v>
      </c>
      <c r="AV93" s="47">
        <f t="array" ref="AV93">IF(AND(ISNUMBER(MATCH(AV$2, AsistenciaJetAdminConcatenada!$A:$A, 0)), ISNUMBER(MATCH(AV$1, AsistenciaJetAdminConcatenada!$B:$B, 0)), ISNUMBER(SEARCH($A93,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ISNUMBER(SEARCH($A93, INDEX(AsistenciaJetAdminConcatenada!$D:$D, MATCH(1, (AsistenciaJetAdminConcatenada!$A:$A=AV$2)*(AsistenciaJetAdminConcatenada!$B:$B=AV$1), 0)), 1))),  0.5, 0))</f>
        <v>1</v>
      </c>
      <c r="AW93" s="47">
        <f t="array" ref="AW93">IF(AND(ISNUMBER(MATCH(AW$2, AsistenciaJetAdminConcatenada!$A:$A, 0)), ISNUMBER(MATCH(AW$1, AsistenciaJetAdminConcatenada!$B:$B, 0)), ISNUMBER(SEARCH($A93,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ISNUMBER(SEARCH($A93, INDEX(AsistenciaJetAdminConcatenada!$D:$D, MATCH(1, (AsistenciaJetAdminConcatenada!$A:$A=AW$2)*(AsistenciaJetAdminConcatenada!$B:$B=AW$1), 0)), 1))),  0.5, 0))</f>
        <v>0</v>
      </c>
      <c r="AX93" s="47">
        <f t="array" ref="AX93">IF(AND(ISNUMBER(MATCH(AX$2, AsistenciaJetAdminConcatenada!$A:$A, 0)), ISNUMBER(MATCH(AX$1, AsistenciaJetAdminConcatenada!$B:$B, 0)), ISNUMBER(SEARCH($A93,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ISNUMBER(SEARCH($A93, INDEX(AsistenciaJetAdminConcatenada!$D:$D, MATCH(1, (AsistenciaJetAdminConcatenada!$A:$A=AX$2)*(AsistenciaJetAdminConcatenada!$B:$B=AX$1), 0)), 1))),  0.5, 0))</f>
        <v>0</v>
      </c>
      <c r="AY93" s="47">
        <f t="array" ref="AY93">IF(AND(ISNUMBER(MATCH(AY$2, AsistenciaJetAdminConcatenada!$A:$A, 0)), ISNUMBER(MATCH(AY$1, AsistenciaJetAdminConcatenada!$B:$B, 0)), ISNUMBER(SEARCH($A93,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ISNUMBER(SEARCH($A93, INDEX(AsistenciaJetAdminConcatenada!$D:$D, MATCH(1, (AsistenciaJetAdminConcatenada!$A:$A=AY$2)*(AsistenciaJetAdminConcatenada!$B:$B=AY$1), 0)), 1))),  0.5, 0))</f>
        <v>1</v>
      </c>
      <c r="AZ93" s="47">
        <f t="array" ref="AZ93">IF(AND(ISNUMBER(MATCH(AZ$2, AsistenciaJetAdminConcatenada!$A:$A, 0)), ISNUMBER(MATCH(AZ$1, AsistenciaJetAdminConcatenada!$B:$B, 0)), ISNUMBER(SEARCH($A93,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ISNUMBER(SEARCH($A93, INDEX(AsistenciaJetAdminConcatenada!$D:$D, MATCH(1, (AsistenciaJetAdminConcatenada!$A:$A=AZ$2)*(AsistenciaJetAdminConcatenada!$B:$B=AZ$1), 0)), 1))),  0.5, 0))</f>
        <v>1</v>
      </c>
      <c r="BA93" s="47">
        <f t="array" ref="BA93">IF(AND(ISNUMBER(MATCH(BA$2, AsistenciaJetAdminConcatenada!$A:$A, 0)), ISNUMBER(MATCH(BA$1, AsistenciaJetAdminConcatenada!$B:$B, 0)), ISNUMBER(SEARCH($A93,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ISNUMBER(SEARCH($A93, INDEX(AsistenciaJetAdminConcatenada!$D:$D, MATCH(1, (AsistenciaJetAdminConcatenada!$A:$A=BA$2)*(AsistenciaJetAdminConcatenada!$B:$B=BA$1), 0)), 1))),  0.5, 0))</f>
        <v>1</v>
      </c>
      <c r="BB93" s="47">
        <f t="array" ref="BB93">IF(AND(ISNUMBER(MATCH(BB$2, AsistenciaJetAdminConcatenada!$A:$A, 0)), ISNUMBER(MATCH(BB$1, AsistenciaJetAdminConcatenada!$B:$B, 0)), ISNUMBER(SEARCH($A93,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ISNUMBER(SEARCH($A93, INDEX(AsistenciaJetAdminConcatenada!$D:$D, MATCH(1, (AsistenciaJetAdminConcatenada!$A:$A=BB$2)*(AsistenciaJetAdminConcatenada!$B:$B=BB$1), 0)), 1))),  0.5, 0))</f>
        <v>1</v>
      </c>
      <c r="BC93" s="47">
        <f t="array" ref="BC93">IF(AND(ISNUMBER(MATCH(BC$2, AsistenciaJetAdminConcatenada!$A:$A, 0)), ISNUMBER(MATCH(BC$1, AsistenciaJetAdminConcatenada!$B:$B, 0)), ISNUMBER(SEARCH($A93,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ISNUMBER(SEARCH($A93, INDEX(AsistenciaJetAdminConcatenada!$D:$D, MATCH(1, (AsistenciaJetAdminConcatenada!$A:$A=BC$2)*(AsistenciaJetAdminConcatenada!$B:$B=BC$1), 0)), 1))),  0.5, 0))</f>
        <v>1</v>
      </c>
      <c r="BD93" s="47">
        <f t="array" ref="BD93">IF(AND(ISNUMBER(MATCH(BD$2, AsistenciaJetAdminConcatenada!$A:$A, 0)), ISNUMBER(MATCH(BD$1, AsistenciaJetAdminConcatenada!$B:$B, 0)), ISNUMBER(SEARCH($A93,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ISNUMBER(SEARCH($A93, INDEX(AsistenciaJetAdminConcatenada!$D:$D, MATCH(1, (AsistenciaJetAdminConcatenada!$A:$A=BD$2)*(AsistenciaJetAdminConcatenada!$B:$B=BD$1), 0)), 1))),  0.5, 0))</f>
        <v>0</v>
      </c>
      <c r="BE93" s="47">
        <f t="array" ref="BE93">IF(AND(ISNUMBER(MATCH(BE$2, AsistenciaJetAdminConcatenada!$A:$A, 0)), ISNUMBER(MATCH(BE$1, AsistenciaJetAdminConcatenada!$B:$B, 0)), ISNUMBER(SEARCH($A93,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ISNUMBER(SEARCH($A93, INDEX(AsistenciaJetAdminConcatenada!$D:$D, MATCH(1, (AsistenciaJetAdminConcatenada!$A:$A=BE$2)*(AsistenciaJetAdminConcatenada!$B:$B=BE$1), 0)), 1))),  0.5, 0))</f>
        <v>0</v>
      </c>
      <c r="BF93" s="47">
        <f t="array" ref="BF93">IF(AND(ISNUMBER(MATCH(BF$2, AsistenciaJetAdminConcatenada!$A:$A, 0)), ISNUMBER(MATCH(BF$1, AsistenciaJetAdminConcatenada!$B:$B, 0)), ISNUMBER(SEARCH($A93,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ISNUMBER(SEARCH($A93, INDEX(AsistenciaJetAdminConcatenada!$D:$D, MATCH(1, (AsistenciaJetAdminConcatenada!$A:$A=BF$2)*(AsistenciaJetAdminConcatenada!$B:$B=BF$1), 0)), 1))),  0.5, 0))</f>
        <v>1</v>
      </c>
      <c r="BG93" s="47">
        <f t="array" ref="BG93">IF(AND(ISNUMBER(MATCH(BG$2, AsistenciaJetAdminConcatenada!$A:$A, 0)), ISNUMBER(MATCH(BG$1, AsistenciaJetAdminConcatenada!$B:$B, 0)), ISNUMBER(SEARCH($A93,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ISNUMBER(SEARCH($A93, INDEX(AsistenciaJetAdminConcatenada!$D:$D, MATCH(1, (AsistenciaJetAdminConcatenada!$A:$A=BG$2)*(AsistenciaJetAdminConcatenada!$B:$B=BG$1), 0)), 1))),  0.5, 0))</f>
        <v>0.5</v>
      </c>
      <c r="BH93" s="47">
        <f t="array" ref="BH93">IF(AND(ISNUMBER(MATCH(BH$2, AsistenciaJetAdminConcatenada!$A:$A, 0)), ISNUMBER(MATCH(BH$1, AsistenciaJetAdminConcatenada!$B:$B, 0)), ISNUMBER(SEARCH($A93,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ISNUMBER(SEARCH($A93, INDEX(AsistenciaJetAdminConcatenada!$D:$D, MATCH(1, (AsistenciaJetAdminConcatenada!$A:$A=BH$2)*(AsistenciaJetAdminConcatenada!$B:$B=BH$1), 0)), 1))),  0.5, 0))</f>
        <v>0</v>
      </c>
      <c r="BI93" s="47">
        <f t="array" ref="BI93">IF(AND(ISNUMBER(MATCH(BI$2, AsistenciaJetAdminConcatenada!$A:$A, 0)), ISNUMBER(MATCH(BI$1, AsistenciaJetAdminConcatenada!$B:$B, 0)), ISNUMBER(SEARCH($A93,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ISNUMBER(SEARCH($A93, INDEX(AsistenciaJetAdminConcatenada!$D:$D, MATCH(1, (AsistenciaJetAdminConcatenada!$A:$A=BI$2)*(AsistenciaJetAdminConcatenada!$B:$B=BI$1), 0)), 1))),  0.5, 0))</f>
        <v>1</v>
      </c>
      <c r="BJ93" s="47">
        <f t="array" ref="BJ93">IF(AND(ISNUMBER(MATCH(BJ$2, AsistenciaJetAdminConcatenada!$A:$A, 0)), ISNUMBER(MATCH(BJ$1, AsistenciaJetAdminConcatenada!$B:$B, 0)), ISNUMBER(SEARCH($A93,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ISNUMBER(SEARCH($A93, INDEX(AsistenciaJetAdminConcatenada!$D:$D, MATCH(1, (AsistenciaJetAdminConcatenada!$A:$A=BJ$2)*(AsistenciaJetAdminConcatenada!$B:$B=BJ$1), 0)), 1))),  0.5, 0))</f>
        <v>1</v>
      </c>
      <c r="BK93" s="47">
        <f t="array" ref="BK93">IF(AND(ISNUMBER(MATCH(BK$2, AsistenciaJetAdminConcatenada!$A:$A, 0)), ISNUMBER(MATCH(BK$1, AsistenciaJetAdminConcatenada!$B:$B, 0)), ISNUMBER(SEARCH($A93,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ISNUMBER(SEARCH($A93, INDEX(AsistenciaJetAdminConcatenada!$D:$D, MATCH(1, (AsistenciaJetAdminConcatenada!$A:$A=BK$2)*(AsistenciaJetAdminConcatenada!$B:$B=BK$1), 0)), 1))),  0.5, 0))</f>
        <v>0</v>
      </c>
      <c r="BL93" s="47">
        <f t="array" ref="BL93">IF(AND(ISNUMBER(MATCH(BL$2, AsistenciaJetAdminConcatenada!$A:$A, 0)), ISNUMBER(MATCH(BL$1, AsistenciaJetAdminConcatenada!$B:$B, 0)), ISNUMBER(SEARCH($A93,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ISNUMBER(SEARCH($A93, INDEX(AsistenciaJetAdminConcatenada!$D:$D, MATCH(1, (AsistenciaJetAdminConcatenada!$A:$A=BL$2)*(AsistenciaJetAdminConcatenada!$B:$B=BL$1), 0)), 1))),  0.5, 0))</f>
        <v>1</v>
      </c>
      <c r="BM93" s="47">
        <f t="array" ref="BM93">IF(AND(ISNUMBER(MATCH(BM$2, AsistenciaJetAdminConcatenada!$A:$A, 0)), ISNUMBER(MATCH(BM$1, AsistenciaJetAdminConcatenada!$B:$B, 0)), ISNUMBER(SEARCH($A93,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ISNUMBER(SEARCH($A93, INDEX(AsistenciaJetAdminConcatenada!$D:$D, MATCH(1, (AsistenciaJetAdminConcatenada!$A:$A=BM$2)*(AsistenciaJetAdminConcatenada!$B:$B=BM$1), 0)), 1))),  0.5, 0))</f>
        <v>0</v>
      </c>
      <c r="BN93" s="47">
        <f t="array" ref="BN93">IF(AND(ISNUMBER(MATCH(BN$2, AsistenciaJetAdminConcatenada!$A:$A, 0)), ISNUMBER(MATCH(BN$1, AsistenciaJetAdminConcatenada!$B:$B, 0)), ISNUMBER(SEARCH($A93,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ISNUMBER(SEARCH($A93, INDEX(AsistenciaJetAdminConcatenada!$D:$D, MATCH(1, (AsistenciaJetAdminConcatenada!$A:$A=BN$2)*(AsistenciaJetAdminConcatenada!$B:$B=BN$1), 0)), 1))),  0.5, 0))</f>
        <v>0</v>
      </c>
      <c r="BO93" s="47">
        <f t="array" ref="BO93">IF(AND(ISNUMBER(MATCH(BO$2, AsistenciaJetAdminConcatenada!$A:$A, 0)), ISNUMBER(MATCH(BO$1, AsistenciaJetAdminConcatenada!$B:$B, 0)), ISNUMBER(SEARCH($A93,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ISNUMBER(SEARCH($A93, INDEX(AsistenciaJetAdminConcatenada!$D:$D, MATCH(1, (AsistenciaJetAdminConcatenada!$A:$A=BO$2)*(AsistenciaJetAdminConcatenada!$B:$B=BO$1), 0)), 1))),  0.5, 0))</f>
        <v>0</v>
      </c>
      <c r="BP93" s="47">
        <f t="array" ref="BP93">IF(AND(ISNUMBER(MATCH(BP$2, AsistenciaJetAdminConcatenada!$A:$A, 0)), ISNUMBER(MATCH(BP$1, AsistenciaJetAdminConcatenada!$B:$B, 0)), ISNUMBER(SEARCH($A93,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ISNUMBER(SEARCH($A93, INDEX(AsistenciaJetAdminConcatenada!$D:$D, MATCH(1, (AsistenciaJetAdminConcatenada!$A:$A=BP$2)*(AsistenciaJetAdminConcatenada!$B:$B=BP$1), 0)), 1))),  0.5, 0))</f>
        <v>0</v>
      </c>
      <c r="BQ93" s="47">
        <f t="array" ref="BQ93">IF(AND(ISNUMBER(MATCH(BQ$2, AsistenciaJetAdminConcatenada!$A:$A, 0)), ISNUMBER(MATCH(BQ$1, AsistenciaJetAdminConcatenada!$B:$B, 0)), ISNUMBER(SEARCH($A93,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ISNUMBER(SEARCH($A93, INDEX(AsistenciaJetAdminConcatenada!$D:$D, MATCH(1, (AsistenciaJetAdminConcatenada!$A:$A=BQ$2)*(AsistenciaJetAdminConcatenada!$B:$B=BQ$1), 0)), 1))),  0.5, 0))</f>
        <v>0</v>
      </c>
      <c r="BR93" s="47">
        <f t="array" ref="BR93">IF(AND(ISNUMBER(MATCH(BR$2, AsistenciaJetAdminConcatenada!$A:$A, 0)), ISNUMBER(MATCH(BR$1, AsistenciaJetAdminConcatenada!$B:$B, 0)), ISNUMBER(SEARCH($A93,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ISNUMBER(SEARCH($A93, INDEX(AsistenciaJetAdminConcatenada!$D:$D, MATCH(1, (AsistenciaJetAdminConcatenada!$A:$A=BR$2)*(AsistenciaJetAdminConcatenada!$B:$B=BR$1), 0)), 1))),  0.5, 0))</f>
        <v>0</v>
      </c>
      <c r="BS93" s="47">
        <f t="array" ref="BS93">IF(AND(ISNUMBER(MATCH(BS$2, AsistenciaJetAdminConcatenada!$A:$A, 0)), ISNUMBER(MATCH(BS$1, AsistenciaJetAdminConcatenada!$B:$B, 0)), ISNUMBER(SEARCH($A93,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ISNUMBER(SEARCH($A93, INDEX(AsistenciaJetAdminConcatenada!$D:$D, MATCH(1, (AsistenciaJetAdminConcatenada!$A:$A=BS$2)*(AsistenciaJetAdminConcatenada!$B:$B=BS$1), 0)), 1))),  0.5, 0))</f>
        <v>0</v>
      </c>
      <c r="BT93" s="47">
        <f t="array" ref="BT93">IF(AND(ISNUMBER(MATCH(BT$2, AsistenciaJetAdminConcatenada!$A:$A, 0)), ISNUMBER(MATCH(BT$1, AsistenciaJetAdminConcatenada!$B:$B, 0)), ISNUMBER(SEARCH($A93,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ISNUMBER(SEARCH($A93, INDEX(AsistenciaJetAdminConcatenada!$D:$D, MATCH(1, (AsistenciaJetAdminConcatenada!$A:$A=BT$2)*(AsistenciaJetAdminConcatenada!$B:$B=BT$1), 0)), 1))),  0.5, 0))</f>
        <v>0</v>
      </c>
      <c r="BU93" s="47">
        <f t="array" ref="BU93">IF(AND(ISNUMBER(MATCH(BU$2, AsistenciaJetAdminConcatenada!$A:$A, 0)), ISNUMBER(MATCH(BU$1, AsistenciaJetAdminConcatenada!$B:$B, 0)), ISNUMBER(SEARCH($A93,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ISNUMBER(SEARCH($A93, INDEX(AsistenciaJetAdminConcatenada!$D:$D, MATCH(1, (AsistenciaJetAdminConcatenada!$A:$A=BU$2)*(AsistenciaJetAdminConcatenada!$B:$B=BU$1), 0)), 1))),  0.5, 0))</f>
        <v>0</v>
      </c>
      <c r="BV93" s="47">
        <f t="array" ref="BV93">IF(AND(ISNUMBER(MATCH(BV$2, AsistenciaJetAdminConcatenada!$A:$A, 0)), ISNUMBER(MATCH(BV$1, AsistenciaJetAdminConcatenada!$B:$B, 0)), ISNUMBER(SEARCH($A93,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ISNUMBER(SEARCH($A93, INDEX(AsistenciaJetAdminConcatenada!$D:$D, MATCH(1, (AsistenciaJetAdminConcatenada!$A:$A=BV$2)*(AsistenciaJetAdminConcatenada!$B:$B=BV$1), 0)), 1))),  0.5, 0))</f>
        <v>0</v>
      </c>
      <c r="BW93" s="47">
        <f t="array" ref="BW93">IF(AND(ISNUMBER(MATCH(BW$2, AsistenciaJetAdminConcatenada!$A:$A, 0)), ISNUMBER(MATCH(BW$1, AsistenciaJetAdminConcatenada!$B:$B, 0)), ISNUMBER(SEARCH($A93,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ISNUMBER(SEARCH($A93, INDEX(AsistenciaJetAdminConcatenada!$D:$D, MATCH(1, (AsistenciaJetAdminConcatenada!$A:$A=BW$2)*(AsistenciaJetAdminConcatenada!$B:$B=BW$1), 0)), 1))),  0.5, 0))</f>
        <v>0</v>
      </c>
      <c r="BX93" s="47">
        <f t="array" ref="BX93">IF(AND(ISNUMBER(MATCH(BX$2, AsistenciaJetAdminConcatenada!$A:$A, 0)), ISNUMBER(MATCH(BX$1, AsistenciaJetAdminConcatenada!$B:$B, 0)), ISNUMBER(SEARCH($A93,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ISNUMBER(SEARCH($A93, INDEX(AsistenciaJetAdminConcatenada!$D:$D, MATCH(1, (AsistenciaJetAdminConcatenada!$A:$A=BX$2)*(AsistenciaJetAdminConcatenada!$B:$B=BX$1), 0)), 1))),  0.5, 0))</f>
        <v>0</v>
      </c>
      <c r="BY93" s="47">
        <f t="array" ref="BY93">IF(AND(ISNUMBER(MATCH(BY$2, AsistenciaJetAdminConcatenada!$A:$A, 0)), ISNUMBER(MATCH(BY$1, AsistenciaJetAdminConcatenada!$B:$B, 0)), ISNUMBER(SEARCH($A93,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ISNUMBER(SEARCH($A93, INDEX(AsistenciaJetAdminConcatenada!$D:$D, MATCH(1, (AsistenciaJetAdminConcatenada!$A:$A=BY$2)*(AsistenciaJetAdminConcatenada!$B:$B=BY$1), 0)), 1))),  0.5, 0))</f>
        <v>0</v>
      </c>
      <c r="BZ93" s="47">
        <f t="array" ref="BZ93">IF(AND(ISNUMBER(MATCH(BZ$2, AsistenciaJetAdminConcatenada!$A:$A, 0)), ISNUMBER(MATCH(BZ$1, AsistenciaJetAdminConcatenada!$B:$B, 0)), ISNUMBER(SEARCH($A93,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ISNUMBER(SEARCH($A93, INDEX(AsistenciaJetAdminConcatenada!$D:$D, MATCH(1, (AsistenciaJetAdminConcatenada!$A:$A=BZ$2)*(AsistenciaJetAdminConcatenada!$B:$B=BZ$1), 0)), 1))),  0.5, 0))</f>
        <v>0</v>
      </c>
      <c r="CA93" s="47">
        <f t="array" ref="CA93">IF(AND(ISNUMBER(MATCH(CA$2, AsistenciaJetAdminConcatenada!$A:$A, 0)), ISNUMBER(MATCH(CA$1, AsistenciaJetAdminConcatenada!$B:$B, 0)), ISNUMBER(SEARCH($A93,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ISNUMBER(SEARCH($A93, INDEX(AsistenciaJetAdminConcatenada!$D:$D, MATCH(1, (AsistenciaJetAdminConcatenada!$A:$A=CA$2)*(AsistenciaJetAdminConcatenada!$B:$B=CA$1), 0)), 1))),  0.5, 0))</f>
        <v>0.5</v>
      </c>
      <c r="CB93" s="47">
        <f t="array" ref="CB93">IF(AND(ISNUMBER(MATCH(CB$2, AsistenciaJetAdminConcatenada!$A:$A, 0)), ISNUMBER(MATCH(CB$1, AsistenciaJetAdminConcatenada!$B:$B, 0)), ISNUMBER(SEARCH($A93,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ISNUMBER(SEARCH($A93, INDEX(AsistenciaJetAdminConcatenada!$D:$D, MATCH(1, (AsistenciaJetAdminConcatenada!$A:$A=CB$2)*(AsistenciaJetAdminConcatenada!$B:$B=CB$1), 0)), 1))),  0.5, 0))</f>
        <v>0</v>
      </c>
      <c r="CC93" s="47">
        <f t="array" ref="CC93">IF(AND(ISNUMBER(MATCH(CC$2, AsistenciaJetAdminConcatenada!$A:$A, 0)), ISNUMBER(MATCH(CC$1, AsistenciaJetAdminConcatenada!$B:$B, 0)), ISNUMBER(SEARCH($A93,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ISNUMBER(SEARCH($A93, INDEX(AsistenciaJetAdminConcatenada!$D:$D, MATCH(1, (AsistenciaJetAdminConcatenada!$A:$A=CC$2)*(AsistenciaJetAdminConcatenada!$B:$B=CC$1), 0)), 1))),  0.5, 0))</f>
        <v>0</v>
      </c>
      <c r="CD93" s="47">
        <f t="array" ref="CD93">IF(AND(ISNUMBER(MATCH(CD$2, AsistenciaJetAdminConcatenada!$A:$A, 0)), ISNUMBER(MATCH(CD$1, AsistenciaJetAdminConcatenada!$B:$B, 0)), ISNUMBER(SEARCH($A93,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ISNUMBER(SEARCH($A93, INDEX(AsistenciaJetAdminConcatenada!$D:$D, MATCH(1, (AsistenciaJetAdminConcatenada!$A:$A=CD$2)*(AsistenciaJetAdminConcatenada!$B:$B=CD$1), 0)), 1))),  0.5, 0))</f>
        <v>0</v>
      </c>
      <c r="CE93" s="47">
        <f t="array" ref="CE93">IF(AND(ISNUMBER(MATCH(CE$2, AsistenciaJetAdminConcatenada!$A:$A, 0)), ISNUMBER(MATCH(CE$1, AsistenciaJetAdminConcatenada!$B:$B, 0)), ISNUMBER(SEARCH($A93,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ISNUMBER(SEARCH($A93, INDEX(AsistenciaJetAdminConcatenada!$D:$D, MATCH(1, (AsistenciaJetAdminConcatenada!$A:$A=CE$2)*(AsistenciaJetAdminConcatenada!$B:$B=CE$1), 0)), 1))),  0.5, 0))</f>
        <v>0</v>
      </c>
      <c r="CF93" s="47">
        <f t="array" ref="CF93">IF(AND(ISNUMBER(MATCH(CF$2, AsistenciaJetAdminConcatenada!$A:$A, 0)), ISNUMBER(MATCH(CF$1, AsistenciaJetAdminConcatenada!$B:$B, 0)), ISNUMBER(SEARCH($A93,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ISNUMBER(SEARCH($A93, INDEX(AsistenciaJetAdminConcatenada!$D:$D, MATCH(1, (AsistenciaJetAdminConcatenada!$A:$A=CF$2)*(AsistenciaJetAdminConcatenada!$B:$B=CF$1), 0)), 1))),  0.5, 0))</f>
        <v>0</v>
      </c>
      <c r="CG93" s="47">
        <f t="array" ref="CG93">IF(AND(ISNUMBER(MATCH(CG$2, AsistenciaJetAdminConcatenada!$A:$A, 0)), ISNUMBER(MATCH(CG$1, AsistenciaJetAdminConcatenada!$B:$B, 0)), ISNUMBER(SEARCH($A93,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ISNUMBER(SEARCH($A93, INDEX(AsistenciaJetAdminConcatenada!$D:$D, MATCH(1, (AsistenciaJetAdminConcatenada!$A:$A=CG$2)*(AsistenciaJetAdminConcatenada!$B:$B=CG$1), 0)), 1))),  0.5, 0))</f>
        <v>0</v>
      </c>
      <c r="CH93" s="47">
        <f t="array" ref="CH93">IF(AND(ISNUMBER(MATCH(CH$2, AsistenciaJetAdminConcatenada!$A:$A, 0)), ISNUMBER(MATCH(CH$1, AsistenciaJetAdminConcatenada!$B:$B, 0)), ISNUMBER(SEARCH($A93,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ISNUMBER(SEARCH($A93, INDEX(AsistenciaJetAdminConcatenada!$D:$D, MATCH(1, (AsistenciaJetAdminConcatenada!$A:$A=CH$2)*(AsistenciaJetAdminConcatenada!$B:$B=CH$1), 0)), 1))),  0.5, 0))</f>
        <v>0</v>
      </c>
      <c r="CI93" s="47">
        <f t="array" ref="CI93">IF(AND(ISNUMBER(MATCH(CI$2, AsistenciaJetAdminConcatenada!$A:$A, 0)), ISNUMBER(MATCH(CI$1, AsistenciaJetAdminConcatenada!$B:$B, 0)), ISNUMBER(SEARCH($A93,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ISNUMBER(SEARCH($A93, INDEX(AsistenciaJetAdminConcatenada!$D:$D, MATCH(1, (AsistenciaJetAdminConcatenada!$A:$A=CI$2)*(AsistenciaJetAdminConcatenada!$B:$B=CI$1), 0)), 1))),  0.5, 0))</f>
        <v>0</v>
      </c>
      <c r="CJ93" s="47">
        <f t="array" ref="CJ93">IF(AND(ISNUMBER(MATCH(CJ$2, AsistenciaJetAdminConcatenada!$A:$A, 0)), ISNUMBER(MATCH(CJ$1, AsistenciaJetAdminConcatenada!$B:$B, 0)), ISNUMBER(SEARCH($A93,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ISNUMBER(SEARCH($A93, INDEX(AsistenciaJetAdminConcatenada!$D:$D, MATCH(1, (AsistenciaJetAdminConcatenada!$A:$A=CJ$2)*(AsistenciaJetAdminConcatenada!$B:$B=CJ$1), 0)), 1))),  0.5, 0))</f>
        <v>1</v>
      </c>
      <c r="CK93" s="47">
        <f t="array" ref="CK93">IF(AND(ISNUMBER(MATCH(CK$2, AsistenciaJetAdminConcatenada!$A:$A, 0)), ISNUMBER(MATCH(CK$1, AsistenciaJetAdminConcatenada!$B:$B, 0)), ISNUMBER(SEARCH($A93,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ISNUMBER(SEARCH($A93, INDEX(AsistenciaJetAdminConcatenada!$D:$D, MATCH(1, (AsistenciaJetAdminConcatenada!$A:$A=CK$2)*(AsistenciaJetAdminConcatenada!$B:$B=CK$1), 0)), 1))),  0.5, 0))</f>
        <v>0</v>
      </c>
      <c r="CL93" s="47">
        <f t="array" ref="CL93">IF(AND(ISNUMBER(MATCH(CL$2, AsistenciaJetAdminConcatenada!$A:$A, 0)), ISNUMBER(MATCH(CL$1, AsistenciaJetAdminConcatenada!$B:$B, 0)), ISNUMBER(SEARCH($A93,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ISNUMBER(SEARCH($A93, INDEX(AsistenciaJetAdminConcatenada!$D:$D, MATCH(1, (AsistenciaJetAdminConcatenada!$A:$A=CL$2)*(AsistenciaJetAdminConcatenada!$B:$B=CL$1), 0)), 1))),  0.5, 0))</f>
        <v>1</v>
      </c>
      <c r="CM93" s="47">
        <f t="array" ref="CM93">IF(AND(ISNUMBER(MATCH(CM$2, AsistenciaJetAdminConcatenada!$A:$A, 0)), ISNUMBER(MATCH(CM$1, AsistenciaJetAdminConcatenada!$B:$B, 0)), ISNUMBER(SEARCH($A93,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ISNUMBER(SEARCH($A93, INDEX(AsistenciaJetAdminConcatenada!$D:$D, MATCH(1, (AsistenciaJetAdminConcatenada!$A:$A=CM$2)*(AsistenciaJetAdminConcatenada!$B:$B=CM$1), 0)), 1))),  0.5, 0))</f>
        <v>1</v>
      </c>
      <c r="CN93" s="47">
        <f t="array" ref="CN93">IF(AND(ISNUMBER(MATCH(CN$2, AsistenciaJetAdminConcatenada!$A:$A, 0)), ISNUMBER(MATCH(CN$1, AsistenciaJetAdminConcatenada!$B:$B, 0)), ISNUMBER(SEARCH($A93,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ISNUMBER(SEARCH($A93, INDEX(AsistenciaJetAdminConcatenada!$D:$D, MATCH(1, (AsistenciaJetAdminConcatenada!$A:$A=CN$2)*(AsistenciaJetAdminConcatenada!$B:$B=CN$1), 0)), 1))),  0.5, 0))</f>
        <v>0</v>
      </c>
      <c r="CO93" s="47">
        <f t="array" ref="CO93">IF(AND(ISNUMBER(MATCH(CO$2, AsistenciaJetAdminConcatenada!$A:$A, 0)), ISNUMBER(MATCH(CO$1, AsistenciaJetAdminConcatenada!$B:$B, 0)), ISNUMBER(SEARCH($A93,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ISNUMBER(SEARCH($A93, INDEX(AsistenciaJetAdminConcatenada!$D:$D, MATCH(1, (AsistenciaJetAdminConcatenada!$A:$A=CO$2)*(AsistenciaJetAdminConcatenada!$B:$B=CO$1), 0)), 1))),  0.5, 0))</f>
        <v>1</v>
      </c>
      <c r="CP93" s="47">
        <f t="array" ref="CP93">IF(AND(ISNUMBER(MATCH(CP$2, AsistenciaJetAdminConcatenada!$A:$A, 0)), ISNUMBER(MATCH(CP$1, AsistenciaJetAdminConcatenada!$B:$B, 0)), ISNUMBER(SEARCH($A93,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ISNUMBER(SEARCH($A93, INDEX(AsistenciaJetAdminConcatenada!$D:$D, MATCH(1, (AsistenciaJetAdminConcatenada!$A:$A=CP$2)*(AsistenciaJetAdminConcatenada!$B:$B=CP$1), 0)), 1))),  0.5, 0))</f>
        <v>0</v>
      </c>
      <c r="CQ93" s="47">
        <f t="array" ref="CQ93">IF(AND(ISNUMBER(MATCH(CQ$2, AsistenciaJetAdminConcatenada!$A:$A, 0)), ISNUMBER(MATCH(CQ$1, AsistenciaJetAdminConcatenada!$B:$B, 0)), ISNUMBER(SEARCH($A93,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ISNUMBER(SEARCH($A93, INDEX(AsistenciaJetAdminConcatenada!$D:$D, MATCH(1, (AsistenciaJetAdminConcatenada!$A:$A=CQ$2)*(AsistenciaJetAdminConcatenada!$B:$B=CQ$1), 0)), 1))),  0.5, 0))</f>
        <v>1</v>
      </c>
      <c r="CR93" s="47">
        <f t="array" ref="CR93">IF(AND(ISNUMBER(MATCH(CR$2, AsistenciaJetAdminConcatenada!$A:$A, 0)), ISNUMBER(MATCH(CR$1, AsistenciaJetAdminConcatenada!$B:$B, 0)), ISNUMBER(SEARCH($A93,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ISNUMBER(SEARCH($A93, INDEX(AsistenciaJetAdminConcatenada!$D:$D, MATCH(1, (AsistenciaJetAdminConcatenada!$A:$A=CR$2)*(AsistenciaJetAdminConcatenada!$B:$B=CR$1), 0)), 1))),  0.5, 0))</f>
        <v>1</v>
      </c>
      <c r="CS93" s="47">
        <f t="array" ref="CS93">IF(AND(ISNUMBER(MATCH(CS$2, AsistenciaJetAdminConcatenada!$A:$A, 0)), ISNUMBER(MATCH(CS$1, AsistenciaJetAdminConcatenada!$B:$B, 0)), ISNUMBER(SEARCH($A93,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ISNUMBER(SEARCH($A93, INDEX(AsistenciaJetAdminConcatenada!$D:$D, MATCH(1, (AsistenciaJetAdminConcatenada!$A:$A=CS$2)*(AsistenciaJetAdminConcatenada!$B:$B=CS$1), 0)), 1))),  0.5, 0))</f>
        <v>0</v>
      </c>
      <c r="CT93" s="47">
        <f t="array" ref="CT93">IF(AND(ISNUMBER(MATCH(CT$2, AsistenciaJetAdminConcatenada!$A:$A, 0)), ISNUMBER(MATCH(CT$1, AsistenciaJetAdminConcatenada!$B:$B, 0)), ISNUMBER(SEARCH($A93,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ISNUMBER(SEARCH($A93, INDEX(AsistenciaJetAdminConcatenada!$D:$D, MATCH(1, (AsistenciaJetAdminConcatenada!$A:$A=CT$2)*(AsistenciaJetAdminConcatenada!$B:$B=CT$1), 0)), 1))),  0.5, 0))</f>
        <v>0</v>
      </c>
      <c r="CU93" s="47">
        <f t="array" ref="CU93">IF(AND(ISNUMBER(MATCH(CU$2, AsistenciaJetAdminConcatenada!$A:$A, 0)), ISNUMBER(MATCH(CU$1, AsistenciaJetAdminConcatenada!$B:$B, 0)), ISNUMBER(SEARCH($A93,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ISNUMBER(SEARCH($A93, INDEX(AsistenciaJetAdminConcatenada!$D:$D, MATCH(1, (AsistenciaJetAdminConcatenada!$A:$A=CU$2)*(AsistenciaJetAdminConcatenada!$B:$B=CU$1), 0)), 1))),  0.5, 0))</f>
        <v>0</v>
      </c>
      <c r="CV93" s="47">
        <f t="array" ref="CV93">IF(AND(ISNUMBER(MATCH(CV$2, AsistenciaJetAdminConcatenada!$A:$A, 0)), ISNUMBER(MATCH(CV$1, AsistenciaJetAdminConcatenada!$B:$B, 0)), ISNUMBER(SEARCH($A93,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ISNUMBER(SEARCH($A93, INDEX(AsistenciaJetAdminConcatenada!$D:$D, MATCH(1, (AsistenciaJetAdminConcatenada!$A:$A=CV$2)*(AsistenciaJetAdminConcatenada!$B:$B=CV$1), 0)), 1))),  0.5, 0))</f>
        <v>0</v>
      </c>
      <c r="CW93" s="47">
        <f t="array" ref="CW93">IF(AND(ISNUMBER(MATCH(CW$2, AsistenciaJetAdminConcatenada!$A:$A, 0)), ISNUMBER(MATCH(CW$1, AsistenciaJetAdminConcatenada!$B:$B, 0)), ISNUMBER(SEARCH($A93,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ISNUMBER(SEARCH($A93, INDEX(AsistenciaJetAdminConcatenada!$D:$D, MATCH(1, (AsistenciaJetAdminConcatenada!$A:$A=CW$2)*(AsistenciaJetAdminConcatenada!$B:$B=CW$1), 0)), 1))),  0.5, 0))</f>
        <v>0</v>
      </c>
      <c r="CX93" s="47">
        <f t="array" ref="CX93">IF(AND(ISNUMBER(MATCH(CX$2, AsistenciaJetAdminConcatenada!$A:$A, 0)), ISNUMBER(MATCH(CX$1, AsistenciaJetAdminConcatenada!$B:$B, 0)), ISNUMBER(SEARCH($A93,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ISNUMBER(SEARCH($A93, INDEX(AsistenciaJetAdminConcatenada!$D:$D, MATCH(1, (AsistenciaJetAdminConcatenada!$A:$A=CX$2)*(AsistenciaJetAdminConcatenada!$B:$B=CX$1), 0)), 1))),  0.5, 0))</f>
        <v>0</v>
      </c>
      <c r="CY93" s="47">
        <f t="array" ref="CY93">IF(AND(ISNUMBER(MATCH(CY$2, AsistenciaJetAdminConcatenada!$A:$A, 0)), ISNUMBER(MATCH(CY$1, AsistenciaJetAdminConcatenada!$B:$B, 0)), ISNUMBER(SEARCH($A93,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ISNUMBER(SEARCH($A93, INDEX(AsistenciaJetAdminConcatenada!$D:$D, MATCH(1, (AsistenciaJetAdminConcatenada!$A:$A=CY$2)*(AsistenciaJetAdminConcatenada!$B:$B=CY$1), 0)), 1))),  0.5, 0))</f>
        <v>0</v>
      </c>
      <c r="CZ93" s="47">
        <f t="array" ref="CZ93">IF(AND(ISNUMBER(MATCH(CZ$2, AsistenciaJetAdminConcatenada!$A:$A, 0)), ISNUMBER(MATCH(CZ$1, AsistenciaJetAdminConcatenada!$B:$B, 0)), ISNUMBER(SEARCH($A93,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ISNUMBER(SEARCH($A93, INDEX(AsistenciaJetAdminConcatenada!$D:$D, MATCH(1, (AsistenciaJetAdminConcatenada!$A:$A=CZ$2)*(AsistenciaJetAdminConcatenada!$B:$B=CZ$1), 0)), 1))),  0.5, 0))</f>
        <v>0</v>
      </c>
      <c r="DA93" s="47">
        <f t="array" ref="DA93">IF(AND(ISNUMBER(MATCH(DA$2, AsistenciaJetAdminConcatenada!$A:$A, 0)), ISNUMBER(MATCH(DA$1, AsistenciaJetAdminConcatenada!$B:$B, 0)), ISNUMBER(SEARCH($A93,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ISNUMBER(SEARCH($A93, INDEX(AsistenciaJetAdminConcatenada!$D:$D, MATCH(1, (AsistenciaJetAdminConcatenada!$A:$A=DA$2)*(AsistenciaJetAdminConcatenada!$B:$B=DA$1), 0)), 1))),  0.5, 0))</f>
        <v>0</v>
      </c>
      <c r="DB93" s="47">
        <f t="array" ref="DB93">IF(AND(ISNUMBER(MATCH(DB$2, AsistenciaJetAdminConcatenada!$A:$A, 0)), ISNUMBER(MATCH(DB$1, AsistenciaJetAdminConcatenada!$B:$B, 0)), ISNUMBER(SEARCH($A93,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ISNUMBER(SEARCH($A93, INDEX(AsistenciaJetAdminConcatenada!$D:$D, MATCH(1, (AsistenciaJetAdminConcatenada!$A:$A=DB$2)*(AsistenciaJetAdminConcatenada!$B:$B=DB$1), 0)), 1))),  0.5, 0))</f>
        <v>0</v>
      </c>
      <c r="DC93" s="47">
        <f t="array" ref="DC93">IF(AND(ISNUMBER(MATCH(DC$2, AsistenciaJetAdminConcatenada!$A:$A, 0)), ISNUMBER(MATCH(DC$1, AsistenciaJetAdminConcatenada!$B:$B, 0)), ISNUMBER(SEARCH($A93,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ISNUMBER(SEARCH($A93, INDEX(AsistenciaJetAdminConcatenada!$D:$D, MATCH(1, (AsistenciaJetAdminConcatenada!$A:$A=DC$2)*(AsistenciaJetAdminConcatenada!$B:$B=DC$1), 0)), 1))),  0.5, 0))</f>
        <v>0</v>
      </c>
      <c r="DD93" s="47">
        <f t="array" ref="DD93">IF(AND(ISNUMBER(MATCH(DD$2, AsistenciaJetAdminConcatenada!$A:$A, 0)), ISNUMBER(MATCH(DD$1, AsistenciaJetAdminConcatenada!$B:$B, 0)), ISNUMBER(SEARCH($A93,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ISNUMBER(SEARCH($A93, INDEX(AsistenciaJetAdminConcatenada!$D:$D, MATCH(1, (AsistenciaJetAdminConcatenada!$A:$A=DD$2)*(AsistenciaJetAdminConcatenada!$B:$B=DD$1), 0)), 1))),  0.5, 0))</f>
        <v>0</v>
      </c>
      <c r="DE93" s="47">
        <f t="array" ref="DE93">IF(AND(ISNUMBER(MATCH(DE$2, AsistenciaJetAdminConcatenada!$A:$A, 0)), ISNUMBER(MATCH(DE$1, AsistenciaJetAdminConcatenada!$B:$B, 0)), ISNUMBER(SEARCH($A93,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ISNUMBER(SEARCH($A93, INDEX(AsistenciaJetAdminConcatenada!$D:$D, MATCH(1, (AsistenciaJetAdminConcatenada!$A:$A=DE$2)*(AsistenciaJetAdminConcatenada!$B:$B=DE$1), 0)), 1))),  0.5, 0))</f>
        <v>0</v>
      </c>
      <c r="DF93" s="47">
        <f t="array" ref="DF93">IF(AND(ISNUMBER(MATCH(DF$2, AsistenciaJetAdminConcatenada!$A:$A, 0)), ISNUMBER(MATCH(DF$1, AsistenciaJetAdminConcatenada!$B:$B, 0)), ISNUMBER(SEARCH($A93,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ISNUMBER(SEARCH($A93, INDEX(AsistenciaJetAdminConcatenada!$D:$D, MATCH(1, (AsistenciaJetAdminConcatenada!$A:$A=DF$2)*(AsistenciaJetAdminConcatenada!$B:$B=DF$1), 0)), 1))),  0.5, 0))</f>
        <v>0</v>
      </c>
      <c r="DG93" s="47">
        <f t="array" ref="DG93">IF(AND(ISNUMBER(MATCH(DG$2, AsistenciaJetAdminConcatenada!$A:$A, 0)), ISNUMBER(MATCH(DG$1, AsistenciaJetAdminConcatenada!$B:$B, 0)), ISNUMBER(SEARCH($A93,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ISNUMBER(SEARCH($A93, INDEX(AsistenciaJetAdminConcatenada!$D:$D, MATCH(1, (AsistenciaJetAdminConcatenada!$A:$A=DG$2)*(AsistenciaJetAdminConcatenada!$B:$B=DG$1), 0)), 1))),  0.5, 0))</f>
        <v>0</v>
      </c>
      <c r="DH93" s="47">
        <f t="array" ref="DH93">IF(AND(ISNUMBER(MATCH(DH$2, AsistenciaJetAdminConcatenada!$A:$A, 0)), ISNUMBER(MATCH(DH$1, AsistenciaJetAdminConcatenada!$B:$B, 0)), ISNUMBER(SEARCH($A93,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ISNUMBER(SEARCH($A93, INDEX(AsistenciaJetAdminConcatenada!$D:$D, MATCH(1, (AsistenciaJetAdminConcatenada!$A:$A=DH$2)*(AsistenciaJetAdminConcatenada!$B:$B=DH$1), 0)), 1))),  0.5, 0))</f>
        <v>0</v>
      </c>
      <c r="DI93" s="47">
        <f t="array" ref="DI93">IF(AND(ISNUMBER(MATCH(DI$2, AsistenciaJetAdminConcatenada!$A:$A, 0)), ISNUMBER(MATCH(DI$1, AsistenciaJetAdminConcatenada!$B:$B, 0)), ISNUMBER(SEARCH($A93,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ISNUMBER(SEARCH($A93, INDEX(AsistenciaJetAdminConcatenada!$D:$D, MATCH(1, (AsistenciaJetAdminConcatenada!$A:$A=DI$2)*(AsistenciaJetAdminConcatenada!$B:$B=DI$1), 0)), 1))),  0.5, 0))</f>
        <v>0</v>
      </c>
      <c r="DJ93" s="47">
        <f t="array" ref="DJ93">IF(AND(ISNUMBER(MATCH(DJ$2, AsistenciaJetAdminConcatenada!$A:$A, 0)), ISNUMBER(MATCH(DJ$1, AsistenciaJetAdminConcatenada!$B:$B, 0)), ISNUMBER(SEARCH($A93,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ISNUMBER(SEARCH($A93, INDEX(AsistenciaJetAdminConcatenada!$D:$D, MATCH(1, (AsistenciaJetAdminConcatenada!$A:$A=DJ$2)*(AsistenciaJetAdminConcatenada!$B:$B=DJ$1), 0)), 1))),  0.5, 0))</f>
        <v>0</v>
      </c>
      <c r="DK93" s="47">
        <f t="array" ref="DK93">IF(AND(ISNUMBER(MATCH(DK$2, AsistenciaJetAdminConcatenada!$A:$A, 0)), ISNUMBER(MATCH(DK$1, AsistenciaJetAdminConcatenada!$B:$B, 0)), ISNUMBER(SEARCH($A93,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ISNUMBER(SEARCH($A93, INDEX(AsistenciaJetAdminConcatenada!$D:$D, MATCH(1, (AsistenciaJetAdminConcatenada!$A:$A=DK$2)*(AsistenciaJetAdminConcatenada!$B:$B=DK$1), 0)), 1))),  0.5, 0))</f>
        <v>0</v>
      </c>
      <c r="DL93" s="47">
        <f t="array" ref="DL93">IF(AND(ISNUMBER(MATCH(DL$2, AsistenciaJetAdminConcatenada!$A:$A, 0)), ISNUMBER(MATCH(DL$1, AsistenciaJetAdminConcatenada!$B:$B, 0)), ISNUMBER(SEARCH($A93,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ISNUMBER(SEARCH($A93, INDEX(AsistenciaJetAdminConcatenada!$D:$D, MATCH(1, (AsistenciaJetAdminConcatenada!$A:$A=DL$2)*(AsistenciaJetAdminConcatenada!$B:$B=DL$1), 0)), 1))),  0.5, 0))</f>
        <v>0</v>
      </c>
      <c r="DM93" s="47">
        <f t="array" ref="DM93">IF(AND(ISNUMBER(MATCH(DM$2, AsistenciaJetAdminConcatenada!$A:$A, 0)), ISNUMBER(MATCH(DM$1, AsistenciaJetAdminConcatenada!$B:$B, 0)), ISNUMBER(SEARCH($A93,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ISNUMBER(SEARCH($A93, INDEX(AsistenciaJetAdminConcatenada!$D:$D, MATCH(1, (AsistenciaJetAdminConcatenada!$A:$A=DM$2)*(AsistenciaJetAdminConcatenada!$B:$B=DM$1), 0)), 1))),  0.5, 0))</f>
        <v>0</v>
      </c>
      <c r="DN93" s="47">
        <f t="array" ref="DN93">IF(AND(ISNUMBER(MATCH(DN$2, AsistenciaJetAdminConcatenada!$A:$A, 0)), ISNUMBER(MATCH(DN$1, AsistenciaJetAdminConcatenada!$B:$B, 0)), ISNUMBER(SEARCH($A93,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ISNUMBER(SEARCH($A93, INDEX(AsistenciaJetAdminConcatenada!$D:$D, MATCH(1, (AsistenciaJetAdminConcatenada!$A:$A=DN$2)*(AsistenciaJetAdminConcatenada!$B:$B=DN$1), 0)), 1))),  0.5, 0))</f>
        <v>0</v>
      </c>
      <c r="DO93" s="47">
        <f t="array" ref="DO93">IF(AND(ISNUMBER(MATCH(DO$2, AsistenciaJetAdminConcatenada!$A:$A, 0)), ISNUMBER(MATCH(DO$1, AsistenciaJetAdminConcatenada!$B:$B, 0)), ISNUMBER(SEARCH($A93,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ISNUMBER(SEARCH($A93, INDEX(AsistenciaJetAdminConcatenada!$D:$D, MATCH(1, (AsistenciaJetAdminConcatenada!$A:$A=DO$2)*(AsistenciaJetAdminConcatenada!$B:$B=DO$1), 0)), 1))),  0.5, 0))</f>
        <v>0</v>
      </c>
      <c r="DP93" s="47">
        <f t="array" ref="DP93">IF(AND(ISNUMBER(MATCH(DP$2, AsistenciaJetAdminConcatenada!$A:$A, 0)), ISNUMBER(MATCH(DP$1, AsistenciaJetAdminConcatenada!$B:$B, 0)), ISNUMBER(SEARCH($A93,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ISNUMBER(SEARCH($A93, INDEX(AsistenciaJetAdminConcatenada!$D:$D, MATCH(1, (AsistenciaJetAdminConcatenada!$A:$A=DP$2)*(AsistenciaJetAdminConcatenada!$B:$B=DP$1), 0)), 1))),  0.5, 0))</f>
        <v>0</v>
      </c>
      <c r="DQ93" s="47">
        <f t="array" ref="DQ93">IF(AND(ISNUMBER(MATCH(DQ$2, AsistenciaJetAdminConcatenada!$A:$A, 0)), ISNUMBER(MATCH(DQ$1, AsistenciaJetAdminConcatenada!$B:$B, 0)), ISNUMBER(SEARCH($A93,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ISNUMBER(SEARCH($A93, INDEX(AsistenciaJetAdminConcatenada!$D:$D, MATCH(1, (AsistenciaJetAdminConcatenada!$A:$A=DQ$2)*(AsistenciaJetAdminConcatenada!$B:$B=DQ$1), 0)), 1))),  0.5, 0))</f>
        <v>0</v>
      </c>
      <c r="DR93" s="47">
        <f t="array" ref="DR93">IF(AND(ISNUMBER(MATCH(DR$2, AsistenciaJetAdminConcatenada!$A:$A, 0)), ISNUMBER(MATCH(DR$1, AsistenciaJetAdminConcatenada!$B:$B, 0)), ISNUMBER(SEARCH($A93,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ISNUMBER(SEARCH($A93, INDEX(AsistenciaJetAdminConcatenada!$D:$D, MATCH(1, (AsistenciaJetAdminConcatenada!$A:$A=DR$2)*(AsistenciaJetAdminConcatenada!$B:$B=DR$1), 0)), 1))),  0.5, 0))</f>
        <v>0</v>
      </c>
      <c r="DS93" s="47">
        <f t="array" ref="DS93">IF(AND(ISNUMBER(MATCH(DS$2, AsistenciaJetAdminConcatenada!$A:$A, 0)), ISNUMBER(MATCH(DS$1, AsistenciaJetAdminConcatenada!$B:$B, 0)), ISNUMBER(SEARCH($A93,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ISNUMBER(SEARCH($A93, INDEX(AsistenciaJetAdminConcatenada!$D:$D, MATCH(1, (AsistenciaJetAdminConcatenada!$A:$A=DS$2)*(AsistenciaJetAdminConcatenada!$B:$B=DS$1), 0)), 1))),  0.5, 0))</f>
        <v>0</v>
      </c>
      <c r="DT93" s="47">
        <f t="array" ref="DT93">IF(AND(ISNUMBER(MATCH(DT$2, AsistenciaJetAdminConcatenada!$A:$A, 0)), ISNUMBER(MATCH(DT$1, AsistenciaJetAdminConcatenada!$B:$B, 0)), ISNUMBER(SEARCH($A93,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ISNUMBER(SEARCH($A93, INDEX(AsistenciaJetAdminConcatenada!$D:$D, MATCH(1, (AsistenciaJetAdminConcatenada!$A:$A=DT$2)*(AsistenciaJetAdminConcatenada!$B:$B=DT$1), 0)), 1))),  0.5, 0))</f>
        <v>0</v>
      </c>
      <c r="DU93" s="47">
        <f t="array" ref="DU93">IF(AND(ISNUMBER(MATCH(DU$2, AsistenciaJetAdminConcatenada!$A:$A, 0)), ISNUMBER(MATCH(DU$1, AsistenciaJetAdminConcatenada!$B:$B, 0)), ISNUMBER(SEARCH($A93,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ISNUMBER(SEARCH($A93, INDEX(AsistenciaJetAdminConcatenada!$D:$D, MATCH(1, (AsistenciaJetAdminConcatenada!$A:$A=DU$2)*(AsistenciaJetAdminConcatenada!$B:$B=DU$1), 0)), 1))),  0.5, 0))</f>
        <v>0</v>
      </c>
      <c r="DV93" s="47">
        <f t="array" ref="DV93">IF(AND(ISNUMBER(MATCH(DV$2, AsistenciaJetAdminConcatenada!$A:$A, 0)), ISNUMBER(MATCH(DV$1, AsistenciaJetAdminConcatenada!$B:$B, 0)), ISNUMBER(SEARCH($A93,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ISNUMBER(SEARCH($A93, INDEX(AsistenciaJetAdminConcatenada!$D:$D, MATCH(1, (AsistenciaJetAdminConcatenada!$A:$A=DV$2)*(AsistenciaJetAdminConcatenada!$B:$B=DV$1), 0)), 1))),  0.5, 0))</f>
        <v>0</v>
      </c>
      <c r="DW93" s="47">
        <f t="array" ref="DW93">IF(AND(ISNUMBER(MATCH(DW$2, AsistenciaJetAdminConcatenada!$A:$A, 0)), ISNUMBER(MATCH(DW$1, AsistenciaJetAdminConcatenada!$B:$B, 0)), ISNUMBER(SEARCH($A93,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ISNUMBER(SEARCH($A93, INDEX(AsistenciaJetAdminConcatenada!$D:$D, MATCH(1, (AsistenciaJetAdminConcatenada!$A:$A=DW$2)*(AsistenciaJetAdminConcatenada!$B:$B=DW$1), 0)), 1))),  0.5, 0))</f>
        <v>0</v>
      </c>
      <c r="DX93" s="47">
        <f t="array" ref="DX93">IF(AND(ISNUMBER(MATCH(DX$2, AsistenciaJetAdminConcatenada!$A:$A, 0)), ISNUMBER(MATCH(DX$1, AsistenciaJetAdminConcatenada!$B:$B, 0)), ISNUMBER(SEARCH($A93,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ISNUMBER(SEARCH($A93, INDEX(AsistenciaJetAdminConcatenada!$D:$D, MATCH(1, (AsistenciaJetAdminConcatenada!$A:$A=DX$2)*(AsistenciaJetAdminConcatenada!$B:$B=DX$1), 0)), 1))),  0.5, 0))</f>
        <v>0</v>
      </c>
      <c r="DY93" s="47">
        <f t="array" ref="DY93">IF(AND(ISNUMBER(MATCH(DY$2, AsistenciaJetAdminConcatenada!$A:$A, 0)), ISNUMBER(MATCH(DY$1, AsistenciaJetAdminConcatenada!$B:$B, 0)), ISNUMBER(SEARCH($A93,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ISNUMBER(SEARCH($A93, INDEX(AsistenciaJetAdminConcatenada!$D:$D, MATCH(1, (AsistenciaJetAdminConcatenada!$A:$A=DY$2)*(AsistenciaJetAdminConcatenada!$B:$B=DY$1), 0)), 1))),  0.5, 0))</f>
        <v>0</v>
      </c>
      <c r="DZ93" s="47">
        <f t="array" ref="DZ93">IF(AND(ISNUMBER(MATCH(DZ$2, AsistenciaJetAdminConcatenada!$A:$A, 0)), ISNUMBER(MATCH(DZ$1, AsistenciaJetAdminConcatenada!$B:$B, 0)), ISNUMBER(SEARCH($A93,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ISNUMBER(SEARCH($A93, INDEX(AsistenciaJetAdminConcatenada!$D:$D, MATCH(1, (AsistenciaJetAdminConcatenada!$A:$A=DZ$2)*(AsistenciaJetAdminConcatenada!$B:$B=DZ$1), 0)), 1))),  0.5, 0))</f>
        <v>0</v>
      </c>
      <c r="EA93" s="47">
        <f t="array" ref="EA93">IF(AND(ISNUMBER(MATCH(EA$2, AsistenciaJetAdminConcatenada!$A:$A, 0)), ISNUMBER(MATCH(EA$1, AsistenciaJetAdminConcatenada!$B:$B, 0)), ISNUMBER(SEARCH($A93,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ISNUMBER(SEARCH($A93, INDEX(AsistenciaJetAdminConcatenada!$D:$D, MATCH(1, (AsistenciaJetAdminConcatenada!$A:$A=EA$2)*(AsistenciaJetAdminConcatenada!$B:$B=EA$1), 0)), 1))),  0.5, 0))</f>
        <v>0</v>
      </c>
      <c r="EB93" s="47">
        <f t="array" ref="EB93">IF(AND(ISNUMBER(MATCH(EB$2, AsistenciaJetAdminConcatenada!$A:$A, 0)), ISNUMBER(MATCH(EB$1, AsistenciaJetAdminConcatenada!$B:$B, 0)), ISNUMBER(SEARCH($A93,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ISNUMBER(SEARCH($A93, INDEX(AsistenciaJetAdminConcatenada!$D:$D, MATCH(1, (AsistenciaJetAdminConcatenada!$A:$A=EB$2)*(AsistenciaJetAdminConcatenada!$B:$B=EB$1), 0)), 1))),  0.5, 0))</f>
        <v>0</v>
      </c>
      <c r="EC93" s="47">
        <f t="array" ref="EC93">IF(AND(ISNUMBER(MATCH(EC$2, AsistenciaJetAdminConcatenada!$A:$A, 0)), ISNUMBER(MATCH(EC$1, AsistenciaJetAdminConcatenada!$B:$B, 0)), ISNUMBER(SEARCH($A93,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ISNUMBER(SEARCH($A93, INDEX(AsistenciaJetAdminConcatenada!$D:$D, MATCH(1, (AsistenciaJetAdminConcatenada!$A:$A=EC$2)*(AsistenciaJetAdminConcatenada!$B:$B=EC$1), 0)), 1))),  0.5, 0))</f>
        <v>0</v>
      </c>
      <c r="ED93" s="47">
        <f t="array" ref="ED93">IF(AND(ISNUMBER(MATCH(ED$2, AsistenciaJetAdminConcatenada!$A:$A, 0)), ISNUMBER(MATCH(ED$1, AsistenciaJetAdminConcatenada!$B:$B, 0)), ISNUMBER(SEARCH($A93,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ISNUMBER(SEARCH($A93, INDEX(AsistenciaJetAdminConcatenada!$D:$D, MATCH(1, (AsistenciaJetAdminConcatenada!$A:$A=ED$2)*(AsistenciaJetAdminConcatenada!$B:$B=ED$1), 0)), 1))),  0.5, 0))</f>
        <v>0</v>
      </c>
      <c r="EE93" s="47">
        <f t="array" ref="EE93">IF(AND(ISNUMBER(MATCH(EE$2, AsistenciaJetAdminConcatenada!$A:$A, 0)), ISNUMBER(MATCH(EE$1, AsistenciaJetAdminConcatenada!$B:$B, 0)), ISNUMBER(SEARCH($A93,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ISNUMBER(SEARCH($A93, INDEX(AsistenciaJetAdminConcatenada!$D:$D, MATCH(1, (AsistenciaJetAdminConcatenada!$A:$A=EE$2)*(AsistenciaJetAdminConcatenada!$B:$B=EE$1), 0)), 1))),  0.5, 0))</f>
        <v>0</v>
      </c>
      <c r="EF93" s="47">
        <f t="array" ref="EF93">IF(AND(ISNUMBER(MATCH(EF$2, AsistenciaJetAdminConcatenada!$A:$A, 0)), ISNUMBER(MATCH(EF$1, AsistenciaJetAdminConcatenada!$B:$B, 0)), ISNUMBER(SEARCH($A93,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ISNUMBER(SEARCH($A93, INDEX(AsistenciaJetAdminConcatenada!$D:$D, MATCH(1, (AsistenciaJetAdminConcatenada!$A:$A=EF$2)*(AsistenciaJetAdminConcatenada!$B:$B=EF$1), 0)), 1))),  0.5, 0))</f>
        <v>0</v>
      </c>
      <c r="EG93" s="47">
        <f t="array" ref="EG93">IF(AND(ISNUMBER(MATCH(EG$2, AsistenciaJetAdminConcatenada!$A:$A, 0)), ISNUMBER(MATCH(EG$1, AsistenciaJetAdminConcatenada!$B:$B, 0)), ISNUMBER(SEARCH($A93,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ISNUMBER(SEARCH($A93, INDEX(AsistenciaJetAdminConcatenada!$D:$D, MATCH(1, (AsistenciaJetAdminConcatenada!$A:$A=EG$2)*(AsistenciaJetAdminConcatenada!$B:$B=EG$1), 0)), 1))),  0.5, 0))</f>
        <v>0</v>
      </c>
      <c r="EH93" s="47">
        <f t="array" ref="EH93">IF(AND(ISNUMBER(MATCH(EH$2, AsistenciaJetAdminConcatenada!$A:$A, 0)), ISNUMBER(MATCH(EH$1, AsistenciaJetAdminConcatenada!$B:$B, 0)), ISNUMBER(SEARCH($A93,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ISNUMBER(SEARCH($A93, INDEX(AsistenciaJetAdminConcatenada!$D:$D, MATCH(1, (AsistenciaJetAdminConcatenada!$A:$A=EH$2)*(AsistenciaJetAdminConcatenada!$B:$B=EH$1), 0)), 1))),  0.5, 0))</f>
        <v>0</v>
      </c>
      <c r="EI93" s="47">
        <f t="array" ref="EI93">IF(AND(ISNUMBER(MATCH(EI$2, AsistenciaJetAdminConcatenada!$A:$A, 0)), ISNUMBER(MATCH(EI$1, AsistenciaJetAdminConcatenada!$B:$B, 0)), ISNUMBER(SEARCH($A93,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ISNUMBER(SEARCH($A93, INDEX(AsistenciaJetAdminConcatenada!$D:$D, MATCH(1, (AsistenciaJetAdminConcatenada!$A:$A=EI$2)*(AsistenciaJetAdminConcatenada!$B:$B=EI$1), 0)), 1))),  0.5, 0))</f>
        <v>0</v>
      </c>
      <c r="EJ93" s="47">
        <f t="array" ref="EJ93">IF(AND(ISNUMBER(MATCH(EJ$2, AsistenciaJetAdminConcatenada!$A:$A, 0)), ISNUMBER(MATCH(EJ$1, AsistenciaJetAdminConcatenada!$B:$B, 0)), ISNUMBER(SEARCH($A93,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ISNUMBER(SEARCH($A93, INDEX(AsistenciaJetAdminConcatenada!$D:$D, MATCH(1, (AsistenciaJetAdminConcatenada!$A:$A=EJ$2)*(AsistenciaJetAdminConcatenada!$B:$B=EJ$1), 0)), 1))),  0.5, 0))</f>
        <v>0</v>
      </c>
      <c r="EK93" s="47">
        <f t="array" ref="EK93">IF(AND(ISNUMBER(MATCH(EK$2, AsistenciaJetAdminConcatenada!$A:$A, 0)), ISNUMBER(MATCH(EK$1, AsistenciaJetAdminConcatenada!$B:$B, 0)), ISNUMBER(SEARCH($A93,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ISNUMBER(SEARCH($A93, INDEX(AsistenciaJetAdminConcatenada!$D:$D, MATCH(1, (AsistenciaJetAdminConcatenada!$A:$A=EK$2)*(AsistenciaJetAdminConcatenada!$B:$B=EK$1), 0)), 1))),  0.5, 0))</f>
        <v>0</v>
      </c>
      <c r="EL93" s="47">
        <f t="array" ref="EL93">IF(AND(ISNUMBER(MATCH(EL$2, AsistenciaJetAdminConcatenada!$A:$A, 0)), ISNUMBER(MATCH(EL$1, AsistenciaJetAdminConcatenada!$B:$B, 0)), ISNUMBER(SEARCH($A93,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ISNUMBER(SEARCH($A93, INDEX(AsistenciaJetAdminConcatenada!$D:$D, MATCH(1, (AsistenciaJetAdminConcatenada!$A:$A=EL$2)*(AsistenciaJetAdminConcatenada!$B:$B=EL$1), 0)), 1))),  0.5, 0))</f>
        <v>0</v>
      </c>
      <c r="EM93" s="47">
        <f t="array" ref="EM93">IF(AND(ISNUMBER(MATCH(EM$2, AsistenciaJetAdminConcatenada!$A:$A, 0)), ISNUMBER(MATCH(EM$1, AsistenciaJetAdminConcatenada!$B:$B, 0)), ISNUMBER(SEARCH($A93,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ISNUMBER(SEARCH($A93, INDEX(AsistenciaJetAdminConcatenada!$D:$D, MATCH(1, (AsistenciaJetAdminConcatenada!$A:$A=EM$2)*(AsistenciaJetAdminConcatenada!$B:$B=EM$1), 0)), 1))),  0.5, 0))</f>
        <v>0</v>
      </c>
      <c r="EN93" s="47">
        <f t="array" ref="EN93">IF(AND(ISNUMBER(MATCH(EN$2, AsistenciaJetAdminConcatenada!$A:$A, 0)), ISNUMBER(MATCH(EN$1, AsistenciaJetAdminConcatenada!$B:$B, 0)), ISNUMBER(SEARCH($A93,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ISNUMBER(SEARCH($A93, INDEX(AsistenciaJetAdminConcatenada!$D:$D, MATCH(1, (AsistenciaJetAdminConcatenada!$A:$A=EN$2)*(AsistenciaJetAdminConcatenada!$B:$B=EN$1), 0)), 1))),  0.5, 0))</f>
        <v>0</v>
      </c>
      <c r="EO93" s="47">
        <f t="array" ref="EO93">IF(AND(ISNUMBER(MATCH(EO$2, AsistenciaJetAdminConcatenada!$A:$A, 0)), ISNUMBER(MATCH(EO$1, AsistenciaJetAdminConcatenada!$B:$B, 0)), ISNUMBER(SEARCH($A93,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ISNUMBER(SEARCH($A93, INDEX(AsistenciaJetAdminConcatenada!$D:$D, MATCH(1, (AsistenciaJetAdminConcatenada!$A:$A=EO$2)*(AsistenciaJetAdminConcatenada!$B:$B=EO$1), 0)), 1))),  0.5, 0))</f>
        <v>0</v>
      </c>
      <c r="EP93" s="47">
        <f t="array" ref="EP93">IF(AND(ISNUMBER(MATCH(EP$2, AsistenciaJetAdminConcatenada!$A:$A, 0)), ISNUMBER(MATCH(EP$1, AsistenciaJetAdminConcatenada!$B:$B, 0)), ISNUMBER(SEARCH($A93,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ISNUMBER(SEARCH($A93, INDEX(AsistenciaJetAdminConcatenada!$D:$D, MATCH(1, (AsistenciaJetAdminConcatenada!$A:$A=EP$2)*(AsistenciaJetAdminConcatenada!$B:$B=EP$1), 0)), 1))),  0.5, 0))</f>
        <v>0</v>
      </c>
      <c r="EQ93" s="47">
        <f t="array" ref="EQ93">IF(AND(ISNUMBER(MATCH(EQ$2, AsistenciaJetAdminConcatenada!$A:$A, 0)), ISNUMBER(MATCH(EQ$1, AsistenciaJetAdminConcatenada!$B:$B, 0)), ISNUMBER(SEARCH($A93,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ISNUMBER(SEARCH($A93, INDEX(AsistenciaJetAdminConcatenada!$D:$D, MATCH(1, (AsistenciaJetAdminConcatenada!$A:$A=EQ$2)*(AsistenciaJetAdminConcatenada!$B:$B=EQ$1), 0)), 1))),  0.5, 0))</f>
        <v>0</v>
      </c>
      <c r="ER93" s="47">
        <f t="array" ref="ER93">IF(AND(ISNUMBER(MATCH(ER$2, AsistenciaJetAdminConcatenada!$A:$A, 0)), ISNUMBER(MATCH(ER$1, AsistenciaJetAdminConcatenada!$B:$B, 0)), ISNUMBER(SEARCH($A93,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ISNUMBER(SEARCH($A93, INDEX(AsistenciaJetAdminConcatenada!$D:$D, MATCH(1, (AsistenciaJetAdminConcatenada!$A:$A=ER$2)*(AsistenciaJetAdminConcatenada!$B:$B=ER$1), 0)), 1))),  0.5, 0))</f>
        <v>0</v>
      </c>
      <c r="ES93" s="47">
        <f t="array" ref="ES93">IF(AND(ISNUMBER(MATCH(ES$2, AsistenciaJetAdminConcatenada!$A:$A, 0)), ISNUMBER(MATCH(ES$1, AsistenciaJetAdminConcatenada!$B:$B, 0)), ISNUMBER(SEARCH($A93,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ISNUMBER(SEARCH($A93, INDEX(AsistenciaJetAdminConcatenada!$D:$D, MATCH(1, (AsistenciaJetAdminConcatenada!$A:$A=ES$2)*(AsistenciaJetAdminConcatenada!$B:$B=ES$1), 0)), 1))),  0.5, 0))</f>
        <v>0</v>
      </c>
      <c r="ET93" s="47">
        <f t="array" ref="ET93">IF(AND(ISNUMBER(MATCH(ET$2, AsistenciaJetAdminConcatenada!$A:$A, 0)), ISNUMBER(MATCH(ET$1, AsistenciaJetAdminConcatenada!$B:$B, 0)), ISNUMBER(SEARCH($A93,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ISNUMBER(SEARCH($A93, INDEX(AsistenciaJetAdminConcatenada!$D:$D, MATCH(1, (AsistenciaJetAdminConcatenada!$A:$A=ET$2)*(AsistenciaJetAdminConcatenada!$B:$B=ET$1), 0)), 1))),  0.5, 0))</f>
        <v>0</v>
      </c>
      <c r="EU93" s="47">
        <f t="array" ref="EU93">IF(AND(ISNUMBER(MATCH(EU$2, AsistenciaJetAdminConcatenada!$A:$A, 0)), ISNUMBER(MATCH(EU$1, AsistenciaJetAdminConcatenada!$B:$B, 0)), ISNUMBER(SEARCH($A93,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ISNUMBER(SEARCH($A93, INDEX(AsistenciaJetAdminConcatenada!$D:$D, MATCH(1, (AsistenciaJetAdminConcatenada!$A:$A=EU$2)*(AsistenciaJetAdminConcatenada!$B:$B=EU$1), 0)), 1))),  0.5, 0))</f>
        <v>0</v>
      </c>
      <c r="EV93" s="47">
        <f t="array" ref="EV93">IF(AND(ISNUMBER(MATCH(EV$2, AsistenciaJetAdminConcatenada!$A:$A, 0)), ISNUMBER(MATCH(EV$1, AsistenciaJetAdminConcatenada!$B:$B, 0)), ISNUMBER(SEARCH($A93,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ISNUMBER(SEARCH($A93, INDEX(AsistenciaJetAdminConcatenada!$D:$D, MATCH(1, (AsistenciaJetAdminConcatenada!$A:$A=EV$2)*(AsistenciaJetAdminConcatenada!$B:$B=EV$1), 0)), 1))),  0.5, 0))</f>
        <v>0</v>
      </c>
      <c r="EW93" s="47">
        <f t="array" ref="EW93">IF(AND(ISNUMBER(MATCH(EW$2, AsistenciaJetAdminConcatenada!$A:$A, 0)), ISNUMBER(MATCH(EW$1, AsistenciaJetAdminConcatenada!$B:$B, 0)), ISNUMBER(SEARCH($A93,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ISNUMBER(SEARCH($A93, INDEX(AsistenciaJetAdminConcatenada!$D:$D, MATCH(1, (AsistenciaJetAdminConcatenada!$A:$A=EW$2)*(AsistenciaJetAdminConcatenada!$B:$B=EW$1), 0)), 1))),  0.5, 0))</f>
        <v>0</v>
      </c>
      <c r="EX93" s="47">
        <f t="array" ref="EX93">IF(AND(ISNUMBER(MATCH(EX$2, AsistenciaJetAdminConcatenada!$A:$A, 0)), ISNUMBER(MATCH(EX$1, AsistenciaJetAdminConcatenada!$B:$B, 0)), ISNUMBER(SEARCH($A93,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ISNUMBER(SEARCH($A93, INDEX(AsistenciaJetAdminConcatenada!$D:$D, MATCH(1, (AsistenciaJetAdminConcatenada!$A:$A=EX$2)*(AsistenciaJetAdminConcatenada!$B:$B=EX$1), 0)), 1))),  0.5, 0))</f>
        <v>0</v>
      </c>
      <c r="EY93" s="47">
        <f t="array" ref="EY93">IF(AND(ISNUMBER(MATCH(EY$2, AsistenciaJetAdminConcatenada!$A:$A, 0)), ISNUMBER(MATCH(EY$1, AsistenciaJetAdminConcatenada!$B:$B, 0)), ISNUMBER(SEARCH($A93,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ISNUMBER(SEARCH($A93, INDEX(AsistenciaJetAdminConcatenada!$D:$D, MATCH(1, (AsistenciaJetAdminConcatenada!$A:$A=EY$2)*(AsistenciaJetAdminConcatenada!$B:$B=EY$1), 0)), 1))),  0.5, 0))</f>
        <v>0</v>
      </c>
      <c r="EZ93" s="47">
        <f t="array" ref="EZ93">IF(AND(ISNUMBER(MATCH(EZ$2, AsistenciaJetAdminConcatenada!$A:$A, 0)), ISNUMBER(MATCH(EZ$1, AsistenciaJetAdminConcatenada!$B:$B, 0)), ISNUMBER(SEARCH($A93,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ISNUMBER(SEARCH($A93, INDEX(AsistenciaJetAdminConcatenada!$D:$D, MATCH(1, (AsistenciaJetAdminConcatenada!$A:$A=EZ$2)*(AsistenciaJetAdminConcatenada!$B:$B=EZ$1), 0)), 1))),  0.5, 0))</f>
        <v>0</v>
      </c>
      <c r="FA93" s="47">
        <f t="array" ref="FA93">IF(AND(ISNUMBER(MATCH(FA$2, AsistenciaJetAdminConcatenada!$A:$A, 0)), ISNUMBER(MATCH(FA$1, AsistenciaJetAdminConcatenada!$B:$B, 0)), ISNUMBER(SEARCH($A93,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ISNUMBER(SEARCH($A93, INDEX(AsistenciaJetAdminConcatenada!$D:$D, MATCH(1, (AsistenciaJetAdminConcatenada!$A:$A=FA$2)*(AsistenciaJetAdminConcatenada!$B:$B=FA$1), 0)), 1))),  0.5, 0))</f>
        <v>0</v>
      </c>
      <c r="FB93" s="47">
        <f t="array" ref="FB93">IF(AND(ISNUMBER(MATCH(FB$2, AsistenciaJetAdminConcatenada!$A:$A, 0)), ISNUMBER(MATCH(FB$1, AsistenciaJetAdminConcatenada!$B:$B, 0)), ISNUMBER(SEARCH($A93,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ISNUMBER(SEARCH($A93, INDEX(AsistenciaJetAdminConcatenada!$D:$D, MATCH(1, (AsistenciaJetAdminConcatenada!$A:$A=FB$2)*(AsistenciaJetAdminConcatenada!$B:$B=FB$1), 0)), 1))),  0.5, 0))</f>
        <v>0</v>
      </c>
      <c r="FC93" s="47">
        <f t="array" ref="FC93">IF(AND(ISNUMBER(MATCH(FC$2, AsistenciaJetAdminConcatenada!$A:$A, 0)), ISNUMBER(MATCH(FC$1, AsistenciaJetAdminConcatenada!$B:$B, 0)), ISNUMBER(SEARCH($A93,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ISNUMBER(SEARCH($A93, INDEX(AsistenciaJetAdminConcatenada!$D:$D, MATCH(1, (AsistenciaJetAdminConcatenada!$A:$A=FC$2)*(AsistenciaJetAdminConcatenada!$B:$B=FC$1), 0)), 1))),  0.5, 0))</f>
        <v>0</v>
      </c>
      <c r="FD93" s="47">
        <f t="array" ref="FD93">IF(AND(ISNUMBER(MATCH(FD$2, AsistenciaJetAdminConcatenada!$A:$A, 0)), ISNUMBER(MATCH(FD$1, AsistenciaJetAdminConcatenada!$B:$B, 0)), ISNUMBER(SEARCH($A93,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ISNUMBER(SEARCH($A93, INDEX(AsistenciaJetAdminConcatenada!$D:$D, MATCH(1, (AsistenciaJetAdminConcatenada!$A:$A=FD$2)*(AsistenciaJetAdminConcatenada!$B:$B=FD$1), 0)), 1))),  0.5, 0))</f>
        <v>0</v>
      </c>
      <c r="FE93" s="47">
        <f t="array" ref="FE93">IF(AND(ISNUMBER(MATCH(FE$2, AsistenciaJetAdminConcatenada!$A:$A, 0)), ISNUMBER(MATCH(FE$1, AsistenciaJetAdminConcatenada!$B:$B, 0)), ISNUMBER(SEARCH($A93,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ISNUMBER(SEARCH($A93, INDEX(AsistenciaJetAdminConcatenada!$D:$D, MATCH(1, (AsistenciaJetAdminConcatenada!$A:$A=FE$2)*(AsistenciaJetAdminConcatenada!$B:$B=FE$1), 0)), 1))),  0.5, 0))</f>
        <v>0</v>
      </c>
      <c r="FF93" s="47">
        <f t="array" ref="FF93">IF(AND(ISNUMBER(MATCH(FF$2, AsistenciaJetAdminConcatenada!$A:$A, 0)), ISNUMBER(MATCH(FF$1, AsistenciaJetAdminConcatenada!$B:$B, 0)), ISNUMBER(SEARCH($A93,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ISNUMBER(SEARCH($A93, INDEX(AsistenciaJetAdminConcatenada!$D:$D, MATCH(1, (AsistenciaJetAdminConcatenada!$A:$A=FF$2)*(AsistenciaJetAdminConcatenada!$B:$B=FF$1), 0)), 1))),  0.5, 0))</f>
        <v>0</v>
      </c>
      <c r="FG93" s="47">
        <f t="array" ref="FG93">IF(AND(ISNUMBER(MATCH(FG$2, AsistenciaJetAdminConcatenada!$A:$A, 0)), ISNUMBER(MATCH(FG$1, AsistenciaJetAdminConcatenada!$B:$B, 0)), ISNUMBER(SEARCH($A93,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ISNUMBER(SEARCH($A93, INDEX(AsistenciaJetAdminConcatenada!$D:$D, MATCH(1, (AsistenciaJetAdminConcatenada!$A:$A=FG$2)*(AsistenciaJetAdminConcatenada!$B:$B=FG$1), 0)), 1))),  0.5, 0))</f>
        <v>0</v>
      </c>
      <c r="FH93" s="47">
        <f t="array" ref="FH93">IF(AND(ISNUMBER(MATCH(FH$2, AsistenciaJetAdminConcatenada!$A:$A, 0)), ISNUMBER(MATCH(FH$1, AsistenciaJetAdminConcatenada!$B:$B, 0)), ISNUMBER(SEARCH($A93,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ISNUMBER(SEARCH($A93, INDEX(AsistenciaJetAdminConcatenada!$D:$D, MATCH(1, (AsistenciaJetAdminConcatenada!$A:$A=FH$2)*(AsistenciaJetAdminConcatenada!$B:$B=FH$1), 0)), 1))),  0.5, 0))</f>
        <v>0</v>
      </c>
      <c r="FI93" s="47">
        <f t="array" ref="FI93">IF(AND(ISNUMBER(MATCH(FI$2, AsistenciaJetAdminConcatenada!$A:$A, 0)), ISNUMBER(MATCH(FI$1, AsistenciaJetAdminConcatenada!$B:$B, 0)), ISNUMBER(SEARCH($A93,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ISNUMBER(SEARCH($A93, INDEX(AsistenciaJetAdminConcatenada!$D:$D, MATCH(1, (AsistenciaJetAdminConcatenada!$A:$A=FI$2)*(AsistenciaJetAdminConcatenada!$B:$B=FI$1), 0)), 1))),  0.5, 0))</f>
        <v>0</v>
      </c>
      <c r="FJ93" s="47">
        <f t="array" ref="FJ93">IF(AND(ISNUMBER(MATCH(FJ$2, AsistenciaJetAdminConcatenada!$A:$A, 0)), ISNUMBER(MATCH(FJ$1, AsistenciaJetAdminConcatenada!$B:$B, 0)), ISNUMBER(SEARCH($A93,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ISNUMBER(SEARCH($A93, INDEX(AsistenciaJetAdminConcatenada!$D:$D, MATCH(1, (AsistenciaJetAdminConcatenada!$A:$A=FJ$2)*(AsistenciaJetAdminConcatenada!$B:$B=FJ$1), 0)), 1))),  0.5, 0))</f>
        <v>0</v>
      </c>
      <c r="FK93" s="47">
        <f t="array" ref="FK93">IF(AND(ISNUMBER(MATCH(FK$2, AsistenciaJetAdminConcatenada!$A:$A, 0)), ISNUMBER(MATCH(FK$1, AsistenciaJetAdminConcatenada!$B:$B, 0)), ISNUMBER(SEARCH($A93,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ISNUMBER(SEARCH($A93, INDEX(AsistenciaJetAdminConcatenada!$D:$D, MATCH(1, (AsistenciaJetAdminConcatenada!$A:$A=FK$2)*(AsistenciaJetAdminConcatenada!$B:$B=FK$1), 0)), 1))),  0.5, 0))</f>
        <v>0</v>
      </c>
      <c r="FL93" s="47">
        <f t="array" ref="FL93">IF(AND(ISNUMBER(MATCH(FL$2, AsistenciaJetAdminConcatenada!$A:$A, 0)), ISNUMBER(MATCH(FL$1, AsistenciaJetAdminConcatenada!$B:$B, 0)), ISNUMBER(SEARCH($A93,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ISNUMBER(SEARCH($A93, INDEX(AsistenciaJetAdminConcatenada!$D:$D, MATCH(1, (AsistenciaJetAdminConcatenada!$A:$A=FL$2)*(AsistenciaJetAdminConcatenada!$B:$B=FL$1), 0)), 1))),  0.5, 0))</f>
        <v>0</v>
      </c>
      <c r="FM93" s="47">
        <f t="array" ref="FM93">IF(AND(ISNUMBER(MATCH(FM$2, AsistenciaJetAdminConcatenada!$A:$A, 0)), ISNUMBER(MATCH(FM$1, AsistenciaJetAdminConcatenada!$B:$B, 0)), ISNUMBER(SEARCH($A93,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ISNUMBER(SEARCH($A93, INDEX(AsistenciaJetAdminConcatenada!$D:$D, MATCH(1, (AsistenciaJetAdminConcatenada!$A:$A=FM$2)*(AsistenciaJetAdminConcatenada!$B:$B=FM$1), 0)), 1))),  0.5, 0))</f>
        <v>0</v>
      </c>
      <c r="FN93" s="47">
        <f t="array" ref="FN93">IF(AND(ISNUMBER(MATCH(FN$2, AsistenciaJetAdminConcatenada!$A:$A, 0)), ISNUMBER(MATCH(FN$1, AsistenciaJetAdminConcatenada!$B:$B, 0)), ISNUMBER(SEARCH($A93,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ISNUMBER(SEARCH($A93, INDEX(AsistenciaJetAdminConcatenada!$D:$D, MATCH(1, (AsistenciaJetAdminConcatenada!$A:$A=FN$2)*(AsistenciaJetAdminConcatenada!$B:$B=FN$1), 0)), 1))),  0.5, 0))</f>
        <v>0</v>
      </c>
      <c r="FO93" s="47">
        <f t="array" ref="FO93">IF(AND(ISNUMBER(MATCH(FO$2, AsistenciaJetAdminConcatenada!$A:$A, 0)), ISNUMBER(MATCH(FO$1, AsistenciaJetAdminConcatenada!$B:$B, 0)), ISNUMBER(SEARCH($A93,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ISNUMBER(SEARCH($A93, INDEX(AsistenciaJetAdminConcatenada!$D:$D, MATCH(1, (AsistenciaJetAdminConcatenada!$A:$A=FO$2)*(AsistenciaJetAdminConcatenada!$B:$B=FO$1), 0)), 1))),  0.5, 0))</f>
        <v>0</v>
      </c>
      <c r="FP93" s="47">
        <f t="array" ref="FP93">IF(AND(ISNUMBER(MATCH(FP$2, AsistenciaJetAdminConcatenada!$A:$A, 0)), ISNUMBER(MATCH(FP$1, AsistenciaJetAdminConcatenada!$B:$B, 0)), ISNUMBER(SEARCH($A93,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ISNUMBER(SEARCH($A93, INDEX(AsistenciaJetAdminConcatenada!$D:$D, MATCH(1, (AsistenciaJetAdminConcatenada!$A:$A=FP$2)*(AsistenciaJetAdminConcatenada!$B:$B=FP$1), 0)), 1))),  0.5, 0))</f>
        <v>0</v>
      </c>
      <c r="FQ93" s="47">
        <f t="array" ref="FQ93">IF(AND(ISNUMBER(MATCH(FQ$2, AsistenciaJetAdminConcatenada!$A:$A, 0)), ISNUMBER(MATCH(FQ$1, AsistenciaJetAdminConcatenada!$B:$B, 0)), ISNUMBER(SEARCH($A93,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ISNUMBER(SEARCH($A93, INDEX(AsistenciaJetAdminConcatenada!$D:$D, MATCH(1, (AsistenciaJetAdminConcatenada!$A:$A=FQ$2)*(AsistenciaJetAdminConcatenada!$B:$B=FQ$1), 0)), 1))),  0.5, 0))</f>
        <v>0</v>
      </c>
      <c r="FR93" s="47">
        <f t="array" ref="FR93">IF(AND(ISNUMBER(MATCH(FR$2, AsistenciaJetAdminConcatenada!$A:$A, 0)), ISNUMBER(MATCH(FR$1, AsistenciaJetAdminConcatenada!$B:$B, 0)), ISNUMBER(SEARCH($A93,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ISNUMBER(SEARCH($A93, INDEX(AsistenciaJetAdminConcatenada!$D:$D, MATCH(1, (AsistenciaJetAdminConcatenada!$A:$A=FR$2)*(AsistenciaJetAdminConcatenada!$B:$B=FR$1), 0)), 1))),  0.5, 0))</f>
        <v>0</v>
      </c>
      <c r="FS93" s="47">
        <f t="array" ref="FS93">IF(AND(ISNUMBER(MATCH(FS$2, AsistenciaJetAdminConcatenada!$A:$A, 0)), ISNUMBER(MATCH(FS$1, AsistenciaJetAdminConcatenada!$B:$B, 0)), ISNUMBER(SEARCH($A93,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ISNUMBER(SEARCH($A93, INDEX(AsistenciaJetAdminConcatenada!$D:$D, MATCH(1, (AsistenciaJetAdminConcatenada!$A:$A=FS$2)*(AsistenciaJetAdminConcatenada!$B:$B=FS$1), 0)), 1))),  0.5, 0))</f>
        <v>0</v>
      </c>
      <c r="FT93" s="47">
        <f t="array" ref="FT93">IF(AND(ISNUMBER(MATCH(FT$2, AsistenciaJetAdminConcatenada!$A:$A, 0)), ISNUMBER(MATCH(FT$1, AsistenciaJetAdminConcatenada!$B:$B, 0)), ISNUMBER(SEARCH($A93,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ISNUMBER(SEARCH($A93, INDEX(AsistenciaJetAdminConcatenada!$D:$D, MATCH(1, (AsistenciaJetAdminConcatenada!$A:$A=FT$2)*(AsistenciaJetAdminConcatenada!$B:$B=FT$1), 0)), 1))),  0.5, 0))</f>
        <v>0</v>
      </c>
      <c r="FU93" s="47">
        <f t="array" ref="FU93">IF(AND(ISNUMBER(MATCH(FU$2, AsistenciaJetAdminConcatenada!$A:$A, 0)), ISNUMBER(MATCH(FU$1, AsistenciaJetAdminConcatenada!$B:$B, 0)), ISNUMBER(SEARCH($A93,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ISNUMBER(SEARCH($A93, INDEX(AsistenciaJetAdminConcatenada!$D:$D, MATCH(1, (AsistenciaJetAdminConcatenada!$A:$A=FU$2)*(AsistenciaJetAdminConcatenada!$B:$B=FU$1), 0)), 1))),  0.5, 0))</f>
        <v>0</v>
      </c>
      <c r="FV93" s="47">
        <f t="array" ref="FV93">IF(AND(ISNUMBER(MATCH(FV$2, AsistenciaJetAdminConcatenada!$A:$A, 0)), ISNUMBER(MATCH(FV$1, AsistenciaJetAdminConcatenada!$B:$B, 0)), ISNUMBER(SEARCH($A93,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ISNUMBER(SEARCH($A93, INDEX(AsistenciaJetAdminConcatenada!$D:$D, MATCH(1, (AsistenciaJetAdminConcatenada!$A:$A=FV$2)*(AsistenciaJetAdminConcatenada!$B:$B=FV$1), 0)), 1))),  0.5, 0))</f>
        <v>0</v>
      </c>
      <c r="FW93" s="47">
        <f t="array" ref="FW93">IF(AND(ISNUMBER(MATCH(FW$2, AsistenciaJetAdminConcatenada!$A:$A, 0)), ISNUMBER(MATCH(FW$1, AsistenciaJetAdminConcatenada!$B:$B, 0)), ISNUMBER(SEARCH($A93,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ISNUMBER(SEARCH($A93, INDEX(AsistenciaJetAdminConcatenada!$D:$D, MATCH(1, (AsistenciaJetAdminConcatenada!$A:$A=FW$2)*(AsistenciaJetAdminConcatenada!$B:$B=FW$1), 0)), 1))),  0.5, 0))</f>
        <v>0</v>
      </c>
      <c r="FX93" s="47">
        <f t="array" ref="FX93">IF(AND(ISNUMBER(MATCH(FX$2, AsistenciaJetAdminConcatenada!$A:$A, 0)), ISNUMBER(MATCH(FX$1, AsistenciaJetAdminConcatenada!$B:$B, 0)), ISNUMBER(SEARCH($A93,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ISNUMBER(SEARCH($A93, INDEX(AsistenciaJetAdminConcatenada!$D:$D, MATCH(1, (AsistenciaJetAdminConcatenada!$A:$A=FX$2)*(AsistenciaJetAdminConcatenada!$B:$B=FX$1), 0)), 1))),  0.5, 0))</f>
        <v>0</v>
      </c>
      <c r="FY93" s="47">
        <f t="array" ref="FY93">IF(AND(ISNUMBER(MATCH(FY$2, AsistenciaJetAdminConcatenada!$A:$A, 0)), ISNUMBER(MATCH(FY$1, AsistenciaJetAdminConcatenada!$B:$B, 0)), ISNUMBER(SEARCH($A93,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ISNUMBER(SEARCH($A93, INDEX(AsistenciaJetAdminConcatenada!$D:$D, MATCH(1, (AsistenciaJetAdminConcatenada!$A:$A=FY$2)*(AsistenciaJetAdminConcatenada!$B:$B=FY$1), 0)), 1))),  0.5, 0))</f>
        <v>0</v>
      </c>
      <c r="FZ93" s="47">
        <f t="array" ref="FZ93">IF(AND(ISNUMBER(MATCH(FZ$2, AsistenciaJetAdminConcatenada!$A:$A, 0)), ISNUMBER(MATCH(FZ$1, AsistenciaJetAdminConcatenada!$B:$B, 0)), ISNUMBER(SEARCH($A93,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ISNUMBER(SEARCH($A93, INDEX(AsistenciaJetAdminConcatenada!$D:$D, MATCH(1, (AsistenciaJetAdminConcatenada!$A:$A=FZ$2)*(AsistenciaJetAdminConcatenada!$B:$B=FZ$1), 0)), 1))),  0.5, 0))</f>
        <v>0</v>
      </c>
      <c r="GA93" s="47">
        <f t="array" ref="GA93">IF(AND(ISNUMBER(MATCH(GA$2, AsistenciaJetAdminConcatenada!$A:$A, 0)), ISNUMBER(MATCH(GA$1, AsistenciaJetAdminConcatenada!$B:$B, 0)), ISNUMBER(SEARCH($A93,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ISNUMBER(SEARCH($A93, INDEX(AsistenciaJetAdminConcatenada!$D:$D, MATCH(1, (AsistenciaJetAdminConcatenada!$A:$A=GA$2)*(AsistenciaJetAdminConcatenada!$B:$B=GA$1), 0)), 1))),  0.5, 0))</f>
        <v>0</v>
      </c>
      <c r="GB93" s="47">
        <f t="array" ref="GB93">IF(AND(ISNUMBER(MATCH(GB$2, AsistenciaJetAdminConcatenada!$A:$A, 0)), ISNUMBER(MATCH(GB$1, AsistenciaJetAdminConcatenada!$B:$B, 0)), ISNUMBER(SEARCH($A93,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ISNUMBER(SEARCH($A93, INDEX(AsistenciaJetAdminConcatenada!$D:$D, MATCH(1, (AsistenciaJetAdminConcatenada!$A:$A=GB$2)*(AsistenciaJetAdminConcatenada!$B:$B=GB$1), 0)), 1))),  0.5, 0))</f>
        <v>0</v>
      </c>
      <c r="GC93" s="47">
        <f t="array" ref="GC93">IF(AND(ISNUMBER(MATCH(GC$2, AsistenciaJetAdminConcatenada!$A:$A, 0)), ISNUMBER(MATCH(GC$1, AsistenciaJetAdminConcatenada!$B:$B, 0)), ISNUMBER(SEARCH($A93,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ISNUMBER(SEARCH($A93, INDEX(AsistenciaJetAdminConcatenada!$D:$D, MATCH(1, (AsistenciaJetAdminConcatenada!$A:$A=GC$2)*(AsistenciaJetAdminConcatenada!$B:$B=GC$1), 0)), 1))),  0.5, 0))</f>
        <v>0</v>
      </c>
      <c r="GD93" s="47">
        <f t="array" ref="GD93">IF(AND(ISNUMBER(MATCH(GD$2, AsistenciaJetAdminConcatenada!$A:$A, 0)), ISNUMBER(MATCH(GD$1, AsistenciaJetAdminConcatenada!$B:$B, 0)), ISNUMBER(SEARCH($A93,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ISNUMBER(SEARCH($A93, INDEX(AsistenciaJetAdminConcatenada!$D:$D, MATCH(1, (AsistenciaJetAdminConcatenada!$A:$A=GD$2)*(AsistenciaJetAdminConcatenada!$B:$B=GD$1), 0)), 1))),  0.5, 0))</f>
        <v>0</v>
      </c>
      <c r="GE93" s="47">
        <f t="array" ref="GE93">IF(AND(ISNUMBER(MATCH(GE$2, AsistenciaJetAdminConcatenada!$A:$A, 0)), ISNUMBER(MATCH(GE$1, AsistenciaJetAdminConcatenada!$B:$B, 0)), ISNUMBER(SEARCH($A93,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ISNUMBER(SEARCH($A93, INDEX(AsistenciaJetAdminConcatenada!$D:$D, MATCH(1, (AsistenciaJetAdminConcatenada!$A:$A=GE$2)*(AsistenciaJetAdminConcatenada!$B:$B=GE$1), 0)), 1))),  0.5, 0))</f>
        <v>0</v>
      </c>
      <c r="GF93" s="47">
        <f t="array" ref="GF93">IF(AND(ISNUMBER(MATCH(GF$2, AsistenciaJetAdminConcatenada!$A:$A, 0)), ISNUMBER(MATCH(GF$1, AsistenciaJetAdminConcatenada!$B:$B, 0)), ISNUMBER(SEARCH($A93,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ISNUMBER(SEARCH($A93, INDEX(AsistenciaJetAdminConcatenada!$D:$D, MATCH(1, (AsistenciaJetAdminConcatenada!$A:$A=GF$2)*(AsistenciaJetAdminConcatenada!$B:$B=GF$1), 0)), 1))),  0.5, 0))</f>
        <v>0</v>
      </c>
      <c r="GG93" s="47">
        <f t="array" ref="GG93">IF(AND(ISNUMBER(MATCH(GG$2, AsistenciaJetAdminConcatenada!$A:$A, 0)), ISNUMBER(MATCH(GG$1, AsistenciaJetAdminConcatenada!$B:$B, 0)), ISNUMBER(SEARCH($A93,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ISNUMBER(SEARCH($A93, INDEX(AsistenciaJetAdminConcatenada!$D:$D, MATCH(1, (AsistenciaJetAdminConcatenada!$A:$A=GG$2)*(AsistenciaJetAdminConcatenada!$B:$B=GG$1), 0)), 1))),  0.5, 0))</f>
        <v>0</v>
      </c>
      <c r="GH93" s="47">
        <f t="array" ref="GH93">IF(AND(ISNUMBER(MATCH(GH$2, AsistenciaJetAdminConcatenada!$A:$A, 0)), ISNUMBER(MATCH(GH$1, AsistenciaJetAdminConcatenada!$B:$B, 0)), ISNUMBER(SEARCH($A93,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ISNUMBER(SEARCH($A93, INDEX(AsistenciaJetAdminConcatenada!$D:$D, MATCH(1, (AsistenciaJetAdminConcatenada!$A:$A=GH$2)*(AsistenciaJetAdminConcatenada!$B:$B=GH$1), 0)), 1))),  0.5, 0))</f>
        <v>0</v>
      </c>
      <c r="GI93" s="47">
        <f t="array" ref="GI93">IF(AND(ISNUMBER(MATCH(GI$2, AsistenciaJetAdminConcatenada!$A:$A, 0)), ISNUMBER(MATCH(GI$1, AsistenciaJetAdminConcatenada!$B:$B, 0)), ISNUMBER(SEARCH($A93,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ISNUMBER(SEARCH($A93, INDEX(AsistenciaJetAdminConcatenada!$D:$D, MATCH(1, (AsistenciaJetAdminConcatenada!$A:$A=GI$2)*(AsistenciaJetAdminConcatenada!$B:$B=GI$1), 0)), 1))),  0.5, 0))</f>
        <v>0</v>
      </c>
      <c r="GJ93" s="47">
        <f t="array" ref="GJ93">IF(AND(ISNUMBER(MATCH(GJ$2, AsistenciaJetAdminConcatenada!$A:$A, 0)), ISNUMBER(MATCH(GJ$1, AsistenciaJetAdminConcatenada!$B:$B, 0)), ISNUMBER(SEARCH($A93,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ISNUMBER(SEARCH($A93, INDEX(AsistenciaJetAdminConcatenada!$D:$D, MATCH(1, (AsistenciaJetAdminConcatenada!$A:$A=GJ$2)*(AsistenciaJetAdminConcatenada!$B:$B=GJ$1), 0)), 1))),  0.5, 0))</f>
        <v>0</v>
      </c>
      <c r="GK93" s="47">
        <f t="array" ref="GK93">IF(AND(ISNUMBER(MATCH(GK$2, AsistenciaJetAdminConcatenada!$A:$A, 0)), ISNUMBER(MATCH(GK$1, AsistenciaJetAdminConcatenada!$B:$B, 0)), ISNUMBER(SEARCH($A93,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ISNUMBER(SEARCH($A93, INDEX(AsistenciaJetAdminConcatenada!$D:$D, MATCH(1, (AsistenciaJetAdminConcatenada!$A:$A=GK$2)*(AsistenciaJetAdminConcatenada!$B:$B=GK$1), 0)), 1))),  0.5, 0))</f>
        <v>0</v>
      </c>
      <c r="GL93" s="47">
        <f t="array" ref="GL93">IF(AND(ISNUMBER(MATCH(GL$2, AsistenciaJetAdminConcatenada!$A:$A, 0)), ISNUMBER(MATCH(GL$1, AsistenciaJetAdminConcatenada!$B:$B, 0)), ISNUMBER(SEARCH($A93,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ISNUMBER(SEARCH($A93, INDEX(AsistenciaJetAdminConcatenada!$D:$D, MATCH(1, (AsistenciaJetAdminConcatenada!$A:$A=GL$2)*(AsistenciaJetAdminConcatenada!$B:$B=GL$1), 0)), 1))),  0.5, 0))</f>
        <v>0</v>
      </c>
      <c r="GM93" s="47">
        <f t="array" ref="GM93">IF(AND(ISNUMBER(MATCH(GM$2, AsistenciaJetAdminConcatenada!$A:$A, 0)), ISNUMBER(MATCH(GM$1, AsistenciaJetAdminConcatenada!$B:$B, 0)), ISNUMBER(SEARCH($A93,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ISNUMBER(SEARCH($A93, INDEX(AsistenciaJetAdminConcatenada!$D:$D, MATCH(1, (AsistenciaJetAdminConcatenada!$A:$A=GM$2)*(AsistenciaJetAdminConcatenada!$B:$B=GM$1), 0)), 1))),  0.5, 0))</f>
        <v>0</v>
      </c>
      <c r="GN93" s="47">
        <f t="array" ref="GN93">IF(AND(ISNUMBER(MATCH(GN$2, AsistenciaJetAdminConcatenada!$A:$A, 0)), ISNUMBER(MATCH(GN$1, AsistenciaJetAdminConcatenada!$B:$B, 0)), ISNUMBER(SEARCH($A93,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ISNUMBER(SEARCH($A93, INDEX(AsistenciaJetAdminConcatenada!$D:$D, MATCH(1, (AsistenciaJetAdminConcatenada!$A:$A=GN$2)*(AsistenciaJetAdminConcatenada!$B:$B=GN$1), 0)), 1))),  0.5, 0))</f>
        <v>0</v>
      </c>
      <c r="GO93" s="47">
        <f t="array" ref="GO93">IF(AND(ISNUMBER(MATCH(GO$2, AsistenciaJetAdminConcatenada!$A:$A, 0)), ISNUMBER(MATCH(GO$1, AsistenciaJetAdminConcatenada!$B:$B, 0)), ISNUMBER(SEARCH($A93,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ISNUMBER(SEARCH($A93, INDEX(AsistenciaJetAdminConcatenada!$D:$D, MATCH(1, (AsistenciaJetAdminConcatenada!$A:$A=GO$2)*(AsistenciaJetAdminConcatenada!$B:$B=GO$1), 0)), 1))),  0.5, 0))</f>
        <v>0</v>
      </c>
      <c r="GP93" s="47">
        <f t="array" ref="GP93">IF(AND(ISNUMBER(MATCH(GP$2, AsistenciaJetAdminConcatenada!$A:$A, 0)), ISNUMBER(MATCH(GP$1, AsistenciaJetAdminConcatenada!$B:$B, 0)), ISNUMBER(SEARCH($A93,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ISNUMBER(SEARCH($A93, INDEX(AsistenciaJetAdminConcatenada!$D:$D, MATCH(1, (AsistenciaJetAdminConcatenada!$A:$A=GP$2)*(AsistenciaJetAdminConcatenada!$B:$B=GP$1), 0)), 1))),  0.5, 0))</f>
        <v>0</v>
      </c>
      <c r="GQ93" s="47">
        <f t="array" ref="GQ93">IF(AND(ISNUMBER(MATCH(GQ$2, AsistenciaJetAdminConcatenada!$A:$A, 0)), ISNUMBER(MATCH(GQ$1, AsistenciaJetAdminConcatenada!$B:$B, 0)), ISNUMBER(SEARCH($A93,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ISNUMBER(SEARCH($A93, INDEX(AsistenciaJetAdminConcatenada!$D:$D, MATCH(1, (AsistenciaJetAdminConcatenada!$A:$A=GQ$2)*(AsistenciaJetAdminConcatenada!$B:$B=GQ$1), 0)), 1))),  0.5, 0))</f>
        <v>0</v>
      </c>
      <c r="GR93" s="47">
        <f t="array" ref="GR93">IF(AND(ISNUMBER(MATCH(GR$2, AsistenciaJetAdminConcatenada!$A:$A, 0)), ISNUMBER(MATCH(GR$1, AsistenciaJetAdminConcatenada!$B:$B, 0)), ISNUMBER(SEARCH($A93,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ISNUMBER(SEARCH($A93, INDEX(AsistenciaJetAdminConcatenada!$D:$D, MATCH(1, (AsistenciaJetAdminConcatenada!$A:$A=GR$2)*(AsistenciaJetAdminConcatenada!$B:$B=GR$1), 0)), 1))),  0.5, 0))</f>
        <v>0</v>
      </c>
      <c r="GS93" s="47">
        <f t="array" ref="GS93">IF(AND(ISNUMBER(MATCH(GS$2, AsistenciaJetAdminConcatenada!$A:$A, 0)), ISNUMBER(MATCH(GS$1, AsistenciaJetAdminConcatenada!$B:$B, 0)), ISNUMBER(SEARCH($A93,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ISNUMBER(SEARCH($A93, INDEX(AsistenciaJetAdminConcatenada!$D:$D, MATCH(1, (AsistenciaJetAdminConcatenada!$A:$A=GS$2)*(AsistenciaJetAdminConcatenada!$B:$B=GS$1), 0)), 1))),  0.5, 0))</f>
        <v>0</v>
      </c>
      <c r="GT93" s="47">
        <f t="array" ref="GT93">IF(AND(ISNUMBER(MATCH(GT$2, AsistenciaJetAdminConcatenada!$A:$A, 0)), ISNUMBER(MATCH(GT$1, AsistenciaJetAdminConcatenada!$B:$B, 0)), ISNUMBER(SEARCH($A93,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ISNUMBER(SEARCH($A93, INDEX(AsistenciaJetAdminConcatenada!$D:$D, MATCH(1, (AsistenciaJetAdminConcatenada!$A:$A=GT$2)*(AsistenciaJetAdminConcatenada!$B:$B=GT$1), 0)), 1))),  0.5, 0))</f>
        <v>0</v>
      </c>
      <c r="GU93" s="47">
        <f t="array" ref="GU93">IF(AND(ISNUMBER(MATCH(GU$2, AsistenciaJetAdminConcatenada!$A:$A, 0)), ISNUMBER(MATCH(GU$1, AsistenciaJetAdminConcatenada!$B:$B, 0)), ISNUMBER(SEARCH($A93,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ISNUMBER(SEARCH($A93, INDEX(AsistenciaJetAdminConcatenada!$D:$D, MATCH(1, (AsistenciaJetAdminConcatenada!$A:$A=GU$2)*(AsistenciaJetAdminConcatenada!$B:$B=GU$1), 0)), 1))),  0.5, 0))</f>
        <v>0</v>
      </c>
      <c r="GV93" s="47">
        <f t="array" ref="GV93">IF(AND(ISNUMBER(MATCH(GV$2, AsistenciaJetAdminConcatenada!$A:$A, 0)), ISNUMBER(MATCH(GV$1, AsistenciaJetAdminConcatenada!$B:$B, 0)), ISNUMBER(SEARCH($A93,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ISNUMBER(SEARCH($A93, INDEX(AsistenciaJetAdminConcatenada!$D:$D, MATCH(1, (AsistenciaJetAdminConcatenada!$A:$A=GV$2)*(AsistenciaJetAdminConcatenada!$B:$B=GV$1), 0)), 1))),  0.5, 0))</f>
        <v>0</v>
      </c>
      <c r="GW93" s="47">
        <f t="array" ref="GW93">IF(AND(ISNUMBER(MATCH(GW$2, AsistenciaJetAdminConcatenada!$A:$A, 0)), ISNUMBER(MATCH(GW$1, AsistenciaJetAdminConcatenada!$B:$B, 0)), ISNUMBER(SEARCH($A93,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ISNUMBER(SEARCH($A93, INDEX(AsistenciaJetAdminConcatenada!$D:$D, MATCH(1, (AsistenciaJetAdminConcatenada!$A:$A=GW$2)*(AsistenciaJetAdminConcatenada!$B:$B=GW$1), 0)), 1))),  0.5, 0))</f>
        <v>0</v>
      </c>
      <c r="GX93" s="47">
        <f t="array" ref="GX93">IF(AND(ISNUMBER(MATCH(GX$2, AsistenciaJetAdminConcatenada!$A:$A, 0)), ISNUMBER(MATCH(GX$1, AsistenciaJetAdminConcatenada!$B:$B, 0)), ISNUMBER(SEARCH($A93,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ISNUMBER(SEARCH($A93, INDEX(AsistenciaJetAdminConcatenada!$D:$D, MATCH(1, (AsistenciaJetAdminConcatenada!$A:$A=GX$2)*(AsistenciaJetAdminConcatenada!$B:$B=GX$1), 0)), 1))),  0.5, 0))</f>
        <v>0</v>
      </c>
      <c r="GY93" s="47">
        <f t="array" ref="GY93">IF(AND(ISNUMBER(MATCH(GY$2, AsistenciaJetAdminConcatenada!$A:$A, 0)), ISNUMBER(MATCH(GY$1, AsistenciaJetAdminConcatenada!$B:$B, 0)), ISNUMBER(SEARCH($A93,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ISNUMBER(SEARCH($A93, INDEX(AsistenciaJetAdminConcatenada!$D:$D, MATCH(1, (AsistenciaJetAdminConcatenada!$A:$A=GY$2)*(AsistenciaJetAdminConcatenada!$B:$B=GY$1), 0)), 1))),  0.5, 0))</f>
        <v>0</v>
      </c>
      <c r="GZ93" s="47">
        <f t="array" ref="GZ93">IF(AND(ISNUMBER(MATCH(GZ$2, AsistenciaJetAdminConcatenada!$A:$A, 0)), ISNUMBER(MATCH(GZ$1, AsistenciaJetAdminConcatenada!$B:$B, 0)), ISNUMBER(SEARCH($A93,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ISNUMBER(SEARCH($A93, INDEX(AsistenciaJetAdminConcatenada!$D:$D, MATCH(1, (AsistenciaJetAdminConcatenada!$A:$A=GZ$2)*(AsistenciaJetAdminConcatenada!$B:$B=GZ$1), 0)), 1))),  0.5, 0))</f>
        <v>0</v>
      </c>
      <c r="HA93" s="47">
        <f t="array" ref="HA93">IF(AND(ISNUMBER(MATCH(HA$2, AsistenciaJetAdminConcatenada!$A:$A, 0)), ISNUMBER(MATCH(HA$1, AsistenciaJetAdminConcatenada!$B:$B, 0)), ISNUMBER(SEARCH($A93,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ISNUMBER(SEARCH($A93, INDEX(AsistenciaJetAdminConcatenada!$D:$D, MATCH(1, (AsistenciaJetAdminConcatenada!$A:$A=HA$2)*(AsistenciaJetAdminConcatenada!$B:$B=HA$1), 0)), 1))),  0.5, 0))</f>
        <v>0</v>
      </c>
      <c r="HB93" s="47">
        <f t="array" ref="HB93">IF(AND(ISNUMBER(MATCH(HB$2, AsistenciaJetAdminConcatenada!$A:$A, 0)), ISNUMBER(MATCH(HB$1, AsistenciaJetAdminConcatenada!$B:$B, 0)), ISNUMBER(SEARCH($A93,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ISNUMBER(SEARCH($A93, INDEX(AsistenciaJetAdminConcatenada!$D:$D, MATCH(1, (AsistenciaJetAdminConcatenada!$A:$A=HB$2)*(AsistenciaJetAdminConcatenada!$B:$B=HB$1), 0)), 1))),  0.5, 0))</f>
        <v>0</v>
      </c>
      <c r="HC93" s="47">
        <f t="array" ref="HC93">IF(AND(ISNUMBER(MATCH(HC$2, AsistenciaJetAdminConcatenada!$A:$A, 0)), ISNUMBER(MATCH(HC$1, AsistenciaJetAdminConcatenada!$B:$B, 0)), ISNUMBER(SEARCH($A93,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ISNUMBER(SEARCH($A93, INDEX(AsistenciaJetAdminConcatenada!$D:$D, MATCH(1, (AsistenciaJetAdminConcatenada!$A:$A=HC$2)*(AsistenciaJetAdminConcatenada!$B:$B=HC$1), 0)), 1))),  0.5, 0))</f>
        <v>0</v>
      </c>
    </row>
    <row r="94" ht="29.25" customHeight="1">
      <c r="A94" s="3">
        <v>196.0</v>
      </c>
      <c r="B94" s="4" t="s">
        <v>360</v>
      </c>
      <c r="C94" s="47">
        <f>SUM(D94:HC94) + ActividadesEspeciales!C94</f>
        <v>55.5</v>
      </c>
      <c r="D94" s="47">
        <f t="array" ref="D94">IF(AND(ISNUMBER(MATCH(D$2, AsistenciaJetAdminConcatenada!$A:$A, 0)), ISNUMBER(MATCH(D$1, AsistenciaJetAdminConcatenada!$B:$B, 0)), ISNUMBER(SEARCH($A94,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ISNUMBER(SEARCH($A94, INDEX(AsistenciaJetAdminConcatenada!$D:$D, MATCH(1, (AsistenciaJetAdminConcatenada!$A:$A=D$2)*(AsistenciaJetAdminConcatenada!$B:$B=D$1), 0)), 1))),  0.5, 0))</f>
        <v>1</v>
      </c>
      <c r="E94" s="47">
        <f t="array" ref="E94">IF(AND(ISNUMBER(MATCH(E$2, AsistenciaJetAdminConcatenada!$A:$A, 0)), ISNUMBER(MATCH(E$1, AsistenciaJetAdminConcatenada!$B:$B, 0)), ISNUMBER(SEARCH($A94,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ISNUMBER(SEARCH($A94, INDEX(AsistenciaJetAdminConcatenada!$D:$D, MATCH(1, (AsistenciaJetAdminConcatenada!$A:$A=E$2)*(AsistenciaJetAdminConcatenada!$B:$B=E$1), 0)), 1))),  0.5, 0))</f>
        <v>1</v>
      </c>
      <c r="F94" s="47">
        <f t="array" ref="F94">IF(AND(ISNUMBER(MATCH(F$2, AsistenciaJetAdminConcatenada!$A:$A, 0)), ISNUMBER(MATCH(F$1, AsistenciaJetAdminConcatenada!$B:$B, 0)), ISNUMBER(SEARCH($A94,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ISNUMBER(SEARCH($A94, INDEX(AsistenciaJetAdminConcatenada!$D:$D, MATCH(1, (AsistenciaJetAdminConcatenada!$A:$A=F$2)*(AsistenciaJetAdminConcatenada!$B:$B=F$1), 0)), 1))),  0.5, 0))</f>
        <v>1</v>
      </c>
      <c r="G94" s="47">
        <f t="array" ref="G94">IF(AND(ISNUMBER(MATCH(G$2, AsistenciaJetAdminConcatenada!$A:$A, 0)), ISNUMBER(MATCH(G$1, AsistenciaJetAdminConcatenada!$B:$B, 0)), ISNUMBER(SEARCH($A94,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ISNUMBER(SEARCH($A94, INDEX(AsistenciaJetAdminConcatenada!$D:$D, MATCH(1, (AsistenciaJetAdminConcatenada!$A:$A=G$2)*(AsistenciaJetAdminConcatenada!$B:$B=G$1), 0)), 1))),  0.5, 0))</f>
        <v>1</v>
      </c>
      <c r="H94" s="47">
        <f t="array" ref="H94">IF(AND(ISNUMBER(MATCH(H$2, AsistenciaJetAdminConcatenada!$A:$A, 0)), ISNUMBER(MATCH(H$1, AsistenciaJetAdminConcatenada!$B:$B, 0)), ISNUMBER(SEARCH($A94,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ISNUMBER(SEARCH($A94, INDEX(AsistenciaJetAdminConcatenada!$D:$D, MATCH(1, (AsistenciaJetAdminConcatenada!$A:$A=H$2)*(AsistenciaJetAdminConcatenada!$B:$B=H$1), 0)), 1))),  0.5, 0))</f>
        <v>1</v>
      </c>
      <c r="I94" s="47">
        <f t="array" ref="I94">IF(AND(ISNUMBER(MATCH(I$2, AsistenciaJetAdminConcatenada!$A:$A, 0)), ISNUMBER(MATCH(I$1, AsistenciaJetAdminConcatenada!$B:$B, 0)), ISNUMBER(SEARCH($A94,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ISNUMBER(SEARCH($A94, INDEX(AsistenciaJetAdminConcatenada!$D:$D, MATCH(1, (AsistenciaJetAdminConcatenada!$A:$A=I$2)*(AsistenciaJetAdminConcatenada!$B:$B=I$1), 0)), 1))),  0.5, 0))</f>
        <v>1</v>
      </c>
      <c r="J94" s="47">
        <f t="array" ref="J94">IF(AND(ISNUMBER(MATCH(J$2, AsistenciaJetAdminConcatenada!$A:$A, 0)), ISNUMBER(MATCH(J$1, AsistenciaJetAdminConcatenada!$B:$B, 0)), ISNUMBER(SEARCH($A94,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ISNUMBER(SEARCH($A94, INDEX(AsistenciaJetAdminConcatenada!$D:$D, MATCH(1, (AsistenciaJetAdminConcatenada!$A:$A=J$2)*(AsistenciaJetAdminConcatenada!$B:$B=J$1), 0)), 1))),  0.5, 0))</f>
        <v>1</v>
      </c>
      <c r="K94" s="47">
        <f t="array" ref="K94">IF(AND(ISNUMBER(MATCH(K$2, AsistenciaJetAdminConcatenada!$A:$A, 0)), ISNUMBER(MATCH(K$1, AsistenciaJetAdminConcatenada!$B:$B, 0)), ISNUMBER(SEARCH($A94,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ISNUMBER(SEARCH($A94, INDEX(AsistenciaJetAdminConcatenada!$D:$D, MATCH(1, (AsistenciaJetAdminConcatenada!$A:$A=K$2)*(AsistenciaJetAdminConcatenada!$B:$B=K$1), 0)), 1))),  0.5, 0))</f>
        <v>1</v>
      </c>
      <c r="L94" s="47">
        <f t="array" ref="L94">IF(AND(ISNUMBER(MATCH(L$2, AsistenciaJetAdminConcatenada!$A:$A, 0)), ISNUMBER(MATCH(L$1, AsistenciaJetAdminConcatenada!$B:$B, 0)), ISNUMBER(SEARCH($A94,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ISNUMBER(SEARCH($A94, INDEX(AsistenciaJetAdminConcatenada!$D:$D, MATCH(1, (AsistenciaJetAdminConcatenada!$A:$A=L$2)*(AsistenciaJetAdminConcatenada!$B:$B=L$1), 0)), 1))),  0.5, 0))</f>
        <v>1</v>
      </c>
      <c r="M94" s="47">
        <f t="array" ref="M94">IF(AND(ISNUMBER(MATCH(M$2, AsistenciaJetAdminConcatenada!$A:$A, 0)), ISNUMBER(MATCH(M$1, AsistenciaJetAdminConcatenada!$B:$B, 0)), ISNUMBER(SEARCH($A94,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ISNUMBER(SEARCH($A94, INDEX(AsistenciaJetAdminConcatenada!$D:$D, MATCH(1, (AsistenciaJetAdminConcatenada!$A:$A=M$2)*(AsistenciaJetAdminConcatenada!$B:$B=M$1), 0)), 1))),  0.5, 0))</f>
        <v>1</v>
      </c>
      <c r="N94" s="47">
        <f t="array" ref="N94">IF(AND(ISNUMBER(MATCH(N$2, AsistenciaJetAdminConcatenada!$A:$A, 0)), ISNUMBER(MATCH(N$1, AsistenciaJetAdminConcatenada!$B:$B, 0)), ISNUMBER(SEARCH($A94,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ISNUMBER(SEARCH($A94, INDEX(AsistenciaJetAdminConcatenada!$D:$D, MATCH(1, (AsistenciaJetAdminConcatenada!$A:$A=N$2)*(AsistenciaJetAdminConcatenada!$B:$B=N$1), 0)), 1))),  0.5, 0))</f>
        <v>0</v>
      </c>
      <c r="O94" s="47">
        <f t="array" ref="O94">IF(AND(ISNUMBER(MATCH(O$2, AsistenciaJetAdminConcatenada!$A:$A, 0)), ISNUMBER(MATCH(O$1, AsistenciaJetAdminConcatenada!$B:$B, 0)), ISNUMBER(SEARCH($A94,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ISNUMBER(SEARCH($A94, INDEX(AsistenciaJetAdminConcatenada!$D:$D, MATCH(1, (AsistenciaJetAdminConcatenada!$A:$A=O$2)*(AsistenciaJetAdminConcatenada!$B:$B=O$1), 0)), 1))),  0.5, 0))</f>
        <v>1</v>
      </c>
      <c r="P94" s="8">
        <v>0.0</v>
      </c>
      <c r="Q94" s="47">
        <f t="array" ref="Q94">IF(AND(ISNUMBER(MATCH(Q$2, AsistenciaJetAdminConcatenada!$A:$A, 0)), ISNUMBER(MATCH(Q$1, AsistenciaJetAdminConcatenada!$B:$B, 0)), ISNUMBER(SEARCH($A94, INDEX(AsistenciaJetAdminConcatenada!$C:$C, MATCH(1, (AsistenciaJetAdminConcatenada!$A:$A=Q$2)*(AsistenciaJetAdminConcatenada!$B:$B=Q$1), 0)), 1))), 1, IF(AND(ISNUMBER(MATCH(Q$2, AsistenciaJetAdminConcatenada!$A:$A, 0)), ISNUMBER(MATCH(Q$1, AsistenciaJetAdminConcatenada!$B:$B, 0)), ISNUMBER(SEARCH($A94, INDEX(AsistenciaJetAdminConcatenada!$D:$D, MATCH(1, (AsistenciaJetAdminConcatenada!$A:$A=Q$2)*(AsistenciaJetAdminConcatenada!$B:$B=Q$1), 0)), 1))),  0.5, 0))</f>
        <v>1</v>
      </c>
      <c r="R94" s="47">
        <f t="array" ref="R94">IF(AND(ISNUMBER(MATCH(R$2, AsistenciaJetAdminConcatenada!$A:$A, 0)), ISNUMBER(MATCH(R$1, AsistenciaJetAdminConcatenada!$B:$B, 0)), ISNUMBER(SEARCH($A94,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ISNUMBER(SEARCH($A94, INDEX(AsistenciaJetAdminConcatenada!$D:$D, MATCH(1, (AsistenciaJetAdminConcatenada!$A:$A=R$2)*(AsistenciaJetAdminConcatenada!$B:$B=R$1), 0)), 1))),  0.5, 0))</f>
        <v>1</v>
      </c>
      <c r="S94" s="47">
        <f t="array" ref="S94">IF(AND(ISNUMBER(MATCH(S$2, AsistenciaJetAdminConcatenada!$A:$A, 0)), ISNUMBER(MATCH(S$1, AsistenciaJetAdminConcatenada!$B:$B, 0)), ISNUMBER(SEARCH($A94,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ISNUMBER(SEARCH($A94, INDEX(AsistenciaJetAdminConcatenada!$D:$D, MATCH(1, (AsistenciaJetAdminConcatenada!$A:$A=S$2)*(AsistenciaJetAdminConcatenada!$B:$B=S$1), 0)), 1))),  0.5, 0))</f>
        <v>1</v>
      </c>
      <c r="T94" s="47">
        <f t="array" ref="T94">IF(AND(ISNUMBER(MATCH(T$2, AsistenciaJetAdminConcatenada!$A:$A, 0)), ISNUMBER(MATCH(T$1, AsistenciaJetAdminConcatenada!$B:$B, 0)), ISNUMBER(SEARCH($A94,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ISNUMBER(SEARCH($A94, INDEX(AsistenciaJetAdminConcatenada!$D:$D, MATCH(1, (AsistenciaJetAdminConcatenada!$A:$A=T$2)*(AsistenciaJetAdminConcatenada!$B:$B=T$1), 0)), 1))),  0.5, 0))</f>
        <v>1</v>
      </c>
      <c r="U94" s="47">
        <f t="array" ref="U94">IF(AND(ISNUMBER(MATCH(U$2, AsistenciaJetAdminConcatenada!$A:$A, 0)), ISNUMBER(MATCH(U$1, AsistenciaJetAdminConcatenada!$B:$B, 0)), ISNUMBER(SEARCH($A94,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ISNUMBER(SEARCH($A94, INDEX(AsistenciaJetAdminConcatenada!$D:$D, MATCH(1, (AsistenciaJetAdminConcatenada!$A:$A=U$2)*(AsistenciaJetAdminConcatenada!$B:$B=U$1), 0)), 1))),  0.5, 0))</f>
        <v>1</v>
      </c>
      <c r="V94" s="47">
        <f t="array" ref="V94">IF(AND(ISNUMBER(MATCH(V$2, AsistenciaJetAdminConcatenada!$A:$A, 0)), ISNUMBER(MATCH(V$1, AsistenciaJetAdminConcatenada!$B:$B, 0)), ISNUMBER(SEARCH($A94,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ISNUMBER(SEARCH($A94, INDEX(AsistenciaJetAdminConcatenada!$D:$D, MATCH(1, (AsistenciaJetAdminConcatenada!$A:$A=V$2)*(AsistenciaJetAdminConcatenada!$B:$B=V$1), 0)), 1))),  0.5, 0))</f>
        <v>1</v>
      </c>
      <c r="W94" s="47">
        <f t="array" ref="W94">IF(AND(ISNUMBER(MATCH(W$2, AsistenciaJetAdminConcatenada!$A:$A, 0)), ISNUMBER(MATCH(W$1, AsistenciaJetAdminConcatenada!$B:$B, 0)), ISNUMBER(SEARCH($A94,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ISNUMBER(SEARCH($A94, INDEX(AsistenciaJetAdminConcatenada!$D:$D, MATCH(1, (AsistenciaJetAdminConcatenada!$A:$A=W$2)*(AsistenciaJetAdminConcatenada!$B:$B=W$1), 0)), 1))),  0.5, 0))</f>
        <v>1</v>
      </c>
      <c r="X94" s="47">
        <f t="array" ref="X94">IF(AND(ISNUMBER(MATCH(X$2, AsistenciaJetAdminConcatenada!$A:$A, 0)), ISNUMBER(MATCH(X$1, AsistenciaJetAdminConcatenada!$B:$B, 0)), ISNUMBER(SEARCH($A94,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ISNUMBER(SEARCH($A94, INDEX(AsistenciaJetAdminConcatenada!$D:$D, MATCH(1, (AsistenciaJetAdminConcatenada!$A:$A=X$2)*(AsistenciaJetAdminConcatenada!$B:$B=X$1), 0)), 1))),  0.5, 0))</f>
        <v>1</v>
      </c>
      <c r="Y94" s="47">
        <f t="array" ref="Y94">IF(AND(ISNUMBER(MATCH(Y$2, AsistenciaJetAdminConcatenada!$A:$A, 0)), ISNUMBER(MATCH(Y$1, AsistenciaJetAdminConcatenada!$B:$B, 0)), ISNUMBER(SEARCH($A94,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ISNUMBER(SEARCH($A94, INDEX(AsistenciaJetAdminConcatenada!$D:$D, MATCH(1, (AsistenciaJetAdminConcatenada!$A:$A=Y$2)*(AsistenciaJetAdminConcatenada!$B:$B=Y$1), 0)), 1))),  0.5, 0))</f>
        <v>0</v>
      </c>
      <c r="Z94" s="47">
        <f t="array" ref="Z94">IF(AND(ISNUMBER(MATCH(Z$2, AsistenciaJetAdminConcatenada!$A:$A, 0)), ISNUMBER(MATCH(Z$1, AsistenciaJetAdminConcatenada!$B:$B, 0)), ISNUMBER(SEARCH($A94,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ISNUMBER(SEARCH($A94, INDEX(AsistenciaJetAdminConcatenada!$D:$D, MATCH(1, (AsistenciaJetAdminConcatenada!$A:$A=Z$2)*(AsistenciaJetAdminConcatenada!$B:$B=Z$1), 0)), 1))),  0.5, 0))</f>
        <v>1</v>
      </c>
      <c r="AA94" s="47">
        <f t="array" ref="AA94">IF(AND(ISNUMBER(MATCH(AA$2, AsistenciaJetAdminConcatenada!$A:$A, 0)), ISNUMBER(MATCH(AA$1, AsistenciaJetAdminConcatenada!$B:$B, 0)), ISNUMBER(SEARCH($A94,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ISNUMBER(SEARCH($A94, INDEX(AsistenciaJetAdminConcatenada!$D:$D, MATCH(1, (AsistenciaJetAdminConcatenada!$A:$A=AA$2)*(AsistenciaJetAdminConcatenada!$B:$B=AA$1), 0)), 1))),  0.5, 0))</f>
        <v>0</v>
      </c>
      <c r="AB94" s="47">
        <f t="array" ref="AB94">IF(AND(ISNUMBER(MATCH(AB$2, AsistenciaJetAdminConcatenada!$A:$A, 0)), ISNUMBER(MATCH(AB$1, AsistenciaJetAdminConcatenada!$B:$B, 0)), ISNUMBER(SEARCH($A94,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ISNUMBER(SEARCH($A94, INDEX(AsistenciaJetAdminConcatenada!$D:$D, MATCH(1, (AsistenciaJetAdminConcatenada!$A:$A=AB$2)*(AsistenciaJetAdminConcatenada!$B:$B=AB$1), 0)), 1))),  0.5, 0))</f>
        <v>1</v>
      </c>
      <c r="AC94" s="47">
        <f t="array" ref="AC94">IF(AND(ISNUMBER(MATCH(AC$2, AsistenciaJetAdminConcatenada!$A:$A, 0)), ISNUMBER(MATCH(AC$1, AsistenciaJetAdminConcatenada!$B:$B, 0)), ISNUMBER(SEARCH($A94,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ISNUMBER(SEARCH($A94, INDEX(AsistenciaJetAdminConcatenada!$D:$D, MATCH(1, (AsistenciaJetAdminConcatenada!$A:$A=AC$2)*(AsistenciaJetAdminConcatenada!$B:$B=AC$1), 0)), 1))),  0.5, 0))</f>
        <v>1</v>
      </c>
      <c r="AD94" s="47">
        <f t="array" ref="AD94">IF(AND(ISNUMBER(MATCH(AD$2, AsistenciaJetAdminConcatenada!$A:$A, 0)), ISNUMBER(MATCH(AD$1, AsistenciaJetAdminConcatenada!$B:$B, 0)), ISNUMBER(SEARCH($A94,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ISNUMBER(SEARCH($A94, INDEX(AsistenciaJetAdminConcatenada!$D:$D, MATCH(1, (AsistenciaJetAdminConcatenada!$A:$A=AD$2)*(AsistenciaJetAdminConcatenada!$B:$B=AD$1), 0)), 1))),  0.5, 0))</f>
        <v>1</v>
      </c>
      <c r="AE94" s="47">
        <f t="array" ref="AE94">IF(AND(ISNUMBER(MATCH(AE$2, AsistenciaJetAdminConcatenada!$A:$A, 0)), ISNUMBER(MATCH(AE$1, AsistenciaJetAdminConcatenada!$B:$B, 0)), ISNUMBER(SEARCH($A94,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ISNUMBER(SEARCH($A94, INDEX(AsistenciaJetAdminConcatenada!$D:$D, MATCH(1, (AsistenciaJetAdminConcatenada!$A:$A=AE$2)*(AsistenciaJetAdminConcatenada!$B:$B=AE$1), 0)), 1))),  0.5, 0))</f>
        <v>0</v>
      </c>
      <c r="AF94" s="47">
        <f t="array" ref="AF94">IF(AND(ISNUMBER(MATCH(AF$2, AsistenciaJetAdminConcatenada!$A:$A, 0)), ISNUMBER(MATCH(AF$1, AsistenciaJetAdminConcatenada!$B:$B, 0)), ISNUMBER(SEARCH($A94,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ISNUMBER(SEARCH($A94, INDEX(AsistenciaJetAdminConcatenada!$D:$D, MATCH(1, (AsistenciaJetAdminConcatenada!$A:$A=AF$2)*(AsistenciaJetAdminConcatenada!$B:$B=AF$1), 0)), 1))),  0.5, 0))</f>
        <v>0</v>
      </c>
      <c r="AG94" s="47">
        <f t="array" ref="AG94">IF(AND(ISNUMBER(MATCH(AG$2, AsistenciaJetAdminConcatenada!$A:$A, 0)), ISNUMBER(MATCH(AG$1, AsistenciaJetAdminConcatenada!$B:$B, 0)), ISNUMBER(SEARCH($A94,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ISNUMBER(SEARCH($A94, INDEX(AsistenciaJetAdminConcatenada!$D:$D, MATCH(1, (AsistenciaJetAdminConcatenada!$A:$A=AG$2)*(AsistenciaJetAdminConcatenada!$B:$B=AG$1), 0)), 1))),  0.5, 0))</f>
        <v>0</v>
      </c>
      <c r="AH94" s="47">
        <f t="array" ref="AH94">IF(AND(ISNUMBER(MATCH(AH$2, AsistenciaJetAdminConcatenada!$A:$A, 0)), ISNUMBER(MATCH(AH$1, AsistenciaJetAdminConcatenada!$B:$B, 0)), ISNUMBER(SEARCH($A94,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ISNUMBER(SEARCH($A94, INDEX(AsistenciaJetAdminConcatenada!$D:$D, MATCH(1, (AsistenciaJetAdminConcatenada!$A:$A=AH$2)*(AsistenciaJetAdminConcatenada!$B:$B=AH$1), 0)), 1))),  0.5, 0))</f>
        <v>0</v>
      </c>
      <c r="AI94" s="47">
        <f t="array" ref="AI94">IF(AND(ISNUMBER(MATCH(AI$2, AsistenciaJetAdminConcatenada!$A:$A, 0)), ISNUMBER(MATCH(AI$1, AsistenciaJetAdminConcatenada!$B:$B, 0)), ISNUMBER(SEARCH($A94,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ISNUMBER(SEARCH($A94, INDEX(AsistenciaJetAdminConcatenada!$D:$D, MATCH(1, (AsistenciaJetAdminConcatenada!$A:$A=AI$2)*(AsistenciaJetAdminConcatenada!$B:$B=AI$1), 0)), 1))),  0.5, 0))</f>
        <v>1</v>
      </c>
      <c r="AJ94" s="47">
        <f t="array" ref="AJ94">IF(AND(ISNUMBER(MATCH(AJ$2, AsistenciaJetAdminConcatenada!$A:$A, 0)), ISNUMBER(MATCH(AJ$1, AsistenciaJetAdminConcatenada!$B:$B, 0)), ISNUMBER(SEARCH($A94,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ISNUMBER(SEARCH($A94, INDEX(AsistenciaJetAdminConcatenada!$D:$D, MATCH(1, (AsistenciaJetAdminConcatenada!$A:$A=AJ$2)*(AsistenciaJetAdminConcatenada!$B:$B=AJ$1), 0)), 1))),  0.5, 0))</f>
        <v>0</v>
      </c>
      <c r="AK94" s="47">
        <f t="array" ref="AK94">IF(AND(ISNUMBER(MATCH(AK$2, AsistenciaJetAdminConcatenada!$A:$A, 0)), ISNUMBER(MATCH(AK$1, AsistenciaJetAdminConcatenada!$B:$B, 0)), ISNUMBER(SEARCH($A94,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ISNUMBER(SEARCH($A94, INDEX(AsistenciaJetAdminConcatenada!$D:$D, MATCH(1, (AsistenciaJetAdminConcatenada!$A:$A=AK$2)*(AsistenciaJetAdminConcatenada!$B:$B=AK$1), 0)), 1))),  0.5, 0))</f>
        <v>1</v>
      </c>
      <c r="AL94" s="47">
        <f t="array" ref="AL94">IF(AND(ISNUMBER(MATCH(AL$2, AsistenciaJetAdminConcatenada!$A:$A, 0)), ISNUMBER(MATCH(AL$1, AsistenciaJetAdminConcatenada!$B:$B, 0)), ISNUMBER(SEARCH($A94,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ISNUMBER(SEARCH($A94, INDEX(AsistenciaJetAdminConcatenada!$D:$D, MATCH(1, (AsistenciaJetAdminConcatenada!$A:$A=AL$2)*(AsistenciaJetAdminConcatenada!$B:$B=AL$1), 0)), 1))),  0.5, 0))</f>
        <v>0</v>
      </c>
      <c r="AM94" s="47">
        <f t="array" ref="AM94">IF(AND(ISNUMBER(MATCH(AM$2, AsistenciaJetAdminConcatenada!$A:$A, 0)), ISNUMBER(MATCH(AM$1, AsistenciaJetAdminConcatenada!$B:$B, 0)), ISNUMBER(SEARCH($A94,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ISNUMBER(SEARCH($A94, INDEX(AsistenciaJetAdminConcatenada!$D:$D, MATCH(1, (AsistenciaJetAdminConcatenada!$A:$A=AM$2)*(AsistenciaJetAdminConcatenada!$B:$B=AM$1), 0)), 1))),  0.5, 0))</f>
        <v>0</v>
      </c>
      <c r="AN94" s="47">
        <f t="array" ref="AN94">IF(AND(ISNUMBER(MATCH(AN$2, AsistenciaJetAdminConcatenada!$A:$A, 0)), ISNUMBER(MATCH(AN$1, AsistenciaJetAdminConcatenada!$B:$B, 0)), ISNUMBER(SEARCH($A94,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ISNUMBER(SEARCH($A94, INDEX(AsistenciaJetAdminConcatenada!$D:$D, MATCH(1, (AsistenciaJetAdminConcatenada!$A:$A=AN$2)*(AsistenciaJetAdminConcatenada!$B:$B=AN$1), 0)), 1))),  0.5, 0))</f>
        <v>1</v>
      </c>
      <c r="AO94" s="47">
        <f t="array" ref="AO94">IF(AND(ISNUMBER(MATCH(AO$2, AsistenciaJetAdminConcatenada!$A:$A, 0)), ISNUMBER(MATCH(AO$1, AsistenciaJetAdminConcatenada!$B:$B, 0)), ISNUMBER(SEARCH($A94,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ISNUMBER(SEARCH($A94, INDEX(AsistenciaJetAdminConcatenada!$D:$D, MATCH(1, (AsistenciaJetAdminConcatenada!$A:$A=AO$2)*(AsistenciaJetAdminConcatenada!$B:$B=AO$1), 0)), 1))),  0.5, 0))</f>
        <v>1</v>
      </c>
      <c r="AP94" s="47">
        <f t="array" ref="AP94">IF(AND(ISNUMBER(MATCH(AP$2, AsistenciaJetAdminConcatenada!$A:$A, 0)), ISNUMBER(MATCH(AP$1, AsistenciaJetAdminConcatenada!$B:$B, 0)), ISNUMBER(SEARCH($A94,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ISNUMBER(SEARCH($A94, INDEX(AsistenciaJetAdminConcatenada!$D:$D, MATCH(1, (AsistenciaJetAdminConcatenada!$A:$A=AP$2)*(AsistenciaJetAdminConcatenada!$B:$B=AP$1), 0)), 1))),  0.5, 0))</f>
        <v>0</v>
      </c>
      <c r="AQ94" s="47">
        <f t="array" ref="AQ94">IF(AND(ISNUMBER(MATCH(AQ$2, AsistenciaJetAdminConcatenada!$A:$A, 0)), ISNUMBER(MATCH(AQ$1, AsistenciaJetAdminConcatenada!$B:$B, 0)), ISNUMBER(SEARCH($A94,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ISNUMBER(SEARCH($A94, INDEX(AsistenciaJetAdminConcatenada!$D:$D, MATCH(1, (AsistenciaJetAdminConcatenada!$A:$A=AQ$2)*(AsistenciaJetAdminConcatenada!$B:$B=AQ$1), 0)), 1))),  0.5, 0))</f>
        <v>0</v>
      </c>
      <c r="AR94" s="47">
        <f t="array" ref="AR94">IF(AND(ISNUMBER(MATCH(AR$2, AsistenciaJetAdminConcatenada!$A:$A, 0)), ISNUMBER(MATCH(AR$1, AsistenciaJetAdminConcatenada!$B:$B, 0)), ISNUMBER(SEARCH($A94,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ISNUMBER(SEARCH($A94, INDEX(AsistenciaJetAdminConcatenada!$D:$D, MATCH(1, (AsistenciaJetAdminConcatenada!$A:$A=AR$2)*(AsistenciaJetAdminConcatenada!$B:$B=AR$1), 0)), 1))),  0.5, 0))</f>
        <v>0</v>
      </c>
      <c r="AS94" s="47">
        <f t="array" ref="AS94">IF(AND(ISNUMBER(MATCH(AS$2, AsistenciaJetAdminConcatenada!$A:$A, 0)), ISNUMBER(MATCH(AS$1, AsistenciaJetAdminConcatenada!$B:$B, 0)), ISNUMBER(SEARCH($A94,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ISNUMBER(SEARCH($A94, INDEX(AsistenciaJetAdminConcatenada!$D:$D, MATCH(1, (AsistenciaJetAdminConcatenada!$A:$A=AS$2)*(AsistenciaJetAdminConcatenada!$B:$B=AS$1), 0)), 1))),  0.5, 0))</f>
        <v>1</v>
      </c>
      <c r="AT94" s="47">
        <f t="array" ref="AT94">IF(AND(ISNUMBER(MATCH(AT$2, AsistenciaJetAdminConcatenada!$A:$A, 0)), ISNUMBER(MATCH(AT$1, AsistenciaJetAdminConcatenada!$B:$B, 0)), ISNUMBER(SEARCH($A94,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ISNUMBER(SEARCH($A94, INDEX(AsistenciaJetAdminConcatenada!$D:$D, MATCH(1, (AsistenciaJetAdminConcatenada!$A:$A=AT$2)*(AsistenciaJetAdminConcatenada!$B:$B=AT$1), 0)), 1))),  0.5, 0))</f>
        <v>0</v>
      </c>
      <c r="AU94" s="47">
        <f t="array" ref="AU94">IF(AND(ISNUMBER(MATCH(AU$2, AsistenciaJetAdminConcatenada!$A:$A, 0)), ISNUMBER(MATCH(AU$1, AsistenciaJetAdminConcatenada!$B:$B, 0)), ISNUMBER(SEARCH($A94,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ISNUMBER(SEARCH($A94, INDEX(AsistenciaJetAdminConcatenada!$D:$D, MATCH(1, (AsistenciaJetAdminConcatenada!$A:$A=AU$2)*(AsistenciaJetAdminConcatenada!$B:$B=AU$1), 0)), 1))),  0.5, 0))</f>
        <v>1</v>
      </c>
      <c r="AV94" s="47">
        <f t="array" ref="AV94">IF(AND(ISNUMBER(MATCH(AV$2, AsistenciaJetAdminConcatenada!$A:$A, 0)), ISNUMBER(MATCH(AV$1, AsistenciaJetAdminConcatenada!$B:$B, 0)), ISNUMBER(SEARCH($A94,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ISNUMBER(SEARCH($A94, INDEX(AsistenciaJetAdminConcatenada!$D:$D, MATCH(1, (AsistenciaJetAdminConcatenada!$A:$A=AV$2)*(AsistenciaJetAdminConcatenada!$B:$B=AV$1), 0)), 1))),  0.5, 0))</f>
        <v>1</v>
      </c>
      <c r="AW94" s="47">
        <f t="array" ref="AW94">IF(AND(ISNUMBER(MATCH(AW$2, AsistenciaJetAdminConcatenada!$A:$A, 0)), ISNUMBER(MATCH(AW$1, AsistenciaJetAdminConcatenada!$B:$B, 0)), ISNUMBER(SEARCH($A94,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ISNUMBER(SEARCH($A94, INDEX(AsistenciaJetAdminConcatenada!$D:$D, MATCH(1, (AsistenciaJetAdminConcatenada!$A:$A=AW$2)*(AsistenciaJetAdminConcatenada!$B:$B=AW$1), 0)), 1))),  0.5, 0))</f>
        <v>0</v>
      </c>
      <c r="AX94" s="47">
        <f t="array" ref="AX94">IF(AND(ISNUMBER(MATCH(AX$2, AsistenciaJetAdminConcatenada!$A:$A, 0)), ISNUMBER(MATCH(AX$1, AsistenciaJetAdminConcatenada!$B:$B, 0)), ISNUMBER(SEARCH($A94,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ISNUMBER(SEARCH($A94, INDEX(AsistenciaJetAdminConcatenada!$D:$D, MATCH(1, (AsistenciaJetAdminConcatenada!$A:$A=AX$2)*(AsistenciaJetAdminConcatenada!$B:$B=AX$1), 0)), 1))),  0.5, 0))</f>
        <v>1</v>
      </c>
      <c r="AY94" s="47">
        <f t="array" ref="AY94">IF(AND(ISNUMBER(MATCH(AY$2, AsistenciaJetAdminConcatenada!$A:$A, 0)), ISNUMBER(MATCH(AY$1, AsistenciaJetAdminConcatenada!$B:$B, 0)), ISNUMBER(SEARCH($A94,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ISNUMBER(SEARCH($A94, INDEX(AsistenciaJetAdminConcatenada!$D:$D, MATCH(1, (AsistenciaJetAdminConcatenada!$A:$A=AY$2)*(AsistenciaJetAdminConcatenada!$B:$B=AY$1), 0)), 1))),  0.5, 0))</f>
        <v>0</v>
      </c>
      <c r="AZ94" s="47">
        <f t="array" ref="AZ94">IF(AND(ISNUMBER(MATCH(AZ$2, AsistenciaJetAdminConcatenada!$A:$A, 0)), ISNUMBER(MATCH(AZ$1, AsistenciaJetAdminConcatenada!$B:$B, 0)), ISNUMBER(SEARCH($A94,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ISNUMBER(SEARCH($A94, INDEX(AsistenciaJetAdminConcatenada!$D:$D, MATCH(1, (AsistenciaJetAdminConcatenada!$A:$A=AZ$2)*(AsistenciaJetAdminConcatenada!$B:$B=AZ$1), 0)), 1))),  0.5, 0))</f>
        <v>1</v>
      </c>
      <c r="BA94" s="47">
        <f t="array" ref="BA94">IF(AND(ISNUMBER(MATCH(BA$2, AsistenciaJetAdminConcatenada!$A:$A, 0)), ISNUMBER(MATCH(BA$1, AsistenciaJetAdminConcatenada!$B:$B, 0)), ISNUMBER(SEARCH($A94,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ISNUMBER(SEARCH($A94, INDEX(AsistenciaJetAdminConcatenada!$D:$D, MATCH(1, (AsistenciaJetAdminConcatenada!$A:$A=BA$2)*(AsistenciaJetAdminConcatenada!$B:$B=BA$1), 0)), 1))),  0.5, 0))</f>
        <v>0</v>
      </c>
      <c r="BB94" s="47">
        <f t="array" ref="BB94">IF(AND(ISNUMBER(MATCH(BB$2, AsistenciaJetAdminConcatenada!$A:$A, 0)), ISNUMBER(MATCH(BB$1, AsistenciaJetAdminConcatenada!$B:$B, 0)), ISNUMBER(SEARCH($A94,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ISNUMBER(SEARCH($A94, INDEX(AsistenciaJetAdminConcatenada!$D:$D, MATCH(1, (AsistenciaJetAdminConcatenada!$A:$A=BB$2)*(AsistenciaJetAdminConcatenada!$B:$B=BB$1), 0)), 1))),  0.5, 0))</f>
        <v>1</v>
      </c>
      <c r="BC94" s="47">
        <f t="array" ref="BC94">IF(AND(ISNUMBER(MATCH(BC$2, AsistenciaJetAdminConcatenada!$A:$A, 0)), ISNUMBER(MATCH(BC$1, AsistenciaJetAdminConcatenada!$B:$B, 0)), ISNUMBER(SEARCH($A94,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ISNUMBER(SEARCH($A94, INDEX(AsistenciaJetAdminConcatenada!$D:$D, MATCH(1, (AsistenciaJetAdminConcatenada!$A:$A=BC$2)*(AsistenciaJetAdminConcatenada!$B:$B=BC$1), 0)), 1))),  0.5, 0))</f>
        <v>0.5</v>
      </c>
      <c r="BD94" s="47">
        <f t="array" ref="BD94">IF(AND(ISNUMBER(MATCH(BD$2, AsistenciaJetAdminConcatenada!$A:$A, 0)), ISNUMBER(MATCH(BD$1, AsistenciaJetAdminConcatenada!$B:$B, 0)), ISNUMBER(SEARCH($A94,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ISNUMBER(SEARCH($A94, INDEX(AsistenciaJetAdminConcatenada!$D:$D, MATCH(1, (AsistenciaJetAdminConcatenada!$A:$A=BD$2)*(AsistenciaJetAdminConcatenada!$B:$B=BD$1), 0)), 1))),  0.5, 0))</f>
        <v>0</v>
      </c>
      <c r="BE94" s="47">
        <f t="array" ref="BE94">IF(AND(ISNUMBER(MATCH(BE$2, AsistenciaJetAdminConcatenada!$A:$A, 0)), ISNUMBER(MATCH(BE$1, AsistenciaJetAdminConcatenada!$B:$B, 0)), ISNUMBER(SEARCH($A94,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ISNUMBER(SEARCH($A94, INDEX(AsistenciaJetAdminConcatenada!$D:$D, MATCH(1, (AsistenciaJetAdminConcatenada!$A:$A=BE$2)*(AsistenciaJetAdminConcatenada!$B:$B=BE$1), 0)), 1))),  0.5, 0))</f>
        <v>1</v>
      </c>
      <c r="BF94" s="47">
        <f t="array" ref="BF94">IF(AND(ISNUMBER(MATCH(BF$2, AsistenciaJetAdminConcatenada!$A:$A, 0)), ISNUMBER(MATCH(BF$1, AsistenciaJetAdminConcatenada!$B:$B, 0)), ISNUMBER(SEARCH($A94,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ISNUMBER(SEARCH($A94, INDEX(AsistenciaJetAdminConcatenada!$D:$D, MATCH(1, (AsistenciaJetAdminConcatenada!$A:$A=BF$2)*(AsistenciaJetAdminConcatenada!$B:$B=BF$1), 0)), 1))),  0.5, 0))</f>
        <v>0</v>
      </c>
      <c r="BG94" s="47">
        <f t="array" ref="BG94">IF(AND(ISNUMBER(MATCH(BG$2, AsistenciaJetAdminConcatenada!$A:$A, 0)), ISNUMBER(MATCH(BG$1, AsistenciaJetAdminConcatenada!$B:$B, 0)), ISNUMBER(SEARCH($A94,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ISNUMBER(SEARCH($A94, INDEX(AsistenciaJetAdminConcatenada!$D:$D, MATCH(1, (AsistenciaJetAdminConcatenada!$A:$A=BG$2)*(AsistenciaJetAdminConcatenada!$B:$B=BG$1), 0)), 1))),  0.5, 0))</f>
        <v>1</v>
      </c>
      <c r="BH94" s="47">
        <f t="array" ref="BH94">IF(AND(ISNUMBER(MATCH(BH$2, AsistenciaJetAdminConcatenada!$A:$A, 0)), ISNUMBER(MATCH(BH$1, AsistenciaJetAdminConcatenada!$B:$B, 0)), ISNUMBER(SEARCH($A94,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ISNUMBER(SEARCH($A94, INDEX(AsistenciaJetAdminConcatenada!$D:$D, MATCH(1, (AsistenciaJetAdminConcatenada!$A:$A=BH$2)*(AsistenciaJetAdminConcatenada!$B:$B=BH$1), 0)), 1))),  0.5, 0))</f>
        <v>1</v>
      </c>
      <c r="BI94" s="47">
        <f t="array" ref="BI94">IF(AND(ISNUMBER(MATCH(BI$2, AsistenciaJetAdminConcatenada!$A:$A, 0)), ISNUMBER(MATCH(BI$1, AsistenciaJetAdminConcatenada!$B:$B, 0)), ISNUMBER(SEARCH($A94,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ISNUMBER(SEARCH($A94, INDEX(AsistenciaJetAdminConcatenada!$D:$D, MATCH(1, (AsistenciaJetAdminConcatenada!$A:$A=BI$2)*(AsistenciaJetAdminConcatenada!$B:$B=BI$1), 0)), 1))),  0.5, 0))</f>
        <v>1</v>
      </c>
      <c r="BJ94" s="47">
        <f t="array" ref="BJ94">IF(AND(ISNUMBER(MATCH(BJ$2, AsistenciaJetAdminConcatenada!$A:$A, 0)), ISNUMBER(MATCH(BJ$1, AsistenciaJetAdminConcatenada!$B:$B, 0)), ISNUMBER(SEARCH($A94,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ISNUMBER(SEARCH($A94, INDEX(AsistenciaJetAdminConcatenada!$D:$D, MATCH(1, (AsistenciaJetAdminConcatenada!$A:$A=BJ$2)*(AsistenciaJetAdminConcatenada!$B:$B=BJ$1), 0)), 1))),  0.5, 0))</f>
        <v>0</v>
      </c>
      <c r="BK94" s="47">
        <f t="array" ref="BK94">IF(AND(ISNUMBER(MATCH(BK$2, AsistenciaJetAdminConcatenada!$A:$A, 0)), ISNUMBER(MATCH(BK$1, AsistenciaJetAdminConcatenada!$B:$B, 0)), ISNUMBER(SEARCH($A94,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ISNUMBER(SEARCH($A94, INDEX(AsistenciaJetAdminConcatenada!$D:$D, MATCH(1, (AsistenciaJetAdminConcatenada!$A:$A=BK$2)*(AsistenciaJetAdminConcatenada!$B:$B=BK$1), 0)), 1))),  0.5, 0))</f>
        <v>1</v>
      </c>
      <c r="BL94" s="47">
        <f t="array" ref="BL94">IF(AND(ISNUMBER(MATCH(BL$2, AsistenciaJetAdminConcatenada!$A:$A, 0)), ISNUMBER(MATCH(BL$1, AsistenciaJetAdminConcatenada!$B:$B, 0)), ISNUMBER(SEARCH($A94,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ISNUMBER(SEARCH($A94, INDEX(AsistenciaJetAdminConcatenada!$D:$D, MATCH(1, (AsistenciaJetAdminConcatenada!$A:$A=BL$2)*(AsistenciaJetAdminConcatenada!$B:$B=BL$1), 0)), 1))),  0.5, 0))</f>
        <v>1</v>
      </c>
      <c r="BM94" s="47">
        <f t="array" ref="BM94">IF(AND(ISNUMBER(MATCH(BM$2, AsistenciaJetAdminConcatenada!$A:$A, 0)), ISNUMBER(MATCH(BM$1, AsistenciaJetAdminConcatenada!$B:$B, 0)), ISNUMBER(SEARCH($A94,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ISNUMBER(SEARCH($A94, INDEX(AsistenciaJetAdminConcatenada!$D:$D, MATCH(1, (AsistenciaJetAdminConcatenada!$A:$A=BM$2)*(AsistenciaJetAdminConcatenada!$B:$B=BM$1), 0)), 1))),  0.5, 0))</f>
        <v>0</v>
      </c>
      <c r="BN94" s="47">
        <f t="array" ref="BN94">IF(AND(ISNUMBER(MATCH(BN$2, AsistenciaJetAdminConcatenada!$A:$A, 0)), ISNUMBER(MATCH(BN$1, AsistenciaJetAdminConcatenada!$B:$B, 0)), ISNUMBER(SEARCH($A94,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ISNUMBER(SEARCH($A94, INDEX(AsistenciaJetAdminConcatenada!$D:$D, MATCH(1, (AsistenciaJetAdminConcatenada!$A:$A=BN$2)*(AsistenciaJetAdminConcatenada!$B:$B=BN$1), 0)), 1))),  0.5, 0))</f>
        <v>0.5</v>
      </c>
      <c r="BO94" s="47">
        <f t="array" ref="BO94">IF(AND(ISNUMBER(MATCH(BO$2, AsistenciaJetAdminConcatenada!$A:$A, 0)), ISNUMBER(MATCH(BO$1, AsistenciaJetAdminConcatenada!$B:$B, 0)), ISNUMBER(SEARCH($A94,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ISNUMBER(SEARCH($A94, INDEX(AsistenciaJetAdminConcatenada!$D:$D, MATCH(1, (AsistenciaJetAdminConcatenada!$A:$A=BO$2)*(AsistenciaJetAdminConcatenada!$B:$B=BO$1), 0)), 1))),  0.5, 0))</f>
        <v>0</v>
      </c>
      <c r="BP94" s="47">
        <f t="array" ref="BP94">IF(AND(ISNUMBER(MATCH(BP$2, AsistenciaJetAdminConcatenada!$A:$A, 0)), ISNUMBER(MATCH(BP$1, AsistenciaJetAdminConcatenada!$B:$B, 0)), ISNUMBER(SEARCH($A94,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ISNUMBER(SEARCH($A94, INDEX(AsistenciaJetAdminConcatenada!$D:$D, MATCH(1, (AsistenciaJetAdminConcatenada!$A:$A=BP$2)*(AsistenciaJetAdminConcatenada!$B:$B=BP$1), 0)), 1))),  0.5, 0))</f>
        <v>0</v>
      </c>
      <c r="BQ94" s="47">
        <f t="array" ref="BQ94">IF(AND(ISNUMBER(MATCH(BQ$2, AsistenciaJetAdminConcatenada!$A:$A, 0)), ISNUMBER(MATCH(BQ$1, AsistenciaJetAdminConcatenada!$B:$B, 0)), ISNUMBER(SEARCH($A94,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ISNUMBER(SEARCH($A94, INDEX(AsistenciaJetAdminConcatenada!$D:$D, MATCH(1, (AsistenciaJetAdminConcatenada!$A:$A=BQ$2)*(AsistenciaJetAdminConcatenada!$B:$B=BQ$1), 0)), 1))),  0.5, 0))</f>
        <v>1</v>
      </c>
      <c r="BR94" s="47">
        <f t="array" ref="BR94">IF(AND(ISNUMBER(MATCH(BR$2, AsistenciaJetAdminConcatenada!$A:$A, 0)), ISNUMBER(MATCH(BR$1, AsistenciaJetAdminConcatenada!$B:$B, 0)), ISNUMBER(SEARCH($A94,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ISNUMBER(SEARCH($A94, INDEX(AsistenciaJetAdminConcatenada!$D:$D, MATCH(1, (AsistenciaJetAdminConcatenada!$A:$A=BR$2)*(AsistenciaJetAdminConcatenada!$B:$B=BR$1), 0)), 1))),  0.5, 0))</f>
        <v>0</v>
      </c>
      <c r="BS94" s="47">
        <f t="array" ref="BS94">IF(AND(ISNUMBER(MATCH(BS$2, AsistenciaJetAdminConcatenada!$A:$A, 0)), ISNUMBER(MATCH(BS$1, AsistenciaJetAdminConcatenada!$B:$B, 0)), ISNUMBER(SEARCH($A94,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ISNUMBER(SEARCH($A94, INDEX(AsistenciaJetAdminConcatenada!$D:$D, MATCH(1, (AsistenciaJetAdminConcatenada!$A:$A=BS$2)*(AsistenciaJetAdminConcatenada!$B:$B=BS$1), 0)), 1))),  0.5, 0))</f>
        <v>0</v>
      </c>
      <c r="BT94" s="47">
        <f t="array" ref="BT94">IF(AND(ISNUMBER(MATCH(BT$2, AsistenciaJetAdminConcatenada!$A:$A, 0)), ISNUMBER(MATCH(BT$1, AsistenciaJetAdminConcatenada!$B:$B, 0)), ISNUMBER(SEARCH($A94,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ISNUMBER(SEARCH($A94, INDEX(AsistenciaJetAdminConcatenada!$D:$D, MATCH(1, (AsistenciaJetAdminConcatenada!$A:$A=BT$2)*(AsistenciaJetAdminConcatenada!$B:$B=BT$1), 0)), 1))),  0.5, 0))</f>
        <v>1</v>
      </c>
      <c r="BU94" s="47">
        <f t="array" ref="BU94">IF(AND(ISNUMBER(MATCH(BU$2, AsistenciaJetAdminConcatenada!$A:$A, 0)), ISNUMBER(MATCH(BU$1, AsistenciaJetAdminConcatenada!$B:$B, 0)), ISNUMBER(SEARCH($A94,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ISNUMBER(SEARCH($A94, INDEX(AsistenciaJetAdminConcatenada!$D:$D, MATCH(1, (AsistenciaJetAdminConcatenada!$A:$A=BU$2)*(AsistenciaJetAdminConcatenada!$B:$B=BU$1), 0)), 1))),  0.5, 0))</f>
        <v>1</v>
      </c>
      <c r="BV94" s="47">
        <f t="array" ref="BV94">IF(AND(ISNUMBER(MATCH(BV$2, AsistenciaJetAdminConcatenada!$A:$A, 0)), ISNUMBER(MATCH(BV$1, AsistenciaJetAdminConcatenada!$B:$B, 0)), ISNUMBER(SEARCH($A94,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ISNUMBER(SEARCH($A94, INDEX(AsistenciaJetAdminConcatenada!$D:$D, MATCH(1, (AsistenciaJetAdminConcatenada!$A:$A=BV$2)*(AsistenciaJetAdminConcatenada!$B:$B=BV$1), 0)), 1))),  0.5, 0))</f>
        <v>0</v>
      </c>
      <c r="BW94" s="47">
        <f t="array" ref="BW94">IF(AND(ISNUMBER(MATCH(BW$2, AsistenciaJetAdminConcatenada!$A:$A, 0)), ISNUMBER(MATCH(BW$1, AsistenciaJetAdminConcatenada!$B:$B, 0)), ISNUMBER(SEARCH($A94,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ISNUMBER(SEARCH($A94, INDEX(AsistenciaJetAdminConcatenada!$D:$D, MATCH(1, (AsistenciaJetAdminConcatenada!$A:$A=BW$2)*(AsistenciaJetAdminConcatenada!$B:$B=BW$1), 0)), 1))),  0.5, 0))</f>
        <v>0.5</v>
      </c>
      <c r="BX94" s="47">
        <f t="array" ref="BX94">IF(AND(ISNUMBER(MATCH(BX$2, AsistenciaJetAdminConcatenada!$A:$A, 0)), ISNUMBER(MATCH(BX$1, AsistenciaJetAdminConcatenada!$B:$B, 0)), ISNUMBER(SEARCH($A94,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ISNUMBER(SEARCH($A94, INDEX(AsistenciaJetAdminConcatenada!$D:$D, MATCH(1, (AsistenciaJetAdminConcatenada!$A:$A=BX$2)*(AsistenciaJetAdminConcatenada!$B:$B=BX$1), 0)), 1))),  0.5, 0))</f>
        <v>0</v>
      </c>
      <c r="BY94" s="47">
        <f t="array" ref="BY94">IF(AND(ISNUMBER(MATCH(BY$2, AsistenciaJetAdminConcatenada!$A:$A, 0)), ISNUMBER(MATCH(BY$1, AsistenciaJetAdminConcatenada!$B:$B, 0)), ISNUMBER(SEARCH($A94,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ISNUMBER(SEARCH($A94, INDEX(AsistenciaJetAdminConcatenada!$D:$D, MATCH(1, (AsistenciaJetAdminConcatenada!$A:$A=BY$2)*(AsistenciaJetAdminConcatenada!$B:$B=BY$1), 0)), 1))),  0.5, 0))</f>
        <v>0</v>
      </c>
      <c r="BZ94" s="47">
        <f t="array" ref="BZ94">IF(AND(ISNUMBER(MATCH(BZ$2, AsistenciaJetAdminConcatenada!$A:$A, 0)), ISNUMBER(MATCH(BZ$1, AsistenciaJetAdminConcatenada!$B:$B, 0)), ISNUMBER(SEARCH($A94,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ISNUMBER(SEARCH($A94, INDEX(AsistenciaJetAdminConcatenada!$D:$D, MATCH(1, (AsistenciaJetAdminConcatenada!$A:$A=BZ$2)*(AsistenciaJetAdminConcatenada!$B:$B=BZ$1), 0)), 1))),  0.5, 0))</f>
        <v>0</v>
      </c>
      <c r="CA94" s="47">
        <f t="array" ref="CA94">IF(AND(ISNUMBER(MATCH(CA$2, AsistenciaJetAdminConcatenada!$A:$A, 0)), ISNUMBER(MATCH(CA$1, AsistenciaJetAdminConcatenada!$B:$B, 0)), ISNUMBER(SEARCH($A94,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ISNUMBER(SEARCH($A94, INDEX(AsistenciaJetAdminConcatenada!$D:$D, MATCH(1, (AsistenciaJetAdminConcatenada!$A:$A=CA$2)*(AsistenciaJetAdminConcatenada!$B:$B=CA$1), 0)), 1))),  0.5, 0))</f>
        <v>1</v>
      </c>
      <c r="CB94" s="47">
        <f t="array" ref="CB94">IF(AND(ISNUMBER(MATCH(CB$2, AsistenciaJetAdminConcatenada!$A:$A, 0)), ISNUMBER(MATCH(CB$1, AsistenciaJetAdminConcatenada!$B:$B, 0)), ISNUMBER(SEARCH($A94,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ISNUMBER(SEARCH($A94, INDEX(AsistenciaJetAdminConcatenada!$D:$D, MATCH(1, (AsistenciaJetAdminConcatenada!$A:$A=CB$2)*(AsistenciaJetAdminConcatenada!$B:$B=CB$1), 0)), 1))),  0.5, 0))</f>
        <v>0</v>
      </c>
      <c r="CC94" s="47">
        <f t="array" ref="CC94">IF(AND(ISNUMBER(MATCH(CC$2, AsistenciaJetAdminConcatenada!$A:$A, 0)), ISNUMBER(MATCH(CC$1, AsistenciaJetAdminConcatenada!$B:$B, 0)), ISNUMBER(SEARCH($A94,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ISNUMBER(SEARCH($A94, INDEX(AsistenciaJetAdminConcatenada!$D:$D, MATCH(1, (AsistenciaJetAdminConcatenada!$A:$A=CC$2)*(AsistenciaJetAdminConcatenada!$B:$B=CC$1), 0)), 1))),  0.5, 0))</f>
        <v>1</v>
      </c>
      <c r="CD94" s="47">
        <f t="array" ref="CD94">IF(AND(ISNUMBER(MATCH(CD$2, AsistenciaJetAdminConcatenada!$A:$A, 0)), ISNUMBER(MATCH(CD$1, AsistenciaJetAdminConcatenada!$B:$B, 0)), ISNUMBER(SEARCH($A94,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ISNUMBER(SEARCH($A94, INDEX(AsistenciaJetAdminConcatenada!$D:$D, MATCH(1, (AsistenciaJetAdminConcatenada!$A:$A=CD$2)*(AsistenciaJetAdminConcatenada!$B:$B=CD$1), 0)), 1))),  0.5, 0))</f>
        <v>0</v>
      </c>
      <c r="CE94" s="47">
        <f t="array" ref="CE94">IF(AND(ISNUMBER(MATCH(CE$2, AsistenciaJetAdminConcatenada!$A:$A, 0)), ISNUMBER(MATCH(CE$1, AsistenciaJetAdminConcatenada!$B:$B, 0)), ISNUMBER(SEARCH($A94,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ISNUMBER(SEARCH($A94, INDEX(AsistenciaJetAdminConcatenada!$D:$D, MATCH(1, (AsistenciaJetAdminConcatenada!$A:$A=CE$2)*(AsistenciaJetAdminConcatenada!$B:$B=CE$1), 0)), 1))),  0.5, 0))</f>
        <v>0.5</v>
      </c>
      <c r="CF94" s="47">
        <f t="array" ref="CF94">IF(AND(ISNUMBER(MATCH(CF$2, AsistenciaJetAdminConcatenada!$A:$A, 0)), ISNUMBER(MATCH(CF$1, AsistenciaJetAdminConcatenada!$B:$B, 0)), ISNUMBER(SEARCH($A94,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ISNUMBER(SEARCH($A94, INDEX(AsistenciaJetAdminConcatenada!$D:$D, MATCH(1, (AsistenciaJetAdminConcatenada!$A:$A=CF$2)*(AsistenciaJetAdminConcatenada!$B:$B=CF$1), 0)), 1))),  0.5, 0))</f>
        <v>0.5</v>
      </c>
      <c r="CG94" s="47">
        <f t="array" ref="CG94">IF(AND(ISNUMBER(MATCH(CG$2, AsistenciaJetAdminConcatenada!$A:$A, 0)), ISNUMBER(MATCH(CG$1, AsistenciaJetAdminConcatenada!$B:$B, 0)), ISNUMBER(SEARCH($A94,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ISNUMBER(SEARCH($A94, INDEX(AsistenciaJetAdminConcatenada!$D:$D, MATCH(1, (AsistenciaJetAdminConcatenada!$A:$A=CG$2)*(AsistenciaJetAdminConcatenada!$B:$B=CG$1), 0)), 1))),  0.5, 0))</f>
        <v>0</v>
      </c>
      <c r="CH94" s="47">
        <f t="array" ref="CH94">IF(AND(ISNUMBER(MATCH(CH$2, AsistenciaJetAdminConcatenada!$A:$A, 0)), ISNUMBER(MATCH(CH$1, AsistenciaJetAdminConcatenada!$B:$B, 0)), ISNUMBER(SEARCH($A94,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ISNUMBER(SEARCH($A94, INDEX(AsistenciaJetAdminConcatenada!$D:$D, MATCH(1, (AsistenciaJetAdminConcatenada!$A:$A=CH$2)*(AsistenciaJetAdminConcatenada!$B:$B=CH$1), 0)), 1))),  0.5, 0))</f>
        <v>0</v>
      </c>
      <c r="CI94" s="47">
        <f t="array" ref="CI94">IF(AND(ISNUMBER(MATCH(CI$2, AsistenciaJetAdminConcatenada!$A:$A, 0)), ISNUMBER(MATCH(CI$1, AsistenciaJetAdminConcatenada!$B:$B, 0)), ISNUMBER(SEARCH($A94,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ISNUMBER(SEARCH($A94, INDEX(AsistenciaJetAdminConcatenada!$D:$D, MATCH(1, (AsistenciaJetAdminConcatenada!$A:$A=CI$2)*(AsistenciaJetAdminConcatenada!$B:$B=CI$1), 0)), 1))),  0.5, 0))</f>
        <v>1</v>
      </c>
      <c r="CJ94" s="47">
        <f t="array" ref="CJ94">IF(AND(ISNUMBER(MATCH(CJ$2, AsistenciaJetAdminConcatenada!$A:$A, 0)), ISNUMBER(MATCH(CJ$1, AsistenciaJetAdminConcatenada!$B:$B, 0)), ISNUMBER(SEARCH($A94,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ISNUMBER(SEARCH($A94, INDEX(AsistenciaJetAdminConcatenada!$D:$D, MATCH(1, (AsistenciaJetAdminConcatenada!$A:$A=CJ$2)*(AsistenciaJetAdminConcatenada!$B:$B=CJ$1), 0)), 1))),  0.5, 0))</f>
        <v>1</v>
      </c>
      <c r="CK94" s="47">
        <f t="array" ref="CK94">IF(AND(ISNUMBER(MATCH(CK$2, AsistenciaJetAdminConcatenada!$A:$A, 0)), ISNUMBER(MATCH(CK$1, AsistenciaJetAdminConcatenada!$B:$B, 0)), ISNUMBER(SEARCH($A94,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ISNUMBER(SEARCH($A94, INDEX(AsistenciaJetAdminConcatenada!$D:$D, MATCH(1, (AsistenciaJetAdminConcatenada!$A:$A=CK$2)*(AsistenciaJetAdminConcatenada!$B:$B=CK$1), 0)), 1))),  0.5, 0))</f>
        <v>1</v>
      </c>
      <c r="CL94" s="47">
        <f t="array" ref="CL94">IF(AND(ISNUMBER(MATCH(CL$2, AsistenciaJetAdminConcatenada!$A:$A, 0)), ISNUMBER(MATCH(CL$1, AsistenciaJetAdminConcatenada!$B:$B, 0)), ISNUMBER(SEARCH($A94,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ISNUMBER(SEARCH($A94, INDEX(AsistenciaJetAdminConcatenada!$D:$D, MATCH(1, (AsistenciaJetAdminConcatenada!$A:$A=CL$2)*(AsistenciaJetAdminConcatenada!$B:$B=CL$1), 0)), 1))),  0.5, 0))</f>
        <v>1</v>
      </c>
      <c r="CM94" s="47">
        <f t="array" ref="CM94">IF(AND(ISNUMBER(MATCH(CM$2, AsistenciaJetAdminConcatenada!$A:$A, 0)), ISNUMBER(MATCH(CM$1, AsistenciaJetAdminConcatenada!$B:$B, 0)), ISNUMBER(SEARCH($A94,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ISNUMBER(SEARCH($A94, INDEX(AsistenciaJetAdminConcatenada!$D:$D, MATCH(1, (AsistenciaJetAdminConcatenada!$A:$A=CM$2)*(AsistenciaJetAdminConcatenada!$B:$B=CM$1), 0)), 1))),  0.5, 0))</f>
        <v>1</v>
      </c>
      <c r="CN94" s="47">
        <f t="array" ref="CN94">IF(AND(ISNUMBER(MATCH(CN$2, AsistenciaJetAdminConcatenada!$A:$A, 0)), ISNUMBER(MATCH(CN$1, AsistenciaJetAdminConcatenada!$B:$B, 0)), ISNUMBER(SEARCH($A94,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ISNUMBER(SEARCH($A94, INDEX(AsistenciaJetAdminConcatenada!$D:$D, MATCH(1, (AsistenciaJetAdminConcatenada!$A:$A=CN$2)*(AsistenciaJetAdminConcatenada!$B:$B=CN$1), 0)), 1))),  0.5, 0))</f>
        <v>0</v>
      </c>
      <c r="CO94" s="47">
        <f t="array" ref="CO94">IF(AND(ISNUMBER(MATCH(CO$2, AsistenciaJetAdminConcatenada!$A:$A, 0)), ISNUMBER(MATCH(CO$1, AsistenciaJetAdminConcatenada!$B:$B, 0)), ISNUMBER(SEARCH($A94,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ISNUMBER(SEARCH($A94, INDEX(AsistenciaJetAdminConcatenada!$D:$D, MATCH(1, (AsistenciaJetAdminConcatenada!$A:$A=CO$2)*(AsistenciaJetAdminConcatenada!$B:$B=CO$1), 0)), 1))),  0.5, 0))</f>
        <v>0</v>
      </c>
      <c r="CP94" s="47">
        <f t="array" ref="CP94">IF(AND(ISNUMBER(MATCH(CP$2, AsistenciaJetAdminConcatenada!$A:$A, 0)), ISNUMBER(MATCH(CP$1, AsistenciaJetAdminConcatenada!$B:$B, 0)), ISNUMBER(SEARCH($A94,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ISNUMBER(SEARCH($A94, INDEX(AsistenciaJetAdminConcatenada!$D:$D, MATCH(1, (AsistenciaJetAdminConcatenada!$A:$A=CP$2)*(AsistenciaJetAdminConcatenada!$B:$B=CP$1), 0)), 1))),  0.5, 0))</f>
        <v>0</v>
      </c>
      <c r="CQ94" s="47">
        <f t="array" ref="CQ94">IF(AND(ISNUMBER(MATCH(CQ$2, AsistenciaJetAdminConcatenada!$A:$A, 0)), ISNUMBER(MATCH(CQ$1, AsistenciaJetAdminConcatenada!$B:$B, 0)), ISNUMBER(SEARCH($A94,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ISNUMBER(SEARCH($A94, INDEX(AsistenciaJetAdminConcatenada!$D:$D, MATCH(1, (AsistenciaJetAdminConcatenada!$A:$A=CQ$2)*(AsistenciaJetAdminConcatenada!$B:$B=CQ$1), 0)), 1))),  0.5, 0))</f>
        <v>0</v>
      </c>
      <c r="CR94" s="47">
        <f t="array" ref="CR94">IF(AND(ISNUMBER(MATCH(CR$2, AsistenciaJetAdminConcatenada!$A:$A, 0)), ISNUMBER(MATCH(CR$1, AsistenciaJetAdminConcatenada!$B:$B, 0)), ISNUMBER(SEARCH($A94,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ISNUMBER(SEARCH($A94, INDEX(AsistenciaJetAdminConcatenada!$D:$D, MATCH(1, (AsistenciaJetAdminConcatenada!$A:$A=CR$2)*(AsistenciaJetAdminConcatenada!$B:$B=CR$1), 0)), 1))),  0.5, 0))</f>
        <v>1</v>
      </c>
      <c r="CS94" s="47">
        <f t="array" ref="CS94">IF(AND(ISNUMBER(MATCH(CS$2, AsistenciaJetAdminConcatenada!$A:$A, 0)), ISNUMBER(MATCH(CS$1, AsistenciaJetAdminConcatenada!$B:$B, 0)), ISNUMBER(SEARCH($A94,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ISNUMBER(SEARCH($A94, INDEX(AsistenciaJetAdminConcatenada!$D:$D, MATCH(1, (AsistenciaJetAdminConcatenada!$A:$A=CS$2)*(AsistenciaJetAdminConcatenada!$B:$B=CS$1), 0)), 1))),  0.5, 0))</f>
        <v>0</v>
      </c>
      <c r="CT94" s="47">
        <f t="array" ref="CT94">IF(AND(ISNUMBER(MATCH(CT$2, AsistenciaJetAdminConcatenada!$A:$A, 0)), ISNUMBER(MATCH(CT$1, AsistenciaJetAdminConcatenada!$B:$B, 0)), ISNUMBER(SEARCH($A94,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ISNUMBER(SEARCH($A94, INDEX(AsistenciaJetAdminConcatenada!$D:$D, MATCH(1, (AsistenciaJetAdminConcatenada!$A:$A=CT$2)*(AsistenciaJetAdminConcatenada!$B:$B=CT$1), 0)), 1))),  0.5, 0))</f>
        <v>0</v>
      </c>
      <c r="CU94" s="47">
        <f t="array" ref="CU94">IF(AND(ISNUMBER(MATCH(CU$2, AsistenciaJetAdminConcatenada!$A:$A, 0)), ISNUMBER(MATCH(CU$1, AsistenciaJetAdminConcatenada!$B:$B, 0)), ISNUMBER(SEARCH($A94,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ISNUMBER(SEARCH($A94, INDEX(AsistenciaJetAdminConcatenada!$D:$D, MATCH(1, (AsistenciaJetAdminConcatenada!$A:$A=CU$2)*(AsistenciaJetAdminConcatenada!$B:$B=CU$1), 0)), 1))),  0.5, 0))</f>
        <v>0</v>
      </c>
      <c r="CV94" s="47">
        <f t="array" ref="CV94">IF(AND(ISNUMBER(MATCH(CV$2, AsistenciaJetAdminConcatenada!$A:$A, 0)), ISNUMBER(MATCH(CV$1, AsistenciaJetAdminConcatenada!$B:$B, 0)), ISNUMBER(SEARCH($A94,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ISNUMBER(SEARCH($A94, INDEX(AsistenciaJetAdminConcatenada!$D:$D, MATCH(1, (AsistenciaJetAdminConcatenada!$A:$A=CV$2)*(AsistenciaJetAdminConcatenada!$B:$B=CV$1), 0)), 1))),  0.5, 0))</f>
        <v>0</v>
      </c>
      <c r="CW94" s="47">
        <f t="array" ref="CW94">IF(AND(ISNUMBER(MATCH(CW$2, AsistenciaJetAdminConcatenada!$A:$A, 0)), ISNUMBER(MATCH(CW$1, AsistenciaJetAdminConcatenada!$B:$B, 0)), ISNUMBER(SEARCH($A94,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ISNUMBER(SEARCH($A94, INDEX(AsistenciaJetAdminConcatenada!$D:$D, MATCH(1, (AsistenciaJetAdminConcatenada!$A:$A=CW$2)*(AsistenciaJetAdminConcatenada!$B:$B=CW$1), 0)), 1))),  0.5, 0))</f>
        <v>0</v>
      </c>
      <c r="CX94" s="47">
        <f t="array" ref="CX94">IF(AND(ISNUMBER(MATCH(CX$2, AsistenciaJetAdminConcatenada!$A:$A, 0)), ISNUMBER(MATCH(CX$1, AsistenciaJetAdminConcatenada!$B:$B, 0)), ISNUMBER(SEARCH($A94,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ISNUMBER(SEARCH($A94, INDEX(AsistenciaJetAdminConcatenada!$D:$D, MATCH(1, (AsistenciaJetAdminConcatenada!$A:$A=CX$2)*(AsistenciaJetAdminConcatenada!$B:$B=CX$1), 0)), 1))),  0.5, 0))</f>
        <v>0</v>
      </c>
      <c r="CY94" s="47">
        <f t="array" ref="CY94">IF(AND(ISNUMBER(MATCH(CY$2, AsistenciaJetAdminConcatenada!$A:$A, 0)), ISNUMBER(MATCH(CY$1, AsistenciaJetAdminConcatenada!$B:$B, 0)), ISNUMBER(SEARCH($A94,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ISNUMBER(SEARCH($A94, INDEX(AsistenciaJetAdminConcatenada!$D:$D, MATCH(1, (AsistenciaJetAdminConcatenada!$A:$A=CY$2)*(AsistenciaJetAdminConcatenada!$B:$B=CY$1), 0)), 1))),  0.5, 0))</f>
        <v>0</v>
      </c>
      <c r="CZ94" s="47">
        <f t="array" ref="CZ94">IF(AND(ISNUMBER(MATCH(CZ$2, AsistenciaJetAdminConcatenada!$A:$A, 0)), ISNUMBER(MATCH(CZ$1, AsistenciaJetAdminConcatenada!$B:$B, 0)), ISNUMBER(SEARCH($A94,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ISNUMBER(SEARCH($A94, INDEX(AsistenciaJetAdminConcatenada!$D:$D, MATCH(1, (AsistenciaJetAdminConcatenada!$A:$A=CZ$2)*(AsistenciaJetAdminConcatenada!$B:$B=CZ$1), 0)), 1))),  0.5, 0))</f>
        <v>0</v>
      </c>
      <c r="DA94" s="47">
        <f t="array" ref="DA94">IF(AND(ISNUMBER(MATCH(DA$2, AsistenciaJetAdminConcatenada!$A:$A, 0)), ISNUMBER(MATCH(DA$1, AsistenciaJetAdminConcatenada!$B:$B, 0)), ISNUMBER(SEARCH($A94,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ISNUMBER(SEARCH($A94, INDEX(AsistenciaJetAdminConcatenada!$D:$D, MATCH(1, (AsistenciaJetAdminConcatenada!$A:$A=DA$2)*(AsistenciaJetAdminConcatenada!$B:$B=DA$1), 0)), 1))),  0.5, 0))</f>
        <v>0</v>
      </c>
      <c r="DB94" s="47">
        <f t="array" ref="DB94">IF(AND(ISNUMBER(MATCH(DB$2, AsistenciaJetAdminConcatenada!$A:$A, 0)), ISNUMBER(MATCH(DB$1, AsistenciaJetAdminConcatenada!$B:$B, 0)), ISNUMBER(SEARCH($A94,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ISNUMBER(SEARCH($A94, INDEX(AsistenciaJetAdminConcatenada!$D:$D, MATCH(1, (AsistenciaJetAdminConcatenada!$A:$A=DB$2)*(AsistenciaJetAdminConcatenada!$B:$B=DB$1), 0)), 1))),  0.5, 0))</f>
        <v>0</v>
      </c>
      <c r="DC94" s="47">
        <f t="array" ref="DC94">IF(AND(ISNUMBER(MATCH(DC$2, AsistenciaJetAdminConcatenada!$A:$A, 0)), ISNUMBER(MATCH(DC$1, AsistenciaJetAdminConcatenada!$B:$B, 0)), ISNUMBER(SEARCH($A94,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ISNUMBER(SEARCH($A94, INDEX(AsistenciaJetAdminConcatenada!$D:$D, MATCH(1, (AsistenciaJetAdminConcatenada!$A:$A=DC$2)*(AsistenciaJetAdminConcatenada!$B:$B=DC$1), 0)), 1))),  0.5, 0))</f>
        <v>0</v>
      </c>
      <c r="DD94" s="47">
        <f t="array" ref="DD94">IF(AND(ISNUMBER(MATCH(DD$2, AsistenciaJetAdminConcatenada!$A:$A, 0)), ISNUMBER(MATCH(DD$1, AsistenciaJetAdminConcatenada!$B:$B, 0)), ISNUMBER(SEARCH($A94,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ISNUMBER(SEARCH($A94, INDEX(AsistenciaJetAdminConcatenada!$D:$D, MATCH(1, (AsistenciaJetAdminConcatenada!$A:$A=DD$2)*(AsistenciaJetAdminConcatenada!$B:$B=DD$1), 0)), 1))),  0.5, 0))</f>
        <v>0</v>
      </c>
      <c r="DE94" s="47">
        <f t="array" ref="DE94">IF(AND(ISNUMBER(MATCH(DE$2, AsistenciaJetAdminConcatenada!$A:$A, 0)), ISNUMBER(MATCH(DE$1, AsistenciaJetAdminConcatenada!$B:$B, 0)), ISNUMBER(SEARCH($A94,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ISNUMBER(SEARCH($A94, INDEX(AsistenciaJetAdminConcatenada!$D:$D, MATCH(1, (AsistenciaJetAdminConcatenada!$A:$A=DE$2)*(AsistenciaJetAdminConcatenada!$B:$B=DE$1), 0)), 1))),  0.5, 0))</f>
        <v>0</v>
      </c>
      <c r="DF94" s="47">
        <f t="array" ref="DF94">IF(AND(ISNUMBER(MATCH(DF$2, AsistenciaJetAdminConcatenada!$A:$A, 0)), ISNUMBER(MATCH(DF$1, AsistenciaJetAdminConcatenada!$B:$B, 0)), ISNUMBER(SEARCH($A94,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ISNUMBER(SEARCH($A94, INDEX(AsistenciaJetAdminConcatenada!$D:$D, MATCH(1, (AsistenciaJetAdminConcatenada!$A:$A=DF$2)*(AsistenciaJetAdminConcatenada!$B:$B=DF$1), 0)), 1))),  0.5, 0))</f>
        <v>0</v>
      </c>
      <c r="DG94" s="47">
        <f t="array" ref="DG94">IF(AND(ISNUMBER(MATCH(DG$2, AsistenciaJetAdminConcatenada!$A:$A, 0)), ISNUMBER(MATCH(DG$1, AsistenciaJetAdminConcatenada!$B:$B, 0)), ISNUMBER(SEARCH($A94,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ISNUMBER(SEARCH($A94, INDEX(AsistenciaJetAdminConcatenada!$D:$D, MATCH(1, (AsistenciaJetAdminConcatenada!$A:$A=DG$2)*(AsistenciaJetAdminConcatenada!$B:$B=DG$1), 0)), 1))),  0.5, 0))</f>
        <v>0</v>
      </c>
      <c r="DH94" s="47">
        <f t="array" ref="DH94">IF(AND(ISNUMBER(MATCH(DH$2, AsistenciaJetAdminConcatenada!$A:$A, 0)), ISNUMBER(MATCH(DH$1, AsistenciaJetAdminConcatenada!$B:$B, 0)), ISNUMBER(SEARCH($A94,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ISNUMBER(SEARCH($A94, INDEX(AsistenciaJetAdminConcatenada!$D:$D, MATCH(1, (AsistenciaJetAdminConcatenada!$A:$A=DH$2)*(AsistenciaJetAdminConcatenada!$B:$B=DH$1), 0)), 1))),  0.5, 0))</f>
        <v>0</v>
      </c>
      <c r="DI94" s="47">
        <f t="array" ref="DI94">IF(AND(ISNUMBER(MATCH(DI$2, AsistenciaJetAdminConcatenada!$A:$A, 0)), ISNUMBER(MATCH(DI$1, AsistenciaJetAdminConcatenada!$B:$B, 0)), ISNUMBER(SEARCH($A94,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ISNUMBER(SEARCH($A94, INDEX(AsistenciaJetAdminConcatenada!$D:$D, MATCH(1, (AsistenciaJetAdminConcatenada!$A:$A=DI$2)*(AsistenciaJetAdminConcatenada!$B:$B=DI$1), 0)), 1))),  0.5, 0))</f>
        <v>0</v>
      </c>
      <c r="DJ94" s="47">
        <f t="array" ref="DJ94">IF(AND(ISNUMBER(MATCH(DJ$2, AsistenciaJetAdminConcatenada!$A:$A, 0)), ISNUMBER(MATCH(DJ$1, AsistenciaJetAdminConcatenada!$B:$B, 0)), ISNUMBER(SEARCH($A94,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ISNUMBER(SEARCH($A94, INDEX(AsistenciaJetAdminConcatenada!$D:$D, MATCH(1, (AsistenciaJetAdminConcatenada!$A:$A=DJ$2)*(AsistenciaJetAdminConcatenada!$B:$B=DJ$1), 0)), 1))),  0.5, 0))</f>
        <v>0</v>
      </c>
      <c r="DK94" s="47">
        <f t="array" ref="DK94">IF(AND(ISNUMBER(MATCH(DK$2, AsistenciaJetAdminConcatenada!$A:$A, 0)), ISNUMBER(MATCH(DK$1, AsistenciaJetAdminConcatenada!$B:$B, 0)), ISNUMBER(SEARCH($A94,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ISNUMBER(SEARCH($A94, INDEX(AsistenciaJetAdminConcatenada!$D:$D, MATCH(1, (AsistenciaJetAdminConcatenada!$A:$A=DK$2)*(AsistenciaJetAdminConcatenada!$B:$B=DK$1), 0)), 1))),  0.5, 0))</f>
        <v>0</v>
      </c>
      <c r="DL94" s="47">
        <f t="array" ref="DL94">IF(AND(ISNUMBER(MATCH(DL$2, AsistenciaJetAdminConcatenada!$A:$A, 0)), ISNUMBER(MATCH(DL$1, AsistenciaJetAdminConcatenada!$B:$B, 0)), ISNUMBER(SEARCH($A94,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ISNUMBER(SEARCH($A94, INDEX(AsistenciaJetAdminConcatenada!$D:$D, MATCH(1, (AsistenciaJetAdminConcatenada!$A:$A=DL$2)*(AsistenciaJetAdminConcatenada!$B:$B=DL$1), 0)), 1))),  0.5, 0))</f>
        <v>0</v>
      </c>
      <c r="DM94" s="47">
        <f t="array" ref="DM94">IF(AND(ISNUMBER(MATCH(DM$2, AsistenciaJetAdminConcatenada!$A:$A, 0)), ISNUMBER(MATCH(DM$1, AsistenciaJetAdminConcatenada!$B:$B, 0)), ISNUMBER(SEARCH($A94,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ISNUMBER(SEARCH($A94, INDEX(AsistenciaJetAdminConcatenada!$D:$D, MATCH(1, (AsistenciaJetAdminConcatenada!$A:$A=DM$2)*(AsistenciaJetAdminConcatenada!$B:$B=DM$1), 0)), 1))),  0.5, 0))</f>
        <v>0</v>
      </c>
      <c r="DN94" s="47">
        <f t="array" ref="DN94">IF(AND(ISNUMBER(MATCH(DN$2, AsistenciaJetAdminConcatenada!$A:$A, 0)), ISNUMBER(MATCH(DN$1, AsistenciaJetAdminConcatenada!$B:$B, 0)), ISNUMBER(SEARCH($A94,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ISNUMBER(SEARCH($A94, INDEX(AsistenciaJetAdminConcatenada!$D:$D, MATCH(1, (AsistenciaJetAdminConcatenada!$A:$A=DN$2)*(AsistenciaJetAdminConcatenada!$B:$B=DN$1), 0)), 1))),  0.5, 0))</f>
        <v>0</v>
      </c>
      <c r="DO94" s="47">
        <f t="array" ref="DO94">IF(AND(ISNUMBER(MATCH(DO$2, AsistenciaJetAdminConcatenada!$A:$A, 0)), ISNUMBER(MATCH(DO$1, AsistenciaJetAdminConcatenada!$B:$B, 0)), ISNUMBER(SEARCH($A94,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ISNUMBER(SEARCH($A94, INDEX(AsistenciaJetAdminConcatenada!$D:$D, MATCH(1, (AsistenciaJetAdminConcatenada!$A:$A=DO$2)*(AsistenciaJetAdminConcatenada!$B:$B=DO$1), 0)), 1))),  0.5, 0))</f>
        <v>0</v>
      </c>
      <c r="DP94" s="47">
        <f t="array" ref="DP94">IF(AND(ISNUMBER(MATCH(DP$2, AsistenciaJetAdminConcatenada!$A:$A, 0)), ISNUMBER(MATCH(DP$1, AsistenciaJetAdminConcatenada!$B:$B, 0)), ISNUMBER(SEARCH($A94,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ISNUMBER(SEARCH($A94, INDEX(AsistenciaJetAdminConcatenada!$D:$D, MATCH(1, (AsistenciaJetAdminConcatenada!$A:$A=DP$2)*(AsistenciaJetAdminConcatenada!$B:$B=DP$1), 0)), 1))),  0.5, 0))</f>
        <v>0</v>
      </c>
      <c r="DQ94" s="47">
        <f t="array" ref="DQ94">IF(AND(ISNUMBER(MATCH(DQ$2, AsistenciaJetAdminConcatenada!$A:$A, 0)), ISNUMBER(MATCH(DQ$1, AsistenciaJetAdminConcatenada!$B:$B, 0)), ISNUMBER(SEARCH($A94,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ISNUMBER(SEARCH($A94, INDEX(AsistenciaJetAdminConcatenada!$D:$D, MATCH(1, (AsistenciaJetAdminConcatenada!$A:$A=DQ$2)*(AsistenciaJetAdminConcatenada!$B:$B=DQ$1), 0)), 1))),  0.5, 0))</f>
        <v>0</v>
      </c>
      <c r="DR94" s="47">
        <f t="array" ref="DR94">IF(AND(ISNUMBER(MATCH(DR$2, AsistenciaJetAdminConcatenada!$A:$A, 0)), ISNUMBER(MATCH(DR$1, AsistenciaJetAdminConcatenada!$B:$B, 0)), ISNUMBER(SEARCH($A94,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ISNUMBER(SEARCH($A94, INDEX(AsistenciaJetAdminConcatenada!$D:$D, MATCH(1, (AsistenciaJetAdminConcatenada!$A:$A=DR$2)*(AsistenciaJetAdminConcatenada!$B:$B=DR$1), 0)), 1))),  0.5, 0))</f>
        <v>0</v>
      </c>
      <c r="DS94" s="47">
        <f t="array" ref="DS94">IF(AND(ISNUMBER(MATCH(DS$2, AsistenciaJetAdminConcatenada!$A:$A, 0)), ISNUMBER(MATCH(DS$1, AsistenciaJetAdminConcatenada!$B:$B, 0)), ISNUMBER(SEARCH($A94,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ISNUMBER(SEARCH($A94, INDEX(AsistenciaJetAdminConcatenada!$D:$D, MATCH(1, (AsistenciaJetAdminConcatenada!$A:$A=DS$2)*(AsistenciaJetAdminConcatenada!$B:$B=DS$1), 0)), 1))),  0.5, 0))</f>
        <v>0</v>
      </c>
      <c r="DT94" s="47">
        <f t="array" ref="DT94">IF(AND(ISNUMBER(MATCH(DT$2, AsistenciaJetAdminConcatenada!$A:$A, 0)), ISNUMBER(MATCH(DT$1, AsistenciaJetAdminConcatenada!$B:$B, 0)), ISNUMBER(SEARCH($A94,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ISNUMBER(SEARCH($A94, INDEX(AsistenciaJetAdminConcatenada!$D:$D, MATCH(1, (AsistenciaJetAdminConcatenada!$A:$A=DT$2)*(AsistenciaJetAdminConcatenada!$B:$B=DT$1), 0)), 1))),  0.5, 0))</f>
        <v>0</v>
      </c>
      <c r="DU94" s="47">
        <f t="array" ref="DU94">IF(AND(ISNUMBER(MATCH(DU$2, AsistenciaJetAdminConcatenada!$A:$A, 0)), ISNUMBER(MATCH(DU$1, AsistenciaJetAdminConcatenada!$B:$B, 0)), ISNUMBER(SEARCH($A94,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ISNUMBER(SEARCH($A94, INDEX(AsistenciaJetAdminConcatenada!$D:$D, MATCH(1, (AsistenciaJetAdminConcatenada!$A:$A=DU$2)*(AsistenciaJetAdminConcatenada!$B:$B=DU$1), 0)), 1))),  0.5, 0))</f>
        <v>0</v>
      </c>
      <c r="DV94" s="47">
        <f t="array" ref="DV94">IF(AND(ISNUMBER(MATCH(DV$2, AsistenciaJetAdminConcatenada!$A:$A, 0)), ISNUMBER(MATCH(DV$1, AsistenciaJetAdminConcatenada!$B:$B, 0)), ISNUMBER(SEARCH($A94,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ISNUMBER(SEARCH($A94, INDEX(AsistenciaJetAdminConcatenada!$D:$D, MATCH(1, (AsistenciaJetAdminConcatenada!$A:$A=DV$2)*(AsistenciaJetAdminConcatenada!$B:$B=DV$1), 0)), 1))),  0.5, 0))</f>
        <v>0</v>
      </c>
      <c r="DW94" s="47">
        <f t="array" ref="DW94">IF(AND(ISNUMBER(MATCH(DW$2, AsistenciaJetAdminConcatenada!$A:$A, 0)), ISNUMBER(MATCH(DW$1, AsistenciaJetAdminConcatenada!$B:$B, 0)), ISNUMBER(SEARCH($A94,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ISNUMBER(SEARCH($A94, INDEX(AsistenciaJetAdminConcatenada!$D:$D, MATCH(1, (AsistenciaJetAdminConcatenada!$A:$A=DW$2)*(AsistenciaJetAdminConcatenada!$B:$B=DW$1), 0)), 1))),  0.5, 0))</f>
        <v>0</v>
      </c>
      <c r="DX94" s="47">
        <f t="array" ref="DX94">IF(AND(ISNUMBER(MATCH(DX$2, AsistenciaJetAdminConcatenada!$A:$A, 0)), ISNUMBER(MATCH(DX$1, AsistenciaJetAdminConcatenada!$B:$B, 0)), ISNUMBER(SEARCH($A94,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ISNUMBER(SEARCH($A94, INDEX(AsistenciaJetAdminConcatenada!$D:$D, MATCH(1, (AsistenciaJetAdminConcatenada!$A:$A=DX$2)*(AsistenciaJetAdminConcatenada!$B:$B=DX$1), 0)), 1))),  0.5, 0))</f>
        <v>0</v>
      </c>
      <c r="DY94" s="47">
        <f t="array" ref="DY94">IF(AND(ISNUMBER(MATCH(DY$2, AsistenciaJetAdminConcatenada!$A:$A, 0)), ISNUMBER(MATCH(DY$1, AsistenciaJetAdminConcatenada!$B:$B, 0)), ISNUMBER(SEARCH($A94,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ISNUMBER(SEARCH($A94, INDEX(AsistenciaJetAdminConcatenada!$D:$D, MATCH(1, (AsistenciaJetAdminConcatenada!$A:$A=DY$2)*(AsistenciaJetAdminConcatenada!$B:$B=DY$1), 0)), 1))),  0.5, 0))</f>
        <v>0</v>
      </c>
      <c r="DZ94" s="47">
        <f t="array" ref="DZ94">IF(AND(ISNUMBER(MATCH(DZ$2, AsistenciaJetAdminConcatenada!$A:$A, 0)), ISNUMBER(MATCH(DZ$1, AsistenciaJetAdminConcatenada!$B:$B, 0)), ISNUMBER(SEARCH($A94,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ISNUMBER(SEARCH($A94, INDEX(AsistenciaJetAdminConcatenada!$D:$D, MATCH(1, (AsistenciaJetAdminConcatenada!$A:$A=DZ$2)*(AsistenciaJetAdminConcatenada!$B:$B=DZ$1), 0)), 1))),  0.5, 0))</f>
        <v>0</v>
      </c>
      <c r="EA94" s="47">
        <f t="array" ref="EA94">IF(AND(ISNUMBER(MATCH(EA$2, AsistenciaJetAdminConcatenada!$A:$A, 0)), ISNUMBER(MATCH(EA$1, AsistenciaJetAdminConcatenada!$B:$B, 0)), ISNUMBER(SEARCH($A94,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ISNUMBER(SEARCH($A94, INDEX(AsistenciaJetAdminConcatenada!$D:$D, MATCH(1, (AsistenciaJetAdminConcatenada!$A:$A=EA$2)*(AsistenciaJetAdminConcatenada!$B:$B=EA$1), 0)), 1))),  0.5, 0))</f>
        <v>0</v>
      </c>
      <c r="EB94" s="47">
        <f t="array" ref="EB94">IF(AND(ISNUMBER(MATCH(EB$2, AsistenciaJetAdminConcatenada!$A:$A, 0)), ISNUMBER(MATCH(EB$1, AsistenciaJetAdminConcatenada!$B:$B, 0)), ISNUMBER(SEARCH($A94,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ISNUMBER(SEARCH($A94, INDEX(AsistenciaJetAdminConcatenada!$D:$D, MATCH(1, (AsistenciaJetAdminConcatenada!$A:$A=EB$2)*(AsistenciaJetAdminConcatenada!$B:$B=EB$1), 0)), 1))),  0.5, 0))</f>
        <v>0</v>
      </c>
      <c r="EC94" s="47">
        <f t="array" ref="EC94">IF(AND(ISNUMBER(MATCH(EC$2, AsistenciaJetAdminConcatenada!$A:$A, 0)), ISNUMBER(MATCH(EC$1, AsistenciaJetAdminConcatenada!$B:$B, 0)), ISNUMBER(SEARCH($A94,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ISNUMBER(SEARCH($A94, INDEX(AsistenciaJetAdminConcatenada!$D:$D, MATCH(1, (AsistenciaJetAdminConcatenada!$A:$A=EC$2)*(AsistenciaJetAdminConcatenada!$B:$B=EC$1), 0)), 1))),  0.5, 0))</f>
        <v>0</v>
      </c>
      <c r="ED94" s="47">
        <f t="array" ref="ED94">IF(AND(ISNUMBER(MATCH(ED$2, AsistenciaJetAdminConcatenada!$A:$A, 0)), ISNUMBER(MATCH(ED$1, AsistenciaJetAdminConcatenada!$B:$B, 0)), ISNUMBER(SEARCH($A94,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ISNUMBER(SEARCH($A94, INDEX(AsistenciaJetAdminConcatenada!$D:$D, MATCH(1, (AsistenciaJetAdminConcatenada!$A:$A=ED$2)*(AsistenciaJetAdminConcatenada!$B:$B=ED$1), 0)), 1))),  0.5, 0))</f>
        <v>0</v>
      </c>
      <c r="EE94" s="47">
        <f t="array" ref="EE94">IF(AND(ISNUMBER(MATCH(EE$2, AsistenciaJetAdminConcatenada!$A:$A, 0)), ISNUMBER(MATCH(EE$1, AsistenciaJetAdminConcatenada!$B:$B, 0)), ISNUMBER(SEARCH($A94,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ISNUMBER(SEARCH($A94, INDEX(AsistenciaJetAdminConcatenada!$D:$D, MATCH(1, (AsistenciaJetAdminConcatenada!$A:$A=EE$2)*(AsistenciaJetAdminConcatenada!$B:$B=EE$1), 0)), 1))),  0.5, 0))</f>
        <v>0</v>
      </c>
      <c r="EF94" s="47">
        <f t="array" ref="EF94">IF(AND(ISNUMBER(MATCH(EF$2, AsistenciaJetAdminConcatenada!$A:$A, 0)), ISNUMBER(MATCH(EF$1, AsistenciaJetAdminConcatenada!$B:$B, 0)), ISNUMBER(SEARCH($A94,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ISNUMBER(SEARCH($A94, INDEX(AsistenciaJetAdminConcatenada!$D:$D, MATCH(1, (AsistenciaJetAdminConcatenada!$A:$A=EF$2)*(AsistenciaJetAdminConcatenada!$B:$B=EF$1), 0)), 1))),  0.5, 0))</f>
        <v>0</v>
      </c>
      <c r="EG94" s="47">
        <f t="array" ref="EG94">IF(AND(ISNUMBER(MATCH(EG$2, AsistenciaJetAdminConcatenada!$A:$A, 0)), ISNUMBER(MATCH(EG$1, AsistenciaJetAdminConcatenada!$B:$B, 0)), ISNUMBER(SEARCH($A94,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ISNUMBER(SEARCH($A94, INDEX(AsistenciaJetAdminConcatenada!$D:$D, MATCH(1, (AsistenciaJetAdminConcatenada!$A:$A=EG$2)*(AsistenciaJetAdminConcatenada!$B:$B=EG$1), 0)), 1))),  0.5, 0))</f>
        <v>0</v>
      </c>
      <c r="EH94" s="47">
        <f t="array" ref="EH94">IF(AND(ISNUMBER(MATCH(EH$2, AsistenciaJetAdminConcatenada!$A:$A, 0)), ISNUMBER(MATCH(EH$1, AsistenciaJetAdminConcatenada!$B:$B, 0)), ISNUMBER(SEARCH($A94,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ISNUMBER(SEARCH($A94, INDEX(AsistenciaJetAdminConcatenada!$D:$D, MATCH(1, (AsistenciaJetAdminConcatenada!$A:$A=EH$2)*(AsistenciaJetAdminConcatenada!$B:$B=EH$1), 0)), 1))),  0.5, 0))</f>
        <v>0</v>
      </c>
      <c r="EI94" s="47">
        <f t="array" ref="EI94">IF(AND(ISNUMBER(MATCH(EI$2, AsistenciaJetAdminConcatenada!$A:$A, 0)), ISNUMBER(MATCH(EI$1, AsistenciaJetAdminConcatenada!$B:$B, 0)), ISNUMBER(SEARCH($A94,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ISNUMBER(SEARCH($A94, INDEX(AsistenciaJetAdminConcatenada!$D:$D, MATCH(1, (AsistenciaJetAdminConcatenada!$A:$A=EI$2)*(AsistenciaJetAdminConcatenada!$B:$B=EI$1), 0)), 1))),  0.5, 0))</f>
        <v>0</v>
      </c>
      <c r="EJ94" s="47">
        <f t="array" ref="EJ94">IF(AND(ISNUMBER(MATCH(EJ$2, AsistenciaJetAdminConcatenada!$A:$A, 0)), ISNUMBER(MATCH(EJ$1, AsistenciaJetAdminConcatenada!$B:$B, 0)), ISNUMBER(SEARCH($A94,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ISNUMBER(SEARCH($A94, INDEX(AsistenciaJetAdminConcatenada!$D:$D, MATCH(1, (AsistenciaJetAdminConcatenada!$A:$A=EJ$2)*(AsistenciaJetAdminConcatenada!$B:$B=EJ$1), 0)), 1))),  0.5, 0))</f>
        <v>0</v>
      </c>
      <c r="EK94" s="47">
        <f t="array" ref="EK94">IF(AND(ISNUMBER(MATCH(EK$2, AsistenciaJetAdminConcatenada!$A:$A, 0)), ISNUMBER(MATCH(EK$1, AsistenciaJetAdminConcatenada!$B:$B, 0)), ISNUMBER(SEARCH($A94,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ISNUMBER(SEARCH($A94, INDEX(AsistenciaJetAdminConcatenada!$D:$D, MATCH(1, (AsistenciaJetAdminConcatenada!$A:$A=EK$2)*(AsistenciaJetAdminConcatenada!$B:$B=EK$1), 0)), 1))),  0.5, 0))</f>
        <v>0</v>
      </c>
      <c r="EL94" s="47">
        <f t="array" ref="EL94">IF(AND(ISNUMBER(MATCH(EL$2, AsistenciaJetAdminConcatenada!$A:$A, 0)), ISNUMBER(MATCH(EL$1, AsistenciaJetAdminConcatenada!$B:$B, 0)), ISNUMBER(SEARCH($A94,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ISNUMBER(SEARCH($A94, INDEX(AsistenciaJetAdminConcatenada!$D:$D, MATCH(1, (AsistenciaJetAdminConcatenada!$A:$A=EL$2)*(AsistenciaJetAdminConcatenada!$B:$B=EL$1), 0)), 1))),  0.5, 0))</f>
        <v>0</v>
      </c>
      <c r="EM94" s="47">
        <f t="array" ref="EM94">IF(AND(ISNUMBER(MATCH(EM$2, AsistenciaJetAdminConcatenada!$A:$A, 0)), ISNUMBER(MATCH(EM$1, AsistenciaJetAdminConcatenada!$B:$B, 0)), ISNUMBER(SEARCH($A94,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ISNUMBER(SEARCH($A94, INDEX(AsistenciaJetAdminConcatenada!$D:$D, MATCH(1, (AsistenciaJetAdminConcatenada!$A:$A=EM$2)*(AsistenciaJetAdminConcatenada!$B:$B=EM$1), 0)), 1))),  0.5, 0))</f>
        <v>0</v>
      </c>
      <c r="EN94" s="47">
        <f t="array" ref="EN94">IF(AND(ISNUMBER(MATCH(EN$2, AsistenciaJetAdminConcatenada!$A:$A, 0)), ISNUMBER(MATCH(EN$1, AsistenciaJetAdminConcatenada!$B:$B, 0)), ISNUMBER(SEARCH($A94,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ISNUMBER(SEARCH($A94, INDEX(AsistenciaJetAdminConcatenada!$D:$D, MATCH(1, (AsistenciaJetAdminConcatenada!$A:$A=EN$2)*(AsistenciaJetAdminConcatenada!$B:$B=EN$1), 0)), 1))),  0.5, 0))</f>
        <v>0</v>
      </c>
      <c r="EO94" s="47">
        <f t="array" ref="EO94">IF(AND(ISNUMBER(MATCH(EO$2, AsistenciaJetAdminConcatenada!$A:$A, 0)), ISNUMBER(MATCH(EO$1, AsistenciaJetAdminConcatenada!$B:$B, 0)), ISNUMBER(SEARCH($A94,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ISNUMBER(SEARCH($A94, INDEX(AsistenciaJetAdminConcatenada!$D:$D, MATCH(1, (AsistenciaJetAdminConcatenada!$A:$A=EO$2)*(AsistenciaJetAdminConcatenada!$B:$B=EO$1), 0)), 1))),  0.5, 0))</f>
        <v>0</v>
      </c>
      <c r="EP94" s="47">
        <f t="array" ref="EP94">IF(AND(ISNUMBER(MATCH(EP$2, AsistenciaJetAdminConcatenada!$A:$A, 0)), ISNUMBER(MATCH(EP$1, AsistenciaJetAdminConcatenada!$B:$B, 0)), ISNUMBER(SEARCH($A94,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ISNUMBER(SEARCH($A94, INDEX(AsistenciaJetAdminConcatenada!$D:$D, MATCH(1, (AsistenciaJetAdminConcatenada!$A:$A=EP$2)*(AsistenciaJetAdminConcatenada!$B:$B=EP$1), 0)), 1))),  0.5, 0))</f>
        <v>0</v>
      </c>
      <c r="EQ94" s="47">
        <f t="array" ref="EQ94">IF(AND(ISNUMBER(MATCH(EQ$2, AsistenciaJetAdminConcatenada!$A:$A, 0)), ISNUMBER(MATCH(EQ$1, AsistenciaJetAdminConcatenada!$B:$B, 0)), ISNUMBER(SEARCH($A94,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ISNUMBER(SEARCH($A94, INDEX(AsistenciaJetAdminConcatenada!$D:$D, MATCH(1, (AsistenciaJetAdminConcatenada!$A:$A=EQ$2)*(AsistenciaJetAdminConcatenada!$B:$B=EQ$1), 0)), 1))),  0.5, 0))</f>
        <v>0</v>
      </c>
      <c r="ER94" s="47">
        <f t="array" ref="ER94">IF(AND(ISNUMBER(MATCH(ER$2, AsistenciaJetAdminConcatenada!$A:$A, 0)), ISNUMBER(MATCH(ER$1, AsistenciaJetAdminConcatenada!$B:$B, 0)), ISNUMBER(SEARCH($A94,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ISNUMBER(SEARCH($A94, INDEX(AsistenciaJetAdminConcatenada!$D:$D, MATCH(1, (AsistenciaJetAdminConcatenada!$A:$A=ER$2)*(AsistenciaJetAdminConcatenada!$B:$B=ER$1), 0)), 1))),  0.5, 0))</f>
        <v>0</v>
      </c>
      <c r="ES94" s="47">
        <f t="array" ref="ES94">IF(AND(ISNUMBER(MATCH(ES$2, AsistenciaJetAdminConcatenada!$A:$A, 0)), ISNUMBER(MATCH(ES$1, AsistenciaJetAdminConcatenada!$B:$B, 0)), ISNUMBER(SEARCH($A94,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ISNUMBER(SEARCH($A94, INDEX(AsistenciaJetAdminConcatenada!$D:$D, MATCH(1, (AsistenciaJetAdminConcatenada!$A:$A=ES$2)*(AsistenciaJetAdminConcatenada!$B:$B=ES$1), 0)), 1))),  0.5, 0))</f>
        <v>0</v>
      </c>
      <c r="ET94" s="47">
        <f t="array" ref="ET94">IF(AND(ISNUMBER(MATCH(ET$2, AsistenciaJetAdminConcatenada!$A:$A, 0)), ISNUMBER(MATCH(ET$1, AsistenciaJetAdminConcatenada!$B:$B, 0)), ISNUMBER(SEARCH($A94,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ISNUMBER(SEARCH($A94, INDEX(AsistenciaJetAdminConcatenada!$D:$D, MATCH(1, (AsistenciaJetAdminConcatenada!$A:$A=ET$2)*(AsistenciaJetAdminConcatenada!$B:$B=ET$1), 0)), 1))),  0.5, 0))</f>
        <v>0</v>
      </c>
      <c r="EU94" s="47">
        <f t="array" ref="EU94">IF(AND(ISNUMBER(MATCH(EU$2, AsistenciaJetAdminConcatenada!$A:$A, 0)), ISNUMBER(MATCH(EU$1, AsistenciaJetAdminConcatenada!$B:$B, 0)), ISNUMBER(SEARCH($A94,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ISNUMBER(SEARCH($A94, INDEX(AsistenciaJetAdminConcatenada!$D:$D, MATCH(1, (AsistenciaJetAdminConcatenada!$A:$A=EU$2)*(AsistenciaJetAdminConcatenada!$B:$B=EU$1), 0)), 1))),  0.5, 0))</f>
        <v>0</v>
      </c>
      <c r="EV94" s="47">
        <f t="array" ref="EV94">IF(AND(ISNUMBER(MATCH(EV$2, AsistenciaJetAdminConcatenada!$A:$A, 0)), ISNUMBER(MATCH(EV$1, AsistenciaJetAdminConcatenada!$B:$B, 0)), ISNUMBER(SEARCH($A94,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ISNUMBER(SEARCH($A94, INDEX(AsistenciaJetAdminConcatenada!$D:$D, MATCH(1, (AsistenciaJetAdminConcatenada!$A:$A=EV$2)*(AsistenciaJetAdminConcatenada!$B:$B=EV$1), 0)), 1))),  0.5, 0))</f>
        <v>0</v>
      </c>
      <c r="EW94" s="47">
        <f t="array" ref="EW94">IF(AND(ISNUMBER(MATCH(EW$2, AsistenciaJetAdminConcatenada!$A:$A, 0)), ISNUMBER(MATCH(EW$1, AsistenciaJetAdminConcatenada!$B:$B, 0)), ISNUMBER(SEARCH($A94,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ISNUMBER(SEARCH($A94, INDEX(AsistenciaJetAdminConcatenada!$D:$D, MATCH(1, (AsistenciaJetAdminConcatenada!$A:$A=EW$2)*(AsistenciaJetAdminConcatenada!$B:$B=EW$1), 0)), 1))),  0.5, 0))</f>
        <v>0</v>
      </c>
      <c r="EX94" s="47">
        <f t="array" ref="EX94">IF(AND(ISNUMBER(MATCH(EX$2, AsistenciaJetAdminConcatenada!$A:$A, 0)), ISNUMBER(MATCH(EX$1, AsistenciaJetAdminConcatenada!$B:$B, 0)), ISNUMBER(SEARCH($A94,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ISNUMBER(SEARCH($A94, INDEX(AsistenciaJetAdminConcatenada!$D:$D, MATCH(1, (AsistenciaJetAdminConcatenada!$A:$A=EX$2)*(AsistenciaJetAdminConcatenada!$B:$B=EX$1), 0)), 1))),  0.5, 0))</f>
        <v>0</v>
      </c>
      <c r="EY94" s="47">
        <f t="array" ref="EY94">IF(AND(ISNUMBER(MATCH(EY$2, AsistenciaJetAdminConcatenada!$A:$A, 0)), ISNUMBER(MATCH(EY$1, AsistenciaJetAdminConcatenada!$B:$B, 0)), ISNUMBER(SEARCH($A94,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ISNUMBER(SEARCH($A94, INDEX(AsistenciaJetAdminConcatenada!$D:$D, MATCH(1, (AsistenciaJetAdminConcatenada!$A:$A=EY$2)*(AsistenciaJetAdminConcatenada!$B:$B=EY$1), 0)), 1))),  0.5, 0))</f>
        <v>0</v>
      </c>
      <c r="EZ94" s="47">
        <f t="array" ref="EZ94">IF(AND(ISNUMBER(MATCH(EZ$2, AsistenciaJetAdminConcatenada!$A:$A, 0)), ISNUMBER(MATCH(EZ$1, AsistenciaJetAdminConcatenada!$B:$B, 0)), ISNUMBER(SEARCH($A94,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ISNUMBER(SEARCH($A94, INDEX(AsistenciaJetAdminConcatenada!$D:$D, MATCH(1, (AsistenciaJetAdminConcatenada!$A:$A=EZ$2)*(AsistenciaJetAdminConcatenada!$B:$B=EZ$1), 0)), 1))),  0.5, 0))</f>
        <v>0</v>
      </c>
      <c r="FA94" s="47">
        <f t="array" ref="FA94">IF(AND(ISNUMBER(MATCH(FA$2, AsistenciaJetAdminConcatenada!$A:$A, 0)), ISNUMBER(MATCH(FA$1, AsistenciaJetAdminConcatenada!$B:$B, 0)), ISNUMBER(SEARCH($A94,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ISNUMBER(SEARCH($A94, INDEX(AsistenciaJetAdminConcatenada!$D:$D, MATCH(1, (AsistenciaJetAdminConcatenada!$A:$A=FA$2)*(AsistenciaJetAdminConcatenada!$B:$B=FA$1), 0)), 1))),  0.5, 0))</f>
        <v>0</v>
      </c>
      <c r="FB94" s="47">
        <f t="array" ref="FB94">IF(AND(ISNUMBER(MATCH(FB$2, AsistenciaJetAdminConcatenada!$A:$A, 0)), ISNUMBER(MATCH(FB$1, AsistenciaJetAdminConcatenada!$B:$B, 0)), ISNUMBER(SEARCH($A94,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ISNUMBER(SEARCH($A94, INDEX(AsistenciaJetAdminConcatenada!$D:$D, MATCH(1, (AsistenciaJetAdminConcatenada!$A:$A=FB$2)*(AsistenciaJetAdminConcatenada!$B:$B=FB$1), 0)), 1))),  0.5, 0))</f>
        <v>0</v>
      </c>
      <c r="FC94" s="47">
        <f t="array" ref="FC94">IF(AND(ISNUMBER(MATCH(FC$2, AsistenciaJetAdminConcatenada!$A:$A, 0)), ISNUMBER(MATCH(FC$1, AsistenciaJetAdminConcatenada!$B:$B, 0)), ISNUMBER(SEARCH($A94,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ISNUMBER(SEARCH($A94, INDEX(AsistenciaJetAdminConcatenada!$D:$D, MATCH(1, (AsistenciaJetAdminConcatenada!$A:$A=FC$2)*(AsistenciaJetAdminConcatenada!$B:$B=FC$1), 0)), 1))),  0.5, 0))</f>
        <v>0</v>
      </c>
      <c r="FD94" s="47">
        <f t="array" ref="FD94">IF(AND(ISNUMBER(MATCH(FD$2, AsistenciaJetAdminConcatenada!$A:$A, 0)), ISNUMBER(MATCH(FD$1, AsistenciaJetAdminConcatenada!$B:$B, 0)), ISNUMBER(SEARCH($A94,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ISNUMBER(SEARCH($A94, INDEX(AsistenciaJetAdminConcatenada!$D:$D, MATCH(1, (AsistenciaJetAdminConcatenada!$A:$A=FD$2)*(AsistenciaJetAdminConcatenada!$B:$B=FD$1), 0)), 1))),  0.5, 0))</f>
        <v>0</v>
      </c>
      <c r="FE94" s="47">
        <f t="array" ref="FE94">IF(AND(ISNUMBER(MATCH(FE$2, AsistenciaJetAdminConcatenada!$A:$A, 0)), ISNUMBER(MATCH(FE$1, AsistenciaJetAdminConcatenada!$B:$B, 0)), ISNUMBER(SEARCH($A94,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ISNUMBER(SEARCH($A94, INDEX(AsistenciaJetAdminConcatenada!$D:$D, MATCH(1, (AsistenciaJetAdminConcatenada!$A:$A=FE$2)*(AsistenciaJetAdminConcatenada!$B:$B=FE$1), 0)), 1))),  0.5, 0))</f>
        <v>0</v>
      </c>
      <c r="FF94" s="47">
        <f t="array" ref="FF94">IF(AND(ISNUMBER(MATCH(FF$2, AsistenciaJetAdminConcatenada!$A:$A, 0)), ISNUMBER(MATCH(FF$1, AsistenciaJetAdminConcatenada!$B:$B, 0)), ISNUMBER(SEARCH($A94,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ISNUMBER(SEARCH($A94, INDEX(AsistenciaJetAdminConcatenada!$D:$D, MATCH(1, (AsistenciaJetAdminConcatenada!$A:$A=FF$2)*(AsistenciaJetAdminConcatenada!$B:$B=FF$1), 0)), 1))),  0.5, 0))</f>
        <v>0</v>
      </c>
      <c r="FG94" s="47">
        <f t="array" ref="FG94">IF(AND(ISNUMBER(MATCH(FG$2, AsistenciaJetAdminConcatenada!$A:$A, 0)), ISNUMBER(MATCH(FG$1, AsistenciaJetAdminConcatenada!$B:$B, 0)), ISNUMBER(SEARCH($A94,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ISNUMBER(SEARCH($A94, INDEX(AsistenciaJetAdminConcatenada!$D:$D, MATCH(1, (AsistenciaJetAdminConcatenada!$A:$A=FG$2)*(AsistenciaJetAdminConcatenada!$B:$B=FG$1), 0)), 1))),  0.5, 0))</f>
        <v>0</v>
      </c>
      <c r="FH94" s="47">
        <f t="array" ref="FH94">IF(AND(ISNUMBER(MATCH(FH$2, AsistenciaJetAdminConcatenada!$A:$A, 0)), ISNUMBER(MATCH(FH$1, AsistenciaJetAdminConcatenada!$B:$B, 0)), ISNUMBER(SEARCH($A94,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ISNUMBER(SEARCH($A94, INDEX(AsistenciaJetAdminConcatenada!$D:$D, MATCH(1, (AsistenciaJetAdminConcatenada!$A:$A=FH$2)*(AsistenciaJetAdminConcatenada!$B:$B=FH$1), 0)), 1))),  0.5, 0))</f>
        <v>0</v>
      </c>
      <c r="FI94" s="47">
        <f t="array" ref="FI94">IF(AND(ISNUMBER(MATCH(FI$2, AsistenciaJetAdminConcatenada!$A:$A, 0)), ISNUMBER(MATCH(FI$1, AsistenciaJetAdminConcatenada!$B:$B, 0)), ISNUMBER(SEARCH($A94,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ISNUMBER(SEARCH($A94, INDEX(AsistenciaJetAdminConcatenada!$D:$D, MATCH(1, (AsistenciaJetAdminConcatenada!$A:$A=FI$2)*(AsistenciaJetAdminConcatenada!$B:$B=FI$1), 0)), 1))),  0.5, 0))</f>
        <v>0</v>
      </c>
      <c r="FJ94" s="47">
        <f t="array" ref="FJ94">IF(AND(ISNUMBER(MATCH(FJ$2, AsistenciaJetAdminConcatenada!$A:$A, 0)), ISNUMBER(MATCH(FJ$1, AsistenciaJetAdminConcatenada!$B:$B, 0)), ISNUMBER(SEARCH($A94,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ISNUMBER(SEARCH($A94, INDEX(AsistenciaJetAdminConcatenada!$D:$D, MATCH(1, (AsistenciaJetAdminConcatenada!$A:$A=FJ$2)*(AsistenciaJetAdminConcatenada!$B:$B=FJ$1), 0)), 1))),  0.5, 0))</f>
        <v>0</v>
      </c>
      <c r="FK94" s="47">
        <f t="array" ref="FK94">IF(AND(ISNUMBER(MATCH(FK$2, AsistenciaJetAdminConcatenada!$A:$A, 0)), ISNUMBER(MATCH(FK$1, AsistenciaJetAdminConcatenada!$B:$B, 0)), ISNUMBER(SEARCH($A94,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ISNUMBER(SEARCH($A94, INDEX(AsistenciaJetAdminConcatenada!$D:$D, MATCH(1, (AsistenciaJetAdminConcatenada!$A:$A=FK$2)*(AsistenciaJetAdminConcatenada!$B:$B=FK$1), 0)), 1))),  0.5, 0))</f>
        <v>0</v>
      </c>
      <c r="FL94" s="47">
        <f t="array" ref="FL94">IF(AND(ISNUMBER(MATCH(FL$2, AsistenciaJetAdminConcatenada!$A:$A, 0)), ISNUMBER(MATCH(FL$1, AsistenciaJetAdminConcatenada!$B:$B, 0)), ISNUMBER(SEARCH($A94,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ISNUMBER(SEARCH($A94, INDEX(AsistenciaJetAdminConcatenada!$D:$D, MATCH(1, (AsistenciaJetAdminConcatenada!$A:$A=FL$2)*(AsistenciaJetAdminConcatenada!$B:$B=FL$1), 0)), 1))),  0.5, 0))</f>
        <v>0</v>
      </c>
      <c r="FM94" s="47">
        <f t="array" ref="FM94">IF(AND(ISNUMBER(MATCH(FM$2, AsistenciaJetAdminConcatenada!$A:$A, 0)), ISNUMBER(MATCH(FM$1, AsistenciaJetAdminConcatenada!$B:$B, 0)), ISNUMBER(SEARCH($A94,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ISNUMBER(SEARCH($A94, INDEX(AsistenciaJetAdminConcatenada!$D:$D, MATCH(1, (AsistenciaJetAdminConcatenada!$A:$A=FM$2)*(AsistenciaJetAdminConcatenada!$B:$B=FM$1), 0)), 1))),  0.5, 0))</f>
        <v>0</v>
      </c>
      <c r="FN94" s="47">
        <f t="array" ref="FN94">IF(AND(ISNUMBER(MATCH(FN$2, AsistenciaJetAdminConcatenada!$A:$A, 0)), ISNUMBER(MATCH(FN$1, AsistenciaJetAdminConcatenada!$B:$B, 0)), ISNUMBER(SEARCH($A94,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ISNUMBER(SEARCH($A94, INDEX(AsistenciaJetAdminConcatenada!$D:$D, MATCH(1, (AsistenciaJetAdminConcatenada!$A:$A=FN$2)*(AsistenciaJetAdminConcatenada!$B:$B=FN$1), 0)), 1))),  0.5, 0))</f>
        <v>0</v>
      </c>
      <c r="FO94" s="47">
        <f t="array" ref="FO94">IF(AND(ISNUMBER(MATCH(FO$2, AsistenciaJetAdminConcatenada!$A:$A, 0)), ISNUMBER(MATCH(FO$1, AsistenciaJetAdminConcatenada!$B:$B, 0)), ISNUMBER(SEARCH($A94,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ISNUMBER(SEARCH($A94, INDEX(AsistenciaJetAdminConcatenada!$D:$D, MATCH(1, (AsistenciaJetAdminConcatenada!$A:$A=FO$2)*(AsistenciaJetAdminConcatenada!$B:$B=FO$1), 0)), 1))),  0.5, 0))</f>
        <v>0</v>
      </c>
      <c r="FP94" s="47">
        <f t="array" ref="FP94">IF(AND(ISNUMBER(MATCH(FP$2, AsistenciaJetAdminConcatenada!$A:$A, 0)), ISNUMBER(MATCH(FP$1, AsistenciaJetAdminConcatenada!$B:$B, 0)), ISNUMBER(SEARCH($A94,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ISNUMBER(SEARCH($A94, INDEX(AsistenciaJetAdminConcatenada!$D:$D, MATCH(1, (AsistenciaJetAdminConcatenada!$A:$A=FP$2)*(AsistenciaJetAdminConcatenada!$B:$B=FP$1), 0)), 1))),  0.5, 0))</f>
        <v>0</v>
      </c>
      <c r="FQ94" s="47">
        <f t="array" ref="FQ94">IF(AND(ISNUMBER(MATCH(FQ$2, AsistenciaJetAdminConcatenada!$A:$A, 0)), ISNUMBER(MATCH(FQ$1, AsistenciaJetAdminConcatenada!$B:$B, 0)), ISNUMBER(SEARCH($A94,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ISNUMBER(SEARCH($A94, INDEX(AsistenciaJetAdminConcatenada!$D:$D, MATCH(1, (AsistenciaJetAdminConcatenada!$A:$A=FQ$2)*(AsistenciaJetAdminConcatenada!$B:$B=FQ$1), 0)), 1))),  0.5, 0))</f>
        <v>0</v>
      </c>
      <c r="FR94" s="47">
        <f t="array" ref="FR94">IF(AND(ISNUMBER(MATCH(FR$2, AsistenciaJetAdminConcatenada!$A:$A, 0)), ISNUMBER(MATCH(FR$1, AsistenciaJetAdminConcatenada!$B:$B, 0)), ISNUMBER(SEARCH($A94,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ISNUMBER(SEARCH($A94, INDEX(AsistenciaJetAdminConcatenada!$D:$D, MATCH(1, (AsistenciaJetAdminConcatenada!$A:$A=FR$2)*(AsistenciaJetAdminConcatenada!$B:$B=FR$1), 0)), 1))),  0.5, 0))</f>
        <v>0</v>
      </c>
      <c r="FS94" s="47">
        <f t="array" ref="FS94">IF(AND(ISNUMBER(MATCH(FS$2, AsistenciaJetAdminConcatenada!$A:$A, 0)), ISNUMBER(MATCH(FS$1, AsistenciaJetAdminConcatenada!$B:$B, 0)), ISNUMBER(SEARCH($A94,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ISNUMBER(SEARCH($A94, INDEX(AsistenciaJetAdminConcatenada!$D:$D, MATCH(1, (AsistenciaJetAdminConcatenada!$A:$A=FS$2)*(AsistenciaJetAdminConcatenada!$B:$B=FS$1), 0)), 1))),  0.5, 0))</f>
        <v>0</v>
      </c>
      <c r="FT94" s="47">
        <f t="array" ref="FT94">IF(AND(ISNUMBER(MATCH(FT$2, AsistenciaJetAdminConcatenada!$A:$A, 0)), ISNUMBER(MATCH(FT$1, AsistenciaJetAdminConcatenada!$B:$B, 0)), ISNUMBER(SEARCH($A94,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ISNUMBER(SEARCH($A94, INDEX(AsistenciaJetAdminConcatenada!$D:$D, MATCH(1, (AsistenciaJetAdminConcatenada!$A:$A=FT$2)*(AsistenciaJetAdminConcatenada!$B:$B=FT$1), 0)), 1))),  0.5, 0))</f>
        <v>0</v>
      </c>
      <c r="FU94" s="47">
        <f t="array" ref="FU94">IF(AND(ISNUMBER(MATCH(FU$2, AsistenciaJetAdminConcatenada!$A:$A, 0)), ISNUMBER(MATCH(FU$1, AsistenciaJetAdminConcatenada!$B:$B, 0)), ISNUMBER(SEARCH($A94,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ISNUMBER(SEARCH($A94, INDEX(AsistenciaJetAdminConcatenada!$D:$D, MATCH(1, (AsistenciaJetAdminConcatenada!$A:$A=FU$2)*(AsistenciaJetAdminConcatenada!$B:$B=FU$1), 0)), 1))),  0.5, 0))</f>
        <v>0</v>
      </c>
      <c r="FV94" s="47">
        <f t="array" ref="FV94">IF(AND(ISNUMBER(MATCH(FV$2, AsistenciaJetAdminConcatenada!$A:$A, 0)), ISNUMBER(MATCH(FV$1, AsistenciaJetAdminConcatenada!$B:$B, 0)), ISNUMBER(SEARCH($A94,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ISNUMBER(SEARCH($A94, INDEX(AsistenciaJetAdminConcatenada!$D:$D, MATCH(1, (AsistenciaJetAdminConcatenada!$A:$A=FV$2)*(AsistenciaJetAdminConcatenada!$B:$B=FV$1), 0)), 1))),  0.5, 0))</f>
        <v>0</v>
      </c>
      <c r="FW94" s="47">
        <f t="array" ref="FW94">IF(AND(ISNUMBER(MATCH(FW$2, AsistenciaJetAdminConcatenada!$A:$A, 0)), ISNUMBER(MATCH(FW$1, AsistenciaJetAdminConcatenada!$B:$B, 0)), ISNUMBER(SEARCH($A94,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ISNUMBER(SEARCH($A94, INDEX(AsistenciaJetAdminConcatenada!$D:$D, MATCH(1, (AsistenciaJetAdminConcatenada!$A:$A=FW$2)*(AsistenciaJetAdminConcatenada!$B:$B=FW$1), 0)), 1))),  0.5, 0))</f>
        <v>0</v>
      </c>
      <c r="FX94" s="47">
        <f t="array" ref="FX94">IF(AND(ISNUMBER(MATCH(FX$2, AsistenciaJetAdminConcatenada!$A:$A, 0)), ISNUMBER(MATCH(FX$1, AsistenciaJetAdminConcatenada!$B:$B, 0)), ISNUMBER(SEARCH($A94,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ISNUMBER(SEARCH($A94, INDEX(AsistenciaJetAdminConcatenada!$D:$D, MATCH(1, (AsistenciaJetAdminConcatenada!$A:$A=FX$2)*(AsistenciaJetAdminConcatenada!$B:$B=FX$1), 0)), 1))),  0.5, 0))</f>
        <v>0</v>
      </c>
      <c r="FY94" s="47">
        <f t="array" ref="FY94">IF(AND(ISNUMBER(MATCH(FY$2, AsistenciaJetAdminConcatenada!$A:$A, 0)), ISNUMBER(MATCH(FY$1, AsistenciaJetAdminConcatenada!$B:$B, 0)), ISNUMBER(SEARCH($A94,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ISNUMBER(SEARCH($A94, INDEX(AsistenciaJetAdminConcatenada!$D:$D, MATCH(1, (AsistenciaJetAdminConcatenada!$A:$A=FY$2)*(AsistenciaJetAdminConcatenada!$B:$B=FY$1), 0)), 1))),  0.5, 0))</f>
        <v>0</v>
      </c>
      <c r="FZ94" s="47">
        <f t="array" ref="FZ94">IF(AND(ISNUMBER(MATCH(FZ$2, AsistenciaJetAdminConcatenada!$A:$A, 0)), ISNUMBER(MATCH(FZ$1, AsistenciaJetAdminConcatenada!$B:$B, 0)), ISNUMBER(SEARCH($A94,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ISNUMBER(SEARCH($A94, INDEX(AsistenciaJetAdminConcatenada!$D:$D, MATCH(1, (AsistenciaJetAdminConcatenada!$A:$A=FZ$2)*(AsistenciaJetAdminConcatenada!$B:$B=FZ$1), 0)), 1))),  0.5, 0))</f>
        <v>0</v>
      </c>
      <c r="GA94" s="47">
        <f t="array" ref="GA94">IF(AND(ISNUMBER(MATCH(GA$2, AsistenciaJetAdminConcatenada!$A:$A, 0)), ISNUMBER(MATCH(GA$1, AsistenciaJetAdminConcatenada!$B:$B, 0)), ISNUMBER(SEARCH($A94,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ISNUMBER(SEARCH($A94, INDEX(AsistenciaJetAdminConcatenada!$D:$D, MATCH(1, (AsistenciaJetAdminConcatenada!$A:$A=GA$2)*(AsistenciaJetAdminConcatenada!$B:$B=GA$1), 0)), 1))),  0.5, 0))</f>
        <v>0</v>
      </c>
      <c r="GB94" s="47">
        <f t="array" ref="GB94">IF(AND(ISNUMBER(MATCH(GB$2, AsistenciaJetAdminConcatenada!$A:$A, 0)), ISNUMBER(MATCH(GB$1, AsistenciaJetAdminConcatenada!$B:$B, 0)), ISNUMBER(SEARCH($A94,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ISNUMBER(SEARCH($A94, INDEX(AsistenciaJetAdminConcatenada!$D:$D, MATCH(1, (AsistenciaJetAdminConcatenada!$A:$A=GB$2)*(AsistenciaJetAdminConcatenada!$B:$B=GB$1), 0)), 1))),  0.5, 0))</f>
        <v>0</v>
      </c>
      <c r="GC94" s="47">
        <f t="array" ref="GC94">IF(AND(ISNUMBER(MATCH(GC$2, AsistenciaJetAdminConcatenada!$A:$A, 0)), ISNUMBER(MATCH(GC$1, AsistenciaJetAdminConcatenada!$B:$B, 0)), ISNUMBER(SEARCH($A94,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ISNUMBER(SEARCH($A94, INDEX(AsistenciaJetAdminConcatenada!$D:$D, MATCH(1, (AsistenciaJetAdminConcatenada!$A:$A=GC$2)*(AsistenciaJetAdminConcatenada!$B:$B=GC$1), 0)), 1))),  0.5, 0))</f>
        <v>0</v>
      </c>
      <c r="GD94" s="47">
        <f t="array" ref="GD94">IF(AND(ISNUMBER(MATCH(GD$2, AsistenciaJetAdminConcatenada!$A:$A, 0)), ISNUMBER(MATCH(GD$1, AsistenciaJetAdminConcatenada!$B:$B, 0)), ISNUMBER(SEARCH($A94,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ISNUMBER(SEARCH($A94, INDEX(AsistenciaJetAdminConcatenada!$D:$D, MATCH(1, (AsistenciaJetAdminConcatenada!$A:$A=GD$2)*(AsistenciaJetAdminConcatenada!$B:$B=GD$1), 0)), 1))),  0.5, 0))</f>
        <v>0</v>
      </c>
      <c r="GE94" s="47">
        <f t="array" ref="GE94">IF(AND(ISNUMBER(MATCH(GE$2, AsistenciaJetAdminConcatenada!$A:$A, 0)), ISNUMBER(MATCH(GE$1, AsistenciaJetAdminConcatenada!$B:$B, 0)), ISNUMBER(SEARCH($A94,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ISNUMBER(SEARCH($A94, INDEX(AsistenciaJetAdminConcatenada!$D:$D, MATCH(1, (AsistenciaJetAdminConcatenada!$A:$A=GE$2)*(AsistenciaJetAdminConcatenada!$B:$B=GE$1), 0)), 1))),  0.5, 0))</f>
        <v>0</v>
      </c>
      <c r="GF94" s="47">
        <f t="array" ref="GF94">IF(AND(ISNUMBER(MATCH(GF$2, AsistenciaJetAdminConcatenada!$A:$A, 0)), ISNUMBER(MATCH(GF$1, AsistenciaJetAdminConcatenada!$B:$B, 0)), ISNUMBER(SEARCH($A94,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ISNUMBER(SEARCH($A94, INDEX(AsistenciaJetAdminConcatenada!$D:$D, MATCH(1, (AsistenciaJetAdminConcatenada!$A:$A=GF$2)*(AsistenciaJetAdminConcatenada!$B:$B=GF$1), 0)), 1))),  0.5, 0))</f>
        <v>0</v>
      </c>
      <c r="GG94" s="47">
        <f t="array" ref="GG94">IF(AND(ISNUMBER(MATCH(GG$2, AsistenciaJetAdminConcatenada!$A:$A, 0)), ISNUMBER(MATCH(GG$1, AsistenciaJetAdminConcatenada!$B:$B, 0)), ISNUMBER(SEARCH($A94,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ISNUMBER(SEARCH($A94, INDEX(AsistenciaJetAdminConcatenada!$D:$D, MATCH(1, (AsistenciaJetAdminConcatenada!$A:$A=GG$2)*(AsistenciaJetAdminConcatenada!$B:$B=GG$1), 0)), 1))),  0.5, 0))</f>
        <v>0</v>
      </c>
      <c r="GH94" s="47">
        <f t="array" ref="GH94">IF(AND(ISNUMBER(MATCH(GH$2, AsistenciaJetAdminConcatenada!$A:$A, 0)), ISNUMBER(MATCH(GH$1, AsistenciaJetAdminConcatenada!$B:$B, 0)), ISNUMBER(SEARCH($A94,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ISNUMBER(SEARCH($A94, INDEX(AsistenciaJetAdminConcatenada!$D:$D, MATCH(1, (AsistenciaJetAdminConcatenada!$A:$A=GH$2)*(AsistenciaJetAdminConcatenada!$B:$B=GH$1), 0)), 1))),  0.5, 0))</f>
        <v>0</v>
      </c>
      <c r="GI94" s="47">
        <f t="array" ref="GI94">IF(AND(ISNUMBER(MATCH(GI$2, AsistenciaJetAdminConcatenada!$A:$A, 0)), ISNUMBER(MATCH(GI$1, AsistenciaJetAdminConcatenada!$B:$B, 0)), ISNUMBER(SEARCH($A94,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ISNUMBER(SEARCH($A94, INDEX(AsistenciaJetAdminConcatenada!$D:$D, MATCH(1, (AsistenciaJetAdminConcatenada!$A:$A=GI$2)*(AsistenciaJetAdminConcatenada!$B:$B=GI$1), 0)), 1))),  0.5, 0))</f>
        <v>0</v>
      </c>
      <c r="GJ94" s="47">
        <f t="array" ref="GJ94">IF(AND(ISNUMBER(MATCH(GJ$2, AsistenciaJetAdminConcatenada!$A:$A, 0)), ISNUMBER(MATCH(GJ$1, AsistenciaJetAdminConcatenada!$B:$B, 0)), ISNUMBER(SEARCH($A94,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ISNUMBER(SEARCH($A94, INDEX(AsistenciaJetAdminConcatenada!$D:$D, MATCH(1, (AsistenciaJetAdminConcatenada!$A:$A=GJ$2)*(AsistenciaJetAdminConcatenada!$B:$B=GJ$1), 0)), 1))),  0.5, 0))</f>
        <v>0</v>
      </c>
      <c r="GK94" s="47">
        <f t="array" ref="GK94">IF(AND(ISNUMBER(MATCH(GK$2, AsistenciaJetAdminConcatenada!$A:$A, 0)), ISNUMBER(MATCH(GK$1, AsistenciaJetAdminConcatenada!$B:$B, 0)), ISNUMBER(SEARCH($A94,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ISNUMBER(SEARCH($A94, INDEX(AsistenciaJetAdminConcatenada!$D:$D, MATCH(1, (AsistenciaJetAdminConcatenada!$A:$A=GK$2)*(AsistenciaJetAdminConcatenada!$B:$B=GK$1), 0)), 1))),  0.5, 0))</f>
        <v>0</v>
      </c>
      <c r="GL94" s="47">
        <f t="array" ref="GL94">IF(AND(ISNUMBER(MATCH(GL$2, AsistenciaJetAdminConcatenada!$A:$A, 0)), ISNUMBER(MATCH(GL$1, AsistenciaJetAdminConcatenada!$B:$B, 0)), ISNUMBER(SEARCH($A94,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ISNUMBER(SEARCH($A94, INDEX(AsistenciaJetAdminConcatenada!$D:$D, MATCH(1, (AsistenciaJetAdminConcatenada!$A:$A=GL$2)*(AsistenciaJetAdminConcatenada!$B:$B=GL$1), 0)), 1))),  0.5, 0))</f>
        <v>0</v>
      </c>
      <c r="GM94" s="47">
        <f t="array" ref="GM94">IF(AND(ISNUMBER(MATCH(GM$2, AsistenciaJetAdminConcatenada!$A:$A, 0)), ISNUMBER(MATCH(GM$1, AsistenciaJetAdminConcatenada!$B:$B, 0)), ISNUMBER(SEARCH($A94,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ISNUMBER(SEARCH($A94, INDEX(AsistenciaJetAdminConcatenada!$D:$D, MATCH(1, (AsistenciaJetAdminConcatenada!$A:$A=GM$2)*(AsistenciaJetAdminConcatenada!$B:$B=GM$1), 0)), 1))),  0.5, 0))</f>
        <v>0</v>
      </c>
      <c r="GN94" s="47">
        <f t="array" ref="GN94">IF(AND(ISNUMBER(MATCH(GN$2, AsistenciaJetAdminConcatenada!$A:$A, 0)), ISNUMBER(MATCH(GN$1, AsistenciaJetAdminConcatenada!$B:$B, 0)), ISNUMBER(SEARCH($A94,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ISNUMBER(SEARCH($A94, INDEX(AsistenciaJetAdminConcatenada!$D:$D, MATCH(1, (AsistenciaJetAdminConcatenada!$A:$A=GN$2)*(AsistenciaJetAdminConcatenada!$B:$B=GN$1), 0)), 1))),  0.5, 0))</f>
        <v>0</v>
      </c>
      <c r="GO94" s="47">
        <f t="array" ref="GO94">IF(AND(ISNUMBER(MATCH(GO$2, AsistenciaJetAdminConcatenada!$A:$A, 0)), ISNUMBER(MATCH(GO$1, AsistenciaJetAdminConcatenada!$B:$B, 0)), ISNUMBER(SEARCH($A94,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ISNUMBER(SEARCH($A94, INDEX(AsistenciaJetAdminConcatenada!$D:$D, MATCH(1, (AsistenciaJetAdminConcatenada!$A:$A=GO$2)*(AsistenciaJetAdminConcatenada!$B:$B=GO$1), 0)), 1))),  0.5, 0))</f>
        <v>0</v>
      </c>
      <c r="GP94" s="47">
        <f t="array" ref="GP94">IF(AND(ISNUMBER(MATCH(GP$2, AsistenciaJetAdminConcatenada!$A:$A, 0)), ISNUMBER(MATCH(GP$1, AsistenciaJetAdminConcatenada!$B:$B, 0)), ISNUMBER(SEARCH($A94,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ISNUMBER(SEARCH($A94, INDEX(AsistenciaJetAdminConcatenada!$D:$D, MATCH(1, (AsistenciaJetAdminConcatenada!$A:$A=GP$2)*(AsistenciaJetAdminConcatenada!$B:$B=GP$1), 0)), 1))),  0.5, 0))</f>
        <v>0</v>
      </c>
      <c r="GQ94" s="47">
        <f t="array" ref="GQ94">IF(AND(ISNUMBER(MATCH(GQ$2, AsistenciaJetAdminConcatenada!$A:$A, 0)), ISNUMBER(MATCH(GQ$1, AsistenciaJetAdminConcatenada!$B:$B, 0)), ISNUMBER(SEARCH($A94,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ISNUMBER(SEARCH($A94, INDEX(AsistenciaJetAdminConcatenada!$D:$D, MATCH(1, (AsistenciaJetAdminConcatenada!$A:$A=GQ$2)*(AsistenciaJetAdminConcatenada!$B:$B=GQ$1), 0)), 1))),  0.5, 0))</f>
        <v>0</v>
      </c>
      <c r="GR94" s="47">
        <f t="array" ref="GR94">IF(AND(ISNUMBER(MATCH(GR$2, AsistenciaJetAdminConcatenada!$A:$A, 0)), ISNUMBER(MATCH(GR$1, AsistenciaJetAdminConcatenada!$B:$B, 0)), ISNUMBER(SEARCH($A94,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ISNUMBER(SEARCH($A94, INDEX(AsistenciaJetAdminConcatenada!$D:$D, MATCH(1, (AsistenciaJetAdminConcatenada!$A:$A=GR$2)*(AsistenciaJetAdminConcatenada!$B:$B=GR$1), 0)), 1))),  0.5, 0))</f>
        <v>0</v>
      </c>
      <c r="GS94" s="47">
        <f t="array" ref="GS94">IF(AND(ISNUMBER(MATCH(GS$2, AsistenciaJetAdminConcatenada!$A:$A, 0)), ISNUMBER(MATCH(GS$1, AsistenciaJetAdminConcatenada!$B:$B, 0)), ISNUMBER(SEARCH($A94,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ISNUMBER(SEARCH($A94, INDEX(AsistenciaJetAdminConcatenada!$D:$D, MATCH(1, (AsistenciaJetAdminConcatenada!$A:$A=GS$2)*(AsistenciaJetAdminConcatenada!$B:$B=GS$1), 0)), 1))),  0.5, 0))</f>
        <v>0</v>
      </c>
      <c r="GT94" s="47">
        <f t="array" ref="GT94">IF(AND(ISNUMBER(MATCH(GT$2, AsistenciaJetAdminConcatenada!$A:$A, 0)), ISNUMBER(MATCH(GT$1, AsistenciaJetAdminConcatenada!$B:$B, 0)), ISNUMBER(SEARCH($A94,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ISNUMBER(SEARCH($A94, INDEX(AsistenciaJetAdminConcatenada!$D:$D, MATCH(1, (AsistenciaJetAdminConcatenada!$A:$A=GT$2)*(AsistenciaJetAdminConcatenada!$B:$B=GT$1), 0)), 1))),  0.5, 0))</f>
        <v>0</v>
      </c>
      <c r="GU94" s="47">
        <f t="array" ref="GU94">IF(AND(ISNUMBER(MATCH(GU$2, AsistenciaJetAdminConcatenada!$A:$A, 0)), ISNUMBER(MATCH(GU$1, AsistenciaJetAdminConcatenada!$B:$B, 0)), ISNUMBER(SEARCH($A94,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ISNUMBER(SEARCH($A94, INDEX(AsistenciaJetAdminConcatenada!$D:$D, MATCH(1, (AsistenciaJetAdminConcatenada!$A:$A=GU$2)*(AsistenciaJetAdminConcatenada!$B:$B=GU$1), 0)), 1))),  0.5, 0))</f>
        <v>0</v>
      </c>
      <c r="GV94" s="47">
        <f t="array" ref="GV94">IF(AND(ISNUMBER(MATCH(GV$2, AsistenciaJetAdminConcatenada!$A:$A, 0)), ISNUMBER(MATCH(GV$1, AsistenciaJetAdminConcatenada!$B:$B, 0)), ISNUMBER(SEARCH($A94,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ISNUMBER(SEARCH($A94, INDEX(AsistenciaJetAdminConcatenada!$D:$D, MATCH(1, (AsistenciaJetAdminConcatenada!$A:$A=GV$2)*(AsistenciaJetAdminConcatenada!$B:$B=GV$1), 0)), 1))),  0.5, 0))</f>
        <v>0</v>
      </c>
      <c r="GW94" s="47">
        <f t="array" ref="GW94">IF(AND(ISNUMBER(MATCH(GW$2, AsistenciaJetAdminConcatenada!$A:$A, 0)), ISNUMBER(MATCH(GW$1, AsistenciaJetAdminConcatenada!$B:$B, 0)), ISNUMBER(SEARCH($A94,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ISNUMBER(SEARCH($A94, INDEX(AsistenciaJetAdminConcatenada!$D:$D, MATCH(1, (AsistenciaJetAdminConcatenada!$A:$A=GW$2)*(AsistenciaJetAdminConcatenada!$B:$B=GW$1), 0)), 1))),  0.5, 0))</f>
        <v>0</v>
      </c>
      <c r="GX94" s="47">
        <f t="array" ref="GX94">IF(AND(ISNUMBER(MATCH(GX$2, AsistenciaJetAdminConcatenada!$A:$A, 0)), ISNUMBER(MATCH(GX$1, AsistenciaJetAdminConcatenada!$B:$B, 0)), ISNUMBER(SEARCH($A94,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ISNUMBER(SEARCH($A94, INDEX(AsistenciaJetAdminConcatenada!$D:$D, MATCH(1, (AsistenciaJetAdminConcatenada!$A:$A=GX$2)*(AsistenciaJetAdminConcatenada!$B:$B=GX$1), 0)), 1))),  0.5, 0))</f>
        <v>0</v>
      </c>
      <c r="GY94" s="47">
        <f t="array" ref="GY94">IF(AND(ISNUMBER(MATCH(GY$2, AsistenciaJetAdminConcatenada!$A:$A, 0)), ISNUMBER(MATCH(GY$1, AsistenciaJetAdminConcatenada!$B:$B, 0)), ISNUMBER(SEARCH($A94,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ISNUMBER(SEARCH($A94, INDEX(AsistenciaJetAdminConcatenada!$D:$D, MATCH(1, (AsistenciaJetAdminConcatenada!$A:$A=GY$2)*(AsistenciaJetAdminConcatenada!$B:$B=GY$1), 0)), 1))),  0.5, 0))</f>
        <v>0</v>
      </c>
      <c r="GZ94" s="47">
        <f t="array" ref="GZ94">IF(AND(ISNUMBER(MATCH(GZ$2, AsistenciaJetAdminConcatenada!$A:$A, 0)), ISNUMBER(MATCH(GZ$1, AsistenciaJetAdminConcatenada!$B:$B, 0)), ISNUMBER(SEARCH($A94,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ISNUMBER(SEARCH($A94, INDEX(AsistenciaJetAdminConcatenada!$D:$D, MATCH(1, (AsistenciaJetAdminConcatenada!$A:$A=GZ$2)*(AsistenciaJetAdminConcatenada!$B:$B=GZ$1), 0)), 1))),  0.5, 0))</f>
        <v>0</v>
      </c>
      <c r="HA94" s="47">
        <f t="array" ref="HA94">IF(AND(ISNUMBER(MATCH(HA$2, AsistenciaJetAdminConcatenada!$A:$A, 0)), ISNUMBER(MATCH(HA$1, AsistenciaJetAdminConcatenada!$B:$B, 0)), ISNUMBER(SEARCH($A94,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ISNUMBER(SEARCH($A94, INDEX(AsistenciaJetAdminConcatenada!$D:$D, MATCH(1, (AsistenciaJetAdminConcatenada!$A:$A=HA$2)*(AsistenciaJetAdminConcatenada!$B:$B=HA$1), 0)), 1))),  0.5, 0))</f>
        <v>0</v>
      </c>
      <c r="HB94" s="47">
        <f t="array" ref="HB94">IF(AND(ISNUMBER(MATCH(HB$2, AsistenciaJetAdminConcatenada!$A:$A, 0)), ISNUMBER(MATCH(HB$1, AsistenciaJetAdminConcatenada!$B:$B, 0)), ISNUMBER(SEARCH($A94,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ISNUMBER(SEARCH($A94, INDEX(AsistenciaJetAdminConcatenada!$D:$D, MATCH(1, (AsistenciaJetAdminConcatenada!$A:$A=HB$2)*(AsistenciaJetAdminConcatenada!$B:$B=HB$1), 0)), 1))),  0.5, 0))</f>
        <v>0</v>
      </c>
      <c r="HC94" s="47">
        <f t="array" ref="HC94">IF(AND(ISNUMBER(MATCH(HC$2, AsistenciaJetAdminConcatenada!$A:$A, 0)), ISNUMBER(MATCH(HC$1, AsistenciaJetAdminConcatenada!$B:$B, 0)), ISNUMBER(SEARCH($A94,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ISNUMBER(SEARCH($A94, INDEX(AsistenciaJetAdminConcatenada!$D:$D, MATCH(1, (AsistenciaJetAdminConcatenada!$A:$A=HC$2)*(AsistenciaJetAdminConcatenada!$B:$B=HC$1), 0)), 1))),  0.5, 0))</f>
        <v>0</v>
      </c>
    </row>
    <row r="95" ht="29.25" customHeight="1">
      <c r="A95" s="3">
        <v>188.0</v>
      </c>
      <c r="B95" s="4" t="s">
        <v>690</v>
      </c>
      <c r="C95" s="47">
        <f>SUM(D95:HC95) + ActividadesEspeciales!C95</f>
        <v>57</v>
      </c>
      <c r="D95" s="47">
        <f t="array" ref="D95">IF(AND(ISNUMBER(MATCH(D$2, AsistenciaJetAdminConcatenada!$A:$A, 0)), ISNUMBER(MATCH(D$1, AsistenciaJetAdminConcatenada!$B:$B, 0)), ISNUMBER(SEARCH($A95,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ISNUMBER(SEARCH($A95, INDEX(AsistenciaJetAdminConcatenada!$D:$D, MATCH(1, (AsistenciaJetAdminConcatenada!$A:$A=D$2)*(AsistenciaJetAdminConcatenada!$B:$B=D$1), 0)), 1))),  0.5, 0))</f>
        <v>1</v>
      </c>
      <c r="E95" s="47">
        <f t="array" ref="E95">IF(AND(ISNUMBER(MATCH(E$2, AsistenciaJetAdminConcatenada!$A:$A, 0)), ISNUMBER(MATCH(E$1, AsistenciaJetAdminConcatenada!$B:$B, 0)), ISNUMBER(SEARCH($A95,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ISNUMBER(SEARCH($A95, INDEX(AsistenciaJetAdminConcatenada!$D:$D, MATCH(1, (AsistenciaJetAdminConcatenada!$A:$A=E$2)*(AsistenciaJetAdminConcatenada!$B:$B=E$1), 0)), 1))),  0.5, 0))</f>
        <v>1</v>
      </c>
      <c r="F95" s="47">
        <f t="array" ref="F95">IF(AND(ISNUMBER(MATCH(F$2, AsistenciaJetAdminConcatenada!$A:$A, 0)), ISNUMBER(MATCH(F$1, AsistenciaJetAdminConcatenada!$B:$B, 0)), ISNUMBER(SEARCH($A95,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ISNUMBER(SEARCH($A95, INDEX(AsistenciaJetAdminConcatenada!$D:$D, MATCH(1, (AsistenciaJetAdminConcatenada!$A:$A=F$2)*(AsistenciaJetAdminConcatenada!$B:$B=F$1), 0)), 1))),  0.5, 0))</f>
        <v>1</v>
      </c>
      <c r="G95" s="47">
        <f t="array" ref="G95">IF(AND(ISNUMBER(MATCH(G$2, AsistenciaJetAdminConcatenada!$A:$A, 0)), ISNUMBER(MATCH(G$1, AsistenciaJetAdminConcatenada!$B:$B, 0)), ISNUMBER(SEARCH($A95,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ISNUMBER(SEARCH($A95, INDEX(AsistenciaJetAdminConcatenada!$D:$D, MATCH(1, (AsistenciaJetAdminConcatenada!$A:$A=G$2)*(AsistenciaJetAdminConcatenada!$B:$B=G$1), 0)), 1))),  0.5, 0))</f>
        <v>1</v>
      </c>
      <c r="H95" s="47">
        <f t="array" ref="H95">IF(AND(ISNUMBER(MATCH(H$2, AsistenciaJetAdminConcatenada!$A:$A, 0)), ISNUMBER(MATCH(H$1, AsistenciaJetAdminConcatenada!$B:$B, 0)), ISNUMBER(SEARCH($A95,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ISNUMBER(SEARCH($A95, INDEX(AsistenciaJetAdminConcatenada!$D:$D, MATCH(1, (AsistenciaJetAdminConcatenada!$A:$A=H$2)*(AsistenciaJetAdminConcatenada!$B:$B=H$1), 0)), 1))),  0.5, 0))</f>
        <v>1</v>
      </c>
      <c r="I95" s="47">
        <f t="array" ref="I95">IF(AND(ISNUMBER(MATCH(I$2, AsistenciaJetAdminConcatenada!$A:$A, 0)), ISNUMBER(MATCH(I$1, AsistenciaJetAdminConcatenada!$B:$B, 0)), ISNUMBER(SEARCH($A95,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ISNUMBER(SEARCH($A95, INDEX(AsistenciaJetAdminConcatenada!$D:$D, MATCH(1, (AsistenciaJetAdminConcatenada!$A:$A=I$2)*(AsistenciaJetAdminConcatenada!$B:$B=I$1), 0)), 1))),  0.5, 0))</f>
        <v>1</v>
      </c>
      <c r="J95" s="47">
        <f t="array" ref="J95">IF(AND(ISNUMBER(MATCH(J$2, AsistenciaJetAdminConcatenada!$A:$A, 0)), ISNUMBER(MATCH(J$1, AsistenciaJetAdminConcatenada!$B:$B, 0)), ISNUMBER(SEARCH($A95,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ISNUMBER(SEARCH($A95, INDEX(AsistenciaJetAdminConcatenada!$D:$D, MATCH(1, (AsistenciaJetAdminConcatenada!$A:$A=J$2)*(AsistenciaJetAdminConcatenada!$B:$B=J$1), 0)), 1))),  0.5, 0))</f>
        <v>1</v>
      </c>
      <c r="K95" s="47">
        <f t="array" ref="K95">IF(AND(ISNUMBER(MATCH(K$2, AsistenciaJetAdminConcatenada!$A:$A, 0)), ISNUMBER(MATCH(K$1, AsistenciaJetAdminConcatenada!$B:$B, 0)), ISNUMBER(SEARCH($A95,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ISNUMBER(SEARCH($A95, INDEX(AsistenciaJetAdminConcatenada!$D:$D, MATCH(1, (AsistenciaJetAdminConcatenada!$A:$A=K$2)*(AsistenciaJetAdminConcatenada!$B:$B=K$1), 0)), 1))),  0.5, 0))</f>
        <v>0</v>
      </c>
      <c r="L95" s="47">
        <f t="array" ref="L95">IF(AND(ISNUMBER(MATCH(L$2, AsistenciaJetAdminConcatenada!$A:$A, 0)), ISNUMBER(MATCH(L$1, AsistenciaJetAdminConcatenada!$B:$B, 0)), ISNUMBER(SEARCH($A95,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ISNUMBER(SEARCH($A95, INDEX(AsistenciaJetAdminConcatenada!$D:$D, MATCH(1, (AsistenciaJetAdminConcatenada!$A:$A=L$2)*(AsistenciaJetAdminConcatenada!$B:$B=L$1), 0)), 1))),  0.5, 0))</f>
        <v>1</v>
      </c>
      <c r="M95" s="47">
        <f t="array" ref="M95">IF(AND(ISNUMBER(MATCH(M$2, AsistenciaJetAdminConcatenada!$A:$A, 0)), ISNUMBER(MATCH(M$1, AsistenciaJetAdminConcatenada!$B:$B, 0)), ISNUMBER(SEARCH($A95,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ISNUMBER(SEARCH($A95, INDEX(AsistenciaJetAdminConcatenada!$D:$D, MATCH(1, (AsistenciaJetAdminConcatenada!$A:$A=M$2)*(AsistenciaJetAdminConcatenada!$B:$B=M$1), 0)), 1))),  0.5, 0))</f>
        <v>1</v>
      </c>
      <c r="N95" s="47">
        <f t="array" ref="N95">IF(AND(ISNUMBER(MATCH(N$2, AsistenciaJetAdminConcatenada!$A:$A, 0)), ISNUMBER(MATCH(N$1, AsistenciaJetAdminConcatenada!$B:$B, 0)), ISNUMBER(SEARCH($A95,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ISNUMBER(SEARCH($A95, INDEX(AsistenciaJetAdminConcatenada!$D:$D, MATCH(1, (AsistenciaJetAdminConcatenada!$A:$A=N$2)*(AsistenciaJetAdminConcatenada!$B:$B=N$1), 0)), 1))),  0.5, 0))</f>
        <v>0</v>
      </c>
      <c r="O95" s="47">
        <f t="array" ref="O95">IF(AND(ISNUMBER(MATCH(O$2, AsistenciaJetAdminConcatenada!$A:$A, 0)), ISNUMBER(MATCH(O$1, AsistenciaJetAdminConcatenada!$B:$B, 0)), ISNUMBER(SEARCH($A95,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ISNUMBER(SEARCH($A95, INDEX(AsistenciaJetAdminConcatenada!$D:$D, MATCH(1, (AsistenciaJetAdminConcatenada!$A:$A=O$2)*(AsistenciaJetAdminConcatenada!$B:$B=O$1), 0)), 1))),  0.5, 0))</f>
        <v>1</v>
      </c>
      <c r="P95" s="47">
        <f t="array" ref="P95">IF(AND(ISNUMBER(MATCH(P$2, AsistenciaJetAdminConcatenada!$A:$A, 0)), ISNUMBER(MATCH(P$1, AsistenciaJetAdminConcatenada!$B:$B, 0)), ISNUMBER(SEARCH($A95, INDEX(AsistenciaJetAdminConcatenada!$C:$C, MATCH(1, (AsistenciaJetAdminConcatenada!$A:$A=P$2)*(AsistenciaJetAdminConcatenada!$B:$B=P$1), 0)), 1))), 1, IF(AND(ISNUMBER(MATCH(P$2, AsistenciaJetAdminConcatenada!$A:$A, 0)), ISNUMBER(MATCH(P$1, AsistenciaJetAdminConcatenada!$B:$B, 0)), ISNUMBER(SEARCH($A95, INDEX(AsistenciaJetAdminConcatenada!$D:$D, MATCH(1, (AsistenciaJetAdminConcatenada!$A:$A=P$2)*(AsistenciaJetAdminConcatenada!$B:$B=P$1), 0)), 1))),  0.5, 0))</f>
        <v>1</v>
      </c>
      <c r="Q95" s="47">
        <f t="array" ref="Q95">IF(AND(ISNUMBER(MATCH(Q$2, AsistenciaJetAdminConcatenada!$A:$A, 0)), ISNUMBER(MATCH(Q$1, AsistenciaJetAdminConcatenada!$B:$B, 0)), ISNUMBER(SEARCH($A95, INDEX(AsistenciaJetAdminConcatenada!$C:$C, MATCH(1, (AsistenciaJetAdminConcatenada!$A:$A=Q$2)*(AsistenciaJetAdminConcatenada!$B:$B=Q$1), 0)), 1))), 1, IF(AND(ISNUMBER(MATCH(Q$2, AsistenciaJetAdminConcatenada!$A:$A, 0)), ISNUMBER(MATCH(Q$1, AsistenciaJetAdminConcatenada!$B:$B, 0)), ISNUMBER(SEARCH($A95, INDEX(AsistenciaJetAdminConcatenada!$D:$D, MATCH(1, (AsistenciaJetAdminConcatenada!$A:$A=Q$2)*(AsistenciaJetAdminConcatenada!$B:$B=Q$1), 0)), 1))),  0.5, 0))</f>
        <v>0</v>
      </c>
      <c r="R95" s="47">
        <f t="array" ref="R95">IF(AND(ISNUMBER(MATCH(R$2, AsistenciaJetAdminConcatenada!$A:$A, 0)), ISNUMBER(MATCH(R$1, AsistenciaJetAdminConcatenada!$B:$B, 0)), ISNUMBER(SEARCH($A95,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ISNUMBER(SEARCH($A95, INDEX(AsistenciaJetAdminConcatenada!$D:$D, MATCH(1, (AsistenciaJetAdminConcatenada!$A:$A=R$2)*(AsistenciaJetAdminConcatenada!$B:$B=R$1), 0)), 1))),  0.5, 0))</f>
        <v>1</v>
      </c>
      <c r="S95" s="47">
        <f t="array" ref="S95">IF(AND(ISNUMBER(MATCH(S$2, AsistenciaJetAdminConcatenada!$A:$A, 0)), ISNUMBER(MATCH(S$1, AsistenciaJetAdminConcatenada!$B:$B, 0)), ISNUMBER(SEARCH($A95,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ISNUMBER(SEARCH($A95, INDEX(AsistenciaJetAdminConcatenada!$D:$D, MATCH(1, (AsistenciaJetAdminConcatenada!$A:$A=S$2)*(AsistenciaJetAdminConcatenada!$B:$B=S$1), 0)), 1))),  0.5, 0))</f>
        <v>1</v>
      </c>
      <c r="T95" s="47">
        <f t="array" ref="T95">IF(AND(ISNUMBER(MATCH(T$2, AsistenciaJetAdminConcatenada!$A:$A, 0)), ISNUMBER(MATCH(T$1, AsistenciaJetAdminConcatenada!$B:$B, 0)), ISNUMBER(SEARCH($A95,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ISNUMBER(SEARCH($A95, INDEX(AsistenciaJetAdminConcatenada!$D:$D, MATCH(1, (AsistenciaJetAdminConcatenada!$A:$A=T$2)*(AsistenciaJetAdminConcatenada!$B:$B=T$1), 0)), 1))),  0.5, 0))</f>
        <v>1</v>
      </c>
      <c r="U95" s="47">
        <f t="array" ref="U95">IF(AND(ISNUMBER(MATCH(U$2, AsistenciaJetAdminConcatenada!$A:$A, 0)), ISNUMBER(MATCH(U$1, AsistenciaJetAdminConcatenada!$B:$B, 0)), ISNUMBER(SEARCH($A95,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ISNUMBER(SEARCH($A95, INDEX(AsistenciaJetAdminConcatenada!$D:$D, MATCH(1, (AsistenciaJetAdminConcatenada!$A:$A=U$2)*(AsistenciaJetAdminConcatenada!$B:$B=U$1), 0)), 1))),  0.5, 0))</f>
        <v>1</v>
      </c>
      <c r="V95" s="47">
        <f t="array" ref="V95">IF(AND(ISNUMBER(MATCH(V$2, AsistenciaJetAdminConcatenada!$A:$A, 0)), ISNUMBER(MATCH(V$1, AsistenciaJetAdminConcatenada!$B:$B, 0)), ISNUMBER(SEARCH($A95,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ISNUMBER(SEARCH($A95, INDEX(AsistenciaJetAdminConcatenada!$D:$D, MATCH(1, (AsistenciaJetAdminConcatenada!$A:$A=V$2)*(AsistenciaJetAdminConcatenada!$B:$B=V$1), 0)), 1))),  0.5, 0))</f>
        <v>1</v>
      </c>
      <c r="W95" s="47">
        <f t="array" ref="W95">IF(AND(ISNUMBER(MATCH(W$2, AsistenciaJetAdminConcatenada!$A:$A, 0)), ISNUMBER(MATCH(W$1, AsistenciaJetAdminConcatenada!$B:$B, 0)), ISNUMBER(SEARCH($A95,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ISNUMBER(SEARCH($A95, INDEX(AsistenciaJetAdminConcatenada!$D:$D, MATCH(1, (AsistenciaJetAdminConcatenada!$A:$A=W$2)*(AsistenciaJetAdminConcatenada!$B:$B=W$1), 0)), 1))),  0.5, 0))</f>
        <v>1</v>
      </c>
      <c r="X95" s="47">
        <f t="array" ref="X95">IF(AND(ISNUMBER(MATCH(X$2, AsistenciaJetAdminConcatenada!$A:$A, 0)), ISNUMBER(MATCH(X$1, AsistenciaJetAdminConcatenada!$B:$B, 0)), ISNUMBER(SEARCH($A95,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ISNUMBER(SEARCH($A95, INDEX(AsistenciaJetAdminConcatenada!$D:$D, MATCH(1, (AsistenciaJetAdminConcatenada!$A:$A=X$2)*(AsistenciaJetAdminConcatenada!$B:$B=X$1), 0)), 1))),  0.5, 0))</f>
        <v>1</v>
      </c>
      <c r="Y95" s="47">
        <f t="array" ref="Y95">IF(AND(ISNUMBER(MATCH(Y$2, AsistenciaJetAdminConcatenada!$A:$A, 0)), ISNUMBER(MATCH(Y$1, AsistenciaJetAdminConcatenada!$B:$B, 0)), ISNUMBER(SEARCH($A95,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ISNUMBER(SEARCH($A95, INDEX(AsistenciaJetAdminConcatenada!$D:$D, MATCH(1, (AsistenciaJetAdminConcatenada!$A:$A=Y$2)*(AsistenciaJetAdminConcatenada!$B:$B=Y$1), 0)), 1))),  0.5, 0))</f>
        <v>0</v>
      </c>
      <c r="Z95" s="47">
        <f t="array" ref="Z95">IF(AND(ISNUMBER(MATCH(Z$2, AsistenciaJetAdminConcatenada!$A:$A, 0)), ISNUMBER(MATCH(Z$1, AsistenciaJetAdminConcatenada!$B:$B, 0)), ISNUMBER(SEARCH($A95,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ISNUMBER(SEARCH($A95, INDEX(AsistenciaJetAdminConcatenada!$D:$D, MATCH(1, (AsistenciaJetAdminConcatenada!$A:$A=Z$2)*(AsistenciaJetAdminConcatenada!$B:$B=Z$1), 0)), 1))),  0.5, 0))</f>
        <v>1</v>
      </c>
      <c r="AA95" s="47">
        <f t="array" ref="AA95">IF(AND(ISNUMBER(MATCH(AA$2, AsistenciaJetAdminConcatenada!$A:$A, 0)), ISNUMBER(MATCH(AA$1, AsistenciaJetAdminConcatenada!$B:$B, 0)), ISNUMBER(SEARCH($A95,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ISNUMBER(SEARCH($A95, INDEX(AsistenciaJetAdminConcatenada!$D:$D, MATCH(1, (AsistenciaJetAdminConcatenada!$A:$A=AA$2)*(AsistenciaJetAdminConcatenada!$B:$B=AA$1), 0)), 1))),  0.5, 0))</f>
        <v>0</v>
      </c>
      <c r="AB95" s="47">
        <f t="array" ref="AB95">IF(AND(ISNUMBER(MATCH(AB$2, AsistenciaJetAdminConcatenada!$A:$A, 0)), ISNUMBER(MATCH(AB$1, AsistenciaJetAdminConcatenada!$B:$B, 0)), ISNUMBER(SEARCH($A95,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ISNUMBER(SEARCH($A95, INDEX(AsistenciaJetAdminConcatenada!$D:$D, MATCH(1, (AsistenciaJetAdminConcatenada!$A:$A=AB$2)*(AsistenciaJetAdminConcatenada!$B:$B=AB$1), 0)), 1))),  0.5, 0))</f>
        <v>1</v>
      </c>
      <c r="AC95" s="47">
        <f t="array" ref="AC95">IF(AND(ISNUMBER(MATCH(AC$2, AsistenciaJetAdminConcatenada!$A:$A, 0)), ISNUMBER(MATCH(AC$1, AsistenciaJetAdminConcatenada!$B:$B, 0)), ISNUMBER(SEARCH($A95,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ISNUMBER(SEARCH($A95, INDEX(AsistenciaJetAdminConcatenada!$D:$D, MATCH(1, (AsistenciaJetAdminConcatenada!$A:$A=AC$2)*(AsistenciaJetAdminConcatenada!$B:$B=AC$1), 0)), 1))),  0.5, 0))</f>
        <v>1</v>
      </c>
      <c r="AD95" s="47">
        <f t="array" ref="AD95">IF(AND(ISNUMBER(MATCH(AD$2, AsistenciaJetAdminConcatenada!$A:$A, 0)), ISNUMBER(MATCH(AD$1, AsistenciaJetAdminConcatenada!$B:$B, 0)), ISNUMBER(SEARCH($A95,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ISNUMBER(SEARCH($A95, INDEX(AsistenciaJetAdminConcatenada!$D:$D, MATCH(1, (AsistenciaJetAdminConcatenada!$A:$A=AD$2)*(AsistenciaJetAdminConcatenada!$B:$B=AD$1), 0)), 1))),  0.5, 0))</f>
        <v>1</v>
      </c>
      <c r="AE95" s="47">
        <f t="array" ref="AE95">IF(AND(ISNUMBER(MATCH(AE$2, AsistenciaJetAdminConcatenada!$A:$A, 0)), ISNUMBER(MATCH(AE$1, AsistenciaJetAdminConcatenada!$B:$B, 0)), ISNUMBER(SEARCH($A95,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ISNUMBER(SEARCH($A95, INDEX(AsistenciaJetAdminConcatenada!$D:$D, MATCH(1, (AsistenciaJetAdminConcatenada!$A:$A=AE$2)*(AsistenciaJetAdminConcatenada!$B:$B=AE$1), 0)), 1))),  0.5, 0))</f>
        <v>0</v>
      </c>
      <c r="AF95" s="47">
        <f t="array" ref="AF95">IF(AND(ISNUMBER(MATCH(AF$2, AsistenciaJetAdminConcatenada!$A:$A, 0)), ISNUMBER(MATCH(AF$1, AsistenciaJetAdminConcatenada!$B:$B, 0)), ISNUMBER(SEARCH($A95,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ISNUMBER(SEARCH($A95, INDEX(AsistenciaJetAdminConcatenada!$D:$D, MATCH(1, (AsistenciaJetAdminConcatenada!$A:$A=AF$2)*(AsistenciaJetAdminConcatenada!$B:$B=AF$1), 0)), 1))),  0.5, 0))</f>
        <v>1</v>
      </c>
      <c r="AG95" s="47">
        <f t="array" ref="AG95">IF(AND(ISNUMBER(MATCH(AG$2, AsistenciaJetAdminConcatenada!$A:$A, 0)), ISNUMBER(MATCH(AG$1, AsistenciaJetAdminConcatenada!$B:$B, 0)), ISNUMBER(SEARCH($A95,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ISNUMBER(SEARCH($A95, INDEX(AsistenciaJetAdminConcatenada!$D:$D, MATCH(1, (AsistenciaJetAdminConcatenada!$A:$A=AG$2)*(AsistenciaJetAdminConcatenada!$B:$B=AG$1), 0)), 1))),  0.5, 0))</f>
        <v>0</v>
      </c>
      <c r="AH95" s="47">
        <f t="array" ref="AH95">IF(AND(ISNUMBER(MATCH(AH$2, AsistenciaJetAdminConcatenada!$A:$A, 0)), ISNUMBER(MATCH(AH$1, AsistenciaJetAdminConcatenada!$B:$B, 0)), ISNUMBER(SEARCH($A95,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ISNUMBER(SEARCH($A95, INDEX(AsistenciaJetAdminConcatenada!$D:$D, MATCH(1, (AsistenciaJetAdminConcatenada!$A:$A=AH$2)*(AsistenciaJetAdminConcatenada!$B:$B=AH$1), 0)), 1))),  0.5, 0))</f>
        <v>0</v>
      </c>
      <c r="AI95" s="47">
        <f t="array" ref="AI95">IF(AND(ISNUMBER(MATCH(AI$2, AsistenciaJetAdminConcatenada!$A:$A, 0)), ISNUMBER(MATCH(AI$1, AsistenciaJetAdminConcatenada!$B:$B, 0)), ISNUMBER(SEARCH($A95,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ISNUMBER(SEARCH($A95, INDEX(AsistenciaJetAdminConcatenada!$D:$D, MATCH(1, (AsistenciaJetAdminConcatenada!$A:$A=AI$2)*(AsistenciaJetAdminConcatenada!$B:$B=AI$1), 0)), 1))),  0.5, 0))</f>
        <v>1</v>
      </c>
      <c r="AJ95" s="47">
        <f t="array" ref="AJ95">IF(AND(ISNUMBER(MATCH(AJ$2, AsistenciaJetAdminConcatenada!$A:$A, 0)), ISNUMBER(MATCH(AJ$1, AsistenciaJetAdminConcatenada!$B:$B, 0)), ISNUMBER(SEARCH($A95,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ISNUMBER(SEARCH($A95, INDEX(AsistenciaJetAdminConcatenada!$D:$D, MATCH(1, (AsistenciaJetAdminConcatenada!$A:$A=AJ$2)*(AsistenciaJetAdminConcatenada!$B:$B=AJ$1), 0)), 1))),  0.5, 0))</f>
        <v>0</v>
      </c>
      <c r="AK95" s="47">
        <f t="array" ref="AK95">IF(AND(ISNUMBER(MATCH(AK$2, AsistenciaJetAdminConcatenada!$A:$A, 0)), ISNUMBER(MATCH(AK$1, AsistenciaJetAdminConcatenada!$B:$B, 0)), ISNUMBER(SEARCH($A95,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ISNUMBER(SEARCH($A95, INDEX(AsistenciaJetAdminConcatenada!$D:$D, MATCH(1, (AsistenciaJetAdminConcatenada!$A:$A=AK$2)*(AsistenciaJetAdminConcatenada!$B:$B=AK$1), 0)), 1))),  0.5, 0))</f>
        <v>1</v>
      </c>
      <c r="AL95" s="47">
        <f t="array" ref="AL95">IF(AND(ISNUMBER(MATCH(AL$2, AsistenciaJetAdminConcatenada!$A:$A, 0)), ISNUMBER(MATCH(AL$1, AsistenciaJetAdminConcatenada!$B:$B, 0)), ISNUMBER(SEARCH($A95,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ISNUMBER(SEARCH($A95, INDEX(AsistenciaJetAdminConcatenada!$D:$D, MATCH(1, (AsistenciaJetAdminConcatenada!$A:$A=AL$2)*(AsistenciaJetAdminConcatenada!$B:$B=AL$1), 0)), 1))),  0.5, 0))</f>
        <v>0</v>
      </c>
      <c r="AM95" s="47">
        <f t="array" ref="AM95">IF(AND(ISNUMBER(MATCH(AM$2, AsistenciaJetAdminConcatenada!$A:$A, 0)), ISNUMBER(MATCH(AM$1, AsistenciaJetAdminConcatenada!$B:$B, 0)), ISNUMBER(SEARCH($A95,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ISNUMBER(SEARCH($A95, INDEX(AsistenciaJetAdminConcatenada!$D:$D, MATCH(1, (AsistenciaJetAdminConcatenada!$A:$A=AM$2)*(AsistenciaJetAdminConcatenada!$B:$B=AM$1), 0)), 1))),  0.5, 0))</f>
        <v>0</v>
      </c>
      <c r="AN95" s="47">
        <f t="array" ref="AN95">IF(AND(ISNUMBER(MATCH(AN$2, AsistenciaJetAdminConcatenada!$A:$A, 0)), ISNUMBER(MATCH(AN$1, AsistenciaJetAdminConcatenada!$B:$B, 0)), ISNUMBER(SEARCH($A95,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ISNUMBER(SEARCH($A95, INDEX(AsistenciaJetAdminConcatenada!$D:$D, MATCH(1, (AsistenciaJetAdminConcatenada!$A:$A=AN$2)*(AsistenciaJetAdminConcatenada!$B:$B=AN$1), 0)), 1))),  0.5, 0))</f>
        <v>1</v>
      </c>
      <c r="AO95" s="47">
        <f t="array" ref="AO95">IF(AND(ISNUMBER(MATCH(AO$2, AsistenciaJetAdminConcatenada!$A:$A, 0)), ISNUMBER(MATCH(AO$1, AsistenciaJetAdminConcatenada!$B:$B, 0)), ISNUMBER(SEARCH($A95,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ISNUMBER(SEARCH($A95, INDEX(AsistenciaJetAdminConcatenada!$D:$D, MATCH(1, (AsistenciaJetAdminConcatenada!$A:$A=AO$2)*(AsistenciaJetAdminConcatenada!$B:$B=AO$1), 0)), 1))),  0.5, 0))</f>
        <v>0.5</v>
      </c>
      <c r="AP95" s="47">
        <f t="array" ref="AP95">IF(AND(ISNUMBER(MATCH(AP$2, AsistenciaJetAdminConcatenada!$A:$A, 0)), ISNUMBER(MATCH(AP$1, AsistenciaJetAdminConcatenada!$B:$B, 0)), ISNUMBER(SEARCH($A95,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ISNUMBER(SEARCH($A95, INDEX(AsistenciaJetAdminConcatenada!$D:$D, MATCH(1, (AsistenciaJetAdminConcatenada!$A:$A=AP$2)*(AsistenciaJetAdminConcatenada!$B:$B=AP$1), 0)), 1))),  0.5, 0))</f>
        <v>0</v>
      </c>
      <c r="AQ95" s="47">
        <f t="array" ref="AQ95">IF(AND(ISNUMBER(MATCH(AQ$2, AsistenciaJetAdminConcatenada!$A:$A, 0)), ISNUMBER(MATCH(AQ$1, AsistenciaJetAdminConcatenada!$B:$B, 0)), ISNUMBER(SEARCH($A95,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ISNUMBER(SEARCH($A95, INDEX(AsistenciaJetAdminConcatenada!$D:$D, MATCH(1, (AsistenciaJetAdminConcatenada!$A:$A=AQ$2)*(AsistenciaJetAdminConcatenada!$B:$B=AQ$1), 0)), 1))),  0.5, 0))</f>
        <v>0</v>
      </c>
      <c r="AR95" s="47">
        <f t="array" ref="AR95">IF(AND(ISNUMBER(MATCH(AR$2, AsistenciaJetAdminConcatenada!$A:$A, 0)), ISNUMBER(MATCH(AR$1, AsistenciaJetAdminConcatenada!$B:$B, 0)), ISNUMBER(SEARCH($A95,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ISNUMBER(SEARCH($A95, INDEX(AsistenciaJetAdminConcatenada!$D:$D, MATCH(1, (AsistenciaJetAdminConcatenada!$A:$A=AR$2)*(AsistenciaJetAdminConcatenada!$B:$B=AR$1), 0)), 1))),  0.5, 0))</f>
        <v>1</v>
      </c>
      <c r="AS95" s="47">
        <f t="array" ref="AS95">IF(AND(ISNUMBER(MATCH(AS$2, AsistenciaJetAdminConcatenada!$A:$A, 0)), ISNUMBER(MATCH(AS$1, AsistenciaJetAdminConcatenada!$B:$B, 0)), ISNUMBER(SEARCH($A95,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ISNUMBER(SEARCH($A95, INDEX(AsistenciaJetAdminConcatenada!$D:$D, MATCH(1, (AsistenciaJetAdminConcatenada!$A:$A=AS$2)*(AsistenciaJetAdminConcatenada!$B:$B=AS$1), 0)), 1))),  0.5, 0))</f>
        <v>1</v>
      </c>
      <c r="AT95" s="47">
        <f t="array" ref="AT95">IF(AND(ISNUMBER(MATCH(AT$2, AsistenciaJetAdminConcatenada!$A:$A, 0)), ISNUMBER(MATCH(AT$1, AsistenciaJetAdminConcatenada!$B:$B, 0)), ISNUMBER(SEARCH($A95,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ISNUMBER(SEARCH($A95, INDEX(AsistenciaJetAdminConcatenada!$D:$D, MATCH(1, (AsistenciaJetAdminConcatenada!$A:$A=AT$2)*(AsistenciaJetAdminConcatenada!$B:$B=AT$1), 0)), 1))),  0.5, 0))</f>
        <v>0</v>
      </c>
      <c r="AU95" s="47">
        <f t="array" ref="AU95">IF(AND(ISNUMBER(MATCH(AU$2, AsistenciaJetAdminConcatenada!$A:$A, 0)), ISNUMBER(MATCH(AU$1, AsistenciaJetAdminConcatenada!$B:$B, 0)), ISNUMBER(SEARCH($A95,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ISNUMBER(SEARCH($A95, INDEX(AsistenciaJetAdminConcatenada!$D:$D, MATCH(1, (AsistenciaJetAdminConcatenada!$A:$A=AU$2)*(AsistenciaJetAdminConcatenada!$B:$B=AU$1), 0)), 1))),  0.5, 0))</f>
        <v>1</v>
      </c>
      <c r="AV95" s="47">
        <f t="array" ref="AV95">IF(AND(ISNUMBER(MATCH(AV$2, AsistenciaJetAdminConcatenada!$A:$A, 0)), ISNUMBER(MATCH(AV$1, AsistenciaJetAdminConcatenada!$B:$B, 0)), ISNUMBER(SEARCH($A95,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ISNUMBER(SEARCH($A95, INDEX(AsistenciaJetAdminConcatenada!$D:$D, MATCH(1, (AsistenciaJetAdminConcatenada!$A:$A=AV$2)*(AsistenciaJetAdminConcatenada!$B:$B=AV$1), 0)), 1))),  0.5, 0))</f>
        <v>1</v>
      </c>
      <c r="AW95" s="47">
        <f t="array" ref="AW95">IF(AND(ISNUMBER(MATCH(AW$2, AsistenciaJetAdminConcatenada!$A:$A, 0)), ISNUMBER(MATCH(AW$1, AsistenciaJetAdminConcatenada!$B:$B, 0)), ISNUMBER(SEARCH($A95,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ISNUMBER(SEARCH($A95, INDEX(AsistenciaJetAdminConcatenada!$D:$D, MATCH(1, (AsistenciaJetAdminConcatenada!$A:$A=AW$2)*(AsistenciaJetAdminConcatenada!$B:$B=AW$1), 0)), 1))),  0.5, 0))</f>
        <v>0</v>
      </c>
      <c r="AX95" s="47">
        <f t="array" ref="AX95">IF(AND(ISNUMBER(MATCH(AX$2, AsistenciaJetAdminConcatenada!$A:$A, 0)), ISNUMBER(MATCH(AX$1, AsistenciaJetAdminConcatenada!$B:$B, 0)), ISNUMBER(SEARCH($A95,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ISNUMBER(SEARCH($A95, INDEX(AsistenciaJetAdminConcatenada!$D:$D, MATCH(1, (AsistenciaJetAdminConcatenada!$A:$A=AX$2)*(AsistenciaJetAdminConcatenada!$B:$B=AX$1), 0)), 1))),  0.5, 0))</f>
        <v>1</v>
      </c>
      <c r="AY95" s="47">
        <f t="array" ref="AY95">IF(AND(ISNUMBER(MATCH(AY$2, AsistenciaJetAdminConcatenada!$A:$A, 0)), ISNUMBER(MATCH(AY$1, AsistenciaJetAdminConcatenada!$B:$B, 0)), ISNUMBER(SEARCH($A95,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ISNUMBER(SEARCH($A95, INDEX(AsistenciaJetAdminConcatenada!$D:$D, MATCH(1, (AsistenciaJetAdminConcatenada!$A:$A=AY$2)*(AsistenciaJetAdminConcatenada!$B:$B=AY$1), 0)), 1))),  0.5, 0))</f>
        <v>1</v>
      </c>
      <c r="AZ95" s="47">
        <f t="array" ref="AZ95">IF(AND(ISNUMBER(MATCH(AZ$2, AsistenciaJetAdminConcatenada!$A:$A, 0)), ISNUMBER(MATCH(AZ$1, AsistenciaJetAdminConcatenada!$B:$B, 0)), ISNUMBER(SEARCH($A95,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ISNUMBER(SEARCH($A95, INDEX(AsistenciaJetAdminConcatenada!$D:$D, MATCH(1, (AsistenciaJetAdminConcatenada!$A:$A=AZ$2)*(AsistenciaJetAdminConcatenada!$B:$B=AZ$1), 0)), 1))),  0.5, 0))</f>
        <v>1</v>
      </c>
      <c r="BA95" s="47">
        <f t="array" ref="BA95">IF(AND(ISNUMBER(MATCH(BA$2, AsistenciaJetAdminConcatenada!$A:$A, 0)), ISNUMBER(MATCH(BA$1, AsistenciaJetAdminConcatenada!$B:$B, 0)), ISNUMBER(SEARCH($A95,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ISNUMBER(SEARCH($A95, INDEX(AsistenciaJetAdminConcatenada!$D:$D, MATCH(1, (AsistenciaJetAdminConcatenada!$A:$A=BA$2)*(AsistenciaJetAdminConcatenada!$B:$B=BA$1), 0)), 1))),  0.5, 0))</f>
        <v>0</v>
      </c>
      <c r="BB95" s="47">
        <f t="array" ref="BB95">IF(AND(ISNUMBER(MATCH(BB$2, AsistenciaJetAdminConcatenada!$A:$A, 0)), ISNUMBER(MATCH(BB$1, AsistenciaJetAdminConcatenada!$B:$B, 0)), ISNUMBER(SEARCH($A95,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ISNUMBER(SEARCH($A95, INDEX(AsistenciaJetAdminConcatenada!$D:$D, MATCH(1, (AsistenciaJetAdminConcatenada!$A:$A=BB$2)*(AsistenciaJetAdminConcatenada!$B:$B=BB$1), 0)), 1))),  0.5, 0))</f>
        <v>0</v>
      </c>
      <c r="BC95" s="47">
        <f t="array" ref="BC95">IF(AND(ISNUMBER(MATCH(BC$2, AsistenciaJetAdminConcatenada!$A:$A, 0)), ISNUMBER(MATCH(BC$1, AsistenciaJetAdminConcatenada!$B:$B, 0)), ISNUMBER(SEARCH($A95,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ISNUMBER(SEARCH($A95, INDEX(AsistenciaJetAdminConcatenada!$D:$D, MATCH(1, (AsistenciaJetAdminConcatenada!$A:$A=BC$2)*(AsistenciaJetAdminConcatenada!$B:$B=BC$1), 0)), 1))),  0.5, 0))</f>
        <v>1</v>
      </c>
      <c r="BD95" s="47">
        <f t="array" ref="BD95">IF(AND(ISNUMBER(MATCH(BD$2, AsistenciaJetAdminConcatenada!$A:$A, 0)), ISNUMBER(MATCH(BD$1, AsistenciaJetAdminConcatenada!$B:$B, 0)), ISNUMBER(SEARCH($A95,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ISNUMBER(SEARCH($A95, INDEX(AsistenciaJetAdminConcatenada!$D:$D, MATCH(1, (AsistenciaJetAdminConcatenada!$A:$A=BD$2)*(AsistenciaJetAdminConcatenada!$B:$B=BD$1), 0)), 1))),  0.5, 0))</f>
        <v>0</v>
      </c>
      <c r="BE95" s="47">
        <f t="array" ref="BE95">IF(AND(ISNUMBER(MATCH(BE$2, AsistenciaJetAdminConcatenada!$A:$A, 0)), ISNUMBER(MATCH(BE$1, AsistenciaJetAdminConcatenada!$B:$B, 0)), ISNUMBER(SEARCH($A95,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ISNUMBER(SEARCH($A95, INDEX(AsistenciaJetAdminConcatenada!$D:$D, MATCH(1, (AsistenciaJetAdminConcatenada!$A:$A=BE$2)*(AsistenciaJetAdminConcatenada!$B:$B=BE$1), 0)), 1))),  0.5, 0))</f>
        <v>1</v>
      </c>
      <c r="BF95" s="47">
        <f t="array" ref="BF95">IF(AND(ISNUMBER(MATCH(BF$2, AsistenciaJetAdminConcatenada!$A:$A, 0)), ISNUMBER(MATCH(BF$1, AsistenciaJetAdminConcatenada!$B:$B, 0)), ISNUMBER(SEARCH($A95,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ISNUMBER(SEARCH($A95, INDEX(AsistenciaJetAdminConcatenada!$D:$D, MATCH(1, (AsistenciaJetAdminConcatenada!$A:$A=BF$2)*(AsistenciaJetAdminConcatenada!$B:$B=BF$1), 0)), 1))),  0.5, 0))</f>
        <v>1</v>
      </c>
      <c r="BG95" s="47">
        <f t="array" ref="BG95">IF(AND(ISNUMBER(MATCH(BG$2, AsistenciaJetAdminConcatenada!$A:$A, 0)), ISNUMBER(MATCH(BG$1, AsistenciaJetAdminConcatenada!$B:$B, 0)), ISNUMBER(SEARCH($A95,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ISNUMBER(SEARCH($A95, INDEX(AsistenciaJetAdminConcatenada!$D:$D, MATCH(1, (AsistenciaJetAdminConcatenada!$A:$A=BG$2)*(AsistenciaJetAdminConcatenada!$B:$B=BG$1), 0)), 1))),  0.5, 0))</f>
        <v>1</v>
      </c>
      <c r="BH95" s="47">
        <f t="array" ref="BH95">IF(AND(ISNUMBER(MATCH(BH$2, AsistenciaJetAdminConcatenada!$A:$A, 0)), ISNUMBER(MATCH(BH$1, AsistenciaJetAdminConcatenada!$B:$B, 0)), ISNUMBER(SEARCH($A95,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ISNUMBER(SEARCH($A95, INDEX(AsistenciaJetAdminConcatenada!$D:$D, MATCH(1, (AsistenciaJetAdminConcatenada!$A:$A=BH$2)*(AsistenciaJetAdminConcatenada!$B:$B=BH$1), 0)), 1))),  0.5, 0))</f>
        <v>1</v>
      </c>
      <c r="BI95" s="47">
        <f t="array" ref="BI95">IF(AND(ISNUMBER(MATCH(BI$2, AsistenciaJetAdminConcatenada!$A:$A, 0)), ISNUMBER(MATCH(BI$1, AsistenciaJetAdminConcatenada!$B:$B, 0)), ISNUMBER(SEARCH($A95,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ISNUMBER(SEARCH($A95, INDEX(AsistenciaJetAdminConcatenada!$D:$D, MATCH(1, (AsistenciaJetAdminConcatenada!$A:$A=BI$2)*(AsistenciaJetAdminConcatenada!$B:$B=BI$1), 0)), 1))),  0.5, 0))</f>
        <v>1</v>
      </c>
      <c r="BJ95" s="47">
        <f t="array" ref="BJ95">IF(AND(ISNUMBER(MATCH(BJ$2, AsistenciaJetAdminConcatenada!$A:$A, 0)), ISNUMBER(MATCH(BJ$1, AsistenciaJetAdminConcatenada!$B:$B, 0)), ISNUMBER(SEARCH($A95,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ISNUMBER(SEARCH($A95, INDEX(AsistenciaJetAdminConcatenada!$D:$D, MATCH(1, (AsistenciaJetAdminConcatenada!$A:$A=BJ$2)*(AsistenciaJetAdminConcatenada!$B:$B=BJ$1), 0)), 1))),  0.5, 0))</f>
        <v>0</v>
      </c>
      <c r="BK95" s="47">
        <f t="array" ref="BK95">IF(AND(ISNUMBER(MATCH(BK$2, AsistenciaJetAdminConcatenada!$A:$A, 0)), ISNUMBER(MATCH(BK$1, AsistenciaJetAdminConcatenada!$B:$B, 0)), ISNUMBER(SEARCH($A95,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ISNUMBER(SEARCH($A95, INDEX(AsistenciaJetAdminConcatenada!$D:$D, MATCH(1, (AsistenciaJetAdminConcatenada!$A:$A=BK$2)*(AsistenciaJetAdminConcatenada!$B:$B=BK$1), 0)), 1))),  0.5, 0))</f>
        <v>0</v>
      </c>
      <c r="BL95" s="47">
        <f t="array" ref="BL95">IF(AND(ISNUMBER(MATCH(BL$2, AsistenciaJetAdminConcatenada!$A:$A, 0)), ISNUMBER(MATCH(BL$1, AsistenciaJetAdminConcatenada!$B:$B, 0)), ISNUMBER(SEARCH($A95,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ISNUMBER(SEARCH($A95, INDEX(AsistenciaJetAdminConcatenada!$D:$D, MATCH(1, (AsistenciaJetAdminConcatenada!$A:$A=BL$2)*(AsistenciaJetAdminConcatenada!$B:$B=BL$1), 0)), 1))),  0.5, 0))</f>
        <v>0</v>
      </c>
      <c r="BM95" s="47">
        <f t="array" ref="BM95">IF(AND(ISNUMBER(MATCH(BM$2, AsistenciaJetAdminConcatenada!$A:$A, 0)), ISNUMBER(MATCH(BM$1, AsistenciaJetAdminConcatenada!$B:$B, 0)), ISNUMBER(SEARCH($A95,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ISNUMBER(SEARCH($A95, INDEX(AsistenciaJetAdminConcatenada!$D:$D, MATCH(1, (AsistenciaJetAdminConcatenada!$A:$A=BM$2)*(AsistenciaJetAdminConcatenada!$B:$B=BM$1), 0)), 1))),  0.5, 0))</f>
        <v>0</v>
      </c>
      <c r="BN95" s="47">
        <f t="array" ref="BN95">IF(AND(ISNUMBER(MATCH(BN$2, AsistenciaJetAdminConcatenada!$A:$A, 0)), ISNUMBER(MATCH(BN$1, AsistenciaJetAdminConcatenada!$B:$B, 0)), ISNUMBER(SEARCH($A95,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ISNUMBER(SEARCH($A95, INDEX(AsistenciaJetAdminConcatenada!$D:$D, MATCH(1, (AsistenciaJetAdminConcatenada!$A:$A=BN$2)*(AsistenciaJetAdminConcatenada!$B:$B=BN$1), 0)), 1))),  0.5, 0))</f>
        <v>1</v>
      </c>
      <c r="BO95" s="47">
        <f t="array" ref="BO95">IF(AND(ISNUMBER(MATCH(BO$2, AsistenciaJetAdminConcatenada!$A:$A, 0)), ISNUMBER(MATCH(BO$1, AsistenciaJetAdminConcatenada!$B:$B, 0)), ISNUMBER(SEARCH($A95,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ISNUMBER(SEARCH($A95, INDEX(AsistenciaJetAdminConcatenada!$D:$D, MATCH(1, (AsistenciaJetAdminConcatenada!$A:$A=BO$2)*(AsistenciaJetAdminConcatenada!$B:$B=BO$1), 0)), 1))),  0.5, 0))</f>
        <v>0</v>
      </c>
      <c r="BP95" s="47">
        <f t="array" ref="BP95">IF(AND(ISNUMBER(MATCH(BP$2, AsistenciaJetAdminConcatenada!$A:$A, 0)), ISNUMBER(MATCH(BP$1, AsistenciaJetAdminConcatenada!$B:$B, 0)), ISNUMBER(SEARCH($A95,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ISNUMBER(SEARCH($A95, INDEX(AsistenciaJetAdminConcatenada!$D:$D, MATCH(1, (AsistenciaJetAdminConcatenada!$A:$A=BP$2)*(AsistenciaJetAdminConcatenada!$B:$B=BP$1), 0)), 1))),  0.5, 0))</f>
        <v>0</v>
      </c>
      <c r="BQ95" s="47">
        <f t="array" ref="BQ95">IF(AND(ISNUMBER(MATCH(BQ$2, AsistenciaJetAdminConcatenada!$A:$A, 0)), ISNUMBER(MATCH(BQ$1, AsistenciaJetAdminConcatenada!$B:$B, 0)), ISNUMBER(SEARCH($A95,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ISNUMBER(SEARCH($A95, INDEX(AsistenciaJetAdminConcatenada!$D:$D, MATCH(1, (AsistenciaJetAdminConcatenada!$A:$A=BQ$2)*(AsistenciaJetAdminConcatenada!$B:$B=BQ$1), 0)), 1))),  0.5, 0))</f>
        <v>1</v>
      </c>
      <c r="BR95" s="47">
        <f t="array" ref="BR95">IF(AND(ISNUMBER(MATCH(BR$2, AsistenciaJetAdminConcatenada!$A:$A, 0)), ISNUMBER(MATCH(BR$1, AsistenciaJetAdminConcatenada!$B:$B, 0)), ISNUMBER(SEARCH($A95,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ISNUMBER(SEARCH($A95, INDEX(AsistenciaJetAdminConcatenada!$D:$D, MATCH(1, (AsistenciaJetAdminConcatenada!$A:$A=BR$2)*(AsistenciaJetAdminConcatenada!$B:$B=BR$1), 0)), 1))),  0.5, 0))</f>
        <v>1</v>
      </c>
      <c r="BS95" s="47">
        <f t="array" ref="BS95">IF(AND(ISNUMBER(MATCH(BS$2, AsistenciaJetAdminConcatenada!$A:$A, 0)), ISNUMBER(MATCH(BS$1, AsistenciaJetAdminConcatenada!$B:$B, 0)), ISNUMBER(SEARCH($A95,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ISNUMBER(SEARCH($A95, INDEX(AsistenciaJetAdminConcatenada!$D:$D, MATCH(1, (AsistenciaJetAdminConcatenada!$A:$A=BS$2)*(AsistenciaJetAdminConcatenada!$B:$B=BS$1), 0)), 1))),  0.5, 0))</f>
        <v>0</v>
      </c>
      <c r="BT95" s="47">
        <f t="array" ref="BT95">IF(AND(ISNUMBER(MATCH(BT$2, AsistenciaJetAdminConcatenada!$A:$A, 0)), ISNUMBER(MATCH(BT$1, AsistenciaJetAdminConcatenada!$B:$B, 0)), ISNUMBER(SEARCH($A95,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ISNUMBER(SEARCH($A95, INDEX(AsistenciaJetAdminConcatenada!$D:$D, MATCH(1, (AsistenciaJetAdminConcatenada!$A:$A=BT$2)*(AsistenciaJetAdminConcatenada!$B:$B=BT$1), 0)), 1))),  0.5, 0))</f>
        <v>1</v>
      </c>
      <c r="BU95" s="47">
        <f t="array" ref="BU95">IF(AND(ISNUMBER(MATCH(BU$2, AsistenciaJetAdminConcatenada!$A:$A, 0)), ISNUMBER(MATCH(BU$1, AsistenciaJetAdminConcatenada!$B:$B, 0)), ISNUMBER(SEARCH($A95,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ISNUMBER(SEARCH($A95, INDEX(AsistenciaJetAdminConcatenada!$D:$D, MATCH(1, (AsistenciaJetAdminConcatenada!$A:$A=BU$2)*(AsistenciaJetAdminConcatenada!$B:$B=BU$1), 0)), 1))),  0.5, 0))</f>
        <v>1</v>
      </c>
      <c r="BV95" s="47">
        <f t="array" ref="BV95">IF(AND(ISNUMBER(MATCH(BV$2, AsistenciaJetAdminConcatenada!$A:$A, 0)), ISNUMBER(MATCH(BV$1, AsistenciaJetAdminConcatenada!$B:$B, 0)), ISNUMBER(SEARCH($A95,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ISNUMBER(SEARCH($A95, INDEX(AsistenciaJetAdminConcatenada!$D:$D, MATCH(1, (AsistenciaJetAdminConcatenada!$A:$A=BV$2)*(AsistenciaJetAdminConcatenada!$B:$B=BV$1), 0)), 1))),  0.5, 0))</f>
        <v>0</v>
      </c>
      <c r="BW95" s="47">
        <f t="array" ref="BW95">IF(AND(ISNUMBER(MATCH(BW$2, AsistenciaJetAdminConcatenada!$A:$A, 0)), ISNUMBER(MATCH(BW$1, AsistenciaJetAdminConcatenada!$B:$B, 0)), ISNUMBER(SEARCH($A95,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ISNUMBER(SEARCH($A95, INDEX(AsistenciaJetAdminConcatenada!$D:$D, MATCH(1, (AsistenciaJetAdminConcatenada!$A:$A=BW$2)*(AsistenciaJetAdminConcatenada!$B:$B=BW$1), 0)), 1))),  0.5, 0))</f>
        <v>1</v>
      </c>
      <c r="BX95" s="47">
        <f t="array" ref="BX95">IF(AND(ISNUMBER(MATCH(BX$2, AsistenciaJetAdminConcatenada!$A:$A, 0)), ISNUMBER(MATCH(BX$1, AsistenciaJetAdminConcatenada!$B:$B, 0)), ISNUMBER(SEARCH($A95,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ISNUMBER(SEARCH($A95, INDEX(AsistenciaJetAdminConcatenada!$D:$D, MATCH(1, (AsistenciaJetAdminConcatenada!$A:$A=BX$2)*(AsistenciaJetAdminConcatenada!$B:$B=BX$1), 0)), 1))),  0.5, 0))</f>
        <v>0</v>
      </c>
      <c r="BY95" s="47">
        <f t="array" ref="BY95">IF(AND(ISNUMBER(MATCH(BY$2, AsistenciaJetAdminConcatenada!$A:$A, 0)), ISNUMBER(MATCH(BY$1, AsistenciaJetAdminConcatenada!$B:$B, 0)), ISNUMBER(SEARCH($A95,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ISNUMBER(SEARCH($A95, INDEX(AsistenciaJetAdminConcatenada!$D:$D, MATCH(1, (AsistenciaJetAdminConcatenada!$A:$A=BY$2)*(AsistenciaJetAdminConcatenada!$B:$B=BY$1), 0)), 1))),  0.5, 0))</f>
        <v>0</v>
      </c>
      <c r="BZ95" s="47">
        <f t="array" ref="BZ95">IF(AND(ISNUMBER(MATCH(BZ$2, AsistenciaJetAdminConcatenada!$A:$A, 0)), ISNUMBER(MATCH(BZ$1, AsistenciaJetAdminConcatenada!$B:$B, 0)), ISNUMBER(SEARCH($A95,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ISNUMBER(SEARCH($A95, INDEX(AsistenciaJetAdminConcatenada!$D:$D, MATCH(1, (AsistenciaJetAdminConcatenada!$A:$A=BZ$2)*(AsistenciaJetAdminConcatenada!$B:$B=BZ$1), 0)), 1))),  0.5, 0))</f>
        <v>0</v>
      </c>
      <c r="CA95" s="47">
        <f t="array" ref="CA95">IF(AND(ISNUMBER(MATCH(CA$2, AsistenciaJetAdminConcatenada!$A:$A, 0)), ISNUMBER(MATCH(CA$1, AsistenciaJetAdminConcatenada!$B:$B, 0)), ISNUMBER(SEARCH($A95,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ISNUMBER(SEARCH($A95, INDEX(AsistenciaJetAdminConcatenada!$D:$D, MATCH(1, (AsistenciaJetAdminConcatenada!$A:$A=CA$2)*(AsistenciaJetAdminConcatenada!$B:$B=CA$1), 0)), 1))),  0.5, 0))</f>
        <v>1</v>
      </c>
      <c r="CB95" s="47">
        <f t="array" ref="CB95">IF(AND(ISNUMBER(MATCH(CB$2, AsistenciaJetAdminConcatenada!$A:$A, 0)), ISNUMBER(MATCH(CB$1, AsistenciaJetAdminConcatenada!$B:$B, 0)), ISNUMBER(SEARCH($A95,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ISNUMBER(SEARCH($A95, INDEX(AsistenciaJetAdminConcatenada!$D:$D, MATCH(1, (AsistenciaJetAdminConcatenada!$A:$A=CB$2)*(AsistenciaJetAdminConcatenada!$B:$B=CB$1), 0)), 1))),  0.5, 0))</f>
        <v>0</v>
      </c>
      <c r="CC95" s="47">
        <f t="array" ref="CC95">IF(AND(ISNUMBER(MATCH(CC$2, AsistenciaJetAdminConcatenada!$A:$A, 0)), ISNUMBER(MATCH(CC$1, AsistenciaJetAdminConcatenada!$B:$B, 0)), ISNUMBER(SEARCH($A95,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ISNUMBER(SEARCH($A95, INDEX(AsistenciaJetAdminConcatenada!$D:$D, MATCH(1, (AsistenciaJetAdminConcatenada!$A:$A=CC$2)*(AsistenciaJetAdminConcatenada!$B:$B=CC$1), 0)), 1))),  0.5, 0))</f>
        <v>0</v>
      </c>
      <c r="CD95" s="47">
        <f t="array" ref="CD95">IF(AND(ISNUMBER(MATCH(CD$2, AsistenciaJetAdminConcatenada!$A:$A, 0)), ISNUMBER(MATCH(CD$1, AsistenciaJetAdminConcatenada!$B:$B, 0)), ISNUMBER(SEARCH($A95,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ISNUMBER(SEARCH($A95, INDEX(AsistenciaJetAdminConcatenada!$D:$D, MATCH(1, (AsistenciaJetAdminConcatenada!$A:$A=CD$2)*(AsistenciaJetAdminConcatenada!$B:$B=CD$1), 0)), 1))),  0.5, 0))</f>
        <v>0</v>
      </c>
      <c r="CE95" s="47">
        <f t="array" ref="CE95">IF(AND(ISNUMBER(MATCH(CE$2, AsistenciaJetAdminConcatenada!$A:$A, 0)), ISNUMBER(MATCH(CE$1, AsistenciaJetAdminConcatenada!$B:$B, 0)), ISNUMBER(SEARCH($A95,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ISNUMBER(SEARCH($A95, INDEX(AsistenciaJetAdminConcatenada!$D:$D, MATCH(1, (AsistenciaJetAdminConcatenada!$A:$A=CE$2)*(AsistenciaJetAdminConcatenada!$B:$B=CE$1), 0)), 1))),  0.5, 0))</f>
        <v>0</v>
      </c>
      <c r="CF95" s="47">
        <f t="array" ref="CF95">IF(AND(ISNUMBER(MATCH(CF$2, AsistenciaJetAdminConcatenada!$A:$A, 0)), ISNUMBER(MATCH(CF$1, AsistenciaJetAdminConcatenada!$B:$B, 0)), ISNUMBER(SEARCH($A95,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ISNUMBER(SEARCH($A95, INDEX(AsistenciaJetAdminConcatenada!$D:$D, MATCH(1, (AsistenciaJetAdminConcatenada!$A:$A=CF$2)*(AsistenciaJetAdminConcatenada!$B:$B=CF$1), 0)), 1))),  0.5, 0))</f>
        <v>0</v>
      </c>
      <c r="CG95" s="47">
        <f t="array" ref="CG95">IF(AND(ISNUMBER(MATCH(CG$2, AsistenciaJetAdminConcatenada!$A:$A, 0)), ISNUMBER(MATCH(CG$1, AsistenciaJetAdminConcatenada!$B:$B, 0)), ISNUMBER(SEARCH($A95,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ISNUMBER(SEARCH($A95, INDEX(AsistenciaJetAdminConcatenada!$D:$D, MATCH(1, (AsistenciaJetAdminConcatenada!$A:$A=CG$2)*(AsistenciaJetAdminConcatenada!$B:$B=CG$1), 0)), 1))),  0.5, 0))</f>
        <v>0</v>
      </c>
      <c r="CH95" s="47">
        <f t="array" ref="CH95">IF(AND(ISNUMBER(MATCH(CH$2, AsistenciaJetAdminConcatenada!$A:$A, 0)), ISNUMBER(MATCH(CH$1, AsistenciaJetAdminConcatenada!$B:$B, 0)), ISNUMBER(SEARCH($A95,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ISNUMBER(SEARCH($A95, INDEX(AsistenciaJetAdminConcatenada!$D:$D, MATCH(1, (AsistenciaJetAdminConcatenada!$A:$A=CH$2)*(AsistenciaJetAdminConcatenada!$B:$B=CH$1), 0)), 1))),  0.5, 0))</f>
        <v>0</v>
      </c>
      <c r="CI95" s="47">
        <f t="array" ref="CI95">IF(AND(ISNUMBER(MATCH(CI$2, AsistenciaJetAdminConcatenada!$A:$A, 0)), ISNUMBER(MATCH(CI$1, AsistenciaJetAdminConcatenada!$B:$B, 0)), ISNUMBER(SEARCH($A95,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ISNUMBER(SEARCH($A95, INDEX(AsistenciaJetAdminConcatenada!$D:$D, MATCH(1, (AsistenciaJetAdminConcatenada!$A:$A=CI$2)*(AsistenciaJetAdminConcatenada!$B:$B=CI$1), 0)), 1))),  0.5, 0))</f>
        <v>1</v>
      </c>
      <c r="CJ95" s="47">
        <f t="array" ref="CJ95">IF(AND(ISNUMBER(MATCH(CJ$2, AsistenciaJetAdminConcatenada!$A:$A, 0)), ISNUMBER(MATCH(CJ$1, AsistenciaJetAdminConcatenada!$B:$B, 0)), ISNUMBER(SEARCH($A95,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ISNUMBER(SEARCH($A95, INDEX(AsistenciaJetAdminConcatenada!$D:$D, MATCH(1, (AsistenciaJetAdminConcatenada!$A:$A=CJ$2)*(AsistenciaJetAdminConcatenada!$B:$B=CJ$1), 0)), 1))),  0.5, 0))</f>
        <v>0</v>
      </c>
      <c r="CK95" s="47">
        <f t="array" ref="CK95">IF(AND(ISNUMBER(MATCH(CK$2, AsistenciaJetAdminConcatenada!$A:$A, 0)), ISNUMBER(MATCH(CK$1, AsistenciaJetAdminConcatenada!$B:$B, 0)), ISNUMBER(SEARCH($A95,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ISNUMBER(SEARCH($A95, INDEX(AsistenciaJetAdminConcatenada!$D:$D, MATCH(1, (AsistenciaJetAdminConcatenada!$A:$A=CK$2)*(AsistenciaJetAdminConcatenada!$B:$B=CK$1), 0)), 1))),  0.5, 0))</f>
        <v>1</v>
      </c>
      <c r="CL95" s="47">
        <f t="array" ref="CL95">IF(AND(ISNUMBER(MATCH(CL$2, AsistenciaJetAdminConcatenada!$A:$A, 0)), ISNUMBER(MATCH(CL$1, AsistenciaJetAdminConcatenada!$B:$B, 0)), ISNUMBER(SEARCH($A95,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ISNUMBER(SEARCH($A95, INDEX(AsistenciaJetAdminConcatenada!$D:$D, MATCH(1, (AsistenciaJetAdminConcatenada!$A:$A=CL$2)*(AsistenciaJetAdminConcatenada!$B:$B=CL$1), 0)), 1))),  0.5, 0))</f>
        <v>1</v>
      </c>
      <c r="CM95" s="47">
        <f t="array" ref="CM95">IF(AND(ISNUMBER(MATCH(CM$2, AsistenciaJetAdminConcatenada!$A:$A, 0)), ISNUMBER(MATCH(CM$1, AsistenciaJetAdminConcatenada!$B:$B, 0)), ISNUMBER(SEARCH($A95,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ISNUMBER(SEARCH($A95, INDEX(AsistenciaJetAdminConcatenada!$D:$D, MATCH(1, (AsistenciaJetAdminConcatenada!$A:$A=CM$2)*(AsistenciaJetAdminConcatenada!$B:$B=CM$1), 0)), 1))),  0.5, 0))</f>
        <v>1</v>
      </c>
      <c r="CN95" s="47">
        <f t="array" ref="CN95">IF(AND(ISNUMBER(MATCH(CN$2, AsistenciaJetAdminConcatenada!$A:$A, 0)), ISNUMBER(MATCH(CN$1, AsistenciaJetAdminConcatenada!$B:$B, 0)), ISNUMBER(SEARCH($A95,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ISNUMBER(SEARCH($A95, INDEX(AsistenciaJetAdminConcatenada!$D:$D, MATCH(1, (AsistenciaJetAdminConcatenada!$A:$A=CN$2)*(AsistenciaJetAdminConcatenada!$B:$B=CN$1), 0)), 1))),  0.5, 0))</f>
        <v>0</v>
      </c>
      <c r="CO95" s="47">
        <f t="array" ref="CO95">IF(AND(ISNUMBER(MATCH(CO$2, AsistenciaJetAdminConcatenada!$A:$A, 0)), ISNUMBER(MATCH(CO$1, AsistenciaJetAdminConcatenada!$B:$B, 0)), ISNUMBER(SEARCH($A95,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ISNUMBER(SEARCH($A95, INDEX(AsistenciaJetAdminConcatenada!$D:$D, MATCH(1, (AsistenciaJetAdminConcatenada!$A:$A=CO$2)*(AsistenciaJetAdminConcatenada!$B:$B=CO$1), 0)), 1))),  0.5, 0))</f>
        <v>0.5</v>
      </c>
      <c r="CP95" s="47">
        <f t="array" ref="CP95">IF(AND(ISNUMBER(MATCH(CP$2, AsistenciaJetAdminConcatenada!$A:$A, 0)), ISNUMBER(MATCH(CP$1, AsistenciaJetAdminConcatenada!$B:$B, 0)), ISNUMBER(SEARCH($A95,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ISNUMBER(SEARCH($A95, INDEX(AsistenciaJetAdminConcatenada!$D:$D, MATCH(1, (AsistenciaJetAdminConcatenada!$A:$A=CP$2)*(AsistenciaJetAdminConcatenada!$B:$B=CP$1), 0)), 1))),  0.5, 0))</f>
        <v>1</v>
      </c>
      <c r="CQ95" s="47">
        <f t="array" ref="CQ95">IF(AND(ISNUMBER(MATCH(CQ$2, AsistenciaJetAdminConcatenada!$A:$A, 0)), ISNUMBER(MATCH(CQ$1, AsistenciaJetAdminConcatenada!$B:$B, 0)), ISNUMBER(SEARCH($A95,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ISNUMBER(SEARCH($A95, INDEX(AsistenciaJetAdminConcatenada!$D:$D, MATCH(1, (AsistenciaJetAdminConcatenada!$A:$A=CQ$2)*(AsistenciaJetAdminConcatenada!$B:$B=CQ$1), 0)), 1))),  0.5, 0))</f>
        <v>1</v>
      </c>
      <c r="CR95" s="47">
        <f t="array" ref="CR95">IF(AND(ISNUMBER(MATCH(CR$2, AsistenciaJetAdminConcatenada!$A:$A, 0)), ISNUMBER(MATCH(CR$1, AsistenciaJetAdminConcatenada!$B:$B, 0)), ISNUMBER(SEARCH($A95,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ISNUMBER(SEARCH($A95, INDEX(AsistenciaJetAdminConcatenada!$D:$D, MATCH(1, (AsistenciaJetAdminConcatenada!$A:$A=CR$2)*(AsistenciaJetAdminConcatenada!$B:$B=CR$1), 0)), 1))),  0.5, 0))</f>
        <v>1</v>
      </c>
      <c r="CS95" s="47">
        <f t="array" ref="CS95">IF(AND(ISNUMBER(MATCH(CS$2, AsistenciaJetAdminConcatenada!$A:$A, 0)), ISNUMBER(MATCH(CS$1, AsistenciaJetAdminConcatenada!$B:$B, 0)), ISNUMBER(SEARCH($A95,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ISNUMBER(SEARCH($A95, INDEX(AsistenciaJetAdminConcatenada!$D:$D, MATCH(1, (AsistenciaJetAdminConcatenada!$A:$A=CS$2)*(AsistenciaJetAdminConcatenada!$B:$B=CS$1), 0)), 1))),  0.5, 0))</f>
        <v>0</v>
      </c>
      <c r="CT95" s="47">
        <f t="array" ref="CT95">IF(AND(ISNUMBER(MATCH(CT$2, AsistenciaJetAdminConcatenada!$A:$A, 0)), ISNUMBER(MATCH(CT$1, AsistenciaJetAdminConcatenada!$B:$B, 0)), ISNUMBER(SEARCH($A95,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ISNUMBER(SEARCH($A95, INDEX(AsistenciaJetAdminConcatenada!$D:$D, MATCH(1, (AsistenciaJetAdminConcatenada!$A:$A=CT$2)*(AsistenciaJetAdminConcatenada!$B:$B=CT$1), 0)), 1))),  0.5, 0))</f>
        <v>0</v>
      </c>
      <c r="CU95" s="47">
        <f t="array" ref="CU95">IF(AND(ISNUMBER(MATCH(CU$2, AsistenciaJetAdminConcatenada!$A:$A, 0)), ISNUMBER(MATCH(CU$1, AsistenciaJetAdminConcatenada!$B:$B, 0)), ISNUMBER(SEARCH($A95,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ISNUMBER(SEARCH($A95, INDEX(AsistenciaJetAdminConcatenada!$D:$D, MATCH(1, (AsistenciaJetAdminConcatenada!$A:$A=CU$2)*(AsistenciaJetAdminConcatenada!$B:$B=CU$1), 0)), 1))),  0.5, 0))</f>
        <v>0</v>
      </c>
      <c r="CV95" s="47">
        <f t="array" ref="CV95">IF(AND(ISNUMBER(MATCH(CV$2, AsistenciaJetAdminConcatenada!$A:$A, 0)), ISNUMBER(MATCH(CV$1, AsistenciaJetAdminConcatenada!$B:$B, 0)), ISNUMBER(SEARCH($A95,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ISNUMBER(SEARCH($A95, INDEX(AsistenciaJetAdminConcatenada!$D:$D, MATCH(1, (AsistenciaJetAdminConcatenada!$A:$A=CV$2)*(AsistenciaJetAdminConcatenada!$B:$B=CV$1), 0)), 1))),  0.5, 0))</f>
        <v>0</v>
      </c>
      <c r="CW95" s="47">
        <f t="array" ref="CW95">IF(AND(ISNUMBER(MATCH(CW$2, AsistenciaJetAdminConcatenada!$A:$A, 0)), ISNUMBER(MATCH(CW$1, AsistenciaJetAdminConcatenada!$B:$B, 0)), ISNUMBER(SEARCH($A95,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ISNUMBER(SEARCH($A95, INDEX(AsistenciaJetAdminConcatenada!$D:$D, MATCH(1, (AsistenciaJetAdminConcatenada!$A:$A=CW$2)*(AsistenciaJetAdminConcatenada!$B:$B=CW$1), 0)), 1))),  0.5, 0))</f>
        <v>0</v>
      </c>
      <c r="CX95" s="47">
        <f t="array" ref="CX95">IF(AND(ISNUMBER(MATCH(CX$2, AsistenciaJetAdminConcatenada!$A:$A, 0)), ISNUMBER(MATCH(CX$1, AsistenciaJetAdminConcatenada!$B:$B, 0)), ISNUMBER(SEARCH($A95,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ISNUMBER(SEARCH($A95, INDEX(AsistenciaJetAdminConcatenada!$D:$D, MATCH(1, (AsistenciaJetAdminConcatenada!$A:$A=CX$2)*(AsistenciaJetAdminConcatenada!$B:$B=CX$1), 0)), 1))),  0.5, 0))</f>
        <v>0</v>
      </c>
      <c r="CY95" s="47">
        <f t="array" ref="CY95">IF(AND(ISNUMBER(MATCH(CY$2, AsistenciaJetAdminConcatenada!$A:$A, 0)), ISNUMBER(MATCH(CY$1, AsistenciaJetAdminConcatenada!$B:$B, 0)), ISNUMBER(SEARCH($A95,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ISNUMBER(SEARCH($A95, INDEX(AsistenciaJetAdminConcatenada!$D:$D, MATCH(1, (AsistenciaJetAdminConcatenada!$A:$A=CY$2)*(AsistenciaJetAdminConcatenada!$B:$B=CY$1), 0)), 1))),  0.5, 0))</f>
        <v>0</v>
      </c>
      <c r="CZ95" s="47">
        <f t="array" ref="CZ95">IF(AND(ISNUMBER(MATCH(CZ$2, AsistenciaJetAdminConcatenada!$A:$A, 0)), ISNUMBER(MATCH(CZ$1, AsistenciaJetAdminConcatenada!$B:$B, 0)), ISNUMBER(SEARCH($A95,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ISNUMBER(SEARCH($A95, INDEX(AsistenciaJetAdminConcatenada!$D:$D, MATCH(1, (AsistenciaJetAdminConcatenada!$A:$A=CZ$2)*(AsistenciaJetAdminConcatenada!$B:$B=CZ$1), 0)), 1))),  0.5, 0))</f>
        <v>0</v>
      </c>
      <c r="DA95" s="47">
        <f t="array" ref="DA95">IF(AND(ISNUMBER(MATCH(DA$2, AsistenciaJetAdminConcatenada!$A:$A, 0)), ISNUMBER(MATCH(DA$1, AsistenciaJetAdminConcatenada!$B:$B, 0)), ISNUMBER(SEARCH($A95,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ISNUMBER(SEARCH($A95, INDEX(AsistenciaJetAdminConcatenada!$D:$D, MATCH(1, (AsistenciaJetAdminConcatenada!$A:$A=DA$2)*(AsistenciaJetAdminConcatenada!$B:$B=DA$1), 0)), 1))),  0.5, 0))</f>
        <v>0</v>
      </c>
      <c r="DB95" s="47">
        <f t="array" ref="DB95">IF(AND(ISNUMBER(MATCH(DB$2, AsistenciaJetAdminConcatenada!$A:$A, 0)), ISNUMBER(MATCH(DB$1, AsistenciaJetAdminConcatenada!$B:$B, 0)), ISNUMBER(SEARCH($A95,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ISNUMBER(SEARCH($A95, INDEX(AsistenciaJetAdminConcatenada!$D:$D, MATCH(1, (AsistenciaJetAdminConcatenada!$A:$A=DB$2)*(AsistenciaJetAdminConcatenada!$B:$B=DB$1), 0)), 1))),  0.5, 0))</f>
        <v>0</v>
      </c>
      <c r="DC95" s="47">
        <f t="array" ref="DC95">IF(AND(ISNUMBER(MATCH(DC$2, AsistenciaJetAdminConcatenada!$A:$A, 0)), ISNUMBER(MATCH(DC$1, AsistenciaJetAdminConcatenada!$B:$B, 0)), ISNUMBER(SEARCH($A95,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ISNUMBER(SEARCH($A95, INDEX(AsistenciaJetAdminConcatenada!$D:$D, MATCH(1, (AsistenciaJetAdminConcatenada!$A:$A=DC$2)*(AsistenciaJetAdminConcatenada!$B:$B=DC$1), 0)), 1))),  0.5, 0))</f>
        <v>0</v>
      </c>
      <c r="DD95" s="47">
        <f t="array" ref="DD95">IF(AND(ISNUMBER(MATCH(DD$2, AsistenciaJetAdminConcatenada!$A:$A, 0)), ISNUMBER(MATCH(DD$1, AsistenciaJetAdminConcatenada!$B:$B, 0)), ISNUMBER(SEARCH($A95,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ISNUMBER(SEARCH($A95, INDEX(AsistenciaJetAdminConcatenada!$D:$D, MATCH(1, (AsistenciaJetAdminConcatenada!$A:$A=DD$2)*(AsistenciaJetAdminConcatenada!$B:$B=DD$1), 0)), 1))),  0.5, 0))</f>
        <v>0</v>
      </c>
      <c r="DE95" s="47">
        <f t="array" ref="DE95">IF(AND(ISNUMBER(MATCH(DE$2, AsistenciaJetAdminConcatenada!$A:$A, 0)), ISNUMBER(MATCH(DE$1, AsistenciaJetAdminConcatenada!$B:$B, 0)), ISNUMBER(SEARCH($A95,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ISNUMBER(SEARCH($A95, INDEX(AsistenciaJetAdminConcatenada!$D:$D, MATCH(1, (AsistenciaJetAdminConcatenada!$A:$A=DE$2)*(AsistenciaJetAdminConcatenada!$B:$B=DE$1), 0)), 1))),  0.5, 0))</f>
        <v>0</v>
      </c>
      <c r="DF95" s="47">
        <f t="array" ref="DF95">IF(AND(ISNUMBER(MATCH(DF$2, AsistenciaJetAdminConcatenada!$A:$A, 0)), ISNUMBER(MATCH(DF$1, AsistenciaJetAdminConcatenada!$B:$B, 0)), ISNUMBER(SEARCH($A95,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ISNUMBER(SEARCH($A95, INDEX(AsistenciaJetAdminConcatenada!$D:$D, MATCH(1, (AsistenciaJetAdminConcatenada!$A:$A=DF$2)*(AsistenciaJetAdminConcatenada!$B:$B=DF$1), 0)), 1))),  0.5, 0))</f>
        <v>0</v>
      </c>
      <c r="DG95" s="47">
        <f t="array" ref="DG95">IF(AND(ISNUMBER(MATCH(DG$2, AsistenciaJetAdminConcatenada!$A:$A, 0)), ISNUMBER(MATCH(DG$1, AsistenciaJetAdminConcatenada!$B:$B, 0)), ISNUMBER(SEARCH($A95,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ISNUMBER(SEARCH($A95, INDEX(AsistenciaJetAdminConcatenada!$D:$D, MATCH(1, (AsistenciaJetAdminConcatenada!$A:$A=DG$2)*(AsistenciaJetAdminConcatenada!$B:$B=DG$1), 0)), 1))),  0.5, 0))</f>
        <v>0</v>
      </c>
      <c r="DH95" s="47">
        <f t="array" ref="DH95">IF(AND(ISNUMBER(MATCH(DH$2, AsistenciaJetAdminConcatenada!$A:$A, 0)), ISNUMBER(MATCH(DH$1, AsistenciaJetAdminConcatenada!$B:$B, 0)), ISNUMBER(SEARCH($A95,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ISNUMBER(SEARCH($A95, INDEX(AsistenciaJetAdminConcatenada!$D:$D, MATCH(1, (AsistenciaJetAdminConcatenada!$A:$A=DH$2)*(AsistenciaJetAdminConcatenada!$B:$B=DH$1), 0)), 1))),  0.5, 0))</f>
        <v>0</v>
      </c>
      <c r="DI95" s="47">
        <f t="array" ref="DI95">IF(AND(ISNUMBER(MATCH(DI$2, AsistenciaJetAdminConcatenada!$A:$A, 0)), ISNUMBER(MATCH(DI$1, AsistenciaJetAdminConcatenada!$B:$B, 0)), ISNUMBER(SEARCH($A95,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ISNUMBER(SEARCH($A95, INDEX(AsistenciaJetAdminConcatenada!$D:$D, MATCH(1, (AsistenciaJetAdminConcatenada!$A:$A=DI$2)*(AsistenciaJetAdminConcatenada!$B:$B=DI$1), 0)), 1))),  0.5, 0))</f>
        <v>0</v>
      </c>
      <c r="DJ95" s="47">
        <f t="array" ref="DJ95">IF(AND(ISNUMBER(MATCH(DJ$2, AsistenciaJetAdminConcatenada!$A:$A, 0)), ISNUMBER(MATCH(DJ$1, AsistenciaJetAdminConcatenada!$B:$B, 0)), ISNUMBER(SEARCH($A95,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ISNUMBER(SEARCH($A95, INDEX(AsistenciaJetAdminConcatenada!$D:$D, MATCH(1, (AsistenciaJetAdminConcatenada!$A:$A=DJ$2)*(AsistenciaJetAdminConcatenada!$B:$B=DJ$1), 0)), 1))),  0.5, 0))</f>
        <v>0</v>
      </c>
      <c r="DK95" s="47">
        <f t="array" ref="DK95">IF(AND(ISNUMBER(MATCH(DK$2, AsistenciaJetAdminConcatenada!$A:$A, 0)), ISNUMBER(MATCH(DK$1, AsistenciaJetAdminConcatenada!$B:$B, 0)), ISNUMBER(SEARCH($A95,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ISNUMBER(SEARCH($A95, INDEX(AsistenciaJetAdminConcatenada!$D:$D, MATCH(1, (AsistenciaJetAdminConcatenada!$A:$A=DK$2)*(AsistenciaJetAdminConcatenada!$B:$B=DK$1), 0)), 1))),  0.5, 0))</f>
        <v>0</v>
      </c>
      <c r="DL95" s="47">
        <f t="array" ref="DL95">IF(AND(ISNUMBER(MATCH(DL$2, AsistenciaJetAdminConcatenada!$A:$A, 0)), ISNUMBER(MATCH(DL$1, AsistenciaJetAdminConcatenada!$B:$B, 0)), ISNUMBER(SEARCH($A95,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ISNUMBER(SEARCH($A95, INDEX(AsistenciaJetAdminConcatenada!$D:$D, MATCH(1, (AsistenciaJetAdminConcatenada!$A:$A=DL$2)*(AsistenciaJetAdminConcatenada!$B:$B=DL$1), 0)), 1))),  0.5, 0))</f>
        <v>0</v>
      </c>
      <c r="DM95" s="47">
        <f t="array" ref="DM95">IF(AND(ISNUMBER(MATCH(DM$2, AsistenciaJetAdminConcatenada!$A:$A, 0)), ISNUMBER(MATCH(DM$1, AsistenciaJetAdminConcatenada!$B:$B, 0)), ISNUMBER(SEARCH($A95,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ISNUMBER(SEARCH($A95, INDEX(AsistenciaJetAdminConcatenada!$D:$D, MATCH(1, (AsistenciaJetAdminConcatenada!$A:$A=DM$2)*(AsistenciaJetAdminConcatenada!$B:$B=DM$1), 0)), 1))),  0.5, 0))</f>
        <v>0</v>
      </c>
      <c r="DN95" s="47">
        <f t="array" ref="DN95">IF(AND(ISNUMBER(MATCH(DN$2, AsistenciaJetAdminConcatenada!$A:$A, 0)), ISNUMBER(MATCH(DN$1, AsistenciaJetAdminConcatenada!$B:$B, 0)), ISNUMBER(SEARCH($A95,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ISNUMBER(SEARCH($A95, INDEX(AsistenciaJetAdminConcatenada!$D:$D, MATCH(1, (AsistenciaJetAdminConcatenada!$A:$A=DN$2)*(AsistenciaJetAdminConcatenada!$B:$B=DN$1), 0)), 1))),  0.5, 0))</f>
        <v>0</v>
      </c>
      <c r="DO95" s="47">
        <f t="array" ref="DO95">IF(AND(ISNUMBER(MATCH(DO$2, AsistenciaJetAdminConcatenada!$A:$A, 0)), ISNUMBER(MATCH(DO$1, AsistenciaJetAdminConcatenada!$B:$B, 0)), ISNUMBER(SEARCH($A95,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ISNUMBER(SEARCH($A95, INDEX(AsistenciaJetAdminConcatenada!$D:$D, MATCH(1, (AsistenciaJetAdminConcatenada!$A:$A=DO$2)*(AsistenciaJetAdminConcatenada!$B:$B=DO$1), 0)), 1))),  0.5, 0))</f>
        <v>0</v>
      </c>
      <c r="DP95" s="47">
        <f t="array" ref="DP95">IF(AND(ISNUMBER(MATCH(DP$2, AsistenciaJetAdminConcatenada!$A:$A, 0)), ISNUMBER(MATCH(DP$1, AsistenciaJetAdminConcatenada!$B:$B, 0)), ISNUMBER(SEARCH($A95,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ISNUMBER(SEARCH($A95, INDEX(AsistenciaJetAdminConcatenada!$D:$D, MATCH(1, (AsistenciaJetAdminConcatenada!$A:$A=DP$2)*(AsistenciaJetAdminConcatenada!$B:$B=DP$1), 0)), 1))),  0.5, 0))</f>
        <v>0</v>
      </c>
      <c r="DQ95" s="47">
        <f t="array" ref="DQ95">IF(AND(ISNUMBER(MATCH(DQ$2, AsistenciaJetAdminConcatenada!$A:$A, 0)), ISNUMBER(MATCH(DQ$1, AsistenciaJetAdminConcatenada!$B:$B, 0)), ISNUMBER(SEARCH($A95,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ISNUMBER(SEARCH($A95, INDEX(AsistenciaJetAdminConcatenada!$D:$D, MATCH(1, (AsistenciaJetAdminConcatenada!$A:$A=DQ$2)*(AsistenciaJetAdminConcatenada!$B:$B=DQ$1), 0)), 1))),  0.5, 0))</f>
        <v>0</v>
      </c>
      <c r="DR95" s="47">
        <f t="array" ref="DR95">IF(AND(ISNUMBER(MATCH(DR$2, AsistenciaJetAdminConcatenada!$A:$A, 0)), ISNUMBER(MATCH(DR$1, AsistenciaJetAdminConcatenada!$B:$B, 0)), ISNUMBER(SEARCH($A95,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ISNUMBER(SEARCH($A95, INDEX(AsistenciaJetAdminConcatenada!$D:$D, MATCH(1, (AsistenciaJetAdminConcatenada!$A:$A=DR$2)*(AsistenciaJetAdminConcatenada!$B:$B=DR$1), 0)), 1))),  0.5, 0))</f>
        <v>0</v>
      </c>
      <c r="DS95" s="47">
        <f t="array" ref="DS95">IF(AND(ISNUMBER(MATCH(DS$2, AsistenciaJetAdminConcatenada!$A:$A, 0)), ISNUMBER(MATCH(DS$1, AsistenciaJetAdminConcatenada!$B:$B, 0)), ISNUMBER(SEARCH($A95,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ISNUMBER(SEARCH($A95, INDEX(AsistenciaJetAdminConcatenada!$D:$D, MATCH(1, (AsistenciaJetAdminConcatenada!$A:$A=DS$2)*(AsistenciaJetAdminConcatenada!$B:$B=DS$1), 0)), 1))),  0.5, 0))</f>
        <v>0</v>
      </c>
      <c r="DT95" s="47">
        <f t="array" ref="DT95">IF(AND(ISNUMBER(MATCH(DT$2, AsistenciaJetAdminConcatenada!$A:$A, 0)), ISNUMBER(MATCH(DT$1, AsistenciaJetAdminConcatenada!$B:$B, 0)), ISNUMBER(SEARCH($A95,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ISNUMBER(SEARCH($A95, INDEX(AsistenciaJetAdminConcatenada!$D:$D, MATCH(1, (AsistenciaJetAdminConcatenada!$A:$A=DT$2)*(AsistenciaJetAdminConcatenada!$B:$B=DT$1), 0)), 1))),  0.5, 0))</f>
        <v>0</v>
      </c>
      <c r="DU95" s="47">
        <f t="array" ref="DU95">IF(AND(ISNUMBER(MATCH(DU$2, AsistenciaJetAdminConcatenada!$A:$A, 0)), ISNUMBER(MATCH(DU$1, AsistenciaJetAdminConcatenada!$B:$B, 0)), ISNUMBER(SEARCH($A95,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ISNUMBER(SEARCH($A95, INDEX(AsistenciaJetAdminConcatenada!$D:$D, MATCH(1, (AsistenciaJetAdminConcatenada!$A:$A=DU$2)*(AsistenciaJetAdminConcatenada!$B:$B=DU$1), 0)), 1))),  0.5, 0))</f>
        <v>0</v>
      </c>
      <c r="DV95" s="47">
        <f t="array" ref="DV95">IF(AND(ISNUMBER(MATCH(DV$2, AsistenciaJetAdminConcatenada!$A:$A, 0)), ISNUMBER(MATCH(DV$1, AsistenciaJetAdminConcatenada!$B:$B, 0)), ISNUMBER(SEARCH($A95,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ISNUMBER(SEARCH($A95, INDEX(AsistenciaJetAdminConcatenada!$D:$D, MATCH(1, (AsistenciaJetAdminConcatenada!$A:$A=DV$2)*(AsistenciaJetAdminConcatenada!$B:$B=DV$1), 0)), 1))),  0.5, 0))</f>
        <v>0</v>
      </c>
      <c r="DW95" s="47">
        <f t="array" ref="DW95">IF(AND(ISNUMBER(MATCH(DW$2, AsistenciaJetAdminConcatenada!$A:$A, 0)), ISNUMBER(MATCH(DW$1, AsistenciaJetAdminConcatenada!$B:$B, 0)), ISNUMBER(SEARCH($A95,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ISNUMBER(SEARCH($A95, INDEX(AsistenciaJetAdminConcatenada!$D:$D, MATCH(1, (AsistenciaJetAdminConcatenada!$A:$A=DW$2)*(AsistenciaJetAdminConcatenada!$B:$B=DW$1), 0)), 1))),  0.5, 0))</f>
        <v>0</v>
      </c>
      <c r="DX95" s="47">
        <f t="array" ref="DX95">IF(AND(ISNUMBER(MATCH(DX$2, AsistenciaJetAdminConcatenada!$A:$A, 0)), ISNUMBER(MATCH(DX$1, AsistenciaJetAdminConcatenada!$B:$B, 0)), ISNUMBER(SEARCH($A95,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ISNUMBER(SEARCH($A95, INDEX(AsistenciaJetAdminConcatenada!$D:$D, MATCH(1, (AsistenciaJetAdminConcatenada!$A:$A=DX$2)*(AsistenciaJetAdminConcatenada!$B:$B=DX$1), 0)), 1))),  0.5, 0))</f>
        <v>0</v>
      </c>
      <c r="DY95" s="47">
        <f t="array" ref="DY95">IF(AND(ISNUMBER(MATCH(DY$2, AsistenciaJetAdminConcatenada!$A:$A, 0)), ISNUMBER(MATCH(DY$1, AsistenciaJetAdminConcatenada!$B:$B, 0)), ISNUMBER(SEARCH($A95,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ISNUMBER(SEARCH($A95, INDEX(AsistenciaJetAdminConcatenada!$D:$D, MATCH(1, (AsistenciaJetAdminConcatenada!$A:$A=DY$2)*(AsistenciaJetAdminConcatenada!$B:$B=DY$1), 0)), 1))),  0.5, 0))</f>
        <v>0</v>
      </c>
      <c r="DZ95" s="47">
        <f t="array" ref="DZ95">IF(AND(ISNUMBER(MATCH(DZ$2, AsistenciaJetAdminConcatenada!$A:$A, 0)), ISNUMBER(MATCH(DZ$1, AsistenciaJetAdminConcatenada!$B:$B, 0)), ISNUMBER(SEARCH($A95,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ISNUMBER(SEARCH($A95, INDEX(AsistenciaJetAdminConcatenada!$D:$D, MATCH(1, (AsistenciaJetAdminConcatenada!$A:$A=DZ$2)*(AsistenciaJetAdminConcatenada!$B:$B=DZ$1), 0)), 1))),  0.5, 0))</f>
        <v>0</v>
      </c>
      <c r="EA95" s="47">
        <f t="array" ref="EA95">IF(AND(ISNUMBER(MATCH(EA$2, AsistenciaJetAdminConcatenada!$A:$A, 0)), ISNUMBER(MATCH(EA$1, AsistenciaJetAdminConcatenada!$B:$B, 0)), ISNUMBER(SEARCH($A95,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ISNUMBER(SEARCH($A95, INDEX(AsistenciaJetAdminConcatenada!$D:$D, MATCH(1, (AsistenciaJetAdminConcatenada!$A:$A=EA$2)*(AsistenciaJetAdminConcatenada!$B:$B=EA$1), 0)), 1))),  0.5, 0))</f>
        <v>0</v>
      </c>
      <c r="EB95" s="47">
        <f t="array" ref="EB95">IF(AND(ISNUMBER(MATCH(EB$2, AsistenciaJetAdminConcatenada!$A:$A, 0)), ISNUMBER(MATCH(EB$1, AsistenciaJetAdminConcatenada!$B:$B, 0)), ISNUMBER(SEARCH($A95,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ISNUMBER(SEARCH($A95, INDEX(AsistenciaJetAdminConcatenada!$D:$D, MATCH(1, (AsistenciaJetAdminConcatenada!$A:$A=EB$2)*(AsistenciaJetAdminConcatenada!$B:$B=EB$1), 0)), 1))),  0.5, 0))</f>
        <v>0</v>
      </c>
      <c r="EC95" s="47">
        <f t="array" ref="EC95">IF(AND(ISNUMBER(MATCH(EC$2, AsistenciaJetAdminConcatenada!$A:$A, 0)), ISNUMBER(MATCH(EC$1, AsistenciaJetAdminConcatenada!$B:$B, 0)), ISNUMBER(SEARCH($A95,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ISNUMBER(SEARCH($A95, INDEX(AsistenciaJetAdminConcatenada!$D:$D, MATCH(1, (AsistenciaJetAdminConcatenada!$A:$A=EC$2)*(AsistenciaJetAdminConcatenada!$B:$B=EC$1), 0)), 1))),  0.5, 0))</f>
        <v>0</v>
      </c>
      <c r="ED95" s="47">
        <f t="array" ref="ED95">IF(AND(ISNUMBER(MATCH(ED$2, AsistenciaJetAdminConcatenada!$A:$A, 0)), ISNUMBER(MATCH(ED$1, AsistenciaJetAdminConcatenada!$B:$B, 0)), ISNUMBER(SEARCH($A95,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ISNUMBER(SEARCH($A95, INDEX(AsistenciaJetAdminConcatenada!$D:$D, MATCH(1, (AsistenciaJetAdminConcatenada!$A:$A=ED$2)*(AsistenciaJetAdminConcatenada!$B:$B=ED$1), 0)), 1))),  0.5, 0))</f>
        <v>0</v>
      </c>
      <c r="EE95" s="47">
        <f t="array" ref="EE95">IF(AND(ISNUMBER(MATCH(EE$2, AsistenciaJetAdminConcatenada!$A:$A, 0)), ISNUMBER(MATCH(EE$1, AsistenciaJetAdminConcatenada!$B:$B, 0)), ISNUMBER(SEARCH($A95,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ISNUMBER(SEARCH($A95, INDEX(AsistenciaJetAdminConcatenada!$D:$D, MATCH(1, (AsistenciaJetAdminConcatenada!$A:$A=EE$2)*(AsistenciaJetAdminConcatenada!$B:$B=EE$1), 0)), 1))),  0.5, 0))</f>
        <v>0</v>
      </c>
      <c r="EF95" s="47">
        <f t="array" ref="EF95">IF(AND(ISNUMBER(MATCH(EF$2, AsistenciaJetAdminConcatenada!$A:$A, 0)), ISNUMBER(MATCH(EF$1, AsistenciaJetAdminConcatenada!$B:$B, 0)), ISNUMBER(SEARCH($A95,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ISNUMBER(SEARCH($A95, INDEX(AsistenciaJetAdminConcatenada!$D:$D, MATCH(1, (AsistenciaJetAdminConcatenada!$A:$A=EF$2)*(AsistenciaJetAdminConcatenada!$B:$B=EF$1), 0)), 1))),  0.5, 0))</f>
        <v>0</v>
      </c>
      <c r="EG95" s="47">
        <f t="array" ref="EG95">IF(AND(ISNUMBER(MATCH(EG$2, AsistenciaJetAdminConcatenada!$A:$A, 0)), ISNUMBER(MATCH(EG$1, AsistenciaJetAdminConcatenada!$B:$B, 0)), ISNUMBER(SEARCH($A95,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ISNUMBER(SEARCH($A95, INDEX(AsistenciaJetAdminConcatenada!$D:$D, MATCH(1, (AsistenciaJetAdminConcatenada!$A:$A=EG$2)*(AsistenciaJetAdminConcatenada!$B:$B=EG$1), 0)), 1))),  0.5, 0))</f>
        <v>0</v>
      </c>
      <c r="EH95" s="47">
        <f t="array" ref="EH95">IF(AND(ISNUMBER(MATCH(EH$2, AsistenciaJetAdminConcatenada!$A:$A, 0)), ISNUMBER(MATCH(EH$1, AsistenciaJetAdminConcatenada!$B:$B, 0)), ISNUMBER(SEARCH($A95,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ISNUMBER(SEARCH($A95, INDEX(AsistenciaJetAdminConcatenada!$D:$D, MATCH(1, (AsistenciaJetAdminConcatenada!$A:$A=EH$2)*(AsistenciaJetAdminConcatenada!$B:$B=EH$1), 0)), 1))),  0.5, 0))</f>
        <v>0</v>
      </c>
      <c r="EI95" s="47">
        <f t="array" ref="EI95">IF(AND(ISNUMBER(MATCH(EI$2, AsistenciaJetAdminConcatenada!$A:$A, 0)), ISNUMBER(MATCH(EI$1, AsistenciaJetAdminConcatenada!$B:$B, 0)), ISNUMBER(SEARCH($A95,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ISNUMBER(SEARCH($A95, INDEX(AsistenciaJetAdminConcatenada!$D:$D, MATCH(1, (AsistenciaJetAdminConcatenada!$A:$A=EI$2)*(AsistenciaJetAdminConcatenada!$B:$B=EI$1), 0)), 1))),  0.5, 0))</f>
        <v>0</v>
      </c>
      <c r="EJ95" s="47">
        <f t="array" ref="EJ95">IF(AND(ISNUMBER(MATCH(EJ$2, AsistenciaJetAdminConcatenada!$A:$A, 0)), ISNUMBER(MATCH(EJ$1, AsistenciaJetAdminConcatenada!$B:$B, 0)), ISNUMBER(SEARCH($A95,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ISNUMBER(SEARCH($A95, INDEX(AsistenciaJetAdminConcatenada!$D:$D, MATCH(1, (AsistenciaJetAdminConcatenada!$A:$A=EJ$2)*(AsistenciaJetAdminConcatenada!$B:$B=EJ$1), 0)), 1))),  0.5, 0))</f>
        <v>0</v>
      </c>
      <c r="EK95" s="47">
        <f t="array" ref="EK95">IF(AND(ISNUMBER(MATCH(EK$2, AsistenciaJetAdminConcatenada!$A:$A, 0)), ISNUMBER(MATCH(EK$1, AsistenciaJetAdminConcatenada!$B:$B, 0)), ISNUMBER(SEARCH($A95,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ISNUMBER(SEARCH($A95, INDEX(AsistenciaJetAdminConcatenada!$D:$D, MATCH(1, (AsistenciaJetAdminConcatenada!$A:$A=EK$2)*(AsistenciaJetAdminConcatenada!$B:$B=EK$1), 0)), 1))),  0.5, 0))</f>
        <v>0</v>
      </c>
      <c r="EL95" s="47">
        <f t="array" ref="EL95">IF(AND(ISNUMBER(MATCH(EL$2, AsistenciaJetAdminConcatenada!$A:$A, 0)), ISNUMBER(MATCH(EL$1, AsistenciaJetAdminConcatenada!$B:$B, 0)), ISNUMBER(SEARCH($A95,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ISNUMBER(SEARCH($A95, INDEX(AsistenciaJetAdminConcatenada!$D:$D, MATCH(1, (AsistenciaJetAdminConcatenada!$A:$A=EL$2)*(AsistenciaJetAdminConcatenada!$B:$B=EL$1), 0)), 1))),  0.5, 0))</f>
        <v>0</v>
      </c>
      <c r="EM95" s="47">
        <f t="array" ref="EM95">IF(AND(ISNUMBER(MATCH(EM$2, AsistenciaJetAdminConcatenada!$A:$A, 0)), ISNUMBER(MATCH(EM$1, AsistenciaJetAdminConcatenada!$B:$B, 0)), ISNUMBER(SEARCH($A95,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ISNUMBER(SEARCH($A95, INDEX(AsistenciaJetAdminConcatenada!$D:$D, MATCH(1, (AsistenciaJetAdminConcatenada!$A:$A=EM$2)*(AsistenciaJetAdminConcatenada!$B:$B=EM$1), 0)), 1))),  0.5, 0))</f>
        <v>0</v>
      </c>
      <c r="EN95" s="47">
        <f t="array" ref="EN95">IF(AND(ISNUMBER(MATCH(EN$2, AsistenciaJetAdminConcatenada!$A:$A, 0)), ISNUMBER(MATCH(EN$1, AsistenciaJetAdminConcatenada!$B:$B, 0)), ISNUMBER(SEARCH($A95,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ISNUMBER(SEARCH($A95, INDEX(AsistenciaJetAdminConcatenada!$D:$D, MATCH(1, (AsistenciaJetAdminConcatenada!$A:$A=EN$2)*(AsistenciaJetAdminConcatenada!$B:$B=EN$1), 0)), 1))),  0.5, 0))</f>
        <v>0</v>
      </c>
      <c r="EO95" s="47">
        <f t="array" ref="EO95">IF(AND(ISNUMBER(MATCH(EO$2, AsistenciaJetAdminConcatenada!$A:$A, 0)), ISNUMBER(MATCH(EO$1, AsistenciaJetAdminConcatenada!$B:$B, 0)), ISNUMBER(SEARCH($A95,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ISNUMBER(SEARCH($A95, INDEX(AsistenciaJetAdminConcatenada!$D:$D, MATCH(1, (AsistenciaJetAdminConcatenada!$A:$A=EO$2)*(AsistenciaJetAdminConcatenada!$B:$B=EO$1), 0)), 1))),  0.5, 0))</f>
        <v>0</v>
      </c>
      <c r="EP95" s="47">
        <f t="array" ref="EP95">IF(AND(ISNUMBER(MATCH(EP$2, AsistenciaJetAdminConcatenada!$A:$A, 0)), ISNUMBER(MATCH(EP$1, AsistenciaJetAdminConcatenada!$B:$B, 0)), ISNUMBER(SEARCH($A95,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ISNUMBER(SEARCH($A95, INDEX(AsistenciaJetAdminConcatenada!$D:$D, MATCH(1, (AsistenciaJetAdminConcatenada!$A:$A=EP$2)*(AsistenciaJetAdminConcatenada!$B:$B=EP$1), 0)), 1))),  0.5, 0))</f>
        <v>0</v>
      </c>
      <c r="EQ95" s="47">
        <f t="array" ref="EQ95">IF(AND(ISNUMBER(MATCH(EQ$2, AsistenciaJetAdminConcatenada!$A:$A, 0)), ISNUMBER(MATCH(EQ$1, AsistenciaJetAdminConcatenada!$B:$B, 0)), ISNUMBER(SEARCH($A95,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ISNUMBER(SEARCH($A95, INDEX(AsistenciaJetAdminConcatenada!$D:$D, MATCH(1, (AsistenciaJetAdminConcatenada!$A:$A=EQ$2)*(AsistenciaJetAdminConcatenada!$B:$B=EQ$1), 0)), 1))),  0.5, 0))</f>
        <v>0</v>
      </c>
      <c r="ER95" s="47">
        <f t="array" ref="ER95">IF(AND(ISNUMBER(MATCH(ER$2, AsistenciaJetAdminConcatenada!$A:$A, 0)), ISNUMBER(MATCH(ER$1, AsistenciaJetAdminConcatenada!$B:$B, 0)), ISNUMBER(SEARCH($A95,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ISNUMBER(SEARCH($A95, INDEX(AsistenciaJetAdminConcatenada!$D:$D, MATCH(1, (AsistenciaJetAdminConcatenada!$A:$A=ER$2)*(AsistenciaJetAdminConcatenada!$B:$B=ER$1), 0)), 1))),  0.5, 0))</f>
        <v>0</v>
      </c>
      <c r="ES95" s="47">
        <f t="array" ref="ES95">IF(AND(ISNUMBER(MATCH(ES$2, AsistenciaJetAdminConcatenada!$A:$A, 0)), ISNUMBER(MATCH(ES$1, AsistenciaJetAdminConcatenada!$B:$B, 0)), ISNUMBER(SEARCH($A95,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ISNUMBER(SEARCH($A95, INDEX(AsistenciaJetAdminConcatenada!$D:$D, MATCH(1, (AsistenciaJetAdminConcatenada!$A:$A=ES$2)*(AsistenciaJetAdminConcatenada!$B:$B=ES$1), 0)), 1))),  0.5, 0))</f>
        <v>0</v>
      </c>
      <c r="ET95" s="47">
        <f t="array" ref="ET95">IF(AND(ISNUMBER(MATCH(ET$2, AsistenciaJetAdminConcatenada!$A:$A, 0)), ISNUMBER(MATCH(ET$1, AsistenciaJetAdminConcatenada!$B:$B, 0)), ISNUMBER(SEARCH($A95,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ISNUMBER(SEARCH($A95, INDEX(AsistenciaJetAdminConcatenada!$D:$D, MATCH(1, (AsistenciaJetAdminConcatenada!$A:$A=ET$2)*(AsistenciaJetAdminConcatenada!$B:$B=ET$1), 0)), 1))),  0.5, 0))</f>
        <v>0</v>
      </c>
      <c r="EU95" s="47">
        <f t="array" ref="EU95">IF(AND(ISNUMBER(MATCH(EU$2, AsistenciaJetAdminConcatenada!$A:$A, 0)), ISNUMBER(MATCH(EU$1, AsistenciaJetAdminConcatenada!$B:$B, 0)), ISNUMBER(SEARCH($A95,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ISNUMBER(SEARCH($A95, INDEX(AsistenciaJetAdminConcatenada!$D:$D, MATCH(1, (AsistenciaJetAdminConcatenada!$A:$A=EU$2)*(AsistenciaJetAdminConcatenada!$B:$B=EU$1), 0)), 1))),  0.5, 0))</f>
        <v>0</v>
      </c>
      <c r="EV95" s="47">
        <f t="array" ref="EV95">IF(AND(ISNUMBER(MATCH(EV$2, AsistenciaJetAdminConcatenada!$A:$A, 0)), ISNUMBER(MATCH(EV$1, AsistenciaJetAdminConcatenada!$B:$B, 0)), ISNUMBER(SEARCH($A95,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ISNUMBER(SEARCH($A95, INDEX(AsistenciaJetAdminConcatenada!$D:$D, MATCH(1, (AsistenciaJetAdminConcatenada!$A:$A=EV$2)*(AsistenciaJetAdminConcatenada!$B:$B=EV$1), 0)), 1))),  0.5, 0))</f>
        <v>0</v>
      </c>
      <c r="EW95" s="47">
        <f t="array" ref="EW95">IF(AND(ISNUMBER(MATCH(EW$2, AsistenciaJetAdminConcatenada!$A:$A, 0)), ISNUMBER(MATCH(EW$1, AsistenciaJetAdminConcatenada!$B:$B, 0)), ISNUMBER(SEARCH($A95,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ISNUMBER(SEARCH($A95, INDEX(AsistenciaJetAdminConcatenada!$D:$D, MATCH(1, (AsistenciaJetAdminConcatenada!$A:$A=EW$2)*(AsistenciaJetAdminConcatenada!$B:$B=EW$1), 0)), 1))),  0.5, 0))</f>
        <v>0</v>
      </c>
      <c r="EX95" s="47">
        <f t="array" ref="EX95">IF(AND(ISNUMBER(MATCH(EX$2, AsistenciaJetAdminConcatenada!$A:$A, 0)), ISNUMBER(MATCH(EX$1, AsistenciaJetAdminConcatenada!$B:$B, 0)), ISNUMBER(SEARCH($A95,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ISNUMBER(SEARCH($A95, INDEX(AsistenciaJetAdminConcatenada!$D:$D, MATCH(1, (AsistenciaJetAdminConcatenada!$A:$A=EX$2)*(AsistenciaJetAdminConcatenada!$B:$B=EX$1), 0)), 1))),  0.5, 0))</f>
        <v>0</v>
      </c>
      <c r="EY95" s="47">
        <f t="array" ref="EY95">IF(AND(ISNUMBER(MATCH(EY$2, AsistenciaJetAdminConcatenada!$A:$A, 0)), ISNUMBER(MATCH(EY$1, AsistenciaJetAdminConcatenada!$B:$B, 0)), ISNUMBER(SEARCH($A95,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ISNUMBER(SEARCH($A95, INDEX(AsistenciaJetAdminConcatenada!$D:$D, MATCH(1, (AsistenciaJetAdminConcatenada!$A:$A=EY$2)*(AsistenciaJetAdminConcatenada!$B:$B=EY$1), 0)), 1))),  0.5, 0))</f>
        <v>0</v>
      </c>
      <c r="EZ95" s="47">
        <f t="array" ref="EZ95">IF(AND(ISNUMBER(MATCH(EZ$2, AsistenciaJetAdminConcatenada!$A:$A, 0)), ISNUMBER(MATCH(EZ$1, AsistenciaJetAdminConcatenada!$B:$B, 0)), ISNUMBER(SEARCH($A95,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ISNUMBER(SEARCH($A95, INDEX(AsistenciaJetAdminConcatenada!$D:$D, MATCH(1, (AsistenciaJetAdminConcatenada!$A:$A=EZ$2)*(AsistenciaJetAdminConcatenada!$B:$B=EZ$1), 0)), 1))),  0.5, 0))</f>
        <v>0</v>
      </c>
      <c r="FA95" s="47">
        <f t="array" ref="FA95">IF(AND(ISNUMBER(MATCH(FA$2, AsistenciaJetAdminConcatenada!$A:$A, 0)), ISNUMBER(MATCH(FA$1, AsistenciaJetAdminConcatenada!$B:$B, 0)), ISNUMBER(SEARCH($A95,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ISNUMBER(SEARCH($A95, INDEX(AsistenciaJetAdminConcatenada!$D:$D, MATCH(1, (AsistenciaJetAdminConcatenada!$A:$A=FA$2)*(AsistenciaJetAdminConcatenada!$B:$B=FA$1), 0)), 1))),  0.5, 0))</f>
        <v>0</v>
      </c>
      <c r="FB95" s="47">
        <f t="array" ref="FB95">IF(AND(ISNUMBER(MATCH(FB$2, AsistenciaJetAdminConcatenada!$A:$A, 0)), ISNUMBER(MATCH(FB$1, AsistenciaJetAdminConcatenada!$B:$B, 0)), ISNUMBER(SEARCH($A95,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ISNUMBER(SEARCH($A95, INDEX(AsistenciaJetAdminConcatenada!$D:$D, MATCH(1, (AsistenciaJetAdminConcatenada!$A:$A=FB$2)*(AsistenciaJetAdminConcatenada!$B:$B=FB$1), 0)), 1))),  0.5, 0))</f>
        <v>0</v>
      </c>
      <c r="FC95" s="47">
        <f t="array" ref="FC95">IF(AND(ISNUMBER(MATCH(FC$2, AsistenciaJetAdminConcatenada!$A:$A, 0)), ISNUMBER(MATCH(FC$1, AsistenciaJetAdminConcatenada!$B:$B, 0)), ISNUMBER(SEARCH($A95,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ISNUMBER(SEARCH($A95, INDEX(AsistenciaJetAdminConcatenada!$D:$D, MATCH(1, (AsistenciaJetAdminConcatenada!$A:$A=FC$2)*(AsistenciaJetAdminConcatenada!$B:$B=FC$1), 0)), 1))),  0.5, 0))</f>
        <v>0</v>
      </c>
      <c r="FD95" s="47">
        <f t="array" ref="FD95">IF(AND(ISNUMBER(MATCH(FD$2, AsistenciaJetAdminConcatenada!$A:$A, 0)), ISNUMBER(MATCH(FD$1, AsistenciaJetAdminConcatenada!$B:$B, 0)), ISNUMBER(SEARCH($A95,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ISNUMBER(SEARCH($A95, INDEX(AsistenciaJetAdminConcatenada!$D:$D, MATCH(1, (AsistenciaJetAdminConcatenada!$A:$A=FD$2)*(AsistenciaJetAdminConcatenada!$B:$B=FD$1), 0)), 1))),  0.5, 0))</f>
        <v>0</v>
      </c>
      <c r="FE95" s="47">
        <f t="array" ref="FE95">IF(AND(ISNUMBER(MATCH(FE$2, AsistenciaJetAdminConcatenada!$A:$A, 0)), ISNUMBER(MATCH(FE$1, AsistenciaJetAdminConcatenada!$B:$B, 0)), ISNUMBER(SEARCH($A95,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ISNUMBER(SEARCH($A95, INDEX(AsistenciaJetAdminConcatenada!$D:$D, MATCH(1, (AsistenciaJetAdminConcatenada!$A:$A=FE$2)*(AsistenciaJetAdminConcatenada!$B:$B=FE$1), 0)), 1))),  0.5, 0))</f>
        <v>0</v>
      </c>
      <c r="FF95" s="47">
        <f t="array" ref="FF95">IF(AND(ISNUMBER(MATCH(FF$2, AsistenciaJetAdminConcatenada!$A:$A, 0)), ISNUMBER(MATCH(FF$1, AsistenciaJetAdminConcatenada!$B:$B, 0)), ISNUMBER(SEARCH($A95,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ISNUMBER(SEARCH($A95, INDEX(AsistenciaJetAdminConcatenada!$D:$D, MATCH(1, (AsistenciaJetAdminConcatenada!$A:$A=FF$2)*(AsistenciaJetAdminConcatenada!$B:$B=FF$1), 0)), 1))),  0.5, 0))</f>
        <v>0</v>
      </c>
      <c r="FG95" s="47">
        <f t="array" ref="FG95">IF(AND(ISNUMBER(MATCH(FG$2, AsistenciaJetAdminConcatenada!$A:$A, 0)), ISNUMBER(MATCH(FG$1, AsistenciaJetAdminConcatenada!$B:$B, 0)), ISNUMBER(SEARCH($A95,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ISNUMBER(SEARCH($A95, INDEX(AsistenciaJetAdminConcatenada!$D:$D, MATCH(1, (AsistenciaJetAdminConcatenada!$A:$A=FG$2)*(AsistenciaJetAdminConcatenada!$B:$B=FG$1), 0)), 1))),  0.5, 0))</f>
        <v>0</v>
      </c>
      <c r="FH95" s="47">
        <f t="array" ref="FH95">IF(AND(ISNUMBER(MATCH(FH$2, AsistenciaJetAdminConcatenada!$A:$A, 0)), ISNUMBER(MATCH(FH$1, AsistenciaJetAdminConcatenada!$B:$B, 0)), ISNUMBER(SEARCH($A95,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ISNUMBER(SEARCH($A95, INDEX(AsistenciaJetAdminConcatenada!$D:$D, MATCH(1, (AsistenciaJetAdminConcatenada!$A:$A=FH$2)*(AsistenciaJetAdminConcatenada!$B:$B=FH$1), 0)), 1))),  0.5, 0))</f>
        <v>0</v>
      </c>
      <c r="FI95" s="47">
        <f t="array" ref="FI95">IF(AND(ISNUMBER(MATCH(FI$2, AsistenciaJetAdminConcatenada!$A:$A, 0)), ISNUMBER(MATCH(FI$1, AsistenciaJetAdminConcatenada!$B:$B, 0)), ISNUMBER(SEARCH($A95,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ISNUMBER(SEARCH($A95, INDEX(AsistenciaJetAdminConcatenada!$D:$D, MATCH(1, (AsistenciaJetAdminConcatenada!$A:$A=FI$2)*(AsistenciaJetAdminConcatenada!$B:$B=FI$1), 0)), 1))),  0.5, 0))</f>
        <v>0</v>
      </c>
      <c r="FJ95" s="47">
        <f t="array" ref="FJ95">IF(AND(ISNUMBER(MATCH(FJ$2, AsistenciaJetAdminConcatenada!$A:$A, 0)), ISNUMBER(MATCH(FJ$1, AsistenciaJetAdminConcatenada!$B:$B, 0)), ISNUMBER(SEARCH($A95,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ISNUMBER(SEARCH($A95, INDEX(AsistenciaJetAdminConcatenada!$D:$D, MATCH(1, (AsistenciaJetAdminConcatenada!$A:$A=FJ$2)*(AsistenciaJetAdminConcatenada!$B:$B=FJ$1), 0)), 1))),  0.5, 0))</f>
        <v>0</v>
      </c>
      <c r="FK95" s="47">
        <f t="array" ref="FK95">IF(AND(ISNUMBER(MATCH(FK$2, AsistenciaJetAdminConcatenada!$A:$A, 0)), ISNUMBER(MATCH(FK$1, AsistenciaJetAdminConcatenada!$B:$B, 0)), ISNUMBER(SEARCH($A95,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ISNUMBER(SEARCH($A95, INDEX(AsistenciaJetAdminConcatenada!$D:$D, MATCH(1, (AsistenciaJetAdminConcatenada!$A:$A=FK$2)*(AsistenciaJetAdminConcatenada!$B:$B=FK$1), 0)), 1))),  0.5, 0))</f>
        <v>0</v>
      </c>
      <c r="FL95" s="47">
        <f t="array" ref="FL95">IF(AND(ISNUMBER(MATCH(FL$2, AsistenciaJetAdminConcatenada!$A:$A, 0)), ISNUMBER(MATCH(FL$1, AsistenciaJetAdminConcatenada!$B:$B, 0)), ISNUMBER(SEARCH($A95,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ISNUMBER(SEARCH($A95, INDEX(AsistenciaJetAdminConcatenada!$D:$D, MATCH(1, (AsistenciaJetAdminConcatenada!$A:$A=FL$2)*(AsistenciaJetAdminConcatenada!$B:$B=FL$1), 0)), 1))),  0.5, 0))</f>
        <v>0</v>
      </c>
      <c r="FM95" s="47">
        <f t="array" ref="FM95">IF(AND(ISNUMBER(MATCH(FM$2, AsistenciaJetAdminConcatenada!$A:$A, 0)), ISNUMBER(MATCH(FM$1, AsistenciaJetAdminConcatenada!$B:$B, 0)), ISNUMBER(SEARCH($A95,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ISNUMBER(SEARCH($A95, INDEX(AsistenciaJetAdminConcatenada!$D:$D, MATCH(1, (AsistenciaJetAdminConcatenada!$A:$A=FM$2)*(AsistenciaJetAdminConcatenada!$B:$B=FM$1), 0)), 1))),  0.5, 0))</f>
        <v>0</v>
      </c>
      <c r="FN95" s="47">
        <f t="array" ref="FN95">IF(AND(ISNUMBER(MATCH(FN$2, AsistenciaJetAdminConcatenada!$A:$A, 0)), ISNUMBER(MATCH(FN$1, AsistenciaJetAdminConcatenada!$B:$B, 0)), ISNUMBER(SEARCH($A95,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ISNUMBER(SEARCH($A95, INDEX(AsistenciaJetAdminConcatenada!$D:$D, MATCH(1, (AsistenciaJetAdminConcatenada!$A:$A=FN$2)*(AsistenciaJetAdminConcatenada!$B:$B=FN$1), 0)), 1))),  0.5, 0))</f>
        <v>0</v>
      </c>
      <c r="FO95" s="47">
        <f t="array" ref="FO95">IF(AND(ISNUMBER(MATCH(FO$2, AsistenciaJetAdminConcatenada!$A:$A, 0)), ISNUMBER(MATCH(FO$1, AsistenciaJetAdminConcatenada!$B:$B, 0)), ISNUMBER(SEARCH($A95,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ISNUMBER(SEARCH($A95, INDEX(AsistenciaJetAdminConcatenada!$D:$D, MATCH(1, (AsistenciaJetAdminConcatenada!$A:$A=FO$2)*(AsistenciaJetAdminConcatenada!$B:$B=FO$1), 0)), 1))),  0.5, 0))</f>
        <v>0</v>
      </c>
      <c r="FP95" s="47">
        <f t="array" ref="FP95">IF(AND(ISNUMBER(MATCH(FP$2, AsistenciaJetAdminConcatenada!$A:$A, 0)), ISNUMBER(MATCH(FP$1, AsistenciaJetAdminConcatenada!$B:$B, 0)), ISNUMBER(SEARCH($A95,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ISNUMBER(SEARCH($A95, INDEX(AsistenciaJetAdminConcatenada!$D:$D, MATCH(1, (AsistenciaJetAdminConcatenada!$A:$A=FP$2)*(AsistenciaJetAdminConcatenada!$B:$B=FP$1), 0)), 1))),  0.5, 0))</f>
        <v>0</v>
      </c>
      <c r="FQ95" s="47">
        <f t="array" ref="FQ95">IF(AND(ISNUMBER(MATCH(FQ$2, AsistenciaJetAdminConcatenada!$A:$A, 0)), ISNUMBER(MATCH(FQ$1, AsistenciaJetAdminConcatenada!$B:$B, 0)), ISNUMBER(SEARCH($A95,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ISNUMBER(SEARCH($A95, INDEX(AsistenciaJetAdminConcatenada!$D:$D, MATCH(1, (AsistenciaJetAdminConcatenada!$A:$A=FQ$2)*(AsistenciaJetAdminConcatenada!$B:$B=FQ$1), 0)), 1))),  0.5, 0))</f>
        <v>0</v>
      </c>
      <c r="FR95" s="47">
        <f t="array" ref="FR95">IF(AND(ISNUMBER(MATCH(FR$2, AsistenciaJetAdminConcatenada!$A:$A, 0)), ISNUMBER(MATCH(FR$1, AsistenciaJetAdminConcatenada!$B:$B, 0)), ISNUMBER(SEARCH($A95,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ISNUMBER(SEARCH($A95, INDEX(AsistenciaJetAdminConcatenada!$D:$D, MATCH(1, (AsistenciaJetAdminConcatenada!$A:$A=FR$2)*(AsistenciaJetAdminConcatenada!$B:$B=FR$1), 0)), 1))),  0.5, 0))</f>
        <v>0</v>
      </c>
      <c r="FS95" s="47">
        <f t="array" ref="FS95">IF(AND(ISNUMBER(MATCH(FS$2, AsistenciaJetAdminConcatenada!$A:$A, 0)), ISNUMBER(MATCH(FS$1, AsistenciaJetAdminConcatenada!$B:$B, 0)), ISNUMBER(SEARCH($A95,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ISNUMBER(SEARCH($A95, INDEX(AsistenciaJetAdminConcatenada!$D:$D, MATCH(1, (AsistenciaJetAdminConcatenada!$A:$A=FS$2)*(AsistenciaJetAdminConcatenada!$B:$B=FS$1), 0)), 1))),  0.5, 0))</f>
        <v>0</v>
      </c>
      <c r="FT95" s="47">
        <f t="array" ref="FT95">IF(AND(ISNUMBER(MATCH(FT$2, AsistenciaJetAdminConcatenada!$A:$A, 0)), ISNUMBER(MATCH(FT$1, AsistenciaJetAdminConcatenada!$B:$B, 0)), ISNUMBER(SEARCH($A95,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ISNUMBER(SEARCH($A95, INDEX(AsistenciaJetAdminConcatenada!$D:$D, MATCH(1, (AsistenciaJetAdminConcatenada!$A:$A=FT$2)*(AsistenciaJetAdminConcatenada!$B:$B=FT$1), 0)), 1))),  0.5, 0))</f>
        <v>0</v>
      </c>
      <c r="FU95" s="47">
        <f t="array" ref="FU95">IF(AND(ISNUMBER(MATCH(FU$2, AsistenciaJetAdminConcatenada!$A:$A, 0)), ISNUMBER(MATCH(FU$1, AsistenciaJetAdminConcatenada!$B:$B, 0)), ISNUMBER(SEARCH($A95,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ISNUMBER(SEARCH($A95, INDEX(AsistenciaJetAdminConcatenada!$D:$D, MATCH(1, (AsistenciaJetAdminConcatenada!$A:$A=FU$2)*(AsistenciaJetAdminConcatenada!$B:$B=FU$1), 0)), 1))),  0.5, 0))</f>
        <v>0</v>
      </c>
      <c r="FV95" s="47">
        <f t="array" ref="FV95">IF(AND(ISNUMBER(MATCH(FV$2, AsistenciaJetAdminConcatenada!$A:$A, 0)), ISNUMBER(MATCH(FV$1, AsistenciaJetAdminConcatenada!$B:$B, 0)), ISNUMBER(SEARCH($A95,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ISNUMBER(SEARCH($A95, INDEX(AsistenciaJetAdminConcatenada!$D:$D, MATCH(1, (AsistenciaJetAdminConcatenada!$A:$A=FV$2)*(AsistenciaJetAdminConcatenada!$B:$B=FV$1), 0)), 1))),  0.5, 0))</f>
        <v>0</v>
      </c>
      <c r="FW95" s="47">
        <f t="array" ref="FW95">IF(AND(ISNUMBER(MATCH(FW$2, AsistenciaJetAdminConcatenada!$A:$A, 0)), ISNUMBER(MATCH(FW$1, AsistenciaJetAdminConcatenada!$B:$B, 0)), ISNUMBER(SEARCH($A95,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ISNUMBER(SEARCH($A95, INDEX(AsistenciaJetAdminConcatenada!$D:$D, MATCH(1, (AsistenciaJetAdminConcatenada!$A:$A=FW$2)*(AsistenciaJetAdminConcatenada!$B:$B=FW$1), 0)), 1))),  0.5, 0))</f>
        <v>0</v>
      </c>
      <c r="FX95" s="47">
        <f t="array" ref="FX95">IF(AND(ISNUMBER(MATCH(FX$2, AsistenciaJetAdminConcatenada!$A:$A, 0)), ISNUMBER(MATCH(FX$1, AsistenciaJetAdminConcatenada!$B:$B, 0)), ISNUMBER(SEARCH($A95,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ISNUMBER(SEARCH($A95, INDEX(AsistenciaJetAdminConcatenada!$D:$D, MATCH(1, (AsistenciaJetAdminConcatenada!$A:$A=FX$2)*(AsistenciaJetAdminConcatenada!$B:$B=FX$1), 0)), 1))),  0.5, 0))</f>
        <v>0</v>
      </c>
      <c r="FY95" s="47">
        <f t="array" ref="FY95">IF(AND(ISNUMBER(MATCH(FY$2, AsistenciaJetAdminConcatenada!$A:$A, 0)), ISNUMBER(MATCH(FY$1, AsistenciaJetAdminConcatenada!$B:$B, 0)), ISNUMBER(SEARCH($A95,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ISNUMBER(SEARCH($A95, INDEX(AsistenciaJetAdminConcatenada!$D:$D, MATCH(1, (AsistenciaJetAdminConcatenada!$A:$A=FY$2)*(AsistenciaJetAdminConcatenada!$B:$B=FY$1), 0)), 1))),  0.5, 0))</f>
        <v>0</v>
      </c>
      <c r="FZ95" s="47">
        <f t="array" ref="FZ95">IF(AND(ISNUMBER(MATCH(FZ$2, AsistenciaJetAdminConcatenada!$A:$A, 0)), ISNUMBER(MATCH(FZ$1, AsistenciaJetAdminConcatenada!$B:$B, 0)), ISNUMBER(SEARCH($A95,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ISNUMBER(SEARCH($A95, INDEX(AsistenciaJetAdminConcatenada!$D:$D, MATCH(1, (AsistenciaJetAdminConcatenada!$A:$A=FZ$2)*(AsistenciaJetAdminConcatenada!$B:$B=FZ$1), 0)), 1))),  0.5, 0))</f>
        <v>0</v>
      </c>
      <c r="GA95" s="47">
        <f t="array" ref="GA95">IF(AND(ISNUMBER(MATCH(GA$2, AsistenciaJetAdminConcatenada!$A:$A, 0)), ISNUMBER(MATCH(GA$1, AsistenciaJetAdminConcatenada!$B:$B, 0)), ISNUMBER(SEARCH($A95,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ISNUMBER(SEARCH($A95, INDEX(AsistenciaJetAdminConcatenada!$D:$D, MATCH(1, (AsistenciaJetAdminConcatenada!$A:$A=GA$2)*(AsistenciaJetAdminConcatenada!$B:$B=GA$1), 0)), 1))),  0.5, 0))</f>
        <v>0</v>
      </c>
      <c r="GB95" s="47">
        <f t="array" ref="GB95">IF(AND(ISNUMBER(MATCH(GB$2, AsistenciaJetAdminConcatenada!$A:$A, 0)), ISNUMBER(MATCH(GB$1, AsistenciaJetAdminConcatenada!$B:$B, 0)), ISNUMBER(SEARCH($A95,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ISNUMBER(SEARCH($A95, INDEX(AsistenciaJetAdminConcatenada!$D:$D, MATCH(1, (AsistenciaJetAdminConcatenada!$A:$A=GB$2)*(AsistenciaJetAdminConcatenada!$B:$B=GB$1), 0)), 1))),  0.5, 0))</f>
        <v>0</v>
      </c>
      <c r="GC95" s="47">
        <f t="array" ref="GC95">IF(AND(ISNUMBER(MATCH(GC$2, AsistenciaJetAdminConcatenada!$A:$A, 0)), ISNUMBER(MATCH(GC$1, AsistenciaJetAdminConcatenada!$B:$B, 0)), ISNUMBER(SEARCH($A95,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ISNUMBER(SEARCH($A95, INDEX(AsistenciaJetAdminConcatenada!$D:$D, MATCH(1, (AsistenciaJetAdminConcatenada!$A:$A=GC$2)*(AsistenciaJetAdminConcatenada!$B:$B=GC$1), 0)), 1))),  0.5, 0))</f>
        <v>0</v>
      </c>
      <c r="GD95" s="47">
        <f t="array" ref="GD95">IF(AND(ISNUMBER(MATCH(GD$2, AsistenciaJetAdminConcatenada!$A:$A, 0)), ISNUMBER(MATCH(GD$1, AsistenciaJetAdminConcatenada!$B:$B, 0)), ISNUMBER(SEARCH($A95,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ISNUMBER(SEARCH($A95, INDEX(AsistenciaJetAdminConcatenada!$D:$D, MATCH(1, (AsistenciaJetAdminConcatenada!$A:$A=GD$2)*(AsistenciaJetAdminConcatenada!$B:$B=GD$1), 0)), 1))),  0.5, 0))</f>
        <v>0</v>
      </c>
      <c r="GE95" s="47">
        <f t="array" ref="GE95">IF(AND(ISNUMBER(MATCH(GE$2, AsistenciaJetAdminConcatenada!$A:$A, 0)), ISNUMBER(MATCH(GE$1, AsistenciaJetAdminConcatenada!$B:$B, 0)), ISNUMBER(SEARCH($A95,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ISNUMBER(SEARCH($A95, INDEX(AsistenciaJetAdminConcatenada!$D:$D, MATCH(1, (AsistenciaJetAdminConcatenada!$A:$A=GE$2)*(AsistenciaJetAdminConcatenada!$B:$B=GE$1), 0)), 1))),  0.5, 0))</f>
        <v>0</v>
      </c>
      <c r="GF95" s="47">
        <f t="array" ref="GF95">IF(AND(ISNUMBER(MATCH(GF$2, AsistenciaJetAdminConcatenada!$A:$A, 0)), ISNUMBER(MATCH(GF$1, AsistenciaJetAdminConcatenada!$B:$B, 0)), ISNUMBER(SEARCH($A95,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ISNUMBER(SEARCH($A95, INDEX(AsistenciaJetAdminConcatenada!$D:$D, MATCH(1, (AsistenciaJetAdminConcatenada!$A:$A=GF$2)*(AsistenciaJetAdminConcatenada!$B:$B=GF$1), 0)), 1))),  0.5, 0))</f>
        <v>0</v>
      </c>
      <c r="GG95" s="47">
        <f t="array" ref="GG95">IF(AND(ISNUMBER(MATCH(GG$2, AsistenciaJetAdminConcatenada!$A:$A, 0)), ISNUMBER(MATCH(GG$1, AsistenciaJetAdminConcatenada!$B:$B, 0)), ISNUMBER(SEARCH($A95,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ISNUMBER(SEARCH($A95, INDEX(AsistenciaJetAdminConcatenada!$D:$D, MATCH(1, (AsistenciaJetAdminConcatenada!$A:$A=GG$2)*(AsistenciaJetAdminConcatenada!$B:$B=GG$1), 0)), 1))),  0.5, 0))</f>
        <v>0</v>
      </c>
      <c r="GH95" s="47">
        <f t="array" ref="GH95">IF(AND(ISNUMBER(MATCH(GH$2, AsistenciaJetAdminConcatenada!$A:$A, 0)), ISNUMBER(MATCH(GH$1, AsistenciaJetAdminConcatenada!$B:$B, 0)), ISNUMBER(SEARCH($A95,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ISNUMBER(SEARCH($A95, INDEX(AsistenciaJetAdminConcatenada!$D:$D, MATCH(1, (AsistenciaJetAdminConcatenada!$A:$A=GH$2)*(AsistenciaJetAdminConcatenada!$B:$B=GH$1), 0)), 1))),  0.5, 0))</f>
        <v>0</v>
      </c>
      <c r="GI95" s="47">
        <f t="array" ref="GI95">IF(AND(ISNUMBER(MATCH(GI$2, AsistenciaJetAdminConcatenada!$A:$A, 0)), ISNUMBER(MATCH(GI$1, AsistenciaJetAdminConcatenada!$B:$B, 0)), ISNUMBER(SEARCH($A95,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ISNUMBER(SEARCH($A95, INDEX(AsistenciaJetAdminConcatenada!$D:$D, MATCH(1, (AsistenciaJetAdminConcatenada!$A:$A=GI$2)*(AsistenciaJetAdminConcatenada!$B:$B=GI$1), 0)), 1))),  0.5, 0))</f>
        <v>0</v>
      </c>
      <c r="GJ95" s="47">
        <f t="array" ref="GJ95">IF(AND(ISNUMBER(MATCH(GJ$2, AsistenciaJetAdminConcatenada!$A:$A, 0)), ISNUMBER(MATCH(GJ$1, AsistenciaJetAdminConcatenada!$B:$B, 0)), ISNUMBER(SEARCH($A95,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ISNUMBER(SEARCH($A95, INDEX(AsistenciaJetAdminConcatenada!$D:$D, MATCH(1, (AsistenciaJetAdminConcatenada!$A:$A=GJ$2)*(AsistenciaJetAdminConcatenada!$B:$B=GJ$1), 0)), 1))),  0.5, 0))</f>
        <v>0</v>
      </c>
      <c r="GK95" s="47">
        <f t="array" ref="GK95">IF(AND(ISNUMBER(MATCH(GK$2, AsistenciaJetAdminConcatenada!$A:$A, 0)), ISNUMBER(MATCH(GK$1, AsistenciaJetAdminConcatenada!$B:$B, 0)), ISNUMBER(SEARCH($A95,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ISNUMBER(SEARCH($A95, INDEX(AsistenciaJetAdminConcatenada!$D:$D, MATCH(1, (AsistenciaJetAdminConcatenada!$A:$A=GK$2)*(AsistenciaJetAdminConcatenada!$B:$B=GK$1), 0)), 1))),  0.5, 0))</f>
        <v>0</v>
      </c>
      <c r="GL95" s="47">
        <f t="array" ref="GL95">IF(AND(ISNUMBER(MATCH(GL$2, AsistenciaJetAdminConcatenada!$A:$A, 0)), ISNUMBER(MATCH(GL$1, AsistenciaJetAdminConcatenada!$B:$B, 0)), ISNUMBER(SEARCH($A95,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ISNUMBER(SEARCH($A95, INDEX(AsistenciaJetAdminConcatenada!$D:$D, MATCH(1, (AsistenciaJetAdminConcatenada!$A:$A=GL$2)*(AsistenciaJetAdminConcatenada!$B:$B=GL$1), 0)), 1))),  0.5, 0))</f>
        <v>0</v>
      </c>
      <c r="GM95" s="47">
        <f t="array" ref="GM95">IF(AND(ISNUMBER(MATCH(GM$2, AsistenciaJetAdminConcatenada!$A:$A, 0)), ISNUMBER(MATCH(GM$1, AsistenciaJetAdminConcatenada!$B:$B, 0)), ISNUMBER(SEARCH($A95,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ISNUMBER(SEARCH($A95, INDEX(AsistenciaJetAdminConcatenada!$D:$D, MATCH(1, (AsistenciaJetAdminConcatenada!$A:$A=GM$2)*(AsistenciaJetAdminConcatenada!$B:$B=GM$1), 0)), 1))),  0.5, 0))</f>
        <v>0</v>
      </c>
      <c r="GN95" s="47">
        <f t="array" ref="GN95">IF(AND(ISNUMBER(MATCH(GN$2, AsistenciaJetAdminConcatenada!$A:$A, 0)), ISNUMBER(MATCH(GN$1, AsistenciaJetAdminConcatenada!$B:$B, 0)), ISNUMBER(SEARCH($A95,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ISNUMBER(SEARCH($A95, INDEX(AsistenciaJetAdminConcatenada!$D:$D, MATCH(1, (AsistenciaJetAdminConcatenada!$A:$A=GN$2)*(AsistenciaJetAdminConcatenada!$B:$B=GN$1), 0)), 1))),  0.5, 0))</f>
        <v>0</v>
      </c>
      <c r="GO95" s="47">
        <f t="array" ref="GO95">IF(AND(ISNUMBER(MATCH(GO$2, AsistenciaJetAdminConcatenada!$A:$A, 0)), ISNUMBER(MATCH(GO$1, AsistenciaJetAdminConcatenada!$B:$B, 0)), ISNUMBER(SEARCH($A95,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ISNUMBER(SEARCH($A95, INDEX(AsistenciaJetAdminConcatenada!$D:$D, MATCH(1, (AsistenciaJetAdminConcatenada!$A:$A=GO$2)*(AsistenciaJetAdminConcatenada!$B:$B=GO$1), 0)), 1))),  0.5, 0))</f>
        <v>0</v>
      </c>
      <c r="GP95" s="47">
        <f t="array" ref="GP95">IF(AND(ISNUMBER(MATCH(GP$2, AsistenciaJetAdminConcatenada!$A:$A, 0)), ISNUMBER(MATCH(GP$1, AsistenciaJetAdminConcatenada!$B:$B, 0)), ISNUMBER(SEARCH($A95,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ISNUMBER(SEARCH($A95, INDEX(AsistenciaJetAdminConcatenada!$D:$D, MATCH(1, (AsistenciaJetAdminConcatenada!$A:$A=GP$2)*(AsistenciaJetAdminConcatenada!$B:$B=GP$1), 0)), 1))),  0.5, 0))</f>
        <v>0</v>
      </c>
      <c r="GQ95" s="47">
        <f t="array" ref="GQ95">IF(AND(ISNUMBER(MATCH(GQ$2, AsistenciaJetAdminConcatenada!$A:$A, 0)), ISNUMBER(MATCH(GQ$1, AsistenciaJetAdminConcatenada!$B:$B, 0)), ISNUMBER(SEARCH($A95,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ISNUMBER(SEARCH($A95, INDEX(AsistenciaJetAdminConcatenada!$D:$D, MATCH(1, (AsistenciaJetAdminConcatenada!$A:$A=GQ$2)*(AsistenciaJetAdminConcatenada!$B:$B=GQ$1), 0)), 1))),  0.5, 0))</f>
        <v>0</v>
      </c>
      <c r="GR95" s="47">
        <f t="array" ref="GR95">IF(AND(ISNUMBER(MATCH(GR$2, AsistenciaJetAdminConcatenada!$A:$A, 0)), ISNUMBER(MATCH(GR$1, AsistenciaJetAdminConcatenada!$B:$B, 0)), ISNUMBER(SEARCH($A95,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ISNUMBER(SEARCH($A95, INDEX(AsistenciaJetAdminConcatenada!$D:$D, MATCH(1, (AsistenciaJetAdminConcatenada!$A:$A=GR$2)*(AsistenciaJetAdminConcatenada!$B:$B=GR$1), 0)), 1))),  0.5, 0))</f>
        <v>0</v>
      </c>
      <c r="GS95" s="47">
        <f t="array" ref="GS95">IF(AND(ISNUMBER(MATCH(GS$2, AsistenciaJetAdminConcatenada!$A:$A, 0)), ISNUMBER(MATCH(GS$1, AsistenciaJetAdminConcatenada!$B:$B, 0)), ISNUMBER(SEARCH($A95,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ISNUMBER(SEARCH($A95, INDEX(AsistenciaJetAdminConcatenada!$D:$D, MATCH(1, (AsistenciaJetAdminConcatenada!$A:$A=GS$2)*(AsistenciaJetAdminConcatenada!$B:$B=GS$1), 0)), 1))),  0.5, 0))</f>
        <v>0</v>
      </c>
      <c r="GT95" s="47">
        <f t="array" ref="GT95">IF(AND(ISNUMBER(MATCH(GT$2, AsistenciaJetAdminConcatenada!$A:$A, 0)), ISNUMBER(MATCH(GT$1, AsistenciaJetAdminConcatenada!$B:$B, 0)), ISNUMBER(SEARCH($A95,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ISNUMBER(SEARCH($A95, INDEX(AsistenciaJetAdminConcatenada!$D:$D, MATCH(1, (AsistenciaJetAdminConcatenada!$A:$A=GT$2)*(AsistenciaJetAdminConcatenada!$B:$B=GT$1), 0)), 1))),  0.5, 0))</f>
        <v>0</v>
      </c>
      <c r="GU95" s="47">
        <f t="array" ref="GU95">IF(AND(ISNUMBER(MATCH(GU$2, AsistenciaJetAdminConcatenada!$A:$A, 0)), ISNUMBER(MATCH(GU$1, AsistenciaJetAdminConcatenada!$B:$B, 0)), ISNUMBER(SEARCH($A95,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ISNUMBER(SEARCH($A95, INDEX(AsistenciaJetAdminConcatenada!$D:$D, MATCH(1, (AsistenciaJetAdminConcatenada!$A:$A=GU$2)*(AsistenciaJetAdminConcatenada!$B:$B=GU$1), 0)), 1))),  0.5, 0))</f>
        <v>0</v>
      </c>
      <c r="GV95" s="47">
        <f t="array" ref="GV95">IF(AND(ISNUMBER(MATCH(GV$2, AsistenciaJetAdminConcatenada!$A:$A, 0)), ISNUMBER(MATCH(GV$1, AsistenciaJetAdminConcatenada!$B:$B, 0)), ISNUMBER(SEARCH($A95,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ISNUMBER(SEARCH($A95, INDEX(AsistenciaJetAdminConcatenada!$D:$D, MATCH(1, (AsistenciaJetAdminConcatenada!$A:$A=GV$2)*(AsistenciaJetAdminConcatenada!$B:$B=GV$1), 0)), 1))),  0.5, 0))</f>
        <v>0</v>
      </c>
      <c r="GW95" s="47">
        <f t="array" ref="GW95">IF(AND(ISNUMBER(MATCH(GW$2, AsistenciaJetAdminConcatenada!$A:$A, 0)), ISNUMBER(MATCH(GW$1, AsistenciaJetAdminConcatenada!$B:$B, 0)), ISNUMBER(SEARCH($A95,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ISNUMBER(SEARCH($A95, INDEX(AsistenciaJetAdminConcatenada!$D:$D, MATCH(1, (AsistenciaJetAdminConcatenada!$A:$A=GW$2)*(AsistenciaJetAdminConcatenada!$B:$B=GW$1), 0)), 1))),  0.5, 0))</f>
        <v>0</v>
      </c>
      <c r="GX95" s="47">
        <f t="array" ref="GX95">IF(AND(ISNUMBER(MATCH(GX$2, AsistenciaJetAdminConcatenada!$A:$A, 0)), ISNUMBER(MATCH(GX$1, AsistenciaJetAdminConcatenada!$B:$B, 0)), ISNUMBER(SEARCH($A95,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ISNUMBER(SEARCH($A95, INDEX(AsistenciaJetAdminConcatenada!$D:$D, MATCH(1, (AsistenciaJetAdminConcatenada!$A:$A=GX$2)*(AsistenciaJetAdminConcatenada!$B:$B=GX$1), 0)), 1))),  0.5, 0))</f>
        <v>0</v>
      </c>
      <c r="GY95" s="47">
        <f t="array" ref="GY95">IF(AND(ISNUMBER(MATCH(GY$2, AsistenciaJetAdminConcatenada!$A:$A, 0)), ISNUMBER(MATCH(GY$1, AsistenciaJetAdminConcatenada!$B:$B, 0)), ISNUMBER(SEARCH($A95,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ISNUMBER(SEARCH($A95, INDEX(AsistenciaJetAdminConcatenada!$D:$D, MATCH(1, (AsistenciaJetAdminConcatenada!$A:$A=GY$2)*(AsistenciaJetAdminConcatenada!$B:$B=GY$1), 0)), 1))),  0.5, 0))</f>
        <v>0</v>
      </c>
      <c r="GZ95" s="47">
        <f t="array" ref="GZ95">IF(AND(ISNUMBER(MATCH(GZ$2, AsistenciaJetAdminConcatenada!$A:$A, 0)), ISNUMBER(MATCH(GZ$1, AsistenciaJetAdminConcatenada!$B:$B, 0)), ISNUMBER(SEARCH($A95,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ISNUMBER(SEARCH($A95, INDEX(AsistenciaJetAdminConcatenada!$D:$D, MATCH(1, (AsistenciaJetAdminConcatenada!$A:$A=GZ$2)*(AsistenciaJetAdminConcatenada!$B:$B=GZ$1), 0)), 1))),  0.5, 0))</f>
        <v>0</v>
      </c>
      <c r="HA95" s="47">
        <f t="array" ref="HA95">IF(AND(ISNUMBER(MATCH(HA$2, AsistenciaJetAdminConcatenada!$A:$A, 0)), ISNUMBER(MATCH(HA$1, AsistenciaJetAdminConcatenada!$B:$B, 0)), ISNUMBER(SEARCH($A95,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ISNUMBER(SEARCH($A95, INDEX(AsistenciaJetAdminConcatenada!$D:$D, MATCH(1, (AsistenciaJetAdminConcatenada!$A:$A=HA$2)*(AsistenciaJetAdminConcatenada!$B:$B=HA$1), 0)), 1))),  0.5, 0))</f>
        <v>0</v>
      </c>
      <c r="HB95" s="47">
        <f t="array" ref="HB95">IF(AND(ISNUMBER(MATCH(HB$2, AsistenciaJetAdminConcatenada!$A:$A, 0)), ISNUMBER(MATCH(HB$1, AsistenciaJetAdminConcatenada!$B:$B, 0)), ISNUMBER(SEARCH($A95,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ISNUMBER(SEARCH($A95, INDEX(AsistenciaJetAdminConcatenada!$D:$D, MATCH(1, (AsistenciaJetAdminConcatenada!$A:$A=HB$2)*(AsistenciaJetAdminConcatenada!$B:$B=HB$1), 0)), 1))),  0.5, 0))</f>
        <v>0</v>
      </c>
      <c r="HC95" s="47">
        <f t="array" ref="HC95">IF(AND(ISNUMBER(MATCH(HC$2, AsistenciaJetAdminConcatenada!$A:$A, 0)), ISNUMBER(MATCH(HC$1, AsistenciaJetAdminConcatenada!$B:$B, 0)), ISNUMBER(SEARCH($A95,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ISNUMBER(SEARCH($A95, INDEX(AsistenciaJetAdminConcatenada!$D:$D, MATCH(1, (AsistenciaJetAdminConcatenada!$A:$A=HC$2)*(AsistenciaJetAdminConcatenada!$B:$B=HC$1), 0)), 1))),  0.5, 0))</f>
        <v>0</v>
      </c>
    </row>
    <row r="96" ht="29.25" customHeight="1">
      <c r="A96" s="3">
        <v>190.0</v>
      </c>
      <c r="B96" s="4" t="s">
        <v>319</v>
      </c>
      <c r="C96" s="47">
        <f>SUM(D96:HC96) + ActividadesEspeciales!C96</f>
        <v>58</v>
      </c>
      <c r="D96" s="47">
        <f t="array" ref="D96">IF(AND(ISNUMBER(MATCH(D$2, AsistenciaJetAdminConcatenada!$A:$A, 0)), ISNUMBER(MATCH(D$1, AsistenciaJetAdminConcatenada!$B:$B, 0)), ISNUMBER(SEARCH($A96,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ISNUMBER(SEARCH($A96, INDEX(AsistenciaJetAdminConcatenada!$D:$D, MATCH(1, (AsistenciaJetAdminConcatenada!$A:$A=D$2)*(AsistenciaJetAdminConcatenada!$B:$B=D$1), 0)), 1))),  0.5, 0))</f>
        <v>1</v>
      </c>
      <c r="E96" s="47">
        <f t="array" ref="E96">IF(AND(ISNUMBER(MATCH(E$2, AsistenciaJetAdminConcatenada!$A:$A, 0)), ISNUMBER(MATCH(E$1, AsistenciaJetAdminConcatenada!$B:$B, 0)), ISNUMBER(SEARCH($A96,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ISNUMBER(SEARCH($A96, INDEX(AsistenciaJetAdminConcatenada!$D:$D, MATCH(1, (AsistenciaJetAdminConcatenada!$A:$A=E$2)*(AsistenciaJetAdminConcatenada!$B:$B=E$1), 0)), 1))),  0.5, 0))</f>
        <v>1</v>
      </c>
      <c r="F96" s="47">
        <f t="array" ref="F96">IF(AND(ISNUMBER(MATCH(F$2, AsistenciaJetAdminConcatenada!$A:$A, 0)), ISNUMBER(MATCH(F$1, AsistenciaJetAdminConcatenada!$B:$B, 0)), ISNUMBER(SEARCH($A96,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ISNUMBER(SEARCH($A96, INDEX(AsistenciaJetAdminConcatenada!$D:$D, MATCH(1, (AsistenciaJetAdminConcatenada!$A:$A=F$2)*(AsistenciaJetAdminConcatenada!$B:$B=F$1), 0)), 1))),  0.5, 0))</f>
        <v>1</v>
      </c>
      <c r="G96" s="47">
        <f t="array" ref="G96">IF(AND(ISNUMBER(MATCH(G$2, AsistenciaJetAdminConcatenada!$A:$A, 0)), ISNUMBER(MATCH(G$1, AsistenciaJetAdminConcatenada!$B:$B, 0)), ISNUMBER(SEARCH($A96,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ISNUMBER(SEARCH($A96, INDEX(AsistenciaJetAdminConcatenada!$D:$D, MATCH(1, (AsistenciaJetAdminConcatenada!$A:$A=G$2)*(AsistenciaJetAdminConcatenada!$B:$B=G$1), 0)), 1))),  0.5, 0))</f>
        <v>1</v>
      </c>
      <c r="H96" s="47">
        <f t="array" ref="H96">IF(AND(ISNUMBER(MATCH(H$2, AsistenciaJetAdminConcatenada!$A:$A, 0)), ISNUMBER(MATCH(H$1, AsistenciaJetAdminConcatenada!$B:$B, 0)), ISNUMBER(SEARCH($A96,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ISNUMBER(SEARCH($A96, INDEX(AsistenciaJetAdminConcatenada!$D:$D, MATCH(1, (AsistenciaJetAdminConcatenada!$A:$A=H$2)*(AsistenciaJetAdminConcatenada!$B:$B=H$1), 0)), 1))),  0.5, 0))</f>
        <v>1</v>
      </c>
      <c r="I96" s="47">
        <f t="array" ref="I96">IF(AND(ISNUMBER(MATCH(I$2, AsistenciaJetAdminConcatenada!$A:$A, 0)), ISNUMBER(MATCH(I$1, AsistenciaJetAdminConcatenada!$B:$B, 0)), ISNUMBER(SEARCH($A96,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ISNUMBER(SEARCH($A96, INDEX(AsistenciaJetAdminConcatenada!$D:$D, MATCH(1, (AsistenciaJetAdminConcatenada!$A:$A=I$2)*(AsistenciaJetAdminConcatenada!$B:$B=I$1), 0)), 1))),  0.5, 0))</f>
        <v>1</v>
      </c>
      <c r="J96" s="47">
        <f t="array" ref="J96">IF(AND(ISNUMBER(MATCH(J$2, AsistenciaJetAdminConcatenada!$A:$A, 0)), ISNUMBER(MATCH(J$1, AsistenciaJetAdminConcatenada!$B:$B, 0)), ISNUMBER(SEARCH($A96,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ISNUMBER(SEARCH($A96, INDEX(AsistenciaJetAdminConcatenada!$D:$D, MATCH(1, (AsistenciaJetAdminConcatenada!$A:$A=J$2)*(AsistenciaJetAdminConcatenada!$B:$B=J$1), 0)), 1))),  0.5, 0))</f>
        <v>0</v>
      </c>
      <c r="K96" s="47">
        <f t="array" ref="K96">IF(AND(ISNUMBER(MATCH(K$2, AsistenciaJetAdminConcatenada!$A:$A, 0)), ISNUMBER(MATCH(K$1, AsistenciaJetAdminConcatenada!$B:$B, 0)), ISNUMBER(SEARCH($A96,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ISNUMBER(SEARCH($A96, INDEX(AsistenciaJetAdminConcatenada!$D:$D, MATCH(1, (AsistenciaJetAdminConcatenada!$A:$A=K$2)*(AsistenciaJetAdminConcatenada!$B:$B=K$1), 0)), 1))),  0.5, 0))</f>
        <v>1</v>
      </c>
      <c r="L96" s="47">
        <f t="array" ref="L96">IF(AND(ISNUMBER(MATCH(L$2, AsistenciaJetAdminConcatenada!$A:$A, 0)), ISNUMBER(MATCH(L$1, AsistenciaJetAdminConcatenada!$B:$B, 0)), ISNUMBER(SEARCH($A96,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ISNUMBER(SEARCH($A96, INDEX(AsistenciaJetAdminConcatenada!$D:$D, MATCH(1, (AsistenciaJetAdminConcatenada!$A:$A=L$2)*(AsistenciaJetAdminConcatenada!$B:$B=L$1), 0)), 1))),  0.5, 0))</f>
        <v>1</v>
      </c>
      <c r="M96" s="47">
        <f t="array" ref="M96">IF(AND(ISNUMBER(MATCH(M$2, AsistenciaJetAdminConcatenada!$A:$A, 0)), ISNUMBER(MATCH(M$1, AsistenciaJetAdminConcatenada!$B:$B, 0)), ISNUMBER(SEARCH($A96,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ISNUMBER(SEARCH($A96, INDEX(AsistenciaJetAdminConcatenada!$D:$D, MATCH(1, (AsistenciaJetAdminConcatenada!$A:$A=M$2)*(AsistenciaJetAdminConcatenada!$B:$B=M$1), 0)), 1))),  0.5, 0))</f>
        <v>1</v>
      </c>
      <c r="N96" s="47">
        <f t="array" ref="N96">IF(AND(ISNUMBER(MATCH(N$2, AsistenciaJetAdminConcatenada!$A:$A, 0)), ISNUMBER(MATCH(N$1, AsistenciaJetAdminConcatenada!$B:$B, 0)), ISNUMBER(SEARCH($A96,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ISNUMBER(SEARCH($A96, INDEX(AsistenciaJetAdminConcatenada!$D:$D, MATCH(1, (AsistenciaJetAdminConcatenada!$A:$A=N$2)*(AsistenciaJetAdminConcatenada!$B:$B=N$1), 0)), 1))),  0.5, 0))</f>
        <v>1</v>
      </c>
      <c r="O96" s="47">
        <f t="array" ref="O96">IF(AND(ISNUMBER(MATCH(O$2, AsistenciaJetAdminConcatenada!$A:$A, 0)), ISNUMBER(MATCH(O$1, AsistenciaJetAdminConcatenada!$B:$B, 0)), ISNUMBER(SEARCH($A96,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ISNUMBER(SEARCH($A96, INDEX(AsistenciaJetAdminConcatenada!$D:$D, MATCH(1, (AsistenciaJetAdminConcatenada!$A:$A=O$2)*(AsistenciaJetAdminConcatenada!$B:$B=O$1), 0)), 1))),  0.5, 0))</f>
        <v>1</v>
      </c>
      <c r="P96" s="47">
        <f t="array" ref="P96">IF(AND(ISNUMBER(MATCH(P$2, AsistenciaJetAdminConcatenada!$A:$A, 0)), ISNUMBER(MATCH(P$1, AsistenciaJetAdminConcatenada!$B:$B, 0)), ISNUMBER(SEARCH($A96, INDEX(AsistenciaJetAdminConcatenada!$C:$C, MATCH(1, (AsistenciaJetAdminConcatenada!$A:$A=P$2)*(AsistenciaJetAdminConcatenada!$B:$B=P$1), 0)), 1))), 1, IF(AND(ISNUMBER(MATCH(P$2, AsistenciaJetAdminConcatenada!$A:$A, 0)), ISNUMBER(MATCH(P$1, AsistenciaJetAdminConcatenada!$B:$B, 0)), ISNUMBER(SEARCH($A96, INDEX(AsistenciaJetAdminConcatenada!$D:$D, MATCH(1, (AsistenciaJetAdminConcatenada!$A:$A=P$2)*(AsistenciaJetAdminConcatenada!$B:$B=P$1), 0)), 1))),  0.5, 0))</f>
        <v>0</v>
      </c>
      <c r="Q96" s="47">
        <f t="array" ref="Q96">IF(AND(ISNUMBER(MATCH(Q$2, AsistenciaJetAdminConcatenada!$A:$A, 0)), ISNUMBER(MATCH(Q$1, AsistenciaJetAdminConcatenada!$B:$B, 0)), ISNUMBER(SEARCH($A96, INDEX(AsistenciaJetAdminConcatenada!$C:$C, MATCH(1, (AsistenciaJetAdminConcatenada!$A:$A=Q$2)*(AsistenciaJetAdminConcatenada!$B:$B=Q$1), 0)), 1))), 1, IF(AND(ISNUMBER(MATCH(Q$2, AsistenciaJetAdminConcatenada!$A:$A, 0)), ISNUMBER(MATCH(Q$1, AsistenciaJetAdminConcatenada!$B:$B, 0)), ISNUMBER(SEARCH($A96, INDEX(AsistenciaJetAdminConcatenada!$D:$D, MATCH(1, (AsistenciaJetAdminConcatenada!$A:$A=Q$2)*(AsistenciaJetAdminConcatenada!$B:$B=Q$1), 0)), 1))),  0.5, 0))</f>
        <v>1</v>
      </c>
      <c r="R96" s="47">
        <f t="array" ref="R96">IF(AND(ISNUMBER(MATCH(R$2, AsistenciaJetAdminConcatenada!$A:$A, 0)), ISNUMBER(MATCH(R$1, AsistenciaJetAdminConcatenada!$B:$B, 0)), ISNUMBER(SEARCH($A96,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ISNUMBER(SEARCH($A96, INDEX(AsistenciaJetAdminConcatenada!$D:$D, MATCH(1, (AsistenciaJetAdminConcatenada!$A:$A=R$2)*(AsistenciaJetAdminConcatenada!$B:$B=R$1), 0)), 1))),  0.5, 0))</f>
        <v>1</v>
      </c>
      <c r="S96" s="47">
        <f t="array" ref="S96">IF(AND(ISNUMBER(MATCH(S$2, AsistenciaJetAdminConcatenada!$A:$A, 0)), ISNUMBER(MATCH(S$1, AsistenciaJetAdminConcatenada!$B:$B, 0)), ISNUMBER(SEARCH($A96,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ISNUMBER(SEARCH($A96, INDEX(AsistenciaJetAdminConcatenada!$D:$D, MATCH(1, (AsistenciaJetAdminConcatenada!$A:$A=S$2)*(AsistenciaJetAdminConcatenada!$B:$B=S$1), 0)), 1))),  0.5, 0))</f>
        <v>1</v>
      </c>
      <c r="T96" s="47">
        <f t="array" ref="T96">IF(AND(ISNUMBER(MATCH(T$2, AsistenciaJetAdminConcatenada!$A:$A, 0)), ISNUMBER(MATCH(T$1, AsistenciaJetAdminConcatenada!$B:$B, 0)), ISNUMBER(SEARCH($A96,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ISNUMBER(SEARCH($A96, INDEX(AsistenciaJetAdminConcatenada!$D:$D, MATCH(1, (AsistenciaJetAdminConcatenada!$A:$A=T$2)*(AsistenciaJetAdminConcatenada!$B:$B=T$1), 0)), 1))),  0.5, 0))</f>
        <v>1</v>
      </c>
      <c r="U96" s="47">
        <f t="array" ref="U96">IF(AND(ISNUMBER(MATCH(U$2, AsistenciaJetAdminConcatenada!$A:$A, 0)), ISNUMBER(MATCH(U$1, AsistenciaJetAdminConcatenada!$B:$B, 0)), ISNUMBER(SEARCH($A96,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ISNUMBER(SEARCH($A96, INDEX(AsistenciaJetAdminConcatenada!$D:$D, MATCH(1, (AsistenciaJetAdminConcatenada!$A:$A=U$2)*(AsistenciaJetAdminConcatenada!$B:$B=U$1), 0)), 1))),  0.5, 0))</f>
        <v>1</v>
      </c>
      <c r="V96" s="47">
        <f t="array" ref="V96">IF(AND(ISNUMBER(MATCH(V$2, AsistenciaJetAdminConcatenada!$A:$A, 0)), ISNUMBER(MATCH(V$1, AsistenciaJetAdminConcatenada!$B:$B, 0)), ISNUMBER(SEARCH($A96,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ISNUMBER(SEARCH($A96, INDEX(AsistenciaJetAdminConcatenada!$D:$D, MATCH(1, (AsistenciaJetAdminConcatenada!$A:$A=V$2)*(AsistenciaJetAdminConcatenada!$B:$B=V$1), 0)), 1))),  0.5, 0))</f>
        <v>1</v>
      </c>
      <c r="W96" s="47">
        <f t="array" ref="W96">IF(AND(ISNUMBER(MATCH(W$2, AsistenciaJetAdminConcatenada!$A:$A, 0)), ISNUMBER(MATCH(W$1, AsistenciaJetAdminConcatenada!$B:$B, 0)), ISNUMBER(SEARCH($A96,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ISNUMBER(SEARCH($A96, INDEX(AsistenciaJetAdminConcatenada!$D:$D, MATCH(1, (AsistenciaJetAdminConcatenada!$A:$A=W$2)*(AsistenciaJetAdminConcatenada!$B:$B=W$1), 0)), 1))),  0.5, 0))</f>
        <v>1</v>
      </c>
      <c r="X96" s="47">
        <f t="array" ref="X96">IF(AND(ISNUMBER(MATCH(X$2, AsistenciaJetAdminConcatenada!$A:$A, 0)), ISNUMBER(MATCH(X$1, AsistenciaJetAdminConcatenada!$B:$B, 0)), ISNUMBER(SEARCH($A96,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ISNUMBER(SEARCH($A96, INDEX(AsistenciaJetAdminConcatenada!$D:$D, MATCH(1, (AsistenciaJetAdminConcatenada!$A:$A=X$2)*(AsistenciaJetAdminConcatenada!$B:$B=X$1), 0)), 1))),  0.5, 0))</f>
        <v>1</v>
      </c>
      <c r="Y96" s="47">
        <f t="array" ref="Y96">IF(AND(ISNUMBER(MATCH(Y$2, AsistenciaJetAdminConcatenada!$A:$A, 0)), ISNUMBER(MATCH(Y$1, AsistenciaJetAdminConcatenada!$B:$B, 0)), ISNUMBER(SEARCH($A96,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ISNUMBER(SEARCH($A96, INDEX(AsistenciaJetAdminConcatenada!$D:$D, MATCH(1, (AsistenciaJetAdminConcatenada!$A:$A=Y$2)*(AsistenciaJetAdminConcatenada!$B:$B=Y$1), 0)), 1))),  0.5, 0))</f>
        <v>0</v>
      </c>
      <c r="Z96" s="47">
        <f t="array" ref="Z96">IF(AND(ISNUMBER(MATCH(Z$2, AsistenciaJetAdminConcatenada!$A:$A, 0)), ISNUMBER(MATCH(Z$1, AsistenciaJetAdminConcatenada!$B:$B, 0)), ISNUMBER(SEARCH($A96,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ISNUMBER(SEARCH($A96, INDEX(AsistenciaJetAdminConcatenada!$D:$D, MATCH(1, (AsistenciaJetAdminConcatenada!$A:$A=Z$2)*(AsistenciaJetAdminConcatenada!$B:$B=Z$1), 0)), 1))),  0.5, 0))</f>
        <v>0</v>
      </c>
      <c r="AA96" s="47">
        <f t="array" ref="AA96">IF(AND(ISNUMBER(MATCH(AA$2, AsistenciaJetAdminConcatenada!$A:$A, 0)), ISNUMBER(MATCH(AA$1, AsistenciaJetAdminConcatenada!$B:$B, 0)), ISNUMBER(SEARCH($A96,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ISNUMBER(SEARCH($A96, INDEX(AsistenciaJetAdminConcatenada!$D:$D, MATCH(1, (AsistenciaJetAdminConcatenada!$A:$A=AA$2)*(AsistenciaJetAdminConcatenada!$B:$B=AA$1), 0)), 1))),  0.5, 0))</f>
        <v>1</v>
      </c>
      <c r="AB96" s="47">
        <f t="array" ref="AB96">IF(AND(ISNUMBER(MATCH(AB$2, AsistenciaJetAdminConcatenada!$A:$A, 0)), ISNUMBER(MATCH(AB$1, AsistenciaJetAdminConcatenada!$B:$B, 0)), ISNUMBER(SEARCH($A96,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ISNUMBER(SEARCH($A96, INDEX(AsistenciaJetAdminConcatenada!$D:$D, MATCH(1, (AsistenciaJetAdminConcatenada!$A:$A=AB$2)*(AsistenciaJetAdminConcatenada!$B:$B=AB$1), 0)), 1))),  0.5, 0))</f>
        <v>0</v>
      </c>
      <c r="AC96" s="47">
        <f t="array" ref="AC96">IF(AND(ISNUMBER(MATCH(AC$2, AsistenciaJetAdminConcatenada!$A:$A, 0)), ISNUMBER(MATCH(AC$1, AsistenciaJetAdminConcatenada!$B:$B, 0)), ISNUMBER(SEARCH($A96,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ISNUMBER(SEARCH($A96, INDEX(AsistenciaJetAdminConcatenada!$D:$D, MATCH(1, (AsistenciaJetAdminConcatenada!$A:$A=AC$2)*(AsistenciaJetAdminConcatenada!$B:$B=AC$1), 0)), 1))),  0.5, 0))</f>
        <v>1</v>
      </c>
      <c r="AD96" s="47">
        <f t="array" ref="AD96">IF(AND(ISNUMBER(MATCH(AD$2, AsistenciaJetAdminConcatenada!$A:$A, 0)), ISNUMBER(MATCH(AD$1, AsistenciaJetAdminConcatenada!$B:$B, 0)), ISNUMBER(SEARCH($A96,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ISNUMBER(SEARCH($A96, INDEX(AsistenciaJetAdminConcatenada!$D:$D, MATCH(1, (AsistenciaJetAdminConcatenada!$A:$A=AD$2)*(AsistenciaJetAdminConcatenada!$B:$B=AD$1), 0)), 1))),  0.5, 0))</f>
        <v>0</v>
      </c>
      <c r="AE96" s="47">
        <f t="array" ref="AE96">IF(AND(ISNUMBER(MATCH(AE$2, AsistenciaJetAdminConcatenada!$A:$A, 0)), ISNUMBER(MATCH(AE$1, AsistenciaJetAdminConcatenada!$B:$B, 0)), ISNUMBER(SEARCH($A96,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ISNUMBER(SEARCH($A96, INDEX(AsistenciaJetAdminConcatenada!$D:$D, MATCH(1, (AsistenciaJetAdminConcatenada!$A:$A=AE$2)*(AsistenciaJetAdminConcatenada!$B:$B=AE$1), 0)), 1))),  0.5, 0))</f>
        <v>1</v>
      </c>
      <c r="AF96" s="47">
        <f t="array" ref="AF96">IF(AND(ISNUMBER(MATCH(AF$2, AsistenciaJetAdminConcatenada!$A:$A, 0)), ISNUMBER(MATCH(AF$1, AsistenciaJetAdminConcatenada!$B:$B, 0)), ISNUMBER(SEARCH($A96,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ISNUMBER(SEARCH($A96, INDEX(AsistenciaJetAdminConcatenada!$D:$D, MATCH(1, (AsistenciaJetAdminConcatenada!$A:$A=AF$2)*(AsistenciaJetAdminConcatenada!$B:$B=AF$1), 0)), 1))),  0.5, 0))</f>
        <v>1</v>
      </c>
      <c r="AG96" s="47">
        <f t="array" ref="AG96">IF(AND(ISNUMBER(MATCH(AG$2, AsistenciaJetAdminConcatenada!$A:$A, 0)), ISNUMBER(MATCH(AG$1, AsistenciaJetAdminConcatenada!$B:$B, 0)), ISNUMBER(SEARCH($A96,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ISNUMBER(SEARCH($A96, INDEX(AsistenciaJetAdminConcatenada!$D:$D, MATCH(1, (AsistenciaJetAdminConcatenada!$A:$A=AG$2)*(AsistenciaJetAdminConcatenada!$B:$B=AG$1), 0)), 1))),  0.5, 0))</f>
        <v>0</v>
      </c>
      <c r="AH96" s="47">
        <f t="array" ref="AH96">IF(AND(ISNUMBER(MATCH(AH$2, AsistenciaJetAdminConcatenada!$A:$A, 0)), ISNUMBER(MATCH(AH$1, AsistenciaJetAdminConcatenada!$B:$B, 0)), ISNUMBER(SEARCH($A96,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ISNUMBER(SEARCH($A96, INDEX(AsistenciaJetAdminConcatenada!$D:$D, MATCH(1, (AsistenciaJetAdminConcatenada!$A:$A=AH$2)*(AsistenciaJetAdminConcatenada!$B:$B=AH$1), 0)), 1))),  0.5, 0))</f>
        <v>0</v>
      </c>
      <c r="AI96" s="47">
        <f t="array" ref="AI96">IF(AND(ISNUMBER(MATCH(AI$2, AsistenciaJetAdminConcatenada!$A:$A, 0)), ISNUMBER(MATCH(AI$1, AsistenciaJetAdminConcatenada!$B:$B, 0)), ISNUMBER(SEARCH($A96,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ISNUMBER(SEARCH($A96, INDEX(AsistenciaJetAdminConcatenada!$D:$D, MATCH(1, (AsistenciaJetAdminConcatenada!$A:$A=AI$2)*(AsistenciaJetAdminConcatenada!$B:$B=AI$1), 0)), 1))),  0.5, 0))</f>
        <v>0</v>
      </c>
      <c r="AJ96" s="47">
        <f t="array" ref="AJ96">IF(AND(ISNUMBER(MATCH(AJ$2, AsistenciaJetAdminConcatenada!$A:$A, 0)), ISNUMBER(MATCH(AJ$1, AsistenciaJetAdminConcatenada!$B:$B, 0)), ISNUMBER(SEARCH($A96,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ISNUMBER(SEARCH($A96, INDEX(AsistenciaJetAdminConcatenada!$D:$D, MATCH(1, (AsistenciaJetAdminConcatenada!$A:$A=AJ$2)*(AsistenciaJetAdminConcatenada!$B:$B=AJ$1), 0)), 1))),  0.5, 0))</f>
        <v>1</v>
      </c>
      <c r="AK96" s="47">
        <f t="array" ref="AK96">IF(AND(ISNUMBER(MATCH(AK$2, AsistenciaJetAdminConcatenada!$A:$A, 0)), ISNUMBER(MATCH(AK$1, AsistenciaJetAdminConcatenada!$B:$B, 0)), ISNUMBER(SEARCH($A96,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ISNUMBER(SEARCH($A96, INDEX(AsistenciaJetAdminConcatenada!$D:$D, MATCH(1, (AsistenciaJetAdminConcatenada!$A:$A=AK$2)*(AsistenciaJetAdminConcatenada!$B:$B=AK$1), 0)), 1))),  0.5, 0))</f>
        <v>1</v>
      </c>
      <c r="AL96" s="47">
        <f t="array" ref="AL96">IF(AND(ISNUMBER(MATCH(AL$2, AsistenciaJetAdminConcatenada!$A:$A, 0)), ISNUMBER(MATCH(AL$1, AsistenciaJetAdminConcatenada!$B:$B, 0)), ISNUMBER(SEARCH($A96,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ISNUMBER(SEARCH($A96, INDEX(AsistenciaJetAdminConcatenada!$D:$D, MATCH(1, (AsistenciaJetAdminConcatenada!$A:$A=AL$2)*(AsistenciaJetAdminConcatenada!$B:$B=AL$1), 0)), 1))),  0.5, 0))</f>
        <v>0</v>
      </c>
      <c r="AM96" s="47">
        <f t="array" ref="AM96">IF(AND(ISNUMBER(MATCH(AM$2, AsistenciaJetAdminConcatenada!$A:$A, 0)), ISNUMBER(MATCH(AM$1, AsistenciaJetAdminConcatenada!$B:$B, 0)), ISNUMBER(SEARCH($A96,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ISNUMBER(SEARCH($A96, INDEX(AsistenciaJetAdminConcatenada!$D:$D, MATCH(1, (AsistenciaJetAdminConcatenada!$A:$A=AM$2)*(AsistenciaJetAdminConcatenada!$B:$B=AM$1), 0)), 1))),  0.5, 0))</f>
        <v>0</v>
      </c>
      <c r="AN96" s="47">
        <f t="array" ref="AN96">IF(AND(ISNUMBER(MATCH(AN$2, AsistenciaJetAdminConcatenada!$A:$A, 0)), ISNUMBER(MATCH(AN$1, AsistenciaJetAdminConcatenada!$B:$B, 0)), ISNUMBER(SEARCH($A96,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ISNUMBER(SEARCH($A96, INDEX(AsistenciaJetAdminConcatenada!$D:$D, MATCH(1, (AsistenciaJetAdminConcatenada!$A:$A=AN$2)*(AsistenciaJetAdminConcatenada!$B:$B=AN$1), 0)), 1))),  0.5, 0))</f>
        <v>1</v>
      </c>
      <c r="AO96" s="47">
        <f t="array" ref="AO96">IF(AND(ISNUMBER(MATCH(AO$2, AsistenciaJetAdminConcatenada!$A:$A, 0)), ISNUMBER(MATCH(AO$1, AsistenciaJetAdminConcatenada!$B:$B, 0)), ISNUMBER(SEARCH($A96,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ISNUMBER(SEARCH($A96, INDEX(AsistenciaJetAdminConcatenada!$D:$D, MATCH(1, (AsistenciaJetAdminConcatenada!$A:$A=AO$2)*(AsistenciaJetAdminConcatenada!$B:$B=AO$1), 0)), 1))),  0.5, 0))</f>
        <v>1</v>
      </c>
      <c r="AP96" s="47">
        <f t="array" ref="AP96">IF(AND(ISNUMBER(MATCH(AP$2, AsistenciaJetAdminConcatenada!$A:$A, 0)), ISNUMBER(MATCH(AP$1, AsistenciaJetAdminConcatenada!$B:$B, 0)), ISNUMBER(SEARCH($A96,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ISNUMBER(SEARCH($A96, INDEX(AsistenciaJetAdminConcatenada!$D:$D, MATCH(1, (AsistenciaJetAdminConcatenada!$A:$A=AP$2)*(AsistenciaJetAdminConcatenada!$B:$B=AP$1), 0)), 1))),  0.5, 0))</f>
        <v>1</v>
      </c>
      <c r="AQ96" s="47">
        <f t="array" ref="AQ96">IF(AND(ISNUMBER(MATCH(AQ$2, AsistenciaJetAdminConcatenada!$A:$A, 0)), ISNUMBER(MATCH(AQ$1, AsistenciaJetAdminConcatenada!$B:$B, 0)), ISNUMBER(SEARCH($A96,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ISNUMBER(SEARCH($A96, INDEX(AsistenciaJetAdminConcatenada!$D:$D, MATCH(1, (AsistenciaJetAdminConcatenada!$A:$A=AQ$2)*(AsistenciaJetAdminConcatenada!$B:$B=AQ$1), 0)), 1))),  0.5, 0))</f>
        <v>0</v>
      </c>
      <c r="AR96" s="47">
        <f t="array" ref="AR96">IF(AND(ISNUMBER(MATCH(AR$2, AsistenciaJetAdminConcatenada!$A:$A, 0)), ISNUMBER(MATCH(AR$1, AsistenciaJetAdminConcatenada!$B:$B, 0)), ISNUMBER(SEARCH($A96,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ISNUMBER(SEARCH($A96, INDEX(AsistenciaJetAdminConcatenada!$D:$D, MATCH(1, (AsistenciaJetAdminConcatenada!$A:$A=AR$2)*(AsistenciaJetAdminConcatenada!$B:$B=AR$1), 0)), 1))),  0.5, 0))</f>
        <v>1</v>
      </c>
      <c r="AS96" s="47">
        <f t="array" ref="AS96">IF(AND(ISNUMBER(MATCH(AS$2, AsistenciaJetAdminConcatenada!$A:$A, 0)), ISNUMBER(MATCH(AS$1, AsistenciaJetAdminConcatenada!$B:$B, 0)), ISNUMBER(SEARCH($A96,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ISNUMBER(SEARCH($A96, INDEX(AsistenciaJetAdminConcatenada!$D:$D, MATCH(1, (AsistenciaJetAdminConcatenada!$A:$A=AS$2)*(AsistenciaJetAdminConcatenada!$B:$B=AS$1), 0)), 1))),  0.5, 0))</f>
        <v>0</v>
      </c>
      <c r="AT96" s="47">
        <f t="array" ref="AT96">IF(AND(ISNUMBER(MATCH(AT$2, AsistenciaJetAdminConcatenada!$A:$A, 0)), ISNUMBER(MATCH(AT$1, AsistenciaJetAdminConcatenada!$B:$B, 0)), ISNUMBER(SEARCH($A96,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ISNUMBER(SEARCH($A96, INDEX(AsistenciaJetAdminConcatenada!$D:$D, MATCH(1, (AsistenciaJetAdminConcatenada!$A:$A=AT$2)*(AsistenciaJetAdminConcatenada!$B:$B=AT$1), 0)), 1))),  0.5, 0))</f>
        <v>0</v>
      </c>
      <c r="AU96" s="47">
        <f t="array" ref="AU96">IF(AND(ISNUMBER(MATCH(AU$2, AsistenciaJetAdminConcatenada!$A:$A, 0)), ISNUMBER(MATCH(AU$1, AsistenciaJetAdminConcatenada!$B:$B, 0)), ISNUMBER(SEARCH($A96,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ISNUMBER(SEARCH($A96, INDEX(AsistenciaJetAdminConcatenada!$D:$D, MATCH(1, (AsistenciaJetAdminConcatenada!$A:$A=AU$2)*(AsistenciaJetAdminConcatenada!$B:$B=AU$1), 0)), 1))),  0.5, 0))</f>
        <v>1</v>
      </c>
      <c r="AV96" s="47">
        <f t="array" ref="AV96">IF(AND(ISNUMBER(MATCH(AV$2, AsistenciaJetAdminConcatenada!$A:$A, 0)), ISNUMBER(MATCH(AV$1, AsistenciaJetAdminConcatenada!$B:$B, 0)), ISNUMBER(SEARCH($A96,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ISNUMBER(SEARCH($A96, INDEX(AsistenciaJetAdminConcatenada!$D:$D, MATCH(1, (AsistenciaJetAdminConcatenada!$A:$A=AV$2)*(AsistenciaJetAdminConcatenada!$B:$B=AV$1), 0)), 1))),  0.5, 0))</f>
        <v>1</v>
      </c>
      <c r="AW96" s="47">
        <f t="array" ref="AW96">IF(AND(ISNUMBER(MATCH(AW$2, AsistenciaJetAdminConcatenada!$A:$A, 0)), ISNUMBER(MATCH(AW$1, AsistenciaJetAdminConcatenada!$B:$B, 0)), ISNUMBER(SEARCH($A96,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ISNUMBER(SEARCH($A96, INDEX(AsistenciaJetAdminConcatenada!$D:$D, MATCH(1, (AsistenciaJetAdminConcatenada!$A:$A=AW$2)*(AsistenciaJetAdminConcatenada!$B:$B=AW$1), 0)), 1))),  0.5, 0))</f>
        <v>0</v>
      </c>
      <c r="AX96" s="47">
        <f t="array" ref="AX96">IF(AND(ISNUMBER(MATCH(AX$2, AsistenciaJetAdminConcatenada!$A:$A, 0)), ISNUMBER(MATCH(AX$1, AsistenciaJetAdminConcatenada!$B:$B, 0)), ISNUMBER(SEARCH($A96,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ISNUMBER(SEARCH($A96, INDEX(AsistenciaJetAdminConcatenada!$D:$D, MATCH(1, (AsistenciaJetAdminConcatenada!$A:$A=AX$2)*(AsistenciaJetAdminConcatenada!$B:$B=AX$1), 0)), 1))),  0.5, 0))</f>
        <v>0</v>
      </c>
      <c r="AY96" s="47">
        <f t="array" ref="AY96">IF(AND(ISNUMBER(MATCH(AY$2, AsistenciaJetAdminConcatenada!$A:$A, 0)), ISNUMBER(MATCH(AY$1, AsistenciaJetAdminConcatenada!$B:$B, 0)), ISNUMBER(SEARCH($A96,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ISNUMBER(SEARCH($A96, INDEX(AsistenciaJetAdminConcatenada!$D:$D, MATCH(1, (AsistenciaJetAdminConcatenada!$A:$A=AY$2)*(AsistenciaJetAdminConcatenada!$B:$B=AY$1), 0)), 1))),  0.5, 0))</f>
        <v>0</v>
      </c>
      <c r="AZ96" s="47">
        <f t="array" ref="AZ96">IF(AND(ISNUMBER(MATCH(AZ$2, AsistenciaJetAdminConcatenada!$A:$A, 0)), ISNUMBER(MATCH(AZ$1, AsistenciaJetAdminConcatenada!$B:$B, 0)), ISNUMBER(SEARCH($A96,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ISNUMBER(SEARCH($A96, INDEX(AsistenciaJetAdminConcatenada!$D:$D, MATCH(1, (AsistenciaJetAdminConcatenada!$A:$A=AZ$2)*(AsistenciaJetAdminConcatenada!$B:$B=AZ$1), 0)), 1))),  0.5, 0))</f>
        <v>0</v>
      </c>
      <c r="BA96" s="47">
        <f t="array" ref="BA96">IF(AND(ISNUMBER(MATCH(BA$2, AsistenciaJetAdminConcatenada!$A:$A, 0)), ISNUMBER(MATCH(BA$1, AsistenciaJetAdminConcatenada!$B:$B, 0)), ISNUMBER(SEARCH($A96,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ISNUMBER(SEARCH($A96, INDEX(AsistenciaJetAdminConcatenada!$D:$D, MATCH(1, (AsistenciaJetAdminConcatenada!$A:$A=BA$2)*(AsistenciaJetAdminConcatenada!$B:$B=BA$1), 0)), 1))),  0.5, 0))</f>
        <v>1</v>
      </c>
      <c r="BB96" s="47">
        <f t="array" ref="BB96">IF(AND(ISNUMBER(MATCH(BB$2, AsistenciaJetAdminConcatenada!$A:$A, 0)), ISNUMBER(MATCH(BB$1, AsistenciaJetAdminConcatenada!$B:$B, 0)), ISNUMBER(SEARCH($A96,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ISNUMBER(SEARCH($A96, INDEX(AsistenciaJetAdminConcatenada!$D:$D, MATCH(1, (AsistenciaJetAdminConcatenada!$A:$A=BB$2)*(AsistenciaJetAdminConcatenada!$B:$B=BB$1), 0)), 1))),  0.5, 0))</f>
        <v>1</v>
      </c>
      <c r="BC96" s="47">
        <f t="array" ref="BC96">IF(AND(ISNUMBER(MATCH(BC$2, AsistenciaJetAdminConcatenada!$A:$A, 0)), ISNUMBER(MATCH(BC$1, AsistenciaJetAdminConcatenada!$B:$B, 0)), ISNUMBER(SEARCH($A96,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ISNUMBER(SEARCH($A96, INDEX(AsistenciaJetAdminConcatenada!$D:$D, MATCH(1, (AsistenciaJetAdminConcatenada!$A:$A=BC$2)*(AsistenciaJetAdminConcatenada!$B:$B=BC$1), 0)), 1))),  0.5, 0))</f>
        <v>1</v>
      </c>
      <c r="BD96" s="47">
        <f t="array" ref="BD96">IF(AND(ISNUMBER(MATCH(BD$2, AsistenciaJetAdminConcatenada!$A:$A, 0)), ISNUMBER(MATCH(BD$1, AsistenciaJetAdminConcatenada!$B:$B, 0)), ISNUMBER(SEARCH($A96,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ISNUMBER(SEARCH($A96, INDEX(AsistenciaJetAdminConcatenada!$D:$D, MATCH(1, (AsistenciaJetAdminConcatenada!$A:$A=BD$2)*(AsistenciaJetAdminConcatenada!$B:$B=BD$1), 0)), 1))),  0.5, 0))</f>
        <v>1</v>
      </c>
      <c r="BE96" s="47">
        <f t="array" ref="BE96">IF(AND(ISNUMBER(MATCH(BE$2, AsistenciaJetAdminConcatenada!$A:$A, 0)), ISNUMBER(MATCH(BE$1, AsistenciaJetAdminConcatenada!$B:$B, 0)), ISNUMBER(SEARCH($A96,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ISNUMBER(SEARCH($A96, INDEX(AsistenciaJetAdminConcatenada!$D:$D, MATCH(1, (AsistenciaJetAdminConcatenada!$A:$A=BE$2)*(AsistenciaJetAdminConcatenada!$B:$B=BE$1), 0)), 1))),  0.5, 0))</f>
        <v>1</v>
      </c>
      <c r="BF96" s="47">
        <f t="array" ref="BF96">IF(AND(ISNUMBER(MATCH(BF$2, AsistenciaJetAdminConcatenada!$A:$A, 0)), ISNUMBER(MATCH(BF$1, AsistenciaJetAdminConcatenada!$B:$B, 0)), ISNUMBER(SEARCH($A96,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ISNUMBER(SEARCH($A96, INDEX(AsistenciaJetAdminConcatenada!$D:$D, MATCH(1, (AsistenciaJetAdminConcatenada!$A:$A=BF$2)*(AsistenciaJetAdminConcatenada!$B:$B=BF$1), 0)), 1))),  0.5, 0))</f>
        <v>0</v>
      </c>
      <c r="BG96" s="47">
        <f t="array" ref="BG96">IF(AND(ISNUMBER(MATCH(BG$2, AsistenciaJetAdminConcatenada!$A:$A, 0)), ISNUMBER(MATCH(BG$1, AsistenciaJetAdminConcatenada!$B:$B, 0)), ISNUMBER(SEARCH($A96,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ISNUMBER(SEARCH($A96, INDEX(AsistenciaJetAdminConcatenada!$D:$D, MATCH(1, (AsistenciaJetAdminConcatenada!$A:$A=BG$2)*(AsistenciaJetAdminConcatenada!$B:$B=BG$1), 0)), 1))),  0.5, 0))</f>
        <v>1</v>
      </c>
      <c r="BH96" s="47">
        <f t="array" ref="BH96">IF(AND(ISNUMBER(MATCH(BH$2, AsistenciaJetAdminConcatenada!$A:$A, 0)), ISNUMBER(MATCH(BH$1, AsistenciaJetAdminConcatenada!$B:$B, 0)), ISNUMBER(SEARCH($A96,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ISNUMBER(SEARCH($A96, INDEX(AsistenciaJetAdminConcatenada!$D:$D, MATCH(1, (AsistenciaJetAdminConcatenada!$A:$A=BH$2)*(AsistenciaJetAdminConcatenada!$B:$B=BH$1), 0)), 1))),  0.5, 0))</f>
        <v>1</v>
      </c>
      <c r="BI96" s="47">
        <f t="array" ref="BI96">IF(AND(ISNUMBER(MATCH(BI$2, AsistenciaJetAdminConcatenada!$A:$A, 0)), ISNUMBER(MATCH(BI$1, AsistenciaJetAdminConcatenada!$B:$B, 0)), ISNUMBER(SEARCH($A96,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ISNUMBER(SEARCH($A96, INDEX(AsistenciaJetAdminConcatenada!$D:$D, MATCH(1, (AsistenciaJetAdminConcatenada!$A:$A=BI$2)*(AsistenciaJetAdminConcatenada!$B:$B=BI$1), 0)), 1))),  0.5, 0))</f>
        <v>1</v>
      </c>
      <c r="BJ96" s="47">
        <f t="array" ref="BJ96">IF(AND(ISNUMBER(MATCH(BJ$2, AsistenciaJetAdminConcatenada!$A:$A, 0)), ISNUMBER(MATCH(BJ$1, AsistenciaJetAdminConcatenada!$B:$B, 0)), ISNUMBER(SEARCH($A96,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ISNUMBER(SEARCH($A96, INDEX(AsistenciaJetAdminConcatenada!$D:$D, MATCH(1, (AsistenciaJetAdminConcatenada!$A:$A=BJ$2)*(AsistenciaJetAdminConcatenada!$B:$B=BJ$1), 0)), 1))),  0.5, 0))</f>
        <v>1</v>
      </c>
      <c r="BK96" s="47">
        <f t="array" ref="BK96">IF(AND(ISNUMBER(MATCH(BK$2, AsistenciaJetAdminConcatenada!$A:$A, 0)), ISNUMBER(MATCH(BK$1, AsistenciaJetAdminConcatenada!$B:$B, 0)), ISNUMBER(SEARCH($A96,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ISNUMBER(SEARCH($A96, INDEX(AsistenciaJetAdminConcatenada!$D:$D, MATCH(1, (AsistenciaJetAdminConcatenada!$A:$A=BK$2)*(AsistenciaJetAdminConcatenada!$B:$B=BK$1), 0)), 1))),  0.5, 0))</f>
        <v>1</v>
      </c>
      <c r="BL96" s="47">
        <f t="array" ref="BL96">IF(AND(ISNUMBER(MATCH(BL$2, AsistenciaJetAdminConcatenada!$A:$A, 0)), ISNUMBER(MATCH(BL$1, AsistenciaJetAdminConcatenada!$B:$B, 0)), ISNUMBER(SEARCH($A96,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ISNUMBER(SEARCH($A96, INDEX(AsistenciaJetAdminConcatenada!$D:$D, MATCH(1, (AsistenciaJetAdminConcatenada!$A:$A=BL$2)*(AsistenciaJetAdminConcatenada!$B:$B=BL$1), 0)), 1))),  0.5, 0))</f>
        <v>1</v>
      </c>
      <c r="BM96" s="47">
        <f t="array" ref="BM96">IF(AND(ISNUMBER(MATCH(BM$2, AsistenciaJetAdminConcatenada!$A:$A, 0)), ISNUMBER(MATCH(BM$1, AsistenciaJetAdminConcatenada!$B:$B, 0)), ISNUMBER(SEARCH($A96,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ISNUMBER(SEARCH($A96, INDEX(AsistenciaJetAdminConcatenada!$D:$D, MATCH(1, (AsistenciaJetAdminConcatenada!$A:$A=BM$2)*(AsistenciaJetAdminConcatenada!$B:$B=BM$1), 0)), 1))),  0.5, 0))</f>
        <v>0</v>
      </c>
      <c r="BN96" s="47">
        <f t="array" ref="BN96">IF(AND(ISNUMBER(MATCH(BN$2, AsistenciaJetAdminConcatenada!$A:$A, 0)), ISNUMBER(MATCH(BN$1, AsistenciaJetAdminConcatenada!$B:$B, 0)), ISNUMBER(SEARCH($A96,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ISNUMBER(SEARCH($A96, INDEX(AsistenciaJetAdminConcatenada!$D:$D, MATCH(1, (AsistenciaJetAdminConcatenada!$A:$A=BN$2)*(AsistenciaJetAdminConcatenada!$B:$B=BN$1), 0)), 1))),  0.5, 0))</f>
        <v>0</v>
      </c>
      <c r="BO96" s="47">
        <f t="array" ref="BO96">IF(AND(ISNUMBER(MATCH(BO$2, AsistenciaJetAdminConcatenada!$A:$A, 0)), ISNUMBER(MATCH(BO$1, AsistenciaJetAdminConcatenada!$B:$B, 0)), ISNUMBER(SEARCH($A96,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ISNUMBER(SEARCH($A96, INDEX(AsistenciaJetAdminConcatenada!$D:$D, MATCH(1, (AsistenciaJetAdminConcatenada!$A:$A=BO$2)*(AsistenciaJetAdminConcatenada!$B:$B=BO$1), 0)), 1))),  0.5, 0))</f>
        <v>1</v>
      </c>
      <c r="BP96" s="47">
        <f t="array" ref="BP96">IF(AND(ISNUMBER(MATCH(BP$2, AsistenciaJetAdminConcatenada!$A:$A, 0)), ISNUMBER(MATCH(BP$1, AsistenciaJetAdminConcatenada!$B:$B, 0)), ISNUMBER(SEARCH($A96,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ISNUMBER(SEARCH($A96, INDEX(AsistenciaJetAdminConcatenada!$D:$D, MATCH(1, (AsistenciaJetAdminConcatenada!$A:$A=BP$2)*(AsistenciaJetAdminConcatenada!$B:$B=BP$1), 0)), 1))),  0.5, 0))</f>
        <v>1</v>
      </c>
      <c r="BQ96" s="47">
        <f t="array" ref="BQ96">IF(AND(ISNUMBER(MATCH(BQ$2, AsistenciaJetAdminConcatenada!$A:$A, 0)), ISNUMBER(MATCH(BQ$1, AsistenciaJetAdminConcatenada!$B:$B, 0)), ISNUMBER(SEARCH($A96,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ISNUMBER(SEARCH($A96, INDEX(AsistenciaJetAdminConcatenada!$D:$D, MATCH(1, (AsistenciaJetAdminConcatenada!$A:$A=BQ$2)*(AsistenciaJetAdminConcatenada!$B:$B=BQ$1), 0)), 1))),  0.5, 0))</f>
        <v>1</v>
      </c>
      <c r="BR96" s="47">
        <f t="array" ref="BR96">IF(AND(ISNUMBER(MATCH(BR$2, AsistenciaJetAdminConcatenada!$A:$A, 0)), ISNUMBER(MATCH(BR$1, AsistenciaJetAdminConcatenada!$B:$B, 0)), ISNUMBER(SEARCH($A96,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ISNUMBER(SEARCH($A96, INDEX(AsistenciaJetAdminConcatenada!$D:$D, MATCH(1, (AsistenciaJetAdminConcatenada!$A:$A=BR$2)*(AsistenciaJetAdminConcatenada!$B:$B=BR$1), 0)), 1))),  0.5, 0))</f>
        <v>0</v>
      </c>
      <c r="BS96" s="47">
        <f t="array" ref="BS96">IF(AND(ISNUMBER(MATCH(BS$2, AsistenciaJetAdminConcatenada!$A:$A, 0)), ISNUMBER(MATCH(BS$1, AsistenciaJetAdminConcatenada!$B:$B, 0)), ISNUMBER(SEARCH($A96,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ISNUMBER(SEARCH($A96, INDEX(AsistenciaJetAdminConcatenada!$D:$D, MATCH(1, (AsistenciaJetAdminConcatenada!$A:$A=BS$2)*(AsistenciaJetAdminConcatenada!$B:$B=BS$1), 0)), 1))),  0.5, 0))</f>
        <v>1</v>
      </c>
      <c r="BT96" s="47">
        <f t="array" ref="BT96">IF(AND(ISNUMBER(MATCH(BT$2, AsistenciaJetAdminConcatenada!$A:$A, 0)), ISNUMBER(MATCH(BT$1, AsistenciaJetAdminConcatenada!$B:$B, 0)), ISNUMBER(SEARCH($A96,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ISNUMBER(SEARCH($A96, INDEX(AsistenciaJetAdminConcatenada!$D:$D, MATCH(1, (AsistenciaJetAdminConcatenada!$A:$A=BT$2)*(AsistenciaJetAdminConcatenada!$B:$B=BT$1), 0)), 1))),  0.5, 0))</f>
        <v>1</v>
      </c>
      <c r="BU96" s="47">
        <f t="array" ref="BU96">IF(AND(ISNUMBER(MATCH(BU$2, AsistenciaJetAdminConcatenada!$A:$A, 0)), ISNUMBER(MATCH(BU$1, AsistenciaJetAdminConcatenada!$B:$B, 0)), ISNUMBER(SEARCH($A96,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ISNUMBER(SEARCH($A96, INDEX(AsistenciaJetAdminConcatenada!$D:$D, MATCH(1, (AsistenciaJetAdminConcatenada!$A:$A=BU$2)*(AsistenciaJetAdminConcatenada!$B:$B=BU$1), 0)), 1))),  0.5, 0))</f>
        <v>0</v>
      </c>
      <c r="BV96" s="47">
        <f t="array" ref="BV96">IF(AND(ISNUMBER(MATCH(BV$2, AsistenciaJetAdminConcatenada!$A:$A, 0)), ISNUMBER(MATCH(BV$1, AsistenciaJetAdminConcatenada!$B:$B, 0)), ISNUMBER(SEARCH($A96,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ISNUMBER(SEARCH($A96, INDEX(AsistenciaJetAdminConcatenada!$D:$D, MATCH(1, (AsistenciaJetAdminConcatenada!$A:$A=BV$2)*(AsistenciaJetAdminConcatenada!$B:$B=BV$1), 0)), 1))),  0.5, 0))</f>
        <v>1</v>
      </c>
      <c r="BW96" s="47">
        <f t="array" ref="BW96">IF(AND(ISNUMBER(MATCH(BW$2, AsistenciaJetAdminConcatenada!$A:$A, 0)), ISNUMBER(MATCH(BW$1, AsistenciaJetAdminConcatenada!$B:$B, 0)), ISNUMBER(SEARCH($A96,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ISNUMBER(SEARCH($A96, INDEX(AsistenciaJetAdminConcatenada!$D:$D, MATCH(1, (AsistenciaJetAdminConcatenada!$A:$A=BW$2)*(AsistenciaJetAdminConcatenada!$B:$B=BW$1), 0)), 1))),  0.5, 0))</f>
        <v>1</v>
      </c>
      <c r="BX96" s="47">
        <f t="array" ref="BX96">IF(AND(ISNUMBER(MATCH(BX$2, AsistenciaJetAdminConcatenada!$A:$A, 0)), ISNUMBER(MATCH(BX$1, AsistenciaJetAdminConcatenada!$B:$B, 0)), ISNUMBER(SEARCH($A96,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ISNUMBER(SEARCH($A96, INDEX(AsistenciaJetAdminConcatenada!$D:$D, MATCH(1, (AsistenciaJetAdminConcatenada!$A:$A=BX$2)*(AsistenciaJetAdminConcatenada!$B:$B=BX$1), 0)), 1))),  0.5, 0))</f>
        <v>1</v>
      </c>
      <c r="BY96" s="47">
        <f t="array" ref="BY96">IF(AND(ISNUMBER(MATCH(BY$2, AsistenciaJetAdminConcatenada!$A:$A, 0)), ISNUMBER(MATCH(BY$1, AsistenciaJetAdminConcatenada!$B:$B, 0)), ISNUMBER(SEARCH($A96,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ISNUMBER(SEARCH($A96, INDEX(AsistenciaJetAdminConcatenada!$D:$D, MATCH(1, (AsistenciaJetAdminConcatenada!$A:$A=BY$2)*(AsistenciaJetAdminConcatenada!$B:$B=BY$1), 0)), 1))),  0.5, 0))</f>
        <v>1</v>
      </c>
      <c r="BZ96" s="47">
        <f t="array" ref="BZ96">IF(AND(ISNUMBER(MATCH(BZ$2, AsistenciaJetAdminConcatenada!$A:$A, 0)), ISNUMBER(MATCH(BZ$1, AsistenciaJetAdminConcatenada!$B:$B, 0)), ISNUMBER(SEARCH($A96,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ISNUMBER(SEARCH($A96, INDEX(AsistenciaJetAdminConcatenada!$D:$D, MATCH(1, (AsistenciaJetAdminConcatenada!$A:$A=BZ$2)*(AsistenciaJetAdminConcatenada!$B:$B=BZ$1), 0)), 1))),  0.5, 0))</f>
        <v>1</v>
      </c>
      <c r="CA96" s="47">
        <f t="array" ref="CA96">IF(AND(ISNUMBER(MATCH(CA$2, AsistenciaJetAdminConcatenada!$A:$A, 0)), ISNUMBER(MATCH(CA$1, AsistenciaJetAdminConcatenada!$B:$B, 0)), ISNUMBER(SEARCH($A96,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ISNUMBER(SEARCH($A96, INDEX(AsistenciaJetAdminConcatenada!$D:$D, MATCH(1, (AsistenciaJetAdminConcatenada!$A:$A=CA$2)*(AsistenciaJetAdminConcatenada!$B:$B=CA$1), 0)), 1))),  0.5, 0))</f>
        <v>1</v>
      </c>
      <c r="CB96" s="47">
        <f t="array" ref="CB96">IF(AND(ISNUMBER(MATCH(CB$2, AsistenciaJetAdminConcatenada!$A:$A, 0)), ISNUMBER(MATCH(CB$1, AsistenciaJetAdminConcatenada!$B:$B, 0)), ISNUMBER(SEARCH($A96,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ISNUMBER(SEARCH($A96, INDEX(AsistenciaJetAdminConcatenada!$D:$D, MATCH(1, (AsistenciaJetAdminConcatenada!$A:$A=CB$2)*(AsistenciaJetAdminConcatenada!$B:$B=CB$1), 0)), 1))),  0.5, 0))</f>
        <v>0</v>
      </c>
      <c r="CC96" s="47">
        <f t="array" ref="CC96">IF(AND(ISNUMBER(MATCH(CC$2, AsistenciaJetAdminConcatenada!$A:$A, 0)), ISNUMBER(MATCH(CC$1, AsistenciaJetAdminConcatenada!$B:$B, 0)), ISNUMBER(SEARCH($A96,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ISNUMBER(SEARCH($A96, INDEX(AsistenciaJetAdminConcatenada!$D:$D, MATCH(1, (AsistenciaJetAdminConcatenada!$A:$A=CC$2)*(AsistenciaJetAdminConcatenada!$B:$B=CC$1), 0)), 1))),  0.5, 0))</f>
        <v>0</v>
      </c>
      <c r="CD96" s="47">
        <f t="array" ref="CD96">IF(AND(ISNUMBER(MATCH(CD$2, AsistenciaJetAdminConcatenada!$A:$A, 0)), ISNUMBER(MATCH(CD$1, AsistenciaJetAdminConcatenada!$B:$B, 0)), ISNUMBER(SEARCH($A96,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ISNUMBER(SEARCH($A96, INDEX(AsistenciaJetAdminConcatenada!$D:$D, MATCH(1, (AsistenciaJetAdminConcatenada!$A:$A=CD$2)*(AsistenciaJetAdminConcatenada!$B:$B=CD$1), 0)), 1))),  0.5, 0))</f>
        <v>0</v>
      </c>
      <c r="CE96" s="47">
        <f t="array" ref="CE96">IF(AND(ISNUMBER(MATCH(CE$2, AsistenciaJetAdminConcatenada!$A:$A, 0)), ISNUMBER(MATCH(CE$1, AsistenciaJetAdminConcatenada!$B:$B, 0)), ISNUMBER(SEARCH($A96,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ISNUMBER(SEARCH($A96, INDEX(AsistenciaJetAdminConcatenada!$D:$D, MATCH(1, (AsistenciaJetAdminConcatenada!$A:$A=CE$2)*(AsistenciaJetAdminConcatenada!$B:$B=CE$1), 0)), 1))),  0.5, 0))</f>
        <v>0</v>
      </c>
      <c r="CF96" s="47">
        <f t="array" ref="CF96">IF(AND(ISNUMBER(MATCH(CF$2, AsistenciaJetAdminConcatenada!$A:$A, 0)), ISNUMBER(MATCH(CF$1, AsistenciaJetAdminConcatenada!$B:$B, 0)), ISNUMBER(SEARCH($A96,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ISNUMBER(SEARCH($A96, INDEX(AsistenciaJetAdminConcatenada!$D:$D, MATCH(1, (AsistenciaJetAdminConcatenada!$A:$A=CF$2)*(AsistenciaJetAdminConcatenada!$B:$B=CF$1), 0)), 1))),  0.5, 0))</f>
        <v>0</v>
      </c>
      <c r="CG96" s="47">
        <f t="array" ref="CG96">IF(AND(ISNUMBER(MATCH(CG$2, AsistenciaJetAdminConcatenada!$A:$A, 0)), ISNUMBER(MATCH(CG$1, AsistenciaJetAdminConcatenada!$B:$B, 0)), ISNUMBER(SEARCH($A96,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ISNUMBER(SEARCH($A96, INDEX(AsistenciaJetAdminConcatenada!$D:$D, MATCH(1, (AsistenciaJetAdminConcatenada!$A:$A=CG$2)*(AsistenciaJetAdminConcatenada!$B:$B=CG$1), 0)), 1))),  0.5, 0))</f>
        <v>0</v>
      </c>
      <c r="CH96" s="47">
        <f t="array" ref="CH96">IF(AND(ISNUMBER(MATCH(CH$2, AsistenciaJetAdminConcatenada!$A:$A, 0)), ISNUMBER(MATCH(CH$1, AsistenciaJetAdminConcatenada!$B:$B, 0)), ISNUMBER(SEARCH($A96,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ISNUMBER(SEARCH($A96, INDEX(AsistenciaJetAdminConcatenada!$D:$D, MATCH(1, (AsistenciaJetAdminConcatenada!$A:$A=CH$2)*(AsistenciaJetAdminConcatenada!$B:$B=CH$1), 0)), 1))),  0.5, 0))</f>
        <v>0</v>
      </c>
      <c r="CI96" s="47">
        <f t="array" ref="CI96">IF(AND(ISNUMBER(MATCH(CI$2, AsistenciaJetAdminConcatenada!$A:$A, 0)), ISNUMBER(MATCH(CI$1, AsistenciaJetAdminConcatenada!$B:$B, 0)), ISNUMBER(SEARCH($A96,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ISNUMBER(SEARCH($A96, INDEX(AsistenciaJetAdminConcatenada!$D:$D, MATCH(1, (AsistenciaJetAdminConcatenada!$A:$A=CI$2)*(AsistenciaJetAdminConcatenada!$B:$B=CI$1), 0)), 1))),  0.5, 0))</f>
        <v>0</v>
      </c>
      <c r="CJ96" s="47">
        <f t="array" ref="CJ96">IF(AND(ISNUMBER(MATCH(CJ$2, AsistenciaJetAdminConcatenada!$A:$A, 0)), ISNUMBER(MATCH(CJ$1, AsistenciaJetAdminConcatenada!$B:$B, 0)), ISNUMBER(SEARCH($A96,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ISNUMBER(SEARCH($A96, INDEX(AsistenciaJetAdminConcatenada!$D:$D, MATCH(1, (AsistenciaJetAdminConcatenada!$A:$A=CJ$2)*(AsistenciaJetAdminConcatenada!$B:$B=CJ$1), 0)), 1))),  0.5, 0))</f>
        <v>1</v>
      </c>
      <c r="CK96" s="47">
        <f t="array" ref="CK96">IF(AND(ISNUMBER(MATCH(CK$2, AsistenciaJetAdminConcatenada!$A:$A, 0)), ISNUMBER(MATCH(CK$1, AsistenciaJetAdminConcatenada!$B:$B, 0)), ISNUMBER(SEARCH($A96,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ISNUMBER(SEARCH($A96, INDEX(AsistenciaJetAdminConcatenada!$D:$D, MATCH(1, (AsistenciaJetAdminConcatenada!$A:$A=CK$2)*(AsistenciaJetAdminConcatenada!$B:$B=CK$1), 0)), 1))),  0.5, 0))</f>
        <v>0</v>
      </c>
      <c r="CL96" s="47">
        <f t="array" ref="CL96">IF(AND(ISNUMBER(MATCH(CL$2, AsistenciaJetAdminConcatenada!$A:$A, 0)), ISNUMBER(MATCH(CL$1, AsistenciaJetAdminConcatenada!$B:$B, 0)), ISNUMBER(SEARCH($A96,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ISNUMBER(SEARCH($A96, INDEX(AsistenciaJetAdminConcatenada!$D:$D, MATCH(1, (AsistenciaJetAdminConcatenada!$A:$A=CL$2)*(AsistenciaJetAdminConcatenada!$B:$B=CL$1), 0)), 1))),  0.5, 0))</f>
        <v>1</v>
      </c>
      <c r="CM96" s="47">
        <f t="array" ref="CM96">IF(AND(ISNUMBER(MATCH(CM$2, AsistenciaJetAdminConcatenada!$A:$A, 0)), ISNUMBER(MATCH(CM$1, AsistenciaJetAdminConcatenada!$B:$B, 0)), ISNUMBER(SEARCH($A96,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ISNUMBER(SEARCH($A96, INDEX(AsistenciaJetAdminConcatenada!$D:$D, MATCH(1, (AsistenciaJetAdminConcatenada!$A:$A=CM$2)*(AsistenciaJetAdminConcatenada!$B:$B=CM$1), 0)), 1))),  0.5, 0))</f>
        <v>1</v>
      </c>
      <c r="CN96" s="47">
        <f t="array" ref="CN96">IF(AND(ISNUMBER(MATCH(CN$2, AsistenciaJetAdminConcatenada!$A:$A, 0)), ISNUMBER(MATCH(CN$1, AsistenciaJetAdminConcatenada!$B:$B, 0)), ISNUMBER(SEARCH($A96,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ISNUMBER(SEARCH($A96, INDEX(AsistenciaJetAdminConcatenada!$D:$D, MATCH(1, (AsistenciaJetAdminConcatenada!$A:$A=CN$2)*(AsistenciaJetAdminConcatenada!$B:$B=CN$1), 0)), 1))),  0.5, 0))</f>
        <v>0</v>
      </c>
      <c r="CO96" s="47">
        <f t="array" ref="CO96">IF(AND(ISNUMBER(MATCH(CO$2, AsistenciaJetAdminConcatenada!$A:$A, 0)), ISNUMBER(MATCH(CO$1, AsistenciaJetAdminConcatenada!$B:$B, 0)), ISNUMBER(SEARCH($A96,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ISNUMBER(SEARCH($A96, INDEX(AsistenciaJetAdminConcatenada!$D:$D, MATCH(1, (AsistenciaJetAdminConcatenada!$A:$A=CO$2)*(AsistenciaJetAdminConcatenada!$B:$B=CO$1), 0)), 1))),  0.5, 0))</f>
        <v>1</v>
      </c>
      <c r="CP96" s="47">
        <f t="array" ref="CP96">IF(AND(ISNUMBER(MATCH(CP$2, AsistenciaJetAdminConcatenada!$A:$A, 0)), ISNUMBER(MATCH(CP$1, AsistenciaJetAdminConcatenada!$B:$B, 0)), ISNUMBER(SEARCH($A96,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ISNUMBER(SEARCH($A96, INDEX(AsistenciaJetAdminConcatenada!$D:$D, MATCH(1, (AsistenciaJetAdminConcatenada!$A:$A=CP$2)*(AsistenciaJetAdminConcatenada!$B:$B=CP$1), 0)), 1))),  0.5, 0))</f>
        <v>0</v>
      </c>
      <c r="CQ96" s="47">
        <f t="array" ref="CQ96">IF(AND(ISNUMBER(MATCH(CQ$2, AsistenciaJetAdminConcatenada!$A:$A, 0)), ISNUMBER(MATCH(CQ$1, AsistenciaJetAdminConcatenada!$B:$B, 0)), ISNUMBER(SEARCH($A96,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ISNUMBER(SEARCH($A96, INDEX(AsistenciaJetAdminConcatenada!$D:$D, MATCH(1, (AsistenciaJetAdminConcatenada!$A:$A=CQ$2)*(AsistenciaJetAdminConcatenada!$B:$B=CQ$1), 0)), 1))),  0.5, 0))</f>
        <v>0</v>
      </c>
      <c r="CR96" s="47">
        <f t="array" ref="CR96">IF(AND(ISNUMBER(MATCH(CR$2, AsistenciaJetAdminConcatenada!$A:$A, 0)), ISNUMBER(MATCH(CR$1, AsistenciaJetAdminConcatenada!$B:$B, 0)), ISNUMBER(SEARCH($A96,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ISNUMBER(SEARCH($A96, INDEX(AsistenciaJetAdminConcatenada!$D:$D, MATCH(1, (AsistenciaJetAdminConcatenada!$A:$A=CR$2)*(AsistenciaJetAdminConcatenada!$B:$B=CR$1), 0)), 1))),  0.5, 0))</f>
        <v>0</v>
      </c>
      <c r="CS96" s="47">
        <f t="array" ref="CS96">IF(AND(ISNUMBER(MATCH(CS$2, AsistenciaJetAdminConcatenada!$A:$A, 0)), ISNUMBER(MATCH(CS$1, AsistenciaJetAdminConcatenada!$B:$B, 0)), ISNUMBER(SEARCH($A96,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ISNUMBER(SEARCH($A96, INDEX(AsistenciaJetAdminConcatenada!$D:$D, MATCH(1, (AsistenciaJetAdminConcatenada!$A:$A=CS$2)*(AsistenciaJetAdminConcatenada!$B:$B=CS$1), 0)), 1))),  0.5, 0))</f>
        <v>0</v>
      </c>
      <c r="CT96" s="47">
        <f t="array" ref="CT96">IF(AND(ISNUMBER(MATCH(CT$2, AsistenciaJetAdminConcatenada!$A:$A, 0)), ISNUMBER(MATCH(CT$1, AsistenciaJetAdminConcatenada!$B:$B, 0)), ISNUMBER(SEARCH($A96,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ISNUMBER(SEARCH($A96, INDEX(AsistenciaJetAdminConcatenada!$D:$D, MATCH(1, (AsistenciaJetAdminConcatenada!$A:$A=CT$2)*(AsistenciaJetAdminConcatenada!$B:$B=CT$1), 0)), 1))),  0.5, 0))</f>
        <v>0</v>
      </c>
      <c r="CU96" s="47">
        <f t="array" ref="CU96">IF(AND(ISNUMBER(MATCH(CU$2, AsistenciaJetAdminConcatenada!$A:$A, 0)), ISNUMBER(MATCH(CU$1, AsistenciaJetAdminConcatenada!$B:$B, 0)), ISNUMBER(SEARCH($A96,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ISNUMBER(SEARCH($A96, INDEX(AsistenciaJetAdminConcatenada!$D:$D, MATCH(1, (AsistenciaJetAdminConcatenada!$A:$A=CU$2)*(AsistenciaJetAdminConcatenada!$B:$B=CU$1), 0)), 1))),  0.5, 0))</f>
        <v>0</v>
      </c>
      <c r="CV96" s="47">
        <f t="array" ref="CV96">IF(AND(ISNUMBER(MATCH(CV$2, AsistenciaJetAdminConcatenada!$A:$A, 0)), ISNUMBER(MATCH(CV$1, AsistenciaJetAdminConcatenada!$B:$B, 0)), ISNUMBER(SEARCH($A96,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ISNUMBER(SEARCH($A96, INDEX(AsistenciaJetAdminConcatenada!$D:$D, MATCH(1, (AsistenciaJetAdminConcatenada!$A:$A=CV$2)*(AsistenciaJetAdminConcatenada!$B:$B=CV$1), 0)), 1))),  0.5, 0))</f>
        <v>0</v>
      </c>
      <c r="CW96" s="47">
        <f t="array" ref="CW96">IF(AND(ISNUMBER(MATCH(CW$2, AsistenciaJetAdminConcatenada!$A:$A, 0)), ISNUMBER(MATCH(CW$1, AsistenciaJetAdminConcatenada!$B:$B, 0)), ISNUMBER(SEARCH($A96,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ISNUMBER(SEARCH($A96, INDEX(AsistenciaJetAdminConcatenada!$D:$D, MATCH(1, (AsistenciaJetAdminConcatenada!$A:$A=CW$2)*(AsistenciaJetAdminConcatenada!$B:$B=CW$1), 0)), 1))),  0.5, 0))</f>
        <v>0</v>
      </c>
      <c r="CX96" s="47">
        <f t="array" ref="CX96">IF(AND(ISNUMBER(MATCH(CX$2, AsistenciaJetAdminConcatenada!$A:$A, 0)), ISNUMBER(MATCH(CX$1, AsistenciaJetAdminConcatenada!$B:$B, 0)), ISNUMBER(SEARCH($A96,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ISNUMBER(SEARCH($A96, INDEX(AsistenciaJetAdminConcatenada!$D:$D, MATCH(1, (AsistenciaJetAdminConcatenada!$A:$A=CX$2)*(AsistenciaJetAdminConcatenada!$B:$B=CX$1), 0)), 1))),  0.5, 0))</f>
        <v>0</v>
      </c>
      <c r="CY96" s="47">
        <f t="array" ref="CY96">IF(AND(ISNUMBER(MATCH(CY$2, AsistenciaJetAdminConcatenada!$A:$A, 0)), ISNUMBER(MATCH(CY$1, AsistenciaJetAdminConcatenada!$B:$B, 0)), ISNUMBER(SEARCH($A96,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ISNUMBER(SEARCH($A96, INDEX(AsistenciaJetAdminConcatenada!$D:$D, MATCH(1, (AsistenciaJetAdminConcatenada!$A:$A=CY$2)*(AsistenciaJetAdminConcatenada!$B:$B=CY$1), 0)), 1))),  0.5, 0))</f>
        <v>0</v>
      </c>
      <c r="CZ96" s="47">
        <f t="array" ref="CZ96">IF(AND(ISNUMBER(MATCH(CZ$2, AsistenciaJetAdminConcatenada!$A:$A, 0)), ISNUMBER(MATCH(CZ$1, AsistenciaJetAdminConcatenada!$B:$B, 0)), ISNUMBER(SEARCH($A96,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ISNUMBER(SEARCH($A96, INDEX(AsistenciaJetAdminConcatenada!$D:$D, MATCH(1, (AsistenciaJetAdminConcatenada!$A:$A=CZ$2)*(AsistenciaJetAdminConcatenada!$B:$B=CZ$1), 0)), 1))),  0.5, 0))</f>
        <v>0</v>
      </c>
      <c r="DA96" s="47">
        <f t="array" ref="DA96">IF(AND(ISNUMBER(MATCH(DA$2, AsistenciaJetAdminConcatenada!$A:$A, 0)), ISNUMBER(MATCH(DA$1, AsistenciaJetAdminConcatenada!$B:$B, 0)), ISNUMBER(SEARCH($A96,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ISNUMBER(SEARCH($A96, INDEX(AsistenciaJetAdminConcatenada!$D:$D, MATCH(1, (AsistenciaJetAdminConcatenada!$A:$A=DA$2)*(AsistenciaJetAdminConcatenada!$B:$B=DA$1), 0)), 1))),  0.5, 0))</f>
        <v>0</v>
      </c>
      <c r="DB96" s="47">
        <f t="array" ref="DB96">IF(AND(ISNUMBER(MATCH(DB$2, AsistenciaJetAdminConcatenada!$A:$A, 0)), ISNUMBER(MATCH(DB$1, AsistenciaJetAdminConcatenada!$B:$B, 0)), ISNUMBER(SEARCH($A96,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ISNUMBER(SEARCH($A96, INDEX(AsistenciaJetAdminConcatenada!$D:$D, MATCH(1, (AsistenciaJetAdminConcatenada!$A:$A=DB$2)*(AsistenciaJetAdminConcatenada!$B:$B=DB$1), 0)), 1))),  0.5, 0))</f>
        <v>0</v>
      </c>
      <c r="DC96" s="47">
        <f t="array" ref="DC96">IF(AND(ISNUMBER(MATCH(DC$2, AsistenciaJetAdminConcatenada!$A:$A, 0)), ISNUMBER(MATCH(DC$1, AsistenciaJetAdminConcatenada!$B:$B, 0)), ISNUMBER(SEARCH($A96,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ISNUMBER(SEARCH($A96, INDEX(AsistenciaJetAdminConcatenada!$D:$D, MATCH(1, (AsistenciaJetAdminConcatenada!$A:$A=DC$2)*(AsistenciaJetAdminConcatenada!$B:$B=DC$1), 0)), 1))),  0.5, 0))</f>
        <v>0</v>
      </c>
      <c r="DD96" s="47">
        <f t="array" ref="DD96">IF(AND(ISNUMBER(MATCH(DD$2, AsistenciaJetAdminConcatenada!$A:$A, 0)), ISNUMBER(MATCH(DD$1, AsistenciaJetAdminConcatenada!$B:$B, 0)), ISNUMBER(SEARCH($A96,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ISNUMBER(SEARCH($A96, INDEX(AsistenciaJetAdminConcatenada!$D:$D, MATCH(1, (AsistenciaJetAdminConcatenada!$A:$A=DD$2)*(AsistenciaJetAdminConcatenada!$B:$B=DD$1), 0)), 1))),  0.5, 0))</f>
        <v>0</v>
      </c>
      <c r="DE96" s="47">
        <f t="array" ref="DE96">IF(AND(ISNUMBER(MATCH(DE$2, AsistenciaJetAdminConcatenada!$A:$A, 0)), ISNUMBER(MATCH(DE$1, AsistenciaJetAdminConcatenada!$B:$B, 0)), ISNUMBER(SEARCH($A96,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ISNUMBER(SEARCH($A96, INDEX(AsistenciaJetAdminConcatenada!$D:$D, MATCH(1, (AsistenciaJetAdminConcatenada!$A:$A=DE$2)*(AsistenciaJetAdminConcatenada!$B:$B=DE$1), 0)), 1))),  0.5, 0))</f>
        <v>0</v>
      </c>
      <c r="DF96" s="47">
        <f t="array" ref="DF96">IF(AND(ISNUMBER(MATCH(DF$2, AsistenciaJetAdminConcatenada!$A:$A, 0)), ISNUMBER(MATCH(DF$1, AsistenciaJetAdminConcatenada!$B:$B, 0)), ISNUMBER(SEARCH($A96,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ISNUMBER(SEARCH($A96, INDEX(AsistenciaJetAdminConcatenada!$D:$D, MATCH(1, (AsistenciaJetAdminConcatenada!$A:$A=DF$2)*(AsistenciaJetAdminConcatenada!$B:$B=DF$1), 0)), 1))),  0.5, 0))</f>
        <v>0</v>
      </c>
      <c r="DG96" s="47">
        <f t="array" ref="DG96">IF(AND(ISNUMBER(MATCH(DG$2, AsistenciaJetAdminConcatenada!$A:$A, 0)), ISNUMBER(MATCH(DG$1, AsistenciaJetAdminConcatenada!$B:$B, 0)), ISNUMBER(SEARCH($A96,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ISNUMBER(SEARCH($A96, INDEX(AsistenciaJetAdminConcatenada!$D:$D, MATCH(1, (AsistenciaJetAdminConcatenada!$A:$A=DG$2)*(AsistenciaJetAdminConcatenada!$B:$B=DG$1), 0)), 1))),  0.5, 0))</f>
        <v>0</v>
      </c>
      <c r="DH96" s="47">
        <f t="array" ref="DH96">IF(AND(ISNUMBER(MATCH(DH$2, AsistenciaJetAdminConcatenada!$A:$A, 0)), ISNUMBER(MATCH(DH$1, AsistenciaJetAdminConcatenada!$B:$B, 0)), ISNUMBER(SEARCH($A96,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ISNUMBER(SEARCH($A96, INDEX(AsistenciaJetAdminConcatenada!$D:$D, MATCH(1, (AsistenciaJetAdminConcatenada!$A:$A=DH$2)*(AsistenciaJetAdminConcatenada!$B:$B=DH$1), 0)), 1))),  0.5, 0))</f>
        <v>0</v>
      </c>
      <c r="DI96" s="47">
        <f t="array" ref="DI96">IF(AND(ISNUMBER(MATCH(DI$2, AsistenciaJetAdminConcatenada!$A:$A, 0)), ISNUMBER(MATCH(DI$1, AsistenciaJetAdminConcatenada!$B:$B, 0)), ISNUMBER(SEARCH($A96,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ISNUMBER(SEARCH($A96, INDEX(AsistenciaJetAdminConcatenada!$D:$D, MATCH(1, (AsistenciaJetAdminConcatenada!$A:$A=DI$2)*(AsistenciaJetAdminConcatenada!$B:$B=DI$1), 0)), 1))),  0.5, 0))</f>
        <v>0</v>
      </c>
      <c r="DJ96" s="47">
        <f t="array" ref="DJ96">IF(AND(ISNUMBER(MATCH(DJ$2, AsistenciaJetAdminConcatenada!$A:$A, 0)), ISNUMBER(MATCH(DJ$1, AsistenciaJetAdminConcatenada!$B:$B, 0)), ISNUMBER(SEARCH($A96,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ISNUMBER(SEARCH($A96, INDEX(AsistenciaJetAdminConcatenada!$D:$D, MATCH(1, (AsistenciaJetAdminConcatenada!$A:$A=DJ$2)*(AsistenciaJetAdminConcatenada!$B:$B=DJ$1), 0)), 1))),  0.5, 0))</f>
        <v>0</v>
      </c>
      <c r="DK96" s="47">
        <f t="array" ref="DK96">IF(AND(ISNUMBER(MATCH(DK$2, AsistenciaJetAdminConcatenada!$A:$A, 0)), ISNUMBER(MATCH(DK$1, AsistenciaJetAdminConcatenada!$B:$B, 0)), ISNUMBER(SEARCH($A96,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ISNUMBER(SEARCH($A96, INDEX(AsistenciaJetAdminConcatenada!$D:$D, MATCH(1, (AsistenciaJetAdminConcatenada!$A:$A=DK$2)*(AsistenciaJetAdminConcatenada!$B:$B=DK$1), 0)), 1))),  0.5, 0))</f>
        <v>0</v>
      </c>
      <c r="DL96" s="47">
        <f t="array" ref="DL96">IF(AND(ISNUMBER(MATCH(DL$2, AsistenciaJetAdminConcatenada!$A:$A, 0)), ISNUMBER(MATCH(DL$1, AsistenciaJetAdminConcatenada!$B:$B, 0)), ISNUMBER(SEARCH($A96,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ISNUMBER(SEARCH($A96, INDEX(AsistenciaJetAdminConcatenada!$D:$D, MATCH(1, (AsistenciaJetAdminConcatenada!$A:$A=DL$2)*(AsistenciaJetAdminConcatenada!$B:$B=DL$1), 0)), 1))),  0.5, 0))</f>
        <v>0</v>
      </c>
      <c r="DM96" s="47">
        <f t="array" ref="DM96">IF(AND(ISNUMBER(MATCH(DM$2, AsistenciaJetAdminConcatenada!$A:$A, 0)), ISNUMBER(MATCH(DM$1, AsistenciaJetAdminConcatenada!$B:$B, 0)), ISNUMBER(SEARCH($A96,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ISNUMBER(SEARCH($A96, INDEX(AsistenciaJetAdminConcatenada!$D:$D, MATCH(1, (AsistenciaJetAdminConcatenada!$A:$A=DM$2)*(AsistenciaJetAdminConcatenada!$B:$B=DM$1), 0)), 1))),  0.5, 0))</f>
        <v>0</v>
      </c>
      <c r="DN96" s="47">
        <f t="array" ref="DN96">IF(AND(ISNUMBER(MATCH(DN$2, AsistenciaJetAdminConcatenada!$A:$A, 0)), ISNUMBER(MATCH(DN$1, AsistenciaJetAdminConcatenada!$B:$B, 0)), ISNUMBER(SEARCH($A96,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ISNUMBER(SEARCH($A96, INDEX(AsistenciaJetAdminConcatenada!$D:$D, MATCH(1, (AsistenciaJetAdminConcatenada!$A:$A=DN$2)*(AsistenciaJetAdminConcatenada!$B:$B=DN$1), 0)), 1))),  0.5, 0))</f>
        <v>0</v>
      </c>
      <c r="DO96" s="47">
        <f t="array" ref="DO96">IF(AND(ISNUMBER(MATCH(DO$2, AsistenciaJetAdminConcatenada!$A:$A, 0)), ISNUMBER(MATCH(DO$1, AsistenciaJetAdminConcatenada!$B:$B, 0)), ISNUMBER(SEARCH($A96,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ISNUMBER(SEARCH($A96, INDEX(AsistenciaJetAdminConcatenada!$D:$D, MATCH(1, (AsistenciaJetAdminConcatenada!$A:$A=DO$2)*(AsistenciaJetAdminConcatenada!$B:$B=DO$1), 0)), 1))),  0.5, 0))</f>
        <v>0</v>
      </c>
      <c r="DP96" s="47">
        <f t="array" ref="DP96">IF(AND(ISNUMBER(MATCH(DP$2, AsistenciaJetAdminConcatenada!$A:$A, 0)), ISNUMBER(MATCH(DP$1, AsistenciaJetAdminConcatenada!$B:$B, 0)), ISNUMBER(SEARCH($A96,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ISNUMBER(SEARCH($A96, INDEX(AsistenciaJetAdminConcatenada!$D:$D, MATCH(1, (AsistenciaJetAdminConcatenada!$A:$A=DP$2)*(AsistenciaJetAdminConcatenada!$B:$B=DP$1), 0)), 1))),  0.5, 0))</f>
        <v>0</v>
      </c>
      <c r="DQ96" s="47">
        <f t="array" ref="DQ96">IF(AND(ISNUMBER(MATCH(DQ$2, AsistenciaJetAdminConcatenada!$A:$A, 0)), ISNUMBER(MATCH(DQ$1, AsistenciaJetAdminConcatenada!$B:$B, 0)), ISNUMBER(SEARCH($A96,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ISNUMBER(SEARCH($A96, INDEX(AsistenciaJetAdminConcatenada!$D:$D, MATCH(1, (AsistenciaJetAdminConcatenada!$A:$A=DQ$2)*(AsistenciaJetAdminConcatenada!$B:$B=DQ$1), 0)), 1))),  0.5, 0))</f>
        <v>0</v>
      </c>
      <c r="DR96" s="47">
        <f t="array" ref="DR96">IF(AND(ISNUMBER(MATCH(DR$2, AsistenciaJetAdminConcatenada!$A:$A, 0)), ISNUMBER(MATCH(DR$1, AsistenciaJetAdminConcatenada!$B:$B, 0)), ISNUMBER(SEARCH($A96,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ISNUMBER(SEARCH($A96, INDEX(AsistenciaJetAdminConcatenada!$D:$D, MATCH(1, (AsistenciaJetAdminConcatenada!$A:$A=DR$2)*(AsistenciaJetAdminConcatenada!$B:$B=DR$1), 0)), 1))),  0.5, 0))</f>
        <v>0</v>
      </c>
      <c r="DS96" s="47">
        <f t="array" ref="DS96">IF(AND(ISNUMBER(MATCH(DS$2, AsistenciaJetAdminConcatenada!$A:$A, 0)), ISNUMBER(MATCH(DS$1, AsistenciaJetAdminConcatenada!$B:$B, 0)), ISNUMBER(SEARCH($A96,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ISNUMBER(SEARCH($A96, INDEX(AsistenciaJetAdminConcatenada!$D:$D, MATCH(1, (AsistenciaJetAdminConcatenada!$A:$A=DS$2)*(AsistenciaJetAdminConcatenada!$B:$B=DS$1), 0)), 1))),  0.5, 0))</f>
        <v>0</v>
      </c>
      <c r="DT96" s="47">
        <f t="array" ref="DT96">IF(AND(ISNUMBER(MATCH(DT$2, AsistenciaJetAdminConcatenada!$A:$A, 0)), ISNUMBER(MATCH(DT$1, AsistenciaJetAdminConcatenada!$B:$B, 0)), ISNUMBER(SEARCH($A96,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ISNUMBER(SEARCH($A96, INDEX(AsistenciaJetAdminConcatenada!$D:$D, MATCH(1, (AsistenciaJetAdminConcatenada!$A:$A=DT$2)*(AsistenciaJetAdminConcatenada!$B:$B=DT$1), 0)), 1))),  0.5, 0))</f>
        <v>0</v>
      </c>
      <c r="DU96" s="47">
        <f t="array" ref="DU96">IF(AND(ISNUMBER(MATCH(DU$2, AsistenciaJetAdminConcatenada!$A:$A, 0)), ISNUMBER(MATCH(DU$1, AsistenciaJetAdminConcatenada!$B:$B, 0)), ISNUMBER(SEARCH($A96,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ISNUMBER(SEARCH($A96, INDEX(AsistenciaJetAdminConcatenada!$D:$D, MATCH(1, (AsistenciaJetAdminConcatenada!$A:$A=DU$2)*(AsistenciaJetAdminConcatenada!$B:$B=DU$1), 0)), 1))),  0.5, 0))</f>
        <v>0</v>
      </c>
      <c r="DV96" s="47">
        <f t="array" ref="DV96">IF(AND(ISNUMBER(MATCH(DV$2, AsistenciaJetAdminConcatenada!$A:$A, 0)), ISNUMBER(MATCH(DV$1, AsistenciaJetAdminConcatenada!$B:$B, 0)), ISNUMBER(SEARCH($A96,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ISNUMBER(SEARCH($A96, INDEX(AsistenciaJetAdminConcatenada!$D:$D, MATCH(1, (AsistenciaJetAdminConcatenada!$A:$A=DV$2)*(AsistenciaJetAdminConcatenada!$B:$B=DV$1), 0)), 1))),  0.5, 0))</f>
        <v>0</v>
      </c>
      <c r="DW96" s="47">
        <f t="array" ref="DW96">IF(AND(ISNUMBER(MATCH(DW$2, AsistenciaJetAdminConcatenada!$A:$A, 0)), ISNUMBER(MATCH(DW$1, AsistenciaJetAdminConcatenada!$B:$B, 0)), ISNUMBER(SEARCH($A96,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ISNUMBER(SEARCH($A96, INDEX(AsistenciaJetAdminConcatenada!$D:$D, MATCH(1, (AsistenciaJetAdminConcatenada!$A:$A=DW$2)*(AsistenciaJetAdminConcatenada!$B:$B=DW$1), 0)), 1))),  0.5, 0))</f>
        <v>0</v>
      </c>
      <c r="DX96" s="47">
        <f t="array" ref="DX96">IF(AND(ISNUMBER(MATCH(DX$2, AsistenciaJetAdminConcatenada!$A:$A, 0)), ISNUMBER(MATCH(DX$1, AsistenciaJetAdminConcatenada!$B:$B, 0)), ISNUMBER(SEARCH($A96,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ISNUMBER(SEARCH($A96, INDEX(AsistenciaJetAdminConcatenada!$D:$D, MATCH(1, (AsistenciaJetAdminConcatenada!$A:$A=DX$2)*(AsistenciaJetAdminConcatenada!$B:$B=DX$1), 0)), 1))),  0.5, 0))</f>
        <v>0</v>
      </c>
      <c r="DY96" s="47">
        <f t="array" ref="DY96">IF(AND(ISNUMBER(MATCH(DY$2, AsistenciaJetAdminConcatenada!$A:$A, 0)), ISNUMBER(MATCH(DY$1, AsistenciaJetAdminConcatenada!$B:$B, 0)), ISNUMBER(SEARCH($A96,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ISNUMBER(SEARCH($A96, INDEX(AsistenciaJetAdminConcatenada!$D:$D, MATCH(1, (AsistenciaJetAdminConcatenada!$A:$A=DY$2)*(AsistenciaJetAdminConcatenada!$B:$B=DY$1), 0)), 1))),  0.5, 0))</f>
        <v>0</v>
      </c>
      <c r="DZ96" s="47">
        <f t="array" ref="DZ96">IF(AND(ISNUMBER(MATCH(DZ$2, AsistenciaJetAdminConcatenada!$A:$A, 0)), ISNUMBER(MATCH(DZ$1, AsistenciaJetAdminConcatenada!$B:$B, 0)), ISNUMBER(SEARCH($A96,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ISNUMBER(SEARCH($A96, INDEX(AsistenciaJetAdminConcatenada!$D:$D, MATCH(1, (AsistenciaJetAdminConcatenada!$A:$A=DZ$2)*(AsistenciaJetAdminConcatenada!$B:$B=DZ$1), 0)), 1))),  0.5, 0))</f>
        <v>0</v>
      </c>
      <c r="EA96" s="47">
        <f t="array" ref="EA96">IF(AND(ISNUMBER(MATCH(EA$2, AsistenciaJetAdminConcatenada!$A:$A, 0)), ISNUMBER(MATCH(EA$1, AsistenciaJetAdminConcatenada!$B:$B, 0)), ISNUMBER(SEARCH($A96,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ISNUMBER(SEARCH($A96, INDEX(AsistenciaJetAdminConcatenada!$D:$D, MATCH(1, (AsistenciaJetAdminConcatenada!$A:$A=EA$2)*(AsistenciaJetAdminConcatenada!$B:$B=EA$1), 0)), 1))),  0.5, 0))</f>
        <v>0</v>
      </c>
      <c r="EB96" s="47">
        <f t="array" ref="EB96">IF(AND(ISNUMBER(MATCH(EB$2, AsistenciaJetAdminConcatenada!$A:$A, 0)), ISNUMBER(MATCH(EB$1, AsistenciaJetAdminConcatenada!$B:$B, 0)), ISNUMBER(SEARCH($A96,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ISNUMBER(SEARCH($A96, INDEX(AsistenciaJetAdminConcatenada!$D:$D, MATCH(1, (AsistenciaJetAdminConcatenada!$A:$A=EB$2)*(AsistenciaJetAdminConcatenada!$B:$B=EB$1), 0)), 1))),  0.5, 0))</f>
        <v>0</v>
      </c>
      <c r="EC96" s="47">
        <f t="array" ref="EC96">IF(AND(ISNUMBER(MATCH(EC$2, AsistenciaJetAdminConcatenada!$A:$A, 0)), ISNUMBER(MATCH(EC$1, AsistenciaJetAdminConcatenada!$B:$B, 0)), ISNUMBER(SEARCH($A96,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ISNUMBER(SEARCH($A96, INDEX(AsistenciaJetAdminConcatenada!$D:$D, MATCH(1, (AsistenciaJetAdminConcatenada!$A:$A=EC$2)*(AsistenciaJetAdminConcatenada!$B:$B=EC$1), 0)), 1))),  0.5, 0))</f>
        <v>0</v>
      </c>
      <c r="ED96" s="47">
        <f t="array" ref="ED96">IF(AND(ISNUMBER(MATCH(ED$2, AsistenciaJetAdminConcatenada!$A:$A, 0)), ISNUMBER(MATCH(ED$1, AsistenciaJetAdminConcatenada!$B:$B, 0)), ISNUMBER(SEARCH($A96,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ISNUMBER(SEARCH($A96, INDEX(AsistenciaJetAdminConcatenada!$D:$D, MATCH(1, (AsistenciaJetAdminConcatenada!$A:$A=ED$2)*(AsistenciaJetAdminConcatenada!$B:$B=ED$1), 0)), 1))),  0.5, 0))</f>
        <v>0</v>
      </c>
      <c r="EE96" s="47">
        <f t="array" ref="EE96">IF(AND(ISNUMBER(MATCH(EE$2, AsistenciaJetAdminConcatenada!$A:$A, 0)), ISNUMBER(MATCH(EE$1, AsistenciaJetAdminConcatenada!$B:$B, 0)), ISNUMBER(SEARCH($A96,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ISNUMBER(SEARCH($A96, INDEX(AsistenciaJetAdminConcatenada!$D:$D, MATCH(1, (AsistenciaJetAdminConcatenada!$A:$A=EE$2)*(AsistenciaJetAdminConcatenada!$B:$B=EE$1), 0)), 1))),  0.5, 0))</f>
        <v>0</v>
      </c>
      <c r="EF96" s="47">
        <f t="array" ref="EF96">IF(AND(ISNUMBER(MATCH(EF$2, AsistenciaJetAdminConcatenada!$A:$A, 0)), ISNUMBER(MATCH(EF$1, AsistenciaJetAdminConcatenada!$B:$B, 0)), ISNUMBER(SEARCH($A96,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ISNUMBER(SEARCH($A96, INDEX(AsistenciaJetAdminConcatenada!$D:$D, MATCH(1, (AsistenciaJetAdminConcatenada!$A:$A=EF$2)*(AsistenciaJetAdminConcatenada!$B:$B=EF$1), 0)), 1))),  0.5, 0))</f>
        <v>0</v>
      </c>
      <c r="EG96" s="47">
        <f t="array" ref="EG96">IF(AND(ISNUMBER(MATCH(EG$2, AsistenciaJetAdminConcatenada!$A:$A, 0)), ISNUMBER(MATCH(EG$1, AsistenciaJetAdminConcatenada!$B:$B, 0)), ISNUMBER(SEARCH($A96,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ISNUMBER(SEARCH($A96, INDEX(AsistenciaJetAdminConcatenada!$D:$D, MATCH(1, (AsistenciaJetAdminConcatenada!$A:$A=EG$2)*(AsistenciaJetAdminConcatenada!$B:$B=EG$1), 0)), 1))),  0.5, 0))</f>
        <v>0</v>
      </c>
      <c r="EH96" s="47">
        <f t="array" ref="EH96">IF(AND(ISNUMBER(MATCH(EH$2, AsistenciaJetAdminConcatenada!$A:$A, 0)), ISNUMBER(MATCH(EH$1, AsistenciaJetAdminConcatenada!$B:$B, 0)), ISNUMBER(SEARCH($A96,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ISNUMBER(SEARCH($A96, INDEX(AsistenciaJetAdminConcatenada!$D:$D, MATCH(1, (AsistenciaJetAdminConcatenada!$A:$A=EH$2)*(AsistenciaJetAdminConcatenada!$B:$B=EH$1), 0)), 1))),  0.5, 0))</f>
        <v>0</v>
      </c>
      <c r="EI96" s="47">
        <f t="array" ref="EI96">IF(AND(ISNUMBER(MATCH(EI$2, AsistenciaJetAdminConcatenada!$A:$A, 0)), ISNUMBER(MATCH(EI$1, AsistenciaJetAdminConcatenada!$B:$B, 0)), ISNUMBER(SEARCH($A96,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ISNUMBER(SEARCH($A96, INDEX(AsistenciaJetAdminConcatenada!$D:$D, MATCH(1, (AsistenciaJetAdminConcatenada!$A:$A=EI$2)*(AsistenciaJetAdminConcatenada!$B:$B=EI$1), 0)), 1))),  0.5, 0))</f>
        <v>0</v>
      </c>
      <c r="EJ96" s="47">
        <f t="array" ref="EJ96">IF(AND(ISNUMBER(MATCH(EJ$2, AsistenciaJetAdminConcatenada!$A:$A, 0)), ISNUMBER(MATCH(EJ$1, AsistenciaJetAdminConcatenada!$B:$B, 0)), ISNUMBER(SEARCH($A96,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ISNUMBER(SEARCH($A96, INDEX(AsistenciaJetAdminConcatenada!$D:$D, MATCH(1, (AsistenciaJetAdminConcatenada!$A:$A=EJ$2)*(AsistenciaJetAdminConcatenada!$B:$B=EJ$1), 0)), 1))),  0.5, 0))</f>
        <v>0</v>
      </c>
      <c r="EK96" s="47">
        <f t="array" ref="EK96">IF(AND(ISNUMBER(MATCH(EK$2, AsistenciaJetAdminConcatenada!$A:$A, 0)), ISNUMBER(MATCH(EK$1, AsistenciaJetAdminConcatenada!$B:$B, 0)), ISNUMBER(SEARCH($A96,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ISNUMBER(SEARCH($A96, INDEX(AsistenciaJetAdminConcatenada!$D:$D, MATCH(1, (AsistenciaJetAdminConcatenada!$A:$A=EK$2)*(AsistenciaJetAdminConcatenada!$B:$B=EK$1), 0)), 1))),  0.5, 0))</f>
        <v>0</v>
      </c>
      <c r="EL96" s="47">
        <f t="array" ref="EL96">IF(AND(ISNUMBER(MATCH(EL$2, AsistenciaJetAdminConcatenada!$A:$A, 0)), ISNUMBER(MATCH(EL$1, AsistenciaJetAdminConcatenada!$B:$B, 0)), ISNUMBER(SEARCH($A96,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ISNUMBER(SEARCH($A96, INDEX(AsistenciaJetAdminConcatenada!$D:$D, MATCH(1, (AsistenciaJetAdminConcatenada!$A:$A=EL$2)*(AsistenciaJetAdminConcatenada!$B:$B=EL$1), 0)), 1))),  0.5, 0))</f>
        <v>0</v>
      </c>
      <c r="EM96" s="47">
        <f t="array" ref="EM96">IF(AND(ISNUMBER(MATCH(EM$2, AsistenciaJetAdminConcatenada!$A:$A, 0)), ISNUMBER(MATCH(EM$1, AsistenciaJetAdminConcatenada!$B:$B, 0)), ISNUMBER(SEARCH($A96,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ISNUMBER(SEARCH($A96, INDEX(AsistenciaJetAdminConcatenada!$D:$D, MATCH(1, (AsistenciaJetAdminConcatenada!$A:$A=EM$2)*(AsistenciaJetAdminConcatenada!$B:$B=EM$1), 0)), 1))),  0.5, 0))</f>
        <v>0</v>
      </c>
      <c r="EN96" s="47">
        <f t="array" ref="EN96">IF(AND(ISNUMBER(MATCH(EN$2, AsistenciaJetAdminConcatenada!$A:$A, 0)), ISNUMBER(MATCH(EN$1, AsistenciaJetAdminConcatenada!$B:$B, 0)), ISNUMBER(SEARCH($A96,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ISNUMBER(SEARCH($A96, INDEX(AsistenciaJetAdminConcatenada!$D:$D, MATCH(1, (AsistenciaJetAdminConcatenada!$A:$A=EN$2)*(AsistenciaJetAdminConcatenada!$B:$B=EN$1), 0)), 1))),  0.5, 0))</f>
        <v>0</v>
      </c>
      <c r="EO96" s="47">
        <f t="array" ref="EO96">IF(AND(ISNUMBER(MATCH(EO$2, AsistenciaJetAdminConcatenada!$A:$A, 0)), ISNUMBER(MATCH(EO$1, AsistenciaJetAdminConcatenada!$B:$B, 0)), ISNUMBER(SEARCH($A96,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ISNUMBER(SEARCH($A96, INDEX(AsistenciaJetAdminConcatenada!$D:$D, MATCH(1, (AsistenciaJetAdminConcatenada!$A:$A=EO$2)*(AsistenciaJetAdminConcatenada!$B:$B=EO$1), 0)), 1))),  0.5, 0))</f>
        <v>0</v>
      </c>
      <c r="EP96" s="47">
        <f t="array" ref="EP96">IF(AND(ISNUMBER(MATCH(EP$2, AsistenciaJetAdminConcatenada!$A:$A, 0)), ISNUMBER(MATCH(EP$1, AsistenciaJetAdminConcatenada!$B:$B, 0)), ISNUMBER(SEARCH($A96,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ISNUMBER(SEARCH($A96, INDEX(AsistenciaJetAdminConcatenada!$D:$D, MATCH(1, (AsistenciaJetAdminConcatenada!$A:$A=EP$2)*(AsistenciaJetAdminConcatenada!$B:$B=EP$1), 0)), 1))),  0.5, 0))</f>
        <v>0</v>
      </c>
      <c r="EQ96" s="47">
        <f t="array" ref="EQ96">IF(AND(ISNUMBER(MATCH(EQ$2, AsistenciaJetAdminConcatenada!$A:$A, 0)), ISNUMBER(MATCH(EQ$1, AsistenciaJetAdminConcatenada!$B:$B, 0)), ISNUMBER(SEARCH($A96,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ISNUMBER(SEARCH($A96, INDEX(AsistenciaJetAdminConcatenada!$D:$D, MATCH(1, (AsistenciaJetAdminConcatenada!$A:$A=EQ$2)*(AsistenciaJetAdminConcatenada!$B:$B=EQ$1), 0)), 1))),  0.5, 0))</f>
        <v>0</v>
      </c>
      <c r="ER96" s="47">
        <f t="array" ref="ER96">IF(AND(ISNUMBER(MATCH(ER$2, AsistenciaJetAdminConcatenada!$A:$A, 0)), ISNUMBER(MATCH(ER$1, AsistenciaJetAdminConcatenada!$B:$B, 0)), ISNUMBER(SEARCH($A96,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ISNUMBER(SEARCH($A96, INDEX(AsistenciaJetAdminConcatenada!$D:$D, MATCH(1, (AsistenciaJetAdminConcatenada!$A:$A=ER$2)*(AsistenciaJetAdminConcatenada!$B:$B=ER$1), 0)), 1))),  0.5, 0))</f>
        <v>0</v>
      </c>
      <c r="ES96" s="47">
        <f t="array" ref="ES96">IF(AND(ISNUMBER(MATCH(ES$2, AsistenciaJetAdminConcatenada!$A:$A, 0)), ISNUMBER(MATCH(ES$1, AsistenciaJetAdminConcatenada!$B:$B, 0)), ISNUMBER(SEARCH($A96,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ISNUMBER(SEARCH($A96, INDEX(AsistenciaJetAdminConcatenada!$D:$D, MATCH(1, (AsistenciaJetAdminConcatenada!$A:$A=ES$2)*(AsistenciaJetAdminConcatenada!$B:$B=ES$1), 0)), 1))),  0.5, 0))</f>
        <v>0</v>
      </c>
      <c r="ET96" s="47">
        <f t="array" ref="ET96">IF(AND(ISNUMBER(MATCH(ET$2, AsistenciaJetAdminConcatenada!$A:$A, 0)), ISNUMBER(MATCH(ET$1, AsistenciaJetAdminConcatenada!$B:$B, 0)), ISNUMBER(SEARCH($A96,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ISNUMBER(SEARCH($A96, INDEX(AsistenciaJetAdminConcatenada!$D:$D, MATCH(1, (AsistenciaJetAdminConcatenada!$A:$A=ET$2)*(AsistenciaJetAdminConcatenada!$B:$B=ET$1), 0)), 1))),  0.5, 0))</f>
        <v>0</v>
      </c>
      <c r="EU96" s="47">
        <f t="array" ref="EU96">IF(AND(ISNUMBER(MATCH(EU$2, AsistenciaJetAdminConcatenada!$A:$A, 0)), ISNUMBER(MATCH(EU$1, AsistenciaJetAdminConcatenada!$B:$B, 0)), ISNUMBER(SEARCH($A96,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ISNUMBER(SEARCH($A96, INDEX(AsistenciaJetAdminConcatenada!$D:$D, MATCH(1, (AsistenciaJetAdminConcatenada!$A:$A=EU$2)*(AsistenciaJetAdminConcatenada!$B:$B=EU$1), 0)), 1))),  0.5, 0))</f>
        <v>0</v>
      </c>
      <c r="EV96" s="47">
        <f t="array" ref="EV96">IF(AND(ISNUMBER(MATCH(EV$2, AsistenciaJetAdminConcatenada!$A:$A, 0)), ISNUMBER(MATCH(EV$1, AsistenciaJetAdminConcatenada!$B:$B, 0)), ISNUMBER(SEARCH($A96,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ISNUMBER(SEARCH($A96, INDEX(AsistenciaJetAdminConcatenada!$D:$D, MATCH(1, (AsistenciaJetAdminConcatenada!$A:$A=EV$2)*(AsistenciaJetAdminConcatenada!$B:$B=EV$1), 0)), 1))),  0.5, 0))</f>
        <v>0</v>
      </c>
      <c r="EW96" s="47">
        <f t="array" ref="EW96">IF(AND(ISNUMBER(MATCH(EW$2, AsistenciaJetAdminConcatenada!$A:$A, 0)), ISNUMBER(MATCH(EW$1, AsistenciaJetAdminConcatenada!$B:$B, 0)), ISNUMBER(SEARCH($A96,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ISNUMBER(SEARCH($A96, INDEX(AsistenciaJetAdminConcatenada!$D:$D, MATCH(1, (AsistenciaJetAdminConcatenada!$A:$A=EW$2)*(AsistenciaJetAdminConcatenada!$B:$B=EW$1), 0)), 1))),  0.5, 0))</f>
        <v>0</v>
      </c>
      <c r="EX96" s="47">
        <f t="array" ref="EX96">IF(AND(ISNUMBER(MATCH(EX$2, AsistenciaJetAdminConcatenada!$A:$A, 0)), ISNUMBER(MATCH(EX$1, AsistenciaJetAdminConcatenada!$B:$B, 0)), ISNUMBER(SEARCH($A96,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ISNUMBER(SEARCH($A96, INDEX(AsistenciaJetAdminConcatenada!$D:$D, MATCH(1, (AsistenciaJetAdminConcatenada!$A:$A=EX$2)*(AsistenciaJetAdminConcatenada!$B:$B=EX$1), 0)), 1))),  0.5, 0))</f>
        <v>0</v>
      </c>
      <c r="EY96" s="47">
        <f t="array" ref="EY96">IF(AND(ISNUMBER(MATCH(EY$2, AsistenciaJetAdminConcatenada!$A:$A, 0)), ISNUMBER(MATCH(EY$1, AsistenciaJetAdminConcatenada!$B:$B, 0)), ISNUMBER(SEARCH($A96,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ISNUMBER(SEARCH($A96, INDEX(AsistenciaJetAdminConcatenada!$D:$D, MATCH(1, (AsistenciaJetAdminConcatenada!$A:$A=EY$2)*(AsistenciaJetAdminConcatenada!$B:$B=EY$1), 0)), 1))),  0.5, 0))</f>
        <v>0</v>
      </c>
      <c r="EZ96" s="47">
        <f t="array" ref="EZ96">IF(AND(ISNUMBER(MATCH(EZ$2, AsistenciaJetAdminConcatenada!$A:$A, 0)), ISNUMBER(MATCH(EZ$1, AsistenciaJetAdminConcatenada!$B:$B, 0)), ISNUMBER(SEARCH($A96,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ISNUMBER(SEARCH($A96, INDEX(AsistenciaJetAdminConcatenada!$D:$D, MATCH(1, (AsistenciaJetAdminConcatenada!$A:$A=EZ$2)*(AsistenciaJetAdminConcatenada!$B:$B=EZ$1), 0)), 1))),  0.5, 0))</f>
        <v>0</v>
      </c>
      <c r="FA96" s="47">
        <f t="array" ref="FA96">IF(AND(ISNUMBER(MATCH(FA$2, AsistenciaJetAdminConcatenada!$A:$A, 0)), ISNUMBER(MATCH(FA$1, AsistenciaJetAdminConcatenada!$B:$B, 0)), ISNUMBER(SEARCH($A96,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ISNUMBER(SEARCH($A96, INDEX(AsistenciaJetAdminConcatenada!$D:$D, MATCH(1, (AsistenciaJetAdminConcatenada!$A:$A=FA$2)*(AsistenciaJetAdminConcatenada!$B:$B=FA$1), 0)), 1))),  0.5, 0))</f>
        <v>0</v>
      </c>
      <c r="FB96" s="47">
        <f t="array" ref="FB96">IF(AND(ISNUMBER(MATCH(FB$2, AsistenciaJetAdminConcatenada!$A:$A, 0)), ISNUMBER(MATCH(FB$1, AsistenciaJetAdminConcatenada!$B:$B, 0)), ISNUMBER(SEARCH($A96,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ISNUMBER(SEARCH($A96, INDEX(AsistenciaJetAdminConcatenada!$D:$D, MATCH(1, (AsistenciaJetAdminConcatenada!$A:$A=FB$2)*(AsistenciaJetAdminConcatenada!$B:$B=FB$1), 0)), 1))),  0.5, 0))</f>
        <v>0</v>
      </c>
      <c r="FC96" s="47">
        <f t="array" ref="FC96">IF(AND(ISNUMBER(MATCH(FC$2, AsistenciaJetAdminConcatenada!$A:$A, 0)), ISNUMBER(MATCH(FC$1, AsistenciaJetAdminConcatenada!$B:$B, 0)), ISNUMBER(SEARCH($A96,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ISNUMBER(SEARCH($A96, INDEX(AsistenciaJetAdminConcatenada!$D:$D, MATCH(1, (AsistenciaJetAdminConcatenada!$A:$A=FC$2)*(AsistenciaJetAdminConcatenada!$B:$B=FC$1), 0)), 1))),  0.5, 0))</f>
        <v>0</v>
      </c>
      <c r="FD96" s="47">
        <f t="array" ref="FD96">IF(AND(ISNUMBER(MATCH(FD$2, AsistenciaJetAdminConcatenada!$A:$A, 0)), ISNUMBER(MATCH(FD$1, AsistenciaJetAdminConcatenada!$B:$B, 0)), ISNUMBER(SEARCH($A96,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ISNUMBER(SEARCH($A96, INDEX(AsistenciaJetAdminConcatenada!$D:$D, MATCH(1, (AsistenciaJetAdminConcatenada!$A:$A=FD$2)*(AsistenciaJetAdminConcatenada!$B:$B=FD$1), 0)), 1))),  0.5, 0))</f>
        <v>0</v>
      </c>
      <c r="FE96" s="47">
        <f t="array" ref="FE96">IF(AND(ISNUMBER(MATCH(FE$2, AsistenciaJetAdminConcatenada!$A:$A, 0)), ISNUMBER(MATCH(FE$1, AsistenciaJetAdminConcatenada!$B:$B, 0)), ISNUMBER(SEARCH($A96,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ISNUMBER(SEARCH($A96, INDEX(AsistenciaJetAdminConcatenada!$D:$D, MATCH(1, (AsistenciaJetAdminConcatenada!$A:$A=FE$2)*(AsistenciaJetAdminConcatenada!$B:$B=FE$1), 0)), 1))),  0.5, 0))</f>
        <v>0</v>
      </c>
      <c r="FF96" s="47">
        <f t="array" ref="FF96">IF(AND(ISNUMBER(MATCH(FF$2, AsistenciaJetAdminConcatenada!$A:$A, 0)), ISNUMBER(MATCH(FF$1, AsistenciaJetAdminConcatenada!$B:$B, 0)), ISNUMBER(SEARCH($A96,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ISNUMBER(SEARCH($A96, INDEX(AsistenciaJetAdminConcatenada!$D:$D, MATCH(1, (AsistenciaJetAdminConcatenada!$A:$A=FF$2)*(AsistenciaJetAdminConcatenada!$B:$B=FF$1), 0)), 1))),  0.5, 0))</f>
        <v>0</v>
      </c>
      <c r="FG96" s="47">
        <f t="array" ref="FG96">IF(AND(ISNUMBER(MATCH(FG$2, AsistenciaJetAdminConcatenada!$A:$A, 0)), ISNUMBER(MATCH(FG$1, AsistenciaJetAdminConcatenada!$B:$B, 0)), ISNUMBER(SEARCH($A96,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ISNUMBER(SEARCH($A96, INDEX(AsistenciaJetAdminConcatenada!$D:$D, MATCH(1, (AsistenciaJetAdminConcatenada!$A:$A=FG$2)*(AsistenciaJetAdminConcatenada!$B:$B=FG$1), 0)), 1))),  0.5, 0))</f>
        <v>0</v>
      </c>
      <c r="FH96" s="47">
        <f t="array" ref="FH96">IF(AND(ISNUMBER(MATCH(FH$2, AsistenciaJetAdminConcatenada!$A:$A, 0)), ISNUMBER(MATCH(FH$1, AsistenciaJetAdminConcatenada!$B:$B, 0)), ISNUMBER(SEARCH($A96,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ISNUMBER(SEARCH($A96, INDEX(AsistenciaJetAdminConcatenada!$D:$D, MATCH(1, (AsistenciaJetAdminConcatenada!$A:$A=FH$2)*(AsistenciaJetAdminConcatenada!$B:$B=FH$1), 0)), 1))),  0.5, 0))</f>
        <v>0</v>
      </c>
      <c r="FI96" s="47">
        <f t="array" ref="FI96">IF(AND(ISNUMBER(MATCH(FI$2, AsistenciaJetAdminConcatenada!$A:$A, 0)), ISNUMBER(MATCH(FI$1, AsistenciaJetAdminConcatenada!$B:$B, 0)), ISNUMBER(SEARCH($A96,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ISNUMBER(SEARCH($A96, INDEX(AsistenciaJetAdminConcatenada!$D:$D, MATCH(1, (AsistenciaJetAdminConcatenada!$A:$A=FI$2)*(AsistenciaJetAdminConcatenada!$B:$B=FI$1), 0)), 1))),  0.5, 0))</f>
        <v>0</v>
      </c>
      <c r="FJ96" s="47">
        <f t="array" ref="FJ96">IF(AND(ISNUMBER(MATCH(FJ$2, AsistenciaJetAdminConcatenada!$A:$A, 0)), ISNUMBER(MATCH(FJ$1, AsistenciaJetAdminConcatenada!$B:$B, 0)), ISNUMBER(SEARCH($A96,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ISNUMBER(SEARCH($A96, INDEX(AsistenciaJetAdminConcatenada!$D:$D, MATCH(1, (AsistenciaJetAdminConcatenada!$A:$A=FJ$2)*(AsistenciaJetAdminConcatenada!$B:$B=FJ$1), 0)), 1))),  0.5, 0))</f>
        <v>0</v>
      </c>
      <c r="FK96" s="47">
        <f t="array" ref="FK96">IF(AND(ISNUMBER(MATCH(FK$2, AsistenciaJetAdminConcatenada!$A:$A, 0)), ISNUMBER(MATCH(FK$1, AsistenciaJetAdminConcatenada!$B:$B, 0)), ISNUMBER(SEARCH($A96,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ISNUMBER(SEARCH($A96, INDEX(AsistenciaJetAdminConcatenada!$D:$D, MATCH(1, (AsistenciaJetAdminConcatenada!$A:$A=FK$2)*(AsistenciaJetAdminConcatenada!$B:$B=FK$1), 0)), 1))),  0.5, 0))</f>
        <v>0</v>
      </c>
      <c r="FL96" s="47">
        <f t="array" ref="FL96">IF(AND(ISNUMBER(MATCH(FL$2, AsistenciaJetAdminConcatenada!$A:$A, 0)), ISNUMBER(MATCH(FL$1, AsistenciaJetAdminConcatenada!$B:$B, 0)), ISNUMBER(SEARCH($A96,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ISNUMBER(SEARCH($A96, INDEX(AsistenciaJetAdminConcatenada!$D:$D, MATCH(1, (AsistenciaJetAdminConcatenada!$A:$A=FL$2)*(AsistenciaJetAdminConcatenada!$B:$B=FL$1), 0)), 1))),  0.5, 0))</f>
        <v>0</v>
      </c>
      <c r="FM96" s="47">
        <f t="array" ref="FM96">IF(AND(ISNUMBER(MATCH(FM$2, AsistenciaJetAdminConcatenada!$A:$A, 0)), ISNUMBER(MATCH(FM$1, AsistenciaJetAdminConcatenada!$B:$B, 0)), ISNUMBER(SEARCH($A96,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ISNUMBER(SEARCH($A96, INDEX(AsistenciaJetAdminConcatenada!$D:$D, MATCH(1, (AsistenciaJetAdminConcatenada!$A:$A=FM$2)*(AsistenciaJetAdminConcatenada!$B:$B=FM$1), 0)), 1))),  0.5, 0))</f>
        <v>0</v>
      </c>
      <c r="FN96" s="47">
        <f t="array" ref="FN96">IF(AND(ISNUMBER(MATCH(FN$2, AsistenciaJetAdminConcatenada!$A:$A, 0)), ISNUMBER(MATCH(FN$1, AsistenciaJetAdminConcatenada!$B:$B, 0)), ISNUMBER(SEARCH($A96,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ISNUMBER(SEARCH($A96, INDEX(AsistenciaJetAdminConcatenada!$D:$D, MATCH(1, (AsistenciaJetAdminConcatenada!$A:$A=FN$2)*(AsistenciaJetAdminConcatenada!$B:$B=FN$1), 0)), 1))),  0.5, 0))</f>
        <v>0</v>
      </c>
      <c r="FO96" s="47">
        <f t="array" ref="FO96">IF(AND(ISNUMBER(MATCH(FO$2, AsistenciaJetAdminConcatenada!$A:$A, 0)), ISNUMBER(MATCH(FO$1, AsistenciaJetAdminConcatenada!$B:$B, 0)), ISNUMBER(SEARCH($A96,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ISNUMBER(SEARCH($A96, INDEX(AsistenciaJetAdminConcatenada!$D:$D, MATCH(1, (AsistenciaJetAdminConcatenada!$A:$A=FO$2)*(AsistenciaJetAdminConcatenada!$B:$B=FO$1), 0)), 1))),  0.5, 0))</f>
        <v>0</v>
      </c>
      <c r="FP96" s="47">
        <f t="array" ref="FP96">IF(AND(ISNUMBER(MATCH(FP$2, AsistenciaJetAdminConcatenada!$A:$A, 0)), ISNUMBER(MATCH(FP$1, AsistenciaJetAdminConcatenada!$B:$B, 0)), ISNUMBER(SEARCH($A96,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ISNUMBER(SEARCH($A96, INDEX(AsistenciaJetAdminConcatenada!$D:$D, MATCH(1, (AsistenciaJetAdminConcatenada!$A:$A=FP$2)*(AsistenciaJetAdminConcatenada!$B:$B=FP$1), 0)), 1))),  0.5, 0))</f>
        <v>0</v>
      </c>
      <c r="FQ96" s="47">
        <f t="array" ref="FQ96">IF(AND(ISNUMBER(MATCH(FQ$2, AsistenciaJetAdminConcatenada!$A:$A, 0)), ISNUMBER(MATCH(FQ$1, AsistenciaJetAdminConcatenada!$B:$B, 0)), ISNUMBER(SEARCH($A96,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ISNUMBER(SEARCH($A96, INDEX(AsistenciaJetAdminConcatenada!$D:$D, MATCH(1, (AsistenciaJetAdminConcatenada!$A:$A=FQ$2)*(AsistenciaJetAdminConcatenada!$B:$B=FQ$1), 0)), 1))),  0.5, 0))</f>
        <v>0</v>
      </c>
      <c r="FR96" s="47">
        <f t="array" ref="FR96">IF(AND(ISNUMBER(MATCH(FR$2, AsistenciaJetAdminConcatenada!$A:$A, 0)), ISNUMBER(MATCH(FR$1, AsistenciaJetAdminConcatenada!$B:$B, 0)), ISNUMBER(SEARCH($A96,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ISNUMBER(SEARCH($A96, INDEX(AsistenciaJetAdminConcatenada!$D:$D, MATCH(1, (AsistenciaJetAdminConcatenada!$A:$A=FR$2)*(AsistenciaJetAdminConcatenada!$B:$B=FR$1), 0)), 1))),  0.5, 0))</f>
        <v>0</v>
      </c>
      <c r="FS96" s="47">
        <f t="array" ref="FS96">IF(AND(ISNUMBER(MATCH(FS$2, AsistenciaJetAdminConcatenada!$A:$A, 0)), ISNUMBER(MATCH(FS$1, AsistenciaJetAdminConcatenada!$B:$B, 0)), ISNUMBER(SEARCH($A96,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ISNUMBER(SEARCH($A96, INDEX(AsistenciaJetAdminConcatenada!$D:$D, MATCH(1, (AsistenciaJetAdminConcatenada!$A:$A=FS$2)*(AsistenciaJetAdminConcatenada!$B:$B=FS$1), 0)), 1))),  0.5, 0))</f>
        <v>0</v>
      </c>
      <c r="FT96" s="47">
        <f t="array" ref="FT96">IF(AND(ISNUMBER(MATCH(FT$2, AsistenciaJetAdminConcatenada!$A:$A, 0)), ISNUMBER(MATCH(FT$1, AsistenciaJetAdminConcatenada!$B:$B, 0)), ISNUMBER(SEARCH($A96,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ISNUMBER(SEARCH($A96, INDEX(AsistenciaJetAdminConcatenada!$D:$D, MATCH(1, (AsistenciaJetAdminConcatenada!$A:$A=FT$2)*(AsistenciaJetAdminConcatenada!$B:$B=FT$1), 0)), 1))),  0.5, 0))</f>
        <v>0</v>
      </c>
      <c r="FU96" s="47">
        <f t="array" ref="FU96">IF(AND(ISNUMBER(MATCH(FU$2, AsistenciaJetAdminConcatenada!$A:$A, 0)), ISNUMBER(MATCH(FU$1, AsistenciaJetAdminConcatenada!$B:$B, 0)), ISNUMBER(SEARCH($A96,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ISNUMBER(SEARCH($A96, INDEX(AsistenciaJetAdminConcatenada!$D:$D, MATCH(1, (AsistenciaJetAdminConcatenada!$A:$A=FU$2)*(AsistenciaJetAdminConcatenada!$B:$B=FU$1), 0)), 1))),  0.5, 0))</f>
        <v>0</v>
      </c>
      <c r="FV96" s="47">
        <f t="array" ref="FV96">IF(AND(ISNUMBER(MATCH(FV$2, AsistenciaJetAdminConcatenada!$A:$A, 0)), ISNUMBER(MATCH(FV$1, AsistenciaJetAdminConcatenada!$B:$B, 0)), ISNUMBER(SEARCH($A96,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ISNUMBER(SEARCH($A96, INDEX(AsistenciaJetAdminConcatenada!$D:$D, MATCH(1, (AsistenciaJetAdminConcatenada!$A:$A=FV$2)*(AsistenciaJetAdminConcatenada!$B:$B=FV$1), 0)), 1))),  0.5, 0))</f>
        <v>0</v>
      </c>
      <c r="FW96" s="47">
        <f t="array" ref="FW96">IF(AND(ISNUMBER(MATCH(FW$2, AsistenciaJetAdminConcatenada!$A:$A, 0)), ISNUMBER(MATCH(FW$1, AsistenciaJetAdminConcatenada!$B:$B, 0)), ISNUMBER(SEARCH($A96,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ISNUMBER(SEARCH($A96, INDEX(AsistenciaJetAdminConcatenada!$D:$D, MATCH(1, (AsistenciaJetAdminConcatenada!$A:$A=FW$2)*(AsistenciaJetAdminConcatenada!$B:$B=FW$1), 0)), 1))),  0.5, 0))</f>
        <v>0</v>
      </c>
      <c r="FX96" s="47">
        <f t="array" ref="FX96">IF(AND(ISNUMBER(MATCH(FX$2, AsistenciaJetAdminConcatenada!$A:$A, 0)), ISNUMBER(MATCH(FX$1, AsistenciaJetAdminConcatenada!$B:$B, 0)), ISNUMBER(SEARCH($A96,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ISNUMBER(SEARCH($A96, INDEX(AsistenciaJetAdminConcatenada!$D:$D, MATCH(1, (AsistenciaJetAdminConcatenada!$A:$A=FX$2)*(AsistenciaJetAdminConcatenada!$B:$B=FX$1), 0)), 1))),  0.5, 0))</f>
        <v>0</v>
      </c>
      <c r="FY96" s="47">
        <f t="array" ref="FY96">IF(AND(ISNUMBER(MATCH(FY$2, AsistenciaJetAdminConcatenada!$A:$A, 0)), ISNUMBER(MATCH(FY$1, AsistenciaJetAdminConcatenada!$B:$B, 0)), ISNUMBER(SEARCH($A96,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ISNUMBER(SEARCH($A96, INDEX(AsistenciaJetAdminConcatenada!$D:$D, MATCH(1, (AsistenciaJetAdminConcatenada!$A:$A=FY$2)*(AsistenciaJetAdminConcatenada!$B:$B=FY$1), 0)), 1))),  0.5, 0))</f>
        <v>0</v>
      </c>
      <c r="FZ96" s="47">
        <f t="array" ref="FZ96">IF(AND(ISNUMBER(MATCH(FZ$2, AsistenciaJetAdminConcatenada!$A:$A, 0)), ISNUMBER(MATCH(FZ$1, AsistenciaJetAdminConcatenada!$B:$B, 0)), ISNUMBER(SEARCH($A96,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ISNUMBER(SEARCH($A96, INDEX(AsistenciaJetAdminConcatenada!$D:$D, MATCH(1, (AsistenciaJetAdminConcatenada!$A:$A=FZ$2)*(AsistenciaJetAdminConcatenada!$B:$B=FZ$1), 0)), 1))),  0.5, 0))</f>
        <v>0</v>
      </c>
      <c r="GA96" s="47">
        <f t="array" ref="GA96">IF(AND(ISNUMBER(MATCH(GA$2, AsistenciaJetAdminConcatenada!$A:$A, 0)), ISNUMBER(MATCH(GA$1, AsistenciaJetAdminConcatenada!$B:$B, 0)), ISNUMBER(SEARCH($A96,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ISNUMBER(SEARCH($A96, INDEX(AsistenciaJetAdminConcatenada!$D:$D, MATCH(1, (AsistenciaJetAdminConcatenada!$A:$A=GA$2)*(AsistenciaJetAdminConcatenada!$B:$B=GA$1), 0)), 1))),  0.5, 0))</f>
        <v>0</v>
      </c>
      <c r="GB96" s="47">
        <f t="array" ref="GB96">IF(AND(ISNUMBER(MATCH(GB$2, AsistenciaJetAdminConcatenada!$A:$A, 0)), ISNUMBER(MATCH(GB$1, AsistenciaJetAdminConcatenada!$B:$B, 0)), ISNUMBER(SEARCH($A96,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ISNUMBER(SEARCH($A96, INDEX(AsistenciaJetAdminConcatenada!$D:$D, MATCH(1, (AsistenciaJetAdminConcatenada!$A:$A=GB$2)*(AsistenciaJetAdminConcatenada!$B:$B=GB$1), 0)), 1))),  0.5, 0))</f>
        <v>0</v>
      </c>
      <c r="GC96" s="47">
        <f t="array" ref="GC96">IF(AND(ISNUMBER(MATCH(GC$2, AsistenciaJetAdminConcatenada!$A:$A, 0)), ISNUMBER(MATCH(GC$1, AsistenciaJetAdminConcatenada!$B:$B, 0)), ISNUMBER(SEARCH($A96,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ISNUMBER(SEARCH($A96, INDEX(AsistenciaJetAdminConcatenada!$D:$D, MATCH(1, (AsistenciaJetAdminConcatenada!$A:$A=GC$2)*(AsistenciaJetAdminConcatenada!$B:$B=GC$1), 0)), 1))),  0.5, 0))</f>
        <v>0</v>
      </c>
      <c r="GD96" s="47">
        <f t="array" ref="GD96">IF(AND(ISNUMBER(MATCH(GD$2, AsistenciaJetAdminConcatenada!$A:$A, 0)), ISNUMBER(MATCH(GD$1, AsistenciaJetAdminConcatenada!$B:$B, 0)), ISNUMBER(SEARCH($A96,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ISNUMBER(SEARCH($A96, INDEX(AsistenciaJetAdminConcatenada!$D:$D, MATCH(1, (AsistenciaJetAdminConcatenada!$A:$A=GD$2)*(AsistenciaJetAdminConcatenada!$B:$B=GD$1), 0)), 1))),  0.5, 0))</f>
        <v>0</v>
      </c>
      <c r="GE96" s="47">
        <f t="array" ref="GE96">IF(AND(ISNUMBER(MATCH(GE$2, AsistenciaJetAdminConcatenada!$A:$A, 0)), ISNUMBER(MATCH(GE$1, AsistenciaJetAdminConcatenada!$B:$B, 0)), ISNUMBER(SEARCH($A96,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ISNUMBER(SEARCH($A96, INDEX(AsistenciaJetAdminConcatenada!$D:$D, MATCH(1, (AsistenciaJetAdminConcatenada!$A:$A=GE$2)*(AsistenciaJetAdminConcatenada!$B:$B=GE$1), 0)), 1))),  0.5, 0))</f>
        <v>0</v>
      </c>
      <c r="GF96" s="47">
        <f t="array" ref="GF96">IF(AND(ISNUMBER(MATCH(GF$2, AsistenciaJetAdminConcatenada!$A:$A, 0)), ISNUMBER(MATCH(GF$1, AsistenciaJetAdminConcatenada!$B:$B, 0)), ISNUMBER(SEARCH($A96,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ISNUMBER(SEARCH($A96, INDEX(AsistenciaJetAdminConcatenada!$D:$D, MATCH(1, (AsistenciaJetAdminConcatenada!$A:$A=GF$2)*(AsistenciaJetAdminConcatenada!$B:$B=GF$1), 0)), 1))),  0.5, 0))</f>
        <v>0</v>
      </c>
      <c r="GG96" s="47">
        <f t="array" ref="GG96">IF(AND(ISNUMBER(MATCH(GG$2, AsistenciaJetAdminConcatenada!$A:$A, 0)), ISNUMBER(MATCH(GG$1, AsistenciaJetAdminConcatenada!$B:$B, 0)), ISNUMBER(SEARCH($A96,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ISNUMBER(SEARCH($A96, INDEX(AsistenciaJetAdminConcatenada!$D:$D, MATCH(1, (AsistenciaJetAdminConcatenada!$A:$A=GG$2)*(AsistenciaJetAdminConcatenada!$B:$B=GG$1), 0)), 1))),  0.5, 0))</f>
        <v>0</v>
      </c>
      <c r="GH96" s="47">
        <f t="array" ref="GH96">IF(AND(ISNUMBER(MATCH(GH$2, AsistenciaJetAdminConcatenada!$A:$A, 0)), ISNUMBER(MATCH(GH$1, AsistenciaJetAdminConcatenada!$B:$B, 0)), ISNUMBER(SEARCH($A96,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ISNUMBER(SEARCH($A96, INDEX(AsistenciaJetAdminConcatenada!$D:$D, MATCH(1, (AsistenciaJetAdminConcatenada!$A:$A=GH$2)*(AsistenciaJetAdminConcatenada!$B:$B=GH$1), 0)), 1))),  0.5, 0))</f>
        <v>0</v>
      </c>
      <c r="GI96" s="47">
        <f t="array" ref="GI96">IF(AND(ISNUMBER(MATCH(GI$2, AsistenciaJetAdminConcatenada!$A:$A, 0)), ISNUMBER(MATCH(GI$1, AsistenciaJetAdminConcatenada!$B:$B, 0)), ISNUMBER(SEARCH($A96,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ISNUMBER(SEARCH($A96, INDEX(AsistenciaJetAdminConcatenada!$D:$D, MATCH(1, (AsistenciaJetAdminConcatenada!$A:$A=GI$2)*(AsistenciaJetAdminConcatenada!$B:$B=GI$1), 0)), 1))),  0.5, 0))</f>
        <v>0</v>
      </c>
      <c r="GJ96" s="47">
        <f t="array" ref="GJ96">IF(AND(ISNUMBER(MATCH(GJ$2, AsistenciaJetAdminConcatenada!$A:$A, 0)), ISNUMBER(MATCH(GJ$1, AsistenciaJetAdminConcatenada!$B:$B, 0)), ISNUMBER(SEARCH($A96,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ISNUMBER(SEARCH($A96, INDEX(AsistenciaJetAdminConcatenada!$D:$D, MATCH(1, (AsistenciaJetAdminConcatenada!$A:$A=GJ$2)*(AsistenciaJetAdminConcatenada!$B:$B=GJ$1), 0)), 1))),  0.5, 0))</f>
        <v>0</v>
      </c>
      <c r="GK96" s="47">
        <f t="array" ref="GK96">IF(AND(ISNUMBER(MATCH(GK$2, AsistenciaJetAdminConcatenada!$A:$A, 0)), ISNUMBER(MATCH(GK$1, AsistenciaJetAdminConcatenada!$B:$B, 0)), ISNUMBER(SEARCH($A96,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ISNUMBER(SEARCH($A96, INDEX(AsistenciaJetAdminConcatenada!$D:$D, MATCH(1, (AsistenciaJetAdminConcatenada!$A:$A=GK$2)*(AsistenciaJetAdminConcatenada!$B:$B=GK$1), 0)), 1))),  0.5, 0))</f>
        <v>0</v>
      </c>
      <c r="GL96" s="47">
        <f t="array" ref="GL96">IF(AND(ISNUMBER(MATCH(GL$2, AsistenciaJetAdminConcatenada!$A:$A, 0)), ISNUMBER(MATCH(GL$1, AsistenciaJetAdminConcatenada!$B:$B, 0)), ISNUMBER(SEARCH($A96,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ISNUMBER(SEARCH($A96, INDEX(AsistenciaJetAdminConcatenada!$D:$D, MATCH(1, (AsistenciaJetAdminConcatenada!$A:$A=GL$2)*(AsistenciaJetAdminConcatenada!$B:$B=GL$1), 0)), 1))),  0.5, 0))</f>
        <v>0</v>
      </c>
      <c r="GM96" s="47">
        <f t="array" ref="GM96">IF(AND(ISNUMBER(MATCH(GM$2, AsistenciaJetAdminConcatenada!$A:$A, 0)), ISNUMBER(MATCH(GM$1, AsistenciaJetAdminConcatenada!$B:$B, 0)), ISNUMBER(SEARCH($A96,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ISNUMBER(SEARCH($A96, INDEX(AsistenciaJetAdminConcatenada!$D:$D, MATCH(1, (AsistenciaJetAdminConcatenada!$A:$A=GM$2)*(AsistenciaJetAdminConcatenada!$B:$B=GM$1), 0)), 1))),  0.5, 0))</f>
        <v>0</v>
      </c>
      <c r="GN96" s="47">
        <f t="array" ref="GN96">IF(AND(ISNUMBER(MATCH(GN$2, AsistenciaJetAdminConcatenada!$A:$A, 0)), ISNUMBER(MATCH(GN$1, AsistenciaJetAdminConcatenada!$B:$B, 0)), ISNUMBER(SEARCH($A96,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ISNUMBER(SEARCH($A96, INDEX(AsistenciaJetAdminConcatenada!$D:$D, MATCH(1, (AsistenciaJetAdminConcatenada!$A:$A=GN$2)*(AsistenciaJetAdminConcatenada!$B:$B=GN$1), 0)), 1))),  0.5, 0))</f>
        <v>0</v>
      </c>
      <c r="GO96" s="47">
        <f t="array" ref="GO96">IF(AND(ISNUMBER(MATCH(GO$2, AsistenciaJetAdminConcatenada!$A:$A, 0)), ISNUMBER(MATCH(GO$1, AsistenciaJetAdminConcatenada!$B:$B, 0)), ISNUMBER(SEARCH($A96,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ISNUMBER(SEARCH($A96, INDEX(AsistenciaJetAdminConcatenada!$D:$D, MATCH(1, (AsistenciaJetAdminConcatenada!$A:$A=GO$2)*(AsistenciaJetAdminConcatenada!$B:$B=GO$1), 0)), 1))),  0.5, 0))</f>
        <v>0</v>
      </c>
      <c r="GP96" s="47">
        <f t="array" ref="GP96">IF(AND(ISNUMBER(MATCH(GP$2, AsistenciaJetAdminConcatenada!$A:$A, 0)), ISNUMBER(MATCH(GP$1, AsistenciaJetAdminConcatenada!$B:$B, 0)), ISNUMBER(SEARCH($A96,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ISNUMBER(SEARCH($A96, INDEX(AsistenciaJetAdminConcatenada!$D:$D, MATCH(1, (AsistenciaJetAdminConcatenada!$A:$A=GP$2)*(AsistenciaJetAdminConcatenada!$B:$B=GP$1), 0)), 1))),  0.5, 0))</f>
        <v>0</v>
      </c>
      <c r="GQ96" s="47">
        <f t="array" ref="GQ96">IF(AND(ISNUMBER(MATCH(GQ$2, AsistenciaJetAdminConcatenada!$A:$A, 0)), ISNUMBER(MATCH(GQ$1, AsistenciaJetAdminConcatenada!$B:$B, 0)), ISNUMBER(SEARCH($A96,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ISNUMBER(SEARCH($A96, INDEX(AsistenciaJetAdminConcatenada!$D:$D, MATCH(1, (AsistenciaJetAdminConcatenada!$A:$A=GQ$2)*(AsistenciaJetAdminConcatenada!$B:$B=GQ$1), 0)), 1))),  0.5, 0))</f>
        <v>0</v>
      </c>
      <c r="GR96" s="47">
        <f t="array" ref="GR96">IF(AND(ISNUMBER(MATCH(GR$2, AsistenciaJetAdminConcatenada!$A:$A, 0)), ISNUMBER(MATCH(GR$1, AsistenciaJetAdminConcatenada!$B:$B, 0)), ISNUMBER(SEARCH($A96,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ISNUMBER(SEARCH($A96, INDEX(AsistenciaJetAdminConcatenada!$D:$D, MATCH(1, (AsistenciaJetAdminConcatenada!$A:$A=GR$2)*(AsistenciaJetAdminConcatenada!$B:$B=GR$1), 0)), 1))),  0.5, 0))</f>
        <v>0</v>
      </c>
      <c r="GS96" s="47">
        <f t="array" ref="GS96">IF(AND(ISNUMBER(MATCH(GS$2, AsistenciaJetAdminConcatenada!$A:$A, 0)), ISNUMBER(MATCH(GS$1, AsistenciaJetAdminConcatenada!$B:$B, 0)), ISNUMBER(SEARCH($A96,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ISNUMBER(SEARCH($A96, INDEX(AsistenciaJetAdminConcatenada!$D:$D, MATCH(1, (AsistenciaJetAdminConcatenada!$A:$A=GS$2)*(AsistenciaJetAdminConcatenada!$B:$B=GS$1), 0)), 1))),  0.5, 0))</f>
        <v>0</v>
      </c>
      <c r="GT96" s="47">
        <f t="array" ref="GT96">IF(AND(ISNUMBER(MATCH(GT$2, AsistenciaJetAdminConcatenada!$A:$A, 0)), ISNUMBER(MATCH(GT$1, AsistenciaJetAdminConcatenada!$B:$B, 0)), ISNUMBER(SEARCH($A96,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ISNUMBER(SEARCH($A96, INDEX(AsistenciaJetAdminConcatenada!$D:$D, MATCH(1, (AsistenciaJetAdminConcatenada!$A:$A=GT$2)*(AsistenciaJetAdminConcatenada!$B:$B=GT$1), 0)), 1))),  0.5, 0))</f>
        <v>0</v>
      </c>
      <c r="GU96" s="47">
        <f t="array" ref="GU96">IF(AND(ISNUMBER(MATCH(GU$2, AsistenciaJetAdminConcatenada!$A:$A, 0)), ISNUMBER(MATCH(GU$1, AsistenciaJetAdminConcatenada!$B:$B, 0)), ISNUMBER(SEARCH($A96,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ISNUMBER(SEARCH($A96, INDEX(AsistenciaJetAdminConcatenada!$D:$D, MATCH(1, (AsistenciaJetAdminConcatenada!$A:$A=GU$2)*(AsistenciaJetAdminConcatenada!$B:$B=GU$1), 0)), 1))),  0.5, 0))</f>
        <v>0</v>
      </c>
      <c r="GV96" s="47">
        <f t="array" ref="GV96">IF(AND(ISNUMBER(MATCH(GV$2, AsistenciaJetAdminConcatenada!$A:$A, 0)), ISNUMBER(MATCH(GV$1, AsistenciaJetAdminConcatenada!$B:$B, 0)), ISNUMBER(SEARCH($A96,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ISNUMBER(SEARCH($A96, INDEX(AsistenciaJetAdminConcatenada!$D:$D, MATCH(1, (AsistenciaJetAdminConcatenada!$A:$A=GV$2)*(AsistenciaJetAdminConcatenada!$B:$B=GV$1), 0)), 1))),  0.5, 0))</f>
        <v>0</v>
      </c>
      <c r="GW96" s="47">
        <f t="array" ref="GW96">IF(AND(ISNUMBER(MATCH(GW$2, AsistenciaJetAdminConcatenada!$A:$A, 0)), ISNUMBER(MATCH(GW$1, AsistenciaJetAdminConcatenada!$B:$B, 0)), ISNUMBER(SEARCH($A96,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ISNUMBER(SEARCH($A96, INDEX(AsistenciaJetAdminConcatenada!$D:$D, MATCH(1, (AsistenciaJetAdminConcatenada!$A:$A=GW$2)*(AsistenciaJetAdminConcatenada!$B:$B=GW$1), 0)), 1))),  0.5, 0))</f>
        <v>0</v>
      </c>
      <c r="GX96" s="47">
        <f t="array" ref="GX96">IF(AND(ISNUMBER(MATCH(GX$2, AsistenciaJetAdminConcatenada!$A:$A, 0)), ISNUMBER(MATCH(GX$1, AsistenciaJetAdminConcatenada!$B:$B, 0)), ISNUMBER(SEARCH($A96,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ISNUMBER(SEARCH($A96, INDEX(AsistenciaJetAdminConcatenada!$D:$D, MATCH(1, (AsistenciaJetAdminConcatenada!$A:$A=GX$2)*(AsistenciaJetAdminConcatenada!$B:$B=GX$1), 0)), 1))),  0.5, 0))</f>
        <v>0</v>
      </c>
      <c r="GY96" s="47">
        <f t="array" ref="GY96">IF(AND(ISNUMBER(MATCH(GY$2, AsistenciaJetAdminConcatenada!$A:$A, 0)), ISNUMBER(MATCH(GY$1, AsistenciaJetAdminConcatenada!$B:$B, 0)), ISNUMBER(SEARCH($A96,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ISNUMBER(SEARCH($A96, INDEX(AsistenciaJetAdminConcatenada!$D:$D, MATCH(1, (AsistenciaJetAdminConcatenada!$A:$A=GY$2)*(AsistenciaJetAdminConcatenada!$B:$B=GY$1), 0)), 1))),  0.5, 0))</f>
        <v>0</v>
      </c>
      <c r="GZ96" s="47">
        <f t="array" ref="GZ96">IF(AND(ISNUMBER(MATCH(GZ$2, AsistenciaJetAdminConcatenada!$A:$A, 0)), ISNUMBER(MATCH(GZ$1, AsistenciaJetAdminConcatenada!$B:$B, 0)), ISNUMBER(SEARCH($A96,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ISNUMBER(SEARCH($A96, INDEX(AsistenciaJetAdminConcatenada!$D:$D, MATCH(1, (AsistenciaJetAdminConcatenada!$A:$A=GZ$2)*(AsistenciaJetAdminConcatenada!$B:$B=GZ$1), 0)), 1))),  0.5, 0))</f>
        <v>0</v>
      </c>
      <c r="HA96" s="47">
        <f t="array" ref="HA96">IF(AND(ISNUMBER(MATCH(HA$2, AsistenciaJetAdminConcatenada!$A:$A, 0)), ISNUMBER(MATCH(HA$1, AsistenciaJetAdminConcatenada!$B:$B, 0)), ISNUMBER(SEARCH($A96,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ISNUMBER(SEARCH($A96, INDEX(AsistenciaJetAdminConcatenada!$D:$D, MATCH(1, (AsistenciaJetAdminConcatenada!$A:$A=HA$2)*(AsistenciaJetAdminConcatenada!$B:$B=HA$1), 0)), 1))),  0.5, 0))</f>
        <v>0</v>
      </c>
      <c r="HB96" s="47">
        <f t="array" ref="HB96">IF(AND(ISNUMBER(MATCH(HB$2, AsistenciaJetAdminConcatenada!$A:$A, 0)), ISNUMBER(MATCH(HB$1, AsistenciaJetAdminConcatenada!$B:$B, 0)), ISNUMBER(SEARCH($A96,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ISNUMBER(SEARCH($A96, INDEX(AsistenciaJetAdminConcatenada!$D:$D, MATCH(1, (AsistenciaJetAdminConcatenada!$A:$A=HB$2)*(AsistenciaJetAdminConcatenada!$B:$B=HB$1), 0)), 1))),  0.5, 0))</f>
        <v>0</v>
      </c>
      <c r="HC96" s="47">
        <f t="array" ref="HC96">IF(AND(ISNUMBER(MATCH(HC$2, AsistenciaJetAdminConcatenada!$A:$A, 0)), ISNUMBER(MATCH(HC$1, AsistenciaJetAdminConcatenada!$B:$B, 0)), ISNUMBER(SEARCH($A96,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ISNUMBER(SEARCH($A96, INDEX(AsistenciaJetAdminConcatenada!$D:$D, MATCH(1, (AsistenciaJetAdminConcatenada!$A:$A=HC$2)*(AsistenciaJetAdminConcatenada!$B:$B=HC$1), 0)), 1))),  0.5, 0))</f>
        <v>0</v>
      </c>
    </row>
    <row r="97" ht="29.25" customHeight="1">
      <c r="A97" s="3">
        <v>134.0</v>
      </c>
      <c r="B97" s="4" t="s">
        <v>33</v>
      </c>
      <c r="C97" s="47">
        <f>SUM(D97:HC97) + ActividadesEspeciales!C97</f>
        <v>63.5</v>
      </c>
      <c r="D97" s="47">
        <f t="array" ref="D97">IF(AND(ISNUMBER(MATCH(D$2, AsistenciaJetAdminConcatenada!$A:$A, 0)), ISNUMBER(MATCH(D$1, AsistenciaJetAdminConcatenada!$B:$B, 0)), ISNUMBER(SEARCH($A97,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ISNUMBER(SEARCH($A97, INDEX(AsistenciaJetAdminConcatenada!$D:$D, MATCH(1, (AsistenciaJetAdminConcatenada!$A:$A=D$2)*(AsistenciaJetAdminConcatenada!$B:$B=D$1), 0)), 1))),  0.5, 0))</f>
        <v>1</v>
      </c>
      <c r="E97" s="47">
        <f t="array" ref="E97">IF(AND(ISNUMBER(MATCH(E$2, AsistenciaJetAdminConcatenada!$A:$A, 0)), ISNUMBER(MATCH(E$1, AsistenciaJetAdminConcatenada!$B:$B, 0)), ISNUMBER(SEARCH($A97,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ISNUMBER(SEARCH($A97, INDEX(AsistenciaJetAdminConcatenada!$D:$D, MATCH(1, (AsistenciaJetAdminConcatenada!$A:$A=E$2)*(AsistenciaJetAdminConcatenada!$B:$B=E$1), 0)), 1))),  0.5, 0))</f>
        <v>1</v>
      </c>
      <c r="F97" s="47">
        <f t="array" ref="F97">IF(AND(ISNUMBER(MATCH(F$2, AsistenciaJetAdminConcatenada!$A:$A, 0)), ISNUMBER(MATCH(F$1, AsistenciaJetAdminConcatenada!$B:$B, 0)), ISNUMBER(SEARCH($A97,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ISNUMBER(SEARCH($A97, INDEX(AsistenciaJetAdminConcatenada!$D:$D, MATCH(1, (AsistenciaJetAdminConcatenada!$A:$A=F$2)*(AsistenciaJetAdminConcatenada!$B:$B=F$1), 0)), 1))),  0.5, 0))</f>
        <v>1</v>
      </c>
      <c r="G97" s="47">
        <f t="array" ref="G97">IF(AND(ISNUMBER(MATCH(G$2, AsistenciaJetAdminConcatenada!$A:$A, 0)), ISNUMBER(MATCH(G$1, AsistenciaJetAdminConcatenada!$B:$B, 0)), ISNUMBER(SEARCH($A97,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ISNUMBER(SEARCH($A97, INDEX(AsistenciaJetAdminConcatenada!$D:$D, MATCH(1, (AsistenciaJetAdminConcatenada!$A:$A=G$2)*(AsistenciaJetAdminConcatenada!$B:$B=G$1), 0)), 1))),  0.5, 0))</f>
        <v>1</v>
      </c>
      <c r="H97" s="47">
        <f t="array" ref="H97">IF(AND(ISNUMBER(MATCH(H$2, AsistenciaJetAdminConcatenada!$A:$A, 0)), ISNUMBER(MATCH(H$1, AsistenciaJetAdminConcatenada!$B:$B, 0)), ISNUMBER(SEARCH($A97,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ISNUMBER(SEARCH($A97, INDEX(AsistenciaJetAdminConcatenada!$D:$D, MATCH(1, (AsistenciaJetAdminConcatenada!$A:$A=H$2)*(AsistenciaJetAdminConcatenada!$B:$B=H$1), 0)), 1))),  0.5, 0))</f>
        <v>1</v>
      </c>
      <c r="I97" s="47">
        <f t="array" ref="I97">IF(AND(ISNUMBER(MATCH(I$2, AsistenciaJetAdminConcatenada!$A:$A, 0)), ISNUMBER(MATCH(I$1, AsistenciaJetAdminConcatenada!$B:$B, 0)), ISNUMBER(SEARCH($A97,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ISNUMBER(SEARCH($A97, INDEX(AsistenciaJetAdminConcatenada!$D:$D, MATCH(1, (AsistenciaJetAdminConcatenada!$A:$A=I$2)*(AsistenciaJetAdminConcatenada!$B:$B=I$1), 0)), 1))),  0.5, 0))</f>
        <v>1</v>
      </c>
      <c r="J97" s="47">
        <f t="array" ref="J97">IF(AND(ISNUMBER(MATCH(J$2, AsistenciaJetAdminConcatenada!$A:$A, 0)), ISNUMBER(MATCH(J$1, AsistenciaJetAdminConcatenada!$B:$B, 0)), ISNUMBER(SEARCH($A97,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ISNUMBER(SEARCH($A97, INDEX(AsistenciaJetAdminConcatenada!$D:$D, MATCH(1, (AsistenciaJetAdminConcatenada!$A:$A=J$2)*(AsistenciaJetAdminConcatenada!$B:$B=J$1), 0)), 1))),  0.5, 0))</f>
        <v>1</v>
      </c>
      <c r="K97" s="47">
        <f t="array" ref="K97">IF(AND(ISNUMBER(MATCH(K$2, AsistenciaJetAdminConcatenada!$A:$A, 0)), ISNUMBER(MATCH(K$1, AsistenciaJetAdminConcatenada!$B:$B, 0)), ISNUMBER(SEARCH($A97,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ISNUMBER(SEARCH($A97, INDEX(AsistenciaJetAdminConcatenada!$D:$D, MATCH(1, (AsistenciaJetAdminConcatenada!$A:$A=K$2)*(AsistenciaJetAdminConcatenada!$B:$B=K$1), 0)), 1))),  0.5, 0))</f>
        <v>1</v>
      </c>
      <c r="L97" s="47">
        <f t="array" ref="L97">IF(AND(ISNUMBER(MATCH(L$2, AsistenciaJetAdminConcatenada!$A:$A, 0)), ISNUMBER(MATCH(L$1, AsistenciaJetAdminConcatenada!$B:$B, 0)), ISNUMBER(SEARCH($A97,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ISNUMBER(SEARCH($A97, INDEX(AsistenciaJetAdminConcatenada!$D:$D, MATCH(1, (AsistenciaJetAdminConcatenada!$A:$A=L$2)*(AsistenciaJetAdminConcatenada!$B:$B=L$1), 0)), 1))),  0.5, 0))</f>
        <v>1</v>
      </c>
      <c r="M97" s="47">
        <f t="array" ref="M97">IF(AND(ISNUMBER(MATCH(M$2, AsistenciaJetAdminConcatenada!$A:$A, 0)), ISNUMBER(MATCH(M$1, AsistenciaJetAdminConcatenada!$B:$B, 0)), ISNUMBER(SEARCH($A97,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ISNUMBER(SEARCH($A97, INDEX(AsistenciaJetAdminConcatenada!$D:$D, MATCH(1, (AsistenciaJetAdminConcatenada!$A:$A=M$2)*(AsistenciaJetAdminConcatenada!$B:$B=M$1), 0)), 1))),  0.5, 0))</f>
        <v>0.5</v>
      </c>
      <c r="N97" s="47">
        <f t="array" ref="N97">IF(AND(ISNUMBER(MATCH(N$2, AsistenciaJetAdminConcatenada!$A:$A, 0)), ISNUMBER(MATCH(N$1, AsistenciaJetAdminConcatenada!$B:$B, 0)), ISNUMBER(SEARCH($A97,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ISNUMBER(SEARCH($A97, INDEX(AsistenciaJetAdminConcatenada!$D:$D, MATCH(1, (AsistenciaJetAdminConcatenada!$A:$A=N$2)*(AsistenciaJetAdminConcatenada!$B:$B=N$1), 0)), 1))),  0.5, 0))</f>
        <v>0</v>
      </c>
      <c r="O97" s="47">
        <f t="array" ref="O97">IF(AND(ISNUMBER(MATCH(O$2, AsistenciaJetAdminConcatenada!$A:$A, 0)), ISNUMBER(MATCH(O$1, AsistenciaJetAdminConcatenada!$B:$B, 0)), ISNUMBER(SEARCH($A97,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ISNUMBER(SEARCH($A97, INDEX(AsistenciaJetAdminConcatenada!$D:$D, MATCH(1, (AsistenciaJetAdminConcatenada!$A:$A=O$2)*(AsistenciaJetAdminConcatenada!$B:$B=O$1), 0)), 1))),  0.5, 0))</f>
        <v>1</v>
      </c>
      <c r="P97" s="8">
        <v>0.5</v>
      </c>
      <c r="Q97" s="8">
        <v>1.0</v>
      </c>
      <c r="R97" s="47">
        <f t="array" ref="R97">IF(AND(ISNUMBER(MATCH(R$2, AsistenciaJetAdminConcatenada!$A:$A, 0)), ISNUMBER(MATCH(R$1, AsistenciaJetAdminConcatenada!$B:$B, 0)), ISNUMBER(SEARCH($A97,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ISNUMBER(SEARCH($A97, INDEX(AsistenciaJetAdminConcatenada!$D:$D, MATCH(1, (AsistenciaJetAdminConcatenada!$A:$A=R$2)*(AsistenciaJetAdminConcatenada!$B:$B=R$1), 0)), 1))),  0.5, 0))</f>
        <v>1</v>
      </c>
      <c r="S97" s="47">
        <f t="array" ref="S97">IF(AND(ISNUMBER(MATCH(S$2, AsistenciaJetAdminConcatenada!$A:$A, 0)), ISNUMBER(MATCH(S$1, AsistenciaJetAdminConcatenada!$B:$B, 0)), ISNUMBER(SEARCH($A97,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ISNUMBER(SEARCH($A97, INDEX(AsistenciaJetAdminConcatenada!$D:$D, MATCH(1, (AsistenciaJetAdminConcatenada!$A:$A=S$2)*(AsistenciaJetAdminConcatenada!$B:$B=S$1), 0)), 1))),  0.5, 0))</f>
        <v>0</v>
      </c>
      <c r="T97" s="47">
        <f t="array" ref="T97">IF(AND(ISNUMBER(MATCH(T$2, AsistenciaJetAdminConcatenada!$A:$A, 0)), ISNUMBER(MATCH(T$1, AsistenciaJetAdminConcatenada!$B:$B, 0)), ISNUMBER(SEARCH($A97,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ISNUMBER(SEARCH($A97, INDEX(AsistenciaJetAdminConcatenada!$D:$D, MATCH(1, (AsistenciaJetAdminConcatenada!$A:$A=T$2)*(AsistenciaJetAdminConcatenada!$B:$B=T$1), 0)), 1))),  0.5, 0))</f>
        <v>0</v>
      </c>
      <c r="U97" s="47">
        <f t="array" ref="U97">IF(AND(ISNUMBER(MATCH(U$2, AsistenciaJetAdminConcatenada!$A:$A, 0)), ISNUMBER(MATCH(U$1, AsistenciaJetAdminConcatenada!$B:$B, 0)), ISNUMBER(SEARCH($A97,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ISNUMBER(SEARCH($A97, INDEX(AsistenciaJetAdminConcatenada!$D:$D, MATCH(1, (AsistenciaJetAdminConcatenada!$A:$A=U$2)*(AsistenciaJetAdminConcatenada!$B:$B=U$1), 0)), 1))),  0.5, 0))</f>
        <v>1</v>
      </c>
      <c r="V97" s="47">
        <f t="array" ref="V97">IF(AND(ISNUMBER(MATCH(V$2, AsistenciaJetAdminConcatenada!$A:$A, 0)), ISNUMBER(MATCH(V$1, AsistenciaJetAdminConcatenada!$B:$B, 0)), ISNUMBER(SEARCH($A97,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ISNUMBER(SEARCH($A97, INDEX(AsistenciaJetAdminConcatenada!$D:$D, MATCH(1, (AsistenciaJetAdminConcatenada!$A:$A=V$2)*(AsistenciaJetAdminConcatenada!$B:$B=V$1), 0)), 1))),  0.5, 0))</f>
        <v>1</v>
      </c>
      <c r="W97" s="47">
        <f t="array" ref="W97">IF(AND(ISNUMBER(MATCH(W$2, AsistenciaJetAdminConcatenada!$A:$A, 0)), ISNUMBER(MATCH(W$1, AsistenciaJetAdminConcatenada!$B:$B, 0)), ISNUMBER(SEARCH($A97,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ISNUMBER(SEARCH($A97, INDEX(AsistenciaJetAdminConcatenada!$D:$D, MATCH(1, (AsistenciaJetAdminConcatenada!$A:$A=W$2)*(AsistenciaJetAdminConcatenada!$B:$B=W$1), 0)), 1))),  0.5, 0))</f>
        <v>1</v>
      </c>
      <c r="X97" s="47">
        <f t="array" ref="X97">IF(AND(ISNUMBER(MATCH(X$2, AsistenciaJetAdminConcatenada!$A:$A, 0)), ISNUMBER(MATCH(X$1, AsistenciaJetAdminConcatenada!$B:$B, 0)), ISNUMBER(SEARCH($A97,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ISNUMBER(SEARCH($A97, INDEX(AsistenciaJetAdminConcatenada!$D:$D, MATCH(1, (AsistenciaJetAdminConcatenada!$A:$A=X$2)*(AsistenciaJetAdminConcatenada!$B:$B=X$1), 0)), 1))),  0.5, 0))</f>
        <v>1</v>
      </c>
      <c r="Y97" s="47">
        <f t="array" ref="Y97">IF(AND(ISNUMBER(MATCH(Y$2, AsistenciaJetAdminConcatenada!$A:$A, 0)), ISNUMBER(MATCH(Y$1, AsistenciaJetAdminConcatenada!$B:$B, 0)), ISNUMBER(SEARCH($A97,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ISNUMBER(SEARCH($A97, INDEX(AsistenciaJetAdminConcatenada!$D:$D, MATCH(1, (AsistenciaJetAdminConcatenada!$A:$A=Y$2)*(AsistenciaJetAdminConcatenada!$B:$B=Y$1), 0)), 1))),  0.5, 0))</f>
        <v>0</v>
      </c>
      <c r="Z97" s="47">
        <f t="array" ref="Z97">IF(AND(ISNUMBER(MATCH(Z$2, AsistenciaJetAdminConcatenada!$A:$A, 0)), ISNUMBER(MATCH(Z$1, AsistenciaJetAdminConcatenada!$B:$B, 0)), ISNUMBER(SEARCH($A97,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ISNUMBER(SEARCH($A97, INDEX(AsistenciaJetAdminConcatenada!$D:$D, MATCH(1, (AsistenciaJetAdminConcatenada!$A:$A=Z$2)*(AsistenciaJetAdminConcatenada!$B:$B=Z$1), 0)), 1))),  0.5, 0))</f>
        <v>0</v>
      </c>
      <c r="AA97" s="47">
        <f t="array" ref="AA97">IF(AND(ISNUMBER(MATCH(AA$2, AsistenciaJetAdminConcatenada!$A:$A, 0)), ISNUMBER(MATCH(AA$1, AsistenciaJetAdminConcatenada!$B:$B, 0)), ISNUMBER(SEARCH($A97,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ISNUMBER(SEARCH($A97, INDEX(AsistenciaJetAdminConcatenada!$D:$D, MATCH(1, (AsistenciaJetAdminConcatenada!$A:$A=AA$2)*(AsistenciaJetAdminConcatenada!$B:$B=AA$1), 0)), 1))),  0.5, 0))</f>
        <v>0</v>
      </c>
      <c r="AB97" s="47">
        <f t="array" ref="AB97">IF(AND(ISNUMBER(MATCH(AB$2, AsistenciaJetAdminConcatenada!$A:$A, 0)), ISNUMBER(MATCH(AB$1, AsistenciaJetAdminConcatenada!$B:$B, 0)), ISNUMBER(SEARCH($A97,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ISNUMBER(SEARCH($A97, INDEX(AsistenciaJetAdminConcatenada!$D:$D, MATCH(1, (AsistenciaJetAdminConcatenada!$A:$A=AB$2)*(AsistenciaJetAdminConcatenada!$B:$B=AB$1), 0)), 1))),  0.5, 0))</f>
        <v>0</v>
      </c>
      <c r="AC97" s="47">
        <f t="array" ref="AC97">IF(AND(ISNUMBER(MATCH(AC$2, AsistenciaJetAdminConcatenada!$A:$A, 0)), ISNUMBER(MATCH(AC$1, AsistenciaJetAdminConcatenada!$B:$B, 0)), ISNUMBER(SEARCH($A97,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ISNUMBER(SEARCH($A97, INDEX(AsistenciaJetAdminConcatenada!$D:$D, MATCH(1, (AsistenciaJetAdminConcatenada!$A:$A=AC$2)*(AsistenciaJetAdminConcatenada!$B:$B=AC$1), 0)), 1))),  0.5, 0))</f>
        <v>1</v>
      </c>
      <c r="AD97" s="47">
        <f t="array" ref="AD97">IF(AND(ISNUMBER(MATCH(AD$2, AsistenciaJetAdminConcatenada!$A:$A, 0)), ISNUMBER(MATCH(AD$1, AsistenciaJetAdminConcatenada!$B:$B, 0)), ISNUMBER(SEARCH($A97,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ISNUMBER(SEARCH($A97, INDEX(AsistenciaJetAdminConcatenada!$D:$D, MATCH(1, (AsistenciaJetAdminConcatenada!$A:$A=AD$2)*(AsistenciaJetAdminConcatenada!$B:$B=AD$1), 0)), 1))),  0.5, 0))</f>
        <v>0.5</v>
      </c>
      <c r="AE97" s="47">
        <f t="array" ref="AE97">IF(AND(ISNUMBER(MATCH(AE$2, AsistenciaJetAdminConcatenada!$A:$A, 0)), ISNUMBER(MATCH(AE$1, AsistenciaJetAdminConcatenada!$B:$B, 0)), ISNUMBER(SEARCH($A97,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ISNUMBER(SEARCH($A97, INDEX(AsistenciaJetAdminConcatenada!$D:$D, MATCH(1, (AsistenciaJetAdminConcatenada!$A:$A=AE$2)*(AsistenciaJetAdminConcatenada!$B:$B=AE$1), 0)), 1))),  0.5, 0))</f>
        <v>1</v>
      </c>
      <c r="AF97" s="47">
        <f t="array" ref="AF97">IF(AND(ISNUMBER(MATCH(AF$2, AsistenciaJetAdminConcatenada!$A:$A, 0)), ISNUMBER(MATCH(AF$1, AsistenciaJetAdminConcatenada!$B:$B, 0)), ISNUMBER(SEARCH($A97,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ISNUMBER(SEARCH($A97, INDEX(AsistenciaJetAdminConcatenada!$D:$D, MATCH(1, (AsistenciaJetAdminConcatenada!$A:$A=AF$2)*(AsistenciaJetAdminConcatenada!$B:$B=AF$1), 0)), 1))),  0.5, 0))</f>
        <v>0</v>
      </c>
      <c r="AG97" s="47">
        <f t="array" ref="AG97">IF(AND(ISNUMBER(MATCH(AG$2, AsistenciaJetAdminConcatenada!$A:$A, 0)), ISNUMBER(MATCH(AG$1, AsistenciaJetAdminConcatenada!$B:$B, 0)), ISNUMBER(SEARCH($A97,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ISNUMBER(SEARCH($A97, INDEX(AsistenciaJetAdminConcatenada!$D:$D, MATCH(1, (AsistenciaJetAdminConcatenada!$A:$A=AG$2)*(AsistenciaJetAdminConcatenada!$B:$B=AG$1), 0)), 1))),  0.5, 0))</f>
        <v>1</v>
      </c>
      <c r="AH97" s="47">
        <f t="array" ref="AH97">IF(AND(ISNUMBER(MATCH(AH$2, AsistenciaJetAdminConcatenada!$A:$A, 0)), ISNUMBER(MATCH(AH$1, AsistenciaJetAdminConcatenada!$B:$B, 0)), ISNUMBER(SEARCH($A97,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ISNUMBER(SEARCH($A97, INDEX(AsistenciaJetAdminConcatenada!$D:$D, MATCH(1, (AsistenciaJetAdminConcatenada!$A:$A=AH$2)*(AsistenciaJetAdminConcatenada!$B:$B=AH$1), 0)), 1))),  0.5, 0))</f>
        <v>0</v>
      </c>
      <c r="AI97" s="47">
        <f t="array" ref="AI97">IF(AND(ISNUMBER(MATCH(AI$2, AsistenciaJetAdminConcatenada!$A:$A, 0)), ISNUMBER(MATCH(AI$1, AsistenciaJetAdminConcatenada!$B:$B, 0)), ISNUMBER(SEARCH($A97,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ISNUMBER(SEARCH($A97, INDEX(AsistenciaJetAdminConcatenada!$D:$D, MATCH(1, (AsistenciaJetAdminConcatenada!$A:$A=AI$2)*(AsistenciaJetAdminConcatenada!$B:$B=AI$1), 0)), 1))),  0.5, 0))</f>
        <v>1</v>
      </c>
      <c r="AJ97" s="47">
        <f t="array" ref="AJ97">IF(AND(ISNUMBER(MATCH(AJ$2, AsistenciaJetAdminConcatenada!$A:$A, 0)), ISNUMBER(MATCH(AJ$1, AsistenciaJetAdminConcatenada!$B:$B, 0)), ISNUMBER(SEARCH($A97,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ISNUMBER(SEARCH($A97, INDEX(AsistenciaJetAdminConcatenada!$D:$D, MATCH(1, (AsistenciaJetAdminConcatenada!$A:$A=AJ$2)*(AsistenciaJetAdminConcatenada!$B:$B=AJ$1), 0)), 1))),  0.5, 0))</f>
        <v>1</v>
      </c>
      <c r="AK97" s="47">
        <f t="array" ref="AK97">IF(AND(ISNUMBER(MATCH(AK$2, AsistenciaJetAdminConcatenada!$A:$A, 0)), ISNUMBER(MATCH(AK$1, AsistenciaJetAdminConcatenada!$B:$B, 0)), ISNUMBER(SEARCH($A97,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ISNUMBER(SEARCH($A97, INDEX(AsistenciaJetAdminConcatenada!$D:$D, MATCH(1, (AsistenciaJetAdminConcatenada!$A:$A=AK$2)*(AsistenciaJetAdminConcatenada!$B:$B=AK$1), 0)), 1))),  0.5, 0))</f>
        <v>1</v>
      </c>
      <c r="AL97" s="47">
        <f t="array" ref="AL97">IF(AND(ISNUMBER(MATCH(AL$2, AsistenciaJetAdminConcatenada!$A:$A, 0)), ISNUMBER(MATCH(AL$1, AsistenciaJetAdminConcatenada!$B:$B, 0)), ISNUMBER(SEARCH($A97,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ISNUMBER(SEARCH($A97, INDEX(AsistenciaJetAdminConcatenada!$D:$D, MATCH(1, (AsistenciaJetAdminConcatenada!$A:$A=AL$2)*(AsistenciaJetAdminConcatenada!$B:$B=AL$1), 0)), 1))),  0.5, 0))</f>
        <v>0.5</v>
      </c>
      <c r="AM97" s="47">
        <f t="array" ref="AM97">IF(AND(ISNUMBER(MATCH(AM$2, AsistenciaJetAdminConcatenada!$A:$A, 0)), ISNUMBER(MATCH(AM$1, AsistenciaJetAdminConcatenada!$B:$B, 0)), ISNUMBER(SEARCH($A97,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ISNUMBER(SEARCH($A97, INDEX(AsistenciaJetAdminConcatenada!$D:$D, MATCH(1, (AsistenciaJetAdminConcatenada!$A:$A=AM$2)*(AsistenciaJetAdminConcatenada!$B:$B=AM$1), 0)), 1))),  0.5, 0))</f>
        <v>1</v>
      </c>
      <c r="AN97" s="47">
        <f t="array" ref="AN97">IF(AND(ISNUMBER(MATCH(AN$2, AsistenciaJetAdminConcatenada!$A:$A, 0)), ISNUMBER(MATCH(AN$1, AsistenciaJetAdminConcatenada!$B:$B, 0)), ISNUMBER(SEARCH($A97,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ISNUMBER(SEARCH($A97, INDEX(AsistenciaJetAdminConcatenada!$D:$D, MATCH(1, (AsistenciaJetAdminConcatenada!$A:$A=AN$2)*(AsistenciaJetAdminConcatenada!$B:$B=AN$1), 0)), 1))),  0.5, 0))</f>
        <v>0</v>
      </c>
      <c r="AO97" s="47">
        <f t="array" ref="AO97">IF(AND(ISNUMBER(MATCH(AO$2, AsistenciaJetAdminConcatenada!$A:$A, 0)), ISNUMBER(MATCH(AO$1, AsistenciaJetAdminConcatenada!$B:$B, 0)), ISNUMBER(SEARCH($A97,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ISNUMBER(SEARCH($A97, INDEX(AsistenciaJetAdminConcatenada!$D:$D, MATCH(1, (AsistenciaJetAdminConcatenada!$A:$A=AO$2)*(AsistenciaJetAdminConcatenada!$B:$B=AO$1), 0)), 1))),  0.5, 0))</f>
        <v>0.5</v>
      </c>
      <c r="AP97" s="47">
        <f t="array" ref="AP97">IF(AND(ISNUMBER(MATCH(AP$2, AsistenciaJetAdminConcatenada!$A:$A, 0)), ISNUMBER(MATCH(AP$1, AsistenciaJetAdminConcatenada!$B:$B, 0)), ISNUMBER(SEARCH($A97,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ISNUMBER(SEARCH($A97, INDEX(AsistenciaJetAdminConcatenada!$D:$D, MATCH(1, (AsistenciaJetAdminConcatenada!$A:$A=AP$2)*(AsistenciaJetAdminConcatenada!$B:$B=AP$1), 0)), 1))),  0.5, 0))</f>
        <v>0.5</v>
      </c>
      <c r="AQ97" s="47">
        <f t="array" ref="AQ97">IF(AND(ISNUMBER(MATCH(AQ$2, AsistenciaJetAdminConcatenada!$A:$A, 0)), ISNUMBER(MATCH(AQ$1, AsistenciaJetAdminConcatenada!$B:$B, 0)), ISNUMBER(SEARCH($A97,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ISNUMBER(SEARCH($A97, INDEX(AsistenciaJetAdminConcatenada!$D:$D, MATCH(1, (AsistenciaJetAdminConcatenada!$A:$A=AQ$2)*(AsistenciaJetAdminConcatenada!$B:$B=AQ$1), 0)), 1))),  0.5, 0))</f>
        <v>0</v>
      </c>
      <c r="AR97" s="47">
        <f t="array" ref="AR97">IF(AND(ISNUMBER(MATCH(AR$2, AsistenciaJetAdminConcatenada!$A:$A, 0)), ISNUMBER(MATCH(AR$1, AsistenciaJetAdminConcatenada!$B:$B, 0)), ISNUMBER(SEARCH($A97,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ISNUMBER(SEARCH($A97, INDEX(AsistenciaJetAdminConcatenada!$D:$D, MATCH(1, (AsistenciaJetAdminConcatenada!$A:$A=AR$2)*(AsistenciaJetAdminConcatenada!$B:$B=AR$1), 0)), 1))),  0.5, 0))</f>
        <v>1</v>
      </c>
      <c r="AS97" s="47">
        <f t="array" ref="AS97">IF(AND(ISNUMBER(MATCH(AS$2, AsistenciaJetAdminConcatenada!$A:$A, 0)), ISNUMBER(MATCH(AS$1, AsistenciaJetAdminConcatenada!$B:$B, 0)), ISNUMBER(SEARCH($A97,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ISNUMBER(SEARCH($A97, INDEX(AsistenciaJetAdminConcatenada!$D:$D, MATCH(1, (AsistenciaJetAdminConcatenada!$A:$A=AS$2)*(AsistenciaJetAdminConcatenada!$B:$B=AS$1), 0)), 1))),  0.5, 0))</f>
        <v>0.5</v>
      </c>
      <c r="AT97" s="47">
        <f t="array" ref="AT97">IF(AND(ISNUMBER(MATCH(AT$2, AsistenciaJetAdminConcatenada!$A:$A, 0)), ISNUMBER(MATCH(AT$1, AsistenciaJetAdminConcatenada!$B:$B, 0)), ISNUMBER(SEARCH($A97,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ISNUMBER(SEARCH($A97, INDEX(AsistenciaJetAdminConcatenada!$D:$D, MATCH(1, (AsistenciaJetAdminConcatenada!$A:$A=AT$2)*(AsistenciaJetAdminConcatenada!$B:$B=AT$1), 0)), 1))),  0.5, 0))</f>
        <v>1</v>
      </c>
      <c r="AU97" s="47">
        <f t="array" ref="AU97">IF(AND(ISNUMBER(MATCH(AU$2, AsistenciaJetAdminConcatenada!$A:$A, 0)), ISNUMBER(MATCH(AU$1, AsistenciaJetAdminConcatenada!$B:$B, 0)), ISNUMBER(SEARCH($A97,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ISNUMBER(SEARCH($A97, INDEX(AsistenciaJetAdminConcatenada!$D:$D, MATCH(1, (AsistenciaJetAdminConcatenada!$A:$A=AU$2)*(AsistenciaJetAdminConcatenada!$B:$B=AU$1), 0)), 1))),  0.5, 0))</f>
        <v>1</v>
      </c>
      <c r="AV97" s="47">
        <f t="array" ref="AV97">IF(AND(ISNUMBER(MATCH(AV$2, AsistenciaJetAdminConcatenada!$A:$A, 0)), ISNUMBER(MATCH(AV$1, AsistenciaJetAdminConcatenada!$B:$B, 0)), ISNUMBER(SEARCH($A97,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ISNUMBER(SEARCH($A97, INDEX(AsistenciaJetAdminConcatenada!$D:$D, MATCH(1, (AsistenciaJetAdminConcatenada!$A:$A=AV$2)*(AsistenciaJetAdminConcatenada!$B:$B=AV$1), 0)), 1))),  0.5, 0))</f>
        <v>0</v>
      </c>
      <c r="AW97" s="47">
        <f t="array" ref="AW97">IF(AND(ISNUMBER(MATCH(AW$2, AsistenciaJetAdminConcatenada!$A:$A, 0)), ISNUMBER(MATCH(AW$1, AsistenciaJetAdminConcatenada!$B:$B, 0)), ISNUMBER(SEARCH($A97,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ISNUMBER(SEARCH($A97, INDEX(AsistenciaJetAdminConcatenada!$D:$D, MATCH(1, (AsistenciaJetAdminConcatenada!$A:$A=AW$2)*(AsistenciaJetAdminConcatenada!$B:$B=AW$1), 0)), 1))),  0.5, 0))</f>
        <v>1</v>
      </c>
      <c r="AX97" s="47">
        <f t="array" ref="AX97">IF(AND(ISNUMBER(MATCH(AX$2, AsistenciaJetAdminConcatenada!$A:$A, 0)), ISNUMBER(MATCH(AX$1, AsistenciaJetAdminConcatenada!$B:$B, 0)), ISNUMBER(SEARCH($A97,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ISNUMBER(SEARCH($A97, INDEX(AsistenciaJetAdminConcatenada!$D:$D, MATCH(1, (AsistenciaJetAdminConcatenada!$A:$A=AX$2)*(AsistenciaJetAdminConcatenada!$B:$B=AX$1), 0)), 1))),  0.5, 0))</f>
        <v>0</v>
      </c>
      <c r="AY97" s="47">
        <f t="array" ref="AY97">IF(AND(ISNUMBER(MATCH(AY$2, AsistenciaJetAdminConcatenada!$A:$A, 0)), ISNUMBER(MATCH(AY$1, AsistenciaJetAdminConcatenada!$B:$B, 0)), ISNUMBER(SEARCH($A97,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ISNUMBER(SEARCH($A97, INDEX(AsistenciaJetAdminConcatenada!$D:$D, MATCH(1, (AsistenciaJetAdminConcatenada!$A:$A=AY$2)*(AsistenciaJetAdminConcatenada!$B:$B=AY$1), 0)), 1))),  0.5, 0))</f>
        <v>1</v>
      </c>
      <c r="AZ97" s="47">
        <f t="array" ref="AZ97">IF(AND(ISNUMBER(MATCH(AZ$2, AsistenciaJetAdminConcatenada!$A:$A, 0)), ISNUMBER(MATCH(AZ$1, AsistenciaJetAdminConcatenada!$B:$B, 0)), ISNUMBER(SEARCH($A97,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ISNUMBER(SEARCH($A97, INDEX(AsistenciaJetAdminConcatenada!$D:$D, MATCH(1, (AsistenciaJetAdminConcatenada!$A:$A=AZ$2)*(AsistenciaJetAdminConcatenada!$B:$B=AZ$1), 0)), 1))),  0.5, 0))</f>
        <v>0</v>
      </c>
      <c r="BA97" s="47">
        <f t="array" ref="BA97">IF(AND(ISNUMBER(MATCH(BA$2, AsistenciaJetAdminConcatenada!$A:$A, 0)), ISNUMBER(MATCH(BA$1, AsistenciaJetAdminConcatenada!$B:$B, 0)), ISNUMBER(SEARCH($A97,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ISNUMBER(SEARCH($A97, INDEX(AsistenciaJetAdminConcatenada!$D:$D, MATCH(1, (AsistenciaJetAdminConcatenada!$A:$A=BA$2)*(AsistenciaJetAdminConcatenada!$B:$B=BA$1), 0)), 1))),  0.5, 0))</f>
        <v>1</v>
      </c>
      <c r="BB97" s="47">
        <f t="array" ref="BB97">IF(AND(ISNUMBER(MATCH(BB$2, AsistenciaJetAdminConcatenada!$A:$A, 0)), ISNUMBER(MATCH(BB$1, AsistenciaJetAdminConcatenada!$B:$B, 0)), ISNUMBER(SEARCH($A97,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ISNUMBER(SEARCH($A97, INDEX(AsistenciaJetAdminConcatenada!$D:$D, MATCH(1, (AsistenciaJetAdminConcatenada!$A:$A=BB$2)*(AsistenciaJetAdminConcatenada!$B:$B=BB$1), 0)), 1))),  0.5, 0))</f>
        <v>1</v>
      </c>
      <c r="BC97" s="47">
        <f t="array" ref="BC97">IF(AND(ISNUMBER(MATCH(BC$2, AsistenciaJetAdminConcatenada!$A:$A, 0)), ISNUMBER(MATCH(BC$1, AsistenciaJetAdminConcatenada!$B:$B, 0)), ISNUMBER(SEARCH($A97,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ISNUMBER(SEARCH($A97, INDEX(AsistenciaJetAdminConcatenada!$D:$D, MATCH(1, (AsistenciaJetAdminConcatenada!$A:$A=BC$2)*(AsistenciaJetAdminConcatenada!$B:$B=BC$1), 0)), 1))),  0.5, 0))</f>
        <v>0.5</v>
      </c>
      <c r="BD97" s="47">
        <f t="array" ref="BD97">IF(AND(ISNUMBER(MATCH(BD$2, AsistenciaJetAdminConcatenada!$A:$A, 0)), ISNUMBER(MATCH(BD$1, AsistenciaJetAdminConcatenada!$B:$B, 0)), ISNUMBER(SEARCH($A97,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ISNUMBER(SEARCH($A97, INDEX(AsistenciaJetAdminConcatenada!$D:$D, MATCH(1, (AsistenciaJetAdminConcatenada!$A:$A=BD$2)*(AsistenciaJetAdminConcatenada!$B:$B=BD$1), 0)), 1))),  0.5, 0))</f>
        <v>1</v>
      </c>
      <c r="BE97" s="47">
        <f t="array" ref="BE97">IF(AND(ISNUMBER(MATCH(BE$2, AsistenciaJetAdminConcatenada!$A:$A, 0)), ISNUMBER(MATCH(BE$1, AsistenciaJetAdminConcatenada!$B:$B, 0)), ISNUMBER(SEARCH($A97,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ISNUMBER(SEARCH($A97, INDEX(AsistenciaJetAdminConcatenada!$D:$D, MATCH(1, (AsistenciaJetAdminConcatenada!$A:$A=BE$2)*(AsistenciaJetAdminConcatenada!$B:$B=BE$1), 0)), 1))),  0.5, 0))</f>
        <v>1</v>
      </c>
      <c r="BF97" s="47">
        <f t="array" ref="BF97">IF(AND(ISNUMBER(MATCH(BF$2, AsistenciaJetAdminConcatenada!$A:$A, 0)), ISNUMBER(MATCH(BF$1, AsistenciaJetAdminConcatenada!$B:$B, 0)), ISNUMBER(SEARCH($A97,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ISNUMBER(SEARCH($A97, INDEX(AsistenciaJetAdminConcatenada!$D:$D, MATCH(1, (AsistenciaJetAdminConcatenada!$A:$A=BF$2)*(AsistenciaJetAdminConcatenada!$B:$B=BF$1), 0)), 1))),  0.5, 0))</f>
        <v>1</v>
      </c>
      <c r="BG97" s="47">
        <f t="array" ref="BG97">IF(AND(ISNUMBER(MATCH(BG$2, AsistenciaJetAdminConcatenada!$A:$A, 0)), ISNUMBER(MATCH(BG$1, AsistenciaJetAdminConcatenada!$B:$B, 0)), ISNUMBER(SEARCH($A97,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ISNUMBER(SEARCH($A97, INDEX(AsistenciaJetAdminConcatenada!$D:$D, MATCH(1, (AsistenciaJetAdminConcatenada!$A:$A=BG$2)*(AsistenciaJetAdminConcatenada!$B:$B=BG$1), 0)), 1))),  0.5, 0))</f>
        <v>1</v>
      </c>
      <c r="BH97" s="47">
        <f t="array" ref="BH97">IF(AND(ISNUMBER(MATCH(BH$2, AsistenciaJetAdminConcatenada!$A:$A, 0)), ISNUMBER(MATCH(BH$1, AsistenciaJetAdminConcatenada!$B:$B, 0)), ISNUMBER(SEARCH($A97,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ISNUMBER(SEARCH($A97, INDEX(AsistenciaJetAdminConcatenada!$D:$D, MATCH(1, (AsistenciaJetAdminConcatenada!$A:$A=BH$2)*(AsistenciaJetAdminConcatenada!$B:$B=BH$1), 0)), 1))),  0.5, 0))</f>
        <v>1</v>
      </c>
      <c r="BI97" s="47">
        <f t="array" ref="BI97">IF(AND(ISNUMBER(MATCH(BI$2, AsistenciaJetAdminConcatenada!$A:$A, 0)), ISNUMBER(MATCH(BI$1, AsistenciaJetAdminConcatenada!$B:$B, 0)), ISNUMBER(SEARCH($A97,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ISNUMBER(SEARCH($A97, INDEX(AsistenciaJetAdminConcatenada!$D:$D, MATCH(1, (AsistenciaJetAdminConcatenada!$A:$A=BI$2)*(AsistenciaJetAdminConcatenada!$B:$B=BI$1), 0)), 1))),  0.5, 0))</f>
        <v>0</v>
      </c>
      <c r="BJ97" s="47">
        <f t="array" ref="BJ97">IF(AND(ISNUMBER(MATCH(BJ$2, AsistenciaJetAdminConcatenada!$A:$A, 0)), ISNUMBER(MATCH(BJ$1, AsistenciaJetAdminConcatenada!$B:$B, 0)), ISNUMBER(SEARCH($A97,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ISNUMBER(SEARCH($A97, INDEX(AsistenciaJetAdminConcatenada!$D:$D, MATCH(1, (AsistenciaJetAdminConcatenada!$A:$A=BJ$2)*(AsistenciaJetAdminConcatenada!$B:$B=BJ$1), 0)), 1))),  0.5, 0))</f>
        <v>1</v>
      </c>
      <c r="BK97" s="47">
        <f t="array" ref="BK97">IF(AND(ISNUMBER(MATCH(BK$2, AsistenciaJetAdminConcatenada!$A:$A, 0)), ISNUMBER(MATCH(BK$1, AsistenciaJetAdminConcatenada!$B:$B, 0)), ISNUMBER(SEARCH($A97,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ISNUMBER(SEARCH($A97, INDEX(AsistenciaJetAdminConcatenada!$D:$D, MATCH(1, (AsistenciaJetAdminConcatenada!$A:$A=BK$2)*(AsistenciaJetAdminConcatenada!$B:$B=BK$1), 0)), 1))),  0.5, 0))</f>
        <v>0</v>
      </c>
      <c r="BL97" s="47">
        <f t="array" ref="BL97">IF(AND(ISNUMBER(MATCH(BL$2, AsistenciaJetAdminConcatenada!$A:$A, 0)), ISNUMBER(MATCH(BL$1, AsistenciaJetAdminConcatenada!$B:$B, 0)), ISNUMBER(SEARCH($A97,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ISNUMBER(SEARCH($A97, INDEX(AsistenciaJetAdminConcatenada!$D:$D, MATCH(1, (AsistenciaJetAdminConcatenada!$A:$A=BL$2)*(AsistenciaJetAdminConcatenada!$B:$B=BL$1), 0)), 1))),  0.5, 0))</f>
        <v>1</v>
      </c>
      <c r="BM97" s="47">
        <f t="array" ref="BM97">IF(AND(ISNUMBER(MATCH(BM$2, AsistenciaJetAdminConcatenada!$A:$A, 0)), ISNUMBER(MATCH(BM$1, AsistenciaJetAdminConcatenada!$B:$B, 0)), ISNUMBER(SEARCH($A97,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ISNUMBER(SEARCH($A97, INDEX(AsistenciaJetAdminConcatenada!$D:$D, MATCH(1, (AsistenciaJetAdminConcatenada!$A:$A=BM$2)*(AsistenciaJetAdminConcatenada!$B:$B=BM$1), 0)), 1))),  0.5, 0))</f>
        <v>1</v>
      </c>
      <c r="BN97" s="47">
        <f t="array" ref="BN97">IF(AND(ISNUMBER(MATCH(BN$2, AsistenciaJetAdminConcatenada!$A:$A, 0)), ISNUMBER(MATCH(BN$1, AsistenciaJetAdminConcatenada!$B:$B, 0)), ISNUMBER(SEARCH($A97,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ISNUMBER(SEARCH($A97, INDEX(AsistenciaJetAdminConcatenada!$D:$D, MATCH(1, (AsistenciaJetAdminConcatenada!$A:$A=BN$2)*(AsistenciaJetAdminConcatenada!$B:$B=BN$1), 0)), 1))),  0.5, 0))</f>
        <v>0</v>
      </c>
      <c r="BO97" s="47">
        <f t="array" ref="BO97">IF(AND(ISNUMBER(MATCH(BO$2, AsistenciaJetAdminConcatenada!$A:$A, 0)), ISNUMBER(MATCH(BO$1, AsistenciaJetAdminConcatenada!$B:$B, 0)), ISNUMBER(SEARCH($A97,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ISNUMBER(SEARCH($A97, INDEX(AsistenciaJetAdminConcatenada!$D:$D, MATCH(1, (AsistenciaJetAdminConcatenada!$A:$A=BO$2)*(AsistenciaJetAdminConcatenada!$B:$B=BO$1), 0)), 1))),  0.5, 0))</f>
        <v>0.5</v>
      </c>
      <c r="BP97" s="47">
        <f t="array" ref="BP97">IF(AND(ISNUMBER(MATCH(BP$2, AsistenciaJetAdminConcatenada!$A:$A, 0)), ISNUMBER(MATCH(BP$1, AsistenciaJetAdminConcatenada!$B:$B, 0)), ISNUMBER(SEARCH($A97,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ISNUMBER(SEARCH($A97, INDEX(AsistenciaJetAdminConcatenada!$D:$D, MATCH(1, (AsistenciaJetAdminConcatenada!$A:$A=BP$2)*(AsistenciaJetAdminConcatenada!$B:$B=BP$1), 0)), 1))),  0.5, 0))</f>
        <v>1</v>
      </c>
      <c r="BQ97" s="47">
        <f t="array" ref="BQ97">IF(AND(ISNUMBER(MATCH(BQ$2, AsistenciaJetAdminConcatenada!$A:$A, 0)), ISNUMBER(MATCH(BQ$1, AsistenciaJetAdminConcatenada!$B:$B, 0)), ISNUMBER(SEARCH($A97,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ISNUMBER(SEARCH($A97, INDEX(AsistenciaJetAdminConcatenada!$D:$D, MATCH(1, (AsistenciaJetAdminConcatenada!$A:$A=BQ$2)*(AsistenciaJetAdminConcatenada!$B:$B=BQ$1), 0)), 1))),  0.5, 0))</f>
        <v>0</v>
      </c>
      <c r="BR97" s="47">
        <f t="array" ref="BR97">IF(AND(ISNUMBER(MATCH(BR$2, AsistenciaJetAdminConcatenada!$A:$A, 0)), ISNUMBER(MATCH(BR$1, AsistenciaJetAdminConcatenada!$B:$B, 0)), ISNUMBER(SEARCH($A97,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ISNUMBER(SEARCH($A97, INDEX(AsistenciaJetAdminConcatenada!$D:$D, MATCH(1, (AsistenciaJetAdminConcatenada!$A:$A=BR$2)*(AsistenciaJetAdminConcatenada!$B:$B=BR$1), 0)), 1))),  0.5, 0))</f>
        <v>1</v>
      </c>
      <c r="BS97" s="47">
        <f t="array" ref="BS97">IF(AND(ISNUMBER(MATCH(BS$2, AsistenciaJetAdminConcatenada!$A:$A, 0)), ISNUMBER(MATCH(BS$1, AsistenciaJetAdminConcatenada!$B:$B, 0)), ISNUMBER(SEARCH($A97,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ISNUMBER(SEARCH($A97, INDEX(AsistenciaJetAdminConcatenada!$D:$D, MATCH(1, (AsistenciaJetAdminConcatenada!$A:$A=BS$2)*(AsistenciaJetAdminConcatenada!$B:$B=BS$1), 0)), 1))),  0.5, 0))</f>
        <v>0</v>
      </c>
      <c r="BT97" s="47">
        <f t="array" ref="BT97">IF(AND(ISNUMBER(MATCH(BT$2, AsistenciaJetAdminConcatenada!$A:$A, 0)), ISNUMBER(MATCH(BT$1, AsistenciaJetAdminConcatenada!$B:$B, 0)), ISNUMBER(SEARCH($A97,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ISNUMBER(SEARCH($A97, INDEX(AsistenciaJetAdminConcatenada!$D:$D, MATCH(1, (AsistenciaJetAdminConcatenada!$A:$A=BT$2)*(AsistenciaJetAdminConcatenada!$B:$B=BT$1), 0)), 1))),  0.5, 0))</f>
        <v>1</v>
      </c>
      <c r="BU97" s="47">
        <f t="array" ref="BU97">IF(AND(ISNUMBER(MATCH(BU$2, AsistenciaJetAdminConcatenada!$A:$A, 0)), ISNUMBER(MATCH(BU$1, AsistenciaJetAdminConcatenada!$B:$B, 0)), ISNUMBER(SEARCH($A97,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ISNUMBER(SEARCH($A97, INDEX(AsistenciaJetAdminConcatenada!$D:$D, MATCH(1, (AsistenciaJetAdminConcatenada!$A:$A=BU$2)*(AsistenciaJetAdminConcatenada!$B:$B=BU$1), 0)), 1))),  0.5, 0))</f>
        <v>1</v>
      </c>
      <c r="BV97" s="47">
        <f t="array" ref="BV97">IF(AND(ISNUMBER(MATCH(BV$2, AsistenciaJetAdminConcatenada!$A:$A, 0)), ISNUMBER(MATCH(BV$1, AsistenciaJetAdminConcatenada!$B:$B, 0)), ISNUMBER(SEARCH($A97,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ISNUMBER(SEARCH($A97, INDEX(AsistenciaJetAdminConcatenada!$D:$D, MATCH(1, (AsistenciaJetAdminConcatenada!$A:$A=BV$2)*(AsistenciaJetAdminConcatenada!$B:$B=BV$1), 0)), 1))),  0.5, 0))</f>
        <v>1</v>
      </c>
      <c r="BW97" s="47">
        <f t="array" ref="BW97">IF(AND(ISNUMBER(MATCH(BW$2, AsistenciaJetAdminConcatenada!$A:$A, 0)), ISNUMBER(MATCH(BW$1, AsistenciaJetAdminConcatenada!$B:$B, 0)), ISNUMBER(SEARCH($A97,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ISNUMBER(SEARCH($A97, INDEX(AsistenciaJetAdminConcatenada!$D:$D, MATCH(1, (AsistenciaJetAdminConcatenada!$A:$A=BW$2)*(AsistenciaJetAdminConcatenada!$B:$B=BW$1), 0)), 1))),  0.5, 0))</f>
        <v>1</v>
      </c>
      <c r="BX97" s="47">
        <f t="array" ref="BX97">IF(AND(ISNUMBER(MATCH(BX$2, AsistenciaJetAdminConcatenada!$A:$A, 0)), ISNUMBER(MATCH(BX$1, AsistenciaJetAdminConcatenada!$B:$B, 0)), ISNUMBER(SEARCH($A97,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ISNUMBER(SEARCH($A97, INDEX(AsistenciaJetAdminConcatenada!$D:$D, MATCH(1, (AsistenciaJetAdminConcatenada!$A:$A=BX$2)*(AsistenciaJetAdminConcatenada!$B:$B=BX$1), 0)), 1))),  0.5, 0))</f>
        <v>1</v>
      </c>
      <c r="BY97" s="47">
        <f t="array" ref="BY97">IF(AND(ISNUMBER(MATCH(BY$2, AsistenciaJetAdminConcatenada!$A:$A, 0)), ISNUMBER(MATCH(BY$1, AsistenciaJetAdminConcatenada!$B:$B, 0)), ISNUMBER(SEARCH($A97,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ISNUMBER(SEARCH($A97, INDEX(AsistenciaJetAdminConcatenada!$D:$D, MATCH(1, (AsistenciaJetAdminConcatenada!$A:$A=BY$2)*(AsistenciaJetAdminConcatenada!$B:$B=BY$1), 0)), 1))),  0.5, 0))</f>
        <v>0.5</v>
      </c>
      <c r="BZ97" s="47">
        <f t="array" ref="BZ97">IF(AND(ISNUMBER(MATCH(BZ$2, AsistenciaJetAdminConcatenada!$A:$A, 0)), ISNUMBER(MATCH(BZ$1, AsistenciaJetAdminConcatenada!$B:$B, 0)), ISNUMBER(SEARCH($A97,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ISNUMBER(SEARCH($A97, INDEX(AsistenciaJetAdminConcatenada!$D:$D, MATCH(1, (AsistenciaJetAdminConcatenada!$A:$A=BZ$2)*(AsistenciaJetAdminConcatenada!$B:$B=BZ$1), 0)), 1))),  0.5, 0))</f>
        <v>0</v>
      </c>
      <c r="CA97" s="47">
        <f t="array" ref="CA97">IF(AND(ISNUMBER(MATCH(CA$2, AsistenciaJetAdminConcatenada!$A:$A, 0)), ISNUMBER(MATCH(CA$1, AsistenciaJetAdminConcatenada!$B:$B, 0)), ISNUMBER(SEARCH($A97,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ISNUMBER(SEARCH($A97, INDEX(AsistenciaJetAdminConcatenada!$D:$D, MATCH(1, (AsistenciaJetAdminConcatenada!$A:$A=CA$2)*(AsistenciaJetAdminConcatenada!$B:$B=CA$1), 0)), 1))),  0.5, 0))</f>
        <v>0</v>
      </c>
      <c r="CB97" s="47">
        <f t="array" ref="CB97">IF(AND(ISNUMBER(MATCH(CB$2, AsistenciaJetAdminConcatenada!$A:$A, 0)), ISNUMBER(MATCH(CB$1, AsistenciaJetAdminConcatenada!$B:$B, 0)), ISNUMBER(SEARCH($A97,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ISNUMBER(SEARCH($A97, INDEX(AsistenciaJetAdminConcatenada!$D:$D, MATCH(1, (AsistenciaJetAdminConcatenada!$A:$A=CB$2)*(AsistenciaJetAdminConcatenada!$B:$B=CB$1), 0)), 1))),  0.5, 0))</f>
        <v>0</v>
      </c>
      <c r="CC97" s="47">
        <f t="array" ref="CC97">IF(AND(ISNUMBER(MATCH(CC$2, AsistenciaJetAdminConcatenada!$A:$A, 0)), ISNUMBER(MATCH(CC$1, AsistenciaJetAdminConcatenada!$B:$B, 0)), ISNUMBER(SEARCH($A97,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ISNUMBER(SEARCH($A97, INDEX(AsistenciaJetAdminConcatenada!$D:$D, MATCH(1, (AsistenciaJetAdminConcatenada!$A:$A=CC$2)*(AsistenciaJetAdminConcatenada!$B:$B=CC$1), 0)), 1))),  0.5, 0))</f>
        <v>1</v>
      </c>
      <c r="CD97" s="47">
        <f t="array" ref="CD97">IF(AND(ISNUMBER(MATCH(CD$2, AsistenciaJetAdminConcatenada!$A:$A, 0)), ISNUMBER(MATCH(CD$1, AsistenciaJetAdminConcatenada!$B:$B, 0)), ISNUMBER(SEARCH($A97,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ISNUMBER(SEARCH($A97, INDEX(AsistenciaJetAdminConcatenada!$D:$D, MATCH(1, (AsistenciaJetAdminConcatenada!$A:$A=CD$2)*(AsistenciaJetAdminConcatenada!$B:$B=CD$1), 0)), 1))),  0.5, 0))</f>
        <v>1</v>
      </c>
      <c r="CE97" s="47">
        <f t="array" ref="CE97">IF(AND(ISNUMBER(MATCH(CE$2, AsistenciaJetAdminConcatenada!$A:$A, 0)), ISNUMBER(MATCH(CE$1, AsistenciaJetAdminConcatenada!$B:$B, 0)), ISNUMBER(SEARCH($A97,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ISNUMBER(SEARCH($A97, INDEX(AsistenciaJetAdminConcatenada!$D:$D, MATCH(1, (AsistenciaJetAdminConcatenada!$A:$A=CE$2)*(AsistenciaJetAdminConcatenada!$B:$B=CE$1), 0)), 1))),  0.5, 0))</f>
        <v>1</v>
      </c>
      <c r="CF97" s="47">
        <f t="array" ref="CF97">IF(AND(ISNUMBER(MATCH(CF$2, AsistenciaJetAdminConcatenada!$A:$A, 0)), ISNUMBER(MATCH(CF$1, AsistenciaJetAdminConcatenada!$B:$B, 0)), ISNUMBER(SEARCH($A97,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ISNUMBER(SEARCH($A97, INDEX(AsistenciaJetAdminConcatenada!$D:$D, MATCH(1, (AsistenciaJetAdminConcatenada!$A:$A=CF$2)*(AsistenciaJetAdminConcatenada!$B:$B=CF$1), 0)), 1))),  0.5, 0))</f>
        <v>1</v>
      </c>
      <c r="CG97" s="47">
        <f t="array" ref="CG97">IF(AND(ISNUMBER(MATCH(CG$2, AsistenciaJetAdminConcatenada!$A:$A, 0)), ISNUMBER(MATCH(CG$1, AsistenciaJetAdminConcatenada!$B:$B, 0)), ISNUMBER(SEARCH($A97,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ISNUMBER(SEARCH($A97, INDEX(AsistenciaJetAdminConcatenada!$D:$D, MATCH(1, (AsistenciaJetAdminConcatenada!$A:$A=CG$2)*(AsistenciaJetAdminConcatenada!$B:$B=CG$1), 0)), 1))),  0.5, 0))</f>
        <v>0</v>
      </c>
      <c r="CH97" s="47">
        <f t="array" ref="CH97">IF(AND(ISNUMBER(MATCH(CH$2, AsistenciaJetAdminConcatenada!$A:$A, 0)), ISNUMBER(MATCH(CH$1, AsistenciaJetAdminConcatenada!$B:$B, 0)), ISNUMBER(SEARCH($A97,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ISNUMBER(SEARCH($A97, INDEX(AsistenciaJetAdminConcatenada!$D:$D, MATCH(1, (AsistenciaJetAdminConcatenada!$A:$A=CH$2)*(AsistenciaJetAdminConcatenada!$B:$B=CH$1), 0)), 1))),  0.5, 0))</f>
        <v>0</v>
      </c>
      <c r="CI97" s="47">
        <f t="array" ref="CI97">IF(AND(ISNUMBER(MATCH(CI$2, AsistenciaJetAdminConcatenada!$A:$A, 0)), ISNUMBER(MATCH(CI$1, AsistenciaJetAdminConcatenada!$B:$B, 0)), ISNUMBER(SEARCH($A97,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ISNUMBER(SEARCH($A97, INDEX(AsistenciaJetAdminConcatenada!$D:$D, MATCH(1, (AsistenciaJetAdminConcatenada!$A:$A=CI$2)*(AsistenciaJetAdminConcatenada!$B:$B=CI$1), 0)), 1))),  0.5, 0))</f>
        <v>0</v>
      </c>
      <c r="CJ97" s="47">
        <f t="array" ref="CJ97">IF(AND(ISNUMBER(MATCH(CJ$2, AsistenciaJetAdminConcatenada!$A:$A, 0)), ISNUMBER(MATCH(CJ$1, AsistenciaJetAdminConcatenada!$B:$B, 0)), ISNUMBER(SEARCH($A97,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ISNUMBER(SEARCH($A97, INDEX(AsistenciaJetAdminConcatenada!$D:$D, MATCH(1, (AsistenciaJetAdminConcatenada!$A:$A=CJ$2)*(AsistenciaJetAdminConcatenada!$B:$B=CJ$1), 0)), 1))),  0.5, 0))</f>
        <v>1</v>
      </c>
      <c r="CK97" s="47">
        <f t="array" ref="CK97">IF(AND(ISNUMBER(MATCH(CK$2, AsistenciaJetAdminConcatenada!$A:$A, 0)), ISNUMBER(MATCH(CK$1, AsistenciaJetAdminConcatenada!$B:$B, 0)), ISNUMBER(SEARCH($A97,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ISNUMBER(SEARCH($A97, INDEX(AsistenciaJetAdminConcatenada!$D:$D, MATCH(1, (AsistenciaJetAdminConcatenada!$A:$A=CK$2)*(AsistenciaJetAdminConcatenada!$B:$B=CK$1), 0)), 1))),  0.5, 0))</f>
        <v>1</v>
      </c>
      <c r="CL97" s="47">
        <f t="array" ref="CL97">IF(AND(ISNUMBER(MATCH(CL$2, AsistenciaJetAdminConcatenada!$A:$A, 0)), ISNUMBER(MATCH(CL$1, AsistenciaJetAdminConcatenada!$B:$B, 0)), ISNUMBER(SEARCH($A97,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ISNUMBER(SEARCH($A97, INDEX(AsistenciaJetAdminConcatenada!$D:$D, MATCH(1, (AsistenciaJetAdminConcatenada!$A:$A=CL$2)*(AsistenciaJetAdminConcatenada!$B:$B=CL$1), 0)), 1))),  0.5, 0))</f>
        <v>1</v>
      </c>
      <c r="CM97" s="47">
        <f t="array" ref="CM97">IF(AND(ISNUMBER(MATCH(CM$2, AsistenciaJetAdminConcatenada!$A:$A, 0)), ISNUMBER(MATCH(CM$1, AsistenciaJetAdminConcatenada!$B:$B, 0)), ISNUMBER(SEARCH($A97,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ISNUMBER(SEARCH($A97, INDEX(AsistenciaJetAdminConcatenada!$D:$D, MATCH(1, (AsistenciaJetAdminConcatenada!$A:$A=CM$2)*(AsistenciaJetAdminConcatenada!$B:$B=CM$1), 0)), 1))),  0.5, 0))</f>
        <v>1</v>
      </c>
      <c r="CN97" s="47">
        <f t="array" ref="CN97">IF(AND(ISNUMBER(MATCH(CN$2, AsistenciaJetAdminConcatenada!$A:$A, 0)), ISNUMBER(MATCH(CN$1, AsistenciaJetAdminConcatenada!$B:$B, 0)), ISNUMBER(SEARCH($A97,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ISNUMBER(SEARCH($A97, INDEX(AsistenciaJetAdminConcatenada!$D:$D, MATCH(1, (AsistenciaJetAdminConcatenada!$A:$A=CN$2)*(AsistenciaJetAdminConcatenada!$B:$B=CN$1), 0)), 1))),  0.5, 0))</f>
        <v>0</v>
      </c>
      <c r="CO97" s="47">
        <f t="array" ref="CO97">IF(AND(ISNUMBER(MATCH(CO$2, AsistenciaJetAdminConcatenada!$A:$A, 0)), ISNUMBER(MATCH(CO$1, AsistenciaJetAdminConcatenada!$B:$B, 0)), ISNUMBER(SEARCH($A97,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ISNUMBER(SEARCH($A97, INDEX(AsistenciaJetAdminConcatenada!$D:$D, MATCH(1, (AsistenciaJetAdminConcatenada!$A:$A=CO$2)*(AsistenciaJetAdminConcatenada!$B:$B=CO$1), 0)), 1))),  0.5, 0))</f>
        <v>1</v>
      </c>
      <c r="CP97" s="47">
        <f t="array" ref="CP97">IF(AND(ISNUMBER(MATCH(CP$2, AsistenciaJetAdminConcatenada!$A:$A, 0)), ISNUMBER(MATCH(CP$1, AsistenciaJetAdminConcatenada!$B:$B, 0)), ISNUMBER(SEARCH($A97,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ISNUMBER(SEARCH($A97, INDEX(AsistenciaJetAdminConcatenada!$D:$D, MATCH(1, (AsistenciaJetAdminConcatenada!$A:$A=CP$2)*(AsistenciaJetAdminConcatenada!$B:$B=CP$1), 0)), 1))),  0.5, 0))</f>
        <v>0</v>
      </c>
      <c r="CQ97" s="47">
        <f t="array" ref="CQ97">IF(AND(ISNUMBER(MATCH(CQ$2, AsistenciaJetAdminConcatenada!$A:$A, 0)), ISNUMBER(MATCH(CQ$1, AsistenciaJetAdminConcatenada!$B:$B, 0)), ISNUMBER(SEARCH($A97,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ISNUMBER(SEARCH($A97, INDEX(AsistenciaJetAdminConcatenada!$D:$D, MATCH(1, (AsistenciaJetAdminConcatenada!$A:$A=CQ$2)*(AsistenciaJetAdminConcatenada!$B:$B=CQ$1), 0)), 1))),  0.5, 0))</f>
        <v>0.5</v>
      </c>
      <c r="CR97" s="47">
        <f t="array" ref="CR97">IF(AND(ISNUMBER(MATCH(CR$2, AsistenciaJetAdminConcatenada!$A:$A, 0)), ISNUMBER(MATCH(CR$1, AsistenciaJetAdminConcatenada!$B:$B, 0)), ISNUMBER(SEARCH($A97,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ISNUMBER(SEARCH($A97, INDEX(AsistenciaJetAdminConcatenada!$D:$D, MATCH(1, (AsistenciaJetAdminConcatenada!$A:$A=CR$2)*(AsistenciaJetAdminConcatenada!$B:$B=CR$1), 0)), 1))),  0.5, 0))</f>
        <v>1</v>
      </c>
      <c r="CS97" s="47">
        <f t="array" ref="CS97">IF(AND(ISNUMBER(MATCH(CS$2, AsistenciaJetAdminConcatenada!$A:$A, 0)), ISNUMBER(MATCH(CS$1, AsistenciaJetAdminConcatenada!$B:$B, 0)), ISNUMBER(SEARCH($A97,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ISNUMBER(SEARCH($A97, INDEX(AsistenciaJetAdminConcatenada!$D:$D, MATCH(1, (AsistenciaJetAdminConcatenada!$A:$A=CS$2)*(AsistenciaJetAdminConcatenada!$B:$B=CS$1), 0)), 1))),  0.5, 0))</f>
        <v>0</v>
      </c>
      <c r="CT97" s="47">
        <f t="array" ref="CT97">IF(AND(ISNUMBER(MATCH(CT$2, AsistenciaJetAdminConcatenada!$A:$A, 0)), ISNUMBER(MATCH(CT$1, AsistenciaJetAdminConcatenada!$B:$B, 0)), ISNUMBER(SEARCH($A97,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ISNUMBER(SEARCH($A97, INDEX(AsistenciaJetAdminConcatenada!$D:$D, MATCH(1, (AsistenciaJetAdminConcatenada!$A:$A=CT$2)*(AsistenciaJetAdminConcatenada!$B:$B=CT$1), 0)), 1))),  0.5, 0))</f>
        <v>0</v>
      </c>
      <c r="CU97" s="47">
        <f t="array" ref="CU97">IF(AND(ISNUMBER(MATCH(CU$2, AsistenciaJetAdminConcatenada!$A:$A, 0)), ISNUMBER(MATCH(CU$1, AsistenciaJetAdminConcatenada!$B:$B, 0)), ISNUMBER(SEARCH($A97,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ISNUMBER(SEARCH($A97, INDEX(AsistenciaJetAdminConcatenada!$D:$D, MATCH(1, (AsistenciaJetAdminConcatenada!$A:$A=CU$2)*(AsistenciaJetAdminConcatenada!$B:$B=CU$1), 0)), 1))),  0.5, 0))</f>
        <v>0</v>
      </c>
      <c r="CV97" s="47">
        <f t="array" ref="CV97">IF(AND(ISNUMBER(MATCH(CV$2, AsistenciaJetAdminConcatenada!$A:$A, 0)), ISNUMBER(MATCH(CV$1, AsistenciaJetAdminConcatenada!$B:$B, 0)), ISNUMBER(SEARCH($A97,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ISNUMBER(SEARCH($A97, INDEX(AsistenciaJetAdminConcatenada!$D:$D, MATCH(1, (AsistenciaJetAdminConcatenada!$A:$A=CV$2)*(AsistenciaJetAdminConcatenada!$B:$B=CV$1), 0)), 1))),  0.5, 0))</f>
        <v>0</v>
      </c>
      <c r="CW97" s="47">
        <f t="array" ref="CW97">IF(AND(ISNUMBER(MATCH(CW$2, AsistenciaJetAdminConcatenada!$A:$A, 0)), ISNUMBER(MATCH(CW$1, AsistenciaJetAdminConcatenada!$B:$B, 0)), ISNUMBER(SEARCH($A97,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ISNUMBER(SEARCH($A97, INDEX(AsistenciaJetAdminConcatenada!$D:$D, MATCH(1, (AsistenciaJetAdminConcatenada!$A:$A=CW$2)*(AsistenciaJetAdminConcatenada!$B:$B=CW$1), 0)), 1))),  0.5, 0))</f>
        <v>0</v>
      </c>
      <c r="CX97" s="47">
        <f t="array" ref="CX97">IF(AND(ISNUMBER(MATCH(CX$2, AsistenciaJetAdminConcatenada!$A:$A, 0)), ISNUMBER(MATCH(CX$1, AsistenciaJetAdminConcatenada!$B:$B, 0)), ISNUMBER(SEARCH($A97,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ISNUMBER(SEARCH($A97, INDEX(AsistenciaJetAdminConcatenada!$D:$D, MATCH(1, (AsistenciaJetAdminConcatenada!$A:$A=CX$2)*(AsistenciaJetAdminConcatenada!$B:$B=CX$1), 0)), 1))),  0.5, 0))</f>
        <v>0</v>
      </c>
      <c r="CY97" s="47">
        <f t="array" ref="CY97">IF(AND(ISNUMBER(MATCH(CY$2, AsistenciaJetAdminConcatenada!$A:$A, 0)), ISNUMBER(MATCH(CY$1, AsistenciaJetAdminConcatenada!$B:$B, 0)), ISNUMBER(SEARCH($A97,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ISNUMBER(SEARCH($A97, INDEX(AsistenciaJetAdminConcatenada!$D:$D, MATCH(1, (AsistenciaJetAdminConcatenada!$A:$A=CY$2)*(AsistenciaJetAdminConcatenada!$B:$B=CY$1), 0)), 1))),  0.5, 0))</f>
        <v>0</v>
      </c>
      <c r="CZ97" s="47">
        <f t="array" ref="CZ97">IF(AND(ISNUMBER(MATCH(CZ$2, AsistenciaJetAdminConcatenada!$A:$A, 0)), ISNUMBER(MATCH(CZ$1, AsistenciaJetAdminConcatenada!$B:$B, 0)), ISNUMBER(SEARCH($A97,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ISNUMBER(SEARCH($A97, INDEX(AsistenciaJetAdminConcatenada!$D:$D, MATCH(1, (AsistenciaJetAdminConcatenada!$A:$A=CZ$2)*(AsistenciaJetAdminConcatenada!$B:$B=CZ$1), 0)), 1))),  0.5, 0))</f>
        <v>0</v>
      </c>
      <c r="DA97" s="47">
        <f t="array" ref="DA97">IF(AND(ISNUMBER(MATCH(DA$2, AsistenciaJetAdminConcatenada!$A:$A, 0)), ISNUMBER(MATCH(DA$1, AsistenciaJetAdminConcatenada!$B:$B, 0)), ISNUMBER(SEARCH($A97,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ISNUMBER(SEARCH($A97, INDEX(AsistenciaJetAdminConcatenada!$D:$D, MATCH(1, (AsistenciaJetAdminConcatenada!$A:$A=DA$2)*(AsistenciaJetAdminConcatenada!$B:$B=DA$1), 0)), 1))),  0.5, 0))</f>
        <v>0</v>
      </c>
      <c r="DB97" s="47">
        <f t="array" ref="DB97">IF(AND(ISNUMBER(MATCH(DB$2, AsistenciaJetAdminConcatenada!$A:$A, 0)), ISNUMBER(MATCH(DB$1, AsistenciaJetAdminConcatenada!$B:$B, 0)), ISNUMBER(SEARCH($A97,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ISNUMBER(SEARCH($A97, INDEX(AsistenciaJetAdminConcatenada!$D:$D, MATCH(1, (AsistenciaJetAdminConcatenada!$A:$A=DB$2)*(AsistenciaJetAdminConcatenada!$B:$B=DB$1), 0)), 1))),  0.5, 0))</f>
        <v>0</v>
      </c>
      <c r="DC97" s="47">
        <f t="array" ref="DC97">IF(AND(ISNUMBER(MATCH(DC$2, AsistenciaJetAdminConcatenada!$A:$A, 0)), ISNUMBER(MATCH(DC$1, AsistenciaJetAdminConcatenada!$B:$B, 0)), ISNUMBER(SEARCH($A97,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ISNUMBER(SEARCH($A97, INDEX(AsistenciaJetAdminConcatenada!$D:$D, MATCH(1, (AsistenciaJetAdminConcatenada!$A:$A=DC$2)*(AsistenciaJetAdminConcatenada!$B:$B=DC$1), 0)), 1))),  0.5, 0))</f>
        <v>0</v>
      </c>
      <c r="DD97" s="47">
        <f t="array" ref="DD97">IF(AND(ISNUMBER(MATCH(DD$2, AsistenciaJetAdminConcatenada!$A:$A, 0)), ISNUMBER(MATCH(DD$1, AsistenciaJetAdminConcatenada!$B:$B, 0)), ISNUMBER(SEARCH($A97,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ISNUMBER(SEARCH($A97, INDEX(AsistenciaJetAdminConcatenada!$D:$D, MATCH(1, (AsistenciaJetAdminConcatenada!$A:$A=DD$2)*(AsistenciaJetAdminConcatenada!$B:$B=DD$1), 0)), 1))),  0.5, 0))</f>
        <v>0</v>
      </c>
      <c r="DE97" s="47">
        <f t="array" ref="DE97">IF(AND(ISNUMBER(MATCH(DE$2, AsistenciaJetAdminConcatenada!$A:$A, 0)), ISNUMBER(MATCH(DE$1, AsistenciaJetAdminConcatenada!$B:$B, 0)), ISNUMBER(SEARCH($A97,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ISNUMBER(SEARCH($A97, INDEX(AsistenciaJetAdminConcatenada!$D:$D, MATCH(1, (AsistenciaJetAdminConcatenada!$A:$A=DE$2)*(AsistenciaJetAdminConcatenada!$B:$B=DE$1), 0)), 1))),  0.5, 0))</f>
        <v>0</v>
      </c>
      <c r="DF97" s="47">
        <f t="array" ref="DF97">IF(AND(ISNUMBER(MATCH(DF$2, AsistenciaJetAdminConcatenada!$A:$A, 0)), ISNUMBER(MATCH(DF$1, AsistenciaJetAdminConcatenada!$B:$B, 0)), ISNUMBER(SEARCH($A97,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ISNUMBER(SEARCH($A97, INDEX(AsistenciaJetAdminConcatenada!$D:$D, MATCH(1, (AsistenciaJetAdminConcatenada!$A:$A=DF$2)*(AsistenciaJetAdminConcatenada!$B:$B=DF$1), 0)), 1))),  0.5, 0))</f>
        <v>0</v>
      </c>
      <c r="DG97" s="47">
        <f t="array" ref="DG97">IF(AND(ISNUMBER(MATCH(DG$2, AsistenciaJetAdminConcatenada!$A:$A, 0)), ISNUMBER(MATCH(DG$1, AsistenciaJetAdminConcatenada!$B:$B, 0)), ISNUMBER(SEARCH($A97,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ISNUMBER(SEARCH($A97, INDEX(AsistenciaJetAdminConcatenada!$D:$D, MATCH(1, (AsistenciaJetAdminConcatenada!$A:$A=DG$2)*(AsistenciaJetAdminConcatenada!$B:$B=DG$1), 0)), 1))),  0.5, 0))</f>
        <v>0</v>
      </c>
      <c r="DH97" s="47">
        <f t="array" ref="DH97">IF(AND(ISNUMBER(MATCH(DH$2, AsistenciaJetAdminConcatenada!$A:$A, 0)), ISNUMBER(MATCH(DH$1, AsistenciaJetAdminConcatenada!$B:$B, 0)), ISNUMBER(SEARCH($A97,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ISNUMBER(SEARCH($A97, INDEX(AsistenciaJetAdminConcatenada!$D:$D, MATCH(1, (AsistenciaJetAdminConcatenada!$A:$A=DH$2)*(AsistenciaJetAdminConcatenada!$B:$B=DH$1), 0)), 1))),  0.5, 0))</f>
        <v>0</v>
      </c>
      <c r="DI97" s="47">
        <f t="array" ref="DI97">IF(AND(ISNUMBER(MATCH(DI$2, AsistenciaJetAdminConcatenada!$A:$A, 0)), ISNUMBER(MATCH(DI$1, AsistenciaJetAdminConcatenada!$B:$B, 0)), ISNUMBER(SEARCH($A97,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ISNUMBER(SEARCH($A97, INDEX(AsistenciaJetAdminConcatenada!$D:$D, MATCH(1, (AsistenciaJetAdminConcatenada!$A:$A=DI$2)*(AsistenciaJetAdminConcatenada!$B:$B=DI$1), 0)), 1))),  0.5, 0))</f>
        <v>0</v>
      </c>
      <c r="DJ97" s="47">
        <f t="array" ref="DJ97">IF(AND(ISNUMBER(MATCH(DJ$2, AsistenciaJetAdminConcatenada!$A:$A, 0)), ISNUMBER(MATCH(DJ$1, AsistenciaJetAdminConcatenada!$B:$B, 0)), ISNUMBER(SEARCH($A97,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ISNUMBER(SEARCH($A97, INDEX(AsistenciaJetAdminConcatenada!$D:$D, MATCH(1, (AsistenciaJetAdminConcatenada!$A:$A=DJ$2)*(AsistenciaJetAdminConcatenada!$B:$B=DJ$1), 0)), 1))),  0.5, 0))</f>
        <v>0</v>
      </c>
      <c r="DK97" s="47">
        <f t="array" ref="DK97">IF(AND(ISNUMBER(MATCH(DK$2, AsistenciaJetAdminConcatenada!$A:$A, 0)), ISNUMBER(MATCH(DK$1, AsistenciaJetAdminConcatenada!$B:$B, 0)), ISNUMBER(SEARCH($A97,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ISNUMBER(SEARCH($A97, INDEX(AsistenciaJetAdminConcatenada!$D:$D, MATCH(1, (AsistenciaJetAdminConcatenada!$A:$A=DK$2)*(AsistenciaJetAdminConcatenada!$B:$B=DK$1), 0)), 1))),  0.5, 0))</f>
        <v>0</v>
      </c>
      <c r="DL97" s="47">
        <f t="array" ref="DL97">IF(AND(ISNUMBER(MATCH(DL$2, AsistenciaJetAdminConcatenada!$A:$A, 0)), ISNUMBER(MATCH(DL$1, AsistenciaJetAdminConcatenada!$B:$B, 0)), ISNUMBER(SEARCH($A97,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ISNUMBER(SEARCH($A97, INDEX(AsistenciaJetAdminConcatenada!$D:$D, MATCH(1, (AsistenciaJetAdminConcatenada!$A:$A=DL$2)*(AsistenciaJetAdminConcatenada!$B:$B=DL$1), 0)), 1))),  0.5, 0))</f>
        <v>0</v>
      </c>
      <c r="DM97" s="47">
        <f t="array" ref="DM97">IF(AND(ISNUMBER(MATCH(DM$2, AsistenciaJetAdminConcatenada!$A:$A, 0)), ISNUMBER(MATCH(DM$1, AsistenciaJetAdminConcatenada!$B:$B, 0)), ISNUMBER(SEARCH($A97,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ISNUMBER(SEARCH($A97, INDEX(AsistenciaJetAdminConcatenada!$D:$D, MATCH(1, (AsistenciaJetAdminConcatenada!$A:$A=DM$2)*(AsistenciaJetAdminConcatenada!$B:$B=DM$1), 0)), 1))),  0.5, 0))</f>
        <v>0</v>
      </c>
      <c r="DN97" s="47">
        <f t="array" ref="DN97">IF(AND(ISNUMBER(MATCH(DN$2, AsistenciaJetAdminConcatenada!$A:$A, 0)), ISNUMBER(MATCH(DN$1, AsistenciaJetAdminConcatenada!$B:$B, 0)), ISNUMBER(SEARCH($A97,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ISNUMBER(SEARCH($A97, INDEX(AsistenciaJetAdminConcatenada!$D:$D, MATCH(1, (AsistenciaJetAdminConcatenada!$A:$A=DN$2)*(AsistenciaJetAdminConcatenada!$B:$B=DN$1), 0)), 1))),  0.5, 0))</f>
        <v>0</v>
      </c>
      <c r="DO97" s="47">
        <f t="array" ref="DO97">IF(AND(ISNUMBER(MATCH(DO$2, AsistenciaJetAdminConcatenada!$A:$A, 0)), ISNUMBER(MATCH(DO$1, AsistenciaJetAdminConcatenada!$B:$B, 0)), ISNUMBER(SEARCH($A97,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ISNUMBER(SEARCH($A97, INDEX(AsistenciaJetAdminConcatenada!$D:$D, MATCH(1, (AsistenciaJetAdminConcatenada!$A:$A=DO$2)*(AsistenciaJetAdminConcatenada!$B:$B=DO$1), 0)), 1))),  0.5, 0))</f>
        <v>0</v>
      </c>
      <c r="DP97" s="47">
        <f t="array" ref="DP97">IF(AND(ISNUMBER(MATCH(DP$2, AsistenciaJetAdminConcatenada!$A:$A, 0)), ISNUMBER(MATCH(DP$1, AsistenciaJetAdminConcatenada!$B:$B, 0)), ISNUMBER(SEARCH($A97,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ISNUMBER(SEARCH($A97, INDEX(AsistenciaJetAdminConcatenada!$D:$D, MATCH(1, (AsistenciaJetAdminConcatenada!$A:$A=DP$2)*(AsistenciaJetAdminConcatenada!$B:$B=DP$1), 0)), 1))),  0.5, 0))</f>
        <v>0</v>
      </c>
      <c r="DQ97" s="47">
        <f t="array" ref="DQ97">IF(AND(ISNUMBER(MATCH(DQ$2, AsistenciaJetAdminConcatenada!$A:$A, 0)), ISNUMBER(MATCH(DQ$1, AsistenciaJetAdminConcatenada!$B:$B, 0)), ISNUMBER(SEARCH($A97,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ISNUMBER(SEARCH($A97, INDEX(AsistenciaJetAdminConcatenada!$D:$D, MATCH(1, (AsistenciaJetAdminConcatenada!$A:$A=DQ$2)*(AsistenciaJetAdminConcatenada!$B:$B=DQ$1), 0)), 1))),  0.5, 0))</f>
        <v>0</v>
      </c>
      <c r="DR97" s="47">
        <f t="array" ref="DR97">IF(AND(ISNUMBER(MATCH(DR$2, AsistenciaJetAdminConcatenada!$A:$A, 0)), ISNUMBER(MATCH(DR$1, AsistenciaJetAdminConcatenada!$B:$B, 0)), ISNUMBER(SEARCH($A97,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ISNUMBER(SEARCH($A97, INDEX(AsistenciaJetAdminConcatenada!$D:$D, MATCH(1, (AsistenciaJetAdminConcatenada!$A:$A=DR$2)*(AsistenciaJetAdminConcatenada!$B:$B=DR$1), 0)), 1))),  0.5, 0))</f>
        <v>0</v>
      </c>
      <c r="DS97" s="47">
        <f t="array" ref="DS97">IF(AND(ISNUMBER(MATCH(DS$2, AsistenciaJetAdminConcatenada!$A:$A, 0)), ISNUMBER(MATCH(DS$1, AsistenciaJetAdminConcatenada!$B:$B, 0)), ISNUMBER(SEARCH($A97,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ISNUMBER(SEARCH($A97, INDEX(AsistenciaJetAdminConcatenada!$D:$D, MATCH(1, (AsistenciaJetAdminConcatenada!$A:$A=DS$2)*(AsistenciaJetAdminConcatenada!$B:$B=DS$1), 0)), 1))),  0.5, 0))</f>
        <v>0</v>
      </c>
      <c r="DT97" s="47">
        <f t="array" ref="DT97">IF(AND(ISNUMBER(MATCH(DT$2, AsistenciaJetAdminConcatenada!$A:$A, 0)), ISNUMBER(MATCH(DT$1, AsistenciaJetAdminConcatenada!$B:$B, 0)), ISNUMBER(SEARCH($A97,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ISNUMBER(SEARCH($A97, INDEX(AsistenciaJetAdminConcatenada!$D:$D, MATCH(1, (AsistenciaJetAdminConcatenada!$A:$A=DT$2)*(AsistenciaJetAdminConcatenada!$B:$B=DT$1), 0)), 1))),  0.5, 0))</f>
        <v>0</v>
      </c>
      <c r="DU97" s="47">
        <f t="array" ref="DU97">IF(AND(ISNUMBER(MATCH(DU$2, AsistenciaJetAdminConcatenada!$A:$A, 0)), ISNUMBER(MATCH(DU$1, AsistenciaJetAdminConcatenada!$B:$B, 0)), ISNUMBER(SEARCH($A97,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ISNUMBER(SEARCH($A97, INDEX(AsistenciaJetAdminConcatenada!$D:$D, MATCH(1, (AsistenciaJetAdminConcatenada!$A:$A=DU$2)*(AsistenciaJetAdminConcatenada!$B:$B=DU$1), 0)), 1))),  0.5, 0))</f>
        <v>0</v>
      </c>
      <c r="DV97" s="47">
        <f t="array" ref="DV97">IF(AND(ISNUMBER(MATCH(DV$2, AsistenciaJetAdminConcatenada!$A:$A, 0)), ISNUMBER(MATCH(DV$1, AsistenciaJetAdminConcatenada!$B:$B, 0)), ISNUMBER(SEARCH($A97,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ISNUMBER(SEARCH($A97, INDEX(AsistenciaJetAdminConcatenada!$D:$D, MATCH(1, (AsistenciaJetAdminConcatenada!$A:$A=DV$2)*(AsistenciaJetAdminConcatenada!$B:$B=DV$1), 0)), 1))),  0.5, 0))</f>
        <v>0</v>
      </c>
      <c r="DW97" s="47">
        <f t="array" ref="DW97">IF(AND(ISNUMBER(MATCH(DW$2, AsistenciaJetAdminConcatenada!$A:$A, 0)), ISNUMBER(MATCH(DW$1, AsistenciaJetAdminConcatenada!$B:$B, 0)), ISNUMBER(SEARCH($A97,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ISNUMBER(SEARCH($A97, INDEX(AsistenciaJetAdminConcatenada!$D:$D, MATCH(1, (AsistenciaJetAdminConcatenada!$A:$A=DW$2)*(AsistenciaJetAdminConcatenada!$B:$B=DW$1), 0)), 1))),  0.5, 0))</f>
        <v>0</v>
      </c>
      <c r="DX97" s="47">
        <f t="array" ref="DX97">IF(AND(ISNUMBER(MATCH(DX$2, AsistenciaJetAdminConcatenada!$A:$A, 0)), ISNUMBER(MATCH(DX$1, AsistenciaJetAdminConcatenada!$B:$B, 0)), ISNUMBER(SEARCH($A97,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ISNUMBER(SEARCH($A97, INDEX(AsistenciaJetAdminConcatenada!$D:$D, MATCH(1, (AsistenciaJetAdminConcatenada!$A:$A=DX$2)*(AsistenciaJetAdminConcatenada!$B:$B=DX$1), 0)), 1))),  0.5, 0))</f>
        <v>0</v>
      </c>
      <c r="DY97" s="47">
        <f t="array" ref="DY97">IF(AND(ISNUMBER(MATCH(DY$2, AsistenciaJetAdminConcatenada!$A:$A, 0)), ISNUMBER(MATCH(DY$1, AsistenciaJetAdminConcatenada!$B:$B, 0)), ISNUMBER(SEARCH($A97,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ISNUMBER(SEARCH($A97, INDEX(AsistenciaJetAdminConcatenada!$D:$D, MATCH(1, (AsistenciaJetAdminConcatenada!$A:$A=DY$2)*(AsistenciaJetAdminConcatenada!$B:$B=DY$1), 0)), 1))),  0.5, 0))</f>
        <v>0</v>
      </c>
      <c r="DZ97" s="47">
        <f t="array" ref="DZ97">IF(AND(ISNUMBER(MATCH(DZ$2, AsistenciaJetAdminConcatenada!$A:$A, 0)), ISNUMBER(MATCH(DZ$1, AsistenciaJetAdminConcatenada!$B:$B, 0)), ISNUMBER(SEARCH($A97,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ISNUMBER(SEARCH($A97, INDEX(AsistenciaJetAdminConcatenada!$D:$D, MATCH(1, (AsistenciaJetAdminConcatenada!$A:$A=DZ$2)*(AsistenciaJetAdminConcatenada!$B:$B=DZ$1), 0)), 1))),  0.5, 0))</f>
        <v>0</v>
      </c>
      <c r="EA97" s="47">
        <f t="array" ref="EA97">IF(AND(ISNUMBER(MATCH(EA$2, AsistenciaJetAdminConcatenada!$A:$A, 0)), ISNUMBER(MATCH(EA$1, AsistenciaJetAdminConcatenada!$B:$B, 0)), ISNUMBER(SEARCH($A97,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ISNUMBER(SEARCH($A97, INDEX(AsistenciaJetAdminConcatenada!$D:$D, MATCH(1, (AsistenciaJetAdminConcatenada!$A:$A=EA$2)*(AsistenciaJetAdminConcatenada!$B:$B=EA$1), 0)), 1))),  0.5, 0))</f>
        <v>0</v>
      </c>
      <c r="EB97" s="47">
        <f t="array" ref="EB97">IF(AND(ISNUMBER(MATCH(EB$2, AsistenciaJetAdminConcatenada!$A:$A, 0)), ISNUMBER(MATCH(EB$1, AsistenciaJetAdminConcatenada!$B:$B, 0)), ISNUMBER(SEARCH($A97,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ISNUMBER(SEARCH($A97, INDEX(AsistenciaJetAdminConcatenada!$D:$D, MATCH(1, (AsistenciaJetAdminConcatenada!$A:$A=EB$2)*(AsistenciaJetAdminConcatenada!$B:$B=EB$1), 0)), 1))),  0.5, 0))</f>
        <v>0</v>
      </c>
      <c r="EC97" s="47">
        <f t="array" ref="EC97">IF(AND(ISNUMBER(MATCH(EC$2, AsistenciaJetAdminConcatenada!$A:$A, 0)), ISNUMBER(MATCH(EC$1, AsistenciaJetAdminConcatenada!$B:$B, 0)), ISNUMBER(SEARCH($A97,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ISNUMBER(SEARCH($A97, INDEX(AsistenciaJetAdminConcatenada!$D:$D, MATCH(1, (AsistenciaJetAdminConcatenada!$A:$A=EC$2)*(AsistenciaJetAdminConcatenada!$B:$B=EC$1), 0)), 1))),  0.5, 0))</f>
        <v>0</v>
      </c>
      <c r="ED97" s="47">
        <f t="array" ref="ED97">IF(AND(ISNUMBER(MATCH(ED$2, AsistenciaJetAdminConcatenada!$A:$A, 0)), ISNUMBER(MATCH(ED$1, AsistenciaJetAdminConcatenada!$B:$B, 0)), ISNUMBER(SEARCH($A97,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ISNUMBER(SEARCH($A97, INDEX(AsistenciaJetAdminConcatenada!$D:$D, MATCH(1, (AsistenciaJetAdminConcatenada!$A:$A=ED$2)*(AsistenciaJetAdminConcatenada!$B:$B=ED$1), 0)), 1))),  0.5, 0))</f>
        <v>0</v>
      </c>
      <c r="EE97" s="47">
        <f t="array" ref="EE97">IF(AND(ISNUMBER(MATCH(EE$2, AsistenciaJetAdminConcatenada!$A:$A, 0)), ISNUMBER(MATCH(EE$1, AsistenciaJetAdminConcatenada!$B:$B, 0)), ISNUMBER(SEARCH($A97,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ISNUMBER(SEARCH($A97, INDEX(AsistenciaJetAdminConcatenada!$D:$D, MATCH(1, (AsistenciaJetAdminConcatenada!$A:$A=EE$2)*(AsistenciaJetAdminConcatenada!$B:$B=EE$1), 0)), 1))),  0.5, 0))</f>
        <v>0</v>
      </c>
      <c r="EF97" s="47">
        <f t="array" ref="EF97">IF(AND(ISNUMBER(MATCH(EF$2, AsistenciaJetAdminConcatenada!$A:$A, 0)), ISNUMBER(MATCH(EF$1, AsistenciaJetAdminConcatenada!$B:$B, 0)), ISNUMBER(SEARCH($A97,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ISNUMBER(SEARCH($A97, INDEX(AsistenciaJetAdminConcatenada!$D:$D, MATCH(1, (AsistenciaJetAdminConcatenada!$A:$A=EF$2)*(AsistenciaJetAdminConcatenada!$B:$B=EF$1), 0)), 1))),  0.5, 0))</f>
        <v>0</v>
      </c>
      <c r="EG97" s="47">
        <f t="array" ref="EG97">IF(AND(ISNUMBER(MATCH(EG$2, AsistenciaJetAdminConcatenada!$A:$A, 0)), ISNUMBER(MATCH(EG$1, AsistenciaJetAdminConcatenada!$B:$B, 0)), ISNUMBER(SEARCH($A97,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ISNUMBER(SEARCH($A97, INDEX(AsistenciaJetAdminConcatenada!$D:$D, MATCH(1, (AsistenciaJetAdminConcatenada!$A:$A=EG$2)*(AsistenciaJetAdminConcatenada!$B:$B=EG$1), 0)), 1))),  0.5, 0))</f>
        <v>0</v>
      </c>
      <c r="EH97" s="47">
        <f t="array" ref="EH97">IF(AND(ISNUMBER(MATCH(EH$2, AsistenciaJetAdminConcatenada!$A:$A, 0)), ISNUMBER(MATCH(EH$1, AsistenciaJetAdminConcatenada!$B:$B, 0)), ISNUMBER(SEARCH($A97,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ISNUMBER(SEARCH($A97, INDEX(AsistenciaJetAdminConcatenada!$D:$D, MATCH(1, (AsistenciaJetAdminConcatenada!$A:$A=EH$2)*(AsistenciaJetAdminConcatenada!$B:$B=EH$1), 0)), 1))),  0.5, 0))</f>
        <v>0</v>
      </c>
      <c r="EI97" s="47">
        <f t="array" ref="EI97">IF(AND(ISNUMBER(MATCH(EI$2, AsistenciaJetAdminConcatenada!$A:$A, 0)), ISNUMBER(MATCH(EI$1, AsistenciaJetAdminConcatenada!$B:$B, 0)), ISNUMBER(SEARCH($A97,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ISNUMBER(SEARCH($A97, INDEX(AsistenciaJetAdminConcatenada!$D:$D, MATCH(1, (AsistenciaJetAdminConcatenada!$A:$A=EI$2)*(AsistenciaJetAdminConcatenada!$B:$B=EI$1), 0)), 1))),  0.5, 0))</f>
        <v>0</v>
      </c>
      <c r="EJ97" s="47">
        <f t="array" ref="EJ97">IF(AND(ISNUMBER(MATCH(EJ$2, AsistenciaJetAdminConcatenada!$A:$A, 0)), ISNUMBER(MATCH(EJ$1, AsistenciaJetAdminConcatenada!$B:$B, 0)), ISNUMBER(SEARCH($A97,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ISNUMBER(SEARCH($A97, INDEX(AsistenciaJetAdminConcatenada!$D:$D, MATCH(1, (AsistenciaJetAdminConcatenada!$A:$A=EJ$2)*(AsistenciaJetAdminConcatenada!$B:$B=EJ$1), 0)), 1))),  0.5, 0))</f>
        <v>0</v>
      </c>
      <c r="EK97" s="47">
        <f t="array" ref="EK97">IF(AND(ISNUMBER(MATCH(EK$2, AsistenciaJetAdminConcatenada!$A:$A, 0)), ISNUMBER(MATCH(EK$1, AsistenciaJetAdminConcatenada!$B:$B, 0)), ISNUMBER(SEARCH($A97,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ISNUMBER(SEARCH($A97, INDEX(AsistenciaJetAdminConcatenada!$D:$D, MATCH(1, (AsistenciaJetAdminConcatenada!$A:$A=EK$2)*(AsistenciaJetAdminConcatenada!$B:$B=EK$1), 0)), 1))),  0.5, 0))</f>
        <v>0</v>
      </c>
      <c r="EL97" s="47">
        <f t="array" ref="EL97">IF(AND(ISNUMBER(MATCH(EL$2, AsistenciaJetAdminConcatenada!$A:$A, 0)), ISNUMBER(MATCH(EL$1, AsistenciaJetAdminConcatenada!$B:$B, 0)), ISNUMBER(SEARCH($A97,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ISNUMBER(SEARCH($A97, INDEX(AsistenciaJetAdminConcatenada!$D:$D, MATCH(1, (AsistenciaJetAdminConcatenada!$A:$A=EL$2)*(AsistenciaJetAdminConcatenada!$B:$B=EL$1), 0)), 1))),  0.5, 0))</f>
        <v>0</v>
      </c>
      <c r="EM97" s="47">
        <f t="array" ref="EM97">IF(AND(ISNUMBER(MATCH(EM$2, AsistenciaJetAdminConcatenada!$A:$A, 0)), ISNUMBER(MATCH(EM$1, AsistenciaJetAdminConcatenada!$B:$B, 0)), ISNUMBER(SEARCH($A97,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ISNUMBER(SEARCH($A97, INDEX(AsistenciaJetAdminConcatenada!$D:$D, MATCH(1, (AsistenciaJetAdminConcatenada!$A:$A=EM$2)*(AsistenciaJetAdminConcatenada!$B:$B=EM$1), 0)), 1))),  0.5, 0))</f>
        <v>0</v>
      </c>
      <c r="EN97" s="47">
        <f t="array" ref="EN97">IF(AND(ISNUMBER(MATCH(EN$2, AsistenciaJetAdminConcatenada!$A:$A, 0)), ISNUMBER(MATCH(EN$1, AsistenciaJetAdminConcatenada!$B:$B, 0)), ISNUMBER(SEARCH($A97,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ISNUMBER(SEARCH($A97, INDEX(AsistenciaJetAdminConcatenada!$D:$D, MATCH(1, (AsistenciaJetAdminConcatenada!$A:$A=EN$2)*(AsistenciaJetAdminConcatenada!$B:$B=EN$1), 0)), 1))),  0.5, 0))</f>
        <v>0</v>
      </c>
      <c r="EO97" s="47">
        <f t="array" ref="EO97">IF(AND(ISNUMBER(MATCH(EO$2, AsistenciaJetAdminConcatenada!$A:$A, 0)), ISNUMBER(MATCH(EO$1, AsistenciaJetAdminConcatenada!$B:$B, 0)), ISNUMBER(SEARCH($A97,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ISNUMBER(SEARCH($A97, INDEX(AsistenciaJetAdminConcatenada!$D:$D, MATCH(1, (AsistenciaJetAdminConcatenada!$A:$A=EO$2)*(AsistenciaJetAdminConcatenada!$B:$B=EO$1), 0)), 1))),  0.5, 0))</f>
        <v>0</v>
      </c>
      <c r="EP97" s="47">
        <f t="array" ref="EP97">IF(AND(ISNUMBER(MATCH(EP$2, AsistenciaJetAdminConcatenada!$A:$A, 0)), ISNUMBER(MATCH(EP$1, AsistenciaJetAdminConcatenada!$B:$B, 0)), ISNUMBER(SEARCH($A97,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ISNUMBER(SEARCH($A97, INDEX(AsistenciaJetAdminConcatenada!$D:$D, MATCH(1, (AsistenciaJetAdminConcatenada!$A:$A=EP$2)*(AsistenciaJetAdminConcatenada!$B:$B=EP$1), 0)), 1))),  0.5, 0))</f>
        <v>0</v>
      </c>
      <c r="EQ97" s="47">
        <f t="array" ref="EQ97">IF(AND(ISNUMBER(MATCH(EQ$2, AsistenciaJetAdminConcatenada!$A:$A, 0)), ISNUMBER(MATCH(EQ$1, AsistenciaJetAdminConcatenada!$B:$B, 0)), ISNUMBER(SEARCH($A97,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ISNUMBER(SEARCH($A97, INDEX(AsistenciaJetAdminConcatenada!$D:$D, MATCH(1, (AsistenciaJetAdminConcatenada!$A:$A=EQ$2)*(AsistenciaJetAdminConcatenada!$B:$B=EQ$1), 0)), 1))),  0.5, 0))</f>
        <v>0</v>
      </c>
      <c r="ER97" s="47">
        <f t="array" ref="ER97">IF(AND(ISNUMBER(MATCH(ER$2, AsistenciaJetAdminConcatenada!$A:$A, 0)), ISNUMBER(MATCH(ER$1, AsistenciaJetAdminConcatenada!$B:$B, 0)), ISNUMBER(SEARCH($A97,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ISNUMBER(SEARCH($A97, INDEX(AsistenciaJetAdminConcatenada!$D:$D, MATCH(1, (AsistenciaJetAdminConcatenada!$A:$A=ER$2)*(AsistenciaJetAdminConcatenada!$B:$B=ER$1), 0)), 1))),  0.5, 0))</f>
        <v>0</v>
      </c>
      <c r="ES97" s="47">
        <f t="array" ref="ES97">IF(AND(ISNUMBER(MATCH(ES$2, AsistenciaJetAdminConcatenada!$A:$A, 0)), ISNUMBER(MATCH(ES$1, AsistenciaJetAdminConcatenada!$B:$B, 0)), ISNUMBER(SEARCH($A97,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ISNUMBER(SEARCH($A97, INDEX(AsistenciaJetAdminConcatenada!$D:$D, MATCH(1, (AsistenciaJetAdminConcatenada!$A:$A=ES$2)*(AsistenciaJetAdminConcatenada!$B:$B=ES$1), 0)), 1))),  0.5, 0))</f>
        <v>0</v>
      </c>
      <c r="ET97" s="47">
        <f t="array" ref="ET97">IF(AND(ISNUMBER(MATCH(ET$2, AsistenciaJetAdminConcatenada!$A:$A, 0)), ISNUMBER(MATCH(ET$1, AsistenciaJetAdminConcatenada!$B:$B, 0)), ISNUMBER(SEARCH($A97,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ISNUMBER(SEARCH($A97, INDEX(AsistenciaJetAdminConcatenada!$D:$D, MATCH(1, (AsistenciaJetAdminConcatenada!$A:$A=ET$2)*(AsistenciaJetAdminConcatenada!$B:$B=ET$1), 0)), 1))),  0.5, 0))</f>
        <v>0</v>
      </c>
      <c r="EU97" s="47">
        <f t="array" ref="EU97">IF(AND(ISNUMBER(MATCH(EU$2, AsistenciaJetAdminConcatenada!$A:$A, 0)), ISNUMBER(MATCH(EU$1, AsistenciaJetAdminConcatenada!$B:$B, 0)), ISNUMBER(SEARCH($A97,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ISNUMBER(SEARCH($A97, INDEX(AsistenciaJetAdminConcatenada!$D:$D, MATCH(1, (AsistenciaJetAdminConcatenada!$A:$A=EU$2)*(AsistenciaJetAdminConcatenada!$B:$B=EU$1), 0)), 1))),  0.5, 0))</f>
        <v>0</v>
      </c>
      <c r="EV97" s="47">
        <f t="array" ref="EV97">IF(AND(ISNUMBER(MATCH(EV$2, AsistenciaJetAdminConcatenada!$A:$A, 0)), ISNUMBER(MATCH(EV$1, AsistenciaJetAdminConcatenada!$B:$B, 0)), ISNUMBER(SEARCH($A97,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ISNUMBER(SEARCH($A97, INDEX(AsistenciaJetAdminConcatenada!$D:$D, MATCH(1, (AsistenciaJetAdminConcatenada!$A:$A=EV$2)*(AsistenciaJetAdminConcatenada!$B:$B=EV$1), 0)), 1))),  0.5, 0))</f>
        <v>0</v>
      </c>
      <c r="EW97" s="47">
        <f t="array" ref="EW97">IF(AND(ISNUMBER(MATCH(EW$2, AsistenciaJetAdminConcatenada!$A:$A, 0)), ISNUMBER(MATCH(EW$1, AsistenciaJetAdminConcatenada!$B:$B, 0)), ISNUMBER(SEARCH($A97,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ISNUMBER(SEARCH($A97, INDEX(AsistenciaJetAdminConcatenada!$D:$D, MATCH(1, (AsistenciaJetAdminConcatenada!$A:$A=EW$2)*(AsistenciaJetAdminConcatenada!$B:$B=EW$1), 0)), 1))),  0.5, 0))</f>
        <v>0</v>
      </c>
      <c r="EX97" s="47">
        <f t="array" ref="EX97">IF(AND(ISNUMBER(MATCH(EX$2, AsistenciaJetAdminConcatenada!$A:$A, 0)), ISNUMBER(MATCH(EX$1, AsistenciaJetAdminConcatenada!$B:$B, 0)), ISNUMBER(SEARCH($A97,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ISNUMBER(SEARCH($A97, INDEX(AsistenciaJetAdminConcatenada!$D:$D, MATCH(1, (AsistenciaJetAdminConcatenada!$A:$A=EX$2)*(AsistenciaJetAdminConcatenada!$B:$B=EX$1), 0)), 1))),  0.5, 0))</f>
        <v>0</v>
      </c>
      <c r="EY97" s="47">
        <f t="array" ref="EY97">IF(AND(ISNUMBER(MATCH(EY$2, AsistenciaJetAdminConcatenada!$A:$A, 0)), ISNUMBER(MATCH(EY$1, AsistenciaJetAdminConcatenada!$B:$B, 0)), ISNUMBER(SEARCH($A97,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ISNUMBER(SEARCH($A97, INDEX(AsistenciaJetAdminConcatenada!$D:$D, MATCH(1, (AsistenciaJetAdminConcatenada!$A:$A=EY$2)*(AsistenciaJetAdminConcatenada!$B:$B=EY$1), 0)), 1))),  0.5, 0))</f>
        <v>0</v>
      </c>
      <c r="EZ97" s="47">
        <f t="array" ref="EZ97">IF(AND(ISNUMBER(MATCH(EZ$2, AsistenciaJetAdminConcatenada!$A:$A, 0)), ISNUMBER(MATCH(EZ$1, AsistenciaJetAdminConcatenada!$B:$B, 0)), ISNUMBER(SEARCH($A97,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ISNUMBER(SEARCH($A97, INDEX(AsistenciaJetAdminConcatenada!$D:$D, MATCH(1, (AsistenciaJetAdminConcatenada!$A:$A=EZ$2)*(AsistenciaJetAdminConcatenada!$B:$B=EZ$1), 0)), 1))),  0.5, 0))</f>
        <v>0</v>
      </c>
      <c r="FA97" s="47">
        <f t="array" ref="FA97">IF(AND(ISNUMBER(MATCH(FA$2, AsistenciaJetAdminConcatenada!$A:$A, 0)), ISNUMBER(MATCH(FA$1, AsistenciaJetAdminConcatenada!$B:$B, 0)), ISNUMBER(SEARCH($A97,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ISNUMBER(SEARCH($A97, INDEX(AsistenciaJetAdminConcatenada!$D:$D, MATCH(1, (AsistenciaJetAdminConcatenada!$A:$A=FA$2)*(AsistenciaJetAdminConcatenada!$B:$B=FA$1), 0)), 1))),  0.5, 0))</f>
        <v>0</v>
      </c>
      <c r="FB97" s="47">
        <f t="array" ref="FB97">IF(AND(ISNUMBER(MATCH(FB$2, AsistenciaJetAdminConcatenada!$A:$A, 0)), ISNUMBER(MATCH(FB$1, AsistenciaJetAdminConcatenada!$B:$B, 0)), ISNUMBER(SEARCH($A97,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ISNUMBER(SEARCH($A97, INDEX(AsistenciaJetAdminConcatenada!$D:$D, MATCH(1, (AsistenciaJetAdminConcatenada!$A:$A=FB$2)*(AsistenciaJetAdminConcatenada!$B:$B=FB$1), 0)), 1))),  0.5, 0))</f>
        <v>0</v>
      </c>
      <c r="FC97" s="47">
        <f t="array" ref="FC97">IF(AND(ISNUMBER(MATCH(FC$2, AsistenciaJetAdminConcatenada!$A:$A, 0)), ISNUMBER(MATCH(FC$1, AsistenciaJetAdminConcatenada!$B:$B, 0)), ISNUMBER(SEARCH($A97,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ISNUMBER(SEARCH($A97, INDEX(AsistenciaJetAdminConcatenada!$D:$D, MATCH(1, (AsistenciaJetAdminConcatenada!$A:$A=FC$2)*(AsistenciaJetAdminConcatenada!$B:$B=FC$1), 0)), 1))),  0.5, 0))</f>
        <v>0</v>
      </c>
      <c r="FD97" s="47">
        <f t="array" ref="FD97">IF(AND(ISNUMBER(MATCH(FD$2, AsistenciaJetAdminConcatenada!$A:$A, 0)), ISNUMBER(MATCH(FD$1, AsistenciaJetAdminConcatenada!$B:$B, 0)), ISNUMBER(SEARCH($A97,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ISNUMBER(SEARCH($A97, INDEX(AsistenciaJetAdminConcatenada!$D:$D, MATCH(1, (AsistenciaJetAdminConcatenada!$A:$A=FD$2)*(AsistenciaJetAdminConcatenada!$B:$B=FD$1), 0)), 1))),  0.5, 0))</f>
        <v>0</v>
      </c>
      <c r="FE97" s="47">
        <f t="array" ref="FE97">IF(AND(ISNUMBER(MATCH(FE$2, AsistenciaJetAdminConcatenada!$A:$A, 0)), ISNUMBER(MATCH(FE$1, AsistenciaJetAdminConcatenada!$B:$B, 0)), ISNUMBER(SEARCH($A97,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ISNUMBER(SEARCH($A97, INDEX(AsistenciaJetAdminConcatenada!$D:$D, MATCH(1, (AsistenciaJetAdminConcatenada!$A:$A=FE$2)*(AsistenciaJetAdminConcatenada!$B:$B=FE$1), 0)), 1))),  0.5, 0))</f>
        <v>0</v>
      </c>
      <c r="FF97" s="47">
        <f t="array" ref="FF97">IF(AND(ISNUMBER(MATCH(FF$2, AsistenciaJetAdminConcatenada!$A:$A, 0)), ISNUMBER(MATCH(FF$1, AsistenciaJetAdminConcatenada!$B:$B, 0)), ISNUMBER(SEARCH($A97,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ISNUMBER(SEARCH($A97, INDEX(AsistenciaJetAdminConcatenada!$D:$D, MATCH(1, (AsistenciaJetAdminConcatenada!$A:$A=FF$2)*(AsistenciaJetAdminConcatenada!$B:$B=FF$1), 0)), 1))),  0.5, 0))</f>
        <v>0</v>
      </c>
      <c r="FG97" s="47">
        <f t="array" ref="FG97">IF(AND(ISNUMBER(MATCH(FG$2, AsistenciaJetAdminConcatenada!$A:$A, 0)), ISNUMBER(MATCH(FG$1, AsistenciaJetAdminConcatenada!$B:$B, 0)), ISNUMBER(SEARCH($A97,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ISNUMBER(SEARCH($A97, INDEX(AsistenciaJetAdminConcatenada!$D:$D, MATCH(1, (AsistenciaJetAdminConcatenada!$A:$A=FG$2)*(AsistenciaJetAdminConcatenada!$B:$B=FG$1), 0)), 1))),  0.5, 0))</f>
        <v>0</v>
      </c>
      <c r="FH97" s="47">
        <f t="array" ref="FH97">IF(AND(ISNUMBER(MATCH(FH$2, AsistenciaJetAdminConcatenada!$A:$A, 0)), ISNUMBER(MATCH(FH$1, AsistenciaJetAdminConcatenada!$B:$B, 0)), ISNUMBER(SEARCH($A97,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ISNUMBER(SEARCH($A97, INDEX(AsistenciaJetAdminConcatenada!$D:$D, MATCH(1, (AsistenciaJetAdminConcatenada!$A:$A=FH$2)*(AsistenciaJetAdminConcatenada!$B:$B=FH$1), 0)), 1))),  0.5, 0))</f>
        <v>0</v>
      </c>
      <c r="FI97" s="47">
        <f t="array" ref="FI97">IF(AND(ISNUMBER(MATCH(FI$2, AsistenciaJetAdminConcatenada!$A:$A, 0)), ISNUMBER(MATCH(FI$1, AsistenciaJetAdminConcatenada!$B:$B, 0)), ISNUMBER(SEARCH($A97,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ISNUMBER(SEARCH($A97, INDEX(AsistenciaJetAdminConcatenada!$D:$D, MATCH(1, (AsistenciaJetAdminConcatenada!$A:$A=FI$2)*(AsistenciaJetAdminConcatenada!$B:$B=FI$1), 0)), 1))),  0.5, 0))</f>
        <v>0</v>
      </c>
      <c r="FJ97" s="47">
        <f t="array" ref="FJ97">IF(AND(ISNUMBER(MATCH(FJ$2, AsistenciaJetAdminConcatenada!$A:$A, 0)), ISNUMBER(MATCH(FJ$1, AsistenciaJetAdminConcatenada!$B:$B, 0)), ISNUMBER(SEARCH($A97,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ISNUMBER(SEARCH($A97, INDEX(AsistenciaJetAdminConcatenada!$D:$D, MATCH(1, (AsistenciaJetAdminConcatenada!$A:$A=FJ$2)*(AsistenciaJetAdminConcatenada!$B:$B=FJ$1), 0)), 1))),  0.5, 0))</f>
        <v>0</v>
      </c>
      <c r="FK97" s="47">
        <f t="array" ref="FK97">IF(AND(ISNUMBER(MATCH(FK$2, AsistenciaJetAdminConcatenada!$A:$A, 0)), ISNUMBER(MATCH(FK$1, AsistenciaJetAdminConcatenada!$B:$B, 0)), ISNUMBER(SEARCH($A97,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ISNUMBER(SEARCH($A97, INDEX(AsistenciaJetAdminConcatenada!$D:$D, MATCH(1, (AsistenciaJetAdminConcatenada!$A:$A=FK$2)*(AsistenciaJetAdminConcatenada!$B:$B=FK$1), 0)), 1))),  0.5, 0))</f>
        <v>0</v>
      </c>
      <c r="FL97" s="47">
        <f t="array" ref="FL97">IF(AND(ISNUMBER(MATCH(FL$2, AsistenciaJetAdminConcatenada!$A:$A, 0)), ISNUMBER(MATCH(FL$1, AsistenciaJetAdminConcatenada!$B:$B, 0)), ISNUMBER(SEARCH($A97,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ISNUMBER(SEARCH($A97, INDEX(AsistenciaJetAdminConcatenada!$D:$D, MATCH(1, (AsistenciaJetAdminConcatenada!$A:$A=FL$2)*(AsistenciaJetAdminConcatenada!$B:$B=FL$1), 0)), 1))),  0.5, 0))</f>
        <v>0</v>
      </c>
      <c r="FM97" s="47">
        <f t="array" ref="FM97">IF(AND(ISNUMBER(MATCH(FM$2, AsistenciaJetAdminConcatenada!$A:$A, 0)), ISNUMBER(MATCH(FM$1, AsistenciaJetAdminConcatenada!$B:$B, 0)), ISNUMBER(SEARCH($A97,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ISNUMBER(SEARCH($A97, INDEX(AsistenciaJetAdminConcatenada!$D:$D, MATCH(1, (AsistenciaJetAdminConcatenada!$A:$A=FM$2)*(AsistenciaJetAdminConcatenada!$B:$B=FM$1), 0)), 1))),  0.5, 0))</f>
        <v>0</v>
      </c>
      <c r="FN97" s="47">
        <f t="array" ref="FN97">IF(AND(ISNUMBER(MATCH(FN$2, AsistenciaJetAdminConcatenada!$A:$A, 0)), ISNUMBER(MATCH(FN$1, AsistenciaJetAdminConcatenada!$B:$B, 0)), ISNUMBER(SEARCH($A97,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ISNUMBER(SEARCH($A97, INDEX(AsistenciaJetAdminConcatenada!$D:$D, MATCH(1, (AsistenciaJetAdminConcatenada!$A:$A=FN$2)*(AsistenciaJetAdminConcatenada!$B:$B=FN$1), 0)), 1))),  0.5, 0))</f>
        <v>0</v>
      </c>
      <c r="FO97" s="47">
        <f t="array" ref="FO97">IF(AND(ISNUMBER(MATCH(FO$2, AsistenciaJetAdminConcatenada!$A:$A, 0)), ISNUMBER(MATCH(FO$1, AsistenciaJetAdminConcatenada!$B:$B, 0)), ISNUMBER(SEARCH($A97,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ISNUMBER(SEARCH($A97, INDEX(AsistenciaJetAdminConcatenada!$D:$D, MATCH(1, (AsistenciaJetAdminConcatenada!$A:$A=FO$2)*(AsistenciaJetAdminConcatenada!$B:$B=FO$1), 0)), 1))),  0.5, 0))</f>
        <v>0</v>
      </c>
      <c r="FP97" s="47">
        <f t="array" ref="FP97">IF(AND(ISNUMBER(MATCH(FP$2, AsistenciaJetAdminConcatenada!$A:$A, 0)), ISNUMBER(MATCH(FP$1, AsistenciaJetAdminConcatenada!$B:$B, 0)), ISNUMBER(SEARCH($A97,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ISNUMBER(SEARCH($A97, INDEX(AsistenciaJetAdminConcatenada!$D:$D, MATCH(1, (AsistenciaJetAdminConcatenada!$A:$A=FP$2)*(AsistenciaJetAdminConcatenada!$B:$B=FP$1), 0)), 1))),  0.5, 0))</f>
        <v>0</v>
      </c>
      <c r="FQ97" s="47">
        <f t="array" ref="FQ97">IF(AND(ISNUMBER(MATCH(FQ$2, AsistenciaJetAdminConcatenada!$A:$A, 0)), ISNUMBER(MATCH(FQ$1, AsistenciaJetAdminConcatenada!$B:$B, 0)), ISNUMBER(SEARCH($A97,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ISNUMBER(SEARCH($A97, INDEX(AsistenciaJetAdminConcatenada!$D:$D, MATCH(1, (AsistenciaJetAdminConcatenada!$A:$A=FQ$2)*(AsistenciaJetAdminConcatenada!$B:$B=FQ$1), 0)), 1))),  0.5, 0))</f>
        <v>0</v>
      </c>
      <c r="FR97" s="47">
        <f t="array" ref="FR97">IF(AND(ISNUMBER(MATCH(FR$2, AsistenciaJetAdminConcatenada!$A:$A, 0)), ISNUMBER(MATCH(FR$1, AsistenciaJetAdminConcatenada!$B:$B, 0)), ISNUMBER(SEARCH($A97,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ISNUMBER(SEARCH($A97, INDEX(AsistenciaJetAdminConcatenada!$D:$D, MATCH(1, (AsistenciaJetAdminConcatenada!$A:$A=FR$2)*(AsistenciaJetAdminConcatenada!$B:$B=FR$1), 0)), 1))),  0.5, 0))</f>
        <v>0</v>
      </c>
      <c r="FS97" s="47">
        <f t="array" ref="FS97">IF(AND(ISNUMBER(MATCH(FS$2, AsistenciaJetAdminConcatenada!$A:$A, 0)), ISNUMBER(MATCH(FS$1, AsistenciaJetAdminConcatenada!$B:$B, 0)), ISNUMBER(SEARCH($A97,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ISNUMBER(SEARCH($A97, INDEX(AsistenciaJetAdminConcatenada!$D:$D, MATCH(1, (AsistenciaJetAdminConcatenada!$A:$A=FS$2)*(AsistenciaJetAdminConcatenada!$B:$B=FS$1), 0)), 1))),  0.5, 0))</f>
        <v>0</v>
      </c>
      <c r="FT97" s="47">
        <f t="array" ref="FT97">IF(AND(ISNUMBER(MATCH(FT$2, AsistenciaJetAdminConcatenada!$A:$A, 0)), ISNUMBER(MATCH(FT$1, AsistenciaJetAdminConcatenada!$B:$B, 0)), ISNUMBER(SEARCH($A97,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ISNUMBER(SEARCH($A97, INDEX(AsistenciaJetAdminConcatenada!$D:$D, MATCH(1, (AsistenciaJetAdminConcatenada!$A:$A=FT$2)*(AsistenciaJetAdminConcatenada!$B:$B=FT$1), 0)), 1))),  0.5, 0))</f>
        <v>0</v>
      </c>
      <c r="FU97" s="47">
        <f t="array" ref="FU97">IF(AND(ISNUMBER(MATCH(FU$2, AsistenciaJetAdminConcatenada!$A:$A, 0)), ISNUMBER(MATCH(FU$1, AsistenciaJetAdminConcatenada!$B:$B, 0)), ISNUMBER(SEARCH($A97,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ISNUMBER(SEARCH($A97, INDEX(AsistenciaJetAdminConcatenada!$D:$D, MATCH(1, (AsistenciaJetAdminConcatenada!$A:$A=FU$2)*(AsistenciaJetAdminConcatenada!$B:$B=FU$1), 0)), 1))),  0.5, 0))</f>
        <v>0</v>
      </c>
      <c r="FV97" s="47">
        <f t="array" ref="FV97">IF(AND(ISNUMBER(MATCH(FV$2, AsistenciaJetAdminConcatenada!$A:$A, 0)), ISNUMBER(MATCH(FV$1, AsistenciaJetAdminConcatenada!$B:$B, 0)), ISNUMBER(SEARCH($A97,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ISNUMBER(SEARCH($A97, INDEX(AsistenciaJetAdminConcatenada!$D:$D, MATCH(1, (AsistenciaJetAdminConcatenada!$A:$A=FV$2)*(AsistenciaJetAdminConcatenada!$B:$B=FV$1), 0)), 1))),  0.5, 0))</f>
        <v>0</v>
      </c>
      <c r="FW97" s="47">
        <f t="array" ref="FW97">IF(AND(ISNUMBER(MATCH(FW$2, AsistenciaJetAdminConcatenada!$A:$A, 0)), ISNUMBER(MATCH(FW$1, AsistenciaJetAdminConcatenada!$B:$B, 0)), ISNUMBER(SEARCH($A97,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ISNUMBER(SEARCH($A97, INDEX(AsistenciaJetAdminConcatenada!$D:$D, MATCH(1, (AsistenciaJetAdminConcatenada!$A:$A=FW$2)*(AsistenciaJetAdminConcatenada!$B:$B=FW$1), 0)), 1))),  0.5, 0))</f>
        <v>0</v>
      </c>
      <c r="FX97" s="47">
        <f t="array" ref="FX97">IF(AND(ISNUMBER(MATCH(FX$2, AsistenciaJetAdminConcatenada!$A:$A, 0)), ISNUMBER(MATCH(FX$1, AsistenciaJetAdminConcatenada!$B:$B, 0)), ISNUMBER(SEARCH($A97,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ISNUMBER(SEARCH($A97, INDEX(AsistenciaJetAdminConcatenada!$D:$D, MATCH(1, (AsistenciaJetAdminConcatenada!$A:$A=FX$2)*(AsistenciaJetAdminConcatenada!$B:$B=FX$1), 0)), 1))),  0.5, 0))</f>
        <v>0</v>
      </c>
      <c r="FY97" s="47">
        <f t="array" ref="FY97">IF(AND(ISNUMBER(MATCH(FY$2, AsistenciaJetAdminConcatenada!$A:$A, 0)), ISNUMBER(MATCH(FY$1, AsistenciaJetAdminConcatenada!$B:$B, 0)), ISNUMBER(SEARCH($A97,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ISNUMBER(SEARCH($A97, INDEX(AsistenciaJetAdminConcatenada!$D:$D, MATCH(1, (AsistenciaJetAdminConcatenada!$A:$A=FY$2)*(AsistenciaJetAdminConcatenada!$B:$B=FY$1), 0)), 1))),  0.5, 0))</f>
        <v>0</v>
      </c>
      <c r="FZ97" s="47">
        <f t="array" ref="FZ97">IF(AND(ISNUMBER(MATCH(FZ$2, AsistenciaJetAdminConcatenada!$A:$A, 0)), ISNUMBER(MATCH(FZ$1, AsistenciaJetAdminConcatenada!$B:$B, 0)), ISNUMBER(SEARCH($A97,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ISNUMBER(SEARCH($A97, INDEX(AsistenciaJetAdminConcatenada!$D:$D, MATCH(1, (AsistenciaJetAdminConcatenada!$A:$A=FZ$2)*(AsistenciaJetAdminConcatenada!$B:$B=FZ$1), 0)), 1))),  0.5, 0))</f>
        <v>0</v>
      </c>
      <c r="GA97" s="47">
        <f t="array" ref="GA97">IF(AND(ISNUMBER(MATCH(GA$2, AsistenciaJetAdminConcatenada!$A:$A, 0)), ISNUMBER(MATCH(GA$1, AsistenciaJetAdminConcatenada!$B:$B, 0)), ISNUMBER(SEARCH($A97,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ISNUMBER(SEARCH($A97, INDEX(AsistenciaJetAdminConcatenada!$D:$D, MATCH(1, (AsistenciaJetAdminConcatenada!$A:$A=GA$2)*(AsistenciaJetAdminConcatenada!$B:$B=GA$1), 0)), 1))),  0.5, 0))</f>
        <v>0</v>
      </c>
      <c r="GB97" s="47">
        <f t="array" ref="GB97">IF(AND(ISNUMBER(MATCH(GB$2, AsistenciaJetAdminConcatenada!$A:$A, 0)), ISNUMBER(MATCH(GB$1, AsistenciaJetAdminConcatenada!$B:$B, 0)), ISNUMBER(SEARCH($A97,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ISNUMBER(SEARCH($A97, INDEX(AsistenciaJetAdminConcatenada!$D:$D, MATCH(1, (AsistenciaJetAdminConcatenada!$A:$A=GB$2)*(AsistenciaJetAdminConcatenada!$B:$B=GB$1), 0)), 1))),  0.5, 0))</f>
        <v>0</v>
      </c>
      <c r="GC97" s="47">
        <f t="array" ref="GC97">IF(AND(ISNUMBER(MATCH(GC$2, AsistenciaJetAdminConcatenada!$A:$A, 0)), ISNUMBER(MATCH(GC$1, AsistenciaJetAdminConcatenada!$B:$B, 0)), ISNUMBER(SEARCH($A97,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ISNUMBER(SEARCH($A97, INDEX(AsistenciaJetAdminConcatenada!$D:$D, MATCH(1, (AsistenciaJetAdminConcatenada!$A:$A=GC$2)*(AsistenciaJetAdminConcatenada!$B:$B=GC$1), 0)), 1))),  0.5, 0))</f>
        <v>0</v>
      </c>
      <c r="GD97" s="47">
        <f t="array" ref="GD97">IF(AND(ISNUMBER(MATCH(GD$2, AsistenciaJetAdminConcatenada!$A:$A, 0)), ISNUMBER(MATCH(GD$1, AsistenciaJetAdminConcatenada!$B:$B, 0)), ISNUMBER(SEARCH($A97,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ISNUMBER(SEARCH($A97, INDEX(AsistenciaJetAdminConcatenada!$D:$D, MATCH(1, (AsistenciaJetAdminConcatenada!$A:$A=GD$2)*(AsistenciaJetAdminConcatenada!$B:$B=GD$1), 0)), 1))),  0.5, 0))</f>
        <v>0</v>
      </c>
      <c r="GE97" s="47">
        <f t="array" ref="GE97">IF(AND(ISNUMBER(MATCH(GE$2, AsistenciaJetAdminConcatenada!$A:$A, 0)), ISNUMBER(MATCH(GE$1, AsistenciaJetAdminConcatenada!$B:$B, 0)), ISNUMBER(SEARCH($A97,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ISNUMBER(SEARCH($A97, INDEX(AsistenciaJetAdminConcatenada!$D:$D, MATCH(1, (AsistenciaJetAdminConcatenada!$A:$A=GE$2)*(AsistenciaJetAdminConcatenada!$B:$B=GE$1), 0)), 1))),  0.5, 0))</f>
        <v>0</v>
      </c>
      <c r="GF97" s="47">
        <f t="array" ref="GF97">IF(AND(ISNUMBER(MATCH(GF$2, AsistenciaJetAdminConcatenada!$A:$A, 0)), ISNUMBER(MATCH(GF$1, AsistenciaJetAdminConcatenada!$B:$B, 0)), ISNUMBER(SEARCH($A97,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ISNUMBER(SEARCH($A97, INDEX(AsistenciaJetAdminConcatenada!$D:$D, MATCH(1, (AsistenciaJetAdminConcatenada!$A:$A=GF$2)*(AsistenciaJetAdminConcatenada!$B:$B=GF$1), 0)), 1))),  0.5, 0))</f>
        <v>0</v>
      </c>
      <c r="GG97" s="47">
        <f t="array" ref="GG97">IF(AND(ISNUMBER(MATCH(GG$2, AsistenciaJetAdminConcatenada!$A:$A, 0)), ISNUMBER(MATCH(GG$1, AsistenciaJetAdminConcatenada!$B:$B, 0)), ISNUMBER(SEARCH($A97,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ISNUMBER(SEARCH($A97, INDEX(AsistenciaJetAdminConcatenada!$D:$D, MATCH(1, (AsistenciaJetAdminConcatenada!$A:$A=GG$2)*(AsistenciaJetAdminConcatenada!$B:$B=GG$1), 0)), 1))),  0.5, 0))</f>
        <v>0</v>
      </c>
      <c r="GH97" s="47">
        <f t="array" ref="GH97">IF(AND(ISNUMBER(MATCH(GH$2, AsistenciaJetAdminConcatenada!$A:$A, 0)), ISNUMBER(MATCH(GH$1, AsistenciaJetAdminConcatenada!$B:$B, 0)), ISNUMBER(SEARCH($A97,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ISNUMBER(SEARCH($A97, INDEX(AsistenciaJetAdminConcatenada!$D:$D, MATCH(1, (AsistenciaJetAdminConcatenada!$A:$A=GH$2)*(AsistenciaJetAdminConcatenada!$B:$B=GH$1), 0)), 1))),  0.5, 0))</f>
        <v>0</v>
      </c>
      <c r="GI97" s="47">
        <f t="array" ref="GI97">IF(AND(ISNUMBER(MATCH(GI$2, AsistenciaJetAdminConcatenada!$A:$A, 0)), ISNUMBER(MATCH(GI$1, AsistenciaJetAdminConcatenada!$B:$B, 0)), ISNUMBER(SEARCH($A97,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ISNUMBER(SEARCH($A97, INDEX(AsistenciaJetAdminConcatenada!$D:$D, MATCH(1, (AsistenciaJetAdminConcatenada!$A:$A=GI$2)*(AsistenciaJetAdminConcatenada!$B:$B=GI$1), 0)), 1))),  0.5, 0))</f>
        <v>0</v>
      </c>
      <c r="GJ97" s="47">
        <f t="array" ref="GJ97">IF(AND(ISNUMBER(MATCH(GJ$2, AsistenciaJetAdminConcatenada!$A:$A, 0)), ISNUMBER(MATCH(GJ$1, AsistenciaJetAdminConcatenada!$B:$B, 0)), ISNUMBER(SEARCH($A97,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ISNUMBER(SEARCH($A97, INDEX(AsistenciaJetAdminConcatenada!$D:$D, MATCH(1, (AsistenciaJetAdminConcatenada!$A:$A=GJ$2)*(AsistenciaJetAdminConcatenada!$B:$B=GJ$1), 0)), 1))),  0.5, 0))</f>
        <v>0</v>
      </c>
      <c r="GK97" s="47">
        <f t="array" ref="GK97">IF(AND(ISNUMBER(MATCH(GK$2, AsistenciaJetAdminConcatenada!$A:$A, 0)), ISNUMBER(MATCH(GK$1, AsistenciaJetAdminConcatenada!$B:$B, 0)), ISNUMBER(SEARCH($A97,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ISNUMBER(SEARCH($A97, INDEX(AsistenciaJetAdminConcatenada!$D:$D, MATCH(1, (AsistenciaJetAdminConcatenada!$A:$A=GK$2)*(AsistenciaJetAdminConcatenada!$B:$B=GK$1), 0)), 1))),  0.5, 0))</f>
        <v>0</v>
      </c>
      <c r="GL97" s="47">
        <f t="array" ref="GL97">IF(AND(ISNUMBER(MATCH(GL$2, AsistenciaJetAdminConcatenada!$A:$A, 0)), ISNUMBER(MATCH(GL$1, AsistenciaJetAdminConcatenada!$B:$B, 0)), ISNUMBER(SEARCH($A97,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ISNUMBER(SEARCH($A97, INDEX(AsistenciaJetAdminConcatenada!$D:$D, MATCH(1, (AsistenciaJetAdminConcatenada!$A:$A=GL$2)*(AsistenciaJetAdminConcatenada!$B:$B=GL$1), 0)), 1))),  0.5, 0))</f>
        <v>0</v>
      </c>
      <c r="GM97" s="47">
        <f t="array" ref="GM97">IF(AND(ISNUMBER(MATCH(GM$2, AsistenciaJetAdminConcatenada!$A:$A, 0)), ISNUMBER(MATCH(GM$1, AsistenciaJetAdminConcatenada!$B:$B, 0)), ISNUMBER(SEARCH($A97,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ISNUMBER(SEARCH($A97, INDEX(AsistenciaJetAdminConcatenada!$D:$D, MATCH(1, (AsistenciaJetAdminConcatenada!$A:$A=GM$2)*(AsistenciaJetAdminConcatenada!$B:$B=GM$1), 0)), 1))),  0.5, 0))</f>
        <v>0</v>
      </c>
      <c r="GN97" s="47">
        <f t="array" ref="GN97">IF(AND(ISNUMBER(MATCH(GN$2, AsistenciaJetAdminConcatenada!$A:$A, 0)), ISNUMBER(MATCH(GN$1, AsistenciaJetAdminConcatenada!$B:$B, 0)), ISNUMBER(SEARCH($A97,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ISNUMBER(SEARCH($A97, INDEX(AsistenciaJetAdminConcatenada!$D:$D, MATCH(1, (AsistenciaJetAdminConcatenada!$A:$A=GN$2)*(AsistenciaJetAdminConcatenada!$B:$B=GN$1), 0)), 1))),  0.5, 0))</f>
        <v>0</v>
      </c>
      <c r="GO97" s="47">
        <f t="array" ref="GO97">IF(AND(ISNUMBER(MATCH(GO$2, AsistenciaJetAdminConcatenada!$A:$A, 0)), ISNUMBER(MATCH(GO$1, AsistenciaJetAdminConcatenada!$B:$B, 0)), ISNUMBER(SEARCH($A97,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ISNUMBER(SEARCH($A97, INDEX(AsistenciaJetAdminConcatenada!$D:$D, MATCH(1, (AsistenciaJetAdminConcatenada!$A:$A=GO$2)*(AsistenciaJetAdminConcatenada!$B:$B=GO$1), 0)), 1))),  0.5, 0))</f>
        <v>0</v>
      </c>
      <c r="GP97" s="47">
        <f t="array" ref="GP97">IF(AND(ISNUMBER(MATCH(GP$2, AsistenciaJetAdminConcatenada!$A:$A, 0)), ISNUMBER(MATCH(GP$1, AsistenciaJetAdminConcatenada!$B:$B, 0)), ISNUMBER(SEARCH($A97,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ISNUMBER(SEARCH($A97, INDEX(AsistenciaJetAdminConcatenada!$D:$D, MATCH(1, (AsistenciaJetAdminConcatenada!$A:$A=GP$2)*(AsistenciaJetAdminConcatenada!$B:$B=GP$1), 0)), 1))),  0.5, 0))</f>
        <v>0</v>
      </c>
      <c r="GQ97" s="47">
        <f t="array" ref="GQ97">IF(AND(ISNUMBER(MATCH(GQ$2, AsistenciaJetAdminConcatenada!$A:$A, 0)), ISNUMBER(MATCH(GQ$1, AsistenciaJetAdminConcatenada!$B:$B, 0)), ISNUMBER(SEARCH($A97,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ISNUMBER(SEARCH($A97, INDEX(AsistenciaJetAdminConcatenada!$D:$D, MATCH(1, (AsistenciaJetAdminConcatenada!$A:$A=GQ$2)*(AsistenciaJetAdminConcatenada!$B:$B=GQ$1), 0)), 1))),  0.5, 0))</f>
        <v>0</v>
      </c>
      <c r="GR97" s="47">
        <f t="array" ref="GR97">IF(AND(ISNUMBER(MATCH(GR$2, AsistenciaJetAdminConcatenada!$A:$A, 0)), ISNUMBER(MATCH(GR$1, AsistenciaJetAdminConcatenada!$B:$B, 0)), ISNUMBER(SEARCH($A97,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ISNUMBER(SEARCH($A97, INDEX(AsistenciaJetAdminConcatenada!$D:$D, MATCH(1, (AsistenciaJetAdminConcatenada!$A:$A=GR$2)*(AsistenciaJetAdminConcatenada!$B:$B=GR$1), 0)), 1))),  0.5, 0))</f>
        <v>0</v>
      </c>
      <c r="GS97" s="47">
        <f t="array" ref="GS97">IF(AND(ISNUMBER(MATCH(GS$2, AsistenciaJetAdminConcatenada!$A:$A, 0)), ISNUMBER(MATCH(GS$1, AsistenciaJetAdminConcatenada!$B:$B, 0)), ISNUMBER(SEARCH($A97,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ISNUMBER(SEARCH($A97, INDEX(AsistenciaJetAdminConcatenada!$D:$D, MATCH(1, (AsistenciaJetAdminConcatenada!$A:$A=GS$2)*(AsistenciaJetAdminConcatenada!$B:$B=GS$1), 0)), 1))),  0.5, 0))</f>
        <v>0</v>
      </c>
      <c r="GT97" s="47">
        <f t="array" ref="GT97">IF(AND(ISNUMBER(MATCH(GT$2, AsistenciaJetAdminConcatenada!$A:$A, 0)), ISNUMBER(MATCH(GT$1, AsistenciaJetAdminConcatenada!$B:$B, 0)), ISNUMBER(SEARCH($A97,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ISNUMBER(SEARCH($A97, INDEX(AsistenciaJetAdminConcatenada!$D:$D, MATCH(1, (AsistenciaJetAdminConcatenada!$A:$A=GT$2)*(AsistenciaJetAdminConcatenada!$B:$B=GT$1), 0)), 1))),  0.5, 0))</f>
        <v>0</v>
      </c>
      <c r="GU97" s="47">
        <f t="array" ref="GU97">IF(AND(ISNUMBER(MATCH(GU$2, AsistenciaJetAdminConcatenada!$A:$A, 0)), ISNUMBER(MATCH(GU$1, AsistenciaJetAdminConcatenada!$B:$B, 0)), ISNUMBER(SEARCH($A97,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ISNUMBER(SEARCH($A97, INDEX(AsistenciaJetAdminConcatenada!$D:$D, MATCH(1, (AsistenciaJetAdminConcatenada!$A:$A=GU$2)*(AsistenciaJetAdminConcatenada!$B:$B=GU$1), 0)), 1))),  0.5, 0))</f>
        <v>0</v>
      </c>
      <c r="GV97" s="47">
        <f t="array" ref="GV97">IF(AND(ISNUMBER(MATCH(GV$2, AsistenciaJetAdminConcatenada!$A:$A, 0)), ISNUMBER(MATCH(GV$1, AsistenciaJetAdminConcatenada!$B:$B, 0)), ISNUMBER(SEARCH($A97,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ISNUMBER(SEARCH($A97, INDEX(AsistenciaJetAdminConcatenada!$D:$D, MATCH(1, (AsistenciaJetAdminConcatenada!$A:$A=GV$2)*(AsistenciaJetAdminConcatenada!$B:$B=GV$1), 0)), 1))),  0.5, 0))</f>
        <v>0</v>
      </c>
      <c r="GW97" s="47">
        <f t="array" ref="GW97">IF(AND(ISNUMBER(MATCH(GW$2, AsistenciaJetAdminConcatenada!$A:$A, 0)), ISNUMBER(MATCH(GW$1, AsistenciaJetAdminConcatenada!$B:$B, 0)), ISNUMBER(SEARCH($A97,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ISNUMBER(SEARCH($A97, INDEX(AsistenciaJetAdminConcatenada!$D:$D, MATCH(1, (AsistenciaJetAdminConcatenada!$A:$A=GW$2)*(AsistenciaJetAdminConcatenada!$B:$B=GW$1), 0)), 1))),  0.5, 0))</f>
        <v>0</v>
      </c>
      <c r="GX97" s="47">
        <f t="array" ref="GX97">IF(AND(ISNUMBER(MATCH(GX$2, AsistenciaJetAdminConcatenada!$A:$A, 0)), ISNUMBER(MATCH(GX$1, AsistenciaJetAdminConcatenada!$B:$B, 0)), ISNUMBER(SEARCH($A97,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ISNUMBER(SEARCH($A97, INDEX(AsistenciaJetAdminConcatenada!$D:$D, MATCH(1, (AsistenciaJetAdminConcatenada!$A:$A=GX$2)*(AsistenciaJetAdminConcatenada!$B:$B=GX$1), 0)), 1))),  0.5, 0))</f>
        <v>0</v>
      </c>
      <c r="GY97" s="47">
        <f t="array" ref="GY97">IF(AND(ISNUMBER(MATCH(GY$2, AsistenciaJetAdminConcatenada!$A:$A, 0)), ISNUMBER(MATCH(GY$1, AsistenciaJetAdminConcatenada!$B:$B, 0)), ISNUMBER(SEARCH($A97,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ISNUMBER(SEARCH($A97, INDEX(AsistenciaJetAdminConcatenada!$D:$D, MATCH(1, (AsistenciaJetAdminConcatenada!$A:$A=GY$2)*(AsistenciaJetAdminConcatenada!$B:$B=GY$1), 0)), 1))),  0.5, 0))</f>
        <v>0</v>
      </c>
      <c r="GZ97" s="47">
        <f t="array" ref="GZ97">IF(AND(ISNUMBER(MATCH(GZ$2, AsistenciaJetAdminConcatenada!$A:$A, 0)), ISNUMBER(MATCH(GZ$1, AsistenciaJetAdminConcatenada!$B:$B, 0)), ISNUMBER(SEARCH($A97,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ISNUMBER(SEARCH($A97, INDEX(AsistenciaJetAdminConcatenada!$D:$D, MATCH(1, (AsistenciaJetAdminConcatenada!$A:$A=GZ$2)*(AsistenciaJetAdminConcatenada!$B:$B=GZ$1), 0)), 1))),  0.5, 0))</f>
        <v>0</v>
      </c>
      <c r="HA97" s="47">
        <f t="array" ref="HA97">IF(AND(ISNUMBER(MATCH(HA$2, AsistenciaJetAdminConcatenada!$A:$A, 0)), ISNUMBER(MATCH(HA$1, AsistenciaJetAdminConcatenada!$B:$B, 0)), ISNUMBER(SEARCH($A97,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ISNUMBER(SEARCH($A97, INDEX(AsistenciaJetAdminConcatenada!$D:$D, MATCH(1, (AsistenciaJetAdminConcatenada!$A:$A=HA$2)*(AsistenciaJetAdminConcatenada!$B:$B=HA$1), 0)), 1))),  0.5, 0))</f>
        <v>0</v>
      </c>
      <c r="HB97" s="47">
        <f t="array" ref="HB97">IF(AND(ISNUMBER(MATCH(HB$2, AsistenciaJetAdminConcatenada!$A:$A, 0)), ISNUMBER(MATCH(HB$1, AsistenciaJetAdminConcatenada!$B:$B, 0)), ISNUMBER(SEARCH($A97,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ISNUMBER(SEARCH($A97, INDEX(AsistenciaJetAdminConcatenada!$D:$D, MATCH(1, (AsistenciaJetAdminConcatenada!$A:$A=HB$2)*(AsistenciaJetAdminConcatenada!$B:$B=HB$1), 0)), 1))),  0.5, 0))</f>
        <v>0</v>
      </c>
      <c r="HC97" s="47">
        <f t="array" ref="HC97">IF(AND(ISNUMBER(MATCH(HC$2, AsistenciaJetAdminConcatenada!$A:$A, 0)), ISNUMBER(MATCH(HC$1, AsistenciaJetAdminConcatenada!$B:$B, 0)), ISNUMBER(SEARCH($A97,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ISNUMBER(SEARCH($A97, INDEX(AsistenciaJetAdminConcatenada!$D:$D, MATCH(1, (AsistenciaJetAdminConcatenada!$A:$A=HC$2)*(AsistenciaJetAdminConcatenada!$B:$B=HC$1), 0)), 1))),  0.5, 0))</f>
        <v>0</v>
      </c>
    </row>
    <row r="98" ht="29.25" customHeight="1">
      <c r="A98" s="3">
        <v>127.0</v>
      </c>
      <c r="B98" s="4" t="s">
        <v>75</v>
      </c>
      <c r="C98" s="47">
        <f>SUM(D98:HC98) + ActividadesEspeciales!C98</f>
        <v>43.5</v>
      </c>
      <c r="D98" s="47">
        <f t="array" ref="D98">IF(AND(ISNUMBER(MATCH(D$2, AsistenciaJetAdminConcatenada!$A:$A, 0)), ISNUMBER(MATCH(D$1, AsistenciaJetAdminConcatenada!$B:$B, 0)), ISNUMBER(SEARCH($A98,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ISNUMBER(SEARCH($A98, INDEX(AsistenciaJetAdminConcatenada!$D:$D, MATCH(1, (AsistenciaJetAdminConcatenada!$A:$A=D$2)*(AsistenciaJetAdminConcatenada!$B:$B=D$1), 0)), 1))),  0.5, 0))</f>
        <v>1</v>
      </c>
      <c r="E98" s="47">
        <f t="array" ref="E98">IF(AND(ISNUMBER(MATCH(E$2, AsistenciaJetAdminConcatenada!$A:$A, 0)), ISNUMBER(MATCH(E$1, AsistenciaJetAdminConcatenada!$B:$B, 0)), ISNUMBER(SEARCH($A98,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ISNUMBER(SEARCH($A98, INDEX(AsistenciaJetAdminConcatenada!$D:$D, MATCH(1, (AsistenciaJetAdminConcatenada!$A:$A=E$2)*(AsistenciaJetAdminConcatenada!$B:$B=E$1), 0)), 1))),  0.5, 0))</f>
        <v>1</v>
      </c>
      <c r="F98" s="47">
        <f t="array" ref="F98">IF(AND(ISNUMBER(MATCH(F$2, AsistenciaJetAdminConcatenada!$A:$A, 0)), ISNUMBER(MATCH(F$1, AsistenciaJetAdminConcatenada!$B:$B, 0)), ISNUMBER(SEARCH($A98,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ISNUMBER(SEARCH($A98, INDEX(AsistenciaJetAdminConcatenada!$D:$D, MATCH(1, (AsistenciaJetAdminConcatenada!$A:$A=F$2)*(AsistenciaJetAdminConcatenada!$B:$B=F$1), 0)), 1))),  0.5, 0))</f>
        <v>1</v>
      </c>
      <c r="G98" s="47">
        <f t="array" ref="G98">IF(AND(ISNUMBER(MATCH(G$2, AsistenciaJetAdminConcatenada!$A:$A, 0)), ISNUMBER(MATCH(G$1, AsistenciaJetAdminConcatenada!$B:$B, 0)), ISNUMBER(SEARCH($A98,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ISNUMBER(SEARCH($A98, INDEX(AsistenciaJetAdminConcatenada!$D:$D, MATCH(1, (AsistenciaJetAdminConcatenada!$A:$A=G$2)*(AsistenciaJetAdminConcatenada!$B:$B=G$1), 0)), 1))),  0.5, 0))</f>
        <v>0</v>
      </c>
      <c r="H98" s="47">
        <f t="array" ref="H98">IF(AND(ISNUMBER(MATCH(H$2, AsistenciaJetAdminConcatenada!$A:$A, 0)), ISNUMBER(MATCH(H$1, AsistenciaJetAdminConcatenada!$B:$B, 0)), ISNUMBER(SEARCH($A98,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ISNUMBER(SEARCH($A98, INDEX(AsistenciaJetAdminConcatenada!$D:$D, MATCH(1, (AsistenciaJetAdminConcatenada!$A:$A=H$2)*(AsistenciaJetAdminConcatenada!$B:$B=H$1), 0)), 1))),  0.5, 0))</f>
        <v>1</v>
      </c>
      <c r="I98" s="47">
        <f t="array" ref="I98">IF(AND(ISNUMBER(MATCH(I$2, AsistenciaJetAdminConcatenada!$A:$A, 0)), ISNUMBER(MATCH(I$1, AsistenciaJetAdminConcatenada!$B:$B, 0)), ISNUMBER(SEARCH($A98,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ISNUMBER(SEARCH($A98, INDEX(AsistenciaJetAdminConcatenada!$D:$D, MATCH(1, (AsistenciaJetAdminConcatenada!$A:$A=I$2)*(AsistenciaJetAdminConcatenada!$B:$B=I$1), 0)), 1))),  0.5, 0))</f>
        <v>1</v>
      </c>
      <c r="J98" s="47">
        <f t="array" ref="J98">IF(AND(ISNUMBER(MATCH(J$2, AsistenciaJetAdminConcatenada!$A:$A, 0)), ISNUMBER(MATCH(J$1, AsistenciaJetAdminConcatenada!$B:$B, 0)), ISNUMBER(SEARCH($A98,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ISNUMBER(SEARCH($A98, INDEX(AsistenciaJetAdminConcatenada!$D:$D, MATCH(1, (AsistenciaJetAdminConcatenada!$A:$A=J$2)*(AsistenciaJetAdminConcatenada!$B:$B=J$1), 0)), 1))),  0.5, 0))</f>
        <v>1</v>
      </c>
      <c r="K98" s="47">
        <f t="array" ref="K98">IF(AND(ISNUMBER(MATCH(K$2, AsistenciaJetAdminConcatenada!$A:$A, 0)), ISNUMBER(MATCH(K$1, AsistenciaJetAdminConcatenada!$B:$B, 0)), ISNUMBER(SEARCH($A98,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ISNUMBER(SEARCH($A98, INDEX(AsistenciaJetAdminConcatenada!$D:$D, MATCH(1, (AsistenciaJetAdminConcatenada!$A:$A=K$2)*(AsistenciaJetAdminConcatenada!$B:$B=K$1), 0)), 1))),  0.5, 0))</f>
        <v>1</v>
      </c>
      <c r="L98" s="47">
        <f t="array" ref="L98">IF(AND(ISNUMBER(MATCH(L$2, AsistenciaJetAdminConcatenada!$A:$A, 0)), ISNUMBER(MATCH(L$1, AsistenciaJetAdminConcatenada!$B:$B, 0)), ISNUMBER(SEARCH($A98,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ISNUMBER(SEARCH($A98, INDEX(AsistenciaJetAdminConcatenada!$D:$D, MATCH(1, (AsistenciaJetAdminConcatenada!$A:$A=L$2)*(AsistenciaJetAdminConcatenada!$B:$B=L$1), 0)), 1))),  0.5, 0))</f>
        <v>0</v>
      </c>
      <c r="M98" s="47">
        <f t="array" ref="M98">IF(AND(ISNUMBER(MATCH(M$2, AsistenciaJetAdminConcatenada!$A:$A, 0)), ISNUMBER(MATCH(M$1, AsistenciaJetAdminConcatenada!$B:$B, 0)), ISNUMBER(SEARCH($A98,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ISNUMBER(SEARCH($A98, INDEX(AsistenciaJetAdminConcatenada!$D:$D, MATCH(1, (AsistenciaJetAdminConcatenada!$A:$A=M$2)*(AsistenciaJetAdminConcatenada!$B:$B=M$1), 0)), 1))),  0.5, 0))</f>
        <v>0</v>
      </c>
      <c r="N98" s="47">
        <f t="array" ref="N98">IF(AND(ISNUMBER(MATCH(N$2, AsistenciaJetAdminConcatenada!$A:$A, 0)), ISNUMBER(MATCH(N$1, AsistenciaJetAdminConcatenada!$B:$B, 0)), ISNUMBER(SEARCH($A98,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ISNUMBER(SEARCH($A98, INDEX(AsistenciaJetAdminConcatenada!$D:$D, MATCH(1, (AsistenciaJetAdminConcatenada!$A:$A=N$2)*(AsistenciaJetAdminConcatenada!$B:$B=N$1), 0)), 1))),  0.5, 0))</f>
        <v>0</v>
      </c>
      <c r="O98" s="47">
        <f t="array" ref="O98">IF(AND(ISNUMBER(MATCH(O$2, AsistenciaJetAdminConcatenada!$A:$A, 0)), ISNUMBER(MATCH(O$1, AsistenciaJetAdminConcatenada!$B:$B, 0)), ISNUMBER(SEARCH($A98,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ISNUMBER(SEARCH($A98, INDEX(AsistenciaJetAdminConcatenada!$D:$D, MATCH(1, (AsistenciaJetAdminConcatenada!$A:$A=O$2)*(AsistenciaJetAdminConcatenada!$B:$B=O$1), 0)), 1))),  0.5, 0))</f>
        <v>1</v>
      </c>
      <c r="P98" s="47">
        <f t="array" ref="P98">IF(AND(ISNUMBER(MATCH(P$2, AsistenciaJetAdminConcatenada!$A:$A, 0)), ISNUMBER(MATCH(P$1, AsistenciaJetAdminConcatenada!$B:$B, 0)), ISNUMBER(SEARCH($A98, INDEX(AsistenciaJetAdminConcatenada!$C:$C, MATCH(1, (AsistenciaJetAdminConcatenada!$A:$A=P$2)*(AsistenciaJetAdminConcatenada!$B:$B=P$1), 0)), 1))), 1, IF(AND(ISNUMBER(MATCH(P$2, AsistenciaJetAdminConcatenada!$A:$A, 0)), ISNUMBER(MATCH(P$1, AsistenciaJetAdminConcatenada!$B:$B, 0)), ISNUMBER(SEARCH($A98, INDEX(AsistenciaJetAdminConcatenada!$D:$D, MATCH(1, (AsistenciaJetAdminConcatenada!$A:$A=P$2)*(AsistenciaJetAdminConcatenada!$B:$B=P$1), 0)), 1))),  0.5, 0))</f>
        <v>1</v>
      </c>
      <c r="Q98" s="47">
        <f t="array" ref="Q98">IF(AND(ISNUMBER(MATCH(Q$2, AsistenciaJetAdminConcatenada!$A:$A, 0)), ISNUMBER(MATCH(Q$1, AsistenciaJetAdminConcatenada!$B:$B, 0)), ISNUMBER(SEARCH($A98, INDEX(AsistenciaJetAdminConcatenada!$C:$C, MATCH(1, (AsistenciaJetAdminConcatenada!$A:$A=Q$2)*(AsistenciaJetAdminConcatenada!$B:$B=Q$1), 0)), 1))), 1, IF(AND(ISNUMBER(MATCH(Q$2, AsistenciaJetAdminConcatenada!$A:$A, 0)), ISNUMBER(MATCH(Q$1, AsistenciaJetAdminConcatenada!$B:$B, 0)), ISNUMBER(SEARCH($A98, INDEX(AsistenciaJetAdminConcatenada!$D:$D, MATCH(1, (AsistenciaJetAdminConcatenada!$A:$A=Q$2)*(AsistenciaJetAdminConcatenada!$B:$B=Q$1), 0)), 1))),  0.5, 0))</f>
        <v>1</v>
      </c>
      <c r="R98" s="47">
        <f t="array" ref="R98">IF(AND(ISNUMBER(MATCH(R$2, AsistenciaJetAdminConcatenada!$A:$A, 0)), ISNUMBER(MATCH(R$1, AsistenciaJetAdminConcatenada!$B:$B, 0)), ISNUMBER(SEARCH($A98,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ISNUMBER(SEARCH($A98, INDEX(AsistenciaJetAdminConcatenada!$D:$D, MATCH(1, (AsistenciaJetAdminConcatenada!$A:$A=R$2)*(AsistenciaJetAdminConcatenada!$B:$B=R$1), 0)), 1))),  0.5, 0))</f>
        <v>1</v>
      </c>
      <c r="S98" s="47">
        <f t="array" ref="S98">IF(AND(ISNUMBER(MATCH(S$2, AsistenciaJetAdminConcatenada!$A:$A, 0)), ISNUMBER(MATCH(S$1, AsistenciaJetAdminConcatenada!$B:$B, 0)), ISNUMBER(SEARCH($A98,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ISNUMBER(SEARCH($A98, INDEX(AsistenciaJetAdminConcatenada!$D:$D, MATCH(1, (AsistenciaJetAdminConcatenada!$A:$A=S$2)*(AsistenciaJetAdminConcatenada!$B:$B=S$1), 0)), 1))),  0.5, 0))</f>
        <v>1</v>
      </c>
      <c r="T98" s="47">
        <f t="array" ref="T98">IF(AND(ISNUMBER(MATCH(T$2, AsistenciaJetAdminConcatenada!$A:$A, 0)), ISNUMBER(MATCH(T$1, AsistenciaJetAdminConcatenada!$B:$B, 0)), ISNUMBER(SEARCH($A98,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ISNUMBER(SEARCH($A98, INDEX(AsistenciaJetAdminConcatenada!$D:$D, MATCH(1, (AsistenciaJetAdminConcatenada!$A:$A=T$2)*(AsistenciaJetAdminConcatenada!$B:$B=T$1), 0)), 1))),  0.5, 0))</f>
        <v>0</v>
      </c>
      <c r="U98" s="47">
        <f t="array" ref="U98">IF(AND(ISNUMBER(MATCH(U$2, AsistenciaJetAdminConcatenada!$A:$A, 0)), ISNUMBER(MATCH(U$1, AsistenciaJetAdminConcatenada!$B:$B, 0)), ISNUMBER(SEARCH($A98,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ISNUMBER(SEARCH($A98, INDEX(AsistenciaJetAdminConcatenada!$D:$D, MATCH(1, (AsistenciaJetAdminConcatenada!$A:$A=U$2)*(AsistenciaJetAdminConcatenada!$B:$B=U$1), 0)), 1))),  0.5, 0))</f>
        <v>1</v>
      </c>
      <c r="V98" s="47">
        <f t="array" ref="V98">IF(AND(ISNUMBER(MATCH(V$2, AsistenciaJetAdminConcatenada!$A:$A, 0)), ISNUMBER(MATCH(V$1, AsistenciaJetAdminConcatenada!$B:$B, 0)), ISNUMBER(SEARCH($A98,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ISNUMBER(SEARCH($A98, INDEX(AsistenciaJetAdminConcatenada!$D:$D, MATCH(1, (AsistenciaJetAdminConcatenada!$A:$A=V$2)*(AsistenciaJetAdminConcatenada!$B:$B=V$1), 0)), 1))),  0.5, 0))</f>
        <v>0</v>
      </c>
      <c r="W98" s="47">
        <f t="array" ref="W98">IF(AND(ISNUMBER(MATCH(W$2, AsistenciaJetAdminConcatenada!$A:$A, 0)), ISNUMBER(MATCH(W$1, AsistenciaJetAdminConcatenada!$B:$B, 0)), ISNUMBER(SEARCH($A98,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ISNUMBER(SEARCH($A98, INDEX(AsistenciaJetAdminConcatenada!$D:$D, MATCH(1, (AsistenciaJetAdminConcatenada!$A:$A=W$2)*(AsistenciaJetAdminConcatenada!$B:$B=W$1), 0)), 1))),  0.5, 0))</f>
        <v>1</v>
      </c>
      <c r="X98" s="47">
        <f t="array" ref="X98">IF(AND(ISNUMBER(MATCH(X$2, AsistenciaJetAdminConcatenada!$A:$A, 0)), ISNUMBER(MATCH(X$1, AsistenciaJetAdminConcatenada!$B:$B, 0)), ISNUMBER(SEARCH($A98,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ISNUMBER(SEARCH($A98, INDEX(AsistenciaJetAdminConcatenada!$D:$D, MATCH(1, (AsistenciaJetAdminConcatenada!$A:$A=X$2)*(AsistenciaJetAdminConcatenada!$B:$B=X$1), 0)), 1))),  0.5, 0))</f>
        <v>1</v>
      </c>
      <c r="Y98" s="47">
        <f t="array" ref="Y98">IF(AND(ISNUMBER(MATCH(Y$2, AsistenciaJetAdminConcatenada!$A:$A, 0)), ISNUMBER(MATCH(Y$1, AsistenciaJetAdminConcatenada!$B:$B, 0)), ISNUMBER(SEARCH($A98,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ISNUMBER(SEARCH($A98, INDEX(AsistenciaJetAdminConcatenada!$D:$D, MATCH(1, (AsistenciaJetAdminConcatenada!$A:$A=Y$2)*(AsistenciaJetAdminConcatenada!$B:$B=Y$1), 0)), 1))),  0.5, 0))</f>
        <v>1</v>
      </c>
      <c r="Z98" s="47">
        <f t="array" ref="Z98">IF(AND(ISNUMBER(MATCH(Z$2, AsistenciaJetAdminConcatenada!$A:$A, 0)), ISNUMBER(MATCH(Z$1, AsistenciaJetAdminConcatenada!$B:$B, 0)), ISNUMBER(SEARCH($A98,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ISNUMBER(SEARCH($A98, INDEX(AsistenciaJetAdminConcatenada!$D:$D, MATCH(1, (AsistenciaJetAdminConcatenada!$A:$A=Z$2)*(AsistenciaJetAdminConcatenada!$B:$B=Z$1), 0)), 1))),  0.5, 0))</f>
        <v>0</v>
      </c>
      <c r="AA98" s="47">
        <f t="array" ref="AA98">IF(AND(ISNUMBER(MATCH(AA$2, AsistenciaJetAdminConcatenada!$A:$A, 0)), ISNUMBER(MATCH(AA$1, AsistenciaJetAdminConcatenada!$B:$B, 0)), ISNUMBER(SEARCH($A98,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ISNUMBER(SEARCH($A98, INDEX(AsistenciaJetAdminConcatenada!$D:$D, MATCH(1, (AsistenciaJetAdminConcatenada!$A:$A=AA$2)*(AsistenciaJetAdminConcatenada!$B:$B=AA$1), 0)), 1))),  0.5, 0))</f>
        <v>0</v>
      </c>
      <c r="AB98" s="47">
        <f t="array" ref="AB98">IF(AND(ISNUMBER(MATCH(AB$2, AsistenciaJetAdminConcatenada!$A:$A, 0)), ISNUMBER(MATCH(AB$1, AsistenciaJetAdminConcatenada!$B:$B, 0)), ISNUMBER(SEARCH($A98,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ISNUMBER(SEARCH($A98, INDEX(AsistenciaJetAdminConcatenada!$D:$D, MATCH(1, (AsistenciaJetAdminConcatenada!$A:$A=AB$2)*(AsistenciaJetAdminConcatenada!$B:$B=AB$1), 0)), 1))),  0.5, 0))</f>
        <v>0</v>
      </c>
      <c r="AC98" s="47">
        <f t="array" ref="AC98">IF(AND(ISNUMBER(MATCH(AC$2, AsistenciaJetAdminConcatenada!$A:$A, 0)), ISNUMBER(MATCH(AC$1, AsistenciaJetAdminConcatenada!$B:$B, 0)), ISNUMBER(SEARCH($A98,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ISNUMBER(SEARCH($A98, INDEX(AsistenciaJetAdminConcatenada!$D:$D, MATCH(1, (AsistenciaJetAdminConcatenada!$A:$A=AC$2)*(AsistenciaJetAdminConcatenada!$B:$B=AC$1), 0)), 1))),  0.5, 0))</f>
        <v>0</v>
      </c>
      <c r="AD98" s="47">
        <f t="array" ref="AD98">IF(AND(ISNUMBER(MATCH(AD$2, AsistenciaJetAdminConcatenada!$A:$A, 0)), ISNUMBER(MATCH(AD$1, AsistenciaJetAdminConcatenada!$B:$B, 0)), ISNUMBER(SEARCH($A98,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ISNUMBER(SEARCH($A98, INDEX(AsistenciaJetAdminConcatenada!$D:$D, MATCH(1, (AsistenciaJetAdminConcatenada!$A:$A=AD$2)*(AsistenciaJetAdminConcatenada!$B:$B=AD$1), 0)), 1))),  0.5, 0))</f>
        <v>0</v>
      </c>
      <c r="AE98" s="47">
        <f t="array" ref="AE98">IF(AND(ISNUMBER(MATCH(AE$2, AsistenciaJetAdminConcatenada!$A:$A, 0)), ISNUMBER(MATCH(AE$1, AsistenciaJetAdminConcatenada!$B:$B, 0)), ISNUMBER(SEARCH($A98,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ISNUMBER(SEARCH($A98, INDEX(AsistenciaJetAdminConcatenada!$D:$D, MATCH(1, (AsistenciaJetAdminConcatenada!$A:$A=AE$2)*(AsistenciaJetAdminConcatenada!$B:$B=AE$1), 0)), 1))),  0.5, 0))</f>
        <v>0</v>
      </c>
      <c r="AF98" s="47">
        <f t="array" ref="AF98">IF(AND(ISNUMBER(MATCH(AF$2, AsistenciaJetAdminConcatenada!$A:$A, 0)), ISNUMBER(MATCH(AF$1, AsistenciaJetAdminConcatenada!$B:$B, 0)), ISNUMBER(SEARCH($A98,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ISNUMBER(SEARCH($A98, INDEX(AsistenciaJetAdminConcatenada!$D:$D, MATCH(1, (AsistenciaJetAdminConcatenada!$A:$A=AF$2)*(AsistenciaJetAdminConcatenada!$B:$B=AF$1), 0)), 1))),  0.5, 0))</f>
        <v>0</v>
      </c>
      <c r="AG98" s="47">
        <f t="array" ref="AG98">IF(AND(ISNUMBER(MATCH(AG$2, AsistenciaJetAdminConcatenada!$A:$A, 0)), ISNUMBER(MATCH(AG$1, AsistenciaJetAdminConcatenada!$B:$B, 0)), ISNUMBER(SEARCH($A98,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ISNUMBER(SEARCH($A98, INDEX(AsistenciaJetAdminConcatenada!$D:$D, MATCH(1, (AsistenciaJetAdminConcatenada!$A:$A=AG$2)*(AsistenciaJetAdminConcatenada!$B:$B=AG$1), 0)), 1))),  0.5, 0))</f>
        <v>1</v>
      </c>
      <c r="AH98" s="47">
        <f t="array" ref="AH98">IF(AND(ISNUMBER(MATCH(AH$2, AsistenciaJetAdminConcatenada!$A:$A, 0)), ISNUMBER(MATCH(AH$1, AsistenciaJetAdminConcatenada!$B:$B, 0)), ISNUMBER(SEARCH($A98,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ISNUMBER(SEARCH($A98, INDEX(AsistenciaJetAdminConcatenada!$D:$D, MATCH(1, (AsistenciaJetAdminConcatenada!$A:$A=AH$2)*(AsistenciaJetAdminConcatenada!$B:$B=AH$1), 0)), 1))),  0.5, 0))</f>
        <v>0</v>
      </c>
      <c r="AI98" s="47">
        <f t="array" ref="AI98">IF(AND(ISNUMBER(MATCH(AI$2, AsistenciaJetAdminConcatenada!$A:$A, 0)), ISNUMBER(MATCH(AI$1, AsistenciaJetAdminConcatenada!$B:$B, 0)), ISNUMBER(SEARCH($A98,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ISNUMBER(SEARCH($A98, INDEX(AsistenciaJetAdminConcatenada!$D:$D, MATCH(1, (AsistenciaJetAdminConcatenada!$A:$A=AI$2)*(AsistenciaJetAdminConcatenada!$B:$B=AI$1), 0)), 1))),  0.5, 0))</f>
        <v>0</v>
      </c>
      <c r="AJ98" s="47">
        <f t="array" ref="AJ98">IF(AND(ISNUMBER(MATCH(AJ$2, AsistenciaJetAdminConcatenada!$A:$A, 0)), ISNUMBER(MATCH(AJ$1, AsistenciaJetAdminConcatenada!$B:$B, 0)), ISNUMBER(SEARCH($A98,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ISNUMBER(SEARCH($A98, INDEX(AsistenciaJetAdminConcatenada!$D:$D, MATCH(1, (AsistenciaJetAdminConcatenada!$A:$A=AJ$2)*(AsistenciaJetAdminConcatenada!$B:$B=AJ$1), 0)), 1))),  0.5, 0))</f>
        <v>1</v>
      </c>
      <c r="AK98" s="47">
        <f t="array" ref="AK98">IF(AND(ISNUMBER(MATCH(AK$2, AsistenciaJetAdminConcatenada!$A:$A, 0)), ISNUMBER(MATCH(AK$1, AsistenciaJetAdminConcatenada!$B:$B, 0)), ISNUMBER(SEARCH($A98,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ISNUMBER(SEARCH($A98, INDEX(AsistenciaJetAdminConcatenada!$D:$D, MATCH(1, (AsistenciaJetAdminConcatenada!$A:$A=AK$2)*(AsistenciaJetAdminConcatenada!$B:$B=AK$1), 0)), 1))),  0.5, 0))</f>
        <v>0.5</v>
      </c>
      <c r="AL98" s="47">
        <f t="array" ref="AL98">IF(AND(ISNUMBER(MATCH(AL$2, AsistenciaJetAdminConcatenada!$A:$A, 0)), ISNUMBER(MATCH(AL$1, AsistenciaJetAdminConcatenada!$B:$B, 0)), ISNUMBER(SEARCH($A98,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ISNUMBER(SEARCH($A98, INDEX(AsistenciaJetAdminConcatenada!$D:$D, MATCH(1, (AsistenciaJetAdminConcatenada!$A:$A=AL$2)*(AsistenciaJetAdminConcatenada!$B:$B=AL$1), 0)), 1))),  0.5, 0))</f>
        <v>0</v>
      </c>
      <c r="AM98" s="47">
        <f t="array" ref="AM98">IF(AND(ISNUMBER(MATCH(AM$2, AsistenciaJetAdminConcatenada!$A:$A, 0)), ISNUMBER(MATCH(AM$1, AsistenciaJetAdminConcatenada!$B:$B, 0)), ISNUMBER(SEARCH($A98,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ISNUMBER(SEARCH($A98, INDEX(AsistenciaJetAdminConcatenada!$D:$D, MATCH(1, (AsistenciaJetAdminConcatenada!$A:$A=AM$2)*(AsistenciaJetAdminConcatenada!$B:$B=AM$1), 0)), 1))),  0.5, 0))</f>
        <v>0</v>
      </c>
      <c r="AN98" s="47">
        <f t="array" ref="AN98">IF(AND(ISNUMBER(MATCH(AN$2, AsistenciaJetAdminConcatenada!$A:$A, 0)), ISNUMBER(MATCH(AN$1, AsistenciaJetAdminConcatenada!$B:$B, 0)), ISNUMBER(SEARCH($A98,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ISNUMBER(SEARCH($A98, INDEX(AsistenciaJetAdminConcatenada!$D:$D, MATCH(1, (AsistenciaJetAdminConcatenada!$A:$A=AN$2)*(AsistenciaJetAdminConcatenada!$B:$B=AN$1), 0)), 1))),  0.5, 0))</f>
        <v>0</v>
      </c>
      <c r="AO98" s="47">
        <f t="array" ref="AO98">IF(AND(ISNUMBER(MATCH(AO$2, AsistenciaJetAdminConcatenada!$A:$A, 0)), ISNUMBER(MATCH(AO$1, AsistenciaJetAdminConcatenada!$B:$B, 0)), ISNUMBER(SEARCH($A98,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ISNUMBER(SEARCH($A98, INDEX(AsistenciaJetAdminConcatenada!$D:$D, MATCH(1, (AsistenciaJetAdminConcatenada!$A:$A=AO$2)*(AsistenciaJetAdminConcatenada!$B:$B=AO$1), 0)), 1))),  0.5, 0))</f>
        <v>1</v>
      </c>
      <c r="AP98" s="47">
        <f t="array" ref="AP98">IF(AND(ISNUMBER(MATCH(AP$2, AsistenciaJetAdminConcatenada!$A:$A, 0)), ISNUMBER(MATCH(AP$1, AsistenciaJetAdminConcatenada!$B:$B, 0)), ISNUMBER(SEARCH($A98,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ISNUMBER(SEARCH($A98, INDEX(AsistenciaJetAdminConcatenada!$D:$D, MATCH(1, (AsistenciaJetAdminConcatenada!$A:$A=AP$2)*(AsistenciaJetAdminConcatenada!$B:$B=AP$1), 0)), 1))),  0.5, 0))</f>
        <v>1</v>
      </c>
      <c r="AQ98" s="47">
        <f t="array" ref="AQ98">IF(AND(ISNUMBER(MATCH(AQ$2, AsistenciaJetAdminConcatenada!$A:$A, 0)), ISNUMBER(MATCH(AQ$1, AsistenciaJetAdminConcatenada!$B:$B, 0)), ISNUMBER(SEARCH($A98,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ISNUMBER(SEARCH($A98, INDEX(AsistenciaJetAdminConcatenada!$D:$D, MATCH(1, (AsistenciaJetAdminConcatenada!$A:$A=AQ$2)*(AsistenciaJetAdminConcatenada!$B:$B=AQ$1), 0)), 1))),  0.5, 0))</f>
        <v>0</v>
      </c>
      <c r="AR98" s="47">
        <f t="array" ref="AR98">IF(AND(ISNUMBER(MATCH(AR$2, AsistenciaJetAdminConcatenada!$A:$A, 0)), ISNUMBER(MATCH(AR$1, AsistenciaJetAdminConcatenada!$B:$B, 0)), ISNUMBER(SEARCH($A98,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ISNUMBER(SEARCH($A98, INDEX(AsistenciaJetAdminConcatenada!$D:$D, MATCH(1, (AsistenciaJetAdminConcatenada!$A:$A=AR$2)*(AsistenciaJetAdminConcatenada!$B:$B=AR$1), 0)), 1))),  0.5, 0))</f>
        <v>1</v>
      </c>
      <c r="AS98" s="47">
        <f t="array" ref="AS98">IF(AND(ISNUMBER(MATCH(AS$2, AsistenciaJetAdminConcatenada!$A:$A, 0)), ISNUMBER(MATCH(AS$1, AsistenciaJetAdminConcatenada!$B:$B, 0)), ISNUMBER(SEARCH($A98,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ISNUMBER(SEARCH($A98, INDEX(AsistenciaJetAdminConcatenada!$D:$D, MATCH(1, (AsistenciaJetAdminConcatenada!$A:$A=AS$2)*(AsistenciaJetAdminConcatenada!$B:$B=AS$1), 0)), 1))),  0.5, 0))</f>
        <v>1</v>
      </c>
      <c r="AT98" s="47">
        <f t="array" ref="AT98">IF(AND(ISNUMBER(MATCH(AT$2, AsistenciaJetAdminConcatenada!$A:$A, 0)), ISNUMBER(MATCH(AT$1, AsistenciaJetAdminConcatenada!$B:$B, 0)), ISNUMBER(SEARCH($A98,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ISNUMBER(SEARCH($A98, INDEX(AsistenciaJetAdminConcatenada!$D:$D, MATCH(1, (AsistenciaJetAdminConcatenada!$A:$A=AT$2)*(AsistenciaJetAdminConcatenada!$B:$B=AT$1), 0)), 1))),  0.5, 0))</f>
        <v>0</v>
      </c>
      <c r="AU98" s="47">
        <f t="array" ref="AU98">IF(AND(ISNUMBER(MATCH(AU$2, AsistenciaJetAdminConcatenada!$A:$A, 0)), ISNUMBER(MATCH(AU$1, AsistenciaJetAdminConcatenada!$B:$B, 0)), ISNUMBER(SEARCH($A98,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ISNUMBER(SEARCH($A98, INDEX(AsistenciaJetAdminConcatenada!$D:$D, MATCH(1, (AsistenciaJetAdminConcatenada!$A:$A=AU$2)*(AsistenciaJetAdminConcatenada!$B:$B=AU$1), 0)), 1))),  0.5, 0))</f>
        <v>1</v>
      </c>
      <c r="AV98" s="47">
        <f t="array" ref="AV98">IF(AND(ISNUMBER(MATCH(AV$2, AsistenciaJetAdminConcatenada!$A:$A, 0)), ISNUMBER(MATCH(AV$1, AsistenciaJetAdminConcatenada!$B:$B, 0)), ISNUMBER(SEARCH($A98,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ISNUMBER(SEARCH($A98, INDEX(AsistenciaJetAdminConcatenada!$D:$D, MATCH(1, (AsistenciaJetAdminConcatenada!$A:$A=AV$2)*(AsistenciaJetAdminConcatenada!$B:$B=AV$1), 0)), 1))),  0.5, 0))</f>
        <v>0.5</v>
      </c>
      <c r="AW98" s="47">
        <f t="array" ref="AW98">IF(AND(ISNUMBER(MATCH(AW$2, AsistenciaJetAdminConcatenada!$A:$A, 0)), ISNUMBER(MATCH(AW$1, AsistenciaJetAdminConcatenada!$B:$B, 0)), ISNUMBER(SEARCH($A98,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ISNUMBER(SEARCH($A98, INDEX(AsistenciaJetAdminConcatenada!$D:$D, MATCH(1, (AsistenciaJetAdminConcatenada!$A:$A=AW$2)*(AsistenciaJetAdminConcatenada!$B:$B=AW$1), 0)), 1))),  0.5, 0))</f>
        <v>0</v>
      </c>
      <c r="AX98" s="47">
        <f t="array" ref="AX98">IF(AND(ISNUMBER(MATCH(AX$2, AsistenciaJetAdminConcatenada!$A:$A, 0)), ISNUMBER(MATCH(AX$1, AsistenciaJetAdminConcatenada!$B:$B, 0)), ISNUMBER(SEARCH($A98,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ISNUMBER(SEARCH($A98, INDEX(AsistenciaJetAdminConcatenada!$D:$D, MATCH(1, (AsistenciaJetAdminConcatenada!$A:$A=AX$2)*(AsistenciaJetAdminConcatenada!$B:$B=AX$1), 0)), 1))),  0.5, 0))</f>
        <v>1</v>
      </c>
      <c r="AY98" s="47">
        <f t="array" ref="AY98">IF(AND(ISNUMBER(MATCH(AY$2, AsistenciaJetAdminConcatenada!$A:$A, 0)), ISNUMBER(MATCH(AY$1, AsistenciaJetAdminConcatenada!$B:$B, 0)), ISNUMBER(SEARCH($A98,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ISNUMBER(SEARCH($A98, INDEX(AsistenciaJetAdminConcatenada!$D:$D, MATCH(1, (AsistenciaJetAdminConcatenada!$A:$A=AY$2)*(AsistenciaJetAdminConcatenada!$B:$B=AY$1), 0)), 1))),  0.5, 0))</f>
        <v>0.5</v>
      </c>
      <c r="AZ98" s="47">
        <f t="array" ref="AZ98">IF(AND(ISNUMBER(MATCH(AZ$2, AsistenciaJetAdminConcatenada!$A:$A, 0)), ISNUMBER(MATCH(AZ$1, AsistenciaJetAdminConcatenada!$B:$B, 0)), ISNUMBER(SEARCH($A98,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ISNUMBER(SEARCH($A98, INDEX(AsistenciaJetAdminConcatenada!$D:$D, MATCH(1, (AsistenciaJetAdminConcatenada!$A:$A=AZ$2)*(AsistenciaJetAdminConcatenada!$B:$B=AZ$1), 0)), 1))),  0.5, 0))</f>
        <v>1</v>
      </c>
      <c r="BA98" s="47">
        <f t="array" ref="BA98">IF(AND(ISNUMBER(MATCH(BA$2, AsistenciaJetAdminConcatenada!$A:$A, 0)), ISNUMBER(MATCH(BA$1, AsistenciaJetAdminConcatenada!$B:$B, 0)), ISNUMBER(SEARCH($A98,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ISNUMBER(SEARCH($A98, INDEX(AsistenciaJetAdminConcatenada!$D:$D, MATCH(1, (AsistenciaJetAdminConcatenada!$A:$A=BA$2)*(AsistenciaJetAdminConcatenada!$B:$B=BA$1), 0)), 1))),  0.5, 0))</f>
        <v>0</v>
      </c>
      <c r="BB98" s="47">
        <f t="array" ref="BB98">IF(AND(ISNUMBER(MATCH(BB$2, AsistenciaJetAdminConcatenada!$A:$A, 0)), ISNUMBER(MATCH(BB$1, AsistenciaJetAdminConcatenada!$B:$B, 0)), ISNUMBER(SEARCH($A98,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ISNUMBER(SEARCH($A98, INDEX(AsistenciaJetAdminConcatenada!$D:$D, MATCH(1, (AsistenciaJetAdminConcatenada!$A:$A=BB$2)*(AsistenciaJetAdminConcatenada!$B:$B=BB$1), 0)), 1))),  0.5, 0))</f>
        <v>1</v>
      </c>
      <c r="BC98" s="47">
        <f t="array" ref="BC98">IF(AND(ISNUMBER(MATCH(BC$2, AsistenciaJetAdminConcatenada!$A:$A, 0)), ISNUMBER(MATCH(BC$1, AsistenciaJetAdminConcatenada!$B:$B, 0)), ISNUMBER(SEARCH($A98,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ISNUMBER(SEARCH($A98, INDEX(AsistenciaJetAdminConcatenada!$D:$D, MATCH(1, (AsistenciaJetAdminConcatenada!$A:$A=BC$2)*(AsistenciaJetAdminConcatenada!$B:$B=BC$1), 0)), 1))),  0.5, 0))</f>
        <v>0</v>
      </c>
      <c r="BD98" s="47">
        <f t="array" ref="BD98">IF(AND(ISNUMBER(MATCH(BD$2, AsistenciaJetAdminConcatenada!$A:$A, 0)), ISNUMBER(MATCH(BD$1, AsistenciaJetAdminConcatenada!$B:$B, 0)), ISNUMBER(SEARCH($A98,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ISNUMBER(SEARCH($A98, INDEX(AsistenciaJetAdminConcatenada!$D:$D, MATCH(1, (AsistenciaJetAdminConcatenada!$A:$A=BD$2)*(AsistenciaJetAdminConcatenada!$B:$B=BD$1), 0)), 1))),  0.5, 0))</f>
        <v>0</v>
      </c>
      <c r="BE98" s="47">
        <f t="array" ref="BE98">IF(AND(ISNUMBER(MATCH(BE$2, AsistenciaJetAdminConcatenada!$A:$A, 0)), ISNUMBER(MATCH(BE$1, AsistenciaJetAdminConcatenada!$B:$B, 0)), ISNUMBER(SEARCH($A98,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ISNUMBER(SEARCH($A98, INDEX(AsistenciaJetAdminConcatenada!$D:$D, MATCH(1, (AsistenciaJetAdminConcatenada!$A:$A=BE$2)*(AsistenciaJetAdminConcatenada!$B:$B=BE$1), 0)), 1))),  0.5, 0))</f>
        <v>0</v>
      </c>
      <c r="BF98" s="47">
        <f t="array" ref="BF98">IF(AND(ISNUMBER(MATCH(BF$2, AsistenciaJetAdminConcatenada!$A:$A, 0)), ISNUMBER(MATCH(BF$1, AsistenciaJetAdminConcatenada!$B:$B, 0)), ISNUMBER(SEARCH($A98,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ISNUMBER(SEARCH($A98, INDEX(AsistenciaJetAdminConcatenada!$D:$D, MATCH(1, (AsistenciaJetAdminConcatenada!$A:$A=BF$2)*(AsistenciaJetAdminConcatenada!$B:$B=BF$1), 0)), 1))),  0.5, 0))</f>
        <v>1</v>
      </c>
      <c r="BG98" s="47">
        <f t="array" ref="BG98">IF(AND(ISNUMBER(MATCH(BG$2, AsistenciaJetAdminConcatenada!$A:$A, 0)), ISNUMBER(MATCH(BG$1, AsistenciaJetAdminConcatenada!$B:$B, 0)), ISNUMBER(SEARCH($A98,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ISNUMBER(SEARCH($A98, INDEX(AsistenciaJetAdminConcatenada!$D:$D, MATCH(1, (AsistenciaJetAdminConcatenada!$A:$A=BG$2)*(AsistenciaJetAdminConcatenada!$B:$B=BG$1), 0)), 1))),  0.5, 0))</f>
        <v>1</v>
      </c>
      <c r="BH98" s="47">
        <f t="array" ref="BH98">IF(AND(ISNUMBER(MATCH(BH$2, AsistenciaJetAdminConcatenada!$A:$A, 0)), ISNUMBER(MATCH(BH$1, AsistenciaJetAdminConcatenada!$B:$B, 0)), ISNUMBER(SEARCH($A98,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ISNUMBER(SEARCH($A98, INDEX(AsistenciaJetAdminConcatenada!$D:$D, MATCH(1, (AsistenciaJetAdminConcatenada!$A:$A=BH$2)*(AsistenciaJetAdminConcatenada!$B:$B=BH$1), 0)), 1))),  0.5, 0))</f>
        <v>0</v>
      </c>
      <c r="BI98" s="47">
        <f t="array" ref="BI98">IF(AND(ISNUMBER(MATCH(BI$2, AsistenciaJetAdminConcatenada!$A:$A, 0)), ISNUMBER(MATCH(BI$1, AsistenciaJetAdminConcatenada!$B:$B, 0)), ISNUMBER(SEARCH($A98,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ISNUMBER(SEARCH($A98, INDEX(AsistenciaJetAdminConcatenada!$D:$D, MATCH(1, (AsistenciaJetAdminConcatenada!$A:$A=BI$2)*(AsistenciaJetAdminConcatenada!$B:$B=BI$1), 0)), 1))),  0.5, 0))</f>
        <v>0</v>
      </c>
      <c r="BJ98" s="47">
        <f t="array" ref="BJ98">IF(AND(ISNUMBER(MATCH(BJ$2, AsistenciaJetAdminConcatenada!$A:$A, 0)), ISNUMBER(MATCH(BJ$1, AsistenciaJetAdminConcatenada!$B:$B, 0)), ISNUMBER(SEARCH($A98,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ISNUMBER(SEARCH($A98, INDEX(AsistenciaJetAdminConcatenada!$D:$D, MATCH(1, (AsistenciaJetAdminConcatenada!$A:$A=BJ$2)*(AsistenciaJetAdminConcatenada!$B:$B=BJ$1), 0)), 1))),  0.5, 0))</f>
        <v>0</v>
      </c>
      <c r="BK98" s="47">
        <f t="array" ref="BK98">IF(AND(ISNUMBER(MATCH(BK$2, AsistenciaJetAdminConcatenada!$A:$A, 0)), ISNUMBER(MATCH(BK$1, AsistenciaJetAdminConcatenada!$B:$B, 0)), ISNUMBER(SEARCH($A98,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ISNUMBER(SEARCH($A98, INDEX(AsistenciaJetAdminConcatenada!$D:$D, MATCH(1, (AsistenciaJetAdminConcatenada!$A:$A=BK$2)*(AsistenciaJetAdminConcatenada!$B:$B=BK$1), 0)), 1))),  0.5, 0))</f>
        <v>0</v>
      </c>
      <c r="BL98" s="47">
        <f t="array" ref="BL98">IF(AND(ISNUMBER(MATCH(BL$2, AsistenciaJetAdminConcatenada!$A:$A, 0)), ISNUMBER(MATCH(BL$1, AsistenciaJetAdminConcatenada!$B:$B, 0)), ISNUMBER(SEARCH($A98,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ISNUMBER(SEARCH($A98, INDEX(AsistenciaJetAdminConcatenada!$D:$D, MATCH(1, (AsistenciaJetAdminConcatenada!$A:$A=BL$2)*(AsistenciaJetAdminConcatenada!$B:$B=BL$1), 0)), 1))),  0.5, 0))</f>
        <v>0</v>
      </c>
      <c r="BM98" s="47">
        <f t="array" ref="BM98">IF(AND(ISNUMBER(MATCH(BM$2, AsistenciaJetAdminConcatenada!$A:$A, 0)), ISNUMBER(MATCH(BM$1, AsistenciaJetAdminConcatenada!$B:$B, 0)), ISNUMBER(SEARCH($A98,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ISNUMBER(SEARCH($A98, INDEX(AsistenciaJetAdminConcatenada!$D:$D, MATCH(1, (AsistenciaJetAdminConcatenada!$A:$A=BM$2)*(AsistenciaJetAdminConcatenada!$B:$B=BM$1), 0)), 1))),  0.5, 0))</f>
        <v>1</v>
      </c>
      <c r="BN98" s="47">
        <f t="array" ref="BN98">IF(AND(ISNUMBER(MATCH(BN$2, AsistenciaJetAdminConcatenada!$A:$A, 0)), ISNUMBER(MATCH(BN$1, AsistenciaJetAdminConcatenada!$B:$B, 0)), ISNUMBER(SEARCH($A98,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ISNUMBER(SEARCH($A98, INDEX(AsistenciaJetAdminConcatenada!$D:$D, MATCH(1, (AsistenciaJetAdminConcatenada!$A:$A=BN$2)*(AsistenciaJetAdminConcatenada!$B:$B=BN$1), 0)), 1))),  0.5, 0))</f>
        <v>0</v>
      </c>
      <c r="BO98" s="47">
        <f t="array" ref="BO98">IF(AND(ISNUMBER(MATCH(BO$2, AsistenciaJetAdminConcatenada!$A:$A, 0)), ISNUMBER(MATCH(BO$1, AsistenciaJetAdminConcatenada!$B:$B, 0)), ISNUMBER(SEARCH($A98,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ISNUMBER(SEARCH($A98, INDEX(AsistenciaJetAdminConcatenada!$D:$D, MATCH(1, (AsistenciaJetAdminConcatenada!$A:$A=BO$2)*(AsistenciaJetAdminConcatenada!$B:$B=BO$1), 0)), 1))),  0.5, 0))</f>
        <v>0</v>
      </c>
      <c r="BP98" s="47">
        <f t="array" ref="BP98">IF(AND(ISNUMBER(MATCH(BP$2, AsistenciaJetAdminConcatenada!$A:$A, 0)), ISNUMBER(MATCH(BP$1, AsistenciaJetAdminConcatenada!$B:$B, 0)), ISNUMBER(SEARCH($A98,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ISNUMBER(SEARCH($A98, INDEX(AsistenciaJetAdminConcatenada!$D:$D, MATCH(1, (AsistenciaJetAdminConcatenada!$A:$A=BP$2)*(AsistenciaJetAdminConcatenada!$B:$B=BP$1), 0)), 1))),  0.5, 0))</f>
        <v>0</v>
      </c>
      <c r="BQ98" s="47">
        <f t="array" ref="BQ98">IF(AND(ISNUMBER(MATCH(BQ$2, AsistenciaJetAdminConcatenada!$A:$A, 0)), ISNUMBER(MATCH(BQ$1, AsistenciaJetAdminConcatenada!$B:$B, 0)), ISNUMBER(SEARCH($A98,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ISNUMBER(SEARCH($A98, INDEX(AsistenciaJetAdminConcatenada!$D:$D, MATCH(1, (AsistenciaJetAdminConcatenada!$A:$A=BQ$2)*(AsistenciaJetAdminConcatenada!$B:$B=BQ$1), 0)), 1))),  0.5, 0))</f>
        <v>0</v>
      </c>
      <c r="BR98" s="47">
        <f t="array" ref="BR98">IF(AND(ISNUMBER(MATCH(BR$2, AsistenciaJetAdminConcatenada!$A:$A, 0)), ISNUMBER(MATCH(BR$1, AsistenciaJetAdminConcatenada!$B:$B, 0)), ISNUMBER(SEARCH($A98,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ISNUMBER(SEARCH($A98, INDEX(AsistenciaJetAdminConcatenada!$D:$D, MATCH(1, (AsistenciaJetAdminConcatenada!$A:$A=BR$2)*(AsistenciaJetAdminConcatenada!$B:$B=BR$1), 0)), 1))),  0.5, 0))</f>
        <v>0</v>
      </c>
      <c r="BS98" s="47">
        <f t="array" ref="BS98">IF(AND(ISNUMBER(MATCH(BS$2, AsistenciaJetAdminConcatenada!$A:$A, 0)), ISNUMBER(MATCH(BS$1, AsistenciaJetAdminConcatenada!$B:$B, 0)), ISNUMBER(SEARCH($A98,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ISNUMBER(SEARCH($A98, INDEX(AsistenciaJetAdminConcatenada!$D:$D, MATCH(1, (AsistenciaJetAdminConcatenada!$A:$A=BS$2)*(AsistenciaJetAdminConcatenada!$B:$B=BS$1), 0)), 1))),  0.5, 0))</f>
        <v>1</v>
      </c>
      <c r="BT98" s="47">
        <f t="array" ref="BT98">IF(AND(ISNUMBER(MATCH(BT$2, AsistenciaJetAdminConcatenada!$A:$A, 0)), ISNUMBER(MATCH(BT$1, AsistenciaJetAdminConcatenada!$B:$B, 0)), ISNUMBER(SEARCH($A98,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ISNUMBER(SEARCH($A98, INDEX(AsistenciaJetAdminConcatenada!$D:$D, MATCH(1, (AsistenciaJetAdminConcatenada!$A:$A=BT$2)*(AsistenciaJetAdminConcatenada!$B:$B=BT$1), 0)), 1))),  0.5, 0))</f>
        <v>0</v>
      </c>
      <c r="BU98" s="47">
        <f t="array" ref="BU98">IF(AND(ISNUMBER(MATCH(BU$2, AsistenciaJetAdminConcatenada!$A:$A, 0)), ISNUMBER(MATCH(BU$1, AsistenciaJetAdminConcatenada!$B:$B, 0)), ISNUMBER(SEARCH($A98,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ISNUMBER(SEARCH($A98, INDEX(AsistenciaJetAdminConcatenada!$D:$D, MATCH(1, (AsistenciaJetAdminConcatenada!$A:$A=BU$2)*(AsistenciaJetAdminConcatenada!$B:$B=BU$1), 0)), 1))),  0.5, 0))</f>
        <v>1</v>
      </c>
      <c r="BV98" s="8">
        <v>1.0</v>
      </c>
      <c r="BW98" s="47">
        <f t="array" ref="BW98">IF(AND(ISNUMBER(MATCH(BW$2, AsistenciaJetAdminConcatenada!$A:$A, 0)), ISNUMBER(MATCH(BW$1, AsistenciaJetAdminConcatenada!$B:$B, 0)), ISNUMBER(SEARCH($A98,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ISNUMBER(SEARCH($A98, INDEX(AsistenciaJetAdminConcatenada!$D:$D, MATCH(1, (AsistenciaJetAdminConcatenada!$A:$A=BW$2)*(AsistenciaJetAdminConcatenada!$B:$B=BW$1), 0)), 1))),  0.5, 0))</f>
        <v>0</v>
      </c>
      <c r="BX98" s="47">
        <f t="array" ref="BX98">IF(AND(ISNUMBER(MATCH(BX$2, AsistenciaJetAdminConcatenada!$A:$A, 0)), ISNUMBER(MATCH(BX$1, AsistenciaJetAdminConcatenada!$B:$B, 0)), ISNUMBER(SEARCH($A98,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ISNUMBER(SEARCH($A98, INDEX(AsistenciaJetAdminConcatenada!$D:$D, MATCH(1, (AsistenciaJetAdminConcatenada!$A:$A=BX$2)*(AsistenciaJetAdminConcatenada!$B:$B=BX$1), 0)), 1))),  0.5, 0))</f>
        <v>0</v>
      </c>
      <c r="BY98" s="47">
        <f t="array" ref="BY98">IF(AND(ISNUMBER(MATCH(BY$2, AsistenciaJetAdminConcatenada!$A:$A, 0)), ISNUMBER(MATCH(BY$1, AsistenciaJetAdminConcatenada!$B:$B, 0)), ISNUMBER(SEARCH($A98,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ISNUMBER(SEARCH($A98, INDEX(AsistenciaJetAdminConcatenada!$D:$D, MATCH(1, (AsistenciaJetAdminConcatenada!$A:$A=BY$2)*(AsistenciaJetAdminConcatenada!$B:$B=BY$1), 0)), 1))),  0.5, 0))</f>
        <v>0</v>
      </c>
      <c r="BZ98" s="47">
        <f t="array" ref="BZ98">IF(AND(ISNUMBER(MATCH(BZ$2, AsistenciaJetAdminConcatenada!$A:$A, 0)), ISNUMBER(MATCH(BZ$1, AsistenciaJetAdminConcatenada!$B:$B, 0)), ISNUMBER(SEARCH($A98,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ISNUMBER(SEARCH($A98, INDEX(AsistenciaJetAdminConcatenada!$D:$D, MATCH(1, (AsistenciaJetAdminConcatenada!$A:$A=BZ$2)*(AsistenciaJetAdminConcatenada!$B:$B=BZ$1), 0)), 1))),  0.5, 0))</f>
        <v>1</v>
      </c>
      <c r="CA98" s="47">
        <f t="array" ref="CA98">IF(AND(ISNUMBER(MATCH(CA$2, AsistenciaJetAdminConcatenada!$A:$A, 0)), ISNUMBER(MATCH(CA$1, AsistenciaJetAdminConcatenada!$B:$B, 0)), ISNUMBER(SEARCH($A98,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ISNUMBER(SEARCH($A98, INDEX(AsistenciaJetAdminConcatenada!$D:$D, MATCH(1, (AsistenciaJetAdminConcatenada!$A:$A=CA$2)*(AsistenciaJetAdminConcatenada!$B:$B=CA$1), 0)), 1))),  0.5, 0))</f>
        <v>0</v>
      </c>
      <c r="CB98" s="47">
        <f t="array" ref="CB98">IF(AND(ISNUMBER(MATCH(CB$2, AsistenciaJetAdminConcatenada!$A:$A, 0)), ISNUMBER(MATCH(CB$1, AsistenciaJetAdminConcatenada!$B:$B, 0)), ISNUMBER(SEARCH($A98,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ISNUMBER(SEARCH($A98, INDEX(AsistenciaJetAdminConcatenada!$D:$D, MATCH(1, (AsistenciaJetAdminConcatenada!$A:$A=CB$2)*(AsistenciaJetAdminConcatenada!$B:$B=CB$1), 0)), 1))),  0.5, 0))</f>
        <v>0</v>
      </c>
      <c r="CC98" s="47">
        <f t="array" ref="CC98">IF(AND(ISNUMBER(MATCH(CC$2, AsistenciaJetAdminConcatenada!$A:$A, 0)), ISNUMBER(MATCH(CC$1, AsistenciaJetAdminConcatenada!$B:$B, 0)), ISNUMBER(SEARCH($A98,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ISNUMBER(SEARCH($A98, INDEX(AsistenciaJetAdminConcatenada!$D:$D, MATCH(1, (AsistenciaJetAdminConcatenada!$A:$A=CC$2)*(AsistenciaJetAdminConcatenada!$B:$B=CC$1), 0)), 1))),  0.5, 0))</f>
        <v>0</v>
      </c>
      <c r="CD98" s="47">
        <f t="array" ref="CD98">IF(AND(ISNUMBER(MATCH(CD$2, AsistenciaJetAdminConcatenada!$A:$A, 0)), ISNUMBER(MATCH(CD$1, AsistenciaJetAdminConcatenada!$B:$B, 0)), ISNUMBER(SEARCH($A98,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ISNUMBER(SEARCH($A98, INDEX(AsistenciaJetAdminConcatenada!$D:$D, MATCH(1, (AsistenciaJetAdminConcatenada!$A:$A=CD$2)*(AsistenciaJetAdminConcatenada!$B:$B=CD$1), 0)), 1))),  0.5, 0))</f>
        <v>0</v>
      </c>
      <c r="CE98" s="47">
        <f t="array" ref="CE98">IF(AND(ISNUMBER(MATCH(CE$2, AsistenciaJetAdminConcatenada!$A:$A, 0)), ISNUMBER(MATCH(CE$1, AsistenciaJetAdminConcatenada!$B:$B, 0)), ISNUMBER(SEARCH($A98,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ISNUMBER(SEARCH($A98, INDEX(AsistenciaJetAdminConcatenada!$D:$D, MATCH(1, (AsistenciaJetAdminConcatenada!$A:$A=CE$2)*(AsistenciaJetAdminConcatenada!$B:$B=CE$1), 0)), 1))),  0.5, 0))</f>
        <v>1</v>
      </c>
      <c r="CF98" s="47">
        <f t="array" ref="CF98">IF(AND(ISNUMBER(MATCH(CF$2, AsistenciaJetAdminConcatenada!$A:$A, 0)), ISNUMBER(MATCH(CF$1, AsistenciaJetAdminConcatenada!$B:$B, 0)), ISNUMBER(SEARCH($A98,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ISNUMBER(SEARCH($A98, INDEX(AsistenciaJetAdminConcatenada!$D:$D, MATCH(1, (AsistenciaJetAdminConcatenada!$A:$A=CF$2)*(AsistenciaJetAdminConcatenada!$B:$B=CF$1), 0)), 1))),  0.5, 0))</f>
        <v>1</v>
      </c>
      <c r="CG98" s="47">
        <f t="array" ref="CG98">IF(AND(ISNUMBER(MATCH(CG$2, AsistenciaJetAdminConcatenada!$A:$A, 0)), ISNUMBER(MATCH(CG$1, AsistenciaJetAdminConcatenada!$B:$B, 0)), ISNUMBER(SEARCH($A98,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ISNUMBER(SEARCH($A98, INDEX(AsistenciaJetAdminConcatenada!$D:$D, MATCH(1, (AsistenciaJetAdminConcatenada!$A:$A=CG$2)*(AsistenciaJetAdminConcatenada!$B:$B=CG$1), 0)), 1))),  0.5, 0))</f>
        <v>0</v>
      </c>
      <c r="CH98" s="47">
        <f t="array" ref="CH98">IF(AND(ISNUMBER(MATCH(CH$2, AsistenciaJetAdminConcatenada!$A:$A, 0)), ISNUMBER(MATCH(CH$1, AsistenciaJetAdminConcatenada!$B:$B, 0)), ISNUMBER(SEARCH($A98,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ISNUMBER(SEARCH($A98, INDEX(AsistenciaJetAdminConcatenada!$D:$D, MATCH(1, (AsistenciaJetAdminConcatenada!$A:$A=CH$2)*(AsistenciaJetAdminConcatenada!$B:$B=CH$1), 0)), 1))),  0.5, 0))</f>
        <v>0</v>
      </c>
      <c r="CI98" s="47">
        <f t="array" ref="CI98">IF(AND(ISNUMBER(MATCH(CI$2, AsistenciaJetAdminConcatenada!$A:$A, 0)), ISNUMBER(MATCH(CI$1, AsistenciaJetAdminConcatenada!$B:$B, 0)), ISNUMBER(SEARCH($A98,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ISNUMBER(SEARCH($A98, INDEX(AsistenciaJetAdminConcatenada!$D:$D, MATCH(1, (AsistenciaJetAdminConcatenada!$A:$A=CI$2)*(AsistenciaJetAdminConcatenada!$B:$B=CI$1), 0)), 1))),  0.5, 0))</f>
        <v>1</v>
      </c>
      <c r="CJ98" s="47">
        <f t="array" ref="CJ98">IF(AND(ISNUMBER(MATCH(CJ$2, AsistenciaJetAdminConcatenada!$A:$A, 0)), ISNUMBER(MATCH(CJ$1, AsistenciaJetAdminConcatenada!$B:$B, 0)), ISNUMBER(SEARCH($A98,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ISNUMBER(SEARCH($A98, INDEX(AsistenciaJetAdminConcatenada!$D:$D, MATCH(1, (AsistenciaJetAdminConcatenada!$A:$A=CJ$2)*(AsistenciaJetAdminConcatenada!$B:$B=CJ$1), 0)), 1))),  0.5, 0))</f>
        <v>1</v>
      </c>
      <c r="CK98" s="47">
        <f t="array" ref="CK98">IF(AND(ISNUMBER(MATCH(CK$2, AsistenciaJetAdminConcatenada!$A:$A, 0)), ISNUMBER(MATCH(CK$1, AsistenciaJetAdminConcatenada!$B:$B, 0)), ISNUMBER(SEARCH($A98,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ISNUMBER(SEARCH($A98, INDEX(AsistenciaJetAdminConcatenada!$D:$D, MATCH(1, (AsistenciaJetAdminConcatenada!$A:$A=CK$2)*(AsistenciaJetAdminConcatenada!$B:$B=CK$1), 0)), 1))),  0.5, 0))</f>
        <v>0</v>
      </c>
      <c r="CL98" s="47">
        <f t="array" ref="CL98">IF(AND(ISNUMBER(MATCH(CL$2, AsistenciaJetAdminConcatenada!$A:$A, 0)), ISNUMBER(MATCH(CL$1, AsistenciaJetAdminConcatenada!$B:$B, 0)), ISNUMBER(SEARCH($A98,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ISNUMBER(SEARCH($A98, INDEX(AsistenciaJetAdminConcatenada!$D:$D, MATCH(1, (AsistenciaJetAdminConcatenada!$A:$A=CL$2)*(AsistenciaJetAdminConcatenada!$B:$B=CL$1), 0)), 1))),  0.5, 0))</f>
        <v>1</v>
      </c>
      <c r="CM98" s="47">
        <f t="array" ref="CM98">IF(AND(ISNUMBER(MATCH(CM$2, AsistenciaJetAdminConcatenada!$A:$A, 0)), ISNUMBER(MATCH(CM$1, AsistenciaJetAdminConcatenada!$B:$B, 0)), ISNUMBER(SEARCH($A98,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ISNUMBER(SEARCH($A98, INDEX(AsistenciaJetAdminConcatenada!$D:$D, MATCH(1, (AsistenciaJetAdminConcatenada!$A:$A=CM$2)*(AsistenciaJetAdminConcatenada!$B:$B=CM$1), 0)), 1))),  0.5, 0))</f>
        <v>0</v>
      </c>
      <c r="CN98" s="47">
        <f t="array" ref="CN98">IF(AND(ISNUMBER(MATCH(CN$2, AsistenciaJetAdminConcatenada!$A:$A, 0)), ISNUMBER(MATCH(CN$1, AsistenciaJetAdminConcatenada!$B:$B, 0)), ISNUMBER(SEARCH($A98,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ISNUMBER(SEARCH($A98, INDEX(AsistenciaJetAdminConcatenada!$D:$D, MATCH(1, (AsistenciaJetAdminConcatenada!$A:$A=CN$2)*(AsistenciaJetAdminConcatenada!$B:$B=CN$1), 0)), 1))),  0.5, 0))</f>
        <v>1</v>
      </c>
      <c r="CO98" s="47">
        <f t="array" ref="CO98">IF(AND(ISNUMBER(MATCH(CO$2, AsistenciaJetAdminConcatenada!$A:$A, 0)), ISNUMBER(MATCH(CO$1, AsistenciaJetAdminConcatenada!$B:$B, 0)), ISNUMBER(SEARCH($A98,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ISNUMBER(SEARCH($A98, INDEX(AsistenciaJetAdminConcatenada!$D:$D, MATCH(1, (AsistenciaJetAdminConcatenada!$A:$A=CO$2)*(AsistenciaJetAdminConcatenada!$B:$B=CO$1), 0)), 1))),  0.5, 0))</f>
        <v>1</v>
      </c>
      <c r="CP98" s="47">
        <f t="array" ref="CP98">IF(AND(ISNUMBER(MATCH(CP$2, AsistenciaJetAdminConcatenada!$A:$A, 0)), ISNUMBER(MATCH(CP$1, AsistenciaJetAdminConcatenada!$B:$B, 0)), ISNUMBER(SEARCH($A98,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ISNUMBER(SEARCH($A98, INDEX(AsistenciaJetAdminConcatenada!$D:$D, MATCH(1, (AsistenciaJetAdminConcatenada!$A:$A=CP$2)*(AsistenciaJetAdminConcatenada!$B:$B=CP$1), 0)), 1))),  0.5, 0))</f>
        <v>0</v>
      </c>
      <c r="CQ98" s="47">
        <f t="array" ref="CQ98">IF(AND(ISNUMBER(MATCH(CQ$2, AsistenciaJetAdminConcatenada!$A:$A, 0)), ISNUMBER(MATCH(CQ$1, AsistenciaJetAdminConcatenada!$B:$B, 0)), ISNUMBER(SEARCH($A98,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ISNUMBER(SEARCH($A98, INDEX(AsistenciaJetAdminConcatenada!$D:$D, MATCH(1, (AsistenciaJetAdminConcatenada!$A:$A=CQ$2)*(AsistenciaJetAdminConcatenada!$B:$B=CQ$1), 0)), 1))),  0.5, 0))</f>
        <v>0</v>
      </c>
      <c r="CR98" s="47">
        <f t="array" ref="CR98">IF(AND(ISNUMBER(MATCH(CR$2, AsistenciaJetAdminConcatenada!$A:$A, 0)), ISNUMBER(MATCH(CR$1, AsistenciaJetAdminConcatenada!$B:$B, 0)), ISNUMBER(SEARCH($A98,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ISNUMBER(SEARCH($A98, INDEX(AsistenciaJetAdminConcatenada!$D:$D, MATCH(1, (AsistenciaJetAdminConcatenada!$A:$A=CR$2)*(AsistenciaJetAdminConcatenada!$B:$B=CR$1), 0)), 1))),  0.5, 0))</f>
        <v>0</v>
      </c>
      <c r="CS98" s="47">
        <f t="array" ref="CS98">IF(AND(ISNUMBER(MATCH(CS$2, AsistenciaJetAdminConcatenada!$A:$A, 0)), ISNUMBER(MATCH(CS$1, AsistenciaJetAdminConcatenada!$B:$B, 0)), ISNUMBER(SEARCH($A98,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ISNUMBER(SEARCH($A98, INDEX(AsistenciaJetAdminConcatenada!$D:$D, MATCH(1, (AsistenciaJetAdminConcatenada!$A:$A=CS$2)*(AsistenciaJetAdminConcatenada!$B:$B=CS$1), 0)), 1))),  0.5, 0))</f>
        <v>0</v>
      </c>
      <c r="CT98" s="47">
        <f t="array" ref="CT98">IF(AND(ISNUMBER(MATCH(CT$2, AsistenciaJetAdminConcatenada!$A:$A, 0)), ISNUMBER(MATCH(CT$1, AsistenciaJetAdminConcatenada!$B:$B, 0)), ISNUMBER(SEARCH($A98,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ISNUMBER(SEARCH($A98, INDEX(AsistenciaJetAdminConcatenada!$D:$D, MATCH(1, (AsistenciaJetAdminConcatenada!$A:$A=CT$2)*(AsistenciaJetAdminConcatenada!$B:$B=CT$1), 0)), 1))),  0.5, 0))</f>
        <v>0</v>
      </c>
      <c r="CU98" s="47">
        <f t="array" ref="CU98">IF(AND(ISNUMBER(MATCH(CU$2, AsistenciaJetAdminConcatenada!$A:$A, 0)), ISNUMBER(MATCH(CU$1, AsistenciaJetAdminConcatenada!$B:$B, 0)), ISNUMBER(SEARCH($A98,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ISNUMBER(SEARCH($A98, INDEX(AsistenciaJetAdminConcatenada!$D:$D, MATCH(1, (AsistenciaJetAdminConcatenada!$A:$A=CU$2)*(AsistenciaJetAdminConcatenada!$B:$B=CU$1), 0)), 1))),  0.5, 0))</f>
        <v>0</v>
      </c>
      <c r="CV98" s="47">
        <f t="array" ref="CV98">IF(AND(ISNUMBER(MATCH(CV$2, AsistenciaJetAdminConcatenada!$A:$A, 0)), ISNUMBER(MATCH(CV$1, AsistenciaJetAdminConcatenada!$B:$B, 0)), ISNUMBER(SEARCH($A98,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ISNUMBER(SEARCH($A98, INDEX(AsistenciaJetAdminConcatenada!$D:$D, MATCH(1, (AsistenciaJetAdminConcatenada!$A:$A=CV$2)*(AsistenciaJetAdminConcatenada!$B:$B=CV$1), 0)), 1))),  0.5, 0))</f>
        <v>0</v>
      </c>
      <c r="CW98" s="47">
        <f t="array" ref="CW98">IF(AND(ISNUMBER(MATCH(CW$2, AsistenciaJetAdminConcatenada!$A:$A, 0)), ISNUMBER(MATCH(CW$1, AsistenciaJetAdminConcatenada!$B:$B, 0)), ISNUMBER(SEARCH($A98,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ISNUMBER(SEARCH($A98, INDEX(AsistenciaJetAdminConcatenada!$D:$D, MATCH(1, (AsistenciaJetAdminConcatenada!$A:$A=CW$2)*(AsistenciaJetAdminConcatenada!$B:$B=CW$1), 0)), 1))),  0.5, 0))</f>
        <v>0</v>
      </c>
      <c r="CX98" s="47">
        <f t="array" ref="CX98">IF(AND(ISNUMBER(MATCH(CX$2, AsistenciaJetAdminConcatenada!$A:$A, 0)), ISNUMBER(MATCH(CX$1, AsistenciaJetAdminConcatenada!$B:$B, 0)), ISNUMBER(SEARCH($A98,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ISNUMBER(SEARCH($A98, INDEX(AsistenciaJetAdminConcatenada!$D:$D, MATCH(1, (AsistenciaJetAdminConcatenada!$A:$A=CX$2)*(AsistenciaJetAdminConcatenada!$B:$B=CX$1), 0)), 1))),  0.5, 0))</f>
        <v>0</v>
      </c>
      <c r="CY98" s="47">
        <f t="array" ref="CY98">IF(AND(ISNUMBER(MATCH(CY$2, AsistenciaJetAdminConcatenada!$A:$A, 0)), ISNUMBER(MATCH(CY$1, AsistenciaJetAdminConcatenada!$B:$B, 0)), ISNUMBER(SEARCH($A98,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ISNUMBER(SEARCH($A98, INDEX(AsistenciaJetAdminConcatenada!$D:$D, MATCH(1, (AsistenciaJetAdminConcatenada!$A:$A=CY$2)*(AsistenciaJetAdminConcatenada!$B:$B=CY$1), 0)), 1))),  0.5, 0))</f>
        <v>0</v>
      </c>
      <c r="CZ98" s="47">
        <f t="array" ref="CZ98">IF(AND(ISNUMBER(MATCH(CZ$2, AsistenciaJetAdminConcatenada!$A:$A, 0)), ISNUMBER(MATCH(CZ$1, AsistenciaJetAdminConcatenada!$B:$B, 0)), ISNUMBER(SEARCH($A98,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ISNUMBER(SEARCH($A98, INDEX(AsistenciaJetAdminConcatenada!$D:$D, MATCH(1, (AsistenciaJetAdminConcatenada!$A:$A=CZ$2)*(AsistenciaJetAdminConcatenada!$B:$B=CZ$1), 0)), 1))),  0.5, 0))</f>
        <v>0</v>
      </c>
      <c r="DA98" s="47">
        <f t="array" ref="DA98">IF(AND(ISNUMBER(MATCH(DA$2, AsistenciaJetAdminConcatenada!$A:$A, 0)), ISNUMBER(MATCH(DA$1, AsistenciaJetAdminConcatenada!$B:$B, 0)), ISNUMBER(SEARCH($A98,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ISNUMBER(SEARCH($A98, INDEX(AsistenciaJetAdminConcatenada!$D:$D, MATCH(1, (AsistenciaJetAdminConcatenada!$A:$A=DA$2)*(AsistenciaJetAdminConcatenada!$B:$B=DA$1), 0)), 1))),  0.5, 0))</f>
        <v>0</v>
      </c>
      <c r="DB98" s="47">
        <f t="array" ref="DB98">IF(AND(ISNUMBER(MATCH(DB$2, AsistenciaJetAdminConcatenada!$A:$A, 0)), ISNUMBER(MATCH(DB$1, AsistenciaJetAdminConcatenada!$B:$B, 0)), ISNUMBER(SEARCH($A98,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ISNUMBER(SEARCH($A98, INDEX(AsistenciaJetAdminConcatenada!$D:$D, MATCH(1, (AsistenciaJetAdminConcatenada!$A:$A=DB$2)*(AsistenciaJetAdminConcatenada!$B:$B=DB$1), 0)), 1))),  0.5, 0))</f>
        <v>0</v>
      </c>
      <c r="DC98" s="47">
        <f t="array" ref="DC98">IF(AND(ISNUMBER(MATCH(DC$2, AsistenciaJetAdminConcatenada!$A:$A, 0)), ISNUMBER(MATCH(DC$1, AsistenciaJetAdminConcatenada!$B:$B, 0)), ISNUMBER(SEARCH($A98,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ISNUMBER(SEARCH($A98, INDEX(AsistenciaJetAdminConcatenada!$D:$D, MATCH(1, (AsistenciaJetAdminConcatenada!$A:$A=DC$2)*(AsistenciaJetAdminConcatenada!$B:$B=DC$1), 0)), 1))),  0.5, 0))</f>
        <v>0</v>
      </c>
      <c r="DD98" s="47">
        <f t="array" ref="DD98">IF(AND(ISNUMBER(MATCH(DD$2, AsistenciaJetAdminConcatenada!$A:$A, 0)), ISNUMBER(MATCH(DD$1, AsistenciaJetAdminConcatenada!$B:$B, 0)), ISNUMBER(SEARCH($A98,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ISNUMBER(SEARCH($A98, INDEX(AsistenciaJetAdminConcatenada!$D:$D, MATCH(1, (AsistenciaJetAdminConcatenada!$A:$A=DD$2)*(AsistenciaJetAdminConcatenada!$B:$B=DD$1), 0)), 1))),  0.5, 0))</f>
        <v>0</v>
      </c>
      <c r="DE98" s="47">
        <f t="array" ref="DE98">IF(AND(ISNUMBER(MATCH(DE$2, AsistenciaJetAdminConcatenada!$A:$A, 0)), ISNUMBER(MATCH(DE$1, AsistenciaJetAdminConcatenada!$B:$B, 0)), ISNUMBER(SEARCH($A98,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ISNUMBER(SEARCH($A98, INDEX(AsistenciaJetAdminConcatenada!$D:$D, MATCH(1, (AsistenciaJetAdminConcatenada!$A:$A=DE$2)*(AsistenciaJetAdminConcatenada!$B:$B=DE$1), 0)), 1))),  0.5, 0))</f>
        <v>0</v>
      </c>
      <c r="DF98" s="47">
        <f t="array" ref="DF98">IF(AND(ISNUMBER(MATCH(DF$2, AsistenciaJetAdminConcatenada!$A:$A, 0)), ISNUMBER(MATCH(DF$1, AsistenciaJetAdminConcatenada!$B:$B, 0)), ISNUMBER(SEARCH($A98,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ISNUMBER(SEARCH($A98, INDEX(AsistenciaJetAdminConcatenada!$D:$D, MATCH(1, (AsistenciaJetAdminConcatenada!$A:$A=DF$2)*(AsistenciaJetAdminConcatenada!$B:$B=DF$1), 0)), 1))),  0.5, 0))</f>
        <v>0</v>
      </c>
      <c r="DG98" s="47">
        <f t="array" ref="DG98">IF(AND(ISNUMBER(MATCH(DG$2, AsistenciaJetAdminConcatenada!$A:$A, 0)), ISNUMBER(MATCH(DG$1, AsistenciaJetAdminConcatenada!$B:$B, 0)), ISNUMBER(SEARCH($A98,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ISNUMBER(SEARCH($A98, INDEX(AsistenciaJetAdminConcatenada!$D:$D, MATCH(1, (AsistenciaJetAdminConcatenada!$A:$A=DG$2)*(AsistenciaJetAdminConcatenada!$B:$B=DG$1), 0)), 1))),  0.5, 0))</f>
        <v>0</v>
      </c>
      <c r="DH98" s="47">
        <f t="array" ref="DH98">IF(AND(ISNUMBER(MATCH(DH$2, AsistenciaJetAdminConcatenada!$A:$A, 0)), ISNUMBER(MATCH(DH$1, AsistenciaJetAdminConcatenada!$B:$B, 0)), ISNUMBER(SEARCH($A98,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ISNUMBER(SEARCH($A98, INDEX(AsistenciaJetAdminConcatenada!$D:$D, MATCH(1, (AsistenciaJetAdminConcatenada!$A:$A=DH$2)*(AsistenciaJetAdminConcatenada!$B:$B=DH$1), 0)), 1))),  0.5, 0))</f>
        <v>0</v>
      </c>
      <c r="DI98" s="47">
        <f t="array" ref="DI98">IF(AND(ISNUMBER(MATCH(DI$2, AsistenciaJetAdminConcatenada!$A:$A, 0)), ISNUMBER(MATCH(DI$1, AsistenciaJetAdminConcatenada!$B:$B, 0)), ISNUMBER(SEARCH($A98,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ISNUMBER(SEARCH($A98, INDEX(AsistenciaJetAdminConcatenada!$D:$D, MATCH(1, (AsistenciaJetAdminConcatenada!$A:$A=DI$2)*(AsistenciaJetAdminConcatenada!$B:$B=DI$1), 0)), 1))),  0.5, 0))</f>
        <v>0</v>
      </c>
      <c r="DJ98" s="47">
        <f t="array" ref="DJ98">IF(AND(ISNUMBER(MATCH(DJ$2, AsistenciaJetAdminConcatenada!$A:$A, 0)), ISNUMBER(MATCH(DJ$1, AsistenciaJetAdminConcatenada!$B:$B, 0)), ISNUMBER(SEARCH($A98,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ISNUMBER(SEARCH($A98, INDEX(AsistenciaJetAdminConcatenada!$D:$D, MATCH(1, (AsistenciaJetAdminConcatenada!$A:$A=DJ$2)*(AsistenciaJetAdminConcatenada!$B:$B=DJ$1), 0)), 1))),  0.5, 0))</f>
        <v>0</v>
      </c>
      <c r="DK98" s="47">
        <f t="array" ref="DK98">IF(AND(ISNUMBER(MATCH(DK$2, AsistenciaJetAdminConcatenada!$A:$A, 0)), ISNUMBER(MATCH(DK$1, AsistenciaJetAdminConcatenada!$B:$B, 0)), ISNUMBER(SEARCH($A98,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ISNUMBER(SEARCH($A98, INDEX(AsistenciaJetAdminConcatenada!$D:$D, MATCH(1, (AsistenciaJetAdminConcatenada!$A:$A=DK$2)*(AsistenciaJetAdminConcatenada!$B:$B=DK$1), 0)), 1))),  0.5, 0))</f>
        <v>0</v>
      </c>
      <c r="DL98" s="47">
        <f t="array" ref="DL98">IF(AND(ISNUMBER(MATCH(DL$2, AsistenciaJetAdminConcatenada!$A:$A, 0)), ISNUMBER(MATCH(DL$1, AsistenciaJetAdminConcatenada!$B:$B, 0)), ISNUMBER(SEARCH($A98,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ISNUMBER(SEARCH($A98, INDEX(AsistenciaJetAdminConcatenada!$D:$D, MATCH(1, (AsistenciaJetAdminConcatenada!$A:$A=DL$2)*(AsistenciaJetAdminConcatenada!$B:$B=DL$1), 0)), 1))),  0.5, 0))</f>
        <v>0</v>
      </c>
      <c r="DM98" s="47">
        <f t="array" ref="DM98">IF(AND(ISNUMBER(MATCH(DM$2, AsistenciaJetAdminConcatenada!$A:$A, 0)), ISNUMBER(MATCH(DM$1, AsistenciaJetAdminConcatenada!$B:$B, 0)), ISNUMBER(SEARCH($A98,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ISNUMBER(SEARCH($A98, INDEX(AsistenciaJetAdminConcatenada!$D:$D, MATCH(1, (AsistenciaJetAdminConcatenada!$A:$A=DM$2)*(AsistenciaJetAdminConcatenada!$B:$B=DM$1), 0)), 1))),  0.5, 0))</f>
        <v>0</v>
      </c>
      <c r="DN98" s="47">
        <f t="array" ref="DN98">IF(AND(ISNUMBER(MATCH(DN$2, AsistenciaJetAdminConcatenada!$A:$A, 0)), ISNUMBER(MATCH(DN$1, AsistenciaJetAdminConcatenada!$B:$B, 0)), ISNUMBER(SEARCH($A98,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ISNUMBER(SEARCH($A98, INDEX(AsistenciaJetAdminConcatenada!$D:$D, MATCH(1, (AsistenciaJetAdminConcatenada!$A:$A=DN$2)*(AsistenciaJetAdminConcatenada!$B:$B=DN$1), 0)), 1))),  0.5, 0))</f>
        <v>0</v>
      </c>
      <c r="DO98" s="47">
        <f t="array" ref="DO98">IF(AND(ISNUMBER(MATCH(DO$2, AsistenciaJetAdminConcatenada!$A:$A, 0)), ISNUMBER(MATCH(DO$1, AsistenciaJetAdminConcatenada!$B:$B, 0)), ISNUMBER(SEARCH($A98,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ISNUMBER(SEARCH($A98, INDEX(AsistenciaJetAdminConcatenada!$D:$D, MATCH(1, (AsistenciaJetAdminConcatenada!$A:$A=DO$2)*(AsistenciaJetAdminConcatenada!$B:$B=DO$1), 0)), 1))),  0.5, 0))</f>
        <v>0</v>
      </c>
      <c r="DP98" s="47">
        <f t="array" ref="DP98">IF(AND(ISNUMBER(MATCH(DP$2, AsistenciaJetAdminConcatenada!$A:$A, 0)), ISNUMBER(MATCH(DP$1, AsistenciaJetAdminConcatenada!$B:$B, 0)), ISNUMBER(SEARCH($A98,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ISNUMBER(SEARCH($A98, INDEX(AsistenciaJetAdminConcatenada!$D:$D, MATCH(1, (AsistenciaJetAdminConcatenada!$A:$A=DP$2)*(AsistenciaJetAdminConcatenada!$B:$B=DP$1), 0)), 1))),  0.5, 0))</f>
        <v>0</v>
      </c>
      <c r="DQ98" s="47">
        <f t="array" ref="DQ98">IF(AND(ISNUMBER(MATCH(DQ$2, AsistenciaJetAdminConcatenada!$A:$A, 0)), ISNUMBER(MATCH(DQ$1, AsistenciaJetAdminConcatenada!$B:$B, 0)), ISNUMBER(SEARCH($A98,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ISNUMBER(SEARCH($A98, INDEX(AsistenciaJetAdminConcatenada!$D:$D, MATCH(1, (AsistenciaJetAdminConcatenada!$A:$A=DQ$2)*(AsistenciaJetAdminConcatenada!$B:$B=DQ$1), 0)), 1))),  0.5, 0))</f>
        <v>0</v>
      </c>
      <c r="DR98" s="47">
        <f t="array" ref="DR98">IF(AND(ISNUMBER(MATCH(DR$2, AsistenciaJetAdminConcatenada!$A:$A, 0)), ISNUMBER(MATCH(DR$1, AsistenciaJetAdminConcatenada!$B:$B, 0)), ISNUMBER(SEARCH($A98,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ISNUMBER(SEARCH($A98, INDEX(AsistenciaJetAdminConcatenada!$D:$D, MATCH(1, (AsistenciaJetAdminConcatenada!$A:$A=DR$2)*(AsistenciaJetAdminConcatenada!$B:$B=DR$1), 0)), 1))),  0.5, 0))</f>
        <v>0</v>
      </c>
      <c r="DS98" s="47">
        <f t="array" ref="DS98">IF(AND(ISNUMBER(MATCH(DS$2, AsistenciaJetAdminConcatenada!$A:$A, 0)), ISNUMBER(MATCH(DS$1, AsistenciaJetAdminConcatenada!$B:$B, 0)), ISNUMBER(SEARCH($A98,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ISNUMBER(SEARCH($A98, INDEX(AsistenciaJetAdminConcatenada!$D:$D, MATCH(1, (AsistenciaJetAdminConcatenada!$A:$A=DS$2)*(AsistenciaJetAdminConcatenada!$B:$B=DS$1), 0)), 1))),  0.5, 0))</f>
        <v>0</v>
      </c>
      <c r="DT98" s="47">
        <f t="array" ref="DT98">IF(AND(ISNUMBER(MATCH(DT$2, AsistenciaJetAdminConcatenada!$A:$A, 0)), ISNUMBER(MATCH(DT$1, AsistenciaJetAdminConcatenada!$B:$B, 0)), ISNUMBER(SEARCH($A98,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ISNUMBER(SEARCH($A98, INDEX(AsistenciaJetAdminConcatenada!$D:$D, MATCH(1, (AsistenciaJetAdminConcatenada!$A:$A=DT$2)*(AsistenciaJetAdminConcatenada!$B:$B=DT$1), 0)), 1))),  0.5, 0))</f>
        <v>0</v>
      </c>
      <c r="DU98" s="47">
        <f t="array" ref="DU98">IF(AND(ISNUMBER(MATCH(DU$2, AsistenciaJetAdminConcatenada!$A:$A, 0)), ISNUMBER(MATCH(DU$1, AsistenciaJetAdminConcatenada!$B:$B, 0)), ISNUMBER(SEARCH($A98,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ISNUMBER(SEARCH($A98, INDEX(AsistenciaJetAdminConcatenada!$D:$D, MATCH(1, (AsistenciaJetAdminConcatenada!$A:$A=DU$2)*(AsistenciaJetAdminConcatenada!$B:$B=DU$1), 0)), 1))),  0.5, 0))</f>
        <v>0</v>
      </c>
      <c r="DV98" s="47">
        <f t="array" ref="DV98">IF(AND(ISNUMBER(MATCH(DV$2, AsistenciaJetAdminConcatenada!$A:$A, 0)), ISNUMBER(MATCH(DV$1, AsistenciaJetAdminConcatenada!$B:$B, 0)), ISNUMBER(SEARCH($A98,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ISNUMBER(SEARCH($A98, INDEX(AsistenciaJetAdminConcatenada!$D:$D, MATCH(1, (AsistenciaJetAdminConcatenada!$A:$A=DV$2)*(AsistenciaJetAdminConcatenada!$B:$B=DV$1), 0)), 1))),  0.5, 0))</f>
        <v>0</v>
      </c>
      <c r="DW98" s="47">
        <f t="array" ref="DW98">IF(AND(ISNUMBER(MATCH(DW$2, AsistenciaJetAdminConcatenada!$A:$A, 0)), ISNUMBER(MATCH(DW$1, AsistenciaJetAdminConcatenada!$B:$B, 0)), ISNUMBER(SEARCH($A98,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ISNUMBER(SEARCH($A98, INDEX(AsistenciaJetAdminConcatenada!$D:$D, MATCH(1, (AsistenciaJetAdminConcatenada!$A:$A=DW$2)*(AsistenciaJetAdminConcatenada!$B:$B=DW$1), 0)), 1))),  0.5, 0))</f>
        <v>0</v>
      </c>
      <c r="DX98" s="47">
        <f t="array" ref="DX98">IF(AND(ISNUMBER(MATCH(DX$2, AsistenciaJetAdminConcatenada!$A:$A, 0)), ISNUMBER(MATCH(DX$1, AsistenciaJetAdminConcatenada!$B:$B, 0)), ISNUMBER(SEARCH($A98,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ISNUMBER(SEARCH($A98, INDEX(AsistenciaJetAdminConcatenada!$D:$D, MATCH(1, (AsistenciaJetAdminConcatenada!$A:$A=DX$2)*(AsistenciaJetAdminConcatenada!$B:$B=DX$1), 0)), 1))),  0.5, 0))</f>
        <v>0</v>
      </c>
      <c r="DY98" s="47">
        <f t="array" ref="DY98">IF(AND(ISNUMBER(MATCH(DY$2, AsistenciaJetAdminConcatenada!$A:$A, 0)), ISNUMBER(MATCH(DY$1, AsistenciaJetAdminConcatenada!$B:$B, 0)), ISNUMBER(SEARCH($A98,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ISNUMBER(SEARCH($A98, INDEX(AsistenciaJetAdminConcatenada!$D:$D, MATCH(1, (AsistenciaJetAdminConcatenada!$A:$A=DY$2)*(AsistenciaJetAdminConcatenada!$B:$B=DY$1), 0)), 1))),  0.5, 0))</f>
        <v>0</v>
      </c>
      <c r="DZ98" s="47">
        <f t="array" ref="DZ98">IF(AND(ISNUMBER(MATCH(DZ$2, AsistenciaJetAdminConcatenada!$A:$A, 0)), ISNUMBER(MATCH(DZ$1, AsistenciaJetAdminConcatenada!$B:$B, 0)), ISNUMBER(SEARCH($A98,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ISNUMBER(SEARCH($A98, INDEX(AsistenciaJetAdminConcatenada!$D:$D, MATCH(1, (AsistenciaJetAdminConcatenada!$A:$A=DZ$2)*(AsistenciaJetAdminConcatenada!$B:$B=DZ$1), 0)), 1))),  0.5, 0))</f>
        <v>0</v>
      </c>
      <c r="EA98" s="47">
        <f t="array" ref="EA98">IF(AND(ISNUMBER(MATCH(EA$2, AsistenciaJetAdminConcatenada!$A:$A, 0)), ISNUMBER(MATCH(EA$1, AsistenciaJetAdminConcatenada!$B:$B, 0)), ISNUMBER(SEARCH($A98,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ISNUMBER(SEARCH($A98, INDEX(AsistenciaJetAdminConcatenada!$D:$D, MATCH(1, (AsistenciaJetAdminConcatenada!$A:$A=EA$2)*(AsistenciaJetAdminConcatenada!$B:$B=EA$1), 0)), 1))),  0.5, 0))</f>
        <v>0</v>
      </c>
      <c r="EB98" s="47">
        <f t="array" ref="EB98">IF(AND(ISNUMBER(MATCH(EB$2, AsistenciaJetAdminConcatenada!$A:$A, 0)), ISNUMBER(MATCH(EB$1, AsistenciaJetAdminConcatenada!$B:$B, 0)), ISNUMBER(SEARCH($A98,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ISNUMBER(SEARCH($A98, INDEX(AsistenciaJetAdminConcatenada!$D:$D, MATCH(1, (AsistenciaJetAdminConcatenada!$A:$A=EB$2)*(AsistenciaJetAdminConcatenada!$B:$B=EB$1), 0)), 1))),  0.5, 0))</f>
        <v>0</v>
      </c>
      <c r="EC98" s="47">
        <f t="array" ref="EC98">IF(AND(ISNUMBER(MATCH(EC$2, AsistenciaJetAdminConcatenada!$A:$A, 0)), ISNUMBER(MATCH(EC$1, AsistenciaJetAdminConcatenada!$B:$B, 0)), ISNUMBER(SEARCH($A98,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ISNUMBER(SEARCH($A98, INDEX(AsistenciaJetAdminConcatenada!$D:$D, MATCH(1, (AsistenciaJetAdminConcatenada!$A:$A=EC$2)*(AsistenciaJetAdminConcatenada!$B:$B=EC$1), 0)), 1))),  0.5, 0))</f>
        <v>0</v>
      </c>
      <c r="ED98" s="47">
        <f t="array" ref="ED98">IF(AND(ISNUMBER(MATCH(ED$2, AsistenciaJetAdminConcatenada!$A:$A, 0)), ISNUMBER(MATCH(ED$1, AsistenciaJetAdminConcatenada!$B:$B, 0)), ISNUMBER(SEARCH($A98,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ISNUMBER(SEARCH($A98, INDEX(AsistenciaJetAdminConcatenada!$D:$D, MATCH(1, (AsistenciaJetAdminConcatenada!$A:$A=ED$2)*(AsistenciaJetAdminConcatenada!$B:$B=ED$1), 0)), 1))),  0.5, 0))</f>
        <v>0</v>
      </c>
      <c r="EE98" s="47">
        <f t="array" ref="EE98">IF(AND(ISNUMBER(MATCH(EE$2, AsistenciaJetAdminConcatenada!$A:$A, 0)), ISNUMBER(MATCH(EE$1, AsistenciaJetAdminConcatenada!$B:$B, 0)), ISNUMBER(SEARCH($A98,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ISNUMBER(SEARCH($A98, INDEX(AsistenciaJetAdminConcatenada!$D:$D, MATCH(1, (AsistenciaJetAdminConcatenada!$A:$A=EE$2)*(AsistenciaJetAdminConcatenada!$B:$B=EE$1), 0)), 1))),  0.5, 0))</f>
        <v>0</v>
      </c>
      <c r="EF98" s="47">
        <f t="array" ref="EF98">IF(AND(ISNUMBER(MATCH(EF$2, AsistenciaJetAdminConcatenada!$A:$A, 0)), ISNUMBER(MATCH(EF$1, AsistenciaJetAdminConcatenada!$B:$B, 0)), ISNUMBER(SEARCH($A98,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ISNUMBER(SEARCH($A98, INDEX(AsistenciaJetAdminConcatenada!$D:$D, MATCH(1, (AsistenciaJetAdminConcatenada!$A:$A=EF$2)*(AsistenciaJetAdminConcatenada!$B:$B=EF$1), 0)), 1))),  0.5, 0))</f>
        <v>0</v>
      </c>
      <c r="EG98" s="47">
        <f t="array" ref="EG98">IF(AND(ISNUMBER(MATCH(EG$2, AsistenciaJetAdminConcatenada!$A:$A, 0)), ISNUMBER(MATCH(EG$1, AsistenciaJetAdminConcatenada!$B:$B, 0)), ISNUMBER(SEARCH($A98,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ISNUMBER(SEARCH($A98, INDEX(AsistenciaJetAdminConcatenada!$D:$D, MATCH(1, (AsistenciaJetAdminConcatenada!$A:$A=EG$2)*(AsistenciaJetAdminConcatenada!$B:$B=EG$1), 0)), 1))),  0.5, 0))</f>
        <v>0</v>
      </c>
      <c r="EH98" s="47">
        <f t="array" ref="EH98">IF(AND(ISNUMBER(MATCH(EH$2, AsistenciaJetAdminConcatenada!$A:$A, 0)), ISNUMBER(MATCH(EH$1, AsistenciaJetAdminConcatenada!$B:$B, 0)), ISNUMBER(SEARCH($A98,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ISNUMBER(SEARCH($A98, INDEX(AsistenciaJetAdminConcatenada!$D:$D, MATCH(1, (AsistenciaJetAdminConcatenada!$A:$A=EH$2)*(AsistenciaJetAdminConcatenada!$B:$B=EH$1), 0)), 1))),  0.5, 0))</f>
        <v>0</v>
      </c>
      <c r="EI98" s="47">
        <f t="array" ref="EI98">IF(AND(ISNUMBER(MATCH(EI$2, AsistenciaJetAdminConcatenada!$A:$A, 0)), ISNUMBER(MATCH(EI$1, AsistenciaJetAdminConcatenada!$B:$B, 0)), ISNUMBER(SEARCH($A98,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ISNUMBER(SEARCH($A98, INDEX(AsistenciaJetAdminConcatenada!$D:$D, MATCH(1, (AsistenciaJetAdminConcatenada!$A:$A=EI$2)*(AsistenciaJetAdminConcatenada!$B:$B=EI$1), 0)), 1))),  0.5, 0))</f>
        <v>0</v>
      </c>
      <c r="EJ98" s="47">
        <f t="array" ref="EJ98">IF(AND(ISNUMBER(MATCH(EJ$2, AsistenciaJetAdminConcatenada!$A:$A, 0)), ISNUMBER(MATCH(EJ$1, AsistenciaJetAdminConcatenada!$B:$B, 0)), ISNUMBER(SEARCH($A98,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ISNUMBER(SEARCH($A98, INDEX(AsistenciaJetAdminConcatenada!$D:$D, MATCH(1, (AsistenciaJetAdminConcatenada!$A:$A=EJ$2)*(AsistenciaJetAdminConcatenada!$B:$B=EJ$1), 0)), 1))),  0.5, 0))</f>
        <v>0</v>
      </c>
      <c r="EK98" s="47">
        <f t="array" ref="EK98">IF(AND(ISNUMBER(MATCH(EK$2, AsistenciaJetAdminConcatenada!$A:$A, 0)), ISNUMBER(MATCH(EK$1, AsistenciaJetAdminConcatenada!$B:$B, 0)), ISNUMBER(SEARCH($A98,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ISNUMBER(SEARCH($A98, INDEX(AsistenciaJetAdminConcatenada!$D:$D, MATCH(1, (AsistenciaJetAdminConcatenada!$A:$A=EK$2)*(AsistenciaJetAdminConcatenada!$B:$B=EK$1), 0)), 1))),  0.5, 0))</f>
        <v>0</v>
      </c>
      <c r="EL98" s="47">
        <f t="array" ref="EL98">IF(AND(ISNUMBER(MATCH(EL$2, AsistenciaJetAdminConcatenada!$A:$A, 0)), ISNUMBER(MATCH(EL$1, AsistenciaJetAdminConcatenada!$B:$B, 0)), ISNUMBER(SEARCH($A98,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ISNUMBER(SEARCH($A98, INDEX(AsistenciaJetAdminConcatenada!$D:$D, MATCH(1, (AsistenciaJetAdminConcatenada!$A:$A=EL$2)*(AsistenciaJetAdminConcatenada!$B:$B=EL$1), 0)), 1))),  0.5, 0))</f>
        <v>0</v>
      </c>
      <c r="EM98" s="47">
        <f t="array" ref="EM98">IF(AND(ISNUMBER(MATCH(EM$2, AsistenciaJetAdminConcatenada!$A:$A, 0)), ISNUMBER(MATCH(EM$1, AsistenciaJetAdminConcatenada!$B:$B, 0)), ISNUMBER(SEARCH($A98,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ISNUMBER(SEARCH($A98, INDEX(AsistenciaJetAdminConcatenada!$D:$D, MATCH(1, (AsistenciaJetAdminConcatenada!$A:$A=EM$2)*(AsistenciaJetAdminConcatenada!$B:$B=EM$1), 0)), 1))),  0.5, 0))</f>
        <v>0</v>
      </c>
      <c r="EN98" s="47">
        <f t="array" ref="EN98">IF(AND(ISNUMBER(MATCH(EN$2, AsistenciaJetAdminConcatenada!$A:$A, 0)), ISNUMBER(MATCH(EN$1, AsistenciaJetAdminConcatenada!$B:$B, 0)), ISNUMBER(SEARCH($A98,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ISNUMBER(SEARCH($A98, INDEX(AsistenciaJetAdminConcatenada!$D:$D, MATCH(1, (AsistenciaJetAdminConcatenada!$A:$A=EN$2)*(AsistenciaJetAdminConcatenada!$B:$B=EN$1), 0)), 1))),  0.5, 0))</f>
        <v>0</v>
      </c>
      <c r="EO98" s="47">
        <f t="array" ref="EO98">IF(AND(ISNUMBER(MATCH(EO$2, AsistenciaJetAdminConcatenada!$A:$A, 0)), ISNUMBER(MATCH(EO$1, AsistenciaJetAdminConcatenada!$B:$B, 0)), ISNUMBER(SEARCH($A98,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ISNUMBER(SEARCH($A98, INDEX(AsistenciaJetAdminConcatenada!$D:$D, MATCH(1, (AsistenciaJetAdminConcatenada!$A:$A=EO$2)*(AsistenciaJetAdminConcatenada!$B:$B=EO$1), 0)), 1))),  0.5, 0))</f>
        <v>0</v>
      </c>
      <c r="EP98" s="47">
        <f t="array" ref="EP98">IF(AND(ISNUMBER(MATCH(EP$2, AsistenciaJetAdminConcatenada!$A:$A, 0)), ISNUMBER(MATCH(EP$1, AsistenciaJetAdminConcatenada!$B:$B, 0)), ISNUMBER(SEARCH($A98,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ISNUMBER(SEARCH($A98, INDEX(AsistenciaJetAdminConcatenada!$D:$D, MATCH(1, (AsistenciaJetAdminConcatenada!$A:$A=EP$2)*(AsistenciaJetAdminConcatenada!$B:$B=EP$1), 0)), 1))),  0.5, 0))</f>
        <v>0</v>
      </c>
      <c r="EQ98" s="47">
        <f t="array" ref="EQ98">IF(AND(ISNUMBER(MATCH(EQ$2, AsistenciaJetAdminConcatenada!$A:$A, 0)), ISNUMBER(MATCH(EQ$1, AsistenciaJetAdminConcatenada!$B:$B, 0)), ISNUMBER(SEARCH($A98,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ISNUMBER(SEARCH($A98, INDEX(AsistenciaJetAdminConcatenada!$D:$D, MATCH(1, (AsistenciaJetAdminConcatenada!$A:$A=EQ$2)*(AsistenciaJetAdminConcatenada!$B:$B=EQ$1), 0)), 1))),  0.5, 0))</f>
        <v>0</v>
      </c>
      <c r="ER98" s="47">
        <f t="array" ref="ER98">IF(AND(ISNUMBER(MATCH(ER$2, AsistenciaJetAdminConcatenada!$A:$A, 0)), ISNUMBER(MATCH(ER$1, AsistenciaJetAdminConcatenada!$B:$B, 0)), ISNUMBER(SEARCH($A98,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ISNUMBER(SEARCH($A98, INDEX(AsistenciaJetAdminConcatenada!$D:$D, MATCH(1, (AsistenciaJetAdminConcatenada!$A:$A=ER$2)*(AsistenciaJetAdminConcatenada!$B:$B=ER$1), 0)), 1))),  0.5, 0))</f>
        <v>0</v>
      </c>
      <c r="ES98" s="47">
        <f t="array" ref="ES98">IF(AND(ISNUMBER(MATCH(ES$2, AsistenciaJetAdminConcatenada!$A:$A, 0)), ISNUMBER(MATCH(ES$1, AsistenciaJetAdminConcatenada!$B:$B, 0)), ISNUMBER(SEARCH($A98,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ISNUMBER(SEARCH($A98, INDEX(AsistenciaJetAdminConcatenada!$D:$D, MATCH(1, (AsistenciaJetAdminConcatenada!$A:$A=ES$2)*(AsistenciaJetAdminConcatenada!$B:$B=ES$1), 0)), 1))),  0.5, 0))</f>
        <v>0</v>
      </c>
      <c r="ET98" s="47">
        <f t="array" ref="ET98">IF(AND(ISNUMBER(MATCH(ET$2, AsistenciaJetAdminConcatenada!$A:$A, 0)), ISNUMBER(MATCH(ET$1, AsistenciaJetAdminConcatenada!$B:$B, 0)), ISNUMBER(SEARCH($A98,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ISNUMBER(SEARCH($A98, INDEX(AsistenciaJetAdminConcatenada!$D:$D, MATCH(1, (AsistenciaJetAdminConcatenada!$A:$A=ET$2)*(AsistenciaJetAdminConcatenada!$B:$B=ET$1), 0)), 1))),  0.5, 0))</f>
        <v>0</v>
      </c>
      <c r="EU98" s="47">
        <f t="array" ref="EU98">IF(AND(ISNUMBER(MATCH(EU$2, AsistenciaJetAdminConcatenada!$A:$A, 0)), ISNUMBER(MATCH(EU$1, AsistenciaJetAdminConcatenada!$B:$B, 0)), ISNUMBER(SEARCH($A98,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ISNUMBER(SEARCH($A98, INDEX(AsistenciaJetAdminConcatenada!$D:$D, MATCH(1, (AsistenciaJetAdminConcatenada!$A:$A=EU$2)*(AsistenciaJetAdminConcatenada!$B:$B=EU$1), 0)), 1))),  0.5, 0))</f>
        <v>0</v>
      </c>
      <c r="EV98" s="47">
        <f t="array" ref="EV98">IF(AND(ISNUMBER(MATCH(EV$2, AsistenciaJetAdminConcatenada!$A:$A, 0)), ISNUMBER(MATCH(EV$1, AsistenciaJetAdminConcatenada!$B:$B, 0)), ISNUMBER(SEARCH($A98,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ISNUMBER(SEARCH($A98, INDEX(AsistenciaJetAdminConcatenada!$D:$D, MATCH(1, (AsistenciaJetAdminConcatenada!$A:$A=EV$2)*(AsistenciaJetAdminConcatenada!$B:$B=EV$1), 0)), 1))),  0.5, 0))</f>
        <v>0</v>
      </c>
      <c r="EW98" s="47">
        <f t="array" ref="EW98">IF(AND(ISNUMBER(MATCH(EW$2, AsistenciaJetAdminConcatenada!$A:$A, 0)), ISNUMBER(MATCH(EW$1, AsistenciaJetAdminConcatenada!$B:$B, 0)), ISNUMBER(SEARCH($A98,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ISNUMBER(SEARCH($A98, INDEX(AsistenciaJetAdminConcatenada!$D:$D, MATCH(1, (AsistenciaJetAdminConcatenada!$A:$A=EW$2)*(AsistenciaJetAdminConcatenada!$B:$B=EW$1), 0)), 1))),  0.5, 0))</f>
        <v>0</v>
      </c>
      <c r="EX98" s="47">
        <f t="array" ref="EX98">IF(AND(ISNUMBER(MATCH(EX$2, AsistenciaJetAdminConcatenada!$A:$A, 0)), ISNUMBER(MATCH(EX$1, AsistenciaJetAdminConcatenada!$B:$B, 0)), ISNUMBER(SEARCH($A98,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ISNUMBER(SEARCH($A98, INDEX(AsistenciaJetAdminConcatenada!$D:$D, MATCH(1, (AsistenciaJetAdminConcatenada!$A:$A=EX$2)*(AsistenciaJetAdminConcatenada!$B:$B=EX$1), 0)), 1))),  0.5, 0))</f>
        <v>0</v>
      </c>
      <c r="EY98" s="47">
        <f t="array" ref="EY98">IF(AND(ISNUMBER(MATCH(EY$2, AsistenciaJetAdminConcatenada!$A:$A, 0)), ISNUMBER(MATCH(EY$1, AsistenciaJetAdminConcatenada!$B:$B, 0)), ISNUMBER(SEARCH($A98,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ISNUMBER(SEARCH($A98, INDEX(AsistenciaJetAdminConcatenada!$D:$D, MATCH(1, (AsistenciaJetAdminConcatenada!$A:$A=EY$2)*(AsistenciaJetAdminConcatenada!$B:$B=EY$1), 0)), 1))),  0.5, 0))</f>
        <v>0</v>
      </c>
      <c r="EZ98" s="47">
        <f t="array" ref="EZ98">IF(AND(ISNUMBER(MATCH(EZ$2, AsistenciaJetAdminConcatenada!$A:$A, 0)), ISNUMBER(MATCH(EZ$1, AsistenciaJetAdminConcatenada!$B:$B, 0)), ISNUMBER(SEARCH($A98,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ISNUMBER(SEARCH($A98, INDEX(AsistenciaJetAdminConcatenada!$D:$D, MATCH(1, (AsistenciaJetAdminConcatenada!$A:$A=EZ$2)*(AsistenciaJetAdminConcatenada!$B:$B=EZ$1), 0)), 1))),  0.5, 0))</f>
        <v>0</v>
      </c>
      <c r="FA98" s="47">
        <f t="array" ref="FA98">IF(AND(ISNUMBER(MATCH(FA$2, AsistenciaJetAdminConcatenada!$A:$A, 0)), ISNUMBER(MATCH(FA$1, AsistenciaJetAdminConcatenada!$B:$B, 0)), ISNUMBER(SEARCH($A98,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ISNUMBER(SEARCH($A98, INDEX(AsistenciaJetAdminConcatenada!$D:$D, MATCH(1, (AsistenciaJetAdminConcatenada!$A:$A=FA$2)*(AsistenciaJetAdminConcatenada!$B:$B=FA$1), 0)), 1))),  0.5, 0))</f>
        <v>0</v>
      </c>
      <c r="FB98" s="47">
        <f t="array" ref="FB98">IF(AND(ISNUMBER(MATCH(FB$2, AsistenciaJetAdminConcatenada!$A:$A, 0)), ISNUMBER(MATCH(FB$1, AsistenciaJetAdminConcatenada!$B:$B, 0)), ISNUMBER(SEARCH($A98,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ISNUMBER(SEARCH($A98, INDEX(AsistenciaJetAdminConcatenada!$D:$D, MATCH(1, (AsistenciaJetAdminConcatenada!$A:$A=FB$2)*(AsistenciaJetAdminConcatenada!$B:$B=FB$1), 0)), 1))),  0.5, 0))</f>
        <v>0</v>
      </c>
      <c r="FC98" s="47">
        <f t="array" ref="FC98">IF(AND(ISNUMBER(MATCH(FC$2, AsistenciaJetAdminConcatenada!$A:$A, 0)), ISNUMBER(MATCH(FC$1, AsistenciaJetAdminConcatenada!$B:$B, 0)), ISNUMBER(SEARCH($A98,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ISNUMBER(SEARCH($A98, INDEX(AsistenciaJetAdminConcatenada!$D:$D, MATCH(1, (AsistenciaJetAdminConcatenada!$A:$A=FC$2)*(AsistenciaJetAdminConcatenada!$B:$B=FC$1), 0)), 1))),  0.5, 0))</f>
        <v>0</v>
      </c>
      <c r="FD98" s="47">
        <f t="array" ref="FD98">IF(AND(ISNUMBER(MATCH(FD$2, AsistenciaJetAdminConcatenada!$A:$A, 0)), ISNUMBER(MATCH(FD$1, AsistenciaJetAdminConcatenada!$B:$B, 0)), ISNUMBER(SEARCH($A98,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ISNUMBER(SEARCH($A98, INDEX(AsistenciaJetAdminConcatenada!$D:$D, MATCH(1, (AsistenciaJetAdminConcatenada!$A:$A=FD$2)*(AsistenciaJetAdminConcatenada!$B:$B=FD$1), 0)), 1))),  0.5, 0))</f>
        <v>0</v>
      </c>
      <c r="FE98" s="47">
        <f t="array" ref="FE98">IF(AND(ISNUMBER(MATCH(FE$2, AsistenciaJetAdminConcatenada!$A:$A, 0)), ISNUMBER(MATCH(FE$1, AsistenciaJetAdminConcatenada!$B:$B, 0)), ISNUMBER(SEARCH($A98,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ISNUMBER(SEARCH($A98, INDEX(AsistenciaJetAdminConcatenada!$D:$D, MATCH(1, (AsistenciaJetAdminConcatenada!$A:$A=FE$2)*(AsistenciaJetAdminConcatenada!$B:$B=FE$1), 0)), 1))),  0.5, 0))</f>
        <v>0</v>
      </c>
      <c r="FF98" s="47">
        <f t="array" ref="FF98">IF(AND(ISNUMBER(MATCH(FF$2, AsistenciaJetAdminConcatenada!$A:$A, 0)), ISNUMBER(MATCH(FF$1, AsistenciaJetAdminConcatenada!$B:$B, 0)), ISNUMBER(SEARCH($A98,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ISNUMBER(SEARCH($A98, INDEX(AsistenciaJetAdminConcatenada!$D:$D, MATCH(1, (AsistenciaJetAdminConcatenada!$A:$A=FF$2)*(AsistenciaJetAdminConcatenada!$B:$B=FF$1), 0)), 1))),  0.5, 0))</f>
        <v>0</v>
      </c>
      <c r="FG98" s="47">
        <f t="array" ref="FG98">IF(AND(ISNUMBER(MATCH(FG$2, AsistenciaJetAdminConcatenada!$A:$A, 0)), ISNUMBER(MATCH(FG$1, AsistenciaJetAdminConcatenada!$B:$B, 0)), ISNUMBER(SEARCH($A98,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ISNUMBER(SEARCH($A98, INDEX(AsistenciaJetAdminConcatenada!$D:$D, MATCH(1, (AsistenciaJetAdminConcatenada!$A:$A=FG$2)*(AsistenciaJetAdminConcatenada!$B:$B=FG$1), 0)), 1))),  0.5, 0))</f>
        <v>0</v>
      </c>
      <c r="FH98" s="47">
        <f t="array" ref="FH98">IF(AND(ISNUMBER(MATCH(FH$2, AsistenciaJetAdminConcatenada!$A:$A, 0)), ISNUMBER(MATCH(FH$1, AsistenciaJetAdminConcatenada!$B:$B, 0)), ISNUMBER(SEARCH($A98,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ISNUMBER(SEARCH($A98, INDEX(AsistenciaJetAdminConcatenada!$D:$D, MATCH(1, (AsistenciaJetAdminConcatenada!$A:$A=FH$2)*(AsistenciaJetAdminConcatenada!$B:$B=FH$1), 0)), 1))),  0.5, 0))</f>
        <v>0</v>
      </c>
      <c r="FI98" s="47">
        <f t="array" ref="FI98">IF(AND(ISNUMBER(MATCH(FI$2, AsistenciaJetAdminConcatenada!$A:$A, 0)), ISNUMBER(MATCH(FI$1, AsistenciaJetAdminConcatenada!$B:$B, 0)), ISNUMBER(SEARCH($A98,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ISNUMBER(SEARCH($A98, INDEX(AsistenciaJetAdminConcatenada!$D:$D, MATCH(1, (AsistenciaJetAdminConcatenada!$A:$A=FI$2)*(AsistenciaJetAdminConcatenada!$B:$B=FI$1), 0)), 1))),  0.5, 0))</f>
        <v>0</v>
      </c>
      <c r="FJ98" s="47">
        <f t="array" ref="FJ98">IF(AND(ISNUMBER(MATCH(FJ$2, AsistenciaJetAdminConcatenada!$A:$A, 0)), ISNUMBER(MATCH(FJ$1, AsistenciaJetAdminConcatenada!$B:$B, 0)), ISNUMBER(SEARCH($A98,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ISNUMBER(SEARCH($A98, INDEX(AsistenciaJetAdminConcatenada!$D:$D, MATCH(1, (AsistenciaJetAdminConcatenada!$A:$A=FJ$2)*(AsistenciaJetAdminConcatenada!$B:$B=FJ$1), 0)), 1))),  0.5, 0))</f>
        <v>0</v>
      </c>
      <c r="FK98" s="47">
        <f t="array" ref="FK98">IF(AND(ISNUMBER(MATCH(FK$2, AsistenciaJetAdminConcatenada!$A:$A, 0)), ISNUMBER(MATCH(FK$1, AsistenciaJetAdminConcatenada!$B:$B, 0)), ISNUMBER(SEARCH($A98,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ISNUMBER(SEARCH($A98, INDEX(AsistenciaJetAdminConcatenada!$D:$D, MATCH(1, (AsistenciaJetAdminConcatenada!$A:$A=FK$2)*(AsistenciaJetAdminConcatenada!$B:$B=FK$1), 0)), 1))),  0.5, 0))</f>
        <v>0</v>
      </c>
      <c r="FL98" s="47">
        <f t="array" ref="FL98">IF(AND(ISNUMBER(MATCH(FL$2, AsistenciaJetAdminConcatenada!$A:$A, 0)), ISNUMBER(MATCH(FL$1, AsistenciaJetAdminConcatenada!$B:$B, 0)), ISNUMBER(SEARCH($A98,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ISNUMBER(SEARCH($A98, INDEX(AsistenciaJetAdminConcatenada!$D:$D, MATCH(1, (AsistenciaJetAdminConcatenada!$A:$A=FL$2)*(AsistenciaJetAdminConcatenada!$B:$B=FL$1), 0)), 1))),  0.5, 0))</f>
        <v>0</v>
      </c>
      <c r="FM98" s="47">
        <f t="array" ref="FM98">IF(AND(ISNUMBER(MATCH(FM$2, AsistenciaJetAdminConcatenada!$A:$A, 0)), ISNUMBER(MATCH(FM$1, AsistenciaJetAdminConcatenada!$B:$B, 0)), ISNUMBER(SEARCH($A98,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ISNUMBER(SEARCH($A98, INDEX(AsistenciaJetAdminConcatenada!$D:$D, MATCH(1, (AsistenciaJetAdminConcatenada!$A:$A=FM$2)*(AsistenciaJetAdminConcatenada!$B:$B=FM$1), 0)), 1))),  0.5, 0))</f>
        <v>0</v>
      </c>
      <c r="FN98" s="47">
        <f t="array" ref="FN98">IF(AND(ISNUMBER(MATCH(FN$2, AsistenciaJetAdminConcatenada!$A:$A, 0)), ISNUMBER(MATCH(FN$1, AsistenciaJetAdminConcatenada!$B:$B, 0)), ISNUMBER(SEARCH($A98,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ISNUMBER(SEARCH($A98, INDEX(AsistenciaJetAdminConcatenada!$D:$D, MATCH(1, (AsistenciaJetAdminConcatenada!$A:$A=FN$2)*(AsistenciaJetAdminConcatenada!$B:$B=FN$1), 0)), 1))),  0.5, 0))</f>
        <v>0</v>
      </c>
      <c r="FO98" s="47">
        <f t="array" ref="FO98">IF(AND(ISNUMBER(MATCH(FO$2, AsistenciaJetAdminConcatenada!$A:$A, 0)), ISNUMBER(MATCH(FO$1, AsistenciaJetAdminConcatenada!$B:$B, 0)), ISNUMBER(SEARCH($A98,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ISNUMBER(SEARCH($A98, INDEX(AsistenciaJetAdminConcatenada!$D:$D, MATCH(1, (AsistenciaJetAdminConcatenada!$A:$A=FO$2)*(AsistenciaJetAdminConcatenada!$B:$B=FO$1), 0)), 1))),  0.5, 0))</f>
        <v>0</v>
      </c>
      <c r="FP98" s="47">
        <f t="array" ref="FP98">IF(AND(ISNUMBER(MATCH(FP$2, AsistenciaJetAdminConcatenada!$A:$A, 0)), ISNUMBER(MATCH(FP$1, AsistenciaJetAdminConcatenada!$B:$B, 0)), ISNUMBER(SEARCH($A98,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ISNUMBER(SEARCH($A98, INDEX(AsistenciaJetAdminConcatenada!$D:$D, MATCH(1, (AsistenciaJetAdminConcatenada!$A:$A=FP$2)*(AsistenciaJetAdminConcatenada!$B:$B=FP$1), 0)), 1))),  0.5, 0))</f>
        <v>0</v>
      </c>
      <c r="FQ98" s="47">
        <f t="array" ref="FQ98">IF(AND(ISNUMBER(MATCH(FQ$2, AsistenciaJetAdminConcatenada!$A:$A, 0)), ISNUMBER(MATCH(FQ$1, AsistenciaJetAdminConcatenada!$B:$B, 0)), ISNUMBER(SEARCH($A98,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ISNUMBER(SEARCH($A98, INDEX(AsistenciaJetAdminConcatenada!$D:$D, MATCH(1, (AsistenciaJetAdminConcatenada!$A:$A=FQ$2)*(AsistenciaJetAdminConcatenada!$B:$B=FQ$1), 0)), 1))),  0.5, 0))</f>
        <v>0</v>
      </c>
      <c r="FR98" s="47">
        <f t="array" ref="FR98">IF(AND(ISNUMBER(MATCH(FR$2, AsistenciaJetAdminConcatenada!$A:$A, 0)), ISNUMBER(MATCH(FR$1, AsistenciaJetAdminConcatenada!$B:$B, 0)), ISNUMBER(SEARCH($A98,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ISNUMBER(SEARCH($A98, INDEX(AsistenciaJetAdminConcatenada!$D:$D, MATCH(1, (AsistenciaJetAdminConcatenada!$A:$A=FR$2)*(AsistenciaJetAdminConcatenada!$B:$B=FR$1), 0)), 1))),  0.5, 0))</f>
        <v>0</v>
      </c>
      <c r="FS98" s="47">
        <f t="array" ref="FS98">IF(AND(ISNUMBER(MATCH(FS$2, AsistenciaJetAdminConcatenada!$A:$A, 0)), ISNUMBER(MATCH(FS$1, AsistenciaJetAdminConcatenada!$B:$B, 0)), ISNUMBER(SEARCH($A98,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ISNUMBER(SEARCH($A98, INDEX(AsistenciaJetAdminConcatenada!$D:$D, MATCH(1, (AsistenciaJetAdminConcatenada!$A:$A=FS$2)*(AsistenciaJetAdminConcatenada!$B:$B=FS$1), 0)), 1))),  0.5, 0))</f>
        <v>0</v>
      </c>
      <c r="FT98" s="47">
        <f t="array" ref="FT98">IF(AND(ISNUMBER(MATCH(FT$2, AsistenciaJetAdminConcatenada!$A:$A, 0)), ISNUMBER(MATCH(FT$1, AsistenciaJetAdminConcatenada!$B:$B, 0)), ISNUMBER(SEARCH($A98,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ISNUMBER(SEARCH($A98, INDEX(AsistenciaJetAdminConcatenada!$D:$D, MATCH(1, (AsistenciaJetAdminConcatenada!$A:$A=FT$2)*(AsistenciaJetAdminConcatenada!$B:$B=FT$1), 0)), 1))),  0.5, 0))</f>
        <v>0</v>
      </c>
      <c r="FU98" s="47">
        <f t="array" ref="FU98">IF(AND(ISNUMBER(MATCH(FU$2, AsistenciaJetAdminConcatenada!$A:$A, 0)), ISNUMBER(MATCH(FU$1, AsistenciaJetAdminConcatenada!$B:$B, 0)), ISNUMBER(SEARCH($A98,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ISNUMBER(SEARCH($A98, INDEX(AsistenciaJetAdminConcatenada!$D:$D, MATCH(1, (AsistenciaJetAdminConcatenada!$A:$A=FU$2)*(AsistenciaJetAdminConcatenada!$B:$B=FU$1), 0)), 1))),  0.5, 0))</f>
        <v>0</v>
      </c>
      <c r="FV98" s="47">
        <f t="array" ref="FV98">IF(AND(ISNUMBER(MATCH(FV$2, AsistenciaJetAdminConcatenada!$A:$A, 0)), ISNUMBER(MATCH(FV$1, AsistenciaJetAdminConcatenada!$B:$B, 0)), ISNUMBER(SEARCH($A98,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ISNUMBER(SEARCH($A98, INDEX(AsistenciaJetAdminConcatenada!$D:$D, MATCH(1, (AsistenciaJetAdminConcatenada!$A:$A=FV$2)*(AsistenciaJetAdminConcatenada!$B:$B=FV$1), 0)), 1))),  0.5, 0))</f>
        <v>0</v>
      </c>
      <c r="FW98" s="47">
        <f t="array" ref="FW98">IF(AND(ISNUMBER(MATCH(FW$2, AsistenciaJetAdminConcatenada!$A:$A, 0)), ISNUMBER(MATCH(FW$1, AsistenciaJetAdminConcatenada!$B:$B, 0)), ISNUMBER(SEARCH($A98,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ISNUMBER(SEARCH($A98, INDEX(AsistenciaJetAdminConcatenada!$D:$D, MATCH(1, (AsistenciaJetAdminConcatenada!$A:$A=FW$2)*(AsistenciaJetAdminConcatenada!$B:$B=FW$1), 0)), 1))),  0.5, 0))</f>
        <v>0</v>
      </c>
      <c r="FX98" s="47">
        <f t="array" ref="FX98">IF(AND(ISNUMBER(MATCH(FX$2, AsistenciaJetAdminConcatenada!$A:$A, 0)), ISNUMBER(MATCH(FX$1, AsistenciaJetAdminConcatenada!$B:$B, 0)), ISNUMBER(SEARCH($A98,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ISNUMBER(SEARCH($A98, INDEX(AsistenciaJetAdminConcatenada!$D:$D, MATCH(1, (AsistenciaJetAdminConcatenada!$A:$A=FX$2)*(AsistenciaJetAdminConcatenada!$B:$B=FX$1), 0)), 1))),  0.5, 0))</f>
        <v>0</v>
      </c>
      <c r="FY98" s="47">
        <f t="array" ref="FY98">IF(AND(ISNUMBER(MATCH(FY$2, AsistenciaJetAdminConcatenada!$A:$A, 0)), ISNUMBER(MATCH(FY$1, AsistenciaJetAdminConcatenada!$B:$B, 0)), ISNUMBER(SEARCH($A98,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ISNUMBER(SEARCH($A98, INDEX(AsistenciaJetAdminConcatenada!$D:$D, MATCH(1, (AsistenciaJetAdminConcatenada!$A:$A=FY$2)*(AsistenciaJetAdminConcatenada!$B:$B=FY$1), 0)), 1))),  0.5, 0))</f>
        <v>0</v>
      </c>
      <c r="FZ98" s="47">
        <f t="array" ref="FZ98">IF(AND(ISNUMBER(MATCH(FZ$2, AsistenciaJetAdminConcatenada!$A:$A, 0)), ISNUMBER(MATCH(FZ$1, AsistenciaJetAdminConcatenada!$B:$B, 0)), ISNUMBER(SEARCH($A98,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ISNUMBER(SEARCH($A98, INDEX(AsistenciaJetAdminConcatenada!$D:$D, MATCH(1, (AsistenciaJetAdminConcatenada!$A:$A=FZ$2)*(AsistenciaJetAdminConcatenada!$B:$B=FZ$1), 0)), 1))),  0.5, 0))</f>
        <v>0</v>
      </c>
      <c r="GA98" s="47">
        <f t="array" ref="GA98">IF(AND(ISNUMBER(MATCH(GA$2, AsistenciaJetAdminConcatenada!$A:$A, 0)), ISNUMBER(MATCH(GA$1, AsistenciaJetAdminConcatenada!$B:$B, 0)), ISNUMBER(SEARCH($A98,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ISNUMBER(SEARCH($A98, INDEX(AsistenciaJetAdminConcatenada!$D:$D, MATCH(1, (AsistenciaJetAdminConcatenada!$A:$A=GA$2)*(AsistenciaJetAdminConcatenada!$B:$B=GA$1), 0)), 1))),  0.5, 0))</f>
        <v>0</v>
      </c>
      <c r="GB98" s="47">
        <f t="array" ref="GB98">IF(AND(ISNUMBER(MATCH(GB$2, AsistenciaJetAdminConcatenada!$A:$A, 0)), ISNUMBER(MATCH(GB$1, AsistenciaJetAdminConcatenada!$B:$B, 0)), ISNUMBER(SEARCH($A98,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ISNUMBER(SEARCH($A98, INDEX(AsistenciaJetAdminConcatenada!$D:$D, MATCH(1, (AsistenciaJetAdminConcatenada!$A:$A=GB$2)*(AsistenciaJetAdminConcatenada!$B:$B=GB$1), 0)), 1))),  0.5, 0))</f>
        <v>0</v>
      </c>
      <c r="GC98" s="47">
        <f t="array" ref="GC98">IF(AND(ISNUMBER(MATCH(GC$2, AsistenciaJetAdminConcatenada!$A:$A, 0)), ISNUMBER(MATCH(GC$1, AsistenciaJetAdminConcatenada!$B:$B, 0)), ISNUMBER(SEARCH($A98,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ISNUMBER(SEARCH($A98, INDEX(AsistenciaJetAdminConcatenada!$D:$D, MATCH(1, (AsistenciaJetAdminConcatenada!$A:$A=GC$2)*(AsistenciaJetAdminConcatenada!$B:$B=GC$1), 0)), 1))),  0.5, 0))</f>
        <v>0</v>
      </c>
      <c r="GD98" s="47">
        <f t="array" ref="GD98">IF(AND(ISNUMBER(MATCH(GD$2, AsistenciaJetAdminConcatenada!$A:$A, 0)), ISNUMBER(MATCH(GD$1, AsistenciaJetAdminConcatenada!$B:$B, 0)), ISNUMBER(SEARCH($A98,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ISNUMBER(SEARCH($A98, INDEX(AsistenciaJetAdminConcatenada!$D:$D, MATCH(1, (AsistenciaJetAdminConcatenada!$A:$A=GD$2)*(AsistenciaJetAdminConcatenada!$B:$B=GD$1), 0)), 1))),  0.5, 0))</f>
        <v>0</v>
      </c>
      <c r="GE98" s="47">
        <f t="array" ref="GE98">IF(AND(ISNUMBER(MATCH(GE$2, AsistenciaJetAdminConcatenada!$A:$A, 0)), ISNUMBER(MATCH(GE$1, AsistenciaJetAdminConcatenada!$B:$B, 0)), ISNUMBER(SEARCH($A98,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ISNUMBER(SEARCH($A98, INDEX(AsistenciaJetAdminConcatenada!$D:$D, MATCH(1, (AsistenciaJetAdminConcatenada!$A:$A=GE$2)*(AsistenciaJetAdminConcatenada!$B:$B=GE$1), 0)), 1))),  0.5, 0))</f>
        <v>0</v>
      </c>
      <c r="GF98" s="47">
        <f t="array" ref="GF98">IF(AND(ISNUMBER(MATCH(GF$2, AsistenciaJetAdminConcatenada!$A:$A, 0)), ISNUMBER(MATCH(GF$1, AsistenciaJetAdminConcatenada!$B:$B, 0)), ISNUMBER(SEARCH($A98,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ISNUMBER(SEARCH($A98, INDEX(AsistenciaJetAdminConcatenada!$D:$D, MATCH(1, (AsistenciaJetAdminConcatenada!$A:$A=GF$2)*(AsistenciaJetAdminConcatenada!$B:$B=GF$1), 0)), 1))),  0.5, 0))</f>
        <v>0</v>
      </c>
      <c r="GG98" s="47">
        <f t="array" ref="GG98">IF(AND(ISNUMBER(MATCH(GG$2, AsistenciaJetAdminConcatenada!$A:$A, 0)), ISNUMBER(MATCH(GG$1, AsistenciaJetAdminConcatenada!$B:$B, 0)), ISNUMBER(SEARCH($A98,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ISNUMBER(SEARCH($A98, INDEX(AsistenciaJetAdminConcatenada!$D:$D, MATCH(1, (AsistenciaJetAdminConcatenada!$A:$A=GG$2)*(AsistenciaJetAdminConcatenada!$B:$B=GG$1), 0)), 1))),  0.5, 0))</f>
        <v>0</v>
      </c>
      <c r="GH98" s="47">
        <f t="array" ref="GH98">IF(AND(ISNUMBER(MATCH(GH$2, AsistenciaJetAdminConcatenada!$A:$A, 0)), ISNUMBER(MATCH(GH$1, AsistenciaJetAdminConcatenada!$B:$B, 0)), ISNUMBER(SEARCH($A98,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ISNUMBER(SEARCH($A98, INDEX(AsistenciaJetAdminConcatenada!$D:$D, MATCH(1, (AsistenciaJetAdminConcatenada!$A:$A=GH$2)*(AsistenciaJetAdminConcatenada!$B:$B=GH$1), 0)), 1))),  0.5, 0))</f>
        <v>0</v>
      </c>
      <c r="GI98" s="47">
        <f t="array" ref="GI98">IF(AND(ISNUMBER(MATCH(GI$2, AsistenciaJetAdminConcatenada!$A:$A, 0)), ISNUMBER(MATCH(GI$1, AsistenciaJetAdminConcatenada!$B:$B, 0)), ISNUMBER(SEARCH($A98,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ISNUMBER(SEARCH($A98, INDEX(AsistenciaJetAdminConcatenada!$D:$D, MATCH(1, (AsistenciaJetAdminConcatenada!$A:$A=GI$2)*(AsistenciaJetAdminConcatenada!$B:$B=GI$1), 0)), 1))),  0.5, 0))</f>
        <v>0</v>
      </c>
      <c r="GJ98" s="47">
        <f t="array" ref="GJ98">IF(AND(ISNUMBER(MATCH(GJ$2, AsistenciaJetAdminConcatenada!$A:$A, 0)), ISNUMBER(MATCH(GJ$1, AsistenciaJetAdminConcatenada!$B:$B, 0)), ISNUMBER(SEARCH($A98,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ISNUMBER(SEARCH($A98, INDEX(AsistenciaJetAdminConcatenada!$D:$D, MATCH(1, (AsistenciaJetAdminConcatenada!$A:$A=GJ$2)*(AsistenciaJetAdminConcatenada!$B:$B=GJ$1), 0)), 1))),  0.5, 0))</f>
        <v>0</v>
      </c>
      <c r="GK98" s="47">
        <f t="array" ref="GK98">IF(AND(ISNUMBER(MATCH(GK$2, AsistenciaJetAdminConcatenada!$A:$A, 0)), ISNUMBER(MATCH(GK$1, AsistenciaJetAdminConcatenada!$B:$B, 0)), ISNUMBER(SEARCH($A98,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ISNUMBER(SEARCH($A98, INDEX(AsistenciaJetAdminConcatenada!$D:$D, MATCH(1, (AsistenciaJetAdminConcatenada!$A:$A=GK$2)*(AsistenciaJetAdminConcatenada!$B:$B=GK$1), 0)), 1))),  0.5, 0))</f>
        <v>0</v>
      </c>
      <c r="GL98" s="47">
        <f t="array" ref="GL98">IF(AND(ISNUMBER(MATCH(GL$2, AsistenciaJetAdminConcatenada!$A:$A, 0)), ISNUMBER(MATCH(GL$1, AsistenciaJetAdminConcatenada!$B:$B, 0)), ISNUMBER(SEARCH($A98,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ISNUMBER(SEARCH($A98, INDEX(AsistenciaJetAdminConcatenada!$D:$D, MATCH(1, (AsistenciaJetAdminConcatenada!$A:$A=GL$2)*(AsistenciaJetAdminConcatenada!$B:$B=GL$1), 0)), 1))),  0.5, 0))</f>
        <v>0</v>
      </c>
      <c r="GM98" s="47">
        <f t="array" ref="GM98">IF(AND(ISNUMBER(MATCH(GM$2, AsistenciaJetAdminConcatenada!$A:$A, 0)), ISNUMBER(MATCH(GM$1, AsistenciaJetAdminConcatenada!$B:$B, 0)), ISNUMBER(SEARCH($A98,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ISNUMBER(SEARCH($A98, INDEX(AsistenciaJetAdminConcatenada!$D:$D, MATCH(1, (AsistenciaJetAdminConcatenada!$A:$A=GM$2)*(AsistenciaJetAdminConcatenada!$B:$B=GM$1), 0)), 1))),  0.5, 0))</f>
        <v>0</v>
      </c>
      <c r="GN98" s="47">
        <f t="array" ref="GN98">IF(AND(ISNUMBER(MATCH(GN$2, AsistenciaJetAdminConcatenada!$A:$A, 0)), ISNUMBER(MATCH(GN$1, AsistenciaJetAdminConcatenada!$B:$B, 0)), ISNUMBER(SEARCH($A98,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ISNUMBER(SEARCH($A98, INDEX(AsistenciaJetAdminConcatenada!$D:$D, MATCH(1, (AsistenciaJetAdminConcatenada!$A:$A=GN$2)*(AsistenciaJetAdminConcatenada!$B:$B=GN$1), 0)), 1))),  0.5, 0))</f>
        <v>0</v>
      </c>
      <c r="GO98" s="47">
        <f t="array" ref="GO98">IF(AND(ISNUMBER(MATCH(GO$2, AsistenciaJetAdminConcatenada!$A:$A, 0)), ISNUMBER(MATCH(GO$1, AsistenciaJetAdminConcatenada!$B:$B, 0)), ISNUMBER(SEARCH($A98,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ISNUMBER(SEARCH($A98, INDEX(AsistenciaJetAdminConcatenada!$D:$D, MATCH(1, (AsistenciaJetAdminConcatenada!$A:$A=GO$2)*(AsistenciaJetAdminConcatenada!$B:$B=GO$1), 0)), 1))),  0.5, 0))</f>
        <v>0</v>
      </c>
      <c r="GP98" s="47">
        <f t="array" ref="GP98">IF(AND(ISNUMBER(MATCH(GP$2, AsistenciaJetAdminConcatenada!$A:$A, 0)), ISNUMBER(MATCH(GP$1, AsistenciaJetAdminConcatenada!$B:$B, 0)), ISNUMBER(SEARCH($A98,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ISNUMBER(SEARCH($A98, INDEX(AsistenciaJetAdminConcatenada!$D:$D, MATCH(1, (AsistenciaJetAdminConcatenada!$A:$A=GP$2)*(AsistenciaJetAdminConcatenada!$B:$B=GP$1), 0)), 1))),  0.5, 0))</f>
        <v>0</v>
      </c>
      <c r="GQ98" s="47">
        <f t="array" ref="GQ98">IF(AND(ISNUMBER(MATCH(GQ$2, AsistenciaJetAdminConcatenada!$A:$A, 0)), ISNUMBER(MATCH(GQ$1, AsistenciaJetAdminConcatenada!$B:$B, 0)), ISNUMBER(SEARCH($A98,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ISNUMBER(SEARCH($A98, INDEX(AsistenciaJetAdminConcatenada!$D:$D, MATCH(1, (AsistenciaJetAdminConcatenada!$A:$A=GQ$2)*(AsistenciaJetAdminConcatenada!$B:$B=GQ$1), 0)), 1))),  0.5, 0))</f>
        <v>0</v>
      </c>
      <c r="GR98" s="47">
        <f t="array" ref="GR98">IF(AND(ISNUMBER(MATCH(GR$2, AsistenciaJetAdminConcatenada!$A:$A, 0)), ISNUMBER(MATCH(GR$1, AsistenciaJetAdminConcatenada!$B:$B, 0)), ISNUMBER(SEARCH($A98,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ISNUMBER(SEARCH($A98, INDEX(AsistenciaJetAdminConcatenada!$D:$D, MATCH(1, (AsistenciaJetAdminConcatenada!$A:$A=GR$2)*(AsistenciaJetAdminConcatenada!$B:$B=GR$1), 0)), 1))),  0.5, 0))</f>
        <v>0</v>
      </c>
      <c r="GS98" s="47">
        <f t="array" ref="GS98">IF(AND(ISNUMBER(MATCH(GS$2, AsistenciaJetAdminConcatenada!$A:$A, 0)), ISNUMBER(MATCH(GS$1, AsistenciaJetAdminConcatenada!$B:$B, 0)), ISNUMBER(SEARCH($A98,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ISNUMBER(SEARCH($A98, INDEX(AsistenciaJetAdminConcatenada!$D:$D, MATCH(1, (AsistenciaJetAdminConcatenada!$A:$A=GS$2)*(AsistenciaJetAdminConcatenada!$B:$B=GS$1), 0)), 1))),  0.5, 0))</f>
        <v>0</v>
      </c>
      <c r="GT98" s="47">
        <f t="array" ref="GT98">IF(AND(ISNUMBER(MATCH(GT$2, AsistenciaJetAdminConcatenada!$A:$A, 0)), ISNUMBER(MATCH(GT$1, AsistenciaJetAdminConcatenada!$B:$B, 0)), ISNUMBER(SEARCH($A98,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ISNUMBER(SEARCH($A98, INDEX(AsistenciaJetAdminConcatenada!$D:$D, MATCH(1, (AsistenciaJetAdminConcatenada!$A:$A=GT$2)*(AsistenciaJetAdminConcatenada!$B:$B=GT$1), 0)), 1))),  0.5, 0))</f>
        <v>0</v>
      </c>
      <c r="GU98" s="47">
        <f t="array" ref="GU98">IF(AND(ISNUMBER(MATCH(GU$2, AsistenciaJetAdminConcatenada!$A:$A, 0)), ISNUMBER(MATCH(GU$1, AsistenciaJetAdminConcatenada!$B:$B, 0)), ISNUMBER(SEARCH($A98,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ISNUMBER(SEARCH($A98, INDEX(AsistenciaJetAdminConcatenada!$D:$D, MATCH(1, (AsistenciaJetAdminConcatenada!$A:$A=GU$2)*(AsistenciaJetAdminConcatenada!$B:$B=GU$1), 0)), 1))),  0.5, 0))</f>
        <v>0</v>
      </c>
      <c r="GV98" s="47">
        <f t="array" ref="GV98">IF(AND(ISNUMBER(MATCH(GV$2, AsistenciaJetAdminConcatenada!$A:$A, 0)), ISNUMBER(MATCH(GV$1, AsistenciaJetAdminConcatenada!$B:$B, 0)), ISNUMBER(SEARCH($A98,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ISNUMBER(SEARCH($A98, INDEX(AsistenciaJetAdminConcatenada!$D:$D, MATCH(1, (AsistenciaJetAdminConcatenada!$A:$A=GV$2)*(AsistenciaJetAdminConcatenada!$B:$B=GV$1), 0)), 1))),  0.5, 0))</f>
        <v>0</v>
      </c>
      <c r="GW98" s="47">
        <f t="array" ref="GW98">IF(AND(ISNUMBER(MATCH(GW$2, AsistenciaJetAdminConcatenada!$A:$A, 0)), ISNUMBER(MATCH(GW$1, AsistenciaJetAdminConcatenada!$B:$B, 0)), ISNUMBER(SEARCH($A98,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ISNUMBER(SEARCH($A98, INDEX(AsistenciaJetAdminConcatenada!$D:$D, MATCH(1, (AsistenciaJetAdminConcatenada!$A:$A=GW$2)*(AsistenciaJetAdminConcatenada!$B:$B=GW$1), 0)), 1))),  0.5, 0))</f>
        <v>0</v>
      </c>
      <c r="GX98" s="47">
        <f t="array" ref="GX98">IF(AND(ISNUMBER(MATCH(GX$2, AsistenciaJetAdminConcatenada!$A:$A, 0)), ISNUMBER(MATCH(GX$1, AsistenciaJetAdminConcatenada!$B:$B, 0)), ISNUMBER(SEARCH($A98,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ISNUMBER(SEARCH($A98, INDEX(AsistenciaJetAdminConcatenada!$D:$D, MATCH(1, (AsistenciaJetAdminConcatenada!$A:$A=GX$2)*(AsistenciaJetAdminConcatenada!$B:$B=GX$1), 0)), 1))),  0.5, 0))</f>
        <v>0</v>
      </c>
      <c r="GY98" s="47">
        <f t="array" ref="GY98">IF(AND(ISNUMBER(MATCH(GY$2, AsistenciaJetAdminConcatenada!$A:$A, 0)), ISNUMBER(MATCH(GY$1, AsistenciaJetAdminConcatenada!$B:$B, 0)), ISNUMBER(SEARCH($A98,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ISNUMBER(SEARCH($A98, INDEX(AsistenciaJetAdminConcatenada!$D:$D, MATCH(1, (AsistenciaJetAdminConcatenada!$A:$A=GY$2)*(AsistenciaJetAdminConcatenada!$B:$B=GY$1), 0)), 1))),  0.5, 0))</f>
        <v>0</v>
      </c>
      <c r="GZ98" s="47">
        <f t="array" ref="GZ98">IF(AND(ISNUMBER(MATCH(GZ$2, AsistenciaJetAdminConcatenada!$A:$A, 0)), ISNUMBER(MATCH(GZ$1, AsistenciaJetAdminConcatenada!$B:$B, 0)), ISNUMBER(SEARCH($A98,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ISNUMBER(SEARCH($A98, INDEX(AsistenciaJetAdminConcatenada!$D:$D, MATCH(1, (AsistenciaJetAdminConcatenada!$A:$A=GZ$2)*(AsistenciaJetAdminConcatenada!$B:$B=GZ$1), 0)), 1))),  0.5, 0))</f>
        <v>0</v>
      </c>
      <c r="HA98" s="47">
        <f t="array" ref="HA98">IF(AND(ISNUMBER(MATCH(HA$2, AsistenciaJetAdminConcatenada!$A:$A, 0)), ISNUMBER(MATCH(HA$1, AsistenciaJetAdminConcatenada!$B:$B, 0)), ISNUMBER(SEARCH($A98,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ISNUMBER(SEARCH($A98, INDEX(AsistenciaJetAdminConcatenada!$D:$D, MATCH(1, (AsistenciaJetAdminConcatenada!$A:$A=HA$2)*(AsistenciaJetAdminConcatenada!$B:$B=HA$1), 0)), 1))),  0.5, 0))</f>
        <v>0</v>
      </c>
      <c r="HB98" s="47">
        <f t="array" ref="HB98">IF(AND(ISNUMBER(MATCH(HB$2, AsistenciaJetAdminConcatenada!$A:$A, 0)), ISNUMBER(MATCH(HB$1, AsistenciaJetAdminConcatenada!$B:$B, 0)), ISNUMBER(SEARCH($A98,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ISNUMBER(SEARCH($A98, INDEX(AsistenciaJetAdminConcatenada!$D:$D, MATCH(1, (AsistenciaJetAdminConcatenada!$A:$A=HB$2)*(AsistenciaJetAdminConcatenada!$B:$B=HB$1), 0)), 1))),  0.5, 0))</f>
        <v>0</v>
      </c>
      <c r="HC98" s="47">
        <f t="array" ref="HC98">IF(AND(ISNUMBER(MATCH(HC$2, AsistenciaJetAdminConcatenada!$A:$A, 0)), ISNUMBER(MATCH(HC$1, AsistenciaJetAdminConcatenada!$B:$B, 0)), ISNUMBER(SEARCH($A98,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ISNUMBER(SEARCH($A98, INDEX(AsistenciaJetAdminConcatenada!$D:$D, MATCH(1, (AsistenciaJetAdminConcatenada!$A:$A=HC$2)*(AsistenciaJetAdminConcatenada!$B:$B=HC$1), 0)), 1))),  0.5, 0))</f>
        <v>0</v>
      </c>
    </row>
    <row r="99" ht="29.25" customHeight="1">
      <c r="A99" s="3">
        <v>109.0</v>
      </c>
      <c r="B99" s="4" t="s">
        <v>600</v>
      </c>
      <c r="C99" s="47">
        <f>SUM(D99:HC99) + ActividadesEspeciales!C99</f>
        <v>37.5</v>
      </c>
      <c r="D99" s="47">
        <f t="array" ref="D99">IF(AND(ISNUMBER(MATCH(D$2, AsistenciaJetAdminConcatenada!$A:$A, 0)), ISNUMBER(MATCH(D$1, AsistenciaJetAdminConcatenada!$B:$B, 0)), ISNUMBER(SEARCH($A99,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ISNUMBER(SEARCH($A99, INDEX(AsistenciaJetAdminConcatenada!$D:$D, MATCH(1, (AsistenciaJetAdminConcatenada!$A:$A=D$2)*(AsistenciaJetAdminConcatenada!$B:$B=D$1), 0)), 1))),  0.5, 0))</f>
        <v>0</v>
      </c>
      <c r="E99" s="47">
        <f t="array" ref="E99">IF(AND(ISNUMBER(MATCH(E$2, AsistenciaJetAdminConcatenada!$A:$A, 0)), ISNUMBER(MATCH(E$1, AsistenciaJetAdminConcatenada!$B:$B, 0)), ISNUMBER(SEARCH($A99,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ISNUMBER(SEARCH($A99, INDEX(AsistenciaJetAdminConcatenada!$D:$D, MATCH(1, (AsistenciaJetAdminConcatenada!$A:$A=E$2)*(AsistenciaJetAdminConcatenada!$B:$B=E$1), 0)), 1))),  0.5, 0))</f>
        <v>0</v>
      </c>
      <c r="F99" s="47">
        <f t="array" ref="F99">IF(AND(ISNUMBER(MATCH(F$2, AsistenciaJetAdminConcatenada!$A:$A, 0)), ISNUMBER(MATCH(F$1, AsistenciaJetAdminConcatenada!$B:$B, 0)), ISNUMBER(SEARCH($A99,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ISNUMBER(SEARCH($A99, INDEX(AsistenciaJetAdminConcatenada!$D:$D, MATCH(1, (AsistenciaJetAdminConcatenada!$A:$A=F$2)*(AsistenciaJetAdminConcatenada!$B:$B=F$1), 0)), 1))),  0.5, 0))</f>
        <v>0</v>
      </c>
      <c r="G99" s="47">
        <f t="array" ref="G99">IF(AND(ISNUMBER(MATCH(G$2, AsistenciaJetAdminConcatenada!$A:$A, 0)), ISNUMBER(MATCH(G$1, AsistenciaJetAdminConcatenada!$B:$B, 0)), ISNUMBER(SEARCH($A99,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ISNUMBER(SEARCH($A99, INDEX(AsistenciaJetAdminConcatenada!$D:$D, MATCH(1, (AsistenciaJetAdminConcatenada!$A:$A=G$2)*(AsistenciaJetAdminConcatenada!$B:$B=G$1), 0)), 1))),  0.5, 0))</f>
        <v>0</v>
      </c>
      <c r="H99" s="8">
        <v>1.0</v>
      </c>
      <c r="I99" s="8">
        <v>1.0</v>
      </c>
      <c r="J99" s="8">
        <v>1.0</v>
      </c>
      <c r="K99" s="8">
        <v>1.0</v>
      </c>
      <c r="L99" s="47">
        <f t="array" ref="L99">IF(AND(ISNUMBER(MATCH(L$2, AsistenciaJetAdminConcatenada!$A:$A, 0)), ISNUMBER(MATCH(L$1, AsistenciaJetAdminConcatenada!$B:$B, 0)), ISNUMBER(SEARCH($A99,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ISNUMBER(SEARCH($A99, INDEX(AsistenciaJetAdminConcatenada!$D:$D, MATCH(1, (AsistenciaJetAdminConcatenada!$A:$A=L$2)*(AsistenciaJetAdminConcatenada!$B:$B=L$1), 0)), 1))),  0.5, 0))</f>
        <v>0</v>
      </c>
      <c r="M99" s="47">
        <f t="array" ref="M99">IF(AND(ISNUMBER(MATCH(M$2, AsistenciaJetAdminConcatenada!$A:$A, 0)), ISNUMBER(MATCH(M$1, AsistenciaJetAdminConcatenada!$B:$B, 0)), ISNUMBER(SEARCH($A99,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ISNUMBER(SEARCH($A99, INDEX(AsistenciaJetAdminConcatenada!$D:$D, MATCH(1, (AsistenciaJetAdminConcatenada!$A:$A=M$2)*(AsistenciaJetAdminConcatenada!$B:$B=M$1), 0)), 1))),  0.5, 0))</f>
        <v>0</v>
      </c>
      <c r="N99" s="47">
        <f t="array" ref="N99">IF(AND(ISNUMBER(MATCH(N$2, AsistenciaJetAdminConcatenada!$A:$A, 0)), ISNUMBER(MATCH(N$1, AsistenciaJetAdminConcatenada!$B:$B, 0)), ISNUMBER(SEARCH($A99,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ISNUMBER(SEARCH($A99, INDEX(AsistenciaJetAdminConcatenada!$D:$D, MATCH(1, (AsistenciaJetAdminConcatenada!$A:$A=N$2)*(AsistenciaJetAdminConcatenada!$B:$B=N$1), 0)), 1))),  0.5, 0))</f>
        <v>0</v>
      </c>
      <c r="O99" s="47">
        <f t="array" ref="O99">IF(AND(ISNUMBER(MATCH(O$2, AsistenciaJetAdminConcatenada!$A:$A, 0)), ISNUMBER(MATCH(O$1, AsistenciaJetAdminConcatenada!$B:$B, 0)), ISNUMBER(SEARCH($A99,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ISNUMBER(SEARCH($A99, INDEX(AsistenciaJetAdminConcatenada!$D:$D, MATCH(1, (AsistenciaJetAdminConcatenada!$A:$A=O$2)*(AsistenciaJetAdminConcatenada!$B:$B=O$1), 0)), 1))),  0.5, 0))</f>
        <v>1</v>
      </c>
      <c r="P99" s="47">
        <f t="array" ref="P99">IF(AND(ISNUMBER(MATCH(P$2, AsistenciaJetAdminConcatenada!$A:$A, 0)), ISNUMBER(MATCH(P$1, AsistenciaJetAdminConcatenada!$B:$B, 0)), ISNUMBER(SEARCH($A99, INDEX(AsistenciaJetAdminConcatenada!$C:$C, MATCH(1, (AsistenciaJetAdminConcatenada!$A:$A=P$2)*(AsistenciaJetAdminConcatenada!$B:$B=P$1), 0)), 1))), 1, IF(AND(ISNUMBER(MATCH(P$2, AsistenciaJetAdminConcatenada!$A:$A, 0)), ISNUMBER(MATCH(P$1, AsistenciaJetAdminConcatenada!$B:$B, 0)), ISNUMBER(SEARCH($A99, INDEX(AsistenciaJetAdminConcatenada!$D:$D, MATCH(1, (AsistenciaJetAdminConcatenada!$A:$A=P$2)*(AsistenciaJetAdminConcatenada!$B:$B=P$1), 0)), 1))),  0.5, 0))</f>
        <v>0</v>
      </c>
      <c r="Q99" s="47">
        <f t="array" ref="Q99">IF(AND(ISNUMBER(MATCH(Q$2, AsistenciaJetAdminConcatenada!$A:$A, 0)), ISNUMBER(MATCH(Q$1, AsistenciaJetAdminConcatenada!$B:$B, 0)), ISNUMBER(SEARCH($A99, INDEX(AsistenciaJetAdminConcatenada!$C:$C, MATCH(1, (AsistenciaJetAdminConcatenada!$A:$A=Q$2)*(AsistenciaJetAdminConcatenada!$B:$B=Q$1), 0)), 1))), 1, IF(AND(ISNUMBER(MATCH(Q$2, AsistenciaJetAdminConcatenada!$A:$A, 0)), ISNUMBER(MATCH(Q$1, AsistenciaJetAdminConcatenada!$B:$B, 0)), ISNUMBER(SEARCH($A99, INDEX(AsistenciaJetAdminConcatenada!$D:$D, MATCH(1, (AsistenciaJetAdminConcatenada!$A:$A=Q$2)*(AsistenciaJetAdminConcatenada!$B:$B=Q$1), 0)), 1))),  0.5, 0))</f>
        <v>0</v>
      </c>
      <c r="R99" s="47">
        <f t="array" ref="R99">IF(AND(ISNUMBER(MATCH(R$2, AsistenciaJetAdminConcatenada!$A:$A, 0)), ISNUMBER(MATCH(R$1, AsistenciaJetAdminConcatenada!$B:$B, 0)), ISNUMBER(SEARCH($A99,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ISNUMBER(SEARCH($A99, INDEX(AsistenciaJetAdminConcatenada!$D:$D, MATCH(1, (AsistenciaJetAdminConcatenada!$A:$A=R$2)*(AsistenciaJetAdminConcatenada!$B:$B=R$1), 0)), 1))),  0.5, 0))</f>
        <v>1</v>
      </c>
      <c r="S99" s="47">
        <f t="array" ref="S99">IF(AND(ISNUMBER(MATCH(S$2, AsistenciaJetAdminConcatenada!$A:$A, 0)), ISNUMBER(MATCH(S$1, AsistenciaJetAdminConcatenada!$B:$B, 0)), ISNUMBER(SEARCH($A99,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ISNUMBER(SEARCH($A99, INDEX(AsistenciaJetAdminConcatenada!$D:$D, MATCH(1, (AsistenciaJetAdminConcatenada!$A:$A=S$2)*(AsistenciaJetAdminConcatenada!$B:$B=S$1), 0)), 1))),  0.5, 0))</f>
        <v>1</v>
      </c>
      <c r="T99" s="47">
        <f t="array" ref="T99">IF(AND(ISNUMBER(MATCH(T$2, AsistenciaJetAdminConcatenada!$A:$A, 0)), ISNUMBER(MATCH(T$1, AsistenciaJetAdminConcatenada!$B:$B, 0)), ISNUMBER(SEARCH($A99,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ISNUMBER(SEARCH($A99, INDEX(AsistenciaJetAdminConcatenada!$D:$D, MATCH(1, (AsistenciaJetAdminConcatenada!$A:$A=T$2)*(AsistenciaJetAdminConcatenada!$B:$B=T$1), 0)), 1))),  0.5, 0))</f>
        <v>0</v>
      </c>
      <c r="U99" s="47">
        <f t="array" ref="U99">IF(AND(ISNUMBER(MATCH(U$2, AsistenciaJetAdminConcatenada!$A:$A, 0)), ISNUMBER(MATCH(U$1, AsistenciaJetAdminConcatenada!$B:$B, 0)), ISNUMBER(SEARCH($A99,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ISNUMBER(SEARCH($A99, INDEX(AsistenciaJetAdminConcatenada!$D:$D, MATCH(1, (AsistenciaJetAdminConcatenada!$A:$A=U$2)*(AsistenciaJetAdminConcatenada!$B:$B=U$1), 0)), 1))),  0.5, 0))</f>
        <v>1</v>
      </c>
      <c r="V99" s="47">
        <f t="array" ref="V99">IF(AND(ISNUMBER(MATCH(V$2, AsistenciaJetAdminConcatenada!$A:$A, 0)), ISNUMBER(MATCH(V$1, AsistenciaJetAdminConcatenada!$B:$B, 0)), ISNUMBER(SEARCH($A99,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ISNUMBER(SEARCH($A99, INDEX(AsistenciaJetAdminConcatenada!$D:$D, MATCH(1, (AsistenciaJetAdminConcatenada!$A:$A=V$2)*(AsistenciaJetAdminConcatenada!$B:$B=V$1), 0)), 1))),  0.5, 0))</f>
        <v>0</v>
      </c>
      <c r="W99" s="47">
        <f t="array" ref="W99">IF(AND(ISNUMBER(MATCH(W$2, AsistenciaJetAdminConcatenada!$A:$A, 0)), ISNUMBER(MATCH(W$1, AsistenciaJetAdminConcatenada!$B:$B, 0)), ISNUMBER(SEARCH($A99,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ISNUMBER(SEARCH($A99, INDEX(AsistenciaJetAdminConcatenada!$D:$D, MATCH(1, (AsistenciaJetAdminConcatenada!$A:$A=W$2)*(AsistenciaJetAdminConcatenada!$B:$B=W$1), 0)), 1))),  0.5, 0))</f>
        <v>1</v>
      </c>
      <c r="X99" s="47">
        <f t="array" ref="X99">IF(AND(ISNUMBER(MATCH(X$2, AsistenciaJetAdminConcatenada!$A:$A, 0)), ISNUMBER(MATCH(X$1, AsistenciaJetAdminConcatenada!$B:$B, 0)), ISNUMBER(SEARCH($A99,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ISNUMBER(SEARCH($A99, INDEX(AsistenciaJetAdminConcatenada!$D:$D, MATCH(1, (AsistenciaJetAdminConcatenada!$A:$A=X$2)*(AsistenciaJetAdminConcatenada!$B:$B=X$1), 0)), 1))),  0.5, 0))</f>
        <v>1</v>
      </c>
      <c r="Y99" s="47">
        <f t="array" ref="Y99">IF(AND(ISNUMBER(MATCH(Y$2, AsistenciaJetAdminConcatenada!$A:$A, 0)), ISNUMBER(MATCH(Y$1, AsistenciaJetAdminConcatenada!$B:$B, 0)), ISNUMBER(SEARCH($A99,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ISNUMBER(SEARCH($A99, INDEX(AsistenciaJetAdminConcatenada!$D:$D, MATCH(1, (AsistenciaJetAdminConcatenada!$A:$A=Y$2)*(AsistenciaJetAdminConcatenada!$B:$B=Y$1), 0)), 1))),  0.5, 0))</f>
        <v>0.5</v>
      </c>
      <c r="Z99" s="47">
        <f t="array" ref="Z99">IF(AND(ISNUMBER(MATCH(Z$2, AsistenciaJetAdminConcatenada!$A:$A, 0)), ISNUMBER(MATCH(Z$1, AsistenciaJetAdminConcatenada!$B:$B, 0)), ISNUMBER(SEARCH($A99,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ISNUMBER(SEARCH($A99, INDEX(AsistenciaJetAdminConcatenada!$D:$D, MATCH(1, (AsistenciaJetAdminConcatenada!$A:$A=Z$2)*(AsistenciaJetAdminConcatenada!$B:$B=Z$1), 0)), 1))),  0.5, 0))</f>
        <v>0.5</v>
      </c>
      <c r="AA99" s="47">
        <f t="array" ref="AA99">IF(AND(ISNUMBER(MATCH(AA$2, AsistenciaJetAdminConcatenada!$A:$A, 0)), ISNUMBER(MATCH(AA$1, AsistenciaJetAdminConcatenada!$B:$B, 0)), ISNUMBER(SEARCH($A99,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ISNUMBER(SEARCH($A99, INDEX(AsistenciaJetAdminConcatenada!$D:$D, MATCH(1, (AsistenciaJetAdminConcatenada!$A:$A=AA$2)*(AsistenciaJetAdminConcatenada!$B:$B=AA$1), 0)), 1))),  0.5, 0))</f>
        <v>0</v>
      </c>
      <c r="AB99" s="47">
        <f t="array" ref="AB99">IF(AND(ISNUMBER(MATCH(AB$2, AsistenciaJetAdminConcatenada!$A:$A, 0)), ISNUMBER(MATCH(AB$1, AsistenciaJetAdminConcatenada!$B:$B, 0)), ISNUMBER(SEARCH($A99,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ISNUMBER(SEARCH($A99, INDEX(AsistenciaJetAdminConcatenada!$D:$D, MATCH(1, (AsistenciaJetAdminConcatenada!$A:$A=AB$2)*(AsistenciaJetAdminConcatenada!$B:$B=AB$1), 0)), 1))),  0.5, 0))</f>
        <v>1</v>
      </c>
      <c r="AC99" s="47">
        <f t="array" ref="AC99">IF(AND(ISNUMBER(MATCH(AC$2, AsistenciaJetAdminConcatenada!$A:$A, 0)), ISNUMBER(MATCH(AC$1, AsistenciaJetAdminConcatenada!$B:$B, 0)), ISNUMBER(SEARCH($A99,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ISNUMBER(SEARCH($A99, INDEX(AsistenciaJetAdminConcatenada!$D:$D, MATCH(1, (AsistenciaJetAdminConcatenada!$A:$A=AC$2)*(AsistenciaJetAdminConcatenada!$B:$B=AC$1), 0)), 1))),  0.5, 0))</f>
        <v>1</v>
      </c>
      <c r="AD99" s="47">
        <f t="array" ref="AD99">IF(AND(ISNUMBER(MATCH(AD$2, AsistenciaJetAdminConcatenada!$A:$A, 0)), ISNUMBER(MATCH(AD$1, AsistenciaJetAdminConcatenada!$B:$B, 0)), ISNUMBER(SEARCH($A99,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ISNUMBER(SEARCH($A99, INDEX(AsistenciaJetAdminConcatenada!$D:$D, MATCH(1, (AsistenciaJetAdminConcatenada!$A:$A=AD$2)*(AsistenciaJetAdminConcatenada!$B:$B=AD$1), 0)), 1))),  0.5, 0))</f>
        <v>0</v>
      </c>
      <c r="AE99" s="47">
        <f t="array" ref="AE99">IF(AND(ISNUMBER(MATCH(AE$2, AsistenciaJetAdminConcatenada!$A:$A, 0)), ISNUMBER(MATCH(AE$1, AsistenciaJetAdminConcatenada!$B:$B, 0)), ISNUMBER(SEARCH($A99,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ISNUMBER(SEARCH($A99, INDEX(AsistenciaJetAdminConcatenada!$D:$D, MATCH(1, (AsistenciaJetAdminConcatenada!$A:$A=AE$2)*(AsistenciaJetAdminConcatenada!$B:$B=AE$1), 0)), 1))),  0.5, 0))</f>
        <v>0</v>
      </c>
      <c r="AF99" s="47">
        <f t="array" ref="AF99">IF(AND(ISNUMBER(MATCH(AF$2, AsistenciaJetAdminConcatenada!$A:$A, 0)), ISNUMBER(MATCH(AF$1, AsistenciaJetAdminConcatenada!$B:$B, 0)), ISNUMBER(SEARCH($A99,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ISNUMBER(SEARCH($A99, INDEX(AsistenciaJetAdminConcatenada!$D:$D, MATCH(1, (AsistenciaJetAdminConcatenada!$A:$A=AF$2)*(AsistenciaJetAdminConcatenada!$B:$B=AF$1), 0)), 1))),  0.5, 0))</f>
        <v>0</v>
      </c>
      <c r="AG99" s="47">
        <f t="array" ref="AG99">IF(AND(ISNUMBER(MATCH(AG$2, AsistenciaJetAdminConcatenada!$A:$A, 0)), ISNUMBER(MATCH(AG$1, AsistenciaJetAdminConcatenada!$B:$B, 0)), ISNUMBER(SEARCH($A99,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ISNUMBER(SEARCH($A99, INDEX(AsistenciaJetAdminConcatenada!$D:$D, MATCH(1, (AsistenciaJetAdminConcatenada!$A:$A=AG$2)*(AsistenciaJetAdminConcatenada!$B:$B=AG$1), 0)), 1))),  0.5, 0))</f>
        <v>0</v>
      </c>
      <c r="AH99" s="47">
        <f t="array" ref="AH99">IF(AND(ISNUMBER(MATCH(AH$2, AsistenciaJetAdminConcatenada!$A:$A, 0)), ISNUMBER(MATCH(AH$1, AsistenciaJetAdminConcatenada!$B:$B, 0)), ISNUMBER(SEARCH($A99,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ISNUMBER(SEARCH($A99, INDEX(AsistenciaJetAdminConcatenada!$D:$D, MATCH(1, (AsistenciaJetAdminConcatenada!$A:$A=AH$2)*(AsistenciaJetAdminConcatenada!$B:$B=AH$1), 0)), 1))),  0.5, 0))</f>
        <v>0</v>
      </c>
      <c r="AI99" s="47">
        <f t="array" ref="AI99">IF(AND(ISNUMBER(MATCH(AI$2, AsistenciaJetAdminConcatenada!$A:$A, 0)), ISNUMBER(MATCH(AI$1, AsistenciaJetAdminConcatenada!$B:$B, 0)), ISNUMBER(SEARCH($A99,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ISNUMBER(SEARCH($A99, INDEX(AsistenciaJetAdminConcatenada!$D:$D, MATCH(1, (AsistenciaJetAdminConcatenada!$A:$A=AI$2)*(AsistenciaJetAdminConcatenada!$B:$B=AI$1), 0)), 1))),  0.5, 0))</f>
        <v>1</v>
      </c>
      <c r="AJ99" s="47">
        <f t="array" ref="AJ99">IF(AND(ISNUMBER(MATCH(AJ$2, AsistenciaJetAdminConcatenada!$A:$A, 0)), ISNUMBER(MATCH(AJ$1, AsistenciaJetAdminConcatenada!$B:$B, 0)), ISNUMBER(SEARCH($A99,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ISNUMBER(SEARCH($A99, INDEX(AsistenciaJetAdminConcatenada!$D:$D, MATCH(1, (AsistenciaJetAdminConcatenada!$A:$A=AJ$2)*(AsistenciaJetAdminConcatenada!$B:$B=AJ$1), 0)), 1))),  0.5, 0))</f>
        <v>0</v>
      </c>
      <c r="AK99" s="47">
        <f t="array" ref="AK99">IF(AND(ISNUMBER(MATCH(AK$2, AsistenciaJetAdminConcatenada!$A:$A, 0)), ISNUMBER(MATCH(AK$1, AsistenciaJetAdminConcatenada!$B:$B, 0)), ISNUMBER(SEARCH($A99,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ISNUMBER(SEARCH($A99, INDEX(AsistenciaJetAdminConcatenada!$D:$D, MATCH(1, (AsistenciaJetAdminConcatenada!$A:$A=AK$2)*(AsistenciaJetAdminConcatenada!$B:$B=AK$1), 0)), 1))),  0.5, 0))</f>
        <v>1</v>
      </c>
      <c r="AL99" s="47">
        <f t="array" ref="AL99">IF(AND(ISNUMBER(MATCH(AL$2, AsistenciaJetAdminConcatenada!$A:$A, 0)), ISNUMBER(MATCH(AL$1, AsistenciaJetAdminConcatenada!$B:$B, 0)), ISNUMBER(SEARCH($A99,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ISNUMBER(SEARCH($A99, INDEX(AsistenciaJetAdminConcatenada!$D:$D, MATCH(1, (AsistenciaJetAdminConcatenada!$A:$A=AL$2)*(AsistenciaJetAdminConcatenada!$B:$B=AL$1), 0)), 1))),  0.5, 0))</f>
        <v>0</v>
      </c>
      <c r="AM99" s="47">
        <f t="array" ref="AM99">IF(AND(ISNUMBER(MATCH(AM$2, AsistenciaJetAdminConcatenada!$A:$A, 0)), ISNUMBER(MATCH(AM$1, AsistenciaJetAdminConcatenada!$B:$B, 0)), ISNUMBER(SEARCH($A99,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ISNUMBER(SEARCH($A99, INDEX(AsistenciaJetAdminConcatenada!$D:$D, MATCH(1, (AsistenciaJetAdminConcatenada!$A:$A=AM$2)*(AsistenciaJetAdminConcatenada!$B:$B=AM$1), 0)), 1))),  0.5, 0))</f>
        <v>0</v>
      </c>
      <c r="AN99" s="47">
        <f t="array" ref="AN99">IF(AND(ISNUMBER(MATCH(AN$2, AsistenciaJetAdminConcatenada!$A:$A, 0)), ISNUMBER(MATCH(AN$1, AsistenciaJetAdminConcatenada!$B:$B, 0)), ISNUMBER(SEARCH($A99,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ISNUMBER(SEARCH($A99, INDEX(AsistenciaJetAdminConcatenada!$D:$D, MATCH(1, (AsistenciaJetAdminConcatenada!$A:$A=AN$2)*(AsistenciaJetAdminConcatenada!$B:$B=AN$1), 0)), 1))),  0.5, 0))</f>
        <v>0</v>
      </c>
      <c r="AO99" s="47">
        <f t="array" ref="AO99">IF(AND(ISNUMBER(MATCH(AO$2, AsistenciaJetAdminConcatenada!$A:$A, 0)), ISNUMBER(MATCH(AO$1, AsistenciaJetAdminConcatenada!$B:$B, 0)), ISNUMBER(SEARCH($A99,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ISNUMBER(SEARCH($A99, INDEX(AsistenciaJetAdminConcatenada!$D:$D, MATCH(1, (AsistenciaJetAdminConcatenada!$A:$A=AO$2)*(AsistenciaJetAdminConcatenada!$B:$B=AO$1), 0)), 1))),  0.5, 0))</f>
        <v>0</v>
      </c>
      <c r="AP99" s="47">
        <f t="array" ref="AP99">IF(AND(ISNUMBER(MATCH(AP$2, AsistenciaJetAdminConcatenada!$A:$A, 0)), ISNUMBER(MATCH(AP$1, AsistenciaJetAdminConcatenada!$B:$B, 0)), ISNUMBER(SEARCH($A99,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ISNUMBER(SEARCH($A99, INDEX(AsistenciaJetAdminConcatenada!$D:$D, MATCH(1, (AsistenciaJetAdminConcatenada!$A:$A=AP$2)*(AsistenciaJetAdminConcatenada!$B:$B=AP$1), 0)), 1))),  0.5, 0))</f>
        <v>0</v>
      </c>
      <c r="AQ99" s="47">
        <f t="array" ref="AQ99">IF(AND(ISNUMBER(MATCH(AQ$2, AsistenciaJetAdminConcatenada!$A:$A, 0)), ISNUMBER(MATCH(AQ$1, AsistenciaJetAdminConcatenada!$B:$B, 0)), ISNUMBER(SEARCH($A99,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ISNUMBER(SEARCH($A99, INDEX(AsistenciaJetAdminConcatenada!$D:$D, MATCH(1, (AsistenciaJetAdminConcatenada!$A:$A=AQ$2)*(AsistenciaJetAdminConcatenada!$B:$B=AQ$1), 0)), 1))),  0.5, 0))</f>
        <v>0</v>
      </c>
      <c r="AR99" s="47">
        <f t="array" ref="AR99">IF(AND(ISNUMBER(MATCH(AR$2, AsistenciaJetAdminConcatenada!$A:$A, 0)), ISNUMBER(MATCH(AR$1, AsistenciaJetAdminConcatenada!$B:$B, 0)), ISNUMBER(SEARCH($A99,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ISNUMBER(SEARCH($A99, INDEX(AsistenciaJetAdminConcatenada!$D:$D, MATCH(1, (AsistenciaJetAdminConcatenada!$A:$A=AR$2)*(AsistenciaJetAdminConcatenada!$B:$B=AR$1), 0)), 1))),  0.5, 0))</f>
        <v>1</v>
      </c>
      <c r="AS99" s="47">
        <f t="array" ref="AS99">IF(AND(ISNUMBER(MATCH(AS$2, AsistenciaJetAdminConcatenada!$A:$A, 0)), ISNUMBER(MATCH(AS$1, AsistenciaJetAdminConcatenada!$B:$B, 0)), ISNUMBER(SEARCH($A99,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ISNUMBER(SEARCH($A99, INDEX(AsistenciaJetAdminConcatenada!$D:$D, MATCH(1, (AsistenciaJetAdminConcatenada!$A:$A=AS$2)*(AsistenciaJetAdminConcatenada!$B:$B=AS$1), 0)), 1))),  0.5, 0))</f>
        <v>0</v>
      </c>
      <c r="AT99" s="47">
        <f t="array" ref="AT99">IF(AND(ISNUMBER(MATCH(AT$2, AsistenciaJetAdminConcatenada!$A:$A, 0)), ISNUMBER(MATCH(AT$1, AsistenciaJetAdminConcatenada!$B:$B, 0)), ISNUMBER(SEARCH($A99,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ISNUMBER(SEARCH($A99, INDEX(AsistenciaJetAdminConcatenada!$D:$D, MATCH(1, (AsistenciaJetAdminConcatenada!$A:$A=AT$2)*(AsistenciaJetAdminConcatenada!$B:$B=AT$1), 0)), 1))),  0.5, 0))</f>
        <v>0</v>
      </c>
      <c r="AU99" s="47">
        <f t="array" ref="AU99">IF(AND(ISNUMBER(MATCH(AU$2, AsistenciaJetAdminConcatenada!$A:$A, 0)), ISNUMBER(MATCH(AU$1, AsistenciaJetAdminConcatenada!$B:$B, 0)), ISNUMBER(SEARCH($A99,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ISNUMBER(SEARCH($A99, INDEX(AsistenciaJetAdminConcatenada!$D:$D, MATCH(1, (AsistenciaJetAdminConcatenada!$A:$A=AU$2)*(AsistenciaJetAdminConcatenada!$B:$B=AU$1), 0)), 1))),  0.5, 0))</f>
        <v>0</v>
      </c>
      <c r="AV99" s="47">
        <f t="array" ref="AV99">IF(AND(ISNUMBER(MATCH(AV$2, AsistenciaJetAdminConcatenada!$A:$A, 0)), ISNUMBER(MATCH(AV$1, AsistenciaJetAdminConcatenada!$B:$B, 0)), ISNUMBER(SEARCH($A99,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ISNUMBER(SEARCH($A99, INDEX(AsistenciaJetAdminConcatenada!$D:$D, MATCH(1, (AsistenciaJetAdminConcatenada!$A:$A=AV$2)*(AsistenciaJetAdminConcatenada!$B:$B=AV$1), 0)), 1))),  0.5, 0))</f>
        <v>1</v>
      </c>
      <c r="AW99" s="47">
        <f t="array" ref="AW99">IF(AND(ISNUMBER(MATCH(AW$2, AsistenciaJetAdminConcatenada!$A:$A, 0)), ISNUMBER(MATCH(AW$1, AsistenciaJetAdminConcatenada!$B:$B, 0)), ISNUMBER(SEARCH($A99,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ISNUMBER(SEARCH($A99, INDEX(AsistenciaJetAdminConcatenada!$D:$D, MATCH(1, (AsistenciaJetAdminConcatenada!$A:$A=AW$2)*(AsistenciaJetAdminConcatenada!$B:$B=AW$1), 0)), 1))),  0.5, 0))</f>
        <v>0</v>
      </c>
      <c r="AX99" s="47">
        <f t="array" ref="AX99">IF(AND(ISNUMBER(MATCH(AX$2, AsistenciaJetAdminConcatenada!$A:$A, 0)), ISNUMBER(MATCH(AX$1, AsistenciaJetAdminConcatenada!$B:$B, 0)), ISNUMBER(SEARCH($A99,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ISNUMBER(SEARCH($A99, INDEX(AsistenciaJetAdminConcatenada!$D:$D, MATCH(1, (AsistenciaJetAdminConcatenada!$A:$A=AX$2)*(AsistenciaJetAdminConcatenada!$B:$B=AX$1), 0)), 1))),  0.5, 0))</f>
        <v>0</v>
      </c>
      <c r="AY99" s="47">
        <f t="array" ref="AY99">IF(AND(ISNUMBER(MATCH(AY$2, AsistenciaJetAdminConcatenada!$A:$A, 0)), ISNUMBER(MATCH(AY$1, AsistenciaJetAdminConcatenada!$B:$B, 0)), ISNUMBER(SEARCH($A99,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ISNUMBER(SEARCH($A99, INDEX(AsistenciaJetAdminConcatenada!$D:$D, MATCH(1, (AsistenciaJetAdminConcatenada!$A:$A=AY$2)*(AsistenciaJetAdminConcatenada!$B:$B=AY$1), 0)), 1))),  0.5, 0))</f>
        <v>1</v>
      </c>
      <c r="AZ99" s="47">
        <f t="array" ref="AZ99">IF(AND(ISNUMBER(MATCH(AZ$2, AsistenciaJetAdminConcatenada!$A:$A, 0)), ISNUMBER(MATCH(AZ$1, AsistenciaJetAdminConcatenada!$B:$B, 0)), ISNUMBER(SEARCH($A99,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ISNUMBER(SEARCH($A99, INDEX(AsistenciaJetAdminConcatenada!$D:$D, MATCH(1, (AsistenciaJetAdminConcatenada!$A:$A=AZ$2)*(AsistenciaJetAdminConcatenada!$B:$B=AZ$1), 0)), 1))),  0.5, 0))</f>
        <v>0</v>
      </c>
      <c r="BA99" s="47">
        <f t="array" ref="BA99">IF(AND(ISNUMBER(MATCH(BA$2, AsistenciaJetAdminConcatenada!$A:$A, 0)), ISNUMBER(MATCH(BA$1, AsistenciaJetAdminConcatenada!$B:$B, 0)), ISNUMBER(SEARCH($A99,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ISNUMBER(SEARCH($A99, INDEX(AsistenciaJetAdminConcatenada!$D:$D, MATCH(1, (AsistenciaJetAdminConcatenada!$A:$A=BA$2)*(AsistenciaJetAdminConcatenada!$B:$B=BA$1), 0)), 1))),  0.5, 0))</f>
        <v>0</v>
      </c>
      <c r="BB99" s="47">
        <f t="array" ref="BB99">IF(AND(ISNUMBER(MATCH(BB$2, AsistenciaJetAdminConcatenada!$A:$A, 0)), ISNUMBER(MATCH(BB$1, AsistenciaJetAdminConcatenada!$B:$B, 0)), ISNUMBER(SEARCH($A99,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ISNUMBER(SEARCH($A99, INDEX(AsistenciaJetAdminConcatenada!$D:$D, MATCH(1, (AsistenciaJetAdminConcatenada!$A:$A=BB$2)*(AsistenciaJetAdminConcatenada!$B:$B=BB$1), 0)), 1))),  0.5, 0))</f>
        <v>0.5</v>
      </c>
      <c r="BC99" s="47">
        <f t="array" ref="BC99">IF(AND(ISNUMBER(MATCH(BC$2, AsistenciaJetAdminConcatenada!$A:$A, 0)), ISNUMBER(MATCH(BC$1, AsistenciaJetAdminConcatenada!$B:$B, 0)), ISNUMBER(SEARCH($A99,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ISNUMBER(SEARCH($A99, INDEX(AsistenciaJetAdminConcatenada!$D:$D, MATCH(1, (AsistenciaJetAdminConcatenada!$A:$A=BC$2)*(AsistenciaJetAdminConcatenada!$B:$B=BC$1), 0)), 1))),  0.5, 0))</f>
        <v>0</v>
      </c>
      <c r="BD99" s="47">
        <f t="array" ref="BD99">IF(AND(ISNUMBER(MATCH(BD$2, AsistenciaJetAdminConcatenada!$A:$A, 0)), ISNUMBER(MATCH(BD$1, AsistenciaJetAdminConcatenada!$B:$B, 0)), ISNUMBER(SEARCH($A99,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ISNUMBER(SEARCH($A99, INDEX(AsistenciaJetAdminConcatenada!$D:$D, MATCH(1, (AsistenciaJetAdminConcatenada!$A:$A=BD$2)*(AsistenciaJetAdminConcatenada!$B:$B=BD$1), 0)), 1))),  0.5, 0))</f>
        <v>0</v>
      </c>
      <c r="BE99" s="47">
        <f t="array" ref="BE99">IF(AND(ISNUMBER(MATCH(BE$2, AsistenciaJetAdminConcatenada!$A:$A, 0)), ISNUMBER(MATCH(BE$1, AsistenciaJetAdminConcatenada!$B:$B, 0)), ISNUMBER(SEARCH($A99,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ISNUMBER(SEARCH($A99, INDEX(AsistenciaJetAdminConcatenada!$D:$D, MATCH(1, (AsistenciaJetAdminConcatenada!$A:$A=BE$2)*(AsistenciaJetAdminConcatenada!$B:$B=BE$1), 0)), 1))),  0.5, 0))</f>
        <v>1</v>
      </c>
      <c r="BF99" s="47">
        <f t="array" ref="BF99">IF(AND(ISNUMBER(MATCH(BF$2, AsistenciaJetAdminConcatenada!$A:$A, 0)), ISNUMBER(MATCH(BF$1, AsistenciaJetAdminConcatenada!$B:$B, 0)), ISNUMBER(SEARCH($A99,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ISNUMBER(SEARCH($A99, INDEX(AsistenciaJetAdminConcatenada!$D:$D, MATCH(1, (AsistenciaJetAdminConcatenada!$A:$A=BF$2)*(AsistenciaJetAdminConcatenada!$B:$B=BF$1), 0)), 1))),  0.5, 0))</f>
        <v>0</v>
      </c>
      <c r="BG99" s="47">
        <f t="array" ref="BG99">IF(AND(ISNUMBER(MATCH(BG$2, AsistenciaJetAdminConcatenada!$A:$A, 0)), ISNUMBER(MATCH(BG$1, AsistenciaJetAdminConcatenada!$B:$B, 0)), ISNUMBER(SEARCH($A99,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ISNUMBER(SEARCH($A99, INDEX(AsistenciaJetAdminConcatenada!$D:$D, MATCH(1, (AsistenciaJetAdminConcatenada!$A:$A=BG$2)*(AsistenciaJetAdminConcatenada!$B:$B=BG$1), 0)), 1))),  0.5, 0))</f>
        <v>0</v>
      </c>
      <c r="BH99" s="47">
        <f t="array" ref="BH99">IF(AND(ISNUMBER(MATCH(BH$2, AsistenciaJetAdminConcatenada!$A:$A, 0)), ISNUMBER(MATCH(BH$1, AsistenciaJetAdminConcatenada!$B:$B, 0)), ISNUMBER(SEARCH($A99,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ISNUMBER(SEARCH($A99, INDEX(AsistenciaJetAdminConcatenada!$D:$D, MATCH(1, (AsistenciaJetAdminConcatenada!$A:$A=BH$2)*(AsistenciaJetAdminConcatenada!$B:$B=BH$1), 0)), 1))),  0.5, 0))</f>
        <v>0</v>
      </c>
      <c r="BI99" s="47">
        <f t="array" ref="BI99">IF(AND(ISNUMBER(MATCH(BI$2, AsistenciaJetAdminConcatenada!$A:$A, 0)), ISNUMBER(MATCH(BI$1, AsistenciaJetAdminConcatenada!$B:$B, 0)), ISNUMBER(SEARCH($A99,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ISNUMBER(SEARCH($A99, INDEX(AsistenciaJetAdminConcatenada!$D:$D, MATCH(1, (AsistenciaJetAdminConcatenada!$A:$A=BI$2)*(AsistenciaJetAdminConcatenada!$B:$B=BI$1), 0)), 1))),  0.5, 0))</f>
        <v>0</v>
      </c>
      <c r="BJ99" s="47">
        <f t="array" ref="BJ99">IF(AND(ISNUMBER(MATCH(BJ$2, AsistenciaJetAdminConcatenada!$A:$A, 0)), ISNUMBER(MATCH(BJ$1, AsistenciaJetAdminConcatenada!$B:$B, 0)), ISNUMBER(SEARCH($A99,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ISNUMBER(SEARCH($A99, INDEX(AsistenciaJetAdminConcatenada!$D:$D, MATCH(1, (AsistenciaJetAdminConcatenada!$A:$A=BJ$2)*(AsistenciaJetAdminConcatenada!$B:$B=BJ$1), 0)), 1))),  0.5, 0))</f>
        <v>0</v>
      </c>
      <c r="BK99" s="47">
        <f t="array" ref="BK99">IF(AND(ISNUMBER(MATCH(BK$2, AsistenciaJetAdminConcatenada!$A:$A, 0)), ISNUMBER(MATCH(BK$1, AsistenciaJetAdminConcatenada!$B:$B, 0)), ISNUMBER(SEARCH($A99,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ISNUMBER(SEARCH($A99, INDEX(AsistenciaJetAdminConcatenada!$D:$D, MATCH(1, (AsistenciaJetAdminConcatenada!$A:$A=BK$2)*(AsistenciaJetAdminConcatenada!$B:$B=BK$1), 0)), 1))),  0.5, 0))</f>
        <v>1</v>
      </c>
      <c r="BL99" s="47">
        <f t="array" ref="BL99">IF(AND(ISNUMBER(MATCH(BL$2, AsistenciaJetAdminConcatenada!$A:$A, 0)), ISNUMBER(MATCH(BL$1, AsistenciaJetAdminConcatenada!$B:$B, 0)), ISNUMBER(SEARCH($A99,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ISNUMBER(SEARCH($A99, INDEX(AsistenciaJetAdminConcatenada!$D:$D, MATCH(1, (AsistenciaJetAdminConcatenada!$A:$A=BL$2)*(AsistenciaJetAdminConcatenada!$B:$B=BL$1), 0)), 1))),  0.5, 0))</f>
        <v>0</v>
      </c>
      <c r="BM99" s="47">
        <f t="array" ref="BM99">IF(AND(ISNUMBER(MATCH(BM$2, AsistenciaJetAdminConcatenada!$A:$A, 0)), ISNUMBER(MATCH(BM$1, AsistenciaJetAdminConcatenada!$B:$B, 0)), ISNUMBER(SEARCH($A99,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ISNUMBER(SEARCH($A99, INDEX(AsistenciaJetAdminConcatenada!$D:$D, MATCH(1, (AsistenciaJetAdminConcatenada!$A:$A=BM$2)*(AsistenciaJetAdminConcatenada!$B:$B=BM$1), 0)), 1))),  0.5, 0))</f>
        <v>0</v>
      </c>
      <c r="BN99" s="47">
        <f t="array" ref="BN99">IF(AND(ISNUMBER(MATCH(BN$2, AsistenciaJetAdminConcatenada!$A:$A, 0)), ISNUMBER(MATCH(BN$1, AsistenciaJetAdminConcatenada!$B:$B, 0)), ISNUMBER(SEARCH($A99,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ISNUMBER(SEARCH($A99, INDEX(AsistenciaJetAdminConcatenada!$D:$D, MATCH(1, (AsistenciaJetAdminConcatenada!$A:$A=BN$2)*(AsistenciaJetAdminConcatenada!$B:$B=BN$1), 0)), 1))),  0.5, 0))</f>
        <v>0</v>
      </c>
      <c r="BO99" s="47">
        <f t="array" ref="BO99">IF(AND(ISNUMBER(MATCH(BO$2, AsistenciaJetAdminConcatenada!$A:$A, 0)), ISNUMBER(MATCH(BO$1, AsistenciaJetAdminConcatenada!$B:$B, 0)), ISNUMBER(SEARCH($A99,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ISNUMBER(SEARCH($A99, INDEX(AsistenciaJetAdminConcatenada!$D:$D, MATCH(1, (AsistenciaJetAdminConcatenada!$A:$A=BO$2)*(AsistenciaJetAdminConcatenada!$B:$B=BO$1), 0)), 1))),  0.5, 0))</f>
        <v>0</v>
      </c>
      <c r="BP99" s="47">
        <f t="array" ref="BP99">IF(AND(ISNUMBER(MATCH(BP$2, AsistenciaJetAdminConcatenada!$A:$A, 0)), ISNUMBER(MATCH(BP$1, AsistenciaJetAdminConcatenada!$B:$B, 0)), ISNUMBER(SEARCH($A99,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ISNUMBER(SEARCH($A99, INDEX(AsistenciaJetAdminConcatenada!$D:$D, MATCH(1, (AsistenciaJetAdminConcatenada!$A:$A=BP$2)*(AsistenciaJetAdminConcatenada!$B:$B=BP$1), 0)), 1))),  0.5, 0))</f>
        <v>0</v>
      </c>
      <c r="BQ99" s="47">
        <f t="array" ref="BQ99">IF(AND(ISNUMBER(MATCH(BQ$2, AsistenciaJetAdminConcatenada!$A:$A, 0)), ISNUMBER(MATCH(BQ$1, AsistenciaJetAdminConcatenada!$B:$B, 0)), ISNUMBER(SEARCH($A99,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ISNUMBER(SEARCH($A99, INDEX(AsistenciaJetAdminConcatenada!$D:$D, MATCH(1, (AsistenciaJetAdminConcatenada!$A:$A=BQ$2)*(AsistenciaJetAdminConcatenada!$B:$B=BQ$1), 0)), 1))),  0.5, 0))</f>
        <v>1</v>
      </c>
      <c r="BR99" s="47">
        <f t="array" ref="BR99">IF(AND(ISNUMBER(MATCH(BR$2, AsistenciaJetAdminConcatenada!$A:$A, 0)), ISNUMBER(MATCH(BR$1, AsistenciaJetAdminConcatenada!$B:$B, 0)), ISNUMBER(SEARCH($A99,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ISNUMBER(SEARCH($A99, INDEX(AsistenciaJetAdminConcatenada!$D:$D, MATCH(1, (AsistenciaJetAdminConcatenada!$A:$A=BR$2)*(AsistenciaJetAdminConcatenada!$B:$B=BR$1), 0)), 1))),  0.5, 0))</f>
        <v>1</v>
      </c>
      <c r="BS99" s="47">
        <f t="array" ref="BS99">IF(AND(ISNUMBER(MATCH(BS$2, AsistenciaJetAdminConcatenada!$A:$A, 0)), ISNUMBER(MATCH(BS$1, AsistenciaJetAdminConcatenada!$B:$B, 0)), ISNUMBER(SEARCH($A99,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ISNUMBER(SEARCH($A99, INDEX(AsistenciaJetAdminConcatenada!$D:$D, MATCH(1, (AsistenciaJetAdminConcatenada!$A:$A=BS$2)*(AsistenciaJetAdminConcatenada!$B:$B=BS$1), 0)), 1))),  0.5, 0))</f>
        <v>0</v>
      </c>
      <c r="BT99" s="47">
        <f t="array" ref="BT99">IF(AND(ISNUMBER(MATCH(BT$2, AsistenciaJetAdminConcatenada!$A:$A, 0)), ISNUMBER(MATCH(BT$1, AsistenciaJetAdminConcatenada!$B:$B, 0)), ISNUMBER(SEARCH($A99,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ISNUMBER(SEARCH($A99, INDEX(AsistenciaJetAdminConcatenada!$D:$D, MATCH(1, (AsistenciaJetAdminConcatenada!$A:$A=BT$2)*(AsistenciaJetAdminConcatenada!$B:$B=BT$1), 0)), 1))),  0.5, 0))</f>
        <v>0</v>
      </c>
      <c r="BU99" s="47">
        <f t="array" ref="BU99">IF(AND(ISNUMBER(MATCH(BU$2, AsistenciaJetAdminConcatenada!$A:$A, 0)), ISNUMBER(MATCH(BU$1, AsistenciaJetAdminConcatenada!$B:$B, 0)), ISNUMBER(SEARCH($A99,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ISNUMBER(SEARCH($A99, INDEX(AsistenciaJetAdminConcatenada!$D:$D, MATCH(1, (AsistenciaJetAdminConcatenada!$A:$A=BU$2)*(AsistenciaJetAdminConcatenada!$B:$B=BU$1), 0)), 1))),  0.5, 0))</f>
        <v>1</v>
      </c>
      <c r="BV99" s="47">
        <f t="array" ref="BV99">IF(AND(ISNUMBER(MATCH(BV$2, AsistenciaJetAdminConcatenada!$A:$A, 0)), ISNUMBER(MATCH(BV$1, AsistenciaJetAdminConcatenada!$B:$B, 0)), ISNUMBER(SEARCH($A99,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ISNUMBER(SEARCH($A99, INDEX(AsistenciaJetAdminConcatenada!$D:$D, MATCH(1, (AsistenciaJetAdminConcatenada!$A:$A=BV$2)*(AsistenciaJetAdminConcatenada!$B:$B=BV$1), 0)), 1))),  0.5, 0))</f>
        <v>0</v>
      </c>
      <c r="BW99" s="47">
        <f t="array" ref="BW99">IF(AND(ISNUMBER(MATCH(BW$2, AsistenciaJetAdminConcatenada!$A:$A, 0)), ISNUMBER(MATCH(BW$1, AsistenciaJetAdminConcatenada!$B:$B, 0)), ISNUMBER(SEARCH($A99,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ISNUMBER(SEARCH($A99, INDEX(AsistenciaJetAdminConcatenada!$D:$D, MATCH(1, (AsistenciaJetAdminConcatenada!$A:$A=BW$2)*(AsistenciaJetAdminConcatenada!$B:$B=BW$1), 0)), 1))),  0.5, 0))</f>
        <v>1</v>
      </c>
      <c r="BX99" s="47">
        <f t="array" ref="BX99">IF(AND(ISNUMBER(MATCH(BX$2, AsistenciaJetAdminConcatenada!$A:$A, 0)), ISNUMBER(MATCH(BX$1, AsistenciaJetAdminConcatenada!$B:$B, 0)), ISNUMBER(SEARCH($A99,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ISNUMBER(SEARCH($A99, INDEX(AsistenciaJetAdminConcatenada!$D:$D, MATCH(1, (AsistenciaJetAdminConcatenada!$A:$A=BX$2)*(AsistenciaJetAdminConcatenada!$B:$B=BX$1), 0)), 1))),  0.5, 0))</f>
        <v>1</v>
      </c>
      <c r="BY99" s="47">
        <f t="array" ref="BY99">IF(AND(ISNUMBER(MATCH(BY$2, AsistenciaJetAdminConcatenada!$A:$A, 0)), ISNUMBER(MATCH(BY$1, AsistenciaJetAdminConcatenada!$B:$B, 0)), ISNUMBER(SEARCH($A99,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ISNUMBER(SEARCH($A99, INDEX(AsistenciaJetAdminConcatenada!$D:$D, MATCH(1, (AsistenciaJetAdminConcatenada!$A:$A=BY$2)*(AsistenciaJetAdminConcatenada!$B:$B=BY$1), 0)), 1))),  0.5, 0))</f>
        <v>0</v>
      </c>
      <c r="BZ99" s="47">
        <f t="array" ref="BZ99">IF(AND(ISNUMBER(MATCH(BZ$2, AsistenciaJetAdminConcatenada!$A:$A, 0)), ISNUMBER(MATCH(BZ$1, AsistenciaJetAdminConcatenada!$B:$B, 0)), ISNUMBER(SEARCH($A99,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ISNUMBER(SEARCH($A99, INDEX(AsistenciaJetAdminConcatenada!$D:$D, MATCH(1, (AsistenciaJetAdminConcatenada!$A:$A=BZ$2)*(AsistenciaJetAdminConcatenada!$B:$B=BZ$1), 0)), 1))),  0.5, 0))</f>
        <v>0</v>
      </c>
      <c r="CA99" s="47">
        <f t="array" ref="CA99">IF(AND(ISNUMBER(MATCH(CA$2, AsistenciaJetAdminConcatenada!$A:$A, 0)), ISNUMBER(MATCH(CA$1, AsistenciaJetAdminConcatenada!$B:$B, 0)), ISNUMBER(SEARCH($A99,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ISNUMBER(SEARCH($A99, INDEX(AsistenciaJetAdminConcatenada!$D:$D, MATCH(1, (AsistenciaJetAdminConcatenada!$A:$A=CA$2)*(AsistenciaJetAdminConcatenada!$B:$B=CA$1), 0)), 1))),  0.5, 0))</f>
        <v>1</v>
      </c>
      <c r="CB99" s="47">
        <f t="array" ref="CB99">IF(AND(ISNUMBER(MATCH(CB$2, AsistenciaJetAdminConcatenada!$A:$A, 0)), ISNUMBER(MATCH(CB$1, AsistenciaJetAdminConcatenada!$B:$B, 0)), ISNUMBER(SEARCH($A99,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ISNUMBER(SEARCH($A99, INDEX(AsistenciaJetAdminConcatenada!$D:$D, MATCH(1, (AsistenciaJetAdminConcatenada!$A:$A=CB$2)*(AsistenciaJetAdminConcatenada!$B:$B=CB$1), 0)), 1))),  0.5, 0))</f>
        <v>1</v>
      </c>
      <c r="CC99" s="47">
        <f t="array" ref="CC99">IF(AND(ISNUMBER(MATCH(CC$2, AsistenciaJetAdminConcatenada!$A:$A, 0)), ISNUMBER(MATCH(CC$1, AsistenciaJetAdminConcatenada!$B:$B, 0)), ISNUMBER(SEARCH($A99,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ISNUMBER(SEARCH($A99, INDEX(AsistenciaJetAdminConcatenada!$D:$D, MATCH(1, (AsistenciaJetAdminConcatenada!$A:$A=CC$2)*(AsistenciaJetAdminConcatenada!$B:$B=CC$1), 0)), 1))),  0.5, 0))</f>
        <v>1</v>
      </c>
      <c r="CD99" s="47">
        <f t="array" ref="CD99">IF(AND(ISNUMBER(MATCH(CD$2, AsistenciaJetAdminConcatenada!$A:$A, 0)), ISNUMBER(MATCH(CD$1, AsistenciaJetAdminConcatenada!$B:$B, 0)), ISNUMBER(SEARCH($A99,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ISNUMBER(SEARCH($A99, INDEX(AsistenciaJetAdminConcatenada!$D:$D, MATCH(1, (AsistenciaJetAdminConcatenada!$A:$A=CD$2)*(AsistenciaJetAdminConcatenada!$B:$B=CD$1), 0)), 1))),  0.5, 0))</f>
        <v>0</v>
      </c>
      <c r="CE99" s="47">
        <f t="array" ref="CE99">IF(AND(ISNUMBER(MATCH(CE$2, AsistenciaJetAdminConcatenada!$A:$A, 0)), ISNUMBER(MATCH(CE$1, AsistenciaJetAdminConcatenada!$B:$B, 0)), ISNUMBER(SEARCH($A99,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ISNUMBER(SEARCH($A99, INDEX(AsistenciaJetAdminConcatenada!$D:$D, MATCH(1, (AsistenciaJetAdminConcatenada!$A:$A=CE$2)*(AsistenciaJetAdminConcatenada!$B:$B=CE$1), 0)), 1))),  0.5, 0))</f>
        <v>0</v>
      </c>
      <c r="CF99" s="47">
        <f t="array" ref="CF99">IF(AND(ISNUMBER(MATCH(CF$2, AsistenciaJetAdminConcatenada!$A:$A, 0)), ISNUMBER(MATCH(CF$1, AsistenciaJetAdminConcatenada!$B:$B, 0)), ISNUMBER(SEARCH($A99,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ISNUMBER(SEARCH($A99, INDEX(AsistenciaJetAdminConcatenada!$D:$D, MATCH(1, (AsistenciaJetAdminConcatenada!$A:$A=CF$2)*(AsistenciaJetAdminConcatenada!$B:$B=CF$1), 0)), 1))),  0.5, 0))</f>
        <v>1</v>
      </c>
      <c r="CG99" s="47">
        <f t="array" ref="CG99">IF(AND(ISNUMBER(MATCH(CG$2, AsistenciaJetAdminConcatenada!$A:$A, 0)), ISNUMBER(MATCH(CG$1, AsistenciaJetAdminConcatenada!$B:$B, 0)), ISNUMBER(SEARCH($A99,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ISNUMBER(SEARCH($A99, INDEX(AsistenciaJetAdminConcatenada!$D:$D, MATCH(1, (AsistenciaJetAdminConcatenada!$A:$A=CG$2)*(AsistenciaJetAdminConcatenada!$B:$B=CG$1), 0)), 1))),  0.5, 0))</f>
        <v>0</v>
      </c>
      <c r="CH99" s="47">
        <f t="array" ref="CH99">IF(AND(ISNUMBER(MATCH(CH$2, AsistenciaJetAdminConcatenada!$A:$A, 0)), ISNUMBER(MATCH(CH$1, AsistenciaJetAdminConcatenada!$B:$B, 0)), ISNUMBER(SEARCH($A99,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ISNUMBER(SEARCH($A99, INDEX(AsistenciaJetAdminConcatenada!$D:$D, MATCH(1, (AsistenciaJetAdminConcatenada!$A:$A=CH$2)*(AsistenciaJetAdminConcatenada!$B:$B=CH$1), 0)), 1))),  0.5, 0))</f>
        <v>0</v>
      </c>
      <c r="CI99" s="47">
        <f t="array" ref="CI99">IF(AND(ISNUMBER(MATCH(CI$2, AsistenciaJetAdminConcatenada!$A:$A, 0)), ISNUMBER(MATCH(CI$1, AsistenciaJetAdminConcatenada!$B:$B, 0)), ISNUMBER(SEARCH($A99,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ISNUMBER(SEARCH($A99, INDEX(AsistenciaJetAdminConcatenada!$D:$D, MATCH(1, (AsistenciaJetAdminConcatenada!$A:$A=CI$2)*(AsistenciaJetAdminConcatenada!$B:$B=CI$1), 0)), 1))),  0.5, 0))</f>
        <v>0</v>
      </c>
      <c r="CJ99" s="47">
        <f t="array" ref="CJ99">IF(AND(ISNUMBER(MATCH(CJ$2, AsistenciaJetAdminConcatenada!$A:$A, 0)), ISNUMBER(MATCH(CJ$1, AsistenciaJetAdminConcatenada!$B:$B, 0)), ISNUMBER(SEARCH($A99,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ISNUMBER(SEARCH($A99, INDEX(AsistenciaJetAdminConcatenada!$D:$D, MATCH(1, (AsistenciaJetAdminConcatenada!$A:$A=CJ$2)*(AsistenciaJetAdminConcatenada!$B:$B=CJ$1), 0)), 1))),  0.5, 0))</f>
        <v>0</v>
      </c>
      <c r="CK99" s="47">
        <f t="array" ref="CK99">IF(AND(ISNUMBER(MATCH(CK$2, AsistenciaJetAdminConcatenada!$A:$A, 0)), ISNUMBER(MATCH(CK$1, AsistenciaJetAdminConcatenada!$B:$B, 0)), ISNUMBER(SEARCH($A99,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ISNUMBER(SEARCH($A99, INDEX(AsistenciaJetAdminConcatenada!$D:$D, MATCH(1, (AsistenciaJetAdminConcatenada!$A:$A=CK$2)*(AsistenciaJetAdminConcatenada!$B:$B=CK$1), 0)), 1))),  0.5, 0))</f>
        <v>0</v>
      </c>
      <c r="CL99" s="47">
        <f t="array" ref="CL99">IF(AND(ISNUMBER(MATCH(CL$2, AsistenciaJetAdminConcatenada!$A:$A, 0)), ISNUMBER(MATCH(CL$1, AsistenciaJetAdminConcatenada!$B:$B, 0)), ISNUMBER(SEARCH($A99,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ISNUMBER(SEARCH($A99, INDEX(AsistenciaJetAdminConcatenada!$D:$D, MATCH(1, (AsistenciaJetAdminConcatenada!$A:$A=CL$2)*(AsistenciaJetAdminConcatenada!$B:$B=CL$1), 0)), 1))),  0.5, 0))</f>
        <v>1</v>
      </c>
      <c r="CM99" s="47">
        <f t="array" ref="CM99">IF(AND(ISNUMBER(MATCH(CM$2, AsistenciaJetAdminConcatenada!$A:$A, 0)), ISNUMBER(MATCH(CM$1, AsistenciaJetAdminConcatenada!$B:$B, 0)), ISNUMBER(SEARCH($A99,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ISNUMBER(SEARCH($A99, INDEX(AsistenciaJetAdminConcatenada!$D:$D, MATCH(1, (AsistenciaJetAdminConcatenada!$A:$A=CM$2)*(AsistenciaJetAdminConcatenada!$B:$B=CM$1), 0)), 1))),  0.5, 0))</f>
        <v>1</v>
      </c>
      <c r="CN99" s="47">
        <f t="array" ref="CN99">IF(AND(ISNUMBER(MATCH(CN$2, AsistenciaJetAdminConcatenada!$A:$A, 0)), ISNUMBER(MATCH(CN$1, AsistenciaJetAdminConcatenada!$B:$B, 0)), ISNUMBER(SEARCH($A99,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ISNUMBER(SEARCH($A99, INDEX(AsistenciaJetAdminConcatenada!$D:$D, MATCH(1, (AsistenciaJetAdminConcatenada!$A:$A=CN$2)*(AsistenciaJetAdminConcatenada!$B:$B=CN$1), 0)), 1))),  0.5, 0))</f>
        <v>0</v>
      </c>
      <c r="CO99" s="47">
        <f t="array" ref="CO99">IF(AND(ISNUMBER(MATCH(CO$2, AsistenciaJetAdminConcatenada!$A:$A, 0)), ISNUMBER(MATCH(CO$1, AsistenciaJetAdminConcatenada!$B:$B, 0)), ISNUMBER(SEARCH($A99,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ISNUMBER(SEARCH($A99, INDEX(AsistenciaJetAdminConcatenada!$D:$D, MATCH(1, (AsistenciaJetAdminConcatenada!$A:$A=CO$2)*(AsistenciaJetAdminConcatenada!$B:$B=CO$1), 0)), 1))),  0.5, 0))</f>
        <v>1</v>
      </c>
      <c r="CP99" s="47">
        <f t="array" ref="CP99">IF(AND(ISNUMBER(MATCH(CP$2, AsistenciaJetAdminConcatenada!$A:$A, 0)), ISNUMBER(MATCH(CP$1, AsistenciaJetAdminConcatenada!$B:$B, 0)), ISNUMBER(SEARCH($A99,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ISNUMBER(SEARCH($A99, INDEX(AsistenciaJetAdminConcatenada!$D:$D, MATCH(1, (AsistenciaJetAdminConcatenada!$A:$A=CP$2)*(AsistenciaJetAdminConcatenada!$B:$B=CP$1), 0)), 1))),  0.5, 0))</f>
        <v>1</v>
      </c>
      <c r="CQ99" s="47">
        <f t="array" ref="CQ99">IF(AND(ISNUMBER(MATCH(CQ$2, AsistenciaJetAdminConcatenada!$A:$A, 0)), ISNUMBER(MATCH(CQ$1, AsistenciaJetAdminConcatenada!$B:$B, 0)), ISNUMBER(SEARCH($A99,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ISNUMBER(SEARCH($A99, INDEX(AsistenciaJetAdminConcatenada!$D:$D, MATCH(1, (AsistenciaJetAdminConcatenada!$A:$A=CQ$2)*(AsistenciaJetAdminConcatenada!$B:$B=CQ$1), 0)), 1))),  0.5, 0))</f>
        <v>1</v>
      </c>
      <c r="CR99" s="47">
        <f t="array" ref="CR99">IF(AND(ISNUMBER(MATCH(CR$2, AsistenciaJetAdminConcatenada!$A:$A, 0)), ISNUMBER(MATCH(CR$1, AsistenciaJetAdminConcatenada!$B:$B, 0)), ISNUMBER(SEARCH($A99,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ISNUMBER(SEARCH($A99, INDEX(AsistenciaJetAdminConcatenada!$D:$D, MATCH(1, (AsistenciaJetAdminConcatenada!$A:$A=CR$2)*(AsistenciaJetAdminConcatenada!$B:$B=CR$1), 0)), 1))),  0.5, 0))</f>
        <v>1</v>
      </c>
      <c r="CS99" s="47">
        <f t="array" ref="CS99">IF(AND(ISNUMBER(MATCH(CS$2, AsistenciaJetAdminConcatenada!$A:$A, 0)), ISNUMBER(MATCH(CS$1, AsistenciaJetAdminConcatenada!$B:$B, 0)), ISNUMBER(SEARCH($A99,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ISNUMBER(SEARCH($A99, INDEX(AsistenciaJetAdminConcatenada!$D:$D, MATCH(1, (AsistenciaJetAdminConcatenada!$A:$A=CS$2)*(AsistenciaJetAdminConcatenada!$B:$B=CS$1), 0)), 1))),  0.5, 0))</f>
        <v>0</v>
      </c>
      <c r="CT99" s="47">
        <f t="array" ref="CT99">IF(AND(ISNUMBER(MATCH(CT$2, AsistenciaJetAdminConcatenada!$A:$A, 0)), ISNUMBER(MATCH(CT$1, AsistenciaJetAdminConcatenada!$B:$B, 0)), ISNUMBER(SEARCH($A99,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ISNUMBER(SEARCH($A99, INDEX(AsistenciaJetAdminConcatenada!$D:$D, MATCH(1, (AsistenciaJetAdminConcatenada!$A:$A=CT$2)*(AsistenciaJetAdminConcatenada!$B:$B=CT$1), 0)), 1))),  0.5, 0))</f>
        <v>0</v>
      </c>
      <c r="CU99" s="47">
        <f t="array" ref="CU99">IF(AND(ISNUMBER(MATCH(CU$2, AsistenciaJetAdminConcatenada!$A:$A, 0)), ISNUMBER(MATCH(CU$1, AsistenciaJetAdminConcatenada!$B:$B, 0)), ISNUMBER(SEARCH($A99,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ISNUMBER(SEARCH($A99, INDEX(AsistenciaJetAdminConcatenada!$D:$D, MATCH(1, (AsistenciaJetAdminConcatenada!$A:$A=CU$2)*(AsistenciaJetAdminConcatenada!$B:$B=CU$1), 0)), 1))),  0.5, 0))</f>
        <v>0</v>
      </c>
      <c r="CV99" s="47">
        <f t="array" ref="CV99">IF(AND(ISNUMBER(MATCH(CV$2, AsistenciaJetAdminConcatenada!$A:$A, 0)), ISNUMBER(MATCH(CV$1, AsistenciaJetAdminConcatenada!$B:$B, 0)), ISNUMBER(SEARCH($A99,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ISNUMBER(SEARCH($A99, INDEX(AsistenciaJetAdminConcatenada!$D:$D, MATCH(1, (AsistenciaJetAdminConcatenada!$A:$A=CV$2)*(AsistenciaJetAdminConcatenada!$B:$B=CV$1), 0)), 1))),  0.5, 0))</f>
        <v>0</v>
      </c>
      <c r="CW99" s="47">
        <f t="array" ref="CW99">IF(AND(ISNUMBER(MATCH(CW$2, AsistenciaJetAdminConcatenada!$A:$A, 0)), ISNUMBER(MATCH(CW$1, AsistenciaJetAdminConcatenada!$B:$B, 0)), ISNUMBER(SEARCH($A99,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ISNUMBER(SEARCH($A99, INDEX(AsistenciaJetAdminConcatenada!$D:$D, MATCH(1, (AsistenciaJetAdminConcatenada!$A:$A=CW$2)*(AsistenciaJetAdminConcatenada!$B:$B=CW$1), 0)), 1))),  0.5, 0))</f>
        <v>0</v>
      </c>
      <c r="CX99" s="47">
        <f t="array" ref="CX99">IF(AND(ISNUMBER(MATCH(CX$2, AsistenciaJetAdminConcatenada!$A:$A, 0)), ISNUMBER(MATCH(CX$1, AsistenciaJetAdminConcatenada!$B:$B, 0)), ISNUMBER(SEARCH($A99,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ISNUMBER(SEARCH($A99, INDEX(AsistenciaJetAdminConcatenada!$D:$D, MATCH(1, (AsistenciaJetAdminConcatenada!$A:$A=CX$2)*(AsistenciaJetAdminConcatenada!$B:$B=CX$1), 0)), 1))),  0.5, 0))</f>
        <v>0</v>
      </c>
      <c r="CY99" s="47">
        <f t="array" ref="CY99">IF(AND(ISNUMBER(MATCH(CY$2, AsistenciaJetAdminConcatenada!$A:$A, 0)), ISNUMBER(MATCH(CY$1, AsistenciaJetAdminConcatenada!$B:$B, 0)), ISNUMBER(SEARCH($A99,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ISNUMBER(SEARCH($A99, INDEX(AsistenciaJetAdminConcatenada!$D:$D, MATCH(1, (AsistenciaJetAdminConcatenada!$A:$A=CY$2)*(AsistenciaJetAdminConcatenada!$B:$B=CY$1), 0)), 1))),  0.5, 0))</f>
        <v>0</v>
      </c>
      <c r="CZ99" s="47">
        <f t="array" ref="CZ99">IF(AND(ISNUMBER(MATCH(CZ$2, AsistenciaJetAdminConcatenada!$A:$A, 0)), ISNUMBER(MATCH(CZ$1, AsistenciaJetAdminConcatenada!$B:$B, 0)), ISNUMBER(SEARCH($A99,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ISNUMBER(SEARCH($A99, INDEX(AsistenciaJetAdminConcatenada!$D:$D, MATCH(1, (AsistenciaJetAdminConcatenada!$A:$A=CZ$2)*(AsistenciaJetAdminConcatenada!$B:$B=CZ$1), 0)), 1))),  0.5, 0))</f>
        <v>0</v>
      </c>
      <c r="DA99" s="47">
        <f t="array" ref="DA99">IF(AND(ISNUMBER(MATCH(DA$2, AsistenciaJetAdminConcatenada!$A:$A, 0)), ISNUMBER(MATCH(DA$1, AsistenciaJetAdminConcatenada!$B:$B, 0)), ISNUMBER(SEARCH($A99,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ISNUMBER(SEARCH($A99, INDEX(AsistenciaJetAdminConcatenada!$D:$D, MATCH(1, (AsistenciaJetAdminConcatenada!$A:$A=DA$2)*(AsistenciaJetAdminConcatenada!$B:$B=DA$1), 0)), 1))),  0.5, 0))</f>
        <v>0</v>
      </c>
      <c r="DB99" s="47">
        <f t="array" ref="DB99">IF(AND(ISNUMBER(MATCH(DB$2, AsistenciaJetAdminConcatenada!$A:$A, 0)), ISNUMBER(MATCH(DB$1, AsistenciaJetAdminConcatenada!$B:$B, 0)), ISNUMBER(SEARCH($A99,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ISNUMBER(SEARCH($A99, INDEX(AsistenciaJetAdminConcatenada!$D:$D, MATCH(1, (AsistenciaJetAdminConcatenada!$A:$A=DB$2)*(AsistenciaJetAdminConcatenada!$B:$B=DB$1), 0)), 1))),  0.5, 0))</f>
        <v>0</v>
      </c>
      <c r="DC99" s="47">
        <f t="array" ref="DC99">IF(AND(ISNUMBER(MATCH(DC$2, AsistenciaJetAdminConcatenada!$A:$A, 0)), ISNUMBER(MATCH(DC$1, AsistenciaJetAdminConcatenada!$B:$B, 0)), ISNUMBER(SEARCH($A99,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ISNUMBER(SEARCH($A99, INDEX(AsistenciaJetAdminConcatenada!$D:$D, MATCH(1, (AsistenciaJetAdminConcatenada!$A:$A=DC$2)*(AsistenciaJetAdminConcatenada!$B:$B=DC$1), 0)), 1))),  0.5, 0))</f>
        <v>0</v>
      </c>
      <c r="DD99" s="47">
        <f t="array" ref="DD99">IF(AND(ISNUMBER(MATCH(DD$2, AsistenciaJetAdminConcatenada!$A:$A, 0)), ISNUMBER(MATCH(DD$1, AsistenciaJetAdminConcatenada!$B:$B, 0)), ISNUMBER(SEARCH($A99,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ISNUMBER(SEARCH($A99, INDEX(AsistenciaJetAdminConcatenada!$D:$D, MATCH(1, (AsistenciaJetAdminConcatenada!$A:$A=DD$2)*(AsistenciaJetAdminConcatenada!$B:$B=DD$1), 0)), 1))),  0.5, 0))</f>
        <v>0</v>
      </c>
      <c r="DE99" s="47">
        <f t="array" ref="DE99">IF(AND(ISNUMBER(MATCH(DE$2, AsistenciaJetAdminConcatenada!$A:$A, 0)), ISNUMBER(MATCH(DE$1, AsistenciaJetAdminConcatenada!$B:$B, 0)), ISNUMBER(SEARCH($A99,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ISNUMBER(SEARCH($A99, INDEX(AsistenciaJetAdminConcatenada!$D:$D, MATCH(1, (AsistenciaJetAdminConcatenada!$A:$A=DE$2)*(AsistenciaJetAdminConcatenada!$B:$B=DE$1), 0)), 1))),  0.5, 0))</f>
        <v>0</v>
      </c>
      <c r="DF99" s="47">
        <f t="array" ref="DF99">IF(AND(ISNUMBER(MATCH(DF$2, AsistenciaJetAdminConcatenada!$A:$A, 0)), ISNUMBER(MATCH(DF$1, AsistenciaJetAdminConcatenada!$B:$B, 0)), ISNUMBER(SEARCH($A99,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ISNUMBER(SEARCH($A99, INDEX(AsistenciaJetAdminConcatenada!$D:$D, MATCH(1, (AsistenciaJetAdminConcatenada!$A:$A=DF$2)*(AsistenciaJetAdminConcatenada!$B:$B=DF$1), 0)), 1))),  0.5, 0))</f>
        <v>0</v>
      </c>
      <c r="DG99" s="47">
        <f t="array" ref="DG99">IF(AND(ISNUMBER(MATCH(DG$2, AsistenciaJetAdminConcatenada!$A:$A, 0)), ISNUMBER(MATCH(DG$1, AsistenciaJetAdminConcatenada!$B:$B, 0)), ISNUMBER(SEARCH($A99,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ISNUMBER(SEARCH($A99, INDEX(AsistenciaJetAdminConcatenada!$D:$D, MATCH(1, (AsistenciaJetAdminConcatenada!$A:$A=DG$2)*(AsistenciaJetAdminConcatenada!$B:$B=DG$1), 0)), 1))),  0.5, 0))</f>
        <v>0</v>
      </c>
      <c r="DH99" s="47">
        <f t="array" ref="DH99">IF(AND(ISNUMBER(MATCH(DH$2, AsistenciaJetAdminConcatenada!$A:$A, 0)), ISNUMBER(MATCH(DH$1, AsistenciaJetAdminConcatenada!$B:$B, 0)), ISNUMBER(SEARCH($A99,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ISNUMBER(SEARCH($A99, INDEX(AsistenciaJetAdminConcatenada!$D:$D, MATCH(1, (AsistenciaJetAdminConcatenada!$A:$A=DH$2)*(AsistenciaJetAdminConcatenada!$B:$B=DH$1), 0)), 1))),  0.5, 0))</f>
        <v>0</v>
      </c>
      <c r="DI99" s="47">
        <f t="array" ref="DI99">IF(AND(ISNUMBER(MATCH(DI$2, AsistenciaJetAdminConcatenada!$A:$A, 0)), ISNUMBER(MATCH(DI$1, AsistenciaJetAdminConcatenada!$B:$B, 0)), ISNUMBER(SEARCH($A99,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ISNUMBER(SEARCH($A99, INDEX(AsistenciaJetAdminConcatenada!$D:$D, MATCH(1, (AsistenciaJetAdminConcatenada!$A:$A=DI$2)*(AsistenciaJetAdminConcatenada!$B:$B=DI$1), 0)), 1))),  0.5, 0))</f>
        <v>0</v>
      </c>
      <c r="DJ99" s="47">
        <f t="array" ref="DJ99">IF(AND(ISNUMBER(MATCH(DJ$2, AsistenciaJetAdminConcatenada!$A:$A, 0)), ISNUMBER(MATCH(DJ$1, AsistenciaJetAdminConcatenada!$B:$B, 0)), ISNUMBER(SEARCH($A99,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ISNUMBER(SEARCH($A99, INDEX(AsistenciaJetAdminConcatenada!$D:$D, MATCH(1, (AsistenciaJetAdminConcatenada!$A:$A=DJ$2)*(AsistenciaJetAdminConcatenada!$B:$B=DJ$1), 0)), 1))),  0.5, 0))</f>
        <v>0</v>
      </c>
      <c r="DK99" s="47">
        <f t="array" ref="DK99">IF(AND(ISNUMBER(MATCH(DK$2, AsistenciaJetAdminConcatenada!$A:$A, 0)), ISNUMBER(MATCH(DK$1, AsistenciaJetAdminConcatenada!$B:$B, 0)), ISNUMBER(SEARCH($A99,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ISNUMBER(SEARCH($A99, INDEX(AsistenciaJetAdminConcatenada!$D:$D, MATCH(1, (AsistenciaJetAdminConcatenada!$A:$A=DK$2)*(AsistenciaJetAdminConcatenada!$B:$B=DK$1), 0)), 1))),  0.5, 0))</f>
        <v>0</v>
      </c>
      <c r="DL99" s="47">
        <f t="array" ref="DL99">IF(AND(ISNUMBER(MATCH(DL$2, AsistenciaJetAdminConcatenada!$A:$A, 0)), ISNUMBER(MATCH(DL$1, AsistenciaJetAdminConcatenada!$B:$B, 0)), ISNUMBER(SEARCH($A99,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ISNUMBER(SEARCH($A99, INDEX(AsistenciaJetAdminConcatenada!$D:$D, MATCH(1, (AsistenciaJetAdminConcatenada!$A:$A=DL$2)*(AsistenciaJetAdminConcatenada!$B:$B=DL$1), 0)), 1))),  0.5, 0))</f>
        <v>0</v>
      </c>
      <c r="DM99" s="47">
        <f t="array" ref="DM99">IF(AND(ISNUMBER(MATCH(DM$2, AsistenciaJetAdminConcatenada!$A:$A, 0)), ISNUMBER(MATCH(DM$1, AsistenciaJetAdminConcatenada!$B:$B, 0)), ISNUMBER(SEARCH($A99,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ISNUMBER(SEARCH($A99, INDEX(AsistenciaJetAdminConcatenada!$D:$D, MATCH(1, (AsistenciaJetAdminConcatenada!$A:$A=DM$2)*(AsistenciaJetAdminConcatenada!$B:$B=DM$1), 0)), 1))),  0.5, 0))</f>
        <v>0</v>
      </c>
      <c r="DN99" s="47">
        <f t="array" ref="DN99">IF(AND(ISNUMBER(MATCH(DN$2, AsistenciaJetAdminConcatenada!$A:$A, 0)), ISNUMBER(MATCH(DN$1, AsistenciaJetAdminConcatenada!$B:$B, 0)), ISNUMBER(SEARCH($A99,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ISNUMBER(SEARCH($A99, INDEX(AsistenciaJetAdminConcatenada!$D:$D, MATCH(1, (AsistenciaJetAdminConcatenada!$A:$A=DN$2)*(AsistenciaJetAdminConcatenada!$B:$B=DN$1), 0)), 1))),  0.5, 0))</f>
        <v>0</v>
      </c>
      <c r="DO99" s="47">
        <f t="array" ref="DO99">IF(AND(ISNUMBER(MATCH(DO$2, AsistenciaJetAdminConcatenada!$A:$A, 0)), ISNUMBER(MATCH(DO$1, AsistenciaJetAdminConcatenada!$B:$B, 0)), ISNUMBER(SEARCH($A99,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ISNUMBER(SEARCH($A99, INDEX(AsistenciaJetAdminConcatenada!$D:$D, MATCH(1, (AsistenciaJetAdminConcatenada!$A:$A=DO$2)*(AsistenciaJetAdminConcatenada!$B:$B=DO$1), 0)), 1))),  0.5, 0))</f>
        <v>0</v>
      </c>
      <c r="DP99" s="47">
        <f t="array" ref="DP99">IF(AND(ISNUMBER(MATCH(DP$2, AsistenciaJetAdminConcatenada!$A:$A, 0)), ISNUMBER(MATCH(DP$1, AsistenciaJetAdminConcatenada!$B:$B, 0)), ISNUMBER(SEARCH($A99,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ISNUMBER(SEARCH($A99, INDEX(AsistenciaJetAdminConcatenada!$D:$D, MATCH(1, (AsistenciaJetAdminConcatenada!$A:$A=DP$2)*(AsistenciaJetAdminConcatenada!$B:$B=DP$1), 0)), 1))),  0.5, 0))</f>
        <v>0</v>
      </c>
      <c r="DQ99" s="47">
        <f t="array" ref="DQ99">IF(AND(ISNUMBER(MATCH(DQ$2, AsistenciaJetAdminConcatenada!$A:$A, 0)), ISNUMBER(MATCH(DQ$1, AsistenciaJetAdminConcatenada!$B:$B, 0)), ISNUMBER(SEARCH($A99,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ISNUMBER(SEARCH($A99, INDEX(AsistenciaJetAdminConcatenada!$D:$D, MATCH(1, (AsistenciaJetAdminConcatenada!$A:$A=DQ$2)*(AsistenciaJetAdminConcatenada!$B:$B=DQ$1), 0)), 1))),  0.5, 0))</f>
        <v>0</v>
      </c>
      <c r="DR99" s="47">
        <f t="array" ref="DR99">IF(AND(ISNUMBER(MATCH(DR$2, AsistenciaJetAdminConcatenada!$A:$A, 0)), ISNUMBER(MATCH(DR$1, AsistenciaJetAdminConcatenada!$B:$B, 0)), ISNUMBER(SEARCH($A99,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ISNUMBER(SEARCH($A99, INDEX(AsistenciaJetAdminConcatenada!$D:$D, MATCH(1, (AsistenciaJetAdminConcatenada!$A:$A=DR$2)*(AsistenciaJetAdminConcatenada!$B:$B=DR$1), 0)), 1))),  0.5, 0))</f>
        <v>0</v>
      </c>
      <c r="DS99" s="47">
        <f t="array" ref="DS99">IF(AND(ISNUMBER(MATCH(DS$2, AsistenciaJetAdminConcatenada!$A:$A, 0)), ISNUMBER(MATCH(DS$1, AsistenciaJetAdminConcatenada!$B:$B, 0)), ISNUMBER(SEARCH($A99,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ISNUMBER(SEARCH($A99, INDEX(AsistenciaJetAdminConcatenada!$D:$D, MATCH(1, (AsistenciaJetAdminConcatenada!$A:$A=DS$2)*(AsistenciaJetAdminConcatenada!$B:$B=DS$1), 0)), 1))),  0.5, 0))</f>
        <v>0</v>
      </c>
      <c r="DT99" s="47">
        <f t="array" ref="DT99">IF(AND(ISNUMBER(MATCH(DT$2, AsistenciaJetAdminConcatenada!$A:$A, 0)), ISNUMBER(MATCH(DT$1, AsistenciaJetAdminConcatenada!$B:$B, 0)), ISNUMBER(SEARCH($A99,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ISNUMBER(SEARCH($A99, INDEX(AsistenciaJetAdminConcatenada!$D:$D, MATCH(1, (AsistenciaJetAdminConcatenada!$A:$A=DT$2)*(AsistenciaJetAdminConcatenada!$B:$B=DT$1), 0)), 1))),  0.5, 0))</f>
        <v>0</v>
      </c>
      <c r="DU99" s="47">
        <f t="array" ref="DU99">IF(AND(ISNUMBER(MATCH(DU$2, AsistenciaJetAdminConcatenada!$A:$A, 0)), ISNUMBER(MATCH(DU$1, AsistenciaJetAdminConcatenada!$B:$B, 0)), ISNUMBER(SEARCH($A99,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ISNUMBER(SEARCH($A99, INDEX(AsistenciaJetAdminConcatenada!$D:$D, MATCH(1, (AsistenciaJetAdminConcatenada!$A:$A=DU$2)*(AsistenciaJetAdminConcatenada!$B:$B=DU$1), 0)), 1))),  0.5, 0))</f>
        <v>0</v>
      </c>
      <c r="DV99" s="47">
        <f t="array" ref="DV99">IF(AND(ISNUMBER(MATCH(DV$2, AsistenciaJetAdminConcatenada!$A:$A, 0)), ISNUMBER(MATCH(DV$1, AsistenciaJetAdminConcatenada!$B:$B, 0)), ISNUMBER(SEARCH($A99,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ISNUMBER(SEARCH($A99, INDEX(AsistenciaJetAdminConcatenada!$D:$D, MATCH(1, (AsistenciaJetAdminConcatenada!$A:$A=DV$2)*(AsistenciaJetAdminConcatenada!$B:$B=DV$1), 0)), 1))),  0.5, 0))</f>
        <v>0</v>
      </c>
      <c r="DW99" s="47">
        <f t="array" ref="DW99">IF(AND(ISNUMBER(MATCH(DW$2, AsistenciaJetAdminConcatenada!$A:$A, 0)), ISNUMBER(MATCH(DW$1, AsistenciaJetAdminConcatenada!$B:$B, 0)), ISNUMBER(SEARCH($A99,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ISNUMBER(SEARCH($A99, INDEX(AsistenciaJetAdminConcatenada!$D:$D, MATCH(1, (AsistenciaJetAdminConcatenada!$A:$A=DW$2)*(AsistenciaJetAdminConcatenada!$B:$B=DW$1), 0)), 1))),  0.5, 0))</f>
        <v>0</v>
      </c>
      <c r="DX99" s="47">
        <f t="array" ref="DX99">IF(AND(ISNUMBER(MATCH(DX$2, AsistenciaJetAdminConcatenada!$A:$A, 0)), ISNUMBER(MATCH(DX$1, AsistenciaJetAdminConcatenada!$B:$B, 0)), ISNUMBER(SEARCH($A99,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ISNUMBER(SEARCH($A99, INDEX(AsistenciaJetAdminConcatenada!$D:$D, MATCH(1, (AsistenciaJetAdminConcatenada!$A:$A=DX$2)*(AsistenciaJetAdminConcatenada!$B:$B=DX$1), 0)), 1))),  0.5, 0))</f>
        <v>0</v>
      </c>
      <c r="DY99" s="47">
        <f t="array" ref="DY99">IF(AND(ISNUMBER(MATCH(DY$2, AsistenciaJetAdminConcatenada!$A:$A, 0)), ISNUMBER(MATCH(DY$1, AsistenciaJetAdminConcatenada!$B:$B, 0)), ISNUMBER(SEARCH($A99,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ISNUMBER(SEARCH($A99, INDEX(AsistenciaJetAdminConcatenada!$D:$D, MATCH(1, (AsistenciaJetAdminConcatenada!$A:$A=DY$2)*(AsistenciaJetAdminConcatenada!$B:$B=DY$1), 0)), 1))),  0.5, 0))</f>
        <v>0</v>
      </c>
      <c r="DZ99" s="47">
        <f t="array" ref="DZ99">IF(AND(ISNUMBER(MATCH(DZ$2, AsistenciaJetAdminConcatenada!$A:$A, 0)), ISNUMBER(MATCH(DZ$1, AsistenciaJetAdminConcatenada!$B:$B, 0)), ISNUMBER(SEARCH($A99,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ISNUMBER(SEARCH($A99, INDEX(AsistenciaJetAdminConcatenada!$D:$D, MATCH(1, (AsistenciaJetAdminConcatenada!$A:$A=DZ$2)*(AsistenciaJetAdminConcatenada!$B:$B=DZ$1), 0)), 1))),  0.5, 0))</f>
        <v>0</v>
      </c>
      <c r="EA99" s="47">
        <f t="array" ref="EA99">IF(AND(ISNUMBER(MATCH(EA$2, AsistenciaJetAdminConcatenada!$A:$A, 0)), ISNUMBER(MATCH(EA$1, AsistenciaJetAdminConcatenada!$B:$B, 0)), ISNUMBER(SEARCH($A99,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ISNUMBER(SEARCH($A99, INDEX(AsistenciaJetAdminConcatenada!$D:$D, MATCH(1, (AsistenciaJetAdminConcatenada!$A:$A=EA$2)*(AsistenciaJetAdminConcatenada!$B:$B=EA$1), 0)), 1))),  0.5, 0))</f>
        <v>0</v>
      </c>
      <c r="EB99" s="47">
        <f t="array" ref="EB99">IF(AND(ISNUMBER(MATCH(EB$2, AsistenciaJetAdminConcatenada!$A:$A, 0)), ISNUMBER(MATCH(EB$1, AsistenciaJetAdminConcatenada!$B:$B, 0)), ISNUMBER(SEARCH($A99,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ISNUMBER(SEARCH($A99, INDEX(AsistenciaJetAdminConcatenada!$D:$D, MATCH(1, (AsistenciaJetAdminConcatenada!$A:$A=EB$2)*(AsistenciaJetAdminConcatenada!$B:$B=EB$1), 0)), 1))),  0.5, 0))</f>
        <v>0</v>
      </c>
      <c r="EC99" s="47">
        <f t="array" ref="EC99">IF(AND(ISNUMBER(MATCH(EC$2, AsistenciaJetAdminConcatenada!$A:$A, 0)), ISNUMBER(MATCH(EC$1, AsistenciaJetAdminConcatenada!$B:$B, 0)), ISNUMBER(SEARCH($A99,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ISNUMBER(SEARCH($A99, INDEX(AsistenciaJetAdminConcatenada!$D:$D, MATCH(1, (AsistenciaJetAdminConcatenada!$A:$A=EC$2)*(AsistenciaJetAdminConcatenada!$B:$B=EC$1), 0)), 1))),  0.5, 0))</f>
        <v>0</v>
      </c>
      <c r="ED99" s="47">
        <f t="array" ref="ED99">IF(AND(ISNUMBER(MATCH(ED$2, AsistenciaJetAdminConcatenada!$A:$A, 0)), ISNUMBER(MATCH(ED$1, AsistenciaJetAdminConcatenada!$B:$B, 0)), ISNUMBER(SEARCH($A99,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ISNUMBER(SEARCH($A99, INDEX(AsistenciaJetAdminConcatenada!$D:$D, MATCH(1, (AsistenciaJetAdminConcatenada!$A:$A=ED$2)*(AsistenciaJetAdminConcatenada!$B:$B=ED$1), 0)), 1))),  0.5, 0))</f>
        <v>0</v>
      </c>
      <c r="EE99" s="47">
        <f t="array" ref="EE99">IF(AND(ISNUMBER(MATCH(EE$2, AsistenciaJetAdminConcatenada!$A:$A, 0)), ISNUMBER(MATCH(EE$1, AsistenciaJetAdminConcatenada!$B:$B, 0)), ISNUMBER(SEARCH($A99,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ISNUMBER(SEARCH($A99, INDEX(AsistenciaJetAdminConcatenada!$D:$D, MATCH(1, (AsistenciaJetAdminConcatenada!$A:$A=EE$2)*(AsistenciaJetAdminConcatenada!$B:$B=EE$1), 0)), 1))),  0.5, 0))</f>
        <v>0</v>
      </c>
      <c r="EF99" s="47">
        <f t="array" ref="EF99">IF(AND(ISNUMBER(MATCH(EF$2, AsistenciaJetAdminConcatenada!$A:$A, 0)), ISNUMBER(MATCH(EF$1, AsistenciaJetAdminConcatenada!$B:$B, 0)), ISNUMBER(SEARCH($A99,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ISNUMBER(SEARCH($A99, INDEX(AsistenciaJetAdminConcatenada!$D:$D, MATCH(1, (AsistenciaJetAdminConcatenada!$A:$A=EF$2)*(AsistenciaJetAdminConcatenada!$B:$B=EF$1), 0)), 1))),  0.5, 0))</f>
        <v>0</v>
      </c>
      <c r="EG99" s="47">
        <f t="array" ref="EG99">IF(AND(ISNUMBER(MATCH(EG$2, AsistenciaJetAdminConcatenada!$A:$A, 0)), ISNUMBER(MATCH(EG$1, AsistenciaJetAdminConcatenada!$B:$B, 0)), ISNUMBER(SEARCH($A99,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ISNUMBER(SEARCH($A99, INDEX(AsistenciaJetAdminConcatenada!$D:$D, MATCH(1, (AsistenciaJetAdminConcatenada!$A:$A=EG$2)*(AsistenciaJetAdminConcatenada!$B:$B=EG$1), 0)), 1))),  0.5, 0))</f>
        <v>0</v>
      </c>
      <c r="EH99" s="47">
        <f t="array" ref="EH99">IF(AND(ISNUMBER(MATCH(EH$2, AsistenciaJetAdminConcatenada!$A:$A, 0)), ISNUMBER(MATCH(EH$1, AsistenciaJetAdminConcatenada!$B:$B, 0)), ISNUMBER(SEARCH($A99,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ISNUMBER(SEARCH($A99, INDEX(AsistenciaJetAdminConcatenada!$D:$D, MATCH(1, (AsistenciaJetAdminConcatenada!$A:$A=EH$2)*(AsistenciaJetAdminConcatenada!$B:$B=EH$1), 0)), 1))),  0.5, 0))</f>
        <v>0</v>
      </c>
      <c r="EI99" s="47">
        <f t="array" ref="EI99">IF(AND(ISNUMBER(MATCH(EI$2, AsistenciaJetAdminConcatenada!$A:$A, 0)), ISNUMBER(MATCH(EI$1, AsistenciaJetAdminConcatenada!$B:$B, 0)), ISNUMBER(SEARCH($A99,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ISNUMBER(SEARCH($A99, INDEX(AsistenciaJetAdminConcatenada!$D:$D, MATCH(1, (AsistenciaJetAdminConcatenada!$A:$A=EI$2)*(AsistenciaJetAdminConcatenada!$B:$B=EI$1), 0)), 1))),  0.5, 0))</f>
        <v>0</v>
      </c>
      <c r="EJ99" s="47">
        <f t="array" ref="EJ99">IF(AND(ISNUMBER(MATCH(EJ$2, AsistenciaJetAdminConcatenada!$A:$A, 0)), ISNUMBER(MATCH(EJ$1, AsistenciaJetAdminConcatenada!$B:$B, 0)), ISNUMBER(SEARCH($A99,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ISNUMBER(SEARCH($A99, INDEX(AsistenciaJetAdminConcatenada!$D:$D, MATCH(1, (AsistenciaJetAdminConcatenada!$A:$A=EJ$2)*(AsistenciaJetAdminConcatenada!$B:$B=EJ$1), 0)), 1))),  0.5, 0))</f>
        <v>0</v>
      </c>
      <c r="EK99" s="47">
        <f t="array" ref="EK99">IF(AND(ISNUMBER(MATCH(EK$2, AsistenciaJetAdminConcatenada!$A:$A, 0)), ISNUMBER(MATCH(EK$1, AsistenciaJetAdminConcatenada!$B:$B, 0)), ISNUMBER(SEARCH($A99,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ISNUMBER(SEARCH($A99, INDEX(AsistenciaJetAdminConcatenada!$D:$D, MATCH(1, (AsistenciaJetAdminConcatenada!$A:$A=EK$2)*(AsistenciaJetAdminConcatenada!$B:$B=EK$1), 0)), 1))),  0.5, 0))</f>
        <v>0</v>
      </c>
      <c r="EL99" s="47">
        <f t="array" ref="EL99">IF(AND(ISNUMBER(MATCH(EL$2, AsistenciaJetAdminConcatenada!$A:$A, 0)), ISNUMBER(MATCH(EL$1, AsistenciaJetAdminConcatenada!$B:$B, 0)), ISNUMBER(SEARCH($A99,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ISNUMBER(SEARCH($A99, INDEX(AsistenciaJetAdminConcatenada!$D:$D, MATCH(1, (AsistenciaJetAdminConcatenada!$A:$A=EL$2)*(AsistenciaJetAdminConcatenada!$B:$B=EL$1), 0)), 1))),  0.5, 0))</f>
        <v>0</v>
      </c>
      <c r="EM99" s="47">
        <f t="array" ref="EM99">IF(AND(ISNUMBER(MATCH(EM$2, AsistenciaJetAdminConcatenada!$A:$A, 0)), ISNUMBER(MATCH(EM$1, AsistenciaJetAdminConcatenada!$B:$B, 0)), ISNUMBER(SEARCH($A99,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ISNUMBER(SEARCH($A99, INDEX(AsistenciaJetAdminConcatenada!$D:$D, MATCH(1, (AsistenciaJetAdminConcatenada!$A:$A=EM$2)*(AsistenciaJetAdminConcatenada!$B:$B=EM$1), 0)), 1))),  0.5, 0))</f>
        <v>0</v>
      </c>
      <c r="EN99" s="47">
        <f t="array" ref="EN99">IF(AND(ISNUMBER(MATCH(EN$2, AsistenciaJetAdminConcatenada!$A:$A, 0)), ISNUMBER(MATCH(EN$1, AsistenciaJetAdminConcatenada!$B:$B, 0)), ISNUMBER(SEARCH($A99,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ISNUMBER(SEARCH($A99, INDEX(AsistenciaJetAdminConcatenada!$D:$D, MATCH(1, (AsistenciaJetAdminConcatenada!$A:$A=EN$2)*(AsistenciaJetAdminConcatenada!$B:$B=EN$1), 0)), 1))),  0.5, 0))</f>
        <v>0</v>
      </c>
      <c r="EO99" s="47">
        <f t="array" ref="EO99">IF(AND(ISNUMBER(MATCH(EO$2, AsistenciaJetAdminConcatenada!$A:$A, 0)), ISNUMBER(MATCH(EO$1, AsistenciaJetAdminConcatenada!$B:$B, 0)), ISNUMBER(SEARCH($A99,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ISNUMBER(SEARCH($A99, INDEX(AsistenciaJetAdminConcatenada!$D:$D, MATCH(1, (AsistenciaJetAdminConcatenada!$A:$A=EO$2)*(AsistenciaJetAdminConcatenada!$B:$B=EO$1), 0)), 1))),  0.5, 0))</f>
        <v>0</v>
      </c>
      <c r="EP99" s="47">
        <f t="array" ref="EP99">IF(AND(ISNUMBER(MATCH(EP$2, AsistenciaJetAdminConcatenada!$A:$A, 0)), ISNUMBER(MATCH(EP$1, AsistenciaJetAdminConcatenada!$B:$B, 0)), ISNUMBER(SEARCH($A99,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ISNUMBER(SEARCH($A99, INDEX(AsistenciaJetAdminConcatenada!$D:$D, MATCH(1, (AsistenciaJetAdminConcatenada!$A:$A=EP$2)*(AsistenciaJetAdminConcatenada!$B:$B=EP$1), 0)), 1))),  0.5, 0))</f>
        <v>0</v>
      </c>
      <c r="EQ99" s="47">
        <f t="array" ref="EQ99">IF(AND(ISNUMBER(MATCH(EQ$2, AsistenciaJetAdminConcatenada!$A:$A, 0)), ISNUMBER(MATCH(EQ$1, AsistenciaJetAdminConcatenada!$B:$B, 0)), ISNUMBER(SEARCH($A99,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ISNUMBER(SEARCH($A99, INDEX(AsistenciaJetAdminConcatenada!$D:$D, MATCH(1, (AsistenciaJetAdminConcatenada!$A:$A=EQ$2)*(AsistenciaJetAdminConcatenada!$B:$B=EQ$1), 0)), 1))),  0.5, 0))</f>
        <v>0</v>
      </c>
      <c r="ER99" s="47">
        <f t="array" ref="ER99">IF(AND(ISNUMBER(MATCH(ER$2, AsistenciaJetAdminConcatenada!$A:$A, 0)), ISNUMBER(MATCH(ER$1, AsistenciaJetAdminConcatenada!$B:$B, 0)), ISNUMBER(SEARCH($A99,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ISNUMBER(SEARCH($A99, INDEX(AsistenciaJetAdminConcatenada!$D:$D, MATCH(1, (AsistenciaJetAdminConcatenada!$A:$A=ER$2)*(AsistenciaJetAdminConcatenada!$B:$B=ER$1), 0)), 1))),  0.5, 0))</f>
        <v>0</v>
      </c>
      <c r="ES99" s="47">
        <f t="array" ref="ES99">IF(AND(ISNUMBER(MATCH(ES$2, AsistenciaJetAdminConcatenada!$A:$A, 0)), ISNUMBER(MATCH(ES$1, AsistenciaJetAdminConcatenada!$B:$B, 0)), ISNUMBER(SEARCH($A99,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ISNUMBER(SEARCH($A99, INDEX(AsistenciaJetAdminConcatenada!$D:$D, MATCH(1, (AsistenciaJetAdminConcatenada!$A:$A=ES$2)*(AsistenciaJetAdminConcatenada!$B:$B=ES$1), 0)), 1))),  0.5, 0))</f>
        <v>0</v>
      </c>
      <c r="ET99" s="47">
        <f t="array" ref="ET99">IF(AND(ISNUMBER(MATCH(ET$2, AsistenciaJetAdminConcatenada!$A:$A, 0)), ISNUMBER(MATCH(ET$1, AsistenciaJetAdminConcatenada!$B:$B, 0)), ISNUMBER(SEARCH($A99,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ISNUMBER(SEARCH($A99, INDEX(AsistenciaJetAdminConcatenada!$D:$D, MATCH(1, (AsistenciaJetAdminConcatenada!$A:$A=ET$2)*(AsistenciaJetAdminConcatenada!$B:$B=ET$1), 0)), 1))),  0.5, 0))</f>
        <v>0</v>
      </c>
      <c r="EU99" s="47">
        <f t="array" ref="EU99">IF(AND(ISNUMBER(MATCH(EU$2, AsistenciaJetAdminConcatenada!$A:$A, 0)), ISNUMBER(MATCH(EU$1, AsistenciaJetAdminConcatenada!$B:$B, 0)), ISNUMBER(SEARCH($A99,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ISNUMBER(SEARCH($A99, INDEX(AsistenciaJetAdminConcatenada!$D:$D, MATCH(1, (AsistenciaJetAdminConcatenada!$A:$A=EU$2)*(AsistenciaJetAdminConcatenada!$B:$B=EU$1), 0)), 1))),  0.5, 0))</f>
        <v>0</v>
      </c>
      <c r="EV99" s="47">
        <f t="array" ref="EV99">IF(AND(ISNUMBER(MATCH(EV$2, AsistenciaJetAdminConcatenada!$A:$A, 0)), ISNUMBER(MATCH(EV$1, AsistenciaJetAdminConcatenada!$B:$B, 0)), ISNUMBER(SEARCH($A99,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ISNUMBER(SEARCH($A99, INDEX(AsistenciaJetAdminConcatenada!$D:$D, MATCH(1, (AsistenciaJetAdminConcatenada!$A:$A=EV$2)*(AsistenciaJetAdminConcatenada!$B:$B=EV$1), 0)), 1))),  0.5, 0))</f>
        <v>0</v>
      </c>
      <c r="EW99" s="47">
        <f t="array" ref="EW99">IF(AND(ISNUMBER(MATCH(EW$2, AsistenciaJetAdminConcatenada!$A:$A, 0)), ISNUMBER(MATCH(EW$1, AsistenciaJetAdminConcatenada!$B:$B, 0)), ISNUMBER(SEARCH($A99,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ISNUMBER(SEARCH($A99, INDEX(AsistenciaJetAdminConcatenada!$D:$D, MATCH(1, (AsistenciaJetAdminConcatenada!$A:$A=EW$2)*(AsistenciaJetAdminConcatenada!$B:$B=EW$1), 0)), 1))),  0.5, 0))</f>
        <v>0</v>
      </c>
      <c r="EX99" s="47">
        <f t="array" ref="EX99">IF(AND(ISNUMBER(MATCH(EX$2, AsistenciaJetAdminConcatenada!$A:$A, 0)), ISNUMBER(MATCH(EX$1, AsistenciaJetAdminConcatenada!$B:$B, 0)), ISNUMBER(SEARCH($A99,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ISNUMBER(SEARCH($A99, INDEX(AsistenciaJetAdminConcatenada!$D:$D, MATCH(1, (AsistenciaJetAdminConcatenada!$A:$A=EX$2)*(AsistenciaJetAdminConcatenada!$B:$B=EX$1), 0)), 1))),  0.5, 0))</f>
        <v>0</v>
      </c>
      <c r="EY99" s="47">
        <f t="array" ref="EY99">IF(AND(ISNUMBER(MATCH(EY$2, AsistenciaJetAdminConcatenada!$A:$A, 0)), ISNUMBER(MATCH(EY$1, AsistenciaJetAdminConcatenada!$B:$B, 0)), ISNUMBER(SEARCH($A99,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ISNUMBER(SEARCH($A99, INDEX(AsistenciaJetAdminConcatenada!$D:$D, MATCH(1, (AsistenciaJetAdminConcatenada!$A:$A=EY$2)*(AsistenciaJetAdminConcatenada!$B:$B=EY$1), 0)), 1))),  0.5, 0))</f>
        <v>0</v>
      </c>
      <c r="EZ99" s="47">
        <f t="array" ref="EZ99">IF(AND(ISNUMBER(MATCH(EZ$2, AsistenciaJetAdminConcatenada!$A:$A, 0)), ISNUMBER(MATCH(EZ$1, AsistenciaJetAdminConcatenada!$B:$B, 0)), ISNUMBER(SEARCH($A99,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ISNUMBER(SEARCH($A99, INDEX(AsistenciaJetAdminConcatenada!$D:$D, MATCH(1, (AsistenciaJetAdminConcatenada!$A:$A=EZ$2)*(AsistenciaJetAdminConcatenada!$B:$B=EZ$1), 0)), 1))),  0.5, 0))</f>
        <v>0</v>
      </c>
      <c r="FA99" s="47">
        <f t="array" ref="FA99">IF(AND(ISNUMBER(MATCH(FA$2, AsistenciaJetAdminConcatenada!$A:$A, 0)), ISNUMBER(MATCH(FA$1, AsistenciaJetAdminConcatenada!$B:$B, 0)), ISNUMBER(SEARCH($A99,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ISNUMBER(SEARCH($A99, INDEX(AsistenciaJetAdminConcatenada!$D:$D, MATCH(1, (AsistenciaJetAdminConcatenada!$A:$A=FA$2)*(AsistenciaJetAdminConcatenada!$B:$B=FA$1), 0)), 1))),  0.5, 0))</f>
        <v>0</v>
      </c>
      <c r="FB99" s="47">
        <f t="array" ref="FB99">IF(AND(ISNUMBER(MATCH(FB$2, AsistenciaJetAdminConcatenada!$A:$A, 0)), ISNUMBER(MATCH(FB$1, AsistenciaJetAdminConcatenada!$B:$B, 0)), ISNUMBER(SEARCH($A99,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ISNUMBER(SEARCH($A99, INDEX(AsistenciaJetAdminConcatenada!$D:$D, MATCH(1, (AsistenciaJetAdminConcatenada!$A:$A=FB$2)*(AsistenciaJetAdminConcatenada!$B:$B=FB$1), 0)), 1))),  0.5, 0))</f>
        <v>0</v>
      </c>
      <c r="FC99" s="47">
        <f t="array" ref="FC99">IF(AND(ISNUMBER(MATCH(FC$2, AsistenciaJetAdminConcatenada!$A:$A, 0)), ISNUMBER(MATCH(FC$1, AsistenciaJetAdminConcatenada!$B:$B, 0)), ISNUMBER(SEARCH($A99,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ISNUMBER(SEARCH($A99, INDEX(AsistenciaJetAdminConcatenada!$D:$D, MATCH(1, (AsistenciaJetAdminConcatenada!$A:$A=FC$2)*(AsistenciaJetAdminConcatenada!$B:$B=FC$1), 0)), 1))),  0.5, 0))</f>
        <v>0</v>
      </c>
      <c r="FD99" s="47">
        <f t="array" ref="FD99">IF(AND(ISNUMBER(MATCH(FD$2, AsistenciaJetAdminConcatenada!$A:$A, 0)), ISNUMBER(MATCH(FD$1, AsistenciaJetAdminConcatenada!$B:$B, 0)), ISNUMBER(SEARCH($A99,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ISNUMBER(SEARCH($A99, INDEX(AsistenciaJetAdminConcatenada!$D:$D, MATCH(1, (AsistenciaJetAdminConcatenada!$A:$A=FD$2)*(AsistenciaJetAdminConcatenada!$B:$B=FD$1), 0)), 1))),  0.5, 0))</f>
        <v>0</v>
      </c>
      <c r="FE99" s="47">
        <f t="array" ref="FE99">IF(AND(ISNUMBER(MATCH(FE$2, AsistenciaJetAdminConcatenada!$A:$A, 0)), ISNUMBER(MATCH(FE$1, AsistenciaJetAdminConcatenada!$B:$B, 0)), ISNUMBER(SEARCH($A99,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ISNUMBER(SEARCH($A99, INDEX(AsistenciaJetAdminConcatenada!$D:$D, MATCH(1, (AsistenciaJetAdminConcatenada!$A:$A=FE$2)*(AsistenciaJetAdminConcatenada!$B:$B=FE$1), 0)), 1))),  0.5, 0))</f>
        <v>0</v>
      </c>
      <c r="FF99" s="47">
        <f t="array" ref="FF99">IF(AND(ISNUMBER(MATCH(FF$2, AsistenciaJetAdminConcatenada!$A:$A, 0)), ISNUMBER(MATCH(FF$1, AsistenciaJetAdminConcatenada!$B:$B, 0)), ISNUMBER(SEARCH($A99,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ISNUMBER(SEARCH($A99, INDEX(AsistenciaJetAdminConcatenada!$D:$D, MATCH(1, (AsistenciaJetAdminConcatenada!$A:$A=FF$2)*(AsistenciaJetAdminConcatenada!$B:$B=FF$1), 0)), 1))),  0.5, 0))</f>
        <v>0</v>
      </c>
      <c r="FG99" s="47">
        <f t="array" ref="FG99">IF(AND(ISNUMBER(MATCH(FG$2, AsistenciaJetAdminConcatenada!$A:$A, 0)), ISNUMBER(MATCH(FG$1, AsistenciaJetAdminConcatenada!$B:$B, 0)), ISNUMBER(SEARCH($A99,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ISNUMBER(SEARCH($A99, INDEX(AsistenciaJetAdminConcatenada!$D:$D, MATCH(1, (AsistenciaJetAdminConcatenada!$A:$A=FG$2)*(AsistenciaJetAdminConcatenada!$B:$B=FG$1), 0)), 1))),  0.5, 0))</f>
        <v>0</v>
      </c>
      <c r="FH99" s="47">
        <f t="array" ref="FH99">IF(AND(ISNUMBER(MATCH(FH$2, AsistenciaJetAdminConcatenada!$A:$A, 0)), ISNUMBER(MATCH(FH$1, AsistenciaJetAdminConcatenada!$B:$B, 0)), ISNUMBER(SEARCH($A99,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ISNUMBER(SEARCH($A99, INDEX(AsistenciaJetAdminConcatenada!$D:$D, MATCH(1, (AsistenciaJetAdminConcatenada!$A:$A=FH$2)*(AsistenciaJetAdminConcatenada!$B:$B=FH$1), 0)), 1))),  0.5, 0))</f>
        <v>0</v>
      </c>
      <c r="FI99" s="47">
        <f t="array" ref="FI99">IF(AND(ISNUMBER(MATCH(FI$2, AsistenciaJetAdminConcatenada!$A:$A, 0)), ISNUMBER(MATCH(FI$1, AsistenciaJetAdminConcatenada!$B:$B, 0)), ISNUMBER(SEARCH($A99,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ISNUMBER(SEARCH($A99, INDEX(AsistenciaJetAdminConcatenada!$D:$D, MATCH(1, (AsistenciaJetAdminConcatenada!$A:$A=FI$2)*(AsistenciaJetAdminConcatenada!$B:$B=FI$1), 0)), 1))),  0.5, 0))</f>
        <v>0</v>
      </c>
      <c r="FJ99" s="47">
        <f t="array" ref="FJ99">IF(AND(ISNUMBER(MATCH(FJ$2, AsistenciaJetAdminConcatenada!$A:$A, 0)), ISNUMBER(MATCH(FJ$1, AsistenciaJetAdminConcatenada!$B:$B, 0)), ISNUMBER(SEARCH($A99,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ISNUMBER(SEARCH($A99, INDEX(AsistenciaJetAdminConcatenada!$D:$D, MATCH(1, (AsistenciaJetAdminConcatenada!$A:$A=FJ$2)*(AsistenciaJetAdminConcatenada!$B:$B=FJ$1), 0)), 1))),  0.5, 0))</f>
        <v>0</v>
      </c>
      <c r="FK99" s="47">
        <f t="array" ref="FK99">IF(AND(ISNUMBER(MATCH(FK$2, AsistenciaJetAdminConcatenada!$A:$A, 0)), ISNUMBER(MATCH(FK$1, AsistenciaJetAdminConcatenada!$B:$B, 0)), ISNUMBER(SEARCH($A99,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ISNUMBER(SEARCH($A99, INDEX(AsistenciaJetAdminConcatenada!$D:$D, MATCH(1, (AsistenciaJetAdminConcatenada!$A:$A=FK$2)*(AsistenciaJetAdminConcatenada!$B:$B=FK$1), 0)), 1))),  0.5, 0))</f>
        <v>0</v>
      </c>
      <c r="FL99" s="47">
        <f t="array" ref="FL99">IF(AND(ISNUMBER(MATCH(FL$2, AsistenciaJetAdminConcatenada!$A:$A, 0)), ISNUMBER(MATCH(FL$1, AsistenciaJetAdminConcatenada!$B:$B, 0)), ISNUMBER(SEARCH($A99,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ISNUMBER(SEARCH($A99, INDEX(AsistenciaJetAdminConcatenada!$D:$D, MATCH(1, (AsistenciaJetAdminConcatenada!$A:$A=FL$2)*(AsistenciaJetAdminConcatenada!$B:$B=FL$1), 0)), 1))),  0.5, 0))</f>
        <v>0</v>
      </c>
      <c r="FM99" s="47">
        <f t="array" ref="FM99">IF(AND(ISNUMBER(MATCH(FM$2, AsistenciaJetAdminConcatenada!$A:$A, 0)), ISNUMBER(MATCH(FM$1, AsistenciaJetAdminConcatenada!$B:$B, 0)), ISNUMBER(SEARCH($A99,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ISNUMBER(SEARCH($A99, INDEX(AsistenciaJetAdminConcatenada!$D:$D, MATCH(1, (AsistenciaJetAdminConcatenada!$A:$A=FM$2)*(AsistenciaJetAdminConcatenada!$B:$B=FM$1), 0)), 1))),  0.5, 0))</f>
        <v>0</v>
      </c>
      <c r="FN99" s="47">
        <f t="array" ref="FN99">IF(AND(ISNUMBER(MATCH(FN$2, AsistenciaJetAdminConcatenada!$A:$A, 0)), ISNUMBER(MATCH(FN$1, AsistenciaJetAdminConcatenada!$B:$B, 0)), ISNUMBER(SEARCH($A99,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ISNUMBER(SEARCH($A99, INDEX(AsistenciaJetAdminConcatenada!$D:$D, MATCH(1, (AsistenciaJetAdminConcatenada!$A:$A=FN$2)*(AsistenciaJetAdminConcatenada!$B:$B=FN$1), 0)), 1))),  0.5, 0))</f>
        <v>0</v>
      </c>
      <c r="FO99" s="47">
        <f t="array" ref="FO99">IF(AND(ISNUMBER(MATCH(FO$2, AsistenciaJetAdminConcatenada!$A:$A, 0)), ISNUMBER(MATCH(FO$1, AsistenciaJetAdminConcatenada!$B:$B, 0)), ISNUMBER(SEARCH($A99,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ISNUMBER(SEARCH($A99, INDEX(AsistenciaJetAdminConcatenada!$D:$D, MATCH(1, (AsistenciaJetAdminConcatenada!$A:$A=FO$2)*(AsistenciaJetAdminConcatenada!$B:$B=FO$1), 0)), 1))),  0.5, 0))</f>
        <v>0</v>
      </c>
      <c r="FP99" s="47">
        <f t="array" ref="FP99">IF(AND(ISNUMBER(MATCH(FP$2, AsistenciaJetAdminConcatenada!$A:$A, 0)), ISNUMBER(MATCH(FP$1, AsistenciaJetAdminConcatenada!$B:$B, 0)), ISNUMBER(SEARCH($A99,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ISNUMBER(SEARCH($A99, INDEX(AsistenciaJetAdminConcatenada!$D:$D, MATCH(1, (AsistenciaJetAdminConcatenada!$A:$A=FP$2)*(AsistenciaJetAdminConcatenada!$B:$B=FP$1), 0)), 1))),  0.5, 0))</f>
        <v>0</v>
      </c>
      <c r="FQ99" s="47">
        <f t="array" ref="FQ99">IF(AND(ISNUMBER(MATCH(FQ$2, AsistenciaJetAdminConcatenada!$A:$A, 0)), ISNUMBER(MATCH(FQ$1, AsistenciaJetAdminConcatenada!$B:$B, 0)), ISNUMBER(SEARCH($A99,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ISNUMBER(SEARCH($A99, INDEX(AsistenciaJetAdminConcatenada!$D:$D, MATCH(1, (AsistenciaJetAdminConcatenada!$A:$A=FQ$2)*(AsistenciaJetAdminConcatenada!$B:$B=FQ$1), 0)), 1))),  0.5, 0))</f>
        <v>0</v>
      </c>
      <c r="FR99" s="47">
        <f t="array" ref="FR99">IF(AND(ISNUMBER(MATCH(FR$2, AsistenciaJetAdminConcatenada!$A:$A, 0)), ISNUMBER(MATCH(FR$1, AsistenciaJetAdminConcatenada!$B:$B, 0)), ISNUMBER(SEARCH($A99,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ISNUMBER(SEARCH($A99, INDEX(AsistenciaJetAdminConcatenada!$D:$D, MATCH(1, (AsistenciaJetAdminConcatenada!$A:$A=FR$2)*(AsistenciaJetAdminConcatenada!$B:$B=FR$1), 0)), 1))),  0.5, 0))</f>
        <v>0</v>
      </c>
      <c r="FS99" s="47">
        <f t="array" ref="FS99">IF(AND(ISNUMBER(MATCH(FS$2, AsistenciaJetAdminConcatenada!$A:$A, 0)), ISNUMBER(MATCH(FS$1, AsistenciaJetAdminConcatenada!$B:$B, 0)), ISNUMBER(SEARCH($A99,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ISNUMBER(SEARCH($A99, INDEX(AsistenciaJetAdminConcatenada!$D:$D, MATCH(1, (AsistenciaJetAdminConcatenada!$A:$A=FS$2)*(AsistenciaJetAdminConcatenada!$B:$B=FS$1), 0)), 1))),  0.5, 0))</f>
        <v>0</v>
      </c>
      <c r="FT99" s="47">
        <f t="array" ref="FT99">IF(AND(ISNUMBER(MATCH(FT$2, AsistenciaJetAdminConcatenada!$A:$A, 0)), ISNUMBER(MATCH(FT$1, AsistenciaJetAdminConcatenada!$B:$B, 0)), ISNUMBER(SEARCH($A99,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ISNUMBER(SEARCH($A99, INDEX(AsistenciaJetAdminConcatenada!$D:$D, MATCH(1, (AsistenciaJetAdminConcatenada!$A:$A=FT$2)*(AsistenciaJetAdminConcatenada!$B:$B=FT$1), 0)), 1))),  0.5, 0))</f>
        <v>0</v>
      </c>
      <c r="FU99" s="47">
        <f t="array" ref="FU99">IF(AND(ISNUMBER(MATCH(FU$2, AsistenciaJetAdminConcatenada!$A:$A, 0)), ISNUMBER(MATCH(FU$1, AsistenciaJetAdminConcatenada!$B:$B, 0)), ISNUMBER(SEARCH($A99,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ISNUMBER(SEARCH($A99, INDEX(AsistenciaJetAdminConcatenada!$D:$D, MATCH(1, (AsistenciaJetAdminConcatenada!$A:$A=FU$2)*(AsistenciaJetAdminConcatenada!$B:$B=FU$1), 0)), 1))),  0.5, 0))</f>
        <v>0</v>
      </c>
      <c r="FV99" s="47">
        <f t="array" ref="FV99">IF(AND(ISNUMBER(MATCH(FV$2, AsistenciaJetAdminConcatenada!$A:$A, 0)), ISNUMBER(MATCH(FV$1, AsistenciaJetAdminConcatenada!$B:$B, 0)), ISNUMBER(SEARCH($A99,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ISNUMBER(SEARCH($A99, INDEX(AsistenciaJetAdminConcatenada!$D:$D, MATCH(1, (AsistenciaJetAdminConcatenada!$A:$A=FV$2)*(AsistenciaJetAdminConcatenada!$B:$B=FV$1), 0)), 1))),  0.5, 0))</f>
        <v>0</v>
      </c>
      <c r="FW99" s="47">
        <f t="array" ref="FW99">IF(AND(ISNUMBER(MATCH(FW$2, AsistenciaJetAdminConcatenada!$A:$A, 0)), ISNUMBER(MATCH(FW$1, AsistenciaJetAdminConcatenada!$B:$B, 0)), ISNUMBER(SEARCH($A99,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ISNUMBER(SEARCH($A99, INDEX(AsistenciaJetAdminConcatenada!$D:$D, MATCH(1, (AsistenciaJetAdminConcatenada!$A:$A=FW$2)*(AsistenciaJetAdminConcatenada!$B:$B=FW$1), 0)), 1))),  0.5, 0))</f>
        <v>0</v>
      </c>
      <c r="FX99" s="47">
        <f t="array" ref="FX99">IF(AND(ISNUMBER(MATCH(FX$2, AsistenciaJetAdminConcatenada!$A:$A, 0)), ISNUMBER(MATCH(FX$1, AsistenciaJetAdminConcatenada!$B:$B, 0)), ISNUMBER(SEARCH($A99,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ISNUMBER(SEARCH($A99, INDEX(AsistenciaJetAdminConcatenada!$D:$D, MATCH(1, (AsistenciaJetAdminConcatenada!$A:$A=FX$2)*(AsistenciaJetAdminConcatenada!$B:$B=FX$1), 0)), 1))),  0.5, 0))</f>
        <v>0</v>
      </c>
      <c r="FY99" s="47">
        <f t="array" ref="FY99">IF(AND(ISNUMBER(MATCH(FY$2, AsistenciaJetAdminConcatenada!$A:$A, 0)), ISNUMBER(MATCH(FY$1, AsistenciaJetAdminConcatenada!$B:$B, 0)), ISNUMBER(SEARCH($A99,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ISNUMBER(SEARCH($A99, INDEX(AsistenciaJetAdminConcatenada!$D:$D, MATCH(1, (AsistenciaJetAdminConcatenada!$A:$A=FY$2)*(AsistenciaJetAdminConcatenada!$B:$B=FY$1), 0)), 1))),  0.5, 0))</f>
        <v>0</v>
      </c>
      <c r="FZ99" s="47">
        <f t="array" ref="FZ99">IF(AND(ISNUMBER(MATCH(FZ$2, AsistenciaJetAdminConcatenada!$A:$A, 0)), ISNUMBER(MATCH(FZ$1, AsistenciaJetAdminConcatenada!$B:$B, 0)), ISNUMBER(SEARCH($A99,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ISNUMBER(SEARCH($A99, INDEX(AsistenciaJetAdminConcatenada!$D:$D, MATCH(1, (AsistenciaJetAdminConcatenada!$A:$A=FZ$2)*(AsistenciaJetAdminConcatenada!$B:$B=FZ$1), 0)), 1))),  0.5, 0))</f>
        <v>0</v>
      </c>
      <c r="GA99" s="47">
        <f t="array" ref="GA99">IF(AND(ISNUMBER(MATCH(GA$2, AsistenciaJetAdminConcatenada!$A:$A, 0)), ISNUMBER(MATCH(GA$1, AsistenciaJetAdminConcatenada!$B:$B, 0)), ISNUMBER(SEARCH($A99,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ISNUMBER(SEARCH($A99, INDEX(AsistenciaJetAdminConcatenada!$D:$D, MATCH(1, (AsistenciaJetAdminConcatenada!$A:$A=GA$2)*(AsistenciaJetAdminConcatenada!$B:$B=GA$1), 0)), 1))),  0.5, 0))</f>
        <v>0</v>
      </c>
      <c r="GB99" s="47">
        <f t="array" ref="GB99">IF(AND(ISNUMBER(MATCH(GB$2, AsistenciaJetAdminConcatenada!$A:$A, 0)), ISNUMBER(MATCH(GB$1, AsistenciaJetAdminConcatenada!$B:$B, 0)), ISNUMBER(SEARCH($A99,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ISNUMBER(SEARCH($A99, INDEX(AsistenciaJetAdminConcatenada!$D:$D, MATCH(1, (AsistenciaJetAdminConcatenada!$A:$A=GB$2)*(AsistenciaJetAdminConcatenada!$B:$B=GB$1), 0)), 1))),  0.5, 0))</f>
        <v>0</v>
      </c>
      <c r="GC99" s="47">
        <f t="array" ref="GC99">IF(AND(ISNUMBER(MATCH(GC$2, AsistenciaJetAdminConcatenada!$A:$A, 0)), ISNUMBER(MATCH(GC$1, AsistenciaJetAdminConcatenada!$B:$B, 0)), ISNUMBER(SEARCH($A99,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ISNUMBER(SEARCH($A99, INDEX(AsistenciaJetAdminConcatenada!$D:$D, MATCH(1, (AsistenciaJetAdminConcatenada!$A:$A=GC$2)*(AsistenciaJetAdminConcatenada!$B:$B=GC$1), 0)), 1))),  0.5, 0))</f>
        <v>0</v>
      </c>
      <c r="GD99" s="47">
        <f t="array" ref="GD99">IF(AND(ISNUMBER(MATCH(GD$2, AsistenciaJetAdminConcatenada!$A:$A, 0)), ISNUMBER(MATCH(GD$1, AsistenciaJetAdminConcatenada!$B:$B, 0)), ISNUMBER(SEARCH($A99,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ISNUMBER(SEARCH($A99, INDEX(AsistenciaJetAdminConcatenada!$D:$D, MATCH(1, (AsistenciaJetAdminConcatenada!$A:$A=GD$2)*(AsistenciaJetAdminConcatenada!$B:$B=GD$1), 0)), 1))),  0.5, 0))</f>
        <v>0</v>
      </c>
      <c r="GE99" s="47">
        <f t="array" ref="GE99">IF(AND(ISNUMBER(MATCH(GE$2, AsistenciaJetAdminConcatenada!$A:$A, 0)), ISNUMBER(MATCH(GE$1, AsistenciaJetAdminConcatenada!$B:$B, 0)), ISNUMBER(SEARCH($A99,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ISNUMBER(SEARCH($A99, INDEX(AsistenciaJetAdminConcatenada!$D:$D, MATCH(1, (AsistenciaJetAdminConcatenada!$A:$A=GE$2)*(AsistenciaJetAdminConcatenada!$B:$B=GE$1), 0)), 1))),  0.5, 0))</f>
        <v>0</v>
      </c>
      <c r="GF99" s="47">
        <f t="array" ref="GF99">IF(AND(ISNUMBER(MATCH(GF$2, AsistenciaJetAdminConcatenada!$A:$A, 0)), ISNUMBER(MATCH(GF$1, AsistenciaJetAdminConcatenada!$B:$B, 0)), ISNUMBER(SEARCH($A99,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ISNUMBER(SEARCH($A99, INDEX(AsistenciaJetAdminConcatenada!$D:$D, MATCH(1, (AsistenciaJetAdminConcatenada!$A:$A=GF$2)*(AsistenciaJetAdminConcatenada!$B:$B=GF$1), 0)), 1))),  0.5, 0))</f>
        <v>0</v>
      </c>
      <c r="GG99" s="47">
        <f t="array" ref="GG99">IF(AND(ISNUMBER(MATCH(GG$2, AsistenciaJetAdminConcatenada!$A:$A, 0)), ISNUMBER(MATCH(GG$1, AsistenciaJetAdminConcatenada!$B:$B, 0)), ISNUMBER(SEARCH($A99,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ISNUMBER(SEARCH($A99, INDEX(AsistenciaJetAdminConcatenada!$D:$D, MATCH(1, (AsistenciaJetAdminConcatenada!$A:$A=GG$2)*(AsistenciaJetAdminConcatenada!$B:$B=GG$1), 0)), 1))),  0.5, 0))</f>
        <v>0</v>
      </c>
      <c r="GH99" s="47">
        <f t="array" ref="GH99">IF(AND(ISNUMBER(MATCH(GH$2, AsistenciaJetAdminConcatenada!$A:$A, 0)), ISNUMBER(MATCH(GH$1, AsistenciaJetAdminConcatenada!$B:$B, 0)), ISNUMBER(SEARCH($A99,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ISNUMBER(SEARCH($A99, INDEX(AsistenciaJetAdminConcatenada!$D:$D, MATCH(1, (AsistenciaJetAdminConcatenada!$A:$A=GH$2)*(AsistenciaJetAdminConcatenada!$B:$B=GH$1), 0)), 1))),  0.5, 0))</f>
        <v>0</v>
      </c>
      <c r="GI99" s="47">
        <f t="array" ref="GI99">IF(AND(ISNUMBER(MATCH(GI$2, AsistenciaJetAdminConcatenada!$A:$A, 0)), ISNUMBER(MATCH(GI$1, AsistenciaJetAdminConcatenada!$B:$B, 0)), ISNUMBER(SEARCH($A99,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ISNUMBER(SEARCH($A99, INDEX(AsistenciaJetAdminConcatenada!$D:$D, MATCH(1, (AsistenciaJetAdminConcatenada!$A:$A=GI$2)*(AsistenciaJetAdminConcatenada!$B:$B=GI$1), 0)), 1))),  0.5, 0))</f>
        <v>0</v>
      </c>
      <c r="GJ99" s="47">
        <f t="array" ref="GJ99">IF(AND(ISNUMBER(MATCH(GJ$2, AsistenciaJetAdminConcatenada!$A:$A, 0)), ISNUMBER(MATCH(GJ$1, AsistenciaJetAdminConcatenada!$B:$B, 0)), ISNUMBER(SEARCH($A99,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ISNUMBER(SEARCH($A99, INDEX(AsistenciaJetAdminConcatenada!$D:$D, MATCH(1, (AsistenciaJetAdminConcatenada!$A:$A=GJ$2)*(AsistenciaJetAdminConcatenada!$B:$B=GJ$1), 0)), 1))),  0.5, 0))</f>
        <v>0</v>
      </c>
      <c r="GK99" s="47">
        <f t="array" ref="GK99">IF(AND(ISNUMBER(MATCH(GK$2, AsistenciaJetAdminConcatenada!$A:$A, 0)), ISNUMBER(MATCH(GK$1, AsistenciaJetAdminConcatenada!$B:$B, 0)), ISNUMBER(SEARCH($A99,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ISNUMBER(SEARCH($A99, INDEX(AsistenciaJetAdminConcatenada!$D:$D, MATCH(1, (AsistenciaJetAdminConcatenada!$A:$A=GK$2)*(AsistenciaJetAdminConcatenada!$B:$B=GK$1), 0)), 1))),  0.5, 0))</f>
        <v>0</v>
      </c>
      <c r="GL99" s="47">
        <f t="array" ref="GL99">IF(AND(ISNUMBER(MATCH(GL$2, AsistenciaJetAdminConcatenada!$A:$A, 0)), ISNUMBER(MATCH(GL$1, AsistenciaJetAdminConcatenada!$B:$B, 0)), ISNUMBER(SEARCH($A99,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ISNUMBER(SEARCH($A99, INDEX(AsistenciaJetAdminConcatenada!$D:$D, MATCH(1, (AsistenciaJetAdminConcatenada!$A:$A=GL$2)*(AsistenciaJetAdminConcatenada!$B:$B=GL$1), 0)), 1))),  0.5, 0))</f>
        <v>0</v>
      </c>
      <c r="GM99" s="47">
        <f t="array" ref="GM99">IF(AND(ISNUMBER(MATCH(GM$2, AsistenciaJetAdminConcatenada!$A:$A, 0)), ISNUMBER(MATCH(GM$1, AsistenciaJetAdminConcatenada!$B:$B, 0)), ISNUMBER(SEARCH($A99,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ISNUMBER(SEARCH($A99, INDEX(AsistenciaJetAdminConcatenada!$D:$D, MATCH(1, (AsistenciaJetAdminConcatenada!$A:$A=GM$2)*(AsistenciaJetAdminConcatenada!$B:$B=GM$1), 0)), 1))),  0.5, 0))</f>
        <v>0</v>
      </c>
      <c r="GN99" s="47">
        <f t="array" ref="GN99">IF(AND(ISNUMBER(MATCH(GN$2, AsistenciaJetAdminConcatenada!$A:$A, 0)), ISNUMBER(MATCH(GN$1, AsistenciaJetAdminConcatenada!$B:$B, 0)), ISNUMBER(SEARCH($A99,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ISNUMBER(SEARCH($A99, INDEX(AsistenciaJetAdminConcatenada!$D:$D, MATCH(1, (AsistenciaJetAdminConcatenada!$A:$A=GN$2)*(AsistenciaJetAdminConcatenada!$B:$B=GN$1), 0)), 1))),  0.5, 0))</f>
        <v>0</v>
      </c>
      <c r="GO99" s="47">
        <f t="array" ref="GO99">IF(AND(ISNUMBER(MATCH(GO$2, AsistenciaJetAdminConcatenada!$A:$A, 0)), ISNUMBER(MATCH(GO$1, AsistenciaJetAdminConcatenada!$B:$B, 0)), ISNUMBER(SEARCH($A99,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ISNUMBER(SEARCH($A99, INDEX(AsistenciaJetAdminConcatenada!$D:$D, MATCH(1, (AsistenciaJetAdminConcatenada!$A:$A=GO$2)*(AsistenciaJetAdminConcatenada!$B:$B=GO$1), 0)), 1))),  0.5, 0))</f>
        <v>0</v>
      </c>
      <c r="GP99" s="47">
        <f t="array" ref="GP99">IF(AND(ISNUMBER(MATCH(GP$2, AsistenciaJetAdminConcatenada!$A:$A, 0)), ISNUMBER(MATCH(GP$1, AsistenciaJetAdminConcatenada!$B:$B, 0)), ISNUMBER(SEARCH($A99,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ISNUMBER(SEARCH($A99, INDEX(AsistenciaJetAdminConcatenada!$D:$D, MATCH(1, (AsistenciaJetAdminConcatenada!$A:$A=GP$2)*(AsistenciaJetAdminConcatenada!$B:$B=GP$1), 0)), 1))),  0.5, 0))</f>
        <v>0</v>
      </c>
      <c r="GQ99" s="47">
        <f t="array" ref="GQ99">IF(AND(ISNUMBER(MATCH(GQ$2, AsistenciaJetAdminConcatenada!$A:$A, 0)), ISNUMBER(MATCH(GQ$1, AsistenciaJetAdminConcatenada!$B:$B, 0)), ISNUMBER(SEARCH($A99,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ISNUMBER(SEARCH($A99, INDEX(AsistenciaJetAdminConcatenada!$D:$D, MATCH(1, (AsistenciaJetAdminConcatenada!$A:$A=GQ$2)*(AsistenciaJetAdminConcatenada!$B:$B=GQ$1), 0)), 1))),  0.5, 0))</f>
        <v>0</v>
      </c>
      <c r="GR99" s="47">
        <f t="array" ref="GR99">IF(AND(ISNUMBER(MATCH(GR$2, AsistenciaJetAdminConcatenada!$A:$A, 0)), ISNUMBER(MATCH(GR$1, AsistenciaJetAdminConcatenada!$B:$B, 0)), ISNUMBER(SEARCH($A99,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ISNUMBER(SEARCH($A99, INDEX(AsistenciaJetAdminConcatenada!$D:$D, MATCH(1, (AsistenciaJetAdminConcatenada!$A:$A=GR$2)*(AsistenciaJetAdminConcatenada!$B:$B=GR$1), 0)), 1))),  0.5, 0))</f>
        <v>0</v>
      </c>
      <c r="GS99" s="47">
        <f t="array" ref="GS99">IF(AND(ISNUMBER(MATCH(GS$2, AsistenciaJetAdminConcatenada!$A:$A, 0)), ISNUMBER(MATCH(GS$1, AsistenciaJetAdminConcatenada!$B:$B, 0)), ISNUMBER(SEARCH($A99,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ISNUMBER(SEARCH($A99, INDEX(AsistenciaJetAdminConcatenada!$D:$D, MATCH(1, (AsistenciaJetAdminConcatenada!$A:$A=GS$2)*(AsistenciaJetAdminConcatenada!$B:$B=GS$1), 0)), 1))),  0.5, 0))</f>
        <v>0</v>
      </c>
      <c r="GT99" s="47">
        <f t="array" ref="GT99">IF(AND(ISNUMBER(MATCH(GT$2, AsistenciaJetAdminConcatenada!$A:$A, 0)), ISNUMBER(MATCH(GT$1, AsistenciaJetAdminConcatenada!$B:$B, 0)), ISNUMBER(SEARCH($A99,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ISNUMBER(SEARCH($A99, INDEX(AsistenciaJetAdminConcatenada!$D:$D, MATCH(1, (AsistenciaJetAdminConcatenada!$A:$A=GT$2)*(AsistenciaJetAdminConcatenada!$B:$B=GT$1), 0)), 1))),  0.5, 0))</f>
        <v>0</v>
      </c>
      <c r="GU99" s="47">
        <f t="array" ref="GU99">IF(AND(ISNUMBER(MATCH(GU$2, AsistenciaJetAdminConcatenada!$A:$A, 0)), ISNUMBER(MATCH(GU$1, AsistenciaJetAdminConcatenada!$B:$B, 0)), ISNUMBER(SEARCH($A99,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ISNUMBER(SEARCH($A99, INDEX(AsistenciaJetAdminConcatenada!$D:$D, MATCH(1, (AsistenciaJetAdminConcatenada!$A:$A=GU$2)*(AsistenciaJetAdminConcatenada!$B:$B=GU$1), 0)), 1))),  0.5, 0))</f>
        <v>0</v>
      </c>
      <c r="GV99" s="47">
        <f t="array" ref="GV99">IF(AND(ISNUMBER(MATCH(GV$2, AsistenciaJetAdminConcatenada!$A:$A, 0)), ISNUMBER(MATCH(GV$1, AsistenciaJetAdminConcatenada!$B:$B, 0)), ISNUMBER(SEARCH($A99,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ISNUMBER(SEARCH($A99, INDEX(AsistenciaJetAdminConcatenada!$D:$D, MATCH(1, (AsistenciaJetAdminConcatenada!$A:$A=GV$2)*(AsistenciaJetAdminConcatenada!$B:$B=GV$1), 0)), 1))),  0.5, 0))</f>
        <v>0</v>
      </c>
      <c r="GW99" s="47">
        <f t="array" ref="GW99">IF(AND(ISNUMBER(MATCH(GW$2, AsistenciaJetAdminConcatenada!$A:$A, 0)), ISNUMBER(MATCH(GW$1, AsistenciaJetAdminConcatenada!$B:$B, 0)), ISNUMBER(SEARCH($A99,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ISNUMBER(SEARCH($A99, INDEX(AsistenciaJetAdminConcatenada!$D:$D, MATCH(1, (AsistenciaJetAdminConcatenada!$A:$A=GW$2)*(AsistenciaJetAdminConcatenada!$B:$B=GW$1), 0)), 1))),  0.5, 0))</f>
        <v>0</v>
      </c>
      <c r="GX99" s="47">
        <f t="array" ref="GX99">IF(AND(ISNUMBER(MATCH(GX$2, AsistenciaJetAdminConcatenada!$A:$A, 0)), ISNUMBER(MATCH(GX$1, AsistenciaJetAdminConcatenada!$B:$B, 0)), ISNUMBER(SEARCH($A99,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ISNUMBER(SEARCH($A99, INDEX(AsistenciaJetAdminConcatenada!$D:$D, MATCH(1, (AsistenciaJetAdminConcatenada!$A:$A=GX$2)*(AsistenciaJetAdminConcatenada!$B:$B=GX$1), 0)), 1))),  0.5, 0))</f>
        <v>0</v>
      </c>
      <c r="GY99" s="47">
        <f t="array" ref="GY99">IF(AND(ISNUMBER(MATCH(GY$2, AsistenciaJetAdminConcatenada!$A:$A, 0)), ISNUMBER(MATCH(GY$1, AsistenciaJetAdminConcatenada!$B:$B, 0)), ISNUMBER(SEARCH($A99,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ISNUMBER(SEARCH($A99, INDEX(AsistenciaJetAdminConcatenada!$D:$D, MATCH(1, (AsistenciaJetAdminConcatenada!$A:$A=GY$2)*(AsistenciaJetAdminConcatenada!$B:$B=GY$1), 0)), 1))),  0.5, 0))</f>
        <v>0</v>
      </c>
      <c r="GZ99" s="47">
        <f t="array" ref="GZ99">IF(AND(ISNUMBER(MATCH(GZ$2, AsistenciaJetAdminConcatenada!$A:$A, 0)), ISNUMBER(MATCH(GZ$1, AsistenciaJetAdminConcatenada!$B:$B, 0)), ISNUMBER(SEARCH($A99,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ISNUMBER(SEARCH($A99, INDEX(AsistenciaJetAdminConcatenada!$D:$D, MATCH(1, (AsistenciaJetAdminConcatenada!$A:$A=GZ$2)*(AsistenciaJetAdminConcatenada!$B:$B=GZ$1), 0)), 1))),  0.5, 0))</f>
        <v>0</v>
      </c>
      <c r="HA99" s="47">
        <f t="array" ref="HA99">IF(AND(ISNUMBER(MATCH(HA$2, AsistenciaJetAdminConcatenada!$A:$A, 0)), ISNUMBER(MATCH(HA$1, AsistenciaJetAdminConcatenada!$B:$B, 0)), ISNUMBER(SEARCH($A99,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ISNUMBER(SEARCH($A99, INDEX(AsistenciaJetAdminConcatenada!$D:$D, MATCH(1, (AsistenciaJetAdminConcatenada!$A:$A=HA$2)*(AsistenciaJetAdminConcatenada!$B:$B=HA$1), 0)), 1))),  0.5, 0))</f>
        <v>0</v>
      </c>
      <c r="HB99" s="47">
        <f t="array" ref="HB99">IF(AND(ISNUMBER(MATCH(HB$2, AsistenciaJetAdminConcatenada!$A:$A, 0)), ISNUMBER(MATCH(HB$1, AsistenciaJetAdminConcatenada!$B:$B, 0)), ISNUMBER(SEARCH($A99,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ISNUMBER(SEARCH($A99, INDEX(AsistenciaJetAdminConcatenada!$D:$D, MATCH(1, (AsistenciaJetAdminConcatenada!$A:$A=HB$2)*(AsistenciaJetAdminConcatenada!$B:$B=HB$1), 0)), 1))),  0.5, 0))</f>
        <v>0</v>
      </c>
      <c r="HC99" s="47">
        <f t="array" ref="HC99">IF(AND(ISNUMBER(MATCH(HC$2, AsistenciaJetAdminConcatenada!$A:$A, 0)), ISNUMBER(MATCH(HC$1, AsistenciaJetAdminConcatenada!$B:$B, 0)), ISNUMBER(SEARCH($A99,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ISNUMBER(SEARCH($A99, INDEX(AsistenciaJetAdminConcatenada!$D:$D, MATCH(1, (AsistenciaJetAdminConcatenada!$A:$A=HC$2)*(AsistenciaJetAdminConcatenada!$B:$B=HC$1), 0)), 1))),  0.5, 0))</f>
        <v>0</v>
      </c>
    </row>
    <row r="100" ht="29.25" customHeight="1">
      <c r="A100" s="3">
        <v>115.0</v>
      </c>
      <c r="B100" s="4" t="s">
        <v>335</v>
      </c>
      <c r="C100" s="47">
        <f>SUM(D100:HC100) + ActividadesEspeciales!C100</f>
        <v>46.5</v>
      </c>
      <c r="D100" s="47">
        <f t="array" ref="D100">IF(AND(ISNUMBER(MATCH(D$2, AsistenciaJetAdminConcatenada!$A:$A, 0)), ISNUMBER(MATCH(D$1, AsistenciaJetAdminConcatenada!$B:$B, 0)), ISNUMBER(SEARCH($A100,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ISNUMBER(SEARCH($A100, INDEX(AsistenciaJetAdminConcatenada!$D:$D, MATCH(1, (AsistenciaJetAdminConcatenada!$A:$A=D$2)*(AsistenciaJetAdminConcatenada!$B:$B=D$1), 0)), 1))),  0.5, 0))</f>
        <v>0</v>
      </c>
      <c r="E100" s="47">
        <f t="array" ref="E100">IF(AND(ISNUMBER(MATCH(E$2, AsistenciaJetAdminConcatenada!$A:$A, 0)), ISNUMBER(MATCH(E$1, AsistenciaJetAdminConcatenada!$B:$B, 0)), ISNUMBER(SEARCH($A100,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ISNUMBER(SEARCH($A100, INDEX(AsistenciaJetAdminConcatenada!$D:$D, MATCH(1, (AsistenciaJetAdminConcatenada!$A:$A=E$2)*(AsistenciaJetAdminConcatenada!$B:$B=E$1), 0)), 1))),  0.5, 0))</f>
        <v>0</v>
      </c>
      <c r="F100" s="47">
        <f t="array" ref="F100">IF(AND(ISNUMBER(MATCH(F$2, AsistenciaJetAdminConcatenada!$A:$A, 0)), ISNUMBER(MATCH(F$1, AsistenciaJetAdminConcatenada!$B:$B, 0)), ISNUMBER(SEARCH($A100,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ISNUMBER(SEARCH($A100, INDEX(AsistenciaJetAdminConcatenada!$D:$D, MATCH(1, (AsistenciaJetAdminConcatenada!$A:$A=F$2)*(AsistenciaJetAdminConcatenada!$B:$B=F$1), 0)), 1))),  0.5, 0))</f>
        <v>0</v>
      </c>
      <c r="G100" s="47">
        <f t="array" ref="G100">IF(AND(ISNUMBER(MATCH(G$2, AsistenciaJetAdminConcatenada!$A:$A, 0)), ISNUMBER(MATCH(G$1, AsistenciaJetAdminConcatenada!$B:$B, 0)), ISNUMBER(SEARCH($A100,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ISNUMBER(SEARCH($A100, INDEX(AsistenciaJetAdminConcatenada!$D:$D, MATCH(1, (AsistenciaJetAdminConcatenada!$A:$A=G$2)*(AsistenciaJetAdminConcatenada!$B:$B=G$1), 0)), 1))),  0.5, 0))</f>
        <v>0</v>
      </c>
      <c r="H100" s="47">
        <f t="array" ref="H100">IF(AND(ISNUMBER(MATCH(H$2, AsistenciaJetAdminConcatenada!$A:$A, 0)), ISNUMBER(MATCH(H$1, AsistenciaJetAdminConcatenada!$B:$B, 0)), ISNUMBER(SEARCH($A100,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ISNUMBER(SEARCH($A100, INDEX(AsistenciaJetAdminConcatenada!$D:$D, MATCH(1, (AsistenciaJetAdminConcatenada!$A:$A=H$2)*(AsistenciaJetAdminConcatenada!$B:$B=H$1), 0)), 1))),  0.5, 0))</f>
        <v>0</v>
      </c>
      <c r="I100" s="47">
        <f t="array" ref="I100">IF(AND(ISNUMBER(MATCH(I$2, AsistenciaJetAdminConcatenada!$A:$A, 0)), ISNUMBER(MATCH(I$1, AsistenciaJetAdminConcatenada!$B:$B, 0)), ISNUMBER(SEARCH($A100,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ISNUMBER(SEARCH($A100, INDEX(AsistenciaJetAdminConcatenada!$D:$D, MATCH(1, (AsistenciaJetAdminConcatenada!$A:$A=I$2)*(AsistenciaJetAdminConcatenada!$B:$B=I$1), 0)), 1))),  0.5, 0))</f>
        <v>0</v>
      </c>
      <c r="J100" s="47">
        <f t="array" ref="J100">IF(AND(ISNUMBER(MATCH(J$2, AsistenciaJetAdminConcatenada!$A:$A, 0)), ISNUMBER(MATCH(J$1, AsistenciaJetAdminConcatenada!$B:$B, 0)), ISNUMBER(SEARCH($A100,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ISNUMBER(SEARCH($A100, INDEX(AsistenciaJetAdminConcatenada!$D:$D, MATCH(1, (AsistenciaJetAdminConcatenada!$A:$A=J$2)*(AsistenciaJetAdminConcatenada!$B:$B=J$1), 0)), 1))),  0.5, 0))</f>
        <v>0</v>
      </c>
      <c r="K100" s="47">
        <f t="array" ref="K100">IF(AND(ISNUMBER(MATCH(K$2, AsistenciaJetAdminConcatenada!$A:$A, 0)), ISNUMBER(MATCH(K$1, AsistenciaJetAdminConcatenada!$B:$B, 0)), ISNUMBER(SEARCH($A100,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ISNUMBER(SEARCH($A100, INDEX(AsistenciaJetAdminConcatenada!$D:$D, MATCH(1, (AsistenciaJetAdminConcatenada!$A:$A=K$2)*(AsistenciaJetAdminConcatenada!$B:$B=K$1), 0)), 1))),  0.5, 0))</f>
        <v>0</v>
      </c>
      <c r="L100" s="47">
        <f t="array" ref="L100">IF(AND(ISNUMBER(MATCH(L$2, AsistenciaJetAdminConcatenada!$A:$A, 0)), ISNUMBER(MATCH(L$1, AsistenciaJetAdminConcatenada!$B:$B, 0)), ISNUMBER(SEARCH($A100,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ISNUMBER(SEARCH($A100, INDEX(AsistenciaJetAdminConcatenada!$D:$D, MATCH(1, (AsistenciaJetAdminConcatenada!$A:$A=L$2)*(AsistenciaJetAdminConcatenada!$B:$B=L$1), 0)), 1))),  0.5, 0))</f>
        <v>0</v>
      </c>
      <c r="M100" s="47">
        <f t="array" ref="M100">IF(AND(ISNUMBER(MATCH(M$2, AsistenciaJetAdminConcatenada!$A:$A, 0)), ISNUMBER(MATCH(M$1, AsistenciaJetAdminConcatenada!$B:$B, 0)), ISNUMBER(SEARCH($A100,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ISNUMBER(SEARCH($A100, INDEX(AsistenciaJetAdminConcatenada!$D:$D, MATCH(1, (AsistenciaJetAdminConcatenada!$A:$A=M$2)*(AsistenciaJetAdminConcatenada!$B:$B=M$1), 0)), 1))),  0.5, 0))</f>
        <v>0</v>
      </c>
      <c r="N100" s="47">
        <f t="array" ref="N100">IF(AND(ISNUMBER(MATCH(N$2, AsistenciaJetAdminConcatenada!$A:$A, 0)), ISNUMBER(MATCH(N$1, AsistenciaJetAdminConcatenada!$B:$B, 0)), ISNUMBER(SEARCH($A100,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ISNUMBER(SEARCH($A100, INDEX(AsistenciaJetAdminConcatenada!$D:$D, MATCH(1, (AsistenciaJetAdminConcatenada!$A:$A=N$2)*(AsistenciaJetAdminConcatenada!$B:$B=N$1), 0)), 1))),  0.5, 0))</f>
        <v>0</v>
      </c>
      <c r="O100" s="47">
        <f t="array" ref="O100">IF(AND(ISNUMBER(MATCH(O$2, AsistenciaJetAdminConcatenada!$A:$A, 0)), ISNUMBER(MATCH(O$1, AsistenciaJetAdminConcatenada!$B:$B, 0)), ISNUMBER(SEARCH($A100,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ISNUMBER(SEARCH($A100, INDEX(AsistenciaJetAdminConcatenada!$D:$D, MATCH(1, (AsistenciaJetAdminConcatenada!$A:$A=O$2)*(AsistenciaJetAdminConcatenada!$B:$B=O$1), 0)), 1))),  0.5, 0))</f>
        <v>0</v>
      </c>
      <c r="P100" s="47">
        <f t="array" ref="P100">IF(AND(ISNUMBER(MATCH(P$2, AsistenciaJetAdminConcatenada!$A:$A, 0)), ISNUMBER(MATCH(P$1, AsistenciaJetAdminConcatenada!$B:$B, 0)), ISNUMBER(SEARCH($A100, INDEX(AsistenciaJetAdminConcatenada!$C:$C, MATCH(1, (AsistenciaJetAdminConcatenada!$A:$A=P$2)*(AsistenciaJetAdminConcatenada!$B:$B=P$1), 0)), 1))), 1, IF(AND(ISNUMBER(MATCH(P$2, AsistenciaJetAdminConcatenada!$A:$A, 0)), ISNUMBER(MATCH(P$1, AsistenciaJetAdminConcatenada!$B:$B, 0)), ISNUMBER(SEARCH($A100, INDEX(AsistenciaJetAdminConcatenada!$D:$D, MATCH(1, (AsistenciaJetAdminConcatenada!$A:$A=P$2)*(AsistenciaJetAdminConcatenada!$B:$B=P$1), 0)), 1))),  0.5, 0))</f>
        <v>0</v>
      </c>
      <c r="Q100" s="47">
        <f t="array" ref="Q100">IF(AND(ISNUMBER(MATCH(Q$2, AsistenciaJetAdminConcatenada!$A:$A, 0)), ISNUMBER(MATCH(Q$1, AsistenciaJetAdminConcatenada!$B:$B, 0)), ISNUMBER(SEARCH($A100, INDEX(AsistenciaJetAdminConcatenada!$C:$C, MATCH(1, (AsistenciaJetAdminConcatenada!$A:$A=Q$2)*(AsistenciaJetAdminConcatenada!$B:$B=Q$1), 0)), 1))), 1, IF(AND(ISNUMBER(MATCH(Q$2, AsistenciaJetAdminConcatenada!$A:$A, 0)), ISNUMBER(MATCH(Q$1, AsistenciaJetAdminConcatenada!$B:$B, 0)), ISNUMBER(SEARCH($A100, INDEX(AsistenciaJetAdminConcatenada!$D:$D, MATCH(1, (AsistenciaJetAdminConcatenada!$A:$A=Q$2)*(AsistenciaJetAdminConcatenada!$B:$B=Q$1), 0)), 1))),  0.5, 0))</f>
        <v>0</v>
      </c>
      <c r="R100" s="47">
        <f t="array" ref="R100">IF(AND(ISNUMBER(MATCH(R$2, AsistenciaJetAdminConcatenada!$A:$A, 0)), ISNUMBER(MATCH(R$1, AsistenciaJetAdminConcatenada!$B:$B, 0)), ISNUMBER(SEARCH($A100,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ISNUMBER(SEARCH($A100, INDEX(AsistenciaJetAdminConcatenada!$D:$D, MATCH(1, (AsistenciaJetAdminConcatenada!$A:$A=R$2)*(AsistenciaJetAdminConcatenada!$B:$B=R$1), 0)), 1))),  0.5, 0))</f>
        <v>0</v>
      </c>
      <c r="S100" s="47">
        <f t="array" ref="S100">IF(AND(ISNUMBER(MATCH(S$2, AsistenciaJetAdminConcatenada!$A:$A, 0)), ISNUMBER(MATCH(S$1, AsistenciaJetAdminConcatenada!$B:$B, 0)), ISNUMBER(SEARCH($A100,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ISNUMBER(SEARCH($A100, INDEX(AsistenciaJetAdminConcatenada!$D:$D, MATCH(1, (AsistenciaJetAdminConcatenada!$A:$A=S$2)*(AsistenciaJetAdminConcatenada!$B:$B=S$1), 0)), 1))),  0.5, 0))</f>
        <v>0</v>
      </c>
      <c r="T100" s="47">
        <f t="array" ref="T100">IF(AND(ISNUMBER(MATCH(T$2, AsistenciaJetAdminConcatenada!$A:$A, 0)), ISNUMBER(MATCH(T$1, AsistenciaJetAdminConcatenada!$B:$B, 0)), ISNUMBER(SEARCH($A100,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ISNUMBER(SEARCH($A100, INDEX(AsistenciaJetAdminConcatenada!$D:$D, MATCH(1, (AsistenciaJetAdminConcatenada!$A:$A=T$2)*(AsistenciaJetAdminConcatenada!$B:$B=T$1), 0)), 1))),  0.5, 0))</f>
        <v>0</v>
      </c>
      <c r="U100" s="47">
        <f t="array" ref="U100">IF(AND(ISNUMBER(MATCH(U$2, AsistenciaJetAdminConcatenada!$A:$A, 0)), ISNUMBER(MATCH(U$1, AsistenciaJetAdminConcatenada!$B:$B, 0)), ISNUMBER(SEARCH($A100,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ISNUMBER(SEARCH($A100, INDEX(AsistenciaJetAdminConcatenada!$D:$D, MATCH(1, (AsistenciaJetAdminConcatenada!$A:$A=U$2)*(AsistenciaJetAdminConcatenada!$B:$B=U$1), 0)), 1))),  0.5, 0))</f>
        <v>0</v>
      </c>
      <c r="V100" s="8">
        <v>1.0</v>
      </c>
      <c r="W100" s="8">
        <v>1.0</v>
      </c>
      <c r="X100" s="47">
        <f t="array" ref="X100">IF(AND(ISNUMBER(MATCH(X$2, AsistenciaJetAdminConcatenada!$A:$A, 0)), ISNUMBER(MATCH(X$1, AsistenciaJetAdminConcatenada!$B:$B, 0)), ISNUMBER(SEARCH($A100,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ISNUMBER(SEARCH($A100, INDEX(AsistenciaJetAdminConcatenada!$D:$D, MATCH(1, (AsistenciaJetAdminConcatenada!$A:$A=X$2)*(AsistenciaJetAdminConcatenada!$B:$B=X$1), 0)), 1))),  0.5, 0))</f>
        <v>0</v>
      </c>
      <c r="Y100" s="8">
        <v>1.0</v>
      </c>
      <c r="Z100" s="47">
        <f t="array" ref="Z100">IF(AND(ISNUMBER(MATCH(Z$2, AsistenciaJetAdminConcatenada!$A:$A, 0)), ISNUMBER(MATCH(Z$1, AsistenciaJetAdminConcatenada!$B:$B, 0)), ISNUMBER(SEARCH($A100,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ISNUMBER(SEARCH($A100, INDEX(AsistenciaJetAdminConcatenada!$D:$D, MATCH(1, (AsistenciaJetAdminConcatenada!$A:$A=Z$2)*(AsistenciaJetAdminConcatenada!$B:$B=Z$1), 0)), 1))),  0.5, 0))</f>
        <v>0</v>
      </c>
      <c r="AA100" s="8">
        <v>1.0</v>
      </c>
      <c r="AB100" s="8">
        <v>1.0</v>
      </c>
      <c r="AC100" s="47">
        <f t="array" ref="AC100">IF(AND(ISNUMBER(MATCH(AC$2, AsistenciaJetAdminConcatenada!$A:$A, 0)), ISNUMBER(MATCH(AC$1, AsistenciaJetAdminConcatenada!$B:$B, 0)), ISNUMBER(SEARCH($A100,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ISNUMBER(SEARCH($A100, INDEX(AsistenciaJetAdminConcatenada!$D:$D, MATCH(1, (AsistenciaJetAdminConcatenada!$A:$A=AC$2)*(AsistenciaJetAdminConcatenada!$B:$B=AC$1), 0)), 1))),  0.5, 0))</f>
        <v>1</v>
      </c>
      <c r="AD100" s="47">
        <f t="array" ref="AD100">IF(AND(ISNUMBER(MATCH(AD$2, AsistenciaJetAdminConcatenada!$A:$A, 0)), ISNUMBER(MATCH(AD$1, AsistenciaJetAdminConcatenada!$B:$B, 0)), ISNUMBER(SEARCH($A100,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ISNUMBER(SEARCH($A100, INDEX(AsistenciaJetAdminConcatenada!$D:$D, MATCH(1, (AsistenciaJetAdminConcatenada!$A:$A=AD$2)*(AsistenciaJetAdminConcatenada!$B:$B=AD$1), 0)), 1))),  0.5, 0))</f>
        <v>1</v>
      </c>
      <c r="AE100" s="47">
        <f t="array" ref="AE100">IF(AND(ISNUMBER(MATCH(AE$2, AsistenciaJetAdminConcatenada!$A:$A, 0)), ISNUMBER(MATCH(AE$1, AsistenciaJetAdminConcatenada!$B:$B, 0)), ISNUMBER(SEARCH($A100,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ISNUMBER(SEARCH($A100, INDEX(AsistenciaJetAdminConcatenada!$D:$D, MATCH(1, (AsistenciaJetAdminConcatenada!$A:$A=AE$2)*(AsistenciaJetAdminConcatenada!$B:$B=AE$1), 0)), 1))),  0.5, 0))</f>
        <v>1</v>
      </c>
      <c r="AF100" s="47">
        <f t="array" ref="AF100">IF(AND(ISNUMBER(MATCH(AF$2, AsistenciaJetAdminConcatenada!$A:$A, 0)), ISNUMBER(MATCH(AF$1, AsistenciaJetAdminConcatenada!$B:$B, 0)), ISNUMBER(SEARCH($A100,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ISNUMBER(SEARCH($A100, INDEX(AsistenciaJetAdminConcatenada!$D:$D, MATCH(1, (AsistenciaJetAdminConcatenada!$A:$A=AF$2)*(AsistenciaJetAdminConcatenada!$B:$B=AF$1), 0)), 1))),  0.5, 0))</f>
        <v>0</v>
      </c>
      <c r="AG100" s="47">
        <f t="array" ref="AG100">IF(AND(ISNUMBER(MATCH(AG$2, AsistenciaJetAdminConcatenada!$A:$A, 0)), ISNUMBER(MATCH(AG$1, AsistenciaJetAdminConcatenada!$B:$B, 0)), ISNUMBER(SEARCH($A100,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ISNUMBER(SEARCH($A100, INDEX(AsistenciaJetAdminConcatenada!$D:$D, MATCH(1, (AsistenciaJetAdminConcatenada!$A:$A=AG$2)*(AsistenciaJetAdminConcatenada!$B:$B=AG$1), 0)), 1))),  0.5, 0))</f>
        <v>1</v>
      </c>
      <c r="AH100" s="47">
        <f t="array" ref="AH100">IF(AND(ISNUMBER(MATCH(AH$2, AsistenciaJetAdminConcatenada!$A:$A, 0)), ISNUMBER(MATCH(AH$1, AsistenciaJetAdminConcatenada!$B:$B, 0)), ISNUMBER(SEARCH($A100,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ISNUMBER(SEARCH($A100, INDEX(AsistenciaJetAdminConcatenada!$D:$D, MATCH(1, (AsistenciaJetAdminConcatenada!$A:$A=AH$2)*(AsistenciaJetAdminConcatenada!$B:$B=AH$1), 0)), 1))),  0.5, 0))</f>
        <v>0</v>
      </c>
      <c r="AI100" s="47">
        <f t="array" ref="AI100">IF(AND(ISNUMBER(MATCH(AI$2, AsistenciaJetAdminConcatenada!$A:$A, 0)), ISNUMBER(MATCH(AI$1, AsistenciaJetAdminConcatenada!$B:$B, 0)), ISNUMBER(SEARCH($A100,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ISNUMBER(SEARCH($A100, INDEX(AsistenciaJetAdminConcatenada!$D:$D, MATCH(1, (AsistenciaJetAdminConcatenada!$A:$A=AI$2)*(AsistenciaJetAdminConcatenada!$B:$B=AI$1), 0)), 1))),  0.5, 0))</f>
        <v>0</v>
      </c>
      <c r="AJ100" s="47">
        <f t="array" ref="AJ100">IF(AND(ISNUMBER(MATCH(AJ$2, AsistenciaJetAdminConcatenada!$A:$A, 0)), ISNUMBER(MATCH(AJ$1, AsistenciaJetAdminConcatenada!$B:$B, 0)), ISNUMBER(SEARCH($A100,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ISNUMBER(SEARCH($A100, INDEX(AsistenciaJetAdminConcatenada!$D:$D, MATCH(1, (AsistenciaJetAdminConcatenada!$A:$A=AJ$2)*(AsistenciaJetAdminConcatenada!$B:$B=AJ$1), 0)), 1))),  0.5, 0))</f>
        <v>0</v>
      </c>
      <c r="AK100" s="47">
        <f t="array" ref="AK100">IF(AND(ISNUMBER(MATCH(AK$2, AsistenciaJetAdminConcatenada!$A:$A, 0)), ISNUMBER(MATCH(AK$1, AsistenciaJetAdminConcatenada!$B:$B, 0)), ISNUMBER(SEARCH($A100,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ISNUMBER(SEARCH($A100, INDEX(AsistenciaJetAdminConcatenada!$D:$D, MATCH(1, (AsistenciaJetAdminConcatenada!$A:$A=AK$2)*(AsistenciaJetAdminConcatenada!$B:$B=AK$1), 0)), 1))),  0.5, 0))</f>
        <v>1</v>
      </c>
      <c r="AL100" s="47">
        <f t="array" ref="AL100">IF(AND(ISNUMBER(MATCH(AL$2, AsistenciaJetAdminConcatenada!$A:$A, 0)), ISNUMBER(MATCH(AL$1, AsistenciaJetAdminConcatenada!$B:$B, 0)), ISNUMBER(SEARCH($A100,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ISNUMBER(SEARCH($A100, INDEX(AsistenciaJetAdminConcatenada!$D:$D, MATCH(1, (AsistenciaJetAdminConcatenada!$A:$A=AL$2)*(AsistenciaJetAdminConcatenada!$B:$B=AL$1), 0)), 1))),  0.5, 0))</f>
        <v>1</v>
      </c>
      <c r="AM100" s="47">
        <f t="array" ref="AM100">IF(AND(ISNUMBER(MATCH(AM$2, AsistenciaJetAdminConcatenada!$A:$A, 0)), ISNUMBER(MATCH(AM$1, AsistenciaJetAdminConcatenada!$B:$B, 0)), ISNUMBER(SEARCH($A100,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ISNUMBER(SEARCH($A100, INDEX(AsistenciaJetAdminConcatenada!$D:$D, MATCH(1, (AsistenciaJetAdminConcatenada!$A:$A=AM$2)*(AsistenciaJetAdminConcatenada!$B:$B=AM$1), 0)), 1))),  0.5, 0))</f>
        <v>0</v>
      </c>
      <c r="AN100" s="47">
        <f t="array" ref="AN100">IF(AND(ISNUMBER(MATCH(AN$2, AsistenciaJetAdminConcatenada!$A:$A, 0)), ISNUMBER(MATCH(AN$1, AsistenciaJetAdminConcatenada!$B:$B, 0)), ISNUMBER(SEARCH($A100,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ISNUMBER(SEARCH($A100, INDEX(AsistenciaJetAdminConcatenada!$D:$D, MATCH(1, (AsistenciaJetAdminConcatenada!$A:$A=AN$2)*(AsistenciaJetAdminConcatenada!$B:$B=AN$1), 0)), 1))),  0.5, 0))</f>
        <v>1</v>
      </c>
      <c r="AO100" s="47">
        <f t="array" ref="AO100">IF(AND(ISNUMBER(MATCH(AO$2, AsistenciaJetAdminConcatenada!$A:$A, 0)), ISNUMBER(MATCH(AO$1, AsistenciaJetAdminConcatenada!$B:$B, 0)), ISNUMBER(SEARCH($A100,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ISNUMBER(SEARCH($A100, INDEX(AsistenciaJetAdminConcatenada!$D:$D, MATCH(1, (AsistenciaJetAdminConcatenada!$A:$A=AO$2)*(AsistenciaJetAdminConcatenada!$B:$B=AO$1), 0)), 1))),  0.5, 0))</f>
        <v>1</v>
      </c>
      <c r="AP100" s="47">
        <f t="array" ref="AP100">IF(AND(ISNUMBER(MATCH(AP$2, AsistenciaJetAdminConcatenada!$A:$A, 0)), ISNUMBER(MATCH(AP$1, AsistenciaJetAdminConcatenada!$B:$B, 0)), ISNUMBER(SEARCH($A100,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ISNUMBER(SEARCH($A100, INDEX(AsistenciaJetAdminConcatenada!$D:$D, MATCH(1, (AsistenciaJetAdminConcatenada!$A:$A=AP$2)*(AsistenciaJetAdminConcatenada!$B:$B=AP$1), 0)), 1))),  0.5, 0))</f>
        <v>1</v>
      </c>
      <c r="AQ100" s="47">
        <f t="array" ref="AQ100">IF(AND(ISNUMBER(MATCH(AQ$2, AsistenciaJetAdminConcatenada!$A:$A, 0)), ISNUMBER(MATCH(AQ$1, AsistenciaJetAdminConcatenada!$B:$B, 0)), ISNUMBER(SEARCH($A100,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ISNUMBER(SEARCH($A100, INDEX(AsistenciaJetAdminConcatenada!$D:$D, MATCH(1, (AsistenciaJetAdminConcatenada!$A:$A=AQ$2)*(AsistenciaJetAdminConcatenada!$B:$B=AQ$1), 0)), 1))),  0.5, 0))</f>
        <v>0</v>
      </c>
      <c r="AR100" s="47">
        <f t="array" ref="AR100">IF(AND(ISNUMBER(MATCH(AR$2, AsistenciaJetAdminConcatenada!$A:$A, 0)), ISNUMBER(MATCH(AR$1, AsistenciaJetAdminConcatenada!$B:$B, 0)), ISNUMBER(SEARCH($A100,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ISNUMBER(SEARCH($A100, INDEX(AsistenciaJetAdminConcatenada!$D:$D, MATCH(1, (AsistenciaJetAdminConcatenada!$A:$A=AR$2)*(AsistenciaJetAdminConcatenada!$B:$B=AR$1), 0)), 1))),  0.5, 0))</f>
        <v>0</v>
      </c>
      <c r="AS100" s="47">
        <f t="array" ref="AS100">IF(AND(ISNUMBER(MATCH(AS$2, AsistenciaJetAdminConcatenada!$A:$A, 0)), ISNUMBER(MATCH(AS$1, AsistenciaJetAdminConcatenada!$B:$B, 0)), ISNUMBER(SEARCH($A100,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ISNUMBER(SEARCH($A100, INDEX(AsistenciaJetAdminConcatenada!$D:$D, MATCH(1, (AsistenciaJetAdminConcatenada!$A:$A=AS$2)*(AsistenciaJetAdminConcatenada!$B:$B=AS$1), 0)), 1))),  0.5, 0))</f>
        <v>1</v>
      </c>
      <c r="AT100" s="47">
        <f t="array" ref="AT100">IF(AND(ISNUMBER(MATCH(AT$2, AsistenciaJetAdminConcatenada!$A:$A, 0)), ISNUMBER(MATCH(AT$1, AsistenciaJetAdminConcatenada!$B:$B, 0)), ISNUMBER(SEARCH($A100,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ISNUMBER(SEARCH($A100, INDEX(AsistenciaJetAdminConcatenada!$D:$D, MATCH(1, (AsistenciaJetAdminConcatenada!$A:$A=AT$2)*(AsistenciaJetAdminConcatenada!$B:$B=AT$1), 0)), 1))),  0.5, 0))</f>
        <v>1</v>
      </c>
      <c r="AU100" s="47">
        <f t="array" ref="AU100">IF(AND(ISNUMBER(MATCH(AU$2, AsistenciaJetAdminConcatenada!$A:$A, 0)), ISNUMBER(MATCH(AU$1, AsistenciaJetAdminConcatenada!$B:$B, 0)), ISNUMBER(SEARCH($A100,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ISNUMBER(SEARCH($A100, INDEX(AsistenciaJetAdminConcatenada!$D:$D, MATCH(1, (AsistenciaJetAdminConcatenada!$A:$A=AU$2)*(AsistenciaJetAdminConcatenada!$B:$B=AU$1), 0)), 1))),  0.5, 0))</f>
        <v>1</v>
      </c>
      <c r="AV100" s="47">
        <f t="array" ref="AV100">IF(AND(ISNUMBER(MATCH(AV$2, AsistenciaJetAdminConcatenada!$A:$A, 0)), ISNUMBER(MATCH(AV$1, AsistenciaJetAdminConcatenada!$B:$B, 0)), ISNUMBER(SEARCH($A100,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ISNUMBER(SEARCH($A100, INDEX(AsistenciaJetAdminConcatenada!$D:$D, MATCH(1, (AsistenciaJetAdminConcatenada!$A:$A=AV$2)*(AsistenciaJetAdminConcatenada!$B:$B=AV$1), 0)), 1))),  0.5, 0))</f>
        <v>0</v>
      </c>
      <c r="AW100" s="47">
        <f t="array" ref="AW100">IF(AND(ISNUMBER(MATCH(AW$2, AsistenciaJetAdminConcatenada!$A:$A, 0)), ISNUMBER(MATCH(AW$1, AsistenciaJetAdminConcatenada!$B:$B, 0)), ISNUMBER(SEARCH($A100,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ISNUMBER(SEARCH($A100, INDEX(AsistenciaJetAdminConcatenada!$D:$D, MATCH(1, (AsistenciaJetAdminConcatenada!$A:$A=AW$2)*(AsistenciaJetAdminConcatenada!$B:$B=AW$1), 0)), 1))),  0.5, 0))</f>
        <v>1</v>
      </c>
      <c r="AX100" s="47">
        <f t="array" ref="AX100">IF(AND(ISNUMBER(MATCH(AX$2, AsistenciaJetAdminConcatenada!$A:$A, 0)), ISNUMBER(MATCH(AX$1, AsistenciaJetAdminConcatenada!$B:$B, 0)), ISNUMBER(SEARCH($A100,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ISNUMBER(SEARCH($A100, INDEX(AsistenciaJetAdminConcatenada!$D:$D, MATCH(1, (AsistenciaJetAdminConcatenada!$A:$A=AX$2)*(AsistenciaJetAdminConcatenada!$B:$B=AX$1), 0)), 1))),  0.5, 0))</f>
        <v>1</v>
      </c>
      <c r="AY100" s="47">
        <f t="array" ref="AY100">IF(AND(ISNUMBER(MATCH(AY$2, AsistenciaJetAdminConcatenada!$A:$A, 0)), ISNUMBER(MATCH(AY$1, AsistenciaJetAdminConcatenada!$B:$B, 0)), ISNUMBER(SEARCH($A100,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ISNUMBER(SEARCH($A100, INDEX(AsistenciaJetAdminConcatenada!$D:$D, MATCH(1, (AsistenciaJetAdminConcatenada!$A:$A=AY$2)*(AsistenciaJetAdminConcatenada!$B:$B=AY$1), 0)), 1))),  0.5, 0))</f>
        <v>1</v>
      </c>
      <c r="AZ100" s="47">
        <f t="array" ref="AZ100">IF(AND(ISNUMBER(MATCH(AZ$2, AsistenciaJetAdminConcatenada!$A:$A, 0)), ISNUMBER(MATCH(AZ$1, AsistenciaJetAdminConcatenada!$B:$B, 0)), ISNUMBER(SEARCH($A100,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ISNUMBER(SEARCH($A100, INDEX(AsistenciaJetAdminConcatenada!$D:$D, MATCH(1, (AsistenciaJetAdminConcatenada!$A:$A=AZ$2)*(AsistenciaJetAdminConcatenada!$B:$B=AZ$1), 0)), 1))),  0.5, 0))</f>
        <v>0</v>
      </c>
      <c r="BA100" s="47">
        <f t="array" ref="BA100">IF(AND(ISNUMBER(MATCH(BA$2, AsistenciaJetAdminConcatenada!$A:$A, 0)), ISNUMBER(MATCH(BA$1, AsistenciaJetAdminConcatenada!$B:$B, 0)), ISNUMBER(SEARCH($A100,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ISNUMBER(SEARCH($A100, INDEX(AsistenciaJetAdminConcatenada!$D:$D, MATCH(1, (AsistenciaJetAdminConcatenada!$A:$A=BA$2)*(AsistenciaJetAdminConcatenada!$B:$B=BA$1), 0)), 1))),  0.5, 0))</f>
        <v>1</v>
      </c>
      <c r="BB100" s="47">
        <f t="array" ref="BB100">IF(AND(ISNUMBER(MATCH(BB$2, AsistenciaJetAdminConcatenada!$A:$A, 0)), ISNUMBER(MATCH(BB$1, AsistenciaJetAdminConcatenada!$B:$B, 0)), ISNUMBER(SEARCH($A100,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ISNUMBER(SEARCH($A100, INDEX(AsistenciaJetAdminConcatenada!$D:$D, MATCH(1, (AsistenciaJetAdminConcatenada!$A:$A=BB$2)*(AsistenciaJetAdminConcatenada!$B:$B=BB$1), 0)), 1))),  0.5, 0))</f>
        <v>0</v>
      </c>
      <c r="BC100" s="47">
        <f t="array" ref="BC100">IF(AND(ISNUMBER(MATCH(BC$2, AsistenciaJetAdminConcatenada!$A:$A, 0)), ISNUMBER(MATCH(BC$1, AsistenciaJetAdminConcatenada!$B:$B, 0)), ISNUMBER(SEARCH($A100,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ISNUMBER(SEARCH($A100, INDEX(AsistenciaJetAdminConcatenada!$D:$D, MATCH(1, (AsistenciaJetAdminConcatenada!$A:$A=BC$2)*(AsistenciaJetAdminConcatenada!$B:$B=BC$1), 0)), 1))),  0.5, 0))</f>
        <v>1</v>
      </c>
      <c r="BD100" s="47">
        <f t="array" ref="BD100">IF(AND(ISNUMBER(MATCH(BD$2, AsistenciaJetAdminConcatenada!$A:$A, 0)), ISNUMBER(MATCH(BD$1, AsistenciaJetAdminConcatenada!$B:$B, 0)), ISNUMBER(SEARCH($A100,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ISNUMBER(SEARCH($A100, INDEX(AsistenciaJetAdminConcatenada!$D:$D, MATCH(1, (AsistenciaJetAdminConcatenada!$A:$A=BD$2)*(AsistenciaJetAdminConcatenada!$B:$B=BD$1), 0)), 1))),  0.5, 0))</f>
        <v>1</v>
      </c>
      <c r="BE100" s="47">
        <f t="array" ref="BE100">IF(AND(ISNUMBER(MATCH(BE$2, AsistenciaJetAdminConcatenada!$A:$A, 0)), ISNUMBER(MATCH(BE$1, AsistenciaJetAdminConcatenada!$B:$B, 0)), ISNUMBER(SEARCH($A100,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ISNUMBER(SEARCH($A100, INDEX(AsistenciaJetAdminConcatenada!$D:$D, MATCH(1, (AsistenciaJetAdminConcatenada!$A:$A=BE$2)*(AsistenciaJetAdminConcatenada!$B:$B=BE$1), 0)), 1))),  0.5, 0))</f>
        <v>0</v>
      </c>
      <c r="BF100" s="47">
        <f t="array" ref="BF100">IF(AND(ISNUMBER(MATCH(BF$2, AsistenciaJetAdminConcatenada!$A:$A, 0)), ISNUMBER(MATCH(BF$1, AsistenciaJetAdminConcatenada!$B:$B, 0)), ISNUMBER(SEARCH($A100,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ISNUMBER(SEARCH($A100, INDEX(AsistenciaJetAdminConcatenada!$D:$D, MATCH(1, (AsistenciaJetAdminConcatenada!$A:$A=BF$2)*(AsistenciaJetAdminConcatenada!$B:$B=BF$1), 0)), 1))),  0.5, 0))</f>
        <v>0</v>
      </c>
      <c r="BG100" s="47">
        <f t="array" ref="BG100">IF(AND(ISNUMBER(MATCH(BG$2, AsistenciaJetAdminConcatenada!$A:$A, 0)), ISNUMBER(MATCH(BG$1, AsistenciaJetAdminConcatenada!$B:$B, 0)), ISNUMBER(SEARCH($A100,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ISNUMBER(SEARCH($A100, INDEX(AsistenciaJetAdminConcatenada!$D:$D, MATCH(1, (AsistenciaJetAdminConcatenada!$A:$A=BG$2)*(AsistenciaJetAdminConcatenada!$B:$B=BG$1), 0)), 1))),  0.5, 0))</f>
        <v>1</v>
      </c>
      <c r="BH100" s="47">
        <f t="array" ref="BH100">IF(AND(ISNUMBER(MATCH(BH$2, AsistenciaJetAdminConcatenada!$A:$A, 0)), ISNUMBER(MATCH(BH$1, AsistenciaJetAdminConcatenada!$B:$B, 0)), ISNUMBER(SEARCH($A100,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ISNUMBER(SEARCH($A100, INDEX(AsistenciaJetAdminConcatenada!$D:$D, MATCH(1, (AsistenciaJetAdminConcatenada!$A:$A=BH$2)*(AsistenciaJetAdminConcatenada!$B:$B=BH$1), 0)), 1))),  0.5, 0))</f>
        <v>0</v>
      </c>
      <c r="BI100" s="47">
        <f t="array" ref="BI100">IF(AND(ISNUMBER(MATCH(BI$2, AsistenciaJetAdminConcatenada!$A:$A, 0)), ISNUMBER(MATCH(BI$1, AsistenciaJetAdminConcatenada!$B:$B, 0)), ISNUMBER(SEARCH($A100,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ISNUMBER(SEARCH($A100, INDEX(AsistenciaJetAdminConcatenada!$D:$D, MATCH(1, (AsistenciaJetAdminConcatenada!$A:$A=BI$2)*(AsistenciaJetAdminConcatenada!$B:$B=BI$1), 0)), 1))),  0.5, 0))</f>
        <v>1</v>
      </c>
      <c r="BJ100" s="47">
        <f t="array" ref="BJ100">IF(AND(ISNUMBER(MATCH(BJ$2, AsistenciaJetAdminConcatenada!$A:$A, 0)), ISNUMBER(MATCH(BJ$1, AsistenciaJetAdminConcatenada!$B:$B, 0)), ISNUMBER(SEARCH($A100,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ISNUMBER(SEARCH($A100, INDEX(AsistenciaJetAdminConcatenada!$D:$D, MATCH(1, (AsistenciaJetAdminConcatenada!$A:$A=BJ$2)*(AsistenciaJetAdminConcatenada!$B:$B=BJ$1), 0)), 1))),  0.5, 0))</f>
        <v>0</v>
      </c>
      <c r="BK100" s="47">
        <f t="array" ref="BK100">IF(AND(ISNUMBER(MATCH(BK$2, AsistenciaJetAdminConcatenada!$A:$A, 0)), ISNUMBER(MATCH(BK$1, AsistenciaJetAdminConcatenada!$B:$B, 0)), ISNUMBER(SEARCH($A100,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ISNUMBER(SEARCH($A100, INDEX(AsistenciaJetAdminConcatenada!$D:$D, MATCH(1, (AsistenciaJetAdminConcatenada!$A:$A=BK$2)*(AsistenciaJetAdminConcatenada!$B:$B=BK$1), 0)), 1))),  0.5, 0))</f>
        <v>0</v>
      </c>
      <c r="BL100" s="47">
        <f t="array" ref="BL100">IF(AND(ISNUMBER(MATCH(BL$2, AsistenciaJetAdminConcatenada!$A:$A, 0)), ISNUMBER(MATCH(BL$1, AsistenciaJetAdminConcatenada!$B:$B, 0)), ISNUMBER(SEARCH($A100,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ISNUMBER(SEARCH($A100, INDEX(AsistenciaJetAdminConcatenada!$D:$D, MATCH(1, (AsistenciaJetAdminConcatenada!$A:$A=BL$2)*(AsistenciaJetAdminConcatenada!$B:$B=BL$1), 0)), 1))),  0.5, 0))</f>
        <v>1</v>
      </c>
      <c r="BM100" s="47">
        <f t="array" ref="BM100">IF(AND(ISNUMBER(MATCH(BM$2, AsistenciaJetAdminConcatenada!$A:$A, 0)), ISNUMBER(MATCH(BM$1, AsistenciaJetAdminConcatenada!$B:$B, 0)), ISNUMBER(SEARCH($A100,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ISNUMBER(SEARCH($A100, INDEX(AsistenciaJetAdminConcatenada!$D:$D, MATCH(1, (AsistenciaJetAdminConcatenada!$A:$A=BM$2)*(AsistenciaJetAdminConcatenada!$B:$B=BM$1), 0)), 1))),  0.5, 0))</f>
        <v>1</v>
      </c>
      <c r="BN100" s="47">
        <f t="array" ref="BN100">IF(AND(ISNUMBER(MATCH(BN$2, AsistenciaJetAdminConcatenada!$A:$A, 0)), ISNUMBER(MATCH(BN$1, AsistenciaJetAdminConcatenada!$B:$B, 0)), ISNUMBER(SEARCH($A100,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ISNUMBER(SEARCH($A100, INDEX(AsistenciaJetAdminConcatenada!$D:$D, MATCH(1, (AsistenciaJetAdminConcatenada!$A:$A=BN$2)*(AsistenciaJetAdminConcatenada!$B:$B=BN$1), 0)), 1))),  0.5, 0))</f>
        <v>0</v>
      </c>
      <c r="BO100" s="47">
        <f t="array" ref="BO100">IF(AND(ISNUMBER(MATCH(BO$2, AsistenciaJetAdminConcatenada!$A:$A, 0)), ISNUMBER(MATCH(BO$1, AsistenciaJetAdminConcatenada!$B:$B, 0)), ISNUMBER(SEARCH($A100,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ISNUMBER(SEARCH($A100, INDEX(AsistenciaJetAdminConcatenada!$D:$D, MATCH(1, (AsistenciaJetAdminConcatenada!$A:$A=BO$2)*(AsistenciaJetAdminConcatenada!$B:$B=BO$1), 0)), 1))),  0.5, 0))</f>
        <v>1</v>
      </c>
      <c r="BP100" s="47">
        <f t="array" ref="BP100">IF(AND(ISNUMBER(MATCH(BP$2, AsistenciaJetAdminConcatenada!$A:$A, 0)), ISNUMBER(MATCH(BP$1, AsistenciaJetAdminConcatenada!$B:$B, 0)), ISNUMBER(SEARCH($A100,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ISNUMBER(SEARCH($A100, INDEX(AsistenciaJetAdminConcatenada!$D:$D, MATCH(1, (AsistenciaJetAdminConcatenada!$A:$A=BP$2)*(AsistenciaJetAdminConcatenada!$B:$B=BP$1), 0)), 1))),  0.5, 0))</f>
        <v>1</v>
      </c>
      <c r="BQ100" s="47">
        <f t="array" ref="BQ100">IF(AND(ISNUMBER(MATCH(BQ$2, AsistenciaJetAdminConcatenada!$A:$A, 0)), ISNUMBER(MATCH(BQ$1, AsistenciaJetAdminConcatenada!$B:$B, 0)), ISNUMBER(SEARCH($A100,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ISNUMBER(SEARCH($A100, INDEX(AsistenciaJetAdminConcatenada!$D:$D, MATCH(1, (AsistenciaJetAdminConcatenada!$A:$A=BQ$2)*(AsistenciaJetAdminConcatenada!$B:$B=BQ$1), 0)), 1))),  0.5, 0))</f>
        <v>0</v>
      </c>
      <c r="BR100" s="47">
        <f t="array" ref="BR100">IF(AND(ISNUMBER(MATCH(BR$2, AsistenciaJetAdminConcatenada!$A:$A, 0)), ISNUMBER(MATCH(BR$1, AsistenciaJetAdminConcatenada!$B:$B, 0)), ISNUMBER(SEARCH($A100,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ISNUMBER(SEARCH($A100, INDEX(AsistenciaJetAdminConcatenada!$D:$D, MATCH(1, (AsistenciaJetAdminConcatenada!$A:$A=BR$2)*(AsistenciaJetAdminConcatenada!$B:$B=BR$1), 0)), 1))),  0.5, 0))</f>
        <v>1</v>
      </c>
      <c r="BS100" s="47">
        <f t="array" ref="BS100">IF(AND(ISNUMBER(MATCH(BS$2, AsistenciaJetAdminConcatenada!$A:$A, 0)), ISNUMBER(MATCH(BS$1, AsistenciaJetAdminConcatenada!$B:$B, 0)), ISNUMBER(SEARCH($A100,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ISNUMBER(SEARCH($A100, INDEX(AsistenciaJetAdminConcatenada!$D:$D, MATCH(1, (AsistenciaJetAdminConcatenada!$A:$A=BS$2)*(AsistenciaJetAdminConcatenada!$B:$B=BS$1), 0)), 1))),  0.5, 0))</f>
        <v>1</v>
      </c>
      <c r="BT100" s="47">
        <f t="array" ref="BT100">IF(AND(ISNUMBER(MATCH(BT$2, AsistenciaJetAdminConcatenada!$A:$A, 0)), ISNUMBER(MATCH(BT$1, AsistenciaJetAdminConcatenada!$B:$B, 0)), ISNUMBER(SEARCH($A100,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ISNUMBER(SEARCH($A100, INDEX(AsistenciaJetAdminConcatenada!$D:$D, MATCH(1, (AsistenciaJetAdminConcatenada!$A:$A=BT$2)*(AsistenciaJetAdminConcatenada!$B:$B=BT$1), 0)), 1))),  0.5, 0))</f>
        <v>0</v>
      </c>
      <c r="BU100" s="47">
        <f t="array" ref="BU100">IF(AND(ISNUMBER(MATCH(BU$2, AsistenciaJetAdminConcatenada!$A:$A, 0)), ISNUMBER(MATCH(BU$1, AsistenciaJetAdminConcatenada!$B:$B, 0)), ISNUMBER(SEARCH($A100,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ISNUMBER(SEARCH($A100, INDEX(AsistenciaJetAdminConcatenada!$D:$D, MATCH(1, (AsistenciaJetAdminConcatenada!$A:$A=BU$2)*(AsistenciaJetAdminConcatenada!$B:$B=BU$1), 0)), 1))),  0.5, 0))</f>
        <v>0</v>
      </c>
      <c r="BV100" s="47">
        <f t="array" ref="BV100">IF(AND(ISNUMBER(MATCH(BV$2, AsistenciaJetAdminConcatenada!$A:$A, 0)), ISNUMBER(MATCH(BV$1, AsistenciaJetAdminConcatenada!$B:$B, 0)), ISNUMBER(SEARCH($A100, INDEX(AsistenciaJetAdminConcatenada!$C:$C, MATCH(1, (AsistenciaJetAdminConcatenada!$A:$A=BV$2)*(AsistenciaJetAdminConcatenada!$B:$B=BV$1), 0)), 1))), 1, IF(AND(ISNUMBER(MATCH(BV$2, AsistenciaJetAdminConcatenada!$A:$A, 0)), ISNUMBER(MATCH(BV$1, AsistenciaJetAdminConcatenada!$B:$B, 0)), ISNUMBER(SEARCH($A100, INDEX(AsistenciaJetAdminConcatenada!$D:$D, MATCH(1, (AsistenciaJetAdminConcatenada!$A:$A=BV$2)*(AsistenciaJetAdminConcatenada!$B:$B=BV$1), 0)), 1))),  0.5, 0))</f>
        <v>1</v>
      </c>
      <c r="BW100" s="47">
        <f t="array" ref="BW100">IF(AND(ISNUMBER(MATCH(BW$2, AsistenciaJetAdminConcatenada!$A:$A, 0)), ISNUMBER(MATCH(BW$1, AsistenciaJetAdminConcatenada!$B:$B, 0)), ISNUMBER(SEARCH($A100,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ISNUMBER(SEARCH($A100, INDEX(AsistenciaJetAdminConcatenada!$D:$D, MATCH(1, (AsistenciaJetAdminConcatenada!$A:$A=BW$2)*(AsistenciaJetAdminConcatenada!$B:$B=BW$1), 0)), 1))),  0.5, 0))</f>
        <v>1</v>
      </c>
      <c r="BX100" s="47">
        <f t="array" ref="BX100">IF(AND(ISNUMBER(MATCH(BX$2, AsistenciaJetAdminConcatenada!$A:$A, 0)), ISNUMBER(MATCH(BX$1, AsistenciaJetAdminConcatenada!$B:$B, 0)), ISNUMBER(SEARCH($A100,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ISNUMBER(SEARCH($A100, INDEX(AsistenciaJetAdminConcatenada!$D:$D, MATCH(1, (AsistenciaJetAdminConcatenada!$A:$A=BX$2)*(AsistenciaJetAdminConcatenada!$B:$B=BX$1), 0)), 1))),  0.5, 0))</f>
        <v>0</v>
      </c>
      <c r="BY100" s="47">
        <f t="array" ref="BY100">IF(AND(ISNUMBER(MATCH(BY$2, AsistenciaJetAdminConcatenada!$A:$A, 0)), ISNUMBER(MATCH(BY$1, AsistenciaJetAdminConcatenada!$B:$B, 0)), ISNUMBER(SEARCH($A100,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ISNUMBER(SEARCH($A100, INDEX(AsistenciaJetAdminConcatenada!$D:$D, MATCH(1, (AsistenciaJetAdminConcatenada!$A:$A=BY$2)*(AsistenciaJetAdminConcatenada!$B:$B=BY$1), 0)), 1))),  0.5, 0))</f>
        <v>0</v>
      </c>
      <c r="BZ100" s="47">
        <f t="array" ref="BZ100">IF(AND(ISNUMBER(MATCH(BZ$2, AsistenciaJetAdminConcatenada!$A:$A, 0)), ISNUMBER(MATCH(BZ$1, AsistenciaJetAdminConcatenada!$B:$B, 0)), ISNUMBER(SEARCH($A100,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ISNUMBER(SEARCH($A100, INDEX(AsistenciaJetAdminConcatenada!$D:$D, MATCH(1, (AsistenciaJetAdminConcatenada!$A:$A=BZ$2)*(AsistenciaJetAdminConcatenada!$B:$B=BZ$1), 0)), 1))),  0.5, 0))</f>
        <v>1</v>
      </c>
      <c r="CA100" s="47">
        <f t="array" ref="CA100">IF(AND(ISNUMBER(MATCH(CA$2, AsistenciaJetAdminConcatenada!$A:$A, 0)), ISNUMBER(MATCH(CA$1, AsistenciaJetAdminConcatenada!$B:$B, 0)), ISNUMBER(SEARCH($A100,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ISNUMBER(SEARCH($A100, INDEX(AsistenciaJetAdminConcatenada!$D:$D, MATCH(1, (AsistenciaJetAdminConcatenada!$A:$A=CA$2)*(AsistenciaJetAdminConcatenada!$B:$B=CA$1), 0)), 1))),  0.5, 0))</f>
        <v>1</v>
      </c>
      <c r="CB100" s="47">
        <f t="array" ref="CB100">IF(AND(ISNUMBER(MATCH(CB$2, AsistenciaJetAdminConcatenada!$A:$A, 0)), ISNUMBER(MATCH(CB$1, AsistenciaJetAdminConcatenada!$B:$B, 0)), ISNUMBER(SEARCH($A100,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ISNUMBER(SEARCH($A100, INDEX(AsistenciaJetAdminConcatenada!$D:$D, MATCH(1, (AsistenciaJetAdminConcatenada!$A:$A=CB$2)*(AsistenciaJetAdminConcatenada!$B:$B=CB$1), 0)), 1))),  0.5, 0))</f>
        <v>0</v>
      </c>
      <c r="CC100" s="47">
        <f t="array" ref="CC100">IF(AND(ISNUMBER(MATCH(CC$2, AsistenciaJetAdminConcatenada!$A:$A, 0)), ISNUMBER(MATCH(CC$1, AsistenciaJetAdminConcatenada!$B:$B, 0)), ISNUMBER(SEARCH($A100,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ISNUMBER(SEARCH($A100, INDEX(AsistenciaJetAdminConcatenada!$D:$D, MATCH(1, (AsistenciaJetAdminConcatenada!$A:$A=CC$2)*(AsistenciaJetAdminConcatenada!$B:$B=CC$1), 0)), 1))),  0.5, 0))</f>
        <v>0</v>
      </c>
      <c r="CD100" s="47">
        <f t="array" ref="CD100">IF(AND(ISNUMBER(MATCH(CD$2, AsistenciaJetAdminConcatenada!$A:$A, 0)), ISNUMBER(MATCH(CD$1, AsistenciaJetAdminConcatenada!$B:$B, 0)), ISNUMBER(SEARCH($A100,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ISNUMBER(SEARCH($A100, INDEX(AsistenciaJetAdminConcatenada!$D:$D, MATCH(1, (AsistenciaJetAdminConcatenada!$A:$A=CD$2)*(AsistenciaJetAdminConcatenada!$B:$B=CD$1), 0)), 1))),  0.5, 0))</f>
        <v>1</v>
      </c>
      <c r="CE100" s="47">
        <f t="array" ref="CE100">IF(AND(ISNUMBER(MATCH(CE$2, AsistenciaJetAdminConcatenada!$A:$A, 0)), ISNUMBER(MATCH(CE$1, AsistenciaJetAdminConcatenada!$B:$B, 0)), ISNUMBER(SEARCH($A100,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ISNUMBER(SEARCH($A100, INDEX(AsistenciaJetAdminConcatenada!$D:$D, MATCH(1, (AsistenciaJetAdminConcatenada!$A:$A=CE$2)*(AsistenciaJetAdminConcatenada!$B:$B=CE$1), 0)), 1))),  0.5, 0))</f>
        <v>1</v>
      </c>
      <c r="CF100" s="47">
        <f t="array" ref="CF100">IF(AND(ISNUMBER(MATCH(CF$2, AsistenciaJetAdminConcatenada!$A:$A, 0)), ISNUMBER(MATCH(CF$1, AsistenciaJetAdminConcatenada!$B:$B, 0)), ISNUMBER(SEARCH($A100,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ISNUMBER(SEARCH($A100, INDEX(AsistenciaJetAdminConcatenada!$D:$D, MATCH(1, (AsistenciaJetAdminConcatenada!$A:$A=CF$2)*(AsistenciaJetAdminConcatenada!$B:$B=CF$1), 0)), 1))),  0.5, 0))</f>
        <v>0</v>
      </c>
      <c r="CG100" s="47">
        <f t="array" ref="CG100">IF(AND(ISNUMBER(MATCH(CG$2, AsistenciaJetAdminConcatenada!$A:$A, 0)), ISNUMBER(MATCH(CG$1, AsistenciaJetAdminConcatenada!$B:$B, 0)), ISNUMBER(SEARCH($A100,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ISNUMBER(SEARCH($A100, INDEX(AsistenciaJetAdminConcatenada!$D:$D, MATCH(1, (AsistenciaJetAdminConcatenada!$A:$A=CG$2)*(AsistenciaJetAdminConcatenada!$B:$B=CG$1), 0)), 1))),  0.5, 0))</f>
        <v>1</v>
      </c>
      <c r="CH100" s="47">
        <f t="array" ref="CH100">IF(AND(ISNUMBER(MATCH(CH$2, AsistenciaJetAdminConcatenada!$A:$A, 0)), ISNUMBER(MATCH(CH$1, AsistenciaJetAdminConcatenada!$B:$B, 0)), ISNUMBER(SEARCH($A100,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ISNUMBER(SEARCH($A100, INDEX(AsistenciaJetAdminConcatenada!$D:$D, MATCH(1, (AsistenciaJetAdminConcatenada!$A:$A=CH$2)*(AsistenciaJetAdminConcatenada!$B:$B=CH$1), 0)), 1))),  0.5, 0))</f>
        <v>1</v>
      </c>
      <c r="CI100" s="47">
        <f t="array" ref="CI100">IF(AND(ISNUMBER(MATCH(CI$2, AsistenciaJetAdminConcatenada!$A:$A, 0)), ISNUMBER(MATCH(CI$1, AsistenciaJetAdminConcatenada!$B:$B, 0)), ISNUMBER(SEARCH($A100,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ISNUMBER(SEARCH($A100, INDEX(AsistenciaJetAdminConcatenada!$D:$D, MATCH(1, (AsistenciaJetAdminConcatenada!$A:$A=CI$2)*(AsistenciaJetAdminConcatenada!$B:$B=CI$1), 0)), 1))),  0.5, 0))</f>
        <v>1</v>
      </c>
      <c r="CJ100" s="47">
        <f t="array" ref="CJ100">IF(AND(ISNUMBER(MATCH(CJ$2, AsistenciaJetAdminConcatenada!$A:$A, 0)), ISNUMBER(MATCH(CJ$1, AsistenciaJetAdminConcatenada!$B:$B, 0)), ISNUMBER(SEARCH($A100,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ISNUMBER(SEARCH($A100, INDEX(AsistenciaJetAdminConcatenada!$D:$D, MATCH(1, (AsistenciaJetAdminConcatenada!$A:$A=CJ$2)*(AsistenciaJetAdminConcatenada!$B:$B=CJ$1), 0)), 1))),  0.5, 0))</f>
        <v>1</v>
      </c>
      <c r="CK100" s="47">
        <f t="array" ref="CK100">IF(AND(ISNUMBER(MATCH(CK$2, AsistenciaJetAdminConcatenada!$A:$A, 0)), ISNUMBER(MATCH(CK$1, AsistenciaJetAdminConcatenada!$B:$B, 0)), ISNUMBER(SEARCH($A100,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ISNUMBER(SEARCH($A100, INDEX(AsistenciaJetAdminConcatenada!$D:$D, MATCH(1, (AsistenciaJetAdminConcatenada!$A:$A=CK$2)*(AsistenciaJetAdminConcatenada!$B:$B=CK$1), 0)), 1))),  0.5, 0))</f>
        <v>1</v>
      </c>
      <c r="CL100" s="47">
        <f t="array" ref="CL100">IF(AND(ISNUMBER(MATCH(CL$2, AsistenciaJetAdminConcatenada!$A:$A, 0)), ISNUMBER(MATCH(CL$1, AsistenciaJetAdminConcatenada!$B:$B, 0)), ISNUMBER(SEARCH($A100,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ISNUMBER(SEARCH($A100, INDEX(AsistenciaJetAdminConcatenada!$D:$D, MATCH(1, (AsistenciaJetAdminConcatenada!$A:$A=CL$2)*(AsistenciaJetAdminConcatenada!$B:$B=CL$1), 0)), 1))),  0.5, 0))</f>
        <v>1</v>
      </c>
      <c r="CM100" s="47">
        <f t="array" ref="CM100">IF(AND(ISNUMBER(MATCH(CM$2, AsistenciaJetAdminConcatenada!$A:$A, 0)), ISNUMBER(MATCH(CM$1, AsistenciaJetAdminConcatenada!$B:$B, 0)), ISNUMBER(SEARCH($A100,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ISNUMBER(SEARCH($A100, INDEX(AsistenciaJetAdminConcatenada!$D:$D, MATCH(1, (AsistenciaJetAdminConcatenada!$A:$A=CM$2)*(AsistenciaJetAdminConcatenada!$B:$B=CM$1), 0)), 1))),  0.5, 0))</f>
        <v>0</v>
      </c>
      <c r="CN100" s="47">
        <f t="array" ref="CN100">IF(AND(ISNUMBER(MATCH(CN$2, AsistenciaJetAdminConcatenada!$A:$A, 0)), ISNUMBER(MATCH(CN$1, AsistenciaJetAdminConcatenada!$B:$B, 0)), ISNUMBER(SEARCH($A100,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ISNUMBER(SEARCH($A100, INDEX(AsistenciaJetAdminConcatenada!$D:$D, MATCH(1, (AsistenciaJetAdminConcatenada!$A:$A=CN$2)*(AsistenciaJetAdminConcatenada!$B:$B=CN$1), 0)), 1))),  0.5, 0))</f>
        <v>0.5</v>
      </c>
      <c r="CO100" s="47">
        <f t="array" ref="CO100">IF(AND(ISNUMBER(MATCH(CO$2, AsistenciaJetAdminConcatenada!$A:$A, 0)), ISNUMBER(MATCH(CO$1, AsistenciaJetAdminConcatenada!$B:$B, 0)), ISNUMBER(SEARCH($A100,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ISNUMBER(SEARCH($A100, INDEX(AsistenciaJetAdminConcatenada!$D:$D, MATCH(1, (AsistenciaJetAdminConcatenada!$A:$A=CO$2)*(AsistenciaJetAdminConcatenada!$B:$B=CO$1), 0)), 1))),  0.5, 0))</f>
        <v>0</v>
      </c>
      <c r="CP100" s="47">
        <f t="array" ref="CP100">IF(AND(ISNUMBER(MATCH(CP$2, AsistenciaJetAdminConcatenada!$A:$A, 0)), ISNUMBER(MATCH(CP$1, AsistenciaJetAdminConcatenada!$B:$B, 0)), ISNUMBER(SEARCH($A100,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ISNUMBER(SEARCH($A100, INDEX(AsistenciaJetAdminConcatenada!$D:$D, MATCH(1, (AsistenciaJetAdminConcatenada!$A:$A=CP$2)*(AsistenciaJetAdminConcatenada!$B:$B=CP$1), 0)), 1))),  0.5, 0))</f>
        <v>1</v>
      </c>
      <c r="CQ100" s="47">
        <f t="array" ref="CQ100">IF(AND(ISNUMBER(MATCH(CQ$2, AsistenciaJetAdminConcatenada!$A:$A, 0)), ISNUMBER(MATCH(CQ$1, AsistenciaJetAdminConcatenada!$B:$B, 0)), ISNUMBER(SEARCH($A100,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ISNUMBER(SEARCH($A100, INDEX(AsistenciaJetAdminConcatenada!$D:$D, MATCH(1, (AsistenciaJetAdminConcatenada!$A:$A=CQ$2)*(AsistenciaJetAdminConcatenada!$B:$B=CQ$1), 0)), 1))),  0.5, 0))</f>
        <v>0</v>
      </c>
      <c r="CR100" s="47">
        <f t="array" ref="CR100">IF(AND(ISNUMBER(MATCH(CR$2, AsistenciaJetAdminConcatenada!$A:$A, 0)), ISNUMBER(MATCH(CR$1, AsistenciaJetAdminConcatenada!$B:$B, 0)), ISNUMBER(SEARCH($A100,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ISNUMBER(SEARCH($A100, INDEX(AsistenciaJetAdminConcatenada!$D:$D, MATCH(1, (AsistenciaJetAdminConcatenada!$A:$A=CR$2)*(AsistenciaJetAdminConcatenada!$B:$B=CR$1), 0)), 1))),  0.5, 0))</f>
        <v>1</v>
      </c>
      <c r="CS100" s="47">
        <f t="array" ref="CS100">IF(AND(ISNUMBER(MATCH(CS$2, AsistenciaJetAdminConcatenada!$A:$A, 0)), ISNUMBER(MATCH(CS$1, AsistenciaJetAdminConcatenada!$B:$B, 0)), ISNUMBER(SEARCH($A100,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ISNUMBER(SEARCH($A100, INDEX(AsistenciaJetAdminConcatenada!$D:$D, MATCH(1, (AsistenciaJetAdminConcatenada!$A:$A=CS$2)*(AsistenciaJetAdminConcatenada!$B:$B=CS$1), 0)), 1))),  0.5, 0))</f>
        <v>0</v>
      </c>
      <c r="CT100" s="47">
        <f t="array" ref="CT100">IF(AND(ISNUMBER(MATCH(CT$2, AsistenciaJetAdminConcatenada!$A:$A, 0)), ISNUMBER(MATCH(CT$1, AsistenciaJetAdminConcatenada!$B:$B, 0)), ISNUMBER(SEARCH($A100,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ISNUMBER(SEARCH($A100, INDEX(AsistenciaJetAdminConcatenada!$D:$D, MATCH(1, (AsistenciaJetAdminConcatenada!$A:$A=CT$2)*(AsistenciaJetAdminConcatenada!$B:$B=CT$1), 0)), 1))),  0.5, 0))</f>
        <v>0</v>
      </c>
      <c r="CU100" s="47">
        <f t="array" ref="CU100">IF(AND(ISNUMBER(MATCH(CU$2, AsistenciaJetAdminConcatenada!$A:$A, 0)), ISNUMBER(MATCH(CU$1, AsistenciaJetAdminConcatenada!$B:$B, 0)), ISNUMBER(SEARCH($A100,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ISNUMBER(SEARCH($A100, INDEX(AsistenciaJetAdminConcatenada!$D:$D, MATCH(1, (AsistenciaJetAdminConcatenada!$A:$A=CU$2)*(AsistenciaJetAdminConcatenada!$B:$B=CU$1), 0)), 1))),  0.5, 0))</f>
        <v>0</v>
      </c>
      <c r="CV100" s="47">
        <f t="array" ref="CV100">IF(AND(ISNUMBER(MATCH(CV$2, AsistenciaJetAdminConcatenada!$A:$A, 0)), ISNUMBER(MATCH(CV$1, AsistenciaJetAdminConcatenada!$B:$B, 0)), ISNUMBER(SEARCH($A100,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ISNUMBER(SEARCH($A100, INDEX(AsistenciaJetAdminConcatenada!$D:$D, MATCH(1, (AsistenciaJetAdminConcatenada!$A:$A=CV$2)*(AsistenciaJetAdminConcatenada!$B:$B=CV$1), 0)), 1))),  0.5, 0))</f>
        <v>0</v>
      </c>
      <c r="CW100" s="47">
        <f t="array" ref="CW100">IF(AND(ISNUMBER(MATCH(CW$2, AsistenciaJetAdminConcatenada!$A:$A, 0)), ISNUMBER(MATCH(CW$1, AsistenciaJetAdminConcatenada!$B:$B, 0)), ISNUMBER(SEARCH($A100,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ISNUMBER(SEARCH($A100, INDEX(AsistenciaJetAdminConcatenada!$D:$D, MATCH(1, (AsistenciaJetAdminConcatenada!$A:$A=CW$2)*(AsistenciaJetAdminConcatenada!$B:$B=CW$1), 0)), 1))),  0.5, 0))</f>
        <v>0</v>
      </c>
      <c r="CX100" s="47">
        <f t="array" ref="CX100">IF(AND(ISNUMBER(MATCH(CX$2, AsistenciaJetAdminConcatenada!$A:$A, 0)), ISNUMBER(MATCH(CX$1, AsistenciaJetAdminConcatenada!$B:$B, 0)), ISNUMBER(SEARCH($A100,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ISNUMBER(SEARCH($A100, INDEX(AsistenciaJetAdminConcatenada!$D:$D, MATCH(1, (AsistenciaJetAdminConcatenada!$A:$A=CX$2)*(AsistenciaJetAdminConcatenada!$B:$B=CX$1), 0)), 1))),  0.5, 0))</f>
        <v>0</v>
      </c>
      <c r="CY100" s="47">
        <f t="array" ref="CY100">IF(AND(ISNUMBER(MATCH(CY$2, AsistenciaJetAdminConcatenada!$A:$A, 0)), ISNUMBER(MATCH(CY$1, AsistenciaJetAdminConcatenada!$B:$B, 0)), ISNUMBER(SEARCH($A100,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ISNUMBER(SEARCH($A100, INDEX(AsistenciaJetAdminConcatenada!$D:$D, MATCH(1, (AsistenciaJetAdminConcatenada!$A:$A=CY$2)*(AsistenciaJetAdminConcatenada!$B:$B=CY$1), 0)), 1))),  0.5, 0))</f>
        <v>0</v>
      </c>
      <c r="CZ100" s="47">
        <f t="array" ref="CZ100">IF(AND(ISNUMBER(MATCH(CZ$2, AsistenciaJetAdminConcatenada!$A:$A, 0)), ISNUMBER(MATCH(CZ$1, AsistenciaJetAdminConcatenada!$B:$B, 0)), ISNUMBER(SEARCH($A100,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ISNUMBER(SEARCH($A100, INDEX(AsistenciaJetAdminConcatenada!$D:$D, MATCH(1, (AsistenciaJetAdminConcatenada!$A:$A=CZ$2)*(AsistenciaJetAdminConcatenada!$B:$B=CZ$1), 0)), 1))),  0.5, 0))</f>
        <v>0</v>
      </c>
      <c r="DA100" s="47">
        <f t="array" ref="DA100">IF(AND(ISNUMBER(MATCH(DA$2, AsistenciaJetAdminConcatenada!$A:$A, 0)), ISNUMBER(MATCH(DA$1, AsistenciaJetAdminConcatenada!$B:$B, 0)), ISNUMBER(SEARCH($A100,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ISNUMBER(SEARCH($A100, INDEX(AsistenciaJetAdminConcatenada!$D:$D, MATCH(1, (AsistenciaJetAdminConcatenada!$A:$A=DA$2)*(AsistenciaJetAdminConcatenada!$B:$B=DA$1), 0)), 1))),  0.5, 0))</f>
        <v>0</v>
      </c>
      <c r="DB100" s="47">
        <f t="array" ref="DB100">IF(AND(ISNUMBER(MATCH(DB$2, AsistenciaJetAdminConcatenada!$A:$A, 0)), ISNUMBER(MATCH(DB$1, AsistenciaJetAdminConcatenada!$B:$B, 0)), ISNUMBER(SEARCH($A100,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ISNUMBER(SEARCH($A100, INDEX(AsistenciaJetAdminConcatenada!$D:$D, MATCH(1, (AsistenciaJetAdminConcatenada!$A:$A=DB$2)*(AsistenciaJetAdminConcatenada!$B:$B=DB$1), 0)), 1))),  0.5, 0))</f>
        <v>0</v>
      </c>
      <c r="DC100" s="47">
        <f t="array" ref="DC100">IF(AND(ISNUMBER(MATCH(DC$2, AsistenciaJetAdminConcatenada!$A:$A, 0)), ISNUMBER(MATCH(DC$1, AsistenciaJetAdminConcatenada!$B:$B, 0)), ISNUMBER(SEARCH($A100,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ISNUMBER(SEARCH($A100, INDEX(AsistenciaJetAdminConcatenada!$D:$D, MATCH(1, (AsistenciaJetAdminConcatenada!$A:$A=DC$2)*(AsistenciaJetAdminConcatenada!$B:$B=DC$1), 0)), 1))),  0.5, 0))</f>
        <v>0</v>
      </c>
      <c r="DD100" s="47">
        <f t="array" ref="DD100">IF(AND(ISNUMBER(MATCH(DD$2, AsistenciaJetAdminConcatenada!$A:$A, 0)), ISNUMBER(MATCH(DD$1, AsistenciaJetAdminConcatenada!$B:$B, 0)), ISNUMBER(SEARCH($A100,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ISNUMBER(SEARCH($A100, INDEX(AsistenciaJetAdminConcatenada!$D:$D, MATCH(1, (AsistenciaJetAdminConcatenada!$A:$A=DD$2)*(AsistenciaJetAdminConcatenada!$B:$B=DD$1), 0)), 1))),  0.5, 0))</f>
        <v>0</v>
      </c>
      <c r="DE100" s="47">
        <f t="array" ref="DE100">IF(AND(ISNUMBER(MATCH(DE$2, AsistenciaJetAdminConcatenada!$A:$A, 0)), ISNUMBER(MATCH(DE$1, AsistenciaJetAdminConcatenada!$B:$B, 0)), ISNUMBER(SEARCH($A100,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ISNUMBER(SEARCH($A100, INDEX(AsistenciaJetAdminConcatenada!$D:$D, MATCH(1, (AsistenciaJetAdminConcatenada!$A:$A=DE$2)*(AsistenciaJetAdminConcatenada!$B:$B=DE$1), 0)), 1))),  0.5, 0))</f>
        <v>0</v>
      </c>
      <c r="DF100" s="47">
        <f t="array" ref="DF100">IF(AND(ISNUMBER(MATCH(DF$2, AsistenciaJetAdminConcatenada!$A:$A, 0)), ISNUMBER(MATCH(DF$1, AsistenciaJetAdminConcatenada!$B:$B, 0)), ISNUMBER(SEARCH($A100,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ISNUMBER(SEARCH($A100, INDEX(AsistenciaJetAdminConcatenada!$D:$D, MATCH(1, (AsistenciaJetAdminConcatenada!$A:$A=DF$2)*(AsistenciaJetAdminConcatenada!$B:$B=DF$1), 0)), 1))),  0.5, 0))</f>
        <v>0</v>
      </c>
      <c r="DG100" s="47">
        <f t="array" ref="DG100">IF(AND(ISNUMBER(MATCH(DG$2, AsistenciaJetAdminConcatenada!$A:$A, 0)), ISNUMBER(MATCH(DG$1, AsistenciaJetAdminConcatenada!$B:$B, 0)), ISNUMBER(SEARCH($A100,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ISNUMBER(SEARCH($A100, INDEX(AsistenciaJetAdminConcatenada!$D:$D, MATCH(1, (AsistenciaJetAdminConcatenada!$A:$A=DG$2)*(AsistenciaJetAdminConcatenada!$B:$B=DG$1), 0)), 1))),  0.5, 0))</f>
        <v>0</v>
      </c>
      <c r="DH100" s="47">
        <f t="array" ref="DH100">IF(AND(ISNUMBER(MATCH(DH$2, AsistenciaJetAdminConcatenada!$A:$A, 0)), ISNUMBER(MATCH(DH$1, AsistenciaJetAdminConcatenada!$B:$B, 0)), ISNUMBER(SEARCH($A100,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ISNUMBER(SEARCH($A100, INDEX(AsistenciaJetAdminConcatenada!$D:$D, MATCH(1, (AsistenciaJetAdminConcatenada!$A:$A=DH$2)*(AsistenciaJetAdminConcatenada!$B:$B=DH$1), 0)), 1))),  0.5, 0))</f>
        <v>0</v>
      </c>
      <c r="DI100" s="47">
        <f t="array" ref="DI100">IF(AND(ISNUMBER(MATCH(DI$2, AsistenciaJetAdminConcatenada!$A:$A, 0)), ISNUMBER(MATCH(DI$1, AsistenciaJetAdminConcatenada!$B:$B, 0)), ISNUMBER(SEARCH($A100,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ISNUMBER(SEARCH($A100, INDEX(AsistenciaJetAdminConcatenada!$D:$D, MATCH(1, (AsistenciaJetAdminConcatenada!$A:$A=DI$2)*(AsistenciaJetAdminConcatenada!$B:$B=DI$1), 0)), 1))),  0.5, 0))</f>
        <v>0</v>
      </c>
      <c r="DJ100" s="47">
        <f t="array" ref="DJ100">IF(AND(ISNUMBER(MATCH(DJ$2, AsistenciaJetAdminConcatenada!$A:$A, 0)), ISNUMBER(MATCH(DJ$1, AsistenciaJetAdminConcatenada!$B:$B, 0)), ISNUMBER(SEARCH($A100,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ISNUMBER(SEARCH($A100, INDEX(AsistenciaJetAdminConcatenada!$D:$D, MATCH(1, (AsistenciaJetAdminConcatenada!$A:$A=DJ$2)*(AsistenciaJetAdminConcatenada!$B:$B=DJ$1), 0)), 1))),  0.5, 0))</f>
        <v>0</v>
      </c>
      <c r="DK100" s="47">
        <f t="array" ref="DK100">IF(AND(ISNUMBER(MATCH(DK$2, AsistenciaJetAdminConcatenada!$A:$A, 0)), ISNUMBER(MATCH(DK$1, AsistenciaJetAdminConcatenada!$B:$B, 0)), ISNUMBER(SEARCH($A100,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ISNUMBER(SEARCH($A100, INDEX(AsistenciaJetAdminConcatenada!$D:$D, MATCH(1, (AsistenciaJetAdminConcatenada!$A:$A=DK$2)*(AsistenciaJetAdminConcatenada!$B:$B=DK$1), 0)), 1))),  0.5, 0))</f>
        <v>0</v>
      </c>
      <c r="DL100" s="47">
        <f t="array" ref="DL100">IF(AND(ISNUMBER(MATCH(DL$2, AsistenciaJetAdminConcatenada!$A:$A, 0)), ISNUMBER(MATCH(DL$1, AsistenciaJetAdminConcatenada!$B:$B, 0)), ISNUMBER(SEARCH($A100,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ISNUMBER(SEARCH($A100, INDEX(AsistenciaJetAdminConcatenada!$D:$D, MATCH(1, (AsistenciaJetAdminConcatenada!$A:$A=DL$2)*(AsistenciaJetAdminConcatenada!$B:$B=DL$1), 0)), 1))),  0.5, 0))</f>
        <v>0</v>
      </c>
      <c r="DM100" s="47">
        <f t="array" ref="DM100">IF(AND(ISNUMBER(MATCH(DM$2, AsistenciaJetAdminConcatenada!$A:$A, 0)), ISNUMBER(MATCH(DM$1, AsistenciaJetAdminConcatenada!$B:$B, 0)), ISNUMBER(SEARCH($A100,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ISNUMBER(SEARCH($A100, INDEX(AsistenciaJetAdminConcatenada!$D:$D, MATCH(1, (AsistenciaJetAdminConcatenada!$A:$A=DM$2)*(AsistenciaJetAdminConcatenada!$B:$B=DM$1), 0)), 1))),  0.5, 0))</f>
        <v>0</v>
      </c>
      <c r="DN100" s="47">
        <f t="array" ref="DN100">IF(AND(ISNUMBER(MATCH(DN$2, AsistenciaJetAdminConcatenada!$A:$A, 0)), ISNUMBER(MATCH(DN$1, AsistenciaJetAdminConcatenada!$B:$B, 0)), ISNUMBER(SEARCH($A100,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ISNUMBER(SEARCH($A100, INDEX(AsistenciaJetAdminConcatenada!$D:$D, MATCH(1, (AsistenciaJetAdminConcatenada!$A:$A=DN$2)*(AsistenciaJetAdminConcatenada!$B:$B=DN$1), 0)), 1))),  0.5, 0))</f>
        <v>0</v>
      </c>
      <c r="DO100" s="47">
        <f t="array" ref="DO100">IF(AND(ISNUMBER(MATCH(DO$2, AsistenciaJetAdminConcatenada!$A:$A, 0)), ISNUMBER(MATCH(DO$1, AsistenciaJetAdminConcatenada!$B:$B, 0)), ISNUMBER(SEARCH($A100,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ISNUMBER(SEARCH($A100, INDEX(AsistenciaJetAdminConcatenada!$D:$D, MATCH(1, (AsistenciaJetAdminConcatenada!$A:$A=DO$2)*(AsistenciaJetAdminConcatenada!$B:$B=DO$1), 0)), 1))),  0.5, 0))</f>
        <v>0</v>
      </c>
      <c r="DP100" s="47">
        <f t="array" ref="DP100">IF(AND(ISNUMBER(MATCH(DP$2, AsistenciaJetAdminConcatenada!$A:$A, 0)), ISNUMBER(MATCH(DP$1, AsistenciaJetAdminConcatenada!$B:$B, 0)), ISNUMBER(SEARCH($A100,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ISNUMBER(SEARCH($A100, INDEX(AsistenciaJetAdminConcatenada!$D:$D, MATCH(1, (AsistenciaJetAdminConcatenada!$A:$A=DP$2)*(AsistenciaJetAdminConcatenada!$B:$B=DP$1), 0)), 1))),  0.5, 0))</f>
        <v>0</v>
      </c>
      <c r="DQ100" s="47">
        <f t="array" ref="DQ100">IF(AND(ISNUMBER(MATCH(DQ$2, AsistenciaJetAdminConcatenada!$A:$A, 0)), ISNUMBER(MATCH(DQ$1, AsistenciaJetAdminConcatenada!$B:$B, 0)), ISNUMBER(SEARCH($A100,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ISNUMBER(SEARCH($A100, INDEX(AsistenciaJetAdminConcatenada!$D:$D, MATCH(1, (AsistenciaJetAdminConcatenada!$A:$A=DQ$2)*(AsistenciaJetAdminConcatenada!$B:$B=DQ$1), 0)), 1))),  0.5, 0))</f>
        <v>0</v>
      </c>
      <c r="DR100" s="47">
        <f t="array" ref="DR100">IF(AND(ISNUMBER(MATCH(DR$2, AsistenciaJetAdminConcatenada!$A:$A, 0)), ISNUMBER(MATCH(DR$1, AsistenciaJetAdminConcatenada!$B:$B, 0)), ISNUMBER(SEARCH($A100,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ISNUMBER(SEARCH($A100, INDEX(AsistenciaJetAdminConcatenada!$D:$D, MATCH(1, (AsistenciaJetAdminConcatenada!$A:$A=DR$2)*(AsistenciaJetAdminConcatenada!$B:$B=DR$1), 0)), 1))),  0.5, 0))</f>
        <v>0</v>
      </c>
      <c r="DS100" s="47">
        <f t="array" ref="DS100">IF(AND(ISNUMBER(MATCH(DS$2, AsistenciaJetAdminConcatenada!$A:$A, 0)), ISNUMBER(MATCH(DS$1, AsistenciaJetAdminConcatenada!$B:$B, 0)), ISNUMBER(SEARCH($A100,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ISNUMBER(SEARCH($A100, INDEX(AsistenciaJetAdminConcatenada!$D:$D, MATCH(1, (AsistenciaJetAdminConcatenada!$A:$A=DS$2)*(AsistenciaJetAdminConcatenada!$B:$B=DS$1), 0)), 1))),  0.5, 0))</f>
        <v>0</v>
      </c>
      <c r="DT100" s="47">
        <f t="array" ref="DT100">IF(AND(ISNUMBER(MATCH(DT$2, AsistenciaJetAdminConcatenada!$A:$A, 0)), ISNUMBER(MATCH(DT$1, AsistenciaJetAdminConcatenada!$B:$B, 0)), ISNUMBER(SEARCH($A100,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ISNUMBER(SEARCH($A100, INDEX(AsistenciaJetAdminConcatenada!$D:$D, MATCH(1, (AsistenciaJetAdminConcatenada!$A:$A=DT$2)*(AsistenciaJetAdminConcatenada!$B:$B=DT$1), 0)), 1))),  0.5, 0))</f>
        <v>0</v>
      </c>
      <c r="DU100" s="47">
        <f t="array" ref="DU100">IF(AND(ISNUMBER(MATCH(DU$2, AsistenciaJetAdminConcatenada!$A:$A, 0)), ISNUMBER(MATCH(DU$1, AsistenciaJetAdminConcatenada!$B:$B, 0)), ISNUMBER(SEARCH($A100,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ISNUMBER(SEARCH($A100, INDEX(AsistenciaJetAdminConcatenada!$D:$D, MATCH(1, (AsistenciaJetAdminConcatenada!$A:$A=DU$2)*(AsistenciaJetAdminConcatenada!$B:$B=DU$1), 0)), 1))),  0.5, 0))</f>
        <v>0</v>
      </c>
      <c r="DV100" s="47">
        <f t="array" ref="DV100">IF(AND(ISNUMBER(MATCH(DV$2, AsistenciaJetAdminConcatenada!$A:$A, 0)), ISNUMBER(MATCH(DV$1, AsistenciaJetAdminConcatenada!$B:$B, 0)), ISNUMBER(SEARCH($A100,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ISNUMBER(SEARCH($A100, INDEX(AsistenciaJetAdminConcatenada!$D:$D, MATCH(1, (AsistenciaJetAdminConcatenada!$A:$A=DV$2)*(AsistenciaJetAdminConcatenada!$B:$B=DV$1), 0)), 1))),  0.5, 0))</f>
        <v>0</v>
      </c>
      <c r="DW100" s="47">
        <f t="array" ref="DW100">IF(AND(ISNUMBER(MATCH(DW$2, AsistenciaJetAdminConcatenada!$A:$A, 0)), ISNUMBER(MATCH(DW$1, AsistenciaJetAdminConcatenada!$B:$B, 0)), ISNUMBER(SEARCH($A100,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ISNUMBER(SEARCH($A100, INDEX(AsistenciaJetAdminConcatenada!$D:$D, MATCH(1, (AsistenciaJetAdminConcatenada!$A:$A=DW$2)*(AsistenciaJetAdminConcatenada!$B:$B=DW$1), 0)), 1))),  0.5, 0))</f>
        <v>0</v>
      </c>
      <c r="DX100" s="47">
        <f t="array" ref="DX100">IF(AND(ISNUMBER(MATCH(DX$2, AsistenciaJetAdminConcatenada!$A:$A, 0)), ISNUMBER(MATCH(DX$1, AsistenciaJetAdminConcatenada!$B:$B, 0)), ISNUMBER(SEARCH($A100,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ISNUMBER(SEARCH($A100, INDEX(AsistenciaJetAdminConcatenada!$D:$D, MATCH(1, (AsistenciaJetAdminConcatenada!$A:$A=DX$2)*(AsistenciaJetAdminConcatenada!$B:$B=DX$1), 0)), 1))),  0.5, 0))</f>
        <v>0</v>
      </c>
      <c r="DY100" s="47">
        <f t="array" ref="DY100">IF(AND(ISNUMBER(MATCH(DY$2, AsistenciaJetAdminConcatenada!$A:$A, 0)), ISNUMBER(MATCH(DY$1, AsistenciaJetAdminConcatenada!$B:$B, 0)), ISNUMBER(SEARCH($A100,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ISNUMBER(SEARCH($A100, INDEX(AsistenciaJetAdminConcatenada!$D:$D, MATCH(1, (AsistenciaJetAdminConcatenada!$A:$A=DY$2)*(AsistenciaJetAdminConcatenada!$B:$B=DY$1), 0)), 1))),  0.5, 0))</f>
        <v>0</v>
      </c>
      <c r="DZ100" s="47">
        <f t="array" ref="DZ100">IF(AND(ISNUMBER(MATCH(DZ$2, AsistenciaJetAdminConcatenada!$A:$A, 0)), ISNUMBER(MATCH(DZ$1, AsistenciaJetAdminConcatenada!$B:$B, 0)), ISNUMBER(SEARCH($A100,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ISNUMBER(SEARCH($A100, INDEX(AsistenciaJetAdminConcatenada!$D:$D, MATCH(1, (AsistenciaJetAdminConcatenada!$A:$A=DZ$2)*(AsistenciaJetAdminConcatenada!$B:$B=DZ$1), 0)), 1))),  0.5, 0))</f>
        <v>0</v>
      </c>
      <c r="EA100" s="47">
        <f t="array" ref="EA100">IF(AND(ISNUMBER(MATCH(EA$2, AsistenciaJetAdminConcatenada!$A:$A, 0)), ISNUMBER(MATCH(EA$1, AsistenciaJetAdminConcatenada!$B:$B, 0)), ISNUMBER(SEARCH($A100,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ISNUMBER(SEARCH($A100, INDEX(AsistenciaJetAdminConcatenada!$D:$D, MATCH(1, (AsistenciaJetAdminConcatenada!$A:$A=EA$2)*(AsistenciaJetAdminConcatenada!$B:$B=EA$1), 0)), 1))),  0.5, 0))</f>
        <v>0</v>
      </c>
      <c r="EB100" s="47">
        <f t="array" ref="EB100">IF(AND(ISNUMBER(MATCH(EB$2, AsistenciaJetAdminConcatenada!$A:$A, 0)), ISNUMBER(MATCH(EB$1, AsistenciaJetAdminConcatenada!$B:$B, 0)), ISNUMBER(SEARCH($A100,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ISNUMBER(SEARCH($A100, INDEX(AsistenciaJetAdminConcatenada!$D:$D, MATCH(1, (AsistenciaJetAdminConcatenada!$A:$A=EB$2)*(AsistenciaJetAdminConcatenada!$B:$B=EB$1), 0)), 1))),  0.5, 0))</f>
        <v>0</v>
      </c>
      <c r="EC100" s="47">
        <f t="array" ref="EC100">IF(AND(ISNUMBER(MATCH(EC$2, AsistenciaJetAdminConcatenada!$A:$A, 0)), ISNUMBER(MATCH(EC$1, AsistenciaJetAdminConcatenada!$B:$B, 0)), ISNUMBER(SEARCH($A100,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ISNUMBER(SEARCH($A100, INDEX(AsistenciaJetAdminConcatenada!$D:$D, MATCH(1, (AsistenciaJetAdminConcatenada!$A:$A=EC$2)*(AsistenciaJetAdminConcatenada!$B:$B=EC$1), 0)), 1))),  0.5, 0))</f>
        <v>0</v>
      </c>
      <c r="ED100" s="47">
        <f t="array" ref="ED100">IF(AND(ISNUMBER(MATCH(ED$2, AsistenciaJetAdminConcatenada!$A:$A, 0)), ISNUMBER(MATCH(ED$1, AsistenciaJetAdminConcatenada!$B:$B, 0)), ISNUMBER(SEARCH($A100,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ISNUMBER(SEARCH($A100, INDEX(AsistenciaJetAdminConcatenada!$D:$D, MATCH(1, (AsistenciaJetAdminConcatenada!$A:$A=ED$2)*(AsistenciaJetAdminConcatenada!$B:$B=ED$1), 0)), 1))),  0.5, 0))</f>
        <v>0</v>
      </c>
      <c r="EE100" s="47">
        <f t="array" ref="EE100">IF(AND(ISNUMBER(MATCH(EE$2, AsistenciaJetAdminConcatenada!$A:$A, 0)), ISNUMBER(MATCH(EE$1, AsistenciaJetAdminConcatenada!$B:$B, 0)), ISNUMBER(SEARCH($A100,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ISNUMBER(SEARCH($A100, INDEX(AsistenciaJetAdminConcatenada!$D:$D, MATCH(1, (AsistenciaJetAdminConcatenada!$A:$A=EE$2)*(AsistenciaJetAdminConcatenada!$B:$B=EE$1), 0)), 1))),  0.5, 0))</f>
        <v>0</v>
      </c>
      <c r="EF100" s="47">
        <f t="array" ref="EF100">IF(AND(ISNUMBER(MATCH(EF$2, AsistenciaJetAdminConcatenada!$A:$A, 0)), ISNUMBER(MATCH(EF$1, AsistenciaJetAdminConcatenada!$B:$B, 0)), ISNUMBER(SEARCH($A100,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ISNUMBER(SEARCH($A100, INDEX(AsistenciaJetAdminConcatenada!$D:$D, MATCH(1, (AsistenciaJetAdminConcatenada!$A:$A=EF$2)*(AsistenciaJetAdminConcatenada!$B:$B=EF$1), 0)), 1))),  0.5, 0))</f>
        <v>0</v>
      </c>
      <c r="EG100" s="47">
        <f t="array" ref="EG100">IF(AND(ISNUMBER(MATCH(EG$2, AsistenciaJetAdminConcatenada!$A:$A, 0)), ISNUMBER(MATCH(EG$1, AsistenciaJetAdminConcatenada!$B:$B, 0)), ISNUMBER(SEARCH($A100,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ISNUMBER(SEARCH($A100, INDEX(AsistenciaJetAdminConcatenada!$D:$D, MATCH(1, (AsistenciaJetAdminConcatenada!$A:$A=EG$2)*(AsistenciaJetAdminConcatenada!$B:$B=EG$1), 0)), 1))),  0.5, 0))</f>
        <v>0</v>
      </c>
      <c r="EH100" s="47">
        <f t="array" ref="EH100">IF(AND(ISNUMBER(MATCH(EH$2, AsistenciaJetAdminConcatenada!$A:$A, 0)), ISNUMBER(MATCH(EH$1, AsistenciaJetAdminConcatenada!$B:$B, 0)), ISNUMBER(SEARCH($A100,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ISNUMBER(SEARCH($A100, INDEX(AsistenciaJetAdminConcatenada!$D:$D, MATCH(1, (AsistenciaJetAdminConcatenada!$A:$A=EH$2)*(AsistenciaJetAdminConcatenada!$B:$B=EH$1), 0)), 1))),  0.5, 0))</f>
        <v>0</v>
      </c>
      <c r="EI100" s="47">
        <f t="array" ref="EI100">IF(AND(ISNUMBER(MATCH(EI$2, AsistenciaJetAdminConcatenada!$A:$A, 0)), ISNUMBER(MATCH(EI$1, AsistenciaJetAdminConcatenada!$B:$B, 0)), ISNUMBER(SEARCH($A100,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ISNUMBER(SEARCH($A100, INDEX(AsistenciaJetAdminConcatenada!$D:$D, MATCH(1, (AsistenciaJetAdminConcatenada!$A:$A=EI$2)*(AsistenciaJetAdminConcatenada!$B:$B=EI$1), 0)), 1))),  0.5, 0))</f>
        <v>0</v>
      </c>
      <c r="EJ100" s="47">
        <f t="array" ref="EJ100">IF(AND(ISNUMBER(MATCH(EJ$2, AsistenciaJetAdminConcatenada!$A:$A, 0)), ISNUMBER(MATCH(EJ$1, AsistenciaJetAdminConcatenada!$B:$B, 0)), ISNUMBER(SEARCH($A100,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ISNUMBER(SEARCH($A100, INDEX(AsistenciaJetAdminConcatenada!$D:$D, MATCH(1, (AsistenciaJetAdminConcatenada!$A:$A=EJ$2)*(AsistenciaJetAdminConcatenada!$B:$B=EJ$1), 0)), 1))),  0.5, 0))</f>
        <v>0</v>
      </c>
      <c r="EK100" s="47">
        <f t="array" ref="EK100">IF(AND(ISNUMBER(MATCH(EK$2, AsistenciaJetAdminConcatenada!$A:$A, 0)), ISNUMBER(MATCH(EK$1, AsistenciaJetAdminConcatenada!$B:$B, 0)), ISNUMBER(SEARCH($A100,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ISNUMBER(SEARCH($A100, INDEX(AsistenciaJetAdminConcatenada!$D:$D, MATCH(1, (AsistenciaJetAdminConcatenada!$A:$A=EK$2)*(AsistenciaJetAdminConcatenada!$B:$B=EK$1), 0)), 1))),  0.5, 0))</f>
        <v>0</v>
      </c>
      <c r="EL100" s="47">
        <f t="array" ref="EL100">IF(AND(ISNUMBER(MATCH(EL$2, AsistenciaJetAdminConcatenada!$A:$A, 0)), ISNUMBER(MATCH(EL$1, AsistenciaJetAdminConcatenada!$B:$B, 0)), ISNUMBER(SEARCH($A100,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ISNUMBER(SEARCH($A100, INDEX(AsistenciaJetAdminConcatenada!$D:$D, MATCH(1, (AsistenciaJetAdminConcatenada!$A:$A=EL$2)*(AsistenciaJetAdminConcatenada!$B:$B=EL$1), 0)), 1))),  0.5, 0))</f>
        <v>0</v>
      </c>
      <c r="EM100" s="47">
        <f t="array" ref="EM100">IF(AND(ISNUMBER(MATCH(EM$2, AsistenciaJetAdminConcatenada!$A:$A, 0)), ISNUMBER(MATCH(EM$1, AsistenciaJetAdminConcatenada!$B:$B, 0)), ISNUMBER(SEARCH($A100,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ISNUMBER(SEARCH($A100, INDEX(AsistenciaJetAdminConcatenada!$D:$D, MATCH(1, (AsistenciaJetAdminConcatenada!$A:$A=EM$2)*(AsistenciaJetAdminConcatenada!$B:$B=EM$1), 0)), 1))),  0.5, 0))</f>
        <v>0</v>
      </c>
      <c r="EN100" s="47">
        <f t="array" ref="EN100">IF(AND(ISNUMBER(MATCH(EN$2, AsistenciaJetAdminConcatenada!$A:$A, 0)), ISNUMBER(MATCH(EN$1, AsistenciaJetAdminConcatenada!$B:$B, 0)), ISNUMBER(SEARCH($A100,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ISNUMBER(SEARCH($A100, INDEX(AsistenciaJetAdminConcatenada!$D:$D, MATCH(1, (AsistenciaJetAdminConcatenada!$A:$A=EN$2)*(AsistenciaJetAdminConcatenada!$B:$B=EN$1), 0)), 1))),  0.5, 0))</f>
        <v>0</v>
      </c>
      <c r="EO100" s="47">
        <f t="array" ref="EO100">IF(AND(ISNUMBER(MATCH(EO$2, AsistenciaJetAdminConcatenada!$A:$A, 0)), ISNUMBER(MATCH(EO$1, AsistenciaJetAdminConcatenada!$B:$B, 0)), ISNUMBER(SEARCH($A100,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ISNUMBER(SEARCH($A100, INDEX(AsistenciaJetAdminConcatenada!$D:$D, MATCH(1, (AsistenciaJetAdminConcatenada!$A:$A=EO$2)*(AsistenciaJetAdminConcatenada!$B:$B=EO$1), 0)), 1))),  0.5, 0))</f>
        <v>0</v>
      </c>
      <c r="EP100" s="47">
        <f t="array" ref="EP100">IF(AND(ISNUMBER(MATCH(EP$2, AsistenciaJetAdminConcatenada!$A:$A, 0)), ISNUMBER(MATCH(EP$1, AsistenciaJetAdminConcatenada!$B:$B, 0)), ISNUMBER(SEARCH($A100,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ISNUMBER(SEARCH($A100, INDEX(AsistenciaJetAdminConcatenada!$D:$D, MATCH(1, (AsistenciaJetAdminConcatenada!$A:$A=EP$2)*(AsistenciaJetAdminConcatenada!$B:$B=EP$1), 0)), 1))),  0.5, 0))</f>
        <v>0</v>
      </c>
      <c r="EQ100" s="47">
        <f t="array" ref="EQ100">IF(AND(ISNUMBER(MATCH(EQ$2, AsistenciaJetAdminConcatenada!$A:$A, 0)), ISNUMBER(MATCH(EQ$1, AsistenciaJetAdminConcatenada!$B:$B, 0)), ISNUMBER(SEARCH($A100,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ISNUMBER(SEARCH($A100, INDEX(AsistenciaJetAdminConcatenada!$D:$D, MATCH(1, (AsistenciaJetAdminConcatenada!$A:$A=EQ$2)*(AsistenciaJetAdminConcatenada!$B:$B=EQ$1), 0)), 1))),  0.5, 0))</f>
        <v>0</v>
      </c>
      <c r="ER100" s="47">
        <f t="array" ref="ER100">IF(AND(ISNUMBER(MATCH(ER$2, AsistenciaJetAdminConcatenada!$A:$A, 0)), ISNUMBER(MATCH(ER$1, AsistenciaJetAdminConcatenada!$B:$B, 0)), ISNUMBER(SEARCH($A100,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ISNUMBER(SEARCH($A100, INDEX(AsistenciaJetAdminConcatenada!$D:$D, MATCH(1, (AsistenciaJetAdminConcatenada!$A:$A=ER$2)*(AsistenciaJetAdminConcatenada!$B:$B=ER$1), 0)), 1))),  0.5, 0))</f>
        <v>0</v>
      </c>
      <c r="ES100" s="47">
        <f t="array" ref="ES100">IF(AND(ISNUMBER(MATCH(ES$2, AsistenciaJetAdminConcatenada!$A:$A, 0)), ISNUMBER(MATCH(ES$1, AsistenciaJetAdminConcatenada!$B:$B, 0)), ISNUMBER(SEARCH($A100,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ISNUMBER(SEARCH($A100, INDEX(AsistenciaJetAdminConcatenada!$D:$D, MATCH(1, (AsistenciaJetAdminConcatenada!$A:$A=ES$2)*(AsistenciaJetAdminConcatenada!$B:$B=ES$1), 0)), 1))),  0.5, 0))</f>
        <v>0</v>
      </c>
      <c r="ET100" s="47">
        <f t="array" ref="ET100">IF(AND(ISNUMBER(MATCH(ET$2, AsistenciaJetAdminConcatenada!$A:$A, 0)), ISNUMBER(MATCH(ET$1, AsistenciaJetAdminConcatenada!$B:$B, 0)), ISNUMBER(SEARCH($A100,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ISNUMBER(SEARCH($A100, INDEX(AsistenciaJetAdminConcatenada!$D:$D, MATCH(1, (AsistenciaJetAdminConcatenada!$A:$A=ET$2)*(AsistenciaJetAdminConcatenada!$B:$B=ET$1), 0)), 1))),  0.5, 0))</f>
        <v>0</v>
      </c>
      <c r="EU100" s="47">
        <f t="array" ref="EU100">IF(AND(ISNUMBER(MATCH(EU$2, AsistenciaJetAdminConcatenada!$A:$A, 0)), ISNUMBER(MATCH(EU$1, AsistenciaJetAdminConcatenada!$B:$B, 0)), ISNUMBER(SEARCH($A100,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ISNUMBER(SEARCH($A100, INDEX(AsistenciaJetAdminConcatenada!$D:$D, MATCH(1, (AsistenciaJetAdminConcatenada!$A:$A=EU$2)*(AsistenciaJetAdminConcatenada!$B:$B=EU$1), 0)), 1))),  0.5, 0))</f>
        <v>0</v>
      </c>
      <c r="EV100" s="47">
        <f t="array" ref="EV100">IF(AND(ISNUMBER(MATCH(EV$2, AsistenciaJetAdminConcatenada!$A:$A, 0)), ISNUMBER(MATCH(EV$1, AsistenciaJetAdminConcatenada!$B:$B, 0)), ISNUMBER(SEARCH($A100,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ISNUMBER(SEARCH($A100, INDEX(AsistenciaJetAdminConcatenada!$D:$D, MATCH(1, (AsistenciaJetAdminConcatenada!$A:$A=EV$2)*(AsistenciaJetAdminConcatenada!$B:$B=EV$1), 0)), 1))),  0.5, 0))</f>
        <v>0</v>
      </c>
      <c r="EW100" s="47">
        <f t="array" ref="EW100">IF(AND(ISNUMBER(MATCH(EW$2, AsistenciaJetAdminConcatenada!$A:$A, 0)), ISNUMBER(MATCH(EW$1, AsistenciaJetAdminConcatenada!$B:$B, 0)), ISNUMBER(SEARCH($A100,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ISNUMBER(SEARCH($A100, INDEX(AsistenciaJetAdminConcatenada!$D:$D, MATCH(1, (AsistenciaJetAdminConcatenada!$A:$A=EW$2)*(AsistenciaJetAdminConcatenada!$B:$B=EW$1), 0)), 1))),  0.5, 0))</f>
        <v>0</v>
      </c>
      <c r="EX100" s="47">
        <f t="array" ref="EX100">IF(AND(ISNUMBER(MATCH(EX$2, AsistenciaJetAdminConcatenada!$A:$A, 0)), ISNUMBER(MATCH(EX$1, AsistenciaJetAdminConcatenada!$B:$B, 0)), ISNUMBER(SEARCH($A100,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ISNUMBER(SEARCH($A100, INDEX(AsistenciaJetAdminConcatenada!$D:$D, MATCH(1, (AsistenciaJetAdminConcatenada!$A:$A=EX$2)*(AsistenciaJetAdminConcatenada!$B:$B=EX$1), 0)), 1))),  0.5, 0))</f>
        <v>0</v>
      </c>
      <c r="EY100" s="47">
        <f t="array" ref="EY100">IF(AND(ISNUMBER(MATCH(EY$2, AsistenciaJetAdminConcatenada!$A:$A, 0)), ISNUMBER(MATCH(EY$1, AsistenciaJetAdminConcatenada!$B:$B, 0)), ISNUMBER(SEARCH($A100,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ISNUMBER(SEARCH($A100, INDEX(AsistenciaJetAdminConcatenada!$D:$D, MATCH(1, (AsistenciaJetAdminConcatenada!$A:$A=EY$2)*(AsistenciaJetAdminConcatenada!$B:$B=EY$1), 0)), 1))),  0.5, 0))</f>
        <v>0</v>
      </c>
      <c r="EZ100" s="47">
        <f t="array" ref="EZ100">IF(AND(ISNUMBER(MATCH(EZ$2, AsistenciaJetAdminConcatenada!$A:$A, 0)), ISNUMBER(MATCH(EZ$1, AsistenciaJetAdminConcatenada!$B:$B, 0)), ISNUMBER(SEARCH($A100,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ISNUMBER(SEARCH($A100, INDEX(AsistenciaJetAdminConcatenada!$D:$D, MATCH(1, (AsistenciaJetAdminConcatenada!$A:$A=EZ$2)*(AsistenciaJetAdminConcatenada!$B:$B=EZ$1), 0)), 1))),  0.5, 0))</f>
        <v>0</v>
      </c>
      <c r="FA100" s="47">
        <f t="array" ref="FA100">IF(AND(ISNUMBER(MATCH(FA$2, AsistenciaJetAdminConcatenada!$A:$A, 0)), ISNUMBER(MATCH(FA$1, AsistenciaJetAdminConcatenada!$B:$B, 0)), ISNUMBER(SEARCH($A100,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ISNUMBER(SEARCH($A100, INDEX(AsistenciaJetAdminConcatenada!$D:$D, MATCH(1, (AsistenciaJetAdminConcatenada!$A:$A=FA$2)*(AsistenciaJetAdminConcatenada!$B:$B=FA$1), 0)), 1))),  0.5, 0))</f>
        <v>0</v>
      </c>
      <c r="FB100" s="47">
        <f t="array" ref="FB100">IF(AND(ISNUMBER(MATCH(FB$2, AsistenciaJetAdminConcatenada!$A:$A, 0)), ISNUMBER(MATCH(FB$1, AsistenciaJetAdminConcatenada!$B:$B, 0)), ISNUMBER(SEARCH($A100,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ISNUMBER(SEARCH($A100, INDEX(AsistenciaJetAdminConcatenada!$D:$D, MATCH(1, (AsistenciaJetAdminConcatenada!$A:$A=FB$2)*(AsistenciaJetAdminConcatenada!$B:$B=FB$1), 0)), 1))),  0.5, 0))</f>
        <v>0</v>
      </c>
      <c r="FC100" s="47">
        <f t="array" ref="FC100">IF(AND(ISNUMBER(MATCH(FC$2, AsistenciaJetAdminConcatenada!$A:$A, 0)), ISNUMBER(MATCH(FC$1, AsistenciaJetAdminConcatenada!$B:$B, 0)), ISNUMBER(SEARCH($A100,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ISNUMBER(SEARCH($A100, INDEX(AsistenciaJetAdminConcatenada!$D:$D, MATCH(1, (AsistenciaJetAdminConcatenada!$A:$A=FC$2)*(AsistenciaJetAdminConcatenada!$B:$B=FC$1), 0)), 1))),  0.5, 0))</f>
        <v>0</v>
      </c>
      <c r="FD100" s="47">
        <f t="array" ref="FD100">IF(AND(ISNUMBER(MATCH(FD$2, AsistenciaJetAdminConcatenada!$A:$A, 0)), ISNUMBER(MATCH(FD$1, AsistenciaJetAdminConcatenada!$B:$B, 0)), ISNUMBER(SEARCH($A100,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ISNUMBER(SEARCH($A100, INDEX(AsistenciaJetAdminConcatenada!$D:$D, MATCH(1, (AsistenciaJetAdminConcatenada!$A:$A=FD$2)*(AsistenciaJetAdminConcatenada!$B:$B=FD$1), 0)), 1))),  0.5, 0))</f>
        <v>0</v>
      </c>
      <c r="FE100" s="47">
        <f t="array" ref="FE100">IF(AND(ISNUMBER(MATCH(FE$2, AsistenciaJetAdminConcatenada!$A:$A, 0)), ISNUMBER(MATCH(FE$1, AsistenciaJetAdminConcatenada!$B:$B, 0)), ISNUMBER(SEARCH($A100,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ISNUMBER(SEARCH($A100, INDEX(AsistenciaJetAdminConcatenada!$D:$D, MATCH(1, (AsistenciaJetAdminConcatenada!$A:$A=FE$2)*(AsistenciaJetAdminConcatenada!$B:$B=FE$1), 0)), 1))),  0.5, 0))</f>
        <v>0</v>
      </c>
      <c r="FF100" s="47">
        <f t="array" ref="FF100">IF(AND(ISNUMBER(MATCH(FF$2, AsistenciaJetAdminConcatenada!$A:$A, 0)), ISNUMBER(MATCH(FF$1, AsistenciaJetAdminConcatenada!$B:$B, 0)), ISNUMBER(SEARCH($A100,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ISNUMBER(SEARCH($A100, INDEX(AsistenciaJetAdminConcatenada!$D:$D, MATCH(1, (AsistenciaJetAdminConcatenada!$A:$A=FF$2)*(AsistenciaJetAdminConcatenada!$B:$B=FF$1), 0)), 1))),  0.5, 0))</f>
        <v>0</v>
      </c>
      <c r="FG100" s="47">
        <f t="array" ref="FG100">IF(AND(ISNUMBER(MATCH(FG$2, AsistenciaJetAdminConcatenada!$A:$A, 0)), ISNUMBER(MATCH(FG$1, AsistenciaJetAdminConcatenada!$B:$B, 0)), ISNUMBER(SEARCH($A100,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ISNUMBER(SEARCH($A100, INDEX(AsistenciaJetAdminConcatenada!$D:$D, MATCH(1, (AsistenciaJetAdminConcatenada!$A:$A=FG$2)*(AsistenciaJetAdminConcatenada!$B:$B=FG$1), 0)), 1))),  0.5, 0))</f>
        <v>0</v>
      </c>
      <c r="FH100" s="47">
        <f t="array" ref="FH100">IF(AND(ISNUMBER(MATCH(FH$2, AsistenciaJetAdminConcatenada!$A:$A, 0)), ISNUMBER(MATCH(FH$1, AsistenciaJetAdminConcatenada!$B:$B, 0)), ISNUMBER(SEARCH($A100,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ISNUMBER(SEARCH($A100, INDEX(AsistenciaJetAdminConcatenada!$D:$D, MATCH(1, (AsistenciaJetAdminConcatenada!$A:$A=FH$2)*(AsistenciaJetAdminConcatenada!$B:$B=FH$1), 0)), 1))),  0.5, 0))</f>
        <v>0</v>
      </c>
      <c r="FI100" s="47">
        <f t="array" ref="FI100">IF(AND(ISNUMBER(MATCH(FI$2, AsistenciaJetAdminConcatenada!$A:$A, 0)), ISNUMBER(MATCH(FI$1, AsistenciaJetAdminConcatenada!$B:$B, 0)), ISNUMBER(SEARCH($A100,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ISNUMBER(SEARCH($A100, INDEX(AsistenciaJetAdminConcatenada!$D:$D, MATCH(1, (AsistenciaJetAdminConcatenada!$A:$A=FI$2)*(AsistenciaJetAdminConcatenada!$B:$B=FI$1), 0)), 1))),  0.5, 0))</f>
        <v>0</v>
      </c>
      <c r="FJ100" s="47">
        <f t="array" ref="FJ100">IF(AND(ISNUMBER(MATCH(FJ$2, AsistenciaJetAdminConcatenada!$A:$A, 0)), ISNUMBER(MATCH(FJ$1, AsistenciaJetAdminConcatenada!$B:$B, 0)), ISNUMBER(SEARCH($A100,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ISNUMBER(SEARCH($A100, INDEX(AsistenciaJetAdminConcatenada!$D:$D, MATCH(1, (AsistenciaJetAdminConcatenada!$A:$A=FJ$2)*(AsistenciaJetAdminConcatenada!$B:$B=FJ$1), 0)), 1))),  0.5, 0))</f>
        <v>0</v>
      </c>
      <c r="FK100" s="47">
        <f t="array" ref="FK100">IF(AND(ISNUMBER(MATCH(FK$2, AsistenciaJetAdminConcatenada!$A:$A, 0)), ISNUMBER(MATCH(FK$1, AsistenciaJetAdminConcatenada!$B:$B, 0)), ISNUMBER(SEARCH($A100,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ISNUMBER(SEARCH($A100, INDEX(AsistenciaJetAdminConcatenada!$D:$D, MATCH(1, (AsistenciaJetAdminConcatenada!$A:$A=FK$2)*(AsistenciaJetAdminConcatenada!$B:$B=FK$1), 0)), 1))),  0.5, 0))</f>
        <v>0</v>
      </c>
      <c r="FL100" s="47">
        <f t="array" ref="FL100">IF(AND(ISNUMBER(MATCH(FL$2, AsistenciaJetAdminConcatenada!$A:$A, 0)), ISNUMBER(MATCH(FL$1, AsistenciaJetAdminConcatenada!$B:$B, 0)), ISNUMBER(SEARCH($A100,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ISNUMBER(SEARCH($A100, INDEX(AsistenciaJetAdminConcatenada!$D:$D, MATCH(1, (AsistenciaJetAdminConcatenada!$A:$A=FL$2)*(AsistenciaJetAdminConcatenada!$B:$B=FL$1), 0)), 1))),  0.5, 0))</f>
        <v>0</v>
      </c>
      <c r="FM100" s="47">
        <f t="array" ref="FM100">IF(AND(ISNUMBER(MATCH(FM$2, AsistenciaJetAdminConcatenada!$A:$A, 0)), ISNUMBER(MATCH(FM$1, AsistenciaJetAdminConcatenada!$B:$B, 0)), ISNUMBER(SEARCH($A100,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ISNUMBER(SEARCH($A100, INDEX(AsistenciaJetAdminConcatenada!$D:$D, MATCH(1, (AsistenciaJetAdminConcatenada!$A:$A=FM$2)*(AsistenciaJetAdminConcatenada!$B:$B=FM$1), 0)), 1))),  0.5, 0))</f>
        <v>0</v>
      </c>
      <c r="FN100" s="47">
        <f t="array" ref="FN100">IF(AND(ISNUMBER(MATCH(FN$2, AsistenciaJetAdminConcatenada!$A:$A, 0)), ISNUMBER(MATCH(FN$1, AsistenciaJetAdminConcatenada!$B:$B, 0)), ISNUMBER(SEARCH($A100,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ISNUMBER(SEARCH($A100, INDEX(AsistenciaJetAdminConcatenada!$D:$D, MATCH(1, (AsistenciaJetAdminConcatenada!$A:$A=FN$2)*(AsistenciaJetAdminConcatenada!$B:$B=FN$1), 0)), 1))),  0.5, 0))</f>
        <v>0</v>
      </c>
      <c r="FO100" s="47">
        <f t="array" ref="FO100">IF(AND(ISNUMBER(MATCH(FO$2, AsistenciaJetAdminConcatenada!$A:$A, 0)), ISNUMBER(MATCH(FO$1, AsistenciaJetAdminConcatenada!$B:$B, 0)), ISNUMBER(SEARCH($A100,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ISNUMBER(SEARCH($A100, INDEX(AsistenciaJetAdminConcatenada!$D:$D, MATCH(1, (AsistenciaJetAdminConcatenada!$A:$A=FO$2)*(AsistenciaJetAdminConcatenada!$B:$B=FO$1), 0)), 1))),  0.5, 0))</f>
        <v>0</v>
      </c>
      <c r="FP100" s="47">
        <f t="array" ref="FP100">IF(AND(ISNUMBER(MATCH(FP$2, AsistenciaJetAdminConcatenada!$A:$A, 0)), ISNUMBER(MATCH(FP$1, AsistenciaJetAdminConcatenada!$B:$B, 0)), ISNUMBER(SEARCH($A100,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ISNUMBER(SEARCH($A100, INDEX(AsistenciaJetAdminConcatenada!$D:$D, MATCH(1, (AsistenciaJetAdminConcatenada!$A:$A=FP$2)*(AsistenciaJetAdminConcatenada!$B:$B=FP$1), 0)), 1))),  0.5, 0))</f>
        <v>0</v>
      </c>
      <c r="FQ100" s="47">
        <f t="array" ref="FQ100">IF(AND(ISNUMBER(MATCH(FQ$2, AsistenciaJetAdminConcatenada!$A:$A, 0)), ISNUMBER(MATCH(FQ$1, AsistenciaJetAdminConcatenada!$B:$B, 0)), ISNUMBER(SEARCH($A100,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ISNUMBER(SEARCH($A100, INDEX(AsistenciaJetAdminConcatenada!$D:$D, MATCH(1, (AsistenciaJetAdminConcatenada!$A:$A=FQ$2)*(AsistenciaJetAdminConcatenada!$B:$B=FQ$1), 0)), 1))),  0.5, 0))</f>
        <v>0</v>
      </c>
      <c r="FR100" s="47">
        <f t="array" ref="FR100">IF(AND(ISNUMBER(MATCH(FR$2, AsistenciaJetAdminConcatenada!$A:$A, 0)), ISNUMBER(MATCH(FR$1, AsistenciaJetAdminConcatenada!$B:$B, 0)), ISNUMBER(SEARCH($A100,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ISNUMBER(SEARCH($A100, INDEX(AsistenciaJetAdminConcatenada!$D:$D, MATCH(1, (AsistenciaJetAdminConcatenada!$A:$A=FR$2)*(AsistenciaJetAdminConcatenada!$B:$B=FR$1), 0)), 1))),  0.5, 0))</f>
        <v>0</v>
      </c>
      <c r="FS100" s="47">
        <f t="array" ref="FS100">IF(AND(ISNUMBER(MATCH(FS$2, AsistenciaJetAdminConcatenada!$A:$A, 0)), ISNUMBER(MATCH(FS$1, AsistenciaJetAdminConcatenada!$B:$B, 0)), ISNUMBER(SEARCH($A100,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ISNUMBER(SEARCH($A100, INDEX(AsistenciaJetAdminConcatenada!$D:$D, MATCH(1, (AsistenciaJetAdminConcatenada!$A:$A=FS$2)*(AsistenciaJetAdminConcatenada!$B:$B=FS$1), 0)), 1))),  0.5, 0))</f>
        <v>0</v>
      </c>
      <c r="FT100" s="47">
        <f t="array" ref="FT100">IF(AND(ISNUMBER(MATCH(FT$2, AsistenciaJetAdminConcatenada!$A:$A, 0)), ISNUMBER(MATCH(FT$1, AsistenciaJetAdminConcatenada!$B:$B, 0)), ISNUMBER(SEARCH($A100,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ISNUMBER(SEARCH($A100, INDEX(AsistenciaJetAdminConcatenada!$D:$D, MATCH(1, (AsistenciaJetAdminConcatenada!$A:$A=FT$2)*(AsistenciaJetAdminConcatenada!$B:$B=FT$1), 0)), 1))),  0.5, 0))</f>
        <v>0</v>
      </c>
      <c r="FU100" s="47">
        <f t="array" ref="FU100">IF(AND(ISNUMBER(MATCH(FU$2, AsistenciaJetAdminConcatenada!$A:$A, 0)), ISNUMBER(MATCH(FU$1, AsistenciaJetAdminConcatenada!$B:$B, 0)), ISNUMBER(SEARCH($A100,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ISNUMBER(SEARCH($A100, INDEX(AsistenciaJetAdminConcatenada!$D:$D, MATCH(1, (AsistenciaJetAdminConcatenada!$A:$A=FU$2)*(AsistenciaJetAdminConcatenada!$B:$B=FU$1), 0)), 1))),  0.5, 0))</f>
        <v>0</v>
      </c>
      <c r="FV100" s="47">
        <f t="array" ref="FV100">IF(AND(ISNUMBER(MATCH(FV$2, AsistenciaJetAdminConcatenada!$A:$A, 0)), ISNUMBER(MATCH(FV$1, AsistenciaJetAdminConcatenada!$B:$B, 0)), ISNUMBER(SEARCH($A100,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ISNUMBER(SEARCH($A100, INDEX(AsistenciaJetAdminConcatenada!$D:$D, MATCH(1, (AsistenciaJetAdminConcatenada!$A:$A=FV$2)*(AsistenciaJetAdminConcatenada!$B:$B=FV$1), 0)), 1))),  0.5, 0))</f>
        <v>0</v>
      </c>
      <c r="FW100" s="47">
        <f t="array" ref="FW100">IF(AND(ISNUMBER(MATCH(FW$2, AsistenciaJetAdminConcatenada!$A:$A, 0)), ISNUMBER(MATCH(FW$1, AsistenciaJetAdminConcatenada!$B:$B, 0)), ISNUMBER(SEARCH($A100,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ISNUMBER(SEARCH($A100, INDEX(AsistenciaJetAdminConcatenada!$D:$D, MATCH(1, (AsistenciaJetAdminConcatenada!$A:$A=FW$2)*(AsistenciaJetAdminConcatenada!$B:$B=FW$1), 0)), 1))),  0.5, 0))</f>
        <v>0</v>
      </c>
      <c r="FX100" s="47">
        <f t="array" ref="FX100">IF(AND(ISNUMBER(MATCH(FX$2, AsistenciaJetAdminConcatenada!$A:$A, 0)), ISNUMBER(MATCH(FX$1, AsistenciaJetAdminConcatenada!$B:$B, 0)), ISNUMBER(SEARCH($A100,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ISNUMBER(SEARCH($A100, INDEX(AsistenciaJetAdminConcatenada!$D:$D, MATCH(1, (AsistenciaJetAdminConcatenada!$A:$A=FX$2)*(AsistenciaJetAdminConcatenada!$B:$B=FX$1), 0)), 1))),  0.5, 0))</f>
        <v>0</v>
      </c>
      <c r="FY100" s="47">
        <f t="array" ref="FY100">IF(AND(ISNUMBER(MATCH(FY$2, AsistenciaJetAdminConcatenada!$A:$A, 0)), ISNUMBER(MATCH(FY$1, AsistenciaJetAdminConcatenada!$B:$B, 0)), ISNUMBER(SEARCH($A100,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ISNUMBER(SEARCH($A100, INDEX(AsistenciaJetAdminConcatenada!$D:$D, MATCH(1, (AsistenciaJetAdminConcatenada!$A:$A=FY$2)*(AsistenciaJetAdminConcatenada!$B:$B=FY$1), 0)), 1))),  0.5, 0))</f>
        <v>0</v>
      </c>
      <c r="FZ100" s="47">
        <f t="array" ref="FZ100">IF(AND(ISNUMBER(MATCH(FZ$2, AsistenciaJetAdminConcatenada!$A:$A, 0)), ISNUMBER(MATCH(FZ$1, AsistenciaJetAdminConcatenada!$B:$B, 0)), ISNUMBER(SEARCH($A100,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ISNUMBER(SEARCH($A100, INDEX(AsistenciaJetAdminConcatenada!$D:$D, MATCH(1, (AsistenciaJetAdminConcatenada!$A:$A=FZ$2)*(AsistenciaJetAdminConcatenada!$B:$B=FZ$1), 0)), 1))),  0.5, 0))</f>
        <v>0</v>
      </c>
      <c r="GA100" s="47">
        <f t="array" ref="GA100">IF(AND(ISNUMBER(MATCH(GA$2, AsistenciaJetAdminConcatenada!$A:$A, 0)), ISNUMBER(MATCH(GA$1, AsistenciaJetAdminConcatenada!$B:$B, 0)), ISNUMBER(SEARCH($A100,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ISNUMBER(SEARCH($A100, INDEX(AsistenciaJetAdminConcatenada!$D:$D, MATCH(1, (AsistenciaJetAdminConcatenada!$A:$A=GA$2)*(AsistenciaJetAdminConcatenada!$B:$B=GA$1), 0)), 1))),  0.5, 0))</f>
        <v>0</v>
      </c>
      <c r="GB100" s="47">
        <f t="array" ref="GB100">IF(AND(ISNUMBER(MATCH(GB$2, AsistenciaJetAdminConcatenada!$A:$A, 0)), ISNUMBER(MATCH(GB$1, AsistenciaJetAdminConcatenada!$B:$B, 0)), ISNUMBER(SEARCH($A100,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ISNUMBER(SEARCH($A100, INDEX(AsistenciaJetAdminConcatenada!$D:$D, MATCH(1, (AsistenciaJetAdminConcatenada!$A:$A=GB$2)*(AsistenciaJetAdminConcatenada!$B:$B=GB$1), 0)), 1))),  0.5, 0))</f>
        <v>0</v>
      </c>
      <c r="GC100" s="47">
        <f t="array" ref="GC100">IF(AND(ISNUMBER(MATCH(GC$2, AsistenciaJetAdminConcatenada!$A:$A, 0)), ISNUMBER(MATCH(GC$1, AsistenciaJetAdminConcatenada!$B:$B, 0)), ISNUMBER(SEARCH($A100,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ISNUMBER(SEARCH($A100, INDEX(AsistenciaJetAdminConcatenada!$D:$D, MATCH(1, (AsistenciaJetAdminConcatenada!$A:$A=GC$2)*(AsistenciaJetAdminConcatenada!$B:$B=GC$1), 0)), 1))),  0.5, 0))</f>
        <v>0</v>
      </c>
      <c r="GD100" s="47">
        <f t="array" ref="GD100">IF(AND(ISNUMBER(MATCH(GD$2, AsistenciaJetAdminConcatenada!$A:$A, 0)), ISNUMBER(MATCH(GD$1, AsistenciaJetAdminConcatenada!$B:$B, 0)), ISNUMBER(SEARCH($A100,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ISNUMBER(SEARCH($A100, INDEX(AsistenciaJetAdminConcatenada!$D:$D, MATCH(1, (AsistenciaJetAdminConcatenada!$A:$A=GD$2)*(AsistenciaJetAdminConcatenada!$B:$B=GD$1), 0)), 1))),  0.5, 0))</f>
        <v>0</v>
      </c>
      <c r="GE100" s="47">
        <f t="array" ref="GE100">IF(AND(ISNUMBER(MATCH(GE$2, AsistenciaJetAdminConcatenada!$A:$A, 0)), ISNUMBER(MATCH(GE$1, AsistenciaJetAdminConcatenada!$B:$B, 0)), ISNUMBER(SEARCH($A100,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ISNUMBER(SEARCH($A100, INDEX(AsistenciaJetAdminConcatenada!$D:$D, MATCH(1, (AsistenciaJetAdminConcatenada!$A:$A=GE$2)*(AsistenciaJetAdminConcatenada!$B:$B=GE$1), 0)), 1))),  0.5, 0))</f>
        <v>0</v>
      </c>
      <c r="GF100" s="47">
        <f t="array" ref="GF100">IF(AND(ISNUMBER(MATCH(GF$2, AsistenciaJetAdminConcatenada!$A:$A, 0)), ISNUMBER(MATCH(GF$1, AsistenciaJetAdminConcatenada!$B:$B, 0)), ISNUMBER(SEARCH($A100,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ISNUMBER(SEARCH($A100, INDEX(AsistenciaJetAdminConcatenada!$D:$D, MATCH(1, (AsistenciaJetAdminConcatenada!$A:$A=GF$2)*(AsistenciaJetAdminConcatenada!$B:$B=GF$1), 0)), 1))),  0.5, 0))</f>
        <v>0</v>
      </c>
      <c r="GG100" s="47">
        <f t="array" ref="GG100">IF(AND(ISNUMBER(MATCH(GG$2, AsistenciaJetAdminConcatenada!$A:$A, 0)), ISNUMBER(MATCH(GG$1, AsistenciaJetAdminConcatenada!$B:$B, 0)), ISNUMBER(SEARCH($A100,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ISNUMBER(SEARCH($A100, INDEX(AsistenciaJetAdminConcatenada!$D:$D, MATCH(1, (AsistenciaJetAdminConcatenada!$A:$A=GG$2)*(AsistenciaJetAdminConcatenada!$B:$B=GG$1), 0)), 1))),  0.5, 0))</f>
        <v>0</v>
      </c>
      <c r="GH100" s="47">
        <f t="array" ref="GH100">IF(AND(ISNUMBER(MATCH(GH$2, AsistenciaJetAdminConcatenada!$A:$A, 0)), ISNUMBER(MATCH(GH$1, AsistenciaJetAdminConcatenada!$B:$B, 0)), ISNUMBER(SEARCH($A100,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ISNUMBER(SEARCH($A100, INDEX(AsistenciaJetAdminConcatenada!$D:$D, MATCH(1, (AsistenciaJetAdminConcatenada!$A:$A=GH$2)*(AsistenciaJetAdminConcatenada!$B:$B=GH$1), 0)), 1))),  0.5, 0))</f>
        <v>0</v>
      </c>
      <c r="GI100" s="47">
        <f t="array" ref="GI100">IF(AND(ISNUMBER(MATCH(GI$2, AsistenciaJetAdminConcatenada!$A:$A, 0)), ISNUMBER(MATCH(GI$1, AsistenciaJetAdminConcatenada!$B:$B, 0)), ISNUMBER(SEARCH($A100,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ISNUMBER(SEARCH($A100, INDEX(AsistenciaJetAdminConcatenada!$D:$D, MATCH(1, (AsistenciaJetAdminConcatenada!$A:$A=GI$2)*(AsistenciaJetAdminConcatenada!$B:$B=GI$1), 0)), 1))),  0.5, 0))</f>
        <v>0</v>
      </c>
      <c r="GJ100" s="47">
        <f t="array" ref="GJ100">IF(AND(ISNUMBER(MATCH(GJ$2, AsistenciaJetAdminConcatenada!$A:$A, 0)), ISNUMBER(MATCH(GJ$1, AsistenciaJetAdminConcatenada!$B:$B, 0)), ISNUMBER(SEARCH($A100,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ISNUMBER(SEARCH($A100, INDEX(AsistenciaJetAdminConcatenada!$D:$D, MATCH(1, (AsistenciaJetAdminConcatenada!$A:$A=GJ$2)*(AsistenciaJetAdminConcatenada!$B:$B=GJ$1), 0)), 1))),  0.5, 0))</f>
        <v>0</v>
      </c>
      <c r="GK100" s="47">
        <f t="array" ref="GK100">IF(AND(ISNUMBER(MATCH(GK$2, AsistenciaJetAdminConcatenada!$A:$A, 0)), ISNUMBER(MATCH(GK$1, AsistenciaJetAdminConcatenada!$B:$B, 0)), ISNUMBER(SEARCH($A100,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ISNUMBER(SEARCH($A100, INDEX(AsistenciaJetAdminConcatenada!$D:$D, MATCH(1, (AsistenciaJetAdminConcatenada!$A:$A=GK$2)*(AsistenciaJetAdminConcatenada!$B:$B=GK$1), 0)), 1))),  0.5, 0))</f>
        <v>0</v>
      </c>
      <c r="GL100" s="47">
        <f t="array" ref="GL100">IF(AND(ISNUMBER(MATCH(GL$2, AsistenciaJetAdminConcatenada!$A:$A, 0)), ISNUMBER(MATCH(GL$1, AsistenciaJetAdminConcatenada!$B:$B, 0)), ISNUMBER(SEARCH($A100,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ISNUMBER(SEARCH($A100, INDEX(AsistenciaJetAdminConcatenada!$D:$D, MATCH(1, (AsistenciaJetAdminConcatenada!$A:$A=GL$2)*(AsistenciaJetAdminConcatenada!$B:$B=GL$1), 0)), 1))),  0.5, 0))</f>
        <v>0</v>
      </c>
      <c r="GM100" s="47">
        <f t="array" ref="GM100">IF(AND(ISNUMBER(MATCH(GM$2, AsistenciaJetAdminConcatenada!$A:$A, 0)), ISNUMBER(MATCH(GM$1, AsistenciaJetAdminConcatenada!$B:$B, 0)), ISNUMBER(SEARCH($A100,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ISNUMBER(SEARCH($A100, INDEX(AsistenciaJetAdminConcatenada!$D:$D, MATCH(1, (AsistenciaJetAdminConcatenada!$A:$A=GM$2)*(AsistenciaJetAdminConcatenada!$B:$B=GM$1), 0)), 1))),  0.5, 0))</f>
        <v>0</v>
      </c>
      <c r="GN100" s="47">
        <f t="array" ref="GN100">IF(AND(ISNUMBER(MATCH(GN$2, AsistenciaJetAdminConcatenada!$A:$A, 0)), ISNUMBER(MATCH(GN$1, AsistenciaJetAdminConcatenada!$B:$B, 0)), ISNUMBER(SEARCH($A100,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ISNUMBER(SEARCH($A100, INDEX(AsistenciaJetAdminConcatenada!$D:$D, MATCH(1, (AsistenciaJetAdminConcatenada!$A:$A=GN$2)*(AsistenciaJetAdminConcatenada!$B:$B=GN$1), 0)), 1))),  0.5, 0))</f>
        <v>0</v>
      </c>
      <c r="GO100" s="47">
        <f t="array" ref="GO100">IF(AND(ISNUMBER(MATCH(GO$2, AsistenciaJetAdminConcatenada!$A:$A, 0)), ISNUMBER(MATCH(GO$1, AsistenciaJetAdminConcatenada!$B:$B, 0)), ISNUMBER(SEARCH($A100,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ISNUMBER(SEARCH($A100, INDEX(AsistenciaJetAdminConcatenada!$D:$D, MATCH(1, (AsistenciaJetAdminConcatenada!$A:$A=GO$2)*(AsistenciaJetAdminConcatenada!$B:$B=GO$1), 0)), 1))),  0.5, 0))</f>
        <v>0</v>
      </c>
      <c r="GP100" s="47">
        <f t="array" ref="GP100">IF(AND(ISNUMBER(MATCH(GP$2, AsistenciaJetAdminConcatenada!$A:$A, 0)), ISNUMBER(MATCH(GP$1, AsistenciaJetAdminConcatenada!$B:$B, 0)), ISNUMBER(SEARCH($A100,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ISNUMBER(SEARCH($A100, INDEX(AsistenciaJetAdminConcatenada!$D:$D, MATCH(1, (AsistenciaJetAdminConcatenada!$A:$A=GP$2)*(AsistenciaJetAdminConcatenada!$B:$B=GP$1), 0)), 1))),  0.5, 0))</f>
        <v>0</v>
      </c>
      <c r="GQ100" s="47">
        <f t="array" ref="GQ100">IF(AND(ISNUMBER(MATCH(GQ$2, AsistenciaJetAdminConcatenada!$A:$A, 0)), ISNUMBER(MATCH(GQ$1, AsistenciaJetAdminConcatenada!$B:$B, 0)), ISNUMBER(SEARCH($A100,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ISNUMBER(SEARCH($A100, INDEX(AsistenciaJetAdminConcatenada!$D:$D, MATCH(1, (AsistenciaJetAdminConcatenada!$A:$A=GQ$2)*(AsistenciaJetAdminConcatenada!$B:$B=GQ$1), 0)), 1))),  0.5, 0))</f>
        <v>0</v>
      </c>
      <c r="GR100" s="47">
        <f t="array" ref="GR100">IF(AND(ISNUMBER(MATCH(GR$2, AsistenciaJetAdminConcatenada!$A:$A, 0)), ISNUMBER(MATCH(GR$1, AsistenciaJetAdminConcatenada!$B:$B, 0)), ISNUMBER(SEARCH($A100,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ISNUMBER(SEARCH($A100, INDEX(AsistenciaJetAdminConcatenada!$D:$D, MATCH(1, (AsistenciaJetAdminConcatenada!$A:$A=GR$2)*(AsistenciaJetAdminConcatenada!$B:$B=GR$1), 0)), 1))),  0.5, 0))</f>
        <v>0</v>
      </c>
      <c r="GS100" s="47">
        <f t="array" ref="GS100">IF(AND(ISNUMBER(MATCH(GS$2, AsistenciaJetAdminConcatenada!$A:$A, 0)), ISNUMBER(MATCH(GS$1, AsistenciaJetAdminConcatenada!$B:$B, 0)), ISNUMBER(SEARCH($A100,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ISNUMBER(SEARCH($A100, INDEX(AsistenciaJetAdminConcatenada!$D:$D, MATCH(1, (AsistenciaJetAdminConcatenada!$A:$A=GS$2)*(AsistenciaJetAdminConcatenada!$B:$B=GS$1), 0)), 1))),  0.5, 0))</f>
        <v>0</v>
      </c>
      <c r="GT100" s="47">
        <f t="array" ref="GT100">IF(AND(ISNUMBER(MATCH(GT$2, AsistenciaJetAdminConcatenada!$A:$A, 0)), ISNUMBER(MATCH(GT$1, AsistenciaJetAdminConcatenada!$B:$B, 0)), ISNUMBER(SEARCH($A100,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ISNUMBER(SEARCH($A100, INDEX(AsistenciaJetAdminConcatenada!$D:$D, MATCH(1, (AsistenciaJetAdminConcatenada!$A:$A=GT$2)*(AsistenciaJetAdminConcatenada!$B:$B=GT$1), 0)), 1))),  0.5, 0))</f>
        <v>0</v>
      </c>
      <c r="GU100" s="47">
        <f t="array" ref="GU100">IF(AND(ISNUMBER(MATCH(GU$2, AsistenciaJetAdminConcatenada!$A:$A, 0)), ISNUMBER(MATCH(GU$1, AsistenciaJetAdminConcatenada!$B:$B, 0)), ISNUMBER(SEARCH($A100,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ISNUMBER(SEARCH($A100, INDEX(AsistenciaJetAdminConcatenada!$D:$D, MATCH(1, (AsistenciaJetAdminConcatenada!$A:$A=GU$2)*(AsistenciaJetAdminConcatenada!$B:$B=GU$1), 0)), 1))),  0.5, 0))</f>
        <v>0</v>
      </c>
      <c r="GV100" s="47">
        <f t="array" ref="GV100">IF(AND(ISNUMBER(MATCH(GV$2, AsistenciaJetAdminConcatenada!$A:$A, 0)), ISNUMBER(MATCH(GV$1, AsistenciaJetAdminConcatenada!$B:$B, 0)), ISNUMBER(SEARCH($A100,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ISNUMBER(SEARCH($A100, INDEX(AsistenciaJetAdminConcatenada!$D:$D, MATCH(1, (AsistenciaJetAdminConcatenada!$A:$A=GV$2)*(AsistenciaJetAdminConcatenada!$B:$B=GV$1), 0)), 1))),  0.5, 0))</f>
        <v>0</v>
      </c>
      <c r="GW100" s="47">
        <f t="array" ref="GW100">IF(AND(ISNUMBER(MATCH(GW$2, AsistenciaJetAdminConcatenada!$A:$A, 0)), ISNUMBER(MATCH(GW$1, AsistenciaJetAdminConcatenada!$B:$B, 0)), ISNUMBER(SEARCH($A100,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ISNUMBER(SEARCH($A100, INDEX(AsistenciaJetAdminConcatenada!$D:$D, MATCH(1, (AsistenciaJetAdminConcatenada!$A:$A=GW$2)*(AsistenciaJetAdminConcatenada!$B:$B=GW$1), 0)), 1))),  0.5, 0))</f>
        <v>0</v>
      </c>
      <c r="GX100" s="47">
        <f t="array" ref="GX100">IF(AND(ISNUMBER(MATCH(GX$2, AsistenciaJetAdminConcatenada!$A:$A, 0)), ISNUMBER(MATCH(GX$1, AsistenciaJetAdminConcatenada!$B:$B, 0)), ISNUMBER(SEARCH($A100,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ISNUMBER(SEARCH($A100, INDEX(AsistenciaJetAdminConcatenada!$D:$D, MATCH(1, (AsistenciaJetAdminConcatenada!$A:$A=GX$2)*(AsistenciaJetAdminConcatenada!$B:$B=GX$1), 0)), 1))),  0.5, 0))</f>
        <v>0</v>
      </c>
      <c r="GY100" s="47">
        <f t="array" ref="GY100">IF(AND(ISNUMBER(MATCH(GY$2, AsistenciaJetAdminConcatenada!$A:$A, 0)), ISNUMBER(MATCH(GY$1, AsistenciaJetAdminConcatenada!$B:$B, 0)), ISNUMBER(SEARCH($A100,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ISNUMBER(SEARCH($A100, INDEX(AsistenciaJetAdminConcatenada!$D:$D, MATCH(1, (AsistenciaJetAdminConcatenada!$A:$A=GY$2)*(AsistenciaJetAdminConcatenada!$B:$B=GY$1), 0)), 1))),  0.5, 0))</f>
        <v>0</v>
      </c>
      <c r="GZ100" s="47">
        <f t="array" ref="GZ100">IF(AND(ISNUMBER(MATCH(GZ$2, AsistenciaJetAdminConcatenada!$A:$A, 0)), ISNUMBER(MATCH(GZ$1, AsistenciaJetAdminConcatenada!$B:$B, 0)), ISNUMBER(SEARCH($A100,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ISNUMBER(SEARCH($A100, INDEX(AsistenciaJetAdminConcatenada!$D:$D, MATCH(1, (AsistenciaJetAdminConcatenada!$A:$A=GZ$2)*(AsistenciaJetAdminConcatenada!$B:$B=GZ$1), 0)), 1))),  0.5, 0))</f>
        <v>0</v>
      </c>
      <c r="HA100" s="47">
        <f t="array" ref="HA100">IF(AND(ISNUMBER(MATCH(HA$2, AsistenciaJetAdminConcatenada!$A:$A, 0)), ISNUMBER(MATCH(HA$1, AsistenciaJetAdminConcatenada!$B:$B, 0)), ISNUMBER(SEARCH($A100,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ISNUMBER(SEARCH($A100, INDEX(AsistenciaJetAdminConcatenada!$D:$D, MATCH(1, (AsistenciaJetAdminConcatenada!$A:$A=HA$2)*(AsistenciaJetAdminConcatenada!$B:$B=HA$1), 0)), 1))),  0.5, 0))</f>
        <v>0</v>
      </c>
      <c r="HB100" s="47">
        <f t="array" ref="HB100">IF(AND(ISNUMBER(MATCH(HB$2, AsistenciaJetAdminConcatenada!$A:$A, 0)), ISNUMBER(MATCH(HB$1, AsistenciaJetAdminConcatenada!$B:$B, 0)), ISNUMBER(SEARCH($A100,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ISNUMBER(SEARCH($A100, INDEX(AsistenciaJetAdminConcatenada!$D:$D, MATCH(1, (AsistenciaJetAdminConcatenada!$A:$A=HB$2)*(AsistenciaJetAdminConcatenada!$B:$B=HB$1), 0)), 1))),  0.5, 0))</f>
        <v>0</v>
      </c>
      <c r="HC100" s="47">
        <f t="array" ref="HC100">IF(AND(ISNUMBER(MATCH(HC$2, AsistenciaJetAdminConcatenada!$A:$A, 0)), ISNUMBER(MATCH(HC$1, AsistenciaJetAdminConcatenada!$B:$B, 0)), ISNUMBER(SEARCH($A100,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ISNUMBER(SEARCH($A100, INDEX(AsistenciaJetAdminConcatenada!$D:$D, MATCH(1, (AsistenciaJetAdminConcatenada!$A:$A=HC$2)*(AsistenciaJetAdminConcatenada!$B:$B=HC$1), 0)), 1))),  0.5, 0))</f>
        <v>0</v>
      </c>
    </row>
    <row r="101" ht="29.25" customHeight="1">
      <c r="A101" s="3">
        <v>104.0</v>
      </c>
      <c r="B101" s="4" t="s">
        <v>699</v>
      </c>
      <c r="C101" s="47">
        <f>SUM(D101:HC101) + ActividadesEspeciales!C101</f>
        <v>55</v>
      </c>
      <c r="D101" s="47">
        <f t="array" ref="D101">IF(AND(ISNUMBER(MATCH(D$2, AsistenciaJetAdminConcatenada!$A:$A, 0)), ISNUMBER(MATCH(D$1, AsistenciaJetAdminConcatenada!$B:$B, 0)), ISNUMBER(SEARCH($A101, INDEX(AsistenciaJetAdminConcatenada!$C:$C, MATCH(1, (AsistenciaJetAdminConcatenada!$A:$A=D$2)*(AsistenciaJetAdminConcatenada!$B:$B=D$1), 0)), 1))), 1, IF(AND(ISNUMBER(MATCH(D$2, AsistenciaJetAdminConcatenada!$A:$A, 0)), ISNUMBER(MATCH(D$1, AsistenciaJetAdminConcatenada!$B:$B, 0)), ISNUMBER(SEARCH($A101, INDEX(AsistenciaJetAdminConcatenada!$D:$D, MATCH(1, (AsistenciaJetAdminConcatenada!$A:$A=D$2)*(AsistenciaJetAdminConcatenada!$B:$B=D$1), 0)), 1))),  0.5, 0))</f>
        <v>1</v>
      </c>
      <c r="E101" s="47">
        <f t="array" ref="E101">IF(AND(ISNUMBER(MATCH(E$2, AsistenciaJetAdminConcatenada!$A:$A, 0)), ISNUMBER(MATCH(E$1, AsistenciaJetAdminConcatenada!$B:$B, 0)), ISNUMBER(SEARCH($A101, INDEX(AsistenciaJetAdminConcatenada!$C:$C, MATCH(1, (AsistenciaJetAdminConcatenada!$A:$A=E$2)*(AsistenciaJetAdminConcatenada!$B:$B=E$1), 0)), 1))), 1, IF(AND(ISNUMBER(MATCH(E$2, AsistenciaJetAdminConcatenada!$A:$A, 0)), ISNUMBER(MATCH(E$1, AsistenciaJetAdminConcatenada!$B:$B, 0)), ISNUMBER(SEARCH($A101, INDEX(AsistenciaJetAdminConcatenada!$D:$D, MATCH(1, (AsistenciaJetAdminConcatenada!$A:$A=E$2)*(AsistenciaJetAdminConcatenada!$B:$B=E$1), 0)), 1))),  0.5, 0))</f>
        <v>1</v>
      </c>
      <c r="F101" s="47">
        <f t="array" ref="F101">IF(AND(ISNUMBER(MATCH(F$2, AsistenciaJetAdminConcatenada!$A:$A, 0)), ISNUMBER(MATCH(F$1, AsistenciaJetAdminConcatenada!$B:$B, 0)), ISNUMBER(SEARCH($A101, INDEX(AsistenciaJetAdminConcatenada!$C:$C, MATCH(1, (AsistenciaJetAdminConcatenada!$A:$A=F$2)*(AsistenciaJetAdminConcatenada!$B:$B=F$1), 0)), 1))), 1, IF(AND(ISNUMBER(MATCH(F$2, AsistenciaJetAdminConcatenada!$A:$A, 0)), ISNUMBER(MATCH(F$1, AsistenciaJetAdminConcatenada!$B:$B, 0)), ISNUMBER(SEARCH($A101, INDEX(AsistenciaJetAdminConcatenada!$D:$D, MATCH(1, (AsistenciaJetAdminConcatenada!$A:$A=F$2)*(AsistenciaJetAdminConcatenada!$B:$B=F$1), 0)), 1))),  0.5, 0))</f>
        <v>0</v>
      </c>
      <c r="G101" s="47">
        <f t="array" ref="G101">IF(AND(ISNUMBER(MATCH(G$2, AsistenciaJetAdminConcatenada!$A:$A, 0)), ISNUMBER(MATCH(G$1, AsistenciaJetAdminConcatenada!$B:$B, 0)), ISNUMBER(SEARCH($A101, INDEX(AsistenciaJetAdminConcatenada!$C:$C, MATCH(1, (AsistenciaJetAdminConcatenada!$A:$A=G$2)*(AsistenciaJetAdminConcatenada!$B:$B=G$1), 0)), 1))), 1, IF(AND(ISNUMBER(MATCH(G$2, AsistenciaJetAdminConcatenada!$A:$A, 0)), ISNUMBER(MATCH(G$1, AsistenciaJetAdminConcatenada!$B:$B, 0)), ISNUMBER(SEARCH($A101, INDEX(AsistenciaJetAdminConcatenada!$D:$D, MATCH(1, (AsistenciaJetAdminConcatenada!$A:$A=G$2)*(AsistenciaJetAdminConcatenada!$B:$B=G$1), 0)), 1))),  0.5, 0))</f>
        <v>1</v>
      </c>
      <c r="H101" s="47">
        <f t="array" ref="H101">IF(AND(ISNUMBER(MATCH(H$2, AsistenciaJetAdminConcatenada!$A:$A, 0)), ISNUMBER(MATCH(H$1, AsistenciaJetAdminConcatenada!$B:$B, 0)), ISNUMBER(SEARCH($A101, INDEX(AsistenciaJetAdminConcatenada!$C:$C, MATCH(1, (AsistenciaJetAdminConcatenada!$A:$A=H$2)*(AsistenciaJetAdminConcatenada!$B:$B=H$1), 0)), 1))), 1, IF(AND(ISNUMBER(MATCH(H$2, AsistenciaJetAdminConcatenada!$A:$A, 0)), ISNUMBER(MATCH(H$1, AsistenciaJetAdminConcatenada!$B:$B, 0)), ISNUMBER(SEARCH($A101, INDEX(AsistenciaJetAdminConcatenada!$D:$D, MATCH(1, (AsistenciaJetAdminConcatenada!$A:$A=H$2)*(AsistenciaJetAdminConcatenada!$B:$B=H$1), 0)), 1))),  0.5, 0))</f>
        <v>1</v>
      </c>
      <c r="I101" s="47">
        <f t="array" ref="I101">IF(AND(ISNUMBER(MATCH(I$2, AsistenciaJetAdminConcatenada!$A:$A, 0)), ISNUMBER(MATCH(I$1, AsistenciaJetAdminConcatenada!$B:$B, 0)), ISNUMBER(SEARCH($A101, INDEX(AsistenciaJetAdminConcatenada!$C:$C, MATCH(1, (AsistenciaJetAdminConcatenada!$A:$A=I$2)*(AsistenciaJetAdminConcatenada!$B:$B=I$1), 0)), 1))), 1, IF(AND(ISNUMBER(MATCH(I$2, AsistenciaJetAdminConcatenada!$A:$A, 0)), ISNUMBER(MATCH(I$1, AsistenciaJetAdminConcatenada!$B:$B, 0)), ISNUMBER(SEARCH($A101, INDEX(AsistenciaJetAdminConcatenada!$D:$D, MATCH(1, (AsistenciaJetAdminConcatenada!$A:$A=I$2)*(AsistenciaJetAdminConcatenada!$B:$B=I$1), 0)), 1))),  0.5, 0))</f>
        <v>1</v>
      </c>
      <c r="J101" s="47">
        <f t="array" ref="J101">IF(AND(ISNUMBER(MATCH(J$2, AsistenciaJetAdminConcatenada!$A:$A, 0)), ISNUMBER(MATCH(J$1, AsistenciaJetAdminConcatenada!$B:$B, 0)), ISNUMBER(SEARCH($A101, INDEX(AsistenciaJetAdminConcatenada!$C:$C, MATCH(1, (AsistenciaJetAdminConcatenada!$A:$A=J$2)*(AsistenciaJetAdminConcatenada!$B:$B=J$1), 0)), 1))), 1, IF(AND(ISNUMBER(MATCH(J$2, AsistenciaJetAdminConcatenada!$A:$A, 0)), ISNUMBER(MATCH(J$1, AsistenciaJetAdminConcatenada!$B:$B, 0)), ISNUMBER(SEARCH($A101, INDEX(AsistenciaJetAdminConcatenada!$D:$D, MATCH(1, (AsistenciaJetAdminConcatenada!$A:$A=J$2)*(AsistenciaJetAdminConcatenada!$B:$B=J$1), 0)), 1))),  0.5, 0))</f>
        <v>1</v>
      </c>
      <c r="K101" s="47">
        <f t="array" ref="K101">IF(AND(ISNUMBER(MATCH(K$2, AsistenciaJetAdminConcatenada!$A:$A, 0)), ISNUMBER(MATCH(K$1, AsistenciaJetAdminConcatenada!$B:$B, 0)), ISNUMBER(SEARCH($A101, INDEX(AsistenciaJetAdminConcatenada!$C:$C, MATCH(1, (AsistenciaJetAdminConcatenada!$A:$A=K$2)*(AsistenciaJetAdminConcatenada!$B:$B=K$1), 0)), 1))), 1, IF(AND(ISNUMBER(MATCH(K$2, AsistenciaJetAdminConcatenada!$A:$A, 0)), ISNUMBER(MATCH(K$1, AsistenciaJetAdminConcatenada!$B:$B, 0)), ISNUMBER(SEARCH($A101, INDEX(AsistenciaJetAdminConcatenada!$D:$D, MATCH(1, (AsistenciaJetAdminConcatenada!$A:$A=K$2)*(AsistenciaJetAdminConcatenada!$B:$B=K$1), 0)), 1))),  0.5, 0))</f>
        <v>1</v>
      </c>
      <c r="L101" s="47">
        <f t="array" ref="L101">IF(AND(ISNUMBER(MATCH(L$2, AsistenciaJetAdminConcatenada!$A:$A, 0)), ISNUMBER(MATCH(L$1, AsistenciaJetAdminConcatenada!$B:$B, 0)), ISNUMBER(SEARCH($A101, INDEX(AsistenciaJetAdminConcatenada!$C:$C, MATCH(1, (AsistenciaJetAdminConcatenada!$A:$A=L$2)*(AsistenciaJetAdminConcatenada!$B:$B=L$1), 0)), 1))), 1, IF(AND(ISNUMBER(MATCH(L$2, AsistenciaJetAdminConcatenada!$A:$A, 0)), ISNUMBER(MATCH(L$1, AsistenciaJetAdminConcatenada!$B:$B, 0)), ISNUMBER(SEARCH($A101, INDEX(AsistenciaJetAdminConcatenada!$D:$D, MATCH(1, (AsistenciaJetAdminConcatenada!$A:$A=L$2)*(AsistenciaJetAdminConcatenada!$B:$B=L$1), 0)), 1))),  0.5, 0))</f>
        <v>1</v>
      </c>
      <c r="M101" s="47">
        <f t="array" ref="M101">IF(AND(ISNUMBER(MATCH(M$2, AsistenciaJetAdminConcatenada!$A:$A, 0)), ISNUMBER(MATCH(M$1, AsistenciaJetAdminConcatenada!$B:$B, 0)), ISNUMBER(SEARCH($A101, INDEX(AsistenciaJetAdminConcatenada!$C:$C, MATCH(1, (AsistenciaJetAdminConcatenada!$A:$A=M$2)*(AsistenciaJetAdminConcatenada!$B:$B=M$1), 0)), 1))), 1, IF(AND(ISNUMBER(MATCH(M$2, AsistenciaJetAdminConcatenada!$A:$A, 0)), ISNUMBER(MATCH(M$1, AsistenciaJetAdminConcatenada!$B:$B, 0)), ISNUMBER(SEARCH($A101, INDEX(AsistenciaJetAdminConcatenada!$D:$D, MATCH(1, (AsistenciaJetAdminConcatenada!$A:$A=M$2)*(AsistenciaJetAdminConcatenada!$B:$B=M$1), 0)), 1))),  0.5, 0))</f>
        <v>1</v>
      </c>
      <c r="N101" s="47">
        <f t="array" ref="N101">IF(AND(ISNUMBER(MATCH(N$2, AsistenciaJetAdminConcatenada!$A:$A, 0)), ISNUMBER(MATCH(N$1, AsistenciaJetAdminConcatenada!$B:$B, 0)), ISNUMBER(SEARCH($A101, INDEX(AsistenciaJetAdminConcatenada!$C:$C, MATCH(1, (AsistenciaJetAdminConcatenada!$A:$A=N$2)*(AsistenciaJetAdminConcatenada!$B:$B=N$1), 0)), 1))), 1, IF(AND(ISNUMBER(MATCH(N$2, AsistenciaJetAdminConcatenada!$A:$A, 0)), ISNUMBER(MATCH(N$1, AsistenciaJetAdminConcatenada!$B:$B, 0)), ISNUMBER(SEARCH($A101, INDEX(AsistenciaJetAdminConcatenada!$D:$D, MATCH(1, (AsistenciaJetAdminConcatenada!$A:$A=N$2)*(AsistenciaJetAdminConcatenada!$B:$B=N$1), 0)), 1))),  0.5, 0))</f>
        <v>0</v>
      </c>
      <c r="O101" s="47">
        <f t="array" ref="O101">IF(AND(ISNUMBER(MATCH(O$2, AsistenciaJetAdminConcatenada!$A:$A, 0)), ISNUMBER(MATCH(O$1, AsistenciaJetAdminConcatenada!$B:$B, 0)), ISNUMBER(SEARCH($A101, INDEX(AsistenciaJetAdminConcatenada!$C:$C, MATCH(1, (AsistenciaJetAdminConcatenada!$A:$A=O$2)*(AsistenciaJetAdminConcatenada!$B:$B=O$1), 0)), 1))), 1, IF(AND(ISNUMBER(MATCH(O$2, AsistenciaJetAdminConcatenada!$A:$A, 0)), ISNUMBER(MATCH(O$1, AsistenciaJetAdminConcatenada!$B:$B, 0)), ISNUMBER(SEARCH($A101, INDEX(AsistenciaJetAdminConcatenada!$D:$D, MATCH(1, (AsistenciaJetAdminConcatenada!$A:$A=O$2)*(AsistenciaJetAdminConcatenada!$B:$B=O$1), 0)), 1))),  0.5, 0))</f>
        <v>0</v>
      </c>
      <c r="P101" s="47">
        <f t="array" ref="P101">IF(AND(ISNUMBER(MATCH(P$2, AsistenciaJetAdminConcatenada!$A:$A, 0)), ISNUMBER(MATCH(P$1, AsistenciaJetAdminConcatenada!$B:$B, 0)), ISNUMBER(SEARCH($A101, INDEX(AsistenciaJetAdminConcatenada!$C:$C, MATCH(1, (AsistenciaJetAdminConcatenada!$A:$A=P$2)*(AsistenciaJetAdminConcatenada!$B:$B=P$1), 0)), 1))), 1, IF(AND(ISNUMBER(MATCH(P$2, AsistenciaJetAdminConcatenada!$A:$A, 0)), ISNUMBER(MATCH(P$1, AsistenciaJetAdminConcatenada!$B:$B, 0)), ISNUMBER(SEARCH($A101, INDEX(AsistenciaJetAdminConcatenada!$D:$D, MATCH(1, (AsistenciaJetAdminConcatenada!$A:$A=P$2)*(AsistenciaJetAdminConcatenada!$B:$B=P$1), 0)), 1))),  0.5, 0))</f>
        <v>1</v>
      </c>
      <c r="Q101" s="47">
        <f t="array" ref="Q101">IF(AND(ISNUMBER(MATCH(Q$2, AsistenciaJetAdminConcatenada!$A:$A, 0)), ISNUMBER(MATCH(Q$1, AsistenciaJetAdminConcatenada!$B:$B, 0)), ISNUMBER(SEARCH($A101, INDEX(AsistenciaJetAdminConcatenada!$C:$C, MATCH(1, (AsistenciaJetAdminConcatenada!$A:$A=Q$2)*(AsistenciaJetAdminConcatenada!$B:$B=Q$1), 0)), 1))), 1, IF(AND(ISNUMBER(MATCH(Q$2, AsistenciaJetAdminConcatenada!$A:$A, 0)), ISNUMBER(MATCH(Q$1, AsistenciaJetAdminConcatenada!$B:$B, 0)), ISNUMBER(SEARCH($A101, INDEX(AsistenciaJetAdminConcatenada!$D:$D, MATCH(1, (AsistenciaJetAdminConcatenada!$A:$A=Q$2)*(AsistenciaJetAdminConcatenada!$B:$B=Q$1), 0)), 1))),  0.5, 0))</f>
        <v>0</v>
      </c>
      <c r="R101" s="47">
        <f t="array" ref="R101">IF(AND(ISNUMBER(MATCH(R$2, AsistenciaJetAdminConcatenada!$A:$A, 0)), ISNUMBER(MATCH(R$1, AsistenciaJetAdminConcatenada!$B:$B, 0)), ISNUMBER(SEARCH($A101, INDEX(AsistenciaJetAdminConcatenada!$C:$C, MATCH(1, (AsistenciaJetAdminConcatenada!$A:$A=R$2)*(AsistenciaJetAdminConcatenada!$B:$B=R$1), 0)), 1))), 1, IF(AND(ISNUMBER(MATCH(R$2, AsistenciaJetAdminConcatenada!$A:$A, 0)), ISNUMBER(MATCH(R$1, AsistenciaJetAdminConcatenada!$B:$B, 0)), ISNUMBER(SEARCH($A101, INDEX(AsistenciaJetAdminConcatenada!$D:$D, MATCH(1, (AsistenciaJetAdminConcatenada!$A:$A=R$2)*(AsistenciaJetAdminConcatenada!$B:$B=R$1), 0)), 1))),  0.5, 0))</f>
        <v>1</v>
      </c>
      <c r="S101" s="47">
        <f t="array" ref="S101">IF(AND(ISNUMBER(MATCH(S$2, AsistenciaJetAdminConcatenada!$A:$A, 0)), ISNUMBER(MATCH(S$1, AsistenciaJetAdminConcatenada!$B:$B, 0)), ISNUMBER(SEARCH($A101, INDEX(AsistenciaJetAdminConcatenada!$C:$C, MATCH(1, (AsistenciaJetAdminConcatenada!$A:$A=S$2)*(AsistenciaJetAdminConcatenada!$B:$B=S$1), 0)), 1))), 1, IF(AND(ISNUMBER(MATCH(S$2, AsistenciaJetAdminConcatenada!$A:$A, 0)), ISNUMBER(MATCH(S$1, AsistenciaJetAdminConcatenada!$B:$B, 0)), ISNUMBER(SEARCH($A101, INDEX(AsistenciaJetAdminConcatenada!$D:$D, MATCH(1, (AsistenciaJetAdminConcatenada!$A:$A=S$2)*(AsistenciaJetAdminConcatenada!$B:$B=S$1), 0)), 1))),  0.5, 0))</f>
        <v>1</v>
      </c>
      <c r="T101" s="47">
        <f t="array" ref="T101">IF(AND(ISNUMBER(MATCH(T$2, AsistenciaJetAdminConcatenada!$A:$A, 0)), ISNUMBER(MATCH(T$1, AsistenciaJetAdminConcatenada!$B:$B, 0)), ISNUMBER(SEARCH($A101, INDEX(AsistenciaJetAdminConcatenada!$C:$C, MATCH(1, (AsistenciaJetAdminConcatenada!$A:$A=T$2)*(AsistenciaJetAdminConcatenada!$B:$B=T$1), 0)), 1))), 1, IF(AND(ISNUMBER(MATCH(T$2, AsistenciaJetAdminConcatenada!$A:$A, 0)), ISNUMBER(MATCH(T$1, AsistenciaJetAdminConcatenada!$B:$B, 0)), ISNUMBER(SEARCH($A101, INDEX(AsistenciaJetAdminConcatenada!$D:$D, MATCH(1, (AsistenciaJetAdminConcatenada!$A:$A=T$2)*(AsistenciaJetAdminConcatenada!$B:$B=T$1), 0)), 1))),  0.5, 0))</f>
        <v>0</v>
      </c>
      <c r="U101" s="47">
        <f t="array" ref="U101">IF(AND(ISNUMBER(MATCH(U$2, AsistenciaJetAdminConcatenada!$A:$A, 0)), ISNUMBER(MATCH(U$1, AsistenciaJetAdminConcatenada!$B:$B, 0)), ISNUMBER(SEARCH($A101, INDEX(AsistenciaJetAdminConcatenada!$C:$C, MATCH(1, (AsistenciaJetAdminConcatenada!$A:$A=U$2)*(AsistenciaJetAdminConcatenada!$B:$B=U$1), 0)), 1))), 1, IF(AND(ISNUMBER(MATCH(U$2, AsistenciaJetAdminConcatenada!$A:$A, 0)), ISNUMBER(MATCH(U$1, AsistenciaJetAdminConcatenada!$B:$B, 0)), ISNUMBER(SEARCH($A101, INDEX(AsistenciaJetAdminConcatenada!$D:$D, MATCH(1, (AsistenciaJetAdminConcatenada!$A:$A=U$2)*(AsistenciaJetAdminConcatenada!$B:$B=U$1), 0)), 1))),  0.5, 0))</f>
        <v>0</v>
      </c>
      <c r="V101" s="47">
        <f t="array" ref="V101">IF(AND(ISNUMBER(MATCH(V$2, AsistenciaJetAdminConcatenada!$A:$A, 0)), ISNUMBER(MATCH(V$1, AsistenciaJetAdminConcatenada!$B:$B, 0)), ISNUMBER(SEARCH($A101, INDEX(AsistenciaJetAdminConcatenada!$C:$C, MATCH(1, (AsistenciaJetAdminConcatenada!$A:$A=V$2)*(AsistenciaJetAdminConcatenada!$B:$B=V$1), 0)), 1))), 1, IF(AND(ISNUMBER(MATCH(V$2, AsistenciaJetAdminConcatenada!$A:$A, 0)), ISNUMBER(MATCH(V$1, AsistenciaJetAdminConcatenada!$B:$B, 0)), ISNUMBER(SEARCH($A101, INDEX(AsistenciaJetAdminConcatenada!$D:$D, MATCH(1, (AsistenciaJetAdminConcatenada!$A:$A=V$2)*(AsistenciaJetAdminConcatenada!$B:$B=V$1), 0)), 1))),  0.5, 0))</f>
        <v>1</v>
      </c>
      <c r="W101" s="47">
        <f t="array" ref="W101">IF(AND(ISNUMBER(MATCH(W$2, AsistenciaJetAdminConcatenada!$A:$A, 0)), ISNUMBER(MATCH(W$1, AsistenciaJetAdminConcatenada!$B:$B, 0)), ISNUMBER(SEARCH($A101, INDEX(AsistenciaJetAdminConcatenada!$C:$C, MATCH(1, (AsistenciaJetAdminConcatenada!$A:$A=W$2)*(AsistenciaJetAdminConcatenada!$B:$B=W$1), 0)), 1))), 1, IF(AND(ISNUMBER(MATCH(W$2, AsistenciaJetAdminConcatenada!$A:$A, 0)), ISNUMBER(MATCH(W$1, AsistenciaJetAdminConcatenada!$B:$B, 0)), ISNUMBER(SEARCH($A101, INDEX(AsistenciaJetAdminConcatenada!$D:$D, MATCH(1, (AsistenciaJetAdminConcatenada!$A:$A=W$2)*(AsistenciaJetAdminConcatenada!$B:$B=W$1), 0)), 1))),  0.5, 0))</f>
        <v>1</v>
      </c>
      <c r="X101" s="47">
        <f t="array" ref="X101">IF(AND(ISNUMBER(MATCH(X$2, AsistenciaJetAdminConcatenada!$A:$A, 0)), ISNUMBER(MATCH(X$1, AsistenciaJetAdminConcatenada!$B:$B, 0)), ISNUMBER(SEARCH($A101, INDEX(AsistenciaJetAdminConcatenada!$C:$C, MATCH(1, (AsistenciaJetAdminConcatenada!$A:$A=X$2)*(AsistenciaJetAdminConcatenada!$B:$B=X$1), 0)), 1))), 1, IF(AND(ISNUMBER(MATCH(X$2, AsistenciaJetAdminConcatenada!$A:$A, 0)), ISNUMBER(MATCH(X$1, AsistenciaJetAdminConcatenada!$B:$B, 0)), ISNUMBER(SEARCH($A101, INDEX(AsistenciaJetAdminConcatenada!$D:$D, MATCH(1, (AsistenciaJetAdminConcatenada!$A:$A=X$2)*(AsistenciaJetAdminConcatenada!$B:$B=X$1), 0)), 1))),  0.5, 0))</f>
        <v>1</v>
      </c>
      <c r="Y101" s="47">
        <f t="array" ref="Y101">IF(AND(ISNUMBER(MATCH(Y$2, AsistenciaJetAdminConcatenada!$A:$A, 0)), ISNUMBER(MATCH(Y$1, AsistenciaJetAdminConcatenada!$B:$B, 0)), ISNUMBER(SEARCH($A101, INDEX(AsistenciaJetAdminConcatenada!$C:$C, MATCH(1, (AsistenciaJetAdminConcatenada!$A:$A=Y$2)*(AsistenciaJetAdminConcatenada!$B:$B=Y$1), 0)), 1))), 1, IF(AND(ISNUMBER(MATCH(Y$2, AsistenciaJetAdminConcatenada!$A:$A, 0)), ISNUMBER(MATCH(Y$1, AsistenciaJetAdminConcatenada!$B:$B, 0)), ISNUMBER(SEARCH($A101, INDEX(AsistenciaJetAdminConcatenada!$D:$D, MATCH(1, (AsistenciaJetAdminConcatenada!$A:$A=Y$2)*(AsistenciaJetAdminConcatenada!$B:$B=Y$1), 0)), 1))),  0.5, 0))</f>
        <v>1</v>
      </c>
      <c r="Z101" s="47">
        <f t="array" ref="Z101">IF(AND(ISNUMBER(MATCH(Z$2, AsistenciaJetAdminConcatenada!$A:$A, 0)), ISNUMBER(MATCH(Z$1, AsistenciaJetAdminConcatenada!$B:$B, 0)), ISNUMBER(SEARCH($A101, INDEX(AsistenciaJetAdminConcatenada!$C:$C, MATCH(1, (AsistenciaJetAdminConcatenada!$A:$A=Z$2)*(AsistenciaJetAdminConcatenada!$B:$B=Z$1), 0)), 1))), 1, IF(AND(ISNUMBER(MATCH(Z$2, AsistenciaJetAdminConcatenada!$A:$A, 0)), ISNUMBER(MATCH(Z$1, AsistenciaJetAdminConcatenada!$B:$B, 0)), ISNUMBER(SEARCH($A101, INDEX(AsistenciaJetAdminConcatenada!$D:$D, MATCH(1, (AsistenciaJetAdminConcatenada!$A:$A=Z$2)*(AsistenciaJetAdminConcatenada!$B:$B=Z$1), 0)), 1))),  0.5, 0))</f>
        <v>1</v>
      </c>
      <c r="AA101" s="47">
        <f t="array" ref="AA101">IF(AND(ISNUMBER(MATCH(AA$2, AsistenciaJetAdminConcatenada!$A:$A, 0)), ISNUMBER(MATCH(AA$1, AsistenciaJetAdminConcatenada!$B:$B, 0)), ISNUMBER(SEARCH($A101, INDEX(AsistenciaJetAdminConcatenada!$C:$C, MATCH(1, (AsistenciaJetAdminConcatenada!$A:$A=AA$2)*(AsistenciaJetAdminConcatenada!$B:$B=AA$1), 0)), 1))), 1, IF(AND(ISNUMBER(MATCH(AA$2, AsistenciaJetAdminConcatenada!$A:$A, 0)), ISNUMBER(MATCH(AA$1, AsistenciaJetAdminConcatenada!$B:$B, 0)), ISNUMBER(SEARCH($A101, INDEX(AsistenciaJetAdminConcatenada!$D:$D, MATCH(1, (AsistenciaJetAdminConcatenada!$A:$A=AA$2)*(AsistenciaJetAdminConcatenada!$B:$B=AA$1), 0)), 1))),  0.5, 0))</f>
        <v>0</v>
      </c>
      <c r="AB101" s="47">
        <f t="array" ref="AB101">IF(AND(ISNUMBER(MATCH(AB$2, AsistenciaJetAdminConcatenada!$A:$A, 0)), ISNUMBER(MATCH(AB$1, AsistenciaJetAdminConcatenada!$B:$B, 0)), ISNUMBER(SEARCH($A101, INDEX(AsistenciaJetAdminConcatenada!$C:$C, MATCH(1, (AsistenciaJetAdminConcatenada!$A:$A=AB$2)*(AsistenciaJetAdminConcatenada!$B:$B=AB$1), 0)), 1))), 1, IF(AND(ISNUMBER(MATCH(AB$2, AsistenciaJetAdminConcatenada!$A:$A, 0)), ISNUMBER(MATCH(AB$1, AsistenciaJetAdminConcatenada!$B:$B, 0)), ISNUMBER(SEARCH($A101, INDEX(AsistenciaJetAdminConcatenada!$D:$D, MATCH(1, (AsistenciaJetAdminConcatenada!$A:$A=AB$2)*(AsistenciaJetAdminConcatenada!$B:$B=AB$1), 0)), 1))),  0.5, 0))</f>
        <v>0</v>
      </c>
      <c r="AC101" s="47">
        <f t="array" ref="AC101">IF(AND(ISNUMBER(MATCH(AC$2, AsistenciaJetAdminConcatenada!$A:$A, 0)), ISNUMBER(MATCH(AC$1, AsistenciaJetAdminConcatenada!$B:$B, 0)), ISNUMBER(SEARCH($A101, INDEX(AsistenciaJetAdminConcatenada!$C:$C, MATCH(1, (AsistenciaJetAdminConcatenada!$A:$A=AC$2)*(AsistenciaJetAdminConcatenada!$B:$B=AC$1), 0)), 1))), 1, IF(AND(ISNUMBER(MATCH(AC$2, AsistenciaJetAdminConcatenada!$A:$A, 0)), ISNUMBER(MATCH(AC$1, AsistenciaJetAdminConcatenada!$B:$B, 0)), ISNUMBER(SEARCH($A101, INDEX(AsistenciaJetAdminConcatenada!$D:$D, MATCH(1, (AsistenciaJetAdminConcatenada!$A:$A=AC$2)*(AsistenciaJetAdminConcatenada!$B:$B=AC$1), 0)), 1))),  0.5, 0))</f>
        <v>1</v>
      </c>
      <c r="AD101" s="47">
        <f t="array" ref="AD101">IF(AND(ISNUMBER(MATCH(AD$2, AsistenciaJetAdminConcatenada!$A:$A, 0)), ISNUMBER(MATCH(AD$1, AsistenciaJetAdminConcatenada!$B:$B, 0)), ISNUMBER(SEARCH($A101, INDEX(AsistenciaJetAdminConcatenada!$C:$C, MATCH(1, (AsistenciaJetAdminConcatenada!$A:$A=AD$2)*(AsistenciaJetAdminConcatenada!$B:$B=AD$1), 0)), 1))), 1, IF(AND(ISNUMBER(MATCH(AD$2, AsistenciaJetAdminConcatenada!$A:$A, 0)), ISNUMBER(MATCH(AD$1, AsistenciaJetAdminConcatenada!$B:$B, 0)), ISNUMBER(SEARCH($A101, INDEX(AsistenciaJetAdminConcatenada!$D:$D, MATCH(1, (AsistenciaJetAdminConcatenada!$A:$A=AD$2)*(AsistenciaJetAdminConcatenada!$B:$B=AD$1), 0)), 1))),  0.5, 0))</f>
        <v>1</v>
      </c>
      <c r="AE101" s="47">
        <f t="array" ref="AE101">IF(AND(ISNUMBER(MATCH(AE$2, AsistenciaJetAdminConcatenada!$A:$A, 0)), ISNUMBER(MATCH(AE$1, AsistenciaJetAdminConcatenada!$B:$B, 0)), ISNUMBER(SEARCH($A101, INDEX(AsistenciaJetAdminConcatenada!$C:$C, MATCH(1, (AsistenciaJetAdminConcatenada!$A:$A=AE$2)*(AsistenciaJetAdminConcatenada!$B:$B=AE$1), 0)), 1))), 1, IF(AND(ISNUMBER(MATCH(AE$2, AsistenciaJetAdminConcatenada!$A:$A, 0)), ISNUMBER(MATCH(AE$1, AsistenciaJetAdminConcatenada!$B:$B, 0)), ISNUMBER(SEARCH($A101, INDEX(AsistenciaJetAdminConcatenada!$D:$D, MATCH(1, (AsistenciaJetAdminConcatenada!$A:$A=AE$2)*(AsistenciaJetAdminConcatenada!$B:$B=AE$1), 0)), 1))),  0.5, 0))</f>
        <v>1</v>
      </c>
      <c r="AF101" s="47">
        <f t="array" ref="AF101">IF(AND(ISNUMBER(MATCH(AF$2, AsistenciaJetAdminConcatenada!$A:$A, 0)), ISNUMBER(MATCH(AF$1, AsistenciaJetAdminConcatenada!$B:$B, 0)), ISNUMBER(SEARCH($A101, INDEX(AsistenciaJetAdminConcatenada!$C:$C, MATCH(1, (AsistenciaJetAdminConcatenada!$A:$A=AF$2)*(AsistenciaJetAdminConcatenada!$B:$B=AF$1), 0)), 1))), 1, IF(AND(ISNUMBER(MATCH(AF$2, AsistenciaJetAdminConcatenada!$A:$A, 0)), ISNUMBER(MATCH(AF$1, AsistenciaJetAdminConcatenada!$B:$B, 0)), ISNUMBER(SEARCH($A101, INDEX(AsistenciaJetAdminConcatenada!$D:$D, MATCH(1, (AsistenciaJetAdminConcatenada!$A:$A=AF$2)*(AsistenciaJetAdminConcatenada!$B:$B=AF$1), 0)), 1))),  0.5, 0))</f>
        <v>1</v>
      </c>
      <c r="AG101" s="47">
        <f t="array" ref="AG101">IF(AND(ISNUMBER(MATCH(AG$2, AsistenciaJetAdminConcatenada!$A:$A, 0)), ISNUMBER(MATCH(AG$1, AsistenciaJetAdminConcatenada!$B:$B, 0)), ISNUMBER(SEARCH($A101, INDEX(AsistenciaJetAdminConcatenada!$C:$C, MATCH(1, (AsistenciaJetAdminConcatenada!$A:$A=AG$2)*(AsistenciaJetAdminConcatenada!$B:$B=AG$1), 0)), 1))), 1, IF(AND(ISNUMBER(MATCH(AG$2, AsistenciaJetAdminConcatenada!$A:$A, 0)), ISNUMBER(MATCH(AG$1, AsistenciaJetAdminConcatenada!$B:$B, 0)), ISNUMBER(SEARCH($A101, INDEX(AsistenciaJetAdminConcatenada!$D:$D, MATCH(1, (AsistenciaJetAdminConcatenada!$A:$A=AG$2)*(AsistenciaJetAdminConcatenada!$B:$B=AG$1), 0)), 1))),  0.5, 0))</f>
        <v>0</v>
      </c>
      <c r="AH101" s="47">
        <f t="array" ref="AH101">IF(AND(ISNUMBER(MATCH(AH$2, AsistenciaJetAdminConcatenada!$A:$A, 0)), ISNUMBER(MATCH(AH$1, AsistenciaJetAdminConcatenada!$B:$B, 0)), ISNUMBER(SEARCH($A101, INDEX(AsistenciaJetAdminConcatenada!$C:$C, MATCH(1, (AsistenciaJetAdminConcatenada!$A:$A=AH$2)*(AsistenciaJetAdminConcatenada!$B:$B=AH$1), 0)), 1))), 1, IF(AND(ISNUMBER(MATCH(AH$2, AsistenciaJetAdminConcatenada!$A:$A, 0)), ISNUMBER(MATCH(AH$1, AsistenciaJetAdminConcatenada!$B:$B, 0)), ISNUMBER(SEARCH($A101, INDEX(AsistenciaJetAdminConcatenada!$D:$D, MATCH(1, (AsistenciaJetAdminConcatenada!$A:$A=AH$2)*(AsistenciaJetAdminConcatenada!$B:$B=AH$1), 0)), 1))),  0.5, 0))</f>
        <v>0</v>
      </c>
      <c r="AI101" s="47">
        <f t="array" ref="AI101">IF(AND(ISNUMBER(MATCH(AI$2, AsistenciaJetAdminConcatenada!$A:$A, 0)), ISNUMBER(MATCH(AI$1, AsistenciaJetAdminConcatenada!$B:$B, 0)), ISNUMBER(SEARCH($A101, INDEX(AsistenciaJetAdminConcatenada!$C:$C, MATCH(1, (AsistenciaJetAdminConcatenada!$A:$A=AI$2)*(AsistenciaJetAdminConcatenada!$B:$B=AI$1), 0)), 1))), 1, IF(AND(ISNUMBER(MATCH(AI$2, AsistenciaJetAdminConcatenada!$A:$A, 0)), ISNUMBER(MATCH(AI$1, AsistenciaJetAdminConcatenada!$B:$B, 0)), ISNUMBER(SEARCH($A101, INDEX(AsistenciaJetAdminConcatenada!$D:$D, MATCH(1, (AsistenciaJetAdminConcatenada!$A:$A=AI$2)*(AsistenciaJetAdminConcatenada!$B:$B=AI$1), 0)), 1))),  0.5, 0))</f>
        <v>0</v>
      </c>
      <c r="AJ101" s="47">
        <f t="array" ref="AJ101">IF(AND(ISNUMBER(MATCH(AJ$2, AsistenciaJetAdminConcatenada!$A:$A, 0)), ISNUMBER(MATCH(AJ$1, AsistenciaJetAdminConcatenada!$B:$B, 0)), ISNUMBER(SEARCH($A101, INDEX(AsistenciaJetAdminConcatenada!$C:$C, MATCH(1, (AsistenciaJetAdminConcatenada!$A:$A=AJ$2)*(AsistenciaJetAdminConcatenada!$B:$B=AJ$1), 0)), 1))), 1, IF(AND(ISNUMBER(MATCH(AJ$2, AsistenciaJetAdminConcatenada!$A:$A, 0)), ISNUMBER(MATCH(AJ$1, AsistenciaJetAdminConcatenada!$B:$B, 0)), ISNUMBER(SEARCH($A101, INDEX(AsistenciaJetAdminConcatenada!$D:$D, MATCH(1, (AsistenciaJetAdminConcatenada!$A:$A=AJ$2)*(AsistenciaJetAdminConcatenada!$B:$B=AJ$1), 0)), 1))),  0.5, 0))</f>
        <v>1</v>
      </c>
      <c r="AK101" s="47">
        <f t="array" ref="AK101">IF(AND(ISNUMBER(MATCH(AK$2, AsistenciaJetAdminConcatenada!$A:$A, 0)), ISNUMBER(MATCH(AK$1, AsistenciaJetAdminConcatenada!$B:$B, 0)), ISNUMBER(SEARCH($A101, INDEX(AsistenciaJetAdminConcatenada!$C:$C, MATCH(1, (AsistenciaJetAdminConcatenada!$A:$A=AK$2)*(AsistenciaJetAdminConcatenada!$B:$B=AK$1), 0)), 1))), 1, IF(AND(ISNUMBER(MATCH(AK$2, AsistenciaJetAdminConcatenada!$A:$A, 0)), ISNUMBER(MATCH(AK$1, AsistenciaJetAdminConcatenada!$B:$B, 0)), ISNUMBER(SEARCH($A101, INDEX(AsistenciaJetAdminConcatenada!$D:$D, MATCH(1, (AsistenciaJetAdminConcatenada!$A:$A=AK$2)*(AsistenciaJetAdminConcatenada!$B:$B=AK$1), 0)), 1))),  0.5, 0))</f>
        <v>0</v>
      </c>
      <c r="AL101" s="47">
        <f t="array" ref="AL101">IF(AND(ISNUMBER(MATCH(AL$2, AsistenciaJetAdminConcatenada!$A:$A, 0)), ISNUMBER(MATCH(AL$1, AsistenciaJetAdminConcatenada!$B:$B, 0)), ISNUMBER(SEARCH($A101, INDEX(AsistenciaJetAdminConcatenada!$C:$C, MATCH(1, (AsistenciaJetAdminConcatenada!$A:$A=AL$2)*(AsistenciaJetAdminConcatenada!$B:$B=AL$1), 0)), 1))), 1, IF(AND(ISNUMBER(MATCH(AL$2, AsistenciaJetAdminConcatenada!$A:$A, 0)), ISNUMBER(MATCH(AL$1, AsistenciaJetAdminConcatenada!$B:$B, 0)), ISNUMBER(SEARCH($A101, INDEX(AsistenciaJetAdminConcatenada!$D:$D, MATCH(1, (AsistenciaJetAdminConcatenada!$A:$A=AL$2)*(AsistenciaJetAdminConcatenada!$B:$B=AL$1), 0)), 1))),  0.5, 0))</f>
        <v>0</v>
      </c>
      <c r="AM101" s="47">
        <f t="array" ref="AM101">IF(AND(ISNUMBER(MATCH(AM$2, AsistenciaJetAdminConcatenada!$A:$A, 0)), ISNUMBER(MATCH(AM$1, AsistenciaJetAdminConcatenada!$B:$B, 0)), ISNUMBER(SEARCH($A101, INDEX(AsistenciaJetAdminConcatenada!$C:$C, MATCH(1, (AsistenciaJetAdminConcatenada!$A:$A=AM$2)*(AsistenciaJetAdminConcatenada!$B:$B=AM$1), 0)), 1))), 1, IF(AND(ISNUMBER(MATCH(AM$2, AsistenciaJetAdminConcatenada!$A:$A, 0)), ISNUMBER(MATCH(AM$1, AsistenciaJetAdminConcatenada!$B:$B, 0)), ISNUMBER(SEARCH($A101, INDEX(AsistenciaJetAdminConcatenada!$D:$D, MATCH(1, (AsistenciaJetAdminConcatenada!$A:$A=AM$2)*(AsistenciaJetAdminConcatenada!$B:$B=AM$1), 0)), 1))),  0.5, 0))</f>
        <v>1</v>
      </c>
      <c r="AN101" s="47">
        <f t="array" ref="AN101">IF(AND(ISNUMBER(MATCH(AN$2, AsistenciaJetAdminConcatenada!$A:$A, 0)), ISNUMBER(MATCH(AN$1, AsistenciaJetAdminConcatenada!$B:$B, 0)), ISNUMBER(SEARCH($A101, INDEX(AsistenciaJetAdminConcatenada!$C:$C, MATCH(1, (AsistenciaJetAdminConcatenada!$A:$A=AN$2)*(AsistenciaJetAdminConcatenada!$B:$B=AN$1), 0)), 1))), 1, IF(AND(ISNUMBER(MATCH(AN$2, AsistenciaJetAdminConcatenada!$A:$A, 0)), ISNUMBER(MATCH(AN$1, AsistenciaJetAdminConcatenada!$B:$B, 0)), ISNUMBER(SEARCH($A101, INDEX(AsistenciaJetAdminConcatenada!$D:$D, MATCH(1, (AsistenciaJetAdminConcatenada!$A:$A=AN$2)*(AsistenciaJetAdminConcatenada!$B:$B=AN$1), 0)), 1))),  0.5, 0))</f>
        <v>1</v>
      </c>
      <c r="AO101" s="47">
        <f t="array" ref="AO101">IF(AND(ISNUMBER(MATCH(AO$2, AsistenciaJetAdminConcatenada!$A:$A, 0)), ISNUMBER(MATCH(AO$1, AsistenciaJetAdminConcatenada!$B:$B, 0)), ISNUMBER(SEARCH($A101, INDEX(AsistenciaJetAdminConcatenada!$C:$C, MATCH(1, (AsistenciaJetAdminConcatenada!$A:$A=AO$2)*(AsistenciaJetAdminConcatenada!$B:$B=AO$1), 0)), 1))), 1, IF(AND(ISNUMBER(MATCH(AO$2, AsistenciaJetAdminConcatenada!$A:$A, 0)), ISNUMBER(MATCH(AO$1, AsistenciaJetAdminConcatenada!$B:$B, 0)), ISNUMBER(SEARCH($A101, INDEX(AsistenciaJetAdminConcatenada!$D:$D, MATCH(1, (AsistenciaJetAdminConcatenada!$A:$A=AO$2)*(AsistenciaJetAdminConcatenada!$B:$B=AO$1), 0)), 1))),  0.5, 0))</f>
        <v>0</v>
      </c>
      <c r="AP101" s="47">
        <f t="array" ref="AP101">IF(AND(ISNUMBER(MATCH(AP$2, AsistenciaJetAdminConcatenada!$A:$A, 0)), ISNUMBER(MATCH(AP$1, AsistenciaJetAdminConcatenada!$B:$B, 0)), ISNUMBER(SEARCH($A101, INDEX(AsistenciaJetAdminConcatenada!$C:$C, MATCH(1, (AsistenciaJetAdminConcatenada!$A:$A=AP$2)*(AsistenciaJetAdminConcatenada!$B:$B=AP$1), 0)), 1))), 1, IF(AND(ISNUMBER(MATCH(AP$2, AsistenciaJetAdminConcatenada!$A:$A, 0)), ISNUMBER(MATCH(AP$1, AsistenciaJetAdminConcatenada!$B:$B, 0)), ISNUMBER(SEARCH($A101, INDEX(AsistenciaJetAdminConcatenada!$D:$D, MATCH(1, (AsistenciaJetAdminConcatenada!$A:$A=AP$2)*(AsistenciaJetAdminConcatenada!$B:$B=AP$1), 0)), 1))),  0.5, 0))</f>
        <v>0</v>
      </c>
      <c r="AQ101" s="47">
        <f t="array" ref="AQ101">IF(AND(ISNUMBER(MATCH(AQ$2, AsistenciaJetAdminConcatenada!$A:$A, 0)), ISNUMBER(MATCH(AQ$1, AsistenciaJetAdminConcatenada!$B:$B, 0)), ISNUMBER(SEARCH($A101, INDEX(AsistenciaJetAdminConcatenada!$C:$C, MATCH(1, (AsistenciaJetAdminConcatenada!$A:$A=AQ$2)*(AsistenciaJetAdminConcatenada!$B:$B=AQ$1), 0)), 1))), 1, IF(AND(ISNUMBER(MATCH(AQ$2, AsistenciaJetAdminConcatenada!$A:$A, 0)), ISNUMBER(MATCH(AQ$1, AsistenciaJetAdminConcatenada!$B:$B, 0)), ISNUMBER(SEARCH($A101, INDEX(AsistenciaJetAdminConcatenada!$D:$D, MATCH(1, (AsistenciaJetAdminConcatenada!$A:$A=AQ$2)*(AsistenciaJetAdminConcatenada!$B:$B=AQ$1), 0)), 1))),  0.5, 0))</f>
        <v>0</v>
      </c>
      <c r="AR101" s="47">
        <f t="array" ref="AR101">IF(AND(ISNUMBER(MATCH(AR$2, AsistenciaJetAdminConcatenada!$A:$A, 0)), ISNUMBER(MATCH(AR$1, AsistenciaJetAdminConcatenada!$B:$B, 0)), ISNUMBER(SEARCH($A101, INDEX(AsistenciaJetAdminConcatenada!$C:$C, MATCH(1, (AsistenciaJetAdminConcatenada!$A:$A=AR$2)*(AsistenciaJetAdminConcatenada!$B:$B=AR$1), 0)), 1))), 1, IF(AND(ISNUMBER(MATCH(AR$2, AsistenciaJetAdminConcatenada!$A:$A, 0)), ISNUMBER(MATCH(AR$1, AsistenciaJetAdminConcatenada!$B:$B, 0)), ISNUMBER(SEARCH($A101, INDEX(AsistenciaJetAdminConcatenada!$D:$D, MATCH(1, (AsistenciaJetAdminConcatenada!$A:$A=AR$2)*(AsistenciaJetAdminConcatenada!$B:$B=AR$1), 0)), 1))),  0.5, 0))</f>
        <v>1</v>
      </c>
      <c r="AS101" s="47">
        <f t="array" ref="AS101">IF(AND(ISNUMBER(MATCH(AS$2, AsistenciaJetAdminConcatenada!$A:$A, 0)), ISNUMBER(MATCH(AS$1, AsistenciaJetAdminConcatenada!$B:$B, 0)), ISNUMBER(SEARCH($A101, INDEX(AsistenciaJetAdminConcatenada!$C:$C, MATCH(1, (AsistenciaJetAdminConcatenada!$A:$A=AS$2)*(AsistenciaJetAdminConcatenada!$B:$B=AS$1), 0)), 1))), 1, IF(AND(ISNUMBER(MATCH(AS$2, AsistenciaJetAdminConcatenada!$A:$A, 0)), ISNUMBER(MATCH(AS$1, AsistenciaJetAdminConcatenada!$B:$B, 0)), ISNUMBER(SEARCH($A101, INDEX(AsistenciaJetAdminConcatenada!$D:$D, MATCH(1, (AsistenciaJetAdminConcatenada!$A:$A=AS$2)*(AsistenciaJetAdminConcatenada!$B:$B=AS$1), 0)), 1))),  0.5, 0))</f>
        <v>1</v>
      </c>
      <c r="AT101" s="47">
        <f t="array" ref="AT101">IF(AND(ISNUMBER(MATCH(AT$2, AsistenciaJetAdminConcatenada!$A:$A, 0)), ISNUMBER(MATCH(AT$1, AsistenciaJetAdminConcatenada!$B:$B, 0)), ISNUMBER(SEARCH($A101, INDEX(AsistenciaJetAdminConcatenada!$C:$C, MATCH(1, (AsistenciaJetAdminConcatenada!$A:$A=AT$2)*(AsistenciaJetAdminConcatenada!$B:$B=AT$1), 0)), 1))), 1, IF(AND(ISNUMBER(MATCH(AT$2, AsistenciaJetAdminConcatenada!$A:$A, 0)), ISNUMBER(MATCH(AT$1, AsistenciaJetAdminConcatenada!$B:$B, 0)), ISNUMBER(SEARCH($A101, INDEX(AsistenciaJetAdminConcatenada!$D:$D, MATCH(1, (AsistenciaJetAdminConcatenada!$A:$A=AT$2)*(AsistenciaJetAdminConcatenada!$B:$B=AT$1), 0)), 1))),  0.5, 0))</f>
        <v>0</v>
      </c>
      <c r="AU101" s="47">
        <f t="array" ref="AU101">IF(AND(ISNUMBER(MATCH(AU$2, AsistenciaJetAdminConcatenada!$A:$A, 0)), ISNUMBER(MATCH(AU$1, AsistenciaJetAdminConcatenada!$B:$B, 0)), ISNUMBER(SEARCH($A101, INDEX(AsistenciaJetAdminConcatenada!$C:$C, MATCH(1, (AsistenciaJetAdminConcatenada!$A:$A=AU$2)*(AsistenciaJetAdminConcatenada!$B:$B=AU$1), 0)), 1))), 1, IF(AND(ISNUMBER(MATCH(AU$2, AsistenciaJetAdminConcatenada!$A:$A, 0)), ISNUMBER(MATCH(AU$1, AsistenciaJetAdminConcatenada!$B:$B, 0)), ISNUMBER(SEARCH($A101, INDEX(AsistenciaJetAdminConcatenada!$D:$D, MATCH(1, (AsistenciaJetAdminConcatenada!$A:$A=AU$2)*(AsistenciaJetAdminConcatenada!$B:$B=AU$1), 0)), 1))),  0.5, 0))</f>
        <v>1</v>
      </c>
      <c r="AV101" s="47">
        <f t="array" ref="AV101">IF(AND(ISNUMBER(MATCH(AV$2, AsistenciaJetAdminConcatenada!$A:$A, 0)), ISNUMBER(MATCH(AV$1, AsistenciaJetAdminConcatenada!$B:$B, 0)), ISNUMBER(SEARCH($A101, INDEX(AsistenciaJetAdminConcatenada!$C:$C, MATCH(1, (AsistenciaJetAdminConcatenada!$A:$A=AV$2)*(AsistenciaJetAdminConcatenada!$B:$B=AV$1), 0)), 1))), 1, IF(AND(ISNUMBER(MATCH(AV$2, AsistenciaJetAdminConcatenada!$A:$A, 0)), ISNUMBER(MATCH(AV$1, AsistenciaJetAdminConcatenada!$B:$B, 0)), ISNUMBER(SEARCH($A101, INDEX(AsistenciaJetAdminConcatenada!$D:$D, MATCH(1, (AsistenciaJetAdminConcatenada!$A:$A=AV$2)*(AsistenciaJetAdminConcatenada!$B:$B=AV$1), 0)), 1))),  0.5, 0))</f>
        <v>1</v>
      </c>
      <c r="AW101" s="47">
        <f t="array" ref="AW101">IF(AND(ISNUMBER(MATCH(AW$2, AsistenciaJetAdminConcatenada!$A:$A, 0)), ISNUMBER(MATCH(AW$1, AsistenciaJetAdminConcatenada!$B:$B, 0)), ISNUMBER(SEARCH($A101, INDEX(AsistenciaJetAdminConcatenada!$C:$C, MATCH(1, (AsistenciaJetAdminConcatenada!$A:$A=AW$2)*(AsistenciaJetAdminConcatenada!$B:$B=AW$1), 0)), 1))), 1, IF(AND(ISNUMBER(MATCH(AW$2, AsistenciaJetAdminConcatenada!$A:$A, 0)), ISNUMBER(MATCH(AW$1, AsistenciaJetAdminConcatenada!$B:$B, 0)), ISNUMBER(SEARCH($A101, INDEX(AsistenciaJetAdminConcatenada!$D:$D, MATCH(1, (AsistenciaJetAdminConcatenada!$A:$A=AW$2)*(AsistenciaJetAdminConcatenada!$B:$B=AW$1), 0)), 1))),  0.5, 0))</f>
        <v>0</v>
      </c>
      <c r="AX101" s="47">
        <f t="array" ref="AX101">IF(AND(ISNUMBER(MATCH(AX$2, AsistenciaJetAdminConcatenada!$A:$A, 0)), ISNUMBER(MATCH(AX$1, AsistenciaJetAdminConcatenada!$B:$B, 0)), ISNUMBER(SEARCH($A101, INDEX(AsistenciaJetAdminConcatenada!$C:$C, MATCH(1, (AsistenciaJetAdminConcatenada!$A:$A=AX$2)*(AsistenciaJetAdminConcatenada!$B:$B=AX$1), 0)), 1))), 1, IF(AND(ISNUMBER(MATCH(AX$2, AsistenciaJetAdminConcatenada!$A:$A, 0)), ISNUMBER(MATCH(AX$1, AsistenciaJetAdminConcatenada!$B:$B, 0)), ISNUMBER(SEARCH($A101, INDEX(AsistenciaJetAdminConcatenada!$D:$D, MATCH(1, (AsistenciaJetAdminConcatenada!$A:$A=AX$2)*(AsistenciaJetAdminConcatenada!$B:$B=AX$1), 0)), 1))),  0.5, 0))</f>
        <v>0</v>
      </c>
      <c r="AY101" s="47">
        <f t="array" ref="AY101">IF(AND(ISNUMBER(MATCH(AY$2, AsistenciaJetAdminConcatenada!$A:$A, 0)), ISNUMBER(MATCH(AY$1, AsistenciaJetAdminConcatenada!$B:$B, 0)), ISNUMBER(SEARCH($A101, INDEX(AsistenciaJetAdminConcatenada!$C:$C, MATCH(1, (AsistenciaJetAdminConcatenada!$A:$A=AY$2)*(AsistenciaJetAdminConcatenada!$B:$B=AY$1), 0)), 1))), 1, IF(AND(ISNUMBER(MATCH(AY$2, AsistenciaJetAdminConcatenada!$A:$A, 0)), ISNUMBER(MATCH(AY$1, AsistenciaJetAdminConcatenada!$B:$B, 0)), ISNUMBER(SEARCH($A101, INDEX(AsistenciaJetAdminConcatenada!$D:$D, MATCH(1, (AsistenciaJetAdminConcatenada!$A:$A=AY$2)*(AsistenciaJetAdminConcatenada!$B:$B=AY$1), 0)), 1))),  0.5, 0))</f>
        <v>1</v>
      </c>
      <c r="AZ101" s="47">
        <f t="array" ref="AZ101">IF(AND(ISNUMBER(MATCH(AZ$2, AsistenciaJetAdminConcatenada!$A:$A, 0)), ISNUMBER(MATCH(AZ$1, AsistenciaJetAdminConcatenada!$B:$B, 0)), ISNUMBER(SEARCH($A101, INDEX(AsistenciaJetAdminConcatenada!$C:$C, MATCH(1, (AsistenciaJetAdminConcatenada!$A:$A=AZ$2)*(AsistenciaJetAdminConcatenada!$B:$B=AZ$1), 0)), 1))), 1, IF(AND(ISNUMBER(MATCH(AZ$2, AsistenciaJetAdminConcatenada!$A:$A, 0)), ISNUMBER(MATCH(AZ$1, AsistenciaJetAdminConcatenada!$B:$B, 0)), ISNUMBER(SEARCH($A101, INDEX(AsistenciaJetAdminConcatenada!$D:$D, MATCH(1, (AsistenciaJetAdminConcatenada!$A:$A=AZ$2)*(AsistenciaJetAdminConcatenada!$B:$B=AZ$1), 0)), 1))),  0.5, 0))</f>
        <v>1</v>
      </c>
      <c r="BA101" s="47">
        <f t="array" ref="BA101">IF(AND(ISNUMBER(MATCH(BA$2, AsistenciaJetAdminConcatenada!$A:$A, 0)), ISNUMBER(MATCH(BA$1, AsistenciaJetAdminConcatenada!$B:$B, 0)), ISNUMBER(SEARCH($A101, INDEX(AsistenciaJetAdminConcatenada!$C:$C, MATCH(1, (AsistenciaJetAdminConcatenada!$A:$A=BA$2)*(AsistenciaJetAdminConcatenada!$B:$B=BA$1), 0)), 1))), 1, IF(AND(ISNUMBER(MATCH(BA$2, AsistenciaJetAdminConcatenada!$A:$A, 0)), ISNUMBER(MATCH(BA$1, AsistenciaJetAdminConcatenada!$B:$B, 0)), ISNUMBER(SEARCH($A101, INDEX(AsistenciaJetAdminConcatenada!$D:$D, MATCH(1, (AsistenciaJetAdminConcatenada!$A:$A=BA$2)*(AsistenciaJetAdminConcatenada!$B:$B=BA$1), 0)), 1))),  0.5, 0))</f>
        <v>0</v>
      </c>
      <c r="BB101" s="47">
        <f t="array" ref="BB101">IF(AND(ISNUMBER(MATCH(BB$2, AsistenciaJetAdminConcatenada!$A:$A, 0)), ISNUMBER(MATCH(BB$1, AsistenciaJetAdminConcatenada!$B:$B, 0)), ISNUMBER(SEARCH($A101, INDEX(AsistenciaJetAdminConcatenada!$C:$C, MATCH(1, (AsistenciaJetAdminConcatenada!$A:$A=BB$2)*(AsistenciaJetAdminConcatenada!$B:$B=BB$1), 0)), 1))), 1, IF(AND(ISNUMBER(MATCH(BB$2, AsistenciaJetAdminConcatenada!$A:$A, 0)), ISNUMBER(MATCH(BB$1, AsistenciaJetAdminConcatenada!$B:$B, 0)), ISNUMBER(SEARCH($A101, INDEX(AsistenciaJetAdminConcatenada!$D:$D, MATCH(1, (AsistenciaJetAdminConcatenada!$A:$A=BB$2)*(AsistenciaJetAdminConcatenada!$B:$B=BB$1), 0)), 1))),  0.5, 0))</f>
        <v>1</v>
      </c>
      <c r="BC101" s="47">
        <f t="array" ref="BC101">IF(AND(ISNUMBER(MATCH(BC$2, AsistenciaJetAdminConcatenada!$A:$A, 0)), ISNUMBER(MATCH(BC$1, AsistenciaJetAdminConcatenada!$B:$B, 0)), ISNUMBER(SEARCH($A101, INDEX(AsistenciaJetAdminConcatenada!$C:$C, MATCH(1, (AsistenciaJetAdminConcatenada!$A:$A=BC$2)*(AsistenciaJetAdminConcatenada!$B:$B=BC$1), 0)), 1))), 1, IF(AND(ISNUMBER(MATCH(BC$2, AsistenciaJetAdminConcatenada!$A:$A, 0)), ISNUMBER(MATCH(BC$1, AsistenciaJetAdminConcatenada!$B:$B, 0)), ISNUMBER(SEARCH($A101, INDEX(AsistenciaJetAdminConcatenada!$D:$D, MATCH(1, (AsistenciaJetAdminConcatenada!$A:$A=BC$2)*(AsistenciaJetAdminConcatenada!$B:$B=BC$1), 0)), 1))),  0.5, 0))</f>
        <v>1</v>
      </c>
      <c r="BD101" s="47">
        <f t="array" ref="BD101">IF(AND(ISNUMBER(MATCH(BD$2, AsistenciaJetAdminConcatenada!$A:$A, 0)), ISNUMBER(MATCH(BD$1, AsistenciaJetAdminConcatenada!$B:$B, 0)), ISNUMBER(SEARCH($A101, INDEX(AsistenciaJetAdminConcatenada!$C:$C, MATCH(1, (AsistenciaJetAdminConcatenada!$A:$A=BD$2)*(AsistenciaJetAdminConcatenada!$B:$B=BD$1), 0)), 1))), 1, IF(AND(ISNUMBER(MATCH(BD$2, AsistenciaJetAdminConcatenada!$A:$A, 0)), ISNUMBER(MATCH(BD$1, AsistenciaJetAdminConcatenada!$B:$B, 0)), ISNUMBER(SEARCH($A101, INDEX(AsistenciaJetAdminConcatenada!$D:$D, MATCH(1, (AsistenciaJetAdminConcatenada!$A:$A=BD$2)*(AsistenciaJetAdminConcatenada!$B:$B=BD$1), 0)), 1))),  0.5, 0))</f>
        <v>0</v>
      </c>
      <c r="BE101" s="47">
        <f t="array" ref="BE101">IF(AND(ISNUMBER(MATCH(BE$2, AsistenciaJetAdminConcatenada!$A:$A, 0)), ISNUMBER(MATCH(BE$1, AsistenciaJetAdminConcatenada!$B:$B, 0)), ISNUMBER(SEARCH($A101, INDEX(AsistenciaJetAdminConcatenada!$C:$C, MATCH(1, (AsistenciaJetAdminConcatenada!$A:$A=BE$2)*(AsistenciaJetAdminConcatenada!$B:$B=BE$1), 0)), 1))), 1, IF(AND(ISNUMBER(MATCH(BE$2, AsistenciaJetAdminConcatenada!$A:$A, 0)), ISNUMBER(MATCH(BE$1, AsistenciaJetAdminConcatenada!$B:$B, 0)), ISNUMBER(SEARCH($A101, INDEX(AsistenciaJetAdminConcatenada!$D:$D, MATCH(1, (AsistenciaJetAdminConcatenada!$A:$A=BE$2)*(AsistenciaJetAdminConcatenada!$B:$B=BE$1), 0)), 1))),  0.5, 0))</f>
        <v>1</v>
      </c>
      <c r="BF101" s="47">
        <f t="array" ref="BF101">IF(AND(ISNUMBER(MATCH(BF$2, AsistenciaJetAdminConcatenada!$A:$A, 0)), ISNUMBER(MATCH(BF$1, AsistenciaJetAdminConcatenada!$B:$B, 0)), ISNUMBER(SEARCH($A101, INDEX(AsistenciaJetAdminConcatenada!$C:$C, MATCH(1, (AsistenciaJetAdminConcatenada!$A:$A=BF$2)*(AsistenciaJetAdminConcatenada!$B:$B=BF$1), 0)), 1))), 1, IF(AND(ISNUMBER(MATCH(BF$2, AsistenciaJetAdminConcatenada!$A:$A, 0)), ISNUMBER(MATCH(BF$1, AsistenciaJetAdminConcatenada!$B:$B, 0)), ISNUMBER(SEARCH($A101, INDEX(AsistenciaJetAdminConcatenada!$D:$D, MATCH(1, (AsistenciaJetAdminConcatenada!$A:$A=BF$2)*(AsistenciaJetAdminConcatenada!$B:$B=BF$1), 0)), 1))),  0.5, 0))</f>
        <v>1</v>
      </c>
      <c r="BG101" s="47">
        <f t="array" ref="BG101">IF(AND(ISNUMBER(MATCH(BG$2, AsistenciaJetAdminConcatenada!$A:$A, 0)), ISNUMBER(MATCH(BG$1, AsistenciaJetAdminConcatenada!$B:$B, 0)), ISNUMBER(SEARCH($A101, INDEX(AsistenciaJetAdminConcatenada!$C:$C, MATCH(1, (AsistenciaJetAdminConcatenada!$A:$A=BG$2)*(AsistenciaJetAdminConcatenada!$B:$B=BG$1), 0)), 1))), 1, IF(AND(ISNUMBER(MATCH(BG$2, AsistenciaJetAdminConcatenada!$A:$A, 0)), ISNUMBER(MATCH(BG$1, AsistenciaJetAdminConcatenada!$B:$B, 0)), ISNUMBER(SEARCH($A101, INDEX(AsistenciaJetAdminConcatenada!$D:$D, MATCH(1, (AsistenciaJetAdminConcatenada!$A:$A=BG$2)*(AsistenciaJetAdminConcatenada!$B:$B=BG$1), 0)), 1))),  0.5, 0))</f>
        <v>0</v>
      </c>
      <c r="BH101" s="47">
        <f t="array" ref="BH101">IF(AND(ISNUMBER(MATCH(BH$2, AsistenciaJetAdminConcatenada!$A:$A, 0)), ISNUMBER(MATCH(BH$1, AsistenciaJetAdminConcatenada!$B:$B, 0)), ISNUMBER(SEARCH($A101, INDEX(AsistenciaJetAdminConcatenada!$C:$C, MATCH(1, (AsistenciaJetAdminConcatenada!$A:$A=BH$2)*(AsistenciaJetAdminConcatenada!$B:$B=BH$1), 0)), 1))), 1, IF(AND(ISNUMBER(MATCH(BH$2, AsistenciaJetAdminConcatenada!$A:$A, 0)), ISNUMBER(MATCH(BH$1, AsistenciaJetAdminConcatenada!$B:$B, 0)), ISNUMBER(SEARCH($A101, INDEX(AsistenciaJetAdminConcatenada!$D:$D, MATCH(1, (AsistenciaJetAdminConcatenada!$A:$A=BH$2)*(AsistenciaJetAdminConcatenada!$B:$B=BH$1), 0)), 1))),  0.5, 0))</f>
        <v>1</v>
      </c>
      <c r="BI101" s="47">
        <f t="array" ref="BI101">IF(AND(ISNUMBER(MATCH(BI$2, AsistenciaJetAdminConcatenada!$A:$A, 0)), ISNUMBER(MATCH(BI$1, AsistenciaJetAdminConcatenada!$B:$B, 0)), ISNUMBER(SEARCH($A101, INDEX(AsistenciaJetAdminConcatenada!$C:$C, MATCH(1, (AsistenciaJetAdminConcatenada!$A:$A=BI$2)*(AsistenciaJetAdminConcatenada!$B:$B=BI$1), 0)), 1))), 1, IF(AND(ISNUMBER(MATCH(BI$2, AsistenciaJetAdminConcatenada!$A:$A, 0)), ISNUMBER(MATCH(BI$1, AsistenciaJetAdminConcatenada!$B:$B, 0)), ISNUMBER(SEARCH($A101, INDEX(AsistenciaJetAdminConcatenada!$D:$D, MATCH(1, (AsistenciaJetAdminConcatenada!$A:$A=BI$2)*(AsistenciaJetAdminConcatenada!$B:$B=BI$1), 0)), 1))),  0.5, 0))</f>
        <v>1</v>
      </c>
      <c r="BJ101" s="47">
        <f t="array" ref="BJ101">IF(AND(ISNUMBER(MATCH(BJ$2, AsistenciaJetAdminConcatenada!$A:$A, 0)), ISNUMBER(MATCH(BJ$1, AsistenciaJetAdminConcatenada!$B:$B, 0)), ISNUMBER(SEARCH($A101, INDEX(AsistenciaJetAdminConcatenada!$C:$C, MATCH(1, (AsistenciaJetAdminConcatenada!$A:$A=BJ$2)*(AsistenciaJetAdminConcatenada!$B:$B=BJ$1), 0)), 1))), 1, IF(AND(ISNUMBER(MATCH(BJ$2, AsistenciaJetAdminConcatenada!$A:$A, 0)), ISNUMBER(MATCH(BJ$1, AsistenciaJetAdminConcatenada!$B:$B, 0)), ISNUMBER(SEARCH($A101, INDEX(AsistenciaJetAdminConcatenada!$D:$D, MATCH(1, (AsistenciaJetAdminConcatenada!$A:$A=BJ$2)*(AsistenciaJetAdminConcatenada!$B:$B=BJ$1), 0)), 1))),  0.5, 0))</f>
        <v>1</v>
      </c>
      <c r="BK101" s="47">
        <f t="array" ref="BK101">IF(AND(ISNUMBER(MATCH(BK$2, AsistenciaJetAdminConcatenada!$A:$A, 0)), ISNUMBER(MATCH(BK$1, AsistenciaJetAdminConcatenada!$B:$B, 0)), ISNUMBER(SEARCH($A101, INDEX(AsistenciaJetAdminConcatenada!$C:$C, MATCH(1, (AsistenciaJetAdminConcatenada!$A:$A=BK$2)*(AsistenciaJetAdminConcatenada!$B:$B=BK$1), 0)), 1))), 1, IF(AND(ISNUMBER(MATCH(BK$2, AsistenciaJetAdminConcatenada!$A:$A, 0)), ISNUMBER(MATCH(BK$1, AsistenciaJetAdminConcatenada!$B:$B, 0)), ISNUMBER(SEARCH($A101, INDEX(AsistenciaJetAdminConcatenada!$D:$D, MATCH(1, (AsistenciaJetAdminConcatenada!$A:$A=BK$2)*(AsistenciaJetAdminConcatenada!$B:$B=BK$1), 0)), 1))),  0.5, 0))</f>
        <v>1</v>
      </c>
      <c r="BL101" s="47">
        <f t="array" ref="BL101">IF(AND(ISNUMBER(MATCH(BL$2, AsistenciaJetAdminConcatenada!$A:$A, 0)), ISNUMBER(MATCH(BL$1, AsistenciaJetAdminConcatenada!$B:$B, 0)), ISNUMBER(SEARCH($A101, INDEX(AsistenciaJetAdminConcatenada!$C:$C, MATCH(1, (AsistenciaJetAdminConcatenada!$A:$A=BL$2)*(AsistenciaJetAdminConcatenada!$B:$B=BL$1), 0)), 1))), 1, IF(AND(ISNUMBER(MATCH(BL$2, AsistenciaJetAdminConcatenada!$A:$A, 0)), ISNUMBER(MATCH(BL$1, AsistenciaJetAdminConcatenada!$B:$B, 0)), ISNUMBER(SEARCH($A101, INDEX(AsistenciaJetAdminConcatenada!$D:$D, MATCH(1, (AsistenciaJetAdminConcatenada!$A:$A=BL$2)*(AsistenciaJetAdminConcatenada!$B:$B=BL$1), 0)), 1))),  0.5, 0))</f>
        <v>0</v>
      </c>
      <c r="BM101" s="47">
        <f t="array" ref="BM101">IF(AND(ISNUMBER(MATCH(BM$2, AsistenciaJetAdminConcatenada!$A:$A, 0)), ISNUMBER(MATCH(BM$1, AsistenciaJetAdminConcatenada!$B:$B, 0)), ISNUMBER(SEARCH($A101, INDEX(AsistenciaJetAdminConcatenada!$C:$C, MATCH(1, (AsistenciaJetAdminConcatenada!$A:$A=BM$2)*(AsistenciaJetAdminConcatenada!$B:$B=BM$1), 0)), 1))), 1, IF(AND(ISNUMBER(MATCH(BM$2, AsistenciaJetAdminConcatenada!$A:$A, 0)), ISNUMBER(MATCH(BM$1, AsistenciaJetAdminConcatenada!$B:$B, 0)), ISNUMBER(SEARCH($A101, INDEX(AsistenciaJetAdminConcatenada!$D:$D, MATCH(1, (AsistenciaJetAdminConcatenada!$A:$A=BM$2)*(AsistenciaJetAdminConcatenada!$B:$B=BM$1), 0)), 1))),  0.5, 0))</f>
        <v>1</v>
      </c>
      <c r="BN101" s="47">
        <f t="array" ref="BN101">IF(AND(ISNUMBER(MATCH(BN$2, AsistenciaJetAdminConcatenada!$A:$A, 0)), ISNUMBER(MATCH(BN$1, AsistenciaJetAdminConcatenada!$B:$B, 0)), ISNUMBER(SEARCH($A101, INDEX(AsistenciaJetAdminConcatenada!$C:$C, MATCH(1, (AsistenciaJetAdminConcatenada!$A:$A=BN$2)*(AsistenciaJetAdminConcatenada!$B:$B=BN$1), 0)), 1))), 1, IF(AND(ISNUMBER(MATCH(BN$2, AsistenciaJetAdminConcatenada!$A:$A, 0)), ISNUMBER(MATCH(BN$1, AsistenciaJetAdminConcatenada!$B:$B, 0)), ISNUMBER(SEARCH($A101, INDEX(AsistenciaJetAdminConcatenada!$D:$D, MATCH(1, (AsistenciaJetAdminConcatenada!$A:$A=BN$2)*(AsistenciaJetAdminConcatenada!$B:$B=BN$1), 0)), 1))),  0.5, 0))</f>
        <v>0</v>
      </c>
      <c r="BO101" s="47">
        <f t="array" ref="BO101">IF(AND(ISNUMBER(MATCH(BO$2, AsistenciaJetAdminConcatenada!$A:$A, 0)), ISNUMBER(MATCH(BO$1, AsistenciaJetAdminConcatenada!$B:$B, 0)), ISNUMBER(SEARCH($A101, INDEX(AsistenciaJetAdminConcatenada!$C:$C, MATCH(1, (AsistenciaJetAdminConcatenada!$A:$A=BO$2)*(AsistenciaJetAdminConcatenada!$B:$B=BO$1), 0)), 1))), 1, IF(AND(ISNUMBER(MATCH(BO$2, AsistenciaJetAdminConcatenada!$A:$A, 0)), ISNUMBER(MATCH(BO$1, AsistenciaJetAdminConcatenada!$B:$B, 0)), ISNUMBER(SEARCH($A101, INDEX(AsistenciaJetAdminConcatenada!$D:$D, MATCH(1, (AsistenciaJetAdminConcatenada!$A:$A=BO$2)*(AsistenciaJetAdminConcatenada!$B:$B=BO$1), 0)), 1))),  0.5, 0))</f>
        <v>1</v>
      </c>
      <c r="BP101" s="47">
        <f t="array" ref="BP101">IF(AND(ISNUMBER(MATCH(BP$2, AsistenciaJetAdminConcatenada!$A:$A, 0)), ISNUMBER(MATCH(BP$1, AsistenciaJetAdminConcatenada!$B:$B, 0)), ISNUMBER(SEARCH($A101, INDEX(AsistenciaJetAdminConcatenada!$C:$C, MATCH(1, (AsistenciaJetAdminConcatenada!$A:$A=BP$2)*(AsistenciaJetAdminConcatenada!$B:$B=BP$1), 0)), 1))), 1, IF(AND(ISNUMBER(MATCH(BP$2, AsistenciaJetAdminConcatenada!$A:$A, 0)), ISNUMBER(MATCH(BP$1, AsistenciaJetAdminConcatenada!$B:$B, 0)), ISNUMBER(SEARCH($A101, INDEX(AsistenciaJetAdminConcatenada!$D:$D, MATCH(1, (AsistenciaJetAdminConcatenada!$A:$A=BP$2)*(AsistenciaJetAdminConcatenada!$B:$B=BP$1), 0)), 1))),  0.5, 0))</f>
        <v>0</v>
      </c>
      <c r="BQ101" s="47">
        <f t="array" ref="BQ101">IF(AND(ISNUMBER(MATCH(BQ$2, AsistenciaJetAdminConcatenada!$A:$A, 0)), ISNUMBER(MATCH(BQ$1, AsistenciaJetAdminConcatenada!$B:$B, 0)), ISNUMBER(SEARCH($A101, INDEX(AsistenciaJetAdminConcatenada!$C:$C, MATCH(1, (AsistenciaJetAdminConcatenada!$A:$A=BQ$2)*(AsistenciaJetAdminConcatenada!$B:$B=BQ$1), 0)), 1))), 1, IF(AND(ISNUMBER(MATCH(BQ$2, AsistenciaJetAdminConcatenada!$A:$A, 0)), ISNUMBER(MATCH(BQ$1, AsistenciaJetAdminConcatenada!$B:$B, 0)), ISNUMBER(SEARCH($A101, INDEX(AsistenciaJetAdminConcatenada!$D:$D, MATCH(1, (AsistenciaJetAdminConcatenada!$A:$A=BQ$2)*(AsistenciaJetAdminConcatenada!$B:$B=BQ$1), 0)), 1))),  0.5, 0))</f>
        <v>0</v>
      </c>
      <c r="BR101" s="47">
        <f t="array" ref="BR101">IF(AND(ISNUMBER(MATCH(BR$2, AsistenciaJetAdminConcatenada!$A:$A, 0)), ISNUMBER(MATCH(BR$1, AsistenciaJetAdminConcatenada!$B:$B, 0)), ISNUMBER(SEARCH($A101, INDEX(AsistenciaJetAdminConcatenada!$C:$C, MATCH(1, (AsistenciaJetAdminConcatenada!$A:$A=BR$2)*(AsistenciaJetAdminConcatenada!$B:$B=BR$1), 0)), 1))), 1, IF(AND(ISNUMBER(MATCH(BR$2, AsistenciaJetAdminConcatenada!$A:$A, 0)), ISNUMBER(MATCH(BR$1, AsistenciaJetAdminConcatenada!$B:$B, 0)), ISNUMBER(SEARCH($A101, INDEX(AsistenciaJetAdminConcatenada!$D:$D, MATCH(1, (AsistenciaJetAdminConcatenada!$A:$A=BR$2)*(AsistenciaJetAdminConcatenada!$B:$B=BR$1), 0)), 1))),  0.5, 0))</f>
        <v>0</v>
      </c>
      <c r="BS101" s="47">
        <f t="array" ref="BS101">IF(AND(ISNUMBER(MATCH(BS$2, AsistenciaJetAdminConcatenada!$A:$A, 0)), ISNUMBER(MATCH(BS$1, AsistenciaJetAdminConcatenada!$B:$B, 0)), ISNUMBER(SEARCH($A101, INDEX(AsistenciaJetAdminConcatenada!$C:$C, MATCH(1, (AsistenciaJetAdminConcatenada!$A:$A=BS$2)*(AsistenciaJetAdminConcatenada!$B:$B=BS$1), 0)), 1))), 1, IF(AND(ISNUMBER(MATCH(BS$2, AsistenciaJetAdminConcatenada!$A:$A, 0)), ISNUMBER(MATCH(BS$1, AsistenciaJetAdminConcatenada!$B:$B, 0)), ISNUMBER(SEARCH($A101, INDEX(AsistenciaJetAdminConcatenada!$D:$D, MATCH(1, (AsistenciaJetAdminConcatenada!$A:$A=BS$2)*(AsistenciaJetAdminConcatenada!$B:$B=BS$1), 0)), 1))),  0.5, 0))</f>
        <v>0</v>
      </c>
      <c r="BT101" s="47">
        <f t="array" ref="BT101">IF(AND(ISNUMBER(MATCH(BT$2, AsistenciaJetAdminConcatenada!$A:$A, 0)), ISNUMBER(MATCH(BT$1, AsistenciaJetAdminConcatenada!$B:$B, 0)), ISNUMBER(SEARCH($A101, INDEX(AsistenciaJetAdminConcatenada!$C:$C, MATCH(1, (AsistenciaJetAdminConcatenada!$A:$A=BT$2)*(AsistenciaJetAdminConcatenada!$B:$B=BT$1), 0)), 1))), 1, IF(AND(ISNUMBER(MATCH(BT$2, AsistenciaJetAdminConcatenada!$A:$A, 0)), ISNUMBER(MATCH(BT$1, AsistenciaJetAdminConcatenada!$B:$B, 0)), ISNUMBER(SEARCH($A101, INDEX(AsistenciaJetAdminConcatenada!$D:$D, MATCH(1, (AsistenciaJetAdminConcatenada!$A:$A=BT$2)*(AsistenciaJetAdminConcatenada!$B:$B=BT$1), 0)), 1))),  0.5, 0))</f>
        <v>0</v>
      </c>
      <c r="BU101" s="47">
        <f t="array" ref="BU101">IF(AND(ISNUMBER(MATCH(BU$2, AsistenciaJetAdminConcatenada!$A:$A, 0)), ISNUMBER(MATCH(BU$1, AsistenciaJetAdminConcatenada!$B:$B, 0)), ISNUMBER(SEARCH($A101, INDEX(AsistenciaJetAdminConcatenada!$C:$C, MATCH(1, (AsistenciaJetAdminConcatenada!$A:$A=BU$2)*(AsistenciaJetAdminConcatenada!$B:$B=BU$1), 0)), 1))), 1, IF(AND(ISNUMBER(MATCH(BU$2, AsistenciaJetAdminConcatenada!$A:$A, 0)), ISNUMBER(MATCH(BU$1, AsistenciaJetAdminConcatenada!$B:$B, 0)), ISNUMBER(SEARCH($A101, INDEX(AsistenciaJetAdminConcatenada!$D:$D, MATCH(1, (AsistenciaJetAdminConcatenada!$A:$A=BU$2)*(AsistenciaJetAdminConcatenada!$B:$B=BU$1), 0)), 1))),  0.5, 0))</f>
        <v>1</v>
      </c>
      <c r="BV101" s="8">
        <v>1.0</v>
      </c>
      <c r="BW101" s="47">
        <f t="array" ref="BW101">IF(AND(ISNUMBER(MATCH(BW$2, AsistenciaJetAdminConcatenada!$A:$A, 0)), ISNUMBER(MATCH(BW$1, AsistenciaJetAdminConcatenada!$B:$B, 0)), ISNUMBER(SEARCH($A101, INDEX(AsistenciaJetAdminConcatenada!$C:$C, MATCH(1, (AsistenciaJetAdminConcatenada!$A:$A=BW$2)*(AsistenciaJetAdminConcatenada!$B:$B=BW$1), 0)), 1))), 1, IF(AND(ISNUMBER(MATCH(BW$2, AsistenciaJetAdminConcatenada!$A:$A, 0)), ISNUMBER(MATCH(BW$1, AsistenciaJetAdminConcatenada!$B:$B, 0)), ISNUMBER(SEARCH($A101, INDEX(AsistenciaJetAdminConcatenada!$D:$D, MATCH(1, (AsistenciaJetAdminConcatenada!$A:$A=BW$2)*(AsistenciaJetAdminConcatenada!$B:$B=BW$1), 0)), 1))),  0.5, 0))</f>
        <v>1</v>
      </c>
      <c r="BX101" s="47">
        <f t="array" ref="BX101">IF(AND(ISNUMBER(MATCH(BX$2, AsistenciaJetAdminConcatenada!$A:$A, 0)), ISNUMBER(MATCH(BX$1, AsistenciaJetAdminConcatenada!$B:$B, 0)), ISNUMBER(SEARCH($A101, INDEX(AsistenciaJetAdminConcatenada!$C:$C, MATCH(1, (AsistenciaJetAdminConcatenada!$A:$A=BX$2)*(AsistenciaJetAdminConcatenada!$B:$B=BX$1), 0)), 1))), 1, IF(AND(ISNUMBER(MATCH(BX$2, AsistenciaJetAdminConcatenada!$A:$A, 0)), ISNUMBER(MATCH(BX$1, AsistenciaJetAdminConcatenada!$B:$B, 0)), ISNUMBER(SEARCH($A101, INDEX(AsistenciaJetAdminConcatenada!$D:$D, MATCH(1, (AsistenciaJetAdminConcatenada!$A:$A=BX$2)*(AsistenciaJetAdminConcatenada!$B:$B=BX$1), 0)), 1))),  0.5, 0))</f>
        <v>1</v>
      </c>
      <c r="BY101" s="47">
        <f t="array" ref="BY101">IF(AND(ISNUMBER(MATCH(BY$2, AsistenciaJetAdminConcatenada!$A:$A, 0)), ISNUMBER(MATCH(BY$1, AsistenciaJetAdminConcatenada!$B:$B, 0)), ISNUMBER(SEARCH($A101, INDEX(AsistenciaJetAdminConcatenada!$C:$C, MATCH(1, (AsistenciaJetAdminConcatenada!$A:$A=BY$2)*(AsistenciaJetAdminConcatenada!$B:$B=BY$1), 0)), 1))), 1, IF(AND(ISNUMBER(MATCH(BY$2, AsistenciaJetAdminConcatenada!$A:$A, 0)), ISNUMBER(MATCH(BY$1, AsistenciaJetAdminConcatenada!$B:$B, 0)), ISNUMBER(SEARCH($A101, INDEX(AsistenciaJetAdminConcatenada!$D:$D, MATCH(1, (AsistenciaJetAdminConcatenada!$A:$A=BY$2)*(AsistenciaJetAdminConcatenada!$B:$B=BY$1), 0)), 1))),  0.5, 0))</f>
        <v>1</v>
      </c>
      <c r="BZ101" s="47">
        <f t="array" ref="BZ101">IF(AND(ISNUMBER(MATCH(BZ$2, AsistenciaJetAdminConcatenada!$A:$A, 0)), ISNUMBER(MATCH(BZ$1, AsistenciaJetAdminConcatenada!$B:$B, 0)), ISNUMBER(SEARCH($A101, INDEX(AsistenciaJetAdminConcatenada!$C:$C, MATCH(1, (AsistenciaJetAdminConcatenada!$A:$A=BZ$2)*(AsistenciaJetAdminConcatenada!$B:$B=BZ$1), 0)), 1))), 1, IF(AND(ISNUMBER(MATCH(BZ$2, AsistenciaJetAdminConcatenada!$A:$A, 0)), ISNUMBER(MATCH(BZ$1, AsistenciaJetAdminConcatenada!$B:$B, 0)), ISNUMBER(SEARCH($A101, INDEX(AsistenciaJetAdminConcatenada!$D:$D, MATCH(1, (AsistenciaJetAdminConcatenada!$A:$A=BZ$2)*(AsistenciaJetAdminConcatenada!$B:$B=BZ$1), 0)), 1))),  0.5, 0))</f>
        <v>1</v>
      </c>
      <c r="CA101" s="47">
        <f t="array" ref="CA101">IF(AND(ISNUMBER(MATCH(CA$2, AsistenciaJetAdminConcatenada!$A:$A, 0)), ISNUMBER(MATCH(CA$1, AsistenciaJetAdminConcatenada!$B:$B, 0)), ISNUMBER(SEARCH($A101, INDEX(AsistenciaJetAdminConcatenada!$C:$C, MATCH(1, (AsistenciaJetAdminConcatenada!$A:$A=CA$2)*(AsistenciaJetAdminConcatenada!$B:$B=CA$1), 0)), 1))), 1, IF(AND(ISNUMBER(MATCH(CA$2, AsistenciaJetAdminConcatenada!$A:$A, 0)), ISNUMBER(MATCH(CA$1, AsistenciaJetAdminConcatenada!$B:$B, 0)), ISNUMBER(SEARCH($A101, INDEX(AsistenciaJetAdminConcatenada!$D:$D, MATCH(1, (AsistenciaJetAdminConcatenada!$A:$A=CA$2)*(AsistenciaJetAdminConcatenada!$B:$B=CA$1), 0)), 1))),  0.5, 0))</f>
        <v>0</v>
      </c>
      <c r="CB101" s="47">
        <f t="array" ref="CB101">IF(AND(ISNUMBER(MATCH(CB$2, AsistenciaJetAdminConcatenada!$A:$A, 0)), ISNUMBER(MATCH(CB$1, AsistenciaJetAdminConcatenada!$B:$B, 0)), ISNUMBER(SEARCH($A101, INDEX(AsistenciaJetAdminConcatenada!$C:$C, MATCH(1, (AsistenciaJetAdminConcatenada!$A:$A=CB$2)*(AsistenciaJetAdminConcatenada!$B:$B=CB$1), 0)), 1))), 1, IF(AND(ISNUMBER(MATCH(CB$2, AsistenciaJetAdminConcatenada!$A:$A, 0)), ISNUMBER(MATCH(CB$1, AsistenciaJetAdminConcatenada!$B:$B, 0)), ISNUMBER(SEARCH($A101, INDEX(AsistenciaJetAdminConcatenada!$D:$D, MATCH(1, (AsistenciaJetAdminConcatenada!$A:$A=CB$2)*(AsistenciaJetAdminConcatenada!$B:$B=CB$1), 0)), 1))),  0.5, 0))</f>
        <v>1</v>
      </c>
      <c r="CC101" s="47">
        <f t="array" ref="CC101">IF(AND(ISNUMBER(MATCH(CC$2, AsistenciaJetAdminConcatenada!$A:$A, 0)), ISNUMBER(MATCH(CC$1, AsistenciaJetAdminConcatenada!$B:$B, 0)), ISNUMBER(SEARCH($A101, INDEX(AsistenciaJetAdminConcatenada!$C:$C, MATCH(1, (AsistenciaJetAdminConcatenada!$A:$A=CC$2)*(AsistenciaJetAdminConcatenada!$B:$B=CC$1), 0)), 1))), 1, IF(AND(ISNUMBER(MATCH(CC$2, AsistenciaJetAdminConcatenada!$A:$A, 0)), ISNUMBER(MATCH(CC$1, AsistenciaJetAdminConcatenada!$B:$B, 0)), ISNUMBER(SEARCH($A101, INDEX(AsistenciaJetAdminConcatenada!$D:$D, MATCH(1, (AsistenciaJetAdminConcatenada!$A:$A=CC$2)*(AsistenciaJetAdminConcatenada!$B:$B=CC$1), 0)), 1))),  0.5, 0))</f>
        <v>1</v>
      </c>
      <c r="CD101" s="47">
        <f t="array" ref="CD101">IF(AND(ISNUMBER(MATCH(CD$2, AsistenciaJetAdminConcatenada!$A:$A, 0)), ISNUMBER(MATCH(CD$1, AsistenciaJetAdminConcatenada!$B:$B, 0)), ISNUMBER(SEARCH($A101, INDEX(AsistenciaJetAdminConcatenada!$C:$C, MATCH(1, (AsistenciaJetAdminConcatenada!$A:$A=CD$2)*(AsistenciaJetAdminConcatenada!$B:$B=CD$1), 0)), 1))), 1, IF(AND(ISNUMBER(MATCH(CD$2, AsistenciaJetAdminConcatenada!$A:$A, 0)), ISNUMBER(MATCH(CD$1, AsistenciaJetAdminConcatenada!$B:$B, 0)), ISNUMBER(SEARCH($A101, INDEX(AsistenciaJetAdminConcatenada!$D:$D, MATCH(1, (AsistenciaJetAdminConcatenada!$A:$A=CD$2)*(AsistenciaJetAdminConcatenada!$B:$B=CD$1), 0)), 1))),  0.5, 0))</f>
        <v>0</v>
      </c>
      <c r="CE101" s="47">
        <f t="array" ref="CE101">IF(AND(ISNUMBER(MATCH(CE$2, AsistenciaJetAdminConcatenada!$A:$A, 0)), ISNUMBER(MATCH(CE$1, AsistenciaJetAdminConcatenada!$B:$B, 0)), ISNUMBER(SEARCH($A101, INDEX(AsistenciaJetAdminConcatenada!$C:$C, MATCH(1, (AsistenciaJetAdminConcatenada!$A:$A=CE$2)*(AsistenciaJetAdminConcatenada!$B:$B=CE$1), 0)), 1))), 1, IF(AND(ISNUMBER(MATCH(CE$2, AsistenciaJetAdminConcatenada!$A:$A, 0)), ISNUMBER(MATCH(CE$1, AsistenciaJetAdminConcatenada!$B:$B, 0)), ISNUMBER(SEARCH($A101, INDEX(AsistenciaJetAdminConcatenada!$D:$D, MATCH(1, (AsistenciaJetAdminConcatenada!$A:$A=CE$2)*(AsistenciaJetAdminConcatenada!$B:$B=CE$1), 0)), 1))),  0.5, 0))</f>
        <v>0</v>
      </c>
      <c r="CF101" s="47">
        <f t="array" ref="CF101">IF(AND(ISNUMBER(MATCH(CF$2, AsistenciaJetAdminConcatenada!$A:$A, 0)), ISNUMBER(MATCH(CF$1, AsistenciaJetAdminConcatenada!$B:$B, 0)), ISNUMBER(SEARCH($A101, INDEX(AsistenciaJetAdminConcatenada!$C:$C, MATCH(1, (AsistenciaJetAdminConcatenada!$A:$A=CF$2)*(AsistenciaJetAdminConcatenada!$B:$B=CF$1), 0)), 1))), 1, IF(AND(ISNUMBER(MATCH(CF$2, AsistenciaJetAdminConcatenada!$A:$A, 0)), ISNUMBER(MATCH(CF$1, AsistenciaJetAdminConcatenada!$B:$B, 0)), ISNUMBER(SEARCH($A101, INDEX(AsistenciaJetAdminConcatenada!$D:$D, MATCH(1, (AsistenciaJetAdminConcatenada!$A:$A=CF$2)*(AsistenciaJetAdminConcatenada!$B:$B=CF$1), 0)), 1))),  0.5, 0))</f>
        <v>1</v>
      </c>
      <c r="CG101" s="47">
        <f t="array" ref="CG101">IF(AND(ISNUMBER(MATCH(CG$2, AsistenciaJetAdminConcatenada!$A:$A, 0)), ISNUMBER(MATCH(CG$1, AsistenciaJetAdminConcatenada!$B:$B, 0)), ISNUMBER(SEARCH($A101, INDEX(AsistenciaJetAdminConcatenada!$C:$C, MATCH(1, (AsistenciaJetAdminConcatenada!$A:$A=CG$2)*(AsistenciaJetAdminConcatenada!$B:$B=CG$1), 0)), 1))), 1, IF(AND(ISNUMBER(MATCH(CG$2, AsistenciaJetAdminConcatenada!$A:$A, 0)), ISNUMBER(MATCH(CG$1, AsistenciaJetAdminConcatenada!$B:$B, 0)), ISNUMBER(SEARCH($A101, INDEX(AsistenciaJetAdminConcatenada!$D:$D, MATCH(1, (AsistenciaJetAdminConcatenada!$A:$A=CG$2)*(AsistenciaJetAdminConcatenada!$B:$B=CG$1), 0)), 1))),  0.5, 0))</f>
        <v>0</v>
      </c>
      <c r="CH101" s="47">
        <f t="array" ref="CH101">IF(AND(ISNUMBER(MATCH(CH$2, AsistenciaJetAdminConcatenada!$A:$A, 0)), ISNUMBER(MATCH(CH$1, AsistenciaJetAdminConcatenada!$B:$B, 0)), ISNUMBER(SEARCH($A101, INDEX(AsistenciaJetAdminConcatenada!$C:$C, MATCH(1, (AsistenciaJetAdminConcatenada!$A:$A=CH$2)*(AsistenciaJetAdminConcatenada!$B:$B=CH$1), 0)), 1))), 1, IF(AND(ISNUMBER(MATCH(CH$2, AsistenciaJetAdminConcatenada!$A:$A, 0)), ISNUMBER(MATCH(CH$1, AsistenciaJetAdminConcatenada!$B:$B, 0)), ISNUMBER(SEARCH($A101, INDEX(AsistenciaJetAdminConcatenada!$D:$D, MATCH(1, (AsistenciaJetAdminConcatenada!$A:$A=CH$2)*(AsistenciaJetAdminConcatenada!$B:$B=CH$1), 0)), 1))),  0.5, 0))</f>
        <v>0</v>
      </c>
      <c r="CI101" s="47">
        <f t="array" ref="CI101">IF(AND(ISNUMBER(MATCH(CI$2, AsistenciaJetAdminConcatenada!$A:$A, 0)), ISNUMBER(MATCH(CI$1, AsistenciaJetAdminConcatenada!$B:$B, 0)), ISNUMBER(SEARCH($A101, INDEX(AsistenciaJetAdminConcatenada!$C:$C, MATCH(1, (AsistenciaJetAdminConcatenada!$A:$A=CI$2)*(AsistenciaJetAdminConcatenada!$B:$B=CI$1), 0)), 1))), 1, IF(AND(ISNUMBER(MATCH(CI$2, AsistenciaJetAdminConcatenada!$A:$A, 0)), ISNUMBER(MATCH(CI$1, AsistenciaJetAdminConcatenada!$B:$B, 0)), ISNUMBER(SEARCH($A101, INDEX(AsistenciaJetAdminConcatenada!$D:$D, MATCH(1, (AsistenciaJetAdminConcatenada!$A:$A=CI$2)*(AsistenciaJetAdminConcatenada!$B:$B=CI$1), 0)), 1))),  0.5, 0))</f>
        <v>0</v>
      </c>
      <c r="CJ101" s="47">
        <f t="array" ref="CJ101">IF(AND(ISNUMBER(MATCH(CJ$2, AsistenciaJetAdminConcatenada!$A:$A, 0)), ISNUMBER(MATCH(CJ$1, AsistenciaJetAdminConcatenada!$B:$B, 0)), ISNUMBER(SEARCH($A101, INDEX(AsistenciaJetAdminConcatenada!$C:$C, MATCH(1, (AsistenciaJetAdminConcatenada!$A:$A=CJ$2)*(AsistenciaJetAdminConcatenada!$B:$B=CJ$1), 0)), 1))), 1, IF(AND(ISNUMBER(MATCH(CJ$2, AsistenciaJetAdminConcatenada!$A:$A, 0)), ISNUMBER(MATCH(CJ$1, AsistenciaJetAdminConcatenada!$B:$B, 0)), ISNUMBER(SEARCH($A101, INDEX(AsistenciaJetAdminConcatenada!$D:$D, MATCH(1, (AsistenciaJetAdminConcatenada!$A:$A=CJ$2)*(AsistenciaJetAdminConcatenada!$B:$B=CJ$1), 0)), 1))),  0.5, 0))</f>
        <v>0</v>
      </c>
      <c r="CK101" s="47">
        <f t="array" ref="CK101">IF(AND(ISNUMBER(MATCH(CK$2, AsistenciaJetAdminConcatenada!$A:$A, 0)), ISNUMBER(MATCH(CK$1, AsistenciaJetAdminConcatenada!$B:$B, 0)), ISNUMBER(SEARCH($A101, INDEX(AsistenciaJetAdminConcatenada!$C:$C, MATCH(1, (AsistenciaJetAdminConcatenada!$A:$A=CK$2)*(AsistenciaJetAdminConcatenada!$B:$B=CK$1), 0)), 1))), 1, IF(AND(ISNUMBER(MATCH(CK$2, AsistenciaJetAdminConcatenada!$A:$A, 0)), ISNUMBER(MATCH(CK$1, AsistenciaJetAdminConcatenada!$B:$B, 0)), ISNUMBER(SEARCH($A101, INDEX(AsistenciaJetAdminConcatenada!$D:$D, MATCH(1, (AsistenciaJetAdminConcatenada!$A:$A=CK$2)*(AsistenciaJetAdminConcatenada!$B:$B=CK$1), 0)), 1))),  0.5, 0))</f>
        <v>0</v>
      </c>
      <c r="CL101" s="47">
        <f t="array" ref="CL101">IF(AND(ISNUMBER(MATCH(CL$2, AsistenciaJetAdminConcatenada!$A:$A, 0)), ISNUMBER(MATCH(CL$1, AsistenciaJetAdminConcatenada!$B:$B, 0)), ISNUMBER(SEARCH($A101, INDEX(AsistenciaJetAdminConcatenada!$C:$C, MATCH(1, (AsistenciaJetAdminConcatenada!$A:$A=CL$2)*(AsistenciaJetAdminConcatenada!$B:$B=CL$1), 0)), 1))), 1, IF(AND(ISNUMBER(MATCH(CL$2, AsistenciaJetAdminConcatenada!$A:$A, 0)), ISNUMBER(MATCH(CL$1, AsistenciaJetAdminConcatenada!$B:$B, 0)), ISNUMBER(SEARCH($A101, INDEX(AsistenciaJetAdminConcatenada!$D:$D, MATCH(1, (AsistenciaJetAdminConcatenada!$A:$A=CL$2)*(AsistenciaJetAdminConcatenada!$B:$B=CL$1), 0)), 1))),  0.5, 0))</f>
        <v>0</v>
      </c>
      <c r="CM101" s="47">
        <f t="array" ref="CM101">IF(AND(ISNUMBER(MATCH(CM$2, AsistenciaJetAdminConcatenada!$A:$A, 0)), ISNUMBER(MATCH(CM$1, AsistenciaJetAdminConcatenada!$B:$B, 0)), ISNUMBER(SEARCH($A101, INDEX(AsistenciaJetAdminConcatenada!$C:$C, MATCH(1, (AsistenciaJetAdminConcatenada!$A:$A=CM$2)*(AsistenciaJetAdminConcatenada!$B:$B=CM$1), 0)), 1))), 1, IF(AND(ISNUMBER(MATCH(CM$2, AsistenciaJetAdminConcatenada!$A:$A, 0)), ISNUMBER(MATCH(CM$1, AsistenciaJetAdminConcatenada!$B:$B, 0)), ISNUMBER(SEARCH($A101, INDEX(AsistenciaJetAdminConcatenada!$D:$D, MATCH(1, (AsistenciaJetAdminConcatenada!$A:$A=CM$2)*(AsistenciaJetAdminConcatenada!$B:$B=CM$1), 0)), 1))),  0.5, 0))</f>
        <v>1</v>
      </c>
      <c r="CN101" s="47">
        <f t="array" ref="CN101">IF(AND(ISNUMBER(MATCH(CN$2, AsistenciaJetAdminConcatenada!$A:$A, 0)), ISNUMBER(MATCH(CN$1, AsistenciaJetAdminConcatenada!$B:$B, 0)), ISNUMBER(SEARCH($A101, INDEX(AsistenciaJetAdminConcatenada!$C:$C, MATCH(1, (AsistenciaJetAdminConcatenada!$A:$A=CN$2)*(AsistenciaJetAdminConcatenada!$B:$B=CN$1), 0)), 1))), 1, IF(AND(ISNUMBER(MATCH(CN$2, AsistenciaJetAdminConcatenada!$A:$A, 0)), ISNUMBER(MATCH(CN$1, AsistenciaJetAdminConcatenada!$B:$B, 0)), ISNUMBER(SEARCH($A101, INDEX(AsistenciaJetAdminConcatenada!$D:$D, MATCH(1, (AsistenciaJetAdminConcatenada!$A:$A=CN$2)*(AsistenciaJetAdminConcatenada!$B:$B=CN$1), 0)), 1))),  0.5, 0))</f>
        <v>0</v>
      </c>
      <c r="CO101" s="47">
        <f t="array" ref="CO101">IF(AND(ISNUMBER(MATCH(CO$2, AsistenciaJetAdminConcatenada!$A:$A, 0)), ISNUMBER(MATCH(CO$1, AsistenciaJetAdminConcatenada!$B:$B, 0)), ISNUMBER(SEARCH($A101, INDEX(AsistenciaJetAdminConcatenada!$C:$C, MATCH(1, (AsistenciaJetAdminConcatenada!$A:$A=CO$2)*(AsistenciaJetAdminConcatenada!$B:$B=CO$1), 0)), 1))), 1, IF(AND(ISNUMBER(MATCH(CO$2, AsistenciaJetAdminConcatenada!$A:$A, 0)), ISNUMBER(MATCH(CO$1, AsistenciaJetAdminConcatenada!$B:$B, 0)), ISNUMBER(SEARCH($A101, INDEX(AsistenciaJetAdminConcatenada!$D:$D, MATCH(1, (AsistenciaJetAdminConcatenada!$A:$A=CO$2)*(AsistenciaJetAdminConcatenada!$B:$B=CO$1), 0)), 1))),  0.5, 0))</f>
        <v>1</v>
      </c>
      <c r="CP101" s="47">
        <f t="array" ref="CP101">IF(AND(ISNUMBER(MATCH(CP$2, AsistenciaJetAdminConcatenada!$A:$A, 0)), ISNUMBER(MATCH(CP$1, AsistenciaJetAdminConcatenada!$B:$B, 0)), ISNUMBER(SEARCH($A101, INDEX(AsistenciaJetAdminConcatenada!$C:$C, MATCH(1, (AsistenciaJetAdminConcatenada!$A:$A=CP$2)*(AsistenciaJetAdminConcatenada!$B:$B=CP$1), 0)), 1))), 1, IF(AND(ISNUMBER(MATCH(CP$2, AsistenciaJetAdminConcatenada!$A:$A, 0)), ISNUMBER(MATCH(CP$1, AsistenciaJetAdminConcatenada!$B:$B, 0)), ISNUMBER(SEARCH($A101, INDEX(AsistenciaJetAdminConcatenada!$D:$D, MATCH(1, (AsistenciaJetAdminConcatenada!$A:$A=CP$2)*(AsistenciaJetAdminConcatenada!$B:$B=CP$1), 0)), 1))),  0.5, 0))</f>
        <v>1</v>
      </c>
      <c r="CQ101" s="47">
        <f t="array" ref="CQ101">IF(AND(ISNUMBER(MATCH(CQ$2, AsistenciaJetAdminConcatenada!$A:$A, 0)), ISNUMBER(MATCH(CQ$1, AsistenciaJetAdminConcatenada!$B:$B, 0)), ISNUMBER(SEARCH($A101, INDEX(AsistenciaJetAdminConcatenada!$C:$C, MATCH(1, (AsistenciaJetAdminConcatenada!$A:$A=CQ$2)*(AsistenciaJetAdminConcatenada!$B:$B=CQ$1), 0)), 1))), 1, IF(AND(ISNUMBER(MATCH(CQ$2, AsistenciaJetAdminConcatenada!$A:$A, 0)), ISNUMBER(MATCH(CQ$1, AsistenciaJetAdminConcatenada!$B:$B, 0)), ISNUMBER(SEARCH($A101, INDEX(AsistenciaJetAdminConcatenada!$D:$D, MATCH(1, (AsistenciaJetAdminConcatenada!$A:$A=CQ$2)*(AsistenciaJetAdminConcatenada!$B:$B=CQ$1), 0)), 1))),  0.5, 0))</f>
        <v>1</v>
      </c>
      <c r="CR101" s="47">
        <f t="array" ref="CR101">IF(AND(ISNUMBER(MATCH(CR$2, AsistenciaJetAdminConcatenada!$A:$A, 0)), ISNUMBER(MATCH(CR$1, AsistenciaJetAdminConcatenada!$B:$B, 0)), ISNUMBER(SEARCH($A101, INDEX(AsistenciaJetAdminConcatenada!$C:$C, MATCH(1, (AsistenciaJetAdminConcatenada!$A:$A=CR$2)*(AsistenciaJetAdminConcatenada!$B:$B=CR$1), 0)), 1))), 1, IF(AND(ISNUMBER(MATCH(CR$2, AsistenciaJetAdminConcatenada!$A:$A, 0)), ISNUMBER(MATCH(CR$1, AsistenciaJetAdminConcatenada!$B:$B, 0)), ISNUMBER(SEARCH($A101, INDEX(AsistenciaJetAdminConcatenada!$D:$D, MATCH(1, (AsistenciaJetAdminConcatenada!$A:$A=CR$2)*(AsistenciaJetAdminConcatenada!$B:$B=CR$1), 0)), 1))),  0.5, 0))</f>
        <v>1</v>
      </c>
      <c r="CS101" s="47">
        <f t="array" ref="CS101">IF(AND(ISNUMBER(MATCH(CS$2, AsistenciaJetAdminConcatenada!$A:$A, 0)), ISNUMBER(MATCH(CS$1, AsistenciaJetAdminConcatenada!$B:$B, 0)), ISNUMBER(SEARCH($A101, INDEX(AsistenciaJetAdminConcatenada!$C:$C, MATCH(1, (AsistenciaJetAdminConcatenada!$A:$A=CS$2)*(AsistenciaJetAdminConcatenada!$B:$B=CS$1), 0)), 1))), 1, IF(AND(ISNUMBER(MATCH(CS$2, AsistenciaJetAdminConcatenada!$A:$A, 0)), ISNUMBER(MATCH(CS$1, AsistenciaJetAdminConcatenada!$B:$B, 0)), ISNUMBER(SEARCH($A101, INDEX(AsistenciaJetAdminConcatenada!$D:$D, MATCH(1, (AsistenciaJetAdminConcatenada!$A:$A=CS$2)*(AsistenciaJetAdminConcatenada!$B:$B=CS$1), 0)), 1))),  0.5, 0))</f>
        <v>0</v>
      </c>
      <c r="CT101" s="47">
        <f t="array" ref="CT101">IF(AND(ISNUMBER(MATCH(CT$2, AsistenciaJetAdminConcatenada!$A:$A, 0)), ISNUMBER(MATCH(CT$1, AsistenciaJetAdminConcatenada!$B:$B, 0)), ISNUMBER(SEARCH($A101, INDEX(AsistenciaJetAdminConcatenada!$C:$C, MATCH(1, (AsistenciaJetAdminConcatenada!$A:$A=CT$2)*(AsistenciaJetAdminConcatenada!$B:$B=CT$1), 0)), 1))), 1, IF(AND(ISNUMBER(MATCH(CT$2, AsistenciaJetAdminConcatenada!$A:$A, 0)), ISNUMBER(MATCH(CT$1, AsistenciaJetAdminConcatenada!$B:$B, 0)), ISNUMBER(SEARCH($A101, INDEX(AsistenciaJetAdminConcatenada!$D:$D, MATCH(1, (AsistenciaJetAdminConcatenada!$A:$A=CT$2)*(AsistenciaJetAdminConcatenada!$B:$B=CT$1), 0)), 1))),  0.5, 0))</f>
        <v>0</v>
      </c>
      <c r="CU101" s="47">
        <f t="array" ref="CU101">IF(AND(ISNUMBER(MATCH(CU$2, AsistenciaJetAdminConcatenada!$A:$A, 0)), ISNUMBER(MATCH(CU$1, AsistenciaJetAdminConcatenada!$B:$B, 0)), ISNUMBER(SEARCH($A101, INDEX(AsistenciaJetAdminConcatenada!$C:$C, MATCH(1, (AsistenciaJetAdminConcatenada!$A:$A=CU$2)*(AsistenciaJetAdminConcatenada!$B:$B=CU$1), 0)), 1))), 1, IF(AND(ISNUMBER(MATCH(CU$2, AsistenciaJetAdminConcatenada!$A:$A, 0)), ISNUMBER(MATCH(CU$1, AsistenciaJetAdminConcatenada!$B:$B, 0)), ISNUMBER(SEARCH($A101, INDEX(AsistenciaJetAdminConcatenada!$D:$D, MATCH(1, (AsistenciaJetAdminConcatenada!$A:$A=CU$2)*(AsistenciaJetAdminConcatenada!$B:$B=CU$1), 0)), 1))),  0.5, 0))</f>
        <v>0</v>
      </c>
      <c r="CV101" s="47">
        <f t="array" ref="CV101">IF(AND(ISNUMBER(MATCH(CV$2, AsistenciaJetAdminConcatenada!$A:$A, 0)), ISNUMBER(MATCH(CV$1, AsistenciaJetAdminConcatenada!$B:$B, 0)), ISNUMBER(SEARCH($A101, INDEX(AsistenciaJetAdminConcatenada!$C:$C, MATCH(1, (AsistenciaJetAdminConcatenada!$A:$A=CV$2)*(AsistenciaJetAdminConcatenada!$B:$B=CV$1), 0)), 1))), 1, IF(AND(ISNUMBER(MATCH(CV$2, AsistenciaJetAdminConcatenada!$A:$A, 0)), ISNUMBER(MATCH(CV$1, AsistenciaJetAdminConcatenada!$B:$B, 0)), ISNUMBER(SEARCH($A101, INDEX(AsistenciaJetAdminConcatenada!$D:$D, MATCH(1, (AsistenciaJetAdminConcatenada!$A:$A=CV$2)*(AsistenciaJetAdminConcatenada!$B:$B=CV$1), 0)), 1))),  0.5, 0))</f>
        <v>0</v>
      </c>
      <c r="CW101" s="47">
        <f t="array" ref="CW101">IF(AND(ISNUMBER(MATCH(CW$2, AsistenciaJetAdminConcatenada!$A:$A, 0)), ISNUMBER(MATCH(CW$1, AsistenciaJetAdminConcatenada!$B:$B, 0)), ISNUMBER(SEARCH($A101, INDEX(AsistenciaJetAdminConcatenada!$C:$C, MATCH(1, (AsistenciaJetAdminConcatenada!$A:$A=CW$2)*(AsistenciaJetAdminConcatenada!$B:$B=CW$1), 0)), 1))), 1, IF(AND(ISNUMBER(MATCH(CW$2, AsistenciaJetAdminConcatenada!$A:$A, 0)), ISNUMBER(MATCH(CW$1, AsistenciaJetAdminConcatenada!$B:$B, 0)), ISNUMBER(SEARCH($A101, INDEX(AsistenciaJetAdminConcatenada!$D:$D, MATCH(1, (AsistenciaJetAdminConcatenada!$A:$A=CW$2)*(AsistenciaJetAdminConcatenada!$B:$B=CW$1), 0)), 1))),  0.5, 0))</f>
        <v>0</v>
      </c>
      <c r="CX101" s="47">
        <f t="array" ref="CX101">IF(AND(ISNUMBER(MATCH(CX$2, AsistenciaJetAdminConcatenada!$A:$A, 0)), ISNUMBER(MATCH(CX$1, AsistenciaJetAdminConcatenada!$B:$B, 0)), ISNUMBER(SEARCH($A101, INDEX(AsistenciaJetAdminConcatenada!$C:$C, MATCH(1, (AsistenciaJetAdminConcatenada!$A:$A=CX$2)*(AsistenciaJetAdminConcatenada!$B:$B=CX$1), 0)), 1))), 1, IF(AND(ISNUMBER(MATCH(CX$2, AsistenciaJetAdminConcatenada!$A:$A, 0)), ISNUMBER(MATCH(CX$1, AsistenciaJetAdminConcatenada!$B:$B, 0)), ISNUMBER(SEARCH($A101, INDEX(AsistenciaJetAdminConcatenada!$D:$D, MATCH(1, (AsistenciaJetAdminConcatenada!$A:$A=CX$2)*(AsistenciaJetAdminConcatenada!$B:$B=CX$1), 0)), 1))),  0.5, 0))</f>
        <v>0</v>
      </c>
      <c r="CY101" s="47">
        <f t="array" ref="CY101">IF(AND(ISNUMBER(MATCH(CY$2, AsistenciaJetAdminConcatenada!$A:$A, 0)), ISNUMBER(MATCH(CY$1, AsistenciaJetAdminConcatenada!$B:$B, 0)), ISNUMBER(SEARCH($A101, INDEX(AsistenciaJetAdminConcatenada!$C:$C, MATCH(1, (AsistenciaJetAdminConcatenada!$A:$A=CY$2)*(AsistenciaJetAdminConcatenada!$B:$B=CY$1), 0)), 1))), 1, IF(AND(ISNUMBER(MATCH(CY$2, AsistenciaJetAdminConcatenada!$A:$A, 0)), ISNUMBER(MATCH(CY$1, AsistenciaJetAdminConcatenada!$B:$B, 0)), ISNUMBER(SEARCH($A101, INDEX(AsistenciaJetAdminConcatenada!$D:$D, MATCH(1, (AsistenciaJetAdminConcatenada!$A:$A=CY$2)*(AsistenciaJetAdminConcatenada!$B:$B=CY$1), 0)), 1))),  0.5, 0))</f>
        <v>0</v>
      </c>
      <c r="CZ101" s="47">
        <f t="array" ref="CZ101">IF(AND(ISNUMBER(MATCH(CZ$2, AsistenciaJetAdminConcatenada!$A:$A, 0)), ISNUMBER(MATCH(CZ$1, AsistenciaJetAdminConcatenada!$B:$B, 0)), ISNUMBER(SEARCH($A101, INDEX(AsistenciaJetAdminConcatenada!$C:$C, MATCH(1, (AsistenciaJetAdminConcatenada!$A:$A=CZ$2)*(AsistenciaJetAdminConcatenada!$B:$B=CZ$1), 0)), 1))), 1, IF(AND(ISNUMBER(MATCH(CZ$2, AsistenciaJetAdminConcatenada!$A:$A, 0)), ISNUMBER(MATCH(CZ$1, AsistenciaJetAdminConcatenada!$B:$B, 0)), ISNUMBER(SEARCH($A101, INDEX(AsistenciaJetAdminConcatenada!$D:$D, MATCH(1, (AsistenciaJetAdminConcatenada!$A:$A=CZ$2)*(AsistenciaJetAdminConcatenada!$B:$B=CZ$1), 0)), 1))),  0.5, 0))</f>
        <v>0</v>
      </c>
      <c r="DA101" s="47">
        <f t="array" ref="DA101">IF(AND(ISNUMBER(MATCH(DA$2, AsistenciaJetAdminConcatenada!$A:$A, 0)), ISNUMBER(MATCH(DA$1, AsistenciaJetAdminConcatenada!$B:$B, 0)), ISNUMBER(SEARCH($A101, INDEX(AsistenciaJetAdminConcatenada!$C:$C, MATCH(1, (AsistenciaJetAdminConcatenada!$A:$A=DA$2)*(AsistenciaJetAdminConcatenada!$B:$B=DA$1), 0)), 1))), 1, IF(AND(ISNUMBER(MATCH(DA$2, AsistenciaJetAdminConcatenada!$A:$A, 0)), ISNUMBER(MATCH(DA$1, AsistenciaJetAdminConcatenada!$B:$B, 0)), ISNUMBER(SEARCH($A101, INDEX(AsistenciaJetAdminConcatenada!$D:$D, MATCH(1, (AsistenciaJetAdminConcatenada!$A:$A=DA$2)*(AsistenciaJetAdminConcatenada!$B:$B=DA$1), 0)), 1))),  0.5, 0))</f>
        <v>0</v>
      </c>
      <c r="DB101" s="47">
        <f t="array" ref="DB101">IF(AND(ISNUMBER(MATCH(DB$2, AsistenciaJetAdminConcatenada!$A:$A, 0)), ISNUMBER(MATCH(DB$1, AsistenciaJetAdminConcatenada!$B:$B, 0)), ISNUMBER(SEARCH($A101, INDEX(AsistenciaJetAdminConcatenada!$C:$C, MATCH(1, (AsistenciaJetAdminConcatenada!$A:$A=DB$2)*(AsistenciaJetAdminConcatenada!$B:$B=DB$1), 0)), 1))), 1, IF(AND(ISNUMBER(MATCH(DB$2, AsistenciaJetAdminConcatenada!$A:$A, 0)), ISNUMBER(MATCH(DB$1, AsistenciaJetAdminConcatenada!$B:$B, 0)), ISNUMBER(SEARCH($A101, INDEX(AsistenciaJetAdminConcatenada!$D:$D, MATCH(1, (AsistenciaJetAdminConcatenada!$A:$A=DB$2)*(AsistenciaJetAdminConcatenada!$B:$B=DB$1), 0)), 1))),  0.5, 0))</f>
        <v>0</v>
      </c>
      <c r="DC101" s="47">
        <f t="array" ref="DC101">IF(AND(ISNUMBER(MATCH(DC$2, AsistenciaJetAdminConcatenada!$A:$A, 0)), ISNUMBER(MATCH(DC$1, AsistenciaJetAdminConcatenada!$B:$B, 0)), ISNUMBER(SEARCH($A101, INDEX(AsistenciaJetAdminConcatenada!$C:$C, MATCH(1, (AsistenciaJetAdminConcatenada!$A:$A=DC$2)*(AsistenciaJetAdminConcatenada!$B:$B=DC$1), 0)), 1))), 1, IF(AND(ISNUMBER(MATCH(DC$2, AsistenciaJetAdminConcatenada!$A:$A, 0)), ISNUMBER(MATCH(DC$1, AsistenciaJetAdminConcatenada!$B:$B, 0)), ISNUMBER(SEARCH($A101, INDEX(AsistenciaJetAdminConcatenada!$D:$D, MATCH(1, (AsistenciaJetAdminConcatenada!$A:$A=DC$2)*(AsistenciaJetAdminConcatenada!$B:$B=DC$1), 0)), 1))),  0.5, 0))</f>
        <v>0</v>
      </c>
      <c r="DD101" s="47">
        <f t="array" ref="DD101">IF(AND(ISNUMBER(MATCH(DD$2, AsistenciaJetAdminConcatenada!$A:$A, 0)), ISNUMBER(MATCH(DD$1, AsistenciaJetAdminConcatenada!$B:$B, 0)), ISNUMBER(SEARCH($A101, INDEX(AsistenciaJetAdminConcatenada!$C:$C, MATCH(1, (AsistenciaJetAdminConcatenada!$A:$A=DD$2)*(AsistenciaJetAdminConcatenada!$B:$B=DD$1), 0)), 1))), 1, IF(AND(ISNUMBER(MATCH(DD$2, AsistenciaJetAdminConcatenada!$A:$A, 0)), ISNUMBER(MATCH(DD$1, AsistenciaJetAdminConcatenada!$B:$B, 0)), ISNUMBER(SEARCH($A101, INDEX(AsistenciaJetAdminConcatenada!$D:$D, MATCH(1, (AsistenciaJetAdminConcatenada!$A:$A=DD$2)*(AsistenciaJetAdminConcatenada!$B:$B=DD$1), 0)), 1))),  0.5, 0))</f>
        <v>0</v>
      </c>
      <c r="DE101" s="47">
        <f t="array" ref="DE101">IF(AND(ISNUMBER(MATCH(DE$2, AsistenciaJetAdminConcatenada!$A:$A, 0)), ISNUMBER(MATCH(DE$1, AsistenciaJetAdminConcatenada!$B:$B, 0)), ISNUMBER(SEARCH($A101, INDEX(AsistenciaJetAdminConcatenada!$C:$C, MATCH(1, (AsistenciaJetAdminConcatenada!$A:$A=DE$2)*(AsistenciaJetAdminConcatenada!$B:$B=DE$1), 0)), 1))), 1, IF(AND(ISNUMBER(MATCH(DE$2, AsistenciaJetAdminConcatenada!$A:$A, 0)), ISNUMBER(MATCH(DE$1, AsistenciaJetAdminConcatenada!$B:$B, 0)), ISNUMBER(SEARCH($A101, INDEX(AsistenciaJetAdminConcatenada!$D:$D, MATCH(1, (AsistenciaJetAdminConcatenada!$A:$A=DE$2)*(AsistenciaJetAdminConcatenada!$B:$B=DE$1), 0)), 1))),  0.5, 0))</f>
        <v>0</v>
      </c>
      <c r="DF101" s="47">
        <f t="array" ref="DF101">IF(AND(ISNUMBER(MATCH(DF$2, AsistenciaJetAdminConcatenada!$A:$A, 0)), ISNUMBER(MATCH(DF$1, AsistenciaJetAdminConcatenada!$B:$B, 0)), ISNUMBER(SEARCH($A101, INDEX(AsistenciaJetAdminConcatenada!$C:$C, MATCH(1, (AsistenciaJetAdminConcatenada!$A:$A=DF$2)*(AsistenciaJetAdminConcatenada!$B:$B=DF$1), 0)), 1))), 1, IF(AND(ISNUMBER(MATCH(DF$2, AsistenciaJetAdminConcatenada!$A:$A, 0)), ISNUMBER(MATCH(DF$1, AsistenciaJetAdminConcatenada!$B:$B, 0)), ISNUMBER(SEARCH($A101, INDEX(AsistenciaJetAdminConcatenada!$D:$D, MATCH(1, (AsistenciaJetAdminConcatenada!$A:$A=DF$2)*(AsistenciaJetAdminConcatenada!$B:$B=DF$1), 0)), 1))),  0.5, 0))</f>
        <v>0</v>
      </c>
      <c r="DG101" s="47">
        <f t="array" ref="DG101">IF(AND(ISNUMBER(MATCH(DG$2, AsistenciaJetAdminConcatenada!$A:$A, 0)), ISNUMBER(MATCH(DG$1, AsistenciaJetAdminConcatenada!$B:$B, 0)), ISNUMBER(SEARCH($A101, INDEX(AsistenciaJetAdminConcatenada!$C:$C, MATCH(1, (AsistenciaJetAdminConcatenada!$A:$A=DG$2)*(AsistenciaJetAdminConcatenada!$B:$B=DG$1), 0)), 1))), 1, IF(AND(ISNUMBER(MATCH(DG$2, AsistenciaJetAdminConcatenada!$A:$A, 0)), ISNUMBER(MATCH(DG$1, AsistenciaJetAdminConcatenada!$B:$B, 0)), ISNUMBER(SEARCH($A101, INDEX(AsistenciaJetAdminConcatenada!$D:$D, MATCH(1, (AsistenciaJetAdminConcatenada!$A:$A=DG$2)*(AsistenciaJetAdminConcatenada!$B:$B=DG$1), 0)), 1))),  0.5, 0))</f>
        <v>0</v>
      </c>
      <c r="DH101" s="47">
        <f t="array" ref="DH101">IF(AND(ISNUMBER(MATCH(DH$2, AsistenciaJetAdminConcatenada!$A:$A, 0)), ISNUMBER(MATCH(DH$1, AsistenciaJetAdminConcatenada!$B:$B, 0)), ISNUMBER(SEARCH($A101, INDEX(AsistenciaJetAdminConcatenada!$C:$C, MATCH(1, (AsistenciaJetAdminConcatenada!$A:$A=DH$2)*(AsistenciaJetAdminConcatenada!$B:$B=DH$1), 0)), 1))), 1, IF(AND(ISNUMBER(MATCH(DH$2, AsistenciaJetAdminConcatenada!$A:$A, 0)), ISNUMBER(MATCH(DH$1, AsistenciaJetAdminConcatenada!$B:$B, 0)), ISNUMBER(SEARCH($A101, INDEX(AsistenciaJetAdminConcatenada!$D:$D, MATCH(1, (AsistenciaJetAdminConcatenada!$A:$A=DH$2)*(AsistenciaJetAdminConcatenada!$B:$B=DH$1), 0)), 1))),  0.5, 0))</f>
        <v>0</v>
      </c>
      <c r="DI101" s="47">
        <f t="array" ref="DI101">IF(AND(ISNUMBER(MATCH(DI$2, AsistenciaJetAdminConcatenada!$A:$A, 0)), ISNUMBER(MATCH(DI$1, AsistenciaJetAdminConcatenada!$B:$B, 0)), ISNUMBER(SEARCH($A101, INDEX(AsistenciaJetAdminConcatenada!$C:$C, MATCH(1, (AsistenciaJetAdminConcatenada!$A:$A=DI$2)*(AsistenciaJetAdminConcatenada!$B:$B=DI$1), 0)), 1))), 1, IF(AND(ISNUMBER(MATCH(DI$2, AsistenciaJetAdminConcatenada!$A:$A, 0)), ISNUMBER(MATCH(DI$1, AsistenciaJetAdminConcatenada!$B:$B, 0)), ISNUMBER(SEARCH($A101, INDEX(AsistenciaJetAdminConcatenada!$D:$D, MATCH(1, (AsistenciaJetAdminConcatenada!$A:$A=DI$2)*(AsistenciaJetAdminConcatenada!$B:$B=DI$1), 0)), 1))),  0.5, 0))</f>
        <v>0</v>
      </c>
      <c r="DJ101" s="47">
        <f t="array" ref="DJ101">IF(AND(ISNUMBER(MATCH(DJ$2, AsistenciaJetAdminConcatenada!$A:$A, 0)), ISNUMBER(MATCH(DJ$1, AsistenciaJetAdminConcatenada!$B:$B, 0)), ISNUMBER(SEARCH($A101, INDEX(AsistenciaJetAdminConcatenada!$C:$C, MATCH(1, (AsistenciaJetAdminConcatenada!$A:$A=DJ$2)*(AsistenciaJetAdminConcatenada!$B:$B=DJ$1), 0)), 1))), 1, IF(AND(ISNUMBER(MATCH(DJ$2, AsistenciaJetAdminConcatenada!$A:$A, 0)), ISNUMBER(MATCH(DJ$1, AsistenciaJetAdminConcatenada!$B:$B, 0)), ISNUMBER(SEARCH($A101, INDEX(AsistenciaJetAdminConcatenada!$D:$D, MATCH(1, (AsistenciaJetAdminConcatenada!$A:$A=DJ$2)*(AsistenciaJetAdminConcatenada!$B:$B=DJ$1), 0)), 1))),  0.5, 0))</f>
        <v>0</v>
      </c>
      <c r="DK101" s="47">
        <f t="array" ref="DK101">IF(AND(ISNUMBER(MATCH(DK$2, AsistenciaJetAdminConcatenada!$A:$A, 0)), ISNUMBER(MATCH(DK$1, AsistenciaJetAdminConcatenada!$B:$B, 0)), ISNUMBER(SEARCH($A101, INDEX(AsistenciaJetAdminConcatenada!$C:$C, MATCH(1, (AsistenciaJetAdminConcatenada!$A:$A=DK$2)*(AsistenciaJetAdminConcatenada!$B:$B=DK$1), 0)), 1))), 1, IF(AND(ISNUMBER(MATCH(DK$2, AsistenciaJetAdminConcatenada!$A:$A, 0)), ISNUMBER(MATCH(DK$1, AsistenciaJetAdminConcatenada!$B:$B, 0)), ISNUMBER(SEARCH($A101, INDEX(AsistenciaJetAdminConcatenada!$D:$D, MATCH(1, (AsistenciaJetAdminConcatenada!$A:$A=DK$2)*(AsistenciaJetAdminConcatenada!$B:$B=DK$1), 0)), 1))),  0.5, 0))</f>
        <v>0</v>
      </c>
      <c r="DL101" s="47">
        <f t="array" ref="DL101">IF(AND(ISNUMBER(MATCH(DL$2, AsistenciaJetAdminConcatenada!$A:$A, 0)), ISNUMBER(MATCH(DL$1, AsistenciaJetAdminConcatenada!$B:$B, 0)), ISNUMBER(SEARCH($A101, INDEX(AsistenciaJetAdminConcatenada!$C:$C, MATCH(1, (AsistenciaJetAdminConcatenada!$A:$A=DL$2)*(AsistenciaJetAdminConcatenada!$B:$B=DL$1), 0)), 1))), 1, IF(AND(ISNUMBER(MATCH(DL$2, AsistenciaJetAdminConcatenada!$A:$A, 0)), ISNUMBER(MATCH(DL$1, AsistenciaJetAdminConcatenada!$B:$B, 0)), ISNUMBER(SEARCH($A101, INDEX(AsistenciaJetAdminConcatenada!$D:$D, MATCH(1, (AsistenciaJetAdminConcatenada!$A:$A=DL$2)*(AsistenciaJetAdminConcatenada!$B:$B=DL$1), 0)), 1))),  0.5, 0))</f>
        <v>0</v>
      </c>
      <c r="DM101" s="47">
        <f t="array" ref="DM101">IF(AND(ISNUMBER(MATCH(DM$2, AsistenciaJetAdminConcatenada!$A:$A, 0)), ISNUMBER(MATCH(DM$1, AsistenciaJetAdminConcatenada!$B:$B, 0)), ISNUMBER(SEARCH($A101, INDEX(AsistenciaJetAdminConcatenada!$C:$C, MATCH(1, (AsistenciaJetAdminConcatenada!$A:$A=DM$2)*(AsistenciaJetAdminConcatenada!$B:$B=DM$1), 0)), 1))), 1, IF(AND(ISNUMBER(MATCH(DM$2, AsistenciaJetAdminConcatenada!$A:$A, 0)), ISNUMBER(MATCH(DM$1, AsistenciaJetAdminConcatenada!$B:$B, 0)), ISNUMBER(SEARCH($A101, INDEX(AsistenciaJetAdminConcatenada!$D:$D, MATCH(1, (AsistenciaJetAdminConcatenada!$A:$A=DM$2)*(AsistenciaJetAdminConcatenada!$B:$B=DM$1), 0)), 1))),  0.5, 0))</f>
        <v>0</v>
      </c>
      <c r="DN101" s="47">
        <f t="array" ref="DN101">IF(AND(ISNUMBER(MATCH(DN$2, AsistenciaJetAdminConcatenada!$A:$A, 0)), ISNUMBER(MATCH(DN$1, AsistenciaJetAdminConcatenada!$B:$B, 0)), ISNUMBER(SEARCH($A101, INDEX(AsistenciaJetAdminConcatenada!$C:$C, MATCH(1, (AsistenciaJetAdminConcatenada!$A:$A=DN$2)*(AsistenciaJetAdminConcatenada!$B:$B=DN$1), 0)), 1))), 1, IF(AND(ISNUMBER(MATCH(DN$2, AsistenciaJetAdminConcatenada!$A:$A, 0)), ISNUMBER(MATCH(DN$1, AsistenciaJetAdminConcatenada!$B:$B, 0)), ISNUMBER(SEARCH($A101, INDEX(AsistenciaJetAdminConcatenada!$D:$D, MATCH(1, (AsistenciaJetAdminConcatenada!$A:$A=DN$2)*(AsistenciaJetAdminConcatenada!$B:$B=DN$1), 0)), 1))),  0.5, 0))</f>
        <v>0</v>
      </c>
      <c r="DO101" s="47">
        <f t="array" ref="DO101">IF(AND(ISNUMBER(MATCH(DO$2, AsistenciaJetAdminConcatenada!$A:$A, 0)), ISNUMBER(MATCH(DO$1, AsistenciaJetAdminConcatenada!$B:$B, 0)), ISNUMBER(SEARCH($A101, INDEX(AsistenciaJetAdminConcatenada!$C:$C, MATCH(1, (AsistenciaJetAdminConcatenada!$A:$A=DO$2)*(AsistenciaJetAdminConcatenada!$B:$B=DO$1), 0)), 1))), 1, IF(AND(ISNUMBER(MATCH(DO$2, AsistenciaJetAdminConcatenada!$A:$A, 0)), ISNUMBER(MATCH(DO$1, AsistenciaJetAdminConcatenada!$B:$B, 0)), ISNUMBER(SEARCH($A101, INDEX(AsistenciaJetAdminConcatenada!$D:$D, MATCH(1, (AsistenciaJetAdminConcatenada!$A:$A=DO$2)*(AsistenciaJetAdminConcatenada!$B:$B=DO$1), 0)), 1))),  0.5, 0))</f>
        <v>0</v>
      </c>
      <c r="DP101" s="47">
        <f t="array" ref="DP101">IF(AND(ISNUMBER(MATCH(DP$2, AsistenciaJetAdminConcatenada!$A:$A, 0)), ISNUMBER(MATCH(DP$1, AsistenciaJetAdminConcatenada!$B:$B, 0)), ISNUMBER(SEARCH($A101, INDEX(AsistenciaJetAdminConcatenada!$C:$C, MATCH(1, (AsistenciaJetAdminConcatenada!$A:$A=DP$2)*(AsistenciaJetAdminConcatenada!$B:$B=DP$1), 0)), 1))), 1, IF(AND(ISNUMBER(MATCH(DP$2, AsistenciaJetAdminConcatenada!$A:$A, 0)), ISNUMBER(MATCH(DP$1, AsistenciaJetAdminConcatenada!$B:$B, 0)), ISNUMBER(SEARCH($A101, INDEX(AsistenciaJetAdminConcatenada!$D:$D, MATCH(1, (AsistenciaJetAdminConcatenada!$A:$A=DP$2)*(AsistenciaJetAdminConcatenada!$B:$B=DP$1), 0)), 1))),  0.5, 0))</f>
        <v>0</v>
      </c>
      <c r="DQ101" s="47">
        <f t="array" ref="DQ101">IF(AND(ISNUMBER(MATCH(DQ$2, AsistenciaJetAdminConcatenada!$A:$A, 0)), ISNUMBER(MATCH(DQ$1, AsistenciaJetAdminConcatenada!$B:$B, 0)), ISNUMBER(SEARCH($A101, INDEX(AsistenciaJetAdminConcatenada!$C:$C, MATCH(1, (AsistenciaJetAdminConcatenada!$A:$A=DQ$2)*(AsistenciaJetAdminConcatenada!$B:$B=DQ$1), 0)), 1))), 1, IF(AND(ISNUMBER(MATCH(DQ$2, AsistenciaJetAdminConcatenada!$A:$A, 0)), ISNUMBER(MATCH(DQ$1, AsistenciaJetAdminConcatenada!$B:$B, 0)), ISNUMBER(SEARCH($A101, INDEX(AsistenciaJetAdminConcatenada!$D:$D, MATCH(1, (AsistenciaJetAdminConcatenada!$A:$A=DQ$2)*(AsistenciaJetAdminConcatenada!$B:$B=DQ$1), 0)), 1))),  0.5, 0))</f>
        <v>0</v>
      </c>
      <c r="DR101" s="47">
        <f t="array" ref="DR101">IF(AND(ISNUMBER(MATCH(DR$2, AsistenciaJetAdminConcatenada!$A:$A, 0)), ISNUMBER(MATCH(DR$1, AsistenciaJetAdminConcatenada!$B:$B, 0)), ISNUMBER(SEARCH($A101, INDEX(AsistenciaJetAdminConcatenada!$C:$C, MATCH(1, (AsistenciaJetAdminConcatenada!$A:$A=DR$2)*(AsistenciaJetAdminConcatenada!$B:$B=DR$1), 0)), 1))), 1, IF(AND(ISNUMBER(MATCH(DR$2, AsistenciaJetAdminConcatenada!$A:$A, 0)), ISNUMBER(MATCH(DR$1, AsistenciaJetAdminConcatenada!$B:$B, 0)), ISNUMBER(SEARCH($A101, INDEX(AsistenciaJetAdminConcatenada!$D:$D, MATCH(1, (AsistenciaJetAdminConcatenada!$A:$A=DR$2)*(AsistenciaJetAdminConcatenada!$B:$B=DR$1), 0)), 1))),  0.5, 0))</f>
        <v>0</v>
      </c>
      <c r="DS101" s="47">
        <f t="array" ref="DS101">IF(AND(ISNUMBER(MATCH(DS$2, AsistenciaJetAdminConcatenada!$A:$A, 0)), ISNUMBER(MATCH(DS$1, AsistenciaJetAdminConcatenada!$B:$B, 0)), ISNUMBER(SEARCH($A101, INDEX(AsistenciaJetAdminConcatenada!$C:$C, MATCH(1, (AsistenciaJetAdminConcatenada!$A:$A=DS$2)*(AsistenciaJetAdminConcatenada!$B:$B=DS$1), 0)), 1))), 1, IF(AND(ISNUMBER(MATCH(DS$2, AsistenciaJetAdminConcatenada!$A:$A, 0)), ISNUMBER(MATCH(DS$1, AsistenciaJetAdminConcatenada!$B:$B, 0)), ISNUMBER(SEARCH($A101, INDEX(AsistenciaJetAdminConcatenada!$D:$D, MATCH(1, (AsistenciaJetAdminConcatenada!$A:$A=DS$2)*(AsistenciaJetAdminConcatenada!$B:$B=DS$1), 0)), 1))),  0.5, 0))</f>
        <v>0</v>
      </c>
      <c r="DT101" s="47">
        <f t="array" ref="DT101">IF(AND(ISNUMBER(MATCH(DT$2, AsistenciaJetAdminConcatenada!$A:$A, 0)), ISNUMBER(MATCH(DT$1, AsistenciaJetAdminConcatenada!$B:$B, 0)), ISNUMBER(SEARCH($A101, INDEX(AsistenciaJetAdminConcatenada!$C:$C, MATCH(1, (AsistenciaJetAdminConcatenada!$A:$A=DT$2)*(AsistenciaJetAdminConcatenada!$B:$B=DT$1), 0)), 1))), 1, IF(AND(ISNUMBER(MATCH(DT$2, AsistenciaJetAdminConcatenada!$A:$A, 0)), ISNUMBER(MATCH(DT$1, AsistenciaJetAdminConcatenada!$B:$B, 0)), ISNUMBER(SEARCH($A101, INDEX(AsistenciaJetAdminConcatenada!$D:$D, MATCH(1, (AsistenciaJetAdminConcatenada!$A:$A=DT$2)*(AsistenciaJetAdminConcatenada!$B:$B=DT$1), 0)), 1))),  0.5, 0))</f>
        <v>0</v>
      </c>
      <c r="DU101" s="47">
        <f t="array" ref="DU101">IF(AND(ISNUMBER(MATCH(DU$2, AsistenciaJetAdminConcatenada!$A:$A, 0)), ISNUMBER(MATCH(DU$1, AsistenciaJetAdminConcatenada!$B:$B, 0)), ISNUMBER(SEARCH($A101, INDEX(AsistenciaJetAdminConcatenada!$C:$C, MATCH(1, (AsistenciaJetAdminConcatenada!$A:$A=DU$2)*(AsistenciaJetAdminConcatenada!$B:$B=DU$1), 0)), 1))), 1, IF(AND(ISNUMBER(MATCH(DU$2, AsistenciaJetAdminConcatenada!$A:$A, 0)), ISNUMBER(MATCH(DU$1, AsistenciaJetAdminConcatenada!$B:$B, 0)), ISNUMBER(SEARCH($A101, INDEX(AsistenciaJetAdminConcatenada!$D:$D, MATCH(1, (AsistenciaJetAdminConcatenada!$A:$A=DU$2)*(AsistenciaJetAdminConcatenada!$B:$B=DU$1), 0)), 1))),  0.5, 0))</f>
        <v>0</v>
      </c>
      <c r="DV101" s="47">
        <f t="array" ref="DV101">IF(AND(ISNUMBER(MATCH(DV$2, AsistenciaJetAdminConcatenada!$A:$A, 0)), ISNUMBER(MATCH(DV$1, AsistenciaJetAdminConcatenada!$B:$B, 0)), ISNUMBER(SEARCH($A101, INDEX(AsistenciaJetAdminConcatenada!$C:$C, MATCH(1, (AsistenciaJetAdminConcatenada!$A:$A=DV$2)*(AsistenciaJetAdminConcatenada!$B:$B=DV$1), 0)), 1))), 1, IF(AND(ISNUMBER(MATCH(DV$2, AsistenciaJetAdminConcatenada!$A:$A, 0)), ISNUMBER(MATCH(DV$1, AsistenciaJetAdminConcatenada!$B:$B, 0)), ISNUMBER(SEARCH($A101, INDEX(AsistenciaJetAdminConcatenada!$D:$D, MATCH(1, (AsistenciaJetAdminConcatenada!$A:$A=DV$2)*(AsistenciaJetAdminConcatenada!$B:$B=DV$1), 0)), 1))),  0.5, 0))</f>
        <v>0</v>
      </c>
      <c r="DW101" s="47">
        <f t="array" ref="DW101">IF(AND(ISNUMBER(MATCH(DW$2, AsistenciaJetAdminConcatenada!$A:$A, 0)), ISNUMBER(MATCH(DW$1, AsistenciaJetAdminConcatenada!$B:$B, 0)), ISNUMBER(SEARCH($A101, INDEX(AsistenciaJetAdminConcatenada!$C:$C, MATCH(1, (AsistenciaJetAdminConcatenada!$A:$A=DW$2)*(AsistenciaJetAdminConcatenada!$B:$B=DW$1), 0)), 1))), 1, IF(AND(ISNUMBER(MATCH(DW$2, AsistenciaJetAdminConcatenada!$A:$A, 0)), ISNUMBER(MATCH(DW$1, AsistenciaJetAdminConcatenada!$B:$B, 0)), ISNUMBER(SEARCH($A101, INDEX(AsistenciaJetAdminConcatenada!$D:$D, MATCH(1, (AsistenciaJetAdminConcatenada!$A:$A=DW$2)*(AsistenciaJetAdminConcatenada!$B:$B=DW$1), 0)), 1))),  0.5, 0))</f>
        <v>0</v>
      </c>
      <c r="DX101" s="47">
        <f t="array" ref="DX101">IF(AND(ISNUMBER(MATCH(DX$2, AsistenciaJetAdminConcatenada!$A:$A, 0)), ISNUMBER(MATCH(DX$1, AsistenciaJetAdminConcatenada!$B:$B, 0)), ISNUMBER(SEARCH($A101, INDEX(AsistenciaJetAdminConcatenada!$C:$C, MATCH(1, (AsistenciaJetAdminConcatenada!$A:$A=DX$2)*(AsistenciaJetAdminConcatenada!$B:$B=DX$1), 0)), 1))), 1, IF(AND(ISNUMBER(MATCH(DX$2, AsistenciaJetAdminConcatenada!$A:$A, 0)), ISNUMBER(MATCH(DX$1, AsistenciaJetAdminConcatenada!$B:$B, 0)), ISNUMBER(SEARCH($A101, INDEX(AsistenciaJetAdminConcatenada!$D:$D, MATCH(1, (AsistenciaJetAdminConcatenada!$A:$A=DX$2)*(AsistenciaJetAdminConcatenada!$B:$B=DX$1), 0)), 1))),  0.5, 0))</f>
        <v>0</v>
      </c>
      <c r="DY101" s="47">
        <f t="array" ref="DY101">IF(AND(ISNUMBER(MATCH(DY$2, AsistenciaJetAdminConcatenada!$A:$A, 0)), ISNUMBER(MATCH(DY$1, AsistenciaJetAdminConcatenada!$B:$B, 0)), ISNUMBER(SEARCH($A101, INDEX(AsistenciaJetAdminConcatenada!$C:$C, MATCH(1, (AsistenciaJetAdminConcatenada!$A:$A=DY$2)*(AsistenciaJetAdminConcatenada!$B:$B=DY$1), 0)), 1))), 1, IF(AND(ISNUMBER(MATCH(DY$2, AsistenciaJetAdminConcatenada!$A:$A, 0)), ISNUMBER(MATCH(DY$1, AsistenciaJetAdminConcatenada!$B:$B, 0)), ISNUMBER(SEARCH($A101, INDEX(AsistenciaJetAdminConcatenada!$D:$D, MATCH(1, (AsistenciaJetAdminConcatenada!$A:$A=DY$2)*(AsistenciaJetAdminConcatenada!$B:$B=DY$1), 0)), 1))),  0.5, 0))</f>
        <v>0</v>
      </c>
      <c r="DZ101" s="47">
        <f t="array" ref="DZ101">IF(AND(ISNUMBER(MATCH(DZ$2, AsistenciaJetAdminConcatenada!$A:$A, 0)), ISNUMBER(MATCH(DZ$1, AsistenciaJetAdminConcatenada!$B:$B, 0)), ISNUMBER(SEARCH($A101, INDEX(AsistenciaJetAdminConcatenada!$C:$C, MATCH(1, (AsistenciaJetAdminConcatenada!$A:$A=DZ$2)*(AsistenciaJetAdminConcatenada!$B:$B=DZ$1), 0)), 1))), 1, IF(AND(ISNUMBER(MATCH(DZ$2, AsistenciaJetAdminConcatenada!$A:$A, 0)), ISNUMBER(MATCH(DZ$1, AsistenciaJetAdminConcatenada!$B:$B, 0)), ISNUMBER(SEARCH($A101, INDEX(AsistenciaJetAdminConcatenada!$D:$D, MATCH(1, (AsistenciaJetAdminConcatenada!$A:$A=DZ$2)*(AsistenciaJetAdminConcatenada!$B:$B=DZ$1), 0)), 1))),  0.5, 0))</f>
        <v>0</v>
      </c>
      <c r="EA101" s="47">
        <f t="array" ref="EA101">IF(AND(ISNUMBER(MATCH(EA$2, AsistenciaJetAdminConcatenada!$A:$A, 0)), ISNUMBER(MATCH(EA$1, AsistenciaJetAdminConcatenada!$B:$B, 0)), ISNUMBER(SEARCH($A101, INDEX(AsistenciaJetAdminConcatenada!$C:$C, MATCH(1, (AsistenciaJetAdminConcatenada!$A:$A=EA$2)*(AsistenciaJetAdminConcatenada!$B:$B=EA$1), 0)), 1))), 1, IF(AND(ISNUMBER(MATCH(EA$2, AsistenciaJetAdminConcatenada!$A:$A, 0)), ISNUMBER(MATCH(EA$1, AsistenciaJetAdminConcatenada!$B:$B, 0)), ISNUMBER(SEARCH($A101, INDEX(AsistenciaJetAdminConcatenada!$D:$D, MATCH(1, (AsistenciaJetAdminConcatenada!$A:$A=EA$2)*(AsistenciaJetAdminConcatenada!$B:$B=EA$1), 0)), 1))),  0.5, 0))</f>
        <v>0</v>
      </c>
      <c r="EB101" s="47">
        <f t="array" ref="EB101">IF(AND(ISNUMBER(MATCH(EB$2, AsistenciaJetAdminConcatenada!$A:$A, 0)), ISNUMBER(MATCH(EB$1, AsistenciaJetAdminConcatenada!$B:$B, 0)), ISNUMBER(SEARCH($A101, INDEX(AsistenciaJetAdminConcatenada!$C:$C, MATCH(1, (AsistenciaJetAdminConcatenada!$A:$A=EB$2)*(AsistenciaJetAdminConcatenada!$B:$B=EB$1), 0)), 1))), 1, IF(AND(ISNUMBER(MATCH(EB$2, AsistenciaJetAdminConcatenada!$A:$A, 0)), ISNUMBER(MATCH(EB$1, AsistenciaJetAdminConcatenada!$B:$B, 0)), ISNUMBER(SEARCH($A101, INDEX(AsistenciaJetAdminConcatenada!$D:$D, MATCH(1, (AsistenciaJetAdminConcatenada!$A:$A=EB$2)*(AsistenciaJetAdminConcatenada!$B:$B=EB$1), 0)), 1))),  0.5, 0))</f>
        <v>0</v>
      </c>
      <c r="EC101" s="47">
        <f t="array" ref="EC101">IF(AND(ISNUMBER(MATCH(EC$2, AsistenciaJetAdminConcatenada!$A:$A, 0)), ISNUMBER(MATCH(EC$1, AsistenciaJetAdminConcatenada!$B:$B, 0)), ISNUMBER(SEARCH($A101, INDEX(AsistenciaJetAdminConcatenada!$C:$C, MATCH(1, (AsistenciaJetAdminConcatenada!$A:$A=EC$2)*(AsistenciaJetAdminConcatenada!$B:$B=EC$1), 0)), 1))), 1, IF(AND(ISNUMBER(MATCH(EC$2, AsistenciaJetAdminConcatenada!$A:$A, 0)), ISNUMBER(MATCH(EC$1, AsistenciaJetAdminConcatenada!$B:$B, 0)), ISNUMBER(SEARCH($A101, INDEX(AsistenciaJetAdminConcatenada!$D:$D, MATCH(1, (AsistenciaJetAdminConcatenada!$A:$A=EC$2)*(AsistenciaJetAdminConcatenada!$B:$B=EC$1), 0)), 1))),  0.5, 0))</f>
        <v>0</v>
      </c>
      <c r="ED101" s="47">
        <f t="array" ref="ED101">IF(AND(ISNUMBER(MATCH(ED$2, AsistenciaJetAdminConcatenada!$A:$A, 0)), ISNUMBER(MATCH(ED$1, AsistenciaJetAdminConcatenada!$B:$B, 0)), ISNUMBER(SEARCH($A101, INDEX(AsistenciaJetAdminConcatenada!$C:$C, MATCH(1, (AsistenciaJetAdminConcatenada!$A:$A=ED$2)*(AsistenciaJetAdminConcatenada!$B:$B=ED$1), 0)), 1))), 1, IF(AND(ISNUMBER(MATCH(ED$2, AsistenciaJetAdminConcatenada!$A:$A, 0)), ISNUMBER(MATCH(ED$1, AsistenciaJetAdminConcatenada!$B:$B, 0)), ISNUMBER(SEARCH($A101, INDEX(AsistenciaJetAdminConcatenada!$D:$D, MATCH(1, (AsistenciaJetAdminConcatenada!$A:$A=ED$2)*(AsistenciaJetAdminConcatenada!$B:$B=ED$1), 0)), 1))),  0.5, 0))</f>
        <v>0</v>
      </c>
      <c r="EE101" s="47">
        <f t="array" ref="EE101">IF(AND(ISNUMBER(MATCH(EE$2, AsistenciaJetAdminConcatenada!$A:$A, 0)), ISNUMBER(MATCH(EE$1, AsistenciaJetAdminConcatenada!$B:$B, 0)), ISNUMBER(SEARCH($A101, INDEX(AsistenciaJetAdminConcatenada!$C:$C, MATCH(1, (AsistenciaJetAdminConcatenada!$A:$A=EE$2)*(AsistenciaJetAdminConcatenada!$B:$B=EE$1), 0)), 1))), 1, IF(AND(ISNUMBER(MATCH(EE$2, AsistenciaJetAdminConcatenada!$A:$A, 0)), ISNUMBER(MATCH(EE$1, AsistenciaJetAdminConcatenada!$B:$B, 0)), ISNUMBER(SEARCH($A101, INDEX(AsistenciaJetAdminConcatenada!$D:$D, MATCH(1, (AsistenciaJetAdminConcatenada!$A:$A=EE$2)*(AsistenciaJetAdminConcatenada!$B:$B=EE$1), 0)), 1))),  0.5, 0))</f>
        <v>0</v>
      </c>
      <c r="EF101" s="47">
        <f t="array" ref="EF101">IF(AND(ISNUMBER(MATCH(EF$2, AsistenciaJetAdminConcatenada!$A:$A, 0)), ISNUMBER(MATCH(EF$1, AsistenciaJetAdminConcatenada!$B:$B, 0)), ISNUMBER(SEARCH($A101, INDEX(AsistenciaJetAdminConcatenada!$C:$C, MATCH(1, (AsistenciaJetAdminConcatenada!$A:$A=EF$2)*(AsistenciaJetAdminConcatenada!$B:$B=EF$1), 0)), 1))), 1, IF(AND(ISNUMBER(MATCH(EF$2, AsistenciaJetAdminConcatenada!$A:$A, 0)), ISNUMBER(MATCH(EF$1, AsistenciaJetAdminConcatenada!$B:$B, 0)), ISNUMBER(SEARCH($A101, INDEX(AsistenciaJetAdminConcatenada!$D:$D, MATCH(1, (AsistenciaJetAdminConcatenada!$A:$A=EF$2)*(AsistenciaJetAdminConcatenada!$B:$B=EF$1), 0)), 1))),  0.5, 0))</f>
        <v>0</v>
      </c>
      <c r="EG101" s="47">
        <f t="array" ref="EG101">IF(AND(ISNUMBER(MATCH(EG$2, AsistenciaJetAdminConcatenada!$A:$A, 0)), ISNUMBER(MATCH(EG$1, AsistenciaJetAdminConcatenada!$B:$B, 0)), ISNUMBER(SEARCH($A101, INDEX(AsistenciaJetAdminConcatenada!$C:$C, MATCH(1, (AsistenciaJetAdminConcatenada!$A:$A=EG$2)*(AsistenciaJetAdminConcatenada!$B:$B=EG$1), 0)), 1))), 1, IF(AND(ISNUMBER(MATCH(EG$2, AsistenciaJetAdminConcatenada!$A:$A, 0)), ISNUMBER(MATCH(EG$1, AsistenciaJetAdminConcatenada!$B:$B, 0)), ISNUMBER(SEARCH($A101, INDEX(AsistenciaJetAdminConcatenada!$D:$D, MATCH(1, (AsistenciaJetAdminConcatenada!$A:$A=EG$2)*(AsistenciaJetAdminConcatenada!$B:$B=EG$1), 0)), 1))),  0.5, 0))</f>
        <v>0</v>
      </c>
      <c r="EH101" s="47">
        <f t="array" ref="EH101">IF(AND(ISNUMBER(MATCH(EH$2, AsistenciaJetAdminConcatenada!$A:$A, 0)), ISNUMBER(MATCH(EH$1, AsistenciaJetAdminConcatenada!$B:$B, 0)), ISNUMBER(SEARCH($A101, INDEX(AsistenciaJetAdminConcatenada!$C:$C, MATCH(1, (AsistenciaJetAdminConcatenada!$A:$A=EH$2)*(AsistenciaJetAdminConcatenada!$B:$B=EH$1), 0)), 1))), 1, IF(AND(ISNUMBER(MATCH(EH$2, AsistenciaJetAdminConcatenada!$A:$A, 0)), ISNUMBER(MATCH(EH$1, AsistenciaJetAdminConcatenada!$B:$B, 0)), ISNUMBER(SEARCH($A101, INDEX(AsistenciaJetAdminConcatenada!$D:$D, MATCH(1, (AsistenciaJetAdminConcatenada!$A:$A=EH$2)*(AsistenciaJetAdminConcatenada!$B:$B=EH$1), 0)), 1))),  0.5, 0))</f>
        <v>0</v>
      </c>
      <c r="EI101" s="47">
        <f t="array" ref="EI101">IF(AND(ISNUMBER(MATCH(EI$2, AsistenciaJetAdminConcatenada!$A:$A, 0)), ISNUMBER(MATCH(EI$1, AsistenciaJetAdminConcatenada!$B:$B, 0)), ISNUMBER(SEARCH($A101, INDEX(AsistenciaJetAdminConcatenada!$C:$C, MATCH(1, (AsistenciaJetAdminConcatenada!$A:$A=EI$2)*(AsistenciaJetAdminConcatenada!$B:$B=EI$1), 0)), 1))), 1, IF(AND(ISNUMBER(MATCH(EI$2, AsistenciaJetAdminConcatenada!$A:$A, 0)), ISNUMBER(MATCH(EI$1, AsistenciaJetAdminConcatenada!$B:$B, 0)), ISNUMBER(SEARCH($A101, INDEX(AsistenciaJetAdminConcatenada!$D:$D, MATCH(1, (AsistenciaJetAdminConcatenada!$A:$A=EI$2)*(AsistenciaJetAdminConcatenada!$B:$B=EI$1), 0)), 1))),  0.5, 0))</f>
        <v>0</v>
      </c>
      <c r="EJ101" s="47">
        <f t="array" ref="EJ101">IF(AND(ISNUMBER(MATCH(EJ$2, AsistenciaJetAdminConcatenada!$A:$A, 0)), ISNUMBER(MATCH(EJ$1, AsistenciaJetAdminConcatenada!$B:$B, 0)), ISNUMBER(SEARCH($A101, INDEX(AsistenciaJetAdminConcatenada!$C:$C, MATCH(1, (AsistenciaJetAdminConcatenada!$A:$A=EJ$2)*(AsistenciaJetAdminConcatenada!$B:$B=EJ$1), 0)), 1))), 1, IF(AND(ISNUMBER(MATCH(EJ$2, AsistenciaJetAdminConcatenada!$A:$A, 0)), ISNUMBER(MATCH(EJ$1, AsistenciaJetAdminConcatenada!$B:$B, 0)), ISNUMBER(SEARCH($A101, INDEX(AsistenciaJetAdminConcatenada!$D:$D, MATCH(1, (AsistenciaJetAdminConcatenada!$A:$A=EJ$2)*(AsistenciaJetAdminConcatenada!$B:$B=EJ$1), 0)), 1))),  0.5, 0))</f>
        <v>0</v>
      </c>
      <c r="EK101" s="47">
        <f t="array" ref="EK101">IF(AND(ISNUMBER(MATCH(EK$2, AsistenciaJetAdminConcatenada!$A:$A, 0)), ISNUMBER(MATCH(EK$1, AsistenciaJetAdminConcatenada!$B:$B, 0)), ISNUMBER(SEARCH($A101, INDEX(AsistenciaJetAdminConcatenada!$C:$C, MATCH(1, (AsistenciaJetAdminConcatenada!$A:$A=EK$2)*(AsistenciaJetAdminConcatenada!$B:$B=EK$1), 0)), 1))), 1, IF(AND(ISNUMBER(MATCH(EK$2, AsistenciaJetAdminConcatenada!$A:$A, 0)), ISNUMBER(MATCH(EK$1, AsistenciaJetAdminConcatenada!$B:$B, 0)), ISNUMBER(SEARCH($A101, INDEX(AsistenciaJetAdminConcatenada!$D:$D, MATCH(1, (AsistenciaJetAdminConcatenada!$A:$A=EK$2)*(AsistenciaJetAdminConcatenada!$B:$B=EK$1), 0)), 1))),  0.5, 0))</f>
        <v>0</v>
      </c>
      <c r="EL101" s="47">
        <f t="array" ref="EL101">IF(AND(ISNUMBER(MATCH(EL$2, AsistenciaJetAdminConcatenada!$A:$A, 0)), ISNUMBER(MATCH(EL$1, AsistenciaJetAdminConcatenada!$B:$B, 0)), ISNUMBER(SEARCH($A101, INDEX(AsistenciaJetAdminConcatenada!$C:$C, MATCH(1, (AsistenciaJetAdminConcatenada!$A:$A=EL$2)*(AsistenciaJetAdminConcatenada!$B:$B=EL$1), 0)), 1))), 1, IF(AND(ISNUMBER(MATCH(EL$2, AsistenciaJetAdminConcatenada!$A:$A, 0)), ISNUMBER(MATCH(EL$1, AsistenciaJetAdminConcatenada!$B:$B, 0)), ISNUMBER(SEARCH($A101, INDEX(AsistenciaJetAdminConcatenada!$D:$D, MATCH(1, (AsistenciaJetAdminConcatenada!$A:$A=EL$2)*(AsistenciaJetAdminConcatenada!$B:$B=EL$1), 0)), 1))),  0.5, 0))</f>
        <v>0</v>
      </c>
      <c r="EM101" s="47">
        <f t="array" ref="EM101">IF(AND(ISNUMBER(MATCH(EM$2, AsistenciaJetAdminConcatenada!$A:$A, 0)), ISNUMBER(MATCH(EM$1, AsistenciaJetAdminConcatenada!$B:$B, 0)), ISNUMBER(SEARCH($A101, INDEX(AsistenciaJetAdminConcatenada!$C:$C, MATCH(1, (AsistenciaJetAdminConcatenada!$A:$A=EM$2)*(AsistenciaJetAdminConcatenada!$B:$B=EM$1), 0)), 1))), 1, IF(AND(ISNUMBER(MATCH(EM$2, AsistenciaJetAdminConcatenada!$A:$A, 0)), ISNUMBER(MATCH(EM$1, AsistenciaJetAdminConcatenada!$B:$B, 0)), ISNUMBER(SEARCH($A101, INDEX(AsistenciaJetAdminConcatenada!$D:$D, MATCH(1, (AsistenciaJetAdminConcatenada!$A:$A=EM$2)*(AsistenciaJetAdminConcatenada!$B:$B=EM$1), 0)), 1))),  0.5, 0))</f>
        <v>0</v>
      </c>
      <c r="EN101" s="47">
        <f t="array" ref="EN101">IF(AND(ISNUMBER(MATCH(EN$2, AsistenciaJetAdminConcatenada!$A:$A, 0)), ISNUMBER(MATCH(EN$1, AsistenciaJetAdminConcatenada!$B:$B, 0)), ISNUMBER(SEARCH($A101, INDEX(AsistenciaJetAdminConcatenada!$C:$C, MATCH(1, (AsistenciaJetAdminConcatenada!$A:$A=EN$2)*(AsistenciaJetAdminConcatenada!$B:$B=EN$1), 0)), 1))), 1, IF(AND(ISNUMBER(MATCH(EN$2, AsistenciaJetAdminConcatenada!$A:$A, 0)), ISNUMBER(MATCH(EN$1, AsistenciaJetAdminConcatenada!$B:$B, 0)), ISNUMBER(SEARCH($A101, INDEX(AsistenciaJetAdminConcatenada!$D:$D, MATCH(1, (AsistenciaJetAdminConcatenada!$A:$A=EN$2)*(AsistenciaJetAdminConcatenada!$B:$B=EN$1), 0)), 1))),  0.5, 0))</f>
        <v>0</v>
      </c>
      <c r="EO101" s="47">
        <f t="array" ref="EO101">IF(AND(ISNUMBER(MATCH(EO$2, AsistenciaJetAdminConcatenada!$A:$A, 0)), ISNUMBER(MATCH(EO$1, AsistenciaJetAdminConcatenada!$B:$B, 0)), ISNUMBER(SEARCH($A101, INDEX(AsistenciaJetAdminConcatenada!$C:$C, MATCH(1, (AsistenciaJetAdminConcatenada!$A:$A=EO$2)*(AsistenciaJetAdminConcatenada!$B:$B=EO$1), 0)), 1))), 1, IF(AND(ISNUMBER(MATCH(EO$2, AsistenciaJetAdminConcatenada!$A:$A, 0)), ISNUMBER(MATCH(EO$1, AsistenciaJetAdminConcatenada!$B:$B, 0)), ISNUMBER(SEARCH($A101, INDEX(AsistenciaJetAdminConcatenada!$D:$D, MATCH(1, (AsistenciaJetAdminConcatenada!$A:$A=EO$2)*(AsistenciaJetAdminConcatenada!$B:$B=EO$1), 0)), 1))),  0.5, 0))</f>
        <v>0</v>
      </c>
      <c r="EP101" s="47">
        <f t="array" ref="EP101">IF(AND(ISNUMBER(MATCH(EP$2, AsistenciaJetAdminConcatenada!$A:$A, 0)), ISNUMBER(MATCH(EP$1, AsistenciaJetAdminConcatenada!$B:$B, 0)), ISNUMBER(SEARCH($A101, INDEX(AsistenciaJetAdminConcatenada!$C:$C, MATCH(1, (AsistenciaJetAdminConcatenada!$A:$A=EP$2)*(AsistenciaJetAdminConcatenada!$B:$B=EP$1), 0)), 1))), 1, IF(AND(ISNUMBER(MATCH(EP$2, AsistenciaJetAdminConcatenada!$A:$A, 0)), ISNUMBER(MATCH(EP$1, AsistenciaJetAdminConcatenada!$B:$B, 0)), ISNUMBER(SEARCH($A101, INDEX(AsistenciaJetAdminConcatenada!$D:$D, MATCH(1, (AsistenciaJetAdminConcatenada!$A:$A=EP$2)*(AsistenciaJetAdminConcatenada!$B:$B=EP$1), 0)), 1))),  0.5, 0))</f>
        <v>0</v>
      </c>
      <c r="EQ101" s="47">
        <f t="array" ref="EQ101">IF(AND(ISNUMBER(MATCH(EQ$2, AsistenciaJetAdminConcatenada!$A:$A, 0)), ISNUMBER(MATCH(EQ$1, AsistenciaJetAdminConcatenada!$B:$B, 0)), ISNUMBER(SEARCH($A101, INDEX(AsistenciaJetAdminConcatenada!$C:$C, MATCH(1, (AsistenciaJetAdminConcatenada!$A:$A=EQ$2)*(AsistenciaJetAdminConcatenada!$B:$B=EQ$1), 0)), 1))), 1, IF(AND(ISNUMBER(MATCH(EQ$2, AsistenciaJetAdminConcatenada!$A:$A, 0)), ISNUMBER(MATCH(EQ$1, AsistenciaJetAdminConcatenada!$B:$B, 0)), ISNUMBER(SEARCH($A101, INDEX(AsistenciaJetAdminConcatenada!$D:$D, MATCH(1, (AsistenciaJetAdminConcatenada!$A:$A=EQ$2)*(AsistenciaJetAdminConcatenada!$B:$B=EQ$1), 0)), 1))),  0.5, 0))</f>
        <v>0</v>
      </c>
      <c r="ER101" s="47">
        <f t="array" ref="ER101">IF(AND(ISNUMBER(MATCH(ER$2, AsistenciaJetAdminConcatenada!$A:$A, 0)), ISNUMBER(MATCH(ER$1, AsistenciaJetAdminConcatenada!$B:$B, 0)), ISNUMBER(SEARCH($A101, INDEX(AsistenciaJetAdminConcatenada!$C:$C, MATCH(1, (AsistenciaJetAdminConcatenada!$A:$A=ER$2)*(AsistenciaJetAdminConcatenada!$B:$B=ER$1), 0)), 1))), 1, IF(AND(ISNUMBER(MATCH(ER$2, AsistenciaJetAdminConcatenada!$A:$A, 0)), ISNUMBER(MATCH(ER$1, AsistenciaJetAdminConcatenada!$B:$B, 0)), ISNUMBER(SEARCH($A101, INDEX(AsistenciaJetAdminConcatenada!$D:$D, MATCH(1, (AsistenciaJetAdminConcatenada!$A:$A=ER$2)*(AsistenciaJetAdminConcatenada!$B:$B=ER$1), 0)), 1))),  0.5, 0))</f>
        <v>0</v>
      </c>
      <c r="ES101" s="47">
        <f t="array" ref="ES101">IF(AND(ISNUMBER(MATCH(ES$2, AsistenciaJetAdminConcatenada!$A:$A, 0)), ISNUMBER(MATCH(ES$1, AsistenciaJetAdminConcatenada!$B:$B, 0)), ISNUMBER(SEARCH($A101, INDEX(AsistenciaJetAdminConcatenada!$C:$C, MATCH(1, (AsistenciaJetAdminConcatenada!$A:$A=ES$2)*(AsistenciaJetAdminConcatenada!$B:$B=ES$1), 0)), 1))), 1, IF(AND(ISNUMBER(MATCH(ES$2, AsistenciaJetAdminConcatenada!$A:$A, 0)), ISNUMBER(MATCH(ES$1, AsistenciaJetAdminConcatenada!$B:$B, 0)), ISNUMBER(SEARCH($A101, INDEX(AsistenciaJetAdminConcatenada!$D:$D, MATCH(1, (AsistenciaJetAdminConcatenada!$A:$A=ES$2)*(AsistenciaJetAdminConcatenada!$B:$B=ES$1), 0)), 1))),  0.5, 0))</f>
        <v>0</v>
      </c>
      <c r="ET101" s="47">
        <f t="array" ref="ET101">IF(AND(ISNUMBER(MATCH(ET$2, AsistenciaJetAdminConcatenada!$A:$A, 0)), ISNUMBER(MATCH(ET$1, AsistenciaJetAdminConcatenada!$B:$B, 0)), ISNUMBER(SEARCH($A101, INDEX(AsistenciaJetAdminConcatenada!$C:$C, MATCH(1, (AsistenciaJetAdminConcatenada!$A:$A=ET$2)*(AsistenciaJetAdminConcatenada!$B:$B=ET$1), 0)), 1))), 1, IF(AND(ISNUMBER(MATCH(ET$2, AsistenciaJetAdminConcatenada!$A:$A, 0)), ISNUMBER(MATCH(ET$1, AsistenciaJetAdminConcatenada!$B:$B, 0)), ISNUMBER(SEARCH($A101, INDEX(AsistenciaJetAdminConcatenada!$D:$D, MATCH(1, (AsistenciaJetAdminConcatenada!$A:$A=ET$2)*(AsistenciaJetAdminConcatenada!$B:$B=ET$1), 0)), 1))),  0.5, 0))</f>
        <v>0</v>
      </c>
      <c r="EU101" s="47">
        <f t="array" ref="EU101">IF(AND(ISNUMBER(MATCH(EU$2, AsistenciaJetAdminConcatenada!$A:$A, 0)), ISNUMBER(MATCH(EU$1, AsistenciaJetAdminConcatenada!$B:$B, 0)), ISNUMBER(SEARCH($A101, INDEX(AsistenciaJetAdminConcatenada!$C:$C, MATCH(1, (AsistenciaJetAdminConcatenada!$A:$A=EU$2)*(AsistenciaJetAdminConcatenada!$B:$B=EU$1), 0)), 1))), 1, IF(AND(ISNUMBER(MATCH(EU$2, AsistenciaJetAdminConcatenada!$A:$A, 0)), ISNUMBER(MATCH(EU$1, AsistenciaJetAdminConcatenada!$B:$B, 0)), ISNUMBER(SEARCH($A101, INDEX(AsistenciaJetAdminConcatenada!$D:$D, MATCH(1, (AsistenciaJetAdminConcatenada!$A:$A=EU$2)*(AsistenciaJetAdminConcatenada!$B:$B=EU$1), 0)), 1))),  0.5, 0))</f>
        <v>0</v>
      </c>
      <c r="EV101" s="47">
        <f t="array" ref="EV101">IF(AND(ISNUMBER(MATCH(EV$2, AsistenciaJetAdminConcatenada!$A:$A, 0)), ISNUMBER(MATCH(EV$1, AsistenciaJetAdminConcatenada!$B:$B, 0)), ISNUMBER(SEARCH($A101, INDEX(AsistenciaJetAdminConcatenada!$C:$C, MATCH(1, (AsistenciaJetAdminConcatenada!$A:$A=EV$2)*(AsistenciaJetAdminConcatenada!$B:$B=EV$1), 0)), 1))), 1, IF(AND(ISNUMBER(MATCH(EV$2, AsistenciaJetAdminConcatenada!$A:$A, 0)), ISNUMBER(MATCH(EV$1, AsistenciaJetAdminConcatenada!$B:$B, 0)), ISNUMBER(SEARCH($A101, INDEX(AsistenciaJetAdminConcatenada!$D:$D, MATCH(1, (AsistenciaJetAdminConcatenada!$A:$A=EV$2)*(AsistenciaJetAdminConcatenada!$B:$B=EV$1), 0)), 1))),  0.5, 0))</f>
        <v>0</v>
      </c>
      <c r="EW101" s="47">
        <f t="array" ref="EW101">IF(AND(ISNUMBER(MATCH(EW$2, AsistenciaJetAdminConcatenada!$A:$A, 0)), ISNUMBER(MATCH(EW$1, AsistenciaJetAdminConcatenada!$B:$B, 0)), ISNUMBER(SEARCH($A101, INDEX(AsistenciaJetAdminConcatenada!$C:$C, MATCH(1, (AsistenciaJetAdminConcatenada!$A:$A=EW$2)*(AsistenciaJetAdminConcatenada!$B:$B=EW$1), 0)), 1))), 1, IF(AND(ISNUMBER(MATCH(EW$2, AsistenciaJetAdminConcatenada!$A:$A, 0)), ISNUMBER(MATCH(EW$1, AsistenciaJetAdminConcatenada!$B:$B, 0)), ISNUMBER(SEARCH($A101, INDEX(AsistenciaJetAdminConcatenada!$D:$D, MATCH(1, (AsistenciaJetAdminConcatenada!$A:$A=EW$2)*(AsistenciaJetAdminConcatenada!$B:$B=EW$1), 0)), 1))),  0.5, 0))</f>
        <v>0</v>
      </c>
      <c r="EX101" s="47">
        <f t="array" ref="EX101">IF(AND(ISNUMBER(MATCH(EX$2, AsistenciaJetAdminConcatenada!$A:$A, 0)), ISNUMBER(MATCH(EX$1, AsistenciaJetAdminConcatenada!$B:$B, 0)), ISNUMBER(SEARCH($A101, INDEX(AsistenciaJetAdminConcatenada!$C:$C, MATCH(1, (AsistenciaJetAdminConcatenada!$A:$A=EX$2)*(AsistenciaJetAdminConcatenada!$B:$B=EX$1), 0)), 1))), 1, IF(AND(ISNUMBER(MATCH(EX$2, AsistenciaJetAdminConcatenada!$A:$A, 0)), ISNUMBER(MATCH(EX$1, AsistenciaJetAdminConcatenada!$B:$B, 0)), ISNUMBER(SEARCH($A101, INDEX(AsistenciaJetAdminConcatenada!$D:$D, MATCH(1, (AsistenciaJetAdminConcatenada!$A:$A=EX$2)*(AsistenciaJetAdminConcatenada!$B:$B=EX$1), 0)), 1))),  0.5, 0))</f>
        <v>0</v>
      </c>
      <c r="EY101" s="47">
        <f t="array" ref="EY101">IF(AND(ISNUMBER(MATCH(EY$2, AsistenciaJetAdminConcatenada!$A:$A, 0)), ISNUMBER(MATCH(EY$1, AsistenciaJetAdminConcatenada!$B:$B, 0)), ISNUMBER(SEARCH($A101, INDEX(AsistenciaJetAdminConcatenada!$C:$C, MATCH(1, (AsistenciaJetAdminConcatenada!$A:$A=EY$2)*(AsistenciaJetAdminConcatenada!$B:$B=EY$1), 0)), 1))), 1, IF(AND(ISNUMBER(MATCH(EY$2, AsistenciaJetAdminConcatenada!$A:$A, 0)), ISNUMBER(MATCH(EY$1, AsistenciaJetAdminConcatenada!$B:$B, 0)), ISNUMBER(SEARCH($A101, INDEX(AsistenciaJetAdminConcatenada!$D:$D, MATCH(1, (AsistenciaJetAdminConcatenada!$A:$A=EY$2)*(AsistenciaJetAdminConcatenada!$B:$B=EY$1), 0)), 1))),  0.5, 0))</f>
        <v>0</v>
      </c>
      <c r="EZ101" s="47">
        <f t="array" ref="EZ101">IF(AND(ISNUMBER(MATCH(EZ$2, AsistenciaJetAdminConcatenada!$A:$A, 0)), ISNUMBER(MATCH(EZ$1, AsistenciaJetAdminConcatenada!$B:$B, 0)), ISNUMBER(SEARCH($A101, INDEX(AsistenciaJetAdminConcatenada!$C:$C, MATCH(1, (AsistenciaJetAdminConcatenada!$A:$A=EZ$2)*(AsistenciaJetAdminConcatenada!$B:$B=EZ$1), 0)), 1))), 1, IF(AND(ISNUMBER(MATCH(EZ$2, AsistenciaJetAdminConcatenada!$A:$A, 0)), ISNUMBER(MATCH(EZ$1, AsistenciaJetAdminConcatenada!$B:$B, 0)), ISNUMBER(SEARCH($A101, INDEX(AsistenciaJetAdminConcatenada!$D:$D, MATCH(1, (AsistenciaJetAdminConcatenada!$A:$A=EZ$2)*(AsistenciaJetAdminConcatenada!$B:$B=EZ$1), 0)), 1))),  0.5, 0))</f>
        <v>0</v>
      </c>
      <c r="FA101" s="47">
        <f t="array" ref="FA101">IF(AND(ISNUMBER(MATCH(FA$2, AsistenciaJetAdminConcatenada!$A:$A, 0)), ISNUMBER(MATCH(FA$1, AsistenciaJetAdminConcatenada!$B:$B, 0)), ISNUMBER(SEARCH($A101, INDEX(AsistenciaJetAdminConcatenada!$C:$C, MATCH(1, (AsistenciaJetAdminConcatenada!$A:$A=FA$2)*(AsistenciaJetAdminConcatenada!$B:$B=FA$1), 0)), 1))), 1, IF(AND(ISNUMBER(MATCH(FA$2, AsistenciaJetAdminConcatenada!$A:$A, 0)), ISNUMBER(MATCH(FA$1, AsistenciaJetAdminConcatenada!$B:$B, 0)), ISNUMBER(SEARCH($A101, INDEX(AsistenciaJetAdminConcatenada!$D:$D, MATCH(1, (AsistenciaJetAdminConcatenada!$A:$A=FA$2)*(AsistenciaJetAdminConcatenada!$B:$B=FA$1), 0)), 1))),  0.5, 0))</f>
        <v>0</v>
      </c>
      <c r="FB101" s="47">
        <f t="array" ref="FB101">IF(AND(ISNUMBER(MATCH(FB$2, AsistenciaJetAdminConcatenada!$A:$A, 0)), ISNUMBER(MATCH(FB$1, AsistenciaJetAdminConcatenada!$B:$B, 0)), ISNUMBER(SEARCH($A101, INDEX(AsistenciaJetAdminConcatenada!$C:$C, MATCH(1, (AsistenciaJetAdminConcatenada!$A:$A=FB$2)*(AsistenciaJetAdminConcatenada!$B:$B=FB$1), 0)), 1))), 1, IF(AND(ISNUMBER(MATCH(FB$2, AsistenciaJetAdminConcatenada!$A:$A, 0)), ISNUMBER(MATCH(FB$1, AsistenciaJetAdminConcatenada!$B:$B, 0)), ISNUMBER(SEARCH($A101, INDEX(AsistenciaJetAdminConcatenada!$D:$D, MATCH(1, (AsistenciaJetAdminConcatenada!$A:$A=FB$2)*(AsistenciaJetAdminConcatenada!$B:$B=FB$1), 0)), 1))),  0.5, 0))</f>
        <v>0</v>
      </c>
      <c r="FC101" s="47">
        <f t="array" ref="FC101">IF(AND(ISNUMBER(MATCH(FC$2, AsistenciaJetAdminConcatenada!$A:$A, 0)), ISNUMBER(MATCH(FC$1, AsistenciaJetAdminConcatenada!$B:$B, 0)), ISNUMBER(SEARCH($A101, INDEX(AsistenciaJetAdminConcatenada!$C:$C, MATCH(1, (AsistenciaJetAdminConcatenada!$A:$A=FC$2)*(AsistenciaJetAdminConcatenada!$B:$B=FC$1), 0)), 1))), 1, IF(AND(ISNUMBER(MATCH(FC$2, AsistenciaJetAdminConcatenada!$A:$A, 0)), ISNUMBER(MATCH(FC$1, AsistenciaJetAdminConcatenada!$B:$B, 0)), ISNUMBER(SEARCH($A101, INDEX(AsistenciaJetAdminConcatenada!$D:$D, MATCH(1, (AsistenciaJetAdminConcatenada!$A:$A=FC$2)*(AsistenciaJetAdminConcatenada!$B:$B=FC$1), 0)), 1))),  0.5, 0))</f>
        <v>0</v>
      </c>
      <c r="FD101" s="47">
        <f t="array" ref="FD101">IF(AND(ISNUMBER(MATCH(FD$2, AsistenciaJetAdminConcatenada!$A:$A, 0)), ISNUMBER(MATCH(FD$1, AsistenciaJetAdminConcatenada!$B:$B, 0)), ISNUMBER(SEARCH($A101, INDEX(AsistenciaJetAdminConcatenada!$C:$C, MATCH(1, (AsistenciaJetAdminConcatenada!$A:$A=FD$2)*(AsistenciaJetAdminConcatenada!$B:$B=FD$1), 0)), 1))), 1, IF(AND(ISNUMBER(MATCH(FD$2, AsistenciaJetAdminConcatenada!$A:$A, 0)), ISNUMBER(MATCH(FD$1, AsistenciaJetAdminConcatenada!$B:$B, 0)), ISNUMBER(SEARCH($A101, INDEX(AsistenciaJetAdminConcatenada!$D:$D, MATCH(1, (AsistenciaJetAdminConcatenada!$A:$A=FD$2)*(AsistenciaJetAdminConcatenada!$B:$B=FD$1), 0)), 1))),  0.5, 0))</f>
        <v>0</v>
      </c>
      <c r="FE101" s="47">
        <f t="array" ref="FE101">IF(AND(ISNUMBER(MATCH(FE$2, AsistenciaJetAdminConcatenada!$A:$A, 0)), ISNUMBER(MATCH(FE$1, AsistenciaJetAdminConcatenada!$B:$B, 0)), ISNUMBER(SEARCH($A101, INDEX(AsistenciaJetAdminConcatenada!$C:$C, MATCH(1, (AsistenciaJetAdminConcatenada!$A:$A=FE$2)*(AsistenciaJetAdminConcatenada!$B:$B=FE$1), 0)), 1))), 1, IF(AND(ISNUMBER(MATCH(FE$2, AsistenciaJetAdminConcatenada!$A:$A, 0)), ISNUMBER(MATCH(FE$1, AsistenciaJetAdminConcatenada!$B:$B, 0)), ISNUMBER(SEARCH($A101, INDEX(AsistenciaJetAdminConcatenada!$D:$D, MATCH(1, (AsistenciaJetAdminConcatenada!$A:$A=FE$2)*(AsistenciaJetAdminConcatenada!$B:$B=FE$1), 0)), 1))),  0.5, 0))</f>
        <v>0</v>
      </c>
      <c r="FF101" s="47">
        <f t="array" ref="FF101">IF(AND(ISNUMBER(MATCH(FF$2, AsistenciaJetAdminConcatenada!$A:$A, 0)), ISNUMBER(MATCH(FF$1, AsistenciaJetAdminConcatenada!$B:$B, 0)), ISNUMBER(SEARCH($A101, INDEX(AsistenciaJetAdminConcatenada!$C:$C, MATCH(1, (AsistenciaJetAdminConcatenada!$A:$A=FF$2)*(AsistenciaJetAdminConcatenada!$B:$B=FF$1), 0)), 1))), 1, IF(AND(ISNUMBER(MATCH(FF$2, AsistenciaJetAdminConcatenada!$A:$A, 0)), ISNUMBER(MATCH(FF$1, AsistenciaJetAdminConcatenada!$B:$B, 0)), ISNUMBER(SEARCH($A101, INDEX(AsistenciaJetAdminConcatenada!$D:$D, MATCH(1, (AsistenciaJetAdminConcatenada!$A:$A=FF$2)*(AsistenciaJetAdminConcatenada!$B:$B=FF$1), 0)), 1))),  0.5, 0))</f>
        <v>0</v>
      </c>
      <c r="FG101" s="47">
        <f t="array" ref="FG101">IF(AND(ISNUMBER(MATCH(FG$2, AsistenciaJetAdminConcatenada!$A:$A, 0)), ISNUMBER(MATCH(FG$1, AsistenciaJetAdminConcatenada!$B:$B, 0)), ISNUMBER(SEARCH($A101, INDEX(AsistenciaJetAdminConcatenada!$C:$C, MATCH(1, (AsistenciaJetAdminConcatenada!$A:$A=FG$2)*(AsistenciaJetAdminConcatenada!$B:$B=FG$1), 0)), 1))), 1, IF(AND(ISNUMBER(MATCH(FG$2, AsistenciaJetAdminConcatenada!$A:$A, 0)), ISNUMBER(MATCH(FG$1, AsistenciaJetAdminConcatenada!$B:$B, 0)), ISNUMBER(SEARCH($A101, INDEX(AsistenciaJetAdminConcatenada!$D:$D, MATCH(1, (AsistenciaJetAdminConcatenada!$A:$A=FG$2)*(AsistenciaJetAdminConcatenada!$B:$B=FG$1), 0)), 1))),  0.5, 0))</f>
        <v>0</v>
      </c>
      <c r="FH101" s="47">
        <f t="array" ref="FH101">IF(AND(ISNUMBER(MATCH(FH$2, AsistenciaJetAdminConcatenada!$A:$A, 0)), ISNUMBER(MATCH(FH$1, AsistenciaJetAdminConcatenada!$B:$B, 0)), ISNUMBER(SEARCH($A101, INDEX(AsistenciaJetAdminConcatenada!$C:$C, MATCH(1, (AsistenciaJetAdminConcatenada!$A:$A=FH$2)*(AsistenciaJetAdminConcatenada!$B:$B=FH$1), 0)), 1))), 1, IF(AND(ISNUMBER(MATCH(FH$2, AsistenciaJetAdminConcatenada!$A:$A, 0)), ISNUMBER(MATCH(FH$1, AsistenciaJetAdminConcatenada!$B:$B, 0)), ISNUMBER(SEARCH($A101, INDEX(AsistenciaJetAdminConcatenada!$D:$D, MATCH(1, (AsistenciaJetAdminConcatenada!$A:$A=FH$2)*(AsistenciaJetAdminConcatenada!$B:$B=FH$1), 0)), 1))),  0.5, 0))</f>
        <v>0</v>
      </c>
      <c r="FI101" s="47">
        <f t="array" ref="FI101">IF(AND(ISNUMBER(MATCH(FI$2, AsistenciaJetAdminConcatenada!$A:$A, 0)), ISNUMBER(MATCH(FI$1, AsistenciaJetAdminConcatenada!$B:$B, 0)), ISNUMBER(SEARCH($A101, INDEX(AsistenciaJetAdminConcatenada!$C:$C, MATCH(1, (AsistenciaJetAdminConcatenada!$A:$A=FI$2)*(AsistenciaJetAdminConcatenada!$B:$B=FI$1), 0)), 1))), 1, IF(AND(ISNUMBER(MATCH(FI$2, AsistenciaJetAdminConcatenada!$A:$A, 0)), ISNUMBER(MATCH(FI$1, AsistenciaJetAdminConcatenada!$B:$B, 0)), ISNUMBER(SEARCH($A101, INDEX(AsistenciaJetAdminConcatenada!$D:$D, MATCH(1, (AsistenciaJetAdminConcatenada!$A:$A=FI$2)*(AsistenciaJetAdminConcatenada!$B:$B=FI$1), 0)), 1))),  0.5, 0))</f>
        <v>0</v>
      </c>
      <c r="FJ101" s="47">
        <f t="array" ref="FJ101">IF(AND(ISNUMBER(MATCH(FJ$2, AsistenciaJetAdminConcatenada!$A:$A, 0)), ISNUMBER(MATCH(FJ$1, AsistenciaJetAdminConcatenada!$B:$B, 0)), ISNUMBER(SEARCH($A101, INDEX(AsistenciaJetAdminConcatenada!$C:$C, MATCH(1, (AsistenciaJetAdminConcatenada!$A:$A=FJ$2)*(AsistenciaJetAdminConcatenada!$B:$B=FJ$1), 0)), 1))), 1, IF(AND(ISNUMBER(MATCH(FJ$2, AsistenciaJetAdminConcatenada!$A:$A, 0)), ISNUMBER(MATCH(FJ$1, AsistenciaJetAdminConcatenada!$B:$B, 0)), ISNUMBER(SEARCH($A101, INDEX(AsistenciaJetAdminConcatenada!$D:$D, MATCH(1, (AsistenciaJetAdminConcatenada!$A:$A=FJ$2)*(AsistenciaJetAdminConcatenada!$B:$B=FJ$1), 0)), 1))),  0.5, 0))</f>
        <v>0</v>
      </c>
      <c r="FK101" s="47">
        <f t="array" ref="FK101">IF(AND(ISNUMBER(MATCH(FK$2, AsistenciaJetAdminConcatenada!$A:$A, 0)), ISNUMBER(MATCH(FK$1, AsistenciaJetAdminConcatenada!$B:$B, 0)), ISNUMBER(SEARCH($A101, INDEX(AsistenciaJetAdminConcatenada!$C:$C, MATCH(1, (AsistenciaJetAdminConcatenada!$A:$A=FK$2)*(AsistenciaJetAdminConcatenada!$B:$B=FK$1), 0)), 1))), 1, IF(AND(ISNUMBER(MATCH(FK$2, AsistenciaJetAdminConcatenada!$A:$A, 0)), ISNUMBER(MATCH(FK$1, AsistenciaJetAdminConcatenada!$B:$B, 0)), ISNUMBER(SEARCH($A101, INDEX(AsistenciaJetAdminConcatenada!$D:$D, MATCH(1, (AsistenciaJetAdminConcatenada!$A:$A=FK$2)*(AsistenciaJetAdminConcatenada!$B:$B=FK$1), 0)), 1))),  0.5, 0))</f>
        <v>0</v>
      </c>
      <c r="FL101" s="47">
        <f t="array" ref="FL101">IF(AND(ISNUMBER(MATCH(FL$2, AsistenciaJetAdminConcatenada!$A:$A, 0)), ISNUMBER(MATCH(FL$1, AsistenciaJetAdminConcatenada!$B:$B, 0)), ISNUMBER(SEARCH($A101, INDEX(AsistenciaJetAdminConcatenada!$C:$C, MATCH(1, (AsistenciaJetAdminConcatenada!$A:$A=FL$2)*(AsistenciaJetAdminConcatenada!$B:$B=FL$1), 0)), 1))), 1, IF(AND(ISNUMBER(MATCH(FL$2, AsistenciaJetAdminConcatenada!$A:$A, 0)), ISNUMBER(MATCH(FL$1, AsistenciaJetAdminConcatenada!$B:$B, 0)), ISNUMBER(SEARCH($A101, INDEX(AsistenciaJetAdminConcatenada!$D:$D, MATCH(1, (AsistenciaJetAdminConcatenada!$A:$A=FL$2)*(AsistenciaJetAdminConcatenada!$B:$B=FL$1), 0)), 1))),  0.5, 0))</f>
        <v>0</v>
      </c>
      <c r="FM101" s="47">
        <f t="array" ref="FM101">IF(AND(ISNUMBER(MATCH(FM$2, AsistenciaJetAdminConcatenada!$A:$A, 0)), ISNUMBER(MATCH(FM$1, AsistenciaJetAdminConcatenada!$B:$B, 0)), ISNUMBER(SEARCH($A101, INDEX(AsistenciaJetAdminConcatenada!$C:$C, MATCH(1, (AsistenciaJetAdminConcatenada!$A:$A=FM$2)*(AsistenciaJetAdminConcatenada!$B:$B=FM$1), 0)), 1))), 1, IF(AND(ISNUMBER(MATCH(FM$2, AsistenciaJetAdminConcatenada!$A:$A, 0)), ISNUMBER(MATCH(FM$1, AsistenciaJetAdminConcatenada!$B:$B, 0)), ISNUMBER(SEARCH($A101, INDEX(AsistenciaJetAdminConcatenada!$D:$D, MATCH(1, (AsistenciaJetAdminConcatenada!$A:$A=FM$2)*(AsistenciaJetAdminConcatenada!$B:$B=FM$1), 0)), 1))),  0.5, 0))</f>
        <v>0</v>
      </c>
      <c r="FN101" s="47">
        <f t="array" ref="FN101">IF(AND(ISNUMBER(MATCH(FN$2, AsistenciaJetAdminConcatenada!$A:$A, 0)), ISNUMBER(MATCH(FN$1, AsistenciaJetAdminConcatenada!$B:$B, 0)), ISNUMBER(SEARCH($A101, INDEX(AsistenciaJetAdminConcatenada!$C:$C, MATCH(1, (AsistenciaJetAdminConcatenada!$A:$A=FN$2)*(AsistenciaJetAdminConcatenada!$B:$B=FN$1), 0)), 1))), 1, IF(AND(ISNUMBER(MATCH(FN$2, AsistenciaJetAdminConcatenada!$A:$A, 0)), ISNUMBER(MATCH(FN$1, AsistenciaJetAdminConcatenada!$B:$B, 0)), ISNUMBER(SEARCH($A101, INDEX(AsistenciaJetAdminConcatenada!$D:$D, MATCH(1, (AsistenciaJetAdminConcatenada!$A:$A=FN$2)*(AsistenciaJetAdminConcatenada!$B:$B=FN$1), 0)), 1))),  0.5, 0))</f>
        <v>0</v>
      </c>
      <c r="FO101" s="47">
        <f t="array" ref="FO101">IF(AND(ISNUMBER(MATCH(FO$2, AsistenciaJetAdminConcatenada!$A:$A, 0)), ISNUMBER(MATCH(FO$1, AsistenciaJetAdminConcatenada!$B:$B, 0)), ISNUMBER(SEARCH($A101, INDEX(AsistenciaJetAdminConcatenada!$C:$C, MATCH(1, (AsistenciaJetAdminConcatenada!$A:$A=FO$2)*(AsistenciaJetAdminConcatenada!$B:$B=FO$1), 0)), 1))), 1, IF(AND(ISNUMBER(MATCH(FO$2, AsistenciaJetAdminConcatenada!$A:$A, 0)), ISNUMBER(MATCH(FO$1, AsistenciaJetAdminConcatenada!$B:$B, 0)), ISNUMBER(SEARCH($A101, INDEX(AsistenciaJetAdminConcatenada!$D:$D, MATCH(1, (AsistenciaJetAdminConcatenada!$A:$A=FO$2)*(AsistenciaJetAdminConcatenada!$B:$B=FO$1), 0)), 1))),  0.5, 0))</f>
        <v>0</v>
      </c>
      <c r="FP101" s="47">
        <f t="array" ref="FP101">IF(AND(ISNUMBER(MATCH(FP$2, AsistenciaJetAdminConcatenada!$A:$A, 0)), ISNUMBER(MATCH(FP$1, AsistenciaJetAdminConcatenada!$B:$B, 0)), ISNUMBER(SEARCH($A101, INDEX(AsistenciaJetAdminConcatenada!$C:$C, MATCH(1, (AsistenciaJetAdminConcatenada!$A:$A=FP$2)*(AsistenciaJetAdminConcatenada!$B:$B=FP$1), 0)), 1))), 1, IF(AND(ISNUMBER(MATCH(FP$2, AsistenciaJetAdminConcatenada!$A:$A, 0)), ISNUMBER(MATCH(FP$1, AsistenciaJetAdminConcatenada!$B:$B, 0)), ISNUMBER(SEARCH($A101, INDEX(AsistenciaJetAdminConcatenada!$D:$D, MATCH(1, (AsistenciaJetAdminConcatenada!$A:$A=FP$2)*(AsistenciaJetAdminConcatenada!$B:$B=FP$1), 0)), 1))),  0.5, 0))</f>
        <v>0</v>
      </c>
      <c r="FQ101" s="47">
        <f t="array" ref="FQ101">IF(AND(ISNUMBER(MATCH(FQ$2, AsistenciaJetAdminConcatenada!$A:$A, 0)), ISNUMBER(MATCH(FQ$1, AsistenciaJetAdminConcatenada!$B:$B, 0)), ISNUMBER(SEARCH($A101, INDEX(AsistenciaJetAdminConcatenada!$C:$C, MATCH(1, (AsistenciaJetAdminConcatenada!$A:$A=FQ$2)*(AsistenciaJetAdminConcatenada!$B:$B=FQ$1), 0)), 1))), 1, IF(AND(ISNUMBER(MATCH(FQ$2, AsistenciaJetAdminConcatenada!$A:$A, 0)), ISNUMBER(MATCH(FQ$1, AsistenciaJetAdminConcatenada!$B:$B, 0)), ISNUMBER(SEARCH($A101, INDEX(AsistenciaJetAdminConcatenada!$D:$D, MATCH(1, (AsistenciaJetAdminConcatenada!$A:$A=FQ$2)*(AsistenciaJetAdminConcatenada!$B:$B=FQ$1), 0)), 1))),  0.5, 0))</f>
        <v>0</v>
      </c>
      <c r="FR101" s="47">
        <f t="array" ref="FR101">IF(AND(ISNUMBER(MATCH(FR$2, AsistenciaJetAdminConcatenada!$A:$A, 0)), ISNUMBER(MATCH(FR$1, AsistenciaJetAdminConcatenada!$B:$B, 0)), ISNUMBER(SEARCH($A101, INDEX(AsistenciaJetAdminConcatenada!$C:$C, MATCH(1, (AsistenciaJetAdminConcatenada!$A:$A=FR$2)*(AsistenciaJetAdminConcatenada!$B:$B=FR$1), 0)), 1))), 1, IF(AND(ISNUMBER(MATCH(FR$2, AsistenciaJetAdminConcatenada!$A:$A, 0)), ISNUMBER(MATCH(FR$1, AsistenciaJetAdminConcatenada!$B:$B, 0)), ISNUMBER(SEARCH($A101, INDEX(AsistenciaJetAdminConcatenada!$D:$D, MATCH(1, (AsistenciaJetAdminConcatenada!$A:$A=FR$2)*(AsistenciaJetAdminConcatenada!$B:$B=FR$1), 0)), 1))),  0.5, 0))</f>
        <v>0</v>
      </c>
      <c r="FS101" s="47">
        <f t="array" ref="FS101">IF(AND(ISNUMBER(MATCH(FS$2, AsistenciaJetAdminConcatenada!$A:$A, 0)), ISNUMBER(MATCH(FS$1, AsistenciaJetAdminConcatenada!$B:$B, 0)), ISNUMBER(SEARCH($A101, INDEX(AsistenciaJetAdminConcatenada!$C:$C, MATCH(1, (AsistenciaJetAdminConcatenada!$A:$A=FS$2)*(AsistenciaJetAdminConcatenada!$B:$B=FS$1), 0)), 1))), 1, IF(AND(ISNUMBER(MATCH(FS$2, AsistenciaJetAdminConcatenada!$A:$A, 0)), ISNUMBER(MATCH(FS$1, AsistenciaJetAdminConcatenada!$B:$B, 0)), ISNUMBER(SEARCH($A101, INDEX(AsistenciaJetAdminConcatenada!$D:$D, MATCH(1, (AsistenciaJetAdminConcatenada!$A:$A=FS$2)*(AsistenciaJetAdminConcatenada!$B:$B=FS$1), 0)), 1))),  0.5, 0))</f>
        <v>0</v>
      </c>
      <c r="FT101" s="47">
        <f t="array" ref="FT101">IF(AND(ISNUMBER(MATCH(FT$2, AsistenciaJetAdminConcatenada!$A:$A, 0)), ISNUMBER(MATCH(FT$1, AsistenciaJetAdminConcatenada!$B:$B, 0)), ISNUMBER(SEARCH($A101, INDEX(AsistenciaJetAdminConcatenada!$C:$C, MATCH(1, (AsistenciaJetAdminConcatenada!$A:$A=FT$2)*(AsistenciaJetAdminConcatenada!$B:$B=FT$1), 0)), 1))), 1, IF(AND(ISNUMBER(MATCH(FT$2, AsistenciaJetAdminConcatenada!$A:$A, 0)), ISNUMBER(MATCH(FT$1, AsistenciaJetAdminConcatenada!$B:$B, 0)), ISNUMBER(SEARCH($A101, INDEX(AsistenciaJetAdminConcatenada!$D:$D, MATCH(1, (AsistenciaJetAdminConcatenada!$A:$A=FT$2)*(AsistenciaJetAdminConcatenada!$B:$B=FT$1), 0)), 1))),  0.5, 0))</f>
        <v>0</v>
      </c>
      <c r="FU101" s="47">
        <f t="array" ref="FU101">IF(AND(ISNUMBER(MATCH(FU$2, AsistenciaJetAdminConcatenada!$A:$A, 0)), ISNUMBER(MATCH(FU$1, AsistenciaJetAdminConcatenada!$B:$B, 0)), ISNUMBER(SEARCH($A101, INDEX(AsistenciaJetAdminConcatenada!$C:$C, MATCH(1, (AsistenciaJetAdminConcatenada!$A:$A=FU$2)*(AsistenciaJetAdminConcatenada!$B:$B=FU$1), 0)), 1))), 1, IF(AND(ISNUMBER(MATCH(FU$2, AsistenciaJetAdminConcatenada!$A:$A, 0)), ISNUMBER(MATCH(FU$1, AsistenciaJetAdminConcatenada!$B:$B, 0)), ISNUMBER(SEARCH($A101, INDEX(AsistenciaJetAdminConcatenada!$D:$D, MATCH(1, (AsistenciaJetAdminConcatenada!$A:$A=FU$2)*(AsistenciaJetAdminConcatenada!$B:$B=FU$1), 0)), 1))),  0.5, 0))</f>
        <v>0</v>
      </c>
      <c r="FV101" s="47">
        <f t="array" ref="FV101">IF(AND(ISNUMBER(MATCH(FV$2, AsistenciaJetAdminConcatenada!$A:$A, 0)), ISNUMBER(MATCH(FV$1, AsistenciaJetAdminConcatenada!$B:$B, 0)), ISNUMBER(SEARCH($A101, INDEX(AsistenciaJetAdminConcatenada!$C:$C, MATCH(1, (AsistenciaJetAdminConcatenada!$A:$A=FV$2)*(AsistenciaJetAdminConcatenada!$B:$B=FV$1), 0)), 1))), 1, IF(AND(ISNUMBER(MATCH(FV$2, AsistenciaJetAdminConcatenada!$A:$A, 0)), ISNUMBER(MATCH(FV$1, AsistenciaJetAdminConcatenada!$B:$B, 0)), ISNUMBER(SEARCH($A101, INDEX(AsistenciaJetAdminConcatenada!$D:$D, MATCH(1, (AsistenciaJetAdminConcatenada!$A:$A=FV$2)*(AsistenciaJetAdminConcatenada!$B:$B=FV$1), 0)), 1))),  0.5, 0))</f>
        <v>0</v>
      </c>
      <c r="FW101" s="47">
        <f t="array" ref="FW101">IF(AND(ISNUMBER(MATCH(FW$2, AsistenciaJetAdminConcatenada!$A:$A, 0)), ISNUMBER(MATCH(FW$1, AsistenciaJetAdminConcatenada!$B:$B, 0)), ISNUMBER(SEARCH($A101, INDEX(AsistenciaJetAdminConcatenada!$C:$C, MATCH(1, (AsistenciaJetAdminConcatenada!$A:$A=FW$2)*(AsistenciaJetAdminConcatenada!$B:$B=FW$1), 0)), 1))), 1, IF(AND(ISNUMBER(MATCH(FW$2, AsistenciaJetAdminConcatenada!$A:$A, 0)), ISNUMBER(MATCH(FW$1, AsistenciaJetAdminConcatenada!$B:$B, 0)), ISNUMBER(SEARCH($A101, INDEX(AsistenciaJetAdminConcatenada!$D:$D, MATCH(1, (AsistenciaJetAdminConcatenada!$A:$A=FW$2)*(AsistenciaJetAdminConcatenada!$B:$B=FW$1), 0)), 1))),  0.5, 0))</f>
        <v>0</v>
      </c>
      <c r="FX101" s="47">
        <f t="array" ref="FX101">IF(AND(ISNUMBER(MATCH(FX$2, AsistenciaJetAdminConcatenada!$A:$A, 0)), ISNUMBER(MATCH(FX$1, AsistenciaJetAdminConcatenada!$B:$B, 0)), ISNUMBER(SEARCH($A101, INDEX(AsistenciaJetAdminConcatenada!$C:$C, MATCH(1, (AsistenciaJetAdminConcatenada!$A:$A=FX$2)*(AsistenciaJetAdminConcatenada!$B:$B=FX$1), 0)), 1))), 1, IF(AND(ISNUMBER(MATCH(FX$2, AsistenciaJetAdminConcatenada!$A:$A, 0)), ISNUMBER(MATCH(FX$1, AsistenciaJetAdminConcatenada!$B:$B, 0)), ISNUMBER(SEARCH($A101, INDEX(AsistenciaJetAdminConcatenada!$D:$D, MATCH(1, (AsistenciaJetAdminConcatenada!$A:$A=FX$2)*(AsistenciaJetAdminConcatenada!$B:$B=FX$1), 0)), 1))),  0.5, 0))</f>
        <v>0</v>
      </c>
      <c r="FY101" s="47">
        <f t="array" ref="FY101">IF(AND(ISNUMBER(MATCH(FY$2, AsistenciaJetAdminConcatenada!$A:$A, 0)), ISNUMBER(MATCH(FY$1, AsistenciaJetAdminConcatenada!$B:$B, 0)), ISNUMBER(SEARCH($A101, INDEX(AsistenciaJetAdminConcatenada!$C:$C, MATCH(1, (AsistenciaJetAdminConcatenada!$A:$A=FY$2)*(AsistenciaJetAdminConcatenada!$B:$B=FY$1), 0)), 1))), 1, IF(AND(ISNUMBER(MATCH(FY$2, AsistenciaJetAdminConcatenada!$A:$A, 0)), ISNUMBER(MATCH(FY$1, AsistenciaJetAdminConcatenada!$B:$B, 0)), ISNUMBER(SEARCH($A101, INDEX(AsistenciaJetAdminConcatenada!$D:$D, MATCH(1, (AsistenciaJetAdminConcatenada!$A:$A=FY$2)*(AsistenciaJetAdminConcatenada!$B:$B=FY$1), 0)), 1))),  0.5, 0))</f>
        <v>0</v>
      </c>
      <c r="FZ101" s="47">
        <f t="array" ref="FZ101">IF(AND(ISNUMBER(MATCH(FZ$2, AsistenciaJetAdminConcatenada!$A:$A, 0)), ISNUMBER(MATCH(FZ$1, AsistenciaJetAdminConcatenada!$B:$B, 0)), ISNUMBER(SEARCH($A101, INDEX(AsistenciaJetAdminConcatenada!$C:$C, MATCH(1, (AsistenciaJetAdminConcatenada!$A:$A=FZ$2)*(AsistenciaJetAdminConcatenada!$B:$B=FZ$1), 0)), 1))), 1, IF(AND(ISNUMBER(MATCH(FZ$2, AsistenciaJetAdminConcatenada!$A:$A, 0)), ISNUMBER(MATCH(FZ$1, AsistenciaJetAdminConcatenada!$B:$B, 0)), ISNUMBER(SEARCH($A101, INDEX(AsistenciaJetAdminConcatenada!$D:$D, MATCH(1, (AsistenciaJetAdminConcatenada!$A:$A=FZ$2)*(AsistenciaJetAdminConcatenada!$B:$B=FZ$1), 0)), 1))),  0.5, 0))</f>
        <v>0</v>
      </c>
      <c r="GA101" s="47">
        <f t="array" ref="GA101">IF(AND(ISNUMBER(MATCH(GA$2, AsistenciaJetAdminConcatenada!$A:$A, 0)), ISNUMBER(MATCH(GA$1, AsistenciaJetAdminConcatenada!$B:$B, 0)), ISNUMBER(SEARCH($A101, INDEX(AsistenciaJetAdminConcatenada!$C:$C, MATCH(1, (AsistenciaJetAdminConcatenada!$A:$A=GA$2)*(AsistenciaJetAdminConcatenada!$B:$B=GA$1), 0)), 1))), 1, IF(AND(ISNUMBER(MATCH(GA$2, AsistenciaJetAdminConcatenada!$A:$A, 0)), ISNUMBER(MATCH(GA$1, AsistenciaJetAdminConcatenada!$B:$B, 0)), ISNUMBER(SEARCH($A101, INDEX(AsistenciaJetAdminConcatenada!$D:$D, MATCH(1, (AsistenciaJetAdminConcatenada!$A:$A=GA$2)*(AsistenciaJetAdminConcatenada!$B:$B=GA$1), 0)), 1))),  0.5, 0))</f>
        <v>0</v>
      </c>
      <c r="GB101" s="47">
        <f t="array" ref="GB101">IF(AND(ISNUMBER(MATCH(GB$2, AsistenciaJetAdminConcatenada!$A:$A, 0)), ISNUMBER(MATCH(GB$1, AsistenciaJetAdminConcatenada!$B:$B, 0)), ISNUMBER(SEARCH($A101, INDEX(AsistenciaJetAdminConcatenada!$C:$C, MATCH(1, (AsistenciaJetAdminConcatenada!$A:$A=GB$2)*(AsistenciaJetAdminConcatenada!$B:$B=GB$1), 0)), 1))), 1, IF(AND(ISNUMBER(MATCH(GB$2, AsistenciaJetAdminConcatenada!$A:$A, 0)), ISNUMBER(MATCH(GB$1, AsistenciaJetAdminConcatenada!$B:$B, 0)), ISNUMBER(SEARCH($A101, INDEX(AsistenciaJetAdminConcatenada!$D:$D, MATCH(1, (AsistenciaJetAdminConcatenada!$A:$A=GB$2)*(AsistenciaJetAdminConcatenada!$B:$B=GB$1), 0)), 1))),  0.5, 0))</f>
        <v>0</v>
      </c>
      <c r="GC101" s="47">
        <f t="array" ref="GC101">IF(AND(ISNUMBER(MATCH(GC$2, AsistenciaJetAdminConcatenada!$A:$A, 0)), ISNUMBER(MATCH(GC$1, AsistenciaJetAdminConcatenada!$B:$B, 0)), ISNUMBER(SEARCH($A101, INDEX(AsistenciaJetAdminConcatenada!$C:$C, MATCH(1, (AsistenciaJetAdminConcatenada!$A:$A=GC$2)*(AsistenciaJetAdminConcatenada!$B:$B=GC$1), 0)), 1))), 1, IF(AND(ISNUMBER(MATCH(GC$2, AsistenciaJetAdminConcatenada!$A:$A, 0)), ISNUMBER(MATCH(GC$1, AsistenciaJetAdminConcatenada!$B:$B, 0)), ISNUMBER(SEARCH($A101, INDEX(AsistenciaJetAdminConcatenada!$D:$D, MATCH(1, (AsistenciaJetAdminConcatenada!$A:$A=GC$2)*(AsistenciaJetAdminConcatenada!$B:$B=GC$1), 0)), 1))),  0.5, 0))</f>
        <v>0</v>
      </c>
      <c r="GD101" s="47">
        <f t="array" ref="GD101">IF(AND(ISNUMBER(MATCH(GD$2, AsistenciaJetAdminConcatenada!$A:$A, 0)), ISNUMBER(MATCH(GD$1, AsistenciaJetAdminConcatenada!$B:$B, 0)), ISNUMBER(SEARCH($A101, INDEX(AsistenciaJetAdminConcatenada!$C:$C, MATCH(1, (AsistenciaJetAdminConcatenada!$A:$A=GD$2)*(AsistenciaJetAdminConcatenada!$B:$B=GD$1), 0)), 1))), 1, IF(AND(ISNUMBER(MATCH(GD$2, AsistenciaJetAdminConcatenada!$A:$A, 0)), ISNUMBER(MATCH(GD$1, AsistenciaJetAdminConcatenada!$B:$B, 0)), ISNUMBER(SEARCH($A101, INDEX(AsistenciaJetAdminConcatenada!$D:$D, MATCH(1, (AsistenciaJetAdminConcatenada!$A:$A=GD$2)*(AsistenciaJetAdminConcatenada!$B:$B=GD$1), 0)), 1))),  0.5, 0))</f>
        <v>0</v>
      </c>
      <c r="GE101" s="47">
        <f t="array" ref="GE101">IF(AND(ISNUMBER(MATCH(GE$2, AsistenciaJetAdminConcatenada!$A:$A, 0)), ISNUMBER(MATCH(GE$1, AsistenciaJetAdminConcatenada!$B:$B, 0)), ISNUMBER(SEARCH($A101, INDEX(AsistenciaJetAdminConcatenada!$C:$C, MATCH(1, (AsistenciaJetAdminConcatenada!$A:$A=GE$2)*(AsistenciaJetAdminConcatenada!$B:$B=GE$1), 0)), 1))), 1, IF(AND(ISNUMBER(MATCH(GE$2, AsistenciaJetAdminConcatenada!$A:$A, 0)), ISNUMBER(MATCH(GE$1, AsistenciaJetAdminConcatenada!$B:$B, 0)), ISNUMBER(SEARCH($A101, INDEX(AsistenciaJetAdminConcatenada!$D:$D, MATCH(1, (AsistenciaJetAdminConcatenada!$A:$A=GE$2)*(AsistenciaJetAdminConcatenada!$B:$B=GE$1), 0)), 1))),  0.5, 0))</f>
        <v>0</v>
      </c>
      <c r="GF101" s="47">
        <f t="array" ref="GF101">IF(AND(ISNUMBER(MATCH(GF$2, AsistenciaJetAdminConcatenada!$A:$A, 0)), ISNUMBER(MATCH(GF$1, AsistenciaJetAdminConcatenada!$B:$B, 0)), ISNUMBER(SEARCH($A101, INDEX(AsistenciaJetAdminConcatenada!$C:$C, MATCH(1, (AsistenciaJetAdminConcatenada!$A:$A=GF$2)*(AsistenciaJetAdminConcatenada!$B:$B=GF$1), 0)), 1))), 1, IF(AND(ISNUMBER(MATCH(GF$2, AsistenciaJetAdminConcatenada!$A:$A, 0)), ISNUMBER(MATCH(GF$1, AsistenciaJetAdminConcatenada!$B:$B, 0)), ISNUMBER(SEARCH($A101, INDEX(AsistenciaJetAdminConcatenada!$D:$D, MATCH(1, (AsistenciaJetAdminConcatenada!$A:$A=GF$2)*(AsistenciaJetAdminConcatenada!$B:$B=GF$1), 0)), 1))),  0.5, 0))</f>
        <v>0</v>
      </c>
      <c r="GG101" s="47">
        <f t="array" ref="GG101">IF(AND(ISNUMBER(MATCH(GG$2, AsistenciaJetAdminConcatenada!$A:$A, 0)), ISNUMBER(MATCH(GG$1, AsistenciaJetAdminConcatenada!$B:$B, 0)), ISNUMBER(SEARCH($A101, INDEX(AsistenciaJetAdminConcatenada!$C:$C, MATCH(1, (AsistenciaJetAdminConcatenada!$A:$A=GG$2)*(AsistenciaJetAdminConcatenada!$B:$B=GG$1), 0)), 1))), 1, IF(AND(ISNUMBER(MATCH(GG$2, AsistenciaJetAdminConcatenada!$A:$A, 0)), ISNUMBER(MATCH(GG$1, AsistenciaJetAdminConcatenada!$B:$B, 0)), ISNUMBER(SEARCH($A101, INDEX(AsistenciaJetAdminConcatenada!$D:$D, MATCH(1, (AsistenciaJetAdminConcatenada!$A:$A=GG$2)*(AsistenciaJetAdminConcatenada!$B:$B=GG$1), 0)), 1))),  0.5, 0))</f>
        <v>0</v>
      </c>
      <c r="GH101" s="47">
        <f t="array" ref="GH101">IF(AND(ISNUMBER(MATCH(GH$2, AsistenciaJetAdminConcatenada!$A:$A, 0)), ISNUMBER(MATCH(GH$1, AsistenciaJetAdminConcatenada!$B:$B, 0)), ISNUMBER(SEARCH($A101, INDEX(AsistenciaJetAdminConcatenada!$C:$C, MATCH(1, (AsistenciaJetAdminConcatenada!$A:$A=GH$2)*(AsistenciaJetAdminConcatenada!$B:$B=GH$1), 0)), 1))), 1, IF(AND(ISNUMBER(MATCH(GH$2, AsistenciaJetAdminConcatenada!$A:$A, 0)), ISNUMBER(MATCH(GH$1, AsistenciaJetAdminConcatenada!$B:$B, 0)), ISNUMBER(SEARCH($A101, INDEX(AsistenciaJetAdminConcatenada!$D:$D, MATCH(1, (AsistenciaJetAdminConcatenada!$A:$A=GH$2)*(AsistenciaJetAdminConcatenada!$B:$B=GH$1), 0)), 1))),  0.5, 0))</f>
        <v>0</v>
      </c>
      <c r="GI101" s="47">
        <f t="array" ref="GI101">IF(AND(ISNUMBER(MATCH(GI$2, AsistenciaJetAdminConcatenada!$A:$A, 0)), ISNUMBER(MATCH(GI$1, AsistenciaJetAdminConcatenada!$B:$B, 0)), ISNUMBER(SEARCH($A101, INDEX(AsistenciaJetAdminConcatenada!$C:$C, MATCH(1, (AsistenciaJetAdminConcatenada!$A:$A=GI$2)*(AsistenciaJetAdminConcatenada!$B:$B=GI$1), 0)), 1))), 1, IF(AND(ISNUMBER(MATCH(GI$2, AsistenciaJetAdminConcatenada!$A:$A, 0)), ISNUMBER(MATCH(GI$1, AsistenciaJetAdminConcatenada!$B:$B, 0)), ISNUMBER(SEARCH($A101, INDEX(AsistenciaJetAdminConcatenada!$D:$D, MATCH(1, (AsistenciaJetAdminConcatenada!$A:$A=GI$2)*(AsistenciaJetAdminConcatenada!$B:$B=GI$1), 0)), 1))),  0.5, 0))</f>
        <v>0</v>
      </c>
      <c r="GJ101" s="47">
        <f t="array" ref="GJ101">IF(AND(ISNUMBER(MATCH(GJ$2, AsistenciaJetAdminConcatenada!$A:$A, 0)), ISNUMBER(MATCH(GJ$1, AsistenciaJetAdminConcatenada!$B:$B, 0)), ISNUMBER(SEARCH($A101, INDEX(AsistenciaJetAdminConcatenada!$C:$C, MATCH(1, (AsistenciaJetAdminConcatenada!$A:$A=GJ$2)*(AsistenciaJetAdminConcatenada!$B:$B=GJ$1), 0)), 1))), 1, IF(AND(ISNUMBER(MATCH(GJ$2, AsistenciaJetAdminConcatenada!$A:$A, 0)), ISNUMBER(MATCH(GJ$1, AsistenciaJetAdminConcatenada!$B:$B, 0)), ISNUMBER(SEARCH($A101, INDEX(AsistenciaJetAdminConcatenada!$D:$D, MATCH(1, (AsistenciaJetAdminConcatenada!$A:$A=GJ$2)*(AsistenciaJetAdminConcatenada!$B:$B=GJ$1), 0)), 1))),  0.5, 0))</f>
        <v>0</v>
      </c>
      <c r="GK101" s="47">
        <f t="array" ref="GK101">IF(AND(ISNUMBER(MATCH(GK$2, AsistenciaJetAdminConcatenada!$A:$A, 0)), ISNUMBER(MATCH(GK$1, AsistenciaJetAdminConcatenada!$B:$B, 0)), ISNUMBER(SEARCH($A101, INDEX(AsistenciaJetAdminConcatenada!$C:$C, MATCH(1, (AsistenciaJetAdminConcatenada!$A:$A=GK$2)*(AsistenciaJetAdminConcatenada!$B:$B=GK$1), 0)), 1))), 1, IF(AND(ISNUMBER(MATCH(GK$2, AsistenciaJetAdminConcatenada!$A:$A, 0)), ISNUMBER(MATCH(GK$1, AsistenciaJetAdminConcatenada!$B:$B, 0)), ISNUMBER(SEARCH($A101, INDEX(AsistenciaJetAdminConcatenada!$D:$D, MATCH(1, (AsistenciaJetAdminConcatenada!$A:$A=GK$2)*(AsistenciaJetAdminConcatenada!$B:$B=GK$1), 0)), 1))),  0.5, 0))</f>
        <v>0</v>
      </c>
      <c r="GL101" s="47">
        <f t="array" ref="GL101">IF(AND(ISNUMBER(MATCH(GL$2, AsistenciaJetAdminConcatenada!$A:$A, 0)), ISNUMBER(MATCH(GL$1, AsistenciaJetAdminConcatenada!$B:$B, 0)), ISNUMBER(SEARCH($A101, INDEX(AsistenciaJetAdminConcatenada!$C:$C, MATCH(1, (AsistenciaJetAdminConcatenada!$A:$A=GL$2)*(AsistenciaJetAdminConcatenada!$B:$B=GL$1), 0)), 1))), 1, IF(AND(ISNUMBER(MATCH(GL$2, AsistenciaJetAdminConcatenada!$A:$A, 0)), ISNUMBER(MATCH(GL$1, AsistenciaJetAdminConcatenada!$B:$B, 0)), ISNUMBER(SEARCH($A101, INDEX(AsistenciaJetAdminConcatenada!$D:$D, MATCH(1, (AsistenciaJetAdminConcatenada!$A:$A=GL$2)*(AsistenciaJetAdminConcatenada!$B:$B=GL$1), 0)), 1))),  0.5, 0))</f>
        <v>0</v>
      </c>
      <c r="GM101" s="47">
        <f t="array" ref="GM101">IF(AND(ISNUMBER(MATCH(GM$2, AsistenciaJetAdminConcatenada!$A:$A, 0)), ISNUMBER(MATCH(GM$1, AsistenciaJetAdminConcatenada!$B:$B, 0)), ISNUMBER(SEARCH($A101, INDEX(AsistenciaJetAdminConcatenada!$C:$C, MATCH(1, (AsistenciaJetAdminConcatenada!$A:$A=GM$2)*(AsistenciaJetAdminConcatenada!$B:$B=GM$1), 0)), 1))), 1, IF(AND(ISNUMBER(MATCH(GM$2, AsistenciaJetAdminConcatenada!$A:$A, 0)), ISNUMBER(MATCH(GM$1, AsistenciaJetAdminConcatenada!$B:$B, 0)), ISNUMBER(SEARCH($A101, INDEX(AsistenciaJetAdminConcatenada!$D:$D, MATCH(1, (AsistenciaJetAdminConcatenada!$A:$A=GM$2)*(AsistenciaJetAdminConcatenada!$B:$B=GM$1), 0)), 1))),  0.5, 0))</f>
        <v>0</v>
      </c>
      <c r="GN101" s="47">
        <f t="array" ref="GN101">IF(AND(ISNUMBER(MATCH(GN$2, AsistenciaJetAdminConcatenada!$A:$A, 0)), ISNUMBER(MATCH(GN$1, AsistenciaJetAdminConcatenada!$B:$B, 0)), ISNUMBER(SEARCH($A101, INDEX(AsistenciaJetAdminConcatenada!$C:$C, MATCH(1, (AsistenciaJetAdminConcatenada!$A:$A=GN$2)*(AsistenciaJetAdminConcatenada!$B:$B=GN$1), 0)), 1))), 1, IF(AND(ISNUMBER(MATCH(GN$2, AsistenciaJetAdminConcatenada!$A:$A, 0)), ISNUMBER(MATCH(GN$1, AsistenciaJetAdminConcatenada!$B:$B, 0)), ISNUMBER(SEARCH($A101, INDEX(AsistenciaJetAdminConcatenada!$D:$D, MATCH(1, (AsistenciaJetAdminConcatenada!$A:$A=GN$2)*(AsistenciaJetAdminConcatenada!$B:$B=GN$1), 0)), 1))),  0.5, 0))</f>
        <v>0</v>
      </c>
      <c r="GO101" s="47">
        <f t="array" ref="GO101">IF(AND(ISNUMBER(MATCH(GO$2, AsistenciaJetAdminConcatenada!$A:$A, 0)), ISNUMBER(MATCH(GO$1, AsistenciaJetAdminConcatenada!$B:$B, 0)), ISNUMBER(SEARCH($A101, INDEX(AsistenciaJetAdminConcatenada!$C:$C, MATCH(1, (AsistenciaJetAdminConcatenada!$A:$A=GO$2)*(AsistenciaJetAdminConcatenada!$B:$B=GO$1), 0)), 1))), 1, IF(AND(ISNUMBER(MATCH(GO$2, AsistenciaJetAdminConcatenada!$A:$A, 0)), ISNUMBER(MATCH(GO$1, AsistenciaJetAdminConcatenada!$B:$B, 0)), ISNUMBER(SEARCH($A101, INDEX(AsistenciaJetAdminConcatenada!$D:$D, MATCH(1, (AsistenciaJetAdminConcatenada!$A:$A=GO$2)*(AsistenciaJetAdminConcatenada!$B:$B=GO$1), 0)), 1))),  0.5, 0))</f>
        <v>0</v>
      </c>
      <c r="GP101" s="47">
        <f t="array" ref="GP101">IF(AND(ISNUMBER(MATCH(GP$2, AsistenciaJetAdminConcatenada!$A:$A, 0)), ISNUMBER(MATCH(GP$1, AsistenciaJetAdminConcatenada!$B:$B, 0)), ISNUMBER(SEARCH($A101, INDEX(AsistenciaJetAdminConcatenada!$C:$C, MATCH(1, (AsistenciaJetAdminConcatenada!$A:$A=GP$2)*(AsistenciaJetAdminConcatenada!$B:$B=GP$1), 0)), 1))), 1, IF(AND(ISNUMBER(MATCH(GP$2, AsistenciaJetAdminConcatenada!$A:$A, 0)), ISNUMBER(MATCH(GP$1, AsistenciaJetAdminConcatenada!$B:$B, 0)), ISNUMBER(SEARCH($A101, INDEX(AsistenciaJetAdminConcatenada!$D:$D, MATCH(1, (AsistenciaJetAdminConcatenada!$A:$A=GP$2)*(AsistenciaJetAdminConcatenada!$B:$B=GP$1), 0)), 1))),  0.5, 0))</f>
        <v>0</v>
      </c>
      <c r="GQ101" s="47">
        <f t="array" ref="GQ101">IF(AND(ISNUMBER(MATCH(GQ$2, AsistenciaJetAdminConcatenada!$A:$A, 0)), ISNUMBER(MATCH(GQ$1, AsistenciaJetAdminConcatenada!$B:$B, 0)), ISNUMBER(SEARCH($A101, INDEX(AsistenciaJetAdminConcatenada!$C:$C, MATCH(1, (AsistenciaJetAdminConcatenada!$A:$A=GQ$2)*(AsistenciaJetAdminConcatenada!$B:$B=GQ$1), 0)), 1))), 1, IF(AND(ISNUMBER(MATCH(GQ$2, AsistenciaJetAdminConcatenada!$A:$A, 0)), ISNUMBER(MATCH(GQ$1, AsistenciaJetAdminConcatenada!$B:$B, 0)), ISNUMBER(SEARCH($A101, INDEX(AsistenciaJetAdminConcatenada!$D:$D, MATCH(1, (AsistenciaJetAdminConcatenada!$A:$A=GQ$2)*(AsistenciaJetAdminConcatenada!$B:$B=GQ$1), 0)), 1))),  0.5, 0))</f>
        <v>0</v>
      </c>
      <c r="GR101" s="47">
        <f t="array" ref="GR101">IF(AND(ISNUMBER(MATCH(GR$2, AsistenciaJetAdminConcatenada!$A:$A, 0)), ISNUMBER(MATCH(GR$1, AsistenciaJetAdminConcatenada!$B:$B, 0)), ISNUMBER(SEARCH($A101, INDEX(AsistenciaJetAdminConcatenada!$C:$C, MATCH(1, (AsistenciaJetAdminConcatenada!$A:$A=GR$2)*(AsistenciaJetAdminConcatenada!$B:$B=GR$1), 0)), 1))), 1, IF(AND(ISNUMBER(MATCH(GR$2, AsistenciaJetAdminConcatenada!$A:$A, 0)), ISNUMBER(MATCH(GR$1, AsistenciaJetAdminConcatenada!$B:$B, 0)), ISNUMBER(SEARCH($A101, INDEX(AsistenciaJetAdminConcatenada!$D:$D, MATCH(1, (AsistenciaJetAdminConcatenada!$A:$A=GR$2)*(AsistenciaJetAdminConcatenada!$B:$B=GR$1), 0)), 1))),  0.5, 0))</f>
        <v>0</v>
      </c>
      <c r="GS101" s="47">
        <f t="array" ref="GS101">IF(AND(ISNUMBER(MATCH(GS$2, AsistenciaJetAdminConcatenada!$A:$A, 0)), ISNUMBER(MATCH(GS$1, AsistenciaJetAdminConcatenada!$B:$B, 0)), ISNUMBER(SEARCH($A101, INDEX(AsistenciaJetAdminConcatenada!$C:$C, MATCH(1, (AsistenciaJetAdminConcatenada!$A:$A=GS$2)*(AsistenciaJetAdminConcatenada!$B:$B=GS$1), 0)), 1))), 1, IF(AND(ISNUMBER(MATCH(GS$2, AsistenciaJetAdminConcatenada!$A:$A, 0)), ISNUMBER(MATCH(GS$1, AsistenciaJetAdminConcatenada!$B:$B, 0)), ISNUMBER(SEARCH($A101, INDEX(AsistenciaJetAdminConcatenada!$D:$D, MATCH(1, (AsistenciaJetAdminConcatenada!$A:$A=GS$2)*(AsistenciaJetAdminConcatenada!$B:$B=GS$1), 0)), 1))),  0.5, 0))</f>
        <v>0</v>
      </c>
      <c r="GT101" s="47">
        <f t="array" ref="GT101">IF(AND(ISNUMBER(MATCH(GT$2, AsistenciaJetAdminConcatenada!$A:$A, 0)), ISNUMBER(MATCH(GT$1, AsistenciaJetAdminConcatenada!$B:$B, 0)), ISNUMBER(SEARCH($A101, INDEX(AsistenciaJetAdminConcatenada!$C:$C, MATCH(1, (AsistenciaJetAdminConcatenada!$A:$A=GT$2)*(AsistenciaJetAdminConcatenada!$B:$B=GT$1), 0)), 1))), 1, IF(AND(ISNUMBER(MATCH(GT$2, AsistenciaJetAdminConcatenada!$A:$A, 0)), ISNUMBER(MATCH(GT$1, AsistenciaJetAdminConcatenada!$B:$B, 0)), ISNUMBER(SEARCH($A101, INDEX(AsistenciaJetAdminConcatenada!$D:$D, MATCH(1, (AsistenciaJetAdminConcatenada!$A:$A=GT$2)*(AsistenciaJetAdminConcatenada!$B:$B=GT$1), 0)), 1))),  0.5, 0))</f>
        <v>0</v>
      </c>
      <c r="GU101" s="47">
        <f t="array" ref="GU101">IF(AND(ISNUMBER(MATCH(GU$2, AsistenciaJetAdminConcatenada!$A:$A, 0)), ISNUMBER(MATCH(GU$1, AsistenciaJetAdminConcatenada!$B:$B, 0)), ISNUMBER(SEARCH($A101, INDEX(AsistenciaJetAdminConcatenada!$C:$C, MATCH(1, (AsistenciaJetAdminConcatenada!$A:$A=GU$2)*(AsistenciaJetAdminConcatenada!$B:$B=GU$1), 0)), 1))), 1, IF(AND(ISNUMBER(MATCH(GU$2, AsistenciaJetAdminConcatenada!$A:$A, 0)), ISNUMBER(MATCH(GU$1, AsistenciaJetAdminConcatenada!$B:$B, 0)), ISNUMBER(SEARCH($A101, INDEX(AsistenciaJetAdminConcatenada!$D:$D, MATCH(1, (AsistenciaJetAdminConcatenada!$A:$A=GU$2)*(AsistenciaJetAdminConcatenada!$B:$B=GU$1), 0)), 1))),  0.5, 0))</f>
        <v>0</v>
      </c>
      <c r="GV101" s="47">
        <f t="array" ref="GV101">IF(AND(ISNUMBER(MATCH(GV$2, AsistenciaJetAdminConcatenada!$A:$A, 0)), ISNUMBER(MATCH(GV$1, AsistenciaJetAdminConcatenada!$B:$B, 0)), ISNUMBER(SEARCH($A101, INDEX(AsistenciaJetAdminConcatenada!$C:$C, MATCH(1, (AsistenciaJetAdminConcatenada!$A:$A=GV$2)*(AsistenciaJetAdminConcatenada!$B:$B=GV$1), 0)), 1))), 1, IF(AND(ISNUMBER(MATCH(GV$2, AsistenciaJetAdminConcatenada!$A:$A, 0)), ISNUMBER(MATCH(GV$1, AsistenciaJetAdminConcatenada!$B:$B, 0)), ISNUMBER(SEARCH($A101, INDEX(AsistenciaJetAdminConcatenada!$D:$D, MATCH(1, (AsistenciaJetAdminConcatenada!$A:$A=GV$2)*(AsistenciaJetAdminConcatenada!$B:$B=GV$1), 0)), 1))),  0.5, 0))</f>
        <v>0</v>
      </c>
      <c r="GW101" s="47">
        <f t="array" ref="GW101">IF(AND(ISNUMBER(MATCH(GW$2, AsistenciaJetAdminConcatenada!$A:$A, 0)), ISNUMBER(MATCH(GW$1, AsistenciaJetAdminConcatenada!$B:$B, 0)), ISNUMBER(SEARCH($A101, INDEX(AsistenciaJetAdminConcatenada!$C:$C, MATCH(1, (AsistenciaJetAdminConcatenada!$A:$A=GW$2)*(AsistenciaJetAdminConcatenada!$B:$B=GW$1), 0)), 1))), 1, IF(AND(ISNUMBER(MATCH(GW$2, AsistenciaJetAdminConcatenada!$A:$A, 0)), ISNUMBER(MATCH(GW$1, AsistenciaJetAdminConcatenada!$B:$B, 0)), ISNUMBER(SEARCH($A101, INDEX(AsistenciaJetAdminConcatenada!$D:$D, MATCH(1, (AsistenciaJetAdminConcatenada!$A:$A=GW$2)*(AsistenciaJetAdminConcatenada!$B:$B=GW$1), 0)), 1))),  0.5, 0))</f>
        <v>0</v>
      </c>
      <c r="GX101" s="47">
        <f t="array" ref="GX101">IF(AND(ISNUMBER(MATCH(GX$2, AsistenciaJetAdminConcatenada!$A:$A, 0)), ISNUMBER(MATCH(GX$1, AsistenciaJetAdminConcatenada!$B:$B, 0)), ISNUMBER(SEARCH($A101, INDEX(AsistenciaJetAdminConcatenada!$C:$C, MATCH(1, (AsistenciaJetAdminConcatenada!$A:$A=GX$2)*(AsistenciaJetAdminConcatenada!$B:$B=GX$1), 0)), 1))), 1, IF(AND(ISNUMBER(MATCH(GX$2, AsistenciaJetAdminConcatenada!$A:$A, 0)), ISNUMBER(MATCH(GX$1, AsistenciaJetAdminConcatenada!$B:$B, 0)), ISNUMBER(SEARCH($A101, INDEX(AsistenciaJetAdminConcatenada!$D:$D, MATCH(1, (AsistenciaJetAdminConcatenada!$A:$A=GX$2)*(AsistenciaJetAdminConcatenada!$B:$B=GX$1), 0)), 1))),  0.5, 0))</f>
        <v>0</v>
      </c>
      <c r="GY101" s="47">
        <f t="array" ref="GY101">IF(AND(ISNUMBER(MATCH(GY$2, AsistenciaJetAdminConcatenada!$A:$A, 0)), ISNUMBER(MATCH(GY$1, AsistenciaJetAdminConcatenada!$B:$B, 0)), ISNUMBER(SEARCH($A101, INDEX(AsistenciaJetAdminConcatenada!$C:$C, MATCH(1, (AsistenciaJetAdminConcatenada!$A:$A=GY$2)*(AsistenciaJetAdminConcatenada!$B:$B=GY$1), 0)), 1))), 1, IF(AND(ISNUMBER(MATCH(GY$2, AsistenciaJetAdminConcatenada!$A:$A, 0)), ISNUMBER(MATCH(GY$1, AsistenciaJetAdminConcatenada!$B:$B, 0)), ISNUMBER(SEARCH($A101, INDEX(AsistenciaJetAdminConcatenada!$D:$D, MATCH(1, (AsistenciaJetAdminConcatenada!$A:$A=GY$2)*(AsistenciaJetAdminConcatenada!$B:$B=GY$1), 0)), 1))),  0.5, 0))</f>
        <v>0</v>
      </c>
      <c r="GZ101" s="47">
        <f t="array" ref="GZ101">IF(AND(ISNUMBER(MATCH(GZ$2, AsistenciaJetAdminConcatenada!$A:$A, 0)), ISNUMBER(MATCH(GZ$1, AsistenciaJetAdminConcatenada!$B:$B, 0)), ISNUMBER(SEARCH($A101, INDEX(AsistenciaJetAdminConcatenada!$C:$C, MATCH(1, (AsistenciaJetAdminConcatenada!$A:$A=GZ$2)*(AsistenciaJetAdminConcatenada!$B:$B=GZ$1), 0)), 1))), 1, IF(AND(ISNUMBER(MATCH(GZ$2, AsistenciaJetAdminConcatenada!$A:$A, 0)), ISNUMBER(MATCH(GZ$1, AsistenciaJetAdminConcatenada!$B:$B, 0)), ISNUMBER(SEARCH($A101, INDEX(AsistenciaJetAdminConcatenada!$D:$D, MATCH(1, (AsistenciaJetAdminConcatenada!$A:$A=GZ$2)*(AsistenciaJetAdminConcatenada!$B:$B=GZ$1), 0)), 1))),  0.5, 0))</f>
        <v>0</v>
      </c>
      <c r="HA101" s="47">
        <f t="array" ref="HA101">IF(AND(ISNUMBER(MATCH(HA$2, AsistenciaJetAdminConcatenada!$A:$A, 0)), ISNUMBER(MATCH(HA$1, AsistenciaJetAdminConcatenada!$B:$B, 0)), ISNUMBER(SEARCH($A101, INDEX(AsistenciaJetAdminConcatenada!$C:$C, MATCH(1, (AsistenciaJetAdminConcatenada!$A:$A=HA$2)*(AsistenciaJetAdminConcatenada!$B:$B=HA$1), 0)), 1))), 1, IF(AND(ISNUMBER(MATCH(HA$2, AsistenciaJetAdminConcatenada!$A:$A, 0)), ISNUMBER(MATCH(HA$1, AsistenciaJetAdminConcatenada!$B:$B, 0)), ISNUMBER(SEARCH($A101, INDEX(AsistenciaJetAdminConcatenada!$D:$D, MATCH(1, (AsistenciaJetAdminConcatenada!$A:$A=HA$2)*(AsistenciaJetAdminConcatenada!$B:$B=HA$1), 0)), 1))),  0.5, 0))</f>
        <v>0</v>
      </c>
      <c r="HB101" s="47">
        <f t="array" ref="HB101">IF(AND(ISNUMBER(MATCH(HB$2, AsistenciaJetAdminConcatenada!$A:$A, 0)), ISNUMBER(MATCH(HB$1, AsistenciaJetAdminConcatenada!$B:$B, 0)), ISNUMBER(SEARCH($A101, INDEX(AsistenciaJetAdminConcatenada!$C:$C, MATCH(1, (AsistenciaJetAdminConcatenada!$A:$A=HB$2)*(AsistenciaJetAdminConcatenada!$B:$B=HB$1), 0)), 1))), 1, IF(AND(ISNUMBER(MATCH(HB$2, AsistenciaJetAdminConcatenada!$A:$A, 0)), ISNUMBER(MATCH(HB$1, AsistenciaJetAdminConcatenada!$B:$B, 0)), ISNUMBER(SEARCH($A101, INDEX(AsistenciaJetAdminConcatenada!$D:$D, MATCH(1, (AsistenciaJetAdminConcatenada!$A:$A=HB$2)*(AsistenciaJetAdminConcatenada!$B:$B=HB$1), 0)), 1))),  0.5, 0))</f>
        <v>0</v>
      </c>
      <c r="HC101" s="47">
        <f t="array" ref="HC101">IF(AND(ISNUMBER(MATCH(HC$2, AsistenciaJetAdminConcatenada!$A:$A, 0)), ISNUMBER(MATCH(HC$1, AsistenciaJetAdminConcatenada!$B:$B, 0)), ISNUMBER(SEARCH($A101, INDEX(AsistenciaJetAdminConcatenada!$C:$C, MATCH(1, (AsistenciaJetAdminConcatenada!$A:$A=HC$2)*(AsistenciaJetAdminConcatenada!$B:$B=HC$1), 0)), 1))), 1, IF(AND(ISNUMBER(MATCH(HC$2, AsistenciaJetAdminConcatenada!$A:$A, 0)), ISNUMBER(MATCH(HC$1, AsistenciaJetAdminConcatenada!$B:$B, 0)), ISNUMBER(SEARCH($A101, INDEX(AsistenciaJetAdminConcatenada!$D:$D, MATCH(1, (AsistenciaJetAdminConcatenada!$A:$A=HC$2)*(AsistenciaJetAdminConcatenada!$B:$B=HC$1), 0)), 1))),  0.5, 0))</f>
        <v>0</v>
      </c>
    </row>
    <row r="102" ht="28.5" customHeight="1">
      <c r="A102" s="48" t="s">
        <v>809</v>
      </c>
      <c r="B102" s="49"/>
      <c r="C102" s="50"/>
      <c r="D102" s="47">
        <f t="shared" ref="D102:HC102" si="1">SUMIF(D3:D101,1)+SUMIF(D3:D101,0.5)*2</f>
        <v>93</v>
      </c>
      <c r="E102" s="47">
        <f t="shared" si="1"/>
        <v>95</v>
      </c>
      <c r="F102" s="47">
        <f t="shared" si="1"/>
        <v>87</v>
      </c>
      <c r="G102" s="47">
        <f t="shared" si="1"/>
        <v>94</v>
      </c>
      <c r="H102" s="47">
        <f t="shared" si="1"/>
        <v>81</v>
      </c>
      <c r="I102" s="47">
        <f t="shared" si="1"/>
        <v>95</v>
      </c>
      <c r="J102" s="47">
        <f t="shared" si="1"/>
        <v>70</v>
      </c>
      <c r="K102" s="47">
        <f t="shared" si="1"/>
        <v>90</v>
      </c>
      <c r="L102" s="47">
        <f t="shared" si="1"/>
        <v>82</v>
      </c>
      <c r="M102" s="47">
        <f t="shared" si="1"/>
        <v>79</v>
      </c>
      <c r="N102" s="47">
        <f t="shared" si="1"/>
        <v>38</v>
      </c>
      <c r="O102" s="47">
        <f t="shared" si="1"/>
        <v>67</v>
      </c>
      <c r="P102" s="47">
        <f t="shared" si="1"/>
        <v>69</v>
      </c>
      <c r="Q102" s="47">
        <f t="shared" si="1"/>
        <v>78</v>
      </c>
      <c r="R102" s="47">
        <f t="shared" si="1"/>
        <v>89</v>
      </c>
      <c r="S102" s="47">
        <f t="shared" si="1"/>
        <v>89</v>
      </c>
      <c r="T102" s="47">
        <f t="shared" si="1"/>
        <v>59</v>
      </c>
      <c r="U102" s="47">
        <f t="shared" si="1"/>
        <v>75</v>
      </c>
      <c r="V102" s="47">
        <f t="shared" si="1"/>
        <v>76</v>
      </c>
      <c r="W102" s="47">
        <f t="shared" si="1"/>
        <v>87</v>
      </c>
      <c r="X102" s="47">
        <f t="shared" si="1"/>
        <v>79</v>
      </c>
      <c r="Y102" s="47">
        <f t="shared" si="1"/>
        <v>83</v>
      </c>
      <c r="Z102" s="47">
        <f t="shared" si="1"/>
        <v>74</v>
      </c>
      <c r="AA102" s="47">
        <f t="shared" si="1"/>
        <v>57</v>
      </c>
      <c r="AB102" s="47">
        <f t="shared" si="1"/>
        <v>67</v>
      </c>
      <c r="AC102" s="47">
        <f t="shared" si="1"/>
        <v>87</v>
      </c>
      <c r="AD102" s="47">
        <f t="shared" si="1"/>
        <v>89</v>
      </c>
      <c r="AE102" s="47">
        <f t="shared" si="1"/>
        <v>40</v>
      </c>
      <c r="AF102" s="47">
        <f t="shared" si="1"/>
        <v>53</v>
      </c>
      <c r="AG102" s="47">
        <f t="shared" si="1"/>
        <v>44</v>
      </c>
      <c r="AH102" s="47">
        <f t="shared" si="1"/>
        <v>0</v>
      </c>
      <c r="AI102" s="47">
        <f t="shared" si="1"/>
        <v>64</v>
      </c>
      <c r="AJ102" s="47">
        <f t="shared" si="1"/>
        <v>68</v>
      </c>
      <c r="AK102" s="47">
        <f t="shared" si="1"/>
        <v>64</v>
      </c>
      <c r="AL102" s="47">
        <f t="shared" si="1"/>
        <v>54</v>
      </c>
      <c r="AM102" s="47">
        <f t="shared" si="1"/>
        <v>43</v>
      </c>
      <c r="AN102" s="47">
        <f t="shared" si="1"/>
        <v>47</v>
      </c>
      <c r="AO102" s="47">
        <f t="shared" si="1"/>
        <v>73</v>
      </c>
      <c r="AP102" s="47">
        <f t="shared" si="1"/>
        <v>69</v>
      </c>
      <c r="AQ102" s="47">
        <f t="shared" si="1"/>
        <v>0</v>
      </c>
      <c r="AR102" s="47">
        <f t="shared" si="1"/>
        <v>77</v>
      </c>
      <c r="AS102" s="47">
        <f t="shared" si="1"/>
        <v>76</v>
      </c>
      <c r="AT102" s="47">
        <f t="shared" si="1"/>
        <v>18</v>
      </c>
      <c r="AU102" s="47">
        <f t="shared" si="1"/>
        <v>81</v>
      </c>
      <c r="AV102" s="47">
        <f t="shared" si="1"/>
        <v>87</v>
      </c>
      <c r="AW102" s="47">
        <f t="shared" si="1"/>
        <v>37</v>
      </c>
      <c r="AX102" s="47">
        <f t="shared" si="1"/>
        <v>44</v>
      </c>
      <c r="AY102" s="47">
        <f t="shared" si="1"/>
        <v>86</v>
      </c>
      <c r="AZ102" s="47">
        <f t="shared" si="1"/>
        <v>60</v>
      </c>
      <c r="BA102" s="47">
        <f t="shared" si="1"/>
        <v>57</v>
      </c>
      <c r="BB102" s="47">
        <f t="shared" si="1"/>
        <v>80</v>
      </c>
      <c r="BC102" s="47">
        <f t="shared" si="1"/>
        <v>84</v>
      </c>
      <c r="BD102" s="47">
        <f t="shared" si="1"/>
        <v>48</v>
      </c>
      <c r="BE102" s="47">
        <f t="shared" si="1"/>
        <v>82</v>
      </c>
      <c r="BF102" s="47">
        <f t="shared" si="1"/>
        <v>72</v>
      </c>
      <c r="BG102" s="47">
        <f t="shared" si="1"/>
        <v>74</v>
      </c>
      <c r="BH102" s="47">
        <f t="shared" si="1"/>
        <v>78</v>
      </c>
      <c r="BI102" s="47">
        <f t="shared" si="1"/>
        <v>73</v>
      </c>
      <c r="BJ102" s="47">
        <f t="shared" si="1"/>
        <v>58</v>
      </c>
      <c r="BK102" s="47">
        <f t="shared" si="1"/>
        <v>85</v>
      </c>
      <c r="BL102" s="47">
        <f t="shared" si="1"/>
        <v>83</v>
      </c>
      <c r="BM102" s="47">
        <f t="shared" si="1"/>
        <v>68</v>
      </c>
      <c r="BN102" s="47">
        <f t="shared" si="1"/>
        <v>55</v>
      </c>
      <c r="BO102" s="47">
        <f t="shared" si="1"/>
        <v>71</v>
      </c>
      <c r="BP102" s="47">
        <f t="shared" si="1"/>
        <v>44</v>
      </c>
      <c r="BQ102" s="47">
        <f t="shared" si="1"/>
        <v>60</v>
      </c>
      <c r="BR102" s="47">
        <f t="shared" si="1"/>
        <v>63</v>
      </c>
      <c r="BS102" s="47">
        <f t="shared" si="1"/>
        <v>68</v>
      </c>
      <c r="BT102" s="47">
        <f t="shared" si="1"/>
        <v>78</v>
      </c>
      <c r="BU102" s="47">
        <f t="shared" si="1"/>
        <v>82</v>
      </c>
      <c r="BV102" s="47">
        <f t="shared" si="1"/>
        <v>32</v>
      </c>
      <c r="BW102" s="47">
        <f t="shared" si="1"/>
        <v>74</v>
      </c>
      <c r="BX102" s="47">
        <f t="shared" si="1"/>
        <v>62</v>
      </c>
      <c r="BY102" s="47">
        <f t="shared" si="1"/>
        <v>47</v>
      </c>
      <c r="BZ102" s="47">
        <f t="shared" si="1"/>
        <v>59</v>
      </c>
      <c r="CA102" s="47">
        <f t="shared" si="1"/>
        <v>85</v>
      </c>
      <c r="CB102" s="47">
        <f t="shared" si="1"/>
        <v>43</v>
      </c>
      <c r="CC102" s="47">
        <f t="shared" si="1"/>
        <v>55</v>
      </c>
      <c r="CD102" s="47">
        <f t="shared" si="1"/>
        <v>63</v>
      </c>
      <c r="CE102" s="47">
        <f t="shared" si="1"/>
        <v>58</v>
      </c>
      <c r="CF102" s="47">
        <f t="shared" si="1"/>
        <v>62</v>
      </c>
      <c r="CG102" s="47">
        <f t="shared" si="1"/>
        <v>42</v>
      </c>
      <c r="CH102" s="47">
        <f t="shared" si="1"/>
        <v>44</v>
      </c>
      <c r="CI102" s="47">
        <f t="shared" si="1"/>
        <v>67</v>
      </c>
      <c r="CJ102" s="47">
        <f t="shared" si="1"/>
        <v>83</v>
      </c>
      <c r="CK102" s="47">
        <f t="shared" si="1"/>
        <v>47</v>
      </c>
      <c r="CL102" s="47">
        <f t="shared" si="1"/>
        <v>89</v>
      </c>
      <c r="CM102" s="47">
        <f t="shared" si="1"/>
        <v>87</v>
      </c>
      <c r="CN102" s="47">
        <f t="shared" si="1"/>
        <v>52</v>
      </c>
      <c r="CO102" s="47">
        <f t="shared" si="1"/>
        <v>85</v>
      </c>
      <c r="CP102" s="47">
        <f t="shared" si="1"/>
        <v>74</v>
      </c>
      <c r="CQ102" s="47">
        <f t="shared" si="1"/>
        <v>70</v>
      </c>
      <c r="CR102" s="47">
        <f t="shared" si="1"/>
        <v>82</v>
      </c>
      <c r="CS102" s="47">
        <f t="shared" si="1"/>
        <v>0</v>
      </c>
      <c r="CT102" s="47">
        <f t="shared" si="1"/>
        <v>0</v>
      </c>
      <c r="CU102" s="47">
        <f t="shared" si="1"/>
        <v>0</v>
      </c>
      <c r="CV102" s="47">
        <f t="shared" si="1"/>
        <v>0</v>
      </c>
      <c r="CW102" s="47">
        <f t="shared" si="1"/>
        <v>0</v>
      </c>
      <c r="CX102" s="47">
        <f t="shared" si="1"/>
        <v>0</v>
      </c>
      <c r="CY102" s="47">
        <f t="shared" si="1"/>
        <v>0</v>
      </c>
      <c r="CZ102" s="47">
        <f t="shared" si="1"/>
        <v>0</v>
      </c>
      <c r="DA102" s="47">
        <f t="shared" si="1"/>
        <v>0</v>
      </c>
      <c r="DB102" s="47">
        <f t="shared" si="1"/>
        <v>0</v>
      </c>
      <c r="DC102" s="47">
        <f t="shared" si="1"/>
        <v>0</v>
      </c>
      <c r="DD102" s="47">
        <f t="shared" si="1"/>
        <v>0</v>
      </c>
      <c r="DE102" s="47">
        <f t="shared" si="1"/>
        <v>0</v>
      </c>
      <c r="DF102" s="47">
        <f t="shared" si="1"/>
        <v>0</v>
      </c>
      <c r="DG102" s="47">
        <f t="shared" si="1"/>
        <v>0</v>
      </c>
      <c r="DH102" s="47">
        <f t="shared" si="1"/>
        <v>0</v>
      </c>
      <c r="DI102" s="47">
        <f t="shared" si="1"/>
        <v>0</v>
      </c>
      <c r="DJ102" s="47">
        <f t="shared" si="1"/>
        <v>0</v>
      </c>
      <c r="DK102" s="47">
        <f t="shared" si="1"/>
        <v>0</v>
      </c>
      <c r="DL102" s="47">
        <f t="shared" si="1"/>
        <v>0</v>
      </c>
      <c r="DM102" s="47">
        <f t="shared" si="1"/>
        <v>0</v>
      </c>
      <c r="DN102" s="47">
        <f t="shared" si="1"/>
        <v>0</v>
      </c>
      <c r="DO102" s="47">
        <f t="shared" si="1"/>
        <v>0</v>
      </c>
      <c r="DP102" s="47">
        <f t="shared" si="1"/>
        <v>0</v>
      </c>
      <c r="DQ102" s="47">
        <f t="shared" si="1"/>
        <v>0</v>
      </c>
      <c r="DR102" s="47">
        <f t="shared" si="1"/>
        <v>0</v>
      </c>
      <c r="DS102" s="47">
        <f t="shared" si="1"/>
        <v>0</v>
      </c>
      <c r="DT102" s="47">
        <f t="shared" si="1"/>
        <v>0</v>
      </c>
      <c r="DU102" s="47">
        <f t="shared" si="1"/>
        <v>0</v>
      </c>
      <c r="DV102" s="47">
        <f t="shared" si="1"/>
        <v>0</v>
      </c>
      <c r="DW102" s="47">
        <f t="shared" si="1"/>
        <v>0</v>
      </c>
      <c r="DX102" s="47">
        <f t="shared" si="1"/>
        <v>0</v>
      </c>
      <c r="DY102" s="47">
        <f t="shared" si="1"/>
        <v>0</v>
      </c>
      <c r="DZ102" s="47">
        <f t="shared" si="1"/>
        <v>0</v>
      </c>
      <c r="EA102" s="47">
        <f t="shared" si="1"/>
        <v>0</v>
      </c>
      <c r="EB102" s="47">
        <f t="shared" si="1"/>
        <v>0</v>
      </c>
      <c r="EC102" s="47">
        <f t="shared" si="1"/>
        <v>0</v>
      </c>
      <c r="ED102" s="47">
        <f t="shared" si="1"/>
        <v>0</v>
      </c>
      <c r="EE102" s="47">
        <f t="shared" si="1"/>
        <v>0</v>
      </c>
      <c r="EF102" s="47">
        <f t="shared" si="1"/>
        <v>0</v>
      </c>
      <c r="EG102" s="47">
        <f t="shared" si="1"/>
        <v>0</v>
      </c>
      <c r="EH102" s="47">
        <f t="shared" si="1"/>
        <v>0</v>
      </c>
      <c r="EI102" s="47">
        <f t="shared" si="1"/>
        <v>0</v>
      </c>
      <c r="EJ102" s="47">
        <f t="shared" si="1"/>
        <v>0</v>
      </c>
      <c r="EK102" s="47">
        <f t="shared" si="1"/>
        <v>0</v>
      </c>
      <c r="EL102" s="47">
        <f t="shared" si="1"/>
        <v>0</v>
      </c>
      <c r="EM102" s="47">
        <f t="shared" si="1"/>
        <v>0</v>
      </c>
      <c r="EN102" s="47">
        <f t="shared" si="1"/>
        <v>0</v>
      </c>
      <c r="EO102" s="47">
        <f t="shared" si="1"/>
        <v>0</v>
      </c>
      <c r="EP102" s="47">
        <f t="shared" si="1"/>
        <v>0</v>
      </c>
      <c r="EQ102" s="47">
        <f t="shared" si="1"/>
        <v>0</v>
      </c>
      <c r="ER102" s="47">
        <f t="shared" si="1"/>
        <v>0</v>
      </c>
      <c r="ES102" s="47">
        <f t="shared" si="1"/>
        <v>0</v>
      </c>
      <c r="ET102" s="47">
        <f t="shared" si="1"/>
        <v>0</v>
      </c>
      <c r="EU102" s="47">
        <f t="shared" si="1"/>
        <v>0</v>
      </c>
      <c r="EV102" s="47">
        <f t="shared" si="1"/>
        <v>0</v>
      </c>
      <c r="EW102" s="47">
        <f t="shared" si="1"/>
        <v>0</v>
      </c>
      <c r="EX102" s="47">
        <f t="shared" si="1"/>
        <v>0</v>
      </c>
      <c r="EY102" s="47">
        <f t="shared" si="1"/>
        <v>0</v>
      </c>
      <c r="EZ102" s="47">
        <f t="shared" si="1"/>
        <v>0</v>
      </c>
      <c r="FA102" s="47">
        <f t="shared" si="1"/>
        <v>0</v>
      </c>
      <c r="FB102" s="47">
        <f t="shared" si="1"/>
        <v>0</v>
      </c>
      <c r="FC102" s="47">
        <f t="shared" si="1"/>
        <v>0</v>
      </c>
      <c r="FD102" s="47">
        <f t="shared" si="1"/>
        <v>0</v>
      </c>
      <c r="FE102" s="47">
        <f t="shared" si="1"/>
        <v>0</v>
      </c>
      <c r="FF102" s="47">
        <f t="shared" si="1"/>
        <v>0</v>
      </c>
      <c r="FG102" s="47">
        <f t="shared" si="1"/>
        <v>0</v>
      </c>
      <c r="FH102" s="47">
        <f t="shared" si="1"/>
        <v>0</v>
      </c>
      <c r="FI102" s="47">
        <f t="shared" si="1"/>
        <v>0</v>
      </c>
      <c r="FJ102" s="47">
        <f t="shared" si="1"/>
        <v>0</v>
      </c>
      <c r="FK102" s="47">
        <f t="shared" si="1"/>
        <v>0</v>
      </c>
      <c r="FL102" s="47">
        <f t="shared" si="1"/>
        <v>0</v>
      </c>
      <c r="FM102" s="47">
        <f t="shared" si="1"/>
        <v>0</v>
      </c>
      <c r="FN102" s="47">
        <f t="shared" si="1"/>
        <v>0</v>
      </c>
      <c r="FO102" s="47">
        <f t="shared" si="1"/>
        <v>0</v>
      </c>
      <c r="FP102" s="47">
        <f t="shared" si="1"/>
        <v>0</v>
      </c>
      <c r="FQ102" s="47">
        <f t="shared" si="1"/>
        <v>0</v>
      </c>
      <c r="FR102" s="47">
        <f t="shared" si="1"/>
        <v>0</v>
      </c>
      <c r="FS102" s="47">
        <f t="shared" si="1"/>
        <v>0</v>
      </c>
      <c r="FT102" s="47">
        <f t="shared" si="1"/>
        <v>0</v>
      </c>
      <c r="FU102" s="47">
        <f t="shared" si="1"/>
        <v>0</v>
      </c>
      <c r="FV102" s="47">
        <f t="shared" si="1"/>
        <v>0</v>
      </c>
      <c r="FW102" s="47">
        <f t="shared" si="1"/>
        <v>0</v>
      </c>
      <c r="FX102" s="47">
        <f t="shared" si="1"/>
        <v>0</v>
      </c>
      <c r="FY102" s="47">
        <f t="shared" si="1"/>
        <v>0</v>
      </c>
      <c r="FZ102" s="47">
        <f t="shared" si="1"/>
        <v>0</v>
      </c>
      <c r="GA102" s="47">
        <f t="shared" si="1"/>
        <v>0</v>
      </c>
      <c r="GB102" s="47">
        <f t="shared" si="1"/>
        <v>0</v>
      </c>
      <c r="GC102" s="47">
        <f t="shared" si="1"/>
        <v>0</v>
      </c>
      <c r="GD102" s="47">
        <f t="shared" si="1"/>
        <v>0</v>
      </c>
      <c r="GE102" s="47">
        <f t="shared" si="1"/>
        <v>0</v>
      </c>
      <c r="GF102" s="47">
        <f t="shared" si="1"/>
        <v>0</v>
      </c>
      <c r="GG102" s="47">
        <f t="shared" si="1"/>
        <v>0</v>
      </c>
      <c r="GH102" s="47">
        <f t="shared" si="1"/>
        <v>0</v>
      </c>
      <c r="GI102" s="47">
        <f t="shared" si="1"/>
        <v>0</v>
      </c>
      <c r="GJ102" s="47">
        <f t="shared" si="1"/>
        <v>0</v>
      </c>
      <c r="GK102" s="47">
        <f t="shared" si="1"/>
        <v>0</v>
      </c>
      <c r="GL102" s="47">
        <f t="shared" si="1"/>
        <v>0</v>
      </c>
      <c r="GM102" s="47">
        <f t="shared" si="1"/>
        <v>0</v>
      </c>
      <c r="GN102" s="47">
        <f t="shared" si="1"/>
        <v>0</v>
      </c>
      <c r="GO102" s="47">
        <f t="shared" si="1"/>
        <v>0</v>
      </c>
      <c r="GP102" s="47">
        <f t="shared" si="1"/>
        <v>0</v>
      </c>
      <c r="GQ102" s="47">
        <f t="shared" si="1"/>
        <v>0</v>
      </c>
      <c r="GR102" s="47">
        <f t="shared" si="1"/>
        <v>0</v>
      </c>
      <c r="GS102" s="47">
        <f t="shared" si="1"/>
        <v>0</v>
      </c>
      <c r="GT102" s="47">
        <f t="shared" si="1"/>
        <v>0</v>
      </c>
      <c r="GU102" s="47">
        <f t="shared" si="1"/>
        <v>0</v>
      </c>
      <c r="GV102" s="47">
        <f t="shared" si="1"/>
        <v>0</v>
      </c>
      <c r="GW102" s="47">
        <f t="shared" si="1"/>
        <v>0</v>
      </c>
      <c r="GX102" s="47">
        <f t="shared" si="1"/>
        <v>0</v>
      </c>
      <c r="GY102" s="47">
        <f t="shared" si="1"/>
        <v>0</v>
      </c>
      <c r="GZ102" s="47">
        <f t="shared" si="1"/>
        <v>0</v>
      </c>
      <c r="HA102" s="47">
        <f t="shared" si="1"/>
        <v>0</v>
      </c>
      <c r="HB102" s="47">
        <f t="shared" si="1"/>
        <v>0</v>
      </c>
      <c r="HC102" s="47">
        <f t="shared" si="1"/>
        <v>0</v>
      </c>
    </row>
    <row r="103" ht="28.5" customHeight="1">
      <c r="A103" s="51" t="s">
        <v>814</v>
      </c>
      <c r="B103" s="49"/>
      <c r="C103" s="50"/>
      <c r="D103" s="52">
        <f>D102/COUNT(A3:A101)</f>
        <v>0.9393939394</v>
      </c>
      <c r="E103" s="52">
        <f>E102/COUNT(A3:A101)</f>
        <v>0.9595959596</v>
      </c>
      <c r="F103" s="52">
        <f t="shared" ref="F103:G103" si="2">F102/COUNT(C3:C101)</f>
        <v>0.8787878788</v>
      </c>
      <c r="G103" s="52">
        <f t="shared" si="2"/>
        <v>0.9494949495</v>
      </c>
      <c r="H103" s="52">
        <f>H102/COUNT(D3:D101)</f>
        <v>0.8181818182</v>
      </c>
      <c r="I103" s="52">
        <f>I102/COUNT(G3:G101)</f>
        <v>0.9595959596</v>
      </c>
      <c r="J103" s="52">
        <f>J102/COUNT(G3:G101)</f>
        <v>0.7070707071</v>
      </c>
      <c r="K103" s="52">
        <f t="shared" ref="K103:HC103" si="3">K102/COUNT(K3:K101)</f>
        <v>0.9090909091</v>
      </c>
      <c r="L103" s="52">
        <f t="shared" si="3"/>
        <v>0.8282828283</v>
      </c>
      <c r="M103" s="52">
        <f t="shared" si="3"/>
        <v>0.797979798</v>
      </c>
      <c r="N103" s="52">
        <f t="shared" si="3"/>
        <v>0.3838383838</v>
      </c>
      <c r="O103" s="52">
        <f t="shared" si="3"/>
        <v>0.6767676768</v>
      </c>
      <c r="P103" s="52">
        <f t="shared" si="3"/>
        <v>0.696969697</v>
      </c>
      <c r="Q103" s="52">
        <f t="shared" si="3"/>
        <v>0.7878787879</v>
      </c>
      <c r="R103" s="52">
        <f t="shared" si="3"/>
        <v>0.898989899</v>
      </c>
      <c r="S103" s="52">
        <f t="shared" si="3"/>
        <v>0.898989899</v>
      </c>
      <c r="T103" s="52">
        <f t="shared" si="3"/>
        <v>0.595959596</v>
      </c>
      <c r="U103" s="52">
        <f t="shared" si="3"/>
        <v>0.7575757576</v>
      </c>
      <c r="V103" s="52">
        <f t="shared" si="3"/>
        <v>0.7676767677</v>
      </c>
      <c r="W103" s="52">
        <f t="shared" si="3"/>
        <v>0.8787878788</v>
      </c>
      <c r="X103" s="52">
        <f t="shared" si="3"/>
        <v>0.797979798</v>
      </c>
      <c r="Y103" s="52">
        <f t="shared" si="3"/>
        <v>0.8383838384</v>
      </c>
      <c r="Z103" s="52">
        <f t="shared" si="3"/>
        <v>0.7474747475</v>
      </c>
      <c r="AA103" s="52">
        <f t="shared" si="3"/>
        <v>0.5757575758</v>
      </c>
      <c r="AB103" s="52">
        <f t="shared" si="3"/>
        <v>0.6767676768</v>
      </c>
      <c r="AC103" s="52">
        <f t="shared" si="3"/>
        <v>0.8787878788</v>
      </c>
      <c r="AD103" s="52">
        <f t="shared" si="3"/>
        <v>0.898989899</v>
      </c>
      <c r="AE103" s="52">
        <f t="shared" si="3"/>
        <v>0.404040404</v>
      </c>
      <c r="AF103" s="52">
        <f t="shared" si="3"/>
        <v>0.5353535354</v>
      </c>
      <c r="AG103" s="52">
        <f t="shared" si="3"/>
        <v>0.4444444444</v>
      </c>
      <c r="AH103" s="52">
        <f t="shared" si="3"/>
        <v>0</v>
      </c>
      <c r="AI103" s="52">
        <f t="shared" si="3"/>
        <v>0.6464646465</v>
      </c>
      <c r="AJ103" s="52">
        <f t="shared" si="3"/>
        <v>0.6868686869</v>
      </c>
      <c r="AK103" s="52">
        <f t="shared" si="3"/>
        <v>0.6464646465</v>
      </c>
      <c r="AL103" s="52">
        <f t="shared" si="3"/>
        <v>0.5454545455</v>
      </c>
      <c r="AM103" s="52">
        <f t="shared" si="3"/>
        <v>0.4343434343</v>
      </c>
      <c r="AN103" s="52">
        <f t="shared" si="3"/>
        <v>0.4747474747</v>
      </c>
      <c r="AO103" s="52">
        <f t="shared" si="3"/>
        <v>0.7373737374</v>
      </c>
      <c r="AP103" s="52">
        <f t="shared" si="3"/>
        <v>0.696969697</v>
      </c>
      <c r="AQ103" s="52">
        <f t="shared" si="3"/>
        <v>0</v>
      </c>
      <c r="AR103" s="52">
        <f t="shared" si="3"/>
        <v>0.7777777778</v>
      </c>
      <c r="AS103" s="52">
        <f t="shared" si="3"/>
        <v>0.7676767677</v>
      </c>
      <c r="AT103" s="52">
        <f t="shared" si="3"/>
        <v>0.1818181818</v>
      </c>
      <c r="AU103" s="52">
        <f t="shared" si="3"/>
        <v>0.8181818182</v>
      </c>
      <c r="AV103" s="52">
        <f t="shared" si="3"/>
        <v>0.8787878788</v>
      </c>
      <c r="AW103" s="52">
        <f t="shared" si="3"/>
        <v>0.3737373737</v>
      </c>
      <c r="AX103" s="52">
        <f t="shared" si="3"/>
        <v>0.4444444444</v>
      </c>
      <c r="AY103" s="52">
        <f t="shared" si="3"/>
        <v>0.8686868687</v>
      </c>
      <c r="AZ103" s="52">
        <f t="shared" si="3"/>
        <v>0.6060606061</v>
      </c>
      <c r="BA103" s="52">
        <f t="shared" si="3"/>
        <v>0.5757575758</v>
      </c>
      <c r="BB103" s="52">
        <f t="shared" si="3"/>
        <v>0.8080808081</v>
      </c>
      <c r="BC103" s="52">
        <f t="shared" si="3"/>
        <v>0.8484848485</v>
      </c>
      <c r="BD103" s="52">
        <f t="shared" si="3"/>
        <v>0.4848484848</v>
      </c>
      <c r="BE103" s="52">
        <f t="shared" si="3"/>
        <v>0.8282828283</v>
      </c>
      <c r="BF103" s="52">
        <f t="shared" si="3"/>
        <v>0.7272727273</v>
      </c>
      <c r="BG103" s="52">
        <f t="shared" si="3"/>
        <v>0.7474747475</v>
      </c>
      <c r="BH103" s="52">
        <f t="shared" si="3"/>
        <v>0.7878787879</v>
      </c>
      <c r="BI103" s="52">
        <f t="shared" si="3"/>
        <v>0.7373737374</v>
      </c>
      <c r="BJ103" s="52">
        <f t="shared" si="3"/>
        <v>0.5858585859</v>
      </c>
      <c r="BK103" s="52">
        <f t="shared" si="3"/>
        <v>0.8585858586</v>
      </c>
      <c r="BL103" s="52">
        <f t="shared" si="3"/>
        <v>0.8383838384</v>
      </c>
      <c r="BM103" s="52">
        <f t="shared" si="3"/>
        <v>0.6868686869</v>
      </c>
      <c r="BN103" s="52">
        <f t="shared" si="3"/>
        <v>0.5555555556</v>
      </c>
      <c r="BO103" s="52">
        <f t="shared" si="3"/>
        <v>0.7171717172</v>
      </c>
      <c r="BP103" s="52">
        <f t="shared" si="3"/>
        <v>0.4444444444</v>
      </c>
      <c r="BQ103" s="52">
        <f t="shared" si="3"/>
        <v>0.6060606061</v>
      </c>
      <c r="BR103" s="52">
        <f t="shared" si="3"/>
        <v>0.6363636364</v>
      </c>
      <c r="BS103" s="52">
        <f t="shared" si="3"/>
        <v>0.6868686869</v>
      </c>
      <c r="BT103" s="52">
        <f t="shared" si="3"/>
        <v>0.7878787879</v>
      </c>
      <c r="BU103" s="52">
        <f t="shared" si="3"/>
        <v>0.8282828283</v>
      </c>
      <c r="BV103" s="52">
        <f t="shared" si="3"/>
        <v>0.3232323232</v>
      </c>
      <c r="BW103" s="52">
        <f t="shared" si="3"/>
        <v>0.7474747475</v>
      </c>
      <c r="BX103" s="52">
        <f t="shared" si="3"/>
        <v>0.6262626263</v>
      </c>
      <c r="BY103" s="52">
        <f t="shared" si="3"/>
        <v>0.4747474747</v>
      </c>
      <c r="BZ103" s="52">
        <f t="shared" si="3"/>
        <v>0.595959596</v>
      </c>
      <c r="CA103" s="52">
        <f t="shared" si="3"/>
        <v>0.8585858586</v>
      </c>
      <c r="CB103" s="52">
        <f t="shared" si="3"/>
        <v>0.4343434343</v>
      </c>
      <c r="CC103" s="52">
        <f t="shared" si="3"/>
        <v>0.5555555556</v>
      </c>
      <c r="CD103" s="52">
        <f t="shared" si="3"/>
        <v>0.6363636364</v>
      </c>
      <c r="CE103" s="52">
        <f t="shared" si="3"/>
        <v>0.5858585859</v>
      </c>
      <c r="CF103" s="52">
        <f t="shared" si="3"/>
        <v>0.6262626263</v>
      </c>
      <c r="CG103" s="52">
        <f t="shared" si="3"/>
        <v>0.4242424242</v>
      </c>
      <c r="CH103" s="52">
        <f t="shared" si="3"/>
        <v>0.4444444444</v>
      </c>
      <c r="CI103" s="52">
        <f t="shared" si="3"/>
        <v>0.6767676768</v>
      </c>
      <c r="CJ103" s="52">
        <f t="shared" si="3"/>
        <v>0.8383838384</v>
      </c>
      <c r="CK103" s="52">
        <f t="shared" si="3"/>
        <v>0.4747474747</v>
      </c>
      <c r="CL103" s="52">
        <f t="shared" si="3"/>
        <v>0.898989899</v>
      </c>
      <c r="CM103" s="52">
        <f t="shared" si="3"/>
        <v>0.8787878788</v>
      </c>
      <c r="CN103" s="52">
        <f t="shared" si="3"/>
        <v>0.5252525253</v>
      </c>
      <c r="CO103" s="52">
        <f t="shared" si="3"/>
        <v>0.8585858586</v>
      </c>
      <c r="CP103" s="52">
        <f t="shared" si="3"/>
        <v>0.7474747475</v>
      </c>
      <c r="CQ103" s="52">
        <f t="shared" si="3"/>
        <v>0.7070707071</v>
      </c>
      <c r="CR103" s="52">
        <f t="shared" si="3"/>
        <v>0.8282828283</v>
      </c>
      <c r="CS103" s="52">
        <f t="shared" si="3"/>
        <v>0</v>
      </c>
      <c r="CT103" s="52">
        <f t="shared" si="3"/>
        <v>0</v>
      </c>
      <c r="CU103" s="52">
        <f t="shared" si="3"/>
        <v>0</v>
      </c>
      <c r="CV103" s="52">
        <f t="shared" si="3"/>
        <v>0</v>
      </c>
      <c r="CW103" s="52">
        <f t="shared" si="3"/>
        <v>0</v>
      </c>
      <c r="CX103" s="52">
        <f t="shared" si="3"/>
        <v>0</v>
      </c>
      <c r="CY103" s="52">
        <f t="shared" si="3"/>
        <v>0</v>
      </c>
      <c r="CZ103" s="52">
        <f t="shared" si="3"/>
        <v>0</v>
      </c>
      <c r="DA103" s="52">
        <f t="shared" si="3"/>
        <v>0</v>
      </c>
      <c r="DB103" s="52">
        <f t="shared" si="3"/>
        <v>0</v>
      </c>
      <c r="DC103" s="52">
        <f t="shared" si="3"/>
        <v>0</v>
      </c>
      <c r="DD103" s="52">
        <f t="shared" si="3"/>
        <v>0</v>
      </c>
      <c r="DE103" s="52">
        <f t="shared" si="3"/>
        <v>0</v>
      </c>
      <c r="DF103" s="52">
        <f t="shared" si="3"/>
        <v>0</v>
      </c>
      <c r="DG103" s="52">
        <f t="shared" si="3"/>
        <v>0</v>
      </c>
      <c r="DH103" s="52">
        <f t="shared" si="3"/>
        <v>0</v>
      </c>
      <c r="DI103" s="52">
        <f t="shared" si="3"/>
        <v>0</v>
      </c>
      <c r="DJ103" s="52">
        <f t="shared" si="3"/>
        <v>0</v>
      </c>
      <c r="DK103" s="52">
        <f t="shared" si="3"/>
        <v>0</v>
      </c>
      <c r="DL103" s="52">
        <f t="shared" si="3"/>
        <v>0</v>
      </c>
      <c r="DM103" s="52">
        <f t="shared" si="3"/>
        <v>0</v>
      </c>
      <c r="DN103" s="52">
        <f t="shared" si="3"/>
        <v>0</v>
      </c>
      <c r="DO103" s="52">
        <f t="shared" si="3"/>
        <v>0</v>
      </c>
      <c r="DP103" s="52">
        <f t="shared" si="3"/>
        <v>0</v>
      </c>
      <c r="DQ103" s="52">
        <f t="shared" si="3"/>
        <v>0</v>
      </c>
      <c r="DR103" s="52">
        <f t="shared" si="3"/>
        <v>0</v>
      </c>
      <c r="DS103" s="52">
        <f t="shared" si="3"/>
        <v>0</v>
      </c>
      <c r="DT103" s="52">
        <f t="shared" si="3"/>
        <v>0</v>
      </c>
      <c r="DU103" s="52">
        <f t="shared" si="3"/>
        <v>0</v>
      </c>
      <c r="DV103" s="52">
        <f t="shared" si="3"/>
        <v>0</v>
      </c>
      <c r="DW103" s="52">
        <f t="shared" si="3"/>
        <v>0</v>
      </c>
      <c r="DX103" s="52">
        <f t="shared" si="3"/>
        <v>0</v>
      </c>
      <c r="DY103" s="52">
        <f t="shared" si="3"/>
        <v>0</v>
      </c>
      <c r="DZ103" s="52">
        <f t="shared" si="3"/>
        <v>0</v>
      </c>
      <c r="EA103" s="52">
        <f t="shared" si="3"/>
        <v>0</v>
      </c>
      <c r="EB103" s="52">
        <f t="shared" si="3"/>
        <v>0</v>
      </c>
      <c r="EC103" s="52">
        <f t="shared" si="3"/>
        <v>0</v>
      </c>
      <c r="ED103" s="52">
        <f t="shared" si="3"/>
        <v>0</v>
      </c>
      <c r="EE103" s="52">
        <f t="shared" si="3"/>
        <v>0</v>
      </c>
      <c r="EF103" s="52">
        <f t="shared" si="3"/>
        <v>0</v>
      </c>
      <c r="EG103" s="52">
        <f t="shared" si="3"/>
        <v>0</v>
      </c>
      <c r="EH103" s="52">
        <f t="shared" si="3"/>
        <v>0</v>
      </c>
      <c r="EI103" s="52">
        <f t="shared" si="3"/>
        <v>0</v>
      </c>
      <c r="EJ103" s="52">
        <f t="shared" si="3"/>
        <v>0</v>
      </c>
      <c r="EK103" s="52">
        <f t="shared" si="3"/>
        <v>0</v>
      </c>
      <c r="EL103" s="52">
        <f t="shared" si="3"/>
        <v>0</v>
      </c>
      <c r="EM103" s="52">
        <f t="shared" si="3"/>
        <v>0</v>
      </c>
      <c r="EN103" s="52">
        <f t="shared" si="3"/>
        <v>0</v>
      </c>
      <c r="EO103" s="52">
        <f t="shared" si="3"/>
        <v>0</v>
      </c>
      <c r="EP103" s="52">
        <f t="shared" si="3"/>
        <v>0</v>
      </c>
      <c r="EQ103" s="52">
        <f t="shared" si="3"/>
        <v>0</v>
      </c>
      <c r="ER103" s="52">
        <f t="shared" si="3"/>
        <v>0</v>
      </c>
      <c r="ES103" s="52">
        <f t="shared" si="3"/>
        <v>0</v>
      </c>
      <c r="ET103" s="52">
        <f t="shared" si="3"/>
        <v>0</v>
      </c>
      <c r="EU103" s="52">
        <f t="shared" si="3"/>
        <v>0</v>
      </c>
      <c r="EV103" s="52">
        <f t="shared" si="3"/>
        <v>0</v>
      </c>
      <c r="EW103" s="52">
        <f t="shared" si="3"/>
        <v>0</v>
      </c>
      <c r="EX103" s="52">
        <f t="shared" si="3"/>
        <v>0</v>
      </c>
      <c r="EY103" s="52">
        <f t="shared" si="3"/>
        <v>0</v>
      </c>
      <c r="EZ103" s="52">
        <f t="shared" si="3"/>
        <v>0</v>
      </c>
      <c r="FA103" s="52">
        <f t="shared" si="3"/>
        <v>0</v>
      </c>
      <c r="FB103" s="52">
        <f t="shared" si="3"/>
        <v>0</v>
      </c>
      <c r="FC103" s="52">
        <f t="shared" si="3"/>
        <v>0</v>
      </c>
      <c r="FD103" s="52">
        <f t="shared" si="3"/>
        <v>0</v>
      </c>
      <c r="FE103" s="52">
        <f t="shared" si="3"/>
        <v>0</v>
      </c>
      <c r="FF103" s="52">
        <f t="shared" si="3"/>
        <v>0</v>
      </c>
      <c r="FG103" s="52">
        <f t="shared" si="3"/>
        <v>0</v>
      </c>
      <c r="FH103" s="52">
        <f t="shared" si="3"/>
        <v>0</v>
      </c>
      <c r="FI103" s="52">
        <f t="shared" si="3"/>
        <v>0</v>
      </c>
      <c r="FJ103" s="52">
        <f t="shared" si="3"/>
        <v>0</v>
      </c>
      <c r="FK103" s="52">
        <f t="shared" si="3"/>
        <v>0</v>
      </c>
      <c r="FL103" s="52">
        <f t="shared" si="3"/>
        <v>0</v>
      </c>
      <c r="FM103" s="52">
        <f t="shared" si="3"/>
        <v>0</v>
      </c>
      <c r="FN103" s="52">
        <f t="shared" si="3"/>
        <v>0</v>
      </c>
      <c r="FO103" s="52">
        <f t="shared" si="3"/>
        <v>0</v>
      </c>
      <c r="FP103" s="52">
        <f t="shared" si="3"/>
        <v>0</v>
      </c>
      <c r="FQ103" s="52">
        <f t="shared" si="3"/>
        <v>0</v>
      </c>
      <c r="FR103" s="52">
        <f t="shared" si="3"/>
        <v>0</v>
      </c>
      <c r="FS103" s="52">
        <f t="shared" si="3"/>
        <v>0</v>
      </c>
      <c r="FT103" s="52">
        <f t="shared" si="3"/>
        <v>0</v>
      </c>
      <c r="FU103" s="52">
        <f t="shared" si="3"/>
        <v>0</v>
      </c>
      <c r="FV103" s="52">
        <f t="shared" si="3"/>
        <v>0</v>
      </c>
      <c r="FW103" s="52">
        <f t="shared" si="3"/>
        <v>0</v>
      </c>
      <c r="FX103" s="52">
        <f t="shared" si="3"/>
        <v>0</v>
      </c>
      <c r="FY103" s="52">
        <f t="shared" si="3"/>
        <v>0</v>
      </c>
      <c r="FZ103" s="52">
        <f t="shared" si="3"/>
        <v>0</v>
      </c>
      <c r="GA103" s="52">
        <f t="shared" si="3"/>
        <v>0</v>
      </c>
      <c r="GB103" s="52">
        <f t="shared" si="3"/>
        <v>0</v>
      </c>
      <c r="GC103" s="52">
        <f t="shared" si="3"/>
        <v>0</v>
      </c>
      <c r="GD103" s="52">
        <f t="shared" si="3"/>
        <v>0</v>
      </c>
      <c r="GE103" s="52">
        <f t="shared" si="3"/>
        <v>0</v>
      </c>
      <c r="GF103" s="52">
        <f t="shared" si="3"/>
        <v>0</v>
      </c>
      <c r="GG103" s="52">
        <f t="shared" si="3"/>
        <v>0</v>
      </c>
      <c r="GH103" s="52">
        <f t="shared" si="3"/>
        <v>0</v>
      </c>
      <c r="GI103" s="52">
        <f t="shared" si="3"/>
        <v>0</v>
      </c>
      <c r="GJ103" s="52">
        <f t="shared" si="3"/>
        <v>0</v>
      </c>
      <c r="GK103" s="52">
        <f t="shared" si="3"/>
        <v>0</v>
      </c>
      <c r="GL103" s="52">
        <f t="shared" si="3"/>
        <v>0</v>
      </c>
      <c r="GM103" s="52">
        <f t="shared" si="3"/>
        <v>0</v>
      </c>
      <c r="GN103" s="52">
        <f t="shared" si="3"/>
        <v>0</v>
      </c>
      <c r="GO103" s="52">
        <f t="shared" si="3"/>
        <v>0</v>
      </c>
      <c r="GP103" s="52">
        <f t="shared" si="3"/>
        <v>0</v>
      </c>
      <c r="GQ103" s="52">
        <f t="shared" si="3"/>
        <v>0</v>
      </c>
      <c r="GR103" s="52">
        <f t="shared" si="3"/>
        <v>0</v>
      </c>
      <c r="GS103" s="52">
        <f t="shared" si="3"/>
        <v>0</v>
      </c>
      <c r="GT103" s="52">
        <f t="shared" si="3"/>
        <v>0</v>
      </c>
      <c r="GU103" s="52">
        <f t="shared" si="3"/>
        <v>0</v>
      </c>
      <c r="GV103" s="52">
        <f t="shared" si="3"/>
        <v>0</v>
      </c>
      <c r="GW103" s="52">
        <f t="shared" si="3"/>
        <v>0</v>
      </c>
      <c r="GX103" s="52">
        <f t="shared" si="3"/>
        <v>0</v>
      </c>
      <c r="GY103" s="52">
        <f t="shared" si="3"/>
        <v>0</v>
      </c>
      <c r="GZ103" s="52">
        <f t="shared" si="3"/>
        <v>0</v>
      </c>
      <c r="HA103" s="52">
        <f t="shared" si="3"/>
        <v>0</v>
      </c>
      <c r="HB103" s="52">
        <f t="shared" si="3"/>
        <v>0</v>
      </c>
      <c r="HC103" s="52">
        <f t="shared" si="3"/>
        <v>0</v>
      </c>
    </row>
  </sheetData>
  <mergeCells count="5">
    <mergeCell ref="A1:A2"/>
    <mergeCell ref="B1:B2"/>
    <mergeCell ref="C1:C2"/>
    <mergeCell ref="A102:B102"/>
    <mergeCell ref="A103:B10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1" max="1" width="8.25"/>
    <col customWidth="1" min="2" max="2" width="30.13"/>
  </cols>
  <sheetData>
    <row r="1">
      <c r="A1" s="42" t="s">
        <v>808</v>
      </c>
      <c r="B1" s="42" t="s">
        <v>1</v>
      </c>
      <c r="C1" s="42" t="s">
        <v>809</v>
      </c>
      <c r="D1" s="53" t="s">
        <v>815</v>
      </c>
      <c r="E1" s="49"/>
      <c r="F1" s="53" t="s">
        <v>816</v>
      </c>
      <c r="G1" s="49"/>
      <c r="H1" s="53" t="s">
        <v>817</v>
      </c>
      <c r="I1" s="49"/>
    </row>
    <row r="2">
      <c r="A2" s="37"/>
      <c r="B2" s="37"/>
      <c r="C2" s="37"/>
      <c r="D2" s="44" t="s">
        <v>818</v>
      </c>
      <c r="E2" s="44" t="s">
        <v>819</v>
      </c>
      <c r="F2" s="54">
        <v>45757.0</v>
      </c>
      <c r="G2" s="54">
        <v>45787.0</v>
      </c>
      <c r="H2" s="44" t="s">
        <v>820</v>
      </c>
      <c r="I2" s="44" t="s">
        <v>821</v>
      </c>
    </row>
    <row r="3" ht="29.25" customHeight="1">
      <c r="A3" s="3">
        <v>118.0</v>
      </c>
      <c r="B3" s="4" t="s">
        <v>787</v>
      </c>
      <c r="C3" s="47">
        <f t="shared" ref="C3:C101" si="1">SUM(D3:I3)</f>
        <v>2</v>
      </c>
      <c r="D3" s="55">
        <v>0.0</v>
      </c>
      <c r="E3" s="49"/>
      <c r="F3" s="55">
        <v>1.0</v>
      </c>
      <c r="G3" s="49"/>
      <c r="H3" s="55">
        <v>1.0</v>
      </c>
      <c r="I3" s="49"/>
    </row>
    <row r="4" ht="29.25" customHeight="1">
      <c r="A4" s="3">
        <v>141.0</v>
      </c>
      <c r="B4" s="4" t="s">
        <v>758</v>
      </c>
      <c r="C4" s="47">
        <f t="shared" si="1"/>
        <v>3</v>
      </c>
      <c r="D4" s="55">
        <v>1.0</v>
      </c>
      <c r="E4" s="49"/>
      <c r="F4" s="55">
        <v>1.0</v>
      </c>
      <c r="G4" s="49"/>
      <c r="H4" s="55">
        <v>1.0</v>
      </c>
      <c r="I4" s="49"/>
    </row>
    <row r="5" ht="29.25" customHeight="1">
      <c r="A5" s="3">
        <v>180.0</v>
      </c>
      <c r="B5" s="4" t="s">
        <v>751</v>
      </c>
      <c r="C5" s="47">
        <f t="shared" si="1"/>
        <v>3</v>
      </c>
      <c r="D5" s="55">
        <v>1.0</v>
      </c>
      <c r="E5" s="49"/>
      <c r="F5" s="55">
        <v>1.0</v>
      </c>
      <c r="G5" s="49"/>
      <c r="H5" s="55">
        <v>1.0</v>
      </c>
      <c r="I5" s="49"/>
    </row>
    <row r="6" ht="29.25" customHeight="1">
      <c r="A6" s="3">
        <v>116.0</v>
      </c>
      <c r="B6" s="4" t="s">
        <v>725</v>
      </c>
      <c r="C6" s="47">
        <f t="shared" si="1"/>
        <v>3</v>
      </c>
      <c r="D6" s="55">
        <v>1.0</v>
      </c>
      <c r="E6" s="49"/>
      <c r="F6" s="55">
        <v>1.0</v>
      </c>
      <c r="G6" s="49"/>
      <c r="H6" s="55">
        <v>1.0</v>
      </c>
      <c r="I6" s="49"/>
    </row>
    <row r="7" ht="29.25" customHeight="1">
      <c r="A7" s="12">
        <v>166.0</v>
      </c>
      <c r="B7" s="13" t="s">
        <v>713</v>
      </c>
      <c r="C7" s="47">
        <f t="shared" si="1"/>
        <v>3</v>
      </c>
      <c r="D7" s="55">
        <v>1.0</v>
      </c>
      <c r="E7" s="49"/>
      <c r="F7" s="55">
        <v>1.0</v>
      </c>
      <c r="G7" s="49"/>
      <c r="H7" s="55">
        <v>1.0</v>
      </c>
      <c r="I7" s="49"/>
    </row>
    <row r="8" ht="29.25" customHeight="1">
      <c r="A8" s="12">
        <v>216.0</v>
      </c>
      <c r="B8" s="13" t="s">
        <v>692</v>
      </c>
      <c r="C8" s="47">
        <f t="shared" si="1"/>
        <v>2</v>
      </c>
      <c r="D8" s="55">
        <v>1.0</v>
      </c>
      <c r="E8" s="49"/>
      <c r="F8" s="55">
        <v>1.0</v>
      </c>
      <c r="G8" s="49"/>
      <c r="H8" s="55">
        <v>0.0</v>
      </c>
      <c r="I8" s="49"/>
    </row>
    <row r="9" ht="29.25" customHeight="1">
      <c r="A9" s="12">
        <v>140.0</v>
      </c>
      <c r="B9" s="13" t="s">
        <v>683</v>
      </c>
      <c r="C9" s="47">
        <f t="shared" si="1"/>
        <v>3</v>
      </c>
      <c r="D9" s="55">
        <v>1.0</v>
      </c>
      <c r="E9" s="49"/>
      <c r="F9" s="55">
        <v>1.0</v>
      </c>
      <c r="G9" s="49"/>
      <c r="H9" s="55">
        <v>1.0</v>
      </c>
      <c r="I9" s="49"/>
    </row>
    <row r="10" ht="29.25" customHeight="1">
      <c r="A10" s="12">
        <v>155.0</v>
      </c>
      <c r="B10" s="13" t="s">
        <v>659</v>
      </c>
      <c r="C10" s="47">
        <f t="shared" si="1"/>
        <v>3</v>
      </c>
      <c r="D10" s="55">
        <v>1.0</v>
      </c>
      <c r="E10" s="49"/>
      <c r="F10" s="55">
        <v>1.0</v>
      </c>
      <c r="G10" s="49"/>
      <c r="H10" s="55">
        <v>1.0</v>
      </c>
      <c r="I10" s="49"/>
    </row>
    <row r="11" ht="29.25" customHeight="1">
      <c r="A11" s="12">
        <v>135.0</v>
      </c>
      <c r="B11" s="13" t="s">
        <v>643</v>
      </c>
      <c r="C11" s="47">
        <f t="shared" si="1"/>
        <v>3</v>
      </c>
      <c r="D11" s="55">
        <v>1.0</v>
      </c>
      <c r="E11" s="49"/>
      <c r="F11" s="55">
        <v>1.0</v>
      </c>
      <c r="G11" s="49"/>
      <c r="H11" s="55">
        <v>1.0</v>
      </c>
      <c r="I11" s="49"/>
    </row>
    <row r="12" ht="29.25" customHeight="1">
      <c r="A12" s="3">
        <v>195.0</v>
      </c>
      <c r="B12" s="4" t="s">
        <v>630</v>
      </c>
      <c r="C12" s="47">
        <f t="shared" si="1"/>
        <v>2</v>
      </c>
      <c r="D12" s="55">
        <v>0.0</v>
      </c>
      <c r="E12" s="49"/>
      <c r="F12" s="55">
        <v>1.0</v>
      </c>
      <c r="G12" s="49"/>
      <c r="H12" s="55">
        <v>1.0</v>
      </c>
      <c r="I12" s="49"/>
    </row>
    <row r="13" ht="29.25" customHeight="1">
      <c r="A13" s="3">
        <v>211.0</v>
      </c>
      <c r="B13" s="4" t="s">
        <v>615</v>
      </c>
      <c r="C13" s="47">
        <f t="shared" si="1"/>
        <v>2</v>
      </c>
      <c r="D13" s="55">
        <v>1.0</v>
      </c>
      <c r="E13" s="49"/>
      <c r="F13" s="55">
        <v>0.0</v>
      </c>
      <c r="G13" s="49"/>
      <c r="H13" s="55">
        <v>1.0</v>
      </c>
      <c r="I13" s="49"/>
    </row>
    <row r="14" ht="29.25" customHeight="1">
      <c r="A14" s="3">
        <v>217.0</v>
      </c>
      <c r="B14" s="4" t="s">
        <v>606</v>
      </c>
      <c r="C14" s="47">
        <f t="shared" si="1"/>
        <v>3</v>
      </c>
      <c r="D14" s="55">
        <v>1.0</v>
      </c>
      <c r="E14" s="49"/>
      <c r="F14" s="55">
        <v>1.0</v>
      </c>
      <c r="G14" s="49"/>
      <c r="H14" s="55">
        <v>1.0</v>
      </c>
      <c r="I14" s="49"/>
    </row>
    <row r="15" ht="29.25" customHeight="1">
      <c r="A15" s="3">
        <v>129.0</v>
      </c>
      <c r="B15" s="4" t="s">
        <v>531</v>
      </c>
      <c r="C15" s="47">
        <f t="shared" si="1"/>
        <v>2</v>
      </c>
      <c r="D15" s="55">
        <v>1.0</v>
      </c>
      <c r="E15" s="49"/>
      <c r="F15" s="55">
        <v>0.0</v>
      </c>
      <c r="G15" s="49"/>
      <c r="H15" s="55">
        <v>1.0</v>
      </c>
      <c r="I15" s="49"/>
    </row>
    <row r="16" ht="29.25" customHeight="1">
      <c r="A16" s="3">
        <v>181.0</v>
      </c>
      <c r="B16" s="4" t="s">
        <v>510</v>
      </c>
      <c r="C16" s="47">
        <f t="shared" si="1"/>
        <v>3</v>
      </c>
      <c r="D16" s="55">
        <v>1.0</v>
      </c>
      <c r="E16" s="49"/>
      <c r="F16" s="55">
        <v>1.0</v>
      </c>
      <c r="G16" s="49"/>
      <c r="H16" s="55">
        <v>1.0</v>
      </c>
      <c r="I16" s="49"/>
    </row>
    <row r="17" ht="29.25" customHeight="1">
      <c r="A17" s="3">
        <v>113.0</v>
      </c>
      <c r="B17" s="4" t="s">
        <v>471</v>
      </c>
      <c r="C17" s="47">
        <f t="shared" si="1"/>
        <v>3</v>
      </c>
      <c r="D17" s="55">
        <v>1.0</v>
      </c>
      <c r="E17" s="49"/>
      <c r="F17" s="55">
        <v>1.0</v>
      </c>
      <c r="G17" s="49"/>
      <c r="H17" s="55">
        <v>1.0</v>
      </c>
      <c r="I17" s="49"/>
    </row>
    <row r="18" ht="29.25" customHeight="1">
      <c r="A18" s="3">
        <v>124.0</v>
      </c>
      <c r="B18" s="4" t="s">
        <v>463</v>
      </c>
      <c r="C18" s="47">
        <f t="shared" si="1"/>
        <v>2</v>
      </c>
      <c r="D18" s="55">
        <v>1.0</v>
      </c>
      <c r="E18" s="49"/>
      <c r="F18" s="55">
        <v>1.0</v>
      </c>
      <c r="G18" s="49"/>
      <c r="H18" s="55">
        <v>0.0</v>
      </c>
      <c r="I18" s="49"/>
    </row>
    <row r="19" ht="29.25" customHeight="1">
      <c r="A19" s="3">
        <v>158.0</v>
      </c>
      <c r="B19" s="4" t="s">
        <v>456</v>
      </c>
      <c r="C19" s="47">
        <f t="shared" si="1"/>
        <v>3</v>
      </c>
      <c r="D19" s="55">
        <v>1.0</v>
      </c>
      <c r="E19" s="49"/>
      <c r="F19" s="55">
        <v>1.0</v>
      </c>
      <c r="G19" s="49"/>
      <c r="H19" s="55">
        <v>1.0</v>
      </c>
      <c r="I19" s="49"/>
    </row>
    <row r="20" ht="29.25" customHeight="1">
      <c r="A20" s="3">
        <v>167.0</v>
      </c>
      <c r="B20" s="4" t="s">
        <v>813</v>
      </c>
      <c r="C20" s="47">
        <f t="shared" si="1"/>
        <v>3</v>
      </c>
      <c r="D20" s="55">
        <v>1.0</v>
      </c>
      <c r="E20" s="49"/>
      <c r="F20" s="55">
        <v>1.0</v>
      </c>
      <c r="G20" s="49"/>
      <c r="H20" s="55">
        <v>1.0</v>
      </c>
      <c r="I20" s="49"/>
    </row>
    <row r="21" ht="29.25" customHeight="1">
      <c r="A21" s="3">
        <v>177.0</v>
      </c>
      <c r="B21" s="4" t="s">
        <v>417</v>
      </c>
      <c r="C21" s="47">
        <f t="shared" si="1"/>
        <v>3</v>
      </c>
      <c r="D21" s="55">
        <v>1.0</v>
      </c>
      <c r="E21" s="49"/>
      <c r="F21" s="55">
        <v>1.0</v>
      </c>
      <c r="G21" s="49"/>
      <c r="H21" s="55">
        <v>1.0</v>
      </c>
      <c r="I21" s="49"/>
    </row>
    <row r="22" ht="29.25" customHeight="1">
      <c r="A22" s="3">
        <v>201.0</v>
      </c>
      <c r="B22" s="4" t="s">
        <v>400</v>
      </c>
      <c r="C22" s="47">
        <f t="shared" si="1"/>
        <v>3</v>
      </c>
      <c r="D22" s="55">
        <v>1.0</v>
      </c>
      <c r="E22" s="49"/>
      <c r="F22" s="55">
        <v>1.0</v>
      </c>
      <c r="G22" s="49"/>
      <c r="H22" s="55">
        <v>1.0</v>
      </c>
      <c r="I22" s="49"/>
    </row>
    <row r="23" ht="29.25" customHeight="1">
      <c r="A23" s="3">
        <v>210.0</v>
      </c>
      <c r="B23" s="4" t="s">
        <v>376</v>
      </c>
      <c r="C23" s="47">
        <f t="shared" si="1"/>
        <v>3</v>
      </c>
      <c r="D23" s="55">
        <v>1.0</v>
      </c>
      <c r="E23" s="49"/>
      <c r="F23" s="55">
        <v>1.0</v>
      </c>
      <c r="G23" s="49"/>
      <c r="H23" s="55">
        <v>1.0</v>
      </c>
      <c r="I23" s="49"/>
    </row>
    <row r="24" ht="29.25" customHeight="1">
      <c r="A24" s="3">
        <v>133.0</v>
      </c>
      <c r="B24" s="4" t="s">
        <v>325</v>
      </c>
      <c r="C24" s="47">
        <f t="shared" si="1"/>
        <v>3</v>
      </c>
      <c r="D24" s="55">
        <v>1.0</v>
      </c>
      <c r="E24" s="49"/>
      <c r="F24" s="55">
        <v>1.0</v>
      </c>
      <c r="G24" s="49"/>
      <c r="H24" s="55">
        <v>1.0</v>
      </c>
      <c r="I24" s="49"/>
    </row>
    <row r="25" ht="29.25" customHeight="1">
      <c r="A25" s="3">
        <v>164.0</v>
      </c>
      <c r="B25" s="4" t="s">
        <v>296</v>
      </c>
      <c r="C25" s="47">
        <f t="shared" si="1"/>
        <v>2</v>
      </c>
      <c r="D25" s="55">
        <v>1.0</v>
      </c>
      <c r="E25" s="49"/>
      <c r="F25" s="55">
        <v>1.0</v>
      </c>
      <c r="G25" s="49"/>
      <c r="H25" s="55">
        <v>0.0</v>
      </c>
      <c r="I25" s="49"/>
    </row>
    <row r="26" ht="29.25" customHeight="1">
      <c r="A26" s="3">
        <v>203.0</v>
      </c>
      <c r="B26" s="4" t="s">
        <v>274</v>
      </c>
      <c r="C26" s="47">
        <f t="shared" si="1"/>
        <v>0</v>
      </c>
      <c r="D26" s="55">
        <v>0.0</v>
      </c>
      <c r="E26" s="49"/>
      <c r="F26" s="55">
        <v>0.0</v>
      </c>
      <c r="G26" s="49"/>
      <c r="H26" s="55">
        <v>0.0</v>
      </c>
      <c r="I26" s="49"/>
    </row>
    <row r="27" ht="29.25" customHeight="1">
      <c r="A27" s="3">
        <v>156.0</v>
      </c>
      <c r="B27" s="4" t="s">
        <v>257</v>
      </c>
      <c r="C27" s="47">
        <f t="shared" si="1"/>
        <v>3</v>
      </c>
      <c r="D27" s="55">
        <v>1.0</v>
      </c>
      <c r="E27" s="49"/>
      <c r="F27" s="55">
        <v>1.0</v>
      </c>
      <c r="G27" s="49"/>
      <c r="H27" s="55">
        <v>1.0</v>
      </c>
      <c r="I27" s="49"/>
    </row>
    <row r="28" ht="29.25" customHeight="1">
      <c r="A28" s="3">
        <v>142.0</v>
      </c>
      <c r="B28" s="4" t="s">
        <v>204</v>
      </c>
      <c r="C28" s="47">
        <f t="shared" si="1"/>
        <v>1</v>
      </c>
      <c r="D28" s="55">
        <v>0.0</v>
      </c>
      <c r="E28" s="49"/>
      <c r="F28" s="55">
        <v>0.0</v>
      </c>
      <c r="G28" s="49"/>
      <c r="H28" s="55">
        <v>1.0</v>
      </c>
      <c r="I28" s="49"/>
    </row>
    <row r="29" ht="29.25" customHeight="1">
      <c r="A29" s="3">
        <v>212.0</v>
      </c>
      <c r="B29" s="4" t="s">
        <v>194</v>
      </c>
      <c r="C29" s="47">
        <f t="shared" si="1"/>
        <v>3</v>
      </c>
      <c r="D29" s="55">
        <v>1.0</v>
      </c>
      <c r="E29" s="49"/>
      <c r="F29" s="55">
        <v>1.0</v>
      </c>
      <c r="G29" s="49"/>
      <c r="H29" s="55">
        <v>1.0</v>
      </c>
      <c r="I29" s="49"/>
    </row>
    <row r="30" ht="29.25" customHeight="1">
      <c r="A30" s="3">
        <v>108.0</v>
      </c>
      <c r="B30" s="4" t="s">
        <v>170</v>
      </c>
      <c r="C30" s="47">
        <f t="shared" si="1"/>
        <v>3</v>
      </c>
      <c r="D30" s="55">
        <v>1.0</v>
      </c>
      <c r="E30" s="49"/>
      <c r="F30" s="55">
        <v>1.0</v>
      </c>
      <c r="G30" s="49"/>
      <c r="H30" s="55">
        <v>1.0</v>
      </c>
      <c r="I30" s="49"/>
    </row>
    <row r="31" ht="29.25" customHeight="1">
      <c r="A31" s="3">
        <v>143.0</v>
      </c>
      <c r="B31" s="4" t="s">
        <v>162</v>
      </c>
      <c r="C31" s="47">
        <f t="shared" si="1"/>
        <v>3</v>
      </c>
      <c r="D31" s="55">
        <v>1.0</v>
      </c>
      <c r="E31" s="49"/>
      <c r="F31" s="55">
        <v>1.0</v>
      </c>
      <c r="G31" s="49"/>
      <c r="H31" s="55">
        <v>1.0</v>
      </c>
      <c r="I31" s="49"/>
    </row>
    <row r="32" ht="29.25" customHeight="1">
      <c r="A32" s="3">
        <v>197.0</v>
      </c>
      <c r="B32" s="4" t="s">
        <v>146</v>
      </c>
      <c r="C32" s="47">
        <f t="shared" si="1"/>
        <v>3</v>
      </c>
      <c r="D32" s="55">
        <v>1.0</v>
      </c>
      <c r="E32" s="49"/>
      <c r="F32" s="55">
        <v>1.0</v>
      </c>
      <c r="G32" s="49"/>
      <c r="H32" s="55">
        <v>1.0</v>
      </c>
      <c r="I32" s="49"/>
    </row>
    <row r="33" ht="29.25" customHeight="1">
      <c r="A33" s="3">
        <v>207.0</v>
      </c>
      <c r="B33" s="4" t="s">
        <v>137</v>
      </c>
      <c r="C33" s="47">
        <f t="shared" si="1"/>
        <v>3</v>
      </c>
      <c r="D33" s="55">
        <v>1.0</v>
      </c>
      <c r="E33" s="49"/>
      <c r="F33" s="55">
        <v>1.0</v>
      </c>
      <c r="G33" s="49"/>
      <c r="H33" s="55">
        <v>1.0</v>
      </c>
      <c r="I33" s="49"/>
    </row>
    <row r="34" ht="29.25" customHeight="1">
      <c r="A34" s="3">
        <v>183.0</v>
      </c>
      <c r="B34" s="4" t="s">
        <v>114</v>
      </c>
      <c r="C34" s="47">
        <f t="shared" si="1"/>
        <v>3</v>
      </c>
      <c r="D34" s="55">
        <v>1.0</v>
      </c>
      <c r="E34" s="49"/>
      <c r="F34" s="55">
        <v>1.0</v>
      </c>
      <c r="G34" s="49"/>
      <c r="H34" s="55">
        <v>1.0</v>
      </c>
      <c r="I34" s="49"/>
    </row>
    <row r="35" ht="29.25" customHeight="1">
      <c r="A35" s="3">
        <v>100.0</v>
      </c>
      <c r="B35" s="4" t="s">
        <v>63</v>
      </c>
      <c r="C35" s="47">
        <f t="shared" si="1"/>
        <v>2</v>
      </c>
      <c r="D35" s="55">
        <v>0.0</v>
      </c>
      <c r="E35" s="49"/>
      <c r="F35" s="55">
        <v>1.0</v>
      </c>
      <c r="G35" s="49"/>
      <c r="H35" s="55">
        <v>1.0</v>
      </c>
      <c r="I35" s="49"/>
    </row>
    <row r="36" ht="29.25" customHeight="1">
      <c r="A36" s="3">
        <v>114.0</v>
      </c>
      <c r="B36" s="4" t="s">
        <v>793</v>
      </c>
      <c r="C36" s="47">
        <f t="shared" si="1"/>
        <v>1</v>
      </c>
      <c r="D36" s="55">
        <v>0.0</v>
      </c>
      <c r="E36" s="49"/>
      <c r="F36" s="55">
        <v>1.0</v>
      </c>
      <c r="G36" s="49"/>
      <c r="H36" s="55">
        <v>0.0</v>
      </c>
      <c r="I36" s="49"/>
    </row>
    <row r="37" ht="29.25" customHeight="1">
      <c r="A37" s="3">
        <v>163.0</v>
      </c>
      <c r="B37" s="4" t="s">
        <v>781</v>
      </c>
      <c r="C37" s="47">
        <f t="shared" si="1"/>
        <v>3</v>
      </c>
      <c r="D37" s="55">
        <v>1.0</v>
      </c>
      <c r="E37" s="49"/>
      <c r="F37" s="55">
        <v>1.0</v>
      </c>
      <c r="G37" s="49"/>
      <c r="H37" s="55">
        <v>1.0</v>
      </c>
      <c r="I37" s="49"/>
    </row>
    <row r="38" ht="29.25" customHeight="1">
      <c r="A38" s="3">
        <v>173.0</v>
      </c>
      <c r="B38" s="4" t="s">
        <v>765</v>
      </c>
      <c r="C38" s="47">
        <f t="shared" si="1"/>
        <v>3</v>
      </c>
      <c r="D38" s="55">
        <v>1.0</v>
      </c>
      <c r="E38" s="49"/>
      <c r="F38" s="55">
        <v>1.0</v>
      </c>
      <c r="G38" s="49"/>
      <c r="H38" s="55">
        <v>1.0</v>
      </c>
      <c r="I38" s="49"/>
    </row>
    <row r="39" ht="29.25" customHeight="1">
      <c r="A39" s="3">
        <v>175.0</v>
      </c>
      <c r="B39" s="4" t="s">
        <v>745</v>
      </c>
      <c r="C39" s="47">
        <f t="shared" si="1"/>
        <v>3</v>
      </c>
      <c r="D39" s="55">
        <v>1.0</v>
      </c>
      <c r="E39" s="49"/>
      <c r="F39" s="55">
        <v>1.0</v>
      </c>
      <c r="G39" s="49"/>
      <c r="H39" s="55">
        <v>1.0</v>
      </c>
      <c r="I39" s="49"/>
    </row>
    <row r="40" ht="29.25" customHeight="1">
      <c r="A40" s="3">
        <v>179.0</v>
      </c>
      <c r="B40" s="4" t="s">
        <v>739</v>
      </c>
      <c r="C40" s="47">
        <f t="shared" si="1"/>
        <v>3</v>
      </c>
      <c r="D40" s="55">
        <v>1.0</v>
      </c>
      <c r="E40" s="49"/>
      <c r="F40" s="55">
        <v>1.0</v>
      </c>
      <c r="G40" s="49"/>
      <c r="H40" s="55">
        <v>1.0</v>
      </c>
      <c r="I40" s="49"/>
    </row>
    <row r="41" ht="29.25" customHeight="1">
      <c r="A41" s="3">
        <v>123.0</v>
      </c>
      <c r="B41" s="4" t="s">
        <v>731</v>
      </c>
      <c r="C41" s="47">
        <f t="shared" si="1"/>
        <v>3</v>
      </c>
      <c r="D41" s="55">
        <v>1.0</v>
      </c>
      <c r="E41" s="49"/>
      <c r="F41" s="55">
        <v>1.0</v>
      </c>
      <c r="G41" s="49"/>
      <c r="H41" s="55">
        <v>1.0</v>
      </c>
      <c r="I41" s="49"/>
    </row>
    <row r="42" ht="29.25" customHeight="1">
      <c r="A42" s="3">
        <v>145.0</v>
      </c>
      <c r="B42" s="4" t="s">
        <v>720</v>
      </c>
      <c r="C42" s="47">
        <f t="shared" si="1"/>
        <v>3</v>
      </c>
      <c r="D42" s="55">
        <v>1.0</v>
      </c>
      <c r="E42" s="49"/>
      <c r="F42" s="55">
        <v>1.0</v>
      </c>
      <c r="G42" s="49"/>
      <c r="H42" s="55">
        <v>1.0</v>
      </c>
      <c r="I42" s="49"/>
    </row>
    <row r="43" ht="29.25" customHeight="1">
      <c r="A43" s="3">
        <v>174.0</v>
      </c>
      <c r="B43" s="4" t="s">
        <v>707</v>
      </c>
      <c r="C43" s="47">
        <f t="shared" si="1"/>
        <v>3</v>
      </c>
      <c r="D43" s="55">
        <v>1.0</v>
      </c>
      <c r="E43" s="49"/>
      <c r="F43" s="55">
        <v>1.0</v>
      </c>
      <c r="G43" s="49"/>
      <c r="H43" s="55">
        <v>1.0</v>
      </c>
      <c r="I43" s="49"/>
    </row>
    <row r="44" ht="29.25" customHeight="1">
      <c r="A44" s="3">
        <v>101.0</v>
      </c>
      <c r="B44" s="4" t="s">
        <v>676</v>
      </c>
      <c r="C44" s="47">
        <f t="shared" si="1"/>
        <v>2</v>
      </c>
      <c r="D44" s="55">
        <v>1.0</v>
      </c>
      <c r="E44" s="49"/>
      <c r="F44" s="55">
        <v>1.0</v>
      </c>
      <c r="G44" s="49"/>
      <c r="H44" s="55">
        <v>0.0</v>
      </c>
      <c r="I44" s="49"/>
    </row>
    <row r="45" ht="29.25" customHeight="1">
      <c r="A45" s="3">
        <v>169.0</v>
      </c>
      <c r="B45" s="4" t="s">
        <v>668</v>
      </c>
      <c r="C45" s="47">
        <f t="shared" si="1"/>
        <v>2</v>
      </c>
      <c r="D45" s="55">
        <v>1.0</v>
      </c>
      <c r="E45" s="49"/>
      <c r="F45" s="55">
        <v>0.0</v>
      </c>
      <c r="G45" s="49"/>
      <c r="H45" s="55">
        <v>1.0</v>
      </c>
      <c r="I45" s="49"/>
    </row>
    <row r="46" ht="29.25" customHeight="1">
      <c r="A46" s="3">
        <v>184.0</v>
      </c>
      <c r="B46" s="4" t="s">
        <v>652</v>
      </c>
      <c r="C46" s="47">
        <f t="shared" si="1"/>
        <v>3</v>
      </c>
      <c r="D46" s="55">
        <v>1.0</v>
      </c>
      <c r="E46" s="49"/>
      <c r="F46" s="55">
        <v>1.0</v>
      </c>
      <c r="G46" s="49"/>
      <c r="H46" s="55">
        <v>1.0</v>
      </c>
      <c r="I46" s="49"/>
    </row>
    <row r="47" ht="29.25" customHeight="1">
      <c r="A47" s="3">
        <v>120.0</v>
      </c>
      <c r="B47" s="4" t="s">
        <v>637</v>
      </c>
      <c r="C47" s="47">
        <f t="shared" si="1"/>
        <v>2</v>
      </c>
      <c r="D47" s="55">
        <v>0.0</v>
      </c>
      <c r="E47" s="49"/>
      <c r="F47" s="55">
        <v>1.0</v>
      </c>
      <c r="G47" s="49"/>
      <c r="H47" s="55">
        <v>1.0</v>
      </c>
      <c r="I47" s="49"/>
    </row>
    <row r="48" ht="29.25" customHeight="1">
      <c r="A48" s="3">
        <v>204.0</v>
      </c>
      <c r="B48" s="4" t="s">
        <v>623</v>
      </c>
      <c r="C48" s="47">
        <f t="shared" si="1"/>
        <v>2</v>
      </c>
      <c r="D48" s="55">
        <v>0.0</v>
      </c>
      <c r="E48" s="49"/>
      <c r="F48" s="55">
        <v>1.0</v>
      </c>
      <c r="G48" s="49"/>
      <c r="H48" s="55">
        <v>1.0</v>
      </c>
      <c r="I48" s="49"/>
    </row>
    <row r="49" ht="29.25" customHeight="1">
      <c r="A49" s="3">
        <v>221.0</v>
      </c>
      <c r="B49" s="4" t="s">
        <v>593</v>
      </c>
      <c r="C49" s="47">
        <f t="shared" si="1"/>
        <v>3</v>
      </c>
      <c r="D49" s="55">
        <v>1.0</v>
      </c>
      <c r="E49" s="49"/>
      <c r="F49" s="55">
        <v>1.0</v>
      </c>
      <c r="G49" s="49"/>
      <c r="H49" s="55">
        <v>1.0</v>
      </c>
      <c r="I49" s="49"/>
    </row>
    <row r="50" ht="29.25" customHeight="1">
      <c r="A50" s="3">
        <v>219.0</v>
      </c>
      <c r="B50" s="4" t="s">
        <v>584</v>
      </c>
      <c r="C50" s="47">
        <f t="shared" si="1"/>
        <v>3</v>
      </c>
      <c r="D50" s="55">
        <v>1.0</v>
      </c>
      <c r="E50" s="49"/>
      <c r="F50" s="55">
        <v>1.0</v>
      </c>
      <c r="G50" s="49"/>
      <c r="H50" s="55">
        <v>1.0</v>
      </c>
      <c r="I50" s="49"/>
    </row>
    <row r="51" ht="29.25" customHeight="1">
      <c r="A51" s="3">
        <v>107.0</v>
      </c>
      <c r="B51" s="4" t="s">
        <v>576</v>
      </c>
      <c r="C51" s="47">
        <f t="shared" si="1"/>
        <v>3</v>
      </c>
      <c r="D51" s="55">
        <v>1.0</v>
      </c>
      <c r="E51" s="49"/>
      <c r="F51" s="55">
        <v>1.0</v>
      </c>
      <c r="G51" s="49"/>
      <c r="H51" s="55">
        <v>1.0</v>
      </c>
      <c r="I51" s="49"/>
    </row>
    <row r="52" ht="29.25" customHeight="1">
      <c r="A52" s="3">
        <v>111.0</v>
      </c>
      <c r="B52" s="4" t="s">
        <v>569</v>
      </c>
      <c r="C52" s="47">
        <f t="shared" si="1"/>
        <v>3</v>
      </c>
      <c r="D52" s="55">
        <v>1.0</v>
      </c>
      <c r="E52" s="49"/>
      <c r="F52" s="55">
        <v>1.0</v>
      </c>
      <c r="G52" s="49"/>
      <c r="H52" s="55">
        <v>1.0</v>
      </c>
      <c r="I52" s="49"/>
    </row>
    <row r="53" ht="29.25" customHeight="1">
      <c r="A53" s="3">
        <v>151.0</v>
      </c>
      <c r="B53" s="4" t="s">
        <v>561</v>
      </c>
      <c r="C53" s="47">
        <f t="shared" si="1"/>
        <v>3</v>
      </c>
      <c r="D53" s="55">
        <v>1.0</v>
      </c>
      <c r="E53" s="49"/>
      <c r="F53" s="55">
        <v>1.0</v>
      </c>
      <c r="G53" s="49"/>
      <c r="H53" s="55">
        <v>1.0</v>
      </c>
      <c r="I53" s="49"/>
    </row>
    <row r="54" ht="29.25" customHeight="1">
      <c r="A54" s="3">
        <v>146.0</v>
      </c>
      <c r="B54" s="4" t="s">
        <v>552</v>
      </c>
      <c r="C54" s="47">
        <f t="shared" si="1"/>
        <v>2</v>
      </c>
      <c r="D54" s="55">
        <v>1.0</v>
      </c>
      <c r="E54" s="49"/>
      <c r="F54" s="55">
        <v>1.0</v>
      </c>
      <c r="G54" s="49"/>
      <c r="H54" s="55">
        <v>0.0</v>
      </c>
      <c r="I54" s="49"/>
    </row>
    <row r="55" ht="29.25" customHeight="1">
      <c r="A55" s="3">
        <v>168.0</v>
      </c>
      <c r="B55" s="4" t="s">
        <v>545</v>
      </c>
      <c r="C55" s="47">
        <f t="shared" si="1"/>
        <v>3</v>
      </c>
      <c r="D55" s="55">
        <v>1.0</v>
      </c>
      <c r="E55" s="49"/>
      <c r="F55" s="55">
        <v>1.0</v>
      </c>
      <c r="G55" s="49"/>
      <c r="H55" s="55">
        <v>1.0</v>
      </c>
      <c r="I55" s="49"/>
    </row>
    <row r="56" ht="29.25" customHeight="1">
      <c r="A56" s="3">
        <v>178.0</v>
      </c>
      <c r="B56" s="4" t="s">
        <v>539</v>
      </c>
      <c r="C56" s="47">
        <f t="shared" si="1"/>
        <v>2</v>
      </c>
      <c r="D56" s="55">
        <v>1.0</v>
      </c>
      <c r="E56" s="49"/>
      <c r="F56" s="55">
        <v>0.0</v>
      </c>
      <c r="G56" s="49"/>
      <c r="H56" s="55">
        <v>1.0</v>
      </c>
      <c r="I56" s="49"/>
    </row>
    <row r="57" ht="29.25" customHeight="1">
      <c r="A57" s="3">
        <v>198.0</v>
      </c>
      <c r="B57" s="4" t="s">
        <v>523</v>
      </c>
      <c r="C57" s="47">
        <f t="shared" si="1"/>
        <v>2</v>
      </c>
      <c r="D57" s="55">
        <v>0.0</v>
      </c>
      <c r="E57" s="49"/>
      <c r="F57" s="55">
        <v>1.0</v>
      </c>
      <c r="G57" s="49"/>
      <c r="H57" s="55">
        <v>1.0</v>
      </c>
      <c r="I57" s="49"/>
    </row>
    <row r="58" ht="29.25" customHeight="1">
      <c r="A58" s="3">
        <v>128.0</v>
      </c>
      <c r="B58" s="4" t="s">
        <v>516</v>
      </c>
      <c r="C58" s="47">
        <f t="shared" si="1"/>
        <v>3</v>
      </c>
      <c r="D58" s="55">
        <v>1.0</v>
      </c>
      <c r="E58" s="49"/>
      <c r="F58" s="55">
        <v>1.0</v>
      </c>
      <c r="G58" s="49"/>
      <c r="H58" s="55">
        <v>1.0</v>
      </c>
      <c r="I58" s="49"/>
    </row>
    <row r="59" ht="29.25" customHeight="1">
      <c r="A59" s="3">
        <v>103.0</v>
      </c>
      <c r="B59" s="4" t="s">
        <v>503</v>
      </c>
      <c r="C59" s="47">
        <f t="shared" si="1"/>
        <v>1</v>
      </c>
      <c r="D59" s="55">
        <v>0.0</v>
      </c>
      <c r="E59" s="49"/>
      <c r="F59" s="55">
        <v>1.0</v>
      </c>
      <c r="G59" s="49"/>
      <c r="H59" s="55">
        <v>0.0</v>
      </c>
      <c r="I59" s="49"/>
    </row>
    <row r="60" ht="29.25" customHeight="1">
      <c r="A60" s="3">
        <v>121.0</v>
      </c>
      <c r="B60" s="4" t="s">
        <v>496</v>
      </c>
      <c r="C60" s="47">
        <f t="shared" si="1"/>
        <v>3</v>
      </c>
      <c r="D60" s="55">
        <v>1.0</v>
      </c>
      <c r="E60" s="49"/>
      <c r="F60" s="55">
        <v>1.0</v>
      </c>
      <c r="G60" s="49"/>
      <c r="H60" s="55">
        <v>1.0</v>
      </c>
      <c r="I60" s="49"/>
    </row>
    <row r="61" ht="29.25" customHeight="1">
      <c r="A61" s="3">
        <v>144.0</v>
      </c>
      <c r="B61" s="4" t="s">
        <v>448</v>
      </c>
      <c r="C61" s="47">
        <f t="shared" si="1"/>
        <v>3</v>
      </c>
      <c r="D61" s="55">
        <v>1.0</v>
      </c>
      <c r="E61" s="49"/>
      <c r="F61" s="55">
        <v>1.0</v>
      </c>
      <c r="G61" s="49"/>
      <c r="H61" s="55">
        <v>1.0</v>
      </c>
      <c r="I61" s="49"/>
    </row>
    <row r="62" ht="29.25" customHeight="1">
      <c r="A62" s="3">
        <v>102.0</v>
      </c>
      <c r="B62" s="4" t="s">
        <v>488</v>
      </c>
      <c r="C62" s="47">
        <f t="shared" si="1"/>
        <v>2</v>
      </c>
      <c r="D62" s="55">
        <v>0.0</v>
      </c>
      <c r="E62" s="49"/>
      <c r="F62" s="55">
        <v>1.0</v>
      </c>
      <c r="G62" s="49"/>
      <c r="H62" s="55">
        <v>1.0</v>
      </c>
      <c r="I62" s="49"/>
    </row>
    <row r="63" ht="29.25" customHeight="1">
      <c r="A63" s="3">
        <v>132.0</v>
      </c>
      <c r="B63" s="4" t="s">
        <v>480</v>
      </c>
      <c r="C63" s="47">
        <f t="shared" si="1"/>
        <v>2</v>
      </c>
      <c r="D63" s="55">
        <v>0.0</v>
      </c>
      <c r="E63" s="49"/>
      <c r="F63" s="55">
        <v>1.0</v>
      </c>
      <c r="G63" s="49"/>
      <c r="H63" s="55">
        <v>1.0</v>
      </c>
      <c r="I63" s="49"/>
    </row>
    <row r="64" ht="29.25" customHeight="1">
      <c r="A64" s="3">
        <v>136.0</v>
      </c>
      <c r="B64" s="4" t="s">
        <v>426</v>
      </c>
      <c r="C64" s="47">
        <f t="shared" si="1"/>
        <v>2</v>
      </c>
      <c r="D64" s="55">
        <v>0.0</v>
      </c>
      <c r="E64" s="49"/>
      <c r="F64" s="55">
        <v>1.0</v>
      </c>
      <c r="G64" s="49"/>
      <c r="H64" s="55">
        <v>1.0</v>
      </c>
      <c r="I64" s="49"/>
    </row>
    <row r="65" ht="29.25" customHeight="1">
      <c r="A65" s="3">
        <v>153.0</v>
      </c>
      <c r="B65" s="4" t="s">
        <v>409</v>
      </c>
      <c r="C65" s="47">
        <f t="shared" si="1"/>
        <v>1</v>
      </c>
      <c r="D65" s="55">
        <v>1.0</v>
      </c>
      <c r="E65" s="49"/>
      <c r="F65" s="55">
        <v>0.0</v>
      </c>
      <c r="G65" s="49"/>
      <c r="H65" s="55">
        <v>0.0</v>
      </c>
      <c r="I65" s="49"/>
    </row>
    <row r="66" ht="29.25" customHeight="1">
      <c r="A66" s="3">
        <v>171.0</v>
      </c>
      <c r="B66" s="4" t="s">
        <v>368</v>
      </c>
      <c r="C66" s="47">
        <f t="shared" si="1"/>
        <v>3</v>
      </c>
      <c r="D66" s="55">
        <v>1.0</v>
      </c>
      <c r="E66" s="49"/>
      <c r="F66" s="55">
        <v>1.0</v>
      </c>
      <c r="G66" s="49"/>
      <c r="H66" s="55">
        <v>1.0</v>
      </c>
      <c r="I66" s="49"/>
    </row>
    <row r="67" ht="29.25" customHeight="1">
      <c r="A67" s="3">
        <v>189.0</v>
      </c>
      <c r="B67" s="4" t="s">
        <v>353</v>
      </c>
      <c r="C67" s="47">
        <f t="shared" si="1"/>
        <v>3</v>
      </c>
      <c r="D67" s="55">
        <v>1.0</v>
      </c>
      <c r="E67" s="49"/>
      <c r="F67" s="55">
        <v>1.0</v>
      </c>
      <c r="G67" s="49"/>
      <c r="H67" s="55">
        <v>1.0</v>
      </c>
      <c r="I67" s="49"/>
    </row>
    <row r="68" ht="29.25" customHeight="1">
      <c r="A68" s="3">
        <v>152.0</v>
      </c>
      <c r="B68" s="4" t="s">
        <v>344</v>
      </c>
      <c r="C68" s="47">
        <f t="shared" si="1"/>
        <v>3</v>
      </c>
      <c r="D68" s="55">
        <v>1.0</v>
      </c>
      <c r="E68" s="49"/>
      <c r="F68" s="55">
        <v>1.0</v>
      </c>
      <c r="G68" s="49"/>
      <c r="H68" s="55">
        <v>1.0</v>
      </c>
      <c r="I68" s="49"/>
    </row>
    <row r="69" ht="29.25" customHeight="1">
      <c r="A69" s="3">
        <v>157.0</v>
      </c>
      <c r="B69" s="4" t="s">
        <v>312</v>
      </c>
      <c r="C69" s="47">
        <f t="shared" si="1"/>
        <v>3</v>
      </c>
      <c r="D69" s="55">
        <v>1.0</v>
      </c>
      <c r="E69" s="49"/>
      <c r="F69" s="55">
        <v>1.0</v>
      </c>
      <c r="G69" s="49"/>
      <c r="H69" s="55">
        <v>1.0</v>
      </c>
      <c r="I69" s="49"/>
    </row>
    <row r="70" ht="29.25" customHeight="1">
      <c r="A70" s="3">
        <v>208.0</v>
      </c>
      <c r="B70" s="4" t="s">
        <v>288</v>
      </c>
      <c r="C70" s="47">
        <f t="shared" si="1"/>
        <v>3</v>
      </c>
      <c r="D70" s="55">
        <v>1.0</v>
      </c>
      <c r="E70" s="49"/>
      <c r="F70" s="55">
        <v>1.0</v>
      </c>
      <c r="G70" s="49"/>
      <c r="H70" s="55">
        <v>1.0</v>
      </c>
      <c r="I70" s="49"/>
    </row>
    <row r="71" ht="29.25" customHeight="1">
      <c r="A71" s="3">
        <v>117.0</v>
      </c>
      <c r="B71" s="4" t="s">
        <v>281</v>
      </c>
      <c r="C71" s="47">
        <f t="shared" si="1"/>
        <v>3</v>
      </c>
      <c r="D71" s="55">
        <v>1.0</v>
      </c>
      <c r="E71" s="49"/>
      <c r="F71" s="55">
        <v>1.0</v>
      </c>
      <c r="G71" s="49"/>
      <c r="H71" s="55">
        <v>1.0</v>
      </c>
      <c r="I71" s="49"/>
    </row>
    <row r="72" ht="29.25" customHeight="1">
      <c r="A72" s="3">
        <v>149.0</v>
      </c>
      <c r="B72" s="4" t="s">
        <v>266</v>
      </c>
      <c r="C72" s="47">
        <f t="shared" si="1"/>
        <v>2</v>
      </c>
      <c r="D72" s="55">
        <v>1.0</v>
      </c>
      <c r="E72" s="49"/>
      <c r="F72" s="55">
        <v>0.0</v>
      </c>
      <c r="G72" s="49"/>
      <c r="H72" s="55">
        <v>1.0</v>
      </c>
      <c r="I72" s="49"/>
    </row>
    <row r="73" ht="29.25" customHeight="1">
      <c r="A73" s="3">
        <v>182.0</v>
      </c>
      <c r="B73" s="4" t="s">
        <v>240</v>
      </c>
      <c r="C73" s="47">
        <f t="shared" si="1"/>
        <v>3</v>
      </c>
      <c r="D73" s="55">
        <v>1.0</v>
      </c>
      <c r="E73" s="49"/>
      <c r="F73" s="55">
        <v>1.0</v>
      </c>
      <c r="G73" s="49"/>
      <c r="H73" s="55">
        <v>1.0</v>
      </c>
      <c r="I73" s="49"/>
    </row>
    <row r="74" ht="29.25" customHeight="1">
      <c r="A74" s="3">
        <v>159.0</v>
      </c>
      <c r="B74" s="4" t="s">
        <v>232</v>
      </c>
      <c r="C74" s="47">
        <f t="shared" si="1"/>
        <v>3</v>
      </c>
      <c r="D74" s="55">
        <v>1.0</v>
      </c>
      <c r="E74" s="49"/>
      <c r="F74" s="55">
        <v>1.0</v>
      </c>
      <c r="G74" s="49"/>
      <c r="H74" s="55">
        <v>1.0</v>
      </c>
      <c r="I74" s="49"/>
    </row>
    <row r="75" ht="29.25" customHeight="1">
      <c r="A75" s="3">
        <v>202.0</v>
      </c>
      <c r="B75" s="4" t="s">
        <v>222</v>
      </c>
      <c r="C75" s="47">
        <f t="shared" si="1"/>
        <v>3</v>
      </c>
      <c r="D75" s="55">
        <v>1.0</v>
      </c>
      <c r="E75" s="49"/>
      <c r="F75" s="55">
        <v>1.0</v>
      </c>
      <c r="G75" s="49"/>
      <c r="H75" s="55">
        <v>1.0</v>
      </c>
      <c r="I75" s="49"/>
    </row>
    <row r="76" ht="29.25" customHeight="1">
      <c r="A76" s="3">
        <v>205.0</v>
      </c>
      <c r="B76" s="4" t="s">
        <v>211</v>
      </c>
      <c r="C76" s="47">
        <f t="shared" si="1"/>
        <v>2</v>
      </c>
      <c r="D76" s="55">
        <v>0.0</v>
      </c>
      <c r="E76" s="49"/>
      <c r="F76" s="55">
        <v>1.0</v>
      </c>
      <c r="G76" s="49"/>
      <c r="H76" s="55">
        <v>1.0</v>
      </c>
      <c r="I76" s="49"/>
    </row>
    <row r="77" ht="29.25" customHeight="1">
      <c r="A77" s="3">
        <v>125.0</v>
      </c>
      <c r="B77" s="4" t="s">
        <v>186</v>
      </c>
      <c r="C77" s="47">
        <f t="shared" si="1"/>
        <v>3</v>
      </c>
      <c r="D77" s="55">
        <v>1.0</v>
      </c>
      <c r="E77" s="49"/>
      <c r="F77" s="55">
        <v>1.0</v>
      </c>
      <c r="G77" s="49"/>
      <c r="H77" s="55">
        <v>1.0</v>
      </c>
      <c r="I77" s="49"/>
    </row>
    <row r="78" ht="29.25" customHeight="1">
      <c r="A78" s="3">
        <v>199.0</v>
      </c>
      <c r="B78" s="4" t="s">
        <v>179</v>
      </c>
      <c r="C78" s="47">
        <f t="shared" si="1"/>
        <v>3</v>
      </c>
      <c r="D78" s="55">
        <v>1.0</v>
      </c>
      <c r="E78" s="49"/>
      <c r="F78" s="55">
        <v>1.0</v>
      </c>
      <c r="G78" s="49"/>
      <c r="H78" s="55">
        <v>1.0</v>
      </c>
      <c r="I78" s="49"/>
    </row>
    <row r="79" ht="29.25" customHeight="1">
      <c r="A79" s="3">
        <v>215.0</v>
      </c>
      <c r="B79" s="4" t="s">
        <v>154</v>
      </c>
      <c r="C79" s="47">
        <f t="shared" si="1"/>
        <v>1</v>
      </c>
      <c r="D79" s="55">
        <v>0.0</v>
      </c>
      <c r="E79" s="49"/>
      <c r="F79" s="55">
        <v>0.0</v>
      </c>
      <c r="G79" s="49"/>
      <c r="H79" s="55">
        <v>1.0</v>
      </c>
      <c r="I79" s="49"/>
    </row>
    <row r="80" ht="29.25" customHeight="1">
      <c r="A80" s="3">
        <v>110.0</v>
      </c>
      <c r="B80" s="4" t="s">
        <v>130</v>
      </c>
      <c r="C80" s="47">
        <f t="shared" si="1"/>
        <v>3</v>
      </c>
      <c r="D80" s="55">
        <v>1.0</v>
      </c>
      <c r="E80" s="49"/>
      <c r="F80" s="55">
        <v>1.0</v>
      </c>
      <c r="G80" s="49"/>
      <c r="H80" s="55">
        <v>1.0</v>
      </c>
      <c r="I80" s="49"/>
    </row>
    <row r="81" ht="29.25" customHeight="1">
      <c r="A81" s="3">
        <v>150.0</v>
      </c>
      <c r="B81" s="4" t="s">
        <v>97</v>
      </c>
      <c r="C81" s="47">
        <f t="shared" si="1"/>
        <v>3</v>
      </c>
      <c r="D81" s="55">
        <v>1.0</v>
      </c>
      <c r="E81" s="49"/>
      <c r="F81" s="55">
        <v>1.0</v>
      </c>
      <c r="G81" s="49"/>
      <c r="H81" s="55">
        <v>1.0</v>
      </c>
      <c r="I81" s="49"/>
    </row>
    <row r="82" ht="29.25" customHeight="1">
      <c r="A82" s="3">
        <v>218.0</v>
      </c>
      <c r="B82" s="4" t="s">
        <v>88</v>
      </c>
      <c r="C82" s="47">
        <f t="shared" si="1"/>
        <v>3</v>
      </c>
      <c r="D82" s="55">
        <v>1.0</v>
      </c>
      <c r="E82" s="49"/>
      <c r="F82" s="55">
        <v>1.0</v>
      </c>
      <c r="G82" s="49"/>
      <c r="H82" s="55">
        <v>1.0</v>
      </c>
      <c r="I82" s="49"/>
    </row>
    <row r="83" ht="29.25" customHeight="1">
      <c r="A83" s="3">
        <v>137.0</v>
      </c>
      <c r="B83" s="4" t="s">
        <v>54</v>
      </c>
      <c r="C83" s="47">
        <f t="shared" si="1"/>
        <v>3</v>
      </c>
      <c r="D83" s="55">
        <v>1.0</v>
      </c>
      <c r="E83" s="49"/>
      <c r="F83" s="55">
        <v>1.0</v>
      </c>
      <c r="G83" s="49"/>
      <c r="H83" s="55">
        <v>1.0</v>
      </c>
      <c r="I83" s="49"/>
    </row>
    <row r="84" ht="29.25" customHeight="1">
      <c r="A84" s="3">
        <v>161.0</v>
      </c>
      <c r="B84" s="4" t="s">
        <v>44</v>
      </c>
      <c r="C84" s="47">
        <f t="shared" si="1"/>
        <v>3</v>
      </c>
      <c r="D84" s="55">
        <v>1.0</v>
      </c>
      <c r="E84" s="49"/>
      <c r="F84" s="55">
        <v>1.0</v>
      </c>
      <c r="G84" s="49"/>
      <c r="H84" s="55">
        <v>1.0</v>
      </c>
      <c r="I84" s="49"/>
    </row>
    <row r="85" ht="29.25" customHeight="1">
      <c r="A85" s="3">
        <v>170.0</v>
      </c>
      <c r="B85" s="4" t="s">
        <v>21</v>
      </c>
      <c r="C85" s="47">
        <f t="shared" si="1"/>
        <v>1</v>
      </c>
      <c r="D85" s="55">
        <v>0.0</v>
      </c>
      <c r="E85" s="49"/>
      <c r="F85" s="55">
        <v>1.0</v>
      </c>
      <c r="G85" s="49"/>
      <c r="H85" s="55">
        <v>0.0</v>
      </c>
      <c r="I85" s="49"/>
    </row>
    <row r="86" ht="29.25" customHeight="1">
      <c r="A86" s="3">
        <v>160.0</v>
      </c>
      <c r="B86" s="4" t="s">
        <v>435</v>
      </c>
      <c r="C86" s="47">
        <f t="shared" si="1"/>
        <v>3</v>
      </c>
      <c r="D86" s="55">
        <v>1.0</v>
      </c>
      <c r="E86" s="49"/>
      <c r="F86" s="55">
        <v>1.0</v>
      </c>
      <c r="G86" s="49"/>
      <c r="H86" s="55">
        <v>1.0</v>
      </c>
      <c r="I86" s="49"/>
    </row>
    <row r="87" ht="29.25" customHeight="1">
      <c r="A87" s="3">
        <v>122.0</v>
      </c>
      <c r="B87" s="4" t="s">
        <v>383</v>
      </c>
      <c r="C87" s="47">
        <f t="shared" si="1"/>
        <v>3</v>
      </c>
      <c r="D87" s="55">
        <v>1.0</v>
      </c>
      <c r="E87" s="49"/>
      <c r="F87" s="55">
        <v>1.0</v>
      </c>
      <c r="G87" s="49"/>
      <c r="H87" s="55">
        <v>1.0</v>
      </c>
      <c r="I87" s="49"/>
    </row>
    <row r="88" ht="29.25" customHeight="1">
      <c r="A88" s="3">
        <v>192.0</v>
      </c>
      <c r="B88" s="4" t="s">
        <v>305</v>
      </c>
      <c r="C88" s="47">
        <f t="shared" si="1"/>
        <v>1</v>
      </c>
      <c r="D88" s="55">
        <v>1.0</v>
      </c>
      <c r="E88" s="49"/>
      <c r="F88" s="55">
        <v>0.0</v>
      </c>
      <c r="G88" s="49"/>
      <c r="H88" s="55">
        <v>0.0</v>
      </c>
      <c r="I88" s="49"/>
    </row>
    <row r="89" ht="29.25" customHeight="1">
      <c r="A89" s="3">
        <v>194.0</v>
      </c>
      <c r="B89" s="4" t="s">
        <v>248</v>
      </c>
      <c r="C89" s="47">
        <f t="shared" si="1"/>
        <v>3</v>
      </c>
      <c r="D89" s="55">
        <v>1.0</v>
      </c>
      <c r="E89" s="49"/>
      <c r="F89" s="55">
        <v>1.0</v>
      </c>
      <c r="G89" s="49"/>
      <c r="H89" s="55">
        <v>1.0</v>
      </c>
      <c r="I89" s="49"/>
    </row>
    <row r="90" ht="29.25" customHeight="1">
      <c r="A90" s="3">
        <v>193.0</v>
      </c>
      <c r="B90" s="4" t="s">
        <v>121</v>
      </c>
      <c r="C90" s="47">
        <f t="shared" si="1"/>
        <v>3</v>
      </c>
      <c r="D90" s="55">
        <v>1.0</v>
      </c>
      <c r="E90" s="49"/>
      <c r="F90" s="55">
        <v>1.0</v>
      </c>
      <c r="G90" s="49"/>
      <c r="H90" s="55">
        <v>1.0</v>
      </c>
      <c r="I90" s="49"/>
    </row>
    <row r="91" ht="29.25" customHeight="1">
      <c r="A91" s="3">
        <v>138.0</v>
      </c>
      <c r="B91" s="4" t="s">
        <v>773</v>
      </c>
      <c r="C91" s="47">
        <f t="shared" si="1"/>
        <v>3</v>
      </c>
      <c r="D91" s="55">
        <v>1.0</v>
      </c>
      <c r="E91" s="49"/>
      <c r="F91" s="55">
        <v>1.0</v>
      </c>
      <c r="G91" s="49"/>
      <c r="H91" s="55">
        <v>1.0</v>
      </c>
      <c r="I91" s="49"/>
    </row>
    <row r="92" ht="29.25" customHeight="1">
      <c r="A92" s="3">
        <v>186.0</v>
      </c>
      <c r="B92" s="4" t="s">
        <v>390</v>
      </c>
      <c r="C92" s="47">
        <f t="shared" si="1"/>
        <v>1</v>
      </c>
      <c r="D92" s="55">
        <v>1.0</v>
      </c>
      <c r="E92" s="49"/>
      <c r="F92" s="55">
        <v>0.0</v>
      </c>
      <c r="G92" s="49"/>
      <c r="H92" s="55">
        <v>0.0</v>
      </c>
      <c r="I92" s="49"/>
    </row>
    <row r="93" ht="29.25" customHeight="1">
      <c r="A93" s="3">
        <v>165.0</v>
      </c>
      <c r="B93" s="4" t="s">
        <v>105</v>
      </c>
      <c r="C93" s="47">
        <f t="shared" si="1"/>
        <v>2</v>
      </c>
      <c r="D93" s="55">
        <v>1.0</v>
      </c>
      <c r="E93" s="49"/>
      <c r="F93" s="55">
        <v>0.0</v>
      </c>
      <c r="G93" s="49"/>
      <c r="H93" s="55">
        <v>1.0</v>
      </c>
      <c r="I93" s="49"/>
    </row>
    <row r="94" ht="29.25" customHeight="1">
      <c r="A94" s="3">
        <v>196.0</v>
      </c>
      <c r="B94" s="4" t="s">
        <v>360</v>
      </c>
      <c r="C94" s="47">
        <f t="shared" si="1"/>
        <v>3</v>
      </c>
      <c r="D94" s="55">
        <v>1.0</v>
      </c>
      <c r="E94" s="49"/>
      <c r="F94" s="55">
        <v>1.0</v>
      </c>
      <c r="G94" s="49"/>
      <c r="H94" s="55">
        <v>1.0</v>
      </c>
      <c r="I94" s="49"/>
    </row>
    <row r="95" ht="29.25" customHeight="1">
      <c r="A95" s="3">
        <v>188.0</v>
      </c>
      <c r="B95" s="4" t="s">
        <v>690</v>
      </c>
      <c r="C95" s="47">
        <f t="shared" si="1"/>
        <v>3</v>
      </c>
      <c r="D95" s="55">
        <v>1.0</v>
      </c>
      <c r="E95" s="49"/>
      <c r="F95" s="55">
        <v>1.0</v>
      </c>
      <c r="G95" s="49"/>
      <c r="H95" s="55">
        <v>1.0</v>
      </c>
      <c r="I95" s="49"/>
    </row>
    <row r="96" ht="29.25" customHeight="1">
      <c r="A96" s="3">
        <v>190.0</v>
      </c>
      <c r="B96" s="4" t="s">
        <v>319</v>
      </c>
      <c r="C96" s="47">
        <f t="shared" si="1"/>
        <v>1</v>
      </c>
      <c r="D96" s="55">
        <v>1.0</v>
      </c>
      <c r="E96" s="49"/>
      <c r="F96" s="55">
        <v>0.0</v>
      </c>
      <c r="G96" s="49"/>
      <c r="H96" s="55">
        <v>0.0</v>
      </c>
      <c r="I96" s="49"/>
    </row>
    <row r="97" ht="29.25" customHeight="1">
      <c r="A97" s="3">
        <v>134.0</v>
      </c>
      <c r="B97" s="4" t="s">
        <v>33</v>
      </c>
      <c r="C97" s="47">
        <f t="shared" si="1"/>
        <v>3</v>
      </c>
      <c r="D97" s="55">
        <v>1.0</v>
      </c>
      <c r="E97" s="49"/>
      <c r="F97" s="55">
        <v>1.0</v>
      </c>
      <c r="G97" s="49"/>
      <c r="H97" s="55">
        <v>1.0</v>
      </c>
      <c r="I97" s="49"/>
    </row>
    <row r="98" ht="29.25" customHeight="1">
      <c r="A98" s="3">
        <v>127.0</v>
      </c>
      <c r="B98" s="4" t="s">
        <v>75</v>
      </c>
      <c r="C98" s="47">
        <f t="shared" si="1"/>
        <v>2</v>
      </c>
      <c r="D98" s="55">
        <v>0.0</v>
      </c>
      <c r="E98" s="49"/>
      <c r="F98" s="55">
        <v>1.0</v>
      </c>
      <c r="G98" s="49"/>
      <c r="H98" s="55">
        <v>1.0</v>
      </c>
      <c r="I98" s="49"/>
    </row>
    <row r="99" ht="29.25" customHeight="1">
      <c r="A99" s="3">
        <v>109.0</v>
      </c>
      <c r="B99" s="4" t="s">
        <v>600</v>
      </c>
      <c r="C99" s="47">
        <f t="shared" si="1"/>
        <v>2</v>
      </c>
      <c r="D99" s="55">
        <v>0.0</v>
      </c>
      <c r="E99" s="49"/>
      <c r="F99" s="55">
        <v>1.0</v>
      </c>
      <c r="G99" s="49"/>
      <c r="H99" s="55">
        <v>1.0</v>
      </c>
      <c r="I99" s="49"/>
    </row>
    <row r="100" ht="29.25" customHeight="1">
      <c r="A100" s="3">
        <v>115.0</v>
      </c>
      <c r="B100" s="4" t="s">
        <v>335</v>
      </c>
      <c r="C100" s="47">
        <f t="shared" si="1"/>
        <v>1</v>
      </c>
      <c r="D100" s="55">
        <v>0.0</v>
      </c>
      <c r="E100" s="49"/>
      <c r="F100" s="55">
        <v>1.0</v>
      </c>
      <c r="G100" s="49"/>
      <c r="H100" s="55">
        <v>0.0</v>
      </c>
      <c r="I100" s="49"/>
    </row>
    <row r="101" ht="29.25" customHeight="1">
      <c r="A101" s="3">
        <v>104.0</v>
      </c>
      <c r="B101" s="4" t="s">
        <v>699</v>
      </c>
      <c r="C101" s="47">
        <f t="shared" si="1"/>
        <v>1</v>
      </c>
      <c r="D101" s="55">
        <v>0.0</v>
      </c>
      <c r="E101" s="49"/>
      <c r="F101" s="55">
        <v>1.0</v>
      </c>
      <c r="G101" s="49"/>
      <c r="H101" s="55">
        <v>0.0</v>
      </c>
      <c r="I101" s="49"/>
    </row>
    <row r="102" ht="29.25" customHeight="1">
      <c r="A102" s="48" t="s">
        <v>809</v>
      </c>
      <c r="B102" s="49"/>
      <c r="C102" s="50"/>
      <c r="D102" s="56">
        <f>COUNTIF(D3:E101,1)</f>
        <v>79</v>
      </c>
      <c r="E102" s="49"/>
      <c r="F102" s="56">
        <f>COUNTIF(F3:G101,1)</f>
        <v>86</v>
      </c>
      <c r="G102" s="49"/>
      <c r="H102" s="56">
        <f>COUNTIF(H3:I101,1)</f>
        <v>84</v>
      </c>
      <c r="I102" s="49"/>
    </row>
    <row r="103" ht="29.25" customHeight="1">
      <c r="A103" s="57" t="s">
        <v>814</v>
      </c>
      <c r="C103" s="50"/>
      <c r="D103" s="58">
        <f>D102/COUNT(A3:A101)</f>
        <v>0.797979798</v>
      </c>
      <c r="E103" s="49"/>
      <c r="F103" s="58">
        <f>F102/COUNT(C3:C101)</f>
        <v>0.8686868687</v>
      </c>
      <c r="G103" s="49"/>
      <c r="H103" s="58">
        <f>H102/COUNT(C3:C101)</f>
        <v>0.8484848485</v>
      </c>
      <c r="I103" s="49"/>
    </row>
  </sheetData>
  <mergeCells count="311">
    <mergeCell ref="A1:A2"/>
    <mergeCell ref="B1:B2"/>
    <mergeCell ref="C1:C2"/>
    <mergeCell ref="D1:E1"/>
    <mergeCell ref="F1:G1"/>
    <mergeCell ref="H1:I1"/>
    <mergeCell ref="D3:E3"/>
    <mergeCell ref="F3:G3"/>
    <mergeCell ref="H3:I3"/>
    <mergeCell ref="D4:E4"/>
    <mergeCell ref="F4:G4"/>
    <mergeCell ref="H4:I4"/>
    <mergeCell ref="F5:G5"/>
    <mergeCell ref="H5:I5"/>
    <mergeCell ref="D5:E5"/>
    <mergeCell ref="D6:E6"/>
    <mergeCell ref="F6:G6"/>
    <mergeCell ref="H6:I6"/>
    <mergeCell ref="D7:E7"/>
    <mergeCell ref="F7:G7"/>
    <mergeCell ref="H7:I7"/>
    <mergeCell ref="F10:G10"/>
    <mergeCell ref="H10:I10"/>
    <mergeCell ref="D8:E8"/>
    <mergeCell ref="F8:G8"/>
    <mergeCell ref="H8:I8"/>
    <mergeCell ref="D9:E9"/>
    <mergeCell ref="F9:G9"/>
    <mergeCell ref="H9:I9"/>
    <mergeCell ref="D10:E10"/>
    <mergeCell ref="F13:G13"/>
    <mergeCell ref="H13:I13"/>
    <mergeCell ref="D11:E11"/>
    <mergeCell ref="F11:G11"/>
    <mergeCell ref="H11:I11"/>
    <mergeCell ref="D12:E12"/>
    <mergeCell ref="F12:G12"/>
    <mergeCell ref="H12:I12"/>
    <mergeCell ref="D13:E13"/>
    <mergeCell ref="F25:G25"/>
    <mergeCell ref="H25:I25"/>
    <mergeCell ref="D23:E23"/>
    <mergeCell ref="F23:G23"/>
    <mergeCell ref="H23:I23"/>
    <mergeCell ref="D24:E24"/>
    <mergeCell ref="F24:G24"/>
    <mergeCell ref="H24:I24"/>
    <mergeCell ref="D25:E25"/>
    <mergeCell ref="F28:G28"/>
    <mergeCell ref="H28:I28"/>
    <mergeCell ref="D26:E26"/>
    <mergeCell ref="F26:G26"/>
    <mergeCell ref="H26:I26"/>
    <mergeCell ref="D27:E27"/>
    <mergeCell ref="F27:G27"/>
    <mergeCell ref="H27:I27"/>
    <mergeCell ref="D28:E28"/>
    <mergeCell ref="F31:G31"/>
    <mergeCell ref="H31:I31"/>
    <mergeCell ref="D29:E29"/>
    <mergeCell ref="F29:G29"/>
    <mergeCell ref="H29:I29"/>
    <mergeCell ref="D30:E30"/>
    <mergeCell ref="F30:G30"/>
    <mergeCell ref="H30:I30"/>
    <mergeCell ref="D31:E31"/>
    <mergeCell ref="F34:G34"/>
    <mergeCell ref="H34:I34"/>
    <mergeCell ref="D32:E32"/>
    <mergeCell ref="F32:G32"/>
    <mergeCell ref="H32:I32"/>
    <mergeCell ref="D33:E33"/>
    <mergeCell ref="F33:G33"/>
    <mergeCell ref="H33:I33"/>
    <mergeCell ref="D34:E34"/>
    <mergeCell ref="F37:G37"/>
    <mergeCell ref="H37:I37"/>
    <mergeCell ref="D35:E35"/>
    <mergeCell ref="F35:G35"/>
    <mergeCell ref="H35:I35"/>
    <mergeCell ref="D36:E36"/>
    <mergeCell ref="F36:G36"/>
    <mergeCell ref="H36:I36"/>
    <mergeCell ref="D37:E37"/>
    <mergeCell ref="F40:G40"/>
    <mergeCell ref="H40:I40"/>
    <mergeCell ref="D38:E38"/>
    <mergeCell ref="F38:G38"/>
    <mergeCell ref="H38:I38"/>
    <mergeCell ref="D39:E39"/>
    <mergeCell ref="F39:G39"/>
    <mergeCell ref="H39:I39"/>
    <mergeCell ref="D40:E40"/>
    <mergeCell ref="F43:G43"/>
    <mergeCell ref="H43:I43"/>
    <mergeCell ref="D41:E41"/>
    <mergeCell ref="F41:G41"/>
    <mergeCell ref="H41:I41"/>
    <mergeCell ref="D42:E42"/>
    <mergeCell ref="F42:G42"/>
    <mergeCell ref="H42:I42"/>
    <mergeCell ref="D43:E43"/>
    <mergeCell ref="F46:G46"/>
    <mergeCell ref="H46:I46"/>
    <mergeCell ref="D44:E44"/>
    <mergeCell ref="F44:G44"/>
    <mergeCell ref="H44:I44"/>
    <mergeCell ref="D45:E45"/>
    <mergeCell ref="F45:G45"/>
    <mergeCell ref="H45:I45"/>
    <mergeCell ref="D46:E46"/>
    <mergeCell ref="F49:G49"/>
    <mergeCell ref="H49:I49"/>
    <mergeCell ref="D47:E47"/>
    <mergeCell ref="F47:G47"/>
    <mergeCell ref="H47:I47"/>
    <mergeCell ref="D48:E48"/>
    <mergeCell ref="F48:G48"/>
    <mergeCell ref="H48:I48"/>
    <mergeCell ref="D49:E49"/>
    <mergeCell ref="F52:G52"/>
    <mergeCell ref="H52:I52"/>
    <mergeCell ref="D50:E50"/>
    <mergeCell ref="F50:G50"/>
    <mergeCell ref="H50:I50"/>
    <mergeCell ref="D51:E51"/>
    <mergeCell ref="F51:G51"/>
    <mergeCell ref="H51:I51"/>
    <mergeCell ref="D52:E52"/>
    <mergeCell ref="F55:G55"/>
    <mergeCell ref="H55:I55"/>
    <mergeCell ref="D53:E53"/>
    <mergeCell ref="F53:G53"/>
    <mergeCell ref="H53:I53"/>
    <mergeCell ref="D54:E54"/>
    <mergeCell ref="F54:G54"/>
    <mergeCell ref="H54:I54"/>
    <mergeCell ref="D55:E55"/>
    <mergeCell ref="F58:G58"/>
    <mergeCell ref="H58:I58"/>
    <mergeCell ref="D56:E56"/>
    <mergeCell ref="F56:G56"/>
    <mergeCell ref="H56:I56"/>
    <mergeCell ref="D57:E57"/>
    <mergeCell ref="F57:G57"/>
    <mergeCell ref="H57:I57"/>
    <mergeCell ref="D58:E58"/>
    <mergeCell ref="F61:G61"/>
    <mergeCell ref="H61:I61"/>
    <mergeCell ref="D59:E59"/>
    <mergeCell ref="F59:G59"/>
    <mergeCell ref="H59:I59"/>
    <mergeCell ref="D60:E60"/>
    <mergeCell ref="F60:G60"/>
    <mergeCell ref="H60:I60"/>
    <mergeCell ref="D61:E61"/>
    <mergeCell ref="F85:G85"/>
    <mergeCell ref="H85:I85"/>
    <mergeCell ref="D83:E83"/>
    <mergeCell ref="F83:G83"/>
    <mergeCell ref="H83:I83"/>
    <mergeCell ref="D84:E84"/>
    <mergeCell ref="F84:G84"/>
    <mergeCell ref="H84:I84"/>
    <mergeCell ref="D85:E85"/>
    <mergeCell ref="F88:G88"/>
    <mergeCell ref="H88:I88"/>
    <mergeCell ref="D86:E86"/>
    <mergeCell ref="F86:G86"/>
    <mergeCell ref="H86:I86"/>
    <mergeCell ref="D87:E87"/>
    <mergeCell ref="F87:G87"/>
    <mergeCell ref="H87:I87"/>
    <mergeCell ref="D88:E88"/>
    <mergeCell ref="F91:G91"/>
    <mergeCell ref="H91:I91"/>
    <mergeCell ref="D89:E89"/>
    <mergeCell ref="F89:G89"/>
    <mergeCell ref="H89:I89"/>
    <mergeCell ref="D90:E90"/>
    <mergeCell ref="F90:G90"/>
    <mergeCell ref="H90:I90"/>
    <mergeCell ref="D91:E91"/>
    <mergeCell ref="F94:G94"/>
    <mergeCell ref="H94:I94"/>
    <mergeCell ref="D92:E92"/>
    <mergeCell ref="F92:G92"/>
    <mergeCell ref="H92:I92"/>
    <mergeCell ref="D93:E93"/>
    <mergeCell ref="F93:G93"/>
    <mergeCell ref="H93:I93"/>
    <mergeCell ref="D94:E94"/>
    <mergeCell ref="F97:G97"/>
    <mergeCell ref="H97:I97"/>
    <mergeCell ref="D95:E95"/>
    <mergeCell ref="F95:G95"/>
    <mergeCell ref="H95:I95"/>
    <mergeCell ref="D96:E96"/>
    <mergeCell ref="F96:G96"/>
    <mergeCell ref="H96:I96"/>
    <mergeCell ref="D97:E97"/>
    <mergeCell ref="F100:G100"/>
    <mergeCell ref="H100:I100"/>
    <mergeCell ref="D98:E98"/>
    <mergeCell ref="F98:G98"/>
    <mergeCell ref="H98:I98"/>
    <mergeCell ref="D99:E99"/>
    <mergeCell ref="F99:G99"/>
    <mergeCell ref="H99:I99"/>
    <mergeCell ref="D100:E100"/>
    <mergeCell ref="F16:G16"/>
    <mergeCell ref="H16:I16"/>
    <mergeCell ref="D14:E14"/>
    <mergeCell ref="F14:G14"/>
    <mergeCell ref="H14:I14"/>
    <mergeCell ref="D15:E15"/>
    <mergeCell ref="F15:G15"/>
    <mergeCell ref="H15:I15"/>
    <mergeCell ref="D16:E16"/>
    <mergeCell ref="F19:G19"/>
    <mergeCell ref="H19:I19"/>
    <mergeCell ref="D17:E17"/>
    <mergeCell ref="F17:G17"/>
    <mergeCell ref="H17:I17"/>
    <mergeCell ref="D18:E18"/>
    <mergeCell ref="F18:G18"/>
    <mergeCell ref="H18:I18"/>
    <mergeCell ref="D19:E19"/>
    <mergeCell ref="F22:G22"/>
    <mergeCell ref="H22:I22"/>
    <mergeCell ref="D20:E20"/>
    <mergeCell ref="F20:G20"/>
    <mergeCell ref="H20:I20"/>
    <mergeCell ref="D21:E21"/>
    <mergeCell ref="F21:G21"/>
    <mergeCell ref="H21:I21"/>
    <mergeCell ref="D22:E22"/>
    <mergeCell ref="D101:E101"/>
    <mergeCell ref="F101:G101"/>
    <mergeCell ref="H101:I101"/>
    <mergeCell ref="F64:G64"/>
    <mergeCell ref="H64:I64"/>
    <mergeCell ref="D62:E62"/>
    <mergeCell ref="F62:G62"/>
    <mergeCell ref="H62:I62"/>
    <mergeCell ref="D63:E63"/>
    <mergeCell ref="F63:G63"/>
    <mergeCell ref="H63:I63"/>
    <mergeCell ref="D64:E64"/>
    <mergeCell ref="F67:G67"/>
    <mergeCell ref="H67:I67"/>
    <mergeCell ref="D65:E65"/>
    <mergeCell ref="F65:G65"/>
    <mergeCell ref="H65:I65"/>
    <mergeCell ref="D66:E66"/>
    <mergeCell ref="F66:G66"/>
    <mergeCell ref="H66:I66"/>
    <mergeCell ref="D67:E67"/>
    <mergeCell ref="F70:G70"/>
    <mergeCell ref="H70:I70"/>
    <mergeCell ref="D68:E68"/>
    <mergeCell ref="F68:G68"/>
    <mergeCell ref="H68:I68"/>
    <mergeCell ref="D69:E69"/>
    <mergeCell ref="F69:G69"/>
    <mergeCell ref="H69:I69"/>
    <mergeCell ref="D70:E70"/>
    <mergeCell ref="F73:G73"/>
    <mergeCell ref="H73:I73"/>
    <mergeCell ref="D71:E71"/>
    <mergeCell ref="F71:G71"/>
    <mergeCell ref="H71:I71"/>
    <mergeCell ref="D72:E72"/>
    <mergeCell ref="F72:G72"/>
    <mergeCell ref="H72:I72"/>
    <mergeCell ref="D73:E73"/>
    <mergeCell ref="F76:G76"/>
    <mergeCell ref="H76:I76"/>
    <mergeCell ref="D74:E74"/>
    <mergeCell ref="F74:G74"/>
    <mergeCell ref="H74:I74"/>
    <mergeCell ref="D75:E75"/>
    <mergeCell ref="F75:G75"/>
    <mergeCell ref="H75:I75"/>
    <mergeCell ref="D76:E76"/>
    <mergeCell ref="F79:G79"/>
    <mergeCell ref="H79:I79"/>
    <mergeCell ref="D77:E77"/>
    <mergeCell ref="F77:G77"/>
    <mergeCell ref="H77:I77"/>
    <mergeCell ref="D78:E78"/>
    <mergeCell ref="F78:G78"/>
    <mergeCell ref="H78:I78"/>
    <mergeCell ref="D79:E79"/>
    <mergeCell ref="D80:E80"/>
    <mergeCell ref="F80:G80"/>
    <mergeCell ref="H80:I80"/>
    <mergeCell ref="D81:E81"/>
    <mergeCell ref="F81:G81"/>
    <mergeCell ref="H81:I81"/>
    <mergeCell ref="D82:E82"/>
    <mergeCell ref="D103:E103"/>
    <mergeCell ref="F103:G103"/>
    <mergeCell ref="F82:G82"/>
    <mergeCell ref="H82:I82"/>
    <mergeCell ref="A102:B102"/>
    <mergeCell ref="D102:E102"/>
    <mergeCell ref="F102:G102"/>
    <mergeCell ref="H102:I102"/>
    <mergeCell ref="A103:B103"/>
    <mergeCell ref="H103:I10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14.13"/>
    <col customWidth="1" min="3" max="4" width="21.25"/>
  </cols>
  <sheetData>
    <row r="1">
      <c r="A1" s="59" t="s">
        <v>822</v>
      </c>
      <c r="B1" s="60" t="s">
        <v>823</v>
      </c>
      <c r="C1" s="61" t="s">
        <v>824</v>
      </c>
      <c r="D1" s="60" t="s">
        <v>825</v>
      </c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40"/>
      <c r="X1" s="40"/>
      <c r="Y1" s="40"/>
      <c r="Z1" s="40"/>
    </row>
    <row r="2">
      <c r="A2" s="62">
        <v>45360.0</v>
      </c>
      <c r="B2" s="63" t="s">
        <v>810</v>
      </c>
      <c r="C2" s="63" t="s">
        <v>826</v>
      </c>
      <c r="D2" s="64" t="s">
        <v>827</v>
      </c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40"/>
      <c r="X2" s="40"/>
      <c r="Y2" s="40"/>
      <c r="Z2" s="40"/>
    </row>
    <row r="3">
      <c r="A3" s="65">
        <v>45731.0</v>
      </c>
      <c r="B3" s="66" t="s">
        <v>810</v>
      </c>
      <c r="C3" s="67" t="s">
        <v>828</v>
      </c>
      <c r="D3" s="67" t="s">
        <v>829</v>
      </c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>
      <c r="A4" s="65">
        <v>45731.0</v>
      </c>
      <c r="B4" s="66" t="s">
        <v>810</v>
      </c>
      <c r="C4" s="67" t="s">
        <v>830</v>
      </c>
      <c r="D4" s="67" t="s">
        <v>829</v>
      </c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>
      <c r="A5" s="65">
        <v>45731.0</v>
      </c>
      <c r="B5" s="66" t="s">
        <v>810</v>
      </c>
      <c r="C5" s="67" t="s">
        <v>831</v>
      </c>
      <c r="D5" s="67" t="s">
        <v>829</v>
      </c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>
      <c r="A6" s="65">
        <v>45731.0</v>
      </c>
      <c r="B6" s="66" t="s">
        <v>810</v>
      </c>
      <c r="C6" s="67" t="s">
        <v>832</v>
      </c>
      <c r="D6" s="67" t="s">
        <v>829</v>
      </c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>
      <c r="A7" s="65">
        <v>45731.0</v>
      </c>
      <c r="B7" s="66" t="s">
        <v>810</v>
      </c>
      <c r="C7" s="67" t="s">
        <v>832</v>
      </c>
      <c r="D7" s="67" t="s">
        <v>829</v>
      </c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>
      <c r="A8" s="65">
        <v>45731.0</v>
      </c>
      <c r="B8" s="66" t="s">
        <v>810</v>
      </c>
      <c r="C8" s="67" t="s">
        <v>833</v>
      </c>
      <c r="D8" s="68" t="s">
        <v>827</v>
      </c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>
      <c r="A9" s="65">
        <v>45735.0</v>
      </c>
      <c r="B9" s="66" t="s">
        <v>811</v>
      </c>
      <c r="C9" s="67" t="s">
        <v>834</v>
      </c>
      <c r="D9" s="68" t="s">
        <v>827</v>
      </c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>
      <c r="A10" s="65">
        <v>45735.0</v>
      </c>
      <c r="B10" s="66" t="s">
        <v>811</v>
      </c>
      <c r="C10" s="67" t="s">
        <v>835</v>
      </c>
      <c r="D10" s="68" t="s">
        <v>827</v>
      </c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>
      <c r="A11" s="65">
        <v>45735.0</v>
      </c>
      <c r="B11" s="66" t="s">
        <v>811</v>
      </c>
      <c r="C11" s="67" t="s">
        <v>836</v>
      </c>
      <c r="D11" s="68" t="s">
        <v>827</v>
      </c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>
      <c r="A12" s="65">
        <v>45735.0</v>
      </c>
      <c r="B12" s="66" t="s">
        <v>811</v>
      </c>
      <c r="C12" s="67" t="s">
        <v>836</v>
      </c>
      <c r="D12" s="68" t="s">
        <v>827</v>
      </c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>
      <c r="A13" s="65">
        <v>45735.0</v>
      </c>
      <c r="B13" s="66" t="s">
        <v>811</v>
      </c>
      <c r="C13" s="67" t="s">
        <v>837</v>
      </c>
      <c r="D13" s="67" t="s">
        <v>838</v>
      </c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>
      <c r="A14" s="65">
        <v>45735.0</v>
      </c>
      <c r="B14" s="66" t="s">
        <v>811</v>
      </c>
      <c r="C14" s="67" t="s">
        <v>839</v>
      </c>
      <c r="D14" s="68" t="s">
        <v>827</v>
      </c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>
      <c r="A15" s="65">
        <v>45735.0</v>
      </c>
      <c r="B15" s="66" t="s">
        <v>811</v>
      </c>
      <c r="C15" s="67" t="s">
        <v>839</v>
      </c>
      <c r="D15" s="68" t="s">
        <v>827</v>
      </c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>
      <c r="A16" s="65">
        <v>45735.0</v>
      </c>
      <c r="B16" s="66" t="s">
        <v>811</v>
      </c>
      <c r="C16" s="67" t="s">
        <v>840</v>
      </c>
      <c r="D16" s="68" t="s">
        <v>827</v>
      </c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>
      <c r="A17" s="65">
        <v>45735.0</v>
      </c>
      <c r="B17" s="66" t="s">
        <v>811</v>
      </c>
      <c r="C17" s="67" t="s">
        <v>841</v>
      </c>
      <c r="D17" s="68" t="s">
        <v>827</v>
      </c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>
      <c r="A18" s="65">
        <v>45735.0</v>
      </c>
      <c r="B18" s="66" t="s">
        <v>811</v>
      </c>
      <c r="C18" s="67" t="s">
        <v>842</v>
      </c>
      <c r="D18" s="68" t="s">
        <v>827</v>
      </c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>
      <c r="A19" s="65">
        <v>45738.0</v>
      </c>
      <c r="B19" s="66" t="s">
        <v>810</v>
      </c>
      <c r="C19" s="67" t="s">
        <v>843</v>
      </c>
      <c r="D19" s="68" t="s">
        <v>827</v>
      </c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>
      <c r="A20" s="65">
        <v>45738.0</v>
      </c>
      <c r="B20" s="66" t="s">
        <v>810</v>
      </c>
      <c r="C20" s="67" t="s">
        <v>844</v>
      </c>
      <c r="D20" s="68" t="s">
        <v>827</v>
      </c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>
      <c r="A21" s="65">
        <v>45738.0</v>
      </c>
      <c r="B21" s="66" t="s">
        <v>810</v>
      </c>
      <c r="C21" s="67" t="s">
        <v>845</v>
      </c>
      <c r="D21" s="68" t="s">
        <v>827</v>
      </c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>
      <c r="A22" s="65">
        <v>45738.0</v>
      </c>
      <c r="B22" s="66" t="s">
        <v>810</v>
      </c>
      <c r="C22" s="67" t="s">
        <v>846</v>
      </c>
      <c r="D22" s="68" t="s">
        <v>827</v>
      </c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>
      <c r="A23" s="65">
        <v>45738.0</v>
      </c>
      <c r="B23" s="66" t="s">
        <v>810</v>
      </c>
      <c r="C23" s="67" t="s">
        <v>847</v>
      </c>
      <c r="D23" s="68" t="s">
        <v>827</v>
      </c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>
      <c r="A24" s="65">
        <v>45738.0</v>
      </c>
      <c r="B24" s="66" t="s">
        <v>810</v>
      </c>
      <c r="C24" s="67" t="s">
        <v>848</v>
      </c>
      <c r="D24" s="68" t="s">
        <v>827</v>
      </c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>
      <c r="A25" s="65">
        <v>45738.0</v>
      </c>
      <c r="B25" s="66" t="s">
        <v>810</v>
      </c>
      <c r="C25" s="67" t="s">
        <v>847</v>
      </c>
      <c r="D25" s="68" t="s">
        <v>827</v>
      </c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>
      <c r="A26" s="65">
        <v>45738.0</v>
      </c>
      <c r="B26" s="66" t="s">
        <v>810</v>
      </c>
      <c r="C26" s="67" t="s">
        <v>849</v>
      </c>
      <c r="D26" s="68" t="s">
        <v>827</v>
      </c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>
      <c r="A27" s="65">
        <v>45738.0</v>
      </c>
      <c r="B27" s="66" t="s">
        <v>810</v>
      </c>
      <c r="C27" s="67" t="s">
        <v>850</v>
      </c>
      <c r="D27" s="68" t="s">
        <v>827</v>
      </c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>
      <c r="A28" s="65">
        <v>45738.0</v>
      </c>
      <c r="B28" s="66" t="s">
        <v>810</v>
      </c>
      <c r="C28" s="67" t="s">
        <v>848</v>
      </c>
      <c r="D28" s="68" t="s">
        <v>827</v>
      </c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>
      <c r="A29" s="65">
        <v>45738.0</v>
      </c>
      <c r="B29" s="66" t="s">
        <v>810</v>
      </c>
      <c r="C29" s="67" t="s">
        <v>851</v>
      </c>
      <c r="D29" s="68" t="s">
        <v>827</v>
      </c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>
      <c r="A30" s="65">
        <v>45738.0</v>
      </c>
      <c r="B30" s="66" t="s">
        <v>810</v>
      </c>
      <c r="C30" s="67" t="s">
        <v>851</v>
      </c>
      <c r="D30" s="67" t="s">
        <v>852</v>
      </c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>
      <c r="A31" s="65">
        <v>45738.0</v>
      </c>
      <c r="B31" s="66" t="s">
        <v>810</v>
      </c>
      <c r="C31" s="67" t="s">
        <v>848</v>
      </c>
      <c r="D31" s="67" t="s">
        <v>853</v>
      </c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>
      <c r="A32" s="65">
        <v>45738.0</v>
      </c>
      <c r="B32" s="66" t="s">
        <v>810</v>
      </c>
      <c r="C32" s="67" t="s">
        <v>849</v>
      </c>
      <c r="D32" s="67" t="s">
        <v>854</v>
      </c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>
      <c r="A33" s="65">
        <v>45738.0</v>
      </c>
      <c r="B33" s="66" t="s">
        <v>810</v>
      </c>
      <c r="C33" s="67" t="s">
        <v>855</v>
      </c>
      <c r="D33" s="68" t="s">
        <v>827</v>
      </c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>
      <c r="A34" s="65">
        <v>45742.0</v>
      </c>
      <c r="B34" s="66" t="s">
        <v>811</v>
      </c>
      <c r="C34" s="67" t="s">
        <v>856</v>
      </c>
      <c r="D34" s="68" t="s">
        <v>827</v>
      </c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>
      <c r="A35" s="65">
        <v>45742.0</v>
      </c>
      <c r="B35" s="66" t="s">
        <v>811</v>
      </c>
      <c r="C35" s="67" t="s">
        <v>857</v>
      </c>
      <c r="D35" s="68" t="s">
        <v>827</v>
      </c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>
      <c r="A36" s="65">
        <v>45742.0</v>
      </c>
      <c r="B36" s="66" t="s">
        <v>811</v>
      </c>
      <c r="C36" s="67" t="s">
        <v>857</v>
      </c>
      <c r="D36" s="68" t="s">
        <v>827</v>
      </c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>
      <c r="A37" s="65">
        <v>45742.0</v>
      </c>
      <c r="B37" s="66" t="s">
        <v>811</v>
      </c>
      <c r="C37" s="67" t="s">
        <v>858</v>
      </c>
      <c r="D37" s="68" t="s">
        <v>827</v>
      </c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>
      <c r="A38" s="65">
        <v>45742.0</v>
      </c>
      <c r="B38" s="66" t="s">
        <v>811</v>
      </c>
      <c r="C38" s="67" t="s">
        <v>858</v>
      </c>
      <c r="D38" s="68" t="s">
        <v>827</v>
      </c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>
      <c r="A39" s="65">
        <v>45742.0</v>
      </c>
      <c r="B39" s="66" t="s">
        <v>811</v>
      </c>
      <c r="C39" s="67" t="s">
        <v>859</v>
      </c>
      <c r="D39" s="68" t="s">
        <v>827</v>
      </c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>
      <c r="A40" s="65">
        <v>45742.0</v>
      </c>
      <c r="B40" s="66" t="s">
        <v>811</v>
      </c>
      <c r="C40" s="67" t="s">
        <v>845</v>
      </c>
      <c r="D40" s="68" t="s">
        <v>827</v>
      </c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>
      <c r="A41" s="65">
        <v>45742.0</v>
      </c>
      <c r="B41" s="66" t="s">
        <v>811</v>
      </c>
      <c r="C41" s="67" t="s">
        <v>834</v>
      </c>
      <c r="D41" s="68" t="s">
        <v>827</v>
      </c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>
      <c r="A42" s="65">
        <v>45742.0</v>
      </c>
      <c r="B42" s="66" t="s">
        <v>811</v>
      </c>
      <c r="C42" s="67" t="s">
        <v>860</v>
      </c>
      <c r="D42" s="68" t="s">
        <v>827</v>
      </c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>
      <c r="A43" s="65">
        <v>45742.0</v>
      </c>
      <c r="B43" s="66" t="s">
        <v>811</v>
      </c>
      <c r="C43" s="67" t="s">
        <v>861</v>
      </c>
      <c r="D43" s="68" t="s">
        <v>827</v>
      </c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>
      <c r="A44" s="65">
        <v>45742.0</v>
      </c>
      <c r="B44" s="66" t="s">
        <v>811</v>
      </c>
      <c r="C44" s="67" t="s">
        <v>862</v>
      </c>
      <c r="D44" s="68" t="s">
        <v>827</v>
      </c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>
      <c r="A45" s="65">
        <v>45742.0</v>
      </c>
      <c r="B45" s="66" t="s">
        <v>811</v>
      </c>
      <c r="C45" s="67" t="s">
        <v>863</v>
      </c>
      <c r="D45" s="68" t="s">
        <v>827</v>
      </c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>
      <c r="A46" s="65">
        <v>45742.0</v>
      </c>
      <c r="B46" s="66" t="s">
        <v>811</v>
      </c>
      <c r="C46" s="67" t="s">
        <v>859</v>
      </c>
      <c r="D46" s="67" t="s">
        <v>864</v>
      </c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>
      <c r="A47" s="65">
        <v>45742.0</v>
      </c>
      <c r="B47" s="66" t="s">
        <v>811</v>
      </c>
      <c r="C47" s="67" t="s">
        <v>862</v>
      </c>
      <c r="D47" s="67" t="s">
        <v>865</v>
      </c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>
      <c r="A48" s="65">
        <v>45742.0</v>
      </c>
      <c r="B48" s="66" t="s">
        <v>811</v>
      </c>
      <c r="C48" s="67" t="s">
        <v>860</v>
      </c>
      <c r="D48" s="67" t="s">
        <v>866</v>
      </c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>
      <c r="A49" s="65">
        <v>45742.0</v>
      </c>
      <c r="B49" s="66" t="s">
        <v>811</v>
      </c>
      <c r="C49" s="67" t="s">
        <v>867</v>
      </c>
      <c r="D49" s="68" t="s">
        <v>827</v>
      </c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>
      <c r="A50" s="65">
        <v>45742.0</v>
      </c>
      <c r="B50" s="66" t="s">
        <v>811</v>
      </c>
      <c r="C50" s="67" t="s">
        <v>868</v>
      </c>
      <c r="D50" s="68" t="s">
        <v>827</v>
      </c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>
      <c r="A51" s="65">
        <v>45742.0</v>
      </c>
      <c r="B51" s="66" t="s">
        <v>811</v>
      </c>
      <c r="C51" s="67" t="s">
        <v>868</v>
      </c>
      <c r="D51" s="68" t="s">
        <v>827</v>
      </c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>
      <c r="A52" s="65">
        <v>45742.0</v>
      </c>
      <c r="B52" s="66" t="s">
        <v>811</v>
      </c>
      <c r="C52" s="68" t="s">
        <v>827</v>
      </c>
      <c r="D52" s="67" t="s">
        <v>869</v>
      </c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>
      <c r="A53" s="65">
        <v>45742.0</v>
      </c>
      <c r="B53" s="66" t="s">
        <v>811</v>
      </c>
      <c r="C53" s="67" t="s">
        <v>870</v>
      </c>
      <c r="D53" s="68" t="s">
        <v>827</v>
      </c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>
      <c r="A54" s="65">
        <v>45742.0</v>
      </c>
      <c r="B54" s="66" t="s">
        <v>811</v>
      </c>
      <c r="C54" s="67" t="s">
        <v>871</v>
      </c>
      <c r="D54" s="68" t="s">
        <v>827</v>
      </c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>
      <c r="A55" s="65">
        <v>45742.0</v>
      </c>
      <c r="B55" s="66" t="s">
        <v>811</v>
      </c>
      <c r="C55" s="67" t="s">
        <v>872</v>
      </c>
      <c r="D55" s="68" t="s">
        <v>827</v>
      </c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>
      <c r="A56" s="65">
        <v>45742.0</v>
      </c>
      <c r="B56" s="66" t="s">
        <v>811</v>
      </c>
      <c r="C56" s="67" t="s">
        <v>873</v>
      </c>
      <c r="D56" s="68" t="s">
        <v>827</v>
      </c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>
      <c r="A57" s="65">
        <v>45742.0</v>
      </c>
      <c r="B57" s="66" t="s">
        <v>811</v>
      </c>
      <c r="C57" s="67" t="s">
        <v>874</v>
      </c>
      <c r="D57" s="68" t="s">
        <v>827</v>
      </c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>
      <c r="A58" s="65">
        <v>45742.0</v>
      </c>
      <c r="B58" s="66" t="s">
        <v>811</v>
      </c>
      <c r="C58" s="67" t="s">
        <v>875</v>
      </c>
      <c r="D58" s="68" t="s">
        <v>827</v>
      </c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>
      <c r="A59" s="65">
        <v>45742.0</v>
      </c>
      <c r="B59" s="66" t="s">
        <v>811</v>
      </c>
      <c r="C59" s="67" t="s">
        <v>876</v>
      </c>
      <c r="D59" s="68" t="s">
        <v>827</v>
      </c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>
      <c r="A60" s="65">
        <v>45745.0</v>
      </c>
      <c r="B60" s="66" t="s">
        <v>810</v>
      </c>
      <c r="C60" s="67" t="s">
        <v>877</v>
      </c>
      <c r="D60" s="68" t="s">
        <v>827</v>
      </c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>
      <c r="A61" s="65">
        <v>45745.0</v>
      </c>
      <c r="B61" s="66" t="s">
        <v>810</v>
      </c>
      <c r="C61" s="67" t="s">
        <v>878</v>
      </c>
      <c r="D61" s="68" t="s">
        <v>827</v>
      </c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>
      <c r="A62" s="65">
        <v>45745.0</v>
      </c>
      <c r="B62" s="66" t="s">
        <v>810</v>
      </c>
      <c r="C62" s="67" t="s">
        <v>879</v>
      </c>
      <c r="D62" s="68" t="s">
        <v>827</v>
      </c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>
      <c r="A63" s="65">
        <v>45745.0</v>
      </c>
      <c r="B63" s="66" t="s">
        <v>810</v>
      </c>
      <c r="C63" s="67" t="s">
        <v>834</v>
      </c>
      <c r="D63" s="68" t="s">
        <v>827</v>
      </c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>
      <c r="A64" s="65">
        <v>45745.0</v>
      </c>
      <c r="B64" s="66" t="s">
        <v>810</v>
      </c>
      <c r="C64" s="67" t="s">
        <v>880</v>
      </c>
      <c r="D64" s="68" t="s">
        <v>827</v>
      </c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>
      <c r="A65" s="65">
        <v>45745.0</v>
      </c>
      <c r="B65" s="66" t="s">
        <v>810</v>
      </c>
      <c r="C65" s="67" t="s">
        <v>881</v>
      </c>
      <c r="D65" s="68" t="s">
        <v>827</v>
      </c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>
      <c r="A66" s="65">
        <v>45745.0</v>
      </c>
      <c r="B66" s="66" t="s">
        <v>810</v>
      </c>
      <c r="C66" s="67" t="s">
        <v>882</v>
      </c>
      <c r="D66" s="68" t="s">
        <v>827</v>
      </c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>
      <c r="A67" s="65">
        <v>45745.0</v>
      </c>
      <c r="B67" s="66" t="s">
        <v>810</v>
      </c>
      <c r="C67" s="67" t="s">
        <v>879</v>
      </c>
      <c r="D67" s="68" t="s">
        <v>827</v>
      </c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>
      <c r="A68" s="65">
        <v>45745.0</v>
      </c>
      <c r="B68" s="66" t="s">
        <v>810</v>
      </c>
      <c r="C68" s="67" t="s">
        <v>883</v>
      </c>
      <c r="D68" s="68" t="s">
        <v>827</v>
      </c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>
      <c r="A69" s="65">
        <v>45745.0</v>
      </c>
      <c r="B69" s="66" t="s">
        <v>810</v>
      </c>
      <c r="C69" s="67" t="s">
        <v>882</v>
      </c>
      <c r="D69" s="68" t="s">
        <v>827</v>
      </c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>
      <c r="A70" s="65">
        <v>45745.0</v>
      </c>
      <c r="B70" s="66" t="s">
        <v>810</v>
      </c>
      <c r="C70" s="67" t="s">
        <v>879</v>
      </c>
      <c r="D70" s="67" t="s">
        <v>853</v>
      </c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>
      <c r="A71" s="65">
        <v>45745.0</v>
      </c>
      <c r="B71" s="66" t="s">
        <v>810</v>
      </c>
      <c r="C71" s="67" t="s">
        <v>884</v>
      </c>
      <c r="D71" s="68" t="s">
        <v>827</v>
      </c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>
      <c r="A72" s="65">
        <v>45745.0</v>
      </c>
      <c r="B72" s="66" t="s">
        <v>810</v>
      </c>
      <c r="C72" s="67" t="s">
        <v>884</v>
      </c>
      <c r="D72" s="68" t="s">
        <v>827</v>
      </c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>
      <c r="A73" s="65">
        <v>45745.0</v>
      </c>
      <c r="B73" s="66" t="s">
        <v>810</v>
      </c>
      <c r="C73" s="67" t="s">
        <v>885</v>
      </c>
      <c r="D73" s="68" t="s">
        <v>827</v>
      </c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>
      <c r="A74" s="65">
        <v>45745.0</v>
      </c>
      <c r="B74" s="66" t="s">
        <v>810</v>
      </c>
      <c r="C74" s="67" t="s">
        <v>885</v>
      </c>
      <c r="D74" s="68" t="s">
        <v>827</v>
      </c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>
      <c r="A75" s="65">
        <v>45745.0</v>
      </c>
      <c r="B75" s="66" t="s">
        <v>810</v>
      </c>
      <c r="C75" s="67" t="s">
        <v>876</v>
      </c>
      <c r="D75" s="68" t="s">
        <v>827</v>
      </c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>
      <c r="A76" s="65">
        <v>45752.0</v>
      </c>
      <c r="B76" s="66" t="s">
        <v>810</v>
      </c>
      <c r="C76" s="67" t="s">
        <v>886</v>
      </c>
      <c r="D76" s="68" t="s">
        <v>827</v>
      </c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>
      <c r="A77" s="65">
        <v>45752.0</v>
      </c>
      <c r="B77" s="66" t="s">
        <v>810</v>
      </c>
      <c r="C77" s="67" t="s">
        <v>867</v>
      </c>
      <c r="D77" s="68" t="s">
        <v>827</v>
      </c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>
      <c r="A78" s="65">
        <v>45752.0</v>
      </c>
      <c r="B78" s="66" t="s">
        <v>810</v>
      </c>
      <c r="C78" s="67" t="s">
        <v>887</v>
      </c>
      <c r="D78" s="68" t="s">
        <v>827</v>
      </c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>
      <c r="A79" s="65">
        <v>45752.0</v>
      </c>
      <c r="B79" s="66" t="s">
        <v>810</v>
      </c>
      <c r="C79" s="67" t="s">
        <v>888</v>
      </c>
      <c r="D79" s="68" t="s">
        <v>827</v>
      </c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>
      <c r="A80" s="65">
        <v>45752.0</v>
      </c>
      <c r="B80" s="66" t="s">
        <v>810</v>
      </c>
      <c r="C80" s="67" t="s">
        <v>887</v>
      </c>
      <c r="D80" s="67" t="s">
        <v>853</v>
      </c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>
      <c r="A81" s="65">
        <v>45752.0</v>
      </c>
      <c r="B81" s="66" t="s">
        <v>810</v>
      </c>
      <c r="C81" s="67" t="s">
        <v>889</v>
      </c>
      <c r="D81" s="68" t="s">
        <v>827</v>
      </c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>
      <c r="A82" s="65">
        <v>45752.0</v>
      </c>
      <c r="B82" s="66" t="s">
        <v>810</v>
      </c>
      <c r="C82" s="67" t="s">
        <v>876</v>
      </c>
      <c r="D82" s="68" t="s">
        <v>827</v>
      </c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>
      <c r="A83" s="65">
        <v>45752.0</v>
      </c>
      <c r="B83" s="66" t="s">
        <v>810</v>
      </c>
      <c r="C83" s="67" t="s">
        <v>890</v>
      </c>
      <c r="D83" s="68" t="s">
        <v>827</v>
      </c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>
      <c r="A84" s="65">
        <v>45752.0</v>
      </c>
      <c r="B84" s="66" t="s">
        <v>810</v>
      </c>
      <c r="C84" s="67" t="s">
        <v>891</v>
      </c>
      <c r="D84" s="68" t="s">
        <v>827</v>
      </c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>
      <c r="A85" s="65">
        <v>45752.0</v>
      </c>
      <c r="B85" s="66" t="s">
        <v>810</v>
      </c>
      <c r="C85" s="67" t="s">
        <v>892</v>
      </c>
      <c r="D85" s="68" t="s">
        <v>827</v>
      </c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>
      <c r="A86" s="65">
        <v>45752.0</v>
      </c>
      <c r="B86" s="66" t="s">
        <v>812</v>
      </c>
      <c r="C86" s="67" t="s">
        <v>893</v>
      </c>
      <c r="D86" s="68" t="s">
        <v>827</v>
      </c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>
      <c r="A87" s="65">
        <v>45752.0</v>
      </c>
      <c r="B87" s="66" t="s">
        <v>812</v>
      </c>
      <c r="C87" s="67" t="s">
        <v>893</v>
      </c>
      <c r="D87" s="68" t="s">
        <v>827</v>
      </c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>
      <c r="A88" s="65">
        <v>45752.0</v>
      </c>
      <c r="B88" s="66" t="s">
        <v>812</v>
      </c>
      <c r="C88" s="67" t="s">
        <v>893</v>
      </c>
      <c r="D88" s="68" t="s">
        <v>827</v>
      </c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>
      <c r="A89" s="65">
        <v>45752.0</v>
      </c>
      <c r="B89" s="66" t="s">
        <v>812</v>
      </c>
      <c r="C89" s="67" t="s">
        <v>894</v>
      </c>
      <c r="D89" s="68" t="s">
        <v>827</v>
      </c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>
      <c r="A90" s="65">
        <v>45752.0</v>
      </c>
      <c r="B90" s="66" t="s">
        <v>812</v>
      </c>
      <c r="C90" s="67" t="s">
        <v>895</v>
      </c>
      <c r="D90" s="68" t="s">
        <v>827</v>
      </c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>
      <c r="A91" s="65">
        <v>45752.0</v>
      </c>
      <c r="B91" s="66" t="s">
        <v>812</v>
      </c>
      <c r="C91" s="67" t="s">
        <v>895</v>
      </c>
      <c r="D91" s="68" t="s">
        <v>827</v>
      </c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>
      <c r="A92" s="65">
        <v>45752.0</v>
      </c>
      <c r="B92" s="66" t="s">
        <v>812</v>
      </c>
      <c r="C92" s="67" t="s">
        <v>896</v>
      </c>
      <c r="D92" s="68" t="s">
        <v>827</v>
      </c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>
      <c r="A93" s="65">
        <v>45752.0</v>
      </c>
      <c r="B93" s="66" t="s">
        <v>812</v>
      </c>
      <c r="C93" s="67" t="s">
        <v>897</v>
      </c>
      <c r="D93" s="68" t="s">
        <v>827</v>
      </c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>
      <c r="A94" s="65">
        <v>45752.0</v>
      </c>
      <c r="B94" s="66" t="s">
        <v>812</v>
      </c>
      <c r="C94" s="67" t="s">
        <v>898</v>
      </c>
      <c r="D94" s="68" t="s">
        <v>827</v>
      </c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>
      <c r="A95" s="65">
        <v>45752.0</v>
      </c>
      <c r="B95" s="66" t="s">
        <v>810</v>
      </c>
      <c r="C95" s="67" t="s">
        <v>899</v>
      </c>
      <c r="D95" s="68" t="s">
        <v>827</v>
      </c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>
      <c r="A96" s="65">
        <v>45753.0</v>
      </c>
      <c r="B96" s="66" t="s">
        <v>812</v>
      </c>
      <c r="C96" s="67" t="s">
        <v>900</v>
      </c>
      <c r="D96" s="68" t="s">
        <v>827</v>
      </c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>
      <c r="A97" s="65">
        <v>45752.0</v>
      </c>
      <c r="B97" s="66" t="s">
        <v>812</v>
      </c>
      <c r="C97" s="67" t="s">
        <v>835</v>
      </c>
      <c r="D97" s="68" t="s">
        <v>827</v>
      </c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>
      <c r="A98" s="65">
        <v>45752.0</v>
      </c>
      <c r="B98" s="66" t="s">
        <v>810</v>
      </c>
      <c r="C98" s="67" t="s">
        <v>892</v>
      </c>
      <c r="D98" s="68" t="s">
        <v>827</v>
      </c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>
      <c r="A99" s="65">
        <v>45752.0</v>
      </c>
      <c r="B99" s="66" t="s">
        <v>810</v>
      </c>
      <c r="C99" s="67" t="s">
        <v>861</v>
      </c>
      <c r="D99" s="68" t="s">
        <v>827</v>
      </c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>
      <c r="A100" s="65">
        <v>45752.0</v>
      </c>
      <c r="B100" s="66" t="s">
        <v>810</v>
      </c>
      <c r="C100" s="67" t="s">
        <v>901</v>
      </c>
      <c r="D100" s="68" t="s">
        <v>827</v>
      </c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>
      <c r="A101" s="65">
        <v>45756.0</v>
      </c>
      <c r="B101" s="66" t="s">
        <v>811</v>
      </c>
      <c r="C101" s="67" t="s">
        <v>902</v>
      </c>
      <c r="D101" s="68" t="s">
        <v>827</v>
      </c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>
      <c r="A102" s="65">
        <v>45756.0</v>
      </c>
      <c r="B102" s="66" t="s">
        <v>811</v>
      </c>
      <c r="C102" s="67" t="s">
        <v>903</v>
      </c>
      <c r="D102" s="68" t="s">
        <v>827</v>
      </c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>
      <c r="A103" s="65">
        <v>45756.0</v>
      </c>
      <c r="B103" s="66" t="s">
        <v>811</v>
      </c>
      <c r="C103" s="67" t="s">
        <v>904</v>
      </c>
      <c r="D103" s="68" t="s">
        <v>827</v>
      </c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>
      <c r="A104" s="65">
        <v>45756.0</v>
      </c>
      <c r="B104" s="66" t="s">
        <v>811</v>
      </c>
      <c r="C104" s="67" t="s">
        <v>877</v>
      </c>
      <c r="D104" s="68" t="s">
        <v>827</v>
      </c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>
      <c r="A105" s="65">
        <v>45756.0</v>
      </c>
      <c r="B105" s="66" t="s">
        <v>811</v>
      </c>
      <c r="C105" s="67" t="s">
        <v>877</v>
      </c>
      <c r="D105" s="68" t="s">
        <v>827</v>
      </c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>
      <c r="A106" s="65">
        <v>45756.0</v>
      </c>
      <c r="B106" s="66" t="s">
        <v>811</v>
      </c>
      <c r="C106" s="67" t="s">
        <v>905</v>
      </c>
      <c r="D106" s="68" t="s">
        <v>827</v>
      </c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>
      <c r="A107" s="65">
        <v>45756.0</v>
      </c>
      <c r="B107" s="66" t="s">
        <v>811</v>
      </c>
      <c r="C107" s="67" t="s">
        <v>906</v>
      </c>
      <c r="D107" s="68" t="s">
        <v>827</v>
      </c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>
      <c r="A108" s="65">
        <v>45756.0</v>
      </c>
      <c r="B108" s="66" t="s">
        <v>811</v>
      </c>
      <c r="C108" s="67" t="s">
        <v>907</v>
      </c>
      <c r="D108" s="68" t="s">
        <v>827</v>
      </c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>
      <c r="A109" s="65">
        <v>45756.0</v>
      </c>
      <c r="B109" s="66" t="s">
        <v>811</v>
      </c>
      <c r="C109" s="67" t="s">
        <v>907</v>
      </c>
      <c r="D109" s="68" t="s">
        <v>827</v>
      </c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>
      <c r="A110" s="65">
        <v>45756.0</v>
      </c>
      <c r="B110" s="66" t="s">
        <v>811</v>
      </c>
      <c r="C110" s="67" t="s">
        <v>876</v>
      </c>
      <c r="D110" s="68" t="s">
        <v>827</v>
      </c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>
      <c r="A111" s="65">
        <v>45756.0</v>
      </c>
      <c r="B111" s="66" t="s">
        <v>811</v>
      </c>
      <c r="C111" s="67" t="s">
        <v>876</v>
      </c>
      <c r="D111" s="68" t="s">
        <v>827</v>
      </c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>
      <c r="A112" s="65">
        <v>45756.0</v>
      </c>
      <c r="B112" s="66" t="s">
        <v>811</v>
      </c>
      <c r="C112" s="67" t="s">
        <v>908</v>
      </c>
      <c r="D112" s="68" t="s">
        <v>827</v>
      </c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>
      <c r="A113" s="65">
        <v>45756.0</v>
      </c>
      <c r="B113" s="66" t="s">
        <v>811</v>
      </c>
      <c r="C113" s="67" t="s">
        <v>909</v>
      </c>
      <c r="D113" s="68" t="s">
        <v>827</v>
      </c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>
      <c r="A114" s="65">
        <v>45756.0</v>
      </c>
      <c r="B114" s="66" t="s">
        <v>811</v>
      </c>
      <c r="C114" s="67" t="s">
        <v>910</v>
      </c>
      <c r="D114" s="68" t="s">
        <v>827</v>
      </c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>
      <c r="A115" s="65">
        <v>45756.0</v>
      </c>
      <c r="B115" s="66" t="s">
        <v>811</v>
      </c>
      <c r="C115" s="67" t="s">
        <v>911</v>
      </c>
      <c r="D115" s="67" t="s">
        <v>865</v>
      </c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>
      <c r="A116" s="65">
        <v>45756.0</v>
      </c>
      <c r="B116" s="66" t="s">
        <v>811</v>
      </c>
      <c r="C116" s="67" t="s">
        <v>911</v>
      </c>
      <c r="D116" s="67" t="s">
        <v>865</v>
      </c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>
      <c r="A117" s="65">
        <v>45756.0</v>
      </c>
      <c r="B117" s="66" t="s">
        <v>811</v>
      </c>
      <c r="C117" s="67" t="s">
        <v>910</v>
      </c>
      <c r="D117" s="67" t="s">
        <v>912</v>
      </c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>
      <c r="A118" s="65">
        <v>45756.0</v>
      </c>
      <c r="B118" s="66" t="s">
        <v>811</v>
      </c>
      <c r="C118" s="67" t="s">
        <v>913</v>
      </c>
      <c r="D118" s="68" t="s">
        <v>827</v>
      </c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>
      <c r="A119" s="65">
        <v>45756.0</v>
      </c>
      <c r="B119" s="66" t="s">
        <v>811</v>
      </c>
      <c r="C119" s="67" t="s">
        <v>914</v>
      </c>
      <c r="D119" s="68" t="s">
        <v>827</v>
      </c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>
      <c r="A120" s="65">
        <v>45756.0</v>
      </c>
      <c r="B120" s="66" t="s">
        <v>811</v>
      </c>
      <c r="C120" s="67" t="s">
        <v>899</v>
      </c>
      <c r="D120" s="68" t="s">
        <v>827</v>
      </c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>
      <c r="A121" s="65">
        <v>45756.0</v>
      </c>
      <c r="B121" s="66" t="s">
        <v>811</v>
      </c>
      <c r="C121" s="67" t="s">
        <v>913</v>
      </c>
      <c r="D121" s="68" t="s">
        <v>827</v>
      </c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>
      <c r="A122" s="65">
        <v>45756.0</v>
      </c>
      <c r="B122" s="66" t="s">
        <v>811</v>
      </c>
      <c r="C122" s="67" t="s">
        <v>914</v>
      </c>
      <c r="D122" s="67" t="s">
        <v>915</v>
      </c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>
      <c r="A123" s="65">
        <v>45756.0</v>
      </c>
      <c r="B123" s="66" t="s">
        <v>811</v>
      </c>
      <c r="C123" s="67" t="s">
        <v>916</v>
      </c>
      <c r="D123" s="68" t="s">
        <v>827</v>
      </c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>
      <c r="A124" s="65">
        <v>45756.0</v>
      </c>
      <c r="B124" s="66" t="s">
        <v>811</v>
      </c>
      <c r="C124" s="67" t="s">
        <v>913</v>
      </c>
      <c r="D124" s="67" t="s">
        <v>917</v>
      </c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>
      <c r="A125" s="65">
        <v>45756.0</v>
      </c>
      <c r="B125" s="66" t="s">
        <v>811</v>
      </c>
      <c r="C125" s="67" t="s">
        <v>918</v>
      </c>
      <c r="D125" s="67" t="s">
        <v>917</v>
      </c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>
      <c r="A126" s="65">
        <v>45763.0</v>
      </c>
      <c r="B126" s="66" t="s">
        <v>811</v>
      </c>
      <c r="C126" s="67" t="s">
        <v>919</v>
      </c>
      <c r="D126" s="68" t="s">
        <v>827</v>
      </c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>
      <c r="A127" s="65">
        <v>45763.0</v>
      </c>
      <c r="B127" s="66" t="s">
        <v>811</v>
      </c>
      <c r="C127" s="67" t="s">
        <v>920</v>
      </c>
      <c r="D127" s="68" t="s">
        <v>827</v>
      </c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>
      <c r="A128" s="65">
        <v>45763.0</v>
      </c>
      <c r="B128" s="66" t="s">
        <v>811</v>
      </c>
      <c r="C128" s="67" t="s">
        <v>921</v>
      </c>
      <c r="D128" s="68" t="s">
        <v>827</v>
      </c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>
      <c r="A129" s="65">
        <v>45763.0</v>
      </c>
      <c r="B129" s="66" t="s">
        <v>811</v>
      </c>
      <c r="C129" s="67" t="s">
        <v>921</v>
      </c>
      <c r="D129" s="68" t="s">
        <v>827</v>
      </c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>
      <c r="A130" s="65">
        <v>45763.0</v>
      </c>
      <c r="B130" s="66" t="s">
        <v>811</v>
      </c>
      <c r="C130" s="67" t="s">
        <v>922</v>
      </c>
      <c r="D130" s="68" t="s">
        <v>827</v>
      </c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>
      <c r="A131" s="65">
        <v>45763.0</v>
      </c>
      <c r="B131" s="66" t="s">
        <v>811</v>
      </c>
      <c r="C131" s="67" t="s">
        <v>923</v>
      </c>
      <c r="D131" s="68" t="s">
        <v>827</v>
      </c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>
      <c r="A132" s="65">
        <v>45763.0</v>
      </c>
      <c r="B132" s="66" t="s">
        <v>811</v>
      </c>
      <c r="C132" s="67" t="s">
        <v>924</v>
      </c>
      <c r="D132" s="68" t="s">
        <v>827</v>
      </c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>
      <c r="A133" s="65">
        <v>45763.0</v>
      </c>
      <c r="B133" s="66" t="s">
        <v>811</v>
      </c>
      <c r="C133" s="67" t="s">
        <v>925</v>
      </c>
      <c r="D133" s="67" t="s">
        <v>926</v>
      </c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>
      <c r="A134" s="65">
        <v>45763.0</v>
      </c>
      <c r="B134" s="66" t="s">
        <v>811</v>
      </c>
      <c r="C134" s="67" t="s">
        <v>891</v>
      </c>
      <c r="D134" s="68" t="s">
        <v>827</v>
      </c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>
      <c r="A135" s="65">
        <v>45763.0</v>
      </c>
      <c r="B135" s="66" t="s">
        <v>811</v>
      </c>
      <c r="C135" s="67" t="s">
        <v>861</v>
      </c>
      <c r="D135" s="68" t="s">
        <v>827</v>
      </c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>
      <c r="A136" s="65">
        <v>45763.0</v>
      </c>
      <c r="B136" s="66" t="s">
        <v>811</v>
      </c>
      <c r="C136" s="67" t="s">
        <v>927</v>
      </c>
      <c r="D136" s="68" t="s">
        <v>827</v>
      </c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>
      <c r="A137" s="65">
        <v>45763.0</v>
      </c>
      <c r="B137" s="66" t="s">
        <v>811</v>
      </c>
      <c r="C137" s="67" t="s">
        <v>890</v>
      </c>
      <c r="D137" s="68" t="s">
        <v>827</v>
      </c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>
      <c r="A138" s="65">
        <v>45763.0</v>
      </c>
      <c r="B138" s="66" t="s">
        <v>811</v>
      </c>
      <c r="C138" s="67" t="s">
        <v>928</v>
      </c>
      <c r="D138" s="67" t="s">
        <v>929</v>
      </c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>
      <c r="A139" s="65">
        <v>45763.0</v>
      </c>
      <c r="B139" s="66" t="s">
        <v>811</v>
      </c>
      <c r="C139" s="67" t="s">
        <v>930</v>
      </c>
      <c r="D139" s="68" t="s">
        <v>827</v>
      </c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>
      <c r="A140" s="65">
        <v>45766.0</v>
      </c>
      <c r="B140" s="66" t="s">
        <v>810</v>
      </c>
      <c r="C140" s="67" t="s">
        <v>931</v>
      </c>
      <c r="D140" s="68" t="s">
        <v>827</v>
      </c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>
      <c r="A141" s="65">
        <v>45766.0</v>
      </c>
      <c r="B141" s="66" t="s">
        <v>810</v>
      </c>
      <c r="C141" s="67" t="s">
        <v>932</v>
      </c>
      <c r="D141" s="68" t="s">
        <v>827</v>
      </c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>
      <c r="A142" s="65">
        <v>45766.0</v>
      </c>
      <c r="B142" s="66" t="s">
        <v>810</v>
      </c>
      <c r="C142" s="67" t="s">
        <v>919</v>
      </c>
      <c r="D142" s="68" t="s">
        <v>827</v>
      </c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>
      <c r="A143" s="65">
        <v>45766.0</v>
      </c>
      <c r="B143" s="66" t="s">
        <v>810</v>
      </c>
      <c r="C143" s="67" t="s">
        <v>933</v>
      </c>
      <c r="D143" s="68" t="s">
        <v>827</v>
      </c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>
      <c r="A144" s="65">
        <v>45766.0</v>
      </c>
      <c r="B144" s="66" t="s">
        <v>810</v>
      </c>
      <c r="C144" s="67" t="s">
        <v>933</v>
      </c>
      <c r="D144" s="68" t="s">
        <v>827</v>
      </c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>
      <c r="A145" s="65">
        <v>45766.0</v>
      </c>
      <c r="B145" s="66" t="s">
        <v>810</v>
      </c>
      <c r="C145" s="67" t="s">
        <v>934</v>
      </c>
      <c r="D145" s="68" t="s">
        <v>827</v>
      </c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>
      <c r="A146" s="65">
        <v>45766.0</v>
      </c>
      <c r="B146" s="66" t="s">
        <v>810</v>
      </c>
      <c r="C146" s="67" t="s">
        <v>935</v>
      </c>
      <c r="D146" s="68" t="s">
        <v>827</v>
      </c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>
      <c r="A147" s="65">
        <v>45766.0</v>
      </c>
      <c r="B147" s="66" t="s">
        <v>810</v>
      </c>
      <c r="C147" s="67" t="s">
        <v>936</v>
      </c>
      <c r="D147" s="68" t="s">
        <v>827</v>
      </c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>
      <c r="A148" s="65">
        <v>45766.0</v>
      </c>
      <c r="B148" s="66" t="s">
        <v>810</v>
      </c>
      <c r="C148" s="67" t="s">
        <v>933</v>
      </c>
      <c r="D148" s="67" t="s">
        <v>937</v>
      </c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>
      <c r="A149" s="65">
        <v>45766.0</v>
      </c>
      <c r="B149" s="66" t="s">
        <v>810</v>
      </c>
      <c r="C149" s="67" t="s">
        <v>884</v>
      </c>
      <c r="D149" s="68" t="s">
        <v>827</v>
      </c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>
      <c r="A150" s="65">
        <v>45766.0</v>
      </c>
      <c r="B150" s="66" t="s">
        <v>810</v>
      </c>
      <c r="C150" s="67" t="s">
        <v>933</v>
      </c>
      <c r="D150" s="67" t="s">
        <v>863</v>
      </c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>
      <c r="A151" s="65">
        <v>45766.0</v>
      </c>
      <c r="B151" s="66" t="s">
        <v>810</v>
      </c>
      <c r="C151" s="67" t="s">
        <v>934</v>
      </c>
      <c r="D151" s="67" t="s">
        <v>915</v>
      </c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>
      <c r="A152" s="65">
        <v>45766.0</v>
      </c>
      <c r="B152" s="66" t="s">
        <v>810</v>
      </c>
      <c r="C152" s="67" t="s">
        <v>938</v>
      </c>
      <c r="D152" s="68" t="s">
        <v>827</v>
      </c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>
      <c r="A153" s="65">
        <v>45766.0</v>
      </c>
      <c r="B153" s="66" t="s">
        <v>810</v>
      </c>
      <c r="C153" s="67" t="s">
        <v>939</v>
      </c>
      <c r="D153" s="68" t="s">
        <v>827</v>
      </c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>
      <c r="A154" s="65">
        <v>45766.0</v>
      </c>
      <c r="B154" s="66" t="s">
        <v>810</v>
      </c>
      <c r="C154" s="67" t="s">
        <v>940</v>
      </c>
      <c r="D154" s="68" t="s">
        <v>827</v>
      </c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>
      <c r="A155" s="65">
        <v>45766.0</v>
      </c>
      <c r="B155" s="66" t="s">
        <v>810</v>
      </c>
      <c r="C155" s="67" t="s">
        <v>919</v>
      </c>
      <c r="D155" s="68" t="s">
        <v>827</v>
      </c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>
      <c r="A156" s="65">
        <v>45766.0</v>
      </c>
      <c r="B156" s="66" t="s">
        <v>812</v>
      </c>
      <c r="C156" s="67" t="s">
        <v>941</v>
      </c>
      <c r="D156" s="68" t="s">
        <v>827</v>
      </c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>
      <c r="A157" s="65">
        <v>45766.0</v>
      </c>
      <c r="B157" s="66" t="s">
        <v>812</v>
      </c>
      <c r="C157" s="67" t="s">
        <v>942</v>
      </c>
      <c r="D157" s="68" t="s">
        <v>827</v>
      </c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>
      <c r="A158" s="65">
        <v>45766.0</v>
      </c>
      <c r="B158" s="66" t="s">
        <v>812</v>
      </c>
      <c r="C158" s="67" t="s">
        <v>943</v>
      </c>
      <c r="D158" s="68" t="s">
        <v>827</v>
      </c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>
      <c r="A159" s="65">
        <v>45766.0</v>
      </c>
      <c r="B159" s="66" t="s">
        <v>812</v>
      </c>
      <c r="C159" s="67" t="s">
        <v>944</v>
      </c>
      <c r="D159" s="68" t="s">
        <v>827</v>
      </c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>
      <c r="A160" s="65">
        <v>43940.0</v>
      </c>
      <c r="B160" s="66" t="s">
        <v>812</v>
      </c>
      <c r="C160" s="67" t="s">
        <v>945</v>
      </c>
      <c r="D160" s="68" t="s">
        <v>827</v>
      </c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>
      <c r="A161" s="65">
        <v>45766.0</v>
      </c>
      <c r="B161" s="66" t="s">
        <v>812</v>
      </c>
      <c r="C161" s="67" t="s">
        <v>946</v>
      </c>
      <c r="D161" s="68" t="s">
        <v>827</v>
      </c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>
      <c r="A162" s="65">
        <v>45766.0</v>
      </c>
      <c r="B162" s="66" t="s">
        <v>812</v>
      </c>
      <c r="C162" s="67" t="s">
        <v>947</v>
      </c>
      <c r="D162" s="68" t="s">
        <v>827</v>
      </c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>
      <c r="A163" s="65">
        <v>45766.0</v>
      </c>
      <c r="B163" s="66" t="s">
        <v>812</v>
      </c>
      <c r="C163" s="67" t="s">
        <v>946</v>
      </c>
      <c r="D163" s="68" t="s">
        <v>827</v>
      </c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>
      <c r="A164" s="65">
        <v>45766.0</v>
      </c>
      <c r="B164" s="66" t="s">
        <v>812</v>
      </c>
      <c r="C164" s="67" t="s">
        <v>948</v>
      </c>
      <c r="D164" s="68" t="s">
        <v>827</v>
      </c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>
      <c r="A165" s="65">
        <v>45766.0</v>
      </c>
      <c r="B165" s="66" t="s">
        <v>812</v>
      </c>
      <c r="C165" s="67" t="s">
        <v>948</v>
      </c>
      <c r="D165" s="67" t="s">
        <v>853</v>
      </c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>
      <c r="A166" s="65">
        <v>45766.0</v>
      </c>
      <c r="B166" s="66" t="s">
        <v>812</v>
      </c>
      <c r="C166" s="67" t="s">
        <v>948</v>
      </c>
      <c r="D166" s="67" t="s">
        <v>853</v>
      </c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>
      <c r="A167" s="65">
        <v>45766.0</v>
      </c>
      <c r="B167" s="66" t="s">
        <v>812</v>
      </c>
      <c r="C167" s="67" t="s">
        <v>949</v>
      </c>
      <c r="D167" s="68" t="s">
        <v>827</v>
      </c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>
      <c r="A168" s="65">
        <v>45766.0</v>
      </c>
      <c r="B168" s="66" t="s">
        <v>812</v>
      </c>
      <c r="C168" s="67" t="s">
        <v>950</v>
      </c>
      <c r="D168" s="68" t="s">
        <v>827</v>
      </c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>
      <c r="A169" s="65">
        <v>45766.0</v>
      </c>
      <c r="B169" s="66" t="s">
        <v>812</v>
      </c>
      <c r="C169" s="67" t="s">
        <v>951</v>
      </c>
      <c r="D169" s="68" t="s">
        <v>827</v>
      </c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>
      <c r="A170" s="65">
        <v>45766.0</v>
      </c>
      <c r="B170" s="66" t="s">
        <v>812</v>
      </c>
      <c r="C170" s="67" t="s">
        <v>946</v>
      </c>
      <c r="D170" s="68" t="s">
        <v>827</v>
      </c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>
      <c r="A171" s="65">
        <v>45767.0</v>
      </c>
      <c r="B171" s="66" t="s">
        <v>812</v>
      </c>
      <c r="C171" s="67" t="s">
        <v>952</v>
      </c>
      <c r="D171" s="68" t="s">
        <v>827</v>
      </c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>
      <c r="A172" s="65">
        <v>45767.0</v>
      </c>
      <c r="B172" s="66" t="s">
        <v>812</v>
      </c>
      <c r="C172" s="67" t="s">
        <v>952</v>
      </c>
      <c r="D172" s="67" t="s">
        <v>953</v>
      </c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>
      <c r="A173" s="65">
        <v>45766.0</v>
      </c>
      <c r="B173" s="66" t="s">
        <v>812</v>
      </c>
      <c r="C173" s="67" t="s">
        <v>954</v>
      </c>
      <c r="D173" s="68" t="s">
        <v>827</v>
      </c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>
      <c r="A174" s="65">
        <v>45766.0</v>
      </c>
      <c r="B174" s="66" t="s">
        <v>812</v>
      </c>
      <c r="C174" s="67" t="s">
        <v>954</v>
      </c>
      <c r="D174" s="68" t="s">
        <v>827</v>
      </c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>
      <c r="A175" s="65">
        <v>45766.0</v>
      </c>
      <c r="B175" s="66" t="s">
        <v>810</v>
      </c>
      <c r="C175" s="67" t="s">
        <v>884</v>
      </c>
      <c r="D175" s="68" t="s">
        <v>827</v>
      </c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>
      <c r="A176" s="65">
        <v>45766.0</v>
      </c>
      <c r="B176" s="66" t="s">
        <v>810</v>
      </c>
      <c r="C176" s="67" t="s">
        <v>861</v>
      </c>
      <c r="D176" s="68" t="s">
        <v>827</v>
      </c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>
      <c r="A177" s="65">
        <v>45766.0</v>
      </c>
      <c r="B177" s="66" t="s">
        <v>812</v>
      </c>
      <c r="C177" s="67" t="s">
        <v>955</v>
      </c>
      <c r="D177" s="68" t="s">
        <v>827</v>
      </c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>
      <c r="A178" s="65">
        <v>45766.0</v>
      </c>
      <c r="B178" s="66" t="s">
        <v>810</v>
      </c>
      <c r="C178" s="67" t="s">
        <v>933</v>
      </c>
      <c r="D178" s="67" t="s">
        <v>863</v>
      </c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>
      <c r="A179" s="65">
        <v>45766.0</v>
      </c>
      <c r="B179" s="66" t="s">
        <v>810</v>
      </c>
      <c r="C179" s="67" t="s">
        <v>940</v>
      </c>
      <c r="D179" s="68" t="s">
        <v>827</v>
      </c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>
      <c r="A180" s="65">
        <v>45766.0</v>
      </c>
      <c r="B180" s="66" t="s">
        <v>812</v>
      </c>
      <c r="C180" s="67" t="s">
        <v>956</v>
      </c>
      <c r="D180" s="68" t="s">
        <v>827</v>
      </c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>
      <c r="A181" s="65">
        <v>45766.0</v>
      </c>
      <c r="B181" s="66" t="s">
        <v>812</v>
      </c>
      <c r="C181" s="67" t="s">
        <v>957</v>
      </c>
      <c r="D181" s="68" t="s">
        <v>827</v>
      </c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>
      <c r="A182" s="65">
        <v>45766.0</v>
      </c>
      <c r="B182" s="66" t="s">
        <v>810</v>
      </c>
      <c r="C182" s="67" t="s">
        <v>958</v>
      </c>
      <c r="D182" s="67" t="s">
        <v>959</v>
      </c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>
      <c r="A183" s="65">
        <v>45766.0</v>
      </c>
      <c r="B183" s="66" t="s">
        <v>812</v>
      </c>
      <c r="C183" s="67" t="s">
        <v>946</v>
      </c>
      <c r="D183" s="68" t="s">
        <v>827</v>
      </c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>
      <c r="A184" s="65">
        <v>45766.0</v>
      </c>
      <c r="B184" s="66" t="s">
        <v>812</v>
      </c>
      <c r="C184" s="67" t="s">
        <v>945</v>
      </c>
      <c r="D184" s="68" t="s">
        <v>827</v>
      </c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>
      <c r="A185" s="65">
        <v>45766.0</v>
      </c>
      <c r="B185" s="66" t="s">
        <v>810</v>
      </c>
      <c r="C185" s="67" t="s">
        <v>960</v>
      </c>
      <c r="D185" s="67" t="s">
        <v>961</v>
      </c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>
      <c r="A186" s="65">
        <v>45766.0</v>
      </c>
      <c r="B186" s="66" t="s">
        <v>812</v>
      </c>
      <c r="C186" s="67" t="s">
        <v>954</v>
      </c>
      <c r="D186" s="68" t="s">
        <v>827</v>
      </c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>
      <c r="A187" s="65">
        <v>45766.0</v>
      </c>
      <c r="B187" s="66" t="s">
        <v>812</v>
      </c>
      <c r="C187" s="67" t="s">
        <v>954</v>
      </c>
      <c r="D187" s="68" t="s">
        <v>827</v>
      </c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>
      <c r="A188" s="65">
        <v>45770.0</v>
      </c>
      <c r="B188" s="66" t="s">
        <v>811</v>
      </c>
      <c r="C188" s="67" t="s">
        <v>962</v>
      </c>
      <c r="D188" s="68" t="s">
        <v>827</v>
      </c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>
      <c r="A189" s="65">
        <v>45770.0</v>
      </c>
      <c r="B189" s="66" t="s">
        <v>811</v>
      </c>
      <c r="C189" s="67" t="s">
        <v>963</v>
      </c>
      <c r="D189" s="68" t="s">
        <v>827</v>
      </c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>
      <c r="A190" s="65">
        <v>45770.0</v>
      </c>
      <c r="B190" s="66" t="s">
        <v>811</v>
      </c>
      <c r="C190" s="67" t="s">
        <v>964</v>
      </c>
      <c r="D190" s="68" t="s">
        <v>827</v>
      </c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>
      <c r="A191" s="65">
        <v>45770.0</v>
      </c>
      <c r="B191" s="66" t="s">
        <v>811</v>
      </c>
      <c r="C191" s="67" t="s">
        <v>965</v>
      </c>
      <c r="D191" s="68" t="s">
        <v>827</v>
      </c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>
      <c r="A192" s="65">
        <v>45770.0</v>
      </c>
      <c r="B192" s="66" t="s">
        <v>810</v>
      </c>
      <c r="C192" s="67" t="s">
        <v>966</v>
      </c>
      <c r="D192" s="68" t="s">
        <v>827</v>
      </c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>
      <c r="A193" s="65">
        <v>45770.0</v>
      </c>
      <c r="B193" s="66" t="s">
        <v>811</v>
      </c>
      <c r="C193" s="67" t="s">
        <v>967</v>
      </c>
      <c r="D193" s="68" t="s">
        <v>827</v>
      </c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>
      <c r="A194" s="65">
        <v>45770.0</v>
      </c>
      <c r="B194" s="66" t="s">
        <v>811</v>
      </c>
      <c r="C194" s="67" t="s">
        <v>968</v>
      </c>
      <c r="D194" s="68" t="s">
        <v>827</v>
      </c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>
      <c r="A195" s="65">
        <v>45770.0</v>
      </c>
      <c r="B195" s="66" t="s">
        <v>810</v>
      </c>
      <c r="C195" s="67" t="s">
        <v>969</v>
      </c>
      <c r="D195" s="68" t="s">
        <v>827</v>
      </c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>
      <c r="A196" s="65">
        <v>45770.0</v>
      </c>
      <c r="B196" s="66" t="s">
        <v>810</v>
      </c>
      <c r="C196" s="67" t="s">
        <v>969</v>
      </c>
      <c r="D196" s="68" t="s">
        <v>827</v>
      </c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>
      <c r="A197" s="65">
        <v>45770.0</v>
      </c>
      <c r="B197" s="66" t="s">
        <v>811</v>
      </c>
      <c r="C197" s="67" t="s">
        <v>968</v>
      </c>
      <c r="D197" s="67" t="s">
        <v>865</v>
      </c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>
      <c r="A198" s="65">
        <v>45770.0</v>
      </c>
      <c r="B198" s="66" t="s">
        <v>811</v>
      </c>
      <c r="C198" s="67" t="s">
        <v>970</v>
      </c>
      <c r="D198" s="68" t="s">
        <v>827</v>
      </c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>
      <c r="A199" s="65">
        <v>45770.0</v>
      </c>
      <c r="B199" s="66" t="s">
        <v>811</v>
      </c>
      <c r="C199" s="67" t="s">
        <v>970</v>
      </c>
      <c r="D199" s="68" t="s">
        <v>827</v>
      </c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>
      <c r="A200" s="65">
        <v>45770.0</v>
      </c>
      <c r="B200" s="66" t="s">
        <v>811</v>
      </c>
      <c r="C200" s="67" t="s">
        <v>971</v>
      </c>
      <c r="D200" s="67" t="s">
        <v>971</v>
      </c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>
      <c r="A201" s="65">
        <v>45770.0</v>
      </c>
      <c r="B201" s="66" t="s">
        <v>811</v>
      </c>
      <c r="C201" s="68" t="s">
        <v>827</v>
      </c>
      <c r="D201" s="67" t="s">
        <v>866</v>
      </c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>
      <c r="A202" s="65">
        <v>45770.0</v>
      </c>
      <c r="B202" s="66" t="s">
        <v>811</v>
      </c>
      <c r="C202" s="67" t="s">
        <v>969</v>
      </c>
      <c r="D202" s="68" t="s">
        <v>827</v>
      </c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>
      <c r="A203" s="65">
        <v>45770.0</v>
      </c>
      <c r="B203" s="66" t="s">
        <v>811</v>
      </c>
      <c r="C203" s="67" t="s">
        <v>972</v>
      </c>
      <c r="D203" s="67" t="s">
        <v>915</v>
      </c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>
      <c r="A204" s="65">
        <v>45766.0</v>
      </c>
      <c r="B204" s="66" t="s">
        <v>810</v>
      </c>
      <c r="C204" s="67" t="s">
        <v>973</v>
      </c>
      <c r="D204" s="68" t="s">
        <v>827</v>
      </c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>
      <c r="A205" s="65">
        <v>45766.0</v>
      </c>
      <c r="B205" s="66" t="s">
        <v>810</v>
      </c>
      <c r="C205" s="67" t="s">
        <v>974</v>
      </c>
      <c r="D205" s="68" t="s">
        <v>827</v>
      </c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>
      <c r="A206" s="65">
        <v>45766.0</v>
      </c>
      <c r="B206" s="66" t="s">
        <v>810</v>
      </c>
      <c r="C206" s="67" t="s">
        <v>974</v>
      </c>
      <c r="D206" s="68" t="s">
        <v>827</v>
      </c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>
      <c r="A207" s="65">
        <v>45773.0</v>
      </c>
      <c r="B207" s="66" t="s">
        <v>810</v>
      </c>
      <c r="C207" s="67" t="s">
        <v>974</v>
      </c>
      <c r="D207" s="68" t="s">
        <v>827</v>
      </c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>
      <c r="A208" s="65">
        <v>45773.0</v>
      </c>
      <c r="B208" s="66" t="s">
        <v>810</v>
      </c>
      <c r="C208" s="67" t="s">
        <v>974</v>
      </c>
      <c r="D208" s="68" t="s">
        <v>827</v>
      </c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>
      <c r="A209" s="65">
        <v>45773.0</v>
      </c>
      <c r="B209" s="66" t="s">
        <v>810</v>
      </c>
      <c r="C209" s="67" t="s">
        <v>975</v>
      </c>
      <c r="D209" s="68" t="s">
        <v>827</v>
      </c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>
      <c r="A210" s="65">
        <v>45773.0</v>
      </c>
      <c r="B210" s="66" t="s">
        <v>810</v>
      </c>
      <c r="C210" s="67" t="s">
        <v>976</v>
      </c>
      <c r="D210" s="68" t="s">
        <v>827</v>
      </c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>
      <c r="A211" s="65">
        <v>45773.0</v>
      </c>
      <c r="B211" s="66" t="s">
        <v>810</v>
      </c>
      <c r="C211" s="67" t="s">
        <v>977</v>
      </c>
      <c r="D211" s="68" t="s">
        <v>827</v>
      </c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>
      <c r="A212" s="65">
        <v>45773.0</v>
      </c>
      <c r="B212" s="66" t="s">
        <v>810</v>
      </c>
      <c r="C212" s="67" t="s">
        <v>976</v>
      </c>
      <c r="D212" s="68" t="s">
        <v>827</v>
      </c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>
      <c r="A213" s="65">
        <v>45773.0</v>
      </c>
      <c r="B213" s="66" t="s">
        <v>810</v>
      </c>
      <c r="C213" s="67" t="s">
        <v>978</v>
      </c>
      <c r="D213" s="68" t="s">
        <v>827</v>
      </c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>
      <c r="A214" s="65">
        <v>45773.0</v>
      </c>
      <c r="B214" s="66" t="s">
        <v>810</v>
      </c>
      <c r="C214" s="67" t="s">
        <v>979</v>
      </c>
      <c r="D214" s="68" t="s">
        <v>827</v>
      </c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>
      <c r="A215" s="65">
        <v>45773.0</v>
      </c>
      <c r="B215" s="66" t="s">
        <v>810</v>
      </c>
      <c r="C215" s="67" t="s">
        <v>980</v>
      </c>
      <c r="D215" s="68" t="s">
        <v>827</v>
      </c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>
      <c r="A216" s="65">
        <v>45773.0</v>
      </c>
      <c r="B216" s="66" t="s">
        <v>810</v>
      </c>
      <c r="C216" s="67" t="s">
        <v>981</v>
      </c>
      <c r="D216" s="68" t="s">
        <v>827</v>
      </c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>
      <c r="A217" s="65">
        <v>45773.0</v>
      </c>
      <c r="B217" s="66" t="s">
        <v>810</v>
      </c>
      <c r="C217" s="67" t="s">
        <v>982</v>
      </c>
      <c r="D217" s="68" t="s">
        <v>827</v>
      </c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>
      <c r="A218" s="65">
        <v>45773.0</v>
      </c>
      <c r="B218" s="66" t="s">
        <v>810</v>
      </c>
      <c r="C218" s="67" t="s">
        <v>983</v>
      </c>
      <c r="D218" s="68" t="s">
        <v>827</v>
      </c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>
      <c r="A219" s="65">
        <v>45773.0</v>
      </c>
      <c r="B219" s="66" t="s">
        <v>810</v>
      </c>
      <c r="C219" s="67" t="s">
        <v>978</v>
      </c>
      <c r="D219" s="67" t="s">
        <v>984</v>
      </c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>
      <c r="A220" s="65">
        <v>45773.0</v>
      </c>
      <c r="B220" s="66" t="s">
        <v>810</v>
      </c>
      <c r="C220" s="67" t="s">
        <v>985</v>
      </c>
      <c r="D220" s="68" t="s">
        <v>827</v>
      </c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>
      <c r="A221" s="65">
        <v>45773.0</v>
      </c>
      <c r="B221" s="66" t="s">
        <v>810</v>
      </c>
      <c r="C221" s="67" t="s">
        <v>986</v>
      </c>
      <c r="D221" s="68" t="s">
        <v>827</v>
      </c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>
      <c r="A222" s="65">
        <v>45773.0</v>
      </c>
      <c r="B222" s="66" t="s">
        <v>810</v>
      </c>
      <c r="C222" s="67" t="s">
        <v>987</v>
      </c>
      <c r="D222" s="68" t="s">
        <v>827</v>
      </c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>
      <c r="A223" s="65">
        <v>45773.0</v>
      </c>
      <c r="B223" s="66" t="s">
        <v>810</v>
      </c>
      <c r="C223" s="67" t="s">
        <v>988</v>
      </c>
      <c r="D223" s="68" t="s">
        <v>827</v>
      </c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>
      <c r="A224" s="65">
        <v>45773.0</v>
      </c>
      <c r="B224" s="66" t="s">
        <v>810</v>
      </c>
      <c r="C224" s="67" t="s">
        <v>987</v>
      </c>
      <c r="D224" s="67" t="s">
        <v>866</v>
      </c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>
      <c r="A225" s="65">
        <v>45773.0</v>
      </c>
      <c r="B225" s="66" t="s">
        <v>810</v>
      </c>
      <c r="C225" s="67" t="s">
        <v>989</v>
      </c>
      <c r="D225" s="67" t="s">
        <v>990</v>
      </c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>
      <c r="A226" s="65">
        <v>45773.0</v>
      </c>
      <c r="B226" s="66" t="s">
        <v>810</v>
      </c>
      <c r="C226" s="67" t="s">
        <v>991</v>
      </c>
      <c r="D226" s="68" t="s">
        <v>827</v>
      </c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>
      <c r="A227" s="65">
        <v>45773.0</v>
      </c>
      <c r="B227" s="66" t="s">
        <v>810</v>
      </c>
      <c r="C227" s="67" t="s">
        <v>987</v>
      </c>
      <c r="D227" s="67" t="s">
        <v>992</v>
      </c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>
      <c r="A228" s="65">
        <v>45773.0</v>
      </c>
      <c r="B228" s="66" t="s">
        <v>810</v>
      </c>
      <c r="C228" s="67" t="s">
        <v>988</v>
      </c>
      <c r="D228" s="67" t="s">
        <v>915</v>
      </c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>
      <c r="A229" s="65">
        <v>45773.0</v>
      </c>
      <c r="B229" s="66" t="s">
        <v>810</v>
      </c>
      <c r="C229" s="67" t="s">
        <v>988</v>
      </c>
      <c r="D229" s="67" t="s">
        <v>915</v>
      </c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>
      <c r="A230" s="65">
        <v>45773.0</v>
      </c>
      <c r="B230" s="66" t="s">
        <v>810</v>
      </c>
      <c r="C230" s="67" t="s">
        <v>988</v>
      </c>
      <c r="D230" s="67" t="s">
        <v>915</v>
      </c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>
      <c r="A231" s="65">
        <v>45773.0</v>
      </c>
      <c r="B231" s="66" t="s">
        <v>812</v>
      </c>
      <c r="C231" s="67" t="s">
        <v>993</v>
      </c>
      <c r="D231" s="68" t="s">
        <v>827</v>
      </c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>
      <c r="A232" s="65">
        <v>45773.0</v>
      </c>
      <c r="B232" s="66" t="s">
        <v>812</v>
      </c>
      <c r="C232" s="67" t="s">
        <v>994</v>
      </c>
      <c r="D232" s="67" t="s">
        <v>995</v>
      </c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>
      <c r="A233" s="65">
        <v>45773.0</v>
      </c>
      <c r="B233" s="66" t="s">
        <v>812</v>
      </c>
      <c r="C233" s="67" t="s">
        <v>996</v>
      </c>
      <c r="D233" s="68" t="s">
        <v>827</v>
      </c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>
      <c r="A234" s="65">
        <v>45773.0</v>
      </c>
      <c r="B234" s="66" t="s">
        <v>812</v>
      </c>
      <c r="C234" s="67" t="s">
        <v>997</v>
      </c>
      <c r="D234" s="68" t="s">
        <v>827</v>
      </c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>
      <c r="A235" s="65">
        <v>45773.0</v>
      </c>
      <c r="B235" s="66" t="s">
        <v>812</v>
      </c>
      <c r="C235" s="67" t="s">
        <v>998</v>
      </c>
      <c r="D235" s="67" t="s">
        <v>999</v>
      </c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>
      <c r="A236" s="65">
        <v>45773.0</v>
      </c>
      <c r="B236" s="66" t="s">
        <v>812</v>
      </c>
      <c r="C236" s="67" t="s">
        <v>1000</v>
      </c>
      <c r="D236" s="68" t="s">
        <v>827</v>
      </c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>
      <c r="A237" s="65">
        <v>45773.0</v>
      </c>
      <c r="B237" s="66" t="s">
        <v>812</v>
      </c>
      <c r="C237" s="67" t="s">
        <v>1001</v>
      </c>
      <c r="D237" s="68" t="s">
        <v>827</v>
      </c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>
      <c r="A238" s="65">
        <v>45773.0</v>
      </c>
      <c r="B238" s="66" t="s">
        <v>812</v>
      </c>
      <c r="C238" s="67" t="s">
        <v>1002</v>
      </c>
      <c r="D238" s="67" t="s">
        <v>1003</v>
      </c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>
      <c r="A239" s="65">
        <v>45773.0</v>
      </c>
      <c r="B239" s="66" t="s">
        <v>812</v>
      </c>
      <c r="C239" s="67" t="s">
        <v>1002</v>
      </c>
      <c r="D239" s="67" t="s">
        <v>1003</v>
      </c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>
      <c r="A240" s="65">
        <v>45773.0</v>
      </c>
      <c r="B240" s="66" t="s">
        <v>812</v>
      </c>
      <c r="C240" s="67" t="s">
        <v>1004</v>
      </c>
      <c r="D240" s="68" t="s">
        <v>827</v>
      </c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>
      <c r="A241" s="65">
        <v>45773.0</v>
      </c>
      <c r="B241" s="66" t="s">
        <v>812</v>
      </c>
      <c r="C241" s="67" t="s">
        <v>886</v>
      </c>
      <c r="D241" s="68" t="s">
        <v>827</v>
      </c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>
      <c r="A242" s="65">
        <v>45777.0</v>
      </c>
      <c r="B242" s="66" t="s">
        <v>811</v>
      </c>
      <c r="C242" s="67" t="s">
        <v>1005</v>
      </c>
      <c r="D242" s="68" t="s">
        <v>827</v>
      </c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>
      <c r="A243" s="65">
        <v>45777.0</v>
      </c>
      <c r="B243" s="66" t="s">
        <v>811</v>
      </c>
      <c r="C243" s="67" t="s">
        <v>1006</v>
      </c>
      <c r="D243" s="68" t="s">
        <v>827</v>
      </c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>
      <c r="A244" s="65">
        <v>45777.0</v>
      </c>
      <c r="B244" s="66" t="s">
        <v>811</v>
      </c>
      <c r="C244" s="67" t="s">
        <v>1007</v>
      </c>
      <c r="D244" s="68" t="s">
        <v>827</v>
      </c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>
      <c r="A245" s="65">
        <v>45777.0</v>
      </c>
      <c r="B245" s="66" t="s">
        <v>811</v>
      </c>
      <c r="C245" s="67" t="s">
        <v>1008</v>
      </c>
      <c r="D245" s="68" t="s">
        <v>827</v>
      </c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>
      <c r="A246" s="65">
        <v>45777.0</v>
      </c>
      <c r="B246" s="66" t="s">
        <v>811</v>
      </c>
      <c r="C246" s="67" t="s">
        <v>1009</v>
      </c>
      <c r="D246" s="68" t="s">
        <v>827</v>
      </c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>
      <c r="A247" s="65">
        <v>45777.0</v>
      </c>
      <c r="B247" s="66" t="s">
        <v>811</v>
      </c>
      <c r="C247" s="67" t="s">
        <v>1010</v>
      </c>
      <c r="D247" s="68" t="s">
        <v>827</v>
      </c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>
      <c r="A248" s="65">
        <v>45777.0</v>
      </c>
      <c r="B248" s="66" t="s">
        <v>811</v>
      </c>
      <c r="C248" s="67" t="s">
        <v>1011</v>
      </c>
      <c r="D248" s="68" t="s">
        <v>827</v>
      </c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>
      <c r="A249" s="65">
        <v>45777.0</v>
      </c>
      <c r="B249" s="66" t="s">
        <v>811</v>
      </c>
      <c r="C249" s="67" t="s">
        <v>1012</v>
      </c>
      <c r="D249" s="68" t="s">
        <v>827</v>
      </c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>
      <c r="A250" s="65">
        <v>45777.0</v>
      </c>
      <c r="B250" s="66" t="s">
        <v>811</v>
      </c>
      <c r="C250" s="67" t="s">
        <v>1013</v>
      </c>
      <c r="D250" s="67" t="s">
        <v>929</v>
      </c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>
      <c r="A251" s="65">
        <v>45777.0</v>
      </c>
      <c r="B251" s="66" t="s">
        <v>811</v>
      </c>
      <c r="C251" s="67" t="s">
        <v>899</v>
      </c>
      <c r="D251" s="68" t="s">
        <v>827</v>
      </c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>
      <c r="A252" s="65">
        <v>45777.0</v>
      </c>
      <c r="B252" s="66" t="s">
        <v>811</v>
      </c>
      <c r="C252" s="67" t="s">
        <v>1014</v>
      </c>
      <c r="D252" s="68" t="s">
        <v>827</v>
      </c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>
      <c r="A253" s="65">
        <v>45777.0</v>
      </c>
      <c r="B253" s="66" t="s">
        <v>811</v>
      </c>
      <c r="C253" s="67" t="s">
        <v>1014</v>
      </c>
      <c r="D253" s="68" t="s">
        <v>827</v>
      </c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>
      <c r="A254" s="65">
        <v>45777.0</v>
      </c>
      <c r="B254" s="66" t="s">
        <v>811</v>
      </c>
      <c r="C254" s="68" t="s">
        <v>827</v>
      </c>
      <c r="D254" s="67" t="s">
        <v>866</v>
      </c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>
      <c r="A255" s="65">
        <v>45777.0</v>
      </c>
      <c r="B255" s="66" t="s">
        <v>811</v>
      </c>
      <c r="C255" s="67" t="s">
        <v>1015</v>
      </c>
      <c r="D255" s="67" t="s">
        <v>1016</v>
      </c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>
      <c r="A256" s="65">
        <v>45777.0</v>
      </c>
      <c r="B256" s="66" t="s">
        <v>811</v>
      </c>
      <c r="C256" s="67" t="s">
        <v>1015</v>
      </c>
      <c r="D256" s="67" t="s">
        <v>1016</v>
      </c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>
      <c r="A257" s="65">
        <v>45777.0</v>
      </c>
      <c r="B257" s="66" t="s">
        <v>811</v>
      </c>
      <c r="C257" s="67" t="s">
        <v>919</v>
      </c>
      <c r="D257" s="68" t="s">
        <v>827</v>
      </c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>
      <c r="A258" s="65">
        <v>45777.0</v>
      </c>
      <c r="B258" s="66" t="s">
        <v>811</v>
      </c>
      <c r="C258" s="67" t="s">
        <v>1017</v>
      </c>
      <c r="D258" s="67" t="s">
        <v>1018</v>
      </c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>
      <c r="A259" s="65">
        <v>45777.0</v>
      </c>
      <c r="B259" s="66" t="s">
        <v>811</v>
      </c>
      <c r="C259" s="67" t="s">
        <v>1017</v>
      </c>
      <c r="D259" s="67" t="s">
        <v>1018</v>
      </c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>
      <c r="A260" s="65">
        <v>45777.0</v>
      </c>
      <c r="B260" s="66" t="s">
        <v>811</v>
      </c>
      <c r="C260" s="68" t="s">
        <v>827</v>
      </c>
      <c r="D260" s="67" t="s">
        <v>1019</v>
      </c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>
      <c r="A261" s="65">
        <v>45777.0</v>
      </c>
      <c r="B261" s="66" t="s">
        <v>811</v>
      </c>
      <c r="C261" s="68" t="s">
        <v>827</v>
      </c>
      <c r="D261" s="67" t="s">
        <v>1019</v>
      </c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>
      <c r="A262" s="65">
        <v>45777.0</v>
      </c>
      <c r="B262" s="66" t="s">
        <v>811</v>
      </c>
      <c r="C262" s="67" t="s">
        <v>1014</v>
      </c>
      <c r="D262" s="67" t="s">
        <v>1020</v>
      </c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>
      <c r="A263" s="65">
        <v>45777.0</v>
      </c>
      <c r="B263" s="66" t="s">
        <v>811</v>
      </c>
      <c r="C263" s="67" t="s">
        <v>1014</v>
      </c>
      <c r="D263" s="67" t="s">
        <v>1020</v>
      </c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>
      <c r="A264" s="65">
        <v>45777.0</v>
      </c>
      <c r="B264" s="66" t="s">
        <v>811</v>
      </c>
      <c r="C264" s="67" t="s">
        <v>1021</v>
      </c>
      <c r="D264" s="68" t="s">
        <v>827</v>
      </c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>
      <c r="A265" s="65">
        <v>45777.0</v>
      </c>
      <c r="B265" s="66" t="s">
        <v>811</v>
      </c>
      <c r="C265" s="67" t="s">
        <v>1022</v>
      </c>
      <c r="D265" s="67" t="s">
        <v>1019</v>
      </c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>
      <c r="A266" s="65">
        <v>45780.0</v>
      </c>
      <c r="B266" s="66" t="s">
        <v>810</v>
      </c>
      <c r="C266" s="67" t="s">
        <v>1023</v>
      </c>
      <c r="D266" s="68" t="s">
        <v>827</v>
      </c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>
      <c r="A267" s="65">
        <v>45780.0</v>
      </c>
      <c r="B267" s="66" t="s">
        <v>810</v>
      </c>
      <c r="C267" s="67" t="s">
        <v>1024</v>
      </c>
      <c r="D267" s="68" t="s">
        <v>827</v>
      </c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>
      <c r="A268" s="65">
        <v>45780.0</v>
      </c>
      <c r="B268" s="66" t="s">
        <v>810</v>
      </c>
      <c r="C268" s="67" t="s">
        <v>1025</v>
      </c>
      <c r="D268" s="68" t="s">
        <v>827</v>
      </c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>
      <c r="A269" s="65">
        <v>45780.0</v>
      </c>
      <c r="B269" s="66" t="s">
        <v>810</v>
      </c>
      <c r="C269" s="67" t="s">
        <v>907</v>
      </c>
      <c r="D269" s="68" t="s">
        <v>827</v>
      </c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>
      <c r="A270" s="65">
        <v>45780.0</v>
      </c>
      <c r="B270" s="66" t="s">
        <v>810</v>
      </c>
      <c r="C270" s="67" t="s">
        <v>1026</v>
      </c>
      <c r="D270" s="68" t="s">
        <v>827</v>
      </c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>
      <c r="A271" s="65">
        <v>45780.0</v>
      </c>
      <c r="B271" s="66" t="s">
        <v>810</v>
      </c>
      <c r="C271" s="67" t="s">
        <v>907</v>
      </c>
      <c r="D271" s="68" t="s">
        <v>827</v>
      </c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>
      <c r="A272" s="65">
        <v>45780.0</v>
      </c>
      <c r="B272" s="66" t="s">
        <v>810</v>
      </c>
      <c r="C272" s="67" t="s">
        <v>1024</v>
      </c>
      <c r="D272" s="68" t="s">
        <v>827</v>
      </c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>
      <c r="A273" s="65">
        <v>45780.0</v>
      </c>
      <c r="B273" s="66" t="s">
        <v>810</v>
      </c>
      <c r="C273" s="67" t="s">
        <v>899</v>
      </c>
      <c r="D273" s="68" t="s">
        <v>827</v>
      </c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>
      <c r="A274" s="65">
        <v>45780.0</v>
      </c>
      <c r="B274" s="66" t="s">
        <v>810</v>
      </c>
      <c r="C274" s="67" t="s">
        <v>1027</v>
      </c>
      <c r="D274" s="68" t="s">
        <v>827</v>
      </c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>
      <c r="A275" s="65">
        <v>45780.0</v>
      </c>
      <c r="B275" s="66" t="s">
        <v>810</v>
      </c>
      <c r="C275" s="67" t="s">
        <v>1023</v>
      </c>
      <c r="D275" s="67" t="s">
        <v>863</v>
      </c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>
      <c r="A276" s="65">
        <v>45780.0</v>
      </c>
      <c r="B276" s="66" t="s">
        <v>810</v>
      </c>
      <c r="C276" s="67" t="s">
        <v>1027</v>
      </c>
      <c r="D276" s="68" t="s">
        <v>827</v>
      </c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>
      <c r="A277" s="65">
        <v>45780.0</v>
      </c>
      <c r="B277" s="66" t="s">
        <v>810</v>
      </c>
      <c r="C277" s="67" t="s">
        <v>1024</v>
      </c>
      <c r="D277" s="67" t="s">
        <v>865</v>
      </c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>
      <c r="A278" s="65">
        <v>45780.0</v>
      </c>
      <c r="B278" s="66" t="s">
        <v>810</v>
      </c>
      <c r="C278" s="67" t="s">
        <v>1027</v>
      </c>
      <c r="D278" s="67" t="s">
        <v>890</v>
      </c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>
      <c r="A279" s="65">
        <v>45780.0</v>
      </c>
      <c r="B279" s="66" t="s">
        <v>810</v>
      </c>
      <c r="C279" s="67" t="s">
        <v>1028</v>
      </c>
      <c r="D279" s="68" t="s">
        <v>827</v>
      </c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>
      <c r="A280" s="65">
        <v>45780.0</v>
      </c>
      <c r="B280" s="66" t="s">
        <v>810</v>
      </c>
      <c r="C280" s="67" t="s">
        <v>1029</v>
      </c>
      <c r="D280" s="68" t="s">
        <v>827</v>
      </c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>
      <c r="A281" s="65">
        <v>45780.0</v>
      </c>
      <c r="B281" s="66" t="s">
        <v>810</v>
      </c>
      <c r="C281" s="67" t="s">
        <v>1028</v>
      </c>
      <c r="D281" s="68" t="s">
        <v>827</v>
      </c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>
      <c r="A282" s="65">
        <v>45780.0</v>
      </c>
      <c r="B282" s="66" t="s">
        <v>810</v>
      </c>
      <c r="C282" s="68" t="s">
        <v>827</v>
      </c>
      <c r="D282" s="67" t="s">
        <v>857</v>
      </c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>
      <c r="A283" s="65">
        <v>45780.0</v>
      </c>
      <c r="B283" s="66" t="s">
        <v>810</v>
      </c>
      <c r="C283" s="68" t="s">
        <v>827</v>
      </c>
      <c r="D283" s="67" t="s">
        <v>1030</v>
      </c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>
      <c r="A284" s="65">
        <v>45780.0</v>
      </c>
      <c r="B284" s="66" t="s">
        <v>810</v>
      </c>
      <c r="C284" s="68" t="s">
        <v>827</v>
      </c>
      <c r="D284" s="67" t="s">
        <v>857</v>
      </c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>
      <c r="A285" s="65">
        <v>45780.0</v>
      </c>
      <c r="B285" s="66" t="s">
        <v>810</v>
      </c>
      <c r="C285" s="68" t="s">
        <v>827</v>
      </c>
      <c r="D285" s="67" t="s">
        <v>857</v>
      </c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>
      <c r="A286" s="65">
        <v>45780.0</v>
      </c>
      <c r="B286" s="66" t="s">
        <v>812</v>
      </c>
      <c r="C286" s="67" t="s">
        <v>1031</v>
      </c>
      <c r="D286" s="68" t="s">
        <v>827</v>
      </c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>
      <c r="A287" s="65">
        <v>45780.0</v>
      </c>
      <c r="B287" s="66" t="s">
        <v>812</v>
      </c>
      <c r="C287" s="67" t="s">
        <v>1032</v>
      </c>
      <c r="D287" s="68" t="s">
        <v>827</v>
      </c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>
      <c r="A288" s="65">
        <v>45780.0</v>
      </c>
      <c r="B288" s="66" t="s">
        <v>812</v>
      </c>
      <c r="C288" s="67" t="s">
        <v>1033</v>
      </c>
      <c r="D288" s="68" t="s">
        <v>827</v>
      </c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>
      <c r="A289" s="65">
        <v>45780.0</v>
      </c>
      <c r="B289" s="66" t="s">
        <v>812</v>
      </c>
      <c r="C289" s="67" t="s">
        <v>1032</v>
      </c>
      <c r="D289" s="68" t="s">
        <v>827</v>
      </c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>
      <c r="A290" s="65">
        <v>45780.0</v>
      </c>
      <c r="B290" s="66" t="s">
        <v>812</v>
      </c>
      <c r="C290" s="67" t="s">
        <v>1034</v>
      </c>
      <c r="D290" s="68" t="s">
        <v>827</v>
      </c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>
      <c r="A291" s="65">
        <v>45780.0</v>
      </c>
      <c r="B291" s="66" t="s">
        <v>812</v>
      </c>
      <c r="C291" s="67" t="s">
        <v>1034</v>
      </c>
      <c r="D291" s="68" t="s">
        <v>827</v>
      </c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>
      <c r="A292" s="65">
        <v>45780.0</v>
      </c>
      <c r="B292" s="66" t="s">
        <v>812</v>
      </c>
      <c r="C292" s="67" t="s">
        <v>1035</v>
      </c>
      <c r="D292" s="67" t="s">
        <v>1036</v>
      </c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>
      <c r="A293" s="65">
        <v>45780.0</v>
      </c>
      <c r="B293" s="66" t="s">
        <v>812</v>
      </c>
      <c r="C293" s="67" t="s">
        <v>1037</v>
      </c>
      <c r="D293" s="68" t="s">
        <v>827</v>
      </c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>
      <c r="A294" s="65">
        <v>45780.0</v>
      </c>
      <c r="B294" s="66" t="s">
        <v>812</v>
      </c>
      <c r="C294" s="67" t="s">
        <v>1038</v>
      </c>
      <c r="D294" s="68" t="s">
        <v>827</v>
      </c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>
      <c r="A295" s="65">
        <v>45780.0</v>
      </c>
      <c r="B295" s="66" t="s">
        <v>812</v>
      </c>
      <c r="C295" s="67" t="s">
        <v>1039</v>
      </c>
      <c r="D295" s="68" t="s">
        <v>827</v>
      </c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>
      <c r="A296" s="65">
        <v>45780.0</v>
      </c>
      <c r="B296" s="66" t="s">
        <v>812</v>
      </c>
      <c r="C296" s="67" t="s">
        <v>1039</v>
      </c>
      <c r="D296" s="68" t="s">
        <v>827</v>
      </c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>
      <c r="A297" s="65">
        <v>45780.0</v>
      </c>
      <c r="B297" s="66" t="s">
        <v>812</v>
      </c>
      <c r="C297" s="67" t="s">
        <v>1040</v>
      </c>
      <c r="D297" s="67" t="s">
        <v>1040</v>
      </c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>
      <c r="A298" s="65">
        <v>45780.0</v>
      </c>
      <c r="B298" s="66" t="s">
        <v>812</v>
      </c>
      <c r="C298" s="67" t="s">
        <v>1041</v>
      </c>
      <c r="D298" s="68" t="s">
        <v>827</v>
      </c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>
      <c r="A299" s="65">
        <v>45780.0</v>
      </c>
      <c r="B299" s="66" t="s">
        <v>812</v>
      </c>
      <c r="C299" s="67" t="s">
        <v>1034</v>
      </c>
      <c r="D299" s="68" t="s">
        <v>827</v>
      </c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>
      <c r="A300" s="65">
        <v>45780.0</v>
      </c>
      <c r="B300" s="66" t="s">
        <v>812</v>
      </c>
      <c r="C300" s="67" t="s">
        <v>1034</v>
      </c>
      <c r="D300" s="68" t="s">
        <v>827</v>
      </c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>
      <c r="A301" s="65">
        <v>45780.0</v>
      </c>
      <c r="B301" s="66" t="s">
        <v>812</v>
      </c>
      <c r="C301" s="68" t="s">
        <v>827</v>
      </c>
      <c r="D301" s="67" t="s">
        <v>852</v>
      </c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>
      <c r="A302" s="65">
        <v>45784.0</v>
      </c>
      <c r="B302" s="66" t="s">
        <v>811</v>
      </c>
      <c r="C302" s="67" t="s">
        <v>1042</v>
      </c>
      <c r="D302" s="67" t="s">
        <v>1043</v>
      </c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>
      <c r="A303" s="65">
        <v>45784.0</v>
      </c>
      <c r="B303" s="66" t="s">
        <v>811</v>
      </c>
      <c r="C303" s="67" t="s">
        <v>1042</v>
      </c>
      <c r="D303" s="67" t="s">
        <v>1043</v>
      </c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>
      <c r="A304" s="65">
        <v>45784.0</v>
      </c>
      <c r="B304" s="66" t="s">
        <v>811</v>
      </c>
      <c r="C304" s="67" t="s">
        <v>1044</v>
      </c>
      <c r="D304" s="68" t="s">
        <v>827</v>
      </c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>
      <c r="A305" s="65">
        <v>45784.0</v>
      </c>
      <c r="B305" s="66" t="s">
        <v>811</v>
      </c>
      <c r="C305" s="67" t="s">
        <v>1045</v>
      </c>
      <c r="D305" s="68" t="s">
        <v>827</v>
      </c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>
      <c r="A306" s="65">
        <v>45784.0</v>
      </c>
      <c r="B306" s="66" t="s">
        <v>811</v>
      </c>
      <c r="C306" s="67" t="s">
        <v>1046</v>
      </c>
      <c r="D306" s="68" t="s">
        <v>827</v>
      </c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>
      <c r="A307" s="65">
        <v>45784.0</v>
      </c>
      <c r="B307" s="66" t="s">
        <v>811</v>
      </c>
      <c r="C307" s="67" t="s">
        <v>1046</v>
      </c>
      <c r="D307" s="68" t="s">
        <v>827</v>
      </c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>
      <c r="A308" s="65">
        <v>45784.0</v>
      </c>
      <c r="B308" s="66" t="s">
        <v>811</v>
      </c>
      <c r="C308" s="67" t="s">
        <v>1047</v>
      </c>
      <c r="D308" s="68" t="s">
        <v>827</v>
      </c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>
      <c r="A309" s="65">
        <v>45784.0</v>
      </c>
      <c r="B309" s="66" t="s">
        <v>811</v>
      </c>
      <c r="C309" s="67" t="s">
        <v>1045</v>
      </c>
      <c r="D309" s="67" t="s">
        <v>909</v>
      </c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>
      <c r="A310" s="65">
        <v>45784.0</v>
      </c>
      <c r="B310" s="66" t="s">
        <v>811</v>
      </c>
      <c r="C310" s="67" t="s">
        <v>1048</v>
      </c>
      <c r="D310" s="68" t="s">
        <v>827</v>
      </c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>
      <c r="A311" s="65">
        <v>45784.0</v>
      </c>
      <c r="B311" s="66" t="s">
        <v>811</v>
      </c>
      <c r="C311" s="67" t="s">
        <v>1049</v>
      </c>
      <c r="D311" s="68" t="s">
        <v>827</v>
      </c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>
      <c r="A312" s="65">
        <v>45784.0</v>
      </c>
      <c r="B312" s="66" t="s">
        <v>811</v>
      </c>
      <c r="C312" s="67" t="s">
        <v>971</v>
      </c>
      <c r="D312" s="67" t="s">
        <v>971</v>
      </c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>
      <c r="A313" s="65">
        <v>45784.0</v>
      </c>
      <c r="B313" s="66" t="s">
        <v>811</v>
      </c>
      <c r="C313" s="67" t="s">
        <v>1050</v>
      </c>
      <c r="D313" s="68" t="s">
        <v>827</v>
      </c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>
      <c r="A314" s="65">
        <v>45784.0</v>
      </c>
      <c r="B314" s="66" t="s">
        <v>811</v>
      </c>
      <c r="C314" s="67" t="s">
        <v>1046</v>
      </c>
      <c r="D314" s="67" t="s">
        <v>1051</v>
      </c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>
      <c r="A315" s="65">
        <v>45784.0</v>
      </c>
      <c r="B315" s="66" t="s">
        <v>811</v>
      </c>
      <c r="C315" s="67" t="s">
        <v>1046</v>
      </c>
      <c r="D315" s="67" t="s">
        <v>1051</v>
      </c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>
      <c r="A316" s="65">
        <v>45784.0</v>
      </c>
      <c r="B316" s="66" t="s">
        <v>811</v>
      </c>
      <c r="C316" s="67" t="s">
        <v>1045</v>
      </c>
      <c r="D316" s="67" t="s">
        <v>1052</v>
      </c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>
      <c r="A317" s="65">
        <v>45784.0</v>
      </c>
      <c r="B317" s="66" t="s">
        <v>811</v>
      </c>
      <c r="C317" s="67" t="s">
        <v>1053</v>
      </c>
      <c r="D317" s="67" t="s">
        <v>1054</v>
      </c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>
      <c r="A318" s="65">
        <v>45784.0</v>
      </c>
      <c r="B318" s="66" t="s">
        <v>811</v>
      </c>
      <c r="C318" s="67" t="s">
        <v>1053</v>
      </c>
      <c r="D318" s="67" t="s">
        <v>1054</v>
      </c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>
      <c r="A319" s="65">
        <v>45787.0</v>
      </c>
      <c r="B319" s="66" t="s">
        <v>810</v>
      </c>
      <c r="C319" s="67" t="s">
        <v>1055</v>
      </c>
      <c r="D319" s="68" t="s">
        <v>827</v>
      </c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>
      <c r="A320" s="65">
        <v>45787.0</v>
      </c>
      <c r="B320" s="66" t="s">
        <v>810</v>
      </c>
      <c r="C320" s="67" t="s">
        <v>1056</v>
      </c>
      <c r="D320" s="68" t="s">
        <v>827</v>
      </c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>
      <c r="A321" s="65">
        <v>45787.0</v>
      </c>
      <c r="B321" s="66" t="s">
        <v>810</v>
      </c>
      <c r="C321" s="67" t="s">
        <v>1057</v>
      </c>
      <c r="D321" s="68" t="s">
        <v>827</v>
      </c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>
      <c r="A322" s="65">
        <v>45787.0</v>
      </c>
      <c r="B322" s="66" t="s">
        <v>810</v>
      </c>
      <c r="C322" s="67" t="s">
        <v>1058</v>
      </c>
      <c r="D322" s="68" t="s">
        <v>827</v>
      </c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>
      <c r="A323" s="65">
        <v>45787.0</v>
      </c>
      <c r="B323" s="66" t="s">
        <v>810</v>
      </c>
      <c r="C323" s="67" t="s">
        <v>1059</v>
      </c>
      <c r="D323" s="68" t="s">
        <v>827</v>
      </c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>
      <c r="A324" s="65">
        <v>45787.0</v>
      </c>
      <c r="B324" s="66" t="s">
        <v>810</v>
      </c>
      <c r="C324" s="67" t="s">
        <v>1059</v>
      </c>
      <c r="D324" s="68" t="s">
        <v>827</v>
      </c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>
      <c r="A325" s="65">
        <v>45787.0</v>
      </c>
      <c r="B325" s="66" t="s">
        <v>810</v>
      </c>
      <c r="C325" s="67" t="s">
        <v>1060</v>
      </c>
      <c r="D325" s="68" t="s">
        <v>827</v>
      </c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>
      <c r="A326" s="65">
        <v>45787.0</v>
      </c>
      <c r="B326" s="66" t="s">
        <v>810</v>
      </c>
      <c r="C326" s="67" t="s">
        <v>1061</v>
      </c>
      <c r="D326" s="68" t="s">
        <v>827</v>
      </c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>
      <c r="A327" s="65">
        <v>45787.0</v>
      </c>
      <c r="B327" s="66" t="s">
        <v>810</v>
      </c>
      <c r="C327" s="67" t="s">
        <v>1062</v>
      </c>
      <c r="D327" s="68" t="s">
        <v>827</v>
      </c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>
      <c r="A328" s="65">
        <v>45787.0</v>
      </c>
      <c r="B328" s="66" t="s">
        <v>810</v>
      </c>
      <c r="C328" s="67" t="s">
        <v>1063</v>
      </c>
      <c r="D328" s="68" t="s">
        <v>827</v>
      </c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>
      <c r="A329" s="65">
        <v>45787.0</v>
      </c>
      <c r="B329" s="66" t="s">
        <v>810</v>
      </c>
      <c r="C329" s="67" t="s">
        <v>1064</v>
      </c>
      <c r="D329" s="68" t="s">
        <v>827</v>
      </c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>
      <c r="A330" s="65">
        <v>45787.0</v>
      </c>
      <c r="B330" s="66" t="s">
        <v>810</v>
      </c>
      <c r="C330" s="67" t="s">
        <v>1064</v>
      </c>
      <c r="D330" s="68" t="s">
        <v>827</v>
      </c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>
      <c r="A331" s="65">
        <v>45787.0</v>
      </c>
      <c r="B331" s="66" t="s">
        <v>810</v>
      </c>
      <c r="C331" s="67" t="s">
        <v>1065</v>
      </c>
      <c r="D331" s="68" t="s">
        <v>827</v>
      </c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>
      <c r="A332" s="65">
        <v>45787.0</v>
      </c>
      <c r="B332" s="66" t="s">
        <v>810</v>
      </c>
      <c r="C332" s="67" t="s">
        <v>1065</v>
      </c>
      <c r="D332" s="68" t="s">
        <v>827</v>
      </c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>
      <c r="A333" s="65">
        <v>45787.0</v>
      </c>
      <c r="B333" s="66" t="s">
        <v>810</v>
      </c>
      <c r="C333" s="67" t="s">
        <v>852</v>
      </c>
      <c r="D333" s="68" t="s">
        <v>827</v>
      </c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>
      <c r="A334" s="65">
        <v>45787.0</v>
      </c>
      <c r="B334" s="66" t="s">
        <v>810</v>
      </c>
      <c r="C334" s="67" t="s">
        <v>1064</v>
      </c>
      <c r="D334" s="68" t="s">
        <v>827</v>
      </c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>
      <c r="A335" s="65">
        <v>45787.0</v>
      </c>
      <c r="B335" s="66" t="s">
        <v>810</v>
      </c>
      <c r="C335" s="67" t="s">
        <v>1065</v>
      </c>
      <c r="D335" s="67" t="s">
        <v>1066</v>
      </c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>
      <c r="A336" s="65">
        <v>45787.0</v>
      </c>
      <c r="B336" s="66" t="s">
        <v>810</v>
      </c>
      <c r="C336" s="67" t="s">
        <v>864</v>
      </c>
      <c r="D336" s="67" t="s">
        <v>864</v>
      </c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>
      <c r="A337" s="65">
        <v>45787.0</v>
      </c>
      <c r="B337" s="66" t="s">
        <v>810</v>
      </c>
      <c r="C337" s="67" t="s">
        <v>1065</v>
      </c>
      <c r="D337" s="67" t="s">
        <v>1067</v>
      </c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>
      <c r="A338" s="65">
        <v>45787.0</v>
      </c>
      <c r="B338" s="66" t="s">
        <v>810</v>
      </c>
      <c r="C338" s="67" t="s">
        <v>1065</v>
      </c>
      <c r="D338" s="67" t="s">
        <v>1067</v>
      </c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>
      <c r="A339" s="65">
        <v>45787.0</v>
      </c>
      <c r="B339" s="66" t="s">
        <v>810</v>
      </c>
      <c r="C339" s="67" t="s">
        <v>1062</v>
      </c>
      <c r="D339" s="67" t="s">
        <v>1068</v>
      </c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>
      <c r="A340" s="65">
        <v>45787.0</v>
      </c>
      <c r="B340" s="66" t="s">
        <v>810</v>
      </c>
      <c r="C340" s="67" t="s">
        <v>1062</v>
      </c>
      <c r="D340" s="67" t="s">
        <v>1069</v>
      </c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>
      <c r="A341" s="65">
        <v>45787.0</v>
      </c>
      <c r="B341" s="66" t="s">
        <v>810</v>
      </c>
      <c r="C341" s="67" t="s">
        <v>1070</v>
      </c>
      <c r="D341" s="67" t="s">
        <v>1071</v>
      </c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>
      <c r="A342" s="65">
        <v>45787.0</v>
      </c>
      <c r="B342" s="66" t="s">
        <v>810</v>
      </c>
      <c r="C342" s="67" t="s">
        <v>1072</v>
      </c>
      <c r="D342" s="68" t="s">
        <v>827</v>
      </c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>
      <c r="A343" s="65">
        <v>45787.0</v>
      </c>
      <c r="B343" s="66" t="s">
        <v>810</v>
      </c>
      <c r="C343" s="67" t="s">
        <v>1072</v>
      </c>
      <c r="D343" s="68" t="s">
        <v>827</v>
      </c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>
      <c r="A344" s="65">
        <v>45787.0</v>
      </c>
      <c r="B344" s="66" t="s">
        <v>810</v>
      </c>
      <c r="C344" s="67" t="s">
        <v>1063</v>
      </c>
      <c r="D344" s="67" t="s">
        <v>1073</v>
      </c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>
      <c r="A345" s="65">
        <v>45791.0</v>
      </c>
      <c r="B345" s="66" t="s">
        <v>811</v>
      </c>
      <c r="C345" s="67" t="s">
        <v>1074</v>
      </c>
      <c r="D345" s="68" t="s">
        <v>827</v>
      </c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>
      <c r="A346" s="65">
        <v>45791.0</v>
      </c>
      <c r="B346" s="66" t="s">
        <v>811</v>
      </c>
      <c r="C346" s="67" t="s">
        <v>1075</v>
      </c>
      <c r="D346" s="68" t="s">
        <v>827</v>
      </c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>
      <c r="A347" s="65">
        <v>45791.0</v>
      </c>
      <c r="B347" s="66" t="s">
        <v>811</v>
      </c>
      <c r="C347" s="67" t="s">
        <v>1076</v>
      </c>
      <c r="D347" s="68" t="s">
        <v>827</v>
      </c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>
      <c r="A348" s="65">
        <v>45791.0</v>
      </c>
      <c r="B348" s="66" t="s">
        <v>811</v>
      </c>
      <c r="C348" s="67" t="s">
        <v>1077</v>
      </c>
      <c r="D348" s="68" t="s">
        <v>827</v>
      </c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>
      <c r="A349" s="65">
        <v>45791.0</v>
      </c>
      <c r="B349" s="66" t="s">
        <v>811</v>
      </c>
      <c r="C349" s="67" t="s">
        <v>1078</v>
      </c>
      <c r="D349" s="68" t="s">
        <v>827</v>
      </c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>
      <c r="A350" s="65">
        <v>45791.0</v>
      </c>
      <c r="B350" s="66" t="s">
        <v>811</v>
      </c>
      <c r="C350" s="67" t="s">
        <v>1078</v>
      </c>
      <c r="D350" s="68" t="s">
        <v>827</v>
      </c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>
      <c r="A351" s="65">
        <v>45791.0</v>
      </c>
      <c r="B351" s="66" t="s">
        <v>811</v>
      </c>
      <c r="C351" s="67" t="s">
        <v>1079</v>
      </c>
      <c r="D351" s="68" t="s">
        <v>827</v>
      </c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>
      <c r="A352" s="65">
        <v>45791.0</v>
      </c>
      <c r="B352" s="66" t="s">
        <v>811</v>
      </c>
      <c r="C352" s="67" t="s">
        <v>1080</v>
      </c>
      <c r="D352" s="68" t="s">
        <v>827</v>
      </c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>
      <c r="A353" s="65">
        <v>45791.0</v>
      </c>
      <c r="B353" s="66" t="s">
        <v>811</v>
      </c>
      <c r="C353" s="67" t="s">
        <v>1081</v>
      </c>
      <c r="D353" s="68" t="s">
        <v>827</v>
      </c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>
      <c r="A354" s="65">
        <v>45791.0</v>
      </c>
      <c r="B354" s="66" t="s">
        <v>811</v>
      </c>
      <c r="C354" s="67" t="s">
        <v>1082</v>
      </c>
      <c r="D354" s="67" t="s">
        <v>1083</v>
      </c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>
      <c r="A355" s="65">
        <v>45791.0</v>
      </c>
      <c r="B355" s="66" t="s">
        <v>811</v>
      </c>
      <c r="C355" s="67" t="s">
        <v>1084</v>
      </c>
      <c r="D355" s="68" t="s">
        <v>827</v>
      </c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>
      <c r="A356" s="65">
        <v>45791.0</v>
      </c>
      <c r="B356" s="66" t="s">
        <v>811</v>
      </c>
      <c r="C356" s="68" t="s">
        <v>827</v>
      </c>
      <c r="D356" s="67" t="s">
        <v>857</v>
      </c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>
      <c r="A357" s="65">
        <v>45791.0</v>
      </c>
      <c r="B357" s="66" t="s">
        <v>811</v>
      </c>
      <c r="C357" s="68" t="s">
        <v>827</v>
      </c>
      <c r="D357" s="67" t="s">
        <v>857</v>
      </c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>
      <c r="A358" s="65">
        <v>45791.0</v>
      </c>
      <c r="B358" s="66" t="s">
        <v>811</v>
      </c>
      <c r="C358" s="67" t="s">
        <v>1080</v>
      </c>
      <c r="D358" s="67" t="s">
        <v>1066</v>
      </c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>
      <c r="A359" s="65">
        <v>45791.0</v>
      </c>
      <c r="B359" s="66" t="s">
        <v>811</v>
      </c>
      <c r="C359" s="67" t="s">
        <v>1085</v>
      </c>
      <c r="D359" s="67" t="s">
        <v>915</v>
      </c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>
      <c r="A360" s="65">
        <v>45791.0</v>
      </c>
      <c r="B360" s="66" t="s">
        <v>811</v>
      </c>
      <c r="C360" s="67" t="s">
        <v>1085</v>
      </c>
      <c r="D360" s="67" t="s">
        <v>915</v>
      </c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>
      <c r="A361" s="65">
        <v>45791.0</v>
      </c>
      <c r="B361" s="66" t="s">
        <v>811</v>
      </c>
      <c r="C361" s="67" t="s">
        <v>971</v>
      </c>
      <c r="D361" s="67" t="s">
        <v>971</v>
      </c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>
      <c r="A362" s="65">
        <v>45798.0</v>
      </c>
      <c r="B362" s="66" t="s">
        <v>811</v>
      </c>
      <c r="C362" s="67" t="s">
        <v>1086</v>
      </c>
      <c r="D362" s="68" t="s">
        <v>827</v>
      </c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>
      <c r="A363" s="65">
        <v>45798.0</v>
      </c>
      <c r="B363" s="66" t="s">
        <v>811</v>
      </c>
      <c r="C363" s="67" t="s">
        <v>1087</v>
      </c>
      <c r="D363" s="68" t="s">
        <v>827</v>
      </c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>
      <c r="A364" s="65">
        <v>45798.0</v>
      </c>
      <c r="B364" s="66" t="s">
        <v>811</v>
      </c>
      <c r="C364" s="67" t="s">
        <v>1087</v>
      </c>
      <c r="D364" s="67" t="s">
        <v>926</v>
      </c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>
      <c r="A365" s="65">
        <v>45798.0</v>
      </c>
      <c r="B365" s="66" t="s">
        <v>811</v>
      </c>
      <c r="C365" s="67" t="s">
        <v>1088</v>
      </c>
      <c r="D365" s="68" t="s">
        <v>827</v>
      </c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>
      <c r="A366" s="65">
        <v>45798.0</v>
      </c>
      <c r="B366" s="66" t="s">
        <v>811</v>
      </c>
      <c r="C366" s="67" t="s">
        <v>900</v>
      </c>
      <c r="D366" s="68" t="s">
        <v>827</v>
      </c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>
      <c r="A367" s="65">
        <v>45798.0</v>
      </c>
      <c r="B367" s="66" t="s">
        <v>810</v>
      </c>
      <c r="C367" s="67" t="s">
        <v>1089</v>
      </c>
      <c r="D367" s="68" t="s">
        <v>827</v>
      </c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>
      <c r="A368" s="65">
        <v>45798.0</v>
      </c>
      <c r="B368" s="66" t="s">
        <v>811</v>
      </c>
      <c r="C368" s="67" t="s">
        <v>900</v>
      </c>
      <c r="D368" s="68" t="s">
        <v>827</v>
      </c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>
      <c r="A369" s="65">
        <v>45798.0</v>
      </c>
      <c r="B369" s="66" t="s">
        <v>810</v>
      </c>
      <c r="C369" s="67" t="s">
        <v>1089</v>
      </c>
      <c r="D369" s="67" t="s">
        <v>992</v>
      </c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>
      <c r="A370" s="65">
        <v>45798.0</v>
      </c>
      <c r="B370" s="66" t="s">
        <v>811</v>
      </c>
      <c r="C370" s="67" t="s">
        <v>1090</v>
      </c>
      <c r="D370" s="68" t="s">
        <v>827</v>
      </c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>
      <c r="A371" s="65">
        <v>45798.0</v>
      </c>
      <c r="B371" s="66" t="s">
        <v>811</v>
      </c>
      <c r="C371" s="67" t="s">
        <v>1090</v>
      </c>
      <c r="D371" s="68" t="s">
        <v>827</v>
      </c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>
      <c r="A372" s="65">
        <v>45798.0</v>
      </c>
      <c r="B372" s="66" t="s">
        <v>811</v>
      </c>
      <c r="C372" s="67" t="s">
        <v>1091</v>
      </c>
      <c r="D372" s="68" t="s">
        <v>827</v>
      </c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>
      <c r="A373" s="65">
        <v>45798.0</v>
      </c>
      <c r="B373" s="66" t="s">
        <v>811</v>
      </c>
      <c r="C373" s="67" t="s">
        <v>1091</v>
      </c>
      <c r="D373" s="68" t="s">
        <v>827</v>
      </c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>
      <c r="A374" s="65">
        <v>45798.0</v>
      </c>
      <c r="B374" s="66" t="s">
        <v>811</v>
      </c>
      <c r="C374" s="67" t="s">
        <v>1092</v>
      </c>
      <c r="D374" s="68" t="s">
        <v>827</v>
      </c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>
      <c r="A375" s="65">
        <v>45798.0</v>
      </c>
      <c r="B375" s="66" t="s">
        <v>811</v>
      </c>
      <c r="C375" s="67" t="s">
        <v>1093</v>
      </c>
      <c r="D375" s="67" t="s">
        <v>927</v>
      </c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>
      <c r="A376" s="65">
        <v>45798.0</v>
      </c>
      <c r="B376" s="66" t="s">
        <v>811</v>
      </c>
      <c r="C376" s="67" t="s">
        <v>971</v>
      </c>
      <c r="D376" s="67" t="s">
        <v>971</v>
      </c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>
      <c r="A377" s="65">
        <v>45798.0</v>
      </c>
      <c r="B377" s="66" t="s">
        <v>811</v>
      </c>
      <c r="C377" s="67" t="s">
        <v>1094</v>
      </c>
      <c r="D377" s="67" t="s">
        <v>1095</v>
      </c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>
      <c r="A378" s="65">
        <v>45801.0</v>
      </c>
      <c r="B378" s="66" t="s">
        <v>810</v>
      </c>
      <c r="C378" s="67" t="s">
        <v>1096</v>
      </c>
      <c r="D378" s="68" t="s">
        <v>827</v>
      </c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>
      <c r="A379" s="65">
        <v>45801.0</v>
      </c>
      <c r="B379" s="66" t="s">
        <v>810</v>
      </c>
      <c r="C379" s="67" t="s">
        <v>1097</v>
      </c>
      <c r="D379" s="68" t="s">
        <v>827</v>
      </c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>
      <c r="A380" s="65">
        <v>45801.0</v>
      </c>
      <c r="B380" s="66" t="s">
        <v>810</v>
      </c>
      <c r="C380" s="67" t="s">
        <v>1098</v>
      </c>
      <c r="D380" s="68" t="s">
        <v>827</v>
      </c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>
      <c r="A381" s="65">
        <v>45801.0</v>
      </c>
      <c r="B381" s="66" t="s">
        <v>810</v>
      </c>
      <c r="C381" s="67" t="s">
        <v>1099</v>
      </c>
      <c r="D381" s="68" t="s">
        <v>827</v>
      </c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>
      <c r="A382" s="65">
        <v>45801.0</v>
      </c>
      <c r="B382" s="66" t="s">
        <v>810</v>
      </c>
      <c r="C382" s="67" t="s">
        <v>1100</v>
      </c>
      <c r="D382" s="68" t="s">
        <v>827</v>
      </c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>
      <c r="A383" s="65">
        <v>45801.0</v>
      </c>
      <c r="B383" s="66" t="s">
        <v>810</v>
      </c>
      <c r="C383" s="67" t="s">
        <v>1101</v>
      </c>
      <c r="D383" s="68" t="s">
        <v>827</v>
      </c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>
      <c r="A384" s="65">
        <v>45801.0</v>
      </c>
      <c r="B384" s="66" t="s">
        <v>810</v>
      </c>
      <c r="C384" s="67" t="s">
        <v>1099</v>
      </c>
      <c r="D384" s="67" t="s">
        <v>1102</v>
      </c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>
      <c r="A385" s="65">
        <v>45801.0</v>
      </c>
      <c r="B385" s="66" t="s">
        <v>810</v>
      </c>
      <c r="C385" s="67" t="s">
        <v>1101</v>
      </c>
      <c r="D385" s="67" t="s">
        <v>1103</v>
      </c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>
      <c r="A386" s="65">
        <v>45801.69326388889</v>
      </c>
      <c r="B386" s="66" t="s">
        <v>810</v>
      </c>
      <c r="C386" s="67" t="s">
        <v>1104</v>
      </c>
      <c r="D386" s="68" t="s">
        <v>827</v>
      </c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>
      <c r="A387" s="65">
        <v>45801.0</v>
      </c>
      <c r="B387" s="66" t="s">
        <v>810</v>
      </c>
      <c r="C387" s="67" t="s">
        <v>1105</v>
      </c>
      <c r="D387" s="67" t="s">
        <v>1106</v>
      </c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>
      <c r="A388" s="65">
        <v>45801.0</v>
      </c>
      <c r="B388" s="66" t="s">
        <v>810</v>
      </c>
      <c r="C388" s="67" t="s">
        <v>1100</v>
      </c>
      <c r="D388" s="67" t="s">
        <v>1107</v>
      </c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>
      <c r="A389" s="65">
        <v>45801.0</v>
      </c>
      <c r="B389" s="66" t="s">
        <v>810</v>
      </c>
      <c r="C389" s="67" t="s">
        <v>1108</v>
      </c>
      <c r="D389" s="67" t="s">
        <v>971</v>
      </c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>
      <c r="A390" s="65">
        <v>45801.80443287037</v>
      </c>
      <c r="B390" s="66" t="s">
        <v>810</v>
      </c>
      <c r="C390" s="67" t="s">
        <v>1109</v>
      </c>
      <c r="D390" s="67" t="s">
        <v>1073</v>
      </c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>
      <c r="A391" s="65">
        <v>45801.80459490741</v>
      </c>
      <c r="B391" s="66" t="s">
        <v>810</v>
      </c>
      <c r="C391" s="67" t="s">
        <v>1109</v>
      </c>
      <c r="D391" s="67" t="s">
        <v>1073</v>
      </c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>
      <c r="A392" s="65">
        <v>45801.0</v>
      </c>
      <c r="B392" s="66" t="s">
        <v>810</v>
      </c>
      <c r="C392" s="67" t="s">
        <v>1101</v>
      </c>
      <c r="D392" s="67" t="s">
        <v>1110</v>
      </c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>
      <c r="A393" s="65">
        <v>45801.0</v>
      </c>
      <c r="B393" s="66" t="s">
        <v>810</v>
      </c>
      <c r="C393" s="67" t="s">
        <v>1111</v>
      </c>
      <c r="D393" s="68" t="s">
        <v>827</v>
      </c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>
      <c r="A394" s="65">
        <v>45801.0</v>
      </c>
      <c r="B394" s="66" t="s">
        <v>810</v>
      </c>
      <c r="C394" s="67" t="s">
        <v>1109</v>
      </c>
      <c r="D394" s="67" t="s">
        <v>1112</v>
      </c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>
      <c r="A395" s="65">
        <v>45801.0</v>
      </c>
      <c r="B395" s="66" t="s">
        <v>810</v>
      </c>
      <c r="C395" s="67" t="s">
        <v>1113</v>
      </c>
      <c r="D395" s="67" t="s">
        <v>1114</v>
      </c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>
      <c r="A396" s="65">
        <v>45805.0</v>
      </c>
      <c r="B396" s="66" t="s">
        <v>811</v>
      </c>
      <c r="C396" s="67" t="s">
        <v>1115</v>
      </c>
      <c r="D396" s="68" t="s">
        <v>827</v>
      </c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>
      <c r="A397" s="65">
        <v>45805.0</v>
      </c>
      <c r="B397" s="66" t="s">
        <v>811</v>
      </c>
      <c r="C397" s="67" t="s">
        <v>1116</v>
      </c>
      <c r="D397" s="68" t="s">
        <v>827</v>
      </c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>
      <c r="A398" s="65">
        <v>45805.0</v>
      </c>
      <c r="B398" s="66" t="s">
        <v>811</v>
      </c>
      <c r="C398" s="67" t="s">
        <v>1117</v>
      </c>
      <c r="D398" s="68" t="s">
        <v>827</v>
      </c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>
      <c r="A399" s="65">
        <v>45805.0</v>
      </c>
      <c r="B399" s="66" t="s">
        <v>811</v>
      </c>
      <c r="C399" s="67" t="s">
        <v>1118</v>
      </c>
      <c r="D399" s="68" t="s">
        <v>827</v>
      </c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>
      <c r="A400" s="65">
        <v>45805.0</v>
      </c>
      <c r="B400" s="66" t="s">
        <v>811</v>
      </c>
      <c r="C400" s="67" t="s">
        <v>1119</v>
      </c>
      <c r="D400" s="68" t="s">
        <v>827</v>
      </c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>
      <c r="A401" s="65">
        <v>45805.0</v>
      </c>
      <c r="B401" s="66" t="s">
        <v>811</v>
      </c>
      <c r="C401" s="67" t="s">
        <v>1120</v>
      </c>
      <c r="D401" s="68" t="s">
        <v>827</v>
      </c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>
      <c r="A402" s="65">
        <v>45805.0</v>
      </c>
      <c r="B402" s="66" t="s">
        <v>811</v>
      </c>
      <c r="C402" s="67" t="s">
        <v>1121</v>
      </c>
      <c r="D402" s="68" t="s">
        <v>827</v>
      </c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>
      <c r="A403" s="65">
        <v>45805.0</v>
      </c>
      <c r="B403" s="66" t="s">
        <v>811</v>
      </c>
      <c r="C403" s="67" t="s">
        <v>1121</v>
      </c>
      <c r="D403" s="68" t="s">
        <v>827</v>
      </c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>
      <c r="A404" s="65">
        <v>45805.0</v>
      </c>
      <c r="B404" s="66" t="s">
        <v>811</v>
      </c>
      <c r="C404" s="67" t="s">
        <v>1119</v>
      </c>
      <c r="D404" s="68" t="s">
        <v>827</v>
      </c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>
      <c r="A405" s="65">
        <v>45805.0</v>
      </c>
      <c r="B405" s="66" t="s">
        <v>811</v>
      </c>
      <c r="C405" s="67" t="s">
        <v>1122</v>
      </c>
      <c r="D405" s="67" t="s">
        <v>857</v>
      </c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>
      <c r="A406" s="65">
        <v>45805.0</v>
      </c>
      <c r="B406" s="66" t="s">
        <v>811</v>
      </c>
      <c r="C406" s="67" t="s">
        <v>971</v>
      </c>
      <c r="D406" s="67" t="s">
        <v>971</v>
      </c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>
      <c r="A407" s="65">
        <v>45805.0</v>
      </c>
      <c r="B407" s="66" t="s">
        <v>811</v>
      </c>
      <c r="C407" s="67" t="s">
        <v>1123</v>
      </c>
      <c r="D407" s="68" t="s">
        <v>827</v>
      </c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>
      <c r="A408" s="65">
        <v>45805.0</v>
      </c>
      <c r="B408" s="66" t="s">
        <v>811</v>
      </c>
      <c r="C408" s="67" t="s">
        <v>1124</v>
      </c>
      <c r="D408" s="68" t="s">
        <v>827</v>
      </c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>
      <c r="A409" s="65">
        <v>45805.0</v>
      </c>
      <c r="B409" s="66" t="s">
        <v>811</v>
      </c>
      <c r="C409" s="67" t="s">
        <v>1124</v>
      </c>
      <c r="D409" s="68" t="s">
        <v>827</v>
      </c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>
      <c r="A410" s="65">
        <v>45805.0</v>
      </c>
      <c r="B410" s="66" t="s">
        <v>811</v>
      </c>
      <c r="C410" s="67" t="s">
        <v>1123</v>
      </c>
      <c r="D410" s="67" t="s">
        <v>1103</v>
      </c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>
      <c r="A411" s="65">
        <v>45805.0</v>
      </c>
      <c r="B411" s="66" t="s">
        <v>811</v>
      </c>
      <c r="C411" s="67" t="s">
        <v>1123</v>
      </c>
      <c r="D411" s="67" t="s">
        <v>1103</v>
      </c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>
      <c r="A412" s="65">
        <v>45805.0</v>
      </c>
      <c r="B412" s="66" t="s">
        <v>811</v>
      </c>
      <c r="C412" s="67" t="s">
        <v>1125</v>
      </c>
      <c r="D412" s="67" t="s">
        <v>1125</v>
      </c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>
      <c r="A413" s="65">
        <v>45805.0</v>
      </c>
      <c r="B413" s="66" t="s">
        <v>811</v>
      </c>
      <c r="C413" s="67" t="s">
        <v>1126</v>
      </c>
      <c r="D413" s="68" t="s">
        <v>827</v>
      </c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>
      <c r="A414" s="65">
        <v>45805.0</v>
      </c>
      <c r="B414" s="66" t="s">
        <v>811</v>
      </c>
      <c r="C414" s="67" t="s">
        <v>1127</v>
      </c>
      <c r="D414" s="68" t="s">
        <v>827</v>
      </c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>
      <c r="A415" s="65">
        <v>45806.0</v>
      </c>
      <c r="B415" s="66" t="s">
        <v>811</v>
      </c>
      <c r="C415" s="67" t="s">
        <v>1128</v>
      </c>
      <c r="D415" s="67" t="s">
        <v>971</v>
      </c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>
      <c r="A416" s="65">
        <v>45805.0</v>
      </c>
      <c r="B416" s="66" t="s">
        <v>811</v>
      </c>
      <c r="C416" s="67" t="s">
        <v>1128</v>
      </c>
      <c r="D416" s="67" t="s">
        <v>971</v>
      </c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>
      <c r="A417" s="65">
        <v>45806.0</v>
      </c>
      <c r="B417" s="66" t="s">
        <v>811</v>
      </c>
      <c r="C417" s="67" t="s">
        <v>1129</v>
      </c>
      <c r="D417" s="68" t="s">
        <v>827</v>
      </c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>
      <c r="A418" s="65">
        <v>45805.0</v>
      </c>
      <c r="B418" s="66" t="s">
        <v>811</v>
      </c>
      <c r="C418" s="67" t="s">
        <v>1068</v>
      </c>
      <c r="D418" s="68" t="s">
        <v>827</v>
      </c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>
      <c r="A419" s="65">
        <v>45805.0</v>
      </c>
      <c r="B419" s="66" t="s">
        <v>811</v>
      </c>
      <c r="C419" s="67" t="s">
        <v>1068</v>
      </c>
      <c r="D419" s="68" t="s">
        <v>827</v>
      </c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>
      <c r="A420" s="65">
        <v>45808.0</v>
      </c>
      <c r="B420" s="66" t="s">
        <v>810</v>
      </c>
      <c r="C420" s="67" t="s">
        <v>1130</v>
      </c>
      <c r="D420" s="68" t="s">
        <v>827</v>
      </c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>
      <c r="A421" s="65">
        <v>45808.0</v>
      </c>
      <c r="B421" s="66" t="s">
        <v>810</v>
      </c>
      <c r="C421" s="67" t="s">
        <v>1131</v>
      </c>
      <c r="D421" s="67" t="s">
        <v>1132</v>
      </c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>
      <c r="A422" s="65">
        <v>45808.0</v>
      </c>
      <c r="B422" s="66" t="s">
        <v>810</v>
      </c>
      <c r="C422" s="67" t="s">
        <v>1131</v>
      </c>
      <c r="D422" s="67" t="s">
        <v>1132</v>
      </c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>
      <c r="A423" s="65">
        <v>45808.0</v>
      </c>
      <c r="B423" s="66" t="s">
        <v>810</v>
      </c>
      <c r="C423" s="67" t="s">
        <v>1133</v>
      </c>
      <c r="D423" s="68" t="s">
        <v>827</v>
      </c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>
      <c r="A424" s="65">
        <v>45808.0</v>
      </c>
      <c r="B424" s="66" t="s">
        <v>810</v>
      </c>
      <c r="C424" s="67" t="s">
        <v>1134</v>
      </c>
      <c r="D424" s="68" t="s">
        <v>827</v>
      </c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>
      <c r="A425" s="65">
        <v>45808.0</v>
      </c>
      <c r="B425" s="66" t="s">
        <v>810</v>
      </c>
      <c r="C425" s="67" t="s">
        <v>1135</v>
      </c>
      <c r="D425" s="68" t="s">
        <v>827</v>
      </c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>
      <c r="A426" s="65">
        <v>45808.0</v>
      </c>
      <c r="B426" s="66" t="s">
        <v>810</v>
      </c>
      <c r="C426" s="67" t="s">
        <v>1135</v>
      </c>
      <c r="D426" s="68" t="s">
        <v>827</v>
      </c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>
      <c r="A427" s="65">
        <v>45808.0</v>
      </c>
      <c r="B427" s="66" t="s">
        <v>810</v>
      </c>
      <c r="C427" s="67" t="s">
        <v>1136</v>
      </c>
      <c r="D427" s="67" t="s">
        <v>990</v>
      </c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>
      <c r="A428" s="65">
        <v>45808.0</v>
      </c>
      <c r="B428" s="66" t="s">
        <v>810</v>
      </c>
      <c r="C428" s="67" t="s">
        <v>1136</v>
      </c>
      <c r="D428" s="67" t="s">
        <v>990</v>
      </c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>
      <c r="A429" s="65">
        <v>45808.0</v>
      </c>
      <c r="B429" s="66" t="s">
        <v>811</v>
      </c>
      <c r="C429" s="67" t="s">
        <v>1137</v>
      </c>
      <c r="D429" s="68" t="s">
        <v>827</v>
      </c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>
      <c r="A430" s="65">
        <v>45808.0</v>
      </c>
      <c r="B430" s="66" t="s">
        <v>810</v>
      </c>
      <c r="C430" s="67" t="s">
        <v>1134</v>
      </c>
      <c r="D430" s="68" t="s">
        <v>827</v>
      </c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>
      <c r="A431" s="65">
        <v>45808.0</v>
      </c>
      <c r="B431" s="66" t="s">
        <v>810</v>
      </c>
      <c r="C431" s="67" t="s">
        <v>1138</v>
      </c>
      <c r="D431" s="68" t="s">
        <v>827</v>
      </c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>
      <c r="A432" s="65">
        <v>45808.0</v>
      </c>
      <c r="B432" s="66" t="s">
        <v>810</v>
      </c>
      <c r="C432" s="67" t="s">
        <v>1139</v>
      </c>
      <c r="D432" s="68" t="s">
        <v>827</v>
      </c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>
      <c r="A433" s="65">
        <v>45808.0</v>
      </c>
      <c r="B433" s="66" t="s">
        <v>812</v>
      </c>
      <c r="C433" s="67" t="s">
        <v>1140</v>
      </c>
      <c r="D433" s="68" t="s">
        <v>827</v>
      </c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>
      <c r="A434" s="65">
        <v>45808.0</v>
      </c>
      <c r="B434" s="66" t="s">
        <v>812</v>
      </c>
      <c r="C434" s="67" t="s">
        <v>1141</v>
      </c>
      <c r="D434" s="68" t="s">
        <v>827</v>
      </c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>
      <c r="A435" s="65">
        <v>45808.0</v>
      </c>
      <c r="B435" s="66" t="s">
        <v>812</v>
      </c>
      <c r="C435" s="67" t="s">
        <v>1142</v>
      </c>
      <c r="D435" s="68" t="s">
        <v>827</v>
      </c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>
      <c r="A436" s="65">
        <v>45808.0</v>
      </c>
      <c r="B436" s="66" t="s">
        <v>812</v>
      </c>
      <c r="C436" s="67" t="s">
        <v>1143</v>
      </c>
      <c r="D436" s="68" t="s">
        <v>827</v>
      </c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>
      <c r="A437" s="65">
        <v>45808.0</v>
      </c>
      <c r="B437" s="66" t="s">
        <v>812</v>
      </c>
      <c r="C437" s="67" t="s">
        <v>1144</v>
      </c>
      <c r="D437" s="67" t="s">
        <v>1145</v>
      </c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>
      <c r="A438" s="65">
        <v>45808.0</v>
      </c>
      <c r="B438" s="66" t="s">
        <v>812</v>
      </c>
      <c r="C438" s="67" t="s">
        <v>1144</v>
      </c>
      <c r="D438" s="67" t="s">
        <v>1146</v>
      </c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>
      <c r="A439" s="65">
        <v>45808.0</v>
      </c>
      <c r="B439" s="66" t="s">
        <v>812</v>
      </c>
      <c r="C439" s="67" t="s">
        <v>1147</v>
      </c>
      <c r="D439" s="68" t="s">
        <v>827</v>
      </c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>
      <c r="A440" s="65">
        <v>45808.0</v>
      </c>
      <c r="B440" s="66" t="s">
        <v>812</v>
      </c>
      <c r="C440" s="67" t="s">
        <v>1148</v>
      </c>
      <c r="D440" s="67" t="s">
        <v>866</v>
      </c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>
      <c r="A441" s="65">
        <v>45808.0</v>
      </c>
      <c r="B441" s="66" t="s">
        <v>812</v>
      </c>
      <c r="C441" s="67" t="s">
        <v>1149</v>
      </c>
      <c r="D441" s="68" t="s">
        <v>827</v>
      </c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>
      <c r="A442" s="65">
        <v>45808.0</v>
      </c>
      <c r="B442" s="66" t="s">
        <v>812</v>
      </c>
      <c r="C442" s="67" t="s">
        <v>1150</v>
      </c>
      <c r="D442" s="68" t="s">
        <v>827</v>
      </c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>
      <c r="A443" s="65">
        <v>45808.0</v>
      </c>
      <c r="B443" s="66" t="s">
        <v>810</v>
      </c>
      <c r="C443" s="67" t="s">
        <v>1151</v>
      </c>
      <c r="D443" s="68" t="s">
        <v>827</v>
      </c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>
      <c r="A444" s="65">
        <v>45808.0</v>
      </c>
      <c r="B444" s="66" t="s">
        <v>812</v>
      </c>
      <c r="C444" s="67" t="s">
        <v>1152</v>
      </c>
      <c r="D444" s="68" t="s">
        <v>827</v>
      </c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>
      <c r="A445" s="65">
        <v>45808.0</v>
      </c>
      <c r="B445" s="66" t="s">
        <v>812</v>
      </c>
      <c r="C445" s="67" t="s">
        <v>1152</v>
      </c>
      <c r="D445" s="68" t="s">
        <v>827</v>
      </c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>
      <c r="A446" s="65">
        <v>45808.0</v>
      </c>
      <c r="B446" s="66" t="s">
        <v>812</v>
      </c>
      <c r="C446" s="67" t="s">
        <v>1153</v>
      </c>
      <c r="D446" s="68" t="s">
        <v>827</v>
      </c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>
      <c r="A447" s="65">
        <v>45812.0</v>
      </c>
      <c r="B447" s="66" t="s">
        <v>811</v>
      </c>
      <c r="C447" s="67" t="s">
        <v>1154</v>
      </c>
      <c r="D447" s="68" t="s">
        <v>827</v>
      </c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>
      <c r="A448" s="65">
        <v>45812.0</v>
      </c>
      <c r="B448" s="66" t="s">
        <v>811</v>
      </c>
      <c r="C448" s="67" t="s">
        <v>1155</v>
      </c>
      <c r="D448" s="68" t="s">
        <v>827</v>
      </c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>
      <c r="A449" s="65">
        <v>45812.0</v>
      </c>
      <c r="B449" s="66" t="s">
        <v>811</v>
      </c>
      <c r="C449" s="67" t="s">
        <v>1156</v>
      </c>
      <c r="D449" s="68" t="s">
        <v>827</v>
      </c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>
      <c r="A450" s="65">
        <v>45812.0</v>
      </c>
      <c r="B450" s="66" t="s">
        <v>811</v>
      </c>
      <c r="C450" s="67" t="s">
        <v>1157</v>
      </c>
      <c r="D450" s="68" t="s">
        <v>827</v>
      </c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>
      <c r="A451" s="65">
        <v>45812.0</v>
      </c>
      <c r="B451" s="66" t="s">
        <v>811</v>
      </c>
      <c r="C451" s="67" t="s">
        <v>1158</v>
      </c>
      <c r="D451" s="68" t="s">
        <v>827</v>
      </c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>
      <c r="A452" s="65">
        <v>45812.0</v>
      </c>
      <c r="B452" s="66" t="s">
        <v>811</v>
      </c>
      <c r="C452" s="67" t="s">
        <v>1159</v>
      </c>
      <c r="D452" s="68" t="s">
        <v>827</v>
      </c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>
      <c r="A453" s="65">
        <v>45812.0</v>
      </c>
      <c r="B453" s="66" t="s">
        <v>811</v>
      </c>
      <c r="C453" s="67" t="s">
        <v>1159</v>
      </c>
      <c r="D453" s="68" t="s">
        <v>827</v>
      </c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>
      <c r="A454" s="65">
        <v>45812.0</v>
      </c>
      <c r="B454" s="66" t="s">
        <v>811</v>
      </c>
      <c r="C454" s="67" t="s">
        <v>1160</v>
      </c>
      <c r="D454" s="68" t="s">
        <v>827</v>
      </c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>
      <c r="A455" s="65">
        <v>45812.0</v>
      </c>
      <c r="B455" s="66" t="s">
        <v>811</v>
      </c>
      <c r="C455" s="67" t="s">
        <v>1161</v>
      </c>
      <c r="D455" s="68" t="s">
        <v>827</v>
      </c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>
      <c r="A456" s="65">
        <v>45812.0</v>
      </c>
      <c r="B456" s="66" t="s">
        <v>811</v>
      </c>
      <c r="C456" s="67" t="s">
        <v>1162</v>
      </c>
      <c r="D456" s="68" t="s">
        <v>827</v>
      </c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>
      <c r="A457" s="65">
        <v>45812.0</v>
      </c>
      <c r="B457" s="66" t="s">
        <v>811</v>
      </c>
      <c r="C457" s="67" t="s">
        <v>1162</v>
      </c>
      <c r="D457" s="68" t="s">
        <v>827</v>
      </c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>
      <c r="A458" s="65">
        <v>45812.0</v>
      </c>
      <c r="B458" s="66" t="s">
        <v>811</v>
      </c>
      <c r="C458" s="67" t="s">
        <v>1161</v>
      </c>
      <c r="D458" s="68" t="s">
        <v>827</v>
      </c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>
      <c r="A459" s="65">
        <v>45815.0</v>
      </c>
      <c r="B459" s="66" t="s">
        <v>810</v>
      </c>
      <c r="C459" s="67" t="s">
        <v>1163</v>
      </c>
      <c r="D459" s="68" t="s">
        <v>827</v>
      </c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>
      <c r="A460" s="65">
        <v>45815.0</v>
      </c>
      <c r="B460" s="66" t="s">
        <v>810</v>
      </c>
      <c r="C460" s="67" t="s">
        <v>1164</v>
      </c>
      <c r="D460" s="68" t="s">
        <v>827</v>
      </c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>
      <c r="A461" s="65">
        <v>45815.0</v>
      </c>
      <c r="B461" s="66" t="s">
        <v>810</v>
      </c>
      <c r="C461" s="67" t="s">
        <v>1165</v>
      </c>
      <c r="D461" s="68" t="s">
        <v>827</v>
      </c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>
      <c r="A462" s="65">
        <v>45815.0</v>
      </c>
      <c r="B462" s="66" t="s">
        <v>810</v>
      </c>
      <c r="C462" s="67" t="s">
        <v>1166</v>
      </c>
      <c r="D462" s="68" t="s">
        <v>827</v>
      </c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>
      <c r="A463" s="65">
        <v>45815.0</v>
      </c>
      <c r="B463" s="66" t="s">
        <v>810</v>
      </c>
      <c r="C463" s="67" t="s">
        <v>1167</v>
      </c>
      <c r="D463" s="68" t="s">
        <v>827</v>
      </c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>
      <c r="A464" s="65">
        <v>45815.0</v>
      </c>
      <c r="B464" s="66" t="s">
        <v>810</v>
      </c>
      <c r="C464" s="67" t="s">
        <v>1167</v>
      </c>
      <c r="D464" s="68" t="s">
        <v>827</v>
      </c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>
      <c r="A465" s="65">
        <v>45815.0</v>
      </c>
      <c r="B465" s="66" t="s">
        <v>810</v>
      </c>
      <c r="C465" s="67" t="s">
        <v>1168</v>
      </c>
      <c r="D465" s="68" t="s">
        <v>827</v>
      </c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>
      <c r="A466" s="65">
        <v>45815.0</v>
      </c>
      <c r="B466" s="66" t="s">
        <v>810</v>
      </c>
      <c r="C466" s="67" t="s">
        <v>1169</v>
      </c>
      <c r="D466" s="68" t="s">
        <v>827</v>
      </c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>
      <c r="A467" s="65">
        <v>45815.0</v>
      </c>
      <c r="B467" s="66" t="s">
        <v>810</v>
      </c>
      <c r="C467" s="67" t="s">
        <v>1170</v>
      </c>
      <c r="D467" s="68" t="s">
        <v>827</v>
      </c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>
      <c r="A468" s="65">
        <v>45815.0</v>
      </c>
      <c r="B468" s="66" t="s">
        <v>810</v>
      </c>
      <c r="C468" s="67" t="s">
        <v>1171</v>
      </c>
      <c r="D468" s="68" t="s">
        <v>827</v>
      </c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>
      <c r="A469" s="65">
        <v>45815.0</v>
      </c>
      <c r="B469" s="66" t="s">
        <v>810</v>
      </c>
      <c r="C469" s="67" t="s">
        <v>1172</v>
      </c>
      <c r="D469" s="68" t="s">
        <v>827</v>
      </c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>
      <c r="A470" s="65">
        <v>45815.0</v>
      </c>
      <c r="B470" s="66" t="s">
        <v>810</v>
      </c>
      <c r="C470" s="67" t="s">
        <v>1171</v>
      </c>
      <c r="D470" s="68" t="s">
        <v>827</v>
      </c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>
      <c r="A471" s="65">
        <v>45815.0</v>
      </c>
      <c r="B471" s="66" t="s">
        <v>810</v>
      </c>
      <c r="C471" s="67" t="s">
        <v>1173</v>
      </c>
      <c r="D471" s="68" t="s">
        <v>827</v>
      </c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>
      <c r="A472" s="65">
        <v>45815.0</v>
      </c>
      <c r="B472" s="66" t="s">
        <v>810</v>
      </c>
      <c r="C472" s="67" t="s">
        <v>1174</v>
      </c>
      <c r="D472" s="68" t="s">
        <v>827</v>
      </c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>
      <c r="A473" s="65">
        <v>45815.0</v>
      </c>
      <c r="B473" s="66" t="s">
        <v>810</v>
      </c>
      <c r="C473" s="67" t="s">
        <v>1170</v>
      </c>
      <c r="D473" s="67" t="s">
        <v>857</v>
      </c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>
      <c r="A474" s="65">
        <v>45815.0</v>
      </c>
      <c r="B474" s="66" t="s">
        <v>810</v>
      </c>
      <c r="C474" s="67" t="s">
        <v>1170</v>
      </c>
      <c r="D474" s="67" t="s">
        <v>857</v>
      </c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>
      <c r="A475" s="65">
        <v>45815.0</v>
      </c>
      <c r="B475" s="66" t="s">
        <v>810</v>
      </c>
      <c r="C475" s="67" t="s">
        <v>1172</v>
      </c>
      <c r="D475" s="67" t="s">
        <v>1175</v>
      </c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>
      <c r="A476" s="65">
        <v>45815.0</v>
      </c>
      <c r="B476" s="66" t="s">
        <v>810</v>
      </c>
      <c r="C476" s="67" t="s">
        <v>1176</v>
      </c>
      <c r="D476" s="67" t="s">
        <v>1177</v>
      </c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>
      <c r="A477" s="65">
        <v>45815.0</v>
      </c>
      <c r="B477" s="66" t="s">
        <v>810</v>
      </c>
      <c r="C477" s="67" t="s">
        <v>1178</v>
      </c>
      <c r="D477" s="67" t="s">
        <v>1179</v>
      </c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>
      <c r="A478" s="65">
        <v>45815.0</v>
      </c>
      <c r="B478" s="66" t="s">
        <v>810</v>
      </c>
      <c r="C478" s="67" t="s">
        <v>1180</v>
      </c>
      <c r="D478" s="67" t="s">
        <v>973</v>
      </c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>
      <c r="A479" s="65">
        <v>45815.0</v>
      </c>
      <c r="B479" s="66" t="s">
        <v>810</v>
      </c>
      <c r="C479" s="67" t="s">
        <v>1181</v>
      </c>
      <c r="D479" s="67" t="s">
        <v>1182</v>
      </c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>
      <c r="A480" s="65">
        <v>45815.0</v>
      </c>
      <c r="B480" s="66" t="s">
        <v>810</v>
      </c>
      <c r="C480" s="67" t="s">
        <v>929</v>
      </c>
      <c r="D480" s="68" t="s">
        <v>827</v>
      </c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>
      <c r="A481" s="65">
        <v>45815.0</v>
      </c>
      <c r="B481" s="66" t="s">
        <v>810</v>
      </c>
      <c r="C481" s="67" t="s">
        <v>1183</v>
      </c>
      <c r="D481" s="67" t="s">
        <v>1184</v>
      </c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>
      <c r="A482" s="65">
        <v>45815.0</v>
      </c>
      <c r="B482" s="66" t="s">
        <v>810</v>
      </c>
      <c r="C482" s="67" t="s">
        <v>1183</v>
      </c>
      <c r="D482" s="67" t="s">
        <v>1184</v>
      </c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>
      <c r="A483" s="65">
        <v>45815.0</v>
      </c>
      <c r="B483" s="66" t="s">
        <v>810</v>
      </c>
      <c r="C483" s="67" t="s">
        <v>1183</v>
      </c>
      <c r="D483" s="67" t="s">
        <v>1184</v>
      </c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>
      <c r="A484" s="65">
        <v>45815.0</v>
      </c>
      <c r="B484" s="66" t="s">
        <v>812</v>
      </c>
      <c r="C484" s="67" t="s">
        <v>1185</v>
      </c>
      <c r="D484" s="68" t="s">
        <v>827</v>
      </c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>
      <c r="A485" s="65">
        <v>45819.0</v>
      </c>
      <c r="B485" s="66" t="s">
        <v>811</v>
      </c>
      <c r="C485" s="67" t="s">
        <v>1186</v>
      </c>
      <c r="D485" s="68" t="s">
        <v>827</v>
      </c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>
      <c r="A486" s="65">
        <v>45819.0</v>
      </c>
      <c r="B486" s="66" t="s">
        <v>811</v>
      </c>
      <c r="C486" s="67" t="s">
        <v>1187</v>
      </c>
      <c r="D486" s="68" t="s">
        <v>827</v>
      </c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>
      <c r="A487" s="65">
        <v>45819.0</v>
      </c>
      <c r="B487" s="66" t="s">
        <v>811</v>
      </c>
      <c r="C487" s="67" t="s">
        <v>1187</v>
      </c>
      <c r="D487" s="68" t="s">
        <v>827</v>
      </c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>
      <c r="A488" s="65">
        <v>45819.0</v>
      </c>
      <c r="B488" s="66" t="s">
        <v>811</v>
      </c>
      <c r="C488" s="67" t="s">
        <v>1188</v>
      </c>
      <c r="D488" s="68" t="s">
        <v>827</v>
      </c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>
      <c r="A489" s="65">
        <v>45819.0</v>
      </c>
      <c r="B489" s="66" t="s">
        <v>811</v>
      </c>
      <c r="C489" s="67" t="s">
        <v>1189</v>
      </c>
      <c r="D489" s="68" t="s">
        <v>827</v>
      </c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>
      <c r="A490" s="65">
        <v>45819.0</v>
      </c>
      <c r="B490" s="66" t="s">
        <v>811</v>
      </c>
      <c r="C490" s="67" t="s">
        <v>1190</v>
      </c>
      <c r="D490" s="68" t="s">
        <v>827</v>
      </c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>
      <c r="A491" s="65">
        <v>45819.0</v>
      </c>
      <c r="B491" s="66" t="s">
        <v>811</v>
      </c>
      <c r="C491" s="67" t="s">
        <v>1191</v>
      </c>
      <c r="D491" s="68" t="s">
        <v>827</v>
      </c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>
      <c r="A492" s="65">
        <v>45819.0</v>
      </c>
      <c r="B492" s="66" t="s">
        <v>811</v>
      </c>
      <c r="C492" s="67" t="s">
        <v>1192</v>
      </c>
      <c r="D492" s="68" t="s">
        <v>827</v>
      </c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>
      <c r="A493" s="65">
        <v>45822.0</v>
      </c>
      <c r="B493" s="66" t="s">
        <v>810</v>
      </c>
      <c r="C493" s="67" t="s">
        <v>1193</v>
      </c>
      <c r="D493" s="68" t="s">
        <v>827</v>
      </c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>
      <c r="A494" s="65">
        <v>45822.0</v>
      </c>
      <c r="B494" s="66" t="s">
        <v>810</v>
      </c>
      <c r="C494" s="67" t="s">
        <v>1194</v>
      </c>
      <c r="D494" s="68" t="s">
        <v>827</v>
      </c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>
      <c r="A495" s="65">
        <v>45822.0</v>
      </c>
      <c r="B495" s="66" t="s">
        <v>810</v>
      </c>
      <c r="C495" s="67" t="s">
        <v>1194</v>
      </c>
      <c r="D495" s="67" t="s">
        <v>1195</v>
      </c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>
      <c r="A496" s="65">
        <v>45822.0</v>
      </c>
      <c r="B496" s="66" t="s">
        <v>810</v>
      </c>
      <c r="C496" s="67" t="s">
        <v>1194</v>
      </c>
      <c r="D496" s="67" t="s">
        <v>1195</v>
      </c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>
      <c r="A497" s="65">
        <v>45822.0</v>
      </c>
      <c r="B497" s="66" t="s">
        <v>810</v>
      </c>
      <c r="C497" s="67" t="s">
        <v>1194</v>
      </c>
      <c r="D497" s="67" t="s">
        <v>1196</v>
      </c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>
      <c r="A498" s="65">
        <v>45822.0</v>
      </c>
      <c r="B498" s="66" t="s">
        <v>810</v>
      </c>
      <c r="C498" s="67" t="s">
        <v>1194</v>
      </c>
      <c r="D498" s="67" t="s">
        <v>1197</v>
      </c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>
      <c r="A499" s="65">
        <v>45822.0</v>
      </c>
      <c r="B499" s="66" t="s">
        <v>810</v>
      </c>
      <c r="C499" s="68" t="s">
        <v>827</v>
      </c>
      <c r="D499" s="67" t="s">
        <v>1198</v>
      </c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>
      <c r="A500" s="65">
        <v>45822.0</v>
      </c>
      <c r="B500" s="66" t="s">
        <v>810</v>
      </c>
      <c r="C500" s="67" t="s">
        <v>1199</v>
      </c>
      <c r="D500" s="68" t="s">
        <v>827</v>
      </c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>
      <c r="A501" s="65">
        <v>45826.0</v>
      </c>
      <c r="B501" s="66" t="s">
        <v>811</v>
      </c>
      <c r="C501" s="67" t="s">
        <v>1200</v>
      </c>
      <c r="D501" s="68" t="s">
        <v>827</v>
      </c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>
      <c r="A502" s="65">
        <v>45826.0</v>
      </c>
      <c r="B502" s="66" t="s">
        <v>811</v>
      </c>
      <c r="C502" s="67" t="s">
        <v>1200</v>
      </c>
      <c r="D502" s="68" t="s">
        <v>827</v>
      </c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>
      <c r="A503" s="65">
        <v>45826.0</v>
      </c>
      <c r="B503" s="66" t="s">
        <v>811</v>
      </c>
      <c r="C503" s="67" t="s">
        <v>1201</v>
      </c>
      <c r="D503" s="68" t="s">
        <v>827</v>
      </c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>
      <c r="A504" s="65">
        <v>45826.0</v>
      </c>
      <c r="B504" s="66" t="s">
        <v>811</v>
      </c>
      <c r="C504" s="67" t="s">
        <v>1202</v>
      </c>
      <c r="D504" s="68" t="s">
        <v>827</v>
      </c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>
      <c r="A505" s="65">
        <v>45826.0</v>
      </c>
      <c r="B505" s="66" t="s">
        <v>811</v>
      </c>
      <c r="C505" s="67" t="s">
        <v>1203</v>
      </c>
      <c r="D505" s="68" t="s">
        <v>827</v>
      </c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>
      <c r="A506" s="65">
        <v>45826.0</v>
      </c>
      <c r="B506" s="66" t="s">
        <v>811</v>
      </c>
      <c r="C506" s="67" t="s">
        <v>1204</v>
      </c>
      <c r="D506" s="68" t="s">
        <v>827</v>
      </c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>
      <c r="A507" s="65">
        <v>45826.0</v>
      </c>
      <c r="B507" s="66" t="s">
        <v>811</v>
      </c>
      <c r="C507" s="67" t="s">
        <v>1205</v>
      </c>
      <c r="D507" s="68" t="s">
        <v>827</v>
      </c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>
      <c r="A508" s="65">
        <v>45826.0</v>
      </c>
      <c r="B508" s="66" t="s">
        <v>811</v>
      </c>
      <c r="C508" s="67" t="s">
        <v>1205</v>
      </c>
      <c r="D508" s="68" t="s">
        <v>827</v>
      </c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>
      <c r="A509" s="65">
        <v>45826.0</v>
      </c>
      <c r="B509" s="66" t="s">
        <v>811</v>
      </c>
      <c r="C509" s="67" t="s">
        <v>1200</v>
      </c>
      <c r="D509" s="67" t="s">
        <v>1066</v>
      </c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>
      <c r="A510" s="65">
        <v>45826.0</v>
      </c>
      <c r="B510" s="66" t="s">
        <v>811</v>
      </c>
      <c r="C510" s="67" t="s">
        <v>1206</v>
      </c>
      <c r="D510" s="67" t="s">
        <v>927</v>
      </c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>
      <c r="A511" s="65">
        <v>45826.0</v>
      </c>
      <c r="B511" s="66" t="s">
        <v>811</v>
      </c>
      <c r="C511" s="67" t="s">
        <v>1207</v>
      </c>
      <c r="D511" s="68" t="s">
        <v>827</v>
      </c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>
      <c r="A512" s="65">
        <v>45826.0</v>
      </c>
      <c r="B512" s="66" t="s">
        <v>811</v>
      </c>
      <c r="C512" s="67" t="s">
        <v>1207</v>
      </c>
      <c r="D512" s="68" t="s">
        <v>827</v>
      </c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>
      <c r="A513" s="65">
        <v>45826.0</v>
      </c>
      <c r="B513" s="66" t="s">
        <v>811</v>
      </c>
      <c r="C513" s="67" t="s">
        <v>1208</v>
      </c>
      <c r="D513" s="68" t="s">
        <v>827</v>
      </c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>
      <c r="A514" s="65">
        <v>45826.0</v>
      </c>
      <c r="B514" s="66" t="s">
        <v>811</v>
      </c>
      <c r="C514" s="67" t="s">
        <v>1209</v>
      </c>
      <c r="D514" s="68" t="s">
        <v>827</v>
      </c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>
      <c r="A515" s="65">
        <v>45826.0</v>
      </c>
      <c r="B515" s="66" t="s">
        <v>811</v>
      </c>
      <c r="C515" s="67" t="s">
        <v>1209</v>
      </c>
      <c r="D515" s="68" t="s">
        <v>827</v>
      </c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>
      <c r="A516" s="65">
        <v>45826.0</v>
      </c>
      <c r="B516" s="66" t="s">
        <v>811</v>
      </c>
      <c r="C516" s="67" t="s">
        <v>1210</v>
      </c>
      <c r="D516" s="68" t="s">
        <v>827</v>
      </c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>
      <c r="A517" s="65">
        <v>45826.0</v>
      </c>
      <c r="B517" s="66" t="s">
        <v>811</v>
      </c>
      <c r="C517" s="67" t="s">
        <v>1210</v>
      </c>
      <c r="D517" s="68" t="s">
        <v>827</v>
      </c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>
      <c r="A518" s="65">
        <v>45829.0</v>
      </c>
      <c r="B518" s="66" t="s">
        <v>810</v>
      </c>
      <c r="C518" s="67" t="s">
        <v>1211</v>
      </c>
      <c r="D518" s="68" t="s">
        <v>827</v>
      </c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>
      <c r="A519" s="65">
        <v>45829.0</v>
      </c>
      <c r="B519" s="66" t="s">
        <v>810</v>
      </c>
      <c r="C519" s="67" t="s">
        <v>1212</v>
      </c>
      <c r="D519" s="68" t="s">
        <v>827</v>
      </c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>
      <c r="A520" s="65">
        <v>45829.0</v>
      </c>
      <c r="B520" s="66" t="s">
        <v>810</v>
      </c>
      <c r="C520" s="67" t="s">
        <v>1212</v>
      </c>
      <c r="D520" s="68" t="s">
        <v>827</v>
      </c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>
      <c r="A521" s="65">
        <v>45829.0</v>
      </c>
      <c r="B521" s="66" t="s">
        <v>810</v>
      </c>
      <c r="C521" s="67" t="s">
        <v>1213</v>
      </c>
      <c r="D521" s="68" t="s">
        <v>827</v>
      </c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>
      <c r="A522" s="65">
        <v>45829.0</v>
      </c>
      <c r="B522" s="66" t="s">
        <v>810</v>
      </c>
      <c r="C522" s="67" t="s">
        <v>1214</v>
      </c>
      <c r="D522" s="68" t="s">
        <v>827</v>
      </c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>
      <c r="A523" s="65">
        <v>45829.0</v>
      </c>
      <c r="B523" s="66" t="s">
        <v>810</v>
      </c>
      <c r="C523" s="67" t="s">
        <v>1215</v>
      </c>
      <c r="D523" s="68" t="s">
        <v>827</v>
      </c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>
      <c r="A524" s="65">
        <v>45829.0</v>
      </c>
      <c r="B524" s="66" t="s">
        <v>810</v>
      </c>
      <c r="C524" s="67" t="s">
        <v>1216</v>
      </c>
      <c r="D524" s="68" t="s">
        <v>827</v>
      </c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>
      <c r="A525" s="65">
        <v>45829.0</v>
      </c>
      <c r="B525" s="66" t="s">
        <v>810</v>
      </c>
      <c r="C525" s="67" t="s">
        <v>1216</v>
      </c>
      <c r="D525" s="68" t="s">
        <v>827</v>
      </c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>
      <c r="A526" s="65">
        <v>45829.0</v>
      </c>
      <c r="B526" s="66" t="s">
        <v>810</v>
      </c>
      <c r="C526" s="67" t="s">
        <v>1217</v>
      </c>
      <c r="D526" s="67" t="s">
        <v>1218</v>
      </c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>
      <c r="A527" s="65">
        <v>45829.0</v>
      </c>
      <c r="B527" s="66" t="s">
        <v>810</v>
      </c>
      <c r="C527" s="67" t="s">
        <v>1219</v>
      </c>
      <c r="D527" s="68" t="s">
        <v>827</v>
      </c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>
      <c r="A528" s="65">
        <v>45829.0</v>
      </c>
      <c r="B528" s="66" t="s">
        <v>810</v>
      </c>
      <c r="C528" s="67" t="s">
        <v>1220</v>
      </c>
      <c r="D528" s="67" t="s">
        <v>1221</v>
      </c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>
      <c r="A529" s="65">
        <v>45833.0</v>
      </c>
      <c r="B529" s="66" t="s">
        <v>811</v>
      </c>
      <c r="C529" s="67" t="s">
        <v>1222</v>
      </c>
      <c r="D529" s="68" t="s">
        <v>827</v>
      </c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>
      <c r="A530" s="65">
        <v>45833.0</v>
      </c>
      <c r="B530" s="66" t="s">
        <v>811</v>
      </c>
      <c r="C530" s="67" t="s">
        <v>1222</v>
      </c>
      <c r="D530" s="68" t="s">
        <v>827</v>
      </c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>
      <c r="A531" s="65">
        <v>45833.0</v>
      </c>
      <c r="B531" s="66" t="s">
        <v>811</v>
      </c>
      <c r="C531" s="67" t="s">
        <v>1223</v>
      </c>
      <c r="D531" s="68" t="s">
        <v>827</v>
      </c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>
      <c r="A532" s="65">
        <v>45833.0</v>
      </c>
      <c r="B532" s="66" t="s">
        <v>811</v>
      </c>
      <c r="C532" s="67" t="s">
        <v>1224</v>
      </c>
      <c r="D532" s="68" t="s">
        <v>827</v>
      </c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>
      <c r="A533" s="65">
        <v>45833.0</v>
      </c>
      <c r="B533" s="66" t="s">
        <v>811</v>
      </c>
      <c r="C533" s="67" t="s">
        <v>1225</v>
      </c>
      <c r="D533" s="68" t="s">
        <v>827</v>
      </c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>
      <c r="A534" s="65">
        <v>45833.0</v>
      </c>
      <c r="B534" s="66" t="s">
        <v>811</v>
      </c>
      <c r="C534" s="67" t="s">
        <v>1226</v>
      </c>
      <c r="D534" s="68" t="s">
        <v>827</v>
      </c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>
      <c r="A535" s="65">
        <v>45833.0</v>
      </c>
      <c r="B535" s="66" t="s">
        <v>811</v>
      </c>
      <c r="C535" s="67" t="s">
        <v>1224</v>
      </c>
      <c r="D535" s="68" t="s">
        <v>827</v>
      </c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>
      <c r="A536" s="65">
        <v>45833.0</v>
      </c>
      <c r="B536" s="66" t="s">
        <v>811</v>
      </c>
      <c r="C536" s="67" t="s">
        <v>1227</v>
      </c>
      <c r="D536" s="67" t="s">
        <v>927</v>
      </c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>
      <c r="A537" s="65">
        <v>45833.0</v>
      </c>
      <c r="B537" s="66" t="s">
        <v>811</v>
      </c>
      <c r="C537" s="67" t="s">
        <v>1226</v>
      </c>
      <c r="D537" s="68" t="s">
        <v>827</v>
      </c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>
      <c r="A538" s="65">
        <v>45833.0</v>
      </c>
      <c r="B538" s="66" t="s">
        <v>811</v>
      </c>
      <c r="C538" s="67" t="s">
        <v>1228</v>
      </c>
      <c r="D538" s="68" t="s">
        <v>827</v>
      </c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>
      <c r="A539" s="65">
        <v>45833.0</v>
      </c>
      <c r="B539" s="66" t="s">
        <v>811</v>
      </c>
      <c r="C539" s="67" t="s">
        <v>1229</v>
      </c>
      <c r="D539" s="68" t="s">
        <v>827</v>
      </c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>
      <c r="A540" s="65">
        <v>45833.0</v>
      </c>
      <c r="B540" s="66" t="s">
        <v>811</v>
      </c>
      <c r="C540" s="67" t="s">
        <v>1224</v>
      </c>
      <c r="D540" s="67" t="s">
        <v>1230</v>
      </c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>
      <c r="A541" s="65">
        <v>45833.0</v>
      </c>
      <c r="B541" s="66" t="s">
        <v>811</v>
      </c>
      <c r="C541" s="67" t="s">
        <v>1224</v>
      </c>
      <c r="D541" s="67" t="s">
        <v>1230</v>
      </c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>
      <c r="A542" s="65">
        <v>45836.0</v>
      </c>
      <c r="B542" s="66" t="s">
        <v>810</v>
      </c>
      <c r="C542" s="67" t="s">
        <v>1231</v>
      </c>
      <c r="D542" s="68" t="s">
        <v>827</v>
      </c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>
      <c r="A543" s="65">
        <v>45836.0</v>
      </c>
      <c r="B543" s="66" t="s">
        <v>810</v>
      </c>
      <c r="C543" s="67" t="s">
        <v>1232</v>
      </c>
      <c r="D543" s="68" t="s">
        <v>827</v>
      </c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>
      <c r="A544" s="65">
        <v>45836.0</v>
      </c>
      <c r="B544" s="66" t="s">
        <v>810</v>
      </c>
      <c r="C544" s="67" t="s">
        <v>1233</v>
      </c>
      <c r="D544" s="68" t="s">
        <v>827</v>
      </c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>
      <c r="A545" s="65">
        <v>45836.0</v>
      </c>
      <c r="B545" s="66" t="s">
        <v>810</v>
      </c>
      <c r="C545" s="67" t="s">
        <v>1231</v>
      </c>
      <c r="D545" s="68" t="s">
        <v>827</v>
      </c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>
      <c r="A546" s="65">
        <v>45836.0</v>
      </c>
      <c r="B546" s="66" t="s">
        <v>810</v>
      </c>
      <c r="C546" s="67" t="s">
        <v>1233</v>
      </c>
      <c r="D546" s="68" t="s">
        <v>827</v>
      </c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>
      <c r="A547" s="65">
        <v>45836.0</v>
      </c>
      <c r="B547" s="66" t="s">
        <v>810</v>
      </c>
      <c r="C547" s="67" t="s">
        <v>1233</v>
      </c>
      <c r="D547" s="68" t="s">
        <v>827</v>
      </c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>
      <c r="A548" s="65">
        <v>45836.0</v>
      </c>
      <c r="B548" s="66" t="s">
        <v>810</v>
      </c>
      <c r="C548" s="67" t="s">
        <v>1234</v>
      </c>
      <c r="D548" s="67" t="s">
        <v>971</v>
      </c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>
      <c r="A549" s="65">
        <v>45836.0</v>
      </c>
      <c r="B549" s="66" t="s">
        <v>810</v>
      </c>
      <c r="C549" s="67" t="s">
        <v>1235</v>
      </c>
      <c r="D549" s="67" t="s">
        <v>838</v>
      </c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>
      <c r="A550" s="65">
        <v>45836.0</v>
      </c>
      <c r="B550" s="66" t="s">
        <v>810</v>
      </c>
      <c r="C550" s="67" t="s">
        <v>1236</v>
      </c>
      <c r="D550" s="67" t="s">
        <v>1237</v>
      </c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>
      <c r="A551" s="65">
        <v>45836.0</v>
      </c>
      <c r="B551" s="66" t="s">
        <v>810</v>
      </c>
      <c r="C551" s="67" t="s">
        <v>1238</v>
      </c>
      <c r="D551" s="67" t="s">
        <v>1221</v>
      </c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>
      <c r="A552" s="65">
        <v>45837.0</v>
      </c>
      <c r="B552" s="66" t="s">
        <v>812</v>
      </c>
      <c r="C552" s="67" t="s">
        <v>1239</v>
      </c>
      <c r="D552" s="68" t="s">
        <v>827</v>
      </c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>
      <c r="A553" s="65">
        <v>45836.0</v>
      </c>
      <c r="B553" s="66" t="s">
        <v>812</v>
      </c>
      <c r="C553" s="67" t="s">
        <v>1240</v>
      </c>
      <c r="D553" s="67" t="s">
        <v>959</v>
      </c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>
      <c r="A554" s="65">
        <v>45836.0</v>
      </c>
      <c r="B554" s="66" t="s">
        <v>812</v>
      </c>
      <c r="C554" s="67" t="s">
        <v>1241</v>
      </c>
      <c r="D554" s="68" t="s">
        <v>827</v>
      </c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>
      <c r="A555" s="65">
        <v>45836.0</v>
      </c>
      <c r="B555" s="66" t="s">
        <v>812</v>
      </c>
      <c r="C555" s="67" t="s">
        <v>1242</v>
      </c>
      <c r="D555" s="68" t="s">
        <v>827</v>
      </c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>
      <c r="A556" s="65">
        <v>45836.0</v>
      </c>
      <c r="B556" s="66" t="s">
        <v>812</v>
      </c>
      <c r="C556" s="67" t="s">
        <v>1243</v>
      </c>
      <c r="D556" s="68" t="s">
        <v>827</v>
      </c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>
      <c r="A557" s="65">
        <v>45836.0</v>
      </c>
      <c r="B557" s="66" t="s">
        <v>812</v>
      </c>
      <c r="C557" s="67" t="s">
        <v>1244</v>
      </c>
      <c r="D557" s="68" t="s">
        <v>827</v>
      </c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>
      <c r="A558" s="65">
        <v>45836.0</v>
      </c>
      <c r="B558" s="66" t="s">
        <v>812</v>
      </c>
      <c r="C558" s="67" t="s">
        <v>1236</v>
      </c>
      <c r="D558" s="68" t="s">
        <v>827</v>
      </c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>
      <c r="A559" s="65">
        <v>45840.0</v>
      </c>
      <c r="B559" s="66" t="s">
        <v>811</v>
      </c>
      <c r="C559" s="67" t="s">
        <v>1245</v>
      </c>
      <c r="D559" s="68" t="s">
        <v>827</v>
      </c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>
      <c r="A560" s="65">
        <v>45840.0</v>
      </c>
      <c r="B560" s="66" t="s">
        <v>811</v>
      </c>
      <c r="C560" s="67" t="s">
        <v>1246</v>
      </c>
      <c r="D560" s="68" t="s">
        <v>827</v>
      </c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>
      <c r="A561" s="65">
        <v>45840.0</v>
      </c>
      <c r="B561" s="66" t="s">
        <v>811</v>
      </c>
      <c r="C561" s="67" t="s">
        <v>1247</v>
      </c>
      <c r="D561" s="68" t="s">
        <v>827</v>
      </c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>
      <c r="A562" s="65">
        <v>45840.0</v>
      </c>
      <c r="B562" s="66" t="s">
        <v>811</v>
      </c>
      <c r="C562" s="67" t="s">
        <v>1248</v>
      </c>
      <c r="D562" s="68" t="s">
        <v>827</v>
      </c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>
      <c r="A563" s="65">
        <v>45840.0</v>
      </c>
      <c r="B563" s="66" t="s">
        <v>811</v>
      </c>
      <c r="C563" s="67" t="s">
        <v>1249</v>
      </c>
      <c r="D563" s="68" t="s">
        <v>827</v>
      </c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>
      <c r="A564" s="65">
        <v>45840.0</v>
      </c>
      <c r="B564" s="66" t="s">
        <v>811</v>
      </c>
      <c r="C564" s="67" t="s">
        <v>1249</v>
      </c>
      <c r="D564" s="68" t="s">
        <v>827</v>
      </c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>
      <c r="A565" s="65">
        <v>45840.0</v>
      </c>
      <c r="B565" s="66" t="s">
        <v>811</v>
      </c>
      <c r="C565" s="67" t="s">
        <v>1250</v>
      </c>
      <c r="D565" s="68" t="s">
        <v>827</v>
      </c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>
      <c r="A566" s="65">
        <v>45840.0</v>
      </c>
      <c r="B566" s="66" t="s">
        <v>811</v>
      </c>
      <c r="C566" s="67" t="s">
        <v>1251</v>
      </c>
      <c r="D566" s="68" t="s">
        <v>827</v>
      </c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>
      <c r="A567" s="65">
        <v>45840.0</v>
      </c>
      <c r="B567" s="66" t="s">
        <v>811</v>
      </c>
      <c r="C567" s="67" t="s">
        <v>1252</v>
      </c>
      <c r="D567" s="68" t="s">
        <v>827</v>
      </c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>
      <c r="A568" s="65">
        <v>45843.0</v>
      </c>
      <c r="B568" s="66" t="s">
        <v>810</v>
      </c>
      <c r="C568" s="67" t="s">
        <v>1253</v>
      </c>
      <c r="D568" s="68" t="s">
        <v>827</v>
      </c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>
      <c r="A569" s="65">
        <v>45843.0</v>
      </c>
      <c r="B569" s="66" t="s">
        <v>810</v>
      </c>
      <c r="C569" s="67" t="s">
        <v>1253</v>
      </c>
      <c r="D569" s="68" t="s">
        <v>827</v>
      </c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>
      <c r="A570" s="65">
        <v>45843.0</v>
      </c>
      <c r="B570" s="66" t="s">
        <v>810</v>
      </c>
      <c r="C570" s="67" t="s">
        <v>1253</v>
      </c>
      <c r="D570" s="68" t="s">
        <v>827</v>
      </c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>
      <c r="A571" s="65">
        <v>45843.0</v>
      </c>
      <c r="B571" s="66" t="s">
        <v>810</v>
      </c>
      <c r="C571" s="67" t="s">
        <v>1254</v>
      </c>
      <c r="D571" s="68" t="s">
        <v>827</v>
      </c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>
      <c r="A572" s="65">
        <v>45843.0</v>
      </c>
      <c r="B572" s="66" t="s">
        <v>810</v>
      </c>
      <c r="C572" s="67" t="s">
        <v>1255</v>
      </c>
      <c r="D572" s="68" t="s">
        <v>827</v>
      </c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>
      <c r="A573" s="65">
        <v>45843.0</v>
      </c>
      <c r="B573" s="66" t="s">
        <v>810</v>
      </c>
      <c r="C573" s="67" t="s">
        <v>1254</v>
      </c>
      <c r="D573" s="67" t="s">
        <v>1256</v>
      </c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>
      <c r="A574" s="65">
        <v>45843.0</v>
      </c>
      <c r="B574" s="66" t="s">
        <v>810</v>
      </c>
      <c r="C574" s="67" t="s">
        <v>1257</v>
      </c>
      <c r="D574" s="68" t="s">
        <v>827</v>
      </c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>
      <c r="A575" s="65">
        <v>45843.0</v>
      </c>
      <c r="B575" s="66" t="s">
        <v>810</v>
      </c>
      <c r="C575" s="67" t="s">
        <v>1258</v>
      </c>
      <c r="D575" s="68" t="s">
        <v>827</v>
      </c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>
      <c r="A576" s="65">
        <v>45843.0</v>
      </c>
      <c r="B576" s="66" t="s">
        <v>812</v>
      </c>
      <c r="C576" s="67" t="s">
        <v>1259</v>
      </c>
      <c r="D576" s="67" t="s">
        <v>1260</v>
      </c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>
      <c r="A577" s="65">
        <v>45843.0</v>
      </c>
      <c r="B577" s="66" t="s">
        <v>812</v>
      </c>
      <c r="C577" s="67" t="s">
        <v>1261</v>
      </c>
      <c r="D577" s="67" t="s">
        <v>1262</v>
      </c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>
      <c r="A578" s="65">
        <v>45843.0</v>
      </c>
      <c r="B578" s="66" t="s">
        <v>812</v>
      </c>
      <c r="C578" s="67" t="s">
        <v>1253</v>
      </c>
      <c r="D578" s="67" t="s">
        <v>866</v>
      </c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>
      <c r="A579" s="65">
        <v>45843.0</v>
      </c>
      <c r="B579" s="66" t="s">
        <v>812</v>
      </c>
      <c r="C579" s="67" t="s">
        <v>1261</v>
      </c>
      <c r="D579" s="67" t="s">
        <v>1262</v>
      </c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>
      <c r="A580" s="65">
        <v>45843.0</v>
      </c>
      <c r="B580" s="66" t="s">
        <v>810</v>
      </c>
      <c r="C580" s="68" t="s">
        <v>827</v>
      </c>
      <c r="D580" s="67" t="s">
        <v>866</v>
      </c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>
      <c r="A581" s="65">
        <v>45843.0</v>
      </c>
      <c r="B581" s="66" t="s">
        <v>812</v>
      </c>
      <c r="C581" s="67" t="s">
        <v>1263</v>
      </c>
      <c r="D581" s="68" t="s">
        <v>827</v>
      </c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>
      <c r="A582" s="65">
        <v>45843.0</v>
      </c>
      <c r="B582" s="66" t="s">
        <v>812</v>
      </c>
      <c r="C582" s="67" t="s">
        <v>1264</v>
      </c>
      <c r="D582" s="68" t="s">
        <v>827</v>
      </c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>
      <c r="A583" s="65">
        <v>45843.0</v>
      </c>
      <c r="B583" s="66" t="s">
        <v>810</v>
      </c>
      <c r="C583" s="67" t="s">
        <v>1265</v>
      </c>
      <c r="D583" s="68" t="s">
        <v>827</v>
      </c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>
      <c r="A584" s="65">
        <v>45843.0</v>
      </c>
      <c r="B584" s="66" t="s">
        <v>810</v>
      </c>
      <c r="C584" s="67" t="s">
        <v>1265</v>
      </c>
      <c r="D584" s="68" t="s">
        <v>827</v>
      </c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>
      <c r="A585" s="65">
        <v>45843.0</v>
      </c>
      <c r="B585" s="66" t="s">
        <v>812</v>
      </c>
      <c r="C585" s="67" t="s">
        <v>1266</v>
      </c>
      <c r="D585" s="67" t="s">
        <v>1267</v>
      </c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>
      <c r="A586" s="65">
        <v>45843.0</v>
      </c>
      <c r="B586" s="66" t="s">
        <v>810</v>
      </c>
      <c r="C586" s="67" t="s">
        <v>1268</v>
      </c>
      <c r="D586" s="67" t="s">
        <v>959</v>
      </c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>
      <c r="A587" s="65">
        <v>45843.0</v>
      </c>
      <c r="B587" s="66" t="s">
        <v>812</v>
      </c>
      <c r="C587" s="67" t="s">
        <v>1268</v>
      </c>
      <c r="D587" s="67" t="s">
        <v>959</v>
      </c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>
      <c r="A588" s="65">
        <v>45843.0</v>
      </c>
      <c r="B588" s="66" t="s">
        <v>810</v>
      </c>
      <c r="C588" s="67" t="s">
        <v>1269</v>
      </c>
      <c r="D588" s="67" t="s">
        <v>1270</v>
      </c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>
      <c r="A589" s="65">
        <v>45843.0</v>
      </c>
      <c r="B589" s="66" t="s">
        <v>812</v>
      </c>
      <c r="C589" s="67" t="s">
        <v>1271</v>
      </c>
      <c r="D589" s="68" t="s">
        <v>827</v>
      </c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>
      <c r="A590" s="65">
        <v>45843.0</v>
      </c>
      <c r="B590" s="66" t="s">
        <v>810</v>
      </c>
      <c r="C590" s="67" t="s">
        <v>1272</v>
      </c>
      <c r="D590" s="67" t="s">
        <v>995</v>
      </c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>
      <c r="A591" s="65">
        <v>45845.0</v>
      </c>
      <c r="B591" s="66" t="s">
        <v>812</v>
      </c>
      <c r="C591" s="67" t="s">
        <v>1006</v>
      </c>
      <c r="D591" s="68" t="s">
        <v>827</v>
      </c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>
      <c r="A592" s="65">
        <v>45843.0</v>
      </c>
      <c r="B592" s="66" t="s">
        <v>812</v>
      </c>
      <c r="C592" s="67" t="s">
        <v>1006</v>
      </c>
      <c r="D592" s="68" t="s">
        <v>827</v>
      </c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>
      <c r="A593" s="65">
        <v>45843.0</v>
      </c>
      <c r="B593" s="66" t="s">
        <v>812</v>
      </c>
      <c r="C593" s="67" t="s">
        <v>1273</v>
      </c>
      <c r="D593" s="68" t="s">
        <v>827</v>
      </c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>
      <c r="A594" s="65">
        <v>45850.0</v>
      </c>
      <c r="B594" s="66" t="s">
        <v>810</v>
      </c>
      <c r="C594" s="67" t="s">
        <v>1274</v>
      </c>
      <c r="D594" s="68" t="s">
        <v>827</v>
      </c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>
      <c r="A595" s="65">
        <v>45850.0</v>
      </c>
      <c r="B595" s="66" t="s">
        <v>810</v>
      </c>
      <c r="C595" s="67" t="s">
        <v>1274</v>
      </c>
      <c r="D595" s="68" t="s">
        <v>827</v>
      </c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>
      <c r="A596" s="65">
        <v>45850.0</v>
      </c>
      <c r="B596" s="66" t="s">
        <v>810</v>
      </c>
      <c r="C596" s="67" t="s">
        <v>1275</v>
      </c>
      <c r="D596" s="68" t="s">
        <v>827</v>
      </c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>
      <c r="A597" s="65">
        <v>45850.0</v>
      </c>
      <c r="B597" s="66" t="s">
        <v>810</v>
      </c>
      <c r="C597" s="67" t="s">
        <v>1276</v>
      </c>
      <c r="D597" s="68" t="s">
        <v>827</v>
      </c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>
      <c r="A598" s="65">
        <v>45850.0</v>
      </c>
      <c r="B598" s="66" t="s">
        <v>810</v>
      </c>
      <c r="C598" s="67" t="s">
        <v>1277</v>
      </c>
      <c r="D598" s="68" t="s">
        <v>827</v>
      </c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>
      <c r="A599" s="65">
        <v>45850.0</v>
      </c>
      <c r="B599" s="66" t="s">
        <v>810</v>
      </c>
      <c r="C599" s="67" t="s">
        <v>1278</v>
      </c>
      <c r="D599" s="68" t="s">
        <v>827</v>
      </c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>
      <c r="A600" s="65">
        <v>45850.0</v>
      </c>
      <c r="B600" s="66" t="s">
        <v>810</v>
      </c>
      <c r="C600" s="67" t="s">
        <v>1278</v>
      </c>
      <c r="D600" s="68" t="s">
        <v>827</v>
      </c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>
      <c r="A601" s="65">
        <v>45850.0</v>
      </c>
      <c r="B601" s="66" t="s">
        <v>812</v>
      </c>
      <c r="C601" s="67" t="s">
        <v>1279</v>
      </c>
      <c r="D601" s="68" t="s">
        <v>827</v>
      </c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>
      <c r="A602" s="65">
        <v>45850.0</v>
      </c>
      <c r="B602" s="66" t="s">
        <v>812</v>
      </c>
      <c r="C602" s="67" t="s">
        <v>1280</v>
      </c>
      <c r="D602" s="68" t="s">
        <v>827</v>
      </c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>
      <c r="A603" s="65">
        <v>45850.0</v>
      </c>
      <c r="B603" s="66" t="s">
        <v>812</v>
      </c>
      <c r="C603" s="67" t="s">
        <v>1281</v>
      </c>
      <c r="D603" s="68" t="s">
        <v>827</v>
      </c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>
      <c r="A604" s="65">
        <v>45850.0</v>
      </c>
      <c r="B604" s="66" t="s">
        <v>812</v>
      </c>
      <c r="C604" s="67" t="s">
        <v>1280</v>
      </c>
      <c r="D604" s="67" t="s">
        <v>1083</v>
      </c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>
      <c r="A605" s="65">
        <v>45850.0</v>
      </c>
      <c r="B605" s="66" t="s">
        <v>812</v>
      </c>
      <c r="C605" s="67" t="s">
        <v>1282</v>
      </c>
      <c r="D605" s="67" t="s">
        <v>1083</v>
      </c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>
      <c r="A606" s="65">
        <v>45850.0</v>
      </c>
      <c r="B606" s="66" t="s">
        <v>812</v>
      </c>
      <c r="C606" s="67" t="s">
        <v>1283</v>
      </c>
      <c r="D606" s="68" t="s">
        <v>827</v>
      </c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>
      <c r="A607" s="65">
        <v>45850.0</v>
      </c>
      <c r="B607" s="66" t="s">
        <v>812</v>
      </c>
      <c r="C607" s="67" t="s">
        <v>1281</v>
      </c>
      <c r="D607" s="67" t="s">
        <v>1284</v>
      </c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>
      <c r="A608" s="65">
        <v>45850.0</v>
      </c>
      <c r="B608" s="66" t="s">
        <v>812</v>
      </c>
      <c r="C608" s="67" t="s">
        <v>1285</v>
      </c>
      <c r="D608" s="68" t="s">
        <v>827</v>
      </c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>
      <c r="A609" s="65">
        <v>45850.0</v>
      </c>
      <c r="B609" s="66" t="s">
        <v>812</v>
      </c>
      <c r="C609" s="67" t="s">
        <v>1283</v>
      </c>
      <c r="D609" s="67" t="s">
        <v>1016</v>
      </c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>
      <c r="A610" s="65">
        <v>45850.0</v>
      </c>
      <c r="B610" s="66" t="s">
        <v>812</v>
      </c>
      <c r="C610" s="67" t="s">
        <v>1286</v>
      </c>
      <c r="D610" s="68" t="s">
        <v>827</v>
      </c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>
      <c r="A611" s="65">
        <v>45850.0</v>
      </c>
      <c r="B611" s="66" t="s">
        <v>812</v>
      </c>
      <c r="C611" s="67" t="s">
        <v>1287</v>
      </c>
      <c r="D611" s="67" t="s">
        <v>973</v>
      </c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>
      <c r="A612" s="65">
        <v>45850.0</v>
      </c>
      <c r="B612" s="66" t="s">
        <v>812</v>
      </c>
      <c r="C612" s="67" t="s">
        <v>1283</v>
      </c>
      <c r="D612" s="67" t="s">
        <v>1016</v>
      </c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>
      <c r="A613" s="65">
        <v>45850.0</v>
      </c>
      <c r="B613" s="66" t="s">
        <v>812</v>
      </c>
      <c r="C613" s="67" t="s">
        <v>1287</v>
      </c>
      <c r="D613" s="67" t="s">
        <v>973</v>
      </c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>
      <c r="A614" s="65">
        <v>45850.0</v>
      </c>
      <c r="B614" s="66" t="s">
        <v>812</v>
      </c>
      <c r="C614" s="67" t="s">
        <v>1287</v>
      </c>
      <c r="D614" s="67" t="s">
        <v>973</v>
      </c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>
      <c r="A615" s="65">
        <v>45850.0</v>
      </c>
      <c r="B615" s="66" t="s">
        <v>812</v>
      </c>
      <c r="C615" s="67" t="s">
        <v>1283</v>
      </c>
      <c r="D615" s="67" t="s">
        <v>1288</v>
      </c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>
      <c r="A616" s="65">
        <v>45850.0</v>
      </c>
      <c r="B616" s="66" t="s">
        <v>812</v>
      </c>
      <c r="C616" s="67" t="s">
        <v>1289</v>
      </c>
      <c r="D616" s="67" t="s">
        <v>1030</v>
      </c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>
      <c r="A617" s="65">
        <v>45850.0</v>
      </c>
      <c r="B617" s="66" t="s">
        <v>812</v>
      </c>
      <c r="C617" s="67" t="s">
        <v>1287</v>
      </c>
      <c r="D617" s="67" t="s">
        <v>1290</v>
      </c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>
      <c r="A618" s="65">
        <v>45850.0</v>
      </c>
      <c r="B618" s="66" t="s">
        <v>812</v>
      </c>
      <c r="C618" s="67" t="s">
        <v>1287</v>
      </c>
      <c r="D618" s="67" t="s">
        <v>1291</v>
      </c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>
      <c r="A619" s="65">
        <v>45850.0</v>
      </c>
      <c r="B619" s="66" t="s">
        <v>812</v>
      </c>
      <c r="C619" s="67" t="s">
        <v>1289</v>
      </c>
      <c r="D619" s="67" t="s">
        <v>1292</v>
      </c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>
      <c r="A620" s="65">
        <v>45850.0</v>
      </c>
      <c r="B620" s="66" t="s">
        <v>812</v>
      </c>
      <c r="C620" s="67" t="s">
        <v>1289</v>
      </c>
      <c r="D620" s="67" t="s">
        <v>1292</v>
      </c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>
      <c r="A621" s="65">
        <v>45850.0</v>
      </c>
      <c r="B621" s="66" t="s">
        <v>810</v>
      </c>
      <c r="C621" s="67" t="s">
        <v>1293</v>
      </c>
      <c r="D621" s="68" t="s">
        <v>827</v>
      </c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>
      <c r="A622" s="65">
        <v>45850.0</v>
      </c>
      <c r="B622" s="66" t="s">
        <v>812</v>
      </c>
      <c r="C622" s="67" t="s">
        <v>1294</v>
      </c>
      <c r="D622" s="67" t="s">
        <v>1295</v>
      </c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>
      <c r="A623" s="65">
        <v>45850.0</v>
      </c>
      <c r="B623" s="66" t="s">
        <v>810</v>
      </c>
      <c r="C623" s="67" t="s">
        <v>1296</v>
      </c>
      <c r="D623" s="68" t="s">
        <v>827</v>
      </c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>
      <c r="A624" s="65">
        <v>45850.0</v>
      </c>
      <c r="B624" s="66" t="s">
        <v>810</v>
      </c>
      <c r="C624" s="67" t="s">
        <v>1297</v>
      </c>
      <c r="D624" s="68" t="s">
        <v>827</v>
      </c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>
      <c r="A625" s="65">
        <v>45850.0</v>
      </c>
      <c r="B625" s="66" t="s">
        <v>812</v>
      </c>
      <c r="C625" s="67" t="s">
        <v>1298</v>
      </c>
      <c r="D625" s="68" t="s">
        <v>827</v>
      </c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>
      <c r="A626" s="65">
        <v>45854.0</v>
      </c>
      <c r="B626" s="66" t="s">
        <v>811</v>
      </c>
      <c r="C626" s="67" t="s">
        <v>1299</v>
      </c>
      <c r="D626" s="68" t="s">
        <v>827</v>
      </c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>
      <c r="A627" s="65">
        <v>45857.0</v>
      </c>
      <c r="B627" s="66" t="s">
        <v>810</v>
      </c>
      <c r="C627" s="67" t="s">
        <v>1300</v>
      </c>
      <c r="D627" s="67" t="s">
        <v>1020</v>
      </c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>
      <c r="A628" s="65">
        <v>45857.0</v>
      </c>
      <c r="B628" s="66" t="s">
        <v>810</v>
      </c>
      <c r="C628" s="67" t="s">
        <v>1213</v>
      </c>
      <c r="D628" s="68" t="s">
        <v>827</v>
      </c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>
      <c r="A629" s="65">
        <v>45857.0</v>
      </c>
      <c r="B629" s="66" t="s">
        <v>810</v>
      </c>
      <c r="C629" s="67" t="s">
        <v>1301</v>
      </c>
      <c r="D629" s="68" t="s">
        <v>827</v>
      </c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>
      <c r="A630" s="65">
        <v>45857.0</v>
      </c>
      <c r="B630" s="66" t="s">
        <v>810</v>
      </c>
      <c r="C630" s="67" t="s">
        <v>1302</v>
      </c>
      <c r="D630" s="67" t="s">
        <v>999</v>
      </c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>
      <c r="A631" s="65">
        <v>45857.0</v>
      </c>
      <c r="B631" s="66" t="s">
        <v>810</v>
      </c>
      <c r="C631" s="67" t="s">
        <v>1303</v>
      </c>
      <c r="D631" s="68" t="s">
        <v>827</v>
      </c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>
      <c r="A632" s="65">
        <v>45857.0</v>
      </c>
      <c r="B632" s="66" t="s">
        <v>810</v>
      </c>
      <c r="C632" s="67" t="s">
        <v>1304</v>
      </c>
      <c r="D632" s="68" t="s">
        <v>827</v>
      </c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>
      <c r="A633" s="65">
        <v>45857.0</v>
      </c>
      <c r="B633" s="66" t="s">
        <v>810</v>
      </c>
      <c r="C633" s="67" t="s">
        <v>1305</v>
      </c>
      <c r="D633" s="68" t="s">
        <v>827</v>
      </c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>
      <c r="A634" s="65">
        <v>45857.0</v>
      </c>
      <c r="B634" s="66" t="s">
        <v>810</v>
      </c>
      <c r="C634" s="67" t="s">
        <v>1306</v>
      </c>
      <c r="D634" s="68" t="s">
        <v>827</v>
      </c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>
      <c r="A635" s="65">
        <v>45857.0</v>
      </c>
      <c r="B635" s="66" t="s">
        <v>810</v>
      </c>
      <c r="C635" s="67" t="s">
        <v>1306</v>
      </c>
      <c r="D635" s="68" t="s">
        <v>827</v>
      </c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>
      <c r="A636" s="65">
        <v>45857.0</v>
      </c>
      <c r="B636" s="66" t="s">
        <v>810</v>
      </c>
      <c r="C636" s="67" t="s">
        <v>1307</v>
      </c>
      <c r="D636" s="68" t="s">
        <v>827</v>
      </c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>
      <c r="A637" s="65">
        <v>45857.0</v>
      </c>
      <c r="B637" s="66" t="s">
        <v>810</v>
      </c>
      <c r="C637" s="67" t="s">
        <v>1306</v>
      </c>
      <c r="D637" s="68" t="s">
        <v>827</v>
      </c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>
      <c r="A638" s="65">
        <v>45875.0</v>
      </c>
      <c r="B638" s="66" t="s">
        <v>811</v>
      </c>
      <c r="C638" s="67" t="s">
        <v>1308</v>
      </c>
      <c r="D638" s="68" t="s">
        <v>827</v>
      </c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>
      <c r="A639" s="65">
        <v>45875.0</v>
      </c>
      <c r="B639" s="66" t="s">
        <v>811</v>
      </c>
      <c r="C639" s="67" t="s">
        <v>1308</v>
      </c>
      <c r="D639" s="68" t="s">
        <v>827</v>
      </c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>
      <c r="A640" s="65">
        <v>45875.0</v>
      </c>
      <c r="B640" s="66" t="s">
        <v>811</v>
      </c>
      <c r="C640" s="67" t="s">
        <v>1309</v>
      </c>
      <c r="D640" s="68" t="s">
        <v>827</v>
      </c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>
      <c r="A641" s="65">
        <v>45875.0</v>
      </c>
      <c r="B641" s="66" t="s">
        <v>811</v>
      </c>
      <c r="C641" s="67" t="s">
        <v>1309</v>
      </c>
      <c r="D641" s="68" t="s">
        <v>827</v>
      </c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>
      <c r="A642" s="65">
        <v>45875.0</v>
      </c>
      <c r="B642" s="66" t="s">
        <v>811</v>
      </c>
      <c r="C642" s="67" t="s">
        <v>1310</v>
      </c>
      <c r="D642" s="68" t="s">
        <v>827</v>
      </c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>
      <c r="A643" s="65">
        <v>45875.0</v>
      </c>
      <c r="B643" s="66" t="s">
        <v>811</v>
      </c>
      <c r="C643" s="67" t="s">
        <v>1310</v>
      </c>
      <c r="D643" s="68" t="s">
        <v>827</v>
      </c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>
      <c r="A644" s="65">
        <v>45875.0</v>
      </c>
      <c r="B644" s="66" t="s">
        <v>811</v>
      </c>
      <c r="C644" s="67" t="s">
        <v>1311</v>
      </c>
      <c r="D644" s="68" t="s">
        <v>827</v>
      </c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>
      <c r="A645" s="65">
        <v>45875.0</v>
      </c>
      <c r="B645" s="66" t="s">
        <v>811</v>
      </c>
      <c r="C645" s="68" t="s">
        <v>827</v>
      </c>
      <c r="D645" s="67" t="s">
        <v>1020</v>
      </c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>
      <c r="A646" s="65">
        <v>45875.0</v>
      </c>
      <c r="B646" s="66" t="s">
        <v>811</v>
      </c>
      <c r="C646" s="67" t="s">
        <v>1312</v>
      </c>
      <c r="D646" s="68" t="s">
        <v>827</v>
      </c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>
      <c r="A647" s="65">
        <v>45875.0</v>
      </c>
      <c r="B647" s="66" t="s">
        <v>811</v>
      </c>
      <c r="C647" s="67" t="s">
        <v>1313</v>
      </c>
      <c r="D647" s="68" t="s">
        <v>827</v>
      </c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>
      <c r="A648" s="65">
        <v>45875.0</v>
      </c>
      <c r="B648" s="66" t="s">
        <v>811</v>
      </c>
      <c r="C648" s="67" t="s">
        <v>1314</v>
      </c>
      <c r="D648" s="68" t="s">
        <v>827</v>
      </c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>
      <c r="A649" s="65">
        <v>45875.0</v>
      </c>
      <c r="B649" s="66" t="s">
        <v>811</v>
      </c>
      <c r="C649" s="67" t="s">
        <v>1315</v>
      </c>
      <c r="D649" s="68" t="s">
        <v>827</v>
      </c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>
      <c r="A650" s="65">
        <v>45875.0</v>
      </c>
      <c r="B650" s="66" t="s">
        <v>811</v>
      </c>
      <c r="C650" s="67" t="s">
        <v>1316</v>
      </c>
      <c r="D650" s="68" t="s">
        <v>827</v>
      </c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>
      <c r="A651" s="65">
        <v>45875.0</v>
      </c>
      <c r="B651" s="66" t="s">
        <v>811</v>
      </c>
      <c r="C651" s="67" t="s">
        <v>1316</v>
      </c>
      <c r="D651" s="68" t="s">
        <v>827</v>
      </c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>
      <c r="A652" s="65">
        <v>45875.0</v>
      </c>
      <c r="B652" s="66" t="s">
        <v>811</v>
      </c>
      <c r="C652" s="67" t="s">
        <v>1317</v>
      </c>
      <c r="D652" s="68" t="s">
        <v>827</v>
      </c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>
      <c r="A653" s="65">
        <v>45875.0</v>
      </c>
      <c r="B653" s="66" t="s">
        <v>811</v>
      </c>
      <c r="C653" s="67" t="s">
        <v>1318</v>
      </c>
      <c r="D653" s="68" t="s">
        <v>827</v>
      </c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>
      <c r="A654" s="65">
        <v>45876.0</v>
      </c>
      <c r="B654" s="66" t="s">
        <v>811</v>
      </c>
      <c r="C654" s="68" t="s">
        <v>827</v>
      </c>
      <c r="D654" s="67" t="s">
        <v>1230</v>
      </c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>
      <c r="A655" s="65">
        <v>45875.0</v>
      </c>
      <c r="B655" s="66" t="s">
        <v>811</v>
      </c>
      <c r="C655" s="68" t="s">
        <v>827</v>
      </c>
      <c r="D655" s="67" t="s">
        <v>1230</v>
      </c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>
      <c r="A656" s="65">
        <v>45878.0</v>
      </c>
      <c r="B656" s="66" t="s">
        <v>810</v>
      </c>
      <c r="C656" s="67" t="s">
        <v>1319</v>
      </c>
      <c r="D656" s="68" t="s">
        <v>827</v>
      </c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>
      <c r="A657" s="65">
        <v>45878.0</v>
      </c>
      <c r="B657" s="66" t="s">
        <v>810</v>
      </c>
      <c r="C657" s="67" t="s">
        <v>1320</v>
      </c>
      <c r="D657" s="68" t="s">
        <v>827</v>
      </c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>
      <c r="A658" s="65">
        <v>45878.0</v>
      </c>
      <c r="B658" s="66" t="s">
        <v>810</v>
      </c>
      <c r="C658" s="67" t="s">
        <v>1321</v>
      </c>
      <c r="D658" s="68" t="s">
        <v>827</v>
      </c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>
      <c r="A659" s="65">
        <v>45878.0</v>
      </c>
      <c r="B659" s="66" t="s">
        <v>810</v>
      </c>
      <c r="C659" s="67" t="s">
        <v>1321</v>
      </c>
      <c r="D659" s="68" t="s">
        <v>827</v>
      </c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>
      <c r="A660" s="65">
        <v>45878.0</v>
      </c>
      <c r="B660" s="66" t="s">
        <v>810</v>
      </c>
      <c r="C660" s="67" t="s">
        <v>1320</v>
      </c>
      <c r="D660" s="68" t="s">
        <v>827</v>
      </c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>
      <c r="A661" s="65">
        <v>45878.0</v>
      </c>
      <c r="B661" s="66" t="s">
        <v>810</v>
      </c>
      <c r="C661" s="67" t="s">
        <v>1322</v>
      </c>
      <c r="D661" s="68" t="s">
        <v>827</v>
      </c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>
      <c r="A662" s="65">
        <v>45878.0</v>
      </c>
      <c r="B662" s="66" t="s">
        <v>810</v>
      </c>
      <c r="C662" s="67" t="s">
        <v>1322</v>
      </c>
      <c r="D662" s="68" t="s">
        <v>827</v>
      </c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>
      <c r="A663" s="65">
        <v>45878.0</v>
      </c>
      <c r="B663" s="66" t="s">
        <v>810</v>
      </c>
      <c r="C663" s="67" t="s">
        <v>1323</v>
      </c>
      <c r="D663" s="68" t="s">
        <v>827</v>
      </c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>
      <c r="A664" s="65">
        <v>45878.0</v>
      </c>
      <c r="B664" s="66" t="s">
        <v>810</v>
      </c>
      <c r="C664" s="67" t="s">
        <v>1324</v>
      </c>
      <c r="D664" s="68" t="s">
        <v>827</v>
      </c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>
      <c r="A665" s="65">
        <v>45878.0</v>
      </c>
      <c r="B665" s="66" t="s">
        <v>810</v>
      </c>
      <c r="C665" s="67" t="s">
        <v>1325</v>
      </c>
      <c r="D665" s="68" t="s">
        <v>827</v>
      </c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>
      <c r="A666" s="65">
        <v>45878.0</v>
      </c>
      <c r="B666" s="66" t="s">
        <v>810</v>
      </c>
      <c r="C666" s="67" t="s">
        <v>1326</v>
      </c>
      <c r="D666" s="68" t="s">
        <v>827</v>
      </c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>
      <c r="A667" s="65">
        <v>45878.0</v>
      </c>
      <c r="B667" s="66" t="s">
        <v>810</v>
      </c>
      <c r="C667" s="67" t="s">
        <v>1327</v>
      </c>
      <c r="D667" s="68" t="s">
        <v>827</v>
      </c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>
      <c r="A668" s="65">
        <v>45878.0</v>
      </c>
      <c r="B668" s="66" t="s">
        <v>812</v>
      </c>
      <c r="C668" s="67" t="s">
        <v>1328</v>
      </c>
      <c r="D668" s="68" t="s">
        <v>827</v>
      </c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>
      <c r="A669" s="65">
        <v>45878.0</v>
      </c>
      <c r="B669" s="66" t="s">
        <v>812</v>
      </c>
      <c r="C669" s="67" t="s">
        <v>1328</v>
      </c>
      <c r="D669" s="68" t="s">
        <v>827</v>
      </c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>
      <c r="A670" s="65">
        <v>45878.0</v>
      </c>
      <c r="B670" s="66" t="s">
        <v>812</v>
      </c>
      <c r="C670" s="67" t="s">
        <v>1329</v>
      </c>
      <c r="D670" s="68" t="s">
        <v>827</v>
      </c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>
      <c r="A671" s="65">
        <v>45878.0</v>
      </c>
      <c r="B671" s="66" t="s">
        <v>812</v>
      </c>
      <c r="C671" s="67" t="s">
        <v>1329</v>
      </c>
      <c r="D671" s="68" t="s">
        <v>827</v>
      </c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>
      <c r="A672" s="65">
        <v>45878.0</v>
      </c>
      <c r="B672" s="66" t="s">
        <v>812</v>
      </c>
      <c r="C672" s="67" t="s">
        <v>1330</v>
      </c>
      <c r="D672" s="68" t="s">
        <v>827</v>
      </c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>
      <c r="A673" s="65">
        <v>45878.0</v>
      </c>
      <c r="B673" s="66" t="s">
        <v>812</v>
      </c>
      <c r="C673" s="67" t="s">
        <v>1331</v>
      </c>
      <c r="D673" s="68" t="s">
        <v>827</v>
      </c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>
      <c r="A674" s="65">
        <v>45878.0</v>
      </c>
      <c r="B674" s="66" t="s">
        <v>812</v>
      </c>
      <c r="C674" s="67" t="s">
        <v>1330</v>
      </c>
      <c r="D674" s="68" t="s">
        <v>827</v>
      </c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>
      <c r="A675" s="65">
        <v>45878.0</v>
      </c>
      <c r="B675" s="66" t="s">
        <v>812</v>
      </c>
      <c r="C675" s="67" t="s">
        <v>1331</v>
      </c>
      <c r="D675" s="68" t="s">
        <v>827</v>
      </c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>
      <c r="A676" s="65">
        <v>45878.0</v>
      </c>
      <c r="B676" s="66" t="s">
        <v>812</v>
      </c>
      <c r="C676" s="67" t="s">
        <v>1332</v>
      </c>
      <c r="D676" s="68" t="s">
        <v>827</v>
      </c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>
      <c r="A677" s="65">
        <v>45878.0</v>
      </c>
      <c r="B677" s="66" t="s">
        <v>812</v>
      </c>
      <c r="C677" s="67" t="s">
        <v>1333</v>
      </c>
      <c r="D677" s="68" t="s">
        <v>827</v>
      </c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>
      <c r="A678" s="65">
        <v>45878.0</v>
      </c>
      <c r="B678" s="66" t="s">
        <v>812</v>
      </c>
      <c r="C678" s="67" t="s">
        <v>1334</v>
      </c>
      <c r="D678" s="68" t="s">
        <v>827</v>
      </c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>
      <c r="A679" s="65">
        <v>45878.0</v>
      </c>
      <c r="B679" s="66" t="s">
        <v>812</v>
      </c>
      <c r="C679" s="67" t="s">
        <v>1335</v>
      </c>
      <c r="D679" s="68" t="s">
        <v>827</v>
      </c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>
      <c r="A680" s="65">
        <v>45878.0</v>
      </c>
      <c r="B680" s="66" t="s">
        <v>812</v>
      </c>
      <c r="C680" s="67" t="s">
        <v>1335</v>
      </c>
      <c r="D680" s="68" t="s">
        <v>827</v>
      </c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>
      <c r="A681" s="65">
        <v>45878.0</v>
      </c>
      <c r="B681" s="66" t="s">
        <v>812</v>
      </c>
      <c r="C681" s="67" t="s">
        <v>1336</v>
      </c>
      <c r="D681" s="68" t="s">
        <v>827</v>
      </c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>
      <c r="A682" s="65">
        <v>45878.0</v>
      </c>
      <c r="B682" s="66" t="s">
        <v>812</v>
      </c>
      <c r="C682" s="67" t="s">
        <v>1337</v>
      </c>
      <c r="D682" s="68" t="s">
        <v>827</v>
      </c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>
      <c r="A683" s="65">
        <v>45882.0</v>
      </c>
      <c r="B683" s="66" t="s">
        <v>811</v>
      </c>
      <c r="C683" s="67" t="s">
        <v>1338</v>
      </c>
      <c r="D683" s="68" t="s">
        <v>827</v>
      </c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>
      <c r="A684" s="65">
        <v>45882.0</v>
      </c>
      <c r="B684" s="66" t="s">
        <v>811</v>
      </c>
      <c r="C684" s="67" t="s">
        <v>1339</v>
      </c>
      <c r="D684" s="68" t="s">
        <v>827</v>
      </c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>
      <c r="A685" s="65">
        <v>45882.0</v>
      </c>
      <c r="B685" s="66" t="s">
        <v>811</v>
      </c>
      <c r="C685" s="67" t="s">
        <v>1339</v>
      </c>
      <c r="D685" s="68" t="s">
        <v>827</v>
      </c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>
      <c r="A686" s="65">
        <v>45882.0</v>
      </c>
      <c r="B686" s="66" t="s">
        <v>811</v>
      </c>
      <c r="C686" s="67" t="s">
        <v>1340</v>
      </c>
      <c r="D686" s="68" t="s">
        <v>827</v>
      </c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>
      <c r="A687" s="65">
        <v>45882.0</v>
      </c>
      <c r="B687" s="66" t="s">
        <v>811</v>
      </c>
      <c r="C687" s="67" t="s">
        <v>1341</v>
      </c>
      <c r="D687" s="68" t="s">
        <v>827</v>
      </c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>
      <c r="A688" s="65">
        <v>45882.0</v>
      </c>
      <c r="B688" s="66" t="s">
        <v>811</v>
      </c>
      <c r="C688" s="67" t="s">
        <v>1341</v>
      </c>
      <c r="D688" s="68" t="s">
        <v>827</v>
      </c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>
      <c r="A689" s="65">
        <v>45882.0</v>
      </c>
      <c r="B689" s="66" t="s">
        <v>811</v>
      </c>
      <c r="C689" s="67" t="s">
        <v>1340</v>
      </c>
      <c r="D689" s="67" t="s">
        <v>1230</v>
      </c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>
      <c r="A690" s="65">
        <v>45882.0</v>
      </c>
      <c r="B690" s="66" t="s">
        <v>811</v>
      </c>
      <c r="C690" s="67" t="s">
        <v>1342</v>
      </c>
      <c r="D690" s="68" t="s">
        <v>827</v>
      </c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>
      <c r="A691" s="65">
        <v>45882.0</v>
      </c>
      <c r="B691" s="66" t="s">
        <v>811</v>
      </c>
      <c r="C691" s="67" t="s">
        <v>1342</v>
      </c>
      <c r="D691" s="68" t="s">
        <v>827</v>
      </c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>
      <c r="A692" s="65">
        <v>45882.0</v>
      </c>
      <c r="B692" s="66" t="s">
        <v>811</v>
      </c>
      <c r="C692" s="67" t="s">
        <v>1343</v>
      </c>
      <c r="D692" s="68" t="s">
        <v>827</v>
      </c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>
      <c r="A693" s="65">
        <v>45882.0</v>
      </c>
      <c r="B693" s="66" t="s">
        <v>811</v>
      </c>
      <c r="C693" s="67" t="s">
        <v>1343</v>
      </c>
      <c r="D693" s="68" t="s">
        <v>827</v>
      </c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>
      <c r="A694" s="65">
        <v>45882.0</v>
      </c>
      <c r="B694" s="66" t="s">
        <v>811</v>
      </c>
      <c r="C694" s="67" t="s">
        <v>1344</v>
      </c>
      <c r="D694" s="68" t="s">
        <v>827</v>
      </c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>
      <c r="A695" s="65">
        <v>45882.0</v>
      </c>
      <c r="B695" s="66" t="s">
        <v>811</v>
      </c>
      <c r="C695" s="67" t="s">
        <v>1173</v>
      </c>
      <c r="D695" s="68" t="s">
        <v>827</v>
      </c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>
      <c r="A696" s="65">
        <v>45882.0</v>
      </c>
      <c r="B696" s="66" t="s">
        <v>811</v>
      </c>
      <c r="C696" s="68" t="s">
        <v>827</v>
      </c>
      <c r="D696" s="67" t="s">
        <v>1125</v>
      </c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>
      <c r="A697" s="65">
        <v>45882.0</v>
      </c>
      <c r="B697" s="66" t="s">
        <v>811</v>
      </c>
      <c r="C697" s="67" t="s">
        <v>1345</v>
      </c>
      <c r="D697" s="68" t="s">
        <v>827</v>
      </c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>
      <c r="A698" s="65">
        <v>45882.0</v>
      </c>
      <c r="B698" s="66" t="s">
        <v>811</v>
      </c>
      <c r="C698" s="67" t="s">
        <v>1345</v>
      </c>
      <c r="D698" s="68" t="s">
        <v>827</v>
      </c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>
      <c r="A699" s="65">
        <v>45885.0</v>
      </c>
      <c r="B699" s="66" t="s">
        <v>810</v>
      </c>
      <c r="C699" s="67" t="s">
        <v>1346</v>
      </c>
      <c r="D699" s="68" t="s">
        <v>827</v>
      </c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>
      <c r="A700" s="65">
        <v>45885.0</v>
      </c>
      <c r="B700" s="66" t="s">
        <v>810</v>
      </c>
      <c r="C700" s="67" t="s">
        <v>1347</v>
      </c>
      <c r="D700" s="67" t="s">
        <v>1348</v>
      </c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>
      <c r="A701" s="65">
        <v>45885.0</v>
      </c>
      <c r="B701" s="66" t="s">
        <v>810</v>
      </c>
      <c r="C701" s="67" t="s">
        <v>1349</v>
      </c>
      <c r="D701" s="67" t="s">
        <v>1350</v>
      </c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>
      <c r="A702" s="65">
        <v>45885.0</v>
      </c>
      <c r="B702" s="66" t="s">
        <v>810</v>
      </c>
      <c r="C702" s="67" t="s">
        <v>1351</v>
      </c>
      <c r="D702" s="67" t="s">
        <v>1352</v>
      </c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>
      <c r="A703" s="65">
        <v>45885.0</v>
      </c>
      <c r="B703" s="66" t="s">
        <v>810</v>
      </c>
      <c r="C703" s="67" t="s">
        <v>1351</v>
      </c>
      <c r="D703" s="67" t="s">
        <v>1352</v>
      </c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>
      <c r="A704" s="65">
        <v>45885.0</v>
      </c>
      <c r="B704" s="66" t="s">
        <v>810</v>
      </c>
      <c r="C704" s="67" t="s">
        <v>1351</v>
      </c>
      <c r="D704" s="67" t="s">
        <v>1352</v>
      </c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>
      <c r="A705" s="65">
        <v>45885.0</v>
      </c>
      <c r="B705" s="66" t="s">
        <v>810</v>
      </c>
      <c r="C705" s="67" t="s">
        <v>1353</v>
      </c>
      <c r="D705" s="68" t="s">
        <v>827</v>
      </c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>
      <c r="A706" s="65">
        <v>45885.0</v>
      </c>
      <c r="B706" s="66" t="s">
        <v>810</v>
      </c>
      <c r="C706" s="67" t="s">
        <v>1354</v>
      </c>
      <c r="D706" s="68" t="s">
        <v>827</v>
      </c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>
      <c r="A707" s="65">
        <v>45885.0</v>
      </c>
      <c r="B707" s="66" t="s">
        <v>810</v>
      </c>
      <c r="C707" s="67" t="s">
        <v>1232</v>
      </c>
      <c r="D707" s="68" t="s">
        <v>827</v>
      </c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>
      <c r="A708" s="65">
        <v>45885.0</v>
      </c>
      <c r="B708" s="66" t="s">
        <v>810</v>
      </c>
      <c r="C708" s="67" t="s">
        <v>1232</v>
      </c>
      <c r="D708" s="68" t="s">
        <v>827</v>
      </c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>
      <c r="A709" s="65">
        <v>45885.0</v>
      </c>
      <c r="B709" s="66" t="s">
        <v>810</v>
      </c>
      <c r="C709" s="67" t="s">
        <v>1232</v>
      </c>
      <c r="D709" s="68" t="s">
        <v>827</v>
      </c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>
      <c r="A710" s="65">
        <v>45885.0</v>
      </c>
      <c r="B710" s="66" t="s">
        <v>810</v>
      </c>
      <c r="C710" s="67" t="s">
        <v>1355</v>
      </c>
      <c r="D710" s="68" t="s">
        <v>827</v>
      </c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>
      <c r="A711" s="65">
        <v>45885.0</v>
      </c>
      <c r="B711" s="66" t="s">
        <v>812</v>
      </c>
      <c r="C711" s="67" t="s">
        <v>1356</v>
      </c>
      <c r="D711" s="68" t="s">
        <v>827</v>
      </c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>
      <c r="A712" s="65">
        <v>45885.0</v>
      </c>
      <c r="B712" s="66" t="s">
        <v>812</v>
      </c>
      <c r="C712" s="67" t="s">
        <v>890</v>
      </c>
      <c r="D712" s="68" t="s">
        <v>827</v>
      </c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>
      <c r="A713" s="65">
        <v>45885.0</v>
      </c>
      <c r="B713" s="66" t="s">
        <v>812</v>
      </c>
      <c r="C713" s="67" t="s">
        <v>890</v>
      </c>
      <c r="D713" s="68" t="s">
        <v>827</v>
      </c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>
      <c r="A714" s="65">
        <v>45885.0</v>
      </c>
      <c r="B714" s="66" t="s">
        <v>812</v>
      </c>
      <c r="C714" s="67" t="s">
        <v>1357</v>
      </c>
      <c r="D714" s="68" t="s">
        <v>827</v>
      </c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>
      <c r="A715" s="65">
        <v>45885.0</v>
      </c>
      <c r="B715" s="66" t="s">
        <v>812</v>
      </c>
      <c r="C715" s="67" t="s">
        <v>1357</v>
      </c>
      <c r="D715" s="68" t="s">
        <v>827</v>
      </c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>
      <c r="A716" s="65">
        <v>45889.0</v>
      </c>
      <c r="B716" s="66" t="s">
        <v>811</v>
      </c>
      <c r="C716" s="67" t="s">
        <v>1358</v>
      </c>
      <c r="D716" s="67" t="s">
        <v>1359</v>
      </c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>
      <c r="A717" s="65">
        <v>45889.0</v>
      </c>
      <c r="B717" s="66" t="s">
        <v>811</v>
      </c>
      <c r="C717" s="67" t="s">
        <v>1360</v>
      </c>
      <c r="D717" s="68" t="s">
        <v>827</v>
      </c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>
      <c r="A718" s="65">
        <v>45889.0</v>
      </c>
      <c r="B718" s="66" t="s">
        <v>811</v>
      </c>
      <c r="C718" s="67" t="s">
        <v>1361</v>
      </c>
      <c r="D718" s="68" t="s">
        <v>827</v>
      </c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>
      <c r="A719" s="65">
        <v>45889.0</v>
      </c>
      <c r="B719" s="66" t="s">
        <v>811</v>
      </c>
      <c r="C719" s="67" t="s">
        <v>1362</v>
      </c>
      <c r="D719" s="68" t="s">
        <v>827</v>
      </c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>
      <c r="A720" s="65">
        <v>45889.0</v>
      </c>
      <c r="B720" s="66" t="s">
        <v>811</v>
      </c>
      <c r="C720" s="67" t="s">
        <v>1363</v>
      </c>
      <c r="D720" s="68" t="s">
        <v>827</v>
      </c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>
      <c r="A721" s="65">
        <v>45889.0</v>
      </c>
      <c r="B721" s="66" t="s">
        <v>811</v>
      </c>
      <c r="C721" s="67" t="s">
        <v>1364</v>
      </c>
      <c r="D721" s="68" t="s">
        <v>827</v>
      </c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>
      <c r="A722" s="65">
        <v>45889.0</v>
      </c>
      <c r="B722" s="66" t="s">
        <v>811</v>
      </c>
      <c r="C722" s="67" t="s">
        <v>1365</v>
      </c>
      <c r="D722" s="68" t="s">
        <v>827</v>
      </c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>
      <c r="A723" s="65">
        <v>45889.0</v>
      </c>
      <c r="B723" s="66" t="s">
        <v>811</v>
      </c>
      <c r="C723" s="67" t="s">
        <v>1305</v>
      </c>
      <c r="D723" s="68" t="s">
        <v>827</v>
      </c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>
      <c r="A724" s="65">
        <v>45889.0</v>
      </c>
      <c r="B724" s="66" t="s">
        <v>811</v>
      </c>
      <c r="C724" s="68" t="s">
        <v>827</v>
      </c>
      <c r="D724" s="67" t="s">
        <v>971</v>
      </c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>
      <c r="A725" s="65">
        <v>45889.0</v>
      </c>
      <c r="B725" s="66" t="s">
        <v>811</v>
      </c>
      <c r="C725" s="68" t="s">
        <v>827</v>
      </c>
      <c r="D725" s="67" t="s">
        <v>1366</v>
      </c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>
      <c r="A726" s="65">
        <v>45892.0</v>
      </c>
      <c r="B726" s="66" t="s">
        <v>810</v>
      </c>
      <c r="C726" s="67" t="s">
        <v>1367</v>
      </c>
      <c r="D726" s="67" t="s">
        <v>1295</v>
      </c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>
      <c r="A727" s="65">
        <v>45892.0</v>
      </c>
      <c r="B727" s="66" t="s">
        <v>810</v>
      </c>
      <c r="C727" s="67" t="s">
        <v>1368</v>
      </c>
      <c r="D727" s="67" t="s">
        <v>857</v>
      </c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>
      <c r="A728" s="65">
        <v>45892.0</v>
      </c>
      <c r="B728" s="66" t="s">
        <v>810</v>
      </c>
      <c r="C728" s="67" t="s">
        <v>1369</v>
      </c>
      <c r="D728" s="67" t="s">
        <v>1370</v>
      </c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>
      <c r="A729" s="65">
        <v>45892.0</v>
      </c>
      <c r="B729" s="66" t="s">
        <v>810</v>
      </c>
      <c r="C729" s="67" t="s">
        <v>1369</v>
      </c>
      <c r="D729" s="67" t="s">
        <v>1370</v>
      </c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>
      <c r="A730" s="65">
        <v>45892.0</v>
      </c>
      <c r="B730" s="66" t="s">
        <v>810</v>
      </c>
      <c r="C730" s="67" t="s">
        <v>1371</v>
      </c>
      <c r="D730" s="67" t="s">
        <v>1372</v>
      </c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>
      <c r="A731" s="65">
        <v>45892.0</v>
      </c>
      <c r="B731" s="66" t="s">
        <v>810</v>
      </c>
      <c r="C731" s="67" t="s">
        <v>1371</v>
      </c>
      <c r="D731" s="67" t="s">
        <v>1372</v>
      </c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>
      <c r="A732" s="65">
        <v>45892.0</v>
      </c>
      <c r="B732" s="66" t="s">
        <v>810</v>
      </c>
      <c r="C732" s="67" t="s">
        <v>1373</v>
      </c>
      <c r="D732" s="68" t="s">
        <v>827</v>
      </c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>
      <c r="A733" s="65">
        <v>45892.0</v>
      </c>
      <c r="B733" s="66" t="s">
        <v>810</v>
      </c>
      <c r="C733" s="67" t="s">
        <v>1374</v>
      </c>
      <c r="D733" s="68" t="s">
        <v>827</v>
      </c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>
      <c r="A734" s="65">
        <v>45892.0</v>
      </c>
      <c r="B734" s="66" t="s">
        <v>810</v>
      </c>
      <c r="C734" s="67" t="s">
        <v>1374</v>
      </c>
      <c r="D734" s="68" t="s">
        <v>827</v>
      </c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>
      <c r="A735" s="65">
        <v>45892.0</v>
      </c>
      <c r="B735" s="66" t="s">
        <v>810</v>
      </c>
      <c r="C735" s="67" t="s">
        <v>1157</v>
      </c>
      <c r="D735" s="68" t="s">
        <v>827</v>
      </c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>
      <c r="A736" s="65">
        <v>45892.0</v>
      </c>
      <c r="B736" s="66" t="s">
        <v>810</v>
      </c>
      <c r="C736" s="67" t="s">
        <v>1157</v>
      </c>
      <c r="D736" s="68" t="s">
        <v>827</v>
      </c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>
      <c r="A737" s="65">
        <v>45892.0</v>
      </c>
      <c r="B737" s="66" t="s">
        <v>810</v>
      </c>
      <c r="C737" s="67" t="s">
        <v>1375</v>
      </c>
      <c r="D737" s="68" t="s">
        <v>827</v>
      </c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>
      <c r="A738" s="65">
        <v>45892.0</v>
      </c>
      <c r="B738" s="66" t="s">
        <v>810</v>
      </c>
      <c r="C738" s="67" t="s">
        <v>1375</v>
      </c>
      <c r="D738" s="68" t="s">
        <v>827</v>
      </c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>
      <c r="A739" s="65">
        <v>45892.0</v>
      </c>
      <c r="B739" s="66" t="s">
        <v>810</v>
      </c>
      <c r="C739" s="68" t="s">
        <v>827</v>
      </c>
      <c r="D739" s="67" t="s">
        <v>1125</v>
      </c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>
      <c r="A740" s="65">
        <v>45892.0</v>
      </c>
      <c r="B740" s="66" t="s">
        <v>812</v>
      </c>
      <c r="C740" s="67" t="s">
        <v>1376</v>
      </c>
      <c r="D740" s="68" t="s">
        <v>827</v>
      </c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>
      <c r="A741" s="65">
        <v>45892.0</v>
      </c>
      <c r="B741" s="66" t="s">
        <v>812</v>
      </c>
      <c r="C741" s="67" t="s">
        <v>1377</v>
      </c>
      <c r="D741" s="68" t="s">
        <v>827</v>
      </c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>
      <c r="A742" s="65">
        <v>45892.0</v>
      </c>
      <c r="B742" s="66" t="s">
        <v>812</v>
      </c>
      <c r="C742" s="67" t="s">
        <v>1376</v>
      </c>
      <c r="D742" s="68" t="s">
        <v>827</v>
      </c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>
      <c r="A743" s="65">
        <v>45892.0</v>
      </c>
      <c r="B743" s="66" t="s">
        <v>812</v>
      </c>
      <c r="C743" s="67" t="s">
        <v>1377</v>
      </c>
      <c r="D743" s="68" t="s">
        <v>827</v>
      </c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>
      <c r="A744" s="65">
        <v>45892.0</v>
      </c>
      <c r="B744" s="66" t="s">
        <v>812</v>
      </c>
      <c r="C744" s="67" t="s">
        <v>1378</v>
      </c>
      <c r="D744" s="67" t="s">
        <v>1379</v>
      </c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>
      <c r="A745" s="65">
        <v>45892.0</v>
      </c>
      <c r="B745" s="66" t="s">
        <v>812</v>
      </c>
      <c r="C745" s="67" t="s">
        <v>1380</v>
      </c>
      <c r="D745" s="68" t="s">
        <v>827</v>
      </c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>
      <c r="A746" s="65">
        <v>45892.0</v>
      </c>
      <c r="B746" s="66" t="s">
        <v>812</v>
      </c>
      <c r="C746" s="67" t="s">
        <v>1381</v>
      </c>
      <c r="D746" s="68" t="s">
        <v>827</v>
      </c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>
      <c r="A747" s="65">
        <v>45892.0</v>
      </c>
      <c r="B747" s="66" t="s">
        <v>812</v>
      </c>
      <c r="C747" s="67" t="s">
        <v>1382</v>
      </c>
      <c r="D747" s="68" t="s">
        <v>827</v>
      </c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>
      <c r="A748" s="65">
        <v>45892.0</v>
      </c>
      <c r="B748" s="66" t="s">
        <v>812</v>
      </c>
      <c r="C748" s="67" t="s">
        <v>1383</v>
      </c>
      <c r="D748" s="68" t="s">
        <v>827</v>
      </c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>
      <c r="A749" s="65">
        <v>45896.0</v>
      </c>
      <c r="B749" s="66" t="s">
        <v>811</v>
      </c>
      <c r="C749" s="67" t="s">
        <v>1384</v>
      </c>
      <c r="D749" s="68" t="s">
        <v>827</v>
      </c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>
      <c r="A750" s="65">
        <v>45896.0</v>
      </c>
      <c r="B750" s="66" t="s">
        <v>811</v>
      </c>
      <c r="C750" s="67" t="s">
        <v>1385</v>
      </c>
      <c r="D750" s="68" t="s">
        <v>827</v>
      </c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>
      <c r="A751" s="65">
        <v>45896.0</v>
      </c>
      <c r="B751" s="66" t="s">
        <v>811</v>
      </c>
      <c r="C751" s="67" t="s">
        <v>1386</v>
      </c>
      <c r="D751" s="68" t="s">
        <v>827</v>
      </c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>
      <c r="A752" s="65">
        <v>45896.0</v>
      </c>
      <c r="B752" s="66" t="s">
        <v>811</v>
      </c>
      <c r="C752" s="67" t="s">
        <v>1385</v>
      </c>
      <c r="D752" s="68" t="s">
        <v>827</v>
      </c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>
      <c r="A753" s="65">
        <v>45896.0</v>
      </c>
      <c r="B753" s="66" t="s">
        <v>811</v>
      </c>
      <c r="C753" s="67" t="s">
        <v>1387</v>
      </c>
      <c r="D753" s="68" t="s">
        <v>827</v>
      </c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>
      <c r="A754" s="65">
        <v>45896.0</v>
      </c>
      <c r="B754" s="66" t="s">
        <v>811</v>
      </c>
      <c r="C754" s="67" t="s">
        <v>1387</v>
      </c>
      <c r="D754" s="68" t="s">
        <v>827</v>
      </c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>
      <c r="A755" s="65">
        <v>45896.0</v>
      </c>
      <c r="B755" s="66" t="s">
        <v>811</v>
      </c>
      <c r="C755" s="67" t="s">
        <v>1388</v>
      </c>
      <c r="D755" s="68" t="s">
        <v>827</v>
      </c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>
      <c r="A756" s="65">
        <v>45896.0</v>
      </c>
      <c r="B756" s="66" t="s">
        <v>811</v>
      </c>
      <c r="C756" s="67" t="s">
        <v>1192</v>
      </c>
      <c r="D756" s="68" t="s">
        <v>827</v>
      </c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>
      <c r="A757" s="65">
        <v>45896.0</v>
      </c>
      <c r="B757" s="66" t="s">
        <v>811</v>
      </c>
      <c r="C757" s="67" t="s">
        <v>1389</v>
      </c>
      <c r="D757" s="68" t="s">
        <v>827</v>
      </c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>
      <c r="A758" s="65">
        <v>45896.0</v>
      </c>
      <c r="B758" s="66" t="s">
        <v>811</v>
      </c>
      <c r="C758" s="67" t="s">
        <v>1388</v>
      </c>
      <c r="D758" s="67" t="s">
        <v>1390</v>
      </c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>
      <c r="A759" s="65">
        <v>45896.0</v>
      </c>
      <c r="B759" s="66" t="s">
        <v>811</v>
      </c>
      <c r="C759" s="67" t="s">
        <v>1388</v>
      </c>
      <c r="D759" s="67" t="s">
        <v>1390</v>
      </c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>
      <c r="A760" s="65">
        <v>45896.0</v>
      </c>
      <c r="B760" s="66" t="s">
        <v>811</v>
      </c>
      <c r="C760" s="67" t="s">
        <v>1391</v>
      </c>
      <c r="D760" s="68" t="s">
        <v>827</v>
      </c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>
      <c r="A761" s="65">
        <v>45896.0</v>
      </c>
      <c r="B761" s="66" t="s">
        <v>811</v>
      </c>
      <c r="C761" s="67" t="s">
        <v>1391</v>
      </c>
      <c r="D761" s="68" t="s">
        <v>827</v>
      </c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>
      <c r="A762" s="65">
        <v>45899.0</v>
      </c>
      <c r="B762" s="66" t="s">
        <v>810</v>
      </c>
      <c r="C762" s="67" t="s">
        <v>1392</v>
      </c>
      <c r="D762" s="68" t="s">
        <v>827</v>
      </c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>
      <c r="A763" s="65">
        <v>45899.0</v>
      </c>
      <c r="B763" s="66" t="s">
        <v>810</v>
      </c>
      <c r="C763" s="67" t="s">
        <v>1393</v>
      </c>
      <c r="D763" s="68" t="s">
        <v>827</v>
      </c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>
      <c r="A764" s="65">
        <v>45899.0</v>
      </c>
      <c r="B764" s="66" t="s">
        <v>810</v>
      </c>
      <c r="C764" s="67" t="s">
        <v>1394</v>
      </c>
      <c r="D764" s="68" t="s">
        <v>827</v>
      </c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>
      <c r="A765" s="65">
        <v>45899.0</v>
      </c>
      <c r="B765" s="66" t="s">
        <v>810</v>
      </c>
      <c r="C765" s="67" t="s">
        <v>1394</v>
      </c>
      <c r="D765" s="67" t="s">
        <v>1395</v>
      </c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>
      <c r="A766" s="65">
        <v>45899.0</v>
      </c>
      <c r="B766" s="66" t="s">
        <v>810</v>
      </c>
      <c r="C766" s="67" t="s">
        <v>1396</v>
      </c>
      <c r="D766" s="68" t="s">
        <v>827</v>
      </c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>
      <c r="A767" s="65">
        <v>45899.0</v>
      </c>
      <c r="B767" s="66" t="s">
        <v>810</v>
      </c>
      <c r="C767" s="67" t="s">
        <v>1394</v>
      </c>
      <c r="D767" s="67" t="s">
        <v>1395</v>
      </c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>
      <c r="A768" s="65">
        <v>45899.0</v>
      </c>
      <c r="B768" s="66" t="s">
        <v>810</v>
      </c>
      <c r="C768" s="67" t="s">
        <v>1393</v>
      </c>
      <c r="D768" s="67" t="s">
        <v>1397</v>
      </c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>
      <c r="A769" s="65">
        <v>45899.0</v>
      </c>
      <c r="B769" s="66" t="s">
        <v>810</v>
      </c>
      <c r="C769" s="67" t="s">
        <v>1398</v>
      </c>
      <c r="D769" s="68" t="s">
        <v>827</v>
      </c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>
      <c r="A770" s="65">
        <v>45899.0</v>
      </c>
      <c r="B770" s="66" t="s">
        <v>810</v>
      </c>
      <c r="C770" s="67" t="s">
        <v>1399</v>
      </c>
      <c r="D770" s="68" t="s">
        <v>827</v>
      </c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>
      <c r="A771" s="65">
        <v>45899.0</v>
      </c>
      <c r="B771" s="66" t="s">
        <v>810</v>
      </c>
      <c r="C771" s="67" t="s">
        <v>1400</v>
      </c>
      <c r="D771" s="67" t="s">
        <v>1237</v>
      </c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>
      <c r="A772" s="65">
        <v>45899.0</v>
      </c>
      <c r="B772" s="66" t="s">
        <v>810</v>
      </c>
      <c r="C772" s="67" t="s">
        <v>1401</v>
      </c>
      <c r="D772" s="67" t="s">
        <v>866</v>
      </c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>
      <c r="A773" s="65">
        <v>45899.0</v>
      </c>
      <c r="B773" s="66" t="s">
        <v>810</v>
      </c>
      <c r="C773" s="67" t="s">
        <v>1401</v>
      </c>
      <c r="D773" s="67" t="s">
        <v>866</v>
      </c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>
      <c r="A774" s="65">
        <v>45899.0</v>
      </c>
      <c r="B774" s="66" t="s">
        <v>810</v>
      </c>
      <c r="C774" s="67" t="s">
        <v>1401</v>
      </c>
      <c r="D774" s="67" t="s">
        <v>866</v>
      </c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>
      <c r="A775" s="65">
        <v>45899.0</v>
      </c>
      <c r="B775" s="66" t="s">
        <v>810</v>
      </c>
      <c r="C775" s="68" t="s">
        <v>827</v>
      </c>
      <c r="D775" s="67" t="s">
        <v>852</v>
      </c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>
      <c r="A776" s="65">
        <v>45899.0</v>
      </c>
      <c r="B776" s="66" t="s">
        <v>812</v>
      </c>
      <c r="C776" s="67" t="s">
        <v>1402</v>
      </c>
      <c r="D776" s="68" t="s">
        <v>827</v>
      </c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>
      <c r="A777" s="65">
        <v>45899.0</v>
      </c>
      <c r="B777" s="66" t="s">
        <v>812</v>
      </c>
      <c r="C777" s="67" t="s">
        <v>1403</v>
      </c>
      <c r="D777" s="68" t="s">
        <v>827</v>
      </c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>
      <c r="A778" s="65">
        <v>45899.0</v>
      </c>
      <c r="B778" s="66" t="s">
        <v>812</v>
      </c>
      <c r="C778" s="67" t="s">
        <v>1402</v>
      </c>
      <c r="D778" s="68" t="s">
        <v>827</v>
      </c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>
      <c r="A779" s="65">
        <v>45899.0</v>
      </c>
      <c r="B779" s="66" t="s">
        <v>812</v>
      </c>
      <c r="C779" s="67" t="s">
        <v>1403</v>
      </c>
      <c r="D779" s="67" t="s">
        <v>1404</v>
      </c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>
      <c r="A780" s="65">
        <v>45899.0</v>
      </c>
      <c r="B780" s="66" t="s">
        <v>812</v>
      </c>
      <c r="C780" s="67" t="s">
        <v>1403</v>
      </c>
      <c r="D780" s="67" t="s">
        <v>1405</v>
      </c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>
      <c r="A781" s="65">
        <v>45899.0</v>
      </c>
      <c r="B781" s="66" t="s">
        <v>812</v>
      </c>
      <c r="C781" s="67" t="s">
        <v>1402</v>
      </c>
      <c r="D781" s="67" t="s">
        <v>1016</v>
      </c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>
      <c r="A782" s="65">
        <v>45899.0</v>
      </c>
      <c r="B782" s="66" t="s">
        <v>812</v>
      </c>
      <c r="C782" s="67" t="s">
        <v>1406</v>
      </c>
      <c r="D782" s="68" t="s">
        <v>827</v>
      </c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>
      <c r="A783" s="65">
        <v>45899.0</v>
      </c>
      <c r="B783" s="66" t="s">
        <v>812</v>
      </c>
      <c r="C783" s="67" t="s">
        <v>1407</v>
      </c>
      <c r="D783" s="68" t="s">
        <v>827</v>
      </c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>
      <c r="A784" s="65">
        <v>45899.0</v>
      </c>
      <c r="B784" s="66" t="s">
        <v>812</v>
      </c>
      <c r="C784" s="67" t="s">
        <v>1407</v>
      </c>
      <c r="D784" s="68" t="s">
        <v>827</v>
      </c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>
      <c r="A785" s="65">
        <v>45899.0</v>
      </c>
      <c r="B785" s="66" t="s">
        <v>812</v>
      </c>
      <c r="C785" s="67" t="s">
        <v>1406</v>
      </c>
      <c r="D785" s="67" t="s">
        <v>1260</v>
      </c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>
      <c r="A786" s="65">
        <v>45899.0</v>
      </c>
      <c r="B786" s="66" t="s">
        <v>812</v>
      </c>
      <c r="C786" s="67" t="s">
        <v>1408</v>
      </c>
      <c r="D786" s="68" t="s">
        <v>827</v>
      </c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>
      <c r="A787" s="65">
        <v>45899.0</v>
      </c>
      <c r="B787" s="66" t="s">
        <v>812</v>
      </c>
      <c r="C787" s="67" t="s">
        <v>1409</v>
      </c>
      <c r="D787" s="67" t="s">
        <v>1410</v>
      </c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>
      <c r="A788" s="65">
        <v>45899.0</v>
      </c>
      <c r="B788" s="66" t="s">
        <v>812</v>
      </c>
      <c r="C788" s="67" t="s">
        <v>1403</v>
      </c>
      <c r="D788" s="67" t="s">
        <v>1411</v>
      </c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>
      <c r="A789" s="65">
        <v>45899.0</v>
      </c>
      <c r="B789" s="66" t="s">
        <v>812</v>
      </c>
      <c r="C789" s="67" t="s">
        <v>1408</v>
      </c>
      <c r="D789" s="67" t="s">
        <v>1412</v>
      </c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>
      <c r="A790" s="65">
        <v>45899.0</v>
      </c>
      <c r="B790" s="66" t="s">
        <v>812</v>
      </c>
      <c r="C790" s="67" t="s">
        <v>1413</v>
      </c>
      <c r="D790" s="67" t="s">
        <v>1414</v>
      </c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>
      <c r="A791" s="65">
        <v>45899.0</v>
      </c>
      <c r="B791" s="66" t="s">
        <v>812</v>
      </c>
      <c r="C791" s="67" t="s">
        <v>1415</v>
      </c>
      <c r="D791" s="68" t="s">
        <v>827</v>
      </c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>
      <c r="A792" s="65">
        <v>45899.0</v>
      </c>
      <c r="B792" s="66" t="s">
        <v>812</v>
      </c>
      <c r="C792" s="67" t="s">
        <v>1415</v>
      </c>
      <c r="D792" s="68" t="s">
        <v>827</v>
      </c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>
      <c r="A793" s="65">
        <v>45899.0</v>
      </c>
      <c r="B793" s="66" t="s">
        <v>812</v>
      </c>
      <c r="C793" s="67" t="s">
        <v>1403</v>
      </c>
      <c r="D793" s="67" t="s">
        <v>1411</v>
      </c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>
      <c r="A794" s="65">
        <v>45899.0</v>
      </c>
      <c r="B794" s="66" t="s">
        <v>812</v>
      </c>
      <c r="C794" s="68" t="s">
        <v>827</v>
      </c>
      <c r="D794" s="67" t="s">
        <v>1260</v>
      </c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>
      <c r="A795" s="65">
        <v>45899.0</v>
      </c>
      <c r="B795" s="66" t="s">
        <v>812</v>
      </c>
      <c r="C795" s="67" t="s">
        <v>1408</v>
      </c>
      <c r="D795" s="67" t="s">
        <v>1416</v>
      </c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>
      <c r="A796" s="65">
        <v>45903.0</v>
      </c>
      <c r="B796" s="66" t="s">
        <v>811</v>
      </c>
      <c r="C796" s="67" t="s">
        <v>1417</v>
      </c>
      <c r="D796" s="68" t="s">
        <v>827</v>
      </c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>
      <c r="A797" s="65">
        <v>45903.0</v>
      </c>
      <c r="B797" s="66" t="s">
        <v>811</v>
      </c>
      <c r="C797" s="67" t="s">
        <v>1417</v>
      </c>
      <c r="D797" s="68" t="s">
        <v>827</v>
      </c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>
      <c r="A798" s="65">
        <v>45903.0</v>
      </c>
      <c r="B798" s="66" t="s">
        <v>811</v>
      </c>
      <c r="C798" s="67" t="s">
        <v>1418</v>
      </c>
      <c r="D798" s="68" t="s">
        <v>827</v>
      </c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>
      <c r="A799" s="65">
        <v>45903.0</v>
      </c>
      <c r="B799" s="66" t="s">
        <v>811</v>
      </c>
      <c r="C799" s="67" t="s">
        <v>1419</v>
      </c>
      <c r="D799" s="68" t="s">
        <v>827</v>
      </c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>
      <c r="A800" s="65">
        <v>45903.0</v>
      </c>
      <c r="B800" s="66" t="s">
        <v>811</v>
      </c>
      <c r="C800" s="67" t="s">
        <v>1420</v>
      </c>
      <c r="D800" s="68" t="s">
        <v>827</v>
      </c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>
      <c r="A801" s="65">
        <v>45903.0</v>
      </c>
      <c r="B801" s="66" t="s">
        <v>811</v>
      </c>
      <c r="C801" s="67" t="s">
        <v>1420</v>
      </c>
      <c r="D801" s="68" t="s">
        <v>827</v>
      </c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>
      <c r="A802" s="65">
        <v>45903.0</v>
      </c>
      <c r="B802" s="66" t="s">
        <v>811</v>
      </c>
      <c r="C802" s="67" t="s">
        <v>1421</v>
      </c>
      <c r="D802" s="68" t="s">
        <v>827</v>
      </c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>
      <c r="A803" s="65">
        <v>45903.0</v>
      </c>
      <c r="B803" s="66" t="s">
        <v>811</v>
      </c>
      <c r="C803" s="67" t="s">
        <v>1421</v>
      </c>
      <c r="D803" s="68" t="s">
        <v>827</v>
      </c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>
      <c r="A804" s="65">
        <v>45903.0</v>
      </c>
      <c r="B804" s="66" t="s">
        <v>811</v>
      </c>
      <c r="C804" s="67" t="s">
        <v>1161</v>
      </c>
      <c r="D804" s="68" t="s">
        <v>827</v>
      </c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>
      <c r="A805" s="65">
        <v>45903.0</v>
      </c>
      <c r="B805" s="66" t="s">
        <v>811</v>
      </c>
      <c r="C805" s="67" t="s">
        <v>1161</v>
      </c>
      <c r="D805" s="68" t="s">
        <v>827</v>
      </c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>
      <c r="A806" s="65">
        <v>45903.0</v>
      </c>
      <c r="B806" s="66" t="s">
        <v>811</v>
      </c>
      <c r="C806" s="67" t="s">
        <v>1422</v>
      </c>
      <c r="D806" s="68" t="s">
        <v>827</v>
      </c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>
      <c r="A807" s="65">
        <v>45903.0</v>
      </c>
      <c r="B807" s="66" t="s">
        <v>811</v>
      </c>
      <c r="C807" s="67" t="s">
        <v>1422</v>
      </c>
      <c r="D807" s="68" t="s">
        <v>827</v>
      </c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>
      <c r="A808" s="65">
        <v>45903.0</v>
      </c>
      <c r="B808" s="66" t="s">
        <v>811</v>
      </c>
      <c r="C808" s="67" t="s">
        <v>1423</v>
      </c>
      <c r="D808" s="68" t="s">
        <v>827</v>
      </c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>
      <c r="A809" s="65">
        <v>45903.0</v>
      </c>
      <c r="B809" s="66" t="s">
        <v>811</v>
      </c>
      <c r="C809" s="67" t="s">
        <v>1423</v>
      </c>
      <c r="D809" s="68" t="s">
        <v>827</v>
      </c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>
      <c r="A810" s="65">
        <v>45906.0</v>
      </c>
      <c r="B810" s="66" t="s">
        <v>810</v>
      </c>
      <c r="C810" s="67" t="s">
        <v>1424</v>
      </c>
      <c r="D810" s="68" t="s">
        <v>827</v>
      </c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>
      <c r="A811" s="65">
        <v>45906.0</v>
      </c>
      <c r="B811" s="66" t="s">
        <v>810</v>
      </c>
      <c r="C811" s="67" t="s">
        <v>1425</v>
      </c>
      <c r="D811" s="68" t="s">
        <v>827</v>
      </c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>
      <c r="A812" s="65">
        <v>45906.0</v>
      </c>
      <c r="B812" s="66" t="s">
        <v>810</v>
      </c>
      <c r="C812" s="67" t="s">
        <v>1425</v>
      </c>
      <c r="D812" s="68" t="s">
        <v>827</v>
      </c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>
      <c r="A813" s="65">
        <v>45906.0</v>
      </c>
      <c r="B813" s="66" t="s">
        <v>812</v>
      </c>
      <c r="C813" s="67" t="s">
        <v>1426</v>
      </c>
      <c r="D813" s="68" t="s">
        <v>827</v>
      </c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>
      <c r="A814" s="65">
        <v>45906.0</v>
      </c>
      <c r="B814" s="66" t="s">
        <v>812</v>
      </c>
      <c r="C814" s="67" t="s">
        <v>1426</v>
      </c>
      <c r="D814" s="67" t="s">
        <v>1427</v>
      </c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>
      <c r="A815" s="65">
        <v>45906.0</v>
      </c>
      <c r="B815" s="66" t="s">
        <v>812</v>
      </c>
      <c r="C815" s="67" t="s">
        <v>1426</v>
      </c>
      <c r="D815" s="67" t="s">
        <v>1427</v>
      </c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>
      <c r="A816" s="65">
        <v>45906.0</v>
      </c>
      <c r="B816" s="66" t="s">
        <v>812</v>
      </c>
      <c r="C816" s="67" t="s">
        <v>1428</v>
      </c>
      <c r="D816" s="67" t="s">
        <v>1429</v>
      </c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>
      <c r="A817" s="65">
        <v>45906.0</v>
      </c>
      <c r="B817" s="66" t="s">
        <v>812</v>
      </c>
      <c r="C817" s="67" t="s">
        <v>1430</v>
      </c>
      <c r="D817" s="67" t="s">
        <v>952</v>
      </c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>
      <c r="A818" s="65">
        <v>45906.0</v>
      </c>
      <c r="B818" s="66" t="s">
        <v>812</v>
      </c>
      <c r="C818" s="67" t="s">
        <v>1430</v>
      </c>
      <c r="D818" s="67" t="s">
        <v>952</v>
      </c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>
      <c r="A819" s="65">
        <v>45906.0</v>
      </c>
      <c r="B819" s="66" t="s">
        <v>812</v>
      </c>
      <c r="C819" s="67" t="s">
        <v>1431</v>
      </c>
      <c r="D819" s="68" t="s">
        <v>827</v>
      </c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>
      <c r="A820" s="65">
        <v>45906.0</v>
      </c>
      <c r="B820" s="66" t="s">
        <v>812</v>
      </c>
      <c r="C820" s="67" t="s">
        <v>1432</v>
      </c>
      <c r="D820" s="67" t="s">
        <v>1433</v>
      </c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>
      <c r="A821" s="65">
        <v>45906.0</v>
      </c>
      <c r="B821" s="66" t="s">
        <v>812</v>
      </c>
      <c r="C821" s="67" t="s">
        <v>1432</v>
      </c>
      <c r="D821" s="67" t="s">
        <v>1433</v>
      </c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>
      <c r="A822" s="65">
        <v>45906.0</v>
      </c>
      <c r="B822" s="66" t="s">
        <v>812</v>
      </c>
      <c r="C822" s="67" t="s">
        <v>1432</v>
      </c>
      <c r="D822" s="67" t="s">
        <v>1433</v>
      </c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>
      <c r="A823" s="65">
        <v>45906.0</v>
      </c>
      <c r="B823" s="66" t="s">
        <v>812</v>
      </c>
      <c r="C823" s="67" t="s">
        <v>1434</v>
      </c>
      <c r="D823" s="68" t="s">
        <v>827</v>
      </c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>
      <c r="A824" s="65">
        <v>45906.0</v>
      </c>
      <c r="B824" s="66" t="s">
        <v>812</v>
      </c>
      <c r="C824" s="67" t="s">
        <v>1435</v>
      </c>
      <c r="D824" s="68" t="s">
        <v>827</v>
      </c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>
      <c r="A825" s="65">
        <v>45906.0</v>
      </c>
      <c r="B825" s="66" t="s">
        <v>812</v>
      </c>
      <c r="C825" s="67" t="s">
        <v>1435</v>
      </c>
      <c r="D825" s="68" t="s">
        <v>827</v>
      </c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>
      <c r="A826" s="65">
        <v>45906.0</v>
      </c>
      <c r="B826" s="66" t="s">
        <v>812</v>
      </c>
      <c r="C826" s="67" t="s">
        <v>1436</v>
      </c>
      <c r="D826" s="68" t="s">
        <v>827</v>
      </c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>
      <c r="A827" s="65">
        <v>45906.0</v>
      </c>
      <c r="B827" s="66" t="s">
        <v>812</v>
      </c>
      <c r="C827" s="67" t="s">
        <v>1437</v>
      </c>
      <c r="D827" s="68" t="s">
        <v>827</v>
      </c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>
      <c r="A828" s="65">
        <v>45906.0</v>
      </c>
      <c r="B828" s="66" t="s">
        <v>812</v>
      </c>
      <c r="C828" s="67" t="s">
        <v>1437</v>
      </c>
      <c r="D828" s="68" t="s">
        <v>827</v>
      </c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>
      <c r="A829" s="65">
        <v>45906.0</v>
      </c>
      <c r="B829" s="66" t="s">
        <v>812</v>
      </c>
      <c r="C829" s="67" t="s">
        <v>1437</v>
      </c>
      <c r="D829" s="68" t="s">
        <v>827</v>
      </c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>
      <c r="A830" s="65">
        <v>45910.0</v>
      </c>
      <c r="B830" s="66" t="s">
        <v>811</v>
      </c>
      <c r="C830" s="67" t="s">
        <v>1438</v>
      </c>
      <c r="D830" s="68" t="s">
        <v>827</v>
      </c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>
      <c r="A831" s="65">
        <v>45910.0</v>
      </c>
      <c r="B831" s="66" t="s">
        <v>811</v>
      </c>
      <c r="C831" s="67" t="s">
        <v>1439</v>
      </c>
      <c r="D831" s="68" t="s">
        <v>827</v>
      </c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>
      <c r="A832" s="65">
        <v>45910.0</v>
      </c>
      <c r="B832" s="66" t="s">
        <v>811</v>
      </c>
      <c r="C832" s="67" t="s">
        <v>1439</v>
      </c>
      <c r="D832" s="67" t="s">
        <v>999</v>
      </c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>
      <c r="A833" s="65">
        <v>45910.0</v>
      </c>
      <c r="B833" s="66" t="s">
        <v>810</v>
      </c>
      <c r="C833" s="67" t="s">
        <v>1440</v>
      </c>
      <c r="D833" s="68" t="s">
        <v>827</v>
      </c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>
      <c r="A834" s="65">
        <v>45910.0</v>
      </c>
      <c r="B834" s="66" t="s">
        <v>810</v>
      </c>
      <c r="C834" s="67" t="s">
        <v>1441</v>
      </c>
      <c r="D834" s="68" t="s">
        <v>827</v>
      </c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>
      <c r="A835" s="65">
        <v>45910.0</v>
      </c>
      <c r="B835" s="66" t="s">
        <v>811</v>
      </c>
      <c r="C835" s="67" t="s">
        <v>995</v>
      </c>
      <c r="D835" s="68" t="s">
        <v>827</v>
      </c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>
      <c r="A836" s="65">
        <v>45910.0</v>
      </c>
      <c r="B836" s="66" t="s">
        <v>811</v>
      </c>
      <c r="C836" s="67" t="s">
        <v>1442</v>
      </c>
      <c r="D836" s="68" t="s">
        <v>827</v>
      </c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>
      <c r="A837" s="65">
        <v>45910.0</v>
      </c>
      <c r="B837" s="66" t="s">
        <v>811</v>
      </c>
      <c r="C837" s="67" t="s">
        <v>1443</v>
      </c>
      <c r="D837" s="68" t="s">
        <v>827</v>
      </c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>
      <c r="A838" s="65">
        <v>45910.0</v>
      </c>
      <c r="B838" s="66" t="s">
        <v>811</v>
      </c>
      <c r="C838" s="67" t="s">
        <v>1444</v>
      </c>
      <c r="D838" s="68" t="s">
        <v>827</v>
      </c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>
      <c r="A839" s="65">
        <v>45910.0</v>
      </c>
      <c r="B839" s="66" t="s">
        <v>811</v>
      </c>
      <c r="C839" s="67" t="s">
        <v>1444</v>
      </c>
      <c r="D839" s="68" t="s">
        <v>827</v>
      </c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>
      <c r="A840" s="65">
        <v>45911.0</v>
      </c>
      <c r="B840" s="66" t="s">
        <v>811</v>
      </c>
      <c r="C840" s="67" t="s">
        <v>1445</v>
      </c>
      <c r="D840" s="68" t="s">
        <v>827</v>
      </c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>
      <c r="A841" s="65">
        <v>45911.0</v>
      </c>
      <c r="B841" s="66" t="s">
        <v>811</v>
      </c>
      <c r="C841" s="67" t="s">
        <v>1445</v>
      </c>
      <c r="D841" s="68" t="s">
        <v>827</v>
      </c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>
      <c r="A842" s="65">
        <v>45910.0</v>
      </c>
      <c r="B842" s="66" t="s">
        <v>811</v>
      </c>
      <c r="C842" s="67" t="s">
        <v>1445</v>
      </c>
      <c r="D842" s="68" t="s">
        <v>827</v>
      </c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>
      <c r="A843" s="65">
        <v>45911.0</v>
      </c>
      <c r="B843" s="66" t="s">
        <v>811</v>
      </c>
      <c r="C843" s="67" t="s">
        <v>1441</v>
      </c>
      <c r="D843" s="68" t="s">
        <v>827</v>
      </c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>
      <c r="A844" s="65">
        <v>45911.0</v>
      </c>
      <c r="B844" s="66" t="s">
        <v>811</v>
      </c>
      <c r="C844" s="67" t="s">
        <v>1441</v>
      </c>
      <c r="D844" s="68" t="s">
        <v>827</v>
      </c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>
      <c r="A845" s="65">
        <v>45911.0</v>
      </c>
      <c r="B845" s="66" t="s">
        <v>811</v>
      </c>
      <c r="C845" s="67" t="s">
        <v>1441</v>
      </c>
      <c r="D845" s="68" t="s">
        <v>827</v>
      </c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>
      <c r="A846" s="65">
        <v>45911.0</v>
      </c>
      <c r="B846" s="66" t="s">
        <v>811</v>
      </c>
      <c r="C846" s="67" t="s">
        <v>1441</v>
      </c>
      <c r="D846" s="68" t="s">
        <v>827</v>
      </c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>
      <c r="A847" s="65">
        <v>45910.0</v>
      </c>
      <c r="B847" s="66" t="s">
        <v>811</v>
      </c>
      <c r="C847" s="67" t="s">
        <v>1441</v>
      </c>
      <c r="D847" s="68" t="s">
        <v>827</v>
      </c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>
      <c r="A848" s="65">
        <v>45910.0</v>
      </c>
      <c r="B848" s="66" t="s">
        <v>810</v>
      </c>
      <c r="C848" s="67" t="s">
        <v>1440</v>
      </c>
      <c r="D848" s="68" t="s">
        <v>827</v>
      </c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>
      <c r="A849" s="65">
        <v>45910.0</v>
      </c>
      <c r="B849" s="66" t="s">
        <v>811</v>
      </c>
      <c r="C849" s="67" t="s">
        <v>1441</v>
      </c>
      <c r="D849" s="68" t="s">
        <v>827</v>
      </c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>
      <c r="A850" s="65">
        <v>45910.0</v>
      </c>
      <c r="B850" s="66" t="s">
        <v>811</v>
      </c>
      <c r="C850" s="67" t="s">
        <v>1440</v>
      </c>
      <c r="D850" s="68" t="s">
        <v>827</v>
      </c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>
      <c r="A851" s="65">
        <v>45913.0</v>
      </c>
      <c r="B851" s="66" t="s">
        <v>810</v>
      </c>
      <c r="C851" s="67" t="s">
        <v>1446</v>
      </c>
      <c r="D851" s="68" t="s">
        <v>827</v>
      </c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>
      <c r="A852" s="65">
        <v>45913.0</v>
      </c>
      <c r="B852" s="66" t="s">
        <v>810</v>
      </c>
      <c r="C852" s="67" t="s">
        <v>1446</v>
      </c>
      <c r="D852" s="68" t="s">
        <v>827</v>
      </c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>
      <c r="A853" s="65">
        <v>45913.0</v>
      </c>
      <c r="B853" s="66" t="s">
        <v>810</v>
      </c>
      <c r="C853" s="67" t="s">
        <v>1447</v>
      </c>
      <c r="D853" s="68" t="s">
        <v>827</v>
      </c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>
      <c r="A854" s="65">
        <v>45913.0</v>
      </c>
      <c r="B854" s="66" t="s">
        <v>810</v>
      </c>
      <c r="C854" s="67" t="s">
        <v>1448</v>
      </c>
      <c r="D854" s="67" t="s">
        <v>1449</v>
      </c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>
      <c r="A855" s="65">
        <v>45913.0</v>
      </c>
      <c r="B855" s="66" t="s">
        <v>810</v>
      </c>
      <c r="C855" s="67" t="s">
        <v>1450</v>
      </c>
      <c r="D855" s="68" t="s">
        <v>827</v>
      </c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>
      <c r="A856" s="65">
        <v>45913.0</v>
      </c>
      <c r="B856" s="66" t="s">
        <v>810</v>
      </c>
      <c r="C856" s="67" t="s">
        <v>1450</v>
      </c>
      <c r="D856" s="68" t="s">
        <v>827</v>
      </c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>
      <c r="A857" s="65">
        <v>45913.0</v>
      </c>
      <c r="B857" s="66" t="s">
        <v>810</v>
      </c>
      <c r="C857" s="67" t="s">
        <v>1451</v>
      </c>
      <c r="D857" s="68" t="s">
        <v>827</v>
      </c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>
      <c r="A858" s="65">
        <v>45913.0</v>
      </c>
      <c r="B858" s="66" t="s">
        <v>810</v>
      </c>
      <c r="C858" s="67" t="s">
        <v>1448</v>
      </c>
      <c r="D858" s="67" t="s">
        <v>1452</v>
      </c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>
      <c r="A859" s="65">
        <v>45913.0</v>
      </c>
      <c r="B859" s="66" t="s">
        <v>810</v>
      </c>
      <c r="C859" s="67" t="s">
        <v>1448</v>
      </c>
      <c r="D859" s="67" t="s">
        <v>1452</v>
      </c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>
      <c r="A860" s="65">
        <v>45913.0</v>
      </c>
      <c r="B860" s="66" t="s">
        <v>810</v>
      </c>
      <c r="C860" s="67" t="s">
        <v>1448</v>
      </c>
      <c r="D860" s="67" t="s">
        <v>1452</v>
      </c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>
      <c r="A861" s="65">
        <v>45913.0</v>
      </c>
      <c r="B861" s="66" t="s">
        <v>810</v>
      </c>
      <c r="C861" s="67" t="s">
        <v>1453</v>
      </c>
      <c r="D861" s="67" t="s">
        <v>1454</v>
      </c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>
      <c r="A862" s="65">
        <v>45913.0</v>
      </c>
      <c r="B862" s="66" t="s">
        <v>810</v>
      </c>
      <c r="C862" s="67" t="s">
        <v>1455</v>
      </c>
      <c r="D862" s="67" t="s">
        <v>1454</v>
      </c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>
      <c r="A863" s="65">
        <v>45913.0</v>
      </c>
      <c r="B863" s="66" t="s">
        <v>810</v>
      </c>
      <c r="C863" s="67" t="s">
        <v>1455</v>
      </c>
      <c r="D863" s="68" t="s">
        <v>827</v>
      </c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>
      <c r="A864" s="65">
        <v>45913.0</v>
      </c>
      <c r="B864" s="66" t="s">
        <v>810</v>
      </c>
      <c r="C864" s="67" t="s">
        <v>1456</v>
      </c>
      <c r="D864" s="68" t="s">
        <v>827</v>
      </c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>
      <c r="A865" s="65">
        <v>45913.0</v>
      </c>
      <c r="B865" s="66" t="s">
        <v>810</v>
      </c>
      <c r="C865" s="67" t="s">
        <v>1456</v>
      </c>
      <c r="D865" s="68" t="s">
        <v>827</v>
      </c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>
      <c r="A866" s="65">
        <v>45913.0</v>
      </c>
      <c r="B866" s="66" t="s">
        <v>810</v>
      </c>
      <c r="C866" s="68" t="s">
        <v>827</v>
      </c>
      <c r="D866" s="67" t="s">
        <v>1457</v>
      </c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>
      <c r="A867" s="65">
        <v>45913.0</v>
      </c>
      <c r="B867" s="66" t="s">
        <v>810</v>
      </c>
      <c r="C867" s="68" t="s">
        <v>827</v>
      </c>
      <c r="D867" s="67" t="s">
        <v>1457</v>
      </c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>
      <c r="A868" s="65">
        <v>45913.0</v>
      </c>
      <c r="B868" s="66" t="s">
        <v>812</v>
      </c>
      <c r="C868" s="67" t="s">
        <v>1458</v>
      </c>
      <c r="D868" s="68" t="s">
        <v>827</v>
      </c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>
      <c r="A869" s="65">
        <v>45913.0</v>
      </c>
      <c r="B869" s="66" t="s">
        <v>810</v>
      </c>
      <c r="C869" s="68" t="s">
        <v>827</v>
      </c>
      <c r="D869" s="67" t="s">
        <v>971</v>
      </c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>
      <c r="A870" s="65">
        <v>45913.0</v>
      </c>
      <c r="B870" s="66" t="s">
        <v>812</v>
      </c>
      <c r="C870" s="67" t="s">
        <v>1459</v>
      </c>
      <c r="D870" s="68" t="s">
        <v>827</v>
      </c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>
      <c r="A871" s="65">
        <v>45913.0</v>
      </c>
      <c r="B871" s="66" t="s">
        <v>812</v>
      </c>
      <c r="C871" s="67" t="s">
        <v>1460</v>
      </c>
      <c r="D871" s="68" t="s">
        <v>827</v>
      </c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>
      <c r="A872" s="65">
        <v>45913.0</v>
      </c>
      <c r="B872" s="66" t="s">
        <v>810</v>
      </c>
      <c r="C872" s="67" t="s">
        <v>1461</v>
      </c>
      <c r="D872" s="68" t="s">
        <v>827</v>
      </c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>
      <c r="A873" s="65">
        <v>45913.0</v>
      </c>
      <c r="B873" s="66" t="s">
        <v>812</v>
      </c>
      <c r="C873" s="67" t="s">
        <v>1462</v>
      </c>
      <c r="D873" s="68" t="s">
        <v>827</v>
      </c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>
      <c r="A874" s="65">
        <v>45913.0</v>
      </c>
      <c r="B874" s="66" t="s">
        <v>810</v>
      </c>
      <c r="C874" s="67" t="s">
        <v>1462</v>
      </c>
      <c r="D874" s="68" t="s">
        <v>827</v>
      </c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>
      <c r="A875" s="65">
        <v>45913.0</v>
      </c>
      <c r="B875" s="66" t="s">
        <v>812</v>
      </c>
      <c r="C875" s="67" t="s">
        <v>1463</v>
      </c>
      <c r="D875" s="68" t="s">
        <v>827</v>
      </c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>
      <c r="A876" s="65">
        <v>45913.0</v>
      </c>
      <c r="B876" s="66" t="s">
        <v>812</v>
      </c>
      <c r="C876" s="67" t="s">
        <v>1464</v>
      </c>
      <c r="D876" s="68" t="s">
        <v>827</v>
      </c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>
      <c r="A877" s="65">
        <v>45913.0</v>
      </c>
      <c r="B877" s="66" t="s">
        <v>812</v>
      </c>
      <c r="C877" s="67" t="s">
        <v>1465</v>
      </c>
      <c r="D877" s="68" t="s">
        <v>827</v>
      </c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>
      <c r="A878" s="65">
        <v>45913.0</v>
      </c>
      <c r="B878" s="66" t="s">
        <v>812</v>
      </c>
      <c r="C878" s="67" t="s">
        <v>1466</v>
      </c>
      <c r="D878" s="68" t="s">
        <v>827</v>
      </c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>
      <c r="A879" s="65">
        <v>45917.0</v>
      </c>
      <c r="B879" s="66" t="s">
        <v>811</v>
      </c>
      <c r="C879" s="67" t="s">
        <v>1467</v>
      </c>
      <c r="D879" s="67" t="s">
        <v>999</v>
      </c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>
      <c r="A880" s="65">
        <v>45917.0</v>
      </c>
      <c r="B880" s="66" t="s">
        <v>811</v>
      </c>
      <c r="C880" s="67" t="s">
        <v>1467</v>
      </c>
      <c r="D880" s="67" t="s">
        <v>999</v>
      </c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>
      <c r="A881" s="65">
        <v>45917.0</v>
      </c>
      <c r="B881" s="66" t="s">
        <v>811</v>
      </c>
      <c r="C881" s="67" t="s">
        <v>1468</v>
      </c>
      <c r="D881" s="68" t="s">
        <v>827</v>
      </c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>
      <c r="A882" s="65">
        <v>45917.0</v>
      </c>
      <c r="B882" s="66" t="s">
        <v>811</v>
      </c>
      <c r="C882" s="67" t="s">
        <v>1469</v>
      </c>
      <c r="D882" s="67" t="s">
        <v>1410</v>
      </c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>
      <c r="A883" s="65">
        <v>45917.0</v>
      </c>
      <c r="B883" s="66" t="s">
        <v>811</v>
      </c>
      <c r="C883" s="67" t="s">
        <v>1470</v>
      </c>
      <c r="D883" s="68" t="s">
        <v>827</v>
      </c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>
      <c r="A884" s="65">
        <v>45917.0</v>
      </c>
      <c r="B884" s="66" t="s">
        <v>811</v>
      </c>
      <c r="C884" s="67" t="s">
        <v>1469</v>
      </c>
      <c r="D884" s="67" t="s">
        <v>1410</v>
      </c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>
      <c r="A885" s="65">
        <v>45917.0</v>
      </c>
      <c r="B885" s="66" t="s">
        <v>811</v>
      </c>
      <c r="C885" s="67" t="s">
        <v>1469</v>
      </c>
      <c r="D885" s="67" t="s">
        <v>1410</v>
      </c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>
      <c r="A886" s="65">
        <v>45917.0</v>
      </c>
      <c r="B886" s="66" t="s">
        <v>811</v>
      </c>
      <c r="C886" s="67" t="s">
        <v>1469</v>
      </c>
      <c r="D886" s="67" t="s">
        <v>1410</v>
      </c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>
      <c r="A887" s="65">
        <v>45917.0</v>
      </c>
      <c r="B887" s="66" t="s">
        <v>811</v>
      </c>
      <c r="C887" s="67" t="s">
        <v>1471</v>
      </c>
      <c r="D887" s="68" t="s">
        <v>827</v>
      </c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>
      <c r="A888" s="65">
        <v>45917.0</v>
      </c>
      <c r="B888" s="66" t="s">
        <v>811</v>
      </c>
      <c r="C888" s="67" t="s">
        <v>1472</v>
      </c>
      <c r="D888" s="68" t="s">
        <v>827</v>
      </c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>
      <c r="A889" s="65">
        <v>45917.0</v>
      </c>
      <c r="B889" s="66" t="s">
        <v>811</v>
      </c>
      <c r="C889" s="67" t="s">
        <v>1472</v>
      </c>
      <c r="D889" s="68" t="s">
        <v>827</v>
      </c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>
      <c r="A890" s="65">
        <v>45917.0</v>
      </c>
      <c r="B890" s="66" t="s">
        <v>811</v>
      </c>
      <c r="C890" s="67" t="s">
        <v>1467</v>
      </c>
      <c r="D890" s="67" t="s">
        <v>1473</v>
      </c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>
      <c r="A891" s="65">
        <v>45917.0</v>
      </c>
      <c r="B891" s="66" t="s">
        <v>811</v>
      </c>
      <c r="C891" s="67" t="s">
        <v>1474</v>
      </c>
      <c r="D891" s="68" t="s">
        <v>827</v>
      </c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>
      <c r="A892" s="65">
        <v>45917.0</v>
      </c>
      <c r="B892" s="66" t="s">
        <v>811</v>
      </c>
      <c r="C892" s="67" t="s">
        <v>1467</v>
      </c>
      <c r="D892" s="67" t="s">
        <v>1473</v>
      </c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>
      <c r="A893" s="65">
        <v>45917.0</v>
      </c>
      <c r="B893" s="66" t="s">
        <v>811</v>
      </c>
      <c r="C893" s="67" t="s">
        <v>1475</v>
      </c>
      <c r="D893" s="68" t="s">
        <v>827</v>
      </c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>
      <c r="A894" s="65">
        <v>45917.0</v>
      </c>
      <c r="B894" s="66" t="s">
        <v>811</v>
      </c>
      <c r="C894" s="67" t="s">
        <v>1475</v>
      </c>
      <c r="D894" s="68" t="s">
        <v>827</v>
      </c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>
      <c r="A895" s="65">
        <v>45917.0</v>
      </c>
      <c r="B895" s="66" t="s">
        <v>811</v>
      </c>
      <c r="C895" s="67" t="s">
        <v>1475</v>
      </c>
      <c r="D895" s="68" t="s">
        <v>827</v>
      </c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>
      <c r="A896" s="65">
        <v>45917.0</v>
      </c>
      <c r="B896" s="66" t="s">
        <v>811</v>
      </c>
      <c r="C896" s="67" t="s">
        <v>1470</v>
      </c>
      <c r="D896" s="68" t="s">
        <v>827</v>
      </c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>
      <c r="A897" s="65">
        <v>45917.0</v>
      </c>
      <c r="B897" s="66" t="s">
        <v>811</v>
      </c>
      <c r="C897" s="67" t="s">
        <v>1476</v>
      </c>
      <c r="D897" s="68" t="s">
        <v>827</v>
      </c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>
      <c r="A898" s="65">
        <v>45917.0</v>
      </c>
      <c r="B898" s="66" t="s">
        <v>811</v>
      </c>
      <c r="C898" s="67" t="s">
        <v>1476</v>
      </c>
      <c r="D898" s="68" t="s">
        <v>827</v>
      </c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>
      <c r="A899" s="65">
        <v>45920.0</v>
      </c>
      <c r="B899" s="66" t="s">
        <v>810</v>
      </c>
      <c r="C899" s="67" t="s">
        <v>1477</v>
      </c>
      <c r="D899" s="67" t="s">
        <v>1478</v>
      </c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>
      <c r="A900" s="65">
        <v>45920.0</v>
      </c>
      <c r="B900" s="66" t="s">
        <v>810</v>
      </c>
      <c r="C900" s="67" t="s">
        <v>1477</v>
      </c>
      <c r="D900" s="67" t="s">
        <v>1478</v>
      </c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>
      <c r="A901" s="65">
        <v>45920.0</v>
      </c>
      <c r="B901" s="66" t="s">
        <v>810</v>
      </c>
      <c r="C901" s="67" t="s">
        <v>1477</v>
      </c>
      <c r="D901" s="67" t="s">
        <v>1478</v>
      </c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>
      <c r="A902" s="65">
        <v>45920.0</v>
      </c>
      <c r="B902" s="66" t="s">
        <v>810</v>
      </c>
      <c r="C902" s="67" t="s">
        <v>1477</v>
      </c>
      <c r="D902" s="67" t="s">
        <v>1478</v>
      </c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>
      <c r="A903" s="65">
        <v>45920.0</v>
      </c>
      <c r="B903" s="66" t="s">
        <v>810</v>
      </c>
      <c r="C903" s="67" t="s">
        <v>1477</v>
      </c>
      <c r="D903" s="67" t="s">
        <v>1479</v>
      </c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>
      <c r="A904" s="65">
        <v>45920.0</v>
      </c>
      <c r="B904" s="66" t="s">
        <v>810</v>
      </c>
      <c r="C904" s="67" t="s">
        <v>1477</v>
      </c>
      <c r="D904" s="67" t="s">
        <v>1479</v>
      </c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>
      <c r="A905" s="65">
        <v>45920.0</v>
      </c>
      <c r="B905" s="66" t="s">
        <v>810</v>
      </c>
      <c r="C905" s="67" t="s">
        <v>1480</v>
      </c>
      <c r="D905" s="68" t="s">
        <v>827</v>
      </c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>
      <c r="A906" s="65">
        <v>45920.0</v>
      </c>
      <c r="B906" s="66" t="s">
        <v>810</v>
      </c>
      <c r="C906" s="67" t="s">
        <v>1481</v>
      </c>
      <c r="D906" s="68" t="s">
        <v>827</v>
      </c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>
      <c r="A907" s="65">
        <v>45920.0</v>
      </c>
      <c r="B907" s="66" t="s">
        <v>810</v>
      </c>
      <c r="C907" s="67" t="s">
        <v>1481</v>
      </c>
      <c r="D907" s="68" t="s">
        <v>827</v>
      </c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>
      <c r="A908" s="65">
        <v>45920.0</v>
      </c>
      <c r="B908" s="66" t="s">
        <v>810</v>
      </c>
      <c r="C908" s="67" t="s">
        <v>1482</v>
      </c>
      <c r="D908" s="68" t="s">
        <v>827</v>
      </c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>
      <c r="A909" s="65">
        <v>45920.0</v>
      </c>
      <c r="B909" s="66" t="s">
        <v>810</v>
      </c>
      <c r="C909" s="67" t="s">
        <v>1482</v>
      </c>
      <c r="D909" s="68" t="s">
        <v>827</v>
      </c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>
      <c r="A910" s="65">
        <v>45920.0</v>
      </c>
      <c r="B910" s="66" t="s">
        <v>810</v>
      </c>
      <c r="C910" s="67" t="s">
        <v>1482</v>
      </c>
      <c r="D910" s="68" t="s">
        <v>827</v>
      </c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>
      <c r="A911" s="65">
        <v>45920.0</v>
      </c>
      <c r="B911" s="66" t="s">
        <v>810</v>
      </c>
      <c r="C911" s="67" t="s">
        <v>1482</v>
      </c>
      <c r="D911" s="68" t="s">
        <v>827</v>
      </c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>
      <c r="A912" s="65">
        <v>45920.0</v>
      </c>
      <c r="B912" s="66" t="s">
        <v>810</v>
      </c>
      <c r="C912" s="67" t="s">
        <v>1483</v>
      </c>
      <c r="D912" s="68" t="s">
        <v>827</v>
      </c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>
      <c r="A913" s="65">
        <v>45920.0</v>
      </c>
      <c r="B913" s="66" t="s">
        <v>810</v>
      </c>
      <c r="C913" s="67" t="s">
        <v>1483</v>
      </c>
      <c r="D913" s="68" t="s">
        <v>827</v>
      </c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>
      <c r="A914" s="65">
        <v>45920.0</v>
      </c>
      <c r="B914" s="66" t="s">
        <v>810</v>
      </c>
      <c r="C914" s="67" t="s">
        <v>1484</v>
      </c>
      <c r="D914" s="68" t="s">
        <v>827</v>
      </c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>
      <c r="A915" s="65">
        <v>45920.0</v>
      </c>
      <c r="B915" s="66" t="s">
        <v>810</v>
      </c>
      <c r="C915" s="67" t="s">
        <v>1363</v>
      </c>
      <c r="D915" s="68" t="s">
        <v>827</v>
      </c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>
      <c r="A916" s="65">
        <v>45920.0</v>
      </c>
      <c r="B916" s="66" t="s">
        <v>810</v>
      </c>
      <c r="C916" s="67" t="s">
        <v>1485</v>
      </c>
      <c r="D916" s="68" t="s">
        <v>827</v>
      </c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>
      <c r="A917" s="65">
        <v>45920.0</v>
      </c>
      <c r="B917" s="66" t="s">
        <v>810</v>
      </c>
      <c r="C917" s="67" t="s">
        <v>1486</v>
      </c>
      <c r="D917" s="68" t="s">
        <v>827</v>
      </c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>
      <c r="A918" s="65">
        <v>45927.0</v>
      </c>
      <c r="B918" s="66" t="s">
        <v>810</v>
      </c>
      <c r="C918" s="67" t="s">
        <v>1487</v>
      </c>
      <c r="D918" s="68" t="s">
        <v>827</v>
      </c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>
      <c r="A919" s="65">
        <v>45927.0</v>
      </c>
      <c r="B919" s="66" t="s">
        <v>810</v>
      </c>
      <c r="C919" s="67" t="s">
        <v>1488</v>
      </c>
      <c r="D919" s="68" t="s">
        <v>827</v>
      </c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>
      <c r="A920" s="65">
        <v>45927.0</v>
      </c>
      <c r="B920" s="66" t="s">
        <v>810</v>
      </c>
      <c r="C920" s="67" t="s">
        <v>1489</v>
      </c>
      <c r="D920" s="68" t="s">
        <v>827</v>
      </c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>
      <c r="A921" s="65">
        <v>45927.0</v>
      </c>
      <c r="B921" s="66" t="s">
        <v>810</v>
      </c>
      <c r="C921" s="67" t="s">
        <v>1490</v>
      </c>
      <c r="D921" s="68" t="s">
        <v>827</v>
      </c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>
      <c r="A922" s="65">
        <v>45927.0</v>
      </c>
      <c r="B922" s="66" t="s">
        <v>810</v>
      </c>
      <c r="C922" s="67" t="s">
        <v>1489</v>
      </c>
      <c r="D922" s="68" t="s">
        <v>827</v>
      </c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>
      <c r="A923" s="65">
        <v>45927.0</v>
      </c>
      <c r="B923" s="66" t="s">
        <v>810</v>
      </c>
      <c r="C923" s="67" t="s">
        <v>1491</v>
      </c>
      <c r="D923" s="68" t="s">
        <v>827</v>
      </c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>
      <c r="A924" s="65">
        <v>45927.0</v>
      </c>
      <c r="B924" s="66" t="s">
        <v>810</v>
      </c>
      <c r="C924" s="67" t="s">
        <v>1492</v>
      </c>
      <c r="D924" s="68" t="s">
        <v>827</v>
      </c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>
      <c r="A925" s="65">
        <v>45927.0</v>
      </c>
      <c r="B925" s="66" t="s">
        <v>810</v>
      </c>
      <c r="C925" s="67" t="s">
        <v>1492</v>
      </c>
      <c r="D925" s="68" t="s">
        <v>827</v>
      </c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>
      <c r="A926" s="65">
        <v>45927.0</v>
      </c>
      <c r="B926" s="66" t="s">
        <v>810</v>
      </c>
      <c r="C926" s="67" t="s">
        <v>1492</v>
      </c>
      <c r="D926" s="67" t="s">
        <v>1493</v>
      </c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>
      <c r="A927" s="65">
        <v>45927.0</v>
      </c>
      <c r="B927" s="66" t="s">
        <v>810</v>
      </c>
      <c r="C927" s="67" t="s">
        <v>1492</v>
      </c>
      <c r="D927" s="67" t="s">
        <v>1493</v>
      </c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>
      <c r="A928" s="65">
        <v>45927.0</v>
      </c>
      <c r="B928" s="66" t="s">
        <v>810</v>
      </c>
      <c r="C928" s="67" t="s">
        <v>1492</v>
      </c>
      <c r="D928" s="67" t="s">
        <v>1493</v>
      </c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>
      <c r="A929" s="65">
        <v>45927.0</v>
      </c>
      <c r="B929" s="66" t="s">
        <v>810</v>
      </c>
      <c r="C929" s="67" t="s">
        <v>1494</v>
      </c>
      <c r="D929" s="67" t="s">
        <v>865</v>
      </c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>
      <c r="A930" s="65">
        <v>45927.0</v>
      </c>
      <c r="B930" s="66" t="s">
        <v>810</v>
      </c>
      <c r="C930" s="67" t="s">
        <v>1494</v>
      </c>
      <c r="D930" s="67" t="s">
        <v>865</v>
      </c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>
      <c r="A931" s="65">
        <v>45927.0</v>
      </c>
      <c r="B931" s="66" t="s">
        <v>810</v>
      </c>
      <c r="C931" s="67" t="s">
        <v>1495</v>
      </c>
      <c r="D931" s="68" t="s">
        <v>827</v>
      </c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>
      <c r="A932" s="65">
        <v>45927.0</v>
      </c>
      <c r="B932" s="66" t="s">
        <v>810</v>
      </c>
      <c r="C932" s="68" t="s">
        <v>827</v>
      </c>
      <c r="D932" s="67" t="s">
        <v>959</v>
      </c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>
      <c r="A933" s="65">
        <v>45927.0</v>
      </c>
      <c r="B933" s="66" t="s">
        <v>812</v>
      </c>
      <c r="C933" s="67" t="s">
        <v>1496</v>
      </c>
      <c r="D933" s="68" t="s">
        <v>827</v>
      </c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>
      <c r="A934" s="65">
        <v>45927.0</v>
      </c>
      <c r="B934" s="66" t="s">
        <v>812</v>
      </c>
      <c r="C934" s="67" t="s">
        <v>1497</v>
      </c>
      <c r="D934" s="68" t="s">
        <v>827</v>
      </c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>
      <c r="A935" s="65">
        <v>45927.0</v>
      </c>
      <c r="B935" s="66" t="s">
        <v>812</v>
      </c>
      <c r="C935" s="67" t="s">
        <v>1321</v>
      </c>
      <c r="D935" s="68" t="s">
        <v>827</v>
      </c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>
      <c r="A936" s="65">
        <v>45927.0</v>
      </c>
      <c r="B936" s="66" t="s">
        <v>810</v>
      </c>
      <c r="C936" s="67" t="s">
        <v>1412</v>
      </c>
      <c r="D936" s="68" t="s">
        <v>827</v>
      </c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>
      <c r="A937" s="65">
        <v>45927.0</v>
      </c>
      <c r="B937" s="66" t="s">
        <v>812</v>
      </c>
      <c r="C937" s="67" t="s">
        <v>1498</v>
      </c>
      <c r="D937" s="68" t="s">
        <v>827</v>
      </c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>
      <c r="A938" s="65">
        <v>45927.0</v>
      </c>
      <c r="B938" s="66" t="s">
        <v>812</v>
      </c>
      <c r="C938" s="67" t="s">
        <v>1499</v>
      </c>
      <c r="D938" s="68" t="s">
        <v>827</v>
      </c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>
      <c r="A939" s="65">
        <v>45927.0</v>
      </c>
      <c r="B939" s="66" t="s">
        <v>812</v>
      </c>
      <c r="C939" s="67" t="s">
        <v>1500</v>
      </c>
      <c r="D939" s="68" t="s">
        <v>827</v>
      </c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>
      <c r="A940" s="65">
        <v>45927.0</v>
      </c>
      <c r="B940" s="66" t="s">
        <v>812</v>
      </c>
      <c r="C940" s="67" t="s">
        <v>1500</v>
      </c>
      <c r="D940" s="68" t="s">
        <v>827</v>
      </c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>
      <c r="A941" s="65">
        <v>45927.0</v>
      </c>
      <c r="B941" s="66" t="s">
        <v>812</v>
      </c>
      <c r="C941" s="67" t="s">
        <v>1500</v>
      </c>
      <c r="D941" s="68" t="s">
        <v>827</v>
      </c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>
      <c r="A942" s="65">
        <v>45927.0</v>
      </c>
      <c r="B942" s="66" t="s">
        <v>812</v>
      </c>
      <c r="C942" s="67" t="s">
        <v>1500</v>
      </c>
      <c r="D942" s="68" t="s">
        <v>827</v>
      </c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>
      <c r="A943" s="65">
        <v>45927.0</v>
      </c>
      <c r="B943" s="66" t="s">
        <v>812</v>
      </c>
      <c r="C943" s="67" t="s">
        <v>1501</v>
      </c>
      <c r="D943" s="68" t="s">
        <v>827</v>
      </c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>
      <c r="A944" s="65">
        <v>45927.0</v>
      </c>
      <c r="B944" s="66" t="s">
        <v>812</v>
      </c>
      <c r="C944" s="67" t="s">
        <v>1502</v>
      </c>
      <c r="D944" s="68" t="s">
        <v>827</v>
      </c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>
      <c r="A945" s="65">
        <v>45927.0</v>
      </c>
      <c r="B945" s="66" t="s">
        <v>812</v>
      </c>
      <c r="C945" s="67" t="s">
        <v>1502</v>
      </c>
      <c r="D945" s="68" t="s">
        <v>827</v>
      </c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>
      <c r="A946" s="65">
        <v>45939.0</v>
      </c>
      <c r="B946" s="66" t="s">
        <v>811</v>
      </c>
      <c r="C946" s="67" t="s">
        <v>1503</v>
      </c>
      <c r="D946" s="68" t="s">
        <v>827</v>
      </c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>
      <c r="A947" s="65">
        <v>45939.0</v>
      </c>
      <c r="B947" s="66" t="s">
        <v>811</v>
      </c>
      <c r="C947" s="67" t="s">
        <v>1504</v>
      </c>
      <c r="D947" s="68" t="s">
        <v>827</v>
      </c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>
      <c r="A948" s="65">
        <v>45939.0</v>
      </c>
      <c r="B948" s="66" t="s">
        <v>811</v>
      </c>
      <c r="C948" s="67" t="s">
        <v>1505</v>
      </c>
      <c r="D948" s="68" t="s">
        <v>827</v>
      </c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>
      <c r="A949" s="65">
        <v>45939.0</v>
      </c>
      <c r="B949" s="66" t="s">
        <v>811</v>
      </c>
      <c r="C949" s="67" t="s">
        <v>1506</v>
      </c>
      <c r="D949" s="68" t="s">
        <v>827</v>
      </c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>
      <c r="A950" s="65">
        <v>45939.0</v>
      </c>
      <c r="B950" s="66" t="s">
        <v>811</v>
      </c>
      <c r="C950" s="67" t="s">
        <v>1507</v>
      </c>
      <c r="D950" s="67" t="s">
        <v>1125</v>
      </c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>
      <c r="A951" s="65">
        <v>45939.0</v>
      </c>
      <c r="B951" s="66" t="s">
        <v>811</v>
      </c>
      <c r="C951" s="67" t="s">
        <v>1507</v>
      </c>
      <c r="D951" s="67" t="s">
        <v>1125</v>
      </c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>
      <c r="A952" s="65">
        <v>45939.0</v>
      </c>
      <c r="B952" s="66" t="s">
        <v>811</v>
      </c>
      <c r="C952" s="67" t="s">
        <v>1508</v>
      </c>
      <c r="D952" s="68" t="s">
        <v>827</v>
      </c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>
      <c r="A953" s="65">
        <v>45939.0</v>
      </c>
      <c r="B953" s="66" t="s">
        <v>811</v>
      </c>
      <c r="C953" s="67" t="s">
        <v>1509</v>
      </c>
      <c r="D953" s="68" t="s">
        <v>827</v>
      </c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>
      <c r="A954" s="65">
        <v>45939.0</v>
      </c>
      <c r="B954" s="66" t="s">
        <v>811</v>
      </c>
      <c r="C954" s="67" t="s">
        <v>1510</v>
      </c>
      <c r="D954" s="68" t="s">
        <v>827</v>
      </c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>
      <c r="A955" s="65">
        <v>45938.0</v>
      </c>
      <c r="B955" s="66" t="s">
        <v>811</v>
      </c>
      <c r="C955" s="67" t="s">
        <v>1503</v>
      </c>
      <c r="D955" s="68" t="s">
        <v>827</v>
      </c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>
      <c r="A956" s="65">
        <v>45938.0</v>
      </c>
      <c r="B956" s="66" t="s">
        <v>811</v>
      </c>
      <c r="C956" s="67" t="s">
        <v>1511</v>
      </c>
      <c r="D956" s="68" t="s">
        <v>827</v>
      </c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>
      <c r="A957" s="65">
        <v>45938.0</v>
      </c>
      <c r="B957" s="66" t="s">
        <v>811</v>
      </c>
      <c r="C957" s="67" t="s">
        <v>1512</v>
      </c>
      <c r="D957" s="68" t="s">
        <v>827</v>
      </c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>
      <c r="A958" s="65">
        <v>45938.0</v>
      </c>
      <c r="B958" s="66" t="s">
        <v>811</v>
      </c>
      <c r="C958" s="67" t="s">
        <v>1513</v>
      </c>
      <c r="D958" s="68" t="s">
        <v>827</v>
      </c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>
      <c r="A959" s="65">
        <v>45938.0</v>
      </c>
      <c r="B959" s="66" t="s">
        <v>811</v>
      </c>
      <c r="C959" s="67" t="s">
        <v>1513</v>
      </c>
      <c r="D959" s="68" t="s">
        <v>827</v>
      </c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>
      <c r="A960" s="65">
        <v>45938.0</v>
      </c>
      <c r="B960" s="66" t="s">
        <v>811</v>
      </c>
      <c r="C960" s="67" t="s">
        <v>1514</v>
      </c>
      <c r="D960" s="68" t="s">
        <v>827</v>
      </c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>
      <c r="A961" s="65">
        <v>45938.0</v>
      </c>
      <c r="B961" s="66" t="s">
        <v>811</v>
      </c>
      <c r="C961" s="67" t="s">
        <v>1508</v>
      </c>
      <c r="D961" s="68" t="s">
        <v>827</v>
      </c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>
      <c r="A962" s="65">
        <v>45938.0</v>
      </c>
      <c r="B962" s="66" t="s">
        <v>811</v>
      </c>
      <c r="C962" s="67" t="s">
        <v>1515</v>
      </c>
      <c r="D962" s="68" t="s">
        <v>827</v>
      </c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>
      <c r="A963" s="65">
        <v>45938.0</v>
      </c>
      <c r="B963" s="66" t="s">
        <v>811</v>
      </c>
      <c r="C963" s="67" t="s">
        <v>1516</v>
      </c>
      <c r="D963" s="68" t="s">
        <v>827</v>
      </c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>
      <c r="A964" s="65">
        <v>45938.0</v>
      </c>
      <c r="B964" s="66" t="s">
        <v>811</v>
      </c>
      <c r="C964" s="67" t="s">
        <v>1016</v>
      </c>
      <c r="D964" s="68" t="s">
        <v>827</v>
      </c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>
      <c r="A965" s="65">
        <v>45938.0</v>
      </c>
      <c r="B965" s="66" t="s">
        <v>811</v>
      </c>
      <c r="C965" s="67" t="s">
        <v>1517</v>
      </c>
      <c r="D965" s="68" t="s">
        <v>827</v>
      </c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>
      <c r="A966" s="65">
        <v>45941.0</v>
      </c>
      <c r="B966" s="66" t="s">
        <v>810</v>
      </c>
      <c r="C966" s="67" t="s">
        <v>1518</v>
      </c>
      <c r="D966" s="68" t="s">
        <v>827</v>
      </c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>
      <c r="A967" s="65">
        <v>45941.0</v>
      </c>
      <c r="B967" s="66" t="s">
        <v>810</v>
      </c>
      <c r="C967" s="67" t="s">
        <v>1519</v>
      </c>
      <c r="D967" s="68" t="s">
        <v>827</v>
      </c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>
      <c r="A968" s="65">
        <v>45941.0</v>
      </c>
      <c r="B968" s="66" t="s">
        <v>810</v>
      </c>
      <c r="C968" s="67" t="s">
        <v>1519</v>
      </c>
      <c r="D968" s="68" t="s">
        <v>827</v>
      </c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>
      <c r="A969" s="65">
        <v>45941.0</v>
      </c>
      <c r="B969" s="66" t="s">
        <v>810</v>
      </c>
      <c r="C969" s="67" t="s">
        <v>1520</v>
      </c>
      <c r="D969" s="68" t="s">
        <v>827</v>
      </c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>
      <c r="A970" s="65">
        <v>45941.0</v>
      </c>
      <c r="B970" s="66" t="s">
        <v>810</v>
      </c>
      <c r="C970" s="67" t="s">
        <v>1520</v>
      </c>
      <c r="D970" s="68" t="s">
        <v>827</v>
      </c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>
      <c r="A971" s="65">
        <v>45941.0</v>
      </c>
      <c r="B971" s="66" t="s">
        <v>810</v>
      </c>
      <c r="C971" s="67" t="s">
        <v>1521</v>
      </c>
      <c r="D971" s="68" t="s">
        <v>827</v>
      </c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>
      <c r="A972" s="65">
        <v>45941.0</v>
      </c>
      <c r="B972" s="66" t="s">
        <v>810</v>
      </c>
      <c r="C972" s="67" t="s">
        <v>1522</v>
      </c>
      <c r="D972" s="68" t="s">
        <v>827</v>
      </c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>
      <c r="A973" s="65">
        <v>45941.0</v>
      </c>
      <c r="B973" s="66" t="s">
        <v>810</v>
      </c>
      <c r="C973" s="67" t="s">
        <v>1523</v>
      </c>
      <c r="D973" s="68" t="s">
        <v>827</v>
      </c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>
      <c r="A974" s="65">
        <v>45941.0</v>
      </c>
      <c r="B974" s="66" t="s">
        <v>810</v>
      </c>
      <c r="C974" s="67" t="s">
        <v>1523</v>
      </c>
      <c r="D974" s="68" t="s">
        <v>827</v>
      </c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>
      <c r="A975" s="65">
        <v>45941.0</v>
      </c>
      <c r="B975" s="66" t="s">
        <v>810</v>
      </c>
      <c r="C975" s="67" t="s">
        <v>1524</v>
      </c>
      <c r="D975" s="68" t="s">
        <v>827</v>
      </c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>
      <c r="A976" s="65">
        <v>45948.0</v>
      </c>
      <c r="B976" s="66" t="s">
        <v>810</v>
      </c>
      <c r="C976" s="67" t="s">
        <v>1525</v>
      </c>
      <c r="D976" s="68" t="s">
        <v>827</v>
      </c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>
      <c r="A977" s="65">
        <v>45948.0</v>
      </c>
      <c r="B977" s="66" t="s">
        <v>810</v>
      </c>
      <c r="C977" s="67" t="s">
        <v>1526</v>
      </c>
      <c r="D977" s="68" t="s">
        <v>827</v>
      </c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>
      <c r="A978" s="65">
        <v>45948.0</v>
      </c>
      <c r="B978" s="66" t="s">
        <v>810</v>
      </c>
      <c r="C978" s="67" t="s">
        <v>1527</v>
      </c>
      <c r="D978" s="68" t="s">
        <v>827</v>
      </c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>
      <c r="A979" s="65">
        <v>45948.0</v>
      </c>
      <c r="B979" s="66" t="s">
        <v>810</v>
      </c>
      <c r="C979" s="67" t="s">
        <v>1527</v>
      </c>
      <c r="D979" s="68" t="s">
        <v>827</v>
      </c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>
      <c r="A980" s="65">
        <v>45948.0</v>
      </c>
      <c r="B980" s="66" t="s">
        <v>810</v>
      </c>
      <c r="C980" s="67" t="s">
        <v>1525</v>
      </c>
      <c r="D980" s="67" t="s">
        <v>1528</v>
      </c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>
      <c r="A981" s="65">
        <v>45948.0</v>
      </c>
      <c r="B981" s="66" t="s">
        <v>810</v>
      </c>
      <c r="C981" s="67" t="s">
        <v>1529</v>
      </c>
      <c r="D981" s="68" t="s">
        <v>827</v>
      </c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>
      <c r="A982" s="65">
        <v>45948.0</v>
      </c>
      <c r="B982" s="66" t="s">
        <v>810</v>
      </c>
      <c r="C982" s="67" t="s">
        <v>1529</v>
      </c>
      <c r="D982" s="68" t="s">
        <v>827</v>
      </c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>
      <c r="A983" s="65">
        <v>45948.0</v>
      </c>
      <c r="B983" s="66" t="s">
        <v>810</v>
      </c>
      <c r="C983" s="67" t="s">
        <v>1529</v>
      </c>
      <c r="D983" s="68" t="s">
        <v>827</v>
      </c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>
      <c r="A984" s="65">
        <v>45948.0</v>
      </c>
      <c r="B984" s="66" t="s">
        <v>810</v>
      </c>
      <c r="C984" s="68" t="s">
        <v>827</v>
      </c>
      <c r="D984" s="67" t="s">
        <v>1530</v>
      </c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>
      <c r="A985" s="65">
        <v>45948.0</v>
      </c>
      <c r="B985" s="66" t="s">
        <v>810</v>
      </c>
      <c r="C985" s="67" t="s">
        <v>1531</v>
      </c>
      <c r="D985" s="67" t="s">
        <v>1532</v>
      </c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>
      <c r="A986" s="65">
        <v>45948.0</v>
      </c>
      <c r="B986" s="66" t="s">
        <v>810</v>
      </c>
      <c r="C986" s="67" t="s">
        <v>1531</v>
      </c>
      <c r="D986" s="67" t="s">
        <v>1532</v>
      </c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>
      <c r="A987" s="65">
        <v>45948.0</v>
      </c>
      <c r="B987" s="66" t="s">
        <v>810</v>
      </c>
      <c r="C987" s="67" t="s">
        <v>1533</v>
      </c>
      <c r="D987" s="68" t="s">
        <v>827</v>
      </c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>
      <c r="A988" s="65">
        <v>45948.0</v>
      </c>
      <c r="B988" s="66" t="s">
        <v>810</v>
      </c>
      <c r="C988" s="67" t="s">
        <v>1534</v>
      </c>
      <c r="D988" s="68" t="s">
        <v>827</v>
      </c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>
      <c r="A989" s="65">
        <v>45948.0</v>
      </c>
      <c r="B989" s="66" t="s">
        <v>810</v>
      </c>
      <c r="C989" s="67" t="s">
        <v>1535</v>
      </c>
      <c r="D989" s="68" t="s">
        <v>827</v>
      </c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>
      <c r="A990" s="65">
        <v>45948.0</v>
      </c>
      <c r="B990" s="66" t="s">
        <v>810</v>
      </c>
      <c r="C990" s="67" t="s">
        <v>990</v>
      </c>
      <c r="D990" s="68" t="s">
        <v>827</v>
      </c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>
      <c r="A991" s="65">
        <v>45948.0</v>
      </c>
      <c r="B991" s="66" t="s">
        <v>810</v>
      </c>
      <c r="C991" s="67" t="s">
        <v>990</v>
      </c>
      <c r="D991" s="68" t="s">
        <v>827</v>
      </c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>
      <c r="A992" s="65">
        <v>45948.0</v>
      </c>
      <c r="B992" s="66" t="s">
        <v>812</v>
      </c>
      <c r="C992" s="67" t="s">
        <v>1536</v>
      </c>
      <c r="D992" s="68" t="s">
        <v>827</v>
      </c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>
      <c r="A993" s="65">
        <v>45948.0</v>
      </c>
      <c r="B993" s="66" t="s">
        <v>812</v>
      </c>
      <c r="C993" s="67" t="s">
        <v>1537</v>
      </c>
      <c r="D993" s="68" t="s">
        <v>827</v>
      </c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>
      <c r="A994" s="65">
        <v>45948.0</v>
      </c>
      <c r="B994" s="66" t="s">
        <v>812</v>
      </c>
      <c r="C994" s="67" t="s">
        <v>1538</v>
      </c>
      <c r="D994" s="68" t="s">
        <v>827</v>
      </c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>
      <c r="A995" s="65">
        <v>45952.0</v>
      </c>
      <c r="B995" s="66" t="s">
        <v>811</v>
      </c>
      <c r="C995" s="67" t="s">
        <v>1539</v>
      </c>
      <c r="D995" s="68" t="s">
        <v>827</v>
      </c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>
      <c r="A996" s="65">
        <v>45952.0</v>
      </c>
      <c r="B996" s="66" t="s">
        <v>811</v>
      </c>
      <c r="C996" s="67" t="s">
        <v>1540</v>
      </c>
      <c r="D996" s="67" t="s">
        <v>1541</v>
      </c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  <row r="997">
      <c r="A997" s="65">
        <v>45952.0</v>
      </c>
      <c r="B997" s="66" t="s">
        <v>811</v>
      </c>
      <c r="C997" s="67" t="s">
        <v>1542</v>
      </c>
      <c r="D997" s="68" t="s">
        <v>827</v>
      </c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</row>
    <row r="998">
      <c r="A998" s="65">
        <v>45952.0</v>
      </c>
      <c r="B998" s="66" t="s">
        <v>811</v>
      </c>
      <c r="C998" s="67" t="s">
        <v>1542</v>
      </c>
      <c r="D998" s="68" t="s">
        <v>827</v>
      </c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</row>
    <row r="999">
      <c r="A999" s="65">
        <v>45952.0</v>
      </c>
      <c r="B999" s="66" t="s">
        <v>811</v>
      </c>
      <c r="C999" s="67" t="s">
        <v>1540</v>
      </c>
      <c r="D999" s="67" t="s">
        <v>1541</v>
      </c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</row>
    <row r="1000">
      <c r="A1000" s="65">
        <v>45952.0</v>
      </c>
      <c r="B1000" s="66" t="s">
        <v>811</v>
      </c>
      <c r="C1000" s="67" t="s">
        <v>1543</v>
      </c>
      <c r="D1000" s="68" t="s">
        <v>827</v>
      </c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</row>
    <row r="1001">
      <c r="A1001" s="65">
        <v>45952.0</v>
      </c>
      <c r="B1001" s="66" t="s">
        <v>811</v>
      </c>
      <c r="C1001" s="67" t="s">
        <v>1543</v>
      </c>
      <c r="D1001" s="68" t="s">
        <v>827</v>
      </c>
      <c r="E1001" s="40"/>
      <c r="F1001" s="40"/>
      <c r="G1001" s="40"/>
      <c r="H1001" s="40"/>
      <c r="I1001" s="40"/>
      <c r="J1001" s="40"/>
      <c r="K1001" s="40"/>
      <c r="L1001" s="40"/>
      <c r="M1001" s="40"/>
      <c r="N1001" s="40"/>
      <c r="O1001" s="40"/>
      <c r="P1001" s="40"/>
      <c r="Q1001" s="40"/>
      <c r="R1001" s="40"/>
      <c r="S1001" s="40"/>
      <c r="T1001" s="40"/>
      <c r="U1001" s="40"/>
      <c r="V1001" s="40"/>
      <c r="W1001" s="40"/>
      <c r="X1001" s="40"/>
      <c r="Y1001" s="40"/>
      <c r="Z1001" s="40"/>
    </row>
    <row r="1002">
      <c r="A1002" s="65">
        <v>45952.0</v>
      </c>
      <c r="B1002" s="66" t="s">
        <v>811</v>
      </c>
      <c r="C1002" s="67" t="s">
        <v>1543</v>
      </c>
      <c r="D1002" s="68" t="s">
        <v>827</v>
      </c>
      <c r="E1002" s="40"/>
      <c r="F1002" s="40"/>
      <c r="G1002" s="40"/>
      <c r="H1002" s="40"/>
      <c r="I1002" s="40"/>
      <c r="J1002" s="40"/>
      <c r="K1002" s="40"/>
      <c r="L1002" s="40"/>
      <c r="M1002" s="40"/>
      <c r="N1002" s="40"/>
      <c r="O1002" s="40"/>
      <c r="P1002" s="40"/>
      <c r="Q1002" s="40"/>
      <c r="R1002" s="40"/>
      <c r="S1002" s="40"/>
      <c r="T1002" s="40"/>
      <c r="U1002" s="40"/>
      <c r="V1002" s="40"/>
      <c r="W1002" s="40"/>
      <c r="X1002" s="40"/>
      <c r="Y1002" s="40"/>
      <c r="Z1002" s="40"/>
    </row>
    <row r="1003">
      <c r="A1003" s="65">
        <v>45952.0</v>
      </c>
      <c r="B1003" s="66" t="s">
        <v>811</v>
      </c>
      <c r="C1003" s="67" t="s">
        <v>1544</v>
      </c>
      <c r="D1003" s="67" t="s">
        <v>1006</v>
      </c>
      <c r="E1003" s="40"/>
      <c r="F1003" s="40"/>
      <c r="G1003" s="40"/>
      <c r="H1003" s="40"/>
      <c r="I1003" s="40"/>
      <c r="J1003" s="40"/>
      <c r="K1003" s="40"/>
      <c r="L1003" s="40"/>
      <c r="M1003" s="40"/>
      <c r="N1003" s="40"/>
      <c r="O1003" s="40"/>
      <c r="P1003" s="40"/>
      <c r="Q1003" s="40"/>
      <c r="R1003" s="40"/>
      <c r="S1003" s="40"/>
      <c r="T1003" s="40"/>
      <c r="U1003" s="40"/>
      <c r="V1003" s="40"/>
      <c r="W1003" s="40"/>
      <c r="X1003" s="40"/>
      <c r="Y1003" s="40"/>
      <c r="Z1003" s="40"/>
    </row>
    <row r="1004">
      <c r="A1004" s="65">
        <v>45952.0</v>
      </c>
      <c r="B1004" s="66" t="s">
        <v>811</v>
      </c>
      <c r="C1004" s="67" t="s">
        <v>1544</v>
      </c>
      <c r="D1004" s="67" t="s">
        <v>1006</v>
      </c>
      <c r="E1004" s="40"/>
      <c r="F1004" s="40"/>
      <c r="G1004" s="40"/>
      <c r="H1004" s="40"/>
      <c r="I1004" s="40"/>
      <c r="J1004" s="40"/>
      <c r="K1004" s="40"/>
      <c r="L1004" s="40"/>
      <c r="M1004" s="40"/>
      <c r="N1004" s="40"/>
      <c r="O1004" s="40"/>
      <c r="P1004" s="40"/>
      <c r="Q1004" s="40"/>
      <c r="R1004" s="40"/>
      <c r="S1004" s="40"/>
      <c r="T1004" s="40"/>
      <c r="U1004" s="40"/>
      <c r="V1004" s="40"/>
      <c r="W1004" s="40"/>
      <c r="X1004" s="40"/>
      <c r="Y1004" s="40"/>
      <c r="Z1004" s="40"/>
    </row>
    <row r="1005">
      <c r="A1005" s="65">
        <v>45952.0</v>
      </c>
      <c r="B1005" s="66" t="s">
        <v>811</v>
      </c>
      <c r="C1005" s="67" t="s">
        <v>1544</v>
      </c>
      <c r="D1005" s="67" t="s">
        <v>1006</v>
      </c>
      <c r="E1005" s="40"/>
      <c r="F1005" s="40"/>
      <c r="G1005" s="40"/>
      <c r="H1005" s="40"/>
      <c r="I1005" s="40"/>
      <c r="J1005" s="40"/>
      <c r="K1005" s="40"/>
      <c r="L1005" s="40"/>
      <c r="M1005" s="40"/>
      <c r="N1005" s="40"/>
      <c r="O1005" s="40"/>
      <c r="P1005" s="40"/>
      <c r="Q1005" s="40"/>
      <c r="R1005" s="40"/>
      <c r="S1005" s="40"/>
      <c r="T1005" s="40"/>
      <c r="U1005" s="40"/>
      <c r="V1005" s="40"/>
      <c r="W1005" s="40"/>
      <c r="X1005" s="40"/>
      <c r="Y1005" s="40"/>
      <c r="Z1005" s="40"/>
    </row>
    <row r="1006">
      <c r="A1006" s="65">
        <v>45952.0</v>
      </c>
      <c r="B1006" s="66" t="s">
        <v>811</v>
      </c>
      <c r="C1006" s="67" t="s">
        <v>1545</v>
      </c>
      <c r="D1006" s="68" t="s">
        <v>827</v>
      </c>
      <c r="E1006" s="40"/>
      <c r="F1006" s="40"/>
      <c r="G1006" s="40"/>
      <c r="H1006" s="40"/>
      <c r="I1006" s="40"/>
      <c r="J1006" s="40"/>
      <c r="K1006" s="40"/>
      <c r="L1006" s="40"/>
      <c r="M1006" s="40"/>
      <c r="N1006" s="40"/>
      <c r="O1006" s="40"/>
      <c r="P1006" s="40"/>
      <c r="Q1006" s="40"/>
      <c r="R1006" s="40"/>
      <c r="S1006" s="40"/>
      <c r="T1006" s="40"/>
      <c r="U1006" s="40"/>
      <c r="V1006" s="40"/>
      <c r="W1006" s="40"/>
      <c r="X1006" s="40"/>
      <c r="Y1006" s="40"/>
      <c r="Z1006" s="40"/>
    </row>
    <row r="1007">
      <c r="A1007" s="65">
        <v>45952.0</v>
      </c>
      <c r="B1007" s="66" t="s">
        <v>811</v>
      </c>
      <c r="C1007" s="67" t="s">
        <v>1546</v>
      </c>
      <c r="D1007" s="68" t="s">
        <v>827</v>
      </c>
      <c r="E1007" s="40"/>
      <c r="F1007" s="40"/>
      <c r="G1007" s="40"/>
      <c r="H1007" s="40"/>
      <c r="I1007" s="40"/>
      <c r="J1007" s="40"/>
      <c r="K1007" s="40"/>
      <c r="L1007" s="40"/>
      <c r="M1007" s="40"/>
      <c r="N1007" s="40"/>
      <c r="O1007" s="40"/>
      <c r="P1007" s="40"/>
      <c r="Q1007" s="40"/>
      <c r="R1007" s="40"/>
      <c r="S1007" s="40"/>
      <c r="T1007" s="40"/>
      <c r="U1007" s="40"/>
      <c r="V1007" s="40"/>
      <c r="W1007" s="40"/>
      <c r="X1007" s="40"/>
      <c r="Y1007" s="40"/>
      <c r="Z1007" s="40"/>
    </row>
    <row r="1008">
      <c r="A1008" s="65">
        <v>45952.0</v>
      </c>
      <c r="B1008" s="66" t="s">
        <v>811</v>
      </c>
      <c r="C1008" s="67" t="s">
        <v>1547</v>
      </c>
      <c r="D1008" s="68" t="s">
        <v>827</v>
      </c>
      <c r="E1008" s="40"/>
      <c r="F1008" s="40"/>
      <c r="G1008" s="40"/>
      <c r="H1008" s="40"/>
      <c r="I1008" s="40"/>
      <c r="J1008" s="40"/>
      <c r="K1008" s="40"/>
      <c r="L1008" s="40"/>
      <c r="M1008" s="40"/>
      <c r="N1008" s="40"/>
      <c r="O1008" s="40"/>
      <c r="P1008" s="40"/>
      <c r="Q1008" s="40"/>
      <c r="R1008" s="40"/>
      <c r="S1008" s="40"/>
      <c r="T1008" s="40"/>
      <c r="U1008" s="40"/>
      <c r="V1008" s="40"/>
      <c r="W1008" s="40"/>
      <c r="X1008" s="40"/>
      <c r="Y1008" s="40"/>
      <c r="Z1008" s="40"/>
    </row>
    <row r="1009">
      <c r="A1009" s="65">
        <v>45952.0</v>
      </c>
      <c r="B1009" s="66" t="s">
        <v>811</v>
      </c>
      <c r="C1009" s="67" t="s">
        <v>1547</v>
      </c>
      <c r="D1009" s="68" t="s">
        <v>827</v>
      </c>
      <c r="E1009" s="40"/>
      <c r="F1009" s="40"/>
      <c r="G1009" s="40"/>
      <c r="H1009" s="40"/>
      <c r="I1009" s="40"/>
      <c r="J1009" s="40"/>
      <c r="K1009" s="40"/>
      <c r="L1009" s="40"/>
      <c r="M1009" s="40"/>
      <c r="N1009" s="40"/>
      <c r="O1009" s="40"/>
      <c r="P1009" s="40"/>
      <c r="Q1009" s="40"/>
      <c r="R1009" s="40"/>
      <c r="S1009" s="40"/>
      <c r="T1009" s="40"/>
      <c r="U1009" s="40"/>
      <c r="V1009" s="40"/>
      <c r="W1009" s="40"/>
      <c r="X1009" s="40"/>
      <c r="Y1009" s="40"/>
      <c r="Z1009" s="40"/>
    </row>
    <row r="1010">
      <c r="A1010" s="65">
        <v>45952.0</v>
      </c>
      <c r="B1010" s="66" t="s">
        <v>811</v>
      </c>
      <c r="C1010" s="67" t="s">
        <v>1546</v>
      </c>
      <c r="D1010" s="68" t="s">
        <v>827</v>
      </c>
      <c r="E1010" s="40"/>
      <c r="F1010" s="40"/>
      <c r="G1010" s="40"/>
      <c r="H1010" s="40"/>
      <c r="I1010" s="40"/>
      <c r="J1010" s="40"/>
      <c r="K1010" s="40"/>
      <c r="L1010" s="40"/>
      <c r="M1010" s="40"/>
      <c r="N1010" s="40"/>
      <c r="O1010" s="40"/>
      <c r="P1010" s="40"/>
      <c r="Q1010" s="40"/>
      <c r="R1010" s="40"/>
      <c r="S1010" s="40"/>
      <c r="T1010" s="40"/>
      <c r="U1010" s="40"/>
      <c r="V1010" s="40"/>
      <c r="W1010" s="40"/>
      <c r="X1010" s="40"/>
      <c r="Y1010" s="40"/>
      <c r="Z1010" s="40"/>
    </row>
    <row r="1011">
      <c r="A1011" s="65">
        <v>45952.0</v>
      </c>
      <c r="B1011" s="66" t="s">
        <v>811</v>
      </c>
      <c r="C1011" s="67" t="s">
        <v>1546</v>
      </c>
      <c r="D1011" s="68" t="s">
        <v>827</v>
      </c>
      <c r="E1011" s="40"/>
      <c r="F1011" s="40"/>
      <c r="G1011" s="40"/>
      <c r="H1011" s="40"/>
      <c r="I1011" s="40"/>
      <c r="J1011" s="40"/>
      <c r="K1011" s="40"/>
      <c r="L1011" s="40"/>
      <c r="M1011" s="40"/>
      <c r="N1011" s="40"/>
      <c r="O1011" s="40"/>
      <c r="P1011" s="40"/>
      <c r="Q1011" s="40"/>
      <c r="R1011" s="40"/>
      <c r="S1011" s="40"/>
      <c r="T1011" s="40"/>
      <c r="U1011" s="40"/>
      <c r="V1011" s="40"/>
      <c r="W1011" s="40"/>
      <c r="X1011" s="40"/>
      <c r="Y1011" s="40"/>
      <c r="Z1011" s="40"/>
    </row>
    <row r="1012">
      <c r="A1012" s="65">
        <v>45952.0</v>
      </c>
      <c r="B1012" s="66" t="s">
        <v>811</v>
      </c>
      <c r="C1012" s="67" t="s">
        <v>1548</v>
      </c>
      <c r="D1012" s="67" t="s">
        <v>852</v>
      </c>
      <c r="E1012" s="40"/>
      <c r="F1012" s="40"/>
      <c r="G1012" s="40"/>
      <c r="H1012" s="40"/>
      <c r="I1012" s="40"/>
      <c r="J1012" s="40"/>
      <c r="K1012" s="40"/>
      <c r="L1012" s="40"/>
      <c r="M1012" s="40"/>
      <c r="N1012" s="40"/>
      <c r="O1012" s="40"/>
      <c r="P1012" s="40"/>
      <c r="Q1012" s="40"/>
      <c r="R1012" s="40"/>
      <c r="S1012" s="40"/>
      <c r="T1012" s="40"/>
      <c r="U1012" s="40"/>
      <c r="V1012" s="40"/>
      <c r="W1012" s="40"/>
      <c r="X1012" s="40"/>
      <c r="Y1012" s="40"/>
      <c r="Z1012" s="40"/>
    </row>
    <row r="1013">
      <c r="A1013" s="65">
        <v>45948.0</v>
      </c>
      <c r="B1013" s="66" t="s">
        <v>812</v>
      </c>
      <c r="C1013" s="67" t="s">
        <v>1549</v>
      </c>
      <c r="D1013" s="68" t="s">
        <v>827</v>
      </c>
      <c r="E1013" s="40"/>
      <c r="F1013" s="40"/>
      <c r="G1013" s="40"/>
      <c r="H1013" s="40"/>
      <c r="I1013" s="40"/>
      <c r="J1013" s="40"/>
      <c r="K1013" s="40"/>
      <c r="L1013" s="40"/>
      <c r="M1013" s="40"/>
      <c r="N1013" s="40"/>
      <c r="O1013" s="40"/>
      <c r="P1013" s="40"/>
      <c r="Q1013" s="40"/>
      <c r="R1013" s="40"/>
      <c r="S1013" s="40"/>
      <c r="T1013" s="40"/>
      <c r="U1013" s="40"/>
      <c r="V1013" s="40"/>
      <c r="W1013" s="40"/>
      <c r="X1013" s="40"/>
      <c r="Y1013" s="40"/>
      <c r="Z1013" s="40"/>
    </row>
    <row r="1014">
      <c r="A1014" s="65">
        <v>45948.0</v>
      </c>
      <c r="B1014" s="66" t="s">
        <v>812</v>
      </c>
      <c r="C1014" s="67" t="s">
        <v>1549</v>
      </c>
      <c r="D1014" s="68" t="s">
        <v>827</v>
      </c>
      <c r="E1014" s="40"/>
      <c r="F1014" s="40"/>
      <c r="G1014" s="40"/>
      <c r="H1014" s="40"/>
      <c r="I1014" s="40"/>
      <c r="J1014" s="40"/>
      <c r="K1014" s="40"/>
      <c r="L1014" s="40"/>
      <c r="M1014" s="40"/>
      <c r="N1014" s="40"/>
      <c r="O1014" s="40"/>
      <c r="P1014" s="40"/>
      <c r="Q1014" s="40"/>
      <c r="R1014" s="40"/>
      <c r="S1014" s="40"/>
      <c r="T1014" s="40"/>
      <c r="U1014" s="40"/>
      <c r="V1014" s="40"/>
      <c r="W1014" s="40"/>
      <c r="X1014" s="40"/>
      <c r="Y1014" s="40"/>
      <c r="Z1014" s="40"/>
    </row>
    <row r="1015">
      <c r="A1015" s="65">
        <v>45955.0</v>
      </c>
      <c r="B1015" s="66" t="s">
        <v>810</v>
      </c>
      <c r="C1015" s="67" t="s">
        <v>1550</v>
      </c>
      <c r="D1015" s="68" t="s">
        <v>827</v>
      </c>
      <c r="E1015" s="40"/>
      <c r="F1015" s="40"/>
      <c r="G1015" s="40"/>
      <c r="H1015" s="40"/>
      <c r="I1015" s="40"/>
      <c r="J1015" s="40"/>
      <c r="K1015" s="40"/>
      <c r="L1015" s="40"/>
      <c r="M1015" s="40"/>
      <c r="N1015" s="40"/>
      <c r="O1015" s="40"/>
      <c r="P1015" s="40"/>
      <c r="Q1015" s="40"/>
      <c r="R1015" s="40"/>
      <c r="S1015" s="40"/>
      <c r="T1015" s="40"/>
      <c r="U1015" s="40"/>
      <c r="V1015" s="40"/>
      <c r="W1015" s="40"/>
      <c r="X1015" s="40"/>
      <c r="Y1015" s="40"/>
      <c r="Z1015" s="40"/>
    </row>
    <row r="1016">
      <c r="A1016" s="65">
        <v>45955.0</v>
      </c>
      <c r="B1016" s="66" t="s">
        <v>810</v>
      </c>
      <c r="C1016" s="67" t="s">
        <v>1550</v>
      </c>
      <c r="D1016" s="68" t="s">
        <v>827</v>
      </c>
      <c r="E1016" s="40"/>
      <c r="F1016" s="40"/>
      <c r="G1016" s="40"/>
      <c r="H1016" s="40"/>
      <c r="I1016" s="40"/>
      <c r="J1016" s="40"/>
      <c r="K1016" s="40"/>
      <c r="L1016" s="40"/>
      <c r="M1016" s="40"/>
      <c r="N1016" s="40"/>
      <c r="O1016" s="40"/>
      <c r="P1016" s="40"/>
      <c r="Q1016" s="40"/>
      <c r="R1016" s="40"/>
      <c r="S1016" s="40"/>
      <c r="T1016" s="40"/>
      <c r="U1016" s="40"/>
      <c r="V1016" s="40"/>
      <c r="W1016" s="40"/>
      <c r="X1016" s="40"/>
      <c r="Y1016" s="40"/>
      <c r="Z1016" s="40"/>
    </row>
    <row r="1017">
      <c r="A1017" s="65">
        <v>45955.0</v>
      </c>
      <c r="B1017" s="66" t="s">
        <v>810</v>
      </c>
      <c r="C1017" s="67" t="s">
        <v>1550</v>
      </c>
      <c r="D1017" s="68" t="s">
        <v>827</v>
      </c>
      <c r="E1017" s="40"/>
      <c r="F1017" s="40"/>
      <c r="G1017" s="40"/>
      <c r="H1017" s="40"/>
      <c r="I1017" s="40"/>
      <c r="J1017" s="40"/>
      <c r="K1017" s="40"/>
      <c r="L1017" s="40"/>
      <c r="M1017" s="40"/>
      <c r="N1017" s="40"/>
      <c r="O1017" s="40"/>
      <c r="P1017" s="40"/>
      <c r="Q1017" s="40"/>
      <c r="R1017" s="40"/>
      <c r="S1017" s="40"/>
      <c r="T1017" s="40"/>
      <c r="U1017" s="40"/>
      <c r="V1017" s="40"/>
      <c r="W1017" s="40"/>
      <c r="X1017" s="40"/>
      <c r="Y1017" s="40"/>
      <c r="Z1017" s="40"/>
    </row>
    <row r="1018">
      <c r="A1018" s="65">
        <v>45955.0</v>
      </c>
      <c r="B1018" s="66" t="s">
        <v>810</v>
      </c>
      <c r="C1018" s="67" t="s">
        <v>1551</v>
      </c>
      <c r="D1018" s="68" t="s">
        <v>827</v>
      </c>
      <c r="E1018" s="40"/>
      <c r="F1018" s="40"/>
      <c r="G1018" s="40"/>
      <c r="H1018" s="40"/>
      <c r="I1018" s="40"/>
      <c r="J1018" s="40"/>
      <c r="K1018" s="40"/>
      <c r="L1018" s="40"/>
      <c r="M1018" s="40"/>
      <c r="N1018" s="40"/>
      <c r="O1018" s="40"/>
      <c r="P1018" s="40"/>
      <c r="Q1018" s="40"/>
      <c r="R1018" s="40"/>
      <c r="S1018" s="40"/>
      <c r="T1018" s="40"/>
      <c r="U1018" s="40"/>
      <c r="V1018" s="40"/>
      <c r="W1018" s="40"/>
      <c r="X1018" s="40"/>
      <c r="Y1018" s="40"/>
      <c r="Z1018" s="40"/>
    </row>
    <row r="1019">
      <c r="A1019" s="65">
        <v>45955.0</v>
      </c>
      <c r="B1019" s="66" t="s">
        <v>810</v>
      </c>
      <c r="C1019" s="67" t="s">
        <v>1552</v>
      </c>
      <c r="D1019" s="68" t="s">
        <v>827</v>
      </c>
      <c r="E1019" s="40"/>
      <c r="F1019" s="40"/>
      <c r="G1019" s="40"/>
      <c r="H1019" s="40"/>
      <c r="I1019" s="40"/>
      <c r="J1019" s="40"/>
      <c r="K1019" s="40"/>
      <c r="L1019" s="40"/>
      <c r="M1019" s="40"/>
      <c r="N1019" s="40"/>
      <c r="O1019" s="40"/>
      <c r="P1019" s="40"/>
      <c r="Q1019" s="40"/>
      <c r="R1019" s="40"/>
      <c r="S1019" s="40"/>
      <c r="T1019" s="40"/>
      <c r="U1019" s="40"/>
      <c r="V1019" s="40"/>
      <c r="W1019" s="40"/>
      <c r="X1019" s="40"/>
      <c r="Y1019" s="40"/>
      <c r="Z1019" s="40"/>
    </row>
    <row r="1020">
      <c r="A1020" s="65">
        <v>45955.0</v>
      </c>
      <c r="B1020" s="66" t="s">
        <v>810</v>
      </c>
      <c r="C1020" s="67" t="s">
        <v>1552</v>
      </c>
      <c r="D1020" s="68" t="s">
        <v>827</v>
      </c>
      <c r="E1020" s="40"/>
      <c r="F1020" s="40"/>
      <c r="G1020" s="40"/>
      <c r="H1020" s="40"/>
      <c r="I1020" s="40"/>
      <c r="J1020" s="40"/>
      <c r="K1020" s="40"/>
      <c r="L1020" s="40"/>
      <c r="M1020" s="40"/>
      <c r="N1020" s="40"/>
      <c r="O1020" s="40"/>
      <c r="P1020" s="40"/>
      <c r="Q1020" s="40"/>
      <c r="R1020" s="40"/>
      <c r="S1020" s="40"/>
      <c r="T1020" s="40"/>
      <c r="U1020" s="40"/>
      <c r="V1020" s="40"/>
      <c r="W1020" s="40"/>
      <c r="X1020" s="40"/>
      <c r="Y1020" s="40"/>
      <c r="Z1020" s="40"/>
    </row>
    <row r="1021">
      <c r="A1021" s="65">
        <v>45955.0</v>
      </c>
      <c r="B1021" s="66" t="s">
        <v>810</v>
      </c>
      <c r="C1021" s="67" t="s">
        <v>1553</v>
      </c>
      <c r="D1021" s="68" t="s">
        <v>827</v>
      </c>
      <c r="E1021" s="40"/>
      <c r="F1021" s="40"/>
      <c r="G1021" s="40"/>
      <c r="H1021" s="40"/>
      <c r="I1021" s="40"/>
      <c r="J1021" s="40"/>
      <c r="K1021" s="40"/>
      <c r="L1021" s="40"/>
      <c r="M1021" s="40"/>
      <c r="N1021" s="40"/>
      <c r="O1021" s="40"/>
      <c r="P1021" s="40"/>
      <c r="Q1021" s="40"/>
      <c r="R1021" s="40"/>
      <c r="S1021" s="40"/>
      <c r="T1021" s="40"/>
      <c r="U1021" s="40"/>
      <c r="V1021" s="40"/>
      <c r="W1021" s="40"/>
      <c r="X1021" s="40"/>
      <c r="Y1021" s="40"/>
      <c r="Z1021" s="40"/>
    </row>
    <row r="1022">
      <c r="A1022" s="65">
        <v>45955.0</v>
      </c>
      <c r="B1022" s="66" t="s">
        <v>810</v>
      </c>
      <c r="C1022" s="67" t="s">
        <v>1553</v>
      </c>
      <c r="D1022" s="68" t="s">
        <v>827</v>
      </c>
      <c r="E1022" s="40"/>
      <c r="F1022" s="40"/>
      <c r="G1022" s="40"/>
      <c r="H1022" s="40"/>
      <c r="I1022" s="40"/>
      <c r="J1022" s="40"/>
      <c r="K1022" s="40"/>
      <c r="L1022" s="40"/>
      <c r="M1022" s="40"/>
      <c r="N1022" s="40"/>
      <c r="O1022" s="40"/>
      <c r="P1022" s="40"/>
      <c r="Q1022" s="40"/>
      <c r="R1022" s="40"/>
      <c r="S1022" s="40"/>
      <c r="T1022" s="40"/>
      <c r="U1022" s="40"/>
      <c r="V1022" s="40"/>
      <c r="W1022" s="40"/>
      <c r="X1022" s="40"/>
      <c r="Y1022" s="40"/>
      <c r="Z1022" s="40"/>
    </row>
    <row r="1023">
      <c r="A1023" s="65">
        <v>45955.0</v>
      </c>
      <c r="B1023" s="66" t="s">
        <v>810</v>
      </c>
      <c r="C1023" s="67" t="s">
        <v>1554</v>
      </c>
      <c r="D1023" s="68" t="s">
        <v>827</v>
      </c>
      <c r="E1023" s="40"/>
      <c r="F1023" s="40"/>
      <c r="G1023" s="40"/>
      <c r="H1023" s="40"/>
      <c r="I1023" s="40"/>
      <c r="J1023" s="40"/>
      <c r="K1023" s="40"/>
      <c r="L1023" s="40"/>
      <c r="M1023" s="40"/>
      <c r="N1023" s="40"/>
      <c r="O1023" s="40"/>
      <c r="P1023" s="40"/>
      <c r="Q1023" s="40"/>
      <c r="R1023" s="40"/>
      <c r="S1023" s="40"/>
      <c r="T1023" s="40"/>
      <c r="U1023" s="40"/>
      <c r="V1023" s="40"/>
      <c r="W1023" s="40"/>
      <c r="X1023" s="40"/>
      <c r="Y1023" s="40"/>
      <c r="Z1023" s="40"/>
    </row>
    <row r="1024">
      <c r="A1024" s="65">
        <v>45955.0</v>
      </c>
      <c r="B1024" s="66" t="s">
        <v>810</v>
      </c>
      <c r="C1024" s="67" t="s">
        <v>1555</v>
      </c>
      <c r="D1024" s="68" t="s">
        <v>827</v>
      </c>
      <c r="E1024" s="40"/>
      <c r="F1024" s="40"/>
      <c r="G1024" s="40"/>
      <c r="H1024" s="40"/>
      <c r="I1024" s="40"/>
      <c r="J1024" s="40"/>
      <c r="K1024" s="40"/>
      <c r="L1024" s="40"/>
      <c r="M1024" s="40"/>
      <c r="N1024" s="40"/>
      <c r="O1024" s="40"/>
      <c r="P1024" s="40"/>
      <c r="Q1024" s="40"/>
      <c r="R1024" s="40"/>
      <c r="S1024" s="40"/>
      <c r="T1024" s="40"/>
      <c r="U1024" s="40"/>
      <c r="V1024" s="40"/>
      <c r="W1024" s="40"/>
      <c r="X1024" s="40"/>
      <c r="Y1024" s="40"/>
      <c r="Z1024" s="40"/>
    </row>
    <row r="1025">
      <c r="A1025" s="65">
        <v>45955.0</v>
      </c>
      <c r="B1025" s="66" t="s">
        <v>810</v>
      </c>
      <c r="C1025" s="67" t="s">
        <v>1556</v>
      </c>
      <c r="D1025" s="68" t="s">
        <v>827</v>
      </c>
      <c r="E1025" s="40"/>
      <c r="F1025" s="40"/>
      <c r="G1025" s="40"/>
      <c r="H1025" s="40"/>
      <c r="I1025" s="40"/>
      <c r="J1025" s="40"/>
      <c r="K1025" s="40"/>
      <c r="L1025" s="40"/>
      <c r="M1025" s="40"/>
      <c r="N1025" s="40"/>
      <c r="O1025" s="40"/>
      <c r="P1025" s="40"/>
      <c r="Q1025" s="40"/>
      <c r="R1025" s="40"/>
      <c r="S1025" s="40"/>
      <c r="T1025" s="40"/>
      <c r="U1025" s="40"/>
      <c r="V1025" s="40"/>
      <c r="W1025" s="40"/>
      <c r="X1025" s="40"/>
      <c r="Y1025" s="40"/>
      <c r="Z1025" s="40"/>
    </row>
    <row r="1026">
      <c r="A1026" s="65">
        <v>45955.0</v>
      </c>
      <c r="B1026" s="66" t="s">
        <v>810</v>
      </c>
      <c r="C1026" s="67" t="s">
        <v>1556</v>
      </c>
      <c r="D1026" s="68" t="s">
        <v>827</v>
      </c>
      <c r="E1026" s="40"/>
      <c r="F1026" s="40"/>
      <c r="G1026" s="40"/>
      <c r="H1026" s="40"/>
      <c r="I1026" s="40"/>
      <c r="J1026" s="40"/>
      <c r="K1026" s="40"/>
      <c r="L1026" s="40"/>
      <c r="M1026" s="40"/>
      <c r="N1026" s="40"/>
      <c r="O1026" s="40"/>
      <c r="P1026" s="40"/>
      <c r="Q1026" s="40"/>
      <c r="R1026" s="40"/>
      <c r="S1026" s="40"/>
      <c r="T1026" s="40"/>
      <c r="U1026" s="40"/>
      <c r="V1026" s="40"/>
      <c r="W1026" s="40"/>
      <c r="X1026" s="40"/>
      <c r="Y1026" s="40"/>
      <c r="Z1026" s="40"/>
    </row>
    <row r="1027">
      <c r="A1027" s="65">
        <v>45955.0</v>
      </c>
      <c r="B1027" s="66" t="s">
        <v>810</v>
      </c>
      <c r="C1027" s="67" t="s">
        <v>1556</v>
      </c>
      <c r="D1027" s="68" t="s">
        <v>827</v>
      </c>
      <c r="E1027" s="40"/>
      <c r="F1027" s="40"/>
      <c r="G1027" s="40"/>
      <c r="H1027" s="40"/>
      <c r="I1027" s="40"/>
      <c r="J1027" s="40"/>
      <c r="K1027" s="40"/>
      <c r="L1027" s="40"/>
      <c r="M1027" s="40"/>
      <c r="N1027" s="40"/>
      <c r="O1027" s="40"/>
      <c r="P1027" s="40"/>
      <c r="Q1027" s="40"/>
      <c r="R1027" s="40"/>
      <c r="S1027" s="40"/>
      <c r="T1027" s="40"/>
      <c r="U1027" s="40"/>
      <c r="V1027" s="40"/>
      <c r="W1027" s="40"/>
      <c r="X1027" s="40"/>
      <c r="Y1027" s="40"/>
      <c r="Z1027" s="40"/>
    </row>
    <row r="1028">
      <c r="A1028" s="65">
        <v>45955.0</v>
      </c>
      <c r="B1028" s="66" t="s">
        <v>810</v>
      </c>
      <c r="C1028" s="67" t="s">
        <v>1198</v>
      </c>
      <c r="D1028" s="68" t="s">
        <v>827</v>
      </c>
      <c r="E1028" s="40"/>
      <c r="F1028" s="40"/>
      <c r="G1028" s="40"/>
      <c r="H1028" s="40"/>
      <c r="I1028" s="40"/>
      <c r="J1028" s="40"/>
      <c r="K1028" s="40"/>
      <c r="L1028" s="40"/>
      <c r="M1028" s="40"/>
      <c r="N1028" s="40"/>
      <c r="O1028" s="40"/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0"/>
    </row>
    <row r="1029">
      <c r="A1029" s="65">
        <v>45948.0</v>
      </c>
      <c r="B1029" s="66" t="s">
        <v>812</v>
      </c>
      <c r="C1029" s="67" t="s">
        <v>1557</v>
      </c>
      <c r="D1029" s="67" t="s">
        <v>1558</v>
      </c>
      <c r="E1029" s="40"/>
      <c r="F1029" s="40"/>
      <c r="G1029" s="40"/>
      <c r="H1029" s="40"/>
      <c r="I1029" s="40"/>
      <c r="J1029" s="40"/>
      <c r="K1029" s="40"/>
      <c r="L1029" s="40"/>
      <c r="M1029" s="40"/>
      <c r="N1029" s="40"/>
      <c r="O1029" s="40"/>
      <c r="P1029" s="40"/>
      <c r="Q1029" s="40"/>
      <c r="R1029" s="40"/>
      <c r="S1029" s="40"/>
      <c r="T1029" s="40"/>
      <c r="U1029" s="40"/>
      <c r="V1029" s="40"/>
      <c r="W1029" s="40"/>
      <c r="X1029" s="40"/>
      <c r="Y1029" s="40"/>
      <c r="Z1029" s="40"/>
    </row>
    <row r="1030">
      <c r="A1030" s="65">
        <v>45959.0</v>
      </c>
      <c r="B1030" s="66" t="s">
        <v>811</v>
      </c>
      <c r="C1030" s="67" t="s">
        <v>1559</v>
      </c>
      <c r="D1030" s="68" t="s">
        <v>827</v>
      </c>
      <c r="E1030" s="40"/>
      <c r="F1030" s="40"/>
      <c r="G1030" s="40"/>
      <c r="H1030" s="40"/>
      <c r="I1030" s="40"/>
      <c r="J1030" s="40"/>
      <c r="K1030" s="40"/>
      <c r="L1030" s="40"/>
      <c r="M1030" s="40"/>
      <c r="N1030" s="40"/>
      <c r="O1030" s="40"/>
      <c r="P1030" s="40"/>
      <c r="Q1030" s="40"/>
      <c r="R1030" s="40"/>
      <c r="S1030" s="40"/>
      <c r="T1030" s="40"/>
      <c r="U1030" s="40"/>
      <c r="V1030" s="40"/>
      <c r="W1030" s="40"/>
      <c r="X1030" s="40"/>
      <c r="Y1030" s="40"/>
      <c r="Z1030" s="40"/>
    </row>
    <row r="1031">
      <c r="A1031" s="65">
        <v>45959.0</v>
      </c>
      <c r="B1031" s="66" t="s">
        <v>811</v>
      </c>
      <c r="C1031" s="67" t="s">
        <v>1560</v>
      </c>
      <c r="D1031" s="68" t="s">
        <v>827</v>
      </c>
      <c r="E1031" s="40"/>
      <c r="F1031" s="40"/>
      <c r="G1031" s="40"/>
      <c r="H1031" s="40"/>
      <c r="I1031" s="40"/>
      <c r="J1031" s="40"/>
      <c r="K1031" s="40"/>
      <c r="L1031" s="40"/>
      <c r="M1031" s="40"/>
      <c r="N1031" s="40"/>
      <c r="O1031" s="40"/>
      <c r="P1031" s="40"/>
      <c r="Q1031" s="40"/>
      <c r="R1031" s="40"/>
      <c r="S1031" s="40"/>
      <c r="T1031" s="40"/>
      <c r="U1031" s="40"/>
      <c r="V1031" s="40"/>
      <c r="W1031" s="40"/>
      <c r="X1031" s="40"/>
      <c r="Y1031" s="40"/>
      <c r="Z1031" s="40"/>
    </row>
    <row r="1032">
      <c r="A1032" s="65">
        <v>45959.0</v>
      </c>
      <c r="B1032" s="66" t="s">
        <v>811</v>
      </c>
      <c r="C1032" s="67" t="s">
        <v>1561</v>
      </c>
      <c r="D1032" s="67" t="s">
        <v>1562</v>
      </c>
      <c r="E1032" s="40"/>
      <c r="F1032" s="40"/>
      <c r="G1032" s="40"/>
      <c r="H1032" s="40"/>
      <c r="I1032" s="40"/>
      <c r="J1032" s="40"/>
      <c r="K1032" s="40"/>
      <c r="L1032" s="40"/>
      <c r="M1032" s="40"/>
      <c r="N1032" s="40"/>
      <c r="O1032" s="40"/>
      <c r="P1032" s="40"/>
      <c r="Q1032" s="40"/>
      <c r="R1032" s="40"/>
      <c r="S1032" s="40"/>
      <c r="T1032" s="40"/>
      <c r="U1032" s="40"/>
      <c r="V1032" s="40"/>
      <c r="W1032" s="40"/>
      <c r="X1032" s="40"/>
      <c r="Y1032" s="40"/>
      <c r="Z1032" s="40"/>
    </row>
    <row r="1033">
      <c r="A1033" s="65">
        <v>45959.0</v>
      </c>
      <c r="B1033" s="66" t="s">
        <v>811</v>
      </c>
      <c r="C1033" s="67" t="s">
        <v>1563</v>
      </c>
      <c r="D1033" s="68" t="s">
        <v>827</v>
      </c>
      <c r="E1033" s="40"/>
      <c r="F1033" s="40"/>
      <c r="G1033" s="40"/>
      <c r="H1033" s="40"/>
      <c r="I1033" s="40"/>
      <c r="J1033" s="40"/>
      <c r="K1033" s="40"/>
      <c r="L1033" s="40"/>
      <c r="M1033" s="40"/>
      <c r="N1033" s="40"/>
      <c r="O1033" s="40"/>
      <c r="P1033" s="40"/>
      <c r="Q1033" s="40"/>
      <c r="R1033" s="40"/>
      <c r="S1033" s="40"/>
      <c r="T1033" s="40"/>
      <c r="U1033" s="40"/>
      <c r="V1033" s="40"/>
      <c r="W1033" s="40"/>
      <c r="X1033" s="40"/>
      <c r="Y1033" s="40"/>
      <c r="Z1033" s="40"/>
    </row>
    <row r="1034">
      <c r="A1034" s="65">
        <v>45959.0</v>
      </c>
      <c r="B1034" s="66" t="s">
        <v>811</v>
      </c>
      <c r="C1034" s="67" t="s">
        <v>1563</v>
      </c>
      <c r="D1034" s="68" t="s">
        <v>827</v>
      </c>
      <c r="E1034" s="40"/>
      <c r="F1034" s="40"/>
      <c r="G1034" s="40"/>
      <c r="H1034" s="40"/>
      <c r="I1034" s="40"/>
      <c r="J1034" s="40"/>
      <c r="K1034" s="40"/>
      <c r="L1034" s="40"/>
      <c r="M1034" s="40"/>
      <c r="N1034" s="40"/>
      <c r="O1034" s="40"/>
      <c r="P1034" s="40"/>
      <c r="Q1034" s="40"/>
      <c r="R1034" s="40"/>
      <c r="S1034" s="40"/>
      <c r="T1034" s="40"/>
      <c r="U1034" s="40"/>
      <c r="V1034" s="40"/>
      <c r="W1034" s="40"/>
      <c r="X1034" s="40"/>
      <c r="Y1034" s="40"/>
      <c r="Z1034" s="40"/>
    </row>
    <row r="1035">
      <c r="A1035" s="65">
        <v>45959.0</v>
      </c>
      <c r="B1035" s="66" t="s">
        <v>811</v>
      </c>
      <c r="C1035" s="67" t="s">
        <v>1564</v>
      </c>
      <c r="D1035" s="68" t="s">
        <v>827</v>
      </c>
      <c r="E1035" s="40"/>
      <c r="F1035" s="40"/>
      <c r="G1035" s="40"/>
      <c r="H1035" s="40"/>
      <c r="I1035" s="40"/>
      <c r="J1035" s="40"/>
      <c r="K1035" s="40"/>
      <c r="L1035" s="40"/>
      <c r="M1035" s="40"/>
      <c r="N1035" s="40"/>
      <c r="O1035" s="40"/>
      <c r="P1035" s="40"/>
      <c r="Q1035" s="40"/>
      <c r="R1035" s="40"/>
      <c r="S1035" s="40"/>
      <c r="T1035" s="40"/>
      <c r="U1035" s="40"/>
      <c r="V1035" s="40"/>
      <c r="W1035" s="40"/>
      <c r="X1035" s="40"/>
      <c r="Y1035" s="40"/>
      <c r="Z1035" s="40"/>
    </row>
    <row r="1036">
      <c r="A1036" s="65">
        <v>45959.0</v>
      </c>
      <c r="B1036" s="66" t="s">
        <v>811</v>
      </c>
      <c r="C1036" s="67" t="s">
        <v>1565</v>
      </c>
      <c r="D1036" s="68" t="s">
        <v>827</v>
      </c>
      <c r="E1036" s="40"/>
      <c r="F1036" s="40"/>
      <c r="G1036" s="40"/>
      <c r="H1036" s="40"/>
      <c r="I1036" s="40"/>
      <c r="J1036" s="40"/>
      <c r="K1036" s="40"/>
      <c r="L1036" s="40"/>
      <c r="M1036" s="40"/>
      <c r="N1036" s="40"/>
      <c r="O1036" s="40"/>
      <c r="P1036" s="40"/>
      <c r="Q1036" s="40"/>
      <c r="R1036" s="40"/>
      <c r="S1036" s="40"/>
      <c r="T1036" s="40"/>
      <c r="U1036" s="40"/>
      <c r="V1036" s="40"/>
      <c r="W1036" s="40"/>
      <c r="X1036" s="40"/>
      <c r="Y1036" s="40"/>
      <c r="Z1036" s="40"/>
    </row>
    <row r="1037">
      <c r="A1037" s="65">
        <v>45959.0</v>
      </c>
      <c r="B1037" s="66" t="s">
        <v>811</v>
      </c>
      <c r="C1037" s="67" t="s">
        <v>1566</v>
      </c>
      <c r="D1037" s="68" t="s">
        <v>827</v>
      </c>
      <c r="E1037" s="40"/>
      <c r="F1037" s="40"/>
      <c r="G1037" s="40"/>
      <c r="H1037" s="40"/>
      <c r="I1037" s="40"/>
      <c r="J1037" s="40"/>
      <c r="K1037" s="40"/>
      <c r="L1037" s="40"/>
      <c r="M1037" s="40"/>
      <c r="N1037" s="40"/>
      <c r="O1037" s="40"/>
      <c r="P1037" s="40"/>
      <c r="Q1037" s="40"/>
      <c r="R1037" s="40"/>
      <c r="S1037" s="40"/>
      <c r="T1037" s="40"/>
      <c r="U1037" s="40"/>
      <c r="V1037" s="40"/>
      <c r="W1037" s="40"/>
      <c r="X1037" s="40"/>
      <c r="Y1037" s="40"/>
      <c r="Z1037" s="40"/>
    </row>
    <row r="1038">
      <c r="A1038" s="65">
        <v>45959.0</v>
      </c>
      <c r="B1038" s="66" t="s">
        <v>811</v>
      </c>
      <c r="C1038" s="67" t="s">
        <v>1560</v>
      </c>
      <c r="D1038" s="67" t="s">
        <v>1530</v>
      </c>
      <c r="E1038" s="40"/>
      <c r="F1038" s="40"/>
      <c r="G1038" s="40"/>
      <c r="H1038" s="40"/>
      <c r="I1038" s="40"/>
      <c r="J1038" s="40"/>
      <c r="K1038" s="40"/>
      <c r="L1038" s="40"/>
      <c r="M1038" s="40"/>
      <c r="N1038" s="40"/>
      <c r="O1038" s="40"/>
      <c r="P1038" s="40"/>
      <c r="Q1038" s="40"/>
      <c r="R1038" s="40"/>
      <c r="S1038" s="40"/>
      <c r="T1038" s="40"/>
      <c r="U1038" s="40"/>
      <c r="V1038" s="40"/>
      <c r="W1038" s="40"/>
      <c r="X1038" s="40"/>
      <c r="Y1038" s="40"/>
      <c r="Z1038" s="40"/>
    </row>
    <row r="1039">
      <c r="A1039" s="65">
        <v>45959.0</v>
      </c>
      <c r="B1039" s="66" t="s">
        <v>811</v>
      </c>
      <c r="C1039" s="67" t="s">
        <v>1565</v>
      </c>
      <c r="D1039" s="68" t="s">
        <v>827</v>
      </c>
      <c r="E1039" s="40"/>
      <c r="F1039" s="40"/>
      <c r="G1039" s="40"/>
      <c r="H1039" s="40"/>
      <c r="I1039" s="40"/>
      <c r="J1039" s="40"/>
      <c r="K1039" s="40"/>
      <c r="L1039" s="40"/>
      <c r="M1039" s="40"/>
      <c r="N1039" s="40"/>
      <c r="O1039" s="40"/>
      <c r="P1039" s="40"/>
      <c r="Q1039" s="40"/>
      <c r="R1039" s="40"/>
      <c r="S1039" s="40"/>
      <c r="T1039" s="40"/>
      <c r="U1039" s="40"/>
      <c r="V1039" s="40"/>
      <c r="W1039" s="40"/>
      <c r="X1039" s="40"/>
      <c r="Y1039" s="40"/>
      <c r="Z1039" s="40"/>
    </row>
    <row r="1040">
      <c r="A1040" s="65">
        <v>45959.0</v>
      </c>
      <c r="B1040" s="66" t="s">
        <v>811</v>
      </c>
      <c r="C1040" s="67" t="s">
        <v>1564</v>
      </c>
      <c r="D1040" s="67" t="s">
        <v>1567</v>
      </c>
      <c r="E1040" s="40"/>
      <c r="F1040" s="40"/>
      <c r="G1040" s="40"/>
      <c r="H1040" s="40"/>
      <c r="I1040" s="40"/>
      <c r="J1040" s="40"/>
      <c r="K1040" s="40"/>
      <c r="L1040" s="40"/>
      <c r="M1040" s="40"/>
      <c r="N1040" s="40"/>
      <c r="O1040" s="40"/>
      <c r="P1040" s="40"/>
      <c r="Q1040" s="40"/>
      <c r="R1040" s="40"/>
      <c r="S1040" s="40"/>
      <c r="T1040" s="40"/>
      <c r="U1040" s="40"/>
      <c r="V1040" s="40"/>
      <c r="W1040" s="40"/>
      <c r="X1040" s="40"/>
      <c r="Y1040" s="40"/>
      <c r="Z1040" s="40"/>
    </row>
    <row r="1041">
      <c r="A1041" s="65">
        <v>45959.0</v>
      </c>
      <c r="B1041" s="66" t="s">
        <v>811</v>
      </c>
      <c r="C1041" s="67" t="s">
        <v>1565</v>
      </c>
      <c r="D1041" s="68" t="s">
        <v>827</v>
      </c>
      <c r="E1041" s="40"/>
      <c r="F1041" s="40"/>
      <c r="G1041" s="40"/>
      <c r="H1041" s="40"/>
      <c r="I1041" s="40"/>
      <c r="J1041" s="40"/>
      <c r="K1041" s="40"/>
      <c r="L1041" s="40"/>
      <c r="M1041" s="40"/>
      <c r="N1041" s="40"/>
      <c r="O1041" s="40"/>
      <c r="P1041" s="40"/>
      <c r="Q1041" s="40"/>
      <c r="R1041" s="40"/>
      <c r="S1041" s="40"/>
      <c r="T1041" s="40"/>
      <c r="U1041" s="40"/>
      <c r="V1041" s="40"/>
      <c r="W1041" s="40"/>
      <c r="X1041" s="40"/>
      <c r="Y1041" s="40"/>
      <c r="Z1041" s="40"/>
    </row>
    <row r="1042">
      <c r="A1042" s="65">
        <v>45959.0</v>
      </c>
      <c r="B1042" s="66" t="s">
        <v>811</v>
      </c>
      <c r="C1042" s="67" t="s">
        <v>1564</v>
      </c>
      <c r="D1042" s="67" t="s">
        <v>1567</v>
      </c>
      <c r="E1042" s="40"/>
      <c r="F1042" s="40"/>
      <c r="G1042" s="40"/>
      <c r="H1042" s="40"/>
      <c r="I1042" s="40"/>
      <c r="J1042" s="40"/>
      <c r="K1042" s="40"/>
      <c r="L1042" s="40"/>
      <c r="M1042" s="40"/>
      <c r="N1042" s="40"/>
      <c r="O1042" s="40"/>
      <c r="P1042" s="40"/>
      <c r="Q1042" s="40"/>
      <c r="R1042" s="40"/>
      <c r="S1042" s="40"/>
      <c r="T1042" s="40"/>
      <c r="U1042" s="40"/>
      <c r="V1042" s="40"/>
      <c r="W1042" s="40"/>
      <c r="X1042" s="40"/>
      <c r="Y1042" s="40"/>
      <c r="Z1042" s="40"/>
    </row>
    <row r="1043">
      <c r="A1043" s="65">
        <v>45959.0</v>
      </c>
      <c r="B1043" s="66" t="s">
        <v>811</v>
      </c>
      <c r="C1043" s="67" t="s">
        <v>1563</v>
      </c>
      <c r="D1043" s="67" t="s">
        <v>1016</v>
      </c>
      <c r="E1043" s="40"/>
      <c r="F1043" s="40"/>
      <c r="G1043" s="40"/>
      <c r="H1043" s="40"/>
      <c r="I1043" s="40"/>
      <c r="J1043" s="40"/>
      <c r="K1043" s="40"/>
      <c r="L1043" s="40"/>
      <c r="M1043" s="40"/>
      <c r="N1043" s="40"/>
      <c r="O1043" s="40"/>
      <c r="P1043" s="40"/>
      <c r="Q1043" s="40"/>
      <c r="R1043" s="40"/>
      <c r="S1043" s="40"/>
      <c r="T1043" s="40"/>
      <c r="U1043" s="40"/>
      <c r="V1043" s="40"/>
      <c r="W1043" s="40"/>
      <c r="X1043" s="40"/>
      <c r="Y1043" s="40"/>
      <c r="Z1043" s="40"/>
    </row>
    <row r="1044">
      <c r="A1044" s="65">
        <v>45959.0</v>
      </c>
      <c r="B1044" s="66" t="s">
        <v>811</v>
      </c>
      <c r="C1044" s="67" t="s">
        <v>1563</v>
      </c>
      <c r="D1044" s="67" t="s">
        <v>1016</v>
      </c>
      <c r="E1044" s="40"/>
      <c r="F1044" s="40"/>
      <c r="G1044" s="40"/>
      <c r="H1044" s="40"/>
      <c r="I1044" s="40"/>
      <c r="J1044" s="40"/>
      <c r="K1044" s="40"/>
      <c r="L1044" s="40"/>
      <c r="M1044" s="40"/>
      <c r="N1044" s="40"/>
      <c r="O1044" s="40"/>
      <c r="P1044" s="40"/>
      <c r="Q1044" s="40"/>
      <c r="R1044" s="40"/>
      <c r="S1044" s="40"/>
      <c r="T1044" s="40"/>
      <c r="U1044" s="40"/>
      <c r="V1044" s="40"/>
      <c r="W1044" s="40"/>
      <c r="X1044" s="40"/>
      <c r="Y1044" s="40"/>
      <c r="Z1044" s="40"/>
    </row>
    <row r="1045">
      <c r="A1045" s="65">
        <v>45959.0</v>
      </c>
      <c r="B1045" s="66" t="s">
        <v>811</v>
      </c>
      <c r="C1045" s="68" t="s">
        <v>827</v>
      </c>
      <c r="D1045" s="67" t="s">
        <v>995</v>
      </c>
      <c r="E1045" s="40"/>
      <c r="F1045" s="40"/>
      <c r="G1045" s="40"/>
      <c r="H1045" s="40"/>
      <c r="I1045" s="40"/>
      <c r="J1045" s="40"/>
      <c r="K1045" s="40"/>
      <c r="L1045" s="40"/>
      <c r="M1045" s="40"/>
      <c r="N1045" s="40"/>
      <c r="O1045" s="40"/>
      <c r="P1045" s="40"/>
      <c r="Q1045" s="40"/>
      <c r="R1045" s="40"/>
      <c r="S1045" s="40"/>
      <c r="T1045" s="40"/>
      <c r="U1045" s="40"/>
      <c r="V1045" s="40"/>
      <c r="W1045" s="40"/>
      <c r="X1045" s="40"/>
      <c r="Y1045" s="40"/>
      <c r="Z1045" s="40"/>
    </row>
    <row r="1046">
      <c r="A1046" s="65">
        <v>45959.0</v>
      </c>
      <c r="B1046" s="66" t="s">
        <v>811</v>
      </c>
      <c r="C1046" s="67" t="s">
        <v>1568</v>
      </c>
      <c r="D1046" s="68" t="s">
        <v>827</v>
      </c>
      <c r="E1046" s="40"/>
      <c r="F1046" s="40"/>
      <c r="G1046" s="40"/>
      <c r="H1046" s="40"/>
      <c r="I1046" s="40"/>
      <c r="J1046" s="40"/>
      <c r="K1046" s="40"/>
      <c r="L1046" s="40"/>
      <c r="M1046" s="40"/>
      <c r="N1046" s="40"/>
      <c r="O1046" s="40"/>
      <c r="P1046" s="40"/>
      <c r="Q1046" s="40"/>
      <c r="R1046" s="40"/>
      <c r="S1046" s="40"/>
      <c r="T1046" s="40"/>
      <c r="U1046" s="40"/>
      <c r="V1046" s="40"/>
      <c r="W1046" s="40"/>
      <c r="X1046" s="40"/>
      <c r="Y1046" s="40"/>
      <c r="Z1046" s="40"/>
    </row>
    <row r="1047">
      <c r="A1047" s="65">
        <v>45959.0</v>
      </c>
      <c r="B1047" s="66" t="s">
        <v>811</v>
      </c>
      <c r="C1047" s="67" t="s">
        <v>1568</v>
      </c>
      <c r="D1047" s="68" t="s">
        <v>827</v>
      </c>
      <c r="E1047" s="40"/>
      <c r="F1047" s="40"/>
      <c r="G1047" s="40"/>
      <c r="H1047" s="40"/>
      <c r="I1047" s="40"/>
      <c r="J1047" s="40"/>
      <c r="K1047" s="40"/>
      <c r="L1047" s="40"/>
      <c r="M1047" s="40"/>
      <c r="N1047" s="40"/>
      <c r="O1047" s="40"/>
      <c r="P1047" s="40"/>
      <c r="Q1047" s="40"/>
      <c r="R1047" s="40"/>
      <c r="S1047" s="40"/>
      <c r="T1047" s="40"/>
      <c r="U1047" s="40"/>
      <c r="V1047" s="40"/>
      <c r="W1047" s="40"/>
      <c r="X1047" s="40"/>
      <c r="Y1047" s="40"/>
      <c r="Z1047" s="40"/>
    </row>
    <row r="1048">
      <c r="A1048" s="65">
        <v>45959.0</v>
      </c>
      <c r="B1048" s="66" t="s">
        <v>811</v>
      </c>
      <c r="C1048" s="67" t="s">
        <v>1560</v>
      </c>
      <c r="D1048" s="67" t="s">
        <v>1569</v>
      </c>
      <c r="E1048" s="40"/>
      <c r="F1048" s="40"/>
      <c r="G1048" s="40"/>
      <c r="H1048" s="40"/>
      <c r="I1048" s="40"/>
      <c r="J1048" s="40"/>
      <c r="K1048" s="40"/>
      <c r="L1048" s="40"/>
      <c r="M1048" s="40"/>
      <c r="N1048" s="40"/>
      <c r="O1048" s="40"/>
      <c r="P1048" s="40"/>
      <c r="Q1048" s="40"/>
      <c r="R1048" s="40"/>
      <c r="S1048" s="40"/>
      <c r="T1048" s="40"/>
      <c r="U1048" s="40"/>
      <c r="V1048" s="40"/>
      <c r="W1048" s="40"/>
      <c r="X1048" s="40"/>
      <c r="Y1048" s="40"/>
      <c r="Z1048" s="40"/>
    </row>
    <row r="1049">
      <c r="A1049" s="65">
        <v>45962.0</v>
      </c>
      <c r="B1049" s="66" t="s">
        <v>810</v>
      </c>
      <c r="C1049" s="67" t="s">
        <v>1570</v>
      </c>
      <c r="D1049" s="67" t="s">
        <v>1571</v>
      </c>
      <c r="E1049" s="40"/>
      <c r="F1049" s="40"/>
      <c r="G1049" s="40"/>
      <c r="H1049" s="40"/>
      <c r="I1049" s="40"/>
      <c r="J1049" s="40"/>
      <c r="K1049" s="40"/>
      <c r="L1049" s="40"/>
      <c r="M1049" s="40"/>
      <c r="N1049" s="40"/>
      <c r="O1049" s="40"/>
      <c r="P1049" s="40"/>
      <c r="Q1049" s="40"/>
      <c r="R1049" s="40"/>
      <c r="S1049" s="40"/>
      <c r="T1049" s="40"/>
      <c r="U1049" s="40"/>
      <c r="V1049" s="40"/>
      <c r="W1049" s="40"/>
      <c r="X1049" s="40"/>
      <c r="Y1049" s="40"/>
      <c r="Z1049" s="40"/>
    </row>
    <row r="1050">
      <c r="A1050" s="65">
        <v>45962.0</v>
      </c>
      <c r="B1050" s="66" t="s">
        <v>810</v>
      </c>
      <c r="C1050" s="67" t="s">
        <v>1572</v>
      </c>
      <c r="D1050" s="67" t="s">
        <v>1573</v>
      </c>
      <c r="E1050" s="40"/>
      <c r="F1050" s="40"/>
      <c r="G1050" s="40"/>
      <c r="H1050" s="40"/>
      <c r="I1050" s="40"/>
      <c r="J1050" s="40"/>
      <c r="K1050" s="40"/>
      <c r="L1050" s="40"/>
      <c r="M1050" s="40"/>
      <c r="N1050" s="40"/>
      <c r="O1050" s="40"/>
      <c r="P1050" s="40"/>
      <c r="Q1050" s="40"/>
      <c r="R1050" s="40"/>
      <c r="S1050" s="40"/>
      <c r="T1050" s="40"/>
      <c r="U1050" s="40"/>
      <c r="V1050" s="40"/>
      <c r="W1050" s="40"/>
      <c r="X1050" s="40"/>
      <c r="Y1050" s="40"/>
      <c r="Z1050" s="40"/>
    </row>
    <row r="1051">
      <c r="A1051" s="65">
        <v>45962.0</v>
      </c>
      <c r="B1051" s="66" t="s">
        <v>810</v>
      </c>
      <c r="C1051" s="68" t="s">
        <v>827</v>
      </c>
      <c r="D1051" s="67" t="s">
        <v>1574</v>
      </c>
      <c r="E1051" s="40"/>
      <c r="F1051" s="40"/>
      <c r="G1051" s="40"/>
      <c r="H1051" s="40"/>
      <c r="I1051" s="40"/>
      <c r="J1051" s="40"/>
      <c r="K1051" s="40"/>
      <c r="L1051" s="40"/>
      <c r="M1051" s="40"/>
      <c r="N1051" s="40"/>
      <c r="O1051" s="40"/>
      <c r="P1051" s="40"/>
      <c r="Q1051" s="40"/>
      <c r="R1051" s="40"/>
      <c r="S1051" s="40"/>
      <c r="T1051" s="40"/>
      <c r="U1051" s="40"/>
      <c r="V1051" s="40"/>
      <c r="W1051" s="40"/>
      <c r="X1051" s="40"/>
      <c r="Y1051" s="40"/>
      <c r="Z1051" s="40"/>
    </row>
    <row r="1052">
      <c r="A1052" s="65">
        <v>45962.0</v>
      </c>
      <c r="B1052" s="66" t="s">
        <v>810</v>
      </c>
      <c r="C1052" s="67" t="s">
        <v>1575</v>
      </c>
      <c r="D1052" s="68" t="s">
        <v>827</v>
      </c>
      <c r="E1052" s="40"/>
      <c r="F1052" s="40"/>
      <c r="G1052" s="40"/>
      <c r="H1052" s="40"/>
      <c r="I1052" s="40"/>
      <c r="J1052" s="40"/>
      <c r="K1052" s="40"/>
      <c r="L1052" s="40"/>
      <c r="M1052" s="40"/>
      <c r="N1052" s="40"/>
      <c r="O1052" s="40"/>
      <c r="P1052" s="40"/>
      <c r="Q1052" s="40"/>
      <c r="R1052" s="40"/>
      <c r="S1052" s="40"/>
      <c r="T1052" s="40"/>
      <c r="U1052" s="40"/>
      <c r="V1052" s="40"/>
      <c r="W1052" s="40"/>
      <c r="X1052" s="40"/>
      <c r="Y1052" s="40"/>
      <c r="Z1052" s="40"/>
    </row>
    <row r="1053">
      <c r="A1053" s="65">
        <v>45966.0</v>
      </c>
      <c r="B1053" s="66" t="s">
        <v>811</v>
      </c>
      <c r="C1053" s="67" t="s">
        <v>1576</v>
      </c>
      <c r="D1053" s="67" t="s">
        <v>959</v>
      </c>
      <c r="E1053" s="40"/>
      <c r="F1053" s="40"/>
      <c r="G1053" s="40"/>
      <c r="H1053" s="40"/>
      <c r="I1053" s="40"/>
      <c r="J1053" s="40"/>
      <c r="K1053" s="40"/>
      <c r="L1053" s="40"/>
      <c r="M1053" s="40"/>
      <c r="N1053" s="40"/>
      <c r="O1053" s="40"/>
      <c r="P1053" s="40"/>
      <c r="Q1053" s="40"/>
      <c r="R1053" s="40"/>
      <c r="S1053" s="40"/>
      <c r="T1053" s="40"/>
      <c r="U1053" s="40"/>
      <c r="V1053" s="40"/>
      <c r="W1053" s="40"/>
      <c r="X1053" s="40"/>
      <c r="Y1053" s="40"/>
      <c r="Z1053" s="40"/>
    </row>
    <row r="1054">
      <c r="A1054" s="65">
        <v>45966.0</v>
      </c>
      <c r="B1054" s="66" t="s">
        <v>811</v>
      </c>
      <c r="C1054" s="67" t="s">
        <v>1577</v>
      </c>
      <c r="D1054" s="68" t="s">
        <v>827</v>
      </c>
      <c r="E1054" s="40"/>
      <c r="F1054" s="40"/>
      <c r="G1054" s="40"/>
      <c r="H1054" s="40"/>
      <c r="I1054" s="40"/>
      <c r="J1054" s="40"/>
      <c r="K1054" s="40"/>
      <c r="L1054" s="40"/>
      <c r="M1054" s="40"/>
      <c r="N1054" s="40"/>
      <c r="O1054" s="40"/>
      <c r="P1054" s="40"/>
      <c r="Q1054" s="40"/>
      <c r="R1054" s="40"/>
      <c r="S1054" s="40"/>
      <c r="T1054" s="40"/>
      <c r="U1054" s="40"/>
      <c r="V1054" s="40"/>
      <c r="W1054" s="40"/>
      <c r="X1054" s="40"/>
      <c r="Y1054" s="40"/>
      <c r="Z1054" s="40"/>
    </row>
    <row r="1055">
      <c r="A1055" s="65">
        <v>45966.0</v>
      </c>
      <c r="B1055" s="66" t="s">
        <v>811</v>
      </c>
      <c r="C1055" s="67" t="s">
        <v>1577</v>
      </c>
      <c r="D1055" s="68" t="s">
        <v>827</v>
      </c>
      <c r="E1055" s="40"/>
      <c r="F1055" s="40"/>
      <c r="G1055" s="40"/>
      <c r="H1055" s="40"/>
      <c r="I1055" s="40"/>
      <c r="J1055" s="40"/>
      <c r="K1055" s="40"/>
      <c r="L1055" s="40"/>
      <c r="M1055" s="40"/>
      <c r="N1055" s="40"/>
      <c r="O1055" s="40"/>
      <c r="P1055" s="40"/>
      <c r="Q1055" s="40"/>
      <c r="R1055" s="40"/>
      <c r="S1055" s="40"/>
      <c r="T1055" s="40"/>
      <c r="U1055" s="40"/>
      <c r="V1055" s="40"/>
      <c r="W1055" s="40"/>
      <c r="X1055" s="40"/>
      <c r="Y1055" s="40"/>
      <c r="Z1055" s="40"/>
    </row>
    <row r="1056">
      <c r="A1056" s="65">
        <v>45966.0</v>
      </c>
      <c r="B1056" s="66" t="s">
        <v>811</v>
      </c>
      <c r="C1056" s="67" t="s">
        <v>1578</v>
      </c>
      <c r="D1056" s="68" t="s">
        <v>827</v>
      </c>
      <c r="E1056" s="40"/>
      <c r="F1056" s="40"/>
      <c r="G1056" s="40"/>
      <c r="H1056" s="40"/>
      <c r="I1056" s="40"/>
      <c r="J1056" s="40"/>
      <c r="K1056" s="40"/>
      <c r="L1056" s="40"/>
      <c r="M1056" s="40"/>
      <c r="N1056" s="40"/>
      <c r="O1056" s="40"/>
      <c r="P1056" s="40"/>
      <c r="Q1056" s="40"/>
      <c r="R1056" s="40"/>
      <c r="S1056" s="40"/>
      <c r="T1056" s="40"/>
      <c r="U1056" s="40"/>
      <c r="V1056" s="40"/>
      <c r="W1056" s="40"/>
      <c r="X1056" s="40"/>
      <c r="Y1056" s="40"/>
      <c r="Z1056" s="40"/>
    </row>
    <row r="1057">
      <c r="A1057" s="65">
        <v>45966.0</v>
      </c>
      <c r="B1057" s="66" t="s">
        <v>811</v>
      </c>
      <c r="C1057" s="67" t="s">
        <v>1578</v>
      </c>
      <c r="D1057" s="68" t="s">
        <v>827</v>
      </c>
      <c r="E1057" s="40"/>
      <c r="F1057" s="40"/>
      <c r="G1057" s="40"/>
      <c r="H1057" s="40"/>
      <c r="I1057" s="40"/>
      <c r="J1057" s="40"/>
      <c r="K1057" s="40"/>
      <c r="L1057" s="40"/>
      <c r="M1057" s="40"/>
      <c r="N1057" s="40"/>
      <c r="O1057" s="40"/>
      <c r="P1057" s="40"/>
      <c r="Q1057" s="40"/>
      <c r="R1057" s="40"/>
      <c r="S1057" s="40"/>
      <c r="T1057" s="40"/>
      <c r="U1057" s="40"/>
      <c r="V1057" s="40"/>
      <c r="W1057" s="40"/>
      <c r="X1057" s="40"/>
      <c r="Y1057" s="40"/>
      <c r="Z1057" s="40"/>
    </row>
    <row r="1058">
      <c r="A1058" s="65">
        <v>45966.0</v>
      </c>
      <c r="B1058" s="66" t="s">
        <v>811</v>
      </c>
      <c r="C1058" s="67" t="s">
        <v>1579</v>
      </c>
      <c r="D1058" s="68" t="s">
        <v>827</v>
      </c>
      <c r="E1058" s="40"/>
      <c r="F1058" s="40"/>
      <c r="G1058" s="40"/>
      <c r="H1058" s="40"/>
      <c r="I1058" s="40"/>
      <c r="J1058" s="40"/>
      <c r="K1058" s="40"/>
      <c r="L1058" s="40"/>
      <c r="M1058" s="40"/>
      <c r="N1058" s="40"/>
      <c r="O1058" s="40"/>
      <c r="P1058" s="40"/>
      <c r="Q1058" s="40"/>
      <c r="R1058" s="40"/>
      <c r="S1058" s="40"/>
      <c r="T1058" s="40"/>
      <c r="U1058" s="40"/>
      <c r="V1058" s="40"/>
      <c r="W1058" s="40"/>
      <c r="X1058" s="40"/>
      <c r="Y1058" s="40"/>
      <c r="Z1058" s="40"/>
    </row>
    <row r="1059">
      <c r="A1059" s="65">
        <v>45966.0</v>
      </c>
      <c r="B1059" s="66" t="s">
        <v>811</v>
      </c>
      <c r="C1059" s="67" t="s">
        <v>1578</v>
      </c>
      <c r="D1059" s="68" t="s">
        <v>827</v>
      </c>
      <c r="E1059" s="40"/>
      <c r="F1059" s="40"/>
      <c r="G1059" s="40"/>
      <c r="H1059" s="40"/>
      <c r="I1059" s="40"/>
      <c r="J1059" s="40"/>
      <c r="K1059" s="40"/>
      <c r="L1059" s="40"/>
      <c r="M1059" s="40"/>
      <c r="N1059" s="40"/>
      <c r="O1059" s="40"/>
      <c r="P1059" s="40"/>
      <c r="Q1059" s="40"/>
      <c r="R1059" s="40"/>
      <c r="S1059" s="40"/>
      <c r="T1059" s="40"/>
      <c r="U1059" s="40"/>
      <c r="V1059" s="40"/>
      <c r="W1059" s="40"/>
      <c r="X1059" s="40"/>
      <c r="Y1059" s="40"/>
      <c r="Z1059" s="40"/>
    </row>
    <row r="1060">
      <c r="A1060" s="65">
        <v>45966.0</v>
      </c>
      <c r="B1060" s="66" t="s">
        <v>811</v>
      </c>
      <c r="C1060" s="67" t="s">
        <v>1579</v>
      </c>
      <c r="D1060" s="68" t="s">
        <v>827</v>
      </c>
      <c r="E1060" s="40"/>
      <c r="F1060" s="40"/>
      <c r="G1060" s="40"/>
      <c r="H1060" s="40"/>
      <c r="I1060" s="40"/>
      <c r="J1060" s="40"/>
      <c r="K1060" s="40"/>
      <c r="L1060" s="40"/>
      <c r="M1060" s="40"/>
      <c r="N1060" s="40"/>
      <c r="O1060" s="40"/>
      <c r="P1060" s="40"/>
      <c r="Q1060" s="40"/>
      <c r="R1060" s="40"/>
      <c r="S1060" s="40"/>
      <c r="T1060" s="40"/>
      <c r="U1060" s="40"/>
      <c r="V1060" s="40"/>
      <c r="W1060" s="40"/>
      <c r="X1060" s="40"/>
      <c r="Y1060" s="40"/>
      <c r="Z1060" s="40"/>
    </row>
    <row r="1061">
      <c r="A1061" s="65">
        <v>45966.0</v>
      </c>
      <c r="B1061" s="66" t="s">
        <v>811</v>
      </c>
      <c r="C1061" s="67" t="s">
        <v>1580</v>
      </c>
      <c r="D1061" s="68" t="s">
        <v>827</v>
      </c>
      <c r="E1061" s="40"/>
      <c r="F1061" s="40"/>
      <c r="G1061" s="40"/>
      <c r="H1061" s="40"/>
      <c r="I1061" s="40"/>
      <c r="J1061" s="40"/>
      <c r="K1061" s="40"/>
      <c r="L1061" s="40"/>
      <c r="M1061" s="40"/>
      <c r="N1061" s="40"/>
      <c r="O1061" s="40"/>
      <c r="P1061" s="40"/>
      <c r="Q1061" s="40"/>
      <c r="R1061" s="40"/>
      <c r="S1061" s="40"/>
      <c r="T1061" s="40"/>
      <c r="U1061" s="40"/>
      <c r="V1061" s="40"/>
      <c r="W1061" s="40"/>
      <c r="X1061" s="40"/>
      <c r="Y1061" s="40"/>
      <c r="Z1061" s="40"/>
    </row>
    <row r="1062">
      <c r="A1062" s="65">
        <v>45966.0</v>
      </c>
      <c r="B1062" s="66" t="s">
        <v>811</v>
      </c>
      <c r="C1062" s="67" t="s">
        <v>1579</v>
      </c>
      <c r="D1062" s="68" t="s">
        <v>827</v>
      </c>
      <c r="E1062" s="40"/>
      <c r="F1062" s="40"/>
      <c r="G1062" s="40"/>
      <c r="H1062" s="40"/>
      <c r="I1062" s="40"/>
      <c r="J1062" s="40"/>
      <c r="K1062" s="40"/>
      <c r="L1062" s="40"/>
      <c r="M1062" s="40"/>
      <c r="N1062" s="40"/>
      <c r="O1062" s="40"/>
      <c r="P1062" s="40"/>
      <c r="Q1062" s="40"/>
      <c r="R1062" s="40"/>
      <c r="S1062" s="40"/>
      <c r="T1062" s="40"/>
      <c r="U1062" s="40"/>
      <c r="V1062" s="40"/>
      <c r="W1062" s="40"/>
      <c r="X1062" s="40"/>
      <c r="Y1062" s="40"/>
      <c r="Z1062" s="40"/>
    </row>
    <row r="1063">
      <c r="A1063" s="65">
        <v>45966.0</v>
      </c>
      <c r="B1063" s="66" t="s">
        <v>811</v>
      </c>
      <c r="C1063" s="67" t="s">
        <v>1580</v>
      </c>
      <c r="D1063" s="68" t="s">
        <v>827</v>
      </c>
      <c r="E1063" s="40"/>
      <c r="F1063" s="40"/>
      <c r="G1063" s="40"/>
      <c r="H1063" s="40"/>
      <c r="I1063" s="40"/>
      <c r="J1063" s="40"/>
      <c r="K1063" s="40"/>
      <c r="L1063" s="40"/>
      <c r="M1063" s="40"/>
      <c r="N1063" s="40"/>
      <c r="O1063" s="40"/>
      <c r="P1063" s="40"/>
      <c r="Q1063" s="40"/>
      <c r="R1063" s="40"/>
      <c r="S1063" s="40"/>
      <c r="T1063" s="40"/>
      <c r="U1063" s="40"/>
      <c r="V1063" s="40"/>
      <c r="W1063" s="40"/>
      <c r="X1063" s="40"/>
      <c r="Y1063" s="40"/>
      <c r="Z1063" s="40"/>
    </row>
    <row r="1064">
      <c r="A1064" s="65">
        <v>45966.0</v>
      </c>
      <c r="B1064" s="66" t="s">
        <v>811</v>
      </c>
      <c r="C1064" s="67" t="s">
        <v>1581</v>
      </c>
      <c r="D1064" s="68" t="s">
        <v>827</v>
      </c>
      <c r="E1064" s="40"/>
      <c r="F1064" s="40"/>
      <c r="G1064" s="40"/>
      <c r="H1064" s="40"/>
      <c r="I1064" s="40"/>
      <c r="J1064" s="40"/>
      <c r="K1064" s="40"/>
      <c r="L1064" s="40"/>
      <c r="M1064" s="40"/>
      <c r="N1064" s="40"/>
      <c r="O1064" s="40"/>
      <c r="P1064" s="40"/>
      <c r="Q1064" s="40"/>
      <c r="R1064" s="40"/>
      <c r="S1064" s="40"/>
      <c r="T1064" s="40"/>
      <c r="U1064" s="40"/>
      <c r="V1064" s="40"/>
      <c r="W1064" s="40"/>
      <c r="X1064" s="40"/>
      <c r="Y1064" s="40"/>
      <c r="Z1064" s="40"/>
    </row>
    <row r="1065">
      <c r="A1065" s="65">
        <v>45966.0</v>
      </c>
      <c r="B1065" s="66" t="s">
        <v>811</v>
      </c>
      <c r="C1065" s="67" t="s">
        <v>1582</v>
      </c>
      <c r="D1065" s="68" t="s">
        <v>827</v>
      </c>
      <c r="E1065" s="40"/>
      <c r="F1065" s="40"/>
      <c r="G1065" s="40"/>
      <c r="H1065" s="40"/>
      <c r="I1065" s="40"/>
      <c r="J1065" s="40"/>
      <c r="K1065" s="40"/>
      <c r="L1065" s="40"/>
      <c r="M1065" s="40"/>
      <c r="N1065" s="40"/>
      <c r="O1065" s="40"/>
      <c r="P1065" s="40"/>
      <c r="Q1065" s="40"/>
      <c r="R1065" s="40"/>
      <c r="S1065" s="40"/>
      <c r="T1065" s="40"/>
      <c r="U1065" s="40"/>
      <c r="V1065" s="40"/>
      <c r="W1065" s="40"/>
      <c r="X1065" s="40"/>
      <c r="Y1065" s="40"/>
      <c r="Z1065" s="40"/>
    </row>
    <row r="1066">
      <c r="A1066" s="65">
        <v>45966.0</v>
      </c>
      <c r="B1066" s="66" t="s">
        <v>811</v>
      </c>
      <c r="C1066" s="67" t="s">
        <v>1582</v>
      </c>
      <c r="D1066" s="68" t="s">
        <v>827</v>
      </c>
      <c r="E1066" s="40"/>
      <c r="F1066" s="40"/>
      <c r="G1066" s="40"/>
      <c r="H1066" s="40"/>
      <c r="I1066" s="40"/>
      <c r="J1066" s="40"/>
      <c r="K1066" s="40"/>
      <c r="L1066" s="40"/>
      <c r="M1066" s="40"/>
      <c r="N1066" s="40"/>
      <c r="O1066" s="40"/>
      <c r="P1066" s="40"/>
      <c r="Q1066" s="40"/>
      <c r="R1066" s="40"/>
      <c r="S1066" s="40"/>
      <c r="T1066" s="40"/>
      <c r="U1066" s="40"/>
      <c r="V1066" s="40"/>
      <c r="W1066" s="40"/>
      <c r="X1066" s="40"/>
      <c r="Y1066" s="40"/>
      <c r="Z1066" s="40"/>
    </row>
    <row r="1067">
      <c r="A1067" s="65">
        <v>45966.0</v>
      </c>
      <c r="B1067" s="66" t="s">
        <v>811</v>
      </c>
      <c r="C1067" s="67" t="s">
        <v>1576</v>
      </c>
      <c r="D1067" s="67" t="s">
        <v>1583</v>
      </c>
      <c r="E1067" s="40"/>
      <c r="F1067" s="40"/>
      <c r="G1067" s="40"/>
      <c r="H1067" s="40"/>
      <c r="I1067" s="40"/>
      <c r="J1067" s="40"/>
      <c r="K1067" s="40"/>
      <c r="L1067" s="40"/>
      <c r="M1067" s="40"/>
      <c r="N1067" s="40"/>
      <c r="O1067" s="40"/>
      <c r="P1067" s="40"/>
      <c r="Q1067" s="40"/>
      <c r="R1067" s="40"/>
      <c r="S1067" s="40"/>
      <c r="T1067" s="40"/>
      <c r="U1067" s="40"/>
      <c r="V1067" s="40"/>
      <c r="W1067" s="40"/>
      <c r="X1067" s="40"/>
      <c r="Y1067" s="40"/>
      <c r="Z1067" s="40"/>
    </row>
    <row r="1068">
      <c r="A1068" s="65">
        <v>45966.0</v>
      </c>
      <c r="B1068" s="66" t="s">
        <v>811</v>
      </c>
      <c r="C1068" s="67" t="s">
        <v>1584</v>
      </c>
      <c r="D1068" s="68" t="s">
        <v>827</v>
      </c>
      <c r="E1068" s="40"/>
      <c r="F1068" s="40"/>
      <c r="G1068" s="40"/>
      <c r="H1068" s="40"/>
      <c r="I1068" s="40"/>
      <c r="J1068" s="40"/>
      <c r="K1068" s="40"/>
      <c r="L1068" s="40"/>
      <c r="M1068" s="40"/>
      <c r="N1068" s="40"/>
      <c r="O1068" s="40"/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0"/>
    </row>
    <row r="1069">
      <c r="A1069" s="65">
        <v>45969.0</v>
      </c>
      <c r="B1069" s="66" t="s">
        <v>810</v>
      </c>
      <c r="C1069" s="67" t="s">
        <v>1585</v>
      </c>
      <c r="D1069" s="68" t="s">
        <v>827</v>
      </c>
      <c r="E1069" s="40"/>
      <c r="F1069" s="40"/>
      <c r="G1069" s="40"/>
      <c r="H1069" s="40"/>
      <c r="I1069" s="40"/>
      <c r="J1069" s="40"/>
      <c r="K1069" s="40"/>
      <c r="L1069" s="40"/>
      <c r="M1069" s="40"/>
      <c r="N1069" s="40"/>
      <c r="O1069" s="40"/>
      <c r="P1069" s="40"/>
      <c r="Q1069" s="40"/>
      <c r="R1069" s="40"/>
      <c r="S1069" s="40"/>
      <c r="T1069" s="40"/>
      <c r="U1069" s="40"/>
      <c r="V1069" s="40"/>
      <c r="W1069" s="40"/>
      <c r="X1069" s="40"/>
      <c r="Y1069" s="40"/>
      <c r="Z1069" s="40"/>
    </row>
    <row r="1070">
      <c r="A1070" s="65">
        <v>45969.0</v>
      </c>
      <c r="B1070" s="66" t="s">
        <v>810</v>
      </c>
      <c r="C1070" s="67" t="s">
        <v>1585</v>
      </c>
      <c r="D1070" s="68" t="s">
        <v>827</v>
      </c>
      <c r="E1070" s="40"/>
      <c r="F1070" s="40"/>
      <c r="G1070" s="40"/>
      <c r="H1070" s="40"/>
      <c r="I1070" s="40"/>
      <c r="J1070" s="40"/>
      <c r="K1070" s="40"/>
      <c r="L1070" s="40"/>
      <c r="M1070" s="40"/>
      <c r="N1070" s="40"/>
      <c r="O1070" s="40"/>
      <c r="P1070" s="40"/>
      <c r="Q1070" s="40"/>
      <c r="R1070" s="40"/>
      <c r="S1070" s="40"/>
      <c r="T1070" s="40"/>
      <c r="U1070" s="40"/>
      <c r="V1070" s="40"/>
      <c r="W1070" s="40"/>
      <c r="X1070" s="40"/>
      <c r="Y1070" s="40"/>
      <c r="Z1070" s="40"/>
    </row>
    <row r="1071">
      <c r="A1071" s="65">
        <v>45969.0</v>
      </c>
      <c r="B1071" s="66" t="s">
        <v>810</v>
      </c>
      <c r="C1071" s="67" t="s">
        <v>1586</v>
      </c>
      <c r="D1071" s="68" t="s">
        <v>827</v>
      </c>
      <c r="E1071" s="40"/>
      <c r="F1071" s="40"/>
      <c r="G1071" s="40"/>
      <c r="H1071" s="40"/>
      <c r="I1071" s="40"/>
      <c r="J1071" s="40"/>
      <c r="K1071" s="40"/>
      <c r="L1071" s="40"/>
      <c r="M1071" s="40"/>
      <c r="N1071" s="40"/>
      <c r="O1071" s="40"/>
      <c r="P1071" s="40"/>
      <c r="Q1071" s="40"/>
      <c r="R1071" s="40"/>
      <c r="S1071" s="40"/>
      <c r="T1071" s="40"/>
      <c r="U1071" s="40"/>
      <c r="V1071" s="40"/>
      <c r="W1071" s="40"/>
      <c r="X1071" s="40"/>
      <c r="Y1071" s="40"/>
      <c r="Z1071" s="40"/>
    </row>
    <row r="1072">
      <c r="A1072" s="65">
        <v>45969.0</v>
      </c>
      <c r="B1072" s="66" t="s">
        <v>810</v>
      </c>
      <c r="C1072" s="67" t="s">
        <v>1587</v>
      </c>
      <c r="D1072" s="68" t="s">
        <v>827</v>
      </c>
      <c r="E1072" s="40"/>
      <c r="F1072" s="40"/>
      <c r="G1072" s="40"/>
      <c r="H1072" s="40"/>
      <c r="I1072" s="40"/>
      <c r="J1072" s="40"/>
      <c r="K1072" s="40"/>
      <c r="L1072" s="40"/>
      <c r="M1072" s="40"/>
      <c r="N1072" s="40"/>
      <c r="O1072" s="40"/>
      <c r="P1072" s="40"/>
      <c r="Q1072" s="40"/>
      <c r="R1072" s="40"/>
      <c r="S1072" s="40"/>
      <c r="T1072" s="40"/>
      <c r="U1072" s="40"/>
      <c r="V1072" s="40"/>
      <c r="W1072" s="40"/>
      <c r="X1072" s="40"/>
      <c r="Y1072" s="40"/>
      <c r="Z1072" s="40"/>
    </row>
    <row r="1073">
      <c r="A1073" s="65">
        <v>45969.0</v>
      </c>
      <c r="B1073" s="66" t="s">
        <v>810</v>
      </c>
      <c r="C1073" s="67" t="s">
        <v>1587</v>
      </c>
      <c r="D1073" s="68" t="s">
        <v>827</v>
      </c>
      <c r="E1073" s="40"/>
      <c r="F1073" s="40"/>
      <c r="G1073" s="40"/>
      <c r="H1073" s="40"/>
      <c r="I1073" s="40"/>
      <c r="J1073" s="40"/>
      <c r="K1073" s="40"/>
      <c r="L1073" s="40"/>
      <c r="M1073" s="40"/>
      <c r="N1073" s="40"/>
      <c r="O1073" s="40"/>
      <c r="P1073" s="40"/>
      <c r="Q1073" s="40"/>
      <c r="R1073" s="40"/>
      <c r="S1073" s="40"/>
      <c r="T1073" s="40"/>
      <c r="U1073" s="40"/>
      <c r="V1073" s="40"/>
      <c r="W1073" s="40"/>
      <c r="X1073" s="40"/>
      <c r="Y1073" s="40"/>
      <c r="Z1073" s="40"/>
    </row>
    <row r="1074">
      <c r="A1074" s="65">
        <v>45969.0</v>
      </c>
      <c r="B1074" s="66" t="s">
        <v>810</v>
      </c>
      <c r="C1074" s="67" t="s">
        <v>1588</v>
      </c>
      <c r="D1074" s="68" t="s">
        <v>827</v>
      </c>
      <c r="E1074" s="40"/>
      <c r="F1074" s="40"/>
      <c r="G1074" s="40"/>
      <c r="H1074" s="40"/>
      <c r="I1074" s="40"/>
      <c r="J1074" s="40"/>
      <c r="K1074" s="40"/>
      <c r="L1074" s="40"/>
      <c r="M1074" s="40"/>
      <c r="N1074" s="40"/>
      <c r="O1074" s="40"/>
      <c r="P1074" s="40"/>
      <c r="Q1074" s="40"/>
      <c r="R1074" s="40"/>
      <c r="S1074" s="40"/>
      <c r="T1074" s="40"/>
      <c r="U1074" s="40"/>
      <c r="V1074" s="40"/>
      <c r="W1074" s="40"/>
      <c r="X1074" s="40"/>
      <c r="Y1074" s="40"/>
      <c r="Z1074" s="40"/>
    </row>
    <row r="1075">
      <c r="A1075" s="65">
        <v>45969.0</v>
      </c>
      <c r="B1075" s="66" t="s">
        <v>810</v>
      </c>
      <c r="C1075" s="67" t="s">
        <v>1589</v>
      </c>
      <c r="D1075" s="68" t="s">
        <v>827</v>
      </c>
      <c r="E1075" s="40"/>
      <c r="F1075" s="40"/>
      <c r="G1075" s="40"/>
      <c r="H1075" s="40"/>
      <c r="I1075" s="40"/>
      <c r="J1075" s="40"/>
      <c r="K1075" s="40"/>
      <c r="L1075" s="40"/>
      <c r="M1075" s="40"/>
      <c r="N1075" s="40"/>
      <c r="O1075" s="40"/>
      <c r="P1075" s="40"/>
      <c r="Q1075" s="40"/>
      <c r="R1075" s="40"/>
      <c r="S1075" s="40"/>
      <c r="T1075" s="40"/>
      <c r="U1075" s="40"/>
      <c r="V1075" s="40"/>
      <c r="W1075" s="40"/>
      <c r="X1075" s="40"/>
      <c r="Y1075" s="40"/>
      <c r="Z1075" s="40"/>
    </row>
    <row r="1076">
      <c r="A1076" s="65">
        <v>45969.0</v>
      </c>
      <c r="B1076" s="66" t="s">
        <v>810</v>
      </c>
      <c r="C1076" s="67" t="s">
        <v>1590</v>
      </c>
      <c r="D1076" s="68" t="s">
        <v>827</v>
      </c>
      <c r="E1076" s="40"/>
      <c r="F1076" s="40"/>
      <c r="G1076" s="40"/>
      <c r="H1076" s="40"/>
      <c r="I1076" s="40"/>
      <c r="J1076" s="40"/>
      <c r="K1076" s="40"/>
      <c r="L1076" s="40"/>
      <c r="M1076" s="40"/>
      <c r="N1076" s="40"/>
      <c r="O1076" s="40"/>
      <c r="P1076" s="40"/>
      <c r="Q1076" s="40"/>
      <c r="R1076" s="40"/>
      <c r="S1076" s="40"/>
      <c r="T1076" s="40"/>
      <c r="U1076" s="40"/>
      <c r="V1076" s="40"/>
      <c r="W1076" s="40"/>
      <c r="X1076" s="40"/>
      <c r="Y1076" s="40"/>
      <c r="Z1076" s="40"/>
    </row>
    <row r="1077">
      <c r="A1077" s="65">
        <v>45969.0</v>
      </c>
      <c r="B1077" s="66" t="s">
        <v>810</v>
      </c>
      <c r="C1077" s="67" t="s">
        <v>1591</v>
      </c>
      <c r="D1077" s="68" t="s">
        <v>827</v>
      </c>
      <c r="E1077" s="40"/>
      <c r="F1077" s="40"/>
      <c r="G1077" s="40"/>
      <c r="H1077" s="40"/>
      <c r="I1077" s="40"/>
      <c r="J1077" s="40"/>
      <c r="K1077" s="40"/>
      <c r="L1077" s="40"/>
      <c r="M1077" s="40"/>
      <c r="N1077" s="40"/>
      <c r="O1077" s="40"/>
      <c r="P1077" s="40"/>
      <c r="Q1077" s="40"/>
      <c r="R1077" s="40"/>
      <c r="S1077" s="40"/>
      <c r="T1077" s="40"/>
      <c r="U1077" s="40"/>
      <c r="V1077" s="40"/>
      <c r="W1077" s="40"/>
      <c r="X1077" s="40"/>
      <c r="Y1077" s="40"/>
      <c r="Z1077" s="40"/>
    </row>
    <row r="1078">
      <c r="A1078" s="65">
        <v>45969.0</v>
      </c>
      <c r="B1078" s="66" t="s">
        <v>810</v>
      </c>
      <c r="C1078" s="67" t="s">
        <v>1592</v>
      </c>
      <c r="D1078" s="68" t="s">
        <v>827</v>
      </c>
      <c r="E1078" s="40"/>
      <c r="F1078" s="40"/>
      <c r="G1078" s="40"/>
      <c r="H1078" s="40"/>
      <c r="I1078" s="40"/>
      <c r="J1078" s="40"/>
      <c r="K1078" s="40"/>
      <c r="L1078" s="40"/>
      <c r="M1078" s="40"/>
      <c r="N1078" s="40"/>
      <c r="O1078" s="40"/>
      <c r="P1078" s="40"/>
      <c r="Q1078" s="40"/>
      <c r="R1078" s="40"/>
      <c r="S1078" s="40"/>
      <c r="T1078" s="40"/>
      <c r="U1078" s="40"/>
      <c r="V1078" s="40"/>
      <c r="W1078" s="40"/>
      <c r="X1078" s="40"/>
      <c r="Y1078" s="40"/>
      <c r="Z1078" s="40"/>
    </row>
    <row r="1079">
      <c r="A1079" s="65">
        <v>45969.0</v>
      </c>
      <c r="B1079" s="66" t="s">
        <v>810</v>
      </c>
      <c r="C1079" s="67" t="s">
        <v>1591</v>
      </c>
      <c r="D1079" s="68" t="s">
        <v>827</v>
      </c>
      <c r="E1079" s="40"/>
      <c r="F1079" s="40"/>
      <c r="G1079" s="40"/>
      <c r="H1079" s="40"/>
      <c r="I1079" s="40"/>
      <c r="J1079" s="40"/>
      <c r="K1079" s="40"/>
      <c r="L1079" s="40"/>
      <c r="M1079" s="40"/>
      <c r="N1079" s="40"/>
      <c r="O1079" s="40"/>
      <c r="P1079" s="40"/>
      <c r="Q1079" s="40"/>
      <c r="R1079" s="40"/>
      <c r="S1079" s="40"/>
      <c r="T1079" s="40"/>
      <c r="U1079" s="40"/>
      <c r="V1079" s="40"/>
      <c r="W1079" s="40"/>
      <c r="X1079" s="40"/>
      <c r="Y1079" s="40"/>
      <c r="Z1079" s="40"/>
    </row>
    <row r="1080">
      <c r="A1080" s="65">
        <v>45969.0</v>
      </c>
      <c r="B1080" s="66" t="s">
        <v>810</v>
      </c>
      <c r="C1080" s="67" t="s">
        <v>1592</v>
      </c>
      <c r="D1080" s="68" t="s">
        <v>827</v>
      </c>
      <c r="E1080" s="40"/>
      <c r="F1080" s="40"/>
      <c r="G1080" s="40"/>
      <c r="H1080" s="40"/>
      <c r="I1080" s="40"/>
      <c r="J1080" s="40"/>
      <c r="K1080" s="40"/>
      <c r="L1080" s="40"/>
      <c r="M1080" s="40"/>
      <c r="N1080" s="40"/>
      <c r="O1080" s="40"/>
      <c r="P1080" s="40"/>
      <c r="Q1080" s="40"/>
      <c r="R1080" s="40"/>
      <c r="S1080" s="40"/>
      <c r="T1080" s="40"/>
      <c r="U1080" s="40"/>
      <c r="V1080" s="40"/>
      <c r="W1080" s="40"/>
      <c r="X1080" s="40"/>
      <c r="Y1080" s="40"/>
      <c r="Z1080" s="40"/>
    </row>
    <row r="1081">
      <c r="A1081" s="65">
        <v>45969.0</v>
      </c>
      <c r="B1081" s="66" t="s">
        <v>810</v>
      </c>
      <c r="C1081" s="67" t="s">
        <v>1592</v>
      </c>
      <c r="D1081" s="68" t="s">
        <v>827</v>
      </c>
      <c r="E1081" s="40"/>
      <c r="F1081" s="40"/>
      <c r="G1081" s="40"/>
      <c r="H1081" s="40"/>
      <c r="I1081" s="40"/>
      <c r="J1081" s="40"/>
      <c r="K1081" s="40"/>
      <c r="L1081" s="40"/>
      <c r="M1081" s="40"/>
      <c r="N1081" s="40"/>
      <c r="O1081" s="40"/>
      <c r="P1081" s="40"/>
      <c r="Q1081" s="40"/>
      <c r="R1081" s="40"/>
      <c r="S1081" s="40"/>
      <c r="T1081" s="40"/>
      <c r="U1081" s="40"/>
      <c r="V1081" s="40"/>
      <c r="W1081" s="40"/>
      <c r="X1081" s="40"/>
      <c r="Y1081" s="40"/>
      <c r="Z1081" s="40"/>
    </row>
    <row r="1082">
      <c r="A1082" s="65">
        <v>45969.0</v>
      </c>
      <c r="B1082" s="66" t="s">
        <v>810</v>
      </c>
      <c r="C1082" s="67" t="s">
        <v>1591</v>
      </c>
      <c r="D1082" s="67" t="s">
        <v>857</v>
      </c>
      <c r="E1082" s="40"/>
      <c r="F1082" s="40"/>
      <c r="G1082" s="40"/>
      <c r="H1082" s="40"/>
      <c r="I1082" s="40"/>
      <c r="J1082" s="40"/>
      <c r="K1082" s="40"/>
      <c r="L1082" s="40"/>
      <c r="M1082" s="40"/>
      <c r="N1082" s="40"/>
      <c r="O1082" s="40"/>
      <c r="P1082" s="40"/>
      <c r="Q1082" s="40"/>
      <c r="R1082" s="40"/>
      <c r="S1082" s="40"/>
      <c r="T1082" s="40"/>
      <c r="U1082" s="40"/>
      <c r="V1082" s="40"/>
      <c r="W1082" s="40"/>
      <c r="X1082" s="40"/>
      <c r="Y1082" s="40"/>
      <c r="Z1082" s="40"/>
    </row>
    <row r="1083">
      <c r="A1083" s="65">
        <v>45969.0</v>
      </c>
      <c r="B1083" s="66" t="s">
        <v>810</v>
      </c>
      <c r="C1083" s="67" t="s">
        <v>1591</v>
      </c>
      <c r="D1083" s="67" t="s">
        <v>857</v>
      </c>
      <c r="E1083" s="40"/>
      <c r="F1083" s="40"/>
      <c r="G1083" s="40"/>
      <c r="H1083" s="40"/>
      <c r="I1083" s="40"/>
      <c r="J1083" s="40"/>
      <c r="K1083" s="40"/>
      <c r="L1083" s="40"/>
      <c r="M1083" s="40"/>
      <c r="N1083" s="40"/>
      <c r="O1083" s="40"/>
      <c r="P1083" s="40"/>
      <c r="Q1083" s="40"/>
      <c r="R1083" s="40"/>
      <c r="S1083" s="40"/>
      <c r="T1083" s="40"/>
      <c r="U1083" s="40"/>
      <c r="V1083" s="40"/>
      <c r="W1083" s="40"/>
      <c r="X1083" s="40"/>
      <c r="Y1083" s="40"/>
      <c r="Z1083" s="40"/>
    </row>
    <row r="1084">
      <c r="A1084" s="65">
        <v>45969.0</v>
      </c>
      <c r="B1084" s="66" t="s">
        <v>810</v>
      </c>
      <c r="C1084" s="67" t="s">
        <v>1593</v>
      </c>
      <c r="D1084" s="68" t="s">
        <v>827</v>
      </c>
      <c r="E1084" s="40"/>
      <c r="F1084" s="40"/>
      <c r="G1084" s="40"/>
      <c r="H1084" s="40"/>
      <c r="I1084" s="40"/>
      <c r="J1084" s="40"/>
      <c r="K1084" s="40"/>
      <c r="L1084" s="40"/>
      <c r="M1084" s="40"/>
      <c r="N1084" s="40"/>
      <c r="O1084" s="40"/>
      <c r="P1084" s="40"/>
      <c r="Q1084" s="40"/>
      <c r="R1084" s="40"/>
      <c r="S1084" s="40"/>
      <c r="T1084" s="40"/>
      <c r="U1084" s="40"/>
      <c r="V1084" s="40"/>
      <c r="W1084" s="40"/>
      <c r="X1084" s="40"/>
      <c r="Y1084" s="40"/>
      <c r="Z1084" s="40"/>
    </row>
    <row r="1085">
      <c r="A1085" s="65">
        <v>45969.0</v>
      </c>
      <c r="B1085" s="66" t="s">
        <v>810</v>
      </c>
      <c r="C1085" s="67" t="s">
        <v>1594</v>
      </c>
      <c r="D1085" s="68" t="s">
        <v>827</v>
      </c>
      <c r="E1085" s="40"/>
      <c r="F1085" s="40"/>
      <c r="G1085" s="40"/>
      <c r="H1085" s="40"/>
      <c r="I1085" s="40"/>
      <c r="J1085" s="40"/>
      <c r="K1085" s="40"/>
      <c r="L1085" s="40"/>
      <c r="M1085" s="40"/>
      <c r="N1085" s="40"/>
      <c r="O1085" s="40"/>
      <c r="P1085" s="40"/>
      <c r="Q1085" s="40"/>
      <c r="R1085" s="40"/>
      <c r="S1085" s="40"/>
      <c r="T1085" s="40"/>
      <c r="U1085" s="40"/>
      <c r="V1085" s="40"/>
      <c r="W1085" s="40"/>
      <c r="X1085" s="40"/>
      <c r="Y1085" s="40"/>
      <c r="Z1085" s="40"/>
    </row>
    <row r="1086">
      <c r="A1086" s="65">
        <v>45969.0</v>
      </c>
      <c r="B1086" s="66" t="s">
        <v>810</v>
      </c>
      <c r="C1086" s="67" t="s">
        <v>1594</v>
      </c>
      <c r="D1086" s="68" t="s">
        <v>827</v>
      </c>
      <c r="E1086" s="40"/>
      <c r="F1086" s="40"/>
      <c r="G1086" s="40"/>
      <c r="H1086" s="40"/>
      <c r="I1086" s="40"/>
      <c r="J1086" s="40"/>
      <c r="K1086" s="40"/>
      <c r="L1086" s="40"/>
      <c r="M1086" s="40"/>
      <c r="N1086" s="40"/>
      <c r="O1086" s="40"/>
      <c r="P1086" s="40"/>
      <c r="Q1086" s="40"/>
      <c r="R1086" s="40"/>
      <c r="S1086" s="40"/>
      <c r="T1086" s="40"/>
      <c r="U1086" s="40"/>
      <c r="V1086" s="40"/>
      <c r="W1086" s="40"/>
      <c r="X1086" s="40"/>
      <c r="Y1086" s="40"/>
      <c r="Z1086" s="40"/>
    </row>
    <row r="1087">
      <c r="A1087" s="65">
        <v>45969.0</v>
      </c>
      <c r="B1087" s="66" t="s">
        <v>810</v>
      </c>
      <c r="C1087" s="67" t="s">
        <v>1595</v>
      </c>
      <c r="D1087" s="68" t="s">
        <v>827</v>
      </c>
      <c r="E1087" s="40"/>
      <c r="F1087" s="40"/>
      <c r="G1087" s="40"/>
      <c r="H1087" s="40"/>
      <c r="I1087" s="40"/>
      <c r="J1087" s="40"/>
      <c r="K1087" s="40"/>
      <c r="L1087" s="40"/>
      <c r="M1087" s="40"/>
      <c r="N1087" s="40"/>
      <c r="O1087" s="40"/>
      <c r="P1087" s="40"/>
      <c r="Q1087" s="40"/>
      <c r="R1087" s="40"/>
      <c r="S1087" s="40"/>
      <c r="T1087" s="40"/>
      <c r="U1087" s="40"/>
      <c r="V1087" s="40"/>
      <c r="W1087" s="40"/>
      <c r="X1087" s="40"/>
      <c r="Y1087" s="40"/>
      <c r="Z1087" s="40"/>
    </row>
    <row r="1088">
      <c r="A1088" s="65">
        <v>45969.0</v>
      </c>
      <c r="B1088" s="66" t="s">
        <v>810</v>
      </c>
      <c r="C1088" s="67" t="s">
        <v>1594</v>
      </c>
      <c r="D1088" s="68" t="s">
        <v>827</v>
      </c>
      <c r="E1088" s="40"/>
      <c r="F1088" s="40"/>
      <c r="G1088" s="40"/>
      <c r="H1088" s="40"/>
      <c r="I1088" s="40"/>
      <c r="J1088" s="40"/>
      <c r="K1088" s="40"/>
      <c r="L1088" s="40"/>
      <c r="M1088" s="40"/>
      <c r="N1088" s="40"/>
      <c r="O1088" s="40"/>
      <c r="P1088" s="40"/>
      <c r="Q1088" s="40"/>
      <c r="R1088" s="40"/>
      <c r="S1088" s="40"/>
      <c r="T1088" s="40"/>
      <c r="U1088" s="40"/>
      <c r="V1088" s="40"/>
      <c r="W1088" s="40"/>
      <c r="X1088" s="40"/>
      <c r="Y1088" s="40"/>
      <c r="Z1088" s="40"/>
    </row>
    <row r="1089">
      <c r="A1089" s="65">
        <v>45969.0</v>
      </c>
      <c r="B1089" s="66" t="s">
        <v>810</v>
      </c>
      <c r="C1089" s="67" t="s">
        <v>1594</v>
      </c>
      <c r="D1089" s="68" t="s">
        <v>827</v>
      </c>
      <c r="E1089" s="40"/>
      <c r="F1089" s="40"/>
      <c r="G1089" s="40"/>
      <c r="H1089" s="40"/>
      <c r="I1089" s="40"/>
      <c r="J1089" s="40"/>
      <c r="K1089" s="40"/>
      <c r="L1089" s="40"/>
      <c r="M1089" s="40"/>
      <c r="N1089" s="40"/>
      <c r="O1089" s="40"/>
      <c r="P1089" s="40"/>
      <c r="Q1089" s="40"/>
      <c r="R1089" s="40"/>
      <c r="S1089" s="40"/>
      <c r="T1089" s="40"/>
      <c r="U1089" s="40"/>
      <c r="V1089" s="40"/>
      <c r="W1089" s="40"/>
      <c r="X1089" s="40"/>
      <c r="Y1089" s="40"/>
      <c r="Z1089" s="40"/>
    </row>
    <row r="1090">
      <c r="A1090" s="65">
        <v>45969.0</v>
      </c>
      <c r="B1090" s="66" t="s">
        <v>810</v>
      </c>
      <c r="C1090" s="67" t="s">
        <v>1596</v>
      </c>
      <c r="D1090" s="68" t="s">
        <v>827</v>
      </c>
      <c r="E1090" s="40"/>
      <c r="F1090" s="40"/>
      <c r="G1090" s="40"/>
      <c r="H1090" s="40"/>
      <c r="I1090" s="40"/>
      <c r="J1090" s="40"/>
      <c r="K1090" s="40"/>
      <c r="L1090" s="40"/>
      <c r="M1090" s="40"/>
      <c r="N1090" s="40"/>
      <c r="O1090" s="40"/>
      <c r="P1090" s="40"/>
      <c r="Q1090" s="40"/>
      <c r="R1090" s="40"/>
      <c r="S1090" s="40"/>
      <c r="T1090" s="40"/>
      <c r="U1090" s="40"/>
      <c r="V1090" s="40"/>
      <c r="W1090" s="40"/>
      <c r="X1090" s="40"/>
      <c r="Y1090" s="40"/>
      <c r="Z1090" s="40"/>
    </row>
    <row r="1091">
      <c r="A1091" s="65">
        <v>45969.0</v>
      </c>
      <c r="B1091" s="66" t="s">
        <v>810</v>
      </c>
      <c r="C1091" s="67" t="s">
        <v>1596</v>
      </c>
      <c r="D1091" s="68" t="s">
        <v>827</v>
      </c>
      <c r="E1091" s="40"/>
      <c r="F1091" s="40"/>
      <c r="G1091" s="40"/>
      <c r="H1091" s="40"/>
      <c r="I1091" s="40"/>
      <c r="J1091" s="40"/>
      <c r="K1091" s="40"/>
      <c r="L1091" s="40"/>
      <c r="M1091" s="40"/>
      <c r="N1091" s="40"/>
      <c r="O1091" s="40"/>
      <c r="P1091" s="40"/>
      <c r="Q1091" s="40"/>
      <c r="R1091" s="40"/>
      <c r="S1091" s="40"/>
      <c r="T1091" s="40"/>
      <c r="U1091" s="40"/>
      <c r="V1091" s="40"/>
      <c r="W1091" s="40"/>
      <c r="X1091" s="40"/>
      <c r="Y1091" s="40"/>
      <c r="Z1091" s="40"/>
    </row>
    <row r="1092">
      <c r="A1092" s="65">
        <v>45969.0</v>
      </c>
      <c r="B1092" s="66" t="s">
        <v>810</v>
      </c>
      <c r="C1092" s="67" t="s">
        <v>1597</v>
      </c>
      <c r="D1092" s="67" t="s">
        <v>999</v>
      </c>
      <c r="E1092" s="40"/>
      <c r="F1092" s="40"/>
      <c r="G1092" s="40"/>
      <c r="H1092" s="40"/>
      <c r="I1092" s="40"/>
      <c r="J1092" s="40"/>
      <c r="K1092" s="40"/>
      <c r="L1092" s="40"/>
      <c r="M1092" s="40"/>
      <c r="N1092" s="40"/>
      <c r="O1092" s="40"/>
      <c r="P1092" s="40"/>
      <c r="Q1092" s="40"/>
      <c r="R1092" s="40"/>
      <c r="S1092" s="40"/>
      <c r="T1092" s="40"/>
      <c r="U1092" s="40"/>
      <c r="V1092" s="40"/>
      <c r="W1092" s="40"/>
      <c r="X1092" s="40"/>
      <c r="Y1092" s="40"/>
      <c r="Z1092" s="40"/>
    </row>
    <row r="1093">
      <c r="A1093" s="65">
        <v>45969.0</v>
      </c>
      <c r="B1093" s="66" t="s">
        <v>810</v>
      </c>
      <c r="C1093" s="67" t="s">
        <v>1597</v>
      </c>
      <c r="D1093" s="67" t="s">
        <v>999</v>
      </c>
      <c r="E1093" s="40"/>
      <c r="F1093" s="40"/>
      <c r="G1093" s="40"/>
      <c r="H1093" s="40"/>
      <c r="I1093" s="40"/>
      <c r="J1093" s="40"/>
      <c r="K1093" s="40"/>
      <c r="L1093" s="40"/>
      <c r="M1093" s="40"/>
      <c r="N1093" s="40"/>
      <c r="O1093" s="40"/>
      <c r="P1093" s="40"/>
      <c r="Q1093" s="40"/>
      <c r="R1093" s="40"/>
      <c r="S1093" s="40"/>
      <c r="T1093" s="40"/>
      <c r="U1093" s="40"/>
      <c r="V1093" s="40"/>
      <c r="W1093" s="40"/>
      <c r="X1093" s="40"/>
      <c r="Y1093" s="40"/>
      <c r="Z1093" s="40"/>
    </row>
    <row r="1094">
      <c r="A1094" s="65">
        <v>45969.0</v>
      </c>
      <c r="B1094" s="66" t="s">
        <v>810</v>
      </c>
      <c r="C1094" s="67" t="s">
        <v>1590</v>
      </c>
      <c r="D1094" s="67" t="s">
        <v>1598</v>
      </c>
      <c r="E1094" s="40"/>
      <c r="F1094" s="40"/>
      <c r="G1094" s="40"/>
      <c r="H1094" s="40"/>
      <c r="I1094" s="40"/>
      <c r="J1094" s="40"/>
      <c r="K1094" s="40"/>
      <c r="L1094" s="40"/>
      <c r="M1094" s="40"/>
      <c r="N1094" s="40"/>
      <c r="O1094" s="40"/>
      <c r="P1094" s="40"/>
      <c r="Q1094" s="40"/>
      <c r="R1094" s="40"/>
      <c r="S1094" s="40"/>
      <c r="T1094" s="40"/>
      <c r="U1094" s="40"/>
      <c r="V1094" s="40"/>
      <c r="W1094" s="40"/>
      <c r="X1094" s="40"/>
      <c r="Y1094" s="40"/>
      <c r="Z1094" s="40"/>
    </row>
    <row r="1095">
      <c r="A1095" s="65">
        <v>45969.0</v>
      </c>
      <c r="B1095" s="66" t="s">
        <v>810</v>
      </c>
      <c r="C1095" s="67" t="s">
        <v>990</v>
      </c>
      <c r="D1095" s="68" t="s">
        <v>827</v>
      </c>
      <c r="E1095" s="40"/>
      <c r="F1095" s="40"/>
      <c r="G1095" s="40"/>
      <c r="H1095" s="40"/>
      <c r="I1095" s="40"/>
      <c r="J1095" s="40"/>
      <c r="K1095" s="40"/>
      <c r="L1095" s="40"/>
      <c r="M1095" s="40"/>
      <c r="N1095" s="40"/>
      <c r="O1095" s="40"/>
      <c r="P1095" s="40"/>
      <c r="Q1095" s="40"/>
      <c r="R1095" s="40"/>
      <c r="S1095" s="40"/>
      <c r="T1095" s="40"/>
      <c r="U1095" s="40"/>
      <c r="V1095" s="40"/>
      <c r="W1095" s="40"/>
      <c r="X1095" s="40"/>
      <c r="Y1095" s="40"/>
      <c r="Z1095" s="40"/>
    </row>
    <row r="1096">
      <c r="A1096" s="65">
        <v>45969.0</v>
      </c>
      <c r="B1096" s="66" t="s">
        <v>810</v>
      </c>
      <c r="C1096" s="67" t="s">
        <v>990</v>
      </c>
      <c r="D1096" s="68" t="s">
        <v>827</v>
      </c>
      <c r="E1096" s="40"/>
      <c r="F1096" s="40"/>
      <c r="G1096" s="40"/>
      <c r="H1096" s="40"/>
      <c r="I1096" s="40"/>
      <c r="J1096" s="40"/>
      <c r="K1096" s="40"/>
      <c r="L1096" s="40"/>
      <c r="M1096" s="40"/>
      <c r="N1096" s="40"/>
      <c r="O1096" s="40"/>
      <c r="P1096" s="40"/>
      <c r="Q1096" s="40"/>
      <c r="R1096" s="40"/>
      <c r="S1096" s="40"/>
      <c r="T1096" s="40"/>
      <c r="U1096" s="40"/>
      <c r="V1096" s="40"/>
      <c r="W1096" s="40"/>
      <c r="X1096" s="40"/>
      <c r="Y1096" s="40"/>
      <c r="Z1096" s="40"/>
    </row>
    <row r="1097">
      <c r="A1097" s="65">
        <v>45969.0</v>
      </c>
      <c r="B1097" s="66" t="s">
        <v>812</v>
      </c>
      <c r="C1097" s="67" t="s">
        <v>1599</v>
      </c>
      <c r="D1097" s="68" t="s">
        <v>827</v>
      </c>
      <c r="E1097" s="40"/>
      <c r="F1097" s="40"/>
      <c r="G1097" s="40"/>
      <c r="H1097" s="40"/>
      <c r="I1097" s="40"/>
      <c r="J1097" s="40"/>
      <c r="K1097" s="40"/>
      <c r="L1097" s="40"/>
      <c r="M1097" s="40"/>
      <c r="N1097" s="40"/>
      <c r="O1097" s="40"/>
      <c r="P1097" s="40"/>
      <c r="Q1097" s="40"/>
      <c r="R1097" s="40"/>
      <c r="S1097" s="40"/>
      <c r="T1097" s="40"/>
      <c r="U1097" s="40"/>
      <c r="V1097" s="40"/>
      <c r="W1097" s="40"/>
      <c r="X1097" s="40"/>
      <c r="Y1097" s="40"/>
      <c r="Z1097" s="40"/>
    </row>
    <row r="1098">
      <c r="A1098" s="65">
        <v>45969.0</v>
      </c>
      <c r="B1098" s="66" t="s">
        <v>812</v>
      </c>
      <c r="C1098" s="67" t="s">
        <v>1600</v>
      </c>
      <c r="D1098" s="68" t="s">
        <v>827</v>
      </c>
      <c r="E1098" s="40"/>
      <c r="F1098" s="40"/>
      <c r="G1098" s="40"/>
      <c r="H1098" s="40"/>
      <c r="I1098" s="40"/>
      <c r="J1098" s="40"/>
      <c r="K1098" s="40"/>
      <c r="L1098" s="40"/>
      <c r="M1098" s="40"/>
      <c r="N1098" s="40"/>
      <c r="O1098" s="40"/>
      <c r="P1098" s="40"/>
      <c r="Q1098" s="40"/>
      <c r="R1098" s="40"/>
      <c r="S1098" s="40"/>
      <c r="T1098" s="40"/>
      <c r="U1098" s="40"/>
      <c r="V1098" s="40"/>
      <c r="W1098" s="40"/>
      <c r="X1098" s="40"/>
      <c r="Y1098" s="40"/>
      <c r="Z1098" s="40"/>
    </row>
    <row r="1099">
      <c r="A1099" s="65">
        <v>45969.0</v>
      </c>
      <c r="B1099" s="66" t="s">
        <v>812</v>
      </c>
      <c r="C1099" s="67" t="s">
        <v>1549</v>
      </c>
      <c r="D1099" s="67" t="s">
        <v>1601</v>
      </c>
      <c r="E1099" s="40"/>
      <c r="F1099" s="40"/>
      <c r="G1099" s="40"/>
      <c r="H1099" s="40"/>
      <c r="I1099" s="40"/>
      <c r="J1099" s="40"/>
      <c r="K1099" s="40"/>
      <c r="L1099" s="40"/>
      <c r="M1099" s="40"/>
      <c r="N1099" s="40"/>
      <c r="O1099" s="40"/>
      <c r="P1099" s="40"/>
      <c r="Q1099" s="40"/>
      <c r="R1099" s="40"/>
      <c r="S1099" s="40"/>
      <c r="T1099" s="40"/>
      <c r="U1099" s="40"/>
      <c r="V1099" s="40"/>
      <c r="W1099" s="40"/>
      <c r="X1099" s="40"/>
      <c r="Y1099" s="40"/>
      <c r="Z1099" s="40"/>
    </row>
    <row r="1100">
      <c r="A1100" s="65">
        <v>45969.0</v>
      </c>
      <c r="B1100" s="66" t="s">
        <v>812</v>
      </c>
      <c r="C1100" s="67" t="s">
        <v>1549</v>
      </c>
      <c r="D1100" s="67" t="s">
        <v>1601</v>
      </c>
      <c r="E1100" s="40"/>
      <c r="F1100" s="40"/>
      <c r="G1100" s="40"/>
      <c r="H1100" s="40"/>
      <c r="I1100" s="40"/>
      <c r="J1100" s="40"/>
      <c r="K1100" s="40"/>
      <c r="L1100" s="40"/>
      <c r="M1100" s="40"/>
      <c r="N1100" s="40"/>
      <c r="O1100" s="40"/>
      <c r="P1100" s="40"/>
      <c r="Q1100" s="40"/>
      <c r="R1100" s="40"/>
      <c r="S1100" s="40"/>
      <c r="T1100" s="40"/>
      <c r="U1100" s="40"/>
      <c r="V1100" s="40"/>
      <c r="W1100" s="40"/>
      <c r="X1100" s="40"/>
      <c r="Y1100" s="40"/>
      <c r="Z1100" s="40"/>
    </row>
    <row r="1101">
      <c r="A1101" s="65">
        <v>45969.0</v>
      </c>
      <c r="B1101" s="66" t="s">
        <v>812</v>
      </c>
      <c r="C1101" s="67" t="s">
        <v>1549</v>
      </c>
      <c r="D1101" s="67" t="s">
        <v>1601</v>
      </c>
      <c r="E1101" s="40"/>
      <c r="F1101" s="40"/>
      <c r="G1101" s="40"/>
      <c r="H1101" s="40"/>
      <c r="I1101" s="40"/>
      <c r="J1101" s="40"/>
      <c r="K1101" s="40"/>
      <c r="L1101" s="40"/>
      <c r="M1101" s="40"/>
      <c r="N1101" s="40"/>
      <c r="O1101" s="40"/>
      <c r="P1101" s="40"/>
      <c r="Q1101" s="40"/>
      <c r="R1101" s="40"/>
      <c r="S1101" s="40"/>
      <c r="T1101" s="40"/>
      <c r="U1101" s="40"/>
      <c r="V1101" s="40"/>
      <c r="W1101" s="40"/>
      <c r="X1101" s="40"/>
      <c r="Y1101" s="40"/>
      <c r="Z1101" s="40"/>
    </row>
    <row r="1102">
      <c r="A1102" s="65">
        <v>45969.0</v>
      </c>
      <c r="B1102" s="66" t="s">
        <v>812</v>
      </c>
      <c r="C1102" s="67" t="s">
        <v>1602</v>
      </c>
      <c r="D1102" s="68" t="s">
        <v>827</v>
      </c>
      <c r="E1102" s="40"/>
      <c r="F1102" s="40"/>
      <c r="G1102" s="40"/>
      <c r="H1102" s="40"/>
      <c r="I1102" s="40"/>
      <c r="J1102" s="40"/>
      <c r="K1102" s="40"/>
      <c r="L1102" s="40"/>
      <c r="M1102" s="40"/>
      <c r="N1102" s="40"/>
      <c r="O1102" s="40"/>
      <c r="P1102" s="40"/>
      <c r="Q1102" s="40"/>
      <c r="R1102" s="40"/>
      <c r="S1102" s="40"/>
      <c r="T1102" s="40"/>
      <c r="U1102" s="40"/>
      <c r="V1102" s="40"/>
      <c r="W1102" s="40"/>
      <c r="X1102" s="40"/>
      <c r="Y1102" s="40"/>
      <c r="Z1102" s="40"/>
    </row>
    <row r="1103">
      <c r="A1103" s="65">
        <v>45969.0</v>
      </c>
      <c r="B1103" s="66" t="s">
        <v>812</v>
      </c>
      <c r="C1103" s="67" t="s">
        <v>1602</v>
      </c>
      <c r="D1103" s="68" t="s">
        <v>827</v>
      </c>
      <c r="E1103" s="40"/>
      <c r="F1103" s="40"/>
      <c r="G1103" s="40"/>
      <c r="H1103" s="40"/>
      <c r="I1103" s="40"/>
      <c r="J1103" s="40"/>
      <c r="K1103" s="40"/>
      <c r="L1103" s="40"/>
      <c r="M1103" s="40"/>
      <c r="N1103" s="40"/>
      <c r="O1103" s="40"/>
      <c r="P1103" s="40"/>
      <c r="Q1103" s="40"/>
      <c r="R1103" s="40"/>
      <c r="S1103" s="40"/>
      <c r="T1103" s="40"/>
      <c r="U1103" s="40"/>
      <c r="V1103" s="40"/>
      <c r="W1103" s="40"/>
      <c r="X1103" s="40"/>
      <c r="Y1103" s="40"/>
      <c r="Z1103" s="40"/>
    </row>
    <row r="1104">
      <c r="A1104" s="65">
        <v>45969.0</v>
      </c>
      <c r="B1104" s="66" t="s">
        <v>812</v>
      </c>
      <c r="C1104" s="67" t="s">
        <v>1603</v>
      </c>
      <c r="D1104" s="68" t="s">
        <v>827</v>
      </c>
      <c r="E1104" s="40"/>
      <c r="F1104" s="40"/>
      <c r="G1104" s="40"/>
      <c r="H1104" s="40"/>
      <c r="I1104" s="40"/>
      <c r="J1104" s="40"/>
      <c r="K1104" s="40"/>
      <c r="L1104" s="40"/>
      <c r="M1104" s="40"/>
      <c r="N1104" s="40"/>
      <c r="O1104" s="40"/>
      <c r="P1104" s="40"/>
      <c r="Q1104" s="40"/>
      <c r="R1104" s="40"/>
      <c r="S1104" s="40"/>
      <c r="T1104" s="40"/>
      <c r="U1104" s="40"/>
      <c r="V1104" s="40"/>
      <c r="W1104" s="40"/>
      <c r="X1104" s="40"/>
      <c r="Y1104" s="40"/>
      <c r="Z1104" s="40"/>
    </row>
    <row r="1105">
      <c r="A1105" s="65">
        <v>45969.0</v>
      </c>
      <c r="B1105" s="66" t="s">
        <v>812</v>
      </c>
      <c r="C1105" s="67" t="s">
        <v>1161</v>
      </c>
      <c r="D1105" s="68" t="s">
        <v>827</v>
      </c>
      <c r="E1105" s="40"/>
      <c r="F1105" s="40"/>
      <c r="G1105" s="40"/>
      <c r="H1105" s="40"/>
      <c r="I1105" s="40"/>
      <c r="J1105" s="40"/>
      <c r="K1105" s="40"/>
      <c r="L1105" s="40"/>
      <c r="M1105" s="40"/>
      <c r="N1105" s="40"/>
      <c r="O1105" s="40"/>
      <c r="P1105" s="40"/>
      <c r="Q1105" s="40"/>
      <c r="R1105" s="40"/>
      <c r="S1105" s="40"/>
      <c r="T1105" s="40"/>
      <c r="U1105" s="40"/>
      <c r="V1105" s="40"/>
      <c r="W1105" s="40"/>
      <c r="X1105" s="40"/>
      <c r="Y1105" s="40"/>
      <c r="Z1105" s="40"/>
    </row>
    <row r="1106">
      <c r="A1106" s="65">
        <v>45969.0</v>
      </c>
      <c r="B1106" s="66" t="s">
        <v>812</v>
      </c>
      <c r="C1106" s="67" t="s">
        <v>1604</v>
      </c>
      <c r="D1106" s="68" t="s">
        <v>827</v>
      </c>
      <c r="E1106" s="40"/>
      <c r="F1106" s="40"/>
      <c r="G1106" s="40"/>
      <c r="H1106" s="40"/>
      <c r="I1106" s="40"/>
      <c r="J1106" s="40"/>
      <c r="K1106" s="40"/>
      <c r="L1106" s="40"/>
      <c r="M1106" s="40"/>
      <c r="N1106" s="40"/>
      <c r="O1106" s="40"/>
      <c r="P1106" s="40"/>
      <c r="Q1106" s="40"/>
      <c r="R1106" s="40"/>
      <c r="S1106" s="40"/>
      <c r="T1106" s="40"/>
      <c r="U1106" s="40"/>
      <c r="V1106" s="40"/>
      <c r="W1106" s="40"/>
      <c r="X1106" s="40"/>
      <c r="Y1106" s="40"/>
      <c r="Z1106" s="40"/>
    </row>
    <row r="1107">
      <c r="A1107" s="65">
        <v>45969.0</v>
      </c>
      <c r="B1107" s="66" t="s">
        <v>812</v>
      </c>
      <c r="C1107" s="67" t="s">
        <v>1605</v>
      </c>
      <c r="D1107" s="67" t="s">
        <v>1397</v>
      </c>
      <c r="E1107" s="40"/>
      <c r="F1107" s="40"/>
      <c r="G1107" s="40"/>
      <c r="H1107" s="40"/>
      <c r="I1107" s="40"/>
      <c r="J1107" s="40"/>
      <c r="K1107" s="40"/>
      <c r="L1107" s="40"/>
      <c r="M1107" s="40"/>
      <c r="N1107" s="40"/>
      <c r="O1107" s="40"/>
      <c r="P1107" s="40"/>
      <c r="Q1107" s="40"/>
      <c r="R1107" s="40"/>
      <c r="S1107" s="40"/>
      <c r="T1107" s="40"/>
      <c r="U1107" s="40"/>
      <c r="V1107" s="40"/>
      <c r="W1107" s="40"/>
      <c r="X1107" s="40"/>
      <c r="Y1107" s="40"/>
      <c r="Z1107" s="40"/>
    </row>
    <row r="1108">
      <c r="A1108" s="65">
        <v>45973.0</v>
      </c>
      <c r="B1108" s="66" t="s">
        <v>811</v>
      </c>
      <c r="C1108" s="67" t="s">
        <v>1606</v>
      </c>
      <c r="D1108" s="68" t="s">
        <v>827</v>
      </c>
      <c r="E1108" s="40"/>
      <c r="F1108" s="40"/>
      <c r="G1108" s="40"/>
      <c r="H1108" s="40"/>
      <c r="I1108" s="40"/>
      <c r="J1108" s="40"/>
      <c r="K1108" s="40"/>
      <c r="L1108" s="40"/>
      <c r="M1108" s="40"/>
      <c r="N1108" s="40"/>
      <c r="O1108" s="40"/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0"/>
    </row>
    <row r="1109">
      <c r="A1109" s="65">
        <v>45973.0</v>
      </c>
      <c r="B1109" s="66" t="s">
        <v>811</v>
      </c>
      <c r="C1109" s="67" t="s">
        <v>1606</v>
      </c>
      <c r="D1109" s="68" t="s">
        <v>827</v>
      </c>
      <c r="E1109" s="40"/>
      <c r="F1109" s="40"/>
      <c r="G1109" s="40"/>
      <c r="H1109" s="40"/>
      <c r="I1109" s="40"/>
      <c r="J1109" s="40"/>
      <c r="K1109" s="40"/>
      <c r="L1109" s="40"/>
      <c r="M1109" s="40"/>
      <c r="N1109" s="40"/>
      <c r="O1109" s="40"/>
      <c r="P1109" s="40"/>
      <c r="Q1109" s="40"/>
      <c r="R1109" s="40"/>
      <c r="S1109" s="40"/>
      <c r="T1109" s="40"/>
      <c r="U1109" s="40"/>
      <c r="V1109" s="40"/>
      <c r="W1109" s="40"/>
      <c r="X1109" s="40"/>
      <c r="Y1109" s="40"/>
      <c r="Z1109" s="40"/>
    </row>
    <row r="1110">
      <c r="A1110" s="65">
        <v>45973.0</v>
      </c>
      <c r="B1110" s="66" t="s">
        <v>811</v>
      </c>
      <c r="C1110" s="67" t="s">
        <v>1607</v>
      </c>
      <c r="D1110" s="68" t="s">
        <v>827</v>
      </c>
      <c r="E1110" s="40"/>
      <c r="F1110" s="40"/>
      <c r="G1110" s="40"/>
      <c r="H1110" s="40"/>
      <c r="I1110" s="40"/>
      <c r="J1110" s="40"/>
      <c r="K1110" s="40"/>
      <c r="L1110" s="40"/>
      <c r="M1110" s="40"/>
      <c r="N1110" s="40"/>
      <c r="O1110" s="40"/>
      <c r="P1110" s="40"/>
      <c r="Q1110" s="40"/>
      <c r="R1110" s="40"/>
      <c r="S1110" s="40"/>
      <c r="T1110" s="40"/>
      <c r="U1110" s="40"/>
      <c r="V1110" s="40"/>
      <c r="W1110" s="40"/>
      <c r="X1110" s="40"/>
      <c r="Y1110" s="40"/>
      <c r="Z1110" s="40"/>
    </row>
    <row r="1111">
      <c r="A1111" s="65">
        <v>45973.0</v>
      </c>
      <c r="B1111" s="66" t="s">
        <v>811</v>
      </c>
      <c r="C1111" s="67" t="s">
        <v>1607</v>
      </c>
      <c r="D1111" s="68" t="s">
        <v>827</v>
      </c>
      <c r="E1111" s="40"/>
      <c r="F1111" s="40"/>
      <c r="G1111" s="40"/>
      <c r="H1111" s="40"/>
      <c r="I1111" s="40"/>
      <c r="J1111" s="40"/>
      <c r="K1111" s="40"/>
      <c r="L1111" s="40"/>
      <c r="M1111" s="40"/>
      <c r="N1111" s="40"/>
      <c r="O1111" s="40"/>
      <c r="P1111" s="40"/>
      <c r="Q1111" s="40"/>
      <c r="R1111" s="40"/>
      <c r="S1111" s="40"/>
      <c r="T1111" s="40"/>
      <c r="U1111" s="40"/>
      <c r="V1111" s="40"/>
      <c r="W1111" s="40"/>
      <c r="X1111" s="40"/>
      <c r="Y1111" s="40"/>
      <c r="Z1111" s="40"/>
    </row>
    <row r="1112">
      <c r="A1112" s="65">
        <v>45973.0</v>
      </c>
      <c r="B1112" s="66" t="s">
        <v>811</v>
      </c>
      <c r="C1112" s="67" t="s">
        <v>1608</v>
      </c>
      <c r="D1112" s="68" t="s">
        <v>827</v>
      </c>
      <c r="E1112" s="40"/>
      <c r="F1112" s="40"/>
      <c r="G1112" s="40"/>
      <c r="H1112" s="40"/>
      <c r="I1112" s="40"/>
      <c r="J1112" s="40"/>
      <c r="K1112" s="40"/>
      <c r="L1112" s="40"/>
      <c r="M1112" s="40"/>
      <c r="N1112" s="40"/>
      <c r="O1112" s="40"/>
      <c r="P1112" s="40"/>
      <c r="Q1112" s="40"/>
      <c r="R1112" s="40"/>
      <c r="S1112" s="40"/>
      <c r="T1112" s="40"/>
      <c r="U1112" s="40"/>
      <c r="V1112" s="40"/>
      <c r="W1112" s="40"/>
      <c r="X1112" s="40"/>
      <c r="Y1112" s="40"/>
      <c r="Z1112" s="40"/>
    </row>
    <row r="1113">
      <c r="A1113" s="65">
        <v>45973.0</v>
      </c>
      <c r="B1113" s="66" t="s">
        <v>811</v>
      </c>
      <c r="C1113" s="67" t="s">
        <v>1608</v>
      </c>
      <c r="D1113" s="68" t="s">
        <v>827</v>
      </c>
      <c r="E1113" s="40"/>
      <c r="F1113" s="40"/>
      <c r="G1113" s="40"/>
      <c r="H1113" s="40"/>
      <c r="I1113" s="40"/>
      <c r="J1113" s="40"/>
      <c r="K1113" s="40"/>
      <c r="L1113" s="40"/>
      <c r="M1113" s="40"/>
      <c r="N1113" s="40"/>
      <c r="O1113" s="40"/>
      <c r="P1113" s="40"/>
      <c r="Q1113" s="40"/>
      <c r="R1113" s="40"/>
      <c r="S1113" s="40"/>
      <c r="T1113" s="40"/>
      <c r="U1113" s="40"/>
      <c r="V1113" s="40"/>
      <c r="W1113" s="40"/>
      <c r="X1113" s="40"/>
      <c r="Y1113" s="40"/>
      <c r="Z1113" s="40"/>
    </row>
    <row r="1114">
      <c r="A1114" s="65">
        <v>45973.0</v>
      </c>
      <c r="B1114" s="66" t="s">
        <v>811</v>
      </c>
      <c r="C1114" s="67" t="s">
        <v>1607</v>
      </c>
      <c r="D1114" s="68" t="s">
        <v>827</v>
      </c>
      <c r="E1114" s="40"/>
      <c r="F1114" s="40"/>
      <c r="G1114" s="40"/>
      <c r="H1114" s="40"/>
      <c r="I1114" s="40"/>
      <c r="J1114" s="40"/>
      <c r="K1114" s="40"/>
      <c r="L1114" s="40"/>
      <c r="M1114" s="40"/>
      <c r="N1114" s="40"/>
      <c r="O1114" s="40"/>
      <c r="P1114" s="40"/>
      <c r="Q1114" s="40"/>
      <c r="R1114" s="40"/>
      <c r="S1114" s="40"/>
      <c r="T1114" s="40"/>
      <c r="U1114" s="40"/>
      <c r="V1114" s="40"/>
      <c r="W1114" s="40"/>
      <c r="X1114" s="40"/>
      <c r="Y1114" s="40"/>
      <c r="Z1114" s="40"/>
    </row>
    <row r="1115">
      <c r="A1115" s="65">
        <v>45973.0</v>
      </c>
      <c r="B1115" s="66" t="s">
        <v>811</v>
      </c>
      <c r="C1115" s="67" t="s">
        <v>1607</v>
      </c>
      <c r="D1115" s="68" t="s">
        <v>827</v>
      </c>
      <c r="E1115" s="40"/>
      <c r="F1115" s="40"/>
      <c r="G1115" s="40"/>
      <c r="H1115" s="40"/>
      <c r="I1115" s="40"/>
      <c r="J1115" s="40"/>
      <c r="K1115" s="40"/>
      <c r="L1115" s="40"/>
      <c r="M1115" s="40"/>
      <c r="N1115" s="40"/>
      <c r="O1115" s="40"/>
      <c r="P1115" s="40"/>
      <c r="Q1115" s="40"/>
      <c r="R1115" s="40"/>
      <c r="S1115" s="40"/>
      <c r="T1115" s="40"/>
      <c r="U1115" s="40"/>
      <c r="V1115" s="40"/>
      <c r="W1115" s="40"/>
      <c r="X1115" s="40"/>
      <c r="Y1115" s="40"/>
      <c r="Z1115" s="40"/>
    </row>
    <row r="1116">
      <c r="A1116" s="65">
        <v>45973.0</v>
      </c>
      <c r="B1116" s="66" t="s">
        <v>811</v>
      </c>
      <c r="C1116" s="67" t="s">
        <v>1607</v>
      </c>
      <c r="D1116" s="68" t="s">
        <v>827</v>
      </c>
      <c r="E1116" s="40"/>
      <c r="F1116" s="40"/>
      <c r="G1116" s="40"/>
      <c r="H1116" s="40"/>
      <c r="I1116" s="40"/>
      <c r="J1116" s="40"/>
      <c r="K1116" s="40"/>
      <c r="L1116" s="40"/>
      <c r="M1116" s="40"/>
      <c r="N1116" s="40"/>
      <c r="O1116" s="40"/>
      <c r="P1116" s="40"/>
      <c r="Q1116" s="40"/>
      <c r="R1116" s="40"/>
      <c r="S1116" s="40"/>
      <c r="T1116" s="40"/>
      <c r="U1116" s="40"/>
      <c r="V1116" s="40"/>
      <c r="W1116" s="40"/>
      <c r="X1116" s="40"/>
      <c r="Y1116" s="40"/>
      <c r="Z1116" s="40"/>
    </row>
    <row r="1117">
      <c r="A1117" s="65">
        <v>45973.0</v>
      </c>
      <c r="B1117" s="66" t="s">
        <v>811</v>
      </c>
      <c r="C1117" s="67" t="s">
        <v>1609</v>
      </c>
      <c r="D1117" s="68" t="s">
        <v>827</v>
      </c>
      <c r="E1117" s="40"/>
      <c r="F1117" s="40"/>
      <c r="G1117" s="40"/>
      <c r="H1117" s="40"/>
      <c r="I1117" s="40"/>
      <c r="J1117" s="40"/>
      <c r="K1117" s="40"/>
      <c r="L1117" s="40"/>
      <c r="M1117" s="40"/>
      <c r="N1117" s="40"/>
      <c r="O1117" s="40"/>
      <c r="P1117" s="40"/>
      <c r="Q1117" s="40"/>
      <c r="R1117" s="40"/>
      <c r="S1117" s="40"/>
      <c r="T1117" s="40"/>
      <c r="U1117" s="40"/>
      <c r="V1117" s="40"/>
      <c r="W1117" s="40"/>
      <c r="X1117" s="40"/>
      <c r="Y1117" s="40"/>
      <c r="Z1117" s="40"/>
    </row>
    <row r="1118">
      <c r="A1118" s="65">
        <v>45973.0</v>
      </c>
      <c r="B1118" s="66" t="s">
        <v>811</v>
      </c>
      <c r="C1118" s="67" t="s">
        <v>1610</v>
      </c>
      <c r="D1118" s="67" t="s">
        <v>1611</v>
      </c>
      <c r="E1118" s="40"/>
      <c r="F1118" s="40"/>
      <c r="G1118" s="40"/>
      <c r="H1118" s="40"/>
      <c r="I1118" s="40"/>
      <c r="J1118" s="40"/>
      <c r="K1118" s="40"/>
      <c r="L1118" s="40"/>
      <c r="M1118" s="40"/>
      <c r="N1118" s="40"/>
      <c r="O1118" s="40"/>
      <c r="P1118" s="40"/>
      <c r="Q1118" s="40"/>
      <c r="R1118" s="40"/>
      <c r="S1118" s="40"/>
      <c r="T1118" s="40"/>
      <c r="U1118" s="40"/>
      <c r="V1118" s="40"/>
      <c r="W1118" s="40"/>
      <c r="X1118" s="40"/>
      <c r="Y1118" s="40"/>
      <c r="Z1118" s="40"/>
    </row>
    <row r="1119">
      <c r="A1119" s="65">
        <v>45973.0</v>
      </c>
      <c r="B1119" s="66" t="s">
        <v>811</v>
      </c>
      <c r="C1119" s="67" t="s">
        <v>1610</v>
      </c>
      <c r="D1119" s="67" t="s">
        <v>1611</v>
      </c>
      <c r="E1119" s="40"/>
      <c r="F1119" s="40"/>
      <c r="G1119" s="40"/>
      <c r="H1119" s="40"/>
      <c r="I1119" s="40"/>
      <c r="J1119" s="40"/>
      <c r="K1119" s="40"/>
      <c r="L1119" s="40"/>
      <c r="M1119" s="40"/>
      <c r="N1119" s="40"/>
      <c r="O1119" s="40"/>
      <c r="P1119" s="40"/>
      <c r="Q1119" s="40"/>
      <c r="R1119" s="40"/>
      <c r="S1119" s="40"/>
      <c r="T1119" s="40"/>
      <c r="U1119" s="40"/>
      <c r="V1119" s="40"/>
      <c r="W1119" s="40"/>
      <c r="X1119" s="40"/>
      <c r="Y1119" s="40"/>
      <c r="Z1119" s="40"/>
    </row>
    <row r="1120">
      <c r="A1120" s="65">
        <v>45973.0</v>
      </c>
      <c r="B1120" s="66" t="s">
        <v>811</v>
      </c>
      <c r="C1120" s="67" t="s">
        <v>1612</v>
      </c>
      <c r="D1120" s="67" t="s">
        <v>852</v>
      </c>
      <c r="E1120" s="40"/>
      <c r="F1120" s="40"/>
      <c r="G1120" s="40"/>
      <c r="H1120" s="40"/>
      <c r="I1120" s="40"/>
      <c r="J1120" s="40"/>
      <c r="K1120" s="40"/>
      <c r="L1120" s="40"/>
      <c r="M1120" s="40"/>
      <c r="N1120" s="40"/>
      <c r="O1120" s="40"/>
      <c r="P1120" s="40"/>
      <c r="Q1120" s="40"/>
      <c r="R1120" s="40"/>
      <c r="S1120" s="40"/>
      <c r="T1120" s="40"/>
      <c r="U1120" s="40"/>
      <c r="V1120" s="40"/>
      <c r="W1120" s="40"/>
      <c r="X1120" s="40"/>
      <c r="Y1120" s="40"/>
      <c r="Z1120" s="40"/>
    </row>
    <row r="1121">
      <c r="A1121" s="65">
        <v>45973.0</v>
      </c>
      <c r="B1121" s="66" t="s">
        <v>811</v>
      </c>
      <c r="C1121" s="67" t="s">
        <v>1612</v>
      </c>
      <c r="D1121" s="67" t="s">
        <v>852</v>
      </c>
      <c r="E1121" s="40"/>
      <c r="F1121" s="40"/>
      <c r="G1121" s="40"/>
      <c r="H1121" s="40"/>
      <c r="I1121" s="40"/>
      <c r="J1121" s="40"/>
      <c r="K1121" s="40"/>
      <c r="L1121" s="40"/>
      <c r="M1121" s="40"/>
      <c r="N1121" s="40"/>
      <c r="O1121" s="40"/>
      <c r="P1121" s="40"/>
      <c r="Q1121" s="40"/>
      <c r="R1121" s="40"/>
      <c r="S1121" s="40"/>
      <c r="T1121" s="40"/>
      <c r="U1121" s="40"/>
      <c r="V1121" s="40"/>
      <c r="W1121" s="40"/>
      <c r="X1121" s="40"/>
      <c r="Y1121" s="40"/>
      <c r="Z1121" s="40"/>
    </row>
    <row r="1122">
      <c r="A1122" s="65">
        <v>45973.0</v>
      </c>
      <c r="B1122" s="66" t="s">
        <v>811</v>
      </c>
      <c r="C1122" s="67" t="s">
        <v>1613</v>
      </c>
      <c r="D1122" s="68" t="s">
        <v>827</v>
      </c>
      <c r="E1122" s="40"/>
      <c r="F1122" s="40"/>
      <c r="G1122" s="40"/>
      <c r="H1122" s="40"/>
      <c r="I1122" s="40"/>
      <c r="J1122" s="40"/>
      <c r="K1122" s="40"/>
      <c r="L1122" s="40"/>
      <c r="M1122" s="40"/>
      <c r="N1122" s="40"/>
      <c r="O1122" s="40"/>
      <c r="P1122" s="40"/>
      <c r="Q1122" s="40"/>
      <c r="R1122" s="40"/>
      <c r="S1122" s="40"/>
      <c r="T1122" s="40"/>
      <c r="U1122" s="40"/>
      <c r="V1122" s="40"/>
      <c r="W1122" s="40"/>
      <c r="X1122" s="40"/>
      <c r="Y1122" s="40"/>
      <c r="Z1122" s="40"/>
    </row>
    <row r="1123">
      <c r="A1123" s="65">
        <v>45980.0</v>
      </c>
      <c r="B1123" s="66" t="s">
        <v>811</v>
      </c>
      <c r="C1123" s="67" t="s">
        <v>1614</v>
      </c>
      <c r="D1123" s="68" t="s">
        <v>827</v>
      </c>
      <c r="E1123" s="40"/>
      <c r="F1123" s="40"/>
      <c r="G1123" s="40"/>
      <c r="H1123" s="40"/>
      <c r="I1123" s="40"/>
      <c r="J1123" s="40"/>
      <c r="K1123" s="40"/>
      <c r="L1123" s="40"/>
      <c r="M1123" s="40"/>
      <c r="N1123" s="40"/>
      <c r="O1123" s="40"/>
      <c r="P1123" s="40"/>
      <c r="Q1123" s="40"/>
      <c r="R1123" s="40"/>
      <c r="S1123" s="40"/>
      <c r="T1123" s="40"/>
      <c r="U1123" s="40"/>
      <c r="V1123" s="40"/>
      <c r="W1123" s="40"/>
      <c r="X1123" s="40"/>
      <c r="Y1123" s="40"/>
      <c r="Z1123" s="40"/>
    </row>
    <row r="1124">
      <c r="A1124" s="65">
        <v>45980.0</v>
      </c>
      <c r="B1124" s="66" t="s">
        <v>811</v>
      </c>
      <c r="C1124" s="67" t="s">
        <v>1615</v>
      </c>
      <c r="D1124" s="68" t="s">
        <v>827</v>
      </c>
      <c r="E1124" s="40"/>
      <c r="F1124" s="40"/>
      <c r="G1124" s="40"/>
      <c r="H1124" s="40"/>
      <c r="I1124" s="40"/>
      <c r="J1124" s="40"/>
      <c r="K1124" s="40"/>
      <c r="L1124" s="40"/>
      <c r="M1124" s="40"/>
      <c r="N1124" s="40"/>
      <c r="O1124" s="40"/>
      <c r="P1124" s="40"/>
      <c r="Q1124" s="40"/>
      <c r="R1124" s="40"/>
      <c r="S1124" s="40"/>
      <c r="T1124" s="40"/>
      <c r="U1124" s="40"/>
      <c r="V1124" s="40"/>
      <c r="W1124" s="40"/>
      <c r="X1124" s="40"/>
      <c r="Y1124" s="40"/>
      <c r="Z1124" s="40"/>
    </row>
    <row r="1125">
      <c r="A1125" s="65">
        <v>45980.0</v>
      </c>
      <c r="B1125" s="66" t="s">
        <v>811</v>
      </c>
      <c r="C1125" s="67" t="s">
        <v>1615</v>
      </c>
      <c r="D1125" s="68" t="s">
        <v>827</v>
      </c>
      <c r="E1125" s="40"/>
      <c r="F1125" s="40"/>
      <c r="G1125" s="40"/>
      <c r="H1125" s="40"/>
      <c r="I1125" s="40"/>
      <c r="J1125" s="40"/>
      <c r="K1125" s="40"/>
      <c r="L1125" s="40"/>
      <c r="M1125" s="40"/>
      <c r="N1125" s="40"/>
      <c r="O1125" s="40"/>
      <c r="P1125" s="40"/>
      <c r="Q1125" s="40"/>
      <c r="R1125" s="40"/>
      <c r="S1125" s="40"/>
      <c r="T1125" s="40"/>
      <c r="U1125" s="40"/>
      <c r="V1125" s="40"/>
      <c r="W1125" s="40"/>
      <c r="X1125" s="40"/>
      <c r="Y1125" s="40"/>
      <c r="Z1125" s="40"/>
    </row>
    <row r="1126">
      <c r="A1126" s="65">
        <v>45980.0</v>
      </c>
      <c r="B1126" s="66" t="s">
        <v>811</v>
      </c>
      <c r="C1126" s="68" t="s">
        <v>827</v>
      </c>
      <c r="D1126" s="67" t="s">
        <v>1528</v>
      </c>
      <c r="E1126" s="40"/>
      <c r="F1126" s="40"/>
      <c r="G1126" s="40"/>
      <c r="H1126" s="40"/>
      <c r="I1126" s="40"/>
      <c r="J1126" s="40"/>
      <c r="K1126" s="40"/>
      <c r="L1126" s="40"/>
      <c r="M1126" s="40"/>
      <c r="N1126" s="40"/>
      <c r="O1126" s="40"/>
      <c r="P1126" s="40"/>
      <c r="Q1126" s="40"/>
      <c r="R1126" s="40"/>
      <c r="S1126" s="40"/>
      <c r="T1126" s="40"/>
      <c r="U1126" s="40"/>
      <c r="V1126" s="40"/>
      <c r="W1126" s="40"/>
      <c r="X1126" s="40"/>
      <c r="Y1126" s="40"/>
      <c r="Z1126" s="40"/>
    </row>
    <row r="1127">
      <c r="A1127" s="65">
        <v>45980.0</v>
      </c>
      <c r="B1127" s="66" t="s">
        <v>811</v>
      </c>
      <c r="C1127" s="67" t="s">
        <v>1616</v>
      </c>
      <c r="D1127" s="68" t="s">
        <v>827</v>
      </c>
      <c r="E1127" s="40"/>
      <c r="F1127" s="40"/>
      <c r="G1127" s="40"/>
      <c r="H1127" s="40"/>
      <c r="I1127" s="40"/>
      <c r="J1127" s="40"/>
      <c r="K1127" s="40"/>
      <c r="L1127" s="40"/>
      <c r="M1127" s="40"/>
      <c r="N1127" s="40"/>
      <c r="O1127" s="40"/>
      <c r="P1127" s="40"/>
      <c r="Q1127" s="40"/>
      <c r="R1127" s="40"/>
      <c r="S1127" s="40"/>
      <c r="T1127" s="40"/>
      <c r="U1127" s="40"/>
      <c r="V1127" s="40"/>
      <c r="W1127" s="40"/>
      <c r="X1127" s="40"/>
      <c r="Y1127" s="40"/>
      <c r="Z1127" s="40"/>
    </row>
    <row r="1128">
      <c r="A1128" s="65">
        <v>45980.0</v>
      </c>
      <c r="B1128" s="66" t="s">
        <v>811</v>
      </c>
      <c r="C1128" s="67" t="s">
        <v>1617</v>
      </c>
      <c r="D1128" s="68" t="s">
        <v>827</v>
      </c>
      <c r="E1128" s="40"/>
      <c r="F1128" s="40"/>
      <c r="G1128" s="40"/>
      <c r="H1128" s="40"/>
      <c r="I1128" s="40"/>
      <c r="J1128" s="40"/>
      <c r="K1128" s="40"/>
      <c r="L1128" s="40"/>
      <c r="M1128" s="40"/>
      <c r="N1128" s="40"/>
      <c r="O1128" s="40"/>
      <c r="P1128" s="40"/>
      <c r="Q1128" s="40"/>
      <c r="R1128" s="40"/>
      <c r="S1128" s="40"/>
      <c r="T1128" s="40"/>
      <c r="U1128" s="40"/>
      <c r="V1128" s="40"/>
      <c r="W1128" s="40"/>
      <c r="X1128" s="40"/>
      <c r="Y1128" s="40"/>
      <c r="Z1128" s="40"/>
    </row>
    <row r="1129">
      <c r="A1129" s="65">
        <v>45980.0</v>
      </c>
      <c r="B1129" s="66" t="s">
        <v>811</v>
      </c>
      <c r="C1129" s="67" t="s">
        <v>1618</v>
      </c>
      <c r="D1129" s="68" t="s">
        <v>827</v>
      </c>
      <c r="E1129" s="40"/>
      <c r="F1129" s="40"/>
      <c r="G1129" s="40"/>
      <c r="H1129" s="40"/>
      <c r="I1129" s="40"/>
      <c r="J1129" s="40"/>
      <c r="K1129" s="40"/>
      <c r="L1129" s="40"/>
      <c r="M1129" s="40"/>
      <c r="N1129" s="40"/>
      <c r="O1129" s="40"/>
      <c r="P1129" s="40"/>
      <c r="Q1129" s="40"/>
      <c r="R1129" s="40"/>
      <c r="S1129" s="40"/>
      <c r="T1129" s="40"/>
      <c r="U1129" s="40"/>
      <c r="V1129" s="40"/>
      <c r="W1129" s="40"/>
      <c r="X1129" s="40"/>
      <c r="Y1129" s="40"/>
      <c r="Z1129" s="40"/>
    </row>
    <row r="1130">
      <c r="A1130" s="65">
        <v>45980.0</v>
      </c>
      <c r="B1130" s="66" t="s">
        <v>811</v>
      </c>
      <c r="C1130" s="67" t="s">
        <v>1618</v>
      </c>
      <c r="D1130" s="68" t="s">
        <v>827</v>
      </c>
      <c r="E1130" s="40"/>
      <c r="F1130" s="40"/>
      <c r="G1130" s="40"/>
      <c r="H1130" s="40"/>
      <c r="I1130" s="40"/>
      <c r="J1130" s="40"/>
      <c r="K1130" s="40"/>
      <c r="L1130" s="40"/>
      <c r="M1130" s="40"/>
      <c r="N1130" s="40"/>
      <c r="O1130" s="40"/>
      <c r="P1130" s="40"/>
      <c r="Q1130" s="40"/>
      <c r="R1130" s="40"/>
      <c r="S1130" s="40"/>
      <c r="T1130" s="40"/>
      <c r="U1130" s="40"/>
      <c r="V1130" s="40"/>
      <c r="W1130" s="40"/>
      <c r="X1130" s="40"/>
      <c r="Y1130" s="40"/>
      <c r="Z1130" s="40"/>
    </row>
    <row r="1131">
      <c r="A1131" s="65">
        <v>45980.0</v>
      </c>
      <c r="B1131" s="66" t="s">
        <v>811</v>
      </c>
      <c r="C1131" s="67" t="s">
        <v>1619</v>
      </c>
      <c r="D1131" s="68" t="s">
        <v>827</v>
      </c>
      <c r="E1131" s="40"/>
      <c r="F1131" s="40"/>
      <c r="G1131" s="40"/>
      <c r="H1131" s="40"/>
      <c r="I1131" s="40"/>
      <c r="J1131" s="40"/>
      <c r="K1131" s="40"/>
      <c r="L1131" s="40"/>
      <c r="M1131" s="40"/>
      <c r="N1131" s="40"/>
      <c r="O1131" s="40"/>
      <c r="P1131" s="40"/>
      <c r="Q1131" s="40"/>
      <c r="R1131" s="40"/>
      <c r="S1131" s="40"/>
      <c r="T1131" s="40"/>
      <c r="U1131" s="40"/>
      <c r="V1131" s="40"/>
      <c r="W1131" s="40"/>
      <c r="X1131" s="40"/>
      <c r="Y1131" s="40"/>
      <c r="Z1131" s="40"/>
    </row>
    <row r="1132">
      <c r="A1132" s="65">
        <v>45980.0</v>
      </c>
      <c r="B1132" s="66" t="s">
        <v>811</v>
      </c>
      <c r="C1132" s="67" t="s">
        <v>1619</v>
      </c>
      <c r="D1132" s="68" t="s">
        <v>827</v>
      </c>
      <c r="E1132" s="40"/>
      <c r="F1132" s="40"/>
      <c r="G1132" s="40"/>
      <c r="H1132" s="40"/>
      <c r="I1132" s="40"/>
      <c r="J1132" s="40"/>
      <c r="K1132" s="40"/>
      <c r="L1132" s="40"/>
      <c r="M1132" s="40"/>
      <c r="N1132" s="40"/>
      <c r="O1132" s="40"/>
      <c r="P1132" s="40"/>
      <c r="Q1132" s="40"/>
      <c r="R1132" s="40"/>
      <c r="S1132" s="40"/>
      <c r="T1132" s="40"/>
      <c r="U1132" s="40"/>
      <c r="V1132" s="40"/>
      <c r="W1132" s="40"/>
      <c r="X1132" s="40"/>
      <c r="Y1132" s="40"/>
      <c r="Z1132" s="40"/>
    </row>
    <row r="1133">
      <c r="A1133" s="65">
        <v>45980.0</v>
      </c>
      <c r="B1133" s="66" t="s">
        <v>811</v>
      </c>
      <c r="C1133" s="67" t="s">
        <v>1619</v>
      </c>
      <c r="D1133" s="68" t="s">
        <v>827</v>
      </c>
      <c r="E1133" s="40"/>
      <c r="F1133" s="40"/>
      <c r="G1133" s="40"/>
      <c r="H1133" s="40"/>
      <c r="I1133" s="40"/>
      <c r="J1133" s="40"/>
      <c r="K1133" s="40"/>
      <c r="L1133" s="40"/>
      <c r="M1133" s="40"/>
      <c r="N1133" s="40"/>
      <c r="O1133" s="40"/>
      <c r="P1133" s="40"/>
      <c r="Q1133" s="40"/>
      <c r="R1133" s="40"/>
      <c r="S1133" s="40"/>
      <c r="T1133" s="40"/>
      <c r="U1133" s="40"/>
      <c r="V1133" s="40"/>
      <c r="W1133" s="40"/>
      <c r="X1133" s="40"/>
      <c r="Y1133" s="40"/>
      <c r="Z1133" s="40"/>
    </row>
    <row r="1134">
      <c r="A1134" s="65">
        <v>45980.0</v>
      </c>
      <c r="B1134" s="66" t="s">
        <v>811</v>
      </c>
      <c r="C1134" s="67" t="s">
        <v>1620</v>
      </c>
      <c r="D1134" s="68" t="s">
        <v>827</v>
      </c>
      <c r="E1134" s="40"/>
      <c r="F1134" s="40"/>
      <c r="G1134" s="40"/>
      <c r="H1134" s="40"/>
      <c r="I1134" s="40"/>
      <c r="J1134" s="40"/>
      <c r="K1134" s="40"/>
      <c r="L1134" s="40"/>
      <c r="M1134" s="40"/>
      <c r="N1134" s="40"/>
      <c r="O1134" s="40"/>
      <c r="P1134" s="40"/>
      <c r="Q1134" s="40"/>
      <c r="R1134" s="40"/>
      <c r="S1134" s="40"/>
      <c r="T1134" s="40"/>
      <c r="U1134" s="40"/>
      <c r="V1134" s="40"/>
      <c r="W1134" s="40"/>
      <c r="X1134" s="40"/>
      <c r="Y1134" s="40"/>
      <c r="Z1134" s="40"/>
    </row>
    <row r="1135">
      <c r="A1135" s="65">
        <v>45980.0</v>
      </c>
      <c r="B1135" s="66" t="s">
        <v>811</v>
      </c>
      <c r="C1135" s="67" t="s">
        <v>1621</v>
      </c>
      <c r="D1135" s="67" t="s">
        <v>852</v>
      </c>
      <c r="E1135" s="40"/>
      <c r="F1135" s="40"/>
      <c r="G1135" s="40"/>
      <c r="H1135" s="40"/>
      <c r="I1135" s="40"/>
      <c r="J1135" s="40"/>
      <c r="K1135" s="40"/>
      <c r="L1135" s="40"/>
      <c r="M1135" s="40"/>
      <c r="N1135" s="40"/>
      <c r="O1135" s="40"/>
      <c r="P1135" s="40"/>
      <c r="Q1135" s="40"/>
      <c r="R1135" s="40"/>
      <c r="S1135" s="40"/>
      <c r="T1135" s="40"/>
      <c r="U1135" s="40"/>
      <c r="V1135" s="40"/>
      <c r="W1135" s="40"/>
      <c r="X1135" s="40"/>
      <c r="Y1135" s="40"/>
      <c r="Z1135" s="40"/>
    </row>
    <row r="1136">
      <c r="A1136" s="65">
        <v>45980.0</v>
      </c>
      <c r="B1136" s="66" t="s">
        <v>811</v>
      </c>
      <c r="C1136" s="67" t="s">
        <v>1622</v>
      </c>
      <c r="D1136" s="68" t="s">
        <v>827</v>
      </c>
      <c r="E1136" s="40"/>
      <c r="F1136" s="40"/>
      <c r="G1136" s="40"/>
      <c r="H1136" s="40"/>
      <c r="I1136" s="40"/>
      <c r="J1136" s="40"/>
      <c r="K1136" s="40"/>
      <c r="L1136" s="40"/>
      <c r="M1136" s="40"/>
      <c r="N1136" s="40"/>
      <c r="O1136" s="40"/>
      <c r="P1136" s="40"/>
      <c r="Q1136" s="40"/>
      <c r="R1136" s="40"/>
      <c r="S1136" s="40"/>
      <c r="T1136" s="40"/>
      <c r="U1136" s="40"/>
      <c r="V1136" s="40"/>
      <c r="W1136" s="40"/>
      <c r="X1136" s="40"/>
      <c r="Y1136" s="40"/>
      <c r="Z1136" s="40"/>
    </row>
    <row r="1137">
      <c r="A1137" s="65">
        <v>45980.0</v>
      </c>
      <c r="B1137" s="66" t="s">
        <v>811</v>
      </c>
      <c r="C1137" s="67" t="s">
        <v>1622</v>
      </c>
      <c r="D1137" s="68" t="s">
        <v>827</v>
      </c>
      <c r="E1137" s="40"/>
      <c r="F1137" s="40"/>
      <c r="G1137" s="40"/>
      <c r="H1137" s="40"/>
      <c r="I1137" s="40"/>
      <c r="J1137" s="40"/>
      <c r="K1137" s="40"/>
      <c r="L1137" s="40"/>
      <c r="M1137" s="40"/>
      <c r="N1137" s="40"/>
      <c r="O1137" s="40"/>
      <c r="P1137" s="40"/>
      <c r="Q1137" s="40"/>
      <c r="R1137" s="40"/>
      <c r="S1137" s="40"/>
      <c r="T1137" s="40"/>
      <c r="U1137" s="40"/>
      <c r="V1137" s="40"/>
      <c r="W1137" s="40"/>
      <c r="X1137" s="40"/>
      <c r="Y1137" s="40"/>
      <c r="Z1137" s="40"/>
    </row>
    <row r="1138">
      <c r="A1138" s="65">
        <v>45983.0</v>
      </c>
      <c r="B1138" s="66" t="s">
        <v>810</v>
      </c>
      <c r="C1138" s="67" t="s">
        <v>1623</v>
      </c>
      <c r="D1138" s="68" t="s">
        <v>827</v>
      </c>
      <c r="E1138" s="40"/>
      <c r="F1138" s="40"/>
      <c r="G1138" s="40"/>
      <c r="H1138" s="40"/>
      <c r="I1138" s="40"/>
      <c r="J1138" s="40"/>
      <c r="K1138" s="40"/>
      <c r="L1138" s="40"/>
      <c r="M1138" s="40"/>
      <c r="N1138" s="40"/>
      <c r="O1138" s="40"/>
      <c r="P1138" s="40"/>
      <c r="Q1138" s="40"/>
      <c r="R1138" s="40"/>
      <c r="S1138" s="40"/>
      <c r="T1138" s="40"/>
      <c r="U1138" s="40"/>
      <c r="V1138" s="40"/>
      <c r="W1138" s="40"/>
      <c r="X1138" s="40"/>
      <c r="Y1138" s="40"/>
      <c r="Z1138" s="40"/>
    </row>
    <row r="1139">
      <c r="A1139" s="65">
        <v>45983.0</v>
      </c>
      <c r="B1139" s="66" t="s">
        <v>810</v>
      </c>
      <c r="C1139" s="67" t="s">
        <v>1624</v>
      </c>
      <c r="D1139" s="68" t="s">
        <v>827</v>
      </c>
      <c r="E1139" s="40"/>
      <c r="F1139" s="40"/>
      <c r="G1139" s="40"/>
      <c r="H1139" s="40"/>
      <c r="I1139" s="40"/>
      <c r="J1139" s="40"/>
      <c r="K1139" s="40"/>
      <c r="L1139" s="40"/>
      <c r="M1139" s="40"/>
      <c r="N1139" s="40"/>
      <c r="O1139" s="40"/>
      <c r="P1139" s="40"/>
      <c r="Q1139" s="40"/>
      <c r="R1139" s="40"/>
      <c r="S1139" s="40"/>
      <c r="T1139" s="40"/>
      <c r="U1139" s="40"/>
      <c r="V1139" s="40"/>
      <c r="W1139" s="40"/>
      <c r="X1139" s="40"/>
      <c r="Y1139" s="40"/>
      <c r="Z1139" s="40"/>
    </row>
    <row r="1140">
      <c r="A1140" s="65">
        <v>45983.0</v>
      </c>
      <c r="B1140" s="66" t="s">
        <v>810</v>
      </c>
      <c r="C1140" s="67" t="s">
        <v>926</v>
      </c>
      <c r="D1140" s="68" t="s">
        <v>827</v>
      </c>
      <c r="E1140" s="40"/>
      <c r="F1140" s="40"/>
      <c r="G1140" s="40"/>
      <c r="H1140" s="40"/>
      <c r="I1140" s="40"/>
      <c r="J1140" s="40"/>
      <c r="K1140" s="40"/>
      <c r="L1140" s="40"/>
      <c r="M1140" s="40"/>
      <c r="N1140" s="40"/>
      <c r="O1140" s="40"/>
      <c r="P1140" s="40"/>
      <c r="Q1140" s="40"/>
      <c r="R1140" s="40"/>
      <c r="S1140" s="40"/>
      <c r="T1140" s="40"/>
      <c r="U1140" s="40"/>
      <c r="V1140" s="40"/>
      <c r="W1140" s="40"/>
      <c r="X1140" s="40"/>
      <c r="Y1140" s="40"/>
      <c r="Z1140" s="40"/>
    </row>
    <row r="1141">
      <c r="A1141" s="65">
        <v>45983.0</v>
      </c>
      <c r="B1141" s="66" t="s">
        <v>810</v>
      </c>
      <c r="C1141" s="67" t="s">
        <v>1625</v>
      </c>
      <c r="D1141" s="68" t="s">
        <v>827</v>
      </c>
      <c r="E1141" s="40"/>
      <c r="F1141" s="40"/>
      <c r="G1141" s="40"/>
      <c r="H1141" s="40"/>
      <c r="I1141" s="40"/>
      <c r="J1141" s="40"/>
      <c r="K1141" s="40"/>
      <c r="L1141" s="40"/>
      <c r="M1141" s="40"/>
      <c r="N1141" s="40"/>
      <c r="O1141" s="40"/>
      <c r="P1141" s="40"/>
      <c r="Q1141" s="40"/>
      <c r="R1141" s="40"/>
      <c r="S1141" s="40"/>
      <c r="T1141" s="40"/>
      <c r="U1141" s="40"/>
      <c r="V1141" s="40"/>
      <c r="W1141" s="40"/>
      <c r="X1141" s="40"/>
      <c r="Y1141" s="40"/>
      <c r="Z1141" s="40"/>
    </row>
    <row r="1142">
      <c r="A1142" s="65">
        <v>45983.0</v>
      </c>
      <c r="B1142" s="66" t="s">
        <v>810</v>
      </c>
      <c r="C1142" s="67" t="s">
        <v>1626</v>
      </c>
      <c r="D1142" s="68" t="s">
        <v>827</v>
      </c>
      <c r="E1142" s="40"/>
      <c r="F1142" s="40"/>
      <c r="G1142" s="40"/>
      <c r="H1142" s="40"/>
      <c r="I1142" s="40"/>
      <c r="J1142" s="40"/>
      <c r="K1142" s="40"/>
      <c r="L1142" s="40"/>
      <c r="M1142" s="40"/>
      <c r="N1142" s="40"/>
      <c r="O1142" s="40"/>
      <c r="P1142" s="40"/>
      <c r="Q1142" s="40"/>
      <c r="R1142" s="40"/>
      <c r="S1142" s="40"/>
      <c r="T1142" s="40"/>
      <c r="U1142" s="40"/>
      <c r="V1142" s="40"/>
      <c r="W1142" s="40"/>
      <c r="X1142" s="40"/>
      <c r="Y1142" s="40"/>
      <c r="Z1142" s="40"/>
    </row>
    <row r="1143">
      <c r="A1143" s="65">
        <v>45983.0</v>
      </c>
      <c r="B1143" s="66" t="s">
        <v>810</v>
      </c>
      <c r="C1143" s="67" t="s">
        <v>1626</v>
      </c>
      <c r="D1143" s="68" t="s">
        <v>827</v>
      </c>
      <c r="E1143" s="40"/>
      <c r="F1143" s="40"/>
      <c r="G1143" s="40"/>
      <c r="H1143" s="40"/>
      <c r="I1143" s="40"/>
      <c r="J1143" s="40"/>
      <c r="K1143" s="40"/>
      <c r="L1143" s="40"/>
      <c r="M1143" s="40"/>
      <c r="N1143" s="40"/>
      <c r="O1143" s="40"/>
      <c r="P1143" s="40"/>
      <c r="Q1143" s="40"/>
      <c r="R1143" s="40"/>
      <c r="S1143" s="40"/>
      <c r="T1143" s="40"/>
      <c r="U1143" s="40"/>
      <c r="V1143" s="40"/>
      <c r="W1143" s="40"/>
      <c r="X1143" s="40"/>
      <c r="Y1143" s="40"/>
      <c r="Z1143" s="40"/>
    </row>
    <row r="1144">
      <c r="A1144" s="65">
        <v>45983.0</v>
      </c>
      <c r="B1144" s="66" t="s">
        <v>810</v>
      </c>
      <c r="C1144" s="67" t="s">
        <v>1626</v>
      </c>
      <c r="D1144" s="68" t="s">
        <v>827</v>
      </c>
      <c r="E1144" s="40"/>
      <c r="F1144" s="40"/>
      <c r="G1144" s="40"/>
      <c r="H1144" s="40"/>
      <c r="I1144" s="40"/>
      <c r="J1144" s="40"/>
      <c r="K1144" s="40"/>
      <c r="L1144" s="40"/>
      <c r="M1144" s="40"/>
      <c r="N1144" s="40"/>
      <c r="O1144" s="40"/>
      <c r="P1144" s="40"/>
      <c r="Q1144" s="40"/>
      <c r="R1144" s="40"/>
      <c r="S1144" s="40"/>
      <c r="T1144" s="40"/>
      <c r="U1144" s="40"/>
      <c r="V1144" s="40"/>
      <c r="W1144" s="40"/>
      <c r="X1144" s="40"/>
      <c r="Y1144" s="40"/>
      <c r="Z1144" s="40"/>
    </row>
    <row r="1145">
      <c r="A1145" s="65">
        <v>45983.0</v>
      </c>
      <c r="B1145" s="66" t="s">
        <v>810</v>
      </c>
      <c r="C1145" s="67" t="s">
        <v>1626</v>
      </c>
      <c r="D1145" s="68" t="s">
        <v>827</v>
      </c>
      <c r="E1145" s="40"/>
      <c r="F1145" s="40"/>
      <c r="G1145" s="40"/>
      <c r="H1145" s="40"/>
      <c r="I1145" s="40"/>
      <c r="J1145" s="40"/>
      <c r="K1145" s="40"/>
      <c r="L1145" s="40"/>
      <c r="M1145" s="40"/>
      <c r="N1145" s="40"/>
      <c r="O1145" s="40"/>
      <c r="P1145" s="40"/>
      <c r="Q1145" s="40"/>
      <c r="R1145" s="40"/>
      <c r="S1145" s="40"/>
      <c r="T1145" s="40"/>
      <c r="U1145" s="40"/>
      <c r="V1145" s="40"/>
      <c r="W1145" s="40"/>
      <c r="X1145" s="40"/>
      <c r="Y1145" s="40"/>
      <c r="Z1145" s="40"/>
    </row>
    <row r="1146">
      <c r="A1146" s="65">
        <v>45983.0</v>
      </c>
      <c r="B1146" s="66" t="s">
        <v>810</v>
      </c>
      <c r="C1146" s="67" t="s">
        <v>1627</v>
      </c>
      <c r="D1146" s="68" t="s">
        <v>827</v>
      </c>
      <c r="E1146" s="40"/>
      <c r="F1146" s="40"/>
      <c r="G1146" s="40"/>
      <c r="H1146" s="40"/>
      <c r="I1146" s="40"/>
      <c r="J1146" s="40"/>
      <c r="K1146" s="40"/>
      <c r="L1146" s="40"/>
      <c r="M1146" s="40"/>
      <c r="N1146" s="40"/>
      <c r="O1146" s="40"/>
      <c r="P1146" s="40"/>
      <c r="Q1146" s="40"/>
      <c r="R1146" s="40"/>
      <c r="S1146" s="40"/>
      <c r="T1146" s="40"/>
      <c r="U1146" s="40"/>
      <c r="V1146" s="40"/>
      <c r="W1146" s="40"/>
      <c r="X1146" s="40"/>
      <c r="Y1146" s="40"/>
      <c r="Z1146" s="40"/>
    </row>
    <row r="1147">
      <c r="A1147" s="65">
        <v>45983.0</v>
      </c>
      <c r="B1147" s="66" t="s">
        <v>810</v>
      </c>
      <c r="C1147" s="67" t="s">
        <v>1628</v>
      </c>
      <c r="D1147" s="68" t="s">
        <v>827</v>
      </c>
      <c r="E1147" s="40"/>
      <c r="F1147" s="40"/>
      <c r="G1147" s="40"/>
      <c r="H1147" s="40"/>
      <c r="I1147" s="40"/>
      <c r="J1147" s="40"/>
      <c r="K1147" s="40"/>
      <c r="L1147" s="40"/>
      <c r="M1147" s="40"/>
      <c r="N1147" s="40"/>
      <c r="O1147" s="40"/>
      <c r="P1147" s="40"/>
      <c r="Q1147" s="40"/>
      <c r="R1147" s="40"/>
      <c r="S1147" s="40"/>
      <c r="T1147" s="40"/>
      <c r="U1147" s="40"/>
      <c r="V1147" s="40"/>
      <c r="W1147" s="40"/>
      <c r="X1147" s="40"/>
      <c r="Y1147" s="40"/>
      <c r="Z1147" s="40"/>
    </row>
    <row r="1148">
      <c r="A1148" s="65">
        <v>45983.0</v>
      </c>
      <c r="B1148" s="66" t="s">
        <v>810</v>
      </c>
      <c r="C1148" s="67" t="s">
        <v>1629</v>
      </c>
      <c r="D1148" s="68" t="s">
        <v>827</v>
      </c>
      <c r="E1148" s="40"/>
      <c r="F1148" s="40"/>
      <c r="G1148" s="40"/>
      <c r="H1148" s="40"/>
      <c r="I1148" s="40"/>
      <c r="J1148" s="40"/>
      <c r="K1148" s="40"/>
      <c r="L1148" s="40"/>
      <c r="M1148" s="40"/>
      <c r="N1148" s="40"/>
      <c r="O1148" s="40"/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0"/>
    </row>
    <row r="1149">
      <c r="A1149" s="65">
        <v>45983.0</v>
      </c>
      <c r="B1149" s="66" t="s">
        <v>810</v>
      </c>
      <c r="C1149" s="67" t="s">
        <v>1629</v>
      </c>
      <c r="D1149" s="68" t="s">
        <v>827</v>
      </c>
      <c r="E1149" s="40"/>
      <c r="F1149" s="40"/>
      <c r="G1149" s="40"/>
      <c r="H1149" s="40"/>
      <c r="I1149" s="40"/>
      <c r="J1149" s="40"/>
      <c r="K1149" s="40"/>
      <c r="L1149" s="40"/>
      <c r="M1149" s="40"/>
      <c r="N1149" s="40"/>
      <c r="O1149" s="40"/>
      <c r="P1149" s="40"/>
      <c r="Q1149" s="40"/>
      <c r="R1149" s="40"/>
      <c r="S1149" s="40"/>
      <c r="T1149" s="40"/>
      <c r="U1149" s="40"/>
      <c r="V1149" s="40"/>
      <c r="W1149" s="40"/>
      <c r="X1149" s="40"/>
      <c r="Y1149" s="40"/>
      <c r="Z1149" s="40"/>
    </row>
    <row r="1150">
      <c r="A1150" s="65">
        <v>45983.0</v>
      </c>
      <c r="B1150" s="66" t="s">
        <v>810</v>
      </c>
      <c r="C1150" s="67" t="s">
        <v>1629</v>
      </c>
      <c r="D1150" s="68" t="s">
        <v>827</v>
      </c>
      <c r="E1150" s="40"/>
      <c r="F1150" s="40"/>
      <c r="G1150" s="40"/>
      <c r="H1150" s="40"/>
      <c r="I1150" s="40"/>
      <c r="J1150" s="40"/>
      <c r="K1150" s="40"/>
      <c r="L1150" s="40"/>
      <c r="M1150" s="40"/>
      <c r="N1150" s="40"/>
      <c r="O1150" s="40"/>
      <c r="P1150" s="40"/>
      <c r="Q1150" s="40"/>
      <c r="R1150" s="40"/>
      <c r="S1150" s="40"/>
      <c r="T1150" s="40"/>
      <c r="U1150" s="40"/>
      <c r="V1150" s="40"/>
      <c r="W1150" s="40"/>
      <c r="X1150" s="40"/>
      <c r="Y1150" s="40"/>
      <c r="Z1150" s="40"/>
    </row>
    <row r="1151">
      <c r="A1151" s="65">
        <v>45983.0</v>
      </c>
      <c r="B1151" s="66" t="s">
        <v>810</v>
      </c>
      <c r="C1151" s="67" t="s">
        <v>1630</v>
      </c>
      <c r="D1151" s="68" t="s">
        <v>827</v>
      </c>
      <c r="E1151" s="40"/>
      <c r="F1151" s="40"/>
      <c r="G1151" s="40"/>
      <c r="H1151" s="40"/>
      <c r="I1151" s="40"/>
      <c r="J1151" s="40"/>
      <c r="K1151" s="40"/>
      <c r="L1151" s="40"/>
      <c r="M1151" s="40"/>
      <c r="N1151" s="40"/>
      <c r="O1151" s="40"/>
      <c r="P1151" s="40"/>
      <c r="Q1151" s="40"/>
      <c r="R1151" s="40"/>
      <c r="S1151" s="40"/>
      <c r="T1151" s="40"/>
      <c r="U1151" s="40"/>
      <c r="V1151" s="40"/>
      <c r="W1151" s="40"/>
      <c r="X1151" s="40"/>
      <c r="Y1151" s="40"/>
      <c r="Z1151" s="40"/>
    </row>
    <row r="1152">
      <c r="A1152" s="65">
        <v>45983.0</v>
      </c>
      <c r="B1152" s="66" t="s">
        <v>810</v>
      </c>
      <c r="C1152" s="67" t="s">
        <v>1630</v>
      </c>
      <c r="D1152" s="68" t="s">
        <v>827</v>
      </c>
      <c r="E1152" s="40"/>
      <c r="F1152" s="40"/>
      <c r="G1152" s="40"/>
      <c r="H1152" s="40"/>
      <c r="I1152" s="40"/>
      <c r="J1152" s="40"/>
      <c r="K1152" s="40"/>
      <c r="L1152" s="40"/>
      <c r="M1152" s="40"/>
      <c r="N1152" s="40"/>
      <c r="O1152" s="40"/>
      <c r="P1152" s="40"/>
      <c r="Q1152" s="40"/>
      <c r="R1152" s="40"/>
      <c r="S1152" s="40"/>
      <c r="T1152" s="40"/>
      <c r="U1152" s="40"/>
      <c r="V1152" s="40"/>
      <c r="W1152" s="40"/>
      <c r="X1152" s="40"/>
      <c r="Y1152" s="40"/>
      <c r="Z1152" s="40"/>
    </row>
    <row r="1153">
      <c r="A1153" s="65">
        <v>45983.0</v>
      </c>
      <c r="B1153" s="66" t="s">
        <v>810</v>
      </c>
      <c r="C1153" s="67" t="s">
        <v>1630</v>
      </c>
      <c r="D1153" s="68" t="s">
        <v>827</v>
      </c>
      <c r="E1153" s="40"/>
      <c r="F1153" s="40"/>
      <c r="G1153" s="40"/>
      <c r="H1153" s="40"/>
      <c r="I1153" s="40"/>
      <c r="J1153" s="40"/>
      <c r="K1153" s="40"/>
      <c r="L1153" s="40"/>
      <c r="M1153" s="40"/>
      <c r="N1153" s="40"/>
      <c r="O1153" s="40"/>
      <c r="P1153" s="40"/>
      <c r="Q1153" s="40"/>
      <c r="R1153" s="40"/>
      <c r="S1153" s="40"/>
      <c r="T1153" s="40"/>
      <c r="U1153" s="40"/>
      <c r="V1153" s="40"/>
      <c r="W1153" s="40"/>
      <c r="X1153" s="40"/>
      <c r="Y1153" s="40"/>
      <c r="Z1153" s="40"/>
    </row>
    <row r="1154">
      <c r="A1154" s="65">
        <v>45983.0</v>
      </c>
      <c r="B1154" s="66" t="s">
        <v>810</v>
      </c>
      <c r="C1154" s="67" t="s">
        <v>1631</v>
      </c>
      <c r="D1154" s="68" t="s">
        <v>827</v>
      </c>
      <c r="E1154" s="40"/>
      <c r="F1154" s="40"/>
      <c r="G1154" s="40"/>
      <c r="H1154" s="40"/>
      <c r="I1154" s="40"/>
      <c r="J1154" s="40"/>
      <c r="K1154" s="40"/>
      <c r="L1154" s="40"/>
      <c r="M1154" s="40"/>
      <c r="N1154" s="40"/>
      <c r="O1154" s="40"/>
      <c r="P1154" s="40"/>
      <c r="Q1154" s="40"/>
      <c r="R1154" s="40"/>
      <c r="S1154" s="40"/>
      <c r="T1154" s="40"/>
      <c r="U1154" s="40"/>
      <c r="V1154" s="40"/>
      <c r="W1154" s="40"/>
      <c r="X1154" s="40"/>
      <c r="Y1154" s="40"/>
      <c r="Z1154" s="40"/>
    </row>
    <row r="1155">
      <c r="A1155" s="65">
        <v>45983.0</v>
      </c>
      <c r="B1155" s="66" t="s">
        <v>810</v>
      </c>
      <c r="C1155" s="67" t="s">
        <v>1630</v>
      </c>
      <c r="D1155" s="68" t="s">
        <v>827</v>
      </c>
      <c r="E1155" s="40"/>
      <c r="F1155" s="40"/>
      <c r="G1155" s="40"/>
      <c r="H1155" s="40"/>
      <c r="I1155" s="40"/>
      <c r="J1155" s="40"/>
      <c r="K1155" s="40"/>
      <c r="L1155" s="40"/>
      <c r="M1155" s="40"/>
      <c r="N1155" s="40"/>
      <c r="O1155" s="40"/>
      <c r="P1155" s="40"/>
      <c r="Q1155" s="40"/>
      <c r="R1155" s="40"/>
      <c r="S1155" s="40"/>
      <c r="T1155" s="40"/>
      <c r="U1155" s="40"/>
      <c r="V1155" s="40"/>
      <c r="W1155" s="40"/>
      <c r="X1155" s="40"/>
      <c r="Y1155" s="40"/>
      <c r="Z1155" s="40"/>
    </row>
    <row r="1156">
      <c r="A1156" s="65">
        <v>45983.0</v>
      </c>
      <c r="B1156" s="66" t="s">
        <v>810</v>
      </c>
      <c r="C1156" s="67" t="s">
        <v>1632</v>
      </c>
      <c r="D1156" s="68" t="s">
        <v>827</v>
      </c>
      <c r="E1156" s="40"/>
      <c r="F1156" s="40"/>
      <c r="G1156" s="40"/>
      <c r="H1156" s="40"/>
      <c r="I1156" s="40"/>
      <c r="J1156" s="40"/>
      <c r="K1156" s="40"/>
      <c r="L1156" s="40"/>
      <c r="M1156" s="40"/>
      <c r="N1156" s="40"/>
      <c r="O1156" s="40"/>
      <c r="P1156" s="40"/>
      <c r="Q1156" s="40"/>
      <c r="R1156" s="40"/>
      <c r="S1156" s="40"/>
      <c r="T1156" s="40"/>
      <c r="U1156" s="40"/>
      <c r="V1156" s="40"/>
      <c r="W1156" s="40"/>
      <c r="X1156" s="40"/>
      <c r="Y1156" s="40"/>
      <c r="Z1156" s="40"/>
    </row>
    <row r="1157">
      <c r="A1157" s="65">
        <v>45983.0</v>
      </c>
      <c r="B1157" s="66" t="s">
        <v>810</v>
      </c>
      <c r="C1157" s="67" t="s">
        <v>1633</v>
      </c>
      <c r="D1157" s="68" t="s">
        <v>827</v>
      </c>
      <c r="E1157" s="40"/>
      <c r="F1157" s="40"/>
      <c r="G1157" s="40"/>
      <c r="H1157" s="40"/>
      <c r="I1157" s="40"/>
      <c r="J1157" s="40"/>
      <c r="K1157" s="40"/>
      <c r="L1157" s="40"/>
      <c r="M1157" s="40"/>
      <c r="N1157" s="40"/>
      <c r="O1157" s="40"/>
      <c r="P1157" s="40"/>
      <c r="Q1157" s="40"/>
      <c r="R1157" s="40"/>
      <c r="S1157" s="40"/>
      <c r="T1157" s="40"/>
      <c r="U1157" s="40"/>
      <c r="V1157" s="40"/>
      <c r="W1157" s="40"/>
      <c r="X1157" s="40"/>
      <c r="Y1157" s="40"/>
      <c r="Z1157" s="40"/>
    </row>
    <row r="1158">
      <c r="A1158" s="65">
        <v>45983.0</v>
      </c>
      <c r="B1158" s="66" t="s">
        <v>810</v>
      </c>
      <c r="C1158" s="67" t="s">
        <v>1634</v>
      </c>
      <c r="D1158" s="68" t="s">
        <v>827</v>
      </c>
      <c r="E1158" s="40"/>
      <c r="F1158" s="40"/>
      <c r="G1158" s="40"/>
      <c r="H1158" s="40"/>
      <c r="I1158" s="40"/>
      <c r="J1158" s="40"/>
      <c r="K1158" s="40"/>
      <c r="L1158" s="40"/>
      <c r="M1158" s="40"/>
      <c r="N1158" s="40"/>
      <c r="O1158" s="40"/>
      <c r="P1158" s="40"/>
      <c r="Q1158" s="40"/>
      <c r="R1158" s="40"/>
      <c r="S1158" s="40"/>
      <c r="T1158" s="40"/>
      <c r="U1158" s="40"/>
      <c r="V1158" s="40"/>
      <c r="W1158" s="40"/>
      <c r="X1158" s="40"/>
      <c r="Y1158" s="40"/>
      <c r="Z1158" s="40"/>
    </row>
    <row r="1159">
      <c r="A1159" s="65">
        <v>45983.0</v>
      </c>
      <c r="B1159" s="66" t="s">
        <v>810</v>
      </c>
      <c r="C1159" s="67" t="s">
        <v>1634</v>
      </c>
      <c r="D1159" s="68" t="s">
        <v>827</v>
      </c>
      <c r="E1159" s="40"/>
      <c r="F1159" s="40"/>
      <c r="G1159" s="40"/>
      <c r="H1159" s="40"/>
      <c r="I1159" s="40"/>
      <c r="J1159" s="40"/>
      <c r="K1159" s="40"/>
      <c r="L1159" s="40"/>
      <c r="M1159" s="40"/>
      <c r="N1159" s="40"/>
      <c r="O1159" s="40"/>
      <c r="P1159" s="40"/>
      <c r="Q1159" s="40"/>
      <c r="R1159" s="40"/>
      <c r="S1159" s="40"/>
      <c r="T1159" s="40"/>
      <c r="U1159" s="40"/>
      <c r="V1159" s="40"/>
      <c r="W1159" s="40"/>
      <c r="X1159" s="40"/>
      <c r="Y1159" s="40"/>
      <c r="Z1159" s="40"/>
    </row>
    <row r="1160">
      <c r="A1160" s="65">
        <v>45983.0</v>
      </c>
      <c r="B1160" s="66" t="s">
        <v>810</v>
      </c>
      <c r="C1160" s="67" t="s">
        <v>1634</v>
      </c>
      <c r="D1160" s="68" t="s">
        <v>827</v>
      </c>
      <c r="E1160" s="40"/>
      <c r="F1160" s="40"/>
      <c r="G1160" s="40"/>
      <c r="H1160" s="40"/>
      <c r="I1160" s="40"/>
      <c r="J1160" s="40"/>
      <c r="K1160" s="40"/>
      <c r="L1160" s="40"/>
      <c r="M1160" s="40"/>
      <c r="N1160" s="40"/>
      <c r="O1160" s="40"/>
      <c r="P1160" s="40"/>
      <c r="Q1160" s="40"/>
      <c r="R1160" s="40"/>
      <c r="S1160" s="40"/>
      <c r="T1160" s="40"/>
      <c r="U1160" s="40"/>
      <c r="V1160" s="40"/>
      <c r="W1160" s="40"/>
      <c r="X1160" s="40"/>
      <c r="Y1160" s="40"/>
      <c r="Z1160" s="40"/>
    </row>
    <row r="1161">
      <c r="A1161" s="65">
        <v>45983.0</v>
      </c>
      <c r="B1161" s="66" t="s">
        <v>810</v>
      </c>
      <c r="C1161" s="67" t="s">
        <v>1635</v>
      </c>
      <c r="D1161" s="68" t="s">
        <v>827</v>
      </c>
      <c r="E1161" s="40"/>
      <c r="F1161" s="40"/>
      <c r="G1161" s="40"/>
      <c r="H1161" s="40"/>
      <c r="I1161" s="40"/>
      <c r="J1161" s="40"/>
      <c r="K1161" s="40"/>
      <c r="L1161" s="40"/>
      <c r="M1161" s="40"/>
      <c r="N1161" s="40"/>
      <c r="O1161" s="40"/>
      <c r="P1161" s="40"/>
      <c r="Q1161" s="40"/>
      <c r="R1161" s="40"/>
      <c r="S1161" s="40"/>
      <c r="T1161" s="40"/>
      <c r="U1161" s="40"/>
      <c r="V1161" s="40"/>
      <c r="W1161" s="40"/>
      <c r="X1161" s="40"/>
      <c r="Y1161" s="40"/>
      <c r="Z1161" s="40"/>
    </row>
    <row r="1162">
      <c r="A1162" s="65">
        <v>45983.0</v>
      </c>
      <c r="B1162" s="66" t="s">
        <v>810</v>
      </c>
      <c r="C1162" s="67" t="s">
        <v>1636</v>
      </c>
      <c r="D1162" s="68" t="s">
        <v>827</v>
      </c>
      <c r="E1162" s="40"/>
      <c r="F1162" s="40"/>
      <c r="G1162" s="40"/>
      <c r="H1162" s="40"/>
      <c r="I1162" s="40"/>
      <c r="J1162" s="40"/>
      <c r="K1162" s="40"/>
      <c r="L1162" s="40"/>
      <c r="M1162" s="40"/>
      <c r="N1162" s="40"/>
      <c r="O1162" s="40"/>
      <c r="P1162" s="40"/>
      <c r="Q1162" s="40"/>
      <c r="R1162" s="40"/>
      <c r="S1162" s="40"/>
      <c r="T1162" s="40"/>
      <c r="U1162" s="40"/>
      <c r="V1162" s="40"/>
      <c r="W1162" s="40"/>
      <c r="X1162" s="40"/>
      <c r="Y1162" s="40"/>
      <c r="Z1162" s="40"/>
    </row>
    <row r="1163">
      <c r="A1163" s="65">
        <v>45983.0</v>
      </c>
      <c r="B1163" s="66" t="s">
        <v>810</v>
      </c>
      <c r="C1163" s="67" t="s">
        <v>1636</v>
      </c>
      <c r="D1163" s="68" t="s">
        <v>827</v>
      </c>
      <c r="E1163" s="40"/>
      <c r="F1163" s="40"/>
      <c r="G1163" s="40"/>
      <c r="H1163" s="40"/>
      <c r="I1163" s="40"/>
      <c r="J1163" s="40"/>
      <c r="K1163" s="40"/>
      <c r="L1163" s="40"/>
      <c r="M1163" s="40"/>
      <c r="N1163" s="40"/>
      <c r="O1163" s="40"/>
      <c r="P1163" s="40"/>
      <c r="Q1163" s="40"/>
      <c r="R1163" s="40"/>
      <c r="S1163" s="40"/>
      <c r="T1163" s="40"/>
      <c r="U1163" s="40"/>
      <c r="V1163" s="40"/>
      <c r="W1163" s="40"/>
      <c r="X1163" s="40"/>
      <c r="Y1163" s="40"/>
      <c r="Z1163" s="40"/>
    </row>
    <row r="1164">
      <c r="A1164" s="65">
        <v>45983.0</v>
      </c>
      <c r="B1164" s="66" t="s">
        <v>810</v>
      </c>
      <c r="C1164" s="67" t="s">
        <v>1637</v>
      </c>
      <c r="D1164" s="68" t="s">
        <v>827</v>
      </c>
      <c r="E1164" s="40"/>
      <c r="F1164" s="40"/>
      <c r="G1164" s="40"/>
      <c r="H1164" s="40"/>
      <c r="I1164" s="40"/>
      <c r="J1164" s="40"/>
      <c r="K1164" s="40"/>
      <c r="L1164" s="40"/>
      <c r="M1164" s="40"/>
      <c r="N1164" s="40"/>
      <c r="O1164" s="40"/>
      <c r="P1164" s="40"/>
      <c r="Q1164" s="40"/>
      <c r="R1164" s="40"/>
      <c r="S1164" s="40"/>
      <c r="T1164" s="40"/>
      <c r="U1164" s="40"/>
      <c r="V1164" s="40"/>
      <c r="W1164" s="40"/>
      <c r="X1164" s="40"/>
      <c r="Y1164" s="40"/>
      <c r="Z1164" s="40"/>
    </row>
    <row r="1165">
      <c r="A1165" s="65">
        <v>45983.0</v>
      </c>
      <c r="B1165" s="66" t="s">
        <v>810</v>
      </c>
      <c r="C1165" s="67" t="s">
        <v>1637</v>
      </c>
      <c r="D1165" s="68" t="s">
        <v>827</v>
      </c>
      <c r="E1165" s="40"/>
      <c r="F1165" s="40"/>
      <c r="G1165" s="40"/>
      <c r="H1165" s="40"/>
      <c r="I1165" s="40"/>
      <c r="J1165" s="40"/>
      <c r="K1165" s="40"/>
      <c r="L1165" s="40"/>
      <c r="M1165" s="40"/>
      <c r="N1165" s="40"/>
      <c r="O1165" s="40"/>
      <c r="P1165" s="40"/>
      <c r="Q1165" s="40"/>
      <c r="R1165" s="40"/>
      <c r="S1165" s="40"/>
      <c r="T1165" s="40"/>
      <c r="U1165" s="40"/>
      <c r="V1165" s="40"/>
      <c r="W1165" s="40"/>
      <c r="X1165" s="40"/>
      <c r="Y1165" s="40"/>
      <c r="Z1165" s="40"/>
    </row>
    <row r="1166">
      <c r="A1166" s="65">
        <v>45983.0</v>
      </c>
      <c r="B1166" s="66" t="s">
        <v>810</v>
      </c>
      <c r="C1166" s="67" t="s">
        <v>1636</v>
      </c>
      <c r="D1166" s="68" t="s">
        <v>827</v>
      </c>
      <c r="E1166" s="40"/>
      <c r="F1166" s="40"/>
      <c r="G1166" s="40"/>
      <c r="H1166" s="40"/>
      <c r="I1166" s="40"/>
      <c r="J1166" s="40"/>
      <c r="K1166" s="40"/>
      <c r="L1166" s="40"/>
      <c r="M1166" s="40"/>
      <c r="N1166" s="40"/>
      <c r="O1166" s="40"/>
      <c r="P1166" s="40"/>
      <c r="Q1166" s="40"/>
      <c r="R1166" s="40"/>
      <c r="S1166" s="40"/>
      <c r="T1166" s="40"/>
      <c r="U1166" s="40"/>
      <c r="V1166" s="40"/>
      <c r="W1166" s="40"/>
      <c r="X1166" s="40"/>
      <c r="Y1166" s="40"/>
      <c r="Z1166" s="40"/>
    </row>
    <row r="1167">
      <c r="A1167" s="65">
        <v>45983.0</v>
      </c>
      <c r="B1167" s="66" t="s">
        <v>810</v>
      </c>
      <c r="C1167" s="67" t="s">
        <v>1638</v>
      </c>
      <c r="D1167" s="68" t="s">
        <v>827</v>
      </c>
      <c r="E1167" s="40"/>
      <c r="F1167" s="40"/>
      <c r="G1167" s="40"/>
      <c r="H1167" s="40"/>
      <c r="I1167" s="40"/>
      <c r="J1167" s="40"/>
      <c r="K1167" s="40"/>
      <c r="L1167" s="40"/>
      <c r="M1167" s="40"/>
      <c r="N1167" s="40"/>
      <c r="O1167" s="40"/>
      <c r="P1167" s="40"/>
      <c r="Q1167" s="40"/>
      <c r="R1167" s="40"/>
      <c r="S1167" s="40"/>
      <c r="T1167" s="40"/>
      <c r="U1167" s="40"/>
      <c r="V1167" s="40"/>
      <c r="W1167" s="40"/>
      <c r="X1167" s="40"/>
      <c r="Y1167" s="40"/>
      <c r="Z1167" s="40"/>
    </row>
    <row r="1168">
      <c r="A1168" s="65">
        <v>45983.0</v>
      </c>
      <c r="B1168" s="66" t="s">
        <v>810</v>
      </c>
      <c r="C1168" s="67" t="s">
        <v>1639</v>
      </c>
      <c r="D1168" s="68" t="s">
        <v>827</v>
      </c>
      <c r="E1168" s="40"/>
      <c r="F1168" s="40"/>
      <c r="G1168" s="40"/>
      <c r="H1168" s="40"/>
      <c r="I1168" s="40"/>
      <c r="J1168" s="40"/>
      <c r="K1168" s="40"/>
      <c r="L1168" s="40"/>
      <c r="M1168" s="40"/>
      <c r="N1168" s="40"/>
      <c r="O1168" s="40"/>
      <c r="P1168" s="40"/>
      <c r="Q1168" s="40"/>
      <c r="R1168" s="40"/>
      <c r="S1168" s="40"/>
      <c r="T1168" s="40"/>
      <c r="U1168" s="40"/>
      <c r="V1168" s="40"/>
      <c r="W1168" s="40"/>
      <c r="X1168" s="40"/>
      <c r="Y1168" s="40"/>
      <c r="Z1168" s="40"/>
    </row>
    <row r="1169">
      <c r="A1169" s="65">
        <v>45983.0</v>
      </c>
      <c r="B1169" s="66" t="s">
        <v>810</v>
      </c>
      <c r="C1169" s="67" t="s">
        <v>1639</v>
      </c>
      <c r="D1169" s="68" t="s">
        <v>827</v>
      </c>
      <c r="E1169" s="40"/>
      <c r="F1169" s="40"/>
      <c r="G1169" s="40"/>
      <c r="H1169" s="40"/>
      <c r="I1169" s="40"/>
      <c r="J1169" s="40"/>
      <c r="K1169" s="40"/>
      <c r="L1169" s="40"/>
      <c r="M1169" s="40"/>
      <c r="N1169" s="40"/>
      <c r="O1169" s="40"/>
      <c r="P1169" s="40"/>
      <c r="Q1169" s="40"/>
      <c r="R1169" s="40"/>
      <c r="S1169" s="40"/>
      <c r="T1169" s="40"/>
      <c r="U1169" s="40"/>
      <c r="V1169" s="40"/>
      <c r="W1169" s="40"/>
      <c r="X1169" s="40"/>
      <c r="Y1169" s="40"/>
      <c r="Z1169" s="40"/>
    </row>
    <row r="1170">
      <c r="A1170" s="65">
        <v>45983.0</v>
      </c>
      <c r="B1170" s="66" t="s">
        <v>812</v>
      </c>
      <c r="C1170" s="67" t="s">
        <v>1640</v>
      </c>
      <c r="D1170" s="67" t="s">
        <v>1641</v>
      </c>
      <c r="E1170" s="40"/>
      <c r="F1170" s="40"/>
      <c r="G1170" s="40"/>
      <c r="H1170" s="40"/>
      <c r="I1170" s="40"/>
      <c r="J1170" s="40"/>
      <c r="K1170" s="40"/>
      <c r="L1170" s="40"/>
      <c r="M1170" s="40"/>
      <c r="N1170" s="40"/>
      <c r="O1170" s="40"/>
      <c r="P1170" s="40"/>
      <c r="Q1170" s="40"/>
      <c r="R1170" s="40"/>
      <c r="S1170" s="40"/>
      <c r="T1170" s="40"/>
      <c r="U1170" s="40"/>
      <c r="V1170" s="40"/>
      <c r="W1170" s="40"/>
      <c r="X1170" s="40"/>
      <c r="Y1170" s="40"/>
      <c r="Z1170" s="40"/>
    </row>
    <row r="1171">
      <c r="A1171" s="65">
        <v>45987.0</v>
      </c>
      <c r="B1171" s="66" t="s">
        <v>811</v>
      </c>
      <c r="C1171" s="67" t="s">
        <v>1642</v>
      </c>
      <c r="D1171" s="68" t="s">
        <v>827</v>
      </c>
      <c r="E1171" s="40"/>
      <c r="F1171" s="40"/>
      <c r="G1171" s="40"/>
      <c r="H1171" s="40"/>
      <c r="I1171" s="40"/>
      <c r="J1171" s="40"/>
      <c r="K1171" s="40"/>
      <c r="L1171" s="40"/>
      <c r="M1171" s="40"/>
      <c r="N1171" s="40"/>
      <c r="O1171" s="40"/>
      <c r="P1171" s="40"/>
      <c r="Q1171" s="40"/>
      <c r="R1171" s="40"/>
      <c r="S1171" s="40"/>
      <c r="T1171" s="40"/>
      <c r="U1171" s="40"/>
      <c r="V1171" s="40"/>
      <c r="W1171" s="40"/>
      <c r="X1171" s="40"/>
      <c r="Y1171" s="40"/>
      <c r="Z1171" s="40"/>
    </row>
    <row r="1172">
      <c r="A1172" s="65">
        <v>45987.0</v>
      </c>
      <c r="B1172" s="66" t="s">
        <v>811</v>
      </c>
      <c r="C1172" s="67" t="s">
        <v>1642</v>
      </c>
      <c r="D1172" s="68" t="s">
        <v>827</v>
      </c>
      <c r="E1172" s="40"/>
      <c r="F1172" s="40"/>
      <c r="G1172" s="40"/>
      <c r="H1172" s="40"/>
      <c r="I1172" s="40"/>
      <c r="J1172" s="40"/>
      <c r="K1172" s="40"/>
      <c r="L1172" s="40"/>
      <c r="M1172" s="40"/>
      <c r="N1172" s="40"/>
      <c r="O1172" s="40"/>
      <c r="P1172" s="40"/>
      <c r="Q1172" s="40"/>
      <c r="R1172" s="40"/>
      <c r="S1172" s="40"/>
      <c r="T1172" s="40"/>
      <c r="U1172" s="40"/>
      <c r="V1172" s="40"/>
      <c r="W1172" s="40"/>
      <c r="X1172" s="40"/>
      <c r="Y1172" s="40"/>
      <c r="Z1172" s="40"/>
    </row>
    <row r="1173">
      <c r="A1173" s="65">
        <v>45987.0</v>
      </c>
      <c r="B1173" s="66" t="s">
        <v>811</v>
      </c>
      <c r="C1173" s="67" t="s">
        <v>1643</v>
      </c>
      <c r="D1173" s="67" t="s">
        <v>1644</v>
      </c>
      <c r="E1173" s="40"/>
      <c r="F1173" s="40"/>
      <c r="G1173" s="40"/>
      <c r="H1173" s="40"/>
      <c r="I1173" s="40"/>
      <c r="J1173" s="40"/>
      <c r="K1173" s="40"/>
      <c r="L1173" s="40"/>
      <c r="M1173" s="40"/>
      <c r="N1173" s="40"/>
      <c r="O1173" s="40"/>
      <c r="P1173" s="40"/>
      <c r="Q1173" s="40"/>
      <c r="R1173" s="40"/>
      <c r="S1173" s="40"/>
      <c r="T1173" s="40"/>
      <c r="U1173" s="40"/>
      <c r="V1173" s="40"/>
      <c r="W1173" s="40"/>
      <c r="X1173" s="40"/>
      <c r="Y1173" s="40"/>
      <c r="Z1173" s="40"/>
    </row>
    <row r="1174">
      <c r="A1174" s="65">
        <v>45987.0</v>
      </c>
      <c r="B1174" s="66" t="s">
        <v>811</v>
      </c>
      <c r="C1174" s="67" t="s">
        <v>1643</v>
      </c>
      <c r="D1174" s="67" t="s">
        <v>1644</v>
      </c>
      <c r="E1174" s="40"/>
      <c r="F1174" s="40"/>
      <c r="G1174" s="40"/>
      <c r="H1174" s="40"/>
      <c r="I1174" s="40"/>
      <c r="J1174" s="40"/>
      <c r="K1174" s="40"/>
      <c r="L1174" s="40"/>
      <c r="M1174" s="40"/>
      <c r="N1174" s="40"/>
      <c r="O1174" s="40"/>
      <c r="P1174" s="40"/>
      <c r="Q1174" s="40"/>
      <c r="R1174" s="40"/>
      <c r="S1174" s="40"/>
      <c r="T1174" s="40"/>
      <c r="U1174" s="40"/>
      <c r="V1174" s="40"/>
      <c r="W1174" s="40"/>
      <c r="X1174" s="40"/>
      <c r="Y1174" s="40"/>
      <c r="Z1174" s="40"/>
    </row>
    <row r="1175">
      <c r="A1175" s="65">
        <v>45987.0</v>
      </c>
      <c r="B1175" s="66" t="s">
        <v>811</v>
      </c>
      <c r="C1175" s="67" t="s">
        <v>1643</v>
      </c>
      <c r="D1175" s="67" t="s">
        <v>1644</v>
      </c>
      <c r="E1175" s="40"/>
      <c r="F1175" s="40"/>
      <c r="G1175" s="40"/>
      <c r="H1175" s="40"/>
      <c r="I1175" s="40"/>
      <c r="J1175" s="40"/>
      <c r="K1175" s="40"/>
      <c r="L1175" s="40"/>
      <c r="M1175" s="40"/>
      <c r="N1175" s="40"/>
      <c r="O1175" s="40"/>
      <c r="P1175" s="40"/>
      <c r="Q1175" s="40"/>
      <c r="R1175" s="40"/>
      <c r="S1175" s="40"/>
      <c r="T1175" s="40"/>
      <c r="U1175" s="40"/>
      <c r="V1175" s="40"/>
      <c r="W1175" s="40"/>
      <c r="X1175" s="40"/>
      <c r="Y1175" s="40"/>
      <c r="Z1175" s="40"/>
    </row>
    <row r="1176">
      <c r="A1176" s="65">
        <v>45987.0</v>
      </c>
      <c r="B1176" s="66" t="s">
        <v>811</v>
      </c>
      <c r="C1176" s="67" t="s">
        <v>1645</v>
      </c>
      <c r="D1176" s="68" t="s">
        <v>827</v>
      </c>
      <c r="E1176" s="40"/>
      <c r="F1176" s="40"/>
      <c r="G1176" s="40"/>
      <c r="H1176" s="40"/>
      <c r="I1176" s="40"/>
      <c r="J1176" s="40"/>
      <c r="K1176" s="40"/>
      <c r="L1176" s="40"/>
      <c r="M1176" s="40"/>
      <c r="N1176" s="40"/>
      <c r="O1176" s="40"/>
      <c r="P1176" s="40"/>
      <c r="Q1176" s="40"/>
      <c r="R1176" s="40"/>
      <c r="S1176" s="40"/>
      <c r="T1176" s="40"/>
      <c r="U1176" s="40"/>
      <c r="V1176" s="40"/>
      <c r="W1176" s="40"/>
      <c r="X1176" s="40"/>
      <c r="Y1176" s="40"/>
      <c r="Z1176" s="40"/>
    </row>
    <row r="1177">
      <c r="A1177" s="65">
        <v>45987.0</v>
      </c>
      <c r="B1177" s="66" t="s">
        <v>811</v>
      </c>
      <c r="C1177" s="68" t="s">
        <v>827</v>
      </c>
      <c r="D1177" s="67" t="s">
        <v>1083</v>
      </c>
      <c r="E1177" s="40"/>
      <c r="F1177" s="40"/>
      <c r="G1177" s="40"/>
      <c r="H1177" s="40"/>
      <c r="I1177" s="40"/>
      <c r="J1177" s="40"/>
      <c r="K1177" s="40"/>
      <c r="L1177" s="40"/>
      <c r="M1177" s="40"/>
      <c r="N1177" s="40"/>
      <c r="O1177" s="40"/>
      <c r="P1177" s="40"/>
      <c r="Q1177" s="40"/>
      <c r="R1177" s="40"/>
      <c r="S1177" s="40"/>
      <c r="T1177" s="40"/>
      <c r="U1177" s="40"/>
      <c r="V1177" s="40"/>
      <c r="W1177" s="40"/>
      <c r="X1177" s="40"/>
      <c r="Y1177" s="40"/>
      <c r="Z1177" s="40"/>
    </row>
    <row r="1178">
      <c r="A1178" s="65">
        <v>45987.0</v>
      </c>
      <c r="B1178" s="66" t="s">
        <v>811</v>
      </c>
      <c r="C1178" s="67" t="s">
        <v>1646</v>
      </c>
      <c r="D1178" s="67" t="s">
        <v>971</v>
      </c>
      <c r="E1178" s="40"/>
      <c r="F1178" s="40"/>
      <c r="G1178" s="40"/>
      <c r="H1178" s="40"/>
      <c r="I1178" s="40"/>
      <c r="J1178" s="40"/>
      <c r="K1178" s="40"/>
      <c r="L1178" s="40"/>
      <c r="M1178" s="40"/>
      <c r="N1178" s="40"/>
      <c r="O1178" s="40"/>
      <c r="P1178" s="40"/>
      <c r="Q1178" s="40"/>
      <c r="R1178" s="40"/>
      <c r="S1178" s="40"/>
      <c r="T1178" s="40"/>
      <c r="U1178" s="40"/>
      <c r="V1178" s="40"/>
      <c r="W1178" s="40"/>
      <c r="X1178" s="40"/>
      <c r="Y1178" s="40"/>
      <c r="Z1178" s="40"/>
    </row>
    <row r="1179">
      <c r="A1179" s="65">
        <v>45987.0</v>
      </c>
      <c r="B1179" s="66" t="s">
        <v>811</v>
      </c>
      <c r="C1179" s="67" t="s">
        <v>1647</v>
      </c>
      <c r="D1179" s="68" t="s">
        <v>827</v>
      </c>
      <c r="E1179" s="40"/>
      <c r="F1179" s="40"/>
      <c r="G1179" s="40"/>
      <c r="H1179" s="40"/>
      <c r="I1179" s="40"/>
      <c r="J1179" s="40"/>
      <c r="K1179" s="40"/>
      <c r="L1179" s="40"/>
      <c r="M1179" s="40"/>
      <c r="N1179" s="40"/>
      <c r="O1179" s="40"/>
      <c r="P1179" s="40"/>
      <c r="Q1179" s="40"/>
      <c r="R1179" s="40"/>
      <c r="S1179" s="40"/>
      <c r="T1179" s="40"/>
      <c r="U1179" s="40"/>
      <c r="V1179" s="40"/>
      <c r="W1179" s="40"/>
      <c r="X1179" s="40"/>
      <c r="Y1179" s="40"/>
      <c r="Z1179" s="40"/>
    </row>
    <row r="1180">
      <c r="A1180" s="65">
        <v>45987.0</v>
      </c>
      <c r="B1180" s="66" t="s">
        <v>811</v>
      </c>
      <c r="C1180" s="67" t="s">
        <v>1646</v>
      </c>
      <c r="D1180" s="67" t="s">
        <v>1648</v>
      </c>
      <c r="E1180" s="40"/>
      <c r="F1180" s="40"/>
      <c r="G1180" s="40"/>
      <c r="H1180" s="40"/>
      <c r="I1180" s="40"/>
      <c r="J1180" s="40"/>
      <c r="K1180" s="40"/>
      <c r="L1180" s="40"/>
      <c r="M1180" s="40"/>
      <c r="N1180" s="40"/>
      <c r="O1180" s="40"/>
      <c r="P1180" s="40"/>
      <c r="Q1180" s="40"/>
      <c r="R1180" s="40"/>
      <c r="S1180" s="40"/>
      <c r="T1180" s="40"/>
      <c r="U1180" s="40"/>
      <c r="V1180" s="40"/>
      <c r="W1180" s="40"/>
      <c r="X1180" s="40"/>
      <c r="Y1180" s="40"/>
      <c r="Z1180" s="40"/>
    </row>
    <row r="1181">
      <c r="A1181" s="65">
        <v>45987.0</v>
      </c>
      <c r="B1181" s="66" t="s">
        <v>811</v>
      </c>
      <c r="C1181" s="67" t="s">
        <v>1649</v>
      </c>
      <c r="D1181" s="67" t="s">
        <v>1650</v>
      </c>
      <c r="E1181" s="40"/>
      <c r="F1181" s="40"/>
      <c r="G1181" s="40"/>
      <c r="H1181" s="40"/>
      <c r="I1181" s="40"/>
      <c r="J1181" s="40"/>
      <c r="K1181" s="40"/>
      <c r="L1181" s="40"/>
      <c r="M1181" s="40"/>
      <c r="N1181" s="40"/>
      <c r="O1181" s="40"/>
      <c r="P1181" s="40"/>
      <c r="Q1181" s="40"/>
      <c r="R1181" s="40"/>
      <c r="S1181" s="40"/>
      <c r="T1181" s="40"/>
      <c r="U1181" s="40"/>
      <c r="V1181" s="40"/>
      <c r="W1181" s="40"/>
      <c r="X1181" s="40"/>
      <c r="Y1181" s="40"/>
      <c r="Z1181" s="40"/>
    </row>
    <row r="1182">
      <c r="A1182" s="65">
        <v>45987.0</v>
      </c>
      <c r="B1182" s="66" t="s">
        <v>811</v>
      </c>
      <c r="C1182" s="67" t="s">
        <v>1649</v>
      </c>
      <c r="D1182" s="67" t="s">
        <v>1650</v>
      </c>
      <c r="E1182" s="40"/>
      <c r="F1182" s="40"/>
      <c r="G1182" s="40"/>
      <c r="H1182" s="40"/>
      <c r="I1182" s="40"/>
      <c r="J1182" s="40"/>
      <c r="K1182" s="40"/>
      <c r="L1182" s="40"/>
      <c r="M1182" s="40"/>
      <c r="N1182" s="40"/>
      <c r="O1182" s="40"/>
      <c r="P1182" s="40"/>
      <c r="Q1182" s="40"/>
      <c r="R1182" s="40"/>
      <c r="S1182" s="40"/>
      <c r="T1182" s="40"/>
      <c r="U1182" s="40"/>
      <c r="V1182" s="40"/>
      <c r="W1182" s="40"/>
      <c r="X1182" s="40"/>
      <c r="Y1182" s="40"/>
      <c r="Z1182" s="40"/>
    </row>
    <row r="1183">
      <c r="A1183" s="65">
        <v>45987.0</v>
      </c>
      <c r="B1183" s="66" t="s">
        <v>811</v>
      </c>
      <c r="C1183" s="68" t="s">
        <v>827</v>
      </c>
      <c r="D1183" s="67" t="s">
        <v>869</v>
      </c>
      <c r="E1183" s="40"/>
      <c r="F1183" s="40"/>
      <c r="G1183" s="40"/>
      <c r="H1183" s="40"/>
      <c r="I1183" s="40"/>
      <c r="J1183" s="40"/>
      <c r="K1183" s="40"/>
      <c r="L1183" s="40"/>
      <c r="M1183" s="40"/>
      <c r="N1183" s="40"/>
      <c r="O1183" s="40"/>
      <c r="P1183" s="40"/>
      <c r="Q1183" s="40"/>
      <c r="R1183" s="40"/>
      <c r="S1183" s="40"/>
      <c r="T1183" s="40"/>
      <c r="U1183" s="40"/>
      <c r="V1183" s="40"/>
      <c r="W1183" s="40"/>
      <c r="X1183" s="40"/>
      <c r="Y1183" s="40"/>
      <c r="Z1183" s="40"/>
    </row>
    <row r="1184">
      <c r="A1184" s="65">
        <v>45987.0</v>
      </c>
      <c r="B1184" s="66" t="s">
        <v>811</v>
      </c>
      <c r="C1184" s="68" t="s">
        <v>827</v>
      </c>
      <c r="D1184" s="67" t="s">
        <v>852</v>
      </c>
      <c r="E1184" s="40"/>
      <c r="F1184" s="40"/>
      <c r="G1184" s="40"/>
      <c r="H1184" s="40"/>
      <c r="I1184" s="40"/>
      <c r="J1184" s="40"/>
      <c r="K1184" s="40"/>
      <c r="L1184" s="40"/>
      <c r="M1184" s="40"/>
      <c r="N1184" s="40"/>
      <c r="O1184" s="40"/>
      <c r="P1184" s="40"/>
      <c r="Q1184" s="40"/>
      <c r="R1184" s="40"/>
      <c r="S1184" s="40"/>
      <c r="T1184" s="40"/>
      <c r="U1184" s="40"/>
      <c r="V1184" s="40"/>
      <c r="W1184" s="40"/>
      <c r="X1184" s="40"/>
      <c r="Y1184" s="40"/>
      <c r="Z1184" s="40"/>
    </row>
    <row r="1185">
      <c r="A1185" s="65">
        <v>45987.0</v>
      </c>
      <c r="B1185" s="66" t="s">
        <v>811</v>
      </c>
      <c r="C1185" s="67" t="s">
        <v>1651</v>
      </c>
      <c r="D1185" s="68" t="s">
        <v>827</v>
      </c>
      <c r="E1185" s="40"/>
      <c r="F1185" s="40"/>
      <c r="G1185" s="40"/>
      <c r="H1185" s="40"/>
      <c r="I1185" s="40"/>
      <c r="J1185" s="40"/>
      <c r="K1185" s="40"/>
      <c r="L1185" s="40"/>
      <c r="M1185" s="40"/>
      <c r="N1185" s="40"/>
      <c r="O1185" s="40"/>
      <c r="P1185" s="40"/>
      <c r="Q1185" s="40"/>
      <c r="R1185" s="40"/>
      <c r="S1185" s="40"/>
      <c r="T1185" s="40"/>
      <c r="U1185" s="40"/>
      <c r="V1185" s="40"/>
      <c r="W1185" s="40"/>
      <c r="X1185" s="40"/>
      <c r="Y1185" s="40"/>
      <c r="Z1185" s="40"/>
    </row>
    <row r="1186">
      <c r="A1186" s="65">
        <v>45987.0</v>
      </c>
      <c r="B1186" s="66" t="s">
        <v>811</v>
      </c>
      <c r="C1186" s="67" t="s">
        <v>1652</v>
      </c>
      <c r="D1186" s="68" t="s">
        <v>827</v>
      </c>
      <c r="E1186" s="40"/>
      <c r="F1186" s="40"/>
      <c r="G1186" s="40"/>
      <c r="H1186" s="40"/>
      <c r="I1186" s="40"/>
      <c r="J1186" s="40"/>
      <c r="K1186" s="40"/>
      <c r="L1186" s="40"/>
      <c r="M1186" s="40"/>
      <c r="N1186" s="40"/>
      <c r="O1186" s="40"/>
      <c r="P1186" s="40"/>
      <c r="Q1186" s="40"/>
      <c r="R1186" s="40"/>
      <c r="S1186" s="40"/>
      <c r="T1186" s="40"/>
      <c r="U1186" s="40"/>
      <c r="V1186" s="40"/>
      <c r="W1186" s="40"/>
      <c r="X1186" s="40"/>
      <c r="Y1186" s="40"/>
      <c r="Z1186" s="40"/>
    </row>
    <row r="1187">
      <c r="A1187" s="65">
        <v>45990.0</v>
      </c>
      <c r="B1187" s="66" t="s">
        <v>810</v>
      </c>
      <c r="C1187" s="67" t="s">
        <v>1653</v>
      </c>
      <c r="D1187" s="68" t="s">
        <v>827</v>
      </c>
      <c r="E1187" s="40"/>
      <c r="F1187" s="40"/>
      <c r="G1187" s="40"/>
      <c r="H1187" s="40"/>
      <c r="I1187" s="40"/>
      <c r="J1187" s="40"/>
      <c r="K1187" s="40"/>
      <c r="L1187" s="40"/>
      <c r="M1187" s="40"/>
      <c r="N1187" s="40"/>
      <c r="O1187" s="40"/>
      <c r="P1187" s="40"/>
      <c r="Q1187" s="40"/>
      <c r="R1187" s="40"/>
      <c r="S1187" s="40"/>
      <c r="T1187" s="40"/>
      <c r="U1187" s="40"/>
      <c r="V1187" s="40"/>
      <c r="W1187" s="40"/>
      <c r="X1187" s="40"/>
      <c r="Y1187" s="40"/>
      <c r="Z1187" s="40"/>
    </row>
    <row r="1188">
      <c r="A1188" s="65">
        <v>45990.0</v>
      </c>
      <c r="B1188" s="66" t="s">
        <v>810</v>
      </c>
      <c r="C1188" s="67" t="s">
        <v>1654</v>
      </c>
      <c r="D1188" s="68" t="s">
        <v>827</v>
      </c>
      <c r="E1188" s="40"/>
      <c r="F1188" s="40"/>
      <c r="G1188" s="40"/>
      <c r="H1188" s="40"/>
      <c r="I1188" s="40"/>
      <c r="J1188" s="40"/>
      <c r="K1188" s="40"/>
      <c r="L1188" s="40"/>
      <c r="M1188" s="40"/>
      <c r="N1188" s="40"/>
      <c r="O1188" s="40"/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0"/>
    </row>
    <row r="1189">
      <c r="A1189" s="65">
        <v>45990.0</v>
      </c>
      <c r="B1189" s="66" t="s">
        <v>810</v>
      </c>
      <c r="C1189" s="67" t="s">
        <v>863</v>
      </c>
      <c r="D1189" s="68" t="s">
        <v>827</v>
      </c>
      <c r="E1189" s="40"/>
      <c r="F1189" s="40"/>
      <c r="G1189" s="40"/>
      <c r="H1189" s="40"/>
      <c r="I1189" s="40"/>
      <c r="J1189" s="40"/>
      <c r="K1189" s="40"/>
      <c r="L1189" s="40"/>
      <c r="M1189" s="40"/>
      <c r="N1189" s="40"/>
      <c r="O1189" s="40"/>
      <c r="P1189" s="40"/>
      <c r="Q1189" s="40"/>
      <c r="R1189" s="40"/>
      <c r="S1189" s="40"/>
      <c r="T1189" s="40"/>
      <c r="U1189" s="40"/>
      <c r="V1189" s="40"/>
      <c r="W1189" s="40"/>
      <c r="X1189" s="40"/>
      <c r="Y1189" s="40"/>
      <c r="Z1189" s="40"/>
    </row>
    <row r="1190">
      <c r="A1190" s="65">
        <v>45990.0</v>
      </c>
      <c r="B1190" s="66" t="s">
        <v>810</v>
      </c>
      <c r="C1190" s="67" t="s">
        <v>1655</v>
      </c>
      <c r="D1190" s="68" t="s">
        <v>827</v>
      </c>
      <c r="E1190" s="40"/>
      <c r="F1190" s="40"/>
      <c r="G1190" s="40"/>
      <c r="H1190" s="40"/>
      <c r="I1190" s="40"/>
      <c r="J1190" s="40"/>
      <c r="K1190" s="40"/>
      <c r="L1190" s="40"/>
      <c r="M1190" s="40"/>
      <c r="N1190" s="40"/>
      <c r="O1190" s="40"/>
      <c r="P1190" s="40"/>
      <c r="Q1190" s="40"/>
      <c r="R1190" s="40"/>
      <c r="S1190" s="40"/>
      <c r="T1190" s="40"/>
      <c r="U1190" s="40"/>
      <c r="V1190" s="40"/>
      <c r="W1190" s="40"/>
      <c r="X1190" s="40"/>
      <c r="Y1190" s="40"/>
      <c r="Z1190" s="40"/>
    </row>
    <row r="1191">
      <c r="A1191" s="65">
        <v>45990.0</v>
      </c>
      <c r="B1191" s="66" t="s">
        <v>810</v>
      </c>
      <c r="C1191" s="67" t="s">
        <v>1416</v>
      </c>
      <c r="D1191" s="68" t="s">
        <v>827</v>
      </c>
      <c r="E1191" s="40"/>
      <c r="F1191" s="40"/>
      <c r="G1191" s="40"/>
      <c r="H1191" s="40"/>
      <c r="I1191" s="40"/>
      <c r="J1191" s="40"/>
      <c r="K1191" s="40"/>
      <c r="L1191" s="40"/>
      <c r="M1191" s="40"/>
      <c r="N1191" s="40"/>
      <c r="O1191" s="40"/>
      <c r="P1191" s="40"/>
      <c r="Q1191" s="40"/>
      <c r="R1191" s="40"/>
      <c r="S1191" s="40"/>
      <c r="T1191" s="40"/>
      <c r="U1191" s="40"/>
      <c r="V1191" s="40"/>
      <c r="W1191" s="40"/>
      <c r="X1191" s="40"/>
      <c r="Y1191" s="40"/>
      <c r="Z1191" s="40"/>
    </row>
    <row r="1192">
      <c r="A1192" s="65">
        <v>45990.0</v>
      </c>
      <c r="B1192" s="66" t="s">
        <v>810</v>
      </c>
      <c r="C1192" s="67" t="s">
        <v>1348</v>
      </c>
      <c r="D1192" s="68" t="s">
        <v>827</v>
      </c>
      <c r="E1192" s="40"/>
      <c r="F1192" s="40"/>
      <c r="G1192" s="40"/>
      <c r="H1192" s="40"/>
      <c r="I1192" s="40"/>
      <c r="J1192" s="40"/>
      <c r="K1192" s="40"/>
      <c r="L1192" s="40"/>
      <c r="M1192" s="40"/>
      <c r="N1192" s="40"/>
      <c r="O1192" s="40"/>
      <c r="P1192" s="40"/>
      <c r="Q1192" s="40"/>
      <c r="R1192" s="40"/>
      <c r="S1192" s="40"/>
      <c r="T1192" s="40"/>
      <c r="U1192" s="40"/>
      <c r="V1192" s="40"/>
      <c r="W1192" s="40"/>
      <c r="X1192" s="40"/>
      <c r="Y1192" s="40"/>
      <c r="Z1192" s="40"/>
    </row>
    <row r="1193">
      <c r="A1193" s="65">
        <v>45990.0</v>
      </c>
      <c r="B1193" s="66" t="s">
        <v>810</v>
      </c>
      <c r="C1193" s="67" t="s">
        <v>1656</v>
      </c>
      <c r="D1193" s="68" t="s">
        <v>827</v>
      </c>
      <c r="E1193" s="40"/>
      <c r="F1193" s="40"/>
      <c r="G1193" s="40"/>
      <c r="H1193" s="40"/>
      <c r="I1193" s="40"/>
      <c r="J1193" s="40"/>
      <c r="K1193" s="40"/>
      <c r="L1193" s="40"/>
      <c r="M1193" s="40"/>
      <c r="N1193" s="40"/>
      <c r="O1193" s="40"/>
      <c r="P1193" s="40"/>
      <c r="Q1193" s="40"/>
      <c r="R1193" s="40"/>
      <c r="S1193" s="40"/>
      <c r="T1193" s="40"/>
      <c r="U1193" s="40"/>
      <c r="V1193" s="40"/>
      <c r="W1193" s="40"/>
      <c r="X1193" s="40"/>
      <c r="Y1193" s="40"/>
      <c r="Z1193" s="40"/>
    </row>
    <row r="1194">
      <c r="A1194" s="65">
        <v>45990.0</v>
      </c>
      <c r="B1194" s="66" t="s">
        <v>810</v>
      </c>
      <c r="C1194" s="67" t="s">
        <v>1657</v>
      </c>
      <c r="D1194" s="68" t="s">
        <v>827</v>
      </c>
      <c r="E1194" s="40"/>
      <c r="F1194" s="40"/>
      <c r="G1194" s="40"/>
      <c r="H1194" s="40"/>
      <c r="I1194" s="40"/>
      <c r="J1194" s="40"/>
      <c r="K1194" s="40"/>
      <c r="L1194" s="40"/>
      <c r="M1194" s="40"/>
      <c r="N1194" s="40"/>
      <c r="O1194" s="40"/>
      <c r="P1194" s="40"/>
      <c r="Q1194" s="40"/>
      <c r="R1194" s="40"/>
      <c r="S1194" s="40"/>
      <c r="T1194" s="40"/>
      <c r="U1194" s="40"/>
      <c r="V1194" s="40"/>
      <c r="W1194" s="40"/>
      <c r="X1194" s="40"/>
      <c r="Y1194" s="40"/>
      <c r="Z1194" s="40"/>
    </row>
    <row r="1195">
      <c r="A1195" s="65">
        <v>45990.0</v>
      </c>
      <c r="B1195" s="66" t="s">
        <v>810</v>
      </c>
      <c r="C1195" s="67" t="s">
        <v>1658</v>
      </c>
      <c r="D1195" s="67" t="s">
        <v>1530</v>
      </c>
      <c r="E1195" s="40"/>
      <c r="F1195" s="40"/>
      <c r="G1195" s="40"/>
      <c r="H1195" s="40"/>
      <c r="I1195" s="40"/>
      <c r="J1195" s="40"/>
      <c r="K1195" s="40"/>
      <c r="L1195" s="40"/>
      <c r="M1195" s="40"/>
      <c r="N1195" s="40"/>
      <c r="O1195" s="40"/>
      <c r="P1195" s="40"/>
      <c r="Q1195" s="40"/>
      <c r="R1195" s="40"/>
      <c r="S1195" s="40"/>
      <c r="T1195" s="40"/>
      <c r="U1195" s="40"/>
      <c r="V1195" s="40"/>
      <c r="W1195" s="40"/>
      <c r="X1195" s="40"/>
      <c r="Y1195" s="40"/>
      <c r="Z1195" s="40"/>
    </row>
    <row r="1196">
      <c r="A1196" s="65">
        <v>45990.0</v>
      </c>
      <c r="B1196" s="66" t="s">
        <v>810</v>
      </c>
      <c r="C1196" s="67" t="s">
        <v>1589</v>
      </c>
      <c r="D1196" s="67" t="s">
        <v>1659</v>
      </c>
      <c r="E1196" s="40"/>
      <c r="F1196" s="40"/>
      <c r="G1196" s="40"/>
      <c r="H1196" s="40"/>
      <c r="I1196" s="40"/>
      <c r="J1196" s="40"/>
      <c r="K1196" s="40"/>
      <c r="L1196" s="40"/>
      <c r="M1196" s="40"/>
      <c r="N1196" s="40"/>
      <c r="O1196" s="40"/>
      <c r="P1196" s="40"/>
      <c r="Q1196" s="40"/>
      <c r="R1196" s="40"/>
      <c r="S1196" s="40"/>
      <c r="T1196" s="40"/>
      <c r="U1196" s="40"/>
      <c r="V1196" s="40"/>
      <c r="W1196" s="40"/>
      <c r="X1196" s="40"/>
      <c r="Y1196" s="40"/>
      <c r="Z1196" s="40"/>
    </row>
    <row r="1197">
      <c r="A1197" s="65">
        <v>45990.0</v>
      </c>
      <c r="B1197" s="66" t="s">
        <v>810</v>
      </c>
      <c r="C1197" s="67" t="s">
        <v>1628</v>
      </c>
      <c r="D1197" s="68" t="s">
        <v>827</v>
      </c>
      <c r="E1197" s="40"/>
      <c r="F1197" s="40"/>
      <c r="G1197" s="40"/>
      <c r="H1197" s="40"/>
      <c r="I1197" s="40"/>
      <c r="J1197" s="40"/>
      <c r="K1197" s="40"/>
      <c r="L1197" s="40"/>
      <c r="M1197" s="40"/>
      <c r="N1197" s="40"/>
      <c r="O1197" s="40"/>
      <c r="P1197" s="40"/>
      <c r="Q1197" s="40"/>
      <c r="R1197" s="40"/>
      <c r="S1197" s="40"/>
      <c r="T1197" s="40"/>
      <c r="U1197" s="40"/>
      <c r="V1197" s="40"/>
      <c r="W1197" s="40"/>
      <c r="X1197" s="40"/>
      <c r="Y1197" s="40"/>
      <c r="Z1197" s="40"/>
    </row>
    <row r="1198">
      <c r="A1198" s="65">
        <v>45990.0</v>
      </c>
      <c r="B1198" s="66" t="s">
        <v>810</v>
      </c>
      <c r="C1198" s="67" t="s">
        <v>1660</v>
      </c>
      <c r="D1198" s="67" t="s">
        <v>869</v>
      </c>
      <c r="E1198" s="40"/>
      <c r="F1198" s="40"/>
      <c r="G1198" s="40"/>
      <c r="H1198" s="40"/>
      <c r="I1198" s="40"/>
      <c r="J1198" s="40"/>
      <c r="K1198" s="40"/>
      <c r="L1198" s="40"/>
      <c r="M1198" s="40"/>
      <c r="N1198" s="40"/>
      <c r="O1198" s="40"/>
      <c r="P1198" s="40"/>
      <c r="Q1198" s="40"/>
      <c r="R1198" s="40"/>
      <c r="S1198" s="40"/>
      <c r="T1198" s="40"/>
      <c r="U1198" s="40"/>
      <c r="V1198" s="40"/>
      <c r="W1198" s="40"/>
      <c r="X1198" s="40"/>
      <c r="Y1198" s="40"/>
      <c r="Z1198" s="40"/>
    </row>
    <row r="1199">
      <c r="A1199" s="65">
        <v>45990.0</v>
      </c>
      <c r="B1199" s="66" t="s">
        <v>810</v>
      </c>
      <c r="C1199" s="67" t="s">
        <v>1661</v>
      </c>
      <c r="D1199" s="67" t="s">
        <v>1662</v>
      </c>
      <c r="E1199" s="40"/>
      <c r="F1199" s="40"/>
      <c r="G1199" s="40"/>
      <c r="H1199" s="40"/>
      <c r="I1199" s="40"/>
      <c r="J1199" s="40"/>
      <c r="K1199" s="40"/>
      <c r="L1199" s="40"/>
      <c r="M1199" s="40"/>
      <c r="N1199" s="40"/>
      <c r="O1199" s="40"/>
      <c r="P1199" s="40"/>
      <c r="Q1199" s="40"/>
      <c r="R1199" s="40"/>
      <c r="S1199" s="40"/>
      <c r="T1199" s="40"/>
      <c r="U1199" s="40"/>
      <c r="V1199" s="40"/>
      <c r="W1199" s="40"/>
      <c r="X1199" s="40"/>
      <c r="Y1199" s="40"/>
      <c r="Z1199" s="40"/>
    </row>
    <row r="1200">
      <c r="A1200" s="65">
        <v>45990.0</v>
      </c>
      <c r="B1200" s="66" t="s">
        <v>810</v>
      </c>
      <c r="C1200" s="67" t="s">
        <v>1663</v>
      </c>
      <c r="D1200" s="67" t="s">
        <v>1664</v>
      </c>
      <c r="E1200" s="40"/>
      <c r="F1200" s="40"/>
      <c r="G1200" s="40"/>
      <c r="H1200" s="40"/>
      <c r="I1200" s="40"/>
      <c r="J1200" s="40"/>
      <c r="K1200" s="40"/>
      <c r="L1200" s="40"/>
      <c r="M1200" s="40"/>
      <c r="N1200" s="40"/>
      <c r="O1200" s="40"/>
      <c r="P1200" s="40"/>
      <c r="Q1200" s="40"/>
      <c r="R1200" s="40"/>
      <c r="S1200" s="40"/>
      <c r="T1200" s="40"/>
      <c r="U1200" s="40"/>
      <c r="V1200" s="40"/>
      <c r="W1200" s="40"/>
      <c r="X1200" s="40"/>
      <c r="Y1200" s="40"/>
      <c r="Z1200" s="40"/>
    </row>
    <row r="1201">
      <c r="A1201" s="65">
        <v>45990.0</v>
      </c>
      <c r="B1201" s="66" t="s">
        <v>810</v>
      </c>
      <c r="C1201" s="67" t="s">
        <v>1665</v>
      </c>
      <c r="D1201" s="68" t="s">
        <v>827</v>
      </c>
      <c r="E1201" s="40"/>
      <c r="F1201" s="40"/>
      <c r="G1201" s="40"/>
      <c r="H1201" s="40"/>
      <c r="I1201" s="40"/>
      <c r="J1201" s="40"/>
      <c r="K1201" s="40"/>
      <c r="L1201" s="40"/>
      <c r="M1201" s="40"/>
      <c r="N1201" s="40"/>
      <c r="O1201" s="40"/>
      <c r="P1201" s="40"/>
      <c r="Q1201" s="40"/>
      <c r="R1201" s="40"/>
      <c r="S1201" s="40"/>
      <c r="T1201" s="40"/>
      <c r="U1201" s="40"/>
      <c r="V1201" s="40"/>
      <c r="W1201" s="40"/>
      <c r="X1201" s="40"/>
      <c r="Y1201" s="40"/>
      <c r="Z1201" s="40"/>
    </row>
    <row r="1202">
      <c r="A1202" s="65">
        <v>45990.0</v>
      </c>
      <c r="B1202" s="66" t="s">
        <v>810</v>
      </c>
      <c r="C1202" s="67" t="s">
        <v>1666</v>
      </c>
      <c r="D1202" s="68" t="s">
        <v>827</v>
      </c>
      <c r="E1202" s="40"/>
      <c r="F1202" s="40"/>
      <c r="G1202" s="40"/>
      <c r="H1202" s="40"/>
      <c r="I1202" s="40"/>
      <c r="J1202" s="40"/>
      <c r="K1202" s="40"/>
      <c r="L1202" s="40"/>
      <c r="M1202" s="40"/>
      <c r="N1202" s="40"/>
      <c r="O1202" s="40"/>
      <c r="P1202" s="40"/>
      <c r="Q1202" s="40"/>
      <c r="R1202" s="40"/>
      <c r="S1202" s="40"/>
      <c r="T1202" s="40"/>
      <c r="U1202" s="40"/>
      <c r="V1202" s="40"/>
      <c r="W1202" s="40"/>
      <c r="X1202" s="40"/>
      <c r="Y1202" s="40"/>
      <c r="Z1202" s="40"/>
    </row>
    <row r="1203">
      <c r="A1203" s="65">
        <v>45990.0</v>
      </c>
      <c r="B1203" s="66" t="s">
        <v>812</v>
      </c>
      <c r="C1203" s="67" t="s">
        <v>1667</v>
      </c>
      <c r="D1203" s="68" t="s">
        <v>827</v>
      </c>
      <c r="E1203" s="40"/>
      <c r="F1203" s="40"/>
      <c r="G1203" s="40"/>
      <c r="H1203" s="40"/>
      <c r="I1203" s="40"/>
      <c r="J1203" s="40"/>
      <c r="K1203" s="40"/>
      <c r="L1203" s="40"/>
      <c r="M1203" s="40"/>
      <c r="N1203" s="40"/>
      <c r="O1203" s="40"/>
      <c r="P1203" s="40"/>
      <c r="Q1203" s="40"/>
      <c r="R1203" s="40"/>
      <c r="S1203" s="40"/>
      <c r="T1203" s="40"/>
      <c r="U1203" s="40"/>
      <c r="V1203" s="40"/>
      <c r="W1203" s="40"/>
      <c r="X1203" s="40"/>
      <c r="Y1203" s="40"/>
      <c r="Z1203" s="40"/>
    </row>
    <row r="1204">
      <c r="A1204" s="65">
        <v>45990.0</v>
      </c>
      <c r="B1204" s="66" t="s">
        <v>812</v>
      </c>
      <c r="C1204" s="67" t="s">
        <v>1668</v>
      </c>
      <c r="D1204" s="68" t="s">
        <v>827</v>
      </c>
      <c r="E1204" s="40"/>
      <c r="F1204" s="40"/>
      <c r="G1204" s="40"/>
      <c r="H1204" s="40"/>
      <c r="I1204" s="40"/>
      <c r="J1204" s="40"/>
      <c r="K1204" s="40"/>
      <c r="L1204" s="40"/>
      <c r="M1204" s="40"/>
      <c r="N1204" s="40"/>
      <c r="O1204" s="40"/>
      <c r="P1204" s="40"/>
      <c r="Q1204" s="40"/>
      <c r="R1204" s="40"/>
      <c r="S1204" s="40"/>
      <c r="T1204" s="40"/>
      <c r="U1204" s="40"/>
      <c r="V1204" s="40"/>
      <c r="W1204" s="40"/>
      <c r="X1204" s="40"/>
      <c r="Y1204" s="40"/>
      <c r="Z1204" s="40"/>
    </row>
    <row r="1205">
      <c r="A1205" s="65">
        <v>45990.0</v>
      </c>
      <c r="B1205" s="66" t="s">
        <v>812</v>
      </c>
      <c r="C1205" s="68" t="s">
        <v>827</v>
      </c>
      <c r="D1205" s="67" t="s">
        <v>1348</v>
      </c>
      <c r="E1205" s="40"/>
      <c r="F1205" s="40"/>
      <c r="G1205" s="40"/>
      <c r="H1205" s="40"/>
      <c r="I1205" s="40"/>
      <c r="J1205" s="40"/>
      <c r="K1205" s="40"/>
      <c r="L1205" s="40"/>
      <c r="M1205" s="40"/>
      <c r="N1205" s="40"/>
      <c r="O1205" s="40"/>
      <c r="P1205" s="40"/>
      <c r="Q1205" s="40"/>
      <c r="R1205" s="40"/>
      <c r="S1205" s="40"/>
      <c r="T1205" s="40"/>
      <c r="U1205" s="40"/>
      <c r="V1205" s="40"/>
      <c r="W1205" s="40"/>
      <c r="X1205" s="40"/>
      <c r="Y1205" s="40"/>
      <c r="Z1205" s="40"/>
    </row>
    <row r="1206">
      <c r="A1206" s="65">
        <v>45990.0</v>
      </c>
      <c r="B1206" s="66" t="s">
        <v>812</v>
      </c>
      <c r="C1206" s="68" t="s">
        <v>827</v>
      </c>
      <c r="D1206" s="67" t="s">
        <v>1669</v>
      </c>
      <c r="E1206" s="40"/>
      <c r="F1206" s="40"/>
      <c r="G1206" s="40"/>
      <c r="H1206" s="40"/>
      <c r="I1206" s="40"/>
      <c r="J1206" s="40"/>
      <c r="K1206" s="40"/>
      <c r="L1206" s="40"/>
      <c r="M1206" s="40"/>
      <c r="N1206" s="40"/>
      <c r="O1206" s="40"/>
      <c r="P1206" s="40"/>
      <c r="Q1206" s="40"/>
      <c r="R1206" s="40"/>
      <c r="S1206" s="40"/>
      <c r="T1206" s="40"/>
      <c r="U1206" s="40"/>
      <c r="V1206" s="40"/>
      <c r="W1206" s="40"/>
      <c r="X1206" s="40"/>
      <c r="Y1206" s="40"/>
      <c r="Z1206" s="40"/>
    </row>
    <row r="1207">
      <c r="A1207" s="65">
        <v>45990.0</v>
      </c>
      <c r="B1207" s="66" t="s">
        <v>812</v>
      </c>
      <c r="C1207" s="67" t="s">
        <v>1670</v>
      </c>
      <c r="D1207" s="68" t="s">
        <v>827</v>
      </c>
      <c r="E1207" s="40"/>
      <c r="F1207" s="40"/>
      <c r="G1207" s="40"/>
      <c r="H1207" s="40"/>
      <c r="I1207" s="40"/>
      <c r="J1207" s="40"/>
      <c r="K1207" s="40"/>
      <c r="L1207" s="40"/>
      <c r="M1207" s="40"/>
      <c r="N1207" s="40"/>
      <c r="O1207" s="40"/>
      <c r="P1207" s="40"/>
      <c r="Q1207" s="40"/>
      <c r="R1207" s="40"/>
      <c r="S1207" s="40"/>
      <c r="T1207" s="40"/>
      <c r="U1207" s="40"/>
      <c r="V1207" s="40"/>
      <c r="W1207" s="40"/>
      <c r="X1207" s="40"/>
      <c r="Y1207" s="40"/>
      <c r="Z1207" s="40"/>
    </row>
    <row r="1208">
      <c r="A1208" s="65">
        <v>45990.0</v>
      </c>
      <c r="B1208" s="66" t="s">
        <v>812</v>
      </c>
      <c r="C1208" s="67" t="s">
        <v>1670</v>
      </c>
      <c r="D1208" s="68" t="s">
        <v>827</v>
      </c>
      <c r="E1208" s="40"/>
      <c r="F1208" s="40"/>
      <c r="G1208" s="40"/>
      <c r="H1208" s="40"/>
      <c r="I1208" s="40"/>
      <c r="J1208" s="40"/>
      <c r="K1208" s="40"/>
      <c r="L1208" s="40"/>
      <c r="M1208" s="40"/>
      <c r="N1208" s="40"/>
      <c r="O1208" s="40"/>
      <c r="P1208" s="40"/>
      <c r="Q1208" s="40"/>
      <c r="R1208" s="40"/>
      <c r="S1208" s="40"/>
      <c r="T1208" s="40"/>
      <c r="U1208" s="40"/>
      <c r="V1208" s="40"/>
      <c r="W1208" s="40"/>
      <c r="X1208" s="40"/>
      <c r="Y1208" s="40"/>
      <c r="Z1208" s="40"/>
    </row>
    <row r="1209">
      <c r="A1209" s="65">
        <v>45990.0</v>
      </c>
      <c r="B1209" s="66" t="s">
        <v>812</v>
      </c>
      <c r="C1209" s="67" t="s">
        <v>1670</v>
      </c>
      <c r="D1209" s="68" t="s">
        <v>827</v>
      </c>
      <c r="E1209" s="40"/>
      <c r="F1209" s="40"/>
      <c r="G1209" s="40"/>
      <c r="H1209" s="40"/>
      <c r="I1209" s="40"/>
      <c r="J1209" s="40"/>
      <c r="K1209" s="40"/>
      <c r="L1209" s="40"/>
      <c r="M1209" s="40"/>
      <c r="N1209" s="40"/>
      <c r="O1209" s="40"/>
      <c r="P1209" s="40"/>
      <c r="Q1209" s="40"/>
      <c r="R1209" s="40"/>
      <c r="S1209" s="40"/>
      <c r="T1209" s="40"/>
      <c r="U1209" s="40"/>
      <c r="V1209" s="40"/>
      <c r="W1209" s="40"/>
      <c r="X1209" s="40"/>
      <c r="Y1209" s="40"/>
      <c r="Z1209" s="40"/>
    </row>
    <row r="1210">
      <c r="A1210" s="65">
        <v>45990.0</v>
      </c>
      <c r="B1210" s="66" t="s">
        <v>812</v>
      </c>
      <c r="C1210" s="67" t="s">
        <v>1667</v>
      </c>
      <c r="D1210" s="67" t="s">
        <v>1671</v>
      </c>
      <c r="E1210" s="40"/>
      <c r="F1210" s="40"/>
      <c r="G1210" s="40"/>
      <c r="H1210" s="40"/>
      <c r="I1210" s="40"/>
      <c r="J1210" s="40"/>
      <c r="K1210" s="40"/>
      <c r="L1210" s="40"/>
      <c r="M1210" s="40"/>
      <c r="N1210" s="40"/>
      <c r="O1210" s="40"/>
      <c r="P1210" s="40"/>
      <c r="Q1210" s="40"/>
      <c r="R1210" s="40"/>
      <c r="S1210" s="40"/>
      <c r="T1210" s="40"/>
      <c r="U1210" s="40"/>
      <c r="V1210" s="40"/>
      <c r="W1210" s="40"/>
      <c r="X1210" s="40"/>
      <c r="Y1210" s="40"/>
      <c r="Z1210" s="40"/>
    </row>
    <row r="1211">
      <c r="A1211" s="65">
        <v>45990.0</v>
      </c>
      <c r="B1211" s="66" t="s">
        <v>812</v>
      </c>
      <c r="C1211" s="67" t="s">
        <v>1672</v>
      </c>
      <c r="D1211" s="67" t="s">
        <v>1669</v>
      </c>
      <c r="E1211" s="40"/>
      <c r="F1211" s="40"/>
      <c r="G1211" s="40"/>
      <c r="H1211" s="40"/>
      <c r="I1211" s="40"/>
      <c r="J1211" s="40"/>
      <c r="K1211" s="40"/>
      <c r="L1211" s="40"/>
      <c r="M1211" s="40"/>
      <c r="N1211" s="40"/>
      <c r="O1211" s="40"/>
      <c r="P1211" s="40"/>
      <c r="Q1211" s="40"/>
      <c r="R1211" s="40"/>
      <c r="S1211" s="40"/>
      <c r="T1211" s="40"/>
      <c r="U1211" s="40"/>
      <c r="V1211" s="40"/>
      <c r="W1211" s="40"/>
      <c r="X1211" s="40"/>
      <c r="Y1211" s="40"/>
      <c r="Z1211" s="40"/>
    </row>
    <row r="1212">
      <c r="A1212" s="65">
        <v>45990.0</v>
      </c>
      <c r="B1212" s="66" t="s">
        <v>810</v>
      </c>
      <c r="C1212" s="67" t="s">
        <v>1665</v>
      </c>
      <c r="D1212" s="68" t="s">
        <v>827</v>
      </c>
      <c r="E1212" s="40"/>
      <c r="F1212" s="40"/>
      <c r="G1212" s="40"/>
      <c r="H1212" s="40"/>
      <c r="I1212" s="40"/>
      <c r="J1212" s="40"/>
      <c r="K1212" s="40"/>
      <c r="L1212" s="40"/>
      <c r="M1212" s="40"/>
      <c r="N1212" s="40"/>
      <c r="O1212" s="40"/>
      <c r="P1212" s="40"/>
      <c r="Q1212" s="40"/>
      <c r="R1212" s="40"/>
      <c r="S1212" s="40"/>
      <c r="T1212" s="40"/>
      <c r="U1212" s="40"/>
      <c r="V1212" s="40"/>
      <c r="W1212" s="40"/>
      <c r="X1212" s="40"/>
      <c r="Y1212" s="40"/>
      <c r="Z1212" s="40"/>
    </row>
    <row r="1213">
      <c r="A1213" s="65">
        <v>45991.0</v>
      </c>
      <c r="B1213" s="66" t="s">
        <v>812</v>
      </c>
      <c r="C1213" s="67" t="s">
        <v>1673</v>
      </c>
      <c r="D1213" s="68" t="s">
        <v>827</v>
      </c>
      <c r="E1213" s="40"/>
      <c r="F1213" s="40"/>
      <c r="G1213" s="40"/>
      <c r="H1213" s="40"/>
      <c r="I1213" s="40"/>
      <c r="J1213" s="40"/>
      <c r="K1213" s="40"/>
      <c r="L1213" s="40"/>
      <c r="M1213" s="40"/>
      <c r="N1213" s="40"/>
      <c r="O1213" s="40"/>
      <c r="P1213" s="40"/>
      <c r="Q1213" s="40"/>
      <c r="R1213" s="40"/>
      <c r="S1213" s="40"/>
      <c r="T1213" s="40"/>
      <c r="U1213" s="40"/>
      <c r="V1213" s="40"/>
      <c r="W1213" s="40"/>
      <c r="X1213" s="40"/>
      <c r="Y1213" s="40"/>
      <c r="Z1213" s="40"/>
    </row>
    <row r="1214">
      <c r="A1214" s="65">
        <v>45991.0</v>
      </c>
      <c r="B1214" s="66" t="s">
        <v>812</v>
      </c>
      <c r="C1214" s="67" t="s">
        <v>1674</v>
      </c>
      <c r="D1214" s="68" t="s">
        <v>827</v>
      </c>
      <c r="E1214" s="40"/>
      <c r="F1214" s="40"/>
      <c r="G1214" s="40"/>
      <c r="H1214" s="40"/>
      <c r="I1214" s="40"/>
      <c r="J1214" s="40"/>
      <c r="K1214" s="40"/>
      <c r="L1214" s="40"/>
      <c r="M1214" s="40"/>
      <c r="N1214" s="40"/>
      <c r="O1214" s="40"/>
      <c r="P1214" s="40"/>
      <c r="Q1214" s="40"/>
      <c r="R1214" s="40"/>
      <c r="S1214" s="40"/>
      <c r="T1214" s="40"/>
      <c r="U1214" s="40"/>
      <c r="V1214" s="40"/>
      <c r="W1214" s="40"/>
      <c r="X1214" s="40"/>
      <c r="Y1214" s="40"/>
      <c r="Z1214" s="40"/>
    </row>
    <row r="1215">
      <c r="A1215" s="65">
        <v>45991.0</v>
      </c>
      <c r="B1215" s="66" t="s">
        <v>812</v>
      </c>
      <c r="C1215" s="67" t="s">
        <v>1674</v>
      </c>
      <c r="D1215" s="68" t="s">
        <v>827</v>
      </c>
      <c r="E1215" s="40"/>
      <c r="F1215" s="40"/>
      <c r="G1215" s="40"/>
      <c r="H1215" s="40"/>
      <c r="I1215" s="40"/>
      <c r="J1215" s="40"/>
      <c r="K1215" s="40"/>
      <c r="L1215" s="40"/>
      <c r="M1215" s="40"/>
      <c r="N1215" s="40"/>
      <c r="O1215" s="40"/>
      <c r="P1215" s="40"/>
      <c r="Q1215" s="40"/>
      <c r="R1215" s="40"/>
      <c r="S1215" s="40"/>
      <c r="T1215" s="40"/>
      <c r="U1215" s="40"/>
      <c r="V1215" s="40"/>
      <c r="W1215" s="40"/>
      <c r="X1215" s="40"/>
      <c r="Y1215" s="40"/>
      <c r="Z1215" s="40"/>
    </row>
    <row r="1216">
      <c r="A1216" s="65">
        <v>45991.0</v>
      </c>
      <c r="B1216" s="66" t="s">
        <v>812</v>
      </c>
      <c r="C1216" s="67" t="s">
        <v>1673</v>
      </c>
      <c r="D1216" s="68" t="s">
        <v>827</v>
      </c>
      <c r="E1216" s="40"/>
      <c r="F1216" s="40"/>
      <c r="G1216" s="40"/>
      <c r="H1216" s="40"/>
      <c r="I1216" s="40"/>
      <c r="J1216" s="40"/>
      <c r="K1216" s="40"/>
      <c r="L1216" s="40"/>
      <c r="M1216" s="40"/>
      <c r="N1216" s="40"/>
      <c r="O1216" s="40"/>
      <c r="P1216" s="40"/>
      <c r="Q1216" s="40"/>
      <c r="R1216" s="40"/>
      <c r="S1216" s="40"/>
      <c r="T1216" s="40"/>
      <c r="U1216" s="40"/>
      <c r="V1216" s="40"/>
      <c r="W1216" s="40"/>
      <c r="X1216" s="40"/>
      <c r="Y1216" s="40"/>
      <c r="Z1216" s="40"/>
    </row>
    <row r="1217">
      <c r="A1217" s="65">
        <v>45990.0</v>
      </c>
      <c r="B1217" s="66" t="s">
        <v>812</v>
      </c>
      <c r="C1217" s="67" t="s">
        <v>1673</v>
      </c>
      <c r="D1217" s="68" t="s">
        <v>827</v>
      </c>
      <c r="E1217" s="40"/>
      <c r="F1217" s="40"/>
      <c r="G1217" s="40"/>
      <c r="H1217" s="40"/>
      <c r="I1217" s="40"/>
      <c r="J1217" s="40"/>
      <c r="K1217" s="40"/>
      <c r="L1217" s="40"/>
      <c r="M1217" s="40"/>
      <c r="N1217" s="40"/>
      <c r="O1217" s="40"/>
      <c r="P1217" s="40"/>
      <c r="Q1217" s="40"/>
      <c r="R1217" s="40"/>
      <c r="S1217" s="40"/>
      <c r="T1217" s="40"/>
      <c r="U1217" s="40"/>
      <c r="V1217" s="40"/>
      <c r="W1217" s="40"/>
      <c r="X1217" s="40"/>
      <c r="Y1217" s="40"/>
      <c r="Z1217" s="40"/>
    </row>
    <row r="1218">
      <c r="A1218" s="65">
        <v>45990.0</v>
      </c>
      <c r="B1218" s="66" t="s">
        <v>812</v>
      </c>
      <c r="C1218" s="67" t="s">
        <v>1674</v>
      </c>
      <c r="D1218" s="68" t="s">
        <v>827</v>
      </c>
      <c r="E1218" s="40"/>
      <c r="F1218" s="40"/>
      <c r="G1218" s="40"/>
      <c r="H1218" s="40"/>
      <c r="I1218" s="40"/>
      <c r="J1218" s="40"/>
      <c r="K1218" s="40"/>
      <c r="L1218" s="40"/>
      <c r="M1218" s="40"/>
      <c r="N1218" s="40"/>
      <c r="O1218" s="40"/>
      <c r="P1218" s="40"/>
      <c r="Q1218" s="40"/>
      <c r="R1218" s="40"/>
      <c r="S1218" s="40"/>
      <c r="T1218" s="40"/>
      <c r="U1218" s="40"/>
      <c r="V1218" s="40"/>
      <c r="W1218" s="40"/>
      <c r="X1218" s="40"/>
      <c r="Y1218" s="40"/>
      <c r="Z1218" s="40"/>
    </row>
    <row r="1219">
      <c r="A1219" s="65">
        <v>45990.0</v>
      </c>
      <c r="B1219" s="66" t="s">
        <v>812</v>
      </c>
      <c r="C1219" s="67" t="s">
        <v>1674</v>
      </c>
      <c r="D1219" s="68" t="s">
        <v>827</v>
      </c>
      <c r="E1219" s="40"/>
      <c r="F1219" s="40"/>
      <c r="G1219" s="40"/>
      <c r="H1219" s="40"/>
      <c r="I1219" s="40"/>
      <c r="J1219" s="40"/>
      <c r="K1219" s="40"/>
      <c r="L1219" s="40"/>
      <c r="M1219" s="40"/>
      <c r="N1219" s="40"/>
      <c r="O1219" s="40"/>
      <c r="P1219" s="40"/>
      <c r="Q1219" s="40"/>
      <c r="R1219" s="40"/>
      <c r="S1219" s="40"/>
      <c r="T1219" s="40"/>
      <c r="U1219" s="40"/>
      <c r="V1219" s="40"/>
      <c r="W1219" s="40"/>
      <c r="X1219" s="40"/>
      <c r="Y1219" s="40"/>
      <c r="Z1219" s="40"/>
    </row>
    <row r="1220">
      <c r="A1220" s="65">
        <v>45990.0</v>
      </c>
      <c r="B1220" s="66" t="s">
        <v>812</v>
      </c>
      <c r="C1220" s="67" t="s">
        <v>1675</v>
      </c>
      <c r="D1220" s="68" t="s">
        <v>827</v>
      </c>
      <c r="E1220" s="40"/>
      <c r="F1220" s="40"/>
      <c r="G1220" s="40"/>
      <c r="H1220" s="40"/>
      <c r="I1220" s="40"/>
      <c r="J1220" s="40"/>
      <c r="K1220" s="40"/>
      <c r="L1220" s="40"/>
      <c r="M1220" s="40"/>
      <c r="N1220" s="40"/>
      <c r="O1220" s="40"/>
      <c r="P1220" s="40"/>
      <c r="Q1220" s="40"/>
      <c r="R1220" s="40"/>
      <c r="S1220" s="40"/>
      <c r="T1220" s="40"/>
      <c r="U1220" s="40"/>
      <c r="V1220" s="40"/>
      <c r="W1220" s="40"/>
      <c r="X1220" s="40"/>
      <c r="Y1220" s="40"/>
      <c r="Z1220" s="40"/>
    </row>
    <row r="1221">
      <c r="A1221" s="65">
        <v>45990.0</v>
      </c>
      <c r="B1221" s="66" t="s">
        <v>812</v>
      </c>
      <c r="C1221" s="67" t="s">
        <v>1675</v>
      </c>
      <c r="D1221" s="68" t="s">
        <v>827</v>
      </c>
      <c r="E1221" s="40"/>
      <c r="F1221" s="40"/>
      <c r="G1221" s="40"/>
      <c r="H1221" s="40"/>
      <c r="I1221" s="40"/>
      <c r="J1221" s="40"/>
      <c r="K1221" s="40"/>
      <c r="L1221" s="40"/>
      <c r="M1221" s="40"/>
      <c r="N1221" s="40"/>
      <c r="O1221" s="40"/>
      <c r="P1221" s="40"/>
      <c r="Q1221" s="40"/>
      <c r="R1221" s="40"/>
      <c r="S1221" s="40"/>
      <c r="T1221" s="40"/>
      <c r="U1221" s="40"/>
      <c r="V1221" s="40"/>
      <c r="W1221" s="40"/>
      <c r="X1221" s="40"/>
      <c r="Y1221" s="40"/>
      <c r="Z1221" s="40"/>
    </row>
    <row r="1222">
      <c r="A1222" s="65">
        <v>46018.0</v>
      </c>
      <c r="B1222" s="66" t="s">
        <v>812</v>
      </c>
      <c r="C1222" s="67" t="s">
        <v>1536</v>
      </c>
      <c r="D1222" s="68" t="s">
        <v>827</v>
      </c>
      <c r="E1222" s="40"/>
      <c r="F1222" s="40"/>
      <c r="G1222" s="40"/>
      <c r="H1222" s="40"/>
      <c r="I1222" s="40"/>
      <c r="J1222" s="40"/>
      <c r="K1222" s="40"/>
      <c r="L1222" s="40"/>
      <c r="M1222" s="40"/>
      <c r="N1222" s="40"/>
      <c r="O1222" s="40"/>
      <c r="P1222" s="40"/>
      <c r="Q1222" s="40"/>
      <c r="R1222" s="40"/>
      <c r="S1222" s="40"/>
      <c r="T1222" s="40"/>
      <c r="U1222" s="40"/>
      <c r="V1222" s="40"/>
      <c r="W1222" s="40"/>
      <c r="X1222" s="40"/>
      <c r="Y1222" s="40"/>
      <c r="Z1222" s="40"/>
    </row>
    <row r="1223">
      <c r="A1223" s="65">
        <v>45997.0</v>
      </c>
      <c r="B1223" s="66" t="s">
        <v>810</v>
      </c>
      <c r="C1223" s="67" t="s">
        <v>1676</v>
      </c>
      <c r="D1223" s="68" t="s">
        <v>827</v>
      </c>
      <c r="E1223" s="40"/>
      <c r="F1223" s="40"/>
      <c r="G1223" s="40"/>
      <c r="H1223" s="40"/>
      <c r="I1223" s="40"/>
      <c r="J1223" s="40"/>
      <c r="K1223" s="40"/>
      <c r="L1223" s="40"/>
      <c r="M1223" s="40"/>
      <c r="N1223" s="40"/>
      <c r="O1223" s="40"/>
      <c r="P1223" s="40"/>
      <c r="Q1223" s="40"/>
      <c r="R1223" s="40"/>
      <c r="S1223" s="40"/>
      <c r="T1223" s="40"/>
      <c r="U1223" s="40"/>
      <c r="V1223" s="40"/>
      <c r="W1223" s="40"/>
      <c r="X1223" s="40"/>
      <c r="Y1223" s="40"/>
      <c r="Z1223" s="40"/>
    </row>
    <row r="1224">
      <c r="A1224" s="65">
        <v>45997.0</v>
      </c>
      <c r="B1224" s="66" t="s">
        <v>810</v>
      </c>
      <c r="C1224" s="67" t="s">
        <v>1677</v>
      </c>
      <c r="D1224" s="68" t="s">
        <v>827</v>
      </c>
      <c r="E1224" s="40"/>
      <c r="F1224" s="40"/>
      <c r="G1224" s="40"/>
      <c r="H1224" s="40"/>
      <c r="I1224" s="40"/>
      <c r="J1224" s="40"/>
      <c r="K1224" s="40"/>
      <c r="L1224" s="40"/>
      <c r="M1224" s="40"/>
      <c r="N1224" s="40"/>
      <c r="O1224" s="40"/>
      <c r="P1224" s="40"/>
      <c r="Q1224" s="40"/>
      <c r="R1224" s="40"/>
      <c r="S1224" s="40"/>
      <c r="T1224" s="40"/>
      <c r="U1224" s="40"/>
      <c r="V1224" s="40"/>
      <c r="W1224" s="40"/>
      <c r="X1224" s="40"/>
      <c r="Y1224" s="40"/>
      <c r="Z1224" s="40"/>
    </row>
    <row r="1225">
      <c r="A1225" s="65">
        <v>45997.0</v>
      </c>
      <c r="B1225" s="66" t="s">
        <v>810</v>
      </c>
      <c r="C1225" s="67" t="s">
        <v>1678</v>
      </c>
      <c r="D1225" s="67" t="s">
        <v>1679</v>
      </c>
      <c r="E1225" s="40"/>
      <c r="F1225" s="40"/>
      <c r="G1225" s="40"/>
      <c r="H1225" s="40"/>
      <c r="I1225" s="40"/>
      <c r="J1225" s="40"/>
      <c r="K1225" s="40"/>
      <c r="L1225" s="40"/>
      <c r="M1225" s="40"/>
      <c r="N1225" s="40"/>
      <c r="O1225" s="40"/>
      <c r="P1225" s="40"/>
      <c r="Q1225" s="40"/>
      <c r="R1225" s="40"/>
      <c r="S1225" s="40"/>
      <c r="T1225" s="40"/>
      <c r="U1225" s="40"/>
      <c r="V1225" s="40"/>
      <c r="W1225" s="40"/>
      <c r="X1225" s="40"/>
      <c r="Y1225" s="40"/>
      <c r="Z1225" s="40"/>
    </row>
    <row r="1226">
      <c r="A1226" s="65">
        <v>45997.0</v>
      </c>
      <c r="B1226" s="66" t="s">
        <v>810</v>
      </c>
      <c r="C1226" s="67" t="s">
        <v>1680</v>
      </c>
      <c r="D1226" s="68" t="s">
        <v>827</v>
      </c>
      <c r="E1226" s="40"/>
      <c r="F1226" s="40"/>
      <c r="G1226" s="40"/>
      <c r="H1226" s="40"/>
      <c r="I1226" s="40"/>
      <c r="J1226" s="40"/>
      <c r="K1226" s="40"/>
      <c r="L1226" s="40"/>
      <c r="M1226" s="40"/>
      <c r="N1226" s="40"/>
      <c r="O1226" s="40"/>
      <c r="P1226" s="40"/>
      <c r="Q1226" s="40"/>
      <c r="R1226" s="40"/>
      <c r="S1226" s="40"/>
      <c r="T1226" s="40"/>
      <c r="U1226" s="40"/>
      <c r="V1226" s="40"/>
      <c r="W1226" s="40"/>
      <c r="X1226" s="40"/>
      <c r="Y1226" s="40"/>
      <c r="Z1226" s="40"/>
    </row>
    <row r="1227">
      <c r="A1227" s="65">
        <v>45997.0</v>
      </c>
      <c r="B1227" s="66" t="s">
        <v>810</v>
      </c>
      <c r="C1227" s="67" t="s">
        <v>1681</v>
      </c>
      <c r="D1227" s="68" t="s">
        <v>827</v>
      </c>
      <c r="E1227" s="40"/>
      <c r="F1227" s="40"/>
      <c r="G1227" s="40"/>
      <c r="H1227" s="40"/>
      <c r="I1227" s="40"/>
      <c r="J1227" s="40"/>
      <c r="K1227" s="40"/>
      <c r="L1227" s="40"/>
      <c r="M1227" s="40"/>
      <c r="N1227" s="40"/>
      <c r="O1227" s="40"/>
      <c r="P1227" s="40"/>
      <c r="Q1227" s="40"/>
      <c r="R1227" s="40"/>
      <c r="S1227" s="40"/>
      <c r="T1227" s="40"/>
      <c r="U1227" s="40"/>
      <c r="V1227" s="40"/>
      <c r="W1227" s="40"/>
      <c r="X1227" s="40"/>
      <c r="Y1227" s="40"/>
      <c r="Z1227" s="40"/>
    </row>
    <row r="1228">
      <c r="A1228" s="65">
        <v>45997.0</v>
      </c>
      <c r="B1228" s="66" t="s">
        <v>810</v>
      </c>
      <c r="C1228" s="67" t="s">
        <v>1681</v>
      </c>
      <c r="D1228" s="68" t="s">
        <v>827</v>
      </c>
      <c r="E1228" s="40"/>
      <c r="F1228" s="40"/>
      <c r="G1228" s="40"/>
      <c r="H1228" s="40"/>
      <c r="I1228" s="40"/>
      <c r="J1228" s="40"/>
      <c r="K1228" s="40"/>
      <c r="L1228" s="40"/>
      <c r="M1228" s="40"/>
      <c r="N1228" s="40"/>
      <c r="O1228" s="40"/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0"/>
    </row>
    <row r="1229">
      <c r="A1229" s="65">
        <v>45997.0</v>
      </c>
      <c r="B1229" s="66" t="s">
        <v>810</v>
      </c>
      <c r="C1229" s="67" t="s">
        <v>1681</v>
      </c>
      <c r="D1229" s="68" t="s">
        <v>827</v>
      </c>
      <c r="E1229" s="40"/>
      <c r="F1229" s="40"/>
      <c r="G1229" s="40"/>
      <c r="H1229" s="40"/>
      <c r="I1229" s="40"/>
      <c r="J1229" s="40"/>
      <c r="K1229" s="40"/>
      <c r="L1229" s="40"/>
      <c r="M1229" s="40"/>
      <c r="N1229" s="40"/>
      <c r="O1229" s="40"/>
      <c r="P1229" s="40"/>
      <c r="Q1229" s="40"/>
      <c r="R1229" s="40"/>
      <c r="S1229" s="40"/>
      <c r="T1229" s="40"/>
      <c r="U1229" s="40"/>
      <c r="V1229" s="40"/>
      <c r="W1229" s="40"/>
      <c r="X1229" s="40"/>
      <c r="Y1229" s="40"/>
      <c r="Z1229" s="40"/>
    </row>
    <row r="1230">
      <c r="A1230" s="65">
        <v>45997.0</v>
      </c>
      <c r="B1230" s="66" t="s">
        <v>810</v>
      </c>
      <c r="C1230" s="67" t="s">
        <v>1682</v>
      </c>
      <c r="D1230" s="68" t="s">
        <v>827</v>
      </c>
      <c r="E1230" s="40"/>
      <c r="F1230" s="40"/>
      <c r="G1230" s="40"/>
      <c r="H1230" s="40"/>
      <c r="I1230" s="40"/>
      <c r="J1230" s="40"/>
      <c r="K1230" s="40"/>
      <c r="L1230" s="40"/>
      <c r="M1230" s="40"/>
      <c r="N1230" s="40"/>
      <c r="O1230" s="40"/>
      <c r="P1230" s="40"/>
      <c r="Q1230" s="40"/>
      <c r="R1230" s="40"/>
      <c r="S1230" s="40"/>
      <c r="T1230" s="40"/>
      <c r="U1230" s="40"/>
      <c r="V1230" s="40"/>
      <c r="W1230" s="40"/>
      <c r="X1230" s="40"/>
      <c r="Y1230" s="40"/>
      <c r="Z1230" s="40"/>
    </row>
    <row r="1231">
      <c r="A1231" s="65">
        <v>45997.0</v>
      </c>
      <c r="B1231" s="66" t="s">
        <v>810</v>
      </c>
      <c r="C1231" s="67" t="s">
        <v>1683</v>
      </c>
      <c r="D1231" s="68" t="s">
        <v>827</v>
      </c>
      <c r="E1231" s="40"/>
      <c r="F1231" s="40"/>
      <c r="G1231" s="40"/>
      <c r="H1231" s="40"/>
      <c r="I1231" s="40"/>
      <c r="J1231" s="40"/>
      <c r="K1231" s="40"/>
      <c r="L1231" s="40"/>
      <c r="M1231" s="40"/>
      <c r="N1231" s="40"/>
      <c r="O1231" s="40"/>
      <c r="P1231" s="40"/>
      <c r="Q1231" s="40"/>
      <c r="R1231" s="40"/>
      <c r="S1231" s="40"/>
      <c r="T1231" s="40"/>
      <c r="U1231" s="40"/>
      <c r="V1231" s="40"/>
      <c r="W1231" s="40"/>
      <c r="X1231" s="40"/>
      <c r="Y1231" s="40"/>
      <c r="Z1231" s="40"/>
    </row>
    <row r="1232">
      <c r="A1232" s="65">
        <v>45997.0</v>
      </c>
      <c r="B1232" s="66" t="s">
        <v>810</v>
      </c>
      <c r="C1232" s="67" t="s">
        <v>1684</v>
      </c>
      <c r="D1232" s="68" t="s">
        <v>827</v>
      </c>
      <c r="E1232" s="40"/>
      <c r="F1232" s="40"/>
      <c r="G1232" s="40"/>
      <c r="H1232" s="40"/>
      <c r="I1232" s="40"/>
      <c r="J1232" s="40"/>
      <c r="K1232" s="40"/>
      <c r="L1232" s="40"/>
      <c r="M1232" s="40"/>
      <c r="N1232" s="40"/>
      <c r="O1232" s="40"/>
      <c r="P1232" s="40"/>
      <c r="Q1232" s="40"/>
      <c r="R1232" s="40"/>
      <c r="S1232" s="40"/>
      <c r="T1232" s="40"/>
      <c r="U1232" s="40"/>
      <c r="V1232" s="40"/>
      <c r="W1232" s="40"/>
      <c r="X1232" s="40"/>
      <c r="Y1232" s="40"/>
      <c r="Z1232" s="40"/>
    </row>
    <row r="1233">
      <c r="A1233" s="65">
        <v>45997.0</v>
      </c>
      <c r="B1233" s="66" t="s">
        <v>810</v>
      </c>
      <c r="C1233" s="67" t="s">
        <v>1685</v>
      </c>
      <c r="D1233" s="68" t="s">
        <v>827</v>
      </c>
      <c r="E1233" s="40"/>
      <c r="F1233" s="40"/>
      <c r="G1233" s="40"/>
      <c r="H1233" s="40"/>
      <c r="I1233" s="40"/>
      <c r="J1233" s="40"/>
      <c r="K1233" s="40"/>
      <c r="L1233" s="40"/>
      <c r="M1233" s="40"/>
      <c r="N1233" s="40"/>
      <c r="O1233" s="40"/>
      <c r="P1233" s="40"/>
      <c r="Q1233" s="40"/>
      <c r="R1233" s="40"/>
      <c r="S1233" s="40"/>
      <c r="T1233" s="40"/>
      <c r="U1233" s="40"/>
      <c r="V1233" s="40"/>
      <c r="W1233" s="40"/>
      <c r="X1233" s="40"/>
      <c r="Y1233" s="40"/>
      <c r="Z1233" s="40"/>
    </row>
    <row r="1234">
      <c r="A1234" s="65">
        <v>45997.0</v>
      </c>
      <c r="B1234" s="66" t="s">
        <v>812</v>
      </c>
      <c r="C1234" s="67" t="s">
        <v>1686</v>
      </c>
      <c r="D1234" s="68" t="s">
        <v>827</v>
      </c>
      <c r="E1234" s="40"/>
      <c r="F1234" s="40"/>
      <c r="G1234" s="40"/>
      <c r="H1234" s="40"/>
      <c r="I1234" s="40"/>
      <c r="J1234" s="40"/>
      <c r="K1234" s="40"/>
      <c r="L1234" s="40"/>
      <c r="M1234" s="40"/>
      <c r="N1234" s="40"/>
      <c r="O1234" s="40"/>
      <c r="P1234" s="40"/>
      <c r="Q1234" s="40"/>
      <c r="R1234" s="40"/>
      <c r="S1234" s="40"/>
      <c r="T1234" s="40"/>
      <c r="U1234" s="40"/>
      <c r="V1234" s="40"/>
      <c r="W1234" s="40"/>
      <c r="X1234" s="40"/>
      <c r="Y1234" s="40"/>
      <c r="Z1234" s="40"/>
    </row>
    <row r="1235">
      <c r="A1235" s="65">
        <v>45997.0</v>
      </c>
      <c r="B1235" s="66" t="s">
        <v>812</v>
      </c>
      <c r="C1235" s="67" t="s">
        <v>1686</v>
      </c>
      <c r="D1235" s="68" t="s">
        <v>827</v>
      </c>
      <c r="E1235" s="40"/>
      <c r="F1235" s="40"/>
      <c r="G1235" s="40"/>
      <c r="H1235" s="40"/>
      <c r="I1235" s="40"/>
      <c r="J1235" s="40"/>
      <c r="K1235" s="40"/>
      <c r="L1235" s="40"/>
      <c r="M1235" s="40"/>
      <c r="N1235" s="40"/>
      <c r="O1235" s="40"/>
      <c r="P1235" s="40"/>
      <c r="Q1235" s="40"/>
      <c r="R1235" s="40"/>
      <c r="S1235" s="40"/>
      <c r="T1235" s="40"/>
      <c r="U1235" s="40"/>
      <c r="V1235" s="40"/>
      <c r="W1235" s="40"/>
      <c r="X1235" s="40"/>
      <c r="Y1235" s="40"/>
      <c r="Z1235" s="40"/>
    </row>
    <row r="1236">
      <c r="A1236" s="65">
        <v>45997.0</v>
      </c>
      <c r="B1236" s="66" t="s">
        <v>812</v>
      </c>
      <c r="C1236" s="67" t="s">
        <v>1687</v>
      </c>
      <c r="D1236" s="68" t="s">
        <v>827</v>
      </c>
      <c r="E1236" s="40"/>
      <c r="F1236" s="40"/>
      <c r="G1236" s="40"/>
      <c r="H1236" s="40"/>
      <c r="I1236" s="40"/>
      <c r="J1236" s="40"/>
      <c r="K1236" s="40"/>
      <c r="L1236" s="40"/>
      <c r="M1236" s="40"/>
      <c r="N1236" s="40"/>
      <c r="O1236" s="40"/>
      <c r="P1236" s="40"/>
      <c r="Q1236" s="40"/>
      <c r="R1236" s="40"/>
      <c r="S1236" s="40"/>
      <c r="T1236" s="40"/>
      <c r="U1236" s="40"/>
      <c r="V1236" s="40"/>
      <c r="W1236" s="40"/>
      <c r="X1236" s="40"/>
      <c r="Y1236" s="40"/>
      <c r="Z1236" s="40"/>
    </row>
    <row r="1237">
      <c r="A1237" s="65">
        <v>45997.0</v>
      </c>
      <c r="B1237" s="66" t="s">
        <v>812</v>
      </c>
      <c r="C1237" s="67" t="s">
        <v>1687</v>
      </c>
      <c r="D1237" s="68" t="s">
        <v>827</v>
      </c>
      <c r="E1237" s="40"/>
      <c r="F1237" s="40"/>
      <c r="G1237" s="40"/>
      <c r="H1237" s="40"/>
      <c r="I1237" s="40"/>
      <c r="J1237" s="40"/>
      <c r="K1237" s="40"/>
      <c r="L1237" s="40"/>
      <c r="M1237" s="40"/>
      <c r="N1237" s="40"/>
      <c r="O1237" s="40"/>
      <c r="P1237" s="40"/>
      <c r="Q1237" s="40"/>
      <c r="R1237" s="40"/>
      <c r="S1237" s="40"/>
      <c r="T1237" s="40"/>
      <c r="U1237" s="40"/>
      <c r="V1237" s="40"/>
      <c r="W1237" s="40"/>
      <c r="X1237" s="40"/>
      <c r="Y1237" s="40"/>
      <c r="Z1237" s="40"/>
    </row>
    <row r="1238">
      <c r="A1238" s="65">
        <v>45997.0</v>
      </c>
      <c r="B1238" s="66" t="s">
        <v>812</v>
      </c>
      <c r="C1238" s="67" t="s">
        <v>1688</v>
      </c>
      <c r="D1238" s="67" t="s">
        <v>1689</v>
      </c>
      <c r="E1238" s="40"/>
      <c r="F1238" s="40"/>
      <c r="G1238" s="40"/>
      <c r="H1238" s="40"/>
      <c r="I1238" s="40"/>
      <c r="J1238" s="40"/>
      <c r="K1238" s="40"/>
      <c r="L1238" s="40"/>
      <c r="M1238" s="40"/>
      <c r="N1238" s="40"/>
      <c r="O1238" s="40"/>
      <c r="P1238" s="40"/>
      <c r="Q1238" s="40"/>
      <c r="R1238" s="40"/>
      <c r="S1238" s="40"/>
      <c r="T1238" s="40"/>
      <c r="U1238" s="40"/>
      <c r="V1238" s="40"/>
      <c r="W1238" s="40"/>
      <c r="X1238" s="40"/>
      <c r="Y1238" s="40"/>
      <c r="Z1238" s="40"/>
    </row>
    <row r="1239">
      <c r="A1239" s="65">
        <v>45997.0</v>
      </c>
      <c r="B1239" s="66" t="s">
        <v>812</v>
      </c>
      <c r="C1239" s="67" t="s">
        <v>1690</v>
      </c>
      <c r="D1239" s="68" t="s">
        <v>827</v>
      </c>
      <c r="E1239" s="40"/>
      <c r="F1239" s="40"/>
      <c r="G1239" s="40"/>
      <c r="H1239" s="40"/>
      <c r="I1239" s="40"/>
      <c r="J1239" s="40"/>
      <c r="K1239" s="40"/>
      <c r="L1239" s="40"/>
      <c r="M1239" s="40"/>
      <c r="N1239" s="40"/>
      <c r="O1239" s="40"/>
      <c r="P1239" s="40"/>
      <c r="Q1239" s="40"/>
      <c r="R1239" s="40"/>
      <c r="S1239" s="40"/>
      <c r="T1239" s="40"/>
      <c r="U1239" s="40"/>
      <c r="V1239" s="40"/>
      <c r="W1239" s="40"/>
      <c r="X1239" s="40"/>
      <c r="Y1239" s="40"/>
      <c r="Z1239" s="40"/>
    </row>
    <row r="1240">
      <c r="A1240" s="65">
        <v>45997.0</v>
      </c>
      <c r="B1240" s="66" t="s">
        <v>812</v>
      </c>
      <c r="C1240" s="67" t="s">
        <v>1691</v>
      </c>
      <c r="D1240" s="68" t="s">
        <v>827</v>
      </c>
      <c r="E1240" s="40"/>
      <c r="F1240" s="40"/>
      <c r="G1240" s="40"/>
      <c r="H1240" s="40"/>
      <c r="I1240" s="40"/>
      <c r="J1240" s="40"/>
      <c r="K1240" s="40"/>
      <c r="L1240" s="40"/>
      <c r="M1240" s="40"/>
      <c r="N1240" s="40"/>
      <c r="O1240" s="40"/>
      <c r="P1240" s="40"/>
      <c r="Q1240" s="40"/>
      <c r="R1240" s="40"/>
      <c r="S1240" s="40"/>
      <c r="T1240" s="40"/>
      <c r="U1240" s="40"/>
      <c r="V1240" s="40"/>
      <c r="W1240" s="40"/>
      <c r="X1240" s="40"/>
      <c r="Y1240" s="40"/>
      <c r="Z1240" s="40"/>
    </row>
    <row r="1241">
      <c r="A1241" s="65">
        <v>45997.0</v>
      </c>
      <c r="B1241" s="66" t="s">
        <v>812</v>
      </c>
      <c r="C1241" s="67" t="s">
        <v>1676</v>
      </c>
      <c r="D1241" s="68" t="s">
        <v>827</v>
      </c>
      <c r="E1241" s="40"/>
      <c r="F1241" s="40"/>
      <c r="G1241" s="40"/>
      <c r="H1241" s="40"/>
      <c r="I1241" s="40"/>
      <c r="J1241" s="40"/>
      <c r="K1241" s="40"/>
      <c r="L1241" s="40"/>
      <c r="M1241" s="40"/>
      <c r="N1241" s="40"/>
      <c r="O1241" s="40"/>
      <c r="P1241" s="40"/>
      <c r="Q1241" s="40"/>
      <c r="R1241" s="40"/>
      <c r="S1241" s="40"/>
      <c r="T1241" s="40"/>
      <c r="U1241" s="40"/>
      <c r="V1241" s="40"/>
      <c r="W1241" s="40"/>
      <c r="X1241" s="40"/>
      <c r="Y1241" s="40"/>
      <c r="Z1241" s="40"/>
    </row>
    <row r="1242">
      <c r="A1242" s="65">
        <v>45997.0</v>
      </c>
      <c r="B1242" s="66" t="s">
        <v>812</v>
      </c>
      <c r="C1242" s="67" t="s">
        <v>1460</v>
      </c>
      <c r="D1242" s="68" t="s">
        <v>827</v>
      </c>
      <c r="E1242" s="40"/>
      <c r="F1242" s="40"/>
      <c r="G1242" s="40"/>
      <c r="H1242" s="40"/>
      <c r="I1242" s="40"/>
      <c r="J1242" s="40"/>
      <c r="K1242" s="40"/>
      <c r="L1242" s="40"/>
      <c r="M1242" s="40"/>
      <c r="N1242" s="40"/>
      <c r="O1242" s="40"/>
      <c r="P1242" s="40"/>
      <c r="Q1242" s="40"/>
      <c r="R1242" s="40"/>
      <c r="S1242" s="40"/>
      <c r="T1242" s="40"/>
      <c r="U1242" s="40"/>
      <c r="V1242" s="40"/>
      <c r="W1242" s="40"/>
      <c r="X1242" s="40"/>
      <c r="Y1242" s="40"/>
      <c r="Z1242" s="40"/>
    </row>
    <row r="1243">
      <c r="A1243" s="65">
        <v>45997.0</v>
      </c>
      <c r="B1243" s="66" t="s">
        <v>812</v>
      </c>
      <c r="C1243" s="67" t="s">
        <v>1460</v>
      </c>
      <c r="D1243" s="68" t="s">
        <v>827</v>
      </c>
      <c r="E1243" s="40"/>
      <c r="F1243" s="40"/>
      <c r="G1243" s="40"/>
      <c r="H1243" s="40"/>
      <c r="I1243" s="40"/>
      <c r="J1243" s="40"/>
      <c r="K1243" s="40"/>
      <c r="L1243" s="40"/>
      <c r="M1243" s="40"/>
      <c r="N1243" s="40"/>
      <c r="O1243" s="40"/>
      <c r="P1243" s="40"/>
      <c r="Q1243" s="40"/>
      <c r="R1243" s="40"/>
      <c r="S1243" s="40"/>
      <c r="T1243" s="40"/>
      <c r="U1243" s="40"/>
      <c r="V1243" s="40"/>
      <c r="W1243" s="40"/>
      <c r="X1243" s="40"/>
      <c r="Y1243" s="40"/>
      <c r="Z1243" s="40"/>
    </row>
    <row r="1244">
      <c r="A1244" s="65">
        <v>45997.0</v>
      </c>
      <c r="B1244" s="66" t="s">
        <v>810</v>
      </c>
      <c r="C1244" s="67" t="s">
        <v>1692</v>
      </c>
      <c r="D1244" s="67" t="s">
        <v>1175</v>
      </c>
      <c r="E1244" s="40"/>
      <c r="F1244" s="40"/>
      <c r="G1244" s="40"/>
      <c r="H1244" s="40"/>
      <c r="I1244" s="40"/>
      <c r="J1244" s="40"/>
      <c r="K1244" s="40"/>
      <c r="L1244" s="40"/>
      <c r="M1244" s="40"/>
      <c r="N1244" s="40"/>
      <c r="O1244" s="40"/>
      <c r="P1244" s="40"/>
      <c r="Q1244" s="40"/>
      <c r="R1244" s="40"/>
      <c r="S1244" s="40"/>
      <c r="T1244" s="40"/>
      <c r="U1244" s="40"/>
      <c r="V1244" s="40"/>
      <c r="W1244" s="40"/>
      <c r="X1244" s="40"/>
      <c r="Y1244" s="40"/>
      <c r="Z1244" s="40"/>
    </row>
    <row r="1245">
      <c r="A1245" s="65">
        <v>45997.0</v>
      </c>
      <c r="B1245" s="66" t="s">
        <v>812</v>
      </c>
      <c r="C1245" s="67" t="s">
        <v>1345</v>
      </c>
      <c r="D1245" s="68" t="s">
        <v>827</v>
      </c>
      <c r="E1245" s="40"/>
      <c r="F1245" s="40"/>
      <c r="G1245" s="40"/>
      <c r="H1245" s="40"/>
      <c r="I1245" s="40"/>
      <c r="J1245" s="40"/>
      <c r="K1245" s="40"/>
      <c r="L1245" s="40"/>
      <c r="M1245" s="40"/>
      <c r="N1245" s="40"/>
      <c r="O1245" s="40"/>
      <c r="P1245" s="40"/>
      <c r="Q1245" s="40"/>
      <c r="R1245" s="40"/>
      <c r="S1245" s="40"/>
      <c r="T1245" s="40"/>
      <c r="U1245" s="40"/>
      <c r="V1245" s="40"/>
      <c r="W1245" s="40"/>
      <c r="X1245" s="40"/>
      <c r="Y1245" s="40"/>
      <c r="Z1245" s="40"/>
    </row>
    <row r="1246">
      <c r="A1246" s="65">
        <v>46001.0</v>
      </c>
      <c r="B1246" s="66" t="s">
        <v>811</v>
      </c>
      <c r="C1246" s="67" t="s">
        <v>1693</v>
      </c>
      <c r="D1246" s="68" t="s">
        <v>827</v>
      </c>
      <c r="E1246" s="40"/>
      <c r="F1246" s="40"/>
      <c r="G1246" s="40"/>
      <c r="H1246" s="40"/>
      <c r="I1246" s="40"/>
      <c r="J1246" s="40"/>
      <c r="K1246" s="40"/>
      <c r="L1246" s="40"/>
      <c r="M1246" s="40"/>
      <c r="N1246" s="40"/>
      <c r="O1246" s="40"/>
      <c r="P1246" s="40"/>
      <c r="Q1246" s="40"/>
      <c r="R1246" s="40"/>
      <c r="S1246" s="40"/>
      <c r="T1246" s="40"/>
      <c r="U1246" s="40"/>
      <c r="V1246" s="40"/>
      <c r="W1246" s="40"/>
      <c r="X1246" s="40"/>
      <c r="Y1246" s="40"/>
      <c r="Z1246" s="40"/>
    </row>
    <row r="1247">
      <c r="A1247" s="65">
        <v>46001.0</v>
      </c>
      <c r="B1247" s="66" t="s">
        <v>811</v>
      </c>
      <c r="C1247" s="67" t="s">
        <v>1694</v>
      </c>
      <c r="D1247" s="68" t="s">
        <v>827</v>
      </c>
      <c r="E1247" s="40"/>
      <c r="F1247" s="40"/>
      <c r="G1247" s="40"/>
      <c r="H1247" s="40"/>
      <c r="I1247" s="40"/>
      <c r="J1247" s="40"/>
      <c r="K1247" s="40"/>
      <c r="L1247" s="40"/>
      <c r="M1247" s="40"/>
      <c r="N1247" s="40"/>
      <c r="O1247" s="40"/>
      <c r="P1247" s="40"/>
      <c r="Q1247" s="40"/>
      <c r="R1247" s="40"/>
      <c r="S1247" s="40"/>
      <c r="T1247" s="40"/>
      <c r="U1247" s="40"/>
      <c r="V1247" s="40"/>
      <c r="W1247" s="40"/>
      <c r="X1247" s="40"/>
      <c r="Y1247" s="40"/>
      <c r="Z1247" s="40"/>
    </row>
    <row r="1248">
      <c r="A1248" s="65">
        <v>46001.0</v>
      </c>
      <c r="B1248" s="66" t="s">
        <v>811</v>
      </c>
      <c r="C1248" s="67" t="s">
        <v>1695</v>
      </c>
      <c r="D1248" s="68" t="s">
        <v>827</v>
      </c>
      <c r="E1248" s="40"/>
      <c r="F1248" s="40"/>
      <c r="G1248" s="40"/>
      <c r="H1248" s="40"/>
      <c r="I1248" s="40"/>
      <c r="J1248" s="40"/>
      <c r="K1248" s="40"/>
      <c r="L1248" s="40"/>
      <c r="M1248" s="40"/>
      <c r="N1248" s="40"/>
      <c r="O1248" s="40"/>
      <c r="P1248" s="40"/>
      <c r="Q1248" s="40"/>
      <c r="R1248" s="40"/>
      <c r="S1248" s="40"/>
      <c r="T1248" s="40"/>
      <c r="U1248" s="40"/>
      <c r="V1248" s="40"/>
      <c r="W1248" s="40"/>
      <c r="X1248" s="40"/>
      <c r="Y1248" s="40"/>
      <c r="Z1248" s="40"/>
    </row>
    <row r="1249">
      <c r="A1249" s="65">
        <v>46011.0</v>
      </c>
      <c r="B1249" s="66" t="s">
        <v>810</v>
      </c>
      <c r="C1249" s="67" t="s">
        <v>1696</v>
      </c>
      <c r="D1249" s="68" t="s">
        <v>827</v>
      </c>
      <c r="E1249" s="40"/>
      <c r="F1249" s="40"/>
      <c r="G1249" s="40"/>
      <c r="H1249" s="40"/>
      <c r="I1249" s="40"/>
      <c r="J1249" s="40"/>
      <c r="K1249" s="40"/>
      <c r="L1249" s="40"/>
      <c r="M1249" s="40"/>
      <c r="N1249" s="40"/>
      <c r="O1249" s="40"/>
      <c r="P1249" s="40"/>
      <c r="Q1249" s="40"/>
      <c r="R1249" s="40"/>
      <c r="S1249" s="40"/>
      <c r="T1249" s="40"/>
      <c r="U1249" s="40"/>
      <c r="V1249" s="40"/>
      <c r="W1249" s="40"/>
      <c r="X1249" s="40"/>
      <c r="Y1249" s="40"/>
      <c r="Z1249" s="40"/>
    </row>
    <row r="1250">
      <c r="A1250" s="65">
        <v>46095.0</v>
      </c>
      <c r="B1250" s="66" t="s">
        <v>810</v>
      </c>
      <c r="C1250" s="67" t="s">
        <v>1697</v>
      </c>
      <c r="D1250" s="68" t="s">
        <v>827</v>
      </c>
      <c r="E1250" s="40"/>
      <c r="F1250" s="40"/>
      <c r="G1250" s="40"/>
      <c r="H1250" s="40"/>
      <c r="I1250" s="40"/>
      <c r="J1250" s="40"/>
      <c r="K1250" s="40"/>
      <c r="L1250" s="40"/>
      <c r="M1250" s="40"/>
      <c r="N1250" s="40"/>
      <c r="O1250" s="40"/>
      <c r="P1250" s="40"/>
      <c r="Q1250" s="40"/>
      <c r="R1250" s="40"/>
      <c r="S1250" s="40"/>
      <c r="T1250" s="40"/>
      <c r="U1250" s="40"/>
      <c r="V1250" s="40"/>
      <c r="W1250" s="40"/>
      <c r="X1250" s="40"/>
      <c r="Y1250" s="40"/>
      <c r="Z1250" s="40"/>
    </row>
    <row r="1251">
      <c r="A1251" s="65">
        <v>46095.0</v>
      </c>
      <c r="B1251" s="66" t="s">
        <v>810</v>
      </c>
      <c r="C1251" s="67" t="s">
        <v>1698</v>
      </c>
      <c r="D1251" s="68" t="s">
        <v>827</v>
      </c>
      <c r="E1251" s="40"/>
      <c r="F1251" s="40"/>
      <c r="G1251" s="40"/>
      <c r="H1251" s="40"/>
      <c r="I1251" s="40"/>
      <c r="J1251" s="40"/>
      <c r="K1251" s="40"/>
      <c r="L1251" s="40"/>
      <c r="M1251" s="40"/>
      <c r="N1251" s="40"/>
      <c r="O1251" s="40"/>
      <c r="P1251" s="40"/>
      <c r="Q1251" s="40"/>
      <c r="R1251" s="40"/>
      <c r="S1251" s="40"/>
      <c r="T1251" s="40"/>
      <c r="U1251" s="40"/>
      <c r="V1251" s="40"/>
      <c r="W1251" s="40"/>
      <c r="X1251" s="40"/>
      <c r="Y1251" s="40"/>
      <c r="Z1251" s="40"/>
    </row>
    <row r="1252">
      <c r="A1252" s="65">
        <v>46095.0</v>
      </c>
      <c r="B1252" s="66" t="s">
        <v>810</v>
      </c>
      <c r="C1252" s="67" t="s">
        <v>1699</v>
      </c>
      <c r="D1252" s="68" t="s">
        <v>827</v>
      </c>
      <c r="E1252" s="40"/>
      <c r="F1252" s="40"/>
      <c r="G1252" s="40"/>
      <c r="H1252" s="40"/>
      <c r="I1252" s="40"/>
      <c r="J1252" s="40"/>
      <c r="K1252" s="40"/>
      <c r="L1252" s="40"/>
      <c r="M1252" s="40"/>
      <c r="N1252" s="40"/>
      <c r="O1252" s="40"/>
      <c r="P1252" s="40"/>
      <c r="Q1252" s="40"/>
      <c r="R1252" s="40"/>
      <c r="S1252" s="40"/>
      <c r="T1252" s="40"/>
      <c r="U1252" s="40"/>
      <c r="V1252" s="40"/>
      <c r="W1252" s="40"/>
      <c r="X1252" s="40"/>
      <c r="Y1252" s="40"/>
      <c r="Z1252" s="40"/>
    </row>
    <row r="1253">
      <c r="A1253" s="65">
        <v>46095.0</v>
      </c>
      <c r="B1253" s="66" t="s">
        <v>810</v>
      </c>
      <c r="C1253" s="67" t="s">
        <v>1700</v>
      </c>
      <c r="D1253" s="68" t="s">
        <v>827</v>
      </c>
      <c r="E1253" s="40"/>
      <c r="F1253" s="40"/>
      <c r="G1253" s="40"/>
      <c r="H1253" s="40"/>
      <c r="I1253" s="40"/>
      <c r="J1253" s="40"/>
      <c r="K1253" s="40"/>
      <c r="L1253" s="40"/>
      <c r="M1253" s="40"/>
      <c r="N1253" s="40"/>
      <c r="O1253" s="40"/>
      <c r="P1253" s="40"/>
      <c r="Q1253" s="40"/>
      <c r="R1253" s="40"/>
      <c r="S1253" s="40"/>
      <c r="T1253" s="40"/>
      <c r="U1253" s="40"/>
      <c r="V1253" s="40"/>
      <c r="W1253" s="40"/>
      <c r="X1253" s="40"/>
      <c r="Y1253" s="40"/>
      <c r="Z1253" s="40"/>
    </row>
    <row r="1254">
      <c r="A1254" s="65">
        <v>46095.0</v>
      </c>
      <c r="B1254" s="66" t="s">
        <v>810</v>
      </c>
      <c r="C1254" s="67" t="s">
        <v>1701</v>
      </c>
      <c r="D1254" s="68" t="s">
        <v>827</v>
      </c>
      <c r="E1254" s="40"/>
      <c r="F1254" s="40"/>
      <c r="G1254" s="40"/>
      <c r="H1254" s="40"/>
      <c r="I1254" s="40"/>
      <c r="J1254" s="40"/>
      <c r="K1254" s="40"/>
      <c r="L1254" s="40"/>
      <c r="M1254" s="40"/>
      <c r="N1254" s="40"/>
      <c r="O1254" s="40"/>
      <c r="P1254" s="40"/>
      <c r="Q1254" s="40"/>
      <c r="R1254" s="40"/>
      <c r="S1254" s="40"/>
      <c r="T1254" s="40"/>
      <c r="U1254" s="40"/>
      <c r="V1254" s="40"/>
      <c r="W1254" s="40"/>
      <c r="X1254" s="40"/>
      <c r="Y1254" s="40"/>
      <c r="Z1254" s="40"/>
    </row>
    <row r="1255">
      <c r="A1255" s="65">
        <v>46095.0</v>
      </c>
      <c r="B1255" s="66" t="s">
        <v>810</v>
      </c>
      <c r="C1255" s="67" t="s">
        <v>1702</v>
      </c>
      <c r="D1255" s="68" t="s">
        <v>827</v>
      </c>
      <c r="E1255" s="40"/>
      <c r="F1255" s="40"/>
      <c r="G1255" s="40"/>
      <c r="H1255" s="40"/>
      <c r="I1255" s="40"/>
      <c r="J1255" s="40"/>
      <c r="K1255" s="40"/>
      <c r="L1255" s="40"/>
      <c r="M1255" s="40"/>
      <c r="N1255" s="40"/>
      <c r="O1255" s="40"/>
      <c r="P1255" s="40"/>
      <c r="Q1255" s="40"/>
      <c r="R1255" s="40"/>
      <c r="S1255" s="40"/>
      <c r="T1255" s="40"/>
      <c r="U1255" s="40"/>
      <c r="V1255" s="40"/>
      <c r="W1255" s="40"/>
      <c r="X1255" s="40"/>
      <c r="Y1255" s="40"/>
      <c r="Z1255" s="40"/>
    </row>
    <row r="1256">
      <c r="A1256" s="65">
        <v>46095.0</v>
      </c>
      <c r="B1256" s="66" t="s">
        <v>810</v>
      </c>
      <c r="C1256" s="67" t="s">
        <v>1703</v>
      </c>
      <c r="D1256" s="68" t="s">
        <v>827</v>
      </c>
      <c r="E1256" s="40"/>
      <c r="F1256" s="40"/>
      <c r="G1256" s="40"/>
      <c r="H1256" s="40"/>
      <c r="I1256" s="40"/>
      <c r="J1256" s="40"/>
      <c r="K1256" s="40"/>
      <c r="L1256" s="40"/>
      <c r="M1256" s="40"/>
      <c r="N1256" s="40"/>
      <c r="O1256" s="40"/>
      <c r="P1256" s="40"/>
      <c r="Q1256" s="40"/>
      <c r="R1256" s="40"/>
      <c r="S1256" s="40"/>
      <c r="T1256" s="40"/>
      <c r="U1256" s="40"/>
      <c r="V1256" s="40"/>
      <c r="W1256" s="40"/>
      <c r="X1256" s="40"/>
      <c r="Y1256" s="40"/>
      <c r="Z1256" s="40"/>
    </row>
    <row r="1257">
      <c r="A1257" s="65">
        <v>46095.0</v>
      </c>
      <c r="B1257" s="66" t="s">
        <v>810</v>
      </c>
      <c r="C1257" s="67" t="s">
        <v>1704</v>
      </c>
      <c r="D1257" s="68" t="s">
        <v>827</v>
      </c>
      <c r="E1257" s="40"/>
      <c r="F1257" s="40"/>
      <c r="G1257" s="40"/>
      <c r="H1257" s="40"/>
      <c r="I1257" s="40"/>
      <c r="J1257" s="40"/>
      <c r="K1257" s="40"/>
      <c r="L1257" s="40"/>
      <c r="M1257" s="40"/>
      <c r="N1257" s="40"/>
      <c r="O1257" s="40"/>
      <c r="P1257" s="40"/>
      <c r="Q1257" s="40"/>
      <c r="R1257" s="40"/>
      <c r="S1257" s="40"/>
      <c r="T1257" s="40"/>
      <c r="U1257" s="40"/>
      <c r="V1257" s="40"/>
      <c r="W1257" s="40"/>
      <c r="X1257" s="40"/>
      <c r="Y1257" s="40"/>
      <c r="Z1257" s="40"/>
    </row>
    <row r="1258">
      <c r="A1258" s="65">
        <v>46095.0</v>
      </c>
      <c r="B1258" s="66" t="s">
        <v>810</v>
      </c>
      <c r="C1258" s="67" t="s">
        <v>1704</v>
      </c>
      <c r="D1258" s="68" t="s">
        <v>827</v>
      </c>
      <c r="E1258" s="40"/>
      <c r="F1258" s="40"/>
      <c r="G1258" s="40"/>
      <c r="H1258" s="40"/>
      <c r="I1258" s="40"/>
      <c r="J1258" s="40"/>
      <c r="K1258" s="40"/>
      <c r="L1258" s="40"/>
      <c r="M1258" s="40"/>
      <c r="N1258" s="40"/>
      <c r="O1258" s="40"/>
      <c r="P1258" s="40"/>
      <c r="Q1258" s="40"/>
      <c r="R1258" s="40"/>
      <c r="S1258" s="40"/>
      <c r="T1258" s="40"/>
      <c r="U1258" s="40"/>
      <c r="V1258" s="40"/>
      <c r="W1258" s="40"/>
      <c r="X1258" s="40"/>
      <c r="Y1258" s="40"/>
      <c r="Z1258" s="40"/>
    </row>
    <row r="1259">
      <c r="A1259" s="65">
        <v>46095.0</v>
      </c>
      <c r="B1259" s="66" t="s">
        <v>810</v>
      </c>
      <c r="C1259" s="67" t="s">
        <v>1705</v>
      </c>
      <c r="D1259" s="68" t="s">
        <v>827</v>
      </c>
      <c r="E1259" s="40"/>
      <c r="F1259" s="40"/>
      <c r="G1259" s="40"/>
      <c r="H1259" s="40"/>
      <c r="I1259" s="40"/>
      <c r="J1259" s="40"/>
      <c r="K1259" s="40"/>
      <c r="L1259" s="40"/>
      <c r="M1259" s="40"/>
      <c r="N1259" s="40"/>
      <c r="O1259" s="40"/>
      <c r="P1259" s="40"/>
      <c r="Q1259" s="40"/>
      <c r="R1259" s="40"/>
      <c r="S1259" s="40"/>
      <c r="T1259" s="40"/>
      <c r="U1259" s="40"/>
      <c r="V1259" s="40"/>
      <c r="W1259" s="40"/>
      <c r="X1259" s="40"/>
      <c r="Y1259" s="40"/>
      <c r="Z1259" s="40"/>
    </row>
    <row r="1260">
      <c r="A1260" s="65">
        <v>46095.0</v>
      </c>
      <c r="B1260" s="66" t="s">
        <v>810</v>
      </c>
      <c r="C1260" s="67" t="s">
        <v>1705</v>
      </c>
      <c r="D1260" s="68" t="s">
        <v>827</v>
      </c>
      <c r="E1260" s="40"/>
      <c r="F1260" s="40"/>
      <c r="G1260" s="40"/>
      <c r="H1260" s="40"/>
      <c r="I1260" s="40"/>
      <c r="J1260" s="40"/>
      <c r="K1260" s="40"/>
      <c r="L1260" s="40"/>
      <c r="M1260" s="40"/>
      <c r="N1260" s="40"/>
      <c r="O1260" s="40"/>
      <c r="P1260" s="40"/>
      <c r="Q1260" s="40"/>
      <c r="R1260" s="40"/>
      <c r="S1260" s="40"/>
      <c r="T1260" s="40"/>
      <c r="U1260" s="40"/>
      <c r="V1260" s="40"/>
      <c r="W1260" s="40"/>
      <c r="X1260" s="40"/>
      <c r="Y1260" s="40"/>
      <c r="Z1260" s="40"/>
    </row>
    <row r="1261">
      <c r="A1261" s="65">
        <v>46095.0</v>
      </c>
      <c r="B1261" s="66" t="s">
        <v>810</v>
      </c>
      <c r="C1261" s="67" t="s">
        <v>1705</v>
      </c>
      <c r="D1261" s="68" t="s">
        <v>827</v>
      </c>
      <c r="E1261" s="40"/>
      <c r="F1261" s="40"/>
      <c r="G1261" s="40"/>
      <c r="H1261" s="40"/>
      <c r="I1261" s="40"/>
      <c r="J1261" s="40"/>
      <c r="K1261" s="40"/>
      <c r="L1261" s="40"/>
      <c r="M1261" s="40"/>
      <c r="N1261" s="40"/>
      <c r="O1261" s="40"/>
      <c r="P1261" s="40"/>
      <c r="Q1261" s="40"/>
      <c r="R1261" s="40"/>
      <c r="S1261" s="40"/>
      <c r="T1261" s="40"/>
      <c r="U1261" s="40"/>
      <c r="V1261" s="40"/>
      <c r="W1261" s="40"/>
      <c r="X1261" s="40"/>
      <c r="Y1261" s="40"/>
      <c r="Z1261" s="40"/>
    </row>
    <row r="1262">
      <c r="A1262" s="65">
        <v>46095.0</v>
      </c>
      <c r="B1262" s="66" t="s">
        <v>810</v>
      </c>
      <c r="C1262" s="67" t="s">
        <v>1706</v>
      </c>
      <c r="D1262" s="68" t="s">
        <v>827</v>
      </c>
      <c r="E1262" s="40"/>
      <c r="F1262" s="40"/>
      <c r="G1262" s="40"/>
      <c r="H1262" s="40"/>
      <c r="I1262" s="40"/>
      <c r="J1262" s="40"/>
      <c r="K1262" s="40"/>
      <c r="L1262" s="40"/>
      <c r="M1262" s="40"/>
      <c r="N1262" s="40"/>
      <c r="O1262" s="40"/>
      <c r="P1262" s="40"/>
      <c r="Q1262" s="40"/>
      <c r="R1262" s="40"/>
      <c r="S1262" s="40"/>
      <c r="T1262" s="40"/>
      <c r="U1262" s="40"/>
      <c r="V1262" s="40"/>
      <c r="W1262" s="40"/>
      <c r="X1262" s="40"/>
      <c r="Y1262" s="40"/>
      <c r="Z1262" s="40"/>
    </row>
    <row r="1263">
      <c r="A1263" s="65">
        <v>46095.0</v>
      </c>
      <c r="B1263" s="66" t="s">
        <v>810</v>
      </c>
      <c r="C1263" s="67" t="s">
        <v>1003</v>
      </c>
      <c r="D1263" s="68" t="s">
        <v>827</v>
      </c>
      <c r="E1263" s="40"/>
      <c r="F1263" s="40"/>
      <c r="G1263" s="40"/>
      <c r="H1263" s="40"/>
      <c r="I1263" s="40"/>
      <c r="J1263" s="40"/>
      <c r="K1263" s="40"/>
      <c r="L1263" s="40"/>
      <c r="M1263" s="40"/>
      <c r="N1263" s="40"/>
      <c r="O1263" s="40"/>
      <c r="P1263" s="40"/>
      <c r="Q1263" s="40"/>
      <c r="R1263" s="40"/>
      <c r="S1263" s="40"/>
      <c r="T1263" s="40"/>
      <c r="U1263" s="40"/>
      <c r="V1263" s="40"/>
      <c r="W1263" s="40"/>
      <c r="X1263" s="40"/>
      <c r="Y1263" s="40"/>
      <c r="Z1263" s="40"/>
    </row>
    <row r="1264">
      <c r="A1264" s="65">
        <v>46095.0</v>
      </c>
      <c r="B1264" s="66" t="s">
        <v>810</v>
      </c>
      <c r="C1264" s="67" t="s">
        <v>1707</v>
      </c>
      <c r="D1264" s="68" t="s">
        <v>827</v>
      </c>
      <c r="E1264" s="40"/>
      <c r="F1264" s="40"/>
      <c r="G1264" s="40"/>
      <c r="H1264" s="40"/>
      <c r="I1264" s="40"/>
      <c r="J1264" s="40"/>
      <c r="K1264" s="40"/>
      <c r="L1264" s="40"/>
      <c r="M1264" s="40"/>
      <c r="N1264" s="40"/>
      <c r="O1264" s="40"/>
      <c r="P1264" s="40"/>
      <c r="Q1264" s="40"/>
      <c r="R1264" s="40"/>
      <c r="S1264" s="40"/>
      <c r="T1264" s="40"/>
      <c r="U1264" s="40"/>
      <c r="V1264" s="40"/>
      <c r="W1264" s="40"/>
      <c r="X1264" s="40"/>
      <c r="Y1264" s="40"/>
      <c r="Z1264" s="40"/>
    </row>
    <row r="1265">
      <c r="A1265" s="65">
        <v>46095.0</v>
      </c>
      <c r="B1265" s="66" t="s">
        <v>810</v>
      </c>
      <c r="C1265" s="67" t="s">
        <v>1708</v>
      </c>
      <c r="D1265" s="68" t="s">
        <v>827</v>
      </c>
      <c r="E1265" s="40"/>
      <c r="F1265" s="40"/>
      <c r="G1265" s="40"/>
      <c r="H1265" s="40"/>
      <c r="I1265" s="40"/>
      <c r="J1265" s="40"/>
      <c r="K1265" s="40"/>
      <c r="L1265" s="40"/>
      <c r="M1265" s="40"/>
      <c r="N1265" s="40"/>
      <c r="O1265" s="40"/>
      <c r="P1265" s="40"/>
      <c r="Q1265" s="40"/>
      <c r="R1265" s="40"/>
      <c r="S1265" s="40"/>
      <c r="T1265" s="40"/>
      <c r="U1265" s="40"/>
      <c r="V1265" s="40"/>
      <c r="W1265" s="40"/>
      <c r="X1265" s="40"/>
      <c r="Y1265" s="40"/>
      <c r="Z1265" s="40"/>
    </row>
    <row r="1266">
      <c r="A1266" s="65">
        <v>46099.0</v>
      </c>
      <c r="B1266" s="66" t="s">
        <v>811</v>
      </c>
      <c r="C1266" s="67" t="s">
        <v>1709</v>
      </c>
      <c r="D1266" s="68" t="s">
        <v>827</v>
      </c>
      <c r="E1266" s="40"/>
      <c r="F1266" s="40"/>
      <c r="G1266" s="40"/>
      <c r="H1266" s="40"/>
      <c r="I1266" s="40"/>
      <c r="J1266" s="40"/>
      <c r="K1266" s="40"/>
      <c r="L1266" s="40"/>
      <c r="M1266" s="40"/>
      <c r="N1266" s="40"/>
      <c r="O1266" s="40"/>
      <c r="P1266" s="40"/>
      <c r="Q1266" s="40"/>
      <c r="R1266" s="40"/>
      <c r="S1266" s="40"/>
      <c r="T1266" s="40"/>
      <c r="U1266" s="40"/>
      <c r="V1266" s="40"/>
      <c r="W1266" s="40"/>
      <c r="X1266" s="40"/>
      <c r="Y1266" s="40"/>
      <c r="Z1266" s="40"/>
    </row>
    <row r="1267">
      <c r="A1267" s="65">
        <v>46099.0</v>
      </c>
      <c r="B1267" s="66" t="s">
        <v>811</v>
      </c>
      <c r="C1267" s="67" t="s">
        <v>1709</v>
      </c>
      <c r="D1267" s="68" t="s">
        <v>827</v>
      </c>
      <c r="E1267" s="40"/>
      <c r="F1267" s="40"/>
      <c r="G1267" s="40"/>
      <c r="H1267" s="40"/>
      <c r="I1267" s="40"/>
      <c r="J1267" s="40"/>
      <c r="K1267" s="40"/>
      <c r="L1267" s="40"/>
      <c r="M1267" s="40"/>
      <c r="N1267" s="40"/>
      <c r="O1267" s="40"/>
      <c r="P1267" s="40"/>
      <c r="Q1267" s="40"/>
      <c r="R1267" s="40"/>
      <c r="S1267" s="40"/>
      <c r="T1267" s="40"/>
      <c r="U1267" s="40"/>
      <c r="V1267" s="40"/>
      <c r="W1267" s="40"/>
      <c r="X1267" s="40"/>
      <c r="Y1267" s="40"/>
      <c r="Z1267" s="40"/>
    </row>
    <row r="1268">
      <c r="A1268" s="65">
        <v>46099.0</v>
      </c>
      <c r="B1268" s="66" t="s">
        <v>811</v>
      </c>
      <c r="C1268" s="67" t="s">
        <v>1709</v>
      </c>
      <c r="D1268" s="68" t="s">
        <v>827</v>
      </c>
      <c r="E1268" s="40"/>
      <c r="F1268" s="40"/>
      <c r="G1268" s="40"/>
      <c r="H1268" s="40"/>
      <c r="I1268" s="40"/>
      <c r="J1268" s="40"/>
      <c r="K1268" s="40"/>
      <c r="L1268" s="40"/>
      <c r="M1268" s="40"/>
      <c r="N1268" s="40"/>
      <c r="O1268" s="40"/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0"/>
    </row>
    <row r="1269">
      <c r="A1269" s="65">
        <v>46099.0</v>
      </c>
      <c r="B1269" s="66" t="s">
        <v>811</v>
      </c>
      <c r="C1269" s="67" t="s">
        <v>1710</v>
      </c>
      <c r="D1269" s="68" t="s">
        <v>827</v>
      </c>
      <c r="E1269" s="40"/>
      <c r="F1269" s="40"/>
      <c r="G1269" s="40"/>
      <c r="H1269" s="40"/>
      <c r="I1269" s="40"/>
      <c r="J1269" s="40"/>
      <c r="K1269" s="40"/>
      <c r="L1269" s="40"/>
      <c r="M1269" s="40"/>
      <c r="N1269" s="40"/>
      <c r="O1269" s="40"/>
      <c r="P1269" s="40"/>
      <c r="Q1269" s="40"/>
      <c r="R1269" s="40"/>
      <c r="S1269" s="40"/>
      <c r="T1269" s="40"/>
      <c r="U1269" s="40"/>
      <c r="V1269" s="40"/>
      <c r="W1269" s="40"/>
      <c r="X1269" s="40"/>
      <c r="Y1269" s="40"/>
      <c r="Z1269" s="40"/>
    </row>
    <row r="1270">
      <c r="A1270" s="65">
        <v>46099.0</v>
      </c>
      <c r="B1270" s="66" t="s">
        <v>811</v>
      </c>
      <c r="C1270" s="67" t="s">
        <v>1711</v>
      </c>
      <c r="D1270" s="68" t="s">
        <v>827</v>
      </c>
      <c r="E1270" s="40"/>
      <c r="F1270" s="40"/>
      <c r="G1270" s="40"/>
      <c r="H1270" s="40"/>
      <c r="I1270" s="40"/>
      <c r="J1270" s="40"/>
      <c r="K1270" s="40"/>
      <c r="L1270" s="40"/>
      <c r="M1270" s="40"/>
      <c r="N1270" s="40"/>
      <c r="O1270" s="40"/>
      <c r="P1270" s="40"/>
      <c r="Q1270" s="40"/>
      <c r="R1270" s="40"/>
      <c r="S1270" s="40"/>
      <c r="T1270" s="40"/>
      <c r="U1270" s="40"/>
      <c r="V1270" s="40"/>
      <c r="W1270" s="40"/>
      <c r="X1270" s="40"/>
      <c r="Y1270" s="40"/>
      <c r="Z1270" s="40"/>
    </row>
    <row r="1271">
      <c r="A1271" s="65">
        <v>46099.0</v>
      </c>
      <c r="B1271" s="66" t="s">
        <v>811</v>
      </c>
      <c r="C1271" s="67" t="s">
        <v>1712</v>
      </c>
      <c r="D1271" s="68" t="s">
        <v>827</v>
      </c>
      <c r="E1271" s="40"/>
      <c r="F1271" s="40"/>
      <c r="G1271" s="40"/>
      <c r="H1271" s="40"/>
      <c r="I1271" s="40"/>
      <c r="J1271" s="40"/>
      <c r="K1271" s="40"/>
      <c r="L1271" s="40"/>
      <c r="M1271" s="40"/>
      <c r="N1271" s="40"/>
      <c r="O1271" s="40"/>
      <c r="P1271" s="40"/>
      <c r="Q1271" s="40"/>
      <c r="R1271" s="40"/>
      <c r="S1271" s="40"/>
      <c r="T1271" s="40"/>
      <c r="U1271" s="40"/>
      <c r="V1271" s="40"/>
      <c r="W1271" s="40"/>
      <c r="X1271" s="40"/>
      <c r="Y1271" s="40"/>
      <c r="Z1271" s="40"/>
    </row>
    <row r="1272">
      <c r="A1272" s="65">
        <v>46099.0</v>
      </c>
      <c r="B1272" s="66" t="s">
        <v>811</v>
      </c>
      <c r="C1272" s="67" t="s">
        <v>1712</v>
      </c>
      <c r="D1272" s="68" t="s">
        <v>827</v>
      </c>
      <c r="E1272" s="40"/>
      <c r="F1272" s="40"/>
      <c r="G1272" s="40"/>
      <c r="H1272" s="40"/>
      <c r="I1272" s="40"/>
      <c r="J1272" s="40"/>
      <c r="K1272" s="40"/>
      <c r="L1272" s="40"/>
      <c r="M1272" s="40"/>
      <c r="N1272" s="40"/>
      <c r="O1272" s="40"/>
      <c r="P1272" s="40"/>
      <c r="Q1272" s="40"/>
      <c r="R1272" s="40"/>
      <c r="S1272" s="40"/>
      <c r="T1272" s="40"/>
      <c r="U1272" s="40"/>
      <c r="V1272" s="40"/>
      <c r="W1272" s="40"/>
      <c r="X1272" s="40"/>
      <c r="Y1272" s="40"/>
      <c r="Z1272" s="40"/>
    </row>
    <row r="1273">
      <c r="A1273" s="65">
        <v>46099.0</v>
      </c>
      <c r="B1273" s="66" t="s">
        <v>811</v>
      </c>
      <c r="C1273" s="67" t="s">
        <v>1713</v>
      </c>
      <c r="D1273" s="67" t="s">
        <v>1412</v>
      </c>
      <c r="E1273" s="40"/>
      <c r="F1273" s="40"/>
      <c r="G1273" s="40"/>
      <c r="H1273" s="40"/>
      <c r="I1273" s="40"/>
      <c r="J1273" s="40"/>
      <c r="K1273" s="40"/>
      <c r="L1273" s="40"/>
      <c r="M1273" s="40"/>
      <c r="N1273" s="40"/>
      <c r="O1273" s="40"/>
      <c r="P1273" s="40"/>
      <c r="Q1273" s="40"/>
      <c r="R1273" s="40"/>
      <c r="S1273" s="40"/>
      <c r="T1273" s="40"/>
      <c r="U1273" s="40"/>
      <c r="V1273" s="40"/>
      <c r="W1273" s="40"/>
      <c r="X1273" s="40"/>
      <c r="Y1273" s="40"/>
      <c r="Z1273" s="40"/>
    </row>
    <row r="1274">
      <c r="A1274" s="65">
        <v>46099.0</v>
      </c>
      <c r="B1274" s="66" t="s">
        <v>811</v>
      </c>
      <c r="C1274" s="67" t="s">
        <v>1714</v>
      </c>
      <c r="D1274" s="67" t="s">
        <v>1016</v>
      </c>
      <c r="E1274" s="40"/>
      <c r="F1274" s="40"/>
      <c r="G1274" s="40"/>
      <c r="H1274" s="40"/>
      <c r="I1274" s="40"/>
      <c r="J1274" s="40"/>
      <c r="K1274" s="40"/>
      <c r="L1274" s="40"/>
      <c r="M1274" s="40"/>
      <c r="N1274" s="40"/>
      <c r="O1274" s="40"/>
      <c r="P1274" s="40"/>
      <c r="Q1274" s="40"/>
      <c r="R1274" s="40"/>
      <c r="S1274" s="40"/>
      <c r="T1274" s="40"/>
      <c r="U1274" s="40"/>
      <c r="V1274" s="40"/>
      <c r="W1274" s="40"/>
      <c r="X1274" s="40"/>
      <c r="Y1274" s="40"/>
      <c r="Z1274" s="40"/>
    </row>
    <row r="1275">
      <c r="A1275" s="65">
        <v>46099.0</v>
      </c>
      <c r="B1275" s="66" t="s">
        <v>811</v>
      </c>
      <c r="C1275" s="67" t="s">
        <v>1714</v>
      </c>
      <c r="D1275" s="67" t="s">
        <v>1715</v>
      </c>
      <c r="E1275" s="40"/>
      <c r="F1275" s="40"/>
      <c r="G1275" s="40"/>
      <c r="H1275" s="40"/>
      <c r="I1275" s="40"/>
      <c r="J1275" s="40"/>
      <c r="K1275" s="40"/>
      <c r="L1275" s="40"/>
      <c r="M1275" s="40"/>
      <c r="N1275" s="40"/>
      <c r="O1275" s="40"/>
      <c r="P1275" s="40"/>
      <c r="Q1275" s="40"/>
      <c r="R1275" s="40"/>
      <c r="S1275" s="40"/>
      <c r="T1275" s="40"/>
      <c r="U1275" s="40"/>
      <c r="V1275" s="40"/>
      <c r="W1275" s="40"/>
      <c r="X1275" s="40"/>
      <c r="Y1275" s="40"/>
      <c r="Z1275" s="40"/>
    </row>
    <row r="1276">
      <c r="A1276" s="65">
        <v>46099.0</v>
      </c>
      <c r="B1276" s="66" t="s">
        <v>811</v>
      </c>
      <c r="C1276" s="67" t="s">
        <v>1712</v>
      </c>
      <c r="D1276" s="68" t="s">
        <v>827</v>
      </c>
      <c r="E1276" s="40"/>
      <c r="F1276" s="40"/>
      <c r="G1276" s="40"/>
      <c r="H1276" s="40"/>
      <c r="I1276" s="40"/>
      <c r="J1276" s="40"/>
      <c r="K1276" s="40"/>
      <c r="L1276" s="40"/>
      <c r="M1276" s="40"/>
      <c r="N1276" s="40"/>
      <c r="O1276" s="40"/>
      <c r="P1276" s="40"/>
      <c r="Q1276" s="40"/>
      <c r="R1276" s="40"/>
      <c r="S1276" s="40"/>
      <c r="T1276" s="40"/>
      <c r="U1276" s="40"/>
      <c r="V1276" s="40"/>
      <c r="W1276" s="40"/>
      <c r="X1276" s="40"/>
      <c r="Y1276" s="40"/>
      <c r="Z1276" s="40"/>
    </row>
    <row r="1277">
      <c r="A1277" s="65">
        <v>46099.0</v>
      </c>
      <c r="B1277" s="66" t="s">
        <v>811</v>
      </c>
      <c r="C1277" s="67" t="s">
        <v>1716</v>
      </c>
      <c r="D1277" s="67" t="s">
        <v>852</v>
      </c>
      <c r="E1277" s="40"/>
      <c r="F1277" s="40"/>
      <c r="G1277" s="40"/>
      <c r="H1277" s="40"/>
      <c r="I1277" s="40"/>
      <c r="J1277" s="40"/>
      <c r="K1277" s="40"/>
      <c r="L1277" s="40"/>
      <c r="M1277" s="40"/>
      <c r="N1277" s="40"/>
      <c r="O1277" s="40"/>
      <c r="P1277" s="40"/>
      <c r="Q1277" s="40"/>
      <c r="R1277" s="40"/>
      <c r="S1277" s="40"/>
      <c r="T1277" s="40"/>
      <c r="U1277" s="40"/>
      <c r="V1277" s="40"/>
      <c r="W1277" s="40"/>
      <c r="X1277" s="40"/>
      <c r="Y1277" s="40"/>
      <c r="Z1277" s="40"/>
    </row>
    <row r="1278">
      <c r="A1278" s="65">
        <v>46099.0</v>
      </c>
      <c r="B1278" s="66" t="s">
        <v>811</v>
      </c>
      <c r="C1278" s="67" t="s">
        <v>1716</v>
      </c>
      <c r="D1278" s="67" t="s">
        <v>852</v>
      </c>
      <c r="E1278" s="40"/>
      <c r="F1278" s="40"/>
      <c r="G1278" s="40"/>
      <c r="H1278" s="40"/>
      <c r="I1278" s="40"/>
      <c r="J1278" s="40"/>
      <c r="K1278" s="40"/>
      <c r="L1278" s="40"/>
      <c r="M1278" s="40"/>
      <c r="N1278" s="40"/>
      <c r="O1278" s="40"/>
      <c r="P1278" s="40"/>
      <c r="Q1278" s="40"/>
      <c r="R1278" s="40"/>
      <c r="S1278" s="40"/>
      <c r="T1278" s="40"/>
      <c r="U1278" s="40"/>
      <c r="V1278" s="40"/>
      <c r="W1278" s="40"/>
      <c r="X1278" s="40"/>
      <c r="Y1278" s="40"/>
      <c r="Z1278" s="40"/>
    </row>
    <row r="1279">
      <c r="A1279" s="65">
        <v>46099.0</v>
      </c>
      <c r="B1279" s="66" t="s">
        <v>811</v>
      </c>
      <c r="C1279" s="67" t="s">
        <v>1717</v>
      </c>
      <c r="D1279" s="68" t="s">
        <v>827</v>
      </c>
      <c r="E1279" s="40"/>
      <c r="F1279" s="40"/>
      <c r="G1279" s="40"/>
      <c r="H1279" s="40"/>
      <c r="I1279" s="40"/>
      <c r="J1279" s="40"/>
      <c r="K1279" s="40"/>
      <c r="L1279" s="40"/>
      <c r="M1279" s="40"/>
      <c r="N1279" s="40"/>
      <c r="O1279" s="40"/>
      <c r="P1279" s="40"/>
      <c r="Q1279" s="40"/>
      <c r="R1279" s="40"/>
      <c r="S1279" s="40"/>
      <c r="T1279" s="40"/>
      <c r="U1279" s="40"/>
      <c r="V1279" s="40"/>
      <c r="W1279" s="40"/>
      <c r="X1279" s="40"/>
      <c r="Y1279" s="40"/>
      <c r="Z1279" s="40"/>
    </row>
    <row r="1280">
      <c r="A1280" s="65">
        <v>46099.0</v>
      </c>
      <c r="B1280" s="66" t="s">
        <v>811</v>
      </c>
      <c r="C1280" s="67" t="s">
        <v>1700</v>
      </c>
      <c r="D1280" s="67" t="s">
        <v>1493</v>
      </c>
      <c r="E1280" s="40"/>
      <c r="F1280" s="40"/>
      <c r="G1280" s="40"/>
      <c r="H1280" s="40"/>
      <c r="I1280" s="40"/>
      <c r="J1280" s="40"/>
      <c r="K1280" s="40"/>
      <c r="L1280" s="40"/>
      <c r="M1280" s="40"/>
      <c r="N1280" s="40"/>
      <c r="O1280" s="40"/>
      <c r="P1280" s="40"/>
      <c r="Q1280" s="40"/>
      <c r="R1280" s="40"/>
      <c r="S1280" s="40"/>
      <c r="T1280" s="40"/>
      <c r="U1280" s="40"/>
      <c r="V1280" s="40"/>
      <c r="W1280" s="40"/>
      <c r="X1280" s="40"/>
      <c r="Y1280" s="40"/>
      <c r="Z1280" s="40"/>
    </row>
    <row r="1281">
      <c r="A1281" s="65">
        <v>46099.0</v>
      </c>
      <c r="B1281" s="66" t="s">
        <v>811</v>
      </c>
      <c r="C1281" s="67" t="s">
        <v>1718</v>
      </c>
      <c r="D1281" s="67" t="s">
        <v>1715</v>
      </c>
      <c r="E1281" s="40"/>
      <c r="F1281" s="40"/>
      <c r="G1281" s="40"/>
      <c r="H1281" s="40"/>
      <c r="I1281" s="40"/>
      <c r="J1281" s="40"/>
      <c r="K1281" s="40"/>
      <c r="L1281" s="40"/>
      <c r="M1281" s="40"/>
      <c r="N1281" s="40"/>
      <c r="O1281" s="40"/>
      <c r="P1281" s="40"/>
      <c r="Q1281" s="40"/>
      <c r="R1281" s="40"/>
      <c r="S1281" s="40"/>
      <c r="T1281" s="40"/>
      <c r="U1281" s="40"/>
      <c r="V1281" s="40"/>
      <c r="W1281" s="40"/>
      <c r="X1281" s="40"/>
      <c r="Y1281" s="40"/>
      <c r="Z1281" s="40"/>
    </row>
    <row r="1282">
      <c r="A1282" s="65">
        <v>46099.0</v>
      </c>
      <c r="B1282" s="66" t="s">
        <v>811</v>
      </c>
      <c r="C1282" s="67" t="s">
        <v>1718</v>
      </c>
      <c r="D1282" s="67" t="s">
        <v>1715</v>
      </c>
      <c r="E1282" s="40"/>
      <c r="F1282" s="40"/>
      <c r="G1282" s="40"/>
      <c r="H1282" s="40"/>
      <c r="I1282" s="40"/>
      <c r="J1282" s="40"/>
      <c r="K1282" s="40"/>
      <c r="L1282" s="40"/>
      <c r="M1282" s="40"/>
      <c r="N1282" s="40"/>
      <c r="O1282" s="40"/>
      <c r="P1282" s="40"/>
      <c r="Q1282" s="40"/>
      <c r="R1282" s="40"/>
      <c r="S1282" s="40"/>
      <c r="T1282" s="40"/>
      <c r="U1282" s="40"/>
      <c r="V1282" s="40"/>
      <c r="W1282" s="40"/>
      <c r="X1282" s="40"/>
      <c r="Y1282" s="40"/>
      <c r="Z1282" s="40"/>
    </row>
    <row r="1283">
      <c r="A1283" s="65">
        <v>46099.0</v>
      </c>
      <c r="B1283" s="66" t="s">
        <v>811</v>
      </c>
      <c r="C1283" s="68" t="s">
        <v>827</v>
      </c>
      <c r="D1283" s="67" t="s">
        <v>1719</v>
      </c>
      <c r="E1283" s="40"/>
      <c r="F1283" s="40"/>
      <c r="G1283" s="40"/>
      <c r="H1283" s="40"/>
      <c r="I1283" s="40"/>
      <c r="J1283" s="40"/>
      <c r="K1283" s="40"/>
      <c r="L1283" s="40"/>
      <c r="M1283" s="40"/>
      <c r="N1283" s="40"/>
      <c r="O1283" s="40"/>
      <c r="P1283" s="40"/>
      <c r="Q1283" s="40"/>
      <c r="R1283" s="40"/>
      <c r="S1283" s="40"/>
      <c r="T1283" s="40"/>
      <c r="U1283" s="40"/>
      <c r="V1283" s="40"/>
      <c r="W1283" s="40"/>
      <c r="X1283" s="40"/>
      <c r="Y1283" s="40"/>
      <c r="Z1283" s="40"/>
    </row>
    <row r="1284">
      <c r="A1284" s="65">
        <v>46102.0</v>
      </c>
      <c r="B1284" s="66" t="s">
        <v>810</v>
      </c>
      <c r="C1284" s="67" t="s">
        <v>1720</v>
      </c>
      <c r="D1284" s="68" t="s">
        <v>827</v>
      </c>
      <c r="E1284" s="40"/>
      <c r="F1284" s="40"/>
      <c r="G1284" s="40"/>
      <c r="H1284" s="40"/>
      <c r="I1284" s="40"/>
      <c r="J1284" s="40"/>
      <c r="K1284" s="40"/>
      <c r="L1284" s="40"/>
      <c r="M1284" s="40"/>
      <c r="N1284" s="40"/>
      <c r="O1284" s="40"/>
      <c r="P1284" s="40"/>
      <c r="Q1284" s="40"/>
      <c r="R1284" s="40"/>
      <c r="S1284" s="40"/>
      <c r="T1284" s="40"/>
      <c r="U1284" s="40"/>
      <c r="V1284" s="40"/>
      <c r="W1284" s="40"/>
      <c r="X1284" s="40"/>
      <c r="Y1284" s="40"/>
      <c r="Z1284" s="40"/>
    </row>
    <row r="1285">
      <c r="A1285" s="65">
        <v>46102.0</v>
      </c>
      <c r="B1285" s="66" t="s">
        <v>810</v>
      </c>
      <c r="C1285" s="67" t="s">
        <v>1720</v>
      </c>
      <c r="D1285" s="68" t="s">
        <v>827</v>
      </c>
      <c r="E1285" s="40"/>
      <c r="F1285" s="40"/>
      <c r="G1285" s="40"/>
      <c r="H1285" s="40"/>
      <c r="I1285" s="40"/>
      <c r="J1285" s="40"/>
      <c r="K1285" s="40"/>
      <c r="L1285" s="40"/>
      <c r="M1285" s="40"/>
      <c r="N1285" s="40"/>
      <c r="O1285" s="40"/>
      <c r="P1285" s="40"/>
      <c r="Q1285" s="40"/>
      <c r="R1285" s="40"/>
      <c r="S1285" s="40"/>
      <c r="T1285" s="40"/>
      <c r="U1285" s="40"/>
      <c r="V1285" s="40"/>
      <c r="W1285" s="40"/>
      <c r="X1285" s="40"/>
      <c r="Y1285" s="40"/>
      <c r="Z1285" s="40"/>
    </row>
    <row r="1286">
      <c r="A1286" s="65">
        <v>46102.0</v>
      </c>
      <c r="B1286" s="66" t="s">
        <v>810</v>
      </c>
      <c r="C1286" s="67" t="s">
        <v>1721</v>
      </c>
      <c r="D1286" s="68" t="s">
        <v>827</v>
      </c>
      <c r="E1286" s="40"/>
      <c r="F1286" s="40"/>
      <c r="G1286" s="40"/>
      <c r="H1286" s="40"/>
      <c r="I1286" s="40"/>
      <c r="J1286" s="40"/>
      <c r="K1286" s="40"/>
      <c r="L1286" s="40"/>
      <c r="M1286" s="40"/>
      <c r="N1286" s="40"/>
      <c r="O1286" s="40"/>
      <c r="P1286" s="40"/>
      <c r="Q1286" s="40"/>
      <c r="R1286" s="40"/>
      <c r="S1286" s="40"/>
      <c r="T1286" s="40"/>
      <c r="U1286" s="40"/>
      <c r="V1286" s="40"/>
      <c r="W1286" s="40"/>
      <c r="X1286" s="40"/>
      <c r="Y1286" s="40"/>
      <c r="Z1286" s="40"/>
    </row>
    <row r="1287">
      <c r="A1287" s="65">
        <v>46102.0</v>
      </c>
      <c r="B1287" s="66" t="s">
        <v>810</v>
      </c>
      <c r="C1287" s="67" t="s">
        <v>1722</v>
      </c>
      <c r="D1287" s="68" t="s">
        <v>827</v>
      </c>
      <c r="E1287" s="40"/>
      <c r="F1287" s="40"/>
      <c r="G1287" s="40"/>
      <c r="H1287" s="40"/>
      <c r="I1287" s="40"/>
      <c r="J1287" s="40"/>
      <c r="K1287" s="40"/>
      <c r="L1287" s="40"/>
      <c r="M1287" s="40"/>
      <c r="N1287" s="40"/>
      <c r="O1287" s="40"/>
      <c r="P1287" s="40"/>
      <c r="Q1287" s="40"/>
      <c r="R1287" s="40"/>
      <c r="S1287" s="40"/>
      <c r="T1287" s="40"/>
      <c r="U1287" s="40"/>
      <c r="V1287" s="40"/>
      <c r="W1287" s="40"/>
      <c r="X1287" s="40"/>
      <c r="Y1287" s="40"/>
      <c r="Z1287" s="40"/>
    </row>
    <row r="1288">
      <c r="A1288" s="65">
        <v>46102.0</v>
      </c>
      <c r="B1288" s="66" t="s">
        <v>810</v>
      </c>
      <c r="C1288" s="67" t="s">
        <v>1723</v>
      </c>
      <c r="D1288" s="68" t="s">
        <v>827</v>
      </c>
      <c r="E1288" s="40"/>
      <c r="F1288" s="40"/>
      <c r="G1288" s="40"/>
      <c r="H1288" s="40"/>
      <c r="I1288" s="40"/>
      <c r="J1288" s="40"/>
      <c r="K1288" s="40"/>
      <c r="L1288" s="40"/>
      <c r="M1288" s="40"/>
      <c r="N1288" s="40"/>
      <c r="O1288" s="40"/>
      <c r="P1288" s="40"/>
      <c r="Q1288" s="40"/>
      <c r="R1288" s="40"/>
      <c r="S1288" s="40"/>
      <c r="T1288" s="40"/>
      <c r="U1288" s="40"/>
      <c r="V1288" s="40"/>
      <c r="W1288" s="40"/>
      <c r="X1288" s="40"/>
      <c r="Y1288" s="40"/>
      <c r="Z1288" s="40"/>
    </row>
    <row r="1289">
      <c r="A1289" s="65">
        <v>46102.0</v>
      </c>
      <c r="B1289" s="66" t="s">
        <v>810</v>
      </c>
      <c r="C1289" s="67" t="s">
        <v>1723</v>
      </c>
      <c r="D1289" s="68" t="s">
        <v>827</v>
      </c>
      <c r="E1289" s="40"/>
      <c r="F1289" s="40"/>
      <c r="G1289" s="40"/>
      <c r="H1289" s="40"/>
      <c r="I1289" s="40"/>
      <c r="J1289" s="40"/>
      <c r="K1289" s="40"/>
      <c r="L1289" s="40"/>
      <c r="M1289" s="40"/>
      <c r="N1289" s="40"/>
      <c r="O1289" s="40"/>
      <c r="P1289" s="40"/>
      <c r="Q1289" s="40"/>
      <c r="R1289" s="40"/>
      <c r="S1289" s="40"/>
      <c r="T1289" s="40"/>
      <c r="U1289" s="40"/>
      <c r="V1289" s="40"/>
      <c r="W1289" s="40"/>
      <c r="X1289" s="40"/>
      <c r="Y1289" s="40"/>
      <c r="Z1289" s="40"/>
    </row>
    <row r="1290">
      <c r="A1290" s="65">
        <v>46102.0</v>
      </c>
      <c r="B1290" s="66" t="s">
        <v>810</v>
      </c>
      <c r="C1290" s="67" t="s">
        <v>1724</v>
      </c>
      <c r="D1290" s="68" t="s">
        <v>827</v>
      </c>
      <c r="E1290" s="40"/>
      <c r="F1290" s="40"/>
      <c r="G1290" s="40"/>
      <c r="H1290" s="40"/>
      <c r="I1290" s="40"/>
      <c r="J1290" s="40"/>
      <c r="K1290" s="40"/>
      <c r="L1290" s="40"/>
      <c r="M1290" s="40"/>
      <c r="N1290" s="40"/>
      <c r="O1290" s="40"/>
      <c r="P1290" s="40"/>
      <c r="Q1290" s="40"/>
      <c r="R1290" s="40"/>
      <c r="S1290" s="40"/>
      <c r="T1290" s="40"/>
      <c r="U1290" s="40"/>
      <c r="V1290" s="40"/>
      <c r="W1290" s="40"/>
      <c r="X1290" s="40"/>
      <c r="Y1290" s="40"/>
      <c r="Z1290" s="40"/>
    </row>
    <row r="1291">
      <c r="A1291" s="65">
        <v>46102.0</v>
      </c>
      <c r="B1291" s="66" t="s">
        <v>810</v>
      </c>
      <c r="C1291" s="67" t="s">
        <v>1723</v>
      </c>
      <c r="D1291" s="68" t="s">
        <v>827</v>
      </c>
      <c r="E1291" s="40"/>
      <c r="F1291" s="40"/>
      <c r="G1291" s="40"/>
      <c r="H1291" s="40"/>
      <c r="I1291" s="40"/>
      <c r="J1291" s="40"/>
      <c r="K1291" s="40"/>
      <c r="L1291" s="40"/>
      <c r="M1291" s="40"/>
      <c r="N1291" s="40"/>
      <c r="O1291" s="40"/>
      <c r="P1291" s="40"/>
      <c r="Q1291" s="40"/>
      <c r="R1291" s="40"/>
      <c r="S1291" s="40"/>
      <c r="T1291" s="40"/>
      <c r="U1291" s="40"/>
      <c r="V1291" s="40"/>
      <c r="W1291" s="40"/>
      <c r="X1291" s="40"/>
      <c r="Y1291" s="40"/>
      <c r="Z1291" s="40"/>
    </row>
    <row r="1292">
      <c r="A1292" s="65">
        <v>46102.0</v>
      </c>
      <c r="B1292" s="66" t="s">
        <v>810</v>
      </c>
      <c r="C1292" s="67" t="s">
        <v>1722</v>
      </c>
      <c r="D1292" s="68" t="s">
        <v>827</v>
      </c>
      <c r="E1292" s="40"/>
      <c r="F1292" s="40"/>
      <c r="G1292" s="40"/>
      <c r="H1292" s="40"/>
      <c r="I1292" s="40"/>
      <c r="J1292" s="40"/>
      <c r="K1292" s="40"/>
      <c r="L1292" s="40"/>
      <c r="M1292" s="40"/>
      <c r="N1292" s="40"/>
      <c r="O1292" s="40"/>
      <c r="P1292" s="40"/>
      <c r="Q1292" s="40"/>
      <c r="R1292" s="40"/>
      <c r="S1292" s="40"/>
      <c r="T1292" s="40"/>
      <c r="U1292" s="40"/>
      <c r="V1292" s="40"/>
      <c r="W1292" s="40"/>
      <c r="X1292" s="40"/>
      <c r="Y1292" s="40"/>
      <c r="Z1292" s="40"/>
    </row>
    <row r="1293">
      <c r="A1293" s="65">
        <v>46102.0</v>
      </c>
      <c r="B1293" s="66" t="s">
        <v>810</v>
      </c>
      <c r="C1293" s="68" t="s">
        <v>827</v>
      </c>
      <c r="D1293" s="67" t="s">
        <v>1551</v>
      </c>
      <c r="E1293" s="40"/>
      <c r="F1293" s="40"/>
      <c r="G1293" s="40"/>
      <c r="H1293" s="40"/>
      <c r="I1293" s="40"/>
      <c r="J1293" s="40"/>
      <c r="K1293" s="40"/>
      <c r="L1293" s="40"/>
      <c r="M1293" s="40"/>
      <c r="N1293" s="40"/>
      <c r="O1293" s="40"/>
      <c r="P1293" s="40"/>
      <c r="Q1293" s="40"/>
      <c r="R1293" s="40"/>
      <c r="S1293" s="40"/>
      <c r="T1293" s="40"/>
      <c r="U1293" s="40"/>
      <c r="V1293" s="40"/>
      <c r="W1293" s="40"/>
      <c r="X1293" s="40"/>
      <c r="Y1293" s="40"/>
      <c r="Z1293" s="40"/>
    </row>
    <row r="1294">
      <c r="A1294" s="65">
        <v>46102.0</v>
      </c>
      <c r="B1294" s="66" t="s">
        <v>810</v>
      </c>
      <c r="C1294" s="67" t="s">
        <v>1722</v>
      </c>
      <c r="D1294" s="67" t="s">
        <v>865</v>
      </c>
      <c r="E1294" s="40"/>
      <c r="F1294" s="40"/>
      <c r="G1294" s="40"/>
      <c r="H1294" s="40"/>
      <c r="I1294" s="40"/>
      <c r="J1294" s="40"/>
      <c r="K1294" s="40"/>
      <c r="L1294" s="40"/>
      <c r="M1294" s="40"/>
      <c r="N1294" s="40"/>
      <c r="O1294" s="40"/>
      <c r="P1294" s="40"/>
      <c r="Q1294" s="40"/>
      <c r="R1294" s="40"/>
      <c r="S1294" s="40"/>
      <c r="T1294" s="40"/>
      <c r="U1294" s="40"/>
      <c r="V1294" s="40"/>
      <c r="W1294" s="40"/>
      <c r="X1294" s="40"/>
      <c r="Y1294" s="40"/>
      <c r="Z1294" s="40"/>
    </row>
    <row r="1295">
      <c r="A1295" s="65">
        <v>46102.0</v>
      </c>
      <c r="B1295" s="66" t="s">
        <v>810</v>
      </c>
      <c r="C1295" s="67" t="s">
        <v>1725</v>
      </c>
      <c r="D1295" s="68" t="s">
        <v>827</v>
      </c>
      <c r="E1295" s="40"/>
      <c r="F1295" s="40"/>
      <c r="G1295" s="40"/>
      <c r="H1295" s="40"/>
      <c r="I1295" s="40"/>
      <c r="J1295" s="40"/>
      <c r="K1295" s="40"/>
      <c r="L1295" s="40"/>
      <c r="M1295" s="40"/>
      <c r="N1295" s="40"/>
      <c r="O1295" s="40"/>
      <c r="P1295" s="40"/>
      <c r="Q1295" s="40"/>
      <c r="R1295" s="40"/>
      <c r="S1295" s="40"/>
      <c r="T1295" s="40"/>
      <c r="U1295" s="40"/>
      <c r="V1295" s="40"/>
      <c r="W1295" s="40"/>
      <c r="X1295" s="40"/>
      <c r="Y1295" s="40"/>
      <c r="Z1295" s="40"/>
    </row>
    <row r="1296">
      <c r="A1296" s="65">
        <v>46102.0</v>
      </c>
      <c r="B1296" s="66" t="s">
        <v>810</v>
      </c>
      <c r="C1296" s="67" t="s">
        <v>1725</v>
      </c>
      <c r="D1296" s="68" t="s">
        <v>827</v>
      </c>
      <c r="E1296" s="40"/>
      <c r="F1296" s="40"/>
      <c r="G1296" s="40"/>
      <c r="H1296" s="40"/>
      <c r="I1296" s="40"/>
      <c r="J1296" s="40"/>
      <c r="K1296" s="40"/>
      <c r="L1296" s="40"/>
      <c r="M1296" s="40"/>
      <c r="N1296" s="40"/>
      <c r="O1296" s="40"/>
      <c r="P1296" s="40"/>
      <c r="Q1296" s="40"/>
      <c r="R1296" s="40"/>
      <c r="S1296" s="40"/>
      <c r="T1296" s="40"/>
      <c r="U1296" s="40"/>
      <c r="V1296" s="40"/>
      <c r="W1296" s="40"/>
      <c r="X1296" s="40"/>
      <c r="Y1296" s="40"/>
      <c r="Z1296" s="40"/>
    </row>
    <row r="1297">
      <c r="A1297" s="65">
        <v>46102.0</v>
      </c>
      <c r="B1297" s="66" t="s">
        <v>810</v>
      </c>
      <c r="C1297" s="67" t="s">
        <v>1726</v>
      </c>
      <c r="D1297" s="68" t="s">
        <v>827</v>
      </c>
      <c r="E1297" s="40"/>
      <c r="F1297" s="40"/>
      <c r="G1297" s="40"/>
      <c r="H1297" s="40"/>
      <c r="I1297" s="40"/>
      <c r="J1297" s="40"/>
      <c r="K1297" s="40"/>
      <c r="L1297" s="40"/>
      <c r="M1297" s="40"/>
      <c r="N1297" s="40"/>
      <c r="O1297" s="40"/>
      <c r="P1297" s="40"/>
      <c r="Q1297" s="40"/>
      <c r="R1297" s="40"/>
      <c r="S1297" s="40"/>
      <c r="T1297" s="40"/>
      <c r="U1297" s="40"/>
      <c r="V1297" s="40"/>
      <c r="W1297" s="40"/>
      <c r="X1297" s="40"/>
      <c r="Y1297" s="40"/>
      <c r="Z1297" s="40"/>
    </row>
    <row r="1298">
      <c r="A1298" s="65">
        <v>46102.0</v>
      </c>
      <c r="B1298" s="66" t="s">
        <v>810</v>
      </c>
      <c r="C1298" s="67" t="s">
        <v>1727</v>
      </c>
      <c r="D1298" s="68" t="s">
        <v>827</v>
      </c>
      <c r="E1298" s="40"/>
      <c r="F1298" s="40"/>
      <c r="G1298" s="40"/>
      <c r="H1298" s="40"/>
      <c r="I1298" s="40"/>
      <c r="J1298" s="40"/>
      <c r="K1298" s="40"/>
      <c r="L1298" s="40"/>
      <c r="M1298" s="40"/>
      <c r="N1298" s="40"/>
      <c r="O1298" s="40"/>
      <c r="P1298" s="40"/>
      <c r="Q1298" s="40"/>
      <c r="R1298" s="40"/>
      <c r="S1298" s="40"/>
      <c r="T1298" s="40"/>
      <c r="U1298" s="40"/>
      <c r="V1298" s="40"/>
      <c r="W1298" s="40"/>
      <c r="X1298" s="40"/>
      <c r="Y1298" s="40"/>
      <c r="Z1298" s="40"/>
    </row>
    <row r="1299">
      <c r="A1299" s="65">
        <v>46099.0</v>
      </c>
      <c r="B1299" s="66" t="s">
        <v>811</v>
      </c>
      <c r="C1299" s="67" t="s">
        <v>1277</v>
      </c>
      <c r="D1299" s="68" t="s">
        <v>827</v>
      </c>
      <c r="E1299" s="40"/>
      <c r="F1299" s="40"/>
      <c r="G1299" s="40"/>
      <c r="H1299" s="40"/>
      <c r="I1299" s="40"/>
      <c r="J1299" s="40"/>
      <c r="K1299" s="40"/>
      <c r="L1299" s="40"/>
      <c r="M1299" s="40"/>
      <c r="N1299" s="40"/>
      <c r="O1299" s="40"/>
      <c r="P1299" s="40"/>
      <c r="Q1299" s="40"/>
      <c r="R1299" s="40"/>
      <c r="S1299" s="40"/>
      <c r="T1299" s="40"/>
      <c r="U1299" s="40"/>
      <c r="V1299" s="40"/>
      <c r="W1299" s="40"/>
      <c r="X1299" s="40"/>
      <c r="Y1299" s="40"/>
      <c r="Z1299" s="40"/>
    </row>
    <row r="1300">
      <c r="A1300" s="65">
        <v>46103.0</v>
      </c>
      <c r="B1300" s="66" t="s">
        <v>810</v>
      </c>
      <c r="C1300" s="67" t="s">
        <v>1277</v>
      </c>
      <c r="D1300" s="68" t="s">
        <v>827</v>
      </c>
      <c r="E1300" s="40"/>
      <c r="F1300" s="40"/>
      <c r="G1300" s="40"/>
      <c r="H1300" s="40"/>
      <c r="I1300" s="40"/>
      <c r="J1300" s="40"/>
      <c r="K1300" s="40"/>
      <c r="L1300" s="40"/>
      <c r="M1300" s="40"/>
      <c r="N1300" s="40"/>
      <c r="O1300" s="40"/>
      <c r="P1300" s="40"/>
      <c r="Q1300" s="40"/>
      <c r="R1300" s="40"/>
      <c r="S1300" s="40"/>
      <c r="T1300" s="40"/>
      <c r="U1300" s="40"/>
      <c r="V1300" s="40"/>
      <c r="W1300" s="40"/>
      <c r="X1300" s="40"/>
      <c r="Y1300" s="40"/>
      <c r="Z1300" s="40"/>
    </row>
    <row r="1301">
      <c r="A1301" s="65">
        <v>46102.0</v>
      </c>
      <c r="B1301" s="66" t="s">
        <v>810</v>
      </c>
      <c r="C1301" s="67" t="s">
        <v>1277</v>
      </c>
      <c r="D1301" s="68" t="s">
        <v>827</v>
      </c>
      <c r="E1301" s="40"/>
      <c r="F1301" s="40"/>
      <c r="G1301" s="40"/>
      <c r="H1301" s="40"/>
      <c r="I1301" s="40"/>
      <c r="J1301" s="40"/>
      <c r="K1301" s="40"/>
      <c r="L1301" s="40"/>
      <c r="M1301" s="40"/>
      <c r="N1301" s="40"/>
      <c r="O1301" s="40"/>
      <c r="P1301" s="40"/>
      <c r="Q1301" s="40"/>
      <c r="R1301" s="40"/>
      <c r="S1301" s="40"/>
      <c r="T1301" s="40"/>
      <c r="U1301" s="40"/>
      <c r="V1301" s="40"/>
      <c r="W1301" s="40"/>
      <c r="X1301" s="40"/>
      <c r="Y1301" s="40"/>
      <c r="Z1301" s="40"/>
    </row>
    <row r="1302">
      <c r="A1302" s="65">
        <v>46095.0</v>
      </c>
      <c r="B1302" s="66" t="s">
        <v>810</v>
      </c>
      <c r="C1302" s="67" t="s">
        <v>1277</v>
      </c>
      <c r="D1302" s="68" t="s">
        <v>827</v>
      </c>
      <c r="E1302" s="40"/>
      <c r="F1302" s="40"/>
      <c r="G1302" s="40"/>
      <c r="H1302" s="40"/>
      <c r="I1302" s="40"/>
      <c r="J1302" s="40"/>
      <c r="K1302" s="40"/>
      <c r="L1302" s="40"/>
      <c r="M1302" s="40"/>
      <c r="N1302" s="40"/>
      <c r="O1302" s="40"/>
      <c r="P1302" s="40"/>
      <c r="Q1302" s="40"/>
      <c r="R1302" s="40"/>
      <c r="S1302" s="40"/>
      <c r="T1302" s="40"/>
      <c r="U1302" s="40"/>
      <c r="V1302" s="40"/>
      <c r="W1302" s="40"/>
      <c r="X1302" s="40"/>
      <c r="Y1302" s="40"/>
      <c r="Z1302" s="40"/>
    </row>
    <row r="1303">
      <c r="A1303" s="65">
        <v>46106.0</v>
      </c>
      <c r="B1303" s="66" t="s">
        <v>811</v>
      </c>
      <c r="C1303" s="67" t="s">
        <v>1728</v>
      </c>
      <c r="D1303" s="68" t="s">
        <v>827</v>
      </c>
      <c r="E1303" s="40"/>
      <c r="F1303" s="40"/>
      <c r="G1303" s="40"/>
      <c r="H1303" s="40"/>
      <c r="I1303" s="40"/>
      <c r="J1303" s="40"/>
      <c r="K1303" s="40"/>
      <c r="L1303" s="40"/>
      <c r="M1303" s="40"/>
      <c r="N1303" s="40"/>
      <c r="O1303" s="40"/>
      <c r="P1303" s="40"/>
      <c r="Q1303" s="40"/>
      <c r="R1303" s="40"/>
      <c r="S1303" s="40"/>
      <c r="T1303" s="40"/>
      <c r="U1303" s="40"/>
      <c r="V1303" s="40"/>
      <c r="W1303" s="40"/>
      <c r="X1303" s="40"/>
      <c r="Y1303" s="40"/>
      <c r="Z1303" s="40"/>
    </row>
    <row r="1304">
      <c r="A1304" s="65">
        <v>46106.0</v>
      </c>
      <c r="B1304" s="66" t="s">
        <v>811</v>
      </c>
      <c r="C1304" s="67" t="s">
        <v>1728</v>
      </c>
      <c r="D1304" s="68" t="s">
        <v>827</v>
      </c>
      <c r="E1304" s="40"/>
      <c r="F1304" s="40"/>
      <c r="G1304" s="40"/>
      <c r="H1304" s="40"/>
      <c r="I1304" s="40"/>
      <c r="J1304" s="40"/>
      <c r="K1304" s="40"/>
      <c r="L1304" s="40"/>
      <c r="M1304" s="40"/>
      <c r="N1304" s="40"/>
      <c r="O1304" s="40"/>
      <c r="P1304" s="40"/>
      <c r="Q1304" s="40"/>
      <c r="R1304" s="40"/>
      <c r="S1304" s="40"/>
      <c r="T1304" s="40"/>
      <c r="U1304" s="40"/>
      <c r="V1304" s="40"/>
      <c r="W1304" s="40"/>
      <c r="X1304" s="40"/>
      <c r="Y1304" s="40"/>
      <c r="Z1304" s="40"/>
    </row>
    <row r="1305">
      <c r="A1305" s="65">
        <v>46106.0</v>
      </c>
      <c r="B1305" s="66" t="s">
        <v>811</v>
      </c>
      <c r="C1305" s="67" t="s">
        <v>1729</v>
      </c>
      <c r="D1305" s="68" t="s">
        <v>827</v>
      </c>
      <c r="E1305" s="40"/>
      <c r="F1305" s="40"/>
      <c r="G1305" s="40"/>
      <c r="H1305" s="40"/>
      <c r="I1305" s="40"/>
      <c r="J1305" s="40"/>
      <c r="K1305" s="40"/>
      <c r="L1305" s="40"/>
      <c r="M1305" s="40"/>
      <c r="N1305" s="40"/>
      <c r="O1305" s="40"/>
      <c r="P1305" s="40"/>
      <c r="Q1305" s="40"/>
      <c r="R1305" s="40"/>
      <c r="S1305" s="40"/>
      <c r="T1305" s="40"/>
      <c r="U1305" s="40"/>
      <c r="V1305" s="40"/>
      <c r="W1305" s="40"/>
      <c r="X1305" s="40"/>
      <c r="Y1305" s="40"/>
      <c r="Z1305" s="40"/>
    </row>
    <row r="1306">
      <c r="A1306" s="65">
        <v>46106.0</v>
      </c>
      <c r="B1306" s="66" t="s">
        <v>811</v>
      </c>
      <c r="C1306" s="67" t="s">
        <v>1729</v>
      </c>
      <c r="D1306" s="68" t="s">
        <v>827</v>
      </c>
      <c r="E1306" s="40"/>
      <c r="F1306" s="40"/>
      <c r="G1306" s="40"/>
      <c r="H1306" s="40"/>
      <c r="I1306" s="40"/>
      <c r="J1306" s="40"/>
      <c r="K1306" s="40"/>
      <c r="L1306" s="40"/>
      <c r="M1306" s="40"/>
      <c r="N1306" s="40"/>
      <c r="O1306" s="40"/>
      <c r="P1306" s="40"/>
      <c r="Q1306" s="40"/>
      <c r="R1306" s="40"/>
      <c r="S1306" s="40"/>
      <c r="T1306" s="40"/>
      <c r="U1306" s="40"/>
      <c r="V1306" s="40"/>
      <c r="W1306" s="40"/>
      <c r="X1306" s="40"/>
      <c r="Y1306" s="40"/>
      <c r="Z1306" s="40"/>
    </row>
    <row r="1307">
      <c r="A1307" s="65">
        <v>46106.0</v>
      </c>
      <c r="B1307" s="66" t="s">
        <v>811</v>
      </c>
      <c r="C1307" s="67" t="s">
        <v>1730</v>
      </c>
      <c r="D1307" s="68" t="s">
        <v>827</v>
      </c>
      <c r="E1307" s="40"/>
      <c r="F1307" s="40"/>
      <c r="G1307" s="40"/>
      <c r="H1307" s="40"/>
      <c r="I1307" s="40"/>
      <c r="J1307" s="40"/>
      <c r="K1307" s="40"/>
      <c r="L1307" s="40"/>
      <c r="M1307" s="40"/>
      <c r="N1307" s="40"/>
      <c r="O1307" s="40"/>
      <c r="P1307" s="40"/>
      <c r="Q1307" s="40"/>
      <c r="R1307" s="40"/>
      <c r="S1307" s="40"/>
      <c r="T1307" s="40"/>
      <c r="U1307" s="40"/>
      <c r="V1307" s="40"/>
      <c r="W1307" s="40"/>
      <c r="X1307" s="40"/>
      <c r="Y1307" s="40"/>
      <c r="Z1307" s="40"/>
    </row>
    <row r="1308">
      <c r="A1308" s="65">
        <v>46106.0</v>
      </c>
      <c r="B1308" s="66" t="s">
        <v>811</v>
      </c>
      <c r="C1308" s="67" t="s">
        <v>1729</v>
      </c>
      <c r="D1308" s="67" t="s">
        <v>865</v>
      </c>
      <c r="E1308" s="40"/>
      <c r="F1308" s="40"/>
      <c r="G1308" s="40"/>
      <c r="H1308" s="40"/>
      <c r="I1308" s="40"/>
      <c r="J1308" s="40"/>
      <c r="K1308" s="40"/>
      <c r="L1308" s="40"/>
      <c r="M1308" s="40"/>
      <c r="N1308" s="40"/>
      <c r="O1308" s="40"/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0"/>
    </row>
    <row r="1309">
      <c r="A1309" s="65">
        <v>46106.0</v>
      </c>
      <c r="B1309" s="66" t="s">
        <v>811</v>
      </c>
      <c r="C1309" s="67" t="s">
        <v>1731</v>
      </c>
      <c r="D1309" s="68" t="s">
        <v>827</v>
      </c>
      <c r="E1309" s="40"/>
      <c r="F1309" s="40"/>
      <c r="G1309" s="40"/>
      <c r="H1309" s="40"/>
      <c r="I1309" s="40"/>
      <c r="J1309" s="40"/>
      <c r="K1309" s="40"/>
      <c r="L1309" s="40"/>
      <c r="M1309" s="40"/>
      <c r="N1309" s="40"/>
      <c r="O1309" s="40"/>
      <c r="P1309" s="40"/>
      <c r="Q1309" s="40"/>
      <c r="R1309" s="40"/>
      <c r="S1309" s="40"/>
      <c r="T1309" s="40"/>
      <c r="U1309" s="40"/>
      <c r="V1309" s="40"/>
      <c r="W1309" s="40"/>
      <c r="X1309" s="40"/>
      <c r="Y1309" s="40"/>
      <c r="Z1309" s="40"/>
    </row>
    <row r="1310">
      <c r="A1310" s="65">
        <v>46106.0</v>
      </c>
      <c r="B1310" s="66" t="s">
        <v>811</v>
      </c>
      <c r="C1310" s="67" t="s">
        <v>1732</v>
      </c>
      <c r="D1310" s="68" t="s">
        <v>827</v>
      </c>
      <c r="E1310" s="40"/>
      <c r="F1310" s="40"/>
      <c r="G1310" s="40"/>
      <c r="H1310" s="40"/>
      <c r="I1310" s="40"/>
      <c r="J1310" s="40"/>
      <c r="K1310" s="40"/>
      <c r="L1310" s="40"/>
      <c r="M1310" s="40"/>
      <c r="N1310" s="40"/>
      <c r="O1310" s="40"/>
      <c r="P1310" s="40"/>
      <c r="Q1310" s="40"/>
      <c r="R1310" s="40"/>
      <c r="S1310" s="40"/>
      <c r="T1310" s="40"/>
      <c r="U1310" s="40"/>
      <c r="V1310" s="40"/>
      <c r="W1310" s="40"/>
      <c r="X1310" s="40"/>
      <c r="Y1310" s="40"/>
      <c r="Z1310" s="40"/>
    </row>
    <row r="1311">
      <c r="A1311" s="65">
        <v>46106.0</v>
      </c>
      <c r="B1311" s="66" t="s">
        <v>811</v>
      </c>
      <c r="C1311" s="67" t="s">
        <v>1733</v>
      </c>
      <c r="D1311" s="68" t="s">
        <v>827</v>
      </c>
      <c r="E1311" s="40"/>
      <c r="F1311" s="40"/>
      <c r="G1311" s="40"/>
      <c r="H1311" s="40"/>
      <c r="I1311" s="40"/>
      <c r="J1311" s="40"/>
      <c r="K1311" s="40"/>
      <c r="L1311" s="40"/>
      <c r="M1311" s="40"/>
      <c r="N1311" s="40"/>
      <c r="O1311" s="40"/>
      <c r="P1311" s="40"/>
      <c r="Q1311" s="40"/>
      <c r="R1311" s="40"/>
      <c r="S1311" s="40"/>
      <c r="T1311" s="40"/>
      <c r="U1311" s="40"/>
      <c r="V1311" s="40"/>
      <c r="W1311" s="40"/>
      <c r="X1311" s="40"/>
      <c r="Y1311" s="40"/>
      <c r="Z1311" s="40"/>
    </row>
    <row r="1312">
      <c r="A1312" s="65">
        <v>46106.0</v>
      </c>
      <c r="B1312" s="66" t="s">
        <v>811</v>
      </c>
      <c r="C1312" s="67" t="s">
        <v>1733</v>
      </c>
      <c r="D1312" s="68" t="s">
        <v>827</v>
      </c>
      <c r="E1312" s="40"/>
      <c r="F1312" s="40"/>
      <c r="G1312" s="40"/>
      <c r="H1312" s="40"/>
      <c r="I1312" s="40"/>
      <c r="J1312" s="40"/>
      <c r="K1312" s="40"/>
      <c r="L1312" s="40"/>
      <c r="M1312" s="40"/>
      <c r="N1312" s="40"/>
      <c r="O1312" s="40"/>
      <c r="P1312" s="40"/>
      <c r="Q1312" s="40"/>
      <c r="R1312" s="40"/>
      <c r="S1312" s="40"/>
      <c r="T1312" s="40"/>
      <c r="U1312" s="40"/>
      <c r="V1312" s="40"/>
      <c r="W1312" s="40"/>
      <c r="X1312" s="40"/>
      <c r="Y1312" s="40"/>
      <c r="Z1312" s="40"/>
    </row>
    <row r="1313">
      <c r="A1313" s="65">
        <v>46106.0</v>
      </c>
      <c r="B1313" s="66" t="s">
        <v>811</v>
      </c>
      <c r="C1313" s="67" t="s">
        <v>1734</v>
      </c>
      <c r="D1313" s="68" t="s">
        <v>827</v>
      </c>
      <c r="E1313" s="40"/>
      <c r="F1313" s="40"/>
      <c r="G1313" s="40"/>
      <c r="H1313" s="40"/>
      <c r="I1313" s="40"/>
      <c r="J1313" s="40"/>
      <c r="K1313" s="40"/>
      <c r="L1313" s="40"/>
      <c r="M1313" s="40"/>
      <c r="N1313" s="40"/>
      <c r="O1313" s="40"/>
      <c r="P1313" s="40"/>
      <c r="Q1313" s="40"/>
      <c r="R1313" s="40"/>
      <c r="S1313" s="40"/>
      <c r="T1313" s="40"/>
      <c r="U1313" s="40"/>
      <c r="V1313" s="40"/>
      <c r="W1313" s="40"/>
      <c r="X1313" s="40"/>
      <c r="Y1313" s="40"/>
      <c r="Z1313" s="40"/>
    </row>
    <row r="1314">
      <c r="A1314" s="65">
        <v>46106.0</v>
      </c>
      <c r="B1314" s="66" t="s">
        <v>811</v>
      </c>
      <c r="C1314" s="67" t="s">
        <v>1734</v>
      </c>
      <c r="D1314" s="68" t="s">
        <v>827</v>
      </c>
      <c r="E1314" s="40"/>
      <c r="F1314" s="40"/>
      <c r="G1314" s="40"/>
      <c r="H1314" s="40"/>
      <c r="I1314" s="40"/>
      <c r="J1314" s="40"/>
      <c r="K1314" s="40"/>
      <c r="L1314" s="40"/>
      <c r="M1314" s="40"/>
      <c r="N1314" s="40"/>
      <c r="O1314" s="40"/>
      <c r="P1314" s="40"/>
      <c r="Q1314" s="40"/>
      <c r="R1314" s="40"/>
      <c r="S1314" s="40"/>
      <c r="T1314" s="40"/>
      <c r="U1314" s="40"/>
      <c r="V1314" s="40"/>
      <c r="W1314" s="40"/>
      <c r="X1314" s="40"/>
      <c r="Y1314" s="40"/>
      <c r="Z1314" s="40"/>
    </row>
    <row r="1315">
      <c r="A1315" s="65">
        <v>46106.0</v>
      </c>
      <c r="B1315" s="66" t="s">
        <v>811</v>
      </c>
      <c r="C1315" s="67" t="s">
        <v>1735</v>
      </c>
      <c r="D1315" s="68" t="s">
        <v>827</v>
      </c>
      <c r="E1315" s="40"/>
      <c r="F1315" s="40"/>
      <c r="G1315" s="40"/>
      <c r="H1315" s="40"/>
      <c r="I1315" s="40"/>
      <c r="J1315" s="40"/>
      <c r="K1315" s="40"/>
      <c r="L1315" s="40"/>
      <c r="M1315" s="40"/>
      <c r="N1315" s="40"/>
      <c r="O1315" s="40"/>
      <c r="P1315" s="40"/>
      <c r="Q1315" s="40"/>
      <c r="R1315" s="40"/>
      <c r="S1315" s="40"/>
      <c r="T1315" s="40"/>
      <c r="U1315" s="40"/>
      <c r="V1315" s="40"/>
      <c r="W1315" s="40"/>
      <c r="X1315" s="40"/>
      <c r="Y1315" s="40"/>
      <c r="Z1315" s="40"/>
    </row>
    <row r="1316">
      <c r="A1316" s="65">
        <v>46106.0</v>
      </c>
      <c r="B1316" s="66" t="s">
        <v>811</v>
      </c>
      <c r="C1316" s="67" t="s">
        <v>1735</v>
      </c>
      <c r="D1316" s="68" t="s">
        <v>827</v>
      </c>
      <c r="E1316" s="40"/>
      <c r="F1316" s="40"/>
      <c r="G1316" s="40"/>
      <c r="H1316" s="40"/>
      <c r="I1316" s="40"/>
      <c r="J1316" s="40"/>
      <c r="K1316" s="40"/>
      <c r="L1316" s="40"/>
      <c r="M1316" s="40"/>
      <c r="N1316" s="40"/>
      <c r="O1316" s="40"/>
      <c r="P1316" s="40"/>
      <c r="Q1316" s="40"/>
      <c r="R1316" s="40"/>
      <c r="S1316" s="40"/>
      <c r="T1316" s="40"/>
      <c r="U1316" s="40"/>
      <c r="V1316" s="40"/>
      <c r="W1316" s="40"/>
      <c r="X1316" s="40"/>
      <c r="Y1316" s="40"/>
      <c r="Z1316" s="40"/>
    </row>
    <row r="1317">
      <c r="A1317" s="65">
        <v>46106.0</v>
      </c>
      <c r="B1317" s="66" t="s">
        <v>811</v>
      </c>
      <c r="C1317" s="67" t="s">
        <v>1733</v>
      </c>
      <c r="D1317" s="68" t="s">
        <v>827</v>
      </c>
      <c r="E1317" s="40"/>
      <c r="F1317" s="40"/>
      <c r="G1317" s="40"/>
      <c r="H1317" s="40"/>
      <c r="I1317" s="40"/>
      <c r="J1317" s="40"/>
      <c r="K1317" s="40"/>
      <c r="L1317" s="40"/>
      <c r="M1317" s="40"/>
      <c r="N1317" s="40"/>
      <c r="O1317" s="40"/>
      <c r="P1317" s="40"/>
      <c r="Q1317" s="40"/>
      <c r="R1317" s="40"/>
      <c r="S1317" s="40"/>
      <c r="T1317" s="40"/>
      <c r="U1317" s="40"/>
      <c r="V1317" s="40"/>
      <c r="W1317" s="40"/>
      <c r="X1317" s="40"/>
      <c r="Y1317" s="40"/>
      <c r="Z1317" s="40"/>
    </row>
    <row r="1318">
      <c r="A1318" s="65">
        <v>46106.0</v>
      </c>
      <c r="B1318" s="66" t="s">
        <v>811</v>
      </c>
      <c r="C1318" s="67" t="s">
        <v>1736</v>
      </c>
      <c r="D1318" s="68" t="s">
        <v>827</v>
      </c>
      <c r="E1318" s="40"/>
      <c r="F1318" s="40"/>
      <c r="G1318" s="40"/>
      <c r="H1318" s="40"/>
      <c r="I1318" s="40"/>
      <c r="J1318" s="40"/>
      <c r="K1318" s="40"/>
      <c r="L1318" s="40"/>
      <c r="M1318" s="40"/>
      <c r="N1318" s="40"/>
      <c r="O1318" s="40"/>
      <c r="P1318" s="40"/>
      <c r="Q1318" s="40"/>
      <c r="R1318" s="40"/>
      <c r="S1318" s="40"/>
      <c r="T1318" s="40"/>
      <c r="U1318" s="40"/>
      <c r="V1318" s="40"/>
      <c r="W1318" s="40"/>
      <c r="X1318" s="40"/>
      <c r="Y1318" s="40"/>
      <c r="Z1318" s="40"/>
    </row>
    <row r="1319">
      <c r="A1319" s="65">
        <v>46106.0</v>
      </c>
      <c r="B1319" s="66" t="s">
        <v>811</v>
      </c>
      <c r="C1319" s="68" t="s">
        <v>827</v>
      </c>
      <c r="D1319" s="67" t="s">
        <v>1737</v>
      </c>
      <c r="E1319" s="40"/>
      <c r="F1319" s="40"/>
      <c r="G1319" s="40"/>
      <c r="H1319" s="40"/>
      <c r="I1319" s="40"/>
      <c r="J1319" s="40"/>
      <c r="K1319" s="40"/>
      <c r="L1319" s="40"/>
      <c r="M1319" s="40"/>
      <c r="N1319" s="40"/>
      <c r="O1319" s="40"/>
      <c r="P1319" s="40"/>
      <c r="Q1319" s="40"/>
      <c r="R1319" s="40"/>
      <c r="S1319" s="40"/>
      <c r="T1319" s="40"/>
      <c r="U1319" s="40"/>
      <c r="V1319" s="40"/>
      <c r="W1319" s="40"/>
      <c r="X1319" s="40"/>
      <c r="Y1319" s="40"/>
      <c r="Z1319" s="40"/>
    </row>
    <row r="1320">
      <c r="A1320" s="65">
        <v>46106.0</v>
      </c>
      <c r="B1320" s="66" t="s">
        <v>811</v>
      </c>
      <c r="C1320" s="68" t="s">
        <v>827</v>
      </c>
      <c r="D1320" s="67" t="s">
        <v>1737</v>
      </c>
      <c r="E1320" s="40"/>
      <c r="F1320" s="40"/>
      <c r="G1320" s="40"/>
      <c r="H1320" s="40"/>
      <c r="I1320" s="40"/>
      <c r="J1320" s="40"/>
      <c r="K1320" s="40"/>
      <c r="L1320" s="40"/>
      <c r="M1320" s="40"/>
      <c r="N1320" s="40"/>
      <c r="O1320" s="40"/>
      <c r="P1320" s="40"/>
      <c r="Q1320" s="40"/>
      <c r="R1320" s="40"/>
      <c r="S1320" s="40"/>
      <c r="T1320" s="40"/>
      <c r="U1320" s="40"/>
      <c r="V1320" s="40"/>
      <c r="W1320" s="40"/>
      <c r="X1320" s="40"/>
      <c r="Y1320" s="40"/>
      <c r="Z1320" s="40"/>
    </row>
    <row r="1321">
      <c r="A1321" s="65">
        <v>46107.0</v>
      </c>
      <c r="B1321" s="66" t="s">
        <v>811</v>
      </c>
      <c r="C1321" s="68" t="s">
        <v>827</v>
      </c>
      <c r="D1321" s="67" t="s">
        <v>1738</v>
      </c>
      <c r="E1321" s="40"/>
      <c r="F1321" s="40"/>
      <c r="G1321" s="40"/>
      <c r="H1321" s="40"/>
      <c r="I1321" s="40"/>
      <c r="J1321" s="40"/>
      <c r="K1321" s="40"/>
      <c r="L1321" s="40"/>
      <c r="M1321" s="40"/>
      <c r="N1321" s="40"/>
      <c r="O1321" s="40"/>
      <c r="P1321" s="40"/>
      <c r="Q1321" s="40"/>
      <c r="R1321" s="40"/>
      <c r="S1321" s="40"/>
      <c r="T1321" s="40"/>
      <c r="U1321" s="40"/>
      <c r="V1321" s="40"/>
      <c r="W1321" s="40"/>
      <c r="X1321" s="40"/>
      <c r="Y1321" s="40"/>
      <c r="Z1321" s="40"/>
    </row>
    <row r="1322">
      <c r="A1322" s="65">
        <v>46109.0</v>
      </c>
      <c r="B1322" s="66" t="s">
        <v>810</v>
      </c>
      <c r="C1322" s="67" t="s">
        <v>1739</v>
      </c>
      <c r="D1322" s="68" t="s">
        <v>827</v>
      </c>
      <c r="E1322" s="40"/>
      <c r="F1322" s="40"/>
      <c r="G1322" s="40"/>
      <c r="H1322" s="40"/>
      <c r="I1322" s="40"/>
      <c r="J1322" s="40"/>
      <c r="K1322" s="40"/>
      <c r="L1322" s="40"/>
      <c r="M1322" s="40"/>
      <c r="N1322" s="40"/>
      <c r="O1322" s="40"/>
      <c r="P1322" s="40"/>
      <c r="Q1322" s="40"/>
      <c r="R1322" s="40"/>
      <c r="S1322" s="40"/>
      <c r="T1322" s="40"/>
      <c r="U1322" s="40"/>
      <c r="V1322" s="40"/>
      <c r="W1322" s="40"/>
      <c r="X1322" s="40"/>
      <c r="Y1322" s="40"/>
      <c r="Z1322" s="40"/>
    </row>
    <row r="1323">
      <c r="A1323" s="65">
        <v>46109.0</v>
      </c>
      <c r="B1323" s="66" t="s">
        <v>810</v>
      </c>
      <c r="C1323" s="67" t="s">
        <v>1740</v>
      </c>
      <c r="D1323" s="67" t="s">
        <v>1662</v>
      </c>
      <c r="E1323" s="40"/>
      <c r="F1323" s="40"/>
      <c r="G1323" s="40"/>
      <c r="H1323" s="40"/>
      <c r="I1323" s="40"/>
      <c r="J1323" s="40"/>
      <c r="K1323" s="40"/>
      <c r="L1323" s="40"/>
      <c r="M1323" s="40"/>
      <c r="N1323" s="40"/>
      <c r="O1323" s="40"/>
      <c r="P1323" s="40"/>
      <c r="Q1323" s="40"/>
      <c r="R1323" s="40"/>
      <c r="S1323" s="40"/>
      <c r="T1323" s="40"/>
      <c r="U1323" s="40"/>
      <c r="V1323" s="40"/>
      <c r="W1323" s="40"/>
      <c r="X1323" s="40"/>
      <c r="Y1323" s="40"/>
      <c r="Z1323" s="40"/>
    </row>
    <row r="1324">
      <c r="A1324" s="65">
        <v>46109.0</v>
      </c>
      <c r="B1324" s="66" t="s">
        <v>810</v>
      </c>
      <c r="C1324" s="67" t="s">
        <v>1740</v>
      </c>
      <c r="D1324" s="67" t="s">
        <v>1662</v>
      </c>
      <c r="E1324" s="40"/>
      <c r="F1324" s="40"/>
      <c r="G1324" s="40"/>
      <c r="H1324" s="40"/>
      <c r="I1324" s="40"/>
      <c r="J1324" s="40"/>
      <c r="K1324" s="40"/>
      <c r="L1324" s="40"/>
      <c r="M1324" s="40"/>
      <c r="N1324" s="40"/>
      <c r="O1324" s="40"/>
      <c r="P1324" s="40"/>
      <c r="Q1324" s="40"/>
      <c r="R1324" s="40"/>
      <c r="S1324" s="40"/>
      <c r="T1324" s="40"/>
      <c r="U1324" s="40"/>
      <c r="V1324" s="40"/>
      <c r="W1324" s="40"/>
      <c r="X1324" s="40"/>
      <c r="Y1324" s="40"/>
      <c r="Z1324" s="40"/>
    </row>
    <row r="1325">
      <c r="A1325" s="65">
        <v>46109.0</v>
      </c>
      <c r="B1325" s="66" t="s">
        <v>810</v>
      </c>
      <c r="C1325" s="67" t="s">
        <v>1741</v>
      </c>
      <c r="D1325" s="67" t="s">
        <v>1493</v>
      </c>
      <c r="E1325" s="40"/>
      <c r="F1325" s="40"/>
      <c r="G1325" s="40"/>
      <c r="H1325" s="40"/>
      <c r="I1325" s="40"/>
      <c r="J1325" s="40"/>
      <c r="K1325" s="40"/>
      <c r="L1325" s="40"/>
      <c r="M1325" s="40"/>
      <c r="N1325" s="40"/>
      <c r="O1325" s="40"/>
      <c r="P1325" s="40"/>
      <c r="Q1325" s="40"/>
      <c r="R1325" s="40"/>
      <c r="S1325" s="40"/>
      <c r="T1325" s="40"/>
      <c r="U1325" s="40"/>
      <c r="V1325" s="40"/>
      <c r="W1325" s="40"/>
      <c r="X1325" s="40"/>
      <c r="Y1325" s="40"/>
      <c r="Z1325" s="40"/>
    </row>
    <row r="1326">
      <c r="A1326" s="65">
        <v>46109.0</v>
      </c>
      <c r="B1326" s="66" t="s">
        <v>810</v>
      </c>
      <c r="C1326" s="67" t="s">
        <v>1742</v>
      </c>
      <c r="D1326" s="67" t="s">
        <v>1743</v>
      </c>
      <c r="E1326" s="40"/>
      <c r="F1326" s="40"/>
      <c r="G1326" s="40"/>
      <c r="H1326" s="40"/>
      <c r="I1326" s="40"/>
      <c r="J1326" s="40"/>
      <c r="K1326" s="40"/>
      <c r="L1326" s="40"/>
      <c r="M1326" s="40"/>
      <c r="N1326" s="40"/>
      <c r="O1326" s="40"/>
      <c r="P1326" s="40"/>
      <c r="Q1326" s="40"/>
      <c r="R1326" s="40"/>
      <c r="S1326" s="40"/>
      <c r="T1326" s="40"/>
      <c r="U1326" s="40"/>
      <c r="V1326" s="40"/>
      <c r="W1326" s="40"/>
      <c r="X1326" s="40"/>
      <c r="Y1326" s="40"/>
      <c r="Z1326" s="40"/>
    </row>
    <row r="1327">
      <c r="A1327" s="65">
        <v>46109.0</v>
      </c>
      <c r="B1327" s="66" t="s">
        <v>810</v>
      </c>
      <c r="C1327" s="67" t="s">
        <v>1742</v>
      </c>
      <c r="D1327" s="67" t="s">
        <v>1743</v>
      </c>
      <c r="E1327" s="40"/>
      <c r="F1327" s="40"/>
      <c r="G1327" s="40"/>
      <c r="H1327" s="40"/>
      <c r="I1327" s="40"/>
      <c r="J1327" s="40"/>
      <c r="K1327" s="40"/>
      <c r="L1327" s="40"/>
      <c r="M1327" s="40"/>
      <c r="N1327" s="40"/>
      <c r="O1327" s="40"/>
      <c r="P1327" s="40"/>
      <c r="Q1327" s="40"/>
      <c r="R1327" s="40"/>
      <c r="S1327" s="40"/>
      <c r="T1327" s="40"/>
      <c r="U1327" s="40"/>
      <c r="V1327" s="40"/>
      <c r="W1327" s="40"/>
      <c r="X1327" s="40"/>
      <c r="Y1327" s="40"/>
      <c r="Z1327" s="40"/>
    </row>
    <row r="1328">
      <c r="A1328" s="65">
        <v>46109.0</v>
      </c>
      <c r="B1328" s="66" t="s">
        <v>810</v>
      </c>
      <c r="C1328" s="67" t="s">
        <v>1742</v>
      </c>
      <c r="D1328" s="67" t="s">
        <v>1743</v>
      </c>
      <c r="E1328" s="40"/>
      <c r="F1328" s="40"/>
      <c r="G1328" s="40"/>
      <c r="H1328" s="40"/>
      <c r="I1328" s="40"/>
      <c r="J1328" s="40"/>
      <c r="K1328" s="40"/>
      <c r="L1328" s="40"/>
      <c r="M1328" s="40"/>
      <c r="N1328" s="40"/>
      <c r="O1328" s="40"/>
      <c r="P1328" s="40"/>
      <c r="Q1328" s="40"/>
      <c r="R1328" s="40"/>
      <c r="S1328" s="40"/>
      <c r="T1328" s="40"/>
      <c r="U1328" s="40"/>
      <c r="V1328" s="40"/>
      <c r="W1328" s="40"/>
      <c r="X1328" s="40"/>
      <c r="Y1328" s="40"/>
      <c r="Z1328" s="40"/>
    </row>
    <row r="1329">
      <c r="A1329" s="65">
        <v>46109.0</v>
      </c>
      <c r="B1329" s="66" t="s">
        <v>810</v>
      </c>
      <c r="C1329" s="67" t="s">
        <v>1744</v>
      </c>
      <c r="D1329" s="68" t="s">
        <v>827</v>
      </c>
      <c r="E1329" s="40"/>
      <c r="F1329" s="40"/>
      <c r="G1329" s="40"/>
      <c r="H1329" s="40"/>
      <c r="I1329" s="40"/>
      <c r="J1329" s="40"/>
      <c r="K1329" s="40"/>
      <c r="L1329" s="40"/>
      <c r="M1329" s="40"/>
      <c r="N1329" s="40"/>
      <c r="O1329" s="40"/>
      <c r="P1329" s="40"/>
      <c r="Q1329" s="40"/>
      <c r="R1329" s="40"/>
      <c r="S1329" s="40"/>
      <c r="T1329" s="40"/>
      <c r="U1329" s="40"/>
      <c r="V1329" s="40"/>
      <c r="W1329" s="40"/>
      <c r="X1329" s="40"/>
      <c r="Y1329" s="40"/>
      <c r="Z1329" s="40"/>
    </row>
    <row r="1330">
      <c r="A1330" s="65">
        <v>46109.0</v>
      </c>
      <c r="B1330" s="66" t="s">
        <v>810</v>
      </c>
      <c r="C1330" s="67" t="s">
        <v>1744</v>
      </c>
      <c r="D1330" s="68" t="s">
        <v>827</v>
      </c>
      <c r="E1330" s="40"/>
      <c r="F1330" s="40"/>
      <c r="G1330" s="40"/>
      <c r="H1330" s="40"/>
      <c r="I1330" s="40"/>
      <c r="J1330" s="40"/>
      <c r="K1330" s="40"/>
      <c r="L1330" s="40"/>
      <c r="M1330" s="40"/>
      <c r="N1330" s="40"/>
      <c r="O1330" s="40"/>
      <c r="P1330" s="40"/>
      <c r="Q1330" s="40"/>
      <c r="R1330" s="40"/>
      <c r="S1330" s="40"/>
      <c r="T1330" s="40"/>
      <c r="U1330" s="40"/>
      <c r="V1330" s="40"/>
      <c r="W1330" s="40"/>
      <c r="X1330" s="40"/>
      <c r="Y1330" s="40"/>
      <c r="Z1330" s="40"/>
    </row>
    <row r="1331">
      <c r="A1331" s="65">
        <v>46109.0</v>
      </c>
      <c r="B1331" s="66" t="s">
        <v>810</v>
      </c>
      <c r="C1331" s="67" t="s">
        <v>1745</v>
      </c>
      <c r="D1331" s="67" t="s">
        <v>865</v>
      </c>
      <c r="E1331" s="40"/>
      <c r="F1331" s="40"/>
      <c r="G1331" s="40"/>
      <c r="H1331" s="40"/>
      <c r="I1331" s="40"/>
      <c r="J1331" s="40"/>
      <c r="K1331" s="40"/>
      <c r="L1331" s="40"/>
      <c r="M1331" s="40"/>
      <c r="N1331" s="40"/>
      <c r="O1331" s="40"/>
      <c r="P1331" s="40"/>
      <c r="Q1331" s="40"/>
      <c r="R1331" s="40"/>
      <c r="S1331" s="40"/>
      <c r="T1331" s="40"/>
      <c r="U1331" s="40"/>
      <c r="V1331" s="40"/>
      <c r="W1331" s="40"/>
      <c r="X1331" s="40"/>
      <c r="Y1331" s="40"/>
      <c r="Z1331" s="40"/>
    </row>
    <row r="1332">
      <c r="A1332" s="65">
        <v>46109.0</v>
      </c>
      <c r="B1332" s="66" t="s">
        <v>810</v>
      </c>
      <c r="C1332" s="67" t="s">
        <v>1745</v>
      </c>
      <c r="D1332" s="67" t="s">
        <v>865</v>
      </c>
      <c r="E1332" s="40"/>
      <c r="F1332" s="40"/>
      <c r="G1332" s="40"/>
      <c r="H1332" s="40"/>
      <c r="I1332" s="40"/>
      <c r="J1332" s="40"/>
      <c r="K1332" s="40"/>
      <c r="L1332" s="40"/>
      <c r="M1332" s="40"/>
      <c r="N1332" s="40"/>
      <c r="O1332" s="40"/>
      <c r="P1332" s="40"/>
      <c r="Q1332" s="40"/>
      <c r="R1332" s="40"/>
      <c r="S1332" s="40"/>
      <c r="T1332" s="40"/>
      <c r="U1332" s="40"/>
      <c r="V1332" s="40"/>
      <c r="W1332" s="40"/>
      <c r="X1332" s="40"/>
      <c r="Y1332" s="40"/>
      <c r="Z1332" s="40"/>
    </row>
    <row r="1333">
      <c r="A1333" s="65">
        <v>46109.0</v>
      </c>
      <c r="B1333" s="66" t="s">
        <v>810</v>
      </c>
      <c r="C1333" s="67" t="s">
        <v>1746</v>
      </c>
      <c r="D1333" s="68" t="s">
        <v>827</v>
      </c>
      <c r="E1333" s="40"/>
      <c r="F1333" s="40"/>
      <c r="G1333" s="40"/>
      <c r="H1333" s="40"/>
      <c r="I1333" s="40"/>
      <c r="J1333" s="40"/>
      <c r="K1333" s="40"/>
      <c r="L1333" s="40"/>
      <c r="M1333" s="40"/>
      <c r="N1333" s="40"/>
      <c r="O1333" s="40"/>
      <c r="P1333" s="40"/>
      <c r="Q1333" s="40"/>
      <c r="R1333" s="40"/>
      <c r="S1333" s="40"/>
      <c r="T1333" s="40"/>
      <c r="U1333" s="40"/>
      <c r="V1333" s="40"/>
      <c r="W1333" s="40"/>
      <c r="X1333" s="40"/>
      <c r="Y1333" s="40"/>
      <c r="Z1333" s="40"/>
    </row>
    <row r="1334">
      <c r="A1334" s="65">
        <v>46109.0</v>
      </c>
      <c r="B1334" s="66" t="s">
        <v>810</v>
      </c>
      <c r="C1334" s="67" t="s">
        <v>1747</v>
      </c>
      <c r="D1334" s="68" t="s">
        <v>827</v>
      </c>
      <c r="E1334" s="40"/>
      <c r="F1334" s="40"/>
      <c r="G1334" s="40"/>
      <c r="H1334" s="40"/>
      <c r="I1334" s="40"/>
      <c r="J1334" s="40"/>
      <c r="K1334" s="40"/>
      <c r="L1334" s="40"/>
      <c r="M1334" s="40"/>
      <c r="N1334" s="40"/>
      <c r="O1334" s="40"/>
      <c r="P1334" s="40"/>
      <c r="Q1334" s="40"/>
      <c r="R1334" s="40"/>
      <c r="S1334" s="40"/>
      <c r="T1334" s="40"/>
      <c r="U1334" s="40"/>
      <c r="V1334" s="40"/>
      <c r="W1334" s="40"/>
      <c r="X1334" s="40"/>
      <c r="Y1334" s="40"/>
      <c r="Z1334" s="40"/>
    </row>
    <row r="1335">
      <c r="A1335" s="65">
        <v>46116.0</v>
      </c>
      <c r="B1335" s="66" t="s">
        <v>810</v>
      </c>
      <c r="C1335" s="67" t="s">
        <v>1748</v>
      </c>
      <c r="D1335" s="68" t="s">
        <v>827</v>
      </c>
      <c r="E1335" s="40"/>
      <c r="F1335" s="40"/>
      <c r="G1335" s="40"/>
      <c r="H1335" s="40"/>
      <c r="I1335" s="40"/>
      <c r="J1335" s="40"/>
      <c r="K1335" s="40"/>
      <c r="L1335" s="40"/>
      <c r="M1335" s="40"/>
      <c r="N1335" s="40"/>
      <c r="O1335" s="40"/>
      <c r="P1335" s="40"/>
      <c r="Q1335" s="40"/>
      <c r="R1335" s="40"/>
      <c r="S1335" s="40"/>
      <c r="T1335" s="40"/>
      <c r="U1335" s="40"/>
      <c r="V1335" s="40"/>
      <c r="W1335" s="40"/>
      <c r="X1335" s="40"/>
      <c r="Y1335" s="40"/>
      <c r="Z1335" s="40"/>
    </row>
    <row r="1336">
      <c r="A1336" s="65">
        <v>46116.0</v>
      </c>
      <c r="B1336" s="66" t="s">
        <v>810</v>
      </c>
      <c r="C1336" s="67" t="s">
        <v>1749</v>
      </c>
      <c r="D1336" s="68" t="s">
        <v>827</v>
      </c>
      <c r="E1336" s="40"/>
      <c r="F1336" s="40"/>
      <c r="G1336" s="40"/>
      <c r="H1336" s="40"/>
      <c r="I1336" s="40"/>
      <c r="J1336" s="40"/>
      <c r="K1336" s="40"/>
      <c r="L1336" s="40"/>
      <c r="M1336" s="40"/>
      <c r="N1336" s="40"/>
      <c r="O1336" s="40"/>
      <c r="P1336" s="40"/>
      <c r="Q1336" s="40"/>
      <c r="R1336" s="40"/>
      <c r="S1336" s="40"/>
      <c r="T1336" s="40"/>
      <c r="U1336" s="40"/>
      <c r="V1336" s="40"/>
      <c r="W1336" s="40"/>
      <c r="X1336" s="40"/>
      <c r="Y1336" s="40"/>
      <c r="Z1336" s="40"/>
    </row>
    <row r="1337">
      <c r="A1337" s="65">
        <v>46116.0</v>
      </c>
      <c r="B1337" s="66" t="s">
        <v>810</v>
      </c>
      <c r="C1337" s="67" t="s">
        <v>1750</v>
      </c>
      <c r="D1337" s="68" t="s">
        <v>827</v>
      </c>
      <c r="E1337" s="40"/>
      <c r="F1337" s="40"/>
      <c r="G1337" s="40"/>
      <c r="H1337" s="40"/>
      <c r="I1337" s="40"/>
      <c r="J1337" s="40"/>
      <c r="K1337" s="40"/>
      <c r="L1337" s="40"/>
      <c r="M1337" s="40"/>
      <c r="N1337" s="40"/>
      <c r="O1337" s="40"/>
      <c r="P1337" s="40"/>
      <c r="Q1337" s="40"/>
      <c r="R1337" s="40"/>
      <c r="S1337" s="40"/>
      <c r="T1337" s="40"/>
      <c r="U1337" s="40"/>
      <c r="V1337" s="40"/>
      <c r="W1337" s="40"/>
      <c r="X1337" s="40"/>
      <c r="Y1337" s="40"/>
      <c r="Z1337" s="40"/>
    </row>
    <row r="1338">
      <c r="A1338" s="65">
        <v>46116.0</v>
      </c>
      <c r="B1338" s="66" t="s">
        <v>810</v>
      </c>
      <c r="C1338" s="67" t="s">
        <v>1745</v>
      </c>
      <c r="D1338" s="68" t="s">
        <v>827</v>
      </c>
      <c r="E1338" s="40"/>
      <c r="F1338" s="40"/>
      <c r="G1338" s="40"/>
      <c r="H1338" s="40"/>
      <c r="I1338" s="40"/>
      <c r="J1338" s="40"/>
      <c r="K1338" s="40"/>
      <c r="L1338" s="40"/>
      <c r="M1338" s="40"/>
      <c r="N1338" s="40"/>
      <c r="O1338" s="40"/>
      <c r="P1338" s="40"/>
      <c r="Q1338" s="40"/>
      <c r="R1338" s="40"/>
      <c r="S1338" s="40"/>
      <c r="T1338" s="40"/>
      <c r="U1338" s="40"/>
      <c r="V1338" s="40"/>
      <c r="W1338" s="40"/>
      <c r="X1338" s="40"/>
      <c r="Y1338" s="40"/>
      <c r="Z1338" s="40"/>
    </row>
    <row r="1339">
      <c r="A1339" s="65">
        <v>46116.0</v>
      </c>
      <c r="B1339" s="66" t="s">
        <v>810</v>
      </c>
      <c r="C1339" s="67" t="s">
        <v>1751</v>
      </c>
      <c r="D1339" s="67" t="s">
        <v>1752</v>
      </c>
      <c r="E1339" s="40"/>
      <c r="F1339" s="40"/>
      <c r="G1339" s="40"/>
      <c r="H1339" s="40"/>
      <c r="I1339" s="40"/>
      <c r="J1339" s="40"/>
      <c r="K1339" s="40"/>
      <c r="L1339" s="40"/>
      <c r="M1339" s="40"/>
      <c r="N1339" s="40"/>
      <c r="O1339" s="40"/>
      <c r="P1339" s="40"/>
      <c r="Q1339" s="40"/>
      <c r="R1339" s="40"/>
      <c r="S1339" s="40"/>
      <c r="T1339" s="40"/>
      <c r="U1339" s="40"/>
      <c r="V1339" s="40"/>
      <c r="W1339" s="40"/>
      <c r="X1339" s="40"/>
      <c r="Y1339" s="40"/>
      <c r="Z1339" s="40"/>
    </row>
    <row r="1340">
      <c r="A1340" s="65">
        <v>46116.0</v>
      </c>
      <c r="B1340" s="66" t="s">
        <v>810</v>
      </c>
      <c r="C1340" s="67" t="s">
        <v>1753</v>
      </c>
      <c r="D1340" s="68" t="s">
        <v>827</v>
      </c>
      <c r="E1340" s="40"/>
      <c r="F1340" s="40"/>
      <c r="G1340" s="40"/>
      <c r="H1340" s="40"/>
      <c r="I1340" s="40"/>
      <c r="J1340" s="40"/>
      <c r="K1340" s="40"/>
      <c r="L1340" s="40"/>
      <c r="M1340" s="40"/>
      <c r="N1340" s="40"/>
      <c r="O1340" s="40"/>
      <c r="P1340" s="40"/>
      <c r="Q1340" s="40"/>
      <c r="R1340" s="40"/>
      <c r="S1340" s="40"/>
      <c r="T1340" s="40"/>
      <c r="U1340" s="40"/>
      <c r="V1340" s="40"/>
      <c r="W1340" s="40"/>
      <c r="X1340" s="40"/>
      <c r="Y1340" s="40"/>
      <c r="Z1340" s="40"/>
    </row>
    <row r="1341">
      <c r="A1341" s="65">
        <v>46116.0</v>
      </c>
      <c r="B1341" s="66" t="s">
        <v>810</v>
      </c>
      <c r="C1341" s="67" t="s">
        <v>1754</v>
      </c>
      <c r="D1341" s="68" t="s">
        <v>827</v>
      </c>
      <c r="E1341" s="40"/>
      <c r="F1341" s="40"/>
      <c r="G1341" s="40"/>
      <c r="H1341" s="40"/>
      <c r="I1341" s="40"/>
      <c r="J1341" s="40"/>
      <c r="K1341" s="40"/>
      <c r="L1341" s="40"/>
      <c r="M1341" s="40"/>
      <c r="N1341" s="40"/>
      <c r="O1341" s="40"/>
      <c r="P1341" s="40"/>
      <c r="Q1341" s="40"/>
      <c r="R1341" s="40"/>
      <c r="S1341" s="40"/>
      <c r="T1341" s="40"/>
      <c r="U1341" s="40"/>
      <c r="V1341" s="40"/>
      <c r="W1341" s="40"/>
      <c r="X1341" s="40"/>
      <c r="Y1341" s="40"/>
      <c r="Z1341" s="40"/>
    </row>
    <row r="1342">
      <c r="A1342" s="65">
        <v>46116.0</v>
      </c>
      <c r="B1342" s="66" t="s">
        <v>810</v>
      </c>
      <c r="C1342" s="67" t="s">
        <v>1754</v>
      </c>
      <c r="D1342" s="68" t="s">
        <v>827</v>
      </c>
      <c r="E1342" s="40"/>
      <c r="F1342" s="40"/>
      <c r="G1342" s="40"/>
      <c r="H1342" s="40"/>
      <c r="I1342" s="40"/>
      <c r="J1342" s="40"/>
      <c r="K1342" s="40"/>
      <c r="L1342" s="40"/>
      <c r="M1342" s="40"/>
      <c r="N1342" s="40"/>
      <c r="O1342" s="40"/>
      <c r="P1342" s="40"/>
      <c r="Q1342" s="40"/>
      <c r="R1342" s="40"/>
      <c r="S1342" s="40"/>
      <c r="T1342" s="40"/>
      <c r="U1342" s="40"/>
      <c r="V1342" s="40"/>
      <c r="W1342" s="40"/>
      <c r="X1342" s="40"/>
      <c r="Y1342" s="40"/>
      <c r="Z1342" s="40"/>
    </row>
    <row r="1343">
      <c r="A1343" s="65">
        <v>46116.0</v>
      </c>
      <c r="B1343" s="66" t="s">
        <v>810</v>
      </c>
      <c r="C1343" s="67" t="s">
        <v>1745</v>
      </c>
      <c r="D1343" s="67" t="s">
        <v>959</v>
      </c>
      <c r="E1343" s="40"/>
      <c r="F1343" s="40"/>
      <c r="G1343" s="40"/>
      <c r="H1343" s="40"/>
      <c r="I1343" s="40"/>
      <c r="J1343" s="40"/>
      <c r="K1343" s="40"/>
      <c r="L1343" s="40"/>
      <c r="M1343" s="40"/>
      <c r="N1343" s="40"/>
      <c r="O1343" s="40"/>
      <c r="P1343" s="40"/>
      <c r="Q1343" s="40"/>
      <c r="R1343" s="40"/>
      <c r="S1343" s="40"/>
      <c r="T1343" s="40"/>
      <c r="U1343" s="40"/>
      <c r="V1343" s="40"/>
      <c r="W1343" s="40"/>
      <c r="X1343" s="40"/>
      <c r="Y1343" s="40"/>
      <c r="Z1343" s="40"/>
    </row>
    <row r="1344">
      <c r="A1344" s="65">
        <v>46116.0</v>
      </c>
      <c r="B1344" s="66" t="s">
        <v>810</v>
      </c>
      <c r="C1344" s="67" t="s">
        <v>1755</v>
      </c>
      <c r="D1344" s="67" t="s">
        <v>1756</v>
      </c>
      <c r="E1344" s="40"/>
      <c r="F1344" s="40"/>
      <c r="G1344" s="40"/>
      <c r="H1344" s="40"/>
      <c r="I1344" s="40"/>
      <c r="J1344" s="40"/>
      <c r="K1344" s="40"/>
      <c r="L1344" s="40"/>
      <c r="M1344" s="40"/>
      <c r="N1344" s="40"/>
      <c r="O1344" s="40"/>
      <c r="P1344" s="40"/>
      <c r="Q1344" s="40"/>
      <c r="R1344" s="40"/>
      <c r="S1344" s="40"/>
      <c r="T1344" s="40"/>
      <c r="U1344" s="40"/>
      <c r="V1344" s="40"/>
      <c r="W1344" s="40"/>
      <c r="X1344" s="40"/>
      <c r="Y1344" s="40"/>
      <c r="Z1344" s="40"/>
    </row>
    <row r="1345">
      <c r="A1345" s="65">
        <v>46116.0</v>
      </c>
      <c r="B1345" s="66" t="s">
        <v>810</v>
      </c>
      <c r="C1345" s="67" t="s">
        <v>1754</v>
      </c>
      <c r="D1345" s="68" t="s">
        <v>827</v>
      </c>
      <c r="E1345" s="40"/>
      <c r="F1345" s="40"/>
      <c r="G1345" s="40"/>
      <c r="H1345" s="40"/>
      <c r="I1345" s="40"/>
      <c r="J1345" s="40"/>
      <c r="K1345" s="40"/>
      <c r="L1345" s="40"/>
      <c r="M1345" s="40"/>
      <c r="N1345" s="40"/>
      <c r="O1345" s="40"/>
      <c r="P1345" s="40"/>
      <c r="Q1345" s="40"/>
      <c r="R1345" s="40"/>
      <c r="S1345" s="40"/>
      <c r="T1345" s="40"/>
      <c r="U1345" s="40"/>
      <c r="V1345" s="40"/>
      <c r="W1345" s="40"/>
      <c r="X1345" s="40"/>
      <c r="Y1345" s="40"/>
      <c r="Z1345" s="40"/>
    </row>
    <row r="1346">
      <c r="A1346" s="65">
        <v>46116.0</v>
      </c>
      <c r="B1346" s="66" t="s">
        <v>810</v>
      </c>
      <c r="C1346" s="67" t="s">
        <v>1757</v>
      </c>
      <c r="D1346" s="68" t="s">
        <v>827</v>
      </c>
      <c r="E1346" s="40"/>
      <c r="F1346" s="40"/>
      <c r="G1346" s="40"/>
      <c r="H1346" s="40"/>
      <c r="I1346" s="40"/>
      <c r="J1346" s="40"/>
      <c r="K1346" s="40"/>
      <c r="L1346" s="40"/>
      <c r="M1346" s="40"/>
      <c r="N1346" s="40"/>
      <c r="O1346" s="40"/>
      <c r="P1346" s="40"/>
      <c r="Q1346" s="40"/>
      <c r="R1346" s="40"/>
      <c r="S1346" s="40"/>
      <c r="T1346" s="40"/>
      <c r="U1346" s="40"/>
      <c r="V1346" s="40"/>
      <c r="W1346" s="40"/>
      <c r="X1346" s="40"/>
      <c r="Y1346" s="40"/>
      <c r="Z1346" s="40"/>
    </row>
    <row r="1347">
      <c r="A1347" s="65">
        <v>46116.0</v>
      </c>
      <c r="B1347" s="66" t="s">
        <v>810</v>
      </c>
      <c r="C1347" s="68" t="s">
        <v>827</v>
      </c>
      <c r="D1347" s="67" t="s">
        <v>990</v>
      </c>
      <c r="E1347" s="40"/>
      <c r="F1347" s="40"/>
      <c r="G1347" s="40"/>
      <c r="H1347" s="40"/>
      <c r="I1347" s="40"/>
      <c r="J1347" s="40"/>
      <c r="K1347" s="40"/>
      <c r="L1347" s="40"/>
      <c r="M1347" s="40"/>
      <c r="N1347" s="40"/>
      <c r="O1347" s="40"/>
      <c r="P1347" s="40"/>
      <c r="Q1347" s="40"/>
      <c r="R1347" s="40"/>
      <c r="S1347" s="40"/>
      <c r="T1347" s="40"/>
      <c r="U1347" s="40"/>
      <c r="V1347" s="40"/>
      <c r="W1347" s="40"/>
      <c r="X1347" s="40"/>
      <c r="Y1347" s="40"/>
      <c r="Z1347" s="40"/>
    </row>
    <row r="1348">
      <c r="A1348" s="65">
        <v>46137.0</v>
      </c>
      <c r="B1348" s="66" t="s">
        <v>810</v>
      </c>
      <c r="C1348" s="68" t="s">
        <v>827</v>
      </c>
      <c r="D1348" s="68" t="s">
        <v>827</v>
      </c>
      <c r="E1348" s="40"/>
      <c r="F1348" s="40"/>
      <c r="G1348" s="40"/>
      <c r="H1348" s="40"/>
      <c r="I1348" s="40"/>
      <c r="J1348" s="40"/>
      <c r="K1348" s="40"/>
      <c r="L1348" s="40"/>
      <c r="M1348" s="40"/>
      <c r="N1348" s="40"/>
      <c r="O1348" s="40"/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0"/>
    </row>
    <row r="1349">
      <c r="A1349" s="65">
        <v>46116.0</v>
      </c>
      <c r="B1349" s="66" t="s">
        <v>810</v>
      </c>
      <c r="C1349" s="67" t="s">
        <v>1758</v>
      </c>
      <c r="D1349" s="67" t="s">
        <v>1752</v>
      </c>
      <c r="E1349" s="40"/>
      <c r="F1349" s="40"/>
      <c r="G1349" s="40"/>
      <c r="H1349" s="40"/>
      <c r="I1349" s="40"/>
      <c r="J1349" s="40"/>
      <c r="K1349" s="40"/>
      <c r="L1349" s="40"/>
      <c r="M1349" s="40"/>
      <c r="N1349" s="40"/>
      <c r="O1349" s="40"/>
      <c r="P1349" s="40"/>
      <c r="Q1349" s="40"/>
      <c r="R1349" s="40"/>
      <c r="S1349" s="40"/>
      <c r="T1349" s="40"/>
      <c r="U1349" s="40"/>
      <c r="V1349" s="40"/>
      <c r="W1349" s="40"/>
      <c r="X1349" s="40"/>
      <c r="Y1349" s="40"/>
      <c r="Z1349" s="40"/>
    </row>
    <row r="1350">
      <c r="A1350" s="65">
        <v>46116.0</v>
      </c>
      <c r="B1350" s="66" t="s">
        <v>812</v>
      </c>
      <c r="C1350" s="67" t="s">
        <v>1759</v>
      </c>
      <c r="D1350" s="68" t="s">
        <v>827</v>
      </c>
      <c r="E1350" s="40"/>
      <c r="F1350" s="40"/>
      <c r="G1350" s="40"/>
      <c r="H1350" s="40"/>
      <c r="I1350" s="40"/>
      <c r="J1350" s="40"/>
      <c r="K1350" s="40"/>
      <c r="L1350" s="40"/>
      <c r="M1350" s="40"/>
      <c r="N1350" s="40"/>
      <c r="O1350" s="40"/>
      <c r="P1350" s="40"/>
      <c r="Q1350" s="40"/>
      <c r="R1350" s="40"/>
      <c r="S1350" s="40"/>
      <c r="T1350" s="40"/>
      <c r="U1350" s="40"/>
      <c r="V1350" s="40"/>
      <c r="W1350" s="40"/>
      <c r="X1350" s="40"/>
      <c r="Y1350" s="40"/>
      <c r="Z1350" s="40"/>
    </row>
    <row r="1351">
      <c r="A1351" s="65">
        <v>46116.0</v>
      </c>
      <c r="B1351" s="66" t="s">
        <v>812</v>
      </c>
      <c r="C1351" s="67" t="s">
        <v>1760</v>
      </c>
      <c r="D1351" s="68" t="s">
        <v>827</v>
      </c>
      <c r="E1351" s="40"/>
      <c r="F1351" s="40"/>
      <c r="G1351" s="40"/>
      <c r="H1351" s="40"/>
      <c r="I1351" s="40"/>
      <c r="J1351" s="40"/>
      <c r="K1351" s="40"/>
      <c r="L1351" s="40"/>
      <c r="M1351" s="40"/>
      <c r="N1351" s="40"/>
      <c r="O1351" s="40"/>
      <c r="P1351" s="40"/>
      <c r="Q1351" s="40"/>
      <c r="R1351" s="40"/>
      <c r="S1351" s="40"/>
      <c r="T1351" s="40"/>
      <c r="U1351" s="40"/>
      <c r="V1351" s="40"/>
      <c r="W1351" s="40"/>
      <c r="X1351" s="40"/>
      <c r="Y1351" s="40"/>
      <c r="Z1351" s="40"/>
    </row>
    <row r="1352">
      <c r="A1352" s="65">
        <v>46116.0</v>
      </c>
      <c r="B1352" s="66" t="s">
        <v>812</v>
      </c>
      <c r="C1352" s="67" t="s">
        <v>1761</v>
      </c>
      <c r="D1352" s="68" t="s">
        <v>827</v>
      </c>
      <c r="E1352" s="40"/>
      <c r="F1352" s="40"/>
      <c r="G1352" s="40"/>
      <c r="H1352" s="40"/>
      <c r="I1352" s="40"/>
      <c r="J1352" s="40"/>
      <c r="K1352" s="40"/>
      <c r="L1352" s="40"/>
      <c r="M1352" s="40"/>
      <c r="N1352" s="40"/>
      <c r="O1352" s="40"/>
      <c r="P1352" s="40"/>
      <c r="Q1352" s="40"/>
      <c r="R1352" s="40"/>
      <c r="S1352" s="40"/>
      <c r="T1352" s="40"/>
      <c r="U1352" s="40"/>
      <c r="V1352" s="40"/>
      <c r="W1352" s="40"/>
      <c r="X1352" s="40"/>
      <c r="Y1352" s="40"/>
      <c r="Z1352" s="40"/>
    </row>
    <row r="1353">
      <c r="A1353" s="65">
        <v>46116.0</v>
      </c>
      <c r="B1353" s="66" t="s">
        <v>812</v>
      </c>
      <c r="C1353" s="67" t="s">
        <v>1762</v>
      </c>
      <c r="D1353" s="68" t="s">
        <v>827</v>
      </c>
      <c r="E1353" s="40"/>
      <c r="F1353" s="40"/>
      <c r="G1353" s="40"/>
      <c r="H1353" s="40"/>
      <c r="I1353" s="40"/>
      <c r="J1353" s="40"/>
      <c r="K1353" s="40"/>
      <c r="L1353" s="40"/>
      <c r="M1353" s="40"/>
      <c r="N1353" s="40"/>
      <c r="O1353" s="40"/>
      <c r="P1353" s="40"/>
      <c r="Q1353" s="40"/>
      <c r="R1353" s="40"/>
      <c r="S1353" s="40"/>
      <c r="T1353" s="40"/>
      <c r="U1353" s="40"/>
      <c r="V1353" s="40"/>
      <c r="W1353" s="40"/>
      <c r="X1353" s="40"/>
      <c r="Y1353" s="40"/>
      <c r="Z1353" s="40"/>
    </row>
    <row r="1354">
      <c r="A1354" s="65">
        <v>46116.0</v>
      </c>
      <c r="B1354" s="66" t="s">
        <v>812</v>
      </c>
      <c r="C1354" s="67" t="s">
        <v>1486</v>
      </c>
      <c r="D1354" s="68" t="s">
        <v>827</v>
      </c>
      <c r="E1354" s="40"/>
      <c r="F1354" s="40"/>
      <c r="G1354" s="40"/>
      <c r="H1354" s="40"/>
      <c r="I1354" s="40"/>
      <c r="J1354" s="40"/>
      <c r="K1354" s="40"/>
      <c r="L1354" s="40"/>
      <c r="M1354" s="40"/>
      <c r="N1354" s="40"/>
      <c r="O1354" s="40"/>
      <c r="P1354" s="40"/>
      <c r="Q1354" s="40"/>
      <c r="R1354" s="40"/>
      <c r="S1354" s="40"/>
      <c r="T1354" s="40"/>
      <c r="U1354" s="40"/>
      <c r="V1354" s="40"/>
      <c r="W1354" s="40"/>
      <c r="X1354" s="40"/>
      <c r="Y1354" s="40"/>
      <c r="Z1354" s="40"/>
    </row>
    <row r="1355">
      <c r="A1355" s="65">
        <v>46116.0</v>
      </c>
      <c r="B1355" s="66" t="s">
        <v>812</v>
      </c>
      <c r="C1355" s="67" t="s">
        <v>1763</v>
      </c>
      <c r="D1355" s="68" t="s">
        <v>827</v>
      </c>
      <c r="E1355" s="40"/>
      <c r="F1355" s="40"/>
      <c r="G1355" s="40"/>
      <c r="H1355" s="40"/>
      <c r="I1355" s="40"/>
      <c r="J1355" s="40"/>
      <c r="K1355" s="40"/>
      <c r="L1355" s="40"/>
      <c r="M1355" s="40"/>
      <c r="N1355" s="40"/>
      <c r="O1355" s="40"/>
      <c r="P1355" s="40"/>
      <c r="Q1355" s="40"/>
      <c r="R1355" s="40"/>
      <c r="S1355" s="40"/>
      <c r="T1355" s="40"/>
      <c r="U1355" s="40"/>
      <c r="V1355" s="40"/>
      <c r="W1355" s="40"/>
      <c r="X1355" s="40"/>
      <c r="Y1355" s="40"/>
      <c r="Z1355" s="40"/>
    </row>
    <row r="1356">
      <c r="A1356" s="65">
        <v>46116.0</v>
      </c>
      <c r="B1356" s="66" t="s">
        <v>812</v>
      </c>
      <c r="C1356" s="67" t="s">
        <v>1760</v>
      </c>
      <c r="D1356" s="68" t="s">
        <v>827</v>
      </c>
      <c r="E1356" s="40"/>
      <c r="F1356" s="40"/>
      <c r="G1356" s="40"/>
      <c r="H1356" s="40"/>
      <c r="I1356" s="40"/>
      <c r="J1356" s="40"/>
      <c r="K1356" s="40"/>
      <c r="L1356" s="40"/>
      <c r="M1356" s="40"/>
      <c r="N1356" s="40"/>
      <c r="O1356" s="40"/>
      <c r="P1356" s="40"/>
      <c r="Q1356" s="40"/>
      <c r="R1356" s="40"/>
      <c r="S1356" s="40"/>
      <c r="T1356" s="40"/>
      <c r="U1356" s="40"/>
      <c r="V1356" s="40"/>
      <c r="W1356" s="40"/>
      <c r="X1356" s="40"/>
      <c r="Y1356" s="40"/>
      <c r="Z1356" s="40"/>
    </row>
    <row r="1357">
      <c r="A1357" s="65">
        <v>46116.0</v>
      </c>
      <c r="B1357" s="66" t="s">
        <v>812</v>
      </c>
      <c r="C1357" s="67" t="s">
        <v>1763</v>
      </c>
      <c r="D1357" s="68" t="s">
        <v>827</v>
      </c>
      <c r="E1357" s="40"/>
      <c r="F1357" s="40"/>
      <c r="G1357" s="40"/>
      <c r="H1357" s="40"/>
      <c r="I1357" s="40"/>
      <c r="J1357" s="40"/>
      <c r="K1357" s="40"/>
      <c r="L1357" s="40"/>
      <c r="M1357" s="40"/>
      <c r="N1357" s="40"/>
      <c r="O1357" s="40"/>
      <c r="P1357" s="40"/>
      <c r="Q1357" s="40"/>
      <c r="R1357" s="40"/>
      <c r="S1357" s="40"/>
      <c r="T1357" s="40"/>
      <c r="U1357" s="40"/>
      <c r="V1357" s="40"/>
      <c r="W1357" s="40"/>
      <c r="X1357" s="40"/>
      <c r="Y1357" s="40"/>
      <c r="Z1357" s="40"/>
    </row>
    <row r="1358">
      <c r="A1358" s="65">
        <v>46116.0</v>
      </c>
      <c r="B1358" s="66" t="s">
        <v>810</v>
      </c>
      <c r="C1358" s="67" t="s">
        <v>1764</v>
      </c>
      <c r="D1358" s="68" t="s">
        <v>827</v>
      </c>
      <c r="E1358" s="40"/>
      <c r="F1358" s="40"/>
      <c r="G1358" s="40"/>
      <c r="H1358" s="40"/>
      <c r="I1358" s="40"/>
      <c r="J1358" s="40"/>
      <c r="K1358" s="40"/>
      <c r="L1358" s="40"/>
      <c r="M1358" s="40"/>
      <c r="N1358" s="40"/>
      <c r="O1358" s="40"/>
      <c r="P1358" s="40"/>
      <c r="Q1358" s="40"/>
      <c r="R1358" s="40"/>
      <c r="S1358" s="40"/>
      <c r="T1358" s="40"/>
      <c r="U1358" s="40"/>
      <c r="V1358" s="40"/>
      <c r="W1358" s="40"/>
      <c r="X1358" s="40"/>
      <c r="Y1358" s="40"/>
      <c r="Z1358" s="40"/>
    </row>
    <row r="1359">
      <c r="A1359" s="65">
        <v>46116.0</v>
      </c>
      <c r="B1359" s="66" t="s">
        <v>812</v>
      </c>
      <c r="C1359" s="67" t="s">
        <v>1765</v>
      </c>
      <c r="D1359" s="68" t="s">
        <v>827</v>
      </c>
      <c r="E1359" s="40"/>
      <c r="F1359" s="40"/>
      <c r="G1359" s="40"/>
      <c r="H1359" s="40"/>
      <c r="I1359" s="40"/>
      <c r="J1359" s="40"/>
      <c r="K1359" s="40"/>
      <c r="L1359" s="40"/>
      <c r="M1359" s="40"/>
      <c r="N1359" s="40"/>
      <c r="O1359" s="40"/>
      <c r="P1359" s="40"/>
      <c r="Q1359" s="40"/>
      <c r="R1359" s="40"/>
      <c r="S1359" s="40"/>
      <c r="T1359" s="40"/>
      <c r="U1359" s="40"/>
      <c r="V1359" s="40"/>
      <c r="W1359" s="40"/>
      <c r="X1359" s="40"/>
      <c r="Y1359" s="40"/>
      <c r="Z1359" s="40"/>
    </row>
    <row r="1360">
      <c r="A1360" s="65">
        <v>46116.0</v>
      </c>
      <c r="B1360" s="66" t="s">
        <v>812</v>
      </c>
      <c r="C1360" s="67" t="s">
        <v>1766</v>
      </c>
      <c r="D1360" s="68" t="s">
        <v>827</v>
      </c>
      <c r="E1360" s="40"/>
      <c r="F1360" s="40"/>
      <c r="G1360" s="40"/>
      <c r="H1360" s="40"/>
      <c r="I1360" s="40"/>
      <c r="J1360" s="40"/>
      <c r="K1360" s="40"/>
      <c r="L1360" s="40"/>
      <c r="M1360" s="40"/>
      <c r="N1360" s="40"/>
      <c r="O1360" s="40"/>
      <c r="P1360" s="40"/>
      <c r="Q1360" s="40"/>
      <c r="R1360" s="40"/>
      <c r="S1360" s="40"/>
      <c r="T1360" s="40"/>
      <c r="U1360" s="40"/>
      <c r="V1360" s="40"/>
      <c r="W1360" s="40"/>
      <c r="X1360" s="40"/>
      <c r="Y1360" s="40"/>
      <c r="Z1360" s="40"/>
    </row>
    <row r="1361">
      <c r="A1361" s="65">
        <v>46116.0</v>
      </c>
      <c r="B1361" s="66" t="s">
        <v>812</v>
      </c>
      <c r="C1361" s="67" t="s">
        <v>1764</v>
      </c>
      <c r="D1361" s="68" t="s">
        <v>827</v>
      </c>
      <c r="E1361" s="40"/>
      <c r="F1361" s="40"/>
      <c r="G1361" s="40"/>
      <c r="H1361" s="40"/>
      <c r="I1361" s="40"/>
      <c r="J1361" s="40"/>
      <c r="K1361" s="40"/>
      <c r="L1361" s="40"/>
      <c r="M1361" s="40"/>
      <c r="N1361" s="40"/>
      <c r="O1361" s="40"/>
      <c r="P1361" s="40"/>
      <c r="Q1361" s="40"/>
      <c r="R1361" s="40"/>
      <c r="S1361" s="40"/>
      <c r="T1361" s="40"/>
      <c r="U1361" s="40"/>
      <c r="V1361" s="40"/>
      <c r="W1361" s="40"/>
      <c r="X1361" s="40"/>
      <c r="Y1361" s="40"/>
      <c r="Z1361" s="40"/>
    </row>
    <row r="1362">
      <c r="A1362" s="65">
        <v>46116.0</v>
      </c>
      <c r="B1362" s="66" t="s">
        <v>812</v>
      </c>
      <c r="C1362" s="67" t="s">
        <v>1767</v>
      </c>
      <c r="D1362" s="68" t="s">
        <v>827</v>
      </c>
      <c r="E1362" s="40"/>
      <c r="F1362" s="40"/>
      <c r="G1362" s="40"/>
      <c r="H1362" s="40"/>
      <c r="I1362" s="40"/>
      <c r="J1362" s="40"/>
      <c r="K1362" s="40"/>
      <c r="L1362" s="40"/>
      <c r="M1362" s="40"/>
      <c r="N1362" s="40"/>
      <c r="O1362" s="40"/>
      <c r="P1362" s="40"/>
      <c r="Q1362" s="40"/>
      <c r="R1362" s="40"/>
      <c r="S1362" s="40"/>
      <c r="T1362" s="40"/>
      <c r="U1362" s="40"/>
      <c r="V1362" s="40"/>
      <c r="W1362" s="40"/>
      <c r="X1362" s="40"/>
      <c r="Y1362" s="40"/>
      <c r="Z1362" s="40"/>
    </row>
    <row r="1363">
      <c r="A1363" s="65">
        <v>46116.0</v>
      </c>
      <c r="B1363" s="66" t="s">
        <v>812</v>
      </c>
      <c r="C1363" s="67" t="s">
        <v>1768</v>
      </c>
      <c r="D1363" s="68" t="s">
        <v>827</v>
      </c>
      <c r="E1363" s="40"/>
      <c r="F1363" s="40"/>
      <c r="G1363" s="40"/>
      <c r="H1363" s="40"/>
      <c r="I1363" s="40"/>
      <c r="J1363" s="40"/>
      <c r="K1363" s="40"/>
      <c r="L1363" s="40"/>
      <c r="M1363" s="40"/>
      <c r="N1363" s="40"/>
      <c r="O1363" s="40"/>
      <c r="P1363" s="40"/>
      <c r="Q1363" s="40"/>
      <c r="R1363" s="40"/>
      <c r="S1363" s="40"/>
      <c r="T1363" s="40"/>
      <c r="U1363" s="40"/>
      <c r="V1363" s="40"/>
      <c r="W1363" s="40"/>
      <c r="X1363" s="40"/>
      <c r="Y1363" s="40"/>
      <c r="Z1363" s="40"/>
    </row>
    <row r="1364">
      <c r="A1364" s="65">
        <v>46116.0</v>
      </c>
      <c r="B1364" s="66" t="s">
        <v>812</v>
      </c>
      <c r="C1364" s="68" t="s">
        <v>827</v>
      </c>
      <c r="D1364" s="67" t="s">
        <v>852</v>
      </c>
      <c r="E1364" s="40"/>
      <c r="F1364" s="40"/>
      <c r="G1364" s="40"/>
      <c r="H1364" s="40"/>
      <c r="I1364" s="40"/>
      <c r="J1364" s="40"/>
      <c r="K1364" s="40"/>
      <c r="L1364" s="40"/>
      <c r="M1364" s="40"/>
      <c r="N1364" s="40"/>
      <c r="O1364" s="40"/>
      <c r="P1364" s="40"/>
      <c r="Q1364" s="40"/>
      <c r="R1364" s="40"/>
      <c r="S1364" s="40"/>
      <c r="T1364" s="40"/>
      <c r="U1364" s="40"/>
      <c r="V1364" s="40"/>
      <c r="W1364" s="40"/>
      <c r="X1364" s="40"/>
      <c r="Y1364" s="40"/>
      <c r="Z1364" s="40"/>
    </row>
    <row r="1365">
      <c r="A1365" s="65">
        <v>46116.0</v>
      </c>
      <c r="B1365" s="66" t="s">
        <v>812</v>
      </c>
      <c r="C1365" s="67" t="s">
        <v>1769</v>
      </c>
      <c r="D1365" s="68" t="s">
        <v>827</v>
      </c>
      <c r="E1365" s="40"/>
      <c r="F1365" s="40"/>
      <c r="G1365" s="40"/>
      <c r="H1365" s="40"/>
      <c r="I1365" s="40"/>
      <c r="J1365" s="40"/>
      <c r="K1365" s="40"/>
      <c r="L1365" s="40"/>
      <c r="M1365" s="40"/>
      <c r="N1365" s="40"/>
      <c r="O1365" s="40"/>
      <c r="P1365" s="40"/>
      <c r="Q1365" s="40"/>
      <c r="R1365" s="40"/>
      <c r="S1365" s="40"/>
      <c r="T1365" s="40"/>
      <c r="U1365" s="40"/>
      <c r="V1365" s="40"/>
      <c r="W1365" s="40"/>
      <c r="X1365" s="40"/>
      <c r="Y1365" s="40"/>
      <c r="Z1365" s="40"/>
    </row>
    <row r="1366">
      <c r="A1366" s="65">
        <v>46116.0</v>
      </c>
      <c r="B1366" s="66" t="s">
        <v>812</v>
      </c>
      <c r="C1366" s="67" t="s">
        <v>1770</v>
      </c>
      <c r="D1366" s="68" t="s">
        <v>827</v>
      </c>
      <c r="E1366" s="40"/>
      <c r="F1366" s="40"/>
      <c r="G1366" s="40"/>
      <c r="H1366" s="40"/>
      <c r="I1366" s="40"/>
      <c r="J1366" s="40"/>
      <c r="K1366" s="40"/>
      <c r="L1366" s="40"/>
      <c r="M1366" s="40"/>
      <c r="N1366" s="40"/>
      <c r="O1366" s="40"/>
      <c r="P1366" s="40"/>
      <c r="Q1366" s="40"/>
      <c r="R1366" s="40"/>
      <c r="S1366" s="40"/>
      <c r="T1366" s="40"/>
      <c r="U1366" s="40"/>
      <c r="V1366" s="40"/>
      <c r="W1366" s="40"/>
      <c r="X1366" s="40"/>
      <c r="Y1366" s="40"/>
      <c r="Z1366" s="40"/>
    </row>
    <row r="1367">
      <c r="A1367" s="65">
        <v>46116.0</v>
      </c>
      <c r="B1367" s="66" t="s">
        <v>812</v>
      </c>
      <c r="C1367" s="67" t="s">
        <v>1770</v>
      </c>
      <c r="D1367" s="68" t="s">
        <v>827</v>
      </c>
      <c r="E1367" s="40"/>
      <c r="F1367" s="40"/>
      <c r="G1367" s="40"/>
      <c r="H1367" s="40"/>
      <c r="I1367" s="40"/>
      <c r="J1367" s="40"/>
      <c r="K1367" s="40"/>
      <c r="L1367" s="40"/>
      <c r="M1367" s="40"/>
      <c r="N1367" s="40"/>
      <c r="O1367" s="40"/>
      <c r="P1367" s="40"/>
      <c r="Q1367" s="40"/>
      <c r="R1367" s="40"/>
      <c r="S1367" s="40"/>
      <c r="T1367" s="40"/>
      <c r="U1367" s="40"/>
      <c r="V1367" s="40"/>
      <c r="W1367" s="40"/>
      <c r="X1367" s="40"/>
      <c r="Y1367" s="40"/>
      <c r="Z1367" s="40"/>
    </row>
    <row r="1368">
      <c r="A1368" s="65">
        <v>46116.0</v>
      </c>
      <c r="B1368" s="66" t="s">
        <v>812</v>
      </c>
      <c r="C1368" s="67" t="s">
        <v>1771</v>
      </c>
      <c r="D1368" s="68" t="s">
        <v>827</v>
      </c>
      <c r="E1368" s="40"/>
      <c r="F1368" s="40"/>
      <c r="G1368" s="40"/>
      <c r="H1368" s="40"/>
      <c r="I1368" s="40"/>
      <c r="J1368" s="40"/>
      <c r="K1368" s="40"/>
      <c r="L1368" s="40"/>
      <c r="M1368" s="40"/>
      <c r="N1368" s="40"/>
      <c r="O1368" s="40"/>
      <c r="P1368" s="40"/>
      <c r="Q1368" s="40"/>
      <c r="R1368" s="40"/>
      <c r="S1368" s="40"/>
      <c r="T1368" s="40"/>
      <c r="U1368" s="40"/>
      <c r="V1368" s="40"/>
      <c r="W1368" s="40"/>
      <c r="X1368" s="40"/>
      <c r="Y1368" s="40"/>
      <c r="Z1368" s="40"/>
    </row>
    <row r="1369">
      <c r="A1369" s="65">
        <v>46116.0</v>
      </c>
      <c r="B1369" s="66" t="s">
        <v>812</v>
      </c>
      <c r="C1369" s="67" t="s">
        <v>1771</v>
      </c>
      <c r="D1369" s="68" t="s">
        <v>827</v>
      </c>
      <c r="E1369" s="40"/>
      <c r="F1369" s="40"/>
      <c r="G1369" s="40"/>
      <c r="H1369" s="40"/>
      <c r="I1369" s="40"/>
      <c r="J1369" s="40"/>
      <c r="K1369" s="40"/>
      <c r="L1369" s="40"/>
      <c r="M1369" s="40"/>
      <c r="N1369" s="40"/>
      <c r="O1369" s="40"/>
      <c r="P1369" s="40"/>
      <c r="Q1369" s="40"/>
      <c r="R1369" s="40"/>
      <c r="S1369" s="40"/>
      <c r="T1369" s="40"/>
      <c r="U1369" s="40"/>
      <c r="V1369" s="40"/>
      <c r="W1369" s="40"/>
      <c r="X1369" s="40"/>
      <c r="Y1369" s="40"/>
      <c r="Z1369" s="40"/>
    </row>
    <row r="1370">
      <c r="A1370" s="65">
        <v>46116.0</v>
      </c>
      <c r="B1370" s="66" t="s">
        <v>812</v>
      </c>
      <c r="C1370" s="67" t="s">
        <v>1772</v>
      </c>
      <c r="D1370" s="68" t="s">
        <v>827</v>
      </c>
      <c r="E1370" s="40"/>
      <c r="F1370" s="40"/>
      <c r="G1370" s="40"/>
      <c r="H1370" s="40"/>
      <c r="I1370" s="40"/>
      <c r="J1370" s="40"/>
      <c r="K1370" s="40"/>
      <c r="L1370" s="40"/>
      <c r="M1370" s="40"/>
      <c r="N1370" s="40"/>
      <c r="O1370" s="40"/>
      <c r="P1370" s="40"/>
      <c r="Q1370" s="40"/>
      <c r="R1370" s="40"/>
      <c r="S1370" s="40"/>
      <c r="T1370" s="40"/>
      <c r="U1370" s="40"/>
      <c r="V1370" s="40"/>
      <c r="W1370" s="40"/>
      <c r="X1370" s="40"/>
      <c r="Y1370" s="40"/>
      <c r="Z1370" s="40"/>
    </row>
    <row r="1371">
      <c r="A1371" s="65"/>
      <c r="B1371" s="66"/>
      <c r="C1371" s="68"/>
      <c r="D1371" s="68"/>
      <c r="E1371" s="40"/>
      <c r="F1371" s="40"/>
      <c r="G1371" s="40"/>
      <c r="H1371" s="40"/>
      <c r="I1371" s="40"/>
      <c r="J1371" s="40"/>
      <c r="K1371" s="40"/>
      <c r="L1371" s="40"/>
      <c r="M1371" s="40"/>
      <c r="N1371" s="40"/>
      <c r="O1371" s="40"/>
      <c r="P1371" s="40"/>
      <c r="Q1371" s="40"/>
      <c r="R1371" s="40"/>
      <c r="S1371" s="40"/>
      <c r="T1371" s="40"/>
      <c r="U1371" s="40"/>
      <c r="V1371" s="40"/>
      <c r="W1371" s="40"/>
      <c r="X1371" s="40"/>
      <c r="Y1371" s="40"/>
      <c r="Z1371" s="40"/>
    </row>
    <row r="1372">
      <c r="A1372" s="65"/>
      <c r="B1372" s="66"/>
      <c r="C1372" s="68"/>
      <c r="D1372" s="68"/>
      <c r="E1372" s="40"/>
      <c r="F1372" s="40"/>
      <c r="G1372" s="40"/>
      <c r="H1372" s="40"/>
      <c r="I1372" s="40"/>
      <c r="J1372" s="40"/>
      <c r="K1372" s="40"/>
      <c r="L1372" s="40"/>
      <c r="M1372" s="40"/>
      <c r="N1372" s="40"/>
      <c r="O1372" s="40"/>
      <c r="P1372" s="40"/>
      <c r="Q1372" s="40"/>
      <c r="R1372" s="40"/>
      <c r="S1372" s="40"/>
      <c r="T1372" s="40"/>
      <c r="U1372" s="40"/>
      <c r="V1372" s="40"/>
      <c r="W1372" s="40"/>
      <c r="X1372" s="40"/>
      <c r="Y1372" s="40"/>
      <c r="Z1372" s="40"/>
    </row>
    <row r="1373">
      <c r="A1373" s="65"/>
      <c r="B1373" s="66"/>
      <c r="C1373" s="68"/>
      <c r="D1373" s="68"/>
      <c r="E1373" s="40"/>
      <c r="F1373" s="40"/>
      <c r="G1373" s="40"/>
      <c r="H1373" s="40"/>
      <c r="I1373" s="40"/>
      <c r="J1373" s="40"/>
      <c r="K1373" s="40"/>
      <c r="L1373" s="40"/>
      <c r="M1373" s="40"/>
      <c r="N1373" s="40"/>
      <c r="O1373" s="40"/>
      <c r="P1373" s="40"/>
      <c r="Q1373" s="40"/>
      <c r="R1373" s="40"/>
      <c r="S1373" s="40"/>
      <c r="T1373" s="40"/>
      <c r="U1373" s="40"/>
      <c r="V1373" s="40"/>
      <c r="W1373" s="40"/>
      <c r="X1373" s="40"/>
      <c r="Y1373" s="40"/>
      <c r="Z1373" s="40"/>
    </row>
    <row r="1374">
      <c r="A1374" s="65"/>
      <c r="B1374" s="66"/>
      <c r="C1374" s="68"/>
      <c r="D1374" s="68"/>
      <c r="E1374" s="40"/>
      <c r="F1374" s="40"/>
      <c r="G1374" s="40"/>
      <c r="H1374" s="40"/>
      <c r="I1374" s="40"/>
      <c r="J1374" s="40"/>
      <c r="K1374" s="40"/>
      <c r="L1374" s="40"/>
      <c r="M1374" s="40"/>
      <c r="N1374" s="40"/>
      <c r="O1374" s="40"/>
      <c r="P1374" s="40"/>
      <c r="Q1374" s="40"/>
      <c r="R1374" s="40"/>
      <c r="S1374" s="40"/>
      <c r="T1374" s="40"/>
      <c r="U1374" s="40"/>
      <c r="V1374" s="40"/>
      <c r="W1374" s="40"/>
      <c r="X1374" s="40"/>
      <c r="Y1374" s="40"/>
      <c r="Z1374" s="40"/>
    </row>
    <row r="1375">
      <c r="A1375" s="65"/>
      <c r="B1375" s="66"/>
      <c r="C1375" s="68"/>
      <c r="D1375" s="68"/>
      <c r="E1375" s="40"/>
      <c r="F1375" s="40"/>
      <c r="G1375" s="40"/>
      <c r="H1375" s="40"/>
      <c r="I1375" s="40"/>
      <c r="J1375" s="40"/>
      <c r="K1375" s="40"/>
      <c r="L1375" s="40"/>
      <c r="M1375" s="40"/>
      <c r="N1375" s="40"/>
      <c r="O1375" s="40"/>
      <c r="P1375" s="40"/>
      <c r="Q1375" s="40"/>
      <c r="R1375" s="40"/>
      <c r="S1375" s="40"/>
      <c r="T1375" s="40"/>
      <c r="U1375" s="40"/>
      <c r="V1375" s="40"/>
      <c r="W1375" s="40"/>
      <c r="X1375" s="40"/>
      <c r="Y1375" s="40"/>
      <c r="Z1375" s="40"/>
    </row>
    <row r="1376">
      <c r="A1376" s="65"/>
      <c r="B1376" s="66"/>
      <c r="C1376" s="68"/>
      <c r="D1376" s="68"/>
      <c r="E1376" s="40"/>
      <c r="F1376" s="40"/>
      <c r="G1376" s="40"/>
      <c r="H1376" s="40"/>
      <c r="I1376" s="40"/>
      <c r="J1376" s="40"/>
      <c r="K1376" s="40"/>
      <c r="L1376" s="40"/>
      <c r="M1376" s="40"/>
      <c r="N1376" s="40"/>
      <c r="O1376" s="40"/>
      <c r="P1376" s="40"/>
      <c r="Q1376" s="40"/>
      <c r="R1376" s="40"/>
      <c r="S1376" s="40"/>
      <c r="T1376" s="40"/>
      <c r="U1376" s="40"/>
      <c r="V1376" s="40"/>
      <c r="W1376" s="40"/>
      <c r="X1376" s="40"/>
      <c r="Y1376" s="40"/>
      <c r="Z1376" s="40"/>
    </row>
    <row r="1377">
      <c r="A1377" s="65"/>
      <c r="B1377" s="66"/>
      <c r="C1377" s="68"/>
      <c r="D1377" s="68"/>
      <c r="E1377" s="40"/>
      <c r="F1377" s="40"/>
      <c r="G1377" s="40"/>
      <c r="H1377" s="40"/>
      <c r="I1377" s="40"/>
      <c r="J1377" s="40"/>
      <c r="K1377" s="40"/>
      <c r="L1377" s="40"/>
      <c r="M1377" s="40"/>
      <c r="N1377" s="40"/>
      <c r="O1377" s="40"/>
      <c r="P1377" s="40"/>
      <c r="Q1377" s="40"/>
      <c r="R1377" s="40"/>
      <c r="S1377" s="40"/>
      <c r="T1377" s="40"/>
      <c r="U1377" s="40"/>
      <c r="V1377" s="40"/>
      <c r="W1377" s="40"/>
      <c r="X1377" s="40"/>
      <c r="Y1377" s="40"/>
      <c r="Z1377" s="40"/>
    </row>
    <row r="1378">
      <c r="A1378" s="65"/>
      <c r="B1378" s="66"/>
      <c r="C1378" s="68"/>
      <c r="D1378" s="68"/>
      <c r="E1378" s="40"/>
      <c r="F1378" s="40"/>
      <c r="G1378" s="40"/>
      <c r="H1378" s="40"/>
      <c r="I1378" s="40"/>
      <c r="J1378" s="40"/>
      <c r="K1378" s="40"/>
      <c r="L1378" s="40"/>
      <c r="M1378" s="40"/>
      <c r="N1378" s="40"/>
      <c r="O1378" s="40"/>
      <c r="P1378" s="40"/>
      <c r="Q1378" s="40"/>
      <c r="R1378" s="40"/>
      <c r="S1378" s="40"/>
      <c r="T1378" s="40"/>
      <c r="U1378" s="40"/>
      <c r="V1378" s="40"/>
      <c r="W1378" s="40"/>
      <c r="X1378" s="40"/>
      <c r="Y1378" s="40"/>
      <c r="Z1378" s="40"/>
    </row>
    <row r="1379">
      <c r="A1379" s="65"/>
      <c r="B1379" s="66"/>
      <c r="C1379" s="68"/>
      <c r="D1379" s="68"/>
      <c r="E1379" s="40"/>
      <c r="F1379" s="40"/>
      <c r="G1379" s="40"/>
      <c r="H1379" s="40"/>
      <c r="I1379" s="40"/>
      <c r="J1379" s="40"/>
      <c r="K1379" s="40"/>
      <c r="L1379" s="40"/>
      <c r="M1379" s="40"/>
      <c r="N1379" s="40"/>
      <c r="O1379" s="40"/>
      <c r="P1379" s="40"/>
      <c r="Q1379" s="40"/>
      <c r="R1379" s="40"/>
      <c r="S1379" s="40"/>
      <c r="T1379" s="40"/>
      <c r="U1379" s="40"/>
      <c r="V1379" s="40"/>
      <c r="W1379" s="40"/>
      <c r="X1379" s="40"/>
      <c r="Y1379" s="40"/>
      <c r="Z1379" s="40"/>
    </row>
    <row r="1380">
      <c r="A1380" s="65"/>
      <c r="B1380" s="66"/>
      <c r="C1380" s="68"/>
      <c r="D1380" s="68"/>
      <c r="E1380" s="40"/>
      <c r="F1380" s="40"/>
      <c r="G1380" s="40"/>
      <c r="H1380" s="40"/>
      <c r="I1380" s="40"/>
      <c r="J1380" s="40"/>
      <c r="K1380" s="40"/>
      <c r="L1380" s="40"/>
      <c r="M1380" s="40"/>
      <c r="N1380" s="40"/>
      <c r="O1380" s="40"/>
      <c r="P1380" s="40"/>
      <c r="Q1380" s="40"/>
      <c r="R1380" s="40"/>
      <c r="S1380" s="40"/>
      <c r="T1380" s="40"/>
      <c r="U1380" s="40"/>
      <c r="V1380" s="40"/>
      <c r="W1380" s="40"/>
      <c r="X1380" s="40"/>
      <c r="Y1380" s="40"/>
      <c r="Z1380" s="40"/>
    </row>
    <row r="1381">
      <c r="A1381" s="65"/>
      <c r="B1381" s="66"/>
      <c r="C1381" s="68"/>
      <c r="D1381" s="68"/>
      <c r="E1381" s="40"/>
      <c r="F1381" s="40"/>
      <c r="G1381" s="40"/>
      <c r="H1381" s="40"/>
      <c r="I1381" s="40"/>
      <c r="J1381" s="40"/>
      <c r="K1381" s="40"/>
      <c r="L1381" s="40"/>
      <c r="M1381" s="40"/>
      <c r="N1381" s="40"/>
      <c r="O1381" s="40"/>
      <c r="P1381" s="40"/>
      <c r="Q1381" s="40"/>
      <c r="R1381" s="40"/>
      <c r="S1381" s="40"/>
      <c r="T1381" s="40"/>
      <c r="U1381" s="40"/>
      <c r="V1381" s="40"/>
      <c r="W1381" s="40"/>
      <c r="X1381" s="40"/>
      <c r="Y1381" s="40"/>
      <c r="Z1381" s="40"/>
    </row>
    <row r="1382">
      <c r="A1382" s="65"/>
      <c r="B1382" s="66"/>
      <c r="C1382" s="68"/>
      <c r="D1382" s="68"/>
      <c r="E1382" s="40"/>
      <c r="F1382" s="40"/>
      <c r="G1382" s="40"/>
      <c r="H1382" s="40"/>
      <c r="I1382" s="40"/>
      <c r="J1382" s="40"/>
      <c r="K1382" s="40"/>
      <c r="L1382" s="40"/>
      <c r="M1382" s="40"/>
      <c r="N1382" s="40"/>
      <c r="O1382" s="40"/>
      <c r="P1382" s="40"/>
      <c r="Q1382" s="40"/>
      <c r="R1382" s="40"/>
      <c r="S1382" s="40"/>
      <c r="T1382" s="40"/>
      <c r="U1382" s="40"/>
      <c r="V1382" s="40"/>
      <c r="W1382" s="40"/>
      <c r="X1382" s="40"/>
      <c r="Y1382" s="40"/>
      <c r="Z1382" s="40"/>
    </row>
    <row r="1383">
      <c r="A1383" s="65"/>
      <c r="B1383" s="66"/>
      <c r="C1383" s="68"/>
      <c r="D1383" s="68"/>
      <c r="E1383" s="40"/>
      <c r="F1383" s="40"/>
      <c r="G1383" s="40"/>
      <c r="H1383" s="40"/>
      <c r="I1383" s="40"/>
      <c r="J1383" s="40"/>
      <c r="K1383" s="40"/>
      <c r="L1383" s="40"/>
      <c r="M1383" s="40"/>
      <c r="N1383" s="40"/>
      <c r="O1383" s="40"/>
      <c r="P1383" s="40"/>
      <c r="Q1383" s="40"/>
      <c r="R1383" s="40"/>
      <c r="S1383" s="40"/>
      <c r="T1383" s="40"/>
      <c r="U1383" s="40"/>
      <c r="V1383" s="40"/>
      <c r="W1383" s="40"/>
      <c r="X1383" s="40"/>
      <c r="Y1383" s="40"/>
      <c r="Z1383" s="40"/>
    </row>
    <row r="1384">
      <c r="A1384" s="65"/>
      <c r="B1384" s="66"/>
      <c r="C1384" s="68"/>
      <c r="D1384" s="68"/>
      <c r="E1384" s="40"/>
      <c r="F1384" s="40"/>
      <c r="G1384" s="40"/>
      <c r="H1384" s="40"/>
      <c r="I1384" s="40"/>
      <c r="J1384" s="40"/>
      <c r="K1384" s="40"/>
      <c r="L1384" s="40"/>
      <c r="M1384" s="40"/>
      <c r="N1384" s="40"/>
      <c r="O1384" s="40"/>
      <c r="P1384" s="40"/>
      <c r="Q1384" s="40"/>
      <c r="R1384" s="40"/>
      <c r="S1384" s="40"/>
      <c r="T1384" s="40"/>
      <c r="U1384" s="40"/>
      <c r="V1384" s="40"/>
      <c r="W1384" s="40"/>
      <c r="X1384" s="40"/>
      <c r="Y1384" s="40"/>
      <c r="Z1384" s="40"/>
    </row>
    <row r="1385">
      <c r="A1385" s="65"/>
      <c r="B1385" s="66"/>
      <c r="C1385" s="68"/>
      <c r="D1385" s="68"/>
      <c r="E1385" s="40"/>
      <c r="F1385" s="40"/>
      <c r="G1385" s="40"/>
      <c r="H1385" s="40"/>
      <c r="I1385" s="40"/>
      <c r="J1385" s="40"/>
      <c r="K1385" s="40"/>
      <c r="L1385" s="40"/>
      <c r="M1385" s="40"/>
      <c r="N1385" s="40"/>
      <c r="O1385" s="40"/>
      <c r="P1385" s="40"/>
      <c r="Q1385" s="40"/>
      <c r="R1385" s="40"/>
      <c r="S1385" s="40"/>
      <c r="T1385" s="40"/>
      <c r="U1385" s="40"/>
      <c r="V1385" s="40"/>
      <c r="W1385" s="40"/>
      <c r="X1385" s="40"/>
      <c r="Y1385" s="40"/>
      <c r="Z1385" s="40"/>
    </row>
    <row r="1386">
      <c r="A1386" s="65"/>
      <c r="B1386" s="66"/>
      <c r="C1386" s="68"/>
      <c r="D1386" s="68"/>
      <c r="E1386" s="40"/>
      <c r="F1386" s="40"/>
      <c r="G1386" s="40"/>
      <c r="H1386" s="40"/>
      <c r="I1386" s="40"/>
      <c r="J1386" s="40"/>
      <c r="K1386" s="40"/>
      <c r="L1386" s="40"/>
      <c r="M1386" s="40"/>
      <c r="N1386" s="40"/>
      <c r="O1386" s="40"/>
      <c r="P1386" s="40"/>
      <c r="Q1386" s="40"/>
      <c r="R1386" s="40"/>
      <c r="S1386" s="40"/>
      <c r="T1386" s="40"/>
      <c r="U1386" s="40"/>
      <c r="V1386" s="40"/>
      <c r="W1386" s="40"/>
      <c r="X1386" s="40"/>
      <c r="Y1386" s="40"/>
      <c r="Z1386" s="40"/>
    </row>
    <row r="1387">
      <c r="A1387" s="65"/>
      <c r="B1387" s="66"/>
      <c r="C1387" s="68"/>
      <c r="D1387" s="68"/>
      <c r="E1387" s="40"/>
      <c r="F1387" s="40"/>
      <c r="G1387" s="40"/>
      <c r="H1387" s="40"/>
      <c r="I1387" s="40"/>
      <c r="J1387" s="40"/>
      <c r="K1387" s="40"/>
      <c r="L1387" s="40"/>
      <c r="M1387" s="40"/>
      <c r="N1387" s="40"/>
      <c r="O1387" s="40"/>
      <c r="P1387" s="40"/>
      <c r="Q1387" s="40"/>
      <c r="R1387" s="40"/>
      <c r="S1387" s="40"/>
      <c r="T1387" s="40"/>
      <c r="U1387" s="40"/>
      <c r="V1387" s="40"/>
      <c r="W1387" s="40"/>
      <c r="X1387" s="40"/>
      <c r="Y1387" s="40"/>
      <c r="Z1387" s="40"/>
    </row>
    <row r="1388">
      <c r="A1388" s="65"/>
      <c r="B1388" s="66"/>
      <c r="C1388" s="68"/>
      <c r="D1388" s="68"/>
      <c r="E1388" s="40"/>
      <c r="F1388" s="40"/>
      <c r="G1388" s="40"/>
      <c r="H1388" s="40"/>
      <c r="I1388" s="40"/>
      <c r="J1388" s="40"/>
      <c r="K1388" s="40"/>
      <c r="L1388" s="40"/>
      <c r="M1388" s="40"/>
      <c r="N1388" s="40"/>
      <c r="O1388" s="40"/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0"/>
    </row>
    <row r="1389">
      <c r="A1389" s="65"/>
      <c r="B1389" s="66"/>
      <c r="C1389" s="68"/>
      <c r="D1389" s="68"/>
      <c r="E1389" s="40"/>
      <c r="F1389" s="40"/>
      <c r="G1389" s="40"/>
      <c r="H1389" s="40"/>
      <c r="I1389" s="40"/>
      <c r="J1389" s="40"/>
      <c r="K1389" s="40"/>
      <c r="L1389" s="40"/>
      <c r="M1389" s="40"/>
      <c r="N1389" s="40"/>
      <c r="O1389" s="40"/>
      <c r="P1389" s="40"/>
      <c r="Q1389" s="40"/>
      <c r="R1389" s="40"/>
      <c r="S1389" s="40"/>
      <c r="T1389" s="40"/>
      <c r="U1389" s="40"/>
      <c r="V1389" s="40"/>
      <c r="W1389" s="40"/>
      <c r="X1389" s="40"/>
      <c r="Y1389" s="40"/>
      <c r="Z1389" s="40"/>
    </row>
    <row r="1390">
      <c r="A1390" s="65"/>
      <c r="B1390" s="66"/>
      <c r="C1390" s="68"/>
      <c r="D1390" s="68"/>
      <c r="E1390" s="40"/>
      <c r="F1390" s="40"/>
      <c r="G1390" s="40"/>
      <c r="H1390" s="40"/>
      <c r="I1390" s="40"/>
      <c r="J1390" s="40"/>
      <c r="K1390" s="40"/>
      <c r="L1390" s="40"/>
      <c r="M1390" s="40"/>
      <c r="N1390" s="40"/>
      <c r="O1390" s="40"/>
      <c r="P1390" s="40"/>
      <c r="Q1390" s="40"/>
      <c r="R1390" s="40"/>
      <c r="S1390" s="40"/>
      <c r="T1390" s="40"/>
      <c r="U1390" s="40"/>
      <c r="V1390" s="40"/>
      <c r="W1390" s="40"/>
      <c r="X1390" s="40"/>
      <c r="Y1390" s="40"/>
      <c r="Z1390" s="40"/>
    </row>
    <row r="1391">
      <c r="A1391" s="65"/>
      <c r="B1391" s="66"/>
      <c r="C1391" s="68"/>
      <c r="D1391" s="68"/>
      <c r="E1391" s="40"/>
      <c r="F1391" s="40"/>
      <c r="G1391" s="40"/>
      <c r="H1391" s="40"/>
      <c r="I1391" s="40"/>
      <c r="J1391" s="40"/>
      <c r="K1391" s="40"/>
      <c r="L1391" s="40"/>
      <c r="M1391" s="40"/>
      <c r="N1391" s="40"/>
      <c r="O1391" s="40"/>
      <c r="P1391" s="40"/>
      <c r="Q1391" s="40"/>
      <c r="R1391" s="40"/>
      <c r="S1391" s="40"/>
      <c r="T1391" s="40"/>
      <c r="U1391" s="40"/>
      <c r="V1391" s="40"/>
      <c r="W1391" s="40"/>
      <c r="X1391" s="40"/>
      <c r="Y1391" s="40"/>
      <c r="Z1391" s="40"/>
    </row>
    <row r="1392">
      <c r="A1392" s="65"/>
      <c r="B1392" s="66"/>
      <c r="C1392" s="68"/>
      <c r="D1392" s="68"/>
      <c r="E1392" s="40"/>
      <c r="F1392" s="40"/>
      <c r="G1392" s="40"/>
      <c r="H1392" s="40"/>
      <c r="I1392" s="40"/>
      <c r="J1392" s="40"/>
      <c r="K1392" s="40"/>
      <c r="L1392" s="40"/>
      <c r="M1392" s="40"/>
      <c r="N1392" s="40"/>
      <c r="O1392" s="40"/>
      <c r="P1392" s="40"/>
      <c r="Q1392" s="40"/>
      <c r="R1392" s="40"/>
      <c r="S1392" s="40"/>
      <c r="T1392" s="40"/>
      <c r="U1392" s="40"/>
      <c r="V1392" s="40"/>
      <c r="W1392" s="40"/>
      <c r="X1392" s="40"/>
      <c r="Y1392" s="40"/>
      <c r="Z1392" s="40"/>
    </row>
    <row r="1393">
      <c r="A1393" s="65"/>
      <c r="B1393" s="66"/>
      <c r="C1393" s="68"/>
      <c r="D1393" s="68"/>
      <c r="E1393" s="40"/>
      <c r="F1393" s="40"/>
      <c r="G1393" s="40"/>
      <c r="H1393" s="40"/>
      <c r="I1393" s="40"/>
      <c r="J1393" s="40"/>
      <c r="K1393" s="40"/>
      <c r="L1393" s="40"/>
      <c r="M1393" s="40"/>
      <c r="N1393" s="40"/>
      <c r="O1393" s="40"/>
      <c r="P1393" s="40"/>
      <c r="Q1393" s="40"/>
      <c r="R1393" s="40"/>
      <c r="S1393" s="40"/>
      <c r="T1393" s="40"/>
      <c r="U1393" s="40"/>
      <c r="V1393" s="40"/>
      <c r="W1393" s="40"/>
      <c r="X1393" s="40"/>
      <c r="Y1393" s="40"/>
      <c r="Z1393" s="40"/>
    </row>
    <row r="1394">
      <c r="A1394" s="65"/>
      <c r="B1394" s="66"/>
      <c r="C1394" s="68"/>
      <c r="D1394" s="68"/>
      <c r="E1394" s="40"/>
      <c r="F1394" s="40"/>
      <c r="G1394" s="40"/>
      <c r="H1394" s="40"/>
      <c r="I1394" s="40"/>
      <c r="J1394" s="40"/>
      <c r="K1394" s="40"/>
      <c r="L1394" s="40"/>
      <c r="M1394" s="40"/>
      <c r="N1394" s="40"/>
      <c r="O1394" s="40"/>
      <c r="P1394" s="40"/>
      <c r="Q1394" s="40"/>
      <c r="R1394" s="40"/>
      <c r="S1394" s="40"/>
      <c r="T1394" s="40"/>
      <c r="U1394" s="40"/>
      <c r="V1394" s="40"/>
      <c r="W1394" s="40"/>
      <c r="X1394" s="40"/>
      <c r="Y1394" s="40"/>
      <c r="Z1394" s="40"/>
    </row>
    <row r="1395">
      <c r="A1395" s="65"/>
      <c r="B1395" s="66"/>
      <c r="C1395" s="68"/>
      <c r="D1395" s="68"/>
      <c r="E1395" s="40"/>
      <c r="F1395" s="40"/>
      <c r="G1395" s="40"/>
      <c r="H1395" s="40"/>
      <c r="I1395" s="40"/>
      <c r="J1395" s="40"/>
      <c r="K1395" s="40"/>
      <c r="L1395" s="40"/>
      <c r="M1395" s="40"/>
      <c r="N1395" s="40"/>
      <c r="O1395" s="40"/>
      <c r="P1395" s="40"/>
      <c r="Q1395" s="40"/>
      <c r="R1395" s="40"/>
      <c r="S1395" s="40"/>
      <c r="T1395" s="40"/>
      <c r="U1395" s="40"/>
      <c r="V1395" s="40"/>
      <c r="W1395" s="40"/>
      <c r="X1395" s="40"/>
      <c r="Y1395" s="40"/>
      <c r="Z1395" s="40"/>
    </row>
    <row r="1396">
      <c r="A1396" s="65"/>
      <c r="B1396" s="66"/>
      <c r="C1396" s="68"/>
      <c r="D1396" s="68"/>
      <c r="E1396" s="40"/>
      <c r="F1396" s="40"/>
      <c r="G1396" s="40"/>
      <c r="H1396" s="40"/>
      <c r="I1396" s="40"/>
      <c r="J1396" s="40"/>
      <c r="K1396" s="40"/>
      <c r="L1396" s="40"/>
      <c r="M1396" s="40"/>
      <c r="N1396" s="40"/>
      <c r="O1396" s="40"/>
      <c r="P1396" s="40"/>
      <c r="Q1396" s="40"/>
      <c r="R1396" s="40"/>
      <c r="S1396" s="40"/>
      <c r="T1396" s="40"/>
      <c r="U1396" s="40"/>
      <c r="V1396" s="40"/>
      <c r="W1396" s="40"/>
      <c r="X1396" s="40"/>
      <c r="Y1396" s="40"/>
      <c r="Z1396" s="40"/>
    </row>
    <row r="1397">
      <c r="A1397" s="65"/>
      <c r="B1397" s="66"/>
      <c r="C1397" s="68"/>
      <c r="D1397" s="68"/>
      <c r="E1397" s="40"/>
      <c r="F1397" s="40"/>
      <c r="G1397" s="40"/>
      <c r="H1397" s="40"/>
      <c r="I1397" s="40"/>
      <c r="J1397" s="40"/>
      <c r="K1397" s="40"/>
      <c r="L1397" s="40"/>
      <c r="M1397" s="40"/>
      <c r="N1397" s="40"/>
      <c r="O1397" s="40"/>
      <c r="P1397" s="40"/>
      <c r="Q1397" s="40"/>
      <c r="R1397" s="40"/>
      <c r="S1397" s="40"/>
      <c r="T1397" s="40"/>
      <c r="U1397" s="40"/>
      <c r="V1397" s="40"/>
      <c r="W1397" s="40"/>
      <c r="X1397" s="40"/>
      <c r="Y1397" s="40"/>
      <c r="Z1397" s="40"/>
    </row>
    <row r="1398">
      <c r="A1398" s="65"/>
      <c r="B1398" s="66"/>
      <c r="C1398" s="68"/>
      <c r="D1398" s="68"/>
      <c r="E1398" s="40"/>
      <c r="F1398" s="40"/>
      <c r="G1398" s="40"/>
      <c r="H1398" s="40"/>
      <c r="I1398" s="40"/>
      <c r="J1398" s="40"/>
      <c r="K1398" s="40"/>
      <c r="L1398" s="40"/>
      <c r="M1398" s="40"/>
      <c r="N1398" s="40"/>
      <c r="O1398" s="40"/>
      <c r="P1398" s="40"/>
      <c r="Q1398" s="40"/>
      <c r="R1398" s="40"/>
      <c r="S1398" s="40"/>
      <c r="T1398" s="40"/>
      <c r="U1398" s="40"/>
      <c r="V1398" s="40"/>
      <c r="W1398" s="40"/>
      <c r="X1398" s="40"/>
      <c r="Y1398" s="40"/>
      <c r="Z1398" s="40"/>
    </row>
    <row r="1399">
      <c r="A1399" s="65"/>
      <c r="B1399" s="66"/>
      <c r="C1399" s="68"/>
      <c r="D1399" s="68"/>
      <c r="E1399" s="40"/>
      <c r="F1399" s="40"/>
      <c r="G1399" s="40"/>
      <c r="H1399" s="40"/>
      <c r="I1399" s="40"/>
      <c r="J1399" s="40"/>
      <c r="K1399" s="40"/>
      <c r="L1399" s="40"/>
      <c r="M1399" s="40"/>
      <c r="N1399" s="40"/>
      <c r="O1399" s="40"/>
      <c r="P1399" s="40"/>
      <c r="Q1399" s="40"/>
      <c r="R1399" s="40"/>
      <c r="S1399" s="40"/>
      <c r="T1399" s="40"/>
      <c r="U1399" s="40"/>
      <c r="V1399" s="40"/>
      <c r="W1399" s="40"/>
      <c r="X1399" s="40"/>
      <c r="Y1399" s="40"/>
      <c r="Z1399" s="40"/>
    </row>
    <row r="1400">
      <c r="A1400" s="65"/>
      <c r="B1400" s="66"/>
      <c r="C1400" s="68"/>
      <c r="D1400" s="68"/>
      <c r="E1400" s="40"/>
      <c r="F1400" s="40"/>
      <c r="G1400" s="40"/>
      <c r="H1400" s="40"/>
      <c r="I1400" s="40"/>
      <c r="J1400" s="40"/>
      <c r="K1400" s="40"/>
      <c r="L1400" s="40"/>
      <c r="M1400" s="40"/>
      <c r="N1400" s="40"/>
      <c r="O1400" s="40"/>
      <c r="P1400" s="40"/>
      <c r="Q1400" s="40"/>
      <c r="R1400" s="40"/>
      <c r="S1400" s="40"/>
      <c r="T1400" s="40"/>
      <c r="U1400" s="40"/>
      <c r="V1400" s="40"/>
      <c r="W1400" s="40"/>
      <c r="X1400" s="40"/>
      <c r="Y1400" s="40"/>
      <c r="Z1400" s="40"/>
    </row>
    <row r="1401">
      <c r="A1401" s="65"/>
      <c r="B1401" s="66"/>
      <c r="C1401" s="68"/>
      <c r="D1401" s="68"/>
      <c r="E1401" s="40"/>
      <c r="F1401" s="40"/>
      <c r="G1401" s="40"/>
      <c r="H1401" s="40"/>
      <c r="I1401" s="40"/>
      <c r="J1401" s="40"/>
      <c r="K1401" s="40"/>
      <c r="L1401" s="40"/>
      <c r="M1401" s="40"/>
      <c r="N1401" s="40"/>
      <c r="O1401" s="40"/>
      <c r="P1401" s="40"/>
      <c r="Q1401" s="40"/>
      <c r="R1401" s="40"/>
      <c r="S1401" s="40"/>
      <c r="T1401" s="40"/>
      <c r="U1401" s="40"/>
      <c r="V1401" s="40"/>
      <c r="W1401" s="40"/>
      <c r="X1401" s="40"/>
      <c r="Y1401" s="40"/>
      <c r="Z1401" s="40"/>
    </row>
    <row r="1402">
      <c r="A1402" s="65"/>
      <c r="B1402" s="66"/>
      <c r="C1402" s="68"/>
      <c r="D1402" s="68"/>
      <c r="E1402" s="40"/>
      <c r="F1402" s="40"/>
      <c r="G1402" s="40"/>
      <c r="H1402" s="40"/>
      <c r="I1402" s="40"/>
      <c r="J1402" s="40"/>
      <c r="K1402" s="40"/>
      <c r="L1402" s="40"/>
      <c r="M1402" s="40"/>
      <c r="N1402" s="40"/>
      <c r="O1402" s="40"/>
      <c r="P1402" s="40"/>
      <c r="Q1402" s="40"/>
      <c r="R1402" s="40"/>
      <c r="S1402" s="40"/>
      <c r="T1402" s="40"/>
      <c r="U1402" s="40"/>
      <c r="V1402" s="40"/>
      <c r="W1402" s="40"/>
      <c r="X1402" s="40"/>
      <c r="Y1402" s="40"/>
      <c r="Z1402" s="40"/>
    </row>
    <row r="1403">
      <c r="A1403" s="65"/>
      <c r="B1403" s="66"/>
      <c r="C1403" s="68"/>
      <c r="D1403" s="68"/>
      <c r="E1403" s="40"/>
      <c r="F1403" s="40"/>
      <c r="G1403" s="40"/>
      <c r="H1403" s="40"/>
      <c r="I1403" s="40"/>
      <c r="J1403" s="40"/>
      <c r="K1403" s="40"/>
      <c r="L1403" s="40"/>
      <c r="M1403" s="40"/>
      <c r="N1403" s="40"/>
      <c r="O1403" s="40"/>
      <c r="P1403" s="40"/>
      <c r="Q1403" s="40"/>
      <c r="R1403" s="40"/>
      <c r="S1403" s="40"/>
      <c r="T1403" s="40"/>
      <c r="U1403" s="40"/>
      <c r="V1403" s="40"/>
      <c r="W1403" s="40"/>
      <c r="X1403" s="40"/>
      <c r="Y1403" s="40"/>
      <c r="Z1403" s="40"/>
    </row>
    <row r="1404">
      <c r="A1404" s="65"/>
      <c r="B1404" s="66"/>
      <c r="C1404" s="68"/>
      <c r="D1404" s="68"/>
      <c r="E1404" s="40"/>
      <c r="F1404" s="40"/>
      <c r="G1404" s="40"/>
      <c r="H1404" s="40"/>
      <c r="I1404" s="40"/>
      <c r="J1404" s="40"/>
      <c r="K1404" s="40"/>
      <c r="L1404" s="40"/>
      <c r="M1404" s="40"/>
      <c r="N1404" s="40"/>
      <c r="O1404" s="40"/>
      <c r="P1404" s="40"/>
      <c r="Q1404" s="40"/>
      <c r="R1404" s="40"/>
      <c r="S1404" s="40"/>
      <c r="T1404" s="40"/>
      <c r="U1404" s="40"/>
      <c r="V1404" s="40"/>
      <c r="W1404" s="40"/>
      <c r="X1404" s="40"/>
      <c r="Y1404" s="40"/>
      <c r="Z1404" s="40"/>
    </row>
    <row r="1405">
      <c r="A1405" s="65"/>
      <c r="B1405" s="66"/>
      <c r="C1405" s="68"/>
      <c r="D1405" s="68"/>
      <c r="E1405" s="40"/>
      <c r="F1405" s="40"/>
      <c r="G1405" s="40"/>
      <c r="H1405" s="40"/>
      <c r="I1405" s="40"/>
      <c r="J1405" s="40"/>
      <c r="K1405" s="40"/>
      <c r="L1405" s="40"/>
      <c r="M1405" s="40"/>
      <c r="N1405" s="40"/>
      <c r="O1405" s="40"/>
      <c r="P1405" s="40"/>
      <c r="Q1405" s="40"/>
      <c r="R1405" s="40"/>
      <c r="S1405" s="40"/>
      <c r="T1405" s="40"/>
      <c r="U1405" s="40"/>
      <c r="V1405" s="40"/>
      <c r="W1405" s="40"/>
      <c r="X1405" s="40"/>
      <c r="Y1405" s="40"/>
      <c r="Z1405" s="40"/>
    </row>
    <row r="1406">
      <c r="A1406" s="65"/>
      <c r="B1406" s="66"/>
      <c r="C1406" s="68"/>
      <c r="D1406" s="68"/>
      <c r="E1406" s="40"/>
      <c r="F1406" s="40"/>
      <c r="G1406" s="40"/>
      <c r="H1406" s="40"/>
      <c r="I1406" s="40"/>
      <c r="J1406" s="40"/>
      <c r="K1406" s="40"/>
      <c r="L1406" s="40"/>
      <c r="M1406" s="40"/>
      <c r="N1406" s="40"/>
      <c r="O1406" s="40"/>
      <c r="P1406" s="40"/>
      <c r="Q1406" s="40"/>
      <c r="R1406" s="40"/>
      <c r="S1406" s="40"/>
      <c r="T1406" s="40"/>
      <c r="U1406" s="40"/>
      <c r="V1406" s="40"/>
      <c r="W1406" s="40"/>
      <c r="X1406" s="40"/>
      <c r="Y1406" s="40"/>
      <c r="Z1406" s="40"/>
    </row>
    <row r="1407">
      <c r="A1407" s="65"/>
      <c r="B1407" s="66"/>
      <c r="C1407" s="68"/>
      <c r="D1407" s="68"/>
      <c r="E1407" s="40"/>
      <c r="F1407" s="40"/>
      <c r="G1407" s="40"/>
      <c r="H1407" s="40"/>
      <c r="I1407" s="40"/>
      <c r="J1407" s="40"/>
      <c r="K1407" s="40"/>
      <c r="L1407" s="40"/>
      <c r="M1407" s="40"/>
      <c r="N1407" s="40"/>
      <c r="O1407" s="40"/>
      <c r="P1407" s="40"/>
      <c r="Q1407" s="40"/>
      <c r="R1407" s="40"/>
      <c r="S1407" s="40"/>
      <c r="T1407" s="40"/>
      <c r="U1407" s="40"/>
      <c r="V1407" s="40"/>
      <c r="W1407" s="40"/>
      <c r="X1407" s="40"/>
      <c r="Y1407" s="40"/>
      <c r="Z1407" s="40"/>
    </row>
    <row r="1408">
      <c r="A1408" s="65"/>
      <c r="B1408" s="66"/>
      <c r="C1408" s="68"/>
      <c r="D1408" s="68"/>
      <c r="E1408" s="40"/>
      <c r="F1408" s="40"/>
      <c r="G1408" s="40"/>
      <c r="H1408" s="40"/>
      <c r="I1408" s="40"/>
      <c r="J1408" s="40"/>
      <c r="K1408" s="40"/>
      <c r="L1408" s="40"/>
      <c r="M1408" s="40"/>
      <c r="N1408" s="40"/>
      <c r="O1408" s="40"/>
      <c r="P1408" s="40"/>
      <c r="Q1408" s="40"/>
      <c r="R1408" s="40"/>
      <c r="S1408" s="40"/>
      <c r="T1408" s="40"/>
      <c r="U1408" s="40"/>
      <c r="V1408" s="40"/>
      <c r="W1408" s="40"/>
      <c r="X1408" s="40"/>
      <c r="Y1408" s="40"/>
      <c r="Z1408" s="40"/>
    </row>
    <row r="1409">
      <c r="A1409" s="65"/>
      <c r="B1409" s="66"/>
      <c r="C1409" s="68"/>
      <c r="D1409" s="68"/>
      <c r="E1409" s="40"/>
      <c r="F1409" s="40"/>
      <c r="G1409" s="40"/>
      <c r="H1409" s="40"/>
      <c r="I1409" s="40"/>
      <c r="J1409" s="40"/>
      <c r="K1409" s="40"/>
      <c r="L1409" s="40"/>
      <c r="M1409" s="40"/>
      <c r="N1409" s="40"/>
      <c r="O1409" s="40"/>
      <c r="P1409" s="40"/>
      <c r="Q1409" s="40"/>
      <c r="R1409" s="40"/>
      <c r="S1409" s="40"/>
      <c r="T1409" s="40"/>
      <c r="U1409" s="40"/>
      <c r="V1409" s="40"/>
      <c r="W1409" s="40"/>
      <c r="X1409" s="40"/>
      <c r="Y1409" s="40"/>
      <c r="Z1409" s="40"/>
    </row>
    <row r="1410">
      <c r="A1410" s="65"/>
      <c r="B1410" s="66"/>
      <c r="C1410" s="68"/>
      <c r="D1410" s="68"/>
      <c r="E1410" s="40"/>
      <c r="F1410" s="40"/>
      <c r="G1410" s="40"/>
      <c r="H1410" s="40"/>
      <c r="I1410" s="40"/>
      <c r="J1410" s="40"/>
      <c r="K1410" s="40"/>
      <c r="L1410" s="40"/>
      <c r="M1410" s="40"/>
      <c r="N1410" s="40"/>
      <c r="O1410" s="40"/>
      <c r="P1410" s="40"/>
      <c r="Q1410" s="40"/>
      <c r="R1410" s="40"/>
      <c r="S1410" s="40"/>
      <c r="T1410" s="40"/>
      <c r="U1410" s="40"/>
      <c r="V1410" s="40"/>
      <c r="W1410" s="40"/>
      <c r="X1410" s="40"/>
      <c r="Y1410" s="40"/>
      <c r="Z1410" s="40"/>
    </row>
    <row r="1411">
      <c r="A1411" s="65"/>
      <c r="B1411" s="66"/>
      <c r="C1411" s="68"/>
      <c r="D1411" s="68"/>
      <c r="E1411" s="40"/>
      <c r="F1411" s="40"/>
      <c r="G1411" s="40"/>
      <c r="H1411" s="40"/>
      <c r="I1411" s="40"/>
      <c r="J1411" s="40"/>
      <c r="K1411" s="40"/>
      <c r="L1411" s="40"/>
      <c r="M1411" s="40"/>
      <c r="N1411" s="40"/>
      <c r="O1411" s="40"/>
      <c r="P1411" s="40"/>
      <c r="Q1411" s="40"/>
      <c r="R1411" s="40"/>
      <c r="S1411" s="40"/>
      <c r="T1411" s="40"/>
      <c r="U1411" s="40"/>
      <c r="V1411" s="40"/>
      <c r="W1411" s="40"/>
      <c r="X1411" s="40"/>
      <c r="Y1411" s="40"/>
      <c r="Z1411" s="40"/>
    </row>
    <row r="1412">
      <c r="A1412" s="65"/>
      <c r="B1412" s="66"/>
      <c r="C1412" s="68"/>
      <c r="D1412" s="68"/>
      <c r="E1412" s="40"/>
      <c r="F1412" s="40"/>
      <c r="G1412" s="40"/>
      <c r="H1412" s="40"/>
      <c r="I1412" s="40"/>
      <c r="J1412" s="40"/>
      <c r="K1412" s="40"/>
      <c r="L1412" s="40"/>
      <c r="M1412" s="40"/>
      <c r="N1412" s="40"/>
      <c r="O1412" s="40"/>
      <c r="P1412" s="40"/>
      <c r="Q1412" s="40"/>
      <c r="R1412" s="40"/>
      <c r="S1412" s="40"/>
      <c r="T1412" s="40"/>
      <c r="U1412" s="40"/>
      <c r="V1412" s="40"/>
      <c r="W1412" s="40"/>
      <c r="X1412" s="40"/>
      <c r="Y1412" s="40"/>
      <c r="Z1412" s="40"/>
    </row>
    <row r="1413">
      <c r="A1413" s="65"/>
      <c r="B1413" s="66"/>
      <c r="C1413" s="68"/>
      <c r="D1413" s="68"/>
      <c r="E1413" s="40"/>
      <c r="F1413" s="40"/>
      <c r="G1413" s="40"/>
      <c r="H1413" s="40"/>
      <c r="I1413" s="40"/>
      <c r="J1413" s="40"/>
      <c r="K1413" s="40"/>
      <c r="L1413" s="40"/>
      <c r="M1413" s="40"/>
      <c r="N1413" s="40"/>
      <c r="O1413" s="40"/>
      <c r="P1413" s="40"/>
      <c r="Q1413" s="40"/>
      <c r="R1413" s="40"/>
      <c r="S1413" s="40"/>
      <c r="T1413" s="40"/>
      <c r="U1413" s="40"/>
      <c r="V1413" s="40"/>
      <c r="W1413" s="40"/>
      <c r="X1413" s="40"/>
      <c r="Y1413" s="40"/>
      <c r="Z1413" s="40"/>
    </row>
    <row r="1414">
      <c r="A1414" s="65"/>
      <c r="B1414" s="66"/>
      <c r="C1414" s="68"/>
      <c r="D1414" s="68"/>
      <c r="E1414" s="40"/>
      <c r="F1414" s="40"/>
      <c r="G1414" s="40"/>
      <c r="H1414" s="40"/>
      <c r="I1414" s="40"/>
      <c r="J1414" s="40"/>
      <c r="K1414" s="40"/>
      <c r="L1414" s="40"/>
      <c r="M1414" s="40"/>
      <c r="N1414" s="40"/>
      <c r="O1414" s="40"/>
      <c r="P1414" s="40"/>
      <c r="Q1414" s="40"/>
      <c r="R1414" s="40"/>
      <c r="S1414" s="40"/>
      <c r="T1414" s="40"/>
      <c r="U1414" s="40"/>
      <c r="V1414" s="40"/>
      <c r="W1414" s="40"/>
      <c r="X1414" s="40"/>
      <c r="Y1414" s="40"/>
      <c r="Z1414" s="40"/>
    </row>
    <row r="1415">
      <c r="A1415" s="65"/>
      <c r="B1415" s="66"/>
      <c r="C1415" s="68"/>
      <c r="D1415" s="68"/>
      <c r="E1415" s="40"/>
      <c r="F1415" s="40"/>
      <c r="G1415" s="40"/>
      <c r="H1415" s="40"/>
      <c r="I1415" s="40"/>
      <c r="J1415" s="40"/>
      <c r="K1415" s="40"/>
      <c r="L1415" s="40"/>
      <c r="M1415" s="40"/>
      <c r="N1415" s="40"/>
      <c r="O1415" s="40"/>
      <c r="P1415" s="40"/>
      <c r="Q1415" s="40"/>
      <c r="R1415" s="40"/>
      <c r="S1415" s="40"/>
      <c r="T1415" s="40"/>
      <c r="U1415" s="40"/>
      <c r="V1415" s="40"/>
      <c r="W1415" s="40"/>
      <c r="X1415" s="40"/>
      <c r="Y1415" s="40"/>
      <c r="Z1415" s="40"/>
    </row>
    <row r="1416">
      <c r="A1416" s="65"/>
      <c r="B1416" s="66"/>
      <c r="C1416" s="68"/>
      <c r="D1416" s="68"/>
      <c r="E1416" s="40"/>
      <c r="F1416" s="40"/>
      <c r="G1416" s="40"/>
      <c r="H1416" s="40"/>
      <c r="I1416" s="40"/>
      <c r="J1416" s="40"/>
      <c r="K1416" s="40"/>
      <c r="L1416" s="40"/>
      <c r="M1416" s="40"/>
      <c r="N1416" s="40"/>
      <c r="O1416" s="40"/>
      <c r="P1416" s="40"/>
      <c r="Q1416" s="40"/>
      <c r="R1416" s="40"/>
      <c r="S1416" s="40"/>
      <c r="T1416" s="40"/>
      <c r="U1416" s="40"/>
      <c r="V1416" s="40"/>
      <c r="W1416" s="40"/>
      <c r="X1416" s="40"/>
      <c r="Y1416" s="40"/>
      <c r="Z1416" s="40"/>
    </row>
    <row r="1417">
      <c r="A1417" s="65"/>
      <c r="B1417" s="66"/>
      <c r="C1417" s="68"/>
      <c r="D1417" s="68"/>
      <c r="E1417" s="40"/>
      <c r="F1417" s="40"/>
      <c r="G1417" s="40"/>
      <c r="H1417" s="40"/>
      <c r="I1417" s="40"/>
      <c r="J1417" s="40"/>
      <c r="K1417" s="40"/>
      <c r="L1417" s="40"/>
      <c r="M1417" s="40"/>
      <c r="N1417" s="40"/>
      <c r="O1417" s="40"/>
      <c r="P1417" s="40"/>
      <c r="Q1417" s="40"/>
      <c r="R1417" s="40"/>
      <c r="S1417" s="40"/>
      <c r="T1417" s="40"/>
      <c r="U1417" s="40"/>
      <c r="V1417" s="40"/>
      <c r="W1417" s="40"/>
      <c r="X1417" s="40"/>
      <c r="Y1417" s="40"/>
      <c r="Z1417" s="40"/>
    </row>
    <row r="1418">
      <c r="A1418" s="65"/>
      <c r="B1418" s="66"/>
      <c r="C1418" s="68"/>
      <c r="D1418" s="68"/>
      <c r="E1418" s="40"/>
      <c r="F1418" s="40"/>
      <c r="G1418" s="40"/>
      <c r="H1418" s="40"/>
      <c r="I1418" s="40"/>
      <c r="J1418" s="40"/>
      <c r="K1418" s="40"/>
      <c r="L1418" s="40"/>
      <c r="M1418" s="40"/>
      <c r="N1418" s="40"/>
      <c r="O1418" s="40"/>
      <c r="P1418" s="40"/>
      <c r="Q1418" s="40"/>
      <c r="R1418" s="40"/>
      <c r="S1418" s="40"/>
      <c r="T1418" s="40"/>
      <c r="U1418" s="40"/>
      <c r="V1418" s="40"/>
      <c r="W1418" s="40"/>
      <c r="X1418" s="40"/>
      <c r="Y1418" s="40"/>
      <c r="Z1418" s="40"/>
    </row>
    <row r="1419">
      <c r="A1419" s="65"/>
      <c r="B1419" s="66"/>
      <c r="C1419" s="68"/>
      <c r="D1419" s="68"/>
      <c r="E1419" s="40"/>
      <c r="F1419" s="40"/>
      <c r="G1419" s="40"/>
      <c r="H1419" s="40"/>
      <c r="I1419" s="40"/>
      <c r="J1419" s="40"/>
      <c r="K1419" s="40"/>
      <c r="L1419" s="40"/>
      <c r="M1419" s="40"/>
      <c r="N1419" s="40"/>
      <c r="O1419" s="40"/>
      <c r="P1419" s="40"/>
      <c r="Q1419" s="40"/>
      <c r="R1419" s="40"/>
      <c r="S1419" s="40"/>
      <c r="T1419" s="40"/>
      <c r="U1419" s="40"/>
      <c r="V1419" s="40"/>
      <c r="W1419" s="40"/>
      <c r="X1419" s="40"/>
      <c r="Y1419" s="40"/>
      <c r="Z1419" s="40"/>
    </row>
    <row r="1420">
      <c r="A1420" s="65"/>
      <c r="B1420" s="66"/>
      <c r="C1420" s="68"/>
      <c r="D1420" s="68"/>
      <c r="E1420" s="40"/>
      <c r="F1420" s="40"/>
      <c r="G1420" s="40"/>
      <c r="H1420" s="40"/>
      <c r="I1420" s="40"/>
      <c r="J1420" s="40"/>
      <c r="K1420" s="40"/>
      <c r="L1420" s="40"/>
      <c r="M1420" s="40"/>
      <c r="N1420" s="40"/>
      <c r="O1420" s="40"/>
      <c r="P1420" s="40"/>
      <c r="Q1420" s="40"/>
      <c r="R1420" s="40"/>
      <c r="S1420" s="40"/>
      <c r="T1420" s="40"/>
      <c r="U1420" s="40"/>
      <c r="V1420" s="40"/>
      <c r="W1420" s="40"/>
      <c r="X1420" s="40"/>
      <c r="Y1420" s="40"/>
      <c r="Z1420" s="40"/>
    </row>
    <row r="1421">
      <c r="A1421" s="65"/>
      <c r="B1421" s="66"/>
      <c r="C1421" s="68"/>
      <c r="D1421" s="68"/>
      <c r="E1421" s="40"/>
      <c r="F1421" s="40"/>
      <c r="G1421" s="40"/>
      <c r="H1421" s="40"/>
      <c r="I1421" s="40"/>
      <c r="J1421" s="40"/>
      <c r="K1421" s="40"/>
      <c r="L1421" s="40"/>
      <c r="M1421" s="40"/>
      <c r="N1421" s="40"/>
      <c r="O1421" s="40"/>
      <c r="P1421" s="40"/>
      <c r="Q1421" s="40"/>
      <c r="R1421" s="40"/>
      <c r="S1421" s="40"/>
      <c r="T1421" s="40"/>
      <c r="U1421" s="40"/>
      <c r="V1421" s="40"/>
      <c r="W1421" s="40"/>
      <c r="X1421" s="40"/>
      <c r="Y1421" s="40"/>
      <c r="Z1421" s="40"/>
    </row>
    <row r="1422">
      <c r="A1422" s="65"/>
      <c r="B1422" s="66"/>
      <c r="C1422" s="68"/>
      <c r="D1422" s="68"/>
      <c r="E1422" s="40"/>
      <c r="F1422" s="40"/>
      <c r="G1422" s="40"/>
      <c r="H1422" s="40"/>
      <c r="I1422" s="40"/>
      <c r="J1422" s="40"/>
      <c r="K1422" s="40"/>
      <c r="L1422" s="40"/>
      <c r="M1422" s="40"/>
      <c r="N1422" s="40"/>
      <c r="O1422" s="40"/>
      <c r="P1422" s="40"/>
      <c r="Q1422" s="40"/>
      <c r="R1422" s="40"/>
      <c r="S1422" s="40"/>
      <c r="T1422" s="40"/>
      <c r="U1422" s="40"/>
      <c r="V1422" s="40"/>
      <c r="W1422" s="40"/>
      <c r="X1422" s="40"/>
      <c r="Y1422" s="40"/>
      <c r="Z1422" s="40"/>
    </row>
    <row r="1423">
      <c r="A1423" s="65"/>
      <c r="B1423" s="66"/>
      <c r="C1423" s="68"/>
      <c r="D1423" s="68"/>
      <c r="E1423" s="40"/>
      <c r="F1423" s="40"/>
      <c r="G1423" s="40"/>
      <c r="H1423" s="40"/>
      <c r="I1423" s="40"/>
      <c r="J1423" s="40"/>
      <c r="K1423" s="40"/>
      <c r="L1423" s="40"/>
      <c r="M1423" s="40"/>
      <c r="N1423" s="40"/>
      <c r="O1423" s="40"/>
      <c r="P1423" s="40"/>
      <c r="Q1423" s="40"/>
      <c r="R1423" s="40"/>
      <c r="S1423" s="40"/>
      <c r="T1423" s="40"/>
      <c r="U1423" s="40"/>
      <c r="V1423" s="40"/>
      <c r="W1423" s="40"/>
      <c r="X1423" s="40"/>
      <c r="Y1423" s="40"/>
      <c r="Z1423" s="40"/>
    </row>
    <row r="1424">
      <c r="A1424" s="65"/>
      <c r="B1424" s="66"/>
      <c r="C1424" s="68"/>
      <c r="D1424" s="68"/>
      <c r="E1424" s="40"/>
      <c r="F1424" s="40"/>
      <c r="G1424" s="40"/>
      <c r="H1424" s="40"/>
      <c r="I1424" s="40"/>
      <c r="J1424" s="40"/>
      <c r="K1424" s="40"/>
      <c r="L1424" s="40"/>
      <c r="M1424" s="40"/>
      <c r="N1424" s="40"/>
      <c r="O1424" s="40"/>
      <c r="P1424" s="40"/>
      <c r="Q1424" s="40"/>
      <c r="R1424" s="40"/>
      <c r="S1424" s="40"/>
      <c r="T1424" s="40"/>
      <c r="U1424" s="40"/>
      <c r="V1424" s="40"/>
      <c r="W1424" s="40"/>
      <c r="X1424" s="40"/>
      <c r="Y1424" s="40"/>
      <c r="Z1424" s="40"/>
    </row>
    <row r="1425">
      <c r="A1425" s="65"/>
      <c r="B1425" s="66"/>
      <c r="C1425" s="68"/>
      <c r="D1425" s="68"/>
      <c r="E1425" s="40"/>
      <c r="F1425" s="40"/>
      <c r="G1425" s="40"/>
      <c r="H1425" s="40"/>
      <c r="I1425" s="40"/>
      <c r="J1425" s="40"/>
      <c r="K1425" s="40"/>
      <c r="L1425" s="40"/>
      <c r="M1425" s="40"/>
      <c r="N1425" s="40"/>
      <c r="O1425" s="40"/>
      <c r="P1425" s="40"/>
      <c r="Q1425" s="40"/>
      <c r="R1425" s="40"/>
      <c r="S1425" s="40"/>
      <c r="T1425" s="40"/>
      <c r="U1425" s="40"/>
      <c r="V1425" s="40"/>
      <c r="W1425" s="40"/>
      <c r="X1425" s="40"/>
      <c r="Y1425" s="40"/>
      <c r="Z1425" s="40"/>
    </row>
    <row r="1426">
      <c r="A1426" s="65"/>
      <c r="B1426" s="66"/>
      <c r="C1426" s="68"/>
      <c r="D1426" s="68"/>
      <c r="E1426" s="40"/>
      <c r="F1426" s="40"/>
      <c r="G1426" s="40"/>
      <c r="H1426" s="40"/>
      <c r="I1426" s="40"/>
      <c r="J1426" s="40"/>
      <c r="K1426" s="40"/>
      <c r="L1426" s="40"/>
      <c r="M1426" s="40"/>
      <c r="N1426" s="40"/>
      <c r="O1426" s="40"/>
      <c r="P1426" s="40"/>
      <c r="Q1426" s="40"/>
      <c r="R1426" s="40"/>
      <c r="S1426" s="40"/>
      <c r="T1426" s="40"/>
      <c r="U1426" s="40"/>
      <c r="V1426" s="40"/>
      <c r="W1426" s="40"/>
      <c r="X1426" s="40"/>
      <c r="Y1426" s="40"/>
      <c r="Z1426" s="40"/>
    </row>
    <row r="1427">
      <c r="A1427" s="65"/>
      <c r="B1427" s="66"/>
      <c r="C1427" s="68"/>
      <c r="D1427" s="68"/>
      <c r="E1427" s="40"/>
      <c r="F1427" s="40"/>
      <c r="G1427" s="40"/>
      <c r="H1427" s="40"/>
      <c r="I1427" s="40"/>
      <c r="J1427" s="40"/>
      <c r="K1427" s="40"/>
      <c r="L1427" s="40"/>
      <c r="M1427" s="40"/>
      <c r="N1427" s="40"/>
      <c r="O1427" s="40"/>
      <c r="P1427" s="40"/>
      <c r="Q1427" s="40"/>
      <c r="R1427" s="40"/>
      <c r="S1427" s="40"/>
      <c r="T1427" s="40"/>
      <c r="U1427" s="40"/>
      <c r="V1427" s="40"/>
      <c r="W1427" s="40"/>
      <c r="X1427" s="40"/>
      <c r="Y1427" s="40"/>
      <c r="Z1427" s="40"/>
    </row>
    <row r="1428">
      <c r="A1428" s="65"/>
      <c r="B1428" s="66"/>
      <c r="C1428" s="68"/>
      <c r="D1428" s="68"/>
      <c r="E1428" s="40"/>
      <c r="F1428" s="40"/>
      <c r="G1428" s="40"/>
      <c r="H1428" s="40"/>
      <c r="I1428" s="40"/>
      <c r="J1428" s="40"/>
      <c r="K1428" s="40"/>
      <c r="L1428" s="40"/>
      <c r="M1428" s="40"/>
      <c r="N1428" s="40"/>
      <c r="O1428" s="40"/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0"/>
    </row>
    <row r="1429">
      <c r="A1429" s="65"/>
      <c r="B1429" s="66"/>
      <c r="C1429" s="68"/>
      <c r="D1429" s="68"/>
      <c r="E1429" s="40"/>
      <c r="F1429" s="40"/>
      <c r="G1429" s="40"/>
      <c r="H1429" s="40"/>
      <c r="I1429" s="40"/>
      <c r="J1429" s="40"/>
      <c r="K1429" s="40"/>
      <c r="L1429" s="40"/>
      <c r="M1429" s="40"/>
      <c r="N1429" s="40"/>
      <c r="O1429" s="40"/>
      <c r="P1429" s="40"/>
      <c r="Q1429" s="40"/>
      <c r="R1429" s="40"/>
      <c r="S1429" s="40"/>
      <c r="T1429" s="40"/>
      <c r="U1429" s="40"/>
      <c r="V1429" s="40"/>
      <c r="W1429" s="40"/>
      <c r="X1429" s="40"/>
      <c r="Y1429" s="40"/>
      <c r="Z1429" s="40"/>
    </row>
    <row r="1430">
      <c r="A1430" s="65"/>
      <c r="B1430" s="66"/>
      <c r="C1430" s="68"/>
      <c r="D1430" s="68"/>
      <c r="E1430" s="40"/>
      <c r="F1430" s="40"/>
      <c r="G1430" s="40"/>
      <c r="H1430" s="40"/>
      <c r="I1430" s="40"/>
      <c r="J1430" s="40"/>
      <c r="K1430" s="40"/>
      <c r="L1430" s="40"/>
      <c r="M1430" s="40"/>
      <c r="N1430" s="40"/>
      <c r="O1430" s="40"/>
      <c r="P1430" s="40"/>
      <c r="Q1430" s="40"/>
      <c r="R1430" s="40"/>
      <c r="S1430" s="40"/>
      <c r="T1430" s="40"/>
      <c r="U1430" s="40"/>
      <c r="V1430" s="40"/>
      <c r="W1430" s="40"/>
      <c r="X1430" s="40"/>
      <c r="Y1430" s="40"/>
      <c r="Z1430" s="40"/>
    </row>
    <row r="1431">
      <c r="A1431" s="65"/>
      <c r="B1431" s="66"/>
      <c r="C1431" s="68"/>
      <c r="D1431" s="68"/>
      <c r="E1431" s="40"/>
      <c r="F1431" s="40"/>
      <c r="G1431" s="40"/>
      <c r="H1431" s="40"/>
      <c r="I1431" s="40"/>
      <c r="J1431" s="40"/>
      <c r="K1431" s="40"/>
      <c r="L1431" s="40"/>
      <c r="M1431" s="40"/>
      <c r="N1431" s="40"/>
      <c r="O1431" s="40"/>
      <c r="P1431" s="40"/>
      <c r="Q1431" s="40"/>
      <c r="R1431" s="40"/>
      <c r="S1431" s="40"/>
      <c r="T1431" s="40"/>
      <c r="U1431" s="40"/>
      <c r="V1431" s="40"/>
      <c r="W1431" s="40"/>
      <c r="X1431" s="40"/>
      <c r="Y1431" s="40"/>
      <c r="Z1431" s="40"/>
    </row>
    <row r="1432">
      <c r="A1432" s="65"/>
      <c r="B1432" s="66"/>
      <c r="C1432" s="68"/>
      <c r="D1432" s="68"/>
      <c r="E1432" s="40"/>
      <c r="F1432" s="40"/>
      <c r="G1432" s="40"/>
      <c r="H1432" s="40"/>
      <c r="I1432" s="40"/>
      <c r="J1432" s="40"/>
      <c r="K1432" s="40"/>
      <c r="L1432" s="40"/>
      <c r="M1432" s="40"/>
      <c r="N1432" s="40"/>
      <c r="O1432" s="40"/>
      <c r="P1432" s="40"/>
      <c r="Q1432" s="40"/>
      <c r="R1432" s="40"/>
      <c r="S1432" s="40"/>
      <c r="T1432" s="40"/>
      <c r="U1432" s="40"/>
      <c r="V1432" s="40"/>
      <c r="W1432" s="40"/>
      <c r="X1432" s="40"/>
      <c r="Y1432" s="40"/>
      <c r="Z1432" s="40"/>
    </row>
    <row r="1433">
      <c r="A1433" s="65"/>
      <c r="B1433" s="66"/>
      <c r="C1433" s="68"/>
      <c r="D1433" s="68"/>
      <c r="E1433" s="40"/>
      <c r="F1433" s="40"/>
      <c r="G1433" s="40"/>
      <c r="H1433" s="40"/>
      <c r="I1433" s="40"/>
      <c r="J1433" s="40"/>
      <c r="K1433" s="40"/>
      <c r="L1433" s="40"/>
      <c r="M1433" s="40"/>
      <c r="N1433" s="40"/>
      <c r="O1433" s="40"/>
      <c r="P1433" s="40"/>
      <c r="Q1433" s="40"/>
      <c r="R1433" s="40"/>
      <c r="S1433" s="40"/>
      <c r="T1433" s="40"/>
      <c r="U1433" s="40"/>
      <c r="V1433" s="40"/>
      <c r="W1433" s="40"/>
      <c r="X1433" s="40"/>
      <c r="Y1433" s="40"/>
      <c r="Z1433" s="40"/>
    </row>
    <row r="1434">
      <c r="A1434" s="65"/>
      <c r="B1434" s="66"/>
      <c r="C1434" s="68"/>
      <c r="D1434" s="68"/>
      <c r="E1434" s="40"/>
      <c r="F1434" s="40"/>
      <c r="G1434" s="40"/>
      <c r="H1434" s="40"/>
      <c r="I1434" s="40"/>
      <c r="J1434" s="40"/>
      <c r="K1434" s="40"/>
      <c r="L1434" s="40"/>
      <c r="M1434" s="40"/>
      <c r="N1434" s="40"/>
      <c r="O1434" s="40"/>
      <c r="P1434" s="40"/>
      <c r="Q1434" s="40"/>
      <c r="R1434" s="40"/>
      <c r="S1434" s="40"/>
      <c r="T1434" s="40"/>
      <c r="U1434" s="40"/>
      <c r="V1434" s="40"/>
      <c r="W1434" s="40"/>
      <c r="X1434" s="40"/>
      <c r="Y1434" s="40"/>
      <c r="Z1434" s="40"/>
    </row>
    <row r="1435">
      <c r="A1435" s="65"/>
      <c r="B1435" s="66"/>
      <c r="C1435" s="68"/>
      <c r="D1435" s="68"/>
      <c r="E1435" s="40"/>
      <c r="F1435" s="40"/>
      <c r="G1435" s="40"/>
      <c r="H1435" s="40"/>
      <c r="I1435" s="40"/>
      <c r="J1435" s="40"/>
      <c r="K1435" s="40"/>
      <c r="L1435" s="40"/>
      <c r="M1435" s="40"/>
      <c r="N1435" s="40"/>
      <c r="O1435" s="40"/>
      <c r="P1435" s="40"/>
      <c r="Q1435" s="40"/>
      <c r="R1435" s="40"/>
      <c r="S1435" s="40"/>
      <c r="T1435" s="40"/>
      <c r="U1435" s="40"/>
      <c r="V1435" s="40"/>
      <c r="W1435" s="40"/>
      <c r="X1435" s="40"/>
      <c r="Y1435" s="40"/>
      <c r="Z1435" s="40"/>
    </row>
    <row r="1436">
      <c r="A1436" s="65"/>
      <c r="B1436" s="66"/>
      <c r="C1436" s="68"/>
      <c r="D1436" s="68"/>
      <c r="E1436" s="40"/>
      <c r="F1436" s="40"/>
      <c r="G1436" s="40"/>
      <c r="H1436" s="40"/>
      <c r="I1436" s="40"/>
      <c r="J1436" s="40"/>
      <c r="K1436" s="40"/>
      <c r="L1436" s="40"/>
      <c r="M1436" s="40"/>
      <c r="N1436" s="40"/>
      <c r="O1436" s="40"/>
      <c r="P1436" s="40"/>
      <c r="Q1436" s="40"/>
      <c r="R1436" s="40"/>
      <c r="S1436" s="40"/>
      <c r="T1436" s="40"/>
      <c r="U1436" s="40"/>
      <c r="V1436" s="40"/>
      <c r="W1436" s="40"/>
      <c r="X1436" s="40"/>
      <c r="Y1436" s="40"/>
      <c r="Z1436" s="40"/>
    </row>
    <row r="1437">
      <c r="A1437" s="65"/>
      <c r="B1437" s="66"/>
      <c r="C1437" s="68"/>
      <c r="D1437" s="68"/>
      <c r="E1437" s="40"/>
      <c r="F1437" s="40"/>
      <c r="G1437" s="40"/>
      <c r="H1437" s="40"/>
      <c r="I1437" s="40"/>
      <c r="J1437" s="40"/>
      <c r="K1437" s="40"/>
      <c r="L1437" s="40"/>
      <c r="M1437" s="40"/>
      <c r="N1437" s="40"/>
      <c r="O1437" s="40"/>
      <c r="P1437" s="40"/>
      <c r="Q1437" s="40"/>
      <c r="R1437" s="40"/>
      <c r="S1437" s="40"/>
      <c r="T1437" s="40"/>
      <c r="U1437" s="40"/>
      <c r="V1437" s="40"/>
      <c r="W1437" s="40"/>
      <c r="X1437" s="40"/>
      <c r="Y1437" s="40"/>
      <c r="Z1437" s="40"/>
    </row>
    <row r="1438">
      <c r="A1438" s="65"/>
      <c r="B1438" s="66"/>
      <c r="C1438" s="68"/>
      <c r="D1438" s="68"/>
      <c r="E1438" s="40"/>
      <c r="F1438" s="40"/>
      <c r="G1438" s="40"/>
      <c r="H1438" s="40"/>
      <c r="I1438" s="40"/>
      <c r="J1438" s="40"/>
      <c r="K1438" s="40"/>
      <c r="L1438" s="40"/>
      <c r="M1438" s="40"/>
      <c r="N1438" s="40"/>
      <c r="O1438" s="40"/>
      <c r="P1438" s="40"/>
      <c r="Q1438" s="40"/>
      <c r="R1438" s="40"/>
      <c r="S1438" s="40"/>
      <c r="T1438" s="40"/>
      <c r="U1438" s="40"/>
      <c r="V1438" s="40"/>
      <c r="W1438" s="40"/>
      <c r="X1438" s="40"/>
      <c r="Y1438" s="40"/>
      <c r="Z1438" s="40"/>
    </row>
    <row r="1439">
      <c r="A1439" s="65"/>
      <c r="B1439" s="66"/>
      <c r="C1439" s="68"/>
      <c r="D1439" s="68"/>
      <c r="E1439" s="40"/>
      <c r="F1439" s="40"/>
      <c r="G1439" s="40"/>
      <c r="H1439" s="40"/>
      <c r="I1439" s="40"/>
      <c r="J1439" s="40"/>
      <c r="K1439" s="40"/>
      <c r="L1439" s="40"/>
      <c r="M1439" s="40"/>
      <c r="N1439" s="40"/>
      <c r="O1439" s="40"/>
      <c r="P1439" s="40"/>
      <c r="Q1439" s="40"/>
      <c r="R1439" s="40"/>
      <c r="S1439" s="40"/>
      <c r="T1439" s="40"/>
      <c r="U1439" s="40"/>
      <c r="V1439" s="40"/>
      <c r="W1439" s="40"/>
      <c r="X1439" s="40"/>
      <c r="Y1439" s="40"/>
      <c r="Z1439" s="40"/>
    </row>
    <row r="1440">
      <c r="A1440" s="65"/>
      <c r="B1440" s="66"/>
      <c r="C1440" s="68"/>
      <c r="D1440" s="68"/>
      <c r="E1440" s="40"/>
      <c r="F1440" s="40"/>
      <c r="G1440" s="40"/>
      <c r="H1440" s="40"/>
      <c r="I1440" s="40"/>
      <c r="J1440" s="40"/>
      <c r="K1440" s="40"/>
      <c r="L1440" s="40"/>
      <c r="M1440" s="40"/>
      <c r="N1440" s="40"/>
      <c r="O1440" s="40"/>
      <c r="P1440" s="40"/>
      <c r="Q1440" s="40"/>
      <c r="R1440" s="40"/>
      <c r="S1440" s="40"/>
      <c r="T1440" s="40"/>
      <c r="U1440" s="40"/>
      <c r="V1440" s="40"/>
      <c r="W1440" s="40"/>
      <c r="X1440" s="40"/>
      <c r="Y1440" s="40"/>
      <c r="Z1440" s="40"/>
    </row>
    <row r="1441">
      <c r="A1441" s="65"/>
      <c r="B1441" s="66"/>
      <c r="C1441" s="68"/>
      <c r="D1441" s="68"/>
      <c r="E1441" s="40"/>
      <c r="F1441" s="40"/>
      <c r="G1441" s="40"/>
      <c r="H1441" s="40"/>
      <c r="I1441" s="40"/>
      <c r="J1441" s="40"/>
      <c r="K1441" s="40"/>
      <c r="L1441" s="40"/>
      <c r="M1441" s="40"/>
      <c r="N1441" s="40"/>
      <c r="O1441" s="40"/>
      <c r="P1441" s="40"/>
      <c r="Q1441" s="40"/>
      <c r="R1441" s="40"/>
      <c r="S1441" s="40"/>
      <c r="T1441" s="40"/>
      <c r="U1441" s="40"/>
      <c r="V1441" s="40"/>
      <c r="W1441" s="40"/>
      <c r="X1441" s="40"/>
      <c r="Y1441" s="40"/>
      <c r="Z1441" s="40"/>
    </row>
    <row r="1442">
      <c r="A1442" s="65"/>
      <c r="B1442" s="66"/>
      <c r="C1442" s="68"/>
      <c r="D1442" s="68"/>
      <c r="E1442" s="40"/>
      <c r="F1442" s="40"/>
      <c r="G1442" s="40"/>
      <c r="H1442" s="40"/>
      <c r="I1442" s="40"/>
      <c r="J1442" s="40"/>
      <c r="K1442" s="40"/>
      <c r="L1442" s="40"/>
      <c r="M1442" s="40"/>
      <c r="N1442" s="40"/>
      <c r="O1442" s="40"/>
      <c r="P1442" s="40"/>
      <c r="Q1442" s="40"/>
      <c r="R1442" s="40"/>
      <c r="S1442" s="40"/>
      <c r="T1442" s="40"/>
      <c r="U1442" s="40"/>
      <c r="V1442" s="40"/>
      <c r="W1442" s="40"/>
      <c r="X1442" s="40"/>
      <c r="Y1442" s="40"/>
      <c r="Z1442" s="40"/>
    </row>
    <row r="1443">
      <c r="A1443" s="65"/>
      <c r="B1443" s="66"/>
      <c r="C1443" s="68"/>
      <c r="D1443" s="68"/>
      <c r="E1443" s="40"/>
      <c r="F1443" s="40"/>
      <c r="G1443" s="40"/>
      <c r="H1443" s="40"/>
      <c r="I1443" s="40"/>
      <c r="J1443" s="40"/>
      <c r="K1443" s="40"/>
      <c r="L1443" s="40"/>
      <c r="M1443" s="40"/>
      <c r="N1443" s="40"/>
      <c r="O1443" s="40"/>
      <c r="P1443" s="40"/>
      <c r="Q1443" s="40"/>
      <c r="R1443" s="40"/>
      <c r="S1443" s="40"/>
      <c r="T1443" s="40"/>
      <c r="U1443" s="40"/>
      <c r="V1443" s="40"/>
      <c r="W1443" s="40"/>
      <c r="X1443" s="40"/>
      <c r="Y1443" s="40"/>
      <c r="Z1443" s="40"/>
    </row>
    <row r="1444">
      <c r="A1444" s="65"/>
      <c r="B1444" s="66"/>
      <c r="C1444" s="68"/>
      <c r="D1444" s="68"/>
      <c r="E1444" s="40"/>
      <c r="F1444" s="40"/>
      <c r="G1444" s="40"/>
      <c r="H1444" s="40"/>
      <c r="I1444" s="40"/>
      <c r="J1444" s="40"/>
      <c r="K1444" s="40"/>
      <c r="L1444" s="40"/>
      <c r="M1444" s="40"/>
      <c r="N1444" s="40"/>
      <c r="O1444" s="40"/>
      <c r="P1444" s="40"/>
      <c r="Q1444" s="40"/>
      <c r="R1444" s="40"/>
      <c r="S1444" s="40"/>
      <c r="T1444" s="40"/>
      <c r="U1444" s="40"/>
      <c r="V1444" s="40"/>
      <c r="W1444" s="40"/>
      <c r="X1444" s="40"/>
      <c r="Y1444" s="40"/>
      <c r="Z1444" s="40"/>
    </row>
    <row r="1445">
      <c r="A1445" s="65"/>
      <c r="B1445" s="66"/>
      <c r="C1445" s="68"/>
      <c r="D1445" s="68"/>
      <c r="E1445" s="40"/>
      <c r="F1445" s="40"/>
      <c r="G1445" s="40"/>
      <c r="H1445" s="40"/>
      <c r="I1445" s="40"/>
      <c r="J1445" s="40"/>
      <c r="K1445" s="40"/>
      <c r="L1445" s="40"/>
      <c r="M1445" s="40"/>
      <c r="N1445" s="40"/>
      <c r="O1445" s="40"/>
      <c r="P1445" s="40"/>
      <c r="Q1445" s="40"/>
      <c r="R1445" s="40"/>
      <c r="S1445" s="40"/>
      <c r="T1445" s="40"/>
      <c r="U1445" s="40"/>
      <c r="V1445" s="40"/>
      <c r="W1445" s="40"/>
      <c r="X1445" s="40"/>
      <c r="Y1445" s="40"/>
      <c r="Z1445" s="40"/>
    </row>
    <row r="1446">
      <c r="A1446" s="65"/>
      <c r="B1446" s="66"/>
      <c r="C1446" s="68"/>
      <c r="D1446" s="68"/>
      <c r="E1446" s="40"/>
      <c r="F1446" s="40"/>
      <c r="G1446" s="40"/>
      <c r="H1446" s="40"/>
      <c r="I1446" s="40"/>
      <c r="J1446" s="40"/>
      <c r="K1446" s="40"/>
      <c r="L1446" s="40"/>
      <c r="M1446" s="40"/>
      <c r="N1446" s="40"/>
      <c r="O1446" s="40"/>
      <c r="P1446" s="40"/>
      <c r="Q1446" s="40"/>
      <c r="R1446" s="40"/>
      <c r="S1446" s="40"/>
      <c r="T1446" s="40"/>
      <c r="U1446" s="40"/>
      <c r="V1446" s="40"/>
      <c r="W1446" s="40"/>
      <c r="X1446" s="40"/>
      <c r="Y1446" s="40"/>
      <c r="Z1446" s="40"/>
    </row>
    <row r="1447">
      <c r="A1447" s="65"/>
      <c r="B1447" s="66"/>
      <c r="C1447" s="68"/>
      <c r="D1447" s="68"/>
      <c r="E1447" s="40"/>
      <c r="F1447" s="40"/>
      <c r="G1447" s="40"/>
      <c r="H1447" s="40"/>
      <c r="I1447" s="40"/>
      <c r="J1447" s="40"/>
      <c r="K1447" s="40"/>
      <c r="L1447" s="40"/>
      <c r="M1447" s="40"/>
      <c r="N1447" s="40"/>
      <c r="O1447" s="40"/>
      <c r="P1447" s="40"/>
      <c r="Q1447" s="40"/>
      <c r="R1447" s="40"/>
      <c r="S1447" s="40"/>
      <c r="T1447" s="40"/>
      <c r="U1447" s="40"/>
      <c r="V1447" s="40"/>
      <c r="W1447" s="40"/>
      <c r="X1447" s="40"/>
      <c r="Y1447" s="40"/>
      <c r="Z1447" s="40"/>
    </row>
    <row r="1448">
      <c r="A1448" s="65"/>
      <c r="B1448" s="66"/>
      <c r="C1448" s="68"/>
      <c r="D1448" s="68"/>
      <c r="E1448" s="40"/>
      <c r="F1448" s="40"/>
      <c r="G1448" s="40"/>
      <c r="H1448" s="40"/>
      <c r="I1448" s="40"/>
      <c r="J1448" s="40"/>
      <c r="K1448" s="40"/>
      <c r="L1448" s="40"/>
      <c r="M1448" s="40"/>
      <c r="N1448" s="40"/>
      <c r="O1448" s="40"/>
      <c r="P1448" s="40"/>
      <c r="Q1448" s="40"/>
      <c r="R1448" s="40"/>
      <c r="S1448" s="40"/>
      <c r="T1448" s="40"/>
      <c r="U1448" s="40"/>
      <c r="V1448" s="40"/>
      <c r="W1448" s="40"/>
      <c r="X1448" s="40"/>
      <c r="Y1448" s="40"/>
      <c r="Z1448" s="40"/>
    </row>
    <row r="1449">
      <c r="A1449" s="65"/>
      <c r="B1449" s="66"/>
      <c r="C1449" s="68"/>
      <c r="D1449" s="68"/>
      <c r="E1449" s="40"/>
      <c r="F1449" s="40"/>
      <c r="G1449" s="40"/>
      <c r="H1449" s="40"/>
      <c r="I1449" s="40"/>
      <c r="J1449" s="40"/>
      <c r="K1449" s="40"/>
      <c r="L1449" s="40"/>
      <c r="M1449" s="40"/>
      <c r="N1449" s="40"/>
      <c r="O1449" s="40"/>
      <c r="P1449" s="40"/>
      <c r="Q1449" s="40"/>
      <c r="R1449" s="40"/>
      <c r="S1449" s="40"/>
      <c r="T1449" s="40"/>
      <c r="U1449" s="40"/>
      <c r="V1449" s="40"/>
      <c r="W1449" s="40"/>
      <c r="X1449" s="40"/>
      <c r="Y1449" s="40"/>
      <c r="Z1449" s="40"/>
    </row>
    <row r="1450">
      <c r="A1450" s="65"/>
      <c r="B1450" s="66"/>
      <c r="C1450" s="68"/>
      <c r="D1450" s="68"/>
      <c r="E1450" s="40"/>
      <c r="F1450" s="40"/>
      <c r="G1450" s="40"/>
      <c r="H1450" s="40"/>
      <c r="I1450" s="40"/>
      <c r="J1450" s="40"/>
      <c r="K1450" s="40"/>
      <c r="L1450" s="40"/>
      <c r="M1450" s="40"/>
      <c r="N1450" s="40"/>
      <c r="O1450" s="40"/>
      <c r="P1450" s="40"/>
      <c r="Q1450" s="40"/>
      <c r="R1450" s="40"/>
      <c r="S1450" s="40"/>
      <c r="T1450" s="40"/>
      <c r="U1450" s="40"/>
      <c r="V1450" s="40"/>
      <c r="W1450" s="40"/>
      <c r="X1450" s="40"/>
      <c r="Y1450" s="40"/>
      <c r="Z1450" s="40"/>
    </row>
    <row r="1451">
      <c r="A1451" s="65"/>
      <c r="B1451" s="66"/>
      <c r="C1451" s="68"/>
      <c r="D1451" s="68"/>
      <c r="E1451" s="40"/>
      <c r="F1451" s="40"/>
      <c r="G1451" s="40"/>
      <c r="H1451" s="40"/>
      <c r="I1451" s="40"/>
      <c r="J1451" s="40"/>
      <c r="K1451" s="40"/>
      <c r="L1451" s="40"/>
      <c r="M1451" s="40"/>
      <c r="N1451" s="40"/>
      <c r="O1451" s="40"/>
      <c r="P1451" s="40"/>
      <c r="Q1451" s="40"/>
      <c r="R1451" s="40"/>
      <c r="S1451" s="40"/>
      <c r="T1451" s="40"/>
      <c r="U1451" s="40"/>
      <c r="V1451" s="40"/>
      <c r="W1451" s="40"/>
      <c r="X1451" s="40"/>
      <c r="Y1451" s="40"/>
      <c r="Z1451" s="40"/>
    </row>
    <row r="1452">
      <c r="A1452" s="65"/>
      <c r="B1452" s="66"/>
      <c r="C1452" s="68"/>
      <c r="D1452" s="68"/>
      <c r="E1452" s="40"/>
      <c r="F1452" s="40"/>
      <c r="G1452" s="40"/>
      <c r="H1452" s="40"/>
      <c r="I1452" s="40"/>
      <c r="J1452" s="40"/>
      <c r="K1452" s="40"/>
      <c r="L1452" s="40"/>
      <c r="M1452" s="40"/>
      <c r="N1452" s="40"/>
      <c r="O1452" s="40"/>
      <c r="P1452" s="40"/>
      <c r="Q1452" s="40"/>
      <c r="R1452" s="40"/>
      <c r="S1452" s="40"/>
      <c r="T1452" s="40"/>
      <c r="U1452" s="40"/>
      <c r="V1452" s="40"/>
      <c r="W1452" s="40"/>
      <c r="X1452" s="40"/>
      <c r="Y1452" s="40"/>
      <c r="Z1452" s="40"/>
    </row>
    <row r="1453">
      <c r="A1453" s="65"/>
      <c r="B1453" s="66"/>
      <c r="C1453" s="68"/>
      <c r="D1453" s="68"/>
      <c r="E1453" s="40"/>
      <c r="F1453" s="40"/>
      <c r="G1453" s="40"/>
      <c r="H1453" s="40"/>
      <c r="I1453" s="40"/>
      <c r="J1453" s="40"/>
      <c r="K1453" s="40"/>
      <c r="L1453" s="40"/>
      <c r="M1453" s="40"/>
      <c r="N1453" s="40"/>
      <c r="O1453" s="40"/>
      <c r="P1453" s="40"/>
      <c r="Q1453" s="40"/>
      <c r="R1453" s="40"/>
      <c r="S1453" s="40"/>
      <c r="T1453" s="40"/>
      <c r="U1453" s="40"/>
      <c r="V1453" s="40"/>
      <c r="W1453" s="40"/>
      <c r="X1453" s="40"/>
      <c r="Y1453" s="40"/>
      <c r="Z1453" s="40"/>
    </row>
    <row r="1454">
      <c r="A1454" s="65"/>
      <c r="B1454" s="66"/>
      <c r="C1454" s="68"/>
      <c r="D1454" s="68"/>
      <c r="E1454" s="40"/>
      <c r="F1454" s="40"/>
      <c r="G1454" s="40"/>
      <c r="H1454" s="40"/>
      <c r="I1454" s="40"/>
      <c r="J1454" s="40"/>
      <c r="K1454" s="40"/>
      <c r="L1454" s="40"/>
      <c r="M1454" s="40"/>
      <c r="N1454" s="40"/>
      <c r="O1454" s="40"/>
      <c r="P1454" s="40"/>
      <c r="Q1454" s="40"/>
      <c r="R1454" s="40"/>
      <c r="S1454" s="40"/>
      <c r="T1454" s="40"/>
      <c r="U1454" s="40"/>
      <c r="V1454" s="40"/>
      <c r="W1454" s="40"/>
      <c r="X1454" s="40"/>
      <c r="Y1454" s="40"/>
      <c r="Z1454" s="40"/>
    </row>
    <row r="1455">
      <c r="A1455" s="65"/>
      <c r="B1455" s="66"/>
      <c r="C1455" s="68"/>
      <c r="D1455" s="68"/>
      <c r="E1455" s="40"/>
      <c r="F1455" s="40"/>
      <c r="G1455" s="40"/>
      <c r="H1455" s="40"/>
      <c r="I1455" s="40"/>
      <c r="J1455" s="40"/>
      <c r="K1455" s="40"/>
      <c r="L1455" s="40"/>
      <c r="M1455" s="40"/>
      <c r="N1455" s="40"/>
      <c r="O1455" s="40"/>
      <c r="P1455" s="40"/>
      <c r="Q1455" s="40"/>
      <c r="R1455" s="40"/>
      <c r="S1455" s="40"/>
      <c r="T1455" s="40"/>
      <c r="U1455" s="40"/>
      <c r="V1455" s="40"/>
      <c r="W1455" s="40"/>
      <c r="X1455" s="40"/>
      <c r="Y1455" s="40"/>
      <c r="Z1455" s="40"/>
    </row>
    <row r="1456">
      <c r="A1456" s="65"/>
      <c r="B1456" s="66"/>
      <c r="C1456" s="68"/>
      <c r="D1456" s="68"/>
      <c r="E1456" s="40"/>
      <c r="F1456" s="40"/>
      <c r="G1456" s="40"/>
      <c r="H1456" s="40"/>
      <c r="I1456" s="40"/>
      <c r="J1456" s="40"/>
      <c r="K1456" s="40"/>
      <c r="L1456" s="40"/>
      <c r="M1456" s="40"/>
      <c r="N1456" s="40"/>
      <c r="O1456" s="40"/>
      <c r="P1456" s="40"/>
      <c r="Q1456" s="40"/>
      <c r="R1456" s="40"/>
      <c r="S1456" s="40"/>
      <c r="T1456" s="40"/>
      <c r="U1456" s="40"/>
      <c r="V1456" s="40"/>
      <c r="W1456" s="40"/>
      <c r="X1456" s="40"/>
      <c r="Y1456" s="40"/>
      <c r="Z1456" s="40"/>
    </row>
    <row r="1457">
      <c r="A1457" s="65"/>
      <c r="B1457" s="66"/>
      <c r="C1457" s="68"/>
      <c r="D1457" s="68"/>
      <c r="E1457" s="40"/>
      <c r="F1457" s="40"/>
      <c r="G1457" s="40"/>
      <c r="H1457" s="40"/>
      <c r="I1457" s="40"/>
      <c r="J1457" s="40"/>
      <c r="K1457" s="40"/>
      <c r="L1457" s="40"/>
      <c r="M1457" s="40"/>
      <c r="N1457" s="40"/>
      <c r="O1457" s="40"/>
      <c r="P1457" s="40"/>
      <c r="Q1457" s="40"/>
      <c r="R1457" s="40"/>
      <c r="S1457" s="40"/>
      <c r="T1457" s="40"/>
      <c r="U1457" s="40"/>
      <c r="V1457" s="40"/>
      <c r="W1457" s="40"/>
      <c r="X1457" s="40"/>
      <c r="Y1457" s="40"/>
      <c r="Z1457" s="40"/>
    </row>
    <row r="1458">
      <c r="A1458" s="65"/>
      <c r="B1458" s="66"/>
      <c r="C1458" s="68"/>
      <c r="D1458" s="68"/>
      <c r="E1458" s="40"/>
      <c r="F1458" s="40"/>
      <c r="G1458" s="40"/>
      <c r="H1458" s="40"/>
      <c r="I1458" s="40"/>
      <c r="J1458" s="40"/>
      <c r="K1458" s="40"/>
      <c r="L1458" s="40"/>
      <c r="M1458" s="40"/>
      <c r="N1458" s="40"/>
      <c r="O1458" s="40"/>
      <c r="P1458" s="40"/>
      <c r="Q1458" s="40"/>
      <c r="R1458" s="40"/>
      <c r="S1458" s="40"/>
      <c r="T1458" s="40"/>
      <c r="U1458" s="40"/>
      <c r="V1458" s="40"/>
      <c r="W1458" s="40"/>
      <c r="X1458" s="40"/>
      <c r="Y1458" s="40"/>
      <c r="Z1458" s="40"/>
    </row>
    <row r="1459">
      <c r="A1459" s="65"/>
      <c r="B1459" s="66"/>
      <c r="C1459" s="68"/>
      <c r="D1459" s="68"/>
      <c r="E1459" s="40"/>
      <c r="F1459" s="40"/>
      <c r="G1459" s="40"/>
      <c r="H1459" s="40"/>
      <c r="I1459" s="40"/>
      <c r="J1459" s="40"/>
      <c r="K1459" s="40"/>
      <c r="L1459" s="40"/>
      <c r="M1459" s="40"/>
      <c r="N1459" s="40"/>
      <c r="O1459" s="40"/>
      <c r="P1459" s="40"/>
      <c r="Q1459" s="40"/>
      <c r="R1459" s="40"/>
      <c r="S1459" s="40"/>
      <c r="T1459" s="40"/>
      <c r="U1459" s="40"/>
      <c r="V1459" s="40"/>
      <c r="W1459" s="40"/>
      <c r="X1459" s="40"/>
      <c r="Y1459" s="40"/>
      <c r="Z1459" s="40"/>
    </row>
    <row r="1460">
      <c r="A1460" s="65"/>
      <c r="B1460" s="66"/>
      <c r="C1460" s="68"/>
      <c r="D1460" s="68"/>
      <c r="E1460" s="40"/>
      <c r="F1460" s="40"/>
      <c r="G1460" s="40"/>
      <c r="H1460" s="40"/>
      <c r="I1460" s="40"/>
      <c r="J1460" s="40"/>
      <c r="K1460" s="40"/>
      <c r="L1460" s="40"/>
      <c r="M1460" s="40"/>
      <c r="N1460" s="40"/>
      <c r="O1460" s="40"/>
      <c r="P1460" s="40"/>
      <c r="Q1460" s="40"/>
      <c r="R1460" s="40"/>
      <c r="S1460" s="40"/>
      <c r="T1460" s="40"/>
      <c r="U1460" s="40"/>
      <c r="V1460" s="40"/>
      <c r="W1460" s="40"/>
      <c r="X1460" s="40"/>
      <c r="Y1460" s="40"/>
      <c r="Z1460" s="40"/>
    </row>
    <row r="1461">
      <c r="A1461" s="65"/>
      <c r="B1461" s="66"/>
      <c r="C1461" s="68"/>
      <c r="D1461" s="68"/>
      <c r="E1461" s="40"/>
      <c r="F1461" s="40"/>
      <c r="G1461" s="40"/>
      <c r="H1461" s="40"/>
      <c r="I1461" s="40"/>
      <c r="J1461" s="40"/>
      <c r="K1461" s="40"/>
      <c r="L1461" s="40"/>
      <c r="M1461" s="40"/>
      <c r="N1461" s="40"/>
      <c r="O1461" s="40"/>
      <c r="P1461" s="40"/>
      <c r="Q1461" s="40"/>
      <c r="R1461" s="40"/>
      <c r="S1461" s="40"/>
      <c r="T1461" s="40"/>
      <c r="U1461" s="40"/>
      <c r="V1461" s="40"/>
      <c r="W1461" s="40"/>
      <c r="X1461" s="40"/>
      <c r="Y1461" s="40"/>
      <c r="Z1461" s="40"/>
    </row>
    <row r="1462">
      <c r="A1462" s="65"/>
      <c r="B1462" s="66"/>
      <c r="C1462" s="68"/>
      <c r="D1462" s="68"/>
      <c r="E1462" s="40"/>
      <c r="F1462" s="40"/>
      <c r="G1462" s="40"/>
      <c r="H1462" s="40"/>
      <c r="I1462" s="40"/>
      <c r="J1462" s="40"/>
      <c r="K1462" s="40"/>
      <c r="L1462" s="40"/>
      <c r="M1462" s="40"/>
      <c r="N1462" s="40"/>
      <c r="O1462" s="40"/>
      <c r="P1462" s="40"/>
      <c r="Q1462" s="40"/>
      <c r="R1462" s="40"/>
      <c r="S1462" s="40"/>
      <c r="T1462" s="40"/>
      <c r="U1462" s="40"/>
      <c r="V1462" s="40"/>
      <c r="W1462" s="40"/>
      <c r="X1462" s="40"/>
      <c r="Y1462" s="40"/>
      <c r="Z1462" s="40"/>
    </row>
    <row r="1463">
      <c r="A1463" s="65"/>
      <c r="B1463" s="66"/>
      <c r="C1463" s="68"/>
      <c r="D1463" s="68"/>
      <c r="E1463" s="40"/>
      <c r="F1463" s="40"/>
      <c r="G1463" s="40"/>
      <c r="H1463" s="40"/>
      <c r="I1463" s="40"/>
      <c r="J1463" s="40"/>
      <c r="K1463" s="40"/>
      <c r="L1463" s="40"/>
      <c r="M1463" s="40"/>
      <c r="N1463" s="40"/>
      <c r="O1463" s="40"/>
      <c r="P1463" s="40"/>
      <c r="Q1463" s="40"/>
      <c r="R1463" s="40"/>
      <c r="S1463" s="40"/>
      <c r="T1463" s="40"/>
      <c r="U1463" s="40"/>
      <c r="V1463" s="40"/>
      <c r="W1463" s="40"/>
      <c r="X1463" s="40"/>
      <c r="Y1463" s="40"/>
      <c r="Z1463" s="40"/>
    </row>
    <row r="1464">
      <c r="A1464" s="65"/>
      <c r="B1464" s="66"/>
      <c r="C1464" s="68"/>
      <c r="D1464" s="68"/>
      <c r="E1464" s="40"/>
      <c r="F1464" s="40"/>
      <c r="G1464" s="40"/>
      <c r="H1464" s="40"/>
      <c r="I1464" s="40"/>
      <c r="J1464" s="40"/>
      <c r="K1464" s="40"/>
      <c r="L1464" s="40"/>
      <c r="M1464" s="40"/>
      <c r="N1464" s="40"/>
      <c r="O1464" s="40"/>
      <c r="P1464" s="40"/>
      <c r="Q1464" s="40"/>
      <c r="R1464" s="40"/>
      <c r="S1464" s="40"/>
      <c r="T1464" s="40"/>
      <c r="U1464" s="40"/>
      <c r="V1464" s="40"/>
      <c r="W1464" s="40"/>
      <c r="X1464" s="40"/>
      <c r="Y1464" s="40"/>
      <c r="Z1464" s="40"/>
    </row>
    <row r="1465">
      <c r="A1465" s="65"/>
      <c r="B1465" s="66"/>
      <c r="C1465" s="68"/>
      <c r="D1465" s="68"/>
      <c r="E1465" s="40"/>
      <c r="F1465" s="40"/>
      <c r="G1465" s="40"/>
      <c r="H1465" s="40"/>
      <c r="I1465" s="40"/>
      <c r="J1465" s="40"/>
      <c r="K1465" s="40"/>
      <c r="L1465" s="40"/>
      <c r="M1465" s="40"/>
      <c r="N1465" s="40"/>
      <c r="O1465" s="40"/>
      <c r="P1465" s="40"/>
      <c r="Q1465" s="40"/>
      <c r="R1465" s="40"/>
      <c r="S1465" s="40"/>
      <c r="T1465" s="40"/>
      <c r="U1465" s="40"/>
      <c r="V1465" s="40"/>
      <c r="W1465" s="40"/>
      <c r="X1465" s="40"/>
      <c r="Y1465" s="40"/>
      <c r="Z1465" s="40"/>
    </row>
    <row r="1466">
      <c r="A1466" s="65"/>
      <c r="B1466" s="66"/>
      <c r="C1466" s="68"/>
      <c r="D1466" s="68"/>
      <c r="E1466" s="40"/>
      <c r="F1466" s="40"/>
      <c r="G1466" s="40"/>
      <c r="H1466" s="40"/>
      <c r="I1466" s="40"/>
      <c r="J1466" s="40"/>
      <c r="K1466" s="40"/>
      <c r="L1466" s="40"/>
      <c r="M1466" s="40"/>
      <c r="N1466" s="40"/>
      <c r="O1466" s="40"/>
      <c r="P1466" s="40"/>
      <c r="Q1466" s="40"/>
      <c r="R1466" s="40"/>
      <c r="S1466" s="40"/>
      <c r="T1466" s="40"/>
      <c r="U1466" s="40"/>
      <c r="V1466" s="40"/>
      <c r="W1466" s="40"/>
      <c r="X1466" s="40"/>
      <c r="Y1466" s="40"/>
      <c r="Z1466" s="40"/>
    </row>
    <row r="1467">
      <c r="A1467" s="65"/>
      <c r="B1467" s="66"/>
      <c r="C1467" s="68"/>
      <c r="D1467" s="68"/>
      <c r="E1467" s="40"/>
      <c r="F1467" s="40"/>
      <c r="G1467" s="40"/>
      <c r="H1467" s="40"/>
      <c r="I1467" s="40"/>
      <c r="J1467" s="40"/>
      <c r="K1467" s="40"/>
      <c r="L1467" s="40"/>
      <c r="M1467" s="40"/>
      <c r="N1467" s="40"/>
      <c r="O1467" s="40"/>
      <c r="P1467" s="40"/>
      <c r="Q1467" s="40"/>
      <c r="R1467" s="40"/>
      <c r="S1467" s="40"/>
      <c r="T1467" s="40"/>
      <c r="U1467" s="40"/>
      <c r="V1467" s="40"/>
      <c r="W1467" s="40"/>
      <c r="X1467" s="40"/>
      <c r="Y1467" s="40"/>
      <c r="Z1467" s="40"/>
    </row>
    <row r="1468">
      <c r="A1468" s="65"/>
      <c r="B1468" s="66"/>
      <c r="C1468" s="68"/>
      <c r="D1468" s="68"/>
      <c r="E1468" s="40"/>
      <c r="F1468" s="40"/>
      <c r="G1468" s="40"/>
      <c r="H1468" s="40"/>
      <c r="I1468" s="40"/>
      <c r="J1468" s="40"/>
      <c r="K1468" s="40"/>
      <c r="L1468" s="40"/>
      <c r="M1468" s="40"/>
      <c r="N1468" s="40"/>
      <c r="O1468" s="40"/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0"/>
    </row>
    <row r="1469">
      <c r="A1469" s="65"/>
      <c r="B1469" s="66"/>
      <c r="C1469" s="68"/>
      <c r="D1469" s="68"/>
      <c r="E1469" s="40"/>
      <c r="F1469" s="40"/>
      <c r="G1469" s="40"/>
      <c r="H1469" s="40"/>
      <c r="I1469" s="40"/>
      <c r="J1469" s="40"/>
      <c r="K1469" s="40"/>
      <c r="L1469" s="40"/>
      <c r="M1469" s="40"/>
      <c r="N1469" s="40"/>
      <c r="O1469" s="40"/>
      <c r="P1469" s="40"/>
      <c r="Q1469" s="40"/>
      <c r="R1469" s="40"/>
      <c r="S1469" s="40"/>
      <c r="T1469" s="40"/>
      <c r="U1469" s="40"/>
      <c r="V1469" s="40"/>
      <c r="W1469" s="40"/>
      <c r="X1469" s="40"/>
      <c r="Y1469" s="40"/>
      <c r="Z1469" s="40"/>
    </row>
    <row r="1470">
      <c r="A1470" s="65"/>
      <c r="B1470" s="66"/>
      <c r="C1470" s="68"/>
      <c r="D1470" s="68"/>
      <c r="E1470" s="40"/>
      <c r="F1470" s="40"/>
      <c r="G1470" s="40"/>
      <c r="H1470" s="40"/>
      <c r="I1470" s="40"/>
      <c r="J1470" s="40"/>
      <c r="K1470" s="40"/>
      <c r="L1470" s="40"/>
      <c r="M1470" s="40"/>
      <c r="N1470" s="40"/>
      <c r="O1470" s="40"/>
      <c r="P1470" s="40"/>
      <c r="Q1470" s="40"/>
      <c r="R1470" s="40"/>
      <c r="S1470" s="40"/>
      <c r="T1470" s="40"/>
      <c r="U1470" s="40"/>
      <c r="V1470" s="40"/>
      <c r="W1470" s="40"/>
      <c r="X1470" s="40"/>
      <c r="Y1470" s="40"/>
      <c r="Z1470" s="40"/>
    </row>
    <row r="1471">
      <c r="A1471" s="65"/>
      <c r="B1471" s="66"/>
      <c r="C1471" s="68"/>
      <c r="D1471" s="68"/>
      <c r="E1471" s="40"/>
      <c r="F1471" s="40"/>
      <c r="G1471" s="40"/>
      <c r="H1471" s="40"/>
      <c r="I1471" s="40"/>
      <c r="J1471" s="40"/>
      <c r="K1471" s="40"/>
      <c r="L1471" s="40"/>
      <c r="M1471" s="40"/>
      <c r="N1471" s="40"/>
      <c r="O1471" s="40"/>
      <c r="P1471" s="40"/>
      <c r="Q1471" s="40"/>
      <c r="R1471" s="40"/>
      <c r="S1471" s="40"/>
      <c r="T1471" s="40"/>
      <c r="U1471" s="40"/>
      <c r="V1471" s="40"/>
      <c r="W1471" s="40"/>
      <c r="X1471" s="40"/>
      <c r="Y1471" s="40"/>
      <c r="Z1471" s="40"/>
    </row>
    <row r="1472">
      <c r="A1472" s="65"/>
      <c r="B1472" s="66"/>
      <c r="C1472" s="68"/>
      <c r="D1472" s="68"/>
      <c r="E1472" s="40"/>
      <c r="F1472" s="40"/>
      <c r="G1472" s="40"/>
      <c r="H1472" s="40"/>
      <c r="I1472" s="40"/>
      <c r="J1472" s="40"/>
      <c r="K1472" s="40"/>
      <c r="L1472" s="40"/>
      <c r="M1472" s="40"/>
      <c r="N1472" s="40"/>
      <c r="O1472" s="40"/>
      <c r="P1472" s="40"/>
      <c r="Q1472" s="40"/>
      <c r="R1472" s="40"/>
      <c r="S1472" s="40"/>
      <c r="T1472" s="40"/>
      <c r="U1472" s="40"/>
      <c r="V1472" s="40"/>
      <c r="W1472" s="40"/>
      <c r="X1472" s="40"/>
      <c r="Y1472" s="40"/>
      <c r="Z1472" s="40"/>
    </row>
    <row r="1473">
      <c r="A1473" s="65"/>
      <c r="B1473" s="66"/>
      <c r="C1473" s="68"/>
      <c r="D1473" s="68"/>
      <c r="E1473" s="40"/>
      <c r="F1473" s="40"/>
      <c r="G1473" s="40"/>
      <c r="H1473" s="40"/>
      <c r="I1473" s="40"/>
      <c r="J1473" s="40"/>
      <c r="K1473" s="40"/>
      <c r="L1473" s="40"/>
      <c r="M1473" s="40"/>
      <c r="N1473" s="40"/>
      <c r="O1473" s="40"/>
      <c r="P1473" s="40"/>
      <c r="Q1473" s="40"/>
      <c r="R1473" s="40"/>
      <c r="S1473" s="40"/>
      <c r="T1473" s="40"/>
      <c r="U1473" s="40"/>
      <c r="V1473" s="40"/>
      <c r="W1473" s="40"/>
      <c r="X1473" s="40"/>
      <c r="Y1473" s="40"/>
      <c r="Z1473" s="40"/>
    </row>
    <row r="1474">
      <c r="A1474" s="65"/>
      <c r="B1474" s="66"/>
      <c r="C1474" s="68"/>
      <c r="D1474" s="68"/>
      <c r="E1474" s="40"/>
      <c r="F1474" s="40"/>
      <c r="G1474" s="40"/>
      <c r="H1474" s="40"/>
      <c r="I1474" s="40"/>
      <c r="J1474" s="40"/>
      <c r="K1474" s="40"/>
      <c r="L1474" s="40"/>
      <c r="M1474" s="40"/>
      <c r="N1474" s="40"/>
      <c r="O1474" s="40"/>
      <c r="P1474" s="40"/>
      <c r="Q1474" s="40"/>
      <c r="R1474" s="40"/>
      <c r="S1474" s="40"/>
      <c r="T1474" s="40"/>
      <c r="U1474" s="40"/>
      <c r="V1474" s="40"/>
      <c r="W1474" s="40"/>
      <c r="X1474" s="40"/>
      <c r="Y1474" s="40"/>
      <c r="Z1474" s="40"/>
    </row>
    <row r="1475">
      <c r="A1475" s="65"/>
      <c r="B1475" s="66"/>
      <c r="C1475" s="68"/>
      <c r="D1475" s="68"/>
      <c r="E1475" s="40"/>
      <c r="F1475" s="40"/>
      <c r="G1475" s="40"/>
      <c r="H1475" s="40"/>
      <c r="I1475" s="40"/>
      <c r="J1475" s="40"/>
      <c r="K1475" s="40"/>
      <c r="L1475" s="40"/>
      <c r="M1475" s="40"/>
      <c r="N1475" s="40"/>
      <c r="O1475" s="40"/>
      <c r="P1475" s="40"/>
      <c r="Q1475" s="40"/>
      <c r="R1475" s="40"/>
      <c r="S1475" s="40"/>
      <c r="T1475" s="40"/>
      <c r="U1475" s="40"/>
      <c r="V1475" s="40"/>
      <c r="W1475" s="40"/>
      <c r="X1475" s="40"/>
      <c r="Y1475" s="40"/>
      <c r="Z1475" s="40"/>
    </row>
    <row r="1476">
      <c r="A1476" s="65"/>
      <c r="B1476" s="66"/>
      <c r="C1476" s="68"/>
      <c r="D1476" s="68"/>
      <c r="E1476" s="40"/>
      <c r="F1476" s="40"/>
      <c r="G1476" s="40"/>
      <c r="H1476" s="40"/>
      <c r="I1476" s="40"/>
      <c r="J1476" s="40"/>
      <c r="K1476" s="40"/>
      <c r="L1476" s="40"/>
      <c r="M1476" s="40"/>
      <c r="N1476" s="40"/>
      <c r="O1476" s="40"/>
      <c r="P1476" s="40"/>
      <c r="Q1476" s="40"/>
      <c r="R1476" s="40"/>
      <c r="S1476" s="40"/>
      <c r="T1476" s="40"/>
      <c r="U1476" s="40"/>
      <c r="V1476" s="40"/>
      <c r="W1476" s="40"/>
      <c r="X1476" s="40"/>
      <c r="Y1476" s="40"/>
      <c r="Z1476" s="40"/>
    </row>
    <row r="1477">
      <c r="A1477" s="65"/>
      <c r="B1477" s="66"/>
      <c r="C1477" s="68"/>
      <c r="D1477" s="68"/>
      <c r="E1477" s="40"/>
      <c r="F1477" s="40"/>
      <c r="G1477" s="40"/>
      <c r="H1477" s="40"/>
      <c r="I1477" s="40"/>
      <c r="J1477" s="40"/>
      <c r="K1477" s="40"/>
      <c r="L1477" s="40"/>
      <c r="M1477" s="40"/>
      <c r="N1477" s="40"/>
      <c r="O1477" s="40"/>
      <c r="P1477" s="40"/>
      <c r="Q1477" s="40"/>
      <c r="R1477" s="40"/>
      <c r="S1477" s="40"/>
      <c r="T1477" s="40"/>
      <c r="U1477" s="40"/>
      <c r="V1477" s="40"/>
      <c r="W1477" s="40"/>
      <c r="X1477" s="40"/>
      <c r="Y1477" s="40"/>
      <c r="Z1477" s="40"/>
    </row>
    <row r="1478">
      <c r="A1478" s="65"/>
      <c r="B1478" s="66"/>
      <c r="C1478" s="68"/>
      <c r="D1478" s="68"/>
      <c r="E1478" s="40"/>
      <c r="F1478" s="40"/>
      <c r="G1478" s="40"/>
      <c r="H1478" s="40"/>
      <c r="I1478" s="40"/>
      <c r="J1478" s="40"/>
      <c r="K1478" s="40"/>
      <c r="L1478" s="40"/>
      <c r="M1478" s="40"/>
      <c r="N1478" s="40"/>
      <c r="O1478" s="40"/>
      <c r="P1478" s="40"/>
      <c r="Q1478" s="40"/>
      <c r="R1478" s="40"/>
      <c r="S1478" s="40"/>
      <c r="T1478" s="40"/>
      <c r="U1478" s="40"/>
      <c r="V1478" s="40"/>
      <c r="W1478" s="40"/>
      <c r="X1478" s="40"/>
      <c r="Y1478" s="40"/>
      <c r="Z1478" s="40"/>
    </row>
    <row r="1479">
      <c r="A1479" s="65"/>
      <c r="B1479" s="66"/>
      <c r="C1479" s="68"/>
      <c r="D1479" s="68"/>
      <c r="E1479" s="40"/>
      <c r="F1479" s="40"/>
      <c r="G1479" s="40"/>
      <c r="H1479" s="40"/>
      <c r="I1479" s="40"/>
      <c r="J1479" s="40"/>
      <c r="K1479" s="40"/>
      <c r="L1479" s="40"/>
      <c r="M1479" s="40"/>
      <c r="N1479" s="40"/>
      <c r="O1479" s="40"/>
      <c r="P1479" s="40"/>
      <c r="Q1479" s="40"/>
      <c r="R1479" s="40"/>
      <c r="S1479" s="40"/>
      <c r="T1479" s="40"/>
      <c r="U1479" s="40"/>
      <c r="V1479" s="40"/>
      <c r="W1479" s="40"/>
      <c r="X1479" s="40"/>
      <c r="Y1479" s="40"/>
      <c r="Z1479" s="40"/>
    </row>
    <row r="1480">
      <c r="A1480" s="65"/>
      <c r="B1480" s="66"/>
      <c r="C1480" s="68"/>
      <c r="D1480" s="68"/>
      <c r="E1480" s="40"/>
      <c r="F1480" s="40"/>
      <c r="G1480" s="40"/>
      <c r="H1480" s="40"/>
      <c r="I1480" s="40"/>
      <c r="J1480" s="40"/>
      <c r="K1480" s="40"/>
      <c r="L1480" s="40"/>
      <c r="M1480" s="40"/>
      <c r="N1480" s="40"/>
      <c r="O1480" s="40"/>
      <c r="P1480" s="40"/>
      <c r="Q1480" s="40"/>
      <c r="R1480" s="40"/>
      <c r="S1480" s="40"/>
      <c r="T1480" s="40"/>
      <c r="U1480" s="40"/>
      <c r="V1480" s="40"/>
      <c r="W1480" s="40"/>
      <c r="X1480" s="40"/>
      <c r="Y1480" s="40"/>
      <c r="Z1480" s="40"/>
    </row>
    <row r="1481">
      <c r="A1481" s="65"/>
      <c r="B1481" s="66"/>
      <c r="C1481" s="68"/>
      <c r="D1481" s="68"/>
      <c r="E1481" s="40"/>
      <c r="F1481" s="40"/>
      <c r="G1481" s="40"/>
      <c r="H1481" s="40"/>
      <c r="I1481" s="40"/>
      <c r="J1481" s="40"/>
      <c r="K1481" s="40"/>
      <c r="L1481" s="40"/>
      <c r="M1481" s="40"/>
      <c r="N1481" s="40"/>
      <c r="O1481" s="40"/>
      <c r="P1481" s="40"/>
      <c r="Q1481" s="40"/>
      <c r="R1481" s="40"/>
      <c r="S1481" s="40"/>
      <c r="T1481" s="40"/>
      <c r="U1481" s="40"/>
      <c r="V1481" s="40"/>
      <c r="W1481" s="40"/>
      <c r="X1481" s="40"/>
      <c r="Y1481" s="40"/>
      <c r="Z1481" s="40"/>
    </row>
    <row r="1482">
      <c r="A1482" s="65"/>
      <c r="B1482" s="66"/>
      <c r="C1482" s="68"/>
      <c r="D1482" s="68"/>
      <c r="E1482" s="40"/>
      <c r="F1482" s="40"/>
      <c r="G1482" s="40"/>
      <c r="H1482" s="40"/>
      <c r="I1482" s="40"/>
      <c r="J1482" s="40"/>
      <c r="K1482" s="40"/>
      <c r="L1482" s="40"/>
      <c r="M1482" s="40"/>
      <c r="N1482" s="40"/>
      <c r="O1482" s="40"/>
      <c r="P1482" s="40"/>
      <c r="Q1482" s="40"/>
      <c r="R1482" s="40"/>
      <c r="S1482" s="40"/>
      <c r="T1482" s="40"/>
      <c r="U1482" s="40"/>
      <c r="V1482" s="40"/>
      <c r="W1482" s="40"/>
      <c r="X1482" s="40"/>
      <c r="Y1482" s="40"/>
      <c r="Z1482" s="40"/>
    </row>
    <row r="1483">
      <c r="A1483" s="65"/>
      <c r="B1483" s="66"/>
      <c r="C1483" s="68"/>
      <c r="D1483" s="68"/>
      <c r="E1483" s="40"/>
      <c r="F1483" s="40"/>
      <c r="G1483" s="40"/>
      <c r="H1483" s="40"/>
      <c r="I1483" s="40"/>
      <c r="J1483" s="40"/>
      <c r="K1483" s="40"/>
      <c r="L1483" s="40"/>
      <c r="M1483" s="40"/>
      <c r="N1483" s="40"/>
      <c r="O1483" s="40"/>
      <c r="P1483" s="40"/>
      <c r="Q1483" s="40"/>
      <c r="R1483" s="40"/>
      <c r="S1483" s="40"/>
      <c r="T1483" s="40"/>
      <c r="U1483" s="40"/>
      <c r="V1483" s="40"/>
      <c r="W1483" s="40"/>
      <c r="X1483" s="40"/>
      <c r="Y1483" s="40"/>
      <c r="Z1483" s="40"/>
    </row>
    <row r="1484">
      <c r="A1484" s="65"/>
      <c r="B1484" s="66"/>
      <c r="C1484" s="68"/>
      <c r="D1484" s="68"/>
      <c r="E1484" s="40"/>
      <c r="F1484" s="40"/>
      <c r="G1484" s="40"/>
      <c r="H1484" s="40"/>
      <c r="I1484" s="40"/>
      <c r="J1484" s="40"/>
      <c r="K1484" s="40"/>
      <c r="L1484" s="40"/>
      <c r="M1484" s="40"/>
      <c r="N1484" s="40"/>
      <c r="O1484" s="40"/>
      <c r="P1484" s="40"/>
      <c r="Q1484" s="40"/>
      <c r="R1484" s="40"/>
      <c r="S1484" s="40"/>
      <c r="T1484" s="40"/>
      <c r="U1484" s="40"/>
      <c r="V1484" s="40"/>
      <c r="W1484" s="40"/>
      <c r="X1484" s="40"/>
      <c r="Y1484" s="40"/>
      <c r="Z1484" s="40"/>
    </row>
    <row r="1485">
      <c r="A1485" s="65"/>
      <c r="B1485" s="66"/>
      <c r="C1485" s="68"/>
      <c r="D1485" s="68"/>
      <c r="E1485" s="40"/>
      <c r="F1485" s="40"/>
      <c r="G1485" s="40"/>
      <c r="H1485" s="40"/>
      <c r="I1485" s="40"/>
      <c r="J1485" s="40"/>
      <c r="K1485" s="40"/>
      <c r="L1485" s="40"/>
      <c r="M1485" s="40"/>
      <c r="N1485" s="40"/>
      <c r="O1485" s="40"/>
      <c r="P1485" s="40"/>
      <c r="Q1485" s="40"/>
      <c r="R1485" s="40"/>
      <c r="S1485" s="40"/>
      <c r="T1485" s="40"/>
      <c r="U1485" s="40"/>
      <c r="V1485" s="40"/>
      <c r="W1485" s="40"/>
      <c r="X1485" s="40"/>
      <c r="Y1485" s="40"/>
      <c r="Z1485" s="40"/>
    </row>
    <row r="1486">
      <c r="A1486" s="65"/>
      <c r="B1486" s="66"/>
      <c r="C1486" s="68"/>
      <c r="D1486" s="68"/>
      <c r="E1486" s="40"/>
      <c r="F1486" s="40"/>
      <c r="G1486" s="40"/>
      <c r="H1486" s="40"/>
      <c r="I1486" s="40"/>
      <c r="J1486" s="40"/>
      <c r="K1486" s="40"/>
      <c r="L1486" s="40"/>
      <c r="M1486" s="40"/>
      <c r="N1486" s="40"/>
      <c r="O1486" s="40"/>
      <c r="P1486" s="40"/>
      <c r="Q1486" s="40"/>
      <c r="R1486" s="40"/>
      <c r="S1486" s="40"/>
      <c r="T1486" s="40"/>
      <c r="U1486" s="40"/>
      <c r="V1486" s="40"/>
      <c r="W1486" s="40"/>
      <c r="X1486" s="40"/>
      <c r="Y1486" s="40"/>
      <c r="Z1486" s="40"/>
    </row>
    <row r="1487">
      <c r="A1487" s="65"/>
      <c r="B1487" s="66"/>
      <c r="C1487" s="68"/>
      <c r="D1487" s="68"/>
      <c r="E1487" s="40"/>
      <c r="F1487" s="40"/>
      <c r="G1487" s="40"/>
      <c r="H1487" s="40"/>
      <c r="I1487" s="40"/>
      <c r="J1487" s="40"/>
      <c r="K1487" s="40"/>
      <c r="L1487" s="40"/>
      <c r="M1487" s="40"/>
      <c r="N1487" s="40"/>
      <c r="O1487" s="40"/>
      <c r="P1487" s="40"/>
      <c r="Q1487" s="40"/>
      <c r="R1487" s="40"/>
      <c r="S1487" s="40"/>
      <c r="T1487" s="40"/>
      <c r="U1487" s="40"/>
      <c r="V1487" s="40"/>
      <c r="W1487" s="40"/>
      <c r="X1487" s="40"/>
      <c r="Y1487" s="40"/>
      <c r="Z1487" s="40"/>
    </row>
    <row r="1488">
      <c r="A1488" s="65"/>
      <c r="B1488" s="66"/>
      <c r="C1488" s="68"/>
      <c r="D1488" s="68"/>
      <c r="E1488" s="40"/>
      <c r="F1488" s="40"/>
      <c r="G1488" s="40"/>
      <c r="H1488" s="40"/>
      <c r="I1488" s="40"/>
      <c r="J1488" s="40"/>
      <c r="K1488" s="40"/>
      <c r="L1488" s="40"/>
      <c r="M1488" s="40"/>
      <c r="N1488" s="40"/>
      <c r="O1488" s="40"/>
      <c r="P1488" s="40"/>
      <c r="Q1488" s="40"/>
      <c r="R1488" s="40"/>
      <c r="S1488" s="40"/>
      <c r="T1488" s="40"/>
      <c r="U1488" s="40"/>
      <c r="V1488" s="40"/>
      <c r="W1488" s="40"/>
      <c r="X1488" s="40"/>
      <c r="Y1488" s="40"/>
      <c r="Z1488" s="40"/>
    </row>
    <row r="1489">
      <c r="A1489" s="65"/>
      <c r="B1489" s="66"/>
      <c r="C1489" s="68"/>
      <c r="D1489" s="68"/>
      <c r="E1489" s="40"/>
      <c r="F1489" s="40"/>
      <c r="G1489" s="40"/>
      <c r="H1489" s="40"/>
      <c r="I1489" s="40"/>
      <c r="J1489" s="40"/>
      <c r="K1489" s="40"/>
      <c r="L1489" s="40"/>
      <c r="M1489" s="40"/>
      <c r="N1489" s="40"/>
      <c r="O1489" s="40"/>
      <c r="P1489" s="40"/>
      <c r="Q1489" s="40"/>
      <c r="R1489" s="40"/>
      <c r="S1489" s="40"/>
      <c r="T1489" s="40"/>
      <c r="U1489" s="40"/>
      <c r="V1489" s="40"/>
      <c r="W1489" s="40"/>
      <c r="X1489" s="40"/>
      <c r="Y1489" s="40"/>
      <c r="Z1489" s="40"/>
    </row>
    <row r="1490">
      <c r="A1490" s="65"/>
      <c r="B1490" s="66"/>
      <c r="C1490" s="68"/>
      <c r="D1490" s="68"/>
      <c r="E1490" s="40"/>
      <c r="F1490" s="40"/>
      <c r="G1490" s="40"/>
      <c r="H1490" s="40"/>
      <c r="I1490" s="40"/>
      <c r="J1490" s="40"/>
      <c r="K1490" s="40"/>
      <c r="L1490" s="40"/>
      <c r="M1490" s="40"/>
      <c r="N1490" s="40"/>
      <c r="O1490" s="40"/>
      <c r="P1490" s="40"/>
      <c r="Q1490" s="40"/>
      <c r="R1490" s="40"/>
      <c r="S1490" s="40"/>
      <c r="T1490" s="40"/>
      <c r="U1490" s="40"/>
      <c r="V1490" s="40"/>
      <c r="W1490" s="40"/>
      <c r="X1490" s="40"/>
      <c r="Y1490" s="40"/>
      <c r="Z1490" s="40"/>
    </row>
    <row r="1491">
      <c r="A1491" s="65"/>
      <c r="B1491" s="66"/>
      <c r="C1491" s="68"/>
      <c r="D1491" s="68"/>
      <c r="E1491" s="40"/>
      <c r="F1491" s="40"/>
      <c r="G1491" s="40"/>
      <c r="H1491" s="40"/>
      <c r="I1491" s="40"/>
      <c r="J1491" s="40"/>
      <c r="K1491" s="40"/>
      <c r="L1491" s="40"/>
      <c r="M1491" s="40"/>
      <c r="N1491" s="40"/>
      <c r="O1491" s="40"/>
      <c r="P1491" s="40"/>
      <c r="Q1491" s="40"/>
      <c r="R1491" s="40"/>
      <c r="S1491" s="40"/>
      <c r="T1491" s="40"/>
      <c r="U1491" s="40"/>
      <c r="V1491" s="40"/>
      <c r="W1491" s="40"/>
      <c r="X1491" s="40"/>
      <c r="Y1491" s="40"/>
      <c r="Z1491" s="40"/>
    </row>
    <row r="1492">
      <c r="A1492" s="65"/>
      <c r="B1492" s="66"/>
      <c r="C1492" s="68"/>
      <c r="D1492" s="68"/>
      <c r="E1492" s="40"/>
      <c r="F1492" s="40"/>
      <c r="G1492" s="40"/>
      <c r="H1492" s="40"/>
      <c r="I1492" s="40"/>
      <c r="J1492" s="40"/>
      <c r="K1492" s="40"/>
      <c r="L1492" s="40"/>
      <c r="M1492" s="40"/>
      <c r="N1492" s="40"/>
      <c r="O1492" s="40"/>
      <c r="P1492" s="40"/>
      <c r="Q1492" s="40"/>
      <c r="R1492" s="40"/>
      <c r="S1492" s="40"/>
      <c r="T1492" s="40"/>
      <c r="U1492" s="40"/>
      <c r="V1492" s="40"/>
      <c r="W1492" s="40"/>
      <c r="X1492" s="40"/>
      <c r="Y1492" s="40"/>
      <c r="Z1492" s="40"/>
    </row>
    <row r="1493">
      <c r="A1493" s="65"/>
      <c r="B1493" s="66"/>
      <c r="C1493" s="68"/>
      <c r="D1493" s="68"/>
      <c r="E1493" s="40"/>
      <c r="F1493" s="40"/>
      <c r="G1493" s="40"/>
      <c r="H1493" s="40"/>
      <c r="I1493" s="40"/>
      <c r="J1493" s="40"/>
      <c r="K1493" s="40"/>
      <c r="L1493" s="40"/>
      <c r="M1493" s="40"/>
      <c r="N1493" s="40"/>
      <c r="O1493" s="40"/>
      <c r="P1493" s="40"/>
      <c r="Q1493" s="40"/>
      <c r="R1493" s="40"/>
      <c r="S1493" s="40"/>
      <c r="T1493" s="40"/>
      <c r="U1493" s="40"/>
      <c r="V1493" s="40"/>
      <c r="W1493" s="40"/>
      <c r="X1493" s="40"/>
      <c r="Y1493" s="40"/>
      <c r="Z1493" s="40"/>
    </row>
    <row r="1494">
      <c r="A1494" s="65"/>
      <c r="B1494" s="66"/>
      <c r="C1494" s="68"/>
      <c r="D1494" s="68"/>
      <c r="E1494" s="40"/>
      <c r="F1494" s="40"/>
      <c r="G1494" s="40"/>
      <c r="H1494" s="40"/>
      <c r="I1494" s="40"/>
      <c r="J1494" s="40"/>
      <c r="K1494" s="40"/>
      <c r="L1494" s="40"/>
      <c r="M1494" s="40"/>
      <c r="N1494" s="40"/>
      <c r="O1494" s="40"/>
      <c r="P1494" s="40"/>
      <c r="Q1494" s="40"/>
      <c r="R1494" s="40"/>
      <c r="S1494" s="40"/>
      <c r="T1494" s="40"/>
      <c r="U1494" s="40"/>
      <c r="V1494" s="40"/>
      <c r="W1494" s="40"/>
      <c r="X1494" s="40"/>
      <c r="Y1494" s="40"/>
      <c r="Z1494" s="40"/>
    </row>
    <row r="1495">
      <c r="A1495" s="65"/>
      <c r="B1495" s="66"/>
      <c r="C1495" s="68"/>
      <c r="D1495" s="68"/>
      <c r="E1495" s="40"/>
      <c r="F1495" s="40"/>
      <c r="G1495" s="40"/>
      <c r="H1495" s="40"/>
      <c r="I1495" s="40"/>
      <c r="J1495" s="40"/>
      <c r="K1495" s="40"/>
      <c r="L1495" s="40"/>
      <c r="M1495" s="40"/>
      <c r="N1495" s="40"/>
      <c r="O1495" s="40"/>
      <c r="P1495" s="40"/>
      <c r="Q1495" s="40"/>
      <c r="R1495" s="40"/>
      <c r="S1495" s="40"/>
      <c r="T1495" s="40"/>
      <c r="U1495" s="40"/>
      <c r="V1495" s="40"/>
      <c r="W1495" s="40"/>
      <c r="X1495" s="40"/>
      <c r="Y1495" s="40"/>
      <c r="Z1495" s="40"/>
    </row>
    <row r="1496">
      <c r="A1496" s="65"/>
      <c r="B1496" s="66"/>
      <c r="C1496" s="68"/>
      <c r="D1496" s="68"/>
      <c r="E1496" s="40"/>
      <c r="F1496" s="40"/>
      <c r="G1496" s="40"/>
      <c r="H1496" s="40"/>
      <c r="I1496" s="40"/>
      <c r="J1496" s="40"/>
      <c r="K1496" s="40"/>
      <c r="L1496" s="40"/>
      <c r="M1496" s="40"/>
      <c r="N1496" s="40"/>
      <c r="O1496" s="40"/>
      <c r="P1496" s="40"/>
      <c r="Q1496" s="40"/>
      <c r="R1496" s="40"/>
      <c r="S1496" s="40"/>
      <c r="T1496" s="40"/>
      <c r="U1496" s="40"/>
      <c r="V1496" s="40"/>
      <c r="W1496" s="40"/>
      <c r="X1496" s="40"/>
      <c r="Y1496" s="40"/>
      <c r="Z1496" s="40"/>
    </row>
    <row r="1497">
      <c r="A1497" s="65"/>
      <c r="B1497" s="66"/>
      <c r="C1497" s="68"/>
      <c r="D1497" s="68"/>
      <c r="E1497" s="40"/>
      <c r="F1497" s="40"/>
      <c r="G1497" s="40"/>
      <c r="H1497" s="40"/>
      <c r="I1497" s="40"/>
      <c r="J1497" s="40"/>
      <c r="K1497" s="40"/>
      <c r="L1497" s="40"/>
      <c r="M1497" s="40"/>
      <c r="N1497" s="40"/>
      <c r="O1497" s="40"/>
      <c r="P1497" s="40"/>
      <c r="Q1497" s="40"/>
      <c r="R1497" s="40"/>
      <c r="S1497" s="40"/>
      <c r="T1497" s="40"/>
      <c r="U1497" s="40"/>
      <c r="V1497" s="40"/>
      <c r="W1497" s="40"/>
      <c r="X1497" s="40"/>
      <c r="Y1497" s="40"/>
      <c r="Z1497" s="40"/>
    </row>
    <row r="1498">
      <c r="A1498" s="65"/>
      <c r="B1498" s="66"/>
      <c r="C1498" s="68"/>
      <c r="D1498" s="68"/>
      <c r="E1498" s="40"/>
      <c r="F1498" s="40"/>
      <c r="G1498" s="40"/>
      <c r="H1498" s="40"/>
      <c r="I1498" s="40"/>
      <c r="J1498" s="40"/>
      <c r="K1498" s="40"/>
      <c r="L1498" s="40"/>
      <c r="M1498" s="40"/>
      <c r="N1498" s="40"/>
      <c r="O1498" s="40"/>
      <c r="P1498" s="40"/>
      <c r="Q1498" s="40"/>
      <c r="R1498" s="40"/>
      <c r="S1498" s="40"/>
      <c r="T1498" s="40"/>
      <c r="U1498" s="40"/>
      <c r="V1498" s="40"/>
      <c r="W1498" s="40"/>
      <c r="X1498" s="40"/>
      <c r="Y1498" s="40"/>
      <c r="Z1498" s="40"/>
    </row>
    <row r="1499">
      <c r="A1499" s="65"/>
      <c r="B1499" s="66"/>
      <c r="C1499" s="68"/>
      <c r="D1499" s="68"/>
      <c r="E1499" s="40"/>
      <c r="F1499" s="40"/>
      <c r="G1499" s="40"/>
      <c r="H1499" s="40"/>
      <c r="I1499" s="40"/>
      <c r="J1499" s="40"/>
      <c r="K1499" s="40"/>
      <c r="L1499" s="40"/>
      <c r="M1499" s="40"/>
      <c r="N1499" s="40"/>
      <c r="O1499" s="40"/>
      <c r="P1499" s="40"/>
      <c r="Q1499" s="40"/>
      <c r="R1499" s="40"/>
      <c r="S1499" s="40"/>
      <c r="T1499" s="40"/>
      <c r="U1499" s="40"/>
      <c r="V1499" s="40"/>
      <c r="W1499" s="40"/>
      <c r="X1499" s="40"/>
      <c r="Y1499" s="40"/>
      <c r="Z1499" s="40"/>
    </row>
    <row r="1500">
      <c r="A1500" s="65"/>
      <c r="B1500" s="66"/>
      <c r="C1500" s="68"/>
      <c r="D1500" s="68"/>
      <c r="E1500" s="40"/>
      <c r="F1500" s="40"/>
      <c r="G1500" s="40"/>
      <c r="H1500" s="40"/>
      <c r="I1500" s="40"/>
      <c r="J1500" s="40"/>
      <c r="K1500" s="40"/>
      <c r="L1500" s="40"/>
      <c r="M1500" s="40"/>
      <c r="N1500" s="40"/>
      <c r="O1500" s="40"/>
      <c r="P1500" s="40"/>
      <c r="Q1500" s="40"/>
      <c r="R1500" s="40"/>
      <c r="S1500" s="40"/>
      <c r="T1500" s="40"/>
      <c r="U1500" s="40"/>
      <c r="V1500" s="40"/>
      <c r="W1500" s="40"/>
      <c r="X1500" s="40"/>
      <c r="Y1500" s="40"/>
      <c r="Z1500" s="40"/>
    </row>
    <row r="1501">
      <c r="A1501" s="65"/>
      <c r="B1501" s="66"/>
      <c r="C1501" s="68"/>
      <c r="D1501" s="68"/>
      <c r="E1501" s="40"/>
      <c r="F1501" s="40"/>
      <c r="G1501" s="40"/>
      <c r="H1501" s="40"/>
      <c r="I1501" s="40"/>
      <c r="J1501" s="40"/>
      <c r="K1501" s="40"/>
      <c r="L1501" s="40"/>
      <c r="M1501" s="40"/>
      <c r="N1501" s="40"/>
      <c r="O1501" s="40"/>
      <c r="P1501" s="40"/>
      <c r="Q1501" s="40"/>
      <c r="R1501" s="40"/>
      <c r="S1501" s="40"/>
      <c r="T1501" s="40"/>
      <c r="U1501" s="40"/>
      <c r="V1501" s="40"/>
      <c r="W1501" s="40"/>
      <c r="X1501" s="40"/>
      <c r="Y1501" s="40"/>
      <c r="Z1501" s="40"/>
    </row>
    <row r="1502">
      <c r="A1502" s="65"/>
      <c r="B1502" s="66"/>
      <c r="C1502" s="68"/>
      <c r="D1502" s="68"/>
      <c r="E1502" s="40"/>
      <c r="F1502" s="40"/>
      <c r="G1502" s="40"/>
      <c r="H1502" s="40"/>
      <c r="I1502" s="40"/>
      <c r="J1502" s="40"/>
      <c r="K1502" s="40"/>
      <c r="L1502" s="40"/>
      <c r="M1502" s="40"/>
      <c r="N1502" s="40"/>
      <c r="O1502" s="40"/>
      <c r="P1502" s="40"/>
      <c r="Q1502" s="40"/>
      <c r="R1502" s="40"/>
      <c r="S1502" s="40"/>
      <c r="T1502" s="40"/>
      <c r="U1502" s="40"/>
      <c r="V1502" s="40"/>
      <c r="W1502" s="40"/>
      <c r="X1502" s="40"/>
      <c r="Y1502" s="40"/>
      <c r="Z1502" s="40"/>
    </row>
    <row r="1503">
      <c r="A1503" s="65"/>
      <c r="B1503" s="66"/>
      <c r="C1503" s="68"/>
      <c r="D1503" s="68"/>
      <c r="E1503" s="40"/>
      <c r="F1503" s="40"/>
      <c r="G1503" s="40"/>
      <c r="H1503" s="40"/>
      <c r="I1503" s="40"/>
      <c r="J1503" s="40"/>
      <c r="K1503" s="40"/>
      <c r="L1503" s="40"/>
      <c r="M1503" s="40"/>
      <c r="N1503" s="40"/>
      <c r="O1503" s="40"/>
      <c r="P1503" s="40"/>
      <c r="Q1503" s="40"/>
      <c r="R1503" s="40"/>
      <c r="S1503" s="40"/>
      <c r="T1503" s="40"/>
      <c r="U1503" s="40"/>
      <c r="V1503" s="40"/>
      <c r="W1503" s="40"/>
      <c r="X1503" s="40"/>
      <c r="Y1503" s="40"/>
      <c r="Z1503" s="40"/>
    </row>
    <row r="1504">
      <c r="A1504" s="65"/>
      <c r="B1504" s="66"/>
      <c r="C1504" s="68"/>
      <c r="D1504" s="68"/>
      <c r="E1504" s="40"/>
      <c r="F1504" s="40"/>
      <c r="G1504" s="40"/>
      <c r="H1504" s="40"/>
      <c r="I1504" s="40"/>
      <c r="J1504" s="40"/>
      <c r="K1504" s="40"/>
      <c r="L1504" s="40"/>
      <c r="M1504" s="40"/>
      <c r="N1504" s="40"/>
      <c r="O1504" s="40"/>
      <c r="P1504" s="40"/>
      <c r="Q1504" s="40"/>
      <c r="R1504" s="40"/>
      <c r="S1504" s="40"/>
      <c r="T1504" s="40"/>
      <c r="U1504" s="40"/>
      <c r="V1504" s="40"/>
      <c r="W1504" s="40"/>
      <c r="X1504" s="40"/>
      <c r="Y1504" s="40"/>
      <c r="Z1504" s="40"/>
    </row>
    <row r="1505">
      <c r="A1505" s="65"/>
      <c r="B1505" s="66"/>
      <c r="C1505" s="68"/>
      <c r="D1505" s="68"/>
      <c r="E1505" s="40"/>
      <c r="F1505" s="40"/>
      <c r="G1505" s="40"/>
      <c r="H1505" s="40"/>
      <c r="I1505" s="40"/>
      <c r="J1505" s="40"/>
      <c r="K1505" s="40"/>
      <c r="L1505" s="40"/>
      <c r="M1505" s="40"/>
      <c r="N1505" s="40"/>
      <c r="O1505" s="40"/>
      <c r="P1505" s="40"/>
      <c r="Q1505" s="40"/>
      <c r="R1505" s="40"/>
      <c r="S1505" s="40"/>
      <c r="T1505" s="40"/>
      <c r="U1505" s="40"/>
      <c r="V1505" s="40"/>
      <c r="W1505" s="40"/>
      <c r="X1505" s="40"/>
      <c r="Y1505" s="40"/>
      <c r="Z1505" s="40"/>
    </row>
    <row r="1506">
      <c r="A1506" s="65"/>
      <c r="B1506" s="66"/>
      <c r="C1506" s="68"/>
      <c r="D1506" s="68"/>
      <c r="E1506" s="40"/>
      <c r="F1506" s="40"/>
      <c r="G1506" s="40"/>
      <c r="H1506" s="40"/>
      <c r="I1506" s="40"/>
      <c r="J1506" s="40"/>
      <c r="K1506" s="40"/>
      <c r="L1506" s="40"/>
      <c r="M1506" s="40"/>
      <c r="N1506" s="40"/>
      <c r="O1506" s="40"/>
      <c r="P1506" s="40"/>
      <c r="Q1506" s="40"/>
      <c r="R1506" s="40"/>
      <c r="S1506" s="40"/>
      <c r="T1506" s="40"/>
      <c r="U1506" s="40"/>
      <c r="V1506" s="40"/>
      <c r="W1506" s="40"/>
      <c r="X1506" s="40"/>
      <c r="Y1506" s="40"/>
      <c r="Z1506" s="40"/>
    </row>
    <row r="1507">
      <c r="A1507" s="65"/>
      <c r="B1507" s="66"/>
      <c r="C1507" s="68"/>
      <c r="D1507" s="68"/>
      <c r="E1507" s="40"/>
      <c r="F1507" s="40"/>
      <c r="G1507" s="40"/>
      <c r="H1507" s="40"/>
      <c r="I1507" s="40"/>
      <c r="J1507" s="40"/>
      <c r="K1507" s="40"/>
      <c r="L1507" s="40"/>
      <c r="M1507" s="40"/>
      <c r="N1507" s="40"/>
      <c r="O1507" s="40"/>
      <c r="P1507" s="40"/>
      <c r="Q1507" s="40"/>
      <c r="R1507" s="40"/>
      <c r="S1507" s="40"/>
      <c r="T1507" s="40"/>
      <c r="U1507" s="40"/>
      <c r="V1507" s="40"/>
      <c r="W1507" s="40"/>
      <c r="X1507" s="40"/>
      <c r="Y1507" s="40"/>
      <c r="Z1507" s="40"/>
    </row>
    <row r="1508">
      <c r="A1508" s="65"/>
      <c r="B1508" s="66"/>
      <c r="C1508" s="68"/>
      <c r="D1508" s="68"/>
      <c r="E1508" s="40"/>
      <c r="F1508" s="40"/>
      <c r="G1508" s="40"/>
      <c r="H1508" s="40"/>
      <c r="I1508" s="40"/>
      <c r="J1508" s="40"/>
      <c r="K1508" s="40"/>
      <c r="L1508" s="40"/>
      <c r="M1508" s="40"/>
      <c r="N1508" s="40"/>
      <c r="O1508" s="40"/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0"/>
    </row>
    <row r="1509">
      <c r="A1509" s="65"/>
      <c r="B1509" s="66"/>
      <c r="C1509" s="68"/>
      <c r="D1509" s="68"/>
      <c r="E1509" s="40"/>
      <c r="F1509" s="40"/>
      <c r="G1509" s="40"/>
      <c r="H1509" s="40"/>
      <c r="I1509" s="40"/>
      <c r="J1509" s="40"/>
      <c r="K1509" s="40"/>
      <c r="L1509" s="40"/>
      <c r="M1509" s="40"/>
      <c r="N1509" s="40"/>
      <c r="O1509" s="40"/>
      <c r="P1509" s="40"/>
      <c r="Q1509" s="40"/>
      <c r="R1509" s="40"/>
      <c r="S1509" s="40"/>
      <c r="T1509" s="40"/>
      <c r="U1509" s="40"/>
      <c r="V1509" s="40"/>
      <c r="W1509" s="40"/>
      <c r="X1509" s="40"/>
      <c r="Y1509" s="40"/>
      <c r="Z1509" s="40"/>
    </row>
    <row r="1510">
      <c r="A1510" s="65"/>
      <c r="B1510" s="66"/>
      <c r="C1510" s="68"/>
      <c r="D1510" s="68"/>
      <c r="E1510" s="40"/>
      <c r="F1510" s="40"/>
      <c r="G1510" s="40"/>
      <c r="H1510" s="40"/>
      <c r="I1510" s="40"/>
      <c r="J1510" s="40"/>
      <c r="K1510" s="40"/>
      <c r="L1510" s="40"/>
      <c r="M1510" s="40"/>
      <c r="N1510" s="40"/>
      <c r="O1510" s="40"/>
      <c r="P1510" s="40"/>
      <c r="Q1510" s="40"/>
      <c r="R1510" s="40"/>
      <c r="S1510" s="40"/>
      <c r="T1510" s="40"/>
      <c r="U1510" s="40"/>
      <c r="V1510" s="40"/>
      <c r="W1510" s="40"/>
      <c r="X1510" s="40"/>
      <c r="Y1510" s="40"/>
      <c r="Z1510" s="40"/>
    </row>
    <row r="1511">
      <c r="A1511" s="65"/>
      <c r="B1511" s="66"/>
      <c r="C1511" s="68"/>
      <c r="D1511" s="68"/>
      <c r="E1511" s="40"/>
      <c r="F1511" s="40"/>
      <c r="G1511" s="40"/>
      <c r="H1511" s="40"/>
      <c r="I1511" s="40"/>
      <c r="J1511" s="40"/>
      <c r="K1511" s="40"/>
      <c r="L1511" s="40"/>
      <c r="M1511" s="40"/>
      <c r="N1511" s="40"/>
      <c r="O1511" s="40"/>
      <c r="P1511" s="40"/>
      <c r="Q1511" s="40"/>
      <c r="R1511" s="40"/>
      <c r="S1511" s="40"/>
      <c r="T1511" s="40"/>
      <c r="U1511" s="40"/>
      <c r="V1511" s="40"/>
      <c r="W1511" s="40"/>
      <c r="X1511" s="40"/>
      <c r="Y1511" s="40"/>
      <c r="Z1511" s="40"/>
    </row>
    <row r="1512">
      <c r="A1512" s="65"/>
      <c r="B1512" s="66"/>
      <c r="C1512" s="68"/>
      <c r="D1512" s="68"/>
      <c r="E1512" s="40"/>
      <c r="F1512" s="40"/>
      <c r="G1512" s="40"/>
      <c r="H1512" s="40"/>
      <c r="I1512" s="40"/>
      <c r="J1512" s="40"/>
      <c r="K1512" s="40"/>
      <c r="L1512" s="40"/>
      <c r="M1512" s="40"/>
      <c r="N1512" s="40"/>
      <c r="O1512" s="40"/>
      <c r="P1512" s="40"/>
      <c r="Q1512" s="40"/>
      <c r="R1512" s="40"/>
      <c r="S1512" s="40"/>
      <c r="T1512" s="40"/>
      <c r="U1512" s="40"/>
      <c r="V1512" s="40"/>
      <c r="W1512" s="40"/>
      <c r="X1512" s="40"/>
      <c r="Y1512" s="40"/>
      <c r="Z1512" s="40"/>
    </row>
    <row r="1513">
      <c r="A1513" s="65"/>
      <c r="B1513" s="66"/>
      <c r="C1513" s="68"/>
      <c r="D1513" s="68"/>
      <c r="E1513" s="40"/>
      <c r="F1513" s="40"/>
      <c r="G1513" s="40"/>
      <c r="H1513" s="40"/>
      <c r="I1513" s="40"/>
      <c r="J1513" s="40"/>
      <c r="K1513" s="40"/>
      <c r="L1513" s="40"/>
      <c r="M1513" s="40"/>
      <c r="N1513" s="40"/>
      <c r="O1513" s="40"/>
      <c r="P1513" s="40"/>
      <c r="Q1513" s="40"/>
      <c r="R1513" s="40"/>
      <c r="S1513" s="40"/>
      <c r="T1513" s="40"/>
      <c r="U1513" s="40"/>
      <c r="V1513" s="40"/>
      <c r="W1513" s="40"/>
      <c r="X1513" s="40"/>
      <c r="Y1513" s="40"/>
      <c r="Z1513" s="40"/>
    </row>
    <row r="1514">
      <c r="A1514" s="65"/>
      <c r="B1514" s="66"/>
      <c r="C1514" s="68"/>
      <c r="D1514" s="68"/>
      <c r="E1514" s="40"/>
      <c r="F1514" s="40"/>
      <c r="G1514" s="40"/>
      <c r="H1514" s="40"/>
      <c r="I1514" s="40"/>
      <c r="J1514" s="40"/>
      <c r="K1514" s="40"/>
      <c r="L1514" s="40"/>
      <c r="M1514" s="40"/>
      <c r="N1514" s="40"/>
      <c r="O1514" s="40"/>
      <c r="P1514" s="40"/>
      <c r="Q1514" s="40"/>
      <c r="R1514" s="40"/>
      <c r="S1514" s="40"/>
      <c r="T1514" s="40"/>
      <c r="U1514" s="40"/>
      <c r="V1514" s="40"/>
      <c r="W1514" s="40"/>
      <c r="X1514" s="40"/>
      <c r="Y1514" s="40"/>
      <c r="Z1514" s="40"/>
    </row>
    <row r="1515">
      <c r="A1515" s="65"/>
      <c r="B1515" s="66"/>
      <c r="C1515" s="68"/>
      <c r="D1515" s="68"/>
      <c r="E1515" s="40"/>
      <c r="F1515" s="40"/>
      <c r="G1515" s="40"/>
      <c r="H1515" s="40"/>
      <c r="I1515" s="40"/>
      <c r="J1515" s="40"/>
      <c r="K1515" s="40"/>
      <c r="L1515" s="40"/>
      <c r="M1515" s="40"/>
      <c r="N1515" s="40"/>
      <c r="O1515" s="40"/>
      <c r="P1515" s="40"/>
      <c r="Q1515" s="40"/>
      <c r="R1515" s="40"/>
      <c r="S1515" s="40"/>
      <c r="T1515" s="40"/>
      <c r="U1515" s="40"/>
      <c r="V1515" s="40"/>
      <c r="W1515" s="40"/>
      <c r="X1515" s="40"/>
      <c r="Y1515" s="40"/>
      <c r="Z1515" s="40"/>
    </row>
    <row r="1516">
      <c r="A1516" s="65"/>
      <c r="B1516" s="66"/>
      <c r="C1516" s="68"/>
      <c r="D1516" s="68"/>
      <c r="E1516" s="40"/>
      <c r="F1516" s="40"/>
      <c r="G1516" s="40"/>
      <c r="H1516" s="40"/>
      <c r="I1516" s="40"/>
      <c r="J1516" s="40"/>
      <c r="K1516" s="40"/>
      <c r="L1516" s="40"/>
      <c r="M1516" s="40"/>
      <c r="N1516" s="40"/>
      <c r="O1516" s="40"/>
      <c r="P1516" s="40"/>
      <c r="Q1516" s="40"/>
      <c r="R1516" s="40"/>
      <c r="S1516" s="40"/>
      <c r="T1516" s="40"/>
      <c r="U1516" s="40"/>
      <c r="V1516" s="40"/>
      <c r="W1516" s="40"/>
      <c r="X1516" s="40"/>
      <c r="Y1516" s="40"/>
      <c r="Z1516" s="40"/>
    </row>
    <row r="1517">
      <c r="A1517" s="65"/>
      <c r="B1517" s="66"/>
      <c r="C1517" s="68"/>
      <c r="D1517" s="68"/>
      <c r="E1517" s="40"/>
      <c r="F1517" s="40"/>
      <c r="G1517" s="40"/>
      <c r="H1517" s="40"/>
      <c r="I1517" s="40"/>
      <c r="J1517" s="40"/>
      <c r="K1517" s="40"/>
      <c r="L1517" s="40"/>
      <c r="M1517" s="40"/>
      <c r="N1517" s="40"/>
      <c r="O1517" s="40"/>
      <c r="P1517" s="40"/>
      <c r="Q1517" s="40"/>
      <c r="R1517" s="40"/>
      <c r="S1517" s="40"/>
      <c r="T1517" s="40"/>
      <c r="U1517" s="40"/>
      <c r="V1517" s="40"/>
      <c r="W1517" s="40"/>
      <c r="X1517" s="40"/>
      <c r="Y1517" s="40"/>
      <c r="Z1517" s="40"/>
    </row>
    <row r="1518">
      <c r="A1518" s="65"/>
      <c r="B1518" s="66"/>
      <c r="C1518" s="68"/>
      <c r="D1518" s="68"/>
      <c r="E1518" s="40"/>
      <c r="F1518" s="40"/>
      <c r="G1518" s="40"/>
      <c r="H1518" s="40"/>
      <c r="I1518" s="40"/>
      <c r="J1518" s="40"/>
      <c r="K1518" s="40"/>
      <c r="L1518" s="40"/>
      <c r="M1518" s="40"/>
      <c r="N1518" s="40"/>
      <c r="O1518" s="40"/>
      <c r="P1518" s="40"/>
      <c r="Q1518" s="40"/>
      <c r="R1518" s="40"/>
      <c r="S1518" s="40"/>
      <c r="T1518" s="40"/>
      <c r="U1518" s="40"/>
      <c r="V1518" s="40"/>
      <c r="W1518" s="40"/>
      <c r="X1518" s="40"/>
      <c r="Y1518" s="40"/>
      <c r="Z1518" s="40"/>
    </row>
    <row r="1519">
      <c r="A1519" s="65"/>
      <c r="B1519" s="66"/>
      <c r="C1519" s="68"/>
      <c r="D1519" s="68"/>
      <c r="E1519" s="40"/>
      <c r="F1519" s="40"/>
      <c r="G1519" s="40"/>
      <c r="H1519" s="40"/>
      <c r="I1519" s="40"/>
      <c r="J1519" s="40"/>
      <c r="K1519" s="40"/>
      <c r="L1519" s="40"/>
      <c r="M1519" s="40"/>
      <c r="N1519" s="40"/>
      <c r="O1519" s="40"/>
      <c r="P1519" s="40"/>
      <c r="Q1519" s="40"/>
      <c r="R1519" s="40"/>
      <c r="S1519" s="40"/>
      <c r="T1519" s="40"/>
      <c r="U1519" s="40"/>
      <c r="V1519" s="40"/>
      <c r="W1519" s="40"/>
      <c r="X1519" s="40"/>
      <c r="Y1519" s="40"/>
      <c r="Z1519" s="40"/>
    </row>
    <row r="1520">
      <c r="A1520" s="65"/>
      <c r="B1520" s="66"/>
      <c r="C1520" s="68"/>
      <c r="D1520" s="68"/>
      <c r="E1520" s="40"/>
      <c r="F1520" s="40"/>
      <c r="G1520" s="40"/>
      <c r="H1520" s="40"/>
      <c r="I1520" s="40"/>
      <c r="J1520" s="40"/>
      <c r="K1520" s="40"/>
      <c r="L1520" s="40"/>
      <c r="M1520" s="40"/>
      <c r="N1520" s="40"/>
      <c r="O1520" s="40"/>
      <c r="P1520" s="40"/>
      <c r="Q1520" s="40"/>
      <c r="R1520" s="40"/>
      <c r="S1520" s="40"/>
      <c r="T1520" s="40"/>
      <c r="U1520" s="40"/>
      <c r="V1520" s="40"/>
      <c r="W1520" s="40"/>
      <c r="X1520" s="40"/>
      <c r="Y1520" s="40"/>
      <c r="Z1520" s="40"/>
    </row>
    <row r="1521">
      <c r="A1521" s="65"/>
      <c r="B1521" s="66"/>
      <c r="C1521" s="68"/>
      <c r="D1521" s="68"/>
      <c r="E1521" s="40"/>
      <c r="F1521" s="40"/>
      <c r="G1521" s="40"/>
      <c r="H1521" s="40"/>
      <c r="I1521" s="40"/>
      <c r="J1521" s="40"/>
      <c r="K1521" s="40"/>
      <c r="L1521" s="40"/>
      <c r="M1521" s="40"/>
      <c r="N1521" s="40"/>
      <c r="O1521" s="40"/>
      <c r="P1521" s="40"/>
      <c r="Q1521" s="40"/>
      <c r="R1521" s="40"/>
      <c r="S1521" s="40"/>
      <c r="T1521" s="40"/>
      <c r="U1521" s="40"/>
      <c r="V1521" s="40"/>
      <c r="W1521" s="40"/>
      <c r="X1521" s="40"/>
      <c r="Y1521" s="40"/>
      <c r="Z1521" s="40"/>
    </row>
    <row r="1522">
      <c r="A1522" s="65"/>
      <c r="B1522" s="66"/>
      <c r="C1522" s="68"/>
      <c r="D1522" s="68"/>
      <c r="E1522" s="40"/>
      <c r="F1522" s="40"/>
      <c r="G1522" s="40"/>
      <c r="H1522" s="40"/>
      <c r="I1522" s="40"/>
      <c r="J1522" s="40"/>
      <c r="K1522" s="40"/>
      <c r="L1522" s="40"/>
      <c r="M1522" s="40"/>
      <c r="N1522" s="40"/>
      <c r="O1522" s="40"/>
      <c r="P1522" s="40"/>
      <c r="Q1522" s="40"/>
      <c r="R1522" s="40"/>
      <c r="S1522" s="40"/>
      <c r="T1522" s="40"/>
      <c r="U1522" s="40"/>
      <c r="V1522" s="40"/>
      <c r="W1522" s="40"/>
      <c r="X1522" s="40"/>
      <c r="Y1522" s="40"/>
      <c r="Z1522" s="40"/>
    </row>
    <row r="1523">
      <c r="A1523" s="65"/>
      <c r="B1523" s="66"/>
      <c r="C1523" s="68"/>
      <c r="D1523" s="68"/>
      <c r="E1523" s="40"/>
      <c r="F1523" s="40"/>
      <c r="G1523" s="40"/>
      <c r="H1523" s="40"/>
      <c r="I1523" s="40"/>
      <c r="J1523" s="40"/>
      <c r="K1523" s="40"/>
      <c r="L1523" s="40"/>
      <c r="M1523" s="40"/>
      <c r="N1523" s="40"/>
      <c r="O1523" s="40"/>
      <c r="P1523" s="40"/>
      <c r="Q1523" s="40"/>
      <c r="R1523" s="40"/>
      <c r="S1523" s="40"/>
      <c r="T1523" s="40"/>
      <c r="U1523" s="40"/>
      <c r="V1523" s="40"/>
      <c r="W1523" s="40"/>
      <c r="X1523" s="40"/>
      <c r="Y1523" s="40"/>
      <c r="Z1523" s="40"/>
    </row>
    <row r="1524">
      <c r="A1524" s="65"/>
      <c r="B1524" s="66"/>
      <c r="C1524" s="68"/>
      <c r="D1524" s="68"/>
      <c r="E1524" s="40"/>
      <c r="F1524" s="40"/>
      <c r="G1524" s="40"/>
      <c r="H1524" s="40"/>
      <c r="I1524" s="40"/>
      <c r="J1524" s="40"/>
      <c r="K1524" s="40"/>
      <c r="L1524" s="40"/>
      <c r="M1524" s="40"/>
      <c r="N1524" s="40"/>
      <c r="O1524" s="40"/>
      <c r="P1524" s="40"/>
      <c r="Q1524" s="40"/>
      <c r="R1524" s="40"/>
      <c r="S1524" s="40"/>
      <c r="T1524" s="40"/>
      <c r="U1524" s="40"/>
      <c r="V1524" s="40"/>
      <c r="W1524" s="40"/>
      <c r="X1524" s="40"/>
      <c r="Y1524" s="40"/>
      <c r="Z1524" s="40"/>
    </row>
    <row r="1525">
      <c r="A1525" s="65"/>
      <c r="B1525" s="66"/>
      <c r="C1525" s="68"/>
      <c r="D1525" s="68"/>
      <c r="E1525" s="40"/>
      <c r="F1525" s="40"/>
      <c r="G1525" s="40"/>
      <c r="H1525" s="40"/>
      <c r="I1525" s="40"/>
      <c r="J1525" s="40"/>
      <c r="K1525" s="40"/>
      <c r="L1525" s="40"/>
      <c r="M1525" s="40"/>
      <c r="N1525" s="40"/>
      <c r="O1525" s="40"/>
      <c r="P1525" s="40"/>
      <c r="Q1525" s="40"/>
      <c r="R1525" s="40"/>
      <c r="S1525" s="40"/>
      <c r="T1525" s="40"/>
      <c r="U1525" s="40"/>
      <c r="V1525" s="40"/>
      <c r="W1525" s="40"/>
      <c r="X1525" s="40"/>
      <c r="Y1525" s="40"/>
      <c r="Z1525" s="40"/>
    </row>
    <row r="1526">
      <c r="A1526" s="65"/>
      <c r="B1526" s="66"/>
      <c r="C1526" s="68"/>
      <c r="D1526" s="68"/>
      <c r="E1526" s="40"/>
      <c r="F1526" s="40"/>
      <c r="G1526" s="40"/>
      <c r="H1526" s="40"/>
      <c r="I1526" s="40"/>
      <c r="J1526" s="40"/>
      <c r="K1526" s="40"/>
      <c r="L1526" s="40"/>
      <c r="M1526" s="40"/>
      <c r="N1526" s="40"/>
      <c r="O1526" s="40"/>
      <c r="P1526" s="40"/>
      <c r="Q1526" s="40"/>
      <c r="R1526" s="40"/>
      <c r="S1526" s="40"/>
      <c r="T1526" s="40"/>
      <c r="U1526" s="40"/>
      <c r="V1526" s="40"/>
      <c r="W1526" s="40"/>
      <c r="X1526" s="40"/>
      <c r="Y1526" s="40"/>
      <c r="Z1526" s="40"/>
    </row>
    <row r="1527">
      <c r="A1527" s="65"/>
      <c r="B1527" s="66"/>
      <c r="C1527" s="68"/>
      <c r="D1527" s="68"/>
      <c r="E1527" s="40"/>
      <c r="F1527" s="40"/>
      <c r="G1527" s="40"/>
      <c r="H1527" s="40"/>
      <c r="I1527" s="40"/>
      <c r="J1527" s="40"/>
      <c r="K1527" s="40"/>
      <c r="L1527" s="40"/>
      <c r="M1527" s="40"/>
      <c r="N1527" s="40"/>
      <c r="O1527" s="40"/>
      <c r="P1527" s="40"/>
      <c r="Q1527" s="40"/>
      <c r="R1527" s="40"/>
      <c r="S1527" s="40"/>
      <c r="T1527" s="40"/>
      <c r="U1527" s="40"/>
      <c r="V1527" s="40"/>
      <c r="W1527" s="40"/>
      <c r="X1527" s="40"/>
      <c r="Y1527" s="40"/>
      <c r="Z1527" s="40"/>
    </row>
    <row r="1528">
      <c r="A1528" s="65"/>
      <c r="B1528" s="66"/>
      <c r="C1528" s="68"/>
      <c r="D1528" s="68"/>
      <c r="E1528" s="40"/>
      <c r="F1528" s="40"/>
      <c r="G1528" s="40"/>
      <c r="H1528" s="40"/>
      <c r="I1528" s="40"/>
      <c r="J1528" s="40"/>
      <c r="K1528" s="40"/>
      <c r="L1528" s="40"/>
      <c r="M1528" s="40"/>
      <c r="N1528" s="40"/>
      <c r="O1528" s="40"/>
      <c r="P1528" s="40"/>
      <c r="Q1528" s="40"/>
      <c r="R1528" s="40"/>
      <c r="S1528" s="40"/>
      <c r="T1528" s="40"/>
      <c r="U1528" s="40"/>
      <c r="V1528" s="40"/>
      <c r="W1528" s="40"/>
      <c r="X1528" s="40"/>
      <c r="Y1528" s="40"/>
      <c r="Z1528" s="40"/>
    </row>
    <row r="1529">
      <c r="A1529" s="65"/>
      <c r="B1529" s="66"/>
      <c r="C1529" s="68"/>
      <c r="D1529" s="68"/>
      <c r="E1529" s="40"/>
      <c r="F1529" s="40"/>
      <c r="G1529" s="40"/>
      <c r="H1529" s="40"/>
      <c r="I1529" s="40"/>
      <c r="J1529" s="40"/>
      <c r="K1529" s="40"/>
      <c r="L1529" s="40"/>
      <c r="M1529" s="40"/>
      <c r="N1529" s="40"/>
      <c r="O1529" s="40"/>
      <c r="P1529" s="40"/>
      <c r="Q1529" s="40"/>
      <c r="R1529" s="40"/>
      <c r="S1529" s="40"/>
      <c r="T1529" s="40"/>
      <c r="U1529" s="40"/>
      <c r="V1529" s="40"/>
      <c r="W1529" s="40"/>
      <c r="X1529" s="40"/>
      <c r="Y1529" s="40"/>
      <c r="Z1529" s="40"/>
    </row>
    <row r="1530">
      <c r="A1530" s="65"/>
      <c r="B1530" s="66"/>
      <c r="C1530" s="68"/>
      <c r="D1530" s="68"/>
      <c r="E1530" s="40"/>
      <c r="F1530" s="40"/>
      <c r="G1530" s="40"/>
      <c r="H1530" s="40"/>
      <c r="I1530" s="40"/>
      <c r="J1530" s="40"/>
      <c r="K1530" s="40"/>
      <c r="L1530" s="40"/>
      <c r="M1530" s="40"/>
      <c r="N1530" s="40"/>
      <c r="O1530" s="40"/>
      <c r="P1530" s="40"/>
      <c r="Q1530" s="40"/>
      <c r="R1530" s="40"/>
      <c r="S1530" s="40"/>
      <c r="T1530" s="40"/>
      <c r="U1530" s="40"/>
      <c r="V1530" s="40"/>
      <c r="W1530" s="40"/>
      <c r="X1530" s="40"/>
      <c r="Y1530" s="40"/>
      <c r="Z1530" s="40"/>
    </row>
    <row r="1531">
      <c r="A1531" s="65"/>
      <c r="B1531" s="66"/>
      <c r="C1531" s="68"/>
      <c r="D1531" s="68"/>
      <c r="E1531" s="40"/>
      <c r="F1531" s="40"/>
      <c r="G1531" s="40"/>
      <c r="H1531" s="40"/>
      <c r="I1531" s="40"/>
      <c r="J1531" s="40"/>
      <c r="K1531" s="40"/>
      <c r="L1531" s="40"/>
      <c r="M1531" s="40"/>
      <c r="N1531" s="40"/>
      <c r="O1531" s="40"/>
      <c r="P1531" s="40"/>
      <c r="Q1531" s="40"/>
      <c r="R1531" s="40"/>
      <c r="S1531" s="40"/>
      <c r="T1531" s="40"/>
      <c r="U1531" s="40"/>
      <c r="V1531" s="40"/>
      <c r="W1531" s="40"/>
      <c r="X1531" s="40"/>
      <c r="Y1531" s="40"/>
      <c r="Z1531" s="40"/>
    </row>
    <row r="1532">
      <c r="A1532" s="65"/>
      <c r="B1532" s="66"/>
      <c r="C1532" s="68"/>
      <c r="D1532" s="68"/>
      <c r="E1532" s="40"/>
      <c r="F1532" s="40"/>
      <c r="G1532" s="40"/>
      <c r="H1532" s="40"/>
      <c r="I1532" s="40"/>
      <c r="J1532" s="40"/>
      <c r="K1532" s="40"/>
      <c r="L1532" s="40"/>
      <c r="M1532" s="40"/>
      <c r="N1532" s="40"/>
      <c r="O1532" s="40"/>
      <c r="P1532" s="40"/>
      <c r="Q1532" s="40"/>
      <c r="R1532" s="40"/>
      <c r="S1532" s="40"/>
      <c r="T1532" s="40"/>
      <c r="U1532" s="40"/>
      <c r="V1532" s="40"/>
      <c r="W1532" s="40"/>
      <c r="X1532" s="40"/>
      <c r="Y1532" s="40"/>
      <c r="Z1532" s="40"/>
    </row>
    <row r="1533">
      <c r="A1533" s="65"/>
      <c r="B1533" s="66"/>
      <c r="C1533" s="68"/>
      <c r="D1533" s="68"/>
      <c r="E1533" s="40"/>
      <c r="F1533" s="40"/>
      <c r="G1533" s="40"/>
      <c r="H1533" s="40"/>
      <c r="I1533" s="40"/>
      <c r="J1533" s="40"/>
      <c r="K1533" s="40"/>
      <c r="L1533" s="40"/>
      <c r="M1533" s="40"/>
      <c r="N1533" s="40"/>
      <c r="O1533" s="40"/>
      <c r="P1533" s="40"/>
      <c r="Q1533" s="40"/>
      <c r="R1533" s="40"/>
      <c r="S1533" s="40"/>
      <c r="T1533" s="40"/>
      <c r="U1533" s="40"/>
      <c r="V1533" s="40"/>
      <c r="W1533" s="40"/>
      <c r="X1533" s="40"/>
      <c r="Y1533" s="40"/>
      <c r="Z1533" s="40"/>
    </row>
    <row r="1534">
      <c r="A1534" s="65"/>
      <c r="B1534" s="66"/>
      <c r="C1534" s="68"/>
      <c r="D1534" s="68"/>
      <c r="E1534" s="40"/>
      <c r="F1534" s="40"/>
      <c r="G1534" s="40"/>
      <c r="H1534" s="40"/>
      <c r="I1534" s="40"/>
      <c r="J1534" s="40"/>
      <c r="K1534" s="40"/>
      <c r="L1534" s="40"/>
      <c r="M1534" s="40"/>
      <c r="N1534" s="40"/>
      <c r="O1534" s="40"/>
      <c r="P1534" s="40"/>
      <c r="Q1534" s="40"/>
      <c r="R1534" s="40"/>
      <c r="S1534" s="40"/>
      <c r="T1534" s="40"/>
      <c r="U1534" s="40"/>
      <c r="V1534" s="40"/>
      <c r="W1534" s="40"/>
      <c r="X1534" s="40"/>
      <c r="Y1534" s="40"/>
      <c r="Z1534" s="40"/>
    </row>
    <row r="1535">
      <c r="A1535" s="65"/>
      <c r="B1535" s="66"/>
      <c r="C1535" s="68"/>
      <c r="D1535" s="68"/>
      <c r="E1535" s="40"/>
      <c r="F1535" s="40"/>
      <c r="G1535" s="40"/>
      <c r="H1535" s="40"/>
      <c r="I1535" s="40"/>
      <c r="J1535" s="40"/>
      <c r="K1535" s="40"/>
      <c r="L1535" s="40"/>
      <c r="M1535" s="40"/>
      <c r="N1535" s="40"/>
      <c r="O1535" s="40"/>
      <c r="P1535" s="40"/>
      <c r="Q1535" s="40"/>
      <c r="R1535" s="40"/>
      <c r="S1535" s="40"/>
      <c r="T1535" s="40"/>
      <c r="U1535" s="40"/>
      <c r="V1535" s="40"/>
      <c r="W1535" s="40"/>
      <c r="X1535" s="40"/>
      <c r="Y1535" s="40"/>
      <c r="Z1535" s="40"/>
    </row>
    <row r="1536">
      <c r="A1536" s="65"/>
      <c r="B1536" s="66"/>
      <c r="C1536" s="68"/>
      <c r="D1536" s="68"/>
      <c r="E1536" s="40"/>
      <c r="F1536" s="40"/>
      <c r="G1536" s="40"/>
      <c r="H1536" s="40"/>
      <c r="I1536" s="40"/>
      <c r="J1536" s="40"/>
      <c r="K1536" s="40"/>
      <c r="L1536" s="40"/>
      <c r="M1536" s="40"/>
      <c r="N1536" s="40"/>
      <c r="O1536" s="40"/>
      <c r="P1536" s="40"/>
      <c r="Q1536" s="40"/>
      <c r="R1536" s="40"/>
      <c r="S1536" s="40"/>
      <c r="T1536" s="40"/>
      <c r="U1536" s="40"/>
      <c r="V1536" s="40"/>
      <c r="W1536" s="40"/>
      <c r="X1536" s="40"/>
      <c r="Y1536" s="40"/>
      <c r="Z1536" s="40"/>
    </row>
    <row r="1537">
      <c r="A1537" s="65"/>
      <c r="B1537" s="66"/>
      <c r="C1537" s="68"/>
      <c r="D1537" s="68"/>
      <c r="E1537" s="40"/>
      <c r="F1537" s="40"/>
      <c r="G1537" s="40"/>
      <c r="H1537" s="40"/>
      <c r="I1537" s="40"/>
      <c r="J1537" s="40"/>
      <c r="K1537" s="40"/>
      <c r="L1537" s="40"/>
      <c r="M1537" s="40"/>
      <c r="N1537" s="40"/>
      <c r="O1537" s="40"/>
      <c r="P1537" s="40"/>
      <c r="Q1537" s="40"/>
      <c r="R1537" s="40"/>
      <c r="S1537" s="40"/>
      <c r="T1537" s="40"/>
      <c r="U1537" s="40"/>
      <c r="V1537" s="40"/>
      <c r="W1537" s="40"/>
      <c r="X1537" s="40"/>
      <c r="Y1537" s="40"/>
      <c r="Z1537" s="40"/>
    </row>
    <row r="1538">
      <c r="A1538" s="65"/>
      <c r="B1538" s="66"/>
      <c r="C1538" s="68"/>
      <c r="D1538" s="68"/>
      <c r="E1538" s="40"/>
      <c r="F1538" s="40"/>
      <c r="G1538" s="40"/>
      <c r="H1538" s="40"/>
      <c r="I1538" s="40"/>
      <c r="J1538" s="40"/>
      <c r="K1538" s="40"/>
      <c r="L1538" s="40"/>
      <c r="M1538" s="40"/>
      <c r="N1538" s="40"/>
      <c r="O1538" s="40"/>
      <c r="P1538" s="40"/>
      <c r="Q1538" s="40"/>
      <c r="R1538" s="40"/>
      <c r="S1538" s="40"/>
      <c r="T1538" s="40"/>
      <c r="U1538" s="40"/>
      <c r="V1538" s="40"/>
      <c r="W1538" s="40"/>
      <c r="X1538" s="40"/>
      <c r="Y1538" s="40"/>
      <c r="Z1538" s="40"/>
    </row>
    <row r="1539">
      <c r="A1539" s="65"/>
      <c r="B1539" s="66"/>
      <c r="C1539" s="68"/>
      <c r="D1539" s="68"/>
      <c r="E1539" s="40"/>
      <c r="F1539" s="40"/>
      <c r="G1539" s="40"/>
      <c r="H1539" s="40"/>
      <c r="I1539" s="40"/>
      <c r="J1539" s="40"/>
      <c r="K1539" s="40"/>
      <c r="L1539" s="40"/>
      <c r="M1539" s="40"/>
      <c r="N1539" s="40"/>
      <c r="O1539" s="40"/>
      <c r="P1539" s="40"/>
      <c r="Q1539" s="40"/>
      <c r="R1539" s="40"/>
      <c r="S1539" s="40"/>
      <c r="T1539" s="40"/>
      <c r="U1539" s="40"/>
      <c r="V1539" s="40"/>
      <c r="W1539" s="40"/>
      <c r="X1539" s="40"/>
      <c r="Y1539" s="40"/>
      <c r="Z1539" s="40"/>
    </row>
    <row r="1540">
      <c r="A1540" s="65"/>
      <c r="B1540" s="66"/>
      <c r="C1540" s="68"/>
      <c r="D1540" s="68"/>
      <c r="E1540" s="40"/>
      <c r="F1540" s="40"/>
      <c r="G1540" s="40"/>
      <c r="H1540" s="40"/>
      <c r="I1540" s="40"/>
      <c r="J1540" s="40"/>
      <c r="K1540" s="40"/>
      <c r="L1540" s="40"/>
      <c r="M1540" s="40"/>
      <c r="N1540" s="40"/>
      <c r="O1540" s="40"/>
      <c r="P1540" s="40"/>
      <c r="Q1540" s="40"/>
      <c r="R1540" s="40"/>
      <c r="S1540" s="40"/>
      <c r="T1540" s="40"/>
      <c r="U1540" s="40"/>
      <c r="V1540" s="40"/>
      <c r="W1540" s="40"/>
      <c r="X1540" s="40"/>
      <c r="Y1540" s="40"/>
      <c r="Z1540" s="40"/>
    </row>
    <row r="1541">
      <c r="A1541" s="65"/>
      <c r="B1541" s="66"/>
      <c r="C1541" s="68"/>
      <c r="D1541" s="68"/>
      <c r="E1541" s="40"/>
      <c r="F1541" s="40"/>
      <c r="G1541" s="40"/>
      <c r="H1541" s="40"/>
      <c r="I1541" s="40"/>
      <c r="J1541" s="40"/>
      <c r="K1541" s="40"/>
      <c r="L1541" s="40"/>
      <c r="M1541" s="40"/>
      <c r="N1541" s="40"/>
      <c r="O1541" s="40"/>
      <c r="P1541" s="40"/>
      <c r="Q1541" s="40"/>
      <c r="R1541" s="40"/>
      <c r="S1541" s="40"/>
      <c r="T1541" s="40"/>
      <c r="U1541" s="40"/>
      <c r="V1541" s="40"/>
      <c r="W1541" s="40"/>
      <c r="X1541" s="40"/>
      <c r="Y1541" s="40"/>
      <c r="Z1541" s="40"/>
    </row>
    <row r="1542">
      <c r="A1542" s="65"/>
      <c r="B1542" s="66"/>
      <c r="C1542" s="68"/>
      <c r="D1542" s="68"/>
      <c r="E1542" s="40"/>
      <c r="F1542" s="40"/>
      <c r="G1542" s="40"/>
      <c r="H1542" s="40"/>
      <c r="I1542" s="40"/>
      <c r="J1542" s="40"/>
      <c r="K1542" s="40"/>
      <c r="L1542" s="40"/>
      <c r="M1542" s="40"/>
      <c r="N1542" s="40"/>
      <c r="O1542" s="40"/>
      <c r="P1542" s="40"/>
      <c r="Q1542" s="40"/>
      <c r="R1542" s="40"/>
      <c r="S1542" s="40"/>
      <c r="T1542" s="40"/>
      <c r="U1542" s="40"/>
      <c r="V1542" s="40"/>
      <c r="W1542" s="40"/>
      <c r="X1542" s="40"/>
      <c r="Y1542" s="40"/>
      <c r="Z1542" s="40"/>
    </row>
    <row r="1543">
      <c r="A1543" s="65"/>
      <c r="B1543" s="66"/>
      <c r="C1543" s="68"/>
      <c r="D1543" s="68"/>
      <c r="E1543" s="40"/>
      <c r="F1543" s="40"/>
      <c r="G1543" s="40"/>
      <c r="H1543" s="40"/>
      <c r="I1543" s="40"/>
      <c r="J1543" s="40"/>
      <c r="K1543" s="40"/>
      <c r="L1543" s="40"/>
      <c r="M1543" s="40"/>
      <c r="N1543" s="40"/>
      <c r="O1543" s="40"/>
      <c r="P1543" s="40"/>
      <c r="Q1543" s="40"/>
      <c r="R1543" s="40"/>
      <c r="S1543" s="40"/>
      <c r="T1543" s="40"/>
      <c r="U1543" s="40"/>
      <c r="V1543" s="40"/>
      <c r="W1543" s="40"/>
      <c r="X1543" s="40"/>
      <c r="Y1543" s="40"/>
      <c r="Z1543" s="40"/>
    </row>
    <row r="1544">
      <c r="A1544" s="65"/>
      <c r="B1544" s="66"/>
      <c r="C1544" s="68"/>
      <c r="D1544" s="68"/>
      <c r="E1544" s="40"/>
      <c r="F1544" s="40"/>
      <c r="G1544" s="40"/>
      <c r="H1544" s="40"/>
      <c r="I1544" s="40"/>
      <c r="J1544" s="40"/>
      <c r="K1544" s="40"/>
      <c r="L1544" s="40"/>
      <c r="M1544" s="40"/>
      <c r="N1544" s="40"/>
      <c r="O1544" s="40"/>
      <c r="P1544" s="40"/>
      <c r="Q1544" s="40"/>
      <c r="R1544" s="40"/>
      <c r="S1544" s="40"/>
      <c r="T1544" s="40"/>
      <c r="U1544" s="40"/>
      <c r="V1544" s="40"/>
      <c r="W1544" s="40"/>
      <c r="X1544" s="40"/>
      <c r="Y1544" s="40"/>
      <c r="Z1544" s="40"/>
    </row>
    <row r="1545">
      <c r="A1545" s="65"/>
      <c r="B1545" s="66"/>
      <c r="C1545" s="68"/>
      <c r="D1545" s="68"/>
      <c r="E1545" s="40"/>
      <c r="F1545" s="40"/>
      <c r="G1545" s="40"/>
      <c r="H1545" s="40"/>
      <c r="I1545" s="40"/>
      <c r="J1545" s="40"/>
      <c r="K1545" s="40"/>
      <c r="L1545" s="40"/>
      <c r="M1545" s="40"/>
      <c r="N1545" s="40"/>
      <c r="O1545" s="40"/>
      <c r="P1545" s="40"/>
      <c r="Q1545" s="40"/>
      <c r="R1545" s="40"/>
      <c r="S1545" s="40"/>
      <c r="T1545" s="40"/>
      <c r="U1545" s="40"/>
      <c r="V1545" s="40"/>
      <c r="W1545" s="40"/>
      <c r="X1545" s="40"/>
      <c r="Y1545" s="40"/>
      <c r="Z1545" s="40"/>
    </row>
    <row r="1546">
      <c r="A1546" s="65"/>
      <c r="B1546" s="66"/>
      <c r="C1546" s="68"/>
      <c r="D1546" s="68"/>
      <c r="E1546" s="40"/>
      <c r="F1546" s="40"/>
      <c r="G1546" s="40"/>
      <c r="H1546" s="40"/>
      <c r="I1546" s="40"/>
      <c r="J1546" s="40"/>
      <c r="K1546" s="40"/>
      <c r="L1546" s="40"/>
      <c r="M1546" s="40"/>
      <c r="N1546" s="40"/>
      <c r="O1546" s="40"/>
      <c r="P1546" s="40"/>
      <c r="Q1546" s="40"/>
      <c r="R1546" s="40"/>
      <c r="S1546" s="40"/>
      <c r="T1546" s="40"/>
      <c r="U1546" s="40"/>
      <c r="V1546" s="40"/>
      <c r="W1546" s="40"/>
      <c r="X1546" s="40"/>
      <c r="Y1546" s="40"/>
      <c r="Z1546" s="40"/>
    </row>
    <row r="1547">
      <c r="A1547" s="65"/>
      <c r="B1547" s="66"/>
      <c r="C1547" s="68"/>
      <c r="D1547" s="68"/>
      <c r="E1547" s="40"/>
      <c r="F1547" s="40"/>
      <c r="G1547" s="40"/>
      <c r="H1547" s="40"/>
      <c r="I1547" s="40"/>
      <c r="J1547" s="40"/>
      <c r="K1547" s="40"/>
      <c r="L1547" s="40"/>
      <c r="M1547" s="40"/>
      <c r="N1547" s="40"/>
      <c r="O1547" s="40"/>
      <c r="P1547" s="40"/>
      <c r="Q1547" s="40"/>
      <c r="R1547" s="40"/>
      <c r="S1547" s="40"/>
      <c r="T1547" s="40"/>
      <c r="U1547" s="40"/>
      <c r="V1547" s="40"/>
      <c r="W1547" s="40"/>
      <c r="X1547" s="40"/>
      <c r="Y1547" s="40"/>
      <c r="Z1547" s="40"/>
    </row>
    <row r="1548">
      <c r="A1548" s="65"/>
      <c r="B1548" s="66"/>
      <c r="C1548" s="68"/>
      <c r="D1548" s="68"/>
      <c r="E1548" s="40"/>
      <c r="F1548" s="40"/>
      <c r="G1548" s="40"/>
      <c r="H1548" s="40"/>
      <c r="I1548" s="40"/>
      <c r="J1548" s="40"/>
      <c r="K1548" s="40"/>
      <c r="L1548" s="40"/>
      <c r="M1548" s="40"/>
      <c r="N1548" s="40"/>
      <c r="O1548" s="40"/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0"/>
    </row>
    <row r="1549">
      <c r="A1549" s="65"/>
      <c r="B1549" s="66"/>
      <c r="C1549" s="68"/>
      <c r="D1549" s="68"/>
      <c r="E1549" s="40"/>
      <c r="F1549" s="40"/>
      <c r="G1549" s="40"/>
      <c r="H1549" s="40"/>
      <c r="I1549" s="40"/>
      <c r="J1549" s="40"/>
      <c r="K1549" s="40"/>
      <c r="L1549" s="40"/>
      <c r="M1549" s="40"/>
      <c r="N1549" s="40"/>
      <c r="O1549" s="40"/>
      <c r="P1549" s="40"/>
      <c r="Q1549" s="40"/>
      <c r="R1549" s="40"/>
      <c r="S1549" s="40"/>
      <c r="T1549" s="40"/>
      <c r="U1549" s="40"/>
      <c r="V1549" s="40"/>
      <c r="W1549" s="40"/>
      <c r="X1549" s="40"/>
      <c r="Y1549" s="40"/>
      <c r="Z1549" s="40"/>
    </row>
    <row r="1550">
      <c r="A1550" s="65"/>
      <c r="B1550" s="66"/>
      <c r="C1550" s="68"/>
      <c r="D1550" s="68"/>
      <c r="E1550" s="40"/>
      <c r="F1550" s="40"/>
      <c r="G1550" s="40"/>
      <c r="H1550" s="40"/>
      <c r="I1550" s="40"/>
      <c r="J1550" s="40"/>
      <c r="K1550" s="40"/>
      <c r="L1550" s="40"/>
      <c r="M1550" s="40"/>
      <c r="N1550" s="40"/>
      <c r="O1550" s="40"/>
      <c r="P1550" s="40"/>
      <c r="Q1550" s="40"/>
      <c r="R1550" s="40"/>
      <c r="S1550" s="40"/>
      <c r="T1550" s="40"/>
      <c r="U1550" s="40"/>
      <c r="V1550" s="40"/>
      <c r="W1550" s="40"/>
      <c r="X1550" s="40"/>
      <c r="Y1550" s="40"/>
      <c r="Z1550" s="40"/>
    </row>
    <row r="1551">
      <c r="A1551" s="65"/>
      <c r="B1551" s="66"/>
      <c r="C1551" s="68"/>
      <c r="D1551" s="68"/>
      <c r="E1551" s="40"/>
      <c r="F1551" s="40"/>
      <c r="G1551" s="40"/>
      <c r="H1551" s="40"/>
      <c r="I1551" s="40"/>
      <c r="J1551" s="40"/>
      <c r="K1551" s="40"/>
      <c r="L1551" s="40"/>
      <c r="M1551" s="40"/>
      <c r="N1551" s="40"/>
      <c r="O1551" s="40"/>
      <c r="P1551" s="40"/>
      <c r="Q1551" s="40"/>
      <c r="R1551" s="40"/>
      <c r="S1551" s="40"/>
      <c r="T1551" s="40"/>
      <c r="U1551" s="40"/>
      <c r="V1551" s="40"/>
      <c r="W1551" s="40"/>
      <c r="X1551" s="40"/>
      <c r="Y1551" s="40"/>
      <c r="Z1551" s="40"/>
    </row>
    <row r="1552">
      <c r="A1552" s="65"/>
      <c r="B1552" s="66"/>
      <c r="C1552" s="68"/>
      <c r="D1552" s="68"/>
      <c r="E1552" s="40"/>
      <c r="F1552" s="40"/>
      <c r="G1552" s="40"/>
      <c r="H1552" s="40"/>
      <c r="I1552" s="40"/>
      <c r="J1552" s="40"/>
      <c r="K1552" s="40"/>
      <c r="L1552" s="40"/>
      <c r="M1552" s="40"/>
      <c r="N1552" s="40"/>
      <c r="O1552" s="40"/>
      <c r="P1552" s="40"/>
      <c r="Q1552" s="40"/>
      <c r="R1552" s="40"/>
      <c r="S1552" s="40"/>
      <c r="T1552" s="40"/>
      <c r="U1552" s="40"/>
      <c r="V1552" s="40"/>
      <c r="W1552" s="40"/>
      <c r="X1552" s="40"/>
      <c r="Y1552" s="40"/>
      <c r="Z1552" s="40"/>
    </row>
    <row r="1553">
      <c r="A1553" s="65"/>
      <c r="B1553" s="66"/>
      <c r="C1553" s="68"/>
      <c r="D1553" s="68"/>
      <c r="E1553" s="40"/>
      <c r="F1553" s="40"/>
      <c r="G1553" s="40"/>
      <c r="H1553" s="40"/>
      <c r="I1553" s="40"/>
      <c r="J1553" s="40"/>
      <c r="K1553" s="40"/>
      <c r="L1553" s="40"/>
      <c r="M1553" s="40"/>
      <c r="N1553" s="40"/>
      <c r="O1553" s="40"/>
      <c r="P1553" s="40"/>
      <c r="Q1553" s="40"/>
      <c r="R1553" s="40"/>
      <c r="S1553" s="40"/>
      <c r="T1553" s="40"/>
      <c r="U1553" s="40"/>
      <c r="V1553" s="40"/>
      <c r="W1553" s="40"/>
      <c r="X1553" s="40"/>
      <c r="Y1553" s="40"/>
      <c r="Z1553" s="40"/>
    </row>
    <row r="1554">
      <c r="A1554" s="65"/>
      <c r="B1554" s="66"/>
      <c r="C1554" s="68"/>
      <c r="D1554" s="68"/>
      <c r="E1554" s="40"/>
      <c r="F1554" s="40"/>
      <c r="G1554" s="40"/>
      <c r="H1554" s="40"/>
      <c r="I1554" s="40"/>
      <c r="J1554" s="40"/>
      <c r="K1554" s="40"/>
      <c r="L1554" s="40"/>
      <c r="M1554" s="40"/>
      <c r="N1554" s="40"/>
      <c r="O1554" s="40"/>
      <c r="P1554" s="40"/>
      <c r="Q1554" s="40"/>
      <c r="R1554" s="40"/>
      <c r="S1554" s="40"/>
      <c r="T1554" s="40"/>
      <c r="U1554" s="40"/>
      <c r="V1554" s="40"/>
      <c r="W1554" s="40"/>
      <c r="X1554" s="40"/>
      <c r="Y1554" s="40"/>
      <c r="Z1554" s="40"/>
    </row>
    <row r="1555">
      <c r="A1555" s="65"/>
      <c r="B1555" s="66"/>
      <c r="C1555" s="68"/>
      <c r="D1555" s="68"/>
      <c r="E1555" s="40"/>
      <c r="F1555" s="40"/>
      <c r="G1555" s="40"/>
      <c r="H1555" s="40"/>
      <c r="I1555" s="40"/>
      <c r="J1555" s="40"/>
      <c r="K1555" s="40"/>
      <c r="L1555" s="40"/>
      <c r="M1555" s="40"/>
      <c r="N1555" s="40"/>
      <c r="O1555" s="40"/>
      <c r="P1555" s="40"/>
      <c r="Q1555" s="40"/>
      <c r="R1555" s="40"/>
      <c r="S1555" s="40"/>
      <c r="T1555" s="40"/>
      <c r="U1555" s="40"/>
      <c r="V1555" s="40"/>
      <c r="W1555" s="40"/>
      <c r="X1555" s="40"/>
      <c r="Y1555" s="40"/>
      <c r="Z1555" s="40"/>
    </row>
    <row r="1556">
      <c r="A1556" s="65"/>
      <c r="B1556" s="66"/>
      <c r="C1556" s="68"/>
      <c r="D1556" s="68"/>
      <c r="E1556" s="40"/>
      <c r="F1556" s="40"/>
      <c r="G1556" s="40"/>
      <c r="H1556" s="40"/>
      <c r="I1556" s="40"/>
      <c r="J1556" s="40"/>
      <c r="K1556" s="40"/>
      <c r="L1556" s="40"/>
      <c r="M1556" s="40"/>
      <c r="N1556" s="40"/>
      <c r="O1556" s="40"/>
      <c r="P1556" s="40"/>
      <c r="Q1556" s="40"/>
      <c r="R1556" s="40"/>
      <c r="S1556" s="40"/>
      <c r="T1556" s="40"/>
      <c r="U1556" s="40"/>
      <c r="V1556" s="40"/>
      <c r="W1556" s="40"/>
      <c r="X1556" s="40"/>
      <c r="Y1556" s="40"/>
      <c r="Z1556" s="40"/>
    </row>
    <row r="1557">
      <c r="A1557" s="65"/>
      <c r="B1557" s="66"/>
      <c r="C1557" s="68"/>
      <c r="D1557" s="68"/>
      <c r="E1557" s="40"/>
      <c r="F1557" s="40"/>
      <c r="G1557" s="40"/>
      <c r="H1557" s="40"/>
      <c r="I1557" s="40"/>
      <c r="J1557" s="40"/>
      <c r="K1557" s="40"/>
      <c r="L1557" s="40"/>
      <c r="M1557" s="40"/>
      <c r="N1557" s="40"/>
      <c r="O1557" s="40"/>
      <c r="P1557" s="40"/>
      <c r="Q1557" s="40"/>
      <c r="R1557" s="40"/>
      <c r="S1557" s="40"/>
      <c r="T1557" s="40"/>
      <c r="U1557" s="40"/>
      <c r="V1557" s="40"/>
      <c r="W1557" s="40"/>
      <c r="X1557" s="40"/>
      <c r="Y1557" s="40"/>
      <c r="Z1557" s="40"/>
    </row>
    <row r="1558">
      <c r="A1558" s="65"/>
      <c r="B1558" s="66"/>
      <c r="C1558" s="68"/>
      <c r="D1558" s="68"/>
      <c r="E1558" s="40"/>
      <c r="F1558" s="40"/>
      <c r="G1558" s="40"/>
      <c r="H1558" s="40"/>
      <c r="I1558" s="40"/>
      <c r="J1558" s="40"/>
      <c r="K1558" s="40"/>
      <c r="L1558" s="40"/>
      <c r="M1558" s="40"/>
      <c r="N1558" s="40"/>
      <c r="O1558" s="40"/>
      <c r="P1558" s="40"/>
      <c r="Q1558" s="40"/>
      <c r="R1558" s="40"/>
      <c r="S1558" s="40"/>
      <c r="T1558" s="40"/>
      <c r="U1558" s="40"/>
      <c r="V1558" s="40"/>
      <c r="W1558" s="40"/>
      <c r="X1558" s="40"/>
      <c r="Y1558" s="40"/>
      <c r="Z1558" s="40"/>
    </row>
    <row r="1559">
      <c r="A1559" s="65"/>
      <c r="B1559" s="66"/>
      <c r="C1559" s="68"/>
      <c r="D1559" s="68"/>
      <c r="E1559" s="40"/>
      <c r="F1559" s="40"/>
      <c r="G1559" s="40"/>
      <c r="H1559" s="40"/>
      <c r="I1559" s="40"/>
      <c r="J1559" s="40"/>
      <c r="K1559" s="40"/>
      <c r="L1559" s="40"/>
      <c r="M1559" s="40"/>
      <c r="N1559" s="40"/>
      <c r="O1559" s="40"/>
      <c r="P1559" s="40"/>
      <c r="Q1559" s="40"/>
      <c r="R1559" s="40"/>
      <c r="S1559" s="40"/>
      <c r="T1559" s="40"/>
      <c r="U1559" s="40"/>
      <c r="V1559" s="40"/>
      <c r="W1559" s="40"/>
      <c r="X1559" s="40"/>
      <c r="Y1559" s="40"/>
      <c r="Z1559" s="40"/>
    </row>
    <row r="1560">
      <c r="A1560" s="65"/>
      <c r="B1560" s="66"/>
      <c r="C1560" s="68"/>
      <c r="D1560" s="68"/>
      <c r="E1560" s="40"/>
      <c r="F1560" s="40"/>
      <c r="G1560" s="40"/>
      <c r="H1560" s="40"/>
      <c r="I1560" s="40"/>
      <c r="J1560" s="40"/>
      <c r="K1560" s="40"/>
      <c r="L1560" s="40"/>
      <c r="M1560" s="40"/>
      <c r="N1560" s="40"/>
      <c r="O1560" s="40"/>
      <c r="P1560" s="40"/>
      <c r="Q1560" s="40"/>
      <c r="R1560" s="40"/>
      <c r="S1560" s="40"/>
      <c r="T1560" s="40"/>
      <c r="U1560" s="40"/>
      <c r="V1560" s="40"/>
      <c r="W1560" s="40"/>
      <c r="X1560" s="40"/>
      <c r="Y1560" s="40"/>
      <c r="Z1560" s="40"/>
    </row>
    <row r="1561">
      <c r="A1561" s="65"/>
      <c r="B1561" s="66"/>
      <c r="C1561" s="68"/>
      <c r="D1561" s="68"/>
      <c r="E1561" s="40"/>
      <c r="F1561" s="40"/>
      <c r="G1561" s="40"/>
      <c r="H1561" s="40"/>
      <c r="I1561" s="40"/>
      <c r="J1561" s="40"/>
      <c r="K1561" s="40"/>
      <c r="L1561" s="40"/>
      <c r="M1561" s="40"/>
      <c r="N1561" s="40"/>
      <c r="O1561" s="40"/>
      <c r="P1561" s="40"/>
      <c r="Q1561" s="40"/>
      <c r="R1561" s="40"/>
      <c r="S1561" s="40"/>
      <c r="T1561" s="40"/>
      <c r="U1561" s="40"/>
      <c r="V1561" s="40"/>
      <c r="W1561" s="40"/>
      <c r="X1561" s="40"/>
      <c r="Y1561" s="40"/>
      <c r="Z1561" s="40"/>
    </row>
    <row r="1562">
      <c r="A1562" s="65"/>
      <c r="B1562" s="66"/>
      <c r="C1562" s="68"/>
      <c r="D1562" s="68"/>
      <c r="E1562" s="40"/>
      <c r="F1562" s="40"/>
      <c r="G1562" s="40"/>
      <c r="H1562" s="40"/>
      <c r="I1562" s="40"/>
      <c r="J1562" s="40"/>
      <c r="K1562" s="40"/>
      <c r="L1562" s="40"/>
      <c r="M1562" s="40"/>
      <c r="N1562" s="40"/>
      <c r="O1562" s="40"/>
      <c r="P1562" s="40"/>
      <c r="Q1562" s="40"/>
      <c r="R1562" s="40"/>
      <c r="S1562" s="40"/>
      <c r="T1562" s="40"/>
      <c r="U1562" s="40"/>
      <c r="V1562" s="40"/>
      <c r="W1562" s="40"/>
      <c r="X1562" s="40"/>
      <c r="Y1562" s="40"/>
      <c r="Z1562" s="40"/>
    </row>
    <row r="1563">
      <c r="A1563" s="65"/>
      <c r="B1563" s="66"/>
      <c r="C1563" s="68"/>
      <c r="D1563" s="68"/>
      <c r="E1563" s="40"/>
      <c r="F1563" s="40"/>
      <c r="G1563" s="40"/>
      <c r="H1563" s="40"/>
      <c r="I1563" s="40"/>
      <c r="J1563" s="40"/>
      <c r="K1563" s="40"/>
      <c r="L1563" s="40"/>
      <c r="M1563" s="40"/>
      <c r="N1563" s="40"/>
      <c r="O1563" s="40"/>
      <c r="P1563" s="40"/>
      <c r="Q1563" s="40"/>
      <c r="R1563" s="40"/>
      <c r="S1563" s="40"/>
      <c r="T1563" s="40"/>
      <c r="U1563" s="40"/>
      <c r="V1563" s="40"/>
      <c r="W1563" s="40"/>
      <c r="X1563" s="40"/>
      <c r="Y1563" s="40"/>
      <c r="Z1563" s="40"/>
    </row>
    <row r="1564">
      <c r="A1564" s="65"/>
      <c r="B1564" s="66"/>
      <c r="C1564" s="68"/>
      <c r="D1564" s="68"/>
      <c r="E1564" s="40"/>
      <c r="F1564" s="40"/>
      <c r="G1564" s="40"/>
      <c r="H1564" s="40"/>
      <c r="I1564" s="40"/>
      <c r="J1564" s="40"/>
      <c r="K1564" s="40"/>
      <c r="L1564" s="40"/>
      <c r="M1564" s="40"/>
      <c r="N1564" s="40"/>
      <c r="O1564" s="40"/>
      <c r="P1564" s="40"/>
      <c r="Q1564" s="40"/>
      <c r="R1564" s="40"/>
      <c r="S1564" s="40"/>
      <c r="T1564" s="40"/>
      <c r="U1564" s="40"/>
      <c r="V1564" s="40"/>
      <c r="W1564" s="40"/>
      <c r="X1564" s="40"/>
      <c r="Y1564" s="40"/>
      <c r="Z1564" s="40"/>
    </row>
    <row r="1565">
      <c r="A1565" s="65"/>
      <c r="B1565" s="66"/>
      <c r="C1565" s="68"/>
      <c r="D1565" s="68"/>
      <c r="E1565" s="40"/>
      <c r="F1565" s="40"/>
      <c r="G1565" s="40"/>
      <c r="H1565" s="40"/>
      <c r="I1565" s="40"/>
      <c r="J1565" s="40"/>
      <c r="K1565" s="40"/>
      <c r="L1565" s="40"/>
      <c r="M1565" s="40"/>
      <c r="N1565" s="40"/>
      <c r="O1565" s="40"/>
      <c r="P1565" s="40"/>
      <c r="Q1565" s="40"/>
      <c r="R1565" s="40"/>
      <c r="S1565" s="40"/>
      <c r="T1565" s="40"/>
      <c r="U1565" s="40"/>
      <c r="V1565" s="40"/>
      <c r="W1565" s="40"/>
      <c r="X1565" s="40"/>
      <c r="Y1565" s="40"/>
      <c r="Z1565" s="40"/>
    </row>
    <row r="1566">
      <c r="A1566" s="65"/>
      <c r="B1566" s="66"/>
      <c r="C1566" s="68"/>
      <c r="D1566" s="68"/>
      <c r="E1566" s="40"/>
      <c r="F1566" s="40"/>
      <c r="G1566" s="40"/>
      <c r="H1566" s="40"/>
      <c r="I1566" s="40"/>
      <c r="J1566" s="40"/>
      <c r="K1566" s="40"/>
      <c r="L1566" s="40"/>
      <c r="M1566" s="40"/>
      <c r="N1566" s="40"/>
      <c r="O1566" s="40"/>
      <c r="P1566" s="40"/>
      <c r="Q1566" s="40"/>
      <c r="R1566" s="40"/>
      <c r="S1566" s="40"/>
      <c r="T1566" s="40"/>
      <c r="U1566" s="40"/>
      <c r="V1566" s="40"/>
      <c r="W1566" s="40"/>
      <c r="X1566" s="40"/>
      <c r="Y1566" s="40"/>
      <c r="Z1566" s="40"/>
    </row>
    <row r="1567">
      <c r="A1567" s="65"/>
      <c r="B1567" s="66"/>
      <c r="C1567" s="68"/>
      <c r="D1567" s="68"/>
      <c r="E1567" s="40"/>
      <c r="F1567" s="40"/>
      <c r="G1567" s="40"/>
      <c r="H1567" s="40"/>
      <c r="I1567" s="40"/>
      <c r="J1567" s="40"/>
      <c r="K1567" s="40"/>
      <c r="L1567" s="40"/>
      <c r="M1567" s="40"/>
      <c r="N1567" s="40"/>
      <c r="O1567" s="40"/>
      <c r="P1567" s="40"/>
      <c r="Q1567" s="40"/>
      <c r="R1567" s="40"/>
      <c r="S1567" s="40"/>
      <c r="T1567" s="40"/>
      <c r="U1567" s="40"/>
      <c r="V1567" s="40"/>
      <c r="W1567" s="40"/>
      <c r="X1567" s="40"/>
      <c r="Y1567" s="40"/>
      <c r="Z1567" s="40"/>
    </row>
    <row r="1568">
      <c r="A1568" s="65"/>
      <c r="B1568" s="66"/>
      <c r="C1568" s="68"/>
      <c r="D1568" s="68"/>
      <c r="E1568" s="40"/>
      <c r="F1568" s="40"/>
      <c r="G1568" s="40"/>
      <c r="H1568" s="40"/>
      <c r="I1568" s="40"/>
      <c r="J1568" s="40"/>
      <c r="K1568" s="40"/>
      <c r="L1568" s="40"/>
      <c r="M1568" s="40"/>
      <c r="N1568" s="40"/>
      <c r="O1568" s="40"/>
      <c r="P1568" s="40"/>
      <c r="Q1568" s="40"/>
      <c r="R1568" s="40"/>
      <c r="S1568" s="40"/>
      <c r="T1568" s="40"/>
      <c r="U1568" s="40"/>
      <c r="V1568" s="40"/>
      <c r="W1568" s="40"/>
      <c r="X1568" s="40"/>
      <c r="Y1568" s="40"/>
      <c r="Z1568" s="40"/>
    </row>
    <row r="1569">
      <c r="A1569" s="65"/>
      <c r="B1569" s="66"/>
      <c r="C1569" s="68"/>
      <c r="D1569" s="68"/>
      <c r="E1569" s="40"/>
      <c r="F1569" s="40"/>
      <c r="G1569" s="40"/>
      <c r="H1569" s="40"/>
      <c r="I1569" s="40"/>
      <c r="J1569" s="40"/>
      <c r="K1569" s="40"/>
      <c r="L1569" s="40"/>
      <c r="M1569" s="40"/>
      <c r="N1569" s="40"/>
      <c r="O1569" s="40"/>
      <c r="P1569" s="40"/>
      <c r="Q1569" s="40"/>
      <c r="R1569" s="40"/>
      <c r="S1569" s="40"/>
      <c r="T1569" s="40"/>
      <c r="U1569" s="40"/>
      <c r="V1569" s="40"/>
      <c r="W1569" s="40"/>
      <c r="X1569" s="40"/>
      <c r="Y1569" s="40"/>
      <c r="Z1569" s="40"/>
    </row>
    <row r="1570">
      <c r="A1570" s="65"/>
      <c r="B1570" s="66"/>
      <c r="C1570" s="68"/>
      <c r="D1570" s="68"/>
      <c r="E1570" s="40"/>
      <c r="F1570" s="40"/>
      <c r="G1570" s="40"/>
      <c r="H1570" s="40"/>
      <c r="I1570" s="40"/>
      <c r="J1570" s="40"/>
      <c r="K1570" s="40"/>
      <c r="L1570" s="40"/>
      <c r="M1570" s="40"/>
      <c r="N1570" s="40"/>
      <c r="O1570" s="40"/>
      <c r="P1570" s="40"/>
      <c r="Q1570" s="40"/>
      <c r="R1570" s="40"/>
      <c r="S1570" s="40"/>
      <c r="T1570" s="40"/>
      <c r="U1570" s="40"/>
      <c r="V1570" s="40"/>
      <c r="W1570" s="40"/>
      <c r="X1570" s="40"/>
      <c r="Y1570" s="40"/>
      <c r="Z1570" s="40"/>
    </row>
    <row r="1571">
      <c r="A1571" s="65"/>
      <c r="B1571" s="66"/>
      <c r="C1571" s="68"/>
      <c r="D1571" s="68"/>
      <c r="E1571" s="40"/>
      <c r="F1571" s="40"/>
      <c r="G1571" s="40"/>
      <c r="H1571" s="40"/>
      <c r="I1571" s="40"/>
      <c r="J1571" s="40"/>
      <c r="K1571" s="40"/>
      <c r="L1571" s="40"/>
      <c r="M1571" s="40"/>
      <c r="N1571" s="40"/>
      <c r="O1571" s="40"/>
      <c r="P1571" s="40"/>
      <c r="Q1571" s="40"/>
      <c r="R1571" s="40"/>
      <c r="S1571" s="40"/>
      <c r="T1571" s="40"/>
      <c r="U1571" s="40"/>
      <c r="V1571" s="40"/>
      <c r="W1571" s="40"/>
      <c r="X1571" s="40"/>
      <c r="Y1571" s="40"/>
      <c r="Z1571" s="40"/>
    </row>
    <row r="1572">
      <c r="A1572" s="65"/>
      <c r="B1572" s="66"/>
      <c r="C1572" s="68"/>
      <c r="D1572" s="68"/>
      <c r="E1572" s="40"/>
      <c r="F1572" s="40"/>
      <c r="G1572" s="40"/>
      <c r="H1572" s="40"/>
      <c r="I1572" s="40"/>
      <c r="J1572" s="40"/>
      <c r="K1572" s="40"/>
      <c r="L1572" s="40"/>
      <c r="M1572" s="40"/>
      <c r="N1572" s="40"/>
      <c r="O1572" s="40"/>
      <c r="P1572" s="40"/>
      <c r="Q1572" s="40"/>
      <c r="R1572" s="40"/>
      <c r="S1572" s="40"/>
      <c r="T1572" s="40"/>
      <c r="U1572" s="40"/>
      <c r="V1572" s="40"/>
      <c r="W1572" s="40"/>
      <c r="X1572" s="40"/>
      <c r="Y1572" s="40"/>
      <c r="Z1572" s="40"/>
    </row>
    <row r="1573">
      <c r="A1573" s="65"/>
      <c r="B1573" s="66"/>
      <c r="C1573" s="68"/>
      <c r="D1573" s="68"/>
      <c r="E1573" s="40"/>
      <c r="F1573" s="40"/>
      <c r="G1573" s="40"/>
      <c r="H1573" s="40"/>
      <c r="I1573" s="40"/>
      <c r="J1573" s="40"/>
      <c r="K1573" s="40"/>
      <c r="L1573" s="40"/>
      <c r="M1573" s="40"/>
      <c r="N1573" s="40"/>
      <c r="O1573" s="40"/>
      <c r="P1573" s="40"/>
      <c r="Q1573" s="40"/>
      <c r="R1573" s="40"/>
      <c r="S1573" s="40"/>
      <c r="T1573" s="40"/>
      <c r="U1573" s="40"/>
      <c r="V1573" s="40"/>
      <c r="W1573" s="40"/>
      <c r="X1573" s="40"/>
      <c r="Y1573" s="40"/>
      <c r="Z1573" s="40"/>
    </row>
    <row r="1574">
      <c r="A1574" s="65"/>
      <c r="B1574" s="66"/>
      <c r="C1574" s="68"/>
      <c r="D1574" s="68"/>
      <c r="E1574" s="40"/>
      <c r="F1574" s="40"/>
      <c r="G1574" s="40"/>
      <c r="H1574" s="40"/>
      <c r="I1574" s="40"/>
      <c r="J1574" s="40"/>
      <c r="K1574" s="40"/>
      <c r="L1574" s="40"/>
      <c r="M1574" s="40"/>
      <c r="N1574" s="40"/>
      <c r="O1574" s="40"/>
      <c r="P1574" s="40"/>
      <c r="Q1574" s="40"/>
      <c r="R1574" s="40"/>
      <c r="S1574" s="40"/>
      <c r="T1574" s="40"/>
      <c r="U1574" s="40"/>
      <c r="V1574" s="40"/>
      <c r="W1574" s="40"/>
      <c r="X1574" s="40"/>
      <c r="Y1574" s="40"/>
      <c r="Z1574" s="40"/>
    </row>
    <row r="1575">
      <c r="A1575" s="65"/>
      <c r="B1575" s="66"/>
      <c r="C1575" s="68"/>
      <c r="D1575" s="68"/>
      <c r="E1575" s="40"/>
      <c r="F1575" s="40"/>
      <c r="G1575" s="40"/>
      <c r="H1575" s="40"/>
      <c r="I1575" s="40"/>
      <c r="J1575" s="40"/>
      <c r="K1575" s="40"/>
      <c r="L1575" s="40"/>
      <c r="M1575" s="40"/>
      <c r="N1575" s="40"/>
      <c r="O1575" s="40"/>
      <c r="P1575" s="40"/>
      <c r="Q1575" s="40"/>
      <c r="R1575" s="40"/>
      <c r="S1575" s="40"/>
      <c r="T1575" s="40"/>
      <c r="U1575" s="40"/>
      <c r="V1575" s="40"/>
      <c r="W1575" s="40"/>
      <c r="X1575" s="40"/>
      <c r="Y1575" s="40"/>
      <c r="Z1575" s="40"/>
    </row>
    <row r="1576">
      <c r="A1576" s="65"/>
      <c r="B1576" s="66"/>
      <c r="C1576" s="68"/>
      <c r="D1576" s="68"/>
      <c r="E1576" s="40"/>
      <c r="F1576" s="40"/>
      <c r="G1576" s="40"/>
      <c r="H1576" s="40"/>
      <c r="I1576" s="40"/>
      <c r="J1576" s="40"/>
      <c r="K1576" s="40"/>
      <c r="L1576" s="40"/>
      <c r="M1576" s="40"/>
      <c r="N1576" s="40"/>
      <c r="O1576" s="40"/>
      <c r="P1576" s="40"/>
      <c r="Q1576" s="40"/>
      <c r="R1576" s="40"/>
      <c r="S1576" s="40"/>
      <c r="T1576" s="40"/>
      <c r="U1576" s="40"/>
      <c r="V1576" s="40"/>
      <c r="W1576" s="40"/>
      <c r="X1576" s="40"/>
      <c r="Y1576" s="40"/>
      <c r="Z1576" s="40"/>
    </row>
    <row r="1577">
      <c r="A1577" s="65"/>
      <c r="B1577" s="66"/>
      <c r="C1577" s="68"/>
      <c r="D1577" s="68"/>
      <c r="E1577" s="40"/>
      <c r="F1577" s="40"/>
      <c r="G1577" s="40"/>
      <c r="H1577" s="40"/>
      <c r="I1577" s="40"/>
      <c r="J1577" s="40"/>
      <c r="K1577" s="40"/>
      <c r="L1577" s="40"/>
      <c r="M1577" s="40"/>
      <c r="N1577" s="40"/>
      <c r="O1577" s="40"/>
      <c r="P1577" s="40"/>
      <c r="Q1577" s="40"/>
      <c r="R1577" s="40"/>
      <c r="S1577" s="40"/>
      <c r="T1577" s="40"/>
      <c r="U1577" s="40"/>
      <c r="V1577" s="40"/>
      <c r="W1577" s="40"/>
      <c r="X1577" s="40"/>
      <c r="Y1577" s="40"/>
      <c r="Z1577" s="40"/>
    </row>
    <row r="1578">
      <c r="A1578" s="65"/>
      <c r="B1578" s="66"/>
      <c r="C1578" s="68"/>
      <c r="D1578" s="68"/>
      <c r="E1578" s="40"/>
      <c r="F1578" s="40"/>
      <c r="G1578" s="40"/>
      <c r="H1578" s="40"/>
      <c r="I1578" s="40"/>
      <c r="J1578" s="40"/>
      <c r="K1578" s="40"/>
      <c r="L1578" s="40"/>
      <c r="M1578" s="40"/>
      <c r="N1578" s="40"/>
      <c r="O1578" s="40"/>
      <c r="P1578" s="40"/>
      <c r="Q1578" s="40"/>
      <c r="R1578" s="40"/>
      <c r="S1578" s="40"/>
      <c r="T1578" s="40"/>
      <c r="U1578" s="40"/>
      <c r="V1578" s="40"/>
      <c r="W1578" s="40"/>
      <c r="X1578" s="40"/>
      <c r="Y1578" s="40"/>
      <c r="Z1578" s="40"/>
    </row>
    <row r="1579">
      <c r="A1579" s="65"/>
      <c r="B1579" s="66"/>
      <c r="C1579" s="68"/>
      <c r="D1579" s="68"/>
      <c r="E1579" s="40"/>
      <c r="F1579" s="40"/>
      <c r="G1579" s="40"/>
      <c r="H1579" s="40"/>
      <c r="I1579" s="40"/>
      <c r="J1579" s="40"/>
      <c r="K1579" s="40"/>
      <c r="L1579" s="40"/>
      <c r="M1579" s="40"/>
      <c r="N1579" s="40"/>
      <c r="O1579" s="40"/>
      <c r="P1579" s="40"/>
      <c r="Q1579" s="40"/>
      <c r="R1579" s="40"/>
      <c r="S1579" s="40"/>
      <c r="T1579" s="40"/>
      <c r="U1579" s="40"/>
      <c r="V1579" s="40"/>
      <c r="W1579" s="40"/>
      <c r="X1579" s="40"/>
      <c r="Y1579" s="40"/>
      <c r="Z1579" s="40"/>
    </row>
    <row r="1580">
      <c r="A1580" s="65"/>
      <c r="B1580" s="66"/>
      <c r="C1580" s="68"/>
      <c r="D1580" s="68"/>
      <c r="E1580" s="40"/>
      <c r="F1580" s="40"/>
      <c r="G1580" s="40"/>
      <c r="H1580" s="40"/>
      <c r="I1580" s="40"/>
      <c r="J1580" s="40"/>
      <c r="K1580" s="40"/>
      <c r="L1580" s="40"/>
      <c r="M1580" s="40"/>
      <c r="N1580" s="40"/>
      <c r="O1580" s="40"/>
      <c r="P1580" s="40"/>
      <c r="Q1580" s="40"/>
      <c r="R1580" s="40"/>
      <c r="S1580" s="40"/>
      <c r="T1580" s="40"/>
      <c r="U1580" s="40"/>
      <c r="V1580" s="40"/>
      <c r="W1580" s="40"/>
      <c r="X1580" s="40"/>
      <c r="Y1580" s="40"/>
      <c r="Z1580" s="40"/>
    </row>
    <row r="1581">
      <c r="A1581" s="65"/>
      <c r="B1581" s="66"/>
      <c r="C1581" s="68"/>
      <c r="D1581" s="68"/>
      <c r="E1581" s="40"/>
      <c r="F1581" s="40"/>
      <c r="G1581" s="40"/>
      <c r="H1581" s="40"/>
      <c r="I1581" s="40"/>
      <c r="J1581" s="40"/>
      <c r="K1581" s="40"/>
      <c r="L1581" s="40"/>
      <c r="M1581" s="40"/>
      <c r="N1581" s="40"/>
      <c r="O1581" s="40"/>
      <c r="P1581" s="40"/>
      <c r="Q1581" s="40"/>
      <c r="R1581" s="40"/>
      <c r="S1581" s="40"/>
      <c r="T1581" s="40"/>
      <c r="U1581" s="40"/>
      <c r="V1581" s="40"/>
      <c r="W1581" s="40"/>
      <c r="X1581" s="40"/>
      <c r="Y1581" s="40"/>
      <c r="Z1581" s="40"/>
    </row>
    <row r="1582">
      <c r="A1582" s="65"/>
      <c r="B1582" s="66"/>
      <c r="C1582" s="68"/>
      <c r="D1582" s="68"/>
      <c r="E1582" s="40"/>
      <c r="F1582" s="40"/>
      <c r="G1582" s="40"/>
      <c r="H1582" s="40"/>
      <c r="I1582" s="40"/>
      <c r="J1582" s="40"/>
      <c r="K1582" s="40"/>
      <c r="L1582" s="40"/>
      <c r="M1582" s="40"/>
      <c r="N1582" s="40"/>
      <c r="O1582" s="40"/>
      <c r="P1582" s="40"/>
      <c r="Q1582" s="40"/>
      <c r="R1582" s="40"/>
      <c r="S1582" s="40"/>
      <c r="T1582" s="40"/>
      <c r="U1582" s="40"/>
      <c r="V1582" s="40"/>
      <c r="W1582" s="40"/>
      <c r="X1582" s="40"/>
      <c r="Y1582" s="40"/>
      <c r="Z1582" s="40"/>
    </row>
    <row r="1583">
      <c r="A1583" s="65"/>
      <c r="B1583" s="66"/>
      <c r="C1583" s="68"/>
      <c r="D1583" s="68"/>
      <c r="E1583" s="40"/>
      <c r="F1583" s="40"/>
      <c r="G1583" s="40"/>
      <c r="H1583" s="40"/>
      <c r="I1583" s="40"/>
      <c r="J1583" s="40"/>
      <c r="K1583" s="40"/>
      <c r="L1583" s="40"/>
      <c r="M1583" s="40"/>
      <c r="N1583" s="40"/>
      <c r="O1583" s="40"/>
      <c r="P1583" s="40"/>
      <c r="Q1583" s="40"/>
      <c r="R1583" s="40"/>
      <c r="S1583" s="40"/>
      <c r="T1583" s="40"/>
      <c r="U1583" s="40"/>
      <c r="V1583" s="40"/>
      <c r="W1583" s="40"/>
      <c r="X1583" s="40"/>
      <c r="Y1583" s="40"/>
      <c r="Z1583" s="40"/>
    </row>
    <row r="1584">
      <c r="A1584" s="65"/>
      <c r="B1584" s="66"/>
      <c r="C1584" s="68"/>
      <c r="D1584" s="68"/>
      <c r="E1584" s="40"/>
      <c r="F1584" s="40"/>
      <c r="G1584" s="40"/>
      <c r="H1584" s="40"/>
      <c r="I1584" s="40"/>
      <c r="J1584" s="40"/>
      <c r="K1584" s="40"/>
      <c r="L1584" s="40"/>
      <c r="M1584" s="40"/>
      <c r="N1584" s="40"/>
      <c r="O1584" s="40"/>
      <c r="P1584" s="40"/>
      <c r="Q1584" s="40"/>
      <c r="R1584" s="40"/>
      <c r="S1584" s="40"/>
      <c r="T1584" s="40"/>
      <c r="U1584" s="40"/>
      <c r="V1584" s="40"/>
      <c r="W1584" s="40"/>
      <c r="X1584" s="40"/>
      <c r="Y1584" s="40"/>
      <c r="Z1584" s="40"/>
    </row>
    <row r="1585">
      <c r="A1585" s="65"/>
      <c r="B1585" s="66"/>
      <c r="C1585" s="68"/>
      <c r="D1585" s="68"/>
      <c r="E1585" s="40"/>
      <c r="F1585" s="40"/>
      <c r="G1585" s="40"/>
      <c r="H1585" s="40"/>
      <c r="I1585" s="40"/>
      <c r="J1585" s="40"/>
      <c r="K1585" s="40"/>
      <c r="L1585" s="40"/>
      <c r="M1585" s="40"/>
      <c r="N1585" s="40"/>
      <c r="O1585" s="40"/>
      <c r="P1585" s="40"/>
      <c r="Q1585" s="40"/>
      <c r="R1585" s="40"/>
      <c r="S1585" s="40"/>
      <c r="T1585" s="40"/>
      <c r="U1585" s="40"/>
      <c r="V1585" s="40"/>
      <c r="W1585" s="40"/>
      <c r="X1585" s="40"/>
      <c r="Y1585" s="40"/>
      <c r="Z1585" s="40"/>
    </row>
    <row r="1586">
      <c r="A1586" s="65"/>
      <c r="B1586" s="66"/>
      <c r="C1586" s="68"/>
      <c r="D1586" s="68"/>
      <c r="E1586" s="40"/>
      <c r="F1586" s="40"/>
      <c r="G1586" s="40"/>
      <c r="H1586" s="40"/>
      <c r="I1586" s="40"/>
      <c r="J1586" s="40"/>
      <c r="K1586" s="40"/>
      <c r="L1586" s="40"/>
      <c r="M1586" s="40"/>
      <c r="N1586" s="40"/>
      <c r="O1586" s="40"/>
      <c r="P1586" s="40"/>
      <c r="Q1586" s="40"/>
      <c r="R1586" s="40"/>
      <c r="S1586" s="40"/>
      <c r="T1586" s="40"/>
      <c r="U1586" s="40"/>
      <c r="V1586" s="40"/>
      <c r="W1586" s="40"/>
      <c r="X1586" s="40"/>
      <c r="Y1586" s="40"/>
      <c r="Z1586" s="40"/>
    </row>
    <row r="1587">
      <c r="A1587" s="65"/>
      <c r="B1587" s="66"/>
      <c r="C1587" s="68"/>
      <c r="D1587" s="68"/>
      <c r="E1587" s="40"/>
      <c r="F1587" s="40"/>
      <c r="G1587" s="40"/>
      <c r="H1587" s="40"/>
      <c r="I1587" s="40"/>
      <c r="J1587" s="40"/>
      <c r="K1587" s="40"/>
      <c r="L1587" s="40"/>
      <c r="M1587" s="40"/>
      <c r="N1587" s="40"/>
      <c r="O1587" s="40"/>
      <c r="P1587" s="40"/>
      <c r="Q1587" s="40"/>
      <c r="R1587" s="40"/>
      <c r="S1587" s="40"/>
      <c r="T1587" s="40"/>
      <c r="U1587" s="40"/>
      <c r="V1587" s="40"/>
      <c r="W1587" s="40"/>
      <c r="X1587" s="40"/>
      <c r="Y1587" s="40"/>
      <c r="Z1587" s="40"/>
    </row>
    <row r="1588">
      <c r="A1588" s="65"/>
      <c r="B1588" s="66"/>
      <c r="C1588" s="68"/>
      <c r="D1588" s="68"/>
      <c r="E1588" s="40"/>
      <c r="F1588" s="40"/>
      <c r="G1588" s="40"/>
      <c r="H1588" s="40"/>
      <c r="I1588" s="40"/>
      <c r="J1588" s="40"/>
      <c r="K1588" s="40"/>
      <c r="L1588" s="40"/>
      <c r="M1588" s="40"/>
      <c r="N1588" s="40"/>
      <c r="O1588" s="40"/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0"/>
    </row>
    <row r="1589">
      <c r="A1589" s="65"/>
      <c r="B1589" s="66"/>
      <c r="C1589" s="68"/>
      <c r="D1589" s="68"/>
      <c r="E1589" s="40"/>
      <c r="F1589" s="40"/>
      <c r="G1589" s="40"/>
      <c r="H1589" s="40"/>
      <c r="I1589" s="40"/>
      <c r="J1589" s="40"/>
      <c r="K1589" s="40"/>
      <c r="L1589" s="40"/>
      <c r="M1589" s="40"/>
      <c r="N1589" s="40"/>
      <c r="O1589" s="40"/>
      <c r="P1589" s="40"/>
      <c r="Q1589" s="40"/>
      <c r="R1589" s="40"/>
      <c r="S1589" s="40"/>
      <c r="T1589" s="40"/>
      <c r="U1589" s="40"/>
      <c r="V1589" s="40"/>
      <c r="W1589" s="40"/>
      <c r="X1589" s="40"/>
      <c r="Y1589" s="40"/>
      <c r="Z1589" s="40"/>
    </row>
    <row r="1590">
      <c r="A1590" s="65"/>
      <c r="B1590" s="66"/>
      <c r="C1590" s="68"/>
      <c r="D1590" s="68"/>
      <c r="E1590" s="40"/>
      <c r="F1590" s="40"/>
      <c r="G1590" s="40"/>
      <c r="H1590" s="40"/>
      <c r="I1590" s="40"/>
      <c r="J1590" s="40"/>
      <c r="K1590" s="40"/>
      <c r="L1590" s="40"/>
      <c r="M1590" s="40"/>
      <c r="N1590" s="40"/>
      <c r="O1590" s="40"/>
      <c r="P1590" s="40"/>
      <c r="Q1590" s="40"/>
      <c r="R1590" s="40"/>
      <c r="S1590" s="40"/>
      <c r="T1590" s="40"/>
      <c r="U1590" s="40"/>
      <c r="V1590" s="40"/>
      <c r="W1590" s="40"/>
      <c r="X1590" s="40"/>
      <c r="Y1590" s="40"/>
      <c r="Z1590" s="40"/>
    </row>
    <row r="1591">
      <c r="A1591" s="65"/>
      <c r="B1591" s="66"/>
      <c r="C1591" s="68"/>
      <c r="D1591" s="68"/>
      <c r="E1591" s="40"/>
      <c r="F1591" s="40"/>
      <c r="G1591" s="40"/>
      <c r="H1591" s="40"/>
      <c r="I1591" s="40"/>
      <c r="J1591" s="40"/>
      <c r="K1591" s="40"/>
      <c r="L1591" s="40"/>
      <c r="M1591" s="40"/>
      <c r="N1591" s="40"/>
      <c r="O1591" s="40"/>
      <c r="P1591" s="40"/>
      <c r="Q1591" s="40"/>
      <c r="R1591" s="40"/>
      <c r="S1591" s="40"/>
      <c r="T1591" s="40"/>
      <c r="U1591" s="40"/>
      <c r="V1591" s="40"/>
      <c r="W1591" s="40"/>
      <c r="X1591" s="40"/>
      <c r="Y1591" s="40"/>
      <c r="Z1591" s="40"/>
    </row>
    <row r="1592">
      <c r="A1592" s="65"/>
      <c r="B1592" s="66"/>
      <c r="C1592" s="68"/>
      <c r="D1592" s="68"/>
      <c r="E1592" s="40"/>
      <c r="F1592" s="40"/>
      <c r="G1592" s="40"/>
      <c r="H1592" s="40"/>
      <c r="I1592" s="40"/>
      <c r="J1592" s="40"/>
      <c r="K1592" s="40"/>
      <c r="L1592" s="40"/>
      <c r="M1592" s="40"/>
      <c r="N1592" s="40"/>
      <c r="O1592" s="40"/>
      <c r="P1592" s="40"/>
      <c r="Q1592" s="40"/>
      <c r="R1592" s="40"/>
      <c r="S1592" s="40"/>
      <c r="T1592" s="40"/>
      <c r="U1592" s="40"/>
      <c r="V1592" s="40"/>
      <c r="W1592" s="40"/>
      <c r="X1592" s="40"/>
      <c r="Y1592" s="40"/>
      <c r="Z1592" s="40"/>
    </row>
    <row r="1593">
      <c r="A1593" s="65"/>
      <c r="B1593" s="66"/>
      <c r="C1593" s="68"/>
      <c r="D1593" s="68"/>
      <c r="E1593" s="40"/>
      <c r="F1593" s="40"/>
      <c r="G1593" s="40"/>
      <c r="H1593" s="40"/>
      <c r="I1593" s="40"/>
      <c r="J1593" s="40"/>
      <c r="K1593" s="40"/>
      <c r="L1593" s="40"/>
      <c r="M1593" s="40"/>
      <c r="N1593" s="40"/>
      <c r="O1593" s="40"/>
      <c r="P1593" s="40"/>
      <c r="Q1593" s="40"/>
      <c r="R1593" s="40"/>
      <c r="S1593" s="40"/>
      <c r="T1593" s="40"/>
      <c r="U1593" s="40"/>
      <c r="V1593" s="40"/>
      <c r="W1593" s="40"/>
      <c r="X1593" s="40"/>
      <c r="Y1593" s="40"/>
      <c r="Z1593" s="40"/>
    </row>
    <row r="1594">
      <c r="A1594" s="65"/>
      <c r="B1594" s="66"/>
      <c r="C1594" s="68"/>
      <c r="D1594" s="68"/>
      <c r="E1594" s="40"/>
      <c r="F1594" s="40"/>
      <c r="G1594" s="40"/>
      <c r="H1594" s="40"/>
      <c r="I1594" s="40"/>
      <c r="J1594" s="40"/>
      <c r="K1594" s="40"/>
      <c r="L1594" s="40"/>
      <c r="M1594" s="40"/>
      <c r="N1594" s="40"/>
      <c r="O1594" s="40"/>
      <c r="P1594" s="40"/>
      <c r="Q1594" s="40"/>
      <c r="R1594" s="40"/>
      <c r="S1594" s="40"/>
      <c r="T1594" s="40"/>
      <c r="U1594" s="40"/>
      <c r="V1594" s="40"/>
      <c r="W1594" s="40"/>
      <c r="X1594" s="40"/>
      <c r="Y1594" s="40"/>
      <c r="Z1594" s="40"/>
    </row>
    <row r="1595">
      <c r="A1595" s="65"/>
      <c r="B1595" s="66"/>
      <c r="C1595" s="68"/>
      <c r="D1595" s="68"/>
      <c r="E1595" s="40"/>
      <c r="F1595" s="40"/>
      <c r="G1595" s="40"/>
      <c r="H1595" s="40"/>
      <c r="I1595" s="40"/>
      <c r="J1595" s="40"/>
      <c r="K1595" s="40"/>
      <c r="L1595" s="40"/>
      <c r="M1595" s="40"/>
      <c r="N1595" s="40"/>
      <c r="O1595" s="40"/>
      <c r="P1595" s="40"/>
      <c r="Q1595" s="40"/>
      <c r="R1595" s="40"/>
      <c r="S1595" s="40"/>
      <c r="T1595" s="40"/>
      <c r="U1595" s="40"/>
      <c r="V1595" s="40"/>
      <c r="W1595" s="40"/>
      <c r="X1595" s="40"/>
      <c r="Y1595" s="40"/>
      <c r="Z1595" s="40"/>
    </row>
    <row r="1596">
      <c r="A1596" s="65"/>
      <c r="B1596" s="66"/>
      <c r="C1596" s="68"/>
      <c r="D1596" s="68"/>
      <c r="E1596" s="40"/>
      <c r="F1596" s="40"/>
      <c r="G1596" s="40"/>
      <c r="H1596" s="40"/>
      <c r="I1596" s="40"/>
      <c r="J1596" s="40"/>
      <c r="K1596" s="40"/>
      <c r="L1596" s="40"/>
      <c r="M1596" s="40"/>
      <c r="N1596" s="40"/>
      <c r="O1596" s="40"/>
      <c r="P1596" s="40"/>
      <c r="Q1596" s="40"/>
      <c r="R1596" s="40"/>
      <c r="S1596" s="40"/>
      <c r="T1596" s="40"/>
      <c r="U1596" s="40"/>
      <c r="V1596" s="40"/>
      <c r="W1596" s="40"/>
      <c r="X1596" s="40"/>
      <c r="Y1596" s="40"/>
      <c r="Z1596" s="40"/>
    </row>
    <row r="1597">
      <c r="A1597" s="65"/>
      <c r="B1597" s="66"/>
      <c r="C1597" s="68"/>
      <c r="D1597" s="68"/>
      <c r="E1597" s="40"/>
      <c r="F1597" s="40"/>
      <c r="G1597" s="40"/>
      <c r="H1597" s="40"/>
      <c r="I1597" s="40"/>
      <c r="J1597" s="40"/>
      <c r="K1597" s="40"/>
      <c r="L1597" s="40"/>
      <c r="M1597" s="40"/>
      <c r="N1597" s="40"/>
      <c r="O1597" s="40"/>
      <c r="P1597" s="40"/>
      <c r="Q1597" s="40"/>
      <c r="R1597" s="40"/>
      <c r="S1597" s="40"/>
      <c r="T1597" s="40"/>
      <c r="U1597" s="40"/>
      <c r="V1597" s="40"/>
      <c r="W1597" s="40"/>
      <c r="X1597" s="40"/>
      <c r="Y1597" s="40"/>
      <c r="Z1597" s="40"/>
    </row>
    <row r="1598">
      <c r="A1598" s="65"/>
      <c r="B1598" s="66"/>
      <c r="C1598" s="68"/>
      <c r="D1598" s="68"/>
      <c r="E1598" s="40"/>
      <c r="F1598" s="40"/>
      <c r="G1598" s="40"/>
      <c r="H1598" s="40"/>
      <c r="I1598" s="40"/>
      <c r="J1598" s="40"/>
      <c r="K1598" s="40"/>
      <c r="L1598" s="40"/>
      <c r="M1598" s="40"/>
      <c r="N1598" s="40"/>
      <c r="O1598" s="40"/>
      <c r="P1598" s="40"/>
      <c r="Q1598" s="40"/>
      <c r="R1598" s="40"/>
      <c r="S1598" s="40"/>
      <c r="T1598" s="40"/>
      <c r="U1598" s="40"/>
      <c r="V1598" s="40"/>
      <c r="W1598" s="40"/>
      <c r="X1598" s="40"/>
      <c r="Y1598" s="40"/>
      <c r="Z1598" s="40"/>
    </row>
    <row r="1599">
      <c r="A1599" s="65"/>
      <c r="B1599" s="66"/>
      <c r="C1599" s="68"/>
      <c r="D1599" s="68"/>
      <c r="E1599" s="40"/>
      <c r="F1599" s="40"/>
      <c r="G1599" s="40"/>
      <c r="H1599" s="40"/>
      <c r="I1599" s="40"/>
      <c r="J1599" s="40"/>
      <c r="K1599" s="40"/>
      <c r="L1599" s="40"/>
      <c r="M1599" s="40"/>
      <c r="N1599" s="40"/>
      <c r="O1599" s="40"/>
      <c r="P1599" s="40"/>
      <c r="Q1599" s="40"/>
      <c r="R1599" s="40"/>
      <c r="S1599" s="40"/>
      <c r="T1599" s="40"/>
      <c r="U1599" s="40"/>
      <c r="V1599" s="40"/>
      <c r="W1599" s="40"/>
      <c r="X1599" s="40"/>
      <c r="Y1599" s="40"/>
      <c r="Z1599" s="40"/>
    </row>
    <row r="1600">
      <c r="A1600" s="65"/>
      <c r="B1600" s="66"/>
      <c r="C1600" s="68"/>
      <c r="D1600" s="68"/>
      <c r="E1600" s="40"/>
      <c r="F1600" s="40"/>
      <c r="G1600" s="40"/>
      <c r="H1600" s="40"/>
      <c r="I1600" s="40"/>
      <c r="J1600" s="40"/>
      <c r="K1600" s="40"/>
      <c r="L1600" s="40"/>
      <c r="M1600" s="40"/>
      <c r="N1600" s="40"/>
      <c r="O1600" s="40"/>
      <c r="P1600" s="40"/>
      <c r="Q1600" s="40"/>
      <c r="R1600" s="40"/>
      <c r="S1600" s="40"/>
      <c r="T1600" s="40"/>
      <c r="U1600" s="40"/>
      <c r="V1600" s="40"/>
      <c r="W1600" s="40"/>
      <c r="X1600" s="40"/>
      <c r="Y1600" s="40"/>
      <c r="Z1600" s="40"/>
    </row>
    <row r="1601">
      <c r="A1601" s="65"/>
      <c r="B1601" s="66"/>
      <c r="C1601" s="68"/>
      <c r="D1601" s="68"/>
      <c r="E1601" s="40"/>
      <c r="F1601" s="40"/>
      <c r="G1601" s="40"/>
      <c r="H1601" s="40"/>
      <c r="I1601" s="40"/>
      <c r="J1601" s="40"/>
      <c r="K1601" s="40"/>
      <c r="L1601" s="40"/>
      <c r="M1601" s="40"/>
      <c r="N1601" s="40"/>
      <c r="O1601" s="40"/>
      <c r="P1601" s="40"/>
      <c r="Q1601" s="40"/>
      <c r="R1601" s="40"/>
      <c r="S1601" s="40"/>
      <c r="T1601" s="40"/>
      <c r="U1601" s="40"/>
      <c r="V1601" s="40"/>
      <c r="W1601" s="40"/>
      <c r="X1601" s="40"/>
      <c r="Y1601" s="40"/>
      <c r="Z1601" s="40"/>
    </row>
    <row r="1602">
      <c r="A1602" s="65"/>
      <c r="B1602" s="66"/>
      <c r="C1602" s="68"/>
      <c r="D1602" s="68"/>
      <c r="E1602" s="40"/>
      <c r="F1602" s="40"/>
      <c r="G1602" s="40"/>
      <c r="H1602" s="40"/>
      <c r="I1602" s="40"/>
      <c r="J1602" s="40"/>
      <c r="K1602" s="40"/>
      <c r="L1602" s="40"/>
      <c r="M1602" s="40"/>
      <c r="N1602" s="40"/>
      <c r="O1602" s="40"/>
      <c r="P1602" s="40"/>
      <c r="Q1602" s="40"/>
      <c r="R1602" s="40"/>
      <c r="S1602" s="40"/>
      <c r="T1602" s="40"/>
      <c r="U1602" s="40"/>
      <c r="V1602" s="40"/>
      <c r="W1602" s="40"/>
      <c r="X1602" s="40"/>
      <c r="Y1602" s="40"/>
      <c r="Z1602" s="40"/>
    </row>
    <row r="1603">
      <c r="A1603" s="65"/>
      <c r="B1603" s="66"/>
      <c r="C1603" s="68"/>
      <c r="D1603" s="68"/>
      <c r="E1603" s="40"/>
      <c r="F1603" s="40"/>
      <c r="G1603" s="40"/>
      <c r="H1603" s="40"/>
      <c r="I1603" s="40"/>
      <c r="J1603" s="40"/>
      <c r="K1603" s="40"/>
      <c r="L1603" s="40"/>
      <c r="M1603" s="40"/>
      <c r="N1603" s="40"/>
      <c r="O1603" s="40"/>
      <c r="P1603" s="40"/>
      <c r="Q1603" s="40"/>
      <c r="R1603" s="40"/>
      <c r="S1603" s="40"/>
      <c r="T1603" s="40"/>
      <c r="U1603" s="40"/>
      <c r="V1603" s="40"/>
      <c r="W1603" s="40"/>
      <c r="X1603" s="40"/>
      <c r="Y1603" s="40"/>
      <c r="Z1603" s="40"/>
    </row>
    <row r="1604">
      <c r="A1604" s="65"/>
      <c r="B1604" s="66"/>
      <c r="C1604" s="68"/>
      <c r="D1604" s="68"/>
      <c r="E1604" s="40"/>
      <c r="F1604" s="40"/>
      <c r="G1604" s="40"/>
      <c r="H1604" s="40"/>
      <c r="I1604" s="40"/>
      <c r="J1604" s="40"/>
      <c r="K1604" s="40"/>
      <c r="L1604" s="40"/>
      <c r="M1604" s="40"/>
      <c r="N1604" s="40"/>
      <c r="O1604" s="40"/>
      <c r="P1604" s="40"/>
      <c r="Q1604" s="40"/>
      <c r="R1604" s="40"/>
      <c r="S1604" s="40"/>
      <c r="T1604" s="40"/>
      <c r="U1604" s="40"/>
      <c r="V1604" s="40"/>
      <c r="W1604" s="40"/>
      <c r="X1604" s="40"/>
      <c r="Y1604" s="40"/>
      <c r="Z1604" s="40"/>
    </row>
    <row r="1605">
      <c r="A1605" s="65"/>
      <c r="B1605" s="66"/>
      <c r="C1605" s="68"/>
      <c r="D1605" s="68"/>
      <c r="E1605" s="40"/>
      <c r="F1605" s="40"/>
      <c r="G1605" s="40"/>
      <c r="H1605" s="40"/>
      <c r="I1605" s="40"/>
      <c r="J1605" s="40"/>
      <c r="K1605" s="40"/>
      <c r="L1605" s="40"/>
      <c r="M1605" s="40"/>
      <c r="N1605" s="40"/>
      <c r="O1605" s="40"/>
      <c r="P1605" s="40"/>
      <c r="Q1605" s="40"/>
      <c r="R1605" s="40"/>
      <c r="S1605" s="40"/>
      <c r="T1605" s="40"/>
      <c r="U1605" s="40"/>
      <c r="V1605" s="40"/>
      <c r="W1605" s="40"/>
      <c r="X1605" s="40"/>
      <c r="Y1605" s="40"/>
      <c r="Z1605" s="40"/>
    </row>
    <row r="1606">
      <c r="A1606" s="65"/>
      <c r="B1606" s="66"/>
      <c r="C1606" s="68"/>
      <c r="D1606" s="68"/>
      <c r="E1606" s="40"/>
      <c r="F1606" s="40"/>
      <c r="G1606" s="40"/>
      <c r="H1606" s="40"/>
      <c r="I1606" s="40"/>
      <c r="J1606" s="40"/>
      <c r="K1606" s="40"/>
      <c r="L1606" s="40"/>
      <c r="M1606" s="40"/>
      <c r="N1606" s="40"/>
      <c r="O1606" s="40"/>
      <c r="P1606" s="40"/>
      <c r="Q1606" s="40"/>
      <c r="R1606" s="40"/>
      <c r="S1606" s="40"/>
      <c r="T1606" s="40"/>
      <c r="U1606" s="40"/>
      <c r="V1606" s="40"/>
      <c r="W1606" s="40"/>
      <c r="X1606" s="40"/>
      <c r="Y1606" s="40"/>
      <c r="Z1606" s="40"/>
    </row>
    <row r="1607">
      <c r="A1607" s="65"/>
      <c r="B1607" s="66"/>
      <c r="C1607" s="68"/>
      <c r="D1607" s="68"/>
      <c r="E1607" s="40"/>
      <c r="F1607" s="40"/>
      <c r="G1607" s="40"/>
      <c r="H1607" s="40"/>
      <c r="I1607" s="40"/>
      <c r="J1607" s="40"/>
      <c r="K1607" s="40"/>
      <c r="L1607" s="40"/>
      <c r="M1607" s="40"/>
      <c r="N1607" s="40"/>
      <c r="O1607" s="40"/>
      <c r="P1607" s="40"/>
      <c r="Q1607" s="40"/>
      <c r="R1607" s="40"/>
      <c r="S1607" s="40"/>
      <c r="T1607" s="40"/>
      <c r="U1607" s="40"/>
      <c r="V1607" s="40"/>
      <c r="W1607" s="40"/>
      <c r="X1607" s="40"/>
      <c r="Y1607" s="40"/>
      <c r="Z1607" s="40"/>
    </row>
    <row r="1608">
      <c r="A1608" s="65"/>
      <c r="B1608" s="66"/>
      <c r="C1608" s="68"/>
      <c r="D1608" s="68"/>
      <c r="E1608" s="40"/>
      <c r="F1608" s="40"/>
      <c r="G1608" s="40"/>
      <c r="H1608" s="40"/>
      <c r="I1608" s="40"/>
      <c r="J1608" s="40"/>
      <c r="K1608" s="40"/>
      <c r="L1608" s="40"/>
      <c r="M1608" s="40"/>
      <c r="N1608" s="40"/>
      <c r="O1608" s="40"/>
      <c r="P1608" s="40"/>
      <c r="Q1608" s="40"/>
      <c r="R1608" s="40"/>
      <c r="S1608" s="40"/>
      <c r="T1608" s="40"/>
      <c r="U1608" s="40"/>
      <c r="V1608" s="40"/>
      <c r="W1608" s="40"/>
      <c r="X1608" s="40"/>
      <c r="Y1608" s="40"/>
      <c r="Z1608" s="40"/>
    </row>
    <row r="1609">
      <c r="A1609" s="65"/>
      <c r="B1609" s="66"/>
      <c r="C1609" s="68"/>
      <c r="D1609" s="68"/>
      <c r="E1609" s="40"/>
      <c r="F1609" s="40"/>
      <c r="G1609" s="40"/>
      <c r="H1609" s="40"/>
      <c r="I1609" s="40"/>
      <c r="J1609" s="40"/>
      <c r="K1609" s="40"/>
      <c r="L1609" s="40"/>
      <c r="M1609" s="40"/>
      <c r="N1609" s="40"/>
      <c r="O1609" s="40"/>
      <c r="P1609" s="40"/>
      <c r="Q1609" s="40"/>
      <c r="R1609" s="40"/>
      <c r="S1609" s="40"/>
      <c r="T1609" s="40"/>
      <c r="U1609" s="40"/>
      <c r="V1609" s="40"/>
      <c r="W1609" s="40"/>
      <c r="X1609" s="40"/>
      <c r="Y1609" s="40"/>
      <c r="Z1609" s="40"/>
    </row>
    <row r="1610">
      <c r="A1610" s="65"/>
      <c r="B1610" s="66"/>
      <c r="C1610" s="68"/>
      <c r="D1610" s="68"/>
      <c r="E1610" s="40"/>
      <c r="F1610" s="40"/>
      <c r="G1610" s="40"/>
      <c r="H1610" s="40"/>
      <c r="I1610" s="40"/>
      <c r="J1610" s="40"/>
      <c r="K1610" s="40"/>
      <c r="L1610" s="40"/>
      <c r="M1610" s="40"/>
      <c r="N1610" s="40"/>
      <c r="O1610" s="40"/>
      <c r="P1610" s="40"/>
      <c r="Q1610" s="40"/>
      <c r="R1610" s="40"/>
      <c r="S1610" s="40"/>
      <c r="T1610" s="40"/>
      <c r="U1610" s="40"/>
      <c r="V1610" s="40"/>
      <c r="W1610" s="40"/>
      <c r="X1610" s="40"/>
      <c r="Y1610" s="40"/>
      <c r="Z1610" s="40"/>
    </row>
    <row r="1611">
      <c r="A1611" s="65"/>
      <c r="B1611" s="66"/>
      <c r="C1611" s="68"/>
      <c r="D1611" s="68"/>
      <c r="E1611" s="40"/>
      <c r="F1611" s="40"/>
      <c r="G1611" s="40"/>
      <c r="H1611" s="40"/>
      <c r="I1611" s="40"/>
      <c r="J1611" s="40"/>
      <c r="K1611" s="40"/>
      <c r="L1611" s="40"/>
      <c r="M1611" s="40"/>
      <c r="N1611" s="40"/>
      <c r="O1611" s="40"/>
      <c r="P1611" s="40"/>
      <c r="Q1611" s="40"/>
      <c r="R1611" s="40"/>
      <c r="S1611" s="40"/>
      <c r="T1611" s="40"/>
      <c r="U1611" s="40"/>
      <c r="V1611" s="40"/>
      <c r="W1611" s="40"/>
      <c r="X1611" s="40"/>
      <c r="Y1611" s="40"/>
      <c r="Z1611" s="40"/>
    </row>
    <row r="1612">
      <c r="A1612" s="65"/>
      <c r="B1612" s="66"/>
      <c r="C1612" s="68"/>
      <c r="D1612" s="68"/>
      <c r="E1612" s="40"/>
      <c r="F1612" s="40"/>
      <c r="G1612" s="40"/>
      <c r="H1612" s="40"/>
      <c r="I1612" s="40"/>
      <c r="J1612" s="40"/>
      <c r="K1612" s="40"/>
      <c r="L1612" s="40"/>
      <c r="M1612" s="40"/>
      <c r="N1612" s="40"/>
      <c r="O1612" s="40"/>
      <c r="P1612" s="40"/>
      <c r="Q1612" s="40"/>
      <c r="R1612" s="40"/>
      <c r="S1612" s="40"/>
      <c r="T1612" s="40"/>
      <c r="U1612" s="40"/>
      <c r="V1612" s="40"/>
      <c r="W1612" s="40"/>
      <c r="X1612" s="40"/>
      <c r="Y1612" s="40"/>
      <c r="Z1612" s="40"/>
    </row>
    <row r="1613">
      <c r="A1613" s="65"/>
      <c r="B1613" s="66"/>
      <c r="C1613" s="68"/>
      <c r="D1613" s="68"/>
      <c r="E1613" s="40"/>
      <c r="F1613" s="40"/>
      <c r="G1613" s="40"/>
      <c r="H1613" s="40"/>
      <c r="I1613" s="40"/>
      <c r="J1613" s="40"/>
      <c r="K1613" s="40"/>
      <c r="L1613" s="40"/>
      <c r="M1613" s="40"/>
      <c r="N1613" s="40"/>
      <c r="O1613" s="40"/>
      <c r="P1613" s="40"/>
      <c r="Q1613" s="40"/>
      <c r="R1613" s="40"/>
      <c r="S1613" s="40"/>
      <c r="T1613" s="40"/>
      <c r="U1613" s="40"/>
      <c r="V1613" s="40"/>
      <c r="W1613" s="40"/>
      <c r="X1613" s="40"/>
      <c r="Y1613" s="40"/>
      <c r="Z1613" s="40"/>
    </row>
    <row r="1614">
      <c r="A1614" s="65"/>
      <c r="B1614" s="66"/>
      <c r="C1614" s="68"/>
      <c r="D1614" s="68"/>
      <c r="E1614" s="40"/>
      <c r="F1614" s="40"/>
      <c r="G1614" s="40"/>
      <c r="H1614" s="40"/>
      <c r="I1614" s="40"/>
      <c r="J1614" s="40"/>
      <c r="K1614" s="40"/>
      <c r="L1614" s="40"/>
      <c r="M1614" s="40"/>
      <c r="N1614" s="40"/>
      <c r="O1614" s="40"/>
      <c r="P1614" s="40"/>
      <c r="Q1614" s="40"/>
      <c r="R1614" s="40"/>
      <c r="S1614" s="40"/>
      <c r="T1614" s="40"/>
      <c r="U1614" s="40"/>
      <c r="V1614" s="40"/>
      <c r="W1614" s="40"/>
      <c r="X1614" s="40"/>
      <c r="Y1614" s="40"/>
      <c r="Z1614" s="40"/>
    </row>
    <row r="1615">
      <c r="A1615" s="65"/>
      <c r="B1615" s="66"/>
      <c r="C1615" s="68"/>
      <c r="D1615" s="68"/>
      <c r="E1615" s="40"/>
      <c r="F1615" s="40"/>
      <c r="G1615" s="40"/>
      <c r="H1615" s="40"/>
      <c r="I1615" s="40"/>
      <c r="J1615" s="40"/>
      <c r="K1615" s="40"/>
      <c r="L1615" s="40"/>
      <c r="M1615" s="40"/>
      <c r="N1615" s="40"/>
      <c r="O1615" s="40"/>
      <c r="P1615" s="40"/>
      <c r="Q1615" s="40"/>
      <c r="R1615" s="40"/>
      <c r="S1615" s="40"/>
      <c r="T1615" s="40"/>
      <c r="U1615" s="40"/>
      <c r="V1615" s="40"/>
      <c r="W1615" s="40"/>
      <c r="X1615" s="40"/>
      <c r="Y1615" s="40"/>
      <c r="Z1615" s="40"/>
    </row>
    <row r="1616">
      <c r="A1616" s="65"/>
      <c r="B1616" s="66"/>
      <c r="C1616" s="68"/>
      <c r="D1616" s="68"/>
      <c r="E1616" s="40"/>
      <c r="F1616" s="40"/>
      <c r="G1616" s="40"/>
      <c r="H1616" s="40"/>
      <c r="I1616" s="40"/>
      <c r="J1616" s="40"/>
      <c r="K1616" s="40"/>
      <c r="L1616" s="40"/>
      <c r="M1616" s="40"/>
      <c r="N1616" s="40"/>
      <c r="O1616" s="40"/>
      <c r="P1616" s="40"/>
      <c r="Q1616" s="40"/>
      <c r="R1616" s="40"/>
      <c r="S1616" s="40"/>
      <c r="T1616" s="40"/>
      <c r="U1616" s="40"/>
      <c r="V1616" s="40"/>
      <c r="W1616" s="40"/>
      <c r="X1616" s="40"/>
      <c r="Y1616" s="40"/>
      <c r="Z1616" s="40"/>
    </row>
    <row r="1617">
      <c r="A1617" s="65"/>
      <c r="B1617" s="66"/>
      <c r="C1617" s="68"/>
      <c r="D1617" s="68"/>
      <c r="E1617" s="40"/>
      <c r="F1617" s="40"/>
      <c r="G1617" s="40"/>
      <c r="H1617" s="40"/>
      <c r="I1617" s="40"/>
      <c r="J1617" s="40"/>
      <c r="K1617" s="40"/>
      <c r="L1617" s="40"/>
      <c r="M1617" s="40"/>
      <c r="N1617" s="40"/>
      <c r="O1617" s="40"/>
      <c r="P1617" s="40"/>
      <c r="Q1617" s="40"/>
      <c r="R1617" s="40"/>
      <c r="S1617" s="40"/>
      <c r="T1617" s="40"/>
      <c r="U1617" s="40"/>
      <c r="V1617" s="40"/>
      <c r="W1617" s="40"/>
      <c r="X1617" s="40"/>
      <c r="Y1617" s="40"/>
      <c r="Z1617" s="40"/>
    </row>
    <row r="1618">
      <c r="A1618" s="65"/>
      <c r="B1618" s="66"/>
      <c r="C1618" s="68"/>
      <c r="D1618" s="68"/>
      <c r="E1618" s="40"/>
      <c r="F1618" s="40"/>
      <c r="G1618" s="40"/>
      <c r="H1618" s="40"/>
      <c r="I1618" s="40"/>
      <c r="J1618" s="40"/>
      <c r="K1618" s="40"/>
      <c r="L1618" s="40"/>
      <c r="M1618" s="40"/>
      <c r="N1618" s="40"/>
      <c r="O1618" s="40"/>
      <c r="P1618" s="40"/>
      <c r="Q1618" s="40"/>
      <c r="R1618" s="40"/>
      <c r="S1618" s="40"/>
      <c r="T1618" s="40"/>
      <c r="U1618" s="40"/>
      <c r="V1618" s="40"/>
      <c r="W1618" s="40"/>
      <c r="X1618" s="40"/>
      <c r="Y1618" s="40"/>
      <c r="Z1618" s="40"/>
    </row>
    <row r="1619">
      <c r="A1619" s="65"/>
      <c r="B1619" s="66"/>
      <c r="C1619" s="68"/>
      <c r="D1619" s="68"/>
      <c r="E1619" s="40"/>
      <c r="F1619" s="40"/>
      <c r="G1619" s="40"/>
      <c r="H1619" s="40"/>
      <c r="I1619" s="40"/>
      <c r="J1619" s="40"/>
      <c r="K1619" s="40"/>
      <c r="L1619" s="40"/>
      <c r="M1619" s="40"/>
      <c r="N1619" s="40"/>
      <c r="O1619" s="40"/>
      <c r="P1619" s="40"/>
      <c r="Q1619" s="40"/>
      <c r="R1619" s="40"/>
      <c r="S1619" s="40"/>
      <c r="T1619" s="40"/>
      <c r="U1619" s="40"/>
      <c r="V1619" s="40"/>
      <c r="W1619" s="40"/>
      <c r="X1619" s="40"/>
      <c r="Y1619" s="40"/>
      <c r="Z1619" s="40"/>
    </row>
    <row r="1620">
      <c r="A1620" s="65"/>
      <c r="B1620" s="66"/>
      <c r="C1620" s="68"/>
      <c r="D1620" s="68"/>
      <c r="E1620" s="40"/>
      <c r="F1620" s="40"/>
      <c r="G1620" s="40"/>
      <c r="H1620" s="40"/>
      <c r="I1620" s="40"/>
      <c r="J1620" s="40"/>
      <c r="K1620" s="40"/>
      <c r="L1620" s="40"/>
      <c r="M1620" s="40"/>
      <c r="N1620" s="40"/>
      <c r="O1620" s="40"/>
      <c r="P1620" s="40"/>
      <c r="Q1620" s="40"/>
      <c r="R1620" s="40"/>
      <c r="S1620" s="40"/>
      <c r="T1620" s="40"/>
      <c r="U1620" s="40"/>
      <c r="V1620" s="40"/>
      <c r="W1620" s="40"/>
      <c r="X1620" s="40"/>
      <c r="Y1620" s="40"/>
      <c r="Z1620" s="40"/>
    </row>
    <row r="1621">
      <c r="A1621" s="65"/>
      <c r="B1621" s="66"/>
      <c r="C1621" s="68"/>
      <c r="D1621" s="68"/>
      <c r="E1621" s="40"/>
      <c r="F1621" s="40"/>
      <c r="G1621" s="40"/>
      <c r="H1621" s="40"/>
      <c r="I1621" s="40"/>
      <c r="J1621" s="40"/>
      <c r="K1621" s="40"/>
      <c r="L1621" s="40"/>
      <c r="M1621" s="40"/>
      <c r="N1621" s="40"/>
      <c r="O1621" s="40"/>
      <c r="P1621" s="40"/>
      <c r="Q1621" s="40"/>
      <c r="R1621" s="40"/>
      <c r="S1621" s="40"/>
      <c r="T1621" s="40"/>
      <c r="U1621" s="40"/>
      <c r="V1621" s="40"/>
      <c r="W1621" s="40"/>
      <c r="X1621" s="40"/>
      <c r="Y1621" s="40"/>
      <c r="Z1621" s="40"/>
    </row>
    <row r="1622">
      <c r="A1622" s="65"/>
      <c r="B1622" s="66"/>
      <c r="C1622" s="68"/>
      <c r="D1622" s="68"/>
      <c r="E1622" s="40"/>
      <c r="F1622" s="40"/>
      <c r="G1622" s="40"/>
      <c r="H1622" s="40"/>
      <c r="I1622" s="40"/>
      <c r="J1622" s="40"/>
      <c r="K1622" s="40"/>
      <c r="L1622" s="40"/>
      <c r="M1622" s="40"/>
      <c r="N1622" s="40"/>
      <c r="O1622" s="40"/>
      <c r="P1622" s="40"/>
      <c r="Q1622" s="40"/>
      <c r="R1622" s="40"/>
      <c r="S1622" s="40"/>
      <c r="T1622" s="40"/>
      <c r="U1622" s="40"/>
      <c r="V1622" s="40"/>
      <c r="W1622" s="40"/>
      <c r="X1622" s="40"/>
      <c r="Y1622" s="40"/>
      <c r="Z1622" s="40"/>
    </row>
    <row r="1623">
      <c r="A1623" s="65"/>
      <c r="B1623" s="66"/>
      <c r="C1623" s="68"/>
      <c r="D1623" s="68"/>
      <c r="E1623" s="40"/>
      <c r="F1623" s="40"/>
      <c r="G1623" s="40"/>
      <c r="H1623" s="40"/>
      <c r="I1623" s="40"/>
      <c r="J1623" s="40"/>
      <c r="K1623" s="40"/>
      <c r="L1623" s="40"/>
      <c r="M1623" s="40"/>
      <c r="N1623" s="40"/>
      <c r="O1623" s="40"/>
      <c r="P1623" s="40"/>
      <c r="Q1623" s="40"/>
      <c r="R1623" s="40"/>
      <c r="S1623" s="40"/>
      <c r="T1623" s="40"/>
      <c r="U1623" s="40"/>
      <c r="V1623" s="40"/>
      <c r="W1623" s="40"/>
      <c r="X1623" s="40"/>
      <c r="Y1623" s="40"/>
      <c r="Z1623" s="40"/>
    </row>
    <row r="1624">
      <c r="A1624" s="65"/>
      <c r="B1624" s="66"/>
      <c r="C1624" s="68"/>
      <c r="D1624" s="68"/>
      <c r="E1624" s="40"/>
      <c r="F1624" s="40"/>
      <c r="G1624" s="40"/>
      <c r="H1624" s="40"/>
      <c r="I1624" s="40"/>
      <c r="J1624" s="40"/>
      <c r="K1624" s="40"/>
      <c r="L1624" s="40"/>
      <c r="M1624" s="40"/>
      <c r="N1624" s="40"/>
      <c r="O1624" s="40"/>
      <c r="P1624" s="40"/>
      <c r="Q1624" s="40"/>
      <c r="R1624" s="40"/>
      <c r="S1624" s="40"/>
      <c r="T1624" s="40"/>
      <c r="U1624" s="40"/>
      <c r="V1624" s="40"/>
      <c r="W1624" s="40"/>
      <c r="X1624" s="40"/>
      <c r="Y1624" s="40"/>
      <c r="Z1624" s="40"/>
    </row>
    <row r="1625">
      <c r="A1625" s="65"/>
      <c r="B1625" s="66"/>
      <c r="C1625" s="68"/>
      <c r="D1625" s="68"/>
      <c r="E1625" s="40"/>
      <c r="F1625" s="40"/>
      <c r="G1625" s="40"/>
      <c r="H1625" s="40"/>
      <c r="I1625" s="40"/>
      <c r="J1625" s="40"/>
      <c r="K1625" s="40"/>
      <c r="L1625" s="40"/>
      <c r="M1625" s="40"/>
      <c r="N1625" s="40"/>
      <c r="O1625" s="40"/>
      <c r="P1625" s="40"/>
      <c r="Q1625" s="40"/>
      <c r="R1625" s="40"/>
      <c r="S1625" s="40"/>
      <c r="T1625" s="40"/>
      <c r="U1625" s="40"/>
      <c r="V1625" s="40"/>
      <c r="W1625" s="40"/>
      <c r="X1625" s="40"/>
      <c r="Y1625" s="40"/>
      <c r="Z1625" s="40"/>
    </row>
    <row r="1626">
      <c r="A1626" s="65"/>
      <c r="B1626" s="66"/>
      <c r="C1626" s="68"/>
      <c r="D1626" s="68"/>
      <c r="E1626" s="40"/>
      <c r="F1626" s="40"/>
      <c r="G1626" s="40"/>
      <c r="H1626" s="40"/>
      <c r="I1626" s="40"/>
      <c r="J1626" s="40"/>
      <c r="K1626" s="40"/>
      <c r="L1626" s="40"/>
      <c r="M1626" s="40"/>
      <c r="N1626" s="40"/>
      <c r="O1626" s="40"/>
      <c r="P1626" s="40"/>
      <c r="Q1626" s="40"/>
      <c r="R1626" s="40"/>
      <c r="S1626" s="40"/>
      <c r="T1626" s="40"/>
      <c r="U1626" s="40"/>
      <c r="V1626" s="40"/>
      <c r="W1626" s="40"/>
      <c r="X1626" s="40"/>
      <c r="Y1626" s="40"/>
      <c r="Z1626" s="40"/>
    </row>
    <row r="1627">
      <c r="A1627" s="65"/>
      <c r="B1627" s="66"/>
      <c r="C1627" s="68"/>
      <c r="D1627" s="68"/>
      <c r="E1627" s="40"/>
      <c r="F1627" s="40"/>
      <c r="G1627" s="40"/>
      <c r="H1627" s="40"/>
      <c r="I1627" s="40"/>
      <c r="J1627" s="40"/>
      <c r="K1627" s="40"/>
      <c r="L1627" s="40"/>
      <c r="M1627" s="40"/>
      <c r="N1627" s="40"/>
      <c r="O1627" s="40"/>
      <c r="P1627" s="40"/>
      <c r="Q1627" s="40"/>
      <c r="R1627" s="40"/>
      <c r="S1627" s="40"/>
      <c r="T1627" s="40"/>
      <c r="U1627" s="40"/>
      <c r="V1627" s="40"/>
      <c r="W1627" s="40"/>
      <c r="X1627" s="40"/>
      <c r="Y1627" s="40"/>
      <c r="Z1627" s="40"/>
    </row>
    <row r="1628">
      <c r="A1628" s="65"/>
      <c r="B1628" s="66"/>
      <c r="C1628" s="68"/>
      <c r="D1628" s="68"/>
      <c r="E1628" s="40"/>
      <c r="F1628" s="40"/>
      <c r="G1628" s="40"/>
      <c r="H1628" s="40"/>
      <c r="I1628" s="40"/>
      <c r="J1628" s="40"/>
      <c r="K1628" s="40"/>
      <c r="L1628" s="40"/>
      <c r="M1628" s="40"/>
      <c r="N1628" s="40"/>
      <c r="O1628" s="40"/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0"/>
    </row>
    <row r="1629">
      <c r="A1629" s="65"/>
      <c r="B1629" s="66"/>
      <c r="C1629" s="68"/>
      <c r="D1629" s="68"/>
      <c r="E1629" s="40"/>
      <c r="F1629" s="40"/>
      <c r="G1629" s="40"/>
      <c r="H1629" s="40"/>
      <c r="I1629" s="40"/>
      <c r="J1629" s="40"/>
      <c r="K1629" s="40"/>
      <c r="L1629" s="40"/>
      <c r="M1629" s="40"/>
      <c r="N1629" s="40"/>
      <c r="O1629" s="40"/>
      <c r="P1629" s="40"/>
      <c r="Q1629" s="40"/>
      <c r="R1629" s="40"/>
      <c r="S1629" s="40"/>
      <c r="T1629" s="40"/>
      <c r="U1629" s="40"/>
      <c r="V1629" s="40"/>
      <c r="W1629" s="40"/>
      <c r="X1629" s="40"/>
      <c r="Y1629" s="40"/>
      <c r="Z1629" s="40"/>
    </row>
    <row r="1630">
      <c r="A1630" s="65"/>
      <c r="B1630" s="66"/>
      <c r="C1630" s="68"/>
      <c r="D1630" s="68"/>
      <c r="E1630" s="40"/>
      <c r="F1630" s="40"/>
      <c r="G1630" s="40"/>
      <c r="H1630" s="40"/>
      <c r="I1630" s="40"/>
      <c r="J1630" s="40"/>
      <c r="K1630" s="40"/>
      <c r="L1630" s="40"/>
      <c r="M1630" s="40"/>
      <c r="N1630" s="40"/>
      <c r="O1630" s="40"/>
      <c r="P1630" s="40"/>
      <c r="Q1630" s="40"/>
      <c r="R1630" s="40"/>
      <c r="S1630" s="40"/>
      <c r="T1630" s="40"/>
      <c r="U1630" s="40"/>
      <c r="V1630" s="40"/>
      <c r="W1630" s="40"/>
      <c r="X1630" s="40"/>
      <c r="Y1630" s="40"/>
      <c r="Z1630" s="40"/>
    </row>
    <row r="1631">
      <c r="A1631" s="65"/>
      <c r="B1631" s="66"/>
      <c r="C1631" s="68"/>
      <c r="D1631" s="68"/>
      <c r="E1631" s="40"/>
      <c r="F1631" s="40"/>
      <c r="G1631" s="40"/>
      <c r="H1631" s="40"/>
      <c r="I1631" s="40"/>
      <c r="J1631" s="40"/>
      <c r="K1631" s="40"/>
      <c r="L1631" s="40"/>
      <c r="M1631" s="40"/>
      <c r="N1631" s="40"/>
      <c r="O1631" s="40"/>
      <c r="P1631" s="40"/>
      <c r="Q1631" s="40"/>
      <c r="R1631" s="40"/>
      <c r="S1631" s="40"/>
      <c r="T1631" s="40"/>
      <c r="U1631" s="40"/>
      <c r="V1631" s="40"/>
      <c r="W1631" s="40"/>
      <c r="X1631" s="40"/>
      <c r="Y1631" s="40"/>
      <c r="Z1631" s="40"/>
    </row>
    <row r="1632">
      <c r="A1632" s="65"/>
      <c r="B1632" s="66"/>
      <c r="C1632" s="68"/>
      <c r="D1632" s="68"/>
      <c r="E1632" s="40"/>
      <c r="F1632" s="40"/>
      <c r="G1632" s="40"/>
      <c r="H1632" s="40"/>
      <c r="I1632" s="40"/>
      <c r="J1632" s="40"/>
      <c r="K1632" s="40"/>
      <c r="L1632" s="40"/>
      <c r="M1632" s="40"/>
      <c r="N1632" s="40"/>
      <c r="O1632" s="40"/>
      <c r="P1632" s="40"/>
      <c r="Q1632" s="40"/>
      <c r="R1632" s="40"/>
      <c r="S1632" s="40"/>
      <c r="T1632" s="40"/>
      <c r="U1632" s="40"/>
      <c r="V1632" s="40"/>
      <c r="W1632" s="40"/>
      <c r="X1632" s="40"/>
      <c r="Y1632" s="40"/>
      <c r="Z1632" s="40"/>
    </row>
    <row r="1633">
      <c r="A1633" s="65"/>
      <c r="B1633" s="66"/>
      <c r="C1633" s="68"/>
      <c r="D1633" s="68"/>
      <c r="E1633" s="40"/>
      <c r="F1633" s="40"/>
      <c r="G1633" s="40"/>
      <c r="H1633" s="40"/>
      <c r="I1633" s="40"/>
      <c r="J1633" s="40"/>
      <c r="K1633" s="40"/>
      <c r="L1633" s="40"/>
      <c r="M1633" s="40"/>
      <c r="N1633" s="40"/>
      <c r="O1633" s="40"/>
      <c r="P1633" s="40"/>
      <c r="Q1633" s="40"/>
      <c r="R1633" s="40"/>
      <c r="S1633" s="40"/>
      <c r="T1633" s="40"/>
      <c r="U1633" s="40"/>
      <c r="V1633" s="40"/>
      <c r="W1633" s="40"/>
      <c r="X1633" s="40"/>
      <c r="Y1633" s="40"/>
      <c r="Z1633" s="40"/>
    </row>
    <row r="1634">
      <c r="A1634" s="65"/>
      <c r="B1634" s="66"/>
      <c r="C1634" s="68"/>
      <c r="D1634" s="68"/>
      <c r="E1634" s="40"/>
      <c r="F1634" s="40"/>
      <c r="G1634" s="40"/>
      <c r="H1634" s="40"/>
      <c r="I1634" s="40"/>
      <c r="J1634" s="40"/>
      <c r="K1634" s="40"/>
      <c r="L1634" s="40"/>
      <c r="M1634" s="40"/>
      <c r="N1634" s="40"/>
      <c r="O1634" s="40"/>
      <c r="P1634" s="40"/>
      <c r="Q1634" s="40"/>
      <c r="R1634" s="40"/>
      <c r="S1634" s="40"/>
      <c r="T1634" s="40"/>
      <c r="U1634" s="40"/>
      <c r="V1634" s="40"/>
      <c r="W1634" s="40"/>
      <c r="X1634" s="40"/>
      <c r="Y1634" s="40"/>
      <c r="Z1634" s="40"/>
    </row>
    <row r="1635">
      <c r="A1635" s="65"/>
      <c r="B1635" s="66"/>
      <c r="C1635" s="68"/>
      <c r="D1635" s="68"/>
      <c r="E1635" s="40"/>
      <c r="F1635" s="40"/>
      <c r="G1635" s="40"/>
      <c r="H1635" s="40"/>
      <c r="I1635" s="40"/>
      <c r="J1635" s="40"/>
      <c r="K1635" s="40"/>
      <c r="L1635" s="40"/>
      <c r="M1635" s="40"/>
      <c r="N1635" s="40"/>
      <c r="O1635" s="40"/>
      <c r="P1635" s="40"/>
      <c r="Q1635" s="40"/>
      <c r="R1635" s="40"/>
      <c r="S1635" s="40"/>
      <c r="T1635" s="40"/>
      <c r="U1635" s="40"/>
      <c r="V1635" s="40"/>
      <c r="W1635" s="40"/>
      <c r="X1635" s="40"/>
      <c r="Y1635" s="40"/>
      <c r="Z1635" s="40"/>
    </row>
    <row r="1636">
      <c r="A1636" s="65"/>
      <c r="B1636" s="66"/>
      <c r="C1636" s="68"/>
      <c r="D1636" s="68"/>
      <c r="E1636" s="40"/>
      <c r="F1636" s="40"/>
      <c r="G1636" s="40"/>
      <c r="H1636" s="40"/>
      <c r="I1636" s="40"/>
      <c r="J1636" s="40"/>
      <c r="K1636" s="40"/>
      <c r="L1636" s="40"/>
      <c r="M1636" s="40"/>
      <c r="N1636" s="40"/>
      <c r="O1636" s="40"/>
      <c r="P1636" s="40"/>
      <c r="Q1636" s="40"/>
      <c r="R1636" s="40"/>
      <c r="S1636" s="40"/>
      <c r="T1636" s="40"/>
      <c r="U1636" s="40"/>
      <c r="V1636" s="40"/>
      <c r="W1636" s="40"/>
      <c r="X1636" s="40"/>
      <c r="Y1636" s="40"/>
      <c r="Z1636" s="40"/>
    </row>
    <row r="1637">
      <c r="A1637" s="65"/>
      <c r="B1637" s="66"/>
      <c r="C1637" s="68"/>
      <c r="D1637" s="68"/>
      <c r="E1637" s="40"/>
      <c r="F1637" s="40"/>
      <c r="G1637" s="40"/>
      <c r="H1637" s="40"/>
      <c r="I1637" s="40"/>
      <c r="J1637" s="40"/>
      <c r="K1637" s="40"/>
      <c r="L1637" s="40"/>
      <c r="M1637" s="40"/>
      <c r="N1637" s="40"/>
      <c r="O1637" s="40"/>
      <c r="P1637" s="40"/>
      <c r="Q1637" s="40"/>
      <c r="R1637" s="40"/>
      <c r="S1637" s="40"/>
      <c r="T1637" s="40"/>
      <c r="U1637" s="40"/>
      <c r="V1637" s="40"/>
      <c r="W1637" s="40"/>
      <c r="X1637" s="40"/>
      <c r="Y1637" s="40"/>
      <c r="Z1637" s="40"/>
    </row>
    <row r="1638">
      <c r="A1638" s="65"/>
      <c r="B1638" s="66"/>
      <c r="C1638" s="68"/>
      <c r="D1638" s="68"/>
      <c r="E1638" s="40"/>
      <c r="F1638" s="40"/>
      <c r="G1638" s="40"/>
      <c r="H1638" s="40"/>
      <c r="I1638" s="40"/>
      <c r="J1638" s="40"/>
      <c r="K1638" s="40"/>
      <c r="L1638" s="40"/>
      <c r="M1638" s="40"/>
      <c r="N1638" s="40"/>
      <c r="O1638" s="40"/>
      <c r="P1638" s="40"/>
      <c r="Q1638" s="40"/>
      <c r="R1638" s="40"/>
      <c r="S1638" s="40"/>
      <c r="T1638" s="40"/>
      <c r="U1638" s="40"/>
      <c r="V1638" s="40"/>
      <c r="W1638" s="40"/>
      <c r="X1638" s="40"/>
      <c r="Y1638" s="40"/>
      <c r="Z1638" s="40"/>
    </row>
    <row r="1639">
      <c r="A1639" s="65"/>
      <c r="B1639" s="66"/>
      <c r="C1639" s="68"/>
      <c r="D1639" s="68"/>
      <c r="E1639" s="40"/>
      <c r="F1639" s="40"/>
      <c r="G1639" s="40"/>
      <c r="H1639" s="40"/>
      <c r="I1639" s="40"/>
      <c r="J1639" s="40"/>
      <c r="K1639" s="40"/>
      <c r="L1639" s="40"/>
      <c r="M1639" s="40"/>
      <c r="N1639" s="40"/>
      <c r="O1639" s="40"/>
      <c r="P1639" s="40"/>
      <c r="Q1639" s="40"/>
      <c r="R1639" s="40"/>
      <c r="S1639" s="40"/>
      <c r="T1639" s="40"/>
      <c r="U1639" s="40"/>
      <c r="V1639" s="40"/>
      <c r="W1639" s="40"/>
      <c r="X1639" s="40"/>
      <c r="Y1639" s="40"/>
      <c r="Z1639" s="40"/>
    </row>
    <row r="1640">
      <c r="A1640" s="65"/>
      <c r="B1640" s="66"/>
      <c r="C1640" s="68"/>
      <c r="D1640" s="68"/>
      <c r="E1640" s="40"/>
      <c r="F1640" s="40"/>
      <c r="G1640" s="40"/>
      <c r="H1640" s="40"/>
      <c r="I1640" s="40"/>
      <c r="J1640" s="40"/>
      <c r="K1640" s="40"/>
      <c r="L1640" s="40"/>
      <c r="M1640" s="40"/>
      <c r="N1640" s="40"/>
      <c r="O1640" s="40"/>
      <c r="P1640" s="40"/>
      <c r="Q1640" s="40"/>
      <c r="R1640" s="40"/>
      <c r="S1640" s="40"/>
      <c r="T1640" s="40"/>
      <c r="U1640" s="40"/>
      <c r="V1640" s="40"/>
      <c r="W1640" s="40"/>
      <c r="X1640" s="40"/>
      <c r="Y1640" s="40"/>
      <c r="Z1640" s="40"/>
    </row>
    <row r="1641">
      <c r="A1641" s="65"/>
      <c r="B1641" s="66"/>
      <c r="C1641" s="68"/>
      <c r="D1641" s="68"/>
      <c r="E1641" s="40"/>
      <c r="F1641" s="40"/>
      <c r="G1641" s="40"/>
      <c r="H1641" s="40"/>
      <c r="I1641" s="40"/>
      <c r="J1641" s="40"/>
      <c r="K1641" s="40"/>
      <c r="L1641" s="40"/>
      <c r="M1641" s="40"/>
      <c r="N1641" s="40"/>
      <c r="O1641" s="40"/>
      <c r="P1641" s="40"/>
      <c r="Q1641" s="40"/>
      <c r="R1641" s="40"/>
      <c r="S1641" s="40"/>
      <c r="T1641" s="40"/>
      <c r="U1641" s="40"/>
      <c r="V1641" s="40"/>
      <c r="W1641" s="40"/>
      <c r="X1641" s="40"/>
      <c r="Y1641" s="40"/>
      <c r="Z1641" s="40"/>
    </row>
    <row r="1642">
      <c r="A1642" s="65"/>
      <c r="B1642" s="66"/>
      <c r="C1642" s="68"/>
      <c r="D1642" s="68"/>
      <c r="E1642" s="40"/>
      <c r="F1642" s="40"/>
      <c r="G1642" s="40"/>
      <c r="H1642" s="40"/>
      <c r="I1642" s="40"/>
      <c r="J1642" s="40"/>
      <c r="K1642" s="40"/>
      <c r="L1642" s="40"/>
      <c r="M1642" s="40"/>
      <c r="N1642" s="40"/>
      <c r="O1642" s="40"/>
      <c r="P1642" s="40"/>
      <c r="Q1642" s="40"/>
      <c r="R1642" s="40"/>
      <c r="S1642" s="40"/>
      <c r="T1642" s="40"/>
      <c r="U1642" s="40"/>
      <c r="V1642" s="40"/>
      <c r="W1642" s="40"/>
      <c r="X1642" s="40"/>
      <c r="Y1642" s="40"/>
      <c r="Z1642" s="40"/>
    </row>
    <row r="1643">
      <c r="A1643" s="65"/>
      <c r="B1643" s="66"/>
      <c r="C1643" s="68"/>
      <c r="D1643" s="68"/>
      <c r="E1643" s="40"/>
      <c r="F1643" s="40"/>
      <c r="G1643" s="40"/>
      <c r="H1643" s="40"/>
      <c r="I1643" s="40"/>
      <c r="J1643" s="40"/>
      <c r="K1643" s="40"/>
      <c r="L1643" s="40"/>
      <c r="M1643" s="40"/>
      <c r="N1643" s="40"/>
      <c r="O1643" s="40"/>
      <c r="P1643" s="40"/>
      <c r="Q1643" s="40"/>
      <c r="R1643" s="40"/>
      <c r="S1643" s="40"/>
      <c r="T1643" s="40"/>
      <c r="U1643" s="40"/>
      <c r="V1643" s="40"/>
      <c r="W1643" s="40"/>
      <c r="X1643" s="40"/>
      <c r="Y1643" s="40"/>
      <c r="Z1643" s="40"/>
    </row>
    <row r="1644">
      <c r="A1644" s="65"/>
      <c r="B1644" s="66"/>
      <c r="C1644" s="68"/>
      <c r="D1644" s="68"/>
      <c r="E1644" s="40"/>
      <c r="F1644" s="40"/>
      <c r="G1644" s="40"/>
      <c r="H1644" s="40"/>
      <c r="I1644" s="40"/>
      <c r="J1644" s="40"/>
      <c r="K1644" s="40"/>
      <c r="L1644" s="40"/>
      <c r="M1644" s="40"/>
      <c r="N1644" s="40"/>
      <c r="O1644" s="40"/>
      <c r="P1644" s="40"/>
      <c r="Q1644" s="40"/>
      <c r="R1644" s="40"/>
      <c r="S1644" s="40"/>
      <c r="T1644" s="40"/>
      <c r="U1644" s="40"/>
      <c r="V1644" s="40"/>
      <c r="W1644" s="40"/>
      <c r="X1644" s="40"/>
      <c r="Y1644" s="40"/>
      <c r="Z1644" s="40"/>
    </row>
    <row r="1645">
      <c r="A1645" s="65"/>
      <c r="B1645" s="66"/>
      <c r="C1645" s="68"/>
      <c r="D1645" s="68"/>
      <c r="E1645" s="40"/>
      <c r="F1645" s="40"/>
      <c r="G1645" s="40"/>
      <c r="H1645" s="40"/>
      <c r="I1645" s="40"/>
      <c r="J1645" s="40"/>
      <c r="K1645" s="40"/>
      <c r="L1645" s="40"/>
      <c r="M1645" s="40"/>
      <c r="N1645" s="40"/>
      <c r="O1645" s="40"/>
      <c r="P1645" s="40"/>
      <c r="Q1645" s="40"/>
      <c r="R1645" s="40"/>
      <c r="S1645" s="40"/>
      <c r="T1645" s="40"/>
      <c r="U1645" s="40"/>
      <c r="V1645" s="40"/>
      <c r="W1645" s="40"/>
      <c r="X1645" s="40"/>
      <c r="Y1645" s="40"/>
      <c r="Z1645" s="40"/>
    </row>
    <row r="1646">
      <c r="A1646" s="65"/>
      <c r="B1646" s="66"/>
      <c r="C1646" s="68"/>
      <c r="D1646" s="68"/>
      <c r="E1646" s="40"/>
      <c r="F1646" s="40"/>
      <c r="G1646" s="40"/>
      <c r="H1646" s="40"/>
      <c r="I1646" s="40"/>
      <c r="J1646" s="40"/>
      <c r="K1646" s="40"/>
      <c r="L1646" s="40"/>
      <c r="M1646" s="40"/>
      <c r="N1646" s="40"/>
      <c r="O1646" s="40"/>
      <c r="P1646" s="40"/>
      <c r="Q1646" s="40"/>
      <c r="R1646" s="40"/>
      <c r="S1646" s="40"/>
      <c r="T1646" s="40"/>
      <c r="U1646" s="40"/>
      <c r="V1646" s="40"/>
      <c r="W1646" s="40"/>
      <c r="X1646" s="40"/>
      <c r="Y1646" s="40"/>
      <c r="Z1646" s="40"/>
    </row>
    <row r="1647">
      <c r="A1647" s="65"/>
      <c r="B1647" s="66"/>
      <c r="C1647" s="68"/>
      <c r="D1647" s="68"/>
      <c r="E1647" s="40"/>
      <c r="F1647" s="40"/>
      <c r="G1647" s="40"/>
      <c r="H1647" s="40"/>
      <c r="I1647" s="40"/>
      <c r="J1647" s="40"/>
      <c r="K1647" s="40"/>
      <c r="L1647" s="40"/>
      <c r="M1647" s="40"/>
      <c r="N1647" s="40"/>
      <c r="O1647" s="40"/>
      <c r="P1647" s="40"/>
      <c r="Q1647" s="40"/>
      <c r="R1647" s="40"/>
      <c r="S1647" s="40"/>
      <c r="T1647" s="40"/>
      <c r="U1647" s="40"/>
      <c r="V1647" s="40"/>
      <c r="W1647" s="40"/>
      <c r="X1647" s="40"/>
      <c r="Y1647" s="40"/>
      <c r="Z1647" s="40"/>
    </row>
    <row r="1648">
      <c r="A1648" s="65"/>
      <c r="B1648" s="66"/>
      <c r="C1648" s="68"/>
      <c r="D1648" s="68"/>
      <c r="E1648" s="40"/>
      <c r="F1648" s="40"/>
      <c r="G1648" s="40"/>
      <c r="H1648" s="40"/>
      <c r="I1648" s="40"/>
      <c r="J1648" s="40"/>
      <c r="K1648" s="40"/>
      <c r="L1648" s="40"/>
      <c r="M1648" s="40"/>
      <c r="N1648" s="40"/>
      <c r="O1648" s="40"/>
      <c r="P1648" s="40"/>
      <c r="Q1648" s="40"/>
      <c r="R1648" s="40"/>
      <c r="S1648" s="40"/>
      <c r="T1648" s="40"/>
      <c r="U1648" s="40"/>
      <c r="V1648" s="40"/>
      <c r="W1648" s="40"/>
      <c r="X1648" s="40"/>
      <c r="Y1648" s="40"/>
      <c r="Z1648" s="40"/>
    </row>
    <row r="1649">
      <c r="A1649" s="65"/>
      <c r="B1649" s="66"/>
      <c r="C1649" s="68"/>
      <c r="D1649" s="68"/>
      <c r="E1649" s="40"/>
      <c r="F1649" s="40"/>
      <c r="G1649" s="40"/>
      <c r="H1649" s="40"/>
      <c r="I1649" s="40"/>
      <c r="J1649" s="40"/>
      <c r="K1649" s="40"/>
      <c r="L1649" s="40"/>
      <c r="M1649" s="40"/>
      <c r="N1649" s="40"/>
      <c r="O1649" s="40"/>
      <c r="P1649" s="40"/>
      <c r="Q1649" s="40"/>
      <c r="R1649" s="40"/>
      <c r="S1649" s="40"/>
      <c r="T1649" s="40"/>
      <c r="U1649" s="40"/>
      <c r="V1649" s="40"/>
      <c r="W1649" s="40"/>
      <c r="X1649" s="40"/>
      <c r="Y1649" s="40"/>
      <c r="Z1649" s="40"/>
    </row>
    <row r="1650">
      <c r="A1650" s="65"/>
      <c r="B1650" s="66"/>
      <c r="C1650" s="68"/>
      <c r="D1650" s="68"/>
      <c r="E1650" s="40"/>
      <c r="F1650" s="40"/>
      <c r="G1650" s="40"/>
      <c r="H1650" s="40"/>
      <c r="I1650" s="40"/>
      <c r="J1650" s="40"/>
      <c r="K1650" s="40"/>
      <c r="L1650" s="40"/>
      <c r="M1650" s="40"/>
      <c r="N1650" s="40"/>
      <c r="O1650" s="40"/>
      <c r="P1650" s="40"/>
      <c r="Q1650" s="40"/>
      <c r="R1650" s="40"/>
      <c r="S1650" s="40"/>
      <c r="T1650" s="40"/>
      <c r="U1650" s="40"/>
      <c r="V1650" s="40"/>
      <c r="W1650" s="40"/>
      <c r="X1650" s="40"/>
      <c r="Y1650" s="40"/>
      <c r="Z1650" s="40"/>
    </row>
    <row r="1651">
      <c r="A1651" s="65"/>
      <c r="B1651" s="66"/>
      <c r="C1651" s="68"/>
      <c r="D1651" s="68"/>
      <c r="E1651" s="40"/>
      <c r="F1651" s="40"/>
      <c r="G1651" s="40"/>
      <c r="H1651" s="40"/>
      <c r="I1651" s="40"/>
      <c r="J1651" s="40"/>
      <c r="K1651" s="40"/>
      <c r="L1651" s="40"/>
      <c r="M1651" s="40"/>
      <c r="N1651" s="40"/>
      <c r="O1651" s="40"/>
      <c r="P1651" s="40"/>
      <c r="Q1651" s="40"/>
      <c r="R1651" s="40"/>
      <c r="S1651" s="40"/>
      <c r="T1651" s="40"/>
      <c r="U1651" s="40"/>
      <c r="V1651" s="40"/>
      <c r="W1651" s="40"/>
      <c r="X1651" s="40"/>
      <c r="Y1651" s="40"/>
      <c r="Z1651" s="40"/>
    </row>
    <row r="1652">
      <c r="A1652" s="65"/>
      <c r="B1652" s="66"/>
      <c r="C1652" s="68"/>
      <c r="D1652" s="68"/>
      <c r="E1652" s="40"/>
      <c r="F1652" s="40"/>
      <c r="G1652" s="40"/>
      <c r="H1652" s="40"/>
      <c r="I1652" s="40"/>
      <c r="J1652" s="40"/>
      <c r="K1652" s="40"/>
      <c r="L1652" s="40"/>
      <c r="M1652" s="40"/>
      <c r="N1652" s="40"/>
      <c r="O1652" s="40"/>
      <c r="P1652" s="40"/>
      <c r="Q1652" s="40"/>
      <c r="R1652" s="40"/>
      <c r="S1652" s="40"/>
      <c r="T1652" s="40"/>
      <c r="U1652" s="40"/>
      <c r="V1652" s="40"/>
      <c r="W1652" s="40"/>
      <c r="X1652" s="40"/>
      <c r="Y1652" s="40"/>
      <c r="Z1652" s="40"/>
    </row>
    <row r="1653">
      <c r="A1653" s="65"/>
      <c r="B1653" s="66"/>
      <c r="C1653" s="68"/>
      <c r="D1653" s="68"/>
      <c r="E1653" s="40"/>
      <c r="F1653" s="40"/>
      <c r="G1653" s="40"/>
      <c r="H1653" s="40"/>
      <c r="I1653" s="40"/>
      <c r="J1653" s="40"/>
      <c r="K1653" s="40"/>
      <c r="L1653" s="40"/>
      <c r="M1653" s="40"/>
      <c r="N1653" s="40"/>
      <c r="O1653" s="40"/>
      <c r="P1653" s="40"/>
      <c r="Q1653" s="40"/>
      <c r="R1653" s="40"/>
      <c r="S1653" s="40"/>
      <c r="T1653" s="40"/>
      <c r="U1653" s="40"/>
      <c r="V1653" s="40"/>
      <c r="W1653" s="40"/>
      <c r="X1653" s="40"/>
      <c r="Y1653" s="40"/>
      <c r="Z1653" s="40"/>
    </row>
    <row r="1654">
      <c r="A1654" s="65"/>
      <c r="B1654" s="66"/>
      <c r="C1654" s="68"/>
      <c r="D1654" s="68"/>
      <c r="E1654" s="40"/>
      <c r="F1654" s="40"/>
      <c r="G1654" s="40"/>
      <c r="H1654" s="40"/>
      <c r="I1654" s="40"/>
      <c r="J1654" s="40"/>
      <c r="K1654" s="40"/>
      <c r="L1654" s="40"/>
      <c r="M1654" s="40"/>
      <c r="N1654" s="40"/>
      <c r="O1654" s="40"/>
      <c r="P1654" s="40"/>
      <c r="Q1654" s="40"/>
      <c r="R1654" s="40"/>
      <c r="S1654" s="40"/>
      <c r="T1654" s="40"/>
      <c r="U1654" s="40"/>
      <c r="V1654" s="40"/>
      <c r="W1654" s="40"/>
      <c r="X1654" s="40"/>
      <c r="Y1654" s="40"/>
      <c r="Z1654" s="40"/>
    </row>
    <row r="1655">
      <c r="A1655" s="65"/>
      <c r="B1655" s="66"/>
      <c r="C1655" s="68"/>
      <c r="D1655" s="68"/>
      <c r="E1655" s="40"/>
      <c r="F1655" s="40"/>
      <c r="G1655" s="40"/>
      <c r="H1655" s="40"/>
      <c r="I1655" s="40"/>
      <c r="J1655" s="40"/>
      <c r="K1655" s="40"/>
      <c r="L1655" s="40"/>
      <c r="M1655" s="40"/>
      <c r="N1655" s="40"/>
      <c r="O1655" s="40"/>
      <c r="P1655" s="40"/>
      <c r="Q1655" s="40"/>
      <c r="R1655" s="40"/>
      <c r="S1655" s="40"/>
      <c r="T1655" s="40"/>
      <c r="U1655" s="40"/>
      <c r="V1655" s="40"/>
      <c r="W1655" s="40"/>
      <c r="X1655" s="40"/>
      <c r="Y1655" s="40"/>
      <c r="Z1655" s="40"/>
    </row>
    <row r="1656">
      <c r="A1656" s="65"/>
      <c r="B1656" s="66"/>
      <c r="C1656" s="68"/>
      <c r="D1656" s="68"/>
      <c r="E1656" s="40"/>
      <c r="F1656" s="40"/>
      <c r="G1656" s="40"/>
      <c r="H1656" s="40"/>
      <c r="I1656" s="40"/>
      <c r="J1656" s="40"/>
      <c r="K1656" s="40"/>
      <c r="L1656" s="40"/>
      <c r="M1656" s="40"/>
      <c r="N1656" s="40"/>
      <c r="O1656" s="40"/>
      <c r="P1656" s="40"/>
      <c r="Q1656" s="40"/>
      <c r="R1656" s="40"/>
      <c r="S1656" s="40"/>
      <c r="T1656" s="40"/>
      <c r="U1656" s="40"/>
      <c r="V1656" s="40"/>
      <c r="W1656" s="40"/>
      <c r="X1656" s="40"/>
      <c r="Y1656" s="40"/>
      <c r="Z1656" s="40"/>
    </row>
    <row r="1657">
      <c r="A1657" s="65"/>
      <c r="B1657" s="66"/>
      <c r="C1657" s="68"/>
      <c r="D1657" s="68"/>
      <c r="E1657" s="40"/>
      <c r="F1657" s="40"/>
      <c r="G1657" s="40"/>
      <c r="H1657" s="40"/>
      <c r="I1657" s="40"/>
      <c r="J1657" s="40"/>
      <c r="K1657" s="40"/>
      <c r="L1657" s="40"/>
      <c r="M1657" s="40"/>
      <c r="N1657" s="40"/>
      <c r="O1657" s="40"/>
      <c r="P1657" s="40"/>
      <c r="Q1657" s="40"/>
      <c r="R1657" s="40"/>
      <c r="S1657" s="40"/>
      <c r="T1657" s="40"/>
      <c r="U1657" s="40"/>
      <c r="V1657" s="40"/>
      <c r="W1657" s="40"/>
      <c r="X1657" s="40"/>
      <c r="Y1657" s="40"/>
      <c r="Z1657" s="40"/>
    </row>
    <row r="1658">
      <c r="A1658" s="65"/>
      <c r="B1658" s="66"/>
      <c r="C1658" s="68"/>
      <c r="D1658" s="68"/>
      <c r="E1658" s="40"/>
      <c r="F1658" s="40"/>
      <c r="G1658" s="40"/>
      <c r="H1658" s="40"/>
      <c r="I1658" s="40"/>
      <c r="J1658" s="40"/>
      <c r="K1658" s="40"/>
      <c r="L1658" s="40"/>
      <c r="M1658" s="40"/>
      <c r="N1658" s="40"/>
      <c r="O1658" s="40"/>
      <c r="P1658" s="40"/>
      <c r="Q1658" s="40"/>
      <c r="R1658" s="40"/>
      <c r="S1658" s="40"/>
      <c r="T1658" s="40"/>
      <c r="U1658" s="40"/>
      <c r="V1658" s="40"/>
      <c r="W1658" s="40"/>
      <c r="X1658" s="40"/>
      <c r="Y1658" s="40"/>
      <c r="Z1658" s="40"/>
    </row>
    <row r="1659">
      <c r="A1659" s="65"/>
      <c r="B1659" s="66"/>
      <c r="C1659" s="68"/>
      <c r="D1659" s="68"/>
      <c r="E1659" s="40"/>
      <c r="F1659" s="40"/>
      <c r="G1659" s="40"/>
      <c r="H1659" s="40"/>
      <c r="I1659" s="40"/>
      <c r="J1659" s="40"/>
      <c r="K1659" s="40"/>
      <c r="L1659" s="40"/>
      <c r="M1659" s="40"/>
      <c r="N1659" s="40"/>
      <c r="O1659" s="40"/>
      <c r="P1659" s="40"/>
      <c r="Q1659" s="40"/>
      <c r="R1659" s="40"/>
      <c r="S1659" s="40"/>
      <c r="T1659" s="40"/>
      <c r="U1659" s="40"/>
      <c r="V1659" s="40"/>
      <c r="W1659" s="40"/>
      <c r="X1659" s="40"/>
      <c r="Y1659" s="40"/>
      <c r="Z1659" s="40"/>
    </row>
    <row r="1660">
      <c r="A1660" s="65"/>
      <c r="B1660" s="66"/>
      <c r="C1660" s="68"/>
      <c r="D1660" s="68"/>
      <c r="E1660" s="40"/>
      <c r="F1660" s="40"/>
      <c r="G1660" s="40"/>
      <c r="H1660" s="40"/>
      <c r="I1660" s="40"/>
      <c r="J1660" s="40"/>
      <c r="K1660" s="40"/>
      <c r="L1660" s="40"/>
      <c r="M1660" s="40"/>
      <c r="N1660" s="40"/>
      <c r="O1660" s="40"/>
      <c r="P1660" s="40"/>
      <c r="Q1660" s="40"/>
      <c r="R1660" s="40"/>
      <c r="S1660" s="40"/>
      <c r="T1660" s="40"/>
      <c r="U1660" s="40"/>
      <c r="V1660" s="40"/>
      <c r="W1660" s="40"/>
      <c r="X1660" s="40"/>
      <c r="Y1660" s="40"/>
      <c r="Z1660" s="40"/>
    </row>
    <row r="1661">
      <c r="A1661" s="65"/>
      <c r="B1661" s="66"/>
      <c r="C1661" s="68"/>
      <c r="D1661" s="68"/>
      <c r="E1661" s="40"/>
      <c r="F1661" s="40"/>
      <c r="G1661" s="40"/>
      <c r="H1661" s="40"/>
      <c r="I1661" s="40"/>
      <c r="J1661" s="40"/>
      <c r="K1661" s="40"/>
      <c r="L1661" s="40"/>
      <c r="M1661" s="40"/>
      <c r="N1661" s="40"/>
      <c r="O1661" s="40"/>
      <c r="P1661" s="40"/>
      <c r="Q1661" s="40"/>
      <c r="R1661" s="40"/>
      <c r="S1661" s="40"/>
      <c r="T1661" s="40"/>
      <c r="U1661" s="40"/>
      <c r="V1661" s="40"/>
      <c r="W1661" s="40"/>
      <c r="X1661" s="40"/>
      <c r="Y1661" s="40"/>
      <c r="Z1661" s="40"/>
    </row>
    <row r="1662">
      <c r="A1662" s="65"/>
      <c r="B1662" s="66"/>
      <c r="C1662" s="68"/>
      <c r="D1662" s="68"/>
      <c r="E1662" s="40"/>
      <c r="F1662" s="40"/>
      <c r="G1662" s="40"/>
      <c r="H1662" s="40"/>
      <c r="I1662" s="40"/>
      <c r="J1662" s="40"/>
      <c r="K1662" s="40"/>
      <c r="L1662" s="40"/>
      <c r="M1662" s="40"/>
      <c r="N1662" s="40"/>
      <c r="O1662" s="40"/>
      <c r="P1662" s="40"/>
      <c r="Q1662" s="40"/>
      <c r="R1662" s="40"/>
      <c r="S1662" s="40"/>
      <c r="T1662" s="40"/>
      <c r="U1662" s="40"/>
      <c r="V1662" s="40"/>
      <c r="W1662" s="40"/>
      <c r="X1662" s="40"/>
      <c r="Y1662" s="40"/>
      <c r="Z1662" s="40"/>
    </row>
    <row r="1663">
      <c r="A1663" s="65"/>
      <c r="B1663" s="66"/>
      <c r="C1663" s="68"/>
      <c r="D1663" s="68"/>
      <c r="E1663" s="40"/>
      <c r="F1663" s="40"/>
      <c r="G1663" s="40"/>
      <c r="H1663" s="40"/>
      <c r="I1663" s="40"/>
      <c r="J1663" s="40"/>
      <c r="K1663" s="40"/>
      <c r="L1663" s="40"/>
      <c r="M1663" s="40"/>
      <c r="N1663" s="40"/>
      <c r="O1663" s="40"/>
      <c r="P1663" s="40"/>
      <c r="Q1663" s="40"/>
      <c r="R1663" s="40"/>
      <c r="S1663" s="40"/>
      <c r="T1663" s="40"/>
      <c r="U1663" s="40"/>
      <c r="V1663" s="40"/>
      <c r="W1663" s="40"/>
      <c r="X1663" s="40"/>
      <c r="Y1663" s="40"/>
      <c r="Z1663" s="40"/>
    </row>
    <row r="1664">
      <c r="A1664" s="65"/>
      <c r="B1664" s="66"/>
      <c r="C1664" s="68"/>
      <c r="D1664" s="68"/>
      <c r="E1664" s="40"/>
      <c r="F1664" s="40"/>
      <c r="G1664" s="40"/>
      <c r="H1664" s="40"/>
      <c r="I1664" s="40"/>
      <c r="J1664" s="40"/>
      <c r="K1664" s="40"/>
      <c r="L1664" s="40"/>
      <c r="M1664" s="40"/>
      <c r="N1664" s="40"/>
      <c r="O1664" s="40"/>
      <c r="P1664" s="40"/>
      <c r="Q1664" s="40"/>
      <c r="R1664" s="40"/>
      <c r="S1664" s="40"/>
      <c r="T1664" s="40"/>
      <c r="U1664" s="40"/>
      <c r="V1664" s="40"/>
      <c r="W1664" s="40"/>
      <c r="X1664" s="40"/>
      <c r="Y1664" s="40"/>
      <c r="Z1664" s="40"/>
    </row>
    <row r="1665">
      <c r="A1665" s="65"/>
      <c r="B1665" s="66"/>
      <c r="C1665" s="68"/>
      <c r="D1665" s="68"/>
      <c r="E1665" s="40"/>
      <c r="F1665" s="40"/>
      <c r="G1665" s="40"/>
      <c r="H1665" s="40"/>
      <c r="I1665" s="40"/>
      <c r="J1665" s="40"/>
      <c r="K1665" s="40"/>
      <c r="L1665" s="40"/>
      <c r="M1665" s="40"/>
      <c r="N1665" s="40"/>
      <c r="O1665" s="40"/>
      <c r="P1665" s="40"/>
      <c r="Q1665" s="40"/>
      <c r="R1665" s="40"/>
      <c r="S1665" s="40"/>
      <c r="T1665" s="40"/>
      <c r="U1665" s="40"/>
      <c r="V1665" s="40"/>
      <c r="W1665" s="40"/>
      <c r="X1665" s="40"/>
      <c r="Y1665" s="40"/>
      <c r="Z1665" s="40"/>
    </row>
    <row r="1666">
      <c r="A1666" s="65"/>
      <c r="B1666" s="66"/>
      <c r="C1666" s="68"/>
      <c r="D1666" s="68"/>
      <c r="E1666" s="40"/>
      <c r="F1666" s="40"/>
      <c r="G1666" s="40"/>
      <c r="H1666" s="40"/>
      <c r="I1666" s="40"/>
      <c r="J1666" s="40"/>
      <c r="K1666" s="40"/>
      <c r="L1666" s="40"/>
      <c r="M1666" s="40"/>
      <c r="N1666" s="40"/>
      <c r="O1666" s="40"/>
      <c r="P1666" s="40"/>
      <c r="Q1666" s="40"/>
      <c r="R1666" s="40"/>
      <c r="S1666" s="40"/>
      <c r="T1666" s="40"/>
      <c r="U1666" s="40"/>
      <c r="V1666" s="40"/>
      <c r="W1666" s="40"/>
      <c r="X1666" s="40"/>
      <c r="Y1666" s="40"/>
      <c r="Z1666" s="40"/>
    </row>
    <row r="1667">
      <c r="A1667" s="65"/>
      <c r="B1667" s="66"/>
      <c r="C1667" s="68"/>
      <c r="D1667" s="68"/>
      <c r="E1667" s="40"/>
      <c r="F1667" s="40"/>
      <c r="G1667" s="40"/>
      <c r="H1667" s="40"/>
      <c r="I1667" s="40"/>
      <c r="J1667" s="40"/>
      <c r="K1667" s="40"/>
      <c r="L1667" s="40"/>
      <c r="M1667" s="40"/>
      <c r="N1667" s="40"/>
      <c r="O1667" s="40"/>
      <c r="P1667" s="40"/>
      <c r="Q1667" s="40"/>
      <c r="R1667" s="40"/>
      <c r="S1667" s="40"/>
      <c r="T1667" s="40"/>
      <c r="U1667" s="40"/>
      <c r="V1667" s="40"/>
      <c r="W1667" s="40"/>
      <c r="X1667" s="40"/>
      <c r="Y1667" s="40"/>
      <c r="Z1667" s="40"/>
    </row>
    <row r="1668">
      <c r="A1668" s="65"/>
      <c r="B1668" s="66"/>
      <c r="C1668" s="68"/>
      <c r="D1668" s="68"/>
      <c r="E1668" s="40"/>
      <c r="F1668" s="40"/>
      <c r="G1668" s="40"/>
      <c r="H1668" s="40"/>
      <c r="I1668" s="40"/>
      <c r="J1668" s="40"/>
      <c r="K1668" s="40"/>
      <c r="L1668" s="40"/>
      <c r="M1668" s="40"/>
      <c r="N1668" s="40"/>
      <c r="O1668" s="40"/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0"/>
    </row>
    <row r="1669">
      <c r="A1669" s="65"/>
      <c r="B1669" s="66"/>
      <c r="C1669" s="68"/>
      <c r="D1669" s="68"/>
      <c r="E1669" s="40"/>
      <c r="F1669" s="40"/>
      <c r="G1669" s="40"/>
      <c r="H1669" s="40"/>
      <c r="I1669" s="40"/>
      <c r="J1669" s="40"/>
      <c r="K1669" s="40"/>
      <c r="L1669" s="40"/>
      <c r="M1669" s="40"/>
      <c r="N1669" s="40"/>
      <c r="O1669" s="40"/>
      <c r="P1669" s="40"/>
      <c r="Q1669" s="40"/>
      <c r="R1669" s="40"/>
      <c r="S1669" s="40"/>
      <c r="T1669" s="40"/>
      <c r="U1669" s="40"/>
      <c r="V1669" s="40"/>
      <c r="W1669" s="40"/>
      <c r="X1669" s="40"/>
      <c r="Y1669" s="40"/>
      <c r="Z1669" s="40"/>
    </row>
    <row r="1670">
      <c r="A1670" s="65"/>
      <c r="B1670" s="66"/>
      <c r="C1670" s="68"/>
      <c r="D1670" s="68"/>
      <c r="E1670" s="40"/>
      <c r="F1670" s="40"/>
      <c r="G1670" s="40"/>
      <c r="H1670" s="40"/>
      <c r="I1670" s="40"/>
      <c r="J1670" s="40"/>
      <c r="K1670" s="40"/>
      <c r="L1670" s="40"/>
      <c r="M1670" s="40"/>
      <c r="N1670" s="40"/>
      <c r="O1670" s="40"/>
      <c r="P1670" s="40"/>
      <c r="Q1670" s="40"/>
      <c r="R1670" s="40"/>
      <c r="S1670" s="40"/>
      <c r="T1670" s="40"/>
      <c r="U1670" s="40"/>
      <c r="V1670" s="40"/>
      <c r="W1670" s="40"/>
      <c r="X1670" s="40"/>
      <c r="Y1670" s="40"/>
      <c r="Z1670" s="40"/>
    </row>
    <row r="1671">
      <c r="A1671" s="65"/>
      <c r="B1671" s="66"/>
      <c r="C1671" s="68"/>
      <c r="D1671" s="68"/>
      <c r="E1671" s="40"/>
      <c r="F1671" s="40"/>
      <c r="G1671" s="40"/>
      <c r="H1671" s="40"/>
      <c r="I1671" s="40"/>
      <c r="J1671" s="40"/>
      <c r="K1671" s="40"/>
      <c r="L1671" s="40"/>
      <c r="M1671" s="40"/>
      <c r="N1671" s="40"/>
      <c r="O1671" s="40"/>
      <c r="P1671" s="40"/>
      <c r="Q1671" s="40"/>
      <c r="R1671" s="40"/>
      <c r="S1671" s="40"/>
      <c r="T1671" s="40"/>
      <c r="U1671" s="40"/>
      <c r="V1671" s="40"/>
      <c r="W1671" s="40"/>
      <c r="X1671" s="40"/>
      <c r="Y1671" s="40"/>
      <c r="Z1671" s="40"/>
    </row>
    <row r="1672">
      <c r="A1672" s="65"/>
      <c r="B1672" s="66"/>
      <c r="C1672" s="68"/>
      <c r="D1672" s="68"/>
      <c r="E1672" s="40"/>
      <c r="F1672" s="40"/>
      <c r="G1672" s="40"/>
      <c r="H1672" s="40"/>
      <c r="I1672" s="40"/>
      <c r="J1672" s="40"/>
      <c r="K1672" s="40"/>
      <c r="L1672" s="40"/>
      <c r="M1672" s="40"/>
      <c r="N1672" s="40"/>
      <c r="O1672" s="40"/>
      <c r="P1672" s="40"/>
      <c r="Q1672" s="40"/>
      <c r="R1672" s="40"/>
      <c r="S1672" s="40"/>
      <c r="T1672" s="40"/>
      <c r="U1672" s="40"/>
      <c r="V1672" s="40"/>
      <c r="W1672" s="40"/>
      <c r="X1672" s="40"/>
      <c r="Y1672" s="40"/>
      <c r="Z1672" s="40"/>
    </row>
    <row r="1673">
      <c r="A1673" s="65"/>
      <c r="B1673" s="66"/>
      <c r="C1673" s="68"/>
      <c r="D1673" s="68"/>
      <c r="E1673" s="40"/>
      <c r="F1673" s="40"/>
      <c r="G1673" s="40"/>
      <c r="H1673" s="40"/>
      <c r="I1673" s="40"/>
      <c r="J1673" s="40"/>
      <c r="K1673" s="40"/>
      <c r="L1673" s="40"/>
      <c r="M1673" s="40"/>
      <c r="N1673" s="40"/>
      <c r="O1673" s="40"/>
      <c r="P1673" s="40"/>
      <c r="Q1673" s="40"/>
      <c r="R1673" s="40"/>
      <c r="S1673" s="40"/>
      <c r="T1673" s="40"/>
      <c r="U1673" s="40"/>
      <c r="V1673" s="40"/>
      <c r="W1673" s="40"/>
      <c r="X1673" s="40"/>
      <c r="Y1673" s="40"/>
      <c r="Z1673" s="40"/>
    </row>
    <row r="1674">
      <c r="A1674" s="65"/>
      <c r="B1674" s="66"/>
      <c r="C1674" s="68"/>
      <c r="D1674" s="68"/>
      <c r="E1674" s="40"/>
      <c r="F1674" s="40"/>
      <c r="G1674" s="40"/>
      <c r="H1674" s="40"/>
      <c r="I1674" s="40"/>
      <c r="J1674" s="40"/>
      <c r="K1674" s="40"/>
      <c r="L1674" s="40"/>
      <c r="M1674" s="40"/>
      <c r="N1674" s="40"/>
      <c r="O1674" s="40"/>
      <c r="P1674" s="40"/>
      <c r="Q1674" s="40"/>
      <c r="R1674" s="40"/>
      <c r="S1674" s="40"/>
      <c r="T1674" s="40"/>
      <c r="U1674" s="40"/>
      <c r="V1674" s="40"/>
      <c r="W1674" s="40"/>
      <c r="X1674" s="40"/>
      <c r="Y1674" s="40"/>
      <c r="Z1674" s="40"/>
    </row>
    <row r="1675">
      <c r="A1675" s="65"/>
      <c r="B1675" s="66"/>
      <c r="C1675" s="68"/>
      <c r="D1675" s="68"/>
      <c r="E1675" s="40"/>
      <c r="F1675" s="40"/>
      <c r="G1675" s="40"/>
      <c r="H1675" s="40"/>
      <c r="I1675" s="40"/>
      <c r="J1675" s="40"/>
      <c r="K1675" s="40"/>
      <c r="L1675" s="40"/>
      <c r="M1675" s="40"/>
      <c r="N1675" s="40"/>
      <c r="O1675" s="40"/>
      <c r="P1675" s="40"/>
      <c r="Q1675" s="40"/>
      <c r="R1675" s="40"/>
      <c r="S1675" s="40"/>
      <c r="T1675" s="40"/>
      <c r="U1675" s="40"/>
      <c r="V1675" s="40"/>
      <c r="W1675" s="40"/>
      <c r="X1675" s="40"/>
      <c r="Y1675" s="40"/>
      <c r="Z1675" s="40"/>
    </row>
    <row r="1676">
      <c r="A1676" s="65"/>
      <c r="B1676" s="66"/>
      <c r="C1676" s="68"/>
      <c r="D1676" s="68"/>
      <c r="E1676" s="40"/>
      <c r="F1676" s="40"/>
      <c r="G1676" s="40"/>
      <c r="H1676" s="40"/>
      <c r="I1676" s="40"/>
      <c r="J1676" s="40"/>
      <c r="K1676" s="40"/>
      <c r="L1676" s="40"/>
      <c r="M1676" s="40"/>
      <c r="N1676" s="40"/>
      <c r="O1676" s="40"/>
      <c r="P1676" s="40"/>
      <c r="Q1676" s="40"/>
      <c r="R1676" s="40"/>
      <c r="S1676" s="40"/>
      <c r="T1676" s="40"/>
      <c r="U1676" s="40"/>
      <c r="V1676" s="40"/>
      <c r="W1676" s="40"/>
      <c r="X1676" s="40"/>
      <c r="Y1676" s="40"/>
      <c r="Z1676" s="40"/>
    </row>
    <row r="1677">
      <c r="A1677" s="65"/>
      <c r="B1677" s="66"/>
      <c r="C1677" s="68"/>
      <c r="D1677" s="68"/>
      <c r="E1677" s="40"/>
      <c r="F1677" s="40"/>
      <c r="G1677" s="40"/>
      <c r="H1677" s="40"/>
      <c r="I1677" s="40"/>
      <c r="J1677" s="40"/>
      <c r="K1677" s="40"/>
      <c r="L1677" s="40"/>
      <c r="M1677" s="40"/>
      <c r="N1677" s="40"/>
      <c r="O1677" s="40"/>
      <c r="P1677" s="40"/>
      <c r="Q1677" s="40"/>
      <c r="R1677" s="40"/>
      <c r="S1677" s="40"/>
      <c r="T1677" s="40"/>
      <c r="U1677" s="40"/>
      <c r="V1677" s="40"/>
      <c r="W1677" s="40"/>
      <c r="X1677" s="40"/>
      <c r="Y1677" s="40"/>
      <c r="Z1677" s="40"/>
    </row>
    <row r="1678">
      <c r="A1678" s="65"/>
      <c r="B1678" s="66"/>
      <c r="C1678" s="68"/>
      <c r="D1678" s="68"/>
      <c r="E1678" s="40"/>
      <c r="F1678" s="40"/>
      <c r="G1678" s="40"/>
      <c r="H1678" s="40"/>
      <c r="I1678" s="40"/>
      <c r="J1678" s="40"/>
      <c r="K1678" s="40"/>
      <c r="L1678" s="40"/>
      <c r="M1678" s="40"/>
      <c r="N1678" s="40"/>
      <c r="O1678" s="40"/>
      <c r="P1678" s="40"/>
      <c r="Q1678" s="40"/>
      <c r="R1678" s="40"/>
      <c r="S1678" s="40"/>
      <c r="T1678" s="40"/>
      <c r="U1678" s="40"/>
      <c r="V1678" s="40"/>
      <c r="W1678" s="40"/>
      <c r="X1678" s="40"/>
      <c r="Y1678" s="40"/>
      <c r="Z1678" s="40"/>
    </row>
    <row r="1679">
      <c r="A1679" s="65"/>
      <c r="B1679" s="66"/>
      <c r="C1679" s="68"/>
      <c r="D1679" s="68"/>
      <c r="E1679" s="40"/>
      <c r="F1679" s="40"/>
      <c r="G1679" s="40"/>
      <c r="H1679" s="40"/>
      <c r="I1679" s="40"/>
      <c r="J1679" s="40"/>
      <c r="K1679" s="40"/>
      <c r="L1679" s="40"/>
      <c r="M1679" s="40"/>
      <c r="N1679" s="40"/>
      <c r="O1679" s="40"/>
      <c r="P1679" s="40"/>
      <c r="Q1679" s="40"/>
      <c r="R1679" s="40"/>
      <c r="S1679" s="40"/>
      <c r="T1679" s="40"/>
      <c r="U1679" s="40"/>
      <c r="V1679" s="40"/>
      <c r="W1679" s="40"/>
      <c r="X1679" s="40"/>
      <c r="Y1679" s="40"/>
      <c r="Z1679" s="40"/>
    </row>
    <row r="1680">
      <c r="A1680" s="65"/>
      <c r="B1680" s="66"/>
      <c r="C1680" s="68"/>
      <c r="D1680" s="68"/>
      <c r="E1680" s="40"/>
      <c r="F1680" s="40"/>
      <c r="G1680" s="40"/>
      <c r="H1680" s="40"/>
      <c r="I1680" s="40"/>
      <c r="J1680" s="40"/>
      <c r="K1680" s="40"/>
      <c r="L1680" s="40"/>
      <c r="M1680" s="40"/>
      <c r="N1680" s="40"/>
      <c r="O1680" s="40"/>
      <c r="P1680" s="40"/>
      <c r="Q1680" s="40"/>
      <c r="R1680" s="40"/>
      <c r="S1680" s="40"/>
      <c r="T1680" s="40"/>
      <c r="U1680" s="40"/>
      <c r="V1680" s="40"/>
      <c r="W1680" s="40"/>
      <c r="X1680" s="40"/>
      <c r="Y1680" s="40"/>
      <c r="Z1680" s="40"/>
    </row>
    <row r="1681">
      <c r="A1681" s="65"/>
      <c r="B1681" s="66"/>
      <c r="C1681" s="68"/>
      <c r="D1681" s="68"/>
      <c r="E1681" s="40"/>
      <c r="F1681" s="40"/>
      <c r="G1681" s="40"/>
      <c r="H1681" s="40"/>
      <c r="I1681" s="40"/>
      <c r="J1681" s="40"/>
      <c r="K1681" s="40"/>
      <c r="L1681" s="40"/>
      <c r="M1681" s="40"/>
      <c r="N1681" s="40"/>
      <c r="O1681" s="40"/>
      <c r="P1681" s="40"/>
      <c r="Q1681" s="40"/>
      <c r="R1681" s="40"/>
      <c r="S1681" s="40"/>
      <c r="T1681" s="40"/>
      <c r="U1681" s="40"/>
      <c r="V1681" s="40"/>
      <c r="W1681" s="40"/>
      <c r="X1681" s="40"/>
      <c r="Y1681" s="40"/>
      <c r="Z1681" s="40"/>
    </row>
    <row r="1682">
      <c r="A1682" s="65"/>
      <c r="B1682" s="66"/>
      <c r="C1682" s="68"/>
      <c r="D1682" s="68"/>
      <c r="E1682" s="40"/>
      <c r="F1682" s="40"/>
      <c r="G1682" s="40"/>
      <c r="H1682" s="40"/>
      <c r="I1682" s="40"/>
      <c r="J1682" s="40"/>
      <c r="K1682" s="40"/>
      <c r="L1682" s="40"/>
      <c r="M1682" s="40"/>
      <c r="N1682" s="40"/>
      <c r="O1682" s="40"/>
      <c r="P1682" s="40"/>
      <c r="Q1682" s="40"/>
      <c r="R1682" s="40"/>
      <c r="S1682" s="40"/>
      <c r="T1682" s="40"/>
      <c r="U1682" s="40"/>
      <c r="V1682" s="40"/>
      <c r="W1682" s="40"/>
      <c r="X1682" s="40"/>
      <c r="Y1682" s="40"/>
      <c r="Z1682" s="40"/>
    </row>
    <row r="1683">
      <c r="A1683" s="65"/>
      <c r="B1683" s="66"/>
      <c r="C1683" s="68"/>
      <c r="D1683" s="68"/>
      <c r="E1683" s="40"/>
      <c r="F1683" s="40"/>
      <c r="G1683" s="40"/>
      <c r="H1683" s="40"/>
      <c r="I1683" s="40"/>
      <c r="J1683" s="40"/>
      <c r="K1683" s="40"/>
      <c r="L1683" s="40"/>
      <c r="M1683" s="40"/>
      <c r="N1683" s="40"/>
      <c r="O1683" s="40"/>
      <c r="P1683" s="40"/>
      <c r="Q1683" s="40"/>
      <c r="R1683" s="40"/>
      <c r="S1683" s="40"/>
      <c r="T1683" s="40"/>
      <c r="U1683" s="40"/>
      <c r="V1683" s="40"/>
      <c r="W1683" s="40"/>
      <c r="X1683" s="40"/>
      <c r="Y1683" s="40"/>
      <c r="Z1683" s="40"/>
    </row>
    <row r="1684">
      <c r="A1684" s="65"/>
      <c r="B1684" s="66"/>
      <c r="C1684" s="68"/>
      <c r="D1684" s="68"/>
      <c r="E1684" s="40"/>
      <c r="F1684" s="40"/>
      <c r="G1684" s="40"/>
      <c r="H1684" s="40"/>
      <c r="I1684" s="40"/>
      <c r="J1684" s="40"/>
      <c r="K1684" s="40"/>
      <c r="L1684" s="40"/>
      <c r="M1684" s="40"/>
      <c r="N1684" s="40"/>
      <c r="O1684" s="40"/>
      <c r="P1684" s="40"/>
      <c r="Q1684" s="40"/>
      <c r="R1684" s="40"/>
      <c r="S1684" s="40"/>
      <c r="T1684" s="40"/>
      <c r="U1684" s="40"/>
      <c r="V1684" s="40"/>
      <c r="W1684" s="40"/>
      <c r="X1684" s="40"/>
      <c r="Y1684" s="40"/>
      <c r="Z1684" s="40"/>
    </row>
    <row r="1685">
      <c r="A1685" s="65"/>
      <c r="B1685" s="66"/>
      <c r="C1685" s="68"/>
      <c r="D1685" s="68"/>
      <c r="E1685" s="40"/>
      <c r="F1685" s="40"/>
      <c r="G1685" s="40"/>
      <c r="H1685" s="40"/>
      <c r="I1685" s="40"/>
      <c r="J1685" s="40"/>
      <c r="K1685" s="40"/>
      <c r="L1685" s="40"/>
      <c r="M1685" s="40"/>
      <c r="N1685" s="40"/>
      <c r="O1685" s="40"/>
      <c r="P1685" s="40"/>
      <c r="Q1685" s="40"/>
      <c r="R1685" s="40"/>
      <c r="S1685" s="40"/>
      <c r="T1685" s="40"/>
      <c r="U1685" s="40"/>
      <c r="V1685" s="40"/>
      <c r="W1685" s="40"/>
      <c r="X1685" s="40"/>
      <c r="Y1685" s="40"/>
      <c r="Z1685" s="40"/>
    </row>
    <row r="1686">
      <c r="A1686" s="65"/>
      <c r="B1686" s="66"/>
      <c r="C1686" s="68"/>
      <c r="D1686" s="68"/>
      <c r="E1686" s="40"/>
      <c r="F1686" s="40"/>
      <c r="G1686" s="40"/>
      <c r="H1686" s="40"/>
      <c r="I1686" s="40"/>
      <c r="J1686" s="40"/>
      <c r="K1686" s="40"/>
      <c r="L1686" s="40"/>
      <c r="M1686" s="40"/>
      <c r="N1686" s="40"/>
      <c r="O1686" s="40"/>
      <c r="P1686" s="40"/>
      <c r="Q1686" s="40"/>
      <c r="R1686" s="40"/>
      <c r="S1686" s="40"/>
      <c r="T1686" s="40"/>
      <c r="U1686" s="40"/>
      <c r="V1686" s="40"/>
      <c r="W1686" s="40"/>
      <c r="X1686" s="40"/>
      <c r="Y1686" s="40"/>
      <c r="Z1686" s="40"/>
    </row>
    <row r="1687">
      <c r="A1687" s="65"/>
      <c r="B1687" s="66"/>
      <c r="C1687" s="68"/>
      <c r="D1687" s="68"/>
      <c r="E1687" s="40"/>
      <c r="F1687" s="40"/>
      <c r="G1687" s="40"/>
      <c r="H1687" s="40"/>
      <c r="I1687" s="40"/>
      <c r="J1687" s="40"/>
      <c r="K1687" s="40"/>
      <c r="L1687" s="40"/>
      <c r="M1687" s="40"/>
      <c r="N1687" s="40"/>
      <c r="O1687" s="40"/>
      <c r="P1687" s="40"/>
      <c r="Q1687" s="40"/>
      <c r="R1687" s="40"/>
      <c r="S1687" s="40"/>
      <c r="T1687" s="40"/>
      <c r="U1687" s="40"/>
      <c r="V1687" s="40"/>
      <c r="W1687" s="40"/>
      <c r="X1687" s="40"/>
      <c r="Y1687" s="40"/>
      <c r="Z1687" s="40"/>
    </row>
    <row r="1688">
      <c r="A1688" s="65"/>
      <c r="B1688" s="66"/>
      <c r="C1688" s="68"/>
      <c r="D1688" s="68"/>
      <c r="E1688" s="40"/>
      <c r="F1688" s="40"/>
      <c r="G1688" s="40"/>
      <c r="H1688" s="40"/>
      <c r="I1688" s="40"/>
      <c r="J1688" s="40"/>
      <c r="K1688" s="40"/>
      <c r="L1688" s="40"/>
      <c r="M1688" s="40"/>
      <c r="N1688" s="40"/>
      <c r="O1688" s="40"/>
      <c r="P1688" s="40"/>
      <c r="Q1688" s="40"/>
      <c r="R1688" s="40"/>
      <c r="S1688" s="40"/>
      <c r="T1688" s="40"/>
      <c r="U1688" s="40"/>
      <c r="V1688" s="40"/>
      <c r="W1688" s="40"/>
      <c r="X1688" s="40"/>
      <c r="Y1688" s="40"/>
      <c r="Z1688" s="40"/>
    </row>
    <row r="1689">
      <c r="A1689" s="65"/>
      <c r="B1689" s="66"/>
      <c r="C1689" s="68"/>
      <c r="D1689" s="68"/>
      <c r="E1689" s="40"/>
      <c r="F1689" s="40"/>
      <c r="G1689" s="40"/>
      <c r="H1689" s="40"/>
      <c r="I1689" s="40"/>
      <c r="J1689" s="40"/>
      <c r="K1689" s="40"/>
      <c r="L1689" s="40"/>
      <c r="M1689" s="40"/>
      <c r="N1689" s="40"/>
      <c r="O1689" s="40"/>
      <c r="P1689" s="40"/>
      <c r="Q1689" s="40"/>
      <c r="R1689" s="40"/>
      <c r="S1689" s="40"/>
      <c r="T1689" s="40"/>
      <c r="U1689" s="40"/>
      <c r="V1689" s="40"/>
      <c r="W1689" s="40"/>
      <c r="X1689" s="40"/>
      <c r="Y1689" s="40"/>
      <c r="Z1689" s="40"/>
    </row>
    <row r="1690">
      <c r="A1690" s="65"/>
      <c r="B1690" s="66"/>
      <c r="C1690" s="68"/>
      <c r="D1690" s="68"/>
      <c r="E1690" s="40"/>
      <c r="F1690" s="40"/>
      <c r="G1690" s="40"/>
      <c r="H1690" s="40"/>
      <c r="I1690" s="40"/>
      <c r="J1690" s="40"/>
      <c r="K1690" s="40"/>
      <c r="L1690" s="40"/>
      <c r="M1690" s="40"/>
      <c r="N1690" s="40"/>
      <c r="O1690" s="40"/>
      <c r="P1690" s="40"/>
      <c r="Q1690" s="40"/>
      <c r="R1690" s="40"/>
      <c r="S1690" s="40"/>
      <c r="T1690" s="40"/>
      <c r="U1690" s="40"/>
      <c r="V1690" s="40"/>
      <c r="W1690" s="40"/>
      <c r="X1690" s="40"/>
      <c r="Y1690" s="40"/>
      <c r="Z1690" s="40"/>
    </row>
    <row r="1691">
      <c r="A1691" s="65"/>
      <c r="B1691" s="66"/>
      <c r="C1691" s="68"/>
      <c r="D1691" s="68"/>
      <c r="E1691" s="40"/>
      <c r="F1691" s="40"/>
      <c r="G1691" s="40"/>
      <c r="H1691" s="40"/>
      <c r="I1691" s="40"/>
      <c r="J1691" s="40"/>
      <c r="K1691" s="40"/>
      <c r="L1691" s="40"/>
      <c r="M1691" s="40"/>
      <c r="N1691" s="40"/>
      <c r="O1691" s="40"/>
      <c r="P1691" s="40"/>
      <c r="Q1691" s="40"/>
      <c r="R1691" s="40"/>
      <c r="S1691" s="40"/>
      <c r="T1691" s="40"/>
      <c r="U1691" s="40"/>
      <c r="V1691" s="40"/>
      <c r="W1691" s="40"/>
      <c r="X1691" s="40"/>
      <c r="Y1691" s="40"/>
      <c r="Z1691" s="40"/>
    </row>
    <row r="1692">
      <c r="A1692" s="65"/>
      <c r="B1692" s="66"/>
      <c r="C1692" s="68"/>
      <c r="D1692" s="68"/>
      <c r="E1692" s="40"/>
      <c r="F1692" s="40"/>
      <c r="G1692" s="40"/>
      <c r="H1692" s="40"/>
      <c r="I1692" s="40"/>
      <c r="J1692" s="40"/>
      <c r="K1692" s="40"/>
      <c r="L1692" s="40"/>
      <c r="M1692" s="40"/>
      <c r="N1692" s="40"/>
      <c r="O1692" s="40"/>
      <c r="P1692" s="40"/>
      <c r="Q1692" s="40"/>
      <c r="R1692" s="40"/>
      <c r="S1692" s="40"/>
      <c r="T1692" s="40"/>
      <c r="U1692" s="40"/>
      <c r="V1692" s="40"/>
      <c r="W1692" s="40"/>
      <c r="X1692" s="40"/>
      <c r="Y1692" s="40"/>
      <c r="Z1692" s="40"/>
    </row>
    <row r="1693">
      <c r="A1693" s="65"/>
      <c r="B1693" s="66"/>
      <c r="C1693" s="68"/>
      <c r="D1693" s="68"/>
      <c r="E1693" s="40"/>
      <c r="F1693" s="40"/>
      <c r="G1693" s="40"/>
      <c r="H1693" s="40"/>
      <c r="I1693" s="40"/>
      <c r="J1693" s="40"/>
      <c r="K1693" s="40"/>
      <c r="L1693" s="40"/>
      <c r="M1693" s="40"/>
      <c r="N1693" s="40"/>
      <c r="O1693" s="40"/>
      <c r="P1693" s="40"/>
      <c r="Q1693" s="40"/>
      <c r="R1693" s="40"/>
      <c r="S1693" s="40"/>
      <c r="T1693" s="40"/>
      <c r="U1693" s="40"/>
      <c r="V1693" s="40"/>
      <c r="W1693" s="40"/>
      <c r="X1693" s="40"/>
      <c r="Y1693" s="40"/>
      <c r="Z1693" s="40"/>
    </row>
    <row r="1694">
      <c r="A1694" s="65"/>
      <c r="B1694" s="66"/>
      <c r="C1694" s="68"/>
      <c r="D1694" s="68"/>
      <c r="E1694" s="40"/>
      <c r="F1694" s="40"/>
      <c r="G1694" s="40"/>
      <c r="H1694" s="40"/>
      <c r="I1694" s="40"/>
      <c r="J1694" s="40"/>
      <c r="K1694" s="40"/>
      <c r="L1694" s="40"/>
      <c r="M1694" s="40"/>
      <c r="N1694" s="40"/>
      <c r="O1694" s="40"/>
      <c r="P1694" s="40"/>
      <c r="Q1694" s="40"/>
      <c r="R1694" s="40"/>
      <c r="S1694" s="40"/>
      <c r="T1694" s="40"/>
      <c r="U1694" s="40"/>
      <c r="V1694" s="40"/>
      <c r="W1694" s="40"/>
      <c r="X1694" s="40"/>
      <c r="Y1694" s="40"/>
      <c r="Z1694" s="40"/>
    </row>
    <row r="1695">
      <c r="A1695" s="65"/>
      <c r="B1695" s="66"/>
      <c r="C1695" s="68"/>
      <c r="D1695" s="68"/>
      <c r="E1695" s="40"/>
      <c r="F1695" s="40"/>
      <c r="G1695" s="40"/>
      <c r="H1695" s="40"/>
      <c r="I1695" s="40"/>
      <c r="J1695" s="40"/>
      <c r="K1695" s="40"/>
      <c r="L1695" s="40"/>
      <c r="M1695" s="40"/>
      <c r="N1695" s="40"/>
      <c r="O1695" s="40"/>
      <c r="P1695" s="40"/>
      <c r="Q1695" s="40"/>
      <c r="R1695" s="40"/>
      <c r="S1695" s="40"/>
      <c r="T1695" s="40"/>
      <c r="U1695" s="40"/>
      <c r="V1695" s="40"/>
      <c r="W1695" s="40"/>
      <c r="X1695" s="40"/>
      <c r="Y1695" s="40"/>
      <c r="Z1695" s="40"/>
    </row>
    <row r="1696">
      <c r="A1696" s="65"/>
      <c r="B1696" s="66"/>
      <c r="C1696" s="68"/>
      <c r="D1696" s="68"/>
      <c r="E1696" s="40"/>
      <c r="F1696" s="40"/>
      <c r="G1696" s="40"/>
      <c r="H1696" s="40"/>
      <c r="I1696" s="40"/>
      <c r="J1696" s="40"/>
      <c r="K1696" s="40"/>
      <c r="L1696" s="40"/>
      <c r="M1696" s="40"/>
      <c r="N1696" s="40"/>
      <c r="O1696" s="40"/>
      <c r="P1696" s="40"/>
      <c r="Q1696" s="40"/>
      <c r="R1696" s="40"/>
      <c r="S1696" s="40"/>
      <c r="T1696" s="40"/>
      <c r="U1696" s="40"/>
      <c r="V1696" s="40"/>
      <c r="W1696" s="40"/>
      <c r="X1696" s="40"/>
      <c r="Y1696" s="40"/>
      <c r="Z1696" s="40"/>
    </row>
    <row r="1697">
      <c r="A1697" s="65"/>
      <c r="B1697" s="66"/>
      <c r="C1697" s="68"/>
      <c r="D1697" s="68"/>
      <c r="E1697" s="40"/>
      <c r="F1697" s="40"/>
      <c r="G1697" s="40"/>
      <c r="H1697" s="40"/>
      <c r="I1697" s="40"/>
      <c r="J1697" s="40"/>
      <c r="K1697" s="40"/>
      <c r="L1697" s="40"/>
      <c r="M1697" s="40"/>
      <c r="N1697" s="40"/>
      <c r="O1697" s="40"/>
      <c r="P1697" s="40"/>
      <c r="Q1697" s="40"/>
      <c r="R1697" s="40"/>
      <c r="S1697" s="40"/>
      <c r="T1697" s="40"/>
      <c r="U1697" s="40"/>
      <c r="V1697" s="40"/>
      <c r="W1697" s="40"/>
      <c r="X1697" s="40"/>
      <c r="Y1697" s="40"/>
      <c r="Z1697" s="40"/>
    </row>
    <row r="1698">
      <c r="A1698" s="65"/>
      <c r="B1698" s="66"/>
      <c r="C1698" s="68"/>
      <c r="D1698" s="68"/>
      <c r="E1698" s="40"/>
      <c r="F1698" s="40"/>
      <c r="G1698" s="40"/>
      <c r="H1698" s="40"/>
      <c r="I1698" s="40"/>
      <c r="J1698" s="40"/>
      <c r="K1698" s="40"/>
      <c r="L1698" s="40"/>
      <c r="M1698" s="40"/>
      <c r="N1698" s="40"/>
      <c r="O1698" s="40"/>
      <c r="P1698" s="40"/>
      <c r="Q1698" s="40"/>
      <c r="R1698" s="40"/>
      <c r="S1698" s="40"/>
      <c r="T1698" s="40"/>
      <c r="U1698" s="40"/>
      <c r="V1698" s="40"/>
      <c r="W1698" s="40"/>
      <c r="X1698" s="40"/>
      <c r="Y1698" s="40"/>
      <c r="Z1698" s="40"/>
    </row>
    <row r="1699">
      <c r="A1699" s="65"/>
      <c r="B1699" s="66"/>
      <c r="C1699" s="68"/>
      <c r="D1699" s="68"/>
      <c r="E1699" s="40"/>
      <c r="F1699" s="40"/>
      <c r="G1699" s="40"/>
      <c r="H1699" s="40"/>
      <c r="I1699" s="40"/>
      <c r="J1699" s="40"/>
      <c r="K1699" s="40"/>
      <c r="L1699" s="40"/>
      <c r="M1699" s="40"/>
      <c r="N1699" s="40"/>
      <c r="O1699" s="40"/>
      <c r="P1699" s="40"/>
      <c r="Q1699" s="40"/>
      <c r="R1699" s="40"/>
      <c r="S1699" s="40"/>
      <c r="T1699" s="40"/>
      <c r="U1699" s="40"/>
      <c r="V1699" s="40"/>
      <c r="W1699" s="40"/>
      <c r="X1699" s="40"/>
      <c r="Y1699" s="40"/>
      <c r="Z1699" s="40"/>
    </row>
    <row r="1700">
      <c r="A1700" s="65"/>
      <c r="B1700" s="66"/>
      <c r="C1700" s="68"/>
      <c r="D1700" s="68"/>
      <c r="E1700" s="40"/>
      <c r="F1700" s="40"/>
      <c r="G1700" s="40"/>
      <c r="H1700" s="40"/>
      <c r="I1700" s="40"/>
      <c r="J1700" s="40"/>
      <c r="K1700" s="40"/>
      <c r="L1700" s="40"/>
      <c r="M1700" s="40"/>
      <c r="N1700" s="40"/>
      <c r="O1700" s="40"/>
      <c r="P1700" s="40"/>
      <c r="Q1700" s="40"/>
      <c r="R1700" s="40"/>
      <c r="S1700" s="40"/>
      <c r="T1700" s="40"/>
      <c r="U1700" s="40"/>
      <c r="V1700" s="40"/>
      <c r="W1700" s="40"/>
      <c r="X1700" s="40"/>
      <c r="Y1700" s="40"/>
      <c r="Z1700" s="40"/>
    </row>
    <row r="1701">
      <c r="A1701" s="65"/>
      <c r="B1701" s="66"/>
      <c r="C1701" s="68"/>
      <c r="D1701" s="68"/>
      <c r="E1701" s="40"/>
      <c r="F1701" s="40"/>
      <c r="G1701" s="40"/>
      <c r="H1701" s="40"/>
      <c r="I1701" s="40"/>
      <c r="J1701" s="40"/>
      <c r="K1701" s="40"/>
      <c r="L1701" s="40"/>
      <c r="M1701" s="40"/>
      <c r="N1701" s="40"/>
      <c r="O1701" s="40"/>
      <c r="P1701" s="40"/>
      <c r="Q1701" s="40"/>
      <c r="R1701" s="40"/>
      <c r="S1701" s="40"/>
      <c r="T1701" s="40"/>
      <c r="U1701" s="40"/>
      <c r="V1701" s="40"/>
      <c r="W1701" s="40"/>
      <c r="X1701" s="40"/>
      <c r="Y1701" s="40"/>
      <c r="Z1701" s="40"/>
    </row>
    <row r="1702">
      <c r="A1702" s="65"/>
      <c r="B1702" s="66"/>
      <c r="C1702" s="68"/>
      <c r="D1702" s="68"/>
      <c r="E1702" s="40"/>
      <c r="F1702" s="40"/>
      <c r="G1702" s="40"/>
      <c r="H1702" s="40"/>
      <c r="I1702" s="40"/>
      <c r="J1702" s="40"/>
      <c r="K1702" s="40"/>
      <c r="L1702" s="40"/>
      <c r="M1702" s="40"/>
      <c r="N1702" s="40"/>
      <c r="O1702" s="40"/>
      <c r="P1702" s="40"/>
      <c r="Q1702" s="40"/>
      <c r="R1702" s="40"/>
      <c r="S1702" s="40"/>
      <c r="T1702" s="40"/>
      <c r="U1702" s="40"/>
      <c r="V1702" s="40"/>
      <c r="W1702" s="40"/>
      <c r="X1702" s="40"/>
      <c r="Y1702" s="40"/>
      <c r="Z1702" s="40"/>
    </row>
    <row r="1703">
      <c r="A1703" s="65"/>
      <c r="B1703" s="66"/>
      <c r="C1703" s="68"/>
      <c r="D1703" s="68"/>
      <c r="E1703" s="40"/>
      <c r="F1703" s="40"/>
      <c r="G1703" s="40"/>
      <c r="H1703" s="40"/>
      <c r="I1703" s="40"/>
      <c r="J1703" s="40"/>
      <c r="K1703" s="40"/>
      <c r="L1703" s="40"/>
      <c r="M1703" s="40"/>
      <c r="N1703" s="40"/>
      <c r="O1703" s="40"/>
      <c r="P1703" s="40"/>
      <c r="Q1703" s="40"/>
      <c r="R1703" s="40"/>
      <c r="S1703" s="40"/>
      <c r="T1703" s="40"/>
      <c r="U1703" s="40"/>
      <c r="V1703" s="40"/>
      <c r="W1703" s="40"/>
      <c r="X1703" s="40"/>
      <c r="Y1703" s="40"/>
      <c r="Z1703" s="40"/>
    </row>
    <row r="1704">
      <c r="A1704" s="65"/>
      <c r="B1704" s="66"/>
      <c r="C1704" s="68"/>
      <c r="D1704" s="68"/>
      <c r="E1704" s="40"/>
      <c r="F1704" s="40"/>
      <c r="G1704" s="40"/>
      <c r="H1704" s="40"/>
      <c r="I1704" s="40"/>
      <c r="J1704" s="40"/>
      <c r="K1704" s="40"/>
      <c r="L1704" s="40"/>
      <c r="M1704" s="40"/>
      <c r="N1704" s="40"/>
      <c r="O1704" s="40"/>
      <c r="P1704" s="40"/>
      <c r="Q1704" s="40"/>
      <c r="R1704" s="40"/>
      <c r="S1704" s="40"/>
      <c r="T1704" s="40"/>
      <c r="U1704" s="40"/>
      <c r="V1704" s="40"/>
      <c r="W1704" s="40"/>
      <c r="X1704" s="40"/>
      <c r="Y1704" s="40"/>
      <c r="Z1704" s="40"/>
    </row>
    <row r="1705">
      <c r="A1705" s="65"/>
      <c r="B1705" s="66"/>
      <c r="C1705" s="68"/>
      <c r="D1705" s="68"/>
      <c r="E1705" s="40"/>
      <c r="F1705" s="40"/>
      <c r="G1705" s="40"/>
      <c r="H1705" s="40"/>
      <c r="I1705" s="40"/>
      <c r="J1705" s="40"/>
      <c r="K1705" s="40"/>
      <c r="L1705" s="40"/>
      <c r="M1705" s="40"/>
      <c r="N1705" s="40"/>
      <c r="O1705" s="40"/>
      <c r="P1705" s="40"/>
      <c r="Q1705" s="40"/>
      <c r="R1705" s="40"/>
      <c r="S1705" s="40"/>
      <c r="T1705" s="40"/>
      <c r="U1705" s="40"/>
      <c r="V1705" s="40"/>
      <c r="W1705" s="40"/>
      <c r="X1705" s="40"/>
      <c r="Y1705" s="40"/>
      <c r="Z1705" s="40"/>
    </row>
    <row r="1706">
      <c r="A1706" s="65"/>
      <c r="B1706" s="66"/>
      <c r="C1706" s="68"/>
      <c r="D1706" s="68"/>
      <c r="E1706" s="40"/>
      <c r="F1706" s="40"/>
      <c r="G1706" s="40"/>
      <c r="H1706" s="40"/>
      <c r="I1706" s="40"/>
      <c r="J1706" s="40"/>
      <c r="K1706" s="40"/>
      <c r="L1706" s="40"/>
      <c r="M1706" s="40"/>
      <c r="N1706" s="40"/>
      <c r="O1706" s="40"/>
      <c r="P1706" s="40"/>
      <c r="Q1706" s="40"/>
      <c r="R1706" s="40"/>
      <c r="S1706" s="40"/>
      <c r="T1706" s="40"/>
      <c r="U1706" s="40"/>
      <c r="V1706" s="40"/>
      <c r="W1706" s="40"/>
      <c r="X1706" s="40"/>
      <c r="Y1706" s="40"/>
      <c r="Z1706" s="40"/>
    </row>
    <row r="1707">
      <c r="A1707" s="65"/>
      <c r="B1707" s="66"/>
      <c r="C1707" s="68"/>
      <c r="D1707" s="68"/>
      <c r="E1707" s="40"/>
      <c r="F1707" s="40"/>
      <c r="G1707" s="40"/>
      <c r="H1707" s="40"/>
      <c r="I1707" s="40"/>
      <c r="J1707" s="40"/>
      <c r="K1707" s="40"/>
      <c r="L1707" s="40"/>
      <c r="M1707" s="40"/>
      <c r="N1707" s="40"/>
      <c r="O1707" s="40"/>
      <c r="P1707" s="40"/>
      <c r="Q1707" s="40"/>
      <c r="R1707" s="40"/>
      <c r="S1707" s="40"/>
      <c r="T1707" s="40"/>
      <c r="U1707" s="40"/>
      <c r="V1707" s="40"/>
      <c r="W1707" s="40"/>
      <c r="X1707" s="40"/>
      <c r="Y1707" s="40"/>
      <c r="Z1707" s="40"/>
    </row>
    <row r="1708">
      <c r="A1708" s="65"/>
      <c r="B1708" s="66"/>
      <c r="C1708" s="68"/>
      <c r="D1708" s="68"/>
      <c r="E1708" s="40"/>
      <c r="F1708" s="40"/>
      <c r="G1708" s="40"/>
      <c r="H1708" s="40"/>
      <c r="I1708" s="40"/>
      <c r="J1708" s="40"/>
      <c r="K1708" s="40"/>
      <c r="L1708" s="40"/>
      <c r="M1708" s="40"/>
      <c r="N1708" s="40"/>
      <c r="O1708" s="40"/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0"/>
    </row>
    <row r="1709">
      <c r="A1709" s="65"/>
      <c r="B1709" s="66"/>
      <c r="C1709" s="68"/>
      <c r="D1709" s="68"/>
      <c r="E1709" s="40"/>
      <c r="F1709" s="40"/>
      <c r="G1709" s="40"/>
      <c r="H1709" s="40"/>
      <c r="I1709" s="40"/>
      <c r="J1709" s="40"/>
      <c r="K1709" s="40"/>
      <c r="L1709" s="40"/>
      <c r="M1709" s="40"/>
      <c r="N1709" s="40"/>
      <c r="O1709" s="40"/>
      <c r="P1709" s="40"/>
      <c r="Q1709" s="40"/>
      <c r="R1709" s="40"/>
      <c r="S1709" s="40"/>
      <c r="T1709" s="40"/>
      <c r="U1709" s="40"/>
      <c r="V1709" s="40"/>
      <c r="W1709" s="40"/>
      <c r="X1709" s="40"/>
      <c r="Y1709" s="40"/>
      <c r="Z1709" s="40"/>
    </row>
    <row r="1710">
      <c r="A1710" s="65"/>
      <c r="B1710" s="66"/>
      <c r="C1710" s="68"/>
      <c r="D1710" s="68"/>
      <c r="E1710" s="40"/>
      <c r="F1710" s="40"/>
      <c r="G1710" s="40"/>
      <c r="H1710" s="40"/>
      <c r="I1710" s="40"/>
      <c r="J1710" s="40"/>
      <c r="K1710" s="40"/>
      <c r="L1710" s="40"/>
      <c r="M1710" s="40"/>
      <c r="N1710" s="40"/>
      <c r="O1710" s="40"/>
      <c r="P1710" s="40"/>
      <c r="Q1710" s="40"/>
      <c r="R1710" s="40"/>
      <c r="S1710" s="40"/>
      <c r="T1710" s="40"/>
      <c r="U1710" s="40"/>
      <c r="V1710" s="40"/>
      <c r="W1710" s="40"/>
      <c r="X1710" s="40"/>
      <c r="Y1710" s="40"/>
      <c r="Z1710" s="40"/>
    </row>
    <row r="1711">
      <c r="A1711" s="65"/>
      <c r="B1711" s="66"/>
      <c r="C1711" s="68"/>
      <c r="D1711" s="68"/>
      <c r="E1711" s="40"/>
      <c r="F1711" s="40"/>
      <c r="G1711" s="40"/>
      <c r="H1711" s="40"/>
      <c r="I1711" s="40"/>
      <c r="J1711" s="40"/>
      <c r="K1711" s="40"/>
      <c r="L1711" s="40"/>
      <c r="M1711" s="40"/>
      <c r="N1711" s="40"/>
      <c r="O1711" s="40"/>
      <c r="P1711" s="40"/>
      <c r="Q1711" s="40"/>
      <c r="R1711" s="40"/>
      <c r="S1711" s="40"/>
      <c r="T1711" s="40"/>
      <c r="U1711" s="40"/>
      <c r="V1711" s="40"/>
      <c r="W1711" s="40"/>
      <c r="X1711" s="40"/>
      <c r="Y1711" s="40"/>
      <c r="Z1711" s="40"/>
    </row>
    <row r="1712">
      <c r="A1712" s="65"/>
      <c r="B1712" s="66"/>
      <c r="C1712" s="68"/>
      <c r="D1712" s="68"/>
      <c r="E1712" s="40"/>
      <c r="F1712" s="40"/>
      <c r="G1712" s="40"/>
      <c r="H1712" s="40"/>
      <c r="I1712" s="40"/>
      <c r="J1712" s="40"/>
      <c r="K1712" s="40"/>
      <c r="L1712" s="40"/>
      <c r="M1712" s="40"/>
      <c r="N1712" s="40"/>
      <c r="O1712" s="40"/>
      <c r="P1712" s="40"/>
      <c r="Q1712" s="40"/>
      <c r="R1712" s="40"/>
      <c r="S1712" s="40"/>
      <c r="T1712" s="40"/>
      <c r="U1712" s="40"/>
      <c r="V1712" s="40"/>
      <c r="W1712" s="40"/>
      <c r="X1712" s="40"/>
      <c r="Y1712" s="40"/>
      <c r="Z1712" s="40"/>
    </row>
    <row r="1713">
      <c r="A1713" s="65"/>
      <c r="B1713" s="66"/>
      <c r="C1713" s="68"/>
      <c r="D1713" s="68"/>
      <c r="E1713" s="40"/>
      <c r="F1713" s="40"/>
      <c r="G1713" s="40"/>
      <c r="H1713" s="40"/>
      <c r="I1713" s="40"/>
      <c r="J1713" s="40"/>
      <c r="K1713" s="40"/>
      <c r="L1713" s="40"/>
      <c r="M1713" s="40"/>
      <c r="N1713" s="40"/>
      <c r="O1713" s="40"/>
      <c r="P1713" s="40"/>
      <c r="Q1713" s="40"/>
      <c r="R1713" s="40"/>
      <c r="S1713" s="40"/>
      <c r="T1713" s="40"/>
      <c r="U1713" s="40"/>
      <c r="V1713" s="40"/>
      <c r="W1713" s="40"/>
      <c r="X1713" s="40"/>
      <c r="Y1713" s="40"/>
      <c r="Z1713" s="40"/>
    </row>
    <row r="1714">
      <c r="A1714" s="65"/>
      <c r="B1714" s="66"/>
      <c r="C1714" s="68"/>
      <c r="D1714" s="68"/>
      <c r="E1714" s="40"/>
      <c r="F1714" s="40"/>
      <c r="G1714" s="40"/>
      <c r="H1714" s="40"/>
      <c r="I1714" s="40"/>
      <c r="J1714" s="40"/>
      <c r="K1714" s="40"/>
      <c r="L1714" s="40"/>
      <c r="M1714" s="40"/>
      <c r="N1714" s="40"/>
      <c r="O1714" s="40"/>
      <c r="P1714" s="40"/>
      <c r="Q1714" s="40"/>
      <c r="R1714" s="40"/>
      <c r="S1714" s="40"/>
      <c r="T1714" s="40"/>
      <c r="U1714" s="40"/>
      <c r="V1714" s="40"/>
      <c r="W1714" s="40"/>
      <c r="X1714" s="40"/>
      <c r="Y1714" s="40"/>
      <c r="Z1714" s="40"/>
    </row>
    <row r="1715">
      <c r="A1715" s="65"/>
      <c r="B1715" s="66"/>
      <c r="C1715" s="68"/>
      <c r="D1715" s="68"/>
      <c r="E1715" s="40"/>
      <c r="F1715" s="40"/>
      <c r="G1715" s="40"/>
      <c r="H1715" s="40"/>
      <c r="I1715" s="40"/>
      <c r="J1715" s="40"/>
      <c r="K1715" s="40"/>
      <c r="L1715" s="40"/>
      <c r="M1715" s="40"/>
      <c r="N1715" s="40"/>
      <c r="O1715" s="40"/>
      <c r="P1715" s="40"/>
      <c r="Q1715" s="40"/>
      <c r="R1715" s="40"/>
      <c r="S1715" s="40"/>
      <c r="T1715" s="40"/>
      <c r="U1715" s="40"/>
      <c r="V1715" s="40"/>
      <c r="W1715" s="40"/>
      <c r="X1715" s="40"/>
      <c r="Y1715" s="40"/>
      <c r="Z1715" s="40"/>
    </row>
    <row r="1716">
      <c r="A1716" s="65"/>
      <c r="B1716" s="66"/>
      <c r="C1716" s="68"/>
      <c r="D1716" s="68"/>
      <c r="E1716" s="40"/>
      <c r="F1716" s="40"/>
      <c r="G1716" s="40"/>
      <c r="H1716" s="40"/>
      <c r="I1716" s="40"/>
      <c r="J1716" s="40"/>
      <c r="K1716" s="40"/>
      <c r="L1716" s="40"/>
      <c r="M1716" s="40"/>
      <c r="N1716" s="40"/>
      <c r="O1716" s="40"/>
      <c r="P1716" s="40"/>
      <c r="Q1716" s="40"/>
      <c r="R1716" s="40"/>
      <c r="S1716" s="40"/>
      <c r="T1716" s="40"/>
      <c r="U1716" s="40"/>
      <c r="V1716" s="40"/>
      <c r="W1716" s="40"/>
      <c r="X1716" s="40"/>
      <c r="Y1716" s="40"/>
      <c r="Z1716" s="40"/>
    </row>
    <row r="1717">
      <c r="A1717" s="65"/>
      <c r="B1717" s="66"/>
      <c r="C1717" s="68"/>
      <c r="D1717" s="68"/>
      <c r="E1717" s="40"/>
      <c r="F1717" s="40"/>
      <c r="G1717" s="40"/>
      <c r="H1717" s="40"/>
      <c r="I1717" s="40"/>
      <c r="J1717" s="40"/>
      <c r="K1717" s="40"/>
      <c r="L1717" s="40"/>
      <c r="M1717" s="40"/>
      <c r="N1717" s="40"/>
      <c r="O1717" s="40"/>
      <c r="P1717" s="40"/>
      <c r="Q1717" s="40"/>
      <c r="R1717" s="40"/>
      <c r="S1717" s="40"/>
      <c r="T1717" s="40"/>
      <c r="U1717" s="40"/>
      <c r="V1717" s="40"/>
      <c r="W1717" s="40"/>
      <c r="X1717" s="40"/>
      <c r="Y1717" s="40"/>
      <c r="Z1717" s="40"/>
    </row>
    <row r="1718">
      <c r="A1718" s="65"/>
      <c r="B1718" s="66"/>
      <c r="C1718" s="68"/>
      <c r="D1718" s="68"/>
      <c r="E1718" s="40"/>
      <c r="F1718" s="40"/>
      <c r="G1718" s="40"/>
      <c r="H1718" s="40"/>
      <c r="I1718" s="40"/>
      <c r="J1718" s="40"/>
      <c r="K1718" s="40"/>
      <c r="L1718" s="40"/>
      <c r="M1718" s="40"/>
      <c r="N1718" s="40"/>
      <c r="O1718" s="40"/>
      <c r="P1718" s="40"/>
      <c r="Q1718" s="40"/>
      <c r="R1718" s="40"/>
      <c r="S1718" s="40"/>
      <c r="T1718" s="40"/>
      <c r="U1718" s="40"/>
      <c r="V1718" s="40"/>
      <c r="W1718" s="40"/>
      <c r="X1718" s="40"/>
      <c r="Y1718" s="40"/>
      <c r="Z1718" s="40"/>
    </row>
    <row r="1719">
      <c r="A1719" s="65"/>
      <c r="B1719" s="66"/>
      <c r="C1719" s="68"/>
      <c r="D1719" s="68"/>
      <c r="E1719" s="40"/>
      <c r="F1719" s="40"/>
      <c r="G1719" s="40"/>
      <c r="H1719" s="40"/>
      <c r="I1719" s="40"/>
      <c r="J1719" s="40"/>
      <c r="K1719" s="40"/>
      <c r="L1719" s="40"/>
      <c r="M1719" s="40"/>
      <c r="N1719" s="40"/>
      <c r="O1719" s="40"/>
      <c r="P1719" s="40"/>
      <c r="Q1719" s="40"/>
      <c r="R1719" s="40"/>
      <c r="S1719" s="40"/>
      <c r="T1719" s="40"/>
      <c r="U1719" s="40"/>
      <c r="V1719" s="40"/>
      <c r="W1719" s="40"/>
      <c r="X1719" s="40"/>
      <c r="Y1719" s="40"/>
      <c r="Z1719" s="40"/>
    </row>
    <row r="1720">
      <c r="A1720" s="65"/>
      <c r="B1720" s="66"/>
      <c r="C1720" s="68"/>
      <c r="D1720" s="68"/>
      <c r="E1720" s="40"/>
      <c r="F1720" s="40"/>
      <c r="G1720" s="40"/>
      <c r="H1720" s="40"/>
      <c r="I1720" s="40"/>
      <c r="J1720" s="40"/>
      <c r="K1720" s="40"/>
      <c r="L1720" s="40"/>
      <c r="M1720" s="40"/>
      <c r="N1720" s="40"/>
      <c r="O1720" s="40"/>
      <c r="P1720" s="40"/>
      <c r="Q1720" s="40"/>
      <c r="R1720" s="40"/>
      <c r="S1720" s="40"/>
      <c r="T1720" s="40"/>
      <c r="U1720" s="40"/>
      <c r="V1720" s="40"/>
      <c r="W1720" s="40"/>
      <c r="X1720" s="40"/>
      <c r="Y1720" s="40"/>
      <c r="Z1720" s="40"/>
    </row>
    <row r="1721">
      <c r="A1721" s="65"/>
      <c r="B1721" s="66"/>
      <c r="C1721" s="68"/>
      <c r="D1721" s="68"/>
      <c r="E1721" s="40"/>
      <c r="F1721" s="40"/>
      <c r="G1721" s="40"/>
      <c r="H1721" s="40"/>
      <c r="I1721" s="40"/>
      <c r="J1721" s="40"/>
      <c r="K1721" s="40"/>
      <c r="L1721" s="40"/>
      <c r="M1721" s="40"/>
      <c r="N1721" s="40"/>
      <c r="O1721" s="40"/>
      <c r="P1721" s="40"/>
      <c r="Q1721" s="40"/>
      <c r="R1721" s="40"/>
      <c r="S1721" s="40"/>
      <c r="T1721" s="40"/>
      <c r="U1721" s="40"/>
      <c r="V1721" s="40"/>
      <c r="W1721" s="40"/>
      <c r="X1721" s="40"/>
      <c r="Y1721" s="40"/>
      <c r="Z1721" s="40"/>
    </row>
    <row r="1722">
      <c r="A1722" s="65"/>
      <c r="B1722" s="66"/>
      <c r="C1722" s="68"/>
      <c r="D1722" s="68"/>
      <c r="E1722" s="40"/>
      <c r="F1722" s="40"/>
      <c r="G1722" s="40"/>
      <c r="H1722" s="40"/>
      <c r="I1722" s="40"/>
      <c r="J1722" s="40"/>
      <c r="K1722" s="40"/>
      <c r="L1722" s="40"/>
      <c r="M1722" s="40"/>
      <c r="N1722" s="40"/>
      <c r="O1722" s="40"/>
      <c r="P1722" s="40"/>
      <c r="Q1722" s="40"/>
      <c r="R1722" s="40"/>
      <c r="S1722" s="40"/>
      <c r="T1722" s="40"/>
      <c r="U1722" s="40"/>
      <c r="V1722" s="40"/>
      <c r="W1722" s="40"/>
      <c r="X1722" s="40"/>
      <c r="Y1722" s="40"/>
      <c r="Z1722" s="40"/>
    </row>
    <row r="1723">
      <c r="A1723" s="65"/>
      <c r="B1723" s="66"/>
      <c r="C1723" s="68"/>
      <c r="D1723" s="68"/>
      <c r="E1723" s="40"/>
      <c r="F1723" s="40"/>
      <c r="G1723" s="40"/>
      <c r="H1723" s="40"/>
      <c r="I1723" s="40"/>
      <c r="J1723" s="40"/>
      <c r="K1723" s="40"/>
      <c r="L1723" s="40"/>
      <c r="M1723" s="40"/>
      <c r="N1723" s="40"/>
      <c r="O1723" s="40"/>
      <c r="P1723" s="40"/>
      <c r="Q1723" s="40"/>
      <c r="R1723" s="40"/>
      <c r="S1723" s="40"/>
      <c r="T1723" s="40"/>
      <c r="U1723" s="40"/>
      <c r="V1723" s="40"/>
      <c r="W1723" s="40"/>
      <c r="X1723" s="40"/>
      <c r="Y1723" s="40"/>
      <c r="Z1723" s="40"/>
    </row>
    <row r="1724">
      <c r="A1724" s="65"/>
      <c r="B1724" s="66"/>
      <c r="C1724" s="68"/>
      <c r="D1724" s="68"/>
      <c r="E1724" s="40"/>
      <c r="F1724" s="40"/>
      <c r="G1724" s="40"/>
      <c r="H1724" s="40"/>
      <c r="I1724" s="40"/>
      <c r="J1724" s="40"/>
      <c r="K1724" s="40"/>
      <c r="L1724" s="40"/>
      <c r="M1724" s="40"/>
      <c r="N1724" s="40"/>
      <c r="O1724" s="40"/>
      <c r="P1724" s="40"/>
      <c r="Q1724" s="40"/>
      <c r="R1724" s="40"/>
      <c r="S1724" s="40"/>
      <c r="T1724" s="40"/>
      <c r="U1724" s="40"/>
      <c r="V1724" s="40"/>
      <c r="W1724" s="40"/>
      <c r="X1724" s="40"/>
      <c r="Y1724" s="40"/>
      <c r="Z1724" s="40"/>
    </row>
    <row r="1725">
      <c r="A1725" s="65"/>
      <c r="B1725" s="66"/>
      <c r="C1725" s="68"/>
      <c r="D1725" s="68"/>
      <c r="E1725" s="40"/>
      <c r="F1725" s="40"/>
      <c r="G1725" s="40"/>
      <c r="H1725" s="40"/>
      <c r="I1725" s="40"/>
      <c r="J1725" s="40"/>
      <c r="K1725" s="40"/>
      <c r="L1725" s="40"/>
      <c r="M1725" s="40"/>
      <c r="N1725" s="40"/>
      <c r="O1725" s="40"/>
      <c r="P1725" s="40"/>
      <c r="Q1725" s="40"/>
      <c r="R1725" s="40"/>
      <c r="S1725" s="40"/>
      <c r="T1725" s="40"/>
      <c r="U1725" s="40"/>
      <c r="V1725" s="40"/>
      <c r="W1725" s="40"/>
      <c r="X1725" s="40"/>
      <c r="Y1725" s="40"/>
      <c r="Z1725" s="40"/>
    </row>
    <row r="1726">
      <c r="A1726" s="65"/>
      <c r="B1726" s="66"/>
      <c r="C1726" s="68"/>
      <c r="D1726" s="68"/>
      <c r="E1726" s="40"/>
      <c r="F1726" s="40"/>
      <c r="G1726" s="40"/>
      <c r="H1726" s="40"/>
      <c r="I1726" s="40"/>
      <c r="J1726" s="40"/>
      <c r="K1726" s="40"/>
      <c r="L1726" s="40"/>
      <c r="M1726" s="40"/>
      <c r="N1726" s="40"/>
      <c r="O1726" s="40"/>
      <c r="P1726" s="40"/>
      <c r="Q1726" s="40"/>
      <c r="R1726" s="40"/>
      <c r="S1726" s="40"/>
      <c r="T1726" s="40"/>
      <c r="U1726" s="40"/>
      <c r="V1726" s="40"/>
      <c r="W1726" s="40"/>
      <c r="X1726" s="40"/>
      <c r="Y1726" s="40"/>
      <c r="Z1726" s="40"/>
    </row>
    <row r="1727">
      <c r="A1727" s="65"/>
      <c r="B1727" s="66"/>
      <c r="C1727" s="68"/>
      <c r="D1727" s="68"/>
      <c r="E1727" s="40"/>
      <c r="F1727" s="40"/>
      <c r="G1727" s="40"/>
      <c r="H1727" s="40"/>
      <c r="I1727" s="40"/>
      <c r="J1727" s="40"/>
      <c r="K1727" s="40"/>
      <c r="L1727" s="40"/>
      <c r="M1727" s="40"/>
      <c r="N1727" s="40"/>
      <c r="O1727" s="40"/>
      <c r="P1727" s="40"/>
      <c r="Q1727" s="40"/>
      <c r="R1727" s="40"/>
      <c r="S1727" s="40"/>
      <c r="T1727" s="40"/>
      <c r="U1727" s="40"/>
      <c r="V1727" s="40"/>
      <c r="W1727" s="40"/>
      <c r="X1727" s="40"/>
      <c r="Y1727" s="40"/>
      <c r="Z1727" s="40"/>
    </row>
    <row r="1728">
      <c r="A1728" s="65"/>
      <c r="B1728" s="66"/>
      <c r="C1728" s="68"/>
      <c r="D1728" s="68"/>
      <c r="E1728" s="40"/>
      <c r="F1728" s="40"/>
      <c r="G1728" s="40"/>
      <c r="H1728" s="40"/>
      <c r="I1728" s="40"/>
      <c r="J1728" s="40"/>
      <c r="K1728" s="40"/>
      <c r="L1728" s="40"/>
      <c r="M1728" s="40"/>
      <c r="N1728" s="40"/>
      <c r="O1728" s="40"/>
      <c r="P1728" s="40"/>
      <c r="Q1728" s="40"/>
      <c r="R1728" s="40"/>
      <c r="S1728" s="40"/>
      <c r="T1728" s="40"/>
      <c r="U1728" s="40"/>
      <c r="V1728" s="40"/>
      <c r="W1728" s="40"/>
      <c r="X1728" s="40"/>
      <c r="Y1728" s="40"/>
      <c r="Z1728" s="40"/>
    </row>
    <row r="1729">
      <c r="A1729" s="65"/>
      <c r="B1729" s="66"/>
      <c r="C1729" s="68"/>
      <c r="D1729" s="68"/>
      <c r="E1729" s="40"/>
      <c r="F1729" s="40"/>
      <c r="G1729" s="40"/>
      <c r="H1729" s="40"/>
      <c r="I1729" s="40"/>
      <c r="J1729" s="40"/>
      <c r="K1729" s="40"/>
      <c r="L1729" s="40"/>
      <c r="M1729" s="40"/>
      <c r="N1729" s="40"/>
      <c r="O1729" s="40"/>
      <c r="P1729" s="40"/>
      <c r="Q1729" s="40"/>
      <c r="R1729" s="40"/>
      <c r="S1729" s="40"/>
      <c r="T1729" s="40"/>
      <c r="U1729" s="40"/>
      <c r="V1729" s="40"/>
      <c r="W1729" s="40"/>
      <c r="X1729" s="40"/>
      <c r="Y1729" s="40"/>
      <c r="Z1729" s="40"/>
    </row>
    <row r="1730">
      <c r="A1730" s="65"/>
      <c r="B1730" s="66"/>
      <c r="C1730" s="68"/>
      <c r="D1730" s="68"/>
      <c r="E1730" s="40"/>
      <c r="F1730" s="40"/>
      <c r="G1730" s="40"/>
      <c r="H1730" s="40"/>
      <c r="I1730" s="40"/>
      <c r="J1730" s="40"/>
      <c r="K1730" s="40"/>
      <c r="L1730" s="40"/>
      <c r="M1730" s="40"/>
      <c r="N1730" s="40"/>
      <c r="O1730" s="40"/>
      <c r="P1730" s="40"/>
      <c r="Q1730" s="40"/>
      <c r="R1730" s="40"/>
      <c r="S1730" s="40"/>
      <c r="T1730" s="40"/>
      <c r="U1730" s="40"/>
      <c r="V1730" s="40"/>
      <c r="W1730" s="40"/>
      <c r="X1730" s="40"/>
      <c r="Y1730" s="40"/>
      <c r="Z1730" s="40"/>
    </row>
    <row r="1731">
      <c r="A1731" s="65"/>
      <c r="B1731" s="66"/>
      <c r="C1731" s="68"/>
      <c r="D1731" s="68"/>
      <c r="E1731" s="40"/>
      <c r="F1731" s="40"/>
      <c r="G1731" s="40"/>
      <c r="H1731" s="40"/>
      <c r="I1731" s="40"/>
      <c r="J1731" s="40"/>
      <c r="K1731" s="40"/>
      <c r="L1731" s="40"/>
      <c r="M1731" s="40"/>
      <c r="N1731" s="40"/>
      <c r="O1731" s="40"/>
      <c r="P1731" s="40"/>
      <c r="Q1731" s="40"/>
      <c r="R1731" s="40"/>
      <c r="S1731" s="40"/>
      <c r="T1731" s="40"/>
      <c r="U1731" s="40"/>
      <c r="V1731" s="40"/>
      <c r="W1731" s="40"/>
      <c r="X1731" s="40"/>
      <c r="Y1731" s="40"/>
      <c r="Z1731" s="40"/>
    </row>
    <row r="1732">
      <c r="A1732" s="65"/>
      <c r="B1732" s="66"/>
      <c r="C1732" s="68"/>
      <c r="D1732" s="68"/>
      <c r="E1732" s="40"/>
      <c r="F1732" s="40"/>
      <c r="G1732" s="40"/>
      <c r="H1732" s="40"/>
      <c r="I1732" s="40"/>
      <c r="J1732" s="40"/>
      <c r="K1732" s="40"/>
      <c r="L1732" s="40"/>
      <c r="M1732" s="40"/>
      <c r="N1732" s="40"/>
      <c r="O1732" s="40"/>
      <c r="P1732" s="40"/>
      <c r="Q1732" s="40"/>
      <c r="R1732" s="40"/>
      <c r="S1732" s="40"/>
      <c r="T1732" s="40"/>
      <c r="U1732" s="40"/>
      <c r="V1732" s="40"/>
      <c r="W1732" s="40"/>
      <c r="X1732" s="40"/>
      <c r="Y1732" s="40"/>
      <c r="Z1732" s="40"/>
    </row>
    <row r="1733">
      <c r="A1733" s="65"/>
      <c r="B1733" s="66"/>
      <c r="C1733" s="68"/>
      <c r="D1733" s="68"/>
      <c r="E1733" s="40"/>
      <c r="F1733" s="40"/>
      <c r="G1733" s="40"/>
      <c r="H1733" s="40"/>
      <c r="I1733" s="40"/>
      <c r="J1733" s="40"/>
      <c r="K1733" s="40"/>
      <c r="L1733" s="40"/>
      <c r="M1733" s="40"/>
      <c r="N1733" s="40"/>
      <c r="O1733" s="40"/>
      <c r="P1733" s="40"/>
      <c r="Q1733" s="40"/>
      <c r="R1733" s="40"/>
      <c r="S1733" s="40"/>
      <c r="T1733" s="40"/>
      <c r="U1733" s="40"/>
      <c r="V1733" s="40"/>
      <c r="W1733" s="40"/>
      <c r="X1733" s="40"/>
      <c r="Y1733" s="40"/>
      <c r="Z1733" s="40"/>
    </row>
    <row r="1734">
      <c r="A1734" s="65"/>
      <c r="B1734" s="66"/>
      <c r="C1734" s="68"/>
      <c r="D1734" s="68"/>
      <c r="E1734" s="40"/>
      <c r="F1734" s="40"/>
      <c r="G1734" s="40"/>
      <c r="H1734" s="40"/>
      <c r="I1734" s="40"/>
      <c r="J1734" s="40"/>
      <c r="K1734" s="40"/>
      <c r="L1734" s="40"/>
      <c r="M1734" s="40"/>
      <c r="N1734" s="40"/>
      <c r="O1734" s="40"/>
      <c r="P1734" s="40"/>
      <c r="Q1734" s="40"/>
      <c r="R1734" s="40"/>
      <c r="S1734" s="40"/>
      <c r="T1734" s="40"/>
      <c r="U1734" s="40"/>
      <c r="V1734" s="40"/>
      <c r="W1734" s="40"/>
      <c r="X1734" s="40"/>
      <c r="Y1734" s="40"/>
      <c r="Z1734" s="40"/>
    </row>
    <row r="1735">
      <c r="A1735" s="65"/>
      <c r="B1735" s="66"/>
      <c r="C1735" s="68"/>
      <c r="D1735" s="68"/>
      <c r="E1735" s="40"/>
      <c r="F1735" s="40"/>
      <c r="G1735" s="40"/>
      <c r="H1735" s="40"/>
      <c r="I1735" s="40"/>
      <c r="J1735" s="40"/>
      <c r="K1735" s="40"/>
      <c r="L1735" s="40"/>
      <c r="M1735" s="40"/>
      <c r="N1735" s="40"/>
      <c r="O1735" s="40"/>
      <c r="P1735" s="40"/>
      <c r="Q1735" s="40"/>
      <c r="R1735" s="40"/>
      <c r="S1735" s="40"/>
      <c r="T1735" s="40"/>
      <c r="U1735" s="40"/>
      <c r="V1735" s="40"/>
      <c r="W1735" s="40"/>
      <c r="X1735" s="40"/>
      <c r="Y1735" s="40"/>
      <c r="Z1735" s="40"/>
    </row>
    <row r="1736">
      <c r="A1736" s="65"/>
      <c r="B1736" s="66"/>
      <c r="C1736" s="68"/>
      <c r="D1736" s="68"/>
      <c r="E1736" s="40"/>
      <c r="F1736" s="40"/>
      <c r="G1736" s="40"/>
      <c r="H1736" s="40"/>
      <c r="I1736" s="40"/>
      <c r="J1736" s="40"/>
      <c r="K1736" s="40"/>
      <c r="L1736" s="40"/>
      <c r="M1736" s="40"/>
      <c r="N1736" s="40"/>
      <c r="O1736" s="40"/>
      <c r="P1736" s="40"/>
      <c r="Q1736" s="40"/>
      <c r="R1736" s="40"/>
      <c r="S1736" s="40"/>
      <c r="T1736" s="40"/>
      <c r="U1736" s="40"/>
      <c r="V1736" s="40"/>
      <c r="W1736" s="40"/>
      <c r="X1736" s="40"/>
      <c r="Y1736" s="40"/>
      <c r="Z1736" s="40"/>
    </row>
    <row r="1737">
      <c r="A1737" s="65"/>
      <c r="B1737" s="66"/>
      <c r="C1737" s="68"/>
      <c r="D1737" s="68"/>
      <c r="E1737" s="40"/>
      <c r="F1737" s="40"/>
      <c r="G1737" s="40"/>
      <c r="H1737" s="40"/>
      <c r="I1737" s="40"/>
      <c r="J1737" s="40"/>
      <c r="K1737" s="40"/>
      <c r="L1737" s="40"/>
      <c r="M1737" s="40"/>
      <c r="N1737" s="40"/>
      <c r="O1737" s="40"/>
      <c r="P1737" s="40"/>
      <c r="Q1737" s="40"/>
      <c r="R1737" s="40"/>
      <c r="S1737" s="40"/>
      <c r="T1737" s="40"/>
      <c r="U1737" s="40"/>
      <c r="V1737" s="40"/>
      <c r="W1737" s="40"/>
      <c r="X1737" s="40"/>
      <c r="Y1737" s="40"/>
      <c r="Z1737" s="40"/>
    </row>
    <row r="1738">
      <c r="A1738" s="65"/>
      <c r="B1738" s="66"/>
      <c r="C1738" s="68"/>
      <c r="D1738" s="68"/>
      <c r="E1738" s="40"/>
      <c r="F1738" s="40"/>
      <c r="G1738" s="40"/>
      <c r="H1738" s="40"/>
      <c r="I1738" s="40"/>
      <c r="J1738" s="40"/>
      <c r="K1738" s="40"/>
      <c r="L1738" s="40"/>
      <c r="M1738" s="40"/>
      <c r="N1738" s="40"/>
      <c r="O1738" s="40"/>
      <c r="P1738" s="40"/>
      <c r="Q1738" s="40"/>
      <c r="R1738" s="40"/>
      <c r="S1738" s="40"/>
      <c r="T1738" s="40"/>
      <c r="U1738" s="40"/>
      <c r="V1738" s="40"/>
      <c r="W1738" s="40"/>
      <c r="X1738" s="40"/>
      <c r="Y1738" s="40"/>
      <c r="Z1738" s="40"/>
    </row>
    <row r="1739">
      <c r="A1739" s="65"/>
      <c r="B1739" s="66"/>
      <c r="C1739" s="68"/>
      <c r="D1739" s="68"/>
      <c r="E1739" s="40"/>
      <c r="F1739" s="40"/>
      <c r="G1739" s="40"/>
      <c r="H1739" s="40"/>
      <c r="I1739" s="40"/>
      <c r="J1739" s="40"/>
      <c r="K1739" s="40"/>
      <c r="L1739" s="40"/>
      <c r="M1739" s="40"/>
      <c r="N1739" s="40"/>
      <c r="O1739" s="40"/>
      <c r="P1739" s="40"/>
      <c r="Q1739" s="40"/>
      <c r="R1739" s="40"/>
      <c r="S1739" s="40"/>
      <c r="T1739" s="40"/>
      <c r="U1739" s="40"/>
      <c r="V1739" s="40"/>
      <c r="W1739" s="40"/>
      <c r="X1739" s="40"/>
      <c r="Y1739" s="40"/>
      <c r="Z1739" s="40"/>
    </row>
    <row r="1740">
      <c r="A1740" s="65"/>
      <c r="B1740" s="66"/>
      <c r="C1740" s="68"/>
      <c r="D1740" s="68"/>
      <c r="E1740" s="40"/>
      <c r="F1740" s="40"/>
      <c r="G1740" s="40"/>
      <c r="H1740" s="40"/>
      <c r="I1740" s="40"/>
      <c r="J1740" s="40"/>
      <c r="K1740" s="40"/>
      <c r="L1740" s="40"/>
      <c r="M1740" s="40"/>
      <c r="N1740" s="40"/>
      <c r="O1740" s="40"/>
      <c r="P1740" s="40"/>
      <c r="Q1740" s="40"/>
      <c r="R1740" s="40"/>
      <c r="S1740" s="40"/>
      <c r="T1740" s="40"/>
      <c r="U1740" s="40"/>
      <c r="V1740" s="40"/>
      <c r="W1740" s="40"/>
      <c r="X1740" s="40"/>
      <c r="Y1740" s="40"/>
      <c r="Z1740" s="40"/>
    </row>
    <row r="1741">
      <c r="A1741" s="65"/>
      <c r="B1741" s="66"/>
      <c r="C1741" s="68"/>
      <c r="D1741" s="68"/>
      <c r="E1741" s="40"/>
      <c r="F1741" s="40"/>
      <c r="G1741" s="40"/>
      <c r="H1741" s="40"/>
      <c r="I1741" s="40"/>
      <c r="J1741" s="40"/>
      <c r="K1741" s="40"/>
      <c r="L1741" s="40"/>
      <c r="M1741" s="40"/>
      <c r="N1741" s="40"/>
      <c r="O1741" s="40"/>
      <c r="P1741" s="40"/>
      <c r="Q1741" s="40"/>
      <c r="R1741" s="40"/>
      <c r="S1741" s="40"/>
      <c r="T1741" s="40"/>
      <c r="U1741" s="40"/>
      <c r="V1741" s="40"/>
      <c r="W1741" s="40"/>
      <c r="X1741" s="40"/>
      <c r="Y1741" s="40"/>
      <c r="Z1741" s="40"/>
    </row>
    <row r="1742">
      <c r="A1742" s="65"/>
      <c r="B1742" s="66"/>
      <c r="C1742" s="68"/>
      <c r="D1742" s="68"/>
      <c r="E1742" s="40"/>
      <c r="F1742" s="40"/>
      <c r="G1742" s="40"/>
      <c r="H1742" s="40"/>
      <c r="I1742" s="40"/>
      <c r="J1742" s="40"/>
      <c r="K1742" s="40"/>
      <c r="L1742" s="40"/>
      <c r="M1742" s="40"/>
      <c r="N1742" s="40"/>
      <c r="O1742" s="40"/>
      <c r="P1742" s="40"/>
      <c r="Q1742" s="40"/>
      <c r="R1742" s="40"/>
      <c r="S1742" s="40"/>
      <c r="T1742" s="40"/>
      <c r="U1742" s="40"/>
      <c r="V1742" s="40"/>
      <c r="W1742" s="40"/>
      <c r="X1742" s="40"/>
      <c r="Y1742" s="40"/>
      <c r="Z1742" s="40"/>
    </row>
    <row r="1743">
      <c r="A1743" s="65"/>
      <c r="B1743" s="66"/>
      <c r="C1743" s="68"/>
      <c r="D1743" s="68"/>
      <c r="E1743" s="40"/>
      <c r="F1743" s="40"/>
      <c r="G1743" s="40"/>
      <c r="H1743" s="40"/>
      <c r="I1743" s="40"/>
      <c r="J1743" s="40"/>
      <c r="K1743" s="40"/>
      <c r="L1743" s="40"/>
      <c r="M1743" s="40"/>
      <c r="N1743" s="40"/>
      <c r="O1743" s="40"/>
      <c r="P1743" s="40"/>
      <c r="Q1743" s="40"/>
      <c r="R1743" s="40"/>
      <c r="S1743" s="40"/>
      <c r="T1743" s="40"/>
      <c r="U1743" s="40"/>
      <c r="V1743" s="40"/>
      <c r="W1743" s="40"/>
      <c r="X1743" s="40"/>
      <c r="Y1743" s="40"/>
      <c r="Z1743" s="40"/>
    </row>
    <row r="1744">
      <c r="A1744" s="65"/>
      <c r="B1744" s="66"/>
      <c r="C1744" s="68"/>
      <c r="D1744" s="68"/>
      <c r="E1744" s="40"/>
      <c r="F1744" s="40"/>
      <c r="G1744" s="40"/>
      <c r="H1744" s="40"/>
      <c r="I1744" s="40"/>
      <c r="J1744" s="40"/>
      <c r="K1744" s="40"/>
      <c r="L1744" s="40"/>
      <c r="M1744" s="40"/>
      <c r="N1744" s="40"/>
      <c r="O1744" s="40"/>
      <c r="P1744" s="40"/>
      <c r="Q1744" s="40"/>
      <c r="R1744" s="40"/>
      <c r="S1744" s="40"/>
      <c r="T1744" s="40"/>
      <c r="U1744" s="40"/>
      <c r="V1744" s="40"/>
      <c r="W1744" s="40"/>
      <c r="X1744" s="40"/>
      <c r="Y1744" s="40"/>
      <c r="Z1744" s="40"/>
    </row>
    <row r="1745">
      <c r="A1745" s="65"/>
      <c r="B1745" s="66"/>
      <c r="C1745" s="68"/>
      <c r="D1745" s="68"/>
      <c r="E1745" s="40"/>
      <c r="F1745" s="40"/>
      <c r="G1745" s="40"/>
      <c r="H1745" s="40"/>
      <c r="I1745" s="40"/>
      <c r="J1745" s="40"/>
      <c r="K1745" s="40"/>
      <c r="L1745" s="40"/>
      <c r="M1745" s="40"/>
      <c r="N1745" s="40"/>
      <c r="O1745" s="40"/>
      <c r="P1745" s="40"/>
      <c r="Q1745" s="40"/>
      <c r="R1745" s="40"/>
      <c r="S1745" s="40"/>
      <c r="T1745" s="40"/>
      <c r="U1745" s="40"/>
      <c r="V1745" s="40"/>
      <c r="W1745" s="40"/>
      <c r="X1745" s="40"/>
      <c r="Y1745" s="40"/>
      <c r="Z1745" s="40"/>
    </row>
    <row r="1746">
      <c r="A1746" s="65"/>
      <c r="B1746" s="66"/>
      <c r="C1746" s="68"/>
      <c r="D1746" s="68"/>
      <c r="E1746" s="40"/>
      <c r="F1746" s="40"/>
      <c r="G1746" s="40"/>
      <c r="H1746" s="40"/>
      <c r="I1746" s="40"/>
      <c r="J1746" s="40"/>
      <c r="K1746" s="40"/>
      <c r="L1746" s="40"/>
      <c r="M1746" s="40"/>
      <c r="N1746" s="40"/>
      <c r="O1746" s="40"/>
      <c r="P1746" s="40"/>
      <c r="Q1746" s="40"/>
      <c r="R1746" s="40"/>
      <c r="S1746" s="40"/>
      <c r="T1746" s="40"/>
      <c r="U1746" s="40"/>
      <c r="V1746" s="40"/>
      <c r="W1746" s="40"/>
      <c r="X1746" s="40"/>
      <c r="Y1746" s="40"/>
      <c r="Z1746" s="40"/>
    </row>
    <row r="1747">
      <c r="A1747" s="65"/>
      <c r="B1747" s="66"/>
      <c r="C1747" s="68"/>
      <c r="D1747" s="68"/>
      <c r="E1747" s="40"/>
      <c r="F1747" s="40"/>
      <c r="G1747" s="40"/>
      <c r="H1747" s="40"/>
      <c r="I1747" s="40"/>
      <c r="J1747" s="40"/>
      <c r="K1747" s="40"/>
      <c r="L1747" s="40"/>
      <c r="M1747" s="40"/>
      <c r="N1747" s="40"/>
      <c r="O1747" s="40"/>
      <c r="P1747" s="40"/>
      <c r="Q1747" s="40"/>
      <c r="R1747" s="40"/>
      <c r="S1747" s="40"/>
      <c r="T1747" s="40"/>
      <c r="U1747" s="40"/>
      <c r="V1747" s="40"/>
      <c r="W1747" s="40"/>
      <c r="X1747" s="40"/>
      <c r="Y1747" s="40"/>
      <c r="Z1747" s="40"/>
    </row>
    <row r="1748">
      <c r="A1748" s="65"/>
      <c r="B1748" s="66"/>
      <c r="C1748" s="68"/>
      <c r="D1748" s="68"/>
      <c r="E1748" s="40"/>
      <c r="F1748" s="40"/>
      <c r="G1748" s="40"/>
      <c r="H1748" s="40"/>
      <c r="I1748" s="40"/>
      <c r="J1748" s="40"/>
      <c r="K1748" s="40"/>
      <c r="L1748" s="40"/>
      <c r="M1748" s="40"/>
      <c r="N1748" s="40"/>
      <c r="O1748" s="40"/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0"/>
    </row>
    <row r="1749">
      <c r="A1749" s="65"/>
      <c r="B1749" s="66"/>
      <c r="C1749" s="68"/>
      <c r="D1749" s="68"/>
      <c r="E1749" s="40"/>
      <c r="F1749" s="40"/>
      <c r="G1749" s="40"/>
      <c r="H1749" s="40"/>
      <c r="I1749" s="40"/>
      <c r="J1749" s="40"/>
      <c r="K1749" s="40"/>
      <c r="L1749" s="40"/>
      <c r="M1749" s="40"/>
      <c r="N1749" s="40"/>
      <c r="O1749" s="40"/>
      <c r="P1749" s="40"/>
      <c r="Q1749" s="40"/>
      <c r="R1749" s="40"/>
      <c r="S1749" s="40"/>
      <c r="T1749" s="40"/>
      <c r="U1749" s="40"/>
      <c r="V1749" s="40"/>
      <c r="W1749" s="40"/>
      <c r="X1749" s="40"/>
      <c r="Y1749" s="40"/>
      <c r="Z1749" s="40"/>
    </row>
    <row r="1750">
      <c r="A1750" s="65"/>
      <c r="B1750" s="66"/>
      <c r="C1750" s="68"/>
      <c r="D1750" s="68"/>
      <c r="E1750" s="40"/>
      <c r="F1750" s="40"/>
      <c r="G1750" s="40"/>
      <c r="H1750" s="40"/>
      <c r="I1750" s="40"/>
      <c r="J1750" s="40"/>
      <c r="K1750" s="40"/>
      <c r="L1750" s="40"/>
      <c r="M1750" s="40"/>
      <c r="N1750" s="40"/>
      <c r="O1750" s="40"/>
      <c r="P1750" s="40"/>
      <c r="Q1750" s="40"/>
      <c r="R1750" s="40"/>
      <c r="S1750" s="40"/>
      <c r="T1750" s="40"/>
      <c r="U1750" s="40"/>
      <c r="V1750" s="40"/>
      <c r="W1750" s="40"/>
      <c r="X1750" s="40"/>
      <c r="Y1750" s="40"/>
      <c r="Z1750" s="40"/>
    </row>
    <row r="1751">
      <c r="A1751" s="65"/>
      <c r="B1751" s="66"/>
      <c r="C1751" s="68"/>
      <c r="D1751" s="68"/>
      <c r="E1751" s="40"/>
      <c r="F1751" s="40"/>
      <c r="G1751" s="40"/>
      <c r="H1751" s="40"/>
      <c r="I1751" s="40"/>
      <c r="J1751" s="40"/>
      <c r="K1751" s="40"/>
      <c r="L1751" s="40"/>
      <c r="M1751" s="40"/>
      <c r="N1751" s="40"/>
      <c r="O1751" s="40"/>
      <c r="P1751" s="40"/>
      <c r="Q1751" s="40"/>
      <c r="R1751" s="40"/>
      <c r="S1751" s="40"/>
      <c r="T1751" s="40"/>
      <c r="U1751" s="40"/>
      <c r="V1751" s="40"/>
      <c r="W1751" s="40"/>
      <c r="X1751" s="40"/>
      <c r="Y1751" s="40"/>
      <c r="Z1751" s="40"/>
    </row>
    <row r="1752">
      <c r="A1752" s="65"/>
      <c r="B1752" s="66"/>
      <c r="C1752" s="68"/>
      <c r="D1752" s="68"/>
      <c r="E1752" s="40"/>
      <c r="F1752" s="40"/>
      <c r="G1752" s="40"/>
      <c r="H1752" s="40"/>
      <c r="I1752" s="40"/>
      <c r="J1752" s="40"/>
      <c r="K1752" s="40"/>
      <c r="L1752" s="40"/>
      <c r="M1752" s="40"/>
      <c r="N1752" s="40"/>
      <c r="O1752" s="40"/>
      <c r="P1752" s="40"/>
      <c r="Q1752" s="40"/>
      <c r="R1752" s="40"/>
      <c r="S1752" s="40"/>
      <c r="T1752" s="40"/>
      <c r="U1752" s="40"/>
      <c r="V1752" s="40"/>
      <c r="W1752" s="40"/>
      <c r="X1752" s="40"/>
      <c r="Y1752" s="40"/>
      <c r="Z1752" s="40"/>
    </row>
    <row r="1753">
      <c r="A1753" s="65"/>
      <c r="B1753" s="66"/>
      <c r="C1753" s="68"/>
      <c r="D1753" s="68"/>
      <c r="E1753" s="40"/>
      <c r="F1753" s="40"/>
      <c r="G1753" s="40"/>
      <c r="H1753" s="40"/>
      <c r="I1753" s="40"/>
      <c r="J1753" s="40"/>
      <c r="K1753" s="40"/>
      <c r="L1753" s="40"/>
      <c r="M1753" s="40"/>
      <c r="N1753" s="40"/>
      <c r="O1753" s="40"/>
      <c r="P1753" s="40"/>
      <c r="Q1753" s="40"/>
      <c r="R1753" s="40"/>
      <c r="S1753" s="40"/>
      <c r="T1753" s="40"/>
      <c r="U1753" s="40"/>
      <c r="V1753" s="40"/>
      <c r="W1753" s="40"/>
      <c r="X1753" s="40"/>
      <c r="Y1753" s="40"/>
      <c r="Z1753" s="40"/>
    </row>
    <row r="1754">
      <c r="A1754" s="65"/>
      <c r="B1754" s="66"/>
      <c r="C1754" s="68"/>
      <c r="D1754" s="68"/>
      <c r="E1754" s="40"/>
      <c r="F1754" s="40"/>
      <c r="G1754" s="40"/>
      <c r="H1754" s="40"/>
      <c r="I1754" s="40"/>
      <c r="J1754" s="40"/>
      <c r="K1754" s="40"/>
      <c r="L1754" s="40"/>
      <c r="M1754" s="40"/>
      <c r="N1754" s="40"/>
      <c r="O1754" s="40"/>
      <c r="P1754" s="40"/>
      <c r="Q1754" s="40"/>
      <c r="R1754" s="40"/>
      <c r="S1754" s="40"/>
      <c r="T1754" s="40"/>
      <c r="U1754" s="40"/>
      <c r="V1754" s="40"/>
      <c r="W1754" s="40"/>
      <c r="X1754" s="40"/>
      <c r="Y1754" s="40"/>
      <c r="Z1754" s="40"/>
    </row>
    <row r="1755">
      <c r="A1755" s="65"/>
      <c r="B1755" s="66"/>
      <c r="C1755" s="68"/>
      <c r="D1755" s="68"/>
      <c r="E1755" s="40"/>
      <c r="F1755" s="40"/>
      <c r="G1755" s="40"/>
      <c r="H1755" s="40"/>
      <c r="I1755" s="40"/>
      <c r="J1755" s="40"/>
      <c r="K1755" s="40"/>
      <c r="L1755" s="40"/>
      <c r="M1755" s="40"/>
      <c r="N1755" s="40"/>
      <c r="O1755" s="40"/>
      <c r="P1755" s="40"/>
      <c r="Q1755" s="40"/>
      <c r="R1755" s="40"/>
      <c r="S1755" s="40"/>
      <c r="T1755" s="40"/>
      <c r="U1755" s="40"/>
      <c r="V1755" s="40"/>
      <c r="W1755" s="40"/>
      <c r="X1755" s="40"/>
      <c r="Y1755" s="40"/>
      <c r="Z1755" s="40"/>
    </row>
    <row r="1756">
      <c r="A1756" s="65"/>
      <c r="B1756" s="66"/>
      <c r="C1756" s="68"/>
      <c r="D1756" s="68"/>
      <c r="E1756" s="40"/>
      <c r="F1756" s="40"/>
      <c r="G1756" s="40"/>
      <c r="H1756" s="40"/>
      <c r="I1756" s="40"/>
      <c r="J1756" s="40"/>
      <c r="K1756" s="40"/>
      <c r="L1756" s="40"/>
      <c r="M1756" s="40"/>
      <c r="N1756" s="40"/>
      <c r="O1756" s="40"/>
      <c r="P1756" s="40"/>
      <c r="Q1756" s="40"/>
      <c r="R1756" s="40"/>
      <c r="S1756" s="40"/>
      <c r="T1756" s="40"/>
      <c r="U1756" s="40"/>
      <c r="V1756" s="40"/>
      <c r="W1756" s="40"/>
      <c r="X1756" s="40"/>
      <c r="Y1756" s="40"/>
      <c r="Z1756" s="40"/>
    </row>
    <row r="1757">
      <c r="A1757" s="65"/>
      <c r="B1757" s="66"/>
      <c r="C1757" s="68"/>
      <c r="D1757" s="68"/>
      <c r="E1757" s="40"/>
      <c r="F1757" s="40"/>
      <c r="G1757" s="40"/>
      <c r="H1757" s="40"/>
      <c r="I1757" s="40"/>
      <c r="J1757" s="40"/>
      <c r="K1757" s="40"/>
      <c r="L1757" s="40"/>
      <c r="M1757" s="40"/>
      <c r="N1757" s="40"/>
      <c r="O1757" s="40"/>
      <c r="P1757" s="40"/>
      <c r="Q1757" s="40"/>
      <c r="R1757" s="40"/>
      <c r="S1757" s="40"/>
      <c r="T1757" s="40"/>
      <c r="U1757" s="40"/>
      <c r="V1757" s="40"/>
      <c r="W1757" s="40"/>
      <c r="X1757" s="40"/>
      <c r="Y1757" s="40"/>
      <c r="Z1757" s="40"/>
    </row>
    <row r="1758">
      <c r="A1758" s="65"/>
      <c r="B1758" s="66"/>
      <c r="C1758" s="68"/>
      <c r="D1758" s="68"/>
      <c r="E1758" s="40"/>
      <c r="F1758" s="40"/>
      <c r="G1758" s="40"/>
      <c r="H1758" s="40"/>
      <c r="I1758" s="40"/>
      <c r="J1758" s="40"/>
      <c r="K1758" s="40"/>
      <c r="L1758" s="40"/>
      <c r="M1758" s="40"/>
      <c r="N1758" s="40"/>
      <c r="O1758" s="40"/>
      <c r="P1758" s="40"/>
      <c r="Q1758" s="40"/>
      <c r="R1758" s="40"/>
      <c r="S1758" s="40"/>
      <c r="T1758" s="40"/>
      <c r="U1758" s="40"/>
      <c r="V1758" s="40"/>
      <c r="W1758" s="40"/>
      <c r="X1758" s="40"/>
      <c r="Y1758" s="40"/>
      <c r="Z1758" s="40"/>
    </row>
    <row r="1759">
      <c r="A1759" s="65"/>
      <c r="B1759" s="66"/>
      <c r="C1759" s="68"/>
      <c r="D1759" s="68"/>
      <c r="E1759" s="40"/>
      <c r="F1759" s="40"/>
      <c r="G1759" s="40"/>
      <c r="H1759" s="40"/>
      <c r="I1759" s="40"/>
      <c r="J1759" s="40"/>
      <c r="K1759" s="40"/>
      <c r="L1759" s="40"/>
      <c r="M1759" s="40"/>
      <c r="N1759" s="40"/>
      <c r="O1759" s="40"/>
      <c r="P1759" s="40"/>
      <c r="Q1759" s="40"/>
      <c r="R1759" s="40"/>
      <c r="S1759" s="40"/>
      <c r="T1759" s="40"/>
      <c r="U1759" s="40"/>
      <c r="V1759" s="40"/>
      <c r="W1759" s="40"/>
      <c r="X1759" s="40"/>
      <c r="Y1759" s="40"/>
      <c r="Z1759" s="40"/>
    </row>
    <row r="1760">
      <c r="A1760" s="65"/>
      <c r="B1760" s="66"/>
      <c r="C1760" s="68"/>
      <c r="D1760" s="68"/>
      <c r="E1760" s="40"/>
      <c r="F1760" s="40"/>
      <c r="G1760" s="40"/>
      <c r="H1760" s="40"/>
      <c r="I1760" s="40"/>
      <c r="J1760" s="40"/>
      <c r="K1760" s="40"/>
      <c r="L1760" s="40"/>
      <c r="M1760" s="40"/>
      <c r="N1760" s="40"/>
      <c r="O1760" s="40"/>
      <c r="P1760" s="40"/>
      <c r="Q1760" s="40"/>
      <c r="R1760" s="40"/>
      <c r="S1760" s="40"/>
      <c r="T1760" s="40"/>
      <c r="U1760" s="40"/>
      <c r="V1760" s="40"/>
      <c r="W1760" s="40"/>
      <c r="X1760" s="40"/>
      <c r="Y1760" s="40"/>
      <c r="Z1760" s="40"/>
    </row>
    <row r="1761">
      <c r="A1761" s="65"/>
      <c r="B1761" s="66"/>
      <c r="C1761" s="68"/>
      <c r="D1761" s="68"/>
      <c r="E1761" s="40"/>
      <c r="F1761" s="40"/>
      <c r="G1761" s="40"/>
      <c r="H1761" s="40"/>
      <c r="I1761" s="40"/>
      <c r="J1761" s="40"/>
      <c r="K1761" s="40"/>
      <c r="L1761" s="40"/>
      <c r="M1761" s="40"/>
      <c r="N1761" s="40"/>
      <c r="O1761" s="40"/>
      <c r="P1761" s="40"/>
      <c r="Q1761" s="40"/>
      <c r="R1761" s="40"/>
      <c r="S1761" s="40"/>
      <c r="T1761" s="40"/>
      <c r="U1761" s="40"/>
      <c r="V1761" s="40"/>
      <c r="W1761" s="40"/>
      <c r="X1761" s="40"/>
      <c r="Y1761" s="40"/>
      <c r="Z1761" s="40"/>
    </row>
    <row r="1762">
      <c r="A1762" s="65"/>
      <c r="B1762" s="66"/>
      <c r="C1762" s="68"/>
      <c r="D1762" s="68"/>
      <c r="E1762" s="40"/>
      <c r="F1762" s="40"/>
      <c r="G1762" s="40"/>
      <c r="H1762" s="40"/>
      <c r="I1762" s="40"/>
      <c r="J1762" s="40"/>
      <c r="K1762" s="40"/>
      <c r="L1762" s="40"/>
      <c r="M1762" s="40"/>
      <c r="N1762" s="40"/>
      <c r="O1762" s="40"/>
      <c r="P1762" s="40"/>
      <c r="Q1762" s="40"/>
      <c r="R1762" s="40"/>
      <c r="S1762" s="40"/>
      <c r="T1762" s="40"/>
      <c r="U1762" s="40"/>
      <c r="V1762" s="40"/>
      <c r="W1762" s="40"/>
      <c r="X1762" s="40"/>
      <c r="Y1762" s="40"/>
      <c r="Z1762" s="40"/>
    </row>
    <row r="1763">
      <c r="A1763" s="65"/>
      <c r="B1763" s="66"/>
      <c r="C1763" s="68"/>
      <c r="D1763" s="68"/>
      <c r="E1763" s="40"/>
      <c r="F1763" s="40"/>
      <c r="G1763" s="40"/>
      <c r="H1763" s="40"/>
      <c r="I1763" s="40"/>
      <c r="J1763" s="40"/>
      <c r="K1763" s="40"/>
      <c r="L1763" s="40"/>
      <c r="M1763" s="40"/>
      <c r="N1763" s="40"/>
      <c r="O1763" s="40"/>
      <c r="P1763" s="40"/>
      <c r="Q1763" s="40"/>
      <c r="R1763" s="40"/>
      <c r="S1763" s="40"/>
      <c r="T1763" s="40"/>
      <c r="U1763" s="40"/>
      <c r="V1763" s="40"/>
      <c r="W1763" s="40"/>
      <c r="X1763" s="40"/>
      <c r="Y1763" s="40"/>
      <c r="Z1763" s="40"/>
    </row>
    <row r="1764">
      <c r="A1764" s="65"/>
      <c r="B1764" s="66"/>
      <c r="C1764" s="68"/>
      <c r="D1764" s="68"/>
      <c r="E1764" s="40"/>
      <c r="F1764" s="40"/>
      <c r="G1764" s="40"/>
      <c r="H1764" s="40"/>
      <c r="I1764" s="40"/>
      <c r="J1764" s="40"/>
      <c r="K1764" s="40"/>
      <c r="L1764" s="40"/>
      <c r="M1764" s="40"/>
      <c r="N1764" s="40"/>
      <c r="O1764" s="40"/>
      <c r="P1764" s="40"/>
      <c r="Q1764" s="40"/>
      <c r="R1764" s="40"/>
      <c r="S1764" s="40"/>
      <c r="T1764" s="40"/>
      <c r="U1764" s="40"/>
      <c r="V1764" s="40"/>
      <c r="W1764" s="40"/>
      <c r="X1764" s="40"/>
      <c r="Y1764" s="40"/>
      <c r="Z1764" s="40"/>
    </row>
    <row r="1765">
      <c r="A1765" s="65"/>
      <c r="B1765" s="66"/>
      <c r="C1765" s="68"/>
      <c r="D1765" s="68"/>
      <c r="E1765" s="40"/>
      <c r="F1765" s="40"/>
      <c r="G1765" s="40"/>
      <c r="H1765" s="40"/>
      <c r="I1765" s="40"/>
      <c r="J1765" s="40"/>
      <c r="K1765" s="40"/>
      <c r="L1765" s="40"/>
      <c r="M1765" s="40"/>
      <c r="N1765" s="40"/>
      <c r="O1765" s="40"/>
      <c r="P1765" s="40"/>
      <c r="Q1765" s="40"/>
      <c r="R1765" s="40"/>
      <c r="S1765" s="40"/>
      <c r="T1765" s="40"/>
      <c r="U1765" s="40"/>
      <c r="V1765" s="40"/>
      <c r="W1765" s="40"/>
      <c r="X1765" s="40"/>
      <c r="Y1765" s="40"/>
      <c r="Z1765" s="40"/>
    </row>
    <row r="1766">
      <c r="A1766" s="65"/>
      <c r="B1766" s="66"/>
      <c r="C1766" s="68"/>
      <c r="D1766" s="68"/>
      <c r="E1766" s="40"/>
      <c r="F1766" s="40"/>
      <c r="G1766" s="40"/>
      <c r="H1766" s="40"/>
      <c r="I1766" s="40"/>
      <c r="J1766" s="40"/>
      <c r="K1766" s="40"/>
      <c r="L1766" s="40"/>
      <c r="M1766" s="40"/>
      <c r="N1766" s="40"/>
      <c r="O1766" s="40"/>
      <c r="P1766" s="40"/>
      <c r="Q1766" s="40"/>
      <c r="R1766" s="40"/>
      <c r="S1766" s="40"/>
      <c r="T1766" s="40"/>
      <c r="U1766" s="40"/>
      <c r="V1766" s="40"/>
      <c r="W1766" s="40"/>
      <c r="X1766" s="40"/>
      <c r="Y1766" s="40"/>
      <c r="Z1766" s="40"/>
    </row>
    <row r="1767">
      <c r="A1767" s="65"/>
      <c r="B1767" s="66"/>
      <c r="C1767" s="68"/>
      <c r="D1767" s="68"/>
      <c r="E1767" s="40"/>
      <c r="F1767" s="40"/>
      <c r="G1767" s="40"/>
      <c r="H1767" s="40"/>
      <c r="I1767" s="40"/>
      <c r="J1767" s="40"/>
      <c r="K1767" s="40"/>
      <c r="L1767" s="40"/>
      <c r="M1767" s="40"/>
      <c r="N1767" s="40"/>
      <c r="O1767" s="40"/>
      <c r="P1767" s="40"/>
      <c r="Q1767" s="40"/>
      <c r="R1767" s="40"/>
      <c r="S1767" s="40"/>
      <c r="T1767" s="40"/>
      <c r="U1767" s="40"/>
      <c r="V1767" s="40"/>
      <c r="W1767" s="40"/>
      <c r="X1767" s="40"/>
      <c r="Y1767" s="40"/>
      <c r="Z1767" s="40"/>
    </row>
    <row r="1768">
      <c r="A1768" s="65"/>
      <c r="B1768" s="66"/>
      <c r="C1768" s="68"/>
      <c r="D1768" s="68"/>
      <c r="E1768" s="40"/>
      <c r="F1768" s="40"/>
      <c r="G1768" s="40"/>
      <c r="H1768" s="40"/>
      <c r="I1768" s="40"/>
      <c r="J1768" s="40"/>
      <c r="K1768" s="40"/>
      <c r="L1768" s="40"/>
      <c r="M1768" s="40"/>
      <c r="N1768" s="40"/>
      <c r="O1768" s="40"/>
      <c r="P1768" s="40"/>
      <c r="Q1768" s="40"/>
      <c r="R1768" s="40"/>
      <c r="S1768" s="40"/>
      <c r="T1768" s="40"/>
      <c r="U1768" s="40"/>
      <c r="V1768" s="40"/>
      <c r="W1768" s="40"/>
      <c r="X1768" s="40"/>
      <c r="Y1768" s="40"/>
      <c r="Z1768" s="40"/>
    </row>
    <row r="1769">
      <c r="A1769" s="65"/>
      <c r="B1769" s="66"/>
      <c r="C1769" s="68"/>
      <c r="D1769" s="68"/>
      <c r="E1769" s="40"/>
      <c r="F1769" s="40"/>
      <c r="G1769" s="40"/>
      <c r="H1769" s="40"/>
      <c r="I1769" s="40"/>
      <c r="J1769" s="40"/>
      <c r="K1769" s="40"/>
      <c r="L1769" s="40"/>
      <c r="M1769" s="40"/>
      <c r="N1769" s="40"/>
      <c r="O1769" s="40"/>
      <c r="P1769" s="40"/>
      <c r="Q1769" s="40"/>
      <c r="R1769" s="40"/>
      <c r="S1769" s="40"/>
      <c r="T1769" s="40"/>
      <c r="U1769" s="40"/>
      <c r="V1769" s="40"/>
      <c r="W1769" s="40"/>
      <c r="X1769" s="40"/>
      <c r="Y1769" s="40"/>
      <c r="Z1769" s="40"/>
    </row>
    <row r="1770">
      <c r="A1770" s="65"/>
      <c r="B1770" s="66"/>
      <c r="C1770" s="68"/>
      <c r="D1770" s="68"/>
      <c r="E1770" s="40"/>
      <c r="F1770" s="40"/>
      <c r="G1770" s="40"/>
      <c r="H1770" s="40"/>
      <c r="I1770" s="40"/>
      <c r="J1770" s="40"/>
      <c r="K1770" s="40"/>
      <c r="L1770" s="40"/>
      <c r="M1770" s="40"/>
      <c r="N1770" s="40"/>
      <c r="O1770" s="40"/>
      <c r="P1770" s="40"/>
      <c r="Q1770" s="40"/>
      <c r="R1770" s="40"/>
      <c r="S1770" s="40"/>
      <c r="T1770" s="40"/>
      <c r="U1770" s="40"/>
      <c r="V1770" s="40"/>
      <c r="W1770" s="40"/>
      <c r="X1770" s="40"/>
      <c r="Y1770" s="40"/>
      <c r="Z1770" s="40"/>
    </row>
    <row r="1771">
      <c r="A1771" s="65"/>
      <c r="B1771" s="66"/>
      <c r="C1771" s="68"/>
      <c r="D1771" s="68"/>
      <c r="E1771" s="40"/>
      <c r="F1771" s="40"/>
      <c r="G1771" s="40"/>
      <c r="H1771" s="40"/>
      <c r="I1771" s="40"/>
      <c r="J1771" s="40"/>
      <c r="K1771" s="40"/>
      <c r="L1771" s="40"/>
      <c r="M1771" s="40"/>
      <c r="N1771" s="40"/>
      <c r="O1771" s="40"/>
      <c r="P1771" s="40"/>
      <c r="Q1771" s="40"/>
      <c r="R1771" s="40"/>
      <c r="S1771" s="40"/>
      <c r="T1771" s="40"/>
      <c r="U1771" s="40"/>
      <c r="V1771" s="40"/>
      <c r="W1771" s="40"/>
      <c r="X1771" s="40"/>
      <c r="Y1771" s="40"/>
      <c r="Z1771" s="40"/>
    </row>
    <row r="1772">
      <c r="A1772" s="65"/>
      <c r="B1772" s="66"/>
      <c r="C1772" s="68"/>
      <c r="D1772" s="68"/>
      <c r="E1772" s="40"/>
      <c r="F1772" s="40"/>
      <c r="G1772" s="40"/>
      <c r="H1772" s="40"/>
      <c r="I1772" s="40"/>
      <c r="J1772" s="40"/>
      <c r="K1772" s="40"/>
      <c r="L1772" s="40"/>
      <c r="M1772" s="40"/>
      <c r="N1772" s="40"/>
      <c r="O1772" s="40"/>
      <c r="P1772" s="40"/>
      <c r="Q1772" s="40"/>
      <c r="R1772" s="40"/>
      <c r="S1772" s="40"/>
      <c r="T1772" s="40"/>
      <c r="U1772" s="40"/>
      <c r="V1772" s="40"/>
      <c r="W1772" s="40"/>
      <c r="X1772" s="40"/>
      <c r="Y1772" s="40"/>
      <c r="Z1772" s="40"/>
    </row>
    <row r="1773">
      <c r="A1773" s="65"/>
      <c r="B1773" s="66"/>
      <c r="C1773" s="68"/>
      <c r="D1773" s="68"/>
      <c r="E1773" s="40"/>
      <c r="F1773" s="40"/>
      <c r="G1773" s="40"/>
      <c r="H1773" s="40"/>
      <c r="I1773" s="40"/>
      <c r="J1773" s="40"/>
      <c r="K1773" s="40"/>
      <c r="L1773" s="40"/>
      <c r="M1773" s="40"/>
      <c r="N1773" s="40"/>
      <c r="O1773" s="40"/>
      <c r="P1773" s="40"/>
      <c r="Q1773" s="40"/>
      <c r="R1773" s="40"/>
      <c r="S1773" s="40"/>
      <c r="T1773" s="40"/>
      <c r="U1773" s="40"/>
      <c r="V1773" s="40"/>
      <c r="W1773" s="40"/>
      <c r="X1773" s="40"/>
      <c r="Y1773" s="40"/>
      <c r="Z1773" s="40"/>
    </row>
    <row r="1774">
      <c r="A1774" s="65"/>
      <c r="B1774" s="66"/>
      <c r="C1774" s="68"/>
      <c r="D1774" s="68"/>
      <c r="E1774" s="40"/>
      <c r="F1774" s="40"/>
      <c r="G1774" s="40"/>
      <c r="H1774" s="40"/>
      <c r="I1774" s="40"/>
      <c r="J1774" s="40"/>
      <c r="K1774" s="40"/>
      <c r="L1774" s="40"/>
      <c r="M1774" s="40"/>
      <c r="N1774" s="40"/>
      <c r="O1774" s="40"/>
      <c r="P1774" s="40"/>
      <c r="Q1774" s="40"/>
      <c r="R1774" s="40"/>
      <c r="S1774" s="40"/>
      <c r="T1774" s="40"/>
      <c r="U1774" s="40"/>
      <c r="V1774" s="40"/>
      <c r="W1774" s="40"/>
      <c r="X1774" s="40"/>
      <c r="Y1774" s="40"/>
      <c r="Z1774" s="40"/>
    </row>
    <row r="1775">
      <c r="A1775" s="65"/>
      <c r="B1775" s="66"/>
      <c r="C1775" s="68"/>
      <c r="D1775" s="68"/>
      <c r="E1775" s="40"/>
      <c r="F1775" s="40"/>
      <c r="G1775" s="40"/>
      <c r="H1775" s="40"/>
      <c r="I1775" s="40"/>
      <c r="J1775" s="40"/>
      <c r="K1775" s="40"/>
      <c r="L1775" s="40"/>
      <c r="M1775" s="40"/>
      <c r="N1775" s="40"/>
      <c r="O1775" s="40"/>
      <c r="P1775" s="40"/>
      <c r="Q1775" s="40"/>
      <c r="R1775" s="40"/>
      <c r="S1775" s="40"/>
      <c r="T1775" s="40"/>
      <c r="U1775" s="40"/>
      <c r="V1775" s="40"/>
      <c r="W1775" s="40"/>
      <c r="X1775" s="40"/>
      <c r="Y1775" s="40"/>
      <c r="Z1775" s="40"/>
    </row>
    <row r="1776">
      <c r="A1776" s="65"/>
      <c r="B1776" s="66"/>
      <c r="C1776" s="68"/>
      <c r="D1776" s="68"/>
      <c r="E1776" s="40"/>
      <c r="F1776" s="40"/>
      <c r="G1776" s="40"/>
      <c r="H1776" s="40"/>
      <c r="I1776" s="40"/>
      <c r="J1776" s="40"/>
      <c r="K1776" s="40"/>
      <c r="L1776" s="40"/>
      <c r="M1776" s="40"/>
      <c r="N1776" s="40"/>
      <c r="O1776" s="40"/>
      <c r="P1776" s="40"/>
      <c r="Q1776" s="40"/>
      <c r="R1776" s="40"/>
      <c r="S1776" s="40"/>
      <c r="T1776" s="40"/>
      <c r="U1776" s="40"/>
      <c r="V1776" s="40"/>
      <c r="W1776" s="40"/>
      <c r="X1776" s="40"/>
      <c r="Y1776" s="40"/>
      <c r="Z1776" s="40"/>
    </row>
    <row r="1777">
      <c r="A1777" s="65"/>
      <c r="B1777" s="66"/>
      <c r="C1777" s="68"/>
      <c r="D1777" s="68"/>
      <c r="E1777" s="40"/>
      <c r="F1777" s="40"/>
      <c r="G1777" s="40"/>
      <c r="H1777" s="40"/>
      <c r="I1777" s="40"/>
      <c r="J1777" s="40"/>
      <c r="K1777" s="40"/>
      <c r="L1777" s="40"/>
      <c r="M1777" s="40"/>
      <c r="N1777" s="40"/>
      <c r="O1777" s="40"/>
      <c r="P1777" s="40"/>
      <c r="Q1777" s="40"/>
      <c r="R1777" s="40"/>
      <c r="S1777" s="40"/>
      <c r="T1777" s="40"/>
      <c r="U1777" s="40"/>
      <c r="V1777" s="40"/>
      <c r="W1777" s="40"/>
      <c r="X1777" s="40"/>
      <c r="Y1777" s="40"/>
      <c r="Z1777" s="40"/>
    </row>
    <row r="1778">
      <c r="A1778" s="65"/>
      <c r="B1778" s="66"/>
      <c r="C1778" s="68"/>
      <c r="D1778" s="68"/>
      <c r="E1778" s="40"/>
      <c r="F1778" s="40"/>
      <c r="G1778" s="40"/>
      <c r="H1778" s="40"/>
      <c r="I1778" s="40"/>
      <c r="J1778" s="40"/>
      <c r="K1778" s="40"/>
      <c r="L1778" s="40"/>
      <c r="M1778" s="40"/>
      <c r="N1778" s="40"/>
      <c r="O1778" s="40"/>
      <c r="P1778" s="40"/>
      <c r="Q1778" s="40"/>
      <c r="R1778" s="40"/>
      <c r="S1778" s="40"/>
      <c r="T1778" s="40"/>
      <c r="U1778" s="40"/>
      <c r="V1778" s="40"/>
      <c r="W1778" s="40"/>
      <c r="X1778" s="40"/>
      <c r="Y1778" s="40"/>
      <c r="Z1778" s="40"/>
    </row>
    <row r="1779">
      <c r="A1779" s="65"/>
      <c r="B1779" s="66"/>
      <c r="C1779" s="68"/>
      <c r="D1779" s="68"/>
      <c r="E1779" s="40"/>
      <c r="F1779" s="40"/>
      <c r="G1779" s="40"/>
      <c r="H1779" s="40"/>
      <c r="I1779" s="40"/>
      <c r="J1779" s="40"/>
      <c r="K1779" s="40"/>
      <c r="L1779" s="40"/>
      <c r="M1779" s="40"/>
      <c r="N1779" s="40"/>
      <c r="O1779" s="40"/>
      <c r="P1779" s="40"/>
      <c r="Q1779" s="40"/>
      <c r="R1779" s="40"/>
      <c r="S1779" s="40"/>
      <c r="T1779" s="40"/>
      <c r="U1779" s="40"/>
      <c r="V1779" s="40"/>
      <c r="W1779" s="40"/>
      <c r="X1779" s="40"/>
      <c r="Y1779" s="40"/>
      <c r="Z1779" s="40"/>
    </row>
    <row r="1780">
      <c r="A1780" s="65"/>
      <c r="B1780" s="66"/>
      <c r="C1780" s="68"/>
      <c r="D1780" s="68"/>
      <c r="E1780" s="40"/>
      <c r="F1780" s="40"/>
      <c r="G1780" s="40"/>
      <c r="H1780" s="40"/>
      <c r="I1780" s="40"/>
      <c r="J1780" s="40"/>
      <c r="K1780" s="40"/>
      <c r="L1780" s="40"/>
      <c r="M1780" s="40"/>
      <c r="N1780" s="40"/>
      <c r="O1780" s="40"/>
      <c r="P1780" s="40"/>
      <c r="Q1780" s="40"/>
      <c r="R1780" s="40"/>
      <c r="S1780" s="40"/>
      <c r="T1780" s="40"/>
      <c r="U1780" s="40"/>
      <c r="V1780" s="40"/>
      <c r="W1780" s="40"/>
      <c r="X1780" s="40"/>
      <c r="Y1780" s="40"/>
      <c r="Z1780" s="40"/>
    </row>
    <row r="1781">
      <c r="A1781" s="65"/>
      <c r="B1781" s="66"/>
      <c r="C1781" s="68"/>
      <c r="D1781" s="68"/>
      <c r="E1781" s="40"/>
      <c r="F1781" s="40"/>
      <c r="G1781" s="40"/>
      <c r="H1781" s="40"/>
      <c r="I1781" s="40"/>
      <c r="J1781" s="40"/>
      <c r="K1781" s="40"/>
      <c r="L1781" s="40"/>
      <c r="M1781" s="40"/>
      <c r="N1781" s="40"/>
      <c r="O1781" s="40"/>
      <c r="P1781" s="40"/>
      <c r="Q1781" s="40"/>
      <c r="R1781" s="40"/>
      <c r="S1781" s="40"/>
      <c r="T1781" s="40"/>
      <c r="U1781" s="40"/>
      <c r="V1781" s="40"/>
      <c r="W1781" s="40"/>
      <c r="X1781" s="40"/>
      <c r="Y1781" s="40"/>
      <c r="Z1781" s="40"/>
    </row>
    <row r="1782">
      <c r="A1782" s="65"/>
      <c r="B1782" s="66"/>
      <c r="C1782" s="68"/>
      <c r="D1782" s="68"/>
      <c r="E1782" s="40"/>
      <c r="F1782" s="40"/>
      <c r="G1782" s="40"/>
      <c r="H1782" s="40"/>
      <c r="I1782" s="40"/>
      <c r="J1782" s="40"/>
      <c r="K1782" s="40"/>
      <c r="L1782" s="40"/>
      <c r="M1782" s="40"/>
      <c r="N1782" s="40"/>
      <c r="O1782" s="40"/>
      <c r="P1782" s="40"/>
      <c r="Q1782" s="40"/>
      <c r="R1782" s="40"/>
      <c r="S1782" s="40"/>
      <c r="T1782" s="40"/>
      <c r="U1782" s="40"/>
      <c r="V1782" s="40"/>
      <c r="W1782" s="40"/>
      <c r="X1782" s="40"/>
      <c r="Y1782" s="40"/>
      <c r="Z1782" s="40"/>
    </row>
    <row r="1783">
      <c r="A1783" s="65"/>
      <c r="B1783" s="66"/>
      <c r="C1783" s="68"/>
      <c r="D1783" s="68"/>
      <c r="E1783" s="40"/>
      <c r="F1783" s="40"/>
      <c r="G1783" s="40"/>
      <c r="H1783" s="40"/>
      <c r="I1783" s="40"/>
      <c r="J1783" s="40"/>
      <c r="K1783" s="40"/>
      <c r="L1783" s="40"/>
      <c r="M1783" s="40"/>
      <c r="N1783" s="40"/>
      <c r="O1783" s="40"/>
      <c r="P1783" s="40"/>
      <c r="Q1783" s="40"/>
      <c r="R1783" s="40"/>
      <c r="S1783" s="40"/>
      <c r="T1783" s="40"/>
      <c r="U1783" s="40"/>
      <c r="V1783" s="40"/>
      <c r="W1783" s="40"/>
      <c r="X1783" s="40"/>
      <c r="Y1783" s="40"/>
      <c r="Z1783" s="40"/>
    </row>
    <row r="1784">
      <c r="A1784" s="65"/>
      <c r="B1784" s="66"/>
      <c r="C1784" s="68"/>
      <c r="D1784" s="68"/>
      <c r="E1784" s="40"/>
      <c r="F1784" s="40"/>
      <c r="G1784" s="40"/>
      <c r="H1784" s="40"/>
      <c r="I1784" s="40"/>
      <c r="J1784" s="40"/>
      <c r="K1784" s="40"/>
      <c r="L1784" s="40"/>
      <c r="M1784" s="40"/>
      <c r="N1784" s="40"/>
      <c r="O1784" s="40"/>
      <c r="P1784" s="40"/>
      <c r="Q1784" s="40"/>
      <c r="R1784" s="40"/>
      <c r="S1784" s="40"/>
      <c r="T1784" s="40"/>
      <c r="U1784" s="40"/>
      <c r="V1784" s="40"/>
      <c r="W1784" s="40"/>
      <c r="X1784" s="40"/>
      <c r="Y1784" s="40"/>
      <c r="Z1784" s="40"/>
    </row>
    <row r="1785">
      <c r="A1785" s="65"/>
      <c r="B1785" s="66"/>
      <c r="C1785" s="68"/>
      <c r="D1785" s="68"/>
      <c r="E1785" s="40"/>
      <c r="F1785" s="40"/>
      <c r="G1785" s="40"/>
      <c r="H1785" s="40"/>
      <c r="I1785" s="40"/>
      <c r="J1785" s="40"/>
      <c r="K1785" s="40"/>
      <c r="L1785" s="40"/>
      <c r="M1785" s="40"/>
      <c r="N1785" s="40"/>
      <c r="O1785" s="40"/>
      <c r="P1785" s="40"/>
      <c r="Q1785" s="40"/>
      <c r="R1785" s="40"/>
      <c r="S1785" s="40"/>
      <c r="T1785" s="40"/>
      <c r="U1785" s="40"/>
      <c r="V1785" s="40"/>
      <c r="W1785" s="40"/>
      <c r="X1785" s="40"/>
      <c r="Y1785" s="40"/>
      <c r="Z1785" s="40"/>
    </row>
    <row r="1786">
      <c r="A1786" s="65"/>
      <c r="B1786" s="66"/>
      <c r="C1786" s="68"/>
      <c r="D1786" s="68"/>
      <c r="E1786" s="40"/>
      <c r="F1786" s="40"/>
      <c r="G1786" s="40"/>
      <c r="H1786" s="40"/>
      <c r="I1786" s="40"/>
      <c r="J1786" s="40"/>
      <c r="K1786" s="40"/>
      <c r="L1786" s="40"/>
      <c r="M1786" s="40"/>
      <c r="N1786" s="40"/>
      <c r="O1786" s="40"/>
      <c r="P1786" s="40"/>
      <c r="Q1786" s="40"/>
      <c r="R1786" s="40"/>
      <c r="S1786" s="40"/>
      <c r="T1786" s="40"/>
      <c r="U1786" s="40"/>
      <c r="V1786" s="40"/>
      <c r="W1786" s="40"/>
      <c r="X1786" s="40"/>
      <c r="Y1786" s="40"/>
      <c r="Z1786" s="40"/>
    </row>
    <row r="1787">
      <c r="A1787" s="65"/>
      <c r="B1787" s="66"/>
      <c r="C1787" s="68"/>
      <c r="D1787" s="68"/>
      <c r="E1787" s="40"/>
      <c r="F1787" s="40"/>
      <c r="G1787" s="40"/>
      <c r="H1787" s="40"/>
      <c r="I1787" s="40"/>
      <c r="J1787" s="40"/>
      <c r="K1787" s="40"/>
      <c r="L1787" s="40"/>
      <c r="M1787" s="40"/>
      <c r="N1787" s="40"/>
      <c r="O1787" s="40"/>
      <c r="P1787" s="40"/>
      <c r="Q1787" s="40"/>
      <c r="R1787" s="40"/>
      <c r="S1787" s="40"/>
      <c r="T1787" s="40"/>
      <c r="U1787" s="40"/>
      <c r="V1787" s="40"/>
      <c r="W1787" s="40"/>
      <c r="X1787" s="40"/>
      <c r="Y1787" s="40"/>
      <c r="Z1787" s="40"/>
    </row>
    <row r="1788">
      <c r="A1788" s="65"/>
      <c r="B1788" s="66"/>
      <c r="C1788" s="68"/>
      <c r="D1788" s="68"/>
      <c r="E1788" s="40"/>
      <c r="F1788" s="40"/>
      <c r="G1788" s="40"/>
      <c r="H1788" s="40"/>
      <c r="I1788" s="40"/>
      <c r="J1788" s="40"/>
      <c r="K1788" s="40"/>
      <c r="L1788" s="40"/>
      <c r="M1788" s="40"/>
      <c r="N1788" s="40"/>
      <c r="O1788" s="40"/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0"/>
    </row>
    <row r="1789">
      <c r="A1789" s="65"/>
      <c r="B1789" s="66"/>
      <c r="C1789" s="68"/>
      <c r="D1789" s="68"/>
      <c r="E1789" s="40"/>
      <c r="F1789" s="40"/>
      <c r="G1789" s="40"/>
      <c r="H1789" s="40"/>
      <c r="I1789" s="40"/>
      <c r="J1789" s="40"/>
      <c r="K1789" s="40"/>
      <c r="L1789" s="40"/>
      <c r="M1789" s="40"/>
      <c r="N1789" s="40"/>
      <c r="O1789" s="40"/>
      <c r="P1789" s="40"/>
      <c r="Q1789" s="40"/>
      <c r="R1789" s="40"/>
      <c r="S1789" s="40"/>
      <c r="T1789" s="40"/>
      <c r="U1789" s="40"/>
      <c r="V1789" s="40"/>
      <c r="W1789" s="40"/>
      <c r="X1789" s="40"/>
      <c r="Y1789" s="40"/>
      <c r="Z1789" s="40"/>
    </row>
    <row r="1790">
      <c r="A1790" s="65"/>
      <c r="B1790" s="66"/>
      <c r="C1790" s="68"/>
      <c r="D1790" s="68"/>
      <c r="E1790" s="40"/>
      <c r="F1790" s="40"/>
      <c r="G1790" s="40"/>
      <c r="H1790" s="40"/>
      <c r="I1790" s="40"/>
      <c r="J1790" s="40"/>
      <c r="K1790" s="40"/>
      <c r="L1790" s="40"/>
      <c r="M1790" s="40"/>
      <c r="N1790" s="40"/>
      <c r="O1790" s="40"/>
      <c r="P1790" s="40"/>
      <c r="Q1790" s="40"/>
      <c r="R1790" s="40"/>
      <c r="S1790" s="40"/>
      <c r="T1790" s="40"/>
      <c r="U1790" s="40"/>
      <c r="V1790" s="40"/>
      <c r="W1790" s="40"/>
      <c r="X1790" s="40"/>
      <c r="Y1790" s="40"/>
      <c r="Z1790" s="40"/>
    </row>
    <row r="1791">
      <c r="A1791" s="65"/>
      <c r="B1791" s="66"/>
      <c r="C1791" s="68"/>
      <c r="D1791" s="68"/>
      <c r="E1791" s="40"/>
      <c r="F1791" s="40"/>
      <c r="G1791" s="40"/>
      <c r="H1791" s="40"/>
      <c r="I1791" s="40"/>
      <c r="J1791" s="40"/>
      <c r="K1791" s="40"/>
      <c r="L1791" s="40"/>
      <c r="M1791" s="40"/>
      <c r="N1791" s="40"/>
      <c r="O1791" s="40"/>
      <c r="P1791" s="40"/>
      <c r="Q1791" s="40"/>
      <c r="R1791" s="40"/>
      <c r="S1791" s="40"/>
      <c r="T1791" s="40"/>
      <c r="U1791" s="40"/>
      <c r="V1791" s="40"/>
      <c r="W1791" s="40"/>
      <c r="X1791" s="40"/>
      <c r="Y1791" s="40"/>
      <c r="Z1791" s="40"/>
    </row>
    <row r="1792">
      <c r="A1792" s="65"/>
      <c r="B1792" s="66"/>
      <c r="C1792" s="68"/>
      <c r="D1792" s="68"/>
      <c r="E1792" s="40"/>
      <c r="F1792" s="40"/>
      <c r="G1792" s="40"/>
      <c r="H1792" s="40"/>
      <c r="I1792" s="40"/>
      <c r="J1792" s="40"/>
      <c r="K1792" s="40"/>
      <c r="L1792" s="40"/>
      <c r="M1792" s="40"/>
      <c r="N1792" s="40"/>
      <c r="O1792" s="40"/>
      <c r="P1792" s="40"/>
      <c r="Q1792" s="40"/>
      <c r="R1792" s="40"/>
      <c r="S1792" s="40"/>
      <c r="T1792" s="40"/>
      <c r="U1792" s="40"/>
      <c r="V1792" s="40"/>
      <c r="W1792" s="40"/>
      <c r="X1792" s="40"/>
      <c r="Y1792" s="40"/>
      <c r="Z1792" s="40"/>
    </row>
    <row r="1793">
      <c r="A1793" s="65"/>
      <c r="B1793" s="66"/>
      <c r="C1793" s="68"/>
      <c r="D1793" s="68"/>
      <c r="E1793" s="40"/>
      <c r="F1793" s="40"/>
      <c r="G1793" s="40"/>
      <c r="H1793" s="40"/>
      <c r="I1793" s="40"/>
      <c r="J1793" s="40"/>
      <c r="K1793" s="40"/>
      <c r="L1793" s="40"/>
      <c r="M1793" s="40"/>
      <c r="N1793" s="40"/>
      <c r="O1793" s="40"/>
      <c r="P1793" s="40"/>
      <c r="Q1793" s="40"/>
      <c r="R1793" s="40"/>
      <c r="S1793" s="40"/>
      <c r="T1793" s="40"/>
      <c r="U1793" s="40"/>
      <c r="V1793" s="40"/>
      <c r="W1793" s="40"/>
      <c r="X1793" s="40"/>
      <c r="Y1793" s="40"/>
      <c r="Z1793" s="40"/>
    </row>
    <row r="1794">
      <c r="A1794" s="65"/>
      <c r="B1794" s="66"/>
      <c r="C1794" s="68"/>
      <c r="D1794" s="68"/>
      <c r="E1794" s="40"/>
      <c r="F1794" s="40"/>
      <c r="G1794" s="40"/>
      <c r="H1794" s="40"/>
      <c r="I1794" s="40"/>
      <c r="J1794" s="40"/>
      <c r="K1794" s="40"/>
      <c r="L1794" s="40"/>
      <c r="M1794" s="40"/>
      <c r="N1794" s="40"/>
      <c r="O1794" s="40"/>
      <c r="P1794" s="40"/>
      <c r="Q1794" s="40"/>
      <c r="R1794" s="40"/>
      <c r="S1794" s="40"/>
      <c r="T1794" s="40"/>
      <c r="U1794" s="40"/>
      <c r="V1794" s="40"/>
      <c r="W1794" s="40"/>
      <c r="X1794" s="40"/>
      <c r="Y1794" s="40"/>
      <c r="Z1794" s="40"/>
    </row>
    <row r="1795">
      <c r="A1795" s="65"/>
      <c r="B1795" s="66"/>
      <c r="C1795" s="68"/>
      <c r="D1795" s="68"/>
      <c r="E1795" s="40"/>
      <c r="F1795" s="40"/>
      <c r="G1795" s="40"/>
      <c r="H1795" s="40"/>
      <c r="I1795" s="40"/>
      <c r="J1795" s="40"/>
      <c r="K1795" s="40"/>
      <c r="L1795" s="40"/>
      <c r="M1795" s="40"/>
      <c r="N1795" s="40"/>
      <c r="O1795" s="40"/>
      <c r="P1795" s="40"/>
      <c r="Q1795" s="40"/>
      <c r="R1795" s="40"/>
      <c r="S1795" s="40"/>
      <c r="T1795" s="40"/>
      <c r="U1795" s="40"/>
      <c r="V1795" s="40"/>
      <c r="W1795" s="40"/>
      <c r="X1795" s="40"/>
      <c r="Y1795" s="40"/>
      <c r="Z1795" s="40"/>
    </row>
    <row r="1796">
      <c r="A1796" s="65"/>
      <c r="B1796" s="66"/>
      <c r="C1796" s="68"/>
      <c r="D1796" s="68"/>
      <c r="E1796" s="40"/>
      <c r="F1796" s="40"/>
      <c r="G1796" s="40"/>
      <c r="H1796" s="40"/>
      <c r="I1796" s="40"/>
      <c r="J1796" s="40"/>
      <c r="K1796" s="40"/>
      <c r="L1796" s="40"/>
      <c r="M1796" s="40"/>
      <c r="N1796" s="40"/>
      <c r="O1796" s="40"/>
      <c r="P1796" s="40"/>
      <c r="Q1796" s="40"/>
      <c r="R1796" s="40"/>
      <c r="S1796" s="40"/>
      <c r="T1796" s="40"/>
      <c r="U1796" s="40"/>
      <c r="V1796" s="40"/>
      <c r="W1796" s="40"/>
      <c r="X1796" s="40"/>
      <c r="Y1796" s="40"/>
      <c r="Z1796" s="40"/>
    </row>
    <row r="1797">
      <c r="A1797" s="65"/>
      <c r="B1797" s="66"/>
      <c r="C1797" s="68"/>
      <c r="D1797" s="68"/>
      <c r="E1797" s="40"/>
      <c r="F1797" s="40"/>
      <c r="G1797" s="40"/>
      <c r="H1797" s="40"/>
      <c r="I1797" s="40"/>
      <c r="J1797" s="40"/>
      <c r="K1797" s="40"/>
      <c r="L1797" s="40"/>
      <c r="M1797" s="40"/>
      <c r="N1797" s="40"/>
      <c r="O1797" s="40"/>
      <c r="P1797" s="40"/>
      <c r="Q1797" s="40"/>
      <c r="R1797" s="40"/>
      <c r="S1797" s="40"/>
      <c r="T1797" s="40"/>
      <c r="U1797" s="40"/>
      <c r="V1797" s="40"/>
      <c r="W1797" s="40"/>
      <c r="X1797" s="40"/>
      <c r="Y1797" s="40"/>
      <c r="Z1797" s="40"/>
    </row>
    <row r="1798">
      <c r="A1798" s="65"/>
      <c r="B1798" s="66"/>
      <c r="C1798" s="68"/>
      <c r="D1798" s="68"/>
      <c r="E1798" s="40"/>
      <c r="F1798" s="40"/>
      <c r="G1798" s="40"/>
      <c r="H1798" s="40"/>
      <c r="I1798" s="40"/>
      <c r="J1798" s="40"/>
      <c r="K1798" s="40"/>
      <c r="L1798" s="40"/>
      <c r="M1798" s="40"/>
      <c r="N1798" s="40"/>
      <c r="O1798" s="40"/>
      <c r="P1798" s="40"/>
      <c r="Q1798" s="40"/>
      <c r="R1798" s="40"/>
      <c r="S1798" s="40"/>
      <c r="T1798" s="40"/>
      <c r="U1798" s="40"/>
      <c r="V1798" s="40"/>
      <c r="W1798" s="40"/>
      <c r="X1798" s="40"/>
      <c r="Y1798" s="40"/>
      <c r="Z1798" s="40"/>
    </row>
    <row r="1799">
      <c r="A1799" s="65"/>
      <c r="B1799" s="66"/>
      <c r="C1799" s="68"/>
      <c r="D1799" s="68"/>
      <c r="E1799" s="40"/>
      <c r="F1799" s="40"/>
      <c r="G1799" s="40"/>
      <c r="H1799" s="40"/>
      <c r="I1799" s="40"/>
      <c r="J1799" s="40"/>
      <c r="K1799" s="40"/>
      <c r="L1799" s="40"/>
      <c r="M1799" s="40"/>
      <c r="N1799" s="40"/>
      <c r="O1799" s="40"/>
      <c r="P1799" s="40"/>
      <c r="Q1799" s="40"/>
      <c r="R1799" s="40"/>
      <c r="S1799" s="40"/>
      <c r="T1799" s="40"/>
      <c r="U1799" s="40"/>
      <c r="V1799" s="40"/>
      <c r="W1799" s="40"/>
      <c r="X1799" s="40"/>
      <c r="Y1799" s="40"/>
      <c r="Z1799" s="40"/>
    </row>
    <row r="1800">
      <c r="A1800" s="65"/>
      <c r="B1800" s="66"/>
      <c r="C1800" s="68"/>
      <c r="D1800" s="68"/>
      <c r="E1800" s="40"/>
      <c r="F1800" s="40"/>
      <c r="G1800" s="40"/>
      <c r="H1800" s="40"/>
      <c r="I1800" s="40"/>
      <c r="J1800" s="40"/>
      <c r="K1800" s="40"/>
      <c r="L1800" s="40"/>
      <c r="M1800" s="40"/>
      <c r="N1800" s="40"/>
      <c r="O1800" s="40"/>
      <c r="P1800" s="40"/>
      <c r="Q1800" s="40"/>
      <c r="R1800" s="40"/>
      <c r="S1800" s="40"/>
      <c r="T1800" s="40"/>
      <c r="U1800" s="40"/>
      <c r="V1800" s="40"/>
      <c r="W1800" s="40"/>
      <c r="X1800" s="40"/>
      <c r="Y1800" s="40"/>
      <c r="Z1800" s="40"/>
    </row>
    <row r="1801">
      <c r="A1801" s="65"/>
      <c r="B1801" s="66"/>
      <c r="C1801" s="68"/>
      <c r="D1801" s="68"/>
      <c r="E1801" s="40"/>
      <c r="F1801" s="40"/>
      <c r="G1801" s="40"/>
      <c r="H1801" s="40"/>
      <c r="I1801" s="40"/>
      <c r="J1801" s="40"/>
      <c r="K1801" s="40"/>
      <c r="L1801" s="40"/>
      <c r="M1801" s="40"/>
      <c r="N1801" s="40"/>
      <c r="O1801" s="40"/>
      <c r="P1801" s="40"/>
      <c r="Q1801" s="40"/>
      <c r="R1801" s="40"/>
      <c r="S1801" s="40"/>
      <c r="T1801" s="40"/>
      <c r="U1801" s="40"/>
      <c r="V1801" s="40"/>
      <c r="W1801" s="40"/>
      <c r="X1801" s="40"/>
      <c r="Y1801" s="40"/>
      <c r="Z1801" s="40"/>
    </row>
    <row r="1802">
      <c r="A1802" s="65"/>
      <c r="B1802" s="66"/>
      <c r="C1802" s="68"/>
      <c r="D1802" s="68"/>
      <c r="E1802" s="40"/>
      <c r="F1802" s="40"/>
      <c r="G1802" s="40"/>
      <c r="H1802" s="40"/>
      <c r="I1802" s="40"/>
      <c r="J1802" s="40"/>
      <c r="K1802" s="40"/>
      <c r="L1802" s="40"/>
      <c r="M1802" s="40"/>
      <c r="N1802" s="40"/>
      <c r="O1802" s="40"/>
      <c r="P1802" s="40"/>
      <c r="Q1802" s="40"/>
      <c r="R1802" s="40"/>
      <c r="S1802" s="40"/>
      <c r="T1802" s="40"/>
      <c r="U1802" s="40"/>
      <c r="V1802" s="40"/>
      <c r="W1802" s="40"/>
      <c r="X1802" s="40"/>
      <c r="Y1802" s="40"/>
      <c r="Z1802" s="40"/>
    </row>
    <row r="1803">
      <c r="A1803" s="65"/>
      <c r="B1803" s="66"/>
      <c r="C1803" s="68"/>
      <c r="D1803" s="68"/>
      <c r="E1803" s="40"/>
      <c r="F1803" s="40"/>
      <c r="G1803" s="40"/>
      <c r="H1803" s="40"/>
      <c r="I1803" s="40"/>
      <c r="J1803" s="40"/>
      <c r="K1803" s="40"/>
      <c r="L1803" s="40"/>
      <c r="M1803" s="40"/>
      <c r="N1803" s="40"/>
      <c r="O1803" s="40"/>
      <c r="P1803" s="40"/>
      <c r="Q1803" s="40"/>
      <c r="R1803" s="40"/>
      <c r="S1803" s="40"/>
      <c r="T1803" s="40"/>
      <c r="U1803" s="40"/>
      <c r="V1803" s="40"/>
      <c r="W1803" s="40"/>
      <c r="X1803" s="40"/>
      <c r="Y1803" s="40"/>
      <c r="Z1803" s="40"/>
    </row>
    <row r="1804">
      <c r="A1804" s="65"/>
      <c r="B1804" s="66"/>
      <c r="C1804" s="68"/>
      <c r="D1804" s="68"/>
      <c r="E1804" s="40"/>
      <c r="F1804" s="40"/>
      <c r="G1804" s="40"/>
      <c r="H1804" s="40"/>
      <c r="I1804" s="40"/>
      <c r="J1804" s="40"/>
      <c r="K1804" s="40"/>
      <c r="L1804" s="40"/>
      <c r="M1804" s="40"/>
      <c r="N1804" s="40"/>
      <c r="O1804" s="40"/>
      <c r="P1804" s="40"/>
      <c r="Q1804" s="40"/>
      <c r="R1804" s="40"/>
      <c r="S1804" s="40"/>
      <c r="T1804" s="40"/>
      <c r="U1804" s="40"/>
      <c r="V1804" s="40"/>
      <c r="W1804" s="40"/>
      <c r="X1804" s="40"/>
      <c r="Y1804" s="40"/>
      <c r="Z1804" s="40"/>
    </row>
    <row r="1805">
      <c r="A1805" s="65"/>
      <c r="B1805" s="66"/>
      <c r="C1805" s="68"/>
      <c r="D1805" s="68"/>
      <c r="E1805" s="40"/>
      <c r="F1805" s="40"/>
      <c r="G1805" s="40"/>
      <c r="H1805" s="40"/>
      <c r="I1805" s="40"/>
      <c r="J1805" s="40"/>
      <c r="K1805" s="40"/>
      <c r="L1805" s="40"/>
      <c r="M1805" s="40"/>
      <c r="N1805" s="40"/>
      <c r="O1805" s="40"/>
      <c r="P1805" s="40"/>
      <c r="Q1805" s="40"/>
      <c r="R1805" s="40"/>
      <c r="S1805" s="40"/>
      <c r="T1805" s="40"/>
      <c r="U1805" s="40"/>
      <c r="V1805" s="40"/>
      <c r="W1805" s="40"/>
      <c r="X1805" s="40"/>
      <c r="Y1805" s="40"/>
      <c r="Z1805" s="40"/>
    </row>
    <row r="1806">
      <c r="A1806" s="65"/>
      <c r="B1806" s="66"/>
      <c r="C1806" s="68"/>
      <c r="D1806" s="68"/>
      <c r="E1806" s="40"/>
      <c r="F1806" s="40"/>
      <c r="G1806" s="40"/>
      <c r="H1806" s="40"/>
      <c r="I1806" s="40"/>
      <c r="J1806" s="40"/>
      <c r="K1806" s="40"/>
      <c r="L1806" s="40"/>
      <c r="M1806" s="40"/>
      <c r="N1806" s="40"/>
      <c r="O1806" s="40"/>
      <c r="P1806" s="40"/>
      <c r="Q1806" s="40"/>
      <c r="R1806" s="40"/>
      <c r="S1806" s="40"/>
      <c r="T1806" s="40"/>
      <c r="U1806" s="40"/>
      <c r="V1806" s="40"/>
      <c r="W1806" s="40"/>
      <c r="X1806" s="40"/>
      <c r="Y1806" s="40"/>
      <c r="Z1806" s="40"/>
    </row>
    <row r="1807">
      <c r="A1807" s="65"/>
      <c r="B1807" s="66"/>
      <c r="C1807" s="68"/>
      <c r="D1807" s="68"/>
      <c r="E1807" s="40"/>
      <c r="F1807" s="40"/>
      <c r="G1807" s="40"/>
      <c r="H1807" s="40"/>
      <c r="I1807" s="40"/>
      <c r="J1807" s="40"/>
      <c r="K1807" s="40"/>
      <c r="L1807" s="40"/>
      <c r="M1807" s="40"/>
      <c r="N1807" s="40"/>
      <c r="O1807" s="40"/>
      <c r="P1807" s="40"/>
      <c r="Q1807" s="40"/>
      <c r="R1807" s="40"/>
      <c r="S1807" s="40"/>
      <c r="T1807" s="40"/>
      <c r="U1807" s="40"/>
      <c r="V1807" s="40"/>
      <c r="W1807" s="40"/>
      <c r="X1807" s="40"/>
      <c r="Y1807" s="40"/>
      <c r="Z1807" s="40"/>
    </row>
    <row r="1808">
      <c r="A1808" s="65"/>
      <c r="B1808" s="66"/>
      <c r="C1808" s="68"/>
      <c r="D1808" s="68"/>
      <c r="E1808" s="40"/>
      <c r="F1808" s="40"/>
      <c r="G1808" s="40"/>
      <c r="H1808" s="40"/>
      <c r="I1808" s="40"/>
      <c r="J1808" s="40"/>
      <c r="K1808" s="40"/>
      <c r="L1808" s="40"/>
      <c r="M1808" s="40"/>
      <c r="N1808" s="40"/>
      <c r="O1808" s="40"/>
      <c r="P1808" s="40"/>
      <c r="Q1808" s="40"/>
      <c r="R1808" s="40"/>
      <c r="S1808" s="40"/>
      <c r="T1808" s="40"/>
      <c r="U1808" s="40"/>
      <c r="V1808" s="40"/>
      <c r="W1808" s="40"/>
      <c r="X1808" s="40"/>
      <c r="Y1808" s="40"/>
      <c r="Z1808" s="40"/>
    </row>
    <row r="1809">
      <c r="A1809" s="65"/>
      <c r="B1809" s="66"/>
      <c r="C1809" s="68"/>
      <c r="D1809" s="68"/>
      <c r="E1809" s="40"/>
      <c r="F1809" s="40"/>
      <c r="G1809" s="40"/>
      <c r="H1809" s="40"/>
      <c r="I1809" s="40"/>
      <c r="J1809" s="40"/>
      <c r="K1809" s="40"/>
      <c r="L1809" s="40"/>
      <c r="M1809" s="40"/>
      <c r="N1809" s="40"/>
      <c r="O1809" s="40"/>
      <c r="P1809" s="40"/>
      <c r="Q1809" s="40"/>
      <c r="R1809" s="40"/>
      <c r="S1809" s="40"/>
      <c r="T1809" s="40"/>
      <c r="U1809" s="40"/>
      <c r="V1809" s="40"/>
      <c r="W1809" s="40"/>
      <c r="X1809" s="40"/>
      <c r="Y1809" s="40"/>
      <c r="Z1809" s="40"/>
    </row>
    <row r="1810">
      <c r="A1810" s="65"/>
      <c r="B1810" s="66"/>
      <c r="C1810" s="68"/>
      <c r="D1810" s="68"/>
      <c r="E1810" s="40"/>
      <c r="F1810" s="40"/>
      <c r="G1810" s="40"/>
      <c r="H1810" s="40"/>
      <c r="I1810" s="40"/>
      <c r="J1810" s="40"/>
      <c r="K1810" s="40"/>
      <c r="L1810" s="40"/>
      <c r="M1810" s="40"/>
      <c r="N1810" s="40"/>
      <c r="O1810" s="40"/>
      <c r="P1810" s="40"/>
      <c r="Q1810" s="40"/>
      <c r="R1810" s="40"/>
      <c r="S1810" s="40"/>
      <c r="T1810" s="40"/>
      <c r="U1810" s="40"/>
      <c r="V1810" s="40"/>
      <c r="W1810" s="40"/>
      <c r="X1810" s="40"/>
      <c r="Y1810" s="40"/>
      <c r="Z1810" s="40"/>
    </row>
    <row r="1811">
      <c r="A1811" s="65"/>
      <c r="B1811" s="66"/>
      <c r="C1811" s="68"/>
      <c r="D1811" s="68"/>
      <c r="E1811" s="40"/>
      <c r="F1811" s="40"/>
      <c r="G1811" s="40"/>
      <c r="H1811" s="40"/>
      <c r="I1811" s="40"/>
      <c r="J1811" s="40"/>
      <c r="K1811" s="40"/>
      <c r="L1811" s="40"/>
      <c r="M1811" s="40"/>
      <c r="N1811" s="40"/>
      <c r="O1811" s="40"/>
      <c r="P1811" s="40"/>
      <c r="Q1811" s="40"/>
      <c r="R1811" s="40"/>
      <c r="S1811" s="40"/>
      <c r="T1811" s="40"/>
      <c r="U1811" s="40"/>
      <c r="V1811" s="40"/>
      <c r="W1811" s="40"/>
      <c r="X1811" s="40"/>
      <c r="Y1811" s="40"/>
      <c r="Z1811" s="40"/>
    </row>
    <row r="1812">
      <c r="A1812" s="65"/>
      <c r="B1812" s="66"/>
      <c r="C1812" s="68"/>
      <c r="D1812" s="68"/>
      <c r="E1812" s="40"/>
      <c r="F1812" s="40"/>
      <c r="G1812" s="40"/>
      <c r="H1812" s="40"/>
      <c r="I1812" s="40"/>
      <c r="J1812" s="40"/>
      <c r="K1812" s="40"/>
      <c r="L1812" s="40"/>
      <c r="M1812" s="40"/>
      <c r="N1812" s="40"/>
      <c r="O1812" s="40"/>
      <c r="P1812" s="40"/>
      <c r="Q1812" s="40"/>
      <c r="R1812" s="40"/>
      <c r="S1812" s="40"/>
      <c r="T1812" s="40"/>
      <c r="U1812" s="40"/>
      <c r="V1812" s="40"/>
      <c r="W1812" s="40"/>
      <c r="X1812" s="40"/>
      <c r="Y1812" s="40"/>
      <c r="Z1812" s="40"/>
    </row>
    <row r="1813">
      <c r="A1813" s="65"/>
      <c r="B1813" s="66"/>
      <c r="C1813" s="68"/>
      <c r="D1813" s="68"/>
      <c r="E1813" s="40"/>
      <c r="F1813" s="40"/>
      <c r="G1813" s="40"/>
      <c r="H1813" s="40"/>
      <c r="I1813" s="40"/>
      <c r="J1813" s="40"/>
      <c r="K1813" s="40"/>
      <c r="L1813" s="40"/>
      <c r="M1813" s="40"/>
      <c r="N1813" s="40"/>
      <c r="O1813" s="40"/>
      <c r="P1813" s="40"/>
      <c r="Q1813" s="40"/>
      <c r="R1813" s="40"/>
      <c r="S1813" s="40"/>
      <c r="T1813" s="40"/>
      <c r="U1813" s="40"/>
      <c r="V1813" s="40"/>
      <c r="W1813" s="40"/>
      <c r="X1813" s="40"/>
      <c r="Y1813" s="40"/>
      <c r="Z1813" s="40"/>
    </row>
    <row r="1814">
      <c r="A1814" s="65"/>
      <c r="B1814" s="66"/>
      <c r="C1814" s="68"/>
      <c r="D1814" s="68"/>
      <c r="E1814" s="40"/>
      <c r="F1814" s="40"/>
      <c r="G1814" s="40"/>
      <c r="H1814" s="40"/>
      <c r="I1814" s="40"/>
      <c r="J1814" s="40"/>
      <c r="K1814" s="40"/>
      <c r="L1814" s="40"/>
      <c r="M1814" s="40"/>
      <c r="N1814" s="40"/>
      <c r="O1814" s="40"/>
      <c r="P1814" s="40"/>
      <c r="Q1814" s="40"/>
      <c r="R1814" s="40"/>
      <c r="S1814" s="40"/>
      <c r="T1814" s="40"/>
      <c r="U1814" s="40"/>
      <c r="V1814" s="40"/>
      <c r="W1814" s="40"/>
      <c r="X1814" s="40"/>
      <c r="Y1814" s="40"/>
      <c r="Z1814" s="40"/>
    </row>
    <row r="1815">
      <c r="A1815" s="65"/>
      <c r="B1815" s="66"/>
      <c r="C1815" s="68"/>
      <c r="D1815" s="68"/>
      <c r="E1815" s="40"/>
      <c r="F1815" s="40"/>
      <c r="G1815" s="40"/>
      <c r="H1815" s="40"/>
      <c r="I1815" s="40"/>
      <c r="J1815" s="40"/>
      <c r="K1815" s="40"/>
      <c r="L1815" s="40"/>
      <c r="M1815" s="40"/>
      <c r="N1815" s="40"/>
      <c r="O1815" s="40"/>
      <c r="P1815" s="40"/>
      <c r="Q1815" s="40"/>
      <c r="R1815" s="40"/>
      <c r="S1815" s="40"/>
      <c r="T1815" s="40"/>
      <c r="U1815" s="40"/>
      <c r="V1815" s="40"/>
      <c r="W1815" s="40"/>
      <c r="X1815" s="40"/>
      <c r="Y1815" s="40"/>
      <c r="Z1815" s="40"/>
    </row>
    <row r="1816">
      <c r="A1816" s="65"/>
      <c r="B1816" s="66"/>
      <c r="C1816" s="68"/>
      <c r="D1816" s="68"/>
      <c r="E1816" s="40"/>
      <c r="F1816" s="40"/>
      <c r="G1816" s="40"/>
      <c r="H1816" s="40"/>
      <c r="I1816" s="40"/>
      <c r="J1816" s="40"/>
      <c r="K1816" s="40"/>
      <c r="L1816" s="40"/>
      <c r="M1816" s="40"/>
      <c r="N1816" s="40"/>
      <c r="O1816" s="40"/>
      <c r="P1816" s="40"/>
      <c r="Q1816" s="40"/>
      <c r="R1816" s="40"/>
      <c r="S1816" s="40"/>
      <c r="T1816" s="40"/>
      <c r="U1816" s="40"/>
      <c r="V1816" s="40"/>
      <c r="W1816" s="40"/>
      <c r="X1816" s="40"/>
      <c r="Y1816" s="40"/>
      <c r="Z1816" s="40"/>
    </row>
    <row r="1817">
      <c r="A1817" s="65"/>
      <c r="B1817" s="66"/>
      <c r="C1817" s="68"/>
      <c r="D1817" s="68"/>
      <c r="E1817" s="40"/>
      <c r="F1817" s="40"/>
      <c r="G1817" s="40"/>
      <c r="H1817" s="40"/>
      <c r="I1817" s="40"/>
      <c r="J1817" s="40"/>
      <c r="K1817" s="40"/>
      <c r="L1817" s="40"/>
      <c r="M1817" s="40"/>
      <c r="N1817" s="40"/>
      <c r="O1817" s="40"/>
      <c r="P1817" s="40"/>
      <c r="Q1817" s="40"/>
      <c r="R1817" s="40"/>
      <c r="S1817" s="40"/>
      <c r="T1817" s="40"/>
      <c r="U1817" s="40"/>
      <c r="V1817" s="40"/>
      <c r="W1817" s="40"/>
      <c r="X1817" s="40"/>
      <c r="Y1817" s="40"/>
      <c r="Z1817" s="40"/>
    </row>
    <row r="1818">
      <c r="A1818" s="65"/>
      <c r="B1818" s="66"/>
      <c r="C1818" s="68"/>
      <c r="D1818" s="68"/>
      <c r="E1818" s="40"/>
      <c r="F1818" s="40"/>
      <c r="G1818" s="40"/>
      <c r="H1818" s="40"/>
      <c r="I1818" s="40"/>
      <c r="J1818" s="40"/>
      <c r="K1818" s="40"/>
      <c r="L1818" s="40"/>
      <c r="M1818" s="40"/>
      <c r="N1818" s="40"/>
      <c r="O1818" s="40"/>
      <c r="P1818" s="40"/>
      <c r="Q1818" s="40"/>
      <c r="R1818" s="40"/>
      <c r="S1818" s="40"/>
      <c r="T1818" s="40"/>
      <c r="U1818" s="40"/>
      <c r="V1818" s="40"/>
      <c r="W1818" s="40"/>
      <c r="X1818" s="40"/>
      <c r="Y1818" s="40"/>
      <c r="Z1818" s="40"/>
    </row>
    <row r="1819">
      <c r="A1819" s="65"/>
      <c r="B1819" s="66"/>
      <c r="C1819" s="68"/>
      <c r="D1819" s="68"/>
      <c r="E1819" s="40"/>
      <c r="F1819" s="40"/>
      <c r="G1819" s="40"/>
      <c r="H1819" s="40"/>
      <c r="I1819" s="40"/>
      <c r="J1819" s="40"/>
      <c r="K1819" s="40"/>
      <c r="L1819" s="40"/>
      <c r="M1819" s="40"/>
      <c r="N1819" s="40"/>
      <c r="O1819" s="40"/>
      <c r="P1819" s="40"/>
      <c r="Q1819" s="40"/>
      <c r="R1819" s="40"/>
      <c r="S1819" s="40"/>
      <c r="T1819" s="40"/>
      <c r="U1819" s="40"/>
      <c r="V1819" s="40"/>
      <c r="W1819" s="40"/>
      <c r="X1819" s="40"/>
      <c r="Y1819" s="40"/>
      <c r="Z1819" s="40"/>
    </row>
    <row r="1820">
      <c r="A1820" s="65"/>
      <c r="B1820" s="66"/>
      <c r="C1820" s="68"/>
      <c r="D1820" s="68"/>
      <c r="E1820" s="40"/>
      <c r="F1820" s="40"/>
      <c r="G1820" s="40"/>
      <c r="H1820" s="40"/>
      <c r="I1820" s="40"/>
      <c r="J1820" s="40"/>
      <c r="K1820" s="40"/>
      <c r="L1820" s="40"/>
      <c r="M1820" s="40"/>
      <c r="N1820" s="40"/>
      <c r="O1820" s="40"/>
      <c r="P1820" s="40"/>
      <c r="Q1820" s="40"/>
      <c r="R1820" s="40"/>
      <c r="S1820" s="40"/>
      <c r="T1820" s="40"/>
      <c r="U1820" s="40"/>
      <c r="V1820" s="40"/>
      <c r="W1820" s="40"/>
      <c r="X1820" s="40"/>
      <c r="Y1820" s="40"/>
      <c r="Z1820" s="40"/>
    </row>
    <row r="1821">
      <c r="A1821" s="65"/>
      <c r="B1821" s="66"/>
      <c r="C1821" s="68"/>
      <c r="D1821" s="68"/>
      <c r="E1821" s="40"/>
      <c r="F1821" s="40"/>
      <c r="G1821" s="40"/>
      <c r="H1821" s="40"/>
      <c r="I1821" s="40"/>
      <c r="J1821" s="40"/>
      <c r="K1821" s="40"/>
      <c r="L1821" s="40"/>
      <c r="M1821" s="40"/>
      <c r="N1821" s="40"/>
      <c r="O1821" s="40"/>
      <c r="P1821" s="40"/>
      <c r="Q1821" s="40"/>
      <c r="R1821" s="40"/>
      <c r="S1821" s="40"/>
      <c r="T1821" s="40"/>
      <c r="U1821" s="40"/>
      <c r="V1821" s="40"/>
      <c r="W1821" s="40"/>
      <c r="X1821" s="40"/>
      <c r="Y1821" s="40"/>
      <c r="Z1821" s="40"/>
    </row>
    <row r="1822">
      <c r="A1822" s="65"/>
      <c r="B1822" s="66"/>
      <c r="C1822" s="68"/>
      <c r="D1822" s="68"/>
      <c r="E1822" s="40"/>
      <c r="F1822" s="40"/>
      <c r="G1822" s="40"/>
      <c r="H1822" s="40"/>
      <c r="I1822" s="40"/>
      <c r="J1822" s="40"/>
      <c r="K1822" s="40"/>
      <c r="L1822" s="40"/>
      <c r="M1822" s="40"/>
      <c r="N1822" s="40"/>
      <c r="O1822" s="40"/>
      <c r="P1822" s="40"/>
      <c r="Q1822" s="40"/>
      <c r="R1822" s="40"/>
      <c r="S1822" s="40"/>
      <c r="T1822" s="40"/>
      <c r="U1822" s="40"/>
      <c r="V1822" s="40"/>
      <c r="W1822" s="40"/>
      <c r="X1822" s="40"/>
      <c r="Y1822" s="40"/>
      <c r="Z1822" s="40"/>
    </row>
    <row r="1823">
      <c r="A1823" s="65"/>
      <c r="B1823" s="66"/>
      <c r="C1823" s="68"/>
      <c r="D1823" s="68"/>
      <c r="E1823" s="40"/>
      <c r="F1823" s="40"/>
      <c r="G1823" s="40"/>
      <c r="H1823" s="40"/>
      <c r="I1823" s="40"/>
      <c r="J1823" s="40"/>
      <c r="K1823" s="40"/>
      <c r="L1823" s="40"/>
      <c r="M1823" s="40"/>
      <c r="N1823" s="40"/>
      <c r="O1823" s="40"/>
      <c r="P1823" s="40"/>
      <c r="Q1823" s="40"/>
      <c r="R1823" s="40"/>
      <c r="S1823" s="40"/>
      <c r="T1823" s="40"/>
      <c r="U1823" s="40"/>
      <c r="V1823" s="40"/>
      <c r="W1823" s="40"/>
      <c r="X1823" s="40"/>
      <c r="Y1823" s="40"/>
      <c r="Z1823" s="40"/>
    </row>
    <row r="1824">
      <c r="A1824" s="65"/>
      <c r="B1824" s="66"/>
      <c r="C1824" s="68"/>
      <c r="D1824" s="68"/>
      <c r="E1824" s="40"/>
      <c r="F1824" s="40"/>
      <c r="G1824" s="40"/>
      <c r="H1824" s="40"/>
      <c r="I1824" s="40"/>
      <c r="J1824" s="40"/>
      <c r="K1824" s="40"/>
      <c r="L1824" s="40"/>
      <c r="M1824" s="40"/>
      <c r="N1824" s="40"/>
      <c r="O1824" s="40"/>
      <c r="P1824" s="40"/>
      <c r="Q1824" s="40"/>
      <c r="R1824" s="40"/>
      <c r="S1824" s="40"/>
      <c r="T1824" s="40"/>
      <c r="U1824" s="40"/>
      <c r="V1824" s="40"/>
      <c r="W1824" s="40"/>
      <c r="X1824" s="40"/>
      <c r="Y1824" s="40"/>
      <c r="Z1824" s="40"/>
    </row>
    <row r="1825">
      <c r="A1825" s="65"/>
      <c r="B1825" s="66"/>
      <c r="C1825" s="68"/>
      <c r="D1825" s="68"/>
      <c r="E1825" s="40"/>
      <c r="F1825" s="40"/>
      <c r="G1825" s="40"/>
      <c r="H1825" s="40"/>
      <c r="I1825" s="40"/>
      <c r="J1825" s="40"/>
      <c r="K1825" s="40"/>
      <c r="L1825" s="40"/>
      <c r="M1825" s="40"/>
      <c r="N1825" s="40"/>
      <c r="O1825" s="40"/>
      <c r="P1825" s="40"/>
      <c r="Q1825" s="40"/>
      <c r="R1825" s="40"/>
      <c r="S1825" s="40"/>
      <c r="T1825" s="40"/>
      <c r="U1825" s="40"/>
      <c r="V1825" s="40"/>
      <c r="W1825" s="40"/>
      <c r="X1825" s="40"/>
      <c r="Y1825" s="40"/>
      <c r="Z1825" s="40"/>
    </row>
    <row r="1826">
      <c r="A1826" s="65"/>
      <c r="B1826" s="66"/>
      <c r="C1826" s="68"/>
      <c r="D1826" s="68"/>
      <c r="E1826" s="40"/>
      <c r="F1826" s="40"/>
      <c r="G1826" s="40"/>
      <c r="H1826" s="40"/>
      <c r="I1826" s="40"/>
      <c r="J1826" s="40"/>
      <c r="K1826" s="40"/>
      <c r="L1826" s="40"/>
      <c r="M1826" s="40"/>
      <c r="N1826" s="40"/>
      <c r="O1826" s="40"/>
      <c r="P1826" s="40"/>
      <c r="Q1826" s="40"/>
      <c r="R1826" s="40"/>
      <c r="S1826" s="40"/>
      <c r="T1826" s="40"/>
      <c r="U1826" s="40"/>
      <c r="V1826" s="40"/>
      <c r="W1826" s="40"/>
      <c r="X1826" s="40"/>
      <c r="Y1826" s="40"/>
      <c r="Z1826" s="40"/>
    </row>
    <row r="1827">
      <c r="A1827" s="65"/>
      <c r="B1827" s="66"/>
      <c r="C1827" s="68"/>
      <c r="D1827" s="68"/>
      <c r="E1827" s="40"/>
      <c r="F1827" s="40"/>
      <c r="G1827" s="40"/>
      <c r="H1827" s="40"/>
      <c r="I1827" s="40"/>
      <c r="J1827" s="40"/>
      <c r="K1827" s="40"/>
      <c r="L1827" s="40"/>
      <c r="M1827" s="40"/>
      <c r="N1827" s="40"/>
      <c r="O1827" s="40"/>
      <c r="P1827" s="40"/>
      <c r="Q1827" s="40"/>
      <c r="R1827" s="40"/>
      <c r="S1827" s="40"/>
      <c r="T1827" s="40"/>
      <c r="U1827" s="40"/>
      <c r="V1827" s="40"/>
      <c r="W1827" s="40"/>
      <c r="X1827" s="40"/>
      <c r="Y1827" s="40"/>
      <c r="Z1827" s="40"/>
    </row>
    <row r="1828">
      <c r="A1828" s="65"/>
      <c r="B1828" s="66"/>
      <c r="C1828" s="68"/>
      <c r="D1828" s="68"/>
      <c r="E1828" s="40"/>
      <c r="F1828" s="40"/>
      <c r="G1828" s="40"/>
      <c r="H1828" s="40"/>
      <c r="I1828" s="40"/>
      <c r="J1828" s="40"/>
      <c r="K1828" s="40"/>
      <c r="L1828" s="40"/>
      <c r="M1828" s="40"/>
      <c r="N1828" s="40"/>
      <c r="O1828" s="40"/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0"/>
    </row>
    <row r="1829">
      <c r="A1829" s="65"/>
      <c r="B1829" s="66"/>
      <c r="C1829" s="68"/>
      <c r="D1829" s="68"/>
      <c r="E1829" s="40"/>
      <c r="F1829" s="40"/>
      <c r="G1829" s="40"/>
      <c r="H1829" s="40"/>
      <c r="I1829" s="40"/>
      <c r="J1829" s="40"/>
      <c r="K1829" s="40"/>
      <c r="L1829" s="40"/>
      <c r="M1829" s="40"/>
      <c r="N1829" s="40"/>
      <c r="O1829" s="40"/>
      <c r="P1829" s="40"/>
      <c r="Q1829" s="40"/>
      <c r="R1829" s="40"/>
      <c r="S1829" s="40"/>
      <c r="T1829" s="40"/>
      <c r="U1829" s="40"/>
      <c r="V1829" s="40"/>
      <c r="W1829" s="40"/>
      <c r="X1829" s="40"/>
      <c r="Y1829" s="40"/>
      <c r="Z1829" s="40"/>
    </row>
    <row r="1830">
      <c r="A1830" s="65"/>
      <c r="B1830" s="66"/>
      <c r="C1830" s="68"/>
      <c r="D1830" s="68"/>
      <c r="E1830" s="40"/>
      <c r="F1830" s="40"/>
      <c r="G1830" s="40"/>
      <c r="H1830" s="40"/>
      <c r="I1830" s="40"/>
      <c r="J1830" s="40"/>
      <c r="K1830" s="40"/>
      <c r="L1830" s="40"/>
      <c r="M1830" s="40"/>
      <c r="N1830" s="40"/>
      <c r="O1830" s="40"/>
      <c r="P1830" s="40"/>
      <c r="Q1830" s="40"/>
      <c r="R1830" s="40"/>
      <c r="S1830" s="40"/>
      <c r="T1830" s="40"/>
      <c r="U1830" s="40"/>
      <c r="V1830" s="40"/>
      <c r="W1830" s="40"/>
      <c r="X1830" s="40"/>
      <c r="Y1830" s="40"/>
      <c r="Z1830" s="40"/>
    </row>
    <row r="1831">
      <c r="A1831" s="65"/>
      <c r="B1831" s="66"/>
      <c r="C1831" s="68"/>
      <c r="D1831" s="68"/>
      <c r="E1831" s="40"/>
      <c r="F1831" s="40"/>
      <c r="G1831" s="40"/>
      <c r="H1831" s="40"/>
      <c r="I1831" s="40"/>
      <c r="J1831" s="40"/>
      <c r="K1831" s="40"/>
      <c r="L1831" s="40"/>
      <c r="M1831" s="40"/>
      <c r="N1831" s="40"/>
      <c r="O1831" s="40"/>
      <c r="P1831" s="40"/>
      <c r="Q1831" s="40"/>
      <c r="R1831" s="40"/>
      <c r="S1831" s="40"/>
      <c r="T1831" s="40"/>
      <c r="U1831" s="40"/>
      <c r="V1831" s="40"/>
      <c r="W1831" s="40"/>
      <c r="X1831" s="40"/>
      <c r="Y1831" s="40"/>
      <c r="Z1831" s="40"/>
    </row>
    <row r="1832">
      <c r="A1832" s="65"/>
      <c r="B1832" s="66"/>
      <c r="C1832" s="68"/>
      <c r="D1832" s="68"/>
      <c r="E1832" s="40"/>
      <c r="F1832" s="40"/>
      <c r="G1832" s="40"/>
      <c r="H1832" s="40"/>
      <c r="I1832" s="40"/>
      <c r="J1832" s="40"/>
      <c r="K1832" s="40"/>
      <c r="L1832" s="40"/>
      <c r="M1832" s="40"/>
      <c r="N1832" s="40"/>
      <c r="O1832" s="40"/>
      <c r="P1832" s="40"/>
      <c r="Q1832" s="40"/>
      <c r="R1832" s="40"/>
      <c r="S1832" s="40"/>
      <c r="T1832" s="40"/>
      <c r="U1832" s="40"/>
      <c r="V1832" s="40"/>
      <c r="W1832" s="40"/>
      <c r="X1832" s="40"/>
      <c r="Y1832" s="40"/>
      <c r="Z1832" s="40"/>
    </row>
    <row r="1833">
      <c r="A1833" s="65"/>
      <c r="B1833" s="66"/>
      <c r="C1833" s="68"/>
      <c r="D1833" s="68"/>
      <c r="E1833" s="40"/>
      <c r="F1833" s="40"/>
      <c r="G1833" s="40"/>
      <c r="H1833" s="40"/>
      <c r="I1833" s="40"/>
      <c r="J1833" s="40"/>
      <c r="K1833" s="40"/>
      <c r="L1833" s="40"/>
      <c r="M1833" s="40"/>
      <c r="N1833" s="40"/>
      <c r="O1833" s="40"/>
      <c r="P1833" s="40"/>
      <c r="Q1833" s="40"/>
      <c r="R1833" s="40"/>
      <c r="S1833" s="40"/>
      <c r="T1833" s="40"/>
      <c r="U1833" s="40"/>
      <c r="V1833" s="40"/>
      <c r="W1833" s="40"/>
      <c r="X1833" s="40"/>
      <c r="Y1833" s="40"/>
      <c r="Z1833" s="40"/>
    </row>
    <row r="1834">
      <c r="A1834" s="65"/>
      <c r="B1834" s="66"/>
      <c r="C1834" s="68"/>
      <c r="D1834" s="68"/>
      <c r="E1834" s="40"/>
      <c r="F1834" s="40"/>
      <c r="G1834" s="40"/>
      <c r="H1834" s="40"/>
      <c r="I1834" s="40"/>
      <c r="J1834" s="40"/>
      <c r="K1834" s="40"/>
      <c r="L1834" s="40"/>
      <c r="M1834" s="40"/>
      <c r="N1834" s="40"/>
      <c r="O1834" s="40"/>
      <c r="P1834" s="40"/>
      <c r="Q1834" s="40"/>
      <c r="R1834" s="40"/>
      <c r="S1834" s="40"/>
      <c r="T1834" s="40"/>
      <c r="U1834" s="40"/>
      <c r="V1834" s="40"/>
      <c r="W1834" s="40"/>
      <c r="X1834" s="40"/>
      <c r="Y1834" s="40"/>
      <c r="Z1834" s="40"/>
    </row>
    <row r="1835">
      <c r="A1835" s="65"/>
      <c r="B1835" s="66"/>
      <c r="C1835" s="68"/>
      <c r="D1835" s="68"/>
      <c r="E1835" s="40"/>
      <c r="F1835" s="40"/>
      <c r="G1835" s="40"/>
      <c r="H1835" s="40"/>
      <c r="I1835" s="40"/>
      <c r="J1835" s="40"/>
      <c r="K1835" s="40"/>
      <c r="L1835" s="40"/>
      <c r="M1835" s="40"/>
      <c r="N1835" s="40"/>
      <c r="O1835" s="40"/>
      <c r="P1835" s="40"/>
      <c r="Q1835" s="40"/>
      <c r="R1835" s="40"/>
      <c r="S1835" s="40"/>
      <c r="T1835" s="40"/>
      <c r="U1835" s="40"/>
      <c r="V1835" s="40"/>
      <c r="W1835" s="40"/>
      <c r="X1835" s="40"/>
      <c r="Y1835" s="40"/>
      <c r="Z1835" s="40"/>
    </row>
    <row r="1836">
      <c r="A1836" s="65"/>
      <c r="B1836" s="66"/>
      <c r="C1836" s="68"/>
      <c r="D1836" s="68"/>
      <c r="E1836" s="40"/>
      <c r="F1836" s="40"/>
      <c r="G1836" s="40"/>
      <c r="H1836" s="40"/>
      <c r="I1836" s="40"/>
      <c r="J1836" s="40"/>
      <c r="K1836" s="40"/>
      <c r="L1836" s="40"/>
      <c r="M1836" s="40"/>
      <c r="N1836" s="40"/>
      <c r="O1836" s="40"/>
      <c r="P1836" s="40"/>
      <c r="Q1836" s="40"/>
      <c r="R1836" s="40"/>
      <c r="S1836" s="40"/>
      <c r="T1836" s="40"/>
      <c r="U1836" s="40"/>
      <c r="V1836" s="40"/>
      <c r="W1836" s="40"/>
      <c r="X1836" s="40"/>
      <c r="Y1836" s="40"/>
      <c r="Z1836" s="40"/>
    </row>
    <row r="1837">
      <c r="A1837" s="65"/>
      <c r="B1837" s="66"/>
      <c r="C1837" s="68"/>
      <c r="D1837" s="68"/>
      <c r="E1837" s="40"/>
      <c r="F1837" s="40"/>
      <c r="G1837" s="40"/>
      <c r="H1837" s="40"/>
      <c r="I1837" s="40"/>
      <c r="J1837" s="40"/>
      <c r="K1837" s="40"/>
      <c r="L1837" s="40"/>
      <c r="M1837" s="40"/>
      <c r="N1837" s="40"/>
      <c r="O1837" s="40"/>
      <c r="P1837" s="40"/>
      <c r="Q1837" s="40"/>
      <c r="R1837" s="40"/>
      <c r="S1837" s="40"/>
      <c r="T1837" s="40"/>
      <c r="U1837" s="40"/>
      <c r="V1837" s="40"/>
      <c r="W1837" s="40"/>
      <c r="X1837" s="40"/>
      <c r="Y1837" s="40"/>
      <c r="Z1837" s="40"/>
    </row>
    <row r="1838">
      <c r="A1838" s="65"/>
      <c r="B1838" s="66"/>
      <c r="C1838" s="68"/>
      <c r="D1838" s="68"/>
      <c r="E1838" s="40"/>
      <c r="F1838" s="40"/>
      <c r="G1838" s="40"/>
      <c r="H1838" s="40"/>
      <c r="I1838" s="40"/>
      <c r="J1838" s="40"/>
      <c r="K1838" s="40"/>
      <c r="L1838" s="40"/>
      <c r="M1838" s="40"/>
      <c r="N1838" s="40"/>
      <c r="O1838" s="40"/>
      <c r="P1838" s="40"/>
      <c r="Q1838" s="40"/>
      <c r="R1838" s="40"/>
      <c r="S1838" s="40"/>
      <c r="T1838" s="40"/>
      <c r="U1838" s="40"/>
      <c r="V1838" s="40"/>
      <c r="W1838" s="40"/>
      <c r="X1838" s="40"/>
      <c r="Y1838" s="40"/>
      <c r="Z1838" s="40"/>
    </row>
    <row r="1839">
      <c r="A1839" s="65"/>
      <c r="B1839" s="66"/>
      <c r="C1839" s="68"/>
      <c r="D1839" s="68"/>
      <c r="E1839" s="40"/>
      <c r="F1839" s="40"/>
      <c r="G1839" s="40"/>
      <c r="H1839" s="40"/>
      <c r="I1839" s="40"/>
      <c r="J1839" s="40"/>
      <c r="K1839" s="40"/>
      <c r="L1839" s="40"/>
      <c r="M1839" s="40"/>
      <c r="N1839" s="40"/>
      <c r="O1839" s="40"/>
      <c r="P1839" s="40"/>
      <c r="Q1839" s="40"/>
      <c r="R1839" s="40"/>
      <c r="S1839" s="40"/>
      <c r="T1839" s="40"/>
      <c r="U1839" s="40"/>
      <c r="V1839" s="40"/>
      <c r="W1839" s="40"/>
      <c r="X1839" s="40"/>
      <c r="Y1839" s="40"/>
      <c r="Z1839" s="40"/>
    </row>
    <row r="1840">
      <c r="A1840" s="65"/>
      <c r="B1840" s="66"/>
      <c r="C1840" s="68"/>
      <c r="D1840" s="68"/>
      <c r="E1840" s="40"/>
      <c r="F1840" s="40"/>
      <c r="G1840" s="40"/>
      <c r="H1840" s="40"/>
      <c r="I1840" s="40"/>
      <c r="J1840" s="40"/>
      <c r="K1840" s="40"/>
      <c r="L1840" s="40"/>
      <c r="M1840" s="40"/>
      <c r="N1840" s="40"/>
      <c r="O1840" s="40"/>
      <c r="P1840" s="40"/>
      <c r="Q1840" s="40"/>
      <c r="R1840" s="40"/>
      <c r="S1840" s="40"/>
      <c r="T1840" s="40"/>
      <c r="U1840" s="40"/>
      <c r="V1840" s="40"/>
      <c r="W1840" s="40"/>
      <c r="X1840" s="40"/>
      <c r="Y1840" s="40"/>
      <c r="Z1840" s="40"/>
    </row>
    <row r="1841">
      <c r="A1841" s="65"/>
      <c r="B1841" s="66"/>
      <c r="C1841" s="68"/>
      <c r="D1841" s="68"/>
      <c r="E1841" s="40"/>
      <c r="F1841" s="40"/>
      <c r="G1841" s="40"/>
      <c r="H1841" s="40"/>
      <c r="I1841" s="40"/>
      <c r="J1841" s="40"/>
      <c r="K1841" s="40"/>
      <c r="L1841" s="40"/>
      <c r="M1841" s="40"/>
      <c r="N1841" s="40"/>
      <c r="O1841" s="40"/>
      <c r="P1841" s="40"/>
      <c r="Q1841" s="40"/>
      <c r="R1841" s="40"/>
      <c r="S1841" s="40"/>
      <c r="T1841" s="40"/>
      <c r="U1841" s="40"/>
      <c r="V1841" s="40"/>
      <c r="W1841" s="40"/>
      <c r="X1841" s="40"/>
      <c r="Y1841" s="40"/>
      <c r="Z1841" s="40"/>
    </row>
    <row r="1842">
      <c r="A1842" s="65"/>
      <c r="B1842" s="66"/>
      <c r="C1842" s="68"/>
      <c r="D1842" s="68"/>
      <c r="E1842" s="40"/>
      <c r="F1842" s="40"/>
      <c r="G1842" s="40"/>
      <c r="H1842" s="40"/>
      <c r="I1842" s="40"/>
      <c r="J1842" s="40"/>
      <c r="K1842" s="40"/>
      <c r="L1842" s="40"/>
      <c r="M1842" s="40"/>
      <c r="N1842" s="40"/>
      <c r="O1842" s="40"/>
      <c r="P1842" s="40"/>
      <c r="Q1842" s="40"/>
      <c r="R1842" s="40"/>
      <c r="S1842" s="40"/>
      <c r="T1842" s="40"/>
      <c r="U1842" s="40"/>
      <c r="V1842" s="40"/>
      <c r="W1842" s="40"/>
      <c r="X1842" s="40"/>
      <c r="Y1842" s="40"/>
      <c r="Z1842" s="40"/>
    </row>
    <row r="1843">
      <c r="A1843" s="65"/>
      <c r="B1843" s="66"/>
      <c r="C1843" s="68"/>
      <c r="D1843" s="68"/>
      <c r="E1843" s="40"/>
      <c r="F1843" s="40"/>
      <c r="G1843" s="40"/>
      <c r="H1843" s="40"/>
      <c r="I1843" s="40"/>
      <c r="J1843" s="40"/>
      <c r="K1843" s="40"/>
      <c r="L1843" s="40"/>
      <c r="M1843" s="40"/>
      <c r="N1843" s="40"/>
      <c r="O1843" s="40"/>
      <c r="P1843" s="40"/>
      <c r="Q1843" s="40"/>
      <c r="R1843" s="40"/>
      <c r="S1843" s="40"/>
      <c r="T1843" s="40"/>
      <c r="U1843" s="40"/>
      <c r="V1843" s="40"/>
      <c r="W1843" s="40"/>
      <c r="X1843" s="40"/>
      <c r="Y1843" s="40"/>
      <c r="Z1843" s="40"/>
    </row>
    <row r="1844">
      <c r="A1844" s="65"/>
      <c r="B1844" s="66"/>
      <c r="C1844" s="68"/>
      <c r="D1844" s="68"/>
      <c r="E1844" s="40"/>
      <c r="F1844" s="40"/>
      <c r="G1844" s="40"/>
      <c r="H1844" s="40"/>
      <c r="I1844" s="40"/>
      <c r="J1844" s="40"/>
      <c r="K1844" s="40"/>
      <c r="L1844" s="40"/>
      <c r="M1844" s="40"/>
      <c r="N1844" s="40"/>
      <c r="O1844" s="40"/>
      <c r="P1844" s="40"/>
      <c r="Q1844" s="40"/>
      <c r="R1844" s="40"/>
      <c r="S1844" s="40"/>
      <c r="T1844" s="40"/>
      <c r="U1844" s="40"/>
      <c r="V1844" s="40"/>
      <c r="W1844" s="40"/>
      <c r="X1844" s="40"/>
      <c r="Y1844" s="40"/>
      <c r="Z1844" s="40"/>
    </row>
    <row r="1845">
      <c r="A1845" s="65"/>
      <c r="B1845" s="66"/>
      <c r="C1845" s="68"/>
      <c r="D1845" s="68"/>
      <c r="E1845" s="40"/>
      <c r="F1845" s="40"/>
      <c r="G1845" s="40"/>
      <c r="H1845" s="40"/>
      <c r="I1845" s="40"/>
      <c r="J1845" s="40"/>
      <c r="K1845" s="40"/>
      <c r="L1845" s="40"/>
      <c r="M1845" s="40"/>
      <c r="N1845" s="40"/>
      <c r="O1845" s="40"/>
      <c r="P1845" s="40"/>
      <c r="Q1845" s="40"/>
      <c r="R1845" s="40"/>
      <c r="S1845" s="40"/>
      <c r="T1845" s="40"/>
      <c r="U1845" s="40"/>
      <c r="V1845" s="40"/>
      <c r="W1845" s="40"/>
      <c r="X1845" s="40"/>
      <c r="Y1845" s="40"/>
      <c r="Z1845" s="40"/>
    </row>
    <row r="1846">
      <c r="A1846" s="65"/>
      <c r="B1846" s="66"/>
      <c r="C1846" s="68"/>
      <c r="D1846" s="68"/>
      <c r="E1846" s="40"/>
      <c r="F1846" s="40"/>
      <c r="G1846" s="40"/>
      <c r="H1846" s="40"/>
      <c r="I1846" s="40"/>
      <c r="J1846" s="40"/>
      <c r="K1846" s="40"/>
      <c r="L1846" s="40"/>
      <c r="M1846" s="40"/>
      <c r="N1846" s="40"/>
      <c r="O1846" s="40"/>
      <c r="P1846" s="40"/>
      <c r="Q1846" s="40"/>
      <c r="R1846" s="40"/>
      <c r="S1846" s="40"/>
      <c r="T1846" s="40"/>
      <c r="U1846" s="40"/>
      <c r="V1846" s="40"/>
      <c r="W1846" s="40"/>
      <c r="X1846" s="40"/>
      <c r="Y1846" s="40"/>
      <c r="Z1846" s="40"/>
    </row>
    <row r="1847">
      <c r="A1847" s="65"/>
      <c r="B1847" s="66"/>
      <c r="C1847" s="68"/>
      <c r="D1847" s="68"/>
      <c r="E1847" s="40"/>
      <c r="F1847" s="40"/>
      <c r="G1847" s="40"/>
      <c r="H1847" s="40"/>
      <c r="I1847" s="40"/>
      <c r="J1847" s="40"/>
      <c r="K1847" s="40"/>
      <c r="L1847" s="40"/>
      <c r="M1847" s="40"/>
      <c r="N1847" s="40"/>
      <c r="O1847" s="40"/>
      <c r="P1847" s="40"/>
      <c r="Q1847" s="40"/>
      <c r="R1847" s="40"/>
      <c r="S1847" s="40"/>
      <c r="T1847" s="40"/>
      <c r="U1847" s="40"/>
      <c r="V1847" s="40"/>
      <c r="W1847" s="40"/>
      <c r="X1847" s="40"/>
      <c r="Y1847" s="40"/>
      <c r="Z1847" s="40"/>
    </row>
    <row r="1848">
      <c r="A1848" s="65"/>
      <c r="B1848" s="66"/>
      <c r="C1848" s="68"/>
      <c r="D1848" s="68"/>
      <c r="E1848" s="40"/>
      <c r="F1848" s="40"/>
      <c r="G1848" s="40"/>
      <c r="H1848" s="40"/>
      <c r="I1848" s="40"/>
      <c r="J1848" s="40"/>
      <c r="K1848" s="40"/>
      <c r="L1848" s="40"/>
      <c r="M1848" s="40"/>
      <c r="N1848" s="40"/>
      <c r="O1848" s="40"/>
      <c r="P1848" s="40"/>
      <c r="Q1848" s="40"/>
      <c r="R1848" s="40"/>
      <c r="S1848" s="40"/>
      <c r="T1848" s="40"/>
      <c r="U1848" s="40"/>
      <c r="V1848" s="40"/>
      <c r="W1848" s="40"/>
      <c r="X1848" s="40"/>
      <c r="Y1848" s="40"/>
      <c r="Z1848" s="40"/>
    </row>
    <row r="1849">
      <c r="A1849" s="65"/>
      <c r="B1849" s="66"/>
      <c r="C1849" s="68"/>
      <c r="D1849" s="68"/>
      <c r="E1849" s="40"/>
      <c r="F1849" s="40"/>
      <c r="G1849" s="40"/>
      <c r="H1849" s="40"/>
      <c r="I1849" s="40"/>
      <c r="J1849" s="40"/>
      <c r="K1849" s="40"/>
      <c r="L1849" s="40"/>
      <c r="M1849" s="40"/>
      <c r="N1849" s="40"/>
      <c r="O1849" s="40"/>
      <c r="P1849" s="40"/>
      <c r="Q1849" s="40"/>
      <c r="R1849" s="40"/>
      <c r="S1849" s="40"/>
      <c r="T1849" s="40"/>
      <c r="U1849" s="40"/>
      <c r="V1849" s="40"/>
      <c r="W1849" s="40"/>
      <c r="X1849" s="40"/>
      <c r="Y1849" s="40"/>
      <c r="Z1849" s="40"/>
    </row>
    <row r="1850">
      <c r="A1850" s="65"/>
      <c r="B1850" s="66"/>
      <c r="C1850" s="68"/>
      <c r="D1850" s="68"/>
      <c r="E1850" s="40"/>
      <c r="F1850" s="40"/>
      <c r="G1850" s="40"/>
      <c r="H1850" s="40"/>
      <c r="I1850" s="40"/>
      <c r="J1850" s="40"/>
      <c r="K1850" s="40"/>
      <c r="L1850" s="40"/>
      <c r="M1850" s="40"/>
      <c r="N1850" s="40"/>
      <c r="O1850" s="40"/>
      <c r="P1850" s="40"/>
      <c r="Q1850" s="40"/>
      <c r="R1850" s="40"/>
      <c r="S1850" s="40"/>
      <c r="T1850" s="40"/>
      <c r="U1850" s="40"/>
      <c r="V1850" s="40"/>
      <c r="W1850" s="40"/>
      <c r="X1850" s="40"/>
      <c r="Y1850" s="40"/>
      <c r="Z1850" s="40"/>
    </row>
    <row r="1851">
      <c r="A1851" s="65"/>
      <c r="B1851" s="66"/>
      <c r="C1851" s="68"/>
      <c r="D1851" s="68"/>
      <c r="E1851" s="40"/>
      <c r="F1851" s="40"/>
      <c r="G1851" s="40"/>
      <c r="H1851" s="40"/>
      <c r="I1851" s="40"/>
      <c r="J1851" s="40"/>
      <c r="K1851" s="40"/>
      <c r="L1851" s="40"/>
      <c r="M1851" s="40"/>
      <c r="N1851" s="40"/>
      <c r="O1851" s="40"/>
      <c r="P1851" s="40"/>
      <c r="Q1851" s="40"/>
      <c r="R1851" s="40"/>
      <c r="S1851" s="40"/>
      <c r="T1851" s="40"/>
      <c r="U1851" s="40"/>
      <c r="V1851" s="40"/>
      <c r="W1851" s="40"/>
      <c r="X1851" s="40"/>
      <c r="Y1851" s="40"/>
      <c r="Z1851" s="40"/>
    </row>
    <row r="1852">
      <c r="A1852" s="65"/>
      <c r="B1852" s="66"/>
      <c r="C1852" s="68"/>
      <c r="D1852" s="68"/>
      <c r="E1852" s="40"/>
      <c r="F1852" s="40"/>
      <c r="G1852" s="40"/>
      <c r="H1852" s="40"/>
      <c r="I1852" s="40"/>
      <c r="J1852" s="40"/>
      <c r="K1852" s="40"/>
      <c r="L1852" s="40"/>
      <c r="M1852" s="40"/>
      <c r="N1852" s="40"/>
      <c r="O1852" s="40"/>
      <c r="P1852" s="40"/>
      <c r="Q1852" s="40"/>
      <c r="R1852" s="40"/>
      <c r="S1852" s="40"/>
      <c r="T1852" s="40"/>
      <c r="U1852" s="40"/>
      <c r="V1852" s="40"/>
      <c r="W1852" s="40"/>
      <c r="X1852" s="40"/>
      <c r="Y1852" s="40"/>
      <c r="Z1852" s="40"/>
    </row>
    <row r="1853">
      <c r="A1853" s="65"/>
      <c r="B1853" s="66"/>
      <c r="C1853" s="68"/>
      <c r="D1853" s="68"/>
      <c r="E1853" s="40"/>
      <c r="F1853" s="40"/>
      <c r="G1853" s="40"/>
      <c r="H1853" s="40"/>
      <c r="I1853" s="40"/>
      <c r="J1853" s="40"/>
      <c r="K1853" s="40"/>
      <c r="L1853" s="40"/>
      <c r="M1853" s="40"/>
      <c r="N1853" s="40"/>
      <c r="O1853" s="40"/>
      <c r="P1853" s="40"/>
      <c r="Q1853" s="40"/>
      <c r="R1853" s="40"/>
      <c r="S1853" s="40"/>
      <c r="T1853" s="40"/>
      <c r="U1853" s="40"/>
      <c r="V1853" s="40"/>
      <c r="W1853" s="40"/>
      <c r="X1853" s="40"/>
      <c r="Y1853" s="40"/>
      <c r="Z1853" s="40"/>
    </row>
    <row r="1854">
      <c r="A1854" s="65"/>
      <c r="B1854" s="66"/>
      <c r="C1854" s="68"/>
      <c r="D1854" s="68"/>
      <c r="E1854" s="40"/>
      <c r="F1854" s="40"/>
      <c r="G1854" s="40"/>
      <c r="H1854" s="40"/>
      <c r="I1854" s="40"/>
      <c r="J1854" s="40"/>
      <c r="K1854" s="40"/>
      <c r="L1854" s="40"/>
      <c r="M1854" s="40"/>
      <c r="N1854" s="40"/>
      <c r="O1854" s="40"/>
      <c r="P1854" s="40"/>
      <c r="Q1854" s="40"/>
      <c r="R1854" s="40"/>
      <c r="S1854" s="40"/>
      <c r="T1854" s="40"/>
      <c r="U1854" s="40"/>
      <c r="V1854" s="40"/>
      <c r="W1854" s="40"/>
      <c r="X1854" s="40"/>
      <c r="Y1854" s="40"/>
      <c r="Z1854" s="40"/>
    </row>
    <row r="1855">
      <c r="A1855" s="65"/>
      <c r="B1855" s="66"/>
      <c r="C1855" s="68"/>
      <c r="D1855" s="68"/>
      <c r="E1855" s="40"/>
      <c r="F1855" s="40"/>
      <c r="G1855" s="40"/>
      <c r="H1855" s="40"/>
      <c r="I1855" s="40"/>
      <c r="J1855" s="40"/>
      <c r="K1855" s="40"/>
      <c r="L1855" s="40"/>
      <c r="M1855" s="40"/>
      <c r="N1855" s="40"/>
      <c r="O1855" s="40"/>
      <c r="P1855" s="40"/>
      <c r="Q1855" s="40"/>
      <c r="R1855" s="40"/>
      <c r="S1855" s="40"/>
      <c r="T1855" s="40"/>
      <c r="U1855" s="40"/>
      <c r="V1855" s="40"/>
      <c r="W1855" s="40"/>
      <c r="X1855" s="40"/>
      <c r="Y1855" s="40"/>
      <c r="Z1855" s="40"/>
    </row>
    <row r="1856">
      <c r="A1856" s="65"/>
      <c r="B1856" s="66"/>
      <c r="C1856" s="68"/>
      <c r="D1856" s="68"/>
      <c r="E1856" s="40"/>
      <c r="F1856" s="40"/>
      <c r="G1856" s="40"/>
      <c r="H1856" s="40"/>
      <c r="I1856" s="40"/>
      <c r="J1856" s="40"/>
      <c r="K1856" s="40"/>
      <c r="L1856" s="40"/>
      <c r="M1856" s="40"/>
      <c r="N1856" s="40"/>
      <c r="O1856" s="40"/>
      <c r="P1856" s="40"/>
      <c r="Q1856" s="40"/>
      <c r="R1856" s="40"/>
      <c r="S1856" s="40"/>
      <c r="T1856" s="40"/>
      <c r="U1856" s="40"/>
      <c r="V1856" s="40"/>
      <c r="W1856" s="40"/>
      <c r="X1856" s="40"/>
      <c r="Y1856" s="40"/>
      <c r="Z1856" s="40"/>
    </row>
    <row r="1857">
      <c r="A1857" s="65"/>
      <c r="B1857" s="66"/>
      <c r="C1857" s="68"/>
      <c r="D1857" s="68"/>
      <c r="E1857" s="40"/>
      <c r="F1857" s="40"/>
      <c r="G1857" s="40"/>
      <c r="H1857" s="40"/>
      <c r="I1857" s="40"/>
      <c r="J1857" s="40"/>
      <c r="K1857" s="40"/>
      <c r="L1857" s="40"/>
      <c r="M1857" s="40"/>
      <c r="N1857" s="40"/>
      <c r="O1857" s="40"/>
      <c r="P1857" s="40"/>
      <c r="Q1857" s="40"/>
      <c r="R1857" s="40"/>
      <c r="S1857" s="40"/>
      <c r="T1857" s="40"/>
      <c r="U1857" s="40"/>
      <c r="V1857" s="40"/>
      <c r="W1857" s="40"/>
      <c r="X1857" s="40"/>
      <c r="Y1857" s="40"/>
      <c r="Z1857" s="40"/>
    </row>
    <row r="1858">
      <c r="A1858" s="65"/>
      <c r="B1858" s="66"/>
      <c r="C1858" s="68"/>
      <c r="D1858" s="68"/>
      <c r="E1858" s="40"/>
      <c r="F1858" s="40"/>
      <c r="G1858" s="40"/>
      <c r="H1858" s="40"/>
      <c r="I1858" s="40"/>
      <c r="J1858" s="40"/>
      <c r="K1858" s="40"/>
      <c r="L1858" s="40"/>
      <c r="M1858" s="40"/>
      <c r="N1858" s="40"/>
      <c r="O1858" s="40"/>
      <c r="P1858" s="40"/>
      <c r="Q1858" s="40"/>
      <c r="R1858" s="40"/>
      <c r="S1858" s="40"/>
      <c r="T1858" s="40"/>
      <c r="U1858" s="40"/>
      <c r="V1858" s="40"/>
      <c r="W1858" s="40"/>
      <c r="X1858" s="40"/>
      <c r="Y1858" s="40"/>
      <c r="Z1858" s="40"/>
    </row>
    <row r="1859">
      <c r="A1859" s="65"/>
      <c r="B1859" s="66"/>
      <c r="C1859" s="68"/>
      <c r="D1859" s="68"/>
      <c r="E1859" s="40"/>
      <c r="F1859" s="40"/>
      <c r="G1859" s="40"/>
      <c r="H1859" s="40"/>
      <c r="I1859" s="40"/>
      <c r="J1859" s="40"/>
      <c r="K1859" s="40"/>
      <c r="L1859" s="40"/>
      <c r="M1859" s="40"/>
      <c r="N1859" s="40"/>
      <c r="O1859" s="40"/>
      <c r="P1859" s="40"/>
      <c r="Q1859" s="40"/>
      <c r="R1859" s="40"/>
      <c r="S1859" s="40"/>
      <c r="T1859" s="40"/>
      <c r="U1859" s="40"/>
      <c r="V1859" s="40"/>
      <c r="W1859" s="40"/>
      <c r="X1859" s="40"/>
      <c r="Y1859" s="40"/>
      <c r="Z1859" s="40"/>
    </row>
    <row r="1860">
      <c r="A1860" s="65"/>
      <c r="B1860" s="66"/>
      <c r="C1860" s="68"/>
      <c r="D1860" s="68"/>
      <c r="E1860" s="40"/>
      <c r="F1860" s="40"/>
      <c r="G1860" s="40"/>
      <c r="H1860" s="40"/>
      <c r="I1860" s="40"/>
      <c r="J1860" s="40"/>
      <c r="K1860" s="40"/>
      <c r="L1860" s="40"/>
      <c r="M1860" s="40"/>
      <c r="N1860" s="40"/>
      <c r="O1860" s="40"/>
      <c r="P1860" s="40"/>
      <c r="Q1860" s="40"/>
      <c r="R1860" s="40"/>
      <c r="S1860" s="40"/>
      <c r="T1860" s="40"/>
      <c r="U1860" s="40"/>
      <c r="V1860" s="40"/>
      <c r="W1860" s="40"/>
      <c r="X1860" s="40"/>
      <c r="Y1860" s="40"/>
      <c r="Z1860" s="40"/>
    </row>
    <row r="1861">
      <c r="A1861" s="65"/>
      <c r="B1861" s="66"/>
      <c r="C1861" s="68"/>
      <c r="D1861" s="68"/>
      <c r="E1861" s="40"/>
      <c r="F1861" s="40"/>
      <c r="G1861" s="40"/>
      <c r="H1861" s="40"/>
      <c r="I1861" s="40"/>
      <c r="J1861" s="40"/>
      <c r="K1861" s="40"/>
      <c r="L1861" s="40"/>
      <c r="M1861" s="40"/>
      <c r="N1861" s="40"/>
      <c r="O1861" s="40"/>
      <c r="P1861" s="40"/>
      <c r="Q1861" s="40"/>
      <c r="R1861" s="40"/>
      <c r="S1861" s="40"/>
      <c r="T1861" s="40"/>
      <c r="U1861" s="40"/>
      <c r="V1861" s="40"/>
      <c r="W1861" s="40"/>
      <c r="X1861" s="40"/>
      <c r="Y1861" s="40"/>
      <c r="Z1861" s="40"/>
    </row>
    <row r="1862">
      <c r="A1862" s="65"/>
      <c r="B1862" s="66"/>
      <c r="C1862" s="68"/>
      <c r="D1862" s="68"/>
      <c r="E1862" s="40"/>
      <c r="F1862" s="40"/>
      <c r="G1862" s="40"/>
      <c r="H1862" s="40"/>
      <c r="I1862" s="40"/>
      <c r="J1862" s="40"/>
      <c r="K1862" s="40"/>
      <c r="L1862" s="40"/>
      <c r="M1862" s="40"/>
      <c r="N1862" s="40"/>
      <c r="O1862" s="40"/>
      <c r="P1862" s="40"/>
      <c r="Q1862" s="40"/>
      <c r="R1862" s="40"/>
      <c r="S1862" s="40"/>
      <c r="T1862" s="40"/>
      <c r="U1862" s="40"/>
      <c r="V1862" s="40"/>
      <c r="W1862" s="40"/>
      <c r="X1862" s="40"/>
      <c r="Y1862" s="40"/>
      <c r="Z1862" s="40"/>
    </row>
    <row r="1863">
      <c r="A1863" s="65"/>
      <c r="B1863" s="66"/>
      <c r="C1863" s="68"/>
      <c r="D1863" s="68"/>
      <c r="E1863" s="40"/>
      <c r="F1863" s="40"/>
      <c r="G1863" s="40"/>
      <c r="H1863" s="40"/>
      <c r="I1863" s="40"/>
      <c r="J1863" s="40"/>
      <c r="K1863" s="40"/>
      <c r="L1863" s="40"/>
      <c r="M1863" s="40"/>
      <c r="N1863" s="40"/>
      <c r="O1863" s="40"/>
      <c r="P1863" s="40"/>
      <c r="Q1863" s="40"/>
      <c r="R1863" s="40"/>
      <c r="S1863" s="40"/>
      <c r="T1863" s="40"/>
      <c r="U1863" s="40"/>
      <c r="V1863" s="40"/>
      <c r="W1863" s="40"/>
      <c r="X1863" s="40"/>
      <c r="Y1863" s="40"/>
      <c r="Z1863" s="40"/>
    </row>
    <row r="1864">
      <c r="A1864" s="65"/>
      <c r="B1864" s="66"/>
      <c r="C1864" s="68"/>
      <c r="D1864" s="68"/>
      <c r="E1864" s="40"/>
      <c r="F1864" s="40"/>
      <c r="G1864" s="40"/>
      <c r="H1864" s="40"/>
      <c r="I1864" s="40"/>
      <c r="J1864" s="40"/>
      <c r="K1864" s="40"/>
      <c r="L1864" s="40"/>
      <c r="M1864" s="40"/>
      <c r="N1864" s="40"/>
      <c r="O1864" s="40"/>
      <c r="P1864" s="40"/>
      <c r="Q1864" s="40"/>
      <c r="R1864" s="40"/>
      <c r="S1864" s="40"/>
      <c r="T1864" s="40"/>
      <c r="U1864" s="40"/>
      <c r="V1864" s="40"/>
      <c r="W1864" s="40"/>
      <c r="X1864" s="40"/>
      <c r="Y1864" s="40"/>
      <c r="Z1864" s="40"/>
    </row>
    <row r="1865">
      <c r="A1865" s="65"/>
      <c r="B1865" s="66"/>
      <c r="C1865" s="68"/>
      <c r="D1865" s="68"/>
      <c r="E1865" s="40"/>
      <c r="F1865" s="40"/>
      <c r="G1865" s="40"/>
      <c r="H1865" s="40"/>
      <c r="I1865" s="40"/>
      <c r="J1865" s="40"/>
      <c r="K1865" s="40"/>
      <c r="L1865" s="40"/>
      <c r="M1865" s="40"/>
      <c r="N1865" s="40"/>
      <c r="O1865" s="40"/>
      <c r="P1865" s="40"/>
      <c r="Q1865" s="40"/>
      <c r="R1865" s="40"/>
      <c r="S1865" s="40"/>
      <c r="T1865" s="40"/>
      <c r="U1865" s="40"/>
      <c r="V1865" s="40"/>
      <c r="W1865" s="40"/>
      <c r="X1865" s="40"/>
      <c r="Y1865" s="40"/>
      <c r="Z1865" s="40"/>
    </row>
    <row r="1866">
      <c r="A1866" s="65"/>
      <c r="B1866" s="66"/>
      <c r="C1866" s="68"/>
      <c r="D1866" s="68"/>
      <c r="E1866" s="40"/>
      <c r="F1866" s="40"/>
      <c r="G1866" s="40"/>
      <c r="H1866" s="40"/>
      <c r="I1866" s="40"/>
      <c r="J1866" s="40"/>
      <c r="K1866" s="40"/>
      <c r="L1866" s="40"/>
      <c r="M1866" s="40"/>
      <c r="N1866" s="40"/>
      <c r="O1866" s="40"/>
      <c r="P1866" s="40"/>
      <c r="Q1866" s="40"/>
      <c r="R1866" s="40"/>
      <c r="S1866" s="40"/>
      <c r="T1866" s="40"/>
      <c r="U1866" s="40"/>
      <c r="V1866" s="40"/>
      <c r="W1866" s="40"/>
      <c r="X1866" s="40"/>
      <c r="Y1866" s="40"/>
      <c r="Z1866" s="40"/>
    </row>
    <row r="1867">
      <c r="A1867" s="65"/>
      <c r="B1867" s="66"/>
      <c r="C1867" s="68"/>
      <c r="D1867" s="68"/>
      <c r="E1867" s="40"/>
      <c r="F1867" s="40"/>
      <c r="G1867" s="40"/>
      <c r="H1867" s="40"/>
      <c r="I1867" s="40"/>
      <c r="J1867" s="40"/>
      <c r="K1867" s="40"/>
      <c r="L1867" s="40"/>
      <c r="M1867" s="40"/>
      <c r="N1867" s="40"/>
      <c r="O1867" s="40"/>
      <c r="P1867" s="40"/>
      <c r="Q1867" s="40"/>
      <c r="R1867" s="40"/>
      <c r="S1867" s="40"/>
      <c r="T1867" s="40"/>
      <c r="U1867" s="40"/>
      <c r="V1867" s="40"/>
      <c r="W1867" s="40"/>
      <c r="X1867" s="40"/>
      <c r="Y1867" s="40"/>
      <c r="Z1867" s="40"/>
    </row>
    <row r="1868">
      <c r="A1868" s="65"/>
      <c r="B1868" s="66"/>
      <c r="C1868" s="68"/>
      <c r="D1868" s="68"/>
      <c r="E1868" s="40"/>
      <c r="F1868" s="40"/>
      <c r="G1868" s="40"/>
      <c r="H1868" s="40"/>
      <c r="I1868" s="40"/>
      <c r="J1868" s="40"/>
      <c r="K1868" s="40"/>
      <c r="L1868" s="40"/>
      <c r="M1868" s="40"/>
      <c r="N1868" s="40"/>
      <c r="O1868" s="40"/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0"/>
    </row>
    <row r="1869">
      <c r="A1869" s="65"/>
      <c r="B1869" s="66"/>
      <c r="C1869" s="68"/>
      <c r="D1869" s="68"/>
      <c r="E1869" s="40"/>
      <c r="F1869" s="40"/>
      <c r="G1869" s="40"/>
      <c r="H1869" s="40"/>
      <c r="I1869" s="40"/>
      <c r="J1869" s="40"/>
      <c r="K1869" s="40"/>
      <c r="L1869" s="40"/>
      <c r="M1869" s="40"/>
      <c r="N1869" s="40"/>
      <c r="O1869" s="40"/>
      <c r="P1869" s="40"/>
      <c r="Q1869" s="40"/>
      <c r="R1869" s="40"/>
      <c r="S1869" s="40"/>
      <c r="T1869" s="40"/>
      <c r="U1869" s="40"/>
      <c r="V1869" s="40"/>
      <c r="W1869" s="40"/>
      <c r="X1869" s="40"/>
      <c r="Y1869" s="40"/>
      <c r="Z1869" s="40"/>
    </row>
    <row r="1870">
      <c r="A1870" s="65"/>
      <c r="B1870" s="66"/>
      <c r="C1870" s="68"/>
      <c r="D1870" s="68"/>
      <c r="E1870" s="40"/>
      <c r="F1870" s="40"/>
      <c r="G1870" s="40"/>
      <c r="H1870" s="40"/>
      <c r="I1870" s="40"/>
      <c r="J1870" s="40"/>
      <c r="K1870" s="40"/>
      <c r="L1870" s="40"/>
      <c r="M1870" s="40"/>
      <c r="N1870" s="40"/>
      <c r="O1870" s="40"/>
      <c r="P1870" s="40"/>
      <c r="Q1870" s="40"/>
      <c r="R1870" s="40"/>
      <c r="S1870" s="40"/>
      <c r="T1870" s="40"/>
      <c r="U1870" s="40"/>
      <c r="V1870" s="40"/>
      <c r="W1870" s="40"/>
      <c r="X1870" s="40"/>
      <c r="Y1870" s="40"/>
      <c r="Z1870" s="40"/>
    </row>
    <row r="1871">
      <c r="A1871" s="65"/>
      <c r="B1871" s="66"/>
      <c r="C1871" s="68"/>
      <c r="D1871" s="68"/>
      <c r="E1871" s="40"/>
      <c r="F1871" s="40"/>
      <c r="G1871" s="40"/>
      <c r="H1871" s="40"/>
      <c r="I1871" s="40"/>
      <c r="J1871" s="40"/>
      <c r="K1871" s="40"/>
      <c r="L1871" s="40"/>
      <c r="M1871" s="40"/>
      <c r="N1871" s="40"/>
      <c r="O1871" s="40"/>
      <c r="P1871" s="40"/>
      <c r="Q1871" s="40"/>
      <c r="R1871" s="40"/>
      <c r="S1871" s="40"/>
      <c r="T1871" s="40"/>
      <c r="U1871" s="40"/>
      <c r="V1871" s="40"/>
      <c r="W1871" s="40"/>
      <c r="X1871" s="40"/>
      <c r="Y1871" s="40"/>
      <c r="Z1871" s="40"/>
    </row>
    <row r="1872">
      <c r="A1872" s="65"/>
      <c r="B1872" s="66"/>
      <c r="C1872" s="68"/>
      <c r="D1872" s="68"/>
      <c r="E1872" s="40"/>
      <c r="F1872" s="40"/>
      <c r="G1872" s="40"/>
      <c r="H1872" s="40"/>
      <c r="I1872" s="40"/>
      <c r="J1872" s="40"/>
      <c r="K1872" s="40"/>
      <c r="L1872" s="40"/>
      <c r="M1872" s="40"/>
      <c r="N1872" s="40"/>
      <c r="O1872" s="40"/>
      <c r="P1872" s="40"/>
      <c r="Q1872" s="40"/>
      <c r="R1872" s="40"/>
      <c r="S1872" s="40"/>
      <c r="T1872" s="40"/>
      <c r="U1872" s="40"/>
      <c r="V1872" s="40"/>
      <c r="W1872" s="40"/>
      <c r="X1872" s="40"/>
      <c r="Y1872" s="40"/>
      <c r="Z1872" s="40"/>
    </row>
    <row r="1873">
      <c r="A1873" s="65"/>
      <c r="B1873" s="66"/>
      <c r="C1873" s="68"/>
      <c r="D1873" s="68"/>
      <c r="E1873" s="40"/>
      <c r="F1873" s="40"/>
      <c r="G1873" s="40"/>
      <c r="H1873" s="40"/>
      <c r="I1873" s="40"/>
      <c r="J1873" s="40"/>
      <c r="K1873" s="40"/>
      <c r="L1873" s="40"/>
      <c r="M1873" s="40"/>
      <c r="N1873" s="40"/>
      <c r="O1873" s="40"/>
      <c r="P1873" s="40"/>
      <c r="Q1873" s="40"/>
      <c r="R1873" s="40"/>
      <c r="S1873" s="40"/>
      <c r="T1873" s="40"/>
      <c r="U1873" s="40"/>
      <c r="V1873" s="40"/>
      <c r="W1873" s="40"/>
      <c r="X1873" s="40"/>
      <c r="Y1873" s="40"/>
      <c r="Z1873" s="40"/>
    </row>
    <row r="1874">
      <c r="A1874" s="65"/>
      <c r="B1874" s="66"/>
      <c r="C1874" s="68"/>
      <c r="D1874" s="68"/>
      <c r="E1874" s="40"/>
      <c r="F1874" s="40"/>
      <c r="G1874" s="40"/>
      <c r="H1874" s="40"/>
      <c r="I1874" s="40"/>
      <c r="J1874" s="40"/>
      <c r="K1874" s="40"/>
      <c r="L1874" s="40"/>
      <c r="M1874" s="40"/>
      <c r="N1874" s="40"/>
      <c r="O1874" s="40"/>
      <c r="P1874" s="40"/>
      <c r="Q1874" s="40"/>
      <c r="R1874" s="40"/>
      <c r="S1874" s="40"/>
      <c r="T1874" s="40"/>
      <c r="U1874" s="40"/>
      <c r="V1874" s="40"/>
      <c r="W1874" s="40"/>
      <c r="X1874" s="40"/>
      <c r="Y1874" s="40"/>
      <c r="Z1874" s="40"/>
    </row>
    <row r="1875">
      <c r="A1875" s="65"/>
      <c r="B1875" s="66"/>
      <c r="C1875" s="68"/>
      <c r="D1875" s="68"/>
      <c r="E1875" s="40"/>
      <c r="F1875" s="40"/>
      <c r="G1875" s="40"/>
      <c r="H1875" s="40"/>
      <c r="I1875" s="40"/>
      <c r="J1875" s="40"/>
      <c r="K1875" s="40"/>
      <c r="L1875" s="40"/>
      <c r="M1875" s="40"/>
      <c r="N1875" s="40"/>
      <c r="O1875" s="40"/>
      <c r="P1875" s="40"/>
      <c r="Q1875" s="40"/>
      <c r="R1875" s="40"/>
      <c r="S1875" s="40"/>
      <c r="T1875" s="40"/>
      <c r="U1875" s="40"/>
      <c r="V1875" s="40"/>
      <c r="W1875" s="40"/>
      <c r="X1875" s="40"/>
      <c r="Y1875" s="40"/>
      <c r="Z1875" s="40"/>
    </row>
    <row r="1876">
      <c r="A1876" s="65"/>
      <c r="B1876" s="66"/>
      <c r="C1876" s="68"/>
      <c r="D1876" s="68"/>
      <c r="E1876" s="40"/>
      <c r="F1876" s="40"/>
      <c r="G1876" s="40"/>
      <c r="H1876" s="40"/>
      <c r="I1876" s="40"/>
      <c r="J1876" s="40"/>
      <c r="K1876" s="40"/>
      <c r="L1876" s="40"/>
      <c r="M1876" s="40"/>
      <c r="N1876" s="40"/>
      <c r="O1876" s="40"/>
      <c r="P1876" s="40"/>
      <c r="Q1876" s="40"/>
      <c r="R1876" s="40"/>
      <c r="S1876" s="40"/>
      <c r="T1876" s="40"/>
      <c r="U1876" s="40"/>
      <c r="V1876" s="40"/>
      <c r="W1876" s="40"/>
      <c r="X1876" s="40"/>
      <c r="Y1876" s="40"/>
      <c r="Z1876" s="40"/>
    </row>
    <row r="1877">
      <c r="A1877" s="65"/>
      <c r="B1877" s="66"/>
      <c r="C1877" s="68"/>
      <c r="D1877" s="68"/>
      <c r="E1877" s="40"/>
      <c r="F1877" s="40"/>
      <c r="G1877" s="40"/>
      <c r="H1877" s="40"/>
      <c r="I1877" s="40"/>
      <c r="J1877" s="40"/>
      <c r="K1877" s="40"/>
      <c r="L1877" s="40"/>
      <c r="M1877" s="40"/>
      <c r="N1877" s="40"/>
      <c r="O1877" s="40"/>
      <c r="P1877" s="40"/>
      <c r="Q1877" s="40"/>
      <c r="R1877" s="40"/>
      <c r="S1877" s="40"/>
      <c r="T1877" s="40"/>
      <c r="U1877" s="40"/>
      <c r="V1877" s="40"/>
      <c r="W1877" s="40"/>
      <c r="X1877" s="40"/>
      <c r="Y1877" s="40"/>
      <c r="Z1877" s="40"/>
    </row>
    <row r="1878">
      <c r="A1878" s="65"/>
      <c r="B1878" s="66"/>
      <c r="C1878" s="68"/>
      <c r="D1878" s="68"/>
      <c r="E1878" s="40"/>
      <c r="F1878" s="40"/>
      <c r="G1878" s="40"/>
      <c r="H1878" s="40"/>
      <c r="I1878" s="40"/>
      <c r="J1878" s="40"/>
      <c r="K1878" s="40"/>
      <c r="L1878" s="40"/>
      <c r="M1878" s="40"/>
      <c r="N1878" s="40"/>
      <c r="O1878" s="40"/>
      <c r="P1878" s="40"/>
      <c r="Q1878" s="40"/>
      <c r="R1878" s="40"/>
      <c r="S1878" s="40"/>
      <c r="T1878" s="40"/>
      <c r="U1878" s="40"/>
      <c r="V1878" s="40"/>
      <c r="W1878" s="40"/>
      <c r="X1878" s="40"/>
      <c r="Y1878" s="40"/>
      <c r="Z1878" s="40"/>
    </row>
    <row r="1879">
      <c r="A1879" s="65"/>
      <c r="B1879" s="66"/>
      <c r="C1879" s="68"/>
      <c r="D1879" s="68"/>
      <c r="E1879" s="40"/>
      <c r="F1879" s="40"/>
      <c r="G1879" s="40"/>
      <c r="H1879" s="40"/>
      <c r="I1879" s="40"/>
      <c r="J1879" s="40"/>
      <c r="K1879" s="40"/>
      <c r="L1879" s="40"/>
      <c r="M1879" s="40"/>
      <c r="N1879" s="40"/>
      <c r="O1879" s="40"/>
      <c r="P1879" s="40"/>
      <c r="Q1879" s="40"/>
      <c r="R1879" s="40"/>
      <c r="S1879" s="40"/>
      <c r="T1879" s="40"/>
      <c r="U1879" s="40"/>
      <c r="V1879" s="40"/>
      <c r="W1879" s="40"/>
      <c r="X1879" s="40"/>
      <c r="Y1879" s="40"/>
      <c r="Z1879" s="40"/>
    </row>
    <row r="1880">
      <c r="A1880" s="65"/>
      <c r="B1880" s="66"/>
      <c r="C1880" s="68"/>
      <c r="D1880" s="68"/>
      <c r="E1880" s="40"/>
      <c r="F1880" s="40"/>
      <c r="G1880" s="40"/>
      <c r="H1880" s="40"/>
      <c r="I1880" s="40"/>
      <c r="J1880" s="40"/>
      <c r="K1880" s="40"/>
      <c r="L1880" s="40"/>
      <c r="M1880" s="40"/>
      <c r="N1880" s="40"/>
      <c r="O1880" s="40"/>
      <c r="P1880" s="40"/>
      <c r="Q1880" s="40"/>
      <c r="R1880" s="40"/>
      <c r="S1880" s="40"/>
      <c r="T1880" s="40"/>
      <c r="U1880" s="40"/>
      <c r="V1880" s="40"/>
      <c r="W1880" s="40"/>
      <c r="X1880" s="40"/>
      <c r="Y1880" s="40"/>
      <c r="Z1880" s="40"/>
    </row>
    <row r="1881">
      <c r="A1881" s="65"/>
      <c r="B1881" s="66"/>
      <c r="C1881" s="68"/>
      <c r="D1881" s="68"/>
      <c r="E1881" s="40"/>
      <c r="F1881" s="40"/>
      <c r="G1881" s="40"/>
      <c r="H1881" s="40"/>
      <c r="I1881" s="40"/>
      <c r="J1881" s="40"/>
      <c r="K1881" s="40"/>
      <c r="L1881" s="40"/>
      <c r="M1881" s="40"/>
      <c r="N1881" s="40"/>
      <c r="O1881" s="40"/>
      <c r="P1881" s="40"/>
      <c r="Q1881" s="40"/>
      <c r="R1881" s="40"/>
      <c r="S1881" s="40"/>
      <c r="T1881" s="40"/>
      <c r="U1881" s="40"/>
      <c r="V1881" s="40"/>
      <c r="W1881" s="40"/>
      <c r="X1881" s="40"/>
      <c r="Y1881" s="40"/>
      <c r="Z1881" s="40"/>
    </row>
    <row r="1882">
      <c r="A1882" s="65"/>
      <c r="B1882" s="66"/>
      <c r="C1882" s="68"/>
      <c r="D1882" s="68"/>
      <c r="E1882" s="40"/>
      <c r="F1882" s="40"/>
      <c r="G1882" s="40"/>
      <c r="H1882" s="40"/>
      <c r="I1882" s="40"/>
      <c r="J1882" s="40"/>
      <c r="K1882" s="40"/>
      <c r="L1882" s="40"/>
      <c r="M1882" s="40"/>
      <c r="N1882" s="40"/>
      <c r="O1882" s="40"/>
      <c r="P1882" s="40"/>
      <c r="Q1882" s="40"/>
      <c r="R1882" s="40"/>
      <c r="S1882" s="40"/>
      <c r="T1882" s="40"/>
      <c r="U1882" s="40"/>
      <c r="V1882" s="40"/>
      <c r="W1882" s="40"/>
      <c r="X1882" s="40"/>
      <c r="Y1882" s="40"/>
      <c r="Z1882" s="40"/>
    </row>
    <row r="1883">
      <c r="A1883" s="65"/>
      <c r="B1883" s="66"/>
      <c r="C1883" s="68"/>
      <c r="D1883" s="68"/>
      <c r="E1883" s="40"/>
      <c r="F1883" s="40"/>
      <c r="G1883" s="40"/>
      <c r="H1883" s="40"/>
      <c r="I1883" s="40"/>
      <c r="J1883" s="40"/>
      <c r="K1883" s="40"/>
      <c r="L1883" s="40"/>
      <c r="M1883" s="40"/>
      <c r="N1883" s="40"/>
      <c r="O1883" s="40"/>
      <c r="P1883" s="40"/>
      <c r="Q1883" s="40"/>
      <c r="R1883" s="40"/>
      <c r="S1883" s="40"/>
      <c r="T1883" s="40"/>
      <c r="U1883" s="40"/>
      <c r="V1883" s="40"/>
      <c r="W1883" s="40"/>
      <c r="X1883" s="40"/>
      <c r="Y1883" s="40"/>
      <c r="Z1883" s="40"/>
    </row>
    <row r="1884">
      <c r="A1884" s="65"/>
      <c r="B1884" s="66"/>
      <c r="C1884" s="68"/>
      <c r="D1884" s="68"/>
      <c r="E1884" s="40"/>
      <c r="F1884" s="40"/>
      <c r="G1884" s="40"/>
      <c r="H1884" s="40"/>
      <c r="I1884" s="40"/>
      <c r="J1884" s="40"/>
      <c r="K1884" s="40"/>
      <c r="L1884" s="40"/>
      <c r="M1884" s="40"/>
      <c r="N1884" s="40"/>
      <c r="O1884" s="40"/>
      <c r="P1884" s="40"/>
      <c r="Q1884" s="40"/>
      <c r="R1884" s="40"/>
      <c r="S1884" s="40"/>
      <c r="T1884" s="40"/>
      <c r="U1884" s="40"/>
      <c r="V1884" s="40"/>
      <c r="W1884" s="40"/>
      <c r="X1884" s="40"/>
      <c r="Y1884" s="40"/>
      <c r="Z1884" s="40"/>
    </row>
    <row r="1885">
      <c r="A1885" s="65"/>
      <c r="B1885" s="66"/>
      <c r="C1885" s="68"/>
      <c r="D1885" s="68"/>
      <c r="E1885" s="40"/>
      <c r="F1885" s="40"/>
      <c r="G1885" s="40"/>
      <c r="H1885" s="40"/>
      <c r="I1885" s="40"/>
      <c r="J1885" s="40"/>
      <c r="K1885" s="40"/>
      <c r="L1885" s="40"/>
      <c r="M1885" s="40"/>
      <c r="N1885" s="40"/>
      <c r="O1885" s="40"/>
      <c r="P1885" s="40"/>
      <c r="Q1885" s="40"/>
      <c r="R1885" s="40"/>
      <c r="S1885" s="40"/>
      <c r="T1885" s="40"/>
      <c r="U1885" s="40"/>
      <c r="V1885" s="40"/>
      <c r="W1885" s="40"/>
      <c r="X1885" s="40"/>
      <c r="Y1885" s="40"/>
      <c r="Z1885" s="40"/>
    </row>
    <row r="1886">
      <c r="A1886" s="65"/>
      <c r="B1886" s="66"/>
      <c r="C1886" s="68"/>
      <c r="D1886" s="68"/>
      <c r="E1886" s="40"/>
      <c r="F1886" s="40"/>
      <c r="G1886" s="40"/>
      <c r="H1886" s="40"/>
      <c r="I1886" s="40"/>
      <c r="J1886" s="40"/>
      <c r="K1886" s="40"/>
      <c r="L1886" s="40"/>
      <c r="M1886" s="40"/>
      <c r="N1886" s="40"/>
      <c r="O1886" s="40"/>
      <c r="P1886" s="40"/>
      <c r="Q1886" s="40"/>
      <c r="R1886" s="40"/>
      <c r="S1886" s="40"/>
      <c r="T1886" s="40"/>
      <c r="U1886" s="40"/>
      <c r="V1886" s="40"/>
      <c r="W1886" s="40"/>
      <c r="X1886" s="40"/>
      <c r="Y1886" s="40"/>
      <c r="Z1886" s="40"/>
    </row>
    <row r="1887">
      <c r="A1887" s="65"/>
      <c r="B1887" s="66"/>
      <c r="C1887" s="68"/>
      <c r="D1887" s="68"/>
      <c r="E1887" s="40"/>
      <c r="F1887" s="40"/>
      <c r="G1887" s="40"/>
      <c r="H1887" s="40"/>
      <c r="I1887" s="40"/>
      <c r="J1887" s="40"/>
      <c r="K1887" s="40"/>
      <c r="L1887" s="40"/>
      <c r="M1887" s="40"/>
      <c r="N1887" s="40"/>
      <c r="O1887" s="40"/>
      <c r="P1887" s="40"/>
      <c r="Q1887" s="40"/>
      <c r="R1887" s="40"/>
      <c r="S1887" s="40"/>
      <c r="T1887" s="40"/>
      <c r="U1887" s="40"/>
      <c r="V1887" s="40"/>
      <c r="W1887" s="40"/>
      <c r="X1887" s="40"/>
      <c r="Y1887" s="40"/>
      <c r="Z1887" s="40"/>
    </row>
    <row r="1888">
      <c r="A1888" s="65"/>
      <c r="B1888" s="66"/>
      <c r="C1888" s="68"/>
      <c r="D1888" s="68"/>
      <c r="E1888" s="40"/>
      <c r="F1888" s="40"/>
      <c r="G1888" s="40"/>
      <c r="H1888" s="40"/>
      <c r="I1888" s="40"/>
      <c r="J1888" s="40"/>
      <c r="K1888" s="40"/>
      <c r="L1888" s="40"/>
      <c r="M1888" s="40"/>
      <c r="N1888" s="40"/>
      <c r="O1888" s="40"/>
      <c r="P1888" s="40"/>
      <c r="Q1888" s="40"/>
      <c r="R1888" s="40"/>
      <c r="S1888" s="40"/>
      <c r="T1888" s="40"/>
      <c r="U1888" s="40"/>
      <c r="V1888" s="40"/>
      <c r="W1888" s="40"/>
      <c r="X1888" s="40"/>
      <c r="Y1888" s="40"/>
      <c r="Z1888" s="40"/>
    </row>
    <row r="1889">
      <c r="A1889" s="65"/>
      <c r="B1889" s="66"/>
      <c r="C1889" s="68"/>
      <c r="D1889" s="68"/>
      <c r="E1889" s="40"/>
      <c r="F1889" s="40"/>
      <c r="G1889" s="40"/>
      <c r="H1889" s="40"/>
      <c r="I1889" s="40"/>
      <c r="J1889" s="40"/>
      <c r="K1889" s="40"/>
      <c r="L1889" s="40"/>
      <c r="M1889" s="40"/>
      <c r="N1889" s="40"/>
      <c r="O1889" s="40"/>
      <c r="P1889" s="40"/>
      <c r="Q1889" s="40"/>
      <c r="R1889" s="40"/>
      <c r="S1889" s="40"/>
      <c r="T1889" s="40"/>
      <c r="U1889" s="40"/>
      <c r="V1889" s="40"/>
      <c r="W1889" s="40"/>
      <c r="X1889" s="40"/>
      <c r="Y1889" s="40"/>
      <c r="Z1889" s="40"/>
    </row>
    <row r="1890">
      <c r="A1890" s="65"/>
      <c r="B1890" s="66"/>
      <c r="C1890" s="68"/>
      <c r="D1890" s="68"/>
      <c r="E1890" s="40"/>
      <c r="F1890" s="40"/>
      <c r="G1890" s="40"/>
      <c r="H1890" s="40"/>
      <c r="I1890" s="40"/>
      <c r="J1890" s="40"/>
      <c r="K1890" s="40"/>
      <c r="L1890" s="40"/>
      <c r="M1890" s="40"/>
      <c r="N1890" s="40"/>
      <c r="O1890" s="40"/>
      <c r="P1890" s="40"/>
      <c r="Q1890" s="40"/>
      <c r="R1890" s="40"/>
      <c r="S1890" s="40"/>
      <c r="T1890" s="40"/>
      <c r="U1890" s="40"/>
      <c r="V1890" s="40"/>
      <c r="W1890" s="40"/>
      <c r="X1890" s="40"/>
      <c r="Y1890" s="40"/>
      <c r="Z1890" s="40"/>
    </row>
    <row r="1891">
      <c r="A1891" s="65"/>
      <c r="B1891" s="66"/>
      <c r="C1891" s="68"/>
      <c r="D1891" s="68"/>
      <c r="E1891" s="40"/>
      <c r="F1891" s="40"/>
      <c r="G1891" s="40"/>
      <c r="H1891" s="40"/>
      <c r="I1891" s="40"/>
      <c r="J1891" s="40"/>
      <c r="K1891" s="40"/>
      <c r="L1891" s="40"/>
      <c r="M1891" s="40"/>
      <c r="N1891" s="40"/>
      <c r="O1891" s="40"/>
      <c r="P1891" s="40"/>
      <c r="Q1891" s="40"/>
      <c r="R1891" s="40"/>
      <c r="S1891" s="40"/>
      <c r="T1891" s="40"/>
      <c r="U1891" s="40"/>
      <c r="V1891" s="40"/>
      <c r="W1891" s="40"/>
      <c r="X1891" s="40"/>
      <c r="Y1891" s="40"/>
      <c r="Z1891" s="40"/>
    </row>
    <row r="1892">
      <c r="A1892" s="65"/>
      <c r="B1892" s="66"/>
      <c r="C1892" s="68"/>
      <c r="D1892" s="68"/>
      <c r="E1892" s="40"/>
      <c r="F1892" s="40"/>
      <c r="G1892" s="40"/>
      <c r="H1892" s="40"/>
      <c r="I1892" s="40"/>
      <c r="J1892" s="40"/>
      <c r="K1892" s="40"/>
      <c r="L1892" s="40"/>
      <c r="M1892" s="40"/>
      <c r="N1892" s="40"/>
      <c r="O1892" s="40"/>
      <c r="P1892" s="40"/>
      <c r="Q1892" s="40"/>
      <c r="R1892" s="40"/>
      <c r="S1892" s="40"/>
      <c r="T1892" s="40"/>
      <c r="U1892" s="40"/>
      <c r="V1892" s="40"/>
      <c r="W1892" s="40"/>
      <c r="X1892" s="40"/>
      <c r="Y1892" s="40"/>
      <c r="Z1892" s="40"/>
    </row>
    <row r="1893">
      <c r="A1893" s="65"/>
      <c r="B1893" s="66"/>
      <c r="C1893" s="68"/>
      <c r="D1893" s="68"/>
      <c r="E1893" s="40"/>
      <c r="F1893" s="40"/>
      <c r="G1893" s="40"/>
      <c r="H1893" s="40"/>
      <c r="I1893" s="40"/>
      <c r="J1893" s="40"/>
      <c r="K1893" s="40"/>
      <c r="L1893" s="40"/>
      <c r="M1893" s="40"/>
      <c r="N1893" s="40"/>
      <c r="O1893" s="40"/>
      <c r="P1893" s="40"/>
      <c r="Q1893" s="40"/>
      <c r="R1893" s="40"/>
      <c r="S1893" s="40"/>
      <c r="T1893" s="40"/>
      <c r="U1893" s="40"/>
      <c r="V1893" s="40"/>
      <c r="W1893" s="40"/>
      <c r="X1893" s="40"/>
      <c r="Y1893" s="40"/>
      <c r="Z1893" s="40"/>
    </row>
    <row r="1894">
      <c r="A1894" s="65"/>
      <c r="B1894" s="66"/>
      <c r="C1894" s="68"/>
      <c r="D1894" s="68"/>
      <c r="E1894" s="40"/>
      <c r="F1894" s="40"/>
      <c r="G1894" s="40"/>
      <c r="H1894" s="40"/>
      <c r="I1894" s="40"/>
      <c r="J1894" s="40"/>
      <c r="K1894" s="40"/>
      <c r="L1894" s="40"/>
      <c r="M1894" s="40"/>
      <c r="N1894" s="40"/>
      <c r="O1894" s="40"/>
      <c r="P1894" s="40"/>
      <c r="Q1894" s="40"/>
      <c r="R1894" s="40"/>
      <c r="S1894" s="40"/>
      <c r="T1894" s="40"/>
      <c r="U1894" s="40"/>
      <c r="V1894" s="40"/>
      <c r="W1894" s="40"/>
      <c r="X1894" s="40"/>
      <c r="Y1894" s="40"/>
      <c r="Z1894" s="40"/>
    </row>
    <row r="1895">
      <c r="A1895" s="65"/>
      <c r="B1895" s="66"/>
      <c r="C1895" s="68"/>
      <c r="D1895" s="68"/>
      <c r="E1895" s="40"/>
      <c r="F1895" s="40"/>
      <c r="G1895" s="40"/>
      <c r="H1895" s="40"/>
      <c r="I1895" s="40"/>
      <c r="J1895" s="40"/>
      <c r="K1895" s="40"/>
      <c r="L1895" s="40"/>
      <c r="M1895" s="40"/>
      <c r="N1895" s="40"/>
      <c r="O1895" s="40"/>
      <c r="P1895" s="40"/>
      <c r="Q1895" s="40"/>
      <c r="R1895" s="40"/>
      <c r="S1895" s="40"/>
      <c r="T1895" s="40"/>
      <c r="U1895" s="40"/>
      <c r="V1895" s="40"/>
      <c r="W1895" s="40"/>
      <c r="X1895" s="40"/>
      <c r="Y1895" s="40"/>
      <c r="Z1895" s="40"/>
    </row>
    <row r="1896">
      <c r="A1896" s="65"/>
      <c r="B1896" s="66"/>
      <c r="C1896" s="68"/>
      <c r="D1896" s="68"/>
      <c r="E1896" s="40"/>
      <c r="F1896" s="40"/>
      <c r="G1896" s="40"/>
      <c r="H1896" s="40"/>
      <c r="I1896" s="40"/>
      <c r="J1896" s="40"/>
      <c r="K1896" s="40"/>
      <c r="L1896" s="40"/>
      <c r="M1896" s="40"/>
      <c r="N1896" s="40"/>
      <c r="O1896" s="40"/>
      <c r="P1896" s="40"/>
      <c r="Q1896" s="40"/>
      <c r="R1896" s="40"/>
      <c r="S1896" s="40"/>
      <c r="T1896" s="40"/>
      <c r="U1896" s="40"/>
      <c r="V1896" s="40"/>
      <c r="W1896" s="40"/>
      <c r="X1896" s="40"/>
      <c r="Y1896" s="40"/>
      <c r="Z1896" s="40"/>
    </row>
    <row r="1897">
      <c r="A1897" s="65"/>
      <c r="B1897" s="66"/>
      <c r="C1897" s="68"/>
      <c r="D1897" s="68"/>
      <c r="E1897" s="40"/>
      <c r="F1897" s="40"/>
      <c r="G1897" s="40"/>
      <c r="H1897" s="40"/>
      <c r="I1897" s="40"/>
      <c r="J1897" s="40"/>
      <c r="K1897" s="40"/>
      <c r="L1897" s="40"/>
      <c r="M1897" s="40"/>
      <c r="N1897" s="40"/>
      <c r="O1897" s="40"/>
      <c r="P1897" s="40"/>
      <c r="Q1897" s="40"/>
      <c r="R1897" s="40"/>
      <c r="S1897" s="40"/>
      <c r="T1897" s="40"/>
      <c r="U1897" s="40"/>
      <c r="V1897" s="40"/>
      <c r="W1897" s="40"/>
      <c r="X1897" s="40"/>
      <c r="Y1897" s="40"/>
      <c r="Z1897" s="40"/>
    </row>
    <row r="1898">
      <c r="A1898" s="65"/>
      <c r="B1898" s="66"/>
      <c r="C1898" s="68"/>
      <c r="D1898" s="68"/>
      <c r="E1898" s="40"/>
      <c r="F1898" s="40"/>
      <c r="G1898" s="40"/>
      <c r="H1898" s="40"/>
      <c r="I1898" s="40"/>
      <c r="J1898" s="40"/>
      <c r="K1898" s="40"/>
      <c r="L1898" s="40"/>
      <c r="M1898" s="40"/>
      <c r="N1898" s="40"/>
      <c r="O1898" s="40"/>
      <c r="P1898" s="40"/>
      <c r="Q1898" s="40"/>
      <c r="R1898" s="40"/>
      <c r="S1898" s="40"/>
      <c r="T1898" s="40"/>
      <c r="U1898" s="40"/>
      <c r="V1898" s="40"/>
      <c r="W1898" s="40"/>
      <c r="X1898" s="40"/>
      <c r="Y1898" s="40"/>
      <c r="Z1898" s="40"/>
    </row>
    <row r="1899">
      <c r="A1899" s="65"/>
      <c r="B1899" s="66"/>
      <c r="C1899" s="68"/>
      <c r="D1899" s="68"/>
      <c r="E1899" s="40"/>
      <c r="F1899" s="40"/>
      <c r="G1899" s="40"/>
      <c r="H1899" s="40"/>
      <c r="I1899" s="40"/>
      <c r="J1899" s="40"/>
      <c r="K1899" s="40"/>
      <c r="L1899" s="40"/>
      <c r="M1899" s="40"/>
      <c r="N1899" s="40"/>
      <c r="O1899" s="40"/>
      <c r="P1899" s="40"/>
      <c r="Q1899" s="40"/>
      <c r="R1899" s="40"/>
      <c r="S1899" s="40"/>
      <c r="T1899" s="40"/>
      <c r="U1899" s="40"/>
      <c r="V1899" s="40"/>
      <c r="W1899" s="40"/>
      <c r="X1899" s="40"/>
      <c r="Y1899" s="40"/>
      <c r="Z1899" s="40"/>
    </row>
    <row r="1900">
      <c r="A1900" s="65"/>
      <c r="B1900" s="66"/>
      <c r="C1900" s="68"/>
      <c r="D1900" s="68"/>
      <c r="E1900" s="40"/>
      <c r="F1900" s="40"/>
      <c r="G1900" s="40"/>
      <c r="H1900" s="40"/>
      <c r="I1900" s="40"/>
      <c r="J1900" s="40"/>
      <c r="K1900" s="40"/>
      <c r="L1900" s="40"/>
      <c r="M1900" s="40"/>
      <c r="N1900" s="40"/>
      <c r="O1900" s="40"/>
      <c r="P1900" s="40"/>
      <c r="Q1900" s="40"/>
      <c r="R1900" s="40"/>
      <c r="S1900" s="40"/>
      <c r="T1900" s="40"/>
      <c r="U1900" s="40"/>
      <c r="V1900" s="40"/>
      <c r="W1900" s="40"/>
      <c r="X1900" s="40"/>
      <c r="Y1900" s="40"/>
      <c r="Z1900" s="40"/>
    </row>
    <row r="1901">
      <c r="A1901" s="65"/>
      <c r="B1901" s="66"/>
      <c r="C1901" s="68"/>
      <c r="D1901" s="68"/>
      <c r="E1901" s="40"/>
      <c r="F1901" s="40"/>
      <c r="G1901" s="40"/>
      <c r="H1901" s="40"/>
      <c r="I1901" s="40"/>
      <c r="J1901" s="40"/>
      <c r="K1901" s="40"/>
      <c r="L1901" s="40"/>
      <c r="M1901" s="40"/>
      <c r="N1901" s="40"/>
      <c r="O1901" s="40"/>
      <c r="P1901" s="40"/>
      <c r="Q1901" s="40"/>
      <c r="R1901" s="40"/>
      <c r="S1901" s="40"/>
      <c r="T1901" s="40"/>
      <c r="U1901" s="40"/>
      <c r="V1901" s="40"/>
      <c r="W1901" s="40"/>
      <c r="X1901" s="40"/>
      <c r="Y1901" s="40"/>
      <c r="Z1901" s="40"/>
    </row>
    <row r="1902">
      <c r="A1902" s="65"/>
      <c r="B1902" s="66"/>
      <c r="C1902" s="68"/>
      <c r="D1902" s="68"/>
      <c r="E1902" s="40"/>
      <c r="F1902" s="40"/>
      <c r="G1902" s="40"/>
      <c r="H1902" s="40"/>
      <c r="I1902" s="40"/>
      <c r="J1902" s="40"/>
      <c r="K1902" s="40"/>
      <c r="L1902" s="40"/>
      <c r="M1902" s="40"/>
      <c r="N1902" s="40"/>
      <c r="O1902" s="40"/>
      <c r="P1902" s="40"/>
      <c r="Q1902" s="40"/>
      <c r="R1902" s="40"/>
      <c r="S1902" s="40"/>
      <c r="T1902" s="40"/>
      <c r="U1902" s="40"/>
      <c r="V1902" s="40"/>
      <c r="W1902" s="40"/>
      <c r="X1902" s="40"/>
      <c r="Y1902" s="40"/>
      <c r="Z1902" s="40"/>
    </row>
    <row r="1903">
      <c r="A1903" s="65"/>
      <c r="B1903" s="66"/>
      <c r="C1903" s="68"/>
      <c r="D1903" s="68"/>
      <c r="E1903" s="40"/>
      <c r="F1903" s="40"/>
      <c r="G1903" s="40"/>
      <c r="H1903" s="40"/>
      <c r="I1903" s="40"/>
      <c r="J1903" s="40"/>
      <c r="K1903" s="40"/>
      <c r="L1903" s="40"/>
      <c r="M1903" s="40"/>
      <c r="N1903" s="40"/>
      <c r="O1903" s="40"/>
      <c r="P1903" s="40"/>
      <c r="Q1903" s="40"/>
      <c r="R1903" s="40"/>
      <c r="S1903" s="40"/>
      <c r="T1903" s="40"/>
      <c r="U1903" s="40"/>
      <c r="V1903" s="40"/>
      <c r="W1903" s="40"/>
      <c r="X1903" s="40"/>
      <c r="Y1903" s="40"/>
      <c r="Z1903" s="40"/>
    </row>
    <row r="1904">
      <c r="A1904" s="65"/>
      <c r="B1904" s="66"/>
      <c r="C1904" s="68"/>
      <c r="D1904" s="68"/>
      <c r="E1904" s="40"/>
      <c r="F1904" s="40"/>
      <c r="G1904" s="40"/>
      <c r="H1904" s="40"/>
      <c r="I1904" s="40"/>
      <c r="J1904" s="40"/>
      <c r="K1904" s="40"/>
      <c r="L1904" s="40"/>
      <c r="M1904" s="40"/>
      <c r="N1904" s="40"/>
      <c r="O1904" s="40"/>
      <c r="P1904" s="40"/>
      <c r="Q1904" s="40"/>
      <c r="R1904" s="40"/>
      <c r="S1904" s="40"/>
      <c r="T1904" s="40"/>
      <c r="U1904" s="40"/>
      <c r="V1904" s="40"/>
      <c r="W1904" s="40"/>
      <c r="X1904" s="40"/>
      <c r="Y1904" s="40"/>
      <c r="Z1904" s="40"/>
    </row>
    <row r="1905">
      <c r="A1905" s="65"/>
      <c r="B1905" s="66"/>
      <c r="C1905" s="68"/>
      <c r="D1905" s="68"/>
      <c r="E1905" s="40"/>
      <c r="F1905" s="40"/>
      <c r="G1905" s="40"/>
      <c r="H1905" s="40"/>
      <c r="I1905" s="40"/>
      <c r="J1905" s="40"/>
      <c r="K1905" s="40"/>
      <c r="L1905" s="40"/>
      <c r="M1905" s="40"/>
      <c r="N1905" s="40"/>
      <c r="O1905" s="40"/>
      <c r="P1905" s="40"/>
      <c r="Q1905" s="40"/>
      <c r="R1905" s="40"/>
      <c r="S1905" s="40"/>
      <c r="T1905" s="40"/>
      <c r="U1905" s="40"/>
      <c r="V1905" s="40"/>
      <c r="W1905" s="40"/>
      <c r="X1905" s="40"/>
      <c r="Y1905" s="40"/>
      <c r="Z1905" s="40"/>
    </row>
    <row r="1906">
      <c r="A1906" s="65"/>
      <c r="B1906" s="66"/>
      <c r="C1906" s="68"/>
      <c r="D1906" s="68"/>
      <c r="E1906" s="40"/>
      <c r="F1906" s="40"/>
      <c r="G1906" s="40"/>
      <c r="H1906" s="40"/>
      <c r="I1906" s="40"/>
      <c r="J1906" s="40"/>
      <c r="K1906" s="40"/>
      <c r="L1906" s="40"/>
      <c r="M1906" s="40"/>
      <c r="N1906" s="40"/>
      <c r="O1906" s="40"/>
      <c r="P1906" s="40"/>
      <c r="Q1906" s="40"/>
      <c r="R1906" s="40"/>
      <c r="S1906" s="40"/>
      <c r="T1906" s="40"/>
      <c r="U1906" s="40"/>
      <c r="V1906" s="40"/>
      <c r="W1906" s="40"/>
      <c r="X1906" s="40"/>
      <c r="Y1906" s="40"/>
      <c r="Z1906" s="40"/>
    </row>
    <row r="1907">
      <c r="A1907" s="65"/>
      <c r="B1907" s="66"/>
      <c r="C1907" s="68"/>
      <c r="D1907" s="68"/>
      <c r="E1907" s="40"/>
      <c r="F1907" s="40"/>
      <c r="G1907" s="40"/>
      <c r="H1907" s="40"/>
      <c r="I1907" s="40"/>
      <c r="J1907" s="40"/>
      <c r="K1907" s="40"/>
      <c r="L1907" s="40"/>
      <c r="M1907" s="40"/>
      <c r="N1907" s="40"/>
      <c r="O1907" s="40"/>
      <c r="P1907" s="40"/>
      <c r="Q1907" s="40"/>
      <c r="R1907" s="40"/>
      <c r="S1907" s="40"/>
      <c r="T1907" s="40"/>
      <c r="U1907" s="40"/>
      <c r="V1907" s="40"/>
      <c r="W1907" s="40"/>
      <c r="X1907" s="40"/>
      <c r="Y1907" s="40"/>
      <c r="Z1907" s="40"/>
    </row>
    <row r="1908">
      <c r="A1908" s="65"/>
      <c r="B1908" s="66"/>
      <c r="C1908" s="68"/>
      <c r="D1908" s="68"/>
      <c r="E1908" s="40"/>
      <c r="F1908" s="40"/>
      <c r="G1908" s="40"/>
      <c r="H1908" s="40"/>
      <c r="I1908" s="40"/>
      <c r="J1908" s="40"/>
      <c r="K1908" s="40"/>
      <c r="L1908" s="40"/>
      <c r="M1908" s="40"/>
      <c r="N1908" s="40"/>
      <c r="O1908" s="40"/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0"/>
    </row>
    <row r="1909">
      <c r="A1909" s="65"/>
      <c r="B1909" s="66"/>
      <c r="C1909" s="68"/>
      <c r="D1909" s="68"/>
      <c r="E1909" s="40"/>
      <c r="F1909" s="40"/>
      <c r="G1909" s="40"/>
      <c r="H1909" s="40"/>
      <c r="I1909" s="40"/>
      <c r="J1909" s="40"/>
      <c r="K1909" s="40"/>
      <c r="L1909" s="40"/>
      <c r="M1909" s="40"/>
      <c r="N1909" s="40"/>
      <c r="O1909" s="40"/>
      <c r="P1909" s="40"/>
      <c r="Q1909" s="40"/>
      <c r="R1909" s="40"/>
      <c r="S1909" s="40"/>
      <c r="T1909" s="40"/>
      <c r="U1909" s="40"/>
      <c r="V1909" s="40"/>
      <c r="W1909" s="40"/>
      <c r="X1909" s="40"/>
      <c r="Y1909" s="40"/>
      <c r="Z1909" s="40"/>
    </row>
    <row r="1910">
      <c r="A1910" s="65"/>
      <c r="B1910" s="66"/>
      <c r="C1910" s="68"/>
      <c r="D1910" s="68"/>
      <c r="E1910" s="40"/>
      <c r="F1910" s="40"/>
      <c r="G1910" s="40"/>
      <c r="H1910" s="40"/>
      <c r="I1910" s="40"/>
      <c r="J1910" s="40"/>
      <c r="K1910" s="40"/>
      <c r="L1910" s="40"/>
      <c r="M1910" s="40"/>
      <c r="N1910" s="40"/>
      <c r="O1910" s="40"/>
      <c r="P1910" s="40"/>
      <c r="Q1910" s="40"/>
      <c r="R1910" s="40"/>
      <c r="S1910" s="40"/>
      <c r="T1910" s="40"/>
      <c r="U1910" s="40"/>
      <c r="V1910" s="40"/>
      <c r="W1910" s="40"/>
      <c r="X1910" s="40"/>
      <c r="Y1910" s="40"/>
      <c r="Z1910" s="40"/>
    </row>
    <row r="1911">
      <c r="A1911" s="65"/>
      <c r="B1911" s="66"/>
      <c r="C1911" s="68"/>
      <c r="D1911" s="68"/>
      <c r="E1911" s="40"/>
      <c r="F1911" s="40"/>
      <c r="G1911" s="40"/>
      <c r="H1911" s="40"/>
      <c r="I1911" s="40"/>
      <c r="J1911" s="40"/>
      <c r="K1911" s="40"/>
      <c r="L1911" s="40"/>
      <c r="M1911" s="40"/>
      <c r="N1911" s="40"/>
      <c r="O1911" s="40"/>
      <c r="P1911" s="40"/>
      <c r="Q1911" s="40"/>
      <c r="R1911" s="40"/>
      <c r="S1911" s="40"/>
      <c r="T1911" s="40"/>
      <c r="U1911" s="40"/>
      <c r="V1911" s="40"/>
      <c r="W1911" s="40"/>
      <c r="X1911" s="40"/>
      <c r="Y1911" s="40"/>
      <c r="Z1911" s="40"/>
    </row>
    <row r="1912">
      <c r="A1912" s="65"/>
      <c r="B1912" s="66"/>
      <c r="C1912" s="68"/>
      <c r="D1912" s="68"/>
      <c r="E1912" s="40"/>
      <c r="F1912" s="40"/>
      <c r="G1912" s="40"/>
      <c r="H1912" s="40"/>
      <c r="I1912" s="40"/>
      <c r="J1912" s="40"/>
      <c r="K1912" s="40"/>
      <c r="L1912" s="40"/>
      <c r="M1912" s="40"/>
      <c r="N1912" s="40"/>
      <c r="O1912" s="40"/>
      <c r="P1912" s="40"/>
      <c r="Q1912" s="40"/>
      <c r="R1912" s="40"/>
      <c r="S1912" s="40"/>
      <c r="T1912" s="40"/>
      <c r="U1912" s="40"/>
      <c r="V1912" s="40"/>
      <c r="W1912" s="40"/>
      <c r="X1912" s="40"/>
      <c r="Y1912" s="40"/>
      <c r="Z1912" s="40"/>
    </row>
    <row r="1913">
      <c r="A1913" s="65"/>
      <c r="B1913" s="66"/>
      <c r="C1913" s="68"/>
      <c r="D1913" s="68"/>
      <c r="E1913" s="40"/>
      <c r="F1913" s="40"/>
      <c r="G1913" s="40"/>
      <c r="H1913" s="40"/>
      <c r="I1913" s="40"/>
      <c r="J1913" s="40"/>
      <c r="K1913" s="40"/>
      <c r="L1913" s="40"/>
      <c r="M1913" s="40"/>
      <c r="N1913" s="40"/>
      <c r="O1913" s="40"/>
      <c r="P1913" s="40"/>
      <c r="Q1913" s="40"/>
      <c r="R1913" s="40"/>
      <c r="S1913" s="40"/>
      <c r="T1913" s="40"/>
      <c r="U1913" s="40"/>
      <c r="V1913" s="40"/>
      <c r="W1913" s="40"/>
      <c r="X1913" s="40"/>
      <c r="Y1913" s="40"/>
      <c r="Z1913" s="40"/>
    </row>
    <row r="1914">
      <c r="A1914" s="65"/>
      <c r="B1914" s="66"/>
      <c r="C1914" s="68"/>
      <c r="D1914" s="68"/>
      <c r="E1914" s="40"/>
      <c r="F1914" s="40"/>
      <c r="G1914" s="40"/>
      <c r="H1914" s="40"/>
      <c r="I1914" s="40"/>
      <c r="J1914" s="40"/>
      <c r="K1914" s="40"/>
      <c r="L1914" s="40"/>
      <c r="M1914" s="40"/>
      <c r="N1914" s="40"/>
      <c r="O1914" s="40"/>
      <c r="P1914" s="40"/>
      <c r="Q1914" s="40"/>
      <c r="R1914" s="40"/>
      <c r="S1914" s="40"/>
      <c r="T1914" s="40"/>
      <c r="U1914" s="40"/>
      <c r="V1914" s="40"/>
      <c r="W1914" s="40"/>
      <c r="X1914" s="40"/>
      <c r="Y1914" s="40"/>
      <c r="Z1914" s="40"/>
    </row>
    <row r="1915">
      <c r="A1915" s="65"/>
      <c r="B1915" s="66"/>
      <c r="C1915" s="68"/>
      <c r="D1915" s="68"/>
      <c r="E1915" s="40"/>
      <c r="F1915" s="40"/>
      <c r="G1915" s="40"/>
      <c r="H1915" s="40"/>
      <c r="I1915" s="40"/>
      <c r="J1915" s="40"/>
      <c r="K1915" s="40"/>
      <c r="L1915" s="40"/>
      <c r="M1915" s="40"/>
      <c r="N1915" s="40"/>
      <c r="O1915" s="40"/>
      <c r="P1915" s="40"/>
      <c r="Q1915" s="40"/>
      <c r="R1915" s="40"/>
      <c r="S1915" s="40"/>
      <c r="T1915" s="40"/>
      <c r="U1915" s="40"/>
      <c r="V1915" s="40"/>
      <c r="W1915" s="40"/>
      <c r="X1915" s="40"/>
      <c r="Y1915" s="40"/>
      <c r="Z1915" s="40"/>
    </row>
    <row r="1916">
      <c r="A1916" s="65"/>
      <c r="B1916" s="66"/>
      <c r="C1916" s="68"/>
      <c r="D1916" s="68"/>
      <c r="E1916" s="40"/>
      <c r="F1916" s="40"/>
      <c r="G1916" s="40"/>
      <c r="H1916" s="40"/>
      <c r="I1916" s="40"/>
      <c r="J1916" s="40"/>
      <c r="K1916" s="40"/>
      <c r="L1916" s="40"/>
      <c r="M1916" s="40"/>
      <c r="N1916" s="40"/>
      <c r="O1916" s="40"/>
      <c r="P1916" s="40"/>
      <c r="Q1916" s="40"/>
      <c r="R1916" s="40"/>
      <c r="S1916" s="40"/>
      <c r="T1916" s="40"/>
      <c r="U1916" s="40"/>
      <c r="V1916" s="40"/>
      <c r="W1916" s="40"/>
      <c r="X1916" s="40"/>
      <c r="Y1916" s="40"/>
      <c r="Z1916" s="40"/>
    </row>
    <row r="1917">
      <c r="A1917" s="65"/>
      <c r="B1917" s="66"/>
      <c r="C1917" s="68"/>
      <c r="D1917" s="68"/>
      <c r="E1917" s="40"/>
      <c r="F1917" s="40"/>
      <c r="G1917" s="40"/>
      <c r="H1917" s="40"/>
      <c r="I1917" s="40"/>
      <c r="J1917" s="40"/>
      <c r="K1917" s="40"/>
      <c r="L1917" s="40"/>
      <c r="M1917" s="40"/>
      <c r="N1917" s="40"/>
      <c r="O1917" s="40"/>
      <c r="P1917" s="40"/>
      <c r="Q1917" s="40"/>
      <c r="R1917" s="40"/>
      <c r="S1917" s="40"/>
      <c r="T1917" s="40"/>
      <c r="U1917" s="40"/>
      <c r="V1917" s="40"/>
      <c r="W1917" s="40"/>
      <c r="X1917" s="40"/>
      <c r="Y1917" s="40"/>
      <c r="Z1917" s="40"/>
    </row>
    <row r="1918">
      <c r="A1918" s="65"/>
      <c r="B1918" s="66"/>
      <c r="C1918" s="68"/>
      <c r="D1918" s="68"/>
      <c r="E1918" s="40"/>
      <c r="F1918" s="40"/>
      <c r="G1918" s="40"/>
      <c r="H1918" s="40"/>
      <c r="I1918" s="40"/>
      <c r="J1918" s="40"/>
      <c r="K1918" s="40"/>
      <c r="L1918" s="40"/>
      <c r="M1918" s="40"/>
      <c r="N1918" s="40"/>
      <c r="O1918" s="40"/>
      <c r="P1918" s="40"/>
      <c r="Q1918" s="40"/>
      <c r="R1918" s="40"/>
      <c r="S1918" s="40"/>
      <c r="T1918" s="40"/>
      <c r="U1918" s="40"/>
      <c r="V1918" s="40"/>
      <c r="W1918" s="40"/>
      <c r="X1918" s="40"/>
      <c r="Y1918" s="40"/>
      <c r="Z1918" s="40"/>
    </row>
    <row r="1919">
      <c r="A1919" s="65"/>
      <c r="B1919" s="66"/>
      <c r="C1919" s="68"/>
      <c r="D1919" s="68"/>
      <c r="E1919" s="40"/>
      <c r="F1919" s="40"/>
      <c r="G1919" s="40"/>
      <c r="H1919" s="40"/>
      <c r="I1919" s="40"/>
      <c r="J1919" s="40"/>
      <c r="K1919" s="40"/>
      <c r="L1919" s="40"/>
      <c r="M1919" s="40"/>
      <c r="N1919" s="40"/>
      <c r="O1919" s="40"/>
      <c r="P1919" s="40"/>
      <c r="Q1919" s="40"/>
      <c r="R1919" s="40"/>
      <c r="S1919" s="40"/>
      <c r="T1919" s="40"/>
      <c r="U1919" s="40"/>
      <c r="V1919" s="40"/>
      <c r="W1919" s="40"/>
      <c r="X1919" s="40"/>
      <c r="Y1919" s="40"/>
      <c r="Z1919" s="40"/>
    </row>
    <row r="1920">
      <c r="A1920" s="65"/>
      <c r="B1920" s="66"/>
      <c r="C1920" s="68"/>
      <c r="D1920" s="68"/>
      <c r="E1920" s="40"/>
      <c r="F1920" s="40"/>
      <c r="G1920" s="40"/>
      <c r="H1920" s="40"/>
      <c r="I1920" s="40"/>
      <c r="J1920" s="40"/>
      <c r="K1920" s="40"/>
      <c r="L1920" s="40"/>
      <c r="M1920" s="40"/>
      <c r="N1920" s="40"/>
      <c r="O1920" s="40"/>
      <c r="P1920" s="40"/>
      <c r="Q1920" s="40"/>
      <c r="R1920" s="40"/>
      <c r="S1920" s="40"/>
      <c r="T1920" s="40"/>
      <c r="U1920" s="40"/>
      <c r="V1920" s="40"/>
      <c r="W1920" s="40"/>
      <c r="X1920" s="40"/>
      <c r="Y1920" s="40"/>
      <c r="Z1920" s="40"/>
    </row>
    <row r="1921">
      <c r="A1921" s="65"/>
      <c r="B1921" s="66"/>
      <c r="C1921" s="68"/>
      <c r="D1921" s="68"/>
      <c r="E1921" s="40"/>
      <c r="F1921" s="40"/>
      <c r="G1921" s="40"/>
      <c r="H1921" s="40"/>
      <c r="I1921" s="40"/>
      <c r="J1921" s="40"/>
      <c r="K1921" s="40"/>
      <c r="L1921" s="40"/>
      <c r="M1921" s="40"/>
      <c r="N1921" s="40"/>
      <c r="O1921" s="40"/>
      <c r="P1921" s="40"/>
      <c r="Q1921" s="40"/>
      <c r="R1921" s="40"/>
      <c r="S1921" s="40"/>
      <c r="T1921" s="40"/>
      <c r="U1921" s="40"/>
      <c r="V1921" s="40"/>
      <c r="W1921" s="40"/>
      <c r="X1921" s="40"/>
      <c r="Y1921" s="40"/>
      <c r="Z1921" s="40"/>
    </row>
    <row r="1922">
      <c r="A1922" s="65"/>
      <c r="B1922" s="66"/>
      <c r="C1922" s="68"/>
      <c r="D1922" s="68"/>
      <c r="E1922" s="40"/>
      <c r="F1922" s="40"/>
      <c r="G1922" s="40"/>
      <c r="H1922" s="40"/>
      <c r="I1922" s="40"/>
      <c r="J1922" s="40"/>
      <c r="K1922" s="40"/>
      <c r="L1922" s="40"/>
      <c r="M1922" s="40"/>
      <c r="N1922" s="40"/>
      <c r="O1922" s="40"/>
      <c r="P1922" s="40"/>
      <c r="Q1922" s="40"/>
      <c r="R1922" s="40"/>
      <c r="S1922" s="40"/>
      <c r="T1922" s="40"/>
      <c r="U1922" s="40"/>
      <c r="V1922" s="40"/>
      <c r="W1922" s="40"/>
      <c r="X1922" s="40"/>
      <c r="Y1922" s="40"/>
      <c r="Z1922" s="40"/>
    </row>
    <row r="1923">
      <c r="A1923" s="65"/>
      <c r="B1923" s="66"/>
      <c r="C1923" s="68"/>
      <c r="D1923" s="68"/>
      <c r="E1923" s="40"/>
      <c r="F1923" s="40"/>
      <c r="G1923" s="40"/>
      <c r="H1923" s="40"/>
      <c r="I1923" s="40"/>
      <c r="J1923" s="40"/>
      <c r="K1923" s="40"/>
      <c r="L1923" s="40"/>
      <c r="M1923" s="40"/>
      <c r="N1923" s="40"/>
      <c r="O1923" s="40"/>
      <c r="P1923" s="40"/>
      <c r="Q1923" s="40"/>
      <c r="R1923" s="40"/>
      <c r="S1923" s="40"/>
      <c r="T1923" s="40"/>
      <c r="U1923" s="40"/>
      <c r="V1923" s="40"/>
      <c r="W1923" s="40"/>
      <c r="X1923" s="40"/>
      <c r="Y1923" s="40"/>
      <c r="Z1923" s="40"/>
    </row>
    <row r="1924">
      <c r="A1924" s="65"/>
      <c r="B1924" s="66"/>
      <c r="C1924" s="68"/>
      <c r="D1924" s="68"/>
      <c r="E1924" s="40"/>
      <c r="F1924" s="40"/>
      <c r="G1924" s="40"/>
      <c r="H1924" s="40"/>
      <c r="I1924" s="40"/>
      <c r="J1924" s="40"/>
      <c r="K1924" s="40"/>
      <c r="L1924" s="40"/>
      <c r="M1924" s="40"/>
      <c r="N1924" s="40"/>
      <c r="O1924" s="40"/>
      <c r="P1924" s="40"/>
      <c r="Q1924" s="40"/>
      <c r="R1924" s="40"/>
      <c r="S1924" s="40"/>
      <c r="T1924" s="40"/>
      <c r="U1924" s="40"/>
      <c r="V1924" s="40"/>
      <c r="W1924" s="40"/>
      <c r="X1924" s="40"/>
      <c r="Y1924" s="40"/>
      <c r="Z1924" s="40"/>
    </row>
    <row r="1925">
      <c r="A1925" s="65"/>
      <c r="B1925" s="66"/>
      <c r="C1925" s="68"/>
      <c r="D1925" s="68"/>
      <c r="E1925" s="40"/>
      <c r="F1925" s="40"/>
      <c r="G1925" s="40"/>
      <c r="H1925" s="40"/>
      <c r="I1925" s="40"/>
      <c r="J1925" s="40"/>
      <c r="K1925" s="40"/>
      <c r="L1925" s="40"/>
      <c r="M1925" s="40"/>
      <c r="N1925" s="40"/>
      <c r="O1925" s="40"/>
      <c r="P1925" s="40"/>
      <c r="Q1925" s="40"/>
      <c r="R1925" s="40"/>
      <c r="S1925" s="40"/>
      <c r="T1925" s="40"/>
      <c r="U1925" s="40"/>
      <c r="V1925" s="40"/>
      <c r="W1925" s="40"/>
      <c r="X1925" s="40"/>
      <c r="Y1925" s="40"/>
      <c r="Z1925" s="40"/>
    </row>
    <row r="1926">
      <c r="A1926" s="65"/>
      <c r="B1926" s="66"/>
      <c r="C1926" s="68"/>
      <c r="D1926" s="68"/>
      <c r="E1926" s="40"/>
      <c r="F1926" s="40"/>
      <c r="G1926" s="40"/>
      <c r="H1926" s="40"/>
      <c r="I1926" s="40"/>
      <c r="J1926" s="40"/>
      <c r="K1926" s="40"/>
      <c r="L1926" s="40"/>
      <c r="M1926" s="40"/>
      <c r="N1926" s="40"/>
      <c r="O1926" s="40"/>
      <c r="P1926" s="40"/>
      <c r="Q1926" s="40"/>
      <c r="R1926" s="40"/>
      <c r="S1926" s="40"/>
      <c r="T1926" s="40"/>
      <c r="U1926" s="40"/>
      <c r="V1926" s="40"/>
      <c r="W1926" s="40"/>
      <c r="X1926" s="40"/>
      <c r="Y1926" s="40"/>
      <c r="Z1926" s="40"/>
    </row>
    <row r="1927">
      <c r="A1927" s="65"/>
      <c r="B1927" s="66"/>
      <c r="C1927" s="68"/>
      <c r="D1927" s="68"/>
      <c r="E1927" s="40"/>
      <c r="F1927" s="40"/>
      <c r="G1927" s="40"/>
      <c r="H1927" s="40"/>
      <c r="I1927" s="40"/>
      <c r="J1927" s="40"/>
      <c r="K1927" s="40"/>
      <c r="L1927" s="40"/>
      <c r="M1927" s="40"/>
      <c r="N1927" s="40"/>
      <c r="O1927" s="40"/>
      <c r="P1927" s="40"/>
      <c r="Q1927" s="40"/>
      <c r="R1927" s="40"/>
      <c r="S1927" s="40"/>
      <c r="T1927" s="40"/>
      <c r="U1927" s="40"/>
      <c r="V1927" s="40"/>
      <c r="W1927" s="40"/>
      <c r="X1927" s="40"/>
      <c r="Y1927" s="40"/>
      <c r="Z1927" s="40"/>
    </row>
    <row r="1928">
      <c r="A1928" s="65"/>
      <c r="B1928" s="66"/>
      <c r="C1928" s="68"/>
      <c r="D1928" s="68"/>
      <c r="E1928" s="40"/>
      <c r="F1928" s="40"/>
      <c r="G1928" s="40"/>
      <c r="H1928" s="40"/>
      <c r="I1928" s="40"/>
      <c r="J1928" s="40"/>
      <c r="K1928" s="40"/>
      <c r="L1928" s="40"/>
      <c r="M1928" s="40"/>
      <c r="N1928" s="40"/>
      <c r="O1928" s="40"/>
      <c r="P1928" s="40"/>
      <c r="Q1928" s="40"/>
      <c r="R1928" s="40"/>
      <c r="S1928" s="40"/>
      <c r="T1928" s="40"/>
      <c r="U1928" s="40"/>
      <c r="V1928" s="40"/>
      <c r="W1928" s="40"/>
      <c r="X1928" s="40"/>
      <c r="Y1928" s="40"/>
      <c r="Z1928" s="40"/>
    </row>
    <row r="1929">
      <c r="A1929" s="65"/>
      <c r="B1929" s="66"/>
      <c r="C1929" s="68"/>
      <c r="D1929" s="68"/>
      <c r="E1929" s="40"/>
      <c r="F1929" s="40"/>
      <c r="G1929" s="40"/>
      <c r="H1929" s="40"/>
      <c r="I1929" s="40"/>
      <c r="J1929" s="40"/>
      <c r="K1929" s="40"/>
      <c r="L1929" s="40"/>
      <c r="M1929" s="40"/>
      <c r="N1929" s="40"/>
      <c r="O1929" s="40"/>
      <c r="P1929" s="40"/>
      <c r="Q1929" s="40"/>
      <c r="R1929" s="40"/>
      <c r="S1929" s="40"/>
      <c r="T1929" s="40"/>
      <c r="U1929" s="40"/>
      <c r="V1929" s="40"/>
      <c r="W1929" s="40"/>
      <c r="X1929" s="40"/>
      <c r="Y1929" s="40"/>
      <c r="Z1929" s="40"/>
    </row>
    <row r="1930">
      <c r="A1930" s="65"/>
      <c r="B1930" s="66"/>
      <c r="C1930" s="68"/>
      <c r="D1930" s="68"/>
      <c r="E1930" s="40"/>
      <c r="F1930" s="40"/>
      <c r="G1930" s="40"/>
      <c r="H1930" s="40"/>
      <c r="I1930" s="40"/>
      <c r="J1930" s="40"/>
      <c r="K1930" s="40"/>
      <c r="L1930" s="40"/>
      <c r="M1930" s="40"/>
      <c r="N1930" s="40"/>
      <c r="O1930" s="40"/>
      <c r="P1930" s="40"/>
      <c r="Q1930" s="40"/>
      <c r="R1930" s="40"/>
      <c r="S1930" s="40"/>
      <c r="T1930" s="40"/>
      <c r="U1930" s="40"/>
      <c r="V1930" s="40"/>
      <c r="W1930" s="40"/>
      <c r="X1930" s="40"/>
      <c r="Y1930" s="40"/>
      <c r="Z1930" s="40"/>
    </row>
    <row r="1931">
      <c r="A1931" s="65"/>
      <c r="B1931" s="66"/>
      <c r="C1931" s="68"/>
      <c r="D1931" s="68"/>
      <c r="E1931" s="40"/>
      <c r="F1931" s="40"/>
      <c r="G1931" s="40"/>
      <c r="H1931" s="40"/>
      <c r="I1931" s="40"/>
      <c r="J1931" s="40"/>
      <c r="K1931" s="40"/>
      <c r="L1931" s="40"/>
      <c r="M1931" s="40"/>
      <c r="N1931" s="40"/>
      <c r="O1931" s="40"/>
      <c r="P1931" s="40"/>
      <c r="Q1931" s="40"/>
      <c r="R1931" s="40"/>
      <c r="S1931" s="40"/>
      <c r="T1931" s="40"/>
      <c r="U1931" s="40"/>
      <c r="V1931" s="40"/>
      <c r="W1931" s="40"/>
      <c r="X1931" s="40"/>
      <c r="Y1931" s="40"/>
      <c r="Z1931" s="40"/>
    </row>
    <row r="1932">
      <c r="A1932" s="65"/>
      <c r="B1932" s="66"/>
      <c r="C1932" s="68"/>
      <c r="D1932" s="68"/>
      <c r="E1932" s="40"/>
      <c r="F1932" s="40"/>
      <c r="G1932" s="40"/>
      <c r="H1932" s="40"/>
      <c r="I1932" s="40"/>
      <c r="J1932" s="40"/>
      <c r="K1932" s="40"/>
      <c r="L1932" s="40"/>
      <c r="M1932" s="40"/>
      <c r="N1932" s="40"/>
      <c r="O1932" s="40"/>
      <c r="P1932" s="40"/>
      <c r="Q1932" s="40"/>
      <c r="R1932" s="40"/>
      <c r="S1932" s="40"/>
      <c r="T1932" s="40"/>
      <c r="U1932" s="40"/>
      <c r="V1932" s="40"/>
      <c r="W1932" s="40"/>
      <c r="X1932" s="40"/>
      <c r="Y1932" s="40"/>
      <c r="Z1932" s="40"/>
    </row>
    <row r="1933">
      <c r="A1933" s="65"/>
      <c r="B1933" s="66"/>
      <c r="C1933" s="68"/>
      <c r="D1933" s="68"/>
      <c r="E1933" s="40"/>
      <c r="F1933" s="40"/>
      <c r="G1933" s="40"/>
      <c r="H1933" s="40"/>
      <c r="I1933" s="40"/>
      <c r="J1933" s="40"/>
      <c r="K1933" s="40"/>
      <c r="L1933" s="40"/>
      <c r="M1933" s="40"/>
      <c r="N1933" s="40"/>
      <c r="O1933" s="40"/>
      <c r="P1933" s="40"/>
      <c r="Q1933" s="40"/>
      <c r="R1933" s="40"/>
      <c r="S1933" s="40"/>
      <c r="T1933" s="40"/>
      <c r="U1933" s="40"/>
      <c r="V1933" s="40"/>
      <c r="W1933" s="40"/>
      <c r="X1933" s="40"/>
      <c r="Y1933" s="40"/>
      <c r="Z1933" s="40"/>
    </row>
    <row r="1934">
      <c r="A1934" s="65"/>
      <c r="B1934" s="66"/>
      <c r="C1934" s="68"/>
      <c r="D1934" s="68"/>
      <c r="E1934" s="40"/>
      <c r="F1934" s="40"/>
      <c r="G1934" s="40"/>
      <c r="H1934" s="40"/>
      <c r="I1934" s="40"/>
      <c r="J1934" s="40"/>
      <c r="K1934" s="40"/>
      <c r="L1934" s="40"/>
      <c r="M1934" s="40"/>
      <c r="N1934" s="40"/>
      <c r="O1934" s="40"/>
      <c r="P1934" s="40"/>
      <c r="Q1934" s="40"/>
      <c r="R1934" s="40"/>
      <c r="S1934" s="40"/>
      <c r="T1934" s="40"/>
      <c r="U1934" s="40"/>
      <c r="V1934" s="40"/>
      <c r="W1934" s="40"/>
      <c r="X1934" s="40"/>
      <c r="Y1934" s="40"/>
      <c r="Z1934" s="40"/>
    </row>
    <row r="1935">
      <c r="A1935" s="65"/>
      <c r="B1935" s="66"/>
      <c r="C1935" s="68"/>
      <c r="D1935" s="68"/>
      <c r="E1935" s="40"/>
      <c r="F1935" s="40"/>
      <c r="G1935" s="40"/>
      <c r="H1935" s="40"/>
      <c r="I1935" s="40"/>
      <c r="J1935" s="40"/>
      <c r="K1935" s="40"/>
      <c r="L1935" s="40"/>
      <c r="M1935" s="40"/>
      <c r="N1935" s="40"/>
      <c r="O1935" s="40"/>
      <c r="P1935" s="40"/>
      <c r="Q1935" s="40"/>
      <c r="R1935" s="40"/>
      <c r="S1935" s="40"/>
      <c r="T1935" s="40"/>
      <c r="U1935" s="40"/>
      <c r="V1935" s="40"/>
      <c r="W1935" s="40"/>
      <c r="X1935" s="40"/>
      <c r="Y1935" s="40"/>
      <c r="Z1935" s="40"/>
    </row>
    <row r="1936">
      <c r="A1936" s="65"/>
      <c r="B1936" s="66"/>
      <c r="C1936" s="68"/>
      <c r="D1936" s="68"/>
      <c r="E1936" s="40"/>
      <c r="F1936" s="40"/>
      <c r="G1936" s="40"/>
      <c r="H1936" s="40"/>
      <c r="I1936" s="40"/>
      <c r="J1936" s="40"/>
      <c r="K1936" s="40"/>
      <c r="L1936" s="40"/>
      <c r="M1936" s="40"/>
      <c r="N1936" s="40"/>
      <c r="O1936" s="40"/>
      <c r="P1936" s="40"/>
      <c r="Q1936" s="40"/>
      <c r="R1936" s="40"/>
      <c r="S1936" s="40"/>
      <c r="T1936" s="40"/>
      <c r="U1936" s="40"/>
      <c r="V1936" s="40"/>
      <c r="W1936" s="40"/>
      <c r="X1936" s="40"/>
      <c r="Y1936" s="40"/>
      <c r="Z1936" s="40"/>
    </row>
    <row r="1937">
      <c r="A1937" s="65"/>
      <c r="B1937" s="66"/>
      <c r="C1937" s="68"/>
      <c r="D1937" s="68"/>
      <c r="E1937" s="40"/>
      <c r="F1937" s="40"/>
      <c r="G1937" s="40"/>
      <c r="H1937" s="40"/>
      <c r="I1937" s="40"/>
      <c r="J1937" s="40"/>
      <c r="K1937" s="40"/>
      <c r="L1937" s="40"/>
      <c r="M1937" s="40"/>
      <c r="N1937" s="40"/>
      <c r="O1937" s="40"/>
      <c r="P1937" s="40"/>
      <c r="Q1937" s="40"/>
      <c r="R1937" s="40"/>
      <c r="S1937" s="40"/>
      <c r="T1937" s="40"/>
      <c r="U1937" s="40"/>
      <c r="V1937" s="40"/>
      <c r="W1937" s="40"/>
      <c r="X1937" s="40"/>
      <c r="Y1937" s="40"/>
      <c r="Z1937" s="40"/>
    </row>
    <row r="1938">
      <c r="A1938" s="65"/>
      <c r="B1938" s="66"/>
      <c r="C1938" s="68"/>
      <c r="D1938" s="68"/>
      <c r="E1938" s="40"/>
      <c r="F1938" s="40"/>
      <c r="G1938" s="40"/>
      <c r="H1938" s="40"/>
      <c r="I1938" s="40"/>
      <c r="J1938" s="40"/>
      <c r="K1938" s="40"/>
      <c r="L1938" s="40"/>
      <c r="M1938" s="40"/>
      <c r="N1938" s="40"/>
      <c r="O1938" s="40"/>
      <c r="P1938" s="40"/>
      <c r="Q1938" s="40"/>
      <c r="R1938" s="40"/>
      <c r="S1938" s="40"/>
      <c r="T1938" s="40"/>
      <c r="U1938" s="40"/>
      <c r="V1938" s="40"/>
      <c r="W1938" s="40"/>
      <c r="X1938" s="40"/>
      <c r="Y1938" s="40"/>
      <c r="Z1938" s="40"/>
    </row>
    <row r="1939">
      <c r="A1939" s="65"/>
      <c r="B1939" s="66"/>
      <c r="C1939" s="68"/>
      <c r="D1939" s="68"/>
      <c r="E1939" s="40"/>
      <c r="F1939" s="40"/>
      <c r="G1939" s="40"/>
      <c r="H1939" s="40"/>
      <c r="I1939" s="40"/>
      <c r="J1939" s="40"/>
      <c r="K1939" s="40"/>
      <c r="L1939" s="40"/>
      <c r="M1939" s="40"/>
      <c r="N1939" s="40"/>
      <c r="O1939" s="40"/>
      <c r="P1939" s="40"/>
      <c r="Q1939" s="40"/>
      <c r="R1939" s="40"/>
      <c r="S1939" s="40"/>
      <c r="T1939" s="40"/>
      <c r="U1939" s="40"/>
      <c r="V1939" s="40"/>
      <c r="W1939" s="40"/>
      <c r="X1939" s="40"/>
      <c r="Y1939" s="40"/>
      <c r="Z1939" s="40"/>
    </row>
    <row r="1940">
      <c r="A1940" s="65"/>
      <c r="B1940" s="66"/>
      <c r="C1940" s="68"/>
      <c r="D1940" s="68"/>
      <c r="E1940" s="40"/>
      <c r="F1940" s="40"/>
      <c r="G1940" s="40"/>
      <c r="H1940" s="40"/>
      <c r="I1940" s="40"/>
      <c r="J1940" s="40"/>
      <c r="K1940" s="40"/>
      <c r="L1940" s="40"/>
      <c r="M1940" s="40"/>
      <c r="N1940" s="40"/>
      <c r="O1940" s="40"/>
      <c r="P1940" s="40"/>
      <c r="Q1940" s="40"/>
      <c r="R1940" s="40"/>
      <c r="S1940" s="40"/>
      <c r="T1940" s="40"/>
      <c r="U1940" s="40"/>
      <c r="V1940" s="40"/>
      <c r="W1940" s="40"/>
      <c r="X1940" s="40"/>
      <c r="Y1940" s="40"/>
      <c r="Z1940" s="40"/>
    </row>
    <row r="1941">
      <c r="A1941" s="65"/>
      <c r="B1941" s="66"/>
      <c r="C1941" s="68"/>
      <c r="D1941" s="68"/>
      <c r="E1941" s="40"/>
      <c r="F1941" s="40"/>
      <c r="G1941" s="40"/>
      <c r="H1941" s="40"/>
      <c r="I1941" s="40"/>
      <c r="J1941" s="40"/>
      <c r="K1941" s="40"/>
      <c r="L1941" s="40"/>
      <c r="M1941" s="40"/>
      <c r="N1941" s="40"/>
      <c r="O1941" s="40"/>
      <c r="P1941" s="40"/>
      <c r="Q1941" s="40"/>
      <c r="R1941" s="40"/>
      <c r="S1941" s="40"/>
      <c r="T1941" s="40"/>
      <c r="U1941" s="40"/>
      <c r="V1941" s="40"/>
      <c r="W1941" s="40"/>
      <c r="X1941" s="40"/>
      <c r="Y1941" s="40"/>
      <c r="Z1941" s="40"/>
    </row>
    <row r="1942">
      <c r="A1942" s="65"/>
      <c r="B1942" s="66"/>
      <c r="C1942" s="68"/>
      <c r="D1942" s="68"/>
      <c r="E1942" s="40"/>
      <c r="F1942" s="40"/>
      <c r="G1942" s="40"/>
      <c r="H1942" s="40"/>
      <c r="I1942" s="40"/>
      <c r="J1942" s="40"/>
      <c r="K1942" s="40"/>
      <c r="L1942" s="40"/>
      <c r="M1942" s="40"/>
      <c r="N1942" s="40"/>
      <c r="O1942" s="40"/>
      <c r="P1942" s="40"/>
      <c r="Q1942" s="40"/>
      <c r="R1942" s="40"/>
      <c r="S1942" s="40"/>
      <c r="T1942" s="40"/>
      <c r="U1942" s="40"/>
      <c r="V1942" s="40"/>
      <c r="W1942" s="40"/>
      <c r="X1942" s="40"/>
      <c r="Y1942" s="40"/>
      <c r="Z1942" s="40"/>
    </row>
    <row r="1943">
      <c r="A1943" s="65"/>
      <c r="B1943" s="66"/>
      <c r="C1943" s="68"/>
      <c r="D1943" s="68"/>
      <c r="E1943" s="40"/>
      <c r="F1943" s="40"/>
      <c r="G1943" s="40"/>
      <c r="H1943" s="40"/>
      <c r="I1943" s="40"/>
      <c r="J1943" s="40"/>
      <c r="K1943" s="40"/>
      <c r="L1943" s="40"/>
      <c r="M1943" s="40"/>
      <c r="N1943" s="40"/>
      <c r="O1943" s="40"/>
      <c r="P1943" s="40"/>
      <c r="Q1943" s="40"/>
      <c r="R1943" s="40"/>
      <c r="S1943" s="40"/>
      <c r="T1943" s="40"/>
      <c r="U1943" s="40"/>
      <c r="V1943" s="40"/>
      <c r="W1943" s="40"/>
      <c r="X1943" s="40"/>
      <c r="Y1943" s="40"/>
      <c r="Z1943" s="40"/>
    </row>
    <row r="1944">
      <c r="A1944" s="65"/>
      <c r="B1944" s="66"/>
      <c r="C1944" s="68"/>
      <c r="D1944" s="68"/>
      <c r="E1944" s="40"/>
      <c r="F1944" s="40"/>
      <c r="G1944" s="40"/>
      <c r="H1944" s="40"/>
      <c r="I1944" s="40"/>
      <c r="J1944" s="40"/>
      <c r="K1944" s="40"/>
      <c r="L1944" s="40"/>
      <c r="M1944" s="40"/>
      <c r="N1944" s="40"/>
      <c r="O1944" s="40"/>
      <c r="P1944" s="40"/>
      <c r="Q1944" s="40"/>
      <c r="R1944" s="40"/>
      <c r="S1944" s="40"/>
      <c r="T1944" s="40"/>
      <c r="U1944" s="40"/>
      <c r="V1944" s="40"/>
      <c r="W1944" s="40"/>
      <c r="X1944" s="40"/>
      <c r="Y1944" s="40"/>
      <c r="Z1944" s="40"/>
    </row>
    <row r="1945">
      <c r="A1945" s="65"/>
      <c r="B1945" s="66"/>
      <c r="C1945" s="68"/>
      <c r="D1945" s="68"/>
      <c r="E1945" s="40"/>
      <c r="F1945" s="40"/>
      <c r="G1945" s="40"/>
      <c r="H1945" s="40"/>
      <c r="I1945" s="40"/>
      <c r="J1945" s="40"/>
      <c r="K1945" s="40"/>
      <c r="L1945" s="40"/>
      <c r="M1945" s="40"/>
      <c r="N1945" s="40"/>
      <c r="O1945" s="40"/>
      <c r="P1945" s="40"/>
      <c r="Q1945" s="40"/>
      <c r="R1945" s="40"/>
      <c r="S1945" s="40"/>
      <c r="T1945" s="40"/>
      <c r="U1945" s="40"/>
      <c r="V1945" s="40"/>
      <c r="W1945" s="40"/>
      <c r="X1945" s="40"/>
      <c r="Y1945" s="40"/>
      <c r="Z1945" s="40"/>
    </row>
    <row r="1946">
      <c r="A1946" s="65"/>
      <c r="B1946" s="66"/>
      <c r="C1946" s="68"/>
      <c r="D1946" s="68"/>
      <c r="E1946" s="40"/>
      <c r="F1946" s="40"/>
      <c r="G1946" s="40"/>
      <c r="H1946" s="40"/>
      <c r="I1946" s="40"/>
      <c r="J1946" s="40"/>
      <c r="K1946" s="40"/>
      <c r="L1946" s="40"/>
      <c r="M1946" s="40"/>
      <c r="N1946" s="40"/>
      <c r="O1946" s="40"/>
      <c r="P1946" s="40"/>
      <c r="Q1946" s="40"/>
      <c r="R1946" s="40"/>
      <c r="S1946" s="40"/>
      <c r="T1946" s="40"/>
      <c r="U1946" s="40"/>
      <c r="V1946" s="40"/>
      <c r="W1946" s="40"/>
      <c r="X1946" s="40"/>
      <c r="Y1946" s="40"/>
      <c r="Z1946" s="40"/>
    </row>
    <row r="1947">
      <c r="A1947" s="65"/>
      <c r="B1947" s="66"/>
      <c r="C1947" s="68"/>
      <c r="D1947" s="68"/>
      <c r="E1947" s="40"/>
      <c r="F1947" s="40"/>
      <c r="G1947" s="40"/>
      <c r="H1947" s="40"/>
      <c r="I1947" s="40"/>
      <c r="J1947" s="40"/>
      <c r="K1947" s="40"/>
      <c r="L1947" s="40"/>
      <c r="M1947" s="40"/>
      <c r="N1947" s="40"/>
      <c r="O1947" s="40"/>
      <c r="P1947" s="40"/>
      <c r="Q1947" s="40"/>
      <c r="R1947" s="40"/>
      <c r="S1947" s="40"/>
      <c r="T1947" s="40"/>
      <c r="U1947" s="40"/>
      <c r="V1947" s="40"/>
      <c r="W1947" s="40"/>
      <c r="X1947" s="40"/>
      <c r="Y1947" s="40"/>
      <c r="Z1947" s="40"/>
    </row>
    <row r="1948">
      <c r="A1948" s="65"/>
      <c r="B1948" s="66"/>
      <c r="C1948" s="68"/>
      <c r="D1948" s="68"/>
      <c r="E1948" s="40"/>
      <c r="F1948" s="40"/>
      <c r="G1948" s="40"/>
      <c r="H1948" s="40"/>
      <c r="I1948" s="40"/>
      <c r="J1948" s="40"/>
      <c r="K1948" s="40"/>
      <c r="L1948" s="40"/>
      <c r="M1948" s="40"/>
      <c r="N1948" s="40"/>
      <c r="O1948" s="40"/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0"/>
    </row>
    <row r="1949">
      <c r="A1949" s="65"/>
      <c r="B1949" s="66"/>
      <c r="C1949" s="68"/>
      <c r="D1949" s="68"/>
      <c r="E1949" s="40"/>
      <c r="F1949" s="40"/>
      <c r="G1949" s="40"/>
      <c r="H1949" s="40"/>
      <c r="I1949" s="40"/>
      <c r="J1949" s="40"/>
      <c r="K1949" s="40"/>
      <c r="L1949" s="40"/>
      <c r="M1949" s="40"/>
      <c r="N1949" s="40"/>
      <c r="O1949" s="40"/>
      <c r="P1949" s="40"/>
      <c r="Q1949" s="40"/>
      <c r="R1949" s="40"/>
      <c r="S1949" s="40"/>
      <c r="T1949" s="40"/>
      <c r="U1949" s="40"/>
      <c r="V1949" s="40"/>
      <c r="W1949" s="40"/>
      <c r="X1949" s="40"/>
      <c r="Y1949" s="40"/>
      <c r="Z1949" s="40"/>
    </row>
    <row r="1950">
      <c r="A1950" s="65"/>
      <c r="B1950" s="66"/>
      <c r="C1950" s="68"/>
      <c r="D1950" s="68"/>
      <c r="E1950" s="40"/>
      <c r="F1950" s="40"/>
      <c r="G1950" s="40"/>
      <c r="H1950" s="40"/>
      <c r="I1950" s="40"/>
      <c r="J1950" s="40"/>
      <c r="K1950" s="40"/>
      <c r="L1950" s="40"/>
      <c r="M1950" s="40"/>
      <c r="N1950" s="40"/>
      <c r="O1950" s="40"/>
      <c r="P1950" s="40"/>
      <c r="Q1950" s="40"/>
      <c r="R1950" s="40"/>
      <c r="S1950" s="40"/>
      <c r="T1950" s="40"/>
      <c r="U1950" s="40"/>
      <c r="V1950" s="40"/>
      <c r="W1950" s="40"/>
      <c r="X1950" s="40"/>
      <c r="Y1950" s="40"/>
      <c r="Z1950" s="40"/>
    </row>
    <row r="1951">
      <c r="A1951" s="65"/>
      <c r="B1951" s="66"/>
      <c r="C1951" s="68"/>
      <c r="D1951" s="68"/>
      <c r="E1951" s="40"/>
      <c r="F1951" s="40"/>
      <c r="G1951" s="40"/>
      <c r="H1951" s="40"/>
      <c r="I1951" s="40"/>
      <c r="J1951" s="40"/>
      <c r="K1951" s="40"/>
      <c r="L1951" s="40"/>
      <c r="M1951" s="40"/>
      <c r="N1951" s="40"/>
      <c r="O1951" s="40"/>
      <c r="P1951" s="40"/>
      <c r="Q1951" s="40"/>
      <c r="R1951" s="40"/>
      <c r="S1951" s="40"/>
      <c r="T1951" s="40"/>
      <c r="U1951" s="40"/>
      <c r="V1951" s="40"/>
      <c r="W1951" s="40"/>
      <c r="X1951" s="40"/>
      <c r="Y1951" s="40"/>
      <c r="Z1951" s="40"/>
    </row>
    <row r="1952">
      <c r="A1952" s="65"/>
      <c r="B1952" s="66"/>
      <c r="C1952" s="68"/>
      <c r="D1952" s="68"/>
      <c r="E1952" s="40"/>
      <c r="F1952" s="40"/>
      <c r="G1952" s="40"/>
      <c r="H1952" s="40"/>
      <c r="I1952" s="40"/>
      <c r="J1952" s="40"/>
      <c r="K1952" s="40"/>
      <c r="L1952" s="40"/>
      <c r="M1952" s="40"/>
      <c r="N1952" s="40"/>
      <c r="O1952" s="40"/>
      <c r="P1952" s="40"/>
      <c r="Q1952" s="40"/>
      <c r="R1952" s="40"/>
      <c r="S1952" s="40"/>
      <c r="T1952" s="40"/>
      <c r="U1952" s="40"/>
      <c r="V1952" s="40"/>
      <c r="W1952" s="40"/>
      <c r="X1952" s="40"/>
      <c r="Y1952" s="40"/>
      <c r="Z1952" s="40"/>
    </row>
    <row r="1953">
      <c r="A1953" s="65"/>
      <c r="B1953" s="66"/>
      <c r="C1953" s="68"/>
      <c r="D1953" s="68"/>
      <c r="E1953" s="40"/>
      <c r="F1953" s="40"/>
      <c r="G1953" s="40"/>
      <c r="H1953" s="40"/>
      <c r="I1953" s="40"/>
      <c r="J1953" s="40"/>
      <c r="K1953" s="40"/>
      <c r="L1953" s="40"/>
      <c r="M1953" s="40"/>
      <c r="N1953" s="40"/>
      <c r="O1953" s="40"/>
      <c r="P1953" s="40"/>
      <c r="Q1953" s="40"/>
      <c r="R1953" s="40"/>
      <c r="S1953" s="40"/>
      <c r="T1953" s="40"/>
      <c r="U1953" s="40"/>
      <c r="V1953" s="40"/>
      <c r="W1953" s="40"/>
      <c r="X1953" s="40"/>
      <c r="Y1953" s="40"/>
      <c r="Z1953" s="40"/>
    </row>
    <row r="1954">
      <c r="A1954" s="65"/>
      <c r="B1954" s="66"/>
      <c r="C1954" s="68"/>
      <c r="D1954" s="68"/>
      <c r="E1954" s="40"/>
      <c r="F1954" s="40"/>
      <c r="G1954" s="40"/>
      <c r="H1954" s="40"/>
      <c r="I1954" s="40"/>
      <c r="J1954" s="40"/>
      <c r="K1954" s="40"/>
      <c r="L1954" s="40"/>
      <c r="M1954" s="40"/>
      <c r="N1954" s="40"/>
      <c r="O1954" s="40"/>
      <c r="P1954" s="40"/>
      <c r="Q1954" s="40"/>
      <c r="R1954" s="40"/>
      <c r="S1954" s="40"/>
      <c r="T1954" s="40"/>
      <c r="U1954" s="40"/>
      <c r="V1954" s="40"/>
      <c r="W1954" s="40"/>
      <c r="X1954" s="40"/>
      <c r="Y1954" s="40"/>
      <c r="Z1954" s="40"/>
    </row>
    <row r="1955">
      <c r="A1955" s="65"/>
      <c r="B1955" s="66"/>
      <c r="C1955" s="68"/>
      <c r="D1955" s="68"/>
      <c r="E1955" s="40"/>
      <c r="F1955" s="40"/>
      <c r="G1955" s="40"/>
      <c r="H1955" s="40"/>
      <c r="I1955" s="40"/>
      <c r="J1955" s="40"/>
      <c r="K1955" s="40"/>
      <c r="L1955" s="40"/>
      <c r="M1955" s="40"/>
      <c r="N1955" s="40"/>
      <c r="O1955" s="40"/>
      <c r="P1955" s="40"/>
      <c r="Q1955" s="40"/>
      <c r="R1955" s="40"/>
      <c r="S1955" s="40"/>
      <c r="T1955" s="40"/>
      <c r="U1955" s="40"/>
      <c r="V1955" s="40"/>
      <c r="W1955" s="40"/>
      <c r="X1955" s="40"/>
      <c r="Y1955" s="40"/>
      <c r="Z1955" s="40"/>
    </row>
    <row r="1956">
      <c r="A1956" s="65"/>
      <c r="B1956" s="66"/>
      <c r="C1956" s="68"/>
      <c r="D1956" s="68"/>
      <c r="E1956" s="40"/>
      <c r="F1956" s="40"/>
      <c r="G1956" s="40"/>
      <c r="H1956" s="40"/>
      <c r="I1956" s="40"/>
      <c r="J1956" s="40"/>
      <c r="K1956" s="40"/>
      <c r="L1956" s="40"/>
      <c r="M1956" s="40"/>
      <c r="N1956" s="40"/>
      <c r="O1956" s="40"/>
      <c r="P1956" s="40"/>
      <c r="Q1956" s="40"/>
      <c r="R1956" s="40"/>
      <c r="S1956" s="40"/>
      <c r="T1956" s="40"/>
      <c r="U1956" s="40"/>
      <c r="V1956" s="40"/>
      <c r="W1956" s="40"/>
      <c r="X1956" s="40"/>
      <c r="Y1956" s="40"/>
      <c r="Z1956" s="40"/>
    </row>
    <row r="1957">
      <c r="A1957" s="65"/>
      <c r="B1957" s="66"/>
      <c r="C1957" s="68"/>
      <c r="D1957" s="68"/>
      <c r="E1957" s="40"/>
      <c r="F1957" s="40"/>
      <c r="G1957" s="40"/>
      <c r="H1957" s="40"/>
      <c r="I1957" s="40"/>
      <c r="J1957" s="40"/>
      <c r="K1957" s="40"/>
      <c r="L1957" s="40"/>
      <c r="M1957" s="40"/>
      <c r="N1957" s="40"/>
      <c r="O1957" s="40"/>
      <c r="P1957" s="40"/>
      <c r="Q1957" s="40"/>
      <c r="R1957" s="40"/>
      <c r="S1957" s="40"/>
      <c r="T1957" s="40"/>
      <c r="U1957" s="40"/>
      <c r="V1957" s="40"/>
      <c r="W1957" s="40"/>
      <c r="X1957" s="40"/>
      <c r="Y1957" s="40"/>
      <c r="Z1957" s="40"/>
    </row>
    <row r="1958">
      <c r="A1958" s="65"/>
      <c r="B1958" s="66"/>
      <c r="C1958" s="68"/>
      <c r="D1958" s="68"/>
      <c r="E1958" s="40"/>
      <c r="F1958" s="40"/>
      <c r="G1958" s="40"/>
      <c r="H1958" s="40"/>
      <c r="I1958" s="40"/>
      <c r="J1958" s="40"/>
      <c r="K1958" s="40"/>
      <c r="L1958" s="40"/>
      <c r="M1958" s="40"/>
      <c r="N1958" s="40"/>
      <c r="O1958" s="40"/>
      <c r="P1958" s="40"/>
      <c r="Q1958" s="40"/>
      <c r="R1958" s="40"/>
      <c r="S1958" s="40"/>
      <c r="T1958" s="40"/>
      <c r="U1958" s="40"/>
      <c r="V1958" s="40"/>
      <c r="W1958" s="40"/>
      <c r="X1958" s="40"/>
      <c r="Y1958" s="40"/>
      <c r="Z1958" s="40"/>
    </row>
    <row r="1959">
      <c r="A1959" s="65"/>
      <c r="B1959" s="66"/>
      <c r="C1959" s="68"/>
      <c r="D1959" s="68"/>
      <c r="E1959" s="40"/>
      <c r="F1959" s="40"/>
      <c r="G1959" s="40"/>
      <c r="H1959" s="40"/>
      <c r="I1959" s="40"/>
      <c r="J1959" s="40"/>
      <c r="K1959" s="40"/>
      <c r="L1959" s="40"/>
      <c r="M1959" s="40"/>
      <c r="N1959" s="40"/>
      <c r="O1959" s="40"/>
      <c r="P1959" s="40"/>
      <c r="Q1959" s="40"/>
      <c r="R1959" s="40"/>
      <c r="S1959" s="40"/>
      <c r="T1959" s="40"/>
      <c r="U1959" s="40"/>
      <c r="V1959" s="40"/>
      <c r="W1959" s="40"/>
      <c r="X1959" s="40"/>
      <c r="Y1959" s="40"/>
      <c r="Z1959" s="40"/>
    </row>
    <row r="1960">
      <c r="A1960" s="65"/>
      <c r="B1960" s="66"/>
      <c r="C1960" s="68"/>
      <c r="D1960" s="68"/>
      <c r="E1960" s="40"/>
      <c r="F1960" s="40"/>
      <c r="G1960" s="40"/>
      <c r="H1960" s="40"/>
      <c r="I1960" s="40"/>
      <c r="J1960" s="40"/>
      <c r="K1960" s="40"/>
      <c r="L1960" s="40"/>
      <c r="M1960" s="40"/>
      <c r="N1960" s="40"/>
      <c r="O1960" s="40"/>
      <c r="P1960" s="40"/>
      <c r="Q1960" s="40"/>
      <c r="R1960" s="40"/>
      <c r="S1960" s="40"/>
      <c r="T1960" s="40"/>
      <c r="U1960" s="40"/>
      <c r="V1960" s="40"/>
      <c r="W1960" s="40"/>
      <c r="X1960" s="40"/>
      <c r="Y1960" s="40"/>
      <c r="Z1960" s="40"/>
    </row>
    <row r="1961">
      <c r="A1961" s="65"/>
      <c r="B1961" s="66"/>
      <c r="C1961" s="68"/>
      <c r="D1961" s="68"/>
      <c r="E1961" s="40"/>
      <c r="F1961" s="40"/>
      <c r="G1961" s="40"/>
      <c r="H1961" s="40"/>
      <c r="I1961" s="40"/>
      <c r="J1961" s="40"/>
      <c r="K1961" s="40"/>
      <c r="L1961" s="40"/>
      <c r="M1961" s="40"/>
      <c r="N1961" s="40"/>
      <c r="O1961" s="40"/>
      <c r="P1961" s="40"/>
      <c r="Q1961" s="40"/>
      <c r="R1961" s="40"/>
      <c r="S1961" s="40"/>
      <c r="T1961" s="40"/>
      <c r="U1961" s="40"/>
      <c r="V1961" s="40"/>
      <c r="W1961" s="40"/>
      <c r="X1961" s="40"/>
      <c r="Y1961" s="40"/>
      <c r="Z1961" s="40"/>
    </row>
    <row r="1962">
      <c r="A1962" s="65"/>
      <c r="B1962" s="66"/>
      <c r="C1962" s="68"/>
      <c r="D1962" s="68"/>
      <c r="E1962" s="40"/>
      <c r="F1962" s="40"/>
      <c r="G1962" s="40"/>
      <c r="H1962" s="40"/>
      <c r="I1962" s="40"/>
      <c r="J1962" s="40"/>
      <c r="K1962" s="40"/>
      <c r="L1962" s="40"/>
      <c r="M1962" s="40"/>
      <c r="N1962" s="40"/>
      <c r="O1962" s="40"/>
      <c r="P1962" s="40"/>
      <c r="Q1962" s="40"/>
      <c r="R1962" s="40"/>
      <c r="S1962" s="40"/>
      <c r="T1962" s="40"/>
      <c r="U1962" s="40"/>
      <c r="V1962" s="40"/>
      <c r="W1962" s="40"/>
      <c r="X1962" s="40"/>
      <c r="Y1962" s="40"/>
      <c r="Z1962" s="40"/>
    </row>
    <row r="1963">
      <c r="A1963" s="65"/>
      <c r="B1963" s="66"/>
      <c r="C1963" s="68"/>
      <c r="D1963" s="68"/>
      <c r="E1963" s="40"/>
      <c r="F1963" s="40"/>
      <c r="G1963" s="40"/>
      <c r="H1963" s="40"/>
      <c r="I1963" s="40"/>
      <c r="J1963" s="40"/>
      <c r="K1963" s="40"/>
      <c r="L1963" s="40"/>
      <c r="M1963" s="40"/>
      <c r="N1963" s="40"/>
      <c r="O1963" s="40"/>
      <c r="P1963" s="40"/>
      <c r="Q1963" s="40"/>
      <c r="R1963" s="40"/>
      <c r="S1963" s="40"/>
      <c r="T1963" s="40"/>
      <c r="U1963" s="40"/>
      <c r="V1963" s="40"/>
      <c r="W1963" s="40"/>
      <c r="X1963" s="40"/>
      <c r="Y1963" s="40"/>
      <c r="Z1963" s="40"/>
    </row>
    <row r="1964">
      <c r="A1964" s="65"/>
      <c r="B1964" s="66"/>
      <c r="C1964" s="68"/>
      <c r="D1964" s="68"/>
      <c r="E1964" s="40"/>
      <c r="F1964" s="40"/>
      <c r="G1964" s="40"/>
      <c r="H1964" s="40"/>
      <c r="I1964" s="40"/>
      <c r="J1964" s="40"/>
      <c r="K1964" s="40"/>
      <c r="L1964" s="40"/>
      <c r="M1964" s="40"/>
      <c r="N1964" s="40"/>
      <c r="O1964" s="40"/>
      <c r="P1964" s="40"/>
      <c r="Q1964" s="40"/>
      <c r="R1964" s="40"/>
      <c r="S1964" s="40"/>
      <c r="T1964" s="40"/>
      <c r="U1964" s="40"/>
      <c r="V1964" s="40"/>
      <c r="W1964" s="40"/>
      <c r="X1964" s="40"/>
      <c r="Y1964" s="40"/>
      <c r="Z1964" s="40"/>
    </row>
    <row r="1965">
      <c r="A1965" s="65"/>
      <c r="B1965" s="66"/>
      <c r="C1965" s="68"/>
      <c r="D1965" s="68"/>
      <c r="E1965" s="40"/>
      <c r="F1965" s="40"/>
      <c r="G1965" s="40"/>
      <c r="H1965" s="40"/>
      <c r="I1965" s="40"/>
      <c r="J1965" s="40"/>
      <c r="K1965" s="40"/>
      <c r="L1965" s="40"/>
      <c r="M1965" s="40"/>
      <c r="N1965" s="40"/>
      <c r="O1965" s="40"/>
      <c r="P1965" s="40"/>
      <c r="Q1965" s="40"/>
      <c r="R1965" s="40"/>
      <c r="S1965" s="40"/>
      <c r="T1965" s="40"/>
      <c r="U1965" s="40"/>
      <c r="V1965" s="40"/>
      <c r="W1965" s="40"/>
      <c r="X1965" s="40"/>
      <c r="Y1965" s="40"/>
      <c r="Z1965" s="40"/>
    </row>
    <row r="1966">
      <c r="A1966" s="65"/>
      <c r="B1966" s="66"/>
      <c r="C1966" s="68"/>
      <c r="D1966" s="68"/>
      <c r="E1966" s="40"/>
      <c r="F1966" s="40"/>
      <c r="G1966" s="40"/>
      <c r="H1966" s="40"/>
      <c r="I1966" s="40"/>
      <c r="J1966" s="40"/>
      <c r="K1966" s="40"/>
      <c r="L1966" s="40"/>
      <c r="M1966" s="40"/>
      <c r="N1966" s="40"/>
      <c r="O1966" s="40"/>
      <c r="P1966" s="40"/>
      <c r="Q1966" s="40"/>
      <c r="R1966" s="40"/>
      <c r="S1966" s="40"/>
      <c r="T1966" s="40"/>
      <c r="U1966" s="40"/>
      <c r="V1966" s="40"/>
      <c r="W1966" s="40"/>
      <c r="X1966" s="40"/>
      <c r="Y1966" s="40"/>
      <c r="Z1966" s="40"/>
    </row>
    <row r="1967">
      <c r="A1967" s="65"/>
      <c r="B1967" s="66"/>
      <c r="C1967" s="68"/>
      <c r="D1967" s="68"/>
      <c r="E1967" s="40"/>
      <c r="F1967" s="40"/>
      <c r="G1967" s="40"/>
      <c r="H1967" s="40"/>
      <c r="I1967" s="40"/>
      <c r="J1967" s="40"/>
      <c r="K1967" s="40"/>
      <c r="L1967" s="40"/>
      <c r="M1967" s="40"/>
      <c r="N1967" s="40"/>
      <c r="O1967" s="40"/>
      <c r="P1967" s="40"/>
      <c r="Q1967" s="40"/>
      <c r="R1967" s="40"/>
      <c r="S1967" s="40"/>
      <c r="T1967" s="40"/>
      <c r="U1967" s="40"/>
      <c r="V1967" s="40"/>
      <c r="W1967" s="40"/>
      <c r="X1967" s="40"/>
      <c r="Y1967" s="40"/>
      <c r="Z1967" s="40"/>
    </row>
    <row r="1968">
      <c r="A1968" s="65"/>
      <c r="B1968" s="66"/>
      <c r="C1968" s="68"/>
      <c r="D1968" s="68"/>
      <c r="E1968" s="40"/>
      <c r="F1968" s="40"/>
      <c r="G1968" s="40"/>
      <c r="H1968" s="40"/>
      <c r="I1968" s="40"/>
      <c r="J1968" s="40"/>
      <c r="K1968" s="40"/>
      <c r="L1968" s="40"/>
      <c r="M1968" s="40"/>
      <c r="N1968" s="40"/>
      <c r="O1968" s="40"/>
      <c r="P1968" s="40"/>
      <c r="Q1968" s="40"/>
      <c r="R1968" s="40"/>
      <c r="S1968" s="40"/>
      <c r="T1968" s="40"/>
      <c r="U1968" s="40"/>
      <c r="V1968" s="40"/>
      <c r="W1968" s="40"/>
      <c r="X1968" s="40"/>
      <c r="Y1968" s="40"/>
      <c r="Z1968" s="40"/>
    </row>
    <row r="1969">
      <c r="A1969" s="65"/>
      <c r="B1969" s="66"/>
      <c r="C1969" s="68"/>
      <c r="D1969" s="68"/>
      <c r="E1969" s="40"/>
      <c r="F1969" s="40"/>
      <c r="G1969" s="40"/>
      <c r="H1969" s="40"/>
      <c r="I1969" s="40"/>
      <c r="J1969" s="40"/>
      <c r="K1969" s="40"/>
      <c r="L1969" s="40"/>
      <c r="M1969" s="40"/>
      <c r="N1969" s="40"/>
      <c r="O1969" s="40"/>
      <c r="P1969" s="40"/>
      <c r="Q1969" s="40"/>
      <c r="R1969" s="40"/>
      <c r="S1969" s="40"/>
      <c r="T1969" s="40"/>
      <c r="U1969" s="40"/>
      <c r="V1969" s="40"/>
      <c r="W1969" s="40"/>
      <c r="X1969" s="40"/>
      <c r="Y1969" s="40"/>
      <c r="Z1969" s="40"/>
    </row>
    <row r="1970">
      <c r="A1970" s="65"/>
      <c r="B1970" s="66"/>
      <c r="C1970" s="68"/>
      <c r="D1970" s="68"/>
      <c r="E1970" s="40"/>
      <c r="F1970" s="40"/>
      <c r="G1970" s="40"/>
      <c r="H1970" s="40"/>
      <c r="I1970" s="40"/>
      <c r="J1970" s="40"/>
      <c r="K1970" s="40"/>
      <c r="L1970" s="40"/>
      <c r="M1970" s="40"/>
      <c r="N1970" s="40"/>
      <c r="O1970" s="40"/>
      <c r="P1970" s="40"/>
      <c r="Q1970" s="40"/>
      <c r="R1970" s="40"/>
      <c r="S1970" s="40"/>
      <c r="T1970" s="40"/>
      <c r="U1970" s="40"/>
      <c r="V1970" s="40"/>
      <c r="W1970" s="40"/>
      <c r="X1970" s="40"/>
      <c r="Y1970" s="40"/>
      <c r="Z1970" s="40"/>
    </row>
    <row r="1971">
      <c r="A1971" s="65"/>
      <c r="B1971" s="66"/>
      <c r="C1971" s="68"/>
      <c r="D1971" s="68"/>
      <c r="E1971" s="40"/>
      <c r="F1971" s="40"/>
      <c r="G1971" s="40"/>
      <c r="H1971" s="40"/>
      <c r="I1971" s="40"/>
      <c r="J1971" s="40"/>
      <c r="K1971" s="40"/>
      <c r="L1971" s="40"/>
      <c r="M1971" s="40"/>
      <c r="N1971" s="40"/>
      <c r="O1971" s="40"/>
      <c r="P1971" s="40"/>
      <c r="Q1971" s="40"/>
      <c r="R1971" s="40"/>
      <c r="S1971" s="40"/>
      <c r="T1971" s="40"/>
      <c r="U1971" s="40"/>
      <c r="V1971" s="40"/>
      <c r="W1971" s="40"/>
      <c r="X1971" s="40"/>
      <c r="Y1971" s="40"/>
      <c r="Z1971" s="40"/>
    </row>
    <row r="1972">
      <c r="A1972" s="65"/>
      <c r="B1972" s="66"/>
      <c r="C1972" s="68"/>
      <c r="D1972" s="68"/>
      <c r="E1972" s="40"/>
      <c r="F1972" s="40"/>
      <c r="G1972" s="40"/>
      <c r="H1972" s="40"/>
      <c r="I1972" s="40"/>
      <c r="J1972" s="40"/>
      <c r="K1972" s="40"/>
      <c r="L1972" s="40"/>
      <c r="M1972" s="40"/>
      <c r="N1972" s="40"/>
      <c r="O1972" s="40"/>
      <c r="P1972" s="40"/>
      <c r="Q1972" s="40"/>
      <c r="R1972" s="40"/>
      <c r="S1972" s="40"/>
      <c r="T1972" s="40"/>
      <c r="U1972" s="40"/>
      <c r="V1972" s="40"/>
      <c r="W1972" s="40"/>
      <c r="X1972" s="40"/>
      <c r="Y1972" s="40"/>
      <c r="Z1972" s="40"/>
    </row>
    <row r="1973">
      <c r="A1973" s="65"/>
      <c r="B1973" s="66"/>
      <c r="C1973" s="68"/>
      <c r="D1973" s="68"/>
      <c r="E1973" s="40"/>
      <c r="F1973" s="40"/>
      <c r="G1973" s="40"/>
      <c r="H1973" s="40"/>
      <c r="I1973" s="40"/>
      <c r="J1973" s="40"/>
      <c r="K1973" s="40"/>
      <c r="L1973" s="40"/>
      <c r="M1973" s="40"/>
      <c r="N1973" s="40"/>
      <c r="O1973" s="40"/>
      <c r="P1973" s="40"/>
      <c r="Q1973" s="40"/>
      <c r="R1973" s="40"/>
      <c r="S1973" s="40"/>
      <c r="T1973" s="40"/>
      <c r="U1973" s="40"/>
      <c r="V1973" s="40"/>
      <c r="W1973" s="40"/>
      <c r="X1973" s="40"/>
      <c r="Y1973" s="40"/>
      <c r="Z1973" s="40"/>
    </row>
    <row r="1974">
      <c r="A1974" s="65"/>
      <c r="B1974" s="66"/>
      <c r="C1974" s="68"/>
      <c r="D1974" s="68"/>
      <c r="E1974" s="40"/>
      <c r="F1974" s="40"/>
      <c r="G1974" s="40"/>
      <c r="H1974" s="40"/>
      <c r="I1974" s="40"/>
      <c r="J1974" s="40"/>
      <c r="K1974" s="40"/>
      <c r="L1974" s="40"/>
      <c r="M1974" s="40"/>
      <c r="N1974" s="40"/>
      <c r="O1974" s="40"/>
      <c r="P1974" s="40"/>
      <c r="Q1974" s="40"/>
      <c r="R1974" s="40"/>
      <c r="S1974" s="40"/>
      <c r="T1974" s="40"/>
      <c r="U1974" s="40"/>
      <c r="V1974" s="40"/>
      <c r="W1974" s="40"/>
      <c r="X1974" s="40"/>
      <c r="Y1974" s="40"/>
      <c r="Z1974" s="40"/>
    </row>
    <row r="1975">
      <c r="A1975" s="65"/>
      <c r="B1975" s="66"/>
      <c r="C1975" s="68"/>
      <c r="D1975" s="68"/>
      <c r="E1975" s="40"/>
      <c r="F1975" s="40"/>
      <c r="G1975" s="40"/>
      <c r="H1975" s="40"/>
      <c r="I1975" s="40"/>
      <c r="J1975" s="40"/>
      <c r="K1975" s="40"/>
      <c r="L1975" s="40"/>
      <c r="M1975" s="40"/>
      <c r="N1975" s="40"/>
      <c r="O1975" s="40"/>
      <c r="P1975" s="40"/>
      <c r="Q1975" s="40"/>
      <c r="R1975" s="40"/>
      <c r="S1975" s="40"/>
      <c r="T1975" s="40"/>
      <c r="U1975" s="40"/>
      <c r="V1975" s="40"/>
      <c r="W1975" s="40"/>
      <c r="X1975" s="40"/>
      <c r="Y1975" s="40"/>
      <c r="Z1975" s="40"/>
    </row>
    <row r="1976">
      <c r="A1976" s="65"/>
      <c r="B1976" s="66"/>
      <c r="C1976" s="68"/>
      <c r="D1976" s="68"/>
      <c r="E1976" s="40"/>
      <c r="F1976" s="40"/>
      <c r="G1976" s="40"/>
      <c r="H1976" s="40"/>
      <c r="I1976" s="40"/>
      <c r="J1976" s="40"/>
      <c r="K1976" s="40"/>
      <c r="L1976" s="40"/>
      <c r="M1976" s="40"/>
      <c r="N1976" s="40"/>
      <c r="O1976" s="40"/>
      <c r="P1976" s="40"/>
      <c r="Q1976" s="40"/>
      <c r="R1976" s="40"/>
      <c r="S1976" s="40"/>
      <c r="T1976" s="40"/>
      <c r="U1976" s="40"/>
      <c r="V1976" s="40"/>
      <c r="W1976" s="40"/>
      <c r="X1976" s="40"/>
      <c r="Y1976" s="40"/>
      <c r="Z1976" s="40"/>
    </row>
    <row r="1977">
      <c r="A1977" s="65"/>
      <c r="B1977" s="66"/>
      <c r="C1977" s="68"/>
      <c r="D1977" s="68"/>
      <c r="E1977" s="40"/>
      <c r="F1977" s="40"/>
      <c r="G1977" s="40"/>
      <c r="H1977" s="40"/>
      <c r="I1977" s="40"/>
      <c r="J1977" s="40"/>
      <c r="K1977" s="40"/>
      <c r="L1977" s="40"/>
      <c r="M1977" s="40"/>
      <c r="N1977" s="40"/>
      <c r="O1977" s="40"/>
      <c r="P1977" s="40"/>
      <c r="Q1977" s="40"/>
      <c r="R1977" s="40"/>
      <c r="S1977" s="40"/>
      <c r="T1977" s="40"/>
      <c r="U1977" s="40"/>
      <c r="V1977" s="40"/>
      <c r="W1977" s="40"/>
      <c r="X1977" s="40"/>
      <c r="Y1977" s="40"/>
      <c r="Z1977" s="40"/>
    </row>
    <row r="1978">
      <c r="A1978" s="65"/>
      <c r="B1978" s="66"/>
      <c r="C1978" s="68"/>
      <c r="D1978" s="68"/>
      <c r="E1978" s="40"/>
      <c r="F1978" s="40"/>
      <c r="G1978" s="40"/>
      <c r="H1978" s="40"/>
      <c r="I1978" s="40"/>
      <c r="J1978" s="40"/>
      <c r="K1978" s="40"/>
      <c r="L1978" s="40"/>
      <c r="M1978" s="40"/>
      <c r="N1978" s="40"/>
      <c r="O1978" s="40"/>
      <c r="P1978" s="40"/>
      <c r="Q1978" s="40"/>
      <c r="R1978" s="40"/>
      <c r="S1978" s="40"/>
      <c r="T1978" s="40"/>
      <c r="U1978" s="40"/>
      <c r="V1978" s="40"/>
      <c r="W1978" s="40"/>
      <c r="X1978" s="40"/>
      <c r="Y1978" s="40"/>
      <c r="Z1978" s="40"/>
    </row>
    <row r="1979">
      <c r="A1979" s="65"/>
      <c r="B1979" s="66"/>
      <c r="C1979" s="68"/>
      <c r="D1979" s="68"/>
      <c r="E1979" s="40"/>
      <c r="F1979" s="40"/>
      <c r="G1979" s="40"/>
      <c r="H1979" s="40"/>
      <c r="I1979" s="40"/>
      <c r="J1979" s="40"/>
      <c r="K1979" s="40"/>
      <c r="L1979" s="40"/>
      <c r="M1979" s="40"/>
      <c r="N1979" s="40"/>
      <c r="O1979" s="40"/>
      <c r="P1979" s="40"/>
      <c r="Q1979" s="40"/>
      <c r="R1979" s="40"/>
      <c r="S1979" s="40"/>
      <c r="T1979" s="40"/>
      <c r="U1979" s="40"/>
      <c r="V1979" s="40"/>
      <c r="W1979" s="40"/>
      <c r="X1979" s="40"/>
      <c r="Y1979" s="40"/>
      <c r="Z1979" s="40"/>
    </row>
    <row r="1980">
      <c r="A1980" s="65"/>
      <c r="B1980" s="66"/>
      <c r="C1980" s="68"/>
      <c r="D1980" s="68"/>
      <c r="E1980" s="40"/>
      <c r="F1980" s="40"/>
      <c r="G1980" s="40"/>
      <c r="H1980" s="40"/>
      <c r="I1980" s="40"/>
      <c r="J1980" s="40"/>
      <c r="K1980" s="40"/>
      <c r="L1980" s="40"/>
      <c r="M1980" s="40"/>
      <c r="N1980" s="40"/>
      <c r="O1980" s="40"/>
      <c r="P1980" s="40"/>
      <c r="Q1980" s="40"/>
      <c r="R1980" s="40"/>
      <c r="S1980" s="40"/>
      <c r="T1980" s="40"/>
      <c r="U1980" s="40"/>
      <c r="V1980" s="40"/>
      <c r="W1980" s="40"/>
      <c r="X1980" s="40"/>
      <c r="Y1980" s="40"/>
      <c r="Z1980" s="40"/>
    </row>
    <row r="1981">
      <c r="A1981" s="65"/>
      <c r="B1981" s="66"/>
      <c r="C1981" s="68"/>
      <c r="D1981" s="68"/>
      <c r="E1981" s="40"/>
      <c r="F1981" s="40"/>
      <c r="G1981" s="40"/>
      <c r="H1981" s="40"/>
      <c r="I1981" s="40"/>
      <c r="J1981" s="40"/>
      <c r="K1981" s="40"/>
      <c r="L1981" s="40"/>
      <c r="M1981" s="40"/>
      <c r="N1981" s="40"/>
      <c r="O1981" s="40"/>
      <c r="P1981" s="40"/>
      <c r="Q1981" s="40"/>
      <c r="R1981" s="40"/>
      <c r="S1981" s="40"/>
      <c r="T1981" s="40"/>
      <c r="U1981" s="40"/>
      <c r="V1981" s="40"/>
      <c r="W1981" s="40"/>
      <c r="X1981" s="40"/>
      <c r="Y1981" s="40"/>
      <c r="Z1981" s="40"/>
    </row>
    <row r="1982">
      <c r="A1982" s="65"/>
      <c r="B1982" s="66"/>
      <c r="C1982" s="68"/>
      <c r="D1982" s="68"/>
      <c r="E1982" s="40"/>
      <c r="F1982" s="40"/>
      <c r="G1982" s="40"/>
      <c r="H1982" s="40"/>
      <c r="I1982" s="40"/>
      <c r="J1982" s="40"/>
      <c r="K1982" s="40"/>
      <c r="L1982" s="40"/>
      <c r="M1982" s="40"/>
      <c r="N1982" s="40"/>
      <c r="O1982" s="40"/>
      <c r="P1982" s="40"/>
      <c r="Q1982" s="40"/>
      <c r="R1982" s="40"/>
      <c r="S1982" s="40"/>
      <c r="T1982" s="40"/>
      <c r="U1982" s="40"/>
      <c r="V1982" s="40"/>
      <c r="W1982" s="40"/>
      <c r="X1982" s="40"/>
      <c r="Y1982" s="40"/>
      <c r="Z1982" s="40"/>
    </row>
    <row r="1983">
      <c r="A1983" s="65"/>
      <c r="B1983" s="66"/>
      <c r="C1983" s="68"/>
      <c r="D1983" s="68"/>
      <c r="E1983" s="40"/>
      <c r="F1983" s="40"/>
      <c r="G1983" s="40"/>
      <c r="H1983" s="40"/>
      <c r="I1983" s="40"/>
      <c r="J1983" s="40"/>
      <c r="K1983" s="40"/>
      <c r="L1983" s="40"/>
      <c r="M1983" s="40"/>
      <c r="N1983" s="40"/>
      <c r="O1983" s="40"/>
      <c r="P1983" s="40"/>
      <c r="Q1983" s="40"/>
      <c r="R1983" s="40"/>
      <c r="S1983" s="40"/>
      <c r="T1983" s="40"/>
      <c r="U1983" s="40"/>
      <c r="V1983" s="40"/>
      <c r="W1983" s="40"/>
      <c r="X1983" s="40"/>
      <c r="Y1983" s="40"/>
      <c r="Z1983" s="40"/>
    </row>
    <row r="1984">
      <c r="A1984" s="65"/>
      <c r="B1984" s="66"/>
      <c r="C1984" s="68"/>
      <c r="D1984" s="68"/>
      <c r="E1984" s="40"/>
      <c r="F1984" s="40"/>
      <c r="G1984" s="40"/>
      <c r="H1984" s="40"/>
      <c r="I1984" s="40"/>
      <c r="J1984" s="40"/>
      <c r="K1984" s="40"/>
      <c r="L1984" s="40"/>
      <c r="M1984" s="40"/>
      <c r="N1984" s="40"/>
      <c r="O1984" s="40"/>
      <c r="P1984" s="40"/>
      <c r="Q1984" s="40"/>
      <c r="R1984" s="40"/>
      <c r="S1984" s="40"/>
      <c r="T1984" s="40"/>
      <c r="U1984" s="40"/>
      <c r="V1984" s="40"/>
      <c r="W1984" s="40"/>
      <c r="X1984" s="40"/>
      <c r="Y1984" s="40"/>
      <c r="Z1984" s="40"/>
    </row>
    <row r="1985">
      <c r="A1985" s="65"/>
      <c r="B1985" s="66"/>
      <c r="C1985" s="68"/>
      <c r="D1985" s="68"/>
      <c r="E1985" s="40"/>
      <c r="F1985" s="40"/>
      <c r="G1985" s="40"/>
      <c r="H1985" s="40"/>
      <c r="I1985" s="40"/>
      <c r="J1985" s="40"/>
      <c r="K1985" s="40"/>
      <c r="L1985" s="40"/>
      <c r="M1985" s="40"/>
      <c r="N1985" s="40"/>
      <c r="O1985" s="40"/>
      <c r="P1985" s="40"/>
      <c r="Q1985" s="40"/>
      <c r="R1985" s="40"/>
      <c r="S1985" s="40"/>
      <c r="T1985" s="40"/>
      <c r="U1985" s="40"/>
      <c r="V1985" s="40"/>
      <c r="W1985" s="40"/>
      <c r="X1985" s="40"/>
      <c r="Y1985" s="40"/>
      <c r="Z1985" s="40"/>
    </row>
    <row r="1986">
      <c r="A1986" s="65"/>
      <c r="B1986" s="66"/>
      <c r="C1986" s="68"/>
      <c r="D1986" s="68"/>
      <c r="E1986" s="40"/>
      <c r="F1986" s="40"/>
      <c r="G1986" s="40"/>
      <c r="H1986" s="40"/>
      <c r="I1986" s="40"/>
      <c r="J1986" s="40"/>
      <c r="K1986" s="40"/>
      <c r="L1986" s="40"/>
      <c r="M1986" s="40"/>
      <c r="N1986" s="40"/>
      <c r="O1986" s="40"/>
      <c r="P1986" s="40"/>
      <c r="Q1986" s="40"/>
      <c r="R1986" s="40"/>
      <c r="S1986" s="40"/>
      <c r="T1986" s="40"/>
      <c r="U1986" s="40"/>
      <c r="V1986" s="40"/>
      <c r="W1986" s="40"/>
      <c r="X1986" s="40"/>
      <c r="Y1986" s="40"/>
      <c r="Z1986" s="40"/>
    </row>
    <row r="1987">
      <c r="A1987" s="65"/>
      <c r="B1987" s="66"/>
      <c r="C1987" s="68"/>
      <c r="D1987" s="68"/>
      <c r="E1987" s="40"/>
      <c r="F1987" s="40"/>
      <c r="G1987" s="40"/>
      <c r="H1987" s="40"/>
      <c r="I1987" s="40"/>
      <c r="J1987" s="40"/>
      <c r="K1987" s="40"/>
      <c r="L1987" s="40"/>
      <c r="M1987" s="40"/>
      <c r="N1987" s="40"/>
      <c r="O1987" s="40"/>
      <c r="P1987" s="40"/>
      <c r="Q1987" s="40"/>
      <c r="R1987" s="40"/>
      <c r="S1987" s="40"/>
      <c r="T1987" s="40"/>
      <c r="U1987" s="40"/>
      <c r="V1987" s="40"/>
      <c r="W1987" s="40"/>
      <c r="X1987" s="40"/>
      <c r="Y1987" s="40"/>
      <c r="Z1987" s="40"/>
    </row>
    <row r="1988">
      <c r="A1988" s="65"/>
      <c r="B1988" s="66"/>
      <c r="C1988" s="68"/>
      <c r="D1988" s="68"/>
      <c r="E1988" s="40"/>
      <c r="F1988" s="40"/>
      <c r="G1988" s="40"/>
      <c r="H1988" s="40"/>
      <c r="I1988" s="40"/>
      <c r="J1988" s="40"/>
      <c r="K1988" s="40"/>
      <c r="L1988" s="40"/>
      <c r="M1988" s="40"/>
      <c r="N1988" s="40"/>
      <c r="O1988" s="40"/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0"/>
    </row>
    <row r="1989">
      <c r="A1989" s="65"/>
      <c r="B1989" s="66"/>
      <c r="C1989" s="68"/>
      <c r="D1989" s="68"/>
      <c r="E1989" s="40"/>
      <c r="F1989" s="40"/>
      <c r="G1989" s="40"/>
      <c r="H1989" s="40"/>
      <c r="I1989" s="40"/>
      <c r="J1989" s="40"/>
      <c r="K1989" s="40"/>
      <c r="L1989" s="40"/>
      <c r="M1989" s="40"/>
      <c r="N1989" s="40"/>
      <c r="O1989" s="40"/>
      <c r="P1989" s="40"/>
      <c r="Q1989" s="40"/>
      <c r="R1989" s="40"/>
      <c r="S1989" s="40"/>
      <c r="T1989" s="40"/>
      <c r="U1989" s="40"/>
      <c r="V1989" s="40"/>
      <c r="W1989" s="40"/>
      <c r="X1989" s="40"/>
      <c r="Y1989" s="40"/>
      <c r="Z1989" s="40"/>
    </row>
    <row r="1990">
      <c r="A1990" s="65"/>
      <c r="B1990" s="66"/>
      <c r="C1990" s="68"/>
      <c r="D1990" s="68"/>
      <c r="E1990" s="40"/>
      <c r="F1990" s="40"/>
      <c r="G1990" s="40"/>
      <c r="H1990" s="40"/>
      <c r="I1990" s="40"/>
      <c r="J1990" s="40"/>
      <c r="K1990" s="40"/>
      <c r="L1990" s="40"/>
      <c r="M1990" s="40"/>
      <c r="N1990" s="40"/>
      <c r="O1990" s="40"/>
      <c r="P1990" s="40"/>
      <c r="Q1990" s="40"/>
      <c r="R1990" s="40"/>
      <c r="S1990" s="40"/>
      <c r="T1990" s="40"/>
      <c r="U1990" s="40"/>
      <c r="V1990" s="40"/>
      <c r="W1990" s="40"/>
      <c r="X1990" s="40"/>
      <c r="Y1990" s="40"/>
      <c r="Z1990" s="40"/>
    </row>
    <row r="1991">
      <c r="A1991" s="65"/>
      <c r="B1991" s="66"/>
      <c r="C1991" s="68"/>
      <c r="D1991" s="68"/>
      <c r="E1991" s="40"/>
      <c r="F1991" s="40"/>
      <c r="G1991" s="40"/>
      <c r="H1991" s="40"/>
      <c r="I1991" s="40"/>
      <c r="J1991" s="40"/>
      <c r="K1991" s="40"/>
      <c r="L1991" s="40"/>
      <c r="M1991" s="40"/>
      <c r="N1991" s="40"/>
      <c r="O1991" s="40"/>
      <c r="P1991" s="40"/>
      <c r="Q1991" s="40"/>
      <c r="R1991" s="40"/>
      <c r="S1991" s="40"/>
      <c r="T1991" s="40"/>
      <c r="U1991" s="40"/>
      <c r="V1991" s="40"/>
      <c r="W1991" s="40"/>
      <c r="X1991" s="40"/>
      <c r="Y1991" s="40"/>
      <c r="Z1991" s="40"/>
    </row>
    <row r="1992">
      <c r="A1992" s="65"/>
      <c r="B1992" s="66"/>
      <c r="C1992" s="68"/>
      <c r="D1992" s="68"/>
      <c r="E1992" s="40"/>
      <c r="F1992" s="40"/>
      <c r="G1992" s="40"/>
      <c r="H1992" s="40"/>
      <c r="I1992" s="40"/>
      <c r="J1992" s="40"/>
      <c r="K1992" s="40"/>
      <c r="L1992" s="40"/>
      <c r="M1992" s="40"/>
      <c r="N1992" s="40"/>
      <c r="O1992" s="40"/>
      <c r="P1992" s="40"/>
      <c r="Q1992" s="40"/>
      <c r="R1992" s="40"/>
      <c r="S1992" s="40"/>
      <c r="T1992" s="40"/>
      <c r="U1992" s="40"/>
      <c r="V1992" s="40"/>
      <c r="W1992" s="40"/>
      <c r="X1992" s="40"/>
      <c r="Y1992" s="40"/>
      <c r="Z1992" s="40"/>
    </row>
    <row r="1993">
      <c r="A1993" s="65"/>
      <c r="B1993" s="66"/>
      <c r="C1993" s="68"/>
      <c r="D1993" s="68"/>
      <c r="E1993" s="40"/>
      <c r="F1993" s="40"/>
      <c r="G1993" s="40"/>
      <c r="H1993" s="40"/>
      <c r="I1993" s="40"/>
      <c r="J1993" s="40"/>
      <c r="K1993" s="40"/>
      <c r="L1993" s="40"/>
      <c r="M1993" s="40"/>
      <c r="N1993" s="40"/>
      <c r="O1993" s="40"/>
      <c r="P1993" s="40"/>
      <c r="Q1993" s="40"/>
      <c r="R1993" s="40"/>
      <c r="S1993" s="40"/>
      <c r="T1993" s="40"/>
      <c r="U1993" s="40"/>
      <c r="V1993" s="40"/>
      <c r="W1993" s="40"/>
      <c r="X1993" s="40"/>
      <c r="Y1993" s="40"/>
      <c r="Z1993" s="40"/>
    </row>
    <row r="1994">
      <c r="A1994" s="65"/>
      <c r="B1994" s="66"/>
      <c r="C1994" s="68"/>
      <c r="D1994" s="68"/>
      <c r="E1994" s="40"/>
      <c r="F1994" s="40"/>
      <c r="G1994" s="40"/>
      <c r="H1994" s="40"/>
      <c r="I1994" s="40"/>
      <c r="J1994" s="40"/>
      <c r="K1994" s="40"/>
      <c r="L1994" s="40"/>
      <c r="M1994" s="40"/>
      <c r="N1994" s="40"/>
      <c r="O1994" s="40"/>
      <c r="P1994" s="40"/>
      <c r="Q1994" s="40"/>
      <c r="R1994" s="40"/>
      <c r="S1994" s="40"/>
      <c r="T1994" s="40"/>
      <c r="U1994" s="40"/>
      <c r="V1994" s="40"/>
      <c r="W1994" s="40"/>
      <c r="X1994" s="40"/>
      <c r="Y1994" s="40"/>
      <c r="Z1994" s="40"/>
    </row>
    <row r="1995">
      <c r="A1995" s="65"/>
      <c r="B1995" s="66"/>
      <c r="C1995" s="68"/>
      <c r="D1995" s="68"/>
      <c r="E1995" s="40"/>
      <c r="F1995" s="40"/>
      <c r="G1995" s="40"/>
      <c r="H1995" s="40"/>
      <c r="I1995" s="40"/>
      <c r="J1995" s="40"/>
      <c r="K1995" s="40"/>
      <c r="L1995" s="40"/>
      <c r="M1995" s="40"/>
      <c r="N1995" s="40"/>
      <c r="O1995" s="40"/>
      <c r="P1995" s="40"/>
      <c r="Q1995" s="40"/>
      <c r="R1995" s="40"/>
      <c r="S1995" s="40"/>
      <c r="T1995" s="40"/>
      <c r="U1995" s="40"/>
      <c r="V1995" s="40"/>
      <c r="W1995" s="40"/>
      <c r="X1995" s="40"/>
      <c r="Y1995" s="40"/>
      <c r="Z1995" s="40"/>
    </row>
    <row r="1996">
      <c r="A1996" s="65"/>
      <c r="B1996" s="66"/>
      <c r="C1996" s="68"/>
      <c r="D1996" s="68"/>
      <c r="E1996" s="40"/>
      <c r="F1996" s="40"/>
      <c r="G1996" s="40"/>
      <c r="H1996" s="40"/>
      <c r="I1996" s="40"/>
      <c r="J1996" s="40"/>
      <c r="K1996" s="40"/>
      <c r="L1996" s="40"/>
      <c r="M1996" s="40"/>
      <c r="N1996" s="40"/>
      <c r="O1996" s="40"/>
      <c r="P1996" s="40"/>
      <c r="Q1996" s="40"/>
      <c r="R1996" s="40"/>
      <c r="S1996" s="40"/>
      <c r="T1996" s="40"/>
      <c r="U1996" s="40"/>
      <c r="V1996" s="40"/>
      <c r="W1996" s="40"/>
      <c r="X1996" s="40"/>
      <c r="Y1996" s="40"/>
      <c r="Z1996" s="40"/>
    </row>
    <row r="1997">
      <c r="A1997" s="65"/>
      <c r="B1997" s="66"/>
      <c r="C1997" s="68"/>
      <c r="D1997" s="68"/>
      <c r="E1997" s="40"/>
      <c r="F1997" s="40"/>
      <c r="G1997" s="40"/>
      <c r="H1997" s="40"/>
      <c r="I1997" s="40"/>
      <c r="J1997" s="40"/>
      <c r="K1997" s="40"/>
      <c r="L1997" s="40"/>
      <c r="M1997" s="40"/>
      <c r="N1997" s="40"/>
      <c r="O1997" s="40"/>
      <c r="P1997" s="40"/>
      <c r="Q1997" s="40"/>
      <c r="R1997" s="40"/>
      <c r="S1997" s="40"/>
      <c r="T1997" s="40"/>
      <c r="U1997" s="40"/>
      <c r="V1997" s="40"/>
      <c r="W1997" s="40"/>
      <c r="X1997" s="40"/>
      <c r="Y1997" s="40"/>
      <c r="Z1997" s="40"/>
    </row>
    <row r="1998">
      <c r="A1998" s="65"/>
      <c r="B1998" s="66"/>
      <c r="C1998" s="68"/>
      <c r="D1998" s="68"/>
      <c r="E1998" s="40"/>
      <c r="F1998" s="40"/>
      <c r="G1998" s="40"/>
      <c r="H1998" s="40"/>
      <c r="I1998" s="40"/>
      <c r="J1998" s="40"/>
      <c r="K1998" s="40"/>
      <c r="L1998" s="40"/>
      <c r="M1998" s="40"/>
      <c r="N1998" s="40"/>
      <c r="O1998" s="40"/>
      <c r="P1998" s="40"/>
      <c r="Q1998" s="40"/>
      <c r="R1998" s="40"/>
      <c r="S1998" s="40"/>
      <c r="T1998" s="40"/>
      <c r="U1998" s="40"/>
      <c r="V1998" s="40"/>
      <c r="W1998" s="40"/>
      <c r="X1998" s="40"/>
      <c r="Y1998" s="40"/>
      <c r="Z1998" s="40"/>
    </row>
    <row r="1999">
      <c r="A1999" s="65"/>
      <c r="B1999" s="66"/>
      <c r="C1999" s="68"/>
      <c r="D1999" s="68"/>
      <c r="E1999" s="40"/>
      <c r="F1999" s="40"/>
      <c r="G1999" s="40"/>
      <c r="H1999" s="40"/>
      <c r="I1999" s="40"/>
      <c r="J1999" s="40"/>
      <c r="K1999" s="40"/>
      <c r="L1999" s="40"/>
      <c r="M1999" s="40"/>
      <c r="N1999" s="40"/>
      <c r="O1999" s="40"/>
      <c r="P1999" s="40"/>
      <c r="Q1999" s="40"/>
      <c r="R1999" s="40"/>
      <c r="S1999" s="40"/>
      <c r="T1999" s="40"/>
      <c r="U1999" s="40"/>
      <c r="V1999" s="40"/>
      <c r="W1999" s="40"/>
      <c r="X1999" s="40"/>
      <c r="Y1999" s="40"/>
      <c r="Z1999" s="40"/>
    </row>
    <row r="2000">
      <c r="A2000" s="65"/>
      <c r="B2000" s="66"/>
      <c r="C2000" s="68"/>
      <c r="D2000" s="68"/>
      <c r="E2000" s="40"/>
      <c r="F2000" s="40"/>
      <c r="G2000" s="40"/>
      <c r="H2000" s="40"/>
      <c r="I2000" s="40"/>
      <c r="J2000" s="40"/>
      <c r="K2000" s="40"/>
      <c r="L2000" s="40"/>
      <c r="M2000" s="40"/>
      <c r="N2000" s="40"/>
      <c r="O2000" s="40"/>
      <c r="P2000" s="40"/>
      <c r="Q2000" s="40"/>
      <c r="R2000" s="40"/>
      <c r="S2000" s="40"/>
      <c r="T2000" s="40"/>
      <c r="U2000" s="40"/>
      <c r="V2000" s="40"/>
      <c r="W2000" s="40"/>
      <c r="X2000" s="40"/>
      <c r="Y2000" s="40"/>
      <c r="Z2000" s="40"/>
    </row>
    <row r="2001">
      <c r="A2001" s="65"/>
      <c r="B2001" s="66"/>
      <c r="C2001" s="68"/>
      <c r="D2001" s="68"/>
      <c r="E2001" s="40"/>
      <c r="F2001" s="40"/>
      <c r="G2001" s="40"/>
      <c r="H2001" s="40"/>
      <c r="I2001" s="40"/>
      <c r="J2001" s="40"/>
      <c r="K2001" s="40"/>
      <c r="L2001" s="40"/>
      <c r="M2001" s="40"/>
      <c r="N2001" s="40"/>
      <c r="O2001" s="40"/>
      <c r="P2001" s="40"/>
      <c r="Q2001" s="40"/>
      <c r="R2001" s="40"/>
      <c r="S2001" s="40"/>
      <c r="T2001" s="40"/>
      <c r="U2001" s="40"/>
      <c r="V2001" s="40"/>
      <c r="W2001" s="40"/>
      <c r="X2001" s="40"/>
      <c r="Y2001" s="40"/>
      <c r="Z2001" s="40"/>
    </row>
    <row r="2002">
      <c r="A2002" s="65"/>
      <c r="B2002" s="66"/>
      <c r="C2002" s="68"/>
      <c r="D2002" s="68"/>
      <c r="E2002" s="40"/>
      <c r="F2002" s="40"/>
      <c r="G2002" s="40"/>
      <c r="H2002" s="40"/>
      <c r="I2002" s="40"/>
      <c r="J2002" s="40"/>
      <c r="K2002" s="40"/>
      <c r="L2002" s="40"/>
      <c r="M2002" s="40"/>
      <c r="N2002" s="40"/>
      <c r="O2002" s="40"/>
      <c r="P2002" s="40"/>
      <c r="Q2002" s="40"/>
      <c r="R2002" s="40"/>
      <c r="S2002" s="40"/>
      <c r="T2002" s="40"/>
      <c r="U2002" s="40"/>
      <c r="V2002" s="40"/>
      <c r="W2002" s="40"/>
      <c r="X2002" s="40"/>
      <c r="Y2002" s="40"/>
      <c r="Z2002" s="40"/>
    </row>
    <row r="2003">
      <c r="A2003" s="65"/>
      <c r="B2003" s="66"/>
      <c r="C2003" s="68"/>
      <c r="D2003" s="68"/>
      <c r="E2003" s="40"/>
      <c r="F2003" s="40"/>
      <c r="G2003" s="40"/>
      <c r="H2003" s="40"/>
      <c r="I2003" s="40"/>
      <c r="J2003" s="40"/>
      <c r="K2003" s="40"/>
      <c r="L2003" s="40"/>
      <c r="M2003" s="40"/>
      <c r="N2003" s="40"/>
      <c r="O2003" s="40"/>
      <c r="P2003" s="40"/>
      <c r="Q2003" s="40"/>
      <c r="R2003" s="40"/>
      <c r="S2003" s="40"/>
      <c r="T2003" s="40"/>
      <c r="U2003" s="40"/>
      <c r="V2003" s="40"/>
      <c r="W2003" s="40"/>
      <c r="X2003" s="40"/>
      <c r="Y2003" s="40"/>
      <c r="Z2003" s="40"/>
    </row>
    <row r="2004">
      <c r="A2004" s="65"/>
      <c r="B2004" s="66"/>
      <c r="C2004" s="68"/>
      <c r="D2004" s="68"/>
      <c r="E2004" s="40"/>
      <c r="F2004" s="40"/>
      <c r="G2004" s="40"/>
      <c r="H2004" s="40"/>
      <c r="I2004" s="40"/>
      <c r="J2004" s="40"/>
      <c r="K2004" s="40"/>
      <c r="L2004" s="40"/>
      <c r="M2004" s="40"/>
      <c r="N2004" s="40"/>
      <c r="O2004" s="40"/>
      <c r="P2004" s="40"/>
      <c r="Q2004" s="40"/>
      <c r="R2004" s="40"/>
      <c r="S2004" s="40"/>
      <c r="T2004" s="40"/>
      <c r="U2004" s="40"/>
      <c r="V2004" s="40"/>
      <c r="W2004" s="40"/>
      <c r="X2004" s="40"/>
      <c r="Y2004" s="40"/>
      <c r="Z2004" s="40"/>
    </row>
    <row r="2005">
      <c r="A2005" s="65"/>
      <c r="B2005" s="66"/>
      <c r="C2005" s="68"/>
      <c r="D2005" s="68"/>
      <c r="E2005" s="40"/>
      <c r="F2005" s="40"/>
      <c r="G2005" s="40"/>
      <c r="H2005" s="40"/>
      <c r="I2005" s="40"/>
      <c r="J2005" s="40"/>
      <c r="K2005" s="40"/>
      <c r="L2005" s="40"/>
      <c r="M2005" s="40"/>
      <c r="N2005" s="40"/>
      <c r="O2005" s="40"/>
      <c r="P2005" s="40"/>
      <c r="Q2005" s="40"/>
      <c r="R2005" s="40"/>
      <c r="S2005" s="40"/>
      <c r="T2005" s="40"/>
      <c r="U2005" s="40"/>
      <c r="V2005" s="40"/>
      <c r="W2005" s="40"/>
      <c r="X2005" s="40"/>
      <c r="Y2005" s="40"/>
      <c r="Z2005" s="40"/>
    </row>
    <row r="2006">
      <c r="A2006" s="65"/>
      <c r="B2006" s="66"/>
      <c r="C2006" s="68"/>
      <c r="D2006" s="68"/>
      <c r="E2006" s="40"/>
      <c r="F2006" s="40"/>
      <c r="G2006" s="40"/>
      <c r="H2006" s="40"/>
      <c r="I2006" s="40"/>
      <c r="J2006" s="40"/>
      <c r="K2006" s="40"/>
      <c r="L2006" s="40"/>
      <c r="M2006" s="40"/>
      <c r="N2006" s="40"/>
      <c r="O2006" s="40"/>
      <c r="P2006" s="40"/>
      <c r="Q2006" s="40"/>
      <c r="R2006" s="40"/>
      <c r="S2006" s="40"/>
      <c r="T2006" s="40"/>
      <c r="U2006" s="40"/>
      <c r="V2006" s="40"/>
      <c r="W2006" s="40"/>
      <c r="X2006" s="40"/>
      <c r="Y2006" s="40"/>
      <c r="Z2006" s="40"/>
    </row>
    <row r="2007">
      <c r="A2007" s="65"/>
      <c r="B2007" s="66"/>
      <c r="C2007" s="68"/>
      <c r="D2007" s="68"/>
      <c r="E2007" s="40"/>
      <c r="F2007" s="40"/>
      <c r="G2007" s="40"/>
      <c r="H2007" s="40"/>
      <c r="I2007" s="40"/>
      <c r="J2007" s="40"/>
      <c r="K2007" s="40"/>
      <c r="L2007" s="40"/>
      <c r="M2007" s="40"/>
      <c r="N2007" s="40"/>
      <c r="O2007" s="40"/>
      <c r="P2007" s="40"/>
      <c r="Q2007" s="40"/>
      <c r="R2007" s="40"/>
      <c r="S2007" s="40"/>
      <c r="T2007" s="40"/>
      <c r="U2007" s="40"/>
      <c r="V2007" s="40"/>
      <c r="W2007" s="40"/>
      <c r="X2007" s="40"/>
      <c r="Y2007" s="40"/>
      <c r="Z2007" s="40"/>
    </row>
    <row r="2008">
      <c r="A2008" s="65"/>
      <c r="B2008" s="66"/>
      <c r="C2008" s="68"/>
      <c r="D2008" s="68"/>
      <c r="E2008" s="40"/>
      <c r="F2008" s="40"/>
      <c r="G2008" s="40"/>
      <c r="H2008" s="40"/>
      <c r="I2008" s="40"/>
      <c r="J2008" s="40"/>
      <c r="K2008" s="40"/>
      <c r="L2008" s="40"/>
      <c r="M2008" s="40"/>
      <c r="N2008" s="40"/>
      <c r="O2008" s="40"/>
      <c r="P2008" s="40"/>
      <c r="Q2008" s="40"/>
      <c r="R2008" s="40"/>
      <c r="S2008" s="40"/>
      <c r="T2008" s="40"/>
      <c r="U2008" s="40"/>
      <c r="V2008" s="40"/>
      <c r="W2008" s="40"/>
      <c r="X2008" s="40"/>
      <c r="Y2008" s="40"/>
      <c r="Z2008" s="40"/>
    </row>
    <row r="2009">
      <c r="A2009" s="65"/>
      <c r="B2009" s="66"/>
      <c r="C2009" s="68"/>
      <c r="D2009" s="68"/>
      <c r="E2009" s="40"/>
      <c r="F2009" s="40"/>
      <c r="G2009" s="40"/>
      <c r="H2009" s="40"/>
      <c r="I2009" s="40"/>
      <c r="J2009" s="40"/>
      <c r="K2009" s="40"/>
      <c r="L2009" s="40"/>
      <c r="M2009" s="40"/>
      <c r="N2009" s="40"/>
      <c r="O2009" s="40"/>
      <c r="P2009" s="40"/>
      <c r="Q2009" s="40"/>
      <c r="R2009" s="40"/>
      <c r="S2009" s="40"/>
      <c r="T2009" s="40"/>
      <c r="U2009" s="40"/>
      <c r="V2009" s="40"/>
      <c r="W2009" s="40"/>
      <c r="X2009" s="40"/>
      <c r="Y2009" s="40"/>
      <c r="Z2009" s="40"/>
    </row>
    <row r="2010">
      <c r="A2010" s="65"/>
      <c r="B2010" s="66"/>
      <c r="C2010" s="68"/>
      <c r="D2010" s="68"/>
      <c r="E2010" s="40"/>
      <c r="F2010" s="40"/>
      <c r="G2010" s="40"/>
      <c r="H2010" s="40"/>
      <c r="I2010" s="40"/>
      <c r="J2010" s="40"/>
      <c r="K2010" s="40"/>
      <c r="L2010" s="40"/>
      <c r="M2010" s="40"/>
      <c r="N2010" s="40"/>
      <c r="O2010" s="40"/>
      <c r="P2010" s="40"/>
      <c r="Q2010" s="40"/>
      <c r="R2010" s="40"/>
      <c r="S2010" s="40"/>
      <c r="T2010" s="40"/>
      <c r="U2010" s="40"/>
      <c r="V2010" s="40"/>
      <c r="W2010" s="40"/>
      <c r="X2010" s="40"/>
      <c r="Y2010" s="40"/>
      <c r="Z2010" s="40"/>
    </row>
    <row r="2011">
      <c r="A2011" s="65"/>
      <c r="B2011" s="66"/>
      <c r="C2011" s="68"/>
      <c r="D2011" s="68"/>
      <c r="E2011" s="40"/>
      <c r="F2011" s="40"/>
      <c r="G2011" s="40"/>
      <c r="H2011" s="40"/>
      <c r="I2011" s="40"/>
      <c r="J2011" s="40"/>
      <c r="K2011" s="40"/>
      <c r="L2011" s="40"/>
      <c r="M2011" s="40"/>
      <c r="N2011" s="40"/>
      <c r="O2011" s="40"/>
      <c r="P2011" s="40"/>
      <c r="Q2011" s="40"/>
      <c r="R2011" s="40"/>
      <c r="S2011" s="40"/>
      <c r="T2011" s="40"/>
      <c r="U2011" s="40"/>
      <c r="V2011" s="40"/>
      <c r="W2011" s="40"/>
      <c r="X2011" s="40"/>
      <c r="Y2011" s="40"/>
      <c r="Z2011" s="40"/>
    </row>
    <row r="2012">
      <c r="A2012" s="65"/>
      <c r="B2012" s="66"/>
      <c r="C2012" s="68"/>
      <c r="D2012" s="68"/>
      <c r="E2012" s="40"/>
      <c r="F2012" s="40"/>
      <c r="G2012" s="40"/>
      <c r="H2012" s="40"/>
      <c r="I2012" s="40"/>
      <c r="J2012" s="40"/>
      <c r="K2012" s="40"/>
      <c r="L2012" s="40"/>
      <c r="M2012" s="40"/>
      <c r="N2012" s="40"/>
      <c r="O2012" s="40"/>
      <c r="P2012" s="40"/>
      <c r="Q2012" s="40"/>
      <c r="R2012" s="40"/>
      <c r="S2012" s="40"/>
      <c r="T2012" s="40"/>
      <c r="U2012" s="40"/>
      <c r="V2012" s="40"/>
      <c r="W2012" s="40"/>
      <c r="X2012" s="40"/>
      <c r="Y2012" s="40"/>
      <c r="Z2012" s="40"/>
    </row>
    <row r="2013">
      <c r="A2013" s="65"/>
      <c r="B2013" s="66"/>
      <c r="C2013" s="68"/>
      <c r="D2013" s="68"/>
      <c r="E2013" s="40"/>
      <c r="F2013" s="40"/>
      <c r="G2013" s="40"/>
      <c r="H2013" s="40"/>
      <c r="I2013" s="40"/>
      <c r="J2013" s="40"/>
      <c r="K2013" s="40"/>
      <c r="L2013" s="40"/>
      <c r="M2013" s="40"/>
      <c r="N2013" s="40"/>
      <c r="O2013" s="40"/>
      <c r="P2013" s="40"/>
      <c r="Q2013" s="40"/>
      <c r="R2013" s="40"/>
      <c r="S2013" s="40"/>
      <c r="T2013" s="40"/>
      <c r="U2013" s="40"/>
      <c r="V2013" s="40"/>
      <c r="W2013" s="40"/>
      <c r="X2013" s="40"/>
      <c r="Y2013" s="40"/>
      <c r="Z2013" s="40"/>
    </row>
    <row r="2014">
      <c r="A2014" s="65"/>
      <c r="B2014" s="66"/>
      <c r="C2014" s="68"/>
      <c r="D2014" s="68"/>
      <c r="E2014" s="40"/>
      <c r="F2014" s="40"/>
      <c r="G2014" s="40"/>
      <c r="H2014" s="40"/>
      <c r="I2014" s="40"/>
      <c r="J2014" s="40"/>
      <c r="K2014" s="40"/>
      <c r="L2014" s="40"/>
      <c r="M2014" s="40"/>
      <c r="N2014" s="40"/>
      <c r="O2014" s="40"/>
      <c r="P2014" s="40"/>
      <c r="Q2014" s="40"/>
      <c r="R2014" s="40"/>
      <c r="S2014" s="40"/>
      <c r="T2014" s="40"/>
      <c r="U2014" s="40"/>
      <c r="V2014" s="40"/>
      <c r="W2014" s="40"/>
      <c r="X2014" s="40"/>
      <c r="Y2014" s="40"/>
      <c r="Z2014" s="40"/>
    </row>
    <row r="2015">
      <c r="A2015" s="65"/>
      <c r="B2015" s="66"/>
      <c r="C2015" s="68"/>
      <c r="D2015" s="68"/>
      <c r="E2015" s="40"/>
      <c r="F2015" s="40"/>
      <c r="G2015" s="40"/>
      <c r="H2015" s="40"/>
      <c r="I2015" s="40"/>
      <c r="J2015" s="40"/>
      <c r="K2015" s="40"/>
      <c r="L2015" s="40"/>
      <c r="M2015" s="40"/>
      <c r="N2015" s="40"/>
      <c r="O2015" s="40"/>
      <c r="P2015" s="40"/>
      <c r="Q2015" s="40"/>
      <c r="R2015" s="40"/>
      <c r="S2015" s="40"/>
      <c r="T2015" s="40"/>
      <c r="U2015" s="40"/>
      <c r="V2015" s="40"/>
      <c r="W2015" s="40"/>
      <c r="X2015" s="40"/>
      <c r="Y2015" s="40"/>
      <c r="Z2015" s="40"/>
    </row>
    <row r="2016">
      <c r="A2016" s="65"/>
      <c r="B2016" s="66"/>
      <c r="C2016" s="68"/>
      <c r="D2016" s="68"/>
      <c r="E2016" s="40"/>
      <c r="F2016" s="40"/>
      <c r="G2016" s="40"/>
      <c r="H2016" s="40"/>
      <c r="I2016" s="40"/>
      <c r="J2016" s="40"/>
      <c r="K2016" s="40"/>
      <c r="L2016" s="40"/>
      <c r="M2016" s="40"/>
      <c r="N2016" s="40"/>
      <c r="O2016" s="40"/>
      <c r="P2016" s="40"/>
      <c r="Q2016" s="40"/>
      <c r="R2016" s="40"/>
      <c r="S2016" s="40"/>
      <c r="T2016" s="40"/>
      <c r="U2016" s="40"/>
      <c r="V2016" s="40"/>
      <c r="W2016" s="40"/>
      <c r="X2016" s="40"/>
      <c r="Y2016" s="40"/>
      <c r="Z2016" s="40"/>
    </row>
    <row r="2017">
      <c r="A2017" s="65"/>
      <c r="B2017" s="66"/>
      <c r="C2017" s="68"/>
      <c r="D2017" s="68"/>
      <c r="E2017" s="40"/>
      <c r="F2017" s="40"/>
      <c r="G2017" s="40"/>
      <c r="H2017" s="40"/>
      <c r="I2017" s="40"/>
      <c r="J2017" s="40"/>
      <c r="K2017" s="40"/>
      <c r="L2017" s="40"/>
      <c r="M2017" s="40"/>
      <c r="N2017" s="40"/>
      <c r="O2017" s="40"/>
      <c r="P2017" s="40"/>
      <c r="Q2017" s="40"/>
      <c r="R2017" s="40"/>
      <c r="S2017" s="40"/>
      <c r="T2017" s="40"/>
      <c r="U2017" s="40"/>
      <c r="V2017" s="40"/>
      <c r="W2017" s="40"/>
      <c r="X2017" s="40"/>
      <c r="Y2017" s="40"/>
      <c r="Z2017" s="40"/>
    </row>
    <row r="2018">
      <c r="A2018" s="65"/>
      <c r="B2018" s="66"/>
      <c r="C2018" s="68"/>
      <c r="D2018" s="68"/>
      <c r="E2018" s="40"/>
      <c r="F2018" s="40"/>
      <c r="G2018" s="40"/>
      <c r="H2018" s="40"/>
      <c r="I2018" s="40"/>
      <c r="J2018" s="40"/>
      <c r="K2018" s="40"/>
      <c r="L2018" s="40"/>
      <c r="M2018" s="40"/>
      <c r="N2018" s="40"/>
      <c r="O2018" s="40"/>
      <c r="P2018" s="40"/>
      <c r="Q2018" s="40"/>
      <c r="R2018" s="40"/>
      <c r="S2018" s="40"/>
      <c r="T2018" s="40"/>
      <c r="U2018" s="40"/>
      <c r="V2018" s="40"/>
      <c r="W2018" s="40"/>
      <c r="X2018" s="40"/>
      <c r="Y2018" s="40"/>
      <c r="Z2018" s="40"/>
    </row>
    <row r="2019">
      <c r="A2019" s="65"/>
      <c r="B2019" s="66"/>
      <c r="C2019" s="68"/>
      <c r="D2019" s="68"/>
      <c r="E2019" s="40"/>
      <c r="F2019" s="40"/>
      <c r="G2019" s="40"/>
      <c r="H2019" s="40"/>
      <c r="I2019" s="40"/>
      <c r="J2019" s="40"/>
      <c r="K2019" s="40"/>
      <c r="L2019" s="40"/>
      <c r="M2019" s="40"/>
      <c r="N2019" s="40"/>
      <c r="O2019" s="40"/>
      <c r="P2019" s="40"/>
      <c r="Q2019" s="40"/>
      <c r="R2019" s="40"/>
      <c r="S2019" s="40"/>
      <c r="T2019" s="40"/>
      <c r="U2019" s="40"/>
      <c r="V2019" s="40"/>
      <c r="W2019" s="40"/>
      <c r="X2019" s="40"/>
      <c r="Y2019" s="40"/>
      <c r="Z2019" s="40"/>
    </row>
    <row r="2020">
      <c r="A2020" s="65"/>
      <c r="B2020" s="66"/>
      <c r="C2020" s="68"/>
      <c r="D2020" s="68"/>
      <c r="E2020" s="40"/>
      <c r="F2020" s="40"/>
      <c r="G2020" s="40"/>
      <c r="H2020" s="40"/>
      <c r="I2020" s="40"/>
      <c r="J2020" s="40"/>
      <c r="K2020" s="40"/>
      <c r="L2020" s="40"/>
      <c r="M2020" s="40"/>
      <c r="N2020" s="40"/>
      <c r="O2020" s="40"/>
      <c r="P2020" s="40"/>
      <c r="Q2020" s="40"/>
      <c r="R2020" s="40"/>
      <c r="S2020" s="40"/>
      <c r="T2020" s="40"/>
      <c r="U2020" s="40"/>
      <c r="V2020" s="40"/>
      <c r="W2020" s="40"/>
      <c r="X2020" s="40"/>
      <c r="Y2020" s="40"/>
      <c r="Z2020" s="40"/>
    </row>
    <row r="2021">
      <c r="A2021" s="65"/>
      <c r="B2021" s="66"/>
      <c r="C2021" s="68"/>
      <c r="D2021" s="68"/>
      <c r="E2021" s="40"/>
      <c r="F2021" s="40"/>
      <c r="G2021" s="40"/>
      <c r="H2021" s="40"/>
      <c r="I2021" s="40"/>
      <c r="J2021" s="40"/>
      <c r="K2021" s="40"/>
      <c r="L2021" s="40"/>
      <c r="M2021" s="40"/>
      <c r="N2021" s="40"/>
      <c r="O2021" s="40"/>
      <c r="P2021" s="40"/>
      <c r="Q2021" s="40"/>
      <c r="R2021" s="40"/>
      <c r="S2021" s="40"/>
      <c r="T2021" s="40"/>
      <c r="U2021" s="40"/>
      <c r="V2021" s="40"/>
      <c r="W2021" s="40"/>
      <c r="X2021" s="40"/>
      <c r="Y2021" s="40"/>
      <c r="Z2021" s="40"/>
    </row>
    <row r="2022">
      <c r="A2022" s="65"/>
      <c r="B2022" s="66"/>
      <c r="C2022" s="68"/>
      <c r="D2022" s="68"/>
      <c r="E2022" s="40"/>
      <c r="F2022" s="40"/>
      <c r="G2022" s="40"/>
      <c r="H2022" s="40"/>
      <c r="I2022" s="40"/>
      <c r="J2022" s="40"/>
      <c r="K2022" s="40"/>
      <c r="L2022" s="40"/>
      <c r="M2022" s="40"/>
      <c r="N2022" s="40"/>
      <c r="O2022" s="40"/>
      <c r="P2022" s="40"/>
      <c r="Q2022" s="40"/>
      <c r="R2022" s="40"/>
      <c r="S2022" s="40"/>
      <c r="T2022" s="40"/>
      <c r="U2022" s="40"/>
      <c r="V2022" s="40"/>
      <c r="W2022" s="40"/>
      <c r="X2022" s="40"/>
      <c r="Y2022" s="40"/>
      <c r="Z2022" s="40"/>
    </row>
    <row r="2023">
      <c r="A2023" s="65"/>
      <c r="B2023" s="66"/>
      <c r="C2023" s="68"/>
      <c r="D2023" s="68"/>
      <c r="E2023" s="40"/>
      <c r="F2023" s="40"/>
      <c r="G2023" s="40"/>
      <c r="H2023" s="40"/>
      <c r="I2023" s="40"/>
      <c r="J2023" s="40"/>
      <c r="K2023" s="40"/>
      <c r="L2023" s="40"/>
      <c r="M2023" s="40"/>
      <c r="N2023" s="40"/>
      <c r="O2023" s="40"/>
      <c r="P2023" s="40"/>
      <c r="Q2023" s="40"/>
      <c r="R2023" s="40"/>
      <c r="S2023" s="40"/>
      <c r="T2023" s="40"/>
      <c r="U2023" s="40"/>
      <c r="V2023" s="40"/>
      <c r="W2023" s="40"/>
      <c r="X2023" s="40"/>
      <c r="Y2023" s="40"/>
      <c r="Z2023" s="40"/>
    </row>
    <row r="2024">
      <c r="A2024" s="65"/>
      <c r="B2024" s="66"/>
      <c r="C2024" s="68"/>
      <c r="D2024" s="68"/>
      <c r="E2024" s="40"/>
      <c r="F2024" s="40"/>
      <c r="G2024" s="40"/>
      <c r="H2024" s="40"/>
      <c r="I2024" s="40"/>
      <c r="J2024" s="40"/>
      <c r="K2024" s="40"/>
      <c r="L2024" s="40"/>
      <c r="M2024" s="40"/>
      <c r="N2024" s="40"/>
      <c r="O2024" s="40"/>
      <c r="P2024" s="40"/>
      <c r="Q2024" s="40"/>
      <c r="R2024" s="40"/>
      <c r="S2024" s="40"/>
      <c r="T2024" s="40"/>
      <c r="U2024" s="40"/>
      <c r="V2024" s="40"/>
      <c r="W2024" s="40"/>
      <c r="X2024" s="40"/>
      <c r="Y2024" s="40"/>
      <c r="Z2024" s="40"/>
    </row>
    <row r="2025">
      <c r="A2025" s="65"/>
      <c r="B2025" s="66"/>
      <c r="C2025" s="68"/>
      <c r="D2025" s="68"/>
      <c r="E2025" s="40"/>
      <c r="F2025" s="40"/>
      <c r="G2025" s="40"/>
      <c r="H2025" s="40"/>
      <c r="I2025" s="40"/>
      <c r="J2025" s="40"/>
      <c r="K2025" s="40"/>
      <c r="L2025" s="40"/>
      <c r="M2025" s="40"/>
      <c r="N2025" s="40"/>
      <c r="O2025" s="40"/>
      <c r="P2025" s="40"/>
      <c r="Q2025" s="40"/>
      <c r="R2025" s="40"/>
      <c r="S2025" s="40"/>
      <c r="T2025" s="40"/>
      <c r="U2025" s="40"/>
      <c r="V2025" s="40"/>
      <c r="W2025" s="40"/>
      <c r="X2025" s="40"/>
      <c r="Y2025" s="40"/>
      <c r="Z2025" s="40"/>
    </row>
    <row r="2026">
      <c r="A2026" s="65"/>
      <c r="B2026" s="66"/>
      <c r="C2026" s="68"/>
      <c r="D2026" s="68"/>
      <c r="E2026" s="40"/>
      <c r="F2026" s="40"/>
      <c r="G2026" s="40"/>
      <c r="H2026" s="40"/>
      <c r="I2026" s="40"/>
      <c r="J2026" s="40"/>
      <c r="K2026" s="40"/>
      <c r="L2026" s="40"/>
      <c r="M2026" s="40"/>
      <c r="N2026" s="40"/>
      <c r="O2026" s="40"/>
      <c r="P2026" s="40"/>
      <c r="Q2026" s="40"/>
      <c r="R2026" s="40"/>
      <c r="S2026" s="40"/>
      <c r="T2026" s="40"/>
      <c r="U2026" s="40"/>
      <c r="V2026" s="40"/>
      <c r="W2026" s="40"/>
      <c r="X2026" s="40"/>
      <c r="Y2026" s="40"/>
      <c r="Z2026" s="40"/>
    </row>
    <row r="2027">
      <c r="A2027" s="65"/>
      <c r="B2027" s="66"/>
      <c r="C2027" s="68"/>
      <c r="D2027" s="68"/>
      <c r="E2027" s="40"/>
      <c r="F2027" s="40"/>
      <c r="G2027" s="40"/>
      <c r="H2027" s="40"/>
      <c r="I2027" s="40"/>
      <c r="J2027" s="40"/>
      <c r="K2027" s="40"/>
      <c r="L2027" s="40"/>
      <c r="M2027" s="40"/>
      <c r="N2027" s="40"/>
      <c r="O2027" s="40"/>
      <c r="P2027" s="40"/>
      <c r="Q2027" s="40"/>
      <c r="R2027" s="40"/>
      <c r="S2027" s="40"/>
      <c r="T2027" s="40"/>
      <c r="U2027" s="40"/>
      <c r="V2027" s="40"/>
      <c r="W2027" s="40"/>
      <c r="X2027" s="40"/>
      <c r="Y2027" s="40"/>
      <c r="Z2027" s="40"/>
    </row>
    <row r="2028">
      <c r="A2028" s="65"/>
      <c r="B2028" s="66"/>
      <c r="C2028" s="68"/>
      <c r="D2028" s="68"/>
      <c r="E2028" s="40"/>
      <c r="F2028" s="40"/>
      <c r="G2028" s="40"/>
      <c r="H2028" s="40"/>
      <c r="I2028" s="40"/>
      <c r="J2028" s="40"/>
      <c r="K2028" s="40"/>
      <c r="L2028" s="40"/>
      <c r="M2028" s="40"/>
      <c r="N2028" s="40"/>
      <c r="O2028" s="40"/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0"/>
    </row>
    <row r="2029">
      <c r="A2029" s="65"/>
      <c r="B2029" s="66"/>
      <c r="C2029" s="68"/>
      <c r="D2029" s="68"/>
      <c r="E2029" s="40"/>
      <c r="F2029" s="40"/>
      <c r="G2029" s="40"/>
      <c r="H2029" s="40"/>
      <c r="I2029" s="40"/>
      <c r="J2029" s="40"/>
      <c r="K2029" s="40"/>
      <c r="L2029" s="40"/>
      <c r="M2029" s="40"/>
      <c r="N2029" s="40"/>
      <c r="O2029" s="40"/>
      <c r="P2029" s="40"/>
      <c r="Q2029" s="40"/>
      <c r="R2029" s="40"/>
      <c r="S2029" s="40"/>
      <c r="T2029" s="40"/>
      <c r="U2029" s="40"/>
      <c r="V2029" s="40"/>
      <c r="W2029" s="40"/>
      <c r="X2029" s="40"/>
      <c r="Y2029" s="40"/>
      <c r="Z2029" s="40"/>
    </row>
    <row r="2030">
      <c r="A2030" s="65"/>
      <c r="B2030" s="66"/>
      <c r="C2030" s="68"/>
      <c r="D2030" s="68"/>
      <c r="E2030" s="40"/>
      <c r="F2030" s="40"/>
      <c r="G2030" s="40"/>
      <c r="H2030" s="40"/>
      <c r="I2030" s="40"/>
      <c r="J2030" s="40"/>
      <c r="K2030" s="40"/>
      <c r="L2030" s="40"/>
      <c r="M2030" s="40"/>
      <c r="N2030" s="40"/>
      <c r="O2030" s="40"/>
      <c r="P2030" s="40"/>
      <c r="Q2030" s="40"/>
      <c r="R2030" s="40"/>
      <c r="S2030" s="40"/>
      <c r="T2030" s="40"/>
      <c r="U2030" s="40"/>
      <c r="V2030" s="40"/>
      <c r="W2030" s="40"/>
      <c r="X2030" s="40"/>
      <c r="Y2030" s="40"/>
      <c r="Z2030" s="40"/>
    </row>
    <row r="2031">
      <c r="A2031" s="65"/>
      <c r="B2031" s="66"/>
      <c r="C2031" s="68"/>
      <c r="D2031" s="68"/>
      <c r="E2031" s="40"/>
      <c r="F2031" s="40"/>
      <c r="G2031" s="40"/>
      <c r="H2031" s="40"/>
      <c r="I2031" s="40"/>
      <c r="J2031" s="40"/>
      <c r="K2031" s="40"/>
      <c r="L2031" s="40"/>
      <c r="M2031" s="40"/>
      <c r="N2031" s="40"/>
      <c r="O2031" s="40"/>
      <c r="P2031" s="40"/>
      <c r="Q2031" s="40"/>
      <c r="R2031" s="40"/>
      <c r="S2031" s="40"/>
      <c r="T2031" s="40"/>
      <c r="U2031" s="40"/>
      <c r="V2031" s="40"/>
      <c r="W2031" s="40"/>
      <c r="X2031" s="40"/>
      <c r="Y2031" s="40"/>
      <c r="Z2031" s="40"/>
    </row>
    <row r="2032">
      <c r="A2032" s="65"/>
      <c r="B2032" s="66"/>
      <c r="C2032" s="68"/>
      <c r="D2032" s="68"/>
      <c r="E2032" s="40"/>
      <c r="F2032" s="40"/>
      <c r="G2032" s="40"/>
      <c r="H2032" s="40"/>
      <c r="I2032" s="40"/>
      <c r="J2032" s="40"/>
      <c r="K2032" s="40"/>
      <c r="L2032" s="40"/>
      <c r="M2032" s="40"/>
      <c r="N2032" s="40"/>
      <c r="O2032" s="40"/>
      <c r="P2032" s="40"/>
      <c r="Q2032" s="40"/>
      <c r="R2032" s="40"/>
      <c r="S2032" s="40"/>
      <c r="T2032" s="40"/>
      <c r="U2032" s="40"/>
      <c r="V2032" s="40"/>
      <c r="W2032" s="40"/>
      <c r="X2032" s="40"/>
      <c r="Y2032" s="40"/>
      <c r="Z2032" s="40"/>
    </row>
    <row r="2033">
      <c r="A2033" s="65"/>
      <c r="B2033" s="66"/>
      <c r="C2033" s="68"/>
      <c r="D2033" s="68"/>
      <c r="E2033" s="40"/>
      <c r="F2033" s="40"/>
      <c r="G2033" s="40"/>
      <c r="H2033" s="40"/>
      <c r="I2033" s="40"/>
      <c r="J2033" s="40"/>
      <c r="K2033" s="40"/>
      <c r="L2033" s="40"/>
      <c r="M2033" s="40"/>
      <c r="N2033" s="40"/>
      <c r="O2033" s="40"/>
      <c r="P2033" s="40"/>
      <c r="Q2033" s="40"/>
      <c r="R2033" s="40"/>
      <c r="S2033" s="40"/>
      <c r="T2033" s="40"/>
      <c r="U2033" s="40"/>
      <c r="V2033" s="40"/>
      <c r="W2033" s="40"/>
      <c r="X2033" s="40"/>
      <c r="Y2033" s="40"/>
      <c r="Z2033" s="40"/>
    </row>
    <row r="2034">
      <c r="A2034" s="65"/>
      <c r="B2034" s="66"/>
      <c r="C2034" s="68"/>
      <c r="D2034" s="68"/>
      <c r="E2034" s="40"/>
      <c r="F2034" s="40"/>
      <c r="G2034" s="40"/>
      <c r="H2034" s="40"/>
      <c r="I2034" s="40"/>
      <c r="J2034" s="40"/>
      <c r="K2034" s="40"/>
      <c r="L2034" s="40"/>
      <c r="M2034" s="40"/>
      <c r="N2034" s="40"/>
      <c r="O2034" s="40"/>
      <c r="P2034" s="40"/>
      <c r="Q2034" s="40"/>
      <c r="R2034" s="40"/>
      <c r="S2034" s="40"/>
      <c r="T2034" s="40"/>
      <c r="U2034" s="40"/>
      <c r="V2034" s="40"/>
      <c r="W2034" s="40"/>
      <c r="X2034" s="40"/>
      <c r="Y2034" s="40"/>
      <c r="Z2034" s="40"/>
    </row>
    <row r="2035">
      <c r="A2035" s="65"/>
      <c r="B2035" s="66"/>
      <c r="C2035" s="68"/>
      <c r="D2035" s="68"/>
      <c r="E2035" s="40"/>
      <c r="F2035" s="40"/>
      <c r="G2035" s="40"/>
      <c r="H2035" s="40"/>
      <c r="I2035" s="40"/>
      <c r="J2035" s="40"/>
      <c r="K2035" s="40"/>
      <c r="L2035" s="40"/>
      <c r="M2035" s="40"/>
      <c r="N2035" s="40"/>
      <c r="O2035" s="40"/>
      <c r="P2035" s="40"/>
      <c r="Q2035" s="40"/>
      <c r="R2035" s="40"/>
      <c r="S2035" s="40"/>
      <c r="T2035" s="40"/>
      <c r="U2035" s="40"/>
      <c r="V2035" s="40"/>
      <c r="W2035" s="40"/>
      <c r="X2035" s="40"/>
      <c r="Y2035" s="40"/>
      <c r="Z2035" s="40"/>
    </row>
    <row r="2036">
      <c r="A2036" s="65"/>
      <c r="B2036" s="66"/>
      <c r="C2036" s="68"/>
      <c r="D2036" s="68"/>
      <c r="E2036" s="40"/>
      <c r="F2036" s="40"/>
      <c r="G2036" s="40"/>
      <c r="H2036" s="40"/>
      <c r="I2036" s="40"/>
      <c r="J2036" s="40"/>
      <c r="K2036" s="40"/>
      <c r="L2036" s="40"/>
      <c r="M2036" s="40"/>
      <c r="N2036" s="40"/>
      <c r="O2036" s="40"/>
      <c r="P2036" s="40"/>
      <c r="Q2036" s="40"/>
      <c r="R2036" s="40"/>
      <c r="S2036" s="40"/>
      <c r="T2036" s="40"/>
      <c r="U2036" s="40"/>
      <c r="V2036" s="40"/>
      <c r="W2036" s="40"/>
      <c r="X2036" s="40"/>
      <c r="Y2036" s="40"/>
      <c r="Z2036" s="40"/>
    </row>
    <row r="2037">
      <c r="A2037" s="65"/>
      <c r="B2037" s="66"/>
      <c r="C2037" s="68"/>
      <c r="D2037" s="68"/>
      <c r="E2037" s="40"/>
      <c r="F2037" s="40"/>
      <c r="G2037" s="40"/>
      <c r="H2037" s="40"/>
      <c r="I2037" s="40"/>
      <c r="J2037" s="40"/>
      <c r="K2037" s="40"/>
      <c r="L2037" s="40"/>
      <c r="M2037" s="40"/>
      <c r="N2037" s="40"/>
      <c r="O2037" s="40"/>
      <c r="P2037" s="40"/>
      <c r="Q2037" s="40"/>
      <c r="R2037" s="40"/>
      <c r="S2037" s="40"/>
      <c r="T2037" s="40"/>
      <c r="U2037" s="40"/>
      <c r="V2037" s="40"/>
      <c r="W2037" s="40"/>
      <c r="X2037" s="40"/>
      <c r="Y2037" s="40"/>
      <c r="Z2037" s="40"/>
    </row>
    <row r="2038">
      <c r="A2038" s="65"/>
      <c r="B2038" s="66"/>
      <c r="C2038" s="68"/>
      <c r="D2038" s="68"/>
      <c r="E2038" s="40"/>
      <c r="F2038" s="40"/>
      <c r="G2038" s="40"/>
      <c r="H2038" s="40"/>
      <c r="I2038" s="40"/>
      <c r="J2038" s="40"/>
      <c r="K2038" s="40"/>
      <c r="L2038" s="40"/>
      <c r="M2038" s="40"/>
      <c r="N2038" s="40"/>
      <c r="O2038" s="40"/>
      <c r="P2038" s="40"/>
      <c r="Q2038" s="40"/>
      <c r="R2038" s="40"/>
      <c r="S2038" s="40"/>
      <c r="T2038" s="40"/>
      <c r="U2038" s="40"/>
      <c r="V2038" s="40"/>
      <c r="W2038" s="40"/>
      <c r="X2038" s="40"/>
      <c r="Y2038" s="40"/>
      <c r="Z2038" s="40"/>
    </row>
    <row r="2039">
      <c r="A2039" s="65"/>
      <c r="B2039" s="66"/>
      <c r="C2039" s="68"/>
      <c r="D2039" s="68"/>
      <c r="E2039" s="40"/>
      <c r="F2039" s="40"/>
      <c r="G2039" s="40"/>
      <c r="H2039" s="40"/>
      <c r="I2039" s="40"/>
      <c r="J2039" s="40"/>
      <c r="K2039" s="40"/>
      <c r="L2039" s="40"/>
      <c r="M2039" s="40"/>
      <c r="N2039" s="40"/>
      <c r="O2039" s="40"/>
      <c r="P2039" s="40"/>
      <c r="Q2039" s="40"/>
      <c r="R2039" s="40"/>
      <c r="S2039" s="40"/>
      <c r="T2039" s="40"/>
      <c r="U2039" s="40"/>
      <c r="V2039" s="40"/>
      <c r="W2039" s="40"/>
      <c r="X2039" s="40"/>
      <c r="Y2039" s="40"/>
      <c r="Z2039" s="40"/>
    </row>
    <row r="2040">
      <c r="A2040" s="65"/>
      <c r="B2040" s="66"/>
      <c r="C2040" s="68"/>
      <c r="D2040" s="68"/>
      <c r="E2040" s="40"/>
      <c r="F2040" s="40"/>
      <c r="G2040" s="40"/>
      <c r="H2040" s="40"/>
      <c r="I2040" s="40"/>
      <c r="J2040" s="40"/>
      <c r="K2040" s="40"/>
      <c r="L2040" s="40"/>
      <c r="M2040" s="40"/>
      <c r="N2040" s="40"/>
      <c r="O2040" s="40"/>
      <c r="P2040" s="40"/>
      <c r="Q2040" s="40"/>
      <c r="R2040" s="40"/>
      <c r="S2040" s="40"/>
      <c r="T2040" s="40"/>
      <c r="U2040" s="40"/>
      <c r="V2040" s="40"/>
      <c r="W2040" s="40"/>
      <c r="X2040" s="40"/>
      <c r="Y2040" s="40"/>
      <c r="Z2040" s="40"/>
    </row>
    <row r="2041">
      <c r="A2041" s="65"/>
      <c r="B2041" s="66"/>
      <c r="C2041" s="68"/>
      <c r="D2041" s="68"/>
      <c r="E2041" s="40"/>
      <c r="F2041" s="40"/>
      <c r="G2041" s="40"/>
      <c r="H2041" s="40"/>
      <c r="I2041" s="40"/>
      <c r="J2041" s="40"/>
      <c r="K2041" s="40"/>
      <c r="L2041" s="40"/>
      <c r="M2041" s="40"/>
      <c r="N2041" s="40"/>
      <c r="O2041" s="40"/>
      <c r="P2041" s="40"/>
      <c r="Q2041" s="40"/>
      <c r="R2041" s="40"/>
      <c r="S2041" s="40"/>
      <c r="T2041" s="40"/>
      <c r="U2041" s="40"/>
      <c r="V2041" s="40"/>
      <c r="W2041" s="40"/>
      <c r="X2041" s="40"/>
      <c r="Y2041" s="40"/>
      <c r="Z2041" s="40"/>
    </row>
    <row r="2042">
      <c r="A2042" s="65"/>
      <c r="B2042" s="66"/>
      <c r="C2042" s="68"/>
      <c r="D2042" s="68"/>
      <c r="E2042" s="40"/>
      <c r="F2042" s="40"/>
      <c r="G2042" s="40"/>
      <c r="H2042" s="40"/>
      <c r="I2042" s="40"/>
      <c r="J2042" s="40"/>
      <c r="K2042" s="40"/>
      <c r="L2042" s="40"/>
      <c r="M2042" s="40"/>
      <c r="N2042" s="40"/>
      <c r="O2042" s="40"/>
      <c r="P2042" s="40"/>
      <c r="Q2042" s="40"/>
      <c r="R2042" s="40"/>
      <c r="S2042" s="40"/>
      <c r="T2042" s="40"/>
      <c r="U2042" s="40"/>
      <c r="V2042" s="40"/>
      <c r="W2042" s="40"/>
      <c r="X2042" s="40"/>
      <c r="Y2042" s="40"/>
      <c r="Z2042" s="40"/>
    </row>
    <row r="2043">
      <c r="A2043" s="65"/>
      <c r="B2043" s="66"/>
      <c r="C2043" s="68"/>
      <c r="D2043" s="68"/>
      <c r="E2043" s="40"/>
      <c r="F2043" s="40"/>
      <c r="G2043" s="40"/>
      <c r="H2043" s="40"/>
      <c r="I2043" s="40"/>
      <c r="J2043" s="40"/>
      <c r="K2043" s="40"/>
      <c r="L2043" s="40"/>
      <c r="M2043" s="40"/>
      <c r="N2043" s="40"/>
      <c r="O2043" s="40"/>
      <c r="P2043" s="40"/>
      <c r="Q2043" s="40"/>
      <c r="R2043" s="40"/>
      <c r="S2043" s="40"/>
      <c r="T2043" s="40"/>
      <c r="U2043" s="40"/>
      <c r="V2043" s="40"/>
      <c r="W2043" s="40"/>
      <c r="X2043" s="40"/>
      <c r="Y2043" s="40"/>
      <c r="Z2043" s="40"/>
    </row>
    <row r="2044">
      <c r="A2044" s="65"/>
      <c r="B2044" s="66"/>
      <c r="C2044" s="68"/>
      <c r="D2044" s="68"/>
      <c r="E2044" s="40"/>
      <c r="F2044" s="40"/>
      <c r="G2044" s="40"/>
      <c r="H2044" s="40"/>
      <c r="I2044" s="40"/>
      <c r="J2044" s="40"/>
      <c r="K2044" s="40"/>
      <c r="L2044" s="40"/>
      <c r="M2044" s="40"/>
      <c r="N2044" s="40"/>
      <c r="O2044" s="40"/>
      <c r="P2044" s="40"/>
      <c r="Q2044" s="40"/>
      <c r="R2044" s="40"/>
      <c r="S2044" s="40"/>
      <c r="T2044" s="40"/>
      <c r="U2044" s="40"/>
      <c r="V2044" s="40"/>
      <c r="W2044" s="40"/>
      <c r="X2044" s="40"/>
      <c r="Y2044" s="40"/>
      <c r="Z2044" s="40"/>
    </row>
    <row r="2045">
      <c r="A2045" s="65"/>
      <c r="B2045" s="66"/>
      <c r="C2045" s="68"/>
      <c r="D2045" s="68"/>
      <c r="E2045" s="40"/>
      <c r="F2045" s="40"/>
      <c r="G2045" s="40"/>
      <c r="H2045" s="40"/>
      <c r="I2045" s="40"/>
      <c r="J2045" s="40"/>
      <c r="K2045" s="40"/>
      <c r="L2045" s="40"/>
      <c r="M2045" s="40"/>
      <c r="N2045" s="40"/>
      <c r="O2045" s="40"/>
      <c r="P2045" s="40"/>
      <c r="Q2045" s="40"/>
      <c r="R2045" s="40"/>
      <c r="S2045" s="40"/>
      <c r="T2045" s="40"/>
      <c r="U2045" s="40"/>
      <c r="V2045" s="40"/>
      <c r="W2045" s="40"/>
      <c r="X2045" s="40"/>
      <c r="Y2045" s="40"/>
      <c r="Z2045" s="40"/>
    </row>
    <row r="2046">
      <c r="A2046" s="65"/>
      <c r="B2046" s="66"/>
      <c r="C2046" s="68"/>
      <c r="D2046" s="68"/>
      <c r="E2046" s="40"/>
      <c r="F2046" s="40"/>
      <c r="G2046" s="40"/>
      <c r="H2046" s="40"/>
      <c r="I2046" s="40"/>
      <c r="J2046" s="40"/>
      <c r="K2046" s="40"/>
      <c r="L2046" s="40"/>
      <c r="M2046" s="40"/>
      <c r="N2046" s="40"/>
      <c r="O2046" s="40"/>
      <c r="P2046" s="40"/>
      <c r="Q2046" s="40"/>
      <c r="R2046" s="40"/>
      <c r="S2046" s="40"/>
      <c r="T2046" s="40"/>
      <c r="U2046" s="40"/>
      <c r="V2046" s="40"/>
      <c r="W2046" s="40"/>
      <c r="X2046" s="40"/>
      <c r="Y2046" s="40"/>
      <c r="Z2046" s="40"/>
    </row>
    <row r="2047">
      <c r="A2047" s="65"/>
      <c r="B2047" s="66"/>
      <c r="C2047" s="68"/>
      <c r="D2047" s="68"/>
      <c r="E2047" s="40"/>
      <c r="F2047" s="40"/>
      <c r="G2047" s="40"/>
      <c r="H2047" s="40"/>
      <c r="I2047" s="40"/>
      <c r="J2047" s="40"/>
      <c r="K2047" s="40"/>
      <c r="L2047" s="40"/>
      <c r="M2047" s="40"/>
      <c r="N2047" s="40"/>
      <c r="O2047" s="40"/>
      <c r="P2047" s="40"/>
      <c r="Q2047" s="40"/>
      <c r="R2047" s="40"/>
      <c r="S2047" s="40"/>
      <c r="T2047" s="40"/>
      <c r="U2047" s="40"/>
      <c r="V2047" s="40"/>
      <c r="W2047" s="40"/>
      <c r="X2047" s="40"/>
      <c r="Y2047" s="40"/>
      <c r="Z2047" s="40"/>
    </row>
    <row r="2048">
      <c r="A2048" s="65"/>
      <c r="B2048" s="66"/>
      <c r="C2048" s="68"/>
      <c r="D2048" s="68"/>
      <c r="E2048" s="40"/>
      <c r="F2048" s="40"/>
      <c r="G2048" s="40"/>
      <c r="H2048" s="40"/>
      <c r="I2048" s="40"/>
      <c r="J2048" s="40"/>
      <c r="K2048" s="40"/>
      <c r="L2048" s="40"/>
      <c r="M2048" s="40"/>
      <c r="N2048" s="40"/>
      <c r="O2048" s="40"/>
      <c r="P2048" s="40"/>
      <c r="Q2048" s="40"/>
      <c r="R2048" s="40"/>
      <c r="S2048" s="40"/>
      <c r="T2048" s="40"/>
      <c r="U2048" s="40"/>
      <c r="V2048" s="40"/>
      <c r="W2048" s="40"/>
      <c r="X2048" s="40"/>
      <c r="Y2048" s="40"/>
      <c r="Z2048" s="40"/>
    </row>
    <row r="2049">
      <c r="A2049" s="65"/>
      <c r="B2049" s="66"/>
      <c r="C2049" s="68"/>
      <c r="D2049" s="68"/>
      <c r="E2049" s="40"/>
      <c r="F2049" s="40"/>
      <c r="G2049" s="40"/>
      <c r="H2049" s="40"/>
      <c r="I2049" s="40"/>
      <c r="J2049" s="40"/>
      <c r="K2049" s="40"/>
      <c r="L2049" s="40"/>
      <c r="M2049" s="40"/>
      <c r="N2049" s="40"/>
      <c r="O2049" s="40"/>
      <c r="P2049" s="40"/>
      <c r="Q2049" s="40"/>
      <c r="R2049" s="40"/>
      <c r="S2049" s="40"/>
      <c r="T2049" s="40"/>
      <c r="U2049" s="40"/>
      <c r="V2049" s="40"/>
      <c r="W2049" s="40"/>
      <c r="X2049" s="40"/>
      <c r="Y2049" s="40"/>
      <c r="Z2049" s="40"/>
    </row>
    <row r="2050">
      <c r="A2050" s="65"/>
      <c r="B2050" s="66"/>
      <c r="C2050" s="68"/>
      <c r="D2050" s="68"/>
      <c r="E2050" s="40"/>
      <c r="F2050" s="40"/>
      <c r="G2050" s="40"/>
      <c r="H2050" s="40"/>
      <c r="I2050" s="40"/>
      <c r="J2050" s="40"/>
      <c r="K2050" s="40"/>
      <c r="L2050" s="40"/>
      <c r="M2050" s="40"/>
      <c r="N2050" s="40"/>
      <c r="O2050" s="40"/>
      <c r="P2050" s="40"/>
      <c r="Q2050" s="40"/>
      <c r="R2050" s="40"/>
      <c r="S2050" s="40"/>
      <c r="T2050" s="40"/>
      <c r="U2050" s="40"/>
      <c r="V2050" s="40"/>
      <c r="W2050" s="40"/>
      <c r="X2050" s="40"/>
      <c r="Y2050" s="40"/>
      <c r="Z2050" s="40"/>
    </row>
    <row r="2051">
      <c r="A2051" s="65"/>
      <c r="B2051" s="66"/>
      <c r="C2051" s="68"/>
      <c r="D2051" s="68"/>
      <c r="E2051" s="40"/>
      <c r="F2051" s="40"/>
      <c r="G2051" s="40"/>
      <c r="H2051" s="40"/>
      <c r="I2051" s="40"/>
      <c r="J2051" s="40"/>
      <c r="K2051" s="40"/>
      <c r="L2051" s="40"/>
      <c r="M2051" s="40"/>
      <c r="N2051" s="40"/>
      <c r="O2051" s="40"/>
      <c r="P2051" s="40"/>
      <c r="Q2051" s="40"/>
      <c r="R2051" s="40"/>
      <c r="S2051" s="40"/>
      <c r="T2051" s="40"/>
      <c r="U2051" s="40"/>
      <c r="V2051" s="40"/>
      <c r="W2051" s="40"/>
      <c r="X2051" s="40"/>
      <c r="Y2051" s="40"/>
      <c r="Z2051" s="40"/>
    </row>
    <row r="2052">
      <c r="A2052" s="65"/>
      <c r="B2052" s="66"/>
      <c r="C2052" s="68"/>
      <c r="D2052" s="68"/>
      <c r="E2052" s="40"/>
      <c r="F2052" s="40"/>
      <c r="G2052" s="40"/>
      <c r="H2052" s="40"/>
      <c r="I2052" s="40"/>
      <c r="J2052" s="40"/>
      <c r="K2052" s="40"/>
      <c r="L2052" s="40"/>
      <c r="M2052" s="40"/>
      <c r="N2052" s="40"/>
      <c r="O2052" s="40"/>
      <c r="P2052" s="40"/>
      <c r="Q2052" s="40"/>
      <c r="R2052" s="40"/>
      <c r="S2052" s="40"/>
      <c r="T2052" s="40"/>
      <c r="U2052" s="40"/>
      <c r="V2052" s="40"/>
      <c r="W2052" s="40"/>
      <c r="X2052" s="40"/>
      <c r="Y2052" s="40"/>
      <c r="Z2052" s="40"/>
    </row>
    <row r="2053">
      <c r="A2053" s="65"/>
      <c r="B2053" s="66"/>
      <c r="C2053" s="68"/>
      <c r="D2053" s="68"/>
      <c r="E2053" s="40"/>
      <c r="F2053" s="40"/>
      <c r="G2053" s="40"/>
      <c r="H2053" s="40"/>
      <c r="I2053" s="40"/>
      <c r="J2053" s="40"/>
      <c r="K2053" s="40"/>
      <c r="L2053" s="40"/>
      <c r="M2053" s="40"/>
      <c r="N2053" s="40"/>
      <c r="O2053" s="40"/>
      <c r="P2053" s="40"/>
      <c r="Q2053" s="40"/>
      <c r="R2053" s="40"/>
      <c r="S2053" s="40"/>
      <c r="T2053" s="40"/>
      <c r="U2053" s="40"/>
      <c r="V2053" s="40"/>
      <c r="W2053" s="40"/>
      <c r="X2053" s="40"/>
      <c r="Y2053" s="40"/>
      <c r="Z2053" s="40"/>
    </row>
    <row r="2054">
      <c r="A2054" s="65"/>
      <c r="B2054" s="66"/>
      <c r="C2054" s="68"/>
      <c r="D2054" s="68"/>
      <c r="E2054" s="40"/>
      <c r="F2054" s="40"/>
      <c r="G2054" s="40"/>
      <c r="H2054" s="40"/>
      <c r="I2054" s="40"/>
      <c r="J2054" s="40"/>
      <c r="K2054" s="40"/>
      <c r="L2054" s="40"/>
      <c r="M2054" s="40"/>
      <c r="N2054" s="40"/>
      <c r="O2054" s="40"/>
      <c r="P2054" s="40"/>
      <c r="Q2054" s="40"/>
      <c r="R2054" s="40"/>
      <c r="S2054" s="40"/>
      <c r="T2054" s="40"/>
      <c r="U2054" s="40"/>
      <c r="V2054" s="40"/>
      <c r="W2054" s="40"/>
      <c r="X2054" s="40"/>
      <c r="Y2054" s="40"/>
      <c r="Z2054" s="40"/>
    </row>
    <row r="2055">
      <c r="A2055" s="65"/>
      <c r="B2055" s="66"/>
      <c r="C2055" s="68"/>
      <c r="D2055" s="68"/>
      <c r="E2055" s="40"/>
      <c r="F2055" s="40"/>
      <c r="G2055" s="40"/>
      <c r="H2055" s="40"/>
      <c r="I2055" s="40"/>
      <c r="J2055" s="40"/>
      <c r="K2055" s="40"/>
      <c r="L2055" s="40"/>
      <c r="M2055" s="40"/>
      <c r="N2055" s="40"/>
      <c r="O2055" s="40"/>
      <c r="P2055" s="40"/>
      <c r="Q2055" s="40"/>
      <c r="R2055" s="40"/>
      <c r="S2055" s="40"/>
      <c r="T2055" s="40"/>
      <c r="U2055" s="40"/>
      <c r="V2055" s="40"/>
      <c r="W2055" s="40"/>
      <c r="X2055" s="40"/>
      <c r="Y2055" s="40"/>
      <c r="Z2055" s="40"/>
    </row>
    <row r="2056">
      <c r="A2056" s="65"/>
      <c r="B2056" s="66"/>
      <c r="C2056" s="68"/>
      <c r="D2056" s="68"/>
      <c r="E2056" s="40"/>
      <c r="F2056" s="40"/>
      <c r="G2056" s="40"/>
      <c r="H2056" s="40"/>
      <c r="I2056" s="40"/>
      <c r="J2056" s="40"/>
      <c r="K2056" s="40"/>
      <c r="L2056" s="40"/>
      <c r="M2056" s="40"/>
      <c r="N2056" s="40"/>
      <c r="O2056" s="40"/>
      <c r="P2056" s="40"/>
      <c r="Q2056" s="40"/>
      <c r="R2056" s="40"/>
      <c r="S2056" s="40"/>
      <c r="T2056" s="40"/>
      <c r="U2056" s="40"/>
      <c r="V2056" s="40"/>
      <c r="W2056" s="40"/>
      <c r="X2056" s="40"/>
      <c r="Y2056" s="40"/>
      <c r="Z2056" s="40"/>
    </row>
    <row r="2057">
      <c r="A2057" s="65"/>
      <c r="B2057" s="66"/>
      <c r="C2057" s="68"/>
      <c r="D2057" s="68"/>
      <c r="E2057" s="40"/>
      <c r="F2057" s="40"/>
      <c r="G2057" s="40"/>
      <c r="H2057" s="40"/>
      <c r="I2057" s="40"/>
      <c r="J2057" s="40"/>
      <c r="K2057" s="40"/>
      <c r="L2057" s="40"/>
      <c r="M2057" s="40"/>
      <c r="N2057" s="40"/>
      <c r="O2057" s="40"/>
      <c r="P2057" s="40"/>
      <c r="Q2057" s="40"/>
      <c r="R2057" s="40"/>
      <c r="S2057" s="40"/>
      <c r="T2057" s="40"/>
      <c r="U2057" s="40"/>
      <c r="V2057" s="40"/>
      <c r="W2057" s="40"/>
      <c r="X2057" s="40"/>
      <c r="Y2057" s="40"/>
      <c r="Z2057" s="40"/>
    </row>
    <row r="2058">
      <c r="A2058" s="65"/>
      <c r="B2058" s="66"/>
      <c r="C2058" s="68"/>
      <c r="D2058" s="68"/>
      <c r="E2058" s="40"/>
      <c r="F2058" s="40"/>
      <c r="G2058" s="40"/>
      <c r="H2058" s="40"/>
      <c r="I2058" s="40"/>
      <c r="J2058" s="40"/>
      <c r="K2058" s="40"/>
      <c r="L2058" s="40"/>
      <c r="M2058" s="40"/>
      <c r="N2058" s="40"/>
      <c r="O2058" s="40"/>
      <c r="P2058" s="40"/>
      <c r="Q2058" s="40"/>
      <c r="R2058" s="40"/>
      <c r="S2058" s="40"/>
      <c r="T2058" s="40"/>
      <c r="U2058" s="40"/>
      <c r="V2058" s="40"/>
      <c r="W2058" s="40"/>
      <c r="X2058" s="40"/>
      <c r="Y2058" s="40"/>
      <c r="Z2058" s="40"/>
    </row>
    <row r="2059">
      <c r="A2059" s="65"/>
      <c r="B2059" s="66"/>
      <c r="C2059" s="68"/>
      <c r="D2059" s="68"/>
      <c r="E2059" s="40"/>
      <c r="F2059" s="40"/>
      <c r="G2059" s="40"/>
      <c r="H2059" s="40"/>
      <c r="I2059" s="40"/>
      <c r="J2059" s="40"/>
      <c r="K2059" s="40"/>
      <c r="L2059" s="40"/>
      <c r="M2059" s="40"/>
      <c r="N2059" s="40"/>
      <c r="O2059" s="40"/>
      <c r="P2059" s="40"/>
      <c r="Q2059" s="40"/>
      <c r="R2059" s="40"/>
      <c r="S2059" s="40"/>
      <c r="T2059" s="40"/>
      <c r="U2059" s="40"/>
      <c r="V2059" s="40"/>
      <c r="W2059" s="40"/>
      <c r="X2059" s="40"/>
      <c r="Y2059" s="40"/>
      <c r="Z2059" s="40"/>
    </row>
    <row r="2060">
      <c r="A2060" s="65"/>
      <c r="B2060" s="66"/>
      <c r="C2060" s="68"/>
      <c r="D2060" s="68"/>
      <c r="E2060" s="40"/>
      <c r="F2060" s="40"/>
      <c r="G2060" s="40"/>
      <c r="H2060" s="40"/>
      <c r="I2060" s="40"/>
      <c r="J2060" s="40"/>
      <c r="K2060" s="40"/>
      <c r="L2060" s="40"/>
      <c r="M2060" s="40"/>
      <c r="N2060" s="40"/>
      <c r="O2060" s="40"/>
      <c r="P2060" s="40"/>
      <c r="Q2060" s="40"/>
      <c r="R2060" s="40"/>
      <c r="S2060" s="40"/>
      <c r="T2060" s="40"/>
      <c r="U2060" s="40"/>
      <c r="V2060" s="40"/>
      <c r="W2060" s="40"/>
      <c r="X2060" s="40"/>
      <c r="Y2060" s="40"/>
      <c r="Z2060" s="40"/>
    </row>
    <row r="2061">
      <c r="A2061" s="65"/>
      <c r="B2061" s="66"/>
      <c r="C2061" s="68"/>
      <c r="D2061" s="68"/>
      <c r="E2061" s="40"/>
      <c r="F2061" s="40"/>
      <c r="G2061" s="40"/>
      <c r="H2061" s="40"/>
      <c r="I2061" s="40"/>
      <c r="J2061" s="40"/>
      <c r="K2061" s="40"/>
      <c r="L2061" s="40"/>
      <c r="M2061" s="40"/>
      <c r="N2061" s="40"/>
      <c r="O2061" s="40"/>
      <c r="P2061" s="40"/>
      <c r="Q2061" s="40"/>
      <c r="R2061" s="40"/>
      <c r="S2061" s="40"/>
      <c r="T2061" s="40"/>
      <c r="U2061" s="40"/>
      <c r="V2061" s="40"/>
      <c r="W2061" s="40"/>
      <c r="X2061" s="40"/>
      <c r="Y2061" s="40"/>
      <c r="Z2061" s="40"/>
    </row>
    <row r="2062">
      <c r="A2062" s="65"/>
      <c r="B2062" s="66"/>
      <c r="C2062" s="68"/>
      <c r="D2062" s="68"/>
      <c r="E2062" s="40"/>
      <c r="F2062" s="40"/>
      <c r="G2062" s="40"/>
      <c r="H2062" s="40"/>
      <c r="I2062" s="40"/>
      <c r="J2062" s="40"/>
      <c r="K2062" s="40"/>
      <c r="L2062" s="40"/>
      <c r="M2062" s="40"/>
      <c r="N2062" s="40"/>
      <c r="O2062" s="40"/>
      <c r="P2062" s="40"/>
      <c r="Q2062" s="40"/>
      <c r="R2062" s="40"/>
      <c r="S2062" s="40"/>
      <c r="T2062" s="40"/>
      <c r="U2062" s="40"/>
      <c r="V2062" s="40"/>
      <c r="W2062" s="40"/>
      <c r="X2062" s="40"/>
      <c r="Y2062" s="40"/>
      <c r="Z2062" s="40"/>
    </row>
    <row r="2063">
      <c r="A2063" s="65"/>
      <c r="B2063" s="66"/>
      <c r="C2063" s="68"/>
      <c r="D2063" s="68"/>
      <c r="E2063" s="40"/>
      <c r="F2063" s="40"/>
      <c r="G2063" s="40"/>
      <c r="H2063" s="40"/>
      <c r="I2063" s="40"/>
      <c r="J2063" s="40"/>
      <c r="K2063" s="40"/>
      <c r="L2063" s="40"/>
      <c r="M2063" s="40"/>
      <c r="N2063" s="40"/>
      <c r="O2063" s="40"/>
      <c r="P2063" s="40"/>
      <c r="Q2063" s="40"/>
      <c r="R2063" s="40"/>
      <c r="S2063" s="40"/>
      <c r="T2063" s="40"/>
      <c r="U2063" s="40"/>
      <c r="V2063" s="40"/>
      <c r="W2063" s="40"/>
      <c r="X2063" s="40"/>
      <c r="Y2063" s="40"/>
      <c r="Z2063" s="40"/>
    </row>
    <row r="2064">
      <c r="A2064" s="65"/>
      <c r="B2064" s="66"/>
      <c r="C2064" s="68"/>
      <c r="D2064" s="68"/>
      <c r="E2064" s="40"/>
      <c r="F2064" s="40"/>
      <c r="G2064" s="40"/>
      <c r="H2064" s="40"/>
      <c r="I2064" s="40"/>
      <c r="J2064" s="40"/>
      <c r="K2064" s="40"/>
      <c r="L2064" s="40"/>
      <c r="M2064" s="40"/>
      <c r="N2064" s="40"/>
      <c r="O2064" s="40"/>
      <c r="P2064" s="40"/>
      <c r="Q2064" s="40"/>
      <c r="R2064" s="40"/>
      <c r="S2064" s="40"/>
      <c r="T2064" s="40"/>
      <c r="U2064" s="40"/>
      <c r="V2064" s="40"/>
      <c r="W2064" s="40"/>
      <c r="X2064" s="40"/>
      <c r="Y2064" s="40"/>
      <c r="Z2064" s="40"/>
    </row>
    <row r="2065">
      <c r="A2065" s="65"/>
      <c r="B2065" s="66"/>
      <c r="C2065" s="68"/>
      <c r="D2065" s="68"/>
      <c r="E2065" s="40"/>
      <c r="F2065" s="40"/>
      <c r="G2065" s="40"/>
      <c r="H2065" s="40"/>
      <c r="I2065" s="40"/>
      <c r="J2065" s="40"/>
      <c r="K2065" s="40"/>
      <c r="L2065" s="40"/>
      <c r="M2065" s="40"/>
      <c r="N2065" s="40"/>
      <c r="O2065" s="40"/>
      <c r="P2065" s="40"/>
      <c r="Q2065" s="40"/>
      <c r="R2065" s="40"/>
      <c r="S2065" s="40"/>
      <c r="T2065" s="40"/>
      <c r="U2065" s="40"/>
      <c r="V2065" s="40"/>
      <c r="W2065" s="40"/>
      <c r="X2065" s="40"/>
      <c r="Y2065" s="40"/>
      <c r="Z2065" s="40"/>
    </row>
    <row r="2066">
      <c r="A2066" s="65"/>
      <c r="B2066" s="66"/>
      <c r="C2066" s="68"/>
      <c r="D2066" s="68"/>
      <c r="E2066" s="40"/>
      <c r="F2066" s="40"/>
      <c r="G2066" s="40"/>
      <c r="H2066" s="40"/>
      <c r="I2066" s="40"/>
      <c r="J2066" s="40"/>
      <c r="K2066" s="40"/>
      <c r="L2066" s="40"/>
      <c r="M2066" s="40"/>
      <c r="N2066" s="40"/>
      <c r="O2066" s="40"/>
      <c r="P2066" s="40"/>
      <c r="Q2066" s="40"/>
      <c r="R2066" s="40"/>
      <c r="S2066" s="40"/>
      <c r="T2066" s="40"/>
      <c r="U2066" s="40"/>
      <c r="V2066" s="40"/>
      <c r="W2066" s="40"/>
      <c r="X2066" s="40"/>
      <c r="Y2066" s="40"/>
      <c r="Z2066" s="40"/>
    </row>
    <row r="2067">
      <c r="A2067" s="65"/>
      <c r="B2067" s="66"/>
      <c r="C2067" s="68"/>
      <c r="D2067" s="68"/>
      <c r="E2067" s="40"/>
      <c r="F2067" s="40"/>
      <c r="G2067" s="40"/>
      <c r="H2067" s="40"/>
      <c r="I2067" s="40"/>
      <c r="J2067" s="40"/>
      <c r="K2067" s="40"/>
      <c r="L2067" s="40"/>
      <c r="M2067" s="40"/>
      <c r="N2067" s="40"/>
      <c r="O2067" s="40"/>
      <c r="P2067" s="40"/>
      <c r="Q2067" s="40"/>
      <c r="R2067" s="40"/>
      <c r="S2067" s="40"/>
      <c r="T2067" s="40"/>
      <c r="U2067" s="40"/>
      <c r="V2067" s="40"/>
      <c r="W2067" s="40"/>
      <c r="X2067" s="40"/>
      <c r="Y2067" s="40"/>
      <c r="Z2067" s="40"/>
    </row>
    <row r="2068">
      <c r="A2068" s="65"/>
      <c r="B2068" s="66"/>
      <c r="C2068" s="68"/>
      <c r="D2068" s="68"/>
      <c r="E2068" s="40"/>
      <c r="F2068" s="40"/>
      <c r="G2068" s="40"/>
      <c r="H2068" s="40"/>
      <c r="I2068" s="40"/>
      <c r="J2068" s="40"/>
      <c r="K2068" s="40"/>
      <c r="L2068" s="40"/>
      <c r="M2068" s="40"/>
      <c r="N2068" s="40"/>
      <c r="O2068" s="40"/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0"/>
    </row>
    <row r="2069">
      <c r="A2069" s="65"/>
      <c r="B2069" s="66"/>
      <c r="C2069" s="68"/>
      <c r="D2069" s="68"/>
      <c r="E2069" s="40"/>
      <c r="F2069" s="40"/>
      <c r="G2069" s="40"/>
      <c r="H2069" s="40"/>
      <c r="I2069" s="40"/>
      <c r="J2069" s="40"/>
      <c r="K2069" s="40"/>
      <c r="L2069" s="40"/>
      <c r="M2069" s="40"/>
      <c r="N2069" s="40"/>
      <c r="O2069" s="40"/>
      <c r="P2069" s="40"/>
      <c r="Q2069" s="40"/>
      <c r="R2069" s="40"/>
      <c r="S2069" s="40"/>
      <c r="T2069" s="40"/>
      <c r="U2069" s="40"/>
      <c r="V2069" s="40"/>
      <c r="W2069" s="40"/>
      <c r="X2069" s="40"/>
      <c r="Y2069" s="40"/>
      <c r="Z2069" s="40"/>
    </row>
    <row r="2070">
      <c r="A2070" s="65"/>
      <c r="B2070" s="66"/>
      <c r="C2070" s="68"/>
      <c r="D2070" s="68"/>
      <c r="E2070" s="40"/>
      <c r="F2070" s="40"/>
      <c r="G2070" s="40"/>
      <c r="H2070" s="40"/>
      <c r="I2070" s="40"/>
      <c r="J2070" s="40"/>
      <c r="K2070" s="40"/>
      <c r="L2070" s="40"/>
      <c r="M2070" s="40"/>
      <c r="N2070" s="40"/>
      <c r="O2070" s="40"/>
      <c r="P2070" s="40"/>
      <c r="Q2070" s="40"/>
      <c r="R2070" s="40"/>
      <c r="S2070" s="40"/>
      <c r="T2070" s="40"/>
      <c r="U2070" s="40"/>
      <c r="V2070" s="40"/>
      <c r="W2070" s="40"/>
      <c r="X2070" s="40"/>
      <c r="Y2070" s="40"/>
      <c r="Z2070" s="40"/>
    </row>
    <row r="2071">
      <c r="A2071" s="65"/>
      <c r="B2071" s="66"/>
      <c r="C2071" s="68"/>
      <c r="D2071" s="68"/>
      <c r="E2071" s="40"/>
      <c r="F2071" s="40"/>
      <c r="G2071" s="40"/>
      <c r="H2071" s="40"/>
      <c r="I2071" s="40"/>
      <c r="J2071" s="40"/>
      <c r="K2071" s="40"/>
      <c r="L2071" s="40"/>
      <c r="M2071" s="40"/>
      <c r="N2071" s="40"/>
      <c r="O2071" s="40"/>
      <c r="P2071" s="40"/>
      <c r="Q2071" s="40"/>
      <c r="R2071" s="40"/>
      <c r="S2071" s="40"/>
      <c r="T2071" s="40"/>
      <c r="U2071" s="40"/>
      <c r="V2071" s="40"/>
      <c r="W2071" s="40"/>
      <c r="X2071" s="40"/>
      <c r="Y2071" s="40"/>
      <c r="Z2071" s="40"/>
    </row>
    <row r="2072">
      <c r="A2072" s="65"/>
      <c r="B2072" s="66"/>
      <c r="C2072" s="68"/>
      <c r="D2072" s="68"/>
      <c r="E2072" s="40"/>
      <c r="F2072" s="40"/>
      <c r="G2072" s="40"/>
      <c r="H2072" s="40"/>
      <c r="I2072" s="40"/>
      <c r="J2072" s="40"/>
      <c r="K2072" s="40"/>
      <c r="L2072" s="40"/>
      <c r="M2072" s="40"/>
      <c r="N2072" s="40"/>
      <c r="O2072" s="40"/>
      <c r="P2072" s="40"/>
      <c r="Q2072" s="40"/>
      <c r="R2072" s="40"/>
      <c r="S2072" s="40"/>
      <c r="T2072" s="40"/>
      <c r="U2072" s="40"/>
      <c r="V2072" s="40"/>
      <c r="W2072" s="40"/>
      <c r="X2072" s="40"/>
      <c r="Y2072" s="40"/>
      <c r="Z2072" s="40"/>
    </row>
    <row r="2073">
      <c r="A2073" s="65"/>
      <c r="B2073" s="66"/>
      <c r="C2073" s="68"/>
      <c r="D2073" s="68"/>
      <c r="E2073" s="40"/>
      <c r="F2073" s="40"/>
      <c r="G2073" s="40"/>
      <c r="H2073" s="40"/>
      <c r="I2073" s="40"/>
      <c r="J2073" s="40"/>
      <c r="K2073" s="40"/>
      <c r="L2073" s="40"/>
      <c r="M2073" s="40"/>
      <c r="N2073" s="40"/>
      <c r="O2073" s="40"/>
      <c r="P2073" s="40"/>
      <c r="Q2073" s="40"/>
      <c r="R2073" s="40"/>
      <c r="S2073" s="40"/>
      <c r="T2073" s="40"/>
      <c r="U2073" s="40"/>
      <c r="V2073" s="40"/>
      <c r="W2073" s="40"/>
      <c r="X2073" s="40"/>
      <c r="Y2073" s="40"/>
      <c r="Z2073" s="40"/>
    </row>
    <row r="2074">
      <c r="A2074" s="65"/>
      <c r="B2074" s="66"/>
      <c r="C2074" s="68"/>
      <c r="D2074" s="68"/>
      <c r="E2074" s="40"/>
      <c r="F2074" s="40"/>
      <c r="G2074" s="40"/>
      <c r="H2074" s="40"/>
      <c r="I2074" s="40"/>
      <c r="J2074" s="40"/>
      <c r="K2074" s="40"/>
      <c r="L2074" s="40"/>
      <c r="M2074" s="40"/>
      <c r="N2074" s="40"/>
      <c r="O2074" s="40"/>
      <c r="P2074" s="40"/>
      <c r="Q2074" s="40"/>
      <c r="R2074" s="40"/>
      <c r="S2074" s="40"/>
      <c r="T2074" s="40"/>
      <c r="U2074" s="40"/>
      <c r="V2074" s="40"/>
      <c r="W2074" s="40"/>
      <c r="X2074" s="40"/>
      <c r="Y2074" s="40"/>
      <c r="Z2074" s="40"/>
    </row>
    <row r="2075">
      <c r="A2075" s="65"/>
      <c r="B2075" s="66"/>
      <c r="C2075" s="68"/>
      <c r="D2075" s="68"/>
      <c r="E2075" s="40"/>
      <c r="F2075" s="40"/>
      <c r="G2075" s="40"/>
      <c r="H2075" s="40"/>
      <c r="I2075" s="40"/>
      <c r="J2075" s="40"/>
      <c r="K2075" s="40"/>
      <c r="L2075" s="40"/>
      <c r="M2075" s="40"/>
      <c r="N2075" s="40"/>
      <c r="O2075" s="40"/>
      <c r="P2075" s="40"/>
      <c r="Q2075" s="40"/>
      <c r="R2075" s="40"/>
      <c r="S2075" s="40"/>
      <c r="T2075" s="40"/>
      <c r="U2075" s="40"/>
      <c r="V2075" s="40"/>
      <c r="W2075" s="40"/>
      <c r="X2075" s="40"/>
      <c r="Y2075" s="40"/>
      <c r="Z2075" s="40"/>
    </row>
    <row r="2076">
      <c r="A2076" s="65"/>
      <c r="B2076" s="66"/>
      <c r="C2076" s="68"/>
      <c r="D2076" s="68"/>
      <c r="E2076" s="40"/>
      <c r="F2076" s="40"/>
      <c r="G2076" s="40"/>
      <c r="H2076" s="40"/>
      <c r="I2076" s="40"/>
      <c r="J2076" s="40"/>
      <c r="K2076" s="40"/>
      <c r="L2076" s="40"/>
      <c r="M2076" s="40"/>
      <c r="N2076" s="40"/>
      <c r="O2076" s="40"/>
      <c r="P2076" s="40"/>
      <c r="Q2076" s="40"/>
      <c r="R2076" s="40"/>
      <c r="S2076" s="40"/>
      <c r="T2076" s="40"/>
      <c r="U2076" s="40"/>
      <c r="V2076" s="40"/>
      <c r="W2076" s="40"/>
      <c r="X2076" s="40"/>
      <c r="Y2076" s="40"/>
      <c r="Z2076" s="40"/>
    </row>
    <row r="2077">
      <c r="A2077" s="65"/>
      <c r="B2077" s="66"/>
      <c r="C2077" s="68"/>
      <c r="D2077" s="68"/>
      <c r="E2077" s="40"/>
      <c r="F2077" s="40"/>
      <c r="G2077" s="40"/>
      <c r="H2077" s="40"/>
      <c r="I2077" s="40"/>
      <c r="J2077" s="40"/>
      <c r="K2077" s="40"/>
      <c r="L2077" s="40"/>
      <c r="M2077" s="40"/>
      <c r="N2077" s="40"/>
      <c r="O2077" s="40"/>
      <c r="P2077" s="40"/>
      <c r="Q2077" s="40"/>
      <c r="R2077" s="40"/>
      <c r="S2077" s="40"/>
      <c r="T2077" s="40"/>
      <c r="U2077" s="40"/>
      <c r="V2077" s="40"/>
      <c r="W2077" s="40"/>
      <c r="X2077" s="40"/>
      <c r="Y2077" s="40"/>
      <c r="Z2077" s="40"/>
    </row>
    <row r="2078">
      <c r="A2078" s="65"/>
      <c r="B2078" s="66"/>
      <c r="C2078" s="68"/>
      <c r="D2078" s="68"/>
      <c r="E2078" s="40"/>
      <c r="F2078" s="40"/>
      <c r="G2078" s="40"/>
      <c r="H2078" s="40"/>
      <c r="I2078" s="40"/>
      <c r="J2078" s="40"/>
      <c r="K2078" s="40"/>
      <c r="L2078" s="40"/>
      <c r="M2078" s="40"/>
      <c r="N2078" s="40"/>
      <c r="O2078" s="40"/>
      <c r="P2078" s="40"/>
      <c r="Q2078" s="40"/>
      <c r="R2078" s="40"/>
      <c r="S2078" s="40"/>
      <c r="T2078" s="40"/>
      <c r="U2078" s="40"/>
      <c r="V2078" s="40"/>
      <c r="W2078" s="40"/>
      <c r="X2078" s="40"/>
      <c r="Y2078" s="40"/>
      <c r="Z2078" s="40"/>
    </row>
    <row r="2079">
      <c r="A2079" s="65"/>
      <c r="B2079" s="66"/>
      <c r="C2079" s="68"/>
      <c r="D2079" s="68"/>
      <c r="E2079" s="40"/>
      <c r="F2079" s="40"/>
      <c r="G2079" s="40"/>
      <c r="H2079" s="40"/>
      <c r="I2079" s="40"/>
      <c r="J2079" s="40"/>
      <c r="K2079" s="40"/>
      <c r="L2079" s="40"/>
      <c r="M2079" s="40"/>
      <c r="N2079" s="40"/>
      <c r="O2079" s="40"/>
      <c r="P2079" s="40"/>
      <c r="Q2079" s="40"/>
      <c r="R2079" s="40"/>
      <c r="S2079" s="40"/>
      <c r="T2079" s="40"/>
      <c r="U2079" s="40"/>
      <c r="V2079" s="40"/>
      <c r="W2079" s="40"/>
      <c r="X2079" s="40"/>
      <c r="Y2079" s="40"/>
      <c r="Z2079" s="40"/>
    </row>
    <row r="2080">
      <c r="A2080" s="65"/>
      <c r="B2080" s="66"/>
      <c r="C2080" s="68"/>
      <c r="D2080" s="68"/>
      <c r="E2080" s="40"/>
      <c r="F2080" s="40"/>
      <c r="G2080" s="40"/>
      <c r="H2080" s="40"/>
      <c r="I2080" s="40"/>
      <c r="J2080" s="40"/>
      <c r="K2080" s="40"/>
      <c r="L2080" s="40"/>
      <c r="M2080" s="40"/>
      <c r="N2080" s="40"/>
      <c r="O2080" s="40"/>
      <c r="P2080" s="40"/>
      <c r="Q2080" s="40"/>
      <c r="R2080" s="40"/>
      <c r="S2080" s="40"/>
      <c r="T2080" s="40"/>
      <c r="U2080" s="40"/>
      <c r="V2080" s="40"/>
      <c r="W2080" s="40"/>
      <c r="X2080" s="40"/>
      <c r="Y2080" s="40"/>
      <c r="Z2080" s="40"/>
    </row>
    <row r="2081">
      <c r="A2081" s="65"/>
      <c r="B2081" s="66"/>
      <c r="C2081" s="68"/>
      <c r="D2081" s="68"/>
      <c r="E2081" s="40"/>
      <c r="F2081" s="40"/>
      <c r="G2081" s="40"/>
      <c r="H2081" s="40"/>
      <c r="I2081" s="40"/>
      <c r="J2081" s="40"/>
      <c r="K2081" s="40"/>
      <c r="L2081" s="40"/>
      <c r="M2081" s="40"/>
      <c r="N2081" s="40"/>
      <c r="O2081" s="40"/>
      <c r="P2081" s="40"/>
      <c r="Q2081" s="40"/>
      <c r="R2081" s="40"/>
      <c r="S2081" s="40"/>
      <c r="T2081" s="40"/>
      <c r="U2081" s="40"/>
      <c r="V2081" s="40"/>
      <c r="W2081" s="40"/>
      <c r="X2081" s="40"/>
      <c r="Y2081" s="40"/>
      <c r="Z2081" s="40"/>
    </row>
    <row r="2082">
      <c r="A2082" s="65"/>
      <c r="B2082" s="66"/>
      <c r="C2082" s="68"/>
      <c r="D2082" s="68"/>
      <c r="E2082" s="40"/>
      <c r="F2082" s="40"/>
      <c r="G2082" s="40"/>
      <c r="H2082" s="40"/>
      <c r="I2082" s="40"/>
      <c r="J2082" s="40"/>
      <c r="K2082" s="40"/>
      <c r="L2082" s="40"/>
      <c r="M2082" s="40"/>
      <c r="N2082" s="40"/>
      <c r="O2082" s="40"/>
      <c r="P2082" s="40"/>
      <c r="Q2082" s="40"/>
      <c r="R2082" s="40"/>
      <c r="S2082" s="40"/>
      <c r="T2082" s="40"/>
      <c r="U2082" s="40"/>
      <c r="V2082" s="40"/>
      <c r="W2082" s="40"/>
      <c r="X2082" s="40"/>
      <c r="Y2082" s="40"/>
      <c r="Z2082" s="40"/>
    </row>
    <row r="2083">
      <c r="A2083" s="65"/>
      <c r="B2083" s="66"/>
      <c r="C2083" s="68"/>
      <c r="D2083" s="68"/>
      <c r="E2083" s="40"/>
      <c r="F2083" s="40"/>
      <c r="G2083" s="40"/>
      <c r="H2083" s="40"/>
      <c r="I2083" s="40"/>
      <c r="J2083" s="40"/>
      <c r="K2083" s="40"/>
      <c r="L2083" s="40"/>
      <c r="M2083" s="40"/>
      <c r="N2083" s="40"/>
      <c r="O2083" s="40"/>
      <c r="P2083" s="40"/>
      <c r="Q2083" s="40"/>
      <c r="R2083" s="40"/>
      <c r="S2083" s="40"/>
      <c r="T2083" s="40"/>
      <c r="U2083" s="40"/>
      <c r="V2083" s="40"/>
      <c r="W2083" s="40"/>
      <c r="X2083" s="40"/>
      <c r="Y2083" s="40"/>
      <c r="Z2083" s="40"/>
    </row>
    <row r="2084">
      <c r="A2084" s="65"/>
      <c r="B2084" s="66"/>
      <c r="C2084" s="68"/>
      <c r="D2084" s="68"/>
      <c r="E2084" s="40"/>
      <c r="F2084" s="40"/>
      <c r="G2084" s="40"/>
      <c r="H2084" s="40"/>
      <c r="I2084" s="40"/>
      <c r="J2084" s="40"/>
      <c r="K2084" s="40"/>
      <c r="L2084" s="40"/>
      <c r="M2084" s="40"/>
      <c r="N2084" s="40"/>
      <c r="O2084" s="40"/>
      <c r="P2084" s="40"/>
      <c r="Q2084" s="40"/>
      <c r="R2084" s="40"/>
      <c r="S2084" s="40"/>
      <c r="T2084" s="40"/>
      <c r="U2084" s="40"/>
      <c r="V2084" s="40"/>
      <c r="W2084" s="40"/>
      <c r="X2084" s="40"/>
      <c r="Y2084" s="40"/>
      <c r="Z2084" s="40"/>
    </row>
    <row r="2085">
      <c r="A2085" s="65"/>
      <c r="B2085" s="66"/>
      <c r="C2085" s="68"/>
      <c r="D2085" s="68"/>
      <c r="E2085" s="40"/>
      <c r="F2085" s="40"/>
      <c r="G2085" s="40"/>
      <c r="H2085" s="40"/>
      <c r="I2085" s="40"/>
      <c r="J2085" s="40"/>
      <c r="K2085" s="40"/>
      <c r="L2085" s="40"/>
      <c r="M2085" s="40"/>
      <c r="N2085" s="40"/>
      <c r="O2085" s="40"/>
      <c r="P2085" s="40"/>
      <c r="Q2085" s="40"/>
      <c r="R2085" s="40"/>
      <c r="S2085" s="40"/>
      <c r="T2085" s="40"/>
      <c r="U2085" s="40"/>
      <c r="V2085" s="40"/>
      <c r="W2085" s="40"/>
      <c r="X2085" s="40"/>
      <c r="Y2085" s="40"/>
      <c r="Z2085" s="40"/>
    </row>
    <row r="2086">
      <c r="A2086" s="65"/>
      <c r="B2086" s="66"/>
      <c r="C2086" s="68"/>
      <c r="D2086" s="68"/>
      <c r="E2086" s="40"/>
      <c r="F2086" s="40"/>
      <c r="G2086" s="40"/>
      <c r="H2086" s="40"/>
      <c r="I2086" s="40"/>
      <c r="J2086" s="40"/>
      <c r="K2086" s="40"/>
      <c r="L2086" s="40"/>
      <c r="M2086" s="40"/>
      <c r="N2086" s="40"/>
      <c r="O2086" s="40"/>
      <c r="P2086" s="40"/>
      <c r="Q2086" s="40"/>
      <c r="R2086" s="40"/>
      <c r="S2086" s="40"/>
      <c r="T2086" s="40"/>
      <c r="U2086" s="40"/>
      <c r="V2086" s="40"/>
      <c r="W2086" s="40"/>
      <c r="X2086" s="40"/>
      <c r="Y2086" s="40"/>
      <c r="Z2086" s="40"/>
    </row>
    <row r="2087">
      <c r="A2087" s="65"/>
      <c r="B2087" s="66"/>
      <c r="C2087" s="68"/>
      <c r="D2087" s="68"/>
      <c r="E2087" s="40"/>
      <c r="F2087" s="40"/>
      <c r="G2087" s="40"/>
      <c r="H2087" s="40"/>
      <c r="I2087" s="40"/>
      <c r="J2087" s="40"/>
      <c r="K2087" s="40"/>
      <c r="L2087" s="40"/>
      <c r="M2087" s="40"/>
      <c r="N2087" s="40"/>
      <c r="O2087" s="40"/>
      <c r="P2087" s="40"/>
      <c r="Q2087" s="40"/>
      <c r="R2087" s="40"/>
      <c r="S2087" s="40"/>
      <c r="T2087" s="40"/>
      <c r="U2087" s="40"/>
      <c r="V2087" s="40"/>
      <c r="W2087" s="40"/>
      <c r="X2087" s="40"/>
      <c r="Y2087" s="40"/>
      <c r="Z2087" s="40"/>
    </row>
    <row r="2088">
      <c r="A2088" s="65"/>
      <c r="B2088" s="66"/>
      <c r="C2088" s="68"/>
      <c r="D2088" s="68"/>
      <c r="E2088" s="40"/>
      <c r="F2088" s="40"/>
      <c r="G2088" s="40"/>
      <c r="H2088" s="40"/>
      <c r="I2088" s="40"/>
      <c r="J2088" s="40"/>
      <c r="K2088" s="40"/>
      <c r="L2088" s="40"/>
      <c r="M2088" s="40"/>
      <c r="N2088" s="40"/>
      <c r="O2088" s="40"/>
      <c r="P2088" s="40"/>
      <c r="Q2088" s="40"/>
      <c r="R2088" s="40"/>
      <c r="S2088" s="40"/>
      <c r="T2088" s="40"/>
      <c r="U2088" s="40"/>
      <c r="V2088" s="40"/>
      <c r="W2088" s="40"/>
      <c r="X2088" s="40"/>
      <c r="Y2088" s="40"/>
      <c r="Z2088" s="40"/>
    </row>
    <row r="2089">
      <c r="A2089" s="65"/>
      <c r="B2089" s="66"/>
      <c r="C2089" s="68"/>
      <c r="D2089" s="68"/>
      <c r="E2089" s="40"/>
      <c r="F2089" s="40"/>
      <c r="G2089" s="40"/>
      <c r="H2089" s="40"/>
      <c r="I2089" s="40"/>
      <c r="J2089" s="40"/>
      <c r="K2089" s="40"/>
      <c r="L2089" s="40"/>
      <c r="M2089" s="40"/>
      <c r="N2089" s="40"/>
      <c r="O2089" s="40"/>
      <c r="P2089" s="40"/>
      <c r="Q2089" s="40"/>
      <c r="R2089" s="40"/>
      <c r="S2089" s="40"/>
      <c r="T2089" s="40"/>
      <c r="U2089" s="40"/>
      <c r="V2089" s="40"/>
      <c r="W2089" s="40"/>
      <c r="X2089" s="40"/>
      <c r="Y2089" s="40"/>
      <c r="Z2089" s="40"/>
    </row>
    <row r="2090">
      <c r="A2090" s="65"/>
      <c r="B2090" s="66"/>
      <c r="C2090" s="68"/>
      <c r="D2090" s="68"/>
      <c r="E2090" s="40"/>
      <c r="F2090" s="40"/>
      <c r="G2090" s="40"/>
      <c r="H2090" s="40"/>
      <c r="I2090" s="40"/>
      <c r="J2090" s="40"/>
      <c r="K2090" s="40"/>
      <c r="L2090" s="40"/>
      <c r="M2090" s="40"/>
      <c r="N2090" s="40"/>
      <c r="O2090" s="40"/>
      <c r="P2090" s="40"/>
      <c r="Q2090" s="40"/>
      <c r="R2090" s="40"/>
      <c r="S2090" s="40"/>
      <c r="T2090" s="40"/>
      <c r="U2090" s="40"/>
      <c r="V2090" s="40"/>
      <c r="W2090" s="40"/>
      <c r="X2090" s="40"/>
      <c r="Y2090" s="40"/>
      <c r="Z2090" s="40"/>
    </row>
    <row r="2091">
      <c r="A2091" s="65"/>
      <c r="B2091" s="66"/>
      <c r="C2091" s="68"/>
      <c r="D2091" s="68"/>
      <c r="E2091" s="40"/>
      <c r="F2091" s="40"/>
      <c r="G2091" s="40"/>
      <c r="H2091" s="40"/>
      <c r="I2091" s="40"/>
      <c r="J2091" s="40"/>
      <c r="K2091" s="40"/>
      <c r="L2091" s="40"/>
      <c r="M2091" s="40"/>
      <c r="N2091" s="40"/>
      <c r="O2091" s="40"/>
      <c r="P2091" s="40"/>
      <c r="Q2091" s="40"/>
      <c r="R2091" s="40"/>
      <c r="S2091" s="40"/>
      <c r="T2091" s="40"/>
      <c r="U2091" s="40"/>
      <c r="V2091" s="40"/>
      <c r="W2091" s="40"/>
      <c r="X2091" s="40"/>
      <c r="Y2091" s="40"/>
      <c r="Z2091" s="40"/>
    </row>
    <row r="2092">
      <c r="A2092" s="65"/>
      <c r="B2092" s="66"/>
      <c r="C2092" s="68"/>
      <c r="D2092" s="68"/>
      <c r="E2092" s="40"/>
      <c r="F2092" s="40"/>
      <c r="G2092" s="40"/>
      <c r="H2092" s="40"/>
      <c r="I2092" s="40"/>
      <c r="J2092" s="40"/>
      <c r="K2092" s="40"/>
      <c r="L2092" s="40"/>
      <c r="M2092" s="40"/>
      <c r="N2092" s="40"/>
      <c r="O2092" s="40"/>
      <c r="P2092" s="40"/>
      <c r="Q2092" s="40"/>
      <c r="R2092" s="40"/>
      <c r="S2092" s="40"/>
      <c r="T2092" s="40"/>
      <c r="U2092" s="40"/>
      <c r="V2092" s="40"/>
      <c r="W2092" s="40"/>
      <c r="X2092" s="40"/>
      <c r="Y2092" s="40"/>
      <c r="Z2092" s="40"/>
    </row>
    <row r="2093">
      <c r="A2093" s="65"/>
      <c r="B2093" s="66"/>
      <c r="C2093" s="68"/>
      <c r="D2093" s="68"/>
      <c r="E2093" s="40"/>
      <c r="F2093" s="40"/>
      <c r="G2093" s="40"/>
      <c r="H2093" s="40"/>
      <c r="I2093" s="40"/>
      <c r="J2093" s="40"/>
      <c r="K2093" s="40"/>
      <c r="L2093" s="40"/>
      <c r="M2093" s="40"/>
      <c r="N2093" s="40"/>
      <c r="O2093" s="40"/>
      <c r="P2093" s="40"/>
      <c r="Q2093" s="40"/>
      <c r="R2093" s="40"/>
      <c r="S2093" s="40"/>
      <c r="T2093" s="40"/>
      <c r="U2093" s="40"/>
      <c r="V2093" s="40"/>
      <c r="W2093" s="40"/>
      <c r="X2093" s="40"/>
      <c r="Y2093" s="40"/>
      <c r="Z2093" s="40"/>
    </row>
    <row r="2094">
      <c r="A2094" s="65"/>
      <c r="B2094" s="66"/>
      <c r="C2094" s="68"/>
      <c r="D2094" s="68"/>
      <c r="E2094" s="40"/>
      <c r="F2094" s="40"/>
      <c r="G2094" s="40"/>
      <c r="H2094" s="40"/>
      <c r="I2094" s="40"/>
      <c r="J2094" s="40"/>
      <c r="K2094" s="40"/>
      <c r="L2094" s="40"/>
      <c r="M2094" s="40"/>
      <c r="N2094" s="40"/>
      <c r="O2094" s="40"/>
      <c r="P2094" s="40"/>
      <c r="Q2094" s="40"/>
      <c r="R2094" s="40"/>
      <c r="S2094" s="40"/>
      <c r="T2094" s="40"/>
      <c r="U2094" s="40"/>
      <c r="V2094" s="40"/>
      <c r="W2094" s="40"/>
      <c r="X2094" s="40"/>
      <c r="Y2094" s="40"/>
      <c r="Z2094" s="40"/>
    </row>
    <row r="2095">
      <c r="A2095" s="65"/>
      <c r="B2095" s="66"/>
      <c r="C2095" s="68"/>
      <c r="D2095" s="68"/>
      <c r="E2095" s="40"/>
      <c r="F2095" s="40"/>
      <c r="G2095" s="40"/>
      <c r="H2095" s="40"/>
      <c r="I2095" s="40"/>
      <c r="J2095" s="40"/>
      <c r="K2095" s="40"/>
      <c r="L2095" s="40"/>
      <c r="M2095" s="40"/>
      <c r="N2095" s="40"/>
      <c r="O2095" s="40"/>
      <c r="P2095" s="40"/>
      <c r="Q2095" s="40"/>
      <c r="R2095" s="40"/>
      <c r="S2095" s="40"/>
      <c r="T2095" s="40"/>
      <c r="U2095" s="40"/>
      <c r="V2095" s="40"/>
      <c r="W2095" s="40"/>
      <c r="X2095" s="40"/>
      <c r="Y2095" s="40"/>
      <c r="Z2095" s="40"/>
    </row>
    <row r="2096">
      <c r="A2096" s="65"/>
      <c r="B2096" s="66"/>
      <c r="C2096" s="68"/>
      <c r="D2096" s="68"/>
      <c r="E2096" s="40"/>
      <c r="F2096" s="40"/>
      <c r="G2096" s="40"/>
      <c r="H2096" s="40"/>
      <c r="I2096" s="40"/>
      <c r="J2096" s="40"/>
      <c r="K2096" s="40"/>
      <c r="L2096" s="40"/>
      <c r="M2096" s="40"/>
      <c r="N2096" s="40"/>
      <c r="O2096" s="40"/>
      <c r="P2096" s="40"/>
      <c r="Q2096" s="40"/>
      <c r="R2096" s="40"/>
      <c r="S2096" s="40"/>
      <c r="T2096" s="40"/>
      <c r="U2096" s="40"/>
      <c r="V2096" s="40"/>
      <c r="W2096" s="40"/>
      <c r="X2096" s="40"/>
      <c r="Y2096" s="40"/>
      <c r="Z2096" s="40"/>
    </row>
    <row r="2097">
      <c r="A2097" s="65"/>
      <c r="B2097" s="66"/>
      <c r="C2097" s="68"/>
      <c r="D2097" s="68"/>
      <c r="E2097" s="40"/>
      <c r="F2097" s="40"/>
      <c r="G2097" s="40"/>
      <c r="H2097" s="40"/>
      <c r="I2097" s="40"/>
      <c r="J2097" s="40"/>
      <c r="K2097" s="40"/>
      <c r="L2097" s="40"/>
      <c r="M2097" s="40"/>
      <c r="N2097" s="40"/>
      <c r="O2097" s="40"/>
      <c r="P2097" s="40"/>
      <c r="Q2097" s="40"/>
      <c r="R2097" s="40"/>
      <c r="S2097" s="40"/>
      <c r="T2097" s="40"/>
      <c r="U2097" s="40"/>
      <c r="V2097" s="40"/>
      <c r="W2097" s="40"/>
      <c r="X2097" s="40"/>
      <c r="Y2097" s="40"/>
      <c r="Z2097" s="40"/>
    </row>
    <row r="2098">
      <c r="A2098" s="65"/>
      <c r="B2098" s="66"/>
      <c r="C2098" s="68"/>
      <c r="D2098" s="68"/>
      <c r="E2098" s="40"/>
      <c r="F2098" s="40"/>
      <c r="G2098" s="40"/>
      <c r="H2098" s="40"/>
      <c r="I2098" s="40"/>
      <c r="J2098" s="40"/>
      <c r="K2098" s="40"/>
      <c r="L2098" s="40"/>
      <c r="M2098" s="40"/>
      <c r="N2098" s="40"/>
      <c r="O2098" s="40"/>
      <c r="P2098" s="40"/>
      <c r="Q2098" s="40"/>
      <c r="R2098" s="40"/>
      <c r="S2098" s="40"/>
      <c r="T2098" s="40"/>
      <c r="U2098" s="40"/>
      <c r="V2098" s="40"/>
      <c r="W2098" s="40"/>
      <c r="X2098" s="40"/>
      <c r="Y2098" s="40"/>
      <c r="Z2098" s="40"/>
    </row>
    <row r="2099">
      <c r="A2099" s="65"/>
      <c r="B2099" s="66"/>
      <c r="C2099" s="68"/>
      <c r="D2099" s="68"/>
      <c r="E2099" s="40"/>
      <c r="F2099" s="40"/>
      <c r="G2099" s="40"/>
      <c r="H2099" s="40"/>
      <c r="I2099" s="40"/>
      <c r="J2099" s="40"/>
      <c r="K2099" s="40"/>
      <c r="L2099" s="40"/>
      <c r="M2099" s="40"/>
      <c r="N2099" s="40"/>
      <c r="O2099" s="40"/>
      <c r="P2099" s="40"/>
      <c r="Q2099" s="40"/>
      <c r="R2099" s="40"/>
      <c r="S2099" s="40"/>
      <c r="T2099" s="40"/>
      <c r="U2099" s="40"/>
      <c r="V2099" s="40"/>
      <c r="W2099" s="40"/>
      <c r="X2099" s="40"/>
      <c r="Y2099" s="40"/>
      <c r="Z2099" s="40"/>
    </row>
    <row r="2100">
      <c r="A2100" s="65"/>
      <c r="B2100" s="66"/>
      <c r="C2100" s="68"/>
      <c r="D2100" s="68"/>
      <c r="E2100" s="40"/>
      <c r="F2100" s="40"/>
      <c r="G2100" s="40"/>
      <c r="H2100" s="40"/>
      <c r="I2100" s="40"/>
      <c r="J2100" s="40"/>
      <c r="K2100" s="40"/>
      <c r="L2100" s="40"/>
      <c r="M2100" s="40"/>
      <c r="N2100" s="40"/>
      <c r="O2100" s="40"/>
      <c r="P2100" s="40"/>
      <c r="Q2100" s="40"/>
      <c r="R2100" s="40"/>
      <c r="S2100" s="40"/>
      <c r="T2100" s="40"/>
      <c r="U2100" s="40"/>
      <c r="V2100" s="40"/>
      <c r="W2100" s="40"/>
      <c r="X2100" s="40"/>
      <c r="Y2100" s="40"/>
      <c r="Z2100" s="40"/>
    </row>
    <row r="2101">
      <c r="A2101" s="65"/>
      <c r="B2101" s="66"/>
      <c r="C2101" s="68"/>
      <c r="D2101" s="68"/>
      <c r="E2101" s="40"/>
      <c r="F2101" s="40"/>
      <c r="G2101" s="40"/>
      <c r="H2101" s="40"/>
      <c r="I2101" s="40"/>
      <c r="J2101" s="40"/>
      <c r="K2101" s="40"/>
      <c r="L2101" s="40"/>
      <c r="M2101" s="40"/>
      <c r="N2101" s="40"/>
      <c r="O2101" s="40"/>
      <c r="P2101" s="40"/>
      <c r="Q2101" s="40"/>
      <c r="R2101" s="40"/>
      <c r="S2101" s="40"/>
      <c r="T2101" s="40"/>
      <c r="U2101" s="40"/>
      <c r="V2101" s="40"/>
      <c r="W2101" s="40"/>
      <c r="X2101" s="40"/>
      <c r="Y2101" s="40"/>
      <c r="Z2101" s="40"/>
    </row>
    <row r="2102">
      <c r="A2102" s="65"/>
      <c r="B2102" s="66"/>
      <c r="C2102" s="68"/>
      <c r="D2102" s="68"/>
      <c r="E2102" s="40"/>
      <c r="F2102" s="40"/>
      <c r="G2102" s="40"/>
      <c r="H2102" s="40"/>
      <c r="I2102" s="40"/>
      <c r="J2102" s="40"/>
      <c r="K2102" s="40"/>
      <c r="L2102" s="40"/>
      <c r="M2102" s="40"/>
      <c r="N2102" s="40"/>
      <c r="O2102" s="40"/>
      <c r="P2102" s="40"/>
      <c r="Q2102" s="40"/>
      <c r="R2102" s="40"/>
      <c r="S2102" s="40"/>
      <c r="T2102" s="40"/>
      <c r="U2102" s="40"/>
      <c r="V2102" s="40"/>
      <c r="W2102" s="40"/>
      <c r="X2102" s="40"/>
      <c r="Y2102" s="40"/>
      <c r="Z2102" s="40"/>
    </row>
    <row r="2103">
      <c r="A2103" s="65"/>
      <c r="B2103" s="66"/>
      <c r="C2103" s="68"/>
      <c r="D2103" s="68"/>
      <c r="E2103" s="40"/>
      <c r="F2103" s="40"/>
      <c r="G2103" s="40"/>
      <c r="H2103" s="40"/>
      <c r="I2103" s="40"/>
      <c r="J2103" s="40"/>
      <c r="K2103" s="40"/>
      <c r="L2103" s="40"/>
      <c r="M2103" s="40"/>
      <c r="N2103" s="40"/>
      <c r="O2103" s="40"/>
      <c r="P2103" s="40"/>
      <c r="Q2103" s="40"/>
      <c r="R2103" s="40"/>
      <c r="S2103" s="40"/>
      <c r="T2103" s="40"/>
      <c r="U2103" s="40"/>
      <c r="V2103" s="40"/>
      <c r="W2103" s="40"/>
      <c r="X2103" s="40"/>
      <c r="Y2103" s="40"/>
      <c r="Z2103" s="40"/>
    </row>
    <row r="2104">
      <c r="A2104" s="65"/>
      <c r="B2104" s="66"/>
      <c r="C2104" s="68"/>
      <c r="D2104" s="68"/>
      <c r="E2104" s="40"/>
      <c r="F2104" s="40"/>
      <c r="G2104" s="40"/>
      <c r="H2104" s="40"/>
      <c r="I2104" s="40"/>
      <c r="J2104" s="40"/>
      <c r="K2104" s="40"/>
      <c r="L2104" s="40"/>
      <c r="M2104" s="40"/>
      <c r="N2104" s="40"/>
      <c r="O2104" s="40"/>
      <c r="P2104" s="40"/>
      <c r="Q2104" s="40"/>
      <c r="R2104" s="40"/>
      <c r="S2104" s="40"/>
      <c r="T2104" s="40"/>
      <c r="U2104" s="40"/>
      <c r="V2104" s="40"/>
      <c r="W2104" s="40"/>
      <c r="X2104" s="40"/>
      <c r="Y2104" s="40"/>
      <c r="Z2104" s="40"/>
    </row>
    <row r="2105">
      <c r="A2105" s="65"/>
      <c r="B2105" s="66"/>
      <c r="C2105" s="68"/>
      <c r="D2105" s="68"/>
      <c r="E2105" s="40"/>
      <c r="F2105" s="40"/>
      <c r="G2105" s="40"/>
      <c r="H2105" s="40"/>
      <c r="I2105" s="40"/>
      <c r="J2105" s="40"/>
      <c r="K2105" s="40"/>
      <c r="L2105" s="40"/>
      <c r="M2105" s="40"/>
      <c r="N2105" s="40"/>
      <c r="O2105" s="40"/>
      <c r="P2105" s="40"/>
      <c r="Q2105" s="40"/>
      <c r="R2105" s="40"/>
      <c r="S2105" s="40"/>
      <c r="T2105" s="40"/>
      <c r="U2105" s="40"/>
      <c r="V2105" s="40"/>
      <c r="W2105" s="40"/>
      <c r="X2105" s="40"/>
      <c r="Y2105" s="40"/>
      <c r="Z2105" s="40"/>
    </row>
    <row r="2106">
      <c r="A2106" s="65"/>
      <c r="B2106" s="66"/>
      <c r="C2106" s="68"/>
      <c r="D2106" s="68"/>
      <c r="E2106" s="40"/>
      <c r="F2106" s="40"/>
      <c r="G2106" s="40"/>
      <c r="H2106" s="40"/>
      <c r="I2106" s="40"/>
      <c r="J2106" s="40"/>
      <c r="K2106" s="40"/>
      <c r="L2106" s="40"/>
      <c r="M2106" s="40"/>
      <c r="N2106" s="40"/>
      <c r="O2106" s="40"/>
      <c r="P2106" s="40"/>
      <c r="Q2106" s="40"/>
      <c r="R2106" s="40"/>
      <c r="S2106" s="40"/>
      <c r="T2106" s="40"/>
      <c r="U2106" s="40"/>
      <c r="V2106" s="40"/>
      <c r="W2106" s="40"/>
      <c r="X2106" s="40"/>
      <c r="Y2106" s="40"/>
      <c r="Z2106" s="40"/>
    </row>
    <row r="2107">
      <c r="A2107" s="65"/>
      <c r="B2107" s="66"/>
      <c r="C2107" s="68"/>
      <c r="D2107" s="68"/>
      <c r="E2107" s="40"/>
      <c r="F2107" s="40"/>
      <c r="G2107" s="40"/>
      <c r="H2107" s="40"/>
      <c r="I2107" s="40"/>
      <c r="J2107" s="40"/>
      <c r="K2107" s="40"/>
      <c r="L2107" s="40"/>
      <c r="M2107" s="40"/>
      <c r="N2107" s="40"/>
      <c r="O2107" s="40"/>
      <c r="P2107" s="40"/>
      <c r="Q2107" s="40"/>
      <c r="R2107" s="40"/>
      <c r="S2107" s="40"/>
      <c r="T2107" s="40"/>
      <c r="U2107" s="40"/>
      <c r="V2107" s="40"/>
      <c r="W2107" s="40"/>
      <c r="X2107" s="40"/>
      <c r="Y2107" s="40"/>
      <c r="Z2107" s="40"/>
    </row>
    <row r="2108">
      <c r="A2108" s="65"/>
      <c r="B2108" s="66"/>
      <c r="C2108" s="68"/>
      <c r="D2108" s="68"/>
      <c r="E2108" s="40"/>
      <c r="F2108" s="40"/>
      <c r="G2108" s="40"/>
      <c r="H2108" s="40"/>
      <c r="I2108" s="40"/>
      <c r="J2108" s="40"/>
      <c r="K2108" s="40"/>
      <c r="L2108" s="40"/>
      <c r="M2108" s="40"/>
      <c r="N2108" s="40"/>
      <c r="O2108" s="40"/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0"/>
    </row>
    <row r="2109">
      <c r="A2109" s="65"/>
      <c r="B2109" s="66"/>
      <c r="C2109" s="68"/>
      <c r="D2109" s="68"/>
      <c r="E2109" s="40"/>
      <c r="F2109" s="40"/>
      <c r="G2109" s="40"/>
      <c r="H2109" s="40"/>
      <c r="I2109" s="40"/>
      <c r="J2109" s="40"/>
      <c r="K2109" s="40"/>
      <c r="L2109" s="40"/>
      <c r="M2109" s="40"/>
      <c r="N2109" s="40"/>
      <c r="O2109" s="40"/>
      <c r="P2109" s="40"/>
      <c r="Q2109" s="40"/>
      <c r="R2109" s="40"/>
      <c r="S2109" s="40"/>
      <c r="T2109" s="40"/>
      <c r="U2109" s="40"/>
      <c r="V2109" s="40"/>
      <c r="W2109" s="40"/>
      <c r="X2109" s="40"/>
      <c r="Y2109" s="40"/>
      <c r="Z2109" s="40"/>
    </row>
    <row r="2110">
      <c r="A2110" s="65"/>
      <c r="B2110" s="66"/>
      <c r="C2110" s="68"/>
      <c r="D2110" s="68"/>
      <c r="E2110" s="40"/>
      <c r="F2110" s="40"/>
      <c r="G2110" s="40"/>
      <c r="H2110" s="40"/>
      <c r="I2110" s="40"/>
      <c r="J2110" s="40"/>
      <c r="K2110" s="40"/>
      <c r="L2110" s="40"/>
      <c r="M2110" s="40"/>
      <c r="N2110" s="40"/>
      <c r="O2110" s="40"/>
      <c r="P2110" s="40"/>
      <c r="Q2110" s="40"/>
      <c r="R2110" s="40"/>
      <c r="S2110" s="40"/>
      <c r="T2110" s="40"/>
      <c r="U2110" s="40"/>
      <c r="V2110" s="40"/>
      <c r="W2110" s="40"/>
      <c r="X2110" s="40"/>
      <c r="Y2110" s="40"/>
      <c r="Z2110" s="40"/>
    </row>
    <row r="2111">
      <c r="A2111" s="65"/>
      <c r="B2111" s="66"/>
      <c r="C2111" s="68"/>
      <c r="D2111" s="68"/>
      <c r="E2111" s="40"/>
      <c r="F2111" s="40"/>
      <c r="G2111" s="40"/>
      <c r="H2111" s="40"/>
      <c r="I2111" s="40"/>
      <c r="J2111" s="40"/>
      <c r="K2111" s="40"/>
      <c r="L2111" s="40"/>
      <c r="M2111" s="40"/>
      <c r="N2111" s="40"/>
      <c r="O2111" s="40"/>
      <c r="P2111" s="40"/>
      <c r="Q2111" s="40"/>
      <c r="R2111" s="40"/>
      <c r="S2111" s="40"/>
      <c r="T2111" s="40"/>
      <c r="U2111" s="40"/>
      <c r="V2111" s="40"/>
      <c r="W2111" s="40"/>
      <c r="X2111" s="40"/>
      <c r="Y2111" s="40"/>
      <c r="Z2111" s="40"/>
    </row>
    <row r="2112">
      <c r="A2112" s="65"/>
      <c r="B2112" s="66"/>
      <c r="C2112" s="68"/>
      <c r="D2112" s="68"/>
      <c r="E2112" s="40"/>
      <c r="F2112" s="40"/>
      <c r="G2112" s="40"/>
      <c r="H2112" s="40"/>
      <c r="I2112" s="40"/>
      <c r="J2112" s="40"/>
      <c r="K2112" s="40"/>
      <c r="L2112" s="40"/>
      <c r="M2112" s="40"/>
      <c r="N2112" s="40"/>
      <c r="O2112" s="40"/>
      <c r="P2112" s="40"/>
      <c r="Q2112" s="40"/>
      <c r="R2112" s="40"/>
      <c r="S2112" s="40"/>
      <c r="T2112" s="40"/>
      <c r="U2112" s="40"/>
      <c r="V2112" s="40"/>
      <c r="W2112" s="40"/>
      <c r="X2112" s="40"/>
      <c r="Y2112" s="40"/>
      <c r="Z2112" s="40"/>
    </row>
    <row r="2113">
      <c r="A2113" s="65"/>
      <c r="B2113" s="66"/>
      <c r="C2113" s="68"/>
      <c r="D2113" s="68"/>
      <c r="E2113" s="40"/>
      <c r="F2113" s="40"/>
      <c r="G2113" s="40"/>
      <c r="H2113" s="40"/>
      <c r="I2113" s="40"/>
      <c r="J2113" s="40"/>
      <c r="K2113" s="40"/>
      <c r="L2113" s="40"/>
      <c r="M2113" s="40"/>
      <c r="N2113" s="40"/>
      <c r="O2113" s="40"/>
      <c r="P2113" s="40"/>
      <c r="Q2113" s="40"/>
      <c r="R2113" s="40"/>
      <c r="S2113" s="40"/>
      <c r="T2113" s="40"/>
      <c r="U2113" s="40"/>
      <c r="V2113" s="40"/>
      <c r="W2113" s="40"/>
      <c r="X2113" s="40"/>
      <c r="Y2113" s="40"/>
      <c r="Z2113" s="40"/>
    </row>
    <row r="2114">
      <c r="A2114" s="65"/>
      <c r="B2114" s="66"/>
      <c r="C2114" s="68"/>
      <c r="D2114" s="68"/>
      <c r="E2114" s="40"/>
      <c r="F2114" s="40"/>
      <c r="G2114" s="40"/>
      <c r="H2114" s="40"/>
      <c r="I2114" s="40"/>
      <c r="J2114" s="40"/>
      <c r="K2114" s="40"/>
      <c r="L2114" s="40"/>
      <c r="M2114" s="40"/>
      <c r="N2114" s="40"/>
      <c r="O2114" s="40"/>
      <c r="P2114" s="40"/>
      <c r="Q2114" s="40"/>
      <c r="R2114" s="40"/>
      <c r="S2114" s="40"/>
      <c r="T2114" s="40"/>
      <c r="U2114" s="40"/>
      <c r="V2114" s="40"/>
      <c r="W2114" s="40"/>
      <c r="X2114" s="40"/>
      <c r="Y2114" s="40"/>
      <c r="Z2114" s="40"/>
    </row>
    <row r="2115">
      <c r="A2115" s="65"/>
      <c r="B2115" s="66"/>
      <c r="C2115" s="68"/>
      <c r="D2115" s="68"/>
      <c r="E2115" s="40"/>
      <c r="F2115" s="40"/>
      <c r="G2115" s="40"/>
      <c r="H2115" s="40"/>
      <c r="I2115" s="40"/>
      <c r="J2115" s="40"/>
      <c r="K2115" s="40"/>
      <c r="L2115" s="40"/>
      <c r="M2115" s="40"/>
      <c r="N2115" s="40"/>
      <c r="O2115" s="40"/>
      <c r="P2115" s="40"/>
      <c r="Q2115" s="40"/>
      <c r="R2115" s="40"/>
      <c r="S2115" s="40"/>
      <c r="T2115" s="40"/>
      <c r="U2115" s="40"/>
      <c r="V2115" s="40"/>
      <c r="W2115" s="40"/>
      <c r="X2115" s="40"/>
      <c r="Y2115" s="40"/>
      <c r="Z2115" s="40"/>
    </row>
    <row r="2116">
      <c r="A2116" s="65"/>
      <c r="B2116" s="66"/>
      <c r="C2116" s="68"/>
      <c r="D2116" s="68"/>
      <c r="E2116" s="40"/>
      <c r="F2116" s="40"/>
      <c r="G2116" s="40"/>
      <c r="H2116" s="40"/>
      <c r="I2116" s="40"/>
      <c r="J2116" s="40"/>
      <c r="K2116" s="40"/>
      <c r="L2116" s="40"/>
      <c r="M2116" s="40"/>
      <c r="N2116" s="40"/>
      <c r="O2116" s="40"/>
      <c r="P2116" s="40"/>
      <c r="Q2116" s="40"/>
      <c r="R2116" s="40"/>
      <c r="S2116" s="40"/>
      <c r="T2116" s="40"/>
      <c r="U2116" s="40"/>
      <c r="V2116" s="40"/>
      <c r="W2116" s="40"/>
      <c r="X2116" s="40"/>
      <c r="Y2116" s="40"/>
      <c r="Z2116" s="40"/>
    </row>
    <row r="2117">
      <c r="A2117" s="65"/>
      <c r="B2117" s="66"/>
      <c r="C2117" s="68"/>
      <c r="D2117" s="68"/>
      <c r="E2117" s="40"/>
      <c r="F2117" s="40"/>
      <c r="G2117" s="40"/>
      <c r="H2117" s="40"/>
      <c r="I2117" s="40"/>
      <c r="J2117" s="40"/>
      <c r="K2117" s="40"/>
      <c r="L2117" s="40"/>
      <c r="M2117" s="40"/>
      <c r="N2117" s="40"/>
      <c r="O2117" s="40"/>
      <c r="P2117" s="40"/>
      <c r="Q2117" s="40"/>
      <c r="R2117" s="40"/>
      <c r="S2117" s="40"/>
      <c r="T2117" s="40"/>
      <c r="U2117" s="40"/>
      <c r="V2117" s="40"/>
      <c r="W2117" s="40"/>
      <c r="X2117" s="40"/>
      <c r="Y2117" s="40"/>
      <c r="Z2117" s="40"/>
    </row>
    <row r="2118">
      <c r="A2118" s="65"/>
      <c r="B2118" s="66"/>
      <c r="C2118" s="68"/>
      <c r="D2118" s="68"/>
      <c r="E2118" s="40"/>
      <c r="F2118" s="40"/>
      <c r="G2118" s="40"/>
      <c r="H2118" s="40"/>
      <c r="I2118" s="40"/>
      <c r="J2118" s="40"/>
      <c r="K2118" s="40"/>
      <c r="L2118" s="40"/>
      <c r="M2118" s="40"/>
      <c r="N2118" s="40"/>
      <c r="O2118" s="40"/>
      <c r="P2118" s="40"/>
      <c r="Q2118" s="40"/>
      <c r="R2118" s="40"/>
      <c r="S2118" s="40"/>
      <c r="T2118" s="40"/>
      <c r="U2118" s="40"/>
      <c r="V2118" s="40"/>
      <c r="W2118" s="40"/>
      <c r="X2118" s="40"/>
      <c r="Y2118" s="40"/>
      <c r="Z2118" s="40"/>
    </row>
    <row r="2119">
      <c r="A2119" s="65"/>
      <c r="B2119" s="66"/>
      <c r="C2119" s="68"/>
      <c r="D2119" s="68"/>
      <c r="E2119" s="40"/>
      <c r="F2119" s="40"/>
      <c r="G2119" s="40"/>
      <c r="H2119" s="40"/>
      <c r="I2119" s="40"/>
      <c r="J2119" s="40"/>
      <c r="K2119" s="40"/>
      <c r="L2119" s="40"/>
      <c r="M2119" s="40"/>
      <c r="N2119" s="40"/>
      <c r="O2119" s="40"/>
      <c r="P2119" s="40"/>
      <c r="Q2119" s="40"/>
      <c r="R2119" s="40"/>
      <c r="S2119" s="40"/>
      <c r="T2119" s="40"/>
      <c r="U2119" s="40"/>
      <c r="V2119" s="40"/>
      <c r="W2119" s="40"/>
      <c r="X2119" s="40"/>
      <c r="Y2119" s="40"/>
      <c r="Z2119" s="40"/>
    </row>
    <row r="2120">
      <c r="A2120" s="65"/>
      <c r="B2120" s="66"/>
      <c r="C2120" s="68"/>
      <c r="D2120" s="68"/>
      <c r="E2120" s="40"/>
      <c r="F2120" s="40"/>
      <c r="G2120" s="40"/>
      <c r="H2120" s="40"/>
      <c r="I2120" s="40"/>
      <c r="J2120" s="40"/>
      <c r="K2120" s="40"/>
      <c r="L2120" s="40"/>
      <c r="M2120" s="40"/>
      <c r="N2120" s="40"/>
      <c r="O2120" s="40"/>
      <c r="P2120" s="40"/>
      <c r="Q2120" s="40"/>
      <c r="R2120" s="40"/>
      <c r="S2120" s="40"/>
      <c r="T2120" s="40"/>
      <c r="U2120" s="40"/>
      <c r="V2120" s="40"/>
      <c r="W2120" s="40"/>
      <c r="X2120" s="40"/>
      <c r="Y2120" s="40"/>
      <c r="Z2120" s="40"/>
    </row>
    <row r="2121">
      <c r="A2121" s="65"/>
      <c r="B2121" s="66"/>
      <c r="C2121" s="68"/>
      <c r="D2121" s="68"/>
      <c r="E2121" s="40"/>
      <c r="F2121" s="40"/>
      <c r="G2121" s="40"/>
      <c r="H2121" s="40"/>
      <c r="I2121" s="40"/>
      <c r="J2121" s="40"/>
      <c r="K2121" s="40"/>
      <c r="L2121" s="40"/>
      <c r="M2121" s="40"/>
      <c r="N2121" s="40"/>
      <c r="O2121" s="40"/>
      <c r="P2121" s="40"/>
      <c r="Q2121" s="40"/>
      <c r="R2121" s="40"/>
      <c r="S2121" s="40"/>
      <c r="T2121" s="40"/>
      <c r="U2121" s="40"/>
      <c r="V2121" s="40"/>
      <c r="W2121" s="40"/>
      <c r="X2121" s="40"/>
      <c r="Y2121" s="40"/>
      <c r="Z2121" s="40"/>
    </row>
    <row r="2122">
      <c r="A2122" s="65"/>
      <c r="B2122" s="66"/>
      <c r="C2122" s="68"/>
      <c r="D2122" s="68"/>
      <c r="E2122" s="40"/>
      <c r="F2122" s="40"/>
      <c r="G2122" s="40"/>
      <c r="H2122" s="40"/>
      <c r="I2122" s="40"/>
      <c r="J2122" s="40"/>
      <c r="K2122" s="40"/>
      <c r="L2122" s="40"/>
      <c r="M2122" s="40"/>
      <c r="N2122" s="40"/>
      <c r="O2122" s="40"/>
      <c r="P2122" s="40"/>
      <c r="Q2122" s="40"/>
      <c r="R2122" s="40"/>
      <c r="S2122" s="40"/>
      <c r="T2122" s="40"/>
      <c r="U2122" s="40"/>
      <c r="V2122" s="40"/>
      <c r="W2122" s="40"/>
      <c r="X2122" s="40"/>
      <c r="Y2122" s="40"/>
      <c r="Z2122" s="40"/>
    </row>
    <row r="2123">
      <c r="A2123" s="65"/>
      <c r="B2123" s="66"/>
      <c r="C2123" s="68"/>
      <c r="D2123" s="68"/>
      <c r="E2123" s="40"/>
      <c r="F2123" s="40"/>
      <c r="G2123" s="40"/>
      <c r="H2123" s="40"/>
      <c r="I2123" s="40"/>
      <c r="J2123" s="40"/>
      <c r="K2123" s="40"/>
      <c r="L2123" s="40"/>
      <c r="M2123" s="40"/>
      <c r="N2123" s="40"/>
      <c r="O2123" s="40"/>
      <c r="P2123" s="40"/>
      <c r="Q2123" s="40"/>
      <c r="R2123" s="40"/>
      <c r="S2123" s="40"/>
      <c r="T2123" s="40"/>
      <c r="U2123" s="40"/>
      <c r="V2123" s="40"/>
      <c r="W2123" s="40"/>
      <c r="X2123" s="40"/>
      <c r="Y2123" s="40"/>
      <c r="Z2123" s="40"/>
    </row>
    <row r="2124">
      <c r="A2124" s="65"/>
      <c r="B2124" s="66"/>
      <c r="C2124" s="68"/>
      <c r="D2124" s="68"/>
      <c r="E2124" s="40"/>
      <c r="F2124" s="40"/>
      <c r="G2124" s="40"/>
      <c r="H2124" s="40"/>
      <c r="I2124" s="40"/>
      <c r="J2124" s="40"/>
      <c r="K2124" s="40"/>
      <c r="L2124" s="40"/>
      <c r="M2124" s="40"/>
      <c r="N2124" s="40"/>
      <c r="O2124" s="40"/>
      <c r="P2124" s="40"/>
      <c r="Q2124" s="40"/>
      <c r="R2124" s="40"/>
      <c r="S2124" s="40"/>
      <c r="T2124" s="40"/>
      <c r="U2124" s="40"/>
      <c r="V2124" s="40"/>
      <c r="W2124" s="40"/>
      <c r="X2124" s="40"/>
      <c r="Y2124" s="40"/>
      <c r="Z2124" s="40"/>
    </row>
    <row r="2125">
      <c r="A2125" s="65"/>
      <c r="B2125" s="66"/>
      <c r="C2125" s="68"/>
      <c r="D2125" s="68"/>
      <c r="E2125" s="40"/>
      <c r="F2125" s="40"/>
      <c r="G2125" s="40"/>
      <c r="H2125" s="40"/>
      <c r="I2125" s="40"/>
      <c r="J2125" s="40"/>
      <c r="K2125" s="40"/>
      <c r="L2125" s="40"/>
      <c r="M2125" s="40"/>
      <c r="N2125" s="40"/>
      <c r="O2125" s="40"/>
      <c r="P2125" s="40"/>
      <c r="Q2125" s="40"/>
      <c r="R2125" s="40"/>
      <c r="S2125" s="40"/>
      <c r="T2125" s="40"/>
      <c r="U2125" s="40"/>
      <c r="V2125" s="40"/>
      <c r="W2125" s="40"/>
      <c r="X2125" s="40"/>
      <c r="Y2125" s="40"/>
      <c r="Z2125" s="40"/>
    </row>
    <row r="2126">
      <c r="A2126" s="65"/>
      <c r="B2126" s="66"/>
      <c r="C2126" s="68"/>
      <c r="D2126" s="68"/>
      <c r="E2126" s="40"/>
      <c r="F2126" s="40"/>
      <c r="G2126" s="40"/>
      <c r="H2126" s="40"/>
      <c r="I2126" s="40"/>
      <c r="J2126" s="40"/>
      <c r="K2126" s="40"/>
      <c r="L2126" s="40"/>
      <c r="M2126" s="40"/>
      <c r="N2126" s="40"/>
      <c r="O2126" s="40"/>
      <c r="P2126" s="40"/>
      <c r="Q2126" s="40"/>
      <c r="R2126" s="40"/>
      <c r="S2126" s="40"/>
      <c r="T2126" s="40"/>
      <c r="U2126" s="40"/>
      <c r="V2126" s="40"/>
      <c r="W2126" s="40"/>
      <c r="X2126" s="40"/>
      <c r="Y2126" s="40"/>
      <c r="Z2126" s="40"/>
    </row>
    <row r="2127">
      <c r="A2127" s="65"/>
      <c r="B2127" s="66"/>
      <c r="C2127" s="68"/>
      <c r="D2127" s="68"/>
      <c r="E2127" s="40"/>
      <c r="F2127" s="40"/>
      <c r="G2127" s="40"/>
      <c r="H2127" s="40"/>
      <c r="I2127" s="40"/>
      <c r="J2127" s="40"/>
      <c r="K2127" s="40"/>
      <c r="L2127" s="40"/>
      <c r="M2127" s="40"/>
      <c r="N2127" s="40"/>
      <c r="O2127" s="40"/>
      <c r="P2127" s="40"/>
      <c r="Q2127" s="40"/>
      <c r="R2127" s="40"/>
      <c r="S2127" s="40"/>
      <c r="T2127" s="40"/>
      <c r="U2127" s="40"/>
      <c r="V2127" s="40"/>
      <c r="W2127" s="40"/>
      <c r="X2127" s="40"/>
      <c r="Y2127" s="40"/>
      <c r="Z2127" s="40"/>
    </row>
    <row r="2128">
      <c r="A2128" s="65"/>
      <c r="B2128" s="66"/>
      <c r="C2128" s="68"/>
      <c r="D2128" s="68"/>
      <c r="E2128" s="40"/>
      <c r="F2128" s="40"/>
      <c r="G2128" s="40"/>
      <c r="H2128" s="40"/>
      <c r="I2128" s="40"/>
      <c r="J2128" s="40"/>
      <c r="K2128" s="40"/>
      <c r="L2128" s="40"/>
      <c r="M2128" s="40"/>
      <c r="N2128" s="40"/>
      <c r="O2128" s="40"/>
      <c r="P2128" s="40"/>
      <c r="Q2128" s="40"/>
      <c r="R2128" s="40"/>
      <c r="S2128" s="40"/>
      <c r="T2128" s="40"/>
      <c r="U2128" s="40"/>
      <c r="V2128" s="40"/>
      <c r="W2128" s="40"/>
      <c r="X2128" s="40"/>
      <c r="Y2128" s="40"/>
      <c r="Z2128" s="40"/>
    </row>
    <row r="2129">
      <c r="A2129" s="65"/>
      <c r="B2129" s="66"/>
      <c r="C2129" s="68"/>
      <c r="D2129" s="68"/>
      <c r="E2129" s="40"/>
      <c r="F2129" s="40"/>
      <c r="G2129" s="40"/>
      <c r="H2129" s="40"/>
      <c r="I2129" s="40"/>
      <c r="J2129" s="40"/>
      <c r="K2129" s="40"/>
      <c r="L2129" s="40"/>
      <c r="M2129" s="40"/>
      <c r="N2129" s="40"/>
      <c r="O2129" s="40"/>
      <c r="P2129" s="40"/>
      <c r="Q2129" s="40"/>
      <c r="R2129" s="40"/>
      <c r="S2129" s="40"/>
      <c r="T2129" s="40"/>
      <c r="U2129" s="40"/>
      <c r="V2129" s="40"/>
      <c r="W2129" s="40"/>
      <c r="X2129" s="40"/>
      <c r="Y2129" s="40"/>
      <c r="Z2129" s="40"/>
    </row>
    <row r="2130">
      <c r="A2130" s="65"/>
      <c r="B2130" s="66"/>
      <c r="C2130" s="68"/>
      <c r="D2130" s="68"/>
      <c r="E2130" s="40"/>
      <c r="F2130" s="40"/>
      <c r="G2130" s="40"/>
      <c r="H2130" s="40"/>
      <c r="I2130" s="40"/>
      <c r="J2130" s="40"/>
      <c r="K2130" s="40"/>
      <c r="L2130" s="40"/>
      <c r="M2130" s="40"/>
      <c r="N2130" s="40"/>
      <c r="O2130" s="40"/>
      <c r="P2130" s="40"/>
      <c r="Q2130" s="40"/>
      <c r="R2130" s="40"/>
      <c r="S2130" s="40"/>
      <c r="T2130" s="40"/>
      <c r="U2130" s="40"/>
      <c r="V2130" s="40"/>
      <c r="W2130" s="40"/>
      <c r="X2130" s="40"/>
      <c r="Y2130" s="40"/>
      <c r="Z2130" s="40"/>
    </row>
    <row r="2131">
      <c r="A2131" s="65"/>
      <c r="B2131" s="66"/>
      <c r="C2131" s="68"/>
      <c r="D2131" s="68"/>
      <c r="E2131" s="40"/>
      <c r="F2131" s="40"/>
      <c r="G2131" s="40"/>
      <c r="H2131" s="40"/>
      <c r="I2131" s="40"/>
      <c r="J2131" s="40"/>
      <c r="K2131" s="40"/>
      <c r="L2131" s="40"/>
      <c r="M2131" s="40"/>
      <c r="N2131" s="40"/>
      <c r="O2131" s="40"/>
      <c r="P2131" s="40"/>
      <c r="Q2131" s="40"/>
      <c r="R2131" s="40"/>
      <c r="S2131" s="40"/>
      <c r="T2131" s="40"/>
      <c r="U2131" s="40"/>
      <c r="V2131" s="40"/>
      <c r="W2131" s="40"/>
      <c r="X2131" s="40"/>
      <c r="Y2131" s="40"/>
      <c r="Z2131" s="40"/>
    </row>
    <row r="2132">
      <c r="A2132" s="65"/>
      <c r="B2132" s="66"/>
      <c r="C2132" s="68"/>
      <c r="D2132" s="68"/>
      <c r="E2132" s="40"/>
      <c r="F2132" s="40"/>
      <c r="G2132" s="40"/>
      <c r="H2132" s="40"/>
      <c r="I2132" s="40"/>
      <c r="J2132" s="40"/>
      <c r="K2132" s="40"/>
      <c r="L2132" s="40"/>
      <c r="M2132" s="40"/>
      <c r="N2132" s="40"/>
      <c r="O2132" s="40"/>
      <c r="P2132" s="40"/>
      <c r="Q2132" s="40"/>
      <c r="R2132" s="40"/>
      <c r="S2132" s="40"/>
      <c r="T2132" s="40"/>
      <c r="U2132" s="40"/>
      <c r="V2132" s="40"/>
      <c r="W2132" s="40"/>
      <c r="X2132" s="40"/>
      <c r="Y2132" s="40"/>
      <c r="Z2132" s="40"/>
    </row>
    <row r="2133">
      <c r="A2133" s="65"/>
      <c r="B2133" s="66"/>
      <c r="C2133" s="68"/>
      <c r="D2133" s="68"/>
      <c r="E2133" s="40"/>
      <c r="F2133" s="40"/>
      <c r="G2133" s="40"/>
      <c r="H2133" s="40"/>
      <c r="I2133" s="40"/>
      <c r="J2133" s="40"/>
      <c r="K2133" s="40"/>
      <c r="L2133" s="40"/>
      <c r="M2133" s="40"/>
      <c r="N2133" s="40"/>
      <c r="O2133" s="40"/>
      <c r="P2133" s="40"/>
      <c r="Q2133" s="40"/>
      <c r="R2133" s="40"/>
      <c r="S2133" s="40"/>
      <c r="T2133" s="40"/>
      <c r="U2133" s="40"/>
      <c r="V2133" s="40"/>
      <c r="W2133" s="40"/>
      <c r="X2133" s="40"/>
      <c r="Y2133" s="40"/>
      <c r="Z2133" s="40"/>
    </row>
    <row r="2134">
      <c r="A2134" s="65"/>
      <c r="B2134" s="66"/>
      <c r="C2134" s="68"/>
      <c r="D2134" s="68"/>
      <c r="E2134" s="40"/>
      <c r="F2134" s="40"/>
      <c r="G2134" s="40"/>
      <c r="H2134" s="40"/>
      <c r="I2134" s="40"/>
      <c r="J2134" s="40"/>
      <c r="K2134" s="40"/>
      <c r="L2134" s="40"/>
      <c r="M2134" s="40"/>
      <c r="N2134" s="40"/>
      <c r="O2134" s="40"/>
      <c r="P2134" s="40"/>
      <c r="Q2134" s="40"/>
      <c r="R2134" s="40"/>
      <c r="S2134" s="40"/>
      <c r="T2134" s="40"/>
      <c r="U2134" s="40"/>
      <c r="V2134" s="40"/>
      <c r="W2134" s="40"/>
      <c r="X2134" s="40"/>
      <c r="Y2134" s="40"/>
      <c r="Z2134" s="40"/>
    </row>
    <row r="2135">
      <c r="A2135" s="65"/>
      <c r="B2135" s="66"/>
      <c r="C2135" s="68"/>
      <c r="D2135" s="68"/>
      <c r="E2135" s="40"/>
      <c r="F2135" s="40"/>
      <c r="G2135" s="40"/>
      <c r="H2135" s="40"/>
      <c r="I2135" s="40"/>
      <c r="J2135" s="40"/>
      <c r="K2135" s="40"/>
      <c r="L2135" s="40"/>
      <c r="M2135" s="40"/>
      <c r="N2135" s="40"/>
      <c r="O2135" s="40"/>
      <c r="P2135" s="40"/>
      <c r="Q2135" s="40"/>
      <c r="R2135" s="40"/>
      <c r="S2135" s="40"/>
      <c r="T2135" s="40"/>
      <c r="U2135" s="40"/>
      <c r="V2135" s="40"/>
      <c r="W2135" s="40"/>
      <c r="X2135" s="40"/>
      <c r="Y2135" s="40"/>
      <c r="Z2135" s="40"/>
    </row>
    <row r="2136">
      <c r="A2136" s="65"/>
      <c r="B2136" s="66"/>
      <c r="C2136" s="68"/>
      <c r="D2136" s="68"/>
      <c r="E2136" s="40"/>
      <c r="F2136" s="40"/>
      <c r="G2136" s="40"/>
      <c r="H2136" s="40"/>
      <c r="I2136" s="40"/>
      <c r="J2136" s="40"/>
      <c r="K2136" s="40"/>
      <c r="L2136" s="40"/>
      <c r="M2136" s="40"/>
      <c r="N2136" s="40"/>
      <c r="O2136" s="40"/>
      <c r="P2136" s="40"/>
      <c r="Q2136" s="40"/>
      <c r="R2136" s="40"/>
      <c r="S2136" s="40"/>
      <c r="T2136" s="40"/>
      <c r="U2136" s="40"/>
      <c r="V2136" s="40"/>
      <c r="W2136" s="40"/>
      <c r="X2136" s="40"/>
      <c r="Y2136" s="40"/>
      <c r="Z2136" s="40"/>
    </row>
    <row r="2137">
      <c r="A2137" s="65"/>
      <c r="B2137" s="66"/>
      <c r="C2137" s="68"/>
      <c r="D2137" s="68"/>
      <c r="E2137" s="40"/>
      <c r="F2137" s="40"/>
      <c r="G2137" s="40"/>
      <c r="H2137" s="40"/>
      <c r="I2137" s="40"/>
      <c r="J2137" s="40"/>
      <c r="K2137" s="40"/>
      <c r="L2137" s="40"/>
      <c r="M2137" s="40"/>
      <c r="N2137" s="40"/>
      <c r="O2137" s="40"/>
      <c r="P2137" s="40"/>
      <c r="Q2137" s="40"/>
      <c r="R2137" s="40"/>
      <c r="S2137" s="40"/>
      <c r="T2137" s="40"/>
      <c r="U2137" s="40"/>
      <c r="V2137" s="40"/>
      <c r="W2137" s="40"/>
      <c r="X2137" s="40"/>
      <c r="Y2137" s="40"/>
      <c r="Z2137" s="40"/>
    </row>
    <row r="2138">
      <c r="A2138" s="65"/>
      <c r="B2138" s="66"/>
      <c r="C2138" s="68"/>
      <c r="D2138" s="68"/>
      <c r="E2138" s="40"/>
      <c r="F2138" s="40"/>
      <c r="G2138" s="40"/>
      <c r="H2138" s="40"/>
      <c r="I2138" s="40"/>
      <c r="J2138" s="40"/>
      <c r="K2138" s="40"/>
      <c r="L2138" s="40"/>
      <c r="M2138" s="40"/>
      <c r="N2138" s="40"/>
      <c r="O2138" s="40"/>
      <c r="P2138" s="40"/>
      <c r="Q2138" s="40"/>
      <c r="R2138" s="40"/>
      <c r="S2138" s="40"/>
      <c r="T2138" s="40"/>
      <c r="U2138" s="40"/>
      <c r="V2138" s="40"/>
      <c r="W2138" s="40"/>
      <c r="X2138" s="40"/>
      <c r="Y2138" s="40"/>
      <c r="Z2138" s="40"/>
    </row>
    <row r="2139">
      <c r="A2139" s="65"/>
      <c r="B2139" s="66"/>
      <c r="C2139" s="68"/>
      <c r="D2139" s="68"/>
      <c r="E2139" s="40"/>
      <c r="F2139" s="40"/>
      <c r="G2139" s="40"/>
      <c r="H2139" s="40"/>
      <c r="I2139" s="40"/>
      <c r="J2139" s="40"/>
      <c r="K2139" s="40"/>
      <c r="L2139" s="40"/>
      <c r="M2139" s="40"/>
      <c r="N2139" s="40"/>
      <c r="O2139" s="40"/>
      <c r="P2139" s="40"/>
      <c r="Q2139" s="40"/>
      <c r="R2139" s="40"/>
      <c r="S2139" s="40"/>
      <c r="T2139" s="40"/>
      <c r="U2139" s="40"/>
      <c r="V2139" s="40"/>
      <c r="W2139" s="40"/>
      <c r="X2139" s="40"/>
      <c r="Y2139" s="40"/>
      <c r="Z2139" s="40"/>
    </row>
    <row r="2140">
      <c r="A2140" s="65"/>
      <c r="B2140" s="66"/>
      <c r="C2140" s="68"/>
      <c r="D2140" s="68"/>
      <c r="E2140" s="40"/>
      <c r="F2140" s="40"/>
      <c r="G2140" s="40"/>
      <c r="H2140" s="40"/>
      <c r="I2140" s="40"/>
      <c r="J2140" s="40"/>
      <c r="K2140" s="40"/>
      <c r="L2140" s="40"/>
      <c r="M2140" s="40"/>
      <c r="N2140" s="40"/>
      <c r="O2140" s="40"/>
      <c r="P2140" s="40"/>
      <c r="Q2140" s="40"/>
      <c r="R2140" s="40"/>
      <c r="S2140" s="40"/>
      <c r="T2140" s="40"/>
      <c r="U2140" s="40"/>
      <c r="V2140" s="40"/>
      <c r="W2140" s="40"/>
      <c r="X2140" s="40"/>
      <c r="Y2140" s="40"/>
      <c r="Z2140" s="40"/>
    </row>
    <row r="2141">
      <c r="A2141" s="65"/>
      <c r="B2141" s="66"/>
      <c r="C2141" s="68"/>
      <c r="D2141" s="68"/>
      <c r="E2141" s="40"/>
      <c r="F2141" s="40"/>
      <c r="G2141" s="40"/>
      <c r="H2141" s="40"/>
      <c r="I2141" s="40"/>
      <c r="J2141" s="40"/>
      <c r="K2141" s="40"/>
      <c r="L2141" s="40"/>
      <c r="M2141" s="40"/>
      <c r="N2141" s="40"/>
      <c r="O2141" s="40"/>
      <c r="P2141" s="40"/>
      <c r="Q2141" s="40"/>
      <c r="R2141" s="40"/>
      <c r="S2141" s="40"/>
      <c r="T2141" s="40"/>
      <c r="U2141" s="40"/>
      <c r="V2141" s="40"/>
      <c r="W2141" s="40"/>
      <c r="X2141" s="40"/>
      <c r="Y2141" s="40"/>
      <c r="Z2141" s="40"/>
    </row>
    <row r="2142">
      <c r="A2142" s="65"/>
      <c r="B2142" s="66"/>
      <c r="C2142" s="68"/>
      <c r="D2142" s="68"/>
      <c r="E2142" s="40"/>
      <c r="F2142" s="40"/>
      <c r="G2142" s="40"/>
      <c r="H2142" s="40"/>
      <c r="I2142" s="40"/>
      <c r="J2142" s="40"/>
      <c r="K2142" s="40"/>
      <c r="L2142" s="40"/>
      <c r="M2142" s="40"/>
      <c r="N2142" s="40"/>
      <c r="O2142" s="40"/>
      <c r="P2142" s="40"/>
      <c r="Q2142" s="40"/>
      <c r="R2142" s="40"/>
      <c r="S2142" s="40"/>
      <c r="T2142" s="40"/>
      <c r="U2142" s="40"/>
      <c r="V2142" s="40"/>
      <c r="W2142" s="40"/>
      <c r="X2142" s="40"/>
      <c r="Y2142" s="40"/>
      <c r="Z2142" s="40"/>
    </row>
    <row r="2143">
      <c r="A2143" s="65"/>
      <c r="B2143" s="66"/>
      <c r="C2143" s="68"/>
      <c r="D2143" s="68"/>
      <c r="E2143" s="40"/>
      <c r="F2143" s="40"/>
      <c r="G2143" s="40"/>
      <c r="H2143" s="40"/>
      <c r="I2143" s="40"/>
      <c r="J2143" s="40"/>
      <c r="K2143" s="40"/>
      <c r="L2143" s="40"/>
      <c r="M2143" s="40"/>
      <c r="N2143" s="40"/>
      <c r="O2143" s="40"/>
      <c r="P2143" s="40"/>
      <c r="Q2143" s="40"/>
      <c r="R2143" s="40"/>
      <c r="S2143" s="40"/>
      <c r="T2143" s="40"/>
      <c r="U2143" s="40"/>
      <c r="V2143" s="40"/>
      <c r="W2143" s="40"/>
      <c r="X2143" s="40"/>
      <c r="Y2143" s="40"/>
      <c r="Z2143" s="40"/>
    </row>
    <row r="2144">
      <c r="A2144" s="65"/>
      <c r="B2144" s="66"/>
      <c r="C2144" s="68"/>
      <c r="D2144" s="68"/>
      <c r="E2144" s="40"/>
      <c r="F2144" s="40"/>
      <c r="G2144" s="40"/>
      <c r="H2144" s="40"/>
      <c r="I2144" s="40"/>
      <c r="J2144" s="40"/>
      <c r="K2144" s="40"/>
      <c r="L2144" s="40"/>
      <c r="M2144" s="40"/>
      <c r="N2144" s="40"/>
      <c r="O2144" s="40"/>
      <c r="P2144" s="40"/>
      <c r="Q2144" s="40"/>
      <c r="R2144" s="40"/>
      <c r="S2144" s="40"/>
      <c r="T2144" s="40"/>
      <c r="U2144" s="40"/>
      <c r="V2144" s="40"/>
      <c r="W2144" s="40"/>
      <c r="X2144" s="40"/>
      <c r="Y2144" s="40"/>
      <c r="Z2144" s="40"/>
    </row>
    <row r="2145">
      <c r="A2145" s="65"/>
      <c r="B2145" s="66"/>
      <c r="C2145" s="68"/>
      <c r="D2145" s="68"/>
      <c r="E2145" s="40"/>
      <c r="F2145" s="40"/>
      <c r="G2145" s="40"/>
      <c r="H2145" s="40"/>
      <c r="I2145" s="40"/>
      <c r="J2145" s="40"/>
      <c r="K2145" s="40"/>
      <c r="L2145" s="40"/>
      <c r="M2145" s="40"/>
      <c r="N2145" s="40"/>
      <c r="O2145" s="40"/>
      <c r="P2145" s="40"/>
      <c r="Q2145" s="40"/>
      <c r="R2145" s="40"/>
      <c r="S2145" s="40"/>
      <c r="T2145" s="40"/>
      <c r="U2145" s="40"/>
      <c r="V2145" s="40"/>
      <c r="W2145" s="40"/>
      <c r="X2145" s="40"/>
      <c r="Y2145" s="40"/>
      <c r="Z2145" s="40"/>
    </row>
    <row r="2146">
      <c r="A2146" s="65"/>
      <c r="B2146" s="66"/>
      <c r="C2146" s="68"/>
      <c r="D2146" s="68"/>
      <c r="E2146" s="40"/>
      <c r="F2146" s="40"/>
      <c r="G2146" s="40"/>
      <c r="H2146" s="40"/>
      <c r="I2146" s="40"/>
      <c r="J2146" s="40"/>
      <c r="K2146" s="40"/>
      <c r="L2146" s="40"/>
      <c r="M2146" s="40"/>
      <c r="N2146" s="40"/>
      <c r="O2146" s="40"/>
      <c r="P2146" s="40"/>
      <c r="Q2146" s="40"/>
      <c r="R2146" s="40"/>
      <c r="S2146" s="40"/>
      <c r="T2146" s="40"/>
      <c r="U2146" s="40"/>
      <c r="V2146" s="40"/>
      <c r="W2146" s="40"/>
      <c r="X2146" s="40"/>
      <c r="Y2146" s="40"/>
      <c r="Z2146" s="40"/>
    </row>
    <row r="2147">
      <c r="A2147" s="65"/>
      <c r="B2147" s="66"/>
      <c r="C2147" s="68"/>
      <c r="D2147" s="68"/>
      <c r="E2147" s="40"/>
      <c r="F2147" s="40"/>
      <c r="G2147" s="40"/>
      <c r="H2147" s="40"/>
      <c r="I2147" s="40"/>
      <c r="J2147" s="40"/>
      <c r="K2147" s="40"/>
      <c r="L2147" s="40"/>
      <c r="M2147" s="40"/>
      <c r="N2147" s="40"/>
      <c r="O2147" s="40"/>
      <c r="P2147" s="40"/>
      <c r="Q2147" s="40"/>
      <c r="R2147" s="40"/>
      <c r="S2147" s="40"/>
      <c r="T2147" s="40"/>
      <c r="U2147" s="40"/>
      <c r="V2147" s="40"/>
      <c r="W2147" s="40"/>
      <c r="X2147" s="40"/>
      <c r="Y2147" s="40"/>
      <c r="Z2147" s="40"/>
    </row>
    <row r="2148">
      <c r="A2148" s="65"/>
      <c r="B2148" s="66"/>
      <c r="C2148" s="68"/>
      <c r="D2148" s="68"/>
      <c r="E2148" s="40"/>
      <c r="F2148" s="40"/>
      <c r="G2148" s="40"/>
      <c r="H2148" s="40"/>
      <c r="I2148" s="40"/>
      <c r="J2148" s="40"/>
      <c r="K2148" s="40"/>
      <c r="L2148" s="40"/>
      <c r="M2148" s="40"/>
      <c r="N2148" s="40"/>
      <c r="O2148" s="40"/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0"/>
    </row>
    <row r="2149">
      <c r="A2149" s="65"/>
      <c r="B2149" s="66"/>
      <c r="C2149" s="68"/>
      <c r="D2149" s="68"/>
      <c r="E2149" s="40"/>
      <c r="F2149" s="40"/>
      <c r="G2149" s="40"/>
      <c r="H2149" s="40"/>
      <c r="I2149" s="40"/>
      <c r="J2149" s="40"/>
      <c r="K2149" s="40"/>
      <c r="L2149" s="40"/>
      <c r="M2149" s="40"/>
      <c r="N2149" s="40"/>
      <c r="O2149" s="40"/>
      <c r="P2149" s="40"/>
      <c r="Q2149" s="40"/>
      <c r="R2149" s="40"/>
      <c r="S2149" s="40"/>
      <c r="T2149" s="40"/>
      <c r="U2149" s="40"/>
      <c r="V2149" s="40"/>
      <c r="W2149" s="40"/>
      <c r="X2149" s="40"/>
      <c r="Y2149" s="40"/>
      <c r="Z2149" s="40"/>
    </row>
    <row r="2150">
      <c r="A2150" s="65"/>
      <c r="B2150" s="66"/>
      <c r="C2150" s="68"/>
      <c r="D2150" s="68"/>
      <c r="E2150" s="40"/>
      <c r="F2150" s="40"/>
      <c r="G2150" s="40"/>
      <c r="H2150" s="40"/>
      <c r="I2150" s="40"/>
      <c r="J2150" s="40"/>
      <c r="K2150" s="40"/>
      <c r="L2150" s="40"/>
      <c r="M2150" s="40"/>
      <c r="N2150" s="40"/>
      <c r="O2150" s="40"/>
      <c r="P2150" s="40"/>
      <c r="Q2150" s="40"/>
      <c r="R2150" s="40"/>
      <c r="S2150" s="40"/>
      <c r="T2150" s="40"/>
      <c r="U2150" s="40"/>
      <c r="V2150" s="40"/>
      <c r="W2150" s="40"/>
      <c r="X2150" s="40"/>
      <c r="Y2150" s="40"/>
      <c r="Z2150" s="40"/>
    </row>
    <row r="2151">
      <c r="A2151" s="65"/>
      <c r="B2151" s="66"/>
      <c r="C2151" s="68"/>
      <c r="D2151" s="68"/>
      <c r="E2151" s="40"/>
      <c r="F2151" s="40"/>
      <c r="G2151" s="40"/>
      <c r="H2151" s="40"/>
      <c r="I2151" s="40"/>
      <c r="J2151" s="40"/>
      <c r="K2151" s="40"/>
      <c r="L2151" s="40"/>
      <c r="M2151" s="40"/>
      <c r="N2151" s="40"/>
      <c r="O2151" s="40"/>
      <c r="P2151" s="40"/>
      <c r="Q2151" s="40"/>
      <c r="R2151" s="40"/>
      <c r="S2151" s="40"/>
      <c r="T2151" s="40"/>
      <c r="U2151" s="40"/>
      <c r="V2151" s="40"/>
      <c r="W2151" s="40"/>
      <c r="X2151" s="40"/>
      <c r="Y2151" s="40"/>
      <c r="Z2151" s="40"/>
    </row>
    <row r="2152">
      <c r="A2152" s="65"/>
      <c r="B2152" s="66"/>
      <c r="C2152" s="68"/>
      <c r="D2152" s="68"/>
      <c r="E2152" s="40"/>
      <c r="F2152" s="40"/>
      <c r="G2152" s="40"/>
      <c r="H2152" s="40"/>
      <c r="I2152" s="40"/>
      <c r="J2152" s="40"/>
      <c r="K2152" s="40"/>
      <c r="L2152" s="40"/>
      <c r="M2152" s="40"/>
      <c r="N2152" s="40"/>
      <c r="O2152" s="40"/>
      <c r="P2152" s="40"/>
      <c r="Q2152" s="40"/>
      <c r="R2152" s="40"/>
      <c r="S2152" s="40"/>
      <c r="T2152" s="40"/>
      <c r="U2152" s="40"/>
      <c r="V2152" s="40"/>
      <c r="W2152" s="40"/>
      <c r="X2152" s="40"/>
      <c r="Y2152" s="40"/>
      <c r="Z2152" s="40"/>
    </row>
    <row r="2153">
      <c r="A2153" s="65"/>
      <c r="B2153" s="66"/>
      <c r="C2153" s="68"/>
      <c r="D2153" s="68"/>
      <c r="E2153" s="40"/>
      <c r="F2153" s="40"/>
      <c r="G2153" s="40"/>
      <c r="H2153" s="40"/>
      <c r="I2153" s="40"/>
      <c r="J2153" s="40"/>
      <c r="K2153" s="40"/>
      <c r="L2153" s="40"/>
      <c r="M2153" s="40"/>
      <c r="N2153" s="40"/>
      <c r="O2153" s="40"/>
      <c r="P2153" s="40"/>
      <c r="Q2153" s="40"/>
      <c r="R2153" s="40"/>
      <c r="S2153" s="40"/>
      <c r="T2153" s="40"/>
      <c r="U2153" s="40"/>
      <c r="V2153" s="40"/>
      <c r="W2153" s="40"/>
      <c r="X2153" s="40"/>
      <c r="Y2153" s="40"/>
      <c r="Z2153" s="40"/>
    </row>
    <row r="2154">
      <c r="A2154" s="65"/>
      <c r="B2154" s="66"/>
      <c r="C2154" s="68"/>
      <c r="D2154" s="68"/>
      <c r="E2154" s="40"/>
      <c r="F2154" s="40"/>
      <c r="G2154" s="40"/>
      <c r="H2154" s="40"/>
      <c r="I2154" s="40"/>
      <c r="J2154" s="40"/>
      <c r="K2154" s="40"/>
      <c r="L2154" s="40"/>
      <c r="M2154" s="40"/>
      <c r="N2154" s="40"/>
      <c r="O2154" s="40"/>
      <c r="P2154" s="40"/>
      <c r="Q2154" s="40"/>
      <c r="R2154" s="40"/>
      <c r="S2154" s="40"/>
      <c r="T2154" s="40"/>
      <c r="U2154" s="40"/>
      <c r="V2154" s="40"/>
      <c r="W2154" s="40"/>
      <c r="X2154" s="40"/>
      <c r="Y2154" s="40"/>
      <c r="Z2154" s="40"/>
    </row>
    <row r="2155">
      <c r="A2155" s="65"/>
      <c r="B2155" s="66"/>
      <c r="C2155" s="68"/>
      <c r="D2155" s="68"/>
      <c r="E2155" s="40"/>
      <c r="F2155" s="40"/>
      <c r="G2155" s="40"/>
      <c r="H2155" s="40"/>
      <c r="I2155" s="40"/>
      <c r="J2155" s="40"/>
      <c r="K2155" s="40"/>
      <c r="L2155" s="40"/>
      <c r="M2155" s="40"/>
      <c r="N2155" s="40"/>
      <c r="O2155" s="40"/>
      <c r="P2155" s="40"/>
      <c r="Q2155" s="40"/>
      <c r="R2155" s="40"/>
      <c r="S2155" s="40"/>
      <c r="T2155" s="40"/>
      <c r="U2155" s="40"/>
      <c r="V2155" s="40"/>
      <c r="W2155" s="40"/>
      <c r="X2155" s="40"/>
      <c r="Y2155" s="40"/>
      <c r="Z2155" s="40"/>
    </row>
    <row r="2156">
      <c r="A2156" s="65"/>
      <c r="B2156" s="66"/>
      <c r="C2156" s="68"/>
      <c r="D2156" s="68"/>
      <c r="E2156" s="40"/>
      <c r="F2156" s="40"/>
      <c r="G2156" s="40"/>
      <c r="H2156" s="40"/>
      <c r="I2156" s="40"/>
      <c r="J2156" s="40"/>
      <c r="K2156" s="40"/>
      <c r="L2156" s="40"/>
      <c r="M2156" s="40"/>
      <c r="N2156" s="40"/>
      <c r="O2156" s="40"/>
      <c r="P2156" s="40"/>
      <c r="Q2156" s="40"/>
      <c r="R2156" s="40"/>
      <c r="S2156" s="40"/>
      <c r="T2156" s="40"/>
      <c r="U2156" s="40"/>
      <c r="V2156" s="40"/>
      <c r="W2156" s="40"/>
      <c r="X2156" s="40"/>
      <c r="Y2156" s="40"/>
      <c r="Z2156" s="40"/>
    </row>
    <row r="2157">
      <c r="A2157" s="65"/>
      <c r="B2157" s="66"/>
      <c r="C2157" s="68"/>
      <c r="D2157" s="68"/>
      <c r="E2157" s="40"/>
      <c r="F2157" s="40"/>
      <c r="G2157" s="40"/>
      <c r="H2157" s="40"/>
      <c r="I2157" s="40"/>
      <c r="J2157" s="40"/>
      <c r="K2157" s="40"/>
      <c r="L2157" s="40"/>
      <c r="M2157" s="40"/>
      <c r="N2157" s="40"/>
      <c r="O2157" s="40"/>
      <c r="P2157" s="40"/>
      <c r="Q2157" s="40"/>
      <c r="R2157" s="40"/>
      <c r="S2157" s="40"/>
      <c r="T2157" s="40"/>
      <c r="U2157" s="40"/>
      <c r="V2157" s="40"/>
      <c r="W2157" s="40"/>
      <c r="X2157" s="40"/>
      <c r="Y2157" s="40"/>
      <c r="Z2157" s="40"/>
    </row>
    <row r="2158">
      <c r="A2158" s="65"/>
      <c r="B2158" s="66"/>
      <c r="C2158" s="68"/>
      <c r="D2158" s="68"/>
      <c r="E2158" s="40"/>
      <c r="F2158" s="40"/>
      <c r="G2158" s="40"/>
      <c r="H2158" s="40"/>
      <c r="I2158" s="40"/>
      <c r="J2158" s="40"/>
      <c r="K2158" s="40"/>
      <c r="L2158" s="40"/>
      <c r="M2158" s="40"/>
      <c r="N2158" s="40"/>
      <c r="O2158" s="40"/>
      <c r="P2158" s="40"/>
      <c r="Q2158" s="40"/>
      <c r="R2158" s="40"/>
      <c r="S2158" s="40"/>
      <c r="T2158" s="40"/>
      <c r="U2158" s="40"/>
      <c r="V2158" s="40"/>
      <c r="W2158" s="40"/>
      <c r="X2158" s="40"/>
      <c r="Y2158" s="40"/>
      <c r="Z2158" s="40"/>
    </row>
    <row r="2159">
      <c r="A2159" s="65"/>
      <c r="B2159" s="66"/>
      <c r="C2159" s="68"/>
      <c r="D2159" s="68"/>
      <c r="E2159" s="40"/>
      <c r="F2159" s="40"/>
      <c r="G2159" s="40"/>
      <c r="H2159" s="40"/>
      <c r="I2159" s="40"/>
      <c r="J2159" s="40"/>
      <c r="K2159" s="40"/>
      <c r="L2159" s="40"/>
      <c r="M2159" s="40"/>
      <c r="N2159" s="40"/>
      <c r="O2159" s="40"/>
      <c r="P2159" s="40"/>
      <c r="Q2159" s="40"/>
      <c r="R2159" s="40"/>
      <c r="S2159" s="40"/>
      <c r="T2159" s="40"/>
      <c r="U2159" s="40"/>
      <c r="V2159" s="40"/>
      <c r="W2159" s="40"/>
      <c r="X2159" s="40"/>
      <c r="Y2159" s="40"/>
      <c r="Z2159" s="40"/>
    </row>
    <row r="2160">
      <c r="A2160" s="65"/>
      <c r="B2160" s="66"/>
      <c r="C2160" s="68"/>
      <c r="D2160" s="68"/>
      <c r="E2160" s="40"/>
      <c r="F2160" s="40"/>
      <c r="G2160" s="40"/>
      <c r="H2160" s="40"/>
      <c r="I2160" s="40"/>
      <c r="J2160" s="40"/>
      <c r="K2160" s="40"/>
      <c r="L2160" s="40"/>
      <c r="M2160" s="40"/>
      <c r="N2160" s="40"/>
      <c r="O2160" s="40"/>
      <c r="P2160" s="40"/>
      <c r="Q2160" s="40"/>
      <c r="R2160" s="40"/>
      <c r="S2160" s="40"/>
      <c r="T2160" s="40"/>
      <c r="U2160" s="40"/>
      <c r="V2160" s="40"/>
      <c r="W2160" s="40"/>
      <c r="X2160" s="40"/>
      <c r="Y2160" s="40"/>
      <c r="Z2160" s="40"/>
    </row>
    <row r="2161">
      <c r="A2161" s="65"/>
      <c r="B2161" s="66"/>
      <c r="C2161" s="68"/>
      <c r="D2161" s="68"/>
      <c r="E2161" s="40"/>
      <c r="F2161" s="40"/>
      <c r="G2161" s="40"/>
      <c r="H2161" s="40"/>
      <c r="I2161" s="40"/>
      <c r="J2161" s="40"/>
      <c r="K2161" s="40"/>
      <c r="L2161" s="40"/>
      <c r="M2161" s="40"/>
      <c r="N2161" s="40"/>
      <c r="O2161" s="40"/>
      <c r="P2161" s="40"/>
      <c r="Q2161" s="40"/>
      <c r="R2161" s="40"/>
      <c r="S2161" s="40"/>
      <c r="T2161" s="40"/>
      <c r="U2161" s="40"/>
      <c r="V2161" s="40"/>
      <c r="W2161" s="40"/>
      <c r="X2161" s="40"/>
      <c r="Y2161" s="40"/>
      <c r="Z2161" s="40"/>
    </row>
    <row r="2162">
      <c r="A2162" s="65"/>
      <c r="B2162" s="66"/>
      <c r="C2162" s="68"/>
      <c r="D2162" s="68"/>
      <c r="E2162" s="40"/>
      <c r="F2162" s="40"/>
      <c r="G2162" s="40"/>
      <c r="H2162" s="40"/>
      <c r="I2162" s="40"/>
      <c r="J2162" s="40"/>
      <c r="K2162" s="40"/>
      <c r="L2162" s="40"/>
      <c r="M2162" s="40"/>
      <c r="N2162" s="40"/>
      <c r="O2162" s="40"/>
      <c r="P2162" s="40"/>
      <c r="Q2162" s="40"/>
      <c r="R2162" s="40"/>
      <c r="S2162" s="40"/>
      <c r="T2162" s="40"/>
      <c r="U2162" s="40"/>
      <c r="V2162" s="40"/>
      <c r="W2162" s="40"/>
      <c r="X2162" s="40"/>
      <c r="Y2162" s="40"/>
      <c r="Z2162" s="40"/>
    </row>
    <row r="2163">
      <c r="A2163" s="65"/>
      <c r="B2163" s="66"/>
      <c r="C2163" s="68"/>
      <c r="D2163" s="68"/>
      <c r="E2163" s="40"/>
      <c r="F2163" s="40"/>
      <c r="G2163" s="40"/>
      <c r="H2163" s="40"/>
      <c r="I2163" s="40"/>
      <c r="J2163" s="40"/>
      <c r="K2163" s="40"/>
      <c r="L2163" s="40"/>
      <c r="M2163" s="40"/>
      <c r="N2163" s="40"/>
      <c r="O2163" s="40"/>
      <c r="P2163" s="40"/>
      <c r="Q2163" s="40"/>
      <c r="R2163" s="40"/>
      <c r="S2163" s="40"/>
      <c r="T2163" s="40"/>
      <c r="U2163" s="40"/>
      <c r="V2163" s="40"/>
      <c r="W2163" s="40"/>
      <c r="X2163" s="40"/>
      <c r="Y2163" s="40"/>
      <c r="Z2163" s="40"/>
    </row>
    <row r="2164">
      <c r="A2164" s="65"/>
      <c r="B2164" s="66"/>
      <c r="C2164" s="68"/>
      <c r="D2164" s="68"/>
      <c r="E2164" s="40"/>
      <c r="F2164" s="40"/>
      <c r="G2164" s="40"/>
      <c r="H2164" s="40"/>
      <c r="I2164" s="40"/>
      <c r="J2164" s="40"/>
      <c r="K2164" s="40"/>
      <c r="L2164" s="40"/>
      <c r="M2164" s="40"/>
      <c r="N2164" s="40"/>
      <c r="O2164" s="40"/>
      <c r="P2164" s="40"/>
      <c r="Q2164" s="40"/>
      <c r="R2164" s="40"/>
      <c r="S2164" s="40"/>
      <c r="T2164" s="40"/>
      <c r="U2164" s="40"/>
      <c r="V2164" s="40"/>
      <c r="W2164" s="40"/>
      <c r="X2164" s="40"/>
      <c r="Y2164" s="40"/>
      <c r="Z2164" s="40"/>
    </row>
    <row r="2165">
      <c r="A2165" s="65"/>
      <c r="B2165" s="66"/>
      <c r="C2165" s="68"/>
      <c r="D2165" s="68"/>
      <c r="E2165" s="40"/>
      <c r="F2165" s="40"/>
      <c r="G2165" s="40"/>
      <c r="H2165" s="40"/>
      <c r="I2165" s="40"/>
      <c r="J2165" s="40"/>
      <c r="K2165" s="40"/>
      <c r="L2165" s="40"/>
      <c r="M2165" s="40"/>
      <c r="N2165" s="40"/>
      <c r="O2165" s="40"/>
      <c r="P2165" s="40"/>
      <c r="Q2165" s="40"/>
      <c r="R2165" s="40"/>
      <c r="S2165" s="40"/>
      <c r="T2165" s="40"/>
      <c r="U2165" s="40"/>
      <c r="V2165" s="40"/>
      <c r="W2165" s="40"/>
      <c r="X2165" s="40"/>
      <c r="Y2165" s="40"/>
      <c r="Z2165" s="40"/>
    </row>
    <row r="2166">
      <c r="A2166" s="65"/>
      <c r="B2166" s="66"/>
      <c r="C2166" s="68"/>
      <c r="D2166" s="68"/>
      <c r="E2166" s="40"/>
      <c r="F2166" s="40"/>
      <c r="G2166" s="40"/>
      <c r="H2166" s="40"/>
      <c r="I2166" s="40"/>
      <c r="J2166" s="40"/>
      <c r="K2166" s="40"/>
      <c r="L2166" s="40"/>
      <c r="M2166" s="40"/>
      <c r="N2166" s="40"/>
      <c r="O2166" s="40"/>
      <c r="P2166" s="40"/>
      <c r="Q2166" s="40"/>
      <c r="R2166" s="40"/>
      <c r="S2166" s="40"/>
      <c r="T2166" s="40"/>
      <c r="U2166" s="40"/>
      <c r="V2166" s="40"/>
      <c r="W2166" s="40"/>
      <c r="X2166" s="40"/>
      <c r="Y2166" s="40"/>
      <c r="Z2166" s="40"/>
    </row>
    <row r="2167">
      <c r="A2167" s="65"/>
      <c r="B2167" s="66"/>
      <c r="C2167" s="68"/>
      <c r="D2167" s="68"/>
      <c r="E2167" s="40"/>
      <c r="F2167" s="40"/>
      <c r="G2167" s="40"/>
      <c r="H2167" s="40"/>
      <c r="I2167" s="40"/>
      <c r="J2167" s="40"/>
      <c r="K2167" s="40"/>
      <c r="L2167" s="40"/>
      <c r="M2167" s="40"/>
      <c r="N2167" s="40"/>
      <c r="O2167" s="40"/>
      <c r="P2167" s="40"/>
      <c r="Q2167" s="40"/>
      <c r="R2167" s="40"/>
      <c r="S2167" s="40"/>
      <c r="T2167" s="40"/>
      <c r="U2167" s="40"/>
      <c r="V2167" s="40"/>
      <c r="W2167" s="40"/>
      <c r="X2167" s="40"/>
      <c r="Y2167" s="40"/>
      <c r="Z2167" s="40"/>
    </row>
    <row r="2168">
      <c r="A2168" s="65"/>
      <c r="B2168" s="66"/>
      <c r="C2168" s="68"/>
      <c r="D2168" s="68"/>
      <c r="E2168" s="40"/>
      <c r="F2168" s="40"/>
      <c r="G2168" s="40"/>
      <c r="H2168" s="40"/>
      <c r="I2168" s="40"/>
      <c r="J2168" s="40"/>
      <c r="K2168" s="40"/>
      <c r="L2168" s="40"/>
      <c r="M2168" s="40"/>
      <c r="N2168" s="40"/>
      <c r="O2168" s="40"/>
      <c r="P2168" s="40"/>
      <c r="Q2168" s="40"/>
      <c r="R2168" s="40"/>
      <c r="S2168" s="40"/>
      <c r="T2168" s="40"/>
      <c r="U2168" s="40"/>
      <c r="V2168" s="40"/>
      <c r="W2168" s="40"/>
      <c r="X2168" s="40"/>
      <c r="Y2168" s="40"/>
      <c r="Z2168" s="40"/>
    </row>
    <row r="2169">
      <c r="A2169" s="65"/>
      <c r="B2169" s="66"/>
      <c r="C2169" s="68"/>
      <c r="D2169" s="68"/>
      <c r="E2169" s="40"/>
      <c r="F2169" s="40"/>
      <c r="G2169" s="40"/>
      <c r="H2169" s="40"/>
      <c r="I2169" s="40"/>
      <c r="J2169" s="40"/>
      <c r="K2169" s="40"/>
      <c r="L2169" s="40"/>
      <c r="M2169" s="40"/>
      <c r="N2169" s="40"/>
      <c r="O2169" s="40"/>
      <c r="P2169" s="40"/>
      <c r="Q2169" s="40"/>
      <c r="R2169" s="40"/>
      <c r="S2169" s="40"/>
      <c r="T2169" s="40"/>
      <c r="U2169" s="40"/>
      <c r="V2169" s="40"/>
      <c r="W2169" s="40"/>
      <c r="X2169" s="40"/>
      <c r="Y2169" s="40"/>
      <c r="Z2169" s="40"/>
    </row>
    <row r="2170">
      <c r="A2170" s="65"/>
      <c r="B2170" s="66"/>
      <c r="C2170" s="68"/>
      <c r="D2170" s="68"/>
      <c r="E2170" s="40"/>
      <c r="F2170" s="40"/>
      <c r="G2170" s="40"/>
      <c r="H2170" s="40"/>
      <c r="I2170" s="40"/>
      <c r="J2170" s="40"/>
      <c r="K2170" s="40"/>
      <c r="L2170" s="40"/>
      <c r="M2170" s="40"/>
      <c r="N2170" s="40"/>
      <c r="O2170" s="40"/>
      <c r="P2170" s="40"/>
      <c r="Q2170" s="40"/>
      <c r="R2170" s="40"/>
      <c r="S2170" s="40"/>
      <c r="T2170" s="40"/>
      <c r="U2170" s="40"/>
      <c r="V2170" s="40"/>
      <c r="W2170" s="40"/>
      <c r="X2170" s="40"/>
      <c r="Y2170" s="40"/>
      <c r="Z2170" s="40"/>
    </row>
    <row r="2171">
      <c r="A2171" s="65"/>
      <c r="B2171" s="66"/>
      <c r="C2171" s="68"/>
      <c r="D2171" s="68"/>
      <c r="E2171" s="40"/>
      <c r="F2171" s="40"/>
      <c r="G2171" s="40"/>
      <c r="H2171" s="40"/>
      <c r="I2171" s="40"/>
      <c r="J2171" s="40"/>
      <c r="K2171" s="40"/>
      <c r="L2171" s="40"/>
      <c r="M2171" s="40"/>
      <c r="N2171" s="40"/>
      <c r="O2171" s="40"/>
      <c r="P2171" s="40"/>
      <c r="Q2171" s="40"/>
      <c r="R2171" s="40"/>
      <c r="S2171" s="40"/>
      <c r="T2171" s="40"/>
      <c r="U2171" s="40"/>
      <c r="V2171" s="40"/>
      <c r="W2171" s="40"/>
      <c r="X2171" s="40"/>
      <c r="Y2171" s="40"/>
      <c r="Z2171" s="40"/>
    </row>
    <row r="2172">
      <c r="A2172" s="65"/>
      <c r="B2172" s="66"/>
      <c r="C2172" s="68"/>
      <c r="D2172" s="68"/>
      <c r="E2172" s="40"/>
      <c r="F2172" s="40"/>
      <c r="G2172" s="40"/>
      <c r="H2172" s="40"/>
      <c r="I2172" s="40"/>
      <c r="J2172" s="40"/>
      <c r="K2172" s="40"/>
      <c r="L2172" s="40"/>
      <c r="M2172" s="40"/>
      <c r="N2172" s="40"/>
      <c r="O2172" s="40"/>
      <c r="P2172" s="40"/>
      <c r="Q2172" s="40"/>
      <c r="R2172" s="40"/>
      <c r="S2172" s="40"/>
      <c r="T2172" s="40"/>
      <c r="U2172" s="40"/>
      <c r="V2172" s="40"/>
      <c r="W2172" s="40"/>
      <c r="X2172" s="40"/>
      <c r="Y2172" s="40"/>
      <c r="Z2172" s="40"/>
    </row>
    <row r="2173">
      <c r="A2173" s="65"/>
      <c r="B2173" s="66"/>
      <c r="C2173" s="68"/>
      <c r="D2173" s="68"/>
      <c r="E2173" s="40"/>
      <c r="F2173" s="40"/>
      <c r="G2173" s="40"/>
      <c r="H2173" s="40"/>
      <c r="I2173" s="40"/>
      <c r="J2173" s="40"/>
      <c r="K2173" s="40"/>
      <c r="L2173" s="40"/>
      <c r="M2173" s="40"/>
      <c r="N2173" s="40"/>
      <c r="O2173" s="40"/>
      <c r="P2173" s="40"/>
      <c r="Q2173" s="40"/>
      <c r="R2173" s="40"/>
      <c r="S2173" s="40"/>
      <c r="T2173" s="40"/>
      <c r="U2173" s="40"/>
      <c r="V2173" s="40"/>
      <c r="W2173" s="40"/>
      <c r="X2173" s="40"/>
      <c r="Y2173" s="40"/>
      <c r="Z2173" s="40"/>
    </row>
    <row r="2174">
      <c r="A2174" s="65"/>
      <c r="B2174" s="66"/>
      <c r="C2174" s="68"/>
      <c r="D2174" s="68"/>
      <c r="E2174" s="40"/>
      <c r="F2174" s="40"/>
      <c r="G2174" s="40"/>
      <c r="H2174" s="40"/>
      <c r="I2174" s="40"/>
      <c r="J2174" s="40"/>
      <c r="K2174" s="40"/>
      <c r="L2174" s="40"/>
      <c r="M2174" s="40"/>
      <c r="N2174" s="40"/>
      <c r="O2174" s="40"/>
      <c r="P2174" s="40"/>
      <c r="Q2174" s="40"/>
      <c r="R2174" s="40"/>
      <c r="S2174" s="40"/>
      <c r="T2174" s="40"/>
      <c r="U2174" s="40"/>
      <c r="V2174" s="40"/>
      <c r="W2174" s="40"/>
      <c r="X2174" s="40"/>
      <c r="Y2174" s="40"/>
      <c r="Z2174" s="40"/>
    </row>
    <row r="2175">
      <c r="A2175" s="65"/>
      <c r="B2175" s="66"/>
      <c r="C2175" s="68"/>
      <c r="D2175" s="68"/>
      <c r="E2175" s="40"/>
      <c r="F2175" s="40"/>
      <c r="G2175" s="40"/>
      <c r="H2175" s="40"/>
      <c r="I2175" s="40"/>
      <c r="J2175" s="40"/>
      <c r="K2175" s="40"/>
      <c r="L2175" s="40"/>
      <c r="M2175" s="40"/>
      <c r="N2175" s="40"/>
      <c r="O2175" s="40"/>
      <c r="P2175" s="40"/>
      <c r="Q2175" s="40"/>
      <c r="R2175" s="40"/>
      <c r="S2175" s="40"/>
      <c r="T2175" s="40"/>
      <c r="U2175" s="40"/>
      <c r="V2175" s="40"/>
      <c r="W2175" s="40"/>
      <c r="X2175" s="40"/>
      <c r="Y2175" s="40"/>
      <c r="Z2175" s="40"/>
    </row>
    <row r="2176">
      <c r="A2176" s="65"/>
      <c r="B2176" s="66"/>
      <c r="C2176" s="68"/>
      <c r="D2176" s="68"/>
      <c r="E2176" s="40"/>
      <c r="F2176" s="40"/>
      <c r="G2176" s="40"/>
      <c r="H2176" s="40"/>
      <c r="I2176" s="40"/>
      <c r="J2176" s="40"/>
      <c r="K2176" s="40"/>
      <c r="L2176" s="40"/>
      <c r="M2176" s="40"/>
      <c r="N2176" s="40"/>
      <c r="O2176" s="40"/>
      <c r="P2176" s="40"/>
      <c r="Q2176" s="40"/>
      <c r="R2176" s="40"/>
      <c r="S2176" s="40"/>
      <c r="T2176" s="40"/>
      <c r="U2176" s="40"/>
      <c r="V2176" s="40"/>
      <c r="W2176" s="40"/>
      <c r="X2176" s="40"/>
      <c r="Y2176" s="40"/>
      <c r="Z2176" s="40"/>
    </row>
    <row r="2177">
      <c r="A2177" s="65"/>
      <c r="B2177" s="66"/>
      <c r="C2177" s="68"/>
      <c r="D2177" s="68"/>
      <c r="E2177" s="40"/>
      <c r="F2177" s="40"/>
      <c r="G2177" s="40"/>
      <c r="H2177" s="40"/>
      <c r="I2177" s="40"/>
      <c r="J2177" s="40"/>
      <c r="K2177" s="40"/>
      <c r="L2177" s="40"/>
      <c r="M2177" s="40"/>
      <c r="N2177" s="40"/>
      <c r="O2177" s="40"/>
      <c r="P2177" s="40"/>
      <c r="Q2177" s="40"/>
      <c r="R2177" s="40"/>
      <c r="S2177" s="40"/>
      <c r="T2177" s="40"/>
      <c r="U2177" s="40"/>
      <c r="V2177" s="40"/>
      <c r="W2177" s="40"/>
      <c r="X2177" s="40"/>
      <c r="Y2177" s="40"/>
      <c r="Z2177" s="40"/>
    </row>
    <row r="2178">
      <c r="A2178" s="65"/>
      <c r="B2178" s="66"/>
      <c r="C2178" s="68"/>
      <c r="D2178" s="68"/>
      <c r="E2178" s="40"/>
      <c r="F2178" s="40"/>
      <c r="G2178" s="40"/>
      <c r="H2178" s="40"/>
      <c r="I2178" s="40"/>
      <c r="J2178" s="40"/>
      <c r="K2178" s="40"/>
      <c r="L2178" s="40"/>
      <c r="M2178" s="40"/>
      <c r="N2178" s="40"/>
      <c r="O2178" s="40"/>
      <c r="P2178" s="40"/>
      <c r="Q2178" s="40"/>
      <c r="R2178" s="40"/>
      <c r="S2178" s="40"/>
      <c r="T2178" s="40"/>
      <c r="U2178" s="40"/>
      <c r="V2178" s="40"/>
      <c r="W2178" s="40"/>
      <c r="X2178" s="40"/>
      <c r="Y2178" s="40"/>
      <c r="Z2178" s="40"/>
    </row>
    <row r="2179">
      <c r="A2179" s="65"/>
      <c r="B2179" s="66"/>
      <c r="C2179" s="68"/>
      <c r="D2179" s="68"/>
      <c r="E2179" s="40"/>
      <c r="F2179" s="40"/>
      <c r="G2179" s="40"/>
      <c r="H2179" s="40"/>
      <c r="I2179" s="40"/>
      <c r="J2179" s="40"/>
      <c r="K2179" s="40"/>
      <c r="L2179" s="40"/>
      <c r="M2179" s="40"/>
      <c r="N2179" s="40"/>
      <c r="O2179" s="40"/>
      <c r="P2179" s="40"/>
      <c r="Q2179" s="40"/>
      <c r="R2179" s="40"/>
      <c r="S2179" s="40"/>
      <c r="T2179" s="40"/>
      <c r="U2179" s="40"/>
      <c r="V2179" s="40"/>
      <c r="W2179" s="40"/>
      <c r="X2179" s="40"/>
      <c r="Y2179" s="40"/>
      <c r="Z2179" s="40"/>
    </row>
    <row r="2180">
      <c r="A2180" s="65"/>
      <c r="B2180" s="66"/>
      <c r="C2180" s="68"/>
      <c r="D2180" s="68"/>
      <c r="E2180" s="40"/>
      <c r="F2180" s="40"/>
      <c r="G2180" s="40"/>
      <c r="H2180" s="40"/>
      <c r="I2180" s="40"/>
      <c r="J2180" s="40"/>
      <c r="K2180" s="40"/>
      <c r="L2180" s="40"/>
      <c r="M2180" s="40"/>
      <c r="N2180" s="40"/>
      <c r="O2180" s="40"/>
      <c r="P2180" s="40"/>
      <c r="Q2180" s="40"/>
      <c r="R2180" s="40"/>
      <c r="S2180" s="40"/>
      <c r="T2180" s="40"/>
      <c r="U2180" s="40"/>
      <c r="V2180" s="40"/>
      <c r="W2180" s="40"/>
      <c r="X2180" s="40"/>
      <c r="Y2180" s="40"/>
      <c r="Z2180" s="40"/>
    </row>
    <row r="2181">
      <c r="A2181" s="65"/>
      <c r="B2181" s="66"/>
      <c r="C2181" s="68"/>
      <c r="D2181" s="68"/>
      <c r="E2181" s="40"/>
      <c r="F2181" s="40"/>
      <c r="G2181" s="40"/>
      <c r="H2181" s="40"/>
      <c r="I2181" s="40"/>
      <c r="J2181" s="40"/>
      <c r="K2181" s="40"/>
      <c r="L2181" s="40"/>
      <c r="M2181" s="40"/>
      <c r="N2181" s="40"/>
      <c r="O2181" s="40"/>
      <c r="P2181" s="40"/>
      <c r="Q2181" s="40"/>
      <c r="R2181" s="40"/>
      <c r="S2181" s="40"/>
      <c r="T2181" s="40"/>
      <c r="U2181" s="40"/>
      <c r="V2181" s="40"/>
      <c r="W2181" s="40"/>
      <c r="X2181" s="40"/>
      <c r="Y2181" s="40"/>
      <c r="Z2181" s="40"/>
    </row>
    <row r="2182">
      <c r="A2182" s="65"/>
      <c r="B2182" s="66"/>
      <c r="C2182" s="68"/>
      <c r="D2182" s="68"/>
      <c r="E2182" s="40"/>
      <c r="F2182" s="40"/>
      <c r="G2182" s="40"/>
      <c r="H2182" s="40"/>
      <c r="I2182" s="40"/>
      <c r="J2182" s="40"/>
      <c r="K2182" s="40"/>
      <c r="L2182" s="40"/>
      <c r="M2182" s="40"/>
      <c r="N2182" s="40"/>
      <c r="O2182" s="40"/>
      <c r="P2182" s="40"/>
      <c r="Q2182" s="40"/>
      <c r="R2182" s="40"/>
      <c r="S2182" s="40"/>
      <c r="T2182" s="40"/>
      <c r="U2182" s="40"/>
      <c r="V2182" s="40"/>
      <c r="W2182" s="40"/>
      <c r="X2182" s="40"/>
      <c r="Y2182" s="40"/>
      <c r="Z2182" s="40"/>
    </row>
    <row r="2183">
      <c r="A2183" s="65"/>
      <c r="B2183" s="66"/>
      <c r="C2183" s="68"/>
      <c r="D2183" s="68"/>
      <c r="E2183" s="40"/>
      <c r="F2183" s="40"/>
      <c r="G2183" s="40"/>
      <c r="H2183" s="40"/>
      <c r="I2183" s="40"/>
      <c r="J2183" s="40"/>
      <c r="K2183" s="40"/>
      <c r="L2183" s="40"/>
      <c r="M2183" s="40"/>
      <c r="N2183" s="40"/>
      <c r="O2183" s="40"/>
      <c r="P2183" s="40"/>
      <c r="Q2183" s="40"/>
      <c r="R2183" s="40"/>
      <c r="S2183" s="40"/>
      <c r="T2183" s="40"/>
      <c r="U2183" s="40"/>
      <c r="V2183" s="40"/>
      <c r="W2183" s="40"/>
      <c r="X2183" s="40"/>
      <c r="Y2183" s="40"/>
      <c r="Z2183" s="40"/>
    </row>
    <row r="2184">
      <c r="A2184" s="65"/>
      <c r="B2184" s="66"/>
      <c r="C2184" s="68"/>
      <c r="D2184" s="68"/>
      <c r="E2184" s="40"/>
      <c r="F2184" s="40"/>
      <c r="G2184" s="40"/>
      <c r="H2184" s="40"/>
      <c r="I2184" s="40"/>
      <c r="J2184" s="40"/>
      <c r="K2184" s="40"/>
      <c r="L2184" s="40"/>
      <c r="M2184" s="40"/>
      <c r="N2184" s="40"/>
      <c r="O2184" s="40"/>
      <c r="P2184" s="40"/>
      <c r="Q2184" s="40"/>
      <c r="R2184" s="40"/>
      <c r="S2184" s="40"/>
      <c r="T2184" s="40"/>
      <c r="U2184" s="40"/>
      <c r="V2184" s="40"/>
      <c r="W2184" s="40"/>
      <c r="X2184" s="40"/>
      <c r="Y2184" s="40"/>
      <c r="Z2184" s="40"/>
    </row>
    <row r="2185">
      <c r="A2185" s="65"/>
      <c r="B2185" s="66"/>
      <c r="C2185" s="68"/>
      <c r="D2185" s="68"/>
      <c r="E2185" s="40"/>
      <c r="F2185" s="40"/>
      <c r="G2185" s="40"/>
      <c r="H2185" s="40"/>
      <c r="I2185" s="40"/>
      <c r="J2185" s="40"/>
      <c r="K2185" s="40"/>
      <c r="L2185" s="40"/>
      <c r="M2185" s="40"/>
      <c r="N2185" s="40"/>
      <c r="O2185" s="40"/>
      <c r="P2185" s="40"/>
      <c r="Q2185" s="40"/>
      <c r="R2185" s="40"/>
      <c r="S2185" s="40"/>
      <c r="T2185" s="40"/>
      <c r="U2185" s="40"/>
      <c r="V2185" s="40"/>
      <c r="W2185" s="40"/>
      <c r="X2185" s="40"/>
      <c r="Y2185" s="40"/>
      <c r="Z2185" s="40"/>
    </row>
    <row r="2186">
      <c r="A2186" s="65"/>
      <c r="B2186" s="66"/>
      <c r="C2186" s="68"/>
      <c r="D2186" s="68"/>
      <c r="E2186" s="40"/>
      <c r="F2186" s="40"/>
      <c r="G2186" s="40"/>
      <c r="H2186" s="40"/>
      <c r="I2186" s="40"/>
      <c r="J2186" s="40"/>
      <c r="K2186" s="40"/>
      <c r="L2186" s="40"/>
      <c r="M2186" s="40"/>
      <c r="N2186" s="40"/>
      <c r="O2186" s="40"/>
      <c r="P2186" s="40"/>
      <c r="Q2186" s="40"/>
      <c r="R2186" s="40"/>
      <c r="S2186" s="40"/>
      <c r="T2186" s="40"/>
      <c r="U2186" s="40"/>
      <c r="V2186" s="40"/>
      <c r="W2186" s="40"/>
      <c r="X2186" s="40"/>
      <c r="Y2186" s="40"/>
      <c r="Z2186" s="40"/>
    </row>
    <row r="2187">
      <c r="A2187" s="65"/>
      <c r="B2187" s="66"/>
      <c r="C2187" s="68"/>
      <c r="D2187" s="68"/>
      <c r="E2187" s="40"/>
      <c r="F2187" s="40"/>
      <c r="G2187" s="40"/>
      <c r="H2187" s="40"/>
      <c r="I2187" s="40"/>
      <c r="J2187" s="40"/>
      <c r="K2187" s="40"/>
      <c r="L2187" s="40"/>
      <c r="M2187" s="40"/>
      <c r="N2187" s="40"/>
      <c r="O2187" s="40"/>
      <c r="P2187" s="40"/>
      <c r="Q2187" s="40"/>
      <c r="R2187" s="40"/>
      <c r="S2187" s="40"/>
      <c r="T2187" s="40"/>
      <c r="U2187" s="40"/>
      <c r="V2187" s="40"/>
      <c r="W2187" s="40"/>
      <c r="X2187" s="40"/>
      <c r="Y2187" s="40"/>
      <c r="Z2187" s="40"/>
    </row>
    <row r="2188">
      <c r="A2188" s="65"/>
      <c r="B2188" s="66"/>
      <c r="C2188" s="68"/>
      <c r="D2188" s="68"/>
      <c r="E2188" s="40"/>
      <c r="F2188" s="40"/>
      <c r="G2188" s="40"/>
      <c r="H2188" s="40"/>
      <c r="I2188" s="40"/>
      <c r="J2188" s="40"/>
      <c r="K2188" s="40"/>
      <c r="L2188" s="40"/>
      <c r="M2188" s="40"/>
      <c r="N2188" s="40"/>
      <c r="O2188" s="40"/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0"/>
    </row>
    <row r="2189">
      <c r="A2189" s="65"/>
      <c r="B2189" s="66"/>
      <c r="C2189" s="68"/>
      <c r="D2189" s="68"/>
      <c r="E2189" s="40"/>
      <c r="F2189" s="40"/>
      <c r="G2189" s="40"/>
      <c r="H2189" s="40"/>
      <c r="I2189" s="40"/>
      <c r="J2189" s="40"/>
      <c r="K2189" s="40"/>
      <c r="L2189" s="40"/>
      <c r="M2189" s="40"/>
      <c r="N2189" s="40"/>
      <c r="O2189" s="40"/>
      <c r="P2189" s="40"/>
      <c r="Q2189" s="40"/>
      <c r="R2189" s="40"/>
      <c r="S2189" s="40"/>
      <c r="T2189" s="40"/>
      <c r="U2189" s="40"/>
      <c r="V2189" s="40"/>
      <c r="W2189" s="40"/>
      <c r="X2189" s="40"/>
      <c r="Y2189" s="40"/>
      <c r="Z2189" s="40"/>
    </row>
    <row r="2190">
      <c r="A2190" s="65"/>
      <c r="B2190" s="66"/>
      <c r="C2190" s="68"/>
      <c r="D2190" s="68"/>
      <c r="E2190" s="40"/>
      <c r="F2190" s="40"/>
      <c r="G2190" s="40"/>
      <c r="H2190" s="40"/>
      <c r="I2190" s="40"/>
      <c r="J2190" s="40"/>
      <c r="K2190" s="40"/>
      <c r="L2190" s="40"/>
      <c r="M2190" s="40"/>
      <c r="N2190" s="40"/>
      <c r="O2190" s="40"/>
      <c r="P2190" s="40"/>
      <c r="Q2190" s="40"/>
      <c r="R2190" s="40"/>
      <c r="S2190" s="40"/>
      <c r="T2190" s="40"/>
      <c r="U2190" s="40"/>
      <c r="V2190" s="40"/>
      <c r="W2190" s="40"/>
      <c r="X2190" s="40"/>
      <c r="Y2190" s="40"/>
      <c r="Z2190" s="40"/>
    </row>
    <row r="2191">
      <c r="A2191" s="65"/>
      <c r="B2191" s="66"/>
      <c r="C2191" s="68"/>
      <c r="D2191" s="68"/>
      <c r="E2191" s="40"/>
      <c r="F2191" s="40"/>
      <c r="G2191" s="40"/>
      <c r="H2191" s="40"/>
      <c r="I2191" s="40"/>
      <c r="J2191" s="40"/>
      <c r="K2191" s="40"/>
      <c r="L2191" s="40"/>
      <c r="M2191" s="40"/>
      <c r="N2191" s="40"/>
      <c r="O2191" s="40"/>
      <c r="P2191" s="40"/>
      <c r="Q2191" s="40"/>
      <c r="R2191" s="40"/>
      <c r="S2191" s="40"/>
      <c r="T2191" s="40"/>
      <c r="U2191" s="40"/>
      <c r="V2191" s="40"/>
      <c r="W2191" s="40"/>
      <c r="X2191" s="40"/>
      <c r="Y2191" s="40"/>
      <c r="Z2191" s="40"/>
    </row>
    <row r="2192">
      <c r="A2192" s="65"/>
      <c r="B2192" s="66"/>
      <c r="C2192" s="68"/>
      <c r="D2192" s="68"/>
      <c r="E2192" s="40"/>
      <c r="F2192" s="40"/>
      <c r="G2192" s="40"/>
      <c r="H2192" s="40"/>
      <c r="I2192" s="40"/>
      <c r="J2192" s="40"/>
      <c r="K2192" s="40"/>
      <c r="L2192" s="40"/>
      <c r="M2192" s="40"/>
      <c r="N2192" s="40"/>
      <c r="O2192" s="40"/>
      <c r="P2192" s="40"/>
      <c r="Q2192" s="40"/>
      <c r="R2192" s="40"/>
      <c r="S2192" s="40"/>
      <c r="T2192" s="40"/>
      <c r="U2192" s="40"/>
      <c r="V2192" s="40"/>
      <c r="W2192" s="40"/>
      <c r="X2192" s="40"/>
      <c r="Y2192" s="40"/>
      <c r="Z2192" s="40"/>
    </row>
    <row r="2193">
      <c r="A2193" s="65"/>
      <c r="B2193" s="66"/>
      <c r="C2193" s="68"/>
      <c r="D2193" s="68"/>
      <c r="E2193" s="40"/>
      <c r="F2193" s="40"/>
      <c r="G2193" s="40"/>
      <c r="H2193" s="40"/>
      <c r="I2193" s="40"/>
      <c r="J2193" s="40"/>
      <c r="K2193" s="40"/>
      <c r="L2193" s="40"/>
      <c r="M2193" s="40"/>
      <c r="N2193" s="40"/>
      <c r="O2193" s="40"/>
      <c r="P2193" s="40"/>
      <c r="Q2193" s="40"/>
      <c r="R2193" s="40"/>
      <c r="S2193" s="40"/>
      <c r="T2193" s="40"/>
      <c r="U2193" s="40"/>
      <c r="V2193" s="40"/>
      <c r="W2193" s="40"/>
      <c r="X2193" s="40"/>
      <c r="Y2193" s="40"/>
      <c r="Z2193" s="40"/>
    </row>
    <row r="2194">
      <c r="A2194" s="65"/>
      <c r="B2194" s="66"/>
      <c r="C2194" s="68"/>
      <c r="D2194" s="68"/>
      <c r="E2194" s="40"/>
      <c r="F2194" s="40"/>
      <c r="G2194" s="40"/>
      <c r="H2194" s="40"/>
      <c r="I2194" s="40"/>
      <c r="J2194" s="40"/>
      <c r="K2194" s="40"/>
      <c r="L2194" s="40"/>
      <c r="M2194" s="40"/>
      <c r="N2194" s="40"/>
      <c r="O2194" s="40"/>
      <c r="P2194" s="40"/>
      <c r="Q2194" s="40"/>
      <c r="R2194" s="40"/>
      <c r="S2194" s="40"/>
      <c r="T2194" s="40"/>
      <c r="U2194" s="40"/>
      <c r="V2194" s="40"/>
      <c r="W2194" s="40"/>
      <c r="X2194" s="40"/>
      <c r="Y2194" s="40"/>
      <c r="Z2194" s="40"/>
    </row>
    <row r="2195">
      <c r="A2195" s="65"/>
      <c r="B2195" s="66"/>
      <c r="C2195" s="68"/>
      <c r="D2195" s="68"/>
      <c r="E2195" s="40"/>
      <c r="F2195" s="40"/>
      <c r="G2195" s="40"/>
      <c r="H2195" s="40"/>
      <c r="I2195" s="40"/>
      <c r="J2195" s="40"/>
      <c r="K2195" s="40"/>
      <c r="L2195" s="40"/>
      <c r="M2195" s="40"/>
      <c r="N2195" s="40"/>
      <c r="O2195" s="40"/>
      <c r="P2195" s="40"/>
      <c r="Q2195" s="40"/>
      <c r="R2195" s="40"/>
      <c r="S2195" s="40"/>
      <c r="T2195" s="40"/>
      <c r="U2195" s="40"/>
      <c r="V2195" s="40"/>
      <c r="W2195" s="40"/>
      <c r="X2195" s="40"/>
      <c r="Y2195" s="40"/>
      <c r="Z2195" s="40"/>
    </row>
    <row r="2196">
      <c r="A2196" s="65"/>
      <c r="B2196" s="66"/>
      <c r="C2196" s="68"/>
      <c r="D2196" s="68"/>
      <c r="E2196" s="40"/>
      <c r="F2196" s="40"/>
      <c r="G2196" s="40"/>
      <c r="H2196" s="40"/>
      <c r="I2196" s="40"/>
      <c r="J2196" s="40"/>
      <c r="K2196" s="40"/>
      <c r="L2196" s="40"/>
      <c r="M2196" s="40"/>
      <c r="N2196" s="40"/>
      <c r="O2196" s="40"/>
      <c r="P2196" s="40"/>
      <c r="Q2196" s="40"/>
      <c r="R2196" s="40"/>
      <c r="S2196" s="40"/>
      <c r="T2196" s="40"/>
      <c r="U2196" s="40"/>
      <c r="V2196" s="40"/>
      <c r="W2196" s="40"/>
      <c r="X2196" s="40"/>
      <c r="Y2196" s="40"/>
      <c r="Z2196" s="40"/>
    </row>
    <row r="2197">
      <c r="A2197" s="65"/>
      <c r="B2197" s="66"/>
      <c r="C2197" s="68"/>
      <c r="D2197" s="68"/>
      <c r="E2197" s="40"/>
      <c r="F2197" s="40"/>
      <c r="G2197" s="40"/>
      <c r="H2197" s="40"/>
      <c r="I2197" s="40"/>
      <c r="J2197" s="40"/>
      <c r="K2197" s="40"/>
      <c r="L2197" s="40"/>
      <c r="M2197" s="40"/>
      <c r="N2197" s="40"/>
      <c r="O2197" s="40"/>
      <c r="P2197" s="40"/>
      <c r="Q2197" s="40"/>
      <c r="R2197" s="40"/>
      <c r="S2197" s="40"/>
      <c r="T2197" s="40"/>
      <c r="U2197" s="40"/>
      <c r="V2197" s="40"/>
      <c r="W2197" s="40"/>
      <c r="X2197" s="40"/>
      <c r="Y2197" s="40"/>
      <c r="Z2197" s="40"/>
    </row>
    <row r="2198">
      <c r="A2198" s="65"/>
      <c r="B2198" s="66"/>
      <c r="C2198" s="68"/>
      <c r="D2198" s="68"/>
      <c r="E2198" s="40"/>
      <c r="F2198" s="40"/>
      <c r="G2198" s="40"/>
      <c r="H2198" s="40"/>
      <c r="I2198" s="40"/>
      <c r="J2198" s="40"/>
      <c r="K2198" s="40"/>
      <c r="L2198" s="40"/>
      <c r="M2198" s="40"/>
      <c r="N2198" s="40"/>
      <c r="O2198" s="40"/>
      <c r="P2198" s="40"/>
      <c r="Q2198" s="40"/>
      <c r="R2198" s="40"/>
      <c r="S2198" s="40"/>
      <c r="T2198" s="40"/>
      <c r="U2198" s="40"/>
      <c r="V2198" s="40"/>
      <c r="W2198" s="40"/>
      <c r="X2198" s="40"/>
      <c r="Y2198" s="40"/>
      <c r="Z2198" s="40"/>
    </row>
    <row r="2199">
      <c r="A2199" s="65"/>
      <c r="B2199" s="66"/>
      <c r="C2199" s="68"/>
      <c r="D2199" s="68"/>
      <c r="E2199" s="40"/>
      <c r="F2199" s="40"/>
      <c r="G2199" s="40"/>
      <c r="H2199" s="40"/>
      <c r="I2199" s="40"/>
      <c r="J2199" s="40"/>
      <c r="K2199" s="40"/>
      <c r="L2199" s="40"/>
      <c r="M2199" s="40"/>
      <c r="N2199" s="40"/>
      <c r="O2199" s="40"/>
      <c r="P2199" s="40"/>
      <c r="Q2199" s="40"/>
      <c r="R2199" s="40"/>
      <c r="S2199" s="40"/>
      <c r="T2199" s="40"/>
      <c r="U2199" s="40"/>
      <c r="V2199" s="40"/>
      <c r="W2199" s="40"/>
      <c r="X2199" s="40"/>
      <c r="Y2199" s="40"/>
      <c r="Z2199" s="40"/>
    </row>
    <row r="2200">
      <c r="A2200" s="65"/>
      <c r="B2200" s="66"/>
      <c r="C2200" s="68"/>
      <c r="D2200" s="68"/>
      <c r="E2200" s="40"/>
      <c r="F2200" s="40"/>
      <c r="G2200" s="40"/>
      <c r="H2200" s="40"/>
      <c r="I2200" s="40"/>
      <c r="J2200" s="40"/>
      <c r="K2200" s="40"/>
      <c r="L2200" s="40"/>
      <c r="M2200" s="40"/>
      <c r="N2200" s="40"/>
      <c r="O2200" s="40"/>
      <c r="P2200" s="40"/>
      <c r="Q2200" s="40"/>
      <c r="R2200" s="40"/>
      <c r="S2200" s="40"/>
      <c r="T2200" s="40"/>
      <c r="U2200" s="40"/>
      <c r="V2200" s="40"/>
      <c r="W2200" s="40"/>
      <c r="X2200" s="40"/>
      <c r="Y2200" s="40"/>
      <c r="Z2200" s="40"/>
    </row>
    <row r="2201">
      <c r="A2201" s="65"/>
      <c r="B2201" s="66"/>
      <c r="C2201" s="68"/>
      <c r="D2201" s="68"/>
      <c r="E2201" s="40"/>
      <c r="F2201" s="40"/>
      <c r="G2201" s="40"/>
      <c r="H2201" s="40"/>
      <c r="I2201" s="40"/>
      <c r="J2201" s="40"/>
      <c r="K2201" s="40"/>
      <c r="L2201" s="40"/>
      <c r="M2201" s="40"/>
      <c r="N2201" s="40"/>
      <c r="O2201" s="40"/>
      <c r="P2201" s="40"/>
      <c r="Q2201" s="40"/>
      <c r="R2201" s="40"/>
      <c r="S2201" s="40"/>
      <c r="T2201" s="40"/>
      <c r="U2201" s="40"/>
      <c r="V2201" s="40"/>
      <c r="W2201" s="40"/>
      <c r="X2201" s="40"/>
      <c r="Y2201" s="40"/>
      <c r="Z2201" s="40"/>
    </row>
    <row r="2202">
      <c r="A2202" s="65"/>
      <c r="B2202" s="66"/>
      <c r="C2202" s="68"/>
      <c r="D2202" s="68"/>
      <c r="E2202" s="40"/>
      <c r="F2202" s="40"/>
      <c r="G2202" s="40"/>
      <c r="H2202" s="40"/>
      <c r="I2202" s="40"/>
      <c r="J2202" s="40"/>
      <c r="K2202" s="40"/>
      <c r="L2202" s="40"/>
      <c r="M2202" s="40"/>
      <c r="N2202" s="40"/>
      <c r="O2202" s="40"/>
      <c r="P2202" s="40"/>
      <c r="Q2202" s="40"/>
      <c r="R2202" s="40"/>
      <c r="S2202" s="40"/>
      <c r="T2202" s="40"/>
      <c r="U2202" s="40"/>
      <c r="V2202" s="40"/>
      <c r="W2202" s="40"/>
      <c r="X2202" s="40"/>
      <c r="Y2202" s="40"/>
      <c r="Z2202" s="40"/>
    </row>
    <row r="2203">
      <c r="A2203" s="65"/>
      <c r="B2203" s="66"/>
      <c r="C2203" s="68"/>
      <c r="D2203" s="68"/>
      <c r="E2203" s="40"/>
      <c r="F2203" s="40"/>
      <c r="G2203" s="40"/>
      <c r="H2203" s="40"/>
      <c r="I2203" s="40"/>
      <c r="J2203" s="40"/>
      <c r="K2203" s="40"/>
      <c r="L2203" s="40"/>
      <c r="M2203" s="40"/>
      <c r="N2203" s="40"/>
      <c r="O2203" s="40"/>
      <c r="P2203" s="40"/>
      <c r="Q2203" s="40"/>
      <c r="R2203" s="40"/>
      <c r="S2203" s="40"/>
      <c r="T2203" s="40"/>
      <c r="U2203" s="40"/>
      <c r="V2203" s="40"/>
      <c r="W2203" s="40"/>
      <c r="X2203" s="40"/>
      <c r="Y2203" s="40"/>
      <c r="Z2203" s="40"/>
    </row>
    <row r="2204">
      <c r="A2204" s="65"/>
      <c r="B2204" s="66"/>
      <c r="C2204" s="68"/>
      <c r="D2204" s="68"/>
      <c r="E2204" s="40"/>
      <c r="F2204" s="40"/>
      <c r="G2204" s="40"/>
      <c r="H2204" s="40"/>
      <c r="I2204" s="40"/>
      <c r="J2204" s="40"/>
      <c r="K2204" s="40"/>
      <c r="L2204" s="40"/>
      <c r="M2204" s="40"/>
      <c r="N2204" s="40"/>
      <c r="O2204" s="40"/>
      <c r="P2204" s="40"/>
      <c r="Q2204" s="40"/>
      <c r="R2204" s="40"/>
      <c r="S2204" s="40"/>
      <c r="T2204" s="40"/>
      <c r="U2204" s="40"/>
      <c r="V2204" s="40"/>
      <c r="W2204" s="40"/>
      <c r="X2204" s="40"/>
      <c r="Y2204" s="40"/>
      <c r="Z2204" s="40"/>
    </row>
    <row r="2205">
      <c r="A2205" s="65"/>
      <c r="B2205" s="66"/>
      <c r="C2205" s="68"/>
      <c r="D2205" s="68"/>
      <c r="E2205" s="40"/>
      <c r="F2205" s="40"/>
      <c r="G2205" s="40"/>
      <c r="H2205" s="40"/>
      <c r="I2205" s="40"/>
      <c r="J2205" s="40"/>
      <c r="K2205" s="40"/>
      <c r="L2205" s="40"/>
      <c r="M2205" s="40"/>
      <c r="N2205" s="40"/>
      <c r="O2205" s="40"/>
      <c r="P2205" s="40"/>
      <c r="Q2205" s="40"/>
      <c r="R2205" s="40"/>
      <c r="S2205" s="40"/>
      <c r="T2205" s="40"/>
      <c r="U2205" s="40"/>
      <c r="V2205" s="40"/>
      <c r="W2205" s="40"/>
      <c r="X2205" s="40"/>
      <c r="Y2205" s="40"/>
      <c r="Z2205" s="40"/>
    </row>
    <row r="2206">
      <c r="A2206" s="65"/>
      <c r="B2206" s="66"/>
      <c r="C2206" s="68"/>
      <c r="D2206" s="68"/>
      <c r="E2206" s="40"/>
      <c r="F2206" s="40"/>
      <c r="G2206" s="40"/>
      <c r="H2206" s="40"/>
      <c r="I2206" s="40"/>
      <c r="J2206" s="40"/>
      <c r="K2206" s="40"/>
      <c r="L2206" s="40"/>
      <c r="M2206" s="40"/>
      <c r="N2206" s="40"/>
      <c r="O2206" s="40"/>
      <c r="P2206" s="40"/>
      <c r="Q2206" s="40"/>
      <c r="R2206" s="40"/>
      <c r="S2206" s="40"/>
      <c r="T2206" s="40"/>
      <c r="U2206" s="40"/>
      <c r="V2206" s="40"/>
      <c r="W2206" s="40"/>
      <c r="X2206" s="40"/>
      <c r="Y2206" s="40"/>
      <c r="Z2206" s="40"/>
    </row>
    <row r="2207">
      <c r="A2207" s="65"/>
      <c r="B2207" s="66"/>
      <c r="C2207" s="68"/>
      <c r="D2207" s="68"/>
      <c r="E2207" s="40"/>
      <c r="F2207" s="40"/>
      <c r="G2207" s="40"/>
      <c r="H2207" s="40"/>
      <c r="I2207" s="40"/>
      <c r="J2207" s="40"/>
      <c r="K2207" s="40"/>
      <c r="L2207" s="40"/>
      <c r="M2207" s="40"/>
      <c r="N2207" s="40"/>
      <c r="O2207" s="40"/>
      <c r="P2207" s="40"/>
      <c r="Q2207" s="40"/>
      <c r="R2207" s="40"/>
      <c r="S2207" s="40"/>
      <c r="T2207" s="40"/>
      <c r="U2207" s="40"/>
      <c r="V2207" s="40"/>
      <c r="W2207" s="40"/>
      <c r="X2207" s="40"/>
      <c r="Y2207" s="40"/>
      <c r="Z2207" s="40"/>
    </row>
    <row r="2208">
      <c r="A2208" s="65"/>
      <c r="B2208" s="66"/>
      <c r="C2208" s="68"/>
      <c r="D2208" s="68"/>
      <c r="E2208" s="40"/>
      <c r="F2208" s="40"/>
      <c r="G2208" s="40"/>
      <c r="H2208" s="40"/>
      <c r="I2208" s="40"/>
      <c r="J2208" s="40"/>
      <c r="K2208" s="40"/>
      <c r="L2208" s="40"/>
      <c r="M2208" s="40"/>
      <c r="N2208" s="40"/>
      <c r="O2208" s="40"/>
      <c r="P2208" s="40"/>
      <c r="Q2208" s="40"/>
      <c r="R2208" s="40"/>
      <c r="S2208" s="40"/>
      <c r="T2208" s="40"/>
      <c r="U2208" s="40"/>
      <c r="V2208" s="40"/>
      <c r="W2208" s="40"/>
      <c r="X2208" s="40"/>
      <c r="Y2208" s="40"/>
      <c r="Z2208" s="40"/>
    </row>
    <row r="2209">
      <c r="A2209" s="65"/>
      <c r="B2209" s="66"/>
      <c r="C2209" s="68"/>
      <c r="D2209" s="68"/>
      <c r="E2209" s="40"/>
      <c r="F2209" s="40"/>
      <c r="G2209" s="40"/>
      <c r="H2209" s="40"/>
      <c r="I2209" s="40"/>
      <c r="J2209" s="40"/>
      <c r="K2209" s="40"/>
      <c r="L2209" s="40"/>
      <c r="M2209" s="40"/>
      <c r="N2209" s="40"/>
      <c r="O2209" s="40"/>
      <c r="P2209" s="40"/>
      <c r="Q2209" s="40"/>
      <c r="R2209" s="40"/>
      <c r="S2209" s="40"/>
      <c r="T2209" s="40"/>
      <c r="U2209" s="40"/>
      <c r="V2209" s="40"/>
      <c r="W2209" s="40"/>
      <c r="X2209" s="40"/>
      <c r="Y2209" s="40"/>
      <c r="Z2209" s="40"/>
    </row>
    <row r="2210">
      <c r="A2210" s="65"/>
      <c r="B2210" s="66"/>
      <c r="C2210" s="68"/>
      <c r="D2210" s="68"/>
      <c r="E2210" s="40"/>
      <c r="F2210" s="40"/>
      <c r="G2210" s="40"/>
      <c r="H2210" s="40"/>
      <c r="I2210" s="40"/>
      <c r="J2210" s="40"/>
      <c r="K2210" s="40"/>
      <c r="L2210" s="40"/>
      <c r="M2210" s="40"/>
      <c r="N2210" s="40"/>
      <c r="O2210" s="40"/>
      <c r="P2210" s="40"/>
      <c r="Q2210" s="40"/>
      <c r="R2210" s="40"/>
      <c r="S2210" s="40"/>
      <c r="T2210" s="40"/>
      <c r="U2210" s="40"/>
      <c r="V2210" s="40"/>
      <c r="W2210" s="40"/>
      <c r="X2210" s="40"/>
      <c r="Y2210" s="40"/>
      <c r="Z2210" s="40"/>
    </row>
    <row r="2211">
      <c r="A2211" s="65"/>
      <c r="B2211" s="66"/>
      <c r="C2211" s="68"/>
      <c r="D2211" s="68"/>
      <c r="E2211" s="40"/>
      <c r="F2211" s="40"/>
      <c r="G2211" s="40"/>
      <c r="H2211" s="40"/>
      <c r="I2211" s="40"/>
      <c r="J2211" s="40"/>
      <c r="K2211" s="40"/>
      <c r="L2211" s="40"/>
      <c r="M2211" s="40"/>
      <c r="N2211" s="40"/>
      <c r="O2211" s="40"/>
      <c r="P2211" s="40"/>
      <c r="Q2211" s="40"/>
      <c r="R2211" s="40"/>
      <c r="S2211" s="40"/>
      <c r="T2211" s="40"/>
      <c r="U2211" s="40"/>
      <c r="V2211" s="40"/>
      <c r="W2211" s="40"/>
      <c r="X2211" s="40"/>
      <c r="Y2211" s="40"/>
      <c r="Z2211" s="40"/>
    </row>
    <row r="2212">
      <c r="A2212" s="65"/>
      <c r="B2212" s="66"/>
      <c r="C2212" s="68"/>
      <c r="D2212" s="68"/>
      <c r="E2212" s="40"/>
      <c r="F2212" s="40"/>
      <c r="G2212" s="40"/>
      <c r="H2212" s="40"/>
      <c r="I2212" s="40"/>
      <c r="J2212" s="40"/>
      <c r="K2212" s="40"/>
      <c r="L2212" s="40"/>
      <c r="M2212" s="40"/>
      <c r="N2212" s="40"/>
      <c r="O2212" s="40"/>
      <c r="P2212" s="40"/>
      <c r="Q2212" s="40"/>
      <c r="R2212" s="40"/>
      <c r="S2212" s="40"/>
      <c r="T2212" s="40"/>
      <c r="U2212" s="40"/>
      <c r="V2212" s="40"/>
      <c r="W2212" s="40"/>
      <c r="X2212" s="40"/>
      <c r="Y2212" s="40"/>
      <c r="Z2212" s="40"/>
    </row>
    <row r="2213">
      <c r="A2213" s="65"/>
      <c r="B2213" s="66"/>
      <c r="C2213" s="68"/>
      <c r="D2213" s="68"/>
      <c r="E2213" s="40"/>
      <c r="F2213" s="40"/>
      <c r="G2213" s="40"/>
      <c r="H2213" s="40"/>
      <c r="I2213" s="40"/>
      <c r="J2213" s="40"/>
      <c r="K2213" s="40"/>
      <c r="L2213" s="40"/>
      <c r="M2213" s="40"/>
      <c r="N2213" s="40"/>
      <c r="O2213" s="40"/>
      <c r="P2213" s="40"/>
      <c r="Q2213" s="40"/>
      <c r="R2213" s="40"/>
      <c r="S2213" s="40"/>
      <c r="T2213" s="40"/>
      <c r="U2213" s="40"/>
      <c r="V2213" s="40"/>
      <c r="W2213" s="40"/>
      <c r="X2213" s="40"/>
      <c r="Y2213" s="40"/>
      <c r="Z2213" s="40"/>
    </row>
    <row r="2214">
      <c r="A2214" s="65"/>
      <c r="B2214" s="66"/>
      <c r="C2214" s="68"/>
      <c r="D2214" s="68"/>
      <c r="E2214" s="40"/>
      <c r="F2214" s="40"/>
      <c r="G2214" s="40"/>
      <c r="H2214" s="40"/>
      <c r="I2214" s="40"/>
      <c r="J2214" s="40"/>
      <c r="K2214" s="40"/>
      <c r="L2214" s="40"/>
      <c r="M2214" s="40"/>
      <c r="N2214" s="40"/>
      <c r="O2214" s="40"/>
      <c r="P2214" s="40"/>
      <c r="Q2214" s="40"/>
      <c r="R2214" s="40"/>
      <c r="S2214" s="40"/>
      <c r="T2214" s="40"/>
      <c r="U2214" s="40"/>
      <c r="V2214" s="40"/>
      <c r="W2214" s="40"/>
      <c r="X2214" s="40"/>
      <c r="Y2214" s="40"/>
      <c r="Z2214" s="40"/>
    </row>
    <row r="2215">
      <c r="A2215" s="65"/>
      <c r="B2215" s="66"/>
      <c r="C2215" s="68"/>
      <c r="D2215" s="68"/>
      <c r="E2215" s="40"/>
      <c r="F2215" s="40"/>
      <c r="G2215" s="40"/>
      <c r="H2215" s="40"/>
      <c r="I2215" s="40"/>
      <c r="J2215" s="40"/>
      <c r="K2215" s="40"/>
      <c r="L2215" s="40"/>
      <c r="M2215" s="40"/>
      <c r="N2215" s="40"/>
      <c r="O2215" s="40"/>
      <c r="P2215" s="40"/>
      <c r="Q2215" s="40"/>
      <c r="R2215" s="40"/>
      <c r="S2215" s="40"/>
      <c r="T2215" s="40"/>
      <c r="U2215" s="40"/>
      <c r="V2215" s="40"/>
      <c r="W2215" s="40"/>
      <c r="X2215" s="40"/>
      <c r="Y2215" s="40"/>
      <c r="Z2215" s="40"/>
    </row>
    <row r="2216">
      <c r="A2216" s="65"/>
      <c r="B2216" s="66"/>
      <c r="C2216" s="68"/>
      <c r="D2216" s="68"/>
      <c r="E2216" s="40"/>
      <c r="F2216" s="40"/>
      <c r="G2216" s="40"/>
      <c r="H2216" s="40"/>
      <c r="I2216" s="40"/>
      <c r="J2216" s="40"/>
      <c r="K2216" s="40"/>
      <c r="L2216" s="40"/>
      <c r="M2216" s="40"/>
      <c r="N2216" s="40"/>
      <c r="O2216" s="40"/>
      <c r="P2216" s="40"/>
      <c r="Q2216" s="40"/>
      <c r="R2216" s="40"/>
      <c r="S2216" s="40"/>
      <c r="T2216" s="40"/>
      <c r="U2216" s="40"/>
      <c r="V2216" s="40"/>
      <c r="W2216" s="40"/>
      <c r="X2216" s="40"/>
      <c r="Y2216" s="40"/>
      <c r="Z2216" s="40"/>
    </row>
    <row r="2217">
      <c r="A2217" s="65"/>
      <c r="B2217" s="66"/>
      <c r="C2217" s="68"/>
      <c r="D2217" s="68"/>
      <c r="E2217" s="40"/>
      <c r="F2217" s="40"/>
      <c r="G2217" s="40"/>
      <c r="H2217" s="40"/>
      <c r="I2217" s="40"/>
      <c r="J2217" s="40"/>
      <c r="K2217" s="40"/>
      <c r="L2217" s="40"/>
      <c r="M2217" s="40"/>
      <c r="N2217" s="40"/>
      <c r="O2217" s="40"/>
      <c r="P2217" s="40"/>
      <c r="Q2217" s="40"/>
      <c r="R2217" s="40"/>
      <c r="S2217" s="40"/>
      <c r="T2217" s="40"/>
      <c r="U2217" s="40"/>
      <c r="V2217" s="40"/>
      <c r="W2217" s="40"/>
      <c r="X2217" s="40"/>
      <c r="Y2217" s="40"/>
      <c r="Z2217" s="40"/>
    </row>
    <row r="2218">
      <c r="A2218" s="65"/>
      <c r="B2218" s="66"/>
      <c r="C2218" s="68"/>
      <c r="D2218" s="68"/>
      <c r="E2218" s="40"/>
      <c r="F2218" s="40"/>
      <c r="G2218" s="40"/>
      <c r="H2218" s="40"/>
      <c r="I2218" s="40"/>
      <c r="J2218" s="40"/>
      <c r="K2218" s="40"/>
      <c r="L2218" s="40"/>
      <c r="M2218" s="40"/>
      <c r="N2218" s="40"/>
      <c r="O2218" s="40"/>
      <c r="P2218" s="40"/>
      <c r="Q2218" s="40"/>
      <c r="R2218" s="40"/>
      <c r="S2218" s="40"/>
      <c r="T2218" s="40"/>
      <c r="U2218" s="40"/>
      <c r="V2218" s="40"/>
      <c r="W2218" s="40"/>
      <c r="X2218" s="40"/>
      <c r="Y2218" s="40"/>
      <c r="Z2218" s="40"/>
    </row>
    <row r="2219">
      <c r="A2219" s="65"/>
      <c r="B2219" s="66"/>
      <c r="C2219" s="68"/>
      <c r="D2219" s="68"/>
      <c r="E2219" s="40"/>
      <c r="F2219" s="40"/>
      <c r="G2219" s="40"/>
      <c r="H2219" s="40"/>
      <c r="I2219" s="40"/>
      <c r="J2219" s="40"/>
      <c r="K2219" s="40"/>
      <c r="L2219" s="40"/>
      <c r="M2219" s="40"/>
      <c r="N2219" s="40"/>
      <c r="O2219" s="40"/>
      <c r="P2219" s="40"/>
      <c r="Q2219" s="40"/>
      <c r="R2219" s="40"/>
      <c r="S2219" s="40"/>
      <c r="T2219" s="40"/>
      <c r="U2219" s="40"/>
      <c r="V2219" s="40"/>
      <c r="W2219" s="40"/>
      <c r="X2219" s="40"/>
      <c r="Y2219" s="40"/>
      <c r="Z2219" s="40"/>
    </row>
    <row r="2220">
      <c r="A2220" s="65"/>
      <c r="B2220" s="66"/>
      <c r="C2220" s="68"/>
      <c r="D2220" s="68"/>
      <c r="E2220" s="40"/>
      <c r="F2220" s="40"/>
      <c r="G2220" s="40"/>
      <c r="H2220" s="40"/>
      <c r="I2220" s="40"/>
      <c r="J2220" s="40"/>
      <c r="K2220" s="40"/>
      <c r="L2220" s="40"/>
      <c r="M2220" s="40"/>
      <c r="N2220" s="40"/>
      <c r="O2220" s="40"/>
      <c r="P2220" s="40"/>
      <c r="Q2220" s="40"/>
      <c r="R2220" s="40"/>
      <c r="S2220" s="40"/>
      <c r="T2220" s="40"/>
      <c r="U2220" s="40"/>
      <c r="V2220" s="40"/>
      <c r="W2220" s="40"/>
      <c r="X2220" s="40"/>
      <c r="Y2220" s="40"/>
      <c r="Z2220" s="40"/>
    </row>
    <row r="2221">
      <c r="A2221" s="65"/>
      <c r="B2221" s="66"/>
      <c r="C2221" s="68"/>
      <c r="D2221" s="68"/>
      <c r="E2221" s="40"/>
      <c r="F2221" s="40"/>
      <c r="G2221" s="40"/>
      <c r="H2221" s="40"/>
      <c r="I2221" s="40"/>
      <c r="J2221" s="40"/>
      <c r="K2221" s="40"/>
      <c r="L2221" s="40"/>
      <c r="M2221" s="40"/>
      <c r="N2221" s="40"/>
      <c r="O2221" s="40"/>
      <c r="P2221" s="40"/>
      <c r="Q2221" s="40"/>
      <c r="R2221" s="40"/>
      <c r="S2221" s="40"/>
      <c r="T2221" s="40"/>
      <c r="U2221" s="40"/>
      <c r="V2221" s="40"/>
      <c r="W2221" s="40"/>
      <c r="X2221" s="40"/>
      <c r="Y2221" s="40"/>
      <c r="Z2221" s="40"/>
    </row>
    <row r="2222">
      <c r="A2222" s="65"/>
      <c r="B2222" s="66"/>
      <c r="C2222" s="68"/>
      <c r="D2222" s="68"/>
      <c r="E2222" s="40"/>
      <c r="F2222" s="40"/>
      <c r="G2222" s="40"/>
      <c r="H2222" s="40"/>
      <c r="I2222" s="40"/>
      <c r="J2222" s="40"/>
      <c r="K2222" s="40"/>
      <c r="L2222" s="40"/>
      <c r="M2222" s="40"/>
      <c r="N2222" s="40"/>
      <c r="O2222" s="40"/>
      <c r="P2222" s="40"/>
      <c r="Q2222" s="40"/>
      <c r="R2222" s="40"/>
      <c r="S2222" s="40"/>
      <c r="T2222" s="40"/>
      <c r="U2222" s="40"/>
      <c r="V2222" s="40"/>
      <c r="W2222" s="40"/>
      <c r="X2222" s="40"/>
      <c r="Y2222" s="40"/>
      <c r="Z2222" s="40"/>
    </row>
    <row r="2223">
      <c r="A2223" s="65"/>
      <c r="B2223" s="66"/>
      <c r="C2223" s="68"/>
      <c r="D2223" s="68"/>
      <c r="E2223" s="40"/>
      <c r="F2223" s="40"/>
      <c r="G2223" s="40"/>
      <c r="H2223" s="40"/>
      <c r="I2223" s="40"/>
      <c r="J2223" s="40"/>
      <c r="K2223" s="40"/>
      <c r="L2223" s="40"/>
      <c r="M2223" s="40"/>
      <c r="N2223" s="40"/>
      <c r="O2223" s="40"/>
      <c r="P2223" s="40"/>
      <c r="Q2223" s="40"/>
      <c r="R2223" s="40"/>
      <c r="S2223" s="40"/>
      <c r="T2223" s="40"/>
      <c r="U2223" s="40"/>
      <c r="V2223" s="40"/>
      <c r="W2223" s="40"/>
      <c r="X2223" s="40"/>
      <c r="Y2223" s="40"/>
      <c r="Z2223" s="40"/>
    </row>
    <row r="2224">
      <c r="A2224" s="65"/>
      <c r="B2224" s="66"/>
      <c r="C2224" s="68"/>
      <c r="D2224" s="68"/>
      <c r="E2224" s="40"/>
      <c r="F2224" s="40"/>
      <c r="G2224" s="40"/>
      <c r="H2224" s="40"/>
      <c r="I2224" s="40"/>
      <c r="J2224" s="40"/>
      <c r="K2224" s="40"/>
      <c r="L2224" s="40"/>
      <c r="M2224" s="40"/>
      <c r="N2224" s="40"/>
      <c r="O2224" s="40"/>
      <c r="P2224" s="40"/>
      <c r="Q2224" s="40"/>
      <c r="R2224" s="40"/>
      <c r="S2224" s="40"/>
      <c r="T2224" s="40"/>
      <c r="U2224" s="40"/>
      <c r="V2224" s="40"/>
      <c r="W2224" s="40"/>
      <c r="X2224" s="40"/>
      <c r="Y2224" s="40"/>
      <c r="Z2224" s="40"/>
    </row>
    <row r="2225">
      <c r="A2225" s="65"/>
      <c r="B2225" s="66"/>
      <c r="C2225" s="68"/>
      <c r="D2225" s="68"/>
      <c r="E2225" s="40"/>
      <c r="F2225" s="40"/>
      <c r="G2225" s="40"/>
      <c r="H2225" s="40"/>
      <c r="I2225" s="40"/>
      <c r="J2225" s="40"/>
      <c r="K2225" s="40"/>
      <c r="L2225" s="40"/>
      <c r="M2225" s="40"/>
      <c r="N2225" s="40"/>
      <c r="O2225" s="40"/>
      <c r="P2225" s="40"/>
      <c r="Q2225" s="40"/>
      <c r="R2225" s="40"/>
      <c r="S2225" s="40"/>
      <c r="T2225" s="40"/>
      <c r="U2225" s="40"/>
      <c r="V2225" s="40"/>
      <c r="W2225" s="40"/>
      <c r="X2225" s="40"/>
      <c r="Y2225" s="40"/>
      <c r="Z2225" s="40"/>
    </row>
    <row r="2226">
      <c r="A2226" s="65"/>
      <c r="B2226" s="66"/>
      <c r="C2226" s="68"/>
      <c r="D2226" s="68"/>
      <c r="E2226" s="40"/>
      <c r="F2226" s="40"/>
      <c r="G2226" s="40"/>
      <c r="H2226" s="40"/>
      <c r="I2226" s="40"/>
      <c r="J2226" s="40"/>
      <c r="K2226" s="40"/>
      <c r="L2226" s="40"/>
      <c r="M2226" s="40"/>
      <c r="N2226" s="40"/>
      <c r="O2226" s="40"/>
      <c r="P2226" s="40"/>
      <c r="Q2226" s="40"/>
      <c r="R2226" s="40"/>
      <c r="S2226" s="40"/>
      <c r="T2226" s="40"/>
      <c r="U2226" s="40"/>
      <c r="V2226" s="40"/>
      <c r="W2226" s="40"/>
      <c r="X2226" s="40"/>
      <c r="Y2226" s="40"/>
      <c r="Z2226" s="40"/>
    </row>
    <row r="2227">
      <c r="A2227" s="65"/>
      <c r="B2227" s="66"/>
      <c r="C2227" s="68"/>
      <c r="D2227" s="68"/>
      <c r="E2227" s="40"/>
      <c r="F2227" s="40"/>
      <c r="G2227" s="40"/>
      <c r="H2227" s="40"/>
      <c r="I2227" s="40"/>
      <c r="J2227" s="40"/>
      <c r="K2227" s="40"/>
      <c r="L2227" s="40"/>
      <c r="M2227" s="40"/>
      <c r="N2227" s="40"/>
      <c r="O2227" s="40"/>
      <c r="P2227" s="40"/>
      <c r="Q2227" s="40"/>
      <c r="R2227" s="40"/>
      <c r="S2227" s="40"/>
      <c r="T2227" s="40"/>
      <c r="U2227" s="40"/>
      <c r="V2227" s="40"/>
      <c r="W2227" s="40"/>
      <c r="X2227" s="40"/>
      <c r="Y2227" s="40"/>
      <c r="Z2227" s="40"/>
    </row>
    <row r="2228">
      <c r="A2228" s="65"/>
      <c r="B2228" s="66"/>
      <c r="C2228" s="68"/>
      <c r="D2228" s="68"/>
      <c r="E2228" s="40"/>
      <c r="F2228" s="40"/>
      <c r="G2228" s="40"/>
      <c r="H2228" s="40"/>
      <c r="I2228" s="40"/>
      <c r="J2228" s="40"/>
      <c r="K2228" s="40"/>
      <c r="L2228" s="40"/>
      <c r="M2228" s="40"/>
      <c r="N2228" s="40"/>
      <c r="O2228" s="40"/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0"/>
    </row>
    <row r="2229">
      <c r="A2229" s="65"/>
      <c r="B2229" s="66"/>
      <c r="C2229" s="68"/>
      <c r="D2229" s="68"/>
      <c r="E2229" s="40"/>
      <c r="F2229" s="40"/>
      <c r="G2229" s="40"/>
      <c r="H2229" s="40"/>
      <c r="I2229" s="40"/>
      <c r="J2229" s="40"/>
      <c r="K2229" s="40"/>
      <c r="L2229" s="40"/>
      <c r="M2229" s="40"/>
      <c r="N2229" s="40"/>
      <c r="O2229" s="40"/>
      <c r="P2229" s="40"/>
      <c r="Q2229" s="40"/>
      <c r="R2229" s="40"/>
      <c r="S2229" s="40"/>
      <c r="T2229" s="40"/>
      <c r="U2229" s="40"/>
      <c r="V2229" s="40"/>
      <c r="W2229" s="40"/>
      <c r="X2229" s="40"/>
      <c r="Y2229" s="40"/>
      <c r="Z2229" s="40"/>
    </row>
    <row r="2230">
      <c r="A2230" s="65"/>
      <c r="B2230" s="66"/>
      <c r="C2230" s="68"/>
      <c r="D2230" s="68"/>
      <c r="E2230" s="40"/>
      <c r="F2230" s="40"/>
      <c r="G2230" s="40"/>
      <c r="H2230" s="40"/>
      <c r="I2230" s="40"/>
      <c r="J2230" s="40"/>
      <c r="K2230" s="40"/>
      <c r="L2230" s="40"/>
      <c r="M2230" s="40"/>
      <c r="N2230" s="40"/>
      <c r="O2230" s="40"/>
      <c r="P2230" s="40"/>
      <c r="Q2230" s="40"/>
      <c r="R2230" s="40"/>
      <c r="S2230" s="40"/>
      <c r="T2230" s="40"/>
      <c r="U2230" s="40"/>
      <c r="V2230" s="40"/>
      <c r="W2230" s="40"/>
      <c r="X2230" s="40"/>
      <c r="Y2230" s="40"/>
      <c r="Z2230" s="40"/>
    </row>
    <row r="2231">
      <c r="A2231" s="65"/>
      <c r="B2231" s="66"/>
      <c r="C2231" s="68"/>
      <c r="D2231" s="68"/>
      <c r="E2231" s="40"/>
      <c r="F2231" s="40"/>
      <c r="G2231" s="40"/>
      <c r="H2231" s="40"/>
      <c r="I2231" s="40"/>
      <c r="J2231" s="40"/>
      <c r="K2231" s="40"/>
      <c r="L2231" s="40"/>
      <c r="M2231" s="40"/>
      <c r="N2231" s="40"/>
      <c r="O2231" s="40"/>
      <c r="P2231" s="40"/>
      <c r="Q2231" s="40"/>
      <c r="R2231" s="40"/>
      <c r="S2231" s="40"/>
      <c r="T2231" s="40"/>
      <c r="U2231" s="40"/>
      <c r="V2231" s="40"/>
      <c r="W2231" s="40"/>
      <c r="X2231" s="40"/>
      <c r="Y2231" s="40"/>
      <c r="Z2231" s="40"/>
    </row>
    <row r="2232">
      <c r="A2232" s="65"/>
      <c r="B2232" s="66"/>
      <c r="C2232" s="68"/>
      <c r="D2232" s="68"/>
      <c r="E2232" s="40"/>
      <c r="F2232" s="40"/>
      <c r="G2232" s="40"/>
      <c r="H2232" s="40"/>
      <c r="I2232" s="40"/>
      <c r="J2232" s="40"/>
      <c r="K2232" s="40"/>
      <c r="L2232" s="40"/>
      <c r="M2232" s="40"/>
      <c r="N2232" s="40"/>
      <c r="O2232" s="40"/>
      <c r="P2232" s="40"/>
      <c r="Q2232" s="40"/>
      <c r="R2232" s="40"/>
      <c r="S2232" s="40"/>
      <c r="T2232" s="40"/>
      <c r="U2232" s="40"/>
      <c r="V2232" s="40"/>
      <c r="W2232" s="40"/>
      <c r="X2232" s="40"/>
      <c r="Y2232" s="40"/>
      <c r="Z2232" s="40"/>
    </row>
    <row r="2233">
      <c r="A2233" s="65"/>
      <c r="B2233" s="66"/>
      <c r="C2233" s="68"/>
      <c r="D2233" s="68"/>
      <c r="E2233" s="40"/>
      <c r="F2233" s="40"/>
      <c r="G2233" s="40"/>
      <c r="H2233" s="40"/>
      <c r="I2233" s="40"/>
      <c r="J2233" s="40"/>
      <c r="K2233" s="40"/>
      <c r="L2233" s="40"/>
      <c r="M2233" s="40"/>
      <c r="N2233" s="40"/>
      <c r="O2233" s="40"/>
      <c r="P2233" s="40"/>
      <c r="Q2233" s="40"/>
      <c r="R2233" s="40"/>
      <c r="S2233" s="40"/>
      <c r="T2233" s="40"/>
      <c r="U2233" s="40"/>
      <c r="V2233" s="40"/>
      <c r="W2233" s="40"/>
      <c r="X2233" s="40"/>
      <c r="Y2233" s="40"/>
      <c r="Z2233" s="40"/>
    </row>
    <row r="2234">
      <c r="A2234" s="65"/>
      <c r="B2234" s="66"/>
      <c r="C2234" s="68"/>
      <c r="D2234" s="68"/>
      <c r="E2234" s="40"/>
      <c r="F2234" s="40"/>
      <c r="G2234" s="40"/>
      <c r="H2234" s="40"/>
      <c r="I2234" s="40"/>
      <c r="J2234" s="40"/>
      <c r="K2234" s="40"/>
      <c r="L2234" s="40"/>
      <c r="M2234" s="40"/>
      <c r="N2234" s="40"/>
      <c r="O2234" s="40"/>
      <c r="P2234" s="40"/>
      <c r="Q2234" s="40"/>
      <c r="R2234" s="40"/>
      <c r="S2234" s="40"/>
      <c r="T2234" s="40"/>
      <c r="U2234" s="40"/>
      <c r="V2234" s="40"/>
      <c r="W2234" s="40"/>
      <c r="X2234" s="40"/>
      <c r="Y2234" s="40"/>
      <c r="Z2234" s="40"/>
    </row>
    <row r="2235">
      <c r="A2235" s="65"/>
      <c r="B2235" s="66"/>
      <c r="C2235" s="68"/>
      <c r="D2235" s="68"/>
      <c r="E2235" s="40"/>
      <c r="F2235" s="40"/>
      <c r="G2235" s="40"/>
      <c r="H2235" s="40"/>
      <c r="I2235" s="40"/>
      <c r="J2235" s="40"/>
      <c r="K2235" s="40"/>
      <c r="L2235" s="40"/>
      <c r="M2235" s="40"/>
      <c r="N2235" s="40"/>
      <c r="O2235" s="40"/>
      <c r="P2235" s="40"/>
      <c r="Q2235" s="40"/>
      <c r="R2235" s="40"/>
      <c r="S2235" s="40"/>
      <c r="T2235" s="40"/>
      <c r="U2235" s="40"/>
      <c r="V2235" s="40"/>
      <c r="W2235" s="40"/>
      <c r="X2235" s="40"/>
      <c r="Y2235" s="40"/>
      <c r="Z2235" s="40"/>
    </row>
    <row r="2236">
      <c r="A2236" s="65"/>
      <c r="B2236" s="66"/>
      <c r="C2236" s="68"/>
      <c r="D2236" s="68"/>
      <c r="E2236" s="40"/>
      <c r="F2236" s="40"/>
      <c r="G2236" s="40"/>
      <c r="H2236" s="40"/>
      <c r="I2236" s="40"/>
      <c r="J2236" s="40"/>
      <c r="K2236" s="40"/>
      <c r="L2236" s="40"/>
      <c r="M2236" s="40"/>
      <c r="N2236" s="40"/>
      <c r="O2236" s="40"/>
      <c r="P2236" s="40"/>
      <c r="Q2236" s="40"/>
      <c r="R2236" s="40"/>
      <c r="S2236" s="40"/>
      <c r="T2236" s="40"/>
      <c r="U2236" s="40"/>
      <c r="V2236" s="40"/>
      <c r="W2236" s="40"/>
      <c r="X2236" s="40"/>
      <c r="Y2236" s="40"/>
      <c r="Z2236" s="40"/>
    </row>
    <row r="2237">
      <c r="A2237" s="65"/>
      <c r="B2237" s="66"/>
      <c r="C2237" s="68"/>
      <c r="D2237" s="68"/>
      <c r="E2237" s="40"/>
      <c r="F2237" s="40"/>
      <c r="G2237" s="40"/>
      <c r="H2237" s="40"/>
      <c r="I2237" s="40"/>
      <c r="J2237" s="40"/>
      <c r="K2237" s="40"/>
      <c r="L2237" s="40"/>
      <c r="M2237" s="40"/>
      <c r="N2237" s="40"/>
      <c r="O2237" s="40"/>
      <c r="P2237" s="40"/>
      <c r="Q2237" s="40"/>
      <c r="R2237" s="40"/>
      <c r="S2237" s="40"/>
      <c r="T2237" s="40"/>
      <c r="U2237" s="40"/>
      <c r="V2237" s="40"/>
      <c r="W2237" s="40"/>
      <c r="X2237" s="40"/>
      <c r="Y2237" s="40"/>
      <c r="Z2237" s="40"/>
    </row>
    <row r="2238">
      <c r="A2238" s="65"/>
      <c r="B2238" s="66"/>
      <c r="C2238" s="68"/>
      <c r="D2238" s="68"/>
      <c r="E2238" s="40"/>
      <c r="F2238" s="40"/>
      <c r="G2238" s="40"/>
      <c r="H2238" s="40"/>
      <c r="I2238" s="40"/>
      <c r="J2238" s="40"/>
      <c r="K2238" s="40"/>
      <c r="L2238" s="40"/>
      <c r="M2238" s="40"/>
      <c r="N2238" s="40"/>
      <c r="O2238" s="40"/>
      <c r="P2238" s="40"/>
      <c r="Q2238" s="40"/>
      <c r="R2238" s="40"/>
      <c r="S2238" s="40"/>
      <c r="T2238" s="40"/>
      <c r="U2238" s="40"/>
      <c r="V2238" s="40"/>
      <c r="W2238" s="40"/>
      <c r="X2238" s="40"/>
      <c r="Y2238" s="40"/>
      <c r="Z2238" s="40"/>
    </row>
    <row r="2239">
      <c r="A2239" s="65"/>
      <c r="B2239" s="66"/>
      <c r="C2239" s="68"/>
      <c r="D2239" s="68"/>
      <c r="E2239" s="40"/>
      <c r="F2239" s="40"/>
      <c r="G2239" s="40"/>
      <c r="H2239" s="40"/>
      <c r="I2239" s="40"/>
      <c r="J2239" s="40"/>
      <c r="K2239" s="40"/>
      <c r="L2239" s="40"/>
      <c r="M2239" s="40"/>
      <c r="N2239" s="40"/>
      <c r="O2239" s="40"/>
      <c r="P2239" s="40"/>
      <c r="Q2239" s="40"/>
      <c r="R2239" s="40"/>
      <c r="S2239" s="40"/>
      <c r="T2239" s="40"/>
      <c r="U2239" s="40"/>
      <c r="V2239" s="40"/>
      <c r="W2239" s="40"/>
      <c r="X2239" s="40"/>
      <c r="Y2239" s="40"/>
      <c r="Z2239" s="40"/>
    </row>
    <row r="2240">
      <c r="A2240" s="65"/>
      <c r="B2240" s="66"/>
      <c r="C2240" s="68"/>
      <c r="D2240" s="68"/>
      <c r="E2240" s="40"/>
      <c r="F2240" s="40"/>
      <c r="G2240" s="40"/>
      <c r="H2240" s="40"/>
      <c r="I2240" s="40"/>
      <c r="J2240" s="40"/>
      <c r="K2240" s="40"/>
      <c r="L2240" s="40"/>
      <c r="M2240" s="40"/>
      <c r="N2240" s="40"/>
      <c r="O2240" s="40"/>
      <c r="P2240" s="40"/>
      <c r="Q2240" s="40"/>
      <c r="R2240" s="40"/>
      <c r="S2240" s="40"/>
      <c r="T2240" s="40"/>
      <c r="U2240" s="40"/>
      <c r="V2240" s="40"/>
      <c r="W2240" s="40"/>
      <c r="X2240" s="40"/>
      <c r="Y2240" s="40"/>
      <c r="Z2240" s="40"/>
    </row>
    <row r="2241">
      <c r="A2241" s="65"/>
      <c r="B2241" s="66"/>
      <c r="C2241" s="68"/>
      <c r="D2241" s="68"/>
      <c r="E2241" s="40"/>
      <c r="F2241" s="40"/>
      <c r="G2241" s="40"/>
      <c r="H2241" s="40"/>
      <c r="I2241" s="40"/>
      <c r="J2241" s="40"/>
      <c r="K2241" s="40"/>
      <c r="L2241" s="40"/>
      <c r="M2241" s="40"/>
      <c r="N2241" s="40"/>
      <c r="O2241" s="40"/>
      <c r="P2241" s="40"/>
      <c r="Q2241" s="40"/>
      <c r="R2241" s="40"/>
      <c r="S2241" s="40"/>
      <c r="T2241" s="40"/>
      <c r="U2241" s="40"/>
      <c r="V2241" s="40"/>
      <c r="W2241" s="40"/>
      <c r="X2241" s="40"/>
      <c r="Y2241" s="40"/>
      <c r="Z2241" s="40"/>
    </row>
    <row r="2242">
      <c r="A2242" s="65"/>
      <c r="B2242" s="66"/>
      <c r="C2242" s="68"/>
      <c r="D2242" s="68"/>
      <c r="E2242" s="40"/>
      <c r="F2242" s="40"/>
      <c r="G2242" s="40"/>
      <c r="H2242" s="40"/>
      <c r="I2242" s="40"/>
      <c r="J2242" s="40"/>
      <c r="K2242" s="40"/>
      <c r="L2242" s="40"/>
      <c r="M2242" s="40"/>
      <c r="N2242" s="40"/>
      <c r="O2242" s="40"/>
      <c r="P2242" s="40"/>
      <c r="Q2242" s="40"/>
      <c r="R2242" s="40"/>
      <c r="S2242" s="40"/>
      <c r="T2242" s="40"/>
      <c r="U2242" s="40"/>
      <c r="V2242" s="40"/>
      <c r="W2242" s="40"/>
      <c r="X2242" s="40"/>
      <c r="Y2242" s="40"/>
      <c r="Z2242" s="40"/>
    </row>
    <row r="2243">
      <c r="A2243" s="65"/>
      <c r="B2243" s="66"/>
      <c r="C2243" s="68"/>
      <c r="D2243" s="68"/>
      <c r="E2243" s="40"/>
      <c r="F2243" s="40"/>
      <c r="G2243" s="40"/>
      <c r="H2243" s="40"/>
      <c r="I2243" s="40"/>
      <c r="J2243" s="40"/>
      <c r="K2243" s="40"/>
      <c r="L2243" s="40"/>
      <c r="M2243" s="40"/>
      <c r="N2243" s="40"/>
      <c r="O2243" s="40"/>
      <c r="P2243" s="40"/>
      <c r="Q2243" s="40"/>
      <c r="R2243" s="40"/>
      <c r="S2243" s="40"/>
      <c r="T2243" s="40"/>
      <c r="U2243" s="40"/>
      <c r="V2243" s="40"/>
      <c r="W2243" s="40"/>
      <c r="X2243" s="40"/>
      <c r="Y2243" s="40"/>
      <c r="Z2243" s="40"/>
    </row>
    <row r="2244">
      <c r="A2244" s="65"/>
      <c r="B2244" s="66"/>
      <c r="C2244" s="68"/>
      <c r="D2244" s="68"/>
      <c r="E2244" s="40"/>
      <c r="F2244" s="40"/>
      <c r="G2244" s="40"/>
      <c r="H2244" s="40"/>
      <c r="I2244" s="40"/>
      <c r="J2244" s="40"/>
      <c r="K2244" s="40"/>
      <c r="L2244" s="40"/>
      <c r="M2244" s="40"/>
      <c r="N2244" s="40"/>
      <c r="O2244" s="40"/>
      <c r="P2244" s="40"/>
      <c r="Q2244" s="40"/>
      <c r="R2244" s="40"/>
      <c r="S2244" s="40"/>
      <c r="T2244" s="40"/>
      <c r="U2244" s="40"/>
      <c r="V2244" s="40"/>
      <c r="W2244" s="40"/>
      <c r="X2244" s="40"/>
      <c r="Y2244" s="40"/>
      <c r="Z2244" s="40"/>
    </row>
    <row r="2245">
      <c r="A2245" s="65"/>
      <c r="B2245" s="66"/>
      <c r="C2245" s="68"/>
      <c r="D2245" s="68"/>
      <c r="E2245" s="40"/>
      <c r="F2245" s="40"/>
      <c r="G2245" s="40"/>
      <c r="H2245" s="40"/>
      <c r="I2245" s="40"/>
      <c r="J2245" s="40"/>
      <c r="K2245" s="40"/>
      <c r="L2245" s="40"/>
      <c r="M2245" s="40"/>
      <c r="N2245" s="40"/>
      <c r="O2245" s="40"/>
      <c r="P2245" s="40"/>
      <c r="Q2245" s="40"/>
      <c r="R2245" s="40"/>
      <c r="S2245" s="40"/>
      <c r="T2245" s="40"/>
      <c r="U2245" s="40"/>
      <c r="V2245" s="40"/>
      <c r="W2245" s="40"/>
      <c r="X2245" s="40"/>
      <c r="Y2245" s="40"/>
      <c r="Z2245" s="40"/>
    </row>
    <row r="2246">
      <c r="A2246" s="65"/>
      <c r="B2246" s="66"/>
      <c r="C2246" s="68"/>
      <c r="D2246" s="68"/>
      <c r="E2246" s="40"/>
      <c r="F2246" s="40"/>
      <c r="G2246" s="40"/>
      <c r="H2246" s="40"/>
      <c r="I2246" s="40"/>
      <c r="J2246" s="40"/>
      <c r="K2246" s="40"/>
      <c r="L2246" s="40"/>
      <c r="M2246" s="40"/>
      <c r="N2246" s="40"/>
      <c r="O2246" s="40"/>
      <c r="P2246" s="40"/>
      <c r="Q2246" s="40"/>
      <c r="R2246" s="40"/>
      <c r="S2246" s="40"/>
      <c r="T2246" s="40"/>
      <c r="U2246" s="40"/>
      <c r="V2246" s="40"/>
      <c r="W2246" s="40"/>
      <c r="X2246" s="40"/>
      <c r="Y2246" s="40"/>
      <c r="Z2246" s="40"/>
    </row>
    <row r="2247">
      <c r="A2247" s="65"/>
      <c r="B2247" s="66"/>
      <c r="C2247" s="68"/>
      <c r="D2247" s="68"/>
      <c r="E2247" s="40"/>
      <c r="F2247" s="40"/>
      <c r="G2247" s="40"/>
      <c r="H2247" s="40"/>
      <c r="I2247" s="40"/>
      <c r="J2247" s="40"/>
      <c r="K2247" s="40"/>
      <c r="L2247" s="40"/>
      <c r="M2247" s="40"/>
      <c r="N2247" s="40"/>
      <c r="O2247" s="40"/>
      <c r="P2247" s="40"/>
      <c r="Q2247" s="40"/>
      <c r="R2247" s="40"/>
      <c r="S2247" s="40"/>
      <c r="T2247" s="40"/>
      <c r="U2247" s="40"/>
      <c r="V2247" s="40"/>
      <c r="W2247" s="40"/>
      <c r="X2247" s="40"/>
      <c r="Y2247" s="40"/>
      <c r="Z2247" s="40"/>
    </row>
    <row r="2248">
      <c r="A2248" s="65"/>
      <c r="B2248" s="66"/>
      <c r="C2248" s="68"/>
      <c r="D2248" s="68"/>
      <c r="E2248" s="40"/>
      <c r="F2248" s="40"/>
      <c r="G2248" s="40"/>
      <c r="H2248" s="40"/>
      <c r="I2248" s="40"/>
      <c r="J2248" s="40"/>
      <c r="K2248" s="40"/>
      <c r="L2248" s="40"/>
      <c r="M2248" s="40"/>
      <c r="N2248" s="40"/>
      <c r="O2248" s="40"/>
      <c r="P2248" s="40"/>
      <c r="Q2248" s="40"/>
      <c r="R2248" s="40"/>
      <c r="S2248" s="40"/>
      <c r="T2248" s="40"/>
      <c r="U2248" s="40"/>
      <c r="V2248" s="40"/>
      <c r="W2248" s="40"/>
      <c r="X2248" s="40"/>
      <c r="Y2248" s="40"/>
      <c r="Z2248" s="40"/>
    </row>
    <row r="2249">
      <c r="A2249" s="65"/>
      <c r="B2249" s="66"/>
      <c r="C2249" s="68"/>
      <c r="D2249" s="68"/>
      <c r="E2249" s="40"/>
      <c r="F2249" s="40"/>
      <c r="G2249" s="40"/>
      <c r="H2249" s="40"/>
      <c r="I2249" s="40"/>
      <c r="J2249" s="40"/>
      <c r="K2249" s="40"/>
      <c r="L2249" s="40"/>
      <c r="M2249" s="40"/>
      <c r="N2249" s="40"/>
      <c r="O2249" s="40"/>
      <c r="P2249" s="40"/>
      <c r="Q2249" s="40"/>
      <c r="R2249" s="40"/>
      <c r="S2249" s="40"/>
      <c r="T2249" s="40"/>
      <c r="U2249" s="40"/>
      <c r="V2249" s="40"/>
      <c r="W2249" s="40"/>
      <c r="X2249" s="40"/>
      <c r="Y2249" s="40"/>
      <c r="Z2249" s="40"/>
    </row>
    <row r="2250">
      <c r="A2250" s="65"/>
      <c r="B2250" s="66"/>
      <c r="C2250" s="68"/>
      <c r="D2250" s="68"/>
      <c r="E2250" s="40"/>
      <c r="F2250" s="40"/>
      <c r="G2250" s="40"/>
      <c r="H2250" s="40"/>
      <c r="I2250" s="40"/>
      <c r="J2250" s="40"/>
      <c r="K2250" s="40"/>
      <c r="L2250" s="40"/>
      <c r="M2250" s="40"/>
      <c r="N2250" s="40"/>
      <c r="O2250" s="40"/>
      <c r="P2250" s="40"/>
      <c r="Q2250" s="40"/>
      <c r="R2250" s="40"/>
      <c r="S2250" s="40"/>
      <c r="T2250" s="40"/>
      <c r="U2250" s="40"/>
      <c r="V2250" s="40"/>
      <c r="W2250" s="40"/>
      <c r="X2250" s="40"/>
      <c r="Y2250" s="40"/>
      <c r="Z2250" s="40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88"/>
    <col customWidth="1" min="4" max="4" width="15.25"/>
  </cols>
  <sheetData>
    <row r="1">
      <c r="A1" s="69" t="s">
        <v>822</v>
      </c>
      <c r="B1" s="70" t="s">
        <v>823</v>
      </c>
      <c r="C1" s="61" t="s">
        <v>824</v>
      </c>
      <c r="D1" s="60" t="s">
        <v>825</v>
      </c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0"/>
      <c r="U1" s="40"/>
      <c r="V1" s="40"/>
      <c r="W1" s="40"/>
      <c r="X1" s="40"/>
      <c r="Y1" s="40"/>
      <c r="Z1" s="40"/>
    </row>
    <row r="2">
      <c r="A2" s="71">
        <f t="array" ref="A2:A209">TRANSPOSE(AsistenciaViewJetAdmin!D2:Z2)</f>
        <v>45731</v>
      </c>
      <c r="B2" s="72" t="str">
        <f t="array" ref="B2:B209">TRANSPOSE(AsistenciaViewJetAdmin!D1:Z1)</f>
        <v>T</v>
      </c>
      <c r="C2" s="23" t="str">
        <f>IFERROR(__xludf.DUMMYFUNCTION("IFNA(JOIN("","", FILTER(AsistenciaJetAdmin!$C$2:$C1000, (AsistenciaJetAdmin!$A$2:$A1000=$A2)*(AsistenciaJetAdmin!$B$2:$B1000=$B2))),"""")"),"114,163,141,180,175,174,188,211,217,107,128,124,158,189,220,176,159,142,125,143,150,137,206,114,118,163,141,180,175,116,174,188,140,169,211,217,221,107,111,146,129,128,124,158,160,122,196,189,152,190,157,192,220,164,208,194,176,159,202,205,142,212,125,143"&amp;",207,110,193,150,127,100,137,206,114,118,163,131,141,180,175,200,116,145,174,216,188,140,169,155,195,204,211,217,221,107,111,146,168,178,129,198,128,181,124,158,167,160,136,177,153,201,186,122,171,196,189,152,190,157,192,220,164,208,172,117,194,176,159,16"&amp;"2,202,205,142,212,125,143,215,197,207,110,193,183,150,127,100,137,134,206,114,118,163,138,131,141,180,175,179,200,123,116,145,166,174,216,188,140,101,169,155,184,135,195,204,211,217,221,107,111,151,146,168,178,129,198,128,181,103,121,113,124,158,144,167,1"&amp;"60,136,177,153,201,186,122,210,171,196,189,152,133,190,157,192,220,164,208,172,117,203,156,194,176,182,159,162,202,205,142,212,125,199,108,143,191,215,197,207,110,193,183,165,150,218,127,100,137,134,170,206,114,118,163,138,131,141,180,175,179,200,123,116,"&amp;"145,166,174,216,188,140,101,169,155,184,135,195,204,211,217,221,107,111,151,146,168,178,129,198,128,181,103,121,113,124,158,144,167,160,136,177,153,201,186,122,210,171,196,189,152,133,190,157,192,220,164,208,172,117,203,156,194,176,182,159,162,202,205,142"&amp;",212,125,199,108,143,191,215,197,207,110,193,183,165,150,218,127,100,137,134,170,206,104")</f>
        <v>114,163,141,180,175,174,188,211,217,107,128,124,158,189,220,176,159,142,125,143,150,137,206,114,118,163,141,180,175,116,174,188,140,169,211,217,221,107,111,146,129,128,124,158,160,122,196,189,152,190,157,192,220,164,208,194,176,159,202,205,142,212,125,143,207,110,193,150,127,100,137,206,114,118,163,131,141,180,175,200,116,145,174,216,188,140,169,155,195,204,211,217,221,107,111,146,168,178,129,198,128,181,124,158,167,160,136,177,153,201,186,122,171,196,189,152,190,157,192,220,164,208,172,117,194,176,159,162,202,205,142,212,125,143,215,197,207,110,193,183,150,127,100,137,134,206,114,118,163,138,131,141,180,175,179,200,123,116,145,166,174,216,188,140,101,169,155,184,135,195,204,211,217,221,107,111,151,146,168,178,129,198,128,181,103,121,113,124,158,144,167,160,136,177,153,201,186,122,210,171,196,189,152,133,190,157,192,220,164,208,172,117,203,156,194,176,182,159,162,202,205,142,212,125,199,108,143,191,215,197,207,110,193,183,165,150,218,127,100,137,134,170,206,114,118,163,138,131,141,180,175,179,200,123,116,145,166,174,216,188,140,101,169,155,184,135,195,204,211,217,221,107,111,151,146,168,178,129,198,128,181,103,121,113,124,158,144,167,160,136,177,153,201,186,122,210,171,196,189,152,133,190,157,192,220,164,208,172,117,203,156,194,176,182,159,162,202,205,142,212,125,199,108,143,191,215,197,207,110,193,183,165,150,218,127,100,137,134,170,206,104</v>
      </c>
      <c r="D2" s="23" t="str">
        <f>IFERROR(__xludf.DUMMYFUNCTION("IFNA(JOIN("","", FILTER(AsistenciaJetAdmin!$D$2:$D1000, (AsistenciaJetAdmin!$A$2:$A1000=$A2)*(AsistenciaJetAdmin!$B$2:$B1000=$B2))),"""")"),"173,149,161,173,149,161,173,149,161,173,149,161,173,149,161,")</f>
        <v>173,149,161,173,149,161,173,149,161,173,149,161,173,149,161,</v>
      </c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</row>
    <row r="3">
      <c r="A3" s="71">
        <v>45735.0</v>
      </c>
      <c r="B3" s="72" t="s">
        <v>811</v>
      </c>
      <c r="C3" s="23" t="str">
        <f>IFERROR(__xludf.DUMMYFUNCTION("IFNA(JOIN("","", FILTER(AsistenciaJetAdmin!$C$2:$C1000, (AsistenciaJetAdmin!$A$2:$A1000=$A3)*(AsistenciaJetAdmin!$B$2:$B1000=$B3))),"""")"),"175,174,120,219,107,129,124,196,157,220,117,199,143,193,166,101,155,211,128,132,136,142,183,170,206,114,138,180,104,221,151,146,144,192,182,159,205,125,114,138,180,104,221,151,146,144,192,182,159,205,125,179,178,181,177,171,133,156,202,154,100,161,134,163"&amp;",116,140,135,168,103,121,210,190,208,203,176,187,197,163,116,140,135,168,103,121,210,190,208,203,176,187,197,200,188,169,195,198,113,167,153,122,149,215,207,110,218,118,141,184,102,186,105,164,194,162,212,165,150,137,131,123,145,216,204,158,160,201,189,15"&amp;"2,172,108,191,127")</f>
        <v>175,174,120,219,107,129,124,196,157,220,117,199,143,193,166,101,155,211,128,132,136,142,183,170,206,114,138,180,104,221,151,146,144,192,182,159,205,125,114,138,180,104,221,151,146,144,192,182,159,205,125,179,178,181,177,171,133,156,202,154,100,161,134,163,116,140,135,168,103,121,210,190,208,203,176,187,197,163,116,140,135,168,103,121,210,190,208,203,176,187,197,200,188,169,195,198,113,167,153,122,149,215,207,110,218,118,141,184,102,186,105,164,194,162,212,165,150,137,131,123,145,216,204,158,160,201,189,152,172,108,191,127</v>
      </c>
      <c r="D3" s="23" t="str">
        <f>IFERROR(__xludf.DUMMYFUNCTION("IFNA(JOIN("","", FILTER(AsistenciaJetAdmin!$D$2:$D1000, (AsistenciaJetAdmin!$A$2:$A1000=$A3)*(AsistenciaJetAdmin!$B$2:$B1000=$B3))),"""")"),",,,,111,,,,,")</f>
        <v>,,,,111,,,,,</v>
      </c>
      <c r="E3" s="40"/>
      <c r="F3" s="40"/>
      <c r="G3" s="40"/>
      <c r="H3" s="40"/>
      <c r="I3" s="40"/>
      <c r="J3" s="40"/>
      <c r="K3" s="40"/>
      <c r="L3" s="40"/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</row>
    <row r="4">
      <c r="A4" s="71">
        <v>45738.0</v>
      </c>
      <c r="B4" s="72" t="s">
        <v>810</v>
      </c>
      <c r="C4" s="23" t="str">
        <f>IFERROR(__xludf.DUMMYFUNCTION("IFNA(JOIN("","", FILTER(AsistenciaJetAdmin!$C$2:$C1000, (AsistenciaJetAdmin!$A$2:$A1000=$A4)*(AsistenciaJetAdmin!$B$2:$B1000=$B4))),"""")"),"155,211,106,170,101,155,211,106,170,175,174,120,219,107,124,196,157,220,117,199,143,193,101,155,211,136,106,183,170,206,118,141,184,105,162,212,165,150,137,101,155,211,136,142,106,183,170,206,118,141,184,105,162,212,165,150,137,118,141,184,186,105,164,162"&amp;",212,165,150,137,179,111,178,181,177,133,156,202,100,161,134,101,155,211,136,142,106,183,170,206,114,138,180,200,123,116,145,216,188,140,135,195,204,221,151,146,168,198,103,121,113,158,167,160,153,201,122,189,152,190,192,208,203,149,176,182,159,187,205,12"&amp;"5,108,191,215,197,207,110,218,127,114,138,180,200,123,116,145,216,188,140,135,195,204,221,151,146,168,198,103,121,113,158,167,160,153,201,122,189,152,190,192,208,203,149,176,182,159,187,205,125,108,191,215,197,207,110,218,127,101,155,211,136,142,106,183,1"&amp;"70,206,118,141,184,186,105,164,162,212,165,150,137,171")</f>
        <v>155,211,106,170,101,155,211,106,170,175,174,120,219,107,124,196,157,220,117,199,143,193,101,155,211,136,106,183,170,206,118,141,184,105,162,212,165,150,137,101,155,211,136,142,106,183,170,206,118,141,184,105,162,212,165,150,137,118,141,184,186,105,164,162,212,165,150,137,179,111,178,181,177,133,156,202,100,161,134,101,155,211,136,142,106,183,170,206,114,138,180,200,123,116,145,216,188,140,135,195,204,221,151,146,168,198,103,121,113,158,167,160,153,201,122,189,152,190,192,208,203,149,176,182,159,187,205,125,108,191,215,197,207,110,218,127,114,138,180,200,123,116,145,216,188,140,135,195,204,221,151,146,168,198,103,121,113,158,167,160,153,201,122,189,152,190,192,208,203,149,176,182,159,187,205,125,108,191,215,197,207,110,218,127,101,155,211,136,142,106,183,170,206,118,141,184,186,105,164,162,212,165,150,137,171</v>
      </c>
      <c r="D4" s="23" t="str">
        <f>IFERROR(__xludf.DUMMYFUNCTION("IFNA(JOIN("","", FILTER(AsistenciaJetAdmin!$D$2:$D1000, (AsistenciaJetAdmin!$A$2:$A1000=$A4)*(AsistenciaJetAdmin!$B$2:$B1000=$B4))),"""")"),",,,,,,,,,,,163,166,173,194,")</f>
        <v>,,,,,,,,,,,163,166,173,194,</v>
      </c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</row>
    <row r="5">
      <c r="A5" s="71">
        <v>45742.0</v>
      </c>
      <c r="B5" s="72" t="s">
        <v>811</v>
      </c>
      <c r="C5" s="23" t="str">
        <f>IFERROR(__xludf.DUMMYFUNCTION("IFNA(JOIN("","", FILTER(AsistenciaJetAdmin!$C$2:$C1000, (AsistenciaJetAdmin!$A$2:$A1000=$A5)*(AsistenciaJetAdmin!$B$2:$B1000=$B5))),"""")"),"155,211,128,132,142,170,206,101,101,166,183,166,183,114,138,180,104,221,151,146,144,192,159,125,175,174,120,219,107,124,196,157,220,117,199,143,193,175,174,120,219,107,129,124,196,157,220,117,199,143,193,200,188,169,195,198,167,153,122,215,207,110,118,141"&amp;",184,102,186,105,164,194,162,212,165,137,179,111,178,177,171,133,156,202,100,134,136,114,138,180,104,221,151,146,144,192,159,125,179,111,178,177,171,133,156,202,100,134,200,188,169,195,198,167,153,122,215,207,110,118,173,141,184,102,186,105,164,194,162,21"&amp;"2,165,150,137,131,123,216,204,158,160,201,189,152,172,108,191,131,123,216,204,158,160,201,189,152,172,108,191,,140,135,140,135,210,140,135,210,203,163,140,135,210,203,163,140,135,168,210,203,163,116,140,135,168,103,121,210,190,208,203,163,116,140,135,168,"&amp;"103,121,210,190,208,203,197")</f>
        <v>155,211,128,132,142,170,206,101,101,166,183,166,183,114,138,180,104,221,151,146,144,192,159,125,175,174,120,219,107,124,196,157,220,117,199,143,193,175,174,120,219,107,129,124,196,157,220,117,199,143,193,200,188,169,195,198,167,153,122,215,207,110,118,141,184,102,186,105,164,194,162,212,165,137,179,111,178,177,171,133,156,202,100,134,136,114,138,180,104,221,151,146,144,192,159,125,179,111,178,177,171,133,156,202,100,134,200,188,169,195,198,167,153,122,215,207,110,118,173,141,184,102,186,105,164,194,162,212,165,150,137,131,123,216,204,158,160,201,189,152,172,108,191,131,123,216,204,158,160,201,189,152,172,108,191,,140,135,140,135,210,140,135,210,203,163,140,135,210,203,163,140,135,168,210,203,163,116,140,135,168,103,121,210,190,208,203,163,116,140,135,168,103,121,210,190,208,203,197</v>
      </c>
      <c r="D5" s="23" t="str">
        <f>IFERROR(__xludf.DUMMYFUNCTION("IFNA(JOIN("","", FILTER(AsistenciaJetAdmin!$D$2:$D1000, (AsistenciaJetAdmin!$A$2:$A1000=$A5)*(AsistenciaJetAdmin!$B$2:$B1000=$B5))),"""")"),",,,,,,,,,,,,182,205,161,149,,,,145,,,,,,,")</f>
        <v>,,,,,,,,,,,,182,205,161,149,,,,145,,,,,,,</v>
      </c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</row>
    <row r="6">
      <c r="A6" s="71">
        <v>45745.0</v>
      </c>
      <c r="B6" s="72" t="s">
        <v>810</v>
      </c>
      <c r="C6" s="23" t="str">
        <f>IFERROR(__xludf.DUMMYFUNCTION("IFNA(JOIN("","", FILTER(AsistenciaJetAdmin!$C$2:$C1000, (AsistenciaJetAdmin!$A$2:$A1000=$A6)*(AsistenciaJetAdmin!$B$2:$B1000=$B6))),"""")"),"175,174,120,219,107,129,124,196,157,220,117,199,193,101,211,128,132,142,183,101,155,211,128,132,142,183,170,206,175,174,120,219,107,129,124,196,157,220,117,199,143,193,114,138,180,104,221,151,146,160,159,205,125,188,195,198,113,167,153,122,215,207,110,141"&amp;",184,102,105,164,194,162,212,165,137,101,155,211,128,132,142,183,170,206,179,217,178,181,177,171,156,202,100,134,141,184,102,105,164,194,162,212,165,137,101,155,211,128,132,142,183,170,206,114,138,180,104,221,151,146,144,160,159,205,125,114,138,180,104,22"&amp;"1,151,146,144,160,159,205,125,131,123,216,201,172,108,191,127,131,123,216,201,172,108,191,127,163,116,140,135,168,103,121,210,190,208,203,197")</f>
        <v>175,174,120,219,107,129,124,196,157,220,117,199,193,101,211,128,132,142,183,101,155,211,128,132,142,183,170,206,175,174,120,219,107,129,124,196,157,220,117,199,143,193,114,138,180,104,221,151,146,160,159,205,125,188,195,198,113,167,153,122,215,207,110,141,184,102,105,164,194,162,212,165,137,101,155,211,128,132,142,183,170,206,179,217,178,181,177,171,156,202,100,134,141,184,102,105,164,194,162,212,165,137,101,155,211,128,132,142,183,170,206,114,138,180,104,221,151,146,144,160,159,205,125,114,138,180,104,221,151,146,144,160,159,205,125,131,123,216,201,172,108,191,127,131,123,216,201,172,108,191,127,163,116,140,135,168,103,121,210,190,208,203,197</v>
      </c>
      <c r="D6" s="23" t="str">
        <f>IFERROR(__xludf.DUMMYFUNCTION("IFNA(JOIN("","", FILTER(AsistenciaJetAdmin!$D$2:$D1000, (AsistenciaJetAdmin!$A$2:$A1000=$A6)*(AsistenciaJetAdmin!$B$2:$B1000=$B6))),"""")"),",,,,,,,,,,166,,,,,")</f>
        <v>,,,,,,,,,,166,,,,,</v>
      </c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</row>
    <row r="7">
      <c r="A7" s="71">
        <v>45752.0</v>
      </c>
      <c r="B7" s="72" t="s">
        <v>810</v>
      </c>
      <c r="C7" s="23" t="str">
        <f>IFERROR(__xludf.DUMMYFUNCTION("IFNA(JOIN("","", FILTER(AsistenciaJetAdmin!$C$2:$C1000, (AsistenciaJetAdmin!$A$2:$A1000=$A7)*(AsistenciaJetAdmin!$B$2:$B1000=$B7))),"""")"),"175,174,219,107,129,124,196,157,220,117,199,143,193,118,173,141,184,102,186,105,164,194,162,212,165,150,137,101,155,211,128,132,136,142,183,170,206,179,111,178,177,171,133,156,202,100,161,134,101,155,211,128,132,136,142,183,170,206,131,123,145,216,204,158"&amp;",201,152,172,108,191,127,163,116,140,135,168,103,121,210,190,208,203,197,189,188,169,195,198,113,167,153,122,149,215,207,110,155,211,128,132,136,142,183,170,206,114,138,180,104,221,151,146,144,160,192,182,159,205,125,155,211,128,132,136,142,183,170,206,11"&amp;"8,141,184,102,186,105,164,194,162,212,165,137,131,123,145,216,204,158,201,189,152,172,108,191,127")</f>
        <v>175,174,219,107,129,124,196,157,220,117,199,143,193,118,173,141,184,102,186,105,164,194,162,212,165,150,137,101,155,211,128,132,136,142,183,170,206,179,111,178,177,171,133,156,202,100,161,134,101,155,211,128,132,136,142,183,170,206,131,123,145,216,204,158,201,152,172,108,191,127,163,116,140,135,168,103,121,210,190,208,203,197,189,188,169,195,198,113,167,153,122,149,215,207,110,155,211,128,132,136,142,183,170,206,114,138,180,104,221,151,146,144,160,192,182,159,205,125,155,211,128,132,136,142,183,170,206,118,141,184,102,186,105,164,194,162,212,165,137,131,123,145,216,204,158,201,189,152,172,108,191,127</v>
      </c>
      <c r="D7" s="23" t="str">
        <f>IFERROR(__xludf.DUMMYFUNCTION("IFNA(JOIN("","", FILTER(AsistenciaJetAdmin!$D$2:$D1000, (AsistenciaJetAdmin!$A$2:$A1000=$A7)*(AsistenciaJetAdmin!$B$2:$B1000=$B7))),"""")"),",,,,166,,,,,,,,,")</f>
        <v>,,,,166,,,,,,,,,</v>
      </c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</row>
    <row r="8">
      <c r="A8" s="71">
        <v>45752.0</v>
      </c>
      <c r="B8" s="72" t="s">
        <v>812</v>
      </c>
      <c r="C8" s="23" t="str">
        <f>IFERROR(__xludf.DUMMYFUNCTION("IFNA(JOIN("","", FILTER(AsistenciaJetAdmin!$C$2:$C1000, (AsistenciaJetAdmin!$A$2:$A1000=$A8)*(AsistenciaJetAdmin!$B$2:$B1000=$B8))),"""")"),"179,178,177,171,133,156,202,100,134,179,178,177,171,133,156,202,100,134,179,178,177,171,133,156,202,100,134,163,116,140,135,168,121,208,197,175,174,120,129,124,196,157,220,117,199,143,197,208,121,168,135,140,116,163,175,174,120,129,124,196,157,220,117,199"&amp;",143,197,208,121,168,135,140,116,163,131,123,145,158,189,108,127,114,138,166,104,188,101,155,184,195,151,146,128,132,113,144,167,160,136,186,122,105,189,164,194,162,205,142,125,215,110,183,165,218,170,206,166,101,155,211,128,132,136,142,183,170,206")</f>
        <v>179,178,177,171,133,156,202,100,134,179,178,177,171,133,156,202,100,134,179,178,177,171,133,156,202,100,134,163,116,140,135,168,121,208,197,175,174,120,129,124,196,157,220,117,199,143,197,208,121,168,135,140,116,163,175,174,120,129,124,196,157,220,117,199,143,197,208,121,168,135,140,116,163,131,123,145,158,189,108,127,114,138,166,104,188,101,155,184,195,151,146,128,132,113,144,167,160,136,186,122,105,189,164,194,162,205,142,125,215,110,183,165,218,170,206,166,101,155,211,128,132,136,142,183,170,206</v>
      </c>
      <c r="D8" s="23" t="str">
        <f>IFERROR(__xludf.DUMMYFUNCTION("IFNA(JOIN("","", FILTER(AsistenciaJetAdmin!$D$2:$D1000, (AsistenciaJetAdmin!$A$2:$A1000=$A8)*(AsistenciaJetAdmin!$B$2:$B1000=$B8))),"""")"),",,,,,,,,,")</f>
        <v>,,,,,,,,,</v>
      </c>
      <c r="E8" s="40"/>
      <c r="F8" s="40"/>
      <c r="G8" s="40"/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</row>
    <row r="9">
      <c r="A9" s="71">
        <v>45756.0</v>
      </c>
      <c r="B9" s="72" t="s">
        <v>811</v>
      </c>
      <c r="C9" s="23" t="str">
        <f>IFERROR(__xludf.DUMMYFUNCTION("IFNA(JOIN("","", FILTER(AsistenciaJetAdmin!$C$2:$C1000, (AsistenciaJetAdmin!$A$2:$A1000=$A9)*(AsistenciaJetAdmin!$B$2:$B1000=$B9))),"""")"),"175,174,219,107,124,196,220,199,193,184,102,186,105,194,162,212,137,175,174,219,107,129,124,196,220,199,193,175,174,120,219,107,129,124,196,157,220,117,199,193,175,174,120,219,107,129,124,196,157,220,117,199,193,163,116,168,103,121,210,190,208,197,163,116"&amp;",135,168,103,121,210,190,208,197,163,116,140,135,168,103,121,210,190,208,197,163,116,140,135,168,103,121,210,190,208,197,163,116,140,135,168,103,121,210,190,208,203,197,163,116,140,135,168,103,121,210,190,208,203,197,169,195,198,113,167,153,122,215,207,21"&amp;"8,143,200,169,195,198,113,167,153,122,215,207,218,179,111,178,181,171,133,156,202,100,134,179,111,178,181,171,133,156,202,100,134,200,169,195,198,113,167,153,122,215,207,218,166,101,155,211,132,136,142,183,170,118,184,102,186,105,164,194,162,212,137,114,1"&amp;"38,180,104,221,151,146,144,160,192,182,159,205,125,166,101,155,211,132,136,142,183,170,118,184,102,186,105,164,194,162,212,137,131,123,145,216,204,158,201,172,108,191,127,166,101,155,211,132,136,142,183,170,166,101,155,132,136,142,183,170,206")</f>
        <v>175,174,219,107,124,196,220,199,193,184,102,186,105,194,162,212,137,175,174,219,107,129,124,196,220,199,193,175,174,120,219,107,129,124,196,157,220,117,199,193,175,174,120,219,107,129,124,196,157,220,117,199,193,163,116,168,103,121,210,190,208,197,163,116,135,168,103,121,210,190,208,197,163,116,140,135,168,103,121,210,190,208,197,163,116,140,135,168,103,121,210,190,208,197,163,116,140,135,168,103,121,210,190,208,203,197,163,116,140,135,168,103,121,210,190,208,203,197,169,195,198,113,167,153,122,215,207,218,143,200,169,195,198,113,167,153,122,215,207,218,179,111,178,181,171,133,156,202,100,134,179,111,178,181,171,133,156,202,100,134,200,169,195,198,113,167,153,122,215,207,218,166,101,155,211,132,136,142,183,170,118,184,102,186,105,164,194,162,212,137,114,138,180,104,221,151,146,144,160,192,182,159,205,125,166,101,155,211,132,136,142,183,170,118,184,102,186,105,164,194,162,212,137,131,123,145,216,204,158,201,172,108,191,127,166,101,155,211,132,136,142,183,170,166,101,155,132,136,142,183,170,206</v>
      </c>
      <c r="D9" s="23" t="str">
        <f>IFERROR(__xludf.DUMMYFUNCTION("IFNA(JOIN("","", FILTER(AsistenciaJetAdmin!$D$2:$D1000, (AsistenciaJetAdmin!$A$2:$A1000=$A9)*(AsistenciaJetAdmin!$B$2:$B1000=$B9))),"""")"),",,,,,,,,,,,,,,161,161,149,110,,,,,173,150,,128,128")</f>
        <v>,,,,,,,,,,,,,,161,161,149,110,,,,,173,150,,128,128</v>
      </c>
      <c r="E9" s="40"/>
      <c r="F9" s="40"/>
      <c r="G9" s="40"/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</row>
    <row r="10">
      <c r="A10" s="71">
        <v>45763.0</v>
      </c>
      <c r="B10" s="72" t="s">
        <v>811</v>
      </c>
      <c r="C10" s="23" t="str">
        <f>IFERROR(__xludf.DUMMYFUNCTION("IFNA(JOIN("","", FILTER(AsistenciaJetAdmin!$C$2:$C1000, (AsistenciaJetAdmin!$A$2:$A1000=$A10)*(AsistenciaJetAdmin!$B$2:$B1000=$B10))),"""")"),"175,174,120,219,107,129,196,157,220,117,199,143,193,188,195,198,113,167,122,215,110,188,169,195,198,113,167,122,215,110,188,169,195,198,113,167,122,215,110,188,169,195,198,113,167,153,122,215,110,163,140,135,168,121,210,190,208,197,114,180,104,221,151,146"&amp;",144,160,192,182,159,205,125,179,217,111,178,181,177,133,100,161,134,188,169,195,198,113,167,153,122,149,215,207,110,118,141,184,102,186,105,164,194,162,212,165,137,203,189,101,132,136,142,183,170,145,216,158,201,189,152,172,108,191")</f>
        <v>175,174,120,219,107,129,196,157,220,117,199,143,193,188,195,198,113,167,122,215,110,188,169,195,198,113,167,122,215,110,188,169,195,198,113,167,122,215,110,188,169,195,198,113,167,153,122,215,110,163,140,135,168,121,210,190,208,197,114,180,104,221,151,146,144,160,192,182,159,205,125,179,217,111,178,181,177,133,100,161,134,188,169,195,198,113,167,153,122,149,215,207,110,118,141,184,102,186,105,164,194,162,212,165,137,203,189,101,132,136,142,183,170,145,216,158,201,189,152,172,108,191</v>
      </c>
      <c r="D10" s="23" t="str">
        <f>IFERROR(__xludf.DUMMYFUNCTION("IFNA(JOIN("","", FILTER(AsistenciaJetAdmin!$D$2:$D1000, (AsistenciaJetAdmin!$A$2:$A1000=$A10)*(AsistenciaJetAdmin!$B$2:$B1000=$B10))),"""")"),",,,,,,,156,,,,,155,")</f>
        <v>,,,,,,,156,,,,,155,</v>
      </c>
      <c r="E10" s="40"/>
      <c r="F10" s="40"/>
      <c r="G10" s="40"/>
      <c r="H10" s="40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</row>
    <row r="11">
      <c r="A11" s="71">
        <v>45766.0</v>
      </c>
      <c r="B11" s="72" t="s">
        <v>810</v>
      </c>
      <c r="C11" s="23" t="str">
        <f>IFERROR(__xludf.DUMMYFUNCTION("IFNA(JOIN("","", FILTER(AsistenciaJetAdmin!$C$2:$C1000, (AsistenciaJetAdmin!$A$2:$A1000=$A11)*(AsistenciaJetAdmin!$B$2:$B1000=$B11))),"""")"),"175,120,107,129,220,117,143,175,174,120,219,107,129,220,117,143,193,175,174,120,219,107,129,196,157,220,117,199,143,193,166,155,132,142,183,170,206,166,155,132,142,183,170,206,118,184,102,186,105,164,194,162,212,165,137,114,138,104,151,146,144,160,205,125"&amp;",114,138,180,104,151,146,144,160,159,205,125,166,155,132,142,183,170,206,114,138,180,104,221,151,146,144,160,159,205,125,166,155,132,142,183,170,206,118,184,102,186,105,164,194,162,212,165,137,163,116,135,168,121,210,190,208,203,197,125,205,159,160,144,14"&amp;"6,151,221,104,180,138,114,188,195,198,113,167,122,149,215,207,218,145,216,204,158,201,189,172,108,175,174,120,219,107,129,196,157,220,117,199,143,193,114,138,180,104,221,151,146,144,160,159,205,125,118,141,184,102,186,105,164,194,162,212,165,137,166,155,1"&amp;"32,142,183,170,206,145,216,204,158,201,189,172,108,179,217,178,181,171,133,156,100,163,116,135,168,121,210,190,208,203,197,170,101,170,101,170")</f>
        <v>175,120,107,129,220,117,143,175,174,120,219,107,129,220,117,143,193,175,174,120,219,107,129,196,157,220,117,199,143,193,166,155,132,142,183,170,206,166,155,132,142,183,170,206,118,184,102,186,105,164,194,162,212,165,137,114,138,104,151,146,144,160,205,125,114,138,180,104,151,146,144,160,159,205,125,166,155,132,142,183,170,206,114,138,180,104,221,151,146,144,160,159,205,125,166,155,132,142,183,170,206,118,184,102,186,105,164,194,162,212,165,137,163,116,135,168,121,210,190,208,203,197,125,205,159,160,144,146,151,221,104,180,138,114,188,195,198,113,167,122,149,215,207,218,145,216,204,158,201,189,172,108,175,174,120,219,107,129,196,157,220,117,199,143,193,114,138,180,104,221,151,146,144,160,159,205,125,118,141,184,102,186,105,164,194,162,212,165,137,166,155,132,142,183,170,206,145,216,204,158,201,189,172,108,179,217,178,181,171,133,156,100,163,116,135,168,121,210,190,208,203,197,170,101,170,101,170</v>
      </c>
      <c r="D11" s="23" t="str">
        <f>IFERROR(__xludf.DUMMYFUNCTION("IFNA(JOIN("","", FILTER(AsistenciaJetAdmin!$D$2:$D1000, (AsistenciaJetAdmin!$A$2:$A1000=$A11)*(AsistenciaJetAdmin!$B$2:$B1000=$B11))),"""")"),",,,,,,,,101,136,,136,173,150,,,,,,,136,,134,140,,,")</f>
        <v>,,,,,,,,101,136,,136,173,150,,,,,,,136,,134,140,,,</v>
      </c>
      <c r="E11" s="40"/>
      <c r="F11" s="40"/>
      <c r="G11" s="40"/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</row>
    <row r="12">
      <c r="A12" s="71">
        <v>45766.0</v>
      </c>
      <c r="B12" s="72" t="s">
        <v>812</v>
      </c>
      <c r="C12" s="23" t="str">
        <f>IFERROR(__xludf.DUMMYFUNCTION("IFNA(JOIN("","", FILTER(AsistenciaJetAdmin!$C$2:$C1000, (AsistenciaJetAdmin!$A$2:$A1000=$A12)*(AsistenciaJetAdmin!$B$2:$B1000=$B12))),"""")"),"174,107,157,220,199,193,215,175,174,107,157,220,117,199,193,221,151,146,160,125,179,217,178,171,221,151,146,144,160,125,179,217,178,171,132,170,132,170,132,170,175,174,107,129,157,220,117,199,193,198,215,216,201,172,108,179,217,178,171,116,168,210,190,208"&amp;",203,116,168,210,190,208,203,180,221,151,146,144,160,125,166,132,170,216,201,172,179,217,178,171,118,141,164,162,212,116,168,210,190,208,203,116,168,210,190,208,203")</f>
        <v>174,107,157,220,199,193,215,175,174,107,157,220,117,199,193,221,151,146,160,125,179,217,178,171,221,151,146,144,160,125,179,217,178,171,132,170,132,170,132,170,175,174,107,129,157,220,117,199,193,198,215,216,201,172,108,179,217,178,171,116,168,210,190,208,203,116,168,210,190,208,203,180,221,151,146,144,160,125,166,132,170,216,201,172,179,217,178,171,118,141,164,162,212,116,168,210,190,208,203,116,168,210,190,208,203</v>
      </c>
      <c r="D12" s="23" t="str">
        <f>IFERROR(__xludf.DUMMYFUNCTION("IFNA(JOIN("","", FILTER(AsistenciaJetAdmin!$D$2:$D1000, (AsistenciaJetAdmin!$A$2:$A1000=$A12)*(AsistenciaJetAdmin!$B$2:$B1000=$B12))),"""")"),",,,,,,,,166,166,,,,,,,,,,,,,")</f>
        <v>,,,,,,,,166,166,,,,,,,,,,,,,</v>
      </c>
      <c r="E12" s="40"/>
      <c r="F12" s="40"/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</row>
    <row r="13">
      <c r="A13" s="71">
        <v>45770.0</v>
      </c>
      <c r="B13" s="72" t="s">
        <v>811</v>
      </c>
      <c r="C13" s="23" t="str">
        <f>IFERROR(__xludf.DUMMYFUNCTION("IFNA(JOIN("","", FILTER(AsistenciaJetAdmin!$C$2:$C1000, (AsistenciaJetAdmin!$A$2:$A1000=$A13)*(AsistenciaJetAdmin!$B$2:$B1000=$B13))),"""")"),"188,169,195,167,122,215,110,218,188,169,195,113,167,122,215,110,218,175,219,107,129,124,196,157,220,117,199,193,138,180,221,144,192,159,163,168,121,210,190,208,203,179,217,178,177,171,133,156,202,100,134,179,217,178,177,171,133,156,202,100,134,123,145,216"&amp;",204,201,152,172,191,127,123,145,216,204,201,152,172,191,127,182,,166,128,183,206,118,184,109,102,186,105,164,194,165,137")</f>
        <v>188,169,195,167,122,215,110,218,188,169,195,113,167,122,215,110,218,175,219,107,129,124,196,157,220,117,199,193,138,180,221,144,192,159,163,168,121,210,190,208,203,179,217,178,177,171,133,156,202,100,134,179,217,178,177,171,133,156,202,100,134,123,145,216,204,201,152,172,191,127,123,145,216,204,201,152,172,191,127,182,,166,128,183,206,118,184,109,102,186,105,164,194,165,137</v>
      </c>
      <c r="D13" s="23" t="str">
        <f>IFERROR(__xludf.DUMMYFUNCTION("IFNA(JOIN("","", FILTER(AsistenciaJetAdmin!$D$2:$D1000, (AsistenciaJetAdmin!$A$2:$A1000=$A13)*(AsistenciaJetAdmin!$B$2:$B1000=$B13))),"""")"),",,,,,,161,,,182,149,,173,150")</f>
        <v>,,,,,,161,,,182,149,,173,150</v>
      </c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</row>
    <row r="14">
      <c r="A14" s="71">
        <v>45773.0</v>
      </c>
      <c r="B14" s="72" t="s">
        <v>810</v>
      </c>
      <c r="C14" s="23" t="str">
        <f>IFERROR(__xludf.DUMMYFUNCTION("IFNA(JOIN("","", FILTER(AsistenciaJetAdmin!$C$2:$C1000, (AsistenciaJetAdmin!$A$2:$A1000=$A14)*(AsistenciaJetAdmin!$B$2:$B1000=$B14))),"""")"),"101,170,101,170,101,128,132,136,170,101,211,128,132,136,170,200,169,198,215,207,110,101,211,128,132,136,170,175,174,219,107,129,157,220,117,199,143,193,179,217,111,181,171,133,156,202,161,179,217,181,171,133,156,202,102,186,105,194,162,165,137,114,104,221"&amp;",146,160,192,182,159,205,125,200,169,198,153,215,207,110,218,175,174,219,107,129,157,220,117,199,143,193,200,188,169,198,153,215,207,110,218,114,138,180,104,221,146,160,192,182,159,205,125,200,188,169,198,167,153,215,207,110,218,102,186,105,164,194,162,16"&amp;"5,137,200,188,169,198,167,153,215,207,110,218,116,135,103,121,208,197,123,145,204,158,189,172,191,127,200,188,169,198,167,153,215,207,110,218,102,186,105,164,194,162,165,137,102,186,105,164,194,162,165,137,102,186,105,164,194,162,165,137")</f>
        <v>101,170,101,170,101,128,132,136,170,101,211,128,132,136,170,200,169,198,215,207,110,101,211,128,132,136,170,175,174,219,107,129,157,220,117,199,143,193,179,217,111,181,171,133,156,202,161,179,217,181,171,133,156,202,102,186,105,194,162,165,137,114,104,221,146,160,192,182,159,205,125,200,169,198,153,215,207,110,218,175,174,219,107,129,157,220,117,199,143,193,200,188,169,198,153,215,207,110,218,114,138,180,104,221,146,160,192,182,159,205,125,200,188,169,198,167,153,215,207,110,218,102,186,105,164,194,162,165,137,200,188,169,198,167,153,215,207,110,218,116,135,103,121,208,197,123,145,204,158,189,172,191,127,200,188,169,198,167,153,215,207,110,218,102,186,105,164,194,162,165,137,102,186,105,164,194,162,165,137,102,186,105,164,194,162,165,137</v>
      </c>
      <c r="D14" s="23" t="str">
        <f>IFERROR(__xludf.DUMMYFUNCTION("IFNA(JOIN("","", FILTER(AsistenciaJetAdmin!$D$2:$D1000, (AsistenciaJetAdmin!$A$2:$A1000=$A14)*(AsistenciaJetAdmin!$B$2:$B1000=$B14))),"""")"),",,,,,,,,,,,,124,196,,,,,149,168,,149,207,173,150,173,150,173,150")</f>
        <v>,,,,,,,,,,,,124,196,,,,,149,168,,149,207,173,150,173,150,173,150</v>
      </c>
      <c r="E14" s="40"/>
      <c r="F14" s="40"/>
      <c r="G14" s="40"/>
      <c r="H14" s="40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</row>
    <row r="15">
      <c r="A15" s="71">
        <v>45773.0</v>
      </c>
      <c r="B15" s="72" t="s">
        <v>812</v>
      </c>
      <c r="C15" s="23" t="str">
        <f>IFERROR(__xludf.DUMMYFUNCTION("IFNA(JOIN("","", FILTER(AsistenciaJetAdmin!$C$2:$C1000, (AsistenciaJetAdmin!$A$2:$A1000=$A15)*(AsistenciaJetAdmin!$B$2:$B1000=$B15))),"""")"),"114,221,146,144,160,182,159,205,125,114,138,221,146,144,160,182,159,205,125,175,174,219,107,129,124,196,157,220,117,199,193,169,195,198,113,167,153,149,215,110,118,173,141,102,186,105,164,194,162,165,150,137,116,140,135,103,121,190,208,197,116,140,135,103"&amp;",121,190,208,203,197,101,211,128,132,136,142,101,211,128,132,136,142,123,145,204,158,201,189,108,127,175,174,219,107,129,124,196,157,220,117,199,143,193")</f>
        <v>114,221,146,144,160,182,159,205,125,114,138,221,146,144,160,182,159,205,125,175,174,219,107,129,124,196,157,220,117,199,193,169,195,198,113,167,153,149,215,110,118,173,141,102,186,105,164,194,162,165,150,137,116,140,135,103,121,190,208,197,116,140,135,103,121,190,208,203,197,101,211,128,132,136,142,101,211,128,132,136,142,123,145,204,158,201,189,108,127,175,174,219,107,129,124,196,157,220,117,199,143,193</v>
      </c>
      <c r="D15" s="23" t="str">
        <f>IFERROR(__xludf.DUMMYFUNCTION("IFNA(JOIN("","", FILTER(AsistenciaJetAdmin!$D$2:$D1000, (AsistenciaJetAdmin!$A$2:$A1000=$A15)*(AsistenciaJetAdmin!$B$2:$B1000=$B15))),"""")"),",138,,,184,,,183,183,,")</f>
        <v>,138,,,184,,,183,183,,</v>
      </c>
      <c r="E15" s="40"/>
      <c r="F15" s="40"/>
      <c r="G15" s="40"/>
      <c r="H15" s="40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</row>
    <row r="16">
      <c r="A16" s="71">
        <v>45777.0</v>
      </c>
      <c r="B16" s="72" t="s">
        <v>811</v>
      </c>
      <c r="C16" s="23" t="str">
        <f>IFERROR(__xludf.DUMMYFUNCTION("IFNA(JOIN("","", FILTER(AsistenciaJetAdmin!$C$2:$C1000, (AsistenciaJetAdmin!$A$2:$A1000=$A16)*(AsistenciaJetAdmin!$B$2:$B1000=$B16))),"""")"),"200,195,113,167,122,215,153,211,128,132,142,206,188,153,211,128,132,136,142,206,166,211,128,132,136,142,206,188,153,207,110,188,153,207,110,218,166,101,211,128,132,136,142,206,114,138,180,104,221,151,146,144,160,192,182,159,205,125,179,178,177,171,133,156"&amp;",202,100,161,134,179,178,177,171,133,156,202,100,161,134,,118,173,184,109,102,186,105,164,194,162,212,150,137,118,173,184,109,102,186,105,164,194,162,212,150,137,175,174,120,219,107,129,196,157,220,117,199,143,193,163,116,140,168,210,190,208,197,163,116,1"&amp;"40,168,210,190,208,197,,,179,178,177,171,133,156,202,100,161,134,179,178,177,171,133,156,202,100,161,134,200,188,195,113,167,153,122,149,215,207,110,218,123,216,204,158,189,152,172,108,191,127")</f>
        <v>200,195,113,167,122,215,153,211,128,132,142,206,188,153,211,128,132,136,142,206,166,211,128,132,136,142,206,188,153,207,110,188,153,207,110,218,166,101,211,128,132,136,142,206,114,138,180,104,221,151,146,144,160,192,182,159,205,125,179,178,177,171,133,156,202,100,161,134,179,178,177,171,133,156,202,100,161,134,,118,173,184,109,102,186,105,164,194,162,212,150,137,118,173,184,109,102,186,105,164,194,162,212,150,137,175,174,120,219,107,129,196,157,220,117,199,143,193,163,116,140,168,210,190,208,197,163,116,140,168,210,190,208,197,,,179,178,177,171,133,156,202,100,161,134,179,178,177,171,133,156,202,100,161,134,200,188,195,113,167,153,122,149,215,207,110,218,123,216,204,158,189,152,172,108,191,127</v>
      </c>
      <c r="D16" s="23" t="str">
        <f>IFERROR(__xludf.DUMMYFUNCTION("IFNA(JOIN("","", FILTER(AsistenciaJetAdmin!$D$2:$D1000, (AsistenciaJetAdmin!$A$2:$A1000=$A16)*(AsistenciaJetAdmin!$B$2:$B1000=$B16))),"""")"),",,,,,,,,155,,,,149,141,141,,135,121,203,135,121,203,145,201,145,201,217,217,,145,201")</f>
        <v>,,,,,,,,155,,,,149,141,141,,135,121,203,135,121,203,145,201,145,201,217,217,,145,201</v>
      </c>
      <c r="E16" s="40"/>
      <c r="F16" s="40"/>
      <c r="G16" s="40"/>
      <c r="H16" s="40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</row>
    <row r="17">
      <c r="A17" s="71">
        <v>45780.0</v>
      </c>
      <c r="B17" s="72" t="s">
        <v>810</v>
      </c>
      <c r="C17" s="23" t="str">
        <f>IFERROR(__xludf.DUMMYFUNCTION("IFNA(JOIN("","", FILTER(AsistenciaJetAdmin!$C$2:$C1000, (AsistenciaJetAdmin!$A$2:$A1000=$A17)*(AsistenciaJetAdmin!$B$2:$B1000=$B17))),"""")"),"166,155,211,128,132,142,183,206,179,217,111,178,181,177,171,133,156,202,100,200,188,169,195,198,113,167,153,122,215,218,163,116,140,135,168,103,121,210,190,208,197,200,188,169,195,198,113,167,153,122,215,207,218,163,116,140,135,168,103,121,210,190,208,197"&amp;",179,217,111,178,181,177,171,133,156,202,100,114,138,180,104,221,151,146,144,160,192,182,159,205,125,123,145,216,204,158,201,152,172,108,191,127,166,155,211,128,132,142,183,206,123,145,216,204,158,201,152,172,108,191,127,179,217,111,178,181,177,171,133,15"&amp;"6,202,100,123,145,216,204,158,201,152,172,108,191,127,175,174,219,107,124,196,157,220,117,199,143,193,118,173,184,109,102,186,105,164,194,162,212,165,150,137,175,174,219,107,124,196,157,220,117,199,143,193,,,,")</f>
        <v>166,155,211,128,132,142,183,206,179,217,111,178,181,177,171,133,156,202,100,200,188,169,195,198,113,167,153,122,215,218,163,116,140,135,168,103,121,210,190,208,197,200,188,169,195,198,113,167,153,122,215,207,218,163,116,140,135,168,103,121,210,190,208,197,179,217,111,178,181,177,171,133,156,202,100,114,138,180,104,221,151,146,144,160,192,182,159,205,125,123,145,216,204,158,201,152,172,108,191,127,166,155,211,128,132,142,183,206,123,145,216,204,158,201,152,172,108,191,127,179,217,111,178,181,177,171,133,156,202,100,123,145,216,204,158,201,152,172,108,191,127,175,174,219,107,124,196,157,220,117,199,143,193,118,173,184,109,102,186,105,164,194,162,212,165,150,137,175,174,219,107,124,196,157,220,117,199,143,193,,,,</v>
      </c>
      <c r="D17" s="23" t="str">
        <f>IFERROR(__xludf.DUMMYFUNCTION("IFNA(JOIN("","", FILTER(AsistenciaJetAdmin!$D$2:$D1000, (AsistenciaJetAdmin!$A$2:$A1000=$A17)*(AsistenciaJetAdmin!$B$2:$B1000=$B17))),"""")"),",,,,,,,,,136,,161,189,,,,101,110,101,101")</f>
        <v>,,,,,,,,,136,,161,189,,,,101,110,101,101</v>
      </c>
      <c r="E17" s="40"/>
      <c r="F17" s="40"/>
      <c r="G17" s="40"/>
      <c r="H17" s="40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</row>
    <row r="18">
      <c r="A18" s="71">
        <v>45780.0</v>
      </c>
      <c r="B18" s="72" t="s">
        <v>812</v>
      </c>
      <c r="C18" s="23" t="str">
        <f>IFERROR(__xludf.DUMMYFUNCTION("IFNA(JOIN("","", FILTER(AsistenciaJetAdmin!$C$2:$C1000, (AsistenciaJetAdmin!$A$2:$A1000=$A18)*(AsistenciaJetAdmin!$B$2:$B1000=$B18))),"""")"),"101,155,211,128,142,116,140,135,168,103,121,210,190,208,188,195,198,113,167,153,122,215,207,218,116,140,135,168,103,121,210,190,208,101,155,211,128,142,183,101,155,211,128,142,183,186,105,194,137,179,217,178,177,156,202,100,138,151,146,160,192,125,216,158"&amp;",201,152,108,216,158,201,152,108,221,159,174,219,107,124,196,157,220,199,143,193,101,155,211,128,142,183,101,155,211,128,142,183,")</f>
        <v>101,155,211,128,142,116,140,135,168,103,121,210,190,208,188,195,198,113,167,153,122,215,207,218,116,140,135,168,103,121,210,190,208,101,155,211,128,142,183,101,155,211,128,142,183,186,105,194,137,179,217,178,177,156,202,100,138,151,146,160,192,125,216,158,201,152,108,216,158,201,152,108,221,159,174,219,107,124,196,157,220,199,143,193,101,155,211,128,142,183,101,155,211,128,142,183,</v>
      </c>
      <c r="D18" s="23" t="str">
        <f>IFERROR(__xludf.DUMMYFUNCTION("IFNA(JOIN("","", FILTER(AsistenciaJetAdmin!$D$2:$D1000, (AsistenciaJetAdmin!$A$2:$A1000=$A18)*(AsistenciaJetAdmin!$B$2:$B1000=$B18))),"""")"),",,,,,,118,212,,,,,221,159,,,,163")</f>
        <v>,,,,,,118,212,,,,,221,159,,,,163</v>
      </c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</row>
    <row r="19">
      <c r="A19" s="71">
        <v>45784.0</v>
      </c>
      <c r="B19" s="72" t="s">
        <v>811</v>
      </c>
      <c r="C19" s="23" t="str">
        <f>IFERROR(__xludf.DUMMYFUNCTION("IFNA(JOIN("","", FILTER(AsistenciaJetAdmin!$C$2:$C1000, (AsistenciaJetAdmin!$A$2:$A1000=$A19)*(AsistenciaJetAdmin!$B$2:$B1000=$B19))),"""")"),"166,101,132,136,142,183,170,166,101,132,136,142,183,170,114,138,180,151,146,144,192,205,125,174,219,107,129,124,196,220,199,193,178,181,177,156,100,134,178,181,177,156,100,134,200,188,195,198,113,167,122,215,110,174,219,107,129,124,196,220,199,193,200,188"&amp;",195,198,113,167,122,215,207,110,123,216,158,201,189,152,172,108,191,127,182,141,184,109,186,105,164,194,212,165,178,181,177,156,100,134,178,181,177,156,100,134,174,219,107,129,124,196,220,199,193,116,140,135,168,103,210,190,197,116,140,135,168,103,210,19"&amp;"0,197")</f>
        <v>166,101,132,136,142,183,170,166,101,132,136,142,183,170,114,138,180,151,146,144,192,205,125,174,219,107,129,124,196,220,199,193,178,181,177,156,100,134,178,181,177,156,100,134,200,188,195,198,113,167,122,215,110,174,219,107,129,124,196,220,199,193,200,188,195,198,113,167,122,215,207,110,123,216,158,201,189,152,172,108,191,127,182,141,184,109,186,105,164,194,212,165,178,181,177,156,100,134,178,181,177,156,100,134,174,219,107,129,124,196,220,199,193,116,140,135,168,103,210,190,197,116,140,135,168,103,210,190,197</v>
      </c>
      <c r="D19" s="23" t="str">
        <f>IFERROR(__xludf.DUMMYFUNCTION("IFNA(JOIN("","", FILTER(AsistenciaJetAdmin!$D$2:$D1000, (AsistenciaJetAdmin!$A$2:$A1000=$A19)*(AsistenciaJetAdmin!$B$2:$B1000=$B19))),"""")"),"155,211,155,211,,,,,,143,,,182,,179,133,179,133,120,157,117,143,163,208,203,163,208,203")</f>
        <v>155,211,155,211,,,,,,143,,,182,,179,133,179,133,120,157,117,143,163,208,203,163,208,203</v>
      </c>
      <c r="E19" s="40"/>
      <c r="F19" s="40"/>
      <c r="G19" s="40"/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</row>
    <row r="20">
      <c r="A20" s="71">
        <v>45787.0</v>
      </c>
      <c r="B20" s="72" t="s">
        <v>810</v>
      </c>
      <c r="C20" s="23" t="str">
        <f>IFERROR(__xludf.DUMMYFUNCTION("IFNA(JOIN("","", FILTER(AsistenciaJetAdmin!$C$2:$C1000, (AsistenciaJetAdmin!$A$2:$A1000=$A20)*(AsistenciaJetAdmin!$B$2:$B1000=$B20))),"""")"),"200,188,198,167,122,215,200,188,198,167,122,215,110,101,136,142,170,206,101,211,132,136,142,170,206,101,155,211,132,136,142,170,206,101,155,211,132,136,142,170,206,114,138,180,104,151,146,144,160,125,116,135,168,210,190,208,197,200,188,169,198,167,122,215"&amp;",110,123,145,216,158,201,152,172,108,118,141,184,102,186,164,194,162,212,118,141,184,102,186,164,194,162,212,179,178,181,133,156,100,134,179,178,181,133,156,100,134,163,118,141,184,102,186,164,194,162,212,179,178,181,133,156,100,134,182,205,179,178,181,13"&amp;"3,156,100,134,179,178,181,133,156,100,134,200,188,169,198,167,122,215,110,200,188,169,198,167,122,215,110,174,107,129,124,196,220,199,143,193,163,116,168,121,210,190,208,197,163,116,168,121,210,190,208,197,123,145,216,158,201,152,172,108")</f>
        <v>200,188,198,167,122,215,200,188,198,167,122,215,110,101,136,142,170,206,101,211,132,136,142,170,206,101,155,211,132,136,142,170,206,101,155,211,132,136,142,170,206,114,138,180,104,151,146,144,160,125,116,135,168,210,190,208,197,200,188,169,198,167,122,215,110,123,145,216,158,201,152,172,108,118,141,184,102,186,164,194,162,212,118,141,184,102,186,164,194,162,212,179,178,181,133,156,100,134,179,178,181,133,156,100,134,163,118,141,184,102,186,164,194,162,212,179,178,181,133,156,100,134,182,205,179,178,181,133,156,100,134,179,178,181,133,156,100,134,200,188,169,198,167,122,215,110,200,188,169,198,167,122,215,110,174,107,129,124,196,220,199,143,193,163,116,168,121,210,190,208,197,163,116,168,121,210,190,208,197,123,145,216,158,201,152,172,108</v>
      </c>
      <c r="D20" s="23" t="str">
        <f>IFERROR(__xludf.DUMMYFUNCTION("IFNA(JOIN("","", FILTER(AsistenciaJetAdmin!$D$2:$D1000, (AsistenciaJetAdmin!$A$2:$A1000=$A20)*(AsistenciaJetAdmin!$B$2:$B1000=$B20))),"""")"),",,,,,,,,,,,,,,,,202,182,205,111,202,161,111,202,161,153,218,153,149,207,218,175,120,117,,,204,189")</f>
        <v>,,,,,,,,,,,,,,,,202,182,205,111,202,161,111,202,161,153,218,153,149,207,218,175,120,117,,,204,189</v>
      </c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</row>
    <row r="21">
      <c r="A21" s="71">
        <v>45791.0</v>
      </c>
      <c r="B21" s="72" t="s">
        <v>811</v>
      </c>
      <c r="C21" s="23" t="str">
        <f>IFERROR(__xludf.DUMMYFUNCTION("IFNA(JOIN("","", FILTER(AsistenciaJetAdmin!$C$2:$C1000, (AsistenciaJetAdmin!$A$2:$A1000=$A21)*(AsistenciaJetAdmin!$B$2:$B1000=$B21))),"""")"),"188,169,195,198,113,153,122,215,207,218,188,169,195,198,113,167,153,122,215,207,218,188,169,195,198,113,167,153,122,215,207,110,218,200,188,169,195,198,113,167,153,122,215,207,110,218,155,211,128,132,136,183,170,206,155,211,128,132,136,183,170,206,175,174"&amp;",120,107,129,124,196,157,220,117,199,143,193,179,217,178,177,171,133,156,100,134,114,138,180,104,221,151,146,144,160,192,159,205,125,163,116,140,168,103,121,210,190,208,197,193,143,199,117,220,157,196,124,129,107,120,174,175,123,145,216,204,201,189,152,17"&amp;"2,108,191,127,,,179,217,178,177,171,133,156,100,134,118,184,109,102,186,105,164,194,162,137,118,184,109,102,186,105,164,194,162,137,182")</f>
        <v>188,169,195,198,113,153,122,215,207,218,188,169,195,198,113,167,153,122,215,207,218,188,169,195,198,113,167,153,122,215,207,110,218,200,188,169,195,198,113,167,153,122,215,207,110,218,155,211,128,132,136,183,170,206,155,211,128,132,136,183,170,206,175,174,120,107,129,124,196,157,220,117,199,143,193,179,217,178,177,171,133,156,100,134,114,138,180,104,221,151,146,144,160,192,159,205,125,163,116,140,168,103,121,210,190,208,197,193,143,199,117,220,157,196,124,129,107,120,174,175,123,145,216,204,201,189,152,172,108,191,127,,,179,217,178,177,171,133,156,100,134,118,184,109,102,186,105,164,194,162,137,118,184,109,102,186,105,164,194,162,137,182</v>
      </c>
      <c r="D21" s="23" t="str">
        <f>IFERROR(__xludf.DUMMYFUNCTION("IFNA(JOIN("","", FILTER(AsistenciaJetAdmin!$D$2:$D1000, (AsistenciaJetAdmin!$A$2:$A1000=$A21)*(AsistenciaJetAdmin!$B$2:$B1000=$B21))),"""")"),",,,,,,,,,135,,101,101,202,173,150,173,150,182")</f>
        <v>,,,,,,,,,135,,101,101,202,173,150,173,150,182</v>
      </c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  <c r="S21" s="40"/>
      <c r="T21" s="40"/>
      <c r="U21" s="40"/>
      <c r="V21" s="40"/>
      <c r="W21" s="40"/>
      <c r="X21" s="40"/>
      <c r="Y21" s="40"/>
      <c r="Z21" s="40"/>
    </row>
    <row r="22">
      <c r="A22" s="71">
        <v>45798.0</v>
      </c>
      <c r="B22" s="72" t="s">
        <v>811</v>
      </c>
      <c r="C22" s="23" t="str">
        <f>IFERROR(__xludf.DUMMYFUNCTION("IFNA(JOIN("","", FILTER(AsistenciaJetAdmin!$C$2:$C1000, (AsistenciaJetAdmin!$A$2:$A1000=$A22)*(AsistenciaJetAdmin!$B$2:$B1000=$B22))),"""")"),"179,217,178,181,171,161,134,179,217,178,181,171,202,161,134,179,217,178,181,171,202,161,134,114,138,180,104,221,151,146,160,159,125,166,101,155,211,128,132,136,142,170,206,166,101,155,211,128,132,136,142,170,206,123,145,204,158,201,152,172,108,191,127,123"&amp;",145,204,158,201,152,172,108,191,127,118,141,184,109,102,105,164,194,162,165,137,118,141,184,109,102,105,164,194,162,165,137,174,219,107,129,124,196,157,220,117,199,143,193,116,140,135,168,103,121,210,190,208,197,182,188,195,198,113,167,153,122,149,215,21"&amp;"8")</f>
        <v>179,217,178,181,171,161,134,179,217,178,181,171,202,161,134,179,217,178,181,171,202,161,134,114,138,180,104,221,151,146,160,159,125,166,101,155,211,128,132,136,142,170,206,166,101,155,211,128,132,136,142,170,206,123,145,204,158,201,152,172,108,191,127,123,145,204,158,201,152,172,108,191,127,118,141,184,109,102,105,164,194,162,165,137,118,141,184,109,102,105,164,194,162,165,137,174,219,107,129,124,196,157,220,117,199,143,193,116,140,135,168,103,121,210,190,208,197,182,188,195,198,113,167,153,122,149,215,218</v>
      </c>
      <c r="D22" s="23" t="str">
        <f>IFERROR(__xludf.DUMMYFUNCTION("IFNA(JOIN("","", FILTER(AsistenciaJetAdmin!$D$2:$D1000, (AsistenciaJetAdmin!$A$2:$A1000=$A22)*(AsistenciaJetAdmin!$B$2:$B1000=$B22))),"""")"),",,156,,,,,,,,,203,182,200,207")</f>
        <v>,,156,,,,,,,,,203,182,200,207</v>
      </c>
      <c r="E22" s="40"/>
      <c r="F22" s="40"/>
      <c r="G22" s="40"/>
      <c r="H22" s="40"/>
      <c r="I22" s="40"/>
      <c r="J22" s="40"/>
      <c r="K22" s="40"/>
      <c r="L22" s="40"/>
      <c r="M22" s="40"/>
      <c r="N22" s="40"/>
      <c r="O22" s="40"/>
      <c r="P22" s="40"/>
      <c r="Q22" s="40"/>
      <c r="R22" s="40"/>
      <c r="S22" s="40"/>
      <c r="T22" s="40"/>
      <c r="U22" s="40"/>
      <c r="V22" s="40"/>
      <c r="W22" s="40"/>
      <c r="X22" s="40"/>
      <c r="Y22" s="40"/>
      <c r="Z22" s="40"/>
    </row>
    <row r="23">
      <c r="A23" s="71">
        <v>45801.0</v>
      </c>
      <c r="B23" s="72" t="s">
        <v>810</v>
      </c>
      <c r="C23" s="23" t="str">
        <f>IFERROR(__xludf.DUMMYFUNCTION("IFNA(JOIN("","", FILTER(AsistenciaJetAdmin!$C$2:$C1000, (AsistenciaJetAdmin!$A$2:$A1000=$A23)*(AsistenciaJetAdmin!$B$2:$B1000=$B23))),"""")"),"200,169,198,167,122,215,200,169,198,167,122,215,207,200,169,198,167,122,215,207,110,200,169,195,198,113,167,122,215,207,110,218,101,128,132,142,170,206,118,141,184,102,186,105,164,194,212,165,137,200,169,195,198,113,167,122,215,207,110,218,118,141,184,102"&amp;",186,105,164,194,212,165,137,135,168,103,208,203,101,128,132,142,170,206,114,138,180,104,221,151,146,144,160,192,182,159,125,118,141,184,102,186,105,164,194,212,165,137,175,174,219,107,124,157,220,117,199,143,193,123,145,216,201,152,172,108,191,127,179,17"&amp;"8")</f>
        <v>200,169,198,167,122,215,200,169,198,167,122,215,207,200,169,198,167,122,215,207,110,200,169,195,198,113,167,122,215,207,110,218,101,128,132,142,170,206,118,141,184,102,186,105,164,194,212,165,137,200,169,195,198,113,167,122,215,207,110,218,118,141,184,102,186,105,164,194,212,165,137,135,168,103,208,203,101,128,132,142,170,206,114,138,180,104,221,151,146,144,160,192,182,159,125,118,141,184,102,186,105,164,194,212,165,137,175,174,219,107,124,157,220,117,199,143,193,123,145,216,201,152,172,108,191,127,179,178</v>
      </c>
      <c r="D23" s="23" t="str">
        <f>IFERROR(__xludf.DUMMYFUNCTION("IFNA(JOIN("","", FILTER(AsistenciaJetAdmin!$D$2:$D1000, (AsistenciaJetAdmin!$A$2:$A1000=$A23)*(AsistenciaJetAdmin!$B$2:$B1000=$B23))),"""")"),",,,,,,153,149,109,163,140,121,155,211,136,182,173,109,150,,204,152,111,177,171,133,156,100,161")</f>
        <v>,,,,,,153,149,109,163,140,121,155,211,136,182,173,109,150,,204,152,111,177,171,133,156,100,161</v>
      </c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</row>
    <row r="24">
      <c r="A24" s="71">
        <v>45805.0</v>
      </c>
      <c r="B24" s="72" t="s">
        <v>811</v>
      </c>
      <c r="C24" s="23" t="str">
        <f>IFERROR(__xludf.DUMMYFUNCTION("IFNA(JOIN("","", FILTER(AsistenciaJetAdmin!$C$2:$C1000, (AsistenciaJetAdmin!$A$2:$A1000=$A24)*(AsistenciaJetAdmin!$B$2:$B1000=$B24))),"""")"),"195,113,122,188,195,113,167,122,188,169,195,113,167,122,188,169,195,113,167,122,110,217,111,178,181,177,171,133,156,202,100,188,169,195,113,167,122,149,110,200,188,169,195,113,167,122,149,110,200,188,169,195,113,167,122,149,110,217,111,178,181,177,171,133"&amp;",156,202,100,101,155,211,128,132,136,142,183,182,118,173,184,186,105,164,194,162,212,165,150,137,123,145,216,158,201,189,172,108,191,123,145,216,158,201,189,172,108,191,118,173,184,186,105,164,194,162,212,165,150,137,118,173,184,186,105,164,194,162,212,16"&amp;"5,150,137,144,163,116,140,135,168,121,210,208,203,175,120,107,129,124,196,117,193,114,180,104,221,146,144,160,182,159,205,125,153,218,153,218")</f>
        <v>195,113,122,188,195,113,167,122,188,169,195,113,167,122,188,169,195,113,167,122,110,217,111,178,181,177,171,133,156,202,100,188,169,195,113,167,122,149,110,200,188,169,195,113,167,122,149,110,200,188,169,195,113,167,122,149,110,217,111,178,181,177,171,133,156,202,100,101,155,211,128,132,136,142,183,182,118,173,184,186,105,164,194,162,212,165,150,137,123,145,216,158,201,189,172,108,191,123,145,216,158,201,189,172,108,191,118,173,184,186,105,164,194,162,212,165,150,137,118,173,184,186,105,164,194,162,212,165,150,137,144,163,116,140,135,168,121,210,208,203,175,120,107,129,124,196,117,193,114,180,104,221,146,144,160,182,159,205,125,153,218,153,218</v>
      </c>
      <c r="D24" s="23" t="str">
        <f>IFERROR(__xludf.DUMMYFUNCTION("IFNA(JOIN("","", FILTER(AsistenciaJetAdmin!$D$2:$D1000, (AsistenciaJetAdmin!$A$2:$A1000=$A24)*(AsistenciaJetAdmin!$B$2:$B1000=$B24))),"""")"),",,,,,,,,,101,182,,,,109,109,144,,,182,,")</f>
        <v>,,,,,,,,,101,182,,,,109,109,144,,,182,,</v>
      </c>
      <c r="E24" s="40"/>
      <c r="F24" s="40"/>
      <c r="G24" s="40"/>
      <c r="H24" s="40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</row>
    <row r="25">
      <c r="A25" s="71">
        <v>45808.0</v>
      </c>
      <c r="B25" s="72" t="s">
        <v>810</v>
      </c>
      <c r="C25" s="23" t="str">
        <f>IFERROR(__xludf.DUMMYFUNCTION("IFNA(JOIN("","", FILTER(AsistenciaJetAdmin!$C$2:$C1000, (AsistenciaJetAdmin!$A$2:$A1000=$A25)*(AsistenciaJetAdmin!$B$2:$B1000=$B25))),"""")"),"123,145,158,201,172,108,191,179,171,133,156,179,171,133,156,118,141,102,186,164,194,162,212,165,137,151,144,160,192,159,125,155,211,128,132,206,155,211,128,132,206,163,116,103,121,210,190,208,163,116,103,121,210,190,208,151,144,160,192,159,125,221,175,174"&amp;",120,219,107,129,157,220,117,199,143,193,198,167,153,215,207,218")</f>
        <v>123,145,158,201,172,108,191,179,171,133,156,179,171,133,156,118,141,102,186,164,194,162,212,165,137,151,144,160,192,159,125,155,211,128,132,206,155,211,128,132,206,163,116,103,121,210,190,208,163,116,103,121,210,190,208,151,144,160,192,159,125,221,175,174,120,219,107,129,157,220,117,199,143,193,198,167,153,215,207,218</v>
      </c>
      <c r="D25" s="23" t="str">
        <f>IFERROR(__xludf.DUMMYFUNCTION("IFNA(JOIN("","", FILTER(AsistenciaJetAdmin!$D$2:$D1000, (AsistenciaJetAdmin!$A$2:$A1000=$A25)*(AsistenciaJetAdmin!$B$2:$B1000=$B25))),"""")"),",178,178,,,,,168,168,,,,")</f>
        <v>,178,178,,,,,168,168,,,,</v>
      </c>
      <c r="E25" s="40"/>
      <c r="F25" s="40"/>
      <c r="G25" s="40"/>
      <c r="H25" s="40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</row>
    <row r="26">
      <c r="A26" s="71">
        <v>45808.0</v>
      </c>
      <c r="B26" s="72" t="s">
        <v>812</v>
      </c>
      <c r="C26" s="23" t="str">
        <f>IFERROR(__xludf.DUMMYFUNCTION("IFNA(JOIN("","", FILTER(AsistenciaJetAdmin!$C$2:$C1000, (AsistenciaJetAdmin!$A$2:$A1000=$A26)*(AsistenciaJetAdmin!$B$2:$B1000=$B26))),"""")"),"179,111,178,177,133,156,100,200,195,198,113,215,110,200,195,198,113,167,215,207,110,138,180,151,146,160,205,125,173,109,164,194,162,173,109,164,194,162,138,180,151,146,144,160,182,205,125,200,188,169,195,198,113,167,215,207,110,101,155,211,128,132,136,183"&amp;",170,206,125,205,182,160,144,146,151,180,138,174,219,107,129,124,196,157,220,199,143,193,140,135,168,103,210,208,197,140,135,168,103,210,208,197,123,145,204,158,201,189,108")</f>
        <v>179,111,178,177,133,156,100,200,195,198,113,215,110,200,195,198,113,167,215,207,110,138,180,151,146,160,205,125,173,109,164,194,162,173,109,164,194,162,138,180,151,146,144,160,182,205,125,200,188,169,195,198,113,167,215,207,110,101,155,211,128,132,136,183,170,206,125,205,182,160,144,146,151,180,138,174,219,107,129,124,196,157,220,199,143,193,140,135,168,103,210,208,197,140,135,168,103,210,208,197,123,145,204,158,201,189,108</v>
      </c>
      <c r="D26" s="23" t="str">
        <f>IFERROR(__xludf.DUMMYFUNCTION("IFNA(JOIN("","", FILTER(AsistenciaJetAdmin!$D$2:$D1000, (AsistenciaJetAdmin!$A$2:$A1000=$A26)*(AsistenciaJetAdmin!$B$2:$B1000=$B26))),"""")"),",,,,102,118,141,102,,149,,,,,")</f>
        <v>,,,,102,118,141,102,,149,,,,,</v>
      </c>
      <c r="E26" s="40"/>
      <c r="F26" s="40"/>
      <c r="G26" s="40"/>
      <c r="H26" s="40"/>
      <c r="I26" s="40"/>
      <c r="J26" s="40"/>
      <c r="K26" s="40"/>
      <c r="L26" s="40"/>
      <c r="M26" s="40"/>
      <c r="N26" s="40"/>
      <c r="O26" s="40"/>
      <c r="P26" s="40"/>
      <c r="Q26" s="40"/>
      <c r="R26" s="40"/>
      <c r="S26" s="40"/>
      <c r="T26" s="40"/>
      <c r="U26" s="40"/>
      <c r="V26" s="40"/>
      <c r="W26" s="40"/>
      <c r="X26" s="40"/>
      <c r="Y26" s="40"/>
      <c r="Z26" s="40"/>
    </row>
    <row r="27">
      <c r="A27" s="71">
        <v>45812.0</v>
      </c>
      <c r="B27" s="72" t="s">
        <v>811</v>
      </c>
      <c r="C27" s="23" t="str">
        <f>IFERROR(__xludf.DUMMYFUNCTION("IFNA(JOIN("","", FILTER(AsistenciaJetAdmin!$C$2:$C1000, (AsistenciaJetAdmin!$A$2:$A1000=$A27)*(AsistenciaJetAdmin!$B$2:$B1000=$B27))),"""")"),"163,180,169,144,201,122,172,203,159,191,197,207,211,219,128,102,186,171,194,137,206,141,174,101,109,107,105,220,164,156,162,150,116,216,146,121,160,210,190,192,149,205,108,215,218,211,219,128,102,186,171,194,137,134,206,184,178,132,133,202,212,199,143,193"&amp;",183,165,161,184,178,132,133,202,212,199,143,193,183,165,161,114,138,200,145,104,221,198,103,153,152,208,123,188,140,195,204,151,168,113,158,167,189,125,110,173,179,120,217,111,181,196,115,157,117,100,170,173,179,120,217,111,181,196,115,157,117,100,170,12"&amp;"3,188,140,195,204,151,168,113,158,167,189,125,110")</f>
        <v>163,180,169,144,201,122,172,203,159,191,197,207,211,219,128,102,186,171,194,137,206,141,174,101,109,107,105,220,164,156,162,150,116,216,146,121,160,210,190,192,149,205,108,215,218,211,219,128,102,186,171,194,137,134,206,184,178,132,133,202,212,199,143,193,183,165,161,184,178,132,133,202,212,199,143,193,183,165,161,114,138,200,145,104,221,198,103,153,152,208,123,188,140,195,204,151,168,113,158,167,189,125,110,173,179,120,217,111,181,196,115,157,117,100,170,173,179,120,217,111,181,196,115,157,117,100,170,123,188,140,195,204,151,168,113,158,167,189,125,110</v>
      </c>
      <c r="D27" s="23" t="str">
        <f>IFERROR(__xludf.DUMMYFUNCTION("IFNA(JOIN("","", FILTER(AsistenciaJetAdmin!$D$2:$D1000, (AsistenciaJetAdmin!$A$2:$A1000=$A27)*(AsistenciaJetAdmin!$B$2:$B1000=$B27))),"""")"),",,,,,,,,,,,")</f>
        <v>,,,,,,,,,,,</v>
      </c>
      <c r="E27" s="40"/>
      <c r="F27" s="40"/>
      <c r="G27" s="40"/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</row>
    <row r="28">
      <c r="A28" s="71">
        <v>45815.0</v>
      </c>
      <c r="B28" s="72" t="s">
        <v>810</v>
      </c>
      <c r="C28" s="23" t="str">
        <f>IFERROR(__xludf.DUMMYFUNCTION("IFNA(JOIN("","", FILTER(AsistenciaJetAdmin!$C$2:$C1000, (AsistenciaJetAdmin!$A$2:$A1000=$A28)*(AsistenciaJetAdmin!$B$2:$B1000=$B28))),"""")"),"114,200,104,114,200,104,198,114,200,104,198,208,114,138,200,104,135,198,208,141,174,107,136,105,220,164,156,162,141,174,107,136,105,220,164,156,162,114,138,200,104,135,221,198,208,118,184,178,132,133,202,212,199,143,183,165,141,174,107,136,105,220,164,156"&amp;",162,150,114,138,200,145,104,135,221,198,103,153,152,208,118,184,178,132,133,202,212,199,143,183,165,161,114,138,200,145,104,135,221,198,103,153,152,208,116,216,146,121,160,210,192,149,205,108,215,218,163,169,144,201,172,203,159,191,197,207,141,174,107,13"&amp;"6,105,220,164,156,162,150,141,174,107,136,105,220,164,156,162,150,118,184,178,132,133,202,212,199,143,183,165,161,163,169,144,201,122,172,203,182,159,191,197,207,163,180,169,144,201,122,172,203,182,159,191,197,207,173,179,120,111,196,115,157,117,100,175,2"&amp;"11,128,102,186,171,194,137,155,123,188,195,151,168,113,158,189,125,110,123,188,195,151,168,113,158,189,125,110,123,188,195,151,168,113,158,189,125,110")</f>
        <v>114,200,104,114,200,104,198,114,200,104,198,208,114,138,200,104,135,198,208,141,174,107,136,105,220,164,156,162,141,174,107,136,105,220,164,156,162,114,138,200,104,135,221,198,208,118,184,178,132,133,202,212,199,143,183,165,141,174,107,136,105,220,164,156,162,150,114,138,200,145,104,135,221,198,103,153,152,208,118,184,178,132,133,202,212,199,143,183,165,161,114,138,200,145,104,135,221,198,103,153,152,208,116,216,146,121,160,210,192,149,205,108,215,218,163,169,144,201,172,203,159,191,197,207,141,174,107,136,105,220,164,156,162,150,141,174,107,136,105,220,164,156,162,150,118,184,178,132,133,202,212,199,143,183,165,161,163,169,144,201,122,172,203,182,159,191,197,207,163,180,169,144,201,122,172,203,182,159,191,197,207,173,179,120,111,196,115,157,117,100,175,211,128,102,186,171,194,137,155,123,188,195,151,168,113,158,189,125,110,123,188,195,151,168,113,158,189,125,110,123,188,195,151,168,113,158,189,125,110</v>
      </c>
      <c r="D28" s="23" t="str">
        <f>IFERROR(__xludf.DUMMYFUNCTION("IFNA(JOIN("","", FILTER(AsistenciaJetAdmin!$D$2:$D1000, (AsistenciaJetAdmin!$A$2:$A1000=$A28)*(AsistenciaJetAdmin!$B$2:$B1000=$B28))),"""")"),",,,,,,,,,,,,,,101,101,124,122,182,180,122,182,170,177,134,,140,204,167,140,204,167,140,204,167")</f>
        <v>,,,,,,,,,,,,,,101,101,124,122,182,180,122,182,170,177,134,,140,204,167,140,204,167,140,204,167</v>
      </c>
      <c r="E28" s="40"/>
      <c r="F28" s="40"/>
      <c r="G28" s="40"/>
      <c r="H28" s="40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</row>
    <row r="29">
      <c r="A29" s="71">
        <v>45815.0</v>
      </c>
      <c r="B29" s="72" t="s">
        <v>812</v>
      </c>
      <c r="C29" s="23" t="str">
        <f>IFERROR(__xludf.DUMMYFUNCTION("IFNA(JOIN("","", FILTER(AsistenciaJetAdmin!$C$2:$C1000, (AsistenciaJetAdmin!$A$2:$A1000=$A29)*(AsistenciaJetAdmin!$B$2:$B1000=$B29))),"""")"),"114,179,116,145,174,104,184,211,219,107,151,146,168,178,198,128,103,102,132,158,144,167,160,186,115,133,190,157,192,220,164,208,156,194,162,125,199,108,143,215,197,134,206")</f>
        <v>114,179,116,145,174,104,184,211,219,107,151,146,168,178,198,128,103,102,132,158,144,167,160,186,115,133,190,157,192,220,164,208,156,194,162,125,199,108,143,215,197,134,206</v>
      </c>
      <c r="D29" s="23" t="str">
        <f>IFERROR(__xludf.DUMMYFUNCTION("IFNA(JOIN("","", FILTER(AsistenciaJetAdmin!$D$2:$D1000, (AsistenciaJetAdmin!$A$2:$A1000=$A29)*(AsistenciaJetAdmin!$B$2:$B1000=$B29))),"""")"),"")</f>
        <v/>
      </c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</row>
    <row r="30">
      <c r="A30" s="71">
        <v>45819.0</v>
      </c>
      <c r="B30" s="72" t="s">
        <v>811</v>
      </c>
      <c r="C30" s="23" t="str">
        <f>IFERROR(__xludf.DUMMYFUNCTION("IFNA(JOIN("","", FILTER(AsistenciaJetAdmin!$C$2:$C1000, (AsistenciaJetAdmin!$A$2:$A1000=$A30)*(AsistenciaJetAdmin!$B$2:$B1000=$B30))),"""")"),"163,180,169,144,201,122,172,203,159,191,188,140,151,168,113,167,189,125,110,188,140,151,168,113,167,189,125,110,211,129,128,102,186,194,137,155,107,220,164,156,216,146,121,160,190,192,205,215,218,178,132,133,212,199,193,114,138,145,104,221,198,103,153,152"&amp;",208")</f>
        <v>163,180,169,144,201,122,172,203,159,191,188,140,151,168,113,167,189,125,110,188,140,151,168,113,167,189,125,110,211,129,128,102,186,194,137,155,107,220,164,156,216,146,121,160,190,192,205,215,218,178,132,133,212,199,193,114,138,145,104,221,198,103,153,152,208</v>
      </c>
      <c r="D30" s="23" t="str">
        <f>IFERROR(__xludf.DUMMYFUNCTION("IFNA(JOIN("","", FILTER(AsistenciaJetAdmin!$D$2:$D1000, (AsistenciaJetAdmin!$A$2:$A1000=$A30)*(AsistenciaJetAdmin!$B$2:$B1000=$B30))),"""")"),",,,,,,,")</f>
        <v>,,,,,,,</v>
      </c>
      <c r="E30" s="40"/>
      <c r="F30" s="40"/>
      <c r="G30" s="40"/>
      <c r="H30" s="40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</row>
    <row r="31">
      <c r="A31" s="71">
        <v>45822.0</v>
      </c>
      <c r="B31" s="72" t="s">
        <v>810</v>
      </c>
      <c r="C31" s="23" t="str">
        <f>IFERROR(__xludf.DUMMYFUNCTION("IFNA(JOIN("","", FILTER(AsistenciaJetAdmin!$C$2:$C1000, (AsistenciaJetAdmin!$A$2:$A1000=$A31)*(AsistenciaJetAdmin!$B$2:$B1000=$B31))),"""")"),"178,132,133,143,118,163,175,116,174,101,169,155,211,107,178,129,128,121,132,158,167,153,186,171,189,115,133,164,208,117,156,194,182,159,205,108,143,197,218,127,137,134,206,118,163,175,116,174,101,169,155,211,107,178,129,128,121,132,158,167,153,186,171,189"&amp;",115,133,164,208,117,156,194,182,159,205,108,143,197,218,127,137,134,206,118,163,175,116,174,101,169,155,211,107,178,129,128,121,132,158,167,153,186,171,189,115,133,164,208,117,156,194,182,159,205,108,143,197,218,127,137,134,206,118,163,175,116,174,101,16"&amp;"9,155,211,107,178,129,128,121,132,158,167,153,186,171,189,115,133,164,208,117,156,194,182,159,205,108,143,197,218,127,137,134,206,118,163,175,116,174,101,169,155,211,107,178,129,128,121,132,158,167,153,186,171,189,115,133,164,208,117,156,194,182,159,205,1"&amp;"08,143,197,218,127,137,134,206,,221,153,208,127")</f>
        <v>178,132,133,143,118,163,175,116,174,101,169,155,211,107,178,129,128,121,132,158,167,153,186,171,189,115,133,164,208,117,156,194,182,159,205,108,143,197,218,127,137,134,206,118,163,175,116,174,101,169,155,211,107,178,129,128,121,132,158,167,153,186,171,189,115,133,164,208,117,156,194,182,159,205,108,143,197,218,127,137,134,206,118,163,175,116,174,101,169,155,211,107,178,129,128,121,132,158,167,153,186,171,189,115,133,164,208,117,156,194,182,159,205,108,143,197,218,127,137,134,206,118,163,175,116,174,101,169,155,211,107,178,129,128,121,132,158,167,153,186,171,189,115,133,164,208,117,156,194,182,159,205,108,143,197,218,127,137,134,206,118,163,175,116,174,101,169,155,211,107,178,129,128,121,132,158,167,153,186,171,189,115,133,164,208,117,156,194,182,159,205,108,143,197,218,127,137,134,206,,221,153,208,127</v>
      </c>
      <c r="D31" s="23" t="str">
        <f>IFERROR(__xludf.DUMMYFUNCTION("IFNA(JOIN("","", FILTER(AsistenciaJetAdmin!$D$2:$D1000, (AsistenciaJetAdmin!$A$2:$A1000=$A31)*(AsistenciaJetAdmin!$B$2:$B1000=$B31))),"""")"),",,146,160,146,160,219,146,160,157,221,219,146,160,157,212,")</f>
        <v>,,146,160,146,160,219,146,160,157,221,219,146,160,157,212,</v>
      </c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</row>
    <row r="32">
      <c r="A32" s="71">
        <v>45822.0</v>
      </c>
      <c r="B32" s="72" t="s">
        <v>812</v>
      </c>
      <c r="C32" s="23" t="str">
        <f>IFERROR(__xludf.DUMMYFUNCTION("IFNA(JOIN("","", FILTER(AsistenciaJetAdmin!$C$2:$C1000, (AsistenciaJetAdmin!$A$2:$A1000=$A32)*(AsistenciaJetAdmin!$B$2:$B1000=$B32))),"""")"),"")</f>
        <v/>
      </c>
      <c r="D32" s="23" t="str">
        <f>IFERROR(__xludf.DUMMYFUNCTION("IFNA(JOIN("","", FILTER(AsistenciaJetAdmin!$D$2:$D1000, (AsistenciaJetAdmin!$A$2:$A1000=$A32)*(AsistenciaJetAdmin!$B$2:$B1000=$B32))),"""")"),"")</f>
        <v/>
      </c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</row>
    <row r="33">
      <c r="A33" s="71">
        <v>45826.0</v>
      </c>
      <c r="B33" s="72" t="s">
        <v>811</v>
      </c>
      <c r="C33" s="23" t="str">
        <f>IFERROR(__xludf.DUMMYFUNCTION("IFNA(JOIN("","", FILTER(AsistenciaJetAdmin!$C$2:$C1000, (AsistenciaJetAdmin!$A$2:$A1000=$A33)*(AsistenciaJetAdmin!$B$2:$B1000=$B33))),"""")"),"118,178,124,133,199,183,165,118,178,124,133,199,183,165,135,221,198,103,153,152,208,123,188,195,151,168,113,158,125,179,196,157,117,142,100,208,152,153,103,198,221,135,135,221,198,103,153,152,208,100,142,117,157,196,179,116,216,146,160,210,205,108,215,218"&amp;",116,216,146,160,210,205,108,215,218,118,178,124,133,199,183,165,163,180,169,201,122,172,203,159,191,197,141,174,101,155,109,107,105,164,156,141,174,101,155,109,107,105,164,156,166,211,219,129,128,171,194,137,134,206,200,200,179,196,157,117,142,100,170,17"&amp;"9,196,157,117,142,100,170")</f>
        <v>118,178,124,133,199,183,165,118,178,124,133,199,183,165,135,221,198,103,153,152,208,123,188,195,151,168,113,158,125,179,196,157,117,142,100,208,152,153,103,198,221,135,135,221,198,103,153,152,208,100,142,117,157,196,179,116,216,146,160,210,205,108,215,218,116,216,146,160,210,205,108,215,218,118,178,124,133,199,183,165,163,180,169,201,122,172,203,159,191,197,141,174,101,155,109,107,105,164,156,141,174,101,155,109,107,105,164,156,166,211,219,129,128,171,194,137,134,206,200,200,179,196,157,117,142,100,170,179,196,157,117,142,100,170</v>
      </c>
      <c r="D33" s="23" t="str">
        <f>IFERROR(__xludf.DUMMYFUNCTION("IFNA(JOIN("","", FILTER(AsistenciaJetAdmin!$D$2:$D1000, (AsistenciaJetAdmin!$A$2:$A1000=$A33)*(AsistenciaJetAdmin!$B$2:$B1000=$B33))),"""")"),",,,,,,,,202,203,,,,,,,")</f>
        <v>,,,,,,,,202,203,,,,,,,</v>
      </c>
      <c r="E33" s="40"/>
      <c r="F33" s="40"/>
      <c r="G33" s="40"/>
      <c r="H33" s="40"/>
      <c r="I33" s="40"/>
      <c r="J33" s="40"/>
      <c r="K33" s="40"/>
      <c r="L33" s="40"/>
      <c r="M33" s="40"/>
      <c r="N33" s="40"/>
      <c r="O33" s="40"/>
      <c r="P33" s="40"/>
      <c r="Q33" s="40"/>
      <c r="R33" s="40"/>
      <c r="S33" s="40"/>
      <c r="T33" s="40"/>
      <c r="U33" s="40"/>
      <c r="V33" s="40"/>
      <c r="W33" s="40"/>
      <c r="X33" s="40"/>
      <c r="Y33" s="40"/>
      <c r="Z33" s="40"/>
    </row>
    <row r="34">
      <c r="A34" s="71">
        <v>45829.0</v>
      </c>
      <c r="B34" s="72" t="s">
        <v>810</v>
      </c>
      <c r="C34" s="23" t="str">
        <f>IFERROR(__xludf.DUMMYFUNCTION("IFNA(JOIN("","", FILTER(AsistenciaJetAdmin!$C$2:$C1000, (AsistenciaJetAdmin!$A$2:$A1000=$A34)*(AsistenciaJetAdmin!$B$2:$B1000=$B34))),"""")"),"180,197,207,116,146,160,190,192,205,215,116,146,160,190,192,205,215,114,138,145,104,135,221,198,103,153,152,208,127,123,140,195,168,113,167,189,125,110,123,140,195,168,113,158,167,189,125,110,118,175,179,166,174,120,211,217,219,178,128,132,136,177,171,133"&amp;",157,220,117,156,194,212,199,143,193,183,165,100,137,134,170,206,118,175,179,166,174,120,211,217,219,178,128,132,136,177,171,133,157,220,117,156,194,212,199,143,193,183,165,100,137,134,170,206,163,180,169,201,203,159,197,207,179,120,217,157,117,100,170,17"&amp;"5,166,219,128,177,171,194,137,206")</f>
        <v>180,197,207,116,146,160,190,192,205,215,116,146,160,190,192,205,215,114,138,145,104,135,221,198,103,153,152,208,127,123,140,195,168,113,167,189,125,110,123,140,195,168,113,158,167,189,125,110,118,175,179,166,174,120,211,217,219,178,128,132,136,177,171,133,157,220,117,156,194,212,199,143,193,183,165,100,137,134,170,206,118,175,179,166,174,120,211,217,219,178,128,132,136,177,171,133,157,220,117,156,194,212,199,143,193,183,165,100,137,134,170,206,163,180,169,201,203,159,197,207,179,120,217,157,117,100,170,175,166,219,128,177,171,194,137,206</v>
      </c>
      <c r="D34" s="23" t="str">
        <f>IFERROR(__xludf.DUMMYFUNCTION("IFNA(JOIN("","", FILTER(AsistenciaJetAdmin!$D$2:$D1000, (AsistenciaJetAdmin!$A$2:$A1000=$A34)*(AsistenciaJetAdmin!$B$2:$B1000=$B34))),"""")"),",,,,,,,,163,169,201,203,159,,211,134")</f>
        <v>,,,,,,,,163,169,201,203,159,,211,134</v>
      </c>
      <c r="E34" s="40"/>
      <c r="F34" s="40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</row>
    <row r="35">
      <c r="A35" s="71">
        <v>45833.0</v>
      </c>
      <c r="B35" s="72" t="s">
        <v>811</v>
      </c>
      <c r="C35" s="23" t="str">
        <f>IFERROR(__xludf.DUMMYFUNCTION("IFNA(JOIN("","", FILTER(AsistenciaJetAdmin!$C$2:$C1000, (AsistenciaJetAdmin!$A$2:$A1000=$A35)*(AsistenciaJetAdmin!$B$2:$B1000=$B35))),"""")"),"118,184,178,124,133,202,212,199,143,183,118,184,178,124,133,202,212,199,143,183,173,179,120,217,111,196,115,157,117,100,114,138,200,145,135,221,153,208,100,117,157,115,196,111,217,120,179,173,188,195,204,167,189,125,110,155,109,107,136,220,164,162,150,114"&amp;",138,200,145,135,221,153,208,100,117,157,115,196,111,217,120,179,173,180,201,182,159,207,155,109,107,136,220,164,162,150,175,211,129,128,102,177,186,171,194,137,134,210,190,192,149,108,218,114,138,200,145,135,221,153,208,100,117,157,115,196,111,217,120,17"&amp;"9,173,114,138,200,145,135,221,153,208,100,117,157,115,196,111,217,120,179,173")</f>
        <v>118,184,178,124,133,202,212,199,143,183,118,184,178,124,133,202,212,199,143,183,173,179,120,217,111,196,115,157,117,100,114,138,200,145,135,221,153,208,100,117,157,115,196,111,217,120,179,173,188,195,204,167,189,125,110,155,109,107,136,220,164,162,150,114,138,200,145,135,221,153,208,100,117,157,115,196,111,217,120,179,173,180,201,182,159,207,155,109,107,136,220,164,162,150,175,211,129,128,102,177,186,171,194,137,134,210,190,192,149,108,218,114,138,200,145,135,221,153,208,100,117,157,115,196,111,217,120,179,173,114,138,200,145,135,221,153,208,100,117,157,115,196,111,217,120,179,173</v>
      </c>
      <c r="D35" s="23" t="str">
        <f>IFERROR(__xludf.DUMMYFUNCTION("IFNA(JOIN("","", FILTER(AsistenciaJetAdmin!$D$2:$D1000, (AsistenciaJetAdmin!$A$2:$A1000=$A35)*(AsistenciaJetAdmin!$B$2:$B1000=$B35))),"""")"),",,,,,,,203,,,,127,127")</f>
        <v>,,,,,,,203,,,,127,127</v>
      </c>
      <c r="E35" s="40"/>
      <c r="F35" s="40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>
      <c r="A36" s="71">
        <v>45836.0</v>
      </c>
      <c r="B36" s="72" t="s">
        <v>810</v>
      </c>
      <c r="C36" s="23" t="str">
        <f>IFERROR(__xludf.DUMMYFUNCTION("IFNA(JOIN("","", FILTER(AsistenciaJetAdmin!$C$2:$C1000, (AsistenciaJetAdmin!$A$2:$A1000=$A36)*(AsistenciaJetAdmin!$B$2:$B1000=$B36))),"""")"),"118,184,178,124,133,202,199,143,116,216,146,121,160,205,215,218,141,174,136,105,220,164,118,184,178,124,133,202,199,143,141,174,136,105,220,164,141,174,136,105,220,164,163,180,201,122,203,159,197,207,179,120,115,157,117,142,100,140,195,151,168,113,167,189"&amp;",110,175,129,128,102,177,137")</f>
        <v>118,184,178,124,133,202,199,143,116,216,146,121,160,205,215,218,141,174,136,105,220,164,118,184,178,124,133,202,199,143,141,174,136,105,220,164,141,174,136,105,220,164,163,180,201,122,203,159,197,207,179,120,115,157,117,142,100,140,195,151,168,113,167,189,110,175,129,128,102,177,137</v>
      </c>
      <c r="D36" s="23" t="str">
        <f>IFERROR(__xludf.DUMMYFUNCTION("IFNA(JOIN("","", FILTER(AsistenciaJetAdmin!$D$2:$D1000, (AsistenciaJetAdmin!$A$2:$A1000=$A36)*(AsistenciaJetAdmin!$B$2:$B1000=$B36))),"""")"),",,,,,,182,111,204,211,134")</f>
        <v>,,,,,,182,111,204,211,134</v>
      </c>
      <c r="E36" s="40"/>
      <c r="F36" s="40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</row>
    <row r="37">
      <c r="A37" s="71">
        <v>45836.0</v>
      </c>
      <c r="B37" s="72" t="s">
        <v>812</v>
      </c>
      <c r="C37" s="23" t="str">
        <f>IFERROR(__xludf.DUMMYFUNCTION("IFNA(JOIN("","", FILTER(AsistenciaJetAdmin!$C$2:$C1000, (AsistenciaJetAdmin!$A$2:$A1000=$A37)*(AsistenciaJetAdmin!$B$2:$B1000=$B37))),"""")"),"211,129,128,102,177,137,174,155,136,179,120,117,142,100,180,179,116,145,174,140,155,184,135,120,211,168,178,129,128,102,113,124,167,136,122,189,133,208,117,202,205,142,199,108,143,197,207,110,218,100,137,134,114,104,140,195,151,168,113,167,189,110")</f>
        <v>211,129,128,102,177,137,174,155,136,179,120,117,142,100,180,179,116,145,174,140,155,184,135,120,211,168,178,129,128,102,113,124,167,136,122,189,133,208,117,202,205,142,199,108,143,197,207,110,218,100,137,134,114,104,140,195,151,168,113,167,189,110</v>
      </c>
      <c r="D37" s="23" t="str">
        <f>IFERROR(__xludf.DUMMYFUNCTION("IFNA(JOIN("","", FILTER(AsistenciaJetAdmin!$D$2:$D1000, (AsistenciaJetAdmin!$A$2:$A1000=$A37)*(AsistenciaJetAdmin!$B$2:$B1000=$B37))),"""")"),"134,,,,,")</f>
        <v>134,,,,,</v>
      </c>
      <c r="E37" s="40"/>
      <c r="F37" s="40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</row>
    <row r="38">
      <c r="A38" s="71">
        <v>45840.0</v>
      </c>
      <c r="B38" s="72" t="s">
        <v>811</v>
      </c>
      <c r="C38" s="23" t="str">
        <f>IFERROR(__xludf.DUMMYFUNCTION("IFNA(JOIN("","", FILTER(AsistenciaJetAdmin!$C$2:$C1000, (AsistenciaJetAdmin!$A$2:$A1000=$A38)*(AsistenciaJetAdmin!$B$2:$B1000=$B38))),"""")"),"188,140,195,168,167,125,110,118,178,133,212,143,193,179,120,196,115,117,100,179,120,181,196,115,117,100,116,216,121,210,190,192,205,108,215,116,216,121,210,190,192,205,108,215,175,211,129,137,163,180,201,122,159,197,207,114,138,200,104,221,198,152,208")</f>
        <v>188,140,195,168,167,125,110,118,178,133,212,143,193,179,120,196,115,117,100,179,120,181,196,115,117,100,116,216,121,210,190,192,205,108,215,116,216,121,210,190,192,205,108,215,175,211,129,137,163,180,201,122,159,197,207,114,138,200,104,221,198,152,208</v>
      </c>
      <c r="D38" s="23" t="str">
        <f>IFERROR(__xludf.DUMMYFUNCTION("IFNA(JOIN("","", FILTER(AsistenciaJetAdmin!$D$2:$D1000, (AsistenciaJetAdmin!$A$2:$A1000=$A38)*(AsistenciaJetAdmin!$B$2:$B1000=$B38))),"""")"),",,,,,,,,")</f>
        <v>,,,,,,,,</v>
      </c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</row>
    <row r="39">
      <c r="A39" s="71">
        <v>45843.0</v>
      </c>
      <c r="B39" s="72" t="s">
        <v>810</v>
      </c>
      <c r="C39" s="23" t="str">
        <f>IFERROR(__xludf.DUMMYFUNCTION("IFNA(JOIN("","", FILTER(AsistenciaJetAdmin!$C$2:$C1000, (AsistenciaJetAdmin!$A$2:$A1000=$A39)*(AsistenciaJetAdmin!$B$2:$B1000=$B39))),"""")"),"116,216,146,121,160,210,190,192,205,108,215,116,216,146,121,160,210,190,192,205,108,215,116,216,146,121,160,210,190,192,205,108,215,140,195,204,168,167,189,125,110,141,174,155,107,136,220,162,150,140,195,204,168,167,189,125,110,173,179,111,181,196,115,157"&amp;",170,200,145,221,198,153,152,208,127,,118,184,178,124,133,202,212,199,143,193,165,161,118,184,178,124,133,202,212,199,143,193,165,161,175,211,219,129,128,102,186,171,194,137,206,201,159,197,207,135,151")</f>
        <v>116,216,146,121,160,210,190,192,205,108,215,116,216,146,121,160,210,190,192,205,108,215,116,216,146,121,160,210,190,192,205,108,215,140,195,204,168,167,189,125,110,141,174,155,107,136,220,162,150,140,195,204,168,167,189,125,110,173,179,111,181,196,115,157,170,200,145,221,198,153,152,208,127,,118,184,178,124,133,202,212,199,143,193,165,161,118,184,178,124,133,202,212,199,143,193,165,161,175,211,219,129,128,102,186,171,194,137,206,201,159,197,207,135,151</v>
      </c>
      <c r="D39" s="23" t="str">
        <f>IFERROR(__xludf.DUMMYFUNCTION("IFNA(JOIN("","", FILTER(AsistenciaJetAdmin!$D$2:$D1000, (AsistenciaJetAdmin!$A$2:$A1000=$A39)*(AsistenciaJetAdmin!$B$2:$B1000=$B39))),"""")"),",,,,,188,,,149,,,134,180,138")</f>
        <v>,,,,,188,,,149,,,134,180,138</v>
      </c>
      <c r="E39" s="40"/>
      <c r="F39" s="40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</row>
    <row r="40">
      <c r="A40" s="71">
        <v>45843.0</v>
      </c>
      <c r="B40" s="72" t="s">
        <v>812</v>
      </c>
      <c r="C40" s="23" t="str">
        <f>IFERROR(__xludf.DUMMYFUNCTION("IFNA(JOIN("","", FILTER(AsistenciaJetAdmin!$C$2:$C1000, (AsistenciaJetAdmin!$A$2:$A1000=$A40)*(AsistenciaJetAdmin!$B$2:$B1000=$B40))),"""")"),"145,198,103,152,208,127,151,168,167,125,110,116,216,146,121,160,210,190,192,205,108,215,151,168,167,125,110,141,174,155,107,136,220,179,111,115,157,117,142,170,118,184,178,133,212,199,143,193,175,211,219,129,128,102,186,171,194,137,206,180,201,159,207,153"&amp;",221,153")</f>
        <v>145,198,103,152,208,127,151,168,167,125,110,116,216,146,121,160,210,190,192,205,108,215,151,168,167,125,110,141,174,155,107,136,220,179,111,115,157,117,142,170,118,184,178,133,212,199,143,193,175,211,219,129,128,102,186,171,194,137,206,180,201,159,207,153,221,153</v>
      </c>
      <c r="D40" s="23" t="str">
        <f>IFERROR(__xludf.DUMMYFUNCTION("IFNA(JOIN("","", FILTER(AsistenciaJetAdmin!$D$2:$D1000, (AsistenciaJetAdmin!$A$2:$A1000=$A40)*(AsistenciaJetAdmin!$B$2:$B1000=$B40))),"""")"),"138,135,140,195,204,189,149,140,195,204,189,,,202,165,161,134,,,")</f>
        <v>138,135,140,195,204,189,149,140,195,204,189,,,202,165,161,134,,,</v>
      </c>
      <c r="E40" s="40"/>
      <c r="F40" s="40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</row>
    <row r="41">
      <c r="A41" s="71">
        <v>45847.0</v>
      </c>
      <c r="B41" s="72" t="s">
        <v>811</v>
      </c>
      <c r="C41" s="23" t="str">
        <f>IFERROR(__xludf.DUMMYFUNCTION("IFNA(JOIN("","", FILTER(AsistenciaJetAdmin!$C$2:$C1000, (AsistenciaJetAdmin!$A$2:$A1000=$A41)*(AsistenciaJetAdmin!$B$2:$B1000=$B41))),"""")"),"")</f>
        <v/>
      </c>
      <c r="D41" s="23" t="str">
        <f>IFERROR(__xludf.DUMMYFUNCTION("IFNA(JOIN("","", FILTER(AsistenciaJetAdmin!$D$2:$D1000, (AsistenciaJetAdmin!$A$2:$A1000=$A41)*(AsistenciaJetAdmin!$B$2:$B1000=$B41))),"""")"),"")</f>
        <v/>
      </c>
      <c r="E41" s="40"/>
      <c r="F41" s="40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</row>
    <row r="42">
      <c r="A42" s="71">
        <v>45850.0</v>
      </c>
      <c r="B42" s="72" t="s">
        <v>810</v>
      </c>
      <c r="C42" s="23" t="str">
        <f>IFERROR(__xludf.DUMMYFUNCTION("IFNA(JOIN("","", FILTER(AsistenciaJetAdmin!$C$2:$C1000, (AsistenciaJetAdmin!$A$2:$A1000=$A42)*(AsistenciaJetAdmin!$B$2:$B1000=$B42))),"""")"),"114,138,145,104,135,198,103,153,152,208,127,114,138,145,104,135,198,103,153,152,208,127,163,180,144,201,122,182,159,197,123,188,140,195,204,151,168,113,158,167,125,110,169,116,216,146,121,160,210,190,192,108,215,218,116,216,146,121,160,210,190,192,108,215"&amp;",218,175,211,219,129,128,102,177,186,171,194,137,134,206,141,174,101,155,109,107,136,220,164,156,162,118,184,178,132,133,202,212,199,143,193,183,165,161")</f>
        <v>114,138,145,104,135,198,103,153,152,208,127,114,138,145,104,135,198,103,153,152,208,127,163,180,144,201,122,182,159,197,123,188,140,195,204,151,168,113,158,167,125,110,169,116,216,146,121,160,210,190,192,108,215,218,116,216,146,121,160,210,190,192,108,215,218,175,211,219,129,128,102,177,186,171,194,137,134,206,141,174,101,155,109,107,136,220,164,156,162,118,184,178,132,133,202,212,199,143,193,183,165,161</v>
      </c>
      <c r="D42" s="23" t="str">
        <f>IFERROR(__xludf.DUMMYFUNCTION("IFNA(JOIN("","", FILTER(AsistenciaJetAdmin!$D$2:$D1000, (AsistenciaJetAdmin!$A$2:$A1000=$A42)*(AsistenciaJetAdmin!$B$2:$B1000=$B42))),"""")"),",,,,,,,,,")</f>
        <v>,,,,,,,,,</v>
      </c>
      <c r="E42" s="40"/>
      <c r="F42" s="40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</row>
    <row r="43">
      <c r="A43" s="71">
        <v>45850.0</v>
      </c>
      <c r="B43" s="72" t="s">
        <v>812</v>
      </c>
      <c r="C43" s="23" t="str">
        <f>IFERROR(__xludf.DUMMYFUNCTION("IFNA(JOIN("","", FILTER(AsistenciaJetAdmin!$C$2:$C1000, (AsistenciaJetAdmin!$A$2:$A1000=$A43)*(AsistenciaJetAdmin!$B$2:$B1000=$B43))),"""")"),"114,104,221,198,103,153,208,127,178,132,133,199,143,193,183,127,208,153,103,198,221,104,114,116,146,121,160,205,108,178,132,133,199,143,193,183,127,208,153,103,198,221,104,114,163,180,144,201,122,197,183,193,143,199,133,132,178,127,208,153,103,198,221,104"&amp;",114,174,101,155,107,164,116,146,121,160,205,108,179,196,115,157,142,100,170,174,101,155,107,164,188,140,195,151,168,113,158,167,189,125,110,179,196,115,157,142,100,174,101,155,107,164,179,196,115,157,142,100,179,196,115,157,142,100,174,101,155,107,164,18"&amp;"8,140,195,151,168,113,158,167,189,125,179,196,115,157,142,100,179,196,115,157,142,100,188,140,195,151,168,113,158,167,189,125,188,140,195,151,168,113,158,167,189,125,175,166,211,219,129,128,177,186,171,194,137,206,118,184,178,132,133,202,212,199,143,193,1"&amp;"83,165")</f>
        <v>114,104,221,198,103,153,208,127,178,132,133,199,143,193,183,127,208,153,103,198,221,104,114,116,146,121,160,205,108,178,132,133,199,143,193,183,127,208,153,103,198,221,104,114,163,180,144,201,122,197,183,193,143,199,133,132,178,127,208,153,103,198,221,104,114,174,101,155,107,164,116,146,121,160,205,108,179,196,115,157,142,100,170,174,101,155,107,164,188,140,195,151,168,113,158,167,189,125,110,179,196,115,157,142,100,174,101,155,107,164,179,196,115,157,142,100,179,196,115,157,142,100,174,101,155,107,164,188,140,195,151,168,113,158,167,189,125,179,196,115,157,142,100,179,196,115,157,142,100,188,140,195,151,168,113,158,167,189,125,188,140,195,151,168,113,158,167,189,125,175,166,211,219,129,128,177,186,171,194,137,206,118,184,178,132,133,202,212,199,143,193,183,165</v>
      </c>
      <c r="D43" s="23" t="str">
        <f>IFERROR(__xludf.DUMMYFUNCTION("IFNA(JOIN("","", FILTER(AsistenciaJetAdmin!$D$2:$D1000, (AsistenciaJetAdmin!$A$2:$A1000=$A43)*(AsistenciaJetAdmin!$B$2:$B1000=$B43))),"""")"),",,,135,135,,216,215,,141,,170,141,170,170,141,136,110,117,170,120,117,170,123,110,123,110,102,134,")</f>
        <v>,,,135,135,,216,215,,141,,170,141,170,170,141,136,110,117,170,120,117,170,123,110,123,110,102,134,</v>
      </c>
      <c r="E43" s="40"/>
      <c r="F43" s="40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</row>
    <row r="44">
      <c r="A44" s="71">
        <v>45854.0</v>
      </c>
      <c r="B44" s="72" t="s">
        <v>811</v>
      </c>
      <c r="C44" s="23" t="str">
        <f>IFERROR(__xludf.DUMMYFUNCTION("IFNA(JOIN("","", FILTER(AsistenciaJetAdmin!$C$2:$C1000, (AsistenciaJetAdmin!$A$2:$A1000=$A44)*(AsistenciaJetAdmin!$B$2:$B1000=$B44))),"""")"),"141,174,169,217,151,168,181,132,153,171,115,182,159,199,108,215,207,134")</f>
        <v>141,174,169,217,151,168,181,132,153,171,115,182,159,199,108,215,207,134</v>
      </c>
      <c r="D44" s="23" t="str">
        <f>IFERROR(__xludf.DUMMYFUNCTION("IFNA(JOIN("","", FILTER(AsistenciaJetAdmin!$D$2:$D1000, (AsistenciaJetAdmin!$A$2:$A1000=$A44)*(AsistenciaJetAdmin!$B$2:$B1000=$B44))),"""")"),"")</f>
        <v/>
      </c>
      <c r="E44" s="40"/>
      <c r="F44" s="40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</row>
    <row r="45">
      <c r="A45" s="71">
        <v>45857.0</v>
      </c>
      <c r="B45" s="72" t="s">
        <v>810</v>
      </c>
      <c r="C45" s="23" t="str">
        <f>IFERROR(__xludf.DUMMYFUNCTION("IFNA(JOIN("","", FILTER(AsistenciaJetAdmin!$C$2:$C1000, (AsistenciaJetAdmin!$A$2:$A1000=$A45)*(AsistenciaJetAdmin!$B$2:$B1000=$B45))),"""")"),"173,179,111,196,115,157,117,100,114,138,145,104,135,221,198,103,153,152,208,127,163,180,169,144,201,122,182,159,197,207,178,124,133,202,199,143,193,183,165,174,155,107,220,164,156,175,166,211,219,129,128,177,186,171,194,137,134,123,140,195,151,168,113,158"&amp;",167,189,125,110,116,146,121,160,210,190,192,149,205,108,218,116,146,121,160,210,190,192,149,205,108,218,123,188,140,195,151,168,113,158,167,189,125,110,116,146,121,160,210,190,192,149,205,108,218")</f>
        <v>173,179,111,196,115,157,117,100,114,138,145,104,135,221,198,103,153,152,208,127,163,180,169,144,201,122,182,159,197,207,178,124,133,202,199,143,193,183,165,174,155,107,220,164,156,175,166,211,219,129,128,177,186,171,194,137,134,123,140,195,151,168,113,158,167,189,125,110,116,146,121,160,210,190,192,149,205,108,218,116,146,121,160,210,190,192,149,205,108,218,123,188,140,195,151,168,113,158,167,189,125,110,116,146,121,160,210,190,192,149,205,108,218</v>
      </c>
      <c r="D45" s="23" t="str">
        <f>IFERROR(__xludf.DUMMYFUNCTION("IFNA(JOIN("","", FILTER(AsistenciaJetAdmin!$D$2:$D1000, (AsistenciaJetAdmin!$A$2:$A1000=$A45)*(AsistenciaJetAdmin!$B$2:$B1000=$B45))),"""")"),"217,,,184,,,,,,,")</f>
        <v>217,,,184,,,,,,,</v>
      </c>
      <c r="E45" s="40"/>
      <c r="F45" s="40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</row>
    <row r="46">
      <c r="A46" s="71">
        <v>45875.0</v>
      </c>
      <c r="B46" s="72" t="s">
        <v>811</v>
      </c>
      <c r="C46" s="23" t="str">
        <f>IFERROR(__xludf.DUMMYFUNCTION("IFNA(JOIN("","", FILTER(AsistenciaJetAdmin!$C$2:$C1000, (AsistenciaJetAdmin!$A$2:$A1000=$A46)*(AsistenciaJetAdmin!$B$2:$B1000=$B46))),"""")"),"174,155,136,164,162,174,155,136,164,162,179,120,181,196,117,142,100,170,179,120,181,196,117,142,100,170,123,188,140,195,151,168,113,158,189,125,123,188,140,195,151,168,113,158,189,125,123,188,140,195,204,151,168,113,158,189,125,,118,184,178,132,124,133,20"&amp;"2,212,199,143,193,183,165,161,123,188,140,195,204,151,168,113,158,189,125,110,114,145,104,135,221,198,103,153,152,208,141,174,101,155,109,136,164,156,162,163,180,169,144,201,122,203,182,159,197,207,163,180,169,144,201,122,203,182,159,197,207,166,211,129,1"&amp;"28,177,186,171,194,137,206,116,216,146,121,160,210,190,192,205,108,215,218,")</f>
        <v>174,155,136,164,162,174,155,136,164,162,179,120,181,196,117,142,100,170,179,120,181,196,117,142,100,170,123,188,140,195,151,168,113,158,189,125,123,188,140,195,151,168,113,158,189,125,123,188,140,195,204,151,168,113,158,189,125,,118,184,178,132,124,133,202,212,199,143,193,183,165,161,123,188,140,195,204,151,168,113,158,189,125,110,114,145,104,135,221,198,103,153,152,208,141,174,101,155,109,136,164,156,162,163,180,169,144,201,122,203,182,159,197,207,163,180,169,144,201,122,203,182,159,197,207,166,211,129,128,177,186,171,194,137,206,116,216,146,121,160,210,190,192,205,108,215,218,</v>
      </c>
      <c r="D46" s="23" t="str">
        <f>IFERROR(__xludf.DUMMYFUNCTION("IFNA(JOIN("","", FILTER(AsistenciaJetAdmin!$D$2:$D1000, (AsistenciaJetAdmin!$A$2:$A1000=$A46)*(AsistenciaJetAdmin!$B$2:$B1000=$B46))),"""")"),",,,,,,,217,,,,,,,,,127")</f>
        <v>,,,,,,,217,,,,,,,,,127</v>
      </c>
      <c r="E46" s="40"/>
      <c r="F46" s="40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</row>
    <row r="47">
      <c r="A47" s="71">
        <v>45878.0</v>
      </c>
      <c r="B47" s="72" t="s">
        <v>810</v>
      </c>
      <c r="C47" s="23" t="str">
        <f>IFERROR(__xludf.DUMMYFUNCTION("IFNA(JOIN("","", FILTER(AsistenciaJetAdmin!$C$2:$C1000, (AsistenciaJetAdmin!$A$2:$A1000=$A47)*(AsistenciaJetAdmin!$B$2:$B1000=$B47))),"""")"),"179,217,115,157,117,179,217,115,157,184,178,132,133,199,143,193,184,178,132,133,199,143,193,179,217,115,157,174,155,107,164,156,174,155,107,164,156,211,128,102,186,194,134,146,160,108,215,123,151,158,125,144,207,145,152,208")</f>
        <v>179,217,115,157,117,179,217,115,157,184,178,132,133,199,143,193,184,178,132,133,199,143,193,179,217,115,157,174,155,107,164,156,174,155,107,164,156,211,128,102,186,194,134,146,160,108,215,123,151,158,125,144,207,145,152,208</v>
      </c>
      <c r="D47" s="23" t="str">
        <f>IFERROR(__xludf.DUMMYFUNCTION("IFNA(JOIN("","", FILTER(AsistenciaJetAdmin!$D$2:$D1000, (AsistenciaJetAdmin!$A$2:$A1000=$A47)*(AsistenciaJetAdmin!$B$2:$B1000=$B47))),"""")"),",,,,,,,,,,,")</f>
        <v>,,,,,,,,,,,</v>
      </c>
      <c r="E47" s="40"/>
      <c r="F47" s="40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</row>
    <row r="48">
      <c r="A48" s="71">
        <v>45878.0</v>
      </c>
      <c r="B48" s="72" t="s">
        <v>812</v>
      </c>
      <c r="C48" s="23" t="str">
        <f>IFERROR(__xludf.DUMMYFUNCTION("IFNA(JOIN("","", FILTER(AsistenciaJetAdmin!$C$2:$C1000, (AsistenciaJetAdmin!$A$2:$A1000=$A48)*(AsistenciaJetAdmin!$B$2:$B1000=$B48))),"""")"),"178,124,133,199,143,183,178,124,133,199,143,183,196,115,142,100,196,115,142,100,138,135,208,127,180,122,207,138,135,208,127,180,122,207,140,195,113,158,189,125,110,216,146,160,205,108,215,218,101,155,107,136,164,156,196,115,157,142,100,196,115,157,142,100"&amp;",211,177,186,194,188,140,195,113,158,189,110")</f>
        <v>178,124,133,199,143,183,178,124,133,199,143,183,196,115,142,100,196,115,142,100,138,135,208,127,180,122,207,138,135,208,127,180,122,207,140,195,113,158,189,125,110,216,146,160,205,108,215,218,101,155,107,136,164,156,196,115,157,142,100,196,115,157,142,100,211,177,186,194,188,140,195,113,158,189,110</v>
      </c>
      <c r="D48" s="23" t="str">
        <f>IFERROR(__xludf.DUMMYFUNCTION("IFNA(JOIN("","", FILTER(AsistenciaJetAdmin!$D$2:$D1000, (AsistenciaJetAdmin!$A$2:$A1000=$A48)*(AsistenciaJetAdmin!$B$2:$B1000=$B48))),"""")"),",,,,,,,,,,,,,,")</f>
        <v>,,,,,,,,,,,,,,</v>
      </c>
      <c r="E48" s="40"/>
      <c r="F48" s="40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</row>
    <row r="49">
      <c r="A49" s="71">
        <v>45882.0</v>
      </c>
      <c r="B49" s="72" t="s">
        <v>811</v>
      </c>
      <c r="C49" s="23" t="str">
        <f>IFERROR(__xludf.DUMMYFUNCTION("IFNA(JOIN("","", FILTER(AsistenciaJetAdmin!$C$2:$C1000, (AsistenciaJetAdmin!$A$2:$A1000=$A49)*(AsistenciaJetAdmin!$B$2:$B1000=$B49))),"""")"),"163,180,169,201,122,182,159,197,207,141,174,155,109,107,136,220,164,141,174,155,109,107,136,220,164,114,138,145,104,135,221,198,103,152,208,118,184,178,132,124,133,212,199,143,193,183,165,161,118,184,178,132,124,133,212,199,143,193,183,165,161,114,138,145"&amp;",104,135,221,198,103,152,208,179,120,181,115,157,117,142,100,170,179,120,181,115,157,117,142,100,170,123,188,195,204,168,113,158,167,189,125,110,123,188,195,204,168,113,158,167,189,125,110,175,166,211,129,128,102,177,186,171,194,137,134,116,216,146,121,16"&amp;"0,210,192,149,205,108,215,218,,118,184,178,132,124,133,202,212,199,143,193,183,165,118,184,178,132,124,133,202,212,199,143,193,183,165")</f>
        <v>163,180,169,201,122,182,159,197,207,141,174,155,109,107,136,220,164,141,174,155,109,107,136,220,164,114,138,145,104,135,221,198,103,152,208,118,184,178,132,124,133,212,199,143,193,183,165,161,118,184,178,132,124,133,212,199,143,193,183,165,161,114,138,145,104,135,221,198,103,152,208,179,120,181,115,157,117,142,100,170,179,120,181,115,157,117,142,100,170,123,188,195,204,168,113,158,167,189,125,110,123,188,195,204,168,113,158,167,189,125,110,175,166,211,129,128,102,177,186,171,194,137,134,116,216,146,121,160,210,192,149,205,108,215,218,,118,184,178,132,124,133,202,212,199,143,193,183,165,118,184,178,132,124,133,202,212,199,143,193,183,165</v>
      </c>
      <c r="D49" s="23" t="str">
        <f>IFERROR(__xludf.DUMMYFUNCTION("IFNA(JOIN("","", FILTER(AsistenciaJetAdmin!$D$2:$D1000, (AsistenciaJetAdmin!$A$2:$A1000=$A49)*(AsistenciaJetAdmin!$B$2:$B1000=$B49))),"""")"),",,,,,,127,,,,,,,144,,")</f>
        <v>,,,,,,127,,,,,,,144,,</v>
      </c>
      <c r="E49" s="40"/>
      <c r="F49" s="40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</row>
    <row r="50">
      <c r="A50" s="71">
        <v>45885.0</v>
      </c>
      <c r="B50" s="72" t="s">
        <v>810</v>
      </c>
      <c r="C50" s="23" t="str">
        <f>IFERROR(__xludf.DUMMYFUNCTION("IFNA(JOIN("","", FILTER(AsistenciaJetAdmin!$C$2:$C1000, (AsistenciaJetAdmin!$A$2:$A1000=$A50)*(AsistenciaJetAdmin!$B$2:$B1000=$B50))),"""")"),"114,104,221,198,103,153,152,208,127,179,120,217,111,181,196,157,170,175,219,186,171,194,206,178,124,212,199,193,165,178,124,212,199,193,165,178,124,212,199,193,165,188,151,168,158,167,189,125,110,144,201,122,159,197,116,216,146,121,160,205,215,218,116,216"&amp;",146,121,160,205,215,218,116,216,146,121,160,205,215,218,174,101,155,107,136,220,164")</f>
        <v>114,104,221,198,103,153,152,208,127,179,120,217,111,181,196,157,170,175,219,186,171,194,206,178,124,212,199,193,165,178,124,212,199,193,165,178,124,212,199,193,165,188,151,168,158,167,189,125,110,144,201,122,159,197,116,216,146,121,160,205,215,218,116,216,146,121,160,205,215,218,116,216,146,121,160,205,215,218,174,101,155,107,136,220,164</v>
      </c>
      <c r="D50" s="23" t="str">
        <f>IFERROR(__xludf.DUMMYFUNCTION("IFNA(JOIN("","", FILTER(AsistenciaJetAdmin!$D$2:$D1000, (AsistenciaJetAdmin!$A$2:$A1000=$A50)*(AsistenciaJetAdmin!$B$2:$B1000=$B50))),"""")"),",117,211,129,137,132,132,132,,,,,,")</f>
        <v>,117,211,129,137,132,132,132,,,,,,</v>
      </c>
      <c r="E50" s="40"/>
      <c r="F50" s="40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</row>
    <row r="51">
      <c r="A51" s="71">
        <v>45885.0</v>
      </c>
      <c r="B51" s="72" t="s">
        <v>812</v>
      </c>
      <c r="C51" s="23" t="str">
        <f>IFERROR(__xludf.DUMMYFUNCTION("IFNA(JOIN("","", FILTER(AsistenciaJetAdmin!$C$2:$C1000, (AsistenciaJetAdmin!$A$2:$A1000=$A51)*(AsistenciaJetAdmin!$B$2:$B1000=$B51))),"""")"),"180,175,179,123,116,145,166,174,169,184,204,211,217,219,107,151,146,168,178,129,198,128,181,103,102,132,158,144,167,160,136,153,186,171,152,115,133,190,157,208,117,156,194,159,205,125,108,143,215,197,207,193,165,134,170,206,189,189,121,121")</f>
        <v>180,175,179,123,116,145,166,174,169,184,204,211,217,219,107,151,146,168,178,129,198,128,181,103,102,132,158,144,167,160,136,153,186,171,152,115,133,190,157,208,117,156,194,159,205,125,108,143,215,197,207,193,165,134,170,206,189,189,121,121</v>
      </c>
      <c r="D51" s="23" t="str">
        <f>IFERROR(__xludf.DUMMYFUNCTION("IFNA(JOIN("","", FILTER(AsistenciaJetAdmin!$D$2:$D1000, (AsistenciaJetAdmin!$A$2:$A1000=$A51)*(AsistenciaJetAdmin!$B$2:$B1000=$B51))),"""")"),",,,,")</f>
        <v>,,,,</v>
      </c>
      <c r="E51" s="40"/>
      <c r="F51" s="40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</row>
    <row r="52">
      <c r="A52" s="71">
        <v>45889.0</v>
      </c>
      <c r="B52" s="72" t="s">
        <v>811</v>
      </c>
      <c r="C52" s="23" t="str">
        <f>IFERROR(__xludf.DUMMYFUNCTION("IFNA(JOIN("","", FILTER(AsistenciaJetAdmin!$C$2:$C1000, (AsistenciaJetAdmin!$A$2:$A1000=$A52)*(AsistenciaJetAdmin!$B$2:$B1000=$B52))),"""")"),"175,166,211,219,177,186,171,194,137,134,118,184,178,132,124,133,202,212,199,193,165,161,116,216,146,121,160,210,190,192,149,108,215,218,114,138,104,135,221,198,153,152,208,127,174,101,155,107,220,164,156,163,180,169,144,201,122,203,159,197,179,196,157,117"&amp;",100,123,140,195,151,168,113,158,167,189,125,110,,")</f>
        <v>175,166,211,219,177,186,171,194,137,134,118,184,178,132,124,133,202,212,199,193,165,161,116,216,146,121,160,210,190,192,149,108,215,218,114,138,104,135,221,198,153,152,208,127,174,101,155,107,220,164,156,163,180,169,144,201,122,203,159,197,179,196,157,117,100,123,140,195,151,168,113,158,167,189,125,110,,</v>
      </c>
      <c r="D52" s="23" t="str">
        <f>IFERROR(__xludf.DUMMYFUNCTION("IFNA(JOIN("","", FILTER(AsistenciaJetAdmin!$D$2:$D1000, (AsistenciaJetAdmin!$A$2:$A1000=$A52)*(AsistenciaJetAdmin!$B$2:$B1000=$B52))),"""")"),"129,128,,,,,,,,182,109,136")</f>
        <v>129,128,,,,,,,,182,109,136</v>
      </c>
      <c r="E52" s="40"/>
      <c r="F52" s="40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</row>
    <row r="53">
      <c r="A53" s="71">
        <v>45892.0</v>
      </c>
      <c r="B53" s="72" t="s">
        <v>810</v>
      </c>
      <c r="C53" s="23" t="str">
        <f>IFERROR(__xludf.DUMMYFUNCTION("IFNA(JOIN("","", FILTER(AsistenciaJetAdmin!$C$2:$C1000, (AsistenciaJetAdmin!$A$2:$A1000=$A53)*(AsistenciaJetAdmin!$B$2:$B1000=$B53))),"""")"),"175,211,219,128,177,171,137,141,174,155,107,220,164,156,150,173,179,120,111,115,157,117,142,170,173,179,120,111,115,157,117,142,170,118,184,178,132,133,212,199,143,183,165,118,184,178,132,133,212,199,143,183,165,114,138,145,104,135,221,198,103,153,152,208"&amp;",123,188,140,195,204,113,158,167,125,110,123,188,140,195,204,113,158,167,125,110,116,216,146,121,160,210,190,192,149,205,108,215,218,116,216,146,121,160,210,190,192,149,205,108,215,218,163,180,169,201,122,203,182,159,197,207,163,180,169,201,122,203,182,15"&amp;"9,197,207,")</f>
        <v>175,211,219,128,177,171,137,141,174,155,107,220,164,156,150,173,179,120,111,115,157,117,142,170,173,179,120,111,115,157,117,142,170,118,184,178,132,133,212,199,143,183,165,118,184,178,132,133,212,199,143,183,165,114,138,145,104,135,221,198,103,153,152,208,123,188,140,195,204,113,158,167,125,110,123,188,140,195,204,113,158,167,125,110,116,216,146,121,160,210,190,192,149,205,108,215,218,116,216,146,121,160,210,190,192,149,205,108,215,218,163,180,169,201,122,203,182,159,197,207,163,180,169,201,122,203,182,159,197,207,</v>
      </c>
      <c r="D53" s="23" t="str">
        <f>IFERROR(__xludf.DUMMYFUNCTION("IFNA(JOIN("","", FILTER(AsistenciaJetAdmin!$D$2:$D1000, (AsistenciaJetAdmin!$A$2:$A1000=$A53)*(AsistenciaJetAdmin!$B$2:$B1000=$B53))),"""")"),"102,134,101,196,100,196,100,124,183,124,183,,,,,,,,144")</f>
        <v>102,134,101,196,100,196,100,124,183,124,183,,,,,,,,144</v>
      </c>
      <c r="E53" s="40"/>
      <c r="F53" s="40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</row>
    <row r="54">
      <c r="A54" s="71">
        <v>45892.0</v>
      </c>
      <c r="B54" s="72" t="s">
        <v>812</v>
      </c>
      <c r="C54" s="23" t="str">
        <f>IFERROR(__xludf.DUMMYFUNCTION("IFNA(JOIN("","", FILTER(AsistenciaJetAdmin!$C$2:$C1000, (AsistenciaJetAdmin!$A$2:$A1000=$A54)*(AsistenciaJetAdmin!$B$2:$B1000=$B54))),"""")"),"141,174,155,107,220,164,150,123,204,168,158,167,125,141,174,155,107,220,164,150,123,204,168,158,167,125,216,210,190,192,149,205,108,179,111,115,157,211,219,129,102,194,137,134,163,169,201,203,182,159,197,118,184,178,132,202,212,199,161")</f>
        <v>141,174,155,107,220,164,150,123,204,168,158,167,125,141,174,155,107,220,164,150,123,204,168,158,167,125,216,210,190,192,149,205,108,179,111,115,157,211,219,129,102,194,137,134,163,169,201,203,182,159,197,118,184,178,132,202,212,199,161</v>
      </c>
      <c r="D54" s="23" t="str">
        <f>IFERROR(__xludf.DUMMYFUNCTION("IFNA(JOIN("","", FILTER(AsistenciaJetAdmin!$D$2:$D1000, (AsistenciaJetAdmin!$A$2:$A1000=$A54)*(AsistenciaJetAdmin!$B$2:$B1000=$B54))),"""")"),",,,,146,160,215,,,,")</f>
        <v>,,,,146,160,215,,,,</v>
      </c>
      <c r="E54" s="40"/>
      <c r="F54" s="40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</row>
    <row r="55">
      <c r="A55" s="71">
        <v>45896.0</v>
      </c>
      <c r="B55" s="72" t="s">
        <v>811</v>
      </c>
      <c r="C55" s="23" t="str">
        <f>IFERROR(__xludf.DUMMYFUNCTION("IFNA(JOIN("","", FILTER(AsistenciaJetAdmin!$C$2:$C1000, (AsistenciaJetAdmin!$A$2:$A1000=$A55)*(AsistenciaJetAdmin!$B$2:$B1000=$B55))),"""")"),"175,166,211,219,129,128,102,186,171,194,137,134,206,179,217,196,157,117,142,100,170,118,184,178,132,124,133,202,212,199,143,193,161,179,217,196,157,117,142,100,170,116,146,121,160,210,190,192,149,205,215,218,116,146,121,160,210,190,192,149,205,215,218,163"&amp;",180,169,144,122,203,182,159,197,114,138,145,104,221,198,103,153,152,208,141,174,155,109,107,220,164,156,163,180,169,144,122,203,182,159,197,163,180,169,144,122,203,182,159,197,123,188,140,195,204,151,168,158,167,189,125,110,123,188,140,195,204,151,168,15"&amp;"8,167,189,125,110")</f>
        <v>175,166,211,219,129,128,102,186,171,194,137,134,206,179,217,196,157,117,142,100,170,118,184,178,132,124,133,202,212,199,143,193,161,179,217,196,157,117,142,100,170,116,146,121,160,210,190,192,149,205,215,218,116,146,121,160,210,190,192,149,205,215,218,163,180,169,144,122,203,182,159,197,114,138,145,104,221,198,103,153,152,208,141,174,155,109,107,220,164,156,163,180,169,144,122,203,182,159,197,163,180,169,144,122,203,182,159,197,123,188,140,195,204,151,168,158,167,189,125,110,123,188,140,195,204,151,168,158,167,189,125,110</v>
      </c>
      <c r="D55" s="23" t="str">
        <f>IFERROR(__xludf.DUMMYFUNCTION("IFNA(JOIN("","", FILTER(AsistenciaJetAdmin!$D$2:$D1000, (AsistenciaJetAdmin!$A$2:$A1000=$A55)*(AsistenciaJetAdmin!$B$2:$B1000=$B55))),"""")"),",,,,,,,,,201,201,,")</f>
        <v>,,,,,,,,,201,201,,</v>
      </c>
      <c r="E55" s="40"/>
      <c r="F55" s="40"/>
      <c r="G55" s="40"/>
      <c r="H55" s="40"/>
      <c r="I55" s="40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</row>
    <row r="56">
      <c r="A56" s="71">
        <v>45899.0</v>
      </c>
      <c r="B56" s="72" t="s">
        <v>810</v>
      </c>
      <c r="C56" s="23" t="str">
        <f>IFERROR(__xludf.DUMMYFUNCTION("IFNA(JOIN("","", FILTER(AsistenciaJetAdmin!$C$2:$C1000, (AsistenciaJetAdmin!$A$2:$A1000=$A56)*(AsistenciaJetAdmin!$B$2:$B1000=$B56))),"""")"),"175,219,129,102,177,186,171,194,206,101,155,107,136,220,164,156,175,219,129,128,102,177,186,171,194,134,206,175,219,129,128,102,177,186,171,194,134,206,180,169,144,201,122,182,159,197,207,175,219,129,128,102,177,186,171,194,134,206,101,155,107,136,220,164"&amp;",156,114,138,145,104,135,198,103,152,208,127,207,197,159,182,122,201,144,169,180,184,178,132,124,133,202,143,193,183,165,123,188,140,195,168,113,158,167,189,125,110,116,216,146,121,160,192,205,108,215,218,116,216,146,121,160,192,205,108,215,218,116,216,14"&amp;"6,121,160,192,205,108,215,218,")</f>
        <v>175,219,129,102,177,186,171,194,206,101,155,107,136,220,164,156,175,219,129,128,102,177,186,171,194,134,206,175,219,129,128,102,177,186,171,194,134,206,180,169,144,201,122,182,159,197,207,175,219,129,128,102,177,186,171,194,134,206,101,155,107,136,220,164,156,114,138,145,104,135,198,103,152,208,127,207,197,159,182,122,201,144,169,180,184,178,132,124,133,202,143,193,183,165,123,188,140,195,168,113,158,167,189,125,110,116,216,146,121,160,192,205,108,215,218,116,216,146,121,160,192,205,108,215,218,116,216,146,121,160,192,205,108,215,218,</v>
      </c>
      <c r="D56" s="23" t="str">
        <f>IFERROR(__xludf.DUMMYFUNCTION("IFNA(JOIN("","", FILTER(AsistenciaJetAdmin!$D$2:$D1000, (AsistenciaJetAdmin!$A$2:$A1000=$A56)*(AsistenciaJetAdmin!$B$2:$B1000=$B56))),"""")"),",,,166,211,,166,211,150,,,204,149,149,149,163")</f>
        <v>,,,166,211,,166,211,150,,,204,149,149,149,163</v>
      </c>
      <c r="E56" s="40"/>
      <c r="F56" s="40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</row>
    <row r="57">
      <c r="A57" s="71">
        <v>45899.0</v>
      </c>
      <c r="B57" s="72" t="s">
        <v>812</v>
      </c>
      <c r="C57" s="23" t="str">
        <f>IFERROR(__xludf.DUMMYFUNCTION("IFNA(JOIN("","", FILTER(AsistenciaJetAdmin!$C$2:$C1000, (AsistenciaJetAdmin!$A$2:$A1000=$A57)*(AsistenciaJetAdmin!$B$2:$B1000=$B57))),"""")"),"155,107,136,220,164,156,150,211,219,129,177,134,206,155,107,136,220,164,156,150,211,219,129,177,134,206,211,219,129,177,134,206,155,107,136,220,164,156,150,198,103,152,208,127,188,140,195,204,113,158,167,189,125,110,188,140,195,204,113,158,167,189,125,110"&amp;",198,103,152,208,127,180,169,201,122,197,207,173,217,111,196,115,157,142,100,170,211,219,129,177,134,206,180,169,201,122,197,207,118,184,178,133,212,143,193,161,116,216,146,121,160,190,192,149,205,108,215,218,116,216,146,121,160,190,192,149,205,108,215,21"&amp;"8,211,219,129,177,134,206,,180,169,201,122,197,207")</f>
        <v>155,107,136,220,164,156,150,211,219,129,177,134,206,155,107,136,220,164,156,150,211,219,129,177,134,206,211,219,129,177,134,206,155,107,136,220,164,156,150,198,103,152,208,127,188,140,195,204,113,158,167,189,125,110,188,140,195,204,113,158,167,189,125,110,198,103,152,208,127,180,169,201,122,197,207,173,217,111,196,115,157,142,100,170,211,219,129,177,134,206,180,169,201,122,197,207,118,184,178,133,212,143,193,161,116,216,146,121,160,190,192,149,205,108,215,218,116,216,146,121,160,190,192,149,205,108,215,218,211,219,129,177,134,206,,180,169,201,122,197,207</v>
      </c>
      <c r="D57" s="23" t="str">
        <f>IFERROR(__xludf.DUMMYFUNCTION("IFNA(JOIN("","", FILTER(AsistenciaJetAdmin!$D$2:$D1000, (AsistenciaJetAdmin!$A$2:$A1000=$A57)*(AsistenciaJetAdmin!$B$2:$B1000=$B57))),"""")"),",,,129,129,128,171,141,,,,138,135,,120,117,175,129,128,171,159,202,183,165,,,175,129,128,171,138,135,163,159")</f>
        <v>,,,129,129,128,171,141,,,,138,135,,120,117,175,129,128,171,159,202,183,165,,,175,129,128,171,138,135,163,159</v>
      </c>
      <c r="E57" s="40"/>
      <c r="F57" s="40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</row>
    <row r="58">
      <c r="A58" s="71">
        <v>45903.0</v>
      </c>
      <c r="B58" s="72" t="s">
        <v>811</v>
      </c>
      <c r="C58" s="23" t="str">
        <f>IFERROR(__xludf.DUMMYFUNCTION("IFNA(JOIN("","", FILTER(AsistenciaJetAdmin!$C$2:$C1000, (AsistenciaJetAdmin!$A$2:$A1000=$A58)*(AsistenciaJetAdmin!$B$2:$B1000=$B58))),"""")"),"141,101,155,107,136,220,164,156,141,101,155,107,136,220,164,156,180,169,201,122,159,197,118,184,178,124,133,202,212,193,183,161,114,138,145,104,135,221,198,153,152,208,114,138,145,104,135,221,198,153,152,208,116,216,146,210,190,192,149,205,108,215,218,116"&amp;",216,146,210,190,192,149,205,108,215,218,123,188,140,195,204,151,168,113,158,167,189,125,110,123,188,140,195,204,151,168,113,158,167,189,125,110,175,166,211,219,129,128,102,177,186,171,194,137,134,175,166,211,219,129,128,102,177,186,171,194,137,134,179,21"&amp;"7,181,196,157,117,100,170,179,217,181,196,157,117,100,170")</f>
        <v>141,101,155,107,136,220,164,156,141,101,155,107,136,220,164,156,180,169,201,122,159,197,118,184,178,124,133,202,212,193,183,161,114,138,145,104,135,221,198,153,152,208,114,138,145,104,135,221,198,153,152,208,116,216,146,210,190,192,149,205,108,215,218,116,216,146,210,190,192,149,205,108,215,218,123,188,140,195,204,151,168,113,158,167,189,125,110,123,188,140,195,204,151,168,113,158,167,189,125,110,175,166,211,219,129,128,102,177,186,171,194,137,134,175,166,211,219,129,128,102,177,186,171,194,137,134,179,217,181,196,157,117,100,170,179,217,181,196,157,117,100,170</v>
      </c>
      <c r="D58" s="23" t="str">
        <f>IFERROR(__xludf.DUMMYFUNCTION("IFNA(JOIN("","", FILTER(AsistenciaJetAdmin!$D$2:$D1000, (AsistenciaJetAdmin!$A$2:$A1000=$A58)*(AsistenciaJetAdmin!$B$2:$B1000=$B58))),"""")"),",,,,,,,,,,,,,")</f>
        <v>,,,,,,,,,,,,,</v>
      </c>
      <c r="E58" s="40"/>
      <c r="F58" s="40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</row>
    <row r="59">
      <c r="A59" s="71">
        <v>45906.0</v>
      </c>
      <c r="B59" s="72" t="s">
        <v>812</v>
      </c>
      <c r="C59" s="23" t="str">
        <f>IFERROR(__xludf.DUMMYFUNCTION("IFNA(JOIN("","", FILTER(AsistenciaJetAdmin!$C$2:$C1000, (AsistenciaJetAdmin!$A$2:$A1000=$A59)*(AsistenciaJetAdmin!$B$2:$B1000=$B59))),"""")"),"184,178,133,199,143,165,161,184,178,133,199,143,165,161,184,178,133,199,143,165,161,179,217,111,115,157,117,142,100,170,116,216,121,160,190,192,205,116,216,121,160,190,192,205,188,140,195,204,168,113,158,189,125,110,163,180,169,122,182,197,207,163,180,169"&amp;",122,182,197,207,163,180,169,122,182,197,207,114,138,145,104,135,221,198,153,208,173,179,217,111,181,196,115,157,117,142,100,170,173,179,217,111,181,196,115,157,117,142,100,170,141,101,155,136,220,164,156,150,175,219,129,177,186,171,194,137,206,175,219,12"&amp;"9,177,186,171,194,137,206,175,219,129,177,186,171,194,137,206")</f>
        <v>184,178,133,199,143,165,161,184,178,133,199,143,165,161,184,178,133,199,143,165,161,179,217,111,115,157,117,142,100,170,116,216,121,160,190,192,205,116,216,121,160,190,192,205,188,140,195,204,168,113,158,189,125,110,163,180,169,122,182,197,207,163,180,169,122,182,197,207,163,180,169,122,182,197,207,114,138,145,104,135,221,198,153,208,173,179,217,111,181,196,115,157,117,142,100,170,173,179,217,111,181,196,115,157,117,142,100,170,141,101,155,136,220,164,156,150,175,219,129,177,186,171,194,137,206,175,219,129,177,186,171,194,137,206,175,219,129,177,186,171,194,137,206</v>
      </c>
      <c r="D59" s="23" t="str">
        <f>IFERROR(__xludf.DUMMYFUNCTION("IFNA(JOIN("","", FILTER(AsistenciaJetAdmin!$D$2:$D1000, (AsistenciaJetAdmin!$A$2:$A1000=$A59)*(AsistenciaJetAdmin!$B$2:$B1000=$B59))),"""")"),",118,124,212,118,124,212,173,196,218,218,,201,159,201,159,201,159,,,,,,,")</f>
        <v>,118,124,212,118,124,212,173,196,218,218,,201,159,201,159,201,159,,,,,,,</v>
      </c>
      <c r="E59" s="40"/>
      <c r="F59" s="40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</row>
    <row r="60">
      <c r="A60" s="71">
        <v>45910.0</v>
      </c>
      <c r="B60" s="72" t="s">
        <v>811</v>
      </c>
      <c r="C60" s="23" t="str">
        <f>IFERROR(__xludf.DUMMYFUNCTION("IFNA(JOIN("","", FILTER(AsistenciaJetAdmin!$C$2:$C1000, (AsistenciaJetAdmin!$A$2:$A1000=$A60)*(AsistenciaJetAdmin!$B$2:$B1000=$B60))),"""")"),"114,145,104,198,103,153,152,208,118,178,212,199,193,165,118,178,212,199,193,165,138,180,201,122,159,211,219,128,102,177,186,171,194,137,134,216,146,160,210,190,192,205,218,216,146,160,210,190,192,205,218,174,155,136,220,164,140,195,204,151,168,113,167,189"&amp;",125,110,140,195,204,151,168,113,167,189,125,110,179,217,111,181,157,142")</f>
        <v>114,145,104,198,103,153,152,208,118,178,212,199,193,165,118,178,212,199,193,165,138,180,201,122,159,211,219,128,102,177,186,171,194,137,134,216,146,160,210,190,192,205,218,216,146,160,210,190,192,205,218,174,155,136,220,164,140,195,204,151,168,113,167,189,125,110,140,195,204,151,168,113,167,189,125,110,179,217,111,181,157,142</v>
      </c>
      <c r="D60" s="23" t="str">
        <f>IFERROR(__xludf.DUMMYFUNCTION("IFNA(JOIN("","", FILTER(AsistenciaJetAdmin!$D$2:$D1000, (AsistenciaJetAdmin!$A$2:$A1000=$A60)*(AsistenciaJetAdmin!$B$2:$B1000=$B60))),"""")"),",,184,,,,,,,,,")</f>
        <v>,,184,,,,,,,,,</v>
      </c>
      <c r="E60" s="40"/>
      <c r="F60" s="40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</row>
    <row r="61">
      <c r="A61" s="71">
        <v>45913.0</v>
      </c>
      <c r="B61" s="72" t="s">
        <v>810</v>
      </c>
      <c r="C61" s="23" t="str">
        <f>IFERROR(__xludf.DUMMYFUNCTION("IFNA(JOIN("","", FILTER(AsistenciaJetAdmin!$C$2:$C1000, (AsistenciaJetAdmin!$A$2:$A1000=$A61)*(AsistenciaJetAdmin!$B$2:$B1000=$B61))),"""")"),"141,101,155,109,107,136,164,156,150,141,101,155,109,107,136,164,156,150,114,138,145,104,135,198,103,152,208,118,178,124,133,212,199,143,193,183,161,173,179,217,111,196,157,117,142,100,170,173,179,217,111,196,157,117,142,100,170,163,180,169,144,201,122,159"&amp;",197,207,118,178,124,133,212,199,143,193,183,161,118,178,124,133,212,199,143,193,183,161,118,178,124,133,212,199,143,193,183,161,166,219,129,102,177,186,171,194,116,216,146,210,190,192,149,205,215,116,216,146,210,190,192,149,205,215,116,216,146,210,190,19"&amp;"2,149,205,215,218,116,216,146,210,190,192,149,205,215,218,,,,123,140,195,204,151,168,113,158,189,125,110,123,140,195,204,151,168,113,158,167,189,125,110")</f>
        <v>141,101,155,109,107,136,164,156,150,141,101,155,109,107,136,164,156,150,114,138,145,104,135,198,103,152,208,118,178,124,133,212,199,143,193,183,161,173,179,217,111,196,157,117,142,100,170,173,179,217,111,196,157,117,142,100,170,163,180,169,144,201,122,159,197,207,118,178,124,133,212,199,143,193,183,161,118,178,124,133,212,199,143,193,183,161,118,178,124,133,212,199,143,193,183,161,166,219,129,102,177,186,171,194,116,216,146,210,190,192,149,205,215,116,216,146,210,190,192,149,205,215,116,216,146,210,190,192,149,205,215,218,116,216,146,210,190,192,149,205,215,218,,,,123,140,195,204,151,168,113,158,189,125,110,123,140,195,204,151,168,113,158,167,189,125,110</v>
      </c>
      <c r="D61" s="23" t="str">
        <f>IFERROR(__xludf.DUMMYFUNCTION("IFNA(JOIN("","", FILTER(AsistenciaJetAdmin!$D$2:$D1000, (AsistenciaJetAdmin!$A$2:$A1000=$A61)*(AsistenciaJetAdmin!$B$2:$B1000=$B61))),"""")"),",,,184,202,,,,184,132,202,184,132,202,184,132,202,128,137,128,137,,,,160,108,160,108,182,,")</f>
        <v>,,,184,202,,,,184,132,202,184,132,202,184,132,202,128,137,128,137,,,,160,108,160,108,182,,</v>
      </c>
      <c r="E61" s="40"/>
      <c r="F61" s="40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</row>
    <row r="62">
      <c r="A62" s="71">
        <v>45913.0</v>
      </c>
      <c r="B62" s="72" t="s">
        <v>812</v>
      </c>
      <c r="C62" s="23" t="str">
        <f>IFERROR(__xludf.DUMMYFUNCTION("IFNA(JOIN("","", FILTER(AsistenciaJetAdmin!$C$2:$C1000, (AsistenciaJetAdmin!$A$2:$A1000=$A62)*(AsistenciaJetAdmin!$B$2:$B1000=$B62))),"""")"),"163,180,169,144,201,182,159,197,207,173,179,217,111,196,115,157,117,100,170,116,216,146,160,210,190,192,149,205,108,215,218,123,140,195,204,151,168,113,158,167,189,125,110,101,155,107,136,164,156,150,166,211,219,129,128,102,177,186,171,194,137,134,138,145"&amp;",135,221,198,103,153,152,208,118,178,132,124,133,202,212,143,193,183,165,161")</f>
        <v>163,180,169,144,201,182,159,197,207,173,179,217,111,196,115,157,117,100,170,116,216,146,160,210,190,192,149,205,108,215,218,123,140,195,204,151,168,113,158,167,189,125,110,101,155,107,136,164,156,150,166,211,219,129,128,102,177,186,171,194,137,134,138,145,135,221,198,103,153,152,208,118,178,132,124,133,202,212,143,193,183,165,161</v>
      </c>
      <c r="D62" s="23" t="str">
        <f>IFERROR(__xludf.DUMMYFUNCTION("IFNA(JOIN("","", FILTER(AsistenciaJetAdmin!$D$2:$D1000, (AsistenciaJetAdmin!$A$2:$A1000=$A62)*(AsistenciaJetAdmin!$B$2:$B1000=$B62))),"""")"),",,,,,,,")</f>
        <v>,,,,,,,</v>
      </c>
      <c r="E62" s="40"/>
      <c r="F62" s="40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</row>
    <row r="63">
      <c r="A63" s="71">
        <v>45917.0</v>
      </c>
      <c r="B63" s="72" t="s">
        <v>811</v>
      </c>
      <c r="C63" s="23" t="str">
        <f>IFERROR(__xludf.DUMMYFUNCTION("IFNA(JOIN("","", FILTER(AsistenciaJetAdmin!$C$2:$C1000, (AsistenciaJetAdmin!$A$2:$A1000=$A63)*(AsistenciaJetAdmin!$B$2:$B1000=$B63))),"""")"),"118,178,132,133,202,212,199,118,178,132,133,202,212,199,163,180,169,201,203,159,179,115,157,170,163,180,169,201,203,182,159,179,115,157,170,179,115,157,170,179,115,157,170,114,145,104,221,198,103,152,208,127,175,166,219,129,128,102,177,186,171,194,137,134"&amp;",175,166,219,129,128,102,177,186,171,194,137,134,118,178,132,133,202,212,199,116,216,146,160,210,149,205,108,215,218,118,178,132,133,202,212,199,123,140,195,204,151,168,113,158,167,189,125,123,140,195,204,151,168,113,158,167,189,125,123,140,195,204,151,16"&amp;"8,113,158,167,189,125,163,180,169,201,203,182,159,155,107,136,220,156,155,107,136,220,156")</f>
        <v>118,178,132,133,202,212,199,118,178,132,133,202,212,199,163,180,169,201,203,159,179,115,157,170,163,180,169,201,203,182,159,179,115,157,170,179,115,157,170,179,115,157,170,114,145,104,221,198,103,152,208,127,175,166,219,129,128,102,177,186,171,194,137,134,175,166,219,129,128,102,177,186,171,194,137,134,118,178,132,133,202,212,199,116,216,146,160,210,149,205,108,215,218,118,178,132,133,202,212,199,123,140,195,204,151,168,113,158,167,189,125,123,140,195,204,151,168,113,158,167,189,125,123,140,195,204,151,168,113,158,167,189,125,163,180,169,201,203,182,159,155,107,136,220,156,155,107,136,220,156</v>
      </c>
      <c r="D63" s="23" t="str">
        <f>IFERROR(__xludf.DUMMYFUNCTION("IFNA(JOIN("","", FILTER(AsistenciaJetAdmin!$D$2:$D1000, (AsistenciaJetAdmin!$A$2:$A1000=$A63)*(AsistenciaJetAdmin!$B$2:$B1000=$B63))),"""")"),"184,184,,120,117,,120,117,120,117,120,117,,,,184,161,,184,161,,,,,,")</f>
        <v>184,184,,120,117,,120,117,120,117,120,117,,,,184,161,,184,161,,,,,,</v>
      </c>
      <c r="E63" s="40"/>
      <c r="F63" s="40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</row>
    <row r="64">
      <c r="A64" s="71">
        <v>45920.0</v>
      </c>
      <c r="B64" s="72" t="s">
        <v>810</v>
      </c>
      <c r="C64" s="23" t="str">
        <f>IFERROR(__xludf.DUMMYFUNCTION("IFNA(JOIN("","", FILTER(AsistenciaJetAdmin!$C$2:$C1000, (AsistenciaJetAdmin!$A$2:$A1000=$A64)*(AsistenciaJetAdmin!$B$2:$B1000=$B64))),"""")"),"179,181,157,117,179,181,157,117,179,181,157,117,179,181,157,117,179,181,157,117,179,181,157,117,138,198,103,208,116,160,205,108,215,116,160,205,108,215,163,180,144,159,207,163,180,144,159,207,163,180,144,159,207,163,180,144,159,207,188,140,195,151,113,158"&amp;",167,189,125,110,188,140,195,151,113,158,167,189,125,110,118,178,132,133,202,199,143,193,174,101,155,107,220,164,156,175,166,211,219,128,177,186,194,137,120")</f>
        <v>179,181,157,117,179,181,157,117,179,181,157,117,179,181,157,117,179,181,157,117,179,181,157,117,138,198,103,208,116,160,205,108,215,116,160,205,108,215,163,180,144,159,207,163,180,144,159,207,163,180,144,159,207,163,180,144,159,207,188,140,195,151,113,158,167,189,125,110,188,140,195,151,113,158,167,189,125,110,118,178,132,133,202,199,143,193,174,101,155,107,220,164,156,175,166,211,219,128,177,186,194,137,120</v>
      </c>
      <c r="D64" s="23" t="str">
        <f>IFERROR(__xludf.DUMMYFUNCTION("IFNA(JOIN("","", FILTER(AsistenciaJetAdmin!$D$2:$D1000, (AsistenciaJetAdmin!$A$2:$A1000=$A64)*(AsistenciaJetAdmin!$B$2:$B1000=$B64))),"""")"),"142,100,142,100,142,100,142,100,196,142,100,196,142,100,,,,,,,,,,,,,")</f>
        <v>142,100,142,100,142,100,142,100,196,142,100,196,142,100,,,,,,,,,,,,,</v>
      </c>
      <c r="E64" s="40"/>
      <c r="F64" s="40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</row>
    <row r="65">
      <c r="A65" s="71">
        <v>45927.0</v>
      </c>
      <c r="B65" s="72" t="s">
        <v>810</v>
      </c>
      <c r="C65" s="23" t="str">
        <f>IFERROR(__xludf.DUMMYFUNCTION("IFNA(JOIN("","", FILTER(AsistenciaJetAdmin!$C$2:$C1000, (AsistenciaJetAdmin!$A$2:$A1000=$A65)*(AsistenciaJetAdmin!$B$2:$B1000=$B65))),"""")"),"116,216,146,160,190,192,149,205,108,215,218,114,145,104,221,198,103,153,152,208,141,174,101,155,107,136,164,150,211,219,129,128,102,186,194,141,174,101,155,107,136,164,150,204,151,158,167,189,125,110,179,120,217,111,181,115,157,117,179,120,217,111,181,115"&amp;",157,117,179,120,217,111,181,115,157,117,179,120,217,111,181,115,157,117,179,120,217,111,181,115,157,117,118,184,178,132,124,133,202,212,199,143,193,118,184,178,132,124,133,202,212,199,143,193,169,144,201,122,197,207,,159")</f>
        <v>116,216,146,160,190,192,149,205,108,215,218,114,145,104,221,198,103,153,152,208,141,174,101,155,107,136,164,150,211,219,129,128,102,186,194,141,174,101,155,107,136,164,150,204,151,158,167,189,125,110,179,120,217,111,181,115,157,117,179,120,217,111,181,115,157,117,179,120,217,111,181,115,157,117,179,120,217,111,181,115,157,117,179,120,217,111,181,115,157,117,118,184,178,132,124,133,202,212,199,143,193,118,184,178,132,124,133,202,212,199,143,193,169,144,201,122,197,207,,159</v>
      </c>
      <c r="D65" s="23" t="str">
        <f>IFERROR(__xludf.DUMMYFUNCTION("IFNA(JOIN("","", FILTER(AsistenciaJetAdmin!$D$2:$D1000, (AsistenciaJetAdmin!$A$2:$A1000=$A65)*(AsistenciaJetAdmin!$B$2:$B1000=$B65))),"""")"),",,,,,,,,173,173,173,161,161,,134,")</f>
        <v>,,,,,,,,173,173,173,161,161,,134,</v>
      </c>
      <c r="E65" s="40"/>
      <c r="F65" s="40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</row>
    <row r="66">
      <c r="A66" s="71">
        <v>45927.0</v>
      </c>
      <c r="B66" s="72" t="s">
        <v>812</v>
      </c>
      <c r="C66" s="23" t="str">
        <f>IFERROR(__xludf.DUMMYFUNCTION("IFNA(JOIN("","", FILTER(AsistenciaJetAdmin!$C$2:$C1000, (AsistenciaJetAdmin!$A$2:$A1000=$A66)*(AsistenciaJetAdmin!$B$2:$B1000=$B66))),"""")"),"180,144,197,207,123,140,195,113,158,167,189,125,110,184,178,132,133,199,143,193,145,198,166,211,219,129,128,102,177,186,194,134,179,217,181,115,157,117,170,179,217,181,115,157,117,170,179,217,181,115,157,117,170,179,217,181,115,157,117,170,146,190,192,108"&amp;",215,184,178,132,133,199,143,184,178,132,133,199,143")</f>
        <v>180,144,197,207,123,140,195,113,158,167,189,125,110,184,178,132,133,199,143,193,145,198,166,211,219,129,128,102,177,186,194,134,179,217,181,115,157,117,170,179,217,181,115,157,117,170,179,217,181,115,157,117,170,179,217,181,115,157,117,170,146,190,192,108,215,184,178,132,133,199,143,184,178,132,133,199,143</v>
      </c>
      <c r="D66" s="23" t="str">
        <f>IFERROR(__xludf.DUMMYFUNCTION("IFNA(JOIN("","", FILTER(AsistenciaJetAdmin!$D$2:$D1000, (AsistenciaJetAdmin!$A$2:$A1000=$A66)*(AsistenciaJetAdmin!$B$2:$B1000=$B66))),"""")"),",,,,,,,,,,,")</f>
        <v>,,,,,,,,,,,</v>
      </c>
      <c r="E66" s="40"/>
      <c r="F66" s="40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</row>
    <row r="67">
      <c r="A67" s="71">
        <v>45938.0</v>
      </c>
      <c r="B67" s="72" t="s">
        <v>811</v>
      </c>
      <c r="C67" s="23" t="str">
        <f>IFERROR(__xludf.DUMMYFUNCTION("IFNA(JOIN("","", FILTER(AsistenciaJetAdmin!$C$2:$C1000, (AsistenciaJetAdmin!$A$2:$A1000=$A67)*(AsistenciaJetAdmin!$B$2:$B1000=$B67))),"""")"),"166,219,129,128,102,177,171,194,137,174,101,155,109,107,136,164,150,123,188,195,204,151,168,113,167,189,125,145,103,152,208,145,103,152,208,180,144,182,197,207,132,124,133,199,193,161,116,146,160,210,190,192,215,218,111,196,117,100,141,118,201,205,212,110")</f>
        <v>166,219,129,128,102,177,171,194,137,174,101,155,109,107,136,164,150,123,188,195,204,151,168,113,167,189,125,145,103,152,208,145,103,152,208,180,144,182,197,207,132,124,133,199,193,161,116,146,160,210,190,192,215,218,111,196,117,100,141,118,201,205,212,110</v>
      </c>
      <c r="D67" s="23" t="str">
        <f>IFERROR(__xludf.DUMMYFUNCTION("IFNA(JOIN("","", FILTER(AsistenciaJetAdmin!$D$2:$D1000, (AsistenciaJetAdmin!$A$2:$A1000=$A67)*(AsistenciaJetAdmin!$B$2:$B1000=$B67))),"""")"),",,,,,,,,,,")</f>
        <v>,,,,,,,,,,</v>
      </c>
      <c r="E67" s="40"/>
      <c r="F67" s="40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</row>
    <row r="68">
      <c r="A68" s="71">
        <v>45941.0</v>
      </c>
      <c r="B68" s="72" t="s">
        <v>810</v>
      </c>
      <c r="C68" s="23" t="str">
        <f>IFERROR(__xludf.DUMMYFUNCTION("IFNA(JOIN("","", FILTER(AsistenciaJetAdmin!$C$2:$C1000, (AsistenciaJetAdmin!$A$2:$A1000=$A68)*(AsistenciaJetAdmin!$B$2:$B1000=$B68))),"""")"),"179,111,181,115,157,117,100,118,184,178,132,124,133,202,212,199,193,183,161,118,184,178,132,124,133,202,212,199,193,183,161,123,188,140,195,204,151,168,113,167,189,125,110,123,188,140,195,204,151,168,113,167,189,125,110,219,129,128,102,177,186,194,137,134"&amp;",141,174,101,155,109,107,136,156,150,116,216,146,210,192,205,215,116,216,146,210,192,205,215,169,144,201,122,203,197,207")</f>
        <v>179,111,181,115,157,117,100,118,184,178,132,124,133,202,212,199,193,183,161,118,184,178,132,124,133,202,212,199,193,183,161,123,188,140,195,204,151,168,113,167,189,125,110,123,188,140,195,204,151,168,113,167,189,125,110,219,129,128,102,177,186,194,137,134,141,174,101,155,109,107,136,156,150,116,216,146,210,192,205,215,116,216,146,210,192,205,215,169,144,201,122,203,197,207</v>
      </c>
      <c r="D68" s="23" t="str">
        <f>IFERROR(__xludf.DUMMYFUNCTION("IFNA(JOIN("","", FILTER(AsistenciaJetAdmin!$D$2:$D1000, (AsistenciaJetAdmin!$A$2:$A1000=$A68)*(AsistenciaJetAdmin!$B$2:$B1000=$B68))),"""")"),",,,,,,,,,")</f>
        <v>,,,,,,,,,</v>
      </c>
      <c r="E68" s="40"/>
      <c r="F68" s="40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</row>
    <row r="69">
      <c r="A69" s="71">
        <v>45948.0</v>
      </c>
      <c r="B69" s="72" t="s">
        <v>810</v>
      </c>
      <c r="C69" s="23" t="str">
        <f>IFERROR(__xludf.DUMMYFUNCTION("IFNA(JOIN("","", FILTER(AsistenciaJetAdmin!$C$2:$C1000, (AsistenciaJetAdmin!$A$2:$A1000=$A69)*(AsistenciaJetAdmin!$B$2:$B1000=$B69))),"""")"),"138,135,221,198,152,208,127,180,169,201,182,197,123,140,195,204,113,158,167,189,125,110,123,140,195,204,113,158,167,189,125,110,138,135,221,198,152,208,127,116,216,190,192,205,108,215,116,216,190,192,205,108,215,116,216,190,192,205,108,215,,118,178,132,13"&amp;"3,212,199,193,183,161,118,178,132,133,212,199,193,183,161,173,179,217,111,181,115,157,117,142,100,170,175,166,219,129,177,141,174,101,155,107,136,164,156,150,168,168")</f>
        <v>138,135,221,198,152,208,127,180,169,201,182,197,123,140,195,204,113,158,167,189,125,110,123,140,195,204,113,158,167,189,125,110,138,135,221,198,152,208,127,116,216,190,192,205,108,215,116,216,190,192,205,108,215,116,216,190,192,205,108,215,,118,178,132,133,212,199,193,183,161,118,178,132,133,212,199,193,183,161,173,179,217,111,181,115,157,117,142,100,170,175,166,219,129,177,141,174,101,155,107,136,164,156,150,168,168</v>
      </c>
      <c r="D69" s="23" t="str">
        <f>IFERROR(__xludf.DUMMYFUNCTION("IFNA(JOIN("","", FILTER(AsistenciaJetAdmin!$D$2:$D1000, (AsistenciaJetAdmin!$A$2:$A1000=$A69)*(AsistenciaJetAdmin!$B$2:$B1000=$B69))),"""")"),",,,,103,,,,207,184,143,184,143,,,,,")</f>
        <v>,,,,103,,,,207,184,143,184,143,,,,,</v>
      </c>
      <c r="E69" s="40"/>
      <c r="F69" s="40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</row>
    <row r="70">
      <c r="A70" s="71">
        <v>45948.0</v>
      </c>
      <c r="B70" s="72" t="s">
        <v>812</v>
      </c>
      <c r="C70" s="23" t="str">
        <f>IFERROR(__xludf.DUMMYFUNCTION("IFNA(JOIN("","", FILTER(AsistenciaJetAdmin!$C$2:$C1000, (AsistenciaJetAdmin!$A$2:$A1000=$A70)*(AsistenciaJetAdmin!$B$2:$B1000=$B70))),"""")"),"174,101,155,107,136,164,156,175,166,211,219,128,102,177,171,194,137,134,163,180,169,144,122,182,159,197,207,118,184,178,132,124,133,212,199,143,193,183,161,118,184,178,132,124,133,212,199,143,193,183,161,118,163,138,180,175,179,123,116,145,166,174,216,188"&amp;",140,101,169,155,184,135,120,195,204,211,217,219,107,111,168,178,198,128,181,103,121,102,132,113,124,158,144,167,160,136,177,122,171,196,189,152,133,190,157,192,164,208,117,156,194,182,159,205,212,125,199,108,143,215,197,207,110,193,183,218,100,137,161,13"&amp;"4")</f>
        <v>174,101,155,107,136,164,156,175,166,211,219,128,102,177,171,194,137,134,163,180,169,144,122,182,159,197,207,118,184,178,132,124,133,212,199,143,193,183,161,118,184,178,132,124,133,212,199,143,193,183,161,118,163,138,180,175,179,123,116,145,166,174,216,188,140,101,169,155,184,135,120,195,204,211,217,219,107,111,168,178,198,128,181,103,121,102,132,113,124,158,144,167,160,136,177,122,171,196,189,152,133,190,157,192,164,208,117,156,194,182,159,205,212,125,199,108,143,215,197,207,110,193,183,218,100,137,161,134</v>
      </c>
      <c r="D70" s="23" t="str">
        <f>IFERROR(__xludf.DUMMYFUNCTION("IFNA(JOIN("","", FILTER(AsistenciaJetAdmin!$D$2:$D1000, (AsistenciaJetAdmin!$A$2:$A1000=$A70)*(AsistenciaJetAdmin!$B$2:$B1000=$B70))),"""")"),",,,,,142")</f>
        <v>,,,,,142</v>
      </c>
      <c r="E70" s="40"/>
      <c r="F70" s="40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</row>
    <row r="71">
      <c r="A71" s="71">
        <v>45952.0</v>
      </c>
      <c r="B71" s="72" t="s">
        <v>811</v>
      </c>
      <c r="C71" s="23" t="str">
        <f>IFERROR(__xludf.DUMMYFUNCTION("IFNA(JOIN("","", FILTER(AsistenciaJetAdmin!$C$2:$C1000, (AsistenciaJetAdmin!$A$2:$A1000=$A71)*(AsistenciaJetAdmin!$B$2:$B1000=$B71))),"""")"),"141,174,155,109,107,164,156,118,184,178,124,133,199,143,193,183,161,175,166,211,219,129,128,102,177,186,171,194,134,175,166,211,219,129,128,102,177,186,171,194,134,118,184,178,124,133,199,143,193,183,161,116,216,146,121,160,210,149,205,108,215,218,116,216"&amp;",146,121,160,210,149,205,108,215,218,116,216,146,121,160,210,149,205,108,215,218,114,138,145,104,135,198,103,152,208,127,114,138,145,104,135,198,103,152,208,127,114,138,145,104,135,198,103,152,208,127,179,120,181,196,157,117,142,100,179,120,181,196,157,11"&amp;"7,142,100,170,123,188,140,195,204,168,113,158,167,189,110,123,188,140,195,204,168,113,158,167,189,110,179,120,181,196,157,117,142,100,170,179,120,181,196,157,117,142,100,170,180,144,201,122,182,159,197")</f>
        <v>141,174,155,109,107,164,156,118,184,178,124,133,199,143,193,183,161,175,166,211,219,129,128,102,177,186,171,194,134,175,166,211,219,129,128,102,177,186,171,194,134,118,184,178,124,133,199,143,193,183,161,116,216,146,121,160,210,149,205,108,215,218,116,216,146,121,160,210,149,205,108,215,218,116,216,146,121,160,210,149,205,108,215,218,114,138,145,104,135,198,103,152,208,127,114,138,145,104,135,198,103,152,208,127,114,138,145,104,135,198,103,152,208,127,179,120,181,196,157,117,142,100,179,120,181,196,157,117,142,100,170,123,188,140,195,204,168,113,158,167,189,110,123,188,140,195,204,168,113,158,167,189,110,179,120,181,196,157,117,142,100,170,179,120,181,196,157,117,142,100,170,180,144,201,122,182,159,197</v>
      </c>
      <c r="D71" s="23" t="str">
        <f>IFERROR(__xludf.DUMMYFUNCTION("IFNA(JOIN("","", FILTER(AsistenciaJetAdmin!$D$2:$D1000, (AsistenciaJetAdmin!$A$2:$A1000=$A71)*(AsistenciaJetAdmin!$B$2:$B1000=$B71))),"""")"),",132,202,212,,,132,202,212,,,,153,153,153,,,,,,,163")</f>
        <v>,132,202,212,,,132,202,212,,,,153,153,153,,,,,,,163</v>
      </c>
      <c r="E71" s="40"/>
      <c r="F71" s="40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</row>
    <row r="72">
      <c r="A72" s="71">
        <v>45955.0</v>
      </c>
      <c r="B72" s="72" t="s">
        <v>810</v>
      </c>
      <c r="C72" s="23" t="str">
        <f>IFERROR(__xludf.DUMMYFUNCTION("IFNA(JOIN("","", FILTER(AsistenciaJetAdmin!$C$2:$C1000, (AsistenciaJetAdmin!$A$2:$A1000=$A72)*(AsistenciaJetAdmin!$B$2:$B1000=$B72))),"""")"),"160,190,192,108,218,160,190,192,108,218,160,190,192,108,218,115,141,174,155,218,108,192,190,160,141,174,155,218,108,192,190,160,211,129,128,102,171,134,211,129,128,102,171,134,151,158,178,132,133,193,163,144,201,163,144,201,163,144,201,212")</f>
        <v>160,190,192,108,218,160,190,192,108,218,160,190,192,108,218,115,141,174,155,218,108,192,190,160,141,174,155,218,108,192,190,160,211,129,128,102,171,134,211,129,128,102,171,134,151,158,178,132,133,193,163,144,201,163,144,201,163,144,201,212</v>
      </c>
      <c r="D72" s="23" t="str">
        <f>IFERROR(__xludf.DUMMYFUNCTION("IFNA(JOIN("","", FILTER(AsistenciaJetAdmin!$D$2:$D1000, (AsistenciaJetAdmin!$A$2:$A1000=$A72)*(AsistenciaJetAdmin!$B$2:$B1000=$B72))),"""")"),",,,,,,,,,,,,,")</f>
        <v>,,,,,,,,,,,,,</v>
      </c>
      <c r="E72" s="40"/>
      <c r="F72" s="40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</row>
    <row r="73">
      <c r="A73" s="71">
        <v>45959.0</v>
      </c>
      <c r="B73" s="72" t="s">
        <v>811</v>
      </c>
      <c r="C73" s="23" t="str">
        <f>IFERROR(__xludf.DUMMYFUNCTION("IFNA(JOIN("","", FILTER(AsistenciaJetAdmin!$C$2:$C1000, (AsistenciaJetAdmin!$A$2:$A1000=$A73)*(AsistenciaJetAdmin!$B$2:$B1000=$B73))),"""")"),"175,211,219,129,128,102,177,186,171,194,134,169,201,122,182,197,118,184,178,124,133,199,193,183,174,101,155,109,107,136,164,156,174,101,155,109,107,136,164,156,173,179,120,115,157,117,116,216,121,160,210,190,192,149,205,108,215,218,114,145,104,135,221,198"&amp;",103,152,208,169,201,122,182,197,116,216,121,160,210,190,192,149,205,108,215,218,173,179,120,115,157,117,116,216,121,160,210,190,192,149,205,108,215,218,173,179,120,115,157,117,174,101,155,109,107,136,164,156,174,101,155,109,107,136,164,156,,188,204,151,1"&amp;"68,113,158,167,125,188,204,151,168,113,158,167,125,169,201,122,182,197")</f>
        <v>175,211,219,129,128,102,177,186,171,194,134,169,201,122,182,197,118,184,178,124,133,199,193,183,174,101,155,109,107,136,164,156,174,101,155,109,107,136,164,156,173,179,120,115,157,117,116,216,121,160,210,190,192,149,205,108,215,218,114,145,104,135,221,198,103,152,208,169,201,122,182,197,116,216,121,160,210,190,192,149,205,108,215,218,173,179,120,115,157,117,116,216,121,160,210,190,192,149,205,108,215,218,173,179,120,115,157,117,174,101,155,109,107,136,164,156,174,101,155,109,107,136,164,156,,188,204,151,168,113,158,167,125,188,204,151,168,113,158,167,125,169,201,122,182,197</v>
      </c>
      <c r="D73" s="23" t="str">
        <f>IFERROR(__xludf.DUMMYFUNCTION("IFNA(JOIN("","", FILTER(AsistenciaJetAdmin!$D$2:$D1000, (AsistenciaJetAdmin!$A$2:$A1000=$A73)*(AsistenciaJetAdmin!$B$2:$B1000=$B73))),"""")"),",,143,161,,,,,,207,,196,,196,141,141,138,,,163,180,207")</f>
        <v>,,143,161,,,,,,207,,196,,196,141,141,138,,,163,180,207</v>
      </c>
      <c r="E73" s="40"/>
      <c r="F73" s="40"/>
      <c r="G73" s="40"/>
      <c r="H73" s="40"/>
      <c r="I73" s="40"/>
      <c r="J73" s="40"/>
      <c r="K73" s="40"/>
      <c r="L73" s="40"/>
      <c r="M73" s="40"/>
      <c r="N73" s="40"/>
      <c r="O73" s="40"/>
      <c r="P73" s="40"/>
      <c r="Q73" s="40"/>
      <c r="R73" s="40"/>
      <c r="S73" s="40"/>
      <c r="T73" s="40"/>
      <c r="U73" s="40"/>
      <c r="V73" s="40"/>
      <c r="W73" s="40"/>
      <c r="X73" s="40"/>
      <c r="Y73" s="40"/>
      <c r="Z73" s="40"/>
    </row>
    <row r="74">
      <c r="A74" s="71">
        <v>45962.0</v>
      </c>
      <c r="B74" s="72" t="s">
        <v>810</v>
      </c>
      <c r="C74" s="23" t="str">
        <f>IFERROR(__xludf.DUMMYFUNCTION("IFNA(JOIN("","", FILTER(AsistenciaJetAdmin!$C$2:$C1000, (AsistenciaJetAdmin!$A$2:$A1000=$A74)*(AsistenciaJetAdmin!$B$2:$B1000=$B74))),"""")"),"118,141,179,166,101,109,219,107,178,129,181,132,136,186,171,117,114,138,180,123,116,174,104,151,146,102,156,212,199,183,100,137,134,170,,168,198,103,113,167,160,210,189,152,190,192,208,203,205,125,108,197,207")</f>
        <v>118,141,179,166,101,109,219,107,178,129,181,132,136,186,171,117,114,138,180,123,116,174,104,151,146,102,156,212,199,183,100,137,134,170,,168,198,103,113,167,160,210,189,152,190,192,208,203,205,125,108,197,207</v>
      </c>
      <c r="D74" s="23" t="str">
        <f>IFERROR(__xludf.DUMMYFUNCTION("IFNA(JOIN("","", FILTER(AsistenciaJetAdmin!$D$2:$D1000, (AsistenciaJetAdmin!$A$2:$A1000=$A74)*(AsistenciaJetAdmin!$B$2:$B1000=$B74))),"""")"),"155,202,216,144,218,110,159,201,153,221,")</f>
        <v>155,202,216,144,218,110,159,201,153,221,</v>
      </c>
      <c r="E74" s="40"/>
      <c r="F74" s="40"/>
      <c r="G74" s="40"/>
      <c r="H74" s="40"/>
      <c r="I74" s="40"/>
      <c r="J74" s="40"/>
      <c r="K74" s="40"/>
      <c r="L74" s="40"/>
      <c r="M74" s="40"/>
      <c r="N74" s="40"/>
      <c r="O74" s="40"/>
      <c r="P74" s="40"/>
      <c r="Q74" s="40"/>
      <c r="R74" s="40"/>
      <c r="S74" s="40"/>
      <c r="T74" s="40"/>
      <c r="U74" s="40"/>
      <c r="V74" s="40"/>
      <c r="W74" s="40"/>
      <c r="X74" s="40"/>
      <c r="Y74" s="40"/>
      <c r="Z74" s="40"/>
    </row>
    <row r="75">
      <c r="A75" s="71">
        <v>45966.0</v>
      </c>
      <c r="B75" s="72" t="s">
        <v>811</v>
      </c>
      <c r="C75" s="23" t="str">
        <f>IFERROR(__xludf.DUMMYFUNCTION("IFNA(JOIN("","", FILTER(AsistenciaJetAdmin!$C$2:$C1000, (AsistenciaJetAdmin!$A$2:$A1000=$A75)*(AsistenciaJetAdmin!$B$2:$B1000=$B75))),"""")"),"211,219,129,102,186,194,137,184,178,132,133,212,143,184,178,132,133,212,143,217,117,217,117,116,216,146,160,210,190,192,108,215,218,217,117,116,216,146,160,210,190,192,108,215,218,123,204,151,168,158,167,125,110,116,216,146,160,210,190,192,108,215,218,123"&amp;",204,151,168,158,167,125,110,169,144,197,207,101,155,136,156,101,155,136,156,211,219,129,102,186,194,137,114,145,104,153")</f>
        <v>211,219,129,102,186,194,137,184,178,132,133,212,143,184,178,132,133,212,143,217,117,217,117,116,216,146,160,210,190,192,108,215,218,217,117,116,216,146,160,210,190,192,108,215,218,123,204,151,168,158,167,125,110,116,216,146,160,210,190,192,108,215,218,123,204,151,168,158,167,125,110,169,144,197,207,101,155,136,156,101,155,136,156,211,219,129,102,186,194,137,114,145,104,153</v>
      </c>
      <c r="D75" s="23" t="str">
        <f>IFERROR(__xludf.DUMMYFUNCTION("IFNA(JOIN("","", FILTER(AsistenciaJetAdmin!$D$2:$D1000, (AsistenciaJetAdmin!$A$2:$A1000=$A75)*(AsistenciaJetAdmin!$B$2:$B1000=$B75))),"""")"),"134,,,,,,,,,,,,,,128,134,")</f>
        <v>134,,,,,,,,,,,,,,128,134,</v>
      </c>
      <c r="E75" s="40"/>
      <c r="F75" s="40"/>
      <c r="G75" s="40"/>
      <c r="H75" s="40"/>
      <c r="I75" s="40"/>
      <c r="J75" s="40"/>
      <c r="K75" s="40"/>
      <c r="L75" s="40"/>
      <c r="M75" s="40"/>
      <c r="N75" s="40"/>
      <c r="O75" s="40"/>
      <c r="P75" s="40"/>
      <c r="Q75" s="40"/>
      <c r="R75" s="40"/>
      <c r="S75" s="40"/>
      <c r="T75" s="40"/>
      <c r="U75" s="40"/>
      <c r="V75" s="40"/>
      <c r="W75" s="40"/>
      <c r="X75" s="40"/>
      <c r="Y75" s="40"/>
      <c r="Z75" s="40"/>
    </row>
    <row r="76">
      <c r="A76" s="71">
        <v>45969.0</v>
      </c>
      <c r="B76" s="72" t="s">
        <v>810</v>
      </c>
      <c r="C76" s="23" t="str">
        <f>IFERROR(__xludf.DUMMYFUNCTION("IFNA(JOIN("","", FILTER(AsistenciaJetAdmin!$C$2:$C1000, (AsistenciaJetAdmin!$A$2:$A1000=$A76)*(AsistenciaJetAdmin!$B$2:$B1000=$B76))),"""")"),"179,181,115,157,179,181,115,157,219,179,217,181,115,157,179,217,181,115,157,219,194,219,129,194,219,129,186,194,174,155,107,136,156,150,173,179,217,111,181,115,157,174,155,107,136,156,150,173,179,217,111,181,115,157,173,179,217,111,181,115,157,174,155,107"&amp;",136,156,150,174,155,107,136,156,150,114,145,104,198,103,152,208,127,170,116,216,146,160,190,149,205,108,215,116,216,146,160,190,149,205,108,215,169,201,197,207,116,216,146,160,190,149,205,108,215,116,216,146,160,190,149,205,108,215,123,140,204,151,167,18"&amp;"9,123,140,204,151,167,189,118,178,132,133,199,143,193,161,118,178,132,133,199,143,193,161,219,129,186,194,168,168")</f>
        <v>179,181,115,157,179,181,115,157,219,179,217,181,115,157,179,217,181,115,157,219,194,219,129,194,219,129,186,194,174,155,107,136,156,150,173,179,217,111,181,115,157,174,155,107,136,156,150,173,179,217,111,181,115,157,173,179,217,111,181,115,157,174,155,107,136,156,150,174,155,107,136,156,150,114,145,104,198,103,152,208,127,170,116,216,146,160,190,149,205,108,215,116,216,146,160,190,149,205,108,215,169,201,197,207,116,216,146,160,190,149,205,108,215,116,216,146,160,190,149,205,108,215,123,140,204,151,167,189,123,140,204,151,167,189,118,178,132,133,199,143,193,161,118,178,132,133,199,143,193,161,219,129,186,194,168,168</v>
      </c>
      <c r="D76" s="23" t="str">
        <f>IFERROR(__xludf.DUMMYFUNCTION("IFNA(JOIN("","", FILTER(AsistenciaJetAdmin!$D$2:$D1000, (AsistenciaJetAdmin!$A$2:$A1000=$A76)*(AsistenciaJetAdmin!$B$2:$B1000=$B76))),"""")"),",,,,,,,,,,,,,101,101,,,,,,,,,184,184,211,128,102,186,,")</f>
        <v>,,,,,,,,,,,,,101,101,,,,,,,,,184,184,211,128,102,186,,</v>
      </c>
      <c r="E76" s="40"/>
      <c r="F76" s="40"/>
      <c r="G76" s="40"/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0"/>
      <c r="Z76" s="40"/>
    </row>
    <row r="77">
      <c r="A77" s="71">
        <v>45969.0</v>
      </c>
      <c r="B77" s="72" t="s">
        <v>812</v>
      </c>
      <c r="C77" s="23" t="str">
        <f>IFERROR(__xludf.DUMMYFUNCTION("IFNA(JOIN("","", FILTER(AsistenciaJetAdmin!$C$2:$C1000, (AsistenciaJetAdmin!$A$2:$A1000=$A77)*(AsistenciaJetAdmin!$B$2:$B1000=$B77))),"""")"),"163,180,169,144,201,122,203,159,197,207,175,166,211,219,129,128,102,177,186,171,194,137,118,184,178,132,124,133,212,199,143,193,183,161,118,184,178,132,124,133,212,199,143,193,183,161,118,184,178,132,124,133,212,199,143,193,183,161,116,216,146,160,210,190"&amp;",192,205,108,215,218,116,216,146,160,210,190,192,205,108,215,218,145,135,221,198,103,208,170,123,188,140,195,204,151,168,113,158,167,189,125,110,179,217,111,181,196,115,157,117,100,141,174,101,155,109,107,136,156")</f>
        <v>163,180,169,144,201,122,203,159,197,207,175,166,211,219,129,128,102,177,186,171,194,137,118,184,178,132,124,133,212,199,143,193,183,161,118,184,178,132,124,133,212,199,143,193,183,161,118,184,178,132,124,133,212,199,143,193,183,161,116,216,146,160,210,190,192,205,108,215,218,116,216,146,160,210,190,192,205,108,215,218,145,135,221,198,103,208,170,123,188,140,195,204,151,168,113,158,167,189,125,110,179,217,111,181,196,115,157,117,100,141,174,101,155,109,107,136,156</v>
      </c>
      <c r="D77" s="23" t="str">
        <f>IFERROR(__xludf.DUMMYFUNCTION("IFNA(JOIN("","", FILTER(AsistenciaJetAdmin!$D$2:$D1000, (AsistenciaJetAdmin!$A$2:$A1000=$A77)*(AsistenciaJetAdmin!$B$2:$B1000=$B77))),"""")"),",,202,165,202,165,202,165,,,,,,150")</f>
        <v>,,202,165,202,165,202,165,,,,,,150</v>
      </c>
      <c r="E77" s="40"/>
      <c r="F77" s="40"/>
      <c r="G77" s="40"/>
      <c r="H77" s="40"/>
      <c r="I77" s="40"/>
      <c r="J77" s="40"/>
      <c r="K77" s="40"/>
      <c r="L77" s="40"/>
      <c r="M77" s="40"/>
      <c r="N77" s="40"/>
      <c r="O77" s="40"/>
      <c r="P77" s="40"/>
      <c r="Q77" s="40"/>
      <c r="R77" s="40"/>
      <c r="S77" s="40"/>
      <c r="T77" s="40"/>
      <c r="U77" s="40"/>
      <c r="V77" s="40"/>
      <c r="W77" s="40"/>
      <c r="X77" s="40"/>
      <c r="Y77" s="40"/>
      <c r="Z77" s="40"/>
    </row>
    <row r="78">
      <c r="A78" s="71">
        <v>45973.0</v>
      </c>
      <c r="B78" s="72" t="s">
        <v>811</v>
      </c>
      <c r="C78" s="23" t="str">
        <f>IFERROR(__xludf.DUMMYFUNCTION("IFNA(JOIN("","", FILTER(AsistenciaJetAdmin!$C$2:$C1000, (AsistenciaJetAdmin!$A$2:$A1000=$A78)*(AsistenciaJetAdmin!$B$2:$B1000=$B78))),"""")"),"175,128,177,186,194,137,175,128,177,186,194,137,160,210,205,215,160,210,205,215,195,151,168,189,125,110,195,151,168,189,125,110,160,210,205,215,160,210,205,215,160,210,205,215,138,104,221,198,184,178,132,124,133,212,143,193,184,178,132,124,133,212,143,193"&amp;",180,169,201,122,159,207,180,169,201,122,159,207,174,101,155,109,136,156")</f>
        <v>175,128,177,186,194,137,175,128,177,186,194,137,160,210,205,215,160,210,205,215,195,151,168,189,125,110,195,151,168,189,125,110,160,210,205,215,160,210,205,215,160,210,205,215,138,104,221,198,184,178,132,124,133,212,143,193,184,178,132,124,133,212,143,193,180,169,201,122,159,207,180,169,201,122,159,207,174,101,155,109,136,156</v>
      </c>
      <c r="D78" s="23" t="str">
        <f>IFERROR(__xludf.DUMMYFUNCTION("IFNA(JOIN("","", FILTER(AsistenciaJetAdmin!$D$2:$D1000, (AsistenciaJetAdmin!$A$2:$A1000=$A78)*(AsistenciaJetAdmin!$B$2:$B1000=$B78))),"""")"),",,,,,,,,,,202,183,202,183,163,163,")</f>
        <v>,,,,,,,,,,202,183,202,183,163,163,</v>
      </c>
      <c r="E78" s="40"/>
      <c r="F78" s="40"/>
      <c r="G78" s="40"/>
      <c r="H78" s="40"/>
      <c r="I78" s="40"/>
      <c r="J78" s="40"/>
      <c r="K78" s="40"/>
      <c r="L78" s="40"/>
      <c r="M78" s="40"/>
      <c r="N78" s="40"/>
      <c r="O78" s="40"/>
      <c r="P78" s="40"/>
      <c r="Q78" s="40"/>
      <c r="R78" s="40"/>
      <c r="S78" s="40"/>
      <c r="T78" s="40"/>
      <c r="U78" s="40"/>
      <c r="V78" s="40"/>
      <c r="W78" s="40"/>
      <c r="X78" s="40"/>
      <c r="Y78" s="40"/>
      <c r="Z78" s="40"/>
    </row>
    <row r="79">
      <c r="A79" s="71">
        <v>45980.0</v>
      </c>
      <c r="B79" s="72" t="s">
        <v>811</v>
      </c>
      <c r="C79" s="23" t="str">
        <f>IFERROR(__xludf.DUMMYFUNCTION("IFNA(JOIN("","", FILTER(AsistenciaJetAdmin!$C$2:$C1000, (AsistenciaJetAdmin!$A$2:$A1000=$A79)*(AsistenciaJetAdmin!$B$2:$B1000=$B79))),"""")"),"114,145,104,221,198,152,208,170,174,101,109,107,136,164,156,174,101,109,107,136,164,156,,211,219,129,128,102,186,171,194,134,140,151,113,158,167,189,125,217,181,196,157,117,142,217,181,196,157,117,142,116,216,160,210,108,215,218,116,216,160,210,108,215,21"&amp;"8,116,216,160,210,108,215,218,175,180,144,201,159,184,178,199,193,184,178,199,193")</f>
        <v>114,145,104,221,198,152,208,170,174,101,109,107,136,164,156,174,101,109,107,136,164,156,,211,219,129,128,102,186,171,194,134,140,151,113,158,167,189,125,217,181,196,157,117,142,217,181,196,157,117,142,116,216,160,210,108,215,218,116,216,160,210,108,215,218,116,216,160,210,108,215,218,175,180,144,201,159,184,178,199,193,184,178,199,193</v>
      </c>
      <c r="D79" s="23" t="str">
        <f>IFERROR(__xludf.DUMMYFUNCTION("IFNA(JOIN("","", FILTER(AsistenciaJetAdmin!$D$2:$D1000, (AsistenciaJetAdmin!$A$2:$A1000=$A79)*(AsistenciaJetAdmin!$B$2:$B1000=$B79))),"""")"),",,,103,,,,,,,,,163,,")</f>
        <v>,,,103,,,,,,,,,163,,</v>
      </c>
      <c r="E79" s="40"/>
      <c r="F79" s="40"/>
      <c r="G79" s="40"/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0"/>
      <c r="Z79" s="40"/>
    </row>
    <row r="80">
      <c r="A80" s="71">
        <v>45983.0</v>
      </c>
      <c r="B80" s="72" t="s">
        <v>810</v>
      </c>
      <c r="C80" s="23" t="str">
        <f>IFERROR(__xludf.DUMMYFUNCTION("IFNA(JOIN("","", FILTER(AsistenciaJetAdmin!$C$2:$C1000, (AsistenciaJetAdmin!$A$2:$A1000=$A80)*(AsistenciaJetAdmin!$B$2:$B1000=$B80))),"""")"),"179,157,117,179,115,157,117,156,201,203,155,156,155,156,155,156,155,156,211,219,186,171,194,174,155,156,141,174,155,156,141,174,155,156,141,174,155,156,141,174,155,107,164,156,141,174,155,107,164,156,141,174,155,107,164,156,179,217,181,115,157,117,142,141"&amp;",174,155,107,164,156,141,174,155,107,136,164,156,179,217,181,115,157,117,142,100,141,174,155,107,136,164,156,150,141,174,155,107,136,164,156,150,141,174,155,107,136,164,156,150,180,169,201,203,197,207,118,184,178,132,133,212,199,143,183,161,118,184,178,13"&amp;"2,133,212,199,143,183,161,116,216,146,160,210,192,205,108,215,218,116,216,146,160,210,192,205,108,215,218,118,184,178,132,133,212,199,143,183,161,166,211,219,128,102,177,186,171,194,134,123,140,195,204,168,113,158,167,189,125,110,123,140,195,204,168,113,1"&amp;"58,167,189,125,110")</f>
        <v>179,157,117,179,115,157,117,156,201,203,155,156,155,156,155,156,155,156,211,219,186,171,194,174,155,156,141,174,155,156,141,174,155,156,141,174,155,156,141,174,155,107,164,156,141,174,155,107,164,156,141,174,155,107,164,156,179,217,181,115,157,117,142,141,174,155,107,164,156,141,174,155,107,136,164,156,179,217,181,115,157,117,142,100,141,174,155,107,136,164,156,150,141,174,155,107,136,164,156,150,141,174,155,107,136,164,156,150,180,169,201,203,197,207,118,184,178,132,133,212,199,143,183,161,118,184,178,132,133,212,199,143,183,161,116,216,146,160,210,192,205,108,215,218,116,216,146,160,210,192,205,108,215,218,118,184,178,132,133,212,199,143,183,161,166,211,219,128,102,177,186,171,194,134,123,140,195,204,168,113,158,167,189,125,110,123,140,195,204,168,113,158,167,189,125,110</v>
      </c>
      <c r="D80" s="23" t="str">
        <f>IFERROR(__xludf.DUMMYFUNCTION("IFNA(JOIN("","", FILTER(AsistenciaJetAdmin!$D$2:$D1000, (AsistenciaJetAdmin!$A$2:$A1000=$A80)*(AsistenciaJetAdmin!$B$2:$B1000=$B80))),"""")"),",,,,,,,,,,,,,,,,,,,,,,,,,,,,,,,")</f>
        <v>,,,,,,,,,,,,,,,,,,,,,,,,,,,,,,,</v>
      </c>
      <c r="E80" s="40"/>
      <c r="F80" s="40"/>
      <c r="G80" s="40"/>
      <c r="H80" s="40"/>
      <c r="I80" s="40"/>
      <c r="J80" s="40"/>
      <c r="K80" s="40"/>
      <c r="L80" s="40"/>
      <c r="M80" s="40"/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  <c r="Y80" s="40"/>
      <c r="Z80" s="40"/>
    </row>
    <row r="81">
      <c r="A81" s="71">
        <v>45983.0</v>
      </c>
      <c r="B81" s="72" t="s">
        <v>812</v>
      </c>
      <c r="C81" s="23" t="str">
        <f>IFERROR(__xludf.DUMMYFUNCTION("IFNA(JOIN("","", FILTER(AsistenciaJetAdmin!$C$2:$C1000, (AsistenciaJetAdmin!$A$2:$A1000=$A81)*(AsistenciaJetAdmin!$B$2:$B1000=$B81))),"""")"),"169,140,166,116,123,179,175,180,173,170,134,137,100,127,218,150,183,207,197,215,143,108,199,125,202,194,156,117,208,157,133,115,171,153,177,160,167,158,124,113,132,102,103,181,128,198,178,168,107,219,217,211,135,184,155")</f>
        <v>169,140,166,116,123,179,175,180,173,170,134,137,100,127,218,150,183,207,197,215,143,108,199,125,202,194,156,117,208,157,133,115,171,153,177,160,167,158,124,113,132,102,103,181,128,198,178,168,107,219,217,211,135,184,155</v>
      </c>
      <c r="D81" s="23" t="str">
        <f>IFERROR(__xludf.DUMMYFUNCTION("IFNA(JOIN("","", FILTER(AsistenciaJetAdmin!$D$2:$D1000, (AsistenciaJetAdmin!$A$2:$A1000=$A81)*(AsistenciaJetAdmin!$B$2:$B1000=$B81))),"""")"),"122,196,145")</f>
        <v>122,196,145</v>
      </c>
      <c r="E81" s="40"/>
      <c r="F81" s="40"/>
      <c r="G81" s="40"/>
      <c r="H81" s="40"/>
      <c r="I81" s="40"/>
      <c r="J81" s="40"/>
      <c r="K81" s="40"/>
      <c r="L81" s="40"/>
      <c r="M81" s="40"/>
      <c r="N81" s="40"/>
      <c r="O81" s="40"/>
      <c r="P81" s="40"/>
      <c r="Q81" s="40"/>
      <c r="R81" s="40"/>
      <c r="S81" s="40"/>
      <c r="T81" s="40"/>
      <c r="U81" s="40"/>
      <c r="V81" s="40"/>
      <c r="W81" s="40"/>
      <c r="X81" s="40"/>
      <c r="Y81" s="40"/>
      <c r="Z81" s="40"/>
    </row>
    <row r="82">
      <c r="A82" s="71">
        <v>45987.0</v>
      </c>
      <c r="B82" s="72" t="s">
        <v>811</v>
      </c>
      <c r="C82" s="23" t="str">
        <f>IFERROR(__xludf.DUMMYFUNCTION("IFNA(JOIN("","", FILTER(AsistenciaJetAdmin!$C$2:$C1000, (AsistenciaJetAdmin!$A$2:$A1000=$A82)*(AsistenciaJetAdmin!$B$2:$B1000=$B82))),"""")"),"118,184,178,132,124,133,199,193,118,184,178,132,124,133,199,193,160,192,205,218,160,192,205,218,160,192,205,218,114,104,198,103,152,208,127,,169,144,201,122,203,182,159,174,109,107,136,164,156,169,144,201,122,203,182,159,179,181,157,117,100,179,181,157,11"&amp;"7,100,,,175,166,129,128,102,177,137,134,123,140,195,168,167,189,125,110")</f>
        <v>118,184,178,132,124,133,199,193,118,184,178,132,124,133,199,193,160,192,205,218,160,192,205,218,160,192,205,218,114,104,198,103,152,208,127,,169,144,201,122,203,182,159,174,109,107,136,164,156,169,144,201,122,203,182,159,179,181,157,117,100,179,181,157,117,100,,,175,166,129,128,102,177,137,134,123,140,195,168,167,189,125,110</v>
      </c>
      <c r="D82" s="23" t="str">
        <f>IFERROR(__xludf.DUMMYFUNCTION("IFNA(JOIN("","", FILTER(AsistenciaJetAdmin!$D$2:$D1000, (AsistenciaJetAdmin!$A$2:$A1000=$A82)*(AsistenciaJetAdmin!$B$2:$B1000=$B82))),"""")"),",,146,108,215,146,108,215,146,108,215,,135,182,,180,182,196,142,196,142,145,163,,")</f>
        <v>,,146,108,215,146,108,215,146,108,215,,135,182,,180,182,196,142,196,142,145,163,,</v>
      </c>
      <c r="E82" s="40"/>
      <c r="F82" s="40"/>
      <c r="G82" s="40"/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0"/>
      <c r="Z82" s="40"/>
    </row>
    <row r="83">
      <c r="A83" s="71">
        <v>45990.0</v>
      </c>
      <c r="B83" s="72" t="s">
        <v>810</v>
      </c>
      <c r="C83" s="23" t="str">
        <f>IFERROR(__xludf.DUMMYFUNCTION("IFNA(JOIN("","", FILTER(AsistenciaJetAdmin!$C$2:$C1000, (AsistenciaJetAdmin!$A$2:$A1000=$A83)*(AsistenciaJetAdmin!$B$2:$B1000=$B83))),"""")"),"140,189,110,152,136,175,171,137,136,163,159,117,121,205,163,159,205,121,144,197,219,129,194,174,155,156,198,208,170,123,151,168,125,184,178,199,179,115,157,116,160,108,179,115,157")</f>
        <v>140,189,110,152,136,175,171,137,136,163,159,117,121,205,163,159,205,121,144,197,219,129,194,174,155,156,198,208,170,123,151,168,125,184,178,199,179,115,157,116,160,108,179,115,157</v>
      </c>
      <c r="D83" s="23" t="str">
        <f>IFERROR(__xludf.DUMMYFUNCTION("IFNA(JOIN("","", FILTER(AsistenciaJetAdmin!$D$2:$D1000, (AsistenciaJetAdmin!$A$2:$A1000=$A83)*(AsistenciaJetAdmin!$B$2:$B1000=$B83))),"""")"),",,,,,,,,207,211,128,102,,145,158,132,133,143,,,")</f>
        <v>,,,,,,,,207,211,128,102,,145,158,132,133,143,,,</v>
      </c>
      <c r="E83" s="40"/>
      <c r="F83" s="40"/>
      <c r="G83" s="40"/>
      <c r="H83" s="40"/>
      <c r="I83" s="40"/>
      <c r="J83" s="40"/>
      <c r="K83" s="40"/>
      <c r="L83" s="40"/>
      <c r="M83" s="40"/>
      <c r="N83" s="40"/>
      <c r="O83" s="40"/>
      <c r="P83" s="40"/>
      <c r="Q83" s="40"/>
      <c r="R83" s="40"/>
      <c r="S83" s="40"/>
      <c r="T83" s="40"/>
      <c r="U83" s="40"/>
      <c r="V83" s="40"/>
      <c r="W83" s="40"/>
      <c r="X83" s="40"/>
      <c r="Y83" s="40"/>
      <c r="Z83" s="40"/>
    </row>
    <row r="84">
      <c r="A84" s="71">
        <v>45990.0</v>
      </c>
      <c r="B84" s="72" t="s">
        <v>812</v>
      </c>
      <c r="C84" s="23" t="str">
        <f>IFERROR(__xludf.DUMMYFUNCTION("IFNA(JOIN("","", FILTER(AsistenciaJetAdmin!$C$2:$C1000, (AsistenciaJetAdmin!$A$2:$A1000=$A84)*(AsistenciaJetAdmin!$B$2:$B1000=$B84))),"""")"),"180,201,115,157,142,100,,,121,160,210,205,108,121,160,210,205,108,121,160,210,205,108,180,201,211,219,129,128,194,138,145,135,198,208,184,178,132,133,212,199,184,178,132,133,212,199,123,140,195,168,113,158,189,125,110,123,140,195,168,113,158,189,125,110")</f>
        <v>180,201,115,157,142,100,,,121,160,210,205,108,121,160,210,205,108,121,160,210,205,108,180,201,211,219,129,128,194,138,145,135,198,208,184,178,132,133,212,199,184,178,132,133,212,199,123,140,195,168,113,158,189,125,110,123,140,195,168,113,158,189,125,110</v>
      </c>
      <c r="D84" s="23" t="str">
        <f>IFERROR(__xludf.DUMMYFUNCTION("IFNA(JOIN("","", FILTER(AsistenciaJetAdmin!$D$2:$D1000, (AsistenciaJetAdmin!$A$2:$A1000=$A84)*(AsistenciaJetAdmin!$B$2:$B1000=$B84))),"""")"),",,117,175,166,171,137,,,,163,144,159,175,166,171,137,,,,,")</f>
        <v>,,117,175,166,171,137,,,,163,144,159,175,166,171,137,,,,,</v>
      </c>
      <c r="E84" s="40"/>
      <c r="F84" s="40"/>
      <c r="G84" s="40"/>
      <c r="H84" s="40"/>
      <c r="I84" s="40"/>
      <c r="J84" s="40"/>
      <c r="K84" s="40"/>
      <c r="L84" s="40"/>
      <c r="M84" s="40"/>
      <c r="N84" s="40"/>
      <c r="O84" s="40"/>
      <c r="P84" s="40"/>
      <c r="Q84" s="40"/>
      <c r="R84" s="40"/>
      <c r="S84" s="40"/>
      <c r="T84" s="40"/>
      <c r="U84" s="40"/>
      <c r="V84" s="40"/>
      <c r="W84" s="40"/>
      <c r="X84" s="40"/>
      <c r="Y84" s="40"/>
      <c r="Z84" s="40"/>
    </row>
    <row r="85">
      <c r="A85" s="71">
        <v>45997.0</v>
      </c>
      <c r="B85" s="72" t="s">
        <v>810</v>
      </c>
      <c r="C85" s="23" t="str">
        <f>IFERROR(__xludf.DUMMYFUNCTION("IFNA(JOIN("","", FILTER(AsistenciaJetAdmin!$C$2:$C1000, (AsistenciaJetAdmin!$A$2:$A1000=$A85)*(AsistenciaJetAdmin!$B$2:$B1000=$B85))),"""")"),"145,135,221,198,103,153,152,208,127,170,123,188,140,195,151,168,113,158,167,170,127,208,152,153,103,198,221,135,145,123,188,140,195,151,168,113,158,167,180,144,122,159,197,207,116,216,146,160,205,108,215,218,116,216,146,160,205,108,215,218,116,216,146,160"&amp;",205,108,215,218,175,166,211,219,129,128,102,177,171,194,174,101,155,136,156,184,178,132,124,133,199,143,193,183,173,179,196,115,157,117,142,100,184,178,132,133,199,143,193,183")</f>
        <v>145,135,221,198,103,153,152,208,127,170,123,188,140,195,151,168,113,158,167,170,127,208,152,153,103,198,221,135,145,123,188,140,195,151,168,113,158,167,180,144,122,159,197,207,116,216,146,160,205,108,215,218,116,216,146,160,205,108,215,218,116,216,146,160,205,108,215,218,175,166,211,219,129,128,102,177,171,194,174,101,155,136,156,184,178,132,124,133,199,143,193,183,173,179,196,115,157,117,142,100,184,178,132,133,199,143,193,183</v>
      </c>
      <c r="D85" s="23" t="str">
        <f>IFERROR(__xludf.DUMMYFUNCTION("IFNA(JOIN("","", FILTER(AsistenciaJetAdmin!$D$2:$D1000, (AsistenciaJetAdmin!$A$2:$A1000=$A85)*(AsistenciaJetAdmin!$B$2:$B1000=$B85))),"""")"),",,189,110,,,,,,,,,124")</f>
        <v>,,189,110,,,,,,,,,124</v>
      </c>
      <c r="E85" s="40"/>
      <c r="F85" s="40"/>
      <c r="G85" s="40"/>
      <c r="H85" s="40"/>
      <c r="I85" s="40"/>
      <c r="J85" s="40"/>
      <c r="K85" s="40"/>
      <c r="L85" s="40"/>
      <c r="M85" s="40"/>
      <c r="N85" s="40"/>
      <c r="O85" s="40"/>
      <c r="P85" s="40"/>
      <c r="Q85" s="40"/>
      <c r="R85" s="40"/>
      <c r="S85" s="40"/>
      <c r="T85" s="40"/>
      <c r="U85" s="40"/>
      <c r="V85" s="40"/>
      <c r="W85" s="40"/>
      <c r="X85" s="40"/>
      <c r="Y85" s="40"/>
      <c r="Z85" s="40"/>
    </row>
    <row r="86">
      <c r="A86" s="71">
        <v>45997.0</v>
      </c>
      <c r="B86" s="72" t="s">
        <v>812</v>
      </c>
      <c r="C86" s="23" t="str">
        <f>IFERROR(__xludf.DUMMYFUNCTION("IFNA(JOIN("","", FILTER(AsistenciaJetAdmin!$C$2:$C1000, (AsistenciaJetAdmin!$A$2:$A1000=$A86)*(AsistenciaJetAdmin!$B$2:$B1000=$B86))),"""")"),"211,219,129,128,102,177,186,171,194,137,134,211,219,129,128,102,177,186,171,194,137,134,123,140,195,204,151,168,113,158,167,189,110,123,140,195,204,151,168,113,158,167,189,110,180,169,144,201,182,159,197,207,141,174,101,155,136,156,150,173,179,120,111,196"&amp;",115,157,117,142,100,145,135,221,198,103,153,152,208,127,170,116,216,146,160,210,190,192,149,205,108,215,218,116,216,146,160,210,190,192,149,205,108,215,218,118,184,178,132,124,133,202,212,199,143,193,183,165")</f>
        <v>211,219,129,128,102,177,186,171,194,137,134,211,219,129,128,102,177,186,171,194,137,134,123,140,195,204,151,168,113,158,167,189,110,123,140,195,204,151,168,113,158,167,189,110,180,169,144,201,182,159,197,207,141,174,101,155,136,156,150,173,179,120,111,196,115,157,117,142,100,145,135,221,198,103,153,152,208,127,170,116,216,146,160,210,190,192,149,205,108,215,218,116,216,146,160,210,190,192,149,205,108,215,218,118,184,178,132,124,133,202,212,199,143,193,183,165</v>
      </c>
      <c r="D86" s="23" t="str">
        <f>IFERROR(__xludf.DUMMYFUNCTION("IFNA(JOIN("","", FILTER(AsistenciaJetAdmin!$D$2:$D1000, (AsistenciaJetAdmin!$A$2:$A1000=$A86)*(AsistenciaJetAdmin!$B$2:$B1000=$B86))),"""")"),",,,,122,,,,,,")</f>
        <v>,,,,122,,,,,,</v>
      </c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40"/>
      <c r="X86" s="40"/>
      <c r="Y86" s="40"/>
      <c r="Z86" s="40"/>
    </row>
    <row r="87">
      <c r="A87" s="71">
        <v>46001.0</v>
      </c>
      <c r="B87" s="72" t="s">
        <v>811</v>
      </c>
      <c r="C87" s="23" t="str">
        <f>IFERROR(__xludf.DUMMYFUNCTION("IFNA(JOIN("","", FILTER(AsistenciaJetAdmin!$C$2:$C1000, (AsistenciaJetAdmin!$A$2:$A1000=$A87)*(AsistenciaJetAdmin!$B$2:$B1000=$B87))),"""")"),"179,196,115,157,117,142,100,138,141,179,145,166,174,140,169,219,128,158,153,171,196,115,208,117,182,202,205,108,143,197,110,183,100,134,163,138,141,180,179,123,116,145,166,174,188,140,169,195,204,219,151,198,128,158,144,160,136,153,122,210,171,196,189,115"&amp;",157,208,117,156,182,159,202,205,142,199,108,143,197,110,183,100,134")</f>
        <v>179,196,115,157,117,142,100,138,141,179,145,166,174,140,169,219,128,158,153,171,196,115,208,117,182,202,205,108,143,197,110,183,100,134,163,138,141,180,179,123,116,145,166,174,188,140,169,195,204,219,151,198,128,158,144,160,136,153,122,210,171,196,189,115,157,208,117,156,182,159,202,205,142,199,108,143,197,110,183,100,134</v>
      </c>
      <c r="D87" s="23" t="str">
        <f>IFERROR(__xludf.DUMMYFUNCTION("IFNA(JOIN("","", FILTER(AsistenciaJetAdmin!$D$2:$D1000, (AsistenciaJetAdmin!$A$2:$A1000=$A87)*(AsistenciaJetAdmin!$B$2:$B1000=$B87))),"""")"),",,")</f>
        <v>,,</v>
      </c>
      <c r="E87" s="40"/>
      <c r="F87" s="40"/>
      <c r="G87" s="40"/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  <c r="U87" s="40"/>
      <c r="V87" s="40"/>
      <c r="W87" s="40"/>
      <c r="X87" s="40"/>
      <c r="Y87" s="40"/>
      <c r="Z87" s="40"/>
    </row>
    <row r="88">
      <c r="A88" s="71">
        <v>46095.0</v>
      </c>
      <c r="B88" s="72" t="s">
        <v>810</v>
      </c>
      <c r="C88" s="23" t="str">
        <f>IFERROR(__xludf.DUMMYFUNCTION("IFNA(JOIN("","", FILTER(AsistenciaJetAdmin!$C$2:$C1000, (AsistenciaJetAdmin!$A$2:$A1000=$A88)*(AsistenciaJetAdmin!$B$2:$B1000=$B88))),"""")"),"180,123,116,169,195,168,122,210,203,108,207,166,184,211,109,181,177,196,156,212,143,161,134,180,123,116,169,195,168,122,210,203,108,207,110,174,101,155,120,178,129,102,136,133,100,137,118,141,175,219,171,157,142,135,151,121,113,158,167,189,190,192,208,179"&amp;",217,107,111,128,132,124,115,117,193,165,150,204,103,144,160,152,182,159,218,127,204,103,144,160,152,182,159,218,127,163,138,216,188,140,221,146,198,201,125,215,170,163,138,216,188,140,221,146,198,201,125,215,170,163,138,216,188,140,221,146,198,201,125,21"&amp;"5,170,205,197,183,135,151,121,113,158,167,189,190,192,208,205,197,199,183,169")</f>
        <v>180,123,116,169,195,168,122,210,203,108,207,166,184,211,109,181,177,196,156,212,143,161,134,180,123,116,169,195,168,122,210,203,108,207,110,174,101,155,120,178,129,102,136,133,100,137,118,141,175,219,171,157,142,135,151,121,113,158,167,189,190,192,208,179,217,107,111,128,132,124,115,117,193,165,150,204,103,144,160,152,182,159,218,127,204,103,144,160,152,182,159,218,127,163,138,216,188,140,221,146,198,201,125,215,170,163,138,216,188,140,221,146,198,201,125,215,170,163,138,216,188,140,221,146,198,201,125,215,170,205,197,183,135,151,121,113,158,167,189,190,192,208,205,197,199,183,169</v>
      </c>
      <c r="D88" s="23" t="str">
        <f>IFERROR(__xludf.DUMMYFUNCTION("IFNA(JOIN("","", FILTER(AsistenciaJetAdmin!$D$2:$D1000, (AsistenciaJetAdmin!$A$2:$A1000=$A88)*(AsistenciaJetAdmin!$B$2:$B1000=$B88))),"""")"),",,,,,,,,,,,,,,,,")</f>
        <v>,,,,,,,,,,,,,,,,</v>
      </c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</row>
    <row r="89">
      <c r="A89" s="71">
        <v>46099.0</v>
      </c>
      <c r="B89" s="72" t="s">
        <v>811</v>
      </c>
      <c r="C89" s="23" t="str">
        <f>IFERROR(__xludf.DUMMYFUNCTION("IFNA(JOIN("","", FILTER(AsistenciaJetAdmin!$C$2:$C1000, (AsistenciaJetAdmin!$A$2:$A1000=$A89)*(AsistenciaJetAdmin!$B$2:$B1000=$B89))),"""")"),"184,211,109,181,177,196,156,212,143,134,184,211,109,181,177,196,156,212,143,134,184,211,109,181,177,196,156,212,143,134,180,123,116,169,195,122,210,108,207,110,180,123,116,169,195,168,122,210,108,207,110,179,217,107,128,124,164,117,193,165,179,217,107,128"&amp;",124,164,117,193,165,114,145,104,103,144,160,152,218,175,219,171,157,142,199,183,175,219,171,157,142,199,183,179,217,107,128,124,164,117,193,165,138,188,140,221,146,198,201,125,215,170,138,188,140,221,146,198,201,125,215,170,135,151,121,113,158,167,153,18"&amp;"9,190,192,208,205,197,174,101,155,120,178,129,102,136,133,100,137,175,219,171,157,202,142,199,183,175,219,171,157,202,142,199,183,,169")</f>
        <v>184,211,109,181,177,196,156,212,143,134,184,211,109,181,177,196,156,212,143,134,184,211,109,181,177,196,156,212,143,134,180,123,116,169,195,122,210,108,207,110,180,123,116,169,195,168,122,210,108,207,110,179,217,107,128,124,164,117,193,165,179,217,107,128,124,164,117,193,165,114,145,104,103,144,160,152,218,175,219,171,157,142,199,183,175,219,171,157,142,199,183,179,217,107,128,124,164,117,193,165,138,188,140,221,146,198,201,125,215,170,138,188,140,221,146,198,201,125,215,170,135,151,121,113,158,167,153,189,190,192,208,205,197,174,101,155,120,178,129,102,136,133,100,137,175,219,171,157,202,142,199,183,175,219,171,157,202,142,199,183,,169</v>
      </c>
      <c r="D89" s="23" t="str">
        <f>IFERROR(__xludf.DUMMYFUNCTION("IFNA(JOIN("","", FILTER(AsistenciaJetAdmin!$D$2:$D1000, (AsistenciaJetAdmin!$A$2:$A1000=$A89)*(AsistenciaJetAdmin!$B$2:$B1000=$B89))),"""")"),",,,,,,,159,141,141,194,,163,163,,173,141,194,141,194,111,150,")</f>
        <v>,,,,,,,159,141,141,194,,163,163,,173,141,194,141,194,111,150,</v>
      </c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</row>
    <row r="90">
      <c r="A90" s="71">
        <v>46102.0</v>
      </c>
      <c r="B90" s="72" t="s">
        <v>810</v>
      </c>
      <c r="C90" s="23" t="str">
        <f>IFERROR(__xludf.DUMMYFUNCTION("IFNA(JOIN("","", FILTER(AsistenciaJetAdmin!$C$2:$C1000, (AsistenciaJetAdmin!$A$2:$A1000=$A90)*(AsistenciaJetAdmin!$B$2:$B1000=$B90))),"""")"),"179,217,107,128,117,193,179,217,107,128,117,193,145,204,103,144,152,127,211,181,156,143,216,146,198,215,170,216,146,198,215,170,123,116,169,168,210,108,207,110,216,146,198,215,170,211,181,156,143,,211,181,156,143,151,158,167,189,208,205,197,151,158,167,18"&amp;"9,208,205,197,173,174,101,155,178,129,102,136,118,219,186,157,194,199,169")</f>
        <v>179,217,107,128,117,193,179,217,107,128,117,193,145,204,103,144,152,127,211,181,156,143,216,146,198,215,170,216,146,198,215,170,123,116,169,168,210,108,207,110,216,146,198,215,170,211,181,156,143,,211,181,156,143,151,158,167,189,208,205,197,151,158,167,189,208,205,197,173,174,101,155,178,129,102,136,118,219,186,157,194,199,169</v>
      </c>
      <c r="D90" s="23" t="str">
        <f>IFERROR(__xludf.DUMMYFUNCTION("IFNA(JOIN("","", FILTER(AsistenciaJetAdmin!$D$2:$D1000, (AsistenciaJetAdmin!$A$2:$A1000=$A90)*(AsistenciaJetAdmin!$B$2:$B1000=$B90))),"""")"),",,,,,,,,,115,161,,,,,")</f>
        <v>,,,,,,,,,115,161,,,,,</v>
      </c>
      <c r="E90" s="40"/>
      <c r="F90" s="40"/>
      <c r="G90" s="40"/>
      <c r="H90" s="40"/>
      <c r="I90" s="40"/>
      <c r="J90" s="40"/>
      <c r="K90" s="40"/>
      <c r="L90" s="40"/>
      <c r="M90" s="40"/>
      <c r="N90" s="40"/>
      <c r="O90" s="40"/>
      <c r="P90" s="40"/>
      <c r="Q90" s="40"/>
      <c r="R90" s="40"/>
      <c r="S90" s="40"/>
      <c r="T90" s="40"/>
      <c r="U90" s="40"/>
      <c r="V90" s="40"/>
      <c r="W90" s="40"/>
      <c r="X90" s="40"/>
      <c r="Y90" s="40"/>
      <c r="Z90" s="40"/>
    </row>
    <row r="91">
      <c r="A91" s="71">
        <v>46106.0</v>
      </c>
      <c r="B91" s="72" t="s">
        <v>811</v>
      </c>
      <c r="C91" s="23" t="str">
        <f>IFERROR(__xludf.DUMMYFUNCTION("IFNA(JOIN("","", FILTER(AsistenciaJetAdmin!$C$2:$C1000, (AsistenciaJetAdmin!$A$2:$A1000=$A91)*(AsistenciaJetAdmin!$B$2:$B1000=$B91))),"""")"),"123,116,195,122,203,108,207,110,123,116,195,122,203,108,207,110,166,184,211,109,181,177,156,212,143,134,166,184,211,109,181,177,156,212,143,134,123,116,195,122,203,149,108,207,110,166,184,211,109,181,177,156,212,143,134,173,174,101,155,120,178,129,102,136"&amp;",133,202,100,151,113,158,167,153,189,190,192,208,205,197,179,217,111,128,132,124,117,165,150,179,217,111,128,132,124,117,165,150,114,145,104,204,103,144,160,152,182,127,114,145,104,204,103,144,160,152,182,127,138,216,140,221,146,198,125,215,170,138,216,14"&amp;"0,221,146,198,125,215,170,179,217,111,128,132,124,117,165,150,118,141,175,219,186,171,157,194,142,199,183,137,,")</f>
        <v>123,116,195,122,203,108,207,110,123,116,195,122,203,108,207,110,166,184,211,109,181,177,156,212,143,134,166,184,211,109,181,177,156,212,143,134,123,116,195,122,203,149,108,207,110,166,184,211,109,181,177,156,212,143,134,173,174,101,155,120,178,129,102,136,133,202,100,151,113,158,167,153,189,190,192,208,205,197,179,217,111,128,132,124,117,165,150,179,217,111,128,132,124,117,165,150,114,145,104,204,103,144,160,152,182,127,114,145,104,204,103,144,160,152,182,127,138,216,140,221,146,198,125,215,170,138,216,140,221,146,198,125,215,170,179,217,111,128,132,124,117,165,150,118,141,175,219,186,171,157,194,142,199,183,137,,</v>
      </c>
      <c r="D91" s="23" t="str">
        <f>IFERROR(__xludf.DUMMYFUNCTION("IFNA(JOIN("","", FILTER(AsistenciaJetAdmin!$D$2:$D1000, (AsistenciaJetAdmin!$A$2:$A1000=$A91)*(AsistenciaJetAdmin!$B$2:$B1000=$B91))),"""")"),",,,,,161,,,,,,,,,,,163,188,163,188")</f>
        <v>,,,,,161,,,,,,,,,,,163,188,163,188</v>
      </c>
      <c r="E91" s="40"/>
      <c r="F91" s="40"/>
      <c r="G91" s="40"/>
      <c r="H91" s="40"/>
      <c r="I91" s="40"/>
      <c r="J91" s="40"/>
      <c r="K91" s="40"/>
      <c r="L91" s="40"/>
      <c r="M91" s="40"/>
      <c r="N91" s="40"/>
      <c r="O91" s="40"/>
      <c r="P91" s="40"/>
      <c r="Q91" s="40"/>
      <c r="R91" s="40"/>
      <c r="S91" s="40"/>
      <c r="T91" s="40"/>
      <c r="U91" s="40"/>
      <c r="V91" s="40"/>
      <c r="W91" s="40"/>
      <c r="X91" s="40"/>
      <c r="Y91" s="40"/>
      <c r="Z91" s="40"/>
    </row>
    <row r="92">
      <c r="A92" s="71">
        <v>46109.0</v>
      </c>
      <c r="B92" s="72" t="s">
        <v>810</v>
      </c>
      <c r="C92" s="23" t="str">
        <f>IFERROR(__xludf.DUMMYFUNCTION("IFNA(JOIN("","", FILTER(AsistenciaJetAdmin!$C$2:$C1000, (AsistenciaJetAdmin!$A$2:$A1000=$A92)*(AsistenciaJetAdmin!$B$2:$B1000=$B92))),"""")"),"180,123,116,195,122,210,108,207,135,151,113,167,153,189,192,208,197,135,151,113,167,153,189,192,208,197,174,101,120,178,129,102,136,133,202,100,138,188,140,146,198,201,125,215,138,188,140,146,198,201,125,215,138,188,140,146,198,201,125,215,114,145,104,103"&amp;",144,160,182,159,218,114,145,104,103,144,160,182,159,218,166,184,211,109,177,156,212,143,166,184,211,109,177,156,212,143,179,217,128,132,115,117,193,118,141,175,219,199,183,137")</f>
        <v>180,123,116,195,122,210,108,207,135,151,113,167,153,189,192,208,197,135,151,113,167,153,189,192,208,197,174,101,120,178,129,102,136,133,202,100,138,188,140,146,198,201,125,215,138,188,140,146,198,201,125,215,138,188,140,146,198,201,125,215,114,145,104,103,144,160,182,159,218,114,145,104,103,144,160,182,159,218,166,184,211,109,177,156,212,143,166,184,211,109,177,156,212,143,179,217,128,132,115,117,193,118,141,175,219,199,183,137</v>
      </c>
      <c r="D92" s="23" t="str">
        <f>IFERROR(__xludf.DUMMYFUNCTION("IFNA(JOIN("","", FILTER(AsistenciaJetAdmin!$D$2:$D1000, (AsistenciaJetAdmin!$A$2:$A1000=$A92)*(AsistenciaJetAdmin!$B$2:$B1000=$B92))),"""")"),",158,158,173,216,221,216,221,216,221,,,161,161,,")</f>
        <v>,158,158,173,216,221,216,221,216,221,,,161,161,,</v>
      </c>
      <c r="E92" s="40"/>
      <c r="F92" s="40"/>
      <c r="G92" s="40"/>
      <c r="H92" s="40"/>
      <c r="I92" s="40"/>
      <c r="J92" s="40"/>
      <c r="K92" s="40"/>
      <c r="L92" s="40"/>
      <c r="M92" s="40"/>
      <c r="N92" s="40"/>
      <c r="O92" s="40"/>
      <c r="P92" s="40"/>
      <c r="Q92" s="40"/>
      <c r="R92" s="40"/>
      <c r="S92" s="40"/>
      <c r="T92" s="40"/>
      <c r="U92" s="40"/>
      <c r="V92" s="40"/>
      <c r="W92" s="40"/>
      <c r="X92" s="40"/>
      <c r="Y92" s="40"/>
      <c r="Z92" s="40"/>
    </row>
    <row r="93">
      <c r="A93" s="71">
        <v>46116.0</v>
      </c>
      <c r="B93" s="72" t="s">
        <v>810</v>
      </c>
      <c r="C93" s="23" t="str">
        <f>IFERROR(__xludf.DUMMYFUNCTION("IFNA(JOIN("","", FILTER(AsistenciaJetAdmin!$C$2:$C1000, (AsistenciaJetAdmin!$A$2:$A1000=$A93)*(AsistenciaJetAdmin!$B$2:$B1000=$B93))),"""")"),"180,123,116,195,210,108,207,135,113,158,167,192,208,205,197,179,107,128,132,117,193,165,166,184,211,109,177,156,212,143,175,219,157,142,199,183,114,145,104,103,144,160,152,159,218,221,146,198,201,125,215,170,221,146,198,201,125,215,170,166,184,211,109,177"&amp;",156,212,143,174,120,178,129,136,133,100,221,146,198,201,125,215,170,174,101,120,178,129,102,136,133,,175,219,186,157,194,142,199,183,138,216,188,140,221,146,198,201,125,215")</f>
        <v>180,123,116,195,210,108,207,135,113,158,167,192,208,205,197,179,107,128,132,117,193,165,166,184,211,109,177,156,212,143,175,219,157,142,199,183,114,145,104,103,144,160,152,159,218,221,146,198,201,125,215,170,221,146,198,201,125,215,170,166,184,211,109,177,156,212,143,174,120,178,129,136,133,100,221,146,198,201,125,215,170,174,101,120,178,129,102,136,133,,175,219,186,157,194,142,199,183,138,216,188,140,221,146,198,201,125,215</v>
      </c>
      <c r="D93" s="23" t="str">
        <f>IFERROR(__xludf.DUMMYFUNCTION("IFNA(JOIN("","", FILTER(AsistenciaJetAdmin!$D$2:$D1000, (AsistenciaJetAdmin!$A$2:$A1000=$A93)*(AsistenciaJetAdmin!$B$2:$B1000=$B93))),"""")"),",,,,118,,,,134,101,102,,,168,118,")</f>
        <v>,,,,118,,,,134,101,102,,,168,118,</v>
      </c>
      <c r="E93" s="40"/>
      <c r="F93" s="40"/>
      <c r="G93" s="40"/>
      <c r="H93" s="40"/>
      <c r="I93" s="40"/>
      <c r="J93" s="40"/>
      <c r="K93" s="40"/>
      <c r="L93" s="40"/>
      <c r="M93" s="40"/>
      <c r="N93" s="40"/>
      <c r="O93" s="40"/>
      <c r="P93" s="40"/>
      <c r="Q93" s="40"/>
      <c r="R93" s="40"/>
      <c r="S93" s="40"/>
      <c r="T93" s="40"/>
      <c r="U93" s="40"/>
      <c r="V93" s="40"/>
      <c r="W93" s="40"/>
      <c r="X93" s="40"/>
      <c r="Y93" s="40"/>
      <c r="Z93" s="40"/>
    </row>
    <row r="94">
      <c r="A94" s="71">
        <v>46116.0</v>
      </c>
      <c r="B94" s="72" t="s">
        <v>812</v>
      </c>
      <c r="C94" s="23" t="str">
        <f>IFERROR(__xludf.DUMMYFUNCTION("IFNA(JOIN("","", FILTER(AsistenciaJetAdmin!$C$2:$C1000, (AsistenciaJetAdmin!$A$2:$A1000=$A94)*(AsistenciaJetAdmin!$B$2:$B1000=$B94))),"""")"),"180,123,116,195,122,210,207,110,166,184,109,181,177,196,156,212,143,134,173,174,101,178,102,136,133,100,179,217,111,124,115,193,150,120,179,217,111,128,132,124,115,193,150,166,184,109,181,177,196,156,212,143,134,179,217,111,128,132,124,115,193,150,166,184"&amp;",211,109,181,177,196,156,212,143,134,179,217,111,128,132,124,115,117,193,165,150,138,216,188,140,221,146,198,201,125,215,118,141,175,219,157,142,199,183,137,118,141,175,219,186,157,194,142,199,183,137,,135,113,158,167,189,208,205,197,114,145,104,204,103,1"&amp;"44,160,152,182,159,218,114,145,104,204,103,144,160,152,182,159,218,163,138,216,188,140,221,146,198,201,125,215,163,138,216,188,140,221,146,198,201,125,215,186,194")</f>
        <v>180,123,116,195,122,210,207,110,166,184,109,181,177,196,156,212,143,134,173,174,101,178,102,136,133,100,179,217,111,124,115,193,150,120,179,217,111,128,132,124,115,193,150,166,184,109,181,177,196,156,212,143,134,179,217,111,128,132,124,115,193,150,166,184,211,109,181,177,196,156,212,143,134,179,217,111,128,132,124,115,117,193,165,150,138,216,188,140,221,146,198,201,125,215,118,141,175,219,157,142,199,183,137,118,141,175,219,186,157,194,142,199,183,137,,135,113,158,167,189,208,205,197,114,145,104,204,103,144,160,152,182,159,218,114,145,104,204,103,144,160,152,182,159,218,163,138,216,188,140,221,146,198,201,125,215,163,138,216,188,140,221,146,198,201,125,215,186,194</v>
      </c>
      <c r="D94" s="23" t="str">
        <f>IFERROR(__xludf.DUMMYFUNCTION("IFNA(JOIN("","", FILTER(AsistenciaJetAdmin!$D$2:$D1000, (AsistenciaJetAdmin!$A$2:$A1000=$A94)*(AsistenciaJetAdmin!$B$2:$B1000=$B94))),"""")"),",,,,,,,,,,,,,163,,,,,,")</f>
        <v>,,,,,,,,,,,,,163,,,,,,</v>
      </c>
      <c r="E94" s="40"/>
      <c r="F94" s="40"/>
      <c r="G94" s="40"/>
      <c r="H94" s="40"/>
      <c r="I94" s="40"/>
      <c r="J94" s="40"/>
      <c r="K94" s="40"/>
      <c r="L94" s="40"/>
      <c r="M94" s="40"/>
      <c r="N94" s="40"/>
      <c r="O94" s="40"/>
      <c r="P94" s="40"/>
      <c r="Q94" s="40"/>
      <c r="R94" s="40"/>
      <c r="S94" s="40"/>
      <c r="T94" s="40"/>
      <c r="U94" s="40"/>
      <c r="V94" s="40"/>
      <c r="W94" s="40"/>
      <c r="X94" s="40"/>
      <c r="Y94" s="40"/>
      <c r="Z94" s="40"/>
    </row>
    <row r="95">
      <c r="A95" s="71">
        <v>46120.0</v>
      </c>
      <c r="B95" s="72" t="s">
        <v>811</v>
      </c>
      <c r="C95" s="23" t="str">
        <f>IFERROR(__xludf.DUMMYFUNCTION("IFNA(JOIN("","", FILTER(AsistenciaJetAdmin!$C$2:$C1000, (AsistenciaJetAdmin!$A$2:$A1000=$A95)*(AsistenciaJetAdmin!$B$2:$B1000=$B95))),"""")"),"")</f>
        <v/>
      </c>
      <c r="D95" s="23" t="str">
        <f>IFERROR(__xludf.DUMMYFUNCTION("IFNA(JOIN("","", FILTER(AsistenciaJetAdmin!$D$2:$D1000, (AsistenciaJetAdmin!$A$2:$A1000=$A95)*(AsistenciaJetAdmin!$B$2:$B1000=$B95))),"""")"),"")</f>
        <v/>
      </c>
      <c r="E95" s="40"/>
      <c r="F95" s="40"/>
      <c r="G95" s="40"/>
      <c r="H95" s="40"/>
      <c r="I95" s="40"/>
      <c r="J95" s="40"/>
      <c r="K95" s="40"/>
      <c r="L95" s="40"/>
      <c r="M95" s="40"/>
      <c r="N95" s="40"/>
      <c r="O95" s="40"/>
      <c r="P95" s="40"/>
      <c r="Q95" s="40"/>
      <c r="R95" s="40"/>
      <c r="S95" s="40"/>
      <c r="T95" s="40"/>
      <c r="U95" s="40"/>
      <c r="V95" s="40"/>
      <c r="W95" s="40"/>
      <c r="X95" s="40"/>
      <c r="Y95" s="40"/>
      <c r="Z95" s="40"/>
    </row>
    <row r="96">
      <c r="A96" s="71">
        <v>46123.0</v>
      </c>
      <c r="B96" s="72" t="s">
        <v>810</v>
      </c>
      <c r="C96" s="23" t="str">
        <f>IFERROR(__xludf.DUMMYFUNCTION("IFNA(JOIN("","", FILTER(AsistenciaJetAdmin!$C$2:$C1000, (AsistenciaJetAdmin!$A$2:$A1000=$A96)*(AsistenciaJetAdmin!$B$2:$B1000=$B96))),"""")"),"")</f>
        <v/>
      </c>
      <c r="D96" s="23" t="str">
        <f>IFERROR(__xludf.DUMMYFUNCTION("IFNA(JOIN("","", FILTER(AsistenciaJetAdmin!$D$2:$D1000, (AsistenciaJetAdmin!$A$2:$A1000=$A96)*(AsistenciaJetAdmin!$B$2:$B1000=$B96))),"""")"),"")</f>
        <v/>
      </c>
      <c r="E96" s="40"/>
      <c r="F96" s="40"/>
      <c r="G96" s="40"/>
      <c r="H96" s="40"/>
      <c r="I96" s="40"/>
      <c r="J96" s="40"/>
      <c r="K96" s="40"/>
      <c r="L96" s="40"/>
      <c r="M96" s="40"/>
      <c r="N96" s="40"/>
      <c r="O96" s="40"/>
      <c r="P96" s="40"/>
      <c r="Q96" s="40"/>
      <c r="R96" s="40"/>
      <c r="S96" s="40"/>
      <c r="T96" s="40"/>
      <c r="U96" s="40"/>
      <c r="V96" s="40"/>
      <c r="W96" s="40"/>
      <c r="X96" s="40"/>
      <c r="Y96" s="40"/>
      <c r="Z96" s="40"/>
    </row>
    <row r="97">
      <c r="A97" s="71">
        <v>46123.0</v>
      </c>
      <c r="B97" s="72" t="s">
        <v>812</v>
      </c>
      <c r="C97" s="23" t="str">
        <f>IFERROR(__xludf.DUMMYFUNCTION("IFNA(JOIN("","", FILTER(AsistenciaJetAdmin!$C$2:$C1000, (AsistenciaJetAdmin!$A$2:$A1000=$A97)*(AsistenciaJetAdmin!$B$2:$B1000=$B97))),"""")"),"")</f>
        <v/>
      </c>
      <c r="D97" s="23" t="str">
        <f>IFERROR(__xludf.DUMMYFUNCTION("IFNA(JOIN("","", FILTER(AsistenciaJetAdmin!$D$2:$D1000, (AsistenciaJetAdmin!$A$2:$A1000=$A97)*(AsistenciaJetAdmin!$B$2:$B1000=$B97))),"""")"),"")</f>
        <v/>
      </c>
      <c r="E97" s="40"/>
      <c r="F97" s="40"/>
      <c r="G97" s="40"/>
      <c r="H97" s="40"/>
      <c r="I97" s="40"/>
      <c r="J97" s="40"/>
      <c r="K97" s="40"/>
      <c r="L97" s="40"/>
      <c r="M97" s="40"/>
      <c r="N97" s="40"/>
      <c r="O97" s="40"/>
      <c r="P97" s="40"/>
      <c r="Q97" s="40"/>
      <c r="R97" s="40"/>
      <c r="S97" s="40"/>
      <c r="T97" s="40"/>
      <c r="U97" s="40"/>
      <c r="V97" s="40"/>
      <c r="W97" s="40"/>
      <c r="X97" s="40"/>
      <c r="Y97" s="40"/>
      <c r="Z97" s="40"/>
    </row>
    <row r="98">
      <c r="A98" s="71">
        <v>46127.0</v>
      </c>
      <c r="B98" s="72" t="s">
        <v>811</v>
      </c>
      <c r="C98" s="23" t="str">
        <f>IFERROR(__xludf.DUMMYFUNCTION("IFNA(JOIN("","", FILTER(AsistenciaJetAdmin!$C$2:$C1000, (AsistenciaJetAdmin!$A$2:$A1000=$A98)*(AsistenciaJetAdmin!$B$2:$B1000=$B98))),"""")"),"")</f>
        <v/>
      </c>
      <c r="D98" s="23" t="str">
        <f>IFERROR(__xludf.DUMMYFUNCTION("IFNA(JOIN("","", FILTER(AsistenciaJetAdmin!$D$2:$D1000, (AsistenciaJetAdmin!$A$2:$A1000=$A98)*(AsistenciaJetAdmin!$B$2:$B1000=$B98))),"""")"),"")</f>
        <v/>
      </c>
      <c r="E98" s="40"/>
      <c r="F98" s="40"/>
      <c r="G98" s="40"/>
      <c r="H98" s="40"/>
      <c r="I98" s="40"/>
      <c r="J98" s="40"/>
      <c r="K98" s="40"/>
      <c r="L98" s="40"/>
      <c r="M98" s="40"/>
      <c r="N98" s="40"/>
      <c r="O98" s="40"/>
      <c r="P98" s="40"/>
      <c r="Q98" s="40"/>
      <c r="R98" s="40"/>
      <c r="S98" s="40"/>
      <c r="T98" s="40"/>
      <c r="U98" s="40"/>
      <c r="V98" s="40"/>
      <c r="W98" s="40"/>
      <c r="X98" s="40"/>
      <c r="Y98" s="40"/>
      <c r="Z98" s="40"/>
    </row>
    <row r="99">
      <c r="A99" s="71">
        <v>46130.0</v>
      </c>
      <c r="B99" s="72" t="s">
        <v>810</v>
      </c>
      <c r="C99" s="23" t="str">
        <f>IFERROR(__xludf.DUMMYFUNCTION("IFNA(JOIN("","", FILTER(AsistenciaJetAdmin!$C$2:$C1000, (AsistenciaJetAdmin!$A$2:$A1000=$A99)*(AsistenciaJetAdmin!$B$2:$B1000=$B99))),"""")"),"")</f>
        <v/>
      </c>
      <c r="D99" s="23" t="str">
        <f>IFERROR(__xludf.DUMMYFUNCTION("IFNA(JOIN("","", FILTER(AsistenciaJetAdmin!$D$2:$D1000, (AsistenciaJetAdmin!$A$2:$A1000=$A99)*(AsistenciaJetAdmin!$B$2:$B1000=$B99))),"""")"),"")</f>
        <v/>
      </c>
      <c r="E99" s="40"/>
      <c r="F99" s="40"/>
      <c r="G99" s="40"/>
      <c r="H99" s="40"/>
      <c r="I99" s="40"/>
      <c r="J99" s="40"/>
      <c r="K99" s="40"/>
      <c r="L99" s="40"/>
      <c r="M99" s="40"/>
      <c r="N99" s="40"/>
      <c r="O99" s="40"/>
      <c r="P99" s="40"/>
      <c r="Q99" s="40"/>
      <c r="R99" s="40"/>
      <c r="S99" s="40"/>
      <c r="T99" s="40"/>
      <c r="U99" s="40"/>
      <c r="V99" s="40"/>
      <c r="W99" s="40"/>
      <c r="X99" s="40"/>
      <c r="Y99" s="40"/>
      <c r="Z99" s="40"/>
    </row>
    <row r="100">
      <c r="A100" s="71">
        <v>46130.0</v>
      </c>
      <c r="B100" s="72" t="s">
        <v>812</v>
      </c>
      <c r="C100" s="23" t="str">
        <f>IFERROR(__xludf.DUMMYFUNCTION("IFNA(JOIN("","", FILTER(AsistenciaJetAdmin!$C$2:$C1000, (AsistenciaJetAdmin!$A$2:$A1000=$A100)*(AsistenciaJetAdmin!$B$2:$B1000=$B100))),"""")"),"")</f>
        <v/>
      </c>
      <c r="D100" s="23" t="str">
        <f>IFERROR(__xludf.DUMMYFUNCTION("IFNA(JOIN("","", FILTER(AsistenciaJetAdmin!$D$2:$D1000, (AsistenciaJetAdmin!$A$2:$A1000=$A100)*(AsistenciaJetAdmin!$B$2:$B1000=$B100))),"""")"),"")</f>
        <v/>
      </c>
      <c r="E100" s="40"/>
      <c r="F100" s="40"/>
      <c r="G100" s="40"/>
      <c r="H100" s="40"/>
      <c r="I100" s="40"/>
      <c r="J100" s="40"/>
      <c r="K100" s="40"/>
      <c r="L100" s="40"/>
      <c r="M100" s="40"/>
      <c r="N100" s="40"/>
      <c r="O100" s="40"/>
      <c r="P100" s="40"/>
      <c r="Q100" s="40"/>
      <c r="R100" s="40"/>
      <c r="S100" s="40"/>
      <c r="T100" s="40"/>
      <c r="U100" s="40"/>
      <c r="V100" s="40"/>
      <c r="W100" s="40"/>
      <c r="X100" s="40"/>
      <c r="Y100" s="40"/>
      <c r="Z100" s="40"/>
    </row>
    <row r="101">
      <c r="A101" s="71">
        <v>46134.0</v>
      </c>
      <c r="B101" s="72" t="s">
        <v>811</v>
      </c>
      <c r="C101" s="23" t="str">
        <f>IFERROR(__xludf.DUMMYFUNCTION("IFNA(JOIN("","", FILTER(AsistenciaJetAdmin!$C$2:$C1000, (AsistenciaJetAdmin!$A$2:$A1000=$A101)*(AsistenciaJetAdmin!$B$2:$B1000=$B101))),"""")"),"")</f>
        <v/>
      </c>
      <c r="D101" s="23" t="str">
        <f>IFERROR(__xludf.DUMMYFUNCTION("IFNA(JOIN("","", FILTER(AsistenciaJetAdmin!$D$2:$D1000, (AsistenciaJetAdmin!$A$2:$A1000=$A101)*(AsistenciaJetAdmin!$B$2:$B1000=$B101))),"""")"),"")</f>
        <v/>
      </c>
      <c r="E101" s="40"/>
      <c r="F101" s="40"/>
      <c r="G101" s="40"/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  <c r="U101" s="40"/>
      <c r="V101" s="40"/>
      <c r="W101" s="40"/>
      <c r="X101" s="40"/>
      <c r="Y101" s="40"/>
      <c r="Z101" s="40"/>
    </row>
    <row r="102">
      <c r="A102" s="71">
        <v>46137.0</v>
      </c>
      <c r="B102" s="72" t="s">
        <v>810</v>
      </c>
      <c r="C102" s="23" t="str">
        <f>IFERROR(__xludf.DUMMYFUNCTION("IFNA(JOIN("","", FILTER(AsistenciaJetAdmin!$C$2:$C1000, (AsistenciaJetAdmin!$A$2:$A1000=$A102)*(AsistenciaJetAdmin!$B$2:$B1000=$B102))),"""")"),"")</f>
        <v/>
      </c>
      <c r="D102" s="23" t="str">
        <f>IFERROR(__xludf.DUMMYFUNCTION("IFNA(JOIN("","", FILTER(AsistenciaJetAdmin!$D$2:$D1000, (AsistenciaJetAdmin!$A$2:$A1000=$A102)*(AsistenciaJetAdmin!$B$2:$B1000=$B102))),"""")"),"")</f>
        <v/>
      </c>
      <c r="E102" s="40"/>
      <c r="F102" s="40"/>
      <c r="G102" s="40"/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  <c r="U102" s="40"/>
      <c r="V102" s="40"/>
      <c r="W102" s="40"/>
      <c r="X102" s="40"/>
      <c r="Y102" s="40"/>
      <c r="Z102" s="40"/>
    </row>
    <row r="103">
      <c r="A103" s="71">
        <v>46137.0</v>
      </c>
      <c r="B103" s="72" t="s">
        <v>812</v>
      </c>
      <c r="C103" s="23" t="str">
        <f>IFERROR(__xludf.DUMMYFUNCTION("IFNA(JOIN("","", FILTER(AsistenciaJetAdmin!$C$2:$C1000, (AsistenciaJetAdmin!$A$2:$A1000=$A103)*(AsistenciaJetAdmin!$B$2:$B1000=$B103))),"""")"),"")</f>
        <v/>
      </c>
      <c r="D103" s="23" t="str">
        <f>IFERROR(__xludf.DUMMYFUNCTION("IFNA(JOIN("","", FILTER(AsistenciaJetAdmin!$D$2:$D1000, (AsistenciaJetAdmin!$A$2:$A1000=$A103)*(AsistenciaJetAdmin!$B$2:$B1000=$B103))),"""")"),"")</f>
        <v/>
      </c>
      <c r="E103" s="40"/>
      <c r="F103" s="40"/>
      <c r="G103" s="40"/>
      <c r="H103" s="40"/>
      <c r="I103" s="40"/>
      <c r="J103" s="40"/>
      <c r="K103" s="40"/>
      <c r="L103" s="40"/>
      <c r="M103" s="40"/>
      <c r="N103" s="40"/>
      <c r="O103" s="40"/>
      <c r="P103" s="40"/>
      <c r="Q103" s="40"/>
      <c r="R103" s="40"/>
      <c r="S103" s="40"/>
      <c r="T103" s="40"/>
      <c r="U103" s="40"/>
      <c r="V103" s="40"/>
      <c r="W103" s="40"/>
      <c r="X103" s="40"/>
      <c r="Y103" s="40"/>
      <c r="Z103" s="40"/>
    </row>
    <row r="104">
      <c r="A104" s="71">
        <v>46141.0</v>
      </c>
      <c r="B104" s="72" t="s">
        <v>811</v>
      </c>
      <c r="C104" s="23" t="str">
        <f>IFERROR(__xludf.DUMMYFUNCTION("IFNA(JOIN("","", FILTER(AsistenciaJetAdmin!$C$2:$C1000, (AsistenciaJetAdmin!$A$2:$A1000=$A104)*(AsistenciaJetAdmin!$B$2:$B1000=$B104))),"""")"),"")</f>
        <v/>
      </c>
      <c r="D104" s="23" t="str">
        <f>IFERROR(__xludf.DUMMYFUNCTION("IFNA(JOIN("","", FILTER(AsistenciaJetAdmin!$D$2:$D1000, (AsistenciaJetAdmin!$A$2:$A1000=$A104)*(AsistenciaJetAdmin!$B$2:$B1000=$B104))),"""")"),"")</f>
        <v/>
      </c>
      <c r="E104" s="40"/>
      <c r="F104" s="40"/>
      <c r="G104" s="40"/>
      <c r="H104" s="40"/>
      <c r="I104" s="40"/>
      <c r="J104" s="40"/>
      <c r="K104" s="40"/>
      <c r="L104" s="40"/>
      <c r="M104" s="40"/>
      <c r="N104" s="40"/>
      <c r="O104" s="40"/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0"/>
    </row>
    <row r="105">
      <c r="A105" s="71">
        <v>46144.0</v>
      </c>
      <c r="B105" s="72" t="s">
        <v>810</v>
      </c>
      <c r="C105" s="23" t="str">
        <f>IFERROR(__xludf.DUMMYFUNCTION("IFNA(JOIN("","", FILTER(AsistenciaJetAdmin!$C$2:$C1000, (AsistenciaJetAdmin!$A$2:$A1000=$A105)*(AsistenciaJetAdmin!$B$2:$B1000=$B105))),"""")"),"")</f>
        <v/>
      </c>
      <c r="D105" s="23" t="str">
        <f>IFERROR(__xludf.DUMMYFUNCTION("IFNA(JOIN("","", FILTER(AsistenciaJetAdmin!$D$2:$D1000, (AsistenciaJetAdmin!$A$2:$A1000=$A105)*(AsistenciaJetAdmin!$B$2:$B1000=$B105))),"""")"),"")</f>
        <v/>
      </c>
      <c r="E105" s="40"/>
      <c r="F105" s="40"/>
      <c r="G105" s="40"/>
      <c r="H105" s="40"/>
      <c r="I105" s="40"/>
      <c r="J105" s="40"/>
      <c r="K105" s="40"/>
      <c r="L105" s="40"/>
      <c r="M105" s="40"/>
      <c r="N105" s="40"/>
      <c r="O105" s="40"/>
      <c r="P105" s="40"/>
      <c r="Q105" s="40"/>
      <c r="R105" s="40"/>
      <c r="S105" s="40"/>
      <c r="T105" s="40"/>
      <c r="U105" s="40"/>
      <c r="V105" s="40"/>
      <c r="W105" s="40"/>
      <c r="X105" s="40"/>
      <c r="Y105" s="40"/>
      <c r="Z105" s="40"/>
    </row>
    <row r="106">
      <c r="A106" s="71">
        <v>46144.0</v>
      </c>
      <c r="B106" s="72" t="s">
        <v>812</v>
      </c>
      <c r="C106" s="23" t="str">
        <f>IFERROR(__xludf.DUMMYFUNCTION("IFNA(JOIN("","", FILTER(AsistenciaJetAdmin!$C$2:$C1000, (AsistenciaJetAdmin!$A$2:$A1000=$A106)*(AsistenciaJetAdmin!$B$2:$B1000=$B106))),"""")"),"")</f>
        <v/>
      </c>
      <c r="D106" s="23" t="str">
        <f>IFERROR(__xludf.DUMMYFUNCTION("IFNA(JOIN("","", FILTER(AsistenciaJetAdmin!$D$2:$D1000, (AsistenciaJetAdmin!$A$2:$A1000=$A106)*(AsistenciaJetAdmin!$B$2:$B1000=$B106))),"""")"),"")</f>
        <v/>
      </c>
      <c r="E106" s="40"/>
      <c r="F106" s="40"/>
      <c r="G106" s="40"/>
      <c r="H106" s="40"/>
      <c r="I106" s="40"/>
      <c r="J106" s="40"/>
      <c r="K106" s="40"/>
      <c r="L106" s="40"/>
      <c r="M106" s="40"/>
      <c r="N106" s="40"/>
      <c r="O106" s="40"/>
      <c r="P106" s="40"/>
      <c r="Q106" s="40"/>
      <c r="R106" s="40"/>
      <c r="S106" s="40"/>
      <c r="T106" s="40"/>
      <c r="U106" s="40"/>
      <c r="V106" s="40"/>
      <c r="W106" s="40"/>
      <c r="X106" s="40"/>
      <c r="Y106" s="40"/>
      <c r="Z106" s="40"/>
    </row>
    <row r="107">
      <c r="A107" s="71">
        <v>46148.0</v>
      </c>
      <c r="B107" s="72" t="s">
        <v>811</v>
      </c>
      <c r="C107" s="23" t="str">
        <f>IFERROR(__xludf.DUMMYFUNCTION("IFNA(JOIN("","", FILTER(AsistenciaJetAdmin!$C$2:$C1000, (AsistenciaJetAdmin!$A$2:$A1000=$A107)*(AsistenciaJetAdmin!$B$2:$B1000=$B107))),"""")"),"")</f>
        <v/>
      </c>
      <c r="D107" s="23" t="str">
        <f>IFERROR(__xludf.DUMMYFUNCTION("IFNA(JOIN("","", FILTER(AsistenciaJetAdmin!$D$2:$D1000, (AsistenciaJetAdmin!$A$2:$A1000=$A107)*(AsistenciaJetAdmin!$B$2:$B1000=$B107))),"""")"),"")</f>
        <v/>
      </c>
      <c r="E107" s="40"/>
      <c r="F107" s="40"/>
      <c r="G107" s="40"/>
      <c r="H107" s="40"/>
      <c r="I107" s="40"/>
      <c r="J107" s="40"/>
      <c r="K107" s="40"/>
      <c r="L107" s="40"/>
      <c r="M107" s="40"/>
      <c r="N107" s="40"/>
      <c r="O107" s="40"/>
      <c r="P107" s="40"/>
      <c r="Q107" s="40"/>
      <c r="R107" s="40"/>
      <c r="S107" s="40"/>
      <c r="T107" s="40"/>
      <c r="U107" s="40"/>
      <c r="V107" s="40"/>
      <c r="W107" s="40"/>
      <c r="X107" s="40"/>
      <c r="Y107" s="40"/>
      <c r="Z107" s="40"/>
    </row>
    <row r="108">
      <c r="A108" s="71">
        <v>46151.0</v>
      </c>
      <c r="B108" s="72" t="s">
        <v>810</v>
      </c>
      <c r="C108" s="23" t="str">
        <f>IFERROR(__xludf.DUMMYFUNCTION("IFNA(JOIN("","", FILTER(AsistenciaJetAdmin!$C$2:$C1000, (AsistenciaJetAdmin!$A$2:$A1000=$A108)*(AsistenciaJetAdmin!$B$2:$B1000=$B108))),"""")"),"")</f>
        <v/>
      </c>
      <c r="D108" s="23" t="str">
        <f>IFERROR(__xludf.DUMMYFUNCTION("IFNA(JOIN("","", FILTER(AsistenciaJetAdmin!$D$2:$D1000, (AsistenciaJetAdmin!$A$2:$A1000=$A108)*(AsistenciaJetAdmin!$B$2:$B1000=$B108))),"""")"),"")</f>
        <v/>
      </c>
      <c r="E108" s="40"/>
      <c r="F108" s="40"/>
      <c r="G108" s="40"/>
      <c r="H108" s="40"/>
      <c r="I108" s="40"/>
      <c r="J108" s="40"/>
      <c r="K108" s="40"/>
      <c r="L108" s="40"/>
      <c r="M108" s="40"/>
      <c r="N108" s="40"/>
      <c r="O108" s="40"/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0"/>
    </row>
    <row r="109">
      <c r="A109" s="71">
        <v>46151.0</v>
      </c>
      <c r="B109" s="72" t="s">
        <v>812</v>
      </c>
      <c r="C109" s="23" t="str">
        <f>IFERROR(__xludf.DUMMYFUNCTION("IFNA(JOIN("","", FILTER(AsistenciaJetAdmin!$C$2:$C1000, (AsistenciaJetAdmin!$A$2:$A1000=$A109)*(AsistenciaJetAdmin!$B$2:$B1000=$B109))),"""")"),"")</f>
        <v/>
      </c>
      <c r="D109" s="23" t="str">
        <f>IFERROR(__xludf.DUMMYFUNCTION("IFNA(JOIN("","", FILTER(AsistenciaJetAdmin!$D$2:$D1000, (AsistenciaJetAdmin!$A$2:$A1000=$A109)*(AsistenciaJetAdmin!$B$2:$B1000=$B109))),"""")"),"")</f>
        <v/>
      </c>
      <c r="E109" s="40"/>
      <c r="F109" s="40"/>
      <c r="G109" s="40"/>
      <c r="H109" s="40"/>
      <c r="I109" s="40"/>
      <c r="J109" s="40"/>
      <c r="K109" s="40"/>
      <c r="L109" s="40"/>
      <c r="M109" s="40"/>
      <c r="N109" s="40"/>
      <c r="O109" s="40"/>
      <c r="P109" s="40"/>
      <c r="Q109" s="40"/>
      <c r="R109" s="40"/>
      <c r="S109" s="40"/>
      <c r="T109" s="40"/>
      <c r="U109" s="40"/>
      <c r="V109" s="40"/>
      <c r="W109" s="40"/>
      <c r="X109" s="40"/>
      <c r="Y109" s="40"/>
      <c r="Z109" s="40"/>
    </row>
    <row r="110">
      <c r="A110" s="71">
        <v>46155.0</v>
      </c>
      <c r="B110" s="72" t="s">
        <v>811</v>
      </c>
      <c r="C110" s="23" t="str">
        <f>IFERROR(__xludf.DUMMYFUNCTION("IFNA(JOIN("","", FILTER(AsistenciaJetAdmin!$C$2:$C1000, (AsistenciaJetAdmin!$A$2:$A1000=$A110)*(AsistenciaJetAdmin!$B$2:$B1000=$B110))),"""")"),"")</f>
        <v/>
      </c>
      <c r="D110" s="23" t="str">
        <f>IFERROR(__xludf.DUMMYFUNCTION("IFNA(JOIN("","", FILTER(AsistenciaJetAdmin!$D$2:$D1000, (AsistenciaJetAdmin!$A$2:$A1000=$A110)*(AsistenciaJetAdmin!$B$2:$B1000=$B110))),"""")"),"")</f>
        <v/>
      </c>
      <c r="E110" s="40"/>
      <c r="F110" s="40"/>
      <c r="G110" s="40"/>
      <c r="H110" s="40"/>
      <c r="I110" s="40"/>
      <c r="J110" s="40"/>
      <c r="K110" s="40"/>
      <c r="L110" s="40"/>
      <c r="M110" s="40"/>
      <c r="N110" s="40"/>
      <c r="O110" s="40"/>
      <c r="P110" s="40"/>
      <c r="Q110" s="40"/>
      <c r="R110" s="40"/>
      <c r="S110" s="40"/>
      <c r="T110" s="40"/>
      <c r="U110" s="40"/>
      <c r="V110" s="40"/>
      <c r="W110" s="40"/>
      <c r="X110" s="40"/>
      <c r="Y110" s="40"/>
      <c r="Z110" s="40"/>
    </row>
    <row r="111">
      <c r="A111" s="71">
        <v>46158.0</v>
      </c>
      <c r="B111" s="72" t="s">
        <v>810</v>
      </c>
      <c r="C111" s="23" t="str">
        <f>IFERROR(__xludf.DUMMYFUNCTION("IFNA(JOIN("","", FILTER(AsistenciaJetAdmin!$C$2:$C1000, (AsistenciaJetAdmin!$A$2:$A1000=$A111)*(AsistenciaJetAdmin!$B$2:$B1000=$B111))),"""")"),"")</f>
        <v/>
      </c>
      <c r="D111" s="23" t="str">
        <f>IFERROR(__xludf.DUMMYFUNCTION("IFNA(JOIN("","", FILTER(AsistenciaJetAdmin!$D$2:$D1000, (AsistenciaJetAdmin!$A$2:$A1000=$A111)*(AsistenciaJetAdmin!$B$2:$B1000=$B111))),"""")"),"")</f>
        <v/>
      </c>
      <c r="E111" s="40"/>
      <c r="F111" s="40"/>
      <c r="G111" s="40"/>
      <c r="H111" s="40"/>
      <c r="I111" s="40"/>
      <c r="J111" s="40"/>
      <c r="K111" s="40"/>
      <c r="L111" s="40"/>
      <c r="M111" s="40"/>
      <c r="N111" s="40"/>
      <c r="O111" s="40"/>
      <c r="P111" s="40"/>
      <c r="Q111" s="40"/>
      <c r="R111" s="40"/>
      <c r="S111" s="40"/>
      <c r="T111" s="40"/>
      <c r="U111" s="40"/>
      <c r="V111" s="40"/>
      <c r="W111" s="40"/>
      <c r="X111" s="40"/>
      <c r="Y111" s="40"/>
      <c r="Z111" s="40"/>
    </row>
    <row r="112">
      <c r="A112" s="71">
        <v>46158.0</v>
      </c>
      <c r="B112" s="72" t="s">
        <v>812</v>
      </c>
      <c r="C112" s="23" t="str">
        <f>IFERROR(__xludf.DUMMYFUNCTION("IFNA(JOIN("","", FILTER(AsistenciaJetAdmin!$C$2:$C1000, (AsistenciaJetAdmin!$A$2:$A1000=$A112)*(AsistenciaJetAdmin!$B$2:$B1000=$B112))),"""")"),"")</f>
        <v/>
      </c>
      <c r="D112" s="23" t="str">
        <f>IFERROR(__xludf.DUMMYFUNCTION("IFNA(JOIN("","", FILTER(AsistenciaJetAdmin!$D$2:$D1000, (AsistenciaJetAdmin!$A$2:$A1000=$A112)*(AsistenciaJetAdmin!$B$2:$B1000=$B112))),"""")"),"")</f>
        <v/>
      </c>
      <c r="E112" s="40"/>
      <c r="F112" s="40"/>
      <c r="G112" s="40"/>
      <c r="H112" s="40"/>
      <c r="I112" s="40"/>
      <c r="J112" s="40"/>
      <c r="K112" s="40"/>
      <c r="L112" s="40"/>
      <c r="M112" s="40"/>
      <c r="N112" s="40"/>
      <c r="O112" s="40"/>
      <c r="P112" s="40"/>
      <c r="Q112" s="40"/>
      <c r="R112" s="40"/>
      <c r="S112" s="40"/>
      <c r="T112" s="40"/>
      <c r="U112" s="40"/>
      <c r="V112" s="40"/>
      <c r="W112" s="40"/>
      <c r="X112" s="40"/>
      <c r="Y112" s="40"/>
      <c r="Z112" s="40"/>
    </row>
    <row r="113">
      <c r="A113" s="71">
        <v>46162.0</v>
      </c>
      <c r="B113" s="72" t="s">
        <v>811</v>
      </c>
      <c r="C113" s="23" t="str">
        <f>IFERROR(__xludf.DUMMYFUNCTION("IFNA(JOIN("","", FILTER(AsistenciaJetAdmin!$C$2:$C1000, (AsistenciaJetAdmin!$A$2:$A1000=$A113)*(AsistenciaJetAdmin!$B$2:$B1000=$B113))),"""")"),"")</f>
        <v/>
      </c>
      <c r="D113" s="23" t="str">
        <f>IFERROR(__xludf.DUMMYFUNCTION("IFNA(JOIN("","", FILTER(AsistenciaJetAdmin!$D$2:$D1000, (AsistenciaJetAdmin!$A$2:$A1000=$A113)*(AsistenciaJetAdmin!$B$2:$B1000=$B113))),"""")"),"")</f>
        <v/>
      </c>
      <c r="E113" s="40"/>
      <c r="F113" s="40"/>
      <c r="G113" s="40"/>
      <c r="H113" s="40"/>
      <c r="I113" s="40"/>
      <c r="J113" s="40"/>
      <c r="K113" s="40"/>
      <c r="L113" s="40"/>
      <c r="M113" s="40"/>
      <c r="N113" s="40"/>
      <c r="O113" s="40"/>
      <c r="P113" s="40"/>
      <c r="Q113" s="40"/>
      <c r="R113" s="40"/>
      <c r="S113" s="40"/>
      <c r="T113" s="40"/>
      <c r="U113" s="40"/>
      <c r="V113" s="40"/>
      <c r="W113" s="40"/>
      <c r="X113" s="40"/>
      <c r="Y113" s="40"/>
      <c r="Z113" s="40"/>
    </row>
    <row r="114">
      <c r="A114" s="71">
        <v>46165.0</v>
      </c>
      <c r="B114" s="72" t="s">
        <v>810</v>
      </c>
      <c r="C114" s="23" t="str">
        <f>IFERROR(__xludf.DUMMYFUNCTION("IFNA(JOIN("","", FILTER(AsistenciaJetAdmin!$C$2:$C1000, (AsistenciaJetAdmin!$A$2:$A1000=$A114)*(AsistenciaJetAdmin!$B$2:$B1000=$B114))),"""")"),"")</f>
        <v/>
      </c>
      <c r="D114" s="23" t="str">
        <f>IFERROR(__xludf.DUMMYFUNCTION("IFNA(JOIN("","", FILTER(AsistenciaJetAdmin!$D$2:$D1000, (AsistenciaJetAdmin!$A$2:$A1000=$A114)*(AsistenciaJetAdmin!$B$2:$B1000=$B114))),"""")"),"")</f>
        <v/>
      </c>
      <c r="E114" s="40"/>
      <c r="F114" s="40"/>
      <c r="G114" s="40"/>
      <c r="H114" s="40"/>
      <c r="I114" s="40"/>
      <c r="J114" s="40"/>
      <c r="K114" s="40"/>
      <c r="L114" s="40"/>
      <c r="M114" s="40"/>
      <c r="N114" s="40"/>
      <c r="O114" s="40"/>
      <c r="P114" s="40"/>
      <c r="Q114" s="40"/>
      <c r="R114" s="40"/>
      <c r="S114" s="40"/>
      <c r="T114" s="40"/>
      <c r="U114" s="40"/>
      <c r="V114" s="40"/>
      <c r="W114" s="40"/>
      <c r="X114" s="40"/>
      <c r="Y114" s="40"/>
      <c r="Z114" s="40"/>
    </row>
    <row r="115">
      <c r="A115" s="71">
        <v>46165.0</v>
      </c>
      <c r="B115" s="72" t="s">
        <v>812</v>
      </c>
      <c r="C115" s="23" t="str">
        <f>IFERROR(__xludf.DUMMYFUNCTION("IFNA(JOIN("","", FILTER(AsistenciaJetAdmin!$C$2:$C1000, (AsistenciaJetAdmin!$A$2:$A1000=$A115)*(AsistenciaJetAdmin!$B$2:$B1000=$B115))),"""")"),"")</f>
        <v/>
      </c>
      <c r="D115" s="23" t="str">
        <f>IFERROR(__xludf.DUMMYFUNCTION("IFNA(JOIN("","", FILTER(AsistenciaJetAdmin!$D$2:$D1000, (AsistenciaJetAdmin!$A$2:$A1000=$A115)*(AsistenciaJetAdmin!$B$2:$B1000=$B115))),"""")"),"")</f>
        <v/>
      </c>
      <c r="E115" s="40"/>
      <c r="F115" s="40"/>
      <c r="G115" s="40"/>
      <c r="H115" s="40"/>
      <c r="I115" s="40"/>
      <c r="J115" s="40"/>
      <c r="K115" s="40"/>
      <c r="L115" s="40"/>
      <c r="M115" s="40"/>
      <c r="N115" s="40"/>
      <c r="O115" s="40"/>
      <c r="P115" s="40"/>
      <c r="Q115" s="40"/>
      <c r="R115" s="40"/>
      <c r="S115" s="40"/>
      <c r="T115" s="40"/>
      <c r="U115" s="40"/>
      <c r="V115" s="40"/>
      <c r="W115" s="40"/>
      <c r="X115" s="40"/>
      <c r="Y115" s="40"/>
      <c r="Z115" s="40"/>
    </row>
    <row r="116">
      <c r="A116" s="71">
        <v>46169.0</v>
      </c>
      <c r="B116" s="72" t="s">
        <v>811</v>
      </c>
      <c r="C116" s="23" t="str">
        <f>IFERROR(__xludf.DUMMYFUNCTION("IFNA(JOIN("","", FILTER(AsistenciaJetAdmin!$C$2:$C1000, (AsistenciaJetAdmin!$A$2:$A1000=$A116)*(AsistenciaJetAdmin!$B$2:$B1000=$B116))),"""")"),"")</f>
        <v/>
      </c>
      <c r="D116" s="23" t="str">
        <f>IFERROR(__xludf.DUMMYFUNCTION("IFNA(JOIN("","", FILTER(AsistenciaJetAdmin!$D$2:$D1000, (AsistenciaJetAdmin!$A$2:$A1000=$A116)*(AsistenciaJetAdmin!$B$2:$B1000=$B116))),"""")"),"")</f>
        <v/>
      </c>
      <c r="E116" s="40"/>
      <c r="F116" s="40"/>
      <c r="G116" s="40"/>
      <c r="H116" s="40"/>
      <c r="I116" s="40"/>
      <c r="J116" s="40"/>
      <c r="K116" s="40"/>
      <c r="L116" s="40"/>
      <c r="M116" s="40"/>
      <c r="N116" s="40"/>
      <c r="O116" s="40"/>
      <c r="P116" s="40"/>
      <c r="Q116" s="40"/>
      <c r="R116" s="40"/>
      <c r="S116" s="40"/>
      <c r="T116" s="40"/>
      <c r="U116" s="40"/>
      <c r="V116" s="40"/>
      <c r="W116" s="40"/>
      <c r="X116" s="40"/>
      <c r="Y116" s="40"/>
      <c r="Z116" s="40"/>
    </row>
    <row r="117">
      <c r="A117" s="71">
        <v>46172.0</v>
      </c>
      <c r="B117" s="72" t="s">
        <v>810</v>
      </c>
      <c r="C117" s="23" t="str">
        <f>IFERROR(__xludf.DUMMYFUNCTION("IFNA(JOIN("","", FILTER(AsistenciaJetAdmin!$C$2:$C1000, (AsistenciaJetAdmin!$A$2:$A1000=$A117)*(AsistenciaJetAdmin!$B$2:$B1000=$B117))),"""")"),"")</f>
        <v/>
      </c>
      <c r="D117" s="23" t="str">
        <f>IFERROR(__xludf.DUMMYFUNCTION("IFNA(JOIN("","", FILTER(AsistenciaJetAdmin!$D$2:$D1000, (AsistenciaJetAdmin!$A$2:$A1000=$A117)*(AsistenciaJetAdmin!$B$2:$B1000=$B117))),"""")"),"")</f>
        <v/>
      </c>
      <c r="E117" s="40"/>
      <c r="F117" s="40"/>
      <c r="G117" s="40"/>
      <c r="H117" s="40"/>
      <c r="I117" s="40"/>
      <c r="J117" s="40"/>
      <c r="K117" s="40"/>
      <c r="L117" s="40"/>
      <c r="M117" s="40"/>
      <c r="N117" s="40"/>
      <c r="O117" s="40"/>
      <c r="P117" s="40"/>
      <c r="Q117" s="40"/>
      <c r="R117" s="40"/>
      <c r="S117" s="40"/>
      <c r="T117" s="40"/>
      <c r="U117" s="40"/>
      <c r="V117" s="40"/>
      <c r="W117" s="40"/>
      <c r="X117" s="40"/>
      <c r="Y117" s="40"/>
      <c r="Z117" s="40"/>
    </row>
    <row r="118">
      <c r="A118" s="71">
        <v>46172.0</v>
      </c>
      <c r="B118" s="72" t="s">
        <v>812</v>
      </c>
      <c r="C118" s="23" t="str">
        <f>IFERROR(__xludf.DUMMYFUNCTION("IFNA(JOIN("","", FILTER(AsistenciaJetAdmin!$C$2:$C1000, (AsistenciaJetAdmin!$A$2:$A1000=$A118)*(AsistenciaJetAdmin!$B$2:$B1000=$B118))),"""")"),"")</f>
        <v/>
      </c>
      <c r="D118" s="23" t="str">
        <f>IFERROR(__xludf.DUMMYFUNCTION("IFNA(JOIN("","", FILTER(AsistenciaJetAdmin!$D$2:$D1000, (AsistenciaJetAdmin!$A$2:$A1000=$A118)*(AsistenciaJetAdmin!$B$2:$B1000=$B118))),"""")"),"")</f>
        <v/>
      </c>
      <c r="E118" s="40"/>
      <c r="F118" s="40"/>
      <c r="G118" s="40"/>
      <c r="H118" s="40"/>
      <c r="I118" s="40"/>
      <c r="J118" s="40"/>
      <c r="K118" s="40"/>
      <c r="L118" s="40"/>
      <c r="M118" s="40"/>
      <c r="N118" s="40"/>
      <c r="O118" s="40"/>
      <c r="P118" s="40"/>
      <c r="Q118" s="40"/>
      <c r="R118" s="40"/>
      <c r="S118" s="40"/>
      <c r="T118" s="40"/>
      <c r="U118" s="40"/>
      <c r="V118" s="40"/>
      <c r="W118" s="40"/>
      <c r="X118" s="40"/>
      <c r="Y118" s="40"/>
      <c r="Z118" s="40"/>
    </row>
    <row r="119">
      <c r="A119" s="71">
        <v>46176.0</v>
      </c>
      <c r="B119" s="72" t="s">
        <v>811</v>
      </c>
      <c r="C119" s="23" t="str">
        <f>IFERROR(__xludf.DUMMYFUNCTION("IFNA(JOIN("","", FILTER(AsistenciaJetAdmin!$C$2:$C1000, (AsistenciaJetAdmin!$A$2:$A1000=$A119)*(AsistenciaJetAdmin!$B$2:$B1000=$B119))),"""")"),"")</f>
        <v/>
      </c>
      <c r="D119" s="23" t="str">
        <f>IFERROR(__xludf.DUMMYFUNCTION("IFNA(JOIN("","", FILTER(AsistenciaJetAdmin!$D$2:$D1000, (AsistenciaJetAdmin!$A$2:$A1000=$A119)*(AsistenciaJetAdmin!$B$2:$B1000=$B119))),"""")"),"")</f>
        <v/>
      </c>
      <c r="E119" s="40"/>
      <c r="F119" s="40"/>
      <c r="G119" s="40"/>
      <c r="H119" s="40"/>
      <c r="I119" s="40"/>
      <c r="J119" s="40"/>
      <c r="K119" s="40"/>
      <c r="L119" s="40"/>
      <c r="M119" s="40"/>
      <c r="N119" s="40"/>
      <c r="O119" s="40"/>
      <c r="P119" s="40"/>
      <c r="Q119" s="40"/>
      <c r="R119" s="40"/>
      <c r="S119" s="40"/>
      <c r="T119" s="40"/>
      <c r="U119" s="40"/>
      <c r="V119" s="40"/>
      <c r="W119" s="40"/>
      <c r="X119" s="40"/>
      <c r="Y119" s="40"/>
      <c r="Z119" s="40"/>
    </row>
    <row r="120">
      <c r="A120" s="71">
        <v>46179.0</v>
      </c>
      <c r="B120" s="72" t="s">
        <v>810</v>
      </c>
      <c r="C120" s="23" t="str">
        <f>IFERROR(__xludf.DUMMYFUNCTION("IFNA(JOIN("","", FILTER(AsistenciaJetAdmin!$C$2:$C1000, (AsistenciaJetAdmin!$A$2:$A1000=$A120)*(AsistenciaJetAdmin!$B$2:$B1000=$B120))),"""")"),"")</f>
        <v/>
      </c>
      <c r="D120" s="23" t="str">
        <f>IFERROR(__xludf.DUMMYFUNCTION("IFNA(JOIN("","", FILTER(AsistenciaJetAdmin!$D$2:$D1000, (AsistenciaJetAdmin!$A$2:$A1000=$A120)*(AsistenciaJetAdmin!$B$2:$B1000=$B120))),"""")"),"")</f>
        <v/>
      </c>
      <c r="E120" s="40"/>
      <c r="F120" s="40"/>
      <c r="G120" s="40"/>
      <c r="H120" s="40"/>
      <c r="I120" s="40"/>
      <c r="J120" s="40"/>
      <c r="K120" s="40"/>
      <c r="L120" s="40"/>
      <c r="M120" s="40"/>
      <c r="N120" s="40"/>
      <c r="O120" s="40"/>
      <c r="P120" s="40"/>
      <c r="Q120" s="40"/>
      <c r="R120" s="40"/>
      <c r="S120" s="40"/>
      <c r="T120" s="40"/>
      <c r="U120" s="40"/>
      <c r="V120" s="40"/>
      <c r="W120" s="40"/>
      <c r="X120" s="40"/>
      <c r="Y120" s="40"/>
      <c r="Z120" s="40"/>
    </row>
    <row r="121">
      <c r="A121" s="71">
        <v>46179.0</v>
      </c>
      <c r="B121" s="72" t="s">
        <v>812</v>
      </c>
      <c r="C121" s="23" t="str">
        <f>IFERROR(__xludf.DUMMYFUNCTION("IFNA(JOIN("","", FILTER(AsistenciaJetAdmin!$C$2:$C1000, (AsistenciaJetAdmin!$A$2:$A1000=$A121)*(AsistenciaJetAdmin!$B$2:$B1000=$B121))),"""")"),"")</f>
        <v/>
      </c>
      <c r="D121" s="23" t="str">
        <f>IFERROR(__xludf.DUMMYFUNCTION("IFNA(JOIN("","", FILTER(AsistenciaJetAdmin!$D$2:$D1000, (AsistenciaJetAdmin!$A$2:$A1000=$A121)*(AsistenciaJetAdmin!$B$2:$B1000=$B121))),"""")"),"")</f>
        <v/>
      </c>
      <c r="E121" s="40"/>
      <c r="F121" s="40"/>
      <c r="G121" s="40"/>
      <c r="H121" s="40"/>
      <c r="I121" s="40"/>
      <c r="J121" s="40"/>
      <c r="K121" s="40"/>
      <c r="L121" s="40"/>
      <c r="M121" s="40"/>
      <c r="N121" s="40"/>
      <c r="O121" s="40"/>
      <c r="P121" s="40"/>
      <c r="Q121" s="40"/>
      <c r="R121" s="40"/>
      <c r="S121" s="40"/>
      <c r="T121" s="40"/>
      <c r="U121" s="40"/>
      <c r="V121" s="40"/>
      <c r="W121" s="40"/>
      <c r="X121" s="40"/>
      <c r="Y121" s="40"/>
      <c r="Z121" s="40"/>
    </row>
    <row r="122">
      <c r="A122" s="71">
        <v>46183.0</v>
      </c>
      <c r="B122" s="72" t="s">
        <v>811</v>
      </c>
      <c r="C122" s="23"/>
      <c r="D122" s="23"/>
      <c r="E122" s="40"/>
      <c r="F122" s="40"/>
      <c r="G122" s="40"/>
      <c r="H122" s="40"/>
      <c r="I122" s="40"/>
      <c r="J122" s="40"/>
      <c r="K122" s="40"/>
      <c r="L122" s="40"/>
      <c r="M122" s="40"/>
      <c r="N122" s="40"/>
      <c r="O122" s="40"/>
      <c r="P122" s="40"/>
      <c r="Q122" s="40"/>
      <c r="R122" s="40"/>
      <c r="S122" s="40"/>
      <c r="T122" s="40"/>
      <c r="U122" s="40"/>
      <c r="V122" s="40"/>
      <c r="W122" s="40"/>
      <c r="X122" s="40"/>
      <c r="Y122" s="40"/>
      <c r="Z122" s="40"/>
    </row>
    <row r="123">
      <c r="A123" s="71">
        <v>46186.0</v>
      </c>
      <c r="B123" s="72" t="s">
        <v>810</v>
      </c>
      <c r="C123" s="23"/>
      <c r="D123" s="23"/>
      <c r="E123" s="40"/>
      <c r="F123" s="40"/>
      <c r="G123" s="40"/>
      <c r="H123" s="40"/>
      <c r="I123" s="40"/>
      <c r="J123" s="40"/>
      <c r="K123" s="40"/>
      <c r="L123" s="40"/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</row>
    <row r="124">
      <c r="A124" s="71">
        <v>46186.0</v>
      </c>
      <c r="B124" s="72" t="s">
        <v>812</v>
      </c>
      <c r="C124" s="23"/>
      <c r="D124" s="23"/>
      <c r="E124" s="40"/>
      <c r="F124" s="40"/>
      <c r="G124" s="40"/>
      <c r="H124" s="40"/>
      <c r="I124" s="40"/>
      <c r="J124" s="40"/>
      <c r="K124" s="40"/>
      <c r="L124" s="40"/>
      <c r="M124" s="40"/>
      <c r="N124" s="40"/>
      <c r="O124" s="40"/>
      <c r="P124" s="40"/>
      <c r="Q124" s="40"/>
      <c r="R124" s="40"/>
      <c r="S124" s="40"/>
      <c r="T124" s="40"/>
      <c r="U124" s="40"/>
      <c r="V124" s="40"/>
      <c r="W124" s="40"/>
      <c r="X124" s="40"/>
      <c r="Y124" s="40"/>
      <c r="Z124" s="40"/>
    </row>
    <row r="125">
      <c r="A125" s="71">
        <v>46190.0</v>
      </c>
      <c r="B125" s="72" t="s">
        <v>811</v>
      </c>
      <c r="C125" s="23"/>
      <c r="D125" s="23"/>
      <c r="E125" s="40"/>
      <c r="F125" s="40"/>
      <c r="G125" s="40"/>
      <c r="H125" s="40"/>
      <c r="I125" s="40"/>
      <c r="J125" s="40"/>
      <c r="K125" s="40"/>
      <c r="L125" s="40"/>
      <c r="M125" s="40"/>
      <c r="N125" s="40"/>
      <c r="O125" s="40"/>
      <c r="P125" s="40"/>
      <c r="Q125" s="40"/>
      <c r="R125" s="40"/>
      <c r="S125" s="40"/>
      <c r="T125" s="40"/>
      <c r="U125" s="40"/>
      <c r="V125" s="40"/>
      <c r="W125" s="40"/>
      <c r="X125" s="40"/>
      <c r="Y125" s="40"/>
      <c r="Z125" s="40"/>
    </row>
    <row r="126">
      <c r="A126" s="71">
        <v>46193.0</v>
      </c>
      <c r="B126" s="72" t="s">
        <v>810</v>
      </c>
      <c r="C126" s="23"/>
      <c r="D126" s="23"/>
      <c r="E126" s="40"/>
      <c r="F126" s="40"/>
      <c r="G126" s="40"/>
      <c r="H126" s="40"/>
      <c r="I126" s="40"/>
      <c r="J126" s="40"/>
      <c r="K126" s="40"/>
      <c r="L126" s="40"/>
      <c r="M126" s="40"/>
      <c r="N126" s="40"/>
      <c r="O126" s="40"/>
      <c r="P126" s="40"/>
      <c r="Q126" s="40"/>
      <c r="R126" s="40"/>
      <c r="S126" s="40"/>
      <c r="T126" s="40"/>
      <c r="U126" s="40"/>
      <c r="V126" s="40"/>
      <c r="W126" s="40"/>
      <c r="X126" s="40"/>
      <c r="Y126" s="40"/>
      <c r="Z126" s="40"/>
    </row>
    <row r="127">
      <c r="A127" s="71">
        <v>46193.0</v>
      </c>
      <c r="B127" s="72" t="s">
        <v>812</v>
      </c>
      <c r="C127" s="23"/>
      <c r="D127" s="23"/>
      <c r="E127" s="40"/>
      <c r="F127" s="40"/>
      <c r="G127" s="40"/>
      <c r="H127" s="40"/>
      <c r="I127" s="40"/>
      <c r="J127" s="40"/>
      <c r="K127" s="40"/>
      <c r="L127" s="40"/>
      <c r="M127" s="40"/>
      <c r="N127" s="40"/>
      <c r="O127" s="40"/>
      <c r="P127" s="40"/>
      <c r="Q127" s="40"/>
      <c r="R127" s="40"/>
      <c r="S127" s="40"/>
      <c r="T127" s="40"/>
      <c r="U127" s="40"/>
      <c r="V127" s="40"/>
      <c r="W127" s="40"/>
      <c r="X127" s="40"/>
      <c r="Y127" s="40"/>
      <c r="Z127" s="40"/>
    </row>
    <row r="128">
      <c r="A128" s="71">
        <v>46197.0</v>
      </c>
      <c r="B128" s="72" t="s">
        <v>811</v>
      </c>
      <c r="C128" s="23"/>
      <c r="D128" s="23"/>
      <c r="E128" s="40"/>
      <c r="F128" s="40"/>
      <c r="G128" s="40"/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  <c r="U128" s="40"/>
      <c r="V128" s="40"/>
      <c r="W128" s="40"/>
      <c r="X128" s="40"/>
      <c r="Y128" s="40"/>
      <c r="Z128" s="40"/>
    </row>
    <row r="129">
      <c r="A129" s="71">
        <v>46200.0</v>
      </c>
      <c r="B129" s="72" t="s">
        <v>810</v>
      </c>
      <c r="C129" s="23"/>
      <c r="D129" s="23"/>
      <c r="E129" s="40"/>
      <c r="F129" s="40"/>
      <c r="G129" s="40"/>
      <c r="H129" s="40"/>
      <c r="I129" s="40"/>
      <c r="J129" s="40"/>
      <c r="K129" s="40"/>
      <c r="L129" s="40"/>
      <c r="M129" s="40"/>
      <c r="N129" s="40"/>
      <c r="O129" s="40"/>
      <c r="P129" s="40"/>
      <c r="Q129" s="40"/>
      <c r="R129" s="40"/>
      <c r="S129" s="40"/>
      <c r="T129" s="40"/>
      <c r="U129" s="40"/>
      <c r="V129" s="40"/>
      <c r="W129" s="40"/>
      <c r="X129" s="40"/>
      <c r="Y129" s="40"/>
      <c r="Z129" s="40"/>
    </row>
    <row r="130">
      <c r="A130" s="71">
        <v>46200.0</v>
      </c>
      <c r="B130" s="72" t="s">
        <v>812</v>
      </c>
      <c r="C130" s="23"/>
      <c r="D130" s="23"/>
      <c r="E130" s="40"/>
      <c r="F130" s="40"/>
      <c r="G130" s="40"/>
      <c r="H130" s="40"/>
      <c r="I130" s="40"/>
      <c r="J130" s="40"/>
      <c r="K130" s="40"/>
      <c r="L130" s="40"/>
      <c r="M130" s="40"/>
      <c r="N130" s="40"/>
      <c r="O130" s="40"/>
      <c r="P130" s="40"/>
      <c r="Q130" s="40"/>
      <c r="R130" s="40"/>
      <c r="S130" s="40"/>
      <c r="T130" s="40"/>
      <c r="U130" s="40"/>
      <c r="V130" s="40"/>
      <c r="W130" s="40"/>
      <c r="X130" s="40"/>
      <c r="Y130" s="40"/>
      <c r="Z130" s="40"/>
    </row>
    <row r="131">
      <c r="A131" s="71">
        <v>46204.0</v>
      </c>
      <c r="B131" s="72" t="s">
        <v>811</v>
      </c>
      <c r="C131" s="23"/>
      <c r="D131" s="23"/>
      <c r="E131" s="40"/>
      <c r="F131" s="40"/>
      <c r="G131" s="40"/>
      <c r="H131" s="40"/>
      <c r="I131" s="40"/>
      <c r="J131" s="40"/>
      <c r="K131" s="40"/>
      <c r="L131" s="40"/>
      <c r="M131" s="40"/>
      <c r="N131" s="40"/>
      <c r="O131" s="40"/>
      <c r="P131" s="40"/>
      <c r="Q131" s="40"/>
      <c r="R131" s="40"/>
      <c r="S131" s="40"/>
      <c r="T131" s="40"/>
      <c r="U131" s="40"/>
      <c r="V131" s="40"/>
      <c r="W131" s="40"/>
      <c r="X131" s="40"/>
      <c r="Y131" s="40"/>
      <c r="Z131" s="40"/>
    </row>
    <row r="132">
      <c r="A132" s="71">
        <v>46207.0</v>
      </c>
      <c r="B132" s="72" t="s">
        <v>810</v>
      </c>
      <c r="C132" s="23"/>
      <c r="D132" s="23"/>
      <c r="E132" s="40"/>
      <c r="F132" s="40"/>
      <c r="G132" s="40"/>
      <c r="H132" s="40"/>
      <c r="I132" s="40"/>
      <c r="J132" s="40"/>
      <c r="K132" s="40"/>
      <c r="L132" s="40"/>
      <c r="M132" s="40"/>
      <c r="N132" s="40"/>
      <c r="O132" s="40"/>
      <c r="P132" s="40"/>
      <c r="Q132" s="40"/>
      <c r="R132" s="40"/>
      <c r="S132" s="40"/>
      <c r="T132" s="40"/>
      <c r="U132" s="40"/>
      <c r="V132" s="40"/>
      <c r="W132" s="40"/>
      <c r="X132" s="40"/>
      <c r="Y132" s="40"/>
      <c r="Z132" s="40"/>
    </row>
    <row r="133">
      <c r="A133" s="71">
        <v>46207.0</v>
      </c>
      <c r="B133" s="72" t="s">
        <v>812</v>
      </c>
      <c r="C133" s="23"/>
      <c r="D133" s="23"/>
      <c r="E133" s="40"/>
      <c r="F133" s="40"/>
      <c r="G133" s="40"/>
      <c r="H133" s="40"/>
      <c r="I133" s="40"/>
      <c r="J133" s="40"/>
      <c r="K133" s="40"/>
      <c r="L133" s="40"/>
      <c r="M133" s="40"/>
      <c r="N133" s="40"/>
      <c r="O133" s="40"/>
      <c r="P133" s="40"/>
      <c r="Q133" s="40"/>
      <c r="R133" s="40"/>
      <c r="S133" s="40"/>
      <c r="T133" s="40"/>
      <c r="U133" s="40"/>
      <c r="V133" s="40"/>
      <c r="W133" s="40"/>
      <c r="X133" s="40"/>
      <c r="Y133" s="40"/>
      <c r="Z133" s="40"/>
    </row>
    <row r="134">
      <c r="A134" s="71">
        <v>46211.0</v>
      </c>
      <c r="B134" s="72" t="s">
        <v>811</v>
      </c>
      <c r="C134" s="23"/>
      <c r="D134" s="23"/>
      <c r="E134" s="40"/>
      <c r="F134" s="40"/>
      <c r="G134" s="40"/>
      <c r="H134" s="40"/>
      <c r="I134" s="40"/>
      <c r="J134" s="40"/>
      <c r="K134" s="40"/>
      <c r="L134" s="40"/>
      <c r="M134" s="40"/>
      <c r="N134" s="40"/>
      <c r="O134" s="40"/>
      <c r="P134" s="40"/>
      <c r="Q134" s="40"/>
      <c r="R134" s="40"/>
      <c r="S134" s="40"/>
      <c r="T134" s="40"/>
      <c r="U134" s="40"/>
      <c r="V134" s="40"/>
      <c r="W134" s="40"/>
      <c r="X134" s="40"/>
      <c r="Y134" s="40"/>
      <c r="Z134" s="40"/>
    </row>
    <row r="135">
      <c r="A135" s="71">
        <v>46214.0</v>
      </c>
      <c r="B135" s="72" t="s">
        <v>810</v>
      </c>
      <c r="C135" s="23"/>
      <c r="D135" s="23"/>
      <c r="E135" s="40"/>
      <c r="F135" s="40"/>
      <c r="G135" s="40"/>
      <c r="H135" s="40"/>
      <c r="I135" s="40"/>
      <c r="J135" s="40"/>
      <c r="K135" s="40"/>
      <c r="L135" s="40"/>
      <c r="M135" s="40"/>
      <c r="N135" s="40"/>
      <c r="O135" s="40"/>
      <c r="P135" s="40"/>
      <c r="Q135" s="40"/>
      <c r="R135" s="40"/>
      <c r="S135" s="40"/>
      <c r="T135" s="40"/>
      <c r="U135" s="40"/>
      <c r="V135" s="40"/>
      <c r="W135" s="40"/>
      <c r="X135" s="40"/>
      <c r="Y135" s="40"/>
      <c r="Z135" s="40"/>
    </row>
    <row r="136">
      <c r="A136" s="71">
        <v>46214.0</v>
      </c>
      <c r="B136" s="72" t="s">
        <v>812</v>
      </c>
      <c r="C136" s="23"/>
      <c r="D136" s="23"/>
      <c r="E136" s="40"/>
      <c r="F136" s="40"/>
      <c r="G136" s="40"/>
      <c r="H136" s="40"/>
      <c r="I136" s="40"/>
      <c r="J136" s="40"/>
      <c r="K136" s="40"/>
      <c r="L136" s="40"/>
      <c r="M136" s="40"/>
      <c r="N136" s="40"/>
      <c r="O136" s="40"/>
      <c r="P136" s="40"/>
      <c r="Q136" s="40"/>
      <c r="R136" s="40"/>
      <c r="S136" s="40"/>
      <c r="T136" s="40"/>
      <c r="U136" s="40"/>
      <c r="V136" s="40"/>
      <c r="W136" s="40"/>
      <c r="X136" s="40"/>
      <c r="Y136" s="40"/>
      <c r="Z136" s="40"/>
    </row>
    <row r="137">
      <c r="A137" s="71">
        <v>46218.0</v>
      </c>
      <c r="B137" s="72" t="s">
        <v>811</v>
      </c>
      <c r="C137" s="23"/>
      <c r="D137" s="23"/>
      <c r="E137" s="40"/>
      <c r="F137" s="40"/>
      <c r="G137" s="40"/>
      <c r="H137" s="40"/>
      <c r="I137" s="40"/>
      <c r="J137" s="40"/>
      <c r="K137" s="40"/>
      <c r="L137" s="40"/>
      <c r="M137" s="40"/>
      <c r="N137" s="40"/>
      <c r="O137" s="40"/>
      <c r="P137" s="40"/>
      <c r="Q137" s="40"/>
      <c r="R137" s="40"/>
      <c r="S137" s="40"/>
      <c r="T137" s="40"/>
      <c r="U137" s="40"/>
      <c r="V137" s="40"/>
      <c r="W137" s="40"/>
      <c r="X137" s="40"/>
      <c r="Y137" s="40"/>
      <c r="Z137" s="40"/>
    </row>
    <row r="138">
      <c r="A138" s="71">
        <v>46221.0</v>
      </c>
      <c r="B138" s="72" t="s">
        <v>810</v>
      </c>
      <c r="C138" s="23"/>
      <c r="D138" s="23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40"/>
      <c r="X138" s="40"/>
      <c r="Y138" s="40"/>
      <c r="Z138" s="40"/>
    </row>
    <row r="139">
      <c r="A139" s="71">
        <v>46221.0</v>
      </c>
      <c r="B139" s="72" t="s">
        <v>812</v>
      </c>
      <c r="C139" s="23"/>
      <c r="D139" s="23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40"/>
      <c r="X139" s="40"/>
      <c r="Y139" s="40"/>
      <c r="Z139" s="40"/>
    </row>
    <row r="140">
      <c r="A140" s="71">
        <v>46225.0</v>
      </c>
      <c r="B140" s="72" t="s">
        <v>811</v>
      </c>
      <c r="C140" s="23"/>
      <c r="D140" s="23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40"/>
      <c r="X140" s="40"/>
      <c r="Y140" s="40"/>
      <c r="Z140" s="40"/>
    </row>
    <row r="141">
      <c r="A141" s="71">
        <v>46228.0</v>
      </c>
      <c r="B141" s="72" t="s">
        <v>810</v>
      </c>
      <c r="C141" s="23"/>
      <c r="D141" s="23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40"/>
      <c r="X141" s="40"/>
      <c r="Y141" s="40"/>
      <c r="Z141" s="40"/>
    </row>
    <row r="142">
      <c r="A142" s="71">
        <v>46228.0</v>
      </c>
      <c r="B142" s="72" t="s">
        <v>812</v>
      </c>
      <c r="C142" s="23"/>
      <c r="D142" s="23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0"/>
    </row>
    <row r="143">
      <c r="A143" s="71">
        <v>46232.0</v>
      </c>
      <c r="B143" s="72" t="s">
        <v>811</v>
      </c>
      <c r="C143" s="23"/>
      <c r="D143" s="23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40"/>
      <c r="X143" s="40"/>
      <c r="Y143" s="40"/>
      <c r="Z143" s="40"/>
    </row>
    <row r="144">
      <c r="A144" s="71">
        <v>46235.0</v>
      </c>
      <c r="B144" s="72" t="s">
        <v>810</v>
      </c>
      <c r="C144" s="23"/>
      <c r="D144" s="23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40"/>
      <c r="X144" s="40"/>
      <c r="Y144" s="40"/>
      <c r="Z144" s="40"/>
    </row>
    <row r="145">
      <c r="A145" s="71">
        <v>46235.0</v>
      </c>
      <c r="B145" s="72" t="s">
        <v>812</v>
      </c>
      <c r="C145" s="23"/>
      <c r="D145" s="23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40"/>
      <c r="X145" s="40"/>
      <c r="Y145" s="40"/>
      <c r="Z145" s="40"/>
    </row>
    <row r="146">
      <c r="A146" s="71">
        <v>46239.0</v>
      </c>
      <c r="B146" s="72" t="s">
        <v>811</v>
      </c>
      <c r="C146" s="23"/>
      <c r="D146" s="23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40"/>
      <c r="X146" s="40"/>
      <c r="Y146" s="40"/>
      <c r="Z146" s="40"/>
    </row>
    <row r="147">
      <c r="A147" s="71">
        <v>46242.0</v>
      </c>
      <c r="B147" s="72" t="s">
        <v>810</v>
      </c>
      <c r="C147" s="23"/>
      <c r="D147" s="23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40"/>
      <c r="X147" s="40"/>
      <c r="Y147" s="40"/>
      <c r="Z147" s="40"/>
    </row>
    <row r="148">
      <c r="A148" s="71">
        <v>46242.0</v>
      </c>
      <c r="B148" s="72" t="s">
        <v>812</v>
      </c>
      <c r="C148" s="23"/>
      <c r="D148" s="23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0"/>
    </row>
    <row r="149">
      <c r="A149" s="71">
        <v>46246.0</v>
      </c>
      <c r="B149" s="72" t="s">
        <v>811</v>
      </c>
      <c r="C149" s="23"/>
      <c r="D149" s="23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</row>
    <row r="150">
      <c r="A150" s="71">
        <v>46249.0</v>
      </c>
      <c r="B150" s="72" t="s">
        <v>810</v>
      </c>
      <c r="C150" s="23"/>
      <c r="D150" s="23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40"/>
      <c r="X150" s="40"/>
      <c r="Y150" s="40"/>
      <c r="Z150" s="40"/>
    </row>
    <row r="151">
      <c r="A151" s="71">
        <v>46249.0</v>
      </c>
      <c r="B151" s="72" t="s">
        <v>812</v>
      </c>
      <c r="C151" s="23"/>
      <c r="D151" s="23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40"/>
      <c r="X151" s="40"/>
      <c r="Y151" s="40"/>
      <c r="Z151" s="40"/>
    </row>
    <row r="152">
      <c r="A152" s="71">
        <v>46253.0</v>
      </c>
      <c r="B152" s="72" t="s">
        <v>811</v>
      </c>
      <c r="C152" s="23"/>
      <c r="D152" s="23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40"/>
      <c r="X152" s="40"/>
      <c r="Y152" s="40"/>
      <c r="Z152" s="40"/>
    </row>
    <row r="153">
      <c r="A153" s="71">
        <v>46256.0</v>
      </c>
      <c r="B153" s="72" t="s">
        <v>810</v>
      </c>
      <c r="C153" s="23"/>
      <c r="D153" s="23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40"/>
      <c r="X153" s="40"/>
      <c r="Y153" s="40"/>
      <c r="Z153" s="40"/>
    </row>
    <row r="154">
      <c r="A154" s="71">
        <v>46256.0</v>
      </c>
      <c r="B154" s="72" t="s">
        <v>812</v>
      </c>
      <c r="C154" s="23"/>
      <c r="D154" s="23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40"/>
      <c r="X154" s="40"/>
      <c r="Y154" s="40"/>
      <c r="Z154" s="40"/>
    </row>
    <row r="155">
      <c r="A155" s="71">
        <v>46260.0</v>
      </c>
      <c r="B155" s="72" t="s">
        <v>811</v>
      </c>
      <c r="C155" s="23"/>
      <c r="D155" s="23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40"/>
      <c r="X155" s="40"/>
      <c r="Y155" s="40"/>
      <c r="Z155" s="40"/>
    </row>
    <row r="156">
      <c r="A156" s="71">
        <v>46263.0</v>
      </c>
      <c r="B156" s="72" t="s">
        <v>810</v>
      </c>
      <c r="C156" s="23"/>
      <c r="D156" s="23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</row>
    <row r="157">
      <c r="A157" s="71">
        <v>46263.0</v>
      </c>
      <c r="B157" s="72" t="s">
        <v>812</v>
      </c>
      <c r="C157" s="23"/>
      <c r="D157" s="23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</row>
    <row r="158">
      <c r="A158" s="71">
        <v>46267.0</v>
      </c>
      <c r="B158" s="72" t="s">
        <v>811</v>
      </c>
      <c r="C158" s="23"/>
      <c r="D158" s="23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</row>
    <row r="159">
      <c r="A159" s="71">
        <v>46270.0</v>
      </c>
      <c r="B159" s="72" t="s">
        <v>810</v>
      </c>
      <c r="C159" s="23"/>
      <c r="D159" s="23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</row>
    <row r="160">
      <c r="A160" s="71">
        <v>46270.0</v>
      </c>
      <c r="B160" s="72" t="s">
        <v>812</v>
      </c>
      <c r="C160" s="23"/>
      <c r="D160" s="23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</row>
    <row r="161">
      <c r="A161" s="71">
        <v>46274.0</v>
      </c>
      <c r="B161" s="72" t="s">
        <v>811</v>
      </c>
      <c r="C161" s="23"/>
      <c r="D161" s="23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</row>
    <row r="162">
      <c r="A162" s="71">
        <v>46277.0</v>
      </c>
      <c r="B162" s="72" t="s">
        <v>810</v>
      </c>
      <c r="C162" s="23"/>
      <c r="D162" s="23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</row>
    <row r="163">
      <c r="A163" s="71">
        <v>46277.0</v>
      </c>
      <c r="B163" s="72" t="s">
        <v>812</v>
      </c>
      <c r="C163" s="23"/>
      <c r="D163" s="23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</row>
    <row r="164">
      <c r="A164" s="71">
        <v>46281.0</v>
      </c>
      <c r="B164" s="72" t="s">
        <v>811</v>
      </c>
      <c r="C164" s="23"/>
      <c r="D164" s="23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</row>
    <row r="165">
      <c r="A165" s="71">
        <v>46284.0</v>
      </c>
      <c r="B165" s="72" t="s">
        <v>810</v>
      </c>
      <c r="C165" s="23"/>
      <c r="D165" s="23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</row>
    <row r="166">
      <c r="A166" s="71">
        <v>46284.0</v>
      </c>
      <c r="B166" s="72" t="s">
        <v>812</v>
      </c>
      <c r="C166" s="23"/>
      <c r="D166" s="23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</row>
    <row r="167">
      <c r="A167" s="71">
        <v>46288.0</v>
      </c>
      <c r="B167" s="72" t="s">
        <v>811</v>
      </c>
      <c r="C167" s="23"/>
      <c r="D167" s="23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</row>
    <row r="168">
      <c r="A168" s="71">
        <v>46291.0</v>
      </c>
      <c r="B168" s="72" t="s">
        <v>810</v>
      </c>
      <c r="C168" s="23"/>
      <c r="D168" s="23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40"/>
      <c r="X168" s="40"/>
      <c r="Y168" s="40"/>
      <c r="Z168" s="40"/>
    </row>
    <row r="169">
      <c r="A169" s="71">
        <v>46291.0</v>
      </c>
      <c r="B169" s="72" t="s">
        <v>812</v>
      </c>
      <c r="C169" s="23"/>
      <c r="D169" s="23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40"/>
      <c r="X169" s="40"/>
      <c r="Y169" s="40"/>
      <c r="Z169" s="40"/>
    </row>
    <row r="170">
      <c r="A170" s="71">
        <v>46295.0</v>
      </c>
      <c r="B170" s="72" t="s">
        <v>811</v>
      </c>
      <c r="C170" s="23"/>
      <c r="D170" s="23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40"/>
      <c r="X170" s="40"/>
      <c r="Y170" s="40"/>
      <c r="Z170" s="40"/>
    </row>
    <row r="171">
      <c r="A171" s="71">
        <v>46298.0</v>
      </c>
      <c r="B171" s="72" t="s">
        <v>810</v>
      </c>
      <c r="C171" s="23"/>
      <c r="D171" s="23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40"/>
      <c r="X171" s="40"/>
      <c r="Y171" s="40"/>
      <c r="Z171" s="40"/>
    </row>
    <row r="172">
      <c r="A172" s="71">
        <v>46298.0</v>
      </c>
      <c r="B172" s="72" t="s">
        <v>812</v>
      </c>
      <c r="C172" s="23"/>
      <c r="D172" s="23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40"/>
      <c r="X172" s="40"/>
      <c r="Y172" s="40"/>
      <c r="Z172" s="40"/>
    </row>
    <row r="173">
      <c r="A173" s="71">
        <v>46302.0</v>
      </c>
      <c r="B173" s="72" t="s">
        <v>811</v>
      </c>
      <c r="C173" s="23"/>
      <c r="D173" s="23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40"/>
      <c r="X173" s="40"/>
      <c r="Y173" s="40"/>
      <c r="Z173" s="40"/>
    </row>
    <row r="174">
      <c r="A174" s="71">
        <v>46305.0</v>
      </c>
      <c r="B174" s="72" t="s">
        <v>810</v>
      </c>
      <c r="C174" s="23"/>
      <c r="D174" s="23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40"/>
      <c r="X174" s="40"/>
      <c r="Y174" s="40"/>
      <c r="Z174" s="40"/>
    </row>
    <row r="175">
      <c r="A175" s="71">
        <v>46305.0</v>
      </c>
      <c r="B175" s="72" t="s">
        <v>812</v>
      </c>
      <c r="C175" s="23"/>
      <c r="D175" s="23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40"/>
      <c r="X175" s="40"/>
      <c r="Y175" s="40"/>
      <c r="Z175" s="40"/>
    </row>
    <row r="176">
      <c r="A176" s="71">
        <v>46309.0</v>
      </c>
      <c r="B176" s="72" t="s">
        <v>811</v>
      </c>
      <c r="C176" s="23"/>
      <c r="D176" s="23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40"/>
      <c r="X176" s="40"/>
      <c r="Y176" s="40"/>
      <c r="Z176" s="40"/>
    </row>
    <row r="177">
      <c r="A177" s="71">
        <v>46312.0</v>
      </c>
      <c r="B177" s="72" t="s">
        <v>810</v>
      </c>
      <c r="C177" s="23"/>
      <c r="D177" s="23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40"/>
      <c r="X177" s="40"/>
      <c r="Y177" s="40"/>
      <c r="Z177" s="40"/>
    </row>
    <row r="178">
      <c r="A178" s="71">
        <v>46312.0</v>
      </c>
      <c r="B178" s="72" t="s">
        <v>812</v>
      </c>
      <c r="C178" s="23"/>
      <c r="D178" s="23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40"/>
      <c r="X178" s="40"/>
      <c r="Y178" s="40"/>
      <c r="Z178" s="40"/>
    </row>
    <row r="179">
      <c r="A179" s="71">
        <v>46316.0</v>
      </c>
      <c r="B179" s="72" t="s">
        <v>811</v>
      </c>
      <c r="C179" s="23"/>
      <c r="D179" s="23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40"/>
      <c r="X179" s="40"/>
      <c r="Y179" s="40"/>
      <c r="Z179" s="40"/>
    </row>
    <row r="180">
      <c r="A180" s="71">
        <v>46319.0</v>
      </c>
      <c r="B180" s="72" t="s">
        <v>810</v>
      </c>
      <c r="C180" s="23"/>
      <c r="D180" s="23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0"/>
    </row>
    <row r="181">
      <c r="A181" s="71">
        <v>46319.0</v>
      </c>
      <c r="B181" s="72" t="s">
        <v>812</v>
      </c>
      <c r="C181" s="23"/>
      <c r="D181" s="23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</row>
    <row r="182">
      <c r="A182" s="71">
        <v>46323.0</v>
      </c>
      <c r="B182" s="72" t="s">
        <v>811</v>
      </c>
      <c r="C182" s="23"/>
      <c r="D182" s="23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40"/>
      <c r="X182" s="40"/>
      <c r="Y182" s="40"/>
      <c r="Z182" s="40"/>
    </row>
    <row r="183">
      <c r="A183" s="71">
        <v>46326.0</v>
      </c>
      <c r="B183" s="72" t="s">
        <v>810</v>
      </c>
      <c r="C183" s="23"/>
      <c r="D183" s="23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40"/>
      <c r="X183" s="40"/>
      <c r="Y183" s="40"/>
      <c r="Z183" s="40"/>
    </row>
    <row r="184">
      <c r="A184" s="71">
        <v>46326.0</v>
      </c>
      <c r="B184" s="72" t="s">
        <v>812</v>
      </c>
      <c r="C184" s="23"/>
      <c r="D184" s="23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40"/>
      <c r="X184" s="40"/>
      <c r="Y184" s="40"/>
      <c r="Z184" s="40"/>
    </row>
    <row r="185">
      <c r="A185" s="71">
        <v>46330.0</v>
      </c>
      <c r="B185" s="72" t="s">
        <v>811</v>
      </c>
      <c r="C185" s="23"/>
      <c r="D185" s="23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40"/>
      <c r="X185" s="40"/>
      <c r="Y185" s="40"/>
      <c r="Z185" s="40"/>
    </row>
    <row r="186">
      <c r="A186" s="71">
        <v>46333.0</v>
      </c>
      <c r="B186" s="72" t="s">
        <v>810</v>
      </c>
      <c r="C186" s="23"/>
      <c r="D186" s="23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40"/>
      <c r="X186" s="40"/>
      <c r="Y186" s="40"/>
      <c r="Z186" s="40"/>
    </row>
    <row r="187">
      <c r="A187" s="71">
        <v>46333.0</v>
      </c>
      <c r="B187" s="72" t="s">
        <v>812</v>
      </c>
      <c r="C187" s="23"/>
      <c r="D187" s="23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</row>
    <row r="188">
      <c r="A188" s="71">
        <v>46337.0</v>
      </c>
      <c r="B188" s="72" t="s">
        <v>811</v>
      </c>
      <c r="C188" s="23"/>
      <c r="D188" s="23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0"/>
    </row>
    <row r="189">
      <c r="A189" s="71">
        <v>46340.0</v>
      </c>
      <c r="B189" s="72" t="s">
        <v>810</v>
      </c>
      <c r="C189" s="23"/>
      <c r="D189" s="23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40"/>
      <c r="X189" s="40"/>
      <c r="Y189" s="40"/>
      <c r="Z189" s="40"/>
    </row>
    <row r="190">
      <c r="A190" s="71">
        <v>46340.0</v>
      </c>
      <c r="B190" s="72" t="s">
        <v>812</v>
      </c>
      <c r="C190" s="23"/>
      <c r="D190" s="23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40"/>
      <c r="X190" s="40"/>
      <c r="Y190" s="40"/>
      <c r="Z190" s="40"/>
    </row>
    <row r="191">
      <c r="A191" s="71">
        <v>46344.0</v>
      </c>
      <c r="B191" s="72" t="s">
        <v>811</v>
      </c>
      <c r="C191" s="23"/>
      <c r="D191" s="23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40"/>
      <c r="X191" s="40"/>
      <c r="Y191" s="40"/>
      <c r="Z191" s="40"/>
    </row>
    <row r="192">
      <c r="A192" s="71">
        <v>46347.0</v>
      </c>
      <c r="B192" s="72" t="s">
        <v>810</v>
      </c>
      <c r="C192" s="23"/>
      <c r="D192" s="23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40"/>
      <c r="X192" s="40"/>
      <c r="Y192" s="40"/>
      <c r="Z192" s="40"/>
    </row>
    <row r="193">
      <c r="A193" s="71">
        <v>46347.0</v>
      </c>
      <c r="B193" s="72" t="s">
        <v>812</v>
      </c>
      <c r="C193" s="23"/>
      <c r="D193" s="23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40"/>
      <c r="X193" s="40"/>
      <c r="Y193" s="40"/>
      <c r="Z193" s="40"/>
    </row>
    <row r="194">
      <c r="A194" s="71">
        <v>46351.0</v>
      </c>
      <c r="B194" s="72" t="s">
        <v>811</v>
      </c>
      <c r="C194" s="23"/>
      <c r="D194" s="23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40"/>
      <c r="X194" s="40"/>
      <c r="Y194" s="40"/>
      <c r="Z194" s="40"/>
    </row>
    <row r="195">
      <c r="A195" s="71">
        <v>46354.0</v>
      </c>
      <c r="B195" s="72" t="s">
        <v>810</v>
      </c>
      <c r="C195" s="23"/>
      <c r="D195" s="23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</row>
    <row r="196">
      <c r="A196" s="71">
        <v>46354.0</v>
      </c>
      <c r="B196" s="72" t="s">
        <v>812</v>
      </c>
      <c r="C196" s="23"/>
      <c r="D196" s="23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40"/>
      <c r="X196" s="40"/>
      <c r="Y196" s="40"/>
      <c r="Z196" s="40"/>
    </row>
    <row r="197">
      <c r="A197" s="71">
        <v>46358.0</v>
      </c>
      <c r="B197" s="72" t="s">
        <v>811</v>
      </c>
      <c r="C197" s="23"/>
      <c r="D197" s="23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40"/>
      <c r="X197" s="40"/>
      <c r="Y197" s="40"/>
      <c r="Z197" s="40"/>
    </row>
    <row r="198">
      <c r="A198" s="71">
        <v>46361.0</v>
      </c>
      <c r="B198" s="72" t="s">
        <v>810</v>
      </c>
      <c r="C198" s="23"/>
      <c r="D198" s="23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40"/>
      <c r="X198" s="40"/>
      <c r="Y198" s="40"/>
      <c r="Z198" s="40"/>
    </row>
    <row r="199">
      <c r="A199" s="71">
        <v>46361.0</v>
      </c>
      <c r="B199" s="72" t="s">
        <v>812</v>
      </c>
      <c r="C199" s="23"/>
      <c r="D199" s="23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40"/>
      <c r="X199" s="40"/>
      <c r="Y199" s="40"/>
      <c r="Z199" s="40"/>
    </row>
    <row r="200">
      <c r="A200" s="71">
        <v>46365.0</v>
      </c>
      <c r="B200" s="72" t="s">
        <v>811</v>
      </c>
      <c r="C200" s="23"/>
      <c r="D200" s="23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40"/>
      <c r="X200" s="40"/>
      <c r="Y200" s="40"/>
      <c r="Z200" s="40"/>
    </row>
    <row r="201">
      <c r="A201" s="71">
        <v>46368.0</v>
      </c>
      <c r="B201" s="72" t="s">
        <v>810</v>
      </c>
      <c r="C201" s="23"/>
      <c r="D201" s="23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40"/>
      <c r="X201" s="40"/>
      <c r="Y201" s="40"/>
      <c r="Z201" s="40"/>
    </row>
    <row r="202">
      <c r="A202" s="71">
        <v>46368.0</v>
      </c>
      <c r="B202" s="72" t="s">
        <v>812</v>
      </c>
      <c r="C202" s="23"/>
      <c r="D202" s="23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40"/>
      <c r="X202" s="40"/>
      <c r="Y202" s="40"/>
      <c r="Z202" s="40"/>
    </row>
    <row r="203">
      <c r="A203" s="71">
        <v>46372.0</v>
      </c>
      <c r="B203" s="72" t="s">
        <v>811</v>
      </c>
      <c r="C203" s="23"/>
      <c r="D203" s="23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40"/>
      <c r="X203" s="40"/>
      <c r="Y203" s="40"/>
      <c r="Z203" s="40"/>
    </row>
    <row r="204">
      <c r="A204" s="71">
        <v>46375.0</v>
      </c>
      <c r="B204" s="72" t="s">
        <v>810</v>
      </c>
      <c r="C204" s="23"/>
      <c r="D204" s="23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40"/>
      <c r="X204" s="40"/>
      <c r="Y204" s="40"/>
      <c r="Z204" s="40"/>
    </row>
    <row r="205">
      <c r="A205" s="71">
        <v>46375.0</v>
      </c>
      <c r="B205" s="72" t="s">
        <v>812</v>
      </c>
      <c r="C205" s="23"/>
      <c r="D205" s="23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</row>
    <row r="206">
      <c r="A206" s="71">
        <v>46379.0</v>
      </c>
      <c r="B206" s="72" t="s">
        <v>811</v>
      </c>
      <c r="C206" s="23"/>
      <c r="D206" s="23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40"/>
      <c r="X206" s="40"/>
      <c r="Y206" s="40"/>
      <c r="Z206" s="40"/>
    </row>
    <row r="207">
      <c r="A207" s="71">
        <v>46382.0</v>
      </c>
      <c r="B207" s="72" t="s">
        <v>810</v>
      </c>
      <c r="C207" s="23"/>
      <c r="D207" s="23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40"/>
      <c r="X207" s="40"/>
      <c r="Y207" s="40"/>
      <c r="Z207" s="40"/>
    </row>
    <row r="208">
      <c r="A208" s="71">
        <v>46382.0</v>
      </c>
      <c r="B208" s="72" t="s">
        <v>812</v>
      </c>
      <c r="C208" s="23"/>
      <c r="D208" s="23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40"/>
      <c r="X208" s="40"/>
      <c r="Y208" s="40"/>
      <c r="Z208" s="40"/>
    </row>
    <row r="209">
      <c r="A209" s="71">
        <v>46386.0</v>
      </c>
      <c r="B209" s="72" t="s">
        <v>811</v>
      </c>
      <c r="C209" s="23"/>
      <c r="D209" s="23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40"/>
      <c r="X209" s="40"/>
      <c r="Y209" s="40"/>
      <c r="Z209" s="40"/>
    </row>
    <row r="210">
      <c r="A210" s="72"/>
      <c r="B210" s="72"/>
      <c r="C210" s="23"/>
      <c r="D210" s="23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40"/>
      <c r="X210" s="40"/>
      <c r="Y210" s="40"/>
      <c r="Z210" s="40"/>
    </row>
    <row r="211">
      <c r="A211" s="72"/>
      <c r="B211" s="72"/>
      <c r="C211" s="23"/>
      <c r="D211" s="23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40"/>
      <c r="X211" s="40"/>
      <c r="Y211" s="40"/>
      <c r="Z211" s="40"/>
    </row>
    <row r="212">
      <c r="A212" s="72"/>
      <c r="B212" s="72"/>
      <c r="C212" s="23"/>
      <c r="D212" s="23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40"/>
      <c r="X212" s="40"/>
      <c r="Y212" s="40"/>
      <c r="Z212" s="40"/>
    </row>
    <row r="213">
      <c r="A213" s="72"/>
      <c r="B213" s="72"/>
      <c r="C213" s="23"/>
      <c r="D213" s="23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40"/>
      <c r="X213" s="40"/>
      <c r="Y213" s="40"/>
      <c r="Z213" s="40"/>
    </row>
    <row r="214">
      <c r="A214" s="72"/>
      <c r="B214" s="72"/>
      <c r="C214" s="23"/>
      <c r="D214" s="23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40"/>
      <c r="X214" s="40"/>
      <c r="Y214" s="40"/>
      <c r="Z214" s="40"/>
    </row>
    <row r="215">
      <c r="A215" s="72"/>
      <c r="B215" s="72"/>
      <c r="C215" s="23"/>
      <c r="D215" s="23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40"/>
      <c r="X215" s="40"/>
      <c r="Y215" s="40"/>
      <c r="Z215" s="40"/>
    </row>
    <row r="216">
      <c r="A216" s="72"/>
      <c r="B216" s="72"/>
      <c r="C216" s="23"/>
      <c r="D216" s="23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40"/>
      <c r="X216" s="40"/>
      <c r="Y216" s="40"/>
      <c r="Z216" s="40"/>
    </row>
    <row r="217">
      <c r="A217" s="72"/>
      <c r="B217" s="72"/>
      <c r="C217" s="23"/>
      <c r="D217" s="23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40"/>
      <c r="X217" s="40"/>
      <c r="Y217" s="40"/>
      <c r="Z217" s="40"/>
    </row>
    <row r="218">
      <c r="A218" s="72"/>
      <c r="B218" s="72"/>
      <c r="C218" s="23"/>
      <c r="D218" s="23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0"/>
    </row>
    <row r="219">
      <c r="A219" s="72"/>
      <c r="B219" s="72"/>
      <c r="C219" s="23"/>
      <c r="D219" s="23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40"/>
      <c r="X219" s="40"/>
      <c r="Y219" s="40"/>
      <c r="Z219" s="40"/>
    </row>
    <row r="220">
      <c r="A220" s="72"/>
      <c r="B220" s="72"/>
      <c r="C220" s="23"/>
      <c r="D220" s="23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40"/>
      <c r="X220" s="40"/>
      <c r="Y220" s="40"/>
      <c r="Z220" s="40"/>
    </row>
    <row r="221">
      <c r="A221" s="72"/>
      <c r="B221" s="72"/>
      <c r="C221" s="23"/>
      <c r="D221" s="23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40"/>
      <c r="X221" s="40"/>
      <c r="Y221" s="40"/>
      <c r="Z221" s="40"/>
    </row>
    <row r="222">
      <c r="A222" s="72"/>
      <c r="B222" s="72"/>
      <c r="C222" s="23"/>
      <c r="D222" s="23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40"/>
      <c r="X222" s="40"/>
      <c r="Y222" s="40"/>
      <c r="Z222" s="40"/>
    </row>
    <row r="223">
      <c r="A223" s="72"/>
      <c r="B223" s="72"/>
      <c r="C223" s="23"/>
      <c r="D223" s="23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40"/>
      <c r="X223" s="40"/>
      <c r="Y223" s="40"/>
      <c r="Z223" s="40"/>
    </row>
    <row r="224">
      <c r="A224" s="72"/>
      <c r="B224" s="72"/>
      <c r="C224" s="23"/>
      <c r="D224" s="23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40"/>
      <c r="X224" s="40"/>
      <c r="Y224" s="40"/>
      <c r="Z224" s="40"/>
    </row>
    <row r="225">
      <c r="A225" s="72"/>
      <c r="B225" s="72"/>
      <c r="C225" s="23"/>
      <c r="D225" s="23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40"/>
      <c r="X225" s="40"/>
      <c r="Y225" s="40"/>
      <c r="Z225" s="40"/>
    </row>
    <row r="226">
      <c r="A226" s="72"/>
      <c r="B226" s="72"/>
      <c r="C226" s="23"/>
      <c r="D226" s="23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40"/>
      <c r="X226" s="40"/>
      <c r="Y226" s="40"/>
      <c r="Z226" s="40"/>
    </row>
    <row r="227">
      <c r="A227" s="72"/>
      <c r="B227" s="72"/>
      <c r="C227" s="23"/>
      <c r="D227" s="23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40"/>
      <c r="X227" s="40"/>
      <c r="Y227" s="40"/>
      <c r="Z227" s="40"/>
    </row>
    <row r="228">
      <c r="A228" s="72"/>
      <c r="B228" s="72"/>
      <c r="C228" s="23"/>
      <c r="D228" s="23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0"/>
    </row>
    <row r="229">
      <c r="A229" s="72"/>
      <c r="B229" s="72"/>
      <c r="C229" s="23"/>
      <c r="D229" s="23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40"/>
      <c r="X229" s="40"/>
      <c r="Y229" s="40"/>
      <c r="Z229" s="40"/>
    </row>
    <row r="230">
      <c r="A230" s="72"/>
      <c r="B230" s="72"/>
      <c r="C230" s="23"/>
      <c r="D230" s="23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40"/>
      <c r="X230" s="40"/>
      <c r="Y230" s="40"/>
      <c r="Z230" s="40"/>
    </row>
    <row r="231">
      <c r="A231" s="72"/>
      <c r="B231" s="72"/>
      <c r="C231" s="23"/>
      <c r="D231" s="23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40"/>
      <c r="X231" s="40"/>
      <c r="Y231" s="40"/>
      <c r="Z231" s="40"/>
    </row>
    <row r="232">
      <c r="A232" s="72"/>
      <c r="B232" s="72"/>
      <c r="C232" s="23"/>
      <c r="D232" s="23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40"/>
      <c r="X232" s="40"/>
      <c r="Y232" s="40"/>
      <c r="Z232" s="40"/>
    </row>
    <row r="233">
      <c r="A233" s="72"/>
      <c r="B233" s="72"/>
      <c r="C233" s="23"/>
      <c r="D233" s="23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40"/>
      <c r="X233" s="40"/>
      <c r="Y233" s="40"/>
      <c r="Z233" s="40"/>
    </row>
    <row r="234">
      <c r="A234" s="72"/>
      <c r="B234" s="72"/>
      <c r="C234" s="23"/>
      <c r="D234" s="23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40"/>
      <c r="X234" s="40"/>
      <c r="Y234" s="40"/>
      <c r="Z234" s="40"/>
    </row>
    <row r="235">
      <c r="A235" s="72"/>
      <c r="B235" s="72"/>
      <c r="C235" s="23"/>
      <c r="D235" s="23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40"/>
      <c r="X235" s="40"/>
      <c r="Y235" s="40"/>
      <c r="Z235" s="40"/>
    </row>
    <row r="236">
      <c r="A236" s="72"/>
      <c r="B236" s="72"/>
      <c r="C236" s="23"/>
      <c r="D236" s="23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40"/>
      <c r="X236" s="40"/>
      <c r="Y236" s="40"/>
      <c r="Z236" s="40"/>
    </row>
    <row r="237">
      <c r="A237" s="72"/>
      <c r="B237" s="72"/>
      <c r="C237" s="23"/>
      <c r="D237" s="23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40"/>
      <c r="X237" s="40"/>
      <c r="Y237" s="40"/>
      <c r="Z237" s="40"/>
    </row>
    <row r="238">
      <c r="A238" s="72"/>
      <c r="B238" s="72"/>
      <c r="C238" s="23"/>
      <c r="D238" s="23"/>
      <c r="E238" s="40"/>
      <c r="F238" s="40"/>
      <c r="G238" s="40"/>
      <c r="H238" s="40"/>
      <c r="I238" s="40"/>
      <c r="J238" s="40"/>
      <c r="K238" s="40"/>
      <c r="L238" s="40"/>
      <c r="M238" s="40"/>
      <c r="N238" s="40"/>
      <c r="O238" s="40"/>
      <c r="P238" s="40"/>
      <c r="Q238" s="40"/>
      <c r="R238" s="40"/>
      <c r="S238" s="40"/>
      <c r="T238" s="40"/>
      <c r="U238" s="40"/>
      <c r="V238" s="40"/>
      <c r="W238" s="40"/>
      <c r="X238" s="40"/>
      <c r="Y238" s="40"/>
      <c r="Z238" s="40"/>
    </row>
    <row r="239">
      <c r="A239" s="72"/>
      <c r="B239" s="72"/>
      <c r="C239" s="23"/>
      <c r="D239" s="23"/>
      <c r="E239" s="40"/>
      <c r="F239" s="40"/>
      <c r="G239" s="40"/>
      <c r="H239" s="40"/>
      <c r="I239" s="40"/>
      <c r="J239" s="40"/>
      <c r="K239" s="40"/>
      <c r="L239" s="40"/>
      <c r="M239" s="40"/>
      <c r="N239" s="40"/>
      <c r="O239" s="40"/>
      <c r="P239" s="40"/>
      <c r="Q239" s="40"/>
      <c r="R239" s="40"/>
      <c r="S239" s="40"/>
      <c r="T239" s="40"/>
      <c r="U239" s="40"/>
      <c r="V239" s="40"/>
      <c r="W239" s="40"/>
      <c r="X239" s="40"/>
      <c r="Y239" s="40"/>
      <c r="Z239" s="40"/>
    </row>
    <row r="240">
      <c r="A240" s="72"/>
      <c r="B240" s="72"/>
      <c r="C240" s="23"/>
      <c r="D240" s="23"/>
      <c r="E240" s="40"/>
      <c r="F240" s="40"/>
      <c r="G240" s="40"/>
      <c r="H240" s="40"/>
      <c r="I240" s="40"/>
      <c r="J240" s="40"/>
      <c r="K240" s="40"/>
      <c r="L240" s="40"/>
      <c r="M240" s="40"/>
      <c r="N240" s="40"/>
      <c r="O240" s="40"/>
      <c r="P240" s="40"/>
      <c r="Q240" s="40"/>
      <c r="R240" s="40"/>
      <c r="S240" s="40"/>
      <c r="T240" s="40"/>
      <c r="U240" s="40"/>
      <c r="V240" s="40"/>
      <c r="W240" s="40"/>
      <c r="X240" s="40"/>
      <c r="Y240" s="40"/>
      <c r="Z240" s="40"/>
    </row>
    <row r="241">
      <c r="A241" s="72"/>
      <c r="B241" s="72"/>
      <c r="C241" s="23"/>
      <c r="D241" s="23"/>
      <c r="E241" s="40"/>
      <c r="F241" s="40"/>
      <c r="G241" s="40"/>
      <c r="H241" s="40"/>
      <c r="I241" s="40"/>
      <c r="J241" s="40"/>
      <c r="K241" s="40"/>
      <c r="L241" s="40"/>
      <c r="M241" s="40"/>
      <c r="N241" s="40"/>
      <c r="O241" s="40"/>
      <c r="P241" s="40"/>
      <c r="Q241" s="40"/>
      <c r="R241" s="40"/>
      <c r="S241" s="40"/>
      <c r="T241" s="40"/>
      <c r="U241" s="40"/>
      <c r="V241" s="40"/>
      <c r="W241" s="40"/>
      <c r="X241" s="40"/>
      <c r="Y241" s="40"/>
      <c r="Z241" s="40"/>
    </row>
    <row r="242">
      <c r="A242" s="72"/>
      <c r="B242" s="72"/>
      <c r="C242" s="23"/>
      <c r="D242" s="23"/>
      <c r="E242" s="40"/>
      <c r="F242" s="40"/>
      <c r="G242" s="40"/>
      <c r="H242" s="40"/>
      <c r="I242" s="40"/>
      <c r="J242" s="40"/>
      <c r="K242" s="40"/>
      <c r="L242" s="40"/>
      <c r="M242" s="40"/>
      <c r="N242" s="40"/>
      <c r="O242" s="40"/>
      <c r="P242" s="40"/>
      <c r="Q242" s="40"/>
      <c r="R242" s="40"/>
      <c r="S242" s="40"/>
      <c r="T242" s="40"/>
      <c r="U242" s="40"/>
      <c r="V242" s="40"/>
      <c r="W242" s="40"/>
      <c r="X242" s="40"/>
      <c r="Y242" s="40"/>
      <c r="Z242" s="40"/>
    </row>
    <row r="243">
      <c r="A243" s="72"/>
      <c r="B243" s="72"/>
      <c r="C243" s="23"/>
      <c r="D243" s="23"/>
      <c r="E243" s="40"/>
      <c r="F243" s="40"/>
      <c r="G243" s="40"/>
      <c r="H243" s="40"/>
      <c r="I243" s="40"/>
      <c r="J243" s="40"/>
      <c r="K243" s="40"/>
      <c r="L243" s="40"/>
      <c r="M243" s="40"/>
      <c r="N243" s="40"/>
      <c r="O243" s="40"/>
      <c r="P243" s="40"/>
      <c r="Q243" s="40"/>
      <c r="R243" s="40"/>
      <c r="S243" s="40"/>
      <c r="T243" s="40"/>
      <c r="U243" s="40"/>
      <c r="V243" s="40"/>
      <c r="W243" s="40"/>
      <c r="X243" s="40"/>
      <c r="Y243" s="40"/>
      <c r="Z243" s="40"/>
    </row>
    <row r="244">
      <c r="A244" s="72"/>
      <c r="B244" s="72"/>
      <c r="C244" s="23"/>
      <c r="D244" s="23"/>
      <c r="E244" s="40"/>
      <c r="F244" s="40"/>
      <c r="G244" s="40"/>
      <c r="H244" s="40"/>
      <c r="I244" s="40"/>
      <c r="J244" s="40"/>
      <c r="K244" s="40"/>
      <c r="L244" s="40"/>
      <c r="M244" s="40"/>
      <c r="N244" s="40"/>
      <c r="O244" s="40"/>
      <c r="P244" s="40"/>
      <c r="Q244" s="40"/>
      <c r="R244" s="40"/>
      <c r="S244" s="40"/>
      <c r="T244" s="40"/>
      <c r="U244" s="40"/>
      <c r="V244" s="40"/>
      <c r="W244" s="40"/>
      <c r="X244" s="40"/>
      <c r="Y244" s="40"/>
      <c r="Z244" s="40"/>
    </row>
    <row r="245">
      <c r="A245" s="72"/>
      <c r="B245" s="72"/>
      <c r="C245" s="23"/>
      <c r="D245" s="23"/>
      <c r="E245" s="40"/>
      <c r="F245" s="40"/>
      <c r="G245" s="40"/>
      <c r="H245" s="40"/>
      <c r="I245" s="40"/>
      <c r="J245" s="40"/>
      <c r="K245" s="40"/>
      <c r="L245" s="40"/>
      <c r="M245" s="40"/>
      <c r="N245" s="40"/>
      <c r="O245" s="40"/>
      <c r="P245" s="40"/>
      <c r="Q245" s="40"/>
      <c r="R245" s="40"/>
      <c r="S245" s="40"/>
      <c r="T245" s="40"/>
      <c r="U245" s="40"/>
      <c r="V245" s="40"/>
      <c r="W245" s="40"/>
      <c r="X245" s="40"/>
      <c r="Y245" s="40"/>
      <c r="Z245" s="40"/>
    </row>
    <row r="246">
      <c r="A246" s="72"/>
      <c r="B246" s="72"/>
      <c r="C246" s="23"/>
      <c r="D246" s="23"/>
      <c r="E246" s="40"/>
      <c r="F246" s="40"/>
      <c r="G246" s="40"/>
      <c r="H246" s="40"/>
      <c r="I246" s="40"/>
      <c r="J246" s="40"/>
      <c r="K246" s="40"/>
      <c r="L246" s="40"/>
      <c r="M246" s="40"/>
      <c r="N246" s="40"/>
      <c r="O246" s="40"/>
      <c r="P246" s="40"/>
      <c r="Q246" s="40"/>
      <c r="R246" s="40"/>
      <c r="S246" s="40"/>
      <c r="T246" s="40"/>
      <c r="U246" s="40"/>
      <c r="V246" s="40"/>
      <c r="W246" s="40"/>
      <c r="X246" s="40"/>
      <c r="Y246" s="40"/>
      <c r="Z246" s="40"/>
    </row>
    <row r="247">
      <c r="A247" s="72"/>
      <c r="B247" s="72"/>
      <c r="C247" s="23"/>
      <c r="D247" s="23"/>
      <c r="E247" s="40"/>
      <c r="F247" s="40"/>
      <c r="G247" s="40"/>
      <c r="H247" s="40"/>
      <c r="I247" s="40"/>
      <c r="J247" s="40"/>
      <c r="K247" s="40"/>
      <c r="L247" s="40"/>
      <c r="M247" s="40"/>
      <c r="N247" s="40"/>
      <c r="O247" s="40"/>
      <c r="P247" s="40"/>
      <c r="Q247" s="40"/>
      <c r="R247" s="40"/>
      <c r="S247" s="40"/>
      <c r="T247" s="40"/>
      <c r="U247" s="40"/>
      <c r="V247" s="40"/>
      <c r="W247" s="40"/>
      <c r="X247" s="40"/>
      <c r="Y247" s="40"/>
      <c r="Z247" s="40"/>
    </row>
    <row r="248">
      <c r="A248" s="72"/>
      <c r="B248" s="72"/>
      <c r="C248" s="23"/>
      <c r="D248" s="23"/>
      <c r="E248" s="40"/>
      <c r="F248" s="40"/>
      <c r="G248" s="40"/>
      <c r="H248" s="40"/>
      <c r="I248" s="40"/>
      <c r="J248" s="40"/>
      <c r="K248" s="40"/>
      <c r="L248" s="40"/>
      <c r="M248" s="40"/>
      <c r="N248" s="40"/>
      <c r="O248" s="40"/>
      <c r="P248" s="40"/>
      <c r="Q248" s="40"/>
      <c r="R248" s="40"/>
      <c r="S248" s="40"/>
      <c r="T248" s="40"/>
      <c r="U248" s="40"/>
      <c r="V248" s="40"/>
      <c r="W248" s="40"/>
      <c r="X248" s="40"/>
      <c r="Y248" s="40"/>
      <c r="Z248" s="40"/>
    </row>
    <row r="249">
      <c r="A249" s="72"/>
      <c r="B249" s="72"/>
      <c r="C249" s="23"/>
      <c r="D249" s="23"/>
      <c r="E249" s="40"/>
      <c r="F249" s="40"/>
      <c r="G249" s="40"/>
      <c r="H249" s="40"/>
      <c r="I249" s="40"/>
      <c r="J249" s="40"/>
      <c r="K249" s="40"/>
      <c r="L249" s="40"/>
      <c r="M249" s="40"/>
      <c r="N249" s="40"/>
      <c r="O249" s="40"/>
      <c r="P249" s="40"/>
      <c r="Q249" s="40"/>
      <c r="R249" s="40"/>
      <c r="S249" s="40"/>
      <c r="T249" s="40"/>
      <c r="U249" s="40"/>
      <c r="V249" s="40"/>
      <c r="W249" s="40"/>
      <c r="X249" s="40"/>
      <c r="Y249" s="40"/>
      <c r="Z249" s="40"/>
    </row>
    <row r="250">
      <c r="A250" s="72"/>
      <c r="B250" s="72"/>
      <c r="C250" s="23"/>
      <c r="D250" s="23"/>
      <c r="E250" s="40"/>
      <c r="F250" s="40"/>
      <c r="G250" s="40"/>
      <c r="H250" s="40"/>
      <c r="I250" s="40"/>
      <c r="J250" s="40"/>
      <c r="K250" s="40"/>
      <c r="L250" s="40"/>
      <c r="M250" s="40"/>
      <c r="N250" s="40"/>
      <c r="O250" s="40"/>
      <c r="P250" s="40"/>
      <c r="Q250" s="40"/>
      <c r="R250" s="40"/>
      <c r="S250" s="40"/>
      <c r="T250" s="40"/>
      <c r="U250" s="40"/>
      <c r="V250" s="40"/>
      <c r="W250" s="40"/>
      <c r="X250" s="40"/>
      <c r="Y250" s="40"/>
      <c r="Z250" s="40"/>
    </row>
    <row r="251">
      <c r="A251" s="72"/>
      <c r="B251" s="72"/>
      <c r="C251" s="23"/>
      <c r="D251" s="23"/>
      <c r="E251" s="40"/>
      <c r="F251" s="40"/>
      <c r="G251" s="40"/>
      <c r="H251" s="40"/>
      <c r="I251" s="40"/>
      <c r="J251" s="40"/>
      <c r="K251" s="40"/>
      <c r="L251" s="40"/>
      <c r="M251" s="40"/>
      <c r="N251" s="40"/>
      <c r="O251" s="40"/>
      <c r="P251" s="40"/>
      <c r="Q251" s="40"/>
      <c r="R251" s="40"/>
      <c r="S251" s="40"/>
      <c r="T251" s="40"/>
      <c r="U251" s="40"/>
      <c r="V251" s="40"/>
      <c r="W251" s="40"/>
      <c r="X251" s="40"/>
      <c r="Y251" s="40"/>
      <c r="Z251" s="40"/>
    </row>
    <row r="252">
      <c r="A252" s="72"/>
      <c r="B252" s="72"/>
      <c r="C252" s="23"/>
      <c r="D252" s="23"/>
      <c r="E252" s="40"/>
      <c r="F252" s="40"/>
      <c r="G252" s="40"/>
      <c r="H252" s="40"/>
      <c r="I252" s="40"/>
      <c r="J252" s="40"/>
      <c r="K252" s="40"/>
      <c r="L252" s="40"/>
      <c r="M252" s="40"/>
      <c r="N252" s="40"/>
      <c r="O252" s="40"/>
      <c r="P252" s="40"/>
      <c r="Q252" s="40"/>
      <c r="R252" s="40"/>
      <c r="S252" s="40"/>
      <c r="T252" s="40"/>
      <c r="U252" s="40"/>
      <c r="V252" s="40"/>
      <c r="W252" s="40"/>
      <c r="X252" s="40"/>
      <c r="Y252" s="40"/>
      <c r="Z252" s="40"/>
    </row>
    <row r="253">
      <c r="A253" s="72"/>
      <c r="B253" s="72"/>
      <c r="C253" s="23"/>
      <c r="D253" s="23"/>
      <c r="E253" s="40"/>
      <c r="F253" s="40"/>
      <c r="G253" s="40"/>
      <c r="H253" s="40"/>
      <c r="I253" s="40"/>
      <c r="J253" s="40"/>
      <c r="K253" s="40"/>
      <c r="L253" s="40"/>
      <c r="M253" s="40"/>
      <c r="N253" s="40"/>
      <c r="O253" s="40"/>
      <c r="P253" s="40"/>
      <c r="Q253" s="40"/>
      <c r="R253" s="40"/>
      <c r="S253" s="40"/>
      <c r="T253" s="40"/>
      <c r="U253" s="40"/>
      <c r="V253" s="40"/>
      <c r="W253" s="40"/>
      <c r="X253" s="40"/>
      <c r="Y253" s="40"/>
      <c r="Z253" s="40"/>
    </row>
    <row r="254">
      <c r="A254" s="72"/>
      <c r="B254" s="72"/>
      <c r="C254" s="23"/>
      <c r="D254" s="23"/>
      <c r="E254" s="40"/>
      <c r="F254" s="40"/>
      <c r="G254" s="40"/>
      <c r="H254" s="40"/>
      <c r="I254" s="40"/>
      <c r="J254" s="40"/>
      <c r="K254" s="40"/>
      <c r="L254" s="40"/>
      <c r="M254" s="40"/>
      <c r="N254" s="40"/>
      <c r="O254" s="40"/>
      <c r="P254" s="40"/>
      <c r="Q254" s="40"/>
      <c r="R254" s="40"/>
      <c r="S254" s="40"/>
      <c r="T254" s="40"/>
      <c r="U254" s="40"/>
      <c r="V254" s="40"/>
      <c r="W254" s="40"/>
      <c r="X254" s="40"/>
      <c r="Y254" s="40"/>
      <c r="Z254" s="40"/>
    </row>
    <row r="255">
      <c r="A255" s="72"/>
      <c r="B255" s="72"/>
      <c r="C255" s="23"/>
      <c r="D255" s="23"/>
      <c r="E255" s="40"/>
      <c r="F255" s="40"/>
      <c r="G255" s="40"/>
      <c r="H255" s="40"/>
      <c r="I255" s="40"/>
      <c r="J255" s="40"/>
      <c r="K255" s="40"/>
      <c r="L255" s="40"/>
      <c r="M255" s="40"/>
      <c r="N255" s="40"/>
      <c r="O255" s="40"/>
      <c r="P255" s="40"/>
      <c r="Q255" s="40"/>
      <c r="R255" s="40"/>
      <c r="S255" s="40"/>
      <c r="T255" s="40"/>
      <c r="U255" s="40"/>
      <c r="V255" s="40"/>
      <c r="W255" s="40"/>
      <c r="X255" s="40"/>
      <c r="Y255" s="40"/>
      <c r="Z255" s="40"/>
    </row>
    <row r="256">
      <c r="A256" s="72"/>
      <c r="B256" s="72"/>
      <c r="C256" s="23"/>
      <c r="D256" s="23"/>
      <c r="E256" s="40"/>
      <c r="F256" s="40"/>
      <c r="G256" s="40"/>
      <c r="H256" s="40"/>
      <c r="I256" s="40"/>
      <c r="J256" s="40"/>
      <c r="K256" s="40"/>
      <c r="L256" s="40"/>
      <c r="M256" s="40"/>
      <c r="N256" s="40"/>
      <c r="O256" s="40"/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0"/>
    </row>
    <row r="257">
      <c r="A257" s="72"/>
      <c r="B257" s="72"/>
      <c r="C257" s="23"/>
      <c r="D257" s="23"/>
      <c r="E257" s="40"/>
      <c r="F257" s="40"/>
      <c r="G257" s="40"/>
      <c r="H257" s="40"/>
      <c r="I257" s="40"/>
      <c r="J257" s="40"/>
      <c r="K257" s="40"/>
      <c r="L257" s="40"/>
      <c r="M257" s="40"/>
      <c r="N257" s="40"/>
      <c r="O257" s="40"/>
      <c r="P257" s="40"/>
      <c r="Q257" s="40"/>
      <c r="R257" s="40"/>
      <c r="S257" s="40"/>
      <c r="T257" s="40"/>
      <c r="U257" s="40"/>
      <c r="V257" s="40"/>
      <c r="W257" s="40"/>
      <c r="X257" s="40"/>
      <c r="Y257" s="40"/>
      <c r="Z257" s="40"/>
    </row>
    <row r="258">
      <c r="A258" s="72"/>
      <c r="B258" s="72"/>
      <c r="C258" s="23"/>
      <c r="D258" s="23"/>
      <c r="E258" s="40"/>
      <c r="F258" s="40"/>
      <c r="G258" s="40"/>
      <c r="H258" s="40"/>
      <c r="I258" s="40"/>
      <c r="J258" s="40"/>
      <c r="K258" s="40"/>
      <c r="L258" s="40"/>
      <c r="M258" s="40"/>
      <c r="N258" s="40"/>
      <c r="O258" s="40"/>
      <c r="P258" s="40"/>
      <c r="Q258" s="40"/>
      <c r="R258" s="40"/>
      <c r="S258" s="40"/>
      <c r="T258" s="40"/>
      <c r="U258" s="40"/>
      <c r="V258" s="40"/>
      <c r="W258" s="40"/>
      <c r="X258" s="40"/>
      <c r="Y258" s="40"/>
      <c r="Z258" s="40"/>
    </row>
    <row r="259">
      <c r="A259" s="72"/>
      <c r="B259" s="72"/>
      <c r="C259" s="23"/>
      <c r="D259" s="23"/>
      <c r="E259" s="40"/>
      <c r="F259" s="40"/>
      <c r="G259" s="40"/>
      <c r="H259" s="40"/>
      <c r="I259" s="40"/>
      <c r="J259" s="40"/>
      <c r="K259" s="40"/>
      <c r="L259" s="40"/>
      <c r="M259" s="40"/>
      <c r="N259" s="40"/>
      <c r="O259" s="40"/>
      <c r="P259" s="40"/>
      <c r="Q259" s="40"/>
      <c r="R259" s="40"/>
      <c r="S259" s="40"/>
      <c r="T259" s="40"/>
      <c r="U259" s="40"/>
      <c r="V259" s="40"/>
      <c r="W259" s="40"/>
      <c r="X259" s="40"/>
      <c r="Y259" s="40"/>
      <c r="Z259" s="40"/>
    </row>
    <row r="260">
      <c r="A260" s="72"/>
      <c r="B260" s="72"/>
      <c r="C260" s="23"/>
      <c r="D260" s="23"/>
      <c r="E260" s="40"/>
      <c r="F260" s="40"/>
      <c r="G260" s="40"/>
      <c r="H260" s="40"/>
      <c r="I260" s="40"/>
      <c r="J260" s="40"/>
      <c r="K260" s="40"/>
      <c r="L260" s="40"/>
      <c r="M260" s="40"/>
      <c r="N260" s="40"/>
      <c r="O260" s="40"/>
      <c r="P260" s="40"/>
      <c r="Q260" s="40"/>
      <c r="R260" s="40"/>
      <c r="S260" s="40"/>
      <c r="T260" s="40"/>
      <c r="U260" s="40"/>
      <c r="V260" s="40"/>
      <c r="W260" s="40"/>
      <c r="X260" s="40"/>
      <c r="Y260" s="40"/>
      <c r="Z260" s="40"/>
    </row>
    <row r="261">
      <c r="A261" s="72"/>
      <c r="B261" s="72"/>
      <c r="C261" s="23"/>
      <c r="D261" s="23"/>
      <c r="E261" s="40"/>
      <c r="F261" s="40"/>
      <c r="G261" s="40"/>
      <c r="H261" s="40"/>
      <c r="I261" s="40"/>
      <c r="J261" s="40"/>
      <c r="K261" s="40"/>
      <c r="L261" s="40"/>
      <c r="M261" s="40"/>
      <c r="N261" s="40"/>
      <c r="O261" s="40"/>
      <c r="P261" s="40"/>
      <c r="Q261" s="40"/>
      <c r="R261" s="40"/>
      <c r="S261" s="40"/>
      <c r="T261" s="40"/>
      <c r="U261" s="40"/>
      <c r="V261" s="40"/>
      <c r="W261" s="40"/>
      <c r="X261" s="40"/>
      <c r="Y261" s="40"/>
      <c r="Z261" s="40"/>
    </row>
    <row r="262">
      <c r="A262" s="72"/>
      <c r="B262" s="72"/>
      <c r="C262" s="23"/>
      <c r="D262" s="23"/>
      <c r="E262" s="40"/>
      <c r="F262" s="40"/>
      <c r="G262" s="40"/>
      <c r="H262" s="40"/>
      <c r="I262" s="40"/>
      <c r="J262" s="40"/>
      <c r="K262" s="40"/>
      <c r="L262" s="40"/>
      <c r="M262" s="40"/>
      <c r="N262" s="40"/>
      <c r="O262" s="40"/>
      <c r="P262" s="40"/>
      <c r="Q262" s="40"/>
      <c r="R262" s="40"/>
      <c r="S262" s="40"/>
      <c r="T262" s="40"/>
      <c r="U262" s="40"/>
      <c r="V262" s="40"/>
      <c r="W262" s="40"/>
      <c r="X262" s="40"/>
      <c r="Y262" s="40"/>
      <c r="Z262" s="40"/>
    </row>
    <row r="263">
      <c r="A263" s="72"/>
      <c r="B263" s="72"/>
      <c r="C263" s="23"/>
      <c r="D263" s="23"/>
      <c r="E263" s="40"/>
      <c r="F263" s="40"/>
      <c r="G263" s="40"/>
      <c r="H263" s="40"/>
      <c r="I263" s="40"/>
      <c r="J263" s="40"/>
      <c r="K263" s="40"/>
      <c r="L263" s="40"/>
      <c r="M263" s="40"/>
      <c r="N263" s="40"/>
      <c r="O263" s="40"/>
      <c r="P263" s="40"/>
      <c r="Q263" s="40"/>
      <c r="R263" s="40"/>
      <c r="S263" s="40"/>
      <c r="T263" s="40"/>
      <c r="U263" s="40"/>
      <c r="V263" s="40"/>
      <c r="W263" s="40"/>
      <c r="X263" s="40"/>
      <c r="Y263" s="40"/>
      <c r="Z263" s="40"/>
    </row>
    <row r="264">
      <c r="A264" s="72"/>
      <c r="B264" s="72"/>
      <c r="C264" s="23"/>
      <c r="D264" s="23"/>
      <c r="E264" s="40"/>
      <c r="F264" s="40"/>
      <c r="G264" s="40"/>
      <c r="H264" s="40"/>
      <c r="I264" s="40"/>
      <c r="J264" s="40"/>
      <c r="K264" s="40"/>
      <c r="L264" s="40"/>
      <c r="M264" s="40"/>
      <c r="N264" s="40"/>
      <c r="O264" s="40"/>
      <c r="P264" s="40"/>
      <c r="Q264" s="40"/>
      <c r="R264" s="40"/>
      <c r="S264" s="40"/>
      <c r="T264" s="40"/>
      <c r="U264" s="40"/>
      <c r="V264" s="40"/>
      <c r="W264" s="40"/>
      <c r="X264" s="40"/>
      <c r="Y264" s="40"/>
      <c r="Z264" s="40"/>
    </row>
    <row r="265">
      <c r="A265" s="72"/>
      <c r="B265" s="72"/>
      <c r="C265" s="23"/>
      <c r="D265" s="23"/>
      <c r="E265" s="40"/>
      <c r="F265" s="40"/>
      <c r="G265" s="40"/>
      <c r="H265" s="40"/>
      <c r="I265" s="40"/>
      <c r="J265" s="40"/>
      <c r="K265" s="40"/>
      <c r="L265" s="40"/>
      <c r="M265" s="40"/>
      <c r="N265" s="40"/>
      <c r="O265" s="40"/>
      <c r="P265" s="40"/>
      <c r="Q265" s="40"/>
      <c r="R265" s="40"/>
      <c r="S265" s="40"/>
      <c r="T265" s="40"/>
      <c r="U265" s="40"/>
      <c r="V265" s="40"/>
      <c r="W265" s="40"/>
      <c r="X265" s="40"/>
      <c r="Y265" s="40"/>
      <c r="Z265" s="40"/>
    </row>
    <row r="266">
      <c r="A266" s="72"/>
      <c r="B266" s="72"/>
      <c r="C266" s="23"/>
      <c r="D266" s="23"/>
      <c r="E266" s="40"/>
      <c r="F266" s="40"/>
      <c r="G266" s="40"/>
      <c r="H266" s="40"/>
      <c r="I266" s="40"/>
      <c r="J266" s="40"/>
      <c r="K266" s="40"/>
      <c r="L266" s="40"/>
      <c r="M266" s="40"/>
      <c r="N266" s="40"/>
      <c r="O266" s="40"/>
      <c r="P266" s="40"/>
      <c r="Q266" s="40"/>
      <c r="R266" s="40"/>
      <c r="S266" s="40"/>
      <c r="T266" s="40"/>
      <c r="U266" s="40"/>
      <c r="V266" s="40"/>
      <c r="W266" s="40"/>
      <c r="X266" s="40"/>
      <c r="Y266" s="40"/>
      <c r="Z266" s="40"/>
    </row>
    <row r="267">
      <c r="A267" s="72"/>
      <c r="B267" s="72"/>
      <c r="C267" s="23"/>
      <c r="D267" s="23"/>
      <c r="E267" s="40"/>
      <c r="F267" s="40"/>
      <c r="G267" s="40"/>
      <c r="H267" s="40"/>
      <c r="I267" s="40"/>
      <c r="J267" s="40"/>
      <c r="K267" s="40"/>
      <c r="L267" s="40"/>
      <c r="M267" s="40"/>
      <c r="N267" s="40"/>
      <c r="O267" s="40"/>
      <c r="P267" s="40"/>
      <c r="Q267" s="40"/>
      <c r="R267" s="40"/>
      <c r="S267" s="40"/>
      <c r="T267" s="40"/>
      <c r="U267" s="40"/>
      <c r="V267" s="40"/>
      <c r="W267" s="40"/>
      <c r="X267" s="40"/>
      <c r="Y267" s="40"/>
      <c r="Z267" s="40"/>
    </row>
    <row r="268">
      <c r="A268" s="72"/>
      <c r="B268" s="72"/>
      <c r="C268" s="23"/>
      <c r="D268" s="23"/>
      <c r="E268" s="40"/>
      <c r="F268" s="40"/>
      <c r="G268" s="40"/>
      <c r="H268" s="40"/>
      <c r="I268" s="40"/>
      <c r="J268" s="40"/>
      <c r="K268" s="40"/>
      <c r="L268" s="40"/>
      <c r="M268" s="40"/>
      <c r="N268" s="40"/>
      <c r="O268" s="40"/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0"/>
    </row>
    <row r="269">
      <c r="A269" s="72"/>
      <c r="B269" s="72"/>
      <c r="C269" s="23"/>
      <c r="D269" s="23"/>
      <c r="E269" s="40"/>
      <c r="F269" s="40"/>
      <c r="G269" s="40"/>
      <c r="H269" s="40"/>
      <c r="I269" s="40"/>
      <c r="J269" s="40"/>
      <c r="K269" s="40"/>
      <c r="L269" s="40"/>
      <c r="M269" s="40"/>
      <c r="N269" s="40"/>
      <c r="O269" s="40"/>
      <c r="P269" s="40"/>
      <c r="Q269" s="40"/>
      <c r="R269" s="40"/>
      <c r="S269" s="40"/>
      <c r="T269" s="40"/>
      <c r="U269" s="40"/>
      <c r="V269" s="40"/>
      <c r="W269" s="40"/>
      <c r="X269" s="40"/>
      <c r="Y269" s="40"/>
      <c r="Z269" s="40"/>
    </row>
    <row r="270">
      <c r="A270" s="72"/>
      <c r="B270" s="72"/>
      <c r="C270" s="23"/>
      <c r="D270" s="23"/>
      <c r="E270" s="40"/>
      <c r="F270" s="40"/>
      <c r="G270" s="40"/>
      <c r="H270" s="40"/>
      <c r="I270" s="40"/>
      <c r="J270" s="40"/>
      <c r="K270" s="40"/>
      <c r="L270" s="40"/>
      <c r="M270" s="40"/>
      <c r="N270" s="40"/>
      <c r="O270" s="40"/>
      <c r="P270" s="40"/>
      <c r="Q270" s="40"/>
      <c r="R270" s="40"/>
      <c r="S270" s="40"/>
      <c r="T270" s="40"/>
      <c r="U270" s="40"/>
      <c r="V270" s="40"/>
      <c r="W270" s="40"/>
      <c r="X270" s="40"/>
      <c r="Y270" s="40"/>
      <c r="Z270" s="40"/>
    </row>
    <row r="271">
      <c r="A271" s="72"/>
      <c r="B271" s="72"/>
      <c r="C271" s="23"/>
      <c r="D271" s="23"/>
      <c r="E271" s="40"/>
      <c r="F271" s="40"/>
      <c r="G271" s="40"/>
      <c r="H271" s="40"/>
      <c r="I271" s="40"/>
      <c r="J271" s="40"/>
      <c r="K271" s="40"/>
      <c r="L271" s="40"/>
      <c r="M271" s="40"/>
      <c r="N271" s="40"/>
      <c r="O271" s="40"/>
      <c r="P271" s="40"/>
      <c r="Q271" s="40"/>
      <c r="R271" s="40"/>
      <c r="S271" s="40"/>
      <c r="T271" s="40"/>
      <c r="U271" s="40"/>
      <c r="V271" s="40"/>
      <c r="W271" s="40"/>
      <c r="X271" s="40"/>
      <c r="Y271" s="40"/>
      <c r="Z271" s="40"/>
    </row>
    <row r="272">
      <c r="A272" s="72"/>
      <c r="B272" s="72"/>
      <c r="C272" s="23"/>
      <c r="D272" s="23"/>
      <c r="E272" s="40"/>
      <c r="F272" s="40"/>
      <c r="G272" s="40"/>
      <c r="H272" s="40"/>
      <c r="I272" s="40"/>
      <c r="J272" s="40"/>
      <c r="K272" s="40"/>
      <c r="L272" s="40"/>
      <c r="M272" s="40"/>
      <c r="N272" s="40"/>
      <c r="O272" s="40"/>
      <c r="P272" s="40"/>
      <c r="Q272" s="40"/>
      <c r="R272" s="40"/>
      <c r="S272" s="40"/>
      <c r="T272" s="40"/>
      <c r="U272" s="40"/>
      <c r="V272" s="40"/>
      <c r="W272" s="40"/>
      <c r="X272" s="40"/>
      <c r="Y272" s="40"/>
      <c r="Z272" s="40"/>
    </row>
    <row r="273">
      <c r="A273" s="72"/>
      <c r="B273" s="72"/>
      <c r="C273" s="23"/>
      <c r="D273" s="23"/>
      <c r="E273" s="40"/>
      <c r="F273" s="40"/>
      <c r="G273" s="40"/>
      <c r="H273" s="40"/>
      <c r="I273" s="40"/>
      <c r="J273" s="40"/>
      <c r="K273" s="40"/>
      <c r="L273" s="40"/>
      <c r="M273" s="40"/>
      <c r="N273" s="40"/>
      <c r="O273" s="40"/>
      <c r="P273" s="40"/>
      <c r="Q273" s="40"/>
      <c r="R273" s="40"/>
      <c r="S273" s="40"/>
      <c r="T273" s="40"/>
      <c r="U273" s="40"/>
      <c r="V273" s="40"/>
      <c r="W273" s="40"/>
      <c r="X273" s="40"/>
      <c r="Y273" s="40"/>
      <c r="Z273" s="40"/>
    </row>
    <row r="274">
      <c r="A274" s="72"/>
      <c r="B274" s="72"/>
      <c r="C274" s="23"/>
      <c r="D274" s="23"/>
      <c r="E274" s="40"/>
      <c r="F274" s="40"/>
      <c r="G274" s="40"/>
      <c r="H274" s="40"/>
      <c r="I274" s="40"/>
      <c r="J274" s="40"/>
      <c r="K274" s="40"/>
      <c r="L274" s="40"/>
      <c r="M274" s="40"/>
      <c r="N274" s="40"/>
      <c r="O274" s="40"/>
      <c r="P274" s="40"/>
      <c r="Q274" s="40"/>
      <c r="R274" s="40"/>
      <c r="S274" s="40"/>
      <c r="T274" s="40"/>
      <c r="U274" s="40"/>
      <c r="V274" s="40"/>
      <c r="W274" s="40"/>
      <c r="X274" s="40"/>
      <c r="Y274" s="40"/>
      <c r="Z274" s="40"/>
    </row>
    <row r="275">
      <c r="A275" s="72"/>
      <c r="B275" s="72"/>
      <c r="C275" s="23"/>
      <c r="D275" s="23"/>
      <c r="E275" s="40"/>
      <c r="F275" s="40"/>
      <c r="G275" s="40"/>
      <c r="H275" s="40"/>
      <c r="I275" s="40"/>
      <c r="J275" s="40"/>
      <c r="K275" s="40"/>
      <c r="L275" s="40"/>
      <c r="M275" s="40"/>
      <c r="N275" s="40"/>
      <c r="O275" s="40"/>
      <c r="P275" s="40"/>
      <c r="Q275" s="40"/>
      <c r="R275" s="40"/>
      <c r="S275" s="40"/>
      <c r="T275" s="40"/>
      <c r="U275" s="40"/>
      <c r="V275" s="40"/>
      <c r="W275" s="40"/>
      <c r="X275" s="40"/>
      <c r="Y275" s="40"/>
      <c r="Z275" s="40"/>
    </row>
    <row r="276">
      <c r="A276" s="72"/>
      <c r="B276" s="72"/>
      <c r="C276" s="23"/>
      <c r="D276" s="23"/>
      <c r="E276" s="40"/>
      <c r="F276" s="40"/>
      <c r="G276" s="40"/>
      <c r="H276" s="40"/>
      <c r="I276" s="40"/>
      <c r="J276" s="40"/>
      <c r="K276" s="40"/>
      <c r="L276" s="40"/>
      <c r="M276" s="40"/>
      <c r="N276" s="40"/>
      <c r="O276" s="40"/>
      <c r="P276" s="40"/>
      <c r="Q276" s="40"/>
      <c r="R276" s="40"/>
      <c r="S276" s="40"/>
      <c r="T276" s="40"/>
      <c r="U276" s="40"/>
      <c r="V276" s="40"/>
      <c r="W276" s="40"/>
      <c r="X276" s="40"/>
      <c r="Y276" s="40"/>
      <c r="Z276" s="40"/>
    </row>
    <row r="277">
      <c r="A277" s="72"/>
      <c r="B277" s="72"/>
      <c r="C277" s="23"/>
      <c r="D277" s="23"/>
      <c r="E277" s="40"/>
      <c r="F277" s="40"/>
      <c r="G277" s="40"/>
      <c r="H277" s="40"/>
      <c r="I277" s="40"/>
      <c r="J277" s="40"/>
      <c r="K277" s="40"/>
      <c r="L277" s="40"/>
      <c r="M277" s="40"/>
      <c r="N277" s="40"/>
      <c r="O277" s="40"/>
      <c r="P277" s="40"/>
      <c r="Q277" s="40"/>
      <c r="R277" s="40"/>
      <c r="S277" s="40"/>
      <c r="T277" s="40"/>
      <c r="U277" s="40"/>
      <c r="V277" s="40"/>
      <c r="W277" s="40"/>
      <c r="X277" s="40"/>
      <c r="Y277" s="40"/>
      <c r="Z277" s="40"/>
    </row>
    <row r="278">
      <c r="A278" s="72"/>
      <c r="B278" s="72"/>
      <c r="C278" s="23"/>
      <c r="D278" s="23"/>
      <c r="E278" s="40"/>
      <c r="F278" s="40"/>
      <c r="G278" s="40"/>
      <c r="H278" s="40"/>
      <c r="I278" s="40"/>
      <c r="J278" s="40"/>
      <c r="K278" s="40"/>
      <c r="L278" s="40"/>
      <c r="M278" s="40"/>
      <c r="N278" s="40"/>
      <c r="O278" s="40"/>
      <c r="P278" s="40"/>
      <c r="Q278" s="40"/>
      <c r="R278" s="40"/>
      <c r="S278" s="40"/>
      <c r="T278" s="40"/>
      <c r="U278" s="40"/>
      <c r="V278" s="40"/>
      <c r="W278" s="40"/>
      <c r="X278" s="40"/>
      <c r="Y278" s="40"/>
      <c r="Z278" s="40"/>
    </row>
    <row r="279">
      <c r="A279" s="72"/>
      <c r="B279" s="72"/>
      <c r="C279" s="23"/>
      <c r="D279" s="23"/>
      <c r="E279" s="40"/>
      <c r="F279" s="40"/>
      <c r="G279" s="40"/>
      <c r="H279" s="40"/>
      <c r="I279" s="40"/>
      <c r="J279" s="40"/>
      <c r="K279" s="40"/>
      <c r="L279" s="40"/>
      <c r="M279" s="40"/>
      <c r="N279" s="40"/>
      <c r="O279" s="40"/>
      <c r="P279" s="40"/>
      <c r="Q279" s="40"/>
      <c r="R279" s="40"/>
      <c r="S279" s="40"/>
      <c r="T279" s="40"/>
      <c r="U279" s="40"/>
      <c r="V279" s="40"/>
      <c r="W279" s="40"/>
      <c r="X279" s="40"/>
      <c r="Y279" s="40"/>
      <c r="Z279" s="40"/>
    </row>
    <row r="280">
      <c r="A280" s="72"/>
      <c r="B280" s="72"/>
      <c r="C280" s="23"/>
      <c r="D280" s="23"/>
      <c r="E280" s="40"/>
      <c r="F280" s="40"/>
      <c r="G280" s="40"/>
      <c r="H280" s="40"/>
      <c r="I280" s="40"/>
      <c r="J280" s="40"/>
      <c r="K280" s="40"/>
      <c r="L280" s="40"/>
      <c r="M280" s="40"/>
      <c r="N280" s="40"/>
      <c r="O280" s="40"/>
      <c r="P280" s="40"/>
      <c r="Q280" s="40"/>
      <c r="R280" s="40"/>
      <c r="S280" s="40"/>
      <c r="T280" s="40"/>
      <c r="U280" s="40"/>
      <c r="V280" s="40"/>
      <c r="W280" s="40"/>
      <c r="X280" s="40"/>
      <c r="Y280" s="40"/>
      <c r="Z280" s="40"/>
    </row>
    <row r="281">
      <c r="A281" s="72"/>
      <c r="B281" s="72"/>
      <c r="C281" s="23"/>
      <c r="D281" s="23"/>
      <c r="E281" s="40"/>
      <c r="F281" s="40"/>
      <c r="G281" s="40"/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  <c r="U281" s="40"/>
      <c r="V281" s="40"/>
      <c r="W281" s="40"/>
      <c r="X281" s="40"/>
      <c r="Y281" s="40"/>
      <c r="Z281" s="40"/>
    </row>
    <row r="282">
      <c r="A282" s="72"/>
      <c r="B282" s="72"/>
      <c r="C282" s="23"/>
      <c r="D282" s="23"/>
      <c r="E282" s="40"/>
      <c r="F282" s="40"/>
      <c r="G282" s="40"/>
      <c r="H282" s="40"/>
      <c r="I282" s="40"/>
      <c r="J282" s="40"/>
      <c r="K282" s="40"/>
      <c r="L282" s="40"/>
      <c r="M282" s="40"/>
      <c r="N282" s="40"/>
      <c r="O282" s="40"/>
      <c r="P282" s="40"/>
      <c r="Q282" s="40"/>
      <c r="R282" s="40"/>
      <c r="S282" s="40"/>
      <c r="T282" s="40"/>
      <c r="U282" s="40"/>
      <c r="V282" s="40"/>
      <c r="W282" s="40"/>
      <c r="X282" s="40"/>
      <c r="Y282" s="40"/>
      <c r="Z282" s="40"/>
    </row>
    <row r="283">
      <c r="A283" s="72"/>
      <c r="B283" s="72"/>
      <c r="C283" s="23"/>
      <c r="D283" s="23"/>
      <c r="E283" s="40"/>
      <c r="F283" s="40"/>
      <c r="G283" s="40"/>
      <c r="H283" s="40"/>
      <c r="I283" s="40"/>
      <c r="J283" s="40"/>
      <c r="K283" s="40"/>
      <c r="L283" s="40"/>
      <c r="M283" s="40"/>
      <c r="N283" s="40"/>
      <c r="O283" s="40"/>
      <c r="P283" s="40"/>
      <c r="Q283" s="40"/>
      <c r="R283" s="40"/>
      <c r="S283" s="40"/>
      <c r="T283" s="40"/>
      <c r="U283" s="40"/>
      <c r="V283" s="40"/>
      <c r="W283" s="40"/>
      <c r="X283" s="40"/>
      <c r="Y283" s="40"/>
      <c r="Z283" s="40"/>
    </row>
    <row r="284">
      <c r="A284" s="72"/>
      <c r="B284" s="72"/>
      <c r="C284" s="23"/>
      <c r="D284" s="23"/>
      <c r="E284" s="40"/>
      <c r="F284" s="40"/>
      <c r="G284" s="40"/>
      <c r="H284" s="40"/>
      <c r="I284" s="40"/>
      <c r="J284" s="40"/>
      <c r="K284" s="40"/>
      <c r="L284" s="40"/>
      <c r="M284" s="40"/>
      <c r="N284" s="40"/>
      <c r="O284" s="40"/>
      <c r="P284" s="40"/>
      <c r="Q284" s="40"/>
      <c r="R284" s="40"/>
      <c r="S284" s="40"/>
      <c r="T284" s="40"/>
      <c r="U284" s="40"/>
      <c r="V284" s="40"/>
      <c r="W284" s="40"/>
      <c r="X284" s="40"/>
      <c r="Y284" s="40"/>
      <c r="Z284" s="40"/>
    </row>
    <row r="285">
      <c r="A285" s="72"/>
      <c r="B285" s="72"/>
      <c r="C285" s="23"/>
      <c r="D285" s="23"/>
      <c r="E285" s="40"/>
      <c r="F285" s="40"/>
      <c r="G285" s="40"/>
      <c r="H285" s="40"/>
      <c r="I285" s="40"/>
      <c r="J285" s="40"/>
      <c r="K285" s="40"/>
      <c r="L285" s="40"/>
      <c r="M285" s="40"/>
      <c r="N285" s="40"/>
      <c r="O285" s="40"/>
      <c r="P285" s="40"/>
      <c r="Q285" s="40"/>
      <c r="R285" s="40"/>
      <c r="S285" s="40"/>
      <c r="T285" s="40"/>
      <c r="U285" s="40"/>
      <c r="V285" s="40"/>
      <c r="W285" s="40"/>
      <c r="X285" s="40"/>
      <c r="Y285" s="40"/>
      <c r="Z285" s="40"/>
    </row>
    <row r="286">
      <c r="A286" s="72"/>
      <c r="B286" s="72"/>
      <c r="C286" s="23"/>
      <c r="D286" s="23"/>
      <c r="E286" s="40"/>
      <c r="F286" s="40"/>
      <c r="G286" s="40"/>
      <c r="H286" s="40"/>
      <c r="I286" s="40"/>
      <c r="J286" s="40"/>
      <c r="K286" s="40"/>
      <c r="L286" s="40"/>
      <c r="M286" s="40"/>
      <c r="N286" s="40"/>
      <c r="O286" s="40"/>
      <c r="P286" s="40"/>
      <c r="Q286" s="40"/>
      <c r="R286" s="40"/>
      <c r="S286" s="40"/>
      <c r="T286" s="40"/>
      <c r="U286" s="40"/>
      <c r="V286" s="40"/>
      <c r="W286" s="40"/>
      <c r="X286" s="40"/>
      <c r="Y286" s="40"/>
      <c r="Z286" s="40"/>
    </row>
    <row r="287">
      <c r="A287" s="72"/>
      <c r="B287" s="72"/>
      <c r="C287" s="23"/>
      <c r="D287" s="23"/>
      <c r="E287" s="40"/>
      <c r="F287" s="40"/>
      <c r="G287" s="40"/>
      <c r="H287" s="40"/>
      <c r="I287" s="40"/>
      <c r="J287" s="40"/>
      <c r="K287" s="40"/>
      <c r="L287" s="40"/>
      <c r="M287" s="40"/>
      <c r="N287" s="40"/>
      <c r="O287" s="40"/>
      <c r="P287" s="40"/>
      <c r="Q287" s="40"/>
      <c r="R287" s="40"/>
      <c r="S287" s="40"/>
      <c r="T287" s="40"/>
      <c r="U287" s="40"/>
      <c r="V287" s="40"/>
      <c r="W287" s="40"/>
      <c r="X287" s="40"/>
      <c r="Y287" s="40"/>
      <c r="Z287" s="40"/>
    </row>
    <row r="288">
      <c r="A288" s="72"/>
      <c r="B288" s="72"/>
      <c r="C288" s="23"/>
      <c r="D288" s="23"/>
      <c r="E288" s="40"/>
      <c r="F288" s="40"/>
      <c r="G288" s="40"/>
      <c r="H288" s="40"/>
      <c r="I288" s="40"/>
      <c r="J288" s="40"/>
      <c r="K288" s="40"/>
      <c r="L288" s="40"/>
      <c r="M288" s="40"/>
      <c r="N288" s="40"/>
      <c r="O288" s="40"/>
      <c r="P288" s="40"/>
      <c r="Q288" s="40"/>
      <c r="R288" s="40"/>
      <c r="S288" s="40"/>
      <c r="T288" s="40"/>
      <c r="U288" s="40"/>
      <c r="V288" s="40"/>
      <c r="W288" s="40"/>
      <c r="X288" s="40"/>
      <c r="Y288" s="40"/>
      <c r="Z288" s="40"/>
    </row>
    <row r="289">
      <c r="A289" s="72"/>
      <c r="B289" s="72"/>
      <c r="C289" s="23"/>
      <c r="D289" s="23"/>
      <c r="E289" s="40"/>
      <c r="F289" s="40"/>
      <c r="G289" s="40"/>
      <c r="H289" s="40"/>
      <c r="I289" s="40"/>
      <c r="J289" s="40"/>
      <c r="K289" s="40"/>
      <c r="L289" s="40"/>
      <c r="M289" s="40"/>
      <c r="N289" s="40"/>
      <c r="O289" s="40"/>
      <c r="P289" s="40"/>
      <c r="Q289" s="40"/>
      <c r="R289" s="40"/>
      <c r="S289" s="40"/>
      <c r="T289" s="40"/>
      <c r="U289" s="40"/>
      <c r="V289" s="40"/>
      <c r="W289" s="40"/>
      <c r="X289" s="40"/>
      <c r="Y289" s="40"/>
      <c r="Z289" s="40"/>
    </row>
    <row r="290">
      <c r="A290" s="72"/>
      <c r="B290" s="72"/>
      <c r="C290" s="23"/>
      <c r="D290" s="23"/>
      <c r="E290" s="40"/>
      <c r="F290" s="40"/>
      <c r="G290" s="40"/>
      <c r="H290" s="40"/>
      <c r="I290" s="40"/>
      <c r="J290" s="40"/>
      <c r="K290" s="40"/>
      <c r="L290" s="40"/>
      <c r="M290" s="40"/>
      <c r="N290" s="40"/>
      <c r="O290" s="40"/>
      <c r="P290" s="40"/>
      <c r="Q290" s="40"/>
      <c r="R290" s="40"/>
      <c r="S290" s="40"/>
      <c r="T290" s="40"/>
      <c r="U290" s="40"/>
      <c r="V290" s="40"/>
      <c r="W290" s="40"/>
      <c r="X290" s="40"/>
      <c r="Y290" s="40"/>
      <c r="Z290" s="40"/>
    </row>
    <row r="291">
      <c r="A291" s="72"/>
      <c r="B291" s="72"/>
      <c r="C291" s="23"/>
      <c r="D291" s="23"/>
      <c r="E291" s="40"/>
      <c r="F291" s="40"/>
      <c r="G291" s="40"/>
      <c r="H291" s="40"/>
      <c r="I291" s="40"/>
      <c r="J291" s="40"/>
      <c r="K291" s="40"/>
      <c r="L291" s="40"/>
      <c r="M291" s="40"/>
      <c r="N291" s="40"/>
      <c r="O291" s="40"/>
      <c r="P291" s="40"/>
      <c r="Q291" s="40"/>
      <c r="R291" s="40"/>
      <c r="S291" s="40"/>
      <c r="T291" s="40"/>
      <c r="U291" s="40"/>
      <c r="V291" s="40"/>
      <c r="W291" s="40"/>
      <c r="X291" s="40"/>
      <c r="Y291" s="40"/>
      <c r="Z291" s="40"/>
    </row>
    <row r="292">
      <c r="A292" s="72"/>
      <c r="B292" s="72"/>
      <c r="C292" s="23"/>
      <c r="D292" s="23"/>
      <c r="E292" s="40"/>
      <c r="F292" s="40"/>
      <c r="G292" s="40"/>
      <c r="H292" s="40"/>
      <c r="I292" s="40"/>
      <c r="J292" s="40"/>
      <c r="K292" s="40"/>
      <c r="L292" s="40"/>
      <c r="M292" s="40"/>
      <c r="N292" s="40"/>
      <c r="O292" s="40"/>
      <c r="P292" s="40"/>
      <c r="Q292" s="40"/>
      <c r="R292" s="40"/>
      <c r="S292" s="40"/>
      <c r="T292" s="40"/>
      <c r="U292" s="40"/>
      <c r="V292" s="40"/>
      <c r="W292" s="40"/>
      <c r="X292" s="40"/>
      <c r="Y292" s="40"/>
      <c r="Z292" s="40"/>
    </row>
    <row r="293">
      <c r="A293" s="72"/>
      <c r="B293" s="72"/>
      <c r="C293" s="23"/>
      <c r="D293" s="23"/>
      <c r="E293" s="40"/>
      <c r="F293" s="40"/>
      <c r="G293" s="40"/>
      <c r="H293" s="40"/>
      <c r="I293" s="40"/>
      <c r="J293" s="40"/>
      <c r="K293" s="40"/>
      <c r="L293" s="40"/>
      <c r="M293" s="40"/>
      <c r="N293" s="40"/>
      <c r="O293" s="40"/>
      <c r="P293" s="40"/>
      <c r="Q293" s="40"/>
      <c r="R293" s="40"/>
      <c r="S293" s="40"/>
      <c r="T293" s="40"/>
      <c r="U293" s="40"/>
      <c r="V293" s="40"/>
      <c r="W293" s="40"/>
      <c r="X293" s="40"/>
      <c r="Y293" s="40"/>
      <c r="Z293" s="40"/>
    </row>
    <row r="294">
      <c r="A294" s="72"/>
      <c r="B294" s="72"/>
      <c r="C294" s="23"/>
      <c r="D294" s="23"/>
      <c r="E294" s="40"/>
      <c r="F294" s="40"/>
      <c r="G294" s="40"/>
      <c r="H294" s="40"/>
      <c r="I294" s="40"/>
      <c r="J294" s="40"/>
      <c r="K294" s="40"/>
      <c r="L294" s="40"/>
      <c r="M294" s="40"/>
      <c r="N294" s="40"/>
      <c r="O294" s="40"/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0"/>
    </row>
    <row r="295">
      <c r="A295" s="72"/>
      <c r="B295" s="72"/>
      <c r="C295" s="23"/>
      <c r="D295" s="23"/>
      <c r="E295" s="40"/>
      <c r="F295" s="40"/>
      <c r="G295" s="40"/>
      <c r="H295" s="40"/>
      <c r="I295" s="40"/>
      <c r="J295" s="40"/>
      <c r="K295" s="40"/>
      <c r="L295" s="40"/>
      <c r="M295" s="40"/>
      <c r="N295" s="40"/>
      <c r="O295" s="40"/>
      <c r="P295" s="40"/>
      <c r="Q295" s="40"/>
      <c r="R295" s="40"/>
      <c r="S295" s="40"/>
      <c r="T295" s="40"/>
      <c r="U295" s="40"/>
      <c r="V295" s="40"/>
      <c r="W295" s="40"/>
      <c r="X295" s="40"/>
      <c r="Y295" s="40"/>
      <c r="Z295" s="40"/>
    </row>
    <row r="296">
      <c r="A296" s="72"/>
      <c r="B296" s="72"/>
      <c r="C296" s="23"/>
      <c r="D296" s="23"/>
      <c r="E296" s="40"/>
      <c r="F296" s="40"/>
      <c r="G296" s="40"/>
      <c r="H296" s="40"/>
      <c r="I296" s="40"/>
      <c r="J296" s="40"/>
      <c r="K296" s="40"/>
      <c r="L296" s="40"/>
      <c r="M296" s="40"/>
      <c r="N296" s="40"/>
      <c r="O296" s="40"/>
      <c r="P296" s="40"/>
      <c r="Q296" s="40"/>
      <c r="R296" s="40"/>
      <c r="S296" s="40"/>
      <c r="T296" s="40"/>
      <c r="U296" s="40"/>
      <c r="V296" s="40"/>
      <c r="W296" s="40"/>
      <c r="X296" s="40"/>
      <c r="Y296" s="40"/>
      <c r="Z296" s="40"/>
    </row>
    <row r="297">
      <c r="A297" s="72"/>
      <c r="B297" s="72"/>
      <c r="C297" s="23"/>
      <c r="D297" s="23"/>
      <c r="E297" s="40"/>
      <c r="F297" s="40"/>
      <c r="G297" s="40"/>
      <c r="H297" s="40"/>
      <c r="I297" s="40"/>
      <c r="J297" s="40"/>
      <c r="K297" s="40"/>
      <c r="L297" s="40"/>
      <c r="M297" s="40"/>
      <c r="N297" s="40"/>
      <c r="O297" s="40"/>
      <c r="P297" s="40"/>
      <c r="Q297" s="40"/>
      <c r="R297" s="40"/>
      <c r="S297" s="40"/>
      <c r="T297" s="40"/>
      <c r="U297" s="40"/>
      <c r="V297" s="40"/>
      <c r="W297" s="40"/>
      <c r="X297" s="40"/>
      <c r="Y297" s="40"/>
      <c r="Z297" s="40"/>
    </row>
    <row r="298">
      <c r="A298" s="72"/>
      <c r="B298" s="72"/>
      <c r="C298" s="23"/>
      <c r="D298" s="23"/>
      <c r="E298" s="40"/>
      <c r="F298" s="40"/>
      <c r="G298" s="40"/>
      <c r="H298" s="40"/>
      <c r="I298" s="40"/>
      <c r="J298" s="40"/>
      <c r="K298" s="40"/>
      <c r="L298" s="40"/>
      <c r="M298" s="40"/>
      <c r="N298" s="40"/>
      <c r="O298" s="40"/>
      <c r="P298" s="40"/>
      <c r="Q298" s="40"/>
      <c r="R298" s="40"/>
      <c r="S298" s="40"/>
      <c r="T298" s="40"/>
      <c r="U298" s="40"/>
      <c r="V298" s="40"/>
      <c r="W298" s="40"/>
      <c r="X298" s="40"/>
      <c r="Y298" s="40"/>
      <c r="Z298" s="40"/>
    </row>
    <row r="299">
      <c r="A299" s="72"/>
      <c r="B299" s="72"/>
      <c r="C299" s="23"/>
      <c r="D299" s="23"/>
      <c r="E299" s="40"/>
      <c r="F299" s="40"/>
      <c r="G299" s="40"/>
      <c r="H299" s="40"/>
      <c r="I299" s="40"/>
      <c r="J299" s="40"/>
      <c r="K299" s="40"/>
      <c r="L299" s="40"/>
      <c r="M299" s="40"/>
      <c r="N299" s="40"/>
      <c r="O299" s="40"/>
      <c r="P299" s="40"/>
      <c r="Q299" s="40"/>
      <c r="R299" s="40"/>
      <c r="S299" s="40"/>
      <c r="T299" s="40"/>
      <c r="U299" s="40"/>
      <c r="V299" s="40"/>
      <c r="W299" s="40"/>
      <c r="X299" s="40"/>
      <c r="Y299" s="40"/>
      <c r="Z299" s="40"/>
    </row>
    <row r="300">
      <c r="A300" s="72"/>
      <c r="B300" s="72"/>
      <c r="C300" s="23"/>
      <c r="D300" s="23"/>
      <c r="E300" s="40"/>
      <c r="F300" s="40"/>
      <c r="G300" s="40"/>
      <c r="H300" s="40"/>
      <c r="I300" s="40"/>
      <c r="J300" s="40"/>
      <c r="K300" s="40"/>
      <c r="L300" s="40"/>
      <c r="M300" s="40"/>
      <c r="N300" s="40"/>
      <c r="O300" s="40"/>
      <c r="P300" s="40"/>
      <c r="Q300" s="40"/>
      <c r="R300" s="40"/>
      <c r="S300" s="40"/>
      <c r="T300" s="40"/>
      <c r="U300" s="40"/>
      <c r="V300" s="40"/>
      <c r="W300" s="40"/>
      <c r="X300" s="40"/>
      <c r="Y300" s="40"/>
      <c r="Z300" s="40"/>
    </row>
    <row r="301">
      <c r="A301" s="72"/>
      <c r="B301" s="72"/>
      <c r="C301" s="23"/>
      <c r="D301" s="23"/>
      <c r="E301" s="40"/>
      <c r="F301" s="40"/>
      <c r="G301" s="40"/>
      <c r="H301" s="40"/>
      <c r="I301" s="40"/>
      <c r="J301" s="40"/>
      <c r="K301" s="40"/>
      <c r="L301" s="40"/>
      <c r="M301" s="40"/>
      <c r="N301" s="40"/>
      <c r="O301" s="40"/>
      <c r="P301" s="40"/>
      <c r="Q301" s="40"/>
      <c r="R301" s="40"/>
      <c r="S301" s="40"/>
      <c r="T301" s="40"/>
      <c r="U301" s="40"/>
      <c r="V301" s="40"/>
      <c r="W301" s="40"/>
      <c r="X301" s="40"/>
      <c r="Y301" s="40"/>
      <c r="Z301" s="40"/>
    </row>
    <row r="302">
      <c r="A302" s="72"/>
      <c r="B302" s="72"/>
      <c r="C302" s="23"/>
      <c r="D302" s="23"/>
      <c r="E302" s="40"/>
      <c r="F302" s="40"/>
      <c r="G302" s="40"/>
      <c r="H302" s="40"/>
      <c r="I302" s="40"/>
      <c r="J302" s="40"/>
      <c r="K302" s="40"/>
      <c r="L302" s="40"/>
      <c r="M302" s="40"/>
      <c r="N302" s="40"/>
      <c r="O302" s="40"/>
      <c r="P302" s="40"/>
      <c r="Q302" s="40"/>
      <c r="R302" s="40"/>
      <c r="S302" s="40"/>
      <c r="T302" s="40"/>
      <c r="U302" s="40"/>
      <c r="V302" s="40"/>
      <c r="W302" s="40"/>
      <c r="X302" s="40"/>
      <c r="Y302" s="40"/>
      <c r="Z302" s="40"/>
    </row>
    <row r="303">
      <c r="A303" s="72"/>
      <c r="B303" s="72"/>
      <c r="C303" s="23"/>
      <c r="D303" s="23"/>
      <c r="E303" s="40"/>
      <c r="F303" s="40"/>
      <c r="G303" s="40"/>
      <c r="H303" s="40"/>
      <c r="I303" s="40"/>
      <c r="J303" s="40"/>
      <c r="K303" s="40"/>
      <c r="L303" s="40"/>
      <c r="M303" s="40"/>
      <c r="N303" s="40"/>
      <c r="O303" s="40"/>
      <c r="P303" s="40"/>
      <c r="Q303" s="40"/>
      <c r="R303" s="40"/>
      <c r="S303" s="40"/>
      <c r="T303" s="40"/>
      <c r="U303" s="40"/>
      <c r="V303" s="40"/>
      <c r="W303" s="40"/>
      <c r="X303" s="40"/>
      <c r="Y303" s="40"/>
      <c r="Z303" s="40"/>
    </row>
    <row r="304">
      <c r="A304" s="72"/>
      <c r="B304" s="72"/>
      <c r="C304" s="23"/>
      <c r="D304" s="23"/>
      <c r="E304" s="40"/>
      <c r="F304" s="40"/>
      <c r="G304" s="40"/>
      <c r="H304" s="40"/>
      <c r="I304" s="40"/>
      <c r="J304" s="40"/>
      <c r="K304" s="40"/>
      <c r="L304" s="40"/>
      <c r="M304" s="40"/>
      <c r="N304" s="40"/>
      <c r="O304" s="40"/>
      <c r="P304" s="40"/>
      <c r="Q304" s="40"/>
      <c r="R304" s="40"/>
      <c r="S304" s="40"/>
      <c r="T304" s="40"/>
      <c r="U304" s="40"/>
      <c r="V304" s="40"/>
      <c r="W304" s="40"/>
      <c r="X304" s="40"/>
      <c r="Y304" s="40"/>
      <c r="Z304" s="40"/>
    </row>
    <row r="305">
      <c r="A305" s="72"/>
      <c r="B305" s="72"/>
      <c r="C305" s="23"/>
      <c r="D305" s="23"/>
      <c r="E305" s="40"/>
      <c r="F305" s="40"/>
      <c r="G305" s="40"/>
      <c r="H305" s="40"/>
      <c r="I305" s="40"/>
      <c r="J305" s="40"/>
      <c r="K305" s="40"/>
      <c r="L305" s="40"/>
      <c r="M305" s="40"/>
      <c r="N305" s="40"/>
      <c r="O305" s="40"/>
      <c r="P305" s="40"/>
      <c r="Q305" s="40"/>
      <c r="R305" s="40"/>
      <c r="S305" s="40"/>
      <c r="T305" s="40"/>
      <c r="U305" s="40"/>
      <c r="V305" s="40"/>
      <c r="W305" s="40"/>
      <c r="X305" s="40"/>
      <c r="Y305" s="40"/>
      <c r="Z305" s="40"/>
    </row>
    <row r="306">
      <c r="A306" s="72"/>
      <c r="B306" s="72"/>
      <c r="C306" s="23"/>
      <c r="D306" s="23"/>
      <c r="E306" s="40"/>
      <c r="F306" s="40"/>
      <c r="G306" s="40"/>
      <c r="H306" s="40"/>
      <c r="I306" s="40"/>
      <c r="J306" s="40"/>
      <c r="K306" s="40"/>
      <c r="L306" s="40"/>
      <c r="M306" s="40"/>
      <c r="N306" s="40"/>
      <c r="O306" s="40"/>
      <c r="P306" s="40"/>
      <c r="Q306" s="40"/>
      <c r="R306" s="40"/>
      <c r="S306" s="40"/>
      <c r="T306" s="40"/>
      <c r="U306" s="40"/>
      <c r="V306" s="40"/>
      <c r="W306" s="40"/>
      <c r="X306" s="40"/>
      <c r="Y306" s="40"/>
      <c r="Z306" s="40"/>
    </row>
    <row r="307">
      <c r="A307" s="72"/>
      <c r="B307" s="72"/>
      <c r="C307" s="23"/>
      <c r="D307" s="23"/>
      <c r="E307" s="40"/>
      <c r="F307" s="40"/>
      <c r="G307" s="40"/>
      <c r="H307" s="40"/>
      <c r="I307" s="40"/>
      <c r="J307" s="40"/>
      <c r="K307" s="40"/>
      <c r="L307" s="40"/>
      <c r="M307" s="40"/>
      <c r="N307" s="40"/>
      <c r="O307" s="40"/>
      <c r="P307" s="40"/>
      <c r="Q307" s="40"/>
      <c r="R307" s="40"/>
      <c r="S307" s="40"/>
      <c r="T307" s="40"/>
      <c r="U307" s="40"/>
      <c r="V307" s="40"/>
      <c r="W307" s="40"/>
      <c r="X307" s="40"/>
      <c r="Y307" s="40"/>
      <c r="Z307" s="40"/>
    </row>
    <row r="308">
      <c r="A308" s="72"/>
      <c r="B308" s="72"/>
      <c r="C308" s="23"/>
      <c r="D308" s="23"/>
      <c r="E308" s="40"/>
      <c r="F308" s="40"/>
      <c r="G308" s="40"/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0"/>
    </row>
    <row r="309">
      <c r="A309" s="72"/>
      <c r="B309" s="72"/>
      <c r="C309" s="23"/>
      <c r="D309" s="23"/>
      <c r="E309" s="40"/>
      <c r="F309" s="40"/>
      <c r="G309" s="40"/>
      <c r="H309" s="40"/>
      <c r="I309" s="40"/>
      <c r="J309" s="40"/>
      <c r="K309" s="40"/>
      <c r="L309" s="40"/>
      <c r="M309" s="40"/>
      <c r="N309" s="40"/>
      <c r="O309" s="40"/>
      <c r="P309" s="40"/>
      <c r="Q309" s="40"/>
      <c r="R309" s="40"/>
      <c r="S309" s="40"/>
      <c r="T309" s="40"/>
      <c r="U309" s="40"/>
      <c r="V309" s="40"/>
      <c r="W309" s="40"/>
      <c r="X309" s="40"/>
      <c r="Y309" s="40"/>
      <c r="Z309" s="40"/>
    </row>
    <row r="310">
      <c r="A310" s="72"/>
      <c r="B310" s="72"/>
      <c r="C310" s="23"/>
      <c r="D310" s="23"/>
      <c r="E310" s="40"/>
      <c r="F310" s="40"/>
      <c r="G310" s="40"/>
      <c r="H310" s="40"/>
      <c r="I310" s="40"/>
      <c r="J310" s="40"/>
      <c r="K310" s="40"/>
      <c r="L310" s="40"/>
      <c r="M310" s="40"/>
      <c r="N310" s="40"/>
      <c r="O310" s="40"/>
      <c r="P310" s="40"/>
      <c r="Q310" s="40"/>
      <c r="R310" s="40"/>
      <c r="S310" s="40"/>
      <c r="T310" s="40"/>
      <c r="U310" s="40"/>
      <c r="V310" s="40"/>
      <c r="W310" s="40"/>
      <c r="X310" s="40"/>
      <c r="Y310" s="40"/>
      <c r="Z310" s="40"/>
    </row>
    <row r="311">
      <c r="A311" s="72"/>
      <c r="B311" s="72"/>
      <c r="C311" s="23"/>
      <c r="D311" s="23"/>
      <c r="E311" s="40"/>
      <c r="F311" s="40"/>
      <c r="G311" s="40"/>
      <c r="H311" s="40"/>
      <c r="I311" s="40"/>
      <c r="J311" s="40"/>
      <c r="K311" s="40"/>
      <c r="L311" s="40"/>
      <c r="M311" s="40"/>
      <c r="N311" s="40"/>
      <c r="O311" s="40"/>
      <c r="P311" s="40"/>
      <c r="Q311" s="40"/>
      <c r="R311" s="40"/>
      <c r="S311" s="40"/>
      <c r="T311" s="40"/>
      <c r="U311" s="40"/>
      <c r="V311" s="40"/>
      <c r="W311" s="40"/>
      <c r="X311" s="40"/>
      <c r="Y311" s="40"/>
      <c r="Z311" s="40"/>
    </row>
    <row r="312">
      <c r="A312" s="72"/>
      <c r="B312" s="72"/>
      <c r="C312" s="23"/>
      <c r="D312" s="23"/>
      <c r="E312" s="40"/>
      <c r="F312" s="40"/>
      <c r="G312" s="40"/>
      <c r="H312" s="40"/>
      <c r="I312" s="40"/>
      <c r="J312" s="40"/>
      <c r="K312" s="40"/>
      <c r="L312" s="40"/>
      <c r="M312" s="40"/>
      <c r="N312" s="40"/>
      <c r="O312" s="40"/>
      <c r="P312" s="40"/>
      <c r="Q312" s="40"/>
      <c r="R312" s="40"/>
      <c r="S312" s="40"/>
      <c r="T312" s="40"/>
      <c r="U312" s="40"/>
      <c r="V312" s="40"/>
      <c r="W312" s="40"/>
      <c r="X312" s="40"/>
      <c r="Y312" s="40"/>
      <c r="Z312" s="40"/>
    </row>
    <row r="313">
      <c r="A313" s="72"/>
      <c r="B313" s="72"/>
      <c r="C313" s="23"/>
      <c r="D313" s="23"/>
      <c r="E313" s="40"/>
      <c r="F313" s="40"/>
      <c r="G313" s="40"/>
      <c r="H313" s="40"/>
      <c r="I313" s="40"/>
      <c r="J313" s="40"/>
      <c r="K313" s="40"/>
      <c r="L313" s="40"/>
      <c r="M313" s="40"/>
      <c r="N313" s="40"/>
      <c r="O313" s="40"/>
      <c r="P313" s="40"/>
      <c r="Q313" s="40"/>
      <c r="R313" s="40"/>
      <c r="S313" s="40"/>
      <c r="T313" s="40"/>
      <c r="U313" s="40"/>
      <c r="V313" s="40"/>
      <c r="W313" s="40"/>
      <c r="X313" s="40"/>
      <c r="Y313" s="40"/>
      <c r="Z313" s="40"/>
    </row>
    <row r="314">
      <c r="A314" s="72"/>
      <c r="B314" s="72"/>
      <c r="C314" s="23"/>
      <c r="D314" s="23"/>
      <c r="E314" s="40"/>
      <c r="F314" s="40"/>
      <c r="G314" s="40"/>
      <c r="H314" s="40"/>
      <c r="I314" s="40"/>
      <c r="J314" s="40"/>
      <c r="K314" s="40"/>
      <c r="L314" s="40"/>
      <c r="M314" s="40"/>
      <c r="N314" s="40"/>
      <c r="O314" s="40"/>
      <c r="P314" s="40"/>
      <c r="Q314" s="40"/>
      <c r="R314" s="40"/>
      <c r="S314" s="40"/>
      <c r="T314" s="40"/>
      <c r="U314" s="40"/>
      <c r="V314" s="40"/>
      <c r="W314" s="40"/>
      <c r="X314" s="40"/>
      <c r="Y314" s="40"/>
      <c r="Z314" s="40"/>
    </row>
    <row r="315">
      <c r="A315" s="72"/>
      <c r="B315" s="72"/>
      <c r="C315" s="23"/>
      <c r="D315" s="23"/>
      <c r="E315" s="40"/>
      <c r="F315" s="40"/>
      <c r="G315" s="40"/>
      <c r="H315" s="40"/>
      <c r="I315" s="40"/>
      <c r="J315" s="40"/>
      <c r="K315" s="40"/>
      <c r="L315" s="40"/>
      <c r="M315" s="40"/>
      <c r="N315" s="40"/>
      <c r="O315" s="40"/>
      <c r="P315" s="40"/>
      <c r="Q315" s="40"/>
      <c r="R315" s="40"/>
      <c r="S315" s="40"/>
      <c r="T315" s="40"/>
      <c r="U315" s="40"/>
      <c r="V315" s="40"/>
      <c r="W315" s="40"/>
      <c r="X315" s="40"/>
      <c r="Y315" s="40"/>
      <c r="Z315" s="40"/>
    </row>
    <row r="316">
      <c r="A316" s="72"/>
      <c r="B316" s="72"/>
      <c r="C316" s="23"/>
      <c r="D316" s="23"/>
      <c r="E316" s="40"/>
      <c r="F316" s="40"/>
      <c r="G316" s="40"/>
      <c r="H316" s="40"/>
      <c r="I316" s="40"/>
      <c r="J316" s="40"/>
      <c r="K316" s="40"/>
      <c r="L316" s="40"/>
      <c r="M316" s="40"/>
      <c r="N316" s="40"/>
      <c r="O316" s="40"/>
      <c r="P316" s="40"/>
      <c r="Q316" s="40"/>
      <c r="R316" s="40"/>
      <c r="S316" s="40"/>
      <c r="T316" s="40"/>
      <c r="U316" s="40"/>
      <c r="V316" s="40"/>
      <c r="W316" s="40"/>
      <c r="X316" s="40"/>
      <c r="Y316" s="40"/>
      <c r="Z316" s="40"/>
    </row>
    <row r="317">
      <c r="A317" s="72"/>
      <c r="B317" s="72"/>
      <c r="C317" s="23"/>
      <c r="D317" s="23"/>
      <c r="E317" s="40"/>
      <c r="F317" s="40"/>
      <c r="G317" s="40"/>
      <c r="H317" s="40"/>
      <c r="I317" s="40"/>
      <c r="J317" s="40"/>
      <c r="K317" s="40"/>
      <c r="L317" s="40"/>
      <c r="M317" s="40"/>
      <c r="N317" s="40"/>
      <c r="O317" s="40"/>
      <c r="P317" s="40"/>
      <c r="Q317" s="40"/>
      <c r="R317" s="40"/>
      <c r="S317" s="40"/>
      <c r="T317" s="40"/>
      <c r="U317" s="40"/>
      <c r="V317" s="40"/>
      <c r="W317" s="40"/>
      <c r="X317" s="40"/>
      <c r="Y317" s="40"/>
      <c r="Z317" s="40"/>
    </row>
    <row r="318">
      <c r="A318" s="72"/>
      <c r="B318" s="72"/>
      <c r="C318" s="23"/>
      <c r="D318" s="23"/>
      <c r="E318" s="40"/>
      <c r="F318" s="40"/>
      <c r="G318" s="40"/>
      <c r="H318" s="40"/>
      <c r="I318" s="40"/>
      <c r="J318" s="40"/>
      <c r="K318" s="40"/>
      <c r="L318" s="40"/>
      <c r="M318" s="40"/>
      <c r="N318" s="40"/>
      <c r="O318" s="40"/>
      <c r="P318" s="40"/>
      <c r="Q318" s="40"/>
      <c r="R318" s="40"/>
      <c r="S318" s="40"/>
      <c r="T318" s="40"/>
      <c r="U318" s="40"/>
      <c r="V318" s="40"/>
      <c r="W318" s="40"/>
      <c r="X318" s="40"/>
      <c r="Y318" s="40"/>
      <c r="Z318" s="40"/>
    </row>
    <row r="319">
      <c r="A319" s="72"/>
      <c r="B319" s="72"/>
      <c r="C319" s="23"/>
      <c r="D319" s="23"/>
      <c r="E319" s="40"/>
      <c r="F319" s="40"/>
      <c r="G319" s="40"/>
      <c r="H319" s="40"/>
      <c r="I319" s="40"/>
      <c r="J319" s="40"/>
      <c r="K319" s="40"/>
      <c r="L319" s="40"/>
      <c r="M319" s="40"/>
      <c r="N319" s="40"/>
      <c r="O319" s="40"/>
      <c r="P319" s="40"/>
      <c r="Q319" s="40"/>
      <c r="R319" s="40"/>
      <c r="S319" s="40"/>
      <c r="T319" s="40"/>
      <c r="U319" s="40"/>
      <c r="V319" s="40"/>
      <c r="W319" s="40"/>
      <c r="X319" s="40"/>
      <c r="Y319" s="40"/>
      <c r="Z319" s="40"/>
    </row>
    <row r="320">
      <c r="A320" s="72"/>
      <c r="B320" s="72"/>
      <c r="C320" s="23"/>
      <c r="D320" s="23"/>
      <c r="E320" s="40"/>
      <c r="F320" s="40"/>
      <c r="G320" s="40"/>
      <c r="H320" s="40"/>
      <c r="I320" s="40"/>
      <c r="J320" s="40"/>
      <c r="K320" s="40"/>
      <c r="L320" s="40"/>
      <c r="M320" s="40"/>
      <c r="N320" s="40"/>
      <c r="O320" s="40"/>
      <c r="P320" s="40"/>
      <c r="Q320" s="40"/>
      <c r="R320" s="40"/>
      <c r="S320" s="40"/>
      <c r="T320" s="40"/>
      <c r="U320" s="40"/>
      <c r="V320" s="40"/>
      <c r="W320" s="40"/>
      <c r="X320" s="40"/>
      <c r="Y320" s="40"/>
      <c r="Z320" s="40"/>
    </row>
    <row r="321">
      <c r="A321" s="72"/>
      <c r="B321" s="72"/>
      <c r="C321" s="23"/>
      <c r="D321" s="23"/>
      <c r="E321" s="40"/>
      <c r="F321" s="40"/>
      <c r="G321" s="40"/>
      <c r="H321" s="40"/>
      <c r="I321" s="40"/>
      <c r="J321" s="40"/>
      <c r="K321" s="40"/>
      <c r="L321" s="40"/>
      <c r="M321" s="40"/>
      <c r="N321" s="40"/>
      <c r="O321" s="40"/>
      <c r="P321" s="40"/>
      <c r="Q321" s="40"/>
      <c r="R321" s="40"/>
      <c r="S321" s="40"/>
      <c r="T321" s="40"/>
      <c r="U321" s="40"/>
      <c r="V321" s="40"/>
      <c r="W321" s="40"/>
      <c r="X321" s="40"/>
      <c r="Y321" s="40"/>
      <c r="Z321" s="40"/>
    </row>
    <row r="322">
      <c r="A322" s="72"/>
      <c r="B322" s="72"/>
      <c r="C322" s="23"/>
      <c r="D322" s="23"/>
      <c r="E322" s="40"/>
      <c r="F322" s="40"/>
      <c r="G322" s="40"/>
      <c r="H322" s="40"/>
      <c r="I322" s="40"/>
      <c r="J322" s="40"/>
      <c r="K322" s="40"/>
      <c r="L322" s="40"/>
      <c r="M322" s="40"/>
      <c r="N322" s="40"/>
      <c r="O322" s="40"/>
      <c r="P322" s="40"/>
      <c r="Q322" s="40"/>
      <c r="R322" s="40"/>
      <c r="S322" s="40"/>
      <c r="T322" s="40"/>
      <c r="U322" s="40"/>
      <c r="V322" s="40"/>
      <c r="W322" s="40"/>
      <c r="X322" s="40"/>
      <c r="Y322" s="40"/>
      <c r="Z322" s="40"/>
    </row>
    <row r="323">
      <c r="A323" s="72"/>
      <c r="B323" s="72"/>
      <c r="C323" s="23"/>
      <c r="D323" s="23"/>
      <c r="E323" s="40"/>
      <c r="F323" s="40"/>
      <c r="G323" s="40"/>
      <c r="H323" s="40"/>
      <c r="I323" s="40"/>
      <c r="J323" s="40"/>
      <c r="K323" s="40"/>
      <c r="L323" s="40"/>
      <c r="M323" s="40"/>
      <c r="N323" s="40"/>
      <c r="O323" s="40"/>
      <c r="P323" s="40"/>
      <c r="Q323" s="40"/>
      <c r="R323" s="40"/>
      <c r="S323" s="40"/>
      <c r="T323" s="40"/>
      <c r="U323" s="40"/>
      <c r="V323" s="40"/>
      <c r="W323" s="40"/>
      <c r="X323" s="40"/>
      <c r="Y323" s="40"/>
      <c r="Z323" s="40"/>
    </row>
    <row r="324">
      <c r="A324" s="72"/>
      <c r="B324" s="72"/>
      <c r="C324" s="23"/>
      <c r="D324" s="23"/>
      <c r="E324" s="40"/>
      <c r="F324" s="40"/>
      <c r="G324" s="40"/>
      <c r="H324" s="40"/>
      <c r="I324" s="40"/>
      <c r="J324" s="40"/>
      <c r="K324" s="40"/>
      <c r="L324" s="40"/>
      <c r="M324" s="40"/>
      <c r="N324" s="40"/>
      <c r="O324" s="40"/>
      <c r="P324" s="40"/>
      <c r="Q324" s="40"/>
      <c r="R324" s="40"/>
      <c r="S324" s="40"/>
      <c r="T324" s="40"/>
      <c r="U324" s="40"/>
      <c r="V324" s="40"/>
      <c r="W324" s="40"/>
      <c r="X324" s="40"/>
      <c r="Y324" s="40"/>
      <c r="Z324" s="40"/>
    </row>
    <row r="325">
      <c r="A325" s="72"/>
      <c r="B325" s="72"/>
      <c r="C325" s="23"/>
      <c r="D325" s="23"/>
      <c r="E325" s="40"/>
      <c r="F325" s="40"/>
      <c r="G325" s="40"/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  <c r="U325" s="40"/>
      <c r="V325" s="40"/>
      <c r="W325" s="40"/>
      <c r="X325" s="40"/>
      <c r="Y325" s="40"/>
      <c r="Z325" s="40"/>
    </row>
    <row r="326">
      <c r="A326" s="72"/>
      <c r="B326" s="72"/>
      <c r="C326" s="23"/>
      <c r="D326" s="23"/>
      <c r="E326" s="40"/>
      <c r="F326" s="40"/>
      <c r="G326" s="40"/>
      <c r="H326" s="40"/>
      <c r="I326" s="40"/>
      <c r="J326" s="40"/>
      <c r="K326" s="40"/>
      <c r="L326" s="40"/>
      <c r="M326" s="40"/>
      <c r="N326" s="40"/>
      <c r="O326" s="40"/>
      <c r="P326" s="40"/>
      <c r="Q326" s="40"/>
      <c r="R326" s="40"/>
      <c r="S326" s="40"/>
      <c r="T326" s="40"/>
      <c r="U326" s="40"/>
      <c r="V326" s="40"/>
      <c r="W326" s="40"/>
      <c r="X326" s="40"/>
      <c r="Y326" s="40"/>
      <c r="Z326" s="40"/>
    </row>
    <row r="327">
      <c r="A327" s="72"/>
      <c r="B327" s="72"/>
      <c r="C327" s="23"/>
      <c r="D327" s="23"/>
      <c r="E327" s="40"/>
      <c r="F327" s="40"/>
      <c r="G327" s="40"/>
      <c r="H327" s="40"/>
      <c r="I327" s="40"/>
      <c r="J327" s="40"/>
      <c r="K327" s="40"/>
      <c r="L327" s="40"/>
      <c r="M327" s="40"/>
      <c r="N327" s="40"/>
      <c r="O327" s="40"/>
      <c r="P327" s="40"/>
      <c r="Q327" s="40"/>
      <c r="R327" s="40"/>
      <c r="S327" s="40"/>
      <c r="T327" s="40"/>
      <c r="U327" s="40"/>
      <c r="V327" s="40"/>
      <c r="W327" s="40"/>
      <c r="X327" s="40"/>
      <c r="Y327" s="40"/>
      <c r="Z327" s="40"/>
    </row>
    <row r="328">
      <c r="A328" s="72"/>
      <c r="B328" s="72"/>
      <c r="C328" s="23"/>
      <c r="D328" s="23"/>
      <c r="E328" s="40"/>
      <c r="F328" s="40"/>
      <c r="G328" s="40"/>
      <c r="H328" s="40"/>
      <c r="I328" s="40"/>
      <c r="J328" s="40"/>
      <c r="K328" s="40"/>
      <c r="L328" s="40"/>
      <c r="M328" s="40"/>
      <c r="N328" s="40"/>
      <c r="O328" s="40"/>
      <c r="P328" s="40"/>
      <c r="Q328" s="40"/>
      <c r="R328" s="40"/>
      <c r="S328" s="40"/>
      <c r="T328" s="40"/>
      <c r="U328" s="40"/>
      <c r="V328" s="40"/>
      <c r="W328" s="40"/>
      <c r="X328" s="40"/>
      <c r="Y328" s="40"/>
      <c r="Z328" s="40"/>
    </row>
    <row r="329">
      <c r="A329" s="72"/>
      <c r="B329" s="72"/>
      <c r="C329" s="23"/>
      <c r="D329" s="23"/>
      <c r="E329" s="40"/>
      <c r="F329" s="40"/>
      <c r="G329" s="40"/>
      <c r="H329" s="40"/>
      <c r="I329" s="40"/>
      <c r="J329" s="40"/>
      <c r="K329" s="40"/>
      <c r="L329" s="40"/>
      <c r="M329" s="40"/>
      <c r="N329" s="40"/>
      <c r="O329" s="40"/>
      <c r="P329" s="40"/>
      <c r="Q329" s="40"/>
      <c r="R329" s="40"/>
      <c r="S329" s="40"/>
      <c r="T329" s="40"/>
      <c r="U329" s="40"/>
      <c r="V329" s="40"/>
      <c r="W329" s="40"/>
      <c r="X329" s="40"/>
      <c r="Y329" s="40"/>
      <c r="Z329" s="40"/>
    </row>
    <row r="330">
      <c r="A330" s="72"/>
      <c r="B330" s="72"/>
      <c r="C330" s="23"/>
      <c r="D330" s="23"/>
      <c r="E330" s="40"/>
      <c r="F330" s="40"/>
      <c r="G330" s="40"/>
      <c r="H330" s="40"/>
      <c r="I330" s="40"/>
      <c r="J330" s="40"/>
      <c r="K330" s="40"/>
      <c r="L330" s="40"/>
      <c r="M330" s="40"/>
      <c r="N330" s="40"/>
      <c r="O330" s="40"/>
      <c r="P330" s="40"/>
      <c r="Q330" s="40"/>
      <c r="R330" s="40"/>
      <c r="S330" s="40"/>
      <c r="T330" s="40"/>
      <c r="U330" s="40"/>
      <c r="V330" s="40"/>
      <c r="W330" s="40"/>
      <c r="X330" s="40"/>
      <c r="Y330" s="40"/>
      <c r="Z330" s="40"/>
    </row>
    <row r="331">
      <c r="A331" s="72"/>
      <c r="B331" s="72"/>
      <c r="C331" s="23"/>
      <c r="D331" s="23"/>
      <c r="E331" s="40"/>
      <c r="F331" s="40"/>
      <c r="G331" s="40"/>
      <c r="H331" s="40"/>
      <c r="I331" s="40"/>
      <c r="J331" s="40"/>
      <c r="K331" s="40"/>
      <c r="L331" s="40"/>
      <c r="M331" s="40"/>
      <c r="N331" s="40"/>
      <c r="O331" s="40"/>
      <c r="P331" s="40"/>
      <c r="Q331" s="40"/>
      <c r="R331" s="40"/>
      <c r="S331" s="40"/>
      <c r="T331" s="40"/>
      <c r="U331" s="40"/>
      <c r="V331" s="40"/>
      <c r="W331" s="40"/>
      <c r="X331" s="40"/>
      <c r="Y331" s="40"/>
      <c r="Z331" s="40"/>
    </row>
    <row r="332">
      <c r="A332" s="72"/>
      <c r="B332" s="72"/>
      <c r="C332" s="23"/>
      <c r="D332" s="23"/>
      <c r="E332" s="40"/>
      <c r="F332" s="40"/>
      <c r="G332" s="40"/>
      <c r="H332" s="40"/>
      <c r="I332" s="40"/>
      <c r="J332" s="40"/>
      <c r="K332" s="40"/>
      <c r="L332" s="40"/>
      <c r="M332" s="40"/>
      <c r="N332" s="40"/>
      <c r="O332" s="40"/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0"/>
    </row>
    <row r="333">
      <c r="A333" s="72"/>
      <c r="B333" s="72"/>
      <c r="C333" s="23"/>
      <c r="D333" s="23"/>
      <c r="E333" s="40"/>
      <c r="F333" s="40"/>
      <c r="G333" s="40"/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  <c r="U333" s="40"/>
      <c r="V333" s="40"/>
      <c r="W333" s="40"/>
      <c r="X333" s="40"/>
      <c r="Y333" s="40"/>
      <c r="Z333" s="40"/>
    </row>
    <row r="334">
      <c r="A334" s="72"/>
      <c r="B334" s="72"/>
      <c r="C334" s="23"/>
      <c r="D334" s="23"/>
      <c r="E334" s="40"/>
      <c r="F334" s="40"/>
      <c r="G334" s="40"/>
      <c r="H334" s="40"/>
      <c r="I334" s="40"/>
      <c r="J334" s="40"/>
      <c r="K334" s="40"/>
      <c r="L334" s="40"/>
      <c r="M334" s="40"/>
      <c r="N334" s="40"/>
      <c r="O334" s="40"/>
      <c r="P334" s="40"/>
      <c r="Q334" s="40"/>
      <c r="R334" s="40"/>
      <c r="S334" s="40"/>
      <c r="T334" s="40"/>
      <c r="U334" s="40"/>
      <c r="V334" s="40"/>
      <c r="W334" s="40"/>
      <c r="X334" s="40"/>
      <c r="Y334" s="40"/>
      <c r="Z334" s="40"/>
    </row>
    <row r="335">
      <c r="A335" s="72"/>
      <c r="B335" s="72"/>
      <c r="C335" s="23"/>
      <c r="D335" s="23"/>
      <c r="E335" s="40"/>
      <c r="F335" s="40"/>
      <c r="G335" s="40"/>
      <c r="H335" s="40"/>
      <c r="I335" s="40"/>
      <c r="J335" s="40"/>
      <c r="K335" s="40"/>
      <c r="L335" s="40"/>
      <c r="M335" s="40"/>
      <c r="N335" s="40"/>
      <c r="O335" s="40"/>
      <c r="P335" s="40"/>
      <c r="Q335" s="40"/>
      <c r="R335" s="40"/>
      <c r="S335" s="40"/>
      <c r="T335" s="40"/>
      <c r="U335" s="40"/>
      <c r="V335" s="40"/>
      <c r="W335" s="40"/>
      <c r="X335" s="40"/>
      <c r="Y335" s="40"/>
      <c r="Z335" s="40"/>
    </row>
    <row r="336">
      <c r="A336" s="72"/>
      <c r="B336" s="72"/>
      <c r="C336" s="23"/>
      <c r="D336" s="23"/>
      <c r="E336" s="40"/>
      <c r="F336" s="40"/>
      <c r="G336" s="40"/>
      <c r="H336" s="40"/>
      <c r="I336" s="40"/>
      <c r="J336" s="40"/>
      <c r="K336" s="40"/>
      <c r="L336" s="40"/>
      <c r="M336" s="40"/>
      <c r="N336" s="40"/>
      <c r="O336" s="40"/>
      <c r="P336" s="40"/>
      <c r="Q336" s="40"/>
      <c r="R336" s="40"/>
      <c r="S336" s="40"/>
      <c r="T336" s="40"/>
      <c r="U336" s="40"/>
      <c r="V336" s="40"/>
      <c r="W336" s="40"/>
      <c r="X336" s="40"/>
      <c r="Y336" s="40"/>
      <c r="Z336" s="40"/>
    </row>
    <row r="337">
      <c r="A337" s="72"/>
      <c r="B337" s="72"/>
      <c r="C337" s="23"/>
      <c r="D337" s="23"/>
      <c r="E337" s="40"/>
      <c r="F337" s="40"/>
      <c r="G337" s="40"/>
      <c r="H337" s="40"/>
      <c r="I337" s="40"/>
      <c r="J337" s="40"/>
      <c r="K337" s="40"/>
      <c r="L337" s="40"/>
      <c r="M337" s="40"/>
      <c r="N337" s="40"/>
      <c r="O337" s="40"/>
      <c r="P337" s="40"/>
      <c r="Q337" s="40"/>
      <c r="R337" s="40"/>
      <c r="S337" s="40"/>
      <c r="T337" s="40"/>
      <c r="U337" s="40"/>
      <c r="V337" s="40"/>
      <c r="W337" s="40"/>
      <c r="X337" s="40"/>
      <c r="Y337" s="40"/>
      <c r="Z337" s="40"/>
    </row>
    <row r="338">
      <c r="A338" s="72"/>
      <c r="B338" s="72"/>
      <c r="C338" s="23"/>
      <c r="D338" s="23"/>
      <c r="E338" s="40"/>
      <c r="F338" s="40"/>
      <c r="G338" s="40"/>
      <c r="H338" s="40"/>
      <c r="I338" s="40"/>
      <c r="J338" s="40"/>
      <c r="K338" s="40"/>
      <c r="L338" s="40"/>
      <c r="M338" s="40"/>
      <c r="N338" s="40"/>
      <c r="O338" s="40"/>
      <c r="P338" s="40"/>
      <c r="Q338" s="40"/>
      <c r="R338" s="40"/>
      <c r="S338" s="40"/>
      <c r="T338" s="40"/>
      <c r="U338" s="40"/>
      <c r="V338" s="40"/>
      <c r="W338" s="40"/>
      <c r="X338" s="40"/>
      <c r="Y338" s="40"/>
      <c r="Z338" s="40"/>
    </row>
    <row r="339">
      <c r="A339" s="72"/>
      <c r="B339" s="72"/>
      <c r="C339" s="23"/>
      <c r="D339" s="23"/>
      <c r="E339" s="40"/>
      <c r="F339" s="40"/>
      <c r="G339" s="40"/>
      <c r="H339" s="40"/>
      <c r="I339" s="40"/>
      <c r="J339" s="40"/>
      <c r="K339" s="40"/>
      <c r="L339" s="40"/>
      <c r="M339" s="40"/>
      <c r="N339" s="40"/>
      <c r="O339" s="40"/>
      <c r="P339" s="40"/>
      <c r="Q339" s="40"/>
      <c r="R339" s="40"/>
      <c r="S339" s="40"/>
      <c r="T339" s="40"/>
      <c r="U339" s="40"/>
      <c r="V339" s="40"/>
      <c r="W339" s="40"/>
      <c r="X339" s="40"/>
      <c r="Y339" s="40"/>
      <c r="Z339" s="40"/>
    </row>
    <row r="340">
      <c r="A340" s="72"/>
      <c r="B340" s="72"/>
      <c r="C340" s="23"/>
      <c r="D340" s="23"/>
      <c r="E340" s="40"/>
      <c r="F340" s="40"/>
      <c r="G340" s="40"/>
      <c r="H340" s="40"/>
      <c r="I340" s="40"/>
      <c r="J340" s="40"/>
      <c r="K340" s="40"/>
      <c r="L340" s="40"/>
      <c r="M340" s="40"/>
      <c r="N340" s="40"/>
      <c r="O340" s="40"/>
      <c r="P340" s="40"/>
      <c r="Q340" s="40"/>
      <c r="R340" s="40"/>
      <c r="S340" s="40"/>
      <c r="T340" s="40"/>
      <c r="U340" s="40"/>
      <c r="V340" s="40"/>
      <c r="W340" s="40"/>
      <c r="X340" s="40"/>
      <c r="Y340" s="40"/>
      <c r="Z340" s="40"/>
    </row>
    <row r="341">
      <c r="A341" s="72"/>
      <c r="B341" s="72"/>
      <c r="C341" s="23"/>
      <c r="D341" s="23"/>
      <c r="E341" s="40"/>
      <c r="F341" s="40"/>
      <c r="G341" s="40"/>
      <c r="H341" s="40"/>
      <c r="I341" s="40"/>
      <c r="J341" s="40"/>
      <c r="K341" s="40"/>
      <c r="L341" s="40"/>
      <c r="M341" s="40"/>
      <c r="N341" s="40"/>
      <c r="O341" s="40"/>
      <c r="P341" s="40"/>
      <c r="Q341" s="40"/>
      <c r="R341" s="40"/>
      <c r="S341" s="40"/>
      <c r="T341" s="40"/>
      <c r="U341" s="40"/>
      <c r="V341" s="40"/>
      <c r="W341" s="40"/>
      <c r="X341" s="40"/>
      <c r="Y341" s="40"/>
      <c r="Z341" s="40"/>
    </row>
    <row r="342">
      <c r="A342" s="72"/>
      <c r="B342" s="72"/>
      <c r="C342" s="23"/>
      <c r="D342" s="23"/>
      <c r="E342" s="40"/>
      <c r="F342" s="40"/>
      <c r="G342" s="40"/>
      <c r="H342" s="40"/>
      <c r="I342" s="40"/>
      <c r="J342" s="40"/>
      <c r="K342" s="40"/>
      <c r="L342" s="40"/>
      <c r="M342" s="40"/>
      <c r="N342" s="40"/>
      <c r="O342" s="40"/>
      <c r="P342" s="40"/>
      <c r="Q342" s="40"/>
      <c r="R342" s="40"/>
      <c r="S342" s="40"/>
      <c r="T342" s="40"/>
      <c r="U342" s="40"/>
      <c r="V342" s="40"/>
      <c r="W342" s="40"/>
      <c r="X342" s="40"/>
      <c r="Y342" s="40"/>
      <c r="Z342" s="40"/>
    </row>
    <row r="343">
      <c r="A343" s="72"/>
      <c r="B343" s="72"/>
      <c r="C343" s="23"/>
      <c r="D343" s="23"/>
      <c r="E343" s="40"/>
      <c r="F343" s="40"/>
      <c r="G343" s="40"/>
      <c r="H343" s="40"/>
      <c r="I343" s="40"/>
      <c r="J343" s="40"/>
      <c r="K343" s="40"/>
      <c r="L343" s="40"/>
      <c r="M343" s="40"/>
      <c r="N343" s="40"/>
      <c r="O343" s="40"/>
      <c r="P343" s="40"/>
      <c r="Q343" s="40"/>
      <c r="R343" s="40"/>
      <c r="S343" s="40"/>
      <c r="T343" s="40"/>
      <c r="U343" s="40"/>
      <c r="V343" s="40"/>
      <c r="W343" s="40"/>
      <c r="X343" s="40"/>
      <c r="Y343" s="40"/>
      <c r="Z343" s="40"/>
    </row>
    <row r="344">
      <c r="A344" s="72"/>
      <c r="B344" s="72"/>
      <c r="C344" s="23"/>
      <c r="D344" s="23"/>
      <c r="E344" s="40"/>
      <c r="F344" s="40"/>
      <c r="G344" s="40"/>
      <c r="H344" s="40"/>
      <c r="I344" s="40"/>
      <c r="J344" s="40"/>
      <c r="K344" s="40"/>
      <c r="L344" s="40"/>
      <c r="M344" s="40"/>
      <c r="N344" s="40"/>
      <c r="O344" s="40"/>
      <c r="P344" s="40"/>
      <c r="Q344" s="40"/>
      <c r="R344" s="40"/>
      <c r="S344" s="40"/>
      <c r="T344" s="40"/>
      <c r="U344" s="40"/>
      <c r="V344" s="40"/>
      <c r="W344" s="40"/>
      <c r="X344" s="40"/>
      <c r="Y344" s="40"/>
      <c r="Z344" s="40"/>
    </row>
    <row r="345">
      <c r="A345" s="72"/>
      <c r="B345" s="72"/>
      <c r="C345" s="23"/>
      <c r="D345" s="23"/>
      <c r="E345" s="40"/>
      <c r="F345" s="40"/>
      <c r="G345" s="40"/>
      <c r="H345" s="40"/>
      <c r="I345" s="40"/>
      <c r="J345" s="40"/>
      <c r="K345" s="40"/>
      <c r="L345" s="40"/>
      <c r="M345" s="40"/>
      <c r="N345" s="40"/>
      <c r="O345" s="40"/>
      <c r="P345" s="40"/>
      <c r="Q345" s="40"/>
      <c r="R345" s="40"/>
      <c r="S345" s="40"/>
      <c r="T345" s="40"/>
      <c r="U345" s="40"/>
      <c r="V345" s="40"/>
      <c r="W345" s="40"/>
      <c r="X345" s="40"/>
      <c r="Y345" s="40"/>
      <c r="Z345" s="40"/>
    </row>
    <row r="346">
      <c r="A346" s="72"/>
      <c r="B346" s="72"/>
      <c r="C346" s="23"/>
      <c r="D346" s="23"/>
      <c r="E346" s="40"/>
      <c r="F346" s="40"/>
      <c r="G346" s="40"/>
      <c r="H346" s="40"/>
      <c r="I346" s="40"/>
      <c r="J346" s="40"/>
      <c r="K346" s="40"/>
      <c r="L346" s="40"/>
      <c r="M346" s="40"/>
      <c r="N346" s="40"/>
      <c r="O346" s="40"/>
      <c r="P346" s="40"/>
      <c r="Q346" s="40"/>
      <c r="R346" s="40"/>
      <c r="S346" s="40"/>
      <c r="T346" s="40"/>
      <c r="U346" s="40"/>
      <c r="V346" s="40"/>
      <c r="W346" s="40"/>
      <c r="X346" s="40"/>
      <c r="Y346" s="40"/>
      <c r="Z346" s="40"/>
    </row>
    <row r="347">
      <c r="A347" s="72"/>
      <c r="B347" s="72"/>
      <c r="C347" s="23"/>
      <c r="D347" s="23"/>
      <c r="E347" s="40"/>
      <c r="F347" s="40"/>
      <c r="G347" s="40"/>
      <c r="H347" s="40"/>
      <c r="I347" s="40"/>
      <c r="J347" s="40"/>
      <c r="K347" s="40"/>
      <c r="L347" s="40"/>
      <c r="M347" s="40"/>
      <c r="N347" s="40"/>
      <c r="O347" s="40"/>
      <c r="P347" s="40"/>
      <c r="Q347" s="40"/>
      <c r="R347" s="40"/>
      <c r="S347" s="40"/>
      <c r="T347" s="40"/>
      <c r="U347" s="40"/>
      <c r="V347" s="40"/>
      <c r="W347" s="40"/>
      <c r="X347" s="40"/>
      <c r="Y347" s="40"/>
      <c r="Z347" s="40"/>
    </row>
    <row r="348">
      <c r="A348" s="72"/>
      <c r="B348" s="72"/>
      <c r="C348" s="23"/>
      <c r="D348" s="23"/>
      <c r="E348" s="40"/>
      <c r="F348" s="40"/>
      <c r="G348" s="40"/>
      <c r="H348" s="40"/>
      <c r="I348" s="40"/>
      <c r="J348" s="40"/>
      <c r="K348" s="40"/>
      <c r="L348" s="40"/>
      <c r="M348" s="40"/>
      <c r="N348" s="40"/>
      <c r="O348" s="40"/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0"/>
    </row>
    <row r="349">
      <c r="A349" s="72"/>
      <c r="B349" s="72"/>
      <c r="C349" s="23"/>
      <c r="D349" s="23"/>
      <c r="E349" s="40"/>
      <c r="F349" s="40"/>
      <c r="G349" s="40"/>
      <c r="H349" s="40"/>
      <c r="I349" s="40"/>
      <c r="J349" s="40"/>
      <c r="K349" s="40"/>
      <c r="L349" s="40"/>
      <c r="M349" s="40"/>
      <c r="N349" s="40"/>
      <c r="O349" s="40"/>
      <c r="P349" s="40"/>
      <c r="Q349" s="40"/>
      <c r="R349" s="40"/>
      <c r="S349" s="40"/>
      <c r="T349" s="40"/>
      <c r="U349" s="40"/>
      <c r="V349" s="40"/>
      <c r="W349" s="40"/>
      <c r="X349" s="40"/>
      <c r="Y349" s="40"/>
      <c r="Z349" s="40"/>
    </row>
    <row r="350">
      <c r="A350" s="72"/>
      <c r="B350" s="72"/>
      <c r="C350" s="23"/>
      <c r="D350" s="23"/>
      <c r="E350" s="40"/>
      <c r="F350" s="40"/>
      <c r="G350" s="40"/>
      <c r="H350" s="40"/>
      <c r="I350" s="40"/>
      <c r="J350" s="40"/>
      <c r="K350" s="40"/>
      <c r="L350" s="40"/>
      <c r="M350" s="40"/>
      <c r="N350" s="40"/>
      <c r="O350" s="40"/>
      <c r="P350" s="40"/>
      <c r="Q350" s="40"/>
      <c r="R350" s="40"/>
      <c r="S350" s="40"/>
      <c r="T350" s="40"/>
      <c r="U350" s="40"/>
      <c r="V350" s="40"/>
      <c r="W350" s="40"/>
      <c r="X350" s="40"/>
      <c r="Y350" s="40"/>
      <c r="Z350" s="40"/>
    </row>
    <row r="351">
      <c r="A351" s="72"/>
      <c r="B351" s="72"/>
      <c r="C351" s="23"/>
      <c r="D351" s="23"/>
      <c r="E351" s="40"/>
      <c r="F351" s="40"/>
      <c r="G351" s="40"/>
      <c r="H351" s="40"/>
      <c r="I351" s="40"/>
      <c r="J351" s="40"/>
      <c r="K351" s="40"/>
      <c r="L351" s="40"/>
      <c r="M351" s="40"/>
      <c r="N351" s="40"/>
      <c r="O351" s="40"/>
      <c r="P351" s="40"/>
      <c r="Q351" s="40"/>
      <c r="R351" s="40"/>
      <c r="S351" s="40"/>
      <c r="T351" s="40"/>
      <c r="U351" s="40"/>
      <c r="V351" s="40"/>
      <c r="W351" s="40"/>
      <c r="X351" s="40"/>
      <c r="Y351" s="40"/>
      <c r="Z351" s="40"/>
    </row>
    <row r="352">
      <c r="A352" s="72"/>
      <c r="B352" s="72"/>
      <c r="C352" s="23"/>
      <c r="D352" s="23"/>
      <c r="E352" s="40"/>
      <c r="F352" s="40"/>
      <c r="G352" s="40"/>
      <c r="H352" s="40"/>
      <c r="I352" s="40"/>
      <c r="J352" s="40"/>
      <c r="K352" s="40"/>
      <c r="L352" s="40"/>
      <c r="M352" s="40"/>
      <c r="N352" s="40"/>
      <c r="O352" s="40"/>
      <c r="P352" s="40"/>
      <c r="Q352" s="40"/>
      <c r="R352" s="40"/>
      <c r="S352" s="40"/>
      <c r="T352" s="40"/>
      <c r="U352" s="40"/>
      <c r="V352" s="40"/>
      <c r="W352" s="40"/>
      <c r="X352" s="40"/>
      <c r="Y352" s="40"/>
      <c r="Z352" s="40"/>
    </row>
    <row r="353">
      <c r="A353" s="72"/>
      <c r="B353" s="72"/>
      <c r="C353" s="23"/>
      <c r="D353" s="23"/>
      <c r="E353" s="40"/>
      <c r="F353" s="40"/>
      <c r="G353" s="40"/>
      <c r="H353" s="40"/>
      <c r="I353" s="40"/>
      <c r="J353" s="40"/>
      <c r="K353" s="40"/>
      <c r="L353" s="40"/>
      <c r="M353" s="40"/>
      <c r="N353" s="40"/>
      <c r="O353" s="40"/>
      <c r="P353" s="40"/>
      <c r="Q353" s="40"/>
      <c r="R353" s="40"/>
      <c r="S353" s="40"/>
      <c r="T353" s="40"/>
      <c r="U353" s="40"/>
      <c r="V353" s="40"/>
      <c r="W353" s="40"/>
      <c r="X353" s="40"/>
      <c r="Y353" s="40"/>
      <c r="Z353" s="40"/>
    </row>
    <row r="354">
      <c r="A354" s="72"/>
      <c r="B354" s="72"/>
      <c r="C354" s="23"/>
      <c r="D354" s="23"/>
      <c r="E354" s="40"/>
      <c r="F354" s="40"/>
      <c r="G354" s="40"/>
      <c r="H354" s="40"/>
      <c r="I354" s="40"/>
      <c r="J354" s="40"/>
      <c r="K354" s="40"/>
      <c r="L354" s="40"/>
      <c r="M354" s="40"/>
      <c r="N354" s="40"/>
      <c r="O354" s="40"/>
      <c r="P354" s="40"/>
      <c r="Q354" s="40"/>
      <c r="R354" s="40"/>
      <c r="S354" s="40"/>
      <c r="T354" s="40"/>
      <c r="U354" s="40"/>
      <c r="V354" s="40"/>
      <c r="W354" s="40"/>
      <c r="X354" s="40"/>
      <c r="Y354" s="40"/>
      <c r="Z354" s="40"/>
    </row>
    <row r="355">
      <c r="A355" s="72"/>
      <c r="B355" s="72"/>
      <c r="C355" s="23"/>
      <c r="D355" s="23"/>
      <c r="E355" s="40"/>
      <c r="F355" s="40"/>
      <c r="G355" s="40"/>
      <c r="H355" s="40"/>
      <c r="I355" s="40"/>
      <c r="J355" s="40"/>
      <c r="K355" s="40"/>
      <c r="L355" s="40"/>
      <c r="M355" s="40"/>
      <c r="N355" s="40"/>
      <c r="O355" s="40"/>
      <c r="P355" s="40"/>
      <c r="Q355" s="40"/>
      <c r="R355" s="40"/>
      <c r="S355" s="40"/>
      <c r="T355" s="40"/>
      <c r="U355" s="40"/>
      <c r="V355" s="40"/>
      <c r="W355" s="40"/>
      <c r="X355" s="40"/>
      <c r="Y355" s="40"/>
      <c r="Z355" s="40"/>
    </row>
    <row r="356">
      <c r="A356" s="72"/>
      <c r="B356" s="72"/>
      <c r="C356" s="23"/>
      <c r="D356" s="23"/>
      <c r="E356" s="40"/>
      <c r="F356" s="40"/>
      <c r="G356" s="40"/>
      <c r="H356" s="40"/>
      <c r="I356" s="40"/>
      <c r="J356" s="40"/>
      <c r="K356" s="40"/>
      <c r="L356" s="40"/>
      <c r="M356" s="40"/>
      <c r="N356" s="40"/>
      <c r="O356" s="40"/>
      <c r="P356" s="40"/>
      <c r="Q356" s="40"/>
      <c r="R356" s="40"/>
      <c r="S356" s="40"/>
      <c r="T356" s="40"/>
      <c r="U356" s="40"/>
      <c r="V356" s="40"/>
      <c r="W356" s="40"/>
      <c r="X356" s="40"/>
      <c r="Y356" s="40"/>
      <c r="Z356" s="40"/>
    </row>
    <row r="357">
      <c r="A357" s="72"/>
      <c r="B357" s="72"/>
      <c r="C357" s="23"/>
      <c r="D357" s="23"/>
      <c r="E357" s="40"/>
      <c r="F357" s="40"/>
      <c r="G357" s="40"/>
      <c r="H357" s="40"/>
      <c r="I357" s="40"/>
      <c r="J357" s="40"/>
      <c r="K357" s="40"/>
      <c r="L357" s="40"/>
      <c r="M357" s="40"/>
      <c r="N357" s="40"/>
      <c r="O357" s="40"/>
      <c r="P357" s="40"/>
      <c r="Q357" s="40"/>
      <c r="R357" s="40"/>
      <c r="S357" s="40"/>
      <c r="T357" s="40"/>
      <c r="U357" s="40"/>
      <c r="V357" s="40"/>
      <c r="W357" s="40"/>
      <c r="X357" s="40"/>
      <c r="Y357" s="40"/>
      <c r="Z357" s="40"/>
    </row>
    <row r="358">
      <c r="A358" s="72"/>
      <c r="B358" s="72"/>
      <c r="C358" s="23"/>
      <c r="D358" s="23"/>
      <c r="E358" s="40"/>
      <c r="F358" s="40"/>
      <c r="G358" s="40"/>
      <c r="H358" s="40"/>
      <c r="I358" s="40"/>
      <c r="J358" s="40"/>
      <c r="K358" s="40"/>
      <c r="L358" s="40"/>
      <c r="M358" s="40"/>
      <c r="N358" s="40"/>
      <c r="O358" s="40"/>
      <c r="P358" s="40"/>
      <c r="Q358" s="40"/>
      <c r="R358" s="40"/>
      <c r="S358" s="40"/>
      <c r="T358" s="40"/>
      <c r="U358" s="40"/>
      <c r="V358" s="40"/>
      <c r="W358" s="40"/>
      <c r="X358" s="40"/>
      <c r="Y358" s="40"/>
      <c r="Z358" s="40"/>
    </row>
    <row r="359">
      <c r="A359" s="72"/>
      <c r="B359" s="72"/>
      <c r="C359" s="23"/>
      <c r="D359" s="23"/>
      <c r="E359" s="40"/>
      <c r="F359" s="40"/>
      <c r="G359" s="40"/>
      <c r="H359" s="40"/>
      <c r="I359" s="40"/>
      <c r="J359" s="40"/>
      <c r="K359" s="40"/>
      <c r="L359" s="40"/>
      <c r="M359" s="40"/>
      <c r="N359" s="40"/>
      <c r="O359" s="40"/>
      <c r="P359" s="40"/>
      <c r="Q359" s="40"/>
      <c r="R359" s="40"/>
      <c r="S359" s="40"/>
      <c r="T359" s="40"/>
      <c r="U359" s="40"/>
      <c r="V359" s="40"/>
      <c r="W359" s="40"/>
      <c r="X359" s="40"/>
      <c r="Y359" s="40"/>
      <c r="Z359" s="40"/>
    </row>
    <row r="360">
      <c r="A360" s="72"/>
      <c r="B360" s="72"/>
      <c r="C360" s="23"/>
      <c r="D360" s="23"/>
      <c r="E360" s="40"/>
      <c r="F360" s="40"/>
      <c r="G360" s="40"/>
      <c r="H360" s="40"/>
      <c r="I360" s="40"/>
      <c r="J360" s="40"/>
      <c r="K360" s="40"/>
      <c r="L360" s="40"/>
      <c r="M360" s="40"/>
      <c r="N360" s="40"/>
      <c r="O360" s="40"/>
      <c r="P360" s="40"/>
      <c r="Q360" s="40"/>
      <c r="R360" s="40"/>
      <c r="S360" s="40"/>
      <c r="T360" s="40"/>
      <c r="U360" s="40"/>
      <c r="V360" s="40"/>
      <c r="W360" s="40"/>
      <c r="X360" s="40"/>
      <c r="Y360" s="40"/>
      <c r="Z360" s="40"/>
    </row>
    <row r="361">
      <c r="A361" s="72"/>
      <c r="B361" s="72"/>
      <c r="C361" s="23"/>
      <c r="D361" s="23"/>
      <c r="E361" s="40"/>
      <c r="F361" s="40"/>
      <c r="G361" s="40"/>
      <c r="H361" s="40"/>
      <c r="I361" s="40"/>
      <c r="J361" s="40"/>
      <c r="K361" s="40"/>
      <c r="L361" s="40"/>
      <c r="M361" s="40"/>
      <c r="N361" s="40"/>
      <c r="O361" s="40"/>
      <c r="P361" s="40"/>
      <c r="Q361" s="40"/>
      <c r="R361" s="40"/>
      <c r="S361" s="40"/>
      <c r="T361" s="40"/>
      <c r="U361" s="40"/>
      <c r="V361" s="40"/>
      <c r="W361" s="40"/>
      <c r="X361" s="40"/>
      <c r="Y361" s="40"/>
      <c r="Z361" s="40"/>
    </row>
    <row r="362">
      <c r="A362" s="72"/>
      <c r="B362" s="72"/>
      <c r="C362" s="23"/>
      <c r="D362" s="23"/>
      <c r="E362" s="40"/>
      <c r="F362" s="40"/>
      <c r="G362" s="40"/>
      <c r="H362" s="40"/>
      <c r="I362" s="40"/>
      <c r="J362" s="40"/>
      <c r="K362" s="40"/>
      <c r="L362" s="40"/>
      <c r="M362" s="40"/>
      <c r="N362" s="40"/>
      <c r="O362" s="40"/>
      <c r="P362" s="40"/>
      <c r="Q362" s="40"/>
      <c r="R362" s="40"/>
      <c r="S362" s="40"/>
      <c r="T362" s="40"/>
      <c r="U362" s="40"/>
      <c r="V362" s="40"/>
      <c r="W362" s="40"/>
      <c r="X362" s="40"/>
      <c r="Y362" s="40"/>
      <c r="Z362" s="40"/>
    </row>
    <row r="363">
      <c r="A363" s="72"/>
      <c r="B363" s="72"/>
      <c r="C363" s="23"/>
      <c r="D363" s="23"/>
      <c r="E363" s="40"/>
      <c r="F363" s="40"/>
      <c r="G363" s="40"/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  <c r="U363" s="40"/>
      <c r="V363" s="40"/>
      <c r="W363" s="40"/>
      <c r="X363" s="40"/>
      <c r="Y363" s="40"/>
      <c r="Z363" s="40"/>
    </row>
    <row r="364">
      <c r="A364" s="72"/>
      <c r="B364" s="72"/>
      <c r="C364" s="23"/>
      <c r="D364" s="23"/>
      <c r="E364" s="40"/>
      <c r="F364" s="40"/>
      <c r="G364" s="40"/>
      <c r="H364" s="40"/>
      <c r="I364" s="40"/>
      <c r="J364" s="40"/>
      <c r="K364" s="40"/>
      <c r="L364" s="40"/>
      <c r="M364" s="40"/>
      <c r="N364" s="40"/>
      <c r="O364" s="40"/>
      <c r="P364" s="40"/>
      <c r="Q364" s="40"/>
      <c r="R364" s="40"/>
      <c r="S364" s="40"/>
      <c r="T364" s="40"/>
      <c r="U364" s="40"/>
      <c r="V364" s="40"/>
      <c r="W364" s="40"/>
      <c r="X364" s="40"/>
      <c r="Y364" s="40"/>
      <c r="Z364" s="40"/>
    </row>
    <row r="365">
      <c r="A365" s="72"/>
      <c r="B365" s="72"/>
      <c r="C365" s="23"/>
      <c r="D365" s="23"/>
      <c r="E365" s="40"/>
      <c r="F365" s="40"/>
      <c r="G365" s="40"/>
      <c r="H365" s="40"/>
      <c r="I365" s="40"/>
      <c r="J365" s="40"/>
      <c r="K365" s="40"/>
      <c r="L365" s="40"/>
      <c r="M365" s="40"/>
      <c r="N365" s="40"/>
      <c r="O365" s="40"/>
      <c r="P365" s="40"/>
      <c r="Q365" s="40"/>
      <c r="R365" s="40"/>
      <c r="S365" s="40"/>
      <c r="T365" s="40"/>
      <c r="U365" s="40"/>
      <c r="V365" s="40"/>
      <c r="W365" s="40"/>
      <c r="X365" s="40"/>
      <c r="Y365" s="40"/>
      <c r="Z365" s="40"/>
    </row>
    <row r="366">
      <c r="A366" s="72"/>
      <c r="B366" s="72"/>
      <c r="C366" s="23"/>
      <c r="D366" s="23"/>
      <c r="E366" s="40"/>
      <c r="F366" s="40"/>
      <c r="G366" s="40"/>
      <c r="H366" s="40"/>
      <c r="I366" s="40"/>
      <c r="J366" s="40"/>
      <c r="K366" s="40"/>
      <c r="L366" s="40"/>
      <c r="M366" s="40"/>
      <c r="N366" s="40"/>
      <c r="O366" s="40"/>
      <c r="P366" s="40"/>
      <c r="Q366" s="40"/>
      <c r="R366" s="40"/>
      <c r="S366" s="40"/>
      <c r="T366" s="40"/>
      <c r="U366" s="40"/>
      <c r="V366" s="40"/>
      <c r="W366" s="40"/>
      <c r="X366" s="40"/>
      <c r="Y366" s="40"/>
      <c r="Z366" s="40"/>
    </row>
    <row r="367">
      <c r="A367" s="72"/>
      <c r="B367" s="72"/>
      <c r="C367" s="23"/>
      <c r="D367" s="23"/>
      <c r="E367" s="40"/>
      <c r="F367" s="40"/>
      <c r="G367" s="40"/>
      <c r="H367" s="40"/>
      <c r="I367" s="40"/>
      <c r="J367" s="40"/>
      <c r="K367" s="40"/>
      <c r="L367" s="40"/>
      <c r="M367" s="40"/>
      <c r="N367" s="40"/>
      <c r="O367" s="40"/>
      <c r="P367" s="40"/>
      <c r="Q367" s="40"/>
      <c r="R367" s="40"/>
      <c r="S367" s="40"/>
      <c r="T367" s="40"/>
      <c r="U367" s="40"/>
      <c r="V367" s="40"/>
      <c r="W367" s="40"/>
      <c r="X367" s="40"/>
      <c r="Y367" s="40"/>
      <c r="Z367" s="40"/>
    </row>
    <row r="368">
      <c r="A368" s="72"/>
      <c r="B368" s="72"/>
      <c r="C368" s="23"/>
      <c r="D368" s="23"/>
      <c r="E368" s="40"/>
      <c r="F368" s="40"/>
      <c r="G368" s="40"/>
      <c r="H368" s="40"/>
      <c r="I368" s="40"/>
      <c r="J368" s="40"/>
      <c r="K368" s="40"/>
      <c r="L368" s="40"/>
      <c r="M368" s="40"/>
      <c r="N368" s="40"/>
      <c r="O368" s="40"/>
      <c r="P368" s="40"/>
      <c r="Q368" s="40"/>
      <c r="R368" s="40"/>
      <c r="S368" s="40"/>
      <c r="T368" s="40"/>
      <c r="U368" s="40"/>
      <c r="V368" s="40"/>
      <c r="W368" s="40"/>
      <c r="X368" s="40"/>
      <c r="Y368" s="40"/>
      <c r="Z368" s="40"/>
    </row>
    <row r="369">
      <c r="A369" s="72"/>
      <c r="B369" s="72"/>
      <c r="C369" s="23"/>
      <c r="D369" s="23"/>
      <c r="E369" s="40"/>
      <c r="F369" s="40"/>
      <c r="G369" s="40"/>
      <c r="H369" s="40"/>
      <c r="I369" s="40"/>
      <c r="J369" s="40"/>
      <c r="K369" s="40"/>
      <c r="L369" s="40"/>
      <c r="M369" s="40"/>
      <c r="N369" s="40"/>
      <c r="O369" s="40"/>
      <c r="P369" s="40"/>
      <c r="Q369" s="40"/>
      <c r="R369" s="40"/>
      <c r="S369" s="40"/>
      <c r="T369" s="40"/>
      <c r="U369" s="40"/>
      <c r="V369" s="40"/>
      <c r="W369" s="40"/>
      <c r="X369" s="40"/>
      <c r="Y369" s="40"/>
      <c r="Z369" s="40"/>
    </row>
    <row r="370">
      <c r="A370" s="72"/>
      <c r="B370" s="72"/>
      <c r="C370" s="23"/>
      <c r="D370" s="23"/>
      <c r="E370" s="40"/>
      <c r="F370" s="40"/>
      <c r="G370" s="40"/>
      <c r="H370" s="40"/>
      <c r="I370" s="40"/>
      <c r="J370" s="40"/>
      <c r="K370" s="40"/>
      <c r="L370" s="40"/>
      <c r="M370" s="40"/>
      <c r="N370" s="40"/>
      <c r="O370" s="40"/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0"/>
    </row>
    <row r="371">
      <c r="A371" s="72"/>
      <c r="B371" s="72"/>
      <c r="C371" s="23"/>
      <c r="D371" s="23"/>
      <c r="E371" s="40"/>
      <c r="F371" s="40"/>
      <c r="G371" s="40"/>
      <c r="H371" s="40"/>
      <c r="I371" s="40"/>
      <c r="J371" s="40"/>
      <c r="K371" s="40"/>
      <c r="L371" s="40"/>
      <c r="M371" s="40"/>
      <c r="N371" s="40"/>
      <c r="O371" s="40"/>
      <c r="P371" s="40"/>
      <c r="Q371" s="40"/>
      <c r="R371" s="40"/>
      <c r="S371" s="40"/>
      <c r="T371" s="40"/>
      <c r="U371" s="40"/>
      <c r="V371" s="40"/>
      <c r="W371" s="40"/>
      <c r="X371" s="40"/>
      <c r="Y371" s="40"/>
      <c r="Z371" s="40"/>
    </row>
    <row r="372">
      <c r="A372" s="72"/>
      <c r="B372" s="72"/>
      <c r="C372" s="23"/>
      <c r="D372" s="23"/>
      <c r="E372" s="40"/>
      <c r="F372" s="40"/>
      <c r="G372" s="40"/>
      <c r="H372" s="40"/>
      <c r="I372" s="40"/>
      <c r="J372" s="40"/>
      <c r="K372" s="40"/>
      <c r="L372" s="40"/>
      <c r="M372" s="40"/>
      <c r="N372" s="40"/>
      <c r="O372" s="40"/>
      <c r="P372" s="40"/>
      <c r="Q372" s="40"/>
      <c r="R372" s="40"/>
      <c r="S372" s="40"/>
      <c r="T372" s="40"/>
      <c r="U372" s="40"/>
      <c r="V372" s="40"/>
      <c r="W372" s="40"/>
      <c r="X372" s="40"/>
      <c r="Y372" s="40"/>
      <c r="Z372" s="40"/>
    </row>
    <row r="373">
      <c r="A373" s="72"/>
      <c r="B373" s="72"/>
      <c r="C373" s="23"/>
      <c r="D373" s="23"/>
      <c r="E373" s="40"/>
      <c r="F373" s="40"/>
      <c r="G373" s="40"/>
      <c r="H373" s="40"/>
      <c r="I373" s="40"/>
      <c r="J373" s="40"/>
      <c r="K373" s="40"/>
      <c r="L373" s="40"/>
      <c r="M373" s="40"/>
      <c r="N373" s="40"/>
      <c r="O373" s="40"/>
      <c r="P373" s="40"/>
      <c r="Q373" s="40"/>
      <c r="R373" s="40"/>
      <c r="S373" s="40"/>
      <c r="T373" s="40"/>
      <c r="U373" s="40"/>
      <c r="V373" s="40"/>
      <c r="W373" s="40"/>
      <c r="X373" s="40"/>
      <c r="Y373" s="40"/>
      <c r="Z373" s="40"/>
    </row>
    <row r="374">
      <c r="A374" s="72"/>
      <c r="B374" s="72"/>
      <c r="C374" s="23"/>
      <c r="D374" s="23"/>
      <c r="E374" s="40"/>
      <c r="F374" s="40"/>
      <c r="G374" s="40"/>
      <c r="H374" s="40"/>
      <c r="I374" s="40"/>
      <c r="J374" s="40"/>
      <c r="K374" s="40"/>
      <c r="L374" s="40"/>
      <c r="M374" s="40"/>
      <c r="N374" s="40"/>
      <c r="O374" s="40"/>
      <c r="P374" s="40"/>
      <c r="Q374" s="40"/>
      <c r="R374" s="40"/>
      <c r="S374" s="40"/>
      <c r="T374" s="40"/>
      <c r="U374" s="40"/>
      <c r="V374" s="40"/>
      <c r="W374" s="40"/>
      <c r="X374" s="40"/>
      <c r="Y374" s="40"/>
      <c r="Z374" s="40"/>
    </row>
    <row r="375">
      <c r="A375" s="72"/>
      <c r="B375" s="72"/>
      <c r="C375" s="23"/>
      <c r="D375" s="23"/>
      <c r="E375" s="40"/>
      <c r="F375" s="40"/>
      <c r="G375" s="40"/>
      <c r="H375" s="40"/>
      <c r="I375" s="40"/>
      <c r="J375" s="40"/>
      <c r="K375" s="40"/>
      <c r="L375" s="40"/>
      <c r="M375" s="40"/>
      <c r="N375" s="40"/>
      <c r="O375" s="40"/>
      <c r="P375" s="40"/>
      <c r="Q375" s="40"/>
      <c r="R375" s="40"/>
      <c r="S375" s="40"/>
      <c r="T375" s="40"/>
      <c r="U375" s="40"/>
      <c r="V375" s="40"/>
      <c r="W375" s="40"/>
      <c r="X375" s="40"/>
      <c r="Y375" s="40"/>
      <c r="Z375" s="40"/>
    </row>
    <row r="376">
      <c r="A376" s="72"/>
      <c r="B376" s="72"/>
      <c r="C376" s="23"/>
      <c r="D376" s="23"/>
      <c r="E376" s="40"/>
      <c r="F376" s="40"/>
      <c r="G376" s="40"/>
      <c r="H376" s="40"/>
      <c r="I376" s="40"/>
      <c r="J376" s="40"/>
      <c r="K376" s="40"/>
      <c r="L376" s="40"/>
      <c r="M376" s="40"/>
      <c r="N376" s="40"/>
      <c r="O376" s="40"/>
      <c r="P376" s="40"/>
      <c r="Q376" s="40"/>
      <c r="R376" s="40"/>
      <c r="S376" s="40"/>
      <c r="T376" s="40"/>
      <c r="U376" s="40"/>
      <c r="V376" s="40"/>
      <c r="W376" s="40"/>
      <c r="X376" s="40"/>
      <c r="Y376" s="40"/>
      <c r="Z376" s="40"/>
    </row>
    <row r="377">
      <c r="A377" s="72"/>
      <c r="B377" s="72"/>
      <c r="C377" s="23"/>
      <c r="D377" s="23"/>
      <c r="E377" s="40"/>
      <c r="F377" s="40"/>
      <c r="G377" s="40"/>
      <c r="H377" s="40"/>
      <c r="I377" s="40"/>
      <c r="J377" s="40"/>
      <c r="K377" s="40"/>
      <c r="L377" s="40"/>
      <c r="M377" s="40"/>
      <c r="N377" s="40"/>
      <c r="O377" s="40"/>
      <c r="P377" s="40"/>
      <c r="Q377" s="40"/>
      <c r="R377" s="40"/>
      <c r="S377" s="40"/>
      <c r="T377" s="40"/>
      <c r="U377" s="40"/>
      <c r="V377" s="40"/>
      <c r="W377" s="40"/>
      <c r="X377" s="40"/>
      <c r="Y377" s="40"/>
      <c r="Z377" s="40"/>
    </row>
    <row r="378">
      <c r="A378" s="72"/>
      <c r="B378" s="72"/>
      <c r="C378" s="23"/>
      <c r="D378" s="23"/>
      <c r="E378" s="40"/>
      <c r="F378" s="40"/>
      <c r="G378" s="40"/>
      <c r="H378" s="40"/>
      <c r="I378" s="40"/>
      <c r="J378" s="40"/>
      <c r="K378" s="40"/>
      <c r="L378" s="40"/>
      <c r="M378" s="40"/>
      <c r="N378" s="40"/>
      <c r="O378" s="40"/>
      <c r="P378" s="40"/>
      <c r="Q378" s="40"/>
      <c r="R378" s="40"/>
      <c r="S378" s="40"/>
      <c r="T378" s="40"/>
      <c r="U378" s="40"/>
      <c r="V378" s="40"/>
      <c r="W378" s="40"/>
      <c r="X378" s="40"/>
      <c r="Y378" s="40"/>
      <c r="Z378" s="40"/>
    </row>
    <row r="379">
      <c r="A379" s="72"/>
      <c r="B379" s="72"/>
      <c r="C379" s="23"/>
      <c r="D379" s="23"/>
      <c r="E379" s="40"/>
      <c r="F379" s="40"/>
      <c r="G379" s="40"/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  <c r="U379" s="40"/>
      <c r="V379" s="40"/>
      <c r="W379" s="40"/>
      <c r="X379" s="40"/>
      <c r="Y379" s="40"/>
      <c r="Z379" s="40"/>
    </row>
    <row r="380">
      <c r="A380" s="72"/>
      <c r="B380" s="72"/>
      <c r="C380" s="23"/>
      <c r="D380" s="23"/>
      <c r="E380" s="40"/>
      <c r="F380" s="40"/>
      <c r="G380" s="40"/>
      <c r="H380" s="40"/>
      <c r="I380" s="40"/>
      <c r="J380" s="40"/>
      <c r="K380" s="40"/>
      <c r="L380" s="40"/>
      <c r="M380" s="40"/>
      <c r="N380" s="40"/>
      <c r="O380" s="40"/>
      <c r="P380" s="40"/>
      <c r="Q380" s="40"/>
      <c r="R380" s="40"/>
      <c r="S380" s="40"/>
      <c r="T380" s="40"/>
      <c r="U380" s="40"/>
      <c r="V380" s="40"/>
      <c r="W380" s="40"/>
      <c r="X380" s="40"/>
      <c r="Y380" s="40"/>
      <c r="Z380" s="40"/>
    </row>
    <row r="381">
      <c r="A381" s="72"/>
      <c r="B381" s="72"/>
      <c r="C381" s="23"/>
      <c r="D381" s="23"/>
      <c r="E381" s="40"/>
      <c r="F381" s="40"/>
      <c r="G381" s="40"/>
      <c r="H381" s="40"/>
      <c r="I381" s="40"/>
      <c r="J381" s="40"/>
      <c r="K381" s="40"/>
      <c r="L381" s="40"/>
      <c r="M381" s="40"/>
      <c r="N381" s="40"/>
      <c r="O381" s="40"/>
      <c r="P381" s="40"/>
      <c r="Q381" s="40"/>
      <c r="R381" s="40"/>
      <c r="S381" s="40"/>
      <c r="T381" s="40"/>
      <c r="U381" s="40"/>
      <c r="V381" s="40"/>
      <c r="W381" s="40"/>
      <c r="X381" s="40"/>
      <c r="Y381" s="40"/>
      <c r="Z381" s="40"/>
    </row>
    <row r="382">
      <c r="A382" s="72"/>
      <c r="B382" s="72"/>
      <c r="C382" s="23"/>
      <c r="D382" s="23"/>
      <c r="E382" s="40"/>
      <c r="F382" s="40"/>
      <c r="G382" s="40"/>
      <c r="H382" s="40"/>
      <c r="I382" s="40"/>
      <c r="J382" s="40"/>
      <c r="K382" s="40"/>
      <c r="L382" s="40"/>
      <c r="M382" s="40"/>
      <c r="N382" s="40"/>
      <c r="O382" s="40"/>
      <c r="P382" s="40"/>
      <c r="Q382" s="40"/>
      <c r="R382" s="40"/>
      <c r="S382" s="40"/>
      <c r="T382" s="40"/>
      <c r="U382" s="40"/>
      <c r="V382" s="40"/>
      <c r="W382" s="40"/>
      <c r="X382" s="40"/>
      <c r="Y382" s="40"/>
      <c r="Z382" s="40"/>
    </row>
    <row r="383">
      <c r="A383" s="72"/>
      <c r="B383" s="72"/>
      <c r="C383" s="23"/>
      <c r="D383" s="23"/>
      <c r="E383" s="40"/>
      <c r="F383" s="40"/>
      <c r="G383" s="40"/>
      <c r="H383" s="40"/>
      <c r="I383" s="40"/>
      <c r="J383" s="40"/>
      <c r="K383" s="40"/>
      <c r="L383" s="40"/>
      <c r="M383" s="40"/>
      <c r="N383" s="40"/>
      <c r="O383" s="40"/>
      <c r="P383" s="40"/>
      <c r="Q383" s="40"/>
      <c r="R383" s="40"/>
      <c r="S383" s="40"/>
      <c r="T383" s="40"/>
      <c r="U383" s="40"/>
      <c r="V383" s="40"/>
      <c r="W383" s="40"/>
      <c r="X383" s="40"/>
      <c r="Y383" s="40"/>
      <c r="Z383" s="40"/>
    </row>
    <row r="384">
      <c r="A384" s="72"/>
      <c r="B384" s="72"/>
      <c r="C384" s="23"/>
      <c r="D384" s="23"/>
      <c r="E384" s="40"/>
      <c r="F384" s="40"/>
      <c r="G384" s="40"/>
      <c r="H384" s="40"/>
      <c r="I384" s="40"/>
      <c r="J384" s="40"/>
      <c r="K384" s="40"/>
      <c r="L384" s="40"/>
      <c r="M384" s="40"/>
      <c r="N384" s="40"/>
      <c r="O384" s="40"/>
      <c r="P384" s="40"/>
      <c r="Q384" s="40"/>
      <c r="R384" s="40"/>
      <c r="S384" s="40"/>
      <c r="T384" s="40"/>
      <c r="U384" s="40"/>
      <c r="V384" s="40"/>
      <c r="W384" s="40"/>
      <c r="X384" s="40"/>
      <c r="Y384" s="40"/>
      <c r="Z384" s="40"/>
    </row>
    <row r="385">
      <c r="A385" s="72"/>
      <c r="B385" s="72"/>
      <c r="C385" s="23"/>
      <c r="D385" s="23"/>
      <c r="E385" s="40"/>
      <c r="F385" s="40"/>
      <c r="G385" s="40"/>
      <c r="H385" s="40"/>
      <c r="I385" s="40"/>
      <c r="J385" s="40"/>
      <c r="K385" s="40"/>
      <c r="L385" s="40"/>
      <c r="M385" s="40"/>
      <c r="N385" s="40"/>
      <c r="O385" s="40"/>
      <c r="P385" s="40"/>
      <c r="Q385" s="40"/>
      <c r="R385" s="40"/>
      <c r="S385" s="40"/>
      <c r="T385" s="40"/>
      <c r="U385" s="40"/>
      <c r="V385" s="40"/>
      <c r="W385" s="40"/>
      <c r="X385" s="40"/>
      <c r="Y385" s="40"/>
      <c r="Z385" s="40"/>
    </row>
    <row r="386">
      <c r="A386" s="72"/>
      <c r="B386" s="72"/>
      <c r="C386" s="23"/>
      <c r="D386" s="23"/>
      <c r="E386" s="40"/>
      <c r="F386" s="40"/>
      <c r="G386" s="40"/>
      <c r="H386" s="40"/>
      <c r="I386" s="40"/>
      <c r="J386" s="40"/>
      <c r="K386" s="40"/>
      <c r="L386" s="40"/>
      <c r="M386" s="40"/>
      <c r="N386" s="40"/>
      <c r="O386" s="40"/>
      <c r="P386" s="40"/>
      <c r="Q386" s="40"/>
      <c r="R386" s="40"/>
      <c r="S386" s="40"/>
      <c r="T386" s="40"/>
      <c r="U386" s="40"/>
      <c r="V386" s="40"/>
      <c r="W386" s="40"/>
      <c r="X386" s="40"/>
      <c r="Y386" s="40"/>
      <c r="Z386" s="40"/>
    </row>
    <row r="387">
      <c r="A387" s="72"/>
      <c r="B387" s="72"/>
      <c r="C387" s="23"/>
      <c r="D387" s="23"/>
      <c r="E387" s="40"/>
      <c r="F387" s="40"/>
      <c r="G387" s="40"/>
      <c r="H387" s="40"/>
      <c r="I387" s="40"/>
      <c r="J387" s="40"/>
      <c r="K387" s="40"/>
      <c r="L387" s="40"/>
      <c r="M387" s="40"/>
      <c r="N387" s="40"/>
      <c r="O387" s="40"/>
      <c r="P387" s="40"/>
      <c r="Q387" s="40"/>
      <c r="R387" s="40"/>
      <c r="S387" s="40"/>
      <c r="T387" s="40"/>
      <c r="U387" s="40"/>
      <c r="V387" s="40"/>
      <c r="W387" s="40"/>
      <c r="X387" s="40"/>
      <c r="Y387" s="40"/>
      <c r="Z387" s="40"/>
    </row>
    <row r="388">
      <c r="A388" s="72"/>
      <c r="B388" s="72"/>
      <c r="C388" s="23"/>
      <c r="D388" s="23"/>
      <c r="E388" s="40"/>
      <c r="F388" s="40"/>
      <c r="G388" s="40"/>
      <c r="H388" s="40"/>
      <c r="I388" s="40"/>
      <c r="J388" s="40"/>
      <c r="K388" s="40"/>
      <c r="L388" s="40"/>
      <c r="M388" s="40"/>
      <c r="N388" s="40"/>
      <c r="O388" s="40"/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0"/>
    </row>
    <row r="389">
      <c r="A389" s="72"/>
      <c r="B389" s="72"/>
      <c r="C389" s="23"/>
      <c r="D389" s="23"/>
      <c r="E389" s="40"/>
      <c r="F389" s="40"/>
      <c r="G389" s="40"/>
      <c r="H389" s="40"/>
      <c r="I389" s="40"/>
      <c r="J389" s="40"/>
      <c r="K389" s="40"/>
      <c r="L389" s="40"/>
      <c r="M389" s="40"/>
      <c r="N389" s="40"/>
      <c r="O389" s="40"/>
      <c r="P389" s="40"/>
      <c r="Q389" s="40"/>
      <c r="R389" s="40"/>
      <c r="S389" s="40"/>
      <c r="T389" s="40"/>
      <c r="U389" s="40"/>
      <c r="V389" s="40"/>
      <c r="W389" s="40"/>
      <c r="X389" s="40"/>
      <c r="Y389" s="40"/>
      <c r="Z389" s="40"/>
    </row>
    <row r="390">
      <c r="A390" s="72"/>
      <c r="B390" s="72"/>
      <c r="C390" s="23"/>
      <c r="D390" s="23"/>
      <c r="E390" s="40"/>
      <c r="F390" s="40"/>
      <c r="G390" s="40"/>
      <c r="H390" s="40"/>
      <c r="I390" s="40"/>
      <c r="J390" s="40"/>
      <c r="K390" s="40"/>
      <c r="L390" s="40"/>
      <c r="M390" s="40"/>
      <c r="N390" s="40"/>
      <c r="O390" s="40"/>
      <c r="P390" s="40"/>
      <c r="Q390" s="40"/>
      <c r="R390" s="40"/>
      <c r="S390" s="40"/>
      <c r="T390" s="40"/>
      <c r="U390" s="40"/>
      <c r="V390" s="40"/>
      <c r="W390" s="40"/>
      <c r="X390" s="40"/>
      <c r="Y390" s="40"/>
      <c r="Z390" s="40"/>
    </row>
    <row r="391">
      <c r="A391" s="72"/>
      <c r="B391" s="72"/>
      <c r="C391" s="23"/>
      <c r="D391" s="23"/>
      <c r="E391" s="40"/>
      <c r="F391" s="40"/>
      <c r="G391" s="40"/>
      <c r="H391" s="40"/>
      <c r="I391" s="40"/>
      <c r="J391" s="40"/>
      <c r="K391" s="40"/>
      <c r="L391" s="40"/>
      <c r="M391" s="40"/>
      <c r="N391" s="40"/>
      <c r="O391" s="40"/>
      <c r="P391" s="40"/>
      <c r="Q391" s="40"/>
      <c r="R391" s="40"/>
      <c r="S391" s="40"/>
      <c r="T391" s="40"/>
      <c r="U391" s="40"/>
      <c r="V391" s="40"/>
      <c r="W391" s="40"/>
      <c r="X391" s="40"/>
      <c r="Y391" s="40"/>
      <c r="Z391" s="40"/>
    </row>
    <row r="392">
      <c r="A392" s="72"/>
      <c r="B392" s="72"/>
      <c r="C392" s="23"/>
      <c r="D392" s="23"/>
      <c r="E392" s="40"/>
      <c r="F392" s="40"/>
      <c r="G392" s="40"/>
      <c r="H392" s="40"/>
      <c r="I392" s="40"/>
      <c r="J392" s="40"/>
      <c r="K392" s="40"/>
      <c r="L392" s="40"/>
      <c r="M392" s="40"/>
      <c r="N392" s="40"/>
      <c r="O392" s="40"/>
      <c r="P392" s="40"/>
      <c r="Q392" s="40"/>
      <c r="R392" s="40"/>
      <c r="S392" s="40"/>
      <c r="T392" s="40"/>
      <c r="U392" s="40"/>
      <c r="V392" s="40"/>
      <c r="W392" s="40"/>
      <c r="X392" s="40"/>
      <c r="Y392" s="40"/>
      <c r="Z392" s="40"/>
    </row>
    <row r="393">
      <c r="A393" s="72"/>
      <c r="B393" s="72"/>
      <c r="C393" s="23"/>
      <c r="D393" s="23"/>
      <c r="E393" s="40"/>
      <c r="F393" s="40"/>
      <c r="G393" s="40"/>
      <c r="H393" s="40"/>
      <c r="I393" s="40"/>
      <c r="J393" s="40"/>
      <c r="K393" s="40"/>
      <c r="L393" s="40"/>
      <c r="M393" s="40"/>
      <c r="N393" s="40"/>
      <c r="O393" s="40"/>
      <c r="P393" s="40"/>
      <c r="Q393" s="40"/>
      <c r="R393" s="40"/>
      <c r="S393" s="40"/>
      <c r="T393" s="40"/>
      <c r="U393" s="40"/>
      <c r="V393" s="40"/>
      <c r="W393" s="40"/>
      <c r="X393" s="40"/>
      <c r="Y393" s="40"/>
      <c r="Z393" s="40"/>
    </row>
    <row r="394">
      <c r="A394" s="72"/>
      <c r="B394" s="72"/>
      <c r="C394" s="23"/>
      <c r="D394" s="23"/>
      <c r="E394" s="40"/>
      <c r="F394" s="40"/>
      <c r="G394" s="40"/>
      <c r="H394" s="40"/>
      <c r="I394" s="40"/>
      <c r="J394" s="40"/>
      <c r="K394" s="40"/>
      <c r="L394" s="40"/>
      <c r="M394" s="40"/>
      <c r="N394" s="40"/>
      <c r="O394" s="40"/>
      <c r="P394" s="40"/>
      <c r="Q394" s="40"/>
      <c r="R394" s="40"/>
      <c r="S394" s="40"/>
      <c r="T394" s="40"/>
      <c r="U394" s="40"/>
      <c r="V394" s="40"/>
      <c r="W394" s="40"/>
      <c r="X394" s="40"/>
      <c r="Y394" s="40"/>
      <c r="Z394" s="40"/>
    </row>
    <row r="395">
      <c r="A395" s="72"/>
      <c r="B395" s="72"/>
      <c r="C395" s="23"/>
      <c r="D395" s="23"/>
      <c r="E395" s="40"/>
      <c r="F395" s="40"/>
      <c r="G395" s="40"/>
      <c r="H395" s="40"/>
      <c r="I395" s="40"/>
      <c r="J395" s="40"/>
      <c r="K395" s="40"/>
      <c r="L395" s="40"/>
      <c r="M395" s="40"/>
      <c r="N395" s="40"/>
      <c r="O395" s="40"/>
      <c r="P395" s="40"/>
      <c r="Q395" s="40"/>
      <c r="R395" s="40"/>
      <c r="S395" s="40"/>
      <c r="T395" s="40"/>
      <c r="U395" s="40"/>
      <c r="V395" s="40"/>
      <c r="W395" s="40"/>
      <c r="X395" s="40"/>
      <c r="Y395" s="40"/>
      <c r="Z395" s="40"/>
    </row>
    <row r="396">
      <c r="A396" s="72"/>
      <c r="B396" s="72"/>
      <c r="C396" s="23"/>
      <c r="D396" s="23"/>
      <c r="E396" s="40"/>
      <c r="F396" s="40"/>
      <c r="G396" s="40"/>
      <c r="H396" s="40"/>
      <c r="I396" s="40"/>
      <c r="J396" s="40"/>
      <c r="K396" s="40"/>
      <c r="L396" s="40"/>
      <c r="M396" s="40"/>
      <c r="N396" s="40"/>
      <c r="O396" s="40"/>
      <c r="P396" s="40"/>
      <c r="Q396" s="40"/>
      <c r="R396" s="40"/>
      <c r="S396" s="40"/>
      <c r="T396" s="40"/>
      <c r="U396" s="40"/>
      <c r="V396" s="40"/>
      <c r="W396" s="40"/>
      <c r="X396" s="40"/>
      <c r="Y396" s="40"/>
      <c r="Z396" s="40"/>
    </row>
    <row r="397">
      <c r="A397" s="72"/>
      <c r="B397" s="72"/>
      <c r="C397" s="23"/>
      <c r="D397" s="23"/>
      <c r="E397" s="40"/>
      <c r="F397" s="40"/>
      <c r="G397" s="40"/>
      <c r="H397" s="40"/>
      <c r="I397" s="40"/>
      <c r="J397" s="40"/>
      <c r="K397" s="40"/>
      <c r="L397" s="40"/>
      <c r="M397" s="40"/>
      <c r="N397" s="40"/>
      <c r="O397" s="40"/>
      <c r="P397" s="40"/>
      <c r="Q397" s="40"/>
      <c r="R397" s="40"/>
      <c r="S397" s="40"/>
      <c r="T397" s="40"/>
      <c r="U397" s="40"/>
      <c r="V397" s="40"/>
      <c r="W397" s="40"/>
      <c r="X397" s="40"/>
      <c r="Y397" s="40"/>
      <c r="Z397" s="40"/>
    </row>
    <row r="398">
      <c r="A398" s="72"/>
      <c r="B398" s="72"/>
      <c r="C398" s="23"/>
      <c r="D398" s="23"/>
      <c r="E398" s="40"/>
      <c r="F398" s="40"/>
      <c r="G398" s="40"/>
      <c r="H398" s="40"/>
      <c r="I398" s="40"/>
      <c r="J398" s="40"/>
      <c r="K398" s="40"/>
      <c r="L398" s="40"/>
      <c r="M398" s="40"/>
      <c r="N398" s="40"/>
      <c r="O398" s="40"/>
      <c r="P398" s="40"/>
      <c r="Q398" s="40"/>
      <c r="R398" s="40"/>
      <c r="S398" s="40"/>
      <c r="T398" s="40"/>
      <c r="U398" s="40"/>
      <c r="V398" s="40"/>
      <c r="W398" s="40"/>
      <c r="X398" s="40"/>
      <c r="Y398" s="40"/>
      <c r="Z398" s="40"/>
    </row>
    <row r="399">
      <c r="A399" s="72"/>
      <c r="B399" s="72"/>
      <c r="C399" s="23"/>
      <c r="D399" s="23"/>
      <c r="E399" s="40"/>
      <c r="F399" s="40"/>
      <c r="G399" s="40"/>
      <c r="H399" s="40"/>
      <c r="I399" s="40"/>
      <c r="J399" s="40"/>
      <c r="K399" s="40"/>
      <c r="L399" s="40"/>
      <c r="M399" s="40"/>
      <c r="N399" s="40"/>
      <c r="O399" s="40"/>
      <c r="P399" s="40"/>
      <c r="Q399" s="40"/>
      <c r="R399" s="40"/>
      <c r="S399" s="40"/>
      <c r="T399" s="40"/>
      <c r="U399" s="40"/>
      <c r="V399" s="40"/>
      <c r="W399" s="40"/>
      <c r="X399" s="40"/>
      <c r="Y399" s="40"/>
      <c r="Z399" s="40"/>
    </row>
    <row r="400">
      <c r="A400" s="72"/>
      <c r="B400" s="72"/>
      <c r="C400" s="23"/>
      <c r="D400" s="23"/>
      <c r="E400" s="40"/>
      <c r="F400" s="40"/>
      <c r="G400" s="40"/>
      <c r="H400" s="40"/>
      <c r="I400" s="40"/>
      <c r="J400" s="40"/>
      <c r="K400" s="40"/>
      <c r="L400" s="40"/>
      <c r="M400" s="40"/>
      <c r="N400" s="40"/>
      <c r="O400" s="40"/>
      <c r="P400" s="40"/>
      <c r="Q400" s="40"/>
      <c r="R400" s="40"/>
      <c r="S400" s="40"/>
      <c r="T400" s="40"/>
      <c r="U400" s="40"/>
      <c r="V400" s="40"/>
      <c r="W400" s="40"/>
      <c r="X400" s="40"/>
      <c r="Y400" s="40"/>
      <c r="Z400" s="40"/>
    </row>
    <row r="401">
      <c r="A401" s="72"/>
      <c r="B401" s="72"/>
      <c r="C401" s="23"/>
      <c r="D401" s="23"/>
      <c r="E401" s="40"/>
      <c r="F401" s="40"/>
      <c r="G401" s="40"/>
      <c r="H401" s="40"/>
      <c r="I401" s="40"/>
      <c r="J401" s="40"/>
      <c r="K401" s="40"/>
      <c r="L401" s="40"/>
      <c r="M401" s="40"/>
      <c r="N401" s="40"/>
      <c r="O401" s="40"/>
      <c r="P401" s="40"/>
      <c r="Q401" s="40"/>
      <c r="R401" s="40"/>
      <c r="S401" s="40"/>
      <c r="T401" s="40"/>
      <c r="U401" s="40"/>
      <c r="V401" s="40"/>
      <c r="W401" s="40"/>
      <c r="X401" s="40"/>
      <c r="Y401" s="40"/>
      <c r="Z401" s="40"/>
    </row>
    <row r="402">
      <c r="A402" s="72"/>
      <c r="B402" s="72"/>
      <c r="C402" s="23"/>
      <c r="D402" s="23"/>
      <c r="E402" s="40"/>
      <c r="F402" s="40"/>
      <c r="G402" s="40"/>
      <c r="H402" s="40"/>
      <c r="I402" s="40"/>
      <c r="J402" s="40"/>
      <c r="K402" s="40"/>
      <c r="L402" s="40"/>
      <c r="M402" s="40"/>
      <c r="N402" s="40"/>
      <c r="O402" s="40"/>
      <c r="P402" s="40"/>
      <c r="Q402" s="40"/>
      <c r="R402" s="40"/>
      <c r="S402" s="40"/>
      <c r="T402" s="40"/>
      <c r="U402" s="40"/>
      <c r="V402" s="40"/>
      <c r="W402" s="40"/>
      <c r="X402" s="40"/>
      <c r="Y402" s="40"/>
      <c r="Z402" s="40"/>
    </row>
    <row r="403">
      <c r="A403" s="72"/>
      <c r="B403" s="72"/>
      <c r="C403" s="23"/>
      <c r="D403" s="23"/>
      <c r="E403" s="40"/>
      <c r="F403" s="40"/>
      <c r="G403" s="40"/>
      <c r="H403" s="40"/>
      <c r="I403" s="40"/>
      <c r="J403" s="40"/>
      <c r="K403" s="40"/>
      <c r="L403" s="40"/>
      <c r="M403" s="40"/>
      <c r="N403" s="40"/>
      <c r="O403" s="40"/>
      <c r="P403" s="40"/>
      <c r="Q403" s="40"/>
      <c r="R403" s="40"/>
      <c r="S403" s="40"/>
      <c r="T403" s="40"/>
      <c r="U403" s="40"/>
      <c r="V403" s="40"/>
      <c r="W403" s="40"/>
      <c r="X403" s="40"/>
      <c r="Y403" s="40"/>
      <c r="Z403" s="40"/>
    </row>
    <row r="404">
      <c r="A404" s="72"/>
      <c r="B404" s="72"/>
      <c r="C404" s="23"/>
      <c r="D404" s="23"/>
      <c r="E404" s="40"/>
      <c r="F404" s="40"/>
      <c r="G404" s="40"/>
      <c r="H404" s="40"/>
      <c r="I404" s="40"/>
      <c r="J404" s="40"/>
      <c r="K404" s="40"/>
      <c r="L404" s="40"/>
      <c r="M404" s="40"/>
      <c r="N404" s="40"/>
      <c r="O404" s="40"/>
      <c r="P404" s="40"/>
      <c r="Q404" s="40"/>
      <c r="R404" s="40"/>
      <c r="S404" s="40"/>
      <c r="T404" s="40"/>
      <c r="U404" s="40"/>
      <c r="V404" s="40"/>
      <c r="W404" s="40"/>
      <c r="X404" s="40"/>
      <c r="Y404" s="40"/>
      <c r="Z404" s="40"/>
    </row>
    <row r="405">
      <c r="A405" s="72"/>
      <c r="B405" s="72"/>
      <c r="C405" s="23"/>
      <c r="D405" s="23"/>
      <c r="E405" s="40"/>
      <c r="F405" s="40"/>
      <c r="G405" s="40"/>
      <c r="H405" s="40"/>
      <c r="I405" s="40"/>
      <c r="J405" s="40"/>
      <c r="K405" s="40"/>
      <c r="L405" s="40"/>
      <c r="M405" s="40"/>
      <c r="N405" s="40"/>
      <c r="O405" s="40"/>
      <c r="P405" s="40"/>
      <c r="Q405" s="40"/>
      <c r="R405" s="40"/>
      <c r="S405" s="40"/>
      <c r="T405" s="40"/>
      <c r="U405" s="40"/>
      <c r="V405" s="40"/>
      <c r="W405" s="40"/>
      <c r="X405" s="40"/>
      <c r="Y405" s="40"/>
      <c r="Z405" s="40"/>
    </row>
    <row r="406">
      <c r="A406" s="72"/>
      <c r="B406" s="72"/>
      <c r="C406" s="23"/>
      <c r="D406" s="23"/>
      <c r="E406" s="40"/>
      <c r="F406" s="40"/>
      <c r="G406" s="40"/>
      <c r="H406" s="40"/>
      <c r="I406" s="40"/>
      <c r="J406" s="40"/>
      <c r="K406" s="40"/>
      <c r="L406" s="40"/>
      <c r="M406" s="40"/>
      <c r="N406" s="40"/>
      <c r="O406" s="40"/>
      <c r="P406" s="40"/>
      <c r="Q406" s="40"/>
      <c r="R406" s="40"/>
      <c r="S406" s="40"/>
      <c r="T406" s="40"/>
      <c r="U406" s="40"/>
      <c r="V406" s="40"/>
      <c r="W406" s="40"/>
      <c r="X406" s="40"/>
      <c r="Y406" s="40"/>
      <c r="Z406" s="40"/>
    </row>
    <row r="407">
      <c r="A407" s="72"/>
      <c r="B407" s="72"/>
      <c r="C407" s="23"/>
      <c r="D407" s="23"/>
      <c r="E407" s="40"/>
      <c r="F407" s="40"/>
      <c r="G407" s="40"/>
      <c r="H407" s="40"/>
      <c r="I407" s="40"/>
      <c r="J407" s="40"/>
      <c r="K407" s="40"/>
      <c r="L407" s="40"/>
      <c r="M407" s="40"/>
      <c r="N407" s="40"/>
      <c r="O407" s="40"/>
      <c r="P407" s="40"/>
      <c r="Q407" s="40"/>
      <c r="R407" s="40"/>
      <c r="S407" s="40"/>
      <c r="T407" s="40"/>
      <c r="U407" s="40"/>
      <c r="V407" s="40"/>
      <c r="W407" s="40"/>
      <c r="X407" s="40"/>
      <c r="Y407" s="40"/>
      <c r="Z407" s="40"/>
    </row>
    <row r="408">
      <c r="A408" s="72"/>
      <c r="B408" s="72"/>
      <c r="C408" s="23"/>
      <c r="D408" s="23"/>
      <c r="E408" s="40"/>
      <c r="F408" s="40"/>
      <c r="G408" s="40"/>
      <c r="H408" s="40"/>
      <c r="I408" s="40"/>
      <c r="J408" s="40"/>
      <c r="K408" s="40"/>
      <c r="L408" s="40"/>
      <c r="M408" s="40"/>
      <c r="N408" s="40"/>
      <c r="O408" s="40"/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0"/>
    </row>
    <row r="409">
      <c r="A409" s="72"/>
      <c r="B409" s="72"/>
      <c r="C409" s="23"/>
      <c r="D409" s="23"/>
      <c r="E409" s="40"/>
      <c r="F409" s="40"/>
      <c r="G409" s="40"/>
      <c r="H409" s="40"/>
      <c r="I409" s="40"/>
      <c r="J409" s="40"/>
      <c r="K409" s="40"/>
      <c r="L409" s="40"/>
      <c r="M409" s="40"/>
      <c r="N409" s="40"/>
      <c r="O409" s="40"/>
      <c r="P409" s="40"/>
      <c r="Q409" s="40"/>
      <c r="R409" s="40"/>
      <c r="S409" s="40"/>
      <c r="T409" s="40"/>
      <c r="U409" s="40"/>
      <c r="V409" s="40"/>
      <c r="W409" s="40"/>
      <c r="X409" s="40"/>
      <c r="Y409" s="40"/>
      <c r="Z409" s="40"/>
    </row>
    <row r="410">
      <c r="A410" s="72"/>
      <c r="B410" s="72"/>
      <c r="C410" s="23"/>
      <c r="D410" s="23"/>
      <c r="E410" s="40"/>
      <c r="F410" s="40"/>
      <c r="G410" s="40"/>
      <c r="H410" s="40"/>
      <c r="I410" s="40"/>
      <c r="J410" s="40"/>
      <c r="K410" s="40"/>
      <c r="L410" s="40"/>
      <c r="M410" s="40"/>
      <c r="N410" s="40"/>
      <c r="O410" s="40"/>
      <c r="P410" s="40"/>
      <c r="Q410" s="40"/>
      <c r="R410" s="40"/>
      <c r="S410" s="40"/>
      <c r="T410" s="40"/>
      <c r="U410" s="40"/>
      <c r="V410" s="40"/>
      <c r="W410" s="40"/>
      <c r="X410" s="40"/>
      <c r="Y410" s="40"/>
      <c r="Z410" s="40"/>
    </row>
    <row r="411">
      <c r="A411" s="72"/>
      <c r="B411" s="72"/>
      <c r="C411" s="23"/>
      <c r="D411" s="23"/>
      <c r="E411" s="40"/>
      <c r="F411" s="40"/>
      <c r="G411" s="40"/>
      <c r="H411" s="40"/>
      <c r="I411" s="40"/>
      <c r="J411" s="40"/>
      <c r="K411" s="40"/>
      <c r="L411" s="40"/>
      <c r="M411" s="40"/>
      <c r="N411" s="40"/>
      <c r="O411" s="40"/>
      <c r="P411" s="40"/>
      <c r="Q411" s="40"/>
      <c r="R411" s="40"/>
      <c r="S411" s="40"/>
      <c r="T411" s="40"/>
      <c r="U411" s="40"/>
      <c r="V411" s="40"/>
      <c r="W411" s="40"/>
      <c r="X411" s="40"/>
      <c r="Y411" s="40"/>
      <c r="Z411" s="40"/>
    </row>
    <row r="412">
      <c r="A412" s="72"/>
      <c r="B412" s="72"/>
      <c r="C412" s="23"/>
      <c r="D412" s="23"/>
      <c r="E412" s="40"/>
      <c r="F412" s="40"/>
      <c r="G412" s="40"/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  <c r="U412" s="40"/>
      <c r="V412" s="40"/>
      <c r="W412" s="40"/>
      <c r="X412" s="40"/>
      <c r="Y412" s="40"/>
      <c r="Z412" s="40"/>
    </row>
    <row r="413">
      <c r="A413" s="72"/>
      <c r="B413" s="72"/>
      <c r="C413" s="23"/>
      <c r="D413" s="23"/>
      <c r="E413" s="40"/>
      <c r="F413" s="40"/>
      <c r="G413" s="40"/>
      <c r="H413" s="40"/>
      <c r="I413" s="40"/>
      <c r="J413" s="40"/>
      <c r="K413" s="40"/>
      <c r="L413" s="40"/>
      <c r="M413" s="40"/>
      <c r="N413" s="40"/>
      <c r="O413" s="40"/>
      <c r="P413" s="40"/>
      <c r="Q413" s="40"/>
      <c r="R413" s="40"/>
      <c r="S413" s="40"/>
      <c r="T413" s="40"/>
      <c r="U413" s="40"/>
      <c r="V413" s="40"/>
      <c r="W413" s="40"/>
      <c r="X413" s="40"/>
      <c r="Y413" s="40"/>
      <c r="Z413" s="40"/>
    </row>
    <row r="414">
      <c r="A414" s="72"/>
      <c r="B414" s="72"/>
      <c r="C414" s="23"/>
      <c r="D414" s="23"/>
      <c r="E414" s="40"/>
      <c r="F414" s="40"/>
      <c r="G414" s="40"/>
      <c r="H414" s="40"/>
      <c r="I414" s="40"/>
      <c r="J414" s="40"/>
      <c r="K414" s="40"/>
      <c r="L414" s="40"/>
      <c r="M414" s="40"/>
      <c r="N414" s="40"/>
      <c r="O414" s="40"/>
      <c r="P414" s="40"/>
      <c r="Q414" s="40"/>
      <c r="R414" s="40"/>
      <c r="S414" s="40"/>
      <c r="T414" s="40"/>
      <c r="U414" s="40"/>
      <c r="V414" s="40"/>
      <c r="W414" s="40"/>
      <c r="X414" s="40"/>
      <c r="Y414" s="40"/>
      <c r="Z414" s="40"/>
    </row>
    <row r="415">
      <c r="A415" s="72"/>
      <c r="B415" s="72"/>
      <c r="C415" s="23"/>
      <c r="D415" s="23"/>
      <c r="E415" s="40"/>
      <c r="F415" s="40"/>
      <c r="G415" s="40"/>
      <c r="H415" s="40"/>
      <c r="I415" s="40"/>
      <c r="J415" s="40"/>
      <c r="K415" s="40"/>
      <c r="L415" s="40"/>
      <c r="M415" s="40"/>
      <c r="N415" s="40"/>
      <c r="O415" s="40"/>
      <c r="P415" s="40"/>
      <c r="Q415" s="40"/>
      <c r="R415" s="40"/>
      <c r="S415" s="40"/>
      <c r="T415" s="40"/>
      <c r="U415" s="40"/>
      <c r="V415" s="40"/>
      <c r="W415" s="40"/>
      <c r="X415" s="40"/>
      <c r="Y415" s="40"/>
      <c r="Z415" s="40"/>
    </row>
    <row r="416">
      <c r="A416" s="72"/>
      <c r="B416" s="72"/>
      <c r="C416" s="23"/>
      <c r="D416" s="23"/>
      <c r="E416" s="40"/>
      <c r="F416" s="40"/>
      <c r="G416" s="40"/>
      <c r="H416" s="40"/>
      <c r="I416" s="40"/>
      <c r="J416" s="40"/>
      <c r="K416" s="40"/>
      <c r="L416" s="40"/>
      <c r="M416" s="40"/>
      <c r="N416" s="40"/>
      <c r="O416" s="40"/>
      <c r="P416" s="40"/>
      <c r="Q416" s="40"/>
      <c r="R416" s="40"/>
      <c r="S416" s="40"/>
      <c r="T416" s="40"/>
      <c r="U416" s="40"/>
      <c r="V416" s="40"/>
      <c r="W416" s="40"/>
      <c r="X416" s="40"/>
      <c r="Y416" s="40"/>
      <c r="Z416" s="40"/>
    </row>
    <row r="417">
      <c r="A417" s="72"/>
      <c r="B417" s="72"/>
      <c r="C417" s="23"/>
      <c r="D417" s="23"/>
      <c r="E417" s="40"/>
      <c r="F417" s="40"/>
      <c r="G417" s="40"/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  <c r="U417" s="40"/>
      <c r="V417" s="40"/>
      <c r="W417" s="40"/>
      <c r="X417" s="40"/>
      <c r="Y417" s="40"/>
      <c r="Z417" s="40"/>
    </row>
    <row r="418">
      <c r="A418" s="72"/>
      <c r="B418" s="72"/>
      <c r="C418" s="23"/>
      <c r="D418" s="23"/>
      <c r="E418" s="40"/>
      <c r="F418" s="40"/>
      <c r="G418" s="40"/>
      <c r="H418" s="40"/>
      <c r="I418" s="40"/>
      <c r="J418" s="40"/>
      <c r="K418" s="40"/>
      <c r="L418" s="40"/>
      <c r="M418" s="40"/>
      <c r="N418" s="40"/>
      <c r="O418" s="40"/>
      <c r="P418" s="40"/>
      <c r="Q418" s="40"/>
      <c r="R418" s="40"/>
      <c r="S418" s="40"/>
      <c r="T418" s="40"/>
      <c r="U418" s="40"/>
      <c r="V418" s="40"/>
      <c r="W418" s="40"/>
      <c r="X418" s="40"/>
      <c r="Y418" s="40"/>
      <c r="Z418" s="40"/>
    </row>
    <row r="419">
      <c r="A419" s="72"/>
      <c r="B419" s="72"/>
      <c r="C419" s="23"/>
      <c r="D419" s="23"/>
      <c r="E419" s="40"/>
      <c r="F419" s="40"/>
      <c r="G419" s="40"/>
      <c r="H419" s="40"/>
      <c r="I419" s="40"/>
      <c r="J419" s="40"/>
      <c r="K419" s="40"/>
      <c r="L419" s="40"/>
      <c r="M419" s="40"/>
      <c r="N419" s="40"/>
      <c r="O419" s="40"/>
      <c r="P419" s="40"/>
      <c r="Q419" s="40"/>
      <c r="R419" s="40"/>
      <c r="S419" s="40"/>
      <c r="T419" s="40"/>
      <c r="U419" s="40"/>
      <c r="V419" s="40"/>
      <c r="W419" s="40"/>
      <c r="X419" s="40"/>
      <c r="Y419" s="40"/>
      <c r="Z419" s="40"/>
    </row>
    <row r="420">
      <c r="A420" s="72"/>
      <c r="B420" s="72"/>
      <c r="C420" s="23"/>
      <c r="D420" s="23"/>
      <c r="E420" s="40"/>
      <c r="F420" s="40"/>
      <c r="G420" s="40"/>
      <c r="H420" s="40"/>
      <c r="I420" s="40"/>
      <c r="J420" s="40"/>
      <c r="K420" s="40"/>
      <c r="L420" s="40"/>
      <c r="M420" s="40"/>
      <c r="N420" s="40"/>
      <c r="O420" s="40"/>
      <c r="P420" s="40"/>
      <c r="Q420" s="40"/>
      <c r="R420" s="40"/>
      <c r="S420" s="40"/>
      <c r="T420" s="40"/>
      <c r="U420" s="40"/>
      <c r="V420" s="40"/>
      <c r="W420" s="40"/>
      <c r="X420" s="40"/>
      <c r="Y420" s="40"/>
      <c r="Z420" s="40"/>
    </row>
    <row r="421">
      <c r="A421" s="72"/>
      <c r="B421" s="72"/>
      <c r="C421" s="23"/>
      <c r="D421" s="23"/>
      <c r="E421" s="40"/>
      <c r="F421" s="40"/>
      <c r="G421" s="40"/>
      <c r="H421" s="40"/>
      <c r="I421" s="40"/>
      <c r="J421" s="40"/>
      <c r="K421" s="40"/>
      <c r="L421" s="40"/>
      <c r="M421" s="40"/>
      <c r="N421" s="40"/>
      <c r="O421" s="40"/>
      <c r="P421" s="40"/>
      <c r="Q421" s="40"/>
      <c r="R421" s="40"/>
      <c r="S421" s="40"/>
      <c r="T421" s="40"/>
      <c r="U421" s="40"/>
      <c r="V421" s="40"/>
      <c r="W421" s="40"/>
      <c r="X421" s="40"/>
      <c r="Y421" s="40"/>
      <c r="Z421" s="40"/>
    </row>
    <row r="422">
      <c r="A422" s="72"/>
      <c r="B422" s="72"/>
      <c r="C422" s="23"/>
      <c r="D422" s="23"/>
      <c r="E422" s="40"/>
      <c r="F422" s="40"/>
      <c r="G422" s="40"/>
      <c r="H422" s="40"/>
      <c r="I422" s="40"/>
      <c r="J422" s="40"/>
      <c r="K422" s="40"/>
      <c r="L422" s="40"/>
      <c r="M422" s="40"/>
      <c r="N422" s="40"/>
      <c r="O422" s="40"/>
      <c r="P422" s="40"/>
      <c r="Q422" s="40"/>
      <c r="R422" s="40"/>
      <c r="S422" s="40"/>
      <c r="T422" s="40"/>
      <c r="U422" s="40"/>
      <c r="V422" s="40"/>
      <c r="W422" s="40"/>
      <c r="X422" s="40"/>
      <c r="Y422" s="40"/>
      <c r="Z422" s="40"/>
    </row>
    <row r="423">
      <c r="A423" s="72"/>
      <c r="B423" s="72"/>
      <c r="C423" s="23"/>
      <c r="D423" s="23"/>
      <c r="E423" s="40"/>
      <c r="F423" s="40"/>
      <c r="G423" s="40"/>
      <c r="H423" s="40"/>
      <c r="I423" s="40"/>
      <c r="J423" s="40"/>
      <c r="K423" s="40"/>
      <c r="L423" s="40"/>
      <c r="M423" s="40"/>
      <c r="N423" s="40"/>
      <c r="O423" s="40"/>
      <c r="P423" s="40"/>
      <c r="Q423" s="40"/>
      <c r="R423" s="40"/>
      <c r="S423" s="40"/>
      <c r="T423" s="40"/>
      <c r="U423" s="40"/>
      <c r="V423" s="40"/>
      <c r="W423" s="40"/>
      <c r="X423" s="40"/>
      <c r="Y423" s="40"/>
      <c r="Z423" s="40"/>
    </row>
    <row r="424">
      <c r="A424" s="72"/>
      <c r="B424" s="72"/>
      <c r="C424" s="23"/>
      <c r="D424" s="23"/>
      <c r="E424" s="40"/>
      <c r="F424" s="40"/>
      <c r="G424" s="40"/>
      <c r="H424" s="40"/>
      <c r="I424" s="40"/>
      <c r="J424" s="40"/>
      <c r="K424" s="40"/>
      <c r="L424" s="40"/>
      <c r="M424" s="40"/>
      <c r="N424" s="40"/>
      <c r="O424" s="40"/>
      <c r="P424" s="40"/>
      <c r="Q424" s="40"/>
      <c r="R424" s="40"/>
      <c r="S424" s="40"/>
      <c r="T424" s="40"/>
      <c r="U424" s="40"/>
      <c r="V424" s="40"/>
      <c r="W424" s="40"/>
      <c r="X424" s="40"/>
      <c r="Y424" s="40"/>
      <c r="Z424" s="40"/>
    </row>
    <row r="425">
      <c r="A425" s="72"/>
      <c r="B425" s="72"/>
      <c r="C425" s="23"/>
      <c r="D425" s="23"/>
      <c r="E425" s="40"/>
      <c r="F425" s="40"/>
      <c r="G425" s="40"/>
      <c r="H425" s="40"/>
      <c r="I425" s="40"/>
      <c r="J425" s="40"/>
      <c r="K425" s="40"/>
      <c r="L425" s="40"/>
      <c r="M425" s="40"/>
      <c r="N425" s="40"/>
      <c r="O425" s="40"/>
      <c r="P425" s="40"/>
      <c r="Q425" s="40"/>
      <c r="R425" s="40"/>
      <c r="S425" s="40"/>
      <c r="T425" s="40"/>
      <c r="U425" s="40"/>
      <c r="V425" s="40"/>
      <c r="W425" s="40"/>
      <c r="X425" s="40"/>
      <c r="Y425" s="40"/>
      <c r="Z425" s="40"/>
    </row>
    <row r="426">
      <c r="A426" s="72"/>
      <c r="B426" s="72"/>
      <c r="C426" s="23"/>
      <c r="D426" s="23"/>
      <c r="E426" s="40"/>
      <c r="F426" s="40"/>
      <c r="G426" s="40"/>
      <c r="H426" s="40"/>
      <c r="I426" s="40"/>
      <c r="J426" s="40"/>
      <c r="K426" s="40"/>
      <c r="L426" s="40"/>
      <c r="M426" s="40"/>
      <c r="N426" s="40"/>
      <c r="O426" s="40"/>
      <c r="P426" s="40"/>
      <c r="Q426" s="40"/>
      <c r="R426" s="40"/>
      <c r="S426" s="40"/>
      <c r="T426" s="40"/>
      <c r="U426" s="40"/>
      <c r="V426" s="40"/>
      <c r="W426" s="40"/>
      <c r="X426" s="40"/>
      <c r="Y426" s="40"/>
      <c r="Z426" s="40"/>
    </row>
    <row r="427">
      <c r="A427" s="72"/>
      <c r="B427" s="72"/>
      <c r="C427" s="23"/>
      <c r="D427" s="23"/>
      <c r="E427" s="40"/>
      <c r="F427" s="40"/>
      <c r="G427" s="40"/>
      <c r="H427" s="40"/>
      <c r="I427" s="40"/>
      <c r="J427" s="40"/>
      <c r="K427" s="40"/>
      <c r="L427" s="40"/>
      <c r="M427" s="40"/>
      <c r="N427" s="40"/>
      <c r="O427" s="40"/>
      <c r="P427" s="40"/>
      <c r="Q427" s="40"/>
      <c r="R427" s="40"/>
      <c r="S427" s="40"/>
      <c r="T427" s="40"/>
      <c r="U427" s="40"/>
      <c r="V427" s="40"/>
      <c r="W427" s="40"/>
      <c r="X427" s="40"/>
      <c r="Y427" s="40"/>
      <c r="Z427" s="40"/>
    </row>
    <row r="428">
      <c r="A428" s="72"/>
      <c r="B428" s="72"/>
      <c r="C428" s="23"/>
      <c r="D428" s="23"/>
      <c r="E428" s="40"/>
      <c r="F428" s="40"/>
      <c r="G428" s="40"/>
      <c r="H428" s="40"/>
      <c r="I428" s="40"/>
      <c r="J428" s="40"/>
      <c r="K428" s="40"/>
      <c r="L428" s="40"/>
      <c r="M428" s="40"/>
      <c r="N428" s="40"/>
      <c r="O428" s="40"/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0"/>
    </row>
    <row r="429">
      <c r="A429" s="72"/>
      <c r="B429" s="72"/>
      <c r="C429" s="23"/>
      <c r="D429" s="23"/>
      <c r="E429" s="40"/>
      <c r="F429" s="40"/>
      <c r="G429" s="40"/>
      <c r="H429" s="40"/>
      <c r="I429" s="40"/>
      <c r="J429" s="40"/>
      <c r="K429" s="40"/>
      <c r="L429" s="40"/>
      <c r="M429" s="40"/>
      <c r="N429" s="40"/>
      <c r="O429" s="40"/>
      <c r="P429" s="40"/>
      <c r="Q429" s="40"/>
      <c r="R429" s="40"/>
      <c r="S429" s="40"/>
      <c r="T429" s="40"/>
      <c r="U429" s="40"/>
      <c r="V429" s="40"/>
      <c r="W429" s="40"/>
      <c r="X429" s="40"/>
      <c r="Y429" s="40"/>
      <c r="Z429" s="40"/>
    </row>
    <row r="430">
      <c r="A430" s="72"/>
      <c r="B430" s="72"/>
      <c r="C430" s="23"/>
      <c r="D430" s="23"/>
      <c r="E430" s="40"/>
      <c r="F430" s="40"/>
      <c r="G430" s="40"/>
      <c r="H430" s="40"/>
      <c r="I430" s="40"/>
      <c r="J430" s="40"/>
      <c r="K430" s="40"/>
      <c r="L430" s="40"/>
      <c r="M430" s="40"/>
      <c r="N430" s="40"/>
      <c r="O430" s="40"/>
      <c r="P430" s="40"/>
      <c r="Q430" s="40"/>
      <c r="R430" s="40"/>
      <c r="S430" s="40"/>
      <c r="T430" s="40"/>
      <c r="U430" s="40"/>
      <c r="V430" s="40"/>
      <c r="W430" s="40"/>
      <c r="X430" s="40"/>
      <c r="Y430" s="40"/>
      <c r="Z430" s="40"/>
    </row>
    <row r="431">
      <c r="A431" s="72"/>
      <c r="B431" s="72"/>
      <c r="C431" s="23"/>
      <c r="D431" s="23"/>
      <c r="E431" s="40"/>
      <c r="F431" s="40"/>
      <c r="G431" s="40"/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  <c r="U431" s="40"/>
      <c r="V431" s="40"/>
      <c r="W431" s="40"/>
      <c r="X431" s="40"/>
      <c r="Y431" s="40"/>
      <c r="Z431" s="40"/>
    </row>
    <row r="432">
      <c r="A432" s="72"/>
      <c r="B432" s="72"/>
      <c r="C432" s="23"/>
      <c r="D432" s="23"/>
      <c r="E432" s="40"/>
      <c r="F432" s="40"/>
      <c r="G432" s="40"/>
      <c r="H432" s="40"/>
      <c r="I432" s="40"/>
      <c r="J432" s="40"/>
      <c r="K432" s="40"/>
      <c r="L432" s="40"/>
      <c r="M432" s="40"/>
      <c r="N432" s="40"/>
      <c r="O432" s="40"/>
      <c r="P432" s="40"/>
      <c r="Q432" s="40"/>
      <c r="R432" s="40"/>
      <c r="S432" s="40"/>
      <c r="T432" s="40"/>
      <c r="U432" s="40"/>
      <c r="V432" s="40"/>
      <c r="W432" s="40"/>
      <c r="X432" s="40"/>
      <c r="Y432" s="40"/>
      <c r="Z432" s="40"/>
    </row>
    <row r="433">
      <c r="A433" s="72"/>
      <c r="B433" s="72"/>
      <c r="C433" s="23"/>
      <c r="D433" s="23"/>
      <c r="E433" s="40"/>
      <c r="F433" s="40"/>
      <c r="G433" s="40"/>
      <c r="H433" s="40"/>
      <c r="I433" s="40"/>
      <c r="J433" s="40"/>
      <c r="K433" s="40"/>
      <c r="L433" s="40"/>
      <c r="M433" s="40"/>
      <c r="N433" s="40"/>
      <c r="O433" s="40"/>
      <c r="P433" s="40"/>
      <c r="Q433" s="40"/>
      <c r="R433" s="40"/>
      <c r="S433" s="40"/>
      <c r="T433" s="40"/>
      <c r="U433" s="40"/>
      <c r="V433" s="40"/>
      <c r="W433" s="40"/>
      <c r="X433" s="40"/>
      <c r="Y433" s="40"/>
      <c r="Z433" s="40"/>
    </row>
    <row r="434">
      <c r="A434" s="72"/>
      <c r="B434" s="72"/>
      <c r="C434" s="23"/>
      <c r="D434" s="23"/>
      <c r="E434" s="40"/>
      <c r="F434" s="40"/>
      <c r="G434" s="40"/>
      <c r="H434" s="40"/>
      <c r="I434" s="40"/>
      <c r="J434" s="40"/>
      <c r="K434" s="40"/>
      <c r="L434" s="40"/>
      <c r="M434" s="40"/>
      <c r="N434" s="40"/>
      <c r="O434" s="40"/>
      <c r="P434" s="40"/>
      <c r="Q434" s="40"/>
      <c r="R434" s="40"/>
      <c r="S434" s="40"/>
      <c r="T434" s="40"/>
      <c r="U434" s="40"/>
      <c r="V434" s="40"/>
      <c r="W434" s="40"/>
      <c r="X434" s="40"/>
      <c r="Y434" s="40"/>
      <c r="Z434" s="40"/>
    </row>
    <row r="435">
      <c r="A435" s="72"/>
      <c r="B435" s="72"/>
      <c r="C435" s="23"/>
      <c r="D435" s="23"/>
      <c r="E435" s="40"/>
      <c r="F435" s="40"/>
      <c r="G435" s="40"/>
      <c r="H435" s="40"/>
      <c r="I435" s="40"/>
      <c r="J435" s="40"/>
      <c r="K435" s="40"/>
      <c r="L435" s="40"/>
      <c r="M435" s="40"/>
      <c r="N435" s="40"/>
      <c r="O435" s="40"/>
      <c r="P435" s="40"/>
      <c r="Q435" s="40"/>
      <c r="R435" s="40"/>
      <c r="S435" s="40"/>
      <c r="T435" s="40"/>
      <c r="U435" s="40"/>
      <c r="V435" s="40"/>
      <c r="W435" s="40"/>
      <c r="X435" s="40"/>
      <c r="Y435" s="40"/>
      <c r="Z435" s="40"/>
    </row>
    <row r="436">
      <c r="A436" s="72"/>
      <c r="B436" s="72"/>
      <c r="C436" s="23"/>
      <c r="D436" s="23"/>
      <c r="E436" s="40"/>
      <c r="F436" s="40"/>
      <c r="G436" s="40"/>
      <c r="H436" s="40"/>
      <c r="I436" s="40"/>
      <c r="J436" s="40"/>
      <c r="K436" s="40"/>
      <c r="L436" s="40"/>
      <c r="M436" s="40"/>
      <c r="N436" s="40"/>
      <c r="O436" s="40"/>
      <c r="P436" s="40"/>
      <c r="Q436" s="40"/>
      <c r="R436" s="40"/>
      <c r="S436" s="40"/>
      <c r="T436" s="40"/>
      <c r="U436" s="40"/>
      <c r="V436" s="40"/>
      <c r="W436" s="40"/>
      <c r="X436" s="40"/>
      <c r="Y436" s="40"/>
      <c r="Z436" s="40"/>
    </row>
    <row r="437">
      <c r="A437" s="72"/>
      <c r="B437" s="72"/>
      <c r="C437" s="23"/>
      <c r="D437" s="23"/>
      <c r="E437" s="40"/>
      <c r="F437" s="40"/>
      <c r="G437" s="40"/>
      <c r="H437" s="40"/>
      <c r="I437" s="40"/>
      <c r="J437" s="40"/>
      <c r="K437" s="40"/>
      <c r="L437" s="40"/>
      <c r="M437" s="40"/>
      <c r="N437" s="40"/>
      <c r="O437" s="40"/>
      <c r="P437" s="40"/>
      <c r="Q437" s="40"/>
      <c r="R437" s="40"/>
      <c r="S437" s="40"/>
      <c r="T437" s="40"/>
      <c r="U437" s="40"/>
      <c r="V437" s="40"/>
      <c r="W437" s="40"/>
      <c r="X437" s="40"/>
      <c r="Y437" s="40"/>
      <c r="Z437" s="40"/>
    </row>
    <row r="438">
      <c r="A438" s="72"/>
      <c r="B438" s="72"/>
      <c r="C438" s="23"/>
      <c r="D438" s="23"/>
      <c r="E438" s="40"/>
      <c r="F438" s="40"/>
      <c r="G438" s="40"/>
      <c r="H438" s="40"/>
      <c r="I438" s="40"/>
      <c r="J438" s="40"/>
      <c r="K438" s="40"/>
      <c r="L438" s="40"/>
      <c r="M438" s="40"/>
      <c r="N438" s="40"/>
      <c r="O438" s="40"/>
      <c r="P438" s="40"/>
      <c r="Q438" s="40"/>
      <c r="R438" s="40"/>
      <c r="S438" s="40"/>
      <c r="T438" s="40"/>
      <c r="U438" s="40"/>
      <c r="V438" s="40"/>
      <c r="W438" s="40"/>
      <c r="X438" s="40"/>
      <c r="Y438" s="40"/>
      <c r="Z438" s="40"/>
    </row>
    <row r="439">
      <c r="A439" s="72"/>
      <c r="B439" s="72"/>
      <c r="C439" s="23"/>
      <c r="D439" s="23"/>
      <c r="E439" s="40"/>
      <c r="F439" s="40"/>
      <c r="G439" s="40"/>
      <c r="H439" s="40"/>
      <c r="I439" s="40"/>
      <c r="J439" s="40"/>
      <c r="K439" s="40"/>
      <c r="L439" s="40"/>
      <c r="M439" s="40"/>
      <c r="N439" s="40"/>
      <c r="O439" s="40"/>
      <c r="P439" s="40"/>
      <c r="Q439" s="40"/>
      <c r="R439" s="40"/>
      <c r="S439" s="40"/>
      <c r="T439" s="40"/>
      <c r="U439" s="40"/>
      <c r="V439" s="40"/>
      <c r="W439" s="40"/>
      <c r="X439" s="40"/>
      <c r="Y439" s="40"/>
      <c r="Z439" s="40"/>
    </row>
    <row r="440">
      <c r="A440" s="72"/>
      <c r="B440" s="72"/>
      <c r="C440" s="23"/>
      <c r="D440" s="23"/>
      <c r="E440" s="40"/>
      <c r="F440" s="40"/>
      <c r="G440" s="40"/>
      <c r="H440" s="40"/>
      <c r="I440" s="40"/>
      <c r="J440" s="40"/>
      <c r="K440" s="40"/>
      <c r="L440" s="40"/>
      <c r="M440" s="40"/>
      <c r="N440" s="40"/>
      <c r="O440" s="40"/>
      <c r="P440" s="40"/>
      <c r="Q440" s="40"/>
      <c r="R440" s="40"/>
      <c r="S440" s="40"/>
      <c r="T440" s="40"/>
      <c r="U440" s="40"/>
      <c r="V440" s="40"/>
      <c r="W440" s="40"/>
      <c r="X440" s="40"/>
      <c r="Y440" s="40"/>
      <c r="Z440" s="40"/>
    </row>
    <row r="441">
      <c r="A441" s="72"/>
      <c r="B441" s="72"/>
      <c r="C441" s="23"/>
      <c r="D441" s="23"/>
      <c r="E441" s="40"/>
      <c r="F441" s="40"/>
      <c r="G441" s="40"/>
      <c r="H441" s="40"/>
      <c r="I441" s="40"/>
      <c r="J441" s="40"/>
      <c r="K441" s="40"/>
      <c r="L441" s="40"/>
      <c r="M441" s="40"/>
      <c r="N441" s="40"/>
      <c r="O441" s="40"/>
      <c r="P441" s="40"/>
      <c r="Q441" s="40"/>
      <c r="R441" s="40"/>
      <c r="S441" s="40"/>
      <c r="T441" s="40"/>
      <c r="U441" s="40"/>
      <c r="V441" s="40"/>
      <c r="W441" s="40"/>
      <c r="X441" s="40"/>
      <c r="Y441" s="40"/>
      <c r="Z441" s="40"/>
    </row>
    <row r="442">
      <c r="A442" s="72"/>
      <c r="B442" s="72"/>
      <c r="C442" s="23"/>
      <c r="D442" s="23"/>
      <c r="E442" s="40"/>
      <c r="F442" s="40"/>
      <c r="G442" s="40"/>
      <c r="H442" s="40"/>
      <c r="I442" s="40"/>
      <c r="J442" s="40"/>
      <c r="K442" s="40"/>
      <c r="L442" s="40"/>
      <c r="M442" s="40"/>
      <c r="N442" s="40"/>
      <c r="O442" s="40"/>
      <c r="P442" s="40"/>
      <c r="Q442" s="40"/>
      <c r="R442" s="40"/>
      <c r="S442" s="40"/>
      <c r="T442" s="40"/>
      <c r="U442" s="40"/>
      <c r="V442" s="40"/>
      <c r="W442" s="40"/>
      <c r="X442" s="40"/>
      <c r="Y442" s="40"/>
      <c r="Z442" s="40"/>
    </row>
    <row r="443">
      <c r="A443" s="72"/>
      <c r="B443" s="72"/>
      <c r="C443" s="23"/>
      <c r="D443" s="23"/>
      <c r="E443" s="40"/>
      <c r="F443" s="40"/>
      <c r="G443" s="40"/>
      <c r="H443" s="40"/>
      <c r="I443" s="40"/>
      <c r="J443" s="40"/>
      <c r="K443" s="40"/>
      <c r="L443" s="40"/>
      <c r="M443" s="40"/>
      <c r="N443" s="40"/>
      <c r="O443" s="40"/>
      <c r="P443" s="40"/>
      <c r="Q443" s="40"/>
      <c r="R443" s="40"/>
      <c r="S443" s="40"/>
      <c r="T443" s="40"/>
      <c r="U443" s="40"/>
      <c r="V443" s="40"/>
      <c r="W443" s="40"/>
      <c r="X443" s="40"/>
      <c r="Y443" s="40"/>
      <c r="Z443" s="40"/>
    </row>
    <row r="444">
      <c r="A444" s="72"/>
      <c r="B444" s="72"/>
      <c r="C444" s="23"/>
      <c r="D444" s="23"/>
      <c r="E444" s="40"/>
      <c r="F444" s="40"/>
      <c r="G444" s="40"/>
      <c r="H444" s="40"/>
      <c r="I444" s="40"/>
      <c r="J444" s="40"/>
      <c r="K444" s="40"/>
      <c r="L444" s="40"/>
      <c r="M444" s="40"/>
      <c r="N444" s="40"/>
      <c r="O444" s="40"/>
      <c r="P444" s="40"/>
      <c r="Q444" s="40"/>
      <c r="R444" s="40"/>
      <c r="S444" s="40"/>
      <c r="T444" s="40"/>
      <c r="U444" s="40"/>
      <c r="V444" s="40"/>
      <c r="W444" s="40"/>
      <c r="X444" s="40"/>
      <c r="Y444" s="40"/>
      <c r="Z444" s="40"/>
    </row>
    <row r="445">
      <c r="A445" s="72"/>
      <c r="B445" s="72"/>
      <c r="C445" s="23"/>
      <c r="D445" s="23"/>
      <c r="E445" s="40"/>
      <c r="F445" s="40"/>
      <c r="G445" s="40"/>
      <c r="H445" s="40"/>
      <c r="I445" s="40"/>
      <c r="J445" s="40"/>
      <c r="K445" s="40"/>
      <c r="L445" s="40"/>
      <c r="M445" s="40"/>
      <c r="N445" s="40"/>
      <c r="O445" s="40"/>
      <c r="P445" s="40"/>
      <c r="Q445" s="40"/>
      <c r="R445" s="40"/>
      <c r="S445" s="40"/>
      <c r="T445" s="40"/>
      <c r="U445" s="40"/>
      <c r="V445" s="40"/>
      <c r="W445" s="40"/>
      <c r="X445" s="40"/>
      <c r="Y445" s="40"/>
      <c r="Z445" s="40"/>
    </row>
    <row r="446">
      <c r="A446" s="72"/>
      <c r="B446" s="72"/>
      <c r="C446" s="23"/>
      <c r="D446" s="23"/>
      <c r="E446" s="40"/>
      <c r="F446" s="40"/>
      <c r="G446" s="40"/>
      <c r="H446" s="40"/>
      <c r="I446" s="40"/>
      <c r="J446" s="40"/>
      <c r="K446" s="40"/>
      <c r="L446" s="40"/>
      <c r="M446" s="40"/>
      <c r="N446" s="40"/>
      <c r="O446" s="40"/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0"/>
    </row>
    <row r="447">
      <c r="A447" s="72"/>
      <c r="B447" s="72"/>
      <c r="C447" s="23"/>
      <c r="D447" s="23"/>
      <c r="E447" s="40"/>
      <c r="F447" s="40"/>
      <c r="G447" s="40"/>
      <c r="H447" s="40"/>
      <c r="I447" s="40"/>
      <c r="J447" s="40"/>
      <c r="K447" s="40"/>
      <c r="L447" s="40"/>
      <c r="M447" s="40"/>
      <c r="N447" s="40"/>
      <c r="O447" s="40"/>
      <c r="P447" s="40"/>
      <c r="Q447" s="40"/>
      <c r="R447" s="40"/>
      <c r="S447" s="40"/>
      <c r="T447" s="40"/>
      <c r="U447" s="40"/>
      <c r="V447" s="40"/>
      <c r="W447" s="40"/>
      <c r="X447" s="40"/>
      <c r="Y447" s="40"/>
      <c r="Z447" s="40"/>
    </row>
    <row r="448">
      <c r="A448" s="72"/>
      <c r="B448" s="72"/>
      <c r="C448" s="23"/>
      <c r="D448" s="23"/>
      <c r="E448" s="40"/>
      <c r="F448" s="40"/>
      <c r="G448" s="40"/>
      <c r="H448" s="40"/>
      <c r="I448" s="40"/>
      <c r="J448" s="40"/>
      <c r="K448" s="40"/>
      <c r="L448" s="40"/>
      <c r="M448" s="40"/>
      <c r="N448" s="40"/>
      <c r="O448" s="40"/>
      <c r="P448" s="40"/>
      <c r="Q448" s="40"/>
      <c r="R448" s="40"/>
      <c r="S448" s="40"/>
      <c r="T448" s="40"/>
      <c r="U448" s="40"/>
      <c r="V448" s="40"/>
      <c r="W448" s="40"/>
      <c r="X448" s="40"/>
      <c r="Y448" s="40"/>
      <c r="Z448" s="40"/>
    </row>
    <row r="449">
      <c r="A449" s="72"/>
      <c r="B449" s="72"/>
      <c r="C449" s="23"/>
      <c r="D449" s="23"/>
      <c r="E449" s="40"/>
      <c r="F449" s="40"/>
      <c r="G449" s="40"/>
      <c r="H449" s="40"/>
      <c r="I449" s="40"/>
      <c r="J449" s="40"/>
      <c r="K449" s="40"/>
      <c r="L449" s="40"/>
      <c r="M449" s="40"/>
      <c r="N449" s="40"/>
      <c r="O449" s="40"/>
      <c r="P449" s="40"/>
      <c r="Q449" s="40"/>
      <c r="R449" s="40"/>
      <c r="S449" s="40"/>
      <c r="T449" s="40"/>
      <c r="U449" s="40"/>
      <c r="V449" s="40"/>
      <c r="W449" s="40"/>
      <c r="X449" s="40"/>
      <c r="Y449" s="40"/>
      <c r="Z449" s="40"/>
    </row>
    <row r="450">
      <c r="A450" s="72"/>
      <c r="B450" s="72"/>
      <c r="C450" s="23"/>
      <c r="D450" s="23"/>
      <c r="E450" s="40"/>
      <c r="F450" s="40"/>
      <c r="G450" s="40"/>
      <c r="H450" s="40"/>
      <c r="I450" s="40"/>
      <c r="J450" s="40"/>
      <c r="K450" s="40"/>
      <c r="L450" s="40"/>
      <c r="M450" s="40"/>
      <c r="N450" s="40"/>
      <c r="O450" s="40"/>
      <c r="P450" s="40"/>
      <c r="Q450" s="40"/>
      <c r="R450" s="40"/>
      <c r="S450" s="40"/>
      <c r="T450" s="40"/>
      <c r="U450" s="40"/>
      <c r="V450" s="40"/>
      <c r="W450" s="40"/>
      <c r="X450" s="40"/>
      <c r="Y450" s="40"/>
      <c r="Z450" s="40"/>
    </row>
    <row r="451">
      <c r="A451" s="72"/>
      <c r="B451" s="72"/>
      <c r="C451" s="23"/>
      <c r="D451" s="23"/>
      <c r="E451" s="40"/>
      <c r="F451" s="40"/>
      <c r="G451" s="40"/>
      <c r="H451" s="40"/>
      <c r="I451" s="40"/>
      <c r="J451" s="40"/>
      <c r="K451" s="40"/>
      <c r="L451" s="40"/>
      <c r="M451" s="40"/>
      <c r="N451" s="40"/>
      <c r="O451" s="40"/>
      <c r="P451" s="40"/>
      <c r="Q451" s="40"/>
      <c r="R451" s="40"/>
      <c r="S451" s="40"/>
      <c r="T451" s="40"/>
      <c r="U451" s="40"/>
      <c r="V451" s="40"/>
      <c r="W451" s="40"/>
      <c r="X451" s="40"/>
      <c r="Y451" s="40"/>
      <c r="Z451" s="40"/>
    </row>
    <row r="452">
      <c r="A452" s="72"/>
      <c r="B452" s="72"/>
      <c r="C452" s="23"/>
      <c r="D452" s="23"/>
      <c r="E452" s="40"/>
      <c r="F452" s="40"/>
      <c r="G452" s="40"/>
      <c r="H452" s="40"/>
      <c r="I452" s="40"/>
      <c r="J452" s="40"/>
      <c r="K452" s="40"/>
      <c r="L452" s="40"/>
      <c r="M452" s="40"/>
      <c r="N452" s="40"/>
      <c r="O452" s="40"/>
      <c r="P452" s="40"/>
      <c r="Q452" s="40"/>
      <c r="R452" s="40"/>
      <c r="S452" s="40"/>
      <c r="T452" s="40"/>
      <c r="U452" s="40"/>
      <c r="V452" s="40"/>
      <c r="W452" s="40"/>
      <c r="X452" s="40"/>
      <c r="Y452" s="40"/>
      <c r="Z452" s="40"/>
    </row>
    <row r="453">
      <c r="A453" s="72"/>
      <c r="B453" s="72"/>
      <c r="C453" s="23"/>
      <c r="D453" s="23"/>
      <c r="E453" s="40"/>
      <c r="F453" s="40"/>
      <c r="G453" s="40"/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  <c r="U453" s="40"/>
      <c r="V453" s="40"/>
      <c r="W453" s="40"/>
      <c r="X453" s="40"/>
      <c r="Y453" s="40"/>
      <c r="Z453" s="40"/>
    </row>
    <row r="454">
      <c r="A454" s="72"/>
      <c r="B454" s="72"/>
      <c r="C454" s="23"/>
      <c r="D454" s="23"/>
      <c r="E454" s="40"/>
      <c r="F454" s="40"/>
      <c r="G454" s="40"/>
      <c r="H454" s="40"/>
      <c r="I454" s="40"/>
      <c r="J454" s="40"/>
      <c r="K454" s="40"/>
      <c r="L454" s="40"/>
      <c r="M454" s="40"/>
      <c r="N454" s="40"/>
      <c r="O454" s="40"/>
      <c r="P454" s="40"/>
      <c r="Q454" s="40"/>
      <c r="R454" s="40"/>
      <c r="S454" s="40"/>
      <c r="T454" s="40"/>
      <c r="U454" s="40"/>
      <c r="V454" s="40"/>
      <c r="W454" s="40"/>
      <c r="X454" s="40"/>
      <c r="Y454" s="40"/>
      <c r="Z454" s="40"/>
    </row>
    <row r="455">
      <c r="A455" s="72"/>
      <c r="B455" s="72"/>
      <c r="C455" s="23"/>
      <c r="D455" s="23"/>
      <c r="E455" s="40"/>
      <c r="F455" s="40"/>
      <c r="G455" s="40"/>
      <c r="H455" s="40"/>
      <c r="I455" s="40"/>
      <c r="J455" s="40"/>
      <c r="K455" s="40"/>
      <c r="L455" s="40"/>
      <c r="M455" s="40"/>
      <c r="N455" s="40"/>
      <c r="O455" s="40"/>
      <c r="P455" s="40"/>
      <c r="Q455" s="40"/>
      <c r="R455" s="40"/>
      <c r="S455" s="40"/>
      <c r="T455" s="40"/>
      <c r="U455" s="40"/>
      <c r="V455" s="40"/>
      <c r="W455" s="40"/>
      <c r="X455" s="40"/>
      <c r="Y455" s="40"/>
      <c r="Z455" s="40"/>
    </row>
    <row r="456">
      <c r="A456" s="72"/>
      <c r="B456" s="72"/>
      <c r="C456" s="23"/>
      <c r="D456" s="23"/>
      <c r="E456" s="40"/>
      <c r="F456" s="40"/>
      <c r="G456" s="40"/>
      <c r="H456" s="40"/>
      <c r="I456" s="40"/>
      <c r="J456" s="40"/>
      <c r="K456" s="40"/>
      <c r="L456" s="40"/>
      <c r="M456" s="40"/>
      <c r="N456" s="40"/>
      <c r="O456" s="40"/>
      <c r="P456" s="40"/>
      <c r="Q456" s="40"/>
      <c r="R456" s="40"/>
      <c r="S456" s="40"/>
      <c r="T456" s="40"/>
      <c r="U456" s="40"/>
      <c r="V456" s="40"/>
      <c r="W456" s="40"/>
      <c r="X456" s="40"/>
      <c r="Y456" s="40"/>
      <c r="Z456" s="40"/>
    </row>
    <row r="457">
      <c r="A457" s="72"/>
      <c r="B457" s="72"/>
      <c r="C457" s="23"/>
      <c r="D457" s="23"/>
      <c r="E457" s="40"/>
      <c r="F457" s="40"/>
      <c r="G457" s="40"/>
      <c r="H457" s="40"/>
      <c r="I457" s="40"/>
      <c r="J457" s="40"/>
      <c r="K457" s="40"/>
      <c r="L457" s="40"/>
      <c r="M457" s="40"/>
      <c r="N457" s="40"/>
      <c r="O457" s="40"/>
      <c r="P457" s="40"/>
      <c r="Q457" s="40"/>
      <c r="R457" s="40"/>
      <c r="S457" s="40"/>
      <c r="T457" s="40"/>
      <c r="U457" s="40"/>
      <c r="V457" s="40"/>
      <c r="W457" s="40"/>
      <c r="X457" s="40"/>
      <c r="Y457" s="40"/>
      <c r="Z457" s="40"/>
    </row>
    <row r="458">
      <c r="A458" s="72"/>
      <c r="B458" s="72"/>
      <c r="C458" s="23"/>
      <c r="D458" s="23"/>
      <c r="E458" s="40"/>
      <c r="F458" s="40"/>
      <c r="G458" s="40"/>
      <c r="H458" s="40"/>
      <c r="I458" s="40"/>
      <c r="J458" s="40"/>
      <c r="K458" s="40"/>
      <c r="L458" s="40"/>
      <c r="M458" s="40"/>
      <c r="N458" s="40"/>
      <c r="O458" s="40"/>
      <c r="P458" s="40"/>
      <c r="Q458" s="40"/>
      <c r="R458" s="40"/>
      <c r="S458" s="40"/>
      <c r="T458" s="40"/>
      <c r="U458" s="40"/>
      <c r="V458" s="40"/>
      <c r="W458" s="40"/>
      <c r="X458" s="40"/>
      <c r="Y458" s="40"/>
      <c r="Z458" s="40"/>
    </row>
    <row r="459">
      <c r="A459" s="72"/>
      <c r="B459" s="72"/>
      <c r="C459" s="23"/>
      <c r="D459" s="23"/>
      <c r="E459" s="40"/>
      <c r="F459" s="40"/>
      <c r="G459" s="40"/>
      <c r="H459" s="40"/>
      <c r="I459" s="40"/>
      <c r="J459" s="40"/>
      <c r="K459" s="40"/>
      <c r="L459" s="40"/>
      <c r="M459" s="40"/>
      <c r="N459" s="40"/>
      <c r="O459" s="40"/>
      <c r="P459" s="40"/>
      <c r="Q459" s="40"/>
      <c r="R459" s="40"/>
      <c r="S459" s="40"/>
      <c r="T459" s="40"/>
      <c r="U459" s="40"/>
      <c r="V459" s="40"/>
      <c r="W459" s="40"/>
      <c r="X459" s="40"/>
      <c r="Y459" s="40"/>
      <c r="Z459" s="40"/>
    </row>
    <row r="460">
      <c r="A460" s="72"/>
      <c r="B460" s="72"/>
      <c r="C460" s="23"/>
      <c r="D460" s="23"/>
      <c r="E460" s="40"/>
      <c r="F460" s="40"/>
      <c r="G460" s="40"/>
      <c r="H460" s="40"/>
      <c r="I460" s="40"/>
      <c r="J460" s="40"/>
      <c r="K460" s="40"/>
      <c r="L460" s="40"/>
      <c r="M460" s="40"/>
      <c r="N460" s="40"/>
      <c r="O460" s="40"/>
      <c r="P460" s="40"/>
      <c r="Q460" s="40"/>
      <c r="R460" s="40"/>
      <c r="S460" s="40"/>
      <c r="T460" s="40"/>
      <c r="U460" s="40"/>
      <c r="V460" s="40"/>
      <c r="W460" s="40"/>
      <c r="X460" s="40"/>
      <c r="Y460" s="40"/>
      <c r="Z460" s="40"/>
    </row>
    <row r="461">
      <c r="A461" s="72"/>
      <c r="B461" s="72"/>
      <c r="C461" s="23"/>
      <c r="D461" s="23"/>
      <c r="E461" s="40"/>
      <c r="F461" s="40"/>
      <c r="G461" s="40"/>
      <c r="H461" s="40"/>
      <c r="I461" s="40"/>
      <c r="J461" s="40"/>
      <c r="K461" s="40"/>
      <c r="L461" s="40"/>
      <c r="M461" s="40"/>
      <c r="N461" s="40"/>
      <c r="O461" s="40"/>
      <c r="P461" s="40"/>
      <c r="Q461" s="40"/>
      <c r="R461" s="40"/>
      <c r="S461" s="40"/>
      <c r="T461" s="40"/>
      <c r="U461" s="40"/>
      <c r="V461" s="40"/>
      <c r="W461" s="40"/>
      <c r="X461" s="40"/>
      <c r="Y461" s="40"/>
      <c r="Z461" s="40"/>
    </row>
    <row r="462">
      <c r="A462" s="72"/>
      <c r="B462" s="72"/>
      <c r="C462" s="23"/>
      <c r="D462" s="23"/>
      <c r="E462" s="40"/>
      <c r="F462" s="40"/>
      <c r="G462" s="40"/>
      <c r="H462" s="40"/>
      <c r="I462" s="40"/>
      <c r="J462" s="40"/>
      <c r="K462" s="40"/>
      <c r="L462" s="40"/>
      <c r="M462" s="40"/>
      <c r="N462" s="40"/>
      <c r="O462" s="40"/>
      <c r="P462" s="40"/>
      <c r="Q462" s="40"/>
      <c r="R462" s="40"/>
      <c r="S462" s="40"/>
      <c r="T462" s="40"/>
      <c r="U462" s="40"/>
      <c r="V462" s="40"/>
      <c r="W462" s="40"/>
      <c r="X462" s="40"/>
      <c r="Y462" s="40"/>
      <c r="Z462" s="40"/>
    </row>
    <row r="463">
      <c r="A463" s="72"/>
      <c r="B463" s="72"/>
      <c r="C463" s="23"/>
      <c r="D463" s="23"/>
      <c r="E463" s="40"/>
      <c r="F463" s="40"/>
      <c r="G463" s="40"/>
      <c r="H463" s="40"/>
      <c r="I463" s="40"/>
      <c r="J463" s="40"/>
      <c r="K463" s="40"/>
      <c r="L463" s="40"/>
      <c r="M463" s="40"/>
      <c r="N463" s="40"/>
      <c r="O463" s="40"/>
      <c r="P463" s="40"/>
      <c r="Q463" s="40"/>
      <c r="R463" s="40"/>
      <c r="S463" s="40"/>
      <c r="T463" s="40"/>
      <c r="U463" s="40"/>
      <c r="V463" s="40"/>
      <c r="W463" s="40"/>
      <c r="X463" s="40"/>
      <c r="Y463" s="40"/>
      <c r="Z463" s="40"/>
    </row>
    <row r="464">
      <c r="A464" s="72"/>
      <c r="B464" s="72"/>
      <c r="C464" s="23"/>
      <c r="D464" s="23"/>
      <c r="E464" s="40"/>
      <c r="F464" s="40"/>
      <c r="G464" s="40"/>
      <c r="H464" s="40"/>
      <c r="I464" s="40"/>
      <c r="J464" s="40"/>
      <c r="K464" s="40"/>
      <c r="L464" s="40"/>
      <c r="M464" s="40"/>
      <c r="N464" s="40"/>
      <c r="O464" s="40"/>
      <c r="P464" s="40"/>
      <c r="Q464" s="40"/>
      <c r="R464" s="40"/>
      <c r="S464" s="40"/>
      <c r="T464" s="40"/>
      <c r="U464" s="40"/>
      <c r="V464" s="40"/>
      <c r="W464" s="40"/>
      <c r="X464" s="40"/>
      <c r="Y464" s="40"/>
      <c r="Z464" s="40"/>
    </row>
    <row r="465">
      <c r="A465" s="72"/>
      <c r="B465" s="72"/>
      <c r="C465" s="23"/>
      <c r="D465" s="23"/>
      <c r="E465" s="40"/>
      <c r="F465" s="40"/>
      <c r="G465" s="40"/>
      <c r="H465" s="40"/>
      <c r="I465" s="40"/>
      <c r="J465" s="40"/>
      <c r="K465" s="40"/>
      <c r="L465" s="40"/>
      <c r="M465" s="40"/>
      <c r="N465" s="40"/>
      <c r="O465" s="40"/>
      <c r="P465" s="40"/>
      <c r="Q465" s="40"/>
      <c r="R465" s="40"/>
      <c r="S465" s="40"/>
      <c r="T465" s="40"/>
      <c r="U465" s="40"/>
      <c r="V465" s="40"/>
      <c r="W465" s="40"/>
      <c r="X465" s="40"/>
      <c r="Y465" s="40"/>
      <c r="Z465" s="40"/>
    </row>
    <row r="466">
      <c r="A466" s="72"/>
      <c r="B466" s="72"/>
      <c r="C466" s="23"/>
      <c r="D466" s="23"/>
      <c r="E466" s="40"/>
      <c r="F466" s="40"/>
      <c r="G466" s="40"/>
      <c r="H466" s="40"/>
      <c r="I466" s="40"/>
      <c r="J466" s="40"/>
      <c r="K466" s="40"/>
      <c r="L466" s="40"/>
      <c r="M466" s="40"/>
      <c r="N466" s="40"/>
      <c r="O466" s="40"/>
      <c r="P466" s="40"/>
      <c r="Q466" s="40"/>
      <c r="R466" s="40"/>
      <c r="S466" s="40"/>
      <c r="T466" s="40"/>
      <c r="U466" s="40"/>
      <c r="V466" s="40"/>
      <c r="W466" s="40"/>
      <c r="X466" s="40"/>
      <c r="Y466" s="40"/>
      <c r="Z466" s="40"/>
    </row>
    <row r="467">
      <c r="A467" s="72"/>
      <c r="B467" s="72"/>
      <c r="C467" s="23"/>
      <c r="D467" s="23"/>
      <c r="E467" s="40"/>
      <c r="F467" s="40"/>
      <c r="G467" s="40"/>
      <c r="H467" s="40"/>
      <c r="I467" s="40"/>
      <c r="J467" s="40"/>
      <c r="K467" s="40"/>
      <c r="L467" s="40"/>
      <c r="M467" s="40"/>
      <c r="N467" s="40"/>
      <c r="O467" s="40"/>
      <c r="P467" s="40"/>
      <c r="Q467" s="40"/>
      <c r="R467" s="40"/>
      <c r="S467" s="40"/>
      <c r="T467" s="40"/>
      <c r="U467" s="40"/>
      <c r="V467" s="40"/>
      <c r="W467" s="40"/>
      <c r="X467" s="40"/>
      <c r="Y467" s="40"/>
      <c r="Z467" s="40"/>
    </row>
    <row r="468">
      <c r="A468" s="72"/>
      <c r="B468" s="72"/>
      <c r="C468" s="23"/>
      <c r="D468" s="23"/>
      <c r="E468" s="40"/>
      <c r="F468" s="40"/>
      <c r="G468" s="40"/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0"/>
    </row>
    <row r="469">
      <c r="A469" s="72"/>
      <c r="B469" s="72"/>
      <c r="C469" s="23"/>
      <c r="D469" s="23"/>
      <c r="E469" s="40"/>
      <c r="F469" s="40"/>
      <c r="G469" s="40"/>
      <c r="H469" s="40"/>
      <c r="I469" s="40"/>
      <c r="J469" s="40"/>
      <c r="K469" s="40"/>
      <c r="L469" s="40"/>
      <c r="M469" s="40"/>
      <c r="N469" s="40"/>
      <c r="O469" s="40"/>
      <c r="P469" s="40"/>
      <c r="Q469" s="40"/>
      <c r="R469" s="40"/>
      <c r="S469" s="40"/>
      <c r="T469" s="40"/>
      <c r="U469" s="40"/>
      <c r="V469" s="40"/>
      <c r="W469" s="40"/>
      <c r="X469" s="40"/>
      <c r="Y469" s="40"/>
      <c r="Z469" s="40"/>
    </row>
    <row r="470">
      <c r="A470" s="72"/>
      <c r="B470" s="72"/>
      <c r="C470" s="23"/>
      <c r="D470" s="23"/>
      <c r="E470" s="40"/>
      <c r="F470" s="40"/>
      <c r="G470" s="40"/>
      <c r="H470" s="40"/>
      <c r="I470" s="40"/>
      <c r="J470" s="40"/>
      <c r="K470" s="40"/>
      <c r="L470" s="40"/>
      <c r="M470" s="40"/>
      <c r="N470" s="40"/>
      <c r="O470" s="40"/>
      <c r="P470" s="40"/>
      <c r="Q470" s="40"/>
      <c r="R470" s="40"/>
      <c r="S470" s="40"/>
      <c r="T470" s="40"/>
      <c r="U470" s="40"/>
      <c r="V470" s="40"/>
      <c r="W470" s="40"/>
      <c r="X470" s="40"/>
      <c r="Y470" s="40"/>
      <c r="Z470" s="40"/>
    </row>
    <row r="471">
      <c r="A471" s="72"/>
      <c r="B471" s="72"/>
      <c r="C471" s="23"/>
      <c r="D471" s="23"/>
      <c r="E471" s="40"/>
      <c r="F471" s="40"/>
      <c r="G471" s="40"/>
      <c r="H471" s="40"/>
      <c r="I471" s="40"/>
      <c r="J471" s="40"/>
      <c r="K471" s="40"/>
      <c r="L471" s="40"/>
      <c r="M471" s="40"/>
      <c r="N471" s="40"/>
      <c r="O471" s="40"/>
      <c r="P471" s="40"/>
      <c r="Q471" s="40"/>
      <c r="R471" s="40"/>
      <c r="S471" s="40"/>
      <c r="T471" s="40"/>
      <c r="U471" s="40"/>
      <c r="V471" s="40"/>
      <c r="W471" s="40"/>
      <c r="X471" s="40"/>
      <c r="Y471" s="40"/>
      <c r="Z471" s="40"/>
    </row>
    <row r="472">
      <c r="A472" s="72"/>
      <c r="B472" s="72"/>
      <c r="C472" s="23"/>
      <c r="D472" s="23"/>
      <c r="E472" s="40"/>
      <c r="F472" s="40"/>
      <c r="G472" s="40"/>
      <c r="H472" s="40"/>
      <c r="I472" s="40"/>
      <c r="J472" s="40"/>
      <c r="K472" s="40"/>
      <c r="L472" s="40"/>
      <c r="M472" s="40"/>
      <c r="N472" s="40"/>
      <c r="O472" s="40"/>
      <c r="P472" s="40"/>
      <c r="Q472" s="40"/>
      <c r="R472" s="40"/>
      <c r="S472" s="40"/>
      <c r="T472" s="40"/>
      <c r="U472" s="40"/>
      <c r="V472" s="40"/>
      <c r="W472" s="40"/>
      <c r="X472" s="40"/>
      <c r="Y472" s="40"/>
      <c r="Z472" s="40"/>
    </row>
    <row r="473">
      <c r="A473" s="72"/>
      <c r="B473" s="72"/>
      <c r="C473" s="23"/>
      <c r="D473" s="23"/>
      <c r="E473" s="40"/>
      <c r="F473" s="40"/>
      <c r="G473" s="40"/>
      <c r="H473" s="40"/>
      <c r="I473" s="40"/>
      <c r="J473" s="40"/>
      <c r="K473" s="40"/>
      <c r="L473" s="40"/>
      <c r="M473" s="40"/>
      <c r="N473" s="40"/>
      <c r="O473" s="40"/>
      <c r="P473" s="40"/>
      <c r="Q473" s="40"/>
      <c r="R473" s="40"/>
      <c r="S473" s="40"/>
      <c r="T473" s="40"/>
      <c r="U473" s="40"/>
      <c r="V473" s="40"/>
      <c r="W473" s="40"/>
      <c r="X473" s="40"/>
      <c r="Y473" s="40"/>
      <c r="Z473" s="40"/>
    </row>
    <row r="474">
      <c r="A474" s="72"/>
      <c r="B474" s="72"/>
      <c r="C474" s="23"/>
      <c r="D474" s="23"/>
      <c r="E474" s="40"/>
      <c r="F474" s="40"/>
      <c r="G474" s="40"/>
      <c r="H474" s="40"/>
      <c r="I474" s="40"/>
      <c r="J474" s="40"/>
      <c r="K474" s="40"/>
      <c r="L474" s="40"/>
      <c r="M474" s="40"/>
      <c r="N474" s="40"/>
      <c r="O474" s="40"/>
      <c r="P474" s="40"/>
      <c r="Q474" s="40"/>
      <c r="R474" s="40"/>
      <c r="S474" s="40"/>
      <c r="T474" s="40"/>
      <c r="U474" s="40"/>
      <c r="V474" s="40"/>
      <c r="W474" s="40"/>
      <c r="X474" s="40"/>
      <c r="Y474" s="40"/>
      <c r="Z474" s="40"/>
    </row>
    <row r="475">
      <c r="A475" s="72"/>
      <c r="B475" s="72"/>
      <c r="C475" s="23"/>
      <c r="D475" s="23"/>
      <c r="E475" s="40"/>
      <c r="F475" s="40"/>
      <c r="G475" s="40"/>
      <c r="H475" s="40"/>
      <c r="I475" s="40"/>
      <c r="J475" s="40"/>
      <c r="K475" s="40"/>
      <c r="L475" s="40"/>
      <c r="M475" s="40"/>
      <c r="N475" s="40"/>
      <c r="O475" s="40"/>
      <c r="P475" s="40"/>
      <c r="Q475" s="40"/>
      <c r="R475" s="40"/>
      <c r="S475" s="40"/>
      <c r="T475" s="40"/>
      <c r="U475" s="40"/>
      <c r="V475" s="40"/>
      <c r="W475" s="40"/>
      <c r="X475" s="40"/>
      <c r="Y475" s="40"/>
      <c r="Z475" s="40"/>
    </row>
    <row r="476">
      <c r="A476" s="72"/>
      <c r="B476" s="72"/>
      <c r="C476" s="23"/>
      <c r="D476" s="23"/>
      <c r="E476" s="40"/>
      <c r="F476" s="40"/>
      <c r="G476" s="40"/>
      <c r="H476" s="40"/>
      <c r="I476" s="40"/>
      <c r="J476" s="40"/>
      <c r="K476" s="40"/>
      <c r="L476" s="40"/>
      <c r="M476" s="40"/>
      <c r="N476" s="40"/>
      <c r="O476" s="40"/>
      <c r="P476" s="40"/>
      <c r="Q476" s="40"/>
      <c r="R476" s="40"/>
      <c r="S476" s="40"/>
      <c r="T476" s="40"/>
      <c r="U476" s="40"/>
      <c r="V476" s="40"/>
      <c r="W476" s="40"/>
      <c r="X476" s="40"/>
      <c r="Y476" s="40"/>
      <c r="Z476" s="40"/>
    </row>
    <row r="477">
      <c r="A477" s="72"/>
      <c r="B477" s="72"/>
      <c r="C477" s="23"/>
      <c r="D477" s="23"/>
      <c r="E477" s="40"/>
      <c r="F477" s="40"/>
      <c r="G477" s="40"/>
      <c r="H477" s="40"/>
      <c r="I477" s="40"/>
      <c r="J477" s="40"/>
      <c r="K477" s="40"/>
      <c r="L477" s="40"/>
      <c r="M477" s="40"/>
      <c r="N477" s="40"/>
      <c r="O477" s="40"/>
      <c r="P477" s="40"/>
      <c r="Q477" s="40"/>
      <c r="R477" s="40"/>
      <c r="S477" s="40"/>
      <c r="T477" s="40"/>
      <c r="U477" s="40"/>
      <c r="V477" s="40"/>
      <c r="W477" s="40"/>
      <c r="X477" s="40"/>
      <c r="Y477" s="40"/>
      <c r="Z477" s="40"/>
    </row>
    <row r="478">
      <c r="A478" s="72"/>
      <c r="B478" s="72"/>
      <c r="C478" s="23"/>
      <c r="D478" s="23"/>
      <c r="E478" s="40"/>
      <c r="F478" s="40"/>
      <c r="G478" s="40"/>
      <c r="H478" s="40"/>
      <c r="I478" s="40"/>
      <c r="J478" s="40"/>
      <c r="K478" s="40"/>
      <c r="L478" s="40"/>
      <c r="M478" s="40"/>
      <c r="N478" s="40"/>
      <c r="O478" s="40"/>
      <c r="P478" s="40"/>
      <c r="Q478" s="40"/>
      <c r="R478" s="40"/>
      <c r="S478" s="40"/>
      <c r="T478" s="40"/>
      <c r="U478" s="40"/>
      <c r="V478" s="40"/>
      <c r="W478" s="40"/>
      <c r="X478" s="40"/>
      <c r="Y478" s="40"/>
      <c r="Z478" s="40"/>
    </row>
    <row r="479">
      <c r="A479" s="72"/>
      <c r="B479" s="72"/>
      <c r="C479" s="23"/>
      <c r="D479" s="23"/>
      <c r="E479" s="40"/>
      <c r="F479" s="40"/>
      <c r="G479" s="40"/>
      <c r="H479" s="40"/>
      <c r="I479" s="40"/>
      <c r="J479" s="40"/>
      <c r="K479" s="40"/>
      <c r="L479" s="40"/>
      <c r="M479" s="40"/>
      <c r="N479" s="40"/>
      <c r="O479" s="40"/>
      <c r="P479" s="40"/>
      <c r="Q479" s="40"/>
      <c r="R479" s="40"/>
      <c r="S479" s="40"/>
      <c r="T479" s="40"/>
      <c r="U479" s="40"/>
      <c r="V479" s="40"/>
      <c r="W479" s="40"/>
      <c r="X479" s="40"/>
      <c r="Y479" s="40"/>
      <c r="Z479" s="40"/>
    </row>
    <row r="480">
      <c r="A480" s="72"/>
      <c r="B480" s="72"/>
      <c r="C480" s="23"/>
      <c r="D480" s="23"/>
      <c r="E480" s="40"/>
      <c r="F480" s="40"/>
      <c r="G480" s="40"/>
      <c r="H480" s="40"/>
      <c r="I480" s="40"/>
      <c r="J480" s="40"/>
      <c r="K480" s="40"/>
      <c r="L480" s="40"/>
      <c r="M480" s="40"/>
      <c r="N480" s="40"/>
      <c r="O480" s="40"/>
      <c r="P480" s="40"/>
      <c r="Q480" s="40"/>
      <c r="R480" s="40"/>
      <c r="S480" s="40"/>
      <c r="T480" s="40"/>
      <c r="U480" s="40"/>
      <c r="V480" s="40"/>
      <c r="W480" s="40"/>
      <c r="X480" s="40"/>
      <c r="Y480" s="40"/>
      <c r="Z480" s="40"/>
    </row>
    <row r="481">
      <c r="A481" s="72"/>
      <c r="B481" s="72"/>
      <c r="C481" s="23"/>
      <c r="D481" s="23"/>
      <c r="E481" s="40"/>
      <c r="F481" s="40"/>
      <c r="G481" s="40"/>
      <c r="H481" s="40"/>
      <c r="I481" s="40"/>
      <c r="J481" s="40"/>
      <c r="K481" s="40"/>
      <c r="L481" s="40"/>
      <c r="M481" s="40"/>
      <c r="N481" s="40"/>
      <c r="O481" s="40"/>
      <c r="P481" s="40"/>
      <c r="Q481" s="40"/>
      <c r="R481" s="40"/>
      <c r="S481" s="40"/>
      <c r="T481" s="40"/>
      <c r="U481" s="40"/>
      <c r="V481" s="40"/>
      <c r="W481" s="40"/>
      <c r="X481" s="40"/>
      <c r="Y481" s="40"/>
      <c r="Z481" s="40"/>
    </row>
    <row r="482">
      <c r="A482" s="72"/>
      <c r="B482" s="72"/>
      <c r="C482" s="23"/>
      <c r="D482" s="23"/>
      <c r="E482" s="40"/>
      <c r="F482" s="40"/>
      <c r="G482" s="40"/>
      <c r="H482" s="40"/>
      <c r="I482" s="40"/>
      <c r="J482" s="40"/>
      <c r="K482" s="40"/>
      <c r="L482" s="40"/>
      <c r="M482" s="40"/>
      <c r="N482" s="40"/>
      <c r="O482" s="40"/>
      <c r="P482" s="40"/>
      <c r="Q482" s="40"/>
      <c r="R482" s="40"/>
      <c r="S482" s="40"/>
      <c r="T482" s="40"/>
      <c r="U482" s="40"/>
      <c r="V482" s="40"/>
      <c r="W482" s="40"/>
      <c r="X482" s="40"/>
      <c r="Y482" s="40"/>
      <c r="Z482" s="40"/>
    </row>
    <row r="483">
      <c r="A483" s="72"/>
      <c r="B483" s="72"/>
      <c r="C483" s="23"/>
      <c r="D483" s="23"/>
      <c r="E483" s="40"/>
      <c r="F483" s="40"/>
      <c r="G483" s="40"/>
      <c r="H483" s="40"/>
      <c r="I483" s="40"/>
      <c r="J483" s="40"/>
      <c r="K483" s="40"/>
      <c r="L483" s="40"/>
      <c r="M483" s="40"/>
      <c r="N483" s="40"/>
      <c r="O483" s="40"/>
      <c r="P483" s="40"/>
      <c r="Q483" s="40"/>
      <c r="R483" s="40"/>
      <c r="S483" s="40"/>
      <c r="T483" s="40"/>
      <c r="U483" s="40"/>
      <c r="V483" s="40"/>
      <c r="W483" s="40"/>
      <c r="X483" s="40"/>
      <c r="Y483" s="40"/>
      <c r="Z483" s="40"/>
    </row>
    <row r="484">
      <c r="A484" s="72"/>
      <c r="B484" s="72"/>
      <c r="C484" s="23"/>
      <c r="D484" s="23"/>
      <c r="E484" s="40"/>
      <c r="F484" s="40"/>
      <c r="G484" s="40"/>
      <c r="H484" s="40"/>
      <c r="I484" s="40"/>
      <c r="J484" s="40"/>
      <c r="K484" s="40"/>
      <c r="L484" s="40"/>
      <c r="M484" s="40"/>
      <c r="N484" s="40"/>
      <c r="O484" s="40"/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0"/>
    </row>
    <row r="485">
      <c r="A485" s="72"/>
      <c r="B485" s="72"/>
      <c r="C485" s="23"/>
      <c r="D485" s="23"/>
      <c r="E485" s="40"/>
      <c r="F485" s="40"/>
      <c r="G485" s="40"/>
      <c r="H485" s="40"/>
      <c r="I485" s="40"/>
      <c r="J485" s="40"/>
      <c r="K485" s="40"/>
      <c r="L485" s="40"/>
      <c r="M485" s="40"/>
      <c r="N485" s="40"/>
      <c r="O485" s="40"/>
      <c r="P485" s="40"/>
      <c r="Q485" s="40"/>
      <c r="R485" s="40"/>
      <c r="S485" s="40"/>
      <c r="T485" s="40"/>
      <c r="U485" s="40"/>
      <c r="V485" s="40"/>
      <c r="W485" s="40"/>
      <c r="X485" s="40"/>
      <c r="Y485" s="40"/>
      <c r="Z485" s="40"/>
    </row>
    <row r="486">
      <c r="A486" s="72"/>
      <c r="B486" s="72"/>
      <c r="C486" s="23"/>
      <c r="D486" s="23"/>
      <c r="E486" s="40"/>
      <c r="F486" s="40"/>
      <c r="G486" s="40"/>
      <c r="H486" s="40"/>
      <c r="I486" s="40"/>
      <c r="J486" s="40"/>
      <c r="K486" s="40"/>
      <c r="L486" s="40"/>
      <c r="M486" s="40"/>
      <c r="N486" s="40"/>
      <c r="O486" s="40"/>
      <c r="P486" s="40"/>
      <c r="Q486" s="40"/>
      <c r="R486" s="40"/>
      <c r="S486" s="40"/>
      <c r="T486" s="40"/>
      <c r="U486" s="40"/>
      <c r="V486" s="40"/>
      <c r="W486" s="40"/>
      <c r="X486" s="40"/>
      <c r="Y486" s="40"/>
      <c r="Z486" s="40"/>
    </row>
    <row r="487">
      <c r="A487" s="72"/>
      <c r="B487" s="72"/>
      <c r="C487" s="23"/>
      <c r="D487" s="23"/>
      <c r="E487" s="40"/>
      <c r="F487" s="40"/>
      <c r="G487" s="40"/>
      <c r="H487" s="40"/>
      <c r="I487" s="40"/>
      <c r="J487" s="40"/>
      <c r="K487" s="40"/>
      <c r="L487" s="40"/>
      <c r="M487" s="40"/>
      <c r="N487" s="40"/>
      <c r="O487" s="40"/>
      <c r="P487" s="40"/>
      <c r="Q487" s="40"/>
      <c r="R487" s="40"/>
      <c r="S487" s="40"/>
      <c r="T487" s="40"/>
      <c r="U487" s="40"/>
      <c r="V487" s="40"/>
      <c r="W487" s="40"/>
      <c r="X487" s="40"/>
      <c r="Y487" s="40"/>
      <c r="Z487" s="40"/>
    </row>
    <row r="488">
      <c r="A488" s="72"/>
      <c r="B488" s="72"/>
      <c r="C488" s="23"/>
      <c r="D488" s="23"/>
      <c r="E488" s="40"/>
      <c r="F488" s="40"/>
      <c r="G488" s="40"/>
      <c r="H488" s="40"/>
      <c r="I488" s="40"/>
      <c r="J488" s="40"/>
      <c r="K488" s="40"/>
      <c r="L488" s="40"/>
      <c r="M488" s="40"/>
      <c r="N488" s="40"/>
      <c r="O488" s="40"/>
      <c r="P488" s="40"/>
      <c r="Q488" s="40"/>
      <c r="R488" s="40"/>
      <c r="S488" s="40"/>
      <c r="T488" s="40"/>
      <c r="U488" s="40"/>
      <c r="V488" s="40"/>
      <c r="W488" s="40"/>
      <c r="X488" s="40"/>
      <c r="Y488" s="40"/>
      <c r="Z488" s="40"/>
    </row>
    <row r="489">
      <c r="A489" s="72"/>
      <c r="B489" s="72"/>
      <c r="C489" s="23"/>
      <c r="D489" s="23"/>
      <c r="E489" s="40"/>
      <c r="F489" s="40"/>
      <c r="G489" s="40"/>
      <c r="H489" s="40"/>
      <c r="I489" s="40"/>
      <c r="J489" s="40"/>
      <c r="K489" s="40"/>
      <c r="L489" s="40"/>
      <c r="M489" s="40"/>
      <c r="N489" s="40"/>
      <c r="O489" s="40"/>
      <c r="P489" s="40"/>
      <c r="Q489" s="40"/>
      <c r="R489" s="40"/>
      <c r="S489" s="40"/>
      <c r="T489" s="40"/>
      <c r="U489" s="40"/>
      <c r="V489" s="40"/>
      <c r="W489" s="40"/>
      <c r="X489" s="40"/>
      <c r="Y489" s="40"/>
      <c r="Z489" s="40"/>
    </row>
    <row r="490">
      <c r="A490" s="72"/>
      <c r="B490" s="72"/>
      <c r="C490" s="23"/>
      <c r="D490" s="23"/>
      <c r="E490" s="40"/>
      <c r="F490" s="40"/>
      <c r="G490" s="40"/>
      <c r="H490" s="40"/>
      <c r="I490" s="40"/>
      <c r="J490" s="40"/>
      <c r="K490" s="40"/>
      <c r="L490" s="40"/>
      <c r="M490" s="40"/>
      <c r="N490" s="40"/>
      <c r="O490" s="40"/>
      <c r="P490" s="40"/>
      <c r="Q490" s="40"/>
      <c r="R490" s="40"/>
      <c r="S490" s="40"/>
      <c r="T490" s="40"/>
      <c r="U490" s="40"/>
      <c r="V490" s="40"/>
      <c r="W490" s="40"/>
      <c r="X490" s="40"/>
      <c r="Y490" s="40"/>
      <c r="Z490" s="40"/>
    </row>
    <row r="491">
      <c r="A491" s="72"/>
      <c r="B491" s="72"/>
      <c r="C491" s="23"/>
      <c r="D491" s="23"/>
      <c r="E491" s="40"/>
      <c r="F491" s="40"/>
      <c r="G491" s="40"/>
      <c r="H491" s="40"/>
      <c r="I491" s="40"/>
      <c r="J491" s="40"/>
      <c r="K491" s="40"/>
      <c r="L491" s="40"/>
      <c r="M491" s="40"/>
      <c r="N491" s="40"/>
      <c r="O491" s="40"/>
      <c r="P491" s="40"/>
      <c r="Q491" s="40"/>
      <c r="R491" s="40"/>
      <c r="S491" s="40"/>
      <c r="T491" s="40"/>
      <c r="U491" s="40"/>
      <c r="V491" s="40"/>
      <c r="W491" s="40"/>
      <c r="X491" s="40"/>
      <c r="Y491" s="40"/>
      <c r="Z491" s="40"/>
    </row>
    <row r="492">
      <c r="A492" s="72"/>
      <c r="B492" s="72"/>
      <c r="C492" s="23"/>
      <c r="D492" s="23"/>
      <c r="E492" s="40"/>
      <c r="F492" s="40"/>
      <c r="G492" s="40"/>
      <c r="H492" s="40"/>
      <c r="I492" s="40"/>
      <c r="J492" s="40"/>
      <c r="K492" s="40"/>
      <c r="L492" s="40"/>
      <c r="M492" s="40"/>
      <c r="N492" s="40"/>
      <c r="O492" s="40"/>
      <c r="P492" s="40"/>
      <c r="Q492" s="40"/>
      <c r="R492" s="40"/>
      <c r="S492" s="40"/>
      <c r="T492" s="40"/>
      <c r="U492" s="40"/>
      <c r="V492" s="40"/>
      <c r="W492" s="40"/>
      <c r="X492" s="40"/>
      <c r="Y492" s="40"/>
      <c r="Z492" s="40"/>
    </row>
    <row r="493">
      <c r="A493" s="72"/>
      <c r="B493" s="72"/>
      <c r="C493" s="23"/>
      <c r="D493" s="23"/>
      <c r="E493" s="40"/>
      <c r="F493" s="40"/>
      <c r="G493" s="40"/>
      <c r="H493" s="40"/>
      <c r="I493" s="40"/>
      <c r="J493" s="40"/>
      <c r="K493" s="40"/>
      <c r="L493" s="40"/>
      <c r="M493" s="40"/>
      <c r="N493" s="40"/>
      <c r="O493" s="40"/>
      <c r="P493" s="40"/>
      <c r="Q493" s="40"/>
      <c r="R493" s="40"/>
      <c r="S493" s="40"/>
      <c r="T493" s="40"/>
      <c r="U493" s="40"/>
      <c r="V493" s="40"/>
      <c r="W493" s="40"/>
      <c r="X493" s="40"/>
      <c r="Y493" s="40"/>
      <c r="Z493" s="40"/>
    </row>
    <row r="494">
      <c r="A494" s="72"/>
      <c r="B494" s="72"/>
      <c r="C494" s="23"/>
      <c r="D494" s="23"/>
      <c r="E494" s="40"/>
      <c r="F494" s="40"/>
      <c r="G494" s="40"/>
      <c r="H494" s="40"/>
      <c r="I494" s="40"/>
      <c r="J494" s="40"/>
      <c r="K494" s="40"/>
      <c r="L494" s="40"/>
      <c r="M494" s="40"/>
      <c r="N494" s="40"/>
      <c r="O494" s="40"/>
      <c r="P494" s="40"/>
      <c r="Q494" s="40"/>
      <c r="R494" s="40"/>
      <c r="S494" s="40"/>
      <c r="T494" s="40"/>
      <c r="U494" s="40"/>
      <c r="V494" s="40"/>
      <c r="W494" s="40"/>
      <c r="X494" s="40"/>
      <c r="Y494" s="40"/>
      <c r="Z494" s="40"/>
    </row>
    <row r="495">
      <c r="A495" s="72"/>
      <c r="B495" s="72"/>
      <c r="C495" s="23"/>
      <c r="D495" s="23"/>
      <c r="E495" s="40"/>
      <c r="F495" s="40"/>
      <c r="G495" s="40"/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  <c r="U495" s="40"/>
      <c r="V495" s="40"/>
      <c r="W495" s="40"/>
      <c r="X495" s="40"/>
      <c r="Y495" s="40"/>
      <c r="Z495" s="40"/>
    </row>
    <row r="496">
      <c r="A496" s="72"/>
      <c r="B496" s="72"/>
      <c r="C496" s="23"/>
      <c r="D496" s="23"/>
      <c r="E496" s="40"/>
      <c r="F496" s="40"/>
      <c r="G496" s="40"/>
      <c r="H496" s="40"/>
      <c r="I496" s="40"/>
      <c r="J496" s="40"/>
      <c r="K496" s="40"/>
      <c r="L496" s="40"/>
      <c r="M496" s="40"/>
      <c r="N496" s="40"/>
      <c r="O496" s="40"/>
      <c r="P496" s="40"/>
      <c r="Q496" s="40"/>
      <c r="R496" s="40"/>
      <c r="S496" s="40"/>
      <c r="T496" s="40"/>
      <c r="U496" s="40"/>
      <c r="V496" s="40"/>
      <c r="W496" s="40"/>
      <c r="X496" s="40"/>
      <c r="Y496" s="40"/>
      <c r="Z496" s="40"/>
    </row>
    <row r="497">
      <c r="A497" s="72"/>
      <c r="B497" s="72"/>
      <c r="C497" s="23"/>
      <c r="D497" s="23"/>
      <c r="E497" s="40"/>
      <c r="F497" s="40"/>
      <c r="G497" s="40"/>
      <c r="H497" s="40"/>
      <c r="I497" s="40"/>
      <c r="J497" s="40"/>
      <c r="K497" s="40"/>
      <c r="L497" s="40"/>
      <c r="M497" s="40"/>
      <c r="N497" s="40"/>
      <c r="O497" s="40"/>
      <c r="P497" s="40"/>
      <c r="Q497" s="40"/>
      <c r="R497" s="40"/>
      <c r="S497" s="40"/>
      <c r="T497" s="40"/>
      <c r="U497" s="40"/>
      <c r="V497" s="40"/>
      <c r="W497" s="40"/>
      <c r="X497" s="40"/>
      <c r="Y497" s="40"/>
      <c r="Z497" s="40"/>
    </row>
    <row r="498">
      <c r="A498" s="72"/>
      <c r="B498" s="72"/>
      <c r="C498" s="23"/>
      <c r="D498" s="23"/>
      <c r="E498" s="40"/>
      <c r="F498" s="40"/>
      <c r="G498" s="40"/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  <c r="U498" s="40"/>
      <c r="V498" s="40"/>
      <c r="W498" s="40"/>
      <c r="X498" s="40"/>
      <c r="Y498" s="40"/>
      <c r="Z498" s="40"/>
    </row>
    <row r="499">
      <c r="A499" s="72"/>
      <c r="B499" s="72"/>
      <c r="C499" s="23"/>
      <c r="D499" s="23"/>
      <c r="E499" s="40"/>
      <c r="F499" s="40"/>
      <c r="G499" s="40"/>
      <c r="H499" s="40"/>
      <c r="I499" s="40"/>
      <c r="J499" s="40"/>
      <c r="K499" s="40"/>
      <c r="L499" s="40"/>
      <c r="M499" s="40"/>
      <c r="N499" s="40"/>
      <c r="O499" s="40"/>
      <c r="P499" s="40"/>
      <c r="Q499" s="40"/>
      <c r="R499" s="40"/>
      <c r="S499" s="40"/>
      <c r="T499" s="40"/>
      <c r="U499" s="40"/>
      <c r="V499" s="40"/>
      <c r="W499" s="40"/>
      <c r="X499" s="40"/>
      <c r="Y499" s="40"/>
      <c r="Z499" s="40"/>
    </row>
    <row r="500">
      <c r="A500" s="72"/>
      <c r="B500" s="72"/>
      <c r="C500" s="23"/>
      <c r="D500" s="23"/>
      <c r="E500" s="40"/>
      <c r="F500" s="40"/>
      <c r="G500" s="40"/>
      <c r="H500" s="40"/>
      <c r="I500" s="40"/>
      <c r="J500" s="40"/>
      <c r="K500" s="40"/>
      <c r="L500" s="40"/>
      <c r="M500" s="40"/>
      <c r="N500" s="40"/>
      <c r="O500" s="40"/>
      <c r="P500" s="40"/>
      <c r="Q500" s="40"/>
      <c r="R500" s="40"/>
      <c r="S500" s="40"/>
      <c r="T500" s="40"/>
      <c r="U500" s="40"/>
      <c r="V500" s="40"/>
      <c r="W500" s="40"/>
      <c r="X500" s="40"/>
      <c r="Y500" s="40"/>
      <c r="Z500" s="40"/>
    </row>
    <row r="501">
      <c r="A501" s="72"/>
      <c r="B501" s="72"/>
      <c r="C501" s="23"/>
      <c r="D501" s="23"/>
      <c r="E501" s="40"/>
      <c r="F501" s="40"/>
      <c r="G501" s="40"/>
      <c r="H501" s="40"/>
      <c r="I501" s="40"/>
      <c r="J501" s="40"/>
      <c r="K501" s="40"/>
      <c r="L501" s="40"/>
      <c r="M501" s="40"/>
      <c r="N501" s="40"/>
      <c r="O501" s="40"/>
      <c r="P501" s="40"/>
      <c r="Q501" s="40"/>
      <c r="R501" s="40"/>
      <c r="S501" s="40"/>
      <c r="T501" s="40"/>
      <c r="U501" s="40"/>
      <c r="V501" s="40"/>
      <c r="W501" s="40"/>
      <c r="X501" s="40"/>
      <c r="Y501" s="40"/>
      <c r="Z501" s="40"/>
    </row>
    <row r="502">
      <c r="A502" s="72"/>
      <c r="B502" s="72"/>
      <c r="C502" s="23"/>
      <c r="D502" s="23"/>
      <c r="E502" s="40"/>
      <c r="F502" s="40"/>
      <c r="G502" s="40"/>
      <c r="H502" s="40"/>
      <c r="I502" s="40"/>
      <c r="J502" s="40"/>
      <c r="K502" s="40"/>
      <c r="L502" s="40"/>
      <c r="M502" s="40"/>
      <c r="N502" s="40"/>
      <c r="O502" s="40"/>
      <c r="P502" s="40"/>
      <c r="Q502" s="40"/>
      <c r="R502" s="40"/>
      <c r="S502" s="40"/>
      <c r="T502" s="40"/>
      <c r="U502" s="40"/>
      <c r="V502" s="40"/>
      <c r="W502" s="40"/>
      <c r="X502" s="40"/>
      <c r="Y502" s="40"/>
      <c r="Z502" s="40"/>
    </row>
    <row r="503">
      <c r="A503" s="72"/>
      <c r="B503" s="72"/>
      <c r="C503" s="23"/>
      <c r="D503" s="23"/>
      <c r="E503" s="40"/>
      <c r="F503" s="40"/>
      <c r="G503" s="40"/>
      <c r="H503" s="40"/>
      <c r="I503" s="40"/>
      <c r="J503" s="40"/>
      <c r="K503" s="40"/>
      <c r="L503" s="40"/>
      <c r="M503" s="40"/>
      <c r="N503" s="40"/>
      <c r="O503" s="40"/>
      <c r="P503" s="40"/>
      <c r="Q503" s="40"/>
      <c r="R503" s="40"/>
      <c r="S503" s="40"/>
      <c r="T503" s="40"/>
      <c r="U503" s="40"/>
      <c r="V503" s="40"/>
      <c r="W503" s="40"/>
      <c r="X503" s="40"/>
      <c r="Y503" s="40"/>
      <c r="Z503" s="40"/>
    </row>
    <row r="504">
      <c r="A504" s="72"/>
      <c r="B504" s="72"/>
      <c r="C504" s="23"/>
      <c r="D504" s="23"/>
      <c r="E504" s="40"/>
      <c r="F504" s="40"/>
      <c r="G504" s="40"/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  <c r="U504" s="40"/>
      <c r="V504" s="40"/>
      <c r="W504" s="40"/>
      <c r="X504" s="40"/>
      <c r="Y504" s="40"/>
      <c r="Z504" s="40"/>
    </row>
    <row r="505">
      <c r="A505" s="72"/>
      <c r="B505" s="72"/>
      <c r="C505" s="23"/>
      <c r="D505" s="23"/>
      <c r="E505" s="40"/>
      <c r="F505" s="40"/>
      <c r="G505" s="40"/>
      <c r="H505" s="40"/>
      <c r="I505" s="40"/>
      <c r="J505" s="40"/>
      <c r="K505" s="40"/>
      <c r="L505" s="40"/>
      <c r="M505" s="40"/>
      <c r="N505" s="40"/>
      <c r="O505" s="40"/>
      <c r="P505" s="40"/>
      <c r="Q505" s="40"/>
      <c r="R505" s="40"/>
      <c r="S505" s="40"/>
      <c r="T505" s="40"/>
      <c r="U505" s="40"/>
      <c r="V505" s="40"/>
      <c r="W505" s="40"/>
      <c r="X505" s="40"/>
      <c r="Y505" s="40"/>
      <c r="Z505" s="40"/>
    </row>
    <row r="506">
      <c r="A506" s="72"/>
      <c r="B506" s="72"/>
      <c r="C506" s="23"/>
      <c r="D506" s="23"/>
      <c r="E506" s="40"/>
      <c r="F506" s="40"/>
      <c r="G506" s="40"/>
      <c r="H506" s="40"/>
      <c r="I506" s="40"/>
      <c r="J506" s="40"/>
      <c r="K506" s="40"/>
      <c r="L506" s="40"/>
      <c r="M506" s="40"/>
      <c r="N506" s="40"/>
      <c r="O506" s="40"/>
      <c r="P506" s="40"/>
      <c r="Q506" s="40"/>
      <c r="R506" s="40"/>
      <c r="S506" s="40"/>
      <c r="T506" s="40"/>
      <c r="U506" s="40"/>
      <c r="V506" s="40"/>
      <c r="W506" s="40"/>
      <c r="X506" s="40"/>
      <c r="Y506" s="40"/>
      <c r="Z506" s="40"/>
    </row>
    <row r="507">
      <c r="A507" s="72"/>
      <c r="B507" s="72"/>
      <c r="C507" s="23"/>
      <c r="D507" s="23"/>
      <c r="E507" s="40"/>
      <c r="F507" s="40"/>
      <c r="G507" s="40"/>
      <c r="H507" s="40"/>
      <c r="I507" s="40"/>
      <c r="J507" s="40"/>
      <c r="K507" s="40"/>
      <c r="L507" s="40"/>
      <c r="M507" s="40"/>
      <c r="N507" s="40"/>
      <c r="O507" s="40"/>
      <c r="P507" s="40"/>
      <c r="Q507" s="40"/>
      <c r="R507" s="40"/>
      <c r="S507" s="40"/>
      <c r="T507" s="40"/>
      <c r="U507" s="40"/>
      <c r="V507" s="40"/>
      <c r="W507" s="40"/>
      <c r="X507" s="40"/>
      <c r="Y507" s="40"/>
      <c r="Z507" s="40"/>
    </row>
    <row r="508">
      <c r="A508" s="72"/>
      <c r="B508" s="72"/>
      <c r="C508" s="23"/>
      <c r="D508" s="23"/>
      <c r="E508" s="40"/>
      <c r="F508" s="40"/>
      <c r="G508" s="40"/>
      <c r="H508" s="40"/>
      <c r="I508" s="40"/>
      <c r="J508" s="40"/>
      <c r="K508" s="40"/>
      <c r="L508" s="40"/>
      <c r="M508" s="40"/>
      <c r="N508" s="40"/>
      <c r="O508" s="40"/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0"/>
    </row>
    <row r="509">
      <c r="A509" s="72"/>
      <c r="B509" s="72"/>
      <c r="C509" s="23"/>
      <c r="D509" s="23"/>
      <c r="E509" s="40"/>
      <c r="F509" s="40"/>
      <c r="G509" s="40"/>
      <c r="H509" s="40"/>
      <c r="I509" s="40"/>
      <c r="J509" s="40"/>
      <c r="K509" s="40"/>
      <c r="L509" s="40"/>
      <c r="M509" s="40"/>
      <c r="N509" s="40"/>
      <c r="O509" s="40"/>
      <c r="P509" s="40"/>
      <c r="Q509" s="40"/>
      <c r="R509" s="40"/>
      <c r="S509" s="40"/>
      <c r="T509" s="40"/>
      <c r="U509" s="40"/>
      <c r="V509" s="40"/>
      <c r="W509" s="40"/>
      <c r="X509" s="40"/>
      <c r="Y509" s="40"/>
      <c r="Z509" s="40"/>
    </row>
    <row r="510">
      <c r="A510" s="72"/>
      <c r="B510" s="72"/>
      <c r="C510" s="23"/>
      <c r="D510" s="23"/>
      <c r="E510" s="40"/>
      <c r="F510" s="40"/>
      <c r="G510" s="40"/>
      <c r="H510" s="40"/>
      <c r="I510" s="40"/>
      <c r="J510" s="40"/>
      <c r="K510" s="40"/>
      <c r="L510" s="40"/>
      <c r="M510" s="40"/>
      <c r="N510" s="40"/>
      <c r="O510" s="40"/>
      <c r="P510" s="40"/>
      <c r="Q510" s="40"/>
      <c r="R510" s="40"/>
      <c r="S510" s="40"/>
      <c r="T510" s="40"/>
      <c r="U510" s="40"/>
      <c r="V510" s="40"/>
      <c r="W510" s="40"/>
      <c r="X510" s="40"/>
      <c r="Y510" s="40"/>
      <c r="Z510" s="40"/>
    </row>
    <row r="511">
      <c r="A511" s="72"/>
      <c r="B511" s="72"/>
      <c r="C511" s="23"/>
      <c r="D511" s="23"/>
      <c r="E511" s="40"/>
      <c r="F511" s="40"/>
      <c r="G511" s="40"/>
      <c r="H511" s="40"/>
      <c r="I511" s="40"/>
      <c r="J511" s="40"/>
      <c r="K511" s="40"/>
      <c r="L511" s="40"/>
      <c r="M511" s="40"/>
      <c r="N511" s="40"/>
      <c r="O511" s="40"/>
      <c r="P511" s="40"/>
      <c r="Q511" s="40"/>
      <c r="R511" s="40"/>
      <c r="S511" s="40"/>
      <c r="T511" s="40"/>
      <c r="U511" s="40"/>
      <c r="V511" s="40"/>
      <c r="W511" s="40"/>
      <c r="X511" s="40"/>
      <c r="Y511" s="40"/>
      <c r="Z511" s="40"/>
    </row>
    <row r="512">
      <c r="A512" s="72"/>
      <c r="B512" s="72"/>
      <c r="C512" s="23"/>
      <c r="D512" s="23"/>
      <c r="E512" s="40"/>
      <c r="F512" s="40"/>
      <c r="G512" s="40"/>
      <c r="H512" s="40"/>
      <c r="I512" s="40"/>
      <c r="J512" s="40"/>
      <c r="K512" s="40"/>
      <c r="L512" s="40"/>
      <c r="M512" s="40"/>
      <c r="N512" s="40"/>
      <c r="O512" s="40"/>
      <c r="P512" s="40"/>
      <c r="Q512" s="40"/>
      <c r="R512" s="40"/>
      <c r="S512" s="40"/>
      <c r="T512" s="40"/>
      <c r="U512" s="40"/>
      <c r="V512" s="40"/>
      <c r="W512" s="40"/>
      <c r="X512" s="40"/>
      <c r="Y512" s="40"/>
      <c r="Z512" s="40"/>
    </row>
    <row r="513">
      <c r="A513" s="72"/>
      <c r="B513" s="72"/>
      <c r="C513" s="23"/>
      <c r="D513" s="23"/>
      <c r="E513" s="40"/>
      <c r="F513" s="40"/>
      <c r="G513" s="40"/>
      <c r="H513" s="40"/>
      <c r="I513" s="40"/>
      <c r="J513" s="40"/>
      <c r="K513" s="40"/>
      <c r="L513" s="40"/>
      <c r="M513" s="40"/>
      <c r="N513" s="40"/>
      <c r="O513" s="40"/>
      <c r="P513" s="40"/>
      <c r="Q513" s="40"/>
      <c r="R513" s="40"/>
      <c r="S513" s="40"/>
      <c r="T513" s="40"/>
      <c r="U513" s="40"/>
      <c r="V513" s="40"/>
      <c r="W513" s="40"/>
      <c r="X513" s="40"/>
      <c r="Y513" s="40"/>
      <c r="Z513" s="40"/>
    </row>
    <row r="514">
      <c r="A514" s="72"/>
      <c r="B514" s="72"/>
      <c r="C514" s="23"/>
      <c r="D514" s="23"/>
      <c r="E514" s="40"/>
      <c r="F514" s="40"/>
      <c r="G514" s="40"/>
      <c r="H514" s="40"/>
      <c r="I514" s="40"/>
      <c r="J514" s="40"/>
      <c r="K514" s="40"/>
      <c r="L514" s="40"/>
      <c r="M514" s="40"/>
      <c r="N514" s="40"/>
      <c r="O514" s="40"/>
      <c r="P514" s="40"/>
      <c r="Q514" s="40"/>
      <c r="R514" s="40"/>
      <c r="S514" s="40"/>
      <c r="T514" s="40"/>
      <c r="U514" s="40"/>
      <c r="V514" s="40"/>
      <c r="W514" s="40"/>
      <c r="X514" s="40"/>
      <c r="Y514" s="40"/>
      <c r="Z514" s="40"/>
    </row>
    <row r="515">
      <c r="A515" s="72"/>
      <c r="B515" s="72"/>
      <c r="C515" s="23"/>
      <c r="D515" s="23"/>
      <c r="E515" s="40"/>
      <c r="F515" s="40"/>
      <c r="G515" s="40"/>
      <c r="H515" s="40"/>
      <c r="I515" s="40"/>
      <c r="J515" s="40"/>
      <c r="K515" s="40"/>
      <c r="L515" s="40"/>
      <c r="M515" s="40"/>
      <c r="N515" s="40"/>
      <c r="O515" s="40"/>
      <c r="P515" s="40"/>
      <c r="Q515" s="40"/>
      <c r="R515" s="40"/>
      <c r="S515" s="40"/>
      <c r="T515" s="40"/>
      <c r="U515" s="40"/>
      <c r="V515" s="40"/>
      <c r="W515" s="40"/>
      <c r="X515" s="40"/>
      <c r="Y515" s="40"/>
      <c r="Z515" s="40"/>
    </row>
    <row r="516">
      <c r="A516" s="72"/>
      <c r="B516" s="72"/>
      <c r="C516" s="23"/>
      <c r="D516" s="23"/>
      <c r="E516" s="40"/>
      <c r="F516" s="40"/>
      <c r="G516" s="40"/>
      <c r="H516" s="40"/>
      <c r="I516" s="40"/>
      <c r="J516" s="40"/>
      <c r="K516" s="40"/>
      <c r="L516" s="40"/>
      <c r="M516" s="40"/>
      <c r="N516" s="40"/>
      <c r="O516" s="40"/>
      <c r="P516" s="40"/>
      <c r="Q516" s="40"/>
      <c r="R516" s="40"/>
      <c r="S516" s="40"/>
      <c r="T516" s="40"/>
      <c r="U516" s="40"/>
      <c r="V516" s="40"/>
      <c r="W516" s="40"/>
      <c r="X516" s="40"/>
      <c r="Y516" s="40"/>
      <c r="Z516" s="40"/>
    </row>
    <row r="517">
      <c r="A517" s="72"/>
      <c r="B517" s="72"/>
      <c r="C517" s="23"/>
      <c r="D517" s="23"/>
      <c r="E517" s="40"/>
      <c r="F517" s="40"/>
      <c r="G517" s="40"/>
      <c r="H517" s="40"/>
      <c r="I517" s="40"/>
      <c r="J517" s="40"/>
      <c r="K517" s="40"/>
      <c r="L517" s="40"/>
      <c r="M517" s="40"/>
      <c r="N517" s="40"/>
      <c r="O517" s="40"/>
      <c r="P517" s="40"/>
      <c r="Q517" s="40"/>
      <c r="R517" s="40"/>
      <c r="S517" s="40"/>
      <c r="T517" s="40"/>
      <c r="U517" s="40"/>
      <c r="V517" s="40"/>
      <c r="W517" s="40"/>
      <c r="X517" s="40"/>
      <c r="Y517" s="40"/>
      <c r="Z517" s="40"/>
    </row>
    <row r="518">
      <c r="A518" s="72"/>
      <c r="B518" s="72"/>
      <c r="C518" s="23"/>
      <c r="D518" s="23"/>
      <c r="E518" s="40"/>
      <c r="F518" s="40"/>
      <c r="G518" s="40"/>
      <c r="H518" s="40"/>
      <c r="I518" s="40"/>
      <c r="J518" s="40"/>
      <c r="K518" s="40"/>
      <c r="L518" s="40"/>
      <c r="M518" s="40"/>
      <c r="N518" s="40"/>
      <c r="O518" s="40"/>
      <c r="P518" s="40"/>
      <c r="Q518" s="40"/>
      <c r="R518" s="40"/>
      <c r="S518" s="40"/>
      <c r="T518" s="40"/>
      <c r="U518" s="40"/>
      <c r="V518" s="40"/>
      <c r="W518" s="40"/>
      <c r="X518" s="40"/>
      <c r="Y518" s="40"/>
      <c r="Z518" s="40"/>
    </row>
    <row r="519">
      <c r="A519" s="72"/>
      <c r="B519" s="72"/>
      <c r="C519" s="23"/>
      <c r="D519" s="23"/>
      <c r="E519" s="40"/>
      <c r="F519" s="40"/>
      <c r="G519" s="40"/>
      <c r="H519" s="40"/>
      <c r="I519" s="40"/>
      <c r="J519" s="40"/>
      <c r="K519" s="40"/>
      <c r="L519" s="40"/>
      <c r="M519" s="40"/>
      <c r="N519" s="40"/>
      <c r="O519" s="40"/>
      <c r="P519" s="40"/>
      <c r="Q519" s="40"/>
      <c r="R519" s="40"/>
      <c r="S519" s="40"/>
      <c r="T519" s="40"/>
      <c r="U519" s="40"/>
      <c r="V519" s="40"/>
      <c r="W519" s="40"/>
      <c r="X519" s="40"/>
      <c r="Y519" s="40"/>
      <c r="Z519" s="40"/>
    </row>
    <row r="520">
      <c r="A520" s="72"/>
      <c r="B520" s="72"/>
      <c r="C520" s="23"/>
      <c r="D520" s="23"/>
      <c r="E520" s="40"/>
      <c r="F520" s="40"/>
      <c r="G520" s="40"/>
      <c r="H520" s="40"/>
      <c r="I520" s="40"/>
      <c r="J520" s="40"/>
      <c r="K520" s="40"/>
      <c r="L520" s="40"/>
      <c r="M520" s="40"/>
      <c r="N520" s="40"/>
      <c r="O520" s="40"/>
      <c r="P520" s="40"/>
      <c r="Q520" s="40"/>
      <c r="R520" s="40"/>
      <c r="S520" s="40"/>
      <c r="T520" s="40"/>
      <c r="U520" s="40"/>
      <c r="V520" s="40"/>
      <c r="W520" s="40"/>
      <c r="X520" s="40"/>
      <c r="Y520" s="40"/>
      <c r="Z520" s="40"/>
    </row>
    <row r="521">
      <c r="A521" s="72"/>
      <c r="B521" s="72"/>
      <c r="C521" s="23"/>
      <c r="D521" s="23"/>
      <c r="E521" s="40"/>
      <c r="F521" s="40"/>
      <c r="G521" s="40"/>
      <c r="H521" s="40"/>
      <c r="I521" s="40"/>
      <c r="J521" s="40"/>
      <c r="K521" s="40"/>
      <c r="L521" s="40"/>
      <c r="M521" s="40"/>
      <c r="N521" s="40"/>
      <c r="O521" s="40"/>
      <c r="P521" s="40"/>
      <c r="Q521" s="40"/>
      <c r="R521" s="40"/>
      <c r="S521" s="40"/>
      <c r="T521" s="40"/>
      <c r="U521" s="40"/>
      <c r="V521" s="40"/>
      <c r="W521" s="40"/>
      <c r="X521" s="40"/>
      <c r="Y521" s="40"/>
      <c r="Z521" s="40"/>
    </row>
    <row r="522">
      <c r="A522" s="72"/>
      <c r="B522" s="72"/>
      <c r="C522" s="23"/>
      <c r="D522" s="23"/>
      <c r="E522" s="40"/>
      <c r="F522" s="40"/>
      <c r="G522" s="40"/>
      <c r="H522" s="40"/>
      <c r="I522" s="40"/>
      <c r="J522" s="40"/>
      <c r="K522" s="40"/>
      <c r="L522" s="40"/>
      <c r="M522" s="40"/>
      <c r="N522" s="40"/>
      <c r="O522" s="40"/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0"/>
    </row>
    <row r="523">
      <c r="A523" s="72"/>
      <c r="B523" s="72"/>
      <c r="C523" s="23"/>
      <c r="D523" s="23"/>
      <c r="E523" s="40"/>
      <c r="F523" s="40"/>
      <c r="G523" s="40"/>
      <c r="H523" s="40"/>
      <c r="I523" s="40"/>
      <c r="J523" s="40"/>
      <c r="K523" s="40"/>
      <c r="L523" s="40"/>
      <c r="M523" s="40"/>
      <c r="N523" s="40"/>
      <c r="O523" s="40"/>
      <c r="P523" s="40"/>
      <c r="Q523" s="40"/>
      <c r="R523" s="40"/>
      <c r="S523" s="40"/>
      <c r="T523" s="40"/>
      <c r="U523" s="40"/>
      <c r="V523" s="40"/>
      <c r="W523" s="40"/>
      <c r="X523" s="40"/>
      <c r="Y523" s="40"/>
      <c r="Z523" s="40"/>
    </row>
    <row r="524">
      <c r="A524" s="72"/>
      <c r="B524" s="72"/>
      <c r="C524" s="23"/>
      <c r="D524" s="23"/>
      <c r="E524" s="40"/>
      <c r="F524" s="40"/>
      <c r="G524" s="40"/>
      <c r="H524" s="40"/>
      <c r="I524" s="40"/>
      <c r="J524" s="40"/>
      <c r="K524" s="40"/>
      <c r="L524" s="40"/>
      <c r="M524" s="40"/>
      <c r="N524" s="40"/>
      <c r="O524" s="40"/>
      <c r="P524" s="40"/>
      <c r="Q524" s="40"/>
      <c r="R524" s="40"/>
      <c r="S524" s="40"/>
      <c r="T524" s="40"/>
      <c r="U524" s="40"/>
      <c r="V524" s="40"/>
      <c r="W524" s="40"/>
      <c r="X524" s="40"/>
      <c r="Y524" s="40"/>
      <c r="Z524" s="40"/>
    </row>
    <row r="525">
      <c r="A525" s="72"/>
      <c r="B525" s="72"/>
      <c r="C525" s="23"/>
      <c r="D525" s="23"/>
      <c r="E525" s="40"/>
      <c r="F525" s="40"/>
      <c r="G525" s="40"/>
      <c r="H525" s="40"/>
      <c r="I525" s="40"/>
      <c r="J525" s="40"/>
      <c r="K525" s="40"/>
      <c r="L525" s="40"/>
      <c r="M525" s="40"/>
      <c r="N525" s="40"/>
      <c r="O525" s="40"/>
      <c r="P525" s="40"/>
      <c r="Q525" s="40"/>
      <c r="R525" s="40"/>
      <c r="S525" s="40"/>
      <c r="T525" s="40"/>
      <c r="U525" s="40"/>
      <c r="V525" s="40"/>
      <c r="W525" s="40"/>
      <c r="X525" s="40"/>
      <c r="Y525" s="40"/>
      <c r="Z525" s="40"/>
    </row>
    <row r="526">
      <c r="A526" s="72"/>
      <c r="B526" s="72"/>
      <c r="C526" s="23"/>
      <c r="D526" s="23"/>
      <c r="E526" s="40"/>
      <c r="F526" s="40"/>
      <c r="G526" s="40"/>
      <c r="H526" s="40"/>
      <c r="I526" s="40"/>
      <c r="J526" s="40"/>
      <c r="K526" s="40"/>
      <c r="L526" s="40"/>
      <c r="M526" s="40"/>
      <c r="N526" s="40"/>
      <c r="O526" s="40"/>
      <c r="P526" s="40"/>
      <c r="Q526" s="40"/>
      <c r="R526" s="40"/>
      <c r="S526" s="40"/>
      <c r="T526" s="40"/>
      <c r="U526" s="40"/>
      <c r="V526" s="40"/>
      <c r="W526" s="40"/>
      <c r="X526" s="40"/>
      <c r="Y526" s="40"/>
      <c r="Z526" s="40"/>
    </row>
    <row r="527">
      <c r="A527" s="72"/>
      <c r="B527" s="72"/>
      <c r="C527" s="23"/>
      <c r="D527" s="23"/>
      <c r="E527" s="40"/>
      <c r="F527" s="40"/>
      <c r="G527" s="40"/>
      <c r="H527" s="40"/>
      <c r="I527" s="40"/>
      <c r="J527" s="40"/>
      <c r="K527" s="40"/>
      <c r="L527" s="40"/>
      <c r="M527" s="40"/>
      <c r="N527" s="40"/>
      <c r="O527" s="40"/>
      <c r="P527" s="40"/>
      <c r="Q527" s="40"/>
      <c r="R527" s="40"/>
      <c r="S527" s="40"/>
      <c r="T527" s="40"/>
      <c r="U527" s="40"/>
      <c r="V527" s="40"/>
      <c r="W527" s="40"/>
      <c r="X527" s="40"/>
      <c r="Y527" s="40"/>
      <c r="Z527" s="40"/>
    </row>
    <row r="528">
      <c r="A528" s="72"/>
      <c r="B528" s="72"/>
      <c r="C528" s="23"/>
      <c r="D528" s="23"/>
      <c r="E528" s="40"/>
      <c r="F528" s="40"/>
      <c r="G528" s="40"/>
      <c r="H528" s="40"/>
      <c r="I528" s="40"/>
      <c r="J528" s="40"/>
      <c r="K528" s="40"/>
      <c r="L528" s="40"/>
      <c r="M528" s="40"/>
      <c r="N528" s="40"/>
      <c r="O528" s="40"/>
      <c r="P528" s="40"/>
      <c r="Q528" s="40"/>
      <c r="R528" s="40"/>
      <c r="S528" s="40"/>
      <c r="T528" s="40"/>
      <c r="U528" s="40"/>
      <c r="V528" s="40"/>
      <c r="W528" s="40"/>
      <c r="X528" s="40"/>
      <c r="Y528" s="40"/>
      <c r="Z528" s="40"/>
    </row>
    <row r="529">
      <c r="A529" s="72"/>
      <c r="B529" s="72"/>
      <c r="C529" s="23"/>
      <c r="D529" s="23"/>
      <c r="E529" s="40"/>
      <c r="F529" s="40"/>
      <c r="G529" s="40"/>
      <c r="H529" s="40"/>
      <c r="I529" s="40"/>
      <c r="J529" s="40"/>
      <c r="K529" s="40"/>
      <c r="L529" s="40"/>
      <c r="M529" s="40"/>
      <c r="N529" s="40"/>
      <c r="O529" s="40"/>
      <c r="P529" s="40"/>
      <c r="Q529" s="40"/>
      <c r="R529" s="40"/>
      <c r="S529" s="40"/>
      <c r="T529" s="40"/>
      <c r="U529" s="40"/>
      <c r="V529" s="40"/>
      <c r="W529" s="40"/>
      <c r="X529" s="40"/>
      <c r="Y529" s="40"/>
      <c r="Z529" s="40"/>
    </row>
    <row r="530">
      <c r="A530" s="72"/>
      <c r="B530" s="72"/>
      <c r="C530" s="23"/>
      <c r="D530" s="23"/>
      <c r="E530" s="40"/>
      <c r="F530" s="40"/>
      <c r="G530" s="40"/>
      <c r="H530" s="40"/>
      <c r="I530" s="40"/>
      <c r="J530" s="40"/>
      <c r="K530" s="40"/>
      <c r="L530" s="40"/>
      <c r="M530" s="40"/>
      <c r="N530" s="40"/>
      <c r="O530" s="40"/>
      <c r="P530" s="40"/>
      <c r="Q530" s="40"/>
      <c r="R530" s="40"/>
      <c r="S530" s="40"/>
      <c r="T530" s="40"/>
      <c r="U530" s="40"/>
      <c r="V530" s="40"/>
      <c r="W530" s="40"/>
      <c r="X530" s="40"/>
      <c r="Y530" s="40"/>
      <c r="Z530" s="40"/>
    </row>
    <row r="531">
      <c r="A531" s="72"/>
      <c r="B531" s="72"/>
      <c r="C531" s="23"/>
      <c r="D531" s="23"/>
      <c r="E531" s="40"/>
      <c r="F531" s="40"/>
      <c r="G531" s="40"/>
      <c r="H531" s="40"/>
      <c r="I531" s="40"/>
      <c r="J531" s="40"/>
      <c r="K531" s="40"/>
      <c r="L531" s="40"/>
      <c r="M531" s="40"/>
      <c r="N531" s="40"/>
      <c r="O531" s="40"/>
      <c r="P531" s="40"/>
      <c r="Q531" s="40"/>
      <c r="R531" s="40"/>
      <c r="S531" s="40"/>
      <c r="T531" s="40"/>
      <c r="U531" s="40"/>
      <c r="V531" s="40"/>
      <c r="W531" s="40"/>
      <c r="X531" s="40"/>
      <c r="Y531" s="40"/>
      <c r="Z531" s="40"/>
    </row>
    <row r="532">
      <c r="A532" s="72"/>
      <c r="B532" s="72"/>
      <c r="C532" s="23"/>
      <c r="D532" s="23"/>
      <c r="E532" s="40"/>
      <c r="F532" s="40"/>
      <c r="G532" s="40"/>
      <c r="H532" s="40"/>
      <c r="I532" s="40"/>
      <c r="J532" s="40"/>
      <c r="K532" s="40"/>
      <c r="L532" s="40"/>
      <c r="M532" s="40"/>
      <c r="N532" s="40"/>
      <c r="O532" s="40"/>
      <c r="P532" s="40"/>
      <c r="Q532" s="40"/>
      <c r="R532" s="40"/>
      <c r="S532" s="40"/>
      <c r="T532" s="40"/>
      <c r="U532" s="40"/>
      <c r="V532" s="40"/>
      <c r="W532" s="40"/>
      <c r="X532" s="40"/>
      <c r="Y532" s="40"/>
      <c r="Z532" s="40"/>
    </row>
    <row r="533">
      <c r="A533" s="72"/>
      <c r="B533" s="72"/>
      <c r="C533" s="23"/>
      <c r="D533" s="23"/>
      <c r="E533" s="40"/>
      <c r="F533" s="40"/>
      <c r="G533" s="40"/>
      <c r="H533" s="40"/>
      <c r="I533" s="40"/>
      <c r="J533" s="40"/>
      <c r="K533" s="40"/>
      <c r="L533" s="40"/>
      <c r="M533" s="40"/>
      <c r="N533" s="40"/>
      <c r="O533" s="40"/>
      <c r="P533" s="40"/>
      <c r="Q533" s="40"/>
      <c r="R533" s="40"/>
      <c r="S533" s="40"/>
      <c r="T533" s="40"/>
      <c r="U533" s="40"/>
      <c r="V533" s="40"/>
      <c r="W533" s="40"/>
      <c r="X533" s="40"/>
      <c r="Y533" s="40"/>
      <c r="Z533" s="40"/>
    </row>
    <row r="534">
      <c r="A534" s="72"/>
      <c r="B534" s="72"/>
      <c r="C534" s="23"/>
      <c r="D534" s="23"/>
      <c r="E534" s="40"/>
      <c r="F534" s="40"/>
      <c r="G534" s="40"/>
      <c r="H534" s="40"/>
      <c r="I534" s="40"/>
      <c r="J534" s="40"/>
      <c r="K534" s="40"/>
      <c r="L534" s="40"/>
      <c r="M534" s="40"/>
      <c r="N534" s="40"/>
      <c r="O534" s="40"/>
      <c r="P534" s="40"/>
      <c r="Q534" s="40"/>
      <c r="R534" s="40"/>
      <c r="S534" s="40"/>
      <c r="T534" s="40"/>
      <c r="U534" s="40"/>
      <c r="V534" s="40"/>
      <c r="W534" s="40"/>
      <c r="X534" s="40"/>
      <c r="Y534" s="40"/>
      <c r="Z534" s="40"/>
    </row>
    <row r="535">
      <c r="A535" s="72"/>
      <c r="B535" s="72"/>
      <c r="C535" s="23"/>
      <c r="D535" s="23"/>
      <c r="E535" s="40"/>
      <c r="F535" s="40"/>
      <c r="G535" s="40"/>
      <c r="H535" s="40"/>
      <c r="I535" s="40"/>
      <c r="J535" s="40"/>
      <c r="K535" s="40"/>
      <c r="L535" s="40"/>
      <c r="M535" s="40"/>
      <c r="N535" s="40"/>
      <c r="O535" s="40"/>
      <c r="P535" s="40"/>
      <c r="Q535" s="40"/>
      <c r="R535" s="40"/>
      <c r="S535" s="40"/>
      <c r="T535" s="40"/>
      <c r="U535" s="40"/>
      <c r="V535" s="40"/>
      <c r="W535" s="40"/>
      <c r="X535" s="40"/>
      <c r="Y535" s="40"/>
      <c r="Z535" s="40"/>
    </row>
    <row r="536">
      <c r="A536" s="72"/>
      <c r="B536" s="72"/>
      <c r="C536" s="23"/>
      <c r="D536" s="23"/>
      <c r="E536" s="40"/>
      <c r="F536" s="40"/>
      <c r="G536" s="40"/>
      <c r="H536" s="40"/>
      <c r="I536" s="40"/>
      <c r="J536" s="40"/>
      <c r="K536" s="40"/>
      <c r="L536" s="40"/>
      <c r="M536" s="40"/>
      <c r="N536" s="40"/>
      <c r="O536" s="40"/>
      <c r="P536" s="40"/>
      <c r="Q536" s="40"/>
      <c r="R536" s="40"/>
      <c r="S536" s="40"/>
      <c r="T536" s="40"/>
      <c r="U536" s="40"/>
      <c r="V536" s="40"/>
      <c r="W536" s="40"/>
      <c r="X536" s="40"/>
      <c r="Y536" s="40"/>
      <c r="Z536" s="40"/>
    </row>
    <row r="537">
      <c r="A537" s="72"/>
      <c r="B537" s="72"/>
      <c r="C537" s="23"/>
      <c r="D537" s="23"/>
      <c r="E537" s="40"/>
      <c r="F537" s="40"/>
      <c r="G537" s="40"/>
      <c r="H537" s="40"/>
      <c r="I537" s="40"/>
      <c r="J537" s="40"/>
      <c r="K537" s="40"/>
      <c r="L537" s="40"/>
      <c r="M537" s="40"/>
      <c r="N537" s="40"/>
      <c r="O537" s="40"/>
      <c r="P537" s="40"/>
      <c r="Q537" s="40"/>
      <c r="R537" s="40"/>
      <c r="S537" s="40"/>
      <c r="T537" s="40"/>
      <c r="U537" s="40"/>
      <c r="V537" s="40"/>
      <c r="W537" s="40"/>
      <c r="X537" s="40"/>
      <c r="Y537" s="40"/>
      <c r="Z537" s="40"/>
    </row>
    <row r="538">
      <c r="A538" s="72"/>
      <c r="B538" s="72"/>
      <c r="C538" s="23"/>
      <c r="D538" s="23"/>
      <c r="E538" s="40"/>
      <c r="F538" s="40"/>
      <c r="G538" s="40"/>
      <c r="H538" s="40"/>
      <c r="I538" s="40"/>
      <c r="J538" s="40"/>
      <c r="K538" s="40"/>
      <c r="L538" s="40"/>
      <c r="M538" s="40"/>
      <c r="N538" s="40"/>
      <c r="O538" s="40"/>
      <c r="P538" s="40"/>
      <c r="Q538" s="40"/>
      <c r="R538" s="40"/>
      <c r="S538" s="40"/>
      <c r="T538" s="40"/>
      <c r="U538" s="40"/>
      <c r="V538" s="40"/>
      <c r="W538" s="40"/>
      <c r="X538" s="40"/>
      <c r="Y538" s="40"/>
      <c r="Z538" s="40"/>
    </row>
    <row r="539">
      <c r="A539" s="72"/>
      <c r="B539" s="72"/>
      <c r="C539" s="23"/>
      <c r="D539" s="23"/>
      <c r="E539" s="40"/>
      <c r="F539" s="40"/>
      <c r="G539" s="40"/>
      <c r="H539" s="40"/>
      <c r="I539" s="40"/>
      <c r="J539" s="40"/>
      <c r="K539" s="40"/>
      <c r="L539" s="40"/>
      <c r="M539" s="40"/>
      <c r="N539" s="40"/>
      <c r="O539" s="40"/>
      <c r="P539" s="40"/>
      <c r="Q539" s="40"/>
      <c r="R539" s="40"/>
      <c r="S539" s="40"/>
      <c r="T539" s="40"/>
      <c r="U539" s="40"/>
      <c r="V539" s="40"/>
      <c r="W539" s="40"/>
      <c r="X539" s="40"/>
      <c r="Y539" s="40"/>
      <c r="Z539" s="40"/>
    </row>
    <row r="540">
      <c r="A540" s="72"/>
      <c r="B540" s="72"/>
      <c r="C540" s="23"/>
      <c r="D540" s="23"/>
      <c r="E540" s="40"/>
      <c r="F540" s="40"/>
      <c r="G540" s="40"/>
      <c r="H540" s="40"/>
      <c r="I540" s="40"/>
      <c r="J540" s="40"/>
      <c r="K540" s="40"/>
      <c r="L540" s="40"/>
      <c r="M540" s="40"/>
      <c r="N540" s="40"/>
      <c r="O540" s="40"/>
      <c r="P540" s="40"/>
      <c r="Q540" s="40"/>
      <c r="R540" s="40"/>
      <c r="S540" s="40"/>
      <c r="T540" s="40"/>
      <c r="U540" s="40"/>
      <c r="V540" s="40"/>
      <c r="W540" s="40"/>
      <c r="X540" s="40"/>
      <c r="Y540" s="40"/>
      <c r="Z540" s="40"/>
    </row>
    <row r="541">
      <c r="A541" s="72"/>
      <c r="B541" s="72"/>
      <c r="C541" s="23"/>
      <c r="D541" s="23"/>
      <c r="E541" s="40"/>
      <c r="F541" s="40"/>
      <c r="G541" s="40"/>
      <c r="H541" s="40"/>
      <c r="I541" s="40"/>
      <c r="J541" s="40"/>
      <c r="K541" s="40"/>
      <c r="L541" s="40"/>
      <c r="M541" s="40"/>
      <c r="N541" s="40"/>
      <c r="O541" s="40"/>
      <c r="P541" s="40"/>
      <c r="Q541" s="40"/>
      <c r="R541" s="40"/>
      <c r="S541" s="40"/>
      <c r="T541" s="40"/>
      <c r="U541" s="40"/>
      <c r="V541" s="40"/>
      <c r="W541" s="40"/>
      <c r="X541" s="40"/>
      <c r="Y541" s="40"/>
      <c r="Z541" s="40"/>
    </row>
    <row r="542">
      <c r="A542" s="72"/>
      <c r="B542" s="72"/>
      <c r="C542" s="23"/>
      <c r="D542" s="23"/>
      <c r="E542" s="40"/>
      <c r="F542" s="40"/>
      <c r="G542" s="40"/>
      <c r="H542" s="40"/>
      <c r="I542" s="40"/>
      <c r="J542" s="40"/>
      <c r="K542" s="40"/>
      <c r="L542" s="40"/>
      <c r="M542" s="40"/>
      <c r="N542" s="40"/>
      <c r="O542" s="40"/>
      <c r="P542" s="40"/>
      <c r="Q542" s="40"/>
      <c r="R542" s="40"/>
      <c r="S542" s="40"/>
      <c r="T542" s="40"/>
      <c r="U542" s="40"/>
      <c r="V542" s="40"/>
      <c r="W542" s="40"/>
      <c r="X542" s="40"/>
      <c r="Y542" s="40"/>
      <c r="Z542" s="40"/>
    </row>
    <row r="543">
      <c r="A543" s="72"/>
      <c r="B543" s="72"/>
      <c r="C543" s="23"/>
      <c r="D543" s="23"/>
      <c r="E543" s="40"/>
      <c r="F543" s="40"/>
      <c r="G543" s="40"/>
      <c r="H543" s="40"/>
      <c r="I543" s="40"/>
      <c r="J543" s="40"/>
      <c r="K543" s="40"/>
      <c r="L543" s="40"/>
      <c r="M543" s="40"/>
      <c r="N543" s="40"/>
      <c r="O543" s="40"/>
      <c r="P543" s="40"/>
      <c r="Q543" s="40"/>
      <c r="R543" s="40"/>
      <c r="S543" s="40"/>
      <c r="T543" s="40"/>
      <c r="U543" s="40"/>
      <c r="V543" s="40"/>
      <c r="W543" s="40"/>
      <c r="X543" s="40"/>
      <c r="Y543" s="40"/>
      <c r="Z543" s="40"/>
    </row>
    <row r="544">
      <c r="A544" s="72"/>
      <c r="B544" s="72"/>
      <c r="C544" s="23"/>
      <c r="D544" s="23"/>
      <c r="E544" s="40"/>
      <c r="F544" s="40"/>
      <c r="G544" s="40"/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  <c r="U544" s="40"/>
      <c r="V544" s="40"/>
      <c r="W544" s="40"/>
      <c r="X544" s="40"/>
      <c r="Y544" s="40"/>
      <c r="Z544" s="40"/>
    </row>
    <row r="545">
      <c r="A545" s="72"/>
      <c r="B545" s="72"/>
      <c r="C545" s="23"/>
      <c r="D545" s="23"/>
      <c r="E545" s="40"/>
      <c r="F545" s="40"/>
      <c r="G545" s="40"/>
      <c r="H545" s="40"/>
      <c r="I545" s="40"/>
      <c r="J545" s="40"/>
      <c r="K545" s="40"/>
      <c r="L545" s="40"/>
      <c r="M545" s="40"/>
      <c r="N545" s="40"/>
      <c r="O545" s="40"/>
      <c r="P545" s="40"/>
      <c r="Q545" s="40"/>
      <c r="R545" s="40"/>
      <c r="S545" s="40"/>
      <c r="T545" s="40"/>
      <c r="U545" s="40"/>
      <c r="V545" s="40"/>
      <c r="W545" s="40"/>
      <c r="X545" s="40"/>
      <c r="Y545" s="40"/>
      <c r="Z545" s="40"/>
    </row>
    <row r="546">
      <c r="A546" s="72"/>
      <c r="B546" s="72"/>
      <c r="C546" s="23"/>
      <c r="D546" s="23"/>
      <c r="E546" s="40"/>
      <c r="F546" s="40"/>
      <c r="G546" s="40"/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  <c r="U546" s="40"/>
      <c r="V546" s="40"/>
      <c r="W546" s="40"/>
      <c r="X546" s="40"/>
      <c r="Y546" s="40"/>
      <c r="Z546" s="40"/>
    </row>
    <row r="547">
      <c r="A547" s="72"/>
      <c r="B547" s="72"/>
      <c r="C547" s="23"/>
      <c r="D547" s="23"/>
      <c r="E547" s="40"/>
      <c r="F547" s="40"/>
      <c r="G547" s="40"/>
      <c r="H547" s="40"/>
      <c r="I547" s="40"/>
      <c r="J547" s="40"/>
      <c r="K547" s="40"/>
      <c r="L547" s="40"/>
      <c r="M547" s="40"/>
      <c r="N547" s="40"/>
      <c r="O547" s="40"/>
      <c r="P547" s="40"/>
      <c r="Q547" s="40"/>
      <c r="R547" s="40"/>
      <c r="S547" s="40"/>
      <c r="T547" s="40"/>
      <c r="U547" s="40"/>
      <c r="V547" s="40"/>
      <c r="W547" s="40"/>
      <c r="X547" s="40"/>
      <c r="Y547" s="40"/>
      <c r="Z547" s="40"/>
    </row>
    <row r="548">
      <c r="A548" s="72"/>
      <c r="B548" s="72"/>
      <c r="C548" s="23"/>
      <c r="D548" s="23"/>
      <c r="E548" s="40"/>
      <c r="F548" s="40"/>
      <c r="G548" s="40"/>
      <c r="H548" s="40"/>
      <c r="I548" s="40"/>
      <c r="J548" s="40"/>
      <c r="K548" s="40"/>
      <c r="L548" s="40"/>
      <c r="M548" s="40"/>
      <c r="N548" s="40"/>
      <c r="O548" s="40"/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0"/>
    </row>
    <row r="549">
      <c r="A549" s="72"/>
      <c r="B549" s="72"/>
      <c r="C549" s="23"/>
      <c r="D549" s="23"/>
      <c r="E549" s="40"/>
      <c r="F549" s="40"/>
      <c r="G549" s="40"/>
      <c r="H549" s="40"/>
      <c r="I549" s="40"/>
      <c r="J549" s="40"/>
      <c r="K549" s="40"/>
      <c r="L549" s="40"/>
      <c r="M549" s="40"/>
      <c r="N549" s="40"/>
      <c r="O549" s="40"/>
      <c r="P549" s="40"/>
      <c r="Q549" s="40"/>
      <c r="R549" s="40"/>
      <c r="S549" s="40"/>
      <c r="T549" s="40"/>
      <c r="U549" s="40"/>
      <c r="V549" s="40"/>
      <c r="W549" s="40"/>
      <c r="X549" s="40"/>
      <c r="Y549" s="40"/>
      <c r="Z549" s="40"/>
    </row>
    <row r="550">
      <c r="A550" s="72"/>
      <c r="B550" s="72"/>
      <c r="C550" s="23"/>
      <c r="D550" s="23"/>
      <c r="E550" s="40"/>
      <c r="F550" s="40"/>
      <c r="G550" s="40"/>
      <c r="H550" s="40"/>
      <c r="I550" s="40"/>
      <c r="J550" s="40"/>
      <c r="K550" s="40"/>
      <c r="L550" s="40"/>
      <c r="M550" s="40"/>
      <c r="N550" s="40"/>
      <c r="O550" s="40"/>
      <c r="P550" s="40"/>
      <c r="Q550" s="40"/>
      <c r="R550" s="40"/>
      <c r="S550" s="40"/>
      <c r="T550" s="40"/>
      <c r="U550" s="40"/>
      <c r="V550" s="40"/>
      <c r="W550" s="40"/>
      <c r="X550" s="40"/>
      <c r="Y550" s="40"/>
      <c r="Z550" s="40"/>
    </row>
    <row r="551">
      <c r="A551" s="72"/>
      <c r="B551" s="72"/>
      <c r="C551" s="23"/>
      <c r="D551" s="23"/>
      <c r="E551" s="40"/>
      <c r="F551" s="40"/>
      <c r="G551" s="40"/>
      <c r="H551" s="40"/>
      <c r="I551" s="40"/>
      <c r="J551" s="40"/>
      <c r="K551" s="40"/>
      <c r="L551" s="40"/>
      <c r="M551" s="40"/>
      <c r="N551" s="40"/>
      <c r="O551" s="40"/>
      <c r="P551" s="40"/>
      <c r="Q551" s="40"/>
      <c r="R551" s="40"/>
      <c r="S551" s="40"/>
      <c r="T551" s="40"/>
      <c r="U551" s="40"/>
      <c r="V551" s="40"/>
      <c r="W551" s="40"/>
      <c r="X551" s="40"/>
      <c r="Y551" s="40"/>
      <c r="Z551" s="40"/>
    </row>
    <row r="552">
      <c r="A552" s="72"/>
      <c r="B552" s="72"/>
      <c r="C552" s="23"/>
      <c r="D552" s="23"/>
      <c r="E552" s="40"/>
      <c r="F552" s="40"/>
      <c r="G552" s="40"/>
      <c r="H552" s="40"/>
      <c r="I552" s="40"/>
      <c r="J552" s="40"/>
      <c r="K552" s="40"/>
      <c r="L552" s="40"/>
      <c r="M552" s="40"/>
      <c r="N552" s="40"/>
      <c r="O552" s="40"/>
      <c r="P552" s="40"/>
      <c r="Q552" s="40"/>
      <c r="R552" s="40"/>
      <c r="S552" s="40"/>
      <c r="T552" s="40"/>
      <c r="U552" s="40"/>
      <c r="V552" s="40"/>
      <c r="W552" s="40"/>
      <c r="X552" s="40"/>
      <c r="Y552" s="40"/>
      <c r="Z552" s="40"/>
    </row>
    <row r="553">
      <c r="A553" s="72"/>
      <c r="B553" s="72"/>
      <c r="C553" s="23"/>
      <c r="D553" s="23"/>
      <c r="E553" s="40"/>
      <c r="F553" s="40"/>
      <c r="G553" s="40"/>
      <c r="H553" s="40"/>
      <c r="I553" s="40"/>
      <c r="J553" s="40"/>
      <c r="K553" s="40"/>
      <c r="L553" s="40"/>
      <c r="M553" s="40"/>
      <c r="N553" s="40"/>
      <c r="O553" s="40"/>
      <c r="P553" s="40"/>
      <c r="Q553" s="40"/>
      <c r="R553" s="40"/>
      <c r="S553" s="40"/>
      <c r="T553" s="40"/>
      <c r="U553" s="40"/>
      <c r="V553" s="40"/>
      <c r="W553" s="40"/>
      <c r="X553" s="40"/>
      <c r="Y553" s="40"/>
      <c r="Z553" s="40"/>
    </row>
    <row r="554">
      <c r="A554" s="72"/>
      <c r="B554" s="72"/>
      <c r="C554" s="23"/>
      <c r="D554" s="23"/>
      <c r="E554" s="40"/>
      <c r="F554" s="40"/>
      <c r="G554" s="40"/>
      <c r="H554" s="40"/>
      <c r="I554" s="40"/>
      <c r="J554" s="40"/>
      <c r="K554" s="40"/>
      <c r="L554" s="40"/>
      <c r="M554" s="40"/>
      <c r="N554" s="40"/>
      <c r="O554" s="40"/>
      <c r="P554" s="40"/>
      <c r="Q554" s="40"/>
      <c r="R554" s="40"/>
      <c r="S554" s="40"/>
      <c r="T554" s="40"/>
      <c r="U554" s="40"/>
      <c r="V554" s="40"/>
      <c r="W554" s="40"/>
      <c r="X554" s="40"/>
      <c r="Y554" s="40"/>
      <c r="Z554" s="40"/>
    </row>
    <row r="555">
      <c r="A555" s="72"/>
      <c r="B555" s="72"/>
      <c r="C555" s="23"/>
      <c r="D555" s="23"/>
      <c r="E555" s="40"/>
      <c r="F555" s="40"/>
      <c r="G555" s="40"/>
      <c r="H555" s="40"/>
      <c r="I555" s="40"/>
      <c r="J555" s="40"/>
      <c r="K555" s="40"/>
      <c r="L555" s="40"/>
      <c r="M555" s="40"/>
      <c r="N555" s="40"/>
      <c r="O555" s="40"/>
      <c r="P555" s="40"/>
      <c r="Q555" s="40"/>
      <c r="R555" s="40"/>
      <c r="S555" s="40"/>
      <c r="T555" s="40"/>
      <c r="U555" s="40"/>
      <c r="V555" s="40"/>
      <c r="W555" s="40"/>
      <c r="X555" s="40"/>
      <c r="Y555" s="40"/>
      <c r="Z555" s="40"/>
    </row>
    <row r="556">
      <c r="A556" s="72"/>
      <c r="B556" s="72"/>
      <c r="C556" s="23"/>
      <c r="D556" s="23"/>
      <c r="E556" s="40"/>
      <c r="F556" s="40"/>
      <c r="G556" s="40"/>
      <c r="H556" s="40"/>
      <c r="I556" s="40"/>
      <c r="J556" s="40"/>
      <c r="K556" s="40"/>
      <c r="L556" s="40"/>
      <c r="M556" s="40"/>
      <c r="N556" s="40"/>
      <c r="O556" s="40"/>
      <c r="P556" s="40"/>
      <c r="Q556" s="40"/>
      <c r="R556" s="40"/>
      <c r="S556" s="40"/>
      <c r="T556" s="40"/>
      <c r="U556" s="40"/>
      <c r="V556" s="40"/>
      <c r="W556" s="40"/>
      <c r="X556" s="40"/>
      <c r="Y556" s="40"/>
      <c r="Z556" s="40"/>
    </row>
    <row r="557">
      <c r="A557" s="72"/>
      <c r="B557" s="72"/>
      <c r="C557" s="23"/>
      <c r="D557" s="23"/>
      <c r="E557" s="40"/>
      <c r="F557" s="40"/>
      <c r="G557" s="40"/>
      <c r="H557" s="40"/>
      <c r="I557" s="40"/>
      <c r="J557" s="40"/>
      <c r="K557" s="40"/>
      <c r="L557" s="40"/>
      <c r="M557" s="40"/>
      <c r="N557" s="40"/>
      <c r="O557" s="40"/>
      <c r="P557" s="40"/>
      <c r="Q557" s="40"/>
      <c r="R557" s="40"/>
      <c r="S557" s="40"/>
      <c r="T557" s="40"/>
      <c r="U557" s="40"/>
      <c r="V557" s="40"/>
      <c r="W557" s="40"/>
      <c r="X557" s="40"/>
      <c r="Y557" s="40"/>
      <c r="Z557" s="40"/>
    </row>
    <row r="558">
      <c r="A558" s="72"/>
      <c r="B558" s="72"/>
      <c r="C558" s="23"/>
      <c r="D558" s="23"/>
      <c r="E558" s="40"/>
      <c r="F558" s="40"/>
      <c r="G558" s="40"/>
      <c r="H558" s="40"/>
      <c r="I558" s="40"/>
      <c r="J558" s="40"/>
      <c r="K558" s="40"/>
      <c r="L558" s="40"/>
      <c r="M558" s="40"/>
      <c r="N558" s="40"/>
      <c r="O558" s="40"/>
      <c r="P558" s="40"/>
      <c r="Q558" s="40"/>
      <c r="R558" s="40"/>
      <c r="S558" s="40"/>
      <c r="T558" s="40"/>
      <c r="U558" s="40"/>
      <c r="V558" s="40"/>
      <c r="W558" s="40"/>
      <c r="X558" s="40"/>
      <c r="Y558" s="40"/>
      <c r="Z558" s="40"/>
    </row>
    <row r="559">
      <c r="A559" s="72"/>
      <c r="B559" s="72"/>
      <c r="C559" s="23"/>
      <c r="D559" s="23"/>
      <c r="E559" s="40"/>
      <c r="F559" s="40"/>
      <c r="G559" s="40"/>
      <c r="H559" s="40"/>
      <c r="I559" s="40"/>
      <c r="J559" s="40"/>
      <c r="K559" s="40"/>
      <c r="L559" s="40"/>
      <c r="M559" s="40"/>
      <c r="N559" s="40"/>
      <c r="O559" s="40"/>
      <c r="P559" s="40"/>
      <c r="Q559" s="40"/>
      <c r="R559" s="40"/>
      <c r="S559" s="40"/>
      <c r="T559" s="40"/>
      <c r="U559" s="40"/>
      <c r="V559" s="40"/>
      <c r="W559" s="40"/>
      <c r="X559" s="40"/>
      <c r="Y559" s="40"/>
      <c r="Z559" s="40"/>
    </row>
    <row r="560">
      <c r="A560" s="72"/>
      <c r="B560" s="72"/>
      <c r="C560" s="23"/>
      <c r="D560" s="23"/>
      <c r="E560" s="40"/>
      <c r="F560" s="40"/>
      <c r="G560" s="40"/>
      <c r="H560" s="40"/>
      <c r="I560" s="40"/>
      <c r="J560" s="40"/>
      <c r="K560" s="40"/>
      <c r="L560" s="40"/>
      <c r="M560" s="40"/>
      <c r="N560" s="40"/>
      <c r="O560" s="40"/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0"/>
    </row>
    <row r="561">
      <c r="A561" s="72"/>
      <c r="B561" s="72"/>
      <c r="C561" s="23"/>
      <c r="D561" s="23"/>
      <c r="E561" s="40"/>
      <c r="F561" s="40"/>
      <c r="G561" s="40"/>
      <c r="H561" s="40"/>
      <c r="I561" s="40"/>
      <c r="J561" s="40"/>
      <c r="K561" s="40"/>
      <c r="L561" s="40"/>
      <c r="M561" s="40"/>
      <c r="N561" s="40"/>
      <c r="O561" s="40"/>
      <c r="P561" s="40"/>
      <c r="Q561" s="40"/>
      <c r="R561" s="40"/>
      <c r="S561" s="40"/>
      <c r="T561" s="40"/>
      <c r="U561" s="40"/>
      <c r="V561" s="40"/>
      <c r="W561" s="40"/>
      <c r="X561" s="40"/>
      <c r="Y561" s="40"/>
      <c r="Z561" s="40"/>
    </row>
    <row r="562">
      <c r="A562" s="72"/>
      <c r="B562" s="72"/>
      <c r="C562" s="23"/>
      <c r="D562" s="23"/>
      <c r="E562" s="40"/>
      <c r="F562" s="40"/>
      <c r="G562" s="40"/>
      <c r="H562" s="40"/>
      <c r="I562" s="40"/>
      <c r="J562" s="40"/>
      <c r="K562" s="40"/>
      <c r="L562" s="40"/>
      <c r="M562" s="40"/>
      <c r="N562" s="40"/>
      <c r="O562" s="40"/>
      <c r="P562" s="40"/>
      <c r="Q562" s="40"/>
      <c r="R562" s="40"/>
      <c r="S562" s="40"/>
      <c r="T562" s="40"/>
      <c r="U562" s="40"/>
      <c r="V562" s="40"/>
      <c r="W562" s="40"/>
      <c r="X562" s="40"/>
      <c r="Y562" s="40"/>
      <c r="Z562" s="40"/>
    </row>
    <row r="563">
      <c r="A563" s="72"/>
      <c r="B563" s="72"/>
      <c r="C563" s="23"/>
      <c r="D563" s="23"/>
      <c r="E563" s="40"/>
      <c r="F563" s="40"/>
      <c r="G563" s="40"/>
      <c r="H563" s="40"/>
      <c r="I563" s="40"/>
      <c r="J563" s="40"/>
      <c r="K563" s="40"/>
      <c r="L563" s="40"/>
      <c r="M563" s="40"/>
      <c r="N563" s="40"/>
      <c r="O563" s="40"/>
      <c r="P563" s="40"/>
      <c r="Q563" s="40"/>
      <c r="R563" s="40"/>
      <c r="S563" s="40"/>
      <c r="T563" s="40"/>
      <c r="U563" s="40"/>
      <c r="V563" s="40"/>
      <c r="W563" s="40"/>
      <c r="X563" s="40"/>
      <c r="Y563" s="40"/>
      <c r="Z563" s="40"/>
    </row>
    <row r="564">
      <c r="A564" s="72"/>
      <c r="B564" s="72"/>
      <c r="C564" s="23"/>
      <c r="D564" s="23"/>
      <c r="E564" s="40"/>
      <c r="F564" s="40"/>
      <c r="G564" s="40"/>
      <c r="H564" s="40"/>
      <c r="I564" s="40"/>
      <c r="J564" s="40"/>
      <c r="K564" s="40"/>
      <c r="L564" s="40"/>
      <c r="M564" s="40"/>
      <c r="N564" s="40"/>
      <c r="O564" s="40"/>
      <c r="P564" s="40"/>
      <c r="Q564" s="40"/>
      <c r="R564" s="40"/>
      <c r="S564" s="40"/>
      <c r="T564" s="40"/>
      <c r="U564" s="40"/>
      <c r="V564" s="40"/>
      <c r="W564" s="40"/>
      <c r="X564" s="40"/>
      <c r="Y564" s="40"/>
      <c r="Z564" s="40"/>
    </row>
    <row r="565">
      <c r="A565" s="72"/>
      <c r="B565" s="72"/>
      <c r="C565" s="23"/>
      <c r="D565" s="23"/>
      <c r="E565" s="40"/>
      <c r="F565" s="40"/>
      <c r="G565" s="40"/>
      <c r="H565" s="40"/>
      <c r="I565" s="40"/>
      <c r="J565" s="40"/>
      <c r="K565" s="40"/>
      <c r="L565" s="40"/>
      <c r="M565" s="40"/>
      <c r="N565" s="40"/>
      <c r="O565" s="40"/>
      <c r="P565" s="40"/>
      <c r="Q565" s="40"/>
      <c r="R565" s="40"/>
      <c r="S565" s="40"/>
      <c r="T565" s="40"/>
      <c r="U565" s="40"/>
      <c r="V565" s="40"/>
      <c r="W565" s="40"/>
      <c r="X565" s="40"/>
      <c r="Y565" s="40"/>
      <c r="Z565" s="40"/>
    </row>
    <row r="566">
      <c r="A566" s="72"/>
      <c r="B566" s="72"/>
      <c r="C566" s="23"/>
      <c r="D566" s="23"/>
      <c r="E566" s="40"/>
      <c r="F566" s="40"/>
      <c r="G566" s="40"/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  <c r="U566" s="40"/>
      <c r="V566" s="40"/>
      <c r="W566" s="40"/>
      <c r="X566" s="40"/>
      <c r="Y566" s="40"/>
      <c r="Z566" s="40"/>
    </row>
    <row r="567">
      <c r="A567" s="72"/>
      <c r="B567" s="72"/>
      <c r="C567" s="23"/>
      <c r="D567" s="23"/>
      <c r="E567" s="40"/>
      <c r="F567" s="40"/>
      <c r="G567" s="40"/>
      <c r="H567" s="40"/>
      <c r="I567" s="40"/>
      <c r="J567" s="40"/>
      <c r="K567" s="40"/>
      <c r="L567" s="40"/>
      <c r="M567" s="40"/>
      <c r="N567" s="40"/>
      <c r="O567" s="40"/>
      <c r="P567" s="40"/>
      <c r="Q567" s="40"/>
      <c r="R567" s="40"/>
      <c r="S567" s="40"/>
      <c r="T567" s="40"/>
      <c r="U567" s="40"/>
      <c r="V567" s="40"/>
      <c r="W567" s="40"/>
      <c r="X567" s="40"/>
      <c r="Y567" s="40"/>
      <c r="Z567" s="40"/>
    </row>
    <row r="568">
      <c r="A568" s="72"/>
      <c r="B568" s="72"/>
      <c r="C568" s="23"/>
      <c r="D568" s="23"/>
      <c r="E568" s="40"/>
      <c r="F568" s="40"/>
      <c r="G568" s="40"/>
      <c r="H568" s="40"/>
      <c r="I568" s="40"/>
      <c r="J568" s="40"/>
      <c r="K568" s="40"/>
      <c r="L568" s="40"/>
      <c r="M568" s="40"/>
      <c r="N568" s="40"/>
      <c r="O568" s="40"/>
      <c r="P568" s="40"/>
      <c r="Q568" s="40"/>
      <c r="R568" s="40"/>
      <c r="S568" s="40"/>
      <c r="T568" s="40"/>
      <c r="U568" s="40"/>
      <c r="V568" s="40"/>
      <c r="W568" s="40"/>
      <c r="X568" s="40"/>
      <c r="Y568" s="40"/>
      <c r="Z568" s="40"/>
    </row>
    <row r="569">
      <c r="A569" s="72"/>
      <c r="B569" s="72"/>
      <c r="C569" s="23"/>
      <c r="D569" s="23"/>
      <c r="E569" s="40"/>
      <c r="F569" s="40"/>
      <c r="G569" s="40"/>
      <c r="H569" s="40"/>
      <c r="I569" s="40"/>
      <c r="J569" s="40"/>
      <c r="K569" s="40"/>
      <c r="L569" s="40"/>
      <c r="M569" s="40"/>
      <c r="N569" s="40"/>
      <c r="O569" s="40"/>
      <c r="P569" s="40"/>
      <c r="Q569" s="40"/>
      <c r="R569" s="40"/>
      <c r="S569" s="40"/>
      <c r="T569" s="40"/>
      <c r="U569" s="40"/>
      <c r="V569" s="40"/>
      <c r="W569" s="40"/>
      <c r="X569" s="40"/>
      <c r="Y569" s="40"/>
      <c r="Z569" s="40"/>
    </row>
    <row r="570">
      <c r="A570" s="72"/>
      <c r="B570" s="72"/>
      <c r="C570" s="23"/>
      <c r="D570" s="23"/>
      <c r="E570" s="40"/>
      <c r="F570" s="40"/>
      <c r="G570" s="40"/>
      <c r="H570" s="40"/>
      <c r="I570" s="40"/>
      <c r="J570" s="40"/>
      <c r="K570" s="40"/>
      <c r="L570" s="40"/>
      <c r="M570" s="40"/>
      <c r="N570" s="40"/>
      <c r="O570" s="40"/>
      <c r="P570" s="40"/>
      <c r="Q570" s="40"/>
      <c r="R570" s="40"/>
      <c r="S570" s="40"/>
      <c r="T570" s="40"/>
      <c r="U570" s="40"/>
      <c r="V570" s="40"/>
      <c r="W570" s="40"/>
      <c r="X570" s="40"/>
      <c r="Y570" s="40"/>
      <c r="Z570" s="40"/>
    </row>
    <row r="571">
      <c r="A571" s="72"/>
      <c r="B571" s="72"/>
      <c r="C571" s="23"/>
      <c r="D571" s="23"/>
      <c r="E571" s="40"/>
      <c r="F571" s="40"/>
      <c r="G571" s="40"/>
      <c r="H571" s="40"/>
      <c r="I571" s="40"/>
      <c r="J571" s="40"/>
      <c r="K571" s="40"/>
      <c r="L571" s="40"/>
      <c r="M571" s="40"/>
      <c r="N571" s="40"/>
      <c r="O571" s="40"/>
      <c r="P571" s="40"/>
      <c r="Q571" s="40"/>
      <c r="R571" s="40"/>
      <c r="S571" s="40"/>
      <c r="T571" s="40"/>
      <c r="U571" s="40"/>
      <c r="V571" s="40"/>
      <c r="W571" s="40"/>
      <c r="X571" s="40"/>
      <c r="Y571" s="40"/>
      <c r="Z571" s="40"/>
    </row>
    <row r="572">
      <c r="A572" s="72"/>
      <c r="B572" s="72"/>
      <c r="C572" s="23"/>
      <c r="D572" s="23"/>
      <c r="E572" s="40"/>
      <c r="F572" s="40"/>
      <c r="G572" s="40"/>
      <c r="H572" s="40"/>
      <c r="I572" s="40"/>
      <c r="J572" s="40"/>
      <c r="K572" s="40"/>
      <c r="L572" s="40"/>
      <c r="M572" s="40"/>
      <c r="N572" s="40"/>
      <c r="O572" s="40"/>
      <c r="P572" s="40"/>
      <c r="Q572" s="40"/>
      <c r="R572" s="40"/>
      <c r="S572" s="40"/>
      <c r="T572" s="40"/>
      <c r="U572" s="40"/>
      <c r="V572" s="40"/>
      <c r="W572" s="40"/>
      <c r="X572" s="40"/>
      <c r="Y572" s="40"/>
      <c r="Z572" s="40"/>
    </row>
    <row r="573">
      <c r="A573" s="72"/>
      <c r="B573" s="72"/>
      <c r="C573" s="23"/>
      <c r="D573" s="23"/>
      <c r="E573" s="40"/>
      <c r="F573" s="40"/>
      <c r="G573" s="40"/>
      <c r="H573" s="40"/>
      <c r="I573" s="40"/>
      <c r="J573" s="40"/>
      <c r="K573" s="40"/>
      <c r="L573" s="40"/>
      <c r="M573" s="40"/>
      <c r="N573" s="40"/>
      <c r="O573" s="40"/>
      <c r="P573" s="40"/>
      <c r="Q573" s="40"/>
      <c r="R573" s="40"/>
      <c r="S573" s="40"/>
      <c r="T573" s="40"/>
      <c r="U573" s="40"/>
      <c r="V573" s="40"/>
      <c r="W573" s="40"/>
      <c r="X573" s="40"/>
      <c r="Y573" s="40"/>
      <c r="Z573" s="40"/>
    </row>
    <row r="574">
      <c r="A574" s="72"/>
      <c r="B574" s="72"/>
      <c r="C574" s="23"/>
      <c r="D574" s="23"/>
      <c r="E574" s="40"/>
      <c r="F574" s="40"/>
      <c r="G574" s="40"/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  <c r="U574" s="40"/>
      <c r="V574" s="40"/>
      <c r="W574" s="40"/>
      <c r="X574" s="40"/>
      <c r="Y574" s="40"/>
      <c r="Z574" s="40"/>
    </row>
    <row r="575">
      <c r="A575" s="72"/>
      <c r="B575" s="72"/>
      <c r="C575" s="23"/>
      <c r="D575" s="23"/>
      <c r="E575" s="40"/>
      <c r="F575" s="40"/>
      <c r="G575" s="40"/>
      <c r="H575" s="40"/>
      <c r="I575" s="40"/>
      <c r="J575" s="40"/>
      <c r="K575" s="40"/>
      <c r="L575" s="40"/>
      <c r="M575" s="40"/>
      <c r="N575" s="40"/>
      <c r="O575" s="40"/>
      <c r="P575" s="40"/>
      <c r="Q575" s="40"/>
      <c r="R575" s="40"/>
      <c r="S575" s="40"/>
      <c r="T575" s="40"/>
      <c r="U575" s="40"/>
      <c r="V575" s="40"/>
      <c r="W575" s="40"/>
      <c r="X575" s="40"/>
      <c r="Y575" s="40"/>
      <c r="Z575" s="40"/>
    </row>
    <row r="576">
      <c r="A576" s="72"/>
      <c r="B576" s="72"/>
      <c r="C576" s="23"/>
      <c r="D576" s="23"/>
      <c r="E576" s="40"/>
      <c r="F576" s="40"/>
      <c r="G576" s="40"/>
      <c r="H576" s="40"/>
      <c r="I576" s="40"/>
      <c r="J576" s="40"/>
      <c r="K576" s="40"/>
      <c r="L576" s="40"/>
      <c r="M576" s="40"/>
      <c r="N576" s="40"/>
      <c r="O576" s="40"/>
      <c r="P576" s="40"/>
      <c r="Q576" s="40"/>
      <c r="R576" s="40"/>
      <c r="S576" s="40"/>
      <c r="T576" s="40"/>
      <c r="U576" s="40"/>
      <c r="V576" s="40"/>
      <c r="W576" s="40"/>
      <c r="X576" s="40"/>
      <c r="Y576" s="40"/>
      <c r="Z576" s="40"/>
    </row>
    <row r="577">
      <c r="A577" s="72"/>
      <c r="B577" s="72"/>
      <c r="C577" s="23"/>
      <c r="D577" s="23"/>
      <c r="E577" s="40"/>
      <c r="F577" s="40"/>
      <c r="G577" s="40"/>
      <c r="H577" s="40"/>
      <c r="I577" s="40"/>
      <c r="J577" s="40"/>
      <c r="K577" s="40"/>
      <c r="L577" s="40"/>
      <c r="M577" s="40"/>
      <c r="N577" s="40"/>
      <c r="O577" s="40"/>
      <c r="P577" s="40"/>
      <c r="Q577" s="40"/>
      <c r="R577" s="40"/>
      <c r="S577" s="40"/>
      <c r="T577" s="40"/>
      <c r="U577" s="40"/>
      <c r="V577" s="40"/>
      <c r="W577" s="40"/>
      <c r="X577" s="40"/>
      <c r="Y577" s="40"/>
      <c r="Z577" s="40"/>
    </row>
    <row r="578">
      <c r="A578" s="72"/>
      <c r="B578" s="72"/>
      <c r="C578" s="23"/>
      <c r="D578" s="23"/>
      <c r="E578" s="40"/>
      <c r="F578" s="40"/>
      <c r="G578" s="40"/>
      <c r="H578" s="40"/>
      <c r="I578" s="40"/>
      <c r="J578" s="40"/>
      <c r="K578" s="40"/>
      <c r="L578" s="40"/>
      <c r="M578" s="40"/>
      <c r="N578" s="40"/>
      <c r="O578" s="40"/>
      <c r="P578" s="40"/>
      <c r="Q578" s="40"/>
      <c r="R578" s="40"/>
      <c r="S578" s="40"/>
      <c r="T578" s="40"/>
      <c r="U578" s="40"/>
      <c r="V578" s="40"/>
      <c r="W578" s="40"/>
      <c r="X578" s="40"/>
      <c r="Y578" s="40"/>
      <c r="Z578" s="40"/>
    </row>
    <row r="579">
      <c r="A579" s="72"/>
      <c r="B579" s="72"/>
      <c r="C579" s="23"/>
      <c r="D579" s="23"/>
      <c r="E579" s="40"/>
      <c r="F579" s="40"/>
      <c r="G579" s="40"/>
      <c r="H579" s="40"/>
      <c r="I579" s="40"/>
      <c r="J579" s="40"/>
      <c r="K579" s="40"/>
      <c r="L579" s="40"/>
      <c r="M579" s="40"/>
      <c r="N579" s="40"/>
      <c r="O579" s="40"/>
      <c r="P579" s="40"/>
      <c r="Q579" s="40"/>
      <c r="R579" s="40"/>
      <c r="S579" s="40"/>
      <c r="T579" s="40"/>
      <c r="U579" s="40"/>
      <c r="V579" s="40"/>
      <c r="W579" s="40"/>
      <c r="X579" s="40"/>
      <c r="Y579" s="40"/>
      <c r="Z579" s="40"/>
    </row>
    <row r="580">
      <c r="A580" s="72"/>
      <c r="B580" s="72"/>
      <c r="C580" s="23"/>
      <c r="D580" s="23"/>
      <c r="E580" s="40"/>
      <c r="F580" s="40"/>
      <c r="G580" s="40"/>
      <c r="H580" s="40"/>
      <c r="I580" s="40"/>
      <c r="J580" s="40"/>
      <c r="K580" s="40"/>
      <c r="L580" s="40"/>
      <c r="M580" s="40"/>
      <c r="N580" s="40"/>
      <c r="O580" s="40"/>
      <c r="P580" s="40"/>
      <c r="Q580" s="40"/>
      <c r="R580" s="40"/>
      <c r="S580" s="40"/>
      <c r="T580" s="40"/>
      <c r="U580" s="40"/>
      <c r="V580" s="40"/>
      <c r="W580" s="40"/>
      <c r="X580" s="40"/>
      <c r="Y580" s="40"/>
      <c r="Z580" s="40"/>
    </row>
    <row r="581">
      <c r="A581" s="72"/>
      <c r="B581" s="72"/>
      <c r="C581" s="23"/>
      <c r="D581" s="23"/>
      <c r="E581" s="40"/>
      <c r="F581" s="40"/>
      <c r="G581" s="40"/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  <c r="U581" s="40"/>
      <c r="V581" s="40"/>
      <c r="W581" s="40"/>
      <c r="X581" s="40"/>
      <c r="Y581" s="40"/>
      <c r="Z581" s="40"/>
    </row>
    <row r="582">
      <c r="A582" s="72"/>
      <c r="B582" s="72"/>
      <c r="C582" s="23"/>
      <c r="D582" s="23"/>
      <c r="E582" s="40"/>
      <c r="F582" s="40"/>
      <c r="G582" s="40"/>
      <c r="H582" s="40"/>
      <c r="I582" s="40"/>
      <c r="J582" s="40"/>
      <c r="K582" s="40"/>
      <c r="L582" s="40"/>
      <c r="M582" s="40"/>
      <c r="N582" s="40"/>
      <c r="O582" s="40"/>
      <c r="P582" s="40"/>
      <c r="Q582" s="40"/>
      <c r="R582" s="40"/>
      <c r="S582" s="40"/>
      <c r="T582" s="40"/>
      <c r="U582" s="40"/>
      <c r="V582" s="40"/>
      <c r="W582" s="40"/>
      <c r="X582" s="40"/>
      <c r="Y582" s="40"/>
      <c r="Z582" s="40"/>
    </row>
    <row r="583">
      <c r="A583" s="72"/>
      <c r="B583" s="72"/>
      <c r="C583" s="23"/>
      <c r="D583" s="23"/>
      <c r="E583" s="40"/>
      <c r="F583" s="40"/>
      <c r="G583" s="40"/>
      <c r="H583" s="40"/>
      <c r="I583" s="40"/>
      <c r="J583" s="40"/>
      <c r="K583" s="40"/>
      <c r="L583" s="40"/>
      <c r="M583" s="40"/>
      <c r="N583" s="40"/>
      <c r="O583" s="40"/>
      <c r="P583" s="40"/>
      <c r="Q583" s="40"/>
      <c r="R583" s="40"/>
      <c r="S583" s="40"/>
      <c r="T583" s="40"/>
      <c r="U583" s="40"/>
      <c r="V583" s="40"/>
      <c r="W583" s="40"/>
      <c r="X583" s="40"/>
      <c r="Y583" s="40"/>
      <c r="Z583" s="40"/>
    </row>
    <row r="584">
      <c r="A584" s="72"/>
      <c r="B584" s="72"/>
      <c r="C584" s="23"/>
      <c r="D584" s="23"/>
      <c r="E584" s="40"/>
      <c r="F584" s="40"/>
      <c r="G584" s="40"/>
      <c r="H584" s="40"/>
      <c r="I584" s="40"/>
      <c r="J584" s="40"/>
      <c r="K584" s="40"/>
      <c r="L584" s="40"/>
      <c r="M584" s="40"/>
      <c r="N584" s="40"/>
      <c r="O584" s="40"/>
      <c r="P584" s="40"/>
      <c r="Q584" s="40"/>
      <c r="R584" s="40"/>
      <c r="S584" s="40"/>
      <c r="T584" s="40"/>
      <c r="U584" s="40"/>
      <c r="V584" s="40"/>
      <c r="W584" s="40"/>
      <c r="X584" s="40"/>
      <c r="Y584" s="40"/>
      <c r="Z584" s="40"/>
    </row>
    <row r="585">
      <c r="A585" s="72"/>
      <c r="B585" s="72"/>
      <c r="C585" s="23"/>
      <c r="D585" s="23"/>
      <c r="E585" s="40"/>
      <c r="F585" s="40"/>
      <c r="G585" s="40"/>
      <c r="H585" s="40"/>
      <c r="I585" s="40"/>
      <c r="J585" s="40"/>
      <c r="K585" s="40"/>
      <c r="L585" s="40"/>
      <c r="M585" s="40"/>
      <c r="N585" s="40"/>
      <c r="O585" s="40"/>
      <c r="P585" s="40"/>
      <c r="Q585" s="40"/>
      <c r="R585" s="40"/>
      <c r="S585" s="40"/>
      <c r="T585" s="40"/>
      <c r="U585" s="40"/>
      <c r="V585" s="40"/>
      <c r="W585" s="40"/>
      <c r="X585" s="40"/>
      <c r="Y585" s="40"/>
      <c r="Z585" s="40"/>
    </row>
    <row r="586">
      <c r="A586" s="72"/>
      <c r="B586" s="72"/>
      <c r="C586" s="23"/>
      <c r="D586" s="23"/>
      <c r="E586" s="40"/>
      <c r="F586" s="40"/>
      <c r="G586" s="40"/>
      <c r="H586" s="40"/>
      <c r="I586" s="40"/>
      <c r="J586" s="40"/>
      <c r="K586" s="40"/>
      <c r="L586" s="40"/>
      <c r="M586" s="40"/>
      <c r="N586" s="40"/>
      <c r="O586" s="40"/>
      <c r="P586" s="40"/>
      <c r="Q586" s="40"/>
      <c r="R586" s="40"/>
      <c r="S586" s="40"/>
      <c r="T586" s="40"/>
      <c r="U586" s="40"/>
      <c r="V586" s="40"/>
      <c r="W586" s="40"/>
      <c r="X586" s="40"/>
      <c r="Y586" s="40"/>
      <c r="Z586" s="40"/>
    </row>
    <row r="587">
      <c r="A587" s="72"/>
      <c r="B587" s="72"/>
      <c r="C587" s="23"/>
      <c r="D587" s="23"/>
      <c r="E587" s="40"/>
      <c r="F587" s="40"/>
      <c r="G587" s="40"/>
      <c r="H587" s="40"/>
      <c r="I587" s="40"/>
      <c r="J587" s="40"/>
      <c r="K587" s="40"/>
      <c r="L587" s="40"/>
      <c r="M587" s="40"/>
      <c r="N587" s="40"/>
      <c r="O587" s="40"/>
      <c r="P587" s="40"/>
      <c r="Q587" s="40"/>
      <c r="R587" s="40"/>
      <c r="S587" s="40"/>
      <c r="T587" s="40"/>
      <c r="U587" s="40"/>
      <c r="V587" s="40"/>
      <c r="W587" s="40"/>
      <c r="X587" s="40"/>
      <c r="Y587" s="40"/>
      <c r="Z587" s="40"/>
    </row>
    <row r="588">
      <c r="A588" s="72"/>
      <c r="B588" s="72"/>
      <c r="C588" s="23"/>
      <c r="D588" s="23"/>
      <c r="E588" s="40"/>
      <c r="F588" s="40"/>
      <c r="G588" s="40"/>
      <c r="H588" s="40"/>
      <c r="I588" s="40"/>
      <c r="J588" s="40"/>
      <c r="K588" s="40"/>
      <c r="L588" s="40"/>
      <c r="M588" s="40"/>
      <c r="N588" s="40"/>
      <c r="O588" s="40"/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0"/>
    </row>
    <row r="589">
      <c r="A589" s="72"/>
      <c r="B589" s="72"/>
      <c r="C589" s="23"/>
      <c r="D589" s="23"/>
      <c r="E589" s="40"/>
      <c r="F589" s="40"/>
      <c r="G589" s="40"/>
      <c r="H589" s="40"/>
      <c r="I589" s="40"/>
      <c r="J589" s="40"/>
      <c r="K589" s="40"/>
      <c r="L589" s="40"/>
      <c r="M589" s="40"/>
      <c r="N589" s="40"/>
      <c r="O589" s="40"/>
      <c r="P589" s="40"/>
      <c r="Q589" s="40"/>
      <c r="R589" s="40"/>
      <c r="S589" s="40"/>
      <c r="T589" s="40"/>
      <c r="U589" s="40"/>
      <c r="V589" s="40"/>
      <c r="W589" s="40"/>
      <c r="X589" s="40"/>
      <c r="Y589" s="40"/>
      <c r="Z589" s="40"/>
    </row>
    <row r="590">
      <c r="A590" s="72"/>
      <c r="B590" s="72"/>
      <c r="C590" s="23"/>
      <c r="D590" s="23"/>
      <c r="E590" s="40"/>
      <c r="F590" s="40"/>
      <c r="G590" s="40"/>
      <c r="H590" s="40"/>
      <c r="I590" s="40"/>
      <c r="J590" s="40"/>
      <c r="K590" s="40"/>
      <c r="L590" s="40"/>
      <c r="M590" s="40"/>
      <c r="N590" s="40"/>
      <c r="O590" s="40"/>
      <c r="P590" s="40"/>
      <c r="Q590" s="40"/>
      <c r="R590" s="40"/>
      <c r="S590" s="40"/>
      <c r="T590" s="40"/>
      <c r="U590" s="40"/>
      <c r="V590" s="40"/>
      <c r="W590" s="40"/>
      <c r="X590" s="40"/>
      <c r="Y590" s="40"/>
      <c r="Z590" s="40"/>
    </row>
    <row r="591">
      <c r="A591" s="72"/>
      <c r="B591" s="72"/>
      <c r="C591" s="23"/>
      <c r="D591" s="23"/>
      <c r="E591" s="40"/>
      <c r="F591" s="40"/>
      <c r="G591" s="40"/>
      <c r="H591" s="40"/>
      <c r="I591" s="40"/>
      <c r="J591" s="40"/>
      <c r="K591" s="40"/>
      <c r="L591" s="40"/>
      <c r="M591" s="40"/>
      <c r="N591" s="40"/>
      <c r="O591" s="40"/>
      <c r="P591" s="40"/>
      <c r="Q591" s="40"/>
      <c r="R591" s="40"/>
      <c r="S591" s="40"/>
      <c r="T591" s="40"/>
      <c r="U591" s="40"/>
      <c r="V591" s="40"/>
      <c r="W591" s="40"/>
      <c r="X591" s="40"/>
      <c r="Y591" s="40"/>
      <c r="Z591" s="40"/>
    </row>
    <row r="592">
      <c r="A592" s="72"/>
      <c r="B592" s="72"/>
      <c r="C592" s="23"/>
      <c r="D592" s="23"/>
      <c r="E592" s="40"/>
      <c r="F592" s="40"/>
      <c r="G592" s="40"/>
      <c r="H592" s="40"/>
      <c r="I592" s="40"/>
      <c r="J592" s="40"/>
      <c r="K592" s="40"/>
      <c r="L592" s="40"/>
      <c r="M592" s="40"/>
      <c r="N592" s="40"/>
      <c r="O592" s="40"/>
      <c r="P592" s="40"/>
      <c r="Q592" s="40"/>
      <c r="R592" s="40"/>
      <c r="S592" s="40"/>
      <c r="T592" s="40"/>
      <c r="U592" s="40"/>
      <c r="V592" s="40"/>
      <c r="W592" s="40"/>
      <c r="X592" s="40"/>
      <c r="Y592" s="40"/>
      <c r="Z592" s="40"/>
    </row>
    <row r="593">
      <c r="A593" s="72"/>
      <c r="B593" s="72"/>
      <c r="C593" s="23"/>
      <c r="D593" s="23"/>
      <c r="E593" s="40"/>
      <c r="F593" s="40"/>
      <c r="G593" s="40"/>
      <c r="H593" s="40"/>
      <c r="I593" s="40"/>
      <c r="J593" s="40"/>
      <c r="K593" s="40"/>
      <c r="L593" s="40"/>
      <c r="M593" s="40"/>
      <c r="N593" s="40"/>
      <c r="O593" s="40"/>
      <c r="P593" s="40"/>
      <c r="Q593" s="40"/>
      <c r="R593" s="40"/>
      <c r="S593" s="40"/>
      <c r="T593" s="40"/>
      <c r="U593" s="40"/>
      <c r="V593" s="40"/>
      <c r="W593" s="40"/>
      <c r="X593" s="40"/>
      <c r="Y593" s="40"/>
      <c r="Z593" s="40"/>
    </row>
    <row r="594">
      <c r="A594" s="72"/>
      <c r="B594" s="72"/>
      <c r="C594" s="23"/>
      <c r="D594" s="23"/>
      <c r="E594" s="40"/>
      <c r="F594" s="40"/>
      <c r="G594" s="40"/>
      <c r="H594" s="40"/>
      <c r="I594" s="40"/>
      <c r="J594" s="40"/>
      <c r="K594" s="40"/>
      <c r="L594" s="40"/>
      <c r="M594" s="40"/>
      <c r="N594" s="40"/>
      <c r="O594" s="40"/>
      <c r="P594" s="40"/>
      <c r="Q594" s="40"/>
      <c r="R594" s="40"/>
      <c r="S594" s="40"/>
      <c r="T594" s="40"/>
      <c r="U594" s="40"/>
      <c r="V594" s="40"/>
      <c r="W594" s="40"/>
      <c r="X594" s="40"/>
      <c r="Y594" s="40"/>
      <c r="Z594" s="40"/>
    </row>
    <row r="595">
      <c r="A595" s="72"/>
      <c r="B595" s="72"/>
      <c r="C595" s="23"/>
      <c r="D595" s="23"/>
      <c r="E595" s="40"/>
      <c r="F595" s="40"/>
      <c r="G595" s="40"/>
      <c r="H595" s="40"/>
      <c r="I595" s="40"/>
      <c r="J595" s="40"/>
      <c r="K595" s="40"/>
      <c r="L595" s="40"/>
      <c r="M595" s="40"/>
      <c r="N595" s="40"/>
      <c r="O595" s="40"/>
      <c r="P595" s="40"/>
      <c r="Q595" s="40"/>
      <c r="R595" s="40"/>
      <c r="S595" s="40"/>
      <c r="T595" s="40"/>
      <c r="U595" s="40"/>
      <c r="V595" s="40"/>
      <c r="W595" s="40"/>
      <c r="X595" s="40"/>
      <c r="Y595" s="40"/>
      <c r="Z595" s="40"/>
    </row>
    <row r="596">
      <c r="A596" s="72"/>
      <c r="B596" s="72"/>
      <c r="C596" s="23"/>
      <c r="D596" s="23"/>
      <c r="E596" s="40"/>
      <c r="F596" s="40"/>
      <c r="G596" s="40"/>
      <c r="H596" s="40"/>
      <c r="I596" s="40"/>
      <c r="J596" s="40"/>
      <c r="K596" s="40"/>
      <c r="L596" s="40"/>
      <c r="M596" s="40"/>
      <c r="N596" s="40"/>
      <c r="O596" s="40"/>
      <c r="P596" s="40"/>
      <c r="Q596" s="40"/>
      <c r="R596" s="40"/>
      <c r="S596" s="40"/>
      <c r="T596" s="40"/>
      <c r="U596" s="40"/>
      <c r="V596" s="40"/>
      <c r="W596" s="40"/>
      <c r="X596" s="40"/>
      <c r="Y596" s="40"/>
      <c r="Z596" s="40"/>
    </row>
    <row r="597">
      <c r="A597" s="72"/>
      <c r="B597" s="72"/>
      <c r="C597" s="23"/>
      <c r="D597" s="23"/>
      <c r="E597" s="40"/>
      <c r="F597" s="40"/>
      <c r="G597" s="40"/>
      <c r="H597" s="40"/>
      <c r="I597" s="40"/>
      <c r="J597" s="40"/>
      <c r="K597" s="40"/>
      <c r="L597" s="40"/>
      <c r="M597" s="40"/>
      <c r="N597" s="40"/>
      <c r="O597" s="40"/>
      <c r="P597" s="40"/>
      <c r="Q597" s="40"/>
      <c r="R597" s="40"/>
      <c r="S597" s="40"/>
      <c r="T597" s="40"/>
      <c r="U597" s="40"/>
      <c r="V597" s="40"/>
      <c r="W597" s="40"/>
      <c r="X597" s="40"/>
      <c r="Y597" s="40"/>
      <c r="Z597" s="40"/>
    </row>
    <row r="598">
      <c r="A598" s="72"/>
      <c r="B598" s="72"/>
      <c r="C598" s="23"/>
      <c r="D598" s="23"/>
      <c r="E598" s="40"/>
      <c r="F598" s="40"/>
      <c r="G598" s="40"/>
      <c r="H598" s="40"/>
      <c r="I598" s="40"/>
      <c r="J598" s="40"/>
      <c r="K598" s="40"/>
      <c r="L598" s="40"/>
      <c r="M598" s="40"/>
      <c r="N598" s="40"/>
      <c r="O598" s="40"/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0"/>
    </row>
    <row r="599">
      <c r="A599" s="72"/>
      <c r="B599" s="72"/>
      <c r="C599" s="23"/>
      <c r="D599" s="23"/>
      <c r="E599" s="40"/>
      <c r="F599" s="40"/>
      <c r="G599" s="40"/>
      <c r="H599" s="40"/>
      <c r="I599" s="40"/>
      <c r="J599" s="40"/>
      <c r="K599" s="40"/>
      <c r="L599" s="40"/>
      <c r="M599" s="40"/>
      <c r="N599" s="40"/>
      <c r="O599" s="40"/>
      <c r="P599" s="40"/>
      <c r="Q599" s="40"/>
      <c r="R599" s="40"/>
      <c r="S599" s="40"/>
      <c r="T599" s="40"/>
      <c r="U599" s="40"/>
      <c r="V599" s="40"/>
      <c r="W599" s="40"/>
      <c r="X599" s="40"/>
      <c r="Y599" s="40"/>
      <c r="Z599" s="40"/>
    </row>
    <row r="600">
      <c r="A600" s="72"/>
      <c r="B600" s="72"/>
      <c r="C600" s="23"/>
      <c r="D600" s="23"/>
      <c r="E600" s="40"/>
      <c r="F600" s="40"/>
      <c r="G600" s="40"/>
      <c r="H600" s="40"/>
      <c r="I600" s="40"/>
      <c r="J600" s="40"/>
      <c r="K600" s="40"/>
      <c r="L600" s="40"/>
      <c r="M600" s="40"/>
      <c r="N600" s="40"/>
      <c r="O600" s="40"/>
      <c r="P600" s="40"/>
      <c r="Q600" s="40"/>
      <c r="R600" s="40"/>
      <c r="S600" s="40"/>
      <c r="T600" s="40"/>
      <c r="U600" s="40"/>
      <c r="V600" s="40"/>
      <c r="W600" s="40"/>
      <c r="X600" s="40"/>
      <c r="Y600" s="40"/>
      <c r="Z600" s="40"/>
    </row>
    <row r="601">
      <c r="A601" s="72"/>
      <c r="B601" s="72"/>
      <c r="C601" s="23"/>
      <c r="D601" s="23"/>
      <c r="E601" s="40"/>
      <c r="F601" s="40"/>
      <c r="G601" s="40"/>
      <c r="H601" s="40"/>
      <c r="I601" s="40"/>
      <c r="J601" s="40"/>
      <c r="K601" s="40"/>
      <c r="L601" s="40"/>
      <c r="M601" s="40"/>
      <c r="N601" s="40"/>
      <c r="O601" s="40"/>
      <c r="P601" s="40"/>
      <c r="Q601" s="40"/>
      <c r="R601" s="40"/>
      <c r="S601" s="40"/>
      <c r="T601" s="40"/>
      <c r="U601" s="40"/>
      <c r="V601" s="40"/>
      <c r="W601" s="40"/>
      <c r="X601" s="40"/>
      <c r="Y601" s="40"/>
      <c r="Z601" s="40"/>
    </row>
    <row r="602">
      <c r="A602" s="72"/>
      <c r="B602" s="72"/>
      <c r="C602" s="23"/>
      <c r="D602" s="23"/>
      <c r="E602" s="40"/>
      <c r="F602" s="40"/>
      <c r="G602" s="40"/>
      <c r="H602" s="40"/>
      <c r="I602" s="40"/>
      <c r="J602" s="40"/>
      <c r="K602" s="40"/>
      <c r="L602" s="40"/>
      <c r="M602" s="40"/>
      <c r="N602" s="40"/>
      <c r="O602" s="40"/>
      <c r="P602" s="40"/>
      <c r="Q602" s="40"/>
      <c r="R602" s="40"/>
      <c r="S602" s="40"/>
      <c r="T602" s="40"/>
      <c r="U602" s="40"/>
      <c r="V602" s="40"/>
      <c r="W602" s="40"/>
      <c r="X602" s="40"/>
      <c r="Y602" s="40"/>
      <c r="Z602" s="40"/>
    </row>
    <row r="603">
      <c r="A603" s="72"/>
      <c r="B603" s="72"/>
      <c r="C603" s="23"/>
      <c r="D603" s="23"/>
      <c r="E603" s="40"/>
      <c r="F603" s="40"/>
      <c r="G603" s="40"/>
      <c r="H603" s="40"/>
      <c r="I603" s="40"/>
      <c r="J603" s="40"/>
      <c r="K603" s="40"/>
      <c r="L603" s="40"/>
      <c r="M603" s="40"/>
      <c r="N603" s="40"/>
      <c r="O603" s="40"/>
      <c r="P603" s="40"/>
      <c r="Q603" s="40"/>
      <c r="R603" s="40"/>
      <c r="S603" s="40"/>
      <c r="T603" s="40"/>
      <c r="U603" s="40"/>
      <c r="V603" s="40"/>
      <c r="W603" s="40"/>
      <c r="X603" s="40"/>
      <c r="Y603" s="40"/>
      <c r="Z603" s="40"/>
    </row>
    <row r="604">
      <c r="A604" s="72"/>
      <c r="B604" s="72"/>
      <c r="C604" s="23"/>
      <c r="D604" s="23"/>
      <c r="E604" s="40"/>
      <c r="F604" s="40"/>
      <c r="G604" s="40"/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  <c r="U604" s="40"/>
      <c r="V604" s="40"/>
      <c r="W604" s="40"/>
      <c r="X604" s="40"/>
      <c r="Y604" s="40"/>
      <c r="Z604" s="40"/>
    </row>
    <row r="605">
      <c r="A605" s="72"/>
      <c r="B605" s="72"/>
      <c r="C605" s="23"/>
      <c r="D605" s="23"/>
      <c r="E605" s="40"/>
      <c r="F605" s="40"/>
      <c r="G605" s="40"/>
      <c r="H605" s="40"/>
      <c r="I605" s="40"/>
      <c r="J605" s="40"/>
      <c r="K605" s="40"/>
      <c r="L605" s="40"/>
      <c r="M605" s="40"/>
      <c r="N605" s="40"/>
      <c r="O605" s="40"/>
      <c r="P605" s="40"/>
      <c r="Q605" s="40"/>
      <c r="R605" s="40"/>
      <c r="S605" s="40"/>
      <c r="T605" s="40"/>
      <c r="U605" s="40"/>
      <c r="V605" s="40"/>
      <c r="W605" s="40"/>
      <c r="X605" s="40"/>
      <c r="Y605" s="40"/>
      <c r="Z605" s="40"/>
    </row>
    <row r="606">
      <c r="A606" s="72"/>
      <c r="B606" s="72"/>
      <c r="C606" s="23"/>
      <c r="D606" s="23"/>
      <c r="E606" s="40"/>
      <c r="F606" s="40"/>
      <c r="G606" s="40"/>
      <c r="H606" s="40"/>
      <c r="I606" s="40"/>
      <c r="J606" s="40"/>
      <c r="K606" s="40"/>
      <c r="L606" s="40"/>
      <c r="M606" s="40"/>
      <c r="N606" s="40"/>
      <c r="O606" s="40"/>
      <c r="P606" s="40"/>
      <c r="Q606" s="40"/>
      <c r="R606" s="40"/>
      <c r="S606" s="40"/>
      <c r="T606" s="40"/>
      <c r="U606" s="40"/>
      <c r="V606" s="40"/>
      <c r="W606" s="40"/>
      <c r="X606" s="40"/>
      <c r="Y606" s="40"/>
      <c r="Z606" s="40"/>
    </row>
    <row r="607">
      <c r="A607" s="72"/>
      <c r="B607" s="72"/>
      <c r="C607" s="23"/>
      <c r="D607" s="23"/>
      <c r="E607" s="40"/>
      <c r="F607" s="40"/>
      <c r="G607" s="40"/>
      <c r="H607" s="40"/>
      <c r="I607" s="40"/>
      <c r="J607" s="40"/>
      <c r="K607" s="40"/>
      <c r="L607" s="40"/>
      <c r="M607" s="40"/>
      <c r="N607" s="40"/>
      <c r="O607" s="40"/>
      <c r="P607" s="40"/>
      <c r="Q607" s="40"/>
      <c r="R607" s="40"/>
      <c r="S607" s="40"/>
      <c r="T607" s="40"/>
      <c r="U607" s="40"/>
      <c r="V607" s="40"/>
      <c r="W607" s="40"/>
      <c r="X607" s="40"/>
      <c r="Y607" s="40"/>
      <c r="Z607" s="40"/>
    </row>
    <row r="608">
      <c r="A608" s="72"/>
      <c r="B608" s="72"/>
      <c r="C608" s="23"/>
      <c r="D608" s="23"/>
      <c r="E608" s="40"/>
      <c r="F608" s="40"/>
      <c r="G608" s="40"/>
      <c r="H608" s="40"/>
      <c r="I608" s="40"/>
      <c r="J608" s="40"/>
      <c r="K608" s="40"/>
      <c r="L608" s="40"/>
      <c r="M608" s="40"/>
      <c r="N608" s="40"/>
      <c r="O608" s="40"/>
      <c r="P608" s="40"/>
      <c r="Q608" s="40"/>
      <c r="R608" s="40"/>
      <c r="S608" s="40"/>
      <c r="T608" s="40"/>
      <c r="U608" s="40"/>
      <c r="V608" s="40"/>
      <c r="W608" s="40"/>
      <c r="X608" s="40"/>
      <c r="Y608" s="40"/>
      <c r="Z608" s="40"/>
    </row>
    <row r="609">
      <c r="A609" s="72"/>
      <c r="B609" s="72"/>
      <c r="C609" s="23"/>
      <c r="D609" s="23"/>
      <c r="E609" s="40"/>
      <c r="F609" s="40"/>
      <c r="G609" s="40"/>
      <c r="H609" s="40"/>
      <c r="I609" s="40"/>
      <c r="J609" s="40"/>
      <c r="K609" s="40"/>
      <c r="L609" s="40"/>
      <c r="M609" s="40"/>
      <c r="N609" s="40"/>
      <c r="O609" s="40"/>
      <c r="P609" s="40"/>
      <c r="Q609" s="40"/>
      <c r="R609" s="40"/>
      <c r="S609" s="40"/>
      <c r="T609" s="40"/>
      <c r="U609" s="40"/>
      <c r="V609" s="40"/>
      <c r="W609" s="40"/>
      <c r="X609" s="40"/>
      <c r="Y609" s="40"/>
      <c r="Z609" s="40"/>
    </row>
    <row r="610">
      <c r="A610" s="72"/>
      <c r="B610" s="72"/>
      <c r="C610" s="23"/>
      <c r="D610" s="23"/>
      <c r="E610" s="40"/>
      <c r="F610" s="40"/>
      <c r="G610" s="40"/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  <c r="U610" s="40"/>
      <c r="V610" s="40"/>
      <c r="W610" s="40"/>
      <c r="X610" s="40"/>
      <c r="Y610" s="40"/>
      <c r="Z610" s="40"/>
    </row>
    <row r="611">
      <c r="A611" s="72"/>
      <c r="B611" s="72"/>
      <c r="C611" s="23"/>
      <c r="D611" s="23"/>
      <c r="E611" s="40"/>
      <c r="F611" s="40"/>
      <c r="G611" s="40"/>
      <c r="H611" s="40"/>
      <c r="I611" s="40"/>
      <c r="J611" s="40"/>
      <c r="K611" s="40"/>
      <c r="L611" s="40"/>
      <c r="M611" s="40"/>
      <c r="N611" s="40"/>
      <c r="O611" s="40"/>
      <c r="P611" s="40"/>
      <c r="Q611" s="40"/>
      <c r="R611" s="40"/>
      <c r="S611" s="40"/>
      <c r="T611" s="40"/>
      <c r="U611" s="40"/>
      <c r="V611" s="40"/>
      <c r="W611" s="40"/>
      <c r="X611" s="40"/>
      <c r="Y611" s="40"/>
      <c r="Z611" s="40"/>
    </row>
    <row r="612">
      <c r="A612" s="72"/>
      <c r="B612" s="72"/>
      <c r="C612" s="23"/>
      <c r="D612" s="23"/>
      <c r="E612" s="40"/>
      <c r="F612" s="40"/>
      <c r="G612" s="40"/>
      <c r="H612" s="40"/>
      <c r="I612" s="40"/>
      <c r="J612" s="40"/>
      <c r="K612" s="40"/>
      <c r="L612" s="40"/>
      <c r="M612" s="40"/>
      <c r="N612" s="40"/>
      <c r="O612" s="40"/>
      <c r="P612" s="40"/>
      <c r="Q612" s="40"/>
      <c r="R612" s="40"/>
      <c r="S612" s="40"/>
      <c r="T612" s="40"/>
      <c r="U612" s="40"/>
      <c r="V612" s="40"/>
      <c r="W612" s="40"/>
      <c r="X612" s="40"/>
      <c r="Y612" s="40"/>
      <c r="Z612" s="40"/>
    </row>
    <row r="613">
      <c r="A613" s="72"/>
      <c r="B613" s="72"/>
      <c r="C613" s="23"/>
      <c r="D613" s="23"/>
      <c r="E613" s="40"/>
      <c r="F613" s="40"/>
      <c r="G613" s="40"/>
      <c r="H613" s="40"/>
      <c r="I613" s="40"/>
      <c r="J613" s="40"/>
      <c r="K613" s="40"/>
      <c r="L613" s="40"/>
      <c r="M613" s="40"/>
      <c r="N613" s="40"/>
      <c r="O613" s="40"/>
      <c r="P613" s="40"/>
      <c r="Q613" s="40"/>
      <c r="R613" s="40"/>
      <c r="S613" s="40"/>
      <c r="T613" s="40"/>
      <c r="U613" s="40"/>
      <c r="V613" s="40"/>
      <c r="W613" s="40"/>
      <c r="X613" s="40"/>
      <c r="Y613" s="40"/>
      <c r="Z613" s="40"/>
    </row>
    <row r="614">
      <c r="A614" s="72"/>
      <c r="B614" s="72"/>
      <c r="C614" s="23"/>
      <c r="D614" s="23"/>
      <c r="E614" s="40"/>
      <c r="F614" s="40"/>
      <c r="G614" s="40"/>
      <c r="H614" s="40"/>
      <c r="I614" s="40"/>
      <c r="J614" s="40"/>
      <c r="K614" s="40"/>
      <c r="L614" s="40"/>
      <c r="M614" s="40"/>
      <c r="N614" s="40"/>
      <c r="O614" s="40"/>
      <c r="P614" s="40"/>
      <c r="Q614" s="40"/>
      <c r="R614" s="40"/>
      <c r="S614" s="40"/>
      <c r="T614" s="40"/>
      <c r="U614" s="40"/>
      <c r="V614" s="40"/>
      <c r="W614" s="40"/>
      <c r="X614" s="40"/>
      <c r="Y614" s="40"/>
      <c r="Z614" s="40"/>
    </row>
    <row r="615">
      <c r="A615" s="72"/>
      <c r="B615" s="72"/>
      <c r="C615" s="23"/>
      <c r="D615" s="23"/>
      <c r="E615" s="40"/>
      <c r="F615" s="40"/>
      <c r="G615" s="40"/>
      <c r="H615" s="40"/>
      <c r="I615" s="40"/>
      <c r="J615" s="40"/>
      <c r="K615" s="40"/>
      <c r="L615" s="40"/>
      <c r="M615" s="40"/>
      <c r="N615" s="40"/>
      <c r="O615" s="40"/>
      <c r="P615" s="40"/>
      <c r="Q615" s="40"/>
      <c r="R615" s="40"/>
      <c r="S615" s="40"/>
      <c r="T615" s="40"/>
      <c r="U615" s="40"/>
      <c r="V615" s="40"/>
      <c r="W615" s="40"/>
      <c r="X615" s="40"/>
      <c r="Y615" s="40"/>
      <c r="Z615" s="40"/>
    </row>
    <row r="616">
      <c r="A616" s="72"/>
      <c r="B616" s="72"/>
      <c r="C616" s="23"/>
      <c r="D616" s="23"/>
      <c r="E616" s="40"/>
      <c r="F616" s="40"/>
      <c r="G616" s="40"/>
      <c r="H616" s="40"/>
      <c r="I616" s="40"/>
      <c r="J616" s="40"/>
      <c r="K616" s="40"/>
      <c r="L616" s="40"/>
      <c r="M616" s="40"/>
      <c r="N616" s="40"/>
      <c r="O616" s="40"/>
      <c r="P616" s="40"/>
      <c r="Q616" s="40"/>
      <c r="R616" s="40"/>
      <c r="S616" s="40"/>
      <c r="T616" s="40"/>
      <c r="U616" s="40"/>
      <c r="V616" s="40"/>
      <c r="W616" s="40"/>
      <c r="X616" s="40"/>
      <c r="Y616" s="40"/>
      <c r="Z616" s="40"/>
    </row>
    <row r="617">
      <c r="A617" s="72"/>
      <c r="B617" s="72"/>
      <c r="C617" s="23"/>
      <c r="D617" s="23"/>
      <c r="E617" s="40"/>
      <c r="F617" s="40"/>
      <c r="G617" s="40"/>
      <c r="H617" s="40"/>
      <c r="I617" s="40"/>
      <c r="J617" s="40"/>
      <c r="K617" s="40"/>
      <c r="L617" s="40"/>
      <c r="M617" s="40"/>
      <c r="N617" s="40"/>
      <c r="O617" s="40"/>
      <c r="P617" s="40"/>
      <c r="Q617" s="40"/>
      <c r="R617" s="40"/>
      <c r="S617" s="40"/>
      <c r="T617" s="40"/>
      <c r="U617" s="40"/>
      <c r="V617" s="40"/>
      <c r="W617" s="40"/>
      <c r="X617" s="40"/>
      <c r="Y617" s="40"/>
      <c r="Z617" s="40"/>
    </row>
    <row r="618">
      <c r="A618" s="72"/>
      <c r="B618" s="72"/>
      <c r="C618" s="23"/>
      <c r="D618" s="23"/>
      <c r="E618" s="40"/>
      <c r="F618" s="40"/>
      <c r="G618" s="40"/>
      <c r="H618" s="40"/>
      <c r="I618" s="40"/>
      <c r="J618" s="40"/>
      <c r="K618" s="40"/>
      <c r="L618" s="40"/>
      <c r="M618" s="40"/>
      <c r="N618" s="40"/>
      <c r="O618" s="40"/>
      <c r="P618" s="40"/>
      <c r="Q618" s="40"/>
      <c r="R618" s="40"/>
      <c r="S618" s="40"/>
      <c r="T618" s="40"/>
      <c r="U618" s="40"/>
      <c r="V618" s="40"/>
      <c r="W618" s="40"/>
      <c r="X618" s="40"/>
      <c r="Y618" s="40"/>
      <c r="Z618" s="40"/>
    </row>
    <row r="619">
      <c r="A619" s="72"/>
      <c r="B619" s="72"/>
      <c r="C619" s="23"/>
      <c r="D619" s="23"/>
      <c r="E619" s="40"/>
      <c r="F619" s="40"/>
      <c r="G619" s="40"/>
      <c r="H619" s="40"/>
      <c r="I619" s="40"/>
      <c r="J619" s="40"/>
      <c r="K619" s="40"/>
      <c r="L619" s="40"/>
      <c r="M619" s="40"/>
      <c r="N619" s="40"/>
      <c r="O619" s="40"/>
      <c r="P619" s="40"/>
      <c r="Q619" s="40"/>
      <c r="R619" s="40"/>
      <c r="S619" s="40"/>
      <c r="T619" s="40"/>
      <c r="U619" s="40"/>
      <c r="V619" s="40"/>
      <c r="W619" s="40"/>
      <c r="X619" s="40"/>
      <c r="Y619" s="40"/>
      <c r="Z619" s="40"/>
    </row>
    <row r="620">
      <c r="A620" s="72"/>
      <c r="B620" s="72"/>
      <c r="C620" s="23"/>
      <c r="D620" s="23"/>
      <c r="E620" s="40"/>
      <c r="F620" s="40"/>
      <c r="G620" s="40"/>
      <c r="H620" s="40"/>
      <c r="I620" s="40"/>
      <c r="J620" s="40"/>
      <c r="K620" s="40"/>
      <c r="L620" s="40"/>
      <c r="M620" s="40"/>
      <c r="N620" s="40"/>
      <c r="O620" s="40"/>
      <c r="P620" s="40"/>
      <c r="Q620" s="40"/>
      <c r="R620" s="40"/>
      <c r="S620" s="40"/>
      <c r="T620" s="40"/>
      <c r="U620" s="40"/>
      <c r="V620" s="40"/>
      <c r="W620" s="40"/>
      <c r="X620" s="40"/>
      <c r="Y620" s="40"/>
      <c r="Z620" s="40"/>
    </row>
    <row r="621">
      <c r="A621" s="72"/>
      <c r="B621" s="72"/>
      <c r="C621" s="23"/>
      <c r="D621" s="23"/>
      <c r="E621" s="40"/>
      <c r="F621" s="40"/>
      <c r="G621" s="40"/>
      <c r="H621" s="40"/>
      <c r="I621" s="40"/>
      <c r="J621" s="40"/>
      <c r="K621" s="40"/>
      <c r="L621" s="40"/>
      <c r="M621" s="40"/>
      <c r="N621" s="40"/>
      <c r="O621" s="40"/>
      <c r="P621" s="40"/>
      <c r="Q621" s="40"/>
      <c r="R621" s="40"/>
      <c r="S621" s="40"/>
      <c r="T621" s="40"/>
      <c r="U621" s="40"/>
      <c r="V621" s="40"/>
      <c r="W621" s="40"/>
      <c r="X621" s="40"/>
      <c r="Y621" s="40"/>
      <c r="Z621" s="40"/>
    </row>
    <row r="622">
      <c r="A622" s="72"/>
      <c r="B622" s="72"/>
      <c r="C622" s="23"/>
      <c r="D622" s="23"/>
      <c r="E622" s="40"/>
      <c r="F622" s="40"/>
      <c r="G622" s="40"/>
      <c r="H622" s="40"/>
      <c r="I622" s="40"/>
      <c r="J622" s="40"/>
      <c r="K622" s="40"/>
      <c r="L622" s="40"/>
      <c r="M622" s="40"/>
      <c r="N622" s="40"/>
      <c r="O622" s="40"/>
      <c r="P622" s="40"/>
      <c r="Q622" s="40"/>
      <c r="R622" s="40"/>
      <c r="S622" s="40"/>
      <c r="T622" s="40"/>
      <c r="U622" s="40"/>
      <c r="V622" s="40"/>
      <c r="W622" s="40"/>
      <c r="X622" s="40"/>
      <c r="Y622" s="40"/>
      <c r="Z622" s="40"/>
    </row>
    <row r="623">
      <c r="A623" s="72"/>
      <c r="B623" s="72"/>
      <c r="C623" s="23"/>
      <c r="D623" s="23"/>
      <c r="E623" s="40"/>
      <c r="F623" s="40"/>
      <c r="G623" s="40"/>
      <c r="H623" s="40"/>
      <c r="I623" s="40"/>
      <c r="J623" s="40"/>
      <c r="K623" s="40"/>
      <c r="L623" s="40"/>
      <c r="M623" s="40"/>
      <c r="N623" s="40"/>
      <c r="O623" s="40"/>
      <c r="P623" s="40"/>
      <c r="Q623" s="40"/>
      <c r="R623" s="40"/>
      <c r="S623" s="40"/>
      <c r="T623" s="40"/>
      <c r="U623" s="40"/>
      <c r="V623" s="40"/>
      <c r="W623" s="40"/>
      <c r="X623" s="40"/>
      <c r="Y623" s="40"/>
      <c r="Z623" s="40"/>
    </row>
    <row r="624">
      <c r="A624" s="72"/>
      <c r="B624" s="72"/>
      <c r="C624" s="23"/>
      <c r="D624" s="23"/>
      <c r="E624" s="40"/>
      <c r="F624" s="40"/>
      <c r="G624" s="40"/>
      <c r="H624" s="40"/>
      <c r="I624" s="40"/>
      <c r="J624" s="40"/>
      <c r="K624" s="40"/>
      <c r="L624" s="40"/>
      <c r="M624" s="40"/>
      <c r="N624" s="40"/>
      <c r="O624" s="40"/>
      <c r="P624" s="40"/>
      <c r="Q624" s="40"/>
      <c r="R624" s="40"/>
      <c r="S624" s="40"/>
      <c r="T624" s="40"/>
      <c r="U624" s="40"/>
      <c r="V624" s="40"/>
      <c r="W624" s="40"/>
      <c r="X624" s="40"/>
      <c r="Y624" s="40"/>
      <c r="Z624" s="40"/>
    </row>
    <row r="625">
      <c r="A625" s="72"/>
      <c r="B625" s="72"/>
      <c r="C625" s="23"/>
      <c r="D625" s="23"/>
      <c r="E625" s="40"/>
      <c r="F625" s="40"/>
      <c r="G625" s="40"/>
      <c r="H625" s="40"/>
      <c r="I625" s="40"/>
      <c r="J625" s="40"/>
      <c r="K625" s="40"/>
      <c r="L625" s="40"/>
      <c r="M625" s="40"/>
      <c r="N625" s="40"/>
      <c r="O625" s="40"/>
      <c r="P625" s="40"/>
      <c r="Q625" s="40"/>
      <c r="R625" s="40"/>
      <c r="S625" s="40"/>
      <c r="T625" s="40"/>
      <c r="U625" s="40"/>
      <c r="V625" s="40"/>
      <c r="W625" s="40"/>
      <c r="X625" s="40"/>
      <c r="Y625" s="40"/>
      <c r="Z625" s="40"/>
    </row>
    <row r="626">
      <c r="A626" s="72"/>
      <c r="B626" s="72"/>
      <c r="C626" s="23"/>
      <c r="D626" s="23"/>
      <c r="E626" s="40"/>
      <c r="F626" s="40"/>
      <c r="G626" s="40"/>
      <c r="H626" s="40"/>
      <c r="I626" s="40"/>
      <c r="J626" s="40"/>
      <c r="K626" s="40"/>
      <c r="L626" s="40"/>
      <c r="M626" s="40"/>
      <c r="N626" s="40"/>
      <c r="O626" s="40"/>
      <c r="P626" s="40"/>
      <c r="Q626" s="40"/>
      <c r="R626" s="40"/>
      <c r="S626" s="40"/>
      <c r="T626" s="40"/>
      <c r="U626" s="40"/>
      <c r="V626" s="40"/>
      <c r="W626" s="40"/>
      <c r="X626" s="40"/>
      <c r="Y626" s="40"/>
      <c r="Z626" s="40"/>
    </row>
    <row r="627">
      <c r="A627" s="72"/>
      <c r="B627" s="72"/>
      <c r="C627" s="23"/>
      <c r="D627" s="23"/>
      <c r="E627" s="40"/>
      <c r="F627" s="40"/>
      <c r="G627" s="40"/>
      <c r="H627" s="40"/>
      <c r="I627" s="40"/>
      <c r="J627" s="40"/>
      <c r="K627" s="40"/>
      <c r="L627" s="40"/>
      <c r="M627" s="40"/>
      <c r="N627" s="40"/>
      <c r="O627" s="40"/>
      <c r="P627" s="40"/>
      <c r="Q627" s="40"/>
      <c r="R627" s="40"/>
      <c r="S627" s="40"/>
      <c r="T627" s="40"/>
      <c r="U627" s="40"/>
      <c r="V627" s="40"/>
      <c r="W627" s="40"/>
      <c r="X627" s="40"/>
      <c r="Y627" s="40"/>
      <c r="Z627" s="40"/>
    </row>
    <row r="628">
      <c r="A628" s="72"/>
      <c r="B628" s="72"/>
      <c r="C628" s="23"/>
      <c r="D628" s="23"/>
      <c r="E628" s="40"/>
      <c r="F628" s="40"/>
      <c r="G628" s="40"/>
      <c r="H628" s="40"/>
      <c r="I628" s="40"/>
      <c r="J628" s="40"/>
      <c r="K628" s="40"/>
      <c r="L628" s="40"/>
      <c r="M628" s="40"/>
      <c r="N628" s="40"/>
      <c r="O628" s="40"/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0"/>
    </row>
    <row r="629">
      <c r="A629" s="72"/>
      <c r="B629" s="72"/>
      <c r="C629" s="23"/>
      <c r="D629" s="23"/>
      <c r="E629" s="40"/>
      <c r="F629" s="40"/>
      <c r="G629" s="40"/>
      <c r="H629" s="40"/>
      <c r="I629" s="40"/>
      <c r="J629" s="40"/>
      <c r="K629" s="40"/>
      <c r="L629" s="40"/>
      <c r="M629" s="40"/>
      <c r="N629" s="40"/>
      <c r="O629" s="40"/>
      <c r="P629" s="40"/>
      <c r="Q629" s="40"/>
      <c r="R629" s="40"/>
      <c r="S629" s="40"/>
      <c r="T629" s="40"/>
      <c r="U629" s="40"/>
      <c r="V629" s="40"/>
      <c r="W629" s="40"/>
      <c r="X629" s="40"/>
      <c r="Y629" s="40"/>
      <c r="Z629" s="40"/>
    </row>
    <row r="630">
      <c r="A630" s="72"/>
      <c r="B630" s="72"/>
      <c r="C630" s="23"/>
      <c r="D630" s="23"/>
      <c r="E630" s="40"/>
      <c r="F630" s="40"/>
      <c r="G630" s="40"/>
      <c r="H630" s="40"/>
      <c r="I630" s="40"/>
      <c r="J630" s="40"/>
      <c r="K630" s="40"/>
      <c r="L630" s="40"/>
      <c r="M630" s="40"/>
      <c r="N630" s="40"/>
      <c r="O630" s="40"/>
      <c r="P630" s="40"/>
      <c r="Q630" s="40"/>
      <c r="R630" s="40"/>
      <c r="S630" s="40"/>
      <c r="T630" s="40"/>
      <c r="U630" s="40"/>
      <c r="V630" s="40"/>
      <c r="W630" s="40"/>
      <c r="X630" s="40"/>
      <c r="Y630" s="40"/>
      <c r="Z630" s="40"/>
    </row>
    <row r="631">
      <c r="A631" s="72"/>
      <c r="B631" s="72"/>
      <c r="C631" s="23"/>
      <c r="D631" s="23"/>
      <c r="E631" s="40"/>
      <c r="F631" s="40"/>
      <c r="G631" s="40"/>
      <c r="H631" s="40"/>
      <c r="I631" s="40"/>
      <c r="J631" s="40"/>
      <c r="K631" s="40"/>
      <c r="L631" s="40"/>
      <c r="M631" s="40"/>
      <c r="N631" s="40"/>
      <c r="O631" s="40"/>
      <c r="P631" s="40"/>
      <c r="Q631" s="40"/>
      <c r="R631" s="40"/>
      <c r="S631" s="40"/>
      <c r="T631" s="40"/>
      <c r="U631" s="40"/>
      <c r="V631" s="40"/>
      <c r="W631" s="40"/>
      <c r="X631" s="40"/>
      <c r="Y631" s="40"/>
      <c r="Z631" s="40"/>
    </row>
    <row r="632">
      <c r="A632" s="72"/>
      <c r="B632" s="72"/>
      <c r="C632" s="23"/>
      <c r="D632" s="23"/>
      <c r="E632" s="40"/>
      <c r="F632" s="40"/>
      <c r="G632" s="40"/>
      <c r="H632" s="40"/>
      <c r="I632" s="40"/>
      <c r="J632" s="40"/>
      <c r="K632" s="40"/>
      <c r="L632" s="40"/>
      <c r="M632" s="40"/>
      <c r="N632" s="40"/>
      <c r="O632" s="40"/>
      <c r="P632" s="40"/>
      <c r="Q632" s="40"/>
      <c r="R632" s="40"/>
      <c r="S632" s="40"/>
      <c r="T632" s="40"/>
      <c r="U632" s="40"/>
      <c r="V632" s="40"/>
      <c r="W632" s="40"/>
      <c r="X632" s="40"/>
      <c r="Y632" s="40"/>
      <c r="Z632" s="40"/>
    </row>
    <row r="633">
      <c r="A633" s="72"/>
      <c r="B633" s="72"/>
      <c r="C633" s="23"/>
      <c r="D633" s="23"/>
      <c r="E633" s="40"/>
      <c r="F633" s="40"/>
      <c r="G633" s="40"/>
      <c r="H633" s="40"/>
      <c r="I633" s="40"/>
      <c r="J633" s="40"/>
      <c r="K633" s="40"/>
      <c r="L633" s="40"/>
      <c r="M633" s="40"/>
      <c r="N633" s="40"/>
      <c r="O633" s="40"/>
      <c r="P633" s="40"/>
      <c r="Q633" s="40"/>
      <c r="R633" s="40"/>
      <c r="S633" s="40"/>
      <c r="T633" s="40"/>
      <c r="U633" s="40"/>
      <c r="V633" s="40"/>
      <c r="W633" s="40"/>
      <c r="X633" s="40"/>
      <c r="Y633" s="40"/>
      <c r="Z633" s="40"/>
    </row>
    <row r="634">
      <c r="A634" s="72"/>
      <c r="B634" s="72"/>
      <c r="C634" s="23"/>
      <c r="D634" s="23"/>
      <c r="E634" s="40"/>
      <c r="F634" s="40"/>
      <c r="G634" s="40"/>
      <c r="H634" s="40"/>
      <c r="I634" s="40"/>
      <c r="J634" s="40"/>
      <c r="K634" s="40"/>
      <c r="L634" s="40"/>
      <c r="M634" s="40"/>
      <c r="N634" s="40"/>
      <c r="O634" s="40"/>
      <c r="P634" s="40"/>
      <c r="Q634" s="40"/>
      <c r="R634" s="40"/>
      <c r="S634" s="40"/>
      <c r="T634" s="40"/>
      <c r="U634" s="40"/>
      <c r="V634" s="40"/>
      <c r="W634" s="40"/>
      <c r="X634" s="40"/>
      <c r="Y634" s="40"/>
      <c r="Z634" s="40"/>
    </row>
    <row r="635">
      <c r="A635" s="72"/>
      <c r="B635" s="72"/>
      <c r="C635" s="23"/>
      <c r="D635" s="23"/>
      <c r="E635" s="40"/>
      <c r="F635" s="40"/>
      <c r="G635" s="40"/>
      <c r="H635" s="40"/>
      <c r="I635" s="40"/>
      <c r="J635" s="40"/>
      <c r="K635" s="40"/>
      <c r="L635" s="40"/>
      <c r="M635" s="40"/>
      <c r="N635" s="40"/>
      <c r="O635" s="40"/>
      <c r="P635" s="40"/>
      <c r="Q635" s="40"/>
      <c r="R635" s="40"/>
      <c r="S635" s="40"/>
      <c r="T635" s="40"/>
      <c r="U635" s="40"/>
      <c r="V635" s="40"/>
      <c r="W635" s="40"/>
      <c r="X635" s="40"/>
      <c r="Y635" s="40"/>
      <c r="Z635" s="40"/>
    </row>
    <row r="636">
      <c r="A636" s="72"/>
      <c r="B636" s="72"/>
      <c r="C636" s="23"/>
      <c r="D636" s="23"/>
      <c r="E636" s="40"/>
      <c r="F636" s="40"/>
      <c r="G636" s="40"/>
      <c r="H636" s="40"/>
      <c r="I636" s="40"/>
      <c r="J636" s="40"/>
      <c r="K636" s="40"/>
      <c r="L636" s="40"/>
      <c r="M636" s="40"/>
      <c r="N636" s="40"/>
      <c r="O636" s="40"/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0"/>
    </row>
    <row r="637">
      <c r="A637" s="72"/>
      <c r="B637" s="72"/>
      <c r="C637" s="23"/>
      <c r="D637" s="23"/>
      <c r="E637" s="40"/>
      <c r="F637" s="40"/>
      <c r="G637" s="40"/>
      <c r="H637" s="40"/>
      <c r="I637" s="40"/>
      <c r="J637" s="40"/>
      <c r="K637" s="40"/>
      <c r="L637" s="40"/>
      <c r="M637" s="40"/>
      <c r="N637" s="40"/>
      <c r="O637" s="40"/>
      <c r="P637" s="40"/>
      <c r="Q637" s="40"/>
      <c r="R637" s="40"/>
      <c r="S637" s="40"/>
      <c r="T637" s="40"/>
      <c r="U637" s="40"/>
      <c r="V637" s="40"/>
      <c r="W637" s="40"/>
      <c r="X637" s="40"/>
      <c r="Y637" s="40"/>
      <c r="Z637" s="40"/>
    </row>
    <row r="638">
      <c r="A638" s="72"/>
      <c r="B638" s="72"/>
      <c r="C638" s="23"/>
      <c r="D638" s="23"/>
      <c r="E638" s="40"/>
      <c r="F638" s="40"/>
      <c r="G638" s="40"/>
      <c r="H638" s="40"/>
      <c r="I638" s="40"/>
      <c r="J638" s="40"/>
      <c r="K638" s="40"/>
      <c r="L638" s="40"/>
      <c r="M638" s="40"/>
      <c r="N638" s="40"/>
      <c r="O638" s="40"/>
      <c r="P638" s="40"/>
      <c r="Q638" s="40"/>
      <c r="R638" s="40"/>
      <c r="S638" s="40"/>
      <c r="T638" s="40"/>
      <c r="U638" s="40"/>
      <c r="V638" s="40"/>
      <c r="W638" s="40"/>
      <c r="X638" s="40"/>
      <c r="Y638" s="40"/>
      <c r="Z638" s="40"/>
    </row>
    <row r="639">
      <c r="A639" s="72"/>
      <c r="B639" s="72"/>
      <c r="C639" s="23"/>
      <c r="D639" s="23"/>
      <c r="E639" s="40"/>
      <c r="F639" s="40"/>
      <c r="G639" s="40"/>
      <c r="H639" s="40"/>
      <c r="I639" s="40"/>
      <c r="J639" s="40"/>
      <c r="K639" s="40"/>
      <c r="L639" s="40"/>
      <c r="M639" s="40"/>
      <c r="N639" s="40"/>
      <c r="O639" s="40"/>
      <c r="P639" s="40"/>
      <c r="Q639" s="40"/>
      <c r="R639" s="40"/>
      <c r="S639" s="40"/>
      <c r="T639" s="40"/>
      <c r="U639" s="40"/>
      <c r="V639" s="40"/>
      <c r="W639" s="40"/>
      <c r="X639" s="40"/>
      <c r="Y639" s="40"/>
      <c r="Z639" s="40"/>
    </row>
    <row r="640">
      <c r="A640" s="72"/>
      <c r="B640" s="72"/>
      <c r="C640" s="23"/>
      <c r="D640" s="23"/>
      <c r="E640" s="40"/>
      <c r="F640" s="40"/>
      <c r="G640" s="40"/>
      <c r="H640" s="40"/>
      <c r="I640" s="40"/>
      <c r="J640" s="40"/>
      <c r="K640" s="40"/>
      <c r="L640" s="40"/>
      <c r="M640" s="40"/>
      <c r="N640" s="40"/>
      <c r="O640" s="40"/>
      <c r="P640" s="40"/>
      <c r="Q640" s="40"/>
      <c r="R640" s="40"/>
      <c r="S640" s="40"/>
      <c r="T640" s="40"/>
      <c r="U640" s="40"/>
      <c r="V640" s="40"/>
      <c r="W640" s="40"/>
      <c r="X640" s="40"/>
      <c r="Y640" s="40"/>
      <c r="Z640" s="40"/>
    </row>
    <row r="641">
      <c r="A641" s="72"/>
      <c r="B641" s="72"/>
      <c r="C641" s="23"/>
      <c r="D641" s="23"/>
      <c r="E641" s="40"/>
      <c r="F641" s="40"/>
      <c r="G641" s="40"/>
      <c r="H641" s="40"/>
      <c r="I641" s="40"/>
      <c r="J641" s="40"/>
      <c r="K641" s="40"/>
      <c r="L641" s="40"/>
      <c r="M641" s="40"/>
      <c r="N641" s="40"/>
      <c r="O641" s="40"/>
      <c r="P641" s="40"/>
      <c r="Q641" s="40"/>
      <c r="R641" s="40"/>
      <c r="S641" s="40"/>
      <c r="T641" s="40"/>
      <c r="U641" s="40"/>
      <c r="V641" s="40"/>
      <c r="W641" s="40"/>
      <c r="X641" s="40"/>
      <c r="Y641" s="40"/>
      <c r="Z641" s="40"/>
    </row>
    <row r="642">
      <c r="A642" s="72"/>
      <c r="B642" s="72"/>
      <c r="C642" s="23"/>
      <c r="D642" s="23"/>
      <c r="E642" s="40"/>
      <c r="F642" s="40"/>
      <c r="G642" s="40"/>
      <c r="H642" s="40"/>
      <c r="I642" s="40"/>
      <c r="J642" s="40"/>
      <c r="K642" s="40"/>
      <c r="L642" s="40"/>
      <c r="M642" s="40"/>
      <c r="N642" s="40"/>
      <c r="O642" s="40"/>
      <c r="P642" s="40"/>
      <c r="Q642" s="40"/>
      <c r="R642" s="40"/>
      <c r="S642" s="40"/>
      <c r="T642" s="40"/>
      <c r="U642" s="40"/>
      <c r="V642" s="40"/>
      <c r="W642" s="40"/>
      <c r="X642" s="40"/>
      <c r="Y642" s="40"/>
      <c r="Z642" s="40"/>
    </row>
    <row r="643">
      <c r="A643" s="72"/>
      <c r="B643" s="72"/>
      <c r="C643" s="23"/>
      <c r="D643" s="23"/>
      <c r="E643" s="40"/>
      <c r="F643" s="40"/>
      <c r="G643" s="40"/>
      <c r="H643" s="40"/>
      <c r="I643" s="40"/>
      <c r="J643" s="40"/>
      <c r="K643" s="40"/>
      <c r="L643" s="40"/>
      <c r="M643" s="40"/>
      <c r="N643" s="40"/>
      <c r="O643" s="40"/>
      <c r="P643" s="40"/>
      <c r="Q643" s="40"/>
      <c r="R643" s="40"/>
      <c r="S643" s="40"/>
      <c r="T643" s="40"/>
      <c r="U643" s="40"/>
      <c r="V643" s="40"/>
      <c r="W643" s="40"/>
      <c r="X643" s="40"/>
      <c r="Y643" s="40"/>
      <c r="Z643" s="40"/>
    </row>
    <row r="644">
      <c r="A644" s="72"/>
      <c r="B644" s="72"/>
      <c r="C644" s="23"/>
      <c r="D644" s="23"/>
      <c r="E644" s="40"/>
      <c r="F644" s="40"/>
      <c r="G644" s="40"/>
      <c r="H644" s="40"/>
      <c r="I644" s="40"/>
      <c r="J644" s="40"/>
      <c r="K644" s="40"/>
      <c r="L644" s="40"/>
      <c r="M644" s="40"/>
      <c r="N644" s="40"/>
      <c r="O644" s="40"/>
      <c r="P644" s="40"/>
      <c r="Q644" s="40"/>
      <c r="R644" s="40"/>
      <c r="S644" s="40"/>
      <c r="T644" s="40"/>
      <c r="U644" s="40"/>
      <c r="V644" s="40"/>
      <c r="W644" s="40"/>
      <c r="X644" s="40"/>
      <c r="Y644" s="40"/>
      <c r="Z644" s="40"/>
    </row>
    <row r="645">
      <c r="A645" s="72"/>
      <c r="B645" s="72"/>
      <c r="C645" s="23"/>
      <c r="D645" s="23"/>
      <c r="E645" s="40"/>
      <c r="F645" s="40"/>
      <c r="G645" s="40"/>
      <c r="H645" s="40"/>
      <c r="I645" s="40"/>
      <c r="J645" s="40"/>
      <c r="K645" s="40"/>
      <c r="L645" s="40"/>
      <c r="M645" s="40"/>
      <c r="N645" s="40"/>
      <c r="O645" s="40"/>
      <c r="P645" s="40"/>
      <c r="Q645" s="40"/>
      <c r="R645" s="40"/>
      <c r="S645" s="40"/>
      <c r="T645" s="40"/>
      <c r="U645" s="40"/>
      <c r="V645" s="40"/>
      <c r="W645" s="40"/>
      <c r="X645" s="40"/>
      <c r="Y645" s="40"/>
      <c r="Z645" s="40"/>
    </row>
    <row r="646">
      <c r="A646" s="72"/>
      <c r="B646" s="72"/>
      <c r="C646" s="23"/>
      <c r="D646" s="23"/>
      <c r="E646" s="40"/>
      <c r="F646" s="40"/>
      <c r="G646" s="40"/>
      <c r="H646" s="40"/>
      <c r="I646" s="40"/>
      <c r="J646" s="40"/>
      <c r="K646" s="40"/>
      <c r="L646" s="40"/>
      <c r="M646" s="40"/>
      <c r="N646" s="40"/>
      <c r="O646" s="40"/>
      <c r="P646" s="40"/>
      <c r="Q646" s="40"/>
      <c r="R646" s="40"/>
      <c r="S646" s="40"/>
      <c r="T646" s="40"/>
      <c r="U646" s="40"/>
      <c r="V646" s="40"/>
      <c r="W646" s="40"/>
      <c r="X646" s="40"/>
      <c r="Y646" s="40"/>
      <c r="Z646" s="40"/>
    </row>
    <row r="647">
      <c r="A647" s="72"/>
      <c r="B647" s="72"/>
      <c r="C647" s="23"/>
      <c r="D647" s="23"/>
      <c r="E647" s="40"/>
      <c r="F647" s="40"/>
      <c r="G647" s="40"/>
      <c r="H647" s="40"/>
      <c r="I647" s="40"/>
      <c r="J647" s="40"/>
      <c r="K647" s="40"/>
      <c r="L647" s="40"/>
      <c r="M647" s="40"/>
      <c r="N647" s="40"/>
      <c r="O647" s="40"/>
      <c r="P647" s="40"/>
      <c r="Q647" s="40"/>
      <c r="R647" s="40"/>
      <c r="S647" s="40"/>
      <c r="T647" s="40"/>
      <c r="U647" s="40"/>
      <c r="V647" s="40"/>
      <c r="W647" s="40"/>
      <c r="X647" s="40"/>
      <c r="Y647" s="40"/>
      <c r="Z647" s="40"/>
    </row>
    <row r="648">
      <c r="A648" s="72"/>
      <c r="B648" s="72"/>
      <c r="C648" s="23"/>
      <c r="D648" s="23"/>
      <c r="E648" s="40"/>
      <c r="F648" s="40"/>
      <c r="G648" s="40"/>
      <c r="H648" s="40"/>
      <c r="I648" s="40"/>
      <c r="J648" s="40"/>
      <c r="K648" s="40"/>
      <c r="L648" s="40"/>
      <c r="M648" s="40"/>
      <c r="N648" s="40"/>
      <c r="O648" s="40"/>
      <c r="P648" s="40"/>
      <c r="Q648" s="40"/>
      <c r="R648" s="40"/>
      <c r="S648" s="40"/>
      <c r="T648" s="40"/>
      <c r="U648" s="40"/>
      <c r="V648" s="40"/>
      <c r="W648" s="40"/>
      <c r="X648" s="40"/>
      <c r="Y648" s="40"/>
      <c r="Z648" s="40"/>
    </row>
    <row r="649">
      <c r="A649" s="72"/>
      <c r="B649" s="72"/>
      <c r="C649" s="23"/>
      <c r="D649" s="23"/>
      <c r="E649" s="40"/>
      <c r="F649" s="40"/>
      <c r="G649" s="40"/>
      <c r="H649" s="40"/>
      <c r="I649" s="40"/>
      <c r="J649" s="40"/>
      <c r="K649" s="40"/>
      <c r="L649" s="40"/>
      <c r="M649" s="40"/>
      <c r="N649" s="40"/>
      <c r="O649" s="40"/>
      <c r="P649" s="40"/>
      <c r="Q649" s="40"/>
      <c r="R649" s="40"/>
      <c r="S649" s="40"/>
      <c r="T649" s="40"/>
      <c r="U649" s="40"/>
      <c r="V649" s="40"/>
      <c r="W649" s="40"/>
      <c r="X649" s="40"/>
      <c r="Y649" s="40"/>
      <c r="Z649" s="40"/>
    </row>
    <row r="650">
      <c r="A650" s="72"/>
      <c r="B650" s="72"/>
      <c r="C650" s="23"/>
      <c r="D650" s="23"/>
      <c r="E650" s="40"/>
      <c r="F650" s="40"/>
      <c r="G650" s="40"/>
      <c r="H650" s="40"/>
      <c r="I650" s="40"/>
      <c r="J650" s="40"/>
      <c r="K650" s="40"/>
      <c r="L650" s="40"/>
      <c r="M650" s="40"/>
      <c r="N650" s="40"/>
      <c r="O650" s="40"/>
      <c r="P650" s="40"/>
      <c r="Q650" s="40"/>
      <c r="R650" s="40"/>
      <c r="S650" s="40"/>
      <c r="T650" s="40"/>
      <c r="U650" s="40"/>
      <c r="V650" s="40"/>
      <c r="W650" s="40"/>
      <c r="X650" s="40"/>
      <c r="Y650" s="40"/>
      <c r="Z650" s="40"/>
    </row>
    <row r="651">
      <c r="A651" s="72"/>
      <c r="B651" s="72"/>
      <c r="C651" s="23"/>
      <c r="D651" s="23"/>
      <c r="E651" s="40"/>
      <c r="F651" s="40"/>
      <c r="G651" s="40"/>
      <c r="H651" s="40"/>
      <c r="I651" s="40"/>
      <c r="J651" s="40"/>
      <c r="K651" s="40"/>
      <c r="L651" s="40"/>
      <c r="M651" s="40"/>
      <c r="N651" s="40"/>
      <c r="O651" s="40"/>
      <c r="P651" s="40"/>
      <c r="Q651" s="40"/>
      <c r="R651" s="40"/>
      <c r="S651" s="40"/>
      <c r="T651" s="40"/>
      <c r="U651" s="40"/>
      <c r="V651" s="40"/>
      <c r="W651" s="40"/>
      <c r="X651" s="40"/>
      <c r="Y651" s="40"/>
      <c r="Z651" s="40"/>
    </row>
    <row r="652">
      <c r="A652" s="72"/>
      <c r="B652" s="72"/>
      <c r="C652" s="23"/>
      <c r="D652" s="23"/>
      <c r="E652" s="40"/>
      <c r="F652" s="40"/>
      <c r="G652" s="40"/>
      <c r="H652" s="40"/>
      <c r="I652" s="40"/>
      <c r="J652" s="40"/>
      <c r="K652" s="40"/>
      <c r="L652" s="40"/>
      <c r="M652" s="40"/>
      <c r="N652" s="40"/>
      <c r="O652" s="40"/>
      <c r="P652" s="40"/>
      <c r="Q652" s="40"/>
      <c r="R652" s="40"/>
      <c r="S652" s="40"/>
      <c r="T652" s="40"/>
      <c r="U652" s="40"/>
      <c r="V652" s="40"/>
      <c r="W652" s="40"/>
      <c r="X652" s="40"/>
      <c r="Y652" s="40"/>
      <c r="Z652" s="40"/>
    </row>
    <row r="653">
      <c r="A653" s="72"/>
      <c r="B653" s="72"/>
      <c r="C653" s="23"/>
      <c r="D653" s="23"/>
      <c r="E653" s="40"/>
      <c r="F653" s="40"/>
      <c r="G653" s="40"/>
      <c r="H653" s="40"/>
      <c r="I653" s="40"/>
      <c r="J653" s="40"/>
      <c r="K653" s="40"/>
      <c r="L653" s="40"/>
      <c r="M653" s="40"/>
      <c r="N653" s="40"/>
      <c r="O653" s="40"/>
      <c r="P653" s="40"/>
      <c r="Q653" s="40"/>
      <c r="R653" s="40"/>
      <c r="S653" s="40"/>
      <c r="T653" s="40"/>
      <c r="U653" s="40"/>
      <c r="V653" s="40"/>
      <c r="W653" s="40"/>
      <c r="X653" s="40"/>
      <c r="Y653" s="40"/>
      <c r="Z653" s="40"/>
    </row>
    <row r="654">
      <c r="A654" s="72"/>
      <c r="B654" s="72"/>
      <c r="C654" s="23"/>
      <c r="D654" s="23"/>
      <c r="E654" s="40"/>
      <c r="F654" s="40"/>
      <c r="G654" s="40"/>
      <c r="H654" s="40"/>
      <c r="I654" s="40"/>
      <c r="J654" s="40"/>
      <c r="K654" s="40"/>
      <c r="L654" s="40"/>
      <c r="M654" s="40"/>
      <c r="N654" s="40"/>
      <c r="O654" s="40"/>
      <c r="P654" s="40"/>
      <c r="Q654" s="40"/>
      <c r="R654" s="40"/>
      <c r="S654" s="40"/>
      <c r="T654" s="40"/>
      <c r="U654" s="40"/>
      <c r="V654" s="40"/>
      <c r="W654" s="40"/>
      <c r="X654" s="40"/>
      <c r="Y654" s="40"/>
      <c r="Z654" s="40"/>
    </row>
    <row r="655">
      <c r="A655" s="72"/>
      <c r="B655" s="72"/>
      <c r="C655" s="23"/>
      <c r="D655" s="23"/>
      <c r="E655" s="40"/>
      <c r="F655" s="40"/>
      <c r="G655" s="40"/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  <c r="U655" s="40"/>
      <c r="V655" s="40"/>
      <c r="W655" s="40"/>
      <c r="X655" s="40"/>
      <c r="Y655" s="40"/>
      <c r="Z655" s="40"/>
    </row>
    <row r="656">
      <c r="A656" s="72"/>
      <c r="B656" s="72"/>
      <c r="C656" s="23"/>
      <c r="D656" s="23"/>
      <c r="E656" s="40"/>
      <c r="F656" s="40"/>
      <c r="G656" s="40"/>
      <c r="H656" s="40"/>
      <c r="I656" s="40"/>
      <c r="J656" s="40"/>
      <c r="K656" s="40"/>
      <c r="L656" s="40"/>
      <c r="M656" s="40"/>
      <c r="N656" s="40"/>
      <c r="O656" s="40"/>
      <c r="P656" s="40"/>
      <c r="Q656" s="40"/>
      <c r="R656" s="40"/>
      <c r="S656" s="40"/>
      <c r="T656" s="40"/>
      <c r="U656" s="40"/>
      <c r="V656" s="40"/>
      <c r="W656" s="40"/>
      <c r="X656" s="40"/>
      <c r="Y656" s="40"/>
      <c r="Z656" s="40"/>
    </row>
    <row r="657">
      <c r="A657" s="72"/>
      <c r="B657" s="72"/>
      <c r="C657" s="23"/>
      <c r="D657" s="23"/>
      <c r="E657" s="40"/>
      <c r="F657" s="40"/>
      <c r="G657" s="40"/>
      <c r="H657" s="40"/>
      <c r="I657" s="40"/>
      <c r="J657" s="40"/>
      <c r="K657" s="40"/>
      <c r="L657" s="40"/>
      <c r="M657" s="40"/>
      <c r="N657" s="40"/>
      <c r="O657" s="40"/>
      <c r="P657" s="40"/>
      <c r="Q657" s="40"/>
      <c r="R657" s="40"/>
      <c r="S657" s="40"/>
      <c r="T657" s="40"/>
      <c r="U657" s="40"/>
      <c r="V657" s="40"/>
      <c r="W657" s="40"/>
      <c r="X657" s="40"/>
      <c r="Y657" s="40"/>
      <c r="Z657" s="40"/>
    </row>
    <row r="658">
      <c r="A658" s="72"/>
      <c r="B658" s="72"/>
      <c r="C658" s="23"/>
      <c r="D658" s="23"/>
      <c r="E658" s="40"/>
      <c r="F658" s="40"/>
      <c r="G658" s="40"/>
      <c r="H658" s="40"/>
      <c r="I658" s="40"/>
      <c r="J658" s="40"/>
      <c r="K658" s="40"/>
      <c r="L658" s="40"/>
      <c r="M658" s="40"/>
      <c r="N658" s="40"/>
      <c r="O658" s="40"/>
      <c r="P658" s="40"/>
      <c r="Q658" s="40"/>
      <c r="R658" s="40"/>
      <c r="S658" s="40"/>
      <c r="T658" s="40"/>
      <c r="U658" s="40"/>
      <c r="V658" s="40"/>
      <c r="W658" s="40"/>
      <c r="X658" s="40"/>
      <c r="Y658" s="40"/>
      <c r="Z658" s="40"/>
    </row>
    <row r="659">
      <c r="A659" s="72"/>
      <c r="B659" s="72"/>
      <c r="C659" s="23"/>
      <c r="D659" s="23"/>
      <c r="E659" s="40"/>
      <c r="F659" s="40"/>
      <c r="G659" s="40"/>
      <c r="H659" s="40"/>
      <c r="I659" s="40"/>
      <c r="J659" s="40"/>
      <c r="K659" s="40"/>
      <c r="L659" s="40"/>
      <c r="M659" s="40"/>
      <c r="N659" s="40"/>
      <c r="O659" s="40"/>
      <c r="P659" s="40"/>
      <c r="Q659" s="40"/>
      <c r="R659" s="40"/>
      <c r="S659" s="40"/>
      <c r="T659" s="40"/>
      <c r="U659" s="40"/>
      <c r="V659" s="40"/>
      <c r="W659" s="40"/>
      <c r="X659" s="40"/>
      <c r="Y659" s="40"/>
      <c r="Z659" s="40"/>
    </row>
    <row r="660">
      <c r="A660" s="72"/>
      <c r="B660" s="72"/>
      <c r="C660" s="23"/>
      <c r="D660" s="23"/>
      <c r="E660" s="40"/>
      <c r="F660" s="40"/>
      <c r="G660" s="40"/>
      <c r="H660" s="40"/>
      <c r="I660" s="40"/>
      <c r="J660" s="40"/>
      <c r="K660" s="40"/>
      <c r="L660" s="40"/>
      <c r="M660" s="40"/>
      <c r="N660" s="40"/>
      <c r="O660" s="40"/>
      <c r="P660" s="40"/>
      <c r="Q660" s="40"/>
      <c r="R660" s="40"/>
      <c r="S660" s="40"/>
      <c r="T660" s="40"/>
      <c r="U660" s="40"/>
      <c r="V660" s="40"/>
      <c r="W660" s="40"/>
      <c r="X660" s="40"/>
      <c r="Y660" s="40"/>
      <c r="Z660" s="40"/>
    </row>
    <row r="661">
      <c r="A661" s="72"/>
      <c r="B661" s="72"/>
      <c r="C661" s="23"/>
      <c r="D661" s="23"/>
      <c r="E661" s="40"/>
      <c r="F661" s="40"/>
      <c r="G661" s="40"/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  <c r="U661" s="40"/>
      <c r="V661" s="40"/>
      <c r="W661" s="40"/>
      <c r="X661" s="40"/>
      <c r="Y661" s="40"/>
      <c r="Z661" s="40"/>
    </row>
    <row r="662">
      <c r="A662" s="72"/>
      <c r="B662" s="72"/>
      <c r="C662" s="23"/>
      <c r="D662" s="23"/>
      <c r="E662" s="40"/>
      <c r="F662" s="40"/>
      <c r="G662" s="40"/>
      <c r="H662" s="40"/>
      <c r="I662" s="40"/>
      <c r="J662" s="40"/>
      <c r="K662" s="40"/>
      <c r="L662" s="40"/>
      <c r="M662" s="40"/>
      <c r="N662" s="40"/>
      <c r="O662" s="40"/>
      <c r="P662" s="40"/>
      <c r="Q662" s="40"/>
      <c r="R662" s="40"/>
      <c r="S662" s="40"/>
      <c r="T662" s="40"/>
      <c r="U662" s="40"/>
      <c r="V662" s="40"/>
      <c r="W662" s="40"/>
      <c r="X662" s="40"/>
      <c r="Y662" s="40"/>
      <c r="Z662" s="40"/>
    </row>
    <row r="663">
      <c r="A663" s="72"/>
      <c r="B663" s="72"/>
      <c r="C663" s="23"/>
      <c r="D663" s="23"/>
      <c r="E663" s="40"/>
      <c r="F663" s="40"/>
      <c r="G663" s="40"/>
      <c r="H663" s="40"/>
      <c r="I663" s="40"/>
      <c r="J663" s="40"/>
      <c r="K663" s="40"/>
      <c r="L663" s="40"/>
      <c r="M663" s="40"/>
      <c r="N663" s="40"/>
      <c r="O663" s="40"/>
      <c r="P663" s="40"/>
      <c r="Q663" s="40"/>
      <c r="R663" s="40"/>
      <c r="S663" s="40"/>
      <c r="T663" s="40"/>
      <c r="U663" s="40"/>
      <c r="V663" s="40"/>
      <c r="W663" s="40"/>
      <c r="X663" s="40"/>
      <c r="Y663" s="40"/>
      <c r="Z663" s="40"/>
    </row>
    <row r="664">
      <c r="A664" s="72"/>
      <c r="B664" s="72"/>
      <c r="C664" s="23"/>
      <c r="D664" s="23"/>
      <c r="E664" s="40"/>
      <c r="F664" s="40"/>
      <c r="G664" s="40"/>
      <c r="H664" s="40"/>
      <c r="I664" s="40"/>
      <c r="J664" s="40"/>
      <c r="K664" s="40"/>
      <c r="L664" s="40"/>
      <c r="M664" s="40"/>
      <c r="N664" s="40"/>
      <c r="O664" s="40"/>
      <c r="P664" s="40"/>
      <c r="Q664" s="40"/>
      <c r="R664" s="40"/>
      <c r="S664" s="40"/>
      <c r="T664" s="40"/>
      <c r="U664" s="40"/>
      <c r="V664" s="40"/>
      <c r="W664" s="40"/>
      <c r="X664" s="40"/>
      <c r="Y664" s="40"/>
      <c r="Z664" s="40"/>
    </row>
    <row r="665">
      <c r="A665" s="72"/>
      <c r="B665" s="72"/>
      <c r="C665" s="23"/>
      <c r="D665" s="23"/>
      <c r="E665" s="40"/>
      <c r="F665" s="40"/>
      <c r="G665" s="40"/>
      <c r="H665" s="40"/>
      <c r="I665" s="40"/>
      <c r="J665" s="40"/>
      <c r="K665" s="40"/>
      <c r="L665" s="40"/>
      <c r="M665" s="40"/>
      <c r="N665" s="40"/>
      <c r="O665" s="40"/>
      <c r="P665" s="40"/>
      <c r="Q665" s="40"/>
      <c r="R665" s="40"/>
      <c r="S665" s="40"/>
      <c r="T665" s="40"/>
      <c r="U665" s="40"/>
      <c r="V665" s="40"/>
      <c r="W665" s="40"/>
      <c r="X665" s="40"/>
      <c r="Y665" s="40"/>
      <c r="Z665" s="40"/>
    </row>
    <row r="666">
      <c r="A666" s="72"/>
      <c r="B666" s="72"/>
      <c r="C666" s="23"/>
      <c r="D666" s="23"/>
      <c r="E666" s="40"/>
      <c r="F666" s="40"/>
      <c r="G666" s="40"/>
      <c r="H666" s="40"/>
      <c r="I666" s="40"/>
      <c r="J666" s="40"/>
      <c r="K666" s="40"/>
      <c r="L666" s="40"/>
      <c r="M666" s="40"/>
      <c r="N666" s="40"/>
      <c r="O666" s="40"/>
      <c r="P666" s="40"/>
      <c r="Q666" s="40"/>
      <c r="R666" s="40"/>
      <c r="S666" s="40"/>
      <c r="T666" s="40"/>
      <c r="U666" s="40"/>
      <c r="V666" s="40"/>
      <c r="W666" s="40"/>
      <c r="X666" s="40"/>
      <c r="Y666" s="40"/>
      <c r="Z666" s="40"/>
    </row>
    <row r="667">
      <c r="A667" s="72"/>
      <c r="B667" s="72"/>
      <c r="C667" s="23"/>
      <c r="D667" s="23"/>
      <c r="E667" s="40"/>
      <c r="F667" s="40"/>
      <c r="G667" s="40"/>
      <c r="H667" s="40"/>
      <c r="I667" s="40"/>
      <c r="J667" s="40"/>
      <c r="K667" s="40"/>
      <c r="L667" s="40"/>
      <c r="M667" s="40"/>
      <c r="N667" s="40"/>
      <c r="O667" s="40"/>
      <c r="P667" s="40"/>
      <c r="Q667" s="40"/>
      <c r="R667" s="40"/>
      <c r="S667" s="40"/>
      <c r="T667" s="40"/>
      <c r="U667" s="40"/>
      <c r="V667" s="40"/>
      <c r="W667" s="40"/>
      <c r="X667" s="40"/>
      <c r="Y667" s="40"/>
      <c r="Z667" s="40"/>
    </row>
    <row r="668">
      <c r="A668" s="72"/>
      <c r="B668" s="72"/>
      <c r="C668" s="23"/>
      <c r="D668" s="23"/>
      <c r="E668" s="40"/>
      <c r="F668" s="40"/>
      <c r="G668" s="40"/>
      <c r="H668" s="40"/>
      <c r="I668" s="40"/>
      <c r="J668" s="40"/>
      <c r="K668" s="40"/>
      <c r="L668" s="40"/>
      <c r="M668" s="40"/>
      <c r="N668" s="40"/>
      <c r="O668" s="40"/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0"/>
    </row>
    <row r="669">
      <c r="A669" s="72"/>
      <c r="B669" s="72"/>
      <c r="C669" s="23"/>
      <c r="D669" s="23"/>
      <c r="E669" s="40"/>
      <c r="F669" s="40"/>
      <c r="G669" s="40"/>
      <c r="H669" s="40"/>
      <c r="I669" s="40"/>
      <c r="J669" s="40"/>
      <c r="K669" s="40"/>
      <c r="L669" s="40"/>
      <c r="M669" s="40"/>
      <c r="N669" s="40"/>
      <c r="O669" s="40"/>
      <c r="P669" s="40"/>
      <c r="Q669" s="40"/>
      <c r="R669" s="40"/>
      <c r="S669" s="40"/>
      <c r="T669" s="40"/>
      <c r="U669" s="40"/>
      <c r="V669" s="40"/>
      <c r="W669" s="40"/>
      <c r="X669" s="40"/>
      <c r="Y669" s="40"/>
      <c r="Z669" s="40"/>
    </row>
    <row r="670">
      <c r="A670" s="72"/>
      <c r="B670" s="72"/>
      <c r="C670" s="23"/>
      <c r="D670" s="23"/>
      <c r="E670" s="40"/>
      <c r="F670" s="40"/>
      <c r="G670" s="40"/>
      <c r="H670" s="40"/>
      <c r="I670" s="40"/>
      <c r="J670" s="40"/>
      <c r="K670" s="40"/>
      <c r="L670" s="40"/>
      <c r="M670" s="40"/>
      <c r="N670" s="40"/>
      <c r="O670" s="40"/>
      <c r="P670" s="40"/>
      <c r="Q670" s="40"/>
      <c r="R670" s="40"/>
      <c r="S670" s="40"/>
      <c r="T670" s="40"/>
      <c r="U670" s="40"/>
      <c r="V670" s="40"/>
      <c r="W670" s="40"/>
      <c r="X670" s="40"/>
      <c r="Y670" s="40"/>
      <c r="Z670" s="40"/>
    </row>
    <row r="671">
      <c r="A671" s="72"/>
      <c r="B671" s="72"/>
      <c r="C671" s="23"/>
      <c r="D671" s="23"/>
      <c r="E671" s="40"/>
      <c r="F671" s="40"/>
      <c r="G671" s="40"/>
      <c r="H671" s="40"/>
      <c r="I671" s="40"/>
      <c r="J671" s="40"/>
      <c r="K671" s="40"/>
      <c r="L671" s="40"/>
      <c r="M671" s="40"/>
      <c r="N671" s="40"/>
      <c r="O671" s="40"/>
      <c r="P671" s="40"/>
      <c r="Q671" s="40"/>
      <c r="R671" s="40"/>
      <c r="S671" s="40"/>
      <c r="T671" s="40"/>
      <c r="U671" s="40"/>
      <c r="V671" s="40"/>
      <c r="W671" s="40"/>
      <c r="X671" s="40"/>
      <c r="Y671" s="40"/>
      <c r="Z671" s="40"/>
    </row>
    <row r="672">
      <c r="A672" s="72"/>
      <c r="B672" s="72"/>
      <c r="C672" s="23"/>
      <c r="D672" s="23"/>
      <c r="E672" s="40"/>
      <c r="F672" s="40"/>
      <c r="G672" s="40"/>
      <c r="H672" s="40"/>
      <c r="I672" s="40"/>
      <c r="J672" s="40"/>
      <c r="K672" s="40"/>
      <c r="L672" s="40"/>
      <c r="M672" s="40"/>
      <c r="N672" s="40"/>
      <c r="O672" s="40"/>
      <c r="P672" s="40"/>
      <c r="Q672" s="40"/>
      <c r="R672" s="40"/>
      <c r="S672" s="40"/>
      <c r="T672" s="40"/>
      <c r="U672" s="40"/>
      <c r="V672" s="40"/>
      <c r="W672" s="40"/>
      <c r="X672" s="40"/>
      <c r="Y672" s="40"/>
      <c r="Z672" s="40"/>
    </row>
    <row r="673">
      <c r="A673" s="72"/>
      <c r="B673" s="72"/>
      <c r="C673" s="23"/>
      <c r="D673" s="23"/>
      <c r="E673" s="40"/>
      <c r="F673" s="40"/>
      <c r="G673" s="40"/>
      <c r="H673" s="40"/>
      <c r="I673" s="40"/>
      <c r="J673" s="40"/>
      <c r="K673" s="40"/>
      <c r="L673" s="40"/>
      <c r="M673" s="40"/>
      <c r="N673" s="40"/>
      <c r="O673" s="40"/>
      <c r="P673" s="40"/>
      <c r="Q673" s="40"/>
      <c r="R673" s="40"/>
      <c r="S673" s="40"/>
      <c r="T673" s="40"/>
      <c r="U673" s="40"/>
      <c r="V673" s="40"/>
      <c r="W673" s="40"/>
      <c r="X673" s="40"/>
      <c r="Y673" s="40"/>
      <c r="Z673" s="40"/>
    </row>
    <row r="674">
      <c r="A674" s="72"/>
      <c r="B674" s="72"/>
      <c r="C674" s="23"/>
      <c r="D674" s="23"/>
      <c r="E674" s="40"/>
      <c r="F674" s="40"/>
      <c r="G674" s="40"/>
      <c r="H674" s="40"/>
      <c r="I674" s="40"/>
      <c r="J674" s="40"/>
      <c r="K674" s="40"/>
      <c r="L674" s="40"/>
      <c r="M674" s="40"/>
      <c r="N674" s="40"/>
      <c r="O674" s="40"/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0"/>
    </row>
    <row r="675">
      <c r="A675" s="72"/>
      <c r="B675" s="72"/>
      <c r="C675" s="23"/>
      <c r="D675" s="23"/>
      <c r="E675" s="40"/>
      <c r="F675" s="40"/>
      <c r="G675" s="40"/>
      <c r="H675" s="40"/>
      <c r="I675" s="40"/>
      <c r="J675" s="40"/>
      <c r="K675" s="40"/>
      <c r="L675" s="40"/>
      <c r="M675" s="40"/>
      <c r="N675" s="40"/>
      <c r="O675" s="40"/>
      <c r="P675" s="40"/>
      <c r="Q675" s="40"/>
      <c r="R675" s="40"/>
      <c r="S675" s="40"/>
      <c r="T675" s="40"/>
      <c r="U675" s="40"/>
      <c r="V675" s="40"/>
      <c r="W675" s="40"/>
      <c r="X675" s="40"/>
      <c r="Y675" s="40"/>
      <c r="Z675" s="40"/>
    </row>
    <row r="676">
      <c r="A676" s="72"/>
      <c r="B676" s="72"/>
      <c r="C676" s="23"/>
      <c r="D676" s="23"/>
      <c r="E676" s="40"/>
      <c r="F676" s="40"/>
      <c r="G676" s="40"/>
      <c r="H676" s="40"/>
      <c r="I676" s="40"/>
      <c r="J676" s="40"/>
      <c r="K676" s="40"/>
      <c r="L676" s="40"/>
      <c r="M676" s="40"/>
      <c r="N676" s="40"/>
      <c r="O676" s="40"/>
      <c r="P676" s="40"/>
      <c r="Q676" s="40"/>
      <c r="R676" s="40"/>
      <c r="S676" s="40"/>
      <c r="T676" s="40"/>
      <c r="U676" s="40"/>
      <c r="V676" s="40"/>
      <c r="W676" s="40"/>
      <c r="X676" s="40"/>
      <c r="Y676" s="40"/>
      <c r="Z676" s="40"/>
    </row>
    <row r="677">
      <c r="A677" s="72"/>
      <c r="B677" s="72"/>
      <c r="C677" s="23"/>
      <c r="D677" s="23"/>
      <c r="E677" s="40"/>
      <c r="F677" s="40"/>
      <c r="G677" s="40"/>
      <c r="H677" s="40"/>
      <c r="I677" s="40"/>
      <c r="J677" s="40"/>
      <c r="K677" s="40"/>
      <c r="L677" s="40"/>
      <c r="M677" s="40"/>
      <c r="N677" s="40"/>
      <c r="O677" s="40"/>
      <c r="P677" s="40"/>
      <c r="Q677" s="40"/>
      <c r="R677" s="40"/>
      <c r="S677" s="40"/>
      <c r="T677" s="40"/>
      <c r="U677" s="40"/>
      <c r="V677" s="40"/>
      <c r="W677" s="40"/>
      <c r="X677" s="40"/>
      <c r="Y677" s="40"/>
      <c r="Z677" s="40"/>
    </row>
    <row r="678">
      <c r="A678" s="72"/>
      <c r="B678" s="72"/>
      <c r="C678" s="23"/>
      <c r="D678" s="23"/>
      <c r="E678" s="40"/>
      <c r="F678" s="40"/>
      <c r="G678" s="40"/>
      <c r="H678" s="40"/>
      <c r="I678" s="40"/>
      <c r="J678" s="40"/>
      <c r="K678" s="40"/>
      <c r="L678" s="40"/>
      <c r="M678" s="40"/>
      <c r="N678" s="40"/>
      <c r="O678" s="40"/>
      <c r="P678" s="40"/>
      <c r="Q678" s="40"/>
      <c r="R678" s="40"/>
      <c r="S678" s="40"/>
      <c r="T678" s="40"/>
      <c r="U678" s="40"/>
      <c r="V678" s="40"/>
      <c r="W678" s="40"/>
      <c r="X678" s="40"/>
      <c r="Y678" s="40"/>
      <c r="Z678" s="40"/>
    </row>
    <row r="679">
      <c r="A679" s="72"/>
      <c r="B679" s="72"/>
      <c r="C679" s="23"/>
      <c r="D679" s="23"/>
      <c r="E679" s="40"/>
      <c r="F679" s="40"/>
      <c r="G679" s="40"/>
      <c r="H679" s="40"/>
      <c r="I679" s="40"/>
      <c r="J679" s="40"/>
      <c r="K679" s="40"/>
      <c r="L679" s="40"/>
      <c r="M679" s="40"/>
      <c r="N679" s="40"/>
      <c r="O679" s="40"/>
      <c r="P679" s="40"/>
      <c r="Q679" s="40"/>
      <c r="R679" s="40"/>
      <c r="S679" s="40"/>
      <c r="T679" s="40"/>
      <c r="U679" s="40"/>
      <c r="V679" s="40"/>
      <c r="W679" s="40"/>
      <c r="X679" s="40"/>
      <c r="Y679" s="40"/>
      <c r="Z679" s="40"/>
    </row>
    <row r="680">
      <c r="A680" s="72"/>
      <c r="B680" s="72"/>
      <c r="C680" s="23"/>
      <c r="D680" s="23"/>
      <c r="E680" s="40"/>
      <c r="F680" s="40"/>
      <c r="G680" s="40"/>
      <c r="H680" s="40"/>
      <c r="I680" s="40"/>
      <c r="J680" s="40"/>
      <c r="K680" s="40"/>
      <c r="L680" s="40"/>
      <c r="M680" s="40"/>
      <c r="N680" s="40"/>
      <c r="O680" s="40"/>
      <c r="P680" s="40"/>
      <c r="Q680" s="40"/>
      <c r="R680" s="40"/>
      <c r="S680" s="40"/>
      <c r="T680" s="40"/>
      <c r="U680" s="40"/>
      <c r="V680" s="40"/>
      <c r="W680" s="40"/>
      <c r="X680" s="40"/>
      <c r="Y680" s="40"/>
      <c r="Z680" s="40"/>
    </row>
    <row r="681">
      <c r="A681" s="72"/>
      <c r="B681" s="72"/>
      <c r="C681" s="23"/>
      <c r="D681" s="23"/>
      <c r="E681" s="40"/>
      <c r="F681" s="40"/>
      <c r="G681" s="40"/>
      <c r="H681" s="40"/>
      <c r="I681" s="40"/>
      <c r="J681" s="40"/>
      <c r="K681" s="40"/>
      <c r="L681" s="40"/>
      <c r="M681" s="40"/>
      <c r="N681" s="40"/>
      <c r="O681" s="40"/>
      <c r="P681" s="40"/>
      <c r="Q681" s="40"/>
      <c r="R681" s="40"/>
      <c r="S681" s="40"/>
      <c r="T681" s="40"/>
      <c r="U681" s="40"/>
      <c r="V681" s="40"/>
      <c r="W681" s="40"/>
      <c r="X681" s="40"/>
      <c r="Y681" s="40"/>
      <c r="Z681" s="40"/>
    </row>
    <row r="682">
      <c r="A682" s="72"/>
      <c r="B682" s="72"/>
      <c r="C682" s="23"/>
      <c r="D682" s="23"/>
      <c r="E682" s="40"/>
      <c r="F682" s="40"/>
      <c r="G682" s="40"/>
      <c r="H682" s="40"/>
      <c r="I682" s="40"/>
      <c r="J682" s="40"/>
      <c r="K682" s="40"/>
      <c r="L682" s="40"/>
      <c r="M682" s="40"/>
      <c r="N682" s="40"/>
      <c r="O682" s="40"/>
      <c r="P682" s="40"/>
      <c r="Q682" s="40"/>
      <c r="R682" s="40"/>
      <c r="S682" s="40"/>
      <c r="T682" s="40"/>
      <c r="U682" s="40"/>
      <c r="V682" s="40"/>
      <c r="W682" s="40"/>
      <c r="X682" s="40"/>
      <c r="Y682" s="40"/>
      <c r="Z682" s="40"/>
    </row>
    <row r="683">
      <c r="A683" s="72"/>
      <c r="B683" s="72"/>
      <c r="C683" s="23"/>
      <c r="D683" s="23"/>
      <c r="E683" s="40"/>
      <c r="F683" s="40"/>
      <c r="G683" s="40"/>
      <c r="H683" s="40"/>
      <c r="I683" s="40"/>
      <c r="J683" s="40"/>
      <c r="K683" s="40"/>
      <c r="L683" s="40"/>
      <c r="M683" s="40"/>
      <c r="N683" s="40"/>
      <c r="O683" s="40"/>
      <c r="P683" s="40"/>
      <c r="Q683" s="40"/>
      <c r="R683" s="40"/>
      <c r="S683" s="40"/>
      <c r="T683" s="40"/>
      <c r="U683" s="40"/>
      <c r="V683" s="40"/>
      <c r="W683" s="40"/>
      <c r="X683" s="40"/>
      <c r="Y683" s="40"/>
      <c r="Z683" s="40"/>
    </row>
    <row r="684">
      <c r="A684" s="72"/>
      <c r="B684" s="72"/>
      <c r="C684" s="23"/>
      <c r="D684" s="23"/>
      <c r="E684" s="40"/>
      <c r="F684" s="40"/>
      <c r="G684" s="40"/>
      <c r="H684" s="40"/>
      <c r="I684" s="40"/>
      <c r="J684" s="40"/>
      <c r="K684" s="40"/>
      <c r="L684" s="40"/>
      <c r="M684" s="40"/>
      <c r="N684" s="40"/>
      <c r="O684" s="40"/>
      <c r="P684" s="40"/>
      <c r="Q684" s="40"/>
      <c r="R684" s="40"/>
      <c r="S684" s="40"/>
      <c r="T684" s="40"/>
      <c r="U684" s="40"/>
      <c r="V684" s="40"/>
      <c r="W684" s="40"/>
      <c r="X684" s="40"/>
      <c r="Y684" s="40"/>
      <c r="Z684" s="40"/>
    </row>
    <row r="685">
      <c r="A685" s="72"/>
      <c r="B685" s="72"/>
      <c r="C685" s="23"/>
      <c r="D685" s="23"/>
      <c r="E685" s="40"/>
      <c r="F685" s="40"/>
      <c r="G685" s="40"/>
      <c r="H685" s="40"/>
      <c r="I685" s="40"/>
      <c r="J685" s="40"/>
      <c r="K685" s="40"/>
      <c r="L685" s="40"/>
      <c r="M685" s="40"/>
      <c r="N685" s="40"/>
      <c r="O685" s="40"/>
      <c r="P685" s="40"/>
      <c r="Q685" s="40"/>
      <c r="R685" s="40"/>
      <c r="S685" s="40"/>
      <c r="T685" s="40"/>
      <c r="U685" s="40"/>
      <c r="V685" s="40"/>
      <c r="W685" s="40"/>
      <c r="X685" s="40"/>
      <c r="Y685" s="40"/>
      <c r="Z685" s="40"/>
    </row>
    <row r="686">
      <c r="A686" s="72"/>
      <c r="B686" s="72"/>
      <c r="C686" s="23"/>
      <c r="D686" s="23"/>
      <c r="E686" s="40"/>
      <c r="F686" s="40"/>
      <c r="G686" s="40"/>
      <c r="H686" s="40"/>
      <c r="I686" s="40"/>
      <c r="J686" s="40"/>
      <c r="K686" s="40"/>
      <c r="L686" s="40"/>
      <c r="M686" s="40"/>
      <c r="N686" s="40"/>
      <c r="O686" s="40"/>
      <c r="P686" s="40"/>
      <c r="Q686" s="40"/>
      <c r="R686" s="40"/>
      <c r="S686" s="40"/>
      <c r="T686" s="40"/>
      <c r="U686" s="40"/>
      <c r="V686" s="40"/>
      <c r="W686" s="40"/>
      <c r="X686" s="40"/>
      <c r="Y686" s="40"/>
      <c r="Z686" s="40"/>
    </row>
    <row r="687">
      <c r="A687" s="72"/>
      <c r="B687" s="72"/>
      <c r="C687" s="23"/>
      <c r="D687" s="23"/>
      <c r="E687" s="40"/>
      <c r="F687" s="40"/>
      <c r="G687" s="40"/>
      <c r="H687" s="40"/>
      <c r="I687" s="40"/>
      <c r="J687" s="40"/>
      <c r="K687" s="40"/>
      <c r="L687" s="40"/>
      <c r="M687" s="40"/>
      <c r="N687" s="40"/>
      <c r="O687" s="40"/>
      <c r="P687" s="40"/>
      <c r="Q687" s="40"/>
      <c r="R687" s="40"/>
      <c r="S687" s="40"/>
      <c r="T687" s="40"/>
      <c r="U687" s="40"/>
      <c r="V687" s="40"/>
      <c r="W687" s="40"/>
      <c r="X687" s="40"/>
      <c r="Y687" s="40"/>
      <c r="Z687" s="40"/>
    </row>
    <row r="688">
      <c r="A688" s="72"/>
      <c r="B688" s="72"/>
      <c r="C688" s="23"/>
      <c r="D688" s="23"/>
      <c r="E688" s="40"/>
      <c r="F688" s="40"/>
      <c r="G688" s="40"/>
      <c r="H688" s="40"/>
      <c r="I688" s="40"/>
      <c r="J688" s="40"/>
      <c r="K688" s="40"/>
      <c r="L688" s="40"/>
      <c r="M688" s="40"/>
      <c r="N688" s="40"/>
      <c r="O688" s="40"/>
      <c r="P688" s="40"/>
      <c r="Q688" s="40"/>
      <c r="R688" s="40"/>
      <c r="S688" s="40"/>
      <c r="T688" s="40"/>
      <c r="U688" s="40"/>
      <c r="V688" s="40"/>
      <c r="W688" s="40"/>
      <c r="X688" s="40"/>
      <c r="Y688" s="40"/>
      <c r="Z688" s="40"/>
    </row>
    <row r="689">
      <c r="A689" s="72"/>
      <c r="B689" s="72"/>
      <c r="C689" s="23"/>
      <c r="D689" s="23"/>
      <c r="E689" s="40"/>
      <c r="F689" s="40"/>
      <c r="G689" s="40"/>
      <c r="H689" s="40"/>
      <c r="I689" s="40"/>
      <c r="J689" s="40"/>
      <c r="K689" s="40"/>
      <c r="L689" s="40"/>
      <c r="M689" s="40"/>
      <c r="N689" s="40"/>
      <c r="O689" s="40"/>
      <c r="P689" s="40"/>
      <c r="Q689" s="40"/>
      <c r="R689" s="40"/>
      <c r="S689" s="40"/>
      <c r="T689" s="40"/>
      <c r="U689" s="40"/>
      <c r="V689" s="40"/>
      <c r="W689" s="40"/>
      <c r="X689" s="40"/>
      <c r="Y689" s="40"/>
      <c r="Z689" s="40"/>
    </row>
    <row r="690">
      <c r="A690" s="72"/>
      <c r="B690" s="72"/>
      <c r="C690" s="23"/>
      <c r="D690" s="23"/>
      <c r="E690" s="40"/>
      <c r="F690" s="40"/>
      <c r="G690" s="40"/>
      <c r="H690" s="40"/>
      <c r="I690" s="40"/>
      <c r="J690" s="40"/>
      <c r="K690" s="40"/>
      <c r="L690" s="40"/>
      <c r="M690" s="40"/>
      <c r="N690" s="40"/>
      <c r="O690" s="40"/>
      <c r="P690" s="40"/>
      <c r="Q690" s="40"/>
      <c r="R690" s="40"/>
      <c r="S690" s="40"/>
      <c r="T690" s="40"/>
      <c r="U690" s="40"/>
      <c r="V690" s="40"/>
      <c r="W690" s="40"/>
      <c r="X690" s="40"/>
      <c r="Y690" s="40"/>
      <c r="Z690" s="40"/>
    </row>
    <row r="691">
      <c r="A691" s="72"/>
      <c r="B691" s="72"/>
      <c r="C691" s="23"/>
      <c r="D691" s="23"/>
      <c r="E691" s="40"/>
      <c r="F691" s="40"/>
      <c r="G691" s="40"/>
      <c r="H691" s="40"/>
      <c r="I691" s="40"/>
      <c r="J691" s="40"/>
      <c r="K691" s="40"/>
      <c r="L691" s="40"/>
      <c r="M691" s="40"/>
      <c r="N691" s="40"/>
      <c r="O691" s="40"/>
      <c r="P691" s="40"/>
      <c r="Q691" s="40"/>
      <c r="R691" s="40"/>
      <c r="S691" s="40"/>
      <c r="T691" s="40"/>
      <c r="U691" s="40"/>
      <c r="V691" s="40"/>
      <c r="W691" s="40"/>
      <c r="X691" s="40"/>
      <c r="Y691" s="40"/>
      <c r="Z691" s="40"/>
    </row>
    <row r="692">
      <c r="A692" s="72"/>
      <c r="B692" s="72"/>
      <c r="C692" s="23"/>
      <c r="D692" s="23"/>
      <c r="E692" s="40"/>
      <c r="F692" s="40"/>
      <c r="G692" s="40"/>
      <c r="H692" s="40"/>
      <c r="I692" s="40"/>
      <c r="J692" s="40"/>
      <c r="K692" s="40"/>
      <c r="L692" s="40"/>
      <c r="M692" s="40"/>
      <c r="N692" s="40"/>
      <c r="O692" s="40"/>
      <c r="P692" s="40"/>
      <c r="Q692" s="40"/>
      <c r="R692" s="40"/>
      <c r="S692" s="40"/>
      <c r="T692" s="40"/>
      <c r="U692" s="40"/>
      <c r="V692" s="40"/>
      <c r="W692" s="40"/>
      <c r="X692" s="40"/>
      <c r="Y692" s="40"/>
      <c r="Z692" s="40"/>
    </row>
    <row r="693">
      <c r="A693" s="72"/>
      <c r="B693" s="72"/>
      <c r="C693" s="23"/>
      <c r="D693" s="23"/>
      <c r="E693" s="40"/>
      <c r="F693" s="40"/>
      <c r="G693" s="40"/>
      <c r="H693" s="40"/>
      <c r="I693" s="40"/>
      <c r="J693" s="40"/>
      <c r="K693" s="40"/>
      <c r="L693" s="40"/>
      <c r="M693" s="40"/>
      <c r="N693" s="40"/>
      <c r="O693" s="40"/>
      <c r="P693" s="40"/>
      <c r="Q693" s="40"/>
      <c r="R693" s="40"/>
      <c r="S693" s="40"/>
      <c r="T693" s="40"/>
      <c r="U693" s="40"/>
      <c r="V693" s="40"/>
      <c r="W693" s="40"/>
      <c r="X693" s="40"/>
      <c r="Y693" s="40"/>
      <c r="Z693" s="40"/>
    </row>
    <row r="694">
      <c r="A694" s="72"/>
      <c r="B694" s="72"/>
      <c r="C694" s="23"/>
      <c r="D694" s="23"/>
      <c r="E694" s="40"/>
      <c r="F694" s="40"/>
      <c r="G694" s="40"/>
      <c r="H694" s="40"/>
      <c r="I694" s="40"/>
      <c r="J694" s="40"/>
      <c r="K694" s="40"/>
      <c r="L694" s="40"/>
      <c r="M694" s="40"/>
      <c r="N694" s="40"/>
      <c r="O694" s="40"/>
      <c r="P694" s="40"/>
      <c r="Q694" s="40"/>
      <c r="R694" s="40"/>
      <c r="S694" s="40"/>
      <c r="T694" s="40"/>
      <c r="U694" s="40"/>
      <c r="V694" s="40"/>
      <c r="W694" s="40"/>
      <c r="X694" s="40"/>
      <c r="Y694" s="40"/>
      <c r="Z694" s="40"/>
    </row>
    <row r="695">
      <c r="A695" s="72"/>
      <c r="B695" s="72"/>
      <c r="C695" s="23"/>
      <c r="D695" s="23"/>
      <c r="E695" s="40"/>
      <c r="F695" s="40"/>
      <c r="G695" s="40"/>
      <c r="H695" s="40"/>
      <c r="I695" s="40"/>
      <c r="J695" s="40"/>
      <c r="K695" s="40"/>
      <c r="L695" s="40"/>
      <c r="M695" s="40"/>
      <c r="N695" s="40"/>
      <c r="O695" s="40"/>
      <c r="P695" s="40"/>
      <c r="Q695" s="40"/>
      <c r="R695" s="40"/>
      <c r="S695" s="40"/>
      <c r="T695" s="40"/>
      <c r="U695" s="40"/>
      <c r="V695" s="40"/>
      <c r="W695" s="40"/>
      <c r="X695" s="40"/>
      <c r="Y695" s="40"/>
      <c r="Z695" s="40"/>
    </row>
    <row r="696">
      <c r="A696" s="72"/>
      <c r="B696" s="72"/>
      <c r="C696" s="23"/>
      <c r="D696" s="23"/>
      <c r="E696" s="40"/>
      <c r="F696" s="40"/>
      <c r="G696" s="40"/>
      <c r="H696" s="40"/>
      <c r="I696" s="40"/>
      <c r="J696" s="40"/>
      <c r="K696" s="40"/>
      <c r="L696" s="40"/>
      <c r="M696" s="40"/>
      <c r="N696" s="40"/>
      <c r="O696" s="40"/>
      <c r="P696" s="40"/>
      <c r="Q696" s="40"/>
      <c r="R696" s="40"/>
      <c r="S696" s="40"/>
      <c r="T696" s="40"/>
      <c r="U696" s="40"/>
      <c r="V696" s="40"/>
      <c r="W696" s="40"/>
      <c r="X696" s="40"/>
      <c r="Y696" s="40"/>
      <c r="Z696" s="40"/>
    </row>
    <row r="697">
      <c r="A697" s="72"/>
      <c r="B697" s="72"/>
      <c r="C697" s="23"/>
      <c r="D697" s="23"/>
      <c r="E697" s="40"/>
      <c r="F697" s="40"/>
      <c r="G697" s="40"/>
      <c r="H697" s="40"/>
      <c r="I697" s="40"/>
      <c r="J697" s="40"/>
      <c r="K697" s="40"/>
      <c r="L697" s="40"/>
      <c r="M697" s="40"/>
      <c r="N697" s="40"/>
      <c r="O697" s="40"/>
      <c r="P697" s="40"/>
      <c r="Q697" s="40"/>
      <c r="R697" s="40"/>
      <c r="S697" s="40"/>
      <c r="T697" s="40"/>
      <c r="U697" s="40"/>
      <c r="V697" s="40"/>
      <c r="W697" s="40"/>
      <c r="X697" s="40"/>
      <c r="Y697" s="40"/>
      <c r="Z697" s="40"/>
    </row>
    <row r="698">
      <c r="A698" s="72"/>
      <c r="B698" s="72"/>
      <c r="C698" s="23"/>
      <c r="D698" s="23"/>
      <c r="E698" s="40"/>
      <c r="F698" s="40"/>
      <c r="G698" s="40"/>
      <c r="H698" s="40"/>
      <c r="I698" s="40"/>
      <c r="J698" s="40"/>
      <c r="K698" s="40"/>
      <c r="L698" s="40"/>
      <c r="M698" s="40"/>
      <c r="N698" s="40"/>
      <c r="O698" s="40"/>
      <c r="P698" s="40"/>
      <c r="Q698" s="40"/>
      <c r="R698" s="40"/>
      <c r="S698" s="40"/>
      <c r="T698" s="40"/>
      <c r="U698" s="40"/>
      <c r="V698" s="40"/>
      <c r="W698" s="40"/>
      <c r="X698" s="40"/>
      <c r="Y698" s="40"/>
      <c r="Z698" s="40"/>
    </row>
    <row r="699">
      <c r="A699" s="72"/>
      <c r="B699" s="72"/>
      <c r="C699" s="23"/>
      <c r="D699" s="23"/>
      <c r="E699" s="40"/>
      <c r="F699" s="40"/>
      <c r="G699" s="40"/>
      <c r="H699" s="40"/>
      <c r="I699" s="40"/>
      <c r="J699" s="40"/>
      <c r="K699" s="40"/>
      <c r="L699" s="40"/>
      <c r="M699" s="40"/>
      <c r="N699" s="40"/>
      <c r="O699" s="40"/>
      <c r="P699" s="40"/>
      <c r="Q699" s="40"/>
      <c r="R699" s="40"/>
      <c r="S699" s="40"/>
      <c r="T699" s="40"/>
      <c r="U699" s="40"/>
      <c r="V699" s="40"/>
      <c r="W699" s="40"/>
      <c r="X699" s="40"/>
      <c r="Y699" s="40"/>
      <c r="Z699" s="40"/>
    </row>
    <row r="700">
      <c r="A700" s="72"/>
      <c r="B700" s="72"/>
      <c r="C700" s="23"/>
      <c r="D700" s="23"/>
      <c r="E700" s="40"/>
      <c r="F700" s="40"/>
      <c r="G700" s="40"/>
      <c r="H700" s="40"/>
      <c r="I700" s="40"/>
      <c r="J700" s="40"/>
      <c r="K700" s="40"/>
      <c r="L700" s="40"/>
      <c r="M700" s="40"/>
      <c r="N700" s="40"/>
      <c r="O700" s="40"/>
      <c r="P700" s="40"/>
      <c r="Q700" s="40"/>
      <c r="R700" s="40"/>
      <c r="S700" s="40"/>
      <c r="T700" s="40"/>
      <c r="U700" s="40"/>
      <c r="V700" s="40"/>
      <c r="W700" s="40"/>
      <c r="X700" s="40"/>
      <c r="Y700" s="40"/>
      <c r="Z700" s="40"/>
    </row>
    <row r="701">
      <c r="A701" s="72"/>
      <c r="B701" s="72"/>
      <c r="C701" s="23"/>
      <c r="D701" s="23"/>
      <c r="E701" s="40"/>
      <c r="F701" s="40"/>
      <c r="G701" s="40"/>
      <c r="H701" s="40"/>
      <c r="I701" s="40"/>
      <c r="J701" s="40"/>
      <c r="K701" s="40"/>
      <c r="L701" s="40"/>
      <c r="M701" s="40"/>
      <c r="N701" s="40"/>
      <c r="O701" s="40"/>
      <c r="P701" s="40"/>
      <c r="Q701" s="40"/>
      <c r="R701" s="40"/>
      <c r="S701" s="40"/>
      <c r="T701" s="40"/>
      <c r="U701" s="40"/>
      <c r="V701" s="40"/>
      <c r="W701" s="40"/>
      <c r="X701" s="40"/>
      <c r="Y701" s="40"/>
      <c r="Z701" s="40"/>
    </row>
    <row r="702">
      <c r="A702" s="72"/>
      <c r="B702" s="72"/>
      <c r="C702" s="23"/>
      <c r="D702" s="23"/>
      <c r="E702" s="40"/>
      <c r="F702" s="40"/>
      <c r="G702" s="40"/>
      <c r="H702" s="40"/>
      <c r="I702" s="40"/>
      <c r="J702" s="40"/>
      <c r="K702" s="40"/>
      <c r="L702" s="40"/>
      <c r="M702" s="40"/>
      <c r="N702" s="40"/>
      <c r="O702" s="40"/>
      <c r="P702" s="40"/>
      <c r="Q702" s="40"/>
      <c r="R702" s="40"/>
      <c r="S702" s="40"/>
      <c r="T702" s="40"/>
      <c r="U702" s="40"/>
      <c r="V702" s="40"/>
      <c r="W702" s="40"/>
      <c r="X702" s="40"/>
      <c r="Y702" s="40"/>
      <c r="Z702" s="40"/>
    </row>
    <row r="703">
      <c r="A703" s="72"/>
      <c r="B703" s="72"/>
      <c r="C703" s="23"/>
      <c r="D703" s="23"/>
      <c r="E703" s="40"/>
      <c r="F703" s="40"/>
      <c r="G703" s="40"/>
      <c r="H703" s="40"/>
      <c r="I703" s="40"/>
      <c r="J703" s="40"/>
      <c r="K703" s="40"/>
      <c r="L703" s="40"/>
      <c r="M703" s="40"/>
      <c r="N703" s="40"/>
      <c r="O703" s="40"/>
      <c r="P703" s="40"/>
      <c r="Q703" s="40"/>
      <c r="R703" s="40"/>
      <c r="S703" s="40"/>
      <c r="T703" s="40"/>
      <c r="U703" s="40"/>
      <c r="V703" s="40"/>
      <c r="W703" s="40"/>
      <c r="X703" s="40"/>
      <c r="Y703" s="40"/>
      <c r="Z703" s="40"/>
    </row>
    <row r="704">
      <c r="A704" s="72"/>
      <c r="B704" s="72"/>
      <c r="C704" s="23"/>
      <c r="D704" s="23"/>
      <c r="E704" s="40"/>
      <c r="F704" s="40"/>
      <c r="G704" s="40"/>
      <c r="H704" s="40"/>
      <c r="I704" s="40"/>
      <c r="J704" s="40"/>
      <c r="K704" s="40"/>
      <c r="L704" s="40"/>
      <c r="M704" s="40"/>
      <c r="N704" s="40"/>
      <c r="O704" s="40"/>
      <c r="P704" s="40"/>
      <c r="Q704" s="40"/>
      <c r="R704" s="40"/>
      <c r="S704" s="40"/>
      <c r="T704" s="40"/>
      <c r="U704" s="40"/>
      <c r="V704" s="40"/>
      <c r="W704" s="40"/>
      <c r="X704" s="40"/>
      <c r="Y704" s="40"/>
      <c r="Z704" s="40"/>
    </row>
    <row r="705">
      <c r="A705" s="72"/>
      <c r="B705" s="72"/>
      <c r="C705" s="23"/>
      <c r="D705" s="23"/>
      <c r="E705" s="40"/>
      <c r="F705" s="40"/>
      <c r="G705" s="40"/>
      <c r="H705" s="40"/>
      <c r="I705" s="40"/>
      <c r="J705" s="40"/>
      <c r="K705" s="40"/>
      <c r="L705" s="40"/>
      <c r="M705" s="40"/>
      <c r="N705" s="40"/>
      <c r="O705" s="40"/>
      <c r="P705" s="40"/>
      <c r="Q705" s="40"/>
      <c r="R705" s="40"/>
      <c r="S705" s="40"/>
      <c r="T705" s="40"/>
      <c r="U705" s="40"/>
      <c r="V705" s="40"/>
      <c r="W705" s="40"/>
      <c r="X705" s="40"/>
      <c r="Y705" s="40"/>
      <c r="Z705" s="40"/>
    </row>
    <row r="706">
      <c r="A706" s="72"/>
      <c r="B706" s="72"/>
      <c r="C706" s="23"/>
      <c r="D706" s="23"/>
      <c r="E706" s="40"/>
      <c r="F706" s="40"/>
      <c r="G706" s="40"/>
      <c r="H706" s="40"/>
      <c r="I706" s="40"/>
      <c r="J706" s="40"/>
      <c r="K706" s="40"/>
      <c r="L706" s="40"/>
      <c r="M706" s="40"/>
      <c r="N706" s="40"/>
      <c r="O706" s="40"/>
      <c r="P706" s="40"/>
      <c r="Q706" s="40"/>
      <c r="R706" s="40"/>
      <c r="S706" s="40"/>
      <c r="T706" s="40"/>
      <c r="U706" s="40"/>
      <c r="V706" s="40"/>
      <c r="W706" s="40"/>
      <c r="X706" s="40"/>
      <c r="Y706" s="40"/>
      <c r="Z706" s="40"/>
    </row>
    <row r="707">
      <c r="A707" s="72"/>
      <c r="B707" s="72"/>
      <c r="C707" s="23"/>
      <c r="D707" s="23"/>
      <c r="E707" s="40"/>
      <c r="F707" s="40"/>
      <c r="G707" s="40"/>
      <c r="H707" s="40"/>
      <c r="I707" s="40"/>
      <c r="J707" s="40"/>
      <c r="K707" s="40"/>
      <c r="L707" s="40"/>
      <c r="M707" s="40"/>
      <c r="N707" s="40"/>
      <c r="O707" s="40"/>
      <c r="P707" s="40"/>
      <c r="Q707" s="40"/>
      <c r="R707" s="40"/>
      <c r="S707" s="40"/>
      <c r="T707" s="40"/>
      <c r="U707" s="40"/>
      <c r="V707" s="40"/>
      <c r="W707" s="40"/>
      <c r="X707" s="40"/>
      <c r="Y707" s="40"/>
      <c r="Z707" s="40"/>
    </row>
    <row r="708">
      <c r="A708" s="72"/>
      <c r="B708" s="72"/>
      <c r="C708" s="23"/>
      <c r="D708" s="23"/>
      <c r="E708" s="40"/>
      <c r="F708" s="40"/>
      <c r="G708" s="40"/>
      <c r="H708" s="40"/>
      <c r="I708" s="40"/>
      <c r="J708" s="40"/>
      <c r="K708" s="40"/>
      <c r="L708" s="40"/>
      <c r="M708" s="40"/>
      <c r="N708" s="40"/>
      <c r="O708" s="40"/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0"/>
    </row>
    <row r="709">
      <c r="A709" s="72"/>
      <c r="B709" s="72"/>
      <c r="C709" s="23"/>
      <c r="D709" s="23"/>
      <c r="E709" s="40"/>
      <c r="F709" s="40"/>
      <c r="G709" s="40"/>
      <c r="H709" s="40"/>
      <c r="I709" s="40"/>
      <c r="J709" s="40"/>
      <c r="K709" s="40"/>
      <c r="L709" s="40"/>
      <c r="M709" s="40"/>
      <c r="N709" s="40"/>
      <c r="O709" s="40"/>
      <c r="P709" s="40"/>
      <c r="Q709" s="40"/>
      <c r="R709" s="40"/>
      <c r="S709" s="40"/>
      <c r="T709" s="40"/>
      <c r="U709" s="40"/>
      <c r="V709" s="40"/>
      <c r="W709" s="40"/>
      <c r="X709" s="40"/>
      <c r="Y709" s="40"/>
      <c r="Z709" s="40"/>
    </row>
    <row r="710">
      <c r="A710" s="72"/>
      <c r="B710" s="72"/>
      <c r="C710" s="23"/>
      <c r="D710" s="23"/>
      <c r="E710" s="40"/>
      <c r="F710" s="40"/>
      <c r="G710" s="40"/>
      <c r="H710" s="40"/>
      <c r="I710" s="40"/>
      <c r="J710" s="40"/>
      <c r="K710" s="40"/>
      <c r="L710" s="40"/>
      <c r="M710" s="40"/>
      <c r="N710" s="40"/>
      <c r="O710" s="40"/>
      <c r="P710" s="40"/>
      <c r="Q710" s="40"/>
      <c r="R710" s="40"/>
      <c r="S710" s="40"/>
      <c r="T710" s="40"/>
      <c r="U710" s="40"/>
      <c r="V710" s="40"/>
      <c r="W710" s="40"/>
      <c r="X710" s="40"/>
      <c r="Y710" s="40"/>
      <c r="Z710" s="40"/>
    </row>
    <row r="711">
      <c r="A711" s="72"/>
      <c r="B711" s="72"/>
      <c r="C711" s="23"/>
      <c r="D711" s="23"/>
      <c r="E711" s="40"/>
      <c r="F711" s="40"/>
      <c r="G711" s="40"/>
      <c r="H711" s="40"/>
      <c r="I711" s="40"/>
      <c r="J711" s="40"/>
      <c r="K711" s="40"/>
      <c r="L711" s="40"/>
      <c r="M711" s="40"/>
      <c r="N711" s="40"/>
      <c r="O711" s="40"/>
      <c r="P711" s="40"/>
      <c r="Q711" s="40"/>
      <c r="R711" s="40"/>
      <c r="S711" s="40"/>
      <c r="T711" s="40"/>
      <c r="U711" s="40"/>
      <c r="V711" s="40"/>
      <c r="W711" s="40"/>
      <c r="X711" s="40"/>
      <c r="Y711" s="40"/>
      <c r="Z711" s="40"/>
    </row>
    <row r="712">
      <c r="A712" s="72"/>
      <c r="B712" s="72"/>
      <c r="C712" s="23"/>
      <c r="D712" s="23"/>
      <c r="E712" s="40"/>
      <c r="F712" s="40"/>
      <c r="G712" s="40"/>
      <c r="H712" s="40"/>
      <c r="I712" s="40"/>
      <c r="J712" s="40"/>
      <c r="K712" s="40"/>
      <c r="L712" s="40"/>
      <c r="M712" s="40"/>
      <c r="N712" s="40"/>
      <c r="O712" s="40"/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0"/>
    </row>
    <row r="713">
      <c r="A713" s="72"/>
      <c r="B713" s="72"/>
      <c r="C713" s="23"/>
      <c r="D713" s="23"/>
      <c r="E713" s="40"/>
      <c r="F713" s="40"/>
      <c r="G713" s="40"/>
      <c r="H713" s="40"/>
      <c r="I713" s="40"/>
      <c r="J713" s="40"/>
      <c r="K713" s="40"/>
      <c r="L713" s="40"/>
      <c r="M713" s="40"/>
      <c r="N713" s="40"/>
      <c r="O713" s="40"/>
      <c r="P713" s="40"/>
      <c r="Q713" s="40"/>
      <c r="R713" s="40"/>
      <c r="S713" s="40"/>
      <c r="T713" s="40"/>
      <c r="U713" s="40"/>
      <c r="V713" s="40"/>
      <c r="W713" s="40"/>
      <c r="X713" s="40"/>
      <c r="Y713" s="40"/>
      <c r="Z713" s="40"/>
    </row>
    <row r="714">
      <c r="A714" s="72"/>
      <c r="B714" s="72"/>
      <c r="C714" s="23"/>
      <c r="D714" s="23"/>
      <c r="E714" s="40"/>
      <c r="F714" s="40"/>
      <c r="G714" s="40"/>
      <c r="H714" s="40"/>
      <c r="I714" s="40"/>
      <c r="J714" s="40"/>
      <c r="K714" s="40"/>
      <c r="L714" s="40"/>
      <c r="M714" s="40"/>
      <c r="N714" s="40"/>
      <c r="O714" s="40"/>
      <c r="P714" s="40"/>
      <c r="Q714" s="40"/>
      <c r="R714" s="40"/>
      <c r="S714" s="40"/>
      <c r="T714" s="40"/>
      <c r="U714" s="40"/>
      <c r="V714" s="40"/>
      <c r="W714" s="40"/>
      <c r="X714" s="40"/>
      <c r="Y714" s="40"/>
      <c r="Z714" s="40"/>
    </row>
    <row r="715">
      <c r="A715" s="72"/>
      <c r="B715" s="72"/>
      <c r="C715" s="23"/>
      <c r="D715" s="23"/>
      <c r="E715" s="40"/>
      <c r="F715" s="40"/>
      <c r="G715" s="40"/>
      <c r="H715" s="40"/>
      <c r="I715" s="40"/>
      <c r="J715" s="40"/>
      <c r="K715" s="40"/>
      <c r="L715" s="40"/>
      <c r="M715" s="40"/>
      <c r="N715" s="40"/>
      <c r="O715" s="40"/>
      <c r="P715" s="40"/>
      <c r="Q715" s="40"/>
      <c r="R715" s="40"/>
      <c r="S715" s="40"/>
      <c r="T715" s="40"/>
      <c r="U715" s="40"/>
      <c r="V715" s="40"/>
      <c r="W715" s="40"/>
      <c r="X715" s="40"/>
      <c r="Y715" s="40"/>
      <c r="Z715" s="40"/>
    </row>
    <row r="716">
      <c r="A716" s="72"/>
      <c r="B716" s="72"/>
      <c r="C716" s="23"/>
      <c r="D716" s="23"/>
      <c r="E716" s="40"/>
      <c r="F716" s="40"/>
      <c r="G716" s="40"/>
      <c r="H716" s="40"/>
      <c r="I716" s="40"/>
      <c r="J716" s="40"/>
      <c r="K716" s="40"/>
      <c r="L716" s="40"/>
      <c r="M716" s="40"/>
      <c r="N716" s="40"/>
      <c r="O716" s="40"/>
      <c r="P716" s="40"/>
      <c r="Q716" s="40"/>
      <c r="R716" s="40"/>
      <c r="S716" s="40"/>
      <c r="T716" s="40"/>
      <c r="U716" s="40"/>
      <c r="V716" s="40"/>
      <c r="W716" s="40"/>
      <c r="X716" s="40"/>
      <c r="Y716" s="40"/>
      <c r="Z716" s="40"/>
    </row>
    <row r="717">
      <c r="A717" s="72"/>
      <c r="B717" s="72"/>
      <c r="C717" s="23"/>
      <c r="D717" s="23"/>
      <c r="E717" s="40"/>
      <c r="F717" s="40"/>
      <c r="G717" s="40"/>
      <c r="H717" s="40"/>
      <c r="I717" s="40"/>
      <c r="J717" s="40"/>
      <c r="K717" s="40"/>
      <c r="L717" s="40"/>
      <c r="M717" s="40"/>
      <c r="N717" s="40"/>
      <c r="O717" s="40"/>
      <c r="P717" s="40"/>
      <c r="Q717" s="40"/>
      <c r="R717" s="40"/>
      <c r="S717" s="40"/>
      <c r="T717" s="40"/>
      <c r="U717" s="40"/>
      <c r="V717" s="40"/>
      <c r="W717" s="40"/>
      <c r="X717" s="40"/>
      <c r="Y717" s="40"/>
      <c r="Z717" s="40"/>
    </row>
    <row r="718">
      <c r="A718" s="72"/>
      <c r="B718" s="72"/>
      <c r="C718" s="23"/>
      <c r="D718" s="23"/>
      <c r="E718" s="40"/>
      <c r="F718" s="40"/>
      <c r="G718" s="40"/>
      <c r="H718" s="40"/>
      <c r="I718" s="40"/>
      <c r="J718" s="40"/>
      <c r="K718" s="40"/>
      <c r="L718" s="40"/>
      <c r="M718" s="40"/>
      <c r="N718" s="40"/>
      <c r="O718" s="40"/>
      <c r="P718" s="40"/>
      <c r="Q718" s="40"/>
      <c r="R718" s="40"/>
      <c r="S718" s="40"/>
      <c r="T718" s="40"/>
      <c r="U718" s="40"/>
      <c r="V718" s="40"/>
      <c r="W718" s="40"/>
      <c r="X718" s="40"/>
      <c r="Y718" s="40"/>
      <c r="Z718" s="40"/>
    </row>
    <row r="719">
      <c r="A719" s="72"/>
      <c r="B719" s="72"/>
      <c r="C719" s="23"/>
      <c r="D719" s="23"/>
      <c r="E719" s="40"/>
      <c r="F719" s="40"/>
      <c r="G719" s="40"/>
      <c r="H719" s="40"/>
      <c r="I719" s="40"/>
      <c r="J719" s="40"/>
      <c r="K719" s="40"/>
      <c r="L719" s="40"/>
      <c r="M719" s="40"/>
      <c r="N719" s="40"/>
      <c r="O719" s="40"/>
      <c r="P719" s="40"/>
      <c r="Q719" s="40"/>
      <c r="R719" s="40"/>
      <c r="S719" s="40"/>
      <c r="T719" s="40"/>
      <c r="U719" s="40"/>
      <c r="V719" s="40"/>
      <c r="W719" s="40"/>
      <c r="X719" s="40"/>
      <c r="Y719" s="40"/>
      <c r="Z719" s="40"/>
    </row>
    <row r="720">
      <c r="A720" s="72"/>
      <c r="B720" s="72"/>
      <c r="C720" s="23"/>
      <c r="D720" s="23"/>
      <c r="E720" s="40"/>
      <c r="F720" s="40"/>
      <c r="G720" s="40"/>
      <c r="H720" s="40"/>
      <c r="I720" s="40"/>
      <c r="J720" s="40"/>
      <c r="K720" s="40"/>
      <c r="L720" s="40"/>
      <c r="M720" s="40"/>
      <c r="N720" s="40"/>
      <c r="O720" s="40"/>
      <c r="P720" s="40"/>
      <c r="Q720" s="40"/>
      <c r="R720" s="40"/>
      <c r="S720" s="40"/>
      <c r="T720" s="40"/>
      <c r="U720" s="40"/>
      <c r="V720" s="40"/>
      <c r="W720" s="40"/>
      <c r="X720" s="40"/>
      <c r="Y720" s="40"/>
      <c r="Z720" s="40"/>
    </row>
    <row r="721">
      <c r="A721" s="72"/>
      <c r="B721" s="72"/>
      <c r="C721" s="23"/>
      <c r="D721" s="23"/>
      <c r="E721" s="40"/>
      <c r="F721" s="40"/>
      <c r="G721" s="40"/>
      <c r="H721" s="40"/>
      <c r="I721" s="40"/>
      <c r="J721" s="40"/>
      <c r="K721" s="40"/>
      <c r="L721" s="40"/>
      <c r="M721" s="40"/>
      <c r="N721" s="40"/>
      <c r="O721" s="40"/>
      <c r="P721" s="40"/>
      <c r="Q721" s="40"/>
      <c r="R721" s="40"/>
      <c r="S721" s="40"/>
      <c r="T721" s="40"/>
      <c r="U721" s="40"/>
      <c r="V721" s="40"/>
      <c r="W721" s="40"/>
      <c r="X721" s="40"/>
      <c r="Y721" s="40"/>
      <c r="Z721" s="40"/>
    </row>
    <row r="722">
      <c r="A722" s="72"/>
      <c r="B722" s="72"/>
      <c r="C722" s="23"/>
      <c r="D722" s="23"/>
      <c r="E722" s="40"/>
      <c r="F722" s="40"/>
      <c r="G722" s="40"/>
      <c r="H722" s="40"/>
      <c r="I722" s="40"/>
      <c r="J722" s="40"/>
      <c r="K722" s="40"/>
      <c r="L722" s="40"/>
      <c r="M722" s="40"/>
      <c r="N722" s="40"/>
      <c r="O722" s="40"/>
      <c r="P722" s="40"/>
      <c r="Q722" s="40"/>
      <c r="R722" s="40"/>
      <c r="S722" s="40"/>
      <c r="T722" s="40"/>
      <c r="U722" s="40"/>
      <c r="V722" s="40"/>
      <c r="W722" s="40"/>
      <c r="X722" s="40"/>
      <c r="Y722" s="40"/>
      <c r="Z722" s="40"/>
    </row>
    <row r="723">
      <c r="A723" s="72"/>
      <c r="B723" s="72"/>
      <c r="C723" s="23"/>
      <c r="D723" s="23"/>
      <c r="E723" s="40"/>
      <c r="F723" s="40"/>
      <c r="G723" s="40"/>
      <c r="H723" s="40"/>
      <c r="I723" s="40"/>
      <c r="J723" s="40"/>
      <c r="K723" s="40"/>
      <c r="L723" s="40"/>
      <c r="M723" s="40"/>
      <c r="N723" s="40"/>
      <c r="O723" s="40"/>
      <c r="P723" s="40"/>
      <c r="Q723" s="40"/>
      <c r="R723" s="40"/>
      <c r="S723" s="40"/>
      <c r="T723" s="40"/>
      <c r="U723" s="40"/>
      <c r="V723" s="40"/>
      <c r="W723" s="40"/>
      <c r="X723" s="40"/>
      <c r="Y723" s="40"/>
      <c r="Z723" s="40"/>
    </row>
    <row r="724">
      <c r="A724" s="72"/>
      <c r="B724" s="72"/>
      <c r="C724" s="23"/>
      <c r="D724" s="23"/>
      <c r="E724" s="40"/>
      <c r="F724" s="40"/>
      <c r="G724" s="40"/>
      <c r="H724" s="40"/>
      <c r="I724" s="40"/>
      <c r="J724" s="40"/>
      <c r="K724" s="40"/>
      <c r="L724" s="40"/>
      <c r="M724" s="40"/>
      <c r="N724" s="40"/>
      <c r="O724" s="40"/>
      <c r="P724" s="40"/>
      <c r="Q724" s="40"/>
      <c r="R724" s="40"/>
      <c r="S724" s="40"/>
      <c r="T724" s="40"/>
      <c r="U724" s="40"/>
      <c r="V724" s="40"/>
      <c r="W724" s="40"/>
      <c r="X724" s="40"/>
      <c r="Y724" s="40"/>
      <c r="Z724" s="40"/>
    </row>
    <row r="725">
      <c r="A725" s="72"/>
      <c r="B725" s="72"/>
      <c r="C725" s="23"/>
      <c r="D725" s="23"/>
      <c r="E725" s="40"/>
      <c r="F725" s="40"/>
      <c r="G725" s="40"/>
      <c r="H725" s="40"/>
      <c r="I725" s="40"/>
      <c r="J725" s="40"/>
      <c r="K725" s="40"/>
      <c r="L725" s="40"/>
      <c r="M725" s="40"/>
      <c r="N725" s="40"/>
      <c r="O725" s="40"/>
      <c r="P725" s="40"/>
      <c r="Q725" s="40"/>
      <c r="R725" s="40"/>
      <c r="S725" s="40"/>
      <c r="T725" s="40"/>
      <c r="U725" s="40"/>
      <c r="V725" s="40"/>
      <c r="W725" s="40"/>
      <c r="X725" s="40"/>
      <c r="Y725" s="40"/>
      <c r="Z725" s="40"/>
    </row>
    <row r="726">
      <c r="A726" s="72"/>
      <c r="B726" s="72"/>
      <c r="C726" s="23"/>
      <c r="D726" s="23"/>
      <c r="E726" s="40"/>
      <c r="F726" s="40"/>
      <c r="G726" s="40"/>
      <c r="H726" s="40"/>
      <c r="I726" s="40"/>
      <c r="J726" s="40"/>
      <c r="K726" s="40"/>
      <c r="L726" s="40"/>
      <c r="M726" s="40"/>
      <c r="N726" s="40"/>
      <c r="O726" s="40"/>
      <c r="P726" s="40"/>
      <c r="Q726" s="40"/>
      <c r="R726" s="40"/>
      <c r="S726" s="40"/>
      <c r="T726" s="40"/>
      <c r="U726" s="40"/>
      <c r="V726" s="40"/>
      <c r="W726" s="40"/>
      <c r="X726" s="40"/>
      <c r="Y726" s="40"/>
      <c r="Z726" s="40"/>
    </row>
    <row r="727">
      <c r="A727" s="72"/>
      <c r="B727" s="72"/>
      <c r="C727" s="23"/>
      <c r="D727" s="23"/>
      <c r="E727" s="40"/>
      <c r="F727" s="40"/>
      <c r="G727" s="40"/>
      <c r="H727" s="40"/>
      <c r="I727" s="40"/>
      <c r="J727" s="40"/>
      <c r="K727" s="40"/>
      <c r="L727" s="40"/>
      <c r="M727" s="40"/>
      <c r="N727" s="40"/>
      <c r="O727" s="40"/>
      <c r="P727" s="40"/>
      <c r="Q727" s="40"/>
      <c r="R727" s="40"/>
      <c r="S727" s="40"/>
      <c r="T727" s="40"/>
      <c r="U727" s="40"/>
      <c r="V727" s="40"/>
      <c r="W727" s="40"/>
      <c r="X727" s="40"/>
      <c r="Y727" s="40"/>
      <c r="Z727" s="40"/>
    </row>
    <row r="728">
      <c r="A728" s="72"/>
      <c r="B728" s="72"/>
      <c r="C728" s="23"/>
      <c r="D728" s="23"/>
      <c r="E728" s="40"/>
      <c r="F728" s="40"/>
      <c r="G728" s="40"/>
      <c r="H728" s="40"/>
      <c r="I728" s="40"/>
      <c r="J728" s="40"/>
      <c r="K728" s="40"/>
      <c r="L728" s="40"/>
      <c r="M728" s="40"/>
      <c r="N728" s="40"/>
      <c r="O728" s="40"/>
      <c r="P728" s="40"/>
      <c r="Q728" s="40"/>
      <c r="R728" s="40"/>
      <c r="S728" s="40"/>
      <c r="T728" s="40"/>
      <c r="U728" s="40"/>
      <c r="V728" s="40"/>
      <c r="W728" s="40"/>
      <c r="X728" s="40"/>
      <c r="Y728" s="40"/>
      <c r="Z728" s="40"/>
    </row>
    <row r="729">
      <c r="A729" s="72"/>
      <c r="B729" s="72"/>
      <c r="C729" s="23"/>
      <c r="D729" s="23"/>
      <c r="E729" s="40"/>
      <c r="F729" s="40"/>
      <c r="G729" s="40"/>
      <c r="H729" s="40"/>
      <c r="I729" s="40"/>
      <c r="J729" s="40"/>
      <c r="K729" s="40"/>
      <c r="L729" s="40"/>
      <c r="M729" s="40"/>
      <c r="N729" s="40"/>
      <c r="O729" s="40"/>
      <c r="P729" s="40"/>
      <c r="Q729" s="40"/>
      <c r="R729" s="40"/>
      <c r="S729" s="40"/>
      <c r="T729" s="40"/>
      <c r="U729" s="40"/>
      <c r="V729" s="40"/>
      <c r="W729" s="40"/>
      <c r="X729" s="40"/>
      <c r="Y729" s="40"/>
      <c r="Z729" s="40"/>
    </row>
    <row r="730">
      <c r="A730" s="72"/>
      <c r="B730" s="72"/>
      <c r="C730" s="23"/>
      <c r="D730" s="23"/>
      <c r="E730" s="40"/>
      <c r="F730" s="40"/>
      <c r="G730" s="40"/>
      <c r="H730" s="40"/>
      <c r="I730" s="40"/>
      <c r="J730" s="40"/>
      <c r="K730" s="40"/>
      <c r="L730" s="40"/>
      <c r="M730" s="40"/>
      <c r="N730" s="40"/>
      <c r="O730" s="40"/>
      <c r="P730" s="40"/>
      <c r="Q730" s="40"/>
      <c r="R730" s="40"/>
      <c r="S730" s="40"/>
      <c r="T730" s="40"/>
      <c r="U730" s="40"/>
      <c r="V730" s="40"/>
      <c r="W730" s="40"/>
      <c r="X730" s="40"/>
      <c r="Y730" s="40"/>
      <c r="Z730" s="40"/>
    </row>
    <row r="731">
      <c r="A731" s="72"/>
      <c r="B731" s="72"/>
      <c r="C731" s="23"/>
      <c r="D731" s="23"/>
      <c r="E731" s="40"/>
      <c r="F731" s="40"/>
      <c r="G731" s="40"/>
      <c r="H731" s="40"/>
      <c r="I731" s="40"/>
      <c r="J731" s="40"/>
      <c r="K731" s="40"/>
      <c r="L731" s="40"/>
      <c r="M731" s="40"/>
      <c r="N731" s="40"/>
      <c r="O731" s="40"/>
      <c r="P731" s="40"/>
      <c r="Q731" s="40"/>
      <c r="R731" s="40"/>
      <c r="S731" s="40"/>
      <c r="T731" s="40"/>
      <c r="U731" s="40"/>
      <c r="V731" s="40"/>
      <c r="W731" s="40"/>
      <c r="X731" s="40"/>
      <c r="Y731" s="40"/>
      <c r="Z731" s="40"/>
    </row>
    <row r="732">
      <c r="A732" s="72"/>
      <c r="B732" s="72"/>
      <c r="C732" s="23"/>
      <c r="D732" s="23"/>
      <c r="E732" s="40"/>
      <c r="F732" s="40"/>
      <c r="G732" s="40"/>
      <c r="H732" s="40"/>
      <c r="I732" s="40"/>
      <c r="J732" s="40"/>
      <c r="K732" s="40"/>
      <c r="L732" s="40"/>
      <c r="M732" s="40"/>
      <c r="N732" s="40"/>
      <c r="O732" s="40"/>
      <c r="P732" s="40"/>
      <c r="Q732" s="40"/>
      <c r="R732" s="40"/>
      <c r="S732" s="40"/>
      <c r="T732" s="40"/>
      <c r="U732" s="40"/>
      <c r="V732" s="40"/>
      <c r="W732" s="40"/>
      <c r="X732" s="40"/>
      <c r="Y732" s="40"/>
      <c r="Z732" s="40"/>
    </row>
    <row r="733">
      <c r="A733" s="72"/>
      <c r="B733" s="72"/>
      <c r="C733" s="23"/>
      <c r="D733" s="23"/>
      <c r="E733" s="40"/>
      <c r="F733" s="40"/>
      <c r="G733" s="40"/>
      <c r="H733" s="40"/>
      <c r="I733" s="40"/>
      <c r="J733" s="40"/>
      <c r="K733" s="40"/>
      <c r="L733" s="40"/>
      <c r="M733" s="40"/>
      <c r="N733" s="40"/>
      <c r="O733" s="40"/>
      <c r="P733" s="40"/>
      <c r="Q733" s="40"/>
      <c r="R733" s="40"/>
      <c r="S733" s="40"/>
      <c r="T733" s="40"/>
      <c r="U733" s="40"/>
      <c r="V733" s="40"/>
      <c r="W733" s="40"/>
      <c r="X733" s="40"/>
      <c r="Y733" s="40"/>
      <c r="Z733" s="40"/>
    </row>
    <row r="734">
      <c r="A734" s="72"/>
      <c r="B734" s="72"/>
      <c r="C734" s="23"/>
      <c r="D734" s="23"/>
      <c r="E734" s="40"/>
      <c r="F734" s="40"/>
      <c r="G734" s="40"/>
      <c r="H734" s="40"/>
      <c r="I734" s="40"/>
      <c r="J734" s="40"/>
      <c r="K734" s="40"/>
      <c r="L734" s="40"/>
      <c r="M734" s="40"/>
      <c r="N734" s="40"/>
      <c r="O734" s="40"/>
      <c r="P734" s="40"/>
      <c r="Q734" s="40"/>
      <c r="R734" s="40"/>
      <c r="S734" s="40"/>
      <c r="T734" s="40"/>
      <c r="U734" s="40"/>
      <c r="V734" s="40"/>
      <c r="W734" s="40"/>
      <c r="X734" s="40"/>
      <c r="Y734" s="40"/>
      <c r="Z734" s="40"/>
    </row>
    <row r="735">
      <c r="A735" s="72"/>
      <c r="B735" s="72"/>
      <c r="C735" s="23"/>
      <c r="D735" s="23"/>
      <c r="E735" s="40"/>
      <c r="F735" s="40"/>
      <c r="G735" s="40"/>
      <c r="H735" s="40"/>
      <c r="I735" s="40"/>
      <c r="J735" s="40"/>
      <c r="K735" s="40"/>
      <c r="L735" s="40"/>
      <c r="M735" s="40"/>
      <c r="N735" s="40"/>
      <c r="O735" s="40"/>
      <c r="P735" s="40"/>
      <c r="Q735" s="40"/>
      <c r="R735" s="40"/>
      <c r="S735" s="40"/>
      <c r="T735" s="40"/>
      <c r="U735" s="40"/>
      <c r="V735" s="40"/>
      <c r="W735" s="40"/>
      <c r="X735" s="40"/>
      <c r="Y735" s="40"/>
      <c r="Z735" s="40"/>
    </row>
    <row r="736">
      <c r="A736" s="72"/>
      <c r="B736" s="72"/>
      <c r="C736" s="23"/>
      <c r="D736" s="23"/>
      <c r="E736" s="40"/>
      <c r="F736" s="40"/>
      <c r="G736" s="40"/>
      <c r="H736" s="40"/>
      <c r="I736" s="40"/>
      <c r="J736" s="40"/>
      <c r="K736" s="40"/>
      <c r="L736" s="40"/>
      <c r="M736" s="40"/>
      <c r="N736" s="40"/>
      <c r="O736" s="40"/>
      <c r="P736" s="40"/>
      <c r="Q736" s="40"/>
      <c r="R736" s="40"/>
      <c r="S736" s="40"/>
      <c r="T736" s="40"/>
      <c r="U736" s="40"/>
      <c r="V736" s="40"/>
      <c r="W736" s="40"/>
      <c r="X736" s="40"/>
      <c r="Y736" s="40"/>
      <c r="Z736" s="40"/>
    </row>
    <row r="737">
      <c r="A737" s="72"/>
      <c r="B737" s="72"/>
      <c r="C737" s="23"/>
      <c r="D737" s="23"/>
      <c r="E737" s="40"/>
      <c r="F737" s="40"/>
      <c r="G737" s="40"/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  <c r="U737" s="40"/>
      <c r="V737" s="40"/>
      <c r="W737" s="40"/>
      <c r="X737" s="40"/>
      <c r="Y737" s="40"/>
      <c r="Z737" s="40"/>
    </row>
    <row r="738">
      <c r="A738" s="72"/>
      <c r="B738" s="72"/>
      <c r="C738" s="23"/>
      <c r="D738" s="23"/>
      <c r="E738" s="40"/>
      <c r="F738" s="40"/>
      <c r="G738" s="40"/>
      <c r="H738" s="40"/>
      <c r="I738" s="40"/>
      <c r="J738" s="40"/>
      <c r="K738" s="40"/>
      <c r="L738" s="40"/>
      <c r="M738" s="40"/>
      <c r="N738" s="40"/>
      <c r="O738" s="40"/>
      <c r="P738" s="40"/>
      <c r="Q738" s="40"/>
      <c r="R738" s="40"/>
      <c r="S738" s="40"/>
      <c r="T738" s="40"/>
      <c r="U738" s="40"/>
      <c r="V738" s="40"/>
      <c r="W738" s="40"/>
      <c r="X738" s="40"/>
      <c r="Y738" s="40"/>
      <c r="Z738" s="40"/>
    </row>
    <row r="739">
      <c r="A739" s="72"/>
      <c r="B739" s="72"/>
      <c r="C739" s="23"/>
      <c r="D739" s="23"/>
      <c r="E739" s="40"/>
      <c r="F739" s="40"/>
      <c r="G739" s="40"/>
      <c r="H739" s="40"/>
      <c r="I739" s="40"/>
      <c r="J739" s="40"/>
      <c r="K739" s="40"/>
      <c r="L739" s="40"/>
      <c r="M739" s="40"/>
      <c r="N739" s="40"/>
      <c r="O739" s="40"/>
      <c r="P739" s="40"/>
      <c r="Q739" s="40"/>
      <c r="R739" s="40"/>
      <c r="S739" s="40"/>
      <c r="T739" s="40"/>
      <c r="U739" s="40"/>
      <c r="V739" s="40"/>
      <c r="W739" s="40"/>
      <c r="X739" s="40"/>
      <c r="Y739" s="40"/>
      <c r="Z739" s="40"/>
    </row>
    <row r="740">
      <c r="A740" s="72"/>
      <c r="B740" s="72"/>
      <c r="C740" s="23"/>
      <c r="D740" s="23"/>
      <c r="E740" s="40"/>
      <c r="F740" s="40"/>
      <c r="G740" s="40"/>
      <c r="H740" s="40"/>
      <c r="I740" s="40"/>
      <c r="J740" s="40"/>
      <c r="K740" s="40"/>
      <c r="L740" s="40"/>
      <c r="M740" s="40"/>
      <c r="N740" s="40"/>
      <c r="O740" s="40"/>
      <c r="P740" s="40"/>
      <c r="Q740" s="40"/>
      <c r="R740" s="40"/>
      <c r="S740" s="40"/>
      <c r="T740" s="40"/>
      <c r="U740" s="40"/>
      <c r="V740" s="40"/>
      <c r="W740" s="40"/>
      <c r="X740" s="40"/>
      <c r="Y740" s="40"/>
      <c r="Z740" s="40"/>
    </row>
    <row r="741">
      <c r="A741" s="72"/>
      <c r="B741" s="72"/>
      <c r="C741" s="23"/>
      <c r="D741" s="23"/>
      <c r="E741" s="40"/>
      <c r="F741" s="40"/>
      <c r="G741" s="40"/>
      <c r="H741" s="40"/>
      <c r="I741" s="40"/>
      <c r="J741" s="40"/>
      <c r="K741" s="40"/>
      <c r="L741" s="40"/>
      <c r="M741" s="40"/>
      <c r="N741" s="40"/>
      <c r="O741" s="40"/>
      <c r="P741" s="40"/>
      <c r="Q741" s="40"/>
      <c r="R741" s="40"/>
      <c r="S741" s="40"/>
      <c r="T741" s="40"/>
      <c r="U741" s="40"/>
      <c r="V741" s="40"/>
      <c r="W741" s="40"/>
      <c r="X741" s="40"/>
      <c r="Y741" s="40"/>
      <c r="Z741" s="40"/>
    </row>
    <row r="742">
      <c r="A742" s="72"/>
      <c r="B742" s="72"/>
      <c r="C742" s="23"/>
      <c r="D742" s="23"/>
      <c r="E742" s="40"/>
      <c r="F742" s="40"/>
      <c r="G742" s="40"/>
      <c r="H742" s="40"/>
      <c r="I742" s="40"/>
      <c r="J742" s="40"/>
      <c r="K742" s="40"/>
      <c r="L742" s="40"/>
      <c r="M742" s="40"/>
      <c r="N742" s="40"/>
      <c r="O742" s="40"/>
      <c r="P742" s="40"/>
      <c r="Q742" s="40"/>
      <c r="R742" s="40"/>
      <c r="S742" s="40"/>
      <c r="T742" s="40"/>
      <c r="U742" s="40"/>
      <c r="V742" s="40"/>
      <c r="W742" s="40"/>
      <c r="X742" s="40"/>
      <c r="Y742" s="40"/>
      <c r="Z742" s="40"/>
    </row>
    <row r="743">
      <c r="A743" s="72"/>
      <c r="B743" s="72"/>
      <c r="C743" s="23"/>
      <c r="D743" s="23"/>
      <c r="E743" s="40"/>
      <c r="F743" s="40"/>
      <c r="G743" s="40"/>
      <c r="H743" s="40"/>
      <c r="I743" s="40"/>
      <c r="J743" s="40"/>
      <c r="K743" s="40"/>
      <c r="L743" s="40"/>
      <c r="M743" s="40"/>
      <c r="N743" s="40"/>
      <c r="O743" s="40"/>
      <c r="P743" s="40"/>
      <c r="Q743" s="40"/>
      <c r="R743" s="40"/>
      <c r="S743" s="40"/>
      <c r="T743" s="40"/>
      <c r="U743" s="40"/>
      <c r="V743" s="40"/>
      <c r="W743" s="40"/>
      <c r="X743" s="40"/>
      <c r="Y743" s="40"/>
      <c r="Z743" s="40"/>
    </row>
    <row r="744">
      <c r="A744" s="72"/>
      <c r="B744" s="72"/>
      <c r="C744" s="23"/>
      <c r="D744" s="23"/>
      <c r="E744" s="40"/>
      <c r="F744" s="40"/>
      <c r="G744" s="40"/>
      <c r="H744" s="40"/>
      <c r="I744" s="40"/>
      <c r="J744" s="40"/>
      <c r="K744" s="40"/>
      <c r="L744" s="40"/>
      <c r="M744" s="40"/>
      <c r="N744" s="40"/>
      <c r="O744" s="40"/>
      <c r="P744" s="40"/>
      <c r="Q744" s="40"/>
      <c r="R744" s="40"/>
      <c r="S744" s="40"/>
      <c r="T744" s="40"/>
      <c r="U744" s="40"/>
      <c r="V744" s="40"/>
      <c r="W744" s="40"/>
      <c r="X744" s="40"/>
      <c r="Y744" s="40"/>
      <c r="Z744" s="40"/>
    </row>
    <row r="745">
      <c r="A745" s="72"/>
      <c r="B745" s="72"/>
      <c r="C745" s="23"/>
      <c r="D745" s="23"/>
      <c r="E745" s="40"/>
      <c r="F745" s="40"/>
      <c r="G745" s="40"/>
      <c r="H745" s="40"/>
      <c r="I745" s="40"/>
      <c r="J745" s="40"/>
      <c r="K745" s="40"/>
      <c r="L745" s="40"/>
      <c r="M745" s="40"/>
      <c r="N745" s="40"/>
      <c r="O745" s="40"/>
      <c r="P745" s="40"/>
      <c r="Q745" s="40"/>
      <c r="R745" s="40"/>
      <c r="S745" s="40"/>
      <c r="T745" s="40"/>
      <c r="U745" s="40"/>
      <c r="V745" s="40"/>
      <c r="W745" s="40"/>
      <c r="X745" s="40"/>
      <c r="Y745" s="40"/>
      <c r="Z745" s="40"/>
    </row>
    <row r="746">
      <c r="A746" s="72"/>
      <c r="B746" s="72"/>
      <c r="C746" s="23"/>
      <c r="D746" s="23"/>
      <c r="E746" s="40"/>
      <c r="F746" s="40"/>
      <c r="G746" s="40"/>
      <c r="H746" s="40"/>
      <c r="I746" s="40"/>
      <c r="J746" s="40"/>
      <c r="K746" s="40"/>
      <c r="L746" s="40"/>
      <c r="M746" s="40"/>
      <c r="N746" s="40"/>
      <c r="O746" s="40"/>
      <c r="P746" s="40"/>
      <c r="Q746" s="40"/>
      <c r="R746" s="40"/>
      <c r="S746" s="40"/>
      <c r="T746" s="40"/>
      <c r="U746" s="40"/>
      <c r="V746" s="40"/>
      <c r="W746" s="40"/>
      <c r="X746" s="40"/>
      <c r="Y746" s="40"/>
      <c r="Z746" s="40"/>
    </row>
    <row r="747">
      <c r="A747" s="72"/>
      <c r="B747" s="72"/>
      <c r="C747" s="23"/>
      <c r="D747" s="23"/>
      <c r="E747" s="40"/>
      <c r="F747" s="40"/>
      <c r="G747" s="40"/>
      <c r="H747" s="40"/>
      <c r="I747" s="40"/>
      <c r="J747" s="40"/>
      <c r="K747" s="40"/>
      <c r="L747" s="40"/>
      <c r="M747" s="40"/>
      <c r="N747" s="40"/>
      <c r="O747" s="40"/>
      <c r="P747" s="40"/>
      <c r="Q747" s="40"/>
      <c r="R747" s="40"/>
      <c r="S747" s="40"/>
      <c r="T747" s="40"/>
      <c r="U747" s="40"/>
      <c r="V747" s="40"/>
      <c r="W747" s="40"/>
      <c r="X747" s="40"/>
      <c r="Y747" s="40"/>
      <c r="Z747" s="40"/>
    </row>
    <row r="748">
      <c r="A748" s="72"/>
      <c r="B748" s="72"/>
      <c r="C748" s="23"/>
      <c r="D748" s="23"/>
      <c r="E748" s="40"/>
      <c r="F748" s="40"/>
      <c r="G748" s="40"/>
      <c r="H748" s="40"/>
      <c r="I748" s="40"/>
      <c r="J748" s="40"/>
      <c r="K748" s="40"/>
      <c r="L748" s="40"/>
      <c r="M748" s="40"/>
      <c r="N748" s="40"/>
      <c r="O748" s="40"/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0"/>
    </row>
    <row r="749">
      <c r="A749" s="72"/>
      <c r="B749" s="72"/>
      <c r="C749" s="23"/>
      <c r="D749" s="23"/>
      <c r="E749" s="40"/>
      <c r="F749" s="40"/>
      <c r="G749" s="40"/>
      <c r="H749" s="40"/>
      <c r="I749" s="40"/>
      <c r="J749" s="40"/>
      <c r="K749" s="40"/>
      <c r="L749" s="40"/>
      <c r="M749" s="40"/>
      <c r="N749" s="40"/>
      <c r="O749" s="40"/>
      <c r="P749" s="40"/>
      <c r="Q749" s="40"/>
      <c r="R749" s="40"/>
      <c r="S749" s="40"/>
      <c r="T749" s="40"/>
      <c r="U749" s="40"/>
      <c r="V749" s="40"/>
      <c r="W749" s="40"/>
      <c r="X749" s="40"/>
      <c r="Y749" s="40"/>
      <c r="Z749" s="40"/>
    </row>
    <row r="750">
      <c r="A750" s="72"/>
      <c r="B750" s="72"/>
      <c r="C750" s="23"/>
      <c r="D750" s="23"/>
      <c r="E750" s="40"/>
      <c r="F750" s="40"/>
      <c r="G750" s="40"/>
      <c r="H750" s="40"/>
      <c r="I750" s="40"/>
      <c r="J750" s="40"/>
      <c r="K750" s="40"/>
      <c r="L750" s="40"/>
      <c r="M750" s="40"/>
      <c r="N750" s="40"/>
      <c r="O750" s="40"/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0"/>
    </row>
    <row r="751">
      <c r="A751" s="72"/>
      <c r="B751" s="72"/>
      <c r="C751" s="23"/>
      <c r="D751" s="23"/>
      <c r="E751" s="40"/>
      <c r="F751" s="40"/>
      <c r="G751" s="40"/>
      <c r="H751" s="40"/>
      <c r="I751" s="40"/>
      <c r="J751" s="40"/>
      <c r="K751" s="40"/>
      <c r="L751" s="40"/>
      <c r="M751" s="40"/>
      <c r="N751" s="40"/>
      <c r="O751" s="40"/>
      <c r="P751" s="40"/>
      <c r="Q751" s="40"/>
      <c r="R751" s="40"/>
      <c r="S751" s="40"/>
      <c r="T751" s="40"/>
      <c r="U751" s="40"/>
      <c r="V751" s="40"/>
      <c r="W751" s="40"/>
      <c r="X751" s="40"/>
      <c r="Y751" s="40"/>
      <c r="Z751" s="40"/>
    </row>
    <row r="752">
      <c r="A752" s="72"/>
      <c r="B752" s="72"/>
      <c r="C752" s="23"/>
      <c r="D752" s="23"/>
      <c r="E752" s="40"/>
      <c r="F752" s="40"/>
      <c r="G752" s="40"/>
      <c r="H752" s="40"/>
      <c r="I752" s="40"/>
      <c r="J752" s="40"/>
      <c r="K752" s="40"/>
      <c r="L752" s="40"/>
      <c r="M752" s="40"/>
      <c r="N752" s="40"/>
      <c r="O752" s="40"/>
      <c r="P752" s="40"/>
      <c r="Q752" s="40"/>
      <c r="R752" s="40"/>
      <c r="S752" s="40"/>
      <c r="T752" s="40"/>
      <c r="U752" s="40"/>
      <c r="V752" s="40"/>
      <c r="W752" s="40"/>
      <c r="X752" s="40"/>
      <c r="Y752" s="40"/>
      <c r="Z752" s="40"/>
    </row>
    <row r="753">
      <c r="A753" s="72"/>
      <c r="B753" s="72"/>
      <c r="C753" s="23"/>
      <c r="D753" s="23"/>
      <c r="E753" s="40"/>
      <c r="F753" s="40"/>
      <c r="G753" s="40"/>
      <c r="H753" s="40"/>
      <c r="I753" s="40"/>
      <c r="J753" s="40"/>
      <c r="K753" s="40"/>
      <c r="L753" s="40"/>
      <c r="M753" s="40"/>
      <c r="N753" s="40"/>
      <c r="O753" s="40"/>
      <c r="P753" s="40"/>
      <c r="Q753" s="40"/>
      <c r="R753" s="40"/>
      <c r="S753" s="40"/>
      <c r="T753" s="40"/>
      <c r="U753" s="40"/>
      <c r="V753" s="40"/>
      <c r="W753" s="40"/>
      <c r="X753" s="40"/>
      <c r="Y753" s="40"/>
      <c r="Z753" s="40"/>
    </row>
    <row r="754">
      <c r="A754" s="72"/>
      <c r="B754" s="72"/>
      <c r="C754" s="23"/>
      <c r="D754" s="23"/>
      <c r="E754" s="40"/>
      <c r="F754" s="40"/>
      <c r="G754" s="40"/>
      <c r="H754" s="40"/>
      <c r="I754" s="40"/>
      <c r="J754" s="40"/>
      <c r="K754" s="40"/>
      <c r="L754" s="40"/>
      <c r="M754" s="40"/>
      <c r="N754" s="40"/>
      <c r="O754" s="40"/>
      <c r="P754" s="40"/>
      <c r="Q754" s="40"/>
      <c r="R754" s="40"/>
      <c r="S754" s="40"/>
      <c r="T754" s="40"/>
      <c r="U754" s="40"/>
      <c r="V754" s="40"/>
      <c r="W754" s="40"/>
      <c r="X754" s="40"/>
      <c r="Y754" s="40"/>
      <c r="Z754" s="40"/>
    </row>
    <row r="755">
      <c r="A755" s="72"/>
      <c r="B755" s="72"/>
      <c r="C755" s="23"/>
      <c r="D755" s="23"/>
      <c r="E755" s="40"/>
      <c r="F755" s="40"/>
      <c r="G755" s="40"/>
      <c r="H755" s="40"/>
      <c r="I755" s="40"/>
      <c r="J755" s="40"/>
      <c r="K755" s="40"/>
      <c r="L755" s="40"/>
      <c r="M755" s="40"/>
      <c r="N755" s="40"/>
      <c r="O755" s="40"/>
      <c r="P755" s="40"/>
      <c r="Q755" s="40"/>
      <c r="R755" s="40"/>
      <c r="S755" s="40"/>
      <c r="T755" s="40"/>
      <c r="U755" s="40"/>
      <c r="V755" s="40"/>
      <c r="W755" s="40"/>
      <c r="X755" s="40"/>
      <c r="Y755" s="40"/>
      <c r="Z755" s="40"/>
    </row>
    <row r="756">
      <c r="A756" s="72"/>
      <c r="B756" s="72"/>
      <c r="C756" s="23"/>
      <c r="D756" s="23"/>
      <c r="E756" s="40"/>
      <c r="F756" s="40"/>
      <c r="G756" s="40"/>
      <c r="H756" s="40"/>
      <c r="I756" s="40"/>
      <c r="J756" s="40"/>
      <c r="K756" s="40"/>
      <c r="L756" s="40"/>
      <c r="M756" s="40"/>
      <c r="N756" s="40"/>
      <c r="O756" s="40"/>
      <c r="P756" s="40"/>
      <c r="Q756" s="40"/>
      <c r="R756" s="40"/>
      <c r="S756" s="40"/>
      <c r="T756" s="40"/>
      <c r="U756" s="40"/>
      <c r="V756" s="40"/>
      <c r="W756" s="40"/>
      <c r="X756" s="40"/>
      <c r="Y756" s="40"/>
      <c r="Z756" s="40"/>
    </row>
    <row r="757">
      <c r="A757" s="72"/>
      <c r="B757" s="72"/>
      <c r="C757" s="23"/>
      <c r="D757" s="23"/>
      <c r="E757" s="40"/>
      <c r="F757" s="40"/>
      <c r="G757" s="40"/>
      <c r="H757" s="40"/>
      <c r="I757" s="40"/>
      <c r="J757" s="40"/>
      <c r="K757" s="40"/>
      <c r="L757" s="40"/>
      <c r="M757" s="40"/>
      <c r="N757" s="40"/>
      <c r="O757" s="40"/>
      <c r="P757" s="40"/>
      <c r="Q757" s="40"/>
      <c r="R757" s="40"/>
      <c r="S757" s="40"/>
      <c r="T757" s="40"/>
      <c r="U757" s="40"/>
      <c r="V757" s="40"/>
      <c r="W757" s="40"/>
      <c r="X757" s="40"/>
      <c r="Y757" s="40"/>
      <c r="Z757" s="40"/>
    </row>
    <row r="758">
      <c r="A758" s="72"/>
      <c r="B758" s="72"/>
      <c r="C758" s="23"/>
      <c r="D758" s="23"/>
      <c r="E758" s="40"/>
      <c r="F758" s="40"/>
      <c r="G758" s="40"/>
      <c r="H758" s="40"/>
      <c r="I758" s="40"/>
      <c r="J758" s="40"/>
      <c r="K758" s="40"/>
      <c r="L758" s="40"/>
      <c r="M758" s="40"/>
      <c r="N758" s="40"/>
      <c r="O758" s="40"/>
      <c r="P758" s="40"/>
      <c r="Q758" s="40"/>
      <c r="R758" s="40"/>
      <c r="S758" s="40"/>
      <c r="T758" s="40"/>
      <c r="U758" s="40"/>
      <c r="V758" s="40"/>
      <c r="W758" s="40"/>
      <c r="X758" s="40"/>
      <c r="Y758" s="40"/>
      <c r="Z758" s="40"/>
    </row>
    <row r="759">
      <c r="A759" s="72"/>
      <c r="B759" s="72"/>
      <c r="C759" s="23"/>
      <c r="D759" s="23"/>
      <c r="E759" s="40"/>
      <c r="F759" s="40"/>
      <c r="G759" s="40"/>
      <c r="H759" s="40"/>
      <c r="I759" s="40"/>
      <c r="J759" s="40"/>
      <c r="K759" s="40"/>
      <c r="L759" s="40"/>
      <c r="M759" s="40"/>
      <c r="N759" s="40"/>
      <c r="O759" s="40"/>
      <c r="P759" s="40"/>
      <c r="Q759" s="40"/>
      <c r="R759" s="40"/>
      <c r="S759" s="40"/>
      <c r="T759" s="40"/>
      <c r="U759" s="40"/>
      <c r="V759" s="40"/>
      <c r="W759" s="40"/>
      <c r="X759" s="40"/>
      <c r="Y759" s="40"/>
      <c r="Z759" s="40"/>
    </row>
    <row r="760">
      <c r="A760" s="72"/>
      <c r="B760" s="72"/>
      <c r="C760" s="23"/>
      <c r="D760" s="23"/>
      <c r="E760" s="40"/>
      <c r="F760" s="40"/>
      <c r="G760" s="40"/>
      <c r="H760" s="40"/>
      <c r="I760" s="40"/>
      <c r="J760" s="40"/>
      <c r="K760" s="40"/>
      <c r="L760" s="40"/>
      <c r="M760" s="40"/>
      <c r="N760" s="40"/>
      <c r="O760" s="40"/>
      <c r="P760" s="40"/>
      <c r="Q760" s="40"/>
      <c r="R760" s="40"/>
      <c r="S760" s="40"/>
      <c r="T760" s="40"/>
      <c r="U760" s="40"/>
      <c r="V760" s="40"/>
      <c r="W760" s="40"/>
      <c r="X760" s="40"/>
      <c r="Y760" s="40"/>
      <c r="Z760" s="40"/>
    </row>
    <row r="761">
      <c r="A761" s="72"/>
      <c r="B761" s="72"/>
      <c r="C761" s="23"/>
      <c r="D761" s="23"/>
      <c r="E761" s="40"/>
      <c r="F761" s="40"/>
      <c r="G761" s="40"/>
      <c r="H761" s="40"/>
      <c r="I761" s="40"/>
      <c r="J761" s="40"/>
      <c r="K761" s="40"/>
      <c r="L761" s="40"/>
      <c r="M761" s="40"/>
      <c r="N761" s="40"/>
      <c r="O761" s="40"/>
      <c r="P761" s="40"/>
      <c r="Q761" s="40"/>
      <c r="R761" s="40"/>
      <c r="S761" s="40"/>
      <c r="T761" s="40"/>
      <c r="U761" s="40"/>
      <c r="V761" s="40"/>
      <c r="W761" s="40"/>
      <c r="X761" s="40"/>
      <c r="Y761" s="40"/>
      <c r="Z761" s="40"/>
    </row>
    <row r="762">
      <c r="A762" s="72"/>
      <c r="B762" s="72"/>
      <c r="C762" s="23"/>
      <c r="D762" s="23"/>
      <c r="E762" s="40"/>
      <c r="F762" s="40"/>
      <c r="G762" s="40"/>
      <c r="H762" s="40"/>
      <c r="I762" s="40"/>
      <c r="J762" s="40"/>
      <c r="K762" s="40"/>
      <c r="L762" s="40"/>
      <c r="M762" s="40"/>
      <c r="N762" s="40"/>
      <c r="O762" s="40"/>
      <c r="P762" s="40"/>
      <c r="Q762" s="40"/>
      <c r="R762" s="40"/>
      <c r="S762" s="40"/>
      <c r="T762" s="40"/>
      <c r="U762" s="40"/>
      <c r="V762" s="40"/>
      <c r="W762" s="40"/>
      <c r="X762" s="40"/>
      <c r="Y762" s="40"/>
      <c r="Z762" s="40"/>
    </row>
    <row r="763">
      <c r="A763" s="72"/>
      <c r="B763" s="72"/>
      <c r="C763" s="23"/>
      <c r="D763" s="23"/>
      <c r="E763" s="40"/>
      <c r="F763" s="40"/>
      <c r="G763" s="40"/>
      <c r="H763" s="40"/>
      <c r="I763" s="40"/>
      <c r="J763" s="40"/>
      <c r="K763" s="40"/>
      <c r="L763" s="40"/>
      <c r="M763" s="40"/>
      <c r="N763" s="40"/>
      <c r="O763" s="40"/>
      <c r="P763" s="40"/>
      <c r="Q763" s="40"/>
      <c r="R763" s="40"/>
      <c r="S763" s="40"/>
      <c r="T763" s="40"/>
      <c r="U763" s="40"/>
      <c r="V763" s="40"/>
      <c r="W763" s="40"/>
      <c r="X763" s="40"/>
      <c r="Y763" s="40"/>
      <c r="Z763" s="40"/>
    </row>
    <row r="764">
      <c r="A764" s="72"/>
      <c r="B764" s="72"/>
      <c r="C764" s="23"/>
      <c r="D764" s="23"/>
      <c r="E764" s="40"/>
      <c r="F764" s="40"/>
      <c r="G764" s="40"/>
      <c r="H764" s="40"/>
      <c r="I764" s="40"/>
      <c r="J764" s="40"/>
      <c r="K764" s="40"/>
      <c r="L764" s="40"/>
      <c r="M764" s="40"/>
      <c r="N764" s="40"/>
      <c r="O764" s="40"/>
      <c r="P764" s="40"/>
      <c r="Q764" s="40"/>
      <c r="R764" s="40"/>
      <c r="S764" s="40"/>
      <c r="T764" s="40"/>
      <c r="U764" s="40"/>
      <c r="V764" s="40"/>
      <c r="W764" s="40"/>
      <c r="X764" s="40"/>
      <c r="Y764" s="40"/>
      <c r="Z764" s="40"/>
    </row>
    <row r="765">
      <c r="A765" s="72"/>
      <c r="B765" s="72"/>
      <c r="C765" s="23"/>
      <c r="D765" s="23"/>
      <c r="E765" s="40"/>
      <c r="F765" s="40"/>
      <c r="G765" s="40"/>
      <c r="H765" s="40"/>
      <c r="I765" s="40"/>
      <c r="J765" s="40"/>
      <c r="K765" s="40"/>
      <c r="L765" s="40"/>
      <c r="M765" s="40"/>
      <c r="N765" s="40"/>
      <c r="O765" s="40"/>
      <c r="P765" s="40"/>
      <c r="Q765" s="40"/>
      <c r="R765" s="40"/>
      <c r="S765" s="40"/>
      <c r="T765" s="40"/>
      <c r="U765" s="40"/>
      <c r="V765" s="40"/>
      <c r="W765" s="40"/>
      <c r="X765" s="40"/>
      <c r="Y765" s="40"/>
      <c r="Z765" s="40"/>
    </row>
    <row r="766">
      <c r="A766" s="72"/>
      <c r="B766" s="72"/>
      <c r="C766" s="23"/>
      <c r="D766" s="23"/>
      <c r="E766" s="40"/>
      <c r="F766" s="40"/>
      <c r="G766" s="40"/>
      <c r="H766" s="40"/>
      <c r="I766" s="40"/>
      <c r="J766" s="40"/>
      <c r="K766" s="40"/>
      <c r="L766" s="40"/>
      <c r="M766" s="40"/>
      <c r="N766" s="40"/>
      <c r="O766" s="40"/>
      <c r="P766" s="40"/>
      <c r="Q766" s="40"/>
      <c r="R766" s="40"/>
      <c r="S766" s="40"/>
      <c r="T766" s="40"/>
      <c r="U766" s="40"/>
      <c r="V766" s="40"/>
      <c r="W766" s="40"/>
      <c r="X766" s="40"/>
      <c r="Y766" s="40"/>
      <c r="Z766" s="40"/>
    </row>
    <row r="767">
      <c r="A767" s="72"/>
      <c r="B767" s="72"/>
      <c r="C767" s="23"/>
      <c r="D767" s="23"/>
      <c r="E767" s="40"/>
      <c r="F767" s="40"/>
      <c r="G767" s="40"/>
      <c r="H767" s="40"/>
      <c r="I767" s="40"/>
      <c r="J767" s="40"/>
      <c r="K767" s="40"/>
      <c r="L767" s="40"/>
      <c r="M767" s="40"/>
      <c r="N767" s="40"/>
      <c r="O767" s="40"/>
      <c r="P767" s="40"/>
      <c r="Q767" s="40"/>
      <c r="R767" s="40"/>
      <c r="S767" s="40"/>
      <c r="T767" s="40"/>
      <c r="U767" s="40"/>
      <c r="V767" s="40"/>
      <c r="W767" s="40"/>
      <c r="X767" s="40"/>
      <c r="Y767" s="40"/>
      <c r="Z767" s="40"/>
    </row>
    <row r="768">
      <c r="A768" s="72"/>
      <c r="B768" s="72"/>
      <c r="C768" s="23"/>
      <c r="D768" s="23"/>
      <c r="E768" s="40"/>
      <c r="F768" s="40"/>
      <c r="G768" s="40"/>
      <c r="H768" s="40"/>
      <c r="I768" s="40"/>
      <c r="J768" s="40"/>
      <c r="K768" s="40"/>
      <c r="L768" s="40"/>
      <c r="M768" s="40"/>
      <c r="N768" s="40"/>
      <c r="O768" s="40"/>
      <c r="P768" s="40"/>
      <c r="Q768" s="40"/>
      <c r="R768" s="40"/>
      <c r="S768" s="40"/>
      <c r="T768" s="40"/>
      <c r="U768" s="40"/>
      <c r="V768" s="40"/>
      <c r="W768" s="40"/>
      <c r="X768" s="40"/>
      <c r="Y768" s="40"/>
      <c r="Z768" s="40"/>
    </row>
    <row r="769">
      <c r="A769" s="72"/>
      <c r="B769" s="72"/>
      <c r="C769" s="23"/>
      <c r="D769" s="23"/>
      <c r="E769" s="40"/>
      <c r="F769" s="40"/>
      <c r="G769" s="40"/>
      <c r="H769" s="40"/>
      <c r="I769" s="40"/>
      <c r="J769" s="40"/>
      <c r="K769" s="40"/>
      <c r="L769" s="40"/>
      <c r="M769" s="40"/>
      <c r="N769" s="40"/>
      <c r="O769" s="40"/>
      <c r="P769" s="40"/>
      <c r="Q769" s="40"/>
      <c r="R769" s="40"/>
      <c r="S769" s="40"/>
      <c r="T769" s="40"/>
      <c r="U769" s="40"/>
      <c r="V769" s="40"/>
      <c r="W769" s="40"/>
      <c r="X769" s="40"/>
      <c r="Y769" s="40"/>
      <c r="Z769" s="40"/>
    </row>
    <row r="770">
      <c r="A770" s="72"/>
      <c r="B770" s="72"/>
      <c r="C770" s="23"/>
      <c r="D770" s="23"/>
      <c r="E770" s="40"/>
      <c r="F770" s="40"/>
      <c r="G770" s="40"/>
      <c r="H770" s="40"/>
      <c r="I770" s="40"/>
      <c r="J770" s="40"/>
      <c r="K770" s="40"/>
      <c r="L770" s="40"/>
      <c r="M770" s="40"/>
      <c r="N770" s="40"/>
      <c r="O770" s="40"/>
      <c r="P770" s="40"/>
      <c r="Q770" s="40"/>
      <c r="R770" s="40"/>
      <c r="S770" s="40"/>
      <c r="T770" s="40"/>
      <c r="U770" s="40"/>
      <c r="V770" s="40"/>
      <c r="W770" s="40"/>
      <c r="X770" s="40"/>
      <c r="Y770" s="40"/>
      <c r="Z770" s="40"/>
    </row>
    <row r="771">
      <c r="A771" s="72"/>
      <c r="B771" s="72"/>
      <c r="C771" s="23"/>
      <c r="D771" s="23"/>
      <c r="E771" s="40"/>
      <c r="F771" s="40"/>
      <c r="G771" s="40"/>
      <c r="H771" s="40"/>
      <c r="I771" s="40"/>
      <c r="J771" s="40"/>
      <c r="K771" s="40"/>
      <c r="L771" s="40"/>
      <c r="M771" s="40"/>
      <c r="N771" s="40"/>
      <c r="O771" s="40"/>
      <c r="P771" s="40"/>
      <c r="Q771" s="40"/>
      <c r="R771" s="40"/>
      <c r="S771" s="40"/>
      <c r="T771" s="40"/>
      <c r="U771" s="40"/>
      <c r="V771" s="40"/>
      <c r="W771" s="40"/>
      <c r="X771" s="40"/>
      <c r="Y771" s="40"/>
      <c r="Z771" s="40"/>
    </row>
    <row r="772">
      <c r="A772" s="72"/>
      <c r="B772" s="72"/>
      <c r="C772" s="23"/>
      <c r="D772" s="23"/>
      <c r="E772" s="40"/>
      <c r="F772" s="40"/>
      <c r="G772" s="40"/>
      <c r="H772" s="40"/>
      <c r="I772" s="40"/>
      <c r="J772" s="40"/>
      <c r="K772" s="40"/>
      <c r="L772" s="40"/>
      <c r="M772" s="40"/>
      <c r="N772" s="40"/>
      <c r="O772" s="40"/>
      <c r="P772" s="40"/>
      <c r="Q772" s="40"/>
      <c r="R772" s="40"/>
      <c r="S772" s="40"/>
      <c r="T772" s="40"/>
      <c r="U772" s="40"/>
      <c r="V772" s="40"/>
      <c r="W772" s="40"/>
      <c r="X772" s="40"/>
      <c r="Y772" s="40"/>
      <c r="Z772" s="40"/>
    </row>
    <row r="773">
      <c r="A773" s="72"/>
      <c r="B773" s="72"/>
      <c r="C773" s="23"/>
      <c r="D773" s="23"/>
      <c r="E773" s="40"/>
      <c r="F773" s="40"/>
      <c r="G773" s="40"/>
      <c r="H773" s="40"/>
      <c r="I773" s="40"/>
      <c r="J773" s="40"/>
      <c r="K773" s="40"/>
      <c r="L773" s="40"/>
      <c r="M773" s="40"/>
      <c r="N773" s="40"/>
      <c r="O773" s="40"/>
      <c r="P773" s="40"/>
      <c r="Q773" s="40"/>
      <c r="R773" s="40"/>
      <c r="S773" s="40"/>
      <c r="T773" s="40"/>
      <c r="U773" s="40"/>
      <c r="V773" s="40"/>
      <c r="W773" s="40"/>
      <c r="X773" s="40"/>
      <c r="Y773" s="40"/>
      <c r="Z773" s="40"/>
    </row>
    <row r="774">
      <c r="A774" s="72"/>
      <c r="B774" s="72"/>
      <c r="C774" s="23"/>
      <c r="D774" s="23"/>
      <c r="E774" s="40"/>
      <c r="F774" s="40"/>
      <c r="G774" s="40"/>
      <c r="H774" s="40"/>
      <c r="I774" s="40"/>
      <c r="J774" s="40"/>
      <c r="K774" s="40"/>
      <c r="L774" s="40"/>
      <c r="M774" s="40"/>
      <c r="N774" s="40"/>
      <c r="O774" s="40"/>
      <c r="P774" s="40"/>
      <c r="Q774" s="40"/>
      <c r="R774" s="40"/>
      <c r="S774" s="40"/>
      <c r="T774" s="40"/>
      <c r="U774" s="40"/>
      <c r="V774" s="40"/>
      <c r="W774" s="40"/>
      <c r="X774" s="40"/>
      <c r="Y774" s="40"/>
      <c r="Z774" s="40"/>
    </row>
    <row r="775">
      <c r="A775" s="72"/>
      <c r="B775" s="72"/>
      <c r="C775" s="23"/>
      <c r="D775" s="23"/>
      <c r="E775" s="40"/>
      <c r="F775" s="40"/>
      <c r="G775" s="40"/>
      <c r="H775" s="40"/>
      <c r="I775" s="40"/>
      <c r="J775" s="40"/>
      <c r="K775" s="40"/>
      <c r="L775" s="40"/>
      <c r="M775" s="40"/>
      <c r="N775" s="40"/>
      <c r="O775" s="40"/>
      <c r="P775" s="40"/>
      <c r="Q775" s="40"/>
      <c r="R775" s="40"/>
      <c r="S775" s="40"/>
      <c r="T775" s="40"/>
      <c r="U775" s="40"/>
      <c r="V775" s="40"/>
      <c r="W775" s="40"/>
      <c r="X775" s="40"/>
      <c r="Y775" s="40"/>
      <c r="Z775" s="40"/>
    </row>
    <row r="776">
      <c r="A776" s="72"/>
      <c r="B776" s="72"/>
      <c r="C776" s="23"/>
      <c r="D776" s="23"/>
      <c r="E776" s="40"/>
      <c r="F776" s="40"/>
      <c r="G776" s="40"/>
      <c r="H776" s="40"/>
      <c r="I776" s="40"/>
      <c r="J776" s="40"/>
      <c r="K776" s="40"/>
      <c r="L776" s="40"/>
      <c r="M776" s="40"/>
      <c r="N776" s="40"/>
      <c r="O776" s="40"/>
      <c r="P776" s="40"/>
      <c r="Q776" s="40"/>
      <c r="R776" s="40"/>
      <c r="S776" s="40"/>
      <c r="T776" s="40"/>
      <c r="U776" s="40"/>
      <c r="V776" s="40"/>
      <c r="W776" s="40"/>
      <c r="X776" s="40"/>
      <c r="Y776" s="40"/>
      <c r="Z776" s="40"/>
    </row>
    <row r="777">
      <c r="A777" s="72"/>
      <c r="B777" s="72"/>
      <c r="C777" s="23"/>
      <c r="D777" s="23"/>
      <c r="E777" s="40"/>
      <c r="F777" s="40"/>
      <c r="G777" s="40"/>
      <c r="H777" s="40"/>
      <c r="I777" s="40"/>
      <c r="J777" s="40"/>
      <c r="K777" s="40"/>
      <c r="L777" s="40"/>
      <c r="M777" s="40"/>
      <c r="N777" s="40"/>
      <c r="O777" s="40"/>
      <c r="P777" s="40"/>
      <c r="Q777" s="40"/>
      <c r="R777" s="40"/>
      <c r="S777" s="40"/>
      <c r="T777" s="40"/>
      <c r="U777" s="40"/>
      <c r="V777" s="40"/>
      <c r="W777" s="40"/>
      <c r="X777" s="40"/>
      <c r="Y777" s="40"/>
      <c r="Z777" s="40"/>
    </row>
    <row r="778">
      <c r="A778" s="72"/>
      <c r="B778" s="72"/>
      <c r="C778" s="23"/>
      <c r="D778" s="23"/>
      <c r="E778" s="40"/>
      <c r="F778" s="40"/>
      <c r="G778" s="40"/>
      <c r="H778" s="40"/>
      <c r="I778" s="40"/>
      <c r="J778" s="40"/>
      <c r="K778" s="40"/>
      <c r="L778" s="40"/>
      <c r="M778" s="40"/>
      <c r="N778" s="40"/>
      <c r="O778" s="40"/>
      <c r="P778" s="40"/>
      <c r="Q778" s="40"/>
      <c r="R778" s="40"/>
      <c r="S778" s="40"/>
      <c r="T778" s="40"/>
      <c r="U778" s="40"/>
      <c r="V778" s="40"/>
      <c r="W778" s="40"/>
      <c r="X778" s="40"/>
      <c r="Y778" s="40"/>
      <c r="Z778" s="40"/>
    </row>
    <row r="779">
      <c r="A779" s="72"/>
      <c r="B779" s="72"/>
      <c r="C779" s="23"/>
      <c r="D779" s="23"/>
      <c r="E779" s="40"/>
      <c r="F779" s="40"/>
      <c r="G779" s="40"/>
      <c r="H779" s="40"/>
      <c r="I779" s="40"/>
      <c r="J779" s="40"/>
      <c r="K779" s="40"/>
      <c r="L779" s="40"/>
      <c r="M779" s="40"/>
      <c r="N779" s="40"/>
      <c r="O779" s="40"/>
      <c r="P779" s="40"/>
      <c r="Q779" s="40"/>
      <c r="R779" s="40"/>
      <c r="S779" s="40"/>
      <c r="T779" s="40"/>
      <c r="U779" s="40"/>
      <c r="V779" s="40"/>
      <c r="W779" s="40"/>
      <c r="X779" s="40"/>
      <c r="Y779" s="40"/>
      <c r="Z779" s="40"/>
    </row>
    <row r="780">
      <c r="A780" s="72"/>
      <c r="B780" s="72"/>
      <c r="C780" s="23"/>
      <c r="D780" s="23"/>
      <c r="E780" s="40"/>
      <c r="F780" s="40"/>
      <c r="G780" s="40"/>
      <c r="H780" s="40"/>
      <c r="I780" s="40"/>
      <c r="J780" s="40"/>
      <c r="K780" s="40"/>
      <c r="L780" s="40"/>
      <c r="M780" s="40"/>
      <c r="N780" s="40"/>
      <c r="O780" s="40"/>
      <c r="P780" s="40"/>
      <c r="Q780" s="40"/>
      <c r="R780" s="40"/>
      <c r="S780" s="40"/>
      <c r="T780" s="40"/>
      <c r="U780" s="40"/>
      <c r="V780" s="40"/>
      <c r="W780" s="40"/>
      <c r="X780" s="40"/>
      <c r="Y780" s="40"/>
      <c r="Z780" s="40"/>
    </row>
    <row r="781">
      <c r="A781" s="72"/>
      <c r="B781" s="72"/>
      <c r="C781" s="23"/>
      <c r="D781" s="23"/>
      <c r="E781" s="40"/>
      <c r="F781" s="40"/>
      <c r="G781" s="40"/>
      <c r="H781" s="40"/>
      <c r="I781" s="40"/>
      <c r="J781" s="40"/>
      <c r="K781" s="40"/>
      <c r="L781" s="40"/>
      <c r="M781" s="40"/>
      <c r="N781" s="40"/>
      <c r="O781" s="40"/>
      <c r="P781" s="40"/>
      <c r="Q781" s="40"/>
      <c r="R781" s="40"/>
      <c r="S781" s="40"/>
      <c r="T781" s="40"/>
      <c r="U781" s="40"/>
      <c r="V781" s="40"/>
      <c r="W781" s="40"/>
      <c r="X781" s="40"/>
      <c r="Y781" s="40"/>
      <c r="Z781" s="40"/>
    </row>
    <row r="782">
      <c r="A782" s="72"/>
      <c r="B782" s="72"/>
      <c r="C782" s="23"/>
      <c r="D782" s="23"/>
      <c r="E782" s="40"/>
      <c r="F782" s="40"/>
      <c r="G782" s="40"/>
      <c r="H782" s="40"/>
      <c r="I782" s="40"/>
      <c r="J782" s="40"/>
      <c r="K782" s="40"/>
      <c r="L782" s="40"/>
      <c r="M782" s="40"/>
      <c r="N782" s="40"/>
      <c r="O782" s="40"/>
      <c r="P782" s="40"/>
      <c r="Q782" s="40"/>
      <c r="R782" s="40"/>
      <c r="S782" s="40"/>
      <c r="T782" s="40"/>
      <c r="U782" s="40"/>
      <c r="V782" s="40"/>
      <c r="W782" s="40"/>
      <c r="X782" s="40"/>
      <c r="Y782" s="40"/>
      <c r="Z782" s="40"/>
    </row>
    <row r="783">
      <c r="A783" s="72"/>
      <c r="B783" s="72"/>
      <c r="C783" s="23"/>
      <c r="D783" s="23"/>
      <c r="E783" s="40"/>
      <c r="F783" s="40"/>
      <c r="G783" s="40"/>
      <c r="H783" s="40"/>
      <c r="I783" s="40"/>
      <c r="J783" s="40"/>
      <c r="K783" s="40"/>
      <c r="L783" s="40"/>
      <c r="M783" s="40"/>
      <c r="N783" s="40"/>
      <c r="O783" s="40"/>
      <c r="P783" s="40"/>
      <c r="Q783" s="40"/>
      <c r="R783" s="40"/>
      <c r="S783" s="40"/>
      <c r="T783" s="40"/>
      <c r="U783" s="40"/>
      <c r="V783" s="40"/>
      <c r="W783" s="40"/>
      <c r="X783" s="40"/>
      <c r="Y783" s="40"/>
      <c r="Z783" s="40"/>
    </row>
    <row r="784">
      <c r="A784" s="72"/>
      <c r="B784" s="72"/>
      <c r="C784" s="23"/>
      <c r="D784" s="23"/>
      <c r="E784" s="40"/>
      <c r="F784" s="40"/>
      <c r="G784" s="40"/>
      <c r="H784" s="40"/>
      <c r="I784" s="40"/>
      <c r="J784" s="40"/>
      <c r="K784" s="40"/>
      <c r="L784" s="40"/>
      <c r="M784" s="40"/>
      <c r="N784" s="40"/>
      <c r="O784" s="40"/>
      <c r="P784" s="40"/>
      <c r="Q784" s="40"/>
      <c r="R784" s="40"/>
      <c r="S784" s="40"/>
      <c r="T784" s="40"/>
      <c r="U784" s="40"/>
      <c r="V784" s="40"/>
      <c r="W784" s="40"/>
      <c r="X784" s="40"/>
      <c r="Y784" s="40"/>
      <c r="Z784" s="40"/>
    </row>
    <row r="785">
      <c r="A785" s="72"/>
      <c r="B785" s="72"/>
      <c r="C785" s="23"/>
      <c r="D785" s="23"/>
      <c r="E785" s="40"/>
      <c r="F785" s="40"/>
      <c r="G785" s="40"/>
      <c r="H785" s="40"/>
      <c r="I785" s="40"/>
      <c r="J785" s="40"/>
      <c r="K785" s="40"/>
      <c r="L785" s="40"/>
      <c r="M785" s="40"/>
      <c r="N785" s="40"/>
      <c r="O785" s="40"/>
      <c r="P785" s="40"/>
      <c r="Q785" s="40"/>
      <c r="R785" s="40"/>
      <c r="S785" s="40"/>
      <c r="T785" s="40"/>
      <c r="U785" s="40"/>
      <c r="V785" s="40"/>
      <c r="W785" s="40"/>
      <c r="X785" s="40"/>
      <c r="Y785" s="40"/>
      <c r="Z785" s="40"/>
    </row>
    <row r="786">
      <c r="A786" s="72"/>
      <c r="B786" s="72"/>
      <c r="C786" s="23"/>
      <c r="D786" s="23"/>
      <c r="E786" s="40"/>
      <c r="F786" s="40"/>
      <c r="G786" s="40"/>
      <c r="H786" s="40"/>
      <c r="I786" s="40"/>
      <c r="J786" s="40"/>
      <c r="K786" s="40"/>
      <c r="L786" s="40"/>
      <c r="M786" s="40"/>
      <c r="N786" s="40"/>
      <c r="O786" s="40"/>
      <c r="P786" s="40"/>
      <c r="Q786" s="40"/>
      <c r="R786" s="40"/>
      <c r="S786" s="40"/>
      <c r="T786" s="40"/>
      <c r="U786" s="40"/>
      <c r="V786" s="40"/>
      <c r="W786" s="40"/>
      <c r="X786" s="40"/>
      <c r="Y786" s="40"/>
      <c r="Z786" s="40"/>
    </row>
    <row r="787">
      <c r="A787" s="72"/>
      <c r="B787" s="72"/>
      <c r="C787" s="23"/>
      <c r="D787" s="23"/>
      <c r="E787" s="40"/>
      <c r="F787" s="40"/>
      <c r="G787" s="40"/>
      <c r="H787" s="40"/>
      <c r="I787" s="40"/>
      <c r="J787" s="40"/>
      <c r="K787" s="40"/>
      <c r="L787" s="40"/>
      <c r="M787" s="40"/>
      <c r="N787" s="40"/>
      <c r="O787" s="40"/>
      <c r="P787" s="40"/>
      <c r="Q787" s="40"/>
      <c r="R787" s="40"/>
      <c r="S787" s="40"/>
      <c r="T787" s="40"/>
      <c r="U787" s="40"/>
      <c r="V787" s="40"/>
      <c r="W787" s="40"/>
      <c r="X787" s="40"/>
      <c r="Y787" s="40"/>
      <c r="Z787" s="40"/>
    </row>
    <row r="788">
      <c r="A788" s="72"/>
      <c r="B788" s="72"/>
      <c r="C788" s="23"/>
      <c r="D788" s="23"/>
      <c r="E788" s="40"/>
      <c r="F788" s="40"/>
      <c r="G788" s="40"/>
      <c r="H788" s="40"/>
      <c r="I788" s="40"/>
      <c r="J788" s="40"/>
      <c r="K788" s="40"/>
      <c r="L788" s="40"/>
      <c r="M788" s="40"/>
      <c r="N788" s="40"/>
      <c r="O788" s="40"/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0"/>
    </row>
    <row r="789">
      <c r="A789" s="72"/>
      <c r="B789" s="72"/>
      <c r="C789" s="23"/>
      <c r="D789" s="23"/>
      <c r="E789" s="40"/>
      <c r="F789" s="40"/>
      <c r="G789" s="40"/>
      <c r="H789" s="40"/>
      <c r="I789" s="40"/>
      <c r="J789" s="40"/>
      <c r="K789" s="40"/>
      <c r="L789" s="40"/>
      <c r="M789" s="40"/>
      <c r="N789" s="40"/>
      <c r="O789" s="40"/>
      <c r="P789" s="40"/>
      <c r="Q789" s="40"/>
      <c r="R789" s="40"/>
      <c r="S789" s="40"/>
      <c r="T789" s="40"/>
      <c r="U789" s="40"/>
      <c r="V789" s="40"/>
      <c r="W789" s="40"/>
      <c r="X789" s="40"/>
      <c r="Y789" s="40"/>
      <c r="Z789" s="40"/>
    </row>
    <row r="790">
      <c r="A790" s="72"/>
      <c r="B790" s="72"/>
      <c r="C790" s="23"/>
      <c r="D790" s="23"/>
      <c r="E790" s="40"/>
      <c r="F790" s="40"/>
      <c r="G790" s="40"/>
      <c r="H790" s="40"/>
      <c r="I790" s="40"/>
      <c r="J790" s="40"/>
      <c r="K790" s="40"/>
      <c r="L790" s="40"/>
      <c r="M790" s="40"/>
      <c r="N790" s="40"/>
      <c r="O790" s="40"/>
      <c r="P790" s="40"/>
      <c r="Q790" s="40"/>
      <c r="R790" s="40"/>
      <c r="S790" s="40"/>
      <c r="T790" s="40"/>
      <c r="U790" s="40"/>
      <c r="V790" s="40"/>
      <c r="W790" s="40"/>
      <c r="X790" s="40"/>
      <c r="Y790" s="40"/>
      <c r="Z790" s="40"/>
    </row>
    <row r="791">
      <c r="A791" s="72"/>
      <c r="B791" s="72"/>
      <c r="C791" s="23"/>
      <c r="D791" s="23"/>
      <c r="E791" s="40"/>
      <c r="F791" s="40"/>
      <c r="G791" s="40"/>
      <c r="H791" s="40"/>
      <c r="I791" s="40"/>
      <c r="J791" s="40"/>
      <c r="K791" s="40"/>
      <c r="L791" s="40"/>
      <c r="M791" s="40"/>
      <c r="N791" s="40"/>
      <c r="O791" s="40"/>
      <c r="P791" s="40"/>
      <c r="Q791" s="40"/>
      <c r="R791" s="40"/>
      <c r="S791" s="40"/>
      <c r="T791" s="40"/>
      <c r="U791" s="40"/>
      <c r="V791" s="40"/>
      <c r="W791" s="40"/>
      <c r="X791" s="40"/>
      <c r="Y791" s="40"/>
      <c r="Z791" s="40"/>
    </row>
    <row r="792">
      <c r="A792" s="72"/>
      <c r="B792" s="72"/>
      <c r="C792" s="23"/>
      <c r="D792" s="23"/>
      <c r="E792" s="40"/>
      <c r="F792" s="40"/>
      <c r="G792" s="40"/>
      <c r="H792" s="40"/>
      <c r="I792" s="40"/>
      <c r="J792" s="40"/>
      <c r="K792" s="40"/>
      <c r="L792" s="40"/>
      <c r="M792" s="40"/>
      <c r="N792" s="40"/>
      <c r="O792" s="40"/>
      <c r="P792" s="40"/>
      <c r="Q792" s="40"/>
      <c r="R792" s="40"/>
      <c r="S792" s="40"/>
      <c r="T792" s="40"/>
      <c r="U792" s="40"/>
      <c r="V792" s="40"/>
      <c r="W792" s="40"/>
      <c r="X792" s="40"/>
      <c r="Y792" s="40"/>
      <c r="Z792" s="40"/>
    </row>
    <row r="793">
      <c r="A793" s="72"/>
      <c r="B793" s="72"/>
      <c r="C793" s="23"/>
      <c r="D793" s="23"/>
      <c r="E793" s="40"/>
      <c r="F793" s="40"/>
      <c r="G793" s="40"/>
      <c r="H793" s="40"/>
      <c r="I793" s="40"/>
      <c r="J793" s="40"/>
      <c r="K793" s="40"/>
      <c r="L793" s="40"/>
      <c r="M793" s="40"/>
      <c r="N793" s="40"/>
      <c r="O793" s="40"/>
      <c r="P793" s="40"/>
      <c r="Q793" s="40"/>
      <c r="R793" s="40"/>
      <c r="S793" s="40"/>
      <c r="T793" s="40"/>
      <c r="U793" s="40"/>
      <c r="V793" s="40"/>
      <c r="W793" s="40"/>
      <c r="X793" s="40"/>
      <c r="Y793" s="40"/>
      <c r="Z793" s="40"/>
    </row>
    <row r="794">
      <c r="A794" s="72"/>
      <c r="B794" s="72"/>
      <c r="C794" s="23"/>
      <c r="D794" s="23"/>
      <c r="E794" s="40"/>
      <c r="F794" s="40"/>
      <c r="G794" s="40"/>
      <c r="H794" s="40"/>
      <c r="I794" s="40"/>
      <c r="J794" s="40"/>
      <c r="K794" s="40"/>
      <c r="L794" s="40"/>
      <c r="M794" s="40"/>
      <c r="N794" s="40"/>
      <c r="O794" s="40"/>
      <c r="P794" s="40"/>
      <c r="Q794" s="40"/>
      <c r="R794" s="40"/>
      <c r="S794" s="40"/>
      <c r="T794" s="40"/>
      <c r="U794" s="40"/>
      <c r="V794" s="40"/>
      <c r="W794" s="40"/>
      <c r="X794" s="40"/>
      <c r="Y794" s="40"/>
      <c r="Z794" s="40"/>
    </row>
    <row r="795">
      <c r="A795" s="72"/>
      <c r="B795" s="72"/>
      <c r="C795" s="23"/>
      <c r="D795" s="23"/>
      <c r="E795" s="40"/>
      <c r="F795" s="40"/>
      <c r="G795" s="40"/>
      <c r="H795" s="40"/>
      <c r="I795" s="40"/>
      <c r="J795" s="40"/>
      <c r="K795" s="40"/>
      <c r="L795" s="40"/>
      <c r="M795" s="40"/>
      <c r="N795" s="40"/>
      <c r="O795" s="40"/>
      <c r="P795" s="40"/>
      <c r="Q795" s="40"/>
      <c r="R795" s="40"/>
      <c r="S795" s="40"/>
      <c r="T795" s="40"/>
      <c r="U795" s="40"/>
      <c r="V795" s="40"/>
      <c r="W795" s="40"/>
      <c r="X795" s="40"/>
      <c r="Y795" s="40"/>
      <c r="Z795" s="40"/>
    </row>
    <row r="796">
      <c r="A796" s="72"/>
      <c r="B796" s="72"/>
      <c r="C796" s="23"/>
      <c r="D796" s="23"/>
      <c r="E796" s="40"/>
      <c r="F796" s="40"/>
      <c r="G796" s="40"/>
      <c r="H796" s="40"/>
      <c r="I796" s="40"/>
      <c r="J796" s="40"/>
      <c r="K796" s="40"/>
      <c r="L796" s="40"/>
      <c r="M796" s="40"/>
      <c r="N796" s="40"/>
      <c r="O796" s="40"/>
      <c r="P796" s="40"/>
      <c r="Q796" s="40"/>
      <c r="R796" s="40"/>
      <c r="S796" s="40"/>
      <c r="T796" s="40"/>
      <c r="U796" s="40"/>
      <c r="V796" s="40"/>
      <c r="W796" s="40"/>
      <c r="X796" s="40"/>
      <c r="Y796" s="40"/>
      <c r="Z796" s="40"/>
    </row>
    <row r="797">
      <c r="A797" s="72"/>
      <c r="B797" s="72"/>
      <c r="C797" s="23"/>
      <c r="D797" s="23"/>
      <c r="E797" s="40"/>
      <c r="F797" s="40"/>
      <c r="G797" s="40"/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  <c r="U797" s="40"/>
      <c r="V797" s="40"/>
      <c r="W797" s="40"/>
      <c r="X797" s="40"/>
      <c r="Y797" s="40"/>
      <c r="Z797" s="40"/>
    </row>
    <row r="798">
      <c r="A798" s="72"/>
      <c r="B798" s="72"/>
      <c r="C798" s="23"/>
      <c r="D798" s="23"/>
      <c r="E798" s="40"/>
      <c r="F798" s="40"/>
      <c r="G798" s="40"/>
      <c r="H798" s="40"/>
      <c r="I798" s="40"/>
      <c r="J798" s="40"/>
      <c r="K798" s="40"/>
      <c r="L798" s="40"/>
      <c r="M798" s="40"/>
      <c r="N798" s="40"/>
      <c r="O798" s="40"/>
      <c r="P798" s="40"/>
      <c r="Q798" s="40"/>
      <c r="R798" s="40"/>
      <c r="S798" s="40"/>
      <c r="T798" s="40"/>
      <c r="U798" s="40"/>
      <c r="V798" s="40"/>
      <c r="W798" s="40"/>
      <c r="X798" s="40"/>
      <c r="Y798" s="40"/>
      <c r="Z798" s="40"/>
    </row>
    <row r="799">
      <c r="A799" s="72"/>
      <c r="B799" s="72"/>
      <c r="C799" s="23"/>
      <c r="D799" s="23"/>
      <c r="E799" s="40"/>
      <c r="F799" s="40"/>
      <c r="G799" s="40"/>
      <c r="H799" s="40"/>
      <c r="I799" s="40"/>
      <c r="J799" s="40"/>
      <c r="K799" s="40"/>
      <c r="L799" s="40"/>
      <c r="M799" s="40"/>
      <c r="N799" s="40"/>
      <c r="O799" s="40"/>
      <c r="P799" s="40"/>
      <c r="Q799" s="40"/>
      <c r="R799" s="40"/>
      <c r="S799" s="40"/>
      <c r="T799" s="40"/>
      <c r="U799" s="40"/>
      <c r="V799" s="40"/>
      <c r="W799" s="40"/>
      <c r="X799" s="40"/>
      <c r="Y799" s="40"/>
      <c r="Z799" s="40"/>
    </row>
    <row r="800">
      <c r="A800" s="72"/>
      <c r="B800" s="72"/>
      <c r="C800" s="23"/>
      <c r="D800" s="23"/>
      <c r="E800" s="40"/>
      <c r="F800" s="40"/>
      <c r="G800" s="40"/>
      <c r="H800" s="40"/>
      <c r="I800" s="40"/>
      <c r="J800" s="40"/>
      <c r="K800" s="40"/>
      <c r="L800" s="40"/>
      <c r="M800" s="40"/>
      <c r="N800" s="40"/>
      <c r="O800" s="40"/>
      <c r="P800" s="40"/>
      <c r="Q800" s="40"/>
      <c r="R800" s="40"/>
      <c r="S800" s="40"/>
      <c r="T800" s="40"/>
      <c r="U800" s="40"/>
      <c r="V800" s="40"/>
      <c r="W800" s="40"/>
      <c r="X800" s="40"/>
      <c r="Y800" s="40"/>
      <c r="Z800" s="40"/>
    </row>
    <row r="801">
      <c r="A801" s="72"/>
      <c r="B801" s="72"/>
      <c r="C801" s="23"/>
      <c r="D801" s="23"/>
      <c r="E801" s="40"/>
      <c r="F801" s="40"/>
      <c r="G801" s="40"/>
      <c r="H801" s="40"/>
      <c r="I801" s="40"/>
      <c r="J801" s="40"/>
      <c r="K801" s="40"/>
      <c r="L801" s="40"/>
      <c r="M801" s="40"/>
      <c r="N801" s="40"/>
      <c r="O801" s="40"/>
      <c r="P801" s="40"/>
      <c r="Q801" s="40"/>
      <c r="R801" s="40"/>
      <c r="S801" s="40"/>
      <c r="T801" s="40"/>
      <c r="U801" s="40"/>
      <c r="V801" s="40"/>
      <c r="W801" s="40"/>
      <c r="X801" s="40"/>
      <c r="Y801" s="40"/>
      <c r="Z801" s="40"/>
    </row>
    <row r="802">
      <c r="A802" s="72"/>
      <c r="B802" s="72"/>
      <c r="C802" s="23"/>
      <c r="D802" s="23"/>
      <c r="E802" s="40"/>
      <c r="F802" s="40"/>
      <c r="G802" s="40"/>
      <c r="H802" s="40"/>
      <c r="I802" s="40"/>
      <c r="J802" s="40"/>
      <c r="K802" s="40"/>
      <c r="L802" s="40"/>
      <c r="M802" s="40"/>
      <c r="N802" s="40"/>
      <c r="O802" s="40"/>
      <c r="P802" s="40"/>
      <c r="Q802" s="40"/>
      <c r="R802" s="40"/>
      <c r="S802" s="40"/>
      <c r="T802" s="40"/>
      <c r="U802" s="40"/>
      <c r="V802" s="40"/>
      <c r="W802" s="40"/>
      <c r="X802" s="40"/>
      <c r="Y802" s="40"/>
      <c r="Z802" s="40"/>
    </row>
    <row r="803">
      <c r="A803" s="72"/>
      <c r="B803" s="72"/>
      <c r="C803" s="23"/>
      <c r="D803" s="23"/>
      <c r="E803" s="40"/>
      <c r="F803" s="40"/>
      <c r="G803" s="40"/>
      <c r="H803" s="40"/>
      <c r="I803" s="40"/>
      <c r="J803" s="40"/>
      <c r="K803" s="40"/>
      <c r="L803" s="40"/>
      <c r="M803" s="40"/>
      <c r="N803" s="40"/>
      <c r="O803" s="40"/>
      <c r="P803" s="40"/>
      <c r="Q803" s="40"/>
      <c r="R803" s="40"/>
      <c r="S803" s="40"/>
      <c r="T803" s="40"/>
      <c r="U803" s="40"/>
      <c r="V803" s="40"/>
      <c r="W803" s="40"/>
      <c r="X803" s="40"/>
      <c r="Y803" s="40"/>
      <c r="Z803" s="40"/>
    </row>
    <row r="804">
      <c r="A804" s="72"/>
      <c r="B804" s="72"/>
      <c r="C804" s="23"/>
      <c r="D804" s="23"/>
      <c r="E804" s="40"/>
      <c r="F804" s="40"/>
      <c r="G804" s="40"/>
      <c r="H804" s="40"/>
      <c r="I804" s="40"/>
      <c r="J804" s="40"/>
      <c r="K804" s="40"/>
      <c r="L804" s="40"/>
      <c r="M804" s="40"/>
      <c r="N804" s="40"/>
      <c r="O804" s="40"/>
      <c r="P804" s="40"/>
      <c r="Q804" s="40"/>
      <c r="R804" s="40"/>
      <c r="S804" s="40"/>
      <c r="T804" s="40"/>
      <c r="U804" s="40"/>
      <c r="V804" s="40"/>
      <c r="W804" s="40"/>
      <c r="X804" s="40"/>
      <c r="Y804" s="40"/>
      <c r="Z804" s="40"/>
    </row>
    <row r="805">
      <c r="A805" s="72"/>
      <c r="B805" s="72"/>
      <c r="C805" s="23"/>
      <c r="D805" s="23"/>
      <c r="E805" s="40"/>
      <c r="F805" s="40"/>
      <c r="G805" s="40"/>
      <c r="H805" s="40"/>
      <c r="I805" s="40"/>
      <c r="J805" s="40"/>
      <c r="K805" s="40"/>
      <c r="L805" s="40"/>
      <c r="M805" s="40"/>
      <c r="N805" s="40"/>
      <c r="O805" s="40"/>
      <c r="P805" s="40"/>
      <c r="Q805" s="40"/>
      <c r="R805" s="40"/>
      <c r="S805" s="40"/>
      <c r="T805" s="40"/>
      <c r="U805" s="40"/>
      <c r="V805" s="40"/>
      <c r="W805" s="40"/>
      <c r="X805" s="40"/>
      <c r="Y805" s="40"/>
      <c r="Z805" s="40"/>
    </row>
    <row r="806">
      <c r="A806" s="72"/>
      <c r="B806" s="72"/>
      <c r="C806" s="23"/>
      <c r="D806" s="23"/>
      <c r="E806" s="40"/>
      <c r="F806" s="40"/>
      <c r="G806" s="40"/>
      <c r="H806" s="40"/>
      <c r="I806" s="40"/>
      <c r="J806" s="40"/>
      <c r="K806" s="40"/>
      <c r="L806" s="40"/>
      <c r="M806" s="40"/>
      <c r="N806" s="40"/>
      <c r="O806" s="40"/>
      <c r="P806" s="40"/>
      <c r="Q806" s="40"/>
      <c r="R806" s="40"/>
      <c r="S806" s="40"/>
      <c r="T806" s="40"/>
      <c r="U806" s="40"/>
      <c r="V806" s="40"/>
      <c r="W806" s="40"/>
      <c r="X806" s="40"/>
      <c r="Y806" s="40"/>
      <c r="Z806" s="40"/>
    </row>
    <row r="807">
      <c r="A807" s="72"/>
      <c r="B807" s="72"/>
      <c r="C807" s="23"/>
      <c r="D807" s="23"/>
      <c r="E807" s="40"/>
      <c r="F807" s="40"/>
      <c r="G807" s="40"/>
      <c r="H807" s="40"/>
      <c r="I807" s="40"/>
      <c r="J807" s="40"/>
      <c r="K807" s="40"/>
      <c r="L807" s="40"/>
      <c r="M807" s="40"/>
      <c r="N807" s="40"/>
      <c r="O807" s="40"/>
      <c r="P807" s="40"/>
      <c r="Q807" s="40"/>
      <c r="R807" s="40"/>
      <c r="S807" s="40"/>
      <c r="T807" s="40"/>
      <c r="U807" s="40"/>
      <c r="V807" s="40"/>
      <c r="W807" s="40"/>
      <c r="X807" s="40"/>
      <c r="Y807" s="40"/>
      <c r="Z807" s="40"/>
    </row>
    <row r="808">
      <c r="A808" s="72"/>
      <c r="B808" s="72"/>
      <c r="C808" s="23"/>
      <c r="D808" s="23"/>
      <c r="E808" s="40"/>
      <c r="F808" s="40"/>
      <c r="G808" s="40"/>
      <c r="H808" s="40"/>
      <c r="I808" s="40"/>
      <c r="J808" s="40"/>
      <c r="K808" s="40"/>
      <c r="L808" s="40"/>
      <c r="M808" s="40"/>
      <c r="N808" s="40"/>
      <c r="O808" s="40"/>
      <c r="P808" s="40"/>
      <c r="Q808" s="40"/>
      <c r="R808" s="40"/>
      <c r="S808" s="40"/>
      <c r="T808" s="40"/>
      <c r="U808" s="40"/>
      <c r="V808" s="40"/>
      <c r="W808" s="40"/>
      <c r="X808" s="40"/>
      <c r="Y808" s="40"/>
      <c r="Z808" s="40"/>
    </row>
    <row r="809">
      <c r="A809" s="72"/>
      <c r="B809" s="72"/>
      <c r="C809" s="23"/>
      <c r="D809" s="23"/>
      <c r="E809" s="40"/>
      <c r="F809" s="40"/>
      <c r="G809" s="40"/>
      <c r="H809" s="40"/>
      <c r="I809" s="40"/>
      <c r="J809" s="40"/>
      <c r="K809" s="40"/>
      <c r="L809" s="40"/>
      <c r="M809" s="40"/>
      <c r="N809" s="40"/>
      <c r="O809" s="40"/>
      <c r="P809" s="40"/>
      <c r="Q809" s="40"/>
      <c r="R809" s="40"/>
      <c r="S809" s="40"/>
      <c r="T809" s="40"/>
      <c r="U809" s="40"/>
      <c r="V809" s="40"/>
      <c r="W809" s="40"/>
      <c r="X809" s="40"/>
      <c r="Y809" s="40"/>
      <c r="Z809" s="40"/>
    </row>
    <row r="810">
      <c r="A810" s="72"/>
      <c r="B810" s="72"/>
      <c r="C810" s="23"/>
      <c r="D810" s="23"/>
      <c r="E810" s="40"/>
      <c r="F810" s="40"/>
      <c r="G810" s="40"/>
      <c r="H810" s="40"/>
      <c r="I810" s="40"/>
      <c r="J810" s="40"/>
      <c r="K810" s="40"/>
      <c r="L810" s="40"/>
      <c r="M810" s="40"/>
      <c r="N810" s="40"/>
      <c r="O810" s="40"/>
      <c r="P810" s="40"/>
      <c r="Q810" s="40"/>
      <c r="R810" s="40"/>
      <c r="S810" s="40"/>
      <c r="T810" s="40"/>
      <c r="U810" s="40"/>
      <c r="V810" s="40"/>
      <c r="W810" s="40"/>
      <c r="X810" s="40"/>
      <c r="Y810" s="40"/>
      <c r="Z810" s="40"/>
    </row>
    <row r="811">
      <c r="A811" s="72"/>
      <c r="B811" s="72"/>
      <c r="C811" s="23"/>
      <c r="D811" s="23"/>
      <c r="E811" s="40"/>
      <c r="F811" s="40"/>
      <c r="G811" s="40"/>
      <c r="H811" s="40"/>
      <c r="I811" s="40"/>
      <c r="J811" s="40"/>
      <c r="K811" s="40"/>
      <c r="L811" s="40"/>
      <c r="M811" s="40"/>
      <c r="N811" s="40"/>
      <c r="O811" s="40"/>
      <c r="P811" s="40"/>
      <c r="Q811" s="40"/>
      <c r="R811" s="40"/>
      <c r="S811" s="40"/>
      <c r="T811" s="40"/>
      <c r="U811" s="40"/>
      <c r="V811" s="40"/>
      <c r="W811" s="40"/>
      <c r="X811" s="40"/>
      <c r="Y811" s="40"/>
      <c r="Z811" s="40"/>
    </row>
    <row r="812">
      <c r="A812" s="72"/>
      <c r="B812" s="72"/>
      <c r="C812" s="23"/>
      <c r="D812" s="23"/>
      <c r="E812" s="40"/>
      <c r="F812" s="40"/>
      <c r="G812" s="40"/>
      <c r="H812" s="40"/>
      <c r="I812" s="40"/>
      <c r="J812" s="40"/>
      <c r="K812" s="40"/>
      <c r="L812" s="40"/>
      <c r="M812" s="40"/>
      <c r="N812" s="40"/>
      <c r="O812" s="40"/>
      <c r="P812" s="40"/>
      <c r="Q812" s="40"/>
      <c r="R812" s="40"/>
      <c r="S812" s="40"/>
      <c r="T812" s="40"/>
      <c r="U812" s="40"/>
      <c r="V812" s="40"/>
      <c r="W812" s="40"/>
      <c r="X812" s="40"/>
      <c r="Y812" s="40"/>
      <c r="Z812" s="40"/>
    </row>
    <row r="813">
      <c r="A813" s="72"/>
      <c r="B813" s="72"/>
      <c r="C813" s="23"/>
      <c r="D813" s="23"/>
      <c r="E813" s="40"/>
      <c r="F813" s="40"/>
      <c r="G813" s="40"/>
      <c r="H813" s="40"/>
      <c r="I813" s="40"/>
      <c r="J813" s="40"/>
      <c r="K813" s="40"/>
      <c r="L813" s="40"/>
      <c r="M813" s="40"/>
      <c r="N813" s="40"/>
      <c r="O813" s="40"/>
      <c r="P813" s="40"/>
      <c r="Q813" s="40"/>
      <c r="R813" s="40"/>
      <c r="S813" s="40"/>
      <c r="T813" s="40"/>
      <c r="U813" s="40"/>
      <c r="V813" s="40"/>
      <c r="W813" s="40"/>
      <c r="X813" s="40"/>
      <c r="Y813" s="40"/>
      <c r="Z813" s="40"/>
    </row>
    <row r="814">
      <c r="A814" s="72"/>
      <c r="B814" s="72"/>
      <c r="C814" s="23"/>
      <c r="D814" s="23"/>
      <c r="E814" s="40"/>
      <c r="F814" s="40"/>
      <c r="G814" s="40"/>
      <c r="H814" s="40"/>
      <c r="I814" s="40"/>
      <c r="J814" s="40"/>
      <c r="K814" s="40"/>
      <c r="L814" s="40"/>
      <c r="M814" s="40"/>
      <c r="N814" s="40"/>
      <c r="O814" s="40"/>
      <c r="P814" s="40"/>
      <c r="Q814" s="40"/>
      <c r="R814" s="40"/>
      <c r="S814" s="40"/>
      <c r="T814" s="40"/>
      <c r="U814" s="40"/>
      <c r="V814" s="40"/>
      <c r="W814" s="40"/>
      <c r="X814" s="40"/>
      <c r="Y814" s="40"/>
      <c r="Z814" s="40"/>
    </row>
    <row r="815">
      <c r="A815" s="72"/>
      <c r="B815" s="72"/>
      <c r="C815" s="23"/>
      <c r="D815" s="23"/>
      <c r="E815" s="40"/>
      <c r="F815" s="40"/>
      <c r="G815" s="40"/>
      <c r="H815" s="40"/>
      <c r="I815" s="40"/>
      <c r="J815" s="40"/>
      <c r="K815" s="40"/>
      <c r="L815" s="40"/>
      <c r="M815" s="40"/>
      <c r="N815" s="40"/>
      <c r="O815" s="40"/>
      <c r="P815" s="40"/>
      <c r="Q815" s="40"/>
      <c r="R815" s="40"/>
      <c r="S815" s="40"/>
      <c r="T815" s="40"/>
      <c r="U815" s="40"/>
      <c r="V815" s="40"/>
      <c r="W815" s="40"/>
      <c r="X815" s="40"/>
      <c r="Y815" s="40"/>
      <c r="Z815" s="40"/>
    </row>
    <row r="816">
      <c r="A816" s="72"/>
      <c r="B816" s="72"/>
      <c r="C816" s="23"/>
      <c r="D816" s="23"/>
      <c r="E816" s="40"/>
      <c r="F816" s="40"/>
      <c r="G816" s="40"/>
      <c r="H816" s="40"/>
      <c r="I816" s="40"/>
      <c r="J816" s="40"/>
      <c r="K816" s="40"/>
      <c r="L816" s="40"/>
      <c r="M816" s="40"/>
      <c r="N816" s="40"/>
      <c r="O816" s="40"/>
      <c r="P816" s="40"/>
      <c r="Q816" s="40"/>
      <c r="R816" s="40"/>
      <c r="S816" s="40"/>
      <c r="T816" s="40"/>
      <c r="U816" s="40"/>
      <c r="V816" s="40"/>
      <c r="W816" s="40"/>
      <c r="X816" s="40"/>
      <c r="Y816" s="40"/>
      <c r="Z816" s="40"/>
    </row>
    <row r="817">
      <c r="A817" s="72"/>
      <c r="B817" s="72"/>
      <c r="C817" s="23"/>
      <c r="D817" s="23"/>
      <c r="E817" s="40"/>
      <c r="F817" s="40"/>
      <c r="G817" s="40"/>
      <c r="H817" s="40"/>
      <c r="I817" s="40"/>
      <c r="J817" s="40"/>
      <c r="K817" s="40"/>
      <c r="L817" s="40"/>
      <c r="M817" s="40"/>
      <c r="N817" s="40"/>
      <c r="O817" s="40"/>
      <c r="P817" s="40"/>
      <c r="Q817" s="40"/>
      <c r="R817" s="40"/>
      <c r="S817" s="40"/>
      <c r="T817" s="40"/>
      <c r="U817" s="40"/>
      <c r="V817" s="40"/>
      <c r="W817" s="40"/>
      <c r="X817" s="40"/>
      <c r="Y817" s="40"/>
      <c r="Z817" s="40"/>
    </row>
    <row r="818">
      <c r="A818" s="72"/>
      <c r="B818" s="72"/>
      <c r="C818" s="23"/>
      <c r="D818" s="23"/>
      <c r="E818" s="40"/>
      <c r="F818" s="40"/>
      <c r="G818" s="40"/>
      <c r="H818" s="40"/>
      <c r="I818" s="40"/>
      <c r="J818" s="40"/>
      <c r="K818" s="40"/>
      <c r="L818" s="40"/>
      <c r="M818" s="40"/>
      <c r="N818" s="40"/>
      <c r="O818" s="40"/>
      <c r="P818" s="40"/>
      <c r="Q818" s="40"/>
      <c r="R818" s="40"/>
      <c r="S818" s="40"/>
      <c r="T818" s="40"/>
      <c r="U818" s="40"/>
      <c r="V818" s="40"/>
      <c r="W818" s="40"/>
      <c r="X818" s="40"/>
      <c r="Y818" s="40"/>
      <c r="Z818" s="40"/>
    </row>
    <row r="819">
      <c r="A819" s="72"/>
      <c r="B819" s="72"/>
      <c r="C819" s="23"/>
      <c r="D819" s="23"/>
      <c r="E819" s="40"/>
      <c r="F819" s="40"/>
      <c r="G819" s="40"/>
      <c r="H819" s="40"/>
      <c r="I819" s="40"/>
      <c r="J819" s="40"/>
      <c r="K819" s="40"/>
      <c r="L819" s="40"/>
      <c r="M819" s="40"/>
      <c r="N819" s="40"/>
      <c r="O819" s="40"/>
      <c r="P819" s="40"/>
      <c r="Q819" s="40"/>
      <c r="R819" s="40"/>
      <c r="S819" s="40"/>
      <c r="T819" s="40"/>
      <c r="U819" s="40"/>
      <c r="V819" s="40"/>
      <c r="W819" s="40"/>
      <c r="X819" s="40"/>
      <c r="Y819" s="40"/>
      <c r="Z819" s="40"/>
    </row>
    <row r="820">
      <c r="A820" s="72"/>
      <c r="B820" s="72"/>
      <c r="C820" s="23"/>
      <c r="D820" s="23"/>
      <c r="E820" s="40"/>
      <c r="F820" s="40"/>
      <c r="G820" s="40"/>
      <c r="H820" s="40"/>
      <c r="I820" s="40"/>
      <c r="J820" s="40"/>
      <c r="K820" s="40"/>
      <c r="L820" s="40"/>
      <c r="M820" s="40"/>
      <c r="N820" s="40"/>
      <c r="O820" s="40"/>
      <c r="P820" s="40"/>
      <c r="Q820" s="40"/>
      <c r="R820" s="40"/>
      <c r="S820" s="40"/>
      <c r="T820" s="40"/>
      <c r="U820" s="40"/>
      <c r="V820" s="40"/>
      <c r="W820" s="40"/>
      <c r="X820" s="40"/>
      <c r="Y820" s="40"/>
      <c r="Z820" s="40"/>
    </row>
    <row r="821">
      <c r="A821" s="72"/>
      <c r="B821" s="72"/>
      <c r="C821" s="23"/>
      <c r="D821" s="23"/>
      <c r="E821" s="40"/>
      <c r="F821" s="40"/>
      <c r="G821" s="40"/>
      <c r="H821" s="40"/>
      <c r="I821" s="40"/>
      <c r="J821" s="40"/>
      <c r="K821" s="40"/>
      <c r="L821" s="40"/>
      <c r="M821" s="40"/>
      <c r="N821" s="40"/>
      <c r="O821" s="40"/>
      <c r="P821" s="40"/>
      <c r="Q821" s="40"/>
      <c r="R821" s="40"/>
      <c r="S821" s="40"/>
      <c r="T821" s="40"/>
      <c r="U821" s="40"/>
      <c r="V821" s="40"/>
      <c r="W821" s="40"/>
      <c r="X821" s="40"/>
      <c r="Y821" s="40"/>
      <c r="Z821" s="40"/>
    </row>
    <row r="822">
      <c r="A822" s="72"/>
      <c r="B822" s="72"/>
      <c r="C822" s="23"/>
      <c r="D822" s="23"/>
      <c r="E822" s="40"/>
      <c r="F822" s="40"/>
      <c r="G822" s="40"/>
      <c r="H822" s="40"/>
      <c r="I822" s="40"/>
      <c r="J822" s="40"/>
      <c r="K822" s="40"/>
      <c r="L822" s="40"/>
      <c r="M822" s="40"/>
      <c r="N822" s="40"/>
      <c r="O822" s="40"/>
      <c r="P822" s="40"/>
      <c r="Q822" s="40"/>
      <c r="R822" s="40"/>
      <c r="S822" s="40"/>
      <c r="T822" s="40"/>
      <c r="U822" s="40"/>
      <c r="V822" s="40"/>
      <c r="W822" s="40"/>
      <c r="X822" s="40"/>
      <c r="Y822" s="40"/>
      <c r="Z822" s="40"/>
    </row>
    <row r="823">
      <c r="A823" s="72"/>
      <c r="B823" s="72"/>
      <c r="C823" s="23"/>
      <c r="D823" s="23"/>
      <c r="E823" s="40"/>
      <c r="F823" s="40"/>
      <c r="G823" s="40"/>
      <c r="H823" s="40"/>
      <c r="I823" s="40"/>
      <c r="J823" s="40"/>
      <c r="K823" s="40"/>
      <c r="L823" s="40"/>
      <c r="M823" s="40"/>
      <c r="N823" s="40"/>
      <c r="O823" s="40"/>
      <c r="P823" s="40"/>
      <c r="Q823" s="40"/>
      <c r="R823" s="40"/>
      <c r="S823" s="40"/>
      <c r="T823" s="40"/>
      <c r="U823" s="40"/>
      <c r="V823" s="40"/>
      <c r="W823" s="40"/>
      <c r="X823" s="40"/>
      <c r="Y823" s="40"/>
      <c r="Z823" s="40"/>
    </row>
    <row r="824">
      <c r="A824" s="72"/>
      <c r="B824" s="72"/>
      <c r="C824" s="23"/>
      <c r="D824" s="23"/>
      <c r="E824" s="40"/>
      <c r="F824" s="40"/>
      <c r="G824" s="40"/>
      <c r="H824" s="40"/>
      <c r="I824" s="40"/>
      <c r="J824" s="40"/>
      <c r="K824" s="40"/>
      <c r="L824" s="40"/>
      <c r="M824" s="40"/>
      <c r="N824" s="40"/>
      <c r="O824" s="40"/>
      <c r="P824" s="40"/>
      <c r="Q824" s="40"/>
      <c r="R824" s="40"/>
      <c r="S824" s="40"/>
      <c r="T824" s="40"/>
      <c r="U824" s="40"/>
      <c r="V824" s="40"/>
      <c r="W824" s="40"/>
      <c r="X824" s="40"/>
      <c r="Y824" s="40"/>
      <c r="Z824" s="40"/>
    </row>
    <row r="825">
      <c r="A825" s="72"/>
      <c r="B825" s="72"/>
      <c r="C825" s="23"/>
      <c r="D825" s="23"/>
      <c r="E825" s="40"/>
      <c r="F825" s="40"/>
      <c r="G825" s="40"/>
      <c r="H825" s="40"/>
      <c r="I825" s="40"/>
      <c r="J825" s="40"/>
      <c r="K825" s="40"/>
      <c r="L825" s="40"/>
      <c r="M825" s="40"/>
      <c r="N825" s="40"/>
      <c r="O825" s="40"/>
      <c r="P825" s="40"/>
      <c r="Q825" s="40"/>
      <c r="R825" s="40"/>
      <c r="S825" s="40"/>
      <c r="T825" s="40"/>
      <c r="U825" s="40"/>
      <c r="V825" s="40"/>
      <c r="W825" s="40"/>
      <c r="X825" s="40"/>
      <c r="Y825" s="40"/>
      <c r="Z825" s="40"/>
    </row>
    <row r="826">
      <c r="A826" s="72"/>
      <c r="B826" s="72"/>
      <c r="C826" s="23"/>
      <c r="D826" s="23"/>
      <c r="E826" s="40"/>
      <c r="F826" s="40"/>
      <c r="G826" s="40"/>
      <c r="H826" s="40"/>
      <c r="I826" s="40"/>
      <c r="J826" s="40"/>
      <c r="K826" s="40"/>
      <c r="L826" s="40"/>
      <c r="M826" s="40"/>
      <c r="N826" s="40"/>
      <c r="O826" s="40"/>
      <c r="P826" s="40"/>
      <c r="Q826" s="40"/>
      <c r="R826" s="40"/>
      <c r="S826" s="40"/>
      <c r="T826" s="40"/>
      <c r="U826" s="40"/>
      <c r="V826" s="40"/>
      <c r="W826" s="40"/>
      <c r="X826" s="40"/>
      <c r="Y826" s="40"/>
      <c r="Z826" s="40"/>
    </row>
    <row r="827">
      <c r="A827" s="72"/>
      <c r="B827" s="72"/>
      <c r="C827" s="23"/>
      <c r="D827" s="23"/>
      <c r="E827" s="40"/>
      <c r="F827" s="40"/>
      <c r="G827" s="40"/>
      <c r="H827" s="40"/>
      <c r="I827" s="40"/>
      <c r="J827" s="40"/>
      <c r="K827" s="40"/>
      <c r="L827" s="40"/>
      <c r="M827" s="40"/>
      <c r="N827" s="40"/>
      <c r="O827" s="40"/>
      <c r="P827" s="40"/>
      <c r="Q827" s="40"/>
      <c r="R827" s="40"/>
      <c r="S827" s="40"/>
      <c r="T827" s="40"/>
      <c r="U827" s="40"/>
      <c r="V827" s="40"/>
      <c r="W827" s="40"/>
      <c r="X827" s="40"/>
      <c r="Y827" s="40"/>
      <c r="Z827" s="40"/>
    </row>
    <row r="828">
      <c r="A828" s="72"/>
      <c r="B828" s="72"/>
      <c r="C828" s="23"/>
      <c r="D828" s="23"/>
      <c r="E828" s="40"/>
      <c r="F828" s="40"/>
      <c r="G828" s="40"/>
      <c r="H828" s="40"/>
      <c r="I828" s="40"/>
      <c r="J828" s="40"/>
      <c r="K828" s="40"/>
      <c r="L828" s="40"/>
      <c r="M828" s="40"/>
      <c r="N828" s="40"/>
      <c r="O828" s="40"/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0"/>
    </row>
    <row r="829">
      <c r="A829" s="72"/>
      <c r="B829" s="72"/>
      <c r="C829" s="23"/>
      <c r="D829" s="23"/>
      <c r="E829" s="40"/>
      <c r="F829" s="40"/>
      <c r="G829" s="40"/>
      <c r="H829" s="40"/>
      <c r="I829" s="40"/>
      <c r="J829" s="40"/>
      <c r="K829" s="40"/>
      <c r="L829" s="40"/>
      <c r="M829" s="40"/>
      <c r="N829" s="40"/>
      <c r="O829" s="40"/>
      <c r="P829" s="40"/>
      <c r="Q829" s="40"/>
      <c r="R829" s="40"/>
      <c r="S829" s="40"/>
      <c r="T829" s="40"/>
      <c r="U829" s="40"/>
      <c r="V829" s="40"/>
      <c r="W829" s="40"/>
      <c r="X829" s="40"/>
      <c r="Y829" s="40"/>
      <c r="Z829" s="40"/>
    </row>
    <row r="830">
      <c r="A830" s="72"/>
      <c r="B830" s="72"/>
      <c r="C830" s="23"/>
      <c r="D830" s="23"/>
      <c r="E830" s="40"/>
      <c r="F830" s="40"/>
      <c r="G830" s="40"/>
      <c r="H830" s="40"/>
      <c r="I830" s="40"/>
      <c r="J830" s="40"/>
      <c r="K830" s="40"/>
      <c r="L830" s="40"/>
      <c r="M830" s="40"/>
      <c r="N830" s="40"/>
      <c r="O830" s="40"/>
      <c r="P830" s="40"/>
      <c r="Q830" s="40"/>
      <c r="R830" s="40"/>
      <c r="S830" s="40"/>
      <c r="T830" s="40"/>
      <c r="U830" s="40"/>
      <c r="V830" s="40"/>
      <c r="W830" s="40"/>
      <c r="X830" s="40"/>
      <c r="Y830" s="40"/>
      <c r="Z830" s="40"/>
    </row>
    <row r="831">
      <c r="A831" s="72"/>
      <c r="B831" s="72"/>
      <c r="C831" s="23"/>
      <c r="D831" s="23"/>
      <c r="E831" s="40"/>
      <c r="F831" s="40"/>
      <c r="G831" s="40"/>
      <c r="H831" s="40"/>
      <c r="I831" s="40"/>
      <c r="J831" s="40"/>
      <c r="K831" s="40"/>
      <c r="L831" s="40"/>
      <c r="M831" s="40"/>
      <c r="N831" s="40"/>
      <c r="O831" s="40"/>
      <c r="P831" s="40"/>
      <c r="Q831" s="40"/>
      <c r="R831" s="40"/>
      <c r="S831" s="40"/>
      <c r="T831" s="40"/>
      <c r="U831" s="40"/>
      <c r="V831" s="40"/>
      <c r="W831" s="40"/>
      <c r="X831" s="40"/>
      <c r="Y831" s="40"/>
      <c r="Z831" s="40"/>
    </row>
    <row r="832">
      <c r="A832" s="72"/>
      <c r="B832" s="72"/>
      <c r="C832" s="23"/>
      <c r="D832" s="23"/>
      <c r="E832" s="40"/>
      <c r="F832" s="40"/>
      <c r="G832" s="40"/>
      <c r="H832" s="40"/>
      <c r="I832" s="40"/>
      <c r="J832" s="40"/>
      <c r="K832" s="40"/>
      <c r="L832" s="40"/>
      <c r="M832" s="40"/>
      <c r="N832" s="40"/>
      <c r="O832" s="40"/>
      <c r="P832" s="40"/>
      <c r="Q832" s="40"/>
      <c r="R832" s="40"/>
      <c r="S832" s="40"/>
      <c r="T832" s="40"/>
      <c r="U832" s="40"/>
      <c r="V832" s="40"/>
      <c r="W832" s="40"/>
      <c r="X832" s="40"/>
      <c r="Y832" s="40"/>
      <c r="Z832" s="40"/>
    </row>
    <row r="833">
      <c r="A833" s="72"/>
      <c r="B833" s="72"/>
      <c r="C833" s="23"/>
      <c r="D833" s="23"/>
      <c r="E833" s="40"/>
      <c r="F833" s="40"/>
      <c r="G833" s="40"/>
      <c r="H833" s="40"/>
      <c r="I833" s="40"/>
      <c r="J833" s="40"/>
      <c r="K833" s="40"/>
      <c r="L833" s="40"/>
      <c r="M833" s="40"/>
      <c r="N833" s="40"/>
      <c r="O833" s="40"/>
      <c r="P833" s="40"/>
      <c r="Q833" s="40"/>
      <c r="R833" s="40"/>
      <c r="S833" s="40"/>
      <c r="T833" s="40"/>
      <c r="U833" s="40"/>
      <c r="V833" s="40"/>
      <c r="W833" s="40"/>
      <c r="X833" s="40"/>
      <c r="Y833" s="40"/>
      <c r="Z833" s="40"/>
    </row>
    <row r="834">
      <c r="A834" s="72"/>
      <c r="B834" s="72"/>
      <c r="C834" s="23"/>
      <c r="D834" s="23"/>
      <c r="E834" s="40"/>
      <c r="F834" s="40"/>
      <c r="G834" s="40"/>
      <c r="H834" s="40"/>
      <c r="I834" s="40"/>
      <c r="J834" s="40"/>
      <c r="K834" s="40"/>
      <c r="L834" s="40"/>
      <c r="M834" s="40"/>
      <c r="N834" s="40"/>
      <c r="O834" s="40"/>
      <c r="P834" s="40"/>
      <c r="Q834" s="40"/>
      <c r="R834" s="40"/>
      <c r="S834" s="40"/>
      <c r="T834" s="40"/>
      <c r="U834" s="40"/>
      <c r="V834" s="40"/>
      <c r="W834" s="40"/>
      <c r="X834" s="40"/>
      <c r="Y834" s="40"/>
      <c r="Z834" s="40"/>
    </row>
    <row r="835">
      <c r="A835" s="72"/>
      <c r="B835" s="72"/>
      <c r="C835" s="23"/>
      <c r="D835" s="23"/>
      <c r="E835" s="40"/>
      <c r="F835" s="40"/>
      <c r="G835" s="40"/>
      <c r="H835" s="40"/>
      <c r="I835" s="40"/>
      <c r="J835" s="40"/>
      <c r="K835" s="40"/>
      <c r="L835" s="40"/>
      <c r="M835" s="40"/>
      <c r="N835" s="40"/>
      <c r="O835" s="40"/>
      <c r="P835" s="40"/>
      <c r="Q835" s="40"/>
      <c r="R835" s="40"/>
      <c r="S835" s="40"/>
      <c r="T835" s="40"/>
      <c r="U835" s="40"/>
      <c r="V835" s="40"/>
      <c r="W835" s="40"/>
      <c r="X835" s="40"/>
      <c r="Y835" s="40"/>
      <c r="Z835" s="40"/>
    </row>
    <row r="836">
      <c r="A836" s="72"/>
      <c r="B836" s="72"/>
      <c r="C836" s="23"/>
      <c r="D836" s="23"/>
      <c r="E836" s="40"/>
      <c r="F836" s="40"/>
      <c r="G836" s="40"/>
      <c r="H836" s="40"/>
      <c r="I836" s="40"/>
      <c r="J836" s="40"/>
      <c r="K836" s="40"/>
      <c r="L836" s="40"/>
      <c r="M836" s="40"/>
      <c r="N836" s="40"/>
      <c r="O836" s="40"/>
      <c r="P836" s="40"/>
      <c r="Q836" s="40"/>
      <c r="R836" s="40"/>
      <c r="S836" s="40"/>
      <c r="T836" s="40"/>
      <c r="U836" s="40"/>
      <c r="V836" s="40"/>
      <c r="W836" s="40"/>
      <c r="X836" s="40"/>
      <c r="Y836" s="40"/>
      <c r="Z836" s="40"/>
    </row>
    <row r="837">
      <c r="A837" s="72"/>
      <c r="B837" s="72"/>
      <c r="C837" s="23"/>
      <c r="D837" s="23"/>
      <c r="E837" s="40"/>
      <c r="F837" s="40"/>
      <c r="G837" s="40"/>
      <c r="H837" s="40"/>
      <c r="I837" s="40"/>
      <c r="J837" s="40"/>
      <c r="K837" s="40"/>
      <c r="L837" s="40"/>
      <c r="M837" s="40"/>
      <c r="N837" s="40"/>
      <c r="O837" s="40"/>
      <c r="P837" s="40"/>
      <c r="Q837" s="40"/>
      <c r="R837" s="40"/>
      <c r="S837" s="40"/>
      <c r="T837" s="40"/>
      <c r="U837" s="40"/>
      <c r="V837" s="40"/>
      <c r="W837" s="40"/>
      <c r="X837" s="40"/>
      <c r="Y837" s="40"/>
      <c r="Z837" s="40"/>
    </row>
    <row r="838">
      <c r="A838" s="72"/>
      <c r="B838" s="72"/>
      <c r="C838" s="23"/>
      <c r="D838" s="23"/>
      <c r="E838" s="40"/>
      <c r="F838" s="40"/>
      <c r="G838" s="40"/>
      <c r="H838" s="40"/>
      <c r="I838" s="40"/>
      <c r="J838" s="40"/>
      <c r="K838" s="40"/>
      <c r="L838" s="40"/>
      <c r="M838" s="40"/>
      <c r="N838" s="40"/>
      <c r="O838" s="40"/>
      <c r="P838" s="40"/>
      <c r="Q838" s="40"/>
      <c r="R838" s="40"/>
      <c r="S838" s="40"/>
      <c r="T838" s="40"/>
      <c r="U838" s="40"/>
      <c r="V838" s="40"/>
      <c r="W838" s="40"/>
      <c r="X838" s="40"/>
      <c r="Y838" s="40"/>
      <c r="Z838" s="40"/>
    </row>
    <row r="839">
      <c r="A839" s="72"/>
      <c r="B839" s="72"/>
      <c r="C839" s="23"/>
      <c r="D839" s="23"/>
      <c r="E839" s="40"/>
      <c r="F839" s="40"/>
      <c r="G839" s="40"/>
      <c r="H839" s="40"/>
      <c r="I839" s="40"/>
      <c r="J839" s="40"/>
      <c r="K839" s="40"/>
      <c r="L839" s="40"/>
      <c r="M839" s="40"/>
      <c r="N839" s="40"/>
      <c r="O839" s="40"/>
      <c r="P839" s="40"/>
      <c r="Q839" s="40"/>
      <c r="R839" s="40"/>
      <c r="S839" s="40"/>
      <c r="T839" s="40"/>
      <c r="U839" s="40"/>
      <c r="V839" s="40"/>
      <c r="W839" s="40"/>
      <c r="X839" s="40"/>
      <c r="Y839" s="40"/>
      <c r="Z839" s="40"/>
    </row>
    <row r="840">
      <c r="A840" s="72"/>
      <c r="B840" s="72"/>
      <c r="C840" s="23"/>
      <c r="D840" s="23"/>
      <c r="E840" s="40"/>
      <c r="F840" s="40"/>
      <c r="G840" s="40"/>
      <c r="H840" s="40"/>
      <c r="I840" s="40"/>
      <c r="J840" s="40"/>
      <c r="K840" s="40"/>
      <c r="L840" s="40"/>
      <c r="M840" s="40"/>
      <c r="N840" s="40"/>
      <c r="O840" s="40"/>
      <c r="P840" s="40"/>
      <c r="Q840" s="40"/>
      <c r="R840" s="40"/>
      <c r="S840" s="40"/>
      <c r="T840" s="40"/>
      <c r="U840" s="40"/>
      <c r="V840" s="40"/>
      <c r="W840" s="40"/>
      <c r="X840" s="40"/>
      <c r="Y840" s="40"/>
      <c r="Z840" s="40"/>
    </row>
    <row r="841">
      <c r="A841" s="72"/>
      <c r="B841" s="72"/>
      <c r="C841" s="23"/>
      <c r="D841" s="23"/>
      <c r="E841" s="40"/>
      <c r="F841" s="40"/>
      <c r="G841" s="40"/>
      <c r="H841" s="40"/>
      <c r="I841" s="40"/>
      <c r="J841" s="40"/>
      <c r="K841" s="40"/>
      <c r="L841" s="40"/>
      <c r="M841" s="40"/>
      <c r="N841" s="40"/>
      <c r="O841" s="40"/>
      <c r="P841" s="40"/>
      <c r="Q841" s="40"/>
      <c r="R841" s="40"/>
      <c r="S841" s="40"/>
      <c r="T841" s="40"/>
      <c r="U841" s="40"/>
      <c r="V841" s="40"/>
      <c r="W841" s="40"/>
      <c r="X841" s="40"/>
      <c r="Y841" s="40"/>
      <c r="Z841" s="40"/>
    </row>
    <row r="842">
      <c r="A842" s="72"/>
      <c r="B842" s="72"/>
      <c r="C842" s="23"/>
      <c r="D842" s="23"/>
      <c r="E842" s="40"/>
      <c r="F842" s="40"/>
      <c r="G842" s="40"/>
      <c r="H842" s="40"/>
      <c r="I842" s="40"/>
      <c r="J842" s="40"/>
      <c r="K842" s="40"/>
      <c r="L842" s="40"/>
      <c r="M842" s="40"/>
      <c r="N842" s="40"/>
      <c r="O842" s="40"/>
      <c r="P842" s="40"/>
      <c r="Q842" s="40"/>
      <c r="R842" s="40"/>
      <c r="S842" s="40"/>
      <c r="T842" s="40"/>
      <c r="U842" s="40"/>
      <c r="V842" s="40"/>
      <c r="W842" s="40"/>
      <c r="X842" s="40"/>
      <c r="Y842" s="40"/>
      <c r="Z842" s="40"/>
    </row>
    <row r="843">
      <c r="A843" s="72"/>
      <c r="B843" s="72"/>
      <c r="C843" s="23"/>
      <c r="D843" s="23"/>
      <c r="E843" s="40"/>
      <c r="F843" s="40"/>
      <c r="G843" s="40"/>
      <c r="H843" s="40"/>
      <c r="I843" s="40"/>
      <c r="J843" s="40"/>
      <c r="K843" s="40"/>
      <c r="L843" s="40"/>
      <c r="M843" s="40"/>
      <c r="N843" s="40"/>
      <c r="O843" s="40"/>
      <c r="P843" s="40"/>
      <c r="Q843" s="40"/>
      <c r="R843" s="40"/>
      <c r="S843" s="40"/>
      <c r="T843" s="40"/>
      <c r="U843" s="40"/>
      <c r="V843" s="40"/>
      <c r="W843" s="40"/>
      <c r="X843" s="40"/>
      <c r="Y843" s="40"/>
      <c r="Z843" s="40"/>
    </row>
    <row r="844">
      <c r="A844" s="72"/>
      <c r="B844" s="72"/>
      <c r="C844" s="23"/>
      <c r="D844" s="23"/>
      <c r="E844" s="40"/>
      <c r="F844" s="40"/>
      <c r="G844" s="40"/>
      <c r="H844" s="40"/>
      <c r="I844" s="40"/>
      <c r="J844" s="40"/>
      <c r="K844" s="40"/>
      <c r="L844" s="40"/>
      <c r="M844" s="40"/>
      <c r="N844" s="40"/>
      <c r="O844" s="40"/>
      <c r="P844" s="40"/>
      <c r="Q844" s="40"/>
      <c r="R844" s="40"/>
      <c r="S844" s="40"/>
      <c r="T844" s="40"/>
      <c r="U844" s="40"/>
      <c r="V844" s="40"/>
      <c r="W844" s="40"/>
      <c r="X844" s="40"/>
      <c r="Y844" s="40"/>
      <c r="Z844" s="40"/>
    </row>
    <row r="845">
      <c r="A845" s="72"/>
      <c r="B845" s="72"/>
      <c r="C845" s="23"/>
      <c r="D845" s="23"/>
      <c r="E845" s="40"/>
      <c r="F845" s="40"/>
      <c r="G845" s="40"/>
      <c r="H845" s="40"/>
      <c r="I845" s="40"/>
      <c r="J845" s="40"/>
      <c r="K845" s="40"/>
      <c r="L845" s="40"/>
      <c r="M845" s="40"/>
      <c r="N845" s="40"/>
      <c r="O845" s="40"/>
      <c r="P845" s="40"/>
      <c r="Q845" s="40"/>
      <c r="R845" s="40"/>
      <c r="S845" s="40"/>
      <c r="T845" s="40"/>
      <c r="U845" s="40"/>
      <c r="V845" s="40"/>
      <c r="W845" s="40"/>
      <c r="X845" s="40"/>
      <c r="Y845" s="40"/>
      <c r="Z845" s="40"/>
    </row>
    <row r="846">
      <c r="A846" s="72"/>
      <c r="B846" s="72"/>
      <c r="C846" s="23"/>
      <c r="D846" s="23"/>
      <c r="E846" s="40"/>
      <c r="F846" s="40"/>
      <c r="G846" s="40"/>
      <c r="H846" s="40"/>
      <c r="I846" s="40"/>
      <c r="J846" s="40"/>
      <c r="K846" s="40"/>
      <c r="L846" s="40"/>
      <c r="M846" s="40"/>
      <c r="N846" s="40"/>
      <c r="O846" s="40"/>
      <c r="P846" s="40"/>
      <c r="Q846" s="40"/>
      <c r="R846" s="40"/>
      <c r="S846" s="40"/>
      <c r="T846" s="40"/>
      <c r="U846" s="40"/>
      <c r="V846" s="40"/>
      <c r="W846" s="40"/>
      <c r="X846" s="40"/>
      <c r="Y846" s="40"/>
      <c r="Z846" s="40"/>
    </row>
    <row r="847">
      <c r="A847" s="72"/>
      <c r="B847" s="72"/>
      <c r="C847" s="23"/>
      <c r="D847" s="23"/>
      <c r="E847" s="40"/>
      <c r="F847" s="40"/>
      <c r="G847" s="40"/>
      <c r="H847" s="40"/>
      <c r="I847" s="40"/>
      <c r="J847" s="40"/>
      <c r="K847" s="40"/>
      <c r="L847" s="40"/>
      <c r="M847" s="40"/>
      <c r="N847" s="40"/>
      <c r="O847" s="40"/>
      <c r="P847" s="40"/>
      <c r="Q847" s="40"/>
      <c r="R847" s="40"/>
      <c r="S847" s="40"/>
      <c r="T847" s="40"/>
      <c r="U847" s="40"/>
      <c r="V847" s="40"/>
      <c r="W847" s="40"/>
      <c r="X847" s="40"/>
      <c r="Y847" s="40"/>
      <c r="Z847" s="40"/>
    </row>
    <row r="848">
      <c r="A848" s="72"/>
      <c r="B848" s="72"/>
      <c r="C848" s="23"/>
      <c r="D848" s="23"/>
      <c r="E848" s="40"/>
      <c r="F848" s="40"/>
      <c r="G848" s="40"/>
      <c r="H848" s="40"/>
      <c r="I848" s="40"/>
      <c r="J848" s="40"/>
      <c r="K848" s="40"/>
      <c r="L848" s="40"/>
      <c r="M848" s="40"/>
      <c r="N848" s="40"/>
      <c r="O848" s="40"/>
      <c r="P848" s="40"/>
      <c r="Q848" s="40"/>
      <c r="R848" s="40"/>
      <c r="S848" s="40"/>
      <c r="T848" s="40"/>
      <c r="U848" s="40"/>
      <c r="V848" s="40"/>
      <c r="W848" s="40"/>
      <c r="X848" s="40"/>
      <c r="Y848" s="40"/>
      <c r="Z848" s="40"/>
    </row>
    <row r="849">
      <c r="A849" s="72"/>
      <c r="B849" s="72"/>
      <c r="C849" s="23"/>
      <c r="D849" s="23"/>
      <c r="E849" s="40"/>
      <c r="F849" s="40"/>
      <c r="G849" s="40"/>
      <c r="H849" s="40"/>
      <c r="I849" s="40"/>
      <c r="J849" s="40"/>
      <c r="K849" s="40"/>
      <c r="L849" s="40"/>
      <c r="M849" s="40"/>
      <c r="N849" s="40"/>
      <c r="O849" s="40"/>
      <c r="P849" s="40"/>
      <c r="Q849" s="40"/>
      <c r="R849" s="40"/>
      <c r="S849" s="40"/>
      <c r="T849" s="40"/>
      <c r="U849" s="40"/>
      <c r="V849" s="40"/>
      <c r="W849" s="40"/>
      <c r="X849" s="40"/>
      <c r="Y849" s="40"/>
      <c r="Z849" s="40"/>
    </row>
    <row r="850">
      <c r="A850" s="72"/>
      <c r="B850" s="72"/>
      <c r="C850" s="23"/>
      <c r="D850" s="23"/>
      <c r="E850" s="40"/>
      <c r="F850" s="40"/>
      <c r="G850" s="40"/>
      <c r="H850" s="40"/>
      <c r="I850" s="40"/>
      <c r="J850" s="40"/>
      <c r="K850" s="40"/>
      <c r="L850" s="40"/>
      <c r="M850" s="40"/>
      <c r="N850" s="40"/>
      <c r="O850" s="40"/>
      <c r="P850" s="40"/>
      <c r="Q850" s="40"/>
      <c r="R850" s="40"/>
      <c r="S850" s="40"/>
      <c r="T850" s="40"/>
      <c r="U850" s="40"/>
      <c r="V850" s="40"/>
      <c r="W850" s="40"/>
      <c r="X850" s="40"/>
      <c r="Y850" s="40"/>
      <c r="Z850" s="40"/>
    </row>
    <row r="851">
      <c r="A851" s="72"/>
      <c r="B851" s="72"/>
      <c r="C851" s="23"/>
      <c r="D851" s="23"/>
      <c r="E851" s="40"/>
      <c r="F851" s="40"/>
      <c r="G851" s="40"/>
      <c r="H851" s="40"/>
      <c r="I851" s="40"/>
      <c r="J851" s="40"/>
      <c r="K851" s="40"/>
      <c r="L851" s="40"/>
      <c r="M851" s="40"/>
      <c r="N851" s="40"/>
      <c r="O851" s="40"/>
      <c r="P851" s="40"/>
      <c r="Q851" s="40"/>
      <c r="R851" s="40"/>
      <c r="S851" s="40"/>
      <c r="T851" s="40"/>
      <c r="U851" s="40"/>
      <c r="V851" s="40"/>
      <c r="W851" s="40"/>
      <c r="X851" s="40"/>
      <c r="Y851" s="40"/>
      <c r="Z851" s="40"/>
    </row>
    <row r="852">
      <c r="A852" s="72"/>
      <c r="B852" s="72"/>
      <c r="C852" s="23"/>
      <c r="D852" s="23"/>
      <c r="E852" s="40"/>
      <c r="F852" s="40"/>
      <c r="G852" s="40"/>
      <c r="H852" s="40"/>
      <c r="I852" s="40"/>
      <c r="J852" s="40"/>
      <c r="K852" s="40"/>
      <c r="L852" s="40"/>
      <c r="M852" s="40"/>
      <c r="N852" s="40"/>
      <c r="O852" s="40"/>
      <c r="P852" s="40"/>
      <c r="Q852" s="40"/>
      <c r="R852" s="40"/>
      <c r="S852" s="40"/>
      <c r="T852" s="40"/>
      <c r="U852" s="40"/>
      <c r="V852" s="40"/>
      <c r="W852" s="40"/>
      <c r="X852" s="40"/>
      <c r="Y852" s="40"/>
      <c r="Z852" s="40"/>
    </row>
    <row r="853">
      <c r="A853" s="72"/>
      <c r="B853" s="72"/>
      <c r="C853" s="23"/>
      <c r="D853" s="23"/>
      <c r="E853" s="40"/>
      <c r="F853" s="40"/>
      <c r="G853" s="40"/>
      <c r="H853" s="40"/>
      <c r="I853" s="40"/>
      <c r="J853" s="40"/>
      <c r="K853" s="40"/>
      <c r="L853" s="40"/>
      <c r="M853" s="40"/>
      <c r="N853" s="40"/>
      <c r="O853" s="40"/>
      <c r="P853" s="40"/>
      <c r="Q853" s="40"/>
      <c r="R853" s="40"/>
      <c r="S853" s="40"/>
      <c r="T853" s="40"/>
      <c r="U853" s="40"/>
      <c r="V853" s="40"/>
      <c r="W853" s="40"/>
      <c r="X853" s="40"/>
      <c r="Y853" s="40"/>
      <c r="Z853" s="40"/>
    </row>
    <row r="854">
      <c r="A854" s="72"/>
      <c r="B854" s="72"/>
      <c r="C854" s="23"/>
      <c r="D854" s="23"/>
      <c r="E854" s="40"/>
      <c r="F854" s="40"/>
      <c r="G854" s="40"/>
      <c r="H854" s="40"/>
      <c r="I854" s="40"/>
      <c r="J854" s="40"/>
      <c r="K854" s="40"/>
      <c r="L854" s="40"/>
      <c r="M854" s="40"/>
      <c r="N854" s="40"/>
      <c r="O854" s="40"/>
      <c r="P854" s="40"/>
      <c r="Q854" s="40"/>
      <c r="R854" s="40"/>
      <c r="S854" s="40"/>
      <c r="T854" s="40"/>
      <c r="U854" s="40"/>
      <c r="V854" s="40"/>
      <c r="W854" s="40"/>
      <c r="X854" s="40"/>
      <c r="Y854" s="40"/>
      <c r="Z854" s="40"/>
    </row>
    <row r="855">
      <c r="A855" s="72"/>
      <c r="B855" s="72"/>
      <c r="C855" s="23"/>
      <c r="D855" s="23"/>
      <c r="E855" s="40"/>
      <c r="F855" s="40"/>
      <c r="G855" s="40"/>
      <c r="H855" s="40"/>
      <c r="I855" s="40"/>
      <c r="J855" s="40"/>
      <c r="K855" s="40"/>
      <c r="L855" s="40"/>
      <c r="M855" s="40"/>
      <c r="N855" s="40"/>
      <c r="O855" s="40"/>
      <c r="P855" s="40"/>
      <c r="Q855" s="40"/>
      <c r="R855" s="40"/>
      <c r="S855" s="40"/>
      <c r="T855" s="40"/>
      <c r="U855" s="40"/>
      <c r="V855" s="40"/>
      <c r="W855" s="40"/>
      <c r="X855" s="40"/>
      <c r="Y855" s="40"/>
      <c r="Z855" s="40"/>
    </row>
    <row r="856">
      <c r="A856" s="72"/>
      <c r="B856" s="72"/>
      <c r="C856" s="23"/>
      <c r="D856" s="23"/>
      <c r="E856" s="40"/>
      <c r="F856" s="40"/>
      <c r="G856" s="40"/>
      <c r="H856" s="40"/>
      <c r="I856" s="40"/>
      <c r="J856" s="40"/>
      <c r="K856" s="40"/>
      <c r="L856" s="40"/>
      <c r="M856" s="40"/>
      <c r="N856" s="40"/>
      <c r="O856" s="40"/>
      <c r="P856" s="40"/>
      <c r="Q856" s="40"/>
      <c r="R856" s="40"/>
      <c r="S856" s="40"/>
      <c r="T856" s="40"/>
      <c r="U856" s="40"/>
      <c r="V856" s="40"/>
      <c r="W856" s="40"/>
      <c r="X856" s="40"/>
      <c r="Y856" s="40"/>
      <c r="Z856" s="40"/>
    </row>
    <row r="857">
      <c r="A857" s="72"/>
      <c r="B857" s="72"/>
      <c r="C857" s="23"/>
      <c r="D857" s="23"/>
      <c r="E857" s="40"/>
      <c r="F857" s="40"/>
      <c r="G857" s="40"/>
      <c r="H857" s="40"/>
      <c r="I857" s="40"/>
      <c r="J857" s="40"/>
      <c r="K857" s="40"/>
      <c r="L857" s="40"/>
      <c r="M857" s="40"/>
      <c r="N857" s="40"/>
      <c r="O857" s="40"/>
      <c r="P857" s="40"/>
      <c r="Q857" s="40"/>
      <c r="R857" s="40"/>
      <c r="S857" s="40"/>
      <c r="T857" s="40"/>
      <c r="U857" s="40"/>
      <c r="V857" s="40"/>
      <c r="W857" s="40"/>
      <c r="X857" s="40"/>
      <c r="Y857" s="40"/>
      <c r="Z857" s="40"/>
    </row>
    <row r="858">
      <c r="A858" s="72"/>
      <c r="B858" s="72"/>
      <c r="C858" s="23"/>
      <c r="D858" s="23"/>
      <c r="E858" s="40"/>
      <c r="F858" s="40"/>
      <c r="G858" s="40"/>
      <c r="H858" s="40"/>
      <c r="I858" s="40"/>
      <c r="J858" s="40"/>
      <c r="K858" s="40"/>
      <c r="L858" s="40"/>
      <c r="M858" s="40"/>
      <c r="N858" s="40"/>
      <c r="O858" s="40"/>
      <c r="P858" s="40"/>
      <c r="Q858" s="40"/>
      <c r="R858" s="40"/>
      <c r="S858" s="40"/>
      <c r="T858" s="40"/>
      <c r="U858" s="40"/>
      <c r="V858" s="40"/>
      <c r="W858" s="40"/>
      <c r="X858" s="40"/>
      <c r="Y858" s="40"/>
      <c r="Z858" s="40"/>
    </row>
    <row r="859">
      <c r="A859" s="72"/>
      <c r="B859" s="72"/>
      <c r="C859" s="23"/>
      <c r="D859" s="23"/>
      <c r="E859" s="40"/>
      <c r="F859" s="40"/>
      <c r="G859" s="40"/>
      <c r="H859" s="40"/>
      <c r="I859" s="40"/>
      <c r="J859" s="40"/>
      <c r="K859" s="40"/>
      <c r="L859" s="40"/>
      <c r="M859" s="40"/>
      <c r="N859" s="40"/>
      <c r="O859" s="40"/>
      <c r="P859" s="40"/>
      <c r="Q859" s="40"/>
      <c r="R859" s="40"/>
      <c r="S859" s="40"/>
      <c r="T859" s="40"/>
      <c r="U859" s="40"/>
      <c r="V859" s="40"/>
      <c r="W859" s="40"/>
      <c r="X859" s="40"/>
      <c r="Y859" s="40"/>
      <c r="Z859" s="40"/>
    </row>
    <row r="860">
      <c r="A860" s="72"/>
      <c r="B860" s="72"/>
      <c r="C860" s="23"/>
      <c r="D860" s="23"/>
      <c r="E860" s="40"/>
      <c r="F860" s="40"/>
      <c r="G860" s="40"/>
      <c r="H860" s="40"/>
      <c r="I860" s="40"/>
      <c r="J860" s="40"/>
      <c r="K860" s="40"/>
      <c r="L860" s="40"/>
      <c r="M860" s="40"/>
      <c r="N860" s="40"/>
      <c r="O860" s="40"/>
      <c r="P860" s="40"/>
      <c r="Q860" s="40"/>
      <c r="R860" s="40"/>
      <c r="S860" s="40"/>
      <c r="T860" s="40"/>
      <c r="U860" s="40"/>
      <c r="V860" s="40"/>
      <c r="W860" s="40"/>
      <c r="X860" s="40"/>
      <c r="Y860" s="40"/>
      <c r="Z860" s="40"/>
    </row>
    <row r="861">
      <c r="A861" s="72"/>
      <c r="B861" s="72"/>
      <c r="C861" s="23"/>
      <c r="D861" s="23"/>
      <c r="E861" s="40"/>
      <c r="F861" s="40"/>
      <c r="G861" s="40"/>
      <c r="H861" s="40"/>
      <c r="I861" s="40"/>
      <c r="J861" s="40"/>
      <c r="K861" s="40"/>
      <c r="L861" s="40"/>
      <c r="M861" s="40"/>
      <c r="N861" s="40"/>
      <c r="O861" s="40"/>
      <c r="P861" s="40"/>
      <c r="Q861" s="40"/>
      <c r="R861" s="40"/>
      <c r="S861" s="40"/>
      <c r="T861" s="40"/>
      <c r="U861" s="40"/>
      <c r="V861" s="40"/>
      <c r="W861" s="40"/>
      <c r="X861" s="40"/>
      <c r="Y861" s="40"/>
      <c r="Z861" s="40"/>
    </row>
    <row r="862">
      <c r="A862" s="72"/>
      <c r="B862" s="72"/>
      <c r="C862" s="23"/>
      <c r="D862" s="23"/>
      <c r="E862" s="40"/>
      <c r="F862" s="40"/>
      <c r="G862" s="40"/>
      <c r="H862" s="40"/>
      <c r="I862" s="40"/>
      <c r="J862" s="40"/>
      <c r="K862" s="40"/>
      <c r="L862" s="40"/>
      <c r="M862" s="40"/>
      <c r="N862" s="40"/>
      <c r="O862" s="40"/>
      <c r="P862" s="40"/>
      <c r="Q862" s="40"/>
      <c r="R862" s="40"/>
      <c r="S862" s="40"/>
      <c r="T862" s="40"/>
      <c r="U862" s="40"/>
      <c r="V862" s="40"/>
      <c r="W862" s="40"/>
      <c r="X862" s="40"/>
      <c r="Y862" s="40"/>
      <c r="Z862" s="40"/>
    </row>
    <row r="863">
      <c r="A863" s="72"/>
      <c r="B863" s="72"/>
      <c r="C863" s="23"/>
      <c r="D863" s="23"/>
      <c r="E863" s="40"/>
      <c r="F863" s="40"/>
      <c r="G863" s="40"/>
      <c r="H863" s="40"/>
      <c r="I863" s="40"/>
      <c r="J863" s="40"/>
      <c r="K863" s="40"/>
      <c r="L863" s="40"/>
      <c r="M863" s="40"/>
      <c r="N863" s="40"/>
      <c r="O863" s="40"/>
      <c r="P863" s="40"/>
      <c r="Q863" s="40"/>
      <c r="R863" s="40"/>
      <c r="S863" s="40"/>
      <c r="T863" s="40"/>
      <c r="U863" s="40"/>
      <c r="V863" s="40"/>
      <c r="W863" s="40"/>
      <c r="X863" s="40"/>
      <c r="Y863" s="40"/>
      <c r="Z863" s="40"/>
    </row>
    <row r="864">
      <c r="A864" s="72"/>
      <c r="B864" s="72"/>
      <c r="C864" s="23"/>
      <c r="D864" s="23"/>
      <c r="E864" s="40"/>
      <c r="F864" s="40"/>
      <c r="G864" s="40"/>
      <c r="H864" s="40"/>
      <c r="I864" s="40"/>
      <c r="J864" s="40"/>
      <c r="K864" s="40"/>
      <c r="L864" s="40"/>
      <c r="M864" s="40"/>
      <c r="N864" s="40"/>
      <c r="O864" s="40"/>
      <c r="P864" s="40"/>
      <c r="Q864" s="40"/>
      <c r="R864" s="40"/>
      <c r="S864" s="40"/>
      <c r="T864" s="40"/>
      <c r="U864" s="40"/>
      <c r="V864" s="40"/>
      <c r="W864" s="40"/>
      <c r="X864" s="40"/>
      <c r="Y864" s="40"/>
      <c r="Z864" s="40"/>
    </row>
    <row r="865">
      <c r="A865" s="72"/>
      <c r="B865" s="72"/>
      <c r="C865" s="23"/>
      <c r="D865" s="23"/>
      <c r="E865" s="40"/>
      <c r="F865" s="40"/>
      <c r="G865" s="40"/>
      <c r="H865" s="40"/>
      <c r="I865" s="40"/>
      <c r="J865" s="40"/>
      <c r="K865" s="40"/>
      <c r="L865" s="40"/>
      <c r="M865" s="40"/>
      <c r="N865" s="40"/>
      <c r="O865" s="40"/>
      <c r="P865" s="40"/>
      <c r="Q865" s="40"/>
      <c r="R865" s="40"/>
      <c r="S865" s="40"/>
      <c r="T865" s="40"/>
      <c r="U865" s="40"/>
      <c r="V865" s="40"/>
      <c r="W865" s="40"/>
      <c r="X865" s="40"/>
      <c r="Y865" s="40"/>
      <c r="Z865" s="40"/>
    </row>
    <row r="866">
      <c r="A866" s="72"/>
      <c r="B866" s="72"/>
      <c r="C866" s="23"/>
      <c r="D866" s="23"/>
      <c r="E866" s="40"/>
      <c r="F866" s="40"/>
      <c r="G866" s="40"/>
      <c r="H866" s="40"/>
      <c r="I866" s="40"/>
      <c r="J866" s="40"/>
      <c r="K866" s="40"/>
      <c r="L866" s="40"/>
      <c r="M866" s="40"/>
      <c r="N866" s="40"/>
      <c r="O866" s="40"/>
      <c r="P866" s="40"/>
      <c r="Q866" s="40"/>
      <c r="R866" s="40"/>
      <c r="S866" s="40"/>
      <c r="T866" s="40"/>
      <c r="U866" s="40"/>
      <c r="V866" s="40"/>
      <c r="W866" s="40"/>
      <c r="X866" s="40"/>
      <c r="Y866" s="40"/>
      <c r="Z866" s="40"/>
    </row>
    <row r="867">
      <c r="A867" s="72"/>
      <c r="B867" s="72"/>
      <c r="C867" s="23"/>
      <c r="D867" s="23"/>
      <c r="E867" s="40"/>
      <c r="F867" s="40"/>
      <c r="G867" s="40"/>
      <c r="H867" s="40"/>
      <c r="I867" s="40"/>
      <c r="J867" s="40"/>
      <c r="K867" s="40"/>
      <c r="L867" s="40"/>
      <c r="M867" s="40"/>
      <c r="N867" s="40"/>
      <c r="O867" s="40"/>
      <c r="P867" s="40"/>
      <c r="Q867" s="40"/>
      <c r="R867" s="40"/>
      <c r="S867" s="40"/>
      <c r="T867" s="40"/>
      <c r="U867" s="40"/>
      <c r="V867" s="40"/>
      <c r="W867" s="40"/>
      <c r="X867" s="40"/>
      <c r="Y867" s="40"/>
      <c r="Z867" s="40"/>
    </row>
    <row r="868">
      <c r="A868" s="72"/>
      <c r="B868" s="72"/>
      <c r="C868" s="23"/>
      <c r="D868" s="23"/>
      <c r="E868" s="40"/>
      <c r="F868" s="40"/>
      <c r="G868" s="40"/>
      <c r="H868" s="40"/>
      <c r="I868" s="40"/>
      <c r="J868" s="40"/>
      <c r="K868" s="40"/>
      <c r="L868" s="40"/>
      <c r="M868" s="40"/>
      <c r="N868" s="40"/>
      <c r="O868" s="40"/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0"/>
    </row>
    <row r="869">
      <c r="A869" s="72"/>
      <c r="B869" s="72"/>
      <c r="C869" s="23"/>
      <c r="D869" s="23"/>
      <c r="E869" s="40"/>
      <c r="F869" s="40"/>
      <c r="G869" s="40"/>
      <c r="H869" s="40"/>
      <c r="I869" s="40"/>
      <c r="J869" s="40"/>
      <c r="K869" s="40"/>
      <c r="L869" s="40"/>
      <c r="M869" s="40"/>
      <c r="N869" s="40"/>
      <c r="O869" s="40"/>
      <c r="P869" s="40"/>
      <c r="Q869" s="40"/>
      <c r="R869" s="40"/>
      <c r="S869" s="40"/>
      <c r="T869" s="40"/>
      <c r="U869" s="40"/>
      <c r="V869" s="40"/>
      <c r="W869" s="40"/>
      <c r="X869" s="40"/>
      <c r="Y869" s="40"/>
      <c r="Z869" s="40"/>
    </row>
    <row r="870">
      <c r="A870" s="72"/>
      <c r="B870" s="72"/>
      <c r="C870" s="23"/>
      <c r="D870" s="23"/>
      <c r="E870" s="40"/>
      <c r="F870" s="40"/>
      <c r="G870" s="40"/>
      <c r="H870" s="40"/>
      <c r="I870" s="40"/>
      <c r="J870" s="40"/>
      <c r="K870" s="40"/>
      <c r="L870" s="40"/>
      <c r="M870" s="40"/>
      <c r="N870" s="40"/>
      <c r="O870" s="40"/>
      <c r="P870" s="40"/>
      <c r="Q870" s="40"/>
      <c r="R870" s="40"/>
      <c r="S870" s="40"/>
      <c r="T870" s="40"/>
      <c r="U870" s="40"/>
      <c r="V870" s="40"/>
      <c r="W870" s="40"/>
      <c r="X870" s="40"/>
      <c r="Y870" s="40"/>
      <c r="Z870" s="40"/>
    </row>
    <row r="871">
      <c r="A871" s="72"/>
      <c r="B871" s="72"/>
      <c r="C871" s="23"/>
      <c r="D871" s="23"/>
      <c r="E871" s="40"/>
      <c r="F871" s="40"/>
      <c r="G871" s="40"/>
      <c r="H871" s="40"/>
      <c r="I871" s="40"/>
      <c r="J871" s="40"/>
      <c r="K871" s="40"/>
      <c r="L871" s="40"/>
      <c r="M871" s="40"/>
      <c r="N871" s="40"/>
      <c r="O871" s="40"/>
      <c r="P871" s="40"/>
      <c r="Q871" s="40"/>
      <c r="R871" s="40"/>
      <c r="S871" s="40"/>
      <c r="T871" s="40"/>
      <c r="U871" s="40"/>
      <c r="V871" s="40"/>
      <c r="W871" s="40"/>
      <c r="X871" s="40"/>
      <c r="Y871" s="40"/>
      <c r="Z871" s="40"/>
    </row>
    <row r="872">
      <c r="A872" s="72"/>
      <c r="B872" s="72"/>
      <c r="C872" s="23"/>
      <c r="D872" s="23"/>
      <c r="E872" s="40"/>
      <c r="F872" s="40"/>
      <c r="G872" s="40"/>
      <c r="H872" s="40"/>
      <c r="I872" s="40"/>
      <c r="J872" s="40"/>
      <c r="K872" s="40"/>
      <c r="L872" s="40"/>
      <c r="M872" s="40"/>
      <c r="N872" s="40"/>
      <c r="O872" s="40"/>
      <c r="P872" s="40"/>
      <c r="Q872" s="40"/>
      <c r="R872" s="40"/>
      <c r="S872" s="40"/>
      <c r="T872" s="40"/>
      <c r="U872" s="40"/>
      <c r="V872" s="40"/>
      <c r="W872" s="40"/>
      <c r="X872" s="40"/>
      <c r="Y872" s="40"/>
      <c r="Z872" s="40"/>
    </row>
    <row r="873">
      <c r="A873" s="72"/>
      <c r="B873" s="72"/>
      <c r="C873" s="23"/>
      <c r="D873" s="23"/>
      <c r="E873" s="40"/>
      <c r="F873" s="40"/>
      <c r="G873" s="40"/>
      <c r="H873" s="40"/>
      <c r="I873" s="40"/>
      <c r="J873" s="40"/>
      <c r="K873" s="40"/>
      <c r="L873" s="40"/>
      <c r="M873" s="40"/>
      <c r="N873" s="40"/>
      <c r="O873" s="40"/>
      <c r="P873" s="40"/>
      <c r="Q873" s="40"/>
      <c r="R873" s="40"/>
      <c r="S873" s="40"/>
      <c r="T873" s="40"/>
      <c r="U873" s="40"/>
      <c r="V873" s="40"/>
      <c r="W873" s="40"/>
      <c r="X873" s="40"/>
      <c r="Y873" s="40"/>
      <c r="Z873" s="40"/>
    </row>
    <row r="874">
      <c r="A874" s="72"/>
      <c r="B874" s="72"/>
      <c r="C874" s="23"/>
      <c r="D874" s="23"/>
      <c r="E874" s="40"/>
      <c r="F874" s="40"/>
      <c r="G874" s="40"/>
      <c r="H874" s="40"/>
      <c r="I874" s="40"/>
      <c r="J874" s="40"/>
      <c r="K874" s="40"/>
      <c r="L874" s="40"/>
      <c r="M874" s="40"/>
      <c r="N874" s="40"/>
      <c r="O874" s="40"/>
      <c r="P874" s="40"/>
      <c r="Q874" s="40"/>
      <c r="R874" s="40"/>
      <c r="S874" s="40"/>
      <c r="T874" s="40"/>
      <c r="U874" s="40"/>
      <c r="V874" s="40"/>
      <c r="W874" s="40"/>
      <c r="X874" s="40"/>
      <c r="Y874" s="40"/>
      <c r="Z874" s="40"/>
    </row>
    <row r="875">
      <c r="A875" s="72"/>
      <c r="B875" s="72"/>
      <c r="C875" s="23"/>
      <c r="D875" s="23"/>
      <c r="E875" s="40"/>
      <c r="F875" s="40"/>
      <c r="G875" s="40"/>
      <c r="H875" s="40"/>
      <c r="I875" s="40"/>
      <c r="J875" s="40"/>
      <c r="K875" s="40"/>
      <c r="L875" s="40"/>
      <c r="M875" s="40"/>
      <c r="N875" s="40"/>
      <c r="O875" s="40"/>
      <c r="P875" s="40"/>
      <c r="Q875" s="40"/>
      <c r="R875" s="40"/>
      <c r="S875" s="40"/>
      <c r="T875" s="40"/>
      <c r="U875" s="40"/>
      <c r="V875" s="40"/>
      <c r="W875" s="40"/>
      <c r="X875" s="40"/>
      <c r="Y875" s="40"/>
      <c r="Z875" s="40"/>
    </row>
    <row r="876">
      <c r="A876" s="72"/>
      <c r="B876" s="72"/>
      <c r="C876" s="23"/>
      <c r="D876" s="23"/>
      <c r="E876" s="40"/>
      <c r="F876" s="40"/>
      <c r="G876" s="40"/>
      <c r="H876" s="40"/>
      <c r="I876" s="40"/>
      <c r="J876" s="40"/>
      <c r="K876" s="40"/>
      <c r="L876" s="40"/>
      <c r="M876" s="40"/>
      <c r="N876" s="40"/>
      <c r="O876" s="40"/>
      <c r="P876" s="40"/>
      <c r="Q876" s="40"/>
      <c r="R876" s="40"/>
      <c r="S876" s="40"/>
      <c r="T876" s="40"/>
      <c r="U876" s="40"/>
      <c r="V876" s="40"/>
      <c r="W876" s="40"/>
      <c r="X876" s="40"/>
      <c r="Y876" s="40"/>
      <c r="Z876" s="40"/>
    </row>
    <row r="877">
      <c r="A877" s="72"/>
      <c r="B877" s="72"/>
      <c r="C877" s="23"/>
      <c r="D877" s="23"/>
      <c r="E877" s="40"/>
      <c r="F877" s="40"/>
      <c r="G877" s="40"/>
      <c r="H877" s="40"/>
      <c r="I877" s="40"/>
      <c r="J877" s="40"/>
      <c r="K877" s="40"/>
      <c r="L877" s="40"/>
      <c r="M877" s="40"/>
      <c r="N877" s="40"/>
      <c r="O877" s="40"/>
      <c r="P877" s="40"/>
      <c r="Q877" s="40"/>
      <c r="R877" s="40"/>
      <c r="S877" s="40"/>
      <c r="T877" s="40"/>
      <c r="U877" s="40"/>
      <c r="V877" s="40"/>
      <c r="W877" s="40"/>
      <c r="X877" s="40"/>
      <c r="Y877" s="40"/>
      <c r="Z877" s="40"/>
    </row>
    <row r="878">
      <c r="A878" s="72"/>
      <c r="B878" s="72"/>
      <c r="C878" s="23"/>
      <c r="D878" s="23"/>
      <c r="E878" s="40"/>
      <c r="F878" s="40"/>
      <c r="G878" s="40"/>
      <c r="H878" s="40"/>
      <c r="I878" s="40"/>
      <c r="J878" s="40"/>
      <c r="K878" s="40"/>
      <c r="L878" s="40"/>
      <c r="M878" s="40"/>
      <c r="N878" s="40"/>
      <c r="O878" s="40"/>
      <c r="P878" s="40"/>
      <c r="Q878" s="40"/>
      <c r="R878" s="40"/>
      <c r="S878" s="40"/>
      <c r="T878" s="40"/>
      <c r="U878" s="40"/>
      <c r="V878" s="40"/>
      <c r="W878" s="40"/>
      <c r="X878" s="40"/>
      <c r="Y878" s="40"/>
      <c r="Z878" s="40"/>
    </row>
    <row r="879">
      <c r="A879" s="72"/>
      <c r="B879" s="72"/>
      <c r="C879" s="23"/>
      <c r="D879" s="23"/>
      <c r="E879" s="40"/>
      <c r="F879" s="40"/>
      <c r="G879" s="40"/>
      <c r="H879" s="40"/>
      <c r="I879" s="40"/>
      <c r="J879" s="40"/>
      <c r="K879" s="40"/>
      <c r="L879" s="40"/>
      <c r="M879" s="40"/>
      <c r="N879" s="40"/>
      <c r="O879" s="40"/>
      <c r="P879" s="40"/>
      <c r="Q879" s="40"/>
      <c r="R879" s="40"/>
      <c r="S879" s="40"/>
      <c r="T879" s="40"/>
      <c r="U879" s="40"/>
      <c r="V879" s="40"/>
      <c r="W879" s="40"/>
      <c r="X879" s="40"/>
      <c r="Y879" s="40"/>
      <c r="Z879" s="40"/>
    </row>
    <row r="880">
      <c r="A880" s="72"/>
      <c r="B880" s="72"/>
      <c r="C880" s="23"/>
      <c r="D880" s="23"/>
      <c r="E880" s="40"/>
      <c r="F880" s="40"/>
      <c r="G880" s="40"/>
      <c r="H880" s="40"/>
      <c r="I880" s="40"/>
      <c r="J880" s="40"/>
      <c r="K880" s="40"/>
      <c r="L880" s="40"/>
      <c r="M880" s="40"/>
      <c r="N880" s="40"/>
      <c r="O880" s="40"/>
      <c r="P880" s="40"/>
      <c r="Q880" s="40"/>
      <c r="R880" s="40"/>
      <c r="S880" s="40"/>
      <c r="T880" s="40"/>
      <c r="U880" s="40"/>
      <c r="V880" s="40"/>
      <c r="W880" s="40"/>
      <c r="X880" s="40"/>
      <c r="Y880" s="40"/>
      <c r="Z880" s="40"/>
    </row>
    <row r="881">
      <c r="A881" s="72"/>
      <c r="B881" s="72"/>
      <c r="C881" s="23"/>
      <c r="D881" s="23"/>
      <c r="E881" s="40"/>
      <c r="F881" s="40"/>
      <c r="G881" s="40"/>
      <c r="H881" s="40"/>
      <c r="I881" s="40"/>
      <c r="J881" s="40"/>
      <c r="K881" s="40"/>
      <c r="L881" s="40"/>
      <c r="M881" s="40"/>
      <c r="N881" s="40"/>
      <c r="O881" s="40"/>
      <c r="P881" s="40"/>
      <c r="Q881" s="40"/>
      <c r="R881" s="40"/>
      <c r="S881" s="40"/>
      <c r="T881" s="40"/>
      <c r="U881" s="40"/>
      <c r="V881" s="40"/>
      <c r="W881" s="40"/>
      <c r="X881" s="40"/>
      <c r="Y881" s="40"/>
      <c r="Z881" s="40"/>
    </row>
    <row r="882">
      <c r="A882" s="72"/>
      <c r="B882" s="72"/>
      <c r="C882" s="23"/>
      <c r="D882" s="23"/>
      <c r="E882" s="40"/>
      <c r="F882" s="40"/>
      <c r="G882" s="40"/>
      <c r="H882" s="40"/>
      <c r="I882" s="40"/>
      <c r="J882" s="40"/>
      <c r="K882" s="40"/>
      <c r="L882" s="40"/>
      <c r="M882" s="40"/>
      <c r="N882" s="40"/>
      <c r="O882" s="40"/>
      <c r="P882" s="40"/>
      <c r="Q882" s="40"/>
      <c r="R882" s="40"/>
      <c r="S882" s="40"/>
      <c r="T882" s="40"/>
      <c r="U882" s="40"/>
      <c r="V882" s="40"/>
      <c r="W882" s="40"/>
      <c r="X882" s="40"/>
      <c r="Y882" s="40"/>
      <c r="Z882" s="40"/>
    </row>
    <row r="883">
      <c r="A883" s="72"/>
      <c r="B883" s="72"/>
      <c r="C883" s="23"/>
      <c r="D883" s="23"/>
      <c r="E883" s="40"/>
      <c r="F883" s="40"/>
      <c r="G883" s="40"/>
      <c r="H883" s="40"/>
      <c r="I883" s="40"/>
      <c r="J883" s="40"/>
      <c r="K883" s="40"/>
      <c r="L883" s="40"/>
      <c r="M883" s="40"/>
      <c r="N883" s="40"/>
      <c r="O883" s="40"/>
      <c r="P883" s="40"/>
      <c r="Q883" s="40"/>
      <c r="R883" s="40"/>
      <c r="S883" s="40"/>
      <c r="T883" s="40"/>
      <c r="U883" s="40"/>
      <c r="V883" s="40"/>
      <c r="W883" s="40"/>
      <c r="X883" s="40"/>
      <c r="Y883" s="40"/>
      <c r="Z883" s="40"/>
    </row>
    <row r="884">
      <c r="A884" s="72"/>
      <c r="B884" s="72"/>
      <c r="C884" s="23"/>
      <c r="D884" s="23"/>
      <c r="E884" s="40"/>
      <c r="F884" s="40"/>
      <c r="G884" s="40"/>
      <c r="H884" s="40"/>
      <c r="I884" s="40"/>
      <c r="J884" s="40"/>
      <c r="K884" s="40"/>
      <c r="L884" s="40"/>
      <c r="M884" s="40"/>
      <c r="N884" s="40"/>
      <c r="O884" s="40"/>
      <c r="P884" s="40"/>
      <c r="Q884" s="40"/>
      <c r="R884" s="40"/>
      <c r="S884" s="40"/>
      <c r="T884" s="40"/>
      <c r="U884" s="40"/>
      <c r="V884" s="40"/>
      <c r="W884" s="40"/>
      <c r="X884" s="40"/>
      <c r="Y884" s="40"/>
      <c r="Z884" s="40"/>
    </row>
    <row r="885">
      <c r="A885" s="72"/>
      <c r="B885" s="72"/>
      <c r="C885" s="23"/>
      <c r="D885" s="23"/>
      <c r="E885" s="40"/>
      <c r="F885" s="40"/>
      <c r="G885" s="40"/>
      <c r="H885" s="40"/>
      <c r="I885" s="40"/>
      <c r="J885" s="40"/>
      <c r="K885" s="40"/>
      <c r="L885" s="40"/>
      <c r="M885" s="40"/>
      <c r="N885" s="40"/>
      <c r="O885" s="40"/>
      <c r="P885" s="40"/>
      <c r="Q885" s="40"/>
      <c r="R885" s="40"/>
      <c r="S885" s="40"/>
      <c r="T885" s="40"/>
      <c r="U885" s="40"/>
      <c r="V885" s="40"/>
      <c r="W885" s="40"/>
      <c r="X885" s="40"/>
      <c r="Y885" s="40"/>
      <c r="Z885" s="40"/>
    </row>
    <row r="886">
      <c r="A886" s="72"/>
      <c r="B886" s="72"/>
      <c r="C886" s="23"/>
      <c r="D886" s="23"/>
      <c r="E886" s="40"/>
      <c r="F886" s="40"/>
      <c r="G886" s="40"/>
      <c r="H886" s="40"/>
      <c r="I886" s="40"/>
      <c r="J886" s="40"/>
      <c r="K886" s="40"/>
      <c r="L886" s="40"/>
      <c r="M886" s="40"/>
      <c r="N886" s="40"/>
      <c r="O886" s="40"/>
      <c r="P886" s="40"/>
      <c r="Q886" s="40"/>
      <c r="R886" s="40"/>
      <c r="S886" s="40"/>
      <c r="T886" s="40"/>
      <c r="U886" s="40"/>
      <c r="V886" s="40"/>
      <c r="W886" s="40"/>
      <c r="X886" s="40"/>
      <c r="Y886" s="40"/>
      <c r="Z886" s="40"/>
    </row>
    <row r="887">
      <c r="A887" s="72"/>
      <c r="B887" s="72"/>
      <c r="C887" s="23"/>
      <c r="D887" s="23"/>
      <c r="E887" s="40"/>
      <c r="F887" s="40"/>
      <c r="G887" s="40"/>
      <c r="H887" s="40"/>
      <c r="I887" s="40"/>
      <c r="J887" s="40"/>
      <c r="K887" s="40"/>
      <c r="L887" s="40"/>
      <c r="M887" s="40"/>
      <c r="N887" s="40"/>
      <c r="O887" s="40"/>
      <c r="P887" s="40"/>
      <c r="Q887" s="40"/>
      <c r="R887" s="40"/>
      <c r="S887" s="40"/>
      <c r="T887" s="40"/>
      <c r="U887" s="40"/>
      <c r="V887" s="40"/>
      <c r="W887" s="40"/>
      <c r="X887" s="40"/>
      <c r="Y887" s="40"/>
      <c r="Z887" s="40"/>
    </row>
    <row r="888">
      <c r="A888" s="72"/>
      <c r="B888" s="72"/>
      <c r="C888" s="23"/>
      <c r="D888" s="23"/>
      <c r="E888" s="40"/>
      <c r="F888" s="40"/>
      <c r="G888" s="40"/>
      <c r="H888" s="40"/>
      <c r="I888" s="40"/>
      <c r="J888" s="40"/>
      <c r="K888" s="40"/>
      <c r="L888" s="40"/>
      <c r="M888" s="40"/>
      <c r="N888" s="40"/>
      <c r="O888" s="40"/>
      <c r="P888" s="40"/>
      <c r="Q888" s="40"/>
      <c r="R888" s="40"/>
      <c r="S888" s="40"/>
      <c r="T888" s="40"/>
      <c r="U888" s="40"/>
      <c r="V888" s="40"/>
      <c r="W888" s="40"/>
      <c r="X888" s="40"/>
      <c r="Y888" s="40"/>
      <c r="Z888" s="40"/>
    </row>
    <row r="889">
      <c r="A889" s="72"/>
      <c r="B889" s="72"/>
      <c r="C889" s="23"/>
      <c r="D889" s="23"/>
      <c r="E889" s="40"/>
      <c r="F889" s="40"/>
      <c r="G889" s="40"/>
      <c r="H889" s="40"/>
      <c r="I889" s="40"/>
      <c r="J889" s="40"/>
      <c r="K889" s="40"/>
      <c r="L889" s="40"/>
      <c r="M889" s="40"/>
      <c r="N889" s="40"/>
      <c r="O889" s="40"/>
      <c r="P889" s="40"/>
      <c r="Q889" s="40"/>
      <c r="R889" s="40"/>
      <c r="S889" s="40"/>
      <c r="T889" s="40"/>
      <c r="U889" s="40"/>
      <c r="V889" s="40"/>
      <c r="W889" s="40"/>
      <c r="X889" s="40"/>
      <c r="Y889" s="40"/>
      <c r="Z889" s="40"/>
    </row>
    <row r="890">
      <c r="A890" s="72"/>
      <c r="B890" s="72"/>
      <c r="C890" s="23"/>
      <c r="D890" s="23"/>
      <c r="E890" s="40"/>
      <c r="F890" s="40"/>
      <c r="G890" s="40"/>
      <c r="H890" s="40"/>
      <c r="I890" s="40"/>
      <c r="J890" s="40"/>
      <c r="K890" s="40"/>
      <c r="L890" s="40"/>
      <c r="M890" s="40"/>
      <c r="N890" s="40"/>
      <c r="O890" s="40"/>
      <c r="P890" s="40"/>
      <c r="Q890" s="40"/>
      <c r="R890" s="40"/>
      <c r="S890" s="40"/>
      <c r="T890" s="40"/>
      <c r="U890" s="40"/>
      <c r="V890" s="40"/>
      <c r="W890" s="40"/>
      <c r="X890" s="40"/>
      <c r="Y890" s="40"/>
      <c r="Z890" s="40"/>
    </row>
    <row r="891">
      <c r="A891" s="72"/>
      <c r="B891" s="72"/>
      <c r="C891" s="23"/>
      <c r="D891" s="23"/>
      <c r="E891" s="40"/>
      <c r="F891" s="40"/>
      <c r="G891" s="40"/>
      <c r="H891" s="40"/>
      <c r="I891" s="40"/>
      <c r="J891" s="40"/>
      <c r="K891" s="40"/>
      <c r="L891" s="40"/>
      <c r="M891" s="40"/>
      <c r="N891" s="40"/>
      <c r="O891" s="40"/>
      <c r="P891" s="40"/>
      <c r="Q891" s="40"/>
      <c r="R891" s="40"/>
      <c r="S891" s="40"/>
      <c r="T891" s="40"/>
      <c r="U891" s="40"/>
      <c r="V891" s="40"/>
      <c r="W891" s="40"/>
      <c r="X891" s="40"/>
      <c r="Y891" s="40"/>
      <c r="Z891" s="40"/>
    </row>
    <row r="892">
      <c r="A892" s="72"/>
      <c r="B892" s="72"/>
      <c r="C892" s="23"/>
      <c r="D892" s="23"/>
      <c r="E892" s="40"/>
      <c r="F892" s="40"/>
      <c r="G892" s="40"/>
      <c r="H892" s="40"/>
      <c r="I892" s="40"/>
      <c r="J892" s="40"/>
      <c r="K892" s="40"/>
      <c r="L892" s="40"/>
      <c r="M892" s="40"/>
      <c r="N892" s="40"/>
      <c r="O892" s="40"/>
      <c r="P892" s="40"/>
      <c r="Q892" s="40"/>
      <c r="R892" s="40"/>
      <c r="S892" s="40"/>
      <c r="T892" s="40"/>
      <c r="U892" s="40"/>
      <c r="V892" s="40"/>
      <c r="W892" s="40"/>
      <c r="X892" s="40"/>
      <c r="Y892" s="40"/>
      <c r="Z892" s="40"/>
    </row>
    <row r="893">
      <c r="A893" s="72"/>
      <c r="B893" s="72"/>
      <c r="C893" s="23"/>
      <c r="D893" s="23"/>
      <c r="E893" s="40"/>
      <c r="F893" s="40"/>
      <c r="G893" s="40"/>
      <c r="H893" s="40"/>
      <c r="I893" s="40"/>
      <c r="J893" s="40"/>
      <c r="K893" s="40"/>
      <c r="L893" s="40"/>
      <c r="M893" s="40"/>
      <c r="N893" s="40"/>
      <c r="O893" s="40"/>
      <c r="P893" s="40"/>
      <c r="Q893" s="40"/>
      <c r="R893" s="40"/>
      <c r="S893" s="40"/>
      <c r="T893" s="40"/>
      <c r="U893" s="40"/>
      <c r="V893" s="40"/>
      <c r="W893" s="40"/>
      <c r="X893" s="40"/>
      <c r="Y893" s="40"/>
      <c r="Z893" s="40"/>
    </row>
    <row r="894">
      <c r="A894" s="72"/>
      <c r="B894" s="72"/>
      <c r="C894" s="23"/>
      <c r="D894" s="23"/>
      <c r="E894" s="40"/>
      <c r="F894" s="40"/>
      <c r="G894" s="40"/>
      <c r="H894" s="40"/>
      <c r="I894" s="40"/>
      <c r="J894" s="40"/>
      <c r="K894" s="40"/>
      <c r="L894" s="40"/>
      <c r="M894" s="40"/>
      <c r="N894" s="40"/>
      <c r="O894" s="40"/>
      <c r="P894" s="40"/>
      <c r="Q894" s="40"/>
      <c r="R894" s="40"/>
      <c r="S894" s="40"/>
      <c r="T894" s="40"/>
      <c r="U894" s="40"/>
      <c r="V894" s="40"/>
      <c r="W894" s="40"/>
      <c r="X894" s="40"/>
      <c r="Y894" s="40"/>
      <c r="Z894" s="40"/>
    </row>
    <row r="895">
      <c r="A895" s="72"/>
      <c r="B895" s="72"/>
      <c r="C895" s="23"/>
      <c r="D895" s="23"/>
      <c r="E895" s="40"/>
      <c r="F895" s="40"/>
      <c r="G895" s="40"/>
      <c r="H895" s="40"/>
      <c r="I895" s="40"/>
      <c r="J895" s="40"/>
      <c r="K895" s="40"/>
      <c r="L895" s="40"/>
      <c r="M895" s="40"/>
      <c r="N895" s="40"/>
      <c r="O895" s="40"/>
      <c r="P895" s="40"/>
      <c r="Q895" s="40"/>
      <c r="R895" s="40"/>
      <c r="S895" s="40"/>
      <c r="T895" s="40"/>
      <c r="U895" s="40"/>
      <c r="V895" s="40"/>
      <c r="W895" s="40"/>
      <c r="X895" s="40"/>
      <c r="Y895" s="40"/>
      <c r="Z895" s="40"/>
    </row>
    <row r="896">
      <c r="A896" s="72"/>
      <c r="B896" s="72"/>
      <c r="C896" s="23"/>
      <c r="D896" s="23"/>
      <c r="E896" s="40"/>
      <c r="F896" s="40"/>
      <c r="G896" s="40"/>
      <c r="H896" s="40"/>
      <c r="I896" s="40"/>
      <c r="J896" s="40"/>
      <c r="K896" s="40"/>
      <c r="L896" s="40"/>
      <c r="M896" s="40"/>
      <c r="N896" s="40"/>
      <c r="O896" s="40"/>
      <c r="P896" s="40"/>
      <c r="Q896" s="40"/>
      <c r="R896" s="40"/>
      <c r="S896" s="40"/>
      <c r="T896" s="40"/>
      <c r="U896" s="40"/>
      <c r="V896" s="40"/>
      <c r="W896" s="40"/>
      <c r="X896" s="40"/>
      <c r="Y896" s="40"/>
      <c r="Z896" s="40"/>
    </row>
    <row r="897">
      <c r="A897" s="72"/>
      <c r="B897" s="72"/>
      <c r="C897" s="23"/>
      <c r="D897" s="23"/>
      <c r="E897" s="40"/>
      <c r="F897" s="40"/>
      <c r="G897" s="40"/>
      <c r="H897" s="40"/>
      <c r="I897" s="40"/>
      <c r="J897" s="40"/>
      <c r="K897" s="40"/>
      <c r="L897" s="40"/>
      <c r="M897" s="40"/>
      <c r="N897" s="40"/>
      <c r="O897" s="40"/>
      <c r="P897" s="40"/>
      <c r="Q897" s="40"/>
      <c r="R897" s="40"/>
      <c r="S897" s="40"/>
      <c r="T897" s="40"/>
      <c r="U897" s="40"/>
      <c r="V897" s="40"/>
      <c r="W897" s="40"/>
      <c r="X897" s="40"/>
      <c r="Y897" s="40"/>
      <c r="Z897" s="40"/>
    </row>
    <row r="898">
      <c r="A898" s="72"/>
      <c r="B898" s="72"/>
      <c r="C898" s="23"/>
      <c r="D898" s="23"/>
      <c r="E898" s="40"/>
      <c r="F898" s="40"/>
      <c r="G898" s="40"/>
      <c r="H898" s="40"/>
      <c r="I898" s="40"/>
      <c r="J898" s="40"/>
      <c r="K898" s="40"/>
      <c r="L898" s="40"/>
      <c r="M898" s="40"/>
      <c r="N898" s="40"/>
      <c r="O898" s="40"/>
      <c r="P898" s="40"/>
      <c r="Q898" s="40"/>
      <c r="R898" s="40"/>
      <c r="S898" s="40"/>
      <c r="T898" s="40"/>
      <c r="U898" s="40"/>
      <c r="V898" s="40"/>
      <c r="W898" s="40"/>
      <c r="X898" s="40"/>
      <c r="Y898" s="40"/>
      <c r="Z898" s="40"/>
    </row>
    <row r="899">
      <c r="A899" s="72"/>
      <c r="B899" s="72"/>
      <c r="C899" s="23"/>
      <c r="D899" s="23"/>
      <c r="E899" s="40"/>
      <c r="F899" s="40"/>
      <c r="G899" s="40"/>
      <c r="H899" s="40"/>
      <c r="I899" s="40"/>
      <c r="J899" s="40"/>
      <c r="K899" s="40"/>
      <c r="L899" s="40"/>
      <c r="M899" s="40"/>
      <c r="N899" s="40"/>
      <c r="O899" s="40"/>
      <c r="P899" s="40"/>
      <c r="Q899" s="40"/>
      <c r="R899" s="40"/>
      <c r="S899" s="40"/>
      <c r="T899" s="40"/>
      <c r="U899" s="40"/>
      <c r="V899" s="40"/>
      <c r="W899" s="40"/>
      <c r="X899" s="40"/>
      <c r="Y899" s="40"/>
      <c r="Z899" s="40"/>
    </row>
    <row r="900">
      <c r="A900" s="72"/>
      <c r="B900" s="72"/>
      <c r="C900" s="23"/>
      <c r="D900" s="23"/>
      <c r="E900" s="40"/>
      <c r="F900" s="40"/>
      <c r="G900" s="40"/>
      <c r="H900" s="40"/>
      <c r="I900" s="40"/>
      <c r="J900" s="40"/>
      <c r="K900" s="40"/>
      <c r="L900" s="40"/>
      <c r="M900" s="40"/>
      <c r="N900" s="40"/>
      <c r="O900" s="40"/>
      <c r="P900" s="40"/>
      <c r="Q900" s="40"/>
      <c r="R900" s="40"/>
      <c r="S900" s="40"/>
      <c r="T900" s="40"/>
      <c r="U900" s="40"/>
      <c r="V900" s="40"/>
      <c r="W900" s="40"/>
      <c r="X900" s="40"/>
      <c r="Y900" s="40"/>
      <c r="Z900" s="40"/>
    </row>
    <row r="901">
      <c r="A901" s="72"/>
      <c r="B901" s="72"/>
      <c r="C901" s="23"/>
      <c r="D901" s="23"/>
      <c r="E901" s="40"/>
      <c r="F901" s="40"/>
      <c r="G901" s="40"/>
      <c r="H901" s="40"/>
      <c r="I901" s="40"/>
      <c r="J901" s="40"/>
      <c r="K901" s="40"/>
      <c r="L901" s="40"/>
      <c r="M901" s="40"/>
      <c r="N901" s="40"/>
      <c r="O901" s="40"/>
      <c r="P901" s="40"/>
      <c r="Q901" s="40"/>
      <c r="R901" s="40"/>
      <c r="S901" s="40"/>
      <c r="T901" s="40"/>
      <c r="U901" s="40"/>
      <c r="V901" s="40"/>
      <c r="W901" s="40"/>
      <c r="X901" s="40"/>
      <c r="Y901" s="40"/>
      <c r="Z901" s="40"/>
    </row>
    <row r="902">
      <c r="A902" s="72"/>
      <c r="B902" s="72"/>
      <c r="C902" s="23"/>
      <c r="D902" s="23"/>
      <c r="E902" s="40"/>
      <c r="F902" s="40"/>
      <c r="G902" s="40"/>
      <c r="H902" s="40"/>
      <c r="I902" s="40"/>
      <c r="J902" s="40"/>
      <c r="K902" s="40"/>
      <c r="L902" s="40"/>
      <c r="M902" s="40"/>
      <c r="N902" s="40"/>
      <c r="O902" s="40"/>
      <c r="P902" s="40"/>
      <c r="Q902" s="40"/>
      <c r="R902" s="40"/>
      <c r="S902" s="40"/>
      <c r="T902" s="40"/>
      <c r="U902" s="40"/>
      <c r="V902" s="40"/>
      <c r="W902" s="40"/>
      <c r="X902" s="40"/>
      <c r="Y902" s="40"/>
      <c r="Z902" s="40"/>
    </row>
    <row r="903">
      <c r="A903" s="72"/>
      <c r="B903" s="72"/>
      <c r="C903" s="23"/>
      <c r="D903" s="23"/>
      <c r="E903" s="40"/>
      <c r="F903" s="40"/>
      <c r="G903" s="40"/>
      <c r="H903" s="40"/>
      <c r="I903" s="40"/>
      <c r="J903" s="40"/>
      <c r="K903" s="40"/>
      <c r="L903" s="40"/>
      <c r="M903" s="40"/>
      <c r="N903" s="40"/>
      <c r="O903" s="40"/>
      <c r="P903" s="40"/>
      <c r="Q903" s="40"/>
      <c r="R903" s="40"/>
      <c r="S903" s="40"/>
      <c r="T903" s="40"/>
      <c r="U903" s="40"/>
      <c r="V903" s="40"/>
      <c r="W903" s="40"/>
      <c r="X903" s="40"/>
      <c r="Y903" s="40"/>
      <c r="Z903" s="40"/>
    </row>
    <row r="904">
      <c r="A904" s="72"/>
      <c r="B904" s="72"/>
      <c r="C904" s="23"/>
      <c r="D904" s="23"/>
      <c r="E904" s="40"/>
      <c r="F904" s="40"/>
      <c r="G904" s="40"/>
      <c r="H904" s="40"/>
      <c r="I904" s="40"/>
      <c r="J904" s="40"/>
      <c r="K904" s="40"/>
      <c r="L904" s="40"/>
      <c r="M904" s="40"/>
      <c r="N904" s="40"/>
      <c r="O904" s="40"/>
      <c r="P904" s="40"/>
      <c r="Q904" s="40"/>
      <c r="R904" s="40"/>
      <c r="S904" s="40"/>
      <c r="T904" s="40"/>
      <c r="U904" s="40"/>
      <c r="V904" s="40"/>
      <c r="W904" s="40"/>
      <c r="X904" s="40"/>
      <c r="Y904" s="40"/>
      <c r="Z904" s="40"/>
    </row>
    <row r="905">
      <c r="A905" s="72"/>
      <c r="B905" s="72"/>
      <c r="C905" s="23"/>
      <c r="D905" s="23"/>
      <c r="E905" s="40"/>
      <c r="F905" s="40"/>
      <c r="G905" s="40"/>
      <c r="H905" s="40"/>
      <c r="I905" s="40"/>
      <c r="J905" s="40"/>
      <c r="K905" s="40"/>
      <c r="L905" s="40"/>
      <c r="M905" s="40"/>
      <c r="N905" s="40"/>
      <c r="O905" s="40"/>
      <c r="P905" s="40"/>
      <c r="Q905" s="40"/>
      <c r="R905" s="40"/>
      <c r="S905" s="40"/>
      <c r="T905" s="40"/>
      <c r="U905" s="40"/>
      <c r="V905" s="40"/>
      <c r="W905" s="40"/>
      <c r="X905" s="40"/>
      <c r="Y905" s="40"/>
      <c r="Z905" s="40"/>
    </row>
    <row r="906">
      <c r="A906" s="72"/>
      <c r="B906" s="72"/>
      <c r="C906" s="23"/>
      <c r="D906" s="23"/>
      <c r="E906" s="40"/>
      <c r="F906" s="40"/>
      <c r="G906" s="40"/>
      <c r="H906" s="40"/>
      <c r="I906" s="40"/>
      <c r="J906" s="40"/>
      <c r="K906" s="40"/>
      <c r="L906" s="40"/>
      <c r="M906" s="40"/>
      <c r="N906" s="40"/>
      <c r="O906" s="40"/>
      <c r="P906" s="40"/>
      <c r="Q906" s="40"/>
      <c r="R906" s="40"/>
      <c r="S906" s="40"/>
      <c r="T906" s="40"/>
      <c r="U906" s="40"/>
      <c r="V906" s="40"/>
      <c r="W906" s="40"/>
      <c r="X906" s="40"/>
      <c r="Y906" s="40"/>
      <c r="Z906" s="40"/>
    </row>
    <row r="907">
      <c r="A907" s="72"/>
      <c r="B907" s="72"/>
      <c r="C907" s="23"/>
      <c r="D907" s="23"/>
      <c r="E907" s="40"/>
      <c r="F907" s="40"/>
      <c r="G907" s="40"/>
      <c r="H907" s="40"/>
      <c r="I907" s="40"/>
      <c r="J907" s="40"/>
      <c r="K907" s="40"/>
      <c r="L907" s="40"/>
      <c r="M907" s="40"/>
      <c r="N907" s="40"/>
      <c r="O907" s="40"/>
      <c r="P907" s="40"/>
      <c r="Q907" s="40"/>
      <c r="R907" s="40"/>
      <c r="S907" s="40"/>
      <c r="T907" s="40"/>
      <c r="U907" s="40"/>
      <c r="V907" s="40"/>
      <c r="W907" s="40"/>
      <c r="X907" s="40"/>
      <c r="Y907" s="40"/>
      <c r="Z907" s="40"/>
    </row>
    <row r="908">
      <c r="A908" s="72"/>
      <c r="B908" s="72"/>
      <c r="C908" s="23"/>
      <c r="D908" s="23"/>
      <c r="E908" s="40"/>
      <c r="F908" s="40"/>
      <c r="G908" s="40"/>
      <c r="H908" s="40"/>
      <c r="I908" s="40"/>
      <c r="J908" s="40"/>
      <c r="K908" s="40"/>
      <c r="L908" s="40"/>
      <c r="M908" s="40"/>
      <c r="N908" s="40"/>
      <c r="O908" s="40"/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0"/>
    </row>
    <row r="909">
      <c r="A909" s="72"/>
      <c r="B909" s="72"/>
      <c r="C909" s="23"/>
      <c r="D909" s="23"/>
      <c r="E909" s="40"/>
      <c r="F909" s="40"/>
      <c r="G909" s="40"/>
      <c r="H909" s="40"/>
      <c r="I909" s="40"/>
      <c r="J909" s="40"/>
      <c r="K909" s="40"/>
      <c r="L909" s="40"/>
      <c r="M909" s="40"/>
      <c r="N909" s="40"/>
      <c r="O909" s="40"/>
      <c r="P909" s="40"/>
      <c r="Q909" s="40"/>
      <c r="R909" s="40"/>
      <c r="S909" s="40"/>
      <c r="T909" s="40"/>
      <c r="U909" s="40"/>
      <c r="V909" s="40"/>
      <c r="W909" s="40"/>
      <c r="X909" s="40"/>
      <c r="Y909" s="40"/>
      <c r="Z909" s="40"/>
    </row>
    <row r="910">
      <c r="A910" s="72"/>
      <c r="B910" s="72"/>
      <c r="C910" s="23"/>
      <c r="D910" s="23"/>
      <c r="E910" s="40"/>
      <c r="F910" s="40"/>
      <c r="G910" s="40"/>
      <c r="H910" s="40"/>
      <c r="I910" s="40"/>
      <c r="J910" s="40"/>
      <c r="K910" s="40"/>
      <c r="L910" s="40"/>
      <c r="M910" s="40"/>
      <c r="N910" s="40"/>
      <c r="O910" s="40"/>
      <c r="P910" s="40"/>
      <c r="Q910" s="40"/>
      <c r="R910" s="40"/>
      <c r="S910" s="40"/>
      <c r="T910" s="40"/>
      <c r="U910" s="40"/>
      <c r="V910" s="40"/>
      <c r="W910" s="40"/>
      <c r="X910" s="40"/>
      <c r="Y910" s="40"/>
      <c r="Z910" s="40"/>
    </row>
    <row r="911">
      <c r="A911" s="72"/>
      <c r="B911" s="72"/>
      <c r="C911" s="23"/>
      <c r="D911" s="23"/>
      <c r="E911" s="40"/>
      <c r="F911" s="40"/>
      <c r="G911" s="40"/>
      <c r="H911" s="40"/>
      <c r="I911" s="40"/>
      <c r="J911" s="40"/>
      <c r="K911" s="40"/>
      <c r="L911" s="40"/>
      <c r="M911" s="40"/>
      <c r="N911" s="40"/>
      <c r="O911" s="40"/>
      <c r="P911" s="40"/>
      <c r="Q911" s="40"/>
      <c r="R911" s="40"/>
      <c r="S911" s="40"/>
      <c r="T911" s="40"/>
      <c r="U911" s="40"/>
      <c r="V911" s="40"/>
      <c r="W911" s="40"/>
      <c r="X911" s="40"/>
      <c r="Y911" s="40"/>
      <c r="Z911" s="40"/>
    </row>
    <row r="912">
      <c r="A912" s="72"/>
      <c r="B912" s="72"/>
      <c r="C912" s="23"/>
      <c r="D912" s="23"/>
      <c r="E912" s="40"/>
      <c r="F912" s="40"/>
      <c r="G912" s="40"/>
      <c r="H912" s="40"/>
      <c r="I912" s="40"/>
      <c r="J912" s="40"/>
      <c r="K912" s="40"/>
      <c r="L912" s="40"/>
      <c r="M912" s="40"/>
      <c r="N912" s="40"/>
      <c r="O912" s="40"/>
      <c r="P912" s="40"/>
      <c r="Q912" s="40"/>
      <c r="R912" s="40"/>
      <c r="S912" s="40"/>
      <c r="T912" s="40"/>
      <c r="U912" s="40"/>
      <c r="V912" s="40"/>
      <c r="W912" s="40"/>
      <c r="X912" s="40"/>
      <c r="Y912" s="40"/>
      <c r="Z912" s="40"/>
    </row>
    <row r="913">
      <c r="A913" s="72"/>
      <c r="B913" s="72"/>
      <c r="C913" s="23"/>
      <c r="D913" s="23"/>
      <c r="E913" s="40"/>
      <c r="F913" s="40"/>
      <c r="G913" s="40"/>
      <c r="H913" s="40"/>
      <c r="I913" s="40"/>
      <c r="J913" s="40"/>
      <c r="K913" s="40"/>
      <c r="L913" s="40"/>
      <c r="M913" s="40"/>
      <c r="N913" s="40"/>
      <c r="O913" s="40"/>
      <c r="P913" s="40"/>
      <c r="Q913" s="40"/>
      <c r="R913" s="40"/>
      <c r="S913" s="40"/>
      <c r="T913" s="40"/>
      <c r="U913" s="40"/>
      <c r="V913" s="40"/>
      <c r="W913" s="40"/>
      <c r="X913" s="40"/>
      <c r="Y913" s="40"/>
      <c r="Z913" s="40"/>
    </row>
    <row r="914">
      <c r="A914" s="72"/>
      <c r="B914" s="72"/>
      <c r="C914" s="23"/>
      <c r="D914" s="23"/>
      <c r="E914" s="40"/>
      <c r="F914" s="40"/>
      <c r="G914" s="40"/>
      <c r="H914" s="40"/>
      <c r="I914" s="40"/>
      <c r="J914" s="40"/>
      <c r="K914" s="40"/>
      <c r="L914" s="40"/>
      <c r="M914" s="40"/>
      <c r="N914" s="40"/>
      <c r="O914" s="40"/>
      <c r="P914" s="40"/>
      <c r="Q914" s="40"/>
      <c r="R914" s="40"/>
      <c r="S914" s="40"/>
      <c r="T914" s="40"/>
      <c r="U914" s="40"/>
      <c r="V914" s="40"/>
      <c r="W914" s="40"/>
      <c r="X914" s="40"/>
      <c r="Y914" s="40"/>
      <c r="Z914" s="40"/>
    </row>
    <row r="915">
      <c r="A915" s="72"/>
      <c r="B915" s="72"/>
      <c r="C915" s="23"/>
      <c r="D915" s="23"/>
      <c r="E915" s="40"/>
      <c r="F915" s="40"/>
      <c r="G915" s="40"/>
      <c r="H915" s="40"/>
      <c r="I915" s="40"/>
      <c r="J915" s="40"/>
      <c r="K915" s="40"/>
      <c r="L915" s="40"/>
      <c r="M915" s="40"/>
      <c r="N915" s="40"/>
      <c r="O915" s="40"/>
      <c r="P915" s="40"/>
      <c r="Q915" s="40"/>
      <c r="R915" s="40"/>
      <c r="S915" s="40"/>
      <c r="T915" s="40"/>
      <c r="U915" s="40"/>
      <c r="V915" s="40"/>
      <c r="W915" s="40"/>
      <c r="X915" s="40"/>
      <c r="Y915" s="40"/>
      <c r="Z915" s="40"/>
    </row>
    <row r="916">
      <c r="A916" s="72"/>
      <c r="B916" s="72"/>
      <c r="C916" s="23"/>
      <c r="D916" s="23"/>
      <c r="E916" s="40"/>
      <c r="F916" s="40"/>
      <c r="G916" s="40"/>
      <c r="H916" s="40"/>
      <c r="I916" s="40"/>
      <c r="J916" s="40"/>
      <c r="K916" s="40"/>
      <c r="L916" s="40"/>
      <c r="M916" s="40"/>
      <c r="N916" s="40"/>
      <c r="O916" s="40"/>
      <c r="P916" s="40"/>
      <c r="Q916" s="40"/>
      <c r="R916" s="40"/>
      <c r="S916" s="40"/>
      <c r="T916" s="40"/>
      <c r="U916" s="40"/>
      <c r="V916" s="40"/>
      <c r="W916" s="40"/>
      <c r="X916" s="40"/>
      <c r="Y916" s="40"/>
      <c r="Z916" s="40"/>
    </row>
    <row r="917">
      <c r="A917" s="72"/>
      <c r="B917" s="72"/>
      <c r="C917" s="23"/>
      <c r="D917" s="23"/>
      <c r="E917" s="40"/>
      <c r="F917" s="40"/>
      <c r="G917" s="40"/>
      <c r="H917" s="40"/>
      <c r="I917" s="40"/>
      <c r="J917" s="40"/>
      <c r="K917" s="40"/>
      <c r="L917" s="40"/>
      <c r="M917" s="40"/>
      <c r="N917" s="40"/>
      <c r="O917" s="40"/>
      <c r="P917" s="40"/>
      <c r="Q917" s="40"/>
      <c r="R917" s="40"/>
      <c r="S917" s="40"/>
      <c r="T917" s="40"/>
      <c r="U917" s="40"/>
      <c r="V917" s="40"/>
      <c r="W917" s="40"/>
      <c r="X917" s="40"/>
      <c r="Y917" s="40"/>
      <c r="Z917" s="40"/>
    </row>
    <row r="918">
      <c r="A918" s="72"/>
      <c r="B918" s="72"/>
      <c r="C918" s="23"/>
      <c r="D918" s="23"/>
      <c r="E918" s="40"/>
      <c r="F918" s="40"/>
      <c r="G918" s="40"/>
      <c r="H918" s="40"/>
      <c r="I918" s="40"/>
      <c r="J918" s="40"/>
      <c r="K918" s="40"/>
      <c r="L918" s="40"/>
      <c r="M918" s="40"/>
      <c r="N918" s="40"/>
      <c r="O918" s="40"/>
      <c r="P918" s="40"/>
      <c r="Q918" s="40"/>
      <c r="R918" s="40"/>
      <c r="S918" s="40"/>
      <c r="T918" s="40"/>
      <c r="U918" s="40"/>
      <c r="V918" s="40"/>
      <c r="W918" s="40"/>
      <c r="X918" s="40"/>
      <c r="Y918" s="40"/>
      <c r="Z918" s="40"/>
    </row>
    <row r="919">
      <c r="A919" s="72"/>
      <c r="B919" s="72"/>
      <c r="C919" s="23"/>
      <c r="D919" s="23"/>
      <c r="E919" s="40"/>
      <c r="F919" s="40"/>
      <c r="G919" s="40"/>
      <c r="H919" s="40"/>
      <c r="I919" s="40"/>
      <c r="J919" s="40"/>
      <c r="K919" s="40"/>
      <c r="L919" s="40"/>
      <c r="M919" s="40"/>
      <c r="N919" s="40"/>
      <c r="O919" s="40"/>
      <c r="P919" s="40"/>
      <c r="Q919" s="40"/>
      <c r="R919" s="40"/>
      <c r="S919" s="40"/>
      <c r="T919" s="40"/>
      <c r="U919" s="40"/>
      <c r="V919" s="40"/>
      <c r="W919" s="40"/>
      <c r="X919" s="40"/>
      <c r="Y919" s="40"/>
      <c r="Z919" s="40"/>
    </row>
    <row r="920">
      <c r="A920" s="72"/>
      <c r="B920" s="72"/>
      <c r="C920" s="23"/>
      <c r="D920" s="23"/>
      <c r="E920" s="40"/>
      <c r="F920" s="40"/>
      <c r="G920" s="40"/>
      <c r="H920" s="40"/>
      <c r="I920" s="40"/>
      <c r="J920" s="40"/>
      <c r="K920" s="40"/>
      <c r="L920" s="40"/>
      <c r="M920" s="40"/>
      <c r="N920" s="40"/>
      <c r="O920" s="40"/>
      <c r="P920" s="40"/>
      <c r="Q920" s="40"/>
      <c r="R920" s="40"/>
      <c r="S920" s="40"/>
      <c r="T920" s="40"/>
      <c r="U920" s="40"/>
      <c r="V920" s="40"/>
      <c r="W920" s="40"/>
      <c r="X920" s="40"/>
      <c r="Y920" s="40"/>
      <c r="Z920" s="40"/>
    </row>
    <row r="921">
      <c r="A921" s="72"/>
      <c r="B921" s="72"/>
      <c r="C921" s="23"/>
      <c r="D921" s="23"/>
      <c r="E921" s="40"/>
      <c r="F921" s="40"/>
      <c r="G921" s="40"/>
      <c r="H921" s="40"/>
      <c r="I921" s="40"/>
      <c r="J921" s="40"/>
      <c r="K921" s="40"/>
      <c r="L921" s="40"/>
      <c r="M921" s="40"/>
      <c r="N921" s="40"/>
      <c r="O921" s="40"/>
      <c r="P921" s="40"/>
      <c r="Q921" s="40"/>
      <c r="R921" s="40"/>
      <c r="S921" s="40"/>
      <c r="T921" s="40"/>
      <c r="U921" s="40"/>
      <c r="V921" s="40"/>
      <c r="W921" s="40"/>
      <c r="X921" s="40"/>
      <c r="Y921" s="40"/>
      <c r="Z921" s="40"/>
    </row>
    <row r="922">
      <c r="A922" s="72"/>
      <c r="B922" s="72"/>
      <c r="C922" s="23"/>
      <c r="D922" s="23"/>
      <c r="E922" s="40"/>
      <c r="F922" s="40"/>
      <c r="G922" s="40"/>
      <c r="H922" s="40"/>
      <c r="I922" s="40"/>
      <c r="J922" s="40"/>
      <c r="K922" s="40"/>
      <c r="L922" s="40"/>
      <c r="M922" s="40"/>
      <c r="N922" s="40"/>
      <c r="O922" s="40"/>
      <c r="P922" s="40"/>
      <c r="Q922" s="40"/>
      <c r="R922" s="40"/>
      <c r="S922" s="40"/>
      <c r="T922" s="40"/>
      <c r="U922" s="40"/>
      <c r="V922" s="40"/>
      <c r="W922" s="40"/>
      <c r="X922" s="40"/>
      <c r="Y922" s="40"/>
      <c r="Z922" s="40"/>
    </row>
    <row r="923">
      <c r="A923" s="72"/>
      <c r="B923" s="72"/>
      <c r="C923" s="23"/>
      <c r="D923" s="23"/>
      <c r="E923" s="40"/>
      <c r="F923" s="40"/>
      <c r="G923" s="40"/>
      <c r="H923" s="40"/>
      <c r="I923" s="40"/>
      <c r="J923" s="40"/>
      <c r="K923" s="40"/>
      <c r="L923" s="40"/>
      <c r="M923" s="40"/>
      <c r="N923" s="40"/>
      <c r="O923" s="40"/>
      <c r="P923" s="40"/>
      <c r="Q923" s="40"/>
      <c r="R923" s="40"/>
      <c r="S923" s="40"/>
      <c r="T923" s="40"/>
      <c r="U923" s="40"/>
      <c r="V923" s="40"/>
      <c r="W923" s="40"/>
      <c r="X923" s="40"/>
      <c r="Y923" s="40"/>
      <c r="Z923" s="40"/>
    </row>
    <row r="924">
      <c r="A924" s="72"/>
      <c r="B924" s="72"/>
      <c r="C924" s="23"/>
      <c r="D924" s="23"/>
      <c r="E924" s="40"/>
      <c r="F924" s="40"/>
      <c r="G924" s="40"/>
      <c r="H924" s="40"/>
      <c r="I924" s="40"/>
      <c r="J924" s="40"/>
      <c r="K924" s="40"/>
      <c r="L924" s="40"/>
      <c r="M924" s="40"/>
      <c r="N924" s="40"/>
      <c r="O924" s="40"/>
      <c r="P924" s="40"/>
      <c r="Q924" s="40"/>
      <c r="R924" s="40"/>
      <c r="S924" s="40"/>
      <c r="T924" s="40"/>
      <c r="U924" s="40"/>
      <c r="V924" s="40"/>
      <c r="W924" s="40"/>
      <c r="X924" s="40"/>
      <c r="Y924" s="40"/>
      <c r="Z924" s="40"/>
    </row>
    <row r="925">
      <c r="A925" s="72"/>
      <c r="B925" s="72"/>
      <c r="C925" s="23"/>
      <c r="D925" s="23"/>
      <c r="E925" s="40"/>
      <c r="F925" s="40"/>
      <c r="G925" s="40"/>
      <c r="H925" s="40"/>
      <c r="I925" s="40"/>
      <c r="J925" s="40"/>
      <c r="K925" s="40"/>
      <c r="L925" s="40"/>
      <c r="M925" s="40"/>
      <c r="N925" s="40"/>
      <c r="O925" s="40"/>
      <c r="P925" s="40"/>
      <c r="Q925" s="40"/>
      <c r="R925" s="40"/>
      <c r="S925" s="40"/>
      <c r="T925" s="40"/>
      <c r="U925" s="40"/>
      <c r="V925" s="40"/>
      <c r="W925" s="40"/>
      <c r="X925" s="40"/>
      <c r="Y925" s="40"/>
      <c r="Z925" s="40"/>
    </row>
    <row r="926">
      <c r="A926" s="72"/>
      <c r="B926" s="72"/>
      <c r="C926" s="23"/>
      <c r="D926" s="23"/>
      <c r="E926" s="40"/>
      <c r="F926" s="40"/>
      <c r="G926" s="40"/>
      <c r="H926" s="40"/>
      <c r="I926" s="40"/>
      <c r="J926" s="40"/>
      <c r="K926" s="40"/>
      <c r="L926" s="40"/>
      <c r="M926" s="40"/>
      <c r="N926" s="40"/>
      <c r="O926" s="40"/>
      <c r="P926" s="40"/>
      <c r="Q926" s="40"/>
      <c r="R926" s="40"/>
      <c r="S926" s="40"/>
      <c r="T926" s="40"/>
      <c r="U926" s="40"/>
      <c r="V926" s="40"/>
      <c r="W926" s="40"/>
      <c r="X926" s="40"/>
      <c r="Y926" s="40"/>
      <c r="Z926" s="40"/>
    </row>
    <row r="927">
      <c r="A927" s="72"/>
      <c r="B927" s="72"/>
      <c r="C927" s="23"/>
      <c r="D927" s="23"/>
      <c r="E927" s="40"/>
      <c r="F927" s="40"/>
      <c r="G927" s="40"/>
      <c r="H927" s="40"/>
      <c r="I927" s="40"/>
      <c r="J927" s="40"/>
      <c r="K927" s="40"/>
      <c r="L927" s="40"/>
      <c r="M927" s="40"/>
      <c r="N927" s="40"/>
      <c r="O927" s="40"/>
      <c r="P927" s="40"/>
      <c r="Q927" s="40"/>
      <c r="R927" s="40"/>
      <c r="S927" s="40"/>
      <c r="T927" s="40"/>
      <c r="U927" s="40"/>
      <c r="V927" s="40"/>
      <c r="W927" s="40"/>
      <c r="X927" s="40"/>
      <c r="Y927" s="40"/>
      <c r="Z927" s="40"/>
    </row>
    <row r="928">
      <c r="A928" s="72"/>
      <c r="B928" s="72"/>
      <c r="C928" s="23"/>
      <c r="D928" s="23"/>
      <c r="E928" s="40"/>
      <c r="F928" s="40"/>
      <c r="G928" s="40"/>
      <c r="H928" s="40"/>
      <c r="I928" s="40"/>
      <c r="J928" s="40"/>
      <c r="K928" s="40"/>
      <c r="L928" s="40"/>
      <c r="M928" s="40"/>
      <c r="N928" s="40"/>
      <c r="O928" s="40"/>
      <c r="P928" s="40"/>
      <c r="Q928" s="40"/>
      <c r="R928" s="40"/>
      <c r="S928" s="40"/>
      <c r="T928" s="40"/>
      <c r="U928" s="40"/>
      <c r="V928" s="40"/>
      <c r="W928" s="40"/>
      <c r="X928" s="40"/>
      <c r="Y928" s="40"/>
      <c r="Z928" s="40"/>
    </row>
    <row r="929">
      <c r="A929" s="72"/>
      <c r="B929" s="72"/>
      <c r="C929" s="23"/>
      <c r="D929" s="23"/>
      <c r="E929" s="40"/>
      <c r="F929" s="40"/>
      <c r="G929" s="40"/>
      <c r="H929" s="40"/>
      <c r="I929" s="40"/>
      <c r="J929" s="40"/>
      <c r="K929" s="40"/>
      <c r="L929" s="40"/>
      <c r="M929" s="40"/>
      <c r="N929" s="40"/>
      <c r="O929" s="40"/>
      <c r="P929" s="40"/>
      <c r="Q929" s="40"/>
      <c r="R929" s="40"/>
      <c r="S929" s="40"/>
      <c r="T929" s="40"/>
      <c r="U929" s="40"/>
      <c r="V929" s="40"/>
      <c r="W929" s="40"/>
      <c r="X929" s="40"/>
      <c r="Y929" s="40"/>
      <c r="Z929" s="40"/>
    </row>
    <row r="930">
      <c r="A930" s="72"/>
      <c r="B930" s="72"/>
      <c r="C930" s="23"/>
      <c r="D930" s="23"/>
      <c r="E930" s="40"/>
      <c r="F930" s="40"/>
      <c r="G930" s="40"/>
      <c r="H930" s="40"/>
      <c r="I930" s="40"/>
      <c r="J930" s="40"/>
      <c r="K930" s="40"/>
      <c r="L930" s="40"/>
      <c r="M930" s="40"/>
      <c r="N930" s="40"/>
      <c r="O930" s="40"/>
      <c r="P930" s="40"/>
      <c r="Q930" s="40"/>
      <c r="R930" s="40"/>
      <c r="S930" s="40"/>
      <c r="T930" s="40"/>
      <c r="U930" s="40"/>
      <c r="V930" s="40"/>
      <c r="W930" s="40"/>
      <c r="X930" s="40"/>
      <c r="Y930" s="40"/>
      <c r="Z930" s="40"/>
    </row>
    <row r="931">
      <c r="A931" s="72"/>
      <c r="B931" s="72"/>
      <c r="C931" s="23"/>
      <c r="D931" s="23"/>
      <c r="E931" s="40"/>
      <c r="F931" s="40"/>
      <c r="G931" s="40"/>
      <c r="H931" s="40"/>
      <c r="I931" s="40"/>
      <c r="J931" s="40"/>
      <c r="K931" s="40"/>
      <c r="L931" s="40"/>
      <c r="M931" s="40"/>
      <c r="N931" s="40"/>
      <c r="O931" s="40"/>
      <c r="P931" s="40"/>
      <c r="Q931" s="40"/>
      <c r="R931" s="40"/>
      <c r="S931" s="40"/>
      <c r="T931" s="40"/>
      <c r="U931" s="40"/>
      <c r="V931" s="40"/>
      <c r="W931" s="40"/>
      <c r="X931" s="40"/>
      <c r="Y931" s="40"/>
      <c r="Z931" s="40"/>
    </row>
    <row r="932">
      <c r="A932" s="72"/>
      <c r="B932" s="72"/>
      <c r="C932" s="23"/>
      <c r="D932" s="23"/>
      <c r="E932" s="40"/>
      <c r="F932" s="40"/>
      <c r="G932" s="40"/>
      <c r="H932" s="40"/>
      <c r="I932" s="40"/>
      <c r="J932" s="40"/>
      <c r="K932" s="40"/>
      <c r="L932" s="40"/>
      <c r="M932" s="40"/>
      <c r="N932" s="40"/>
      <c r="O932" s="40"/>
      <c r="P932" s="40"/>
      <c r="Q932" s="40"/>
      <c r="R932" s="40"/>
      <c r="S932" s="40"/>
      <c r="T932" s="40"/>
      <c r="U932" s="40"/>
      <c r="V932" s="40"/>
      <c r="W932" s="40"/>
      <c r="X932" s="40"/>
      <c r="Y932" s="40"/>
      <c r="Z932" s="40"/>
    </row>
    <row r="933">
      <c r="A933" s="72"/>
      <c r="B933" s="72"/>
      <c r="C933" s="23"/>
      <c r="D933" s="23"/>
      <c r="E933" s="40"/>
      <c r="F933" s="40"/>
      <c r="G933" s="40"/>
      <c r="H933" s="40"/>
      <c r="I933" s="40"/>
      <c r="J933" s="40"/>
      <c r="K933" s="40"/>
      <c r="L933" s="40"/>
      <c r="M933" s="40"/>
      <c r="N933" s="40"/>
      <c r="O933" s="40"/>
      <c r="P933" s="40"/>
      <c r="Q933" s="40"/>
      <c r="R933" s="40"/>
      <c r="S933" s="40"/>
      <c r="T933" s="40"/>
      <c r="U933" s="40"/>
      <c r="V933" s="40"/>
      <c r="W933" s="40"/>
      <c r="X933" s="40"/>
      <c r="Y933" s="40"/>
      <c r="Z933" s="40"/>
    </row>
    <row r="934">
      <c r="A934" s="72"/>
      <c r="B934" s="72"/>
      <c r="C934" s="23"/>
      <c r="D934" s="23"/>
      <c r="E934" s="40"/>
      <c r="F934" s="40"/>
      <c r="G934" s="40"/>
      <c r="H934" s="40"/>
      <c r="I934" s="40"/>
      <c r="J934" s="40"/>
      <c r="K934" s="40"/>
      <c r="L934" s="40"/>
      <c r="M934" s="40"/>
      <c r="N934" s="40"/>
      <c r="O934" s="40"/>
      <c r="P934" s="40"/>
      <c r="Q934" s="40"/>
      <c r="R934" s="40"/>
      <c r="S934" s="40"/>
      <c r="T934" s="40"/>
      <c r="U934" s="40"/>
      <c r="V934" s="40"/>
      <c r="W934" s="40"/>
      <c r="X934" s="40"/>
      <c r="Y934" s="40"/>
      <c r="Z934" s="40"/>
    </row>
    <row r="935">
      <c r="A935" s="72"/>
      <c r="B935" s="72"/>
      <c r="C935" s="23"/>
      <c r="D935" s="23"/>
      <c r="E935" s="40"/>
      <c r="F935" s="40"/>
      <c r="G935" s="40"/>
      <c r="H935" s="40"/>
      <c r="I935" s="40"/>
      <c r="J935" s="40"/>
      <c r="K935" s="40"/>
      <c r="L935" s="40"/>
      <c r="M935" s="40"/>
      <c r="N935" s="40"/>
      <c r="O935" s="40"/>
      <c r="P935" s="40"/>
      <c r="Q935" s="40"/>
      <c r="R935" s="40"/>
      <c r="S935" s="40"/>
      <c r="T935" s="40"/>
      <c r="U935" s="40"/>
      <c r="V935" s="40"/>
      <c r="W935" s="40"/>
      <c r="X935" s="40"/>
      <c r="Y935" s="40"/>
      <c r="Z935" s="40"/>
    </row>
    <row r="936">
      <c r="A936" s="72"/>
      <c r="B936" s="72"/>
      <c r="C936" s="23"/>
      <c r="D936" s="23"/>
      <c r="E936" s="40"/>
      <c r="F936" s="40"/>
      <c r="G936" s="40"/>
      <c r="H936" s="40"/>
      <c r="I936" s="40"/>
      <c r="J936" s="40"/>
      <c r="K936" s="40"/>
      <c r="L936" s="40"/>
      <c r="M936" s="40"/>
      <c r="N936" s="40"/>
      <c r="O936" s="40"/>
      <c r="P936" s="40"/>
      <c r="Q936" s="40"/>
      <c r="R936" s="40"/>
      <c r="S936" s="40"/>
      <c r="T936" s="40"/>
      <c r="U936" s="40"/>
      <c r="V936" s="40"/>
      <c r="W936" s="40"/>
      <c r="X936" s="40"/>
      <c r="Y936" s="40"/>
      <c r="Z936" s="40"/>
    </row>
    <row r="937">
      <c r="A937" s="72"/>
      <c r="B937" s="72"/>
      <c r="C937" s="23"/>
      <c r="D937" s="23"/>
      <c r="E937" s="40"/>
      <c r="F937" s="40"/>
      <c r="G937" s="40"/>
      <c r="H937" s="40"/>
      <c r="I937" s="40"/>
      <c r="J937" s="40"/>
      <c r="K937" s="40"/>
      <c r="L937" s="40"/>
      <c r="M937" s="40"/>
      <c r="N937" s="40"/>
      <c r="O937" s="40"/>
      <c r="P937" s="40"/>
      <c r="Q937" s="40"/>
      <c r="R937" s="40"/>
      <c r="S937" s="40"/>
      <c r="T937" s="40"/>
      <c r="U937" s="40"/>
      <c r="V937" s="40"/>
      <c r="W937" s="40"/>
      <c r="X937" s="40"/>
      <c r="Y937" s="40"/>
      <c r="Z937" s="40"/>
    </row>
    <row r="938">
      <c r="A938" s="72"/>
      <c r="B938" s="72"/>
      <c r="C938" s="23"/>
      <c r="D938" s="23"/>
      <c r="E938" s="40"/>
      <c r="F938" s="40"/>
      <c r="G938" s="40"/>
      <c r="H938" s="40"/>
      <c r="I938" s="40"/>
      <c r="J938" s="40"/>
      <c r="K938" s="40"/>
      <c r="L938" s="40"/>
      <c r="M938" s="40"/>
      <c r="N938" s="40"/>
      <c r="O938" s="40"/>
      <c r="P938" s="40"/>
      <c r="Q938" s="40"/>
      <c r="R938" s="40"/>
      <c r="S938" s="40"/>
      <c r="T938" s="40"/>
      <c r="U938" s="40"/>
      <c r="V938" s="40"/>
      <c r="W938" s="40"/>
      <c r="X938" s="40"/>
      <c r="Y938" s="40"/>
      <c r="Z938" s="40"/>
    </row>
    <row r="939">
      <c r="A939" s="72"/>
      <c r="B939" s="72"/>
      <c r="C939" s="23"/>
      <c r="D939" s="23"/>
      <c r="E939" s="40"/>
      <c r="F939" s="40"/>
      <c r="G939" s="40"/>
      <c r="H939" s="40"/>
      <c r="I939" s="40"/>
      <c r="J939" s="40"/>
      <c r="K939" s="40"/>
      <c r="L939" s="40"/>
      <c r="M939" s="40"/>
      <c r="N939" s="40"/>
      <c r="O939" s="40"/>
      <c r="P939" s="40"/>
      <c r="Q939" s="40"/>
      <c r="R939" s="40"/>
      <c r="S939" s="40"/>
      <c r="T939" s="40"/>
      <c r="U939" s="40"/>
      <c r="V939" s="40"/>
      <c r="W939" s="40"/>
      <c r="X939" s="40"/>
      <c r="Y939" s="40"/>
      <c r="Z939" s="40"/>
    </row>
    <row r="940">
      <c r="A940" s="72"/>
      <c r="B940" s="72"/>
      <c r="C940" s="23"/>
      <c r="D940" s="23"/>
      <c r="E940" s="40"/>
      <c r="F940" s="40"/>
      <c r="G940" s="40"/>
      <c r="H940" s="40"/>
      <c r="I940" s="40"/>
      <c r="J940" s="40"/>
      <c r="K940" s="40"/>
      <c r="L940" s="40"/>
      <c r="M940" s="40"/>
      <c r="N940" s="40"/>
      <c r="O940" s="40"/>
      <c r="P940" s="40"/>
      <c r="Q940" s="40"/>
      <c r="R940" s="40"/>
      <c r="S940" s="40"/>
      <c r="T940" s="40"/>
      <c r="U940" s="40"/>
      <c r="V940" s="40"/>
      <c r="W940" s="40"/>
      <c r="X940" s="40"/>
      <c r="Y940" s="40"/>
      <c r="Z940" s="40"/>
    </row>
    <row r="941">
      <c r="A941" s="72"/>
      <c r="B941" s="72"/>
      <c r="C941" s="23"/>
      <c r="D941" s="23"/>
      <c r="E941" s="40"/>
      <c r="F941" s="40"/>
      <c r="G941" s="40"/>
      <c r="H941" s="40"/>
      <c r="I941" s="40"/>
      <c r="J941" s="40"/>
      <c r="K941" s="40"/>
      <c r="L941" s="40"/>
      <c r="M941" s="40"/>
      <c r="N941" s="40"/>
      <c r="O941" s="40"/>
      <c r="P941" s="40"/>
      <c r="Q941" s="40"/>
      <c r="R941" s="40"/>
      <c r="S941" s="40"/>
      <c r="T941" s="40"/>
      <c r="U941" s="40"/>
      <c r="V941" s="40"/>
      <c r="W941" s="40"/>
      <c r="X941" s="40"/>
      <c r="Y941" s="40"/>
      <c r="Z941" s="40"/>
    </row>
    <row r="942">
      <c r="A942" s="72"/>
      <c r="B942" s="72"/>
      <c r="C942" s="23"/>
      <c r="D942" s="23"/>
      <c r="E942" s="40"/>
      <c r="F942" s="40"/>
      <c r="G942" s="40"/>
      <c r="H942" s="40"/>
      <c r="I942" s="40"/>
      <c r="J942" s="40"/>
      <c r="K942" s="40"/>
      <c r="L942" s="40"/>
      <c r="M942" s="40"/>
      <c r="N942" s="40"/>
      <c r="O942" s="40"/>
      <c r="P942" s="40"/>
      <c r="Q942" s="40"/>
      <c r="R942" s="40"/>
      <c r="S942" s="40"/>
      <c r="T942" s="40"/>
      <c r="U942" s="40"/>
      <c r="V942" s="40"/>
      <c r="W942" s="40"/>
      <c r="X942" s="40"/>
      <c r="Y942" s="40"/>
      <c r="Z942" s="40"/>
    </row>
    <row r="943">
      <c r="A943" s="72"/>
      <c r="B943" s="72"/>
      <c r="C943" s="23"/>
      <c r="D943" s="23"/>
      <c r="E943" s="40"/>
      <c r="F943" s="40"/>
      <c r="G943" s="40"/>
      <c r="H943" s="40"/>
      <c r="I943" s="40"/>
      <c r="J943" s="40"/>
      <c r="K943" s="40"/>
      <c r="L943" s="40"/>
      <c r="M943" s="40"/>
      <c r="N943" s="40"/>
      <c r="O943" s="40"/>
      <c r="P943" s="40"/>
      <c r="Q943" s="40"/>
      <c r="R943" s="40"/>
      <c r="S943" s="40"/>
      <c r="T943" s="40"/>
      <c r="U943" s="40"/>
      <c r="V943" s="40"/>
      <c r="W943" s="40"/>
      <c r="X943" s="40"/>
      <c r="Y943" s="40"/>
      <c r="Z943" s="40"/>
    </row>
    <row r="944">
      <c r="A944" s="72"/>
      <c r="B944" s="72"/>
      <c r="C944" s="23"/>
      <c r="D944" s="23"/>
      <c r="E944" s="40"/>
      <c r="F944" s="40"/>
      <c r="G944" s="40"/>
      <c r="H944" s="40"/>
      <c r="I944" s="40"/>
      <c r="J944" s="40"/>
      <c r="K944" s="40"/>
      <c r="L944" s="40"/>
      <c r="M944" s="40"/>
      <c r="N944" s="40"/>
      <c r="O944" s="40"/>
      <c r="P944" s="40"/>
      <c r="Q944" s="40"/>
      <c r="R944" s="40"/>
      <c r="S944" s="40"/>
      <c r="T944" s="40"/>
      <c r="U944" s="40"/>
      <c r="V944" s="40"/>
      <c r="W944" s="40"/>
      <c r="X944" s="40"/>
      <c r="Y944" s="40"/>
      <c r="Z944" s="40"/>
    </row>
    <row r="945">
      <c r="A945" s="72"/>
      <c r="B945" s="72"/>
      <c r="C945" s="23"/>
      <c r="D945" s="23"/>
      <c r="E945" s="40"/>
      <c r="F945" s="40"/>
      <c r="G945" s="40"/>
      <c r="H945" s="40"/>
      <c r="I945" s="40"/>
      <c r="J945" s="40"/>
      <c r="K945" s="40"/>
      <c r="L945" s="40"/>
      <c r="M945" s="40"/>
      <c r="N945" s="40"/>
      <c r="O945" s="40"/>
      <c r="P945" s="40"/>
      <c r="Q945" s="40"/>
      <c r="R945" s="40"/>
      <c r="S945" s="40"/>
      <c r="T945" s="40"/>
      <c r="U945" s="40"/>
      <c r="V945" s="40"/>
      <c r="W945" s="40"/>
      <c r="X945" s="40"/>
      <c r="Y945" s="40"/>
      <c r="Z945" s="40"/>
    </row>
    <row r="946">
      <c r="A946" s="72"/>
      <c r="B946" s="72"/>
      <c r="C946" s="23"/>
      <c r="D946" s="23"/>
      <c r="E946" s="40"/>
      <c r="F946" s="40"/>
      <c r="G946" s="40"/>
      <c r="H946" s="40"/>
      <c r="I946" s="40"/>
      <c r="J946" s="40"/>
      <c r="K946" s="40"/>
      <c r="L946" s="40"/>
      <c r="M946" s="40"/>
      <c r="N946" s="40"/>
      <c r="O946" s="40"/>
      <c r="P946" s="40"/>
      <c r="Q946" s="40"/>
      <c r="R946" s="40"/>
      <c r="S946" s="40"/>
      <c r="T946" s="40"/>
      <c r="U946" s="40"/>
      <c r="V946" s="40"/>
      <c r="W946" s="40"/>
      <c r="X946" s="40"/>
      <c r="Y946" s="40"/>
      <c r="Z946" s="40"/>
    </row>
    <row r="947">
      <c r="A947" s="72"/>
      <c r="B947" s="72"/>
      <c r="C947" s="23"/>
      <c r="D947" s="23"/>
      <c r="E947" s="40"/>
      <c r="F947" s="40"/>
      <c r="G947" s="40"/>
      <c r="H947" s="40"/>
      <c r="I947" s="40"/>
      <c r="J947" s="40"/>
      <c r="K947" s="40"/>
      <c r="L947" s="40"/>
      <c r="M947" s="40"/>
      <c r="N947" s="40"/>
      <c r="O947" s="40"/>
      <c r="P947" s="40"/>
      <c r="Q947" s="40"/>
      <c r="R947" s="40"/>
      <c r="S947" s="40"/>
      <c r="T947" s="40"/>
      <c r="U947" s="40"/>
      <c r="V947" s="40"/>
      <c r="W947" s="40"/>
      <c r="X947" s="40"/>
      <c r="Y947" s="40"/>
      <c r="Z947" s="40"/>
    </row>
    <row r="948">
      <c r="A948" s="72"/>
      <c r="B948" s="72"/>
      <c r="C948" s="23"/>
      <c r="D948" s="23"/>
      <c r="E948" s="40"/>
      <c r="F948" s="40"/>
      <c r="G948" s="40"/>
      <c r="H948" s="40"/>
      <c r="I948" s="40"/>
      <c r="J948" s="40"/>
      <c r="K948" s="40"/>
      <c r="L948" s="40"/>
      <c r="M948" s="40"/>
      <c r="N948" s="40"/>
      <c r="O948" s="40"/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0"/>
    </row>
    <row r="949">
      <c r="A949" s="72"/>
      <c r="B949" s="72"/>
      <c r="C949" s="23"/>
      <c r="D949" s="23"/>
      <c r="E949" s="40"/>
      <c r="F949" s="40"/>
      <c r="G949" s="40"/>
      <c r="H949" s="40"/>
      <c r="I949" s="40"/>
      <c r="J949" s="40"/>
      <c r="K949" s="40"/>
      <c r="L949" s="40"/>
      <c r="M949" s="40"/>
      <c r="N949" s="40"/>
      <c r="O949" s="40"/>
      <c r="P949" s="40"/>
      <c r="Q949" s="40"/>
      <c r="R949" s="40"/>
      <c r="S949" s="40"/>
      <c r="T949" s="40"/>
      <c r="U949" s="40"/>
      <c r="V949" s="40"/>
      <c r="W949" s="40"/>
      <c r="X949" s="40"/>
      <c r="Y949" s="40"/>
      <c r="Z949" s="40"/>
    </row>
    <row r="950">
      <c r="A950" s="72"/>
      <c r="B950" s="72"/>
      <c r="C950" s="23"/>
      <c r="D950" s="23"/>
      <c r="E950" s="40"/>
      <c r="F950" s="40"/>
      <c r="G950" s="40"/>
      <c r="H950" s="40"/>
      <c r="I950" s="40"/>
      <c r="J950" s="40"/>
      <c r="K950" s="40"/>
      <c r="L950" s="40"/>
      <c r="M950" s="40"/>
      <c r="N950" s="40"/>
      <c r="O950" s="40"/>
      <c r="P950" s="40"/>
      <c r="Q950" s="40"/>
      <c r="R950" s="40"/>
      <c r="S950" s="40"/>
      <c r="T950" s="40"/>
      <c r="U950" s="40"/>
      <c r="V950" s="40"/>
      <c r="W950" s="40"/>
      <c r="X950" s="40"/>
      <c r="Y950" s="40"/>
      <c r="Z950" s="40"/>
    </row>
    <row r="951">
      <c r="A951" s="72"/>
      <c r="B951" s="72"/>
      <c r="C951" s="23"/>
      <c r="D951" s="23"/>
      <c r="E951" s="40"/>
      <c r="F951" s="40"/>
      <c r="G951" s="40"/>
      <c r="H951" s="40"/>
      <c r="I951" s="40"/>
      <c r="J951" s="40"/>
      <c r="K951" s="40"/>
      <c r="L951" s="40"/>
      <c r="M951" s="40"/>
      <c r="N951" s="40"/>
      <c r="O951" s="40"/>
      <c r="P951" s="40"/>
      <c r="Q951" s="40"/>
      <c r="R951" s="40"/>
      <c r="S951" s="40"/>
      <c r="T951" s="40"/>
      <c r="U951" s="40"/>
      <c r="V951" s="40"/>
      <c r="W951" s="40"/>
      <c r="X951" s="40"/>
      <c r="Y951" s="40"/>
      <c r="Z951" s="40"/>
    </row>
    <row r="952">
      <c r="A952" s="72"/>
      <c r="B952" s="72"/>
      <c r="C952" s="23"/>
      <c r="D952" s="23"/>
      <c r="E952" s="40"/>
      <c r="F952" s="40"/>
      <c r="G952" s="40"/>
      <c r="H952" s="40"/>
      <c r="I952" s="40"/>
      <c r="J952" s="40"/>
      <c r="K952" s="40"/>
      <c r="L952" s="40"/>
      <c r="M952" s="40"/>
      <c r="N952" s="40"/>
      <c r="O952" s="40"/>
      <c r="P952" s="40"/>
      <c r="Q952" s="40"/>
      <c r="R952" s="40"/>
      <c r="S952" s="40"/>
      <c r="T952" s="40"/>
      <c r="U952" s="40"/>
      <c r="V952" s="40"/>
      <c r="W952" s="40"/>
      <c r="X952" s="40"/>
      <c r="Y952" s="40"/>
      <c r="Z952" s="40"/>
    </row>
    <row r="953">
      <c r="A953" s="72"/>
      <c r="B953" s="72"/>
      <c r="C953" s="23"/>
      <c r="D953" s="23"/>
      <c r="E953" s="40"/>
      <c r="F953" s="40"/>
      <c r="G953" s="40"/>
      <c r="H953" s="40"/>
      <c r="I953" s="40"/>
      <c r="J953" s="40"/>
      <c r="K953" s="40"/>
      <c r="L953" s="40"/>
      <c r="M953" s="40"/>
      <c r="N953" s="40"/>
      <c r="O953" s="40"/>
      <c r="P953" s="40"/>
      <c r="Q953" s="40"/>
      <c r="R953" s="40"/>
      <c r="S953" s="40"/>
      <c r="T953" s="40"/>
      <c r="U953" s="40"/>
      <c r="V953" s="40"/>
      <c r="W953" s="40"/>
      <c r="X953" s="40"/>
      <c r="Y953" s="40"/>
      <c r="Z953" s="40"/>
    </row>
    <row r="954">
      <c r="A954" s="72"/>
      <c r="B954" s="72"/>
      <c r="C954" s="23"/>
      <c r="D954" s="23"/>
      <c r="E954" s="40"/>
      <c r="F954" s="40"/>
      <c r="G954" s="40"/>
      <c r="H954" s="40"/>
      <c r="I954" s="40"/>
      <c r="J954" s="40"/>
      <c r="K954" s="40"/>
      <c r="L954" s="40"/>
      <c r="M954" s="40"/>
      <c r="N954" s="40"/>
      <c r="O954" s="40"/>
      <c r="P954" s="40"/>
      <c r="Q954" s="40"/>
      <c r="R954" s="40"/>
      <c r="S954" s="40"/>
      <c r="T954" s="40"/>
      <c r="U954" s="40"/>
      <c r="V954" s="40"/>
      <c r="W954" s="40"/>
      <c r="X954" s="40"/>
      <c r="Y954" s="40"/>
      <c r="Z954" s="40"/>
    </row>
    <row r="955">
      <c r="A955" s="72"/>
      <c r="B955" s="72"/>
      <c r="C955" s="23"/>
      <c r="D955" s="23"/>
      <c r="E955" s="40"/>
      <c r="F955" s="40"/>
      <c r="G955" s="40"/>
      <c r="H955" s="40"/>
      <c r="I955" s="40"/>
      <c r="J955" s="40"/>
      <c r="K955" s="40"/>
      <c r="L955" s="40"/>
      <c r="M955" s="40"/>
      <c r="N955" s="40"/>
      <c r="O955" s="40"/>
      <c r="P955" s="40"/>
      <c r="Q955" s="40"/>
      <c r="R955" s="40"/>
      <c r="S955" s="40"/>
      <c r="T955" s="40"/>
      <c r="U955" s="40"/>
      <c r="V955" s="40"/>
      <c r="W955" s="40"/>
      <c r="X955" s="40"/>
      <c r="Y955" s="40"/>
      <c r="Z955" s="40"/>
    </row>
    <row r="956">
      <c r="A956" s="72"/>
      <c r="B956" s="72"/>
      <c r="C956" s="23"/>
      <c r="D956" s="23"/>
      <c r="E956" s="40"/>
      <c r="F956" s="40"/>
      <c r="G956" s="40"/>
      <c r="H956" s="40"/>
      <c r="I956" s="40"/>
      <c r="J956" s="40"/>
      <c r="K956" s="40"/>
      <c r="L956" s="40"/>
      <c r="M956" s="40"/>
      <c r="N956" s="40"/>
      <c r="O956" s="40"/>
      <c r="P956" s="40"/>
      <c r="Q956" s="40"/>
      <c r="R956" s="40"/>
      <c r="S956" s="40"/>
      <c r="T956" s="40"/>
      <c r="U956" s="40"/>
      <c r="V956" s="40"/>
      <c r="W956" s="40"/>
      <c r="X956" s="40"/>
      <c r="Y956" s="40"/>
      <c r="Z956" s="40"/>
    </row>
    <row r="957">
      <c r="A957" s="72"/>
      <c r="B957" s="72"/>
      <c r="C957" s="23"/>
      <c r="D957" s="23"/>
      <c r="E957" s="40"/>
      <c r="F957" s="40"/>
      <c r="G957" s="40"/>
      <c r="H957" s="40"/>
      <c r="I957" s="40"/>
      <c r="J957" s="40"/>
      <c r="K957" s="40"/>
      <c r="L957" s="40"/>
      <c r="M957" s="40"/>
      <c r="N957" s="40"/>
      <c r="O957" s="40"/>
      <c r="P957" s="40"/>
      <c r="Q957" s="40"/>
      <c r="R957" s="40"/>
      <c r="S957" s="40"/>
      <c r="T957" s="40"/>
      <c r="U957" s="40"/>
      <c r="V957" s="40"/>
      <c r="W957" s="40"/>
      <c r="X957" s="40"/>
      <c r="Y957" s="40"/>
      <c r="Z957" s="40"/>
    </row>
    <row r="958">
      <c r="A958" s="72"/>
      <c r="B958" s="72"/>
      <c r="C958" s="23"/>
      <c r="D958" s="23"/>
      <c r="E958" s="40"/>
      <c r="F958" s="40"/>
      <c r="G958" s="40"/>
      <c r="H958" s="40"/>
      <c r="I958" s="40"/>
      <c r="J958" s="40"/>
      <c r="K958" s="40"/>
      <c r="L958" s="40"/>
      <c r="M958" s="40"/>
      <c r="N958" s="40"/>
      <c r="O958" s="40"/>
      <c r="P958" s="40"/>
      <c r="Q958" s="40"/>
      <c r="R958" s="40"/>
      <c r="S958" s="40"/>
      <c r="T958" s="40"/>
      <c r="U958" s="40"/>
      <c r="V958" s="40"/>
      <c r="W958" s="40"/>
      <c r="X958" s="40"/>
      <c r="Y958" s="40"/>
      <c r="Z958" s="40"/>
    </row>
    <row r="959">
      <c r="A959" s="72"/>
      <c r="B959" s="72"/>
      <c r="C959" s="23"/>
      <c r="D959" s="23"/>
      <c r="E959" s="40"/>
      <c r="F959" s="40"/>
      <c r="G959" s="40"/>
      <c r="H959" s="40"/>
      <c r="I959" s="40"/>
      <c r="J959" s="40"/>
      <c r="K959" s="40"/>
      <c r="L959" s="40"/>
      <c r="M959" s="40"/>
      <c r="N959" s="40"/>
      <c r="O959" s="40"/>
      <c r="P959" s="40"/>
      <c r="Q959" s="40"/>
      <c r="R959" s="40"/>
      <c r="S959" s="40"/>
      <c r="T959" s="40"/>
      <c r="U959" s="40"/>
      <c r="V959" s="40"/>
      <c r="W959" s="40"/>
      <c r="X959" s="40"/>
      <c r="Y959" s="40"/>
      <c r="Z959" s="40"/>
    </row>
    <row r="960">
      <c r="A960" s="72"/>
      <c r="B960" s="72"/>
      <c r="C960" s="23"/>
      <c r="D960" s="23"/>
      <c r="E960" s="40"/>
      <c r="F960" s="40"/>
      <c r="G960" s="40"/>
      <c r="H960" s="40"/>
      <c r="I960" s="40"/>
      <c r="J960" s="40"/>
      <c r="K960" s="40"/>
      <c r="L960" s="40"/>
      <c r="M960" s="40"/>
      <c r="N960" s="40"/>
      <c r="O960" s="40"/>
      <c r="P960" s="40"/>
      <c r="Q960" s="40"/>
      <c r="R960" s="40"/>
      <c r="S960" s="40"/>
      <c r="T960" s="40"/>
      <c r="U960" s="40"/>
      <c r="V960" s="40"/>
      <c r="W960" s="40"/>
      <c r="X960" s="40"/>
      <c r="Y960" s="40"/>
      <c r="Z960" s="40"/>
    </row>
    <row r="961">
      <c r="A961" s="72"/>
      <c r="B961" s="72"/>
      <c r="C961" s="23"/>
      <c r="D961" s="23"/>
      <c r="E961" s="40"/>
      <c r="F961" s="40"/>
      <c r="G961" s="40"/>
      <c r="H961" s="40"/>
      <c r="I961" s="40"/>
      <c r="J961" s="40"/>
      <c r="K961" s="40"/>
      <c r="L961" s="40"/>
      <c r="M961" s="40"/>
      <c r="N961" s="40"/>
      <c r="O961" s="40"/>
      <c r="P961" s="40"/>
      <c r="Q961" s="40"/>
      <c r="R961" s="40"/>
      <c r="S961" s="40"/>
      <c r="T961" s="40"/>
      <c r="U961" s="40"/>
      <c r="V961" s="40"/>
      <c r="W961" s="40"/>
      <c r="X961" s="40"/>
      <c r="Y961" s="40"/>
      <c r="Z961" s="40"/>
    </row>
    <row r="962">
      <c r="A962" s="72"/>
      <c r="B962" s="72"/>
      <c r="C962" s="23"/>
      <c r="D962" s="23"/>
      <c r="E962" s="40"/>
      <c r="F962" s="40"/>
      <c r="G962" s="40"/>
      <c r="H962" s="40"/>
      <c r="I962" s="40"/>
      <c r="J962" s="40"/>
      <c r="K962" s="40"/>
      <c r="L962" s="40"/>
      <c r="M962" s="40"/>
      <c r="N962" s="40"/>
      <c r="O962" s="40"/>
      <c r="P962" s="40"/>
      <c r="Q962" s="40"/>
      <c r="R962" s="40"/>
      <c r="S962" s="40"/>
      <c r="T962" s="40"/>
      <c r="U962" s="40"/>
      <c r="V962" s="40"/>
      <c r="W962" s="40"/>
      <c r="X962" s="40"/>
      <c r="Y962" s="40"/>
      <c r="Z962" s="40"/>
    </row>
    <row r="963">
      <c r="A963" s="72"/>
      <c r="B963" s="72"/>
      <c r="C963" s="23"/>
      <c r="D963" s="23"/>
      <c r="E963" s="40"/>
      <c r="F963" s="40"/>
      <c r="G963" s="40"/>
      <c r="H963" s="40"/>
      <c r="I963" s="40"/>
      <c r="J963" s="40"/>
      <c r="K963" s="40"/>
      <c r="L963" s="40"/>
      <c r="M963" s="40"/>
      <c r="N963" s="40"/>
      <c r="O963" s="40"/>
      <c r="P963" s="40"/>
      <c r="Q963" s="40"/>
      <c r="R963" s="40"/>
      <c r="S963" s="40"/>
      <c r="T963" s="40"/>
      <c r="U963" s="40"/>
      <c r="V963" s="40"/>
      <c r="W963" s="40"/>
      <c r="X963" s="40"/>
      <c r="Y963" s="40"/>
      <c r="Z963" s="40"/>
    </row>
    <row r="964">
      <c r="A964" s="72"/>
      <c r="B964" s="72"/>
      <c r="C964" s="23"/>
      <c r="D964" s="23"/>
      <c r="E964" s="40"/>
      <c r="F964" s="40"/>
      <c r="G964" s="40"/>
      <c r="H964" s="40"/>
      <c r="I964" s="40"/>
      <c r="J964" s="40"/>
      <c r="K964" s="40"/>
      <c r="L964" s="40"/>
      <c r="M964" s="40"/>
      <c r="N964" s="40"/>
      <c r="O964" s="40"/>
      <c r="P964" s="40"/>
      <c r="Q964" s="40"/>
      <c r="R964" s="40"/>
      <c r="S964" s="40"/>
      <c r="T964" s="40"/>
      <c r="U964" s="40"/>
      <c r="V964" s="40"/>
      <c r="W964" s="40"/>
      <c r="X964" s="40"/>
      <c r="Y964" s="40"/>
      <c r="Z964" s="40"/>
    </row>
    <row r="965">
      <c r="A965" s="72"/>
      <c r="B965" s="72"/>
      <c r="C965" s="23"/>
      <c r="D965" s="23"/>
      <c r="E965" s="40"/>
      <c r="F965" s="40"/>
      <c r="G965" s="40"/>
      <c r="H965" s="40"/>
      <c r="I965" s="40"/>
      <c r="J965" s="40"/>
      <c r="K965" s="40"/>
      <c r="L965" s="40"/>
      <c r="M965" s="40"/>
      <c r="N965" s="40"/>
      <c r="O965" s="40"/>
      <c r="P965" s="40"/>
      <c r="Q965" s="40"/>
      <c r="R965" s="40"/>
      <c r="S965" s="40"/>
      <c r="T965" s="40"/>
      <c r="U965" s="40"/>
      <c r="V965" s="40"/>
      <c r="W965" s="40"/>
      <c r="X965" s="40"/>
      <c r="Y965" s="40"/>
      <c r="Z965" s="40"/>
    </row>
    <row r="966">
      <c r="A966" s="72"/>
      <c r="B966" s="72"/>
      <c r="C966" s="23"/>
      <c r="D966" s="23"/>
      <c r="E966" s="40"/>
      <c r="F966" s="40"/>
      <c r="G966" s="40"/>
      <c r="H966" s="40"/>
      <c r="I966" s="40"/>
      <c r="J966" s="40"/>
      <c r="K966" s="40"/>
      <c r="L966" s="40"/>
      <c r="M966" s="40"/>
      <c r="N966" s="40"/>
      <c r="O966" s="40"/>
      <c r="P966" s="40"/>
      <c r="Q966" s="40"/>
      <c r="R966" s="40"/>
      <c r="S966" s="40"/>
      <c r="T966" s="40"/>
      <c r="U966" s="40"/>
      <c r="V966" s="40"/>
      <c r="W966" s="40"/>
      <c r="X966" s="40"/>
      <c r="Y966" s="40"/>
      <c r="Z966" s="40"/>
    </row>
    <row r="967">
      <c r="A967" s="72"/>
      <c r="B967" s="72"/>
      <c r="C967" s="23"/>
      <c r="D967" s="23"/>
      <c r="E967" s="40"/>
      <c r="F967" s="40"/>
      <c r="G967" s="40"/>
      <c r="H967" s="40"/>
      <c r="I967" s="40"/>
      <c r="J967" s="40"/>
      <c r="K967" s="40"/>
      <c r="L967" s="40"/>
      <c r="M967" s="40"/>
      <c r="N967" s="40"/>
      <c r="O967" s="40"/>
      <c r="P967" s="40"/>
      <c r="Q967" s="40"/>
      <c r="R967" s="40"/>
      <c r="S967" s="40"/>
      <c r="T967" s="40"/>
      <c r="U967" s="40"/>
      <c r="V967" s="40"/>
      <c r="W967" s="40"/>
      <c r="X967" s="40"/>
      <c r="Y967" s="40"/>
      <c r="Z967" s="40"/>
    </row>
    <row r="968">
      <c r="A968" s="72"/>
      <c r="B968" s="72"/>
      <c r="C968" s="23"/>
      <c r="D968" s="23"/>
      <c r="E968" s="40"/>
      <c r="F968" s="40"/>
      <c r="G968" s="40"/>
      <c r="H968" s="40"/>
      <c r="I968" s="40"/>
      <c r="J968" s="40"/>
      <c r="K968" s="40"/>
      <c r="L968" s="40"/>
      <c r="M968" s="40"/>
      <c r="N968" s="40"/>
      <c r="O968" s="40"/>
      <c r="P968" s="40"/>
      <c r="Q968" s="40"/>
      <c r="R968" s="40"/>
      <c r="S968" s="40"/>
      <c r="T968" s="40"/>
      <c r="U968" s="40"/>
      <c r="V968" s="40"/>
      <c r="W968" s="40"/>
      <c r="X968" s="40"/>
      <c r="Y968" s="40"/>
      <c r="Z968" s="40"/>
    </row>
    <row r="969">
      <c r="A969" s="72"/>
      <c r="B969" s="72"/>
      <c r="C969" s="23"/>
      <c r="D969" s="23"/>
      <c r="E969" s="40"/>
      <c r="F969" s="40"/>
      <c r="G969" s="40"/>
      <c r="H969" s="40"/>
      <c r="I969" s="40"/>
      <c r="J969" s="40"/>
      <c r="K969" s="40"/>
      <c r="L969" s="40"/>
      <c r="M969" s="40"/>
      <c r="N969" s="40"/>
      <c r="O969" s="40"/>
      <c r="P969" s="40"/>
      <c r="Q969" s="40"/>
      <c r="R969" s="40"/>
      <c r="S969" s="40"/>
      <c r="T969" s="40"/>
      <c r="U969" s="40"/>
      <c r="V969" s="40"/>
      <c r="W969" s="40"/>
      <c r="X969" s="40"/>
      <c r="Y969" s="40"/>
      <c r="Z969" s="40"/>
    </row>
    <row r="970">
      <c r="A970" s="72"/>
      <c r="B970" s="72"/>
      <c r="C970" s="23"/>
      <c r="D970" s="23"/>
      <c r="E970" s="40"/>
      <c r="F970" s="40"/>
      <c r="G970" s="40"/>
      <c r="H970" s="40"/>
      <c r="I970" s="40"/>
      <c r="J970" s="40"/>
      <c r="K970" s="40"/>
      <c r="L970" s="40"/>
      <c r="M970" s="40"/>
      <c r="N970" s="40"/>
      <c r="O970" s="40"/>
      <c r="P970" s="40"/>
      <c r="Q970" s="40"/>
      <c r="R970" s="40"/>
      <c r="S970" s="40"/>
      <c r="T970" s="40"/>
      <c r="U970" s="40"/>
      <c r="V970" s="40"/>
      <c r="W970" s="40"/>
      <c r="X970" s="40"/>
      <c r="Y970" s="40"/>
      <c r="Z970" s="40"/>
    </row>
    <row r="971">
      <c r="A971" s="72"/>
      <c r="B971" s="72"/>
      <c r="C971" s="23"/>
      <c r="D971" s="23"/>
      <c r="E971" s="40"/>
      <c r="F971" s="40"/>
      <c r="G971" s="40"/>
      <c r="H971" s="40"/>
      <c r="I971" s="40"/>
      <c r="J971" s="40"/>
      <c r="K971" s="40"/>
      <c r="L971" s="40"/>
      <c r="M971" s="40"/>
      <c r="N971" s="40"/>
      <c r="O971" s="40"/>
      <c r="P971" s="40"/>
      <c r="Q971" s="40"/>
      <c r="R971" s="40"/>
      <c r="S971" s="40"/>
      <c r="T971" s="40"/>
      <c r="U971" s="40"/>
      <c r="V971" s="40"/>
      <c r="W971" s="40"/>
      <c r="X971" s="40"/>
      <c r="Y971" s="40"/>
      <c r="Z971" s="40"/>
    </row>
    <row r="972">
      <c r="A972" s="72"/>
      <c r="B972" s="72"/>
      <c r="C972" s="23"/>
      <c r="D972" s="23"/>
      <c r="E972" s="40"/>
      <c r="F972" s="40"/>
      <c r="G972" s="40"/>
      <c r="H972" s="40"/>
      <c r="I972" s="40"/>
      <c r="J972" s="40"/>
      <c r="K972" s="40"/>
      <c r="L972" s="40"/>
      <c r="M972" s="40"/>
      <c r="N972" s="40"/>
      <c r="O972" s="40"/>
      <c r="P972" s="40"/>
      <c r="Q972" s="40"/>
      <c r="R972" s="40"/>
      <c r="S972" s="40"/>
      <c r="T972" s="40"/>
      <c r="U972" s="40"/>
      <c r="V972" s="40"/>
      <c r="W972" s="40"/>
      <c r="X972" s="40"/>
      <c r="Y972" s="40"/>
      <c r="Z972" s="40"/>
    </row>
    <row r="973">
      <c r="A973" s="72"/>
      <c r="B973" s="72"/>
      <c r="C973" s="23"/>
      <c r="D973" s="23"/>
      <c r="E973" s="40"/>
      <c r="F973" s="40"/>
      <c r="G973" s="40"/>
      <c r="H973" s="40"/>
      <c r="I973" s="40"/>
      <c r="J973" s="40"/>
      <c r="K973" s="40"/>
      <c r="L973" s="40"/>
      <c r="M973" s="40"/>
      <c r="N973" s="40"/>
      <c r="O973" s="40"/>
      <c r="P973" s="40"/>
      <c r="Q973" s="40"/>
      <c r="R973" s="40"/>
      <c r="S973" s="40"/>
      <c r="T973" s="40"/>
      <c r="U973" s="40"/>
      <c r="V973" s="40"/>
      <c r="W973" s="40"/>
      <c r="X973" s="40"/>
      <c r="Y973" s="40"/>
      <c r="Z973" s="40"/>
    </row>
    <row r="974">
      <c r="A974" s="72"/>
      <c r="B974" s="72"/>
      <c r="C974" s="23"/>
      <c r="D974" s="23"/>
      <c r="E974" s="40"/>
      <c r="F974" s="40"/>
      <c r="G974" s="40"/>
      <c r="H974" s="40"/>
      <c r="I974" s="40"/>
      <c r="J974" s="40"/>
      <c r="K974" s="40"/>
      <c r="L974" s="40"/>
      <c r="M974" s="40"/>
      <c r="N974" s="40"/>
      <c r="O974" s="40"/>
      <c r="P974" s="40"/>
      <c r="Q974" s="40"/>
      <c r="R974" s="40"/>
      <c r="S974" s="40"/>
      <c r="T974" s="40"/>
      <c r="U974" s="40"/>
      <c r="V974" s="40"/>
      <c r="W974" s="40"/>
      <c r="X974" s="40"/>
      <c r="Y974" s="40"/>
      <c r="Z974" s="40"/>
    </row>
    <row r="975">
      <c r="A975" s="72"/>
      <c r="B975" s="72"/>
      <c r="C975" s="23"/>
      <c r="D975" s="23"/>
      <c r="E975" s="40"/>
      <c r="F975" s="40"/>
      <c r="G975" s="40"/>
      <c r="H975" s="40"/>
      <c r="I975" s="40"/>
      <c r="J975" s="40"/>
      <c r="K975" s="40"/>
      <c r="L975" s="40"/>
      <c r="M975" s="40"/>
      <c r="N975" s="40"/>
      <c r="O975" s="40"/>
      <c r="P975" s="40"/>
      <c r="Q975" s="40"/>
      <c r="R975" s="40"/>
      <c r="S975" s="40"/>
      <c r="T975" s="40"/>
      <c r="U975" s="40"/>
      <c r="V975" s="40"/>
      <c r="W975" s="40"/>
      <c r="X975" s="40"/>
      <c r="Y975" s="40"/>
      <c r="Z975" s="40"/>
    </row>
    <row r="976">
      <c r="A976" s="72"/>
      <c r="B976" s="72"/>
      <c r="C976" s="23"/>
      <c r="D976" s="23"/>
      <c r="E976" s="40"/>
      <c r="F976" s="40"/>
      <c r="G976" s="40"/>
      <c r="H976" s="40"/>
      <c r="I976" s="40"/>
      <c r="J976" s="40"/>
      <c r="K976" s="40"/>
      <c r="L976" s="40"/>
      <c r="M976" s="40"/>
      <c r="N976" s="40"/>
      <c r="O976" s="40"/>
      <c r="P976" s="40"/>
      <c r="Q976" s="40"/>
      <c r="R976" s="40"/>
      <c r="S976" s="40"/>
      <c r="T976" s="40"/>
      <c r="U976" s="40"/>
      <c r="V976" s="40"/>
      <c r="W976" s="40"/>
      <c r="X976" s="40"/>
      <c r="Y976" s="40"/>
      <c r="Z976" s="40"/>
    </row>
    <row r="977">
      <c r="A977" s="72"/>
      <c r="B977" s="72"/>
      <c r="C977" s="23"/>
      <c r="D977" s="23"/>
      <c r="E977" s="40"/>
      <c r="F977" s="40"/>
      <c r="G977" s="40"/>
      <c r="H977" s="40"/>
      <c r="I977" s="40"/>
      <c r="J977" s="40"/>
      <c r="K977" s="40"/>
      <c r="L977" s="40"/>
      <c r="M977" s="40"/>
      <c r="N977" s="40"/>
      <c r="O977" s="40"/>
      <c r="P977" s="40"/>
      <c r="Q977" s="40"/>
      <c r="R977" s="40"/>
      <c r="S977" s="40"/>
      <c r="T977" s="40"/>
      <c r="U977" s="40"/>
      <c r="V977" s="40"/>
      <c r="W977" s="40"/>
      <c r="X977" s="40"/>
      <c r="Y977" s="40"/>
      <c r="Z977" s="40"/>
    </row>
    <row r="978">
      <c r="A978" s="72"/>
      <c r="B978" s="72"/>
      <c r="C978" s="23"/>
      <c r="D978" s="23"/>
      <c r="E978" s="40"/>
      <c r="F978" s="40"/>
      <c r="G978" s="40"/>
      <c r="H978" s="40"/>
      <c r="I978" s="40"/>
      <c r="J978" s="40"/>
      <c r="K978" s="40"/>
      <c r="L978" s="40"/>
      <c r="M978" s="40"/>
      <c r="N978" s="40"/>
      <c r="O978" s="40"/>
      <c r="P978" s="40"/>
      <c r="Q978" s="40"/>
      <c r="R978" s="40"/>
      <c r="S978" s="40"/>
      <c r="T978" s="40"/>
      <c r="U978" s="40"/>
      <c r="V978" s="40"/>
      <c r="W978" s="40"/>
      <c r="X978" s="40"/>
      <c r="Y978" s="40"/>
      <c r="Z978" s="40"/>
    </row>
    <row r="979">
      <c r="A979" s="72"/>
      <c r="B979" s="72"/>
      <c r="C979" s="23"/>
      <c r="D979" s="23"/>
      <c r="E979" s="40"/>
      <c r="F979" s="40"/>
      <c r="G979" s="40"/>
      <c r="H979" s="40"/>
      <c r="I979" s="40"/>
      <c r="J979" s="40"/>
      <c r="K979" s="40"/>
      <c r="L979" s="40"/>
      <c r="M979" s="40"/>
      <c r="N979" s="40"/>
      <c r="O979" s="40"/>
      <c r="P979" s="40"/>
      <c r="Q979" s="40"/>
      <c r="R979" s="40"/>
      <c r="S979" s="40"/>
      <c r="T979" s="40"/>
      <c r="U979" s="40"/>
      <c r="V979" s="40"/>
      <c r="W979" s="40"/>
      <c r="X979" s="40"/>
      <c r="Y979" s="40"/>
      <c r="Z979" s="40"/>
    </row>
    <row r="980">
      <c r="A980" s="72"/>
      <c r="B980" s="72"/>
      <c r="C980" s="23"/>
      <c r="D980" s="23"/>
      <c r="E980" s="40"/>
      <c r="F980" s="40"/>
      <c r="G980" s="40"/>
      <c r="H980" s="40"/>
      <c r="I980" s="40"/>
      <c r="J980" s="40"/>
      <c r="K980" s="40"/>
      <c r="L980" s="40"/>
      <c r="M980" s="40"/>
      <c r="N980" s="40"/>
      <c r="O980" s="40"/>
      <c r="P980" s="40"/>
      <c r="Q980" s="40"/>
      <c r="R980" s="40"/>
      <c r="S980" s="40"/>
      <c r="T980" s="40"/>
      <c r="U980" s="40"/>
      <c r="V980" s="40"/>
      <c r="W980" s="40"/>
      <c r="X980" s="40"/>
      <c r="Y980" s="40"/>
      <c r="Z980" s="40"/>
    </row>
    <row r="981">
      <c r="A981" s="72"/>
      <c r="B981" s="72"/>
      <c r="C981" s="23"/>
      <c r="D981" s="23"/>
      <c r="E981" s="40"/>
      <c r="F981" s="40"/>
      <c r="G981" s="40"/>
      <c r="H981" s="40"/>
      <c r="I981" s="40"/>
      <c r="J981" s="40"/>
      <c r="K981" s="40"/>
      <c r="L981" s="40"/>
      <c r="M981" s="40"/>
      <c r="N981" s="40"/>
      <c r="O981" s="40"/>
      <c r="P981" s="40"/>
      <c r="Q981" s="40"/>
      <c r="R981" s="40"/>
      <c r="S981" s="40"/>
      <c r="T981" s="40"/>
      <c r="U981" s="40"/>
      <c r="V981" s="40"/>
      <c r="W981" s="40"/>
      <c r="X981" s="40"/>
      <c r="Y981" s="40"/>
      <c r="Z981" s="40"/>
    </row>
    <row r="982">
      <c r="A982" s="72"/>
      <c r="B982" s="72"/>
      <c r="C982" s="23"/>
      <c r="D982" s="23"/>
      <c r="E982" s="40"/>
      <c r="F982" s="40"/>
      <c r="G982" s="40"/>
      <c r="H982" s="40"/>
      <c r="I982" s="40"/>
      <c r="J982" s="40"/>
      <c r="K982" s="40"/>
      <c r="L982" s="40"/>
      <c r="M982" s="40"/>
      <c r="N982" s="40"/>
      <c r="O982" s="40"/>
      <c r="P982" s="40"/>
      <c r="Q982" s="40"/>
      <c r="R982" s="40"/>
      <c r="S982" s="40"/>
      <c r="T982" s="40"/>
      <c r="U982" s="40"/>
      <c r="V982" s="40"/>
      <c r="W982" s="40"/>
      <c r="X982" s="40"/>
      <c r="Y982" s="40"/>
      <c r="Z982" s="40"/>
    </row>
    <row r="983">
      <c r="A983" s="72"/>
      <c r="B983" s="72"/>
      <c r="C983" s="23"/>
      <c r="D983" s="23"/>
      <c r="E983" s="40"/>
      <c r="F983" s="40"/>
      <c r="G983" s="40"/>
      <c r="H983" s="40"/>
      <c r="I983" s="40"/>
      <c r="J983" s="40"/>
      <c r="K983" s="40"/>
      <c r="L983" s="40"/>
      <c r="M983" s="40"/>
      <c r="N983" s="40"/>
      <c r="O983" s="40"/>
      <c r="P983" s="40"/>
      <c r="Q983" s="40"/>
      <c r="R983" s="40"/>
      <c r="S983" s="40"/>
      <c r="T983" s="40"/>
      <c r="U983" s="40"/>
      <c r="V983" s="40"/>
      <c r="W983" s="40"/>
      <c r="X983" s="40"/>
      <c r="Y983" s="40"/>
      <c r="Z983" s="40"/>
    </row>
    <row r="984">
      <c r="A984" s="72"/>
      <c r="B984" s="72"/>
      <c r="C984" s="23"/>
      <c r="D984" s="23"/>
      <c r="E984" s="40"/>
      <c r="F984" s="40"/>
      <c r="G984" s="40"/>
      <c r="H984" s="40"/>
      <c r="I984" s="40"/>
      <c r="J984" s="40"/>
      <c r="K984" s="40"/>
      <c r="L984" s="40"/>
      <c r="M984" s="40"/>
      <c r="N984" s="40"/>
      <c r="O984" s="40"/>
      <c r="P984" s="40"/>
      <c r="Q984" s="40"/>
      <c r="R984" s="40"/>
      <c r="S984" s="40"/>
      <c r="T984" s="40"/>
      <c r="U984" s="40"/>
      <c r="V984" s="40"/>
      <c r="W984" s="40"/>
      <c r="X984" s="40"/>
      <c r="Y984" s="40"/>
      <c r="Z984" s="40"/>
    </row>
    <row r="985">
      <c r="A985" s="72"/>
      <c r="B985" s="72"/>
      <c r="C985" s="23"/>
      <c r="D985" s="23"/>
      <c r="E985" s="40"/>
      <c r="F985" s="40"/>
      <c r="G985" s="40"/>
      <c r="H985" s="40"/>
      <c r="I985" s="40"/>
      <c r="J985" s="40"/>
      <c r="K985" s="40"/>
      <c r="L985" s="40"/>
      <c r="M985" s="40"/>
      <c r="N985" s="40"/>
      <c r="O985" s="40"/>
      <c r="P985" s="40"/>
      <c r="Q985" s="40"/>
      <c r="R985" s="40"/>
      <c r="S985" s="40"/>
      <c r="T985" s="40"/>
      <c r="U985" s="40"/>
      <c r="V985" s="40"/>
      <c r="W985" s="40"/>
      <c r="X985" s="40"/>
      <c r="Y985" s="40"/>
      <c r="Z985" s="40"/>
    </row>
    <row r="986">
      <c r="A986" s="72"/>
      <c r="B986" s="72"/>
      <c r="C986" s="23"/>
      <c r="D986" s="23"/>
      <c r="E986" s="40"/>
      <c r="F986" s="40"/>
      <c r="G986" s="40"/>
      <c r="H986" s="40"/>
      <c r="I986" s="40"/>
      <c r="J986" s="40"/>
      <c r="K986" s="40"/>
      <c r="L986" s="40"/>
      <c r="M986" s="40"/>
      <c r="N986" s="40"/>
      <c r="O986" s="40"/>
      <c r="P986" s="40"/>
      <c r="Q986" s="40"/>
      <c r="R986" s="40"/>
      <c r="S986" s="40"/>
      <c r="T986" s="40"/>
      <c r="U986" s="40"/>
      <c r="V986" s="40"/>
      <c r="W986" s="40"/>
      <c r="X986" s="40"/>
      <c r="Y986" s="40"/>
      <c r="Z986" s="40"/>
    </row>
    <row r="987">
      <c r="A987" s="72"/>
      <c r="B987" s="72"/>
      <c r="C987" s="23"/>
      <c r="D987" s="23"/>
      <c r="E987" s="40"/>
      <c r="F987" s="40"/>
      <c r="G987" s="40"/>
      <c r="H987" s="40"/>
      <c r="I987" s="40"/>
      <c r="J987" s="40"/>
      <c r="K987" s="40"/>
      <c r="L987" s="40"/>
      <c r="M987" s="40"/>
      <c r="N987" s="40"/>
      <c r="O987" s="40"/>
      <c r="P987" s="40"/>
      <c r="Q987" s="40"/>
      <c r="R987" s="40"/>
      <c r="S987" s="40"/>
      <c r="T987" s="40"/>
      <c r="U987" s="40"/>
      <c r="V987" s="40"/>
      <c r="W987" s="40"/>
      <c r="X987" s="40"/>
      <c r="Y987" s="40"/>
      <c r="Z987" s="40"/>
    </row>
    <row r="988">
      <c r="A988" s="72"/>
      <c r="B988" s="72"/>
      <c r="C988" s="23"/>
      <c r="D988" s="23"/>
      <c r="E988" s="40"/>
      <c r="F988" s="40"/>
      <c r="G988" s="40"/>
      <c r="H988" s="40"/>
      <c r="I988" s="40"/>
      <c r="J988" s="40"/>
      <c r="K988" s="40"/>
      <c r="L988" s="40"/>
      <c r="M988" s="40"/>
      <c r="N988" s="40"/>
      <c r="O988" s="40"/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0"/>
    </row>
    <row r="989">
      <c r="A989" s="72"/>
      <c r="B989" s="72"/>
      <c r="C989" s="23"/>
      <c r="D989" s="23"/>
      <c r="E989" s="40"/>
      <c r="F989" s="40"/>
      <c r="G989" s="40"/>
      <c r="H989" s="40"/>
      <c r="I989" s="40"/>
      <c r="J989" s="40"/>
      <c r="K989" s="40"/>
      <c r="L989" s="40"/>
      <c r="M989" s="40"/>
      <c r="N989" s="40"/>
      <c r="O989" s="40"/>
      <c r="P989" s="40"/>
      <c r="Q989" s="40"/>
      <c r="R989" s="40"/>
      <c r="S989" s="40"/>
      <c r="T989" s="40"/>
      <c r="U989" s="40"/>
      <c r="V989" s="40"/>
      <c r="W989" s="40"/>
      <c r="X989" s="40"/>
      <c r="Y989" s="40"/>
      <c r="Z989" s="40"/>
    </row>
    <row r="990">
      <c r="A990" s="72"/>
      <c r="B990" s="72"/>
      <c r="C990" s="23"/>
      <c r="D990" s="23"/>
      <c r="E990" s="40"/>
      <c r="F990" s="40"/>
      <c r="G990" s="40"/>
      <c r="H990" s="40"/>
      <c r="I990" s="40"/>
      <c r="J990" s="40"/>
      <c r="K990" s="40"/>
      <c r="L990" s="40"/>
      <c r="M990" s="40"/>
      <c r="N990" s="40"/>
      <c r="O990" s="40"/>
      <c r="P990" s="40"/>
      <c r="Q990" s="40"/>
      <c r="R990" s="40"/>
      <c r="S990" s="40"/>
      <c r="T990" s="40"/>
      <c r="U990" s="40"/>
      <c r="V990" s="40"/>
      <c r="W990" s="40"/>
      <c r="X990" s="40"/>
      <c r="Y990" s="40"/>
      <c r="Z990" s="40"/>
    </row>
    <row r="991">
      <c r="A991" s="72"/>
      <c r="B991" s="72"/>
      <c r="C991" s="23"/>
      <c r="D991" s="23"/>
      <c r="E991" s="40"/>
      <c r="F991" s="40"/>
      <c r="G991" s="40"/>
      <c r="H991" s="40"/>
      <c r="I991" s="40"/>
      <c r="J991" s="40"/>
      <c r="K991" s="40"/>
      <c r="L991" s="40"/>
      <c r="M991" s="40"/>
      <c r="N991" s="40"/>
      <c r="O991" s="40"/>
      <c r="P991" s="40"/>
      <c r="Q991" s="40"/>
      <c r="R991" s="40"/>
      <c r="S991" s="40"/>
      <c r="T991" s="40"/>
      <c r="U991" s="40"/>
      <c r="V991" s="40"/>
      <c r="W991" s="40"/>
      <c r="X991" s="40"/>
      <c r="Y991" s="40"/>
      <c r="Z991" s="40"/>
    </row>
    <row r="992">
      <c r="A992" s="72"/>
      <c r="B992" s="72"/>
      <c r="C992" s="23"/>
      <c r="D992" s="23"/>
      <c r="E992" s="40"/>
      <c r="F992" s="40"/>
      <c r="G992" s="40"/>
      <c r="H992" s="40"/>
      <c r="I992" s="40"/>
      <c r="J992" s="40"/>
      <c r="K992" s="40"/>
      <c r="L992" s="40"/>
      <c r="M992" s="40"/>
      <c r="N992" s="40"/>
      <c r="O992" s="40"/>
      <c r="P992" s="40"/>
      <c r="Q992" s="40"/>
      <c r="R992" s="40"/>
      <c r="S992" s="40"/>
      <c r="T992" s="40"/>
      <c r="U992" s="40"/>
      <c r="V992" s="40"/>
      <c r="W992" s="40"/>
      <c r="X992" s="40"/>
      <c r="Y992" s="40"/>
      <c r="Z992" s="40"/>
    </row>
    <row r="993">
      <c r="A993" s="72"/>
      <c r="B993" s="72"/>
      <c r="C993" s="23"/>
      <c r="D993" s="23"/>
      <c r="E993" s="40"/>
      <c r="F993" s="40"/>
      <c r="G993" s="40"/>
      <c r="H993" s="40"/>
      <c r="I993" s="40"/>
      <c r="J993" s="40"/>
      <c r="K993" s="40"/>
      <c r="L993" s="40"/>
      <c r="M993" s="40"/>
      <c r="N993" s="40"/>
      <c r="O993" s="40"/>
      <c r="P993" s="40"/>
      <c r="Q993" s="40"/>
      <c r="R993" s="40"/>
      <c r="S993" s="40"/>
      <c r="T993" s="40"/>
      <c r="U993" s="40"/>
      <c r="V993" s="40"/>
      <c r="W993" s="40"/>
      <c r="X993" s="40"/>
      <c r="Y993" s="40"/>
      <c r="Z993" s="40"/>
    </row>
    <row r="994">
      <c r="A994" s="72"/>
      <c r="B994" s="72"/>
      <c r="C994" s="23"/>
      <c r="D994" s="23"/>
      <c r="E994" s="40"/>
      <c r="F994" s="40"/>
      <c r="G994" s="40"/>
      <c r="H994" s="40"/>
      <c r="I994" s="40"/>
      <c r="J994" s="40"/>
      <c r="K994" s="40"/>
      <c r="L994" s="40"/>
      <c r="M994" s="40"/>
      <c r="N994" s="40"/>
      <c r="O994" s="40"/>
      <c r="P994" s="40"/>
      <c r="Q994" s="40"/>
      <c r="R994" s="40"/>
      <c r="S994" s="40"/>
      <c r="T994" s="40"/>
      <c r="U994" s="40"/>
      <c r="V994" s="40"/>
      <c r="W994" s="40"/>
      <c r="X994" s="40"/>
      <c r="Y994" s="40"/>
      <c r="Z994" s="40"/>
    </row>
    <row r="995">
      <c r="A995" s="72"/>
      <c r="B995" s="72"/>
      <c r="C995" s="23"/>
      <c r="D995" s="23"/>
      <c r="E995" s="40"/>
      <c r="F995" s="40"/>
      <c r="G995" s="40"/>
      <c r="H995" s="40"/>
      <c r="I995" s="40"/>
      <c r="J995" s="40"/>
      <c r="K995" s="40"/>
      <c r="L995" s="40"/>
      <c r="M995" s="40"/>
      <c r="N995" s="40"/>
      <c r="O995" s="40"/>
      <c r="P995" s="40"/>
      <c r="Q995" s="40"/>
      <c r="R995" s="40"/>
      <c r="S995" s="40"/>
      <c r="T995" s="40"/>
      <c r="U995" s="40"/>
      <c r="V995" s="40"/>
      <c r="W995" s="40"/>
      <c r="X995" s="40"/>
      <c r="Y995" s="40"/>
      <c r="Z995" s="40"/>
    </row>
    <row r="996">
      <c r="A996" s="72"/>
      <c r="B996" s="72"/>
      <c r="C996" s="23"/>
      <c r="D996" s="23"/>
      <c r="E996" s="40"/>
      <c r="F996" s="40"/>
      <c r="G996" s="40"/>
      <c r="H996" s="40"/>
      <c r="I996" s="40"/>
      <c r="J996" s="40"/>
      <c r="K996" s="40"/>
      <c r="L996" s="40"/>
      <c r="M996" s="40"/>
      <c r="N996" s="40"/>
      <c r="O996" s="40"/>
      <c r="P996" s="40"/>
      <c r="Q996" s="40"/>
      <c r="R996" s="40"/>
      <c r="S996" s="40"/>
      <c r="T996" s="40"/>
      <c r="U996" s="40"/>
      <c r="V996" s="40"/>
      <c r="W996" s="40"/>
      <c r="X996" s="40"/>
      <c r="Y996" s="40"/>
      <c r="Z996" s="40"/>
    </row>
    <row r="997">
      <c r="A997" s="72"/>
      <c r="B997" s="72"/>
      <c r="C997" s="23"/>
      <c r="D997" s="23"/>
      <c r="E997" s="40"/>
      <c r="F997" s="40"/>
      <c r="G997" s="40"/>
      <c r="H997" s="40"/>
      <c r="I997" s="40"/>
      <c r="J997" s="40"/>
      <c r="K997" s="40"/>
      <c r="L997" s="40"/>
      <c r="M997" s="40"/>
      <c r="N997" s="40"/>
      <c r="O997" s="40"/>
      <c r="P997" s="40"/>
      <c r="Q997" s="40"/>
      <c r="R997" s="40"/>
      <c r="S997" s="40"/>
      <c r="T997" s="40"/>
      <c r="U997" s="40"/>
      <c r="V997" s="40"/>
      <c r="W997" s="40"/>
      <c r="X997" s="40"/>
      <c r="Y997" s="40"/>
      <c r="Z997" s="40"/>
    </row>
    <row r="998">
      <c r="A998" s="72"/>
      <c r="B998" s="72"/>
      <c r="C998" s="23"/>
      <c r="D998" s="23"/>
      <c r="E998" s="40"/>
      <c r="F998" s="40"/>
      <c r="G998" s="40"/>
      <c r="H998" s="40"/>
      <c r="I998" s="40"/>
      <c r="J998" s="40"/>
      <c r="K998" s="40"/>
      <c r="L998" s="40"/>
      <c r="M998" s="40"/>
      <c r="N998" s="40"/>
      <c r="O998" s="40"/>
      <c r="P998" s="40"/>
      <c r="Q998" s="40"/>
      <c r="R998" s="40"/>
      <c r="S998" s="40"/>
      <c r="T998" s="40"/>
      <c r="U998" s="40"/>
      <c r="V998" s="40"/>
      <c r="W998" s="40"/>
      <c r="X998" s="40"/>
      <c r="Y998" s="40"/>
      <c r="Z998" s="40"/>
    </row>
    <row r="999">
      <c r="A999" s="72"/>
      <c r="B999" s="72"/>
      <c r="C999" s="23"/>
      <c r="D999" s="23"/>
      <c r="E999" s="40"/>
      <c r="F999" s="40"/>
      <c r="G999" s="40"/>
      <c r="H999" s="40"/>
      <c r="I999" s="40"/>
      <c r="J999" s="40"/>
      <c r="K999" s="40"/>
      <c r="L999" s="40"/>
      <c r="M999" s="40"/>
      <c r="N999" s="40"/>
      <c r="O999" s="40"/>
      <c r="P999" s="40"/>
      <c r="Q999" s="40"/>
      <c r="R999" s="40"/>
      <c r="S999" s="40"/>
      <c r="T999" s="40"/>
      <c r="U999" s="40"/>
      <c r="V999" s="40"/>
      <c r="W999" s="40"/>
      <c r="X999" s="40"/>
      <c r="Y999" s="40"/>
      <c r="Z999" s="40"/>
    </row>
    <row r="1000">
      <c r="A1000" s="72"/>
      <c r="B1000" s="72"/>
      <c r="C1000" s="23"/>
      <c r="D1000" s="23"/>
      <c r="E1000" s="40"/>
      <c r="F1000" s="40"/>
      <c r="G1000" s="40"/>
      <c r="H1000" s="40"/>
      <c r="I1000" s="40"/>
      <c r="J1000" s="40"/>
      <c r="K1000" s="40"/>
      <c r="L1000" s="40"/>
      <c r="M1000" s="40"/>
      <c r="N1000" s="40"/>
      <c r="O1000" s="40"/>
      <c r="P1000" s="40"/>
      <c r="Q1000" s="40"/>
      <c r="R1000" s="40"/>
      <c r="S1000" s="40"/>
      <c r="T1000" s="40"/>
      <c r="U1000" s="40"/>
      <c r="V1000" s="40"/>
      <c r="W1000" s="40"/>
      <c r="X1000" s="40"/>
      <c r="Y1000" s="40"/>
      <c r="Z1000" s="40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5"/>
  </cols>
  <sheetData>
    <row r="1" ht="23.25" customHeight="1">
      <c r="A1" s="1" t="str">
        <f>IFERROR(__xludf.DUMMYFUNCTION("QUERY(Listado!A:V, ""SELECT A, B WHERE S = 'NARANJA'"", 1)"),"IdJanij")</f>
        <v>IdJanij</v>
      </c>
      <c r="B1" s="1" t="str">
        <f>IFERROR(__xludf.DUMMYFUNCTION("""COMPUTED_VALUE"""),"Nombre")</f>
        <v>Nombre</v>
      </c>
    </row>
    <row r="2" ht="26.25" customHeight="1">
      <c r="A2" s="3">
        <f>IFERROR(__xludf.DUMMYFUNCTION("""COMPUTED_VALUE"""),134.0)</f>
        <v>134</v>
      </c>
      <c r="B2" s="4" t="str">
        <f>IFERROR(__xludf.DUMMYFUNCTION("""COMPUTED_VALUE"""),"Vera Kaplan")</f>
        <v>Vera Kaplan</v>
      </c>
    </row>
    <row r="3" ht="26.25" customHeight="1">
      <c r="A3" s="3">
        <f>IFERROR(__xludf.DUMMYFUNCTION("""COMPUTED_VALUE"""),161.0)</f>
        <v>161</v>
      </c>
      <c r="B3" s="4" t="str">
        <f>IFERROR(__xludf.DUMMYFUNCTION("""COMPUTED_VALUE"""),"Valentín Cohen")</f>
        <v>Valentín Cohen</v>
      </c>
    </row>
    <row r="4" ht="26.25" customHeight="1">
      <c r="A4" s="3">
        <f>IFERROR(__xludf.DUMMYFUNCTION("""COMPUTED_VALUE"""),137.0)</f>
        <v>137</v>
      </c>
      <c r="B4" s="4" t="str">
        <f>IFERROR(__xludf.DUMMYFUNCTION("""COMPUTED_VALUE"""),"Tomas Garbovetsky")</f>
        <v>Tomas Garbovetsky</v>
      </c>
    </row>
    <row r="5" ht="26.25" customHeight="1">
      <c r="A5" s="3">
        <f>IFERROR(__xludf.DUMMYFUNCTION("""COMPUTED_VALUE"""),100.0)</f>
        <v>100</v>
      </c>
      <c r="B5" s="4" t="str">
        <f>IFERROR(__xludf.DUMMYFUNCTION("""COMPUTED_VALUE"""),"Tomas Gameroff")</f>
        <v>Tomas Gameroff</v>
      </c>
    </row>
    <row r="6" ht="26.25" customHeight="1">
      <c r="A6" s="3">
        <f>IFERROR(__xludf.DUMMYFUNCTION("""COMPUTED_VALUE"""),150.0)</f>
        <v>150</v>
      </c>
      <c r="B6" s="4" t="str">
        <f>IFERROR(__xludf.DUMMYFUNCTION("""COMPUTED_VALUE"""),"Tobias Karpeliowski")</f>
        <v>Tobias Karpeliowski</v>
      </c>
    </row>
    <row r="7" ht="26.25" customHeight="1">
      <c r="A7" s="12">
        <f>IFERROR(__xludf.DUMMYFUNCTION("""COMPUTED_VALUE"""),165.0)</f>
        <v>165</v>
      </c>
      <c r="B7" s="4" t="str">
        <f>IFERROR(__xludf.DUMMYFUNCTION("""COMPUTED_VALUE"""),"Tobias Ciepelinski")</f>
        <v>Tobias Ciepelinski</v>
      </c>
    </row>
    <row r="8" ht="26.25" customHeight="1">
      <c r="A8" s="3">
        <f>IFERROR(__xludf.DUMMYFUNCTION("""COMPUTED_VALUE"""),183.0)</f>
        <v>183</v>
      </c>
      <c r="B8" s="4" t="str">
        <f>IFERROR(__xludf.DUMMYFUNCTION("""COMPUTED_VALUE"""),"Tobias Chame")</f>
        <v>Tobias Chame</v>
      </c>
    </row>
    <row r="9" ht="26.25" customHeight="1">
      <c r="A9" s="3">
        <f>IFERROR(__xludf.DUMMYFUNCTION("""COMPUTED_VALUE"""),193.0)</f>
        <v>193</v>
      </c>
      <c r="B9" s="4" t="str">
        <f>IFERROR(__xludf.DUMMYFUNCTION("""COMPUTED_VALUE"""),"Tiziana Mida")</f>
        <v>Tiziana Mida</v>
      </c>
    </row>
    <row r="10" ht="26.25" customHeight="1">
      <c r="A10" s="12">
        <f>IFERROR(__xludf.DUMMYFUNCTION("""COMPUTED_VALUE"""),143.0)</f>
        <v>143</v>
      </c>
      <c r="B10" s="4" t="str">
        <f>IFERROR(__xludf.DUMMYFUNCTION("""COMPUTED_VALUE"""),"Sol Wolff")</f>
        <v>Sol Wolff</v>
      </c>
    </row>
    <row r="11" ht="26.25" customHeight="1">
      <c r="A11" s="3">
        <f>IFERROR(__xludf.DUMMYFUNCTION("""COMPUTED_VALUE"""),199.0)</f>
        <v>199</v>
      </c>
      <c r="B11" s="4" t="str">
        <f>IFERROR(__xludf.DUMMYFUNCTION("""COMPUTED_VALUE"""),"Sofía Roffé")</f>
        <v>Sofía Roffé</v>
      </c>
    </row>
    <row r="12" ht="26.25" customHeight="1">
      <c r="A12" s="3">
        <f>IFERROR(__xludf.DUMMYFUNCTION("""COMPUTED_VALUE"""),212.0)</f>
        <v>212</v>
      </c>
      <c r="B12" s="4" t="str">
        <f>IFERROR(__xludf.DUMMYFUNCTION("""COMPUTED_VALUE"""),"Simón Joab")</f>
        <v>Simón Joab</v>
      </c>
    </row>
    <row r="13" ht="26.25" customHeight="1">
      <c r="A13" s="3">
        <f>IFERROR(__xludf.DUMMYFUNCTION("""COMPUTED_VALUE"""),142.0)</f>
        <v>142</v>
      </c>
      <c r="B13" s="4" t="str">
        <f>IFERROR(__xludf.DUMMYFUNCTION("""COMPUTED_VALUE"""),"Santino Toimaher")</f>
        <v>Santino Toimaher</v>
      </c>
    </row>
    <row r="14" ht="26.25" customHeight="1">
      <c r="A14" s="3">
        <f>IFERROR(__xludf.DUMMYFUNCTION("""COMPUTED_VALUE"""),202.0)</f>
        <v>202</v>
      </c>
      <c r="B14" s="4" t="str">
        <f>IFERROR(__xludf.DUMMYFUNCTION("""COMPUTED_VALUE"""),"Roy Alhadeff")</f>
        <v>Roy Alhadeff</v>
      </c>
    </row>
    <row r="15" ht="26.25" customHeight="1">
      <c r="A15" s="3">
        <f>IFERROR(__xludf.DUMMYFUNCTION("""COMPUTED_VALUE"""),156.0)</f>
        <v>156</v>
      </c>
      <c r="B15" s="4" t="str">
        <f>IFERROR(__xludf.DUMMYFUNCTION("""COMPUTED_VALUE"""),"Paula Kuligowski")</f>
        <v>Paula Kuligowski</v>
      </c>
    </row>
    <row r="16" ht="26.25" customHeight="1">
      <c r="A16" s="3">
        <f>IFERROR(__xludf.DUMMYFUNCTION("""COMPUTED_VALUE"""),117.0)</f>
        <v>117</v>
      </c>
      <c r="B16" s="4" t="str">
        <f>IFERROR(__xludf.DUMMYFUNCTION("""COMPUTED_VALUE"""),"Nicolás Faintich")</f>
        <v>Nicolás Faintich</v>
      </c>
    </row>
    <row r="17" ht="26.25" customHeight="1">
      <c r="A17" s="3">
        <f>IFERROR(__xludf.DUMMYFUNCTION("""COMPUTED_VALUE"""),164.0)</f>
        <v>164</v>
      </c>
      <c r="B17" s="4" t="str">
        <f>IFERROR(__xludf.DUMMYFUNCTION("""COMPUTED_VALUE"""),"Mijal Rybnik")</f>
        <v>Mijal Rybnik</v>
      </c>
    </row>
    <row r="18" ht="26.25" customHeight="1">
      <c r="A18" s="3">
        <f>IFERROR(__xludf.DUMMYFUNCTION("""COMPUTED_VALUE"""),157.0)</f>
        <v>157</v>
      </c>
      <c r="B18" s="4" t="str">
        <f>IFERROR(__xludf.DUMMYFUNCTION("""COMPUTED_VALUE"""),"Mía Kritzer")</f>
        <v>Mía Kritzer</v>
      </c>
    </row>
    <row r="19" ht="26.25" customHeight="1">
      <c r="A19" s="3">
        <f>IFERROR(__xludf.DUMMYFUNCTION("""COMPUTED_VALUE"""),133.0)</f>
        <v>133</v>
      </c>
      <c r="B19" s="4" t="str">
        <f>IFERROR(__xludf.DUMMYFUNCTION("""COMPUTED_VALUE"""),"Meital Stolarza")</f>
        <v>Meital Stolarza</v>
      </c>
    </row>
    <row r="20" ht="26.25" customHeight="1">
      <c r="A20" s="3">
        <f>IFERROR(__xludf.DUMMYFUNCTION("""COMPUTED_VALUE"""),115.0)</f>
        <v>115</v>
      </c>
      <c r="B20" s="4" t="str">
        <f>IFERROR(__xludf.DUMMYFUNCTION("""COMPUTED_VALUE"""),"Máxima Epelbaum")</f>
        <v>Máxima Epelbaum</v>
      </c>
    </row>
    <row r="21" ht="26.25" customHeight="1">
      <c r="A21" s="3">
        <f>IFERROR(__xludf.DUMMYFUNCTION("""COMPUTED_VALUE"""),196.0)</f>
        <v>196</v>
      </c>
      <c r="B21" s="4" t="str">
        <f>IFERROR(__xludf.DUMMYFUNCTION("""COMPUTED_VALUE"""),"Matías Moguelevsky")</f>
        <v>Matías Moguelevsky</v>
      </c>
    </row>
    <row r="22" ht="26.25" customHeight="1">
      <c r="A22" s="3">
        <f>IFERROR(__xludf.DUMMYFUNCTION("""COMPUTED_VALUE"""),171.0)</f>
        <v>171</v>
      </c>
      <c r="B22" s="4" t="str">
        <f>IFERROR(__xludf.DUMMYFUNCTION("""COMPUTED_VALUE"""),"Matias Lati")</f>
        <v>Matias Lati</v>
      </c>
    </row>
    <row r="23" ht="26.25" customHeight="1">
      <c r="A23" s="3">
        <f>IFERROR(__xludf.DUMMYFUNCTION("""COMPUTED_VALUE"""),177.0)</f>
        <v>177</v>
      </c>
      <c r="B23" s="4" t="str">
        <f>IFERROR(__xludf.DUMMYFUNCTION("""COMPUTED_VALUE"""),"Manuel Karszenbaum")</f>
        <v>Manuel Karszenbaum</v>
      </c>
    </row>
    <row r="24" ht="26.25" customHeight="1">
      <c r="A24" s="3">
        <f>IFERROR(__xludf.DUMMYFUNCTION("""COMPUTED_VALUE"""),136.0)</f>
        <v>136</v>
      </c>
      <c r="B24" s="4" t="str">
        <f>IFERROR(__xludf.DUMMYFUNCTION("""COMPUTED_VALUE"""),"Manuel Hojman")</f>
        <v>Manuel Hojman</v>
      </c>
    </row>
    <row r="25" ht="26.25" customHeight="1">
      <c r="A25" s="3">
        <f>IFERROR(__xludf.DUMMYFUNCTION("""COMPUTED_VALUE"""),124.0)</f>
        <v>124</v>
      </c>
      <c r="B25" s="4" t="str">
        <f>IFERROR(__xludf.DUMMYFUNCTION("""COMPUTED_VALUE"""),"Lucas Faifman")</f>
        <v>Lucas Faifman</v>
      </c>
    </row>
    <row r="26" ht="26.25" customHeight="1">
      <c r="A26" s="3">
        <f>IFERROR(__xludf.DUMMYFUNCTION("""COMPUTED_VALUE"""),132.0)</f>
        <v>132</v>
      </c>
      <c r="B26" s="4" t="str">
        <f>IFERROR(__xludf.DUMMYFUNCTION("""COMPUTED_VALUE"""),"Lola Ini")</f>
        <v>Lola Ini</v>
      </c>
    </row>
    <row r="27" ht="26.25" customHeight="1">
      <c r="A27" s="3">
        <f>IFERROR(__xludf.DUMMYFUNCTION("""COMPUTED_VALUE"""),102.0)</f>
        <v>102</v>
      </c>
      <c r="B27" s="4" t="str">
        <f>IFERROR(__xludf.DUMMYFUNCTION("""COMPUTED_VALUE"""),"Lola Hecht")</f>
        <v>Lola Hecht</v>
      </c>
    </row>
    <row r="28" ht="26.25" customHeight="1">
      <c r="A28" s="3">
        <f>IFERROR(__xludf.DUMMYFUNCTION("""COMPUTED_VALUE"""),181.0)</f>
        <v>181</v>
      </c>
      <c r="B28" s="4" t="str">
        <f>IFERROR(__xludf.DUMMYFUNCTION("""COMPUTED_VALUE"""),"Kyara Micaela Trufelman")</f>
        <v>Kyara Micaela Trufelman</v>
      </c>
    </row>
    <row r="29" ht="26.25" customHeight="1">
      <c r="A29" s="3">
        <f>IFERROR(__xludf.DUMMYFUNCTION("""COMPUTED_VALUE"""),128.0)</f>
        <v>128</v>
      </c>
      <c r="B29" s="4" t="str">
        <f>IFERROR(__xludf.DUMMYFUNCTION("""COMPUTED_VALUE"""),"Kiara Levin")</f>
        <v>Kiara Levin</v>
      </c>
    </row>
    <row r="30" ht="26.25" customHeight="1">
      <c r="A30" s="3">
        <f>IFERROR(__xludf.DUMMYFUNCTION("""COMPUTED_VALUE"""),129.0)</f>
        <v>129</v>
      </c>
      <c r="B30" s="4" t="str">
        <f>IFERROR(__xludf.DUMMYFUNCTION("""COMPUTED_VALUE"""),"Julieta Romano")</f>
        <v>Julieta Romano</v>
      </c>
    </row>
    <row r="31" ht="26.25" customHeight="1">
      <c r="A31" s="3">
        <f>IFERROR(__xludf.DUMMYFUNCTION("""COMPUTED_VALUE"""),178.0)</f>
        <v>178</v>
      </c>
      <c r="B31" s="4" t="str">
        <f>IFERROR(__xludf.DUMMYFUNCTION("""COMPUTED_VALUE"""),"Julieta Kowenski")</f>
        <v>Julieta Kowenski</v>
      </c>
    </row>
    <row r="32" ht="26.25" customHeight="1">
      <c r="A32" s="3">
        <f>IFERROR(__xludf.DUMMYFUNCTION("""COMPUTED_VALUE"""),111.0)</f>
        <v>111</v>
      </c>
      <c r="B32" s="4" t="str">
        <f>IFERROR(__xludf.DUMMYFUNCTION("""COMPUTED_VALUE"""),"Julian Blumberg")</f>
        <v>Julian Blumberg</v>
      </c>
    </row>
    <row r="33" ht="26.25" customHeight="1">
      <c r="A33" s="3">
        <f>IFERROR(__xludf.DUMMYFUNCTION("""COMPUTED_VALUE"""),107.0)</f>
        <v>107</v>
      </c>
      <c r="B33" s="4" t="str">
        <f>IFERROR(__xludf.DUMMYFUNCTION("""COMPUTED_VALUE"""),"Juli Menace")</f>
        <v>Juli Menace</v>
      </c>
    </row>
    <row r="34" ht="26.25" customHeight="1">
      <c r="A34" s="3">
        <f>IFERROR(__xludf.DUMMYFUNCTION("""COMPUTED_VALUE"""),219.0)</f>
        <v>219</v>
      </c>
      <c r="B34" s="4" t="str">
        <f>IFERROR(__xludf.DUMMYFUNCTION("""COMPUTED_VALUE"""),"Juana Mariñansky")</f>
        <v>Juana Mariñansky</v>
      </c>
    </row>
    <row r="35" ht="26.25" customHeight="1">
      <c r="A35" s="3">
        <f>IFERROR(__xludf.DUMMYFUNCTION("""COMPUTED_VALUE"""),109.0)</f>
        <v>109</v>
      </c>
      <c r="B35" s="4" t="str">
        <f>IFERROR(__xludf.DUMMYFUNCTION("""COMPUTED_VALUE"""),"Joaquín Iglesias Baum")</f>
        <v>Joaquín Iglesias Baum</v>
      </c>
    </row>
    <row r="36" ht="26.25" customHeight="1">
      <c r="A36" s="3">
        <f>IFERROR(__xludf.DUMMYFUNCTION("""COMPUTED_VALUE"""),217.0)</f>
        <v>217</v>
      </c>
      <c r="B36" s="4" t="str">
        <f>IFERROR(__xludf.DUMMYFUNCTION("""COMPUTED_VALUE"""),"Iara Schestenger")</f>
        <v>Iara Schestenger</v>
      </c>
    </row>
    <row r="37" ht="26.25" customHeight="1">
      <c r="A37" s="3">
        <f>IFERROR(__xludf.DUMMYFUNCTION("""COMPUTED_VALUE"""),211.0)</f>
        <v>211</v>
      </c>
      <c r="B37" s="4" t="str">
        <f>IFERROR(__xludf.DUMMYFUNCTION("""COMPUTED_VALUE"""),"Iara Cohen Lozie")</f>
        <v>Iara Cohen Lozie</v>
      </c>
    </row>
    <row r="38" ht="26.25" customHeight="1">
      <c r="A38" s="3">
        <f>IFERROR(__xludf.DUMMYFUNCTION("""COMPUTED_VALUE"""),120.0)</f>
        <v>120</v>
      </c>
      <c r="B38" s="4" t="str">
        <f>IFERROR(__xludf.DUMMYFUNCTION("""COMPUTED_VALUE"""),"Gael Goses")</f>
        <v>Gael Goses</v>
      </c>
    </row>
    <row r="39" ht="26.25" customHeight="1">
      <c r="A39" s="3">
        <f>IFERROR(__xludf.DUMMYFUNCTION("""COMPUTED_VALUE"""),184.0)</f>
        <v>184</v>
      </c>
      <c r="B39" s="4" t="str">
        <f>IFERROR(__xludf.DUMMYFUNCTION("""COMPUTED_VALUE"""),"Florencia Panczuch")</f>
        <v>Florencia Panczuch</v>
      </c>
    </row>
    <row r="40" ht="26.25" customHeight="1">
      <c r="A40" s="3">
        <f>IFERROR(__xludf.DUMMYFUNCTION("""COMPUTED_VALUE"""),155.0)</f>
        <v>155</v>
      </c>
      <c r="B40" s="4" t="str">
        <f>IFERROR(__xludf.DUMMYFUNCTION("""COMPUTED_VALUE"""),"Flor Naiman")</f>
        <v>Flor Naiman</v>
      </c>
    </row>
    <row r="41" ht="26.25" customHeight="1">
      <c r="A41" s="3">
        <f>IFERROR(__xludf.DUMMYFUNCTION("""COMPUTED_VALUE"""),101.0)</f>
        <v>101</v>
      </c>
      <c r="B41" s="4" t="str">
        <f>IFERROR(__xludf.DUMMYFUNCTION("""COMPUTED_VALUE"""),"Federico Jalife")</f>
        <v>Federico Jalife</v>
      </c>
    </row>
    <row r="42" ht="26.25" customHeight="1">
      <c r="A42" s="3">
        <f>IFERROR(__xludf.DUMMYFUNCTION("""COMPUTED_VALUE"""),174.0)</f>
        <v>174</v>
      </c>
      <c r="B42" s="13" t="str">
        <f>IFERROR(__xludf.DUMMYFUNCTION("""COMPUTED_VALUE"""),"Delfina Divinsky")</f>
        <v>Delfina Divinsky</v>
      </c>
    </row>
    <row r="43" ht="26.25" customHeight="1">
      <c r="A43" s="3">
        <f>IFERROR(__xludf.DUMMYFUNCTION("""COMPUTED_VALUE"""),166.0)</f>
        <v>166</v>
      </c>
      <c r="B43" s="4" t="str">
        <f>IFERROR(__xludf.DUMMYFUNCTION("""COMPUTED_VALUE"""),"Daniel Zymerman")</f>
        <v>Daniel Zymerman</v>
      </c>
    </row>
    <row r="44" ht="26.25" customHeight="1">
      <c r="A44" s="3">
        <f>IFERROR(__xludf.DUMMYFUNCTION("""COMPUTED_VALUE"""),179.0)</f>
        <v>179</v>
      </c>
      <c r="B44" s="4" t="str">
        <f>IFERROR(__xludf.DUMMYFUNCTION("""COMPUTED_VALUE"""),"Bianca Kipershmit")</f>
        <v>Bianca Kipershmit</v>
      </c>
    </row>
    <row r="45" ht="26.25" customHeight="1">
      <c r="A45" s="3">
        <f>IFERROR(__xludf.DUMMYFUNCTION("""COMPUTED_VALUE"""),175.0)</f>
        <v>175</v>
      </c>
      <c r="B45" s="13" t="str">
        <f>IFERROR(__xludf.DUMMYFUNCTION("""COMPUTED_VALUE"""),"Alexander Safdieh")</f>
        <v>Alexander Safdieh</v>
      </c>
    </row>
    <row r="46" ht="26.25" customHeight="1">
      <c r="A46" s="3">
        <f>IFERROR(__xludf.DUMMYFUNCTION("""COMPUTED_VALUE"""),141.0)</f>
        <v>141</v>
      </c>
      <c r="B46" s="4" t="str">
        <f>IFERROR(__xludf.DUMMYFUNCTION("""COMPUTED_VALUE"""),"Alan Shifman")</f>
        <v>Alan Shifman</v>
      </c>
    </row>
    <row r="47" ht="26.25" customHeight="1">
      <c r="A47" s="3">
        <f>IFERROR(__xludf.DUMMYFUNCTION("""COMPUTED_VALUE"""),173.0)</f>
        <v>173</v>
      </c>
      <c r="B47" s="4" t="str">
        <f>IFERROR(__xludf.DUMMYFUNCTION("""COMPUTED_VALUE"""),"Agustín Stenta samelnik")</f>
        <v>Agustín Stenta samelnik</v>
      </c>
    </row>
    <row r="48" ht="26.25" customHeight="1">
      <c r="A48" s="3">
        <f>IFERROR(__xludf.DUMMYFUNCTION("""COMPUTED_VALUE"""),118.0)</f>
        <v>118</v>
      </c>
      <c r="B48" s="4" t="str">
        <f>IFERROR(__xludf.DUMMYFUNCTION("""COMPUTED_VALUE"""),"Agustin Said")</f>
        <v>Agustin Said</v>
      </c>
    </row>
    <row r="49" ht="26.25" customHeight="1">
      <c r="A49" s="3"/>
      <c r="B49" s="4"/>
    </row>
    <row r="50" ht="26.25" customHeight="1">
      <c r="A50" s="3"/>
      <c r="B50" s="4"/>
    </row>
  </sheetData>
  <autoFilter ref="$A$1:$B$50">
    <sortState ref="A1:B50">
      <sortCondition ref="B1:B50"/>
    </sortState>
  </autoFil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5"/>
  </cols>
  <sheetData>
    <row r="1" ht="23.25" customHeight="1">
      <c r="A1" s="73" t="str">
        <f>IFERROR(__xludf.DUMMYFUNCTION("QUERY(Listado!A:V, ""SELECT A, B WHERE S = 'AZUL'"", 1)"),"IdJanij")</f>
        <v>IdJanij</v>
      </c>
      <c r="B1" s="73" t="str">
        <f>IFERROR(__xludf.DUMMYFUNCTION("""COMPUTED_VALUE"""),"Nombre")</f>
        <v>Nombre</v>
      </c>
    </row>
    <row r="2" ht="26.25" customHeight="1">
      <c r="A2" s="74">
        <f>IFERROR(__xludf.DUMMYFUNCTION("""COMPUTED_VALUE"""),170.0)</f>
        <v>170</v>
      </c>
      <c r="B2" s="75" t="str">
        <f>IFERROR(__xludf.DUMMYFUNCTION("""COMPUTED_VALUE"""),"Victoria Mizrahi")</f>
        <v>Victoria Mizrahi</v>
      </c>
    </row>
    <row r="3" ht="26.25" customHeight="1">
      <c r="A3" s="74">
        <f>IFERROR(__xludf.DUMMYFUNCTION("""COMPUTED_VALUE"""),127.0)</f>
        <v>127</v>
      </c>
      <c r="B3" s="75" t="str">
        <f>IFERROR(__xludf.DUMMYFUNCTION("""COMPUTED_VALUE"""),"Tomas Alma")</f>
        <v>Tomas Alma</v>
      </c>
    </row>
    <row r="4" ht="26.25" customHeight="1">
      <c r="A4" s="74">
        <f>IFERROR(__xludf.DUMMYFUNCTION("""COMPUTED_VALUE"""),218.0)</f>
        <v>218</v>
      </c>
      <c r="B4" s="75" t="str">
        <f>IFERROR(__xludf.DUMMYFUNCTION("""COMPUTED_VALUE"""),"Tobias Losicer")</f>
        <v>Tobias Losicer</v>
      </c>
    </row>
    <row r="5" ht="26.25" customHeight="1">
      <c r="A5" s="74">
        <f>IFERROR(__xludf.DUMMYFUNCTION("""COMPUTED_VALUE"""),110.0)</f>
        <v>110</v>
      </c>
      <c r="B5" s="75" t="str">
        <f>IFERROR(__xludf.DUMMYFUNCTION("""COMPUTED_VALUE"""),"Thiago Wagner")</f>
        <v>Thiago Wagner</v>
      </c>
    </row>
    <row r="6" ht="26.25" customHeight="1">
      <c r="A6" s="74">
        <f>IFERROR(__xludf.DUMMYFUNCTION("""COMPUTED_VALUE"""),207.0)</f>
        <v>207</v>
      </c>
      <c r="B6" s="75" t="str">
        <f>IFERROR(__xludf.DUMMYFUNCTION("""COMPUTED_VALUE"""),"Tatiana Schijman")</f>
        <v>Tatiana Schijman</v>
      </c>
    </row>
    <row r="7" ht="26.25" customHeight="1">
      <c r="A7" s="74">
        <f>IFERROR(__xludf.DUMMYFUNCTION("""COMPUTED_VALUE"""),197.0)</f>
        <v>197</v>
      </c>
      <c r="B7" s="75" t="str">
        <f>IFERROR(__xludf.DUMMYFUNCTION("""COMPUTED_VALUE"""),"Tatiana Baratz")</f>
        <v>Tatiana Baratz</v>
      </c>
    </row>
    <row r="8" ht="26.25" customHeight="1">
      <c r="A8" s="74">
        <f>IFERROR(__xludf.DUMMYFUNCTION("""COMPUTED_VALUE"""),215.0)</f>
        <v>215</v>
      </c>
      <c r="B8" s="75" t="str">
        <f>IFERROR(__xludf.DUMMYFUNCTION("""COMPUTED_VALUE"""),"Tali Avram")</f>
        <v>Tali Avram</v>
      </c>
    </row>
    <row r="9" ht="26.25" customHeight="1">
      <c r="A9" s="74">
        <f>IFERROR(__xludf.DUMMYFUNCTION("""COMPUTED_VALUE"""),108.0)</f>
        <v>108</v>
      </c>
      <c r="B9" s="75" t="str">
        <f>IFERROR(__xludf.DUMMYFUNCTION("""COMPUTED_VALUE"""),"Sol Teplisky")</f>
        <v>Sol Teplisky</v>
      </c>
    </row>
    <row r="10" ht="26.25" customHeight="1">
      <c r="A10" s="76">
        <f>IFERROR(__xludf.DUMMYFUNCTION("""COMPUTED_VALUE"""),125.0)</f>
        <v>125</v>
      </c>
      <c r="B10" s="75" t="str">
        <f>IFERROR(__xludf.DUMMYFUNCTION("""COMPUTED_VALUE"""),"Sofia Kartofel")</f>
        <v>Sofia Kartofel</v>
      </c>
    </row>
    <row r="11" ht="26.25" customHeight="1">
      <c r="A11" s="74">
        <f>IFERROR(__xludf.DUMMYFUNCTION("""COMPUTED_VALUE"""),205.0)</f>
        <v>205</v>
      </c>
      <c r="B11" s="75" t="str">
        <f>IFERROR(__xludf.DUMMYFUNCTION("""COMPUTED_VALUE"""),"Santiago Biman")</f>
        <v>Santiago Biman</v>
      </c>
    </row>
    <row r="12" ht="26.25" customHeight="1">
      <c r="A12" s="76">
        <f>IFERROR(__xludf.DUMMYFUNCTION("""COMPUTED_VALUE"""),159.0)</f>
        <v>159</v>
      </c>
      <c r="B12" s="75" t="str">
        <f>IFERROR(__xludf.DUMMYFUNCTION("""COMPUTED_VALUE"""),"Rocco Erlich")</f>
        <v>Rocco Erlich</v>
      </c>
    </row>
    <row r="13" ht="26.25" customHeight="1">
      <c r="A13" s="74">
        <f>IFERROR(__xludf.DUMMYFUNCTION("""COMPUTED_VALUE"""),182.0)</f>
        <v>182</v>
      </c>
      <c r="B13" s="75" t="str">
        <f>IFERROR(__xludf.DUMMYFUNCTION("""COMPUTED_VALUE"""),"Ramiro Kosower")</f>
        <v>Ramiro Kosower</v>
      </c>
    </row>
    <row r="14" ht="26.25" customHeight="1">
      <c r="A14" s="76">
        <f>IFERROR(__xludf.DUMMYFUNCTION("""COMPUTED_VALUE"""),194.0)</f>
        <v>194</v>
      </c>
      <c r="B14" s="75" t="str">
        <f>IFERROR(__xludf.DUMMYFUNCTION("""COMPUTED_VALUE"""),"Piera Elman")</f>
        <v>Piera Elman</v>
      </c>
    </row>
    <row r="15" ht="26.25" customHeight="1">
      <c r="A15" s="74">
        <f>IFERROR(__xludf.DUMMYFUNCTION("""COMPUTED_VALUE"""),149.0)</f>
        <v>149</v>
      </c>
      <c r="B15" s="75" t="str">
        <f>IFERROR(__xludf.DUMMYFUNCTION("""COMPUTED_VALUE"""),"Noah Szejer")</f>
        <v>Noah Szejer</v>
      </c>
    </row>
    <row r="16" ht="26.25" customHeight="1">
      <c r="A16" s="74">
        <f>IFERROR(__xludf.DUMMYFUNCTION("""COMPUTED_VALUE"""),203.0)</f>
        <v>203</v>
      </c>
      <c r="B16" s="75" t="str">
        <f>IFERROR(__xludf.DUMMYFUNCTION("""COMPUTED_VALUE"""),"Nicolás Topor")</f>
        <v>Nicolás Topor</v>
      </c>
    </row>
    <row r="17" ht="26.25" customHeight="1">
      <c r="A17" s="74">
        <f>IFERROR(__xludf.DUMMYFUNCTION("""COMPUTED_VALUE"""),208.0)</f>
        <v>208</v>
      </c>
      <c r="B17" s="75" t="str">
        <f>IFERROR(__xludf.DUMMYFUNCTION("""COMPUTED_VALUE"""),"Milena Aizenberg")</f>
        <v>Milena Aizenberg</v>
      </c>
    </row>
    <row r="18" ht="26.25" customHeight="1">
      <c r="A18" s="74">
        <f>IFERROR(__xludf.DUMMYFUNCTION("""COMPUTED_VALUE"""),192.0)</f>
        <v>192</v>
      </c>
      <c r="B18" s="75" t="str">
        <f>IFERROR(__xludf.DUMMYFUNCTION("""COMPUTED_VALUE"""),"Mia Roizenberg")</f>
        <v>Mia Roizenberg</v>
      </c>
    </row>
    <row r="19" ht="26.25" customHeight="1">
      <c r="A19" s="74">
        <f>IFERROR(__xludf.DUMMYFUNCTION("""COMPUTED_VALUE"""),190.0)</f>
        <v>190</v>
      </c>
      <c r="B19" s="75" t="str">
        <f>IFERROR(__xludf.DUMMYFUNCTION("""COMPUTED_VALUE"""),"Melina Gossis")</f>
        <v>Melina Gossis</v>
      </c>
    </row>
    <row r="20" ht="26.25" customHeight="1">
      <c r="A20" s="74">
        <f>IFERROR(__xludf.DUMMYFUNCTION("""COMPUTED_VALUE"""),152.0)</f>
        <v>152</v>
      </c>
      <c r="B20" s="75" t="str">
        <f>IFERROR(__xludf.DUMMYFUNCTION("""COMPUTED_VALUE"""),"Matias Trufelman")</f>
        <v>Matias Trufelman</v>
      </c>
    </row>
    <row r="21" ht="26.25" customHeight="1">
      <c r="A21" s="74">
        <f>IFERROR(__xludf.DUMMYFUNCTION("""COMPUTED_VALUE"""),189.0)</f>
        <v>189</v>
      </c>
      <c r="B21" s="75" t="str">
        <f>IFERROR(__xludf.DUMMYFUNCTION("""COMPUTED_VALUE"""),"Matias Sabbagh")</f>
        <v>Matias Sabbagh</v>
      </c>
    </row>
    <row r="22" ht="26.25" customHeight="1">
      <c r="A22" s="74">
        <f>IFERROR(__xludf.DUMMYFUNCTION("""COMPUTED_VALUE"""),210.0)</f>
        <v>210</v>
      </c>
      <c r="B22" s="75" t="str">
        <f>IFERROR(__xludf.DUMMYFUNCTION("""COMPUTED_VALUE"""),"Matías Jukielis")</f>
        <v>Matías Jukielis</v>
      </c>
    </row>
    <row r="23" ht="26.25" customHeight="1">
      <c r="A23" s="74">
        <f>IFERROR(__xludf.DUMMYFUNCTION("""COMPUTED_VALUE"""),122.0)</f>
        <v>122</v>
      </c>
      <c r="B23" s="75" t="str">
        <f>IFERROR(__xludf.DUMMYFUNCTION("""COMPUTED_VALUE"""),"Matías Aizenberg")</f>
        <v>Matías Aizenberg</v>
      </c>
    </row>
    <row r="24" ht="26.25" customHeight="1">
      <c r="A24" s="74">
        <f>IFERROR(__xludf.DUMMYFUNCTION("""COMPUTED_VALUE"""),186.0)</f>
        <v>186</v>
      </c>
      <c r="B24" s="75" t="str">
        <f>IFERROR(__xludf.DUMMYFUNCTION("""COMPUTED_VALUE"""),"Martina Drucaroff")</f>
        <v>Martina Drucaroff</v>
      </c>
    </row>
    <row r="25" ht="26.25" customHeight="1">
      <c r="A25" s="74">
        <f>IFERROR(__xludf.DUMMYFUNCTION("""COMPUTED_VALUE"""),201.0)</f>
        <v>201</v>
      </c>
      <c r="B25" s="75" t="str">
        <f>IFERROR(__xludf.DUMMYFUNCTION("""COMPUTED_VALUE"""),"Martin Poniachik")</f>
        <v>Martin Poniachik</v>
      </c>
    </row>
    <row r="26" ht="26.25" customHeight="1">
      <c r="A26" s="74">
        <f>IFERROR(__xludf.DUMMYFUNCTION("""COMPUTED_VALUE"""),153.0)</f>
        <v>153</v>
      </c>
      <c r="B26" s="75" t="str">
        <f>IFERROR(__xludf.DUMMYFUNCTION("""COMPUTED_VALUE"""),"Martín Berenstein")</f>
        <v>Martín Berenstein</v>
      </c>
    </row>
    <row r="27" ht="26.25" customHeight="1">
      <c r="A27" s="74">
        <f>IFERROR(__xludf.DUMMYFUNCTION("""COMPUTED_VALUE"""),160.0)</f>
        <v>160</v>
      </c>
      <c r="B27" s="75" t="str">
        <f>IFERROR(__xludf.DUMMYFUNCTION("""COMPUTED_VALUE"""),"Maia Schuster")</f>
        <v>Maia Schuster</v>
      </c>
    </row>
    <row r="28" ht="26.25" customHeight="1">
      <c r="A28" s="74">
        <f>IFERROR(__xludf.DUMMYFUNCTION("""COMPUTED_VALUE"""),167.0)</f>
        <v>167</v>
      </c>
      <c r="B28" s="75" t="str">
        <f>IFERROR(__xludf.DUMMYFUNCTION("""COMPUTED_VALUE"""),"Magalí Waldfogiel")</f>
        <v>Magalí Waldfogiel</v>
      </c>
    </row>
    <row r="29" ht="26.25" customHeight="1">
      <c r="A29" s="74">
        <f>IFERROR(__xludf.DUMMYFUNCTION("""COMPUTED_VALUE"""),144.0)</f>
        <v>144</v>
      </c>
      <c r="B29" s="75" t="str">
        <f>IFERROR(__xludf.DUMMYFUNCTION("""COMPUTED_VALUE"""),"Luna rausch")</f>
        <v>Luna rausch</v>
      </c>
    </row>
    <row r="30" ht="26.25" customHeight="1">
      <c r="A30" s="74">
        <f>IFERROR(__xludf.DUMMYFUNCTION("""COMPUTED_VALUE"""),158.0)</f>
        <v>158</v>
      </c>
      <c r="B30" s="75" t="str">
        <f>IFERROR(__xludf.DUMMYFUNCTION("""COMPUTED_VALUE"""),"Lucia Levita Slafer")</f>
        <v>Lucia Levita Slafer</v>
      </c>
    </row>
    <row r="31" ht="26.25" customHeight="1">
      <c r="A31" s="74">
        <f>IFERROR(__xludf.DUMMYFUNCTION("""COMPUTED_VALUE"""),113.0)</f>
        <v>113</v>
      </c>
      <c r="B31" s="75" t="str">
        <f>IFERROR(__xludf.DUMMYFUNCTION("""COMPUTED_VALUE"""),"Luca Melman")</f>
        <v>Luca Melman</v>
      </c>
    </row>
    <row r="32" ht="26.25" customHeight="1">
      <c r="A32" s="74">
        <f>IFERROR(__xludf.DUMMYFUNCTION("""COMPUTED_VALUE"""),121.0)</f>
        <v>121</v>
      </c>
      <c r="B32" s="75" t="str">
        <f>IFERROR(__xludf.DUMMYFUNCTION("""COMPUTED_VALUE"""),"Lautaro Yaffe")</f>
        <v>Lautaro Yaffe</v>
      </c>
    </row>
    <row r="33" ht="26.25" customHeight="1">
      <c r="A33" s="74">
        <f>IFERROR(__xludf.DUMMYFUNCTION("""COMPUTED_VALUE"""),103.0)</f>
        <v>103</v>
      </c>
      <c r="B33" s="75" t="str">
        <f>IFERROR(__xludf.DUMMYFUNCTION("""COMPUTED_VALUE"""),"Lari Belski")</f>
        <v>Lari Belski</v>
      </c>
    </row>
    <row r="34" ht="26.25" customHeight="1">
      <c r="A34" s="74">
        <f>IFERROR(__xludf.DUMMYFUNCTION("""COMPUTED_VALUE"""),198.0)</f>
        <v>198</v>
      </c>
      <c r="B34" s="75" t="str">
        <f>IFERROR(__xludf.DUMMYFUNCTION("""COMPUTED_VALUE"""),"Keyla Halac")</f>
        <v>Keyla Halac</v>
      </c>
    </row>
    <row r="35" ht="26.25" customHeight="1">
      <c r="A35" s="74">
        <f>IFERROR(__xludf.DUMMYFUNCTION("""COMPUTED_VALUE"""),168.0)</f>
        <v>168</v>
      </c>
      <c r="B35" s="75" t="str">
        <f>IFERROR(__xludf.DUMMYFUNCTION("""COMPUTED_VALUE"""),"Julieta Goldvaser")</f>
        <v>Julieta Goldvaser</v>
      </c>
    </row>
    <row r="36" ht="26.25" customHeight="1">
      <c r="A36" s="74">
        <f>IFERROR(__xludf.DUMMYFUNCTION("""COMPUTED_VALUE"""),146.0)</f>
        <v>146</v>
      </c>
      <c r="B36" s="75" t="str">
        <f>IFERROR(__xludf.DUMMYFUNCTION("""COMPUTED_VALUE"""),"Julieta Glotzer")</f>
        <v>Julieta Glotzer</v>
      </c>
    </row>
    <row r="37" ht="26.25" customHeight="1">
      <c r="A37" s="74">
        <f>IFERROR(__xludf.DUMMYFUNCTION("""COMPUTED_VALUE"""),151.0)</f>
        <v>151</v>
      </c>
      <c r="B37" s="75" t="str">
        <f>IFERROR(__xludf.DUMMYFUNCTION("""COMPUTED_VALUE"""),"Julieta Fischman")</f>
        <v>Julieta Fischman</v>
      </c>
    </row>
    <row r="38" ht="26.25" customHeight="1">
      <c r="A38" s="74">
        <f>IFERROR(__xludf.DUMMYFUNCTION("""COMPUTED_VALUE"""),221.0)</f>
        <v>221</v>
      </c>
      <c r="B38" s="75" t="str">
        <f>IFERROR(__xludf.DUMMYFUNCTION("""COMPUTED_VALUE"""),"Joaquin levy")</f>
        <v>Joaquin levy</v>
      </c>
    </row>
    <row r="39" ht="26.25" customHeight="1">
      <c r="A39" s="74">
        <f>IFERROR(__xludf.DUMMYFUNCTION("""COMPUTED_VALUE"""),204.0)</f>
        <v>204</v>
      </c>
      <c r="B39" s="77" t="str">
        <f>IFERROR(__xludf.DUMMYFUNCTION("""COMPUTED_VALUE"""),"Gian suli")</f>
        <v>Gian suli</v>
      </c>
    </row>
    <row r="40" ht="26.25" customHeight="1">
      <c r="A40" s="74">
        <f>IFERROR(__xludf.DUMMYFUNCTION("""COMPUTED_VALUE"""),195.0)</f>
        <v>195</v>
      </c>
      <c r="B40" s="75" t="str">
        <f>IFERROR(__xludf.DUMMYFUNCTION("""COMPUTED_VALUE"""),"Gael Gotfryd")</f>
        <v>Gael Gotfryd</v>
      </c>
    </row>
    <row r="41" ht="26.25" customHeight="1">
      <c r="A41" s="74">
        <f>IFERROR(__xludf.DUMMYFUNCTION("""COMPUTED_VALUE"""),135.0)</f>
        <v>135</v>
      </c>
      <c r="B41" s="77" t="str">
        <f>IFERROR(__xludf.DUMMYFUNCTION("""COMPUTED_VALUE"""),"Franco Minian")</f>
        <v>Franco Minian</v>
      </c>
    </row>
    <row r="42" ht="26.25" customHeight="1">
      <c r="A42" s="74">
        <f>IFERROR(__xludf.DUMMYFUNCTION("""COMPUTED_VALUE"""),169.0)</f>
        <v>169</v>
      </c>
      <c r="B42" s="75" t="str">
        <f>IFERROR(__xludf.DUMMYFUNCTION("""COMPUTED_VALUE"""),"Felipe Groshaus")</f>
        <v>Felipe Groshaus</v>
      </c>
    </row>
    <row r="43" ht="26.25" customHeight="1">
      <c r="A43" s="74">
        <f>IFERROR(__xludf.DUMMYFUNCTION("""COMPUTED_VALUE"""),140.0)</f>
        <v>140</v>
      </c>
      <c r="B43" s="77" t="str">
        <f>IFERROR(__xludf.DUMMYFUNCTION("""COMPUTED_VALUE"""),"Federico Borodovsky")</f>
        <v>Federico Borodovsky</v>
      </c>
    </row>
    <row r="44" ht="26.25" customHeight="1">
      <c r="A44" s="74">
        <f>IFERROR(__xludf.DUMMYFUNCTION("""COMPUTED_VALUE"""),188.0)</f>
        <v>188</v>
      </c>
      <c r="B44" s="75" t="str">
        <f>IFERROR(__xludf.DUMMYFUNCTION("""COMPUTED_VALUE"""),"Ezequiel Moguelevsky")</f>
        <v>Ezequiel Moguelevsky</v>
      </c>
    </row>
    <row r="45" ht="26.25" customHeight="1">
      <c r="A45" s="74">
        <f>IFERROR(__xludf.DUMMYFUNCTION("""COMPUTED_VALUE"""),216.0)</f>
        <v>216</v>
      </c>
      <c r="B45" s="75" t="str">
        <f>IFERROR(__xludf.DUMMYFUNCTION("""COMPUTED_VALUE"""),"Ezequiel Meseri")</f>
        <v>Ezequiel Meseri</v>
      </c>
    </row>
    <row r="46" ht="26.25" customHeight="1">
      <c r="A46" s="74">
        <f>IFERROR(__xludf.DUMMYFUNCTION("""COMPUTED_VALUE"""),104.0)</f>
        <v>104</v>
      </c>
      <c r="B46" s="75" t="str">
        <f>IFERROR(__xludf.DUMMYFUNCTION("""COMPUTED_VALUE"""),"Delfina Rosenberg")</f>
        <v>Delfina Rosenberg</v>
      </c>
    </row>
    <row r="47" ht="26.25" customHeight="1">
      <c r="A47" s="74">
        <f>IFERROR(__xludf.DUMMYFUNCTION("""COMPUTED_VALUE"""),145.0)</f>
        <v>145</v>
      </c>
      <c r="B47" s="75" t="str">
        <f>IFERROR(__xludf.DUMMYFUNCTION("""COMPUTED_VALUE"""),"Catalina Taitelbaun")</f>
        <v>Catalina Taitelbaun</v>
      </c>
    </row>
    <row r="48" ht="26.25" customHeight="1">
      <c r="A48" s="74">
        <f>IFERROR(__xludf.DUMMYFUNCTION("""COMPUTED_VALUE"""),116.0)</f>
        <v>116</v>
      </c>
      <c r="B48" s="75" t="str">
        <f>IFERROR(__xludf.DUMMYFUNCTION("""COMPUTED_VALUE"""),"Carolina Litvak")</f>
        <v>Carolina Litvak</v>
      </c>
    </row>
    <row r="49" ht="26.25" customHeight="1">
      <c r="A49" s="74">
        <f>IFERROR(__xludf.DUMMYFUNCTION("""COMPUTED_VALUE"""),123.0)</f>
        <v>123</v>
      </c>
      <c r="B49" s="75" t="str">
        <f>IFERROR(__xludf.DUMMYFUNCTION("""COMPUTED_VALUE"""),"Camila Rozanski")</f>
        <v>Camila Rozanski</v>
      </c>
    </row>
    <row r="50" ht="26.25" customHeight="1">
      <c r="A50" s="74">
        <f>IFERROR(__xludf.DUMMYFUNCTION("""COMPUTED_VALUE"""),180.0)</f>
        <v>180</v>
      </c>
      <c r="B50" s="75" t="str">
        <f>IFERROR(__xludf.DUMMYFUNCTION("""COMPUTED_VALUE"""),"Alejo Grinblat")</f>
        <v>Alejo Grinblat</v>
      </c>
    </row>
    <row r="51" ht="26.25" customHeight="1">
      <c r="A51" s="74">
        <f>IFERROR(__xludf.DUMMYFUNCTION("""COMPUTED_VALUE"""),138.0)</f>
        <v>138</v>
      </c>
      <c r="B51" s="75" t="str">
        <f>IFERROR(__xludf.DUMMYFUNCTION("""COMPUTED_VALUE"""),"Agustin Slonimsky")</f>
        <v>Agustin Slonimsky</v>
      </c>
    </row>
    <row r="52" ht="26.25" customHeight="1">
      <c r="A52" s="74">
        <f>IFERROR(__xludf.DUMMYFUNCTION("""COMPUTED_VALUE"""),163.0)</f>
        <v>163</v>
      </c>
      <c r="B52" s="75" t="str">
        <f>IFERROR(__xludf.DUMMYFUNCTION("""COMPUTED_VALUE"""),"Agustin Sielecki")</f>
        <v>Agustin Sielecki</v>
      </c>
    </row>
    <row r="53" ht="26.25" customHeight="1">
      <c r="A53" s="74">
        <f>IFERROR(__xludf.DUMMYFUNCTION("""COMPUTED_VALUE"""),114.0)</f>
        <v>114</v>
      </c>
      <c r="B53" s="75" t="str">
        <f>IFERROR(__xludf.DUMMYFUNCTION("""COMPUTED_VALUE"""),"Abril Goldberg")</f>
        <v>Abril Goldberg</v>
      </c>
    </row>
    <row r="54" ht="26.25" customHeight="1">
      <c r="A54" s="74"/>
      <c r="B54" s="75"/>
    </row>
    <row r="55" ht="26.25" customHeight="1">
      <c r="A55" s="74"/>
      <c r="B55" s="75"/>
    </row>
    <row r="56" ht="26.25" customHeight="1">
      <c r="A56" s="74"/>
      <c r="B56" s="75"/>
    </row>
    <row r="57" ht="26.25" customHeight="1">
      <c r="A57" s="74"/>
      <c r="B57" s="75"/>
    </row>
    <row r="58" ht="26.25" customHeight="1">
      <c r="A58" s="74"/>
      <c r="B58" s="75"/>
    </row>
    <row r="59" ht="26.25" customHeight="1">
      <c r="A59" s="74"/>
      <c r="B59" s="75"/>
    </row>
    <row r="60" ht="26.25" customHeight="1">
      <c r="A60" s="74"/>
      <c r="B60" s="75"/>
    </row>
    <row r="61" ht="26.25" customHeight="1">
      <c r="A61" s="74"/>
      <c r="B61" s="75"/>
    </row>
    <row r="62" ht="26.25" customHeight="1">
      <c r="A62" s="74"/>
      <c r="B62" s="75"/>
    </row>
    <row r="63" ht="26.25" customHeight="1">
      <c r="A63" s="74"/>
      <c r="B63" s="75"/>
    </row>
    <row r="64" ht="26.25" customHeight="1">
      <c r="A64" s="74"/>
      <c r="B64" s="75"/>
    </row>
    <row r="65" ht="26.25" customHeight="1">
      <c r="A65" s="74"/>
      <c r="B65" s="75"/>
    </row>
    <row r="66" ht="26.25" customHeight="1">
      <c r="A66" s="74"/>
      <c r="B66" s="75"/>
    </row>
    <row r="67" ht="26.25" customHeight="1">
      <c r="A67" s="74"/>
      <c r="B67" s="75"/>
    </row>
    <row r="68" ht="26.25" customHeight="1">
      <c r="A68" s="74"/>
      <c r="B68" s="75"/>
    </row>
    <row r="69" ht="26.25" customHeight="1">
      <c r="A69" s="74"/>
      <c r="B69" s="75"/>
    </row>
    <row r="70" ht="26.25" customHeight="1">
      <c r="A70" s="74"/>
      <c r="B70" s="75"/>
    </row>
    <row r="71" ht="26.25" customHeight="1">
      <c r="A71" s="74"/>
      <c r="B71" s="75"/>
    </row>
    <row r="72" ht="26.25" customHeight="1">
      <c r="A72" s="74"/>
      <c r="B72" s="75"/>
    </row>
    <row r="73" ht="26.25" customHeight="1">
      <c r="A73" s="74"/>
      <c r="B73" s="75"/>
    </row>
    <row r="74" ht="26.25" customHeight="1">
      <c r="A74" s="74"/>
      <c r="B74" s="75"/>
    </row>
    <row r="75" ht="26.25" customHeight="1">
      <c r="A75" s="74"/>
      <c r="B75" s="75"/>
    </row>
    <row r="76" ht="26.25" customHeight="1">
      <c r="A76" s="74"/>
      <c r="B76" s="75"/>
    </row>
    <row r="77" ht="26.25" customHeight="1">
      <c r="A77" s="74"/>
      <c r="B77" s="75"/>
    </row>
    <row r="78" ht="26.25" customHeight="1">
      <c r="A78" s="74"/>
      <c r="B78" s="75"/>
    </row>
    <row r="79" ht="26.25" customHeight="1">
      <c r="A79" s="74"/>
      <c r="B79" s="75"/>
    </row>
    <row r="80" ht="26.25" customHeight="1">
      <c r="A80" s="74"/>
      <c r="B80" s="75"/>
    </row>
    <row r="81" ht="26.25" customHeight="1">
      <c r="A81" s="74"/>
      <c r="B81" s="75"/>
    </row>
    <row r="82" ht="26.25" customHeight="1">
      <c r="A82" s="74"/>
      <c r="B82" s="75"/>
    </row>
    <row r="83" ht="26.25" customHeight="1">
      <c r="A83" s="74"/>
      <c r="B83" s="75"/>
    </row>
    <row r="84" ht="26.25" customHeight="1">
      <c r="A84" s="74"/>
      <c r="B84" s="75"/>
    </row>
    <row r="85" ht="26.25" customHeight="1">
      <c r="A85" s="74"/>
      <c r="B85" s="75"/>
    </row>
    <row r="86" ht="26.25" customHeight="1">
      <c r="A86" s="74"/>
      <c r="B86" s="75"/>
    </row>
    <row r="87" ht="26.25" customHeight="1">
      <c r="A87" s="74"/>
      <c r="B87" s="75"/>
    </row>
    <row r="88" ht="26.25" customHeight="1">
      <c r="A88" s="74"/>
      <c r="B88" s="75"/>
    </row>
    <row r="89" ht="26.25" customHeight="1">
      <c r="A89" s="74"/>
      <c r="B89" s="75"/>
    </row>
    <row r="90" ht="26.25" customHeight="1">
      <c r="A90" s="74"/>
      <c r="B90" s="75"/>
    </row>
    <row r="91" ht="26.25" customHeight="1">
      <c r="A91" s="74"/>
      <c r="B91" s="75"/>
    </row>
    <row r="92" ht="26.25" customHeight="1">
      <c r="A92" s="74"/>
      <c r="B92" s="75"/>
    </row>
    <row r="93" ht="26.25" customHeight="1">
      <c r="A93" s="74"/>
      <c r="B93" s="75"/>
    </row>
    <row r="94" ht="26.25" customHeight="1">
      <c r="A94" s="74"/>
      <c r="B94" s="75"/>
    </row>
    <row r="95" ht="26.25" customHeight="1">
      <c r="A95" s="74"/>
      <c r="B95" s="75"/>
    </row>
    <row r="96" ht="26.25" customHeight="1">
      <c r="A96" s="74"/>
      <c r="B96" s="75"/>
    </row>
    <row r="97" ht="26.25" customHeight="1">
      <c r="A97" s="74"/>
      <c r="B97" s="75"/>
    </row>
    <row r="98" ht="26.25" customHeight="1">
      <c r="A98" s="74"/>
      <c r="B98" s="75"/>
    </row>
    <row r="99" ht="26.25" customHeight="1">
      <c r="A99" s="74"/>
      <c r="B99" s="75"/>
    </row>
    <row r="100" ht="26.25" customHeight="1">
      <c r="A100" s="74"/>
      <c r="B100" s="75"/>
    </row>
    <row r="101" ht="26.25" customHeight="1">
      <c r="A101" s="74"/>
      <c r="B101" s="75"/>
    </row>
    <row r="102" ht="26.25" customHeight="1">
      <c r="A102" s="74"/>
      <c r="B102" s="75"/>
    </row>
    <row r="103" ht="26.25" customHeight="1">
      <c r="A103" s="74"/>
      <c r="B103" s="75"/>
    </row>
    <row r="104" ht="26.25" customHeight="1">
      <c r="A104" s="74"/>
      <c r="B104" s="75"/>
    </row>
    <row r="105" ht="26.25" customHeight="1">
      <c r="A105" s="74"/>
      <c r="B105" s="75"/>
    </row>
    <row r="106" ht="26.25" customHeight="1">
      <c r="A106" s="74"/>
      <c r="B106" s="75"/>
    </row>
    <row r="107" ht="26.25" customHeight="1">
      <c r="A107" s="74"/>
      <c r="B107" s="75"/>
    </row>
    <row r="108" ht="26.25" customHeight="1">
      <c r="A108" s="74"/>
      <c r="B108" s="75"/>
    </row>
    <row r="109" ht="26.25" customHeight="1">
      <c r="A109" s="74"/>
      <c r="B109" s="75"/>
    </row>
    <row r="110" ht="26.25" customHeight="1">
      <c r="A110" s="74"/>
      <c r="B110" s="75"/>
    </row>
    <row r="111" ht="26.25" customHeight="1">
      <c r="A111" s="74"/>
      <c r="B111" s="75"/>
    </row>
    <row r="112" ht="26.25" customHeight="1">
      <c r="A112" s="74"/>
      <c r="B112" s="75"/>
    </row>
    <row r="113" ht="26.25" customHeight="1">
      <c r="A113" s="74"/>
      <c r="B113" s="75"/>
    </row>
    <row r="114" ht="26.25" customHeight="1">
      <c r="A114" s="74"/>
      <c r="B114" s="75"/>
    </row>
    <row r="115" ht="26.25" customHeight="1">
      <c r="A115" s="74"/>
      <c r="B115" s="75"/>
    </row>
    <row r="116" ht="26.25" customHeight="1">
      <c r="A116" s="74"/>
      <c r="B116" s="75"/>
    </row>
    <row r="117" ht="26.25" customHeight="1">
      <c r="A117" s="74"/>
      <c r="B117" s="75"/>
    </row>
    <row r="118" ht="26.25" customHeight="1">
      <c r="A118" s="74"/>
      <c r="B118" s="75"/>
    </row>
    <row r="119" ht="26.25" customHeight="1">
      <c r="A119" s="74"/>
      <c r="B119" s="75"/>
    </row>
    <row r="120" ht="26.25" customHeight="1">
      <c r="A120" s="74"/>
      <c r="B120" s="75"/>
    </row>
    <row r="121" ht="26.25" customHeight="1">
      <c r="A121" s="74"/>
      <c r="B121" s="75"/>
    </row>
    <row r="122" ht="26.25" customHeight="1">
      <c r="A122" s="74"/>
      <c r="B122" s="75"/>
    </row>
    <row r="123" ht="26.25" customHeight="1">
      <c r="A123" s="74"/>
      <c r="B123" s="75"/>
    </row>
    <row r="124" ht="26.25" customHeight="1">
      <c r="A124" s="74"/>
      <c r="B124" s="75"/>
    </row>
    <row r="125" ht="26.25" customHeight="1">
      <c r="A125" s="74"/>
      <c r="B125" s="75"/>
    </row>
    <row r="126" ht="26.25" customHeight="1">
      <c r="A126" s="74"/>
      <c r="B126" s="75"/>
    </row>
    <row r="127" ht="26.25" customHeight="1">
      <c r="A127" s="74"/>
      <c r="B127" s="75"/>
    </row>
    <row r="128" ht="26.25" customHeight="1">
      <c r="A128" s="74"/>
      <c r="B128" s="75"/>
    </row>
    <row r="129" ht="26.25" customHeight="1">
      <c r="A129" s="74"/>
      <c r="B129" s="75"/>
    </row>
    <row r="130" ht="26.25" customHeight="1">
      <c r="A130" s="74"/>
      <c r="B130" s="75"/>
    </row>
    <row r="131" ht="26.25" customHeight="1">
      <c r="A131" s="74"/>
      <c r="B131" s="75"/>
    </row>
    <row r="132" ht="26.25" customHeight="1">
      <c r="A132" s="74"/>
      <c r="B132" s="75"/>
    </row>
    <row r="133" ht="26.25" customHeight="1">
      <c r="A133" s="74"/>
      <c r="B133" s="75"/>
    </row>
    <row r="134" ht="26.25" customHeight="1">
      <c r="A134" s="74"/>
      <c r="B134" s="75"/>
    </row>
    <row r="135" ht="26.25" customHeight="1">
      <c r="A135" s="74"/>
      <c r="B135" s="75"/>
    </row>
    <row r="136" ht="26.25" customHeight="1">
      <c r="A136" s="74"/>
      <c r="B136" s="75"/>
    </row>
    <row r="137" ht="26.25" customHeight="1">
      <c r="A137" s="74"/>
      <c r="B137" s="75"/>
    </row>
    <row r="138" ht="26.25" customHeight="1">
      <c r="A138" s="74"/>
      <c r="B138" s="75"/>
    </row>
    <row r="139" ht="26.25" customHeight="1">
      <c r="A139" s="74"/>
      <c r="B139" s="75"/>
    </row>
    <row r="140" ht="26.25" customHeight="1">
      <c r="A140" s="74"/>
      <c r="B140" s="75"/>
    </row>
    <row r="141" ht="26.25" customHeight="1">
      <c r="A141" s="74"/>
      <c r="B141" s="75"/>
    </row>
    <row r="142" ht="26.25" customHeight="1">
      <c r="A142" s="74"/>
      <c r="B142" s="75"/>
    </row>
    <row r="143" ht="26.25" customHeight="1">
      <c r="A143" s="74"/>
      <c r="B143" s="75"/>
    </row>
    <row r="144" ht="26.25" customHeight="1">
      <c r="A144" s="74"/>
      <c r="B144" s="75"/>
    </row>
    <row r="145" ht="26.25" customHeight="1">
      <c r="A145" s="74"/>
      <c r="B145" s="75"/>
    </row>
    <row r="146" ht="26.25" customHeight="1">
      <c r="A146" s="74"/>
      <c r="B146" s="75"/>
    </row>
    <row r="147" ht="26.25" customHeight="1">
      <c r="A147" s="74"/>
      <c r="B147" s="75"/>
    </row>
    <row r="148" ht="26.25" customHeight="1">
      <c r="A148" s="74"/>
      <c r="B148" s="75"/>
    </row>
    <row r="149" ht="26.25" customHeight="1">
      <c r="A149" s="74"/>
      <c r="B149" s="75"/>
    </row>
    <row r="150" ht="26.25" customHeight="1">
      <c r="A150" s="74"/>
      <c r="B150" s="75"/>
    </row>
    <row r="151" ht="26.25" customHeight="1">
      <c r="A151" s="74"/>
      <c r="B151" s="75"/>
    </row>
    <row r="152" ht="26.25" customHeight="1">
      <c r="A152" s="74"/>
      <c r="B152" s="75"/>
    </row>
    <row r="153" ht="26.25" customHeight="1">
      <c r="A153" s="74"/>
      <c r="B153" s="75"/>
    </row>
    <row r="154" ht="26.25" customHeight="1">
      <c r="A154" s="74"/>
      <c r="B154" s="75"/>
    </row>
    <row r="155" ht="26.25" customHeight="1">
      <c r="A155" s="74"/>
      <c r="B155" s="75"/>
    </row>
    <row r="156" ht="26.25" customHeight="1">
      <c r="A156" s="74"/>
      <c r="B156" s="75"/>
    </row>
    <row r="157" ht="26.25" customHeight="1">
      <c r="A157" s="74"/>
      <c r="B157" s="75"/>
    </row>
    <row r="158" ht="26.25" customHeight="1">
      <c r="A158" s="74"/>
      <c r="B158" s="75"/>
    </row>
    <row r="159" ht="26.25" customHeight="1">
      <c r="A159" s="74"/>
      <c r="B159" s="75"/>
    </row>
    <row r="160" ht="26.25" customHeight="1">
      <c r="A160" s="74"/>
      <c r="B160" s="75"/>
    </row>
    <row r="161" ht="26.25" customHeight="1">
      <c r="A161" s="74"/>
      <c r="B161" s="75"/>
    </row>
    <row r="162" ht="26.25" customHeight="1">
      <c r="A162" s="74"/>
      <c r="B162" s="75"/>
    </row>
    <row r="163" ht="26.25" customHeight="1">
      <c r="A163" s="74"/>
      <c r="B163" s="75"/>
    </row>
    <row r="164" ht="26.25" customHeight="1">
      <c r="A164" s="74"/>
      <c r="B164" s="75"/>
    </row>
    <row r="165" ht="26.25" customHeight="1">
      <c r="A165" s="74"/>
      <c r="B165" s="75"/>
    </row>
    <row r="166" ht="26.25" customHeight="1">
      <c r="A166" s="74"/>
      <c r="B166" s="75"/>
    </row>
    <row r="167" ht="26.25" customHeight="1">
      <c r="A167" s="74"/>
      <c r="B167" s="75"/>
    </row>
    <row r="168" ht="26.25" customHeight="1">
      <c r="A168" s="74"/>
      <c r="B168" s="75"/>
    </row>
    <row r="169" ht="26.25" customHeight="1">
      <c r="A169" s="74"/>
      <c r="B169" s="75"/>
    </row>
    <row r="170" ht="26.25" customHeight="1">
      <c r="A170" s="74"/>
      <c r="B170" s="75"/>
    </row>
    <row r="171" ht="26.25" customHeight="1">
      <c r="A171" s="74"/>
      <c r="B171" s="75"/>
    </row>
    <row r="172" ht="26.25" customHeight="1">
      <c r="A172" s="74"/>
      <c r="B172" s="75"/>
    </row>
    <row r="173" ht="26.25" customHeight="1">
      <c r="A173" s="74"/>
      <c r="B173" s="75"/>
    </row>
    <row r="174" ht="26.25" customHeight="1">
      <c r="A174" s="74"/>
      <c r="B174" s="75"/>
    </row>
    <row r="175" ht="26.25" customHeight="1">
      <c r="A175" s="74"/>
      <c r="B175" s="75"/>
    </row>
    <row r="176" ht="26.25" customHeight="1">
      <c r="A176" s="74"/>
      <c r="B176" s="75"/>
    </row>
    <row r="177" ht="26.25" customHeight="1">
      <c r="A177" s="74"/>
      <c r="B177" s="75"/>
    </row>
    <row r="178" ht="26.25" customHeight="1">
      <c r="A178" s="74"/>
      <c r="B178" s="75"/>
    </row>
    <row r="179" ht="26.25" customHeight="1">
      <c r="A179" s="74"/>
      <c r="B179" s="75"/>
    </row>
    <row r="180" ht="26.25" customHeight="1">
      <c r="A180" s="74"/>
      <c r="B180" s="75"/>
    </row>
    <row r="181" ht="26.25" customHeight="1">
      <c r="A181" s="74"/>
      <c r="B181" s="75"/>
    </row>
    <row r="182" ht="26.25" customHeight="1">
      <c r="A182" s="74"/>
      <c r="B182" s="75"/>
    </row>
    <row r="183" ht="26.25" customHeight="1">
      <c r="A183" s="74"/>
      <c r="B183" s="75"/>
    </row>
    <row r="184" ht="26.25" customHeight="1">
      <c r="A184" s="74"/>
      <c r="B184" s="75"/>
    </row>
    <row r="185" ht="26.25" customHeight="1">
      <c r="A185" s="74"/>
      <c r="B185" s="75"/>
    </row>
    <row r="186" ht="26.25" customHeight="1">
      <c r="A186" s="74"/>
      <c r="B186" s="75"/>
    </row>
    <row r="187" ht="26.25" customHeight="1">
      <c r="A187" s="74"/>
      <c r="B187" s="75"/>
    </row>
    <row r="188" ht="26.25" customHeight="1">
      <c r="A188" s="74"/>
      <c r="B188" s="75"/>
    </row>
    <row r="189" ht="26.25" customHeight="1">
      <c r="A189" s="74"/>
      <c r="B189" s="75"/>
    </row>
    <row r="190" ht="26.25" customHeight="1">
      <c r="A190" s="74"/>
      <c r="B190" s="75"/>
    </row>
    <row r="191" ht="26.25" customHeight="1">
      <c r="A191" s="74"/>
      <c r="B191" s="75"/>
    </row>
    <row r="192" ht="26.25" customHeight="1">
      <c r="A192" s="74"/>
      <c r="B192" s="75"/>
    </row>
    <row r="193" ht="26.25" customHeight="1">
      <c r="A193" s="74"/>
      <c r="B193" s="75"/>
    </row>
    <row r="194" ht="26.25" customHeight="1">
      <c r="A194" s="74"/>
      <c r="B194" s="75"/>
    </row>
    <row r="195" ht="26.25" customHeight="1">
      <c r="A195" s="74"/>
      <c r="B195" s="75"/>
    </row>
    <row r="196" ht="26.25" customHeight="1">
      <c r="A196" s="74"/>
      <c r="B196" s="75"/>
    </row>
    <row r="197" ht="26.25" customHeight="1">
      <c r="A197" s="74"/>
      <c r="B197" s="75"/>
    </row>
    <row r="198" ht="26.25" customHeight="1">
      <c r="A198" s="74"/>
      <c r="B198" s="75"/>
    </row>
    <row r="199" ht="26.25" customHeight="1">
      <c r="A199" s="74"/>
      <c r="B199" s="75"/>
    </row>
    <row r="200" ht="26.25" customHeight="1">
      <c r="A200" s="74"/>
      <c r="B200" s="75"/>
    </row>
    <row r="201" ht="26.25" customHeight="1">
      <c r="A201" s="74"/>
      <c r="B201" s="75"/>
    </row>
    <row r="202" ht="26.25" customHeight="1">
      <c r="A202" s="74"/>
      <c r="B202" s="75"/>
    </row>
    <row r="203" ht="26.25" customHeight="1">
      <c r="A203" s="74"/>
      <c r="B203" s="75"/>
    </row>
    <row r="204" ht="26.25" customHeight="1">
      <c r="A204" s="74"/>
      <c r="B204" s="75"/>
    </row>
    <row r="205" ht="26.25" customHeight="1">
      <c r="A205" s="74"/>
      <c r="B205" s="75"/>
    </row>
    <row r="206" ht="26.25" customHeight="1">
      <c r="A206" s="74"/>
      <c r="B206" s="75"/>
    </row>
    <row r="207" ht="26.25" customHeight="1">
      <c r="A207" s="74"/>
      <c r="B207" s="75"/>
    </row>
    <row r="208" ht="26.25" customHeight="1">
      <c r="A208" s="74"/>
      <c r="B208" s="75"/>
    </row>
    <row r="209" ht="26.25" customHeight="1">
      <c r="A209" s="74"/>
      <c r="B209" s="75"/>
    </row>
    <row r="210" ht="26.25" customHeight="1">
      <c r="A210" s="74"/>
      <c r="B210" s="75"/>
    </row>
    <row r="211" ht="26.25" customHeight="1">
      <c r="A211" s="74"/>
      <c r="B211" s="75"/>
    </row>
    <row r="212" ht="26.25" customHeight="1">
      <c r="A212" s="74"/>
      <c r="B212" s="75"/>
    </row>
    <row r="213" ht="26.25" customHeight="1">
      <c r="A213" s="74"/>
      <c r="B213" s="75"/>
    </row>
    <row r="214" ht="26.25" customHeight="1">
      <c r="A214" s="74"/>
      <c r="B214" s="75"/>
    </row>
    <row r="215" ht="26.25" customHeight="1">
      <c r="A215" s="74"/>
      <c r="B215" s="75"/>
    </row>
    <row r="216" ht="26.25" customHeight="1">
      <c r="A216" s="74"/>
      <c r="B216" s="75"/>
    </row>
    <row r="217" ht="26.25" customHeight="1">
      <c r="A217" s="74"/>
      <c r="B217" s="75"/>
    </row>
    <row r="218" ht="26.25" customHeight="1">
      <c r="A218" s="74"/>
      <c r="B218" s="75"/>
    </row>
    <row r="219" ht="26.25" customHeight="1">
      <c r="A219" s="74"/>
      <c r="B219" s="75"/>
    </row>
    <row r="220" ht="26.25" customHeight="1">
      <c r="A220" s="74"/>
      <c r="B220" s="75"/>
    </row>
    <row r="221" ht="26.25" customHeight="1">
      <c r="A221" s="74"/>
      <c r="B221" s="75"/>
    </row>
    <row r="222" ht="26.25" customHeight="1">
      <c r="A222" s="74"/>
      <c r="B222" s="75"/>
    </row>
    <row r="223" ht="26.25" customHeight="1">
      <c r="A223" s="74"/>
      <c r="B223" s="75"/>
    </row>
    <row r="224" ht="26.25" customHeight="1">
      <c r="A224" s="74"/>
      <c r="B224" s="75"/>
    </row>
    <row r="225" ht="26.25" customHeight="1">
      <c r="A225" s="74"/>
      <c r="B225" s="75"/>
    </row>
    <row r="226" ht="26.25" customHeight="1">
      <c r="A226" s="74"/>
      <c r="B226" s="75"/>
    </row>
    <row r="227" ht="26.25" customHeight="1">
      <c r="A227" s="74"/>
      <c r="B227" s="75"/>
    </row>
    <row r="228" ht="26.25" customHeight="1">
      <c r="A228" s="74"/>
      <c r="B228" s="75"/>
    </row>
    <row r="229" ht="26.25" customHeight="1">
      <c r="A229" s="74"/>
      <c r="B229" s="75"/>
    </row>
    <row r="230" ht="26.25" customHeight="1">
      <c r="A230" s="74"/>
      <c r="B230" s="75"/>
    </row>
    <row r="231" ht="26.25" customHeight="1">
      <c r="A231" s="74"/>
      <c r="B231" s="75"/>
    </row>
    <row r="232" ht="26.25" customHeight="1">
      <c r="A232" s="74"/>
      <c r="B232" s="75"/>
    </row>
    <row r="233" ht="26.25" customHeight="1">
      <c r="A233" s="74"/>
      <c r="B233" s="75"/>
    </row>
    <row r="234" ht="26.25" customHeight="1">
      <c r="A234" s="74"/>
      <c r="B234" s="75"/>
    </row>
    <row r="235" ht="26.25" customHeight="1">
      <c r="A235" s="74"/>
      <c r="B235" s="75"/>
    </row>
    <row r="236" ht="26.25" customHeight="1">
      <c r="A236" s="74"/>
      <c r="B236" s="75"/>
    </row>
    <row r="237" ht="26.25" customHeight="1">
      <c r="A237" s="74"/>
      <c r="B237" s="75"/>
    </row>
    <row r="238" ht="26.25" customHeight="1">
      <c r="A238" s="74"/>
      <c r="B238" s="75"/>
    </row>
    <row r="239" ht="26.25" customHeight="1">
      <c r="A239" s="74"/>
      <c r="B239" s="75"/>
    </row>
    <row r="240" ht="26.25" customHeight="1">
      <c r="A240" s="74"/>
      <c r="B240" s="75"/>
    </row>
    <row r="241" ht="26.25" customHeight="1">
      <c r="A241" s="74"/>
      <c r="B241" s="75"/>
    </row>
    <row r="242" ht="26.25" customHeight="1">
      <c r="A242" s="74"/>
      <c r="B242" s="75"/>
    </row>
    <row r="243" ht="26.25" customHeight="1">
      <c r="A243" s="74"/>
      <c r="B243" s="75"/>
    </row>
    <row r="244" ht="26.25" customHeight="1">
      <c r="A244" s="74"/>
      <c r="B244" s="75"/>
    </row>
    <row r="245" ht="26.25" customHeight="1">
      <c r="A245" s="74"/>
      <c r="B245" s="75"/>
    </row>
    <row r="246" ht="26.25" customHeight="1">
      <c r="A246" s="74"/>
      <c r="B246" s="75"/>
    </row>
    <row r="247" ht="26.25" customHeight="1">
      <c r="A247" s="74"/>
      <c r="B247" s="75"/>
    </row>
    <row r="248" ht="26.25" customHeight="1">
      <c r="A248" s="74"/>
      <c r="B248" s="75"/>
    </row>
    <row r="249" ht="26.25" customHeight="1">
      <c r="A249" s="74"/>
      <c r="B249" s="75"/>
    </row>
    <row r="250" ht="26.25" customHeight="1">
      <c r="A250" s="74"/>
      <c r="B250" s="75"/>
    </row>
    <row r="251" ht="26.25" customHeight="1">
      <c r="A251" s="74"/>
      <c r="B251" s="75"/>
    </row>
    <row r="252" ht="26.25" customHeight="1">
      <c r="A252" s="74"/>
      <c r="B252" s="75"/>
    </row>
    <row r="253" ht="26.25" customHeight="1">
      <c r="A253" s="74"/>
      <c r="B253" s="75"/>
    </row>
    <row r="254" ht="26.25" customHeight="1">
      <c r="A254" s="74"/>
      <c r="B254" s="75"/>
    </row>
    <row r="255" ht="26.25" customHeight="1">
      <c r="A255" s="74"/>
      <c r="B255" s="75"/>
    </row>
    <row r="256" ht="26.25" customHeight="1">
      <c r="A256" s="74"/>
      <c r="B256" s="75"/>
    </row>
    <row r="257" ht="26.25" customHeight="1">
      <c r="A257" s="74"/>
      <c r="B257" s="75"/>
    </row>
    <row r="258" ht="26.25" customHeight="1">
      <c r="A258" s="74"/>
      <c r="B258" s="75"/>
    </row>
    <row r="259" ht="26.25" customHeight="1">
      <c r="A259" s="74"/>
      <c r="B259" s="75"/>
    </row>
    <row r="260" ht="26.25" customHeight="1">
      <c r="A260" s="74"/>
      <c r="B260" s="75"/>
    </row>
    <row r="261" ht="26.25" customHeight="1">
      <c r="A261" s="74"/>
      <c r="B261" s="75"/>
    </row>
    <row r="262" ht="26.25" customHeight="1">
      <c r="A262" s="74"/>
      <c r="B262" s="75"/>
    </row>
    <row r="263" ht="26.25" customHeight="1">
      <c r="A263" s="74"/>
      <c r="B263" s="75"/>
    </row>
    <row r="264" ht="26.25" customHeight="1">
      <c r="A264" s="74"/>
      <c r="B264" s="75"/>
    </row>
    <row r="265" ht="26.25" customHeight="1">
      <c r="A265" s="74"/>
      <c r="B265" s="75"/>
    </row>
    <row r="266" ht="26.25" customHeight="1">
      <c r="A266" s="74"/>
      <c r="B266" s="75"/>
    </row>
    <row r="267" ht="26.25" customHeight="1">
      <c r="A267" s="74"/>
      <c r="B267" s="75"/>
    </row>
    <row r="268" ht="26.25" customHeight="1">
      <c r="A268" s="74"/>
      <c r="B268" s="75"/>
    </row>
    <row r="269" ht="26.25" customHeight="1">
      <c r="A269" s="74"/>
      <c r="B269" s="75"/>
    </row>
    <row r="270" ht="26.25" customHeight="1">
      <c r="A270" s="74"/>
      <c r="B270" s="75"/>
    </row>
    <row r="271" ht="26.25" customHeight="1">
      <c r="A271" s="74"/>
      <c r="B271" s="75"/>
    </row>
    <row r="272" ht="26.25" customHeight="1">
      <c r="A272" s="74"/>
      <c r="B272" s="75"/>
    </row>
    <row r="273" ht="26.25" customHeight="1">
      <c r="A273" s="74"/>
      <c r="B273" s="75"/>
    </row>
    <row r="274" ht="26.25" customHeight="1">
      <c r="A274" s="74"/>
      <c r="B274" s="75"/>
    </row>
    <row r="275" ht="26.25" customHeight="1">
      <c r="A275" s="74"/>
      <c r="B275" s="75"/>
    </row>
    <row r="276" ht="26.25" customHeight="1">
      <c r="A276" s="74"/>
      <c r="B276" s="75"/>
    </row>
    <row r="277" ht="26.25" customHeight="1">
      <c r="A277" s="74"/>
      <c r="B277" s="75"/>
    </row>
    <row r="278" ht="26.25" customHeight="1">
      <c r="A278" s="74"/>
      <c r="B278" s="75"/>
    </row>
    <row r="279" ht="26.25" customHeight="1">
      <c r="A279" s="74"/>
      <c r="B279" s="75"/>
    </row>
    <row r="280" ht="26.25" customHeight="1">
      <c r="A280" s="74"/>
      <c r="B280" s="75"/>
    </row>
    <row r="281" ht="26.25" customHeight="1">
      <c r="A281" s="74"/>
      <c r="B281" s="75"/>
    </row>
    <row r="282" ht="26.25" customHeight="1">
      <c r="A282" s="74"/>
      <c r="B282" s="75"/>
    </row>
    <row r="283" ht="26.25" customHeight="1">
      <c r="A283" s="74"/>
      <c r="B283" s="75"/>
    </row>
    <row r="284" ht="26.25" customHeight="1">
      <c r="A284" s="74"/>
      <c r="B284" s="75"/>
    </row>
    <row r="285" ht="26.25" customHeight="1">
      <c r="A285" s="74"/>
      <c r="B285" s="75"/>
    </row>
    <row r="286" ht="26.25" customHeight="1">
      <c r="A286" s="74"/>
      <c r="B286" s="75"/>
    </row>
    <row r="287" ht="26.25" customHeight="1">
      <c r="A287" s="74"/>
      <c r="B287" s="75"/>
    </row>
    <row r="288" ht="26.25" customHeight="1">
      <c r="A288" s="74"/>
      <c r="B288" s="75"/>
    </row>
    <row r="289" ht="26.25" customHeight="1">
      <c r="A289" s="74"/>
      <c r="B289" s="75"/>
    </row>
    <row r="290" ht="26.25" customHeight="1">
      <c r="A290" s="74"/>
      <c r="B290" s="75"/>
    </row>
    <row r="291" ht="26.25" customHeight="1">
      <c r="A291" s="74"/>
      <c r="B291" s="75"/>
    </row>
    <row r="292" ht="26.25" customHeight="1">
      <c r="A292" s="74"/>
      <c r="B292" s="75"/>
    </row>
    <row r="293" ht="26.25" customHeight="1">
      <c r="A293" s="74"/>
      <c r="B293" s="75"/>
    </row>
    <row r="294" ht="26.25" customHeight="1">
      <c r="A294" s="74"/>
      <c r="B294" s="75"/>
    </row>
    <row r="295" ht="26.25" customHeight="1">
      <c r="A295" s="74"/>
      <c r="B295" s="75"/>
    </row>
    <row r="296" ht="26.25" customHeight="1">
      <c r="A296" s="74"/>
      <c r="B296" s="75"/>
    </row>
    <row r="297" ht="26.25" customHeight="1">
      <c r="A297" s="74"/>
      <c r="B297" s="75"/>
    </row>
    <row r="298" ht="26.25" customHeight="1">
      <c r="A298" s="74"/>
      <c r="B298" s="75"/>
    </row>
    <row r="299" ht="26.25" customHeight="1">
      <c r="A299" s="74"/>
      <c r="B299" s="75"/>
    </row>
    <row r="300" ht="26.25" customHeight="1">
      <c r="A300" s="74"/>
      <c r="B300" s="75"/>
    </row>
    <row r="301" ht="26.25" customHeight="1">
      <c r="A301" s="74"/>
      <c r="B301" s="75"/>
    </row>
    <row r="302" ht="26.25" customHeight="1">
      <c r="A302" s="74"/>
      <c r="B302" s="75"/>
    </row>
    <row r="303" ht="26.25" customHeight="1">
      <c r="A303" s="74"/>
      <c r="B303" s="75"/>
    </row>
    <row r="304" ht="26.25" customHeight="1">
      <c r="A304" s="74"/>
      <c r="B304" s="75"/>
    </row>
    <row r="305" ht="26.25" customHeight="1">
      <c r="A305" s="74"/>
      <c r="B305" s="75"/>
    </row>
    <row r="306" ht="26.25" customHeight="1">
      <c r="A306" s="74"/>
      <c r="B306" s="75"/>
    </row>
    <row r="307" ht="26.25" customHeight="1">
      <c r="A307" s="74"/>
      <c r="B307" s="75"/>
    </row>
    <row r="308" ht="26.25" customHeight="1">
      <c r="A308" s="74"/>
      <c r="B308" s="75"/>
    </row>
    <row r="309" ht="26.25" customHeight="1">
      <c r="A309" s="74"/>
      <c r="B309" s="75"/>
    </row>
    <row r="310" ht="26.25" customHeight="1">
      <c r="A310" s="74"/>
      <c r="B310" s="75"/>
    </row>
    <row r="311" ht="26.25" customHeight="1">
      <c r="A311" s="74"/>
      <c r="B311" s="75"/>
    </row>
    <row r="312" ht="26.25" customHeight="1">
      <c r="A312" s="74"/>
      <c r="B312" s="75"/>
    </row>
    <row r="313" ht="26.25" customHeight="1">
      <c r="A313" s="74"/>
      <c r="B313" s="75"/>
    </row>
    <row r="314" ht="26.25" customHeight="1">
      <c r="A314" s="74"/>
      <c r="B314" s="75"/>
    </row>
    <row r="315" ht="26.25" customHeight="1">
      <c r="A315" s="74"/>
      <c r="B315" s="75"/>
    </row>
    <row r="316" ht="26.25" customHeight="1">
      <c r="A316" s="74"/>
      <c r="B316" s="75"/>
    </row>
    <row r="317" ht="26.25" customHeight="1">
      <c r="A317" s="74"/>
      <c r="B317" s="75"/>
    </row>
    <row r="318" ht="26.25" customHeight="1">
      <c r="A318" s="74"/>
      <c r="B318" s="75"/>
    </row>
    <row r="319" ht="26.25" customHeight="1">
      <c r="A319" s="74"/>
      <c r="B319" s="75"/>
    </row>
    <row r="320" ht="26.25" customHeight="1">
      <c r="A320" s="74"/>
      <c r="B320" s="75"/>
    </row>
    <row r="321" ht="26.25" customHeight="1">
      <c r="A321" s="74"/>
      <c r="B321" s="75"/>
    </row>
    <row r="322" ht="26.25" customHeight="1">
      <c r="A322" s="74"/>
      <c r="B322" s="75"/>
    </row>
    <row r="323" ht="26.25" customHeight="1">
      <c r="A323" s="74"/>
      <c r="B323" s="75"/>
    </row>
    <row r="324" ht="26.25" customHeight="1">
      <c r="A324" s="74"/>
      <c r="B324" s="75"/>
    </row>
    <row r="325" ht="26.25" customHeight="1">
      <c r="A325" s="74"/>
      <c r="B325" s="75"/>
    </row>
    <row r="326" ht="26.25" customHeight="1">
      <c r="A326" s="74"/>
      <c r="B326" s="75"/>
    </row>
    <row r="327" ht="26.25" customHeight="1">
      <c r="A327" s="74"/>
      <c r="B327" s="75"/>
    </row>
    <row r="328" ht="26.25" customHeight="1">
      <c r="A328" s="74"/>
      <c r="B328" s="75"/>
    </row>
    <row r="329" ht="26.25" customHeight="1">
      <c r="A329" s="74"/>
      <c r="B329" s="75"/>
    </row>
    <row r="330" ht="26.25" customHeight="1">
      <c r="A330" s="74"/>
      <c r="B330" s="75"/>
    </row>
    <row r="331" ht="26.25" customHeight="1">
      <c r="A331" s="74"/>
      <c r="B331" s="75"/>
    </row>
    <row r="332" ht="26.25" customHeight="1">
      <c r="A332" s="74"/>
      <c r="B332" s="75"/>
    </row>
    <row r="333" ht="26.25" customHeight="1">
      <c r="A333" s="74"/>
      <c r="B333" s="75"/>
    </row>
    <row r="334" ht="26.25" customHeight="1">
      <c r="A334" s="74"/>
      <c r="B334" s="75"/>
    </row>
    <row r="335" ht="26.25" customHeight="1">
      <c r="A335" s="74"/>
      <c r="B335" s="75"/>
    </row>
    <row r="336" ht="26.25" customHeight="1">
      <c r="A336" s="74"/>
      <c r="B336" s="75"/>
    </row>
    <row r="337" ht="26.25" customHeight="1">
      <c r="A337" s="74"/>
      <c r="B337" s="75"/>
    </row>
    <row r="338" ht="26.25" customHeight="1">
      <c r="A338" s="74"/>
      <c r="B338" s="75"/>
    </row>
    <row r="339" ht="26.25" customHeight="1">
      <c r="A339" s="74"/>
      <c r="B339" s="75"/>
    </row>
    <row r="340" ht="26.25" customHeight="1">
      <c r="A340" s="74"/>
      <c r="B340" s="75"/>
    </row>
    <row r="341" ht="26.25" customHeight="1">
      <c r="A341" s="74"/>
      <c r="B341" s="75"/>
    </row>
    <row r="342" ht="26.25" customHeight="1">
      <c r="A342" s="74"/>
      <c r="B342" s="75"/>
    </row>
    <row r="343" ht="26.25" customHeight="1">
      <c r="A343" s="74"/>
      <c r="B343" s="75"/>
    </row>
    <row r="344" ht="26.25" customHeight="1">
      <c r="A344" s="74"/>
      <c r="B344" s="75"/>
    </row>
    <row r="345" ht="26.25" customHeight="1">
      <c r="A345" s="74"/>
      <c r="B345" s="75"/>
    </row>
    <row r="346" ht="26.25" customHeight="1">
      <c r="A346" s="74"/>
      <c r="B346" s="75"/>
    </row>
    <row r="347" ht="26.25" customHeight="1">
      <c r="A347" s="74"/>
      <c r="B347" s="75"/>
    </row>
    <row r="348" ht="26.25" customHeight="1">
      <c r="A348" s="74"/>
      <c r="B348" s="75"/>
    </row>
    <row r="349" ht="26.25" customHeight="1">
      <c r="A349" s="74"/>
      <c r="B349" s="75"/>
    </row>
    <row r="350" ht="26.25" customHeight="1">
      <c r="A350" s="74"/>
      <c r="B350" s="75"/>
    </row>
    <row r="351" ht="26.25" customHeight="1">
      <c r="A351" s="74"/>
      <c r="B351" s="75"/>
    </row>
    <row r="352" ht="26.25" customHeight="1">
      <c r="A352" s="74"/>
      <c r="B352" s="75"/>
    </row>
    <row r="353" ht="26.25" customHeight="1">
      <c r="A353" s="74"/>
      <c r="B353" s="75"/>
    </row>
    <row r="354" ht="26.25" customHeight="1">
      <c r="A354" s="74"/>
      <c r="B354" s="75"/>
    </row>
    <row r="355" ht="26.25" customHeight="1">
      <c r="A355" s="74"/>
      <c r="B355" s="75"/>
    </row>
    <row r="356" ht="26.25" customHeight="1">
      <c r="A356" s="74"/>
      <c r="B356" s="75"/>
    </row>
    <row r="357" ht="26.25" customHeight="1">
      <c r="A357" s="74"/>
      <c r="B357" s="75"/>
    </row>
    <row r="358" ht="26.25" customHeight="1">
      <c r="A358" s="74"/>
      <c r="B358" s="75"/>
    </row>
    <row r="359" ht="26.25" customHeight="1">
      <c r="A359" s="74"/>
      <c r="B359" s="75"/>
    </row>
    <row r="360" ht="26.25" customHeight="1">
      <c r="A360" s="74"/>
      <c r="B360" s="75"/>
    </row>
    <row r="361" ht="26.25" customHeight="1">
      <c r="A361" s="74"/>
      <c r="B361" s="75"/>
    </row>
    <row r="362" ht="26.25" customHeight="1">
      <c r="A362" s="74"/>
      <c r="B362" s="75"/>
    </row>
    <row r="363" ht="26.25" customHeight="1">
      <c r="A363" s="74"/>
      <c r="B363" s="75"/>
    </row>
    <row r="364" ht="26.25" customHeight="1">
      <c r="A364" s="74"/>
      <c r="B364" s="75"/>
    </row>
    <row r="365" ht="26.25" customHeight="1">
      <c r="A365" s="74"/>
      <c r="B365" s="75"/>
    </row>
    <row r="366" ht="26.25" customHeight="1">
      <c r="A366" s="74"/>
      <c r="B366" s="75"/>
    </row>
    <row r="367" ht="26.25" customHeight="1">
      <c r="A367" s="74"/>
      <c r="B367" s="75"/>
    </row>
    <row r="368" ht="26.25" customHeight="1">
      <c r="A368" s="74"/>
      <c r="B368" s="75"/>
    </row>
    <row r="369" ht="26.25" customHeight="1">
      <c r="A369" s="74"/>
      <c r="B369" s="75"/>
    </row>
    <row r="370" ht="26.25" customHeight="1">
      <c r="A370" s="74"/>
      <c r="B370" s="75"/>
    </row>
    <row r="371" ht="26.25" customHeight="1">
      <c r="A371" s="74"/>
      <c r="B371" s="75"/>
    </row>
    <row r="372" ht="26.25" customHeight="1">
      <c r="A372" s="74"/>
      <c r="B372" s="75"/>
    </row>
    <row r="373" ht="26.25" customHeight="1">
      <c r="A373" s="74"/>
      <c r="B373" s="75"/>
    </row>
    <row r="374" ht="26.25" customHeight="1">
      <c r="A374" s="74"/>
      <c r="B374" s="75"/>
    </row>
    <row r="375" ht="26.25" customHeight="1">
      <c r="A375" s="74"/>
      <c r="B375" s="75"/>
    </row>
    <row r="376" ht="26.25" customHeight="1">
      <c r="A376" s="74"/>
      <c r="B376" s="75"/>
    </row>
    <row r="377" ht="26.25" customHeight="1">
      <c r="A377" s="74"/>
      <c r="B377" s="75"/>
    </row>
    <row r="378" ht="26.25" customHeight="1">
      <c r="A378" s="74"/>
      <c r="B378" s="75"/>
    </row>
    <row r="379" ht="26.25" customHeight="1">
      <c r="A379" s="74"/>
      <c r="B379" s="75"/>
    </row>
    <row r="380" ht="26.25" customHeight="1">
      <c r="A380" s="74"/>
      <c r="B380" s="75"/>
    </row>
    <row r="381" ht="26.25" customHeight="1">
      <c r="A381" s="74"/>
      <c r="B381" s="75"/>
    </row>
    <row r="382" ht="26.25" customHeight="1">
      <c r="A382" s="74"/>
      <c r="B382" s="75"/>
    </row>
    <row r="383" ht="26.25" customHeight="1">
      <c r="A383" s="74"/>
      <c r="B383" s="75"/>
    </row>
    <row r="384" ht="26.25" customHeight="1">
      <c r="A384" s="74"/>
      <c r="B384" s="75"/>
    </row>
    <row r="385" ht="26.25" customHeight="1">
      <c r="A385" s="74"/>
      <c r="B385" s="75"/>
    </row>
    <row r="386" ht="26.25" customHeight="1">
      <c r="A386" s="74"/>
      <c r="B386" s="75"/>
    </row>
    <row r="387" ht="26.25" customHeight="1">
      <c r="A387" s="74"/>
      <c r="B387" s="75"/>
    </row>
    <row r="388" ht="26.25" customHeight="1">
      <c r="A388" s="74"/>
      <c r="B388" s="75"/>
    </row>
    <row r="389" ht="26.25" customHeight="1">
      <c r="A389" s="74"/>
      <c r="B389" s="75"/>
    </row>
    <row r="390" ht="26.25" customHeight="1">
      <c r="A390" s="74"/>
      <c r="B390" s="75"/>
    </row>
    <row r="391" ht="26.25" customHeight="1">
      <c r="A391" s="74"/>
      <c r="B391" s="75"/>
    </row>
    <row r="392" ht="26.25" customHeight="1">
      <c r="A392" s="74"/>
      <c r="B392" s="75"/>
    </row>
    <row r="393" ht="26.25" customHeight="1">
      <c r="A393" s="74"/>
      <c r="B393" s="75"/>
    </row>
    <row r="394" ht="26.25" customHeight="1">
      <c r="A394" s="74"/>
      <c r="B394" s="75"/>
    </row>
    <row r="395" ht="26.25" customHeight="1">
      <c r="A395" s="74"/>
      <c r="B395" s="75"/>
    </row>
    <row r="396" ht="26.25" customHeight="1">
      <c r="A396" s="74"/>
      <c r="B396" s="75"/>
    </row>
    <row r="397" ht="26.25" customHeight="1">
      <c r="A397" s="74"/>
      <c r="B397" s="75"/>
    </row>
    <row r="398" ht="26.25" customHeight="1">
      <c r="A398" s="74"/>
      <c r="B398" s="75"/>
    </row>
    <row r="399" ht="26.25" customHeight="1">
      <c r="A399" s="74"/>
      <c r="B399" s="75"/>
    </row>
    <row r="400" ht="26.25" customHeight="1">
      <c r="A400" s="74"/>
      <c r="B400" s="75"/>
    </row>
    <row r="401" ht="26.25" customHeight="1">
      <c r="A401" s="74"/>
      <c r="B401" s="75"/>
    </row>
    <row r="402" ht="26.25" customHeight="1">
      <c r="A402" s="74"/>
      <c r="B402" s="75"/>
    </row>
    <row r="403" ht="26.25" customHeight="1">
      <c r="A403" s="74"/>
      <c r="B403" s="75"/>
    </row>
    <row r="404" ht="26.25" customHeight="1">
      <c r="A404" s="74"/>
      <c r="B404" s="75"/>
    </row>
    <row r="405" ht="26.25" customHeight="1">
      <c r="A405" s="74"/>
      <c r="B405" s="75"/>
    </row>
    <row r="406" ht="26.25" customHeight="1">
      <c r="A406" s="74"/>
      <c r="B406" s="75"/>
    </row>
    <row r="407" ht="26.25" customHeight="1">
      <c r="A407" s="74"/>
      <c r="B407" s="75"/>
    </row>
    <row r="408" ht="26.25" customHeight="1">
      <c r="A408" s="74"/>
      <c r="B408" s="75"/>
    </row>
    <row r="409" ht="26.25" customHeight="1">
      <c r="A409" s="74"/>
      <c r="B409" s="75"/>
    </row>
    <row r="410" ht="26.25" customHeight="1">
      <c r="A410" s="74"/>
      <c r="B410" s="75"/>
    </row>
    <row r="411" ht="26.25" customHeight="1">
      <c r="A411" s="74"/>
      <c r="B411" s="75"/>
    </row>
    <row r="412" ht="26.25" customHeight="1">
      <c r="A412" s="74"/>
      <c r="B412" s="75"/>
    </row>
    <row r="413" ht="26.25" customHeight="1">
      <c r="A413" s="74"/>
      <c r="B413" s="75"/>
    </row>
    <row r="414" ht="26.25" customHeight="1">
      <c r="A414" s="74"/>
      <c r="B414" s="75"/>
    </row>
    <row r="415" ht="26.25" customHeight="1">
      <c r="A415" s="74"/>
      <c r="B415" s="75"/>
    </row>
    <row r="416" ht="26.25" customHeight="1">
      <c r="A416" s="74"/>
      <c r="B416" s="75"/>
    </row>
    <row r="417" ht="26.25" customHeight="1">
      <c r="A417" s="74"/>
      <c r="B417" s="75"/>
    </row>
    <row r="418" ht="26.25" customHeight="1">
      <c r="A418" s="74"/>
      <c r="B418" s="75"/>
    </row>
    <row r="419" ht="26.25" customHeight="1">
      <c r="A419" s="74"/>
      <c r="B419" s="75"/>
    </row>
    <row r="420" ht="26.25" customHeight="1">
      <c r="A420" s="74"/>
      <c r="B420" s="75"/>
    </row>
    <row r="421" ht="26.25" customHeight="1">
      <c r="A421" s="74"/>
      <c r="B421" s="75"/>
    </row>
    <row r="422" ht="26.25" customHeight="1">
      <c r="A422" s="74"/>
      <c r="B422" s="75"/>
    </row>
    <row r="423" ht="26.25" customHeight="1">
      <c r="A423" s="74"/>
      <c r="B423" s="75"/>
    </row>
    <row r="424" ht="26.25" customHeight="1">
      <c r="A424" s="74"/>
      <c r="B424" s="75"/>
    </row>
    <row r="425" ht="26.25" customHeight="1">
      <c r="A425" s="74"/>
      <c r="B425" s="75"/>
    </row>
    <row r="426" ht="26.25" customHeight="1">
      <c r="A426" s="74"/>
      <c r="B426" s="75"/>
    </row>
    <row r="427" ht="26.25" customHeight="1">
      <c r="A427" s="74"/>
      <c r="B427" s="75"/>
    </row>
    <row r="428" ht="26.25" customHeight="1">
      <c r="A428" s="74"/>
      <c r="B428" s="75"/>
    </row>
    <row r="429" ht="26.25" customHeight="1">
      <c r="A429" s="74"/>
      <c r="B429" s="75"/>
    </row>
    <row r="430" ht="26.25" customHeight="1">
      <c r="A430" s="74"/>
      <c r="B430" s="75"/>
    </row>
    <row r="431" ht="26.25" customHeight="1">
      <c r="A431" s="74"/>
      <c r="B431" s="75"/>
    </row>
    <row r="432" ht="26.25" customHeight="1">
      <c r="A432" s="74"/>
      <c r="B432" s="75"/>
    </row>
    <row r="433" ht="26.25" customHeight="1">
      <c r="A433" s="74"/>
      <c r="B433" s="75"/>
    </row>
    <row r="434" ht="26.25" customHeight="1">
      <c r="A434" s="74"/>
      <c r="B434" s="75"/>
    </row>
    <row r="435" ht="26.25" customHeight="1">
      <c r="A435" s="74"/>
      <c r="B435" s="75"/>
    </row>
    <row r="436" ht="26.25" customHeight="1">
      <c r="A436" s="74"/>
      <c r="B436" s="75"/>
    </row>
    <row r="437" ht="26.25" customHeight="1">
      <c r="A437" s="74"/>
      <c r="B437" s="75"/>
    </row>
    <row r="438" ht="26.25" customHeight="1">
      <c r="A438" s="74"/>
      <c r="B438" s="75"/>
    </row>
    <row r="439" ht="26.25" customHeight="1">
      <c r="A439" s="74"/>
      <c r="B439" s="75"/>
    </row>
    <row r="440" ht="26.25" customHeight="1">
      <c r="A440" s="74"/>
      <c r="B440" s="75"/>
    </row>
    <row r="441" ht="26.25" customHeight="1">
      <c r="A441" s="74"/>
      <c r="B441" s="75"/>
    </row>
    <row r="442" ht="26.25" customHeight="1">
      <c r="A442" s="74"/>
      <c r="B442" s="75"/>
    </row>
    <row r="443" ht="26.25" customHeight="1">
      <c r="A443" s="74"/>
      <c r="B443" s="75"/>
    </row>
    <row r="444" ht="26.25" customHeight="1">
      <c r="A444" s="74"/>
      <c r="B444" s="75"/>
    </row>
    <row r="445" ht="26.25" customHeight="1">
      <c r="A445" s="74"/>
      <c r="B445" s="75"/>
    </row>
    <row r="446" ht="26.25" customHeight="1">
      <c r="A446" s="74"/>
      <c r="B446" s="75"/>
    </row>
    <row r="447" ht="26.25" customHeight="1">
      <c r="A447" s="74"/>
      <c r="B447" s="75"/>
    </row>
    <row r="448" ht="26.25" customHeight="1">
      <c r="A448" s="74"/>
      <c r="B448" s="75"/>
    </row>
    <row r="449" ht="26.25" customHeight="1">
      <c r="A449" s="74"/>
      <c r="B449" s="75"/>
    </row>
    <row r="450" ht="26.25" customHeight="1">
      <c r="A450" s="74"/>
      <c r="B450" s="75"/>
    </row>
    <row r="451" ht="26.25" customHeight="1">
      <c r="A451" s="74"/>
      <c r="B451" s="75"/>
    </row>
    <row r="452" ht="26.25" customHeight="1">
      <c r="A452" s="74"/>
      <c r="B452" s="75"/>
    </row>
    <row r="453" ht="26.25" customHeight="1">
      <c r="A453" s="74"/>
      <c r="B453" s="75"/>
    </row>
    <row r="454" ht="26.25" customHeight="1">
      <c r="A454" s="74"/>
      <c r="B454" s="75"/>
    </row>
    <row r="455" ht="26.25" customHeight="1">
      <c r="A455" s="74"/>
      <c r="B455" s="75"/>
    </row>
    <row r="456" ht="26.25" customHeight="1">
      <c r="A456" s="74"/>
      <c r="B456" s="75"/>
    </row>
    <row r="457" ht="26.25" customHeight="1">
      <c r="A457" s="74"/>
      <c r="B457" s="75"/>
    </row>
    <row r="458" ht="26.25" customHeight="1">
      <c r="A458" s="74"/>
      <c r="B458" s="75"/>
    </row>
    <row r="459" ht="26.25" customHeight="1">
      <c r="A459" s="74"/>
      <c r="B459" s="75"/>
    </row>
    <row r="460" ht="26.25" customHeight="1">
      <c r="A460" s="74"/>
      <c r="B460" s="75"/>
    </row>
    <row r="461" ht="26.25" customHeight="1">
      <c r="A461" s="74"/>
      <c r="B461" s="75"/>
    </row>
    <row r="462" ht="26.25" customHeight="1">
      <c r="A462" s="74"/>
      <c r="B462" s="75"/>
    </row>
    <row r="463" ht="26.25" customHeight="1">
      <c r="A463" s="74"/>
      <c r="B463" s="75"/>
    </row>
    <row r="464" ht="26.25" customHeight="1">
      <c r="A464" s="74"/>
      <c r="B464" s="75"/>
    </row>
    <row r="465" ht="26.25" customHeight="1">
      <c r="A465" s="74"/>
      <c r="B465" s="75"/>
    </row>
    <row r="466" ht="26.25" customHeight="1">
      <c r="A466" s="74"/>
      <c r="B466" s="75"/>
    </row>
    <row r="467" ht="26.25" customHeight="1">
      <c r="A467" s="74"/>
      <c r="B467" s="75"/>
    </row>
    <row r="468" ht="26.25" customHeight="1">
      <c r="A468" s="74"/>
      <c r="B468" s="75"/>
    </row>
    <row r="469" ht="26.25" customHeight="1">
      <c r="A469" s="74"/>
      <c r="B469" s="75"/>
    </row>
    <row r="470" ht="26.25" customHeight="1">
      <c r="A470" s="74"/>
      <c r="B470" s="75"/>
    </row>
    <row r="471" ht="26.25" customHeight="1">
      <c r="A471" s="74"/>
      <c r="B471" s="75"/>
    </row>
    <row r="472" ht="26.25" customHeight="1">
      <c r="A472" s="74"/>
      <c r="B472" s="75"/>
    </row>
    <row r="473" ht="26.25" customHeight="1">
      <c r="A473" s="74"/>
      <c r="B473" s="75"/>
    </row>
    <row r="474" ht="26.25" customHeight="1">
      <c r="A474" s="74"/>
      <c r="B474" s="75"/>
    </row>
    <row r="475" ht="26.25" customHeight="1">
      <c r="A475" s="74"/>
      <c r="B475" s="75"/>
    </row>
    <row r="476" ht="26.25" customHeight="1">
      <c r="A476" s="74"/>
      <c r="B476" s="75"/>
    </row>
    <row r="477" ht="26.25" customHeight="1">
      <c r="A477" s="74"/>
      <c r="B477" s="75"/>
    </row>
    <row r="478" ht="26.25" customHeight="1">
      <c r="A478" s="74"/>
      <c r="B478" s="75"/>
    </row>
    <row r="479" ht="26.25" customHeight="1">
      <c r="A479" s="74"/>
      <c r="B479" s="75"/>
    </row>
    <row r="480" ht="26.25" customHeight="1">
      <c r="A480" s="74"/>
      <c r="B480" s="75"/>
    </row>
    <row r="481" ht="26.25" customHeight="1">
      <c r="A481" s="74"/>
      <c r="B481" s="75"/>
    </row>
    <row r="482" ht="26.25" customHeight="1">
      <c r="A482" s="74"/>
      <c r="B482" s="75"/>
    </row>
    <row r="483" ht="26.25" customHeight="1">
      <c r="A483" s="74"/>
      <c r="B483" s="75"/>
    </row>
    <row r="484" ht="26.25" customHeight="1">
      <c r="A484" s="74"/>
      <c r="B484" s="75"/>
    </row>
    <row r="485" ht="26.25" customHeight="1">
      <c r="A485" s="74"/>
      <c r="B485" s="75"/>
    </row>
    <row r="486" ht="26.25" customHeight="1">
      <c r="A486" s="74"/>
      <c r="B486" s="75"/>
    </row>
    <row r="487" ht="26.25" customHeight="1">
      <c r="A487" s="74"/>
      <c r="B487" s="75"/>
    </row>
    <row r="488" ht="26.25" customHeight="1">
      <c r="A488" s="74"/>
      <c r="B488" s="75"/>
    </row>
    <row r="489" ht="26.25" customHeight="1">
      <c r="A489" s="74"/>
      <c r="B489" s="75"/>
    </row>
    <row r="490" ht="26.25" customHeight="1">
      <c r="A490" s="74"/>
      <c r="B490" s="75"/>
    </row>
    <row r="491" ht="26.25" customHeight="1">
      <c r="A491" s="74"/>
      <c r="B491" s="75"/>
    </row>
    <row r="492" ht="26.25" customHeight="1">
      <c r="A492" s="74"/>
      <c r="B492" s="75"/>
    </row>
    <row r="493" ht="26.25" customHeight="1">
      <c r="A493" s="74"/>
      <c r="B493" s="75"/>
    </row>
    <row r="494" ht="26.25" customHeight="1">
      <c r="A494" s="74"/>
      <c r="B494" s="75"/>
    </row>
    <row r="495" ht="26.25" customHeight="1">
      <c r="A495" s="74"/>
      <c r="B495" s="75"/>
    </row>
    <row r="496" ht="26.25" customHeight="1">
      <c r="A496" s="74"/>
      <c r="B496" s="75"/>
    </row>
    <row r="497" ht="26.25" customHeight="1">
      <c r="A497" s="74"/>
      <c r="B497" s="75"/>
    </row>
    <row r="498" ht="26.25" customHeight="1">
      <c r="A498" s="74"/>
      <c r="B498" s="75"/>
    </row>
    <row r="499" ht="26.25" customHeight="1">
      <c r="A499" s="74"/>
      <c r="B499" s="75"/>
    </row>
    <row r="500" ht="26.25" customHeight="1">
      <c r="A500" s="74"/>
      <c r="B500" s="75"/>
    </row>
    <row r="501" ht="26.25" customHeight="1">
      <c r="A501" s="74"/>
      <c r="B501" s="75"/>
    </row>
    <row r="502" ht="26.25" customHeight="1">
      <c r="A502" s="74"/>
      <c r="B502" s="75"/>
    </row>
    <row r="503" ht="26.25" customHeight="1">
      <c r="A503" s="74"/>
      <c r="B503" s="75"/>
    </row>
    <row r="504" ht="26.25" customHeight="1">
      <c r="A504" s="74"/>
      <c r="B504" s="75"/>
    </row>
    <row r="505" ht="26.25" customHeight="1">
      <c r="A505" s="74"/>
      <c r="B505" s="75"/>
    </row>
    <row r="506" ht="26.25" customHeight="1">
      <c r="A506" s="74"/>
      <c r="B506" s="75"/>
    </row>
    <row r="507" ht="26.25" customHeight="1">
      <c r="A507" s="74"/>
      <c r="B507" s="75"/>
    </row>
    <row r="508" ht="26.25" customHeight="1">
      <c r="A508" s="74"/>
      <c r="B508" s="75"/>
    </row>
    <row r="509" ht="26.25" customHeight="1">
      <c r="A509" s="74"/>
      <c r="B509" s="75"/>
    </row>
    <row r="510" ht="26.25" customHeight="1">
      <c r="A510" s="74"/>
      <c r="B510" s="75"/>
    </row>
    <row r="511" ht="26.25" customHeight="1">
      <c r="A511" s="74"/>
      <c r="B511" s="75"/>
    </row>
    <row r="512" ht="26.25" customHeight="1">
      <c r="A512" s="74"/>
      <c r="B512" s="75"/>
    </row>
    <row r="513" ht="26.25" customHeight="1">
      <c r="A513" s="74"/>
      <c r="B513" s="75"/>
    </row>
    <row r="514" ht="26.25" customHeight="1">
      <c r="A514" s="74"/>
      <c r="B514" s="75"/>
    </row>
    <row r="515" ht="26.25" customHeight="1">
      <c r="A515" s="74"/>
      <c r="B515" s="75"/>
    </row>
    <row r="516" ht="26.25" customHeight="1">
      <c r="A516" s="74"/>
      <c r="B516" s="75"/>
    </row>
    <row r="517" ht="26.25" customHeight="1">
      <c r="A517" s="74"/>
      <c r="B517" s="75"/>
    </row>
    <row r="518" ht="26.25" customHeight="1">
      <c r="A518" s="74"/>
      <c r="B518" s="75"/>
    </row>
    <row r="519" ht="26.25" customHeight="1">
      <c r="A519" s="74"/>
      <c r="B519" s="75"/>
    </row>
    <row r="520" ht="26.25" customHeight="1">
      <c r="A520" s="74"/>
      <c r="B520" s="75"/>
    </row>
    <row r="521" ht="26.25" customHeight="1">
      <c r="A521" s="74"/>
      <c r="B521" s="75"/>
    </row>
    <row r="522" ht="26.25" customHeight="1">
      <c r="A522" s="74"/>
      <c r="B522" s="75"/>
    </row>
    <row r="523" ht="26.25" customHeight="1">
      <c r="A523" s="74"/>
      <c r="B523" s="75"/>
    </row>
    <row r="524" ht="26.25" customHeight="1">
      <c r="A524" s="74"/>
      <c r="B524" s="75"/>
    </row>
    <row r="525" ht="26.25" customHeight="1">
      <c r="A525" s="74"/>
      <c r="B525" s="75"/>
    </row>
    <row r="526" ht="26.25" customHeight="1">
      <c r="A526" s="74"/>
      <c r="B526" s="75"/>
    </row>
    <row r="527" ht="26.25" customHeight="1">
      <c r="A527" s="74"/>
      <c r="B527" s="75"/>
    </row>
    <row r="528" ht="26.25" customHeight="1">
      <c r="A528" s="74"/>
      <c r="B528" s="75"/>
    </row>
    <row r="529" ht="26.25" customHeight="1">
      <c r="A529" s="74"/>
      <c r="B529" s="75"/>
    </row>
    <row r="530" ht="26.25" customHeight="1">
      <c r="A530" s="74"/>
      <c r="B530" s="75"/>
    </row>
    <row r="531" ht="26.25" customHeight="1">
      <c r="A531" s="74"/>
      <c r="B531" s="75"/>
    </row>
    <row r="532" ht="26.25" customHeight="1">
      <c r="A532" s="74"/>
      <c r="B532" s="75"/>
    </row>
    <row r="533" ht="26.25" customHeight="1">
      <c r="A533" s="74"/>
      <c r="B533" s="75"/>
    </row>
    <row r="534" ht="26.25" customHeight="1">
      <c r="A534" s="74"/>
      <c r="B534" s="75"/>
    </row>
    <row r="535" ht="26.25" customHeight="1">
      <c r="A535" s="74"/>
      <c r="B535" s="75"/>
    </row>
    <row r="536" ht="26.25" customHeight="1">
      <c r="A536" s="74"/>
      <c r="B536" s="75"/>
    </row>
    <row r="537" ht="26.25" customHeight="1">
      <c r="A537" s="74"/>
      <c r="B537" s="75"/>
    </row>
    <row r="538" ht="26.25" customHeight="1">
      <c r="A538" s="74"/>
      <c r="B538" s="75"/>
    </row>
    <row r="539" ht="26.25" customHeight="1">
      <c r="A539" s="74"/>
      <c r="B539" s="75"/>
    </row>
    <row r="540" ht="26.25" customHeight="1">
      <c r="A540" s="74"/>
      <c r="B540" s="75"/>
    </row>
    <row r="541" ht="26.25" customHeight="1">
      <c r="A541" s="74"/>
      <c r="B541" s="75"/>
    </row>
    <row r="542" ht="26.25" customHeight="1">
      <c r="A542" s="74"/>
      <c r="B542" s="75"/>
    </row>
    <row r="543" ht="26.25" customHeight="1">
      <c r="A543" s="74"/>
      <c r="B543" s="75"/>
    </row>
    <row r="544" ht="26.25" customHeight="1">
      <c r="A544" s="74"/>
      <c r="B544" s="75"/>
    </row>
    <row r="545" ht="26.25" customHeight="1">
      <c r="A545" s="74"/>
      <c r="B545" s="75"/>
    </row>
    <row r="546" ht="26.25" customHeight="1">
      <c r="A546" s="74"/>
      <c r="B546" s="75"/>
    </row>
    <row r="547" ht="26.25" customHeight="1">
      <c r="A547" s="74"/>
      <c r="B547" s="75"/>
    </row>
    <row r="548" ht="26.25" customHeight="1">
      <c r="A548" s="74"/>
      <c r="B548" s="75"/>
    </row>
    <row r="549" ht="26.25" customHeight="1">
      <c r="A549" s="74"/>
      <c r="B549" s="75"/>
    </row>
    <row r="550" ht="26.25" customHeight="1">
      <c r="A550" s="74"/>
      <c r="B550" s="75"/>
    </row>
    <row r="551" ht="26.25" customHeight="1">
      <c r="A551" s="74"/>
      <c r="B551" s="75"/>
    </row>
    <row r="552" ht="26.25" customHeight="1">
      <c r="A552" s="74"/>
      <c r="B552" s="75"/>
    </row>
  </sheetData>
  <autoFilter ref="$A$1:$B$53"/>
  <drawing r:id="rId1"/>
</worksheet>
</file>